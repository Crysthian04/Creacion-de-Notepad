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drawings/drawing2.xml" ContentType="application/vnd.openxmlformats-officedocument.drawing+xml"/>
  <Override PartName="/xl/worksheets/sheet16.xml" ContentType="application/vnd.openxmlformats-officedocument.spreadsheetml.worksheet+xml"/>
  <Override PartName="/xl/drawings/drawing3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worksheets/sheet24.xml" ContentType="application/vnd.openxmlformats-officedocument.spreadsheetml.worksheet+xml"/>
  <Override PartName="/xl/tables/table14.xml" ContentType="application/vnd.openxmlformats-officedocument.spreadsheetml.table+xml"/>
  <Override PartName="/xl/worksheets/sheet25.xml" ContentType="application/vnd.openxmlformats-officedocument.spreadsheetml.worksheet+xml"/>
  <Override PartName="/xl/tables/table15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PLAN_VACACIONES" sheetId="8" state="visible" r:id="rId8"/>
    <sheet name="SEGUIMIENTO_HH" sheetId="9" state="visible" r:id="rId9"/>
    <sheet name="SEGUIMIENTO_MENSUAL" sheetId="10" state="visible" r:id="rId10"/>
    <sheet name="AJUSTES" sheetId="11" state="visible" r:id="rId11"/>
    <sheet name="CALENDARIO" sheetId="12" state="visible" r:id="rId12"/>
    <sheet name="PERFIL_HH" sheetId="13" state="visible" r:id="rId13"/>
    <sheet name="PLAN_SEMANAL" sheetId="14" state="visible" r:id="rId14"/>
    <sheet name="ADHERENCIA" sheetId="15" state="visible" r:id="rId15"/>
    <sheet name="COSTOS" sheetId="16" state="visible" r:id="rId16"/>
    <sheet name="BACKLOG" sheetId="17" state="visible" r:id="rId17"/>
    <sheet name="EQUIPOS_CRITICOS" sheetId="18" state="visible" r:id="rId18"/>
    <sheet name="VALIDACION" sheetId="19" state="visible" r:id="rId19"/>
    <sheet name="CAT_CENTROS_COSTO" sheetId="20" state="visible" r:id="rId20"/>
    <sheet name="CAT_PUESTOS" sheetId="21" state="visible" r:id="rId21"/>
    <sheet name="CAT_ACTIVIDADES" sheetId="22" state="visible" r:id="rId22"/>
    <sheet name="CAT_TIPOS_OT" sheetId="23" state="visible" r:id="rId23"/>
    <sheet name="CAT_ESTADOS_ERP" sheetId="24" state="visible" r:id="rId24"/>
    <sheet name="CAT_TURNOS" sheetId="25" state="visible" r:id="rId25"/>
    <sheet name="EXPORTAR" sheetId="26" state="visible" r:id="rId26"/>
    <sheet name="_COMPATIBILIDAD" sheetId="27" state="visible" r:id="rId27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lista_no_disponible">PARAMETROS!$G$5:$G$6</definedName>
    <definedName name="lista_dias">PARAMETROS!$I$5:$I$11</definedName>
    <definedName name="lista_tecnicos">TECNICOS!$B$4:$B$19</definedName>
    <definedName name="patronHabil">CALENDARIO!$B$5:$B$11</definedName>
    <definedName name="cal_fechas">CALENDARIO!$I$5:$I$764</definedName>
    <definedName name="cal_habil">CALENDARIO!$J$5:$J$764</definedName>
    <definedName name="lista_turnos">CAT_TURNOS!$G$4:$G$9</definedName>
    <definedName name="_xlnm._FilterDatabase" localSheetId="13" hidden="1">'PLAN_SEMANAL'!$A$25:$N$1225</definedName>
    <definedName name="_xlnm.Print_Area" localSheetId="13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164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6.76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Q1203" headerRowCount="1">
  <autoFilter ref="A3:AQ1203"/>
  <tableColumns count="43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es_habil"/>
    <tableColumn id="20" name="clasificacion"/>
    <tableColumn id="21" name="linea"/>
    <tableColumn id="22" name="area"/>
    <tableColumn id="23" name="sub_area"/>
    <tableColumn id="24" name="coordinador"/>
    <tableColumn id="25" name="especialidad"/>
    <tableColumn id="26" name="actividad"/>
    <tableColumn id="27" name="backlog_dias"/>
    <tableColumn id="28" name="backlog_habiles"/>
    <tableColumn id="29" name="estado_backlog"/>
    <tableColumn id="30" name="en_plan"/>
    <tableColumn id="31" name="tecnico_asignado"/>
    <tableColumn id="32" name="turno_asignado"/>
    <tableColumn id="33" name="HHA"/>
    <tableColumn id="34" name="HHD"/>
    <tableColumn id="35" name="costo_servicio"/>
    <tableColumn id="36" name="costo_materiales"/>
    <tableColumn id="37" name="costo_total"/>
    <tableColumn id="38" name="permiso_requerido"/>
    <tableColumn id="39" name="bloqueo_energia"/>
    <tableColumn id="40" name="link_checklist"/>
    <tableColumn id="41" name="abrir_checklist"/>
    <tableColumn id="42" name="observaciones"/>
    <tableColumn id="43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C9" headerRowCount="1">
  <autoFilter ref="A3:C9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3.0.0 · generado 2026-07-27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(incl. rotativo y orden_rotacion) y fije semana_referencia en</t>
        </is>
      </c>
    </row>
    <row r="16">
      <c r="A16" s="3" t="inlineStr">
        <is>
          <t xml:space="preserve">     PARAMETROS: el turno de ASIGNACIONES se DERIVA solo de la rotación. Para una</t>
        </is>
      </c>
    </row>
    <row r="17">
      <c r="A17" s="3" t="inlineStr">
        <is>
          <t xml:space="preserve">     excepción puntual escriba en turno_manual. Asigne técnicos en ORDENES. Los ajustes</t>
        </is>
      </c>
    </row>
    <row r="18">
      <c r="A18" s="3" t="inlineStr">
        <is>
          <t xml:space="preserve">     de duración van en AJUSTES por id_operacion: se re-aplican solos tras re-importar.</t>
        </is>
      </c>
    </row>
    <row r="19">
      <c r="A19" s="3" t="inlineStr">
        <is>
          <t xml:space="preserve">  5. Revise VALIDACION y trabaje con PERFIL_HH, PLAN_SEMANAL, ADHERENCIA, COSTOS y BACKLOG.</t>
        </is>
      </c>
    </row>
    <row r="20">
      <c r="A20" s="3" t="inlineStr"/>
    </row>
    <row r="21">
      <c r="A21" s="4" t="inlineStr">
        <is>
          <t>CONVENCIONES:</t>
        </is>
      </c>
    </row>
    <row r="22">
      <c r="A22" s="3" t="inlineStr">
        <is>
          <t xml:space="preserve">  · Celdas de texto azul = editables por el usuario. El resto se calcula solo.</t>
        </is>
      </c>
    </row>
    <row r="23">
      <c r="A23" s="3" t="inlineStr">
        <is>
          <t xml:space="preserve">  · El libro recalcula automáticamente al abrir (sin macros).</t>
        </is>
      </c>
    </row>
    <row r="24">
      <c r="A24" s="3" t="inlineStr">
        <is>
          <t xml:space="preserve">  · Las fórmulas usan XLOOKUP (Excel 2021/365). Para Excel 2016 vea la hoja _COMPATIBILIDAD.</t>
        </is>
      </c>
    </row>
    <row r="25">
      <c r="A25" s="3" t="inlineStr">
        <is>
          <t xml:space="preserve">  · Los filtros se hacen con los autofiltros de cada tabla y con los selectores de PLAN_SEMANAL.</t>
        </is>
      </c>
    </row>
    <row r="26">
      <c r="A26" s="3" t="inlineStr">
        <is>
          <t xml:space="preserve">  · ORDENES: HHA/HHD agregan las horas del técnico en ese día; HHD negativo (rojo) = sobreasignado.</t>
        </is>
      </c>
    </row>
    <row r="27">
      <c r="A27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8</v>
      </c>
      <c r="C7" s="2" t="inlineStr">
        <is>
          <t>Horas de trabajo por técnico y día (REGLA-5).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B,T1,T2,T3</t>
        </is>
      </c>
      <c r="C9" s="2" t="inlineStr">
        <is>
          <t>Códigos de turno válidos. La definición manda en CAT_TURNOS.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3" t="inlineStr">
        <is>
          <t>top_tareas</t>
        </is>
      </c>
      <c r="B17" s="6" t="n">
        <v>5</v>
      </c>
      <c r="C17" s="2" t="inlineStr">
        <is>
          <t>Nº de tareas relevantes que lista el correo de EXPORTAR.</t>
        </is>
      </c>
    </row>
    <row r="18">
      <c r="A18" s="3" t="inlineStr">
        <is>
          <t>dias_laborables_base</t>
        </is>
      </c>
      <c r="B18" s="6" t="n">
        <v>6</v>
      </c>
      <c r="C18" s="2" t="inlineStr">
        <is>
          <t>Días laborables base por semana (lunes a sábado). Base de REGLA-5 / 48 h.</t>
        </is>
      </c>
    </row>
    <row r="19">
      <c r="A19" s="3" t="inlineStr">
        <is>
          <t>base_semanal_horas</t>
        </is>
      </c>
      <c r="B19" s="3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3" t="inlineStr">
        <is>
          <t>semana_referencia</t>
        </is>
      </c>
      <c r="B20" s="8" t="n">
        <v>46223</v>
      </c>
      <c r="C20" s="2" t="inlineStr">
        <is>
          <t>FECHA (lunes) de la semana de referencia de la rotación de turnos (6.3).</t>
        </is>
      </c>
    </row>
    <row r="21">
      <c r="A21" s="3" t="inlineStr">
        <is>
          <t>tolerancia_horas_bono</t>
        </is>
      </c>
      <c r="B21" s="6" t="n">
        <v>0</v>
      </c>
      <c r="C21" s="2" t="inlineStr">
        <is>
          <t>Horas de tolerancia para 'cumple' del seguimiento mensual (6.5). No toca capacidad.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Los ajustes de duración NO van aquí: se registran en la hoja AJUSTES por id_operacion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9" t="inlineStr">
        <is>
          <t>OT-000001</t>
        </is>
      </c>
      <c r="B9" s="9" t="inlineStr">
        <is>
          <t>0010</t>
        </is>
      </c>
      <c r="C9" s="9" t="inlineStr">
        <is>
          <t>Lubricación programada — EQ-102</t>
        </is>
      </c>
      <c r="D9" s="9" t="inlineStr">
        <is>
          <t>Lubricación programada en EQ-102</t>
        </is>
      </c>
      <c r="E9" s="9" t="inlineStr">
        <is>
          <t>EQ-102</t>
        </is>
      </c>
      <c r="F9" s="9" t="inlineStr">
        <is>
          <t>CC-110</t>
        </is>
      </c>
      <c r="G9" s="9" t="inlineStr">
        <is>
          <t>PU-MEC</t>
        </is>
      </c>
      <c r="H9" s="9" t="inlineStr">
        <is>
          <t>ACT-02</t>
        </is>
      </c>
      <c r="I9" s="9" t="inlineStr">
        <is>
          <t>TIPO-P2</t>
        </is>
      </c>
      <c r="J9" s="10" t="n">
        <v>46223</v>
      </c>
      <c r="K9" s="9" t="n">
        <v>10</v>
      </c>
      <c r="L9" s="9" t="n">
        <v>250</v>
      </c>
    </row>
    <row r="10">
      <c r="A10" s="9" t="inlineStr">
        <is>
          <t>OT-000002</t>
        </is>
      </c>
      <c r="B10" s="9" t="inlineStr">
        <is>
          <t>0010</t>
        </is>
      </c>
      <c r="C10" s="9" t="inlineStr">
        <is>
          <t>Análisis predictivo — EQ-108</t>
        </is>
      </c>
      <c r="D10" s="9" t="inlineStr">
        <is>
          <t>Análisis predictivo en EQ-108</t>
        </is>
      </c>
      <c r="E10" s="9" t="inlineStr">
        <is>
          <t>EQ-108</t>
        </is>
      </c>
      <c r="F10" s="9" t="inlineStr">
        <is>
          <t>CC-210</t>
        </is>
      </c>
      <c r="G10" s="9" t="inlineStr">
        <is>
          <t>PU-MEC</t>
        </is>
      </c>
      <c r="H10" s="9" t="inlineStr">
        <is>
          <t>ACT-04</t>
        </is>
      </c>
      <c r="I10" s="9" t="inlineStr">
        <is>
          <t>TIPO-P1</t>
        </is>
      </c>
      <c r="J10" s="10" t="n">
        <v>46224</v>
      </c>
      <c r="K10" s="9" t="n">
        <v>8</v>
      </c>
      <c r="L10" s="9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1" t="n">
        <v>100</v>
      </c>
      <c r="G9" s="11" t="n">
        <v>0</v>
      </c>
      <c r="H9" s="11" t="n">
        <v>250</v>
      </c>
      <c r="I9" s="3" t="inlineStr">
        <is>
          <t>LIBERADA</t>
        </is>
      </c>
      <c r="J9" s="3">
        <f>IF(tblEjecucion[[#This Row],[orden]]="","",tblEjecucion[[#This Row],[orden]]&amp;IF(tblEjecucion[[#This Row],[operacion]]="","0010",tblEjecucion[[#This Row],[operacion]]))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1" t="n">
        <v>80</v>
      </c>
      <c r="G10" s="11" t="n">
        <v>200</v>
      </c>
      <c r="H10" s="11" t="n">
        <v>200</v>
      </c>
      <c r="I10" s="3" t="inlineStr">
        <is>
          <t>CERRADA</t>
        </is>
      </c>
      <c r="J10" s="3">
        <f>IF(tblEjecucion[[#This Row],[orden]]="","",tblEjecucion[[#This Row],[orden]]&amp;IF(tblEjecucion[[#This Row],[operacion]]="","0010",tblEjecucion[[#This Row],[operacion]]))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1" t="n">
        <v>60</v>
      </c>
      <c r="G11" s="11" t="n">
        <v>150</v>
      </c>
      <c r="H11" s="11" t="n">
        <v>150</v>
      </c>
      <c r="I11" s="3" t="inlineStr">
        <is>
          <t>CERRADA</t>
        </is>
      </c>
      <c r="J11" s="3">
        <f>IF(tblEjecucion[[#This Row],[orden]]="","",tblEjecucion[[#This Row],[orden]]&amp;IF(tblEjecucion[[#This Row],[operacion]]="","0010",tblEjecucion[[#This Row],[operacion]]))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1" t="n">
        <v>100</v>
      </c>
      <c r="G12" s="11" t="n">
        <v>250</v>
      </c>
      <c r="H12" s="11" t="n">
        <v>250</v>
      </c>
      <c r="I12" s="3" t="inlineStr">
        <is>
          <t>CERRADA</t>
        </is>
      </c>
      <c r="J12" s="3">
        <f>IF(tblEjecucion[[#This Row],[orden]]="","",tblEjecucion[[#This Row],[orden]]&amp;IF(tblEjecucion[[#This Row],[operacion]]="","0010",tblEjecucion[[#This Row],[operacion]]))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1" t="n">
        <v>80</v>
      </c>
      <c r="G13" s="11" t="n">
        <v>200</v>
      </c>
      <c r="H13" s="11" t="n">
        <v>200</v>
      </c>
      <c r="I13" s="3" t="inlineStr">
        <is>
          <t>CERRADA</t>
        </is>
      </c>
      <c r="J13" s="3">
        <f>IF(tblEjecucion[[#This Row],[orden]]="","",tblEjecucion[[#This Row],[orden]]&amp;IF(tblEjecucion[[#This Row],[operacion]]="","0010",tblEjecucion[[#This Row],[operacion]]))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1" t="n">
        <v>60</v>
      </c>
      <c r="G14" s="11" t="n">
        <v>150</v>
      </c>
      <c r="H14" s="11" t="n">
        <v>150</v>
      </c>
      <c r="I14" s="3" t="inlineStr">
        <is>
          <t>CERRADA</t>
        </is>
      </c>
      <c r="J14" s="3">
        <f>IF(tblEjecucion[[#This Row],[orden]]="","",tblEjecucion[[#This Row],[orden]]&amp;IF(tblEjecucion[[#This Row],[operacion]]="","0010",tblEjecucion[[#This Row],[operacion]]))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1" t="n">
        <v>100</v>
      </c>
      <c r="G15" s="11" t="n">
        <v>250</v>
      </c>
      <c r="H15" s="11" t="n">
        <v>250</v>
      </c>
      <c r="I15" s="3" t="inlineStr">
        <is>
          <t>CERRADA</t>
        </is>
      </c>
      <c r="J15" s="3">
        <f>IF(tblEjecucion[[#This Row],[orden]]="","",tblEjecucion[[#This Row],[orden]]&amp;IF(tblEjecucion[[#This Row],[operacion]]="","0010",tblEjecucion[[#This Row],[operacion]]))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1" t="n">
        <v>80</v>
      </c>
      <c r="G16" s="11" t="n">
        <v>200</v>
      </c>
      <c r="H16" s="11" t="n">
        <v>200</v>
      </c>
      <c r="I16" s="3" t="inlineStr">
        <is>
          <t>CERRADA</t>
        </is>
      </c>
      <c r="J16" s="3">
        <f>IF(tblEjecucion[[#This Row],[orden]]="","",tblEjecucion[[#This Row],[orden]]&amp;IF(tblEjecucion[[#This Row],[operacion]]="","0010",tblEjecucion[[#This Row],[operacion]]))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1" t="n">
        <v>60</v>
      </c>
      <c r="G17" s="11" t="n">
        <v>150</v>
      </c>
      <c r="H17" s="11" t="n">
        <v>150</v>
      </c>
      <c r="I17" s="3" t="inlineStr">
        <is>
          <t>CERRADA</t>
        </is>
      </c>
      <c r="J17" s="3">
        <f>IF(tblEjecucion[[#This Row],[orden]]="","",tblEjecucion[[#This Row],[orden]]&amp;IF(tblEjecucion[[#This Row],[operacion]]="","0010",tblEjecucion[[#This Row],[operacion]]))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1" t="n">
        <v>80</v>
      </c>
      <c r="G18" s="11" t="n">
        <v>200</v>
      </c>
      <c r="H18" s="11" t="n">
        <v>200</v>
      </c>
      <c r="I18" s="3" t="inlineStr">
        <is>
          <t>CERRADA</t>
        </is>
      </c>
      <c r="J18" s="3">
        <f>IF(tblEjecucion[[#This Row],[orden]]="","",tblEjecucion[[#This Row],[orden]]&amp;IF(tblEjecucion[[#This Row],[operacion]]="","0010",tblEjecucion[[#This Row],[operacion]]))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1" t="n">
        <v>160</v>
      </c>
      <c r="G19" s="11" t="n">
        <v>400</v>
      </c>
      <c r="H19" s="11" t="n">
        <v>400</v>
      </c>
      <c r="I19" s="3" t="inlineStr">
        <is>
          <t>CERRADA</t>
        </is>
      </c>
      <c r="J19" s="3">
        <f>IF(tblEjecucion[[#This Row],[orden]]="","",tblEjecucion[[#This Row],[orden]]&amp;IF(tblEjecucion[[#This Row],[operacion]]="","0010",tblEjecucion[[#This Row],[operacion]]))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1" t="n">
        <v>160</v>
      </c>
      <c r="G20" s="11" t="n">
        <v>400</v>
      </c>
      <c r="H20" s="11" t="n">
        <v>400</v>
      </c>
      <c r="I20" s="3" t="inlineStr">
        <is>
          <t>CERRADA</t>
        </is>
      </c>
      <c r="J20" s="3">
        <f>IF(tblEjecucion[[#This Row],[orden]]="","",tblEjecucion[[#This Row],[orden]]&amp;IF(tblEjecucion[[#This Row],[operacion]]="","0010",tblEjecucion[[#This Row],[operacion]]))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1" t="n">
        <v>80</v>
      </c>
      <c r="G21" s="11" t="n">
        <v>200</v>
      </c>
      <c r="H21" s="11" t="n">
        <v>200</v>
      </c>
      <c r="I21" s="3" t="inlineStr">
        <is>
          <t>CERRADA</t>
        </is>
      </c>
      <c r="J21" s="3">
        <f>IF(tblEjecucion[[#This Row],[orden]]="","",tblEjecucion[[#This Row],[orden]]&amp;IF(tblEjecucion[[#This Row],[operacion]]="","0010",tblEjecucion[[#This Row],[operacion]]))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1" t="n">
        <v>80</v>
      </c>
      <c r="G22" s="11" t="n">
        <v>0</v>
      </c>
      <c r="H22" s="11" t="n">
        <v>200</v>
      </c>
      <c r="I22" s="3" t="inlineStr">
        <is>
          <t>EN EJECUCION</t>
        </is>
      </c>
      <c r="J22" s="3">
        <f>IF(tblEjecucion[[#This Row],[orden]]="","",tblEjecucion[[#This Row],[orden]]&amp;IF(tblEjecucion[[#This Row],[operacion]]="","0010",tblEjecucion[[#This Row],[operacion]]))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1" t="n">
        <v>60</v>
      </c>
      <c r="G23" s="11" t="n">
        <v>150</v>
      </c>
      <c r="H23" s="11" t="n">
        <v>150</v>
      </c>
      <c r="I23" s="3" t="inlineStr">
        <is>
          <t>CERRADA</t>
        </is>
      </c>
      <c r="J23" s="3">
        <f>IF(tblEjecucion[[#This Row],[orden]]="","",tblEjecucion[[#This Row],[orden]]&amp;IF(tblEjecucion[[#This Row],[operacion]]="","0010",tblEjecucion[[#This Row],[operacion]]))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1" t="n">
        <v>100</v>
      </c>
      <c r="G24" s="11" t="n">
        <v>0</v>
      </c>
      <c r="H24" s="11" t="n">
        <v>250</v>
      </c>
      <c r="I24" s="3" t="inlineStr">
        <is>
          <t>EN EJECUCION</t>
        </is>
      </c>
      <c r="J24" s="3">
        <f>IF(tblEjecucion[[#This Row],[orden]]="","",tblEjecucion[[#This Row],[orden]]&amp;IF(tblEjecucion[[#This Row],[operacion]]="","0010",tblEjecucion[[#This Row],[operacion]]))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1" t="n">
        <v>80</v>
      </c>
      <c r="G25" s="11" t="n">
        <v>200</v>
      </c>
      <c r="H25" s="11" t="n">
        <v>200</v>
      </c>
      <c r="I25" s="3" t="inlineStr">
        <is>
          <t>CERRADA</t>
        </is>
      </c>
      <c r="J25" s="3">
        <f>IF(tblEjecucion[[#This Row],[orden]]="","",tblEjecucion[[#This Row],[orden]]&amp;IF(tblEjecucion[[#This Row],[operacion]]="","0010",tblEjecucion[[#This Row],[operacion]]))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1" t="n">
        <v>60</v>
      </c>
      <c r="G26" s="11" t="n">
        <v>0</v>
      </c>
      <c r="H26" s="11" t="n">
        <v>150</v>
      </c>
      <c r="I26" s="3" t="inlineStr">
        <is>
          <t>EN EJECUCION</t>
        </is>
      </c>
      <c r="J26" s="3">
        <f>IF(tblEjecucion[[#This Row],[orden]]="","",tblEjecucion[[#This Row],[orden]]&amp;IF(tblEjecucion[[#This Row],[operacion]]="","0010",tblEjecucion[[#This Row],[operacion]]))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1" t="n">
        <v>100</v>
      </c>
      <c r="G27" s="11" t="n">
        <v>250</v>
      </c>
      <c r="H27" s="11" t="n">
        <v>250</v>
      </c>
      <c r="I27" s="3" t="inlineStr">
        <is>
          <t>CERRADA</t>
        </is>
      </c>
      <c r="J27" s="3">
        <f>IF(tblEjecucion[[#This Row],[orden]]="","",tblEjecucion[[#This Row],[orden]]&amp;IF(tblEjecucion[[#This Row],[operacion]]="","0010",tblEjecucion[[#This Row],[operacion]]))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1" t="n">
        <v>80</v>
      </c>
      <c r="G28" s="11" t="n">
        <v>0</v>
      </c>
      <c r="H28" s="11" t="n">
        <v>200</v>
      </c>
      <c r="I28" s="3" t="inlineStr">
        <is>
          <t>EN EJECUCION</t>
        </is>
      </c>
      <c r="J28" s="3">
        <f>IF(tblEjecucion[[#This Row],[orden]]="","",tblEjecucion[[#This Row],[orden]]&amp;IF(tblEjecucion[[#This Row],[operacion]]="","0010",tblEjecucion[[#This Row],[operacion]]))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1" t="n">
        <v>60</v>
      </c>
      <c r="G29" s="11" t="n">
        <v>150</v>
      </c>
      <c r="H29" s="11" t="n">
        <v>150</v>
      </c>
      <c r="I29" s="3" t="inlineStr">
        <is>
          <t>CERRADA</t>
        </is>
      </c>
      <c r="J29" s="3">
        <f>IF(tblEjecucion[[#This Row],[orden]]="","",tblEjecucion[[#This Row],[orden]]&amp;IF(tblEjecucion[[#This Row],[operacion]]="","0010",tblEjecucion[[#This Row],[operacion]]))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1" t="n">
        <v>80</v>
      </c>
      <c r="G30" s="11" t="n">
        <v>0</v>
      </c>
      <c r="H30" s="11" t="n">
        <v>200</v>
      </c>
      <c r="I30" s="3" t="inlineStr">
        <is>
          <t>EN EJECUCION</t>
        </is>
      </c>
      <c r="J30" s="3">
        <f>IF(tblEjecucion[[#This Row],[orden]]="","",tblEjecucion[[#This Row],[orden]]&amp;IF(tblEjecucion[[#This Row],[operacion]]="","0010",tblEjecucion[[#This Row],[operacion]]))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1" t="n">
        <v>160</v>
      </c>
      <c r="G31" s="11" t="n">
        <v>400</v>
      </c>
      <c r="H31" s="11" t="n">
        <v>400</v>
      </c>
      <c r="I31" s="3" t="inlineStr">
        <is>
          <t>CERRADA</t>
        </is>
      </c>
      <c r="J31" s="3">
        <f>IF(tblEjecucion[[#This Row],[orden]]="","",tblEjecucion[[#This Row],[orden]]&amp;IF(tblEjecucion[[#This Row],[operacion]]="","0010",tblEjecucion[[#This Row],[operacion]]))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1" t="n">
        <v>128</v>
      </c>
      <c r="G32" s="11" t="n">
        <v>0</v>
      </c>
      <c r="H32" s="11" t="n">
        <v>320</v>
      </c>
      <c r="I32" s="3" t="inlineStr">
        <is>
          <t>EN EJECUCION</t>
        </is>
      </c>
      <c r="J32" s="3">
        <f>IF(tblEjecucion[[#This Row],[orden]]="","",tblEjecucion[[#This Row],[orden]]&amp;IF(tblEjecucion[[#This Row],[operacion]]="","0010",tblEjecucion[[#This Row],[operacion]]))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1" t="n">
        <v>112</v>
      </c>
      <c r="G33" s="11" t="n">
        <v>280</v>
      </c>
      <c r="H33" s="11" t="n">
        <v>280</v>
      </c>
      <c r="I33" s="3" t="inlineStr">
        <is>
          <t>CERRADA</t>
        </is>
      </c>
      <c r="J33" s="3">
        <f>IF(tblEjecucion[[#This Row],[orden]]="","",tblEjecucion[[#This Row],[orden]]&amp;IF(tblEjecucion[[#This Row],[operacion]]="","0010",tblEjecucion[[#This Row],[operacion]]))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1" t="n">
        <v>80</v>
      </c>
      <c r="G34" s="11" t="n">
        <v>0</v>
      </c>
      <c r="H34" s="11" t="n">
        <v>200</v>
      </c>
      <c r="I34" s="3" t="inlineStr">
        <is>
          <t>LIBERADA</t>
        </is>
      </c>
      <c r="J34" s="3">
        <f>IF(tblEjecucion[[#This Row],[orden]]="","",tblEjecucion[[#This Row],[orden]]&amp;IF(tblEjecucion[[#This Row],[operacion]]="","0010",tblEjecucion[[#This Row],[operacion]]))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1" t="n">
        <v>100</v>
      </c>
      <c r="G35" s="11" t="n">
        <v>0</v>
      </c>
      <c r="H35" s="11" t="n">
        <v>250</v>
      </c>
      <c r="I35" s="3" t="inlineStr">
        <is>
          <t>LIBERADA</t>
        </is>
      </c>
      <c r="J35" s="3">
        <f>IF(tblEjecucion[[#This Row],[orden]]="","",tblEjecucion[[#This Row],[orden]]&amp;IF(tblEjecucion[[#This Row],[operacion]]="","0010",tblEjecucion[[#This Row],[operacion]]))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1" t="n">
        <v>60</v>
      </c>
      <c r="G36" s="11" t="n">
        <v>0</v>
      </c>
      <c r="H36" s="11" t="n">
        <v>150</v>
      </c>
      <c r="I36" s="3" t="inlineStr">
        <is>
          <t>LIBERADA</t>
        </is>
      </c>
      <c r="J36" s="3">
        <f>IF(tblEjecucion[[#This Row],[orden]]="","",tblEjecucion[[#This Row],[orden]]&amp;IF(tblEjecucion[[#This Row],[operacion]]="","0010",tblEjecucion[[#This Row],[operacion]]))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1" t="n">
        <v>80</v>
      </c>
      <c r="G37" s="11" t="n">
        <v>0</v>
      </c>
      <c r="H37" s="11" t="n">
        <v>200</v>
      </c>
      <c r="I37" s="3" t="inlineStr">
        <is>
          <t>LIBERADA</t>
        </is>
      </c>
      <c r="J37" s="3">
        <f>IF(tblEjecucion[[#This Row],[orden]]="","",tblEjecucion[[#This Row],[orden]]&amp;IF(tblEjecucion[[#This Row],[operacion]]="","0010",tblEjecucion[[#This Row],[operacion]]))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1" t="n">
        <v>80</v>
      </c>
      <c r="G38" s="11" t="n">
        <v>0</v>
      </c>
      <c r="H38" s="11" t="n">
        <v>200</v>
      </c>
      <c r="I38" s="3" t="inlineStr">
        <is>
          <t>LIBERADA</t>
        </is>
      </c>
      <c r="J38" s="3">
        <f>IF(tblEjecucion[[#This Row],[orden]]="","",tblEjecucion[[#This Row],[orden]]&amp;IF(tblEjecucion[[#This Row],[operacion]]="","0010",tblEjecucion[[#This Row],[operacion]]))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1" t="n">
        <v>160</v>
      </c>
      <c r="G39" s="11" t="n">
        <v>0</v>
      </c>
      <c r="H39" s="11" t="n">
        <v>400</v>
      </c>
      <c r="I39" s="3" t="inlineStr">
        <is>
          <t>LIBERADA</t>
        </is>
      </c>
      <c r="J39" s="3">
        <f>IF(tblEjecucion[[#This Row],[orden]]="","",tblEjecucion[[#This Row],[orden]]&amp;IF(tblEjecucion[[#This Row],[operacion]]="","0010",tblEjecucion[[#This Row],[operacion]]))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1" t="n">
        <v>80</v>
      </c>
      <c r="G40" s="11" t="n">
        <v>0</v>
      </c>
      <c r="H40" s="11" t="n">
        <v>200</v>
      </c>
      <c r="I40" s="3" t="inlineStr">
        <is>
          <t>LIBERADA</t>
        </is>
      </c>
      <c r="J40" s="3">
        <f>IF(tblEjecucion[[#This Row],[orden]]="","",tblEjecucion[[#This Row],[orden]]&amp;IF(tblEjecucion[[#This Row],[operacion]]="","0010",tblEjecucion[[#This Row],[operacion]]))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1" t="n">
        <v>100</v>
      </c>
      <c r="G41" s="11" t="n">
        <v>0</v>
      </c>
      <c r="H41" s="11" t="n">
        <v>250</v>
      </c>
      <c r="I41" s="3" t="inlineStr">
        <is>
          <t>LIBERADA</t>
        </is>
      </c>
      <c r="J41" s="3">
        <f>IF(tblEjecucion[[#This Row],[orden]]="","",tblEjecucion[[#This Row],[orden]]&amp;IF(tblEjecucion[[#This Row],[operacion]]="","0010",tblEjecucion[[#This Row],[operacion]]))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1" t="n">
        <v>60</v>
      </c>
      <c r="G42" s="11" t="n">
        <v>0</v>
      </c>
      <c r="H42" s="11" t="n">
        <v>150</v>
      </c>
      <c r="I42" s="3" t="inlineStr">
        <is>
          <t>LIBERADA</t>
        </is>
      </c>
      <c r="J42" s="3">
        <f>IF(tblEjecucion[[#This Row],[orden]]="","",tblEjecucion[[#This Row],[orden]]&amp;IF(tblEjecucion[[#This Row],[operacion]]="","0010",tblEjecucion[[#This Row],[operacion]]))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1" t="n">
        <v>80</v>
      </c>
      <c r="G43" s="11" t="n">
        <v>0</v>
      </c>
      <c r="H43" s="11" t="n">
        <v>200</v>
      </c>
      <c r="I43" s="3" t="inlineStr">
        <is>
          <t>LIBERADA</t>
        </is>
      </c>
      <c r="J43" s="3">
        <f>IF(tblEjecucion[[#This Row],[orden]]="","",tblEjecucion[[#This Row],[orden]]&amp;IF(tblEjecucion[[#This Row],[operacion]]="","0010",tblEjecucion[[#This Row],[operacion]]))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1" t="n">
        <v>160</v>
      </c>
      <c r="G44" s="11" t="n">
        <v>0</v>
      </c>
      <c r="H44" s="11" t="n">
        <v>400</v>
      </c>
      <c r="I44" s="3" t="inlineStr">
        <is>
          <t>LIBERADA</t>
        </is>
      </c>
      <c r="J44" s="3">
        <f>IF(tblEjecucion[[#This Row],[orden]]="","",tblEjecucion[[#This Row],[orden]]&amp;IF(tblEjecucion[[#This Row],[operacion]]="","0010",tblEjecucion[[#This Row],[operacion]]))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1" t="n">
        <v>100</v>
      </c>
      <c r="G45" s="11" t="n">
        <v>0</v>
      </c>
      <c r="H45" s="11" t="n">
        <v>250</v>
      </c>
      <c r="I45" s="3" t="inlineStr">
        <is>
          <t>LIBERADA</t>
        </is>
      </c>
      <c r="J45" s="3">
        <f>IF(tblEjecucion[[#This Row],[orden]]="","",tblEjecucion[[#This Row],[orden]]&amp;IF(tblEjecucion[[#This Row],[operacion]]="","0010",tblEjecucion[[#This Row],[operacion]]))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1" t="n">
        <v>80</v>
      </c>
      <c r="G46" s="11" t="n">
        <v>200</v>
      </c>
      <c r="H46" s="11" t="n">
        <v>200</v>
      </c>
      <c r="I46" s="3" t="inlineStr">
        <is>
          <t>CERRADA</t>
        </is>
      </c>
      <c r="J46" s="3">
        <f>IF(tblEjecucion[[#This Row],[orden]]="","",tblEjecucion[[#This Row],[orden]]&amp;IF(tblEjecucion[[#This Row],[operacion]]="","0010",tblEjecucion[[#This Row],[operacion]]))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1" t="n">
        <v>60</v>
      </c>
      <c r="G47" s="11" t="n">
        <v>150</v>
      </c>
      <c r="H47" s="11" t="n">
        <v>150</v>
      </c>
      <c r="I47" s="3" t="inlineStr">
        <is>
          <t>CERRADA</t>
        </is>
      </c>
      <c r="J47" s="3">
        <f>IF(tblEjecucion[[#This Row],[orden]]="","",tblEjecucion[[#This Row],[orden]]&amp;IF(tblEjecucion[[#This Row],[operacion]]="","0010",tblEjecucion[[#This Row],[operacion]]))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1" t="n">
        <v>100</v>
      </c>
      <c r="G48" s="11" t="n">
        <v>250</v>
      </c>
      <c r="H48" s="11" t="n">
        <v>250</v>
      </c>
      <c r="I48" s="3" t="inlineStr">
        <is>
          <t>CERRADA</t>
        </is>
      </c>
      <c r="J48" s="3">
        <f>IF(tblEjecucion[[#This Row],[orden]]="","",tblEjecucion[[#This Row],[orden]]&amp;IF(tblEjecucion[[#This Row],[operacion]]="","0010",tblEjecucion[[#This Row],[operacion]]))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1" t="n">
        <v>80</v>
      </c>
      <c r="G49" s="11" t="n">
        <v>200</v>
      </c>
      <c r="H49" s="11" t="n">
        <v>200</v>
      </c>
      <c r="I49" s="3" t="inlineStr">
        <is>
          <t>CERRADA</t>
        </is>
      </c>
      <c r="J49" s="3">
        <f>IF(tblEjecucion[[#This Row],[orden]]="","",tblEjecucion[[#This Row],[orden]]&amp;IF(tblEjecucion[[#This Row],[operacion]]="","0010",tblEjecucion[[#This Row],[operacion]]))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1" t="n">
        <v>60</v>
      </c>
      <c r="G50" s="11" t="n">
        <v>150</v>
      </c>
      <c r="H50" s="11" t="n">
        <v>150</v>
      </c>
      <c r="I50" s="3" t="inlineStr">
        <is>
          <t>CERRADA</t>
        </is>
      </c>
      <c r="J50" s="3">
        <f>IF(tblEjecucion[[#This Row],[orden]]="","",tblEjecucion[[#This Row],[orden]]&amp;IF(tblEjecucion[[#This Row],[operacion]]="","0010",tblEjecucion[[#This Row],[operacion]]))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1" t="n">
        <v>100</v>
      </c>
      <c r="G51" s="11" t="n">
        <v>250</v>
      </c>
      <c r="H51" s="11" t="n">
        <v>250</v>
      </c>
      <c r="I51" s="3" t="inlineStr">
        <is>
          <t>CERRADA</t>
        </is>
      </c>
      <c r="J51" s="3">
        <f>IF(tblEjecucion[[#This Row],[orden]]="","",tblEjecucion[[#This Row],[orden]]&amp;IF(tblEjecucion[[#This Row],[operacion]]="","0010",tblEjecucion[[#This Row],[operacion]]))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1" t="n">
        <v>20</v>
      </c>
      <c r="G52" s="11" t="n">
        <v>50</v>
      </c>
      <c r="H52" s="11" t="n">
        <v>50</v>
      </c>
      <c r="I52" s="3" t="inlineStr">
        <is>
          <t>CERRADA</t>
        </is>
      </c>
      <c r="J52" s="3">
        <f>IF(tblEjecucion[[#This Row],[orden]]="","",tblEjecucion[[#This Row],[orden]]&amp;IF(tblEjecucion[[#This Row],[operacion]]="","0010",tblEjecucion[[#This Row],[operacion]]))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1" t="n">
        <v>160</v>
      </c>
      <c r="G53" s="11" t="n">
        <v>400</v>
      </c>
      <c r="H53" s="11" t="n">
        <v>400</v>
      </c>
      <c r="I53" s="3" t="inlineStr">
        <is>
          <t>CERRADA</t>
        </is>
      </c>
      <c r="J53" s="3">
        <f>IF(tblEjecucion[[#This Row],[orden]]="","",tblEjecucion[[#This Row],[orden]]&amp;IF(tblEjecucion[[#This Row],[operacion]]="","0010",tblEjecucion[[#This Row],[operacion]]))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1" t="n">
        <v>80</v>
      </c>
      <c r="G54" s="11" t="n">
        <v>200</v>
      </c>
      <c r="H54" s="11" t="n">
        <v>200</v>
      </c>
      <c r="I54" s="3" t="inlineStr">
        <is>
          <t>CERRADA</t>
        </is>
      </c>
      <c r="J54" s="3">
        <f>IF(tblEjecucion[[#This Row],[orden]]="","",tblEjecucion[[#This Row],[orden]]&amp;IF(tblEjecucion[[#This Row],[operacion]]="","0010",tblEjecucion[[#This Row],[operacion]]))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1" t="n">
        <v>60</v>
      </c>
      <c r="G55" s="11" t="n">
        <v>150</v>
      </c>
      <c r="H55" s="11" t="n">
        <v>150</v>
      </c>
      <c r="I55" s="3" t="inlineStr">
        <is>
          <t>CERRADA</t>
        </is>
      </c>
      <c r="J55" s="3">
        <f>IF(tblEjecucion[[#This Row],[orden]]="","",tblEjecucion[[#This Row],[orden]]&amp;IF(tblEjecucion[[#This Row],[operacion]]="","0010",tblEjecucion[[#This Row],[operacion]]))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1" t="n">
        <v>80</v>
      </c>
      <c r="G56" s="11" t="n">
        <v>0</v>
      </c>
      <c r="H56" s="11" t="n">
        <v>200</v>
      </c>
      <c r="I56" s="3" t="inlineStr">
        <is>
          <t>EN EJECUCION</t>
        </is>
      </c>
      <c r="J56" s="3">
        <f>IF(tblEjecucion[[#This Row],[orden]]="","",tblEjecucion[[#This Row],[orden]]&amp;IF(tblEjecucion[[#This Row],[operacion]]="","0010",tblEjecucion[[#This Row],[operacion]]))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1" t="n">
        <v>60</v>
      </c>
      <c r="G57" s="11" t="n">
        <v>150</v>
      </c>
      <c r="H57" s="11" t="n">
        <v>150</v>
      </c>
      <c r="I57" s="3" t="inlineStr">
        <is>
          <t>CERRADA</t>
        </is>
      </c>
      <c r="J57" s="3">
        <f>IF(tblEjecucion[[#This Row],[orden]]="","",tblEjecucion[[#This Row],[orden]]&amp;IF(tblEjecucion[[#This Row],[operacion]]="","0010",tblEjecucion[[#This Row],[operacion]]))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1" t="n">
        <v>100</v>
      </c>
      <c r="G58" s="11" t="n">
        <v>0</v>
      </c>
      <c r="H58" s="11" t="n">
        <v>250</v>
      </c>
      <c r="I58" s="3" t="inlineStr">
        <is>
          <t>EN EJECUCION</t>
        </is>
      </c>
      <c r="J58" s="3">
        <f>IF(tblEjecucion[[#This Row],[orden]]="","",tblEjecucion[[#This Row],[orden]]&amp;IF(tblEjecucion[[#This Row],[operacion]]="","0010",tblEjecucion[[#This Row],[operacion]]))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1" t="n">
        <v>80</v>
      </c>
      <c r="G59" s="11" t="n">
        <v>200</v>
      </c>
      <c r="H59" s="11" t="n">
        <v>200</v>
      </c>
      <c r="I59" s="3" t="inlineStr">
        <is>
          <t>CERRADA</t>
        </is>
      </c>
      <c r="J59" s="3">
        <f>IF(tblEjecucion[[#This Row],[orden]]="","",tblEjecucion[[#This Row],[orden]]&amp;IF(tblEjecucion[[#This Row],[operacion]]="","0010",tblEjecucion[[#This Row],[operacion]]))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1" t="n">
        <v>60</v>
      </c>
      <c r="G60" s="11" t="n">
        <v>0</v>
      </c>
      <c r="H60" s="11" t="n">
        <v>150</v>
      </c>
      <c r="I60" s="3" t="inlineStr">
        <is>
          <t>EN EJECUCION</t>
        </is>
      </c>
      <c r="J60" s="3">
        <f>IF(tblEjecucion[[#This Row],[orden]]="","",tblEjecucion[[#This Row],[orden]]&amp;IF(tblEjecucion[[#This Row],[operacion]]="","0010",tblEjecucion[[#This Row],[operacion]]))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1" t="n">
        <v>100</v>
      </c>
      <c r="G61" s="11" t="n">
        <v>250</v>
      </c>
      <c r="H61" s="11" t="n">
        <v>250</v>
      </c>
      <c r="I61" s="3" t="inlineStr">
        <is>
          <t>CERRADA</t>
        </is>
      </c>
      <c r="J61" s="3">
        <f>IF(tblEjecucion[[#This Row],[orden]]="","",tblEjecucion[[#This Row],[orden]]&amp;IF(tblEjecucion[[#This Row],[operacion]]="","0010",tblEjecucion[[#This Row],[operacion]]))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1" t="n">
        <v>70</v>
      </c>
      <c r="G62" s="11" t="n">
        <v>0</v>
      </c>
      <c r="H62" s="11" t="n">
        <v>175</v>
      </c>
      <c r="I62" s="3" t="inlineStr">
        <is>
          <t>EN EJECUCION</t>
        </is>
      </c>
      <c r="J62" s="3">
        <f>IF(tblEjecucion[[#This Row],[orden]]="","",tblEjecucion[[#This Row],[orden]]&amp;IF(tblEjecucion[[#This Row],[operacion]]="","0010",tblEjecucion[[#This Row],[operacion]]))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1" t="n">
        <v>160</v>
      </c>
      <c r="G63" s="11" t="n">
        <v>400</v>
      </c>
      <c r="H63" s="11" t="n">
        <v>400</v>
      </c>
      <c r="I63" s="3" t="inlineStr">
        <is>
          <t>CERRADA</t>
        </is>
      </c>
      <c r="J63" s="3">
        <f>IF(tblEjecucion[[#This Row],[orden]]="","",tblEjecucion[[#This Row],[orden]]&amp;IF(tblEjecucion[[#This Row],[operacion]]="","0010",tblEjecucion[[#This Row],[operacion]]))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1" t="n">
        <v>160</v>
      </c>
      <c r="G64" s="11" t="n">
        <v>0</v>
      </c>
      <c r="H64" s="11" t="n">
        <v>400</v>
      </c>
      <c r="I64" s="3" t="inlineStr">
        <is>
          <t>EN EJECUCION</t>
        </is>
      </c>
      <c r="J64" s="3">
        <f>IF(tblEjecucion[[#This Row],[orden]]="","",tblEjecucion[[#This Row],[orden]]&amp;IF(tblEjecucion[[#This Row],[operacion]]="","0010",tblEjecucion[[#This Row],[operacion]]))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1" t="n">
        <v>100</v>
      </c>
      <c r="G65" s="11" t="n">
        <v>0</v>
      </c>
      <c r="H65" s="11" t="n">
        <v>250</v>
      </c>
      <c r="I65" s="3" t="inlineStr">
        <is>
          <t>LIBERADA</t>
        </is>
      </c>
      <c r="J65" s="3">
        <f>IF(tblEjecucion[[#This Row],[orden]]="","",tblEjecucion[[#This Row],[orden]]&amp;IF(tblEjecucion[[#This Row],[operacion]]="","0010",tblEjecucion[[#This Row],[operacion]]))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1" t="n">
        <v>60</v>
      </c>
      <c r="G66" s="11" t="n">
        <v>0</v>
      </c>
      <c r="H66" s="11" t="n">
        <v>150</v>
      </c>
      <c r="I66" s="3" t="inlineStr">
        <is>
          <t>LIBERADA</t>
        </is>
      </c>
      <c r="J66" s="3">
        <f>IF(tblEjecucion[[#This Row],[orden]]="","",tblEjecucion[[#This Row],[orden]]&amp;IF(tblEjecucion[[#This Row],[operacion]]="","0010",tblEjecucion[[#This Row],[operacion]]))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1" t="n">
        <v>80</v>
      </c>
      <c r="G67" s="11" t="n">
        <v>0</v>
      </c>
      <c r="H67" s="11" t="n">
        <v>200</v>
      </c>
      <c r="I67" s="3" t="inlineStr">
        <is>
          <t>LIBERADA</t>
        </is>
      </c>
      <c r="J67" s="3">
        <f>IF(tblEjecucion[[#This Row],[orden]]="","",tblEjecucion[[#This Row],[orden]]&amp;IF(tblEjecucion[[#This Row],[operacion]]="","0010",tblEjecucion[[#This Row],[operacion]]))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1" t="n">
        <v>100</v>
      </c>
      <c r="G68" s="11" t="n">
        <v>0</v>
      </c>
      <c r="H68" s="11" t="n">
        <v>250</v>
      </c>
      <c r="I68" s="3" t="inlineStr">
        <is>
          <t>LIBERADA</t>
        </is>
      </c>
      <c r="J68" s="3">
        <f>IF(tblEjecucion[[#This Row],[orden]]="","",tblEjecucion[[#This Row],[orden]]&amp;IF(tblEjecucion[[#This Row],[operacion]]="","0010",tblEjecucion[[#This Row],[operacion]]))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1" t="n">
        <v>160</v>
      </c>
      <c r="G69" s="11" t="n">
        <v>0</v>
      </c>
      <c r="H69" s="11" t="n">
        <v>400</v>
      </c>
      <c r="I69" s="3" t="inlineStr">
        <is>
          <t>LIBERADA</t>
        </is>
      </c>
      <c r="J69" s="3">
        <f>IF(tblEjecucion[[#This Row],[orden]]="","",tblEjecucion[[#This Row],[orden]]&amp;IF(tblEjecucion[[#This Row],[operacion]]="","0010",tblEjecucion[[#This Row],[operacion]]))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1" t="n">
        <v>80</v>
      </c>
      <c r="G70" s="11" t="n">
        <v>0</v>
      </c>
      <c r="H70" s="11" t="n">
        <v>200</v>
      </c>
      <c r="I70" s="3" t="inlineStr">
        <is>
          <t>LIBERADA</t>
        </is>
      </c>
      <c r="J70" s="3">
        <f>IF(tblEjecucion[[#This Row],[orden]]="","",tblEjecucion[[#This Row],[orden]]&amp;IF(tblEjecucion[[#This Row],[operacion]]="","0010",tblEjecucion[[#This Row],[operacion]]))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1" t="n">
        <v>100</v>
      </c>
      <c r="G71" s="11" t="n">
        <v>0</v>
      </c>
      <c r="H71" s="11" t="n">
        <v>250</v>
      </c>
      <c r="I71" s="3" t="inlineStr">
        <is>
          <t>LIBERADA</t>
        </is>
      </c>
      <c r="J71" s="3">
        <f>IF(tblEjecucion[[#This Row],[orden]]="","",tblEjecucion[[#This Row],[orden]]&amp;IF(tblEjecucion[[#This Row],[operacion]]="","0010",tblEjecucion[[#This Row],[operacion]]))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1" t="n">
        <v>80</v>
      </c>
      <c r="G72" s="11" t="n">
        <v>0</v>
      </c>
      <c r="H72" s="11" t="n">
        <v>200</v>
      </c>
      <c r="I72" s="3" t="inlineStr">
        <is>
          <t>LIBERADA</t>
        </is>
      </c>
      <c r="J72" s="3">
        <f>IF(tblEjecucion[[#This Row],[orden]]="","",tblEjecucion[[#This Row],[orden]]&amp;IF(tblEjecucion[[#This Row],[operacion]]="","0010",tblEjecucion[[#This Row],[operacion]]))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1" t="n">
        <v>100</v>
      </c>
      <c r="G73" s="11" t="n">
        <v>0</v>
      </c>
      <c r="H73" s="11" t="n">
        <v>250</v>
      </c>
      <c r="I73" s="3" t="inlineStr">
        <is>
          <t>LIBERADA</t>
        </is>
      </c>
      <c r="J73" s="3">
        <f>IF(tblEjecucion[[#This Row],[orden]]="","",tblEjecucion[[#This Row],[orden]]&amp;IF(tblEjecucion[[#This Row],[operacion]]="","0010",tblEjecucion[[#This Row],[operacion]]))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1" t="n">
        <v>80</v>
      </c>
      <c r="G74" s="11" t="n">
        <v>200</v>
      </c>
      <c r="H74" s="11" t="n">
        <v>200</v>
      </c>
      <c r="I74" s="3" t="inlineStr">
        <is>
          <t>CERRADA</t>
        </is>
      </c>
      <c r="J74" s="3">
        <f>IF(tblEjecucion[[#This Row],[orden]]="","",tblEjecucion[[#This Row],[orden]]&amp;IF(tblEjecucion[[#This Row],[operacion]]="","0010",tblEjecucion[[#This Row],[operacion]]))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1" t="n">
        <v>60</v>
      </c>
      <c r="G75" s="11" t="n">
        <v>150</v>
      </c>
      <c r="H75" s="11" t="n">
        <v>150</v>
      </c>
      <c r="I75" s="3" t="inlineStr">
        <is>
          <t>CERRADA</t>
        </is>
      </c>
      <c r="J75" s="3">
        <f>IF(tblEjecucion[[#This Row],[orden]]="","",tblEjecucion[[#This Row],[orden]]&amp;IF(tblEjecucion[[#This Row],[operacion]]="","0010",tblEjecucion[[#This Row],[operacion]]))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1" t="n">
        <v>100</v>
      </c>
      <c r="G76" s="11" t="n">
        <v>250</v>
      </c>
      <c r="H76" s="11" t="n">
        <v>250</v>
      </c>
      <c r="I76" s="3" t="inlineStr">
        <is>
          <t>CERRADA</t>
        </is>
      </c>
      <c r="J76" s="3">
        <f>IF(tblEjecucion[[#This Row],[orden]]="","",tblEjecucion[[#This Row],[orden]]&amp;IF(tblEjecucion[[#This Row],[operacion]]="","0010",tblEjecucion[[#This Row],[operacion]]))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1" t="n">
        <v>60</v>
      </c>
      <c r="G77" s="11" t="n">
        <v>150</v>
      </c>
      <c r="H77" s="11" t="n">
        <v>150</v>
      </c>
      <c r="I77" s="3" t="inlineStr">
        <is>
          <t>CERRADA</t>
        </is>
      </c>
      <c r="J77" s="3">
        <f>IF(tblEjecucion[[#This Row],[orden]]="","",tblEjecucion[[#This Row],[orden]]&amp;IF(tblEjecucion[[#This Row],[operacion]]="","0010",tblEjecucion[[#This Row],[operacion]]))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1" t="n">
        <v>160</v>
      </c>
      <c r="G78" s="11" t="n">
        <v>400</v>
      </c>
      <c r="H78" s="11" t="n">
        <v>400</v>
      </c>
      <c r="I78" s="3" t="inlineStr">
        <is>
          <t>CERRADA</t>
        </is>
      </c>
      <c r="J78" s="3">
        <f>IF(tblEjecucion[[#This Row],[orden]]="","",tblEjecucion[[#This Row],[orden]]&amp;IF(tblEjecucion[[#This Row],[operacion]]="","0010",tblEjecucion[[#This Row],[operacion]]))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1" t="n">
        <v>100</v>
      </c>
      <c r="G79" s="11" t="n">
        <v>250</v>
      </c>
      <c r="H79" s="11" t="n">
        <v>250</v>
      </c>
      <c r="I79" s="3" t="inlineStr">
        <is>
          <t>CERRADA</t>
        </is>
      </c>
      <c r="J79" s="3">
        <f>IF(tblEjecucion[[#This Row],[orden]]="","",tblEjecucion[[#This Row],[orden]]&amp;IF(tblEjecucion[[#This Row],[operacion]]="","0010",tblEjecucion[[#This Row],[operacion]]))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1" t="n">
        <v>80</v>
      </c>
      <c r="G80" s="11" t="n">
        <v>0</v>
      </c>
      <c r="H80" s="11" t="n">
        <v>200</v>
      </c>
      <c r="I80" s="3" t="inlineStr">
        <is>
          <t>EN EJECUCION</t>
        </is>
      </c>
      <c r="J80" s="3">
        <f>IF(tblEjecucion[[#This Row],[orden]]="","",tblEjecucion[[#This Row],[orden]]&amp;IF(tblEjecucion[[#This Row],[operacion]]="","0010",tblEjecucion[[#This Row],[operacion]]))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1" t="n">
        <v>60</v>
      </c>
      <c r="G81" s="11" t="n">
        <v>150</v>
      </c>
      <c r="H81" s="11" t="n">
        <v>150</v>
      </c>
      <c r="I81" s="3" t="inlineStr">
        <is>
          <t>CERRADA</t>
        </is>
      </c>
      <c r="J81" s="3">
        <f>IF(tblEjecucion[[#This Row],[orden]]="","",tblEjecucion[[#This Row],[orden]]&amp;IF(tblEjecucion[[#This Row],[operacion]]="","0010",tblEjecucion[[#This Row],[operacion]]))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1" t="n">
        <v>100</v>
      </c>
      <c r="G82" s="11" t="n">
        <v>0</v>
      </c>
      <c r="H82" s="11" t="n">
        <v>250</v>
      </c>
      <c r="I82" s="3" t="inlineStr">
        <is>
          <t>EN EJECUCION</t>
        </is>
      </c>
      <c r="J82" s="3">
        <f>IF(tblEjecucion[[#This Row],[orden]]="","",tblEjecucion[[#This Row],[orden]]&amp;IF(tblEjecucion[[#This Row],[operacion]]="","0010",tblEjecucion[[#This Row],[operacion]]))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1" t="n">
        <v>110</v>
      </c>
      <c r="G83" s="11" t="n">
        <v>275</v>
      </c>
      <c r="H83" s="11" t="n">
        <v>275</v>
      </c>
      <c r="I83" s="3" t="inlineStr">
        <is>
          <t>CERRADA</t>
        </is>
      </c>
      <c r="J83" s="3">
        <f>IF(tblEjecucion[[#This Row],[orden]]="","",tblEjecucion[[#This Row],[orden]]&amp;IF(tblEjecucion[[#This Row],[operacion]]="","0010",tblEjecucion[[#This Row],[operacion]]))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1" t="n">
        <v>160</v>
      </c>
      <c r="G84" s="11" t="n">
        <v>0</v>
      </c>
      <c r="H84" s="11" t="n">
        <v>400</v>
      </c>
      <c r="I84" s="3" t="inlineStr">
        <is>
          <t>EN EJECUCION</t>
        </is>
      </c>
      <c r="J84" s="3">
        <f>IF(tblEjecucion[[#This Row],[orden]]="","",tblEjecucion[[#This Row],[orden]]&amp;IF(tblEjecucion[[#This Row],[operacion]]="","0010",tblEjecucion[[#This Row],[operacion]]))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1" t="n">
        <v>100</v>
      </c>
      <c r="G85" s="11" t="n">
        <v>0</v>
      </c>
      <c r="H85" s="11" t="n">
        <v>250</v>
      </c>
      <c r="I85" s="3" t="inlineStr">
        <is>
          <t>LIBERADA</t>
        </is>
      </c>
      <c r="J85" s="3">
        <f>IF(tblEjecucion[[#This Row],[orden]]="","",tblEjecucion[[#This Row],[orden]]&amp;IF(tblEjecucion[[#This Row],[operacion]]="","0010",tblEjecucion[[#This Row],[operacion]]))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1" t="n">
        <v>60</v>
      </c>
      <c r="G86" s="11" t="n">
        <v>0</v>
      </c>
      <c r="H86" s="11" t="n">
        <v>150</v>
      </c>
      <c r="I86" s="3" t="inlineStr">
        <is>
          <t>LIBERADA</t>
        </is>
      </c>
      <c r="J86" s="3">
        <f>IF(tblEjecucion[[#This Row],[orden]]="","",tblEjecucion[[#This Row],[orden]]&amp;IF(tblEjecucion[[#This Row],[operacion]]="","0010",tblEjecucion[[#This Row],[operacion]]))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1" t="n">
        <v>112</v>
      </c>
      <c r="G87" s="11" t="n">
        <v>0</v>
      </c>
      <c r="H87" s="11" t="n">
        <v>280</v>
      </c>
      <c r="I87" s="3" t="inlineStr">
        <is>
          <t>LIBERADA</t>
        </is>
      </c>
      <c r="J87" s="3">
        <f>IF(tblEjecucion[[#This Row],[orden]]="","",tblEjecucion[[#This Row],[orden]]&amp;IF(tblEjecucion[[#This Row],[operacion]]="","0010",tblEjecucion[[#This Row],[operacion]]))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1" t="n">
        <v>80</v>
      </c>
      <c r="G88" s="11" t="n">
        <v>0</v>
      </c>
      <c r="H88" s="11" t="n">
        <v>200</v>
      </c>
      <c r="I88" s="3" t="inlineStr">
        <is>
          <t>LIBERADA</t>
        </is>
      </c>
      <c r="J88" s="3">
        <f>IF(tblEjecucion[[#This Row],[orden]]="","",tblEjecucion[[#This Row],[orden]]&amp;IF(tblEjecucion[[#This Row],[operacion]]="","0010",tblEjecucion[[#This Row],[operacion]]))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1" t="n">
        <v>60</v>
      </c>
      <c r="G89" s="11" t="n">
        <v>0</v>
      </c>
      <c r="H89" s="11" t="n">
        <v>150</v>
      </c>
      <c r="I89" s="3" t="inlineStr">
        <is>
          <t>LIBERADA</t>
        </is>
      </c>
      <c r="J89" s="3">
        <f>IF(tblEjecucion[[#This Row],[orden]]="","",tblEjecucion[[#This Row],[orden]]&amp;IF(tblEjecucion[[#This Row],[operacion]]="","0010",tblEjecucion[[#This Row],[operacion]]))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1" t="n">
        <v>100</v>
      </c>
      <c r="G90" s="11" t="n">
        <v>250</v>
      </c>
      <c r="H90" s="11" t="n">
        <v>250</v>
      </c>
      <c r="I90" s="3" t="inlineStr">
        <is>
          <t>CERRADA</t>
        </is>
      </c>
      <c r="J90" s="3">
        <f>IF(tblEjecucion[[#This Row],[orden]]="","",tblEjecucion[[#This Row],[orden]]&amp;IF(tblEjecucion[[#This Row],[operacion]]="","0010",tblEjecucion[[#This Row],[operacion]]))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EJEC</t>
        </is>
      </c>
      <c r="D91" s="3" t="inlineStr">
        <is>
          <t>3-BAJA</t>
        </is>
      </c>
      <c r="E91" s="3" t="inlineStr">
        <is>
          <t>PARADO</t>
        </is>
      </c>
      <c r="F91" s="11" t="n">
        <v>60</v>
      </c>
      <c r="G91" s="11" t="n">
        <v>0</v>
      </c>
      <c r="H91" s="11" t="n">
        <v>150</v>
      </c>
      <c r="I91" s="3" t="inlineStr">
        <is>
          <t>EN EJECUCION</t>
        </is>
      </c>
      <c r="J91" s="3">
        <f>IF(tblEjecucion[[#This Row],[orden]]="","",tblEjecucion[[#This Row],[orden]]&amp;IF(tblEjecucion[[#This Row],[operacion]]="","0010",tblEjecucion[[#This Row],[operacion]]))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1" t="n">
        <v>100</v>
      </c>
      <c r="G92" s="11" t="n">
        <v>0</v>
      </c>
      <c r="H92" s="11" t="n">
        <v>250</v>
      </c>
      <c r="I92" s="3" t="inlineStr">
        <is>
          <t>LIBERADA</t>
        </is>
      </c>
      <c r="J92" s="3">
        <f>IF(tblEjecucion[[#This Row],[orden]]="","",tblEjecucion[[#This Row],[orden]]&amp;IF(tblEjecucion[[#This Row],[operacion]]="","0010",tblEjecucion[[#This Row],[operacion]]))</f>
        <v/>
      </c>
    </row>
    <row r="93">
      <c r="A93" s="3" t="inlineStr">
        <is>
          <t>OT-000001</t>
        </is>
      </c>
      <c r="B93" s="3" t="inlineStr">
        <is>
          <t>0020</t>
        </is>
      </c>
      <c r="C93" s="3" t="inlineStr">
        <is>
          <t>CERR</t>
        </is>
      </c>
      <c r="D93" s="3" t="inlineStr">
        <is>
          <t>3-BAJA</t>
        </is>
      </c>
      <c r="E93" s="3" t="inlineStr">
        <is>
          <t>PARADO</t>
        </is>
      </c>
      <c r="F93" s="11" t="n">
        <v>20</v>
      </c>
      <c r="G93" s="11" t="n">
        <v>50</v>
      </c>
      <c r="H93" s="11" t="n">
        <v>50</v>
      </c>
      <c r="I93" s="3" t="inlineStr">
        <is>
          <t>CERRADA</t>
        </is>
      </c>
      <c r="J93" s="3">
        <f>IF(tblEjecucion[[#This Row],[orden]]="","",tblEjecucion[[#This Row],[orden]]&amp;IF(tblEjecucion[[#This Row],[operacion]]="","0010",tblEjecucion[[#This Row],[operacion]]))</f>
        <v/>
      </c>
    </row>
    <row r="94">
      <c r="A94" s="3" t="inlineStr">
        <is>
          <t>OT-000041</t>
        </is>
      </c>
      <c r="B94" s="3" t="inlineStr">
        <is>
          <t>0020</t>
        </is>
      </c>
      <c r="C94" s="3" t="inlineStr">
        <is>
          <t>LIB</t>
        </is>
      </c>
      <c r="D94" s="3" t="inlineStr">
        <is>
          <t>1-ALTA</t>
        </is>
      </c>
      <c r="E94" s="3" t="inlineStr">
        <is>
          <t>OPERATIVO</t>
        </is>
      </c>
      <c r="F94" s="11" t="n">
        <v>20</v>
      </c>
      <c r="G94" s="11" t="n">
        <v>0</v>
      </c>
      <c r="H94" s="11" t="n">
        <v>50</v>
      </c>
      <c r="I94" s="3" t="inlineStr">
        <is>
          <t>LIBERADA</t>
        </is>
      </c>
      <c r="J94" s="3">
        <f>IF(tblEjecucion[[#This Row],[orden]]="","",tblEjecucion[[#This Row],[orden]]&amp;IF(tblEjecucion[[#This Row],[operacion]]="","0010",tblEjecucion[[#This Row],[operacion]]))</f>
        <v/>
      </c>
    </row>
    <row r="95">
      <c r="A95" s="3" t="inlineStr">
        <is>
          <t>OT-000117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3-BAJA</t>
        </is>
      </c>
      <c r="E95" s="3" t="inlineStr">
        <is>
          <t>OPERATIVO</t>
        </is>
      </c>
      <c r="F95" s="11" t="n">
        <v>64</v>
      </c>
      <c r="G95" s="11" t="n">
        <v>0</v>
      </c>
      <c r="H95" s="11" t="n">
        <v>160</v>
      </c>
      <c r="I95" s="3" t="inlineStr">
        <is>
          <t>EN EJECUCION</t>
        </is>
      </c>
      <c r="J95" s="3">
        <f>IF(tblEjecucion[[#This Row],[orden]]="","",tblEjecucion[[#This Row],[orden]]&amp;IF(tblEjecucion[[#This Row],[operacion]]="","0010",tblEjecucion[[#This Row],[operacion]]))</f>
        <v/>
      </c>
    </row>
    <row r="96">
      <c r="A96" s="3" t="inlineStr">
        <is>
          <t>OT-000118</t>
        </is>
      </c>
      <c r="B96" s="3" t="inlineStr">
        <is>
          <t>0010</t>
        </is>
      </c>
      <c r="C96" s="3" t="inlineStr">
        <is>
          <t>ABIE</t>
        </is>
      </c>
      <c r="D96" s="3" t="inlineStr">
        <is>
          <t>1-ALTA</t>
        </is>
      </c>
      <c r="E96" s="3" t="inlineStr">
        <is>
          <t>PARADO</t>
        </is>
      </c>
      <c r="F96" s="11" t="n">
        <v>96</v>
      </c>
      <c r="G96" s="11" t="n">
        <v>0</v>
      </c>
      <c r="H96" s="11" t="n">
        <v>240</v>
      </c>
      <c r="I96" s="3" t="inlineStr">
        <is>
          <t>ABIERTA</t>
        </is>
      </c>
      <c r="J96" s="3">
        <f>IF(tblEjecucion[[#This Row],[orden]]="","",tblEjecucion[[#This Row],[orden]]&amp;IF(tblEjecucion[[#This Row],[operacion]]="","0010",tblEjecucion[[#This Row],[operacion]]))</f>
        <v/>
      </c>
    </row>
    <row r="97">
      <c r="A97" s="3" t="inlineStr">
        <is>
          <t>OT-000119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2-MEDIA</t>
        </is>
      </c>
      <c r="E97" s="3" t="inlineStr">
        <is>
          <t>OPERATIVO</t>
        </is>
      </c>
      <c r="F97" s="11" t="n">
        <v>128</v>
      </c>
      <c r="G97" s="11" t="n">
        <v>0</v>
      </c>
      <c r="H97" s="11" t="n">
        <v>320</v>
      </c>
      <c r="I97" s="3" t="inlineStr">
        <is>
          <t>EN EJECUCION</t>
        </is>
      </c>
      <c r="J97" s="3">
        <f>IF(tblEjecucion[[#This Row],[orden]]="","",tblEjecucion[[#This Row],[orden]]&amp;IF(tblEjecucion[[#This Row],[operacion]]="","0010",tblEjecucion[[#This Row],[operacion]]))</f>
        <v/>
      </c>
    </row>
    <row r="98">
      <c r="A98" s="3" t="inlineStr">
        <is>
          <t>OT-000120</t>
        </is>
      </c>
      <c r="B98" s="3" t="inlineStr">
        <is>
          <t>0010</t>
        </is>
      </c>
      <c r="C98" s="3" t="inlineStr">
        <is>
          <t>ABIE</t>
        </is>
      </c>
      <c r="D98" s="3" t="inlineStr">
        <is>
          <t>3-BAJA</t>
        </is>
      </c>
      <c r="E98" s="3" t="inlineStr">
        <is>
          <t>PARADO</t>
        </is>
      </c>
      <c r="F98" s="11" t="n">
        <v>40</v>
      </c>
      <c r="G98" s="11" t="n">
        <v>0</v>
      </c>
      <c r="H98" s="11" t="n">
        <v>100</v>
      </c>
      <c r="I98" s="3" t="inlineStr">
        <is>
          <t>ABIERTA</t>
        </is>
      </c>
      <c r="J98" s="3">
        <f>IF(tblEjecucion[[#This Row],[orden]]="","",tblEjecucion[[#This Row],[orden]]&amp;IF(tblEjecucion[[#This Row],[operacion]]="","0010",tblEjecucion[[#This Row],[operacion]]))</f>
        <v/>
      </c>
    </row>
    <row r="99">
      <c r="A99" s="3" t="inlineStr">
        <is>
          <t>OT-000121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1-ALTA</t>
        </is>
      </c>
      <c r="E99" s="3" t="inlineStr">
        <is>
          <t>OPERATIVO</t>
        </is>
      </c>
      <c r="F99" s="11" t="n">
        <v>96</v>
      </c>
      <c r="G99" s="11" t="n">
        <v>0</v>
      </c>
      <c r="H99" s="11" t="n">
        <v>240</v>
      </c>
      <c r="I99" s="3" t="inlineStr">
        <is>
          <t>EN EJECUCION</t>
        </is>
      </c>
      <c r="J99" s="3">
        <f>IF(tblEjecucion[[#This Row],[orden]]="","",tblEjecucion[[#This Row],[orden]]&amp;IF(tblEjecucion[[#This Row],[operacion]]="","0010",tblEjecucion[[#This Row],[operacion]]))</f>
        <v/>
      </c>
    </row>
    <row r="100">
      <c r="A100" s="3" t="inlineStr">
        <is>
          <t>OT-000122</t>
        </is>
      </c>
      <c r="B100" s="3" t="inlineStr">
        <is>
          <t>0010</t>
        </is>
      </c>
      <c r="C100" s="3" t="inlineStr">
        <is>
          <t>ABIE</t>
        </is>
      </c>
      <c r="D100" s="3" t="inlineStr">
        <is>
          <t>2-MEDIA</t>
        </is>
      </c>
      <c r="E100" s="3" t="inlineStr">
        <is>
          <t>PARADO</t>
        </is>
      </c>
      <c r="F100" s="11" t="n">
        <v>128</v>
      </c>
      <c r="G100" s="11" t="n">
        <v>0</v>
      </c>
      <c r="H100" s="11" t="n">
        <v>320</v>
      </c>
      <c r="I100" s="3" t="inlineStr">
        <is>
          <t>ABIERTA</t>
        </is>
      </c>
      <c r="J100" s="3">
        <f>IF(tblEjecucion[[#This Row],[orden]]="","",tblEjecucion[[#This Row],[orden]]&amp;IF(tblEjecucion[[#This Row],[operacion]]="","0010",tblEjecucion[[#This Row],[operacion]]))</f>
        <v/>
      </c>
    </row>
    <row r="101">
      <c r="A101" s="3" t="inlineStr">
        <is>
          <t>OT-000123</t>
        </is>
      </c>
      <c r="B101" s="3" t="inlineStr">
        <is>
          <t>0010</t>
        </is>
      </c>
      <c r="C101" s="3" t="inlineStr">
        <is>
          <t>EJEC</t>
        </is>
      </c>
      <c r="D101" s="3" t="inlineStr">
        <is>
          <t>3-BAJA</t>
        </is>
      </c>
      <c r="E101" s="3" t="inlineStr">
        <is>
          <t>OPERATIVO</t>
        </is>
      </c>
      <c r="F101" s="11" t="n">
        <v>64</v>
      </c>
      <c r="G101" s="11" t="n">
        <v>0</v>
      </c>
      <c r="H101" s="11" t="n">
        <v>160</v>
      </c>
      <c r="I101" s="3" t="inlineStr">
        <is>
          <t>EN EJECUCION</t>
        </is>
      </c>
      <c r="J101" s="3">
        <f>IF(tblEjecucion[[#This Row],[orden]]="","",tblEjecucion[[#This Row],[orden]]&amp;IF(tblEjecucion[[#This Row],[operacion]]="","0010",tblEjecucion[[#This Row],[operacion]]))</f>
        <v/>
      </c>
    </row>
    <row r="102">
      <c r="A102" s="3" t="inlineStr">
        <is>
          <t>OT-000124</t>
        </is>
      </c>
      <c r="B102" s="3" t="inlineStr">
        <is>
          <t>0010</t>
        </is>
      </c>
      <c r="C102" s="3" t="inlineStr">
        <is>
          <t>ABIE</t>
        </is>
      </c>
      <c r="D102" s="3" t="inlineStr">
        <is>
          <t>1-ALTA</t>
        </is>
      </c>
      <c r="E102" s="3" t="inlineStr">
        <is>
          <t>PARADO</t>
        </is>
      </c>
      <c r="F102" s="11" t="n">
        <v>60</v>
      </c>
      <c r="G102" s="11" t="n">
        <v>0</v>
      </c>
      <c r="H102" s="11" t="n">
        <v>150</v>
      </c>
      <c r="I102" s="3" t="inlineStr">
        <is>
          <t>ABIERTA</t>
        </is>
      </c>
      <c r="J102" s="3">
        <f>IF(tblEjecucion[[#This Row],[orden]]="","",tblEjecucion[[#This Row],[orden]]&amp;IF(tblEjecucion[[#This Row],[operacion]]="","0010",tblEjecucion[[#This Row],[operacion]]))</f>
        <v/>
      </c>
    </row>
    <row r="103">
      <c r="A103" s="3" t="inlineStr">
        <is>
          <t>OT-000125</t>
        </is>
      </c>
      <c r="B103" s="3" t="inlineStr">
        <is>
          <t>0010</t>
        </is>
      </c>
      <c r="C103" s="3" t="inlineStr">
        <is>
          <t>EJEC</t>
        </is>
      </c>
      <c r="D103" s="3" t="inlineStr">
        <is>
          <t>2-MEDIA</t>
        </is>
      </c>
      <c r="E103" s="3" t="inlineStr">
        <is>
          <t>OPERATIVO</t>
        </is>
      </c>
      <c r="F103" s="11" t="n">
        <v>64</v>
      </c>
      <c r="G103" s="11" t="n">
        <v>0</v>
      </c>
      <c r="H103" s="11" t="n">
        <v>160</v>
      </c>
      <c r="I103" s="3" t="inlineStr">
        <is>
          <t>EN EJECUCION</t>
        </is>
      </c>
      <c r="J103" s="3">
        <f>IF(tblEjecucion[[#This Row],[orden]]="","",tblEjecucion[[#This Row],[orden]]&amp;IF(tblEjecucion[[#This Row],[operacion]]="","0010",tblEjecucion[[#This Row],[operacion]]))</f>
        <v/>
      </c>
    </row>
    <row r="104">
      <c r="A104" s="3" t="inlineStr">
        <is>
          <t>OT-000126</t>
        </is>
      </c>
      <c r="B104" s="3" t="inlineStr">
        <is>
          <t>0010</t>
        </is>
      </c>
      <c r="C104" s="3" t="inlineStr">
        <is>
          <t>ABIE</t>
        </is>
      </c>
      <c r="D104" s="3" t="inlineStr">
        <is>
          <t>3-BAJA</t>
        </is>
      </c>
      <c r="E104" s="3" t="inlineStr">
        <is>
          <t>PARADO</t>
        </is>
      </c>
      <c r="F104" s="11" t="n">
        <v>96</v>
      </c>
      <c r="G104" s="11" t="n">
        <v>0</v>
      </c>
      <c r="H104" s="11" t="n">
        <v>240</v>
      </c>
      <c r="I104" s="3" t="inlineStr">
        <is>
          <t>ABIERTA</t>
        </is>
      </c>
      <c r="J104" s="3">
        <f>IF(tblEjecucion[[#This Row],[orden]]="","",tblEjecucion[[#This Row],[orden]]&amp;IF(tblEjecucion[[#This Row],[operacion]]="","0010",tblEjecucion[[#This Row],[operacion]]))</f>
        <v/>
      </c>
    </row>
    <row r="105">
      <c r="A105" s="3" t="inlineStr">
        <is>
          <t>OT-000127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1-ALTA</t>
        </is>
      </c>
      <c r="E105" s="3" t="inlineStr">
        <is>
          <t>OPERATIVO</t>
        </is>
      </c>
      <c r="F105" s="11" t="n">
        <v>128</v>
      </c>
      <c r="G105" s="11" t="n">
        <v>0</v>
      </c>
      <c r="H105" s="11" t="n">
        <v>320</v>
      </c>
      <c r="I105" s="3" t="inlineStr">
        <is>
          <t>EN EJECUCION</t>
        </is>
      </c>
      <c r="J105" s="3">
        <f>IF(tblEjecucion[[#This Row],[orden]]="","",tblEjecucion[[#This Row],[orden]]&amp;IF(tblEjecucion[[#This Row],[operacion]]="","0010",tblEjecucion[[#This Row],[operacion]]))</f>
        <v/>
      </c>
    </row>
    <row r="106">
      <c r="A106" s="3" t="inlineStr">
        <is>
          <t>OT-000128</t>
        </is>
      </c>
      <c r="B106" s="3" t="inlineStr">
        <is>
          <t>0010</t>
        </is>
      </c>
      <c r="C106" s="3" t="inlineStr">
        <is>
          <t>ABIE</t>
        </is>
      </c>
      <c r="D106" s="3" t="inlineStr">
        <is>
          <t>2-MEDIA</t>
        </is>
      </c>
      <c r="E106" s="3" t="inlineStr">
        <is>
          <t>PARADO</t>
        </is>
      </c>
      <c r="F106" s="11" t="n">
        <v>40</v>
      </c>
      <c r="G106" s="11" t="n">
        <v>0</v>
      </c>
      <c r="H106" s="11" t="n">
        <v>100</v>
      </c>
      <c r="I106" s="3" t="inlineStr">
        <is>
          <t>ABIERTA</t>
        </is>
      </c>
      <c r="J106" s="3">
        <f>IF(tblEjecucion[[#This Row],[orden]]="","",tblEjecucion[[#This Row],[orden]]&amp;IF(tblEjecucion[[#This Row],[operacion]]="","0010",tblEjecucion[[#This Row],[operacion]]))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EJEC</t>
        </is>
      </c>
      <c r="D107" s="3" t="inlineStr">
        <is>
          <t>3-BAJA</t>
        </is>
      </c>
      <c r="E107" s="3" t="inlineStr">
        <is>
          <t>OPERATIVO</t>
        </is>
      </c>
      <c r="F107" s="11" t="n">
        <v>96</v>
      </c>
      <c r="G107" s="11" t="n">
        <v>0</v>
      </c>
      <c r="H107" s="11" t="n">
        <v>240</v>
      </c>
      <c r="I107" s="3" t="inlineStr">
        <is>
          <t>EN EJECUCION</t>
        </is>
      </c>
      <c r="J107" s="3">
        <f>IF(tblEjecucion[[#This Row],[orden]]="","",tblEjecucion[[#This Row],[orden]]&amp;IF(tblEjecucion[[#This Row],[operacion]]="","0010",tblEjecucion[[#This Row],[operacion]]))</f>
        <v/>
      </c>
    </row>
    <row r="108">
      <c r="A108" s="3" t="inlineStr">
        <is>
          <t>OT-000130</t>
        </is>
      </c>
      <c r="B108" s="3" t="inlineStr">
        <is>
          <t>0010</t>
        </is>
      </c>
      <c r="C108" s="3" t="inlineStr">
        <is>
          <t>ABIE</t>
        </is>
      </c>
      <c r="D108" s="3" t="inlineStr">
        <is>
          <t>1-ALTA</t>
        </is>
      </c>
      <c r="E108" s="3" t="inlineStr">
        <is>
          <t>PARADO</t>
        </is>
      </c>
      <c r="F108" s="11" t="n">
        <v>128</v>
      </c>
      <c r="G108" s="11" t="n">
        <v>0</v>
      </c>
      <c r="H108" s="11" t="n">
        <v>320</v>
      </c>
      <c r="I108" s="3" t="inlineStr">
        <is>
          <t>ABIERTA</t>
        </is>
      </c>
      <c r="J108" s="3">
        <f>IF(tblEjecucion[[#This Row],[orden]]="","",tblEjecucion[[#This Row],[orden]]&amp;IF(tblEjecucion[[#This Row],[operacion]]="","0010",tblEjecucion[[#This Row],[operacion]]))</f>
        <v/>
      </c>
    </row>
    <row r="109">
      <c r="A109" s="3" t="inlineStr">
        <is>
          <t>OT-000131</t>
        </is>
      </c>
      <c r="B109" s="3" t="inlineStr">
        <is>
          <t>0010</t>
        </is>
      </c>
      <c r="C109" s="3" t="inlineStr">
        <is>
          <t>EJEC</t>
        </is>
      </c>
      <c r="D109" s="3" t="inlineStr">
        <is>
          <t>2-MEDIA</t>
        </is>
      </c>
      <c r="E109" s="3" t="inlineStr">
        <is>
          <t>OPERATIVO</t>
        </is>
      </c>
      <c r="F109" s="11" t="n">
        <v>64</v>
      </c>
      <c r="G109" s="11" t="n">
        <v>0</v>
      </c>
      <c r="H109" s="11" t="n">
        <v>160</v>
      </c>
      <c r="I109" s="3" t="inlineStr">
        <is>
          <t>EN EJECUCION</t>
        </is>
      </c>
      <c r="J109" s="3">
        <f>IF(tblEjecucion[[#This Row],[orden]]="","",tblEjecucion[[#This Row],[orden]]&amp;IF(tblEjecucion[[#This Row],[operacion]]="","0010",tblEjecucion[[#This Row],[operacion]]))</f>
        <v/>
      </c>
    </row>
    <row r="110">
      <c r="A110" s="3" t="inlineStr">
        <is>
          <t>OT-000132</t>
        </is>
      </c>
      <c r="B110" s="3" t="inlineStr">
        <is>
          <t>0010</t>
        </is>
      </c>
      <c r="C110" s="3" t="inlineStr">
        <is>
          <t>ABIE</t>
        </is>
      </c>
      <c r="D110" s="3" t="inlineStr">
        <is>
          <t>3-BAJA</t>
        </is>
      </c>
      <c r="E110" s="3" t="inlineStr">
        <is>
          <t>PARADO</t>
        </is>
      </c>
      <c r="F110" s="11" t="n">
        <v>96</v>
      </c>
      <c r="G110" s="11" t="n">
        <v>0</v>
      </c>
      <c r="H110" s="11" t="n">
        <v>240</v>
      </c>
      <c r="I110" s="3" t="inlineStr">
        <is>
          <t>ABIERTA</t>
        </is>
      </c>
      <c r="J110" s="3">
        <f>IF(tblEjecucion[[#This Row],[orden]]="","",tblEjecucion[[#This Row],[orden]]&amp;IF(tblEjecucion[[#This Row],[operacion]]="","0010",tblEjecucion[[#This Row],[operacion]]))</f>
        <v/>
      </c>
    </row>
    <row r="111">
      <c r="A111" s="3" t="inlineStr">
        <is>
          <t>OT-000133</t>
        </is>
      </c>
      <c r="B111" s="3" t="inlineStr">
        <is>
          <t>0010</t>
        </is>
      </c>
      <c r="C111" s="3" t="inlineStr">
        <is>
          <t>EJEC</t>
        </is>
      </c>
      <c r="D111" s="3" t="inlineStr">
        <is>
          <t>1-ALTA</t>
        </is>
      </c>
      <c r="E111" s="3" t="inlineStr">
        <is>
          <t>OPERATIVO</t>
        </is>
      </c>
      <c r="F111" s="11" t="n">
        <v>128</v>
      </c>
      <c r="G111" s="11" t="n">
        <v>0</v>
      </c>
      <c r="H111" s="11" t="n">
        <v>320</v>
      </c>
      <c r="I111" s="3" t="inlineStr">
        <is>
          <t>EN EJECUCION</t>
        </is>
      </c>
      <c r="J111" s="3">
        <f>IF(tblEjecucion[[#This Row],[orden]]="","",tblEjecucion[[#This Row],[orden]]&amp;IF(tblEjecucion[[#This Row],[operacion]]="","0010",tblEjecucion[[#This Row],[operacion]]))</f>
        <v/>
      </c>
    </row>
    <row r="112">
      <c r="A112" s="3" t="inlineStr">
        <is>
          <t>OT-000134</t>
        </is>
      </c>
      <c r="B112" s="3" t="inlineStr">
        <is>
          <t>0010</t>
        </is>
      </c>
      <c r="C112" s="3" t="inlineStr">
        <is>
          <t>ABIE</t>
        </is>
      </c>
      <c r="D112" s="3" t="inlineStr">
        <is>
          <t>2-MEDIA</t>
        </is>
      </c>
      <c r="E112" s="3" t="inlineStr">
        <is>
          <t>PARADO</t>
        </is>
      </c>
      <c r="F112" s="11" t="n">
        <v>40</v>
      </c>
      <c r="G112" s="11" t="n">
        <v>0</v>
      </c>
      <c r="H112" s="11" t="n">
        <v>100</v>
      </c>
      <c r="I112" s="3" t="inlineStr">
        <is>
          <t>ABIERTA</t>
        </is>
      </c>
      <c r="J112" s="3">
        <f>IF(tblEjecucion[[#This Row],[orden]]="","",tblEjecucion[[#This Row],[orden]]&amp;IF(tblEjecucion[[#This Row],[operacion]]="","0010",tblEjecucion[[#This Row],[operacion]]))</f>
        <v/>
      </c>
    </row>
    <row r="113">
      <c r="A113" s="3" t="inlineStr">
        <is>
          <t>OT-000135</t>
        </is>
      </c>
      <c r="B113" s="3" t="inlineStr">
        <is>
          <t>0010</t>
        </is>
      </c>
      <c r="C113" s="3" t="inlineStr">
        <is>
          <t>EJEC</t>
        </is>
      </c>
      <c r="D113" s="3" t="inlineStr">
        <is>
          <t>3-BAJA</t>
        </is>
      </c>
      <c r="E113" s="3" t="inlineStr">
        <is>
          <t>OPERATIVO</t>
        </is>
      </c>
      <c r="F113" s="11" t="n">
        <v>96</v>
      </c>
      <c r="G113" s="11" t="n">
        <v>0</v>
      </c>
      <c r="H113" s="11" t="n">
        <v>240</v>
      </c>
      <c r="I113" s="3" t="inlineStr">
        <is>
          <t>EN EJECUCION</t>
        </is>
      </c>
      <c r="J113" s="3">
        <f>IF(tblEjecucion[[#This Row],[orden]]="","",tblEjecucion[[#This Row],[orden]]&amp;IF(tblEjecucion[[#This Row],[operacion]]="","0010",tblEjecucion[[#This Row],[operacion]]))</f>
        <v/>
      </c>
    </row>
    <row r="114">
      <c r="A114" s="3" t="inlineStr">
        <is>
          <t>OT-000136</t>
        </is>
      </c>
      <c r="B114" s="3" t="inlineStr">
        <is>
          <t>0010</t>
        </is>
      </c>
      <c r="C114" s="3" t="inlineStr">
        <is>
          <t>ABIE</t>
        </is>
      </c>
      <c r="D114" s="3" t="inlineStr">
        <is>
          <t>1-ALTA</t>
        </is>
      </c>
      <c r="E114" s="3" t="inlineStr">
        <is>
          <t>PARADO</t>
        </is>
      </c>
      <c r="F114" s="11" t="n">
        <v>128</v>
      </c>
      <c r="G114" s="11" t="n">
        <v>0</v>
      </c>
      <c r="H114" s="11" t="n">
        <v>320</v>
      </c>
      <c r="I114" s="3" t="inlineStr">
        <is>
          <t>ABIERTA</t>
        </is>
      </c>
      <c r="J114" s="3">
        <f>IF(tblEjecucion[[#This Row],[orden]]="","",tblEjecucion[[#This Row],[orden]]&amp;IF(tblEjecucion[[#This Row],[operacion]]="","0010",tblEjecucion[[#This Row],[operacion]]))</f>
        <v/>
      </c>
    </row>
    <row r="115">
      <c r="A115" s="3" t="inlineStr">
        <is>
          <t>OT-000137</t>
        </is>
      </c>
      <c r="B115" s="3" t="inlineStr">
        <is>
          <t>0010</t>
        </is>
      </c>
      <c r="C115" s="3" t="inlineStr">
        <is>
          <t>EJEC</t>
        </is>
      </c>
      <c r="D115" s="3" t="inlineStr">
        <is>
          <t>2-MEDIA</t>
        </is>
      </c>
      <c r="E115" s="3" t="inlineStr">
        <is>
          <t>OPERATIVO</t>
        </is>
      </c>
      <c r="F115" s="11" t="n">
        <v>64</v>
      </c>
      <c r="G115" s="11" t="n">
        <v>0</v>
      </c>
      <c r="H115" s="11" t="n">
        <v>160</v>
      </c>
      <c r="I115" s="3" t="inlineStr">
        <is>
          <t>EN EJECUCION</t>
        </is>
      </c>
      <c r="J115" s="3">
        <f>IF(tblEjecucion[[#This Row],[orden]]="","",tblEjecucion[[#This Row],[orden]]&amp;IF(tblEjecucion[[#This Row],[operacion]]="","0010",tblEjecucion[[#This Row],[operacion]]))</f>
        <v/>
      </c>
    </row>
    <row r="116">
      <c r="A116" s="3" t="inlineStr">
        <is>
          <t>OT-000138</t>
        </is>
      </c>
      <c r="B116" s="3" t="inlineStr">
        <is>
          <t>0010</t>
        </is>
      </c>
      <c r="C116" s="3" t="inlineStr">
        <is>
          <t>ABIE</t>
        </is>
      </c>
      <c r="D116" s="3" t="inlineStr">
        <is>
          <t>3-BAJA</t>
        </is>
      </c>
      <c r="E116" s="3" t="inlineStr">
        <is>
          <t>PARADO</t>
        </is>
      </c>
      <c r="F116" s="11" t="n">
        <v>96</v>
      </c>
      <c r="G116" s="11" t="n">
        <v>0</v>
      </c>
      <c r="H116" s="11" t="n">
        <v>240</v>
      </c>
      <c r="I116" s="3" t="inlineStr">
        <is>
          <t>ABIERTA</t>
        </is>
      </c>
      <c r="J116" s="3">
        <f>IF(tblEjecucion[[#This Row],[orden]]="","",tblEjecucion[[#This Row],[orden]]&amp;IF(tblEjecucion[[#This Row],[operacion]]="","0010",tblEjecucion[[#This Row],[operacion]]))</f>
        <v/>
      </c>
    </row>
    <row r="117">
      <c r="A117" s="3" t="inlineStr">
        <is>
          <t>OT-000139</t>
        </is>
      </c>
      <c r="B117" s="3" t="inlineStr">
        <is>
          <t>0010</t>
        </is>
      </c>
      <c r="C117" s="3" t="inlineStr">
        <is>
          <t>EJEC</t>
        </is>
      </c>
      <c r="D117" s="3" t="inlineStr">
        <is>
          <t>1-ALTA</t>
        </is>
      </c>
      <c r="E117" s="3" t="inlineStr">
        <is>
          <t>OPERATIVO</t>
        </is>
      </c>
      <c r="F117" s="11" t="n">
        <v>128</v>
      </c>
      <c r="G117" s="11" t="n">
        <v>0</v>
      </c>
      <c r="H117" s="11" t="n">
        <v>320</v>
      </c>
      <c r="I117" s="3" t="inlineStr">
        <is>
          <t>EN EJECUCION</t>
        </is>
      </c>
      <c r="J117" s="3">
        <f>IF(tblEjecucion[[#This Row],[orden]]="","",tblEjecucion[[#This Row],[orden]]&amp;IF(tblEjecucion[[#This Row],[operacion]]="","0010",tblEjecucion[[#This Row],[operacion]]))</f>
        <v/>
      </c>
    </row>
    <row r="118">
      <c r="A118" s="3" t="inlineStr">
        <is>
          <t>OT-000140</t>
        </is>
      </c>
      <c r="B118" s="3" t="inlineStr">
        <is>
          <t>0010</t>
        </is>
      </c>
      <c r="C118" s="3" t="inlineStr">
        <is>
          <t>ABIE</t>
        </is>
      </c>
      <c r="D118" s="3" t="inlineStr">
        <is>
          <t>2-MEDIA</t>
        </is>
      </c>
      <c r="E118" s="3" t="inlineStr">
        <is>
          <t>PARADO</t>
        </is>
      </c>
      <c r="F118" s="11" t="n">
        <v>40</v>
      </c>
      <c r="G118" s="11" t="n">
        <v>0</v>
      </c>
      <c r="H118" s="11" t="n">
        <v>100</v>
      </c>
      <c r="I118" s="3" t="inlineStr">
        <is>
          <t>ABIERTA</t>
        </is>
      </c>
      <c r="J118" s="3">
        <f>IF(tblEjecucion[[#This Row],[orden]]="","",tblEjecucion[[#This Row],[orden]]&amp;IF(tblEjecucion[[#This Row],[operacion]]="","0010",tblEjecucion[[#This Row],[operacion]]))</f>
        <v/>
      </c>
    </row>
    <row r="119">
      <c r="A119" s="3" t="inlineStr">
        <is>
          <t>OT-000141</t>
        </is>
      </c>
      <c r="B119" s="3" t="inlineStr">
        <is>
          <t>0010</t>
        </is>
      </c>
      <c r="C119" s="3" t="inlineStr">
        <is>
          <t>EJEC</t>
        </is>
      </c>
      <c r="D119" s="3" t="inlineStr">
        <is>
          <t>3-BAJA</t>
        </is>
      </c>
      <c r="E119" s="3" t="inlineStr">
        <is>
          <t>OPERATIVO</t>
        </is>
      </c>
      <c r="F119" s="11" t="n">
        <v>64</v>
      </c>
      <c r="G119" s="11" t="n">
        <v>0</v>
      </c>
      <c r="H119" s="11" t="n">
        <v>160</v>
      </c>
      <c r="I119" s="3" t="inlineStr">
        <is>
          <t>EN EJECUCION</t>
        </is>
      </c>
      <c r="J119" s="3">
        <f>IF(tblEjecucion[[#This Row],[orden]]="","",tblEjecucion[[#This Row],[orden]]&amp;IF(tblEjecucion[[#This Row],[operacion]]="","0010",tblEjecucion[[#This Row],[operacion]]))</f>
        <v/>
      </c>
    </row>
    <row r="120">
      <c r="A120" s="3" t="inlineStr">
        <is>
          <t>OT-000142</t>
        </is>
      </c>
      <c r="B120" s="3" t="inlineStr">
        <is>
          <t>0010</t>
        </is>
      </c>
      <c r="C120" s="3" t="inlineStr">
        <is>
          <t>ABIE</t>
        </is>
      </c>
      <c r="D120" s="3" t="inlineStr">
        <is>
          <t>1-ALTA</t>
        </is>
      </c>
      <c r="E120" s="3" t="inlineStr">
        <is>
          <t>PARADO</t>
        </is>
      </c>
      <c r="F120" s="11" t="n">
        <v>96</v>
      </c>
      <c r="G120" s="11" t="n">
        <v>0</v>
      </c>
      <c r="H120" s="11" t="n">
        <v>240</v>
      </c>
      <c r="I120" s="3" t="inlineStr">
        <is>
          <t>ABIERTA</t>
        </is>
      </c>
      <c r="J120" s="3">
        <f>IF(tblEjecucion[[#This Row],[orden]]="","",tblEjecucion[[#This Row],[orden]]&amp;IF(tblEjecucion[[#This Row],[operacion]]="","0010",tblEjecucion[[#This Row],[operacion]]))</f>
        <v/>
      </c>
    </row>
    <row r="121">
      <c r="A121" s="3" t="inlineStr">
        <is>
          <t>OT-000143</t>
        </is>
      </c>
      <c r="B121" s="3" t="inlineStr">
        <is>
          <t>0010</t>
        </is>
      </c>
      <c r="C121" s="3" t="inlineStr">
        <is>
          <t>EJEC</t>
        </is>
      </c>
      <c r="D121" s="3" t="inlineStr">
        <is>
          <t>2-MEDIA</t>
        </is>
      </c>
      <c r="E121" s="3" t="inlineStr">
        <is>
          <t>OPERATIVO</t>
        </is>
      </c>
      <c r="F121" s="11" t="n">
        <v>128</v>
      </c>
      <c r="G121" s="11" t="n">
        <v>0</v>
      </c>
      <c r="H121" s="11" t="n">
        <v>320</v>
      </c>
      <c r="I121" s="3" t="inlineStr">
        <is>
          <t>EN EJECUCION</t>
        </is>
      </c>
      <c r="J121" s="3">
        <f>IF(tblEjecucion[[#This Row],[orden]]="","",tblEjecucion[[#This Row],[orden]]&amp;IF(tblEjecucion[[#This Row],[operacion]]="","0010",tblEjecucion[[#This Row],[operacion]]))</f>
        <v/>
      </c>
    </row>
    <row r="122">
      <c r="A122" s="3" t="inlineStr">
        <is>
          <t>OT-000144</t>
        </is>
      </c>
      <c r="B122" s="3" t="inlineStr">
        <is>
          <t>0010</t>
        </is>
      </c>
      <c r="C122" s="3" t="inlineStr">
        <is>
          <t>ABIE</t>
        </is>
      </c>
      <c r="D122" s="3" t="inlineStr">
        <is>
          <t>3-BAJA</t>
        </is>
      </c>
      <c r="E122" s="3" t="inlineStr">
        <is>
          <t>PARADO</t>
        </is>
      </c>
      <c r="F122" s="11" t="n">
        <v>40</v>
      </c>
      <c r="G122" s="11" t="n">
        <v>0</v>
      </c>
      <c r="H122" s="11" t="n">
        <v>100</v>
      </c>
      <c r="I122" s="3" t="inlineStr">
        <is>
          <t>ABIERTA</t>
        </is>
      </c>
      <c r="J122" s="3">
        <f>IF(tblEjecucion[[#This Row],[orden]]="","",tblEjecucion[[#This Row],[orden]]&amp;IF(tblEjecucion[[#This Row],[operacion]]="","0010",tblEjecucion[[#This Row],[operacion]]))</f>
        <v/>
      </c>
    </row>
    <row r="123">
      <c r="A123" s="3" t="inlineStr">
        <is>
          <t>OT-000145</t>
        </is>
      </c>
      <c r="B123" s="3" t="inlineStr">
        <is>
          <t>0010</t>
        </is>
      </c>
      <c r="C123" s="3" t="inlineStr">
        <is>
          <t>CERR</t>
        </is>
      </c>
      <c r="D123" s="3" t="inlineStr">
        <is>
          <t>1-ALTA</t>
        </is>
      </c>
      <c r="E123" s="3" t="inlineStr">
        <is>
          <t>OPERATIVO</t>
        </is>
      </c>
      <c r="F123" s="11" t="n">
        <v>40</v>
      </c>
      <c r="G123" s="11" t="n">
        <v>100</v>
      </c>
      <c r="H123" s="11" t="n">
        <v>100</v>
      </c>
      <c r="I123" s="3" t="inlineStr">
        <is>
          <t>CERRADA</t>
        </is>
      </c>
      <c r="J123" s="3">
        <f>IF(tblEjecucion[[#This Row],[orden]]="","",tblEjecucion[[#This Row],[orden]]&amp;IF(tblEjecucion[[#This Row],[operacion]]="","0010",tblEjecucion[[#This Row],[operacion]]))</f>
        <v/>
      </c>
    </row>
    <row r="124">
      <c r="A124" s="3" t="inlineStr">
        <is>
          <t>OT-000146</t>
        </is>
      </c>
      <c r="B124" s="3" t="inlineStr">
        <is>
          <t>0010</t>
        </is>
      </c>
      <c r="C124" s="3" t="inlineStr">
        <is>
          <t>CERR</t>
        </is>
      </c>
      <c r="D124" s="3" t="inlineStr">
        <is>
          <t>2-MEDIA</t>
        </is>
      </c>
      <c r="E124" s="3" t="inlineStr">
        <is>
          <t>PARADO</t>
        </is>
      </c>
      <c r="F124" s="11" t="n">
        <v>96</v>
      </c>
      <c r="G124" s="11" t="n">
        <v>240</v>
      </c>
      <c r="H124" s="11" t="n">
        <v>240</v>
      </c>
      <c r="I124" s="3" t="inlineStr">
        <is>
          <t>CERRADA</t>
        </is>
      </c>
      <c r="J124" s="3">
        <f>IF(tblEjecucion[[#This Row],[orden]]="","",tblEjecucion[[#This Row],[orden]]&amp;IF(tblEjecucion[[#This Row],[operacion]]="","0010",tblEjecucion[[#This Row],[operacion]]))</f>
        <v/>
      </c>
    </row>
    <row r="125">
      <c r="A125" s="3" t="inlineStr">
        <is>
          <t>OT-000147</t>
        </is>
      </c>
      <c r="B125" s="3" t="inlineStr">
        <is>
          <t>0010</t>
        </is>
      </c>
      <c r="C125" s="3" t="inlineStr">
        <is>
          <t>CERR</t>
        </is>
      </c>
      <c r="D125" s="3" t="inlineStr">
        <is>
          <t>3-BAJA</t>
        </is>
      </c>
      <c r="E125" s="3" t="inlineStr">
        <is>
          <t>OPERATIVO</t>
        </is>
      </c>
      <c r="F125" s="11" t="n">
        <v>80</v>
      </c>
      <c r="G125" s="11" t="n">
        <v>200</v>
      </c>
      <c r="H125" s="11" t="n">
        <v>200</v>
      </c>
      <c r="I125" s="3" t="inlineStr">
        <is>
          <t>CERRADA</t>
        </is>
      </c>
      <c r="J125" s="3">
        <f>IF(tblEjecucion[[#This Row],[orden]]="","",tblEjecucion[[#This Row],[orden]]&amp;IF(tblEjecucion[[#This Row],[operacion]]="","0010",tblEjecucion[[#This Row],[operacion]]))</f>
        <v/>
      </c>
    </row>
    <row r="126">
      <c r="A126" s="3" t="inlineStr">
        <is>
          <t>OT-000148</t>
        </is>
      </c>
      <c r="B126" s="3" t="inlineStr">
        <is>
          <t>0010</t>
        </is>
      </c>
      <c r="C126" s="3" t="inlineStr">
        <is>
          <t>CERR</t>
        </is>
      </c>
      <c r="D126" s="3" t="inlineStr">
        <is>
          <t>1-ALTA</t>
        </is>
      </c>
      <c r="E126" s="3" t="inlineStr">
        <is>
          <t>PARADO</t>
        </is>
      </c>
      <c r="F126" s="11" t="n">
        <v>260</v>
      </c>
      <c r="G126" s="11" t="n">
        <v>160</v>
      </c>
      <c r="H126" s="11" t="n">
        <v>160</v>
      </c>
      <c r="I126" s="3" t="inlineStr">
        <is>
          <t>CERRADA</t>
        </is>
      </c>
      <c r="J126" s="3">
        <f>IF(tblEjecucion[[#This Row],[orden]]="","",tblEjecucion[[#This Row],[orden]]&amp;IF(tblEjecucion[[#This Row],[operacion]]="","0010",tblEjecucion[[#This Row],[operacion]]))</f>
        <v/>
      </c>
    </row>
    <row r="127">
      <c r="A127" s="3" t="inlineStr">
        <is>
          <t>OT-000149</t>
        </is>
      </c>
      <c r="B127" s="3" t="inlineStr">
        <is>
          <t>0010</t>
        </is>
      </c>
      <c r="C127" s="3" t="inlineStr">
        <is>
          <t>CERR</t>
        </is>
      </c>
      <c r="D127" s="3" t="inlineStr">
        <is>
          <t>2-MEDIA</t>
        </is>
      </c>
      <c r="E127" s="3" t="inlineStr">
        <is>
          <t>OPERATIVO</t>
        </is>
      </c>
      <c r="F127" s="11" t="n">
        <v>60</v>
      </c>
      <c r="G127" s="11" t="n">
        <v>150</v>
      </c>
      <c r="H127" s="11" t="n">
        <v>150</v>
      </c>
      <c r="I127" s="3" t="inlineStr">
        <is>
          <t>CERRADA</t>
        </is>
      </c>
      <c r="J127" s="3">
        <f>IF(tblEjecucion[[#This Row],[orden]]="","",tblEjecucion[[#This Row],[orden]]&amp;IF(tblEjecucion[[#This Row],[operacion]]="","0010",tblEjecucion[[#This Row],[operacion]]))</f>
        <v/>
      </c>
    </row>
    <row r="128">
      <c r="A128" s="3" t="inlineStr">
        <is>
          <t>OT-000150</t>
        </is>
      </c>
      <c r="B128" s="3" t="inlineStr">
        <is>
          <t>0010</t>
        </is>
      </c>
      <c r="C128" s="3" t="inlineStr">
        <is>
          <t>CERR</t>
        </is>
      </c>
      <c r="D128" s="3" t="inlineStr">
        <is>
          <t>3-BAJA</t>
        </is>
      </c>
      <c r="E128" s="3" t="inlineStr">
        <is>
          <t>PARADO</t>
        </is>
      </c>
      <c r="F128" s="11" t="n">
        <v>128</v>
      </c>
      <c r="G128" s="11" t="n">
        <v>320</v>
      </c>
      <c r="H128" s="11" t="n">
        <v>320</v>
      </c>
      <c r="I128" s="3" t="inlineStr">
        <is>
          <t>CERRADA</t>
        </is>
      </c>
      <c r="J128" s="3">
        <f>IF(tblEjecucion[[#This Row],[orden]]="","",tblEjecucion[[#This Row],[orden]]&amp;IF(tblEjecucion[[#This Row],[operacion]]="","0010",tblEjecucion[[#This Row],[operacion]]))</f>
        <v/>
      </c>
    </row>
    <row r="129">
      <c r="A129" s="3" t="inlineStr">
        <is>
          <t>OT-000151</t>
        </is>
      </c>
      <c r="B129" s="3" t="inlineStr">
        <is>
          <t>0010</t>
        </is>
      </c>
      <c r="C129" s="3" t="inlineStr">
        <is>
          <t>CERR</t>
        </is>
      </c>
      <c r="D129" s="3" t="inlineStr">
        <is>
          <t>1-ALTA</t>
        </is>
      </c>
      <c r="E129" s="3" t="inlineStr">
        <is>
          <t>OPERATIVO</t>
        </is>
      </c>
      <c r="F129" s="11" t="n">
        <v>40</v>
      </c>
      <c r="G129" s="11" t="n">
        <v>100</v>
      </c>
      <c r="H129" s="11" t="n">
        <v>100</v>
      </c>
      <c r="I129" s="3" t="inlineStr">
        <is>
          <t>CERRADA</t>
        </is>
      </c>
      <c r="J129" s="3">
        <f>IF(tblEjecucion[[#This Row],[orden]]="","",tblEjecucion[[#This Row],[orden]]&amp;IF(tblEjecucion[[#This Row],[operacion]]="","0010",tblEjecucion[[#This Row],[operacion]]))</f>
        <v/>
      </c>
    </row>
    <row r="130">
      <c r="A130" s="3" t="inlineStr">
        <is>
          <t>OT-000152</t>
        </is>
      </c>
      <c r="B130" s="3" t="inlineStr">
        <is>
          <t>0010</t>
        </is>
      </c>
      <c r="C130" s="3" t="inlineStr">
        <is>
          <t>CERR</t>
        </is>
      </c>
      <c r="D130" s="3" t="inlineStr">
        <is>
          <t>2-MEDIA</t>
        </is>
      </c>
      <c r="E130" s="3" t="inlineStr">
        <is>
          <t>PARADO</t>
        </is>
      </c>
      <c r="F130" s="11" t="n">
        <v>96</v>
      </c>
      <c r="G130" s="11" t="n">
        <v>240</v>
      </c>
      <c r="H130" s="11" t="n">
        <v>240</v>
      </c>
      <c r="I130" s="3" t="inlineStr">
        <is>
          <t>CERRADA</t>
        </is>
      </c>
      <c r="J130" s="3">
        <f>IF(tblEjecucion[[#This Row],[orden]]="","",tblEjecucion[[#This Row],[orden]]&amp;IF(tblEjecucion[[#This Row],[operacion]]="","0010",tblEjecucion[[#This Row],[operacion]]))</f>
        <v/>
      </c>
    </row>
    <row r="131">
      <c r="A131" s="3" t="inlineStr">
        <is>
          <t>OT-000153</t>
        </is>
      </c>
      <c r="B131" s="3" t="inlineStr">
        <is>
          <t>0010</t>
        </is>
      </c>
      <c r="C131" s="3" t="inlineStr">
        <is>
          <t>CERR</t>
        </is>
      </c>
      <c r="D131" s="3" t="inlineStr">
        <is>
          <t>3-BAJA</t>
        </is>
      </c>
      <c r="E131" s="3" t="inlineStr">
        <is>
          <t>OPERATIVO</t>
        </is>
      </c>
      <c r="F131" s="11" t="n">
        <v>80</v>
      </c>
      <c r="G131" s="11" t="n">
        <v>200</v>
      </c>
      <c r="H131" s="11" t="n">
        <v>200</v>
      </c>
      <c r="I131" s="3" t="inlineStr">
        <is>
          <t>CERRADA</t>
        </is>
      </c>
      <c r="J131" s="3">
        <f>IF(tblEjecucion[[#This Row],[orden]]="","",tblEjecucion[[#This Row],[orden]]&amp;IF(tblEjecucion[[#This Row],[operacion]]="","0010",tblEjecucion[[#This Row],[operacion]]))</f>
        <v/>
      </c>
    </row>
    <row r="132">
      <c r="A132" s="3" t="inlineStr">
        <is>
          <t>OT-000154</t>
        </is>
      </c>
      <c r="B132" s="3" t="inlineStr">
        <is>
          <t>0010</t>
        </is>
      </c>
      <c r="C132" s="3" t="inlineStr">
        <is>
          <t>CERR</t>
        </is>
      </c>
      <c r="D132" s="3" t="inlineStr">
        <is>
          <t>1-ALTA</t>
        </is>
      </c>
      <c r="E132" s="3" t="inlineStr">
        <is>
          <t>PARADO</t>
        </is>
      </c>
      <c r="F132" s="11" t="n">
        <v>64</v>
      </c>
      <c r="G132" s="11" t="n">
        <v>160</v>
      </c>
      <c r="H132" s="11" t="n">
        <v>160</v>
      </c>
      <c r="I132" s="3" t="inlineStr">
        <is>
          <t>CERRADA</t>
        </is>
      </c>
      <c r="J132" s="3">
        <f>IF(tblEjecucion[[#This Row],[orden]]="","",tblEjecucion[[#This Row],[orden]]&amp;IF(tblEjecucion[[#This Row],[operacion]]="","0010",tblEjecucion[[#This Row],[operacion]]))</f>
        <v/>
      </c>
    </row>
    <row r="133">
      <c r="A133" s="3" t="inlineStr">
        <is>
          <t>OT-000155</t>
        </is>
      </c>
      <c r="B133" s="3" t="inlineStr">
        <is>
          <t>0010</t>
        </is>
      </c>
      <c r="C133" s="3" t="inlineStr">
        <is>
          <t>CERR</t>
        </is>
      </c>
      <c r="D133" s="3" t="inlineStr">
        <is>
          <t>2-MEDIA</t>
        </is>
      </c>
      <c r="E133" s="3" t="inlineStr">
        <is>
          <t>OPERATIVO</t>
        </is>
      </c>
      <c r="F133" s="11" t="n">
        <v>250</v>
      </c>
      <c r="G133" s="11" t="n">
        <v>150</v>
      </c>
      <c r="H133" s="11" t="n">
        <v>150</v>
      </c>
      <c r="I133" s="3" t="inlineStr">
        <is>
          <t>CERRADA</t>
        </is>
      </c>
      <c r="J133" s="3">
        <f>IF(tblEjecucion[[#This Row],[orden]]="","",tblEjecucion[[#This Row],[orden]]&amp;IF(tblEjecucion[[#This Row],[operacion]]="","0010",tblEjecucion[[#This Row],[operacion]]))</f>
        <v/>
      </c>
    </row>
    <row r="134">
      <c r="A134" s="3" t="inlineStr">
        <is>
          <t>OT-000156</t>
        </is>
      </c>
      <c r="B134" s="3" t="inlineStr">
        <is>
          <t>0010</t>
        </is>
      </c>
      <c r="C134" s="3" t="inlineStr">
        <is>
          <t>CERR</t>
        </is>
      </c>
      <c r="D134" s="3" t="inlineStr">
        <is>
          <t>3-BAJA</t>
        </is>
      </c>
      <c r="E134" s="3" t="inlineStr">
        <is>
          <t>PARADO</t>
        </is>
      </c>
      <c r="F134" s="11" t="n">
        <v>128</v>
      </c>
      <c r="G134" s="11" t="n">
        <v>320</v>
      </c>
      <c r="H134" s="11" t="n">
        <v>320</v>
      </c>
      <c r="I134" s="3" t="inlineStr">
        <is>
          <t>CERRADA</t>
        </is>
      </c>
      <c r="J134" s="3">
        <f>IF(tblEjecucion[[#This Row],[orden]]="","",tblEjecucion[[#This Row],[orden]]&amp;IF(tblEjecucion[[#This Row],[operacion]]="","0010",tblEjecucion[[#This Row],[operacion]]))</f>
        <v/>
      </c>
    </row>
    <row r="135">
      <c r="A135" s="3" t="inlineStr">
        <is>
          <t>OT-000157</t>
        </is>
      </c>
      <c r="B135" s="3" t="inlineStr">
        <is>
          <t>0010</t>
        </is>
      </c>
      <c r="C135" s="3" t="inlineStr">
        <is>
          <t>CERR</t>
        </is>
      </c>
      <c r="D135" s="3" t="inlineStr">
        <is>
          <t>1-ALTA</t>
        </is>
      </c>
      <c r="E135" s="3" t="inlineStr">
        <is>
          <t>OPERATIVO</t>
        </is>
      </c>
      <c r="F135" s="11" t="n">
        <v>40</v>
      </c>
      <c r="G135" s="11" t="n">
        <v>100</v>
      </c>
      <c r="H135" s="11" t="n">
        <v>100</v>
      </c>
      <c r="I135" s="3" t="inlineStr">
        <is>
          <t>CERRADA</t>
        </is>
      </c>
      <c r="J135" s="3">
        <f>IF(tblEjecucion[[#This Row],[orden]]="","",tblEjecucion[[#This Row],[orden]]&amp;IF(tblEjecucion[[#This Row],[operacion]]="","0010",tblEjecucion[[#This Row],[operacion]]))</f>
        <v/>
      </c>
    </row>
    <row r="136">
      <c r="A136" s="3" t="inlineStr">
        <is>
          <t>OT-000158</t>
        </is>
      </c>
      <c r="B136" s="3" t="inlineStr">
        <is>
          <t>0010</t>
        </is>
      </c>
      <c r="C136" s="3" t="inlineStr">
        <is>
          <t>CERR</t>
        </is>
      </c>
      <c r="D136" s="3" t="inlineStr">
        <is>
          <t>2-MEDIA</t>
        </is>
      </c>
      <c r="E136" s="3" t="inlineStr">
        <is>
          <t>PARADO</t>
        </is>
      </c>
      <c r="F136" s="11" t="n">
        <v>96</v>
      </c>
      <c r="G136" s="11" t="n">
        <v>240</v>
      </c>
      <c r="H136" s="11" t="n">
        <v>240</v>
      </c>
      <c r="I136" s="3" t="inlineStr">
        <is>
          <t>CERRADA</t>
        </is>
      </c>
      <c r="J136" s="3">
        <f>IF(tblEjecucion[[#This Row],[orden]]="","",tblEjecucion[[#This Row],[orden]]&amp;IF(tblEjecucion[[#This Row],[operacion]]="","0010",tblEjecucion[[#This Row],[operacion]]))</f>
        <v/>
      </c>
    </row>
    <row r="137">
      <c r="A137" s="3" t="inlineStr">
        <is>
          <t>OT-000159</t>
        </is>
      </c>
      <c r="B137" s="3" t="inlineStr">
        <is>
          <t>0010</t>
        </is>
      </c>
      <c r="C137" s="3" t="inlineStr">
        <is>
          <t>CERR</t>
        </is>
      </c>
      <c r="D137" s="3" t="inlineStr">
        <is>
          <t>3-BAJA</t>
        </is>
      </c>
      <c r="E137" s="3" t="inlineStr">
        <is>
          <t>OPERATIVO</t>
        </is>
      </c>
      <c r="F137" s="11" t="n">
        <v>80</v>
      </c>
      <c r="G137" s="11" t="n">
        <v>200</v>
      </c>
      <c r="H137" s="11" t="n">
        <v>200</v>
      </c>
      <c r="I137" s="3" t="inlineStr">
        <is>
          <t>CERRADA</t>
        </is>
      </c>
      <c r="J137" s="3">
        <f>IF(tblEjecucion[[#This Row],[orden]]="","",tblEjecucion[[#This Row],[orden]]&amp;IF(tblEjecucion[[#This Row],[operacion]]="","0010",tblEjecucion[[#This Row],[operacion]]))</f>
        <v/>
      </c>
    </row>
    <row r="138">
      <c r="A138" s="3" t="inlineStr">
        <is>
          <t>OT-000900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3-BAJA</t>
        </is>
      </c>
      <c r="E138" s="3" t="inlineStr">
        <is>
          <t>PARADO</t>
        </is>
      </c>
      <c r="F138" s="11" t="n">
        <v>96</v>
      </c>
      <c r="G138" s="11" t="n">
        <v>0</v>
      </c>
      <c r="H138" s="11" t="n">
        <v>240</v>
      </c>
      <c r="I138" s="3" t="inlineStr">
        <is>
          <t>EN EJECUCION</t>
        </is>
      </c>
      <c r="J138" s="3">
        <f>IF(tblEjecucion[[#This Row],[orden]]="","",tblEjecucion[[#This Row],[orden]]&amp;IF(tblEjecucion[[#This Row],[operacion]]="","0010",tblEjecucion[[#This Row],[operacion]]))</f>
        <v/>
      </c>
    </row>
    <row r="139">
      <c r="A139" s="3" t="inlineStr">
        <is>
          <t>OT-000903</t>
        </is>
      </c>
      <c r="B139" s="3" t="inlineStr">
        <is>
          <t>0010</t>
        </is>
      </c>
      <c r="C139" s="3" t="inlineStr">
        <is>
          <t>EJEC</t>
        </is>
      </c>
      <c r="D139" s="3" t="inlineStr">
        <is>
          <t>1-ALTA</t>
        </is>
      </c>
      <c r="E139" s="3" t="inlineStr">
        <is>
          <t>PARADO</t>
        </is>
      </c>
      <c r="F139" s="11" t="n">
        <v>0</v>
      </c>
      <c r="G139" s="11" t="n">
        <v>0</v>
      </c>
      <c r="H139" s="11" t="n">
        <v>0</v>
      </c>
      <c r="I139" s="3" t="inlineStr">
        <is>
          <t>EN EJECUCION</t>
        </is>
      </c>
      <c r="J139" s="3">
        <f>IF(tblEjecucion[[#This Row],[orden]]="","",tblEjecucion[[#This Row],[orden]]&amp;IF(tblEjecucion[[#This Row],[operacion]]="","0010",tblEjecucion[[#This Row],[operacion]]))</f>
        <v/>
      </c>
    </row>
    <row r="140">
      <c r="A140" s="3" t="inlineStr">
        <is>
          <t>OT-000904</t>
        </is>
      </c>
      <c r="B140" s="3" t="inlineStr">
        <is>
          <t>0010</t>
        </is>
      </c>
      <c r="C140" s="3" t="inlineStr">
        <is>
          <t>EJEC</t>
        </is>
      </c>
      <c r="D140" s="3" t="inlineStr">
        <is>
          <t>2-MEDIA</t>
        </is>
      </c>
      <c r="E140" s="3" t="inlineStr">
        <is>
          <t>OPERATIVO</t>
        </is>
      </c>
      <c r="F140" s="11" t="n">
        <v>0</v>
      </c>
      <c r="G140" s="11" t="n">
        <v>0</v>
      </c>
      <c r="H140" s="11" t="n">
        <v>0</v>
      </c>
      <c r="I140" s="3" t="inlineStr">
        <is>
          <t>EN EJECUCION</t>
        </is>
      </c>
      <c r="J140" s="3">
        <f>IF(tblEjecucion[[#This Row],[orden]]="","",tblEjecucion[[#This Row],[orden]]&amp;IF(tblEjecucion[[#This Row],[operacion]]="","0010",tblEjecucion[[#This Row],[operacion]]))</f>
        <v/>
      </c>
    </row>
    <row r="141">
      <c r="A141" s="3" t="inlineStr">
        <is>
          <t>OT-000905</t>
        </is>
      </c>
      <c r="B141" s="3" t="inlineStr">
        <is>
          <t>0010</t>
        </is>
      </c>
      <c r="C141" s="3" t="inlineStr">
        <is>
          <t>EJEC</t>
        </is>
      </c>
      <c r="D141" s="3" t="inlineStr">
        <is>
          <t>3-BAJA</t>
        </is>
      </c>
      <c r="E141" s="3" t="inlineStr">
        <is>
          <t>PARADO</t>
        </is>
      </c>
      <c r="F141" s="11" t="n">
        <v>64</v>
      </c>
      <c r="G141" s="11" t="n">
        <v>0</v>
      </c>
      <c r="H141" s="11" t="n">
        <v>160</v>
      </c>
      <c r="I141" s="3" t="inlineStr">
        <is>
          <t>EN EJECUCION</t>
        </is>
      </c>
      <c r="J141" s="3">
        <f>IF(tblEjecucion[[#This Row],[orden]]="","",tblEjecucion[[#This Row],[orden]]&amp;IF(tblEjecucion[[#This Row],[operacion]]="","0010",tblEjecucion[[#This Row],[operacion]]))</f>
        <v/>
      </c>
    </row>
    <row r="142">
      <c r="A142" s="3" t="inlineStr">
        <is>
          <t>OT-000906</t>
        </is>
      </c>
      <c r="B142" s="3" t="inlineStr">
        <is>
          <t>0010</t>
        </is>
      </c>
      <c r="C142" s="3" t="inlineStr">
        <is>
          <t>EJEC</t>
        </is>
      </c>
      <c r="D142" s="3" t="inlineStr">
        <is>
          <t>1-ALTA</t>
        </is>
      </c>
      <c r="E142" s="3" t="inlineStr">
        <is>
          <t>OPERATIVO</t>
        </is>
      </c>
      <c r="F142" s="11" t="n">
        <v>64</v>
      </c>
      <c r="G142" s="11" t="n">
        <v>0</v>
      </c>
      <c r="H142" s="11" t="n">
        <v>160</v>
      </c>
      <c r="I142" s="3" t="inlineStr">
        <is>
          <t>EN EJECUCION</t>
        </is>
      </c>
      <c r="J142" s="3">
        <f>IF(tblEjecucion[[#This Row],[orden]]="","",tblEjecucion[[#This Row],[orden]]&amp;IF(tblEjecucion[[#This Row],[operacion]]="","0010",tblEjecucion[[#This Row],[operacion]]))</f>
        <v/>
      </c>
    </row>
    <row r="143">
      <c r="A143" s="3" t="inlineStr">
        <is>
          <t>OT-000907</t>
        </is>
      </c>
      <c r="B143" s="3" t="inlineStr">
        <is>
          <t>0010</t>
        </is>
      </c>
      <c r="C143" s="3" t="inlineStr">
        <is>
          <t>EJEC</t>
        </is>
      </c>
      <c r="D143" s="3" t="inlineStr">
        <is>
          <t>2-MEDIA</t>
        </is>
      </c>
      <c r="E143" s="3" t="inlineStr">
        <is>
          <t>PARADO</t>
        </is>
      </c>
      <c r="F143" s="11" t="n">
        <v>64</v>
      </c>
      <c r="G143" s="11" t="n">
        <v>0</v>
      </c>
      <c r="H143" s="11" t="n">
        <v>160</v>
      </c>
      <c r="I143" s="3" t="inlineStr">
        <is>
          <t>EN EJECUCION</t>
        </is>
      </c>
      <c r="J143" s="3">
        <f>IF(tblEjecucion[[#This Row],[orden]]="","",tblEjecucion[[#This Row],[orden]]&amp;IF(tblEjecucion[[#This Row],[operacion]]="","0010",tblEjecucion[[#This Row],[operacion]]))</f>
        <v/>
      </c>
    </row>
    <row r="144">
      <c r="A144" s="3" t="inlineStr">
        <is>
          <t>OT-000908</t>
        </is>
      </c>
      <c r="B144" s="3" t="inlineStr">
        <is>
          <t>0010</t>
        </is>
      </c>
      <c r="C144" s="3" t="inlineStr">
        <is>
          <t>EJEC</t>
        </is>
      </c>
      <c r="D144" s="3" t="inlineStr">
        <is>
          <t>3-BAJA</t>
        </is>
      </c>
      <c r="E144" s="3" t="inlineStr">
        <is>
          <t>OPERATIVO</t>
        </is>
      </c>
      <c r="F144" s="11" t="n">
        <v>64</v>
      </c>
      <c r="G144" s="11" t="n">
        <v>0</v>
      </c>
      <c r="H144" s="11" t="n">
        <v>160</v>
      </c>
      <c r="I144" s="3" t="inlineStr">
        <is>
          <t>EN EJECUCION</t>
        </is>
      </c>
      <c r="J144" s="3">
        <f>IF(tblEjecucion[[#This Row],[orden]]="","",tblEjecucion[[#This Row],[orden]]&amp;IF(tblEjecucion[[#This Row],[operacion]]="","0010",tblEjecucion[[#This Row],[operacion]]))</f>
        <v/>
      </c>
    </row>
    <row r="145">
      <c r="A145" s="3" t="inlineStr">
        <is>
          <t>OT-000909</t>
        </is>
      </c>
      <c r="B145" s="3" t="inlineStr">
        <is>
          <t>0010</t>
        </is>
      </c>
      <c r="C145" s="3" t="inlineStr">
        <is>
          <t>EJEC</t>
        </is>
      </c>
      <c r="D145" s="3" t="inlineStr">
        <is>
          <t>1-ALTA</t>
        </is>
      </c>
      <c r="E145" s="3" t="inlineStr">
        <is>
          <t>PARADO</t>
        </is>
      </c>
      <c r="F145" s="11" t="n">
        <v>64</v>
      </c>
      <c r="G145" s="11" t="n">
        <v>0</v>
      </c>
      <c r="H145" s="11" t="n">
        <v>160</v>
      </c>
      <c r="I145" s="3" t="inlineStr">
        <is>
          <t>EN EJECUCION</t>
        </is>
      </c>
      <c r="J145" s="3">
        <f>IF(tblEjecucion[[#This Row],[orden]]="","",tblEjecucion[[#This Row],[orden]]&amp;IF(tblEjecucion[[#This Row],[operacion]]="","0010",tblEjecucion[[#This Row],[operacion]]))</f>
        <v/>
      </c>
    </row>
    <row r="146">
      <c r="A146" s="3" t="inlineStr">
        <is>
          <t>OT-000179</t>
        </is>
      </c>
      <c r="B146" s="3" t="inlineStr">
        <is>
          <t>0010</t>
        </is>
      </c>
      <c r="C146" s="3" t="inlineStr">
        <is>
          <t>EJEC</t>
        </is>
      </c>
      <c r="D146" s="3" t="inlineStr">
        <is>
          <t>2-MEDIA</t>
        </is>
      </c>
      <c r="E146" s="3" t="inlineStr">
        <is>
          <t>OPERATIVO</t>
        </is>
      </c>
      <c r="F146" s="11" t="n">
        <v>32</v>
      </c>
      <c r="G146" s="11" t="n">
        <v>0</v>
      </c>
      <c r="H146" s="11" t="n">
        <v>80</v>
      </c>
      <c r="I146" s="3" t="inlineStr">
        <is>
          <t>EN EJECUCION</t>
        </is>
      </c>
      <c r="J146" s="3">
        <f>IF(tblEjecucion[[#This Row],[orden]]="","",tblEjecucion[[#This Row],[orden]]&amp;IF(tblEjecucion[[#This Row],[operacion]]="","0010",tblEjecucion[[#This Row],[operacion]]))</f>
        <v/>
      </c>
    </row>
    <row r="147">
      <c r="A147" s="3" t="inlineStr">
        <is>
          <t>OT-000180</t>
        </is>
      </c>
      <c r="B147" s="3" t="inlineStr">
        <is>
          <t>0010</t>
        </is>
      </c>
      <c r="C147" s="3" t="inlineStr">
        <is>
          <t>ABIE</t>
        </is>
      </c>
      <c r="D147" s="3" t="inlineStr">
        <is>
          <t>3-BAJA</t>
        </is>
      </c>
      <c r="E147" s="3" t="inlineStr">
        <is>
          <t>PARADO</t>
        </is>
      </c>
      <c r="F147" s="11" t="n">
        <v>32</v>
      </c>
      <c r="G147" s="11" t="n">
        <v>0</v>
      </c>
      <c r="H147" s="11" t="n">
        <v>80</v>
      </c>
      <c r="I147" s="3" t="inlineStr">
        <is>
          <t>ABIERTA</t>
        </is>
      </c>
      <c r="J147" s="3">
        <f>IF(tblEjecucion[[#This Row],[orden]]="","",tblEjecucion[[#This Row],[orden]]&amp;IF(tblEjecucion[[#This Row],[operacion]]="","0010",tblEjecucion[[#This Row],[operacion]]))</f>
        <v/>
      </c>
    </row>
    <row r="148">
      <c r="A148" s="3" t="inlineStr">
        <is>
          <t>OT-000181</t>
        </is>
      </c>
      <c r="B148" s="3" t="inlineStr">
        <is>
          <t>0010</t>
        </is>
      </c>
      <c r="C148" s="3" t="inlineStr">
        <is>
          <t>EJEC</t>
        </is>
      </c>
      <c r="D148" s="3" t="inlineStr">
        <is>
          <t>1-ALTA</t>
        </is>
      </c>
      <c r="E148" s="3" t="inlineStr">
        <is>
          <t>OPERATIVO</t>
        </is>
      </c>
      <c r="F148" s="11" t="n">
        <v>32</v>
      </c>
      <c r="G148" s="11" t="n">
        <v>0</v>
      </c>
      <c r="H148" s="11" t="n">
        <v>80</v>
      </c>
      <c r="I148" s="3" t="inlineStr">
        <is>
          <t>EN EJECUCION</t>
        </is>
      </c>
      <c r="J148" s="3">
        <f>IF(tblEjecucion[[#This Row],[orden]]="","",tblEjecucion[[#This Row],[orden]]&amp;IF(tblEjecucion[[#This Row],[operacion]]="","0010",tblEjecucion[[#This Row],[operacion]]))</f>
        <v/>
      </c>
    </row>
    <row r="149">
      <c r="A149" s="3" t="inlineStr">
        <is>
          <t>OT-000182</t>
        </is>
      </c>
      <c r="B149" s="3" t="inlineStr">
        <is>
          <t>0010</t>
        </is>
      </c>
      <c r="C149" s="3" t="inlineStr">
        <is>
          <t>ABIE</t>
        </is>
      </c>
      <c r="D149" s="3" t="inlineStr">
        <is>
          <t>2-MEDIA</t>
        </is>
      </c>
      <c r="E149" s="3" t="inlineStr">
        <is>
          <t>PARADO</t>
        </is>
      </c>
      <c r="F149" s="11" t="n">
        <v>32</v>
      </c>
      <c r="G149" s="11" t="n">
        <v>0</v>
      </c>
      <c r="H149" s="11" t="n">
        <v>80</v>
      </c>
      <c r="I149" s="3" t="inlineStr">
        <is>
          <t>ABIERTA</t>
        </is>
      </c>
      <c r="J149" s="3">
        <f>IF(tblEjecucion[[#This Row],[orden]]="","",tblEjecucion[[#This Row],[orden]]&amp;IF(tblEjecucion[[#This Row],[operacion]]="","0010",tblEjecucion[[#This Row],[operacion]]))</f>
        <v/>
      </c>
    </row>
    <row r="150">
      <c r="A150" s="3" t="inlineStr">
        <is>
          <t>OT-000183</t>
        </is>
      </c>
      <c r="B150" s="3" t="inlineStr">
        <is>
          <t>0010</t>
        </is>
      </c>
      <c r="C150" s="3" t="inlineStr">
        <is>
          <t>EJEC</t>
        </is>
      </c>
      <c r="D150" s="3" t="inlineStr">
        <is>
          <t>3-BAJA</t>
        </is>
      </c>
      <c r="E150" s="3" t="inlineStr">
        <is>
          <t>OPERATIVO</t>
        </is>
      </c>
      <c r="F150" s="11" t="n">
        <v>32</v>
      </c>
      <c r="G150" s="11" t="n">
        <v>0</v>
      </c>
      <c r="H150" s="11" t="n">
        <v>80</v>
      </c>
      <c r="I150" s="3" t="inlineStr">
        <is>
          <t>EN EJECUCION</t>
        </is>
      </c>
      <c r="J150" s="3">
        <f>IF(tblEjecucion[[#This Row],[orden]]="","",tblEjecucion[[#This Row],[orden]]&amp;IF(tblEjecucion[[#This Row],[operacion]]="","0010",tblEjecucion[[#This Row],[operacion]]))</f>
        <v/>
      </c>
    </row>
    <row r="151">
      <c r="A151" s="3" t="inlineStr">
        <is>
          <t>OT-000184</t>
        </is>
      </c>
      <c r="B151" s="3" t="inlineStr">
        <is>
          <t>0010</t>
        </is>
      </c>
      <c r="C151" s="3" t="inlineStr">
        <is>
          <t>ABIE</t>
        </is>
      </c>
      <c r="D151" s="3" t="inlineStr">
        <is>
          <t>1-ALTA</t>
        </is>
      </c>
      <c r="E151" s="3" t="inlineStr">
        <is>
          <t>PARADO</t>
        </is>
      </c>
      <c r="F151" s="11" t="n">
        <v>32</v>
      </c>
      <c r="G151" s="11" t="n">
        <v>0</v>
      </c>
      <c r="H151" s="11" t="n">
        <v>80</v>
      </c>
      <c r="I151" s="3" t="inlineStr">
        <is>
          <t>ABIERTA</t>
        </is>
      </c>
      <c r="J151" s="3">
        <f>IF(tblEjecucion[[#This Row],[orden]]="","",tblEjecucion[[#This Row],[orden]]&amp;IF(tblEjecucion[[#This Row],[operacion]]="","0010",tblEjecucion[[#This Row],[operacion]]))</f>
        <v/>
      </c>
    </row>
    <row r="152">
      <c r="A152" s="3" t="inlineStr">
        <is>
          <t>OT-000185</t>
        </is>
      </c>
      <c r="B152" s="3" t="inlineStr">
        <is>
          <t>0010</t>
        </is>
      </c>
      <c r="C152" s="3" t="inlineStr">
        <is>
          <t>EJEC</t>
        </is>
      </c>
      <c r="D152" s="3" t="inlineStr">
        <is>
          <t>2-MEDIA</t>
        </is>
      </c>
      <c r="E152" s="3" t="inlineStr">
        <is>
          <t>OPERATIVO</t>
        </is>
      </c>
      <c r="F152" s="11" t="n">
        <v>32</v>
      </c>
      <c r="G152" s="11" t="n">
        <v>0</v>
      </c>
      <c r="H152" s="11" t="n">
        <v>80</v>
      </c>
      <c r="I152" s="3" t="inlineStr">
        <is>
          <t>EN EJECUCION</t>
        </is>
      </c>
      <c r="J152" s="3">
        <f>IF(tblEjecucion[[#This Row],[orden]]="","",tblEjecucion[[#This Row],[orden]]&amp;IF(tblEjecucion[[#This Row],[operacion]]="","0010",tblEjecucion[[#This Row],[operacion]]))</f>
        <v/>
      </c>
    </row>
    <row r="153">
      <c r="A153" s="3" t="inlineStr">
        <is>
          <t>OT-000186</t>
        </is>
      </c>
      <c r="B153" s="3" t="inlineStr">
        <is>
          <t>0010</t>
        </is>
      </c>
      <c r="C153" s="3" t="inlineStr">
        <is>
          <t>ABIE</t>
        </is>
      </c>
      <c r="D153" s="3" t="inlineStr">
        <is>
          <t>3-BAJA</t>
        </is>
      </c>
      <c r="E153" s="3" t="inlineStr">
        <is>
          <t>PARADO</t>
        </is>
      </c>
      <c r="F153" s="11" t="n">
        <v>32</v>
      </c>
      <c r="G153" s="11" t="n">
        <v>0</v>
      </c>
      <c r="H153" s="11" t="n">
        <v>80</v>
      </c>
      <c r="I153" s="3" t="inlineStr">
        <is>
          <t>ABIERTA</t>
        </is>
      </c>
      <c r="J153" s="3">
        <f>IF(tblEjecucion[[#This Row],[orden]]="","",tblEjecucion[[#This Row],[orden]]&amp;IF(tblEjecucion[[#This Row],[operacion]]="","0010",tblEjecucion[[#This Row],[operacion]]))</f>
        <v/>
      </c>
    </row>
    <row r="154">
      <c r="A154" s="3" t="inlineStr">
        <is>
          <t>OT-000187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1-ALTA</t>
        </is>
      </c>
      <c r="E154" s="3" t="inlineStr">
        <is>
          <t>OPERATIVO</t>
        </is>
      </c>
      <c r="F154" s="11" t="n">
        <v>32</v>
      </c>
      <c r="G154" s="11" t="n">
        <v>0</v>
      </c>
      <c r="H154" s="11" t="n">
        <v>80</v>
      </c>
      <c r="I154" s="3" t="inlineStr">
        <is>
          <t>EN EJECUCION</t>
        </is>
      </c>
      <c r="J154" s="3">
        <f>IF(tblEjecucion[[#This Row],[orden]]="","",tblEjecucion[[#This Row],[orden]]&amp;IF(tblEjecucion[[#This Row],[operacion]]="","0010",tblEjecucion[[#This Row],[operacion]]))</f>
        <v/>
      </c>
    </row>
    <row r="155">
      <c r="A155" s="3" t="inlineStr">
        <is>
          <t>OT-000188</t>
        </is>
      </c>
      <c r="B155" s="3" t="inlineStr">
        <is>
          <t>0010</t>
        </is>
      </c>
      <c r="C155" s="3" t="inlineStr">
        <is>
          <t>ABIE</t>
        </is>
      </c>
      <c r="D155" s="3" t="inlineStr">
        <is>
          <t>2-MEDIA</t>
        </is>
      </c>
      <c r="E155" s="3" t="inlineStr">
        <is>
          <t>PARADO</t>
        </is>
      </c>
      <c r="F155" s="11" t="n">
        <v>32</v>
      </c>
      <c r="G155" s="11" t="n">
        <v>0</v>
      </c>
      <c r="H155" s="11" t="n">
        <v>80</v>
      </c>
      <c r="I155" s="3" t="inlineStr">
        <is>
          <t>ABIERTA</t>
        </is>
      </c>
      <c r="J155" s="3">
        <f>IF(tblEjecucion[[#This Row],[orden]]="","",tblEjecucion[[#This Row],[orden]]&amp;IF(tblEjecucion[[#This Row],[operacion]]="","0010",tblEjecucion[[#This Row],[operacion]]))</f>
        <v/>
      </c>
    </row>
    <row r="156">
      <c r="A156" s="3" t="inlineStr">
        <is>
          <t>OT-000189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3-BAJA</t>
        </is>
      </c>
      <c r="E156" s="3" t="inlineStr">
        <is>
          <t>OPERATIVO</t>
        </is>
      </c>
      <c r="F156" s="11" t="n">
        <v>32</v>
      </c>
      <c r="G156" s="11" t="n">
        <v>0</v>
      </c>
      <c r="H156" s="11" t="n">
        <v>80</v>
      </c>
      <c r="I156" s="3" t="inlineStr">
        <is>
          <t>EN EJECUCION</t>
        </is>
      </c>
      <c r="J156" s="3">
        <f>IF(tblEjecucion[[#This Row],[orden]]="","",tblEjecucion[[#This Row],[orden]]&amp;IF(tblEjecucion[[#This Row],[operacion]]="","0010",tblEjecucion[[#This Row],[operacion]]))</f>
        <v/>
      </c>
    </row>
    <row r="157">
      <c r="A157" s="3" t="inlineStr">
        <is>
          <t>OT-000190</t>
        </is>
      </c>
      <c r="B157" s="3" t="inlineStr">
        <is>
          <t>0010</t>
        </is>
      </c>
      <c r="C157" s="3" t="inlineStr">
        <is>
          <t>ABIE</t>
        </is>
      </c>
      <c r="D157" s="3" t="inlineStr">
        <is>
          <t>1-ALTA</t>
        </is>
      </c>
      <c r="E157" s="3" t="inlineStr">
        <is>
          <t>PARADO</t>
        </is>
      </c>
      <c r="F157" s="11" t="n">
        <v>32</v>
      </c>
      <c r="G157" s="11" t="n">
        <v>0</v>
      </c>
      <c r="H157" s="11" t="n">
        <v>80</v>
      </c>
      <c r="I157" s="3" t="inlineStr">
        <is>
          <t>ABIERTA</t>
        </is>
      </c>
      <c r="J157" s="3">
        <f>IF(tblEjecucion[[#This Row],[orden]]="","",tblEjecucion[[#This Row],[orden]]&amp;IF(tblEjecucion[[#This Row],[operacion]]="","0010",tblEjecucion[[#This Row],[operacion]]))</f>
        <v/>
      </c>
    </row>
    <row r="158">
      <c r="A158" s="3" t="inlineStr">
        <is>
          <t>OT-000191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2-MEDIA</t>
        </is>
      </c>
      <c r="E158" s="3" t="inlineStr">
        <is>
          <t>OPERATIVO</t>
        </is>
      </c>
      <c r="F158" s="11" t="n">
        <v>32</v>
      </c>
      <c r="G158" s="11" t="n">
        <v>0</v>
      </c>
      <c r="H158" s="11" t="n">
        <v>80</v>
      </c>
      <c r="I158" s="3" t="inlineStr">
        <is>
          <t>EN EJECUCION</t>
        </is>
      </c>
      <c r="J158" s="3">
        <f>IF(tblEjecucion[[#This Row],[orden]]="","",tblEjecucion[[#This Row],[orden]]&amp;IF(tblEjecucion[[#This Row],[operacion]]="","0010",tblEjecucion[[#This Row],[operacion]]))</f>
        <v/>
      </c>
    </row>
    <row r="159">
      <c r="A159" s="3" t="inlineStr">
        <is>
          <t>OT-000192</t>
        </is>
      </c>
      <c r="B159" s="3" t="inlineStr">
        <is>
          <t>0010</t>
        </is>
      </c>
      <c r="C159" s="3" t="inlineStr">
        <is>
          <t>ABIE</t>
        </is>
      </c>
      <c r="D159" s="3" t="inlineStr">
        <is>
          <t>3-BAJA</t>
        </is>
      </c>
      <c r="E159" s="3" t="inlineStr">
        <is>
          <t>PARADO</t>
        </is>
      </c>
      <c r="F159" s="11" t="n">
        <v>32</v>
      </c>
      <c r="G159" s="11" t="n">
        <v>0</v>
      </c>
      <c r="H159" s="11" t="n">
        <v>80</v>
      </c>
      <c r="I159" s="3" t="inlineStr">
        <is>
          <t>ABIERTA</t>
        </is>
      </c>
      <c r="J159" s="3">
        <f>IF(tblEjecucion[[#This Row],[orden]]="","",tblEjecucion[[#This Row],[orden]]&amp;IF(tblEjecucion[[#This Row],[operacion]]="","0010",tblEjecucion[[#This Row],[operacion]]))</f>
        <v/>
      </c>
    </row>
    <row r="160">
      <c r="A160" s="3" t="inlineStr">
        <is>
          <t>OT-000193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1-ALTA</t>
        </is>
      </c>
      <c r="E160" s="3" t="inlineStr">
        <is>
          <t>OPERATIVO</t>
        </is>
      </c>
      <c r="F160" s="11" t="n">
        <v>32</v>
      </c>
      <c r="G160" s="11" t="n">
        <v>0</v>
      </c>
      <c r="H160" s="11" t="n">
        <v>80</v>
      </c>
      <c r="I160" s="3" t="inlineStr">
        <is>
          <t>EN EJECUCION</t>
        </is>
      </c>
      <c r="J160" s="3">
        <f>IF(tblEjecucion[[#This Row],[orden]]="","",tblEjecucion[[#This Row],[orden]]&amp;IF(tblEjecucion[[#This Row],[operacion]]="","0010",tblEjecucion[[#This Row],[operacion]]))</f>
        <v/>
      </c>
    </row>
    <row r="161">
      <c r="A161" s="3" t="inlineStr">
        <is>
          <t>OT-000194</t>
        </is>
      </c>
      <c r="B161" s="3" t="inlineStr">
        <is>
          <t>0010</t>
        </is>
      </c>
      <c r="C161" s="3" t="inlineStr">
        <is>
          <t>ABIE</t>
        </is>
      </c>
      <c r="D161" s="3" t="inlineStr">
        <is>
          <t>2-MEDIA</t>
        </is>
      </c>
      <c r="E161" s="3" t="inlineStr">
        <is>
          <t>PARADO</t>
        </is>
      </c>
      <c r="F161" s="11" t="n">
        <v>32</v>
      </c>
      <c r="G161" s="11" t="n">
        <v>0</v>
      </c>
      <c r="H161" s="11" t="n">
        <v>80</v>
      </c>
      <c r="I161" s="3" t="inlineStr">
        <is>
          <t>ABIERTA</t>
        </is>
      </c>
      <c r="J161" s="3">
        <f>IF(tblEjecucion[[#This Row],[orden]]="","",tblEjecucion[[#This Row],[orden]]&amp;IF(tblEjecucion[[#This Row],[operacion]]="","0010",tblEjecucion[[#This Row],[operacion]]))</f>
        <v/>
      </c>
    </row>
    <row r="162">
      <c r="A162" s="3" t="inlineStr">
        <is>
          <t>OT-000195</t>
        </is>
      </c>
      <c r="B162" s="3" t="inlineStr">
        <is>
          <t>0010</t>
        </is>
      </c>
      <c r="C162" s="3" t="inlineStr">
        <is>
          <t>EJEC</t>
        </is>
      </c>
      <c r="D162" s="3" t="inlineStr">
        <is>
          <t>3-BAJA</t>
        </is>
      </c>
      <c r="E162" s="3" t="inlineStr">
        <is>
          <t>OPERATIVO</t>
        </is>
      </c>
      <c r="F162" s="11" t="n">
        <v>32</v>
      </c>
      <c r="G162" s="11" t="n">
        <v>0</v>
      </c>
      <c r="H162" s="11" t="n">
        <v>80</v>
      </c>
      <c r="I162" s="3" t="inlineStr">
        <is>
          <t>EN EJECUCION</t>
        </is>
      </c>
      <c r="J162" s="3">
        <f>IF(tblEjecucion[[#This Row],[orden]]="","",tblEjecucion[[#This Row],[orden]]&amp;IF(tblEjecucion[[#This Row],[operacion]]="","0010",tblEjecucion[[#This Row],[operacion]]))</f>
        <v/>
      </c>
    </row>
    <row r="163">
      <c r="A163" s="3" t="inlineStr">
        <is>
          <t>OT-000196</t>
        </is>
      </c>
      <c r="B163" s="3" t="inlineStr">
        <is>
          <t>0010</t>
        </is>
      </c>
      <c r="C163" s="3" t="inlineStr">
        <is>
          <t>ABIE</t>
        </is>
      </c>
      <c r="D163" s="3" t="inlineStr">
        <is>
          <t>1-ALTA</t>
        </is>
      </c>
      <c r="E163" s="3" t="inlineStr">
        <is>
          <t>PARADO</t>
        </is>
      </c>
      <c r="F163" s="11" t="n">
        <v>32</v>
      </c>
      <c r="G163" s="11" t="n">
        <v>0</v>
      </c>
      <c r="H163" s="11" t="n">
        <v>80</v>
      </c>
      <c r="I163" s="3" t="inlineStr">
        <is>
          <t>ABIERTA</t>
        </is>
      </c>
      <c r="J163" s="3">
        <f>IF(tblEjecucion[[#This Row],[orden]]="","",tblEjecucion[[#This Row],[orden]]&amp;IF(tblEjecucion[[#This Row],[operacion]]="","0010",tblEjecucion[[#This Row],[operacion]]))</f>
        <v/>
      </c>
    </row>
    <row r="164">
      <c r="A164" s="3" t="inlineStr">
        <is>
          <t>OT-000197</t>
        </is>
      </c>
      <c r="B164" s="3" t="inlineStr">
        <is>
          <t>0010</t>
        </is>
      </c>
      <c r="C164" s="3" t="inlineStr">
        <is>
          <t>EJEC</t>
        </is>
      </c>
      <c r="D164" s="3" t="inlineStr">
        <is>
          <t>2-MEDIA</t>
        </is>
      </c>
      <c r="E164" s="3" t="inlineStr">
        <is>
          <t>OPERATIVO</t>
        </is>
      </c>
      <c r="F164" s="11" t="n">
        <v>32</v>
      </c>
      <c r="G164" s="11" t="n">
        <v>0</v>
      </c>
      <c r="H164" s="11" t="n">
        <v>80</v>
      </c>
      <c r="I164" s="3" t="inlineStr">
        <is>
          <t>EN EJECUCION</t>
        </is>
      </c>
      <c r="J164" s="3">
        <f>IF(tblEjecucion[[#This Row],[orden]]="","",tblEjecucion[[#This Row],[orden]]&amp;IF(tblEjecucion[[#This Row],[operacion]]="","0010",tblEjecucion[[#This Row],[operacion]]))</f>
        <v/>
      </c>
    </row>
    <row r="165">
      <c r="A165" s="3" t="inlineStr">
        <is>
          <t>OT-000198</t>
        </is>
      </c>
      <c r="B165" s="3" t="inlineStr">
        <is>
          <t>0010</t>
        </is>
      </c>
      <c r="C165" s="3" t="inlineStr">
        <is>
          <t>ABIE</t>
        </is>
      </c>
      <c r="D165" s="3" t="inlineStr">
        <is>
          <t>3-BAJA</t>
        </is>
      </c>
      <c r="E165" s="3" t="inlineStr">
        <is>
          <t>PARADO</t>
        </is>
      </c>
      <c r="F165" s="11" t="n">
        <v>32</v>
      </c>
      <c r="G165" s="11" t="n">
        <v>0</v>
      </c>
      <c r="H165" s="11" t="n">
        <v>80</v>
      </c>
      <c r="I165" s="3" t="inlineStr">
        <is>
          <t>ABIERTA</t>
        </is>
      </c>
      <c r="J165" s="3">
        <f>IF(tblEjecucion[[#This Row],[orden]]="","",tblEjecucion[[#This Row],[orden]]&amp;IF(tblEjecucion[[#This Row],[operacion]]="","0010",tblEjecucion[[#This Row],[operacion]]))</f>
        <v/>
      </c>
    </row>
    <row r="166">
      <c r="A166" s="3" t="inlineStr">
        <is>
          <t>OT-000199</t>
        </is>
      </c>
      <c r="B166" s="3" t="inlineStr">
        <is>
          <t>0010</t>
        </is>
      </c>
      <c r="C166" s="3" t="inlineStr">
        <is>
          <t>EJEC</t>
        </is>
      </c>
      <c r="D166" s="3" t="inlineStr">
        <is>
          <t>1-ALTA</t>
        </is>
      </c>
      <c r="E166" s="3" t="inlineStr">
        <is>
          <t>OPERATIVO</t>
        </is>
      </c>
      <c r="F166" s="11" t="n">
        <v>32</v>
      </c>
      <c r="G166" s="11" t="n">
        <v>0</v>
      </c>
      <c r="H166" s="11" t="n">
        <v>80</v>
      </c>
      <c r="I166" s="3" t="inlineStr">
        <is>
          <t>EN EJECUCION</t>
        </is>
      </c>
      <c r="J166" s="3">
        <f>IF(tblEjecucion[[#This Row],[orden]]="","",tblEjecucion[[#This Row],[orden]]&amp;IF(tblEjecucion[[#This Row],[operacion]]="","0010",tblEjecucion[[#This Row],[operacion]]))</f>
        <v/>
      </c>
    </row>
    <row r="167">
      <c r="A167" s="3" t="inlineStr">
        <is>
          <t>OT-000200</t>
        </is>
      </c>
      <c r="B167" s="3" t="inlineStr">
        <is>
          <t>0010</t>
        </is>
      </c>
      <c r="C167" s="3" t="inlineStr">
        <is>
          <t>ABIE</t>
        </is>
      </c>
      <c r="D167" s="3" t="inlineStr">
        <is>
          <t>2-MEDIA</t>
        </is>
      </c>
      <c r="E167" s="3" t="inlineStr">
        <is>
          <t>PARADO</t>
        </is>
      </c>
      <c r="F167" s="11" t="n">
        <v>32</v>
      </c>
      <c r="G167" s="11" t="n">
        <v>0</v>
      </c>
      <c r="H167" s="11" t="n">
        <v>80</v>
      </c>
      <c r="I167" s="3" t="inlineStr">
        <is>
          <t>ABIERTA</t>
        </is>
      </c>
      <c r="J167" s="3">
        <f>IF(tblEjecucion[[#This Row],[orden]]="","",tblEjecucion[[#This Row],[orden]]&amp;IF(tblEjecucion[[#This Row],[operacion]]="","0010",tblEjecucion[[#This Row],[operacion]]))</f>
        <v/>
      </c>
    </row>
    <row r="168">
      <c r="A168" s="3" t="inlineStr">
        <is>
          <t>OT-000990</t>
        </is>
      </c>
      <c r="B168" s="3" t="inlineStr">
        <is>
          <t>0010</t>
        </is>
      </c>
      <c r="C168" s="3" t="inlineStr">
        <is>
          <t>LIB</t>
        </is>
      </c>
      <c r="D168" s="3" t="inlineStr">
        <is>
          <t>2-MEDIA</t>
        </is>
      </c>
      <c r="E168" s="3" t="inlineStr">
        <is>
          <t>OPERATIVO</t>
        </is>
      </c>
      <c r="F168" s="11" t="n">
        <v>50</v>
      </c>
      <c r="G168" s="11" t="n">
        <v>0</v>
      </c>
      <c r="H168" s="11" t="n">
        <v>150</v>
      </c>
      <c r="I168" s="3" t="inlineStr">
        <is>
          <t>LIBERADA</t>
        </is>
      </c>
      <c r="J168" s="3">
        <f>IF(tblEjecucion[[#This Row],[orden]]="","",tblEjecucion[[#This Row],[orden]]&amp;IF(tblEjecucion[[#This Row],[operacion]]="","0010",tblEjecucion[[#This Row],[operacion]]))</f>
        <v/>
      </c>
    </row>
    <row r="169">
      <c r="A169" s="3" t="inlineStr">
        <is>
          <t>OT-000991</t>
        </is>
      </c>
      <c r="B169" s="3" t="inlineStr">
        <is>
          <t>0010</t>
        </is>
      </c>
      <c r="C169" s="3" t="inlineStr">
        <is>
          <t>LIB</t>
        </is>
      </c>
      <c r="D169" s="3" t="inlineStr">
        <is>
          <t>2-MEDIA</t>
        </is>
      </c>
      <c r="E169" s="3" t="inlineStr">
        <is>
          <t>OPERATIVO</t>
        </is>
      </c>
      <c r="F169" s="11" t="n">
        <v>50</v>
      </c>
      <c r="G169" s="11" t="n">
        <v>0</v>
      </c>
      <c r="H169" s="11" t="n">
        <v>150</v>
      </c>
      <c r="I169" s="3" t="inlineStr">
        <is>
          <t>LIBERADA</t>
        </is>
      </c>
      <c r="J169" s="3">
        <f>IF(tblEjecucion[[#This Row],[orden]]="","",tblEjecucion[[#This Row],[orden]]&amp;IF(tblEjecucion[[#This Row],[operacion]]="","0010",tblEjecucion[[#This Row],[operacion]]))</f>
        <v/>
      </c>
    </row>
    <row r="170">
      <c r="A170" s="3" t="inlineStr">
        <is>
          <t>OT-000992</t>
        </is>
      </c>
      <c r="B170" s="3" t="inlineStr">
        <is>
          <t>0010</t>
        </is>
      </c>
      <c r="C170" s="3" t="inlineStr">
        <is>
          <t>LIB</t>
        </is>
      </c>
      <c r="D170" s="3" t="inlineStr">
        <is>
          <t>2-MEDIA</t>
        </is>
      </c>
      <c r="E170" s="3" t="inlineStr">
        <is>
          <t>OPERATIVO</t>
        </is>
      </c>
      <c r="F170" s="11" t="n">
        <v>50</v>
      </c>
      <c r="G170" s="11" t="n">
        <v>0</v>
      </c>
      <c r="H170" s="11" t="n">
        <v>150</v>
      </c>
      <c r="I170" s="3" t="inlineStr">
        <is>
          <t>LIBERADA</t>
        </is>
      </c>
      <c r="J170" s="3">
        <f>IF(tblEjecucion[[#This Row],[orden]]="","",tblEjecucion[[#This Row],[orden]]&amp;IF(tblEjecucion[[#This Row],[operacion]]="","0010",tblEjecucion[[#This Row],[operacion]]))</f>
        <v/>
      </c>
    </row>
    <row r="171">
      <c r="A171" s="3" t="n"/>
      <c r="B171" s="3" t="n"/>
      <c r="C171" s="3" t="n"/>
      <c r="D171" s="3" t="n"/>
      <c r="E171" s="3" t="n"/>
      <c r="F171" s="11" t="n"/>
      <c r="G171" s="11" t="n"/>
      <c r="H171" s="11" t="n"/>
      <c r="I171" s="3" t="n"/>
      <c r="J171" s="3">
        <f>IF(tblEjecucion[[#This Row],[orden]]="","",tblEjecucion[[#This Row],[orden]]&amp;IF(tblEjecucion[[#This Row],[operacion]]="","0010",tblEjecucion[[#This Row],[operacion]]))</f>
        <v/>
      </c>
    </row>
    <row r="172">
      <c r="A172" s="3" t="n"/>
      <c r="B172" s="3" t="n"/>
      <c r="C172" s="3" t="n"/>
      <c r="D172" s="3" t="n"/>
      <c r="E172" s="3" t="n"/>
      <c r="F172" s="11" t="n"/>
      <c r="G172" s="11" t="n"/>
      <c r="H172" s="11" t="n"/>
      <c r="I172" s="3" t="n"/>
      <c r="J172" s="3">
        <f>IF(tblEjecucion[[#This Row],[orden]]="","",tblEjecucion[[#This Row],[orden]]&amp;IF(tblEjecucion[[#This Row],[operacion]]="","0010",tblEjecucion[[#This Row],[operacion]]))</f>
        <v/>
      </c>
    </row>
    <row r="173">
      <c r="A173" s="3" t="n"/>
      <c r="B173" s="3" t="n"/>
      <c r="C173" s="3" t="n"/>
      <c r="D173" s="3" t="n"/>
      <c r="E173" s="3" t="n"/>
      <c r="F173" s="11" t="n"/>
      <c r="G173" s="11" t="n"/>
      <c r="H173" s="11" t="n"/>
      <c r="I173" s="3" t="n"/>
      <c r="J173" s="3">
        <f>IF(tblEjecucion[[#This Row],[orden]]="","",tblEjecucion[[#This Row],[orden]]&amp;IF(tblEjecucion[[#This Row],[operacion]]="","0010",tblEjecucion[[#This Row],[operacion]]))</f>
        <v/>
      </c>
    </row>
    <row r="174">
      <c r="A174" s="3" t="n"/>
      <c r="B174" s="3" t="n"/>
      <c r="C174" s="3" t="n"/>
      <c r="D174" s="3" t="n"/>
      <c r="E174" s="3" t="n"/>
      <c r="F174" s="11" t="n"/>
      <c r="G174" s="11" t="n"/>
      <c r="H174" s="11" t="n"/>
      <c r="I174" s="3" t="n"/>
      <c r="J174" s="3">
        <f>IF(tblEjecucion[[#This Row],[orden]]="","",tblEjecucion[[#This Row],[orden]]&amp;IF(tblEjecucion[[#This Row],[operacion]]="","0010",tblEjecucion[[#This Row],[operacion]]))</f>
        <v/>
      </c>
    </row>
    <row r="175">
      <c r="A175" s="3" t="n"/>
      <c r="B175" s="3" t="n"/>
      <c r="C175" s="3" t="n"/>
      <c r="D175" s="3" t="n"/>
      <c r="E175" s="3" t="n"/>
      <c r="F175" s="11" t="n"/>
      <c r="G175" s="11" t="n"/>
      <c r="H175" s="11" t="n"/>
      <c r="I175" s="3" t="n"/>
      <c r="J175" s="3">
        <f>IF(tblEjecucion[[#This Row],[orden]]="","",tblEjecucion[[#This Row],[orden]]&amp;IF(tblEjecucion[[#This Row],[operacion]]="","0010",tblEjecucion[[#This Row],[operacion]]))</f>
        <v/>
      </c>
    </row>
    <row r="176">
      <c r="A176" s="3" t="n"/>
      <c r="B176" s="3" t="n"/>
      <c r="C176" s="3" t="n"/>
      <c r="D176" s="3" t="n"/>
      <c r="E176" s="3" t="n"/>
      <c r="F176" s="11" t="n"/>
      <c r="G176" s="11" t="n"/>
      <c r="H176" s="11" t="n"/>
      <c r="I176" s="3" t="n"/>
      <c r="J176" s="3">
        <f>IF(tblEjecucion[[#This Row],[orden]]="","",tblEjecucion[[#This Row],[orden]]&amp;IF(tblEjecucion[[#This Row],[operacion]]="","0010",tblEjecucion[[#This Row],[operacion]]))</f>
        <v/>
      </c>
    </row>
    <row r="177">
      <c r="A177" s="3" t="n"/>
      <c r="B177" s="3" t="n"/>
      <c r="C177" s="3" t="n"/>
      <c r="D177" s="3" t="n"/>
      <c r="E177" s="3" t="n"/>
      <c r="F177" s="11" t="n"/>
      <c r="G177" s="11" t="n"/>
      <c r="H177" s="11" t="n"/>
      <c r="I177" s="3" t="n"/>
      <c r="J177" s="3">
        <f>IF(tblEjecucion[[#This Row],[orden]]="","",tblEjecucion[[#This Row],[orden]]&amp;IF(tblEjecucion[[#This Row],[operacion]]="","0010",tblEjecucion[[#This Row],[operacion]]))</f>
        <v/>
      </c>
    </row>
    <row r="178">
      <c r="A178" s="3" t="n"/>
      <c r="B178" s="3" t="n"/>
      <c r="C178" s="3" t="n"/>
      <c r="D178" s="3" t="n"/>
      <c r="E178" s="3" t="n"/>
      <c r="F178" s="11" t="n"/>
      <c r="G178" s="11" t="n"/>
      <c r="H178" s="11" t="n"/>
      <c r="I178" s="3" t="n"/>
      <c r="J178" s="3">
        <f>IF(tblEjecucion[[#This Row],[orden]]="","",tblEjecucion[[#This Row],[orden]]&amp;IF(tblEjecucion[[#This Row],[operacion]]="","0010",tblEjecucion[[#This Row],[operacion]]))</f>
        <v/>
      </c>
    </row>
    <row r="179">
      <c r="A179" s="3" t="n"/>
      <c r="B179" s="3" t="n"/>
      <c r="C179" s="3" t="n"/>
      <c r="D179" s="3" t="n"/>
      <c r="E179" s="3" t="n"/>
      <c r="F179" s="11" t="n"/>
      <c r="G179" s="11" t="n"/>
      <c r="H179" s="11" t="n"/>
      <c r="I179" s="3" t="n"/>
      <c r="J179" s="3">
        <f>IF(tblEjecucion[[#This Row],[orden]]="","",tblEjecucion[[#This Row],[orden]]&amp;IF(tblEjecucion[[#This Row],[operacion]]="","0010",tblEjecucion[[#This Row],[operacion]]))</f>
        <v/>
      </c>
    </row>
    <row r="180">
      <c r="A180" s="3" t="n"/>
      <c r="B180" s="3" t="n"/>
      <c r="C180" s="3" t="n"/>
      <c r="D180" s="3" t="n"/>
      <c r="E180" s="3" t="n"/>
      <c r="F180" s="11" t="n"/>
      <c r="G180" s="11" t="n"/>
      <c r="H180" s="11" t="n"/>
      <c r="I180" s="3" t="n"/>
      <c r="J180" s="3">
        <f>IF(tblEjecucion[[#This Row],[orden]]="","",tblEjecucion[[#This Row],[orden]]&amp;IF(tblEjecucion[[#This Row],[operacion]]="","0010",tblEjecucion[[#This Row],[operacion]]))</f>
        <v/>
      </c>
    </row>
    <row r="181">
      <c r="A181" s="3" t="n"/>
      <c r="B181" s="3" t="n"/>
      <c r="C181" s="3" t="n"/>
      <c r="D181" s="3" t="n"/>
      <c r="E181" s="3" t="n"/>
      <c r="F181" s="11" t="n"/>
      <c r="G181" s="11" t="n"/>
      <c r="H181" s="11" t="n"/>
      <c r="I181" s="3" t="n"/>
      <c r="J181" s="3">
        <f>IF(tblEjecucion[[#This Row],[orden]]="","",tblEjecucion[[#This Row],[orden]]&amp;IF(tblEjecucion[[#This Row],[operacion]]="","0010",tblEjecucion[[#This Row],[operacion]]))</f>
        <v/>
      </c>
    </row>
    <row r="182">
      <c r="A182" s="3" t="n"/>
      <c r="B182" s="3" t="n"/>
      <c r="C182" s="3" t="n"/>
      <c r="D182" s="3" t="n"/>
      <c r="E182" s="3" t="n"/>
      <c r="F182" s="11" t="n"/>
      <c r="G182" s="11" t="n"/>
      <c r="H182" s="11" t="n"/>
      <c r="I182" s="3" t="n"/>
      <c r="J182" s="3">
        <f>IF(tblEjecucion[[#This Row],[orden]]="","",tblEjecucion[[#This Row],[orden]]&amp;IF(tblEjecucion[[#This Row],[operacion]]="","0010",tblEjecucion[[#This Row],[operacion]]))</f>
        <v/>
      </c>
    </row>
    <row r="183">
      <c r="A183" s="3" t="n"/>
      <c r="B183" s="3" t="n"/>
      <c r="C183" s="3" t="n"/>
      <c r="D183" s="3" t="n"/>
      <c r="E183" s="3" t="n"/>
      <c r="F183" s="11" t="n"/>
      <c r="G183" s="11" t="n"/>
      <c r="H183" s="11" t="n"/>
      <c r="I183" s="3" t="n"/>
      <c r="J183" s="3">
        <f>IF(tblEjecucion[[#This Row],[orden]]="","",tblEjecucion[[#This Row],[orden]]&amp;IF(tblEjecucion[[#This Row],[operacion]]="","0010",tblEjecucion[[#This Row],[operacion]]))</f>
        <v/>
      </c>
    </row>
    <row r="184">
      <c r="A184" s="3" t="n"/>
      <c r="B184" s="3" t="n"/>
      <c r="C184" s="3" t="n"/>
      <c r="D184" s="3" t="n"/>
      <c r="E184" s="3" t="n"/>
      <c r="F184" s="11" t="n"/>
      <c r="G184" s="11" t="n"/>
      <c r="H184" s="11" t="n"/>
      <c r="I184" s="3" t="n"/>
      <c r="J184" s="3">
        <f>IF(tblEjecucion[[#This Row],[orden]]="","",tblEjecucion[[#This Row],[orden]]&amp;IF(tblEjecucion[[#This Row],[operacion]]="","0010",tblEjecucion[[#This Row],[operacion]]))</f>
        <v/>
      </c>
    </row>
    <row r="185">
      <c r="A185" s="3" t="n"/>
      <c r="B185" s="3" t="n"/>
      <c r="C185" s="3" t="n"/>
      <c r="D185" s="3" t="n"/>
      <c r="E185" s="3" t="n"/>
      <c r="F185" s="11" t="n"/>
      <c r="G185" s="11" t="n"/>
      <c r="H185" s="11" t="n"/>
      <c r="I185" s="3" t="n"/>
      <c r="J185" s="3">
        <f>IF(tblEjecucion[[#This Row],[orden]]="","",tblEjecucion[[#This Row],[orden]]&amp;IF(tblEjecucion[[#This Row],[operacion]]="","0010",tblEjecucion[[#This Row],[operacion]]))</f>
        <v/>
      </c>
    </row>
    <row r="186">
      <c r="A186" s="3" t="n"/>
      <c r="B186" s="3" t="n"/>
      <c r="C186" s="3" t="n"/>
      <c r="D186" s="3" t="n"/>
      <c r="E186" s="3" t="n"/>
      <c r="F186" s="11" t="n"/>
      <c r="G186" s="11" t="n"/>
      <c r="H186" s="11" t="n"/>
      <c r="I186" s="3" t="n"/>
      <c r="J186" s="3">
        <f>IF(tblEjecucion[[#This Row],[orden]]="","",tblEjecucion[[#This Row],[orden]]&amp;IF(tblEjecucion[[#This Row],[operacion]]="","0010",tblEjecucion[[#This Row],[operacion]]))</f>
        <v/>
      </c>
    </row>
    <row r="187">
      <c r="A187" s="3" t="n"/>
      <c r="B187" s="3" t="n"/>
      <c r="C187" s="3" t="n"/>
      <c r="D187" s="3" t="n"/>
      <c r="E187" s="3" t="n"/>
      <c r="F187" s="11" t="n"/>
      <c r="G187" s="11" t="n"/>
      <c r="H187" s="11" t="n"/>
      <c r="I187" s="3" t="n"/>
      <c r="J187" s="3">
        <f>IF(tblEjecucion[[#This Row],[orden]]="","",tblEjecucion[[#This Row],[orden]]&amp;IF(tblEjecucion[[#This Row],[operacion]]="","0010",tblEjecucion[[#This Row],[operacion]]))</f>
        <v/>
      </c>
    </row>
    <row r="188">
      <c r="A188" s="3" t="n"/>
      <c r="B188" s="3" t="n"/>
      <c r="C188" s="3" t="n"/>
      <c r="D188" s="3" t="n"/>
      <c r="E188" s="3" t="n"/>
      <c r="F188" s="11" t="n"/>
      <c r="G188" s="11" t="n"/>
      <c r="H188" s="11" t="n"/>
      <c r="I188" s="3" t="n"/>
      <c r="J188" s="3">
        <f>IF(tblEjecucion[[#This Row],[orden]]="","",tblEjecucion[[#This Row],[orden]]&amp;IF(tblEjecucion[[#This Row],[operacion]]="","0010",tblEjecucion[[#This Row],[operacion]]))</f>
        <v/>
      </c>
    </row>
    <row r="189">
      <c r="A189" s="3" t="n"/>
      <c r="B189" s="3" t="n"/>
      <c r="C189" s="3" t="n"/>
      <c r="D189" s="3" t="n"/>
      <c r="E189" s="3" t="n"/>
      <c r="F189" s="11" t="n"/>
      <c r="G189" s="11" t="n"/>
      <c r="H189" s="11" t="n"/>
      <c r="I189" s="3" t="n"/>
      <c r="J189" s="3">
        <f>IF(tblEjecucion[[#This Row],[orden]]="","",tblEjecucion[[#This Row],[orden]]&amp;IF(tblEjecucion[[#This Row],[operacion]]="","0010",tblEjecucion[[#This Row],[operacion]]))</f>
        <v/>
      </c>
    </row>
    <row r="190">
      <c r="A190" s="3" t="n"/>
      <c r="B190" s="3" t="n"/>
      <c r="C190" s="3" t="n"/>
      <c r="D190" s="3" t="n"/>
      <c r="E190" s="3" t="n"/>
      <c r="F190" s="11" t="n"/>
      <c r="G190" s="11" t="n"/>
      <c r="H190" s="11" t="n"/>
      <c r="I190" s="3" t="n"/>
      <c r="J190" s="3">
        <f>IF(tblEjecucion[[#This Row],[orden]]="","",tblEjecucion[[#This Row],[orden]]&amp;IF(tblEjecucion[[#This Row],[operacion]]="","0010",tblEjecucion[[#This Row],[operacion]]))</f>
        <v/>
      </c>
    </row>
    <row r="191">
      <c r="A191" s="3" t="n"/>
      <c r="B191" s="3" t="n"/>
      <c r="C191" s="3" t="n"/>
      <c r="D191" s="3" t="n"/>
      <c r="E191" s="3" t="n"/>
      <c r="F191" s="11" t="n"/>
      <c r="G191" s="11" t="n"/>
      <c r="H191" s="11" t="n"/>
      <c r="I191" s="3" t="n"/>
      <c r="J191" s="3">
        <f>IF(tblEjecucion[[#This Row],[orden]]="","",tblEjecucion[[#This Row],[orden]]&amp;IF(tblEjecucion[[#This Row],[operacion]]="","0010",tblEjecucion[[#This Row],[operacion]]))</f>
        <v/>
      </c>
    </row>
    <row r="192">
      <c r="A192" s="3" t="n"/>
      <c r="B192" s="3" t="n"/>
      <c r="C192" s="3" t="n"/>
      <c r="D192" s="3" t="n"/>
      <c r="E192" s="3" t="n"/>
      <c r="F192" s="11" t="n"/>
      <c r="G192" s="11" t="n"/>
      <c r="H192" s="11" t="n"/>
      <c r="I192" s="3" t="n"/>
      <c r="J192" s="3">
        <f>IF(tblEjecucion[[#This Row],[orden]]="","",tblEjecucion[[#This Row],[orden]]&amp;IF(tblEjecucion[[#This Row],[operacion]]="","0010",tblEjecucion[[#This Row],[operacion]]))</f>
        <v/>
      </c>
    </row>
    <row r="193">
      <c r="A193" s="3" t="n"/>
      <c r="B193" s="3" t="n"/>
      <c r="C193" s="3" t="n"/>
      <c r="D193" s="3" t="n"/>
      <c r="E193" s="3" t="n"/>
      <c r="F193" s="11" t="n"/>
      <c r="G193" s="11" t="n"/>
      <c r="H193" s="11" t="n"/>
      <c r="I193" s="3" t="n"/>
      <c r="J193" s="3">
        <f>IF(tblEjecucion[[#This Row],[orden]]="","",tblEjecucion[[#This Row],[orden]]&amp;IF(tblEjecucion[[#This Row],[operacion]]="","0010",tblEjecucion[[#This Row],[operacion]]))</f>
        <v/>
      </c>
    </row>
    <row r="194">
      <c r="A194" s="3" t="n"/>
      <c r="B194" s="3" t="n"/>
      <c r="C194" s="3" t="n"/>
      <c r="D194" s="3" t="n"/>
      <c r="E194" s="3" t="n"/>
      <c r="F194" s="11" t="n"/>
      <c r="G194" s="11" t="n"/>
      <c r="H194" s="11" t="n"/>
      <c r="I194" s="3" t="n"/>
      <c r="J194" s="3">
        <f>IF(tblEjecucion[[#This Row],[orden]]="","",tblEjecucion[[#This Row],[orden]]&amp;IF(tblEjecucion[[#This Row],[operacion]]="","0010",tblEjecucion[[#This Row],[operacion]]))</f>
        <v/>
      </c>
    </row>
    <row r="195">
      <c r="A195" s="3" t="n"/>
      <c r="B195" s="3" t="n"/>
      <c r="C195" s="3" t="n"/>
      <c r="D195" s="3" t="n"/>
      <c r="E195" s="3" t="n"/>
      <c r="F195" s="11" t="n"/>
      <c r="G195" s="11" t="n"/>
      <c r="H195" s="11" t="n"/>
      <c r="I195" s="3" t="n"/>
      <c r="J195" s="3">
        <f>IF(tblEjecucion[[#This Row],[orden]]="","",tblEjecucion[[#This Row],[orden]]&amp;IF(tblEjecucion[[#This Row],[operacion]]="","0010",tblEjecucion[[#This Row],[operacion]]))</f>
        <v/>
      </c>
    </row>
    <row r="196">
      <c r="A196" s="3" t="n"/>
      <c r="B196" s="3" t="n"/>
      <c r="C196" s="3" t="n"/>
      <c r="D196" s="3" t="n"/>
      <c r="E196" s="3" t="n"/>
      <c r="F196" s="11" t="n"/>
      <c r="G196" s="11" t="n"/>
      <c r="H196" s="11" t="n"/>
      <c r="I196" s="3" t="n"/>
      <c r="J196" s="3">
        <f>IF(tblEjecucion[[#This Row],[orden]]="","",tblEjecucion[[#This Row],[orden]]&amp;IF(tblEjecucion[[#This Row],[operacion]]="","0010",tblEjecucion[[#This Row],[operacion]]))</f>
        <v/>
      </c>
    </row>
    <row r="197">
      <c r="A197" s="3" t="n"/>
      <c r="B197" s="3" t="n"/>
      <c r="C197" s="3" t="n"/>
      <c r="D197" s="3" t="n"/>
      <c r="E197" s="3" t="n"/>
      <c r="F197" s="11" t="n"/>
      <c r="G197" s="11" t="n"/>
      <c r="H197" s="11" t="n"/>
      <c r="I197" s="3" t="n"/>
      <c r="J197" s="3">
        <f>IF(tblEjecucion[[#This Row],[orden]]="","",tblEjecucion[[#This Row],[orden]]&amp;IF(tblEjecucion[[#This Row],[operacion]]="","0010",tblEjecucion[[#This Row],[operacion]]))</f>
        <v/>
      </c>
    </row>
    <row r="198">
      <c r="A198" s="3" t="n"/>
      <c r="B198" s="3" t="n"/>
      <c r="C198" s="3" t="n"/>
      <c r="D198" s="3" t="n"/>
      <c r="E198" s="3" t="n"/>
      <c r="F198" s="11" t="n"/>
      <c r="G198" s="11" t="n"/>
      <c r="H198" s="11" t="n"/>
      <c r="I198" s="3" t="n"/>
      <c r="J198" s="3">
        <f>IF(tblEjecucion[[#This Row],[orden]]="","",tblEjecucion[[#This Row],[orden]]&amp;IF(tblEjecucion[[#This Row],[operacion]]="","0010",tblEjecucion[[#This Row],[operacion]]))</f>
        <v/>
      </c>
    </row>
    <row r="199">
      <c r="A199" s="3" t="n"/>
      <c r="B199" s="3" t="n"/>
      <c r="C199" s="3" t="n"/>
      <c r="D199" s="3" t="n"/>
      <c r="E199" s="3" t="n"/>
      <c r="F199" s="11" t="n"/>
      <c r="G199" s="11" t="n"/>
      <c r="H199" s="11" t="n"/>
      <c r="I199" s="3" t="n"/>
      <c r="J199" s="3">
        <f>IF(tblEjecucion[[#This Row],[orden]]="","",tblEjecucion[[#This Row],[orden]]&amp;IF(tblEjecucion[[#This Row],[operacion]]="","0010",tblEjecucion[[#This Row],[operacion]]))</f>
        <v/>
      </c>
    </row>
    <row r="200">
      <c r="A200" s="3" t="n"/>
      <c r="B200" s="3" t="n"/>
      <c r="C200" s="3" t="n"/>
      <c r="D200" s="3" t="n"/>
      <c r="E200" s="3" t="n"/>
      <c r="F200" s="11" t="n"/>
      <c r="G200" s="11" t="n"/>
      <c r="H200" s="11" t="n"/>
      <c r="I200" s="3" t="n"/>
      <c r="J200" s="3">
        <f>IF(tblEjecucion[[#This Row],[orden]]="","",tblEjecucion[[#This Row],[orden]]&amp;IF(tblEjecucion[[#This Row],[operacion]]="","0010",tblEjecucion[[#This Row],[operacion]]))</f>
        <v/>
      </c>
    </row>
    <row r="201">
      <c r="A201" s="3" t="n"/>
      <c r="B201" s="3" t="n"/>
      <c r="C201" s="3" t="n"/>
      <c r="D201" s="3" t="n"/>
      <c r="E201" s="3" t="n"/>
      <c r="F201" s="11" t="n"/>
      <c r="G201" s="11" t="n"/>
      <c r="H201" s="11" t="n"/>
      <c r="I201" s="3" t="n"/>
      <c r="J201" s="3">
        <f>IF(tblEjecucion[[#This Row],[orden]]="","",tblEjecucion[[#This Row],[orden]]&amp;IF(tblEjecucion[[#This Row],[operacion]]="","0010",tblEjecucion[[#This Row],[operacion]]))</f>
        <v/>
      </c>
    </row>
    <row r="202">
      <c r="A202" s="3" t="n"/>
      <c r="B202" s="3" t="n"/>
      <c r="C202" s="3" t="n"/>
      <c r="D202" s="3" t="n"/>
      <c r="E202" s="3" t="n"/>
      <c r="F202" s="11" t="n"/>
      <c r="G202" s="11" t="n"/>
      <c r="H202" s="11" t="n"/>
      <c r="I202" s="3" t="n"/>
      <c r="J202" s="3">
        <f>IF(tblEjecucion[[#This Row],[orden]]="","",tblEjecucion[[#This Row],[orden]]&amp;IF(tblEjecucion[[#This Row],[operacion]]="","0010",tblEjecucion[[#This Row],[operacion]]))</f>
        <v/>
      </c>
    </row>
    <row r="203">
      <c r="A203" s="3" t="n"/>
      <c r="B203" s="3" t="n"/>
      <c r="C203" s="3" t="n"/>
      <c r="D203" s="3" t="n"/>
      <c r="E203" s="3" t="n"/>
      <c r="F203" s="11" t="n"/>
      <c r="G203" s="11" t="n"/>
      <c r="H203" s="11" t="n"/>
      <c r="I203" s="3" t="n"/>
      <c r="J203" s="3">
        <f>IF(tblEjecucion[[#This Row],[orden]]="","",tblEjecucion[[#This Row],[orden]]&amp;IF(tblEjecucion[[#This Row],[operacion]]="","0010",tblEjecucion[[#This Row],[operacion]]))</f>
        <v/>
      </c>
    </row>
    <row r="204">
      <c r="A204" s="3" t="n"/>
      <c r="B204" s="3" t="n"/>
      <c r="C204" s="3" t="n"/>
      <c r="D204" s="3" t="n"/>
      <c r="E204" s="3" t="n"/>
      <c r="F204" s="11" t="n"/>
      <c r="G204" s="11" t="n"/>
      <c r="H204" s="11" t="n"/>
      <c r="I204" s="3" t="n"/>
      <c r="J204" s="3">
        <f>IF(tblEjecucion[[#This Row],[orden]]="","",tblEjecucion[[#This Row],[orden]]&amp;IF(tblEjecucion[[#This Row],[operacion]]="","0010",tblEjecucion[[#This Row],[operacion]]))</f>
        <v/>
      </c>
    </row>
    <row r="205">
      <c r="A205" s="3" t="n"/>
      <c r="B205" s="3" t="n"/>
      <c r="C205" s="3" t="n"/>
      <c r="D205" s="3" t="n"/>
      <c r="E205" s="3" t="n"/>
      <c r="F205" s="11" t="n"/>
      <c r="G205" s="11" t="n"/>
      <c r="H205" s="11" t="n"/>
      <c r="I205" s="3" t="n"/>
      <c r="J205" s="3">
        <f>IF(tblEjecucion[[#This Row],[orden]]="","",tblEjecucion[[#This Row],[orden]]&amp;IF(tblEjecucion[[#This Row],[operacion]]="","0010",tblEjecucion[[#This Row],[operacion]]))</f>
        <v/>
      </c>
    </row>
    <row r="206">
      <c r="A206" s="3" t="n"/>
      <c r="B206" s="3" t="n"/>
      <c r="C206" s="3" t="n"/>
      <c r="D206" s="3" t="n"/>
      <c r="E206" s="3" t="n"/>
      <c r="F206" s="11" t="n"/>
      <c r="G206" s="11" t="n"/>
      <c r="H206" s="11" t="n"/>
      <c r="I206" s="3" t="n"/>
      <c r="J206" s="3">
        <f>IF(tblEjecucion[[#This Row],[orden]]="","",tblEjecucion[[#This Row],[orden]]&amp;IF(tblEjecucion[[#This Row],[operacion]]="","0010",tblEjecucion[[#This Row],[operacion]]))</f>
        <v/>
      </c>
    </row>
    <row r="207">
      <c r="A207" s="3" t="n"/>
      <c r="B207" s="3" t="n"/>
      <c r="C207" s="3" t="n"/>
      <c r="D207" s="3" t="n"/>
      <c r="E207" s="3" t="n"/>
      <c r="F207" s="11" t="n"/>
      <c r="G207" s="11" t="n"/>
      <c r="H207" s="11" t="n"/>
      <c r="I207" s="3" t="n"/>
      <c r="J207" s="3">
        <f>IF(tblEjecucion[[#This Row],[orden]]="","",tblEjecucion[[#This Row],[orden]]&amp;IF(tblEjecucion[[#This Row],[operacion]]="","0010",tblEjecucion[[#This Row],[operacion]]))</f>
        <v/>
      </c>
    </row>
    <row r="208">
      <c r="A208" s="3" t="n"/>
      <c r="B208" s="3" t="n"/>
      <c r="C208" s="3" t="n"/>
      <c r="D208" s="3" t="n"/>
      <c r="E208" s="3" t="n"/>
      <c r="F208" s="11" t="n"/>
      <c r="G208" s="11" t="n"/>
      <c r="H208" s="11" t="n"/>
      <c r="I208" s="3" t="n"/>
      <c r="J208" s="3">
        <f>IF(tblEjecucion[[#This Row],[orden]]="","",tblEjecucion[[#This Row],[orden]]&amp;IF(tblEjecucion[[#This Row],[operacion]]="","0010",tblEjecucion[[#This Row],[operacion]]))</f>
        <v/>
      </c>
    </row>
    <row r="209">
      <c r="A209" s="3" t="n"/>
      <c r="B209" s="3" t="n"/>
      <c r="C209" s="3" t="n"/>
      <c r="D209" s="3" t="n"/>
      <c r="E209" s="3" t="n"/>
      <c r="F209" s="11" t="n"/>
      <c r="G209" s="11" t="n"/>
      <c r="H209" s="11" t="n"/>
      <c r="I209" s="3" t="n"/>
      <c r="J209" s="3">
        <f>IF(tblEjecucion[[#This Row],[orden]]="","",tblEjecucion[[#This Row],[orden]]&amp;IF(tblEjecucion[[#This Row],[operacion]]="","0010",tblEjecucion[[#This Row],[operacion]]))</f>
        <v/>
      </c>
    </row>
    <row r="210">
      <c r="A210" s="3" t="n"/>
      <c r="B210" s="3" t="n"/>
      <c r="C210" s="3" t="n"/>
      <c r="D210" s="3" t="n"/>
      <c r="E210" s="3" t="n"/>
      <c r="F210" s="11" t="n"/>
      <c r="G210" s="11" t="n"/>
      <c r="H210" s="11" t="n"/>
      <c r="I210" s="3" t="n"/>
      <c r="J210" s="3">
        <f>IF(tblEjecucion[[#This Row],[orden]]="","",tblEjecucion[[#This Row],[orden]]&amp;IF(tblEjecucion[[#This Row],[operacion]]="","0010",tblEjecucion[[#This Row],[operacion]]))</f>
        <v/>
      </c>
    </row>
    <row r="211">
      <c r="A211" s="3" t="n"/>
      <c r="B211" s="3" t="n"/>
      <c r="C211" s="3" t="n"/>
      <c r="D211" s="3" t="n"/>
      <c r="E211" s="3" t="n"/>
      <c r="F211" s="11" t="n"/>
      <c r="G211" s="11" t="n"/>
      <c r="H211" s="11" t="n"/>
      <c r="I211" s="3" t="n"/>
      <c r="J211" s="3">
        <f>IF(tblEjecucion[[#This Row],[orden]]="","",tblEjecucion[[#This Row],[orden]]&amp;IF(tblEjecucion[[#This Row],[operacion]]="","0010",tblEjecucion[[#This Row],[operacion]]))</f>
        <v/>
      </c>
    </row>
    <row r="212">
      <c r="A212" s="3" t="n"/>
      <c r="B212" s="3" t="n"/>
      <c r="C212" s="3" t="n"/>
      <c r="D212" s="3" t="n"/>
      <c r="E212" s="3" t="n"/>
      <c r="F212" s="11" t="n"/>
      <c r="G212" s="11" t="n"/>
      <c r="H212" s="11" t="n"/>
      <c r="I212" s="3" t="n"/>
      <c r="J212" s="3">
        <f>IF(tblEjecucion[[#This Row],[orden]]="","",tblEjecucion[[#This Row],[orden]]&amp;IF(tblEjecucion[[#This Row],[operacion]]="","0010",tblEjecucion[[#This Row],[operacion]]))</f>
        <v/>
      </c>
    </row>
    <row r="213">
      <c r="A213" s="3" t="n"/>
      <c r="B213" s="3" t="n"/>
      <c r="C213" s="3" t="n"/>
      <c r="D213" s="3" t="n"/>
      <c r="E213" s="3" t="n"/>
      <c r="F213" s="11" t="n"/>
      <c r="G213" s="11" t="n"/>
      <c r="H213" s="11" t="n"/>
      <c r="I213" s="3" t="n"/>
      <c r="J213" s="3">
        <f>IF(tblEjecucion[[#This Row],[orden]]="","",tblEjecucion[[#This Row],[orden]]&amp;IF(tblEjecucion[[#This Row],[operacion]]="","0010",tblEjecucion[[#This Row],[operacion]]))</f>
        <v/>
      </c>
    </row>
    <row r="214">
      <c r="A214" s="3" t="n"/>
      <c r="B214" s="3" t="n"/>
      <c r="C214" s="3" t="n"/>
      <c r="D214" s="3" t="n"/>
      <c r="E214" s="3" t="n"/>
      <c r="F214" s="11" t="n"/>
      <c r="G214" s="11" t="n"/>
      <c r="H214" s="11" t="n"/>
      <c r="I214" s="3" t="n"/>
      <c r="J214" s="3">
        <f>IF(tblEjecucion[[#This Row],[orden]]="","",tblEjecucion[[#This Row],[orden]]&amp;IF(tblEjecucion[[#This Row],[operacion]]="","0010",tblEjecucion[[#This Row],[operacion]]))</f>
        <v/>
      </c>
    </row>
    <row r="215">
      <c r="A215" s="3" t="n"/>
      <c r="B215" s="3" t="n"/>
      <c r="C215" s="3" t="n"/>
      <c r="D215" s="3" t="n"/>
      <c r="E215" s="3" t="n"/>
      <c r="F215" s="11" t="n"/>
      <c r="G215" s="11" t="n"/>
      <c r="H215" s="11" t="n"/>
      <c r="I215" s="3" t="n"/>
      <c r="J215" s="3">
        <f>IF(tblEjecucion[[#This Row],[orden]]="","",tblEjecucion[[#This Row],[orden]]&amp;IF(tblEjecucion[[#This Row],[operacion]]="","0010",tblEjecucion[[#This Row],[operacion]]))</f>
        <v/>
      </c>
    </row>
    <row r="216">
      <c r="A216" s="3" t="n"/>
      <c r="B216" s="3" t="n"/>
      <c r="C216" s="3" t="n"/>
      <c r="D216" s="3" t="n"/>
      <c r="E216" s="3" t="n"/>
      <c r="F216" s="11" t="n"/>
      <c r="G216" s="11" t="n"/>
      <c r="H216" s="11" t="n"/>
      <c r="I216" s="3" t="n"/>
      <c r="J216" s="3">
        <f>IF(tblEjecucion[[#This Row],[orden]]="","",tblEjecucion[[#This Row],[orden]]&amp;IF(tblEjecucion[[#This Row],[operacion]]="","0010",tblEjecucion[[#This Row],[operacion]]))</f>
        <v/>
      </c>
    </row>
    <row r="217">
      <c r="A217" s="3" t="n"/>
      <c r="B217" s="3" t="n"/>
      <c r="C217" s="3" t="n"/>
      <c r="D217" s="3" t="n"/>
      <c r="E217" s="3" t="n"/>
      <c r="F217" s="11" t="n"/>
      <c r="G217" s="11" t="n"/>
      <c r="H217" s="11" t="n"/>
      <c r="I217" s="3" t="n"/>
      <c r="J217" s="3">
        <f>IF(tblEjecucion[[#This Row],[orden]]="","",tblEjecucion[[#This Row],[orden]]&amp;IF(tblEjecucion[[#This Row],[operacion]]="","0010",tblEjecucion[[#This Row],[operacion]]))</f>
        <v/>
      </c>
    </row>
    <row r="218">
      <c r="A218" s="3" t="n"/>
      <c r="B218" s="3" t="n"/>
      <c r="C218" s="3" t="n"/>
      <c r="D218" s="3" t="n"/>
      <c r="E218" s="3" t="n"/>
      <c r="F218" s="11" t="n"/>
      <c r="G218" s="11" t="n"/>
      <c r="H218" s="11" t="n"/>
      <c r="I218" s="3" t="n"/>
      <c r="J218" s="3">
        <f>IF(tblEjecucion[[#This Row],[orden]]="","",tblEjecucion[[#This Row],[orden]]&amp;IF(tblEjecucion[[#This Row],[operacion]]="","0010",tblEjecucion[[#This Row],[operacion]]))</f>
        <v/>
      </c>
    </row>
    <row r="219">
      <c r="A219" s="3" t="n"/>
      <c r="B219" s="3" t="n"/>
      <c r="C219" s="3" t="n"/>
      <c r="D219" s="3" t="n"/>
      <c r="E219" s="3" t="n"/>
      <c r="F219" s="11" t="n"/>
      <c r="G219" s="11" t="n"/>
      <c r="H219" s="11" t="n"/>
      <c r="I219" s="3" t="n"/>
      <c r="J219" s="3">
        <f>IF(tblEjecucion[[#This Row],[orden]]="","",tblEjecucion[[#This Row],[orden]]&amp;IF(tblEjecucion[[#This Row],[operacion]]="","0010",tblEjecucion[[#This Row],[operacion]]))</f>
        <v/>
      </c>
    </row>
    <row r="220">
      <c r="A220" s="3" t="n"/>
      <c r="B220" s="3" t="n"/>
      <c r="C220" s="3" t="n"/>
      <c r="D220" s="3" t="n"/>
      <c r="E220" s="3" t="n"/>
      <c r="F220" s="11" t="n"/>
      <c r="G220" s="11" t="n"/>
      <c r="H220" s="11" t="n"/>
      <c r="I220" s="3" t="n"/>
      <c r="J220" s="3">
        <f>IF(tblEjecucion[[#This Row],[orden]]="","",tblEjecucion[[#This Row],[orden]]&amp;IF(tblEjecucion[[#This Row],[operacion]]="","0010",tblEjecucion[[#This Row],[operacion]]))</f>
        <v/>
      </c>
    </row>
    <row r="221">
      <c r="A221" s="3" t="n"/>
      <c r="B221" s="3" t="n"/>
      <c r="C221" s="3" t="n"/>
      <c r="D221" s="3" t="n"/>
      <c r="E221" s="3" t="n"/>
      <c r="F221" s="11" t="n"/>
      <c r="G221" s="11" t="n"/>
      <c r="H221" s="11" t="n"/>
      <c r="I221" s="3" t="n"/>
      <c r="J221" s="3">
        <f>IF(tblEjecucion[[#This Row],[orden]]="","",tblEjecucion[[#This Row],[orden]]&amp;IF(tblEjecucion[[#This Row],[operacion]]="","0010",tblEjecucion[[#This Row],[operacion]]))</f>
        <v/>
      </c>
    </row>
    <row r="222">
      <c r="A222" s="3" t="n"/>
      <c r="B222" s="3" t="n"/>
      <c r="C222" s="3" t="n"/>
      <c r="D222" s="3" t="n"/>
      <c r="E222" s="3" t="n"/>
      <c r="F222" s="11" t="n"/>
      <c r="G222" s="11" t="n"/>
      <c r="H222" s="11" t="n"/>
      <c r="I222" s="3" t="n"/>
      <c r="J222" s="3">
        <f>IF(tblEjecucion[[#This Row],[orden]]="","",tblEjecucion[[#This Row],[orden]]&amp;IF(tblEjecucion[[#This Row],[operacion]]="","0010",tblEjecucion[[#This Row],[operacion]]))</f>
        <v/>
      </c>
    </row>
    <row r="223">
      <c r="A223" s="3" t="n"/>
      <c r="B223" s="3" t="n"/>
      <c r="C223" s="3" t="n"/>
      <c r="D223" s="3" t="n"/>
      <c r="E223" s="3" t="n"/>
      <c r="F223" s="11" t="n"/>
      <c r="G223" s="11" t="n"/>
      <c r="H223" s="11" t="n"/>
      <c r="I223" s="3" t="n"/>
      <c r="J223" s="3">
        <f>IF(tblEjecucion[[#This Row],[orden]]="","",tblEjecucion[[#This Row],[orden]]&amp;IF(tblEjecucion[[#This Row],[operacion]]="","0010",tblEjecucion[[#This Row],[operacion]]))</f>
        <v/>
      </c>
    </row>
    <row r="224">
      <c r="A224" s="3" t="n"/>
      <c r="B224" s="3" t="n"/>
      <c r="C224" s="3" t="n"/>
      <c r="D224" s="3" t="n"/>
      <c r="E224" s="3" t="n"/>
      <c r="F224" s="11" t="n"/>
      <c r="G224" s="11" t="n"/>
      <c r="H224" s="11" t="n"/>
      <c r="I224" s="3" t="n"/>
      <c r="J224" s="3">
        <f>IF(tblEjecucion[[#This Row],[orden]]="","",tblEjecucion[[#This Row],[orden]]&amp;IF(tblEjecucion[[#This Row],[operacion]]="","0010",tblEjecucion[[#This Row],[operacion]]))</f>
        <v/>
      </c>
    </row>
    <row r="225">
      <c r="A225" s="3" t="n"/>
      <c r="B225" s="3" t="n"/>
      <c r="C225" s="3" t="n"/>
      <c r="D225" s="3" t="n"/>
      <c r="E225" s="3" t="n"/>
      <c r="F225" s="11" t="n"/>
      <c r="G225" s="11" t="n"/>
      <c r="H225" s="11" t="n"/>
      <c r="I225" s="3" t="n"/>
      <c r="J225" s="3">
        <f>IF(tblEjecucion[[#This Row],[orden]]="","",tblEjecucion[[#This Row],[orden]]&amp;IF(tblEjecucion[[#This Row],[operacion]]="","0010",tblEjecucion[[#This Row],[operacion]]))</f>
        <v/>
      </c>
    </row>
    <row r="226">
      <c r="A226" s="3" t="n"/>
      <c r="B226" s="3" t="n"/>
      <c r="C226" s="3" t="n"/>
      <c r="D226" s="3" t="n"/>
      <c r="E226" s="3" t="n"/>
      <c r="F226" s="11" t="n"/>
      <c r="G226" s="11" t="n"/>
      <c r="H226" s="11" t="n"/>
      <c r="I226" s="3" t="n"/>
      <c r="J226" s="3">
        <f>IF(tblEjecucion[[#This Row],[orden]]="","",tblEjecucion[[#This Row],[orden]]&amp;IF(tblEjecucion[[#This Row],[operacion]]="","0010",tblEjecucion[[#This Row],[operacion]]))</f>
        <v/>
      </c>
    </row>
    <row r="227">
      <c r="A227" s="3" t="n"/>
      <c r="B227" s="3" t="n"/>
      <c r="C227" s="3" t="n"/>
      <c r="D227" s="3" t="n"/>
      <c r="E227" s="3" t="n"/>
      <c r="F227" s="11" t="n"/>
      <c r="G227" s="11" t="n"/>
      <c r="H227" s="11" t="n"/>
      <c r="I227" s="3" t="n"/>
      <c r="J227" s="3">
        <f>IF(tblEjecucion[[#This Row],[orden]]="","",tblEjecucion[[#This Row],[orden]]&amp;IF(tblEjecucion[[#This Row],[operacion]]="","0010",tblEjecucion[[#This Row],[operacion]]))</f>
        <v/>
      </c>
    </row>
    <row r="228">
      <c r="A228" s="3" t="n"/>
      <c r="B228" s="3" t="n"/>
      <c r="C228" s="3" t="n"/>
      <c r="D228" s="3" t="n"/>
      <c r="E228" s="3" t="n"/>
      <c r="F228" s="11" t="n"/>
      <c r="G228" s="11" t="n"/>
      <c r="H228" s="11" t="n"/>
      <c r="I228" s="3" t="n"/>
      <c r="J228" s="3">
        <f>IF(tblEjecucion[[#This Row],[orden]]="","",tblEjecucion[[#This Row],[orden]]&amp;IF(tblEjecucion[[#This Row],[operacion]]="","0010",tblEjecucion[[#This Row],[operacion]]))</f>
        <v/>
      </c>
    </row>
    <row r="229">
      <c r="A229" s="3" t="n"/>
      <c r="B229" s="3" t="n"/>
      <c r="C229" s="3" t="n"/>
      <c r="D229" s="3" t="n"/>
      <c r="E229" s="3" t="n"/>
      <c r="F229" s="11" t="n"/>
      <c r="G229" s="11" t="n"/>
      <c r="H229" s="11" t="n"/>
      <c r="I229" s="3" t="n"/>
      <c r="J229" s="3">
        <f>IF(tblEjecucion[[#This Row],[orden]]="","",tblEjecucion[[#This Row],[orden]]&amp;IF(tblEjecucion[[#This Row],[operacion]]="","0010",tblEjecucion[[#This Row],[operacion]]))</f>
        <v/>
      </c>
    </row>
    <row r="230">
      <c r="A230" s="3" t="n"/>
      <c r="B230" s="3" t="n"/>
      <c r="C230" s="3" t="n"/>
      <c r="D230" s="3" t="n"/>
      <c r="E230" s="3" t="n"/>
      <c r="F230" s="11" t="n"/>
      <c r="G230" s="11" t="n"/>
      <c r="H230" s="11" t="n"/>
      <c r="I230" s="3" t="n"/>
      <c r="J230" s="3">
        <f>IF(tblEjecucion[[#This Row],[orden]]="","",tblEjecucion[[#This Row],[orden]]&amp;IF(tblEjecucion[[#This Row],[operacion]]="","0010",tblEjecucion[[#This Row],[operacion]]))</f>
        <v/>
      </c>
    </row>
    <row r="231">
      <c r="A231" s="3" t="n"/>
      <c r="B231" s="3" t="n"/>
      <c r="C231" s="3" t="n"/>
      <c r="D231" s="3" t="n"/>
      <c r="E231" s="3" t="n"/>
      <c r="F231" s="11" t="n"/>
      <c r="G231" s="11" t="n"/>
      <c r="H231" s="11" t="n"/>
      <c r="I231" s="3" t="n"/>
      <c r="J231" s="3">
        <f>IF(tblEjecucion[[#This Row],[orden]]="","",tblEjecucion[[#This Row],[orden]]&amp;IF(tblEjecucion[[#This Row],[operacion]]="","0010",tblEjecucion[[#This Row],[operacion]]))</f>
        <v/>
      </c>
    </row>
    <row r="232">
      <c r="A232" s="3" t="n"/>
      <c r="B232" s="3" t="n"/>
      <c r="C232" s="3" t="n"/>
      <c r="D232" s="3" t="n"/>
      <c r="E232" s="3" t="n"/>
      <c r="F232" s="11" t="n"/>
      <c r="G232" s="11" t="n"/>
      <c r="H232" s="11" t="n"/>
      <c r="I232" s="3" t="n"/>
      <c r="J232" s="3">
        <f>IF(tblEjecucion[[#This Row],[orden]]="","",tblEjecucion[[#This Row],[orden]]&amp;IF(tblEjecucion[[#This Row],[operacion]]="","0010",tblEjecucion[[#This Row],[operacion]]))</f>
        <v/>
      </c>
    </row>
    <row r="233">
      <c r="A233" s="3" t="n"/>
      <c r="B233" s="3" t="n"/>
      <c r="C233" s="3" t="n"/>
      <c r="D233" s="3" t="n"/>
      <c r="E233" s="3" t="n"/>
      <c r="F233" s="11" t="n"/>
      <c r="G233" s="11" t="n"/>
      <c r="H233" s="11" t="n"/>
      <c r="I233" s="3" t="n"/>
      <c r="J233" s="3">
        <f>IF(tblEjecucion[[#This Row],[orden]]="","",tblEjecucion[[#This Row],[orden]]&amp;IF(tblEjecucion[[#This Row],[operacion]]="","0010",tblEjecucion[[#This Row],[operacion]]))</f>
        <v/>
      </c>
    </row>
    <row r="234">
      <c r="A234" s="3" t="n"/>
      <c r="B234" s="3" t="n"/>
      <c r="C234" s="3" t="n"/>
      <c r="D234" s="3" t="n"/>
      <c r="E234" s="3" t="n"/>
      <c r="F234" s="11" t="n"/>
      <c r="G234" s="11" t="n"/>
      <c r="H234" s="11" t="n"/>
      <c r="I234" s="3" t="n"/>
      <c r="J234" s="3">
        <f>IF(tblEjecucion[[#This Row],[orden]]="","",tblEjecucion[[#This Row],[orden]]&amp;IF(tblEjecucion[[#This Row],[operacion]]="","0010",tblEjecucion[[#This Row],[operacion]]))</f>
        <v/>
      </c>
    </row>
    <row r="235">
      <c r="A235" s="3" t="n"/>
      <c r="B235" s="3" t="n"/>
      <c r="C235" s="3" t="n"/>
      <c r="D235" s="3" t="n"/>
      <c r="E235" s="3" t="n"/>
      <c r="F235" s="11" t="n"/>
      <c r="G235" s="11" t="n"/>
      <c r="H235" s="11" t="n"/>
      <c r="I235" s="3" t="n"/>
      <c r="J235" s="3">
        <f>IF(tblEjecucion[[#This Row],[orden]]="","",tblEjecucion[[#This Row],[orden]]&amp;IF(tblEjecucion[[#This Row],[operacion]]="","0010",tblEjecucion[[#This Row],[operacion]]))</f>
        <v/>
      </c>
    </row>
    <row r="236">
      <c r="A236" s="3" t="n"/>
      <c r="B236" s="3" t="n"/>
      <c r="C236" s="3" t="n"/>
      <c r="D236" s="3" t="n"/>
      <c r="E236" s="3" t="n"/>
      <c r="F236" s="11" t="n"/>
      <c r="G236" s="11" t="n"/>
      <c r="H236" s="11" t="n"/>
      <c r="I236" s="3" t="n"/>
      <c r="J236" s="3">
        <f>IF(tblEjecucion[[#This Row],[orden]]="","",tblEjecucion[[#This Row],[orden]]&amp;IF(tblEjecucion[[#This Row],[operacion]]="","0010",tblEjecucion[[#This Row],[operacion]]))</f>
        <v/>
      </c>
    </row>
    <row r="237">
      <c r="A237" s="3" t="n"/>
      <c r="B237" s="3" t="n"/>
      <c r="C237" s="3" t="n"/>
      <c r="D237" s="3" t="n"/>
      <c r="E237" s="3" t="n"/>
      <c r="F237" s="11" t="n"/>
      <c r="G237" s="11" t="n"/>
      <c r="H237" s="11" t="n"/>
      <c r="I237" s="3" t="n"/>
      <c r="J237" s="3">
        <f>IF(tblEjecucion[[#This Row],[orden]]="","",tblEjecucion[[#This Row],[orden]]&amp;IF(tblEjecucion[[#This Row],[operacion]]="","0010",tblEjecucion[[#This Row],[operacion]]))</f>
        <v/>
      </c>
    </row>
    <row r="238">
      <c r="A238" s="3" t="n"/>
      <c r="B238" s="3" t="n"/>
      <c r="C238" s="3" t="n"/>
      <c r="D238" s="3" t="n"/>
      <c r="E238" s="3" t="n"/>
      <c r="F238" s="11" t="n"/>
      <c r="G238" s="11" t="n"/>
      <c r="H238" s="11" t="n"/>
      <c r="I238" s="3" t="n"/>
      <c r="J238" s="3">
        <f>IF(tblEjecucion[[#This Row],[orden]]="","",tblEjecucion[[#This Row],[orden]]&amp;IF(tblEjecucion[[#This Row],[operacion]]="","0010",tblEjecucion[[#This Row],[operacion]]))</f>
        <v/>
      </c>
    </row>
    <row r="239">
      <c r="A239" s="3" t="n"/>
      <c r="B239" s="3" t="n"/>
      <c r="C239" s="3" t="n"/>
      <c r="D239" s="3" t="n"/>
      <c r="E239" s="3" t="n"/>
      <c r="F239" s="11" t="n"/>
      <c r="G239" s="11" t="n"/>
      <c r="H239" s="11" t="n"/>
      <c r="I239" s="3" t="n"/>
      <c r="J239" s="3">
        <f>IF(tblEjecucion[[#This Row],[orden]]="","",tblEjecucion[[#This Row],[orden]]&amp;IF(tblEjecucion[[#This Row],[operacion]]="","0010",tblEjecucion[[#This Row],[operacion]]))</f>
        <v/>
      </c>
    </row>
    <row r="240">
      <c r="A240" s="3" t="n"/>
      <c r="B240" s="3" t="n"/>
      <c r="C240" s="3" t="n"/>
      <c r="D240" s="3" t="n"/>
      <c r="E240" s="3" t="n"/>
      <c r="F240" s="11" t="n"/>
      <c r="G240" s="11" t="n"/>
      <c r="H240" s="11" t="n"/>
      <c r="I240" s="3" t="n"/>
      <c r="J240" s="3">
        <f>IF(tblEjecucion[[#This Row],[orden]]="","",tblEjecucion[[#This Row],[orden]]&amp;IF(tblEjecucion[[#This Row],[operacion]]="","0010",tblEjecucion[[#This Row],[operacion]]))</f>
        <v/>
      </c>
    </row>
    <row r="241">
      <c r="A241" s="3" t="n"/>
      <c r="B241" s="3" t="n"/>
      <c r="C241" s="3" t="n"/>
      <c r="D241" s="3" t="n"/>
      <c r="E241" s="3" t="n"/>
      <c r="F241" s="11" t="n"/>
      <c r="G241" s="11" t="n"/>
      <c r="H241" s="11" t="n"/>
      <c r="I241" s="3" t="n"/>
      <c r="J241" s="3">
        <f>IF(tblEjecucion[[#This Row],[orden]]="","",tblEjecucion[[#This Row],[orden]]&amp;IF(tblEjecucion[[#This Row],[operacion]]="","0010",tblEjecucion[[#This Row],[operacion]]))</f>
        <v/>
      </c>
    </row>
    <row r="242">
      <c r="A242" s="3" t="n"/>
      <c r="B242" s="3" t="n"/>
      <c r="C242" s="3" t="n"/>
      <c r="D242" s="3" t="n"/>
      <c r="E242" s="3" t="n"/>
      <c r="F242" s="11" t="n"/>
      <c r="G242" s="11" t="n"/>
      <c r="H242" s="11" t="n"/>
      <c r="I242" s="3" t="n"/>
      <c r="J242" s="3">
        <f>IF(tblEjecucion[[#This Row],[orden]]="","",tblEjecucion[[#This Row],[orden]]&amp;IF(tblEjecucion[[#This Row],[operacion]]="","0010",tblEjecucion[[#This Row],[operacion]]))</f>
        <v/>
      </c>
    </row>
    <row r="243">
      <c r="A243" s="3" t="n"/>
      <c r="B243" s="3" t="n"/>
      <c r="C243" s="3" t="n"/>
      <c r="D243" s="3" t="n"/>
      <c r="E243" s="3" t="n"/>
      <c r="F243" s="11" t="n"/>
      <c r="G243" s="11" t="n"/>
      <c r="H243" s="11" t="n"/>
      <c r="I243" s="3" t="n"/>
      <c r="J243" s="3">
        <f>IF(tblEjecucion[[#This Row],[orden]]="","",tblEjecucion[[#This Row],[orden]]&amp;IF(tblEjecucion[[#This Row],[operacion]]="","0010",tblEjecucion[[#This Row],[operacion]]))</f>
        <v/>
      </c>
    </row>
    <row r="244">
      <c r="A244" s="3" t="n"/>
      <c r="B244" s="3" t="n"/>
      <c r="C244" s="3" t="n"/>
      <c r="D244" s="3" t="n"/>
      <c r="E244" s="3" t="n"/>
      <c r="F244" s="11" t="n"/>
      <c r="G244" s="11" t="n"/>
      <c r="H244" s="11" t="n"/>
      <c r="I244" s="3" t="n"/>
      <c r="J244" s="3">
        <f>IF(tblEjecucion[[#This Row],[orden]]="","",tblEjecucion[[#This Row],[orden]]&amp;IF(tblEjecucion[[#This Row],[operacion]]="","0010",tblEjecucion[[#This Row],[operacion]]))</f>
        <v/>
      </c>
    </row>
    <row r="245">
      <c r="A245" s="3" t="n"/>
      <c r="B245" s="3" t="n"/>
      <c r="C245" s="3" t="n"/>
      <c r="D245" s="3" t="n"/>
      <c r="E245" s="3" t="n"/>
      <c r="F245" s="11" t="n"/>
      <c r="G245" s="11" t="n"/>
      <c r="H245" s="11" t="n"/>
      <c r="I245" s="3" t="n"/>
      <c r="J245" s="3">
        <f>IF(tblEjecucion[[#This Row],[orden]]="","",tblEjecucion[[#This Row],[orden]]&amp;IF(tblEjecucion[[#This Row],[operacion]]="","0010",tblEjecucion[[#This Row],[operacion]]))</f>
        <v/>
      </c>
    </row>
    <row r="246">
      <c r="A246" s="3" t="n"/>
      <c r="B246" s="3" t="n"/>
      <c r="C246" s="3" t="n"/>
      <c r="D246" s="3" t="n"/>
      <c r="E246" s="3" t="n"/>
      <c r="F246" s="11" t="n"/>
      <c r="G246" s="11" t="n"/>
      <c r="H246" s="11" t="n"/>
      <c r="I246" s="3" t="n"/>
      <c r="J246" s="3">
        <f>IF(tblEjecucion[[#This Row],[orden]]="","",tblEjecucion[[#This Row],[orden]]&amp;IF(tblEjecucion[[#This Row],[operacion]]="","0010",tblEjecucion[[#This Row],[operacion]]))</f>
        <v/>
      </c>
    </row>
    <row r="247">
      <c r="A247" s="3" t="n"/>
      <c r="B247" s="3" t="n"/>
      <c r="C247" s="3" t="n"/>
      <c r="D247" s="3" t="n"/>
      <c r="E247" s="3" t="n"/>
      <c r="F247" s="11" t="n"/>
      <c r="G247" s="11" t="n"/>
      <c r="H247" s="11" t="n"/>
      <c r="I247" s="3" t="n"/>
      <c r="J247" s="3">
        <f>IF(tblEjecucion[[#This Row],[orden]]="","",tblEjecucion[[#This Row],[orden]]&amp;IF(tblEjecucion[[#This Row],[operacion]]="","0010",tblEjecucion[[#This Row],[operacion]]))</f>
        <v/>
      </c>
    </row>
    <row r="248">
      <c r="A248" s="3" t="n"/>
      <c r="B248" s="3" t="n"/>
      <c r="C248" s="3" t="n"/>
      <c r="D248" s="3" t="n"/>
      <c r="E248" s="3" t="n"/>
      <c r="F248" s="11" t="n"/>
      <c r="G248" s="11" t="n"/>
      <c r="H248" s="11" t="n"/>
      <c r="I248" s="3" t="n"/>
      <c r="J248" s="3">
        <f>IF(tblEjecucion[[#This Row],[orden]]="","",tblEjecucion[[#This Row],[orden]]&amp;IF(tblEjecucion[[#This Row],[operacion]]="","0010",tblEjecucion[[#This Row],[operacion]]))</f>
        <v/>
      </c>
    </row>
    <row r="249">
      <c r="A249" s="3" t="n"/>
      <c r="B249" s="3" t="n"/>
      <c r="C249" s="3" t="n"/>
      <c r="D249" s="3" t="n"/>
      <c r="E249" s="3" t="n"/>
      <c r="F249" s="11" t="n"/>
      <c r="G249" s="11" t="n"/>
      <c r="H249" s="11" t="n"/>
      <c r="I249" s="3" t="n"/>
      <c r="J249" s="3">
        <f>IF(tblEjecucion[[#This Row],[orden]]="","",tblEjecucion[[#This Row],[orden]]&amp;IF(tblEjecucion[[#This Row],[operacion]]="","0010",tblEjecucion[[#This Row],[operacion]]))</f>
        <v/>
      </c>
    </row>
    <row r="250">
      <c r="A250" s="3" t="n"/>
      <c r="B250" s="3" t="n"/>
      <c r="C250" s="3" t="n"/>
      <c r="D250" s="3" t="n"/>
      <c r="E250" s="3" t="n"/>
      <c r="F250" s="11" t="n"/>
      <c r="G250" s="11" t="n"/>
      <c r="H250" s="11" t="n"/>
      <c r="I250" s="3" t="n"/>
      <c r="J250" s="3">
        <f>IF(tblEjecucion[[#This Row],[orden]]="","",tblEjecucion[[#This Row],[orden]]&amp;IF(tblEjecucion[[#This Row],[operacion]]="","0010",tblEjecucion[[#This Row],[operacion]]))</f>
        <v/>
      </c>
    </row>
    <row r="251">
      <c r="A251" s="3" t="n"/>
      <c r="B251" s="3" t="n"/>
      <c r="C251" s="3" t="n"/>
      <c r="D251" s="3" t="n"/>
      <c r="E251" s="3" t="n"/>
      <c r="F251" s="11" t="n"/>
      <c r="G251" s="11" t="n"/>
      <c r="H251" s="11" t="n"/>
      <c r="I251" s="3" t="n"/>
      <c r="J251" s="3">
        <f>IF(tblEjecucion[[#This Row],[orden]]="","",tblEjecucion[[#This Row],[orden]]&amp;IF(tblEjecucion[[#This Row],[operacion]]="","0010",tblEjecucion[[#This Row],[operacion]]))</f>
        <v/>
      </c>
    </row>
    <row r="252">
      <c r="A252" s="3" t="n"/>
      <c r="B252" s="3" t="n"/>
      <c r="C252" s="3" t="n"/>
      <c r="D252" s="3" t="n"/>
      <c r="E252" s="3" t="n"/>
      <c r="F252" s="11" t="n"/>
      <c r="G252" s="11" t="n"/>
      <c r="H252" s="11" t="n"/>
      <c r="I252" s="3" t="n"/>
      <c r="J252" s="3">
        <f>IF(tblEjecucion[[#This Row],[orden]]="","",tblEjecucion[[#This Row],[orden]]&amp;IF(tblEjecucion[[#This Row],[operacion]]="","0010",tblEjecucion[[#This Row],[operacion]]))</f>
        <v/>
      </c>
    </row>
    <row r="253">
      <c r="A253" s="3" t="n"/>
      <c r="B253" s="3" t="n"/>
      <c r="C253" s="3" t="n"/>
      <c r="D253" s="3" t="n"/>
      <c r="E253" s="3" t="n"/>
      <c r="F253" s="11" t="n"/>
      <c r="G253" s="11" t="n"/>
      <c r="H253" s="11" t="n"/>
      <c r="I253" s="3" t="n"/>
      <c r="J253" s="3">
        <f>IF(tblEjecucion[[#This Row],[orden]]="","",tblEjecucion[[#This Row],[orden]]&amp;IF(tblEjecucion[[#This Row],[operacion]]="","0010",tblEjecucion[[#This Row],[operacion]]))</f>
        <v/>
      </c>
    </row>
    <row r="254">
      <c r="A254" s="3" t="n"/>
      <c r="B254" s="3" t="n"/>
      <c r="C254" s="3" t="n"/>
      <c r="D254" s="3" t="n"/>
      <c r="E254" s="3" t="n"/>
      <c r="F254" s="11" t="n"/>
      <c r="G254" s="11" t="n"/>
      <c r="H254" s="11" t="n"/>
      <c r="I254" s="3" t="n"/>
      <c r="J254" s="3">
        <f>IF(tblEjecucion[[#This Row],[orden]]="","",tblEjecucion[[#This Row],[orden]]&amp;IF(tblEjecucion[[#This Row],[operacion]]="","0010",tblEjecucion[[#This Row],[operacion]]))</f>
        <v/>
      </c>
    </row>
    <row r="255">
      <c r="A255" s="3" t="n"/>
      <c r="B255" s="3" t="n"/>
      <c r="C255" s="3" t="n"/>
      <c r="D255" s="3" t="n"/>
      <c r="E255" s="3" t="n"/>
      <c r="F255" s="11" t="n"/>
      <c r="G255" s="11" t="n"/>
      <c r="H255" s="11" t="n"/>
      <c r="I255" s="3" t="n"/>
      <c r="J255" s="3">
        <f>IF(tblEjecucion[[#This Row],[orden]]="","",tblEjecucion[[#This Row],[orden]]&amp;IF(tblEjecucion[[#This Row],[operacion]]="","0010",tblEjecucion[[#This Row],[operacion]]))</f>
        <v/>
      </c>
    </row>
    <row r="256">
      <c r="A256" s="3" t="n"/>
      <c r="B256" s="3" t="n"/>
      <c r="C256" s="3" t="n"/>
      <c r="D256" s="3" t="n"/>
      <c r="E256" s="3" t="n"/>
      <c r="F256" s="11" t="n"/>
      <c r="G256" s="11" t="n"/>
      <c r="H256" s="11" t="n"/>
      <c r="I256" s="3" t="n"/>
      <c r="J256" s="3">
        <f>IF(tblEjecucion[[#This Row],[orden]]="","",tblEjecucion[[#This Row],[orden]]&amp;IF(tblEjecucion[[#This Row],[operacion]]="","0010",tblEjecucion[[#This Row],[operacion]]))</f>
        <v/>
      </c>
    </row>
    <row r="257">
      <c r="A257" s="3" t="n"/>
      <c r="B257" s="3" t="n"/>
      <c r="C257" s="3" t="n"/>
      <c r="D257" s="3" t="n"/>
      <c r="E257" s="3" t="n"/>
      <c r="F257" s="11" t="n"/>
      <c r="G257" s="11" t="n"/>
      <c r="H257" s="11" t="n"/>
      <c r="I257" s="3" t="n"/>
      <c r="J257" s="3">
        <f>IF(tblEjecucion[[#This Row],[orden]]="","",tblEjecucion[[#This Row],[orden]]&amp;IF(tblEjecucion[[#This Row],[operacion]]="","0010",tblEjecucion[[#This Row],[operacion]]))</f>
        <v/>
      </c>
    </row>
    <row r="258">
      <c r="A258" s="3" t="n"/>
      <c r="B258" s="3" t="n"/>
      <c r="C258" s="3" t="n"/>
      <c r="D258" s="3" t="n"/>
      <c r="E258" s="3" t="n"/>
      <c r="F258" s="11" t="n"/>
      <c r="G258" s="11" t="n"/>
      <c r="H258" s="11" t="n"/>
      <c r="I258" s="3" t="n"/>
      <c r="J258" s="3">
        <f>IF(tblEjecucion[[#This Row],[orden]]="","",tblEjecucion[[#This Row],[orden]]&amp;IF(tblEjecucion[[#This Row],[operacion]]="","0010",tblEjecucion[[#This Row],[operacion]]))</f>
        <v/>
      </c>
    </row>
    <row r="259">
      <c r="A259" s="3" t="n"/>
      <c r="B259" s="3" t="n"/>
      <c r="C259" s="3" t="n"/>
      <c r="D259" s="3" t="n"/>
      <c r="E259" s="3" t="n"/>
      <c r="F259" s="11" t="n"/>
      <c r="G259" s="11" t="n"/>
      <c r="H259" s="11" t="n"/>
      <c r="I259" s="3" t="n"/>
      <c r="J259" s="3">
        <f>IF(tblEjecucion[[#This Row],[orden]]="","",tblEjecucion[[#This Row],[orden]]&amp;IF(tblEjecucion[[#This Row],[operacion]]="","0010",tblEjecucion[[#This Row],[operacion]]))</f>
        <v/>
      </c>
    </row>
    <row r="260">
      <c r="A260" s="3" t="n"/>
      <c r="B260" s="3" t="n"/>
      <c r="C260" s="3" t="n"/>
      <c r="D260" s="3" t="n"/>
      <c r="E260" s="3" t="n"/>
      <c r="F260" s="11" t="n"/>
      <c r="G260" s="11" t="n"/>
      <c r="H260" s="11" t="n"/>
      <c r="I260" s="3" t="n"/>
      <c r="J260" s="3">
        <f>IF(tblEjecucion[[#This Row],[orden]]="","",tblEjecucion[[#This Row],[orden]]&amp;IF(tblEjecucion[[#This Row],[operacion]]="","0010",tblEjecucion[[#This Row],[operacion]]))</f>
        <v/>
      </c>
    </row>
    <row r="261">
      <c r="A261" s="3" t="n"/>
      <c r="B261" s="3" t="n"/>
      <c r="C261" s="3" t="n"/>
      <c r="D261" s="3" t="n"/>
      <c r="E261" s="3" t="n"/>
      <c r="F261" s="11" t="n"/>
      <c r="G261" s="11" t="n"/>
      <c r="H261" s="11" t="n"/>
      <c r="I261" s="3" t="n"/>
      <c r="J261" s="3">
        <f>IF(tblEjecucion[[#This Row],[orden]]="","",tblEjecucion[[#This Row],[orden]]&amp;IF(tblEjecucion[[#This Row],[operacion]]="","0010",tblEjecucion[[#This Row],[operacion]]))</f>
        <v/>
      </c>
    </row>
    <row r="262">
      <c r="A262" s="3" t="n"/>
      <c r="B262" s="3" t="n"/>
      <c r="C262" s="3" t="n"/>
      <c r="D262" s="3" t="n"/>
      <c r="E262" s="3" t="n"/>
      <c r="F262" s="11" t="n"/>
      <c r="G262" s="11" t="n"/>
      <c r="H262" s="11" t="n"/>
      <c r="I262" s="3" t="n"/>
      <c r="J262" s="3">
        <f>IF(tblEjecucion[[#This Row],[orden]]="","",tblEjecucion[[#This Row],[orden]]&amp;IF(tblEjecucion[[#This Row],[operacion]]="","0010",tblEjecucion[[#This Row],[operacion]]))</f>
        <v/>
      </c>
    </row>
    <row r="263">
      <c r="A263" s="3" t="n"/>
      <c r="B263" s="3" t="n"/>
      <c r="C263" s="3" t="n"/>
      <c r="D263" s="3" t="n"/>
      <c r="E263" s="3" t="n"/>
      <c r="F263" s="11" t="n"/>
      <c r="G263" s="11" t="n"/>
      <c r="H263" s="11" t="n"/>
      <c r="I263" s="3" t="n"/>
      <c r="J263" s="3">
        <f>IF(tblEjecucion[[#This Row],[orden]]="","",tblEjecucion[[#This Row],[orden]]&amp;IF(tblEjecucion[[#This Row],[operacion]]="","0010",tblEjecucion[[#This Row],[operacion]]))</f>
        <v/>
      </c>
    </row>
    <row r="264">
      <c r="A264" s="3" t="n"/>
      <c r="B264" s="3" t="n"/>
      <c r="C264" s="3" t="n"/>
      <c r="D264" s="3" t="n"/>
      <c r="E264" s="3" t="n"/>
      <c r="F264" s="11" t="n"/>
      <c r="G264" s="11" t="n"/>
      <c r="H264" s="11" t="n"/>
      <c r="I264" s="3" t="n"/>
      <c r="J264" s="3">
        <f>IF(tblEjecucion[[#This Row],[orden]]="","",tblEjecucion[[#This Row],[orden]]&amp;IF(tblEjecucion[[#This Row],[operacion]]="","0010",tblEjecucion[[#This Row],[operacion]]))</f>
        <v/>
      </c>
    </row>
    <row r="265">
      <c r="A265" s="3" t="n"/>
      <c r="B265" s="3" t="n"/>
      <c r="C265" s="3" t="n"/>
      <c r="D265" s="3" t="n"/>
      <c r="E265" s="3" t="n"/>
      <c r="F265" s="11" t="n"/>
      <c r="G265" s="11" t="n"/>
      <c r="H265" s="11" t="n"/>
      <c r="I265" s="3" t="n"/>
      <c r="J265" s="3">
        <f>IF(tblEjecucion[[#This Row],[orden]]="","",tblEjecucion[[#This Row],[orden]]&amp;IF(tblEjecucion[[#This Row],[operacion]]="","0010",tblEjecucion[[#This Row],[operacion]]))</f>
        <v/>
      </c>
    </row>
    <row r="266">
      <c r="A266" s="3" t="n"/>
      <c r="B266" s="3" t="n"/>
      <c r="C266" s="3" t="n"/>
      <c r="D266" s="3" t="n"/>
      <c r="E266" s="3" t="n"/>
      <c r="F266" s="11" t="n"/>
      <c r="G266" s="11" t="n"/>
      <c r="H266" s="11" t="n"/>
      <c r="I266" s="3" t="n"/>
      <c r="J266" s="3">
        <f>IF(tblEjecucion[[#This Row],[orden]]="","",tblEjecucion[[#This Row],[orden]]&amp;IF(tblEjecucion[[#This Row],[operacion]]="","0010",tblEjecucion[[#This Row],[operacion]]))</f>
        <v/>
      </c>
    </row>
    <row r="267">
      <c r="A267" s="3" t="n"/>
      <c r="B267" s="3" t="n"/>
      <c r="C267" s="3" t="n"/>
      <c r="D267" s="3" t="n"/>
      <c r="E267" s="3" t="n"/>
      <c r="F267" s="11" t="n"/>
      <c r="G267" s="11" t="n"/>
      <c r="H267" s="11" t="n"/>
      <c r="I267" s="3" t="n"/>
      <c r="J267" s="3">
        <f>IF(tblEjecucion[[#This Row],[orden]]="","",tblEjecucion[[#This Row],[orden]]&amp;IF(tblEjecucion[[#This Row],[operacion]]="","0010",tblEjecucion[[#This Row],[operacion]]))</f>
        <v/>
      </c>
    </row>
    <row r="268">
      <c r="A268" s="3" t="n"/>
      <c r="B268" s="3" t="n"/>
      <c r="C268" s="3" t="n"/>
      <c r="D268" s="3" t="n"/>
      <c r="E268" s="3" t="n"/>
      <c r="F268" s="11" t="n"/>
      <c r="G268" s="11" t="n"/>
      <c r="H268" s="11" t="n"/>
      <c r="I268" s="3" t="n"/>
      <c r="J268" s="3">
        <f>IF(tblEjecucion[[#This Row],[orden]]="","",tblEjecucion[[#This Row],[orden]]&amp;IF(tblEjecucion[[#This Row],[operacion]]="","0010",tblEjecucion[[#This Row],[operacion]]))</f>
        <v/>
      </c>
    </row>
    <row r="269">
      <c r="A269" s="3" t="n"/>
      <c r="B269" s="3" t="n"/>
      <c r="C269" s="3" t="n"/>
      <c r="D269" s="3" t="n"/>
      <c r="E269" s="3" t="n"/>
      <c r="F269" s="11" t="n"/>
      <c r="G269" s="11" t="n"/>
      <c r="H269" s="11" t="n"/>
      <c r="I269" s="3" t="n"/>
      <c r="J269" s="3">
        <f>IF(tblEjecucion[[#This Row],[orden]]="","",tblEjecucion[[#This Row],[orden]]&amp;IF(tblEjecucion[[#This Row],[operacion]]="","0010",tblEjecucion[[#This Row],[operacion]]))</f>
        <v/>
      </c>
    </row>
    <row r="270">
      <c r="A270" s="3" t="n"/>
      <c r="B270" s="3" t="n"/>
      <c r="C270" s="3" t="n"/>
      <c r="D270" s="3" t="n"/>
      <c r="E270" s="3" t="n"/>
      <c r="F270" s="11" t="n"/>
      <c r="G270" s="11" t="n"/>
      <c r="H270" s="11" t="n"/>
      <c r="I270" s="3" t="n"/>
      <c r="J270" s="3">
        <f>IF(tblEjecucion[[#This Row],[orden]]="","",tblEjecucion[[#This Row],[orden]]&amp;IF(tblEjecucion[[#This Row],[operacion]]="","0010",tblEjecucion[[#This Row],[operacion]]))</f>
        <v/>
      </c>
    </row>
    <row r="271">
      <c r="A271" s="3" t="n"/>
      <c r="B271" s="3" t="n"/>
      <c r="C271" s="3" t="n"/>
      <c r="D271" s="3" t="n"/>
      <c r="E271" s="3" t="n"/>
      <c r="F271" s="11" t="n"/>
      <c r="G271" s="11" t="n"/>
      <c r="H271" s="11" t="n"/>
      <c r="I271" s="3" t="n"/>
      <c r="J271" s="3">
        <f>IF(tblEjecucion[[#This Row],[orden]]="","",tblEjecucion[[#This Row],[orden]]&amp;IF(tblEjecucion[[#This Row],[operacion]]="","0010",tblEjecucion[[#This Row],[operacion]]))</f>
        <v/>
      </c>
    </row>
    <row r="272">
      <c r="A272" s="3" t="n"/>
      <c r="B272" s="3" t="n"/>
      <c r="C272" s="3" t="n"/>
      <c r="D272" s="3" t="n"/>
      <c r="E272" s="3" t="n"/>
      <c r="F272" s="11" t="n"/>
      <c r="G272" s="11" t="n"/>
      <c r="H272" s="11" t="n"/>
      <c r="I272" s="3" t="n"/>
      <c r="J272" s="3">
        <f>IF(tblEjecucion[[#This Row],[orden]]="","",tblEjecucion[[#This Row],[orden]]&amp;IF(tblEjecucion[[#This Row],[operacion]]="","0010",tblEjecucion[[#This Row],[operacion]]))</f>
        <v/>
      </c>
    </row>
    <row r="273">
      <c r="A273" s="3" t="n"/>
      <c r="B273" s="3" t="n"/>
      <c r="C273" s="3" t="n"/>
      <c r="D273" s="3" t="n"/>
      <c r="E273" s="3" t="n"/>
      <c r="F273" s="11" t="n"/>
      <c r="G273" s="11" t="n"/>
      <c r="H273" s="11" t="n"/>
      <c r="I273" s="3" t="n"/>
      <c r="J273" s="3">
        <f>IF(tblEjecucion[[#This Row],[orden]]="","",tblEjecucion[[#This Row],[orden]]&amp;IF(tblEjecucion[[#This Row],[operacion]]="","0010",tblEjecucion[[#This Row],[operacion]]))</f>
        <v/>
      </c>
    </row>
    <row r="274">
      <c r="A274" s="3" t="n"/>
      <c r="B274" s="3" t="n"/>
      <c r="C274" s="3" t="n"/>
      <c r="D274" s="3" t="n"/>
      <c r="E274" s="3" t="n"/>
      <c r="F274" s="11" t="n"/>
      <c r="G274" s="11" t="n"/>
      <c r="H274" s="11" t="n"/>
      <c r="I274" s="3" t="n"/>
      <c r="J274" s="3">
        <f>IF(tblEjecucion[[#This Row],[orden]]="","",tblEjecucion[[#This Row],[orden]]&amp;IF(tblEjecucion[[#This Row],[operacion]]="","0010",tblEjecucion[[#This Row],[operacion]]))</f>
        <v/>
      </c>
    </row>
    <row r="275">
      <c r="A275" s="3" t="n"/>
      <c r="B275" s="3" t="n"/>
      <c r="C275" s="3" t="n"/>
      <c r="D275" s="3" t="n"/>
      <c r="E275" s="3" t="n"/>
      <c r="F275" s="11" t="n"/>
      <c r="G275" s="11" t="n"/>
      <c r="H275" s="11" t="n"/>
      <c r="I275" s="3" t="n"/>
      <c r="J275" s="3">
        <f>IF(tblEjecucion[[#This Row],[orden]]="","",tblEjecucion[[#This Row],[orden]]&amp;IF(tblEjecucion[[#This Row],[operacion]]="","0010",tblEjecucion[[#This Row],[operacion]]))</f>
        <v/>
      </c>
    </row>
    <row r="276">
      <c r="A276" s="3" t="n"/>
      <c r="B276" s="3" t="n"/>
      <c r="C276" s="3" t="n"/>
      <c r="D276" s="3" t="n"/>
      <c r="E276" s="3" t="n"/>
      <c r="F276" s="11" t="n"/>
      <c r="G276" s="11" t="n"/>
      <c r="H276" s="11" t="n"/>
      <c r="I276" s="3" t="n"/>
      <c r="J276" s="3">
        <f>IF(tblEjecucion[[#This Row],[orden]]="","",tblEjecucion[[#This Row],[orden]]&amp;IF(tblEjecucion[[#This Row],[operacion]]="","0010",tblEjecucion[[#This Row],[operacion]]))</f>
        <v/>
      </c>
    </row>
    <row r="277">
      <c r="A277" s="3" t="n"/>
      <c r="B277" s="3" t="n"/>
      <c r="C277" s="3" t="n"/>
      <c r="D277" s="3" t="n"/>
      <c r="E277" s="3" t="n"/>
      <c r="F277" s="11" t="n"/>
      <c r="G277" s="11" t="n"/>
      <c r="H277" s="11" t="n"/>
      <c r="I277" s="3" t="n"/>
      <c r="J277" s="3">
        <f>IF(tblEjecucion[[#This Row],[orden]]="","",tblEjecucion[[#This Row],[orden]]&amp;IF(tblEjecucion[[#This Row],[operacion]]="","0010",tblEjecucion[[#This Row],[operacion]]))</f>
        <v/>
      </c>
    </row>
    <row r="278">
      <c r="A278" s="3" t="n"/>
      <c r="B278" s="3" t="n"/>
      <c r="C278" s="3" t="n"/>
      <c r="D278" s="3" t="n"/>
      <c r="E278" s="3" t="n"/>
      <c r="F278" s="11" t="n"/>
      <c r="G278" s="11" t="n"/>
      <c r="H278" s="11" t="n"/>
      <c r="I278" s="3" t="n"/>
      <c r="J278" s="3">
        <f>IF(tblEjecucion[[#This Row],[orden]]="","",tblEjecucion[[#This Row],[orden]]&amp;IF(tblEjecucion[[#This Row],[operacion]]="","0010",tblEjecucion[[#This Row],[operacion]]))</f>
        <v/>
      </c>
    </row>
    <row r="279">
      <c r="A279" s="3" t="n"/>
      <c r="B279" s="3" t="n"/>
      <c r="C279" s="3" t="n"/>
      <c r="D279" s="3" t="n"/>
      <c r="E279" s="3" t="n"/>
      <c r="F279" s="11" t="n"/>
      <c r="G279" s="11" t="n"/>
      <c r="H279" s="11" t="n"/>
      <c r="I279" s="3" t="n"/>
      <c r="J279" s="3">
        <f>IF(tblEjecucion[[#This Row],[orden]]="","",tblEjecucion[[#This Row],[orden]]&amp;IF(tblEjecucion[[#This Row],[operacion]]="","0010",tblEjecucion[[#This Row],[operacion]]))</f>
        <v/>
      </c>
    </row>
    <row r="280">
      <c r="A280" s="3" t="n"/>
      <c r="B280" s="3" t="n"/>
      <c r="C280" s="3" t="n"/>
      <c r="D280" s="3" t="n"/>
      <c r="E280" s="3" t="n"/>
      <c r="F280" s="11" t="n"/>
      <c r="G280" s="11" t="n"/>
      <c r="H280" s="11" t="n"/>
      <c r="I280" s="3" t="n"/>
      <c r="J280" s="3">
        <f>IF(tblEjecucion[[#This Row],[orden]]="","",tblEjecucion[[#This Row],[orden]]&amp;IF(tblEjecucion[[#This Row],[operacion]]="","0010",tblEjecucion[[#This Row],[operacion]]))</f>
        <v/>
      </c>
    </row>
    <row r="281">
      <c r="A281" s="3" t="n"/>
      <c r="B281" s="3" t="n"/>
      <c r="C281" s="3" t="n"/>
      <c r="D281" s="3" t="n"/>
      <c r="E281" s="3" t="n"/>
      <c r="F281" s="11" t="n"/>
      <c r="G281" s="11" t="n"/>
      <c r="H281" s="11" t="n"/>
      <c r="I281" s="3" t="n"/>
      <c r="J281" s="3">
        <f>IF(tblEjecucion[[#This Row],[orden]]="","",tblEjecucion[[#This Row],[orden]]&amp;IF(tblEjecucion[[#This Row],[operacion]]="","0010",tblEjecucion[[#This Row],[operacion]]))</f>
        <v/>
      </c>
    </row>
    <row r="282">
      <c r="A282" s="3" t="n"/>
      <c r="B282" s="3" t="n"/>
      <c r="C282" s="3" t="n"/>
      <c r="D282" s="3" t="n"/>
      <c r="E282" s="3" t="n"/>
      <c r="F282" s="11" t="n"/>
      <c r="G282" s="11" t="n"/>
      <c r="H282" s="11" t="n"/>
      <c r="I282" s="3" t="n"/>
      <c r="J282" s="3">
        <f>IF(tblEjecucion[[#This Row],[orden]]="","",tblEjecucion[[#This Row],[orden]]&amp;IF(tblEjecucion[[#This Row],[operacion]]="","0010",tblEjecucion[[#This Row],[operacion]]))</f>
        <v/>
      </c>
    </row>
    <row r="283">
      <c r="A283" s="3" t="n"/>
      <c r="B283" s="3" t="n"/>
      <c r="C283" s="3" t="n"/>
      <c r="D283" s="3" t="n"/>
      <c r="E283" s="3" t="n"/>
      <c r="F283" s="11" t="n"/>
      <c r="G283" s="11" t="n"/>
      <c r="H283" s="11" t="n"/>
      <c r="I283" s="3" t="n"/>
      <c r="J283" s="3">
        <f>IF(tblEjecucion[[#This Row],[orden]]="","",tblEjecucion[[#This Row],[orden]]&amp;IF(tblEjecucion[[#This Row],[operacion]]="","0010",tblEjecucion[[#This Row],[operacion]]))</f>
        <v/>
      </c>
    </row>
    <row r="284">
      <c r="A284" s="3" t="n"/>
      <c r="B284" s="3" t="n"/>
      <c r="C284" s="3" t="n"/>
      <c r="D284" s="3" t="n"/>
      <c r="E284" s="3" t="n"/>
      <c r="F284" s="11" t="n"/>
      <c r="G284" s="11" t="n"/>
      <c r="H284" s="11" t="n"/>
      <c r="I284" s="3" t="n"/>
      <c r="J284" s="3">
        <f>IF(tblEjecucion[[#This Row],[orden]]="","",tblEjecucion[[#This Row],[orden]]&amp;IF(tblEjecucion[[#This Row],[operacion]]="","0010",tblEjecucion[[#This Row],[operacion]]))</f>
        <v/>
      </c>
    </row>
    <row r="285">
      <c r="A285" s="3" t="n"/>
      <c r="B285" s="3" t="n"/>
      <c r="C285" s="3" t="n"/>
      <c r="D285" s="3" t="n"/>
      <c r="E285" s="3" t="n"/>
      <c r="F285" s="11" t="n"/>
      <c r="G285" s="11" t="n"/>
      <c r="H285" s="11" t="n"/>
      <c r="I285" s="3" t="n"/>
      <c r="J285" s="3">
        <f>IF(tblEjecucion[[#This Row],[orden]]="","",tblEjecucion[[#This Row],[orden]]&amp;IF(tblEjecucion[[#This Row],[operacion]]="","0010",tblEjecucion[[#This Row],[operacion]]))</f>
        <v/>
      </c>
    </row>
    <row r="286">
      <c r="A286" s="3" t="n"/>
      <c r="B286" s="3" t="n"/>
      <c r="C286" s="3" t="n"/>
      <c r="D286" s="3" t="n"/>
      <c r="E286" s="3" t="n"/>
      <c r="F286" s="11" t="n"/>
      <c r="G286" s="11" t="n"/>
      <c r="H286" s="11" t="n"/>
      <c r="I286" s="3" t="n"/>
      <c r="J286" s="3">
        <f>IF(tblEjecucion[[#This Row],[orden]]="","",tblEjecucion[[#This Row],[orden]]&amp;IF(tblEjecucion[[#This Row],[operacion]]="","0010",tblEjecucion[[#This Row],[operacion]]))</f>
        <v/>
      </c>
    </row>
    <row r="287">
      <c r="A287" s="3" t="n"/>
      <c r="B287" s="3" t="n"/>
      <c r="C287" s="3" t="n"/>
      <c r="D287" s="3" t="n"/>
      <c r="E287" s="3" t="n"/>
      <c r="F287" s="11" t="n"/>
      <c r="G287" s="11" t="n"/>
      <c r="H287" s="11" t="n"/>
      <c r="I287" s="3" t="n"/>
      <c r="J287" s="3">
        <f>IF(tblEjecucion[[#This Row],[orden]]="","",tblEjecucion[[#This Row],[orden]]&amp;IF(tblEjecucion[[#This Row],[operacion]]="","0010",tblEjecucion[[#This Row],[operacion]]))</f>
        <v/>
      </c>
    </row>
    <row r="288">
      <c r="A288" s="3" t="n"/>
      <c r="B288" s="3" t="n"/>
      <c r="C288" s="3" t="n"/>
      <c r="D288" s="3" t="n"/>
      <c r="E288" s="3" t="n"/>
      <c r="F288" s="11" t="n"/>
      <c r="G288" s="11" t="n"/>
      <c r="H288" s="11" t="n"/>
      <c r="I288" s="3" t="n"/>
      <c r="J288" s="3">
        <f>IF(tblEjecucion[[#This Row],[orden]]="","",tblEjecucion[[#This Row],[orden]]&amp;IF(tblEjecucion[[#This Row],[operacion]]="","0010",tblEjecucion[[#This Row],[operacion]]))</f>
        <v/>
      </c>
    </row>
    <row r="289">
      <c r="A289" s="3" t="n"/>
      <c r="B289" s="3" t="n"/>
      <c r="C289" s="3" t="n"/>
      <c r="D289" s="3" t="n"/>
      <c r="E289" s="3" t="n"/>
      <c r="F289" s="11" t="n"/>
      <c r="G289" s="11" t="n"/>
      <c r="H289" s="11" t="n"/>
      <c r="I289" s="3" t="n"/>
      <c r="J289" s="3">
        <f>IF(tblEjecucion[[#This Row],[orden]]="","",tblEjecucion[[#This Row],[orden]]&amp;IF(tblEjecucion[[#This Row],[operacion]]="","0010",tblEjecucion[[#This Row],[operacion]]))</f>
        <v/>
      </c>
    </row>
    <row r="290">
      <c r="A290" s="3" t="n"/>
      <c r="B290" s="3" t="n"/>
      <c r="C290" s="3" t="n"/>
      <c r="D290" s="3" t="n"/>
      <c r="E290" s="3" t="n"/>
      <c r="F290" s="11" t="n"/>
      <c r="G290" s="11" t="n"/>
      <c r="H290" s="11" t="n"/>
      <c r="I290" s="3" t="n"/>
      <c r="J290" s="3">
        <f>IF(tblEjecucion[[#This Row],[orden]]="","",tblEjecucion[[#This Row],[orden]]&amp;IF(tblEjecucion[[#This Row],[operacion]]="","0010",tblEjecucion[[#This Row],[operacion]]))</f>
        <v/>
      </c>
    </row>
    <row r="291">
      <c r="A291" s="3" t="n"/>
      <c r="B291" s="3" t="n"/>
      <c r="C291" s="3" t="n"/>
      <c r="D291" s="3" t="n"/>
      <c r="E291" s="3" t="n"/>
      <c r="F291" s="11" t="n"/>
      <c r="G291" s="11" t="n"/>
      <c r="H291" s="11" t="n"/>
      <c r="I291" s="3" t="n"/>
      <c r="J291" s="3">
        <f>IF(tblEjecucion[[#This Row],[orden]]="","",tblEjecucion[[#This Row],[orden]]&amp;IF(tblEjecucion[[#This Row],[operacion]]="","0010",tblEjecucion[[#This Row],[operacion]]))</f>
        <v/>
      </c>
    </row>
    <row r="292">
      <c r="A292" s="3" t="n"/>
      <c r="B292" s="3" t="n"/>
      <c r="C292" s="3" t="n"/>
      <c r="D292" s="3" t="n"/>
      <c r="E292" s="3" t="n"/>
      <c r="F292" s="11" t="n"/>
      <c r="G292" s="11" t="n"/>
      <c r="H292" s="11" t="n"/>
      <c r="I292" s="3" t="n"/>
      <c r="J292" s="3">
        <f>IF(tblEjecucion[[#This Row],[orden]]="","",tblEjecucion[[#This Row],[orden]]&amp;IF(tblEjecucion[[#This Row],[operacion]]="","0010",tblEjecucion[[#This Row],[operacion]]))</f>
        <v/>
      </c>
    </row>
    <row r="293">
      <c r="A293" s="3" t="n"/>
      <c r="B293" s="3" t="n"/>
      <c r="C293" s="3" t="n"/>
      <c r="D293" s="3" t="n"/>
      <c r="E293" s="3" t="n"/>
      <c r="F293" s="11" t="n"/>
      <c r="G293" s="11" t="n"/>
      <c r="H293" s="11" t="n"/>
      <c r="I293" s="3" t="n"/>
      <c r="J293" s="3">
        <f>IF(tblEjecucion[[#This Row],[orden]]="","",tblEjecucion[[#This Row],[orden]]&amp;IF(tblEjecucion[[#This Row],[operacion]]="","0010",tblEjecucion[[#This Row],[operacion]]))</f>
        <v/>
      </c>
    </row>
    <row r="294">
      <c r="A294" s="3" t="n"/>
      <c r="B294" s="3" t="n"/>
      <c r="C294" s="3" t="n"/>
      <c r="D294" s="3" t="n"/>
      <c r="E294" s="3" t="n"/>
      <c r="F294" s="11" t="n"/>
      <c r="G294" s="11" t="n"/>
      <c r="H294" s="11" t="n"/>
      <c r="I294" s="3" t="n"/>
      <c r="J294" s="3">
        <f>IF(tblEjecucion[[#This Row],[orden]]="","",tblEjecucion[[#This Row],[orden]]&amp;IF(tblEjecucion[[#This Row],[operacion]]="","0010",tblEjecucion[[#This Row],[operacion]]))</f>
        <v/>
      </c>
    </row>
    <row r="295">
      <c r="A295" s="3" t="n"/>
      <c r="B295" s="3" t="n"/>
      <c r="C295" s="3" t="n"/>
      <c r="D295" s="3" t="n"/>
      <c r="E295" s="3" t="n"/>
      <c r="F295" s="11" t="n"/>
      <c r="G295" s="11" t="n"/>
      <c r="H295" s="11" t="n"/>
      <c r="I295" s="3" t="n"/>
      <c r="J295" s="3">
        <f>IF(tblEjecucion[[#This Row],[orden]]="","",tblEjecucion[[#This Row],[orden]]&amp;IF(tblEjecucion[[#This Row],[operacion]]="","0010",tblEjecucion[[#This Row],[operacion]]))</f>
        <v/>
      </c>
    </row>
    <row r="296">
      <c r="A296" s="3" t="n"/>
      <c r="B296" s="3" t="n"/>
      <c r="C296" s="3" t="n"/>
      <c r="D296" s="3" t="n"/>
      <c r="E296" s="3" t="n"/>
      <c r="F296" s="11" t="n"/>
      <c r="G296" s="11" t="n"/>
      <c r="H296" s="11" t="n"/>
      <c r="I296" s="3" t="n"/>
      <c r="J296" s="3">
        <f>IF(tblEjecucion[[#This Row],[orden]]="","",tblEjecucion[[#This Row],[orden]]&amp;IF(tblEjecucion[[#This Row],[operacion]]="","0010",tblEjecucion[[#This Row],[operacion]]))</f>
        <v/>
      </c>
    </row>
    <row r="297">
      <c r="A297" s="3" t="n"/>
      <c r="B297" s="3" t="n"/>
      <c r="C297" s="3" t="n"/>
      <c r="D297" s="3" t="n"/>
      <c r="E297" s="3" t="n"/>
      <c r="F297" s="11" t="n"/>
      <c r="G297" s="11" t="n"/>
      <c r="H297" s="11" t="n"/>
      <c r="I297" s="3" t="n"/>
      <c r="J297" s="3">
        <f>IF(tblEjecucion[[#This Row],[orden]]="","",tblEjecucion[[#This Row],[orden]]&amp;IF(tblEjecucion[[#This Row],[operacion]]="","0010",tblEjecucion[[#This Row],[operacion]]))</f>
        <v/>
      </c>
    </row>
    <row r="298">
      <c r="A298" s="3" t="n"/>
      <c r="B298" s="3" t="n"/>
      <c r="C298" s="3" t="n"/>
      <c r="D298" s="3" t="n"/>
      <c r="E298" s="3" t="n"/>
      <c r="F298" s="11" t="n"/>
      <c r="G298" s="11" t="n"/>
      <c r="H298" s="11" t="n"/>
      <c r="I298" s="3" t="n"/>
      <c r="J298" s="3">
        <f>IF(tblEjecucion[[#This Row],[orden]]="","",tblEjecucion[[#This Row],[orden]]&amp;IF(tblEjecucion[[#This Row],[operacion]]="","0010",tblEjecucion[[#This Row],[operacion]]))</f>
        <v/>
      </c>
    </row>
    <row r="299">
      <c r="A299" s="3" t="n"/>
      <c r="B299" s="3" t="n"/>
      <c r="C299" s="3" t="n"/>
      <c r="D299" s="3" t="n"/>
      <c r="E299" s="3" t="n"/>
      <c r="F299" s="11" t="n"/>
      <c r="G299" s="11" t="n"/>
      <c r="H299" s="11" t="n"/>
      <c r="I299" s="3" t="n"/>
      <c r="J299" s="3">
        <f>IF(tblEjecucion[[#This Row],[orden]]="","",tblEjecucion[[#This Row],[orden]]&amp;IF(tblEjecucion[[#This Row],[operacion]]="","0010",tblEjecucion[[#This Row],[operacion]]))</f>
        <v/>
      </c>
    </row>
    <row r="300">
      <c r="A300" s="3" t="n"/>
      <c r="B300" s="3" t="n"/>
      <c r="C300" s="3" t="n"/>
      <c r="D300" s="3" t="n"/>
      <c r="E300" s="3" t="n"/>
      <c r="F300" s="11" t="n"/>
      <c r="G300" s="11" t="n"/>
      <c r="H300" s="11" t="n"/>
      <c r="I300" s="3" t="n"/>
      <c r="J300" s="3">
        <f>IF(tblEjecucion[[#This Row],[orden]]="","",tblEjecucion[[#This Row],[orden]]&amp;IF(tblEjecucion[[#This Row],[operacion]]="","0010",tblEjecucion[[#This Row],[operacion]]))</f>
        <v/>
      </c>
    </row>
    <row r="301">
      <c r="A301" s="3" t="n"/>
      <c r="B301" s="3" t="n"/>
      <c r="C301" s="3" t="n"/>
      <c r="D301" s="3" t="n"/>
      <c r="E301" s="3" t="n"/>
      <c r="F301" s="11" t="n"/>
      <c r="G301" s="11" t="n"/>
      <c r="H301" s="11" t="n"/>
      <c r="I301" s="3" t="n"/>
      <c r="J301" s="3">
        <f>IF(tblEjecucion[[#This Row],[orden]]="","",tblEjecucion[[#This Row],[orden]]&amp;IF(tblEjecucion[[#This Row],[operacion]]="","0010",tblEjecucion[[#This Row],[operacion]]))</f>
        <v/>
      </c>
    </row>
    <row r="302">
      <c r="A302" s="3" t="n"/>
      <c r="B302" s="3" t="n"/>
      <c r="C302" s="3" t="n"/>
      <c r="D302" s="3" t="n"/>
      <c r="E302" s="3" t="n"/>
      <c r="F302" s="11" t="n"/>
      <c r="G302" s="11" t="n"/>
      <c r="H302" s="11" t="n"/>
      <c r="I302" s="3" t="n"/>
      <c r="J302" s="3">
        <f>IF(tblEjecucion[[#This Row],[orden]]="","",tblEjecucion[[#This Row],[orden]]&amp;IF(tblEjecucion[[#This Row],[operacion]]="","0010",tblEjecucion[[#This Row],[operacion]]))</f>
        <v/>
      </c>
    </row>
    <row r="303">
      <c r="A303" s="3" t="n"/>
      <c r="B303" s="3" t="n"/>
      <c r="C303" s="3" t="n"/>
      <c r="D303" s="3" t="n"/>
      <c r="E303" s="3" t="n"/>
      <c r="F303" s="11" t="n"/>
      <c r="G303" s="11" t="n"/>
      <c r="H303" s="11" t="n"/>
      <c r="I303" s="3" t="n"/>
      <c r="J303" s="3">
        <f>IF(tblEjecucion[[#This Row],[orden]]="","",tblEjecucion[[#This Row],[orden]]&amp;IF(tblEjecucion[[#This Row],[operacion]]="","0010",tblEjecucion[[#This Row],[operacion]]))</f>
        <v/>
      </c>
    </row>
    <row r="304">
      <c r="A304" s="3" t="n"/>
      <c r="B304" s="3" t="n"/>
      <c r="C304" s="3" t="n"/>
      <c r="D304" s="3" t="n"/>
      <c r="E304" s="3" t="n"/>
      <c r="F304" s="11" t="n"/>
      <c r="G304" s="11" t="n"/>
      <c r="H304" s="11" t="n"/>
      <c r="I304" s="3" t="n"/>
      <c r="J304" s="3">
        <f>IF(tblEjecucion[[#This Row],[orden]]="","",tblEjecucion[[#This Row],[orden]]&amp;IF(tblEjecucion[[#This Row],[operacion]]="","0010",tblEjecucion[[#This Row],[operacion]]))</f>
        <v/>
      </c>
    </row>
    <row r="305">
      <c r="A305" s="3" t="n"/>
      <c r="B305" s="3" t="n"/>
      <c r="C305" s="3" t="n"/>
      <c r="D305" s="3" t="n"/>
      <c r="E305" s="3" t="n"/>
      <c r="F305" s="11" t="n"/>
      <c r="G305" s="11" t="n"/>
      <c r="H305" s="11" t="n"/>
      <c r="I305" s="3" t="n"/>
      <c r="J305" s="3">
        <f>IF(tblEjecucion[[#This Row],[orden]]="","",tblEjecucion[[#This Row],[orden]]&amp;IF(tblEjecucion[[#This Row],[operacion]]="","0010",tblEjecucion[[#This Row],[operacion]]))</f>
        <v/>
      </c>
    </row>
    <row r="306">
      <c r="A306" s="3" t="n"/>
      <c r="B306" s="3" t="n"/>
      <c r="C306" s="3" t="n"/>
      <c r="D306" s="3" t="n"/>
      <c r="E306" s="3" t="n"/>
      <c r="F306" s="11" t="n"/>
      <c r="G306" s="11" t="n"/>
      <c r="H306" s="11" t="n"/>
      <c r="I306" s="3" t="n"/>
      <c r="J306" s="3">
        <f>IF(tblEjecucion[[#This Row],[orden]]="","",tblEjecucion[[#This Row],[orden]]&amp;IF(tblEjecucion[[#This Row],[operacion]]="","0010",tblEjecucion[[#This Row],[operacion]]))</f>
        <v/>
      </c>
    </row>
    <row r="307">
      <c r="A307" s="3" t="n"/>
      <c r="B307" s="3" t="n"/>
      <c r="C307" s="3" t="n"/>
      <c r="D307" s="3" t="n"/>
      <c r="E307" s="3" t="n"/>
      <c r="F307" s="11" t="n"/>
      <c r="G307" s="11" t="n"/>
      <c r="H307" s="11" t="n"/>
      <c r="I307" s="3" t="n"/>
      <c r="J307" s="3">
        <f>IF(tblEjecucion[[#This Row],[orden]]="","",tblEjecucion[[#This Row],[orden]]&amp;IF(tblEjecucion[[#This Row],[operacion]]="","0010",tblEjecucion[[#This Row],[operacion]]))</f>
        <v/>
      </c>
    </row>
    <row r="308">
      <c r="A308" s="3" t="n"/>
      <c r="B308" s="3" t="n"/>
      <c r="C308" s="3" t="n"/>
      <c r="D308" s="3" t="n"/>
      <c r="E308" s="3" t="n"/>
      <c r="F308" s="11" t="n"/>
      <c r="G308" s="11" t="n"/>
      <c r="H308" s="11" t="n"/>
      <c r="I308" s="3" t="n"/>
      <c r="J308" s="3">
        <f>IF(tblEjecucion[[#This Row],[orden]]="","",tblEjecucion[[#This Row],[orden]]&amp;IF(tblEjecucion[[#This Row],[operacion]]="","0010",tblEjecucion[[#This Row],[operacion]]))</f>
        <v/>
      </c>
    </row>
    <row r="309">
      <c r="A309" s="3" t="n"/>
      <c r="B309" s="3" t="n"/>
      <c r="C309" s="3" t="n"/>
      <c r="D309" s="3" t="n"/>
      <c r="E309" s="3" t="n"/>
      <c r="F309" s="11" t="n"/>
      <c r="G309" s="11" t="n"/>
      <c r="H309" s="11" t="n"/>
      <c r="I309" s="3" t="n"/>
      <c r="J309" s="3">
        <f>IF(tblEjecucion[[#This Row],[orden]]="","",tblEjecucion[[#This Row],[orden]]&amp;IF(tblEjecucion[[#This Row],[operacion]]="","0010",tblEjecucion[[#This Row],[operacion]]))</f>
        <v/>
      </c>
    </row>
    <row r="310">
      <c r="A310" s="3" t="n"/>
      <c r="B310" s="3" t="n"/>
      <c r="C310" s="3" t="n"/>
      <c r="D310" s="3" t="n"/>
      <c r="E310" s="3" t="n"/>
      <c r="F310" s="11" t="n"/>
      <c r="G310" s="11" t="n"/>
      <c r="H310" s="11" t="n"/>
      <c r="I310" s="3" t="n"/>
      <c r="J310" s="3">
        <f>IF(tblEjecucion[[#This Row],[orden]]="","",tblEjecucion[[#This Row],[orden]]&amp;IF(tblEjecucion[[#This Row],[operacion]]="","0010",tblEjecucion[[#This Row],[operacion]]))</f>
        <v/>
      </c>
    </row>
    <row r="311">
      <c r="A311" s="3" t="n"/>
      <c r="B311" s="3" t="n"/>
      <c r="C311" s="3" t="n"/>
      <c r="D311" s="3" t="n"/>
      <c r="E311" s="3" t="n"/>
      <c r="F311" s="11" t="n"/>
      <c r="G311" s="11" t="n"/>
      <c r="H311" s="11" t="n"/>
      <c r="I311" s="3" t="n"/>
      <c r="J311" s="3">
        <f>IF(tblEjecucion[[#This Row],[orden]]="","",tblEjecucion[[#This Row],[orden]]&amp;IF(tblEjecucion[[#This Row],[operacion]]="","0010",tblEjecucion[[#This Row],[operacion]]))</f>
        <v/>
      </c>
    </row>
    <row r="312">
      <c r="A312" s="3" t="n"/>
      <c r="B312" s="3" t="n"/>
      <c r="C312" s="3" t="n"/>
      <c r="D312" s="3" t="n"/>
      <c r="E312" s="3" t="n"/>
      <c r="F312" s="11" t="n"/>
      <c r="G312" s="11" t="n"/>
      <c r="H312" s="11" t="n"/>
      <c r="I312" s="3" t="n"/>
      <c r="J312" s="3">
        <f>IF(tblEjecucion[[#This Row],[orden]]="","",tblEjecucion[[#This Row],[orden]]&amp;IF(tblEjecucion[[#This Row],[operacion]]="","0010",tblEjecucion[[#This Row],[operacion]]))</f>
        <v/>
      </c>
    </row>
    <row r="313">
      <c r="A313" s="3" t="n"/>
      <c r="B313" s="3" t="n"/>
      <c r="C313" s="3" t="n"/>
      <c r="D313" s="3" t="n"/>
      <c r="E313" s="3" t="n"/>
      <c r="F313" s="11" t="n"/>
      <c r="G313" s="11" t="n"/>
      <c r="H313" s="11" t="n"/>
      <c r="I313" s="3" t="n"/>
      <c r="J313" s="3">
        <f>IF(tblEjecucion[[#This Row],[orden]]="","",tblEjecucion[[#This Row],[orden]]&amp;IF(tblEjecucion[[#This Row],[operacion]]="","0010",tblEjecucion[[#This Row],[operacion]]))</f>
        <v/>
      </c>
    </row>
    <row r="314">
      <c r="A314" s="3" t="n"/>
      <c r="B314" s="3" t="n"/>
      <c r="C314" s="3" t="n"/>
      <c r="D314" s="3" t="n"/>
      <c r="E314" s="3" t="n"/>
      <c r="F314" s="11" t="n"/>
      <c r="G314" s="11" t="n"/>
      <c r="H314" s="11" t="n"/>
      <c r="I314" s="3" t="n"/>
      <c r="J314" s="3">
        <f>IF(tblEjecucion[[#This Row],[orden]]="","",tblEjecucion[[#This Row],[orden]]&amp;IF(tblEjecucion[[#This Row],[operacion]]="","0010",tblEjecucion[[#This Row],[operacion]]))</f>
        <v/>
      </c>
    </row>
    <row r="315">
      <c r="A315" s="3" t="n"/>
      <c r="B315" s="3" t="n"/>
      <c r="C315" s="3" t="n"/>
      <c r="D315" s="3" t="n"/>
      <c r="E315" s="3" t="n"/>
      <c r="F315" s="11" t="n"/>
      <c r="G315" s="11" t="n"/>
      <c r="H315" s="11" t="n"/>
      <c r="I315" s="3" t="n"/>
      <c r="J315" s="3">
        <f>IF(tblEjecucion[[#This Row],[orden]]="","",tblEjecucion[[#This Row],[orden]]&amp;IF(tblEjecucion[[#This Row],[operacion]]="","0010",tblEjecucion[[#This Row],[operacion]]))</f>
        <v/>
      </c>
    </row>
    <row r="316">
      <c r="A316" s="3" t="n"/>
      <c r="B316" s="3" t="n"/>
      <c r="C316" s="3" t="n"/>
      <c r="D316" s="3" t="n"/>
      <c r="E316" s="3" t="n"/>
      <c r="F316" s="11" t="n"/>
      <c r="G316" s="11" t="n"/>
      <c r="H316" s="11" t="n"/>
      <c r="I316" s="3" t="n"/>
      <c r="J316" s="3">
        <f>IF(tblEjecucion[[#This Row],[orden]]="","",tblEjecucion[[#This Row],[orden]]&amp;IF(tblEjecucion[[#This Row],[operacion]]="","0010",tblEjecucion[[#This Row],[operacion]]))</f>
        <v/>
      </c>
    </row>
    <row r="317">
      <c r="A317" s="3" t="n"/>
      <c r="B317" s="3" t="n"/>
      <c r="C317" s="3" t="n"/>
      <c r="D317" s="3" t="n"/>
      <c r="E317" s="3" t="n"/>
      <c r="F317" s="11" t="n"/>
      <c r="G317" s="11" t="n"/>
      <c r="H317" s="11" t="n"/>
      <c r="I317" s="3" t="n"/>
      <c r="J317" s="3">
        <f>IF(tblEjecucion[[#This Row],[orden]]="","",tblEjecucion[[#This Row],[orden]]&amp;IF(tblEjecucion[[#This Row],[operacion]]="","0010",tblEjecucion[[#This Row],[operacion]]))</f>
        <v/>
      </c>
    </row>
    <row r="318">
      <c r="A318" s="3" t="n"/>
      <c r="B318" s="3" t="n"/>
      <c r="C318" s="3" t="n"/>
      <c r="D318" s="3" t="n"/>
      <c r="E318" s="3" t="n"/>
      <c r="F318" s="11" t="n"/>
      <c r="G318" s="11" t="n"/>
      <c r="H318" s="11" t="n"/>
      <c r="I318" s="3" t="n"/>
      <c r="J318" s="3">
        <f>IF(tblEjecucion[[#This Row],[orden]]="","",tblEjecucion[[#This Row],[orden]]&amp;IF(tblEjecucion[[#This Row],[operacion]]="","0010",tblEjecucion[[#This Row],[operacion]]))</f>
        <v/>
      </c>
    </row>
    <row r="319">
      <c r="A319" s="3" t="n"/>
      <c r="B319" s="3" t="n"/>
      <c r="C319" s="3" t="n"/>
      <c r="D319" s="3" t="n"/>
      <c r="E319" s="3" t="n"/>
      <c r="F319" s="11" t="n"/>
      <c r="G319" s="11" t="n"/>
      <c r="H319" s="11" t="n"/>
      <c r="I319" s="3" t="n"/>
      <c r="J319" s="3">
        <f>IF(tblEjecucion[[#This Row],[orden]]="","",tblEjecucion[[#This Row],[orden]]&amp;IF(tblEjecucion[[#This Row],[operacion]]="","0010",tblEjecucion[[#This Row],[operacion]]))</f>
        <v/>
      </c>
    </row>
    <row r="320">
      <c r="A320" s="3" t="n"/>
      <c r="B320" s="3" t="n"/>
      <c r="C320" s="3" t="n"/>
      <c r="D320" s="3" t="n"/>
      <c r="E320" s="3" t="n"/>
      <c r="F320" s="11" t="n"/>
      <c r="G320" s="11" t="n"/>
      <c r="H320" s="11" t="n"/>
      <c r="I320" s="3" t="n"/>
      <c r="J320" s="3">
        <f>IF(tblEjecucion[[#This Row],[orden]]="","",tblEjecucion[[#This Row],[orden]]&amp;IF(tblEjecucion[[#This Row],[operacion]]="","0010",tblEjecucion[[#This Row],[operacion]]))</f>
        <v/>
      </c>
    </row>
    <row r="321">
      <c r="A321" s="3" t="n"/>
      <c r="B321" s="3" t="n"/>
      <c r="C321" s="3" t="n"/>
      <c r="D321" s="3" t="n"/>
      <c r="E321" s="3" t="n"/>
      <c r="F321" s="11" t="n"/>
      <c r="G321" s="11" t="n"/>
      <c r="H321" s="11" t="n"/>
      <c r="I321" s="3" t="n"/>
      <c r="J321" s="3">
        <f>IF(tblEjecucion[[#This Row],[orden]]="","",tblEjecucion[[#This Row],[orden]]&amp;IF(tblEjecucion[[#This Row],[operacion]]="","0010",tblEjecucion[[#This Row],[operacion]]))</f>
        <v/>
      </c>
    </row>
    <row r="322">
      <c r="A322" s="3" t="n"/>
      <c r="B322" s="3" t="n"/>
      <c r="C322" s="3" t="n"/>
      <c r="D322" s="3" t="n"/>
      <c r="E322" s="3" t="n"/>
      <c r="F322" s="11" t="n"/>
      <c r="G322" s="11" t="n"/>
      <c r="H322" s="11" t="n"/>
      <c r="I322" s="3" t="n"/>
      <c r="J322" s="3">
        <f>IF(tblEjecucion[[#This Row],[orden]]="","",tblEjecucion[[#This Row],[orden]]&amp;IF(tblEjecucion[[#This Row],[operacion]]="","0010",tblEjecucion[[#This Row],[operacion]]))</f>
        <v/>
      </c>
    </row>
    <row r="323">
      <c r="A323" s="3" t="n"/>
      <c r="B323" s="3" t="n"/>
      <c r="C323" s="3" t="n"/>
      <c r="D323" s="3" t="n"/>
      <c r="E323" s="3" t="n"/>
      <c r="F323" s="11" t="n"/>
      <c r="G323" s="11" t="n"/>
      <c r="H323" s="11" t="n"/>
      <c r="I323" s="3" t="n"/>
      <c r="J323" s="3">
        <f>IF(tblEjecucion[[#This Row],[orden]]="","",tblEjecucion[[#This Row],[orden]]&amp;IF(tblEjecucion[[#This Row],[operacion]]="","0010",tblEjecucion[[#This Row],[operacion]]))</f>
        <v/>
      </c>
    </row>
    <row r="324">
      <c r="A324" s="3" t="n"/>
      <c r="B324" s="3" t="n"/>
      <c r="C324" s="3" t="n"/>
      <c r="D324" s="3" t="n"/>
      <c r="E324" s="3" t="n"/>
      <c r="F324" s="11" t="n"/>
      <c r="G324" s="11" t="n"/>
      <c r="H324" s="11" t="n"/>
      <c r="I324" s="3" t="n"/>
      <c r="J324" s="3">
        <f>IF(tblEjecucion[[#This Row],[orden]]="","",tblEjecucion[[#This Row],[orden]]&amp;IF(tblEjecucion[[#This Row],[operacion]]="","0010",tblEjecucion[[#This Row],[operacion]]))</f>
        <v/>
      </c>
    </row>
    <row r="325">
      <c r="A325" s="3" t="n"/>
      <c r="B325" s="3" t="n"/>
      <c r="C325" s="3" t="n"/>
      <c r="D325" s="3" t="n"/>
      <c r="E325" s="3" t="n"/>
      <c r="F325" s="11" t="n"/>
      <c r="G325" s="11" t="n"/>
      <c r="H325" s="11" t="n"/>
      <c r="I325" s="3" t="n"/>
      <c r="J325" s="3">
        <f>IF(tblEjecucion[[#This Row],[orden]]="","",tblEjecucion[[#This Row],[orden]]&amp;IF(tblEjecucion[[#This Row],[operacion]]="","0010",tblEjecucion[[#This Row],[operacion]]))</f>
        <v/>
      </c>
    </row>
    <row r="326">
      <c r="A326" s="3" t="n"/>
      <c r="B326" s="3" t="n"/>
      <c r="C326" s="3" t="n"/>
      <c r="D326" s="3" t="n"/>
      <c r="E326" s="3" t="n"/>
      <c r="F326" s="11" t="n"/>
      <c r="G326" s="11" t="n"/>
      <c r="H326" s="11" t="n"/>
      <c r="I326" s="3" t="n"/>
      <c r="J326" s="3">
        <f>IF(tblEjecucion[[#This Row],[orden]]="","",tblEjecucion[[#This Row],[orden]]&amp;IF(tblEjecucion[[#This Row],[operacion]]="","0010",tblEjecucion[[#This Row],[operacion]]))</f>
        <v/>
      </c>
    </row>
    <row r="327">
      <c r="A327" s="3" t="n"/>
      <c r="B327" s="3" t="n"/>
      <c r="C327" s="3" t="n"/>
      <c r="D327" s="3" t="n"/>
      <c r="E327" s="3" t="n"/>
      <c r="F327" s="11" t="n"/>
      <c r="G327" s="11" t="n"/>
      <c r="H327" s="11" t="n"/>
      <c r="I327" s="3" t="n"/>
      <c r="J327" s="3">
        <f>IF(tblEjecucion[[#This Row],[orden]]="","",tblEjecucion[[#This Row],[orden]]&amp;IF(tblEjecucion[[#This Row],[operacion]]="","0010",tblEjecucion[[#This Row],[operacion]]))</f>
        <v/>
      </c>
    </row>
    <row r="328">
      <c r="A328" s="3" t="n"/>
      <c r="B328" s="3" t="n"/>
      <c r="C328" s="3" t="n"/>
      <c r="D328" s="3" t="n"/>
      <c r="E328" s="3" t="n"/>
      <c r="F328" s="11" t="n"/>
      <c r="G328" s="11" t="n"/>
      <c r="H328" s="11" t="n"/>
      <c r="I328" s="3" t="n"/>
      <c r="J328" s="3">
        <f>IF(tblEjecucion[[#This Row],[orden]]="","",tblEjecucion[[#This Row],[orden]]&amp;IF(tblEjecucion[[#This Row],[operacion]]="","0010",tblEjecucion[[#This Row],[operacion]]))</f>
        <v/>
      </c>
    </row>
    <row r="329">
      <c r="A329" s="3" t="n"/>
      <c r="B329" s="3" t="n"/>
      <c r="C329" s="3" t="n"/>
      <c r="D329" s="3" t="n"/>
      <c r="E329" s="3" t="n"/>
      <c r="F329" s="11" t="n"/>
      <c r="G329" s="11" t="n"/>
      <c r="H329" s="11" t="n"/>
      <c r="I329" s="3" t="n"/>
      <c r="J329" s="3">
        <f>IF(tblEjecucion[[#This Row],[orden]]="","",tblEjecucion[[#This Row],[orden]]&amp;IF(tblEjecucion[[#This Row],[operacion]]="","0010",tblEjecucion[[#This Row],[operacion]]))</f>
        <v/>
      </c>
    </row>
    <row r="330">
      <c r="A330" s="3" t="n"/>
      <c r="B330" s="3" t="n"/>
      <c r="C330" s="3" t="n"/>
      <c r="D330" s="3" t="n"/>
      <c r="E330" s="3" t="n"/>
      <c r="F330" s="11" t="n"/>
      <c r="G330" s="11" t="n"/>
      <c r="H330" s="11" t="n"/>
      <c r="I330" s="3" t="n"/>
      <c r="J330" s="3">
        <f>IF(tblEjecucion[[#This Row],[orden]]="","",tblEjecucion[[#This Row],[orden]]&amp;IF(tblEjecucion[[#This Row],[operacion]]="","0010",tblEjecucion[[#This Row],[operacion]]))</f>
        <v/>
      </c>
    </row>
    <row r="331">
      <c r="A331" s="3" t="n"/>
      <c r="B331" s="3" t="n"/>
      <c r="C331" s="3" t="n"/>
      <c r="D331" s="3" t="n"/>
      <c r="E331" s="3" t="n"/>
      <c r="F331" s="11" t="n"/>
      <c r="G331" s="11" t="n"/>
      <c r="H331" s="11" t="n"/>
      <c r="I331" s="3" t="n"/>
      <c r="J331" s="3">
        <f>IF(tblEjecucion[[#This Row],[orden]]="","",tblEjecucion[[#This Row],[orden]]&amp;IF(tblEjecucion[[#This Row],[operacion]]="","0010",tblEjecucion[[#This Row],[operacion]]))</f>
        <v/>
      </c>
    </row>
    <row r="332">
      <c r="A332" s="3" t="n"/>
      <c r="B332" s="3" t="n"/>
      <c r="C332" s="3" t="n"/>
      <c r="D332" s="3" t="n"/>
      <c r="E332" s="3" t="n"/>
      <c r="F332" s="11" t="n"/>
      <c r="G332" s="11" t="n"/>
      <c r="H332" s="11" t="n"/>
      <c r="I332" s="3" t="n"/>
      <c r="J332" s="3">
        <f>IF(tblEjecucion[[#This Row],[orden]]="","",tblEjecucion[[#This Row],[orden]]&amp;IF(tblEjecucion[[#This Row],[operacion]]="","0010",tblEjecucion[[#This Row],[operacion]]))</f>
        <v/>
      </c>
    </row>
    <row r="333">
      <c r="A333" s="3" t="n"/>
      <c r="B333" s="3" t="n"/>
      <c r="C333" s="3" t="n"/>
      <c r="D333" s="3" t="n"/>
      <c r="E333" s="3" t="n"/>
      <c r="F333" s="11" t="n"/>
      <c r="G333" s="11" t="n"/>
      <c r="H333" s="11" t="n"/>
      <c r="I333" s="3" t="n"/>
      <c r="J333" s="3">
        <f>IF(tblEjecucion[[#This Row],[orden]]="","",tblEjecucion[[#This Row],[orden]]&amp;IF(tblEjecucion[[#This Row],[operacion]]="","0010",tblEjecucion[[#This Row],[operacion]]))</f>
        <v/>
      </c>
    </row>
    <row r="334">
      <c r="A334" s="3" t="n"/>
      <c r="B334" s="3" t="n"/>
      <c r="C334" s="3" t="n"/>
      <c r="D334" s="3" t="n"/>
      <c r="E334" s="3" t="n"/>
      <c r="F334" s="11" t="n"/>
      <c r="G334" s="11" t="n"/>
      <c r="H334" s="11" t="n"/>
      <c r="I334" s="3" t="n"/>
      <c r="J334" s="3">
        <f>IF(tblEjecucion[[#This Row],[orden]]="","",tblEjecucion[[#This Row],[orden]]&amp;IF(tblEjecucion[[#This Row],[operacion]]="","0010",tblEjecucion[[#This Row],[operacion]]))</f>
        <v/>
      </c>
    </row>
    <row r="335">
      <c r="A335" s="3" t="n"/>
      <c r="B335" s="3" t="n"/>
      <c r="C335" s="3" t="n"/>
      <c r="D335" s="3" t="n"/>
      <c r="E335" s="3" t="n"/>
      <c r="F335" s="11" t="n"/>
      <c r="G335" s="11" t="n"/>
      <c r="H335" s="11" t="n"/>
      <c r="I335" s="3" t="n"/>
      <c r="J335" s="3">
        <f>IF(tblEjecucion[[#This Row],[orden]]="","",tblEjecucion[[#This Row],[orden]]&amp;IF(tblEjecucion[[#This Row],[operacion]]="","0010",tblEjecucion[[#This Row],[operacion]]))</f>
        <v/>
      </c>
    </row>
    <row r="336">
      <c r="A336" s="3" t="n"/>
      <c r="B336" s="3" t="n"/>
      <c r="C336" s="3" t="n"/>
      <c r="D336" s="3" t="n"/>
      <c r="E336" s="3" t="n"/>
      <c r="F336" s="11" t="n"/>
      <c r="G336" s="11" t="n"/>
      <c r="H336" s="11" t="n"/>
      <c r="I336" s="3" t="n"/>
      <c r="J336" s="3">
        <f>IF(tblEjecucion[[#This Row],[orden]]="","",tblEjecucion[[#This Row],[orden]]&amp;IF(tblEjecucion[[#This Row],[operacion]]="","0010",tblEjecucion[[#This Row],[operacion]]))</f>
        <v/>
      </c>
    </row>
    <row r="337">
      <c r="A337" s="3" t="n"/>
      <c r="B337" s="3" t="n"/>
      <c r="C337" s="3" t="n"/>
      <c r="D337" s="3" t="n"/>
      <c r="E337" s="3" t="n"/>
      <c r="F337" s="11" t="n"/>
      <c r="G337" s="11" t="n"/>
      <c r="H337" s="11" t="n"/>
      <c r="I337" s="3" t="n"/>
      <c r="J337" s="3">
        <f>IF(tblEjecucion[[#This Row],[orden]]="","",tblEjecucion[[#This Row],[orden]]&amp;IF(tblEjecucion[[#This Row],[operacion]]="","0010",tblEjecucion[[#This Row],[operacion]]))</f>
        <v/>
      </c>
    </row>
    <row r="338">
      <c r="A338" s="3" t="n"/>
      <c r="B338" s="3" t="n"/>
      <c r="C338" s="3" t="n"/>
      <c r="D338" s="3" t="n"/>
      <c r="E338" s="3" t="n"/>
      <c r="F338" s="11" t="n"/>
      <c r="G338" s="11" t="n"/>
      <c r="H338" s="11" t="n"/>
      <c r="I338" s="3" t="n"/>
      <c r="J338" s="3">
        <f>IF(tblEjecucion[[#This Row],[orden]]="","",tblEjecucion[[#This Row],[orden]]&amp;IF(tblEjecucion[[#This Row],[operacion]]="","0010",tblEjecucion[[#This Row],[operacion]]))</f>
        <v/>
      </c>
    </row>
    <row r="339">
      <c r="A339" s="3" t="n"/>
      <c r="B339" s="3" t="n"/>
      <c r="C339" s="3" t="n"/>
      <c r="D339" s="3" t="n"/>
      <c r="E339" s="3" t="n"/>
      <c r="F339" s="11" t="n"/>
      <c r="G339" s="11" t="n"/>
      <c r="H339" s="11" t="n"/>
      <c r="I339" s="3" t="n"/>
      <c r="J339" s="3">
        <f>IF(tblEjecucion[[#This Row],[orden]]="","",tblEjecucion[[#This Row],[orden]]&amp;IF(tblEjecucion[[#This Row],[operacion]]="","0010",tblEjecucion[[#This Row],[operacion]]))</f>
        <v/>
      </c>
    </row>
    <row r="340">
      <c r="A340" s="3" t="n"/>
      <c r="B340" s="3" t="n"/>
      <c r="C340" s="3" t="n"/>
      <c r="D340" s="3" t="n"/>
      <c r="E340" s="3" t="n"/>
      <c r="F340" s="11" t="n"/>
      <c r="G340" s="11" t="n"/>
      <c r="H340" s="11" t="n"/>
      <c r="I340" s="3" t="n"/>
      <c r="J340" s="3">
        <f>IF(tblEjecucion[[#This Row],[orden]]="","",tblEjecucion[[#This Row],[orden]]&amp;IF(tblEjecucion[[#This Row],[operacion]]="","0010",tblEjecucion[[#This Row],[operacion]]))</f>
        <v/>
      </c>
    </row>
    <row r="341">
      <c r="A341" s="3" t="n"/>
      <c r="B341" s="3" t="n"/>
      <c r="C341" s="3" t="n"/>
      <c r="D341" s="3" t="n"/>
      <c r="E341" s="3" t="n"/>
      <c r="F341" s="11" t="n"/>
      <c r="G341" s="11" t="n"/>
      <c r="H341" s="11" t="n"/>
      <c r="I341" s="3" t="n"/>
      <c r="J341" s="3">
        <f>IF(tblEjecucion[[#This Row],[orden]]="","",tblEjecucion[[#This Row],[orden]]&amp;IF(tblEjecucion[[#This Row],[operacion]]="","0010",tblEjecucion[[#This Row],[operacion]]))</f>
        <v/>
      </c>
    </row>
    <row r="342">
      <c r="A342" s="3" t="n"/>
      <c r="B342" s="3" t="n"/>
      <c r="C342" s="3" t="n"/>
      <c r="D342" s="3" t="n"/>
      <c r="E342" s="3" t="n"/>
      <c r="F342" s="11" t="n"/>
      <c r="G342" s="11" t="n"/>
      <c r="H342" s="11" t="n"/>
      <c r="I342" s="3" t="n"/>
      <c r="J342" s="3">
        <f>IF(tblEjecucion[[#This Row],[orden]]="","",tblEjecucion[[#This Row],[orden]]&amp;IF(tblEjecucion[[#This Row],[operacion]]="","0010",tblEjecucion[[#This Row],[operacion]]))</f>
        <v/>
      </c>
    </row>
    <row r="343">
      <c r="A343" s="3" t="n"/>
      <c r="B343" s="3" t="n"/>
      <c r="C343" s="3" t="n"/>
      <c r="D343" s="3" t="n"/>
      <c r="E343" s="3" t="n"/>
      <c r="F343" s="11" t="n"/>
      <c r="G343" s="11" t="n"/>
      <c r="H343" s="11" t="n"/>
      <c r="I343" s="3" t="n"/>
      <c r="J343" s="3">
        <f>IF(tblEjecucion[[#This Row],[orden]]="","",tblEjecucion[[#This Row],[orden]]&amp;IF(tblEjecucion[[#This Row],[operacion]]="","0010",tblEjecucion[[#This Row],[operacion]]))</f>
        <v/>
      </c>
    </row>
    <row r="344">
      <c r="A344" s="3" t="n"/>
      <c r="B344" s="3" t="n"/>
      <c r="C344" s="3" t="n"/>
      <c r="D344" s="3" t="n"/>
      <c r="E344" s="3" t="n"/>
      <c r="F344" s="11" t="n"/>
      <c r="G344" s="11" t="n"/>
      <c r="H344" s="11" t="n"/>
      <c r="I344" s="3" t="n"/>
      <c r="J344" s="3">
        <f>IF(tblEjecucion[[#This Row],[orden]]="","",tblEjecucion[[#This Row],[orden]]&amp;IF(tblEjecucion[[#This Row],[operacion]]="","0010",tblEjecucion[[#This Row],[operacion]]))</f>
        <v/>
      </c>
    </row>
    <row r="345">
      <c r="A345" s="3" t="n"/>
      <c r="B345" s="3" t="n"/>
      <c r="C345" s="3" t="n"/>
      <c r="D345" s="3" t="n"/>
      <c r="E345" s="3" t="n"/>
      <c r="F345" s="11" t="n"/>
      <c r="G345" s="11" t="n"/>
      <c r="H345" s="11" t="n"/>
      <c r="I345" s="3" t="n"/>
      <c r="J345" s="3">
        <f>IF(tblEjecucion[[#This Row],[orden]]="","",tblEjecucion[[#This Row],[orden]]&amp;IF(tblEjecucion[[#This Row],[operacion]]="","0010",tblEjecucion[[#This Row],[operacion]]))</f>
        <v/>
      </c>
    </row>
    <row r="346">
      <c r="A346" s="3" t="n"/>
      <c r="B346" s="3" t="n"/>
      <c r="C346" s="3" t="n"/>
      <c r="D346" s="3" t="n"/>
      <c r="E346" s="3" t="n"/>
      <c r="F346" s="11" t="n"/>
      <c r="G346" s="11" t="n"/>
      <c r="H346" s="11" t="n"/>
      <c r="I346" s="3" t="n"/>
      <c r="J346" s="3">
        <f>IF(tblEjecucion[[#This Row],[orden]]="","",tblEjecucion[[#This Row],[orden]]&amp;IF(tblEjecucion[[#This Row],[operacion]]="","0010",tblEjecucion[[#This Row],[operacion]]))</f>
        <v/>
      </c>
    </row>
    <row r="347">
      <c r="A347" s="3" t="n"/>
      <c r="B347" s="3" t="n"/>
      <c r="C347" s="3" t="n"/>
      <c r="D347" s="3" t="n"/>
      <c r="E347" s="3" t="n"/>
      <c r="F347" s="11" t="n"/>
      <c r="G347" s="11" t="n"/>
      <c r="H347" s="11" t="n"/>
      <c r="I347" s="3" t="n"/>
      <c r="J347" s="3">
        <f>IF(tblEjecucion[[#This Row],[orden]]="","",tblEjecucion[[#This Row],[orden]]&amp;IF(tblEjecucion[[#This Row],[operacion]]="","0010",tblEjecucion[[#This Row],[operacion]]))</f>
        <v/>
      </c>
    </row>
    <row r="348">
      <c r="A348" s="3" t="n"/>
      <c r="B348" s="3" t="n"/>
      <c r="C348" s="3" t="n"/>
      <c r="D348" s="3" t="n"/>
      <c r="E348" s="3" t="n"/>
      <c r="F348" s="11" t="n"/>
      <c r="G348" s="11" t="n"/>
      <c r="H348" s="11" t="n"/>
      <c r="I348" s="3" t="n"/>
      <c r="J348" s="3">
        <f>IF(tblEjecucion[[#This Row],[orden]]="","",tblEjecucion[[#This Row],[orden]]&amp;IF(tblEjecucion[[#This Row],[operacion]]="","0010",tblEjecucion[[#This Row],[operacion]]))</f>
        <v/>
      </c>
    </row>
    <row r="349">
      <c r="A349" s="3" t="n"/>
      <c r="B349" s="3" t="n"/>
      <c r="C349" s="3" t="n"/>
      <c r="D349" s="3" t="n"/>
      <c r="E349" s="3" t="n"/>
      <c r="F349" s="11" t="n"/>
      <c r="G349" s="11" t="n"/>
      <c r="H349" s="11" t="n"/>
      <c r="I349" s="3" t="n"/>
      <c r="J349" s="3">
        <f>IF(tblEjecucion[[#This Row],[orden]]="","",tblEjecucion[[#This Row],[orden]]&amp;IF(tblEjecucion[[#This Row],[operacion]]="","0010",tblEjecucion[[#This Row],[operacion]]))</f>
        <v/>
      </c>
    </row>
    <row r="350">
      <c r="A350" s="3" t="n"/>
      <c r="B350" s="3" t="n"/>
      <c r="C350" s="3" t="n"/>
      <c r="D350" s="3" t="n"/>
      <c r="E350" s="3" t="n"/>
      <c r="F350" s="11" t="n"/>
      <c r="G350" s="11" t="n"/>
      <c r="H350" s="11" t="n"/>
      <c r="I350" s="3" t="n"/>
      <c r="J350" s="3">
        <f>IF(tblEjecucion[[#This Row],[orden]]="","",tblEjecucion[[#This Row],[orden]]&amp;IF(tblEjecucion[[#This Row],[operacion]]="","0010",tblEjecucion[[#This Row],[operacion]]))</f>
        <v/>
      </c>
    </row>
    <row r="351">
      <c r="A351" s="3" t="n"/>
      <c r="B351" s="3" t="n"/>
      <c r="C351" s="3" t="n"/>
      <c r="D351" s="3" t="n"/>
      <c r="E351" s="3" t="n"/>
      <c r="F351" s="11" t="n"/>
      <c r="G351" s="11" t="n"/>
      <c r="H351" s="11" t="n"/>
      <c r="I351" s="3" t="n"/>
      <c r="J351" s="3">
        <f>IF(tblEjecucion[[#This Row],[orden]]="","",tblEjecucion[[#This Row],[orden]]&amp;IF(tblEjecucion[[#This Row],[operacion]]="","0010",tblEjecucion[[#This Row],[operacion]]))</f>
        <v/>
      </c>
    </row>
    <row r="352">
      <c r="A352" s="3" t="n"/>
      <c r="B352" s="3" t="n"/>
      <c r="C352" s="3" t="n"/>
      <c r="D352" s="3" t="n"/>
      <c r="E352" s="3" t="n"/>
      <c r="F352" s="11" t="n"/>
      <c r="G352" s="11" t="n"/>
      <c r="H352" s="11" t="n"/>
      <c r="I352" s="3" t="n"/>
      <c r="J352" s="3">
        <f>IF(tblEjecucion[[#This Row],[orden]]="","",tblEjecucion[[#This Row],[orden]]&amp;IF(tblEjecucion[[#This Row],[operacion]]="","0010",tblEjecucion[[#This Row],[operacion]]))</f>
        <v/>
      </c>
    </row>
    <row r="353">
      <c r="A353" s="3" t="n"/>
      <c r="B353" s="3" t="n"/>
      <c r="C353" s="3" t="n"/>
      <c r="D353" s="3" t="n"/>
      <c r="E353" s="3" t="n"/>
      <c r="F353" s="11" t="n"/>
      <c r="G353" s="11" t="n"/>
      <c r="H353" s="11" t="n"/>
      <c r="I353" s="3" t="n"/>
      <c r="J353" s="3">
        <f>IF(tblEjecucion[[#This Row],[orden]]="","",tblEjecucion[[#This Row],[orden]]&amp;IF(tblEjecucion[[#This Row],[operacion]]="","0010",tblEjecucion[[#This Row],[operacion]]))</f>
        <v/>
      </c>
    </row>
    <row r="354">
      <c r="A354" s="3" t="n"/>
      <c r="B354" s="3" t="n"/>
      <c r="C354" s="3" t="n"/>
      <c r="D354" s="3" t="n"/>
      <c r="E354" s="3" t="n"/>
      <c r="F354" s="11" t="n"/>
      <c r="G354" s="11" t="n"/>
      <c r="H354" s="11" t="n"/>
      <c r="I354" s="3" t="n"/>
      <c r="J354" s="3">
        <f>IF(tblEjecucion[[#This Row],[orden]]="","",tblEjecucion[[#This Row],[orden]]&amp;IF(tblEjecucion[[#This Row],[operacion]]="","0010",tblEjecucion[[#This Row],[operacion]]))</f>
        <v/>
      </c>
    </row>
    <row r="355">
      <c r="A355" s="3" t="n"/>
      <c r="B355" s="3" t="n"/>
      <c r="C355" s="3" t="n"/>
      <c r="D355" s="3" t="n"/>
      <c r="E355" s="3" t="n"/>
      <c r="F355" s="11" t="n"/>
      <c r="G355" s="11" t="n"/>
      <c r="H355" s="11" t="n"/>
      <c r="I355" s="3" t="n"/>
      <c r="J355" s="3">
        <f>IF(tblEjecucion[[#This Row],[orden]]="","",tblEjecucion[[#This Row],[orden]]&amp;IF(tblEjecucion[[#This Row],[operacion]]="","0010",tblEjecucion[[#This Row],[operacion]]))</f>
        <v/>
      </c>
    </row>
    <row r="356">
      <c r="A356" s="3" t="n"/>
      <c r="B356" s="3" t="n"/>
      <c r="C356" s="3" t="n"/>
      <c r="D356" s="3" t="n"/>
      <c r="E356" s="3" t="n"/>
      <c r="F356" s="11" t="n"/>
      <c r="G356" s="11" t="n"/>
      <c r="H356" s="11" t="n"/>
      <c r="I356" s="3" t="n"/>
      <c r="J356" s="3">
        <f>IF(tblEjecucion[[#This Row],[orden]]="","",tblEjecucion[[#This Row],[orden]]&amp;IF(tblEjecucion[[#This Row],[operacion]]="","0010",tblEjecucion[[#This Row],[operacion]]))</f>
        <v/>
      </c>
    </row>
    <row r="357">
      <c r="A357" s="3" t="n"/>
      <c r="B357" s="3" t="n"/>
      <c r="C357" s="3" t="n"/>
      <c r="D357" s="3" t="n"/>
      <c r="E357" s="3" t="n"/>
      <c r="F357" s="11" t="n"/>
      <c r="G357" s="11" t="n"/>
      <c r="H357" s="11" t="n"/>
      <c r="I357" s="3" t="n"/>
      <c r="J357" s="3">
        <f>IF(tblEjecucion[[#This Row],[orden]]="","",tblEjecucion[[#This Row],[orden]]&amp;IF(tblEjecucion[[#This Row],[operacion]]="","0010",tblEjecucion[[#This Row],[operacion]]))</f>
        <v/>
      </c>
    </row>
    <row r="358">
      <c r="A358" s="3" t="n"/>
      <c r="B358" s="3" t="n"/>
      <c r="C358" s="3" t="n"/>
      <c r="D358" s="3" t="n"/>
      <c r="E358" s="3" t="n"/>
      <c r="F358" s="11" t="n"/>
      <c r="G358" s="11" t="n"/>
      <c r="H358" s="11" t="n"/>
      <c r="I358" s="3" t="n"/>
      <c r="J358" s="3">
        <f>IF(tblEjecucion[[#This Row],[orden]]="","",tblEjecucion[[#This Row],[orden]]&amp;IF(tblEjecucion[[#This Row],[operacion]]="","0010",tblEjecucion[[#This Row],[operacion]]))</f>
        <v/>
      </c>
    </row>
    <row r="359">
      <c r="A359" s="3" t="n"/>
      <c r="B359" s="3" t="n"/>
      <c r="C359" s="3" t="n"/>
      <c r="D359" s="3" t="n"/>
      <c r="E359" s="3" t="n"/>
      <c r="F359" s="11" t="n"/>
      <c r="G359" s="11" t="n"/>
      <c r="H359" s="11" t="n"/>
      <c r="I359" s="3" t="n"/>
      <c r="J359" s="3">
        <f>IF(tblEjecucion[[#This Row],[orden]]="","",tblEjecucion[[#This Row],[orden]]&amp;IF(tblEjecucion[[#This Row],[operacion]]="","0010",tblEjecucion[[#This Row],[operacion]]))</f>
        <v/>
      </c>
    </row>
    <row r="360">
      <c r="A360" s="3" t="n"/>
      <c r="B360" s="3" t="n"/>
      <c r="C360" s="3" t="n"/>
      <c r="D360" s="3" t="n"/>
      <c r="E360" s="3" t="n"/>
      <c r="F360" s="11" t="n"/>
      <c r="G360" s="11" t="n"/>
      <c r="H360" s="11" t="n"/>
      <c r="I360" s="3" t="n"/>
      <c r="J360" s="3">
        <f>IF(tblEjecucion[[#This Row],[orden]]="","",tblEjecucion[[#This Row],[orden]]&amp;IF(tblEjecucion[[#This Row],[operacion]]="","0010",tblEjecucion[[#This Row],[operacion]]))</f>
        <v/>
      </c>
    </row>
    <row r="361">
      <c r="A361" s="3" t="n"/>
      <c r="B361" s="3" t="n"/>
      <c r="C361" s="3" t="n"/>
      <c r="D361" s="3" t="n"/>
      <c r="E361" s="3" t="n"/>
      <c r="F361" s="11" t="n"/>
      <c r="G361" s="11" t="n"/>
      <c r="H361" s="11" t="n"/>
      <c r="I361" s="3" t="n"/>
      <c r="J361" s="3">
        <f>IF(tblEjecucion[[#This Row],[orden]]="","",tblEjecucion[[#This Row],[orden]]&amp;IF(tblEjecucion[[#This Row],[operacion]]="","0010",tblEjecucion[[#This Row],[operacion]]))</f>
        <v/>
      </c>
    </row>
    <row r="362">
      <c r="A362" s="3" t="n"/>
      <c r="B362" s="3" t="n"/>
      <c r="C362" s="3" t="n"/>
      <c r="D362" s="3" t="n"/>
      <c r="E362" s="3" t="n"/>
      <c r="F362" s="11" t="n"/>
      <c r="G362" s="11" t="n"/>
      <c r="H362" s="11" t="n"/>
      <c r="I362" s="3" t="n"/>
      <c r="J362" s="3">
        <f>IF(tblEjecucion[[#This Row],[orden]]="","",tblEjecucion[[#This Row],[orden]]&amp;IF(tblEjecucion[[#This Row],[operacion]]="","0010",tblEjecucion[[#This Row],[operacion]]))</f>
        <v/>
      </c>
    </row>
    <row r="363">
      <c r="A363" s="3" t="n"/>
      <c r="B363" s="3" t="n"/>
      <c r="C363" s="3" t="n"/>
      <c r="D363" s="3" t="n"/>
      <c r="E363" s="3" t="n"/>
      <c r="F363" s="11" t="n"/>
      <c r="G363" s="11" t="n"/>
      <c r="H363" s="11" t="n"/>
      <c r="I363" s="3" t="n"/>
      <c r="J363" s="3">
        <f>IF(tblEjecucion[[#This Row],[orden]]="","",tblEjecucion[[#This Row],[orden]]&amp;IF(tblEjecucion[[#This Row],[operacion]]="","0010",tblEjecucion[[#This Row],[operacion]]))</f>
        <v/>
      </c>
    </row>
    <row r="364">
      <c r="A364" s="3" t="n"/>
      <c r="B364" s="3" t="n"/>
      <c r="C364" s="3" t="n"/>
      <c r="D364" s="3" t="n"/>
      <c r="E364" s="3" t="n"/>
      <c r="F364" s="11" t="n"/>
      <c r="G364" s="11" t="n"/>
      <c r="H364" s="11" t="n"/>
      <c r="I364" s="3" t="n"/>
      <c r="J364" s="3">
        <f>IF(tblEjecucion[[#This Row],[orden]]="","",tblEjecucion[[#This Row],[orden]]&amp;IF(tblEjecucion[[#This Row],[operacion]]="","0010",tblEjecucion[[#This Row],[operacion]]))</f>
        <v/>
      </c>
    </row>
    <row r="365">
      <c r="A365" s="3" t="n"/>
      <c r="B365" s="3" t="n"/>
      <c r="C365" s="3" t="n"/>
      <c r="D365" s="3" t="n"/>
      <c r="E365" s="3" t="n"/>
      <c r="F365" s="11" t="n"/>
      <c r="G365" s="11" t="n"/>
      <c r="H365" s="11" t="n"/>
      <c r="I365" s="3" t="n"/>
      <c r="J365" s="3">
        <f>IF(tblEjecucion[[#This Row],[orden]]="","",tblEjecucion[[#This Row],[orden]]&amp;IF(tblEjecucion[[#This Row],[operacion]]="","0010",tblEjecucion[[#This Row],[operacion]]))</f>
        <v/>
      </c>
    </row>
    <row r="366">
      <c r="A366" s="3" t="n"/>
      <c r="B366" s="3" t="n"/>
      <c r="C366" s="3" t="n"/>
      <c r="D366" s="3" t="n"/>
      <c r="E366" s="3" t="n"/>
      <c r="F366" s="11" t="n"/>
      <c r="G366" s="11" t="n"/>
      <c r="H366" s="11" t="n"/>
      <c r="I366" s="3" t="n"/>
      <c r="J366" s="3">
        <f>IF(tblEjecucion[[#This Row],[orden]]="","",tblEjecucion[[#This Row],[orden]]&amp;IF(tblEjecucion[[#This Row],[operacion]]="","0010",tblEjecucion[[#This Row],[operacion]]))</f>
        <v/>
      </c>
    </row>
    <row r="367">
      <c r="A367" s="3" t="n"/>
      <c r="B367" s="3" t="n"/>
      <c r="C367" s="3" t="n"/>
      <c r="D367" s="3" t="n"/>
      <c r="E367" s="3" t="n"/>
      <c r="F367" s="11" t="n"/>
      <c r="G367" s="11" t="n"/>
      <c r="H367" s="11" t="n"/>
      <c r="I367" s="3" t="n"/>
      <c r="J367" s="3">
        <f>IF(tblEjecucion[[#This Row],[orden]]="","",tblEjecucion[[#This Row],[orden]]&amp;IF(tblEjecucion[[#This Row],[operacion]]="","0010",tblEjecucion[[#This Row],[operacion]]))</f>
        <v/>
      </c>
    </row>
    <row r="368">
      <c r="A368" s="3" t="n"/>
      <c r="B368" s="3" t="n"/>
      <c r="C368" s="3" t="n"/>
      <c r="D368" s="3" t="n"/>
      <c r="E368" s="3" t="n"/>
      <c r="F368" s="11" t="n"/>
      <c r="G368" s="11" t="n"/>
      <c r="H368" s="11" t="n"/>
      <c r="I368" s="3" t="n"/>
      <c r="J368" s="3">
        <f>IF(tblEjecucion[[#This Row],[orden]]="","",tblEjecucion[[#This Row],[orden]]&amp;IF(tblEjecucion[[#This Row],[operacion]]="","0010",tblEjecucion[[#This Row],[operacion]]))</f>
        <v/>
      </c>
    </row>
    <row r="369">
      <c r="A369" s="3" t="n"/>
      <c r="B369" s="3" t="n"/>
      <c r="C369" s="3" t="n"/>
      <c r="D369" s="3" t="n"/>
      <c r="E369" s="3" t="n"/>
      <c r="F369" s="11" t="n"/>
      <c r="G369" s="11" t="n"/>
      <c r="H369" s="11" t="n"/>
      <c r="I369" s="3" t="n"/>
      <c r="J369" s="3">
        <f>IF(tblEjecucion[[#This Row],[orden]]="","",tblEjecucion[[#This Row],[orden]]&amp;IF(tblEjecucion[[#This Row],[operacion]]="","0010",tblEjecucion[[#This Row],[operacion]]))</f>
        <v/>
      </c>
    </row>
    <row r="370">
      <c r="A370" s="3" t="n"/>
      <c r="B370" s="3" t="n"/>
      <c r="C370" s="3" t="n"/>
      <c r="D370" s="3" t="n"/>
      <c r="E370" s="3" t="n"/>
      <c r="F370" s="11" t="n"/>
      <c r="G370" s="11" t="n"/>
      <c r="H370" s="11" t="n"/>
      <c r="I370" s="3" t="n"/>
      <c r="J370" s="3">
        <f>IF(tblEjecucion[[#This Row],[orden]]="","",tblEjecucion[[#This Row],[orden]]&amp;IF(tblEjecucion[[#This Row],[operacion]]="","0010",tblEjecucion[[#This Row],[operacion]]))</f>
        <v/>
      </c>
    </row>
    <row r="371">
      <c r="A371" s="3" t="n"/>
      <c r="B371" s="3" t="n"/>
      <c r="C371" s="3" t="n"/>
      <c r="D371" s="3" t="n"/>
      <c r="E371" s="3" t="n"/>
      <c r="F371" s="11" t="n"/>
      <c r="G371" s="11" t="n"/>
      <c r="H371" s="11" t="n"/>
      <c r="I371" s="3" t="n"/>
      <c r="J371" s="3">
        <f>IF(tblEjecucion[[#This Row],[orden]]="","",tblEjecucion[[#This Row],[orden]]&amp;IF(tblEjecucion[[#This Row],[operacion]]="","0010",tblEjecucion[[#This Row],[operacion]]))</f>
        <v/>
      </c>
    </row>
    <row r="372">
      <c r="A372" s="3" t="n"/>
      <c r="B372" s="3" t="n"/>
      <c r="C372" s="3" t="n"/>
      <c r="D372" s="3" t="n"/>
      <c r="E372" s="3" t="n"/>
      <c r="F372" s="11" t="n"/>
      <c r="G372" s="11" t="n"/>
      <c r="H372" s="11" t="n"/>
      <c r="I372" s="3" t="n"/>
      <c r="J372" s="3">
        <f>IF(tblEjecucion[[#This Row],[orden]]="","",tblEjecucion[[#This Row],[orden]]&amp;IF(tblEjecucion[[#This Row],[operacion]]="","0010",tblEjecucion[[#This Row],[operacion]]))</f>
        <v/>
      </c>
    </row>
    <row r="373">
      <c r="A373" s="3" t="n"/>
      <c r="B373" s="3" t="n"/>
      <c r="C373" s="3" t="n"/>
      <c r="D373" s="3" t="n"/>
      <c r="E373" s="3" t="n"/>
      <c r="F373" s="11" t="n"/>
      <c r="G373" s="11" t="n"/>
      <c r="H373" s="11" t="n"/>
      <c r="I373" s="3" t="n"/>
      <c r="J373" s="3">
        <f>IF(tblEjecucion[[#This Row],[orden]]="","",tblEjecucion[[#This Row],[orden]]&amp;IF(tblEjecucion[[#This Row],[operacion]]="","0010",tblEjecucion[[#This Row],[operacion]]))</f>
        <v/>
      </c>
    </row>
    <row r="374">
      <c r="A374" s="3" t="n"/>
      <c r="B374" s="3" t="n"/>
      <c r="C374" s="3" t="n"/>
      <c r="D374" s="3" t="n"/>
      <c r="E374" s="3" t="n"/>
      <c r="F374" s="11" t="n"/>
      <c r="G374" s="11" t="n"/>
      <c r="H374" s="11" t="n"/>
      <c r="I374" s="3" t="n"/>
      <c r="J374" s="3">
        <f>IF(tblEjecucion[[#This Row],[orden]]="","",tblEjecucion[[#This Row],[orden]]&amp;IF(tblEjecucion[[#This Row],[operacion]]="","0010",tblEjecucion[[#This Row],[operacion]]))</f>
        <v/>
      </c>
    </row>
    <row r="375">
      <c r="A375" s="3" t="n"/>
      <c r="B375" s="3" t="n"/>
      <c r="C375" s="3" t="n"/>
      <c r="D375" s="3" t="n"/>
      <c r="E375" s="3" t="n"/>
      <c r="F375" s="11" t="n"/>
      <c r="G375" s="11" t="n"/>
      <c r="H375" s="11" t="n"/>
      <c r="I375" s="3" t="n"/>
      <c r="J375" s="3">
        <f>IF(tblEjecucion[[#This Row],[orden]]="","",tblEjecucion[[#This Row],[orden]]&amp;IF(tblEjecucion[[#This Row],[operacion]]="","0010",tblEjecucion[[#This Row],[operacion]]))</f>
        <v/>
      </c>
    </row>
    <row r="376">
      <c r="A376" s="3" t="n"/>
      <c r="B376" s="3" t="n"/>
      <c r="C376" s="3" t="n"/>
      <c r="D376" s="3" t="n"/>
      <c r="E376" s="3" t="n"/>
      <c r="F376" s="11" t="n"/>
      <c r="G376" s="11" t="n"/>
      <c r="H376" s="11" t="n"/>
      <c r="I376" s="3" t="n"/>
      <c r="J376" s="3">
        <f>IF(tblEjecucion[[#This Row],[orden]]="","",tblEjecucion[[#This Row],[orden]]&amp;IF(tblEjecucion[[#This Row],[operacion]]="","0010",tblEjecucion[[#This Row],[operacion]]))</f>
        <v/>
      </c>
    </row>
    <row r="377">
      <c r="A377" s="3" t="n"/>
      <c r="B377" s="3" t="n"/>
      <c r="C377" s="3" t="n"/>
      <c r="D377" s="3" t="n"/>
      <c r="E377" s="3" t="n"/>
      <c r="F377" s="11" t="n"/>
      <c r="G377" s="11" t="n"/>
      <c r="H377" s="11" t="n"/>
      <c r="I377" s="3" t="n"/>
      <c r="J377" s="3">
        <f>IF(tblEjecucion[[#This Row],[orden]]="","",tblEjecucion[[#This Row],[orden]]&amp;IF(tblEjecucion[[#This Row],[operacion]]="","0010",tblEjecucion[[#This Row],[operacion]]))</f>
        <v/>
      </c>
    </row>
    <row r="378">
      <c r="A378" s="3" t="n"/>
      <c r="B378" s="3" t="n"/>
      <c r="C378" s="3" t="n"/>
      <c r="D378" s="3" t="n"/>
      <c r="E378" s="3" t="n"/>
      <c r="F378" s="11" t="n"/>
      <c r="G378" s="11" t="n"/>
      <c r="H378" s="11" t="n"/>
      <c r="I378" s="3" t="n"/>
      <c r="J378" s="3">
        <f>IF(tblEjecucion[[#This Row],[orden]]="","",tblEjecucion[[#This Row],[orden]]&amp;IF(tblEjecucion[[#This Row],[operacion]]="","0010",tblEjecucion[[#This Row],[operacion]]))</f>
        <v/>
      </c>
    </row>
    <row r="379">
      <c r="A379" s="3" t="n"/>
      <c r="B379" s="3" t="n"/>
      <c r="C379" s="3" t="n"/>
      <c r="D379" s="3" t="n"/>
      <c r="E379" s="3" t="n"/>
      <c r="F379" s="11" t="n"/>
      <c r="G379" s="11" t="n"/>
      <c r="H379" s="11" t="n"/>
      <c r="I379" s="3" t="n"/>
      <c r="J379" s="3">
        <f>IF(tblEjecucion[[#This Row],[orden]]="","",tblEjecucion[[#This Row],[orden]]&amp;IF(tblEjecucion[[#This Row],[operacion]]="","0010",tblEjecucion[[#This Row],[operacion]]))</f>
        <v/>
      </c>
    </row>
    <row r="380">
      <c r="A380" s="3" t="n"/>
      <c r="B380" s="3" t="n"/>
      <c r="C380" s="3" t="n"/>
      <c r="D380" s="3" t="n"/>
      <c r="E380" s="3" t="n"/>
      <c r="F380" s="11" t="n"/>
      <c r="G380" s="11" t="n"/>
      <c r="H380" s="11" t="n"/>
      <c r="I380" s="3" t="n"/>
      <c r="J380" s="3">
        <f>IF(tblEjecucion[[#This Row],[orden]]="","",tblEjecucion[[#This Row],[orden]]&amp;IF(tblEjecucion[[#This Row],[operacion]]="","0010",tblEjecucion[[#This Row],[operacion]]))</f>
        <v/>
      </c>
    </row>
    <row r="381">
      <c r="A381" s="3" t="n"/>
      <c r="B381" s="3" t="n"/>
      <c r="C381" s="3" t="n"/>
      <c r="D381" s="3" t="n"/>
      <c r="E381" s="3" t="n"/>
      <c r="F381" s="11" t="n"/>
      <c r="G381" s="11" t="n"/>
      <c r="H381" s="11" t="n"/>
      <c r="I381" s="3" t="n"/>
      <c r="J381" s="3">
        <f>IF(tblEjecucion[[#This Row],[orden]]="","",tblEjecucion[[#This Row],[orden]]&amp;IF(tblEjecucion[[#This Row],[operacion]]="","0010",tblEjecucion[[#This Row],[operacion]]))</f>
        <v/>
      </c>
    </row>
    <row r="382">
      <c r="A382" s="3" t="n"/>
      <c r="B382" s="3" t="n"/>
      <c r="C382" s="3" t="n"/>
      <c r="D382" s="3" t="n"/>
      <c r="E382" s="3" t="n"/>
      <c r="F382" s="11" t="n"/>
      <c r="G382" s="11" t="n"/>
      <c r="H382" s="11" t="n"/>
      <c r="I382" s="3" t="n"/>
      <c r="J382" s="3">
        <f>IF(tblEjecucion[[#This Row],[orden]]="","",tblEjecucion[[#This Row],[orden]]&amp;IF(tblEjecucion[[#This Row],[operacion]]="","0010",tblEjecucion[[#This Row],[operacion]]))</f>
        <v/>
      </c>
    </row>
    <row r="383">
      <c r="A383" s="3" t="n"/>
      <c r="B383" s="3" t="n"/>
      <c r="C383" s="3" t="n"/>
      <c r="D383" s="3" t="n"/>
      <c r="E383" s="3" t="n"/>
      <c r="F383" s="11" t="n"/>
      <c r="G383" s="11" t="n"/>
      <c r="H383" s="11" t="n"/>
      <c r="I383" s="3" t="n"/>
      <c r="J383" s="3">
        <f>IF(tblEjecucion[[#This Row],[orden]]="","",tblEjecucion[[#This Row],[orden]]&amp;IF(tblEjecucion[[#This Row],[operacion]]="","0010",tblEjecucion[[#This Row],[operacion]]))</f>
        <v/>
      </c>
    </row>
    <row r="384">
      <c r="A384" s="3" t="n"/>
      <c r="B384" s="3" t="n"/>
      <c r="C384" s="3" t="n"/>
      <c r="D384" s="3" t="n"/>
      <c r="E384" s="3" t="n"/>
      <c r="F384" s="11" t="n"/>
      <c r="G384" s="11" t="n"/>
      <c r="H384" s="11" t="n"/>
      <c r="I384" s="3" t="n"/>
      <c r="J384" s="3">
        <f>IF(tblEjecucion[[#This Row],[orden]]="","",tblEjecucion[[#This Row],[orden]]&amp;IF(tblEjecucion[[#This Row],[operacion]]="","0010",tblEjecucion[[#This Row],[operacion]]))</f>
        <v/>
      </c>
    </row>
    <row r="385">
      <c r="A385" s="3" t="n"/>
      <c r="B385" s="3" t="n"/>
      <c r="C385" s="3" t="n"/>
      <c r="D385" s="3" t="n"/>
      <c r="E385" s="3" t="n"/>
      <c r="F385" s="11" t="n"/>
      <c r="G385" s="11" t="n"/>
      <c r="H385" s="11" t="n"/>
      <c r="I385" s="3" t="n"/>
      <c r="J385" s="3">
        <f>IF(tblEjecucion[[#This Row],[orden]]="","",tblEjecucion[[#This Row],[orden]]&amp;IF(tblEjecucion[[#This Row],[operacion]]="","0010",tblEjecucion[[#This Row],[operacion]]))</f>
        <v/>
      </c>
    </row>
    <row r="386">
      <c r="A386" s="3" t="n"/>
      <c r="B386" s="3" t="n"/>
      <c r="C386" s="3" t="n"/>
      <c r="D386" s="3" t="n"/>
      <c r="E386" s="3" t="n"/>
      <c r="F386" s="11" t="n"/>
      <c r="G386" s="11" t="n"/>
      <c r="H386" s="11" t="n"/>
      <c r="I386" s="3" t="n"/>
      <c r="J386" s="3">
        <f>IF(tblEjecucion[[#This Row],[orden]]="","",tblEjecucion[[#This Row],[orden]]&amp;IF(tblEjecucion[[#This Row],[operacion]]="","0010",tblEjecucion[[#This Row],[operacion]]))</f>
        <v/>
      </c>
    </row>
    <row r="387">
      <c r="A387" s="3" t="n"/>
      <c r="B387" s="3" t="n"/>
      <c r="C387" s="3" t="n"/>
      <c r="D387" s="3" t="n"/>
      <c r="E387" s="3" t="n"/>
      <c r="F387" s="11" t="n"/>
      <c r="G387" s="11" t="n"/>
      <c r="H387" s="11" t="n"/>
      <c r="I387" s="3" t="n"/>
      <c r="J387" s="3">
        <f>IF(tblEjecucion[[#This Row],[orden]]="","",tblEjecucion[[#This Row],[orden]]&amp;IF(tblEjecucion[[#This Row],[operacion]]="","0010",tblEjecucion[[#This Row],[operacion]]))</f>
        <v/>
      </c>
    </row>
    <row r="388">
      <c r="A388" s="3" t="n"/>
      <c r="B388" s="3" t="n"/>
      <c r="C388" s="3" t="n"/>
      <c r="D388" s="3" t="n"/>
      <c r="E388" s="3" t="n"/>
      <c r="F388" s="11" t="n"/>
      <c r="G388" s="11" t="n"/>
      <c r="H388" s="11" t="n"/>
      <c r="I388" s="3" t="n"/>
      <c r="J388" s="3">
        <f>IF(tblEjecucion[[#This Row],[orden]]="","",tblEjecucion[[#This Row],[orden]]&amp;IF(tblEjecucion[[#This Row],[operacion]]="","0010",tblEjecucion[[#This Row],[operacion]]))</f>
        <v/>
      </c>
    </row>
    <row r="389">
      <c r="A389" s="3" t="n"/>
      <c r="B389" s="3" t="n"/>
      <c r="C389" s="3" t="n"/>
      <c r="D389" s="3" t="n"/>
      <c r="E389" s="3" t="n"/>
      <c r="F389" s="11" t="n"/>
      <c r="G389" s="11" t="n"/>
      <c r="H389" s="11" t="n"/>
      <c r="I389" s="3" t="n"/>
      <c r="J389" s="3">
        <f>IF(tblEjecucion[[#This Row],[orden]]="","",tblEjecucion[[#This Row],[orden]]&amp;IF(tblEjecucion[[#This Row],[operacion]]="","0010",tblEjecucion[[#This Row],[operacion]]))</f>
        <v/>
      </c>
    </row>
    <row r="390">
      <c r="A390" s="3" t="n"/>
      <c r="B390" s="3" t="n"/>
      <c r="C390" s="3" t="n"/>
      <c r="D390" s="3" t="n"/>
      <c r="E390" s="3" t="n"/>
      <c r="F390" s="11" t="n"/>
      <c r="G390" s="11" t="n"/>
      <c r="H390" s="11" t="n"/>
      <c r="I390" s="3" t="n"/>
      <c r="J390" s="3">
        <f>IF(tblEjecucion[[#This Row],[orden]]="","",tblEjecucion[[#This Row],[orden]]&amp;IF(tblEjecucion[[#This Row],[operacion]]="","0010",tblEjecucion[[#This Row],[operacion]]))</f>
        <v/>
      </c>
    </row>
    <row r="391">
      <c r="A391" s="3" t="n"/>
      <c r="B391" s="3" t="n"/>
      <c r="C391" s="3" t="n"/>
      <c r="D391" s="3" t="n"/>
      <c r="E391" s="3" t="n"/>
      <c r="F391" s="11" t="n"/>
      <c r="G391" s="11" t="n"/>
      <c r="H391" s="11" t="n"/>
      <c r="I391" s="3" t="n"/>
      <c r="J391" s="3">
        <f>IF(tblEjecucion[[#This Row],[orden]]="","",tblEjecucion[[#This Row],[orden]]&amp;IF(tblEjecucion[[#This Row],[operacion]]="","0010",tblEjecucion[[#This Row],[operacion]]))</f>
        <v/>
      </c>
    </row>
    <row r="392">
      <c r="A392" s="3" t="n"/>
      <c r="B392" s="3" t="n"/>
      <c r="C392" s="3" t="n"/>
      <c r="D392" s="3" t="n"/>
      <c r="E392" s="3" t="n"/>
      <c r="F392" s="11" t="n"/>
      <c r="G392" s="11" t="n"/>
      <c r="H392" s="11" t="n"/>
      <c r="I392" s="3" t="n"/>
      <c r="J392" s="3">
        <f>IF(tblEjecucion[[#This Row],[orden]]="","",tblEjecucion[[#This Row],[orden]]&amp;IF(tblEjecucion[[#This Row],[operacion]]="","0010",tblEjecucion[[#This Row],[operacion]]))</f>
        <v/>
      </c>
    </row>
    <row r="393">
      <c r="A393" s="3" t="n"/>
      <c r="B393" s="3" t="n"/>
      <c r="C393" s="3" t="n"/>
      <c r="D393" s="3" t="n"/>
      <c r="E393" s="3" t="n"/>
      <c r="F393" s="11" t="n"/>
      <c r="G393" s="11" t="n"/>
      <c r="H393" s="11" t="n"/>
      <c r="I393" s="3" t="n"/>
      <c r="J393" s="3">
        <f>IF(tblEjecucion[[#This Row],[orden]]="","",tblEjecucion[[#This Row],[orden]]&amp;IF(tblEjecucion[[#This Row],[operacion]]="","0010",tblEjecucion[[#This Row],[operacion]]))</f>
        <v/>
      </c>
    </row>
    <row r="394">
      <c r="A394" s="3" t="n"/>
      <c r="B394" s="3" t="n"/>
      <c r="C394" s="3" t="n"/>
      <c r="D394" s="3" t="n"/>
      <c r="E394" s="3" t="n"/>
      <c r="F394" s="11" t="n"/>
      <c r="G394" s="11" t="n"/>
      <c r="H394" s="11" t="n"/>
      <c r="I394" s="3" t="n"/>
      <c r="J394" s="3">
        <f>IF(tblEjecucion[[#This Row],[orden]]="","",tblEjecucion[[#This Row],[orden]]&amp;IF(tblEjecucion[[#This Row],[operacion]]="","0010",tblEjecucion[[#This Row],[operacion]]))</f>
        <v/>
      </c>
    </row>
    <row r="395">
      <c r="A395" s="3" t="n"/>
      <c r="B395" s="3" t="n"/>
      <c r="C395" s="3" t="n"/>
      <c r="D395" s="3" t="n"/>
      <c r="E395" s="3" t="n"/>
      <c r="F395" s="11" t="n"/>
      <c r="G395" s="11" t="n"/>
      <c r="H395" s="11" t="n"/>
      <c r="I395" s="3" t="n"/>
      <c r="J395" s="3">
        <f>IF(tblEjecucion[[#This Row],[orden]]="","",tblEjecucion[[#This Row],[orden]]&amp;IF(tblEjecucion[[#This Row],[operacion]]="","0010",tblEjecucion[[#This Row],[operacion]]))</f>
        <v/>
      </c>
    </row>
    <row r="396">
      <c r="A396" s="3" t="n"/>
      <c r="B396" s="3" t="n"/>
      <c r="C396" s="3" t="n"/>
      <c r="D396" s="3" t="n"/>
      <c r="E396" s="3" t="n"/>
      <c r="F396" s="11" t="n"/>
      <c r="G396" s="11" t="n"/>
      <c r="H396" s="11" t="n"/>
      <c r="I396" s="3" t="n"/>
      <c r="J396" s="3">
        <f>IF(tblEjecucion[[#This Row],[orden]]="","",tblEjecucion[[#This Row],[orden]]&amp;IF(tblEjecucion[[#This Row],[operacion]]="","0010",tblEjecucion[[#This Row],[operacion]]))</f>
        <v/>
      </c>
    </row>
    <row r="397">
      <c r="A397" s="3" t="n"/>
      <c r="B397" s="3" t="n"/>
      <c r="C397" s="3" t="n"/>
      <c r="D397" s="3" t="n"/>
      <c r="E397" s="3" t="n"/>
      <c r="F397" s="11" t="n"/>
      <c r="G397" s="11" t="n"/>
      <c r="H397" s="11" t="n"/>
      <c r="I397" s="3" t="n"/>
      <c r="J397" s="3">
        <f>IF(tblEjecucion[[#This Row],[orden]]="","",tblEjecucion[[#This Row],[orden]]&amp;IF(tblEjecucion[[#This Row],[operacion]]="","0010",tblEjecucion[[#This Row],[operacion]]))</f>
        <v/>
      </c>
    </row>
    <row r="398">
      <c r="A398" s="3" t="n"/>
      <c r="B398" s="3" t="n"/>
      <c r="C398" s="3" t="n"/>
      <c r="D398" s="3" t="n"/>
      <c r="E398" s="3" t="n"/>
      <c r="F398" s="11" t="n"/>
      <c r="G398" s="11" t="n"/>
      <c r="H398" s="11" t="n"/>
      <c r="I398" s="3" t="n"/>
      <c r="J398" s="3">
        <f>IF(tblEjecucion[[#This Row],[orden]]="","",tblEjecucion[[#This Row],[orden]]&amp;IF(tblEjecucion[[#This Row],[operacion]]="","0010",tblEjecucion[[#This Row],[operacion]]))</f>
        <v/>
      </c>
    </row>
    <row r="399">
      <c r="A399" s="3" t="n"/>
      <c r="B399" s="3" t="n"/>
      <c r="C399" s="3" t="n"/>
      <c r="D399" s="3" t="n"/>
      <c r="E399" s="3" t="n"/>
      <c r="F399" s="11" t="n"/>
      <c r="G399" s="11" t="n"/>
      <c r="H399" s="11" t="n"/>
      <c r="I399" s="3" t="n"/>
      <c r="J399" s="3">
        <f>IF(tblEjecucion[[#This Row],[orden]]="","",tblEjecucion[[#This Row],[orden]]&amp;IF(tblEjecucion[[#This Row],[operacion]]="","0010",tblEjecucion[[#This Row],[operacion]]))</f>
        <v/>
      </c>
    </row>
    <row r="400">
      <c r="A400" s="3" t="n"/>
      <c r="B400" s="3" t="n"/>
      <c r="C400" s="3" t="n"/>
      <c r="D400" s="3" t="n"/>
      <c r="E400" s="3" t="n"/>
      <c r="F400" s="11" t="n"/>
      <c r="G400" s="11" t="n"/>
      <c r="H400" s="11" t="n"/>
      <c r="I400" s="3" t="n"/>
      <c r="J400" s="3">
        <f>IF(tblEjecucion[[#This Row],[orden]]="","",tblEjecucion[[#This Row],[orden]]&amp;IF(tblEjecucion[[#This Row],[operacion]]="","0010",tblEjecucion[[#This Row],[operacion]]))</f>
        <v/>
      </c>
    </row>
    <row r="401">
      <c r="A401" s="3" t="n"/>
      <c r="B401" s="3" t="n"/>
      <c r="C401" s="3" t="n"/>
      <c r="D401" s="3" t="n"/>
      <c r="E401" s="3" t="n"/>
      <c r="F401" s="11" t="n"/>
      <c r="G401" s="11" t="n"/>
      <c r="H401" s="11" t="n"/>
      <c r="I401" s="3" t="n"/>
      <c r="J401" s="3">
        <f>IF(tblEjecucion[[#This Row],[orden]]="","",tblEjecucion[[#This Row],[orden]]&amp;IF(tblEjecucion[[#This Row],[operacion]]="","0010",tblEjecucion[[#This Row],[operacion]]))</f>
        <v/>
      </c>
    </row>
    <row r="402">
      <c r="A402" s="3" t="n"/>
      <c r="B402" s="3" t="n"/>
      <c r="C402" s="3" t="n"/>
      <c r="D402" s="3" t="n"/>
      <c r="E402" s="3" t="n"/>
      <c r="F402" s="11" t="n"/>
      <c r="G402" s="11" t="n"/>
      <c r="H402" s="11" t="n"/>
      <c r="I402" s="3" t="n"/>
      <c r="J402" s="3">
        <f>IF(tblEjecucion[[#This Row],[orden]]="","",tblEjecucion[[#This Row],[orden]]&amp;IF(tblEjecucion[[#This Row],[operacion]]="","0010",tblEjecucion[[#This Row],[operacion]]))</f>
        <v/>
      </c>
    </row>
    <row r="403">
      <c r="A403" s="3" t="n"/>
      <c r="B403" s="3" t="n"/>
      <c r="C403" s="3" t="n"/>
      <c r="D403" s="3" t="n"/>
      <c r="E403" s="3" t="n"/>
      <c r="F403" s="11" t="n"/>
      <c r="G403" s="11" t="n"/>
      <c r="H403" s="11" t="n"/>
      <c r="I403" s="3" t="n"/>
      <c r="J403" s="3">
        <f>IF(tblEjecucion[[#This Row],[orden]]="","",tblEjecucion[[#This Row],[orden]]&amp;IF(tblEjecucion[[#This Row],[operacion]]="","0010",tblEjecucion[[#This Row],[operacion]]))</f>
        <v/>
      </c>
    </row>
    <row r="404">
      <c r="A404" s="3" t="n"/>
      <c r="B404" s="3" t="n"/>
      <c r="C404" s="3" t="n"/>
      <c r="D404" s="3" t="n"/>
      <c r="E404" s="3" t="n"/>
      <c r="F404" s="11" t="n"/>
      <c r="G404" s="11" t="n"/>
      <c r="H404" s="11" t="n"/>
      <c r="I404" s="3" t="n"/>
      <c r="J404" s="3">
        <f>IF(tblEjecucion[[#This Row],[orden]]="","",tblEjecucion[[#This Row],[orden]]&amp;IF(tblEjecucion[[#This Row],[operacion]]="","0010",tblEjecucion[[#This Row],[operacion]]))</f>
        <v/>
      </c>
    </row>
    <row r="405">
      <c r="A405" s="3" t="n"/>
      <c r="B405" s="3" t="n"/>
      <c r="C405" s="3" t="n"/>
      <c r="D405" s="3" t="n"/>
      <c r="E405" s="3" t="n"/>
      <c r="F405" s="11" t="n"/>
      <c r="G405" s="11" t="n"/>
      <c r="H405" s="11" t="n"/>
      <c r="I405" s="3" t="n"/>
      <c r="J405" s="3">
        <f>IF(tblEjecucion[[#This Row],[orden]]="","",tblEjecucion[[#This Row],[orden]]&amp;IF(tblEjecucion[[#This Row],[operacion]]="","0010",tblEjecucion[[#This Row],[operacion]]))</f>
        <v/>
      </c>
    </row>
    <row r="406">
      <c r="A406" s="3" t="n"/>
      <c r="B406" s="3" t="n"/>
      <c r="C406" s="3" t="n"/>
      <c r="D406" s="3" t="n"/>
      <c r="E406" s="3" t="n"/>
      <c r="F406" s="11" t="n"/>
      <c r="G406" s="11" t="n"/>
      <c r="H406" s="11" t="n"/>
      <c r="I406" s="3" t="n"/>
      <c r="J406" s="3">
        <f>IF(tblEjecucion[[#This Row],[orden]]="","",tblEjecucion[[#This Row],[orden]]&amp;IF(tblEjecucion[[#This Row],[operacion]]="","0010",tblEjecucion[[#This Row],[operacion]]))</f>
        <v/>
      </c>
    </row>
    <row r="407">
      <c r="A407" s="3" t="n"/>
      <c r="B407" s="3" t="n"/>
      <c r="C407" s="3" t="n"/>
      <c r="D407" s="3" t="n"/>
      <c r="E407" s="3" t="n"/>
      <c r="F407" s="11" t="n"/>
      <c r="G407" s="11" t="n"/>
      <c r="H407" s="11" t="n"/>
      <c r="I407" s="3" t="n"/>
      <c r="J407" s="3">
        <f>IF(tblEjecucion[[#This Row],[orden]]="","",tblEjecucion[[#This Row],[orden]]&amp;IF(tblEjecucion[[#This Row],[operacion]]="","0010",tblEjecucion[[#This Row],[operacion]]))</f>
        <v/>
      </c>
    </row>
    <row r="408">
      <c r="A408" s="3" t="n"/>
      <c r="B408" s="3" t="n"/>
      <c r="C408" s="3" t="n"/>
      <c r="D408" s="3" t="n"/>
      <c r="E408" s="3" t="n"/>
      <c r="F408" s="11" t="n"/>
      <c r="G408" s="11" t="n"/>
      <c r="H408" s="11" t="n"/>
      <c r="I408" s="3" t="n"/>
      <c r="J408" s="3">
        <f>IF(tblEjecucion[[#This Row],[orden]]="","",tblEjecucion[[#This Row],[orden]]&amp;IF(tblEjecucion[[#This Row],[operacion]]="","0010",tblEjecucion[[#This Row],[operacion]]))</f>
        <v/>
      </c>
    </row>
    <row r="409">
      <c r="A409" s="3" t="n"/>
      <c r="B409" s="3" t="n"/>
      <c r="C409" s="3" t="n"/>
      <c r="D409" s="3" t="n"/>
      <c r="E409" s="3" t="n"/>
      <c r="F409" s="11" t="n"/>
      <c r="G409" s="11" t="n"/>
      <c r="H409" s="11" t="n"/>
      <c r="I409" s="3" t="n"/>
      <c r="J409" s="3">
        <f>IF(tblEjecucion[[#This Row],[orden]]="","",tblEjecucion[[#This Row],[orden]]&amp;IF(tblEjecucion[[#This Row],[operacion]]="","0010",tblEjecucion[[#This Row],[operacion]]))</f>
        <v/>
      </c>
    </row>
    <row r="410">
      <c r="A410" s="3" t="n"/>
      <c r="B410" s="3" t="n"/>
      <c r="C410" s="3" t="n"/>
      <c r="D410" s="3" t="n"/>
      <c r="E410" s="3" t="n"/>
      <c r="F410" s="11" t="n"/>
      <c r="G410" s="11" t="n"/>
      <c r="H410" s="11" t="n"/>
      <c r="I410" s="3" t="n"/>
      <c r="J410" s="3">
        <f>IF(tblEjecucion[[#This Row],[orden]]="","",tblEjecucion[[#This Row],[orden]]&amp;IF(tblEjecucion[[#This Row],[operacion]]="","0010",tblEjecucion[[#This Row],[operacion]]))</f>
        <v/>
      </c>
    </row>
    <row r="411">
      <c r="A411" s="3" t="n"/>
      <c r="B411" s="3" t="n"/>
      <c r="C411" s="3" t="n"/>
      <c r="D411" s="3" t="n"/>
      <c r="E411" s="3" t="n"/>
      <c r="F411" s="11" t="n"/>
      <c r="G411" s="11" t="n"/>
      <c r="H411" s="11" t="n"/>
      <c r="I411" s="3" t="n"/>
      <c r="J411" s="3">
        <f>IF(tblEjecucion[[#This Row],[orden]]="","",tblEjecucion[[#This Row],[orden]]&amp;IF(tblEjecucion[[#This Row],[operacion]]="","0010",tblEjecucion[[#This Row],[operacion]]))</f>
        <v/>
      </c>
    </row>
    <row r="412">
      <c r="A412" s="3" t="n"/>
      <c r="B412" s="3" t="n"/>
      <c r="C412" s="3" t="n"/>
      <c r="D412" s="3" t="n"/>
      <c r="E412" s="3" t="n"/>
      <c r="F412" s="11" t="n"/>
      <c r="G412" s="11" t="n"/>
      <c r="H412" s="11" t="n"/>
      <c r="I412" s="3" t="n"/>
      <c r="J412" s="3">
        <f>IF(tblEjecucion[[#This Row],[orden]]="","",tblEjecucion[[#This Row],[orden]]&amp;IF(tblEjecucion[[#This Row],[operacion]]="","0010",tblEjecucion[[#This Row],[operacion]]))</f>
        <v/>
      </c>
    </row>
    <row r="413">
      <c r="A413" s="3" t="n"/>
      <c r="B413" s="3" t="n"/>
      <c r="C413" s="3" t="n"/>
      <c r="D413" s="3" t="n"/>
      <c r="E413" s="3" t="n"/>
      <c r="F413" s="11" t="n"/>
      <c r="G413" s="11" t="n"/>
      <c r="H413" s="11" t="n"/>
      <c r="I413" s="3" t="n"/>
      <c r="J413" s="3">
        <f>IF(tblEjecucion[[#This Row],[orden]]="","",tblEjecucion[[#This Row],[orden]]&amp;IF(tblEjecucion[[#This Row],[operacion]]="","0010",tblEjecucion[[#This Row],[operacion]]))</f>
        <v/>
      </c>
    </row>
    <row r="414">
      <c r="A414" s="3" t="n"/>
      <c r="B414" s="3" t="n"/>
      <c r="C414" s="3" t="n"/>
      <c r="D414" s="3" t="n"/>
      <c r="E414" s="3" t="n"/>
      <c r="F414" s="11" t="n"/>
      <c r="G414" s="11" t="n"/>
      <c r="H414" s="11" t="n"/>
      <c r="I414" s="3" t="n"/>
      <c r="J414" s="3">
        <f>IF(tblEjecucion[[#This Row],[orden]]="","",tblEjecucion[[#This Row],[orden]]&amp;IF(tblEjecucion[[#This Row],[operacion]]="","0010",tblEjecucion[[#This Row],[operacion]]))</f>
        <v/>
      </c>
    </row>
    <row r="415">
      <c r="A415" s="3" t="n"/>
      <c r="B415" s="3" t="n"/>
      <c r="C415" s="3" t="n"/>
      <c r="D415" s="3" t="n"/>
      <c r="E415" s="3" t="n"/>
      <c r="F415" s="11" t="n"/>
      <c r="G415" s="11" t="n"/>
      <c r="H415" s="11" t="n"/>
      <c r="I415" s="3" t="n"/>
      <c r="J415" s="3">
        <f>IF(tblEjecucion[[#This Row],[orden]]="","",tblEjecucion[[#This Row],[orden]]&amp;IF(tblEjecucion[[#This Row],[operacion]]="","0010",tblEjecucion[[#This Row],[operacion]]))</f>
        <v/>
      </c>
    </row>
    <row r="416">
      <c r="A416" s="3" t="n"/>
      <c r="B416" s="3" t="n"/>
      <c r="C416" s="3" t="n"/>
      <c r="D416" s="3" t="n"/>
      <c r="E416" s="3" t="n"/>
      <c r="F416" s="11" t="n"/>
      <c r="G416" s="11" t="n"/>
      <c r="H416" s="11" t="n"/>
      <c r="I416" s="3" t="n"/>
      <c r="J416" s="3">
        <f>IF(tblEjecucion[[#This Row],[orden]]="","",tblEjecucion[[#This Row],[orden]]&amp;IF(tblEjecucion[[#This Row],[operacion]]="","0010",tblEjecucion[[#This Row],[operacion]]))</f>
        <v/>
      </c>
    </row>
    <row r="417">
      <c r="A417" s="3" t="n"/>
      <c r="B417" s="3" t="n"/>
      <c r="C417" s="3" t="n"/>
      <c r="D417" s="3" t="n"/>
      <c r="E417" s="3" t="n"/>
      <c r="F417" s="11" t="n"/>
      <c r="G417" s="11" t="n"/>
      <c r="H417" s="11" t="n"/>
      <c r="I417" s="3" t="n"/>
      <c r="J417" s="3">
        <f>IF(tblEjecucion[[#This Row],[orden]]="","",tblEjecucion[[#This Row],[orden]]&amp;IF(tblEjecucion[[#This Row],[operacion]]="","0010",tblEjecucion[[#This Row],[operacion]]))</f>
        <v/>
      </c>
    </row>
    <row r="418">
      <c r="A418" s="3" t="n"/>
      <c r="B418" s="3" t="n"/>
      <c r="C418" s="3" t="n"/>
      <c r="D418" s="3" t="n"/>
      <c r="E418" s="3" t="n"/>
      <c r="F418" s="11" t="n"/>
      <c r="G418" s="11" t="n"/>
      <c r="H418" s="11" t="n"/>
      <c r="I418" s="3" t="n"/>
      <c r="J418" s="3">
        <f>IF(tblEjecucion[[#This Row],[orden]]="","",tblEjecucion[[#This Row],[orden]]&amp;IF(tblEjecucion[[#This Row],[operacion]]="","0010",tblEjecucion[[#This Row],[operacion]]))</f>
        <v/>
      </c>
    </row>
    <row r="419">
      <c r="A419" s="3" t="n"/>
      <c r="B419" s="3" t="n"/>
      <c r="C419" s="3" t="n"/>
      <c r="D419" s="3" t="n"/>
      <c r="E419" s="3" t="n"/>
      <c r="F419" s="11" t="n"/>
      <c r="G419" s="11" t="n"/>
      <c r="H419" s="11" t="n"/>
      <c r="I419" s="3" t="n"/>
      <c r="J419" s="3">
        <f>IF(tblEjecucion[[#This Row],[orden]]="","",tblEjecucion[[#This Row],[orden]]&amp;IF(tblEjecucion[[#This Row],[operacion]]="","0010",tblEjecucion[[#This Row],[operacion]]))</f>
        <v/>
      </c>
    </row>
    <row r="420">
      <c r="A420" s="3" t="n"/>
      <c r="B420" s="3" t="n"/>
      <c r="C420" s="3" t="n"/>
      <c r="D420" s="3" t="n"/>
      <c r="E420" s="3" t="n"/>
      <c r="F420" s="11" t="n"/>
      <c r="G420" s="11" t="n"/>
      <c r="H420" s="11" t="n"/>
      <c r="I420" s="3" t="n"/>
      <c r="J420" s="3">
        <f>IF(tblEjecucion[[#This Row],[orden]]="","",tblEjecucion[[#This Row],[orden]]&amp;IF(tblEjecucion[[#This Row],[operacion]]="","0010",tblEjecucion[[#This Row],[operacion]]))</f>
        <v/>
      </c>
    </row>
    <row r="421">
      <c r="A421" s="3" t="n"/>
      <c r="B421" s="3" t="n"/>
      <c r="C421" s="3" t="n"/>
      <c r="D421" s="3" t="n"/>
      <c r="E421" s="3" t="n"/>
      <c r="F421" s="11" t="n"/>
      <c r="G421" s="11" t="n"/>
      <c r="H421" s="11" t="n"/>
      <c r="I421" s="3" t="n"/>
      <c r="J421" s="3">
        <f>IF(tblEjecucion[[#This Row],[orden]]="","",tblEjecucion[[#This Row],[orden]]&amp;IF(tblEjecucion[[#This Row],[operacion]]="","0010",tblEjecucion[[#This Row],[operacion]]))</f>
        <v/>
      </c>
    </row>
    <row r="422">
      <c r="A422" s="3" t="n"/>
      <c r="B422" s="3" t="n"/>
      <c r="C422" s="3" t="n"/>
      <c r="D422" s="3" t="n"/>
      <c r="E422" s="3" t="n"/>
      <c r="F422" s="11" t="n"/>
      <c r="G422" s="11" t="n"/>
      <c r="H422" s="11" t="n"/>
      <c r="I422" s="3" t="n"/>
      <c r="J422" s="3">
        <f>IF(tblEjecucion[[#This Row],[orden]]="","",tblEjecucion[[#This Row],[orden]]&amp;IF(tblEjecucion[[#This Row],[operacion]]="","0010",tblEjecucion[[#This Row],[operacion]]))</f>
        <v/>
      </c>
    </row>
    <row r="423">
      <c r="A423" s="3" t="n"/>
      <c r="B423" s="3" t="n"/>
      <c r="C423" s="3" t="n"/>
      <c r="D423" s="3" t="n"/>
      <c r="E423" s="3" t="n"/>
      <c r="F423" s="11" t="n"/>
      <c r="G423" s="11" t="n"/>
      <c r="H423" s="11" t="n"/>
      <c r="I423" s="3" t="n"/>
      <c r="J423" s="3">
        <f>IF(tblEjecucion[[#This Row],[orden]]="","",tblEjecucion[[#This Row],[orden]]&amp;IF(tblEjecucion[[#This Row],[operacion]]="","0010",tblEjecucion[[#This Row],[operacion]]))</f>
        <v/>
      </c>
    </row>
    <row r="424">
      <c r="A424" s="3" t="n"/>
      <c r="B424" s="3" t="n"/>
      <c r="C424" s="3" t="n"/>
      <c r="D424" s="3" t="n"/>
      <c r="E424" s="3" t="n"/>
      <c r="F424" s="11" t="n"/>
      <c r="G424" s="11" t="n"/>
      <c r="H424" s="11" t="n"/>
      <c r="I424" s="3" t="n"/>
      <c r="J424" s="3">
        <f>IF(tblEjecucion[[#This Row],[orden]]="","",tblEjecucion[[#This Row],[orden]]&amp;IF(tblEjecucion[[#This Row],[operacion]]="","0010",tblEjecucion[[#This Row],[operacion]]))</f>
        <v/>
      </c>
    </row>
    <row r="425">
      <c r="A425" s="3" t="n"/>
      <c r="B425" s="3" t="n"/>
      <c r="C425" s="3" t="n"/>
      <c r="D425" s="3" t="n"/>
      <c r="E425" s="3" t="n"/>
      <c r="F425" s="11" t="n"/>
      <c r="G425" s="11" t="n"/>
      <c r="H425" s="11" t="n"/>
      <c r="I425" s="3" t="n"/>
      <c r="J425" s="3">
        <f>IF(tblEjecucion[[#This Row],[orden]]="","",tblEjecucion[[#This Row],[orden]]&amp;IF(tblEjecucion[[#This Row],[operacion]]="","0010",tblEjecucion[[#This Row],[operacion]]))</f>
        <v/>
      </c>
    </row>
    <row r="426">
      <c r="A426" s="3" t="n"/>
      <c r="B426" s="3" t="n"/>
      <c r="C426" s="3" t="n"/>
      <c r="D426" s="3" t="n"/>
      <c r="E426" s="3" t="n"/>
      <c r="F426" s="11" t="n"/>
      <c r="G426" s="11" t="n"/>
      <c r="H426" s="11" t="n"/>
      <c r="I426" s="3" t="n"/>
      <c r="J426" s="3">
        <f>IF(tblEjecucion[[#This Row],[orden]]="","",tblEjecucion[[#This Row],[orden]]&amp;IF(tblEjecucion[[#This Row],[operacion]]="","0010",tblEjecucion[[#This Row],[operacion]]))</f>
        <v/>
      </c>
    </row>
    <row r="427">
      <c r="A427" s="3" t="n"/>
      <c r="B427" s="3" t="n"/>
      <c r="C427" s="3" t="n"/>
      <c r="D427" s="3" t="n"/>
      <c r="E427" s="3" t="n"/>
      <c r="F427" s="11" t="n"/>
      <c r="G427" s="11" t="n"/>
      <c r="H427" s="11" t="n"/>
      <c r="I427" s="3" t="n"/>
      <c r="J427" s="3">
        <f>IF(tblEjecucion[[#This Row],[orden]]="","",tblEjecucion[[#This Row],[orden]]&amp;IF(tblEjecucion[[#This Row],[operacion]]="","0010",tblEjecucion[[#This Row],[operacion]]))</f>
        <v/>
      </c>
    </row>
    <row r="428">
      <c r="A428" s="3" t="n"/>
      <c r="B428" s="3" t="n"/>
      <c r="C428" s="3" t="n"/>
      <c r="D428" s="3" t="n"/>
      <c r="E428" s="3" t="n"/>
      <c r="F428" s="11" t="n"/>
      <c r="G428" s="11" t="n"/>
      <c r="H428" s="11" t="n"/>
      <c r="I428" s="3" t="n"/>
      <c r="J428" s="3">
        <f>IF(tblEjecucion[[#This Row],[orden]]="","",tblEjecucion[[#This Row],[orden]]&amp;IF(tblEjecucion[[#This Row],[operacion]]="","0010",tblEjecucion[[#This Row],[operacion]]))</f>
        <v/>
      </c>
    </row>
    <row r="429">
      <c r="A429" s="3" t="n"/>
      <c r="B429" s="3" t="n"/>
      <c r="C429" s="3" t="n"/>
      <c r="D429" s="3" t="n"/>
      <c r="E429" s="3" t="n"/>
      <c r="F429" s="11" t="n"/>
      <c r="G429" s="11" t="n"/>
      <c r="H429" s="11" t="n"/>
      <c r="I429" s="3" t="n"/>
      <c r="J429" s="3">
        <f>IF(tblEjecucion[[#This Row],[orden]]="","",tblEjecucion[[#This Row],[orden]]&amp;IF(tblEjecucion[[#This Row],[operacion]]="","0010",tblEjecucion[[#This Row],[operacion]]))</f>
        <v/>
      </c>
    </row>
    <row r="430">
      <c r="A430" s="3" t="n"/>
      <c r="B430" s="3" t="n"/>
      <c r="C430" s="3" t="n"/>
      <c r="D430" s="3" t="n"/>
      <c r="E430" s="3" t="n"/>
      <c r="F430" s="11" t="n"/>
      <c r="G430" s="11" t="n"/>
      <c r="H430" s="11" t="n"/>
      <c r="I430" s="3" t="n"/>
      <c r="J430" s="3">
        <f>IF(tblEjecucion[[#This Row],[orden]]="","",tblEjecucion[[#This Row],[orden]]&amp;IF(tblEjecucion[[#This Row],[operacion]]="","0010",tblEjecucion[[#This Row],[operacion]]))</f>
        <v/>
      </c>
    </row>
    <row r="431">
      <c r="A431" s="3" t="n"/>
      <c r="B431" s="3" t="n"/>
      <c r="C431" s="3" t="n"/>
      <c r="D431" s="3" t="n"/>
      <c r="E431" s="3" t="n"/>
      <c r="F431" s="11" t="n"/>
      <c r="G431" s="11" t="n"/>
      <c r="H431" s="11" t="n"/>
      <c r="I431" s="3" t="n"/>
      <c r="J431" s="3">
        <f>IF(tblEjecucion[[#This Row],[orden]]="","",tblEjecucion[[#This Row],[orden]]&amp;IF(tblEjecucion[[#This Row],[operacion]]="","0010",tblEjecucion[[#This Row],[operacion]]))</f>
        <v/>
      </c>
    </row>
    <row r="432">
      <c r="A432" s="3" t="n"/>
      <c r="B432" s="3" t="n"/>
      <c r="C432" s="3" t="n"/>
      <c r="D432" s="3" t="n"/>
      <c r="E432" s="3" t="n"/>
      <c r="F432" s="11" t="n"/>
      <c r="G432" s="11" t="n"/>
      <c r="H432" s="11" t="n"/>
      <c r="I432" s="3" t="n"/>
      <c r="J432" s="3">
        <f>IF(tblEjecucion[[#This Row],[orden]]="","",tblEjecucion[[#This Row],[orden]]&amp;IF(tblEjecucion[[#This Row],[operacion]]="","0010",tblEjecucion[[#This Row],[operacion]]))</f>
        <v/>
      </c>
    </row>
    <row r="433">
      <c r="A433" s="3" t="n"/>
      <c r="B433" s="3" t="n"/>
      <c r="C433" s="3" t="n"/>
      <c r="D433" s="3" t="n"/>
      <c r="E433" s="3" t="n"/>
      <c r="F433" s="11" t="n"/>
      <c r="G433" s="11" t="n"/>
      <c r="H433" s="11" t="n"/>
      <c r="I433" s="3" t="n"/>
      <c r="J433" s="3">
        <f>IF(tblEjecucion[[#This Row],[orden]]="","",tblEjecucion[[#This Row],[orden]]&amp;IF(tblEjecucion[[#This Row],[operacion]]="","0010",tblEjecucion[[#This Row],[operacion]]))</f>
        <v/>
      </c>
    </row>
    <row r="434">
      <c r="A434" s="3" t="n"/>
      <c r="B434" s="3" t="n"/>
      <c r="C434" s="3" t="n"/>
      <c r="D434" s="3" t="n"/>
      <c r="E434" s="3" t="n"/>
      <c r="F434" s="11" t="n"/>
      <c r="G434" s="11" t="n"/>
      <c r="H434" s="11" t="n"/>
      <c r="I434" s="3" t="n"/>
      <c r="J434" s="3">
        <f>IF(tblEjecucion[[#This Row],[orden]]="","",tblEjecucion[[#This Row],[orden]]&amp;IF(tblEjecucion[[#This Row],[operacion]]="","0010",tblEjecucion[[#This Row],[operacion]]))</f>
        <v/>
      </c>
    </row>
    <row r="435">
      <c r="A435" s="3" t="n"/>
      <c r="B435" s="3" t="n"/>
      <c r="C435" s="3" t="n"/>
      <c r="D435" s="3" t="n"/>
      <c r="E435" s="3" t="n"/>
      <c r="F435" s="11" t="n"/>
      <c r="G435" s="11" t="n"/>
      <c r="H435" s="11" t="n"/>
      <c r="I435" s="3" t="n"/>
      <c r="J435" s="3">
        <f>IF(tblEjecucion[[#This Row],[orden]]="","",tblEjecucion[[#This Row],[orden]]&amp;IF(tblEjecucion[[#This Row],[operacion]]="","0010",tblEjecucion[[#This Row],[operacion]]))</f>
        <v/>
      </c>
    </row>
    <row r="436">
      <c r="A436" s="3" t="n"/>
      <c r="B436" s="3" t="n"/>
      <c r="C436" s="3" t="n"/>
      <c r="D436" s="3" t="n"/>
      <c r="E436" s="3" t="n"/>
      <c r="F436" s="11" t="n"/>
      <c r="G436" s="11" t="n"/>
      <c r="H436" s="11" t="n"/>
      <c r="I436" s="3" t="n"/>
      <c r="J436" s="3">
        <f>IF(tblEjecucion[[#This Row],[orden]]="","",tblEjecucion[[#This Row],[orden]]&amp;IF(tblEjecucion[[#This Row],[operacion]]="","0010",tblEjecucion[[#This Row],[operacion]]))</f>
        <v/>
      </c>
    </row>
    <row r="437">
      <c r="A437" s="3" t="n"/>
      <c r="B437" s="3" t="n"/>
      <c r="C437" s="3" t="n"/>
      <c r="D437" s="3" t="n"/>
      <c r="E437" s="3" t="n"/>
      <c r="F437" s="11" t="n"/>
      <c r="G437" s="11" t="n"/>
      <c r="H437" s="11" t="n"/>
      <c r="I437" s="3" t="n"/>
      <c r="J437" s="3">
        <f>IF(tblEjecucion[[#This Row],[orden]]="","",tblEjecucion[[#This Row],[orden]]&amp;IF(tblEjecucion[[#This Row],[operacion]]="","0010",tblEjecucion[[#This Row],[operacion]]))</f>
        <v/>
      </c>
    </row>
    <row r="438">
      <c r="A438" s="3" t="n"/>
      <c r="B438" s="3" t="n"/>
      <c r="C438" s="3" t="n"/>
      <c r="D438" s="3" t="n"/>
      <c r="E438" s="3" t="n"/>
      <c r="F438" s="11" t="n"/>
      <c r="G438" s="11" t="n"/>
      <c r="H438" s="11" t="n"/>
      <c r="I438" s="3" t="n"/>
      <c r="J438" s="3">
        <f>IF(tblEjecucion[[#This Row],[orden]]="","",tblEjecucion[[#This Row],[orden]]&amp;IF(tblEjecucion[[#This Row],[operacion]]="","0010",tblEjecucion[[#This Row],[operacion]]))</f>
        <v/>
      </c>
    </row>
    <row r="439">
      <c r="A439" s="3" t="n"/>
      <c r="B439" s="3" t="n"/>
      <c r="C439" s="3" t="n"/>
      <c r="D439" s="3" t="n"/>
      <c r="E439" s="3" t="n"/>
      <c r="F439" s="11" t="n"/>
      <c r="G439" s="11" t="n"/>
      <c r="H439" s="11" t="n"/>
      <c r="I439" s="3" t="n"/>
      <c r="J439" s="3">
        <f>IF(tblEjecucion[[#This Row],[orden]]="","",tblEjecucion[[#This Row],[orden]]&amp;IF(tblEjecucion[[#This Row],[operacion]]="","0010",tblEjecucion[[#This Row],[operacion]]))</f>
        <v/>
      </c>
    </row>
    <row r="440">
      <c r="A440" s="3" t="n"/>
      <c r="B440" s="3" t="n"/>
      <c r="C440" s="3" t="n"/>
      <c r="D440" s="3" t="n"/>
      <c r="E440" s="3" t="n"/>
      <c r="F440" s="11" t="n"/>
      <c r="G440" s="11" t="n"/>
      <c r="H440" s="11" t="n"/>
      <c r="I440" s="3" t="n"/>
      <c r="J440" s="3">
        <f>IF(tblEjecucion[[#This Row],[orden]]="","",tblEjecucion[[#This Row],[orden]]&amp;IF(tblEjecucion[[#This Row],[operacion]]="","0010",tblEjecucion[[#This Row],[operacion]]))</f>
        <v/>
      </c>
    </row>
    <row r="441">
      <c r="A441" s="3" t="n"/>
      <c r="B441" s="3" t="n"/>
      <c r="C441" s="3" t="n"/>
      <c r="D441" s="3" t="n"/>
      <c r="E441" s="3" t="n"/>
      <c r="F441" s="11" t="n"/>
      <c r="G441" s="11" t="n"/>
      <c r="H441" s="11" t="n"/>
      <c r="I441" s="3" t="n"/>
      <c r="J441" s="3">
        <f>IF(tblEjecucion[[#This Row],[orden]]="","",tblEjecucion[[#This Row],[orden]]&amp;IF(tblEjecucion[[#This Row],[operacion]]="","0010",tblEjecucion[[#This Row],[operacion]]))</f>
        <v/>
      </c>
    </row>
    <row r="442">
      <c r="A442" s="3" t="n"/>
      <c r="B442" s="3" t="n"/>
      <c r="C442" s="3" t="n"/>
      <c r="D442" s="3" t="n"/>
      <c r="E442" s="3" t="n"/>
      <c r="F442" s="11" t="n"/>
      <c r="G442" s="11" t="n"/>
      <c r="H442" s="11" t="n"/>
      <c r="I442" s="3" t="n"/>
      <c r="J442" s="3">
        <f>IF(tblEjecucion[[#This Row],[orden]]="","",tblEjecucion[[#This Row],[orden]]&amp;IF(tblEjecucion[[#This Row],[operacion]]="","0010",tblEjecucion[[#This Row],[operacion]]))</f>
        <v/>
      </c>
    </row>
    <row r="443">
      <c r="A443" s="3" t="n"/>
      <c r="B443" s="3" t="n"/>
      <c r="C443" s="3" t="n"/>
      <c r="D443" s="3" t="n"/>
      <c r="E443" s="3" t="n"/>
      <c r="F443" s="11" t="n"/>
      <c r="G443" s="11" t="n"/>
      <c r="H443" s="11" t="n"/>
      <c r="I443" s="3" t="n"/>
      <c r="J443" s="3">
        <f>IF(tblEjecucion[[#This Row],[orden]]="","",tblEjecucion[[#This Row],[orden]]&amp;IF(tblEjecucion[[#This Row],[operacion]]="","0010",tblEjecucion[[#This Row],[operacion]]))</f>
        <v/>
      </c>
    </row>
    <row r="444">
      <c r="A444" s="3" t="n"/>
      <c r="B444" s="3" t="n"/>
      <c r="C444" s="3" t="n"/>
      <c r="D444" s="3" t="n"/>
      <c r="E444" s="3" t="n"/>
      <c r="F444" s="11" t="n"/>
      <c r="G444" s="11" t="n"/>
      <c r="H444" s="11" t="n"/>
      <c r="I444" s="3" t="n"/>
      <c r="J444" s="3">
        <f>IF(tblEjecucion[[#This Row],[orden]]="","",tblEjecucion[[#This Row],[orden]]&amp;IF(tblEjecucion[[#This Row],[operacion]]="","0010",tblEjecucion[[#This Row],[operacion]]))</f>
        <v/>
      </c>
    </row>
    <row r="445">
      <c r="A445" s="3" t="n"/>
      <c r="B445" s="3" t="n"/>
      <c r="C445" s="3" t="n"/>
      <c r="D445" s="3" t="n"/>
      <c r="E445" s="3" t="n"/>
      <c r="F445" s="11" t="n"/>
      <c r="G445" s="11" t="n"/>
      <c r="H445" s="11" t="n"/>
      <c r="I445" s="3" t="n"/>
      <c r="J445" s="3">
        <f>IF(tblEjecucion[[#This Row],[orden]]="","",tblEjecucion[[#This Row],[orden]]&amp;IF(tblEjecucion[[#This Row],[operacion]]="","0010",tblEjecucion[[#This Row],[operacion]]))</f>
        <v/>
      </c>
    </row>
    <row r="446">
      <c r="A446" s="3" t="n"/>
      <c r="B446" s="3" t="n"/>
      <c r="C446" s="3" t="n"/>
      <c r="D446" s="3" t="n"/>
      <c r="E446" s="3" t="n"/>
      <c r="F446" s="11" t="n"/>
      <c r="G446" s="11" t="n"/>
      <c r="H446" s="11" t="n"/>
      <c r="I446" s="3" t="n"/>
      <c r="J446" s="3">
        <f>IF(tblEjecucion[[#This Row],[orden]]="","",tblEjecucion[[#This Row],[orden]]&amp;IF(tblEjecucion[[#This Row],[operacion]]="","0010",tblEjecucion[[#This Row],[operacion]]))</f>
        <v/>
      </c>
    </row>
    <row r="447">
      <c r="A447" s="3" t="n"/>
      <c r="B447" s="3" t="n"/>
      <c r="C447" s="3" t="n"/>
      <c r="D447" s="3" t="n"/>
      <c r="E447" s="3" t="n"/>
      <c r="F447" s="11" t="n"/>
      <c r="G447" s="11" t="n"/>
      <c r="H447" s="11" t="n"/>
      <c r="I447" s="3" t="n"/>
      <c r="J447" s="3">
        <f>IF(tblEjecucion[[#This Row],[orden]]="","",tblEjecucion[[#This Row],[orden]]&amp;IF(tblEjecucion[[#This Row],[operacion]]="","0010",tblEjecucion[[#This Row],[operacion]]))</f>
        <v/>
      </c>
    </row>
    <row r="448">
      <c r="A448" s="3" t="n"/>
      <c r="B448" s="3" t="n"/>
      <c r="C448" s="3" t="n"/>
      <c r="D448" s="3" t="n"/>
      <c r="E448" s="3" t="n"/>
      <c r="F448" s="11" t="n"/>
      <c r="G448" s="11" t="n"/>
      <c r="H448" s="11" t="n"/>
      <c r="I448" s="3" t="n"/>
      <c r="J448" s="3">
        <f>IF(tblEjecucion[[#This Row],[orden]]="","",tblEjecucion[[#This Row],[orden]]&amp;IF(tblEjecucion[[#This Row],[operacion]]="","0010",tblEjecucion[[#This Row],[operacion]]))</f>
        <v/>
      </c>
    </row>
    <row r="449">
      <c r="A449" s="3" t="n"/>
      <c r="B449" s="3" t="n"/>
      <c r="C449" s="3" t="n"/>
      <c r="D449" s="3" t="n"/>
      <c r="E449" s="3" t="n"/>
      <c r="F449" s="11" t="n"/>
      <c r="G449" s="11" t="n"/>
      <c r="H449" s="11" t="n"/>
      <c r="I449" s="3" t="n"/>
      <c r="J449" s="3">
        <f>IF(tblEjecucion[[#This Row],[orden]]="","",tblEjecucion[[#This Row],[orden]]&amp;IF(tblEjecucion[[#This Row],[operacion]]="","0010",tblEjecucion[[#This Row],[operacion]]))</f>
        <v/>
      </c>
    </row>
    <row r="450">
      <c r="A450" s="3" t="n"/>
      <c r="B450" s="3" t="n"/>
      <c r="C450" s="3" t="n"/>
      <c r="D450" s="3" t="n"/>
      <c r="E450" s="3" t="n"/>
      <c r="F450" s="11" t="n"/>
      <c r="G450" s="11" t="n"/>
      <c r="H450" s="11" t="n"/>
      <c r="I450" s="3" t="n"/>
      <c r="J450" s="3">
        <f>IF(tblEjecucion[[#This Row],[orden]]="","",tblEjecucion[[#This Row],[orden]]&amp;IF(tblEjecucion[[#This Row],[operacion]]="","0010",tblEjecucion[[#This Row],[operacion]]))</f>
        <v/>
      </c>
    </row>
    <row r="451">
      <c r="A451" s="3" t="n"/>
      <c r="B451" s="3" t="n"/>
      <c r="C451" s="3" t="n"/>
      <c r="D451" s="3" t="n"/>
      <c r="E451" s="3" t="n"/>
      <c r="F451" s="11" t="n"/>
      <c r="G451" s="11" t="n"/>
      <c r="H451" s="11" t="n"/>
      <c r="I451" s="3" t="n"/>
      <c r="J451" s="3">
        <f>IF(tblEjecucion[[#This Row],[orden]]="","",tblEjecucion[[#This Row],[orden]]&amp;IF(tblEjecucion[[#This Row],[operacion]]="","0010",tblEjecucion[[#This Row],[operacion]]))</f>
        <v/>
      </c>
    </row>
    <row r="452">
      <c r="A452" s="3" t="n"/>
      <c r="B452" s="3" t="n"/>
      <c r="C452" s="3" t="n"/>
      <c r="D452" s="3" t="n"/>
      <c r="E452" s="3" t="n"/>
      <c r="F452" s="11" t="n"/>
      <c r="G452" s="11" t="n"/>
      <c r="H452" s="11" t="n"/>
      <c r="I452" s="3" t="n"/>
      <c r="J452" s="3">
        <f>IF(tblEjecucion[[#This Row],[orden]]="","",tblEjecucion[[#This Row],[orden]]&amp;IF(tblEjecucion[[#This Row],[operacion]]="","0010",tblEjecucion[[#This Row],[operacion]]))</f>
        <v/>
      </c>
    </row>
    <row r="453">
      <c r="A453" s="3" t="n"/>
      <c r="B453" s="3" t="n"/>
      <c r="C453" s="3" t="n"/>
      <c r="D453" s="3" t="n"/>
      <c r="E453" s="3" t="n"/>
      <c r="F453" s="11" t="n"/>
      <c r="G453" s="11" t="n"/>
      <c r="H453" s="11" t="n"/>
      <c r="I453" s="3" t="n"/>
      <c r="J453" s="3">
        <f>IF(tblEjecucion[[#This Row],[orden]]="","",tblEjecucion[[#This Row],[orden]]&amp;IF(tblEjecucion[[#This Row],[operacion]]="","0010",tblEjecucion[[#This Row],[operacion]]))</f>
        <v/>
      </c>
    </row>
    <row r="454">
      <c r="A454" s="3" t="n"/>
      <c r="B454" s="3" t="n"/>
      <c r="C454" s="3" t="n"/>
      <c r="D454" s="3" t="n"/>
      <c r="E454" s="3" t="n"/>
      <c r="F454" s="11" t="n"/>
      <c r="G454" s="11" t="n"/>
      <c r="H454" s="11" t="n"/>
      <c r="I454" s="3" t="n"/>
      <c r="J454" s="3">
        <f>IF(tblEjecucion[[#This Row],[orden]]="","",tblEjecucion[[#This Row],[orden]]&amp;IF(tblEjecucion[[#This Row],[operacion]]="","0010",tblEjecucion[[#This Row],[operacion]]))</f>
        <v/>
      </c>
    </row>
    <row r="455">
      <c r="A455" s="3" t="n"/>
      <c r="B455" s="3" t="n"/>
      <c r="C455" s="3" t="n"/>
      <c r="D455" s="3" t="n"/>
      <c r="E455" s="3" t="n"/>
      <c r="F455" s="11" t="n"/>
      <c r="G455" s="11" t="n"/>
      <c r="H455" s="11" t="n"/>
      <c r="I455" s="3" t="n"/>
      <c r="J455" s="3">
        <f>IF(tblEjecucion[[#This Row],[orden]]="","",tblEjecucion[[#This Row],[orden]]&amp;IF(tblEjecucion[[#This Row],[operacion]]="","0010",tblEjecucion[[#This Row],[operacion]]))</f>
        <v/>
      </c>
    </row>
    <row r="456">
      <c r="A456" s="3" t="n"/>
      <c r="B456" s="3" t="n"/>
      <c r="C456" s="3" t="n"/>
      <c r="D456" s="3" t="n"/>
      <c r="E456" s="3" t="n"/>
      <c r="F456" s="11" t="n"/>
      <c r="G456" s="11" t="n"/>
      <c r="H456" s="11" t="n"/>
      <c r="I456" s="3" t="n"/>
      <c r="J456" s="3">
        <f>IF(tblEjecucion[[#This Row],[orden]]="","",tblEjecucion[[#This Row],[orden]]&amp;IF(tblEjecucion[[#This Row],[operacion]]="","0010",tblEjecucion[[#This Row],[operacion]]))</f>
        <v/>
      </c>
    </row>
    <row r="457">
      <c r="A457" s="3" t="n"/>
      <c r="B457" s="3" t="n"/>
      <c r="C457" s="3" t="n"/>
      <c r="D457" s="3" t="n"/>
      <c r="E457" s="3" t="n"/>
      <c r="F457" s="11" t="n"/>
      <c r="G457" s="11" t="n"/>
      <c r="H457" s="11" t="n"/>
      <c r="I457" s="3" t="n"/>
      <c r="J457" s="3">
        <f>IF(tblEjecucion[[#This Row],[orden]]="","",tblEjecucion[[#This Row],[orden]]&amp;IF(tblEjecucion[[#This Row],[operacion]]="","0010",tblEjecucion[[#This Row],[operacion]]))</f>
        <v/>
      </c>
    </row>
    <row r="458">
      <c r="A458" s="3" t="n"/>
      <c r="B458" s="3" t="n"/>
      <c r="C458" s="3" t="n"/>
      <c r="D458" s="3" t="n"/>
      <c r="E458" s="3" t="n"/>
      <c r="F458" s="11" t="n"/>
      <c r="G458" s="11" t="n"/>
      <c r="H458" s="11" t="n"/>
      <c r="I458" s="3" t="n"/>
      <c r="J458" s="3">
        <f>IF(tblEjecucion[[#This Row],[orden]]="","",tblEjecucion[[#This Row],[orden]]&amp;IF(tblEjecucion[[#This Row],[operacion]]="","0010",tblEjecucion[[#This Row],[operacion]]))</f>
        <v/>
      </c>
    </row>
    <row r="459">
      <c r="A459" s="3" t="n"/>
      <c r="B459" s="3" t="n"/>
      <c r="C459" s="3" t="n"/>
      <c r="D459" s="3" t="n"/>
      <c r="E459" s="3" t="n"/>
      <c r="F459" s="11" t="n"/>
      <c r="G459" s="11" t="n"/>
      <c r="H459" s="11" t="n"/>
      <c r="I459" s="3" t="n"/>
      <c r="J459" s="3">
        <f>IF(tblEjecucion[[#This Row],[orden]]="","",tblEjecucion[[#This Row],[orden]]&amp;IF(tblEjecucion[[#This Row],[operacion]]="","0010",tblEjecucion[[#This Row],[operacion]]))</f>
        <v/>
      </c>
    </row>
    <row r="460">
      <c r="A460" s="3" t="n"/>
      <c r="B460" s="3" t="n"/>
      <c r="C460" s="3" t="n"/>
      <c r="D460" s="3" t="n"/>
      <c r="E460" s="3" t="n"/>
      <c r="F460" s="11" t="n"/>
      <c r="G460" s="11" t="n"/>
      <c r="H460" s="11" t="n"/>
      <c r="I460" s="3" t="n"/>
      <c r="J460" s="3">
        <f>IF(tblEjecucion[[#This Row],[orden]]="","",tblEjecucion[[#This Row],[orden]]&amp;IF(tblEjecucion[[#This Row],[operacion]]="","0010",tblEjecucion[[#This Row],[operacion]]))</f>
        <v/>
      </c>
    </row>
    <row r="461">
      <c r="A461" s="3" t="n"/>
      <c r="B461" s="3" t="n"/>
      <c r="C461" s="3" t="n"/>
      <c r="D461" s="3" t="n"/>
      <c r="E461" s="3" t="n"/>
      <c r="F461" s="11" t="n"/>
      <c r="G461" s="11" t="n"/>
      <c r="H461" s="11" t="n"/>
      <c r="I461" s="3" t="n"/>
      <c r="J461" s="3">
        <f>IF(tblEjecucion[[#This Row],[orden]]="","",tblEjecucion[[#This Row],[orden]]&amp;IF(tblEjecucion[[#This Row],[operacion]]="","0010",tblEjecucion[[#This Row],[operacion]]))</f>
        <v/>
      </c>
    </row>
    <row r="462">
      <c r="A462" s="3" t="n"/>
      <c r="B462" s="3" t="n"/>
      <c r="C462" s="3" t="n"/>
      <c r="D462" s="3" t="n"/>
      <c r="E462" s="3" t="n"/>
      <c r="F462" s="11" t="n"/>
      <c r="G462" s="11" t="n"/>
      <c r="H462" s="11" t="n"/>
      <c r="I462" s="3" t="n"/>
      <c r="J462" s="3">
        <f>IF(tblEjecucion[[#This Row],[orden]]="","",tblEjecucion[[#This Row],[orden]]&amp;IF(tblEjecucion[[#This Row],[operacion]]="","0010",tblEjecucion[[#This Row],[operacion]]))</f>
        <v/>
      </c>
    </row>
    <row r="463">
      <c r="A463" s="3" t="n"/>
      <c r="B463" s="3" t="n"/>
      <c r="C463" s="3" t="n"/>
      <c r="D463" s="3" t="n"/>
      <c r="E463" s="3" t="n"/>
      <c r="F463" s="11" t="n"/>
      <c r="G463" s="11" t="n"/>
      <c r="H463" s="11" t="n"/>
      <c r="I463" s="3" t="n"/>
      <c r="J463" s="3">
        <f>IF(tblEjecucion[[#This Row],[orden]]="","",tblEjecucion[[#This Row],[orden]]&amp;IF(tblEjecucion[[#This Row],[operacion]]="","0010",tblEjecucion[[#This Row],[operacion]]))</f>
        <v/>
      </c>
    </row>
    <row r="464">
      <c r="A464" s="3" t="n"/>
      <c r="B464" s="3" t="n"/>
      <c r="C464" s="3" t="n"/>
      <c r="D464" s="3" t="n"/>
      <c r="E464" s="3" t="n"/>
      <c r="F464" s="11" t="n"/>
      <c r="G464" s="11" t="n"/>
      <c r="H464" s="11" t="n"/>
      <c r="I464" s="3" t="n"/>
      <c r="J464" s="3">
        <f>IF(tblEjecucion[[#This Row],[orden]]="","",tblEjecucion[[#This Row],[orden]]&amp;IF(tblEjecucion[[#This Row],[operacion]]="","0010",tblEjecucion[[#This Row],[operacion]]))</f>
        <v/>
      </c>
    </row>
    <row r="465">
      <c r="A465" s="3" t="n"/>
      <c r="B465" s="3" t="n"/>
      <c r="C465" s="3" t="n"/>
      <c r="D465" s="3" t="n"/>
      <c r="E465" s="3" t="n"/>
      <c r="F465" s="11" t="n"/>
      <c r="G465" s="11" t="n"/>
      <c r="H465" s="11" t="n"/>
      <c r="I465" s="3" t="n"/>
      <c r="J465" s="3">
        <f>IF(tblEjecucion[[#This Row],[orden]]="","",tblEjecucion[[#This Row],[orden]]&amp;IF(tblEjecucion[[#This Row],[operacion]]="","0010",tblEjecucion[[#This Row],[operacion]]))</f>
        <v/>
      </c>
    </row>
    <row r="466">
      <c r="A466" s="3" t="n"/>
      <c r="B466" s="3" t="n"/>
      <c r="C466" s="3" t="n"/>
      <c r="D466" s="3" t="n"/>
      <c r="E466" s="3" t="n"/>
      <c r="F466" s="11" t="n"/>
      <c r="G466" s="11" t="n"/>
      <c r="H466" s="11" t="n"/>
      <c r="I466" s="3" t="n"/>
      <c r="J466" s="3">
        <f>IF(tblEjecucion[[#This Row],[orden]]="","",tblEjecucion[[#This Row],[orden]]&amp;IF(tblEjecucion[[#This Row],[operacion]]="","0010",tblEjecucion[[#This Row],[operacion]]))</f>
        <v/>
      </c>
    </row>
    <row r="467">
      <c r="A467" s="3" t="n"/>
      <c r="B467" s="3" t="n"/>
      <c r="C467" s="3" t="n"/>
      <c r="D467" s="3" t="n"/>
      <c r="E467" s="3" t="n"/>
      <c r="F467" s="11" t="n"/>
      <c r="G467" s="11" t="n"/>
      <c r="H467" s="11" t="n"/>
      <c r="I467" s="3" t="n"/>
      <c r="J467" s="3">
        <f>IF(tblEjecucion[[#This Row],[orden]]="","",tblEjecucion[[#This Row],[orden]]&amp;IF(tblEjecucion[[#This Row],[operacion]]="","0010",tblEjecucion[[#This Row],[operacion]]))</f>
        <v/>
      </c>
    </row>
    <row r="468">
      <c r="A468" s="3" t="n"/>
      <c r="B468" s="3" t="n"/>
      <c r="C468" s="3" t="n"/>
      <c r="D468" s="3" t="n"/>
      <c r="E468" s="3" t="n"/>
      <c r="F468" s="11" t="n"/>
      <c r="G468" s="11" t="n"/>
      <c r="H468" s="11" t="n"/>
      <c r="I468" s="3" t="n"/>
      <c r="J468" s="3">
        <f>IF(tblEjecucion[[#This Row],[orden]]="","",tblEjecucion[[#This Row],[orden]]&amp;IF(tblEjecucion[[#This Row],[operacion]]="","0010",tblEjecucion[[#This Row],[operacion]]))</f>
        <v/>
      </c>
    </row>
    <row r="469">
      <c r="A469" s="3" t="n"/>
      <c r="B469" s="3" t="n"/>
      <c r="C469" s="3" t="n"/>
      <c r="D469" s="3" t="n"/>
      <c r="E469" s="3" t="n"/>
      <c r="F469" s="11" t="n"/>
      <c r="G469" s="11" t="n"/>
      <c r="H469" s="11" t="n"/>
      <c r="I469" s="3" t="n"/>
      <c r="J469" s="3">
        <f>IF(tblEjecucion[[#This Row],[orden]]="","",tblEjecucion[[#This Row],[orden]]&amp;IF(tblEjecucion[[#This Row],[operacion]]="","0010",tblEjecucion[[#This Row],[operacion]]))</f>
        <v/>
      </c>
    </row>
    <row r="470">
      <c r="A470" s="3" t="n"/>
      <c r="B470" s="3" t="n"/>
      <c r="C470" s="3" t="n"/>
      <c r="D470" s="3" t="n"/>
      <c r="E470" s="3" t="n"/>
      <c r="F470" s="11" t="n"/>
      <c r="G470" s="11" t="n"/>
      <c r="H470" s="11" t="n"/>
      <c r="I470" s="3" t="n"/>
      <c r="J470" s="3">
        <f>IF(tblEjecucion[[#This Row],[orden]]="","",tblEjecucion[[#This Row],[orden]]&amp;IF(tblEjecucion[[#This Row],[operacion]]="","0010",tblEjecucion[[#This Row],[operacion]]))</f>
        <v/>
      </c>
    </row>
    <row r="471">
      <c r="A471" s="3" t="n"/>
      <c r="B471" s="3" t="n"/>
      <c r="C471" s="3" t="n"/>
      <c r="D471" s="3" t="n"/>
      <c r="E471" s="3" t="n"/>
      <c r="F471" s="11" t="n"/>
      <c r="G471" s="11" t="n"/>
      <c r="H471" s="11" t="n"/>
      <c r="I471" s="3" t="n"/>
      <c r="J471" s="3">
        <f>IF(tblEjecucion[[#This Row],[orden]]="","",tblEjecucion[[#This Row],[orden]]&amp;IF(tblEjecucion[[#This Row],[operacion]]="","0010",tblEjecucion[[#This Row],[operacion]]))</f>
        <v/>
      </c>
    </row>
    <row r="472">
      <c r="A472" s="3" t="n"/>
      <c r="B472" s="3" t="n"/>
      <c r="C472" s="3" t="n"/>
      <c r="D472" s="3" t="n"/>
      <c r="E472" s="3" t="n"/>
      <c r="F472" s="11" t="n"/>
      <c r="G472" s="11" t="n"/>
      <c r="H472" s="11" t="n"/>
      <c r="I472" s="3" t="n"/>
      <c r="J472" s="3">
        <f>IF(tblEjecucion[[#This Row],[orden]]="","",tblEjecucion[[#This Row],[orden]]&amp;IF(tblEjecucion[[#This Row],[operacion]]="","0010",tblEjecucion[[#This Row],[operacion]]))</f>
        <v/>
      </c>
    </row>
    <row r="473">
      <c r="A473" s="3" t="n"/>
      <c r="B473" s="3" t="n"/>
      <c r="C473" s="3" t="n"/>
      <c r="D473" s="3" t="n"/>
      <c r="E473" s="3" t="n"/>
      <c r="F473" s="11" t="n"/>
      <c r="G473" s="11" t="n"/>
      <c r="H473" s="11" t="n"/>
      <c r="I473" s="3" t="n"/>
      <c r="J473" s="3">
        <f>IF(tblEjecucion[[#This Row],[orden]]="","",tblEjecucion[[#This Row],[orden]]&amp;IF(tblEjecucion[[#This Row],[operacion]]="","0010",tblEjecucion[[#This Row],[operacion]]))</f>
        <v/>
      </c>
    </row>
    <row r="474">
      <c r="A474" s="3" t="n"/>
      <c r="B474" s="3" t="n"/>
      <c r="C474" s="3" t="n"/>
      <c r="D474" s="3" t="n"/>
      <c r="E474" s="3" t="n"/>
      <c r="F474" s="11" t="n"/>
      <c r="G474" s="11" t="n"/>
      <c r="H474" s="11" t="n"/>
      <c r="I474" s="3" t="n"/>
      <c r="J474" s="3">
        <f>IF(tblEjecucion[[#This Row],[orden]]="","",tblEjecucion[[#This Row],[orden]]&amp;IF(tblEjecucion[[#This Row],[operacion]]="","0010",tblEjecucion[[#This Row],[operacion]]))</f>
        <v/>
      </c>
    </row>
    <row r="475">
      <c r="A475" s="3" t="n"/>
      <c r="B475" s="3" t="n"/>
      <c r="C475" s="3" t="n"/>
      <c r="D475" s="3" t="n"/>
      <c r="E475" s="3" t="n"/>
      <c r="F475" s="11" t="n"/>
      <c r="G475" s="11" t="n"/>
      <c r="H475" s="11" t="n"/>
      <c r="I475" s="3" t="n"/>
      <c r="J475" s="3">
        <f>IF(tblEjecucion[[#This Row],[orden]]="","",tblEjecucion[[#This Row],[orden]]&amp;IF(tblEjecucion[[#This Row],[operacion]]="","0010",tblEjecucion[[#This Row],[operacion]]))</f>
        <v/>
      </c>
    </row>
    <row r="476">
      <c r="A476" s="3" t="n"/>
      <c r="B476" s="3" t="n"/>
      <c r="C476" s="3" t="n"/>
      <c r="D476" s="3" t="n"/>
      <c r="E476" s="3" t="n"/>
      <c r="F476" s="11" t="n"/>
      <c r="G476" s="11" t="n"/>
      <c r="H476" s="11" t="n"/>
      <c r="I476" s="3" t="n"/>
      <c r="J476" s="3">
        <f>IF(tblEjecucion[[#This Row],[orden]]="","",tblEjecucion[[#This Row],[orden]]&amp;IF(tblEjecucion[[#This Row],[operacion]]="","0010",tblEjecucion[[#This Row],[operacion]]))</f>
        <v/>
      </c>
    </row>
    <row r="477">
      <c r="A477" s="3" t="n"/>
      <c r="B477" s="3" t="n"/>
      <c r="C477" s="3" t="n"/>
      <c r="D477" s="3" t="n"/>
      <c r="E477" s="3" t="n"/>
      <c r="F477" s="11" t="n"/>
      <c r="G477" s="11" t="n"/>
      <c r="H477" s="11" t="n"/>
      <c r="I477" s="3" t="n"/>
      <c r="J477" s="3">
        <f>IF(tblEjecucion[[#This Row],[orden]]="","",tblEjecucion[[#This Row],[orden]]&amp;IF(tblEjecucion[[#This Row],[operacion]]="","0010",tblEjecucion[[#This Row],[operacion]]))</f>
        <v/>
      </c>
    </row>
    <row r="478">
      <c r="A478" s="3" t="n"/>
      <c r="B478" s="3" t="n"/>
      <c r="C478" s="3" t="n"/>
      <c r="D478" s="3" t="n"/>
      <c r="E478" s="3" t="n"/>
      <c r="F478" s="11" t="n"/>
      <c r="G478" s="11" t="n"/>
      <c r="H478" s="11" t="n"/>
      <c r="I478" s="3" t="n"/>
      <c r="J478" s="3">
        <f>IF(tblEjecucion[[#This Row],[orden]]="","",tblEjecucion[[#This Row],[orden]]&amp;IF(tblEjecucion[[#This Row],[operacion]]="","0010",tblEjecucion[[#This Row],[operacion]]))</f>
        <v/>
      </c>
    </row>
    <row r="479">
      <c r="A479" s="3" t="n"/>
      <c r="B479" s="3" t="n"/>
      <c r="C479" s="3" t="n"/>
      <c r="D479" s="3" t="n"/>
      <c r="E479" s="3" t="n"/>
      <c r="F479" s="11" t="n"/>
      <c r="G479" s="11" t="n"/>
      <c r="H479" s="11" t="n"/>
      <c r="I479" s="3" t="n"/>
      <c r="J479" s="3">
        <f>IF(tblEjecucion[[#This Row],[orden]]="","",tblEjecucion[[#This Row],[orden]]&amp;IF(tblEjecucion[[#This Row],[operacion]]="","0010",tblEjecucion[[#This Row],[operacion]]))</f>
        <v/>
      </c>
    </row>
    <row r="480">
      <c r="A480" s="3" t="n"/>
      <c r="B480" s="3" t="n"/>
      <c r="C480" s="3" t="n"/>
      <c r="D480" s="3" t="n"/>
      <c r="E480" s="3" t="n"/>
      <c r="F480" s="11" t="n"/>
      <c r="G480" s="11" t="n"/>
      <c r="H480" s="11" t="n"/>
      <c r="I480" s="3" t="n"/>
      <c r="J480" s="3">
        <f>IF(tblEjecucion[[#This Row],[orden]]="","",tblEjecucion[[#This Row],[orden]]&amp;IF(tblEjecucion[[#This Row],[operacion]]="","0010",tblEjecucion[[#This Row],[operacion]]))</f>
        <v/>
      </c>
    </row>
    <row r="481">
      <c r="A481" s="3" t="n"/>
      <c r="B481" s="3" t="n"/>
      <c r="C481" s="3" t="n"/>
      <c r="D481" s="3" t="n"/>
      <c r="E481" s="3" t="n"/>
      <c r="F481" s="11" t="n"/>
      <c r="G481" s="11" t="n"/>
      <c r="H481" s="11" t="n"/>
      <c r="I481" s="3" t="n"/>
      <c r="J481" s="3">
        <f>IF(tblEjecucion[[#This Row],[orden]]="","",tblEjecucion[[#This Row],[orden]]&amp;IF(tblEjecucion[[#This Row],[operacion]]="","0010",tblEjecucion[[#This Row],[operacion]]))</f>
        <v/>
      </c>
    </row>
    <row r="482">
      <c r="A482" s="3" t="n"/>
      <c r="B482" s="3" t="n"/>
      <c r="C482" s="3" t="n"/>
      <c r="D482" s="3" t="n"/>
      <c r="E482" s="3" t="n"/>
      <c r="F482" s="11" t="n"/>
      <c r="G482" s="11" t="n"/>
      <c r="H482" s="11" t="n"/>
      <c r="I482" s="3" t="n"/>
      <c r="J482" s="3">
        <f>IF(tblEjecucion[[#This Row],[orden]]="","",tblEjecucion[[#This Row],[orden]]&amp;IF(tblEjecucion[[#This Row],[operacion]]="","0010",tblEjecucion[[#This Row],[operacion]]))</f>
        <v/>
      </c>
    </row>
    <row r="483">
      <c r="A483" s="3" t="n"/>
      <c r="B483" s="3" t="n"/>
      <c r="C483" s="3" t="n"/>
      <c r="D483" s="3" t="n"/>
      <c r="E483" s="3" t="n"/>
      <c r="F483" s="11" t="n"/>
      <c r="G483" s="11" t="n"/>
      <c r="H483" s="11" t="n"/>
      <c r="I483" s="3" t="n"/>
      <c r="J483" s="3">
        <f>IF(tblEjecucion[[#This Row],[orden]]="","",tblEjecucion[[#This Row],[orden]]&amp;IF(tblEjecucion[[#This Row],[operacion]]="","0010",tblEjecucion[[#This Row],[operacion]]))</f>
        <v/>
      </c>
    </row>
    <row r="484">
      <c r="A484" s="3" t="n"/>
      <c r="B484" s="3" t="n"/>
      <c r="C484" s="3" t="n"/>
      <c r="D484" s="3" t="n"/>
      <c r="E484" s="3" t="n"/>
      <c r="F484" s="11" t="n"/>
      <c r="G484" s="11" t="n"/>
      <c r="H484" s="11" t="n"/>
      <c r="I484" s="3" t="n"/>
      <c r="J484" s="3">
        <f>IF(tblEjecucion[[#This Row],[orden]]="","",tblEjecucion[[#This Row],[orden]]&amp;IF(tblEjecucion[[#This Row],[operacion]]="","0010",tblEjecucion[[#This Row],[operacion]]))</f>
        <v/>
      </c>
    </row>
    <row r="485">
      <c r="A485" s="3" t="n"/>
      <c r="B485" s="3" t="n"/>
      <c r="C485" s="3" t="n"/>
      <c r="D485" s="3" t="n"/>
      <c r="E485" s="3" t="n"/>
      <c r="F485" s="11" t="n"/>
      <c r="G485" s="11" t="n"/>
      <c r="H485" s="11" t="n"/>
      <c r="I485" s="3" t="n"/>
      <c r="J485" s="3">
        <f>IF(tblEjecucion[[#This Row],[orden]]="","",tblEjecucion[[#This Row],[orden]]&amp;IF(tblEjecucion[[#This Row],[operacion]]="","0010",tblEjecucion[[#This Row],[operacion]]))</f>
        <v/>
      </c>
    </row>
    <row r="486">
      <c r="A486" s="3" t="n"/>
      <c r="B486" s="3" t="n"/>
      <c r="C486" s="3" t="n"/>
      <c r="D486" s="3" t="n"/>
      <c r="E486" s="3" t="n"/>
      <c r="F486" s="11" t="n"/>
      <c r="G486" s="11" t="n"/>
      <c r="H486" s="11" t="n"/>
      <c r="I486" s="3" t="n"/>
      <c r="J486" s="3">
        <f>IF(tblEjecucion[[#This Row],[orden]]="","",tblEjecucion[[#This Row],[orden]]&amp;IF(tblEjecucion[[#This Row],[operacion]]="","0010",tblEjecucion[[#This Row],[operacion]]))</f>
        <v/>
      </c>
    </row>
    <row r="487">
      <c r="A487" s="3" t="n"/>
      <c r="B487" s="3" t="n"/>
      <c r="C487" s="3" t="n"/>
      <c r="D487" s="3" t="n"/>
      <c r="E487" s="3" t="n"/>
      <c r="F487" s="11" t="n"/>
      <c r="G487" s="11" t="n"/>
      <c r="H487" s="11" t="n"/>
      <c r="I487" s="3" t="n"/>
      <c r="J487" s="3">
        <f>IF(tblEjecucion[[#This Row],[orden]]="","",tblEjecucion[[#This Row],[orden]]&amp;IF(tblEjecucion[[#This Row],[operacion]]="","0010",tblEjecucion[[#This Row],[operacion]]))</f>
        <v/>
      </c>
    </row>
    <row r="488">
      <c r="A488" s="3" t="n"/>
      <c r="B488" s="3" t="n"/>
      <c r="C488" s="3" t="n"/>
      <c r="D488" s="3" t="n"/>
      <c r="E488" s="3" t="n"/>
      <c r="F488" s="11" t="n"/>
      <c r="G488" s="11" t="n"/>
      <c r="H488" s="11" t="n"/>
      <c r="I488" s="3" t="n"/>
      <c r="J488" s="3">
        <f>IF(tblEjecucion[[#This Row],[orden]]="","",tblEjecucion[[#This Row],[orden]]&amp;IF(tblEjecucion[[#This Row],[operacion]]="","0010",tblEjecucion[[#This Row],[operacion]]))</f>
        <v/>
      </c>
    </row>
    <row r="489">
      <c r="A489" s="3" t="n"/>
      <c r="B489" s="3" t="n"/>
      <c r="C489" s="3" t="n"/>
      <c r="D489" s="3" t="n"/>
      <c r="E489" s="3" t="n"/>
      <c r="F489" s="11" t="n"/>
      <c r="G489" s="11" t="n"/>
      <c r="H489" s="11" t="n"/>
      <c r="I489" s="3" t="n"/>
      <c r="J489" s="3">
        <f>IF(tblEjecucion[[#This Row],[orden]]="","",tblEjecucion[[#This Row],[orden]]&amp;IF(tblEjecucion[[#This Row],[operacion]]="","0010",tblEjecucion[[#This Row],[operacion]]))</f>
        <v/>
      </c>
    </row>
    <row r="490">
      <c r="A490" s="3" t="n"/>
      <c r="B490" s="3" t="n"/>
      <c r="C490" s="3" t="n"/>
      <c r="D490" s="3" t="n"/>
      <c r="E490" s="3" t="n"/>
      <c r="F490" s="11" t="n"/>
      <c r="G490" s="11" t="n"/>
      <c r="H490" s="11" t="n"/>
      <c r="I490" s="3" t="n"/>
      <c r="J490" s="3">
        <f>IF(tblEjecucion[[#This Row],[orden]]="","",tblEjecucion[[#This Row],[orden]]&amp;IF(tblEjecucion[[#This Row],[operacion]]="","0010",tblEjecucion[[#This Row],[operacion]]))</f>
        <v/>
      </c>
    </row>
    <row r="491">
      <c r="A491" s="3" t="n"/>
      <c r="B491" s="3" t="n"/>
      <c r="C491" s="3" t="n"/>
      <c r="D491" s="3" t="n"/>
      <c r="E491" s="3" t="n"/>
      <c r="F491" s="11" t="n"/>
      <c r="G491" s="11" t="n"/>
      <c r="H491" s="11" t="n"/>
      <c r="I491" s="3" t="n"/>
      <c r="J491" s="3">
        <f>IF(tblEjecucion[[#This Row],[orden]]="","",tblEjecucion[[#This Row],[orden]]&amp;IF(tblEjecucion[[#This Row],[operacion]]="","0010",tblEjecucion[[#This Row],[operacion]]))</f>
        <v/>
      </c>
    </row>
    <row r="492">
      <c r="A492" s="3" t="n"/>
      <c r="B492" s="3" t="n"/>
      <c r="C492" s="3" t="n"/>
      <c r="D492" s="3" t="n"/>
      <c r="E492" s="3" t="n"/>
      <c r="F492" s="11" t="n"/>
      <c r="G492" s="11" t="n"/>
      <c r="H492" s="11" t="n"/>
      <c r="I492" s="3" t="n"/>
      <c r="J492" s="3">
        <f>IF(tblEjecucion[[#This Row],[orden]]="","",tblEjecucion[[#This Row],[orden]]&amp;IF(tblEjecucion[[#This Row],[operacion]]="","0010",tblEjecucion[[#This Row],[operacion]]))</f>
        <v/>
      </c>
    </row>
    <row r="493">
      <c r="A493" s="3" t="n"/>
      <c r="B493" s="3" t="n"/>
      <c r="C493" s="3" t="n"/>
      <c r="D493" s="3" t="n"/>
      <c r="E493" s="3" t="n"/>
      <c r="F493" s="11" t="n"/>
      <c r="G493" s="11" t="n"/>
      <c r="H493" s="11" t="n"/>
      <c r="I493" s="3" t="n"/>
      <c r="J493" s="3">
        <f>IF(tblEjecucion[[#This Row],[orden]]="","",tblEjecucion[[#This Row],[orden]]&amp;IF(tblEjecucion[[#This Row],[operacion]]="","0010",tblEjecucion[[#This Row],[operacion]]))</f>
        <v/>
      </c>
    </row>
    <row r="494">
      <c r="A494" s="3" t="n"/>
      <c r="B494" s="3" t="n"/>
      <c r="C494" s="3" t="n"/>
      <c r="D494" s="3" t="n"/>
      <c r="E494" s="3" t="n"/>
      <c r="F494" s="11" t="n"/>
      <c r="G494" s="11" t="n"/>
      <c r="H494" s="11" t="n"/>
      <c r="I494" s="3" t="n"/>
      <c r="J494" s="3">
        <f>IF(tblEjecucion[[#This Row],[orden]]="","",tblEjecucion[[#This Row],[orden]]&amp;IF(tblEjecucion[[#This Row],[operacion]]="","0010",tblEjecucion[[#This Row],[operacion]]))</f>
        <v/>
      </c>
    </row>
    <row r="495">
      <c r="A495" s="3" t="n"/>
      <c r="B495" s="3" t="n"/>
      <c r="C495" s="3" t="n"/>
      <c r="D495" s="3" t="n"/>
      <c r="E495" s="3" t="n"/>
      <c r="F495" s="11" t="n"/>
      <c r="G495" s="11" t="n"/>
      <c r="H495" s="11" t="n"/>
      <c r="I495" s="3" t="n"/>
      <c r="J495" s="3">
        <f>IF(tblEjecucion[[#This Row],[orden]]="","",tblEjecucion[[#This Row],[orden]]&amp;IF(tblEjecucion[[#This Row],[operacion]]="","0010",tblEjecucion[[#This Row],[operacion]]))</f>
        <v/>
      </c>
    </row>
    <row r="496">
      <c r="A496" s="3" t="n"/>
      <c r="B496" s="3" t="n"/>
      <c r="C496" s="3" t="n"/>
      <c r="D496" s="3" t="n"/>
      <c r="E496" s="3" t="n"/>
      <c r="F496" s="11" t="n"/>
      <c r="G496" s="11" t="n"/>
      <c r="H496" s="11" t="n"/>
      <c r="I496" s="3" t="n"/>
      <c r="J496" s="3">
        <f>IF(tblEjecucion[[#This Row],[orden]]="","",tblEjecucion[[#This Row],[orden]]&amp;IF(tblEjecucion[[#This Row],[operacion]]="","0010",tblEjecucion[[#This Row],[operacion]]))</f>
        <v/>
      </c>
    </row>
    <row r="497">
      <c r="A497" s="3" t="n"/>
      <c r="B497" s="3" t="n"/>
      <c r="C497" s="3" t="n"/>
      <c r="D497" s="3" t="n"/>
      <c r="E497" s="3" t="n"/>
      <c r="F497" s="11" t="n"/>
      <c r="G497" s="11" t="n"/>
      <c r="H497" s="11" t="n"/>
      <c r="I497" s="3" t="n"/>
      <c r="J497" s="3">
        <f>IF(tblEjecucion[[#This Row],[orden]]="","",tblEjecucion[[#This Row],[orden]]&amp;IF(tblEjecucion[[#This Row],[operacion]]="","0010",tblEjecucion[[#This Row],[operacion]]))</f>
        <v/>
      </c>
    </row>
    <row r="498">
      <c r="A498" s="3" t="n"/>
      <c r="B498" s="3" t="n"/>
      <c r="C498" s="3" t="n"/>
      <c r="D498" s="3" t="n"/>
      <c r="E498" s="3" t="n"/>
      <c r="F498" s="11" t="n"/>
      <c r="G498" s="11" t="n"/>
      <c r="H498" s="11" t="n"/>
      <c r="I498" s="3" t="n"/>
      <c r="J498" s="3">
        <f>IF(tblEjecucion[[#This Row],[orden]]="","",tblEjecucion[[#This Row],[orden]]&amp;IF(tblEjecucion[[#This Row],[operacion]]="","0010",tblEjecucion[[#This Row],[operacion]]))</f>
        <v/>
      </c>
    </row>
    <row r="499">
      <c r="A499" s="3" t="n"/>
      <c r="B499" s="3" t="n"/>
      <c r="C499" s="3" t="n"/>
      <c r="D499" s="3" t="n"/>
      <c r="E499" s="3" t="n"/>
      <c r="F499" s="11" t="n"/>
      <c r="G499" s="11" t="n"/>
      <c r="H499" s="11" t="n"/>
      <c r="I499" s="3" t="n"/>
      <c r="J499" s="3">
        <f>IF(tblEjecucion[[#This Row],[orden]]="","",tblEjecucion[[#This Row],[orden]]&amp;IF(tblEjecucion[[#This Row],[operacion]]="","0010",tblEjecucion[[#This Row],[operacion]]))</f>
        <v/>
      </c>
    </row>
    <row r="500">
      <c r="A500" s="3" t="n"/>
      <c r="B500" s="3" t="n"/>
      <c r="C500" s="3" t="n"/>
      <c r="D500" s="3" t="n"/>
      <c r="E500" s="3" t="n"/>
      <c r="F500" s="11" t="n"/>
      <c r="G500" s="11" t="n"/>
      <c r="H500" s="11" t="n"/>
      <c r="I500" s="3" t="n"/>
      <c r="J500" s="3">
        <f>IF(tblEjecucion[[#This Row],[orden]]="","",tblEjecucion[[#This Row],[orden]]&amp;IF(tblEjecucion[[#This Row],[operacion]]="","0010",tblEjecucion[[#This Row],[operacion]]))</f>
        <v/>
      </c>
    </row>
    <row r="501">
      <c r="A501" s="3" t="n"/>
      <c r="B501" s="3" t="n"/>
      <c r="C501" s="3" t="n"/>
      <c r="D501" s="3" t="n"/>
      <c r="E501" s="3" t="n"/>
      <c r="F501" s="11" t="n"/>
      <c r="G501" s="11" t="n"/>
      <c r="H501" s="11" t="n"/>
      <c r="I501" s="3" t="n"/>
      <c r="J501" s="3">
        <f>IF(tblEjecucion[[#This Row],[orden]]="","",tblEjecucion[[#This Row],[orden]]&amp;IF(tblEjecucion[[#This Row],[operacion]]="","0010",tblEjecucion[[#This Row],[operacion]]))</f>
        <v/>
      </c>
    </row>
    <row r="502">
      <c r="A502" s="3" t="n"/>
      <c r="B502" s="3" t="n"/>
      <c r="C502" s="3" t="n"/>
      <c r="D502" s="3" t="n"/>
      <c r="E502" s="3" t="n"/>
      <c r="F502" s="11" t="n"/>
      <c r="G502" s="11" t="n"/>
      <c r="H502" s="11" t="n"/>
      <c r="I502" s="3" t="n"/>
      <c r="J502" s="3">
        <f>IF(tblEjecucion[[#This Row],[orden]]="","",tblEjecucion[[#This Row],[orden]]&amp;IF(tblEjecucion[[#This Row],[operacion]]="","0010",tblEjecucion[[#This Row],[operacion]]))</f>
        <v/>
      </c>
    </row>
    <row r="503">
      <c r="A503" s="3" t="n"/>
      <c r="B503" s="3" t="n"/>
      <c r="C503" s="3" t="n"/>
      <c r="D503" s="3" t="n"/>
      <c r="E503" s="3" t="n"/>
      <c r="F503" s="11" t="n"/>
      <c r="G503" s="11" t="n"/>
      <c r="H503" s="11" t="n"/>
      <c r="I503" s="3" t="n"/>
      <c r="J503" s="3">
        <f>IF(tblEjecucion[[#This Row],[orden]]="","",tblEjecucion[[#This Row],[orden]]&amp;IF(tblEjecucion[[#This Row],[operacion]]="","0010",tblEjecucion[[#This Row],[operacion]]))</f>
        <v/>
      </c>
    </row>
    <row r="504">
      <c r="A504" s="3" t="n"/>
      <c r="B504" s="3" t="n"/>
      <c r="C504" s="3" t="n"/>
      <c r="D504" s="3" t="n"/>
      <c r="E504" s="3" t="n"/>
      <c r="F504" s="11" t="n"/>
      <c r="G504" s="11" t="n"/>
      <c r="H504" s="11" t="n"/>
      <c r="I504" s="3" t="n"/>
      <c r="J504" s="3">
        <f>IF(tblEjecucion[[#This Row],[orden]]="","",tblEjecucion[[#This Row],[orden]]&amp;IF(tblEjecucion[[#This Row],[operacion]]="","0010",tblEjecucion[[#This Row],[operacion]]))</f>
        <v/>
      </c>
    </row>
    <row r="505">
      <c r="A505" s="3" t="n"/>
      <c r="B505" s="3" t="n"/>
      <c r="C505" s="3" t="n"/>
      <c r="D505" s="3" t="n"/>
      <c r="E505" s="3" t="n"/>
      <c r="F505" s="11" t="n"/>
      <c r="G505" s="11" t="n"/>
      <c r="H505" s="11" t="n"/>
      <c r="I505" s="3" t="n"/>
      <c r="J505" s="3">
        <f>IF(tblEjecucion[[#This Row],[orden]]="","",tblEjecucion[[#This Row],[orden]]&amp;IF(tblEjecucion[[#This Row],[operacion]]="","0010",tblEjecucion[[#This Row],[operacion]]))</f>
        <v/>
      </c>
    </row>
    <row r="506">
      <c r="A506" s="3" t="n"/>
      <c r="B506" s="3" t="n"/>
      <c r="C506" s="3" t="n"/>
      <c r="D506" s="3" t="n"/>
      <c r="E506" s="3" t="n"/>
      <c r="F506" s="11" t="n"/>
      <c r="G506" s="11" t="n"/>
      <c r="H506" s="11" t="n"/>
      <c r="I506" s="3" t="n"/>
      <c r="J506" s="3">
        <f>IF(tblEjecucion[[#This Row],[orden]]="","",tblEjecucion[[#This Row],[orden]]&amp;IF(tblEjecucion[[#This Row],[operacion]]="","0010",tblEjecucion[[#This Row],[operacion]]))</f>
        <v/>
      </c>
    </row>
    <row r="507">
      <c r="A507" s="3" t="n"/>
      <c r="B507" s="3" t="n"/>
      <c r="C507" s="3" t="n"/>
      <c r="D507" s="3" t="n"/>
      <c r="E507" s="3" t="n"/>
      <c r="F507" s="11" t="n"/>
      <c r="G507" s="11" t="n"/>
      <c r="H507" s="11" t="n"/>
      <c r="I507" s="3" t="n"/>
      <c r="J507" s="3">
        <f>IF(tblEjecucion[[#This Row],[orden]]="","",tblEjecucion[[#This Row],[orden]]&amp;IF(tblEjecucion[[#This Row],[operacion]]="","0010",tblEjecucion[[#This Row],[operacion]]))</f>
        <v/>
      </c>
    </row>
    <row r="508">
      <c r="A508" s="3" t="n"/>
      <c r="B508" s="3" t="n"/>
      <c r="C508" s="3" t="n"/>
      <c r="D508" s="3" t="n"/>
      <c r="E508" s="3" t="n"/>
      <c r="F508" s="11" t="n"/>
      <c r="G508" s="11" t="n"/>
      <c r="H508" s="11" t="n"/>
      <c r="I508" s="3" t="n"/>
      <c r="J508" s="3">
        <f>IF(tblEjecucion[[#This Row],[orden]]="","",tblEjecucion[[#This Row],[orden]]&amp;IF(tblEjecucion[[#This Row],[operacion]]="","0010",tblEjecucion[[#This Row],[operacion]]))</f>
        <v/>
      </c>
    </row>
    <row r="509">
      <c r="A509" s="3" t="n"/>
      <c r="B509" s="3" t="n"/>
      <c r="C509" s="3" t="n"/>
      <c r="D509" s="3" t="n"/>
      <c r="E509" s="3" t="n"/>
      <c r="F509" s="11" t="n"/>
      <c r="G509" s="11" t="n"/>
      <c r="H509" s="11" t="n"/>
      <c r="I509" s="3" t="n"/>
      <c r="J509" s="3">
        <f>IF(tblEjecucion[[#This Row],[orden]]="","",tblEjecucion[[#This Row],[orden]]&amp;IF(tblEjecucion[[#This Row],[operacion]]="","0010",tblEjecucion[[#This Row],[operacion]]))</f>
        <v/>
      </c>
    </row>
    <row r="510">
      <c r="A510" s="3" t="n"/>
      <c r="B510" s="3" t="n"/>
      <c r="C510" s="3" t="n"/>
      <c r="D510" s="3" t="n"/>
      <c r="E510" s="3" t="n"/>
      <c r="F510" s="11" t="n"/>
      <c r="G510" s="11" t="n"/>
      <c r="H510" s="11" t="n"/>
      <c r="I510" s="3" t="n"/>
      <c r="J510" s="3">
        <f>IF(tblEjecucion[[#This Row],[orden]]="","",tblEjecucion[[#This Row],[orden]]&amp;IF(tblEjecucion[[#This Row],[operacion]]="","0010",tblEjecucion[[#This Row],[operacion]]))</f>
        <v/>
      </c>
    </row>
    <row r="511">
      <c r="A511" s="3" t="n"/>
      <c r="B511" s="3" t="n"/>
      <c r="C511" s="3" t="n"/>
      <c r="D511" s="3" t="n"/>
      <c r="E511" s="3" t="n"/>
      <c r="F511" s="11" t="n"/>
      <c r="G511" s="11" t="n"/>
      <c r="H511" s="11" t="n"/>
      <c r="I511" s="3" t="n"/>
      <c r="J511" s="3">
        <f>IF(tblEjecucion[[#This Row],[orden]]="","",tblEjecucion[[#This Row],[orden]]&amp;IF(tblEjecucion[[#This Row],[operacion]]="","0010",tblEjecucion[[#This Row],[operacion]]))</f>
        <v/>
      </c>
    </row>
    <row r="512">
      <c r="A512" s="3" t="n"/>
      <c r="B512" s="3" t="n"/>
      <c r="C512" s="3" t="n"/>
      <c r="D512" s="3" t="n"/>
      <c r="E512" s="3" t="n"/>
      <c r="F512" s="11" t="n"/>
      <c r="G512" s="11" t="n"/>
      <c r="H512" s="11" t="n"/>
      <c r="I512" s="3" t="n"/>
      <c r="J512" s="3">
        <f>IF(tblEjecucion[[#This Row],[orden]]="","",tblEjecucion[[#This Row],[orden]]&amp;IF(tblEjecucion[[#This Row],[operacion]]="","0010",tblEjecucion[[#This Row],[operacion]]))</f>
        <v/>
      </c>
    </row>
    <row r="513">
      <c r="A513" s="3" t="n"/>
      <c r="B513" s="3" t="n"/>
      <c r="C513" s="3" t="n"/>
      <c r="D513" s="3" t="n"/>
      <c r="E513" s="3" t="n"/>
      <c r="F513" s="11" t="n"/>
      <c r="G513" s="11" t="n"/>
      <c r="H513" s="11" t="n"/>
      <c r="I513" s="3" t="n"/>
      <c r="J513" s="3">
        <f>IF(tblEjecucion[[#This Row],[orden]]="","",tblEjecucion[[#This Row],[orden]]&amp;IF(tblEjecucion[[#This Row],[operacion]]="","0010",tblEjecucion[[#This Row],[operacion]]))</f>
        <v/>
      </c>
    </row>
    <row r="514">
      <c r="A514" s="3" t="n"/>
      <c r="B514" s="3" t="n"/>
      <c r="C514" s="3" t="n"/>
      <c r="D514" s="3" t="n"/>
      <c r="E514" s="3" t="n"/>
      <c r="F514" s="11" t="n"/>
      <c r="G514" s="11" t="n"/>
      <c r="H514" s="11" t="n"/>
      <c r="I514" s="3" t="n"/>
      <c r="J514" s="3">
        <f>IF(tblEjecucion[[#This Row],[orden]]="","",tblEjecucion[[#This Row],[orden]]&amp;IF(tblEjecucion[[#This Row],[operacion]]="","0010",tblEjecucion[[#This Row],[operacion]]))</f>
        <v/>
      </c>
    </row>
    <row r="515">
      <c r="A515" s="3" t="n"/>
      <c r="B515" s="3" t="n"/>
      <c r="C515" s="3" t="n"/>
      <c r="D515" s="3" t="n"/>
      <c r="E515" s="3" t="n"/>
      <c r="F515" s="11" t="n"/>
      <c r="G515" s="11" t="n"/>
      <c r="H515" s="11" t="n"/>
      <c r="I515" s="3" t="n"/>
      <c r="J515" s="3">
        <f>IF(tblEjecucion[[#This Row],[orden]]="","",tblEjecucion[[#This Row],[orden]]&amp;IF(tblEjecucion[[#This Row],[operacion]]="","0010",tblEjecucion[[#This Row],[operacion]]))</f>
        <v/>
      </c>
    </row>
    <row r="516">
      <c r="A516" s="3" t="n"/>
      <c r="B516" s="3" t="n"/>
      <c r="C516" s="3" t="n"/>
      <c r="D516" s="3" t="n"/>
      <c r="E516" s="3" t="n"/>
      <c r="F516" s="11" t="n"/>
      <c r="G516" s="11" t="n"/>
      <c r="H516" s="11" t="n"/>
      <c r="I516" s="3" t="n"/>
      <c r="J516" s="3">
        <f>IF(tblEjecucion[[#This Row],[orden]]="","",tblEjecucion[[#This Row],[orden]]&amp;IF(tblEjecucion[[#This Row],[operacion]]="","0010",tblEjecucion[[#This Row],[operacion]]))</f>
        <v/>
      </c>
    </row>
    <row r="517">
      <c r="A517" s="3" t="n"/>
      <c r="B517" s="3" t="n"/>
      <c r="C517" s="3" t="n"/>
      <c r="D517" s="3" t="n"/>
      <c r="E517" s="3" t="n"/>
      <c r="F517" s="11" t="n"/>
      <c r="G517" s="11" t="n"/>
      <c r="H517" s="11" t="n"/>
      <c r="I517" s="3" t="n"/>
      <c r="J517" s="3">
        <f>IF(tblEjecucion[[#This Row],[orden]]="","",tblEjecucion[[#This Row],[orden]]&amp;IF(tblEjecucion[[#This Row],[operacion]]="","0010",tblEjecucion[[#This Row],[operacion]]))</f>
        <v/>
      </c>
    </row>
    <row r="518">
      <c r="A518" s="3" t="n"/>
      <c r="B518" s="3" t="n"/>
      <c r="C518" s="3" t="n"/>
      <c r="D518" s="3" t="n"/>
      <c r="E518" s="3" t="n"/>
      <c r="F518" s="11" t="n"/>
      <c r="G518" s="11" t="n"/>
      <c r="H518" s="11" t="n"/>
      <c r="I518" s="3" t="n"/>
      <c r="J518" s="3">
        <f>IF(tblEjecucion[[#This Row],[orden]]="","",tblEjecucion[[#This Row],[orden]]&amp;IF(tblEjecucion[[#This Row],[operacion]]="","0010",tblEjecucion[[#This Row],[operacion]]))</f>
        <v/>
      </c>
    </row>
    <row r="519">
      <c r="A519" s="3" t="n"/>
      <c r="B519" s="3" t="n"/>
      <c r="C519" s="3" t="n"/>
      <c r="D519" s="3" t="n"/>
      <c r="E519" s="3" t="n"/>
      <c r="F519" s="11" t="n"/>
      <c r="G519" s="11" t="n"/>
      <c r="H519" s="11" t="n"/>
      <c r="I519" s="3" t="n"/>
      <c r="J519" s="3">
        <f>IF(tblEjecucion[[#This Row],[orden]]="","",tblEjecucion[[#This Row],[orden]]&amp;IF(tblEjecucion[[#This Row],[operacion]]="","0010",tblEjecucion[[#This Row],[operacion]]))</f>
        <v/>
      </c>
    </row>
    <row r="520">
      <c r="A520" s="3" t="n"/>
      <c r="B520" s="3" t="n"/>
      <c r="C520" s="3" t="n"/>
      <c r="D520" s="3" t="n"/>
      <c r="E520" s="3" t="n"/>
      <c r="F520" s="11" t="n"/>
      <c r="G520" s="11" t="n"/>
      <c r="H520" s="11" t="n"/>
      <c r="I520" s="3" t="n"/>
      <c r="J520" s="3">
        <f>IF(tblEjecucion[[#This Row],[orden]]="","",tblEjecucion[[#This Row],[orden]]&amp;IF(tblEjecucion[[#This Row],[operacion]]="","0010",tblEjecucion[[#This Row],[operacion]]))</f>
        <v/>
      </c>
    </row>
    <row r="521">
      <c r="A521" s="3" t="n"/>
      <c r="B521" s="3" t="n"/>
      <c r="C521" s="3" t="n"/>
      <c r="D521" s="3" t="n"/>
      <c r="E521" s="3" t="n"/>
      <c r="F521" s="11" t="n"/>
      <c r="G521" s="11" t="n"/>
      <c r="H521" s="11" t="n"/>
      <c r="I521" s="3" t="n"/>
      <c r="J521" s="3">
        <f>IF(tblEjecucion[[#This Row],[orden]]="","",tblEjecucion[[#This Row],[orden]]&amp;IF(tblEjecucion[[#This Row],[operacion]]="","0010",tblEjecucion[[#This Row],[operacion]]))</f>
        <v/>
      </c>
    </row>
    <row r="522">
      <c r="A522" s="3" t="n"/>
      <c r="B522" s="3" t="n"/>
      <c r="C522" s="3" t="n"/>
      <c r="D522" s="3" t="n"/>
      <c r="E522" s="3" t="n"/>
      <c r="F522" s="11" t="n"/>
      <c r="G522" s="11" t="n"/>
      <c r="H522" s="11" t="n"/>
      <c r="I522" s="3" t="n"/>
      <c r="J522" s="3">
        <f>IF(tblEjecucion[[#This Row],[orden]]="","",tblEjecucion[[#This Row],[orden]]&amp;IF(tblEjecucion[[#This Row],[operacion]]="","0010",tblEjecucion[[#This Row],[operacion]]))</f>
        <v/>
      </c>
    </row>
    <row r="523">
      <c r="A523" s="3" t="n"/>
      <c r="B523" s="3" t="n"/>
      <c r="C523" s="3" t="n"/>
      <c r="D523" s="3" t="n"/>
      <c r="E523" s="3" t="n"/>
      <c r="F523" s="11" t="n"/>
      <c r="G523" s="11" t="n"/>
      <c r="H523" s="11" t="n"/>
      <c r="I523" s="3" t="n"/>
      <c r="J523" s="3">
        <f>IF(tblEjecucion[[#This Row],[orden]]="","",tblEjecucion[[#This Row],[orden]]&amp;IF(tblEjecucion[[#This Row],[operacion]]="","0010",tblEjecucion[[#This Row],[operacion]]))</f>
        <v/>
      </c>
    </row>
    <row r="524">
      <c r="A524" s="3" t="n"/>
      <c r="B524" s="3" t="n"/>
      <c r="C524" s="3" t="n"/>
      <c r="D524" s="3" t="n"/>
      <c r="E524" s="3" t="n"/>
      <c r="F524" s="11" t="n"/>
      <c r="G524" s="11" t="n"/>
      <c r="H524" s="11" t="n"/>
      <c r="I524" s="3" t="n"/>
      <c r="J524" s="3">
        <f>IF(tblEjecucion[[#This Row],[orden]]="","",tblEjecucion[[#This Row],[orden]]&amp;IF(tblEjecucion[[#This Row],[operacion]]="","0010",tblEjecucion[[#This Row],[operacion]]))</f>
        <v/>
      </c>
    </row>
    <row r="525">
      <c r="A525" s="3" t="n"/>
      <c r="B525" s="3" t="n"/>
      <c r="C525" s="3" t="n"/>
      <c r="D525" s="3" t="n"/>
      <c r="E525" s="3" t="n"/>
      <c r="F525" s="11" t="n"/>
      <c r="G525" s="11" t="n"/>
      <c r="H525" s="11" t="n"/>
      <c r="I525" s="3" t="n"/>
      <c r="J525" s="3">
        <f>IF(tblEjecucion[[#This Row],[orden]]="","",tblEjecucion[[#This Row],[orden]]&amp;IF(tblEjecucion[[#This Row],[operacion]]="","0010",tblEjecucion[[#This Row],[operacion]]))</f>
        <v/>
      </c>
    </row>
    <row r="526">
      <c r="A526" s="3" t="n"/>
      <c r="B526" s="3" t="n"/>
      <c r="C526" s="3" t="n"/>
      <c r="D526" s="3" t="n"/>
      <c r="E526" s="3" t="n"/>
      <c r="F526" s="11" t="n"/>
      <c r="G526" s="11" t="n"/>
      <c r="H526" s="11" t="n"/>
      <c r="I526" s="3" t="n"/>
      <c r="J526" s="3">
        <f>IF(tblEjecucion[[#This Row],[orden]]="","",tblEjecucion[[#This Row],[orden]]&amp;IF(tblEjecucion[[#This Row],[operacion]]="","0010",tblEjecucion[[#This Row],[operacion]]))</f>
        <v/>
      </c>
    </row>
    <row r="527">
      <c r="A527" s="3" t="n"/>
      <c r="B527" s="3" t="n"/>
      <c r="C527" s="3" t="n"/>
      <c r="D527" s="3" t="n"/>
      <c r="E527" s="3" t="n"/>
      <c r="F527" s="11" t="n"/>
      <c r="G527" s="11" t="n"/>
      <c r="H527" s="11" t="n"/>
      <c r="I527" s="3" t="n"/>
      <c r="J527" s="3">
        <f>IF(tblEjecucion[[#This Row],[orden]]="","",tblEjecucion[[#This Row],[orden]]&amp;IF(tblEjecucion[[#This Row],[operacion]]="","0010",tblEjecucion[[#This Row],[operacion]]))</f>
        <v/>
      </c>
    </row>
    <row r="528">
      <c r="A528" s="3" t="n"/>
      <c r="B528" s="3" t="n"/>
      <c r="C528" s="3" t="n"/>
      <c r="D528" s="3" t="n"/>
      <c r="E528" s="3" t="n"/>
      <c r="F528" s="11" t="n"/>
      <c r="G528" s="11" t="n"/>
      <c r="H528" s="11" t="n"/>
      <c r="I528" s="3" t="n"/>
      <c r="J528" s="3">
        <f>IF(tblEjecucion[[#This Row],[orden]]="","",tblEjecucion[[#This Row],[orden]]&amp;IF(tblEjecucion[[#This Row],[operacion]]="","0010",tblEjecucion[[#This Row],[operacion]]))</f>
        <v/>
      </c>
    </row>
    <row r="529">
      <c r="A529" s="3" t="n"/>
      <c r="B529" s="3" t="n"/>
      <c r="C529" s="3" t="n"/>
      <c r="D529" s="3" t="n"/>
      <c r="E529" s="3" t="n"/>
      <c r="F529" s="11" t="n"/>
      <c r="G529" s="11" t="n"/>
      <c r="H529" s="11" t="n"/>
      <c r="I529" s="3" t="n"/>
      <c r="J529" s="3">
        <f>IF(tblEjecucion[[#This Row],[orden]]="","",tblEjecucion[[#This Row],[orden]]&amp;IF(tblEjecucion[[#This Row],[operacion]]="","0010",tblEjecucion[[#This Row],[operacion]]))</f>
        <v/>
      </c>
    </row>
    <row r="530">
      <c r="A530" s="3" t="n"/>
      <c r="B530" s="3" t="n"/>
      <c r="C530" s="3" t="n"/>
      <c r="D530" s="3" t="n"/>
      <c r="E530" s="3" t="n"/>
      <c r="F530" s="11" t="n"/>
      <c r="G530" s="11" t="n"/>
      <c r="H530" s="11" t="n"/>
      <c r="I530" s="3" t="n"/>
      <c r="J530" s="3">
        <f>IF(tblEjecucion[[#This Row],[orden]]="","",tblEjecucion[[#This Row],[orden]]&amp;IF(tblEjecucion[[#This Row],[operacion]]="","0010",tblEjecucion[[#This Row],[operacion]]))</f>
        <v/>
      </c>
    </row>
    <row r="531">
      <c r="A531" s="3" t="n"/>
      <c r="B531" s="3" t="n"/>
      <c r="C531" s="3" t="n"/>
      <c r="D531" s="3" t="n"/>
      <c r="E531" s="3" t="n"/>
      <c r="F531" s="11" t="n"/>
      <c r="G531" s="11" t="n"/>
      <c r="H531" s="11" t="n"/>
      <c r="I531" s="3" t="n"/>
      <c r="J531" s="3">
        <f>IF(tblEjecucion[[#This Row],[orden]]="","",tblEjecucion[[#This Row],[orden]]&amp;IF(tblEjecucion[[#This Row],[operacion]]="","0010",tblEjecucion[[#This Row],[operacion]]))</f>
        <v/>
      </c>
    </row>
    <row r="532">
      <c r="A532" s="3" t="n"/>
      <c r="B532" s="3" t="n"/>
      <c r="C532" s="3" t="n"/>
      <c r="D532" s="3" t="n"/>
      <c r="E532" s="3" t="n"/>
      <c r="F532" s="11" t="n"/>
      <c r="G532" s="11" t="n"/>
      <c r="H532" s="11" t="n"/>
      <c r="I532" s="3" t="n"/>
      <c r="J532" s="3">
        <f>IF(tblEjecucion[[#This Row],[orden]]="","",tblEjecucion[[#This Row],[orden]]&amp;IF(tblEjecucion[[#This Row],[operacion]]="","0010",tblEjecucion[[#This Row],[operacion]]))</f>
        <v/>
      </c>
    </row>
    <row r="533">
      <c r="A533" s="3" t="n"/>
      <c r="B533" s="3" t="n"/>
      <c r="C533" s="3" t="n"/>
      <c r="D533" s="3" t="n"/>
      <c r="E533" s="3" t="n"/>
      <c r="F533" s="11" t="n"/>
      <c r="G533" s="11" t="n"/>
      <c r="H533" s="11" t="n"/>
      <c r="I533" s="3" t="n"/>
      <c r="J533" s="3">
        <f>IF(tblEjecucion[[#This Row],[orden]]="","",tblEjecucion[[#This Row],[orden]]&amp;IF(tblEjecucion[[#This Row],[operacion]]="","0010",tblEjecucion[[#This Row],[operacion]]))</f>
        <v/>
      </c>
    </row>
    <row r="534">
      <c r="A534" s="3" t="n"/>
      <c r="B534" s="3" t="n"/>
      <c r="C534" s="3" t="n"/>
      <c r="D534" s="3" t="n"/>
      <c r="E534" s="3" t="n"/>
      <c r="F534" s="11" t="n"/>
      <c r="G534" s="11" t="n"/>
      <c r="H534" s="11" t="n"/>
      <c r="I534" s="3" t="n"/>
      <c r="J534" s="3">
        <f>IF(tblEjecucion[[#This Row],[orden]]="","",tblEjecucion[[#This Row],[orden]]&amp;IF(tblEjecucion[[#This Row],[operacion]]="","0010",tblEjecucion[[#This Row],[operacion]]))</f>
        <v/>
      </c>
    </row>
    <row r="535">
      <c r="A535" s="3" t="n"/>
      <c r="B535" s="3" t="n"/>
      <c r="C535" s="3" t="n"/>
      <c r="D535" s="3" t="n"/>
      <c r="E535" s="3" t="n"/>
      <c r="F535" s="11" t="n"/>
      <c r="G535" s="11" t="n"/>
      <c r="H535" s="11" t="n"/>
      <c r="I535" s="3" t="n"/>
      <c r="J535" s="3">
        <f>IF(tblEjecucion[[#This Row],[orden]]="","",tblEjecucion[[#This Row],[orden]]&amp;IF(tblEjecucion[[#This Row],[operacion]]="","0010",tblEjecucion[[#This Row],[operacion]]))</f>
        <v/>
      </c>
    </row>
    <row r="536">
      <c r="A536" s="3" t="n"/>
      <c r="B536" s="3" t="n"/>
      <c r="C536" s="3" t="n"/>
      <c r="D536" s="3" t="n"/>
      <c r="E536" s="3" t="n"/>
      <c r="F536" s="11" t="n"/>
      <c r="G536" s="11" t="n"/>
      <c r="H536" s="11" t="n"/>
      <c r="I536" s="3" t="n"/>
      <c r="J536" s="3">
        <f>IF(tblEjecucion[[#This Row],[orden]]="","",tblEjecucion[[#This Row],[orden]]&amp;IF(tblEjecucion[[#This Row],[operacion]]="","0010",tblEjecucion[[#This Row],[operacion]]))</f>
        <v/>
      </c>
    </row>
    <row r="537">
      <c r="A537" s="3" t="n"/>
      <c r="B537" s="3" t="n"/>
      <c r="C537" s="3" t="n"/>
      <c r="D537" s="3" t="n"/>
      <c r="E537" s="3" t="n"/>
      <c r="F537" s="11" t="n"/>
      <c r="G537" s="11" t="n"/>
      <c r="H537" s="11" t="n"/>
      <c r="I537" s="3" t="n"/>
      <c r="J537" s="3">
        <f>IF(tblEjecucion[[#This Row],[orden]]="","",tblEjecucion[[#This Row],[orden]]&amp;IF(tblEjecucion[[#This Row],[operacion]]="","0010",tblEjecucion[[#This Row],[operacion]]))</f>
        <v/>
      </c>
    </row>
    <row r="538">
      <c r="A538" s="3" t="n"/>
      <c r="B538" s="3" t="n"/>
      <c r="C538" s="3" t="n"/>
      <c r="D538" s="3" t="n"/>
      <c r="E538" s="3" t="n"/>
      <c r="F538" s="11" t="n"/>
      <c r="G538" s="11" t="n"/>
      <c r="H538" s="11" t="n"/>
      <c r="I538" s="3" t="n"/>
      <c r="J538" s="3">
        <f>IF(tblEjecucion[[#This Row],[orden]]="","",tblEjecucion[[#This Row],[orden]]&amp;IF(tblEjecucion[[#This Row],[operacion]]="","0010",tblEjecucion[[#This Row],[operacion]]))</f>
        <v/>
      </c>
    </row>
    <row r="539">
      <c r="A539" s="3" t="n"/>
      <c r="B539" s="3" t="n"/>
      <c r="C539" s="3" t="n"/>
      <c r="D539" s="3" t="n"/>
      <c r="E539" s="3" t="n"/>
      <c r="F539" s="11" t="n"/>
      <c r="G539" s="11" t="n"/>
      <c r="H539" s="11" t="n"/>
      <c r="I539" s="3" t="n"/>
      <c r="J539" s="3">
        <f>IF(tblEjecucion[[#This Row],[orden]]="","",tblEjecucion[[#This Row],[orden]]&amp;IF(tblEjecucion[[#This Row],[operacion]]="","0010",tblEjecucion[[#This Row],[operacion]]))</f>
        <v/>
      </c>
    </row>
    <row r="540">
      <c r="A540" s="3" t="n"/>
      <c r="B540" s="3" t="n"/>
      <c r="C540" s="3" t="n"/>
      <c r="D540" s="3" t="n"/>
      <c r="E540" s="3" t="n"/>
      <c r="F540" s="11" t="n"/>
      <c r="G540" s="11" t="n"/>
      <c r="H540" s="11" t="n"/>
      <c r="I540" s="3" t="n"/>
      <c r="J540" s="3">
        <f>IF(tblEjecucion[[#This Row],[orden]]="","",tblEjecucion[[#This Row],[orden]]&amp;IF(tblEjecucion[[#This Row],[operacion]]="","0010",tblEjecucion[[#This Row],[operacion]]))</f>
        <v/>
      </c>
    </row>
    <row r="541">
      <c r="A541" s="3" t="n"/>
      <c r="B541" s="3" t="n"/>
      <c r="C541" s="3" t="n"/>
      <c r="D541" s="3" t="n"/>
      <c r="E541" s="3" t="n"/>
      <c r="F541" s="11" t="n"/>
      <c r="G541" s="11" t="n"/>
      <c r="H541" s="11" t="n"/>
      <c r="I541" s="3" t="n"/>
      <c r="J541" s="3">
        <f>IF(tblEjecucion[[#This Row],[orden]]="","",tblEjecucion[[#This Row],[orden]]&amp;IF(tblEjecucion[[#This Row],[operacion]]="","0010",tblEjecucion[[#This Row],[operacion]]))</f>
        <v/>
      </c>
    </row>
    <row r="542">
      <c r="A542" s="3" t="n"/>
      <c r="B542" s="3" t="n"/>
      <c r="C542" s="3" t="n"/>
      <c r="D542" s="3" t="n"/>
      <c r="E542" s="3" t="n"/>
      <c r="F542" s="11" t="n"/>
      <c r="G542" s="11" t="n"/>
      <c r="H542" s="11" t="n"/>
      <c r="I542" s="3" t="n"/>
      <c r="J542" s="3">
        <f>IF(tblEjecucion[[#This Row],[orden]]="","",tblEjecucion[[#This Row],[orden]]&amp;IF(tblEjecucion[[#This Row],[operacion]]="","0010",tblEjecucion[[#This Row],[operacion]]))</f>
        <v/>
      </c>
    </row>
    <row r="543">
      <c r="A543" s="3" t="n"/>
      <c r="B543" s="3" t="n"/>
      <c r="C543" s="3" t="n"/>
      <c r="D543" s="3" t="n"/>
      <c r="E543" s="3" t="n"/>
      <c r="F543" s="11" t="n"/>
      <c r="G543" s="11" t="n"/>
      <c r="H543" s="11" t="n"/>
      <c r="I543" s="3" t="n"/>
      <c r="J543" s="3">
        <f>IF(tblEjecucion[[#This Row],[orden]]="","",tblEjecucion[[#This Row],[orden]]&amp;IF(tblEjecucion[[#This Row],[operacion]]="","0010",tblEjecucion[[#This Row],[operacion]]))</f>
        <v/>
      </c>
    </row>
    <row r="544">
      <c r="A544" s="3" t="n"/>
      <c r="B544" s="3" t="n"/>
      <c r="C544" s="3" t="n"/>
      <c r="D544" s="3" t="n"/>
      <c r="E544" s="3" t="n"/>
      <c r="F544" s="11" t="n"/>
      <c r="G544" s="11" t="n"/>
      <c r="H544" s="11" t="n"/>
      <c r="I544" s="3" t="n"/>
      <c r="J544" s="3">
        <f>IF(tblEjecucion[[#This Row],[orden]]="","",tblEjecucion[[#This Row],[orden]]&amp;IF(tblEjecucion[[#This Row],[operacion]]="","0010",tblEjecucion[[#This Row],[operacion]]))</f>
        <v/>
      </c>
    </row>
    <row r="545">
      <c r="A545" s="3" t="n"/>
      <c r="B545" s="3" t="n"/>
      <c r="C545" s="3" t="n"/>
      <c r="D545" s="3" t="n"/>
      <c r="E545" s="3" t="n"/>
      <c r="F545" s="11" t="n"/>
      <c r="G545" s="11" t="n"/>
      <c r="H545" s="11" t="n"/>
      <c r="I545" s="3" t="n"/>
      <c r="J545" s="3">
        <f>IF(tblEjecucion[[#This Row],[orden]]="","",tblEjecucion[[#This Row],[orden]]&amp;IF(tblEjecucion[[#This Row],[operacion]]="","0010",tblEjecucion[[#This Row],[operacion]]))</f>
        <v/>
      </c>
    </row>
    <row r="546">
      <c r="A546" s="3" t="n"/>
      <c r="B546" s="3" t="n"/>
      <c r="C546" s="3" t="n"/>
      <c r="D546" s="3" t="n"/>
      <c r="E546" s="3" t="n"/>
      <c r="F546" s="11" t="n"/>
      <c r="G546" s="11" t="n"/>
      <c r="H546" s="11" t="n"/>
      <c r="I546" s="3" t="n"/>
      <c r="J546" s="3">
        <f>IF(tblEjecucion[[#This Row],[orden]]="","",tblEjecucion[[#This Row],[orden]]&amp;IF(tblEjecucion[[#This Row],[operacion]]="","0010",tblEjecucion[[#This Row],[operacion]]))</f>
        <v/>
      </c>
    </row>
    <row r="547">
      <c r="A547" s="3" t="n"/>
      <c r="B547" s="3" t="n"/>
      <c r="C547" s="3" t="n"/>
      <c r="D547" s="3" t="n"/>
      <c r="E547" s="3" t="n"/>
      <c r="F547" s="11" t="n"/>
      <c r="G547" s="11" t="n"/>
      <c r="H547" s="11" t="n"/>
      <c r="I547" s="3" t="n"/>
      <c r="J547" s="3">
        <f>IF(tblEjecucion[[#This Row],[orden]]="","",tblEjecucion[[#This Row],[orden]]&amp;IF(tblEjecucion[[#This Row],[operacion]]="","0010",tblEjecucion[[#This Row],[operacion]]))</f>
        <v/>
      </c>
    </row>
    <row r="548">
      <c r="A548" s="3" t="n"/>
      <c r="B548" s="3" t="n"/>
      <c r="C548" s="3" t="n"/>
      <c r="D548" s="3" t="n"/>
      <c r="E548" s="3" t="n"/>
      <c r="F548" s="11" t="n"/>
      <c r="G548" s="11" t="n"/>
      <c r="H548" s="11" t="n"/>
      <c r="I548" s="3" t="n"/>
      <c r="J548" s="3">
        <f>IF(tblEjecucion[[#This Row],[orden]]="","",tblEjecucion[[#This Row],[orden]]&amp;IF(tblEjecucion[[#This Row],[operacion]]="","0010",tblEjecucion[[#This Row],[operacion]]))</f>
        <v/>
      </c>
    </row>
    <row r="549">
      <c r="A549" s="3" t="n"/>
      <c r="B549" s="3" t="n"/>
      <c r="C549" s="3" t="n"/>
      <c r="D549" s="3" t="n"/>
      <c r="E549" s="3" t="n"/>
      <c r="F549" s="11" t="n"/>
      <c r="G549" s="11" t="n"/>
      <c r="H549" s="11" t="n"/>
      <c r="I549" s="3" t="n"/>
      <c r="J549" s="3">
        <f>IF(tblEjecucion[[#This Row],[orden]]="","",tblEjecucion[[#This Row],[orden]]&amp;IF(tblEjecucion[[#This Row],[operacion]]="","0010",tblEjecucion[[#This Row],[operacion]]))</f>
        <v/>
      </c>
    </row>
    <row r="550">
      <c r="A550" s="3" t="n"/>
      <c r="B550" s="3" t="n"/>
      <c r="C550" s="3" t="n"/>
      <c r="D550" s="3" t="n"/>
      <c r="E550" s="3" t="n"/>
      <c r="F550" s="11" t="n"/>
      <c r="G550" s="11" t="n"/>
      <c r="H550" s="11" t="n"/>
      <c r="I550" s="3" t="n"/>
      <c r="J550" s="3">
        <f>IF(tblEjecucion[[#This Row],[orden]]="","",tblEjecucion[[#This Row],[orden]]&amp;IF(tblEjecucion[[#This Row],[operacion]]="","0010",tblEjecucion[[#This Row],[operacion]]))</f>
        <v/>
      </c>
    </row>
    <row r="551">
      <c r="A551" s="3" t="n"/>
      <c r="B551" s="3" t="n"/>
      <c r="C551" s="3" t="n"/>
      <c r="D551" s="3" t="n"/>
      <c r="E551" s="3" t="n"/>
      <c r="F551" s="11" t="n"/>
      <c r="G551" s="11" t="n"/>
      <c r="H551" s="11" t="n"/>
      <c r="I551" s="3" t="n"/>
      <c r="J551" s="3">
        <f>IF(tblEjecucion[[#This Row],[orden]]="","",tblEjecucion[[#This Row],[orden]]&amp;IF(tblEjecucion[[#This Row],[operacion]]="","0010",tblEjecucion[[#This Row],[operacion]]))</f>
        <v/>
      </c>
    </row>
    <row r="552">
      <c r="A552" s="3" t="n"/>
      <c r="B552" s="3" t="n"/>
      <c r="C552" s="3" t="n"/>
      <c r="D552" s="3" t="n"/>
      <c r="E552" s="3" t="n"/>
      <c r="F552" s="11" t="n"/>
      <c r="G552" s="11" t="n"/>
      <c r="H552" s="11" t="n"/>
      <c r="I552" s="3" t="n"/>
      <c r="J552" s="3">
        <f>IF(tblEjecucion[[#This Row],[orden]]="","",tblEjecucion[[#This Row],[orden]]&amp;IF(tblEjecucion[[#This Row],[operacion]]="","0010",tblEjecucion[[#This Row],[operacion]]))</f>
        <v/>
      </c>
    </row>
    <row r="553">
      <c r="A553" s="3" t="n"/>
      <c r="B553" s="3" t="n"/>
      <c r="C553" s="3" t="n"/>
      <c r="D553" s="3" t="n"/>
      <c r="E553" s="3" t="n"/>
      <c r="F553" s="11" t="n"/>
      <c r="G553" s="11" t="n"/>
      <c r="H553" s="11" t="n"/>
      <c r="I553" s="3" t="n"/>
      <c r="J553" s="3">
        <f>IF(tblEjecucion[[#This Row],[orden]]="","",tblEjecucion[[#This Row],[orden]]&amp;IF(tblEjecucion[[#This Row],[operacion]]="","0010",tblEjecucion[[#This Row],[operacion]]))</f>
        <v/>
      </c>
    </row>
    <row r="554">
      <c r="A554" s="3" t="n"/>
      <c r="B554" s="3" t="n"/>
      <c r="C554" s="3" t="n"/>
      <c r="D554" s="3" t="n"/>
      <c r="E554" s="3" t="n"/>
      <c r="F554" s="11" t="n"/>
      <c r="G554" s="11" t="n"/>
      <c r="H554" s="11" t="n"/>
      <c r="I554" s="3" t="n"/>
      <c r="J554" s="3">
        <f>IF(tblEjecucion[[#This Row],[orden]]="","",tblEjecucion[[#This Row],[orden]]&amp;IF(tblEjecucion[[#This Row],[operacion]]="","0010",tblEjecucion[[#This Row],[operacion]]))</f>
        <v/>
      </c>
    </row>
    <row r="555">
      <c r="A555" s="3" t="n"/>
      <c r="B555" s="3" t="n"/>
      <c r="C555" s="3" t="n"/>
      <c r="D555" s="3" t="n"/>
      <c r="E555" s="3" t="n"/>
      <c r="F555" s="11" t="n"/>
      <c r="G555" s="11" t="n"/>
      <c r="H555" s="11" t="n"/>
      <c r="I555" s="3" t="n"/>
      <c r="J555" s="3">
        <f>IF(tblEjecucion[[#This Row],[orden]]="","",tblEjecucion[[#This Row],[orden]]&amp;IF(tblEjecucion[[#This Row],[operacion]]="","0010",tblEjecucion[[#This Row],[operacion]]))</f>
        <v/>
      </c>
    </row>
    <row r="556">
      <c r="A556" s="3" t="n"/>
      <c r="B556" s="3" t="n"/>
      <c r="C556" s="3" t="n"/>
      <c r="D556" s="3" t="n"/>
      <c r="E556" s="3" t="n"/>
      <c r="F556" s="11" t="n"/>
      <c r="G556" s="11" t="n"/>
      <c r="H556" s="11" t="n"/>
      <c r="I556" s="3" t="n"/>
      <c r="J556" s="3">
        <f>IF(tblEjecucion[[#This Row],[orden]]="","",tblEjecucion[[#This Row],[orden]]&amp;IF(tblEjecucion[[#This Row],[operacion]]="","0010",tblEjecucion[[#This Row],[operacion]]))</f>
        <v/>
      </c>
    </row>
    <row r="557">
      <c r="A557" s="3" t="n"/>
      <c r="B557" s="3" t="n"/>
      <c r="C557" s="3" t="n"/>
      <c r="D557" s="3" t="n"/>
      <c r="E557" s="3" t="n"/>
      <c r="F557" s="11" t="n"/>
      <c r="G557" s="11" t="n"/>
      <c r="H557" s="11" t="n"/>
      <c r="I557" s="3" t="n"/>
      <c r="J557" s="3">
        <f>IF(tblEjecucion[[#This Row],[orden]]="","",tblEjecucion[[#This Row],[orden]]&amp;IF(tblEjecucion[[#This Row],[operacion]]="","0010",tblEjecucion[[#This Row],[operacion]]))</f>
        <v/>
      </c>
    </row>
    <row r="558">
      <c r="A558" s="3" t="n"/>
      <c r="B558" s="3" t="n"/>
      <c r="C558" s="3" t="n"/>
      <c r="D558" s="3" t="n"/>
      <c r="E558" s="3" t="n"/>
      <c r="F558" s="11" t="n"/>
      <c r="G558" s="11" t="n"/>
      <c r="H558" s="11" t="n"/>
      <c r="I558" s="3" t="n"/>
      <c r="J558" s="3">
        <f>IF(tblEjecucion[[#This Row],[orden]]="","",tblEjecucion[[#This Row],[orden]]&amp;IF(tblEjecucion[[#This Row],[operacion]]="","0010",tblEjecucion[[#This Row],[operacion]]))</f>
        <v/>
      </c>
    </row>
    <row r="559">
      <c r="A559" s="3" t="n"/>
      <c r="B559" s="3" t="n"/>
      <c r="C559" s="3" t="n"/>
      <c r="D559" s="3" t="n"/>
      <c r="E559" s="3" t="n"/>
      <c r="F559" s="11" t="n"/>
      <c r="G559" s="11" t="n"/>
      <c r="H559" s="11" t="n"/>
      <c r="I559" s="3" t="n"/>
      <c r="J559" s="3">
        <f>IF(tblEjecucion[[#This Row],[orden]]="","",tblEjecucion[[#This Row],[orden]]&amp;IF(tblEjecucion[[#This Row],[operacion]]="","0010",tblEjecucion[[#This Row],[operacion]]))</f>
        <v/>
      </c>
    </row>
    <row r="560">
      <c r="A560" s="3" t="n"/>
      <c r="B560" s="3" t="n"/>
      <c r="C560" s="3" t="n"/>
      <c r="D560" s="3" t="n"/>
      <c r="E560" s="3" t="n"/>
      <c r="F560" s="11" t="n"/>
      <c r="G560" s="11" t="n"/>
      <c r="H560" s="11" t="n"/>
      <c r="I560" s="3" t="n"/>
      <c r="J560" s="3">
        <f>IF(tblEjecucion[[#This Row],[orden]]="","",tblEjecucion[[#This Row],[orden]]&amp;IF(tblEjecucion[[#This Row],[operacion]]="","0010",tblEjecucion[[#This Row],[operacion]]))</f>
        <v/>
      </c>
    </row>
    <row r="561">
      <c r="A561" s="3" t="n"/>
      <c r="B561" s="3" t="n"/>
      <c r="C561" s="3" t="n"/>
      <c r="D561" s="3" t="n"/>
      <c r="E561" s="3" t="n"/>
      <c r="F561" s="11" t="n"/>
      <c r="G561" s="11" t="n"/>
      <c r="H561" s="11" t="n"/>
      <c r="I561" s="3" t="n"/>
      <c r="J561" s="3">
        <f>IF(tblEjecucion[[#This Row],[orden]]="","",tblEjecucion[[#This Row],[orden]]&amp;IF(tblEjecucion[[#This Row],[operacion]]="","0010",tblEjecucion[[#This Row],[operacion]]))</f>
        <v/>
      </c>
    </row>
    <row r="562">
      <c r="A562" s="3" t="n"/>
      <c r="B562" s="3" t="n"/>
      <c r="C562" s="3" t="n"/>
      <c r="D562" s="3" t="n"/>
      <c r="E562" s="3" t="n"/>
      <c r="F562" s="11" t="n"/>
      <c r="G562" s="11" t="n"/>
      <c r="H562" s="11" t="n"/>
      <c r="I562" s="3" t="n"/>
      <c r="J562" s="3">
        <f>IF(tblEjecucion[[#This Row],[orden]]="","",tblEjecucion[[#This Row],[orden]]&amp;IF(tblEjecucion[[#This Row],[operacion]]="","0010",tblEjecucion[[#This Row],[operacion]]))</f>
        <v/>
      </c>
    </row>
    <row r="563">
      <c r="A563" s="3" t="n"/>
      <c r="B563" s="3" t="n"/>
      <c r="C563" s="3" t="n"/>
      <c r="D563" s="3" t="n"/>
      <c r="E563" s="3" t="n"/>
      <c r="F563" s="11" t="n"/>
      <c r="G563" s="11" t="n"/>
      <c r="H563" s="11" t="n"/>
      <c r="I563" s="3" t="n"/>
      <c r="J563" s="3">
        <f>IF(tblEjecucion[[#This Row],[orden]]="","",tblEjecucion[[#This Row],[orden]]&amp;IF(tblEjecucion[[#This Row],[operacion]]="","0010",tblEjecucion[[#This Row],[operacion]]))</f>
        <v/>
      </c>
    </row>
    <row r="564">
      <c r="A564" s="3" t="n"/>
      <c r="B564" s="3" t="n"/>
      <c r="C564" s="3" t="n"/>
      <c r="D564" s="3" t="n"/>
      <c r="E564" s="3" t="n"/>
      <c r="F564" s="11" t="n"/>
      <c r="G564" s="11" t="n"/>
      <c r="H564" s="11" t="n"/>
      <c r="I564" s="3" t="n"/>
      <c r="J564" s="3">
        <f>IF(tblEjecucion[[#This Row],[orden]]="","",tblEjecucion[[#This Row],[orden]]&amp;IF(tblEjecucion[[#This Row],[operacion]]="","0010",tblEjecucion[[#This Row],[operacion]]))</f>
        <v/>
      </c>
    </row>
    <row r="565">
      <c r="A565" s="3" t="n"/>
      <c r="B565" s="3" t="n"/>
      <c r="C565" s="3" t="n"/>
      <c r="D565" s="3" t="n"/>
      <c r="E565" s="3" t="n"/>
      <c r="F565" s="11" t="n"/>
      <c r="G565" s="11" t="n"/>
      <c r="H565" s="11" t="n"/>
      <c r="I565" s="3" t="n"/>
      <c r="J565" s="3">
        <f>IF(tblEjecucion[[#This Row],[orden]]="","",tblEjecucion[[#This Row],[orden]]&amp;IF(tblEjecucion[[#This Row],[operacion]]="","0010",tblEjecucion[[#This Row],[operacion]]))</f>
        <v/>
      </c>
    </row>
    <row r="566">
      <c r="A566" s="3" t="n"/>
      <c r="B566" s="3" t="n"/>
      <c r="C566" s="3" t="n"/>
      <c r="D566" s="3" t="n"/>
      <c r="E566" s="3" t="n"/>
      <c r="F566" s="11" t="n"/>
      <c r="G566" s="11" t="n"/>
      <c r="H566" s="11" t="n"/>
      <c r="I566" s="3" t="n"/>
      <c r="J566" s="3">
        <f>IF(tblEjecucion[[#This Row],[orden]]="","",tblEjecucion[[#This Row],[orden]]&amp;IF(tblEjecucion[[#This Row],[operacion]]="","0010",tblEjecucion[[#This Row],[operacion]]))</f>
        <v/>
      </c>
    </row>
    <row r="567">
      <c r="A567" s="3" t="n"/>
      <c r="B567" s="3" t="n"/>
      <c r="C567" s="3" t="n"/>
      <c r="D567" s="3" t="n"/>
      <c r="E567" s="3" t="n"/>
      <c r="F567" s="11" t="n"/>
      <c r="G567" s="11" t="n"/>
      <c r="H567" s="11" t="n"/>
      <c r="I567" s="3" t="n"/>
      <c r="J567" s="3">
        <f>IF(tblEjecucion[[#This Row],[orden]]="","",tblEjecucion[[#This Row],[orden]]&amp;IF(tblEjecucion[[#This Row],[operacion]]="","0010",tblEjecucion[[#This Row],[operacion]]))</f>
        <v/>
      </c>
    </row>
    <row r="568">
      <c r="A568" s="3" t="n"/>
      <c r="B568" s="3" t="n"/>
      <c r="C568" s="3" t="n"/>
      <c r="D568" s="3" t="n"/>
      <c r="E568" s="3" t="n"/>
      <c r="F568" s="11" t="n"/>
      <c r="G568" s="11" t="n"/>
      <c r="H568" s="11" t="n"/>
      <c r="I568" s="3" t="n"/>
      <c r="J568" s="3">
        <f>IF(tblEjecucion[[#This Row],[orden]]="","",tblEjecucion[[#This Row],[orden]]&amp;IF(tblEjecucion[[#This Row],[operacion]]="","0010",tblEjecucion[[#This Row],[operacion]]))</f>
        <v/>
      </c>
    </row>
    <row r="569">
      <c r="A569" s="3" t="n"/>
      <c r="B569" s="3" t="n"/>
      <c r="C569" s="3" t="n"/>
      <c r="D569" s="3" t="n"/>
      <c r="E569" s="3" t="n"/>
      <c r="F569" s="11" t="n"/>
      <c r="G569" s="11" t="n"/>
      <c r="H569" s="11" t="n"/>
      <c r="I569" s="3" t="n"/>
      <c r="J569" s="3">
        <f>IF(tblEjecucion[[#This Row],[orden]]="","",tblEjecucion[[#This Row],[orden]]&amp;IF(tblEjecucion[[#This Row],[operacion]]="","0010",tblEjecucion[[#This Row],[operacion]]))</f>
        <v/>
      </c>
    </row>
    <row r="570">
      <c r="A570" s="3" t="n"/>
      <c r="B570" s="3" t="n"/>
      <c r="C570" s="3" t="n"/>
      <c r="D570" s="3" t="n"/>
      <c r="E570" s="3" t="n"/>
      <c r="F570" s="11" t="n"/>
      <c r="G570" s="11" t="n"/>
      <c r="H570" s="11" t="n"/>
      <c r="I570" s="3" t="n"/>
      <c r="J570" s="3">
        <f>IF(tblEjecucion[[#This Row],[orden]]="","",tblEjecucion[[#This Row],[orden]]&amp;IF(tblEjecucion[[#This Row],[operacion]]="","0010",tblEjecucion[[#This Row],[operacion]]))</f>
        <v/>
      </c>
    </row>
    <row r="571">
      <c r="A571" s="3" t="n"/>
      <c r="B571" s="3" t="n"/>
      <c r="C571" s="3" t="n"/>
      <c r="D571" s="3" t="n"/>
      <c r="E571" s="3" t="n"/>
      <c r="F571" s="11" t="n"/>
      <c r="G571" s="11" t="n"/>
      <c r="H571" s="11" t="n"/>
      <c r="I571" s="3" t="n"/>
      <c r="J571" s="3">
        <f>IF(tblEjecucion[[#This Row],[orden]]="","",tblEjecucion[[#This Row],[orden]]&amp;IF(tblEjecucion[[#This Row],[operacion]]="","0010",tblEjecucion[[#This Row],[operacion]]))</f>
        <v/>
      </c>
    </row>
    <row r="572">
      <c r="A572" s="3" t="n"/>
      <c r="B572" s="3" t="n"/>
      <c r="C572" s="3" t="n"/>
      <c r="D572" s="3" t="n"/>
      <c r="E572" s="3" t="n"/>
      <c r="F572" s="11" t="n"/>
      <c r="G572" s="11" t="n"/>
      <c r="H572" s="11" t="n"/>
      <c r="I572" s="3" t="n"/>
      <c r="J572" s="3">
        <f>IF(tblEjecucion[[#This Row],[orden]]="","",tblEjecucion[[#This Row],[orden]]&amp;IF(tblEjecucion[[#This Row],[operacion]]="","0010",tblEjecucion[[#This Row],[operacion]]))</f>
        <v/>
      </c>
    </row>
    <row r="573">
      <c r="A573" s="3" t="n"/>
      <c r="B573" s="3" t="n"/>
      <c r="C573" s="3" t="n"/>
      <c r="D573" s="3" t="n"/>
      <c r="E573" s="3" t="n"/>
      <c r="F573" s="11" t="n"/>
      <c r="G573" s="11" t="n"/>
      <c r="H573" s="11" t="n"/>
      <c r="I573" s="3" t="n"/>
      <c r="J573" s="3">
        <f>IF(tblEjecucion[[#This Row],[orden]]="","",tblEjecucion[[#This Row],[orden]]&amp;IF(tblEjecucion[[#This Row],[operacion]]="","0010",tblEjecucion[[#This Row],[operacion]]))</f>
        <v/>
      </c>
    </row>
    <row r="574">
      <c r="A574" s="3" t="n"/>
      <c r="B574" s="3" t="n"/>
      <c r="C574" s="3" t="n"/>
      <c r="D574" s="3" t="n"/>
      <c r="E574" s="3" t="n"/>
      <c r="F574" s="11" t="n"/>
      <c r="G574" s="11" t="n"/>
      <c r="H574" s="11" t="n"/>
      <c r="I574" s="3" t="n"/>
      <c r="J574" s="3">
        <f>IF(tblEjecucion[[#This Row],[orden]]="","",tblEjecucion[[#This Row],[orden]]&amp;IF(tblEjecucion[[#This Row],[operacion]]="","0010",tblEjecucion[[#This Row],[operacion]]))</f>
        <v/>
      </c>
    </row>
    <row r="575">
      <c r="A575" s="3" t="n"/>
      <c r="B575" s="3" t="n"/>
      <c r="C575" s="3" t="n"/>
      <c r="D575" s="3" t="n"/>
      <c r="E575" s="3" t="n"/>
      <c r="F575" s="11" t="n"/>
      <c r="G575" s="11" t="n"/>
      <c r="H575" s="11" t="n"/>
      <c r="I575" s="3" t="n"/>
      <c r="J575" s="3">
        <f>IF(tblEjecucion[[#This Row],[orden]]="","",tblEjecucion[[#This Row],[orden]]&amp;IF(tblEjecucion[[#This Row],[operacion]]="","0010",tblEjecucion[[#This Row],[operacion]]))</f>
        <v/>
      </c>
    </row>
    <row r="576">
      <c r="A576" s="3" t="n"/>
      <c r="B576" s="3" t="n"/>
      <c r="C576" s="3" t="n"/>
      <c r="D576" s="3" t="n"/>
      <c r="E576" s="3" t="n"/>
      <c r="F576" s="11" t="n"/>
      <c r="G576" s="11" t="n"/>
      <c r="H576" s="11" t="n"/>
      <c r="I576" s="3" t="n"/>
      <c r="J576" s="3">
        <f>IF(tblEjecucion[[#This Row],[orden]]="","",tblEjecucion[[#This Row],[orden]]&amp;IF(tblEjecucion[[#This Row],[operacion]]="","0010",tblEjecucion[[#This Row],[operacion]]))</f>
        <v/>
      </c>
    </row>
    <row r="577">
      <c r="A577" s="3" t="n"/>
      <c r="B577" s="3" t="n"/>
      <c r="C577" s="3" t="n"/>
      <c r="D577" s="3" t="n"/>
      <c r="E577" s="3" t="n"/>
      <c r="F577" s="11" t="n"/>
      <c r="G577" s="11" t="n"/>
      <c r="H577" s="11" t="n"/>
      <c r="I577" s="3" t="n"/>
      <c r="J577" s="3">
        <f>IF(tblEjecucion[[#This Row],[orden]]="","",tblEjecucion[[#This Row],[orden]]&amp;IF(tblEjecucion[[#This Row],[operacion]]="","0010",tblEjecucion[[#This Row],[operacion]]))</f>
        <v/>
      </c>
    </row>
    <row r="578">
      <c r="A578" s="3" t="n"/>
      <c r="B578" s="3" t="n"/>
      <c r="C578" s="3" t="n"/>
      <c r="D578" s="3" t="n"/>
      <c r="E578" s="3" t="n"/>
      <c r="F578" s="11" t="n"/>
      <c r="G578" s="11" t="n"/>
      <c r="H578" s="11" t="n"/>
      <c r="I578" s="3" t="n"/>
      <c r="J578" s="3">
        <f>IF(tblEjecucion[[#This Row],[orden]]="","",tblEjecucion[[#This Row],[orden]]&amp;IF(tblEjecucion[[#This Row],[operacion]]="","0010",tblEjecucion[[#This Row],[operacion]]))</f>
        <v/>
      </c>
    </row>
    <row r="579">
      <c r="A579" s="3" t="n"/>
      <c r="B579" s="3" t="n"/>
      <c r="C579" s="3" t="n"/>
      <c r="D579" s="3" t="n"/>
      <c r="E579" s="3" t="n"/>
      <c r="F579" s="11" t="n"/>
      <c r="G579" s="11" t="n"/>
      <c r="H579" s="11" t="n"/>
      <c r="I579" s="3" t="n"/>
      <c r="J579" s="3">
        <f>IF(tblEjecucion[[#This Row],[orden]]="","",tblEjecucion[[#This Row],[orden]]&amp;IF(tblEjecucion[[#This Row],[operacion]]="","0010",tblEjecucion[[#This Row],[operacion]]))</f>
        <v/>
      </c>
    </row>
    <row r="580">
      <c r="A580" s="3" t="n"/>
      <c r="B580" s="3" t="n"/>
      <c r="C580" s="3" t="n"/>
      <c r="D580" s="3" t="n"/>
      <c r="E580" s="3" t="n"/>
      <c r="F580" s="11" t="n"/>
      <c r="G580" s="11" t="n"/>
      <c r="H580" s="11" t="n"/>
      <c r="I580" s="3" t="n"/>
      <c r="J580" s="3">
        <f>IF(tblEjecucion[[#This Row],[orden]]="","",tblEjecucion[[#This Row],[orden]]&amp;IF(tblEjecucion[[#This Row],[operacion]]="","0010",tblEjecucion[[#This Row],[operacion]]))</f>
        <v/>
      </c>
    </row>
    <row r="581">
      <c r="A581" s="3" t="n"/>
      <c r="B581" s="3" t="n"/>
      <c r="C581" s="3" t="n"/>
      <c r="D581" s="3" t="n"/>
      <c r="E581" s="3" t="n"/>
      <c r="F581" s="11" t="n"/>
      <c r="G581" s="11" t="n"/>
      <c r="H581" s="11" t="n"/>
      <c r="I581" s="3" t="n"/>
      <c r="J581" s="3">
        <f>IF(tblEjecucion[[#This Row],[orden]]="","",tblEjecucion[[#This Row],[orden]]&amp;IF(tblEjecucion[[#This Row],[operacion]]="","0010",tblEjecucion[[#This Row],[operacion]]))</f>
        <v/>
      </c>
    </row>
    <row r="582">
      <c r="A582" s="3" t="n"/>
      <c r="B582" s="3" t="n"/>
      <c r="C582" s="3" t="n"/>
      <c r="D582" s="3" t="n"/>
      <c r="E582" s="3" t="n"/>
      <c r="F582" s="11" t="n"/>
      <c r="G582" s="11" t="n"/>
      <c r="H582" s="11" t="n"/>
      <c r="I582" s="3" t="n"/>
      <c r="J582" s="3">
        <f>IF(tblEjecucion[[#This Row],[orden]]="","",tblEjecucion[[#This Row],[orden]]&amp;IF(tblEjecucion[[#This Row],[operacion]]="","0010",tblEjecucion[[#This Row],[operacion]]))</f>
        <v/>
      </c>
    </row>
    <row r="583">
      <c r="A583" s="3" t="n"/>
      <c r="B583" s="3" t="n"/>
      <c r="C583" s="3" t="n"/>
      <c r="D583" s="3" t="n"/>
      <c r="E583" s="3" t="n"/>
      <c r="F583" s="11" t="n"/>
      <c r="G583" s="11" t="n"/>
      <c r="H583" s="11" t="n"/>
      <c r="I583" s="3" t="n"/>
      <c r="J583" s="3">
        <f>IF(tblEjecucion[[#This Row],[orden]]="","",tblEjecucion[[#This Row],[orden]]&amp;IF(tblEjecucion[[#This Row],[operacion]]="","0010",tblEjecucion[[#This Row],[operacion]]))</f>
        <v/>
      </c>
    </row>
    <row r="584">
      <c r="A584" s="3" t="n"/>
      <c r="B584" s="3" t="n"/>
      <c r="C584" s="3" t="n"/>
      <c r="D584" s="3" t="n"/>
      <c r="E584" s="3" t="n"/>
      <c r="F584" s="11" t="n"/>
      <c r="G584" s="11" t="n"/>
      <c r="H584" s="11" t="n"/>
      <c r="I584" s="3" t="n"/>
      <c r="J584" s="3">
        <f>IF(tblEjecucion[[#This Row],[orden]]="","",tblEjecucion[[#This Row],[orden]]&amp;IF(tblEjecucion[[#This Row],[operacion]]="","0010",tblEjecucion[[#This Row],[operacion]]))</f>
        <v/>
      </c>
    </row>
    <row r="585">
      <c r="A585" s="3" t="n"/>
      <c r="B585" s="3" t="n"/>
      <c r="C585" s="3" t="n"/>
      <c r="D585" s="3" t="n"/>
      <c r="E585" s="3" t="n"/>
      <c r="F585" s="11" t="n"/>
      <c r="G585" s="11" t="n"/>
      <c r="H585" s="11" t="n"/>
      <c r="I585" s="3" t="n"/>
      <c r="J585" s="3">
        <f>IF(tblEjecucion[[#This Row],[orden]]="","",tblEjecucion[[#This Row],[orden]]&amp;IF(tblEjecucion[[#This Row],[operacion]]="","0010",tblEjecucion[[#This Row],[operacion]]))</f>
        <v/>
      </c>
    </row>
    <row r="586">
      <c r="A586" s="3" t="n"/>
      <c r="B586" s="3" t="n"/>
      <c r="C586" s="3" t="n"/>
      <c r="D586" s="3" t="n"/>
      <c r="E586" s="3" t="n"/>
      <c r="F586" s="11" t="n"/>
      <c r="G586" s="11" t="n"/>
      <c r="H586" s="11" t="n"/>
      <c r="I586" s="3" t="n"/>
      <c r="J586" s="3">
        <f>IF(tblEjecucion[[#This Row],[orden]]="","",tblEjecucion[[#This Row],[orden]]&amp;IF(tblEjecucion[[#This Row],[operacion]]="","0010",tblEjecucion[[#This Row],[operacion]]))</f>
        <v/>
      </c>
    </row>
    <row r="587">
      <c r="A587" s="3" t="n"/>
      <c r="B587" s="3" t="n"/>
      <c r="C587" s="3" t="n"/>
      <c r="D587" s="3" t="n"/>
      <c r="E587" s="3" t="n"/>
      <c r="F587" s="11" t="n"/>
      <c r="G587" s="11" t="n"/>
      <c r="H587" s="11" t="n"/>
      <c r="I587" s="3" t="n"/>
      <c r="J587" s="3">
        <f>IF(tblEjecucion[[#This Row],[orden]]="","",tblEjecucion[[#This Row],[orden]]&amp;IF(tblEjecucion[[#This Row],[operacion]]="","0010",tblEjecucion[[#This Row],[operacion]]))</f>
        <v/>
      </c>
    </row>
    <row r="588">
      <c r="A588" s="3" t="n"/>
      <c r="B588" s="3" t="n"/>
      <c r="C588" s="3" t="n"/>
      <c r="D588" s="3" t="n"/>
      <c r="E588" s="3" t="n"/>
      <c r="F588" s="11" t="n"/>
      <c r="G588" s="11" t="n"/>
      <c r="H588" s="11" t="n"/>
      <c r="I588" s="3" t="n"/>
      <c r="J588" s="3">
        <f>IF(tblEjecucion[[#This Row],[orden]]="","",tblEjecucion[[#This Row],[orden]]&amp;IF(tblEjecucion[[#This Row],[operacion]]="","0010",tblEjecucion[[#This Row],[operacion]]))</f>
        <v/>
      </c>
    </row>
    <row r="589">
      <c r="A589" s="3" t="n"/>
      <c r="B589" s="3" t="n"/>
      <c r="C589" s="3" t="n"/>
      <c r="D589" s="3" t="n"/>
      <c r="E589" s="3" t="n"/>
      <c r="F589" s="11" t="n"/>
      <c r="G589" s="11" t="n"/>
      <c r="H589" s="11" t="n"/>
      <c r="I589" s="3" t="n"/>
      <c r="J589" s="3">
        <f>IF(tblEjecucion[[#This Row],[orden]]="","",tblEjecucion[[#This Row],[orden]]&amp;IF(tblEjecucion[[#This Row],[operacion]]="","0010",tblEjecucion[[#This Row],[operacion]]))</f>
        <v/>
      </c>
    </row>
    <row r="590">
      <c r="A590" s="3" t="n"/>
      <c r="B590" s="3" t="n"/>
      <c r="C590" s="3" t="n"/>
      <c r="D590" s="3" t="n"/>
      <c r="E590" s="3" t="n"/>
      <c r="F590" s="11" t="n"/>
      <c r="G590" s="11" t="n"/>
      <c r="H590" s="11" t="n"/>
      <c r="I590" s="3" t="n"/>
      <c r="J590" s="3">
        <f>IF(tblEjecucion[[#This Row],[orden]]="","",tblEjecucion[[#This Row],[orden]]&amp;IF(tblEjecucion[[#This Row],[operacion]]="","0010",tblEjecucion[[#This Row],[operacion]]))</f>
        <v/>
      </c>
    </row>
    <row r="591">
      <c r="A591" s="3" t="n"/>
      <c r="B591" s="3" t="n"/>
      <c r="C591" s="3" t="n"/>
      <c r="D591" s="3" t="n"/>
      <c r="E591" s="3" t="n"/>
      <c r="F591" s="11" t="n"/>
      <c r="G591" s="11" t="n"/>
      <c r="H591" s="11" t="n"/>
      <c r="I591" s="3" t="n"/>
      <c r="J591" s="3">
        <f>IF(tblEjecucion[[#This Row],[orden]]="","",tblEjecucion[[#This Row],[orden]]&amp;IF(tblEjecucion[[#This Row],[operacion]]="","0010",tblEjecucion[[#This Row],[operacion]]))</f>
        <v/>
      </c>
    </row>
    <row r="592">
      <c r="A592" s="3" t="n"/>
      <c r="B592" s="3" t="n"/>
      <c r="C592" s="3" t="n"/>
      <c r="D592" s="3" t="n"/>
      <c r="E592" s="3" t="n"/>
      <c r="F592" s="11" t="n"/>
      <c r="G592" s="11" t="n"/>
      <c r="H592" s="11" t="n"/>
      <c r="I592" s="3" t="n"/>
      <c r="J592" s="3">
        <f>IF(tblEjecucion[[#This Row],[orden]]="","",tblEjecucion[[#This Row],[orden]]&amp;IF(tblEjecucion[[#This Row],[operacion]]="","0010",tblEjecucion[[#This Row],[operacion]]))</f>
        <v/>
      </c>
    </row>
    <row r="593">
      <c r="A593" s="3" t="n"/>
      <c r="B593" s="3" t="n"/>
      <c r="C593" s="3" t="n"/>
      <c r="D593" s="3" t="n"/>
      <c r="E593" s="3" t="n"/>
      <c r="F593" s="11" t="n"/>
      <c r="G593" s="11" t="n"/>
      <c r="H593" s="11" t="n"/>
      <c r="I593" s="3" t="n"/>
      <c r="J593" s="3">
        <f>IF(tblEjecucion[[#This Row],[orden]]="","",tblEjecucion[[#This Row],[orden]]&amp;IF(tblEjecucion[[#This Row],[operacion]]="","0010",tblEjecucion[[#This Row],[operacion]]))</f>
        <v/>
      </c>
    </row>
    <row r="594">
      <c r="A594" s="3" t="n"/>
      <c r="B594" s="3" t="n"/>
      <c r="C594" s="3" t="n"/>
      <c r="D594" s="3" t="n"/>
      <c r="E594" s="3" t="n"/>
      <c r="F594" s="11" t="n"/>
      <c r="G594" s="11" t="n"/>
      <c r="H594" s="11" t="n"/>
      <c r="I594" s="3" t="n"/>
      <c r="J594" s="3">
        <f>IF(tblEjecucion[[#This Row],[orden]]="","",tblEjecucion[[#This Row],[orden]]&amp;IF(tblEjecucion[[#This Row],[operacion]]="","0010",tblEjecucion[[#This Row],[operacion]]))</f>
        <v/>
      </c>
    </row>
    <row r="595">
      <c r="A595" s="3" t="n"/>
      <c r="B595" s="3" t="n"/>
      <c r="C595" s="3" t="n"/>
      <c r="D595" s="3" t="n"/>
      <c r="E595" s="3" t="n"/>
      <c r="F595" s="11" t="n"/>
      <c r="G595" s="11" t="n"/>
      <c r="H595" s="11" t="n"/>
      <c r="I595" s="3" t="n"/>
      <c r="J595" s="3">
        <f>IF(tblEjecucion[[#This Row],[orden]]="","",tblEjecucion[[#This Row],[orden]]&amp;IF(tblEjecucion[[#This Row],[operacion]]="","0010",tblEjecucion[[#This Row],[operacion]]))</f>
        <v/>
      </c>
    </row>
    <row r="596">
      <c r="A596" s="3" t="n"/>
      <c r="B596" s="3" t="n"/>
      <c r="C596" s="3" t="n"/>
      <c r="D596" s="3" t="n"/>
      <c r="E596" s="3" t="n"/>
      <c r="F596" s="11" t="n"/>
      <c r="G596" s="11" t="n"/>
      <c r="H596" s="11" t="n"/>
      <c r="I596" s="3" t="n"/>
      <c r="J596" s="3">
        <f>IF(tblEjecucion[[#This Row],[orden]]="","",tblEjecucion[[#This Row],[orden]]&amp;IF(tblEjecucion[[#This Row],[operacion]]="","0010",tblEjecucion[[#This Row],[operacion]]))</f>
        <v/>
      </c>
    </row>
    <row r="597">
      <c r="A597" s="3" t="n"/>
      <c r="B597" s="3" t="n"/>
      <c r="C597" s="3" t="n"/>
      <c r="D597" s="3" t="n"/>
      <c r="E597" s="3" t="n"/>
      <c r="F597" s="11" t="n"/>
      <c r="G597" s="11" t="n"/>
      <c r="H597" s="11" t="n"/>
      <c r="I597" s="3" t="n"/>
      <c r="J597" s="3">
        <f>IF(tblEjecucion[[#This Row],[orden]]="","",tblEjecucion[[#This Row],[orden]]&amp;IF(tblEjecucion[[#This Row],[operacion]]="","0010",tblEjecucion[[#This Row],[operacion]]))</f>
        <v/>
      </c>
    </row>
    <row r="598">
      <c r="A598" s="3" t="n"/>
      <c r="B598" s="3" t="n"/>
      <c r="C598" s="3" t="n"/>
      <c r="D598" s="3" t="n"/>
      <c r="E598" s="3" t="n"/>
      <c r="F598" s="11" t="n"/>
      <c r="G598" s="11" t="n"/>
      <c r="H598" s="11" t="n"/>
      <c r="I598" s="3" t="n"/>
      <c r="J598" s="3">
        <f>IF(tblEjecucion[[#This Row],[orden]]="","",tblEjecucion[[#This Row],[orden]]&amp;IF(tblEjecucion[[#This Row],[operacion]]="","0010",tblEjecucion[[#This Row],[operacion]]))</f>
        <v/>
      </c>
    </row>
    <row r="599">
      <c r="A599" s="3" t="n"/>
      <c r="B599" s="3" t="n"/>
      <c r="C599" s="3" t="n"/>
      <c r="D599" s="3" t="n"/>
      <c r="E599" s="3" t="n"/>
      <c r="F599" s="11" t="n"/>
      <c r="G599" s="11" t="n"/>
      <c r="H599" s="11" t="n"/>
      <c r="I599" s="3" t="n"/>
      <c r="J599" s="3">
        <f>IF(tblEjecucion[[#This Row],[orden]]="","",tblEjecucion[[#This Row],[orden]]&amp;IF(tblEjecucion[[#This Row],[operacion]]="","0010",tblEjecucion[[#This Row],[operacion]]))</f>
        <v/>
      </c>
    </row>
    <row r="600">
      <c r="A600" s="3" t="n"/>
      <c r="B600" s="3" t="n"/>
      <c r="C600" s="3" t="n"/>
      <c r="D600" s="3" t="n"/>
      <c r="E600" s="3" t="n"/>
      <c r="F600" s="11" t="n"/>
      <c r="G600" s="11" t="n"/>
      <c r="H600" s="11" t="n"/>
      <c r="I600" s="3" t="n"/>
      <c r="J600" s="3">
        <f>IF(tblEjecucion[[#This Row],[orden]]="","",tblEjecucion[[#This Row],[orden]]&amp;IF(tblEjecucion[[#This Row],[operacion]]="","0010",tblEjecucion[[#This Row],[operacion]]))</f>
        <v/>
      </c>
    </row>
    <row r="601">
      <c r="A601" s="3" t="n"/>
      <c r="B601" s="3" t="n"/>
      <c r="C601" s="3" t="n"/>
      <c r="D601" s="3" t="n"/>
      <c r="E601" s="3" t="n"/>
      <c r="F601" s="11" t="n"/>
      <c r="G601" s="11" t="n"/>
      <c r="H601" s="11" t="n"/>
      <c r="I601" s="3" t="n"/>
      <c r="J601" s="3">
        <f>IF(tblEjecucion[[#This Row],[orden]]="","",tblEjecucion[[#This Row],[orden]]&amp;IF(tblEjecucion[[#This Row],[operacion]]="","0010",tblEjecucion[[#This Row],[operacion]]))</f>
        <v/>
      </c>
    </row>
    <row r="602">
      <c r="A602" s="3" t="n"/>
      <c r="B602" s="3" t="n"/>
      <c r="C602" s="3" t="n"/>
      <c r="D602" s="3" t="n"/>
      <c r="E602" s="3" t="n"/>
      <c r="F602" s="11" t="n"/>
      <c r="G602" s="11" t="n"/>
      <c r="H602" s="11" t="n"/>
      <c r="I602" s="3" t="n"/>
      <c r="J602" s="3">
        <f>IF(tblEjecucion[[#This Row],[orden]]="","",tblEjecucion[[#This Row],[orden]]&amp;IF(tblEjecucion[[#This Row],[operacion]]="","0010",tblEjecucion[[#This Row],[operacion]]))</f>
        <v/>
      </c>
    </row>
    <row r="603">
      <c r="A603" s="3" t="n"/>
      <c r="B603" s="3" t="n"/>
      <c r="C603" s="3" t="n"/>
      <c r="D603" s="3" t="n"/>
      <c r="E603" s="3" t="n"/>
      <c r="F603" s="11" t="n"/>
      <c r="G603" s="11" t="n"/>
      <c r="H603" s="11" t="n"/>
      <c r="I603" s="3" t="n"/>
      <c r="J603" s="3">
        <f>IF(tblEjecucion[[#This Row],[orden]]="","",tblEjecucion[[#This Row],[orden]]&amp;IF(tblEjecucion[[#This Row],[operacion]]="","0010",tblEjecucion[[#This Row],[operacion]]))</f>
        <v/>
      </c>
    </row>
    <row r="604">
      <c r="A604" s="3" t="n"/>
      <c r="B604" s="3" t="n"/>
      <c r="C604" s="3" t="n"/>
      <c r="D604" s="3" t="n"/>
      <c r="E604" s="3" t="n"/>
      <c r="F604" s="11" t="n"/>
      <c r="G604" s="11" t="n"/>
      <c r="H604" s="11" t="n"/>
      <c r="I604" s="3" t="n"/>
      <c r="J604" s="3">
        <f>IF(tblEjecucion[[#This Row],[orden]]="","",tblEjecucion[[#This Row],[orden]]&amp;IF(tblEjecucion[[#This Row],[operacion]]="","0010",tblEjecucion[[#This Row],[operacion]]))</f>
        <v/>
      </c>
    </row>
    <row r="605">
      <c r="A605" s="3" t="n"/>
      <c r="B605" s="3" t="n"/>
      <c r="C605" s="3" t="n"/>
      <c r="D605" s="3" t="n"/>
      <c r="E605" s="3" t="n"/>
      <c r="F605" s="11" t="n"/>
      <c r="G605" s="11" t="n"/>
      <c r="H605" s="11" t="n"/>
      <c r="I605" s="3" t="n"/>
      <c r="J605" s="3">
        <f>IF(tblEjecucion[[#This Row],[orden]]="","",tblEjecucion[[#This Row],[orden]]&amp;IF(tblEjecucion[[#This Row],[operacion]]="","0010",tblEjecucion[[#This Row],[operacion]]))</f>
        <v/>
      </c>
    </row>
    <row r="606">
      <c r="A606" s="3" t="n"/>
      <c r="B606" s="3" t="n"/>
      <c r="C606" s="3" t="n"/>
      <c r="D606" s="3" t="n"/>
      <c r="E606" s="3" t="n"/>
      <c r="F606" s="11" t="n"/>
      <c r="G606" s="11" t="n"/>
      <c r="H606" s="11" t="n"/>
      <c r="I606" s="3" t="n"/>
      <c r="J606" s="3">
        <f>IF(tblEjecucion[[#This Row],[orden]]="","",tblEjecucion[[#This Row],[orden]]&amp;IF(tblEjecucion[[#This Row],[operacion]]="","0010",tblEjecucion[[#This Row],[operacion]]))</f>
        <v/>
      </c>
    </row>
    <row r="607">
      <c r="A607" s="3" t="n"/>
      <c r="B607" s="3" t="n"/>
      <c r="C607" s="3" t="n"/>
      <c r="D607" s="3" t="n"/>
      <c r="E607" s="3" t="n"/>
      <c r="F607" s="11" t="n"/>
      <c r="G607" s="11" t="n"/>
      <c r="H607" s="11" t="n"/>
      <c r="I607" s="3" t="n"/>
      <c r="J607" s="3">
        <f>IF(tblEjecucion[[#This Row],[orden]]="","",tblEjecucion[[#This Row],[orden]]&amp;IF(tblEjecucion[[#This Row],[operacion]]="","0010",tblEjecucion[[#This Row],[operacion]]))</f>
        <v/>
      </c>
    </row>
    <row r="608">
      <c r="A608" s="3" t="n"/>
      <c r="B608" s="3" t="n"/>
      <c r="C608" s="3" t="n"/>
      <c r="D608" s="3" t="n"/>
      <c r="E608" s="3" t="n"/>
      <c r="F608" s="11" t="n"/>
      <c r="G608" s="11" t="n"/>
      <c r="H608" s="11" t="n"/>
      <c r="I608" s="3" t="n"/>
      <c r="J608" s="3">
        <f>IF(tblEjecucion[[#This Row],[orden]]="","",tblEjecucion[[#This Row],[orden]]&amp;IF(tblEjecucion[[#This Row],[operacion]]="","0010",tblEjecucion[[#This Row],[operacion]]))</f>
        <v/>
      </c>
    </row>
    <row r="609">
      <c r="A609" s="3" t="n"/>
      <c r="B609" s="3" t="n"/>
      <c r="C609" s="3" t="n"/>
      <c r="D609" s="3" t="n"/>
      <c r="E609" s="3" t="n"/>
      <c r="F609" s="11" t="n"/>
      <c r="G609" s="11" t="n"/>
      <c r="H609" s="11" t="n"/>
      <c r="I609" s="3" t="n"/>
      <c r="J609" s="3">
        <f>IF(tblEjecucion[[#This Row],[orden]]="","",tblEjecucion[[#This Row],[orden]]&amp;IF(tblEjecucion[[#This Row],[operacion]]="","0010",tblEjecucion[[#This Row],[operacion]]))</f>
        <v/>
      </c>
    </row>
    <row r="610">
      <c r="A610" s="3" t="n"/>
      <c r="B610" s="3" t="n"/>
      <c r="C610" s="3" t="n"/>
      <c r="D610" s="3" t="n"/>
      <c r="E610" s="3" t="n"/>
      <c r="F610" s="11" t="n"/>
      <c r="G610" s="11" t="n"/>
      <c r="H610" s="11" t="n"/>
      <c r="I610" s="3" t="n"/>
      <c r="J610" s="3">
        <f>IF(tblEjecucion[[#This Row],[orden]]="","",tblEjecucion[[#This Row],[orden]]&amp;IF(tblEjecucion[[#This Row],[operacion]]="","0010",tblEjecucion[[#This Row],[operacion]]))</f>
        <v/>
      </c>
    </row>
    <row r="611">
      <c r="A611" s="3" t="n"/>
      <c r="B611" s="3" t="n"/>
      <c r="C611" s="3" t="n"/>
      <c r="D611" s="3" t="n"/>
      <c r="E611" s="3" t="n"/>
      <c r="F611" s="11" t="n"/>
      <c r="G611" s="11" t="n"/>
      <c r="H611" s="11" t="n"/>
      <c r="I611" s="3" t="n"/>
      <c r="J611" s="3">
        <f>IF(tblEjecucion[[#This Row],[orden]]="","",tblEjecucion[[#This Row],[orden]]&amp;IF(tblEjecucion[[#This Row],[operacion]]="","0010",tblEjecucion[[#This Row],[operacion]]))</f>
        <v/>
      </c>
    </row>
    <row r="612">
      <c r="A612" s="3" t="n"/>
      <c r="B612" s="3" t="n"/>
      <c r="C612" s="3" t="n"/>
      <c r="D612" s="3" t="n"/>
      <c r="E612" s="3" t="n"/>
      <c r="F612" s="11" t="n"/>
      <c r="G612" s="11" t="n"/>
      <c r="H612" s="11" t="n"/>
      <c r="I612" s="3" t="n"/>
      <c r="J612" s="3">
        <f>IF(tblEjecucion[[#This Row],[orden]]="","",tblEjecucion[[#This Row],[orden]]&amp;IF(tblEjecucion[[#This Row],[operacion]]="","0010",tblEjecucion[[#This Row],[operacion]]))</f>
        <v/>
      </c>
    </row>
    <row r="613">
      <c r="A613" s="3" t="n"/>
      <c r="B613" s="3" t="n"/>
      <c r="C613" s="3" t="n"/>
      <c r="D613" s="3" t="n"/>
      <c r="E613" s="3" t="n"/>
      <c r="F613" s="11" t="n"/>
      <c r="G613" s="11" t="n"/>
      <c r="H613" s="11" t="n"/>
      <c r="I613" s="3" t="n"/>
      <c r="J613" s="3">
        <f>IF(tblEjecucion[[#This Row],[orden]]="","",tblEjecucion[[#This Row],[orden]]&amp;IF(tblEjecucion[[#This Row],[operacion]]="","0010",tblEjecucion[[#This Row],[operacion]]))</f>
        <v/>
      </c>
    </row>
    <row r="614">
      <c r="A614" s="3" t="n"/>
      <c r="B614" s="3" t="n"/>
      <c r="C614" s="3" t="n"/>
      <c r="D614" s="3" t="n"/>
      <c r="E614" s="3" t="n"/>
      <c r="F614" s="11" t="n"/>
      <c r="G614" s="11" t="n"/>
      <c r="H614" s="11" t="n"/>
      <c r="I614" s="3" t="n"/>
      <c r="J614" s="3">
        <f>IF(tblEjecucion[[#This Row],[orden]]="","",tblEjecucion[[#This Row],[orden]]&amp;IF(tblEjecucion[[#This Row],[operacion]]="","0010",tblEjecucion[[#This Row],[operacion]]))</f>
        <v/>
      </c>
    </row>
    <row r="615">
      <c r="A615" s="3" t="n"/>
      <c r="B615" s="3" t="n"/>
      <c r="C615" s="3" t="n"/>
      <c r="D615" s="3" t="n"/>
      <c r="E615" s="3" t="n"/>
      <c r="F615" s="11" t="n"/>
      <c r="G615" s="11" t="n"/>
      <c r="H615" s="11" t="n"/>
      <c r="I615" s="3" t="n"/>
      <c r="J615" s="3">
        <f>IF(tblEjecucion[[#This Row],[orden]]="","",tblEjecucion[[#This Row],[orden]]&amp;IF(tblEjecucion[[#This Row],[operacion]]="","0010",tblEjecucion[[#This Row],[operacion]]))</f>
        <v/>
      </c>
    </row>
    <row r="616">
      <c r="A616" s="3" t="n"/>
      <c r="B616" s="3" t="n"/>
      <c r="C616" s="3" t="n"/>
      <c r="D616" s="3" t="n"/>
      <c r="E616" s="3" t="n"/>
      <c r="F616" s="11" t="n"/>
      <c r="G616" s="11" t="n"/>
      <c r="H616" s="11" t="n"/>
      <c r="I616" s="3" t="n"/>
      <c r="J616" s="3">
        <f>IF(tblEjecucion[[#This Row],[orden]]="","",tblEjecucion[[#This Row],[orden]]&amp;IF(tblEjecucion[[#This Row],[operacion]]="","0010",tblEjecucion[[#This Row],[operacion]]))</f>
        <v/>
      </c>
    </row>
    <row r="617">
      <c r="A617" s="3" t="n"/>
      <c r="B617" s="3" t="n"/>
      <c r="C617" s="3" t="n"/>
      <c r="D617" s="3" t="n"/>
      <c r="E617" s="3" t="n"/>
      <c r="F617" s="11" t="n"/>
      <c r="G617" s="11" t="n"/>
      <c r="H617" s="11" t="n"/>
      <c r="I617" s="3" t="n"/>
      <c r="J617" s="3">
        <f>IF(tblEjecucion[[#This Row],[orden]]="","",tblEjecucion[[#This Row],[orden]]&amp;IF(tblEjecucion[[#This Row],[operacion]]="","0010",tblEjecucion[[#This Row],[operacion]]))</f>
        <v/>
      </c>
    </row>
    <row r="618">
      <c r="A618" s="3" t="n"/>
      <c r="B618" s="3" t="n"/>
      <c r="C618" s="3" t="n"/>
      <c r="D618" s="3" t="n"/>
      <c r="E618" s="3" t="n"/>
      <c r="F618" s="11" t="n"/>
      <c r="G618" s="11" t="n"/>
      <c r="H618" s="11" t="n"/>
      <c r="I618" s="3" t="n"/>
      <c r="J618" s="3">
        <f>IF(tblEjecucion[[#This Row],[orden]]="","",tblEjecucion[[#This Row],[orden]]&amp;IF(tblEjecucion[[#This Row],[operacion]]="","0010",tblEjecucion[[#This Row],[operacion]]))</f>
        <v/>
      </c>
    </row>
    <row r="619">
      <c r="A619" s="3" t="n"/>
      <c r="B619" s="3" t="n"/>
      <c r="C619" s="3" t="n"/>
      <c r="D619" s="3" t="n"/>
      <c r="E619" s="3" t="n"/>
      <c r="F619" s="11" t="n"/>
      <c r="G619" s="11" t="n"/>
      <c r="H619" s="11" t="n"/>
      <c r="I619" s="3" t="n"/>
      <c r="J619" s="3">
        <f>IF(tblEjecucion[[#This Row],[orden]]="","",tblEjecucion[[#This Row],[orden]]&amp;IF(tblEjecucion[[#This Row],[operacion]]="","0010",tblEjecucion[[#This Row],[operacion]]))</f>
        <v/>
      </c>
    </row>
    <row r="620">
      <c r="A620" s="3" t="n"/>
      <c r="B620" s="3" t="n"/>
      <c r="C620" s="3" t="n"/>
      <c r="D620" s="3" t="n"/>
      <c r="E620" s="3" t="n"/>
      <c r="F620" s="11" t="n"/>
      <c r="G620" s="11" t="n"/>
      <c r="H620" s="11" t="n"/>
      <c r="I620" s="3" t="n"/>
      <c r="J620" s="3">
        <f>IF(tblEjecucion[[#This Row],[orden]]="","",tblEjecucion[[#This Row],[orden]]&amp;IF(tblEjecucion[[#This Row],[operacion]]="","0010",tblEjecucion[[#This Row],[operacion]]))</f>
        <v/>
      </c>
    </row>
    <row r="621">
      <c r="A621" s="3" t="n"/>
      <c r="B621" s="3" t="n"/>
      <c r="C621" s="3" t="n"/>
      <c r="D621" s="3" t="n"/>
      <c r="E621" s="3" t="n"/>
      <c r="F621" s="11" t="n"/>
      <c r="G621" s="11" t="n"/>
      <c r="H621" s="11" t="n"/>
      <c r="I621" s="3" t="n"/>
      <c r="J621" s="3">
        <f>IF(tblEjecucion[[#This Row],[orden]]="","",tblEjecucion[[#This Row],[orden]]&amp;IF(tblEjecucion[[#This Row],[operacion]]="","0010",tblEjecucion[[#This Row],[operacion]]))</f>
        <v/>
      </c>
    </row>
    <row r="622">
      <c r="A622" s="3" t="n"/>
      <c r="B622" s="3" t="n"/>
      <c r="C622" s="3" t="n"/>
      <c r="D622" s="3" t="n"/>
      <c r="E622" s="3" t="n"/>
      <c r="F622" s="11" t="n"/>
      <c r="G622" s="11" t="n"/>
      <c r="H622" s="11" t="n"/>
      <c r="I622" s="3" t="n"/>
      <c r="J622" s="3">
        <f>IF(tblEjecucion[[#This Row],[orden]]="","",tblEjecucion[[#This Row],[orden]]&amp;IF(tblEjecucion[[#This Row],[operacion]]="","0010",tblEjecucion[[#This Row],[operacion]]))</f>
        <v/>
      </c>
    </row>
    <row r="623">
      <c r="A623" s="3" t="n"/>
      <c r="B623" s="3" t="n"/>
      <c r="C623" s="3" t="n"/>
      <c r="D623" s="3" t="n"/>
      <c r="E623" s="3" t="n"/>
      <c r="F623" s="11" t="n"/>
      <c r="G623" s="11" t="n"/>
      <c r="H623" s="11" t="n"/>
      <c r="I623" s="3" t="n"/>
      <c r="J623" s="3">
        <f>IF(tblEjecucion[[#This Row],[orden]]="","",tblEjecucion[[#This Row],[orden]]&amp;IF(tblEjecucion[[#This Row],[operacion]]="","0010",tblEjecucion[[#This Row],[operacion]]))</f>
        <v/>
      </c>
    </row>
    <row r="624">
      <c r="A624" s="3" t="n"/>
      <c r="B624" s="3" t="n"/>
      <c r="C624" s="3" t="n"/>
      <c r="D624" s="3" t="n"/>
      <c r="E624" s="3" t="n"/>
      <c r="F624" s="11" t="n"/>
      <c r="G624" s="11" t="n"/>
      <c r="H624" s="11" t="n"/>
      <c r="I624" s="3" t="n"/>
      <c r="J624" s="3">
        <f>IF(tblEjecucion[[#This Row],[orden]]="","",tblEjecucion[[#This Row],[orden]]&amp;IF(tblEjecucion[[#This Row],[operacion]]="","0010",tblEjecucion[[#This Row],[operacion]]))</f>
        <v/>
      </c>
    </row>
    <row r="625">
      <c r="A625" s="3" t="n"/>
      <c r="B625" s="3" t="n"/>
      <c r="C625" s="3" t="n"/>
      <c r="D625" s="3" t="n"/>
      <c r="E625" s="3" t="n"/>
      <c r="F625" s="11" t="n"/>
      <c r="G625" s="11" t="n"/>
      <c r="H625" s="11" t="n"/>
      <c r="I625" s="3" t="n"/>
      <c r="J625" s="3">
        <f>IF(tblEjecucion[[#This Row],[orden]]="","",tblEjecucion[[#This Row],[orden]]&amp;IF(tblEjecucion[[#This Row],[operacion]]="","0010",tblEjecucion[[#This Row],[operacion]]))</f>
        <v/>
      </c>
    </row>
    <row r="626">
      <c r="A626" s="3" t="n"/>
      <c r="B626" s="3" t="n"/>
      <c r="C626" s="3" t="n"/>
      <c r="D626" s="3" t="n"/>
      <c r="E626" s="3" t="n"/>
      <c r="F626" s="11" t="n"/>
      <c r="G626" s="11" t="n"/>
      <c r="H626" s="11" t="n"/>
      <c r="I626" s="3" t="n"/>
      <c r="J626" s="3">
        <f>IF(tblEjecucion[[#This Row],[orden]]="","",tblEjecucion[[#This Row],[orden]]&amp;IF(tblEjecucion[[#This Row],[operacion]]="","0010",tblEjecucion[[#This Row],[operacion]]))</f>
        <v/>
      </c>
    </row>
    <row r="627">
      <c r="A627" s="3" t="n"/>
      <c r="B627" s="3" t="n"/>
      <c r="C627" s="3" t="n"/>
      <c r="D627" s="3" t="n"/>
      <c r="E627" s="3" t="n"/>
      <c r="F627" s="11" t="n"/>
      <c r="G627" s="11" t="n"/>
      <c r="H627" s="11" t="n"/>
      <c r="I627" s="3" t="n"/>
      <c r="J627" s="3">
        <f>IF(tblEjecucion[[#This Row],[orden]]="","",tblEjecucion[[#This Row],[orden]]&amp;IF(tblEjecucion[[#This Row],[operacion]]="","0010",tblEjecucion[[#This Row],[operacion]]))</f>
        <v/>
      </c>
    </row>
    <row r="628">
      <c r="A628" s="3" t="n"/>
      <c r="B628" s="3" t="n"/>
      <c r="C628" s="3" t="n"/>
      <c r="D628" s="3" t="n"/>
      <c r="E628" s="3" t="n"/>
      <c r="F628" s="11" t="n"/>
      <c r="G628" s="11" t="n"/>
      <c r="H628" s="11" t="n"/>
      <c r="I628" s="3" t="n"/>
      <c r="J628" s="3">
        <f>IF(tblEjecucion[[#This Row],[orden]]="","",tblEjecucion[[#This Row],[orden]]&amp;IF(tblEjecucion[[#This Row],[operacion]]="","0010",tblEjecucion[[#This Row],[operacion]]))</f>
        <v/>
      </c>
    </row>
    <row r="629">
      <c r="A629" s="3" t="n"/>
      <c r="B629" s="3" t="n"/>
      <c r="C629" s="3" t="n"/>
      <c r="D629" s="3" t="n"/>
      <c r="E629" s="3" t="n"/>
      <c r="F629" s="11" t="n"/>
      <c r="G629" s="11" t="n"/>
      <c r="H629" s="11" t="n"/>
      <c r="I629" s="3" t="n"/>
      <c r="J629" s="3">
        <f>IF(tblEjecucion[[#This Row],[orden]]="","",tblEjecucion[[#This Row],[orden]]&amp;IF(tblEjecucion[[#This Row],[operacion]]="","0010",tblEjecucion[[#This Row],[operacion]]))</f>
        <v/>
      </c>
    </row>
    <row r="630">
      <c r="A630" s="3" t="n"/>
      <c r="B630" s="3" t="n"/>
      <c r="C630" s="3" t="n"/>
      <c r="D630" s="3" t="n"/>
      <c r="E630" s="3" t="n"/>
      <c r="F630" s="11" t="n"/>
      <c r="G630" s="11" t="n"/>
      <c r="H630" s="11" t="n"/>
      <c r="I630" s="3" t="n"/>
      <c r="J630" s="3">
        <f>IF(tblEjecucion[[#This Row],[orden]]="","",tblEjecucion[[#This Row],[orden]]&amp;IF(tblEjecucion[[#This Row],[operacion]]="","0010",tblEjecucion[[#This Row],[operacion]]))</f>
        <v/>
      </c>
    </row>
    <row r="631">
      <c r="A631" s="3" t="n"/>
      <c r="B631" s="3" t="n"/>
      <c r="C631" s="3" t="n"/>
      <c r="D631" s="3" t="n"/>
      <c r="E631" s="3" t="n"/>
      <c r="F631" s="11" t="n"/>
      <c r="G631" s="11" t="n"/>
      <c r="H631" s="11" t="n"/>
      <c r="I631" s="3" t="n"/>
      <c r="J631" s="3">
        <f>IF(tblEjecucion[[#This Row],[orden]]="","",tblEjecucion[[#This Row],[orden]]&amp;IF(tblEjecucion[[#This Row],[operacion]]="","0010",tblEjecucion[[#This Row],[operacion]]))</f>
        <v/>
      </c>
    </row>
    <row r="632">
      <c r="A632" s="3" t="n"/>
      <c r="B632" s="3" t="n"/>
      <c r="C632" s="3" t="n"/>
      <c r="D632" s="3" t="n"/>
      <c r="E632" s="3" t="n"/>
      <c r="F632" s="11" t="n"/>
      <c r="G632" s="11" t="n"/>
      <c r="H632" s="11" t="n"/>
      <c r="I632" s="3" t="n"/>
      <c r="J632" s="3">
        <f>IF(tblEjecucion[[#This Row],[orden]]="","",tblEjecucion[[#This Row],[orden]]&amp;IF(tblEjecucion[[#This Row],[operacion]]="","0010",tblEjecucion[[#This Row],[operacion]]))</f>
        <v/>
      </c>
    </row>
    <row r="633">
      <c r="A633" s="3" t="n"/>
      <c r="B633" s="3" t="n"/>
      <c r="C633" s="3" t="n"/>
      <c r="D633" s="3" t="n"/>
      <c r="E633" s="3" t="n"/>
      <c r="F633" s="11" t="n"/>
      <c r="G633" s="11" t="n"/>
      <c r="H633" s="11" t="n"/>
      <c r="I633" s="3" t="n"/>
      <c r="J633" s="3">
        <f>IF(tblEjecucion[[#This Row],[orden]]="","",tblEjecucion[[#This Row],[orden]]&amp;IF(tblEjecucion[[#This Row],[operacion]]="","0010",tblEjecucion[[#This Row],[operacion]]))</f>
        <v/>
      </c>
    </row>
    <row r="634">
      <c r="A634" s="3" t="n"/>
      <c r="B634" s="3" t="n"/>
      <c r="C634" s="3" t="n"/>
      <c r="D634" s="3" t="n"/>
      <c r="E634" s="3" t="n"/>
      <c r="F634" s="11" t="n"/>
      <c r="G634" s="11" t="n"/>
      <c r="H634" s="11" t="n"/>
      <c r="I634" s="3" t="n"/>
      <c r="J634" s="3">
        <f>IF(tblEjecucion[[#This Row],[orden]]="","",tblEjecucion[[#This Row],[orden]]&amp;IF(tblEjecucion[[#This Row],[operacion]]="","0010",tblEjecucion[[#This Row],[operacion]]))</f>
        <v/>
      </c>
    </row>
    <row r="635">
      <c r="A635" s="3" t="n"/>
      <c r="B635" s="3" t="n"/>
      <c r="C635" s="3" t="n"/>
      <c r="D635" s="3" t="n"/>
      <c r="E635" s="3" t="n"/>
      <c r="F635" s="11" t="n"/>
      <c r="G635" s="11" t="n"/>
      <c r="H635" s="11" t="n"/>
      <c r="I635" s="3" t="n"/>
      <c r="J635" s="3">
        <f>IF(tblEjecucion[[#This Row],[orden]]="","",tblEjecucion[[#This Row],[orden]]&amp;IF(tblEjecucion[[#This Row],[operacion]]="","0010",tblEjecucion[[#This Row],[operacion]]))</f>
        <v/>
      </c>
    </row>
    <row r="636">
      <c r="A636" s="3" t="n"/>
      <c r="B636" s="3" t="n"/>
      <c r="C636" s="3" t="n"/>
      <c r="D636" s="3" t="n"/>
      <c r="E636" s="3" t="n"/>
      <c r="F636" s="11" t="n"/>
      <c r="G636" s="11" t="n"/>
      <c r="H636" s="11" t="n"/>
      <c r="I636" s="3" t="n"/>
      <c r="J636" s="3">
        <f>IF(tblEjecucion[[#This Row],[orden]]="","",tblEjecucion[[#This Row],[orden]]&amp;IF(tblEjecucion[[#This Row],[operacion]]="","0010",tblEjecucion[[#This Row],[operacion]]))</f>
        <v/>
      </c>
    </row>
    <row r="637">
      <c r="A637" s="3" t="n"/>
      <c r="B637" s="3" t="n"/>
      <c r="C637" s="3" t="n"/>
      <c r="D637" s="3" t="n"/>
      <c r="E637" s="3" t="n"/>
      <c r="F637" s="11" t="n"/>
      <c r="G637" s="11" t="n"/>
      <c r="H637" s="11" t="n"/>
      <c r="I637" s="3" t="n"/>
      <c r="J637" s="3">
        <f>IF(tblEjecucion[[#This Row],[orden]]="","",tblEjecucion[[#This Row],[orden]]&amp;IF(tblEjecucion[[#This Row],[operacion]]="","0010",tblEjecucion[[#This Row],[operacion]]))</f>
        <v/>
      </c>
    </row>
    <row r="638">
      <c r="A638" s="3" t="n"/>
      <c r="B638" s="3" t="n"/>
      <c r="C638" s="3" t="n"/>
      <c r="D638" s="3" t="n"/>
      <c r="E638" s="3" t="n"/>
      <c r="F638" s="11" t="n"/>
      <c r="G638" s="11" t="n"/>
      <c r="H638" s="11" t="n"/>
      <c r="I638" s="3" t="n"/>
      <c r="J638" s="3">
        <f>IF(tblEjecucion[[#This Row],[orden]]="","",tblEjecucion[[#This Row],[orden]]&amp;IF(tblEjecucion[[#This Row],[operacion]]="","0010",tblEjecucion[[#This Row],[operacion]]))</f>
        <v/>
      </c>
    </row>
    <row r="639">
      <c r="A639" s="3" t="n"/>
      <c r="B639" s="3" t="n"/>
      <c r="C639" s="3" t="n"/>
      <c r="D639" s="3" t="n"/>
      <c r="E639" s="3" t="n"/>
      <c r="F639" s="11" t="n"/>
      <c r="G639" s="11" t="n"/>
      <c r="H639" s="11" t="n"/>
      <c r="I639" s="3" t="n"/>
      <c r="J639" s="3">
        <f>IF(tblEjecucion[[#This Row],[orden]]="","",tblEjecucion[[#This Row],[orden]]&amp;IF(tblEjecucion[[#This Row],[operacion]]="","0010",tblEjecucion[[#This Row],[operacion]]))</f>
        <v/>
      </c>
    </row>
    <row r="640">
      <c r="A640" s="3" t="n"/>
      <c r="B640" s="3" t="n"/>
      <c r="C640" s="3" t="n"/>
      <c r="D640" s="3" t="n"/>
      <c r="E640" s="3" t="n"/>
      <c r="F640" s="11" t="n"/>
      <c r="G640" s="11" t="n"/>
      <c r="H640" s="11" t="n"/>
      <c r="I640" s="3" t="n"/>
      <c r="J640" s="3">
        <f>IF(tblEjecucion[[#This Row],[orden]]="","",tblEjecucion[[#This Row],[orden]]&amp;IF(tblEjecucion[[#This Row],[operacion]]="","0010",tblEjecucion[[#This Row],[operacion]]))</f>
        <v/>
      </c>
    </row>
    <row r="641">
      <c r="A641" s="3" t="n"/>
      <c r="B641" s="3" t="n"/>
      <c r="C641" s="3" t="n"/>
      <c r="D641" s="3" t="n"/>
      <c r="E641" s="3" t="n"/>
      <c r="F641" s="11" t="n"/>
      <c r="G641" s="11" t="n"/>
      <c r="H641" s="11" t="n"/>
      <c r="I641" s="3" t="n"/>
      <c r="J641" s="3">
        <f>IF(tblEjecucion[[#This Row],[orden]]="","",tblEjecucion[[#This Row],[orden]]&amp;IF(tblEjecucion[[#This Row],[operacion]]="","0010",tblEjecucion[[#This Row],[operacion]]))</f>
        <v/>
      </c>
    </row>
    <row r="642">
      <c r="A642" s="3" t="n"/>
      <c r="B642" s="3" t="n"/>
      <c r="C642" s="3" t="n"/>
      <c r="D642" s="3" t="n"/>
      <c r="E642" s="3" t="n"/>
      <c r="F642" s="11" t="n"/>
      <c r="G642" s="11" t="n"/>
      <c r="H642" s="11" t="n"/>
      <c r="I642" s="3" t="n"/>
      <c r="J642" s="3">
        <f>IF(tblEjecucion[[#This Row],[orden]]="","",tblEjecucion[[#This Row],[orden]]&amp;IF(tblEjecucion[[#This Row],[operacion]]="","0010",tblEjecucion[[#This Row],[operacion]]))</f>
        <v/>
      </c>
    </row>
    <row r="643">
      <c r="A643" s="3" t="n"/>
      <c r="B643" s="3" t="n"/>
      <c r="C643" s="3" t="n"/>
      <c r="D643" s="3" t="n"/>
      <c r="E643" s="3" t="n"/>
      <c r="F643" s="11" t="n"/>
      <c r="G643" s="11" t="n"/>
      <c r="H643" s="11" t="n"/>
      <c r="I643" s="3" t="n"/>
      <c r="J643" s="3">
        <f>IF(tblEjecucion[[#This Row],[orden]]="","",tblEjecucion[[#This Row],[orden]]&amp;IF(tblEjecucion[[#This Row],[operacion]]="","0010",tblEjecucion[[#This Row],[operacion]]))</f>
        <v/>
      </c>
    </row>
    <row r="644">
      <c r="A644" s="3" t="n"/>
      <c r="B644" s="3" t="n"/>
      <c r="C644" s="3" t="n"/>
      <c r="D644" s="3" t="n"/>
      <c r="E644" s="3" t="n"/>
      <c r="F644" s="11" t="n"/>
      <c r="G644" s="11" t="n"/>
      <c r="H644" s="11" t="n"/>
      <c r="I644" s="3" t="n"/>
      <c r="J644" s="3">
        <f>IF(tblEjecucion[[#This Row],[orden]]="","",tblEjecucion[[#This Row],[orden]]&amp;IF(tblEjecucion[[#This Row],[operacion]]="","0010",tblEjecucion[[#This Row],[operacion]]))</f>
        <v/>
      </c>
    </row>
    <row r="645">
      <c r="A645" s="3" t="n"/>
      <c r="B645" s="3" t="n"/>
      <c r="C645" s="3" t="n"/>
      <c r="D645" s="3" t="n"/>
      <c r="E645" s="3" t="n"/>
      <c r="F645" s="11" t="n"/>
      <c r="G645" s="11" t="n"/>
      <c r="H645" s="11" t="n"/>
      <c r="I645" s="3" t="n"/>
      <c r="J645" s="3">
        <f>IF(tblEjecucion[[#This Row],[orden]]="","",tblEjecucion[[#This Row],[orden]]&amp;IF(tblEjecucion[[#This Row],[operacion]]="","0010",tblEjecucion[[#This Row],[operacion]]))</f>
        <v/>
      </c>
    </row>
    <row r="646">
      <c r="A646" s="3" t="n"/>
      <c r="B646" s="3" t="n"/>
      <c r="C646" s="3" t="n"/>
      <c r="D646" s="3" t="n"/>
      <c r="E646" s="3" t="n"/>
      <c r="F646" s="11" t="n"/>
      <c r="G646" s="11" t="n"/>
      <c r="H646" s="11" t="n"/>
      <c r="I646" s="3" t="n"/>
      <c r="J646" s="3">
        <f>IF(tblEjecucion[[#This Row],[orden]]="","",tblEjecucion[[#This Row],[orden]]&amp;IF(tblEjecucion[[#This Row],[operacion]]="","0010",tblEjecucion[[#This Row],[operacion]]))</f>
        <v/>
      </c>
    </row>
    <row r="647">
      <c r="A647" s="3" t="n"/>
      <c r="B647" s="3" t="n"/>
      <c r="C647" s="3" t="n"/>
      <c r="D647" s="3" t="n"/>
      <c r="E647" s="3" t="n"/>
      <c r="F647" s="11" t="n"/>
      <c r="G647" s="11" t="n"/>
      <c r="H647" s="11" t="n"/>
      <c r="I647" s="3" t="n"/>
      <c r="J647" s="3">
        <f>IF(tblEjecucion[[#This Row],[orden]]="","",tblEjecucion[[#This Row],[orden]]&amp;IF(tblEjecucion[[#This Row],[operacion]]="","0010",tblEjecucion[[#This Row],[operacion]]))</f>
        <v/>
      </c>
    </row>
    <row r="648">
      <c r="A648" s="3" t="n"/>
      <c r="B648" s="3" t="n"/>
      <c r="C648" s="3" t="n"/>
      <c r="D648" s="3" t="n"/>
      <c r="E648" s="3" t="n"/>
      <c r="F648" s="11" t="n"/>
      <c r="G648" s="11" t="n"/>
      <c r="H648" s="11" t="n"/>
      <c r="I648" s="3" t="n"/>
      <c r="J648" s="3">
        <f>IF(tblEjecucion[[#This Row],[orden]]="","",tblEjecucion[[#This Row],[orden]]&amp;IF(tblEjecucion[[#This Row],[operacion]]="","0010",tblEjecucion[[#This Row],[operacion]]))</f>
        <v/>
      </c>
    </row>
    <row r="649">
      <c r="A649" s="3" t="n"/>
      <c r="B649" s="3" t="n"/>
      <c r="C649" s="3" t="n"/>
      <c r="D649" s="3" t="n"/>
      <c r="E649" s="3" t="n"/>
      <c r="F649" s="11" t="n"/>
      <c r="G649" s="11" t="n"/>
      <c r="H649" s="11" t="n"/>
      <c r="I649" s="3" t="n"/>
      <c r="J649" s="3">
        <f>IF(tblEjecucion[[#This Row],[orden]]="","",tblEjecucion[[#This Row],[orden]]&amp;IF(tblEjecucion[[#This Row],[operacion]]="","0010",tblEjecucion[[#This Row],[operacion]]))</f>
        <v/>
      </c>
    </row>
    <row r="650">
      <c r="A650" s="3" t="n"/>
      <c r="B650" s="3" t="n"/>
      <c r="C650" s="3" t="n"/>
      <c r="D650" s="3" t="n"/>
      <c r="E650" s="3" t="n"/>
      <c r="F650" s="11" t="n"/>
      <c r="G650" s="11" t="n"/>
      <c r="H650" s="11" t="n"/>
      <c r="I650" s="3" t="n"/>
      <c r="J650" s="3">
        <f>IF(tblEjecucion[[#This Row],[orden]]="","",tblEjecucion[[#This Row],[orden]]&amp;IF(tblEjecucion[[#This Row],[operacion]]="","0010",tblEjecucion[[#This Row],[operacion]]))</f>
        <v/>
      </c>
    </row>
    <row r="651">
      <c r="A651" s="3" t="n"/>
      <c r="B651" s="3" t="n"/>
      <c r="C651" s="3" t="n"/>
      <c r="D651" s="3" t="n"/>
      <c r="E651" s="3" t="n"/>
      <c r="F651" s="11" t="n"/>
      <c r="G651" s="11" t="n"/>
      <c r="H651" s="11" t="n"/>
      <c r="I651" s="3" t="n"/>
      <c r="J651" s="3">
        <f>IF(tblEjecucion[[#This Row],[orden]]="","",tblEjecucion[[#This Row],[orden]]&amp;IF(tblEjecucion[[#This Row],[operacion]]="","0010",tblEjecucion[[#This Row],[operacion]]))</f>
        <v/>
      </c>
    </row>
    <row r="652">
      <c r="A652" s="3" t="n"/>
      <c r="B652" s="3" t="n"/>
      <c r="C652" s="3" t="n"/>
      <c r="D652" s="3" t="n"/>
      <c r="E652" s="3" t="n"/>
      <c r="F652" s="11" t="n"/>
      <c r="G652" s="11" t="n"/>
      <c r="H652" s="11" t="n"/>
      <c r="I652" s="3" t="n"/>
      <c r="J652" s="3">
        <f>IF(tblEjecucion[[#This Row],[orden]]="","",tblEjecucion[[#This Row],[orden]]&amp;IF(tblEjecucion[[#This Row],[operacion]]="","0010",tblEjecucion[[#This Row],[operacion]]))</f>
        <v/>
      </c>
    </row>
    <row r="653">
      <c r="A653" s="3" t="n"/>
      <c r="B653" s="3" t="n"/>
      <c r="C653" s="3" t="n"/>
      <c r="D653" s="3" t="n"/>
      <c r="E653" s="3" t="n"/>
      <c r="F653" s="11" t="n"/>
      <c r="G653" s="11" t="n"/>
      <c r="H653" s="11" t="n"/>
      <c r="I653" s="3" t="n"/>
      <c r="J653" s="3">
        <f>IF(tblEjecucion[[#This Row],[orden]]="","",tblEjecucion[[#This Row],[orden]]&amp;IF(tblEjecucion[[#This Row],[operacion]]="","0010",tblEjecucion[[#This Row],[operacion]]))</f>
        <v/>
      </c>
    </row>
    <row r="654">
      <c r="A654" s="3" t="n"/>
      <c r="B654" s="3" t="n"/>
      <c r="C654" s="3" t="n"/>
      <c r="D654" s="3" t="n"/>
      <c r="E654" s="3" t="n"/>
      <c r="F654" s="11" t="n"/>
      <c r="G654" s="11" t="n"/>
      <c r="H654" s="11" t="n"/>
      <c r="I654" s="3" t="n"/>
      <c r="J654" s="3">
        <f>IF(tblEjecucion[[#This Row],[orden]]="","",tblEjecucion[[#This Row],[orden]]&amp;IF(tblEjecucion[[#This Row],[operacion]]="","0010",tblEjecucion[[#This Row],[operacion]]))</f>
        <v/>
      </c>
    </row>
    <row r="655">
      <c r="A655" s="3" t="n"/>
      <c r="B655" s="3" t="n"/>
      <c r="C655" s="3" t="n"/>
      <c r="D655" s="3" t="n"/>
      <c r="E655" s="3" t="n"/>
      <c r="F655" s="11" t="n"/>
      <c r="G655" s="11" t="n"/>
      <c r="H655" s="11" t="n"/>
      <c r="I655" s="3" t="n"/>
      <c r="J655" s="3">
        <f>IF(tblEjecucion[[#This Row],[orden]]="","",tblEjecucion[[#This Row],[orden]]&amp;IF(tblEjecucion[[#This Row],[operacion]]="","0010",tblEjecucion[[#This Row],[operacion]]))</f>
        <v/>
      </c>
    </row>
    <row r="656">
      <c r="A656" s="3" t="n"/>
      <c r="B656" s="3" t="n"/>
      <c r="C656" s="3" t="n"/>
      <c r="D656" s="3" t="n"/>
      <c r="E656" s="3" t="n"/>
      <c r="F656" s="11" t="n"/>
      <c r="G656" s="11" t="n"/>
      <c r="H656" s="11" t="n"/>
      <c r="I656" s="3" t="n"/>
      <c r="J656" s="3">
        <f>IF(tblEjecucion[[#This Row],[orden]]="","",tblEjecucion[[#This Row],[orden]]&amp;IF(tblEjecucion[[#This Row],[operacion]]="","0010",tblEjecucion[[#This Row],[operacion]]))</f>
        <v/>
      </c>
    </row>
    <row r="657">
      <c r="A657" s="3" t="n"/>
      <c r="B657" s="3" t="n"/>
      <c r="C657" s="3" t="n"/>
      <c r="D657" s="3" t="n"/>
      <c r="E657" s="3" t="n"/>
      <c r="F657" s="11" t="n"/>
      <c r="G657" s="11" t="n"/>
      <c r="H657" s="11" t="n"/>
      <c r="I657" s="3" t="n"/>
      <c r="J657" s="3">
        <f>IF(tblEjecucion[[#This Row],[orden]]="","",tblEjecucion[[#This Row],[orden]]&amp;IF(tblEjecucion[[#This Row],[operacion]]="","0010",tblEjecucion[[#This Row],[operacion]]))</f>
        <v/>
      </c>
    </row>
    <row r="658">
      <c r="A658" s="3" t="n"/>
      <c r="B658" s="3" t="n"/>
      <c r="C658" s="3" t="n"/>
      <c r="D658" s="3" t="n"/>
      <c r="E658" s="3" t="n"/>
      <c r="F658" s="11" t="n"/>
      <c r="G658" s="11" t="n"/>
      <c r="H658" s="11" t="n"/>
      <c r="I658" s="3" t="n"/>
      <c r="J658" s="3">
        <f>IF(tblEjecucion[[#This Row],[orden]]="","",tblEjecucion[[#This Row],[orden]]&amp;IF(tblEjecucion[[#This Row],[operacion]]="","0010",tblEjecucion[[#This Row],[operacion]]))</f>
        <v/>
      </c>
    </row>
    <row r="659">
      <c r="A659" s="3" t="n"/>
      <c r="B659" s="3" t="n"/>
      <c r="C659" s="3" t="n"/>
      <c r="D659" s="3" t="n"/>
      <c r="E659" s="3" t="n"/>
      <c r="F659" s="11" t="n"/>
      <c r="G659" s="11" t="n"/>
      <c r="H659" s="11" t="n"/>
      <c r="I659" s="3" t="n"/>
      <c r="J659" s="3">
        <f>IF(tblEjecucion[[#This Row],[orden]]="","",tblEjecucion[[#This Row],[orden]]&amp;IF(tblEjecucion[[#This Row],[operacion]]="","0010",tblEjecucion[[#This Row],[operacion]]))</f>
        <v/>
      </c>
    </row>
    <row r="660">
      <c r="A660" s="3" t="n"/>
      <c r="B660" s="3" t="n"/>
      <c r="C660" s="3" t="n"/>
      <c r="D660" s="3" t="n"/>
      <c r="E660" s="3" t="n"/>
      <c r="F660" s="11" t="n"/>
      <c r="G660" s="11" t="n"/>
      <c r="H660" s="11" t="n"/>
      <c r="I660" s="3" t="n"/>
      <c r="J660" s="3">
        <f>IF(tblEjecucion[[#This Row],[orden]]="","",tblEjecucion[[#This Row],[orden]]&amp;IF(tblEjecucion[[#This Row],[operacion]]="","0010",tblEjecucion[[#This Row],[operacion]]))</f>
        <v/>
      </c>
    </row>
    <row r="661">
      <c r="A661" s="3" t="n"/>
      <c r="B661" s="3" t="n"/>
      <c r="C661" s="3" t="n"/>
      <c r="D661" s="3" t="n"/>
      <c r="E661" s="3" t="n"/>
      <c r="F661" s="11" t="n"/>
      <c r="G661" s="11" t="n"/>
      <c r="H661" s="11" t="n"/>
      <c r="I661" s="3" t="n"/>
      <c r="J661" s="3">
        <f>IF(tblEjecucion[[#This Row],[orden]]="","",tblEjecucion[[#This Row],[orden]]&amp;IF(tblEjecucion[[#This Row],[operacion]]="","0010",tblEjecucion[[#This Row],[operacion]]))</f>
        <v/>
      </c>
    </row>
    <row r="662">
      <c r="A662" s="3" t="n"/>
      <c r="B662" s="3" t="n"/>
      <c r="C662" s="3" t="n"/>
      <c r="D662" s="3" t="n"/>
      <c r="E662" s="3" t="n"/>
      <c r="F662" s="11" t="n"/>
      <c r="G662" s="11" t="n"/>
      <c r="H662" s="11" t="n"/>
      <c r="I662" s="3" t="n"/>
      <c r="J662" s="3">
        <f>IF(tblEjecucion[[#This Row],[orden]]="","",tblEjecucion[[#This Row],[orden]]&amp;IF(tblEjecucion[[#This Row],[operacion]]="","0010",tblEjecucion[[#This Row],[operacion]]))</f>
        <v/>
      </c>
    </row>
    <row r="663">
      <c r="A663" s="3" t="n"/>
      <c r="B663" s="3" t="n"/>
      <c r="C663" s="3" t="n"/>
      <c r="D663" s="3" t="n"/>
      <c r="E663" s="3" t="n"/>
      <c r="F663" s="11" t="n"/>
      <c r="G663" s="11" t="n"/>
      <c r="H663" s="11" t="n"/>
      <c r="I663" s="3" t="n"/>
      <c r="J663" s="3">
        <f>IF(tblEjecucion[[#This Row],[orden]]="","",tblEjecucion[[#This Row],[orden]]&amp;IF(tblEjecucion[[#This Row],[operacion]]="","0010",tblEjecucion[[#This Row],[operacion]]))</f>
        <v/>
      </c>
    </row>
    <row r="664">
      <c r="A664" s="3" t="n"/>
      <c r="B664" s="3" t="n"/>
      <c r="C664" s="3" t="n"/>
      <c r="D664" s="3" t="n"/>
      <c r="E664" s="3" t="n"/>
      <c r="F664" s="11" t="n"/>
      <c r="G664" s="11" t="n"/>
      <c r="H664" s="11" t="n"/>
      <c r="I664" s="3" t="n"/>
      <c r="J664" s="3">
        <f>IF(tblEjecucion[[#This Row],[orden]]="","",tblEjecucion[[#This Row],[orden]]&amp;IF(tblEjecucion[[#This Row],[operacion]]="","0010",tblEjecucion[[#This Row],[operacion]]))</f>
        <v/>
      </c>
    </row>
    <row r="665">
      <c r="A665" s="3" t="n"/>
      <c r="B665" s="3" t="n"/>
      <c r="C665" s="3" t="n"/>
      <c r="D665" s="3" t="n"/>
      <c r="E665" s="3" t="n"/>
      <c r="F665" s="11" t="n"/>
      <c r="G665" s="11" t="n"/>
      <c r="H665" s="11" t="n"/>
      <c r="I665" s="3" t="n"/>
      <c r="J665" s="3">
        <f>IF(tblEjecucion[[#This Row],[orden]]="","",tblEjecucion[[#This Row],[orden]]&amp;IF(tblEjecucion[[#This Row],[operacion]]="","0010",tblEjecucion[[#This Row],[operacion]]))</f>
        <v/>
      </c>
    </row>
    <row r="666">
      <c r="A666" s="3" t="n"/>
      <c r="B666" s="3" t="n"/>
      <c r="C666" s="3" t="n"/>
      <c r="D666" s="3" t="n"/>
      <c r="E666" s="3" t="n"/>
      <c r="F666" s="11" t="n"/>
      <c r="G666" s="11" t="n"/>
      <c r="H666" s="11" t="n"/>
      <c r="I666" s="3" t="n"/>
      <c r="J666" s="3">
        <f>IF(tblEjecucion[[#This Row],[orden]]="","",tblEjecucion[[#This Row],[orden]]&amp;IF(tblEjecucion[[#This Row],[operacion]]="","0010",tblEjecucion[[#This Row],[operacion]]))</f>
        <v/>
      </c>
    </row>
    <row r="667">
      <c r="A667" s="3" t="n"/>
      <c r="B667" s="3" t="n"/>
      <c r="C667" s="3" t="n"/>
      <c r="D667" s="3" t="n"/>
      <c r="E667" s="3" t="n"/>
      <c r="F667" s="11" t="n"/>
      <c r="G667" s="11" t="n"/>
      <c r="H667" s="11" t="n"/>
      <c r="I667" s="3" t="n"/>
      <c r="J667" s="3">
        <f>IF(tblEjecucion[[#This Row],[orden]]="","",tblEjecucion[[#This Row],[orden]]&amp;IF(tblEjecucion[[#This Row],[operacion]]="","0010",tblEjecucion[[#This Row],[operacion]]))</f>
        <v/>
      </c>
    </row>
    <row r="668">
      <c r="A668" s="3" t="n"/>
      <c r="B668" s="3" t="n"/>
      <c r="C668" s="3" t="n"/>
      <c r="D668" s="3" t="n"/>
      <c r="E668" s="3" t="n"/>
      <c r="F668" s="11" t="n"/>
      <c r="G668" s="11" t="n"/>
      <c r="H668" s="11" t="n"/>
      <c r="I668" s="3" t="n"/>
      <c r="J668" s="3">
        <f>IF(tblEjecucion[[#This Row],[orden]]="","",tblEjecucion[[#This Row],[orden]]&amp;IF(tblEjecucion[[#This Row],[operacion]]="","0010",tblEjecucion[[#This Row],[operacion]]))</f>
        <v/>
      </c>
    </row>
    <row r="669">
      <c r="A669" s="3" t="n"/>
      <c r="B669" s="3" t="n"/>
      <c r="C669" s="3" t="n"/>
      <c r="D669" s="3" t="n"/>
      <c r="E669" s="3" t="n"/>
      <c r="F669" s="11" t="n"/>
      <c r="G669" s="11" t="n"/>
      <c r="H669" s="11" t="n"/>
      <c r="I669" s="3" t="n"/>
      <c r="J669" s="3">
        <f>IF(tblEjecucion[[#This Row],[orden]]="","",tblEjecucion[[#This Row],[orden]]&amp;IF(tblEjecucion[[#This Row],[operacion]]="","0010",tblEjecucion[[#This Row],[operacion]]))</f>
        <v/>
      </c>
    </row>
    <row r="670">
      <c r="A670" s="3" t="n"/>
      <c r="B670" s="3" t="n"/>
      <c r="C670" s="3" t="n"/>
      <c r="D670" s="3" t="n"/>
      <c r="E670" s="3" t="n"/>
      <c r="F670" s="11" t="n"/>
      <c r="G670" s="11" t="n"/>
      <c r="H670" s="11" t="n"/>
      <c r="I670" s="3" t="n"/>
      <c r="J670" s="3">
        <f>IF(tblEjecucion[[#This Row],[orden]]="","",tblEjecucion[[#This Row],[orden]]&amp;IF(tblEjecucion[[#This Row],[operacion]]="","0010",tblEjecucion[[#This Row],[operacion]]))</f>
        <v/>
      </c>
    </row>
    <row r="671">
      <c r="A671" s="3" t="n"/>
      <c r="B671" s="3" t="n"/>
      <c r="C671" s="3" t="n"/>
      <c r="D671" s="3" t="n"/>
      <c r="E671" s="3" t="n"/>
      <c r="F671" s="11" t="n"/>
      <c r="G671" s="11" t="n"/>
      <c r="H671" s="11" t="n"/>
      <c r="I671" s="3" t="n"/>
      <c r="J671" s="3">
        <f>IF(tblEjecucion[[#This Row],[orden]]="","",tblEjecucion[[#This Row],[orden]]&amp;IF(tblEjecucion[[#This Row],[operacion]]="","0010",tblEjecucion[[#This Row],[operacion]]))</f>
        <v/>
      </c>
    </row>
    <row r="672">
      <c r="A672" s="3" t="n"/>
      <c r="B672" s="3" t="n"/>
      <c r="C672" s="3" t="n"/>
      <c r="D672" s="3" t="n"/>
      <c r="E672" s="3" t="n"/>
      <c r="F672" s="11" t="n"/>
      <c r="G672" s="11" t="n"/>
      <c r="H672" s="11" t="n"/>
      <c r="I672" s="3" t="n"/>
      <c r="J672" s="3">
        <f>IF(tblEjecucion[[#This Row],[orden]]="","",tblEjecucion[[#This Row],[orden]]&amp;IF(tblEjecucion[[#This Row],[operacion]]="","0010",tblEjecucion[[#This Row],[operacion]]))</f>
        <v/>
      </c>
    </row>
    <row r="673">
      <c r="A673" s="3" t="n"/>
      <c r="B673" s="3" t="n"/>
      <c r="C673" s="3" t="n"/>
      <c r="D673" s="3" t="n"/>
      <c r="E673" s="3" t="n"/>
      <c r="F673" s="11" t="n"/>
      <c r="G673" s="11" t="n"/>
      <c r="H673" s="11" t="n"/>
      <c r="I673" s="3" t="n"/>
      <c r="J673" s="3">
        <f>IF(tblEjecucion[[#This Row],[orden]]="","",tblEjecucion[[#This Row],[orden]]&amp;IF(tblEjecucion[[#This Row],[operacion]]="","0010",tblEjecucion[[#This Row],[operacion]]))</f>
        <v/>
      </c>
    </row>
    <row r="674">
      <c r="A674" s="3" t="n"/>
      <c r="B674" s="3" t="n"/>
      <c r="C674" s="3" t="n"/>
      <c r="D674" s="3" t="n"/>
      <c r="E674" s="3" t="n"/>
      <c r="F674" s="11" t="n"/>
      <c r="G674" s="11" t="n"/>
      <c r="H674" s="11" t="n"/>
      <c r="I674" s="3" t="n"/>
      <c r="J674" s="3">
        <f>IF(tblEjecucion[[#This Row],[orden]]="","",tblEjecucion[[#This Row],[orden]]&amp;IF(tblEjecucion[[#This Row],[operacion]]="","0010",tblEjecucion[[#This Row],[operacion]]))</f>
        <v/>
      </c>
    </row>
    <row r="675">
      <c r="A675" s="3" t="n"/>
      <c r="B675" s="3" t="n"/>
      <c r="C675" s="3" t="n"/>
      <c r="D675" s="3" t="n"/>
      <c r="E675" s="3" t="n"/>
      <c r="F675" s="11" t="n"/>
      <c r="G675" s="11" t="n"/>
      <c r="H675" s="11" t="n"/>
      <c r="I675" s="3" t="n"/>
      <c r="J675" s="3">
        <f>IF(tblEjecucion[[#This Row],[orden]]="","",tblEjecucion[[#This Row],[orden]]&amp;IF(tblEjecucion[[#This Row],[operacion]]="","0010",tblEjecucion[[#This Row],[operacion]]))</f>
        <v/>
      </c>
    </row>
    <row r="676">
      <c r="A676" s="3" t="n"/>
      <c r="B676" s="3" t="n"/>
      <c r="C676" s="3" t="n"/>
      <c r="D676" s="3" t="n"/>
      <c r="E676" s="3" t="n"/>
      <c r="F676" s="11" t="n"/>
      <c r="G676" s="11" t="n"/>
      <c r="H676" s="11" t="n"/>
      <c r="I676" s="3" t="n"/>
      <c r="J676" s="3">
        <f>IF(tblEjecucion[[#This Row],[orden]]="","",tblEjecucion[[#This Row],[orden]]&amp;IF(tblEjecucion[[#This Row],[operacion]]="","0010",tblEjecucion[[#This Row],[operacion]]))</f>
        <v/>
      </c>
    </row>
    <row r="677">
      <c r="A677" s="3" t="n"/>
      <c r="B677" s="3" t="n"/>
      <c r="C677" s="3" t="n"/>
      <c r="D677" s="3" t="n"/>
      <c r="E677" s="3" t="n"/>
      <c r="F677" s="11" t="n"/>
      <c r="G677" s="11" t="n"/>
      <c r="H677" s="11" t="n"/>
      <c r="I677" s="3" t="n"/>
      <c r="J677" s="3">
        <f>IF(tblEjecucion[[#This Row],[orden]]="","",tblEjecucion[[#This Row],[orden]]&amp;IF(tblEjecucion[[#This Row],[operacion]]="","0010",tblEjecucion[[#This Row],[operacion]]))</f>
        <v/>
      </c>
    </row>
    <row r="678">
      <c r="A678" s="3" t="n"/>
      <c r="B678" s="3" t="n"/>
      <c r="C678" s="3" t="n"/>
      <c r="D678" s="3" t="n"/>
      <c r="E678" s="3" t="n"/>
      <c r="F678" s="11" t="n"/>
      <c r="G678" s="11" t="n"/>
      <c r="H678" s="11" t="n"/>
      <c r="I678" s="3" t="n"/>
      <c r="J678" s="3">
        <f>IF(tblEjecucion[[#This Row],[orden]]="","",tblEjecucion[[#This Row],[orden]]&amp;IF(tblEjecucion[[#This Row],[operacion]]="","0010",tblEjecucion[[#This Row],[operacion]]))</f>
        <v/>
      </c>
    </row>
    <row r="679">
      <c r="A679" s="3" t="n"/>
      <c r="B679" s="3" t="n"/>
      <c r="C679" s="3" t="n"/>
      <c r="D679" s="3" t="n"/>
      <c r="E679" s="3" t="n"/>
      <c r="F679" s="11" t="n"/>
      <c r="G679" s="11" t="n"/>
      <c r="H679" s="11" t="n"/>
      <c r="I679" s="3" t="n"/>
      <c r="J679" s="3">
        <f>IF(tblEjecucion[[#This Row],[orden]]="","",tblEjecucion[[#This Row],[orden]]&amp;IF(tblEjecucion[[#This Row],[operacion]]="","0010",tblEjecucion[[#This Row],[operacion]]))</f>
        <v/>
      </c>
    </row>
    <row r="680">
      <c r="A680" s="3" t="n"/>
      <c r="B680" s="3" t="n"/>
      <c r="C680" s="3" t="n"/>
      <c r="D680" s="3" t="n"/>
      <c r="E680" s="3" t="n"/>
      <c r="F680" s="11" t="n"/>
      <c r="G680" s="11" t="n"/>
      <c r="H680" s="11" t="n"/>
      <c r="I680" s="3" t="n"/>
      <c r="J680" s="3">
        <f>IF(tblEjecucion[[#This Row],[orden]]="","",tblEjecucion[[#This Row],[orden]]&amp;IF(tblEjecucion[[#This Row],[operacion]]="","0010",tblEjecucion[[#This Row],[operacion]]))</f>
        <v/>
      </c>
    </row>
    <row r="681">
      <c r="A681" s="3" t="n"/>
      <c r="B681" s="3" t="n"/>
      <c r="C681" s="3" t="n"/>
      <c r="D681" s="3" t="n"/>
      <c r="E681" s="3" t="n"/>
      <c r="F681" s="11" t="n"/>
      <c r="G681" s="11" t="n"/>
      <c r="H681" s="11" t="n"/>
      <c r="I681" s="3" t="n"/>
      <c r="J681" s="3">
        <f>IF(tblEjecucion[[#This Row],[orden]]="","",tblEjecucion[[#This Row],[orden]]&amp;IF(tblEjecucion[[#This Row],[operacion]]="","0010",tblEjecucion[[#This Row],[operacion]]))</f>
        <v/>
      </c>
    </row>
    <row r="682">
      <c r="A682" s="3" t="n"/>
      <c r="B682" s="3" t="n"/>
      <c r="C682" s="3" t="n"/>
      <c r="D682" s="3" t="n"/>
      <c r="E682" s="3" t="n"/>
      <c r="F682" s="11" t="n"/>
      <c r="G682" s="11" t="n"/>
      <c r="H682" s="11" t="n"/>
      <c r="I682" s="3" t="n"/>
      <c r="J682" s="3">
        <f>IF(tblEjecucion[[#This Row],[orden]]="","",tblEjecucion[[#This Row],[orden]]&amp;IF(tblEjecucion[[#This Row],[operacion]]="","0010",tblEjecucion[[#This Row],[operacion]]))</f>
        <v/>
      </c>
    </row>
    <row r="683">
      <c r="A683" s="3" t="n"/>
      <c r="B683" s="3" t="n"/>
      <c r="C683" s="3" t="n"/>
      <c r="D683" s="3" t="n"/>
      <c r="E683" s="3" t="n"/>
      <c r="F683" s="11" t="n"/>
      <c r="G683" s="11" t="n"/>
      <c r="H683" s="11" t="n"/>
      <c r="I683" s="3" t="n"/>
      <c r="J683" s="3">
        <f>IF(tblEjecucion[[#This Row],[orden]]="","",tblEjecucion[[#This Row],[orden]]&amp;IF(tblEjecucion[[#This Row],[operacion]]="","0010",tblEjecucion[[#This Row],[operacion]]))</f>
        <v/>
      </c>
    </row>
    <row r="684">
      <c r="A684" s="3" t="n"/>
      <c r="B684" s="3" t="n"/>
      <c r="C684" s="3" t="n"/>
      <c r="D684" s="3" t="n"/>
      <c r="E684" s="3" t="n"/>
      <c r="F684" s="11" t="n"/>
      <c r="G684" s="11" t="n"/>
      <c r="H684" s="11" t="n"/>
      <c r="I684" s="3" t="n"/>
      <c r="J684" s="3">
        <f>IF(tblEjecucion[[#This Row],[orden]]="","",tblEjecucion[[#This Row],[orden]]&amp;IF(tblEjecucion[[#This Row],[operacion]]="","0010",tblEjecucion[[#This Row],[operacion]]))</f>
        <v/>
      </c>
    </row>
    <row r="685">
      <c r="A685" s="3" t="n"/>
      <c r="B685" s="3" t="n"/>
      <c r="C685" s="3" t="n"/>
      <c r="D685" s="3" t="n"/>
      <c r="E685" s="3" t="n"/>
      <c r="F685" s="11" t="n"/>
      <c r="G685" s="11" t="n"/>
      <c r="H685" s="11" t="n"/>
      <c r="I685" s="3" t="n"/>
      <c r="J685" s="3">
        <f>IF(tblEjecucion[[#This Row],[orden]]="","",tblEjecucion[[#This Row],[orden]]&amp;IF(tblEjecucion[[#This Row],[operacion]]="","0010",tblEjecucion[[#This Row],[operacion]]))</f>
        <v/>
      </c>
    </row>
    <row r="686">
      <c r="A686" s="3" t="n"/>
      <c r="B686" s="3" t="n"/>
      <c r="C686" s="3" t="n"/>
      <c r="D686" s="3" t="n"/>
      <c r="E686" s="3" t="n"/>
      <c r="F686" s="11" t="n"/>
      <c r="G686" s="11" t="n"/>
      <c r="H686" s="11" t="n"/>
      <c r="I686" s="3" t="n"/>
      <c r="J686" s="3">
        <f>IF(tblEjecucion[[#This Row],[orden]]="","",tblEjecucion[[#This Row],[orden]]&amp;IF(tblEjecucion[[#This Row],[operacion]]="","0010",tblEjecucion[[#This Row],[operacion]]))</f>
        <v/>
      </c>
    </row>
    <row r="687">
      <c r="A687" s="3" t="n"/>
      <c r="B687" s="3" t="n"/>
      <c r="C687" s="3" t="n"/>
      <c r="D687" s="3" t="n"/>
      <c r="E687" s="3" t="n"/>
      <c r="F687" s="11" t="n"/>
      <c r="G687" s="11" t="n"/>
      <c r="H687" s="11" t="n"/>
      <c r="I687" s="3" t="n"/>
      <c r="J687" s="3">
        <f>IF(tblEjecucion[[#This Row],[orden]]="","",tblEjecucion[[#This Row],[orden]]&amp;IF(tblEjecucion[[#This Row],[operacion]]="","0010",tblEjecucion[[#This Row],[operacion]]))</f>
        <v/>
      </c>
    </row>
    <row r="688">
      <c r="A688" s="3" t="n"/>
      <c r="B688" s="3" t="n"/>
      <c r="C688" s="3" t="n"/>
      <c r="D688" s="3" t="n"/>
      <c r="E688" s="3" t="n"/>
      <c r="F688" s="11" t="n"/>
      <c r="G688" s="11" t="n"/>
      <c r="H688" s="11" t="n"/>
      <c r="I688" s="3" t="n"/>
      <c r="J688" s="3">
        <f>IF(tblEjecucion[[#This Row],[orden]]="","",tblEjecucion[[#This Row],[orden]]&amp;IF(tblEjecucion[[#This Row],[operacion]]="","0010",tblEjecucion[[#This Row],[operacion]]))</f>
        <v/>
      </c>
    </row>
    <row r="689">
      <c r="A689" s="3" t="n"/>
      <c r="B689" s="3" t="n"/>
      <c r="C689" s="3" t="n"/>
      <c r="D689" s="3" t="n"/>
      <c r="E689" s="3" t="n"/>
      <c r="F689" s="11" t="n"/>
      <c r="G689" s="11" t="n"/>
      <c r="H689" s="11" t="n"/>
      <c r="I689" s="3" t="n"/>
      <c r="J689" s="3">
        <f>IF(tblEjecucion[[#This Row],[orden]]="","",tblEjecucion[[#This Row],[orden]]&amp;IF(tblEjecucion[[#This Row],[operacion]]="","0010",tblEjecucion[[#This Row],[operacion]]))</f>
        <v/>
      </c>
    </row>
    <row r="690">
      <c r="A690" s="3" t="n"/>
      <c r="B690" s="3" t="n"/>
      <c r="C690" s="3" t="n"/>
      <c r="D690" s="3" t="n"/>
      <c r="E690" s="3" t="n"/>
      <c r="F690" s="11" t="n"/>
      <c r="G690" s="11" t="n"/>
      <c r="H690" s="11" t="n"/>
      <c r="I690" s="3" t="n"/>
      <c r="J690" s="3">
        <f>IF(tblEjecucion[[#This Row],[orden]]="","",tblEjecucion[[#This Row],[orden]]&amp;IF(tblEjecucion[[#This Row],[operacion]]="","0010",tblEjecucion[[#This Row],[operacion]]))</f>
        <v/>
      </c>
    </row>
    <row r="691">
      <c r="A691" s="3" t="n"/>
      <c r="B691" s="3" t="n"/>
      <c r="C691" s="3" t="n"/>
      <c r="D691" s="3" t="n"/>
      <c r="E691" s="3" t="n"/>
      <c r="F691" s="11" t="n"/>
      <c r="G691" s="11" t="n"/>
      <c r="H691" s="11" t="n"/>
      <c r="I691" s="3" t="n"/>
      <c r="J691" s="3">
        <f>IF(tblEjecucion[[#This Row],[orden]]="","",tblEjecucion[[#This Row],[orden]]&amp;IF(tblEjecucion[[#This Row],[operacion]]="","0010",tblEjecucion[[#This Row],[operacion]]))</f>
        <v/>
      </c>
    </row>
    <row r="692">
      <c r="A692" s="3" t="n"/>
      <c r="B692" s="3" t="n"/>
      <c r="C692" s="3" t="n"/>
      <c r="D692" s="3" t="n"/>
      <c r="E692" s="3" t="n"/>
      <c r="F692" s="11" t="n"/>
      <c r="G692" s="11" t="n"/>
      <c r="H692" s="11" t="n"/>
      <c r="I692" s="3" t="n"/>
      <c r="J692" s="3">
        <f>IF(tblEjecucion[[#This Row],[orden]]="","",tblEjecucion[[#This Row],[orden]]&amp;IF(tblEjecucion[[#This Row],[operacion]]="","0010",tblEjecucion[[#This Row],[operacion]]))</f>
        <v/>
      </c>
    </row>
    <row r="693">
      <c r="A693" s="3" t="n"/>
      <c r="B693" s="3" t="n"/>
      <c r="C693" s="3" t="n"/>
      <c r="D693" s="3" t="n"/>
      <c r="E693" s="3" t="n"/>
      <c r="F693" s="11" t="n"/>
      <c r="G693" s="11" t="n"/>
      <c r="H693" s="11" t="n"/>
      <c r="I693" s="3" t="n"/>
      <c r="J693" s="3">
        <f>IF(tblEjecucion[[#This Row],[orden]]="","",tblEjecucion[[#This Row],[orden]]&amp;IF(tblEjecucion[[#This Row],[operacion]]="","0010",tblEjecucion[[#This Row],[operacion]]))</f>
        <v/>
      </c>
    </row>
    <row r="694">
      <c r="A694" s="3" t="n"/>
      <c r="B694" s="3" t="n"/>
      <c r="C694" s="3" t="n"/>
      <c r="D694" s="3" t="n"/>
      <c r="E694" s="3" t="n"/>
      <c r="F694" s="11" t="n"/>
      <c r="G694" s="11" t="n"/>
      <c r="H694" s="11" t="n"/>
      <c r="I694" s="3" t="n"/>
      <c r="J694" s="3">
        <f>IF(tblEjecucion[[#This Row],[orden]]="","",tblEjecucion[[#This Row],[orden]]&amp;IF(tblEjecucion[[#This Row],[operacion]]="","0010",tblEjecucion[[#This Row],[operacion]]))</f>
        <v/>
      </c>
    </row>
    <row r="695">
      <c r="A695" s="3" t="n"/>
      <c r="B695" s="3" t="n"/>
      <c r="C695" s="3" t="n"/>
      <c r="D695" s="3" t="n"/>
      <c r="E695" s="3" t="n"/>
      <c r="F695" s="11" t="n"/>
      <c r="G695" s="11" t="n"/>
      <c r="H695" s="11" t="n"/>
      <c r="I695" s="3" t="n"/>
      <c r="J695" s="3">
        <f>IF(tblEjecucion[[#This Row],[orden]]="","",tblEjecucion[[#This Row],[orden]]&amp;IF(tblEjecucion[[#This Row],[operacion]]="","0010",tblEjecucion[[#This Row],[operacion]]))</f>
        <v/>
      </c>
    </row>
    <row r="696">
      <c r="A696" s="3" t="n"/>
      <c r="B696" s="3" t="n"/>
      <c r="C696" s="3" t="n"/>
      <c r="D696" s="3" t="n"/>
      <c r="E696" s="3" t="n"/>
      <c r="F696" s="11" t="n"/>
      <c r="G696" s="11" t="n"/>
      <c r="H696" s="11" t="n"/>
      <c r="I696" s="3" t="n"/>
      <c r="J696" s="3">
        <f>IF(tblEjecucion[[#This Row],[orden]]="","",tblEjecucion[[#This Row],[orden]]&amp;IF(tblEjecucion[[#This Row],[operacion]]="","0010",tblEjecucion[[#This Row],[operacion]]))</f>
        <v/>
      </c>
    </row>
    <row r="697">
      <c r="A697" s="3" t="n"/>
      <c r="B697" s="3" t="n"/>
      <c r="C697" s="3" t="n"/>
      <c r="D697" s="3" t="n"/>
      <c r="E697" s="3" t="n"/>
      <c r="F697" s="11" t="n"/>
      <c r="G697" s="11" t="n"/>
      <c r="H697" s="11" t="n"/>
      <c r="I697" s="3" t="n"/>
      <c r="J697" s="3">
        <f>IF(tblEjecucion[[#This Row],[orden]]="","",tblEjecucion[[#This Row],[orden]]&amp;IF(tblEjecucion[[#This Row],[operacion]]="","0010",tblEjecucion[[#This Row],[operacion]]))</f>
        <v/>
      </c>
    </row>
    <row r="698">
      <c r="A698" s="3" t="n"/>
      <c r="B698" s="3" t="n"/>
      <c r="C698" s="3" t="n"/>
      <c r="D698" s="3" t="n"/>
      <c r="E698" s="3" t="n"/>
      <c r="F698" s="11" t="n"/>
      <c r="G698" s="11" t="n"/>
      <c r="H698" s="11" t="n"/>
      <c r="I698" s="3" t="n"/>
      <c r="J698" s="3">
        <f>IF(tblEjecucion[[#This Row],[orden]]="","",tblEjecucion[[#This Row],[orden]]&amp;IF(tblEjecucion[[#This Row],[operacion]]="","0010",tblEjecucion[[#This Row],[operacion]]))</f>
        <v/>
      </c>
    </row>
    <row r="699">
      <c r="A699" s="3" t="n"/>
      <c r="B699" s="3" t="n"/>
      <c r="C699" s="3" t="n"/>
      <c r="D699" s="3" t="n"/>
      <c r="E699" s="3" t="n"/>
      <c r="F699" s="11" t="n"/>
      <c r="G699" s="11" t="n"/>
      <c r="H699" s="11" t="n"/>
      <c r="I699" s="3" t="n"/>
      <c r="J699" s="3">
        <f>IF(tblEjecucion[[#This Row],[orden]]="","",tblEjecucion[[#This Row],[orden]]&amp;IF(tblEjecucion[[#This Row],[operacion]]="","0010",tblEjecucion[[#This Row],[operacion]]))</f>
        <v/>
      </c>
    </row>
    <row r="700">
      <c r="A700" s="3" t="n"/>
      <c r="B700" s="3" t="n"/>
      <c r="C700" s="3" t="n"/>
      <c r="D700" s="3" t="n"/>
      <c r="E700" s="3" t="n"/>
      <c r="F700" s="11" t="n"/>
      <c r="G700" s="11" t="n"/>
      <c r="H700" s="11" t="n"/>
      <c r="I700" s="3" t="n"/>
      <c r="J700" s="3">
        <f>IF(tblEjecucion[[#This Row],[orden]]="","",tblEjecucion[[#This Row],[orden]]&amp;IF(tblEjecucion[[#This Row],[operacion]]="","0010",tblEjecucion[[#This Row],[operacion]]))</f>
        <v/>
      </c>
    </row>
    <row r="701">
      <c r="A701" s="3" t="n"/>
      <c r="B701" s="3" t="n"/>
      <c r="C701" s="3" t="n"/>
      <c r="D701" s="3" t="n"/>
      <c r="E701" s="3" t="n"/>
      <c r="F701" s="11" t="n"/>
      <c r="G701" s="11" t="n"/>
      <c r="H701" s="11" t="n"/>
      <c r="I701" s="3" t="n"/>
      <c r="J701" s="3">
        <f>IF(tblEjecucion[[#This Row],[orden]]="","",tblEjecucion[[#This Row],[orden]]&amp;IF(tblEjecucion[[#This Row],[operacion]]="","0010",tblEjecucion[[#This Row],[operacion]]))</f>
        <v/>
      </c>
    </row>
    <row r="702">
      <c r="A702" s="3" t="n"/>
      <c r="B702" s="3" t="n"/>
      <c r="C702" s="3" t="n"/>
      <c r="D702" s="3" t="n"/>
      <c r="E702" s="3" t="n"/>
      <c r="F702" s="11" t="n"/>
      <c r="G702" s="11" t="n"/>
      <c r="H702" s="11" t="n"/>
      <c r="I702" s="3" t="n"/>
      <c r="J702" s="3">
        <f>IF(tblEjecucion[[#This Row],[orden]]="","",tblEjecucion[[#This Row],[orden]]&amp;IF(tblEjecucion[[#This Row],[operacion]]="","0010",tblEjecucion[[#This Row],[operacion]]))</f>
        <v/>
      </c>
    </row>
    <row r="703">
      <c r="A703" s="3" t="n"/>
      <c r="B703" s="3" t="n"/>
      <c r="C703" s="3" t="n"/>
      <c r="D703" s="3" t="n"/>
      <c r="E703" s="3" t="n"/>
      <c r="F703" s="11" t="n"/>
      <c r="G703" s="11" t="n"/>
      <c r="H703" s="11" t="n"/>
      <c r="I703" s="3" t="n"/>
      <c r="J703" s="3">
        <f>IF(tblEjecucion[[#This Row],[orden]]="","",tblEjecucion[[#This Row],[orden]]&amp;IF(tblEjecucion[[#This Row],[operacion]]="","0010",tblEjecucion[[#This Row],[operacion]]))</f>
        <v/>
      </c>
    </row>
    <row r="704">
      <c r="A704" s="3" t="n"/>
      <c r="B704" s="3" t="n"/>
      <c r="C704" s="3" t="n"/>
      <c r="D704" s="3" t="n"/>
      <c r="E704" s="3" t="n"/>
      <c r="F704" s="11" t="n"/>
      <c r="G704" s="11" t="n"/>
      <c r="H704" s="11" t="n"/>
      <c r="I704" s="3" t="n"/>
      <c r="J704" s="3">
        <f>IF(tblEjecucion[[#This Row],[orden]]="","",tblEjecucion[[#This Row],[orden]]&amp;IF(tblEjecucion[[#This Row],[operacion]]="","0010",tblEjecucion[[#This Row],[operacion]]))</f>
        <v/>
      </c>
    </row>
    <row r="705">
      <c r="A705" s="3" t="n"/>
      <c r="B705" s="3" t="n"/>
      <c r="C705" s="3" t="n"/>
      <c r="D705" s="3" t="n"/>
      <c r="E705" s="3" t="n"/>
      <c r="F705" s="11" t="n"/>
      <c r="G705" s="11" t="n"/>
      <c r="H705" s="11" t="n"/>
      <c r="I705" s="3" t="n"/>
      <c r="J705" s="3">
        <f>IF(tblEjecucion[[#This Row],[orden]]="","",tblEjecucion[[#This Row],[orden]]&amp;IF(tblEjecucion[[#This Row],[operacion]]="","0010",tblEjecucion[[#This Row],[operacion]]))</f>
        <v/>
      </c>
    </row>
    <row r="706">
      <c r="A706" s="3" t="n"/>
      <c r="B706" s="3" t="n"/>
      <c r="C706" s="3" t="n"/>
      <c r="D706" s="3" t="n"/>
      <c r="E706" s="3" t="n"/>
      <c r="F706" s="11" t="n"/>
      <c r="G706" s="11" t="n"/>
      <c r="H706" s="11" t="n"/>
      <c r="I706" s="3" t="n"/>
      <c r="J706" s="3">
        <f>IF(tblEjecucion[[#This Row],[orden]]="","",tblEjecucion[[#This Row],[orden]]&amp;IF(tblEjecucion[[#This Row],[operacion]]="","0010",tblEjecucion[[#This Row],[operacion]]))</f>
        <v/>
      </c>
    </row>
    <row r="707">
      <c r="A707" s="3" t="n"/>
      <c r="B707" s="3" t="n"/>
      <c r="C707" s="3" t="n"/>
      <c r="D707" s="3" t="n"/>
      <c r="E707" s="3" t="n"/>
      <c r="F707" s="11" t="n"/>
      <c r="G707" s="11" t="n"/>
      <c r="H707" s="11" t="n"/>
      <c r="I707" s="3" t="n"/>
      <c r="J707" s="3">
        <f>IF(tblEjecucion[[#This Row],[orden]]="","",tblEjecucion[[#This Row],[orden]]&amp;IF(tblEjecucion[[#This Row],[operacion]]="","0010",tblEjecucion[[#This Row],[operacion]]))</f>
        <v/>
      </c>
    </row>
    <row r="708">
      <c r="A708" s="3" t="n"/>
      <c r="B708" s="3" t="n"/>
      <c r="C708" s="3" t="n"/>
      <c r="D708" s="3" t="n"/>
      <c r="E708" s="3" t="n"/>
      <c r="F708" s="11" t="n"/>
      <c r="G708" s="11" t="n"/>
      <c r="H708" s="11" t="n"/>
      <c r="I708" s="3" t="n"/>
      <c r="J708" s="3">
        <f>IF(tblEjecucion[[#This Row],[orden]]="","",tblEjecucion[[#This Row],[orden]]&amp;IF(tblEjecucion[[#This Row],[operacion]]="","0010",tblEjecucion[[#This Row],[operacion]]))</f>
        <v/>
      </c>
    </row>
    <row r="709">
      <c r="A709" s="3" t="n"/>
      <c r="B709" s="3" t="n"/>
      <c r="C709" s="3" t="n"/>
      <c r="D709" s="3" t="n"/>
      <c r="E709" s="3" t="n"/>
      <c r="F709" s="11" t="n"/>
      <c r="G709" s="11" t="n"/>
      <c r="H709" s="11" t="n"/>
      <c r="I709" s="3" t="n"/>
      <c r="J709" s="3">
        <f>IF(tblEjecucion[[#This Row],[orden]]="","",tblEjecucion[[#This Row],[orden]]&amp;IF(tblEjecucion[[#This Row],[operacion]]="","0010",tblEjecucion[[#This Row],[operacion]]))</f>
        <v/>
      </c>
    </row>
    <row r="710">
      <c r="A710" s="3" t="n"/>
      <c r="B710" s="3" t="n"/>
      <c r="C710" s="3" t="n"/>
      <c r="D710" s="3" t="n"/>
      <c r="E710" s="3" t="n"/>
      <c r="F710" s="11" t="n"/>
      <c r="G710" s="11" t="n"/>
      <c r="H710" s="11" t="n"/>
      <c r="I710" s="3" t="n"/>
      <c r="J710" s="3">
        <f>IF(tblEjecucion[[#This Row],[orden]]="","",tblEjecucion[[#This Row],[orden]]&amp;IF(tblEjecucion[[#This Row],[operacion]]="","0010",tblEjecucion[[#This Row],[operacion]]))</f>
        <v/>
      </c>
    </row>
    <row r="711">
      <c r="A711" s="3" t="n"/>
      <c r="B711" s="3" t="n"/>
      <c r="C711" s="3" t="n"/>
      <c r="D711" s="3" t="n"/>
      <c r="E711" s="3" t="n"/>
      <c r="F711" s="11" t="n"/>
      <c r="G711" s="11" t="n"/>
      <c r="H711" s="11" t="n"/>
      <c r="I711" s="3" t="n"/>
      <c r="J711" s="3">
        <f>IF(tblEjecucion[[#This Row],[orden]]="","",tblEjecucion[[#This Row],[orden]]&amp;IF(tblEjecucion[[#This Row],[operacion]]="","0010",tblEjecucion[[#This Row],[operacion]]))</f>
        <v/>
      </c>
    </row>
    <row r="712">
      <c r="A712" s="3" t="n"/>
      <c r="B712" s="3" t="n"/>
      <c r="C712" s="3" t="n"/>
      <c r="D712" s="3" t="n"/>
      <c r="E712" s="3" t="n"/>
      <c r="F712" s="11" t="n"/>
      <c r="G712" s="11" t="n"/>
      <c r="H712" s="11" t="n"/>
      <c r="I712" s="3" t="n"/>
      <c r="J712" s="3">
        <f>IF(tblEjecucion[[#This Row],[orden]]="","",tblEjecucion[[#This Row],[orden]]&amp;IF(tblEjecucion[[#This Row],[operacion]]="","0010",tblEjecucion[[#This Row],[operacion]]))</f>
        <v/>
      </c>
    </row>
    <row r="713">
      <c r="A713" s="3" t="n"/>
      <c r="B713" s="3" t="n"/>
      <c r="C713" s="3" t="n"/>
      <c r="D713" s="3" t="n"/>
      <c r="E713" s="3" t="n"/>
      <c r="F713" s="11" t="n"/>
      <c r="G713" s="11" t="n"/>
      <c r="H713" s="11" t="n"/>
      <c r="I713" s="3" t="n"/>
      <c r="J713" s="3">
        <f>IF(tblEjecucion[[#This Row],[orden]]="","",tblEjecucion[[#This Row],[orden]]&amp;IF(tblEjecucion[[#This Row],[operacion]]="","0010",tblEjecucion[[#This Row],[operacion]]))</f>
        <v/>
      </c>
    </row>
    <row r="714">
      <c r="A714" s="3" t="n"/>
      <c r="B714" s="3" t="n"/>
      <c r="C714" s="3" t="n"/>
      <c r="D714" s="3" t="n"/>
      <c r="E714" s="3" t="n"/>
      <c r="F714" s="11" t="n"/>
      <c r="G714" s="11" t="n"/>
      <c r="H714" s="11" t="n"/>
      <c r="I714" s="3" t="n"/>
      <c r="J714" s="3">
        <f>IF(tblEjecucion[[#This Row],[orden]]="","",tblEjecucion[[#This Row],[orden]]&amp;IF(tblEjecucion[[#This Row],[operacion]]="","0010",tblEjecucion[[#This Row],[operacion]]))</f>
        <v/>
      </c>
    </row>
    <row r="715">
      <c r="A715" s="3" t="n"/>
      <c r="B715" s="3" t="n"/>
      <c r="C715" s="3" t="n"/>
      <c r="D715" s="3" t="n"/>
      <c r="E715" s="3" t="n"/>
      <c r="F715" s="11" t="n"/>
      <c r="G715" s="11" t="n"/>
      <c r="H715" s="11" t="n"/>
      <c r="I715" s="3" t="n"/>
      <c r="J715" s="3">
        <f>IF(tblEjecucion[[#This Row],[orden]]="","",tblEjecucion[[#This Row],[orden]]&amp;IF(tblEjecucion[[#This Row],[operacion]]="","0010",tblEjecucion[[#This Row],[operacion]]))</f>
        <v/>
      </c>
    </row>
    <row r="716">
      <c r="A716" s="3" t="n"/>
      <c r="B716" s="3" t="n"/>
      <c r="C716" s="3" t="n"/>
      <c r="D716" s="3" t="n"/>
      <c r="E716" s="3" t="n"/>
      <c r="F716" s="11" t="n"/>
      <c r="G716" s="11" t="n"/>
      <c r="H716" s="11" t="n"/>
      <c r="I716" s="3" t="n"/>
      <c r="J716" s="3">
        <f>IF(tblEjecucion[[#This Row],[orden]]="","",tblEjecucion[[#This Row],[orden]]&amp;IF(tblEjecucion[[#This Row],[operacion]]="","0010",tblEjecucion[[#This Row],[operacion]]))</f>
        <v/>
      </c>
    </row>
    <row r="717">
      <c r="A717" s="3" t="n"/>
      <c r="B717" s="3" t="n"/>
      <c r="C717" s="3" t="n"/>
      <c r="D717" s="3" t="n"/>
      <c r="E717" s="3" t="n"/>
      <c r="F717" s="11" t="n"/>
      <c r="G717" s="11" t="n"/>
      <c r="H717" s="11" t="n"/>
      <c r="I717" s="3" t="n"/>
      <c r="J717" s="3">
        <f>IF(tblEjecucion[[#This Row],[orden]]="","",tblEjecucion[[#This Row],[orden]]&amp;IF(tblEjecucion[[#This Row],[operacion]]="","0010",tblEjecucion[[#This Row],[operacion]]))</f>
        <v/>
      </c>
    </row>
    <row r="718">
      <c r="A718" s="3" t="n"/>
      <c r="B718" s="3" t="n"/>
      <c r="C718" s="3" t="n"/>
      <c r="D718" s="3" t="n"/>
      <c r="E718" s="3" t="n"/>
      <c r="F718" s="11" t="n"/>
      <c r="G718" s="11" t="n"/>
      <c r="H718" s="11" t="n"/>
      <c r="I718" s="3" t="n"/>
      <c r="J718" s="3">
        <f>IF(tblEjecucion[[#This Row],[orden]]="","",tblEjecucion[[#This Row],[orden]]&amp;IF(tblEjecucion[[#This Row],[operacion]]="","0010",tblEjecucion[[#This Row],[operacion]]))</f>
        <v/>
      </c>
    </row>
    <row r="719">
      <c r="A719" s="3" t="n"/>
      <c r="B719" s="3" t="n"/>
      <c r="C719" s="3" t="n"/>
      <c r="D719" s="3" t="n"/>
      <c r="E719" s="3" t="n"/>
      <c r="F719" s="11" t="n"/>
      <c r="G719" s="11" t="n"/>
      <c r="H719" s="11" t="n"/>
      <c r="I719" s="3" t="n"/>
      <c r="J719" s="3">
        <f>IF(tblEjecucion[[#This Row],[orden]]="","",tblEjecucion[[#This Row],[orden]]&amp;IF(tblEjecucion[[#This Row],[operacion]]="","0010",tblEjecucion[[#This Row],[operacion]]))</f>
        <v/>
      </c>
    </row>
    <row r="720">
      <c r="A720" s="3" t="n"/>
      <c r="B720" s="3" t="n"/>
      <c r="C720" s="3" t="n"/>
      <c r="D720" s="3" t="n"/>
      <c r="E720" s="3" t="n"/>
      <c r="F720" s="11" t="n"/>
      <c r="G720" s="11" t="n"/>
      <c r="H720" s="11" t="n"/>
      <c r="I720" s="3" t="n"/>
      <c r="J720" s="3">
        <f>IF(tblEjecucion[[#This Row],[orden]]="","",tblEjecucion[[#This Row],[orden]]&amp;IF(tblEjecucion[[#This Row],[operacion]]="","0010",tblEjecucion[[#This Row],[operacion]]))</f>
        <v/>
      </c>
    </row>
    <row r="721">
      <c r="A721" s="3" t="n"/>
      <c r="B721" s="3" t="n"/>
      <c r="C721" s="3" t="n"/>
      <c r="D721" s="3" t="n"/>
      <c r="E721" s="3" t="n"/>
      <c r="F721" s="11" t="n"/>
      <c r="G721" s="11" t="n"/>
      <c r="H721" s="11" t="n"/>
      <c r="I721" s="3" t="n"/>
      <c r="J721" s="3">
        <f>IF(tblEjecucion[[#This Row],[orden]]="","",tblEjecucion[[#This Row],[orden]]&amp;IF(tblEjecucion[[#This Row],[operacion]]="","0010",tblEjecucion[[#This Row],[operacion]]))</f>
        <v/>
      </c>
    </row>
    <row r="722">
      <c r="A722" s="3" t="n"/>
      <c r="B722" s="3" t="n"/>
      <c r="C722" s="3" t="n"/>
      <c r="D722" s="3" t="n"/>
      <c r="E722" s="3" t="n"/>
      <c r="F722" s="11" t="n"/>
      <c r="G722" s="11" t="n"/>
      <c r="H722" s="11" t="n"/>
      <c r="I722" s="3" t="n"/>
      <c r="J722" s="3">
        <f>IF(tblEjecucion[[#This Row],[orden]]="","",tblEjecucion[[#This Row],[orden]]&amp;IF(tblEjecucion[[#This Row],[operacion]]="","0010",tblEjecucion[[#This Row],[operacion]]))</f>
        <v/>
      </c>
    </row>
    <row r="723">
      <c r="A723" s="3" t="n"/>
      <c r="B723" s="3" t="n"/>
      <c r="C723" s="3" t="n"/>
      <c r="D723" s="3" t="n"/>
      <c r="E723" s="3" t="n"/>
      <c r="F723" s="11" t="n"/>
      <c r="G723" s="11" t="n"/>
      <c r="H723" s="11" t="n"/>
      <c r="I723" s="3" t="n"/>
      <c r="J723" s="3">
        <f>IF(tblEjecucion[[#This Row],[orden]]="","",tblEjecucion[[#This Row],[orden]]&amp;IF(tblEjecucion[[#This Row],[operacion]]="","0010",tblEjecucion[[#This Row],[operacion]]))</f>
        <v/>
      </c>
    </row>
    <row r="724">
      <c r="A724" s="3" t="n"/>
      <c r="B724" s="3" t="n"/>
      <c r="C724" s="3" t="n"/>
      <c r="D724" s="3" t="n"/>
      <c r="E724" s="3" t="n"/>
      <c r="F724" s="11" t="n"/>
      <c r="G724" s="11" t="n"/>
      <c r="H724" s="11" t="n"/>
      <c r="I724" s="3" t="n"/>
      <c r="J724" s="3">
        <f>IF(tblEjecucion[[#This Row],[orden]]="","",tblEjecucion[[#This Row],[orden]]&amp;IF(tblEjecucion[[#This Row],[operacion]]="","0010",tblEjecucion[[#This Row],[operacion]]))</f>
        <v/>
      </c>
    </row>
    <row r="725">
      <c r="A725" s="3" t="n"/>
      <c r="B725" s="3" t="n"/>
      <c r="C725" s="3" t="n"/>
      <c r="D725" s="3" t="n"/>
      <c r="E725" s="3" t="n"/>
      <c r="F725" s="11" t="n"/>
      <c r="G725" s="11" t="n"/>
      <c r="H725" s="11" t="n"/>
      <c r="I725" s="3" t="n"/>
      <c r="J725" s="3">
        <f>IF(tblEjecucion[[#This Row],[orden]]="","",tblEjecucion[[#This Row],[orden]]&amp;IF(tblEjecucion[[#This Row],[operacion]]="","0010",tblEjecucion[[#This Row],[operacion]]))</f>
        <v/>
      </c>
    </row>
    <row r="726">
      <c r="A726" s="3" t="n"/>
      <c r="B726" s="3" t="n"/>
      <c r="C726" s="3" t="n"/>
      <c r="D726" s="3" t="n"/>
      <c r="E726" s="3" t="n"/>
      <c r="F726" s="11" t="n"/>
      <c r="G726" s="11" t="n"/>
      <c r="H726" s="11" t="n"/>
      <c r="I726" s="3" t="n"/>
      <c r="J726" s="3">
        <f>IF(tblEjecucion[[#This Row],[orden]]="","",tblEjecucion[[#This Row],[orden]]&amp;IF(tblEjecucion[[#This Row],[operacion]]="","0010",tblEjecucion[[#This Row],[operacion]]))</f>
        <v/>
      </c>
    </row>
    <row r="727">
      <c r="A727" s="3" t="n"/>
      <c r="B727" s="3" t="n"/>
      <c r="C727" s="3" t="n"/>
      <c r="D727" s="3" t="n"/>
      <c r="E727" s="3" t="n"/>
      <c r="F727" s="11" t="n"/>
      <c r="G727" s="11" t="n"/>
      <c r="H727" s="11" t="n"/>
      <c r="I727" s="3" t="n"/>
      <c r="J727" s="3">
        <f>IF(tblEjecucion[[#This Row],[orden]]="","",tblEjecucion[[#This Row],[orden]]&amp;IF(tblEjecucion[[#This Row],[operacion]]="","0010",tblEjecucion[[#This Row],[operacion]]))</f>
        <v/>
      </c>
    </row>
    <row r="728">
      <c r="A728" s="3" t="n"/>
      <c r="B728" s="3" t="n"/>
      <c r="C728" s="3" t="n"/>
      <c r="D728" s="3" t="n"/>
      <c r="E728" s="3" t="n"/>
      <c r="F728" s="11" t="n"/>
      <c r="G728" s="11" t="n"/>
      <c r="H728" s="11" t="n"/>
      <c r="I728" s="3" t="n"/>
      <c r="J728" s="3">
        <f>IF(tblEjecucion[[#This Row],[orden]]="","",tblEjecucion[[#This Row],[orden]]&amp;IF(tblEjecucion[[#This Row],[operacion]]="","0010",tblEjecucion[[#This Row],[operacion]]))</f>
        <v/>
      </c>
    </row>
    <row r="729">
      <c r="A729" s="3" t="n"/>
      <c r="B729" s="3" t="n"/>
      <c r="C729" s="3" t="n"/>
      <c r="D729" s="3" t="n"/>
      <c r="E729" s="3" t="n"/>
      <c r="F729" s="11" t="n"/>
      <c r="G729" s="11" t="n"/>
      <c r="H729" s="11" t="n"/>
      <c r="I729" s="3" t="n"/>
      <c r="J729" s="3">
        <f>IF(tblEjecucion[[#This Row],[orden]]="","",tblEjecucion[[#This Row],[orden]]&amp;IF(tblEjecucion[[#This Row],[operacion]]="","0010",tblEjecucion[[#This Row],[operacion]]))</f>
        <v/>
      </c>
    </row>
    <row r="730">
      <c r="A730" s="3" t="n"/>
      <c r="B730" s="3" t="n"/>
      <c r="C730" s="3" t="n"/>
      <c r="D730" s="3" t="n"/>
      <c r="E730" s="3" t="n"/>
      <c r="F730" s="11" t="n"/>
      <c r="G730" s="11" t="n"/>
      <c r="H730" s="11" t="n"/>
      <c r="I730" s="3" t="n"/>
      <c r="J730" s="3">
        <f>IF(tblEjecucion[[#This Row],[orden]]="","",tblEjecucion[[#This Row],[orden]]&amp;IF(tblEjecucion[[#This Row],[operacion]]="","0010",tblEjecucion[[#This Row],[operacion]]))</f>
        <v/>
      </c>
    </row>
    <row r="731">
      <c r="A731" s="3" t="n"/>
      <c r="B731" s="3" t="n"/>
      <c r="C731" s="3" t="n"/>
      <c r="D731" s="3" t="n"/>
      <c r="E731" s="3" t="n"/>
      <c r="F731" s="11" t="n"/>
      <c r="G731" s="11" t="n"/>
      <c r="H731" s="11" t="n"/>
      <c r="I731" s="3" t="n"/>
      <c r="J731" s="3">
        <f>IF(tblEjecucion[[#This Row],[orden]]="","",tblEjecucion[[#This Row],[orden]]&amp;IF(tblEjecucion[[#This Row],[operacion]]="","0010",tblEjecucion[[#This Row],[operacion]]))</f>
        <v/>
      </c>
    </row>
    <row r="732">
      <c r="A732" s="3" t="n"/>
      <c r="B732" s="3" t="n"/>
      <c r="C732" s="3" t="n"/>
      <c r="D732" s="3" t="n"/>
      <c r="E732" s="3" t="n"/>
      <c r="F732" s="11" t="n"/>
      <c r="G732" s="11" t="n"/>
      <c r="H732" s="11" t="n"/>
      <c r="I732" s="3" t="n"/>
      <c r="J732" s="3">
        <f>IF(tblEjecucion[[#This Row],[orden]]="","",tblEjecucion[[#This Row],[orden]]&amp;IF(tblEjecucion[[#This Row],[operacion]]="","0010",tblEjecucion[[#This Row],[operacion]]))</f>
        <v/>
      </c>
    </row>
    <row r="733">
      <c r="A733" s="3" t="n"/>
      <c r="B733" s="3" t="n"/>
      <c r="C733" s="3" t="n"/>
      <c r="D733" s="3" t="n"/>
      <c r="E733" s="3" t="n"/>
      <c r="F733" s="11" t="n"/>
      <c r="G733" s="11" t="n"/>
      <c r="H733" s="11" t="n"/>
      <c r="I733" s="3" t="n"/>
      <c r="J733" s="3">
        <f>IF(tblEjecucion[[#This Row],[orden]]="","",tblEjecucion[[#This Row],[orden]]&amp;IF(tblEjecucion[[#This Row],[operacion]]="","0010",tblEjecucion[[#This Row],[operacion]]))</f>
        <v/>
      </c>
    </row>
    <row r="734">
      <c r="A734" s="3" t="n"/>
      <c r="B734" s="3" t="n"/>
      <c r="C734" s="3" t="n"/>
      <c r="D734" s="3" t="n"/>
      <c r="E734" s="3" t="n"/>
      <c r="F734" s="11" t="n"/>
      <c r="G734" s="11" t="n"/>
      <c r="H734" s="11" t="n"/>
      <c r="I734" s="3" t="n"/>
      <c r="J734" s="3">
        <f>IF(tblEjecucion[[#This Row],[orden]]="","",tblEjecucion[[#This Row],[orden]]&amp;IF(tblEjecucion[[#This Row],[operacion]]="","0010",tblEjecucion[[#This Row],[operacion]]))</f>
        <v/>
      </c>
    </row>
    <row r="735">
      <c r="A735" s="3" t="n"/>
      <c r="B735" s="3" t="n"/>
      <c r="C735" s="3" t="n"/>
      <c r="D735" s="3" t="n"/>
      <c r="E735" s="3" t="n"/>
      <c r="F735" s="11" t="n"/>
      <c r="G735" s="11" t="n"/>
      <c r="H735" s="11" t="n"/>
      <c r="I735" s="3" t="n"/>
      <c r="J735" s="3">
        <f>IF(tblEjecucion[[#This Row],[orden]]="","",tblEjecucion[[#This Row],[orden]]&amp;IF(tblEjecucion[[#This Row],[operacion]]="","0010",tblEjecucion[[#This Row],[operacion]]))</f>
        <v/>
      </c>
    </row>
    <row r="736">
      <c r="A736" s="3" t="n"/>
      <c r="B736" s="3" t="n"/>
      <c r="C736" s="3" t="n"/>
      <c r="D736" s="3" t="n"/>
      <c r="E736" s="3" t="n"/>
      <c r="F736" s="11" t="n"/>
      <c r="G736" s="11" t="n"/>
      <c r="H736" s="11" t="n"/>
      <c r="I736" s="3" t="n"/>
      <c r="J736" s="3">
        <f>IF(tblEjecucion[[#This Row],[orden]]="","",tblEjecucion[[#This Row],[orden]]&amp;IF(tblEjecucion[[#This Row],[operacion]]="","0010",tblEjecucion[[#This Row],[operacion]]))</f>
        <v/>
      </c>
    </row>
    <row r="737">
      <c r="A737" s="3" t="n"/>
      <c r="B737" s="3" t="n"/>
      <c r="C737" s="3" t="n"/>
      <c r="D737" s="3" t="n"/>
      <c r="E737" s="3" t="n"/>
      <c r="F737" s="11" t="n"/>
      <c r="G737" s="11" t="n"/>
      <c r="H737" s="11" t="n"/>
      <c r="I737" s="3" t="n"/>
      <c r="J737" s="3">
        <f>IF(tblEjecucion[[#This Row],[orden]]="","",tblEjecucion[[#This Row],[orden]]&amp;IF(tblEjecucion[[#This Row],[operacion]]="","0010",tblEjecucion[[#This Row],[operacion]]))</f>
        <v/>
      </c>
    </row>
    <row r="738">
      <c r="A738" s="3" t="n"/>
      <c r="B738" s="3" t="n"/>
      <c r="C738" s="3" t="n"/>
      <c r="D738" s="3" t="n"/>
      <c r="E738" s="3" t="n"/>
      <c r="F738" s="11" t="n"/>
      <c r="G738" s="11" t="n"/>
      <c r="H738" s="11" t="n"/>
      <c r="I738" s="3" t="n"/>
      <c r="J738" s="3">
        <f>IF(tblEjecucion[[#This Row],[orden]]="","",tblEjecucion[[#This Row],[orden]]&amp;IF(tblEjecucion[[#This Row],[operacion]]="","0010",tblEjecucion[[#This Row],[operacion]]))</f>
        <v/>
      </c>
    </row>
    <row r="739">
      <c r="A739" s="3" t="n"/>
      <c r="B739" s="3" t="n"/>
      <c r="C739" s="3" t="n"/>
      <c r="D739" s="3" t="n"/>
      <c r="E739" s="3" t="n"/>
      <c r="F739" s="11" t="n"/>
      <c r="G739" s="11" t="n"/>
      <c r="H739" s="11" t="n"/>
      <c r="I739" s="3" t="n"/>
      <c r="J739" s="3">
        <f>IF(tblEjecucion[[#This Row],[orden]]="","",tblEjecucion[[#This Row],[orden]]&amp;IF(tblEjecucion[[#This Row],[operacion]]="","0010",tblEjecucion[[#This Row],[operacion]]))</f>
        <v/>
      </c>
    </row>
    <row r="740">
      <c r="A740" s="3" t="n"/>
      <c r="B740" s="3" t="n"/>
      <c r="C740" s="3" t="n"/>
      <c r="D740" s="3" t="n"/>
      <c r="E740" s="3" t="n"/>
      <c r="F740" s="11" t="n"/>
      <c r="G740" s="11" t="n"/>
      <c r="H740" s="11" t="n"/>
      <c r="I740" s="3" t="n"/>
      <c r="J740" s="3">
        <f>IF(tblEjecucion[[#This Row],[orden]]="","",tblEjecucion[[#This Row],[orden]]&amp;IF(tblEjecucion[[#This Row],[operacion]]="","0010",tblEjecucion[[#This Row],[operacion]]))</f>
        <v/>
      </c>
    </row>
    <row r="741">
      <c r="A741" s="3" t="n"/>
      <c r="B741" s="3" t="n"/>
      <c r="C741" s="3" t="n"/>
      <c r="D741" s="3" t="n"/>
      <c r="E741" s="3" t="n"/>
      <c r="F741" s="11" t="n"/>
      <c r="G741" s="11" t="n"/>
      <c r="H741" s="11" t="n"/>
      <c r="I741" s="3" t="n"/>
      <c r="J741" s="3">
        <f>IF(tblEjecucion[[#This Row],[orden]]="","",tblEjecucion[[#This Row],[orden]]&amp;IF(tblEjecucion[[#This Row],[operacion]]="","0010",tblEjecucion[[#This Row],[operacion]]))</f>
        <v/>
      </c>
    </row>
    <row r="742">
      <c r="A742" s="3" t="n"/>
      <c r="B742" s="3" t="n"/>
      <c r="C742" s="3" t="n"/>
      <c r="D742" s="3" t="n"/>
      <c r="E742" s="3" t="n"/>
      <c r="F742" s="11" t="n"/>
      <c r="G742" s="11" t="n"/>
      <c r="H742" s="11" t="n"/>
      <c r="I742" s="3" t="n"/>
      <c r="J742" s="3">
        <f>IF(tblEjecucion[[#This Row],[orden]]="","",tblEjecucion[[#This Row],[orden]]&amp;IF(tblEjecucion[[#This Row],[operacion]]="","0010",tblEjecucion[[#This Row],[operacion]]))</f>
        <v/>
      </c>
    </row>
    <row r="743">
      <c r="A743" s="3" t="n"/>
      <c r="B743" s="3" t="n"/>
      <c r="C743" s="3" t="n"/>
      <c r="D743" s="3" t="n"/>
      <c r="E743" s="3" t="n"/>
      <c r="F743" s="11" t="n"/>
      <c r="G743" s="11" t="n"/>
      <c r="H743" s="11" t="n"/>
      <c r="I743" s="3" t="n"/>
      <c r="J743" s="3">
        <f>IF(tblEjecucion[[#This Row],[orden]]="","",tblEjecucion[[#This Row],[orden]]&amp;IF(tblEjecucion[[#This Row],[operacion]]="","0010",tblEjecucion[[#This Row],[operacion]]))</f>
        <v/>
      </c>
    </row>
    <row r="744">
      <c r="A744" s="3" t="n"/>
      <c r="B744" s="3" t="n"/>
      <c r="C744" s="3" t="n"/>
      <c r="D744" s="3" t="n"/>
      <c r="E744" s="3" t="n"/>
      <c r="F744" s="11" t="n"/>
      <c r="G744" s="11" t="n"/>
      <c r="H744" s="11" t="n"/>
      <c r="I744" s="3" t="n"/>
      <c r="J744" s="3">
        <f>IF(tblEjecucion[[#This Row],[orden]]="","",tblEjecucion[[#This Row],[orden]]&amp;IF(tblEjecucion[[#This Row],[operacion]]="","0010",tblEjecucion[[#This Row],[operacion]]))</f>
        <v/>
      </c>
    </row>
    <row r="745">
      <c r="A745" s="3" t="n"/>
      <c r="B745" s="3" t="n"/>
      <c r="C745" s="3" t="n"/>
      <c r="D745" s="3" t="n"/>
      <c r="E745" s="3" t="n"/>
      <c r="F745" s="11" t="n"/>
      <c r="G745" s="11" t="n"/>
      <c r="H745" s="11" t="n"/>
      <c r="I745" s="3" t="n"/>
      <c r="J745" s="3">
        <f>IF(tblEjecucion[[#This Row],[orden]]="","",tblEjecucion[[#This Row],[orden]]&amp;IF(tblEjecucion[[#This Row],[operacion]]="","0010",tblEjecucion[[#This Row],[operacion]]))</f>
        <v/>
      </c>
    </row>
    <row r="746">
      <c r="A746" s="3" t="n"/>
      <c r="B746" s="3" t="n"/>
      <c r="C746" s="3" t="n"/>
      <c r="D746" s="3" t="n"/>
      <c r="E746" s="3" t="n"/>
      <c r="F746" s="11" t="n"/>
      <c r="G746" s="11" t="n"/>
      <c r="H746" s="11" t="n"/>
      <c r="I746" s="3" t="n"/>
      <c r="J746" s="3">
        <f>IF(tblEjecucion[[#This Row],[orden]]="","",tblEjecucion[[#This Row],[orden]]&amp;IF(tblEjecucion[[#This Row],[operacion]]="","0010",tblEjecucion[[#This Row],[operacion]]))</f>
        <v/>
      </c>
    </row>
    <row r="747">
      <c r="A747" s="3" t="n"/>
      <c r="B747" s="3" t="n"/>
      <c r="C747" s="3" t="n"/>
      <c r="D747" s="3" t="n"/>
      <c r="E747" s="3" t="n"/>
      <c r="F747" s="11" t="n"/>
      <c r="G747" s="11" t="n"/>
      <c r="H747" s="11" t="n"/>
      <c r="I747" s="3" t="n"/>
      <c r="J747" s="3">
        <f>IF(tblEjecucion[[#This Row],[orden]]="","",tblEjecucion[[#This Row],[orden]]&amp;IF(tblEjecucion[[#This Row],[operacion]]="","0010",tblEjecucion[[#This Row],[operacion]]))</f>
        <v/>
      </c>
    </row>
    <row r="748">
      <c r="A748" s="3" t="n"/>
      <c r="B748" s="3" t="n"/>
      <c r="C748" s="3" t="n"/>
      <c r="D748" s="3" t="n"/>
      <c r="E748" s="3" t="n"/>
      <c r="F748" s="11" t="n"/>
      <c r="G748" s="11" t="n"/>
      <c r="H748" s="11" t="n"/>
      <c r="I748" s="3" t="n"/>
      <c r="J748" s="3">
        <f>IF(tblEjecucion[[#This Row],[orden]]="","",tblEjecucion[[#This Row],[orden]]&amp;IF(tblEjecucion[[#This Row],[operacion]]="","0010",tblEjecucion[[#This Row],[operacion]]))</f>
        <v/>
      </c>
    </row>
    <row r="749">
      <c r="A749" s="3" t="n"/>
      <c r="B749" s="3" t="n"/>
      <c r="C749" s="3" t="n"/>
      <c r="D749" s="3" t="n"/>
      <c r="E749" s="3" t="n"/>
      <c r="F749" s="11" t="n"/>
      <c r="G749" s="11" t="n"/>
      <c r="H749" s="11" t="n"/>
      <c r="I749" s="3" t="n"/>
      <c r="J749" s="3">
        <f>IF(tblEjecucion[[#This Row],[orden]]="","",tblEjecucion[[#This Row],[orden]]&amp;IF(tblEjecucion[[#This Row],[operacion]]="","0010",tblEjecucion[[#This Row],[operacion]]))</f>
        <v/>
      </c>
    </row>
    <row r="750">
      <c r="A750" s="3" t="n"/>
      <c r="B750" s="3" t="n"/>
      <c r="C750" s="3" t="n"/>
      <c r="D750" s="3" t="n"/>
      <c r="E750" s="3" t="n"/>
      <c r="F750" s="11" t="n"/>
      <c r="G750" s="11" t="n"/>
      <c r="H750" s="11" t="n"/>
      <c r="I750" s="3" t="n"/>
      <c r="J750" s="3">
        <f>IF(tblEjecucion[[#This Row],[orden]]="","",tblEjecucion[[#This Row],[orden]]&amp;IF(tblEjecucion[[#This Row],[operacion]]="","0010",tblEjecucion[[#This Row],[operacion]]))</f>
        <v/>
      </c>
    </row>
    <row r="751">
      <c r="A751" s="3" t="n"/>
      <c r="B751" s="3" t="n"/>
      <c r="C751" s="3" t="n"/>
      <c r="D751" s="3" t="n"/>
      <c r="E751" s="3" t="n"/>
      <c r="F751" s="11" t="n"/>
      <c r="G751" s="11" t="n"/>
      <c r="H751" s="11" t="n"/>
      <c r="I751" s="3" t="n"/>
      <c r="J751" s="3">
        <f>IF(tblEjecucion[[#This Row],[orden]]="","",tblEjecucion[[#This Row],[orden]]&amp;IF(tblEjecucion[[#This Row],[operacion]]="","0010",tblEjecucion[[#This Row],[operacion]]))</f>
        <v/>
      </c>
    </row>
    <row r="752">
      <c r="A752" s="3" t="n"/>
      <c r="B752" s="3" t="n"/>
      <c r="C752" s="3" t="n"/>
      <c r="D752" s="3" t="n"/>
      <c r="E752" s="3" t="n"/>
      <c r="F752" s="11" t="n"/>
      <c r="G752" s="11" t="n"/>
      <c r="H752" s="11" t="n"/>
      <c r="I752" s="3" t="n"/>
      <c r="J752" s="3">
        <f>IF(tblEjecucion[[#This Row],[orden]]="","",tblEjecucion[[#This Row],[orden]]&amp;IF(tblEjecucion[[#This Row],[operacion]]="","0010",tblEjecucion[[#This Row],[operacion]]))</f>
        <v/>
      </c>
    </row>
    <row r="753">
      <c r="A753" s="3" t="n"/>
      <c r="B753" s="3" t="n"/>
      <c r="C753" s="3" t="n"/>
      <c r="D753" s="3" t="n"/>
      <c r="E753" s="3" t="n"/>
      <c r="F753" s="11" t="n"/>
      <c r="G753" s="11" t="n"/>
      <c r="H753" s="11" t="n"/>
      <c r="I753" s="3" t="n"/>
      <c r="J753" s="3">
        <f>IF(tblEjecucion[[#This Row],[orden]]="","",tblEjecucion[[#This Row],[orden]]&amp;IF(tblEjecucion[[#This Row],[operacion]]="","0010",tblEjecucion[[#This Row],[operacion]]))</f>
        <v/>
      </c>
    </row>
    <row r="754">
      <c r="A754" s="3" t="n"/>
      <c r="B754" s="3" t="n"/>
      <c r="C754" s="3" t="n"/>
      <c r="D754" s="3" t="n"/>
      <c r="E754" s="3" t="n"/>
      <c r="F754" s="11" t="n"/>
      <c r="G754" s="11" t="n"/>
      <c r="H754" s="11" t="n"/>
      <c r="I754" s="3" t="n"/>
      <c r="J754" s="3">
        <f>IF(tblEjecucion[[#This Row],[orden]]="","",tblEjecucion[[#This Row],[orden]]&amp;IF(tblEjecucion[[#This Row],[operacion]]="","0010",tblEjecucion[[#This Row],[operacion]]))</f>
        <v/>
      </c>
    </row>
    <row r="755">
      <c r="A755" s="3" t="n"/>
      <c r="B755" s="3" t="n"/>
      <c r="C755" s="3" t="n"/>
      <c r="D755" s="3" t="n"/>
      <c r="E755" s="3" t="n"/>
      <c r="F755" s="11" t="n"/>
      <c r="G755" s="11" t="n"/>
      <c r="H755" s="11" t="n"/>
      <c r="I755" s="3" t="n"/>
      <c r="J755" s="3">
        <f>IF(tblEjecucion[[#This Row],[orden]]="","",tblEjecucion[[#This Row],[orden]]&amp;IF(tblEjecucion[[#This Row],[operacion]]="","0010",tblEjecucion[[#This Row],[operacion]]))</f>
        <v/>
      </c>
    </row>
    <row r="756">
      <c r="A756" s="3" t="n"/>
      <c r="B756" s="3" t="n"/>
      <c r="C756" s="3" t="n"/>
      <c r="D756" s="3" t="n"/>
      <c r="E756" s="3" t="n"/>
      <c r="F756" s="11" t="n"/>
      <c r="G756" s="11" t="n"/>
      <c r="H756" s="11" t="n"/>
      <c r="I756" s="3" t="n"/>
      <c r="J756" s="3">
        <f>IF(tblEjecucion[[#This Row],[orden]]="","",tblEjecucion[[#This Row],[orden]]&amp;IF(tblEjecucion[[#This Row],[operacion]]="","0010",tblEjecucion[[#This Row],[operacion]]))</f>
        <v/>
      </c>
    </row>
    <row r="757">
      <c r="A757" s="3" t="n"/>
      <c r="B757" s="3" t="n"/>
      <c r="C757" s="3" t="n"/>
      <c r="D757" s="3" t="n"/>
      <c r="E757" s="3" t="n"/>
      <c r="F757" s="11" t="n"/>
      <c r="G757" s="11" t="n"/>
      <c r="H757" s="11" t="n"/>
      <c r="I757" s="3" t="n"/>
      <c r="J757" s="3">
        <f>IF(tblEjecucion[[#This Row],[orden]]="","",tblEjecucion[[#This Row],[orden]]&amp;IF(tblEjecucion[[#This Row],[operacion]]="","0010",tblEjecucion[[#This Row],[operacion]]))</f>
        <v/>
      </c>
    </row>
    <row r="758">
      <c r="A758" s="3" t="n"/>
      <c r="B758" s="3" t="n"/>
      <c r="C758" s="3" t="n"/>
      <c r="D758" s="3" t="n"/>
      <c r="E758" s="3" t="n"/>
      <c r="F758" s="11" t="n"/>
      <c r="G758" s="11" t="n"/>
      <c r="H758" s="11" t="n"/>
      <c r="I758" s="3" t="n"/>
      <c r="J758" s="3">
        <f>IF(tblEjecucion[[#This Row],[orden]]="","",tblEjecucion[[#This Row],[orden]]&amp;IF(tblEjecucion[[#This Row],[operacion]]="","0010",tblEjecucion[[#This Row],[operacion]]))</f>
        <v/>
      </c>
    </row>
    <row r="759">
      <c r="A759" s="3" t="n"/>
      <c r="B759" s="3" t="n"/>
      <c r="C759" s="3" t="n"/>
      <c r="D759" s="3" t="n"/>
      <c r="E759" s="3" t="n"/>
      <c r="F759" s="11" t="n"/>
      <c r="G759" s="11" t="n"/>
      <c r="H759" s="11" t="n"/>
      <c r="I759" s="3" t="n"/>
      <c r="J759" s="3">
        <f>IF(tblEjecucion[[#This Row],[orden]]="","",tblEjecucion[[#This Row],[orden]]&amp;IF(tblEjecucion[[#This Row],[operacion]]="","0010",tblEjecucion[[#This Row],[operacion]]))</f>
        <v/>
      </c>
    </row>
    <row r="760">
      <c r="A760" s="3" t="n"/>
      <c r="B760" s="3" t="n"/>
      <c r="C760" s="3" t="n"/>
      <c r="D760" s="3" t="n"/>
      <c r="E760" s="3" t="n"/>
      <c r="F760" s="11" t="n"/>
      <c r="G760" s="11" t="n"/>
      <c r="H760" s="11" t="n"/>
      <c r="I760" s="3" t="n"/>
      <c r="J760" s="3">
        <f>IF(tblEjecucion[[#This Row],[orden]]="","",tblEjecucion[[#This Row],[orden]]&amp;IF(tblEjecucion[[#This Row],[operacion]]="","0010",tblEjecucion[[#This Row],[operacion]]))</f>
        <v/>
      </c>
    </row>
    <row r="761">
      <c r="A761" s="3" t="n"/>
      <c r="B761" s="3" t="n"/>
      <c r="C761" s="3" t="n"/>
      <c r="D761" s="3" t="n"/>
      <c r="E761" s="3" t="n"/>
      <c r="F761" s="11" t="n"/>
      <c r="G761" s="11" t="n"/>
      <c r="H761" s="11" t="n"/>
      <c r="I761" s="3" t="n"/>
      <c r="J761" s="3">
        <f>IF(tblEjecucion[[#This Row],[orden]]="","",tblEjecucion[[#This Row],[orden]]&amp;IF(tblEjecucion[[#This Row],[operacion]]="","0010",tblEjecucion[[#This Row],[operacion]]))</f>
        <v/>
      </c>
    </row>
    <row r="762">
      <c r="A762" s="3" t="n"/>
      <c r="B762" s="3" t="n"/>
      <c r="C762" s="3" t="n"/>
      <c r="D762" s="3" t="n"/>
      <c r="E762" s="3" t="n"/>
      <c r="F762" s="11" t="n"/>
      <c r="G762" s="11" t="n"/>
      <c r="H762" s="11" t="n"/>
      <c r="I762" s="3" t="n"/>
      <c r="J762" s="3">
        <f>IF(tblEjecucion[[#This Row],[orden]]="","",tblEjecucion[[#This Row],[orden]]&amp;IF(tblEjecucion[[#This Row],[operacion]]="","0010",tblEjecucion[[#This Row],[operacion]]))</f>
        <v/>
      </c>
    </row>
    <row r="763">
      <c r="A763" s="3" t="n"/>
      <c r="B763" s="3" t="n"/>
      <c r="C763" s="3" t="n"/>
      <c r="D763" s="3" t="n"/>
      <c r="E763" s="3" t="n"/>
      <c r="F763" s="11" t="n"/>
      <c r="G763" s="11" t="n"/>
      <c r="H763" s="11" t="n"/>
      <c r="I763" s="3" t="n"/>
      <c r="J763" s="3">
        <f>IF(tblEjecucion[[#This Row],[orden]]="","",tblEjecucion[[#This Row],[orden]]&amp;IF(tblEjecucion[[#This Row],[operacion]]="","0010",tblEjecucion[[#This Row],[operacion]]))</f>
        <v/>
      </c>
    </row>
    <row r="764">
      <c r="A764" s="3" t="n"/>
      <c r="B764" s="3" t="n"/>
      <c r="C764" s="3" t="n"/>
      <c r="D764" s="3" t="n"/>
      <c r="E764" s="3" t="n"/>
      <c r="F764" s="11" t="n"/>
      <c r="G764" s="11" t="n"/>
      <c r="H764" s="11" t="n"/>
      <c r="I764" s="3" t="n"/>
      <c r="J764" s="3">
        <f>IF(tblEjecucion[[#This Row],[orden]]="","",tblEjecucion[[#This Row],[orden]]&amp;IF(tblEjecucion[[#This Row],[operacion]]="","0010",tblEjecucion[[#This Row],[operacion]]))</f>
        <v/>
      </c>
    </row>
    <row r="765">
      <c r="A765" s="3" t="n"/>
      <c r="B765" s="3" t="n"/>
      <c r="C765" s="3" t="n"/>
      <c r="D765" s="3" t="n"/>
      <c r="E765" s="3" t="n"/>
      <c r="F765" s="11" t="n"/>
      <c r="G765" s="11" t="n"/>
      <c r="H765" s="11" t="n"/>
      <c r="I765" s="3" t="n"/>
      <c r="J765" s="3">
        <f>IF(tblEjecucion[[#This Row],[orden]]="","",tblEjecucion[[#This Row],[orden]]&amp;IF(tblEjecucion[[#This Row],[operacion]]="","0010",tblEjecucion[[#This Row],[operacion]]))</f>
        <v/>
      </c>
    </row>
    <row r="766">
      <c r="A766" s="3" t="n"/>
      <c r="B766" s="3" t="n"/>
      <c r="C766" s="3" t="n"/>
      <c r="D766" s="3" t="n"/>
      <c r="E766" s="3" t="n"/>
      <c r="F766" s="11" t="n"/>
      <c r="G766" s="11" t="n"/>
      <c r="H766" s="11" t="n"/>
      <c r="I766" s="3" t="n"/>
      <c r="J766" s="3">
        <f>IF(tblEjecucion[[#This Row],[orden]]="","",tblEjecucion[[#This Row],[orden]]&amp;IF(tblEjecucion[[#This Row],[operacion]]="","0010",tblEjecucion[[#This Row],[operacion]]))</f>
        <v/>
      </c>
    </row>
    <row r="767">
      <c r="A767" s="3" t="n"/>
      <c r="B767" s="3" t="n"/>
      <c r="C767" s="3" t="n"/>
      <c r="D767" s="3" t="n"/>
      <c r="E767" s="3" t="n"/>
      <c r="F767" s="11" t="n"/>
      <c r="G767" s="11" t="n"/>
      <c r="H767" s="11" t="n"/>
      <c r="I767" s="3" t="n"/>
      <c r="J767" s="3">
        <f>IF(tblEjecucion[[#This Row],[orden]]="","",tblEjecucion[[#This Row],[orden]]&amp;IF(tblEjecucion[[#This Row],[operacion]]="","0010",tblEjecucion[[#This Row],[operacion]]))</f>
        <v/>
      </c>
    </row>
    <row r="768">
      <c r="A768" s="3" t="n"/>
      <c r="B768" s="3" t="n"/>
      <c r="C768" s="3" t="n"/>
      <c r="D768" s="3" t="n"/>
      <c r="E768" s="3" t="n"/>
      <c r="F768" s="11" t="n"/>
      <c r="G768" s="11" t="n"/>
      <c r="H768" s="11" t="n"/>
      <c r="I768" s="3" t="n"/>
      <c r="J768" s="3">
        <f>IF(tblEjecucion[[#This Row],[orden]]="","",tblEjecucion[[#This Row],[orden]]&amp;IF(tblEjecucion[[#This Row],[operacion]]="","0010",tblEjecucion[[#This Row],[operacion]]))</f>
        <v/>
      </c>
    </row>
    <row r="769">
      <c r="A769" s="3" t="n"/>
      <c r="B769" s="3" t="n"/>
      <c r="C769" s="3" t="n"/>
      <c r="D769" s="3" t="n"/>
      <c r="E769" s="3" t="n"/>
      <c r="F769" s="11" t="n"/>
      <c r="G769" s="11" t="n"/>
      <c r="H769" s="11" t="n"/>
      <c r="I769" s="3" t="n"/>
      <c r="J769" s="3">
        <f>IF(tblEjecucion[[#This Row],[orden]]="","",tblEjecucion[[#This Row],[orden]]&amp;IF(tblEjecucion[[#This Row],[operacion]]="","0010",tblEjecucion[[#This Row],[operacion]]))</f>
        <v/>
      </c>
    </row>
    <row r="770">
      <c r="A770" s="3" t="n"/>
      <c r="B770" s="3" t="n"/>
      <c r="C770" s="3" t="n"/>
      <c r="D770" s="3" t="n"/>
      <c r="E770" s="3" t="n"/>
      <c r="F770" s="11" t="n"/>
      <c r="G770" s="11" t="n"/>
      <c r="H770" s="11" t="n"/>
      <c r="I770" s="3" t="n"/>
      <c r="J770" s="3">
        <f>IF(tblEjecucion[[#This Row],[orden]]="","",tblEjecucion[[#This Row],[orden]]&amp;IF(tblEjecucion[[#This Row],[operacion]]="","0010",tblEjecucion[[#This Row],[operacion]]))</f>
        <v/>
      </c>
    </row>
    <row r="771">
      <c r="A771" s="3" t="n"/>
      <c r="B771" s="3" t="n"/>
      <c r="C771" s="3" t="n"/>
      <c r="D771" s="3" t="n"/>
      <c r="E771" s="3" t="n"/>
      <c r="F771" s="11" t="n"/>
      <c r="G771" s="11" t="n"/>
      <c r="H771" s="11" t="n"/>
      <c r="I771" s="3" t="n"/>
      <c r="J771" s="3">
        <f>IF(tblEjecucion[[#This Row],[orden]]="","",tblEjecucion[[#This Row],[orden]]&amp;IF(tblEjecucion[[#This Row],[operacion]]="","0010",tblEjecucion[[#This Row],[operacion]]))</f>
        <v/>
      </c>
    </row>
    <row r="772">
      <c r="A772" s="3" t="n"/>
      <c r="B772" s="3" t="n"/>
      <c r="C772" s="3" t="n"/>
      <c r="D772" s="3" t="n"/>
      <c r="E772" s="3" t="n"/>
      <c r="F772" s="11" t="n"/>
      <c r="G772" s="11" t="n"/>
      <c r="H772" s="11" t="n"/>
      <c r="I772" s="3" t="n"/>
      <c r="J772" s="3">
        <f>IF(tblEjecucion[[#This Row],[orden]]="","",tblEjecucion[[#This Row],[orden]]&amp;IF(tblEjecucion[[#This Row],[operacion]]="","0010",tblEjecucion[[#This Row],[operacion]]))</f>
        <v/>
      </c>
    </row>
    <row r="773">
      <c r="A773" s="3" t="n"/>
      <c r="B773" s="3" t="n"/>
      <c r="C773" s="3" t="n"/>
      <c r="D773" s="3" t="n"/>
      <c r="E773" s="3" t="n"/>
      <c r="F773" s="11" t="n"/>
      <c r="G773" s="11" t="n"/>
      <c r="H773" s="11" t="n"/>
      <c r="I773" s="3" t="n"/>
      <c r="J773" s="3">
        <f>IF(tblEjecucion[[#This Row],[orden]]="","",tblEjecucion[[#This Row],[orden]]&amp;IF(tblEjecucion[[#This Row],[operacion]]="","0010",tblEjecucion[[#This Row],[operacion]]))</f>
        <v/>
      </c>
    </row>
    <row r="774">
      <c r="A774" s="3" t="n"/>
      <c r="B774" s="3" t="n"/>
      <c r="C774" s="3" t="n"/>
      <c r="D774" s="3" t="n"/>
      <c r="E774" s="3" t="n"/>
      <c r="F774" s="11" t="n"/>
      <c r="G774" s="11" t="n"/>
      <c r="H774" s="11" t="n"/>
      <c r="I774" s="3" t="n"/>
      <c r="J774" s="3">
        <f>IF(tblEjecucion[[#This Row],[orden]]="","",tblEjecucion[[#This Row],[orden]]&amp;IF(tblEjecucion[[#This Row],[operacion]]="","0010",tblEjecucion[[#This Row],[operacion]]))</f>
        <v/>
      </c>
    </row>
    <row r="775">
      <c r="A775" s="3" t="n"/>
      <c r="B775" s="3" t="n"/>
      <c r="C775" s="3" t="n"/>
      <c r="D775" s="3" t="n"/>
      <c r="E775" s="3" t="n"/>
      <c r="F775" s="11" t="n"/>
      <c r="G775" s="11" t="n"/>
      <c r="H775" s="11" t="n"/>
      <c r="I775" s="3" t="n"/>
      <c r="J775" s="3">
        <f>IF(tblEjecucion[[#This Row],[orden]]="","",tblEjecucion[[#This Row],[orden]]&amp;IF(tblEjecucion[[#This Row],[operacion]]="","0010",tblEjecucion[[#This Row],[operacion]]))</f>
        <v/>
      </c>
    </row>
    <row r="776">
      <c r="A776" s="3" t="n"/>
      <c r="B776" s="3" t="n"/>
      <c r="C776" s="3" t="n"/>
      <c r="D776" s="3" t="n"/>
      <c r="E776" s="3" t="n"/>
      <c r="F776" s="11" t="n"/>
      <c r="G776" s="11" t="n"/>
      <c r="H776" s="11" t="n"/>
      <c r="I776" s="3" t="n"/>
      <c r="J776" s="3">
        <f>IF(tblEjecucion[[#This Row],[orden]]="","",tblEjecucion[[#This Row],[orden]]&amp;IF(tblEjecucion[[#This Row],[operacion]]="","0010",tblEjecucion[[#This Row],[operacion]]))</f>
        <v/>
      </c>
    </row>
    <row r="777">
      <c r="A777" s="3" t="n"/>
      <c r="B777" s="3" t="n"/>
      <c r="C777" s="3" t="n"/>
      <c r="D777" s="3" t="n"/>
      <c r="E777" s="3" t="n"/>
      <c r="F777" s="11" t="n"/>
      <c r="G777" s="11" t="n"/>
      <c r="H777" s="11" t="n"/>
      <c r="I777" s="3" t="n"/>
      <c r="J777" s="3">
        <f>IF(tblEjecucion[[#This Row],[orden]]="","",tblEjecucion[[#This Row],[orden]]&amp;IF(tblEjecucion[[#This Row],[operacion]]="","0010",tblEjecucion[[#This Row],[operacion]]))</f>
        <v/>
      </c>
    </row>
    <row r="778">
      <c r="A778" s="3" t="n"/>
      <c r="B778" s="3" t="n"/>
      <c r="C778" s="3" t="n"/>
      <c r="D778" s="3" t="n"/>
      <c r="E778" s="3" t="n"/>
      <c r="F778" s="11" t="n"/>
      <c r="G778" s="11" t="n"/>
      <c r="H778" s="11" t="n"/>
      <c r="I778" s="3" t="n"/>
      <c r="J778" s="3">
        <f>IF(tblEjecucion[[#This Row],[orden]]="","",tblEjecucion[[#This Row],[orden]]&amp;IF(tblEjecucion[[#This Row],[operacion]]="","0010",tblEjecucion[[#This Row],[operacion]]))</f>
        <v/>
      </c>
    </row>
    <row r="779">
      <c r="A779" s="3" t="n"/>
      <c r="B779" s="3" t="n"/>
      <c r="C779" s="3" t="n"/>
      <c r="D779" s="3" t="n"/>
      <c r="E779" s="3" t="n"/>
      <c r="F779" s="11" t="n"/>
      <c r="G779" s="11" t="n"/>
      <c r="H779" s="11" t="n"/>
      <c r="I779" s="3" t="n"/>
      <c r="J779" s="3">
        <f>IF(tblEjecucion[[#This Row],[orden]]="","",tblEjecucion[[#This Row],[orden]]&amp;IF(tblEjecucion[[#This Row],[operacion]]="","0010",tblEjecucion[[#This Row],[operacion]]))</f>
        <v/>
      </c>
    </row>
    <row r="780">
      <c r="A780" s="3" t="n"/>
      <c r="B780" s="3" t="n"/>
      <c r="C780" s="3" t="n"/>
      <c r="D780" s="3" t="n"/>
      <c r="E780" s="3" t="n"/>
      <c r="F780" s="11" t="n"/>
      <c r="G780" s="11" t="n"/>
      <c r="H780" s="11" t="n"/>
      <c r="I780" s="3" t="n"/>
      <c r="J780" s="3">
        <f>IF(tblEjecucion[[#This Row],[orden]]="","",tblEjecucion[[#This Row],[orden]]&amp;IF(tblEjecucion[[#This Row],[operacion]]="","0010",tblEjecucion[[#This Row],[operacion]]))</f>
        <v/>
      </c>
    </row>
    <row r="781">
      <c r="A781" s="3" t="n"/>
      <c r="B781" s="3" t="n"/>
      <c r="C781" s="3" t="n"/>
      <c r="D781" s="3" t="n"/>
      <c r="E781" s="3" t="n"/>
      <c r="F781" s="11" t="n"/>
      <c r="G781" s="11" t="n"/>
      <c r="H781" s="11" t="n"/>
      <c r="I781" s="3" t="n"/>
      <c r="J781" s="3">
        <f>IF(tblEjecucion[[#This Row],[orden]]="","",tblEjecucion[[#This Row],[orden]]&amp;IF(tblEjecucion[[#This Row],[operacion]]="","0010",tblEjecucion[[#This Row],[operacion]]))</f>
        <v/>
      </c>
    </row>
    <row r="782">
      <c r="A782" s="3" t="n"/>
      <c r="B782" s="3" t="n"/>
      <c r="C782" s="3" t="n"/>
      <c r="D782" s="3" t="n"/>
      <c r="E782" s="3" t="n"/>
      <c r="F782" s="11" t="n"/>
      <c r="G782" s="11" t="n"/>
      <c r="H782" s="11" t="n"/>
      <c r="I782" s="3" t="n"/>
      <c r="J782" s="3">
        <f>IF(tblEjecucion[[#This Row],[orden]]="","",tblEjecucion[[#This Row],[orden]]&amp;IF(tblEjecucion[[#This Row],[operacion]]="","0010",tblEjecucion[[#This Row],[operacion]]))</f>
        <v/>
      </c>
    </row>
    <row r="783">
      <c r="A783" s="3" t="n"/>
      <c r="B783" s="3" t="n"/>
      <c r="C783" s="3" t="n"/>
      <c r="D783" s="3" t="n"/>
      <c r="E783" s="3" t="n"/>
      <c r="F783" s="11" t="n"/>
      <c r="G783" s="11" t="n"/>
      <c r="H783" s="11" t="n"/>
      <c r="I783" s="3" t="n"/>
      <c r="J783" s="3">
        <f>IF(tblEjecucion[[#This Row],[orden]]="","",tblEjecucion[[#This Row],[orden]]&amp;IF(tblEjecucion[[#This Row],[operacion]]="","0010",tblEjecucion[[#This Row],[operacion]]))</f>
        <v/>
      </c>
    </row>
    <row r="784">
      <c r="A784" s="3" t="n"/>
      <c r="B784" s="3" t="n"/>
      <c r="C784" s="3" t="n"/>
      <c r="D784" s="3" t="n"/>
      <c r="E784" s="3" t="n"/>
      <c r="F784" s="11" t="n"/>
      <c r="G784" s="11" t="n"/>
      <c r="H784" s="11" t="n"/>
      <c r="I784" s="3" t="n"/>
      <c r="J784" s="3">
        <f>IF(tblEjecucion[[#This Row],[orden]]="","",tblEjecucion[[#This Row],[orden]]&amp;IF(tblEjecucion[[#This Row],[operacion]]="","0010",tblEjecucion[[#This Row],[operacion]]))</f>
        <v/>
      </c>
    </row>
    <row r="785">
      <c r="A785" s="3" t="n"/>
      <c r="B785" s="3" t="n"/>
      <c r="C785" s="3" t="n"/>
      <c r="D785" s="3" t="n"/>
      <c r="E785" s="3" t="n"/>
      <c r="F785" s="11" t="n"/>
      <c r="G785" s="11" t="n"/>
      <c r="H785" s="11" t="n"/>
      <c r="I785" s="3" t="n"/>
      <c r="J785" s="3">
        <f>IF(tblEjecucion[[#This Row],[orden]]="","",tblEjecucion[[#This Row],[orden]]&amp;IF(tblEjecucion[[#This Row],[operacion]]="","0010",tblEjecucion[[#This Row],[operacion]]))</f>
        <v/>
      </c>
    </row>
    <row r="786">
      <c r="A786" s="3" t="n"/>
      <c r="B786" s="3" t="n"/>
      <c r="C786" s="3" t="n"/>
      <c r="D786" s="3" t="n"/>
      <c r="E786" s="3" t="n"/>
      <c r="F786" s="11" t="n"/>
      <c r="G786" s="11" t="n"/>
      <c r="H786" s="11" t="n"/>
      <c r="I786" s="3" t="n"/>
      <c r="J786" s="3">
        <f>IF(tblEjecucion[[#This Row],[orden]]="","",tblEjecucion[[#This Row],[orden]]&amp;IF(tblEjecucion[[#This Row],[operacion]]="","0010",tblEjecucion[[#This Row],[operacion]]))</f>
        <v/>
      </c>
    </row>
    <row r="787">
      <c r="A787" s="3" t="n"/>
      <c r="B787" s="3" t="n"/>
      <c r="C787" s="3" t="n"/>
      <c r="D787" s="3" t="n"/>
      <c r="E787" s="3" t="n"/>
      <c r="F787" s="11" t="n"/>
      <c r="G787" s="11" t="n"/>
      <c r="H787" s="11" t="n"/>
      <c r="I787" s="3" t="n"/>
      <c r="J787" s="3">
        <f>IF(tblEjecucion[[#This Row],[orden]]="","",tblEjecucion[[#This Row],[orden]]&amp;IF(tblEjecucion[[#This Row],[operacion]]="","0010",tblEjecucion[[#This Row],[operacion]]))</f>
        <v/>
      </c>
    </row>
    <row r="788">
      <c r="A788" s="3" t="n"/>
      <c r="B788" s="3" t="n"/>
      <c r="C788" s="3" t="n"/>
      <c r="D788" s="3" t="n"/>
      <c r="E788" s="3" t="n"/>
      <c r="F788" s="11" t="n"/>
      <c r="G788" s="11" t="n"/>
      <c r="H788" s="11" t="n"/>
      <c r="I788" s="3" t="n"/>
      <c r="J788" s="3">
        <f>IF(tblEjecucion[[#This Row],[orden]]="","",tblEjecucion[[#This Row],[orden]]&amp;IF(tblEjecucion[[#This Row],[operacion]]="","0010",tblEjecucion[[#This Row],[operacion]]))</f>
        <v/>
      </c>
    </row>
    <row r="789">
      <c r="A789" s="3" t="n"/>
      <c r="B789" s="3" t="n"/>
      <c r="C789" s="3" t="n"/>
      <c r="D789" s="3" t="n"/>
      <c r="E789" s="3" t="n"/>
      <c r="F789" s="11" t="n"/>
      <c r="G789" s="11" t="n"/>
      <c r="H789" s="11" t="n"/>
      <c r="I789" s="3" t="n"/>
      <c r="J789" s="3">
        <f>IF(tblEjecucion[[#This Row],[orden]]="","",tblEjecucion[[#This Row],[orden]]&amp;IF(tblEjecucion[[#This Row],[operacion]]="","0010",tblEjecucion[[#This Row],[operacion]]))</f>
        <v/>
      </c>
    </row>
    <row r="790">
      <c r="A790" s="3" t="n"/>
      <c r="B790" s="3" t="n"/>
      <c r="C790" s="3" t="n"/>
      <c r="D790" s="3" t="n"/>
      <c r="E790" s="3" t="n"/>
      <c r="F790" s="11" t="n"/>
      <c r="G790" s="11" t="n"/>
      <c r="H790" s="11" t="n"/>
      <c r="I790" s="3" t="n"/>
      <c r="J790" s="3">
        <f>IF(tblEjecucion[[#This Row],[orden]]="","",tblEjecucion[[#This Row],[orden]]&amp;IF(tblEjecucion[[#This Row],[operacion]]="","0010",tblEjecucion[[#This Row],[operacion]]))</f>
        <v/>
      </c>
    </row>
    <row r="791">
      <c r="A791" s="3" t="n"/>
      <c r="B791" s="3" t="n"/>
      <c r="C791" s="3" t="n"/>
      <c r="D791" s="3" t="n"/>
      <c r="E791" s="3" t="n"/>
      <c r="F791" s="11" t="n"/>
      <c r="G791" s="11" t="n"/>
      <c r="H791" s="11" t="n"/>
      <c r="I791" s="3" t="n"/>
      <c r="J791" s="3">
        <f>IF(tblEjecucion[[#This Row],[orden]]="","",tblEjecucion[[#This Row],[orden]]&amp;IF(tblEjecucion[[#This Row],[operacion]]="","0010",tblEjecucion[[#This Row],[operacion]]))</f>
        <v/>
      </c>
    </row>
    <row r="792">
      <c r="A792" s="3" t="n"/>
      <c r="B792" s="3" t="n"/>
      <c r="C792" s="3" t="n"/>
      <c r="D792" s="3" t="n"/>
      <c r="E792" s="3" t="n"/>
      <c r="F792" s="11" t="n"/>
      <c r="G792" s="11" t="n"/>
      <c r="H792" s="11" t="n"/>
      <c r="I792" s="3" t="n"/>
      <c r="J792" s="3">
        <f>IF(tblEjecucion[[#This Row],[orden]]="","",tblEjecucion[[#This Row],[orden]]&amp;IF(tblEjecucion[[#This Row],[operacion]]="","0010",tblEjecucion[[#This Row],[operacion]]))</f>
        <v/>
      </c>
    </row>
    <row r="793">
      <c r="A793" s="3" t="n"/>
      <c r="B793" s="3" t="n"/>
      <c r="C793" s="3" t="n"/>
      <c r="D793" s="3" t="n"/>
      <c r="E793" s="3" t="n"/>
      <c r="F793" s="11" t="n"/>
      <c r="G793" s="11" t="n"/>
      <c r="H793" s="11" t="n"/>
      <c r="I793" s="3" t="n"/>
      <c r="J793" s="3">
        <f>IF(tblEjecucion[[#This Row],[orden]]="","",tblEjecucion[[#This Row],[orden]]&amp;IF(tblEjecucion[[#This Row],[operacion]]="","0010",tblEjecucion[[#This Row],[operacion]]))</f>
        <v/>
      </c>
    </row>
    <row r="794">
      <c r="A794" s="3" t="n"/>
      <c r="B794" s="3" t="n"/>
      <c r="C794" s="3" t="n"/>
      <c r="D794" s="3" t="n"/>
      <c r="E794" s="3" t="n"/>
      <c r="F794" s="11" t="n"/>
      <c r="G794" s="11" t="n"/>
      <c r="H794" s="11" t="n"/>
      <c r="I794" s="3" t="n"/>
      <c r="J794" s="3">
        <f>IF(tblEjecucion[[#This Row],[orden]]="","",tblEjecucion[[#This Row],[orden]]&amp;IF(tblEjecucion[[#This Row],[operacion]]="","0010",tblEjecucion[[#This Row],[operacion]]))</f>
        <v/>
      </c>
    </row>
    <row r="795">
      <c r="A795" s="3" t="n"/>
      <c r="B795" s="3" t="n"/>
      <c r="C795" s="3" t="n"/>
      <c r="D795" s="3" t="n"/>
      <c r="E795" s="3" t="n"/>
      <c r="F795" s="11" t="n"/>
      <c r="G795" s="11" t="n"/>
      <c r="H795" s="11" t="n"/>
      <c r="I795" s="3" t="n"/>
      <c r="J795" s="3">
        <f>IF(tblEjecucion[[#This Row],[orden]]="","",tblEjecucion[[#This Row],[orden]]&amp;IF(tblEjecucion[[#This Row],[operacion]]="","0010",tblEjecucion[[#This Row],[operacion]]))</f>
        <v/>
      </c>
    </row>
    <row r="796">
      <c r="A796" s="3" t="n"/>
      <c r="B796" s="3" t="n"/>
      <c r="C796" s="3" t="n"/>
      <c r="D796" s="3" t="n"/>
      <c r="E796" s="3" t="n"/>
      <c r="F796" s="11" t="n"/>
      <c r="G796" s="11" t="n"/>
      <c r="H796" s="11" t="n"/>
      <c r="I796" s="3" t="n"/>
      <c r="J796" s="3">
        <f>IF(tblEjecucion[[#This Row],[orden]]="","",tblEjecucion[[#This Row],[orden]]&amp;IF(tblEjecucion[[#This Row],[operacion]]="","0010",tblEjecucion[[#This Row],[operacion]]))</f>
        <v/>
      </c>
    </row>
    <row r="797">
      <c r="A797" s="3" t="n"/>
      <c r="B797" s="3" t="n"/>
      <c r="C797" s="3" t="n"/>
      <c r="D797" s="3" t="n"/>
      <c r="E797" s="3" t="n"/>
      <c r="F797" s="11" t="n"/>
      <c r="G797" s="11" t="n"/>
      <c r="H797" s="11" t="n"/>
      <c r="I797" s="3" t="n"/>
      <c r="J797" s="3">
        <f>IF(tblEjecucion[[#This Row],[orden]]="","",tblEjecucion[[#This Row],[orden]]&amp;IF(tblEjecucion[[#This Row],[operacion]]="","0010",tblEjecucion[[#This Row],[operacion]]))</f>
        <v/>
      </c>
    </row>
    <row r="798">
      <c r="A798" s="3" t="n"/>
      <c r="B798" s="3" t="n"/>
      <c r="C798" s="3" t="n"/>
      <c r="D798" s="3" t="n"/>
      <c r="E798" s="3" t="n"/>
      <c r="F798" s="11" t="n"/>
      <c r="G798" s="11" t="n"/>
      <c r="H798" s="11" t="n"/>
      <c r="I798" s="3" t="n"/>
      <c r="J798" s="3">
        <f>IF(tblEjecucion[[#This Row],[orden]]="","",tblEjecucion[[#This Row],[orden]]&amp;IF(tblEjecucion[[#This Row],[operacion]]="","0010",tblEjecucion[[#This Row],[operacion]]))</f>
        <v/>
      </c>
    </row>
    <row r="799">
      <c r="A799" s="3" t="n"/>
      <c r="B799" s="3" t="n"/>
      <c r="C799" s="3" t="n"/>
      <c r="D799" s="3" t="n"/>
      <c r="E799" s="3" t="n"/>
      <c r="F799" s="11" t="n"/>
      <c r="G799" s="11" t="n"/>
      <c r="H799" s="11" t="n"/>
      <c r="I799" s="3" t="n"/>
      <c r="J799" s="3">
        <f>IF(tblEjecucion[[#This Row],[orden]]="","",tblEjecucion[[#This Row],[orden]]&amp;IF(tblEjecucion[[#This Row],[operacion]]="","0010",tblEjecucion[[#This Row],[operacion]]))</f>
        <v/>
      </c>
    </row>
    <row r="800">
      <c r="A800" s="3" t="n"/>
      <c r="B800" s="3" t="n"/>
      <c r="C800" s="3" t="n"/>
      <c r="D800" s="3" t="n"/>
      <c r="E800" s="3" t="n"/>
      <c r="F800" s="11" t="n"/>
      <c r="G800" s="11" t="n"/>
      <c r="H800" s="11" t="n"/>
      <c r="I800" s="3" t="n"/>
      <c r="J800" s="3">
        <f>IF(tblEjecucion[[#This Row],[orden]]="","",tblEjecucion[[#This Row],[orden]]&amp;IF(tblEjecucion[[#This Row],[operacion]]="","0010",tblEjecucion[[#This Row],[operacion]]))</f>
        <v/>
      </c>
    </row>
    <row r="801">
      <c r="A801" s="3" t="n"/>
      <c r="B801" s="3" t="n"/>
      <c r="C801" s="3" t="n"/>
      <c r="D801" s="3" t="n"/>
      <c r="E801" s="3" t="n"/>
      <c r="F801" s="11" t="n"/>
      <c r="G801" s="11" t="n"/>
      <c r="H801" s="11" t="n"/>
      <c r="I801" s="3" t="n"/>
      <c r="J801" s="3">
        <f>IF(tblEjecucion[[#This Row],[orden]]="","",tblEjecucion[[#This Row],[orden]]&amp;IF(tblEjecucion[[#This Row],[operacion]]="","0010",tblEjecucion[[#This Row],[operacion]]))</f>
        <v/>
      </c>
    </row>
    <row r="802">
      <c r="A802" s="3" t="n"/>
      <c r="B802" s="3" t="n"/>
      <c r="C802" s="3" t="n"/>
      <c r="D802" s="3" t="n"/>
      <c r="E802" s="3" t="n"/>
      <c r="F802" s="11" t="n"/>
      <c r="G802" s="11" t="n"/>
      <c r="H802" s="11" t="n"/>
      <c r="I802" s="3" t="n"/>
      <c r="J802" s="3">
        <f>IF(tblEjecucion[[#This Row],[orden]]="","",tblEjecucion[[#This Row],[orden]]&amp;IF(tblEjecucion[[#This Row],[operacion]]="","0010",tblEjecucion[[#This Row],[operacion]]))</f>
        <v/>
      </c>
    </row>
    <row r="803">
      <c r="A803" s="3" t="n"/>
      <c r="B803" s="3" t="n"/>
      <c r="C803" s="3" t="n"/>
      <c r="D803" s="3" t="n"/>
      <c r="E803" s="3" t="n"/>
      <c r="F803" s="11" t="n"/>
      <c r="G803" s="11" t="n"/>
      <c r="H803" s="11" t="n"/>
      <c r="I803" s="3" t="n"/>
      <c r="J803" s="3">
        <f>IF(tblEjecucion[[#This Row],[orden]]="","",tblEjecucion[[#This Row],[orden]]&amp;IF(tblEjecucion[[#This Row],[operacion]]="","0010",tblEjecucion[[#This Row],[operacion]]))</f>
        <v/>
      </c>
    </row>
    <row r="804">
      <c r="A804" s="3" t="n"/>
      <c r="B804" s="3" t="n"/>
      <c r="C804" s="3" t="n"/>
      <c r="D804" s="3" t="n"/>
      <c r="E804" s="3" t="n"/>
      <c r="F804" s="11" t="n"/>
      <c r="G804" s="11" t="n"/>
      <c r="H804" s="11" t="n"/>
      <c r="I804" s="3" t="n"/>
      <c r="J804" s="3">
        <f>IF(tblEjecucion[[#This Row],[orden]]="","",tblEjecucion[[#This Row],[orden]]&amp;IF(tblEjecucion[[#This Row],[operacion]]="","0010",tblEjecucion[[#This Row],[operacion]]))</f>
        <v/>
      </c>
    </row>
    <row r="805">
      <c r="A805" s="3" t="n"/>
      <c r="B805" s="3" t="n"/>
      <c r="C805" s="3" t="n"/>
      <c r="D805" s="3" t="n"/>
      <c r="E805" s="3" t="n"/>
      <c r="F805" s="11" t="n"/>
      <c r="G805" s="11" t="n"/>
      <c r="H805" s="11" t="n"/>
      <c r="I805" s="3" t="n"/>
      <c r="J805" s="3">
        <f>IF(tblEjecucion[[#This Row],[orden]]="","",tblEjecucion[[#This Row],[orden]]&amp;IF(tblEjecucion[[#This Row],[operacion]]="","0010",tblEjecucion[[#This Row],[operacion]]))</f>
        <v/>
      </c>
    </row>
    <row r="806">
      <c r="A806" s="3" t="n"/>
      <c r="B806" s="3" t="n"/>
      <c r="C806" s="3" t="n"/>
      <c r="D806" s="3" t="n"/>
      <c r="E806" s="3" t="n"/>
      <c r="F806" s="11" t="n"/>
      <c r="G806" s="11" t="n"/>
      <c r="H806" s="11" t="n"/>
      <c r="I806" s="3" t="n"/>
      <c r="J806" s="3">
        <f>IF(tblEjecucion[[#This Row],[orden]]="","",tblEjecucion[[#This Row],[orden]]&amp;IF(tblEjecucion[[#This Row],[operacion]]="","0010",tblEjecucion[[#This Row],[operacion]]))</f>
        <v/>
      </c>
    </row>
    <row r="807">
      <c r="A807" s="3" t="n"/>
      <c r="B807" s="3" t="n"/>
      <c r="C807" s="3" t="n"/>
      <c r="D807" s="3" t="n"/>
      <c r="E807" s="3" t="n"/>
      <c r="F807" s="11" t="n"/>
      <c r="G807" s="11" t="n"/>
      <c r="H807" s="11" t="n"/>
      <c r="I807" s="3" t="n"/>
      <c r="J807" s="3">
        <f>IF(tblEjecucion[[#This Row],[orden]]="","",tblEjecucion[[#This Row],[orden]]&amp;IF(tblEjecucion[[#This Row],[operacion]]="","0010",tblEjecucion[[#This Row],[operacion]]))</f>
        <v/>
      </c>
    </row>
    <row r="808">
      <c r="A808" s="3" t="n"/>
      <c r="B808" s="3" t="n"/>
      <c r="C808" s="3" t="n"/>
      <c r="D808" s="3" t="n"/>
      <c r="E808" s="3" t="n"/>
      <c r="F808" s="11" t="n"/>
      <c r="G808" s="11" t="n"/>
      <c r="H808" s="11" t="n"/>
      <c r="I808" s="3" t="n"/>
      <c r="J808" s="3">
        <f>IF(tblEjecucion[[#This Row],[orden]]="","",tblEjecucion[[#This Row],[orden]]&amp;IF(tblEjecucion[[#This Row],[operacion]]="","0010",tblEjecucion[[#This Row],[operacion]]))</f>
        <v/>
      </c>
    </row>
    <row r="809">
      <c r="A809" s="3" t="n"/>
      <c r="B809" s="3" t="n"/>
      <c r="C809" s="3" t="n"/>
      <c r="D809" s="3" t="n"/>
      <c r="E809" s="3" t="n"/>
      <c r="F809" s="11" t="n"/>
      <c r="G809" s="11" t="n"/>
      <c r="H809" s="11" t="n"/>
      <c r="I809" s="3" t="n"/>
      <c r="J809" s="3">
        <f>IF(tblEjecucion[[#This Row],[orden]]="","",tblEjecucion[[#This Row],[orden]]&amp;IF(tblEjecucion[[#This Row],[operacion]]="","0010",tblEjecucion[[#This Row],[operacion]]))</f>
        <v/>
      </c>
    </row>
    <row r="810">
      <c r="A810" s="3" t="n"/>
      <c r="B810" s="3" t="n"/>
      <c r="C810" s="3" t="n"/>
      <c r="D810" s="3" t="n"/>
      <c r="E810" s="3" t="n"/>
      <c r="F810" s="11" t="n"/>
      <c r="G810" s="11" t="n"/>
      <c r="H810" s="11" t="n"/>
      <c r="I810" s="3" t="n"/>
      <c r="J810" s="3">
        <f>IF(tblEjecucion[[#This Row],[orden]]="","",tblEjecucion[[#This Row],[orden]]&amp;IF(tblEjecucion[[#This Row],[operacion]]="","0010",tblEjecucion[[#This Row],[operacion]]))</f>
        <v/>
      </c>
    </row>
    <row r="811">
      <c r="A811" s="3" t="n"/>
      <c r="B811" s="3" t="n"/>
      <c r="C811" s="3" t="n"/>
      <c r="D811" s="3" t="n"/>
      <c r="E811" s="3" t="n"/>
      <c r="F811" s="11" t="n"/>
      <c r="G811" s="11" t="n"/>
      <c r="H811" s="11" t="n"/>
      <c r="I811" s="3" t="n"/>
      <c r="J811" s="3">
        <f>IF(tblEjecucion[[#This Row],[orden]]="","",tblEjecucion[[#This Row],[orden]]&amp;IF(tblEjecucion[[#This Row],[operacion]]="","0010",tblEjecucion[[#This Row],[operacion]]))</f>
        <v/>
      </c>
    </row>
    <row r="812">
      <c r="A812" s="3" t="n"/>
      <c r="B812" s="3" t="n"/>
      <c r="C812" s="3" t="n"/>
      <c r="D812" s="3" t="n"/>
      <c r="E812" s="3" t="n"/>
      <c r="F812" s="11" t="n"/>
      <c r="G812" s="11" t="n"/>
      <c r="H812" s="11" t="n"/>
      <c r="I812" s="3" t="n"/>
      <c r="J812" s="3">
        <f>IF(tblEjecucion[[#This Row],[orden]]="","",tblEjecucion[[#This Row],[orden]]&amp;IF(tblEjecucion[[#This Row],[operacion]]="","0010",tblEjecucion[[#This Row],[operacion]]))</f>
        <v/>
      </c>
    </row>
    <row r="813">
      <c r="A813" s="3" t="n"/>
      <c r="B813" s="3" t="n"/>
      <c r="C813" s="3" t="n"/>
      <c r="D813" s="3" t="n"/>
      <c r="E813" s="3" t="n"/>
      <c r="F813" s="11" t="n"/>
      <c r="G813" s="11" t="n"/>
      <c r="H813" s="11" t="n"/>
      <c r="I813" s="3" t="n"/>
      <c r="J813" s="3">
        <f>IF(tblEjecucion[[#This Row],[orden]]="","",tblEjecucion[[#This Row],[orden]]&amp;IF(tblEjecucion[[#This Row],[operacion]]="","0010",tblEjecucion[[#This Row],[operacion]]))</f>
        <v/>
      </c>
    </row>
    <row r="814">
      <c r="A814" s="3" t="n"/>
      <c r="B814" s="3" t="n"/>
      <c r="C814" s="3" t="n"/>
      <c r="D814" s="3" t="n"/>
      <c r="E814" s="3" t="n"/>
      <c r="F814" s="11" t="n"/>
      <c r="G814" s="11" t="n"/>
      <c r="H814" s="11" t="n"/>
      <c r="I814" s="3" t="n"/>
      <c r="J814" s="3">
        <f>IF(tblEjecucion[[#This Row],[orden]]="","",tblEjecucion[[#This Row],[orden]]&amp;IF(tblEjecucion[[#This Row],[operacion]]="","0010",tblEjecucion[[#This Row],[operacion]]))</f>
        <v/>
      </c>
    </row>
    <row r="815">
      <c r="A815" s="3" t="n"/>
      <c r="B815" s="3" t="n"/>
      <c r="C815" s="3" t="n"/>
      <c r="D815" s="3" t="n"/>
      <c r="E815" s="3" t="n"/>
      <c r="F815" s="11" t="n"/>
      <c r="G815" s="11" t="n"/>
      <c r="H815" s="11" t="n"/>
      <c r="I815" s="3" t="n"/>
      <c r="J815" s="3">
        <f>IF(tblEjecucion[[#This Row],[orden]]="","",tblEjecucion[[#This Row],[orden]]&amp;IF(tblEjecucion[[#This Row],[operacion]]="","0010",tblEjecucion[[#This Row],[operacion]]))</f>
        <v/>
      </c>
    </row>
    <row r="816">
      <c r="A816" s="3" t="n"/>
      <c r="B816" s="3" t="n"/>
      <c r="C816" s="3" t="n"/>
      <c r="D816" s="3" t="n"/>
      <c r="E816" s="3" t="n"/>
      <c r="F816" s="11" t="n"/>
      <c r="G816" s="11" t="n"/>
      <c r="H816" s="11" t="n"/>
      <c r="I816" s="3" t="n"/>
      <c r="J816" s="3">
        <f>IF(tblEjecucion[[#This Row],[orden]]="","",tblEjecucion[[#This Row],[orden]]&amp;IF(tblEjecucion[[#This Row],[operacion]]="","0010",tblEjecucion[[#This Row],[operacion]]))</f>
        <v/>
      </c>
    </row>
    <row r="817">
      <c r="A817" s="3" t="n"/>
      <c r="B817" s="3" t="n"/>
      <c r="C817" s="3" t="n"/>
      <c r="D817" s="3" t="n"/>
      <c r="E817" s="3" t="n"/>
      <c r="F817" s="11" t="n"/>
      <c r="G817" s="11" t="n"/>
      <c r="H817" s="11" t="n"/>
      <c r="I817" s="3" t="n"/>
      <c r="J817" s="3">
        <f>IF(tblEjecucion[[#This Row],[orden]]="","",tblEjecucion[[#This Row],[orden]]&amp;IF(tblEjecucion[[#This Row],[operacion]]="","0010",tblEjecucion[[#This Row],[operacion]]))</f>
        <v/>
      </c>
    </row>
    <row r="818">
      <c r="A818" s="3" t="n"/>
      <c r="B818" s="3" t="n"/>
      <c r="C818" s="3" t="n"/>
      <c r="D818" s="3" t="n"/>
      <c r="E818" s="3" t="n"/>
      <c r="F818" s="11" t="n"/>
      <c r="G818" s="11" t="n"/>
      <c r="H818" s="11" t="n"/>
      <c r="I818" s="3" t="n"/>
      <c r="J818" s="3">
        <f>IF(tblEjecucion[[#This Row],[orden]]="","",tblEjecucion[[#This Row],[orden]]&amp;IF(tblEjecucion[[#This Row],[operacion]]="","0010",tblEjecucion[[#This Row],[operacion]]))</f>
        <v/>
      </c>
    </row>
    <row r="819">
      <c r="A819" s="3" t="n"/>
      <c r="B819" s="3" t="n"/>
      <c r="C819" s="3" t="n"/>
      <c r="D819" s="3" t="n"/>
      <c r="E819" s="3" t="n"/>
      <c r="F819" s="11" t="n"/>
      <c r="G819" s="11" t="n"/>
      <c r="H819" s="11" t="n"/>
      <c r="I819" s="3" t="n"/>
      <c r="J819" s="3">
        <f>IF(tblEjecucion[[#This Row],[orden]]="","",tblEjecucion[[#This Row],[orden]]&amp;IF(tblEjecucion[[#This Row],[operacion]]="","0010",tblEjecucion[[#This Row],[operacion]]))</f>
        <v/>
      </c>
    </row>
    <row r="820">
      <c r="A820" s="3" t="n"/>
      <c r="B820" s="3" t="n"/>
      <c r="C820" s="3" t="n"/>
      <c r="D820" s="3" t="n"/>
      <c r="E820" s="3" t="n"/>
      <c r="F820" s="11" t="n"/>
      <c r="G820" s="11" t="n"/>
      <c r="H820" s="11" t="n"/>
      <c r="I820" s="3" t="n"/>
      <c r="J820" s="3">
        <f>IF(tblEjecucion[[#This Row],[orden]]="","",tblEjecucion[[#This Row],[orden]]&amp;IF(tblEjecucion[[#This Row],[operacion]]="","0010",tblEjecucion[[#This Row],[operacion]]))</f>
        <v/>
      </c>
    </row>
    <row r="821">
      <c r="A821" s="3" t="n"/>
      <c r="B821" s="3" t="n"/>
      <c r="C821" s="3" t="n"/>
      <c r="D821" s="3" t="n"/>
      <c r="E821" s="3" t="n"/>
      <c r="F821" s="11" t="n"/>
      <c r="G821" s="11" t="n"/>
      <c r="H821" s="11" t="n"/>
      <c r="I821" s="3" t="n"/>
      <c r="J821" s="3">
        <f>IF(tblEjecucion[[#This Row],[orden]]="","",tblEjecucion[[#This Row],[orden]]&amp;IF(tblEjecucion[[#This Row],[operacion]]="","0010",tblEjecucion[[#This Row],[operacion]]))</f>
        <v/>
      </c>
    </row>
    <row r="822">
      <c r="A822" s="3" t="n"/>
      <c r="B822" s="3" t="n"/>
      <c r="C822" s="3" t="n"/>
      <c r="D822" s="3" t="n"/>
      <c r="E822" s="3" t="n"/>
      <c r="F822" s="11" t="n"/>
      <c r="G822" s="11" t="n"/>
      <c r="H822" s="11" t="n"/>
      <c r="I822" s="3" t="n"/>
      <c r="J822" s="3">
        <f>IF(tblEjecucion[[#This Row],[orden]]="","",tblEjecucion[[#This Row],[orden]]&amp;IF(tblEjecucion[[#This Row],[operacion]]="","0010",tblEjecucion[[#This Row],[operacion]]))</f>
        <v/>
      </c>
    </row>
    <row r="823">
      <c r="A823" s="3" t="n"/>
      <c r="B823" s="3" t="n"/>
      <c r="C823" s="3" t="n"/>
      <c r="D823" s="3" t="n"/>
      <c r="E823" s="3" t="n"/>
      <c r="F823" s="11" t="n"/>
      <c r="G823" s="11" t="n"/>
      <c r="H823" s="11" t="n"/>
      <c r="I823" s="3" t="n"/>
      <c r="J823" s="3">
        <f>IF(tblEjecucion[[#This Row],[orden]]="","",tblEjecucion[[#This Row],[orden]]&amp;IF(tblEjecucion[[#This Row],[operacion]]="","0010",tblEjecucion[[#This Row],[operacion]]))</f>
        <v/>
      </c>
    </row>
    <row r="824">
      <c r="A824" s="3" t="n"/>
      <c r="B824" s="3" t="n"/>
      <c r="C824" s="3" t="n"/>
      <c r="D824" s="3" t="n"/>
      <c r="E824" s="3" t="n"/>
      <c r="F824" s="11" t="n"/>
      <c r="G824" s="11" t="n"/>
      <c r="H824" s="11" t="n"/>
      <c r="I824" s="3" t="n"/>
      <c r="J824" s="3">
        <f>IF(tblEjecucion[[#This Row],[orden]]="","",tblEjecucion[[#This Row],[orden]]&amp;IF(tblEjecucion[[#This Row],[operacion]]="","0010",tblEjecucion[[#This Row],[operacion]]))</f>
        <v/>
      </c>
    </row>
    <row r="825">
      <c r="A825" s="3" t="n"/>
      <c r="B825" s="3" t="n"/>
      <c r="C825" s="3" t="n"/>
      <c r="D825" s="3" t="n"/>
      <c r="E825" s="3" t="n"/>
      <c r="F825" s="11" t="n"/>
      <c r="G825" s="11" t="n"/>
      <c r="H825" s="11" t="n"/>
      <c r="I825" s="3" t="n"/>
      <c r="J825" s="3">
        <f>IF(tblEjecucion[[#This Row],[orden]]="","",tblEjecucion[[#This Row],[orden]]&amp;IF(tblEjecucion[[#This Row],[operacion]]="","0010",tblEjecucion[[#This Row],[operacion]]))</f>
        <v/>
      </c>
    </row>
    <row r="826">
      <c r="A826" s="3" t="n"/>
      <c r="B826" s="3" t="n"/>
      <c r="C826" s="3" t="n"/>
      <c r="D826" s="3" t="n"/>
      <c r="E826" s="3" t="n"/>
      <c r="F826" s="11" t="n"/>
      <c r="G826" s="11" t="n"/>
      <c r="H826" s="11" t="n"/>
      <c r="I826" s="3" t="n"/>
      <c r="J826" s="3">
        <f>IF(tblEjecucion[[#This Row],[orden]]="","",tblEjecucion[[#This Row],[orden]]&amp;IF(tblEjecucion[[#This Row],[operacion]]="","0010",tblEjecucion[[#This Row],[operacion]]))</f>
        <v/>
      </c>
    </row>
    <row r="827">
      <c r="A827" s="3" t="n"/>
      <c r="B827" s="3" t="n"/>
      <c r="C827" s="3" t="n"/>
      <c r="D827" s="3" t="n"/>
      <c r="E827" s="3" t="n"/>
      <c r="F827" s="11" t="n"/>
      <c r="G827" s="11" t="n"/>
      <c r="H827" s="11" t="n"/>
      <c r="I827" s="3" t="n"/>
      <c r="J827" s="3">
        <f>IF(tblEjecucion[[#This Row],[orden]]="","",tblEjecucion[[#This Row],[orden]]&amp;IF(tblEjecucion[[#This Row],[operacion]]="","0010",tblEjecucion[[#This Row],[operacion]]))</f>
        <v/>
      </c>
    </row>
    <row r="828">
      <c r="A828" s="3" t="n"/>
      <c r="B828" s="3" t="n"/>
      <c r="C828" s="3" t="n"/>
      <c r="D828" s="3" t="n"/>
      <c r="E828" s="3" t="n"/>
      <c r="F828" s="11" t="n"/>
      <c r="G828" s="11" t="n"/>
      <c r="H828" s="11" t="n"/>
      <c r="I828" s="3" t="n"/>
      <c r="J828" s="3">
        <f>IF(tblEjecucion[[#This Row],[orden]]="","",tblEjecucion[[#This Row],[orden]]&amp;IF(tblEjecucion[[#This Row],[operacion]]="","0010",tblEjecucion[[#This Row],[operacion]]))</f>
        <v/>
      </c>
    </row>
    <row r="829">
      <c r="A829" s="3" t="n"/>
      <c r="B829" s="3" t="n"/>
      <c r="C829" s="3" t="n"/>
      <c r="D829" s="3" t="n"/>
      <c r="E829" s="3" t="n"/>
      <c r="F829" s="11" t="n"/>
      <c r="G829" s="11" t="n"/>
      <c r="H829" s="11" t="n"/>
      <c r="I829" s="3" t="n"/>
      <c r="J829" s="3">
        <f>IF(tblEjecucion[[#This Row],[orden]]="","",tblEjecucion[[#This Row],[orden]]&amp;IF(tblEjecucion[[#This Row],[operacion]]="","0010",tblEjecucion[[#This Row],[operacion]]))</f>
        <v/>
      </c>
    </row>
    <row r="830">
      <c r="A830" s="3" t="n"/>
      <c r="B830" s="3" t="n"/>
      <c r="C830" s="3" t="n"/>
      <c r="D830" s="3" t="n"/>
      <c r="E830" s="3" t="n"/>
      <c r="F830" s="11" t="n"/>
      <c r="G830" s="11" t="n"/>
      <c r="H830" s="11" t="n"/>
      <c r="I830" s="3" t="n"/>
      <c r="J830" s="3">
        <f>IF(tblEjecucion[[#This Row],[orden]]="","",tblEjecucion[[#This Row],[orden]]&amp;IF(tblEjecucion[[#This Row],[operacion]]="","0010",tblEjecucion[[#This Row],[operacion]]))</f>
        <v/>
      </c>
    </row>
    <row r="831">
      <c r="A831" s="3" t="n"/>
      <c r="B831" s="3" t="n"/>
      <c r="C831" s="3" t="n"/>
      <c r="D831" s="3" t="n"/>
      <c r="E831" s="3" t="n"/>
      <c r="F831" s="11" t="n"/>
      <c r="G831" s="11" t="n"/>
      <c r="H831" s="11" t="n"/>
      <c r="I831" s="3" t="n"/>
      <c r="J831" s="3">
        <f>IF(tblEjecucion[[#This Row],[orden]]="","",tblEjecucion[[#This Row],[orden]]&amp;IF(tblEjecucion[[#This Row],[operacion]]="","0010",tblEjecucion[[#This Row],[operacion]]))</f>
        <v/>
      </c>
    </row>
    <row r="832">
      <c r="A832" s="3" t="n"/>
      <c r="B832" s="3" t="n"/>
      <c r="C832" s="3" t="n"/>
      <c r="D832" s="3" t="n"/>
      <c r="E832" s="3" t="n"/>
      <c r="F832" s="11" t="n"/>
      <c r="G832" s="11" t="n"/>
      <c r="H832" s="11" t="n"/>
      <c r="I832" s="3" t="n"/>
      <c r="J832" s="3">
        <f>IF(tblEjecucion[[#This Row],[orden]]="","",tblEjecucion[[#This Row],[orden]]&amp;IF(tblEjecucion[[#This Row],[operacion]]="","0010",tblEjecucion[[#This Row],[operacion]]))</f>
        <v/>
      </c>
    </row>
    <row r="833">
      <c r="A833" s="3" t="n"/>
      <c r="B833" s="3" t="n"/>
      <c r="C833" s="3" t="n"/>
      <c r="D833" s="3" t="n"/>
      <c r="E833" s="3" t="n"/>
      <c r="F833" s="11" t="n"/>
      <c r="G833" s="11" t="n"/>
      <c r="H833" s="11" t="n"/>
      <c r="I833" s="3" t="n"/>
      <c r="J833" s="3">
        <f>IF(tblEjecucion[[#This Row],[orden]]="","",tblEjecucion[[#This Row],[orden]]&amp;IF(tblEjecucion[[#This Row],[operacion]]="","0010",tblEjecucion[[#This Row],[operacion]]))</f>
        <v/>
      </c>
    </row>
    <row r="834">
      <c r="A834" s="3" t="n"/>
      <c r="B834" s="3" t="n"/>
      <c r="C834" s="3" t="n"/>
      <c r="D834" s="3" t="n"/>
      <c r="E834" s="3" t="n"/>
      <c r="F834" s="11" t="n"/>
      <c r="G834" s="11" t="n"/>
      <c r="H834" s="11" t="n"/>
      <c r="I834" s="3" t="n"/>
      <c r="J834" s="3">
        <f>IF(tblEjecucion[[#This Row],[orden]]="","",tblEjecucion[[#This Row],[orden]]&amp;IF(tblEjecucion[[#This Row],[operacion]]="","0010",tblEjecucion[[#This Row],[operacion]]))</f>
        <v/>
      </c>
    </row>
    <row r="835">
      <c r="A835" s="3" t="n"/>
      <c r="B835" s="3" t="n"/>
      <c r="C835" s="3" t="n"/>
      <c r="D835" s="3" t="n"/>
      <c r="E835" s="3" t="n"/>
      <c r="F835" s="11" t="n"/>
      <c r="G835" s="11" t="n"/>
      <c r="H835" s="11" t="n"/>
      <c r="I835" s="3" t="n"/>
      <c r="J835" s="3">
        <f>IF(tblEjecucion[[#This Row],[orden]]="","",tblEjecucion[[#This Row],[orden]]&amp;IF(tblEjecucion[[#This Row],[operacion]]="","0010",tblEjecucion[[#This Row],[operacion]]))</f>
        <v/>
      </c>
    </row>
    <row r="836">
      <c r="A836" s="3" t="n"/>
      <c r="B836" s="3" t="n"/>
      <c r="C836" s="3" t="n"/>
      <c r="D836" s="3" t="n"/>
      <c r="E836" s="3" t="n"/>
      <c r="F836" s="11" t="n"/>
      <c r="G836" s="11" t="n"/>
      <c r="H836" s="11" t="n"/>
      <c r="I836" s="3" t="n"/>
      <c r="J836" s="3">
        <f>IF(tblEjecucion[[#This Row],[orden]]="","",tblEjecucion[[#This Row],[orden]]&amp;IF(tblEjecucion[[#This Row],[operacion]]="","0010",tblEjecucion[[#This Row],[operacion]]))</f>
        <v/>
      </c>
    </row>
    <row r="837">
      <c r="A837" s="3" t="n"/>
      <c r="B837" s="3" t="n"/>
      <c r="C837" s="3" t="n"/>
      <c r="D837" s="3" t="n"/>
      <c r="E837" s="3" t="n"/>
      <c r="F837" s="11" t="n"/>
      <c r="G837" s="11" t="n"/>
      <c r="H837" s="11" t="n"/>
      <c r="I837" s="3" t="n"/>
      <c r="J837" s="3">
        <f>IF(tblEjecucion[[#This Row],[orden]]="","",tblEjecucion[[#This Row],[orden]]&amp;IF(tblEjecucion[[#This Row],[operacion]]="","0010",tblEjecucion[[#This Row],[operacion]]))</f>
        <v/>
      </c>
    </row>
    <row r="838">
      <c r="A838" s="3" t="n"/>
      <c r="B838" s="3" t="n"/>
      <c r="C838" s="3" t="n"/>
      <c r="D838" s="3" t="n"/>
      <c r="E838" s="3" t="n"/>
      <c r="F838" s="11" t="n"/>
      <c r="G838" s="11" t="n"/>
      <c r="H838" s="11" t="n"/>
      <c r="I838" s="3" t="n"/>
      <c r="J838" s="3">
        <f>IF(tblEjecucion[[#This Row],[orden]]="","",tblEjecucion[[#This Row],[orden]]&amp;IF(tblEjecucion[[#This Row],[operacion]]="","0010",tblEjecucion[[#This Row],[operacion]]))</f>
        <v/>
      </c>
    </row>
    <row r="839">
      <c r="A839" s="3" t="n"/>
      <c r="B839" s="3" t="n"/>
      <c r="C839" s="3" t="n"/>
      <c r="D839" s="3" t="n"/>
      <c r="E839" s="3" t="n"/>
      <c r="F839" s="11" t="n"/>
      <c r="G839" s="11" t="n"/>
      <c r="H839" s="11" t="n"/>
      <c r="I839" s="3" t="n"/>
      <c r="J839" s="3">
        <f>IF(tblEjecucion[[#This Row],[orden]]="","",tblEjecucion[[#This Row],[orden]]&amp;IF(tblEjecucion[[#This Row],[operacion]]="","0010",tblEjecucion[[#This Row],[operacion]]))</f>
        <v/>
      </c>
    </row>
    <row r="840">
      <c r="A840" s="3" t="n"/>
      <c r="B840" s="3" t="n"/>
      <c r="C840" s="3" t="n"/>
      <c r="D840" s="3" t="n"/>
      <c r="E840" s="3" t="n"/>
      <c r="F840" s="11" t="n"/>
      <c r="G840" s="11" t="n"/>
      <c r="H840" s="11" t="n"/>
      <c r="I840" s="3" t="n"/>
      <c r="J840" s="3">
        <f>IF(tblEjecucion[[#This Row],[orden]]="","",tblEjecucion[[#This Row],[orden]]&amp;IF(tblEjecucion[[#This Row],[operacion]]="","0010",tblEjecucion[[#This Row],[operacion]]))</f>
        <v/>
      </c>
    </row>
    <row r="841">
      <c r="A841" s="3" t="n"/>
      <c r="B841" s="3" t="n"/>
      <c r="C841" s="3" t="n"/>
      <c r="D841" s="3" t="n"/>
      <c r="E841" s="3" t="n"/>
      <c r="F841" s="11" t="n"/>
      <c r="G841" s="11" t="n"/>
      <c r="H841" s="11" t="n"/>
      <c r="I841" s="3" t="n"/>
      <c r="J841" s="3">
        <f>IF(tblEjecucion[[#This Row],[orden]]="","",tblEjecucion[[#This Row],[orden]]&amp;IF(tblEjecucion[[#This Row],[operacion]]="","0010",tblEjecucion[[#This Row],[operacion]]))</f>
        <v/>
      </c>
    </row>
    <row r="842">
      <c r="A842" s="3" t="n"/>
      <c r="B842" s="3" t="n"/>
      <c r="C842" s="3" t="n"/>
      <c r="D842" s="3" t="n"/>
      <c r="E842" s="3" t="n"/>
      <c r="F842" s="11" t="n"/>
      <c r="G842" s="11" t="n"/>
      <c r="H842" s="11" t="n"/>
      <c r="I842" s="3" t="n"/>
      <c r="J842" s="3">
        <f>IF(tblEjecucion[[#This Row],[orden]]="","",tblEjecucion[[#This Row],[orden]]&amp;IF(tblEjecucion[[#This Row],[operacion]]="","0010",tblEjecucion[[#This Row],[operacion]]))</f>
        <v/>
      </c>
    </row>
    <row r="843">
      <c r="A843" s="3" t="n"/>
      <c r="B843" s="3" t="n"/>
      <c r="C843" s="3" t="n"/>
      <c r="D843" s="3" t="n"/>
      <c r="E843" s="3" t="n"/>
      <c r="F843" s="11" t="n"/>
      <c r="G843" s="11" t="n"/>
      <c r="H843" s="11" t="n"/>
      <c r="I843" s="3" t="n"/>
      <c r="J843" s="3">
        <f>IF(tblEjecucion[[#This Row],[orden]]="","",tblEjecucion[[#This Row],[orden]]&amp;IF(tblEjecucion[[#This Row],[operacion]]="","0010",tblEjecucion[[#This Row],[operacion]]))</f>
        <v/>
      </c>
    </row>
    <row r="844">
      <c r="A844" s="3" t="n"/>
      <c r="B844" s="3" t="n"/>
      <c r="C844" s="3" t="n"/>
      <c r="D844" s="3" t="n"/>
      <c r="E844" s="3" t="n"/>
      <c r="F844" s="11" t="n"/>
      <c r="G844" s="11" t="n"/>
      <c r="H844" s="11" t="n"/>
      <c r="I844" s="3" t="n"/>
      <c r="J844" s="3">
        <f>IF(tblEjecucion[[#This Row],[orden]]="","",tblEjecucion[[#This Row],[orden]]&amp;IF(tblEjecucion[[#This Row],[operacion]]="","0010",tblEjecucion[[#This Row],[operacion]]))</f>
        <v/>
      </c>
    </row>
    <row r="845">
      <c r="A845" s="3" t="n"/>
      <c r="B845" s="3" t="n"/>
      <c r="C845" s="3" t="n"/>
      <c r="D845" s="3" t="n"/>
      <c r="E845" s="3" t="n"/>
      <c r="F845" s="11" t="n"/>
      <c r="G845" s="11" t="n"/>
      <c r="H845" s="11" t="n"/>
      <c r="I845" s="3" t="n"/>
      <c r="J845" s="3">
        <f>IF(tblEjecucion[[#This Row],[orden]]="","",tblEjecucion[[#This Row],[orden]]&amp;IF(tblEjecucion[[#This Row],[operacion]]="","0010",tblEjecucion[[#This Row],[operacion]]))</f>
        <v/>
      </c>
    </row>
    <row r="846">
      <c r="A846" s="3" t="n"/>
      <c r="B846" s="3" t="n"/>
      <c r="C846" s="3" t="n"/>
      <c r="D846" s="3" t="n"/>
      <c r="E846" s="3" t="n"/>
      <c r="F846" s="11" t="n"/>
      <c r="G846" s="11" t="n"/>
      <c r="H846" s="11" t="n"/>
      <c r="I846" s="3" t="n"/>
      <c r="J846" s="3">
        <f>IF(tblEjecucion[[#This Row],[orden]]="","",tblEjecucion[[#This Row],[orden]]&amp;IF(tblEjecucion[[#This Row],[operacion]]="","0010",tblEjecucion[[#This Row],[operacion]]))</f>
        <v/>
      </c>
    </row>
    <row r="847">
      <c r="A847" s="3" t="n"/>
      <c r="B847" s="3" t="n"/>
      <c r="C847" s="3" t="n"/>
      <c r="D847" s="3" t="n"/>
      <c r="E847" s="3" t="n"/>
      <c r="F847" s="11" t="n"/>
      <c r="G847" s="11" t="n"/>
      <c r="H847" s="11" t="n"/>
      <c r="I847" s="3" t="n"/>
      <c r="J847" s="3">
        <f>IF(tblEjecucion[[#This Row],[orden]]="","",tblEjecucion[[#This Row],[orden]]&amp;IF(tblEjecucion[[#This Row],[operacion]]="","0010",tblEjecucion[[#This Row],[operacion]]))</f>
        <v/>
      </c>
    </row>
    <row r="848">
      <c r="A848" s="3" t="n"/>
      <c r="B848" s="3" t="n"/>
      <c r="C848" s="3" t="n"/>
      <c r="D848" s="3" t="n"/>
      <c r="E848" s="3" t="n"/>
      <c r="F848" s="11" t="n"/>
      <c r="G848" s="11" t="n"/>
      <c r="H848" s="11" t="n"/>
      <c r="I848" s="3" t="n"/>
      <c r="J848" s="3">
        <f>IF(tblEjecucion[[#This Row],[orden]]="","",tblEjecucion[[#This Row],[orden]]&amp;IF(tblEjecucion[[#This Row],[operacion]]="","0010",tblEjecucion[[#This Row],[operacion]]))</f>
        <v/>
      </c>
    </row>
    <row r="849">
      <c r="A849" s="3" t="n"/>
      <c r="B849" s="3" t="n"/>
      <c r="C849" s="3" t="n"/>
      <c r="D849" s="3" t="n"/>
      <c r="E849" s="3" t="n"/>
      <c r="F849" s="11" t="n"/>
      <c r="G849" s="11" t="n"/>
      <c r="H849" s="11" t="n"/>
      <c r="I849" s="3" t="n"/>
      <c r="J849" s="3">
        <f>IF(tblEjecucion[[#This Row],[orden]]="","",tblEjecucion[[#This Row],[orden]]&amp;IF(tblEjecucion[[#This Row],[operacion]]="","0010",tblEjecucion[[#This Row],[operacion]]))</f>
        <v/>
      </c>
    </row>
    <row r="850">
      <c r="A850" s="3" t="n"/>
      <c r="B850" s="3" t="n"/>
      <c r="C850" s="3" t="n"/>
      <c r="D850" s="3" t="n"/>
      <c r="E850" s="3" t="n"/>
      <c r="F850" s="11" t="n"/>
      <c r="G850" s="11" t="n"/>
      <c r="H850" s="11" t="n"/>
      <c r="I850" s="3" t="n"/>
      <c r="J850" s="3">
        <f>IF(tblEjecucion[[#This Row],[orden]]="","",tblEjecucion[[#This Row],[orden]]&amp;IF(tblEjecucion[[#This Row],[operacion]]="","0010",tblEjecucion[[#This Row],[operacion]]))</f>
        <v/>
      </c>
    </row>
    <row r="851">
      <c r="A851" s="3" t="n"/>
      <c r="B851" s="3" t="n"/>
      <c r="C851" s="3" t="n"/>
      <c r="D851" s="3" t="n"/>
      <c r="E851" s="3" t="n"/>
      <c r="F851" s="11" t="n"/>
      <c r="G851" s="11" t="n"/>
      <c r="H851" s="11" t="n"/>
      <c r="I851" s="3" t="n"/>
      <c r="J851" s="3">
        <f>IF(tblEjecucion[[#This Row],[orden]]="","",tblEjecucion[[#This Row],[orden]]&amp;IF(tblEjecucion[[#This Row],[operacion]]="","0010",tblEjecucion[[#This Row],[operacion]]))</f>
        <v/>
      </c>
    </row>
    <row r="852">
      <c r="A852" s="3" t="n"/>
      <c r="B852" s="3" t="n"/>
      <c r="C852" s="3" t="n"/>
      <c r="D852" s="3" t="n"/>
      <c r="E852" s="3" t="n"/>
      <c r="F852" s="11" t="n"/>
      <c r="G852" s="11" t="n"/>
      <c r="H852" s="11" t="n"/>
      <c r="I852" s="3" t="n"/>
      <c r="J852" s="3">
        <f>IF(tblEjecucion[[#This Row],[orden]]="","",tblEjecucion[[#This Row],[orden]]&amp;IF(tblEjecucion[[#This Row],[operacion]]="","0010",tblEjecucion[[#This Row],[operacion]]))</f>
        <v/>
      </c>
    </row>
    <row r="853">
      <c r="A853" s="3" t="n"/>
      <c r="B853" s="3" t="n"/>
      <c r="C853" s="3" t="n"/>
      <c r="D853" s="3" t="n"/>
      <c r="E853" s="3" t="n"/>
      <c r="F853" s="11" t="n"/>
      <c r="G853" s="11" t="n"/>
      <c r="H853" s="11" t="n"/>
      <c r="I853" s="3" t="n"/>
      <c r="J853" s="3">
        <f>IF(tblEjecucion[[#This Row],[orden]]="","",tblEjecucion[[#This Row],[orden]]&amp;IF(tblEjecucion[[#This Row],[operacion]]="","0010",tblEjecucion[[#This Row],[operacion]]))</f>
        <v/>
      </c>
    </row>
    <row r="854">
      <c r="A854" s="3" t="n"/>
      <c r="B854" s="3" t="n"/>
      <c r="C854" s="3" t="n"/>
      <c r="D854" s="3" t="n"/>
      <c r="E854" s="3" t="n"/>
      <c r="F854" s="11" t="n"/>
      <c r="G854" s="11" t="n"/>
      <c r="H854" s="11" t="n"/>
      <c r="I854" s="3" t="n"/>
      <c r="J854" s="3">
        <f>IF(tblEjecucion[[#This Row],[orden]]="","",tblEjecucion[[#This Row],[orden]]&amp;IF(tblEjecucion[[#This Row],[operacion]]="","0010",tblEjecucion[[#This Row],[operacion]]))</f>
        <v/>
      </c>
    </row>
    <row r="855">
      <c r="A855" s="3" t="n"/>
      <c r="B855" s="3" t="n"/>
      <c r="C855" s="3" t="n"/>
      <c r="D855" s="3" t="n"/>
      <c r="E855" s="3" t="n"/>
      <c r="F855" s="11" t="n"/>
      <c r="G855" s="11" t="n"/>
      <c r="H855" s="11" t="n"/>
      <c r="I855" s="3" t="n"/>
      <c r="J855" s="3">
        <f>IF(tblEjecucion[[#This Row],[orden]]="","",tblEjecucion[[#This Row],[orden]]&amp;IF(tblEjecucion[[#This Row],[operacion]]="","0010",tblEjecucion[[#This Row],[operacion]]))</f>
        <v/>
      </c>
    </row>
    <row r="856">
      <c r="A856" s="3" t="n"/>
      <c r="B856" s="3" t="n"/>
      <c r="C856" s="3" t="n"/>
      <c r="D856" s="3" t="n"/>
      <c r="E856" s="3" t="n"/>
      <c r="F856" s="11" t="n"/>
      <c r="G856" s="11" t="n"/>
      <c r="H856" s="11" t="n"/>
      <c r="I856" s="3" t="n"/>
      <c r="J856" s="3">
        <f>IF(tblEjecucion[[#This Row],[orden]]="","",tblEjecucion[[#This Row],[orden]]&amp;IF(tblEjecucion[[#This Row],[operacion]]="","0010",tblEjecucion[[#This Row],[operacion]]))</f>
        <v/>
      </c>
    </row>
    <row r="857">
      <c r="A857" s="3" t="n"/>
      <c r="B857" s="3" t="n"/>
      <c r="C857" s="3" t="n"/>
      <c r="D857" s="3" t="n"/>
      <c r="E857" s="3" t="n"/>
      <c r="F857" s="11" t="n"/>
      <c r="G857" s="11" t="n"/>
      <c r="H857" s="11" t="n"/>
      <c r="I857" s="3" t="n"/>
      <c r="J857" s="3">
        <f>IF(tblEjecucion[[#This Row],[orden]]="","",tblEjecucion[[#This Row],[orden]]&amp;IF(tblEjecucion[[#This Row],[operacion]]="","0010",tblEjecucion[[#This Row],[operacion]]))</f>
        <v/>
      </c>
    </row>
    <row r="858">
      <c r="A858" s="3" t="n"/>
      <c r="B858" s="3" t="n"/>
      <c r="C858" s="3" t="n"/>
      <c r="D858" s="3" t="n"/>
      <c r="E858" s="3" t="n"/>
      <c r="F858" s="11" t="n"/>
      <c r="G858" s="11" t="n"/>
      <c r="H858" s="11" t="n"/>
      <c r="I858" s="3" t="n"/>
      <c r="J858" s="3">
        <f>IF(tblEjecucion[[#This Row],[orden]]="","",tblEjecucion[[#This Row],[orden]]&amp;IF(tblEjecucion[[#This Row],[operacion]]="","0010",tblEjecucion[[#This Row],[operacion]]))</f>
        <v/>
      </c>
    </row>
    <row r="859">
      <c r="A859" s="3" t="n"/>
      <c r="B859" s="3" t="n"/>
      <c r="C859" s="3" t="n"/>
      <c r="D859" s="3" t="n"/>
      <c r="E859" s="3" t="n"/>
      <c r="F859" s="11" t="n"/>
      <c r="G859" s="11" t="n"/>
      <c r="H859" s="11" t="n"/>
      <c r="I859" s="3" t="n"/>
      <c r="J859" s="3">
        <f>IF(tblEjecucion[[#This Row],[orden]]="","",tblEjecucion[[#This Row],[orden]]&amp;IF(tblEjecucion[[#This Row],[operacion]]="","0010",tblEjecucion[[#This Row],[operacion]]))</f>
        <v/>
      </c>
    </row>
    <row r="860">
      <c r="A860" s="3" t="n"/>
      <c r="B860" s="3" t="n"/>
      <c r="C860" s="3" t="n"/>
      <c r="D860" s="3" t="n"/>
      <c r="E860" s="3" t="n"/>
      <c r="F860" s="11" t="n"/>
      <c r="G860" s="11" t="n"/>
      <c r="H860" s="11" t="n"/>
      <c r="I860" s="3" t="n"/>
      <c r="J860" s="3">
        <f>IF(tblEjecucion[[#This Row],[orden]]="","",tblEjecucion[[#This Row],[orden]]&amp;IF(tblEjecucion[[#This Row],[operacion]]="","0010",tblEjecucion[[#This Row],[operacion]]))</f>
        <v/>
      </c>
    </row>
    <row r="861">
      <c r="A861" s="3" t="n"/>
      <c r="B861" s="3" t="n"/>
      <c r="C861" s="3" t="n"/>
      <c r="D861" s="3" t="n"/>
      <c r="E861" s="3" t="n"/>
      <c r="F861" s="11" t="n"/>
      <c r="G861" s="11" t="n"/>
      <c r="H861" s="11" t="n"/>
      <c r="I861" s="3" t="n"/>
      <c r="J861" s="3">
        <f>IF(tblEjecucion[[#This Row],[orden]]="","",tblEjecucion[[#This Row],[orden]]&amp;IF(tblEjecucion[[#This Row],[operacion]]="","0010",tblEjecucion[[#This Row],[operacion]]))</f>
        <v/>
      </c>
    </row>
    <row r="862">
      <c r="A862" s="3" t="n"/>
      <c r="B862" s="3" t="n"/>
      <c r="C862" s="3" t="n"/>
      <c r="D862" s="3" t="n"/>
      <c r="E862" s="3" t="n"/>
      <c r="F862" s="11" t="n"/>
      <c r="G862" s="11" t="n"/>
      <c r="H862" s="11" t="n"/>
      <c r="I862" s="3" t="n"/>
      <c r="J862" s="3">
        <f>IF(tblEjecucion[[#This Row],[orden]]="","",tblEjecucion[[#This Row],[orden]]&amp;IF(tblEjecucion[[#This Row],[operacion]]="","0010",tblEjecucion[[#This Row],[operacion]]))</f>
        <v/>
      </c>
    </row>
    <row r="863">
      <c r="A863" s="3" t="n"/>
      <c r="B863" s="3" t="n"/>
      <c r="C863" s="3" t="n"/>
      <c r="D863" s="3" t="n"/>
      <c r="E863" s="3" t="n"/>
      <c r="F863" s="11" t="n"/>
      <c r="G863" s="11" t="n"/>
      <c r="H863" s="11" t="n"/>
      <c r="I863" s="3" t="n"/>
      <c r="J863" s="3">
        <f>IF(tblEjecucion[[#This Row],[orden]]="","",tblEjecucion[[#This Row],[orden]]&amp;IF(tblEjecucion[[#This Row],[operacion]]="","0010",tblEjecucion[[#This Row],[operacion]]))</f>
        <v/>
      </c>
    </row>
    <row r="864">
      <c r="A864" s="3" t="n"/>
      <c r="B864" s="3" t="n"/>
      <c r="C864" s="3" t="n"/>
      <c r="D864" s="3" t="n"/>
      <c r="E864" s="3" t="n"/>
      <c r="F864" s="11" t="n"/>
      <c r="G864" s="11" t="n"/>
      <c r="H864" s="11" t="n"/>
      <c r="I864" s="3" t="n"/>
      <c r="J864" s="3">
        <f>IF(tblEjecucion[[#This Row],[orden]]="","",tblEjecucion[[#This Row],[orden]]&amp;IF(tblEjecucion[[#This Row],[operacion]]="","0010",tblEjecucion[[#This Row],[operacion]]))</f>
        <v/>
      </c>
    </row>
    <row r="865">
      <c r="A865" s="3" t="n"/>
      <c r="B865" s="3" t="n"/>
      <c r="C865" s="3" t="n"/>
      <c r="D865" s="3" t="n"/>
      <c r="E865" s="3" t="n"/>
      <c r="F865" s="11" t="n"/>
      <c r="G865" s="11" t="n"/>
      <c r="H865" s="11" t="n"/>
      <c r="I865" s="3" t="n"/>
      <c r="J865" s="3">
        <f>IF(tblEjecucion[[#This Row],[orden]]="","",tblEjecucion[[#This Row],[orden]]&amp;IF(tblEjecucion[[#This Row],[operacion]]="","0010",tblEjecucion[[#This Row],[operacion]]))</f>
        <v/>
      </c>
    </row>
    <row r="866">
      <c r="A866" s="3" t="n"/>
      <c r="B866" s="3" t="n"/>
      <c r="C866" s="3" t="n"/>
      <c r="D866" s="3" t="n"/>
      <c r="E866" s="3" t="n"/>
      <c r="F866" s="11" t="n"/>
      <c r="G866" s="11" t="n"/>
      <c r="H866" s="11" t="n"/>
      <c r="I866" s="3" t="n"/>
      <c r="J866" s="3">
        <f>IF(tblEjecucion[[#This Row],[orden]]="","",tblEjecucion[[#This Row],[orden]]&amp;IF(tblEjecucion[[#This Row],[operacion]]="","0010",tblEjecucion[[#This Row],[operacion]]))</f>
        <v/>
      </c>
    </row>
    <row r="867">
      <c r="A867" s="3" t="n"/>
      <c r="B867" s="3" t="n"/>
      <c r="C867" s="3" t="n"/>
      <c r="D867" s="3" t="n"/>
      <c r="E867" s="3" t="n"/>
      <c r="F867" s="11" t="n"/>
      <c r="G867" s="11" t="n"/>
      <c r="H867" s="11" t="n"/>
      <c r="I867" s="3" t="n"/>
      <c r="J867" s="3">
        <f>IF(tblEjecucion[[#This Row],[orden]]="","",tblEjecucion[[#This Row],[orden]]&amp;IF(tblEjecucion[[#This Row],[operacion]]="","0010",tblEjecucion[[#This Row],[operacion]]))</f>
        <v/>
      </c>
    </row>
    <row r="868">
      <c r="A868" s="3" t="n"/>
      <c r="B868" s="3" t="n"/>
      <c r="C868" s="3" t="n"/>
      <c r="D868" s="3" t="n"/>
      <c r="E868" s="3" t="n"/>
      <c r="F868" s="11" t="n"/>
      <c r="G868" s="11" t="n"/>
      <c r="H868" s="11" t="n"/>
      <c r="I868" s="3" t="n"/>
      <c r="J868" s="3">
        <f>IF(tblEjecucion[[#This Row],[orden]]="","",tblEjecucion[[#This Row],[orden]]&amp;IF(tblEjecucion[[#This Row],[operacion]]="","0010",tblEjecucion[[#This Row],[operacion]]))</f>
        <v/>
      </c>
    </row>
    <row r="869">
      <c r="A869" s="3" t="n"/>
      <c r="B869" s="3" t="n"/>
      <c r="C869" s="3" t="n"/>
      <c r="D869" s="3" t="n"/>
      <c r="E869" s="3" t="n"/>
      <c r="F869" s="11" t="n"/>
      <c r="G869" s="11" t="n"/>
      <c r="H869" s="11" t="n"/>
      <c r="I869" s="3" t="n"/>
      <c r="J869" s="3">
        <f>IF(tblEjecucion[[#This Row],[orden]]="","",tblEjecucion[[#This Row],[orden]]&amp;IF(tblEjecucion[[#This Row],[operacion]]="","0010",tblEjecucion[[#This Row],[operacion]]))</f>
        <v/>
      </c>
    </row>
    <row r="870">
      <c r="A870" s="3" t="n"/>
      <c r="B870" s="3" t="n"/>
      <c r="C870" s="3" t="n"/>
      <c r="D870" s="3" t="n"/>
      <c r="E870" s="3" t="n"/>
      <c r="F870" s="11" t="n"/>
      <c r="G870" s="11" t="n"/>
      <c r="H870" s="11" t="n"/>
      <c r="I870" s="3" t="n"/>
      <c r="J870" s="3">
        <f>IF(tblEjecucion[[#This Row],[orden]]="","",tblEjecucion[[#This Row],[orden]]&amp;IF(tblEjecucion[[#This Row],[operacion]]="","0010",tblEjecucion[[#This Row],[operacion]]))</f>
        <v/>
      </c>
    </row>
    <row r="871">
      <c r="A871" s="3" t="n"/>
      <c r="B871" s="3" t="n"/>
      <c r="C871" s="3" t="n"/>
      <c r="D871" s="3" t="n"/>
      <c r="E871" s="3" t="n"/>
      <c r="F871" s="11" t="n"/>
      <c r="G871" s="11" t="n"/>
      <c r="H871" s="11" t="n"/>
      <c r="I871" s="3" t="n"/>
      <c r="J871" s="3">
        <f>IF(tblEjecucion[[#This Row],[orden]]="","",tblEjecucion[[#This Row],[orden]]&amp;IF(tblEjecucion[[#This Row],[operacion]]="","0010",tblEjecucion[[#This Row],[operacion]]))</f>
        <v/>
      </c>
    </row>
    <row r="872">
      <c r="A872" s="3" t="n"/>
      <c r="B872" s="3" t="n"/>
      <c r="C872" s="3" t="n"/>
      <c r="D872" s="3" t="n"/>
      <c r="E872" s="3" t="n"/>
      <c r="F872" s="11" t="n"/>
      <c r="G872" s="11" t="n"/>
      <c r="H872" s="11" t="n"/>
      <c r="I872" s="3" t="n"/>
      <c r="J872" s="3">
        <f>IF(tblEjecucion[[#This Row],[orden]]="","",tblEjecucion[[#This Row],[orden]]&amp;IF(tblEjecucion[[#This Row],[operacion]]="","0010",tblEjecucion[[#This Row],[operacion]]))</f>
        <v/>
      </c>
    </row>
    <row r="873">
      <c r="A873" s="3" t="n"/>
      <c r="B873" s="3" t="n"/>
      <c r="C873" s="3" t="n"/>
      <c r="D873" s="3" t="n"/>
      <c r="E873" s="3" t="n"/>
      <c r="F873" s="11" t="n"/>
      <c r="G873" s="11" t="n"/>
      <c r="H873" s="11" t="n"/>
      <c r="I873" s="3" t="n"/>
      <c r="J873" s="3">
        <f>IF(tblEjecucion[[#This Row],[orden]]="","",tblEjecucion[[#This Row],[orden]]&amp;IF(tblEjecucion[[#This Row],[operacion]]="","0010",tblEjecucion[[#This Row],[operacion]]))</f>
        <v/>
      </c>
    </row>
    <row r="874">
      <c r="A874" s="3" t="n"/>
      <c r="B874" s="3" t="n"/>
      <c r="C874" s="3" t="n"/>
      <c r="D874" s="3" t="n"/>
      <c r="E874" s="3" t="n"/>
      <c r="F874" s="11" t="n"/>
      <c r="G874" s="11" t="n"/>
      <c r="H874" s="11" t="n"/>
      <c r="I874" s="3" t="n"/>
      <c r="J874" s="3">
        <f>IF(tblEjecucion[[#This Row],[orden]]="","",tblEjecucion[[#This Row],[orden]]&amp;IF(tblEjecucion[[#This Row],[operacion]]="","0010",tblEjecucion[[#This Row],[operacion]]))</f>
        <v/>
      </c>
    </row>
    <row r="875">
      <c r="A875" s="3" t="n"/>
      <c r="B875" s="3" t="n"/>
      <c r="C875" s="3" t="n"/>
      <c r="D875" s="3" t="n"/>
      <c r="E875" s="3" t="n"/>
      <c r="F875" s="11" t="n"/>
      <c r="G875" s="11" t="n"/>
      <c r="H875" s="11" t="n"/>
      <c r="I875" s="3" t="n"/>
      <c r="J875" s="3">
        <f>IF(tblEjecucion[[#This Row],[orden]]="","",tblEjecucion[[#This Row],[orden]]&amp;IF(tblEjecucion[[#This Row],[operacion]]="","0010",tblEjecucion[[#This Row],[operacion]]))</f>
        <v/>
      </c>
    </row>
    <row r="876">
      <c r="A876" s="3" t="n"/>
      <c r="B876" s="3" t="n"/>
      <c r="C876" s="3" t="n"/>
      <c r="D876" s="3" t="n"/>
      <c r="E876" s="3" t="n"/>
      <c r="F876" s="11" t="n"/>
      <c r="G876" s="11" t="n"/>
      <c r="H876" s="11" t="n"/>
      <c r="I876" s="3" t="n"/>
      <c r="J876" s="3">
        <f>IF(tblEjecucion[[#This Row],[orden]]="","",tblEjecucion[[#This Row],[orden]]&amp;IF(tblEjecucion[[#This Row],[operacion]]="","0010",tblEjecucion[[#This Row],[operacion]]))</f>
        <v/>
      </c>
    </row>
    <row r="877">
      <c r="A877" s="3" t="n"/>
      <c r="B877" s="3" t="n"/>
      <c r="C877" s="3" t="n"/>
      <c r="D877" s="3" t="n"/>
      <c r="E877" s="3" t="n"/>
      <c r="F877" s="11" t="n"/>
      <c r="G877" s="11" t="n"/>
      <c r="H877" s="11" t="n"/>
      <c r="I877" s="3" t="n"/>
      <c r="J877" s="3">
        <f>IF(tblEjecucion[[#This Row],[orden]]="","",tblEjecucion[[#This Row],[orden]]&amp;IF(tblEjecucion[[#This Row],[operacion]]="","0010",tblEjecucion[[#This Row],[operacion]]))</f>
        <v/>
      </c>
    </row>
    <row r="878">
      <c r="A878" s="3" t="n"/>
      <c r="B878" s="3" t="n"/>
      <c r="C878" s="3" t="n"/>
      <c r="D878" s="3" t="n"/>
      <c r="E878" s="3" t="n"/>
      <c r="F878" s="11" t="n"/>
      <c r="G878" s="11" t="n"/>
      <c r="H878" s="11" t="n"/>
      <c r="I878" s="3" t="n"/>
      <c r="J878" s="3">
        <f>IF(tblEjecucion[[#This Row],[orden]]="","",tblEjecucion[[#This Row],[orden]]&amp;IF(tblEjecucion[[#This Row],[operacion]]="","0010",tblEjecucion[[#This Row],[operacion]]))</f>
        <v/>
      </c>
    </row>
    <row r="879">
      <c r="A879" s="3" t="n"/>
      <c r="B879" s="3" t="n"/>
      <c r="C879" s="3" t="n"/>
      <c r="D879" s="3" t="n"/>
      <c r="E879" s="3" t="n"/>
      <c r="F879" s="11" t="n"/>
      <c r="G879" s="11" t="n"/>
      <c r="H879" s="11" t="n"/>
      <c r="I879" s="3" t="n"/>
      <c r="J879" s="3">
        <f>IF(tblEjecucion[[#This Row],[orden]]="","",tblEjecucion[[#This Row],[orden]]&amp;IF(tblEjecucion[[#This Row],[operacion]]="","0010",tblEjecucion[[#This Row],[operacion]]))</f>
        <v/>
      </c>
    </row>
    <row r="880">
      <c r="A880" s="3" t="n"/>
      <c r="B880" s="3" t="n"/>
      <c r="C880" s="3" t="n"/>
      <c r="D880" s="3" t="n"/>
      <c r="E880" s="3" t="n"/>
      <c r="F880" s="11" t="n"/>
      <c r="G880" s="11" t="n"/>
      <c r="H880" s="11" t="n"/>
      <c r="I880" s="3" t="n"/>
      <c r="J880" s="3">
        <f>IF(tblEjecucion[[#This Row],[orden]]="","",tblEjecucion[[#This Row],[orden]]&amp;IF(tblEjecucion[[#This Row],[operacion]]="","0010",tblEjecucion[[#This Row],[operacion]]))</f>
        <v/>
      </c>
    </row>
    <row r="881">
      <c r="A881" s="3" t="n"/>
      <c r="B881" s="3" t="n"/>
      <c r="C881" s="3" t="n"/>
      <c r="D881" s="3" t="n"/>
      <c r="E881" s="3" t="n"/>
      <c r="F881" s="11" t="n"/>
      <c r="G881" s="11" t="n"/>
      <c r="H881" s="11" t="n"/>
      <c r="I881" s="3" t="n"/>
      <c r="J881" s="3">
        <f>IF(tblEjecucion[[#This Row],[orden]]="","",tblEjecucion[[#This Row],[orden]]&amp;IF(tblEjecucion[[#This Row],[operacion]]="","0010",tblEjecucion[[#This Row],[operacion]]))</f>
        <v/>
      </c>
    </row>
    <row r="882">
      <c r="A882" s="3" t="n"/>
      <c r="B882" s="3" t="n"/>
      <c r="C882" s="3" t="n"/>
      <c r="D882" s="3" t="n"/>
      <c r="E882" s="3" t="n"/>
      <c r="F882" s="11" t="n"/>
      <c r="G882" s="11" t="n"/>
      <c r="H882" s="11" t="n"/>
      <c r="I882" s="3" t="n"/>
      <c r="J882" s="3">
        <f>IF(tblEjecucion[[#This Row],[orden]]="","",tblEjecucion[[#This Row],[orden]]&amp;IF(tblEjecucion[[#This Row],[operacion]]="","0010",tblEjecucion[[#This Row],[operacion]]))</f>
        <v/>
      </c>
    </row>
    <row r="883">
      <c r="A883" s="3" t="n"/>
      <c r="B883" s="3" t="n"/>
      <c r="C883" s="3" t="n"/>
      <c r="D883" s="3" t="n"/>
      <c r="E883" s="3" t="n"/>
      <c r="F883" s="11" t="n"/>
      <c r="G883" s="11" t="n"/>
      <c r="H883" s="11" t="n"/>
      <c r="I883" s="3" t="n"/>
      <c r="J883" s="3">
        <f>IF(tblEjecucion[[#This Row],[orden]]="","",tblEjecucion[[#This Row],[orden]]&amp;IF(tblEjecucion[[#This Row],[operacion]]="","0010",tblEjecucion[[#This Row],[operacion]]))</f>
        <v/>
      </c>
    </row>
    <row r="884">
      <c r="A884" s="3" t="n"/>
      <c r="B884" s="3" t="n"/>
      <c r="C884" s="3" t="n"/>
      <c r="D884" s="3" t="n"/>
      <c r="E884" s="3" t="n"/>
      <c r="F884" s="11" t="n"/>
      <c r="G884" s="11" t="n"/>
      <c r="H884" s="11" t="n"/>
      <c r="I884" s="3" t="n"/>
      <c r="J884" s="3">
        <f>IF(tblEjecucion[[#This Row],[orden]]="","",tblEjecucion[[#This Row],[orden]]&amp;IF(tblEjecucion[[#This Row],[operacion]]="","0010",tblEjecucion[[#This Row],[operacion]]))</f>
        <v/>
      </c>
    </row>
    <row r="885">
      <c r="A885" s="3" t="n"/>
      <c r="B885" s="3" t="n"/>
      <c r="C885" s="3" t="n"/>
      <c r="D885" s="3" t="n"/>
      <c r="E885" s="3" t="n"/>
      <c r="F885" s="11" t="n"/>
      <c r="G885" s="11" t="n"/>
      <c r="H885" s="11" t="n"/>
      <c r="I885" s="3" t="n"/>
      <c r="J885" s="3">
        <f>IF(tblEjecucion[[#This Row],[orden]]="","",tblEjecucion[[#This Row],[orden]]&amp;IF(tblEjecucion[[#This Row],[operacion]]="","0010",tblEjecucion[[#This Row],[operacion]]))</f>
        <v/>
      </c>
    </row>
    <row r="886">
      <c r="A886" s="3" t="n"/>
      <c r="B886" s="3" t="n"/>
      <c r="C886" s="3" t="n"/>
      <c r="D886" s="3" t="n"/>
      <c r="E886" s="3" t="n"/>
      <c r="F886" s="11" t="n"/>
      <c r="G886" s="11" t="n"/>
      <c r="H886" s="11" t="n"/>
      <c r="I886" s="3" t="n"/>
      <c r="J886" s="3">
        <f>IF(tblEjecucion[[#This Row],[orden]]="","",tblEjecucion[[#This Row],[orden]]&amp;IF(tblEjecucion[[#This Row],[operacion]]="","0010",tblEjecucion[[#This Row],[operacion]]))</f>
        <v/>
      </c>
    </row>
    <row r="887">
      <c r="A887" s="3" t="n"/>
      <c r="B887" s="3" t="n"/>
      <c r="C887" s="3" t="n"/>
      <c r="D887" s="3" t="n"/>
      <c r="E887" s="3" t="n"/>
      <c r="F887" s="11" t="n"/>
      <c r="G887" s="11" t="n"/>
      <c r="H887" s="11" t="n"/>
      <c r="I887" s="3" t="n"/>
      <c r="J887" s="3">
        <f>IF(tblEjecucion[[#This Row],[orden]]="","",tblEjecucion[[#This Row],[orden]]&amp;IF(tblEjecucion[[#This Row],[operacion]]="","0010",tblEjecucion[[#This Row],[operacion]]))</f>
        <v/>
      </c>
    </row>
    <row r="888">
      <c r="A888" s="3" t="n"/>
      <c r="B888" s="3" t="n"/>
      <c r="C888" s="3" t="n"/>
      <c r="D888" s="3" t="n"/>
      <c r="E888" s="3" t="n"/>
      <c r="F888" s="11" t="n"/>
      <c r="G888" s="11" t="n"/>
      <c r="H888" s="11" t="n"/>
      <c r="I888" s="3" t="n"/>
      <c r="J888" s="3">
        <f>IF(tblEjecucion[[#This Row],[orden]]="","",tblEjecucion[[#This Row],[orden]]&amp;IF(tblEjecucion[[#This Row],[operacion]]="","0010",tblEjecucion[[#This Row],[operacion]]))</f>
        <v/>
      </c>
    </row>
    <row r="889">
      <c r="A889" s="3" t="n"/>
      <c r="B889" s="3" t="n"/>
      <c r="C889" s="3" t="n"/>
      <c r="D889" s="3" t="n"/>
      <c r="E889" s="3" t="n"/>
      <c r="F889" s="11" t="n"/>
      <c r="G889" s="11" t="n"/>
      <c r="H889" s="11" t="n"/>
      <c r="I889" s="3" t="n"/>
      <c r="J889" s="3">
        <f>IF(tblEjecucion[[#This Row],[orden]]="","",tblEjecucion[[#This Row],[orden]]&amp;IF(tblEjecucion[[#This Row],[operacion]]="","0010",tblEjecucion[[#This Row],[operacion]]))</f>
        <v/>
      </c>
    </row>
    <row r="890">
      <c r="A890" s="3" t="n"/>
      <c r="B890" s="3" t="n"/>
      <c r="C890" s="3" t="n"/>
      <c r="D890" s="3" t="n"/>
      <c r="E890" s="3" t="n"/>
      <c r="F890" s="11" t="n"/>
      <c r="G890" s="11" t="n"/>
      <c r="H890" s="11" t="n"/>
      <c r="I890" s="3" t="n"/>
      <c r="J890" s="3">
        <f>IF(tblEjecucion[[#This Row],[orden]]="","",tblEjecucion[[#This Row],[orden]]&amp;IF(tblEjecucion[[#This Row],[operacion]]="","0010",tblEjecucion[[#This Row],[operacion]]))</f>
        <v/>
      </c>
    </row>
    <row r="891">
      <c r="A891" s="3" t="n"/>
      <c r="B891" s="3" t="n"/>
      <c r="C891" s="3" t="n"/>
      <c r="D891" s="3" t="n"/>
      <c r="E891" s="3" t="n"/>
      <c r="F891" s="11" t="n"/>
      <c r="G891" s="11" t="n"/>
      <c r="H891" s="11" t="n"/>
      <c r="I891" s="3" t="n"/>
      <c r="J891" s="3">
        <f>IF(tblEjecucion[[#This Row],[orden]]="","",tblEjecucion[[#This Row],[orden]]&amp;IF(tblEjecucion[[#This Row],[operacion]]="","0010",tblEjecucion[[#This Row],[operacion]]))</f>
        <v/>
      </c>
    </row>
    <row r="892">
      <c r="A892" s="3" t="n"/>
      <c r="B892" s="3" t="n"/>
      <c r="C892" s="3" t="n"/>
      <c r="D892" s="3" t="n"/>
      <c r="E892" s="3" t="n"/>
      <c r="F892" s="11" t="n"/>
      <c r="G892" s="11" t="n"/>
      <c r="H892" s="11" t="n"/>
      <c r="I892" s="3" t="n"/>
      <c r="J892" s="3">
        <f>IF(tblEjecucion[[#This Row],[orden]]="","",tblEjecucion[[#This Row],[orden]]&amp;IF(tblEjecucion[[#This Row],[operacion]]="","0010",tblEjecucion[[#This Row],[operacion]]))</f>
        <v/>
      </c>
    </row>
    <row r="893">
      <c r="A893" s="3" t="n"/>
      <c r="B893" s="3" t="n"/>
      <c r="C893" s="3" t="n"/>
      <c r="D893" s="3" t="n"/>
      <c r="E893" s="3" t="n"/>
      <c r="F893" s="11" t="n"/>
      <c r="G893" s="11" t="n"/>
      <c r="H893" s="11" t="n"/>
      <c r="I893" s="3" t="n"/>
      <c r="J893" s="3">
        <f>IF(tblEjecucion[[#This Row],[orden]]="","",tblEjecucion[[#This Row],[orden]]&amp;IF(tblEjecucion[[#This Row],[operacion]]="","0010",tblEjecucion[[#This Row],[operacion]]))</f>
        <v/>
      </c>
    </row>
    <row r="894">
      <c r="A894" s="3" t="n"/>
      <c r="B894" s="3" t="n"/>
      <c r="C894" s="3" t="n"/>
      <c r="D894" s="3" t="n"/>
      <c r="E894" s="3" t="n"/>
      <c r="F894" s="11" t="n"/>
      <c r="G894" s="11" t="n"/>
      <c r="H894" s="11" t="n"/>
      <c r="I894" s="3" t="n"/>
      <c r="J894" s="3">
        <f>IF(tblEjecucion[[#This Row],[orden]]="","",tblEjecucion[[#This Row],[orden]]&amp;IF(tblEjecucion[[#This Row],[operacion]]="","0010",tblEjecucion[[#This Row],[operacion]]))</f>
        <v/>
      </c>
    </row>
    <row r="895">
      <c r="A895" s="3" t="n"/>
      <c r="B895" s="3" t="n"/>
      <c r="C895" s="3" t="n"/>
      <c r="D895" s="3" t="n"/>
      <c r="E895" s="3" t="n"/>
      <c r="F895" s="11" t="n"/>
      <c r="G895" s="11" t="n"/>
      <c r="H895" s="11" t="n"/>
      <c r="I895" s="3" t="n"/>
      <c r="J895" s="3">
        <f>IF(tblEjecucion[[#This Row],[orden]]="","",tblEjecucion[[#This Row],[orden]]&amp;IF(tblEjecucion[[#This Row],[operacion]]="","0010",tblEjecucion[[#This Row],[operacion]]))</f>
        <v/>
      </c>
    </row>
    <row r="896">
      <c r="A896" s="3" t="n"/>
      <c r="B896" s="3" t="n"/>
      <c r="C896" s="3" t="n"/>
      <c r="D896" s="3" t="n"/>
      <c r="E896" s="3" t="n"/>
      <c r="F896" s="11" t="n"/>
      <c r="G896" s="11" t="n"/>
      <c r="H896" s="11" t="n"/>
      <c r="I896" s="3" t="n"/>
      <c r="J896" s="3">
        <f>IF(tblEjecucion[[#This Row],[orden]]="","",tblEjecucion[[#This Row],[orden]]&amp;IF(tblEjecucion[[#This Row],[operacion]]="","0010",tblEjecucion[[#This Row],[operacion]]))</f>
        <v/>
      </c>
    </row>
    <row r="897">
      <c r="A897" s="3" t="n"/>
      <c r="B897" s="3" t="n"/>
      <c r="C897" s="3" t="n"/>
      <c r="D897" s="3" t="n"/>
      <c r="E897" s="3" t="n"/>
      <c r="F897" s="11" t="n"/>
      <c r="G897" s="11" t="n"/>
      <c r="H897" s="11" t="n"/>
      <c r="I897" s="3" t="n"/>
      <c r="J897" s="3">
        <f>IF(tblEjecucion[[#This Row],[orden]]="","",tblEjecucion[[#This Row],[orden]]&amp;IF(tblEjecucion[[#This Row],[operacion]]="","0010",tblEjecucion[[#This Row],[operacion]]))</f>
        <v/>
      </c>
    </row>
    <row r="898">
      <c r="A898" s="3" t="n"/>
      <c r="B898" s="3" t="n"/>
      <c r="C898" s="3" t="n"/>
      <c r="D898" s="3" t="n"/>
      <c r="E898" s="3" t="n"/>
      <c r="F898" s="11" t="n"/>
      <c r="G898" s="11" t="n"/>
      <c r="H898" s="11" t="n"/>
      <c r="I898" s="3" t="n"/>
      <c r="J898" s="3">
        <f>IF(tblEjecucion[[#This Row],[orden]]="","",tblEjecucion[[#This Row],[orden]]&amp;IF(tblEjecucion[[#This Row],[operacion]]="","0010",tblEjecucion[[#This Row],[operacion]]))</f>
        <v/>
      </c>
    </row>
    <row r="899">
      <c r="A899" s="3" t="n"/>
      <c r="B899" s="3" t="n"/>
      <c r="C899" s="3" t="n"/>
      <c r="D899" s="3" t="n"/>
      <c r="E899" s="3" t="n"/>
      <c r="F899" s="11" t="n"/>
      <c r="G899" s="11" t="n"/>
      <c r="H899" s="11" t="n"/>
      <c r="I899" s="3" t="n"/>
      <c r="J899" s="3">
        <f>IF(tblEjecucion[[#This Row],[orden]]="","",tblEjecucion[[#This Row],[orden]]&amp;IF(tblEjecucion[[#This Row],[operacion]]="","0010",tblEjecucion[[#This Row],[operacion]]))</f>
        <v/>
      </c>
    </row>
    <row r="900">
      <c r="A900" s="3" t="n"/>
      <c r="B900" s="3" t="n"/>
      <c r="C900" s="3" t="n"/>
      <c r="D900" s="3" t="n"/>
      <c r="E900" s="3" t="n"/>
      <c r="F900" s="11" t="n"/>
      <c r="G900" s="11" t="n"/>
      <c r="H900" s="11" t="n"/>
      <c r="I900" s="3" t="n"/>
      <c r="J900" s="3">
        <f>IF(tblEjecucion[[#This Row],[orden]]="","",tblEjecucion[[#This Row],[orden]]&amp;IF(tblEjecucion[[#This Row],[operacion]]="","0010",tblEjecucion[[#This Row],[operacion]]))</f>
        <v/>
      </c>
    </row>
    <row r="901">
      <c r="A901" s="3" t="n"/>
      <c r="B901" s="3" t="n"/>
      <c r="C901" s="3" t="n"/>
      <c r="D901" s="3" t="n"/>
      <c r="E901" s="3" t="n"/>
      <c r="F901" s="11" t="n"/>
      <c r="G901" s="11" t="n"/>
      <c r="H901" s="11" t="n"/>
      <c r="I901" s="3" t="n"/>
      <c r="J901" s="3">
        <f>IF(tblEjecucion[[#This Row],[orden]]="","",tblEjecucion[[#This Row],[orden]]&amp;IF(tblEjecucion[[#This Row],[operacion]]="","0010",tblEjecucion[[#This Row],[operacion]]))</f>
        <v/>
      </c>
    </row>
    <row r="902">
      <c r="A902" s="3" t="n"/>
      <c r="B902" s="3" t="n"/>
      <c r="C902" s="3" t="n"/>
      <c r="D902" s="3" t="n"/>
      <c r="E902" s="3" t="n"/>
      <c r="F902" s="11" t="n"/>
      <c r="G902" s="11" t="n"/>
      <c r="H902" s="11" t="n"/>
      <c r="I902" s="3" t="n"/>
      <c r="J902" s="3">
        <f>IF(tblEjecucion[[#This Row],[orden]]="","",tblEjecucion[[#This Row],[orden]]&amp;IF(tblEjecucion[[#This Row],[operacion]]="","0010",tblEjecucion[[#This Row],[operacion]]))</f>
        <v/>
      </c>
    </row>
    <row r="903">
      <c r="A903" s="3" t="n"/>
      <c r="B903" s="3" t="n"/>
      <c r="C903" s="3" t="n"/>
      <c r="D903" s="3" t="n"/>
      <c r="E903" s="3" t="n"/>
      <c r="F903" s="11" t="n"/>
      <c r="G903" s="11" t="n"/>
      <c r="H903" s="11" t="n"/>
      <c r="I903" s="3" t="n"/>
      <c r="J903" s="3">
        <f>IF(tblEjecucion[[#This Row],[orden]]="","",tblEjecucion[[#This Row],[orden]]&amp;IF(tblEjecucion[[#This Row],[operacion]]="","0010",tblEjecucion[[#This Row],[operacion]]))</f>
        <v/>
      </c>
    </row>
    <row r="904">
      <c r="A904" s="3" t="n"/>
      <c r="B904" s="3" t="n"/>
      <c r="C904" s="3" t="n"/>
      <c r="D904" s="3" t="n"/>
      <c r="E904" s="3" t="n"/>
      <c r="F904" s="11" t="n"/>
      <c r="G904" s="11" t="n"/>
      <c r="H904" s="11" t="n"/>
      <c r="I904" s="3" t="n"/>
      <c r="J904" s="3">
        <f>IF(tblEjecucion[[#This Row],[orden]]="","",tblEjecucion[[#This Row],[orden]]&amp;IF(tblEjecucion[[#This Row],[operacion]]="","0010",tblEjecucion[[#This Row],[operacion]]))</f>
        <v/>
      </c>
    </row>
    <row r="905">
      <c r="A905" s="3" t="n"/>
      <c r="B905" s="3" t="n"/>
      <c r="C905" s="3" t="n"/>
      <c r="D905" s="3" t="n"/>
      <c r="E905" s="3" t="n"/>
      <c r="F905" s="11" t="n"/>
      <c r="G905" s="11" t="n"/>
      <c r="H905" s="11" t="n"/>
      <c r="I905" s="3" t="n"/>
      <c r="J905" s="3">
        <f>IF(tblEjecucion[[#This Row],[orden]]="","",tblEjecucion[[#This Row],[orden]]&amp;IF(tblEjecucion[[#This Row],[operacion]]="","0010",tblEjecucion[[#This Row],[operacion]]))</f>
        <v/>
      </c>
    </row>
    <row r="906">
      <c r="A906" s="3" t="n"/>
      <c r="B906" s="3" t="n"/>
      <c r="C906" s="3" t="n"/>
      <c r="D906" s="3" t="n"/>
      <c r="E906" s="3" t="n"/>
      <c r="F906" s="11" t="n"/>
      <c r="G906" s="11" t="n"/>
      <c r="H906" s="11" t="n"/>
      <c r="I906" s="3" t="n"/>
      <c r="J906" s="3">
        <f>IF(tblEjecucion[[#This Row],[orden]]="","",tblEjecucion[[#This Row],[orden]]&amp;IF(tblEjecucion[[#This Row],[operacion]]="","0010",tblEjecucion[[#This Row],[operacion]]))</f>
        <v/>
      </c>
    </row>
    <row r="907">
      <c r="A907" s="3" t="n"/>
      <c r="B907" s="3" t="n"/>
      <c r="C907" s="3" t="n"/>
      <c r="D907" s="3" t="n"/>
      <c r="E907" s="3" t="n"/>
      <c r="F907" s="11" t="n"/>
      <c r="G907" s="11" t="n"/>
      <c r="H907" s="11" t="n"/>
      <c r="I907" s="3" t="n"/>
      <c r="J907" s="3">
        <f>IF(tblEjecucion[[#This Row],[orden]]="","",tblEjecucion[[#This Row],[orden]]&amp;IF(tblEjecucion[[#This Row],[operacion]]="","0010",tblEjecucion[[#This Row],[operacion]]))</f>
        <v/>
      </c>
    </row>
    <row r="908">
      <c r="A908" s="3" t="n"/>
      <c r="B908" s="3" t="n"/>
      <c r="C908" s="3" t="n"/>
      <c r="D908" s="3" t="n"/>
      <c r="E908" s="3" t="n"/>
      <c r="F908" s="11" t="n"/>
      <c r="G908" s="11" t="n"/>
      <c r="H908" s="11" t="n"/>
      <c r="I908" s="3" t="n"/>
      <c r="J908" s="3">
        <f>IF(tblEjecucion[[#This Row],[orden]]="","",tblEjecucion[[#This Row],[orden]]&amp;IF(tblEjecucion[[#This Row],[operacion]]="","0010",tblEjecucion[[#This Row],[operacion]]))</f>
        <v/>
      </c>
    </row>
    <row r="909">
      <c r="A909" s="3" t="n"/>
      <c r="B909" s="3" t="n"/>
      <c r="C909" s="3" t="n"/>
      <c r="D909" s="3" t="n"/>
      <c r="E909" s="3" t="n"/>
      <c r="F909" s="11" t="n"/>
      <c r="G909" s="11" t="n"/>
      <c r="H909" s="11" t="n"/>
      <c r="I909" s="3" t="n"/>
      <c r="J909" s="3">
        <f>IF(tblEjecucion[[#This Row],[orden]]="","",tblEjecucion[[#This Row],[orden]]&amp;IF(tblEjecucion[[#This Row],[operacion]]="","0010",tblEjecucion[[#This Row],[operacion]]))</f>
        <v/>
      </c>
    </row>
    <row r="910">
      <c r="A910" s="3" t="n"/>
      <c r="B910" s="3" t="n"/>
      <c r="C910" s="3" t="n"/>
      <c r="D910" s="3" t="n"/>
      <c r="E910" s="3" t="n"/>
      <c r="F910" s="11" t="n"/>
      <c r="G910" s="11" t="n"/>
      <c r="H910" s="11" t="n"/>
      <c r="I910" s="3" t="n"/>
      <c r="J910" s="3">
        <f>IF(tblEjecucion[[#This Row],[orden]]="","",tblEjecucion[[#This Row],[orden]]&amp;IF(tblEjecucion[[#This Row],[operacion]]="","0010",tblEjecucion[[#This Row],[operacion]]))</f>
        <v/>
      </c>
    </row>
    <row r="911">
      <c r="A911" s="3" t="n"/>
      <c r="B911" s="3" t="n"/>
      <c r="C911" s="3" t="n"/>
      <c r="D911" s="3" t="n"/>
      <c r="E911" s="3" t="n"/>
      <c r="F911" s="11" t="n"/>
      <c r="G911" s="11" t="n"/>
      <c r="H911" s="11" t="n"/>
      <c r="I911" s="3" t="n"/>
      <c r="J911" s="3">
        <f>IF(tblEjecucion[[#This Row],[orden]]="","",tblEjecucion[[#This Row],[orden]]&amp;IF(tblEjecucion[[#This Row],[operacion]]="","0010",tblEjecucion[[#This Row],[operacion]]))</f>
        <v/>
      </c>
    </row>
    <row r="912">
      <c r="A912" s="3" t="n"/>
      <c r="B912" s="3" t="n"/>
      <c r="C912" s="3" t="n"/>
      <c r="D912" s="3" t="n"/>
      <c r="E912" s="3" t="n"/>
      <c r="F912" s="11" t="n"/>
      <c r="G912" s="11" t="n"/>
      <c r="H912" s="11" t="n"/>
      <c r="I912" s="3" t="n"/>
      <c r="J912" s="3">
        <f>IF(tblEjecucion[[#This Row],[orden]]="","",tblEjecucion[[#This Row],[orden]]&amp;IF(tblEjecucion[[#This Row],[operacion]]="","0010",tblEjecucion[[#This Row],[operacion]]))</f>
        <v/>
      </c>
    </row>
    <row r="913">
      <c r="A913" s="3" t="n"/>
      <c r="B913" s="3" t="n"/>
      <c r="C913" s="3" t="n"/>
      <c r="D913" s="3" t="n"/>
      <c r="E913" s="3" t="n"/>
      <c r="F913" s="11" t="n"/>
      <c r="G913" s="11" t="n"/>
      <c r="H913" s="11" t="n"/>
      <c r="I913" s="3" t="n"/>
      <c r="J913" s="3">
        <f>IF(tblEjecucion[[#This Row],[orden]]="","",tblEjecucion[[#This Row],[orden]]&amp;IF(tblEjecucion[[#This Row],[operacion]]="","0010",tblEjecucion[[#This Row],[operacion]]))</f>
        <v/>
      </c>
    </row>
    <row r="914">
      <c r="A914" s="3" t="n"/>
      <c r="B914" s="3" t="n"/>
      <c r="C914" s="3" t="n"/>
      <c r="D914" s="3" t="n"/>
      <c r="E914" s="3" t="n"/>
      <c r="F914" s="11" t="n"/>
      <c r="G914" s="11" t="n"/>
      <c r="H914" s="11" t="n"/>
      <c r="I914" s="3" t="n"/>
      <c r="J914" s="3">
        <f>IF(tblEjecucion[[#This Row],[orden]]="","",tblEjecucion[[#This Row],[orden]]&amp;IF(tblEjecucion[[#This Row],[operacion]]="","0010",tblEjecucion[[#This Row],[operacion]]))</f>
        <v/>
      </c>
    </row>
    <row r="915">
      <c r="A915" s="3" t="n"/>
      <c r="B915" s="3" t="n"/>
      <c r="C915" s="3" t="n"/>
      <c r="D915" s="3" t="n"/>
      <c r="E915" s="3" t="n"/>
      <c r="F915" s="11" t="n"/>
      <c r="G915" s="11" t="n"/>
      <c r="H915" s="11" t="n"/>
      <c r="I915" s="3" t="n"/>
      <c r="J915" s="3">
        <f>IF(tblEjecucion[[#This Row],[orden]]="","",tblEjecucion[[#This Row],[orden]]&amp;IF(tblEjecucion[[#This Row],[operacion]]="","0010",tblEjecucion[[#This Row],[operacion]]))</f>
        <v/>
      </c>
    </row>
    <row r="916">
      <c r="A916" s="3" t="n"/>
      <c r="B916" s="3" t="n"/>
      <c r="C916" s="3" t="n"/>
      <c r="D916" s="3" t="n"/>
      <c r="E916" s="3" t="n"/>
      <c r="F916" s="11" t="n"/>
      <c r="G916" s="11" t="n"/>
      <c r="H916" s="11" t="n"/>
      <c r="I916" s="3" t="n"/>
      <c r="J916" s="3">
        <f>IF(tblEjecucion[[#This Row],[orden]]="","",tblEjecucion[[#This Row],[orden]]&amp;IF(tblEjecucion[[#This Row],[operacion]]="","0010",tblEjecucion[[#This Row],[operacion]]))</f>
        <v/>
      </c>
    </row>
    <row r="917">
      <c r="A917" s="3" t="n"/>
      <c r="B917" s="3" t="n"/>
      <c r="C917" s="3" t="n"/>
      <c r="D917" s="3" t="n"/>
      <c r="E917" s="3" t="n"/>
      <c r="F917" s="11" t="n"/>
      <c r="G917" s="11" t="n"/>
      <c r="H917" s="11" t="n"/>
      <c r="I917" s="3" t="n"/>
      <c r="J917" s="3">
        <f>IF(tblEjecucion[[#This Row],[orden]]="","",tblEjecucion[[#This Row],[orden]]&amp;IF(tblEjecucion[[#This Row],[operacion]]="","0010",tblEjecucion[[#This Row],[operacion]]))</f>
        <v/>
      </c>
    </row>
    <row r="918">
      <c r="A918" s="3" t="n"/>
      <c r="B918" s="3" t="n"/>
      <c r="C918" s="3" t="n"/>
      <c r="D918" s="3" t="n"/>
      <c r="E918" s="3" t="n"/>
      <c r="F918" s="11" t="n"/>
      <c r="G918" s="11" t="n"/>
      <c r="H918" s="11" t="n"/>
      <c r="I918" s="3" t="n"/>
      <c r="J918" s="3">
        <f>IF(tblEjecucion[[#This Row],[orden]]="","",tblEjecucion[[#This Row],[orden]]&amp;IF(tblEjecucion[[#This Row],[operacion]]="","0010",tblEjecucion[[#This Row],[operacion]]))</f>
        <v/>
      </c>
    </row>
    <row r="919">
      <c r="A919" s="3" t="n"/>
      <c r="B919" s="3" t="n"/>
      <c r="C919" s="3" t="n"/>
      <c r="D919" s="3" t="n"/>
      <c r="E919" s="3" t="n"/>
      <c r="F919" s="11" t="n"/>
      <c r="G919" s="11" t="n"/>
      <c r="H919" s="11" t="n"/>
      <c r="I919" s="3" t="n"/>
      <c r="J919" s="3">
        <f>IF(tblEjecucion[[#This Row],[orden]]="","",tblEjecucion[[#This Row],[orden]]&amp;IF(tblEjecucion[[#This Row],[operacion]]="","0010",tblEjecucion[[#This Row],[operacion]]))</f>
        <v/>
      </c>
    </row>
    <row r="920">
      <c r="A920" s="3" t="n"/>
      <c r="B920" s="3" t="n"/>
      <c r="C920" s="3" t="n"/>
      <c r="D920" s="3" t="n"/>
      <c r="E920" s="3" t="n"/>
      <c r="F920" s="11" t="n"/>
      <c r="G920" s="11" t="n"/>
      <c r="H920" s="11" t="n"/>
      <c r="I920" s="3" t="n"/>
      <c r="J920" s="3">
        <f>IF(tblEjecucion[[#This Row],[orden]]="","",tblEjecucion[[#This Row],[orden]]&amp;IF(tblEjecucion[[#This Row],[operacion]]="","0010",tblEjecucion[[#This Row],[operacion]]))</f>
        <v/>
      </c>
    </row>
    <row r="921">
      <c r="A921" s="3" t="n"/>
      <c r="B921" s="3" t="n"/>
      <c r="C921" s="3" t="n"/>
      <c r="D921" s="3" t="n"/>
      <c r="E921" s="3" t="n"/>
      <c r="F921" s="11" t="n"/>
      <c r="G921" s="11" t="n"/>
      <c r="H921" s="11" t="n"/>
      <c r="I921" s="3" t="n"/>
      <c r="J921" s="3">
        <f>IF(tblEjecucion[[#This Row],[orden]]="","",tblEjecucion[[#This Row],[orden]]&amp;IF(tblEjecucion[[#This Row],[operacion]]="","0010",tblEjecucion[[#This Row],[operacion]]))</f>
        <v/>
      </c>
    </row>
    <row r="922">
      <c r="A922" s="3" t="n"/>
      <c r="B922" s="3" t="n"/>
      <c r="C922" s="3" t="n"/>
      <c r="D922" s="3" t="n"/>
      <c r="E922" s="3" t="n"/>
      <c r="F922" s="11" t="n"/>
      <c r="G922" s="11" t="n"/>
      <c r="H922" s="11" t="n"/>
      <c r="I922" s="3" t="n"/>
      <c r="J922" s="3">
        <f>IF(tblEjecucion[[#This Row],[orden]]="","",tblEjecucion[[#This Row],[orden]]&amp;IF(tblEjecucion[[#This Row],[operacion]]="","0010",tblEjecucion[[#This Row],[operacion]]))</f>
        <v/>
      </c>
    </row>
    <row r="923">
      <c r="A923" s="3" t="n"/>
      <c r="B923" s="3" t="n"/>
      <c r="C923" s="3" t="n"/>
      <c r="D923" s="3" t="n"/>
      <c r="E923" s="3" t="n"/>
      <c r="F923" s="11" t="n"/>
      <c r="G923" s="11" t="n"/>
      <c r="H923" s="11" t="n"/>
      <c r="I923" s="3" t="n"/>
      <c r="J923" s="3">
        <f>IF(tblEjecucion[[#This Row],[orden]]="","",tblEjecucion[[#This Row],[orden]]&amp;IF(tblEjecucion[[#This Row],[operacion]]="","0010",tblEjecucion[[#This Row],[operacion]]))</f>
        <v/>
      </c>
    </row>
    <row r="924">
      <c r="A924" s="3" t="n"/>
      <c r="B924" s="3" t="n"/>
      <c r="C924" s="3" t="n"/>
      <c r="D924" s="3" t="n"/>
      <c r="E924" s="3" t="n"/>
      <c r="F924" s="11" t="n"/>
      <c r="G924" s="11" t="n"/>
      <c r="H924" s="11" t="n"/>
      <c r="I924" s="3" t="n"/>
      <c r="J924" s="3">
        <f>IF(tblEjecucion[[#This Row],[orden]]="","",tblEjecucion[[#This Row],[orden]]&amp;IF(tblEjecucion[[#This Row],[operacion]]="","0010",tblEjecucion[[#This Row],[operacion]]))</f>
        <v/>
      </c>
    </row>
    <row r="925">
      <c r="A925" s="3" t="n"/>
      <c r="B925" s="3" t="n"/>
      <c r="C925" s="3" t="n"/>
      <c r="D925" s="3" t="n"/>
      <c r="E925" s="3" t="n"/>
      <c r="F925" s="11" t="n"/>
      <c r="G925" s="11" t="n"/>
      <c r="H925" s="11" t="n"/>
      <c r="I925" s="3" t="n"/>
      <c r="J925" s="3">
        <f>IF(tblEjecucion[[#This Row],[orden]]="","",tblEjecucion[[#This Row],[orden]]&amp;IF(tblEjecucion[[#This Row],[operacion]]="","0010",tblEjecucion[[#This Row],[operacion]]))</f>
        <v/>
      </c>
    </row>
    <row r="926">
      <c r="A926" s="3" t="n"/>
      <c r="B926" s="3" t="n"/>
      <c r="C926" s="3" t="n"/>
      <c r="D926" s="3" t="n"/>
      <c r="E926" s="3" t="n"/>
      <c r="F926" s="11" t="n"/>
      <c r="G926" s="11" t="n"/>
      <c r="H926" s="11" t="n"/>
      <c r="I926" s="3" t="n"/>
      <c r="J926" s="3">
        <f>IF(tblEjecucion[[#This Row],[orden]]="","",tblEjecucion[[#This Row],[orden]]&amp;IF(tblEjecucion[[#This Row],[operacion]]="","0010",tblEjecucion[[#This Row],[operacion]]))</f>
        <v/>
      </c>
    </row>
    <row r="927">
      <c r="A927" s="3" t="n"/>
      <c r="B927" s="3" t="n"/>
      <c r="C927" s="3" t="n"/>
      <c r="D927" s="3" t="n"/>
      <c r="E927" s="3" t="n"/>
      <c r="F927" s="11" t="n"/>
      <c r="G927" s="11" t="n"/>
      <c r="H927" s="11" t="n"/>
      <c r="I927" s="3" t="n"/>
      <c r="J927" s="3">
        <f>IF(tblEjecucion[[#This Row],[orden]]="","",tblEjecucion[[#This Row],[orden]]&amp;IF(tblEjecucion[[#This Row],[operacion]]="","0010",tblEjecucion[[#This Row],[operacion]]))</f>
        <v/>
      </c>
    </row>
    <row r="928">
      <c r="A928" s="3" t="n"/>
      <c r="B928" s="3" t="n"/>
      <c r="C928" s="3" t="n"/>
      <c r="D928" s="3" t="n"/>
      <c r="E928" s="3" t="n"/>
      <c r="F928" s="11" t="n"/>
      <c r="G928" s="11" t="n"/>
      <c r="H928" s="11" t="n"/>
      <c r="I928" s="3" t="n"/>
      <c r="J928" s="3">
        <f>IF(tblEjecucion[[#This Row],[orden]]="","",tblEjecucion[[#This Row],[orden]]&amp;IF(tblEjecucion[[#This Row],[operacion]]="","0010",tblEjecucion[[#This Row],[operacion]]))</f>
        <v/>
      </c>
    </row>
    <row r="929">
      <c r="A929" s="3" t="n"/>
      <c r="B929" s="3" t="n"/>
      <c r="C929" s="3" t="n"/>
      <c r="D929" s="3" t="n"/>
      <c r="E929" s="3" t="n"/>
      <c r="F929" s="11" t="n"/>
      <c r="G929" s="11" t="n"/>
      <c r="H929" s="11" t="n"/>
      <c r="I929" s="3" t="n"/>
      <c r="J929" s="3">
        <f>IF(tblEjecucion[[#This Row],[orden]]="","",tblEjecucion[[#This Row],[orden]]&amp;IF(tblEjecucion[[#This Row],[operacion]]="","0010",tblEjecucion[[#This Row],[operacion]]))</f>
        <v/>
      </c>
    </row>
    <row r="930">
      <c r="A930" s="3" t="n"/>
      <c r="B930" s="3" t="n"/>
      <c r="C930" s="3" t="n"/>
      <c r="D930" s="3" t="n"/>
      <c r="E930" s="3" t="n"/>
      <c r="F930" s="11" t="n"/>
      <c r="G930" s="11" t="n"/>
      <c r="H930" s="11" t="n"/>
      <c r="I930" s="3" t="n"/>
      <c r="J930" s="3">
        <f>IF(tblEjecucion[[#This Row],[orden]]="","",tblEjecucion[[#This Row],[orden]]&amp;IF(tblEjecucion[[#This Row],[operacion]]="","0010",tblEjecucion[[#This Row],[operacion]]))</f>
        <v/>
      </c>
    </row>
    <row r="931">
      <c r="A931" s="3" t="n"/>
      <c r="B931" s="3" t="n"/>
      <c r="C931" s="3" t="n"/>
      <c r="D931" s="3" t="n"/>
      <c r="E931" s="3" t="n"/>
      <c r="F931" s="11" t="n"/>
      <c r="G931" s="11" t="n"/>
      <c r="H931" s="11" t="n"/>
      <c r="I931" s="3" t="n"/>
      <c r="J931" s="3">
        <f>IF(tblEjecucion[[#This Row],[orden]]="","",tblEjecucion[[#This Row],[orden]]&amp;IF(tblEjecucion[[#This Row],[operacion]]="","0010",tblEjecucion[[#This Row],[operacion]]))</f>
        <v/>
      </c>
    </row>
    <row r="932">
      <c r="A932" s="3" t="n"/>
      <c r="B932" s="3" t="n"/>
      <c r="C932" s="3" t="n"/>
      <c r="D932" s="3" t="n"/>
      <c r="E932" s="3" t="n"/>
      <c r="F932" s="11" t="n"/>
      <c r="G932" s="11" t="n"/>
      <c r="H932" s="11" t="n"/>
      <c r="I932" s="3" t="n"/>
      <c r="J932" s="3">
        <f>IF(tblEjecucion[[#This Row],[orden]]="","",tblEjecucion[[#This Row],[orden]]&amp;IF(tblEjecucion[[#This Row],[operacion]]="","0010",tblEjecucion[[#This Row],[operacion]]))</f>
        <v/>
      </c>
    </row>
    <row r="933">
      <c r="A933" s="3" t="n"/>
      <c r="B933" s="3" t="n"/>
      <c r="C933" s="3" t="n"/>
      <c r="D933" s="3" t="n"/>
      <c r="E933" s="3" t="n"/>
      <c r="F933" s="11" t="n"/>
      <c r="G933" s="11" t="n"/>
      <c r="H933" s="11" t="n"/>
      <c r="I933" s="3" t="n"/>
      <c r="J933" s="3">
        <f>IF(tblEjecucion[[#This Row],[orden]]="","",tblEjecucion[[#This Row],[orden]]&amp;IF(tblEjecucion[[#This Row],[operacion]]="","0010",tblEjecucion[[#This Row],[operacion]]))</f>
        <v/>
      </c>
    </row>
    <row r="934">
      <c r="A934" s="3" t="n"/>
      <c r="B934" s="3" t="n"/>
      <c r="C934" s="3" t="n"/>
      <c r="D934" s="3" t="n"/>
      <c r="E934" s="3" t="n"/>
      <c r="F934" s="11" t="n"/>
      <c r="G934" s="11" t="n"/>
      <c r="H934" s="11" t="n"/>
      <c r="I934" s="3" t="n"/>
      <c r="J934" s="3">
        <f>IF(tblEjecucion[[#This Row],[orden]]="","",tblEjecucion[[#This Row],[orden]]&amp;IF(tblEjecucion[[#This Row],[operacion]]="","0010",tblEjecucion[[#This Row],[operacion]]))</f>
        <v/>
      </c>
    </row>
    <row r="935">
      <c r="A935" s="3" t="n"/>
      <c r="B935" s="3" t="n"/>
      <c r="C935" s="3" t="n"/>
      <c r="D935" s="3" t="n"/>
      <c r="E935" s="3" t="n"/>
      <c r="F935" s="11" t="n"/>
      <c r="G935" s="11" t="n"/>
      <c r="H935" s="11" t="n"/>
      <c r="I935" s="3" t="n"/>
      <c r="J935" s="3">
        <f>IF(tblEjecucion[[#This Row],[orden]]="","",tblEjecucion[[#This Row],[orden]]&amp;IF(tblEjecucion[[#This Row],[operacion]]="","0010",tblEjecucion[[#This Row],[operacion]]))</f>
        <v/>
      </c>
    </row>
    <row r="936">
      <c r="A936" s="3" t="n"/>
      <c r="B936" s="3" t="n"/>
      <c r="C936" s="3" t="n"/>
      <c r="D936" s="3" t="n"/>
      <c r="E936" s="3" t="n"/>
      <c r="F936" s="11" t="n"/>
      <c r="G936" s="11" t="n"/>
      <c r="H936" s="11" t="n"/>
      <c r="I936" s="3" t="n"/>
      <c r="J936" s="3">
        <f>IF(tblEjecucion[[#This Row],[orden]]="","",tblEjecucion[[#This Row],[orden]]&amp;IF(tblEjecucion[[#This Row],[operacion]]="","0010",tblEjecucion[[#This Row],[operacion]]))</f>
        <v/>
      </c>
    </row>
    <row r="937">
      <c r="A937" s="3" t="n"/>
      <c r="B937" s="3" t="n"/>
      <c r="C937" s="3" t="n"/>
      <c r="D937" s="3" t="n"/>
      <c r="E937" s="3" t="n"/>
      <c r="F937" s="11" t="n"/>
      <c r="G937" s="11" t="n"/>
      <c r="H937" s="11" t="n"/>
      <c r="I937" s="3" t="n"/>
      <c r="J937" s="3">
        <f>IF(tblEjecucion[[#This Row],[orden]]="","",tblEjecucion[[#This Row],[orden]]&amp;IF(tblEjecucion[[#This Row],[operacion]]="","0010",tblEjecucion[[#This Row],[operacion]]))</f>
        <v/>
      </c>
    </row>
    <row r="938">
      <c r="A938" s="3" t="n"/>
      <c r="B938" s="3" t="n"/>
      <c r="C938" s="3" t="n"/>
      <c r="D938" s="3" t="n"/>
      <c r="E938" s="3" t="n"/>
      <c r="F938" s="11" t="n"/>
      <c r="G938" s="11" t="n"/>
      <c r="H938" s="11" t="n"/>
      <c r="I938" s="3" t="n"/>
      <c r="J938" s="3">
        <f>IF(tblEjecucion[[#This Row],[orden]]="","",tblEjecucion[[#This Row],[orden]]&amp;IF(tblEjecucion[[#This Row],[operacion]]="","0010",tblEjecucion[[#This Row],[operacion]]))</f>
        <v/>
      </c>
    </row>
    <row r="939">
      <c r="A939" s="3" t="n"/>
      <c r="B939" s="3" t="n"/>
      <c r="C939" s="3" t="n"/>
      <c r="D939" s="3" t="n"/>
      <c r="E939" s="3" t="n"/>
      <c r="F939" s="11" t="n"/>
      <c r="G939" s="11" t="n"/>
      <c r="H939" s="11" t="n"/>
      <c r="I939" s="3" t="n"/>
      <c r="J939" s="3">
        <f>IF(tblEjecucion[[#This Row],[orden]]="","",tblEjecucion[[#This Row],[orden]]&amp;IF(tblEjecucion[[#This Row],[operacion]]="","0010",tblEjecucion[[#This Row],[operacion]]))</f>
        <v/>
      </c>
    </row>
    <row r="940">
      <c r="A940" s="3" t="n"/>
      <c r="B940" s="3" t="n"/>
      <c r="C940" s="3" t="n"/>
      <c r="D940" s="3" t="n"/>
      <c r="E940" s="3" t="n"/>
      <c r="F940" s="11" t="n"/>
      <c r="G940" s="11" t="n"/>
      <c r="H940" s="11" t="n"/>
      <c r="I940" s="3" t="n"/>
      <c r="J940" s="3">
        <f>IF(tblEjecucion[[#This Row],[orden]]="","",tblEjecucion[[#This Row],[orden]]&amp;IF(tblEjecucion[[#This Row],[operacion]]="","0010",tblEjecucion[[#This Row],[operacion]]))</f>
        <v/>
      </c>
    </row>
    <row r="941">
      <c r="A941" s="3" t="n"/>
      <c r="B941" s="3" t="n"/>
      <c r="C941" s="3" t="n"/>
      <c r="D941" s="3" t="n"/>
      <c r="E941" s="3" t="n"/>
      <c r="F941" s="11" t="n"/>
      <c r="G941" s="11" t="n"/>
      <c r="H941" s="11" t="n"/>
      <c r="I941" s="3" t="n"/>
      <c r="J941" s="3">
        <f>IF(tblEjecucion[[#This Row],[orden]]="","",tblEjecucion[[#This Row],[orden]]&amp;IF(tblEjecucion[[#This Row],[operacion]]="","0010",tblEjecucion[[#This Row],[operacion]]))</f>
        <v/>
      </c>
    </row>
    <row r="942">
      <c r="A942" s="3" t="n"/>
      <c r="B942" s="3" t="n"/>
      <c r="C942" s="3" t="n"/>
      <c r="D942" s="3" t="n"/>
      <c r="E942" s="3" t="n"/>
      <c r="F942" s="11" t="n"/>
      <c r="G942" s="11" t="n"/>
      <c r="H942" s="11" t="n"/>
      <c r="I942" s="3" t="n"/>
      <c r="J942" s="3">
        <f>IF(tblEjecucion[[#This Row],[orden]]="","",tblEjecucion[[#This Row],[orden]]&amp;IF(tblEjecucion[[#This Row],[operacion]]="","0010",tblEjecucion[[#This Row],[operacion]]))</f>
        <v/>
      </c>
    </row>
    <row r="943">
      <c r="A943" s="3" t="n"/>
      <c r="B943" s="3" t="n"/>
      <c r="C943" s="3" t="n"/>
      <c r="D943" s="3" t="n"/>
      <c r="E943" s="3" t="n"/>
      <c r="F943" s="11" t="n"/>
      <c r="G943" s="11" t="n"/>
      <c r="H943" s="11" t="n"/>
      <c r="I943" s="3" t="n"/>
      <c r="J943" s="3">
        <f>IF(tblEjecucion[[#This Row],[orden]]="","",tblEjecucion[[#This Row],[orden]]&amp;IF(tblEjecucion[[#This Row],[operacion]]="","0010",tblEjecucion[[#This Row],[operacion]]))</f>
        <v/>
      </c>
    </row>
    <row r="944">
      <c r="A944" s="3" t="n"/>
      <c r="B944" s="3" t="n"/>
      <c r="C944" s="3" t="n"/>
      <c r="D944" s="3" t="n"/>
      <c r="E944" s="3" t="n"/>
      <c r="F944" s="11" t="n"/>
      <c r="G944" s="11" t="n"/>
      <c r="H944" s="11" t="n"/>
      <c r="I944" s="3" t="n"/>
      <c r="J944" s="3">
        <f>IF(tblEjecucion[[#This Row],[orden]]="","",tblEjecucion[[#This Row],[orden]]&amp;IF(tblEjecucion[[#This Row],[operacion]]="","0010",tblEjecucion[[#This Row],[operacion]]))</f>
        <v/>
      </c>
    </row>
    <row r="945">
      <c r="A945" s="3" t="n"/>
      <c r="B945" s="3" t="n"/>
      <c r="C945" s="3" t="n"/>
      <c r="D945" s="3" t="n"/>
      <c r="E945" s="3" t="n"/>
      <c r="F945" s="11" t="n"/>
      <c r="G945" s="11" t="n"/>
      <c r="H945" s="11" t="n"/>
      <c r="I945" s="3" t="n"/>
      <c r="J945" s="3">
        <f>IF(tblEjecucion[[#This Row],[orden]]="","",tblEjecucion[[#This Row],[orden]]&amp;IF(tblEjecucion[[#This Row],[operacion]]="","0010",tblEjecucion[[#This Row],[operacion]]))</f>
        <v/>
      </c>
    </row>
    <row r="946">
      <c r="A946" s="3" t="n"/>
      <c r="B946" s="3" t="n"/>
      <c r="C946" s="3" t="n"/>
      <c r="D946" s="3" t="n"/>
      <c r="E946" s="3" t="n"/>
      <c r="F946" s="11" t="n"/>
      <c r="G946" s="11" t="n"/>
      <c r="H946" s="11" t="n"/>
      <c r="I946" s="3" t="n"/>
      <c r="J946" s="3">
        <f>IF(tblEjecucion[[#This Row],[orden]]="","",tblEjecucion[[#This Row],[orden]]&amp;IF(tblEjecucion[[#This Row],[operacion]]="","0010",tblEjecucion[[#This Row],[operacion]]))</f>
        <v/>
      </c>
    </row>
    <row r="947">
      <c r="A947" s="3" t="n"/>
      <c r="B947" s="3" t="n"/>
      <c r="C947" s="3" t="n"/>
      <c r="D947" s="3" t="n"/>
      <c r="E947" s="3" t="n"/>
      <c r="F947" s="11" t="n"/>
      <c r="G947" s="11" t="n"/>
      <c r="H947" s="11" t="n"/>
      <c r="I947" s="3" t="n"/>
      <c r="J947" s="3">
        <f>IF(tblEjecucion[[#This Row],[orden]]="","",tblEjecucion[[#This Row],[orden]]&amp;IF(tblEjecucion[[#This Row],[operacion]]="","0010",tblEjecucion[[#This Row],[operacion]]))</f>
        <v/>
      </c>
    </row>
    <row r="948">
      <c r="A948" s="3" t="n"/>
      <c r="B948" s="3" t="n"/>
      <c r="C948" s="3" t="n"/>
      <c r="D948" s="3" t="n"/>
      <c r="E948" s="3" t="n"/>
      <c r="F948" s="11" t="n"/>
      <c r="G948" s="11" t="n"/>
      <c r="H948" s="11" t="n"/>
      <c r="I948" s="3" t="n"/>
      <c r="J948" s="3">
        <f>IF(tblEjecucion[[#This Row],[orden]]="","",tblEjecucion[[#This Row],[orden]]&amp;IF(tblEjecucion[[#This Row],[operacion]]="","0010",tblEjecucion[[#This Row],[operacion]]))</f>
        <v/>
      </c>
    </row>
    <row r="949">
      <c r="A949" s="3" t="n"/>
      <c r="B949" s="3" t="n"/>
      <c r="C949" s="3" t="n"/>
      <c r="D949" s="3" t="n"/>
      <c r="E949" s="3" t="n"/>
      <c r="F949" s="11" t="n"/>
      <c r="G949" s="11" t="n"/>
      <c r="H949" s="11" t="n"/>
      <c r="I949" s="3" t="n"/>
      <c r="J949" s="3">
        <f>IF(tblEjecucion[[#This Row],[orden]]="","",tblEjecucion[[#This Row],[orden]]&amp;IF(tblEjecucion[[#This Row],[operacion]]="","0010",tblEjecucion[[#This Row],[operacion]]))</f>
        <v/>
      </c>
    </row>
    <row r="950">
      <c r="A950" s="3" t="n"/>
      <c r="B950" s="3" t="n"/>
      <c r="C950" s="3" t="n"/>
      <c r="D950" s="3" t="n"/>
      <c r="E950" s="3" t="n"/>
      <c r="F950" s="11" t="n"/>
      <c r="G950" s="11" t="n"/>
      <c r="H950" s="11" t="n"/>
      <c r="I950" s="3" t="n"/>
      <c r="J950" s="3">
        <f>IF(tblEjecucion[[#This Row],[orden]]="","",tblEjecucion[[#This Row],[orden]]&amp;IF(tblEjecucion[[#This Row],[operacion]]="","0010",tblEjecucion[[#This Row],[operacion]]))</f>
        <v/>
      </c>
    </row>
    <row r="951">
      <c r="A951" s="3" t="n"/>
      <c r="B951" s="3" t="n"/>
      <c r="C951" s="3" t="n"/>
      <c r="D951" s="3" t="n"/>
      <c r="E951" s="3" t="n"/>
      <c r="F951" s="11" t="n"/>
      <c r="G951" s="11" t="n"/>
      <c r="H951" s="11" t="n"/>
      <c r="I951" s="3" t="n"/>
      <c r="J951" s="3">
        <f>IF(tblEjecucion[[#This Row],[orden]]="","",tblEjecucion[[#This Row],[orden]]&amp;IF(tblEjecucion[[#This Row],[operacion]]="","0010",tblEjecucion[[#This Row],[operacion]]))</f>
        <v/>
      </c>
    </row>
    <row r="952">
      <c r="A952" s="3" t="n"/>
      <c r="B952" s="3" t="n"/>
      <c r="C952" s="3" t="n"/>
      <c r="D952" s="3" t="n"/>
      <c r="E952" s="3" t="n"/>
      <c r="F952" s="11" t="n"/>
      <c r="G952" s="11" t="n"/>
      <c r="H952" s="11" t="n"/>
      <c r="I952" s="3" t="n"/>
      <c r="J952" s="3">
        <f>IF(tblEjecucion[[#This Row],[orden]]="","",tblEjecucion[[#This Row],[orden]]&amp;IF(tblEjecucion[[#This Row],[operacion]]="","0010",tblEjecucion[[#This Row],[operacion]]))</f>
        <v/>
      </c>
    </row>
    <row r="953">
      <c r="A953" s="3" t="n"/>
      <c r="B953" s="3" t="n"/>
      <c r="C953" s="3" t="n"/>
      <c r="D953" s="3" t="n"/>
      <c r="E953" s="3" t="n"/>
      <c r="F953" s="11" t="n"/>
      <c r="G953" s="11" t="n"/>
      <c r="H953" s="11" t="n"/>
      <c r="I953" s="3" t="n"/>
      <c r="J953" s="3">
        <f>IF(tblEjecucion[[#This Row],[orden]]="","",tblEjecucion[[#This Row],[orden]]&amp;IF(tblEjecucion[[#This Row],[operacion]]="","0010",tblEjecucion[[#This Row],[operacion]]))</f>
        <v/>
      </c>
    </row>
    <row r="954">
      <c r="A954" s="3" t="n"/>
      <c r="B954" s="3" t="n"/>
      <c r="C954" s="3" t="n"/>
      <c r="D954" s="3" t="n"/>
      <c r="E954" s="3" t="n"/>
      <c r="F954" s="11" t="n"/>
      <c r="G954" s="11" t="n"/>
      <c r="H954" s="11" t="n"/>
      <c r="I954" s="3" t="n"/>
      <c r="J954" s="3">
        <f>IF(tblEjecucion[[#This Row],[orden]]="","",tblEjecucion[[#This Row],[orden]]&amp;IF(tblEjecucion[[#This Row],[operacion]]="","0010",tblEjecucion[[#This Row],[operacion]]))</f>
        <v/>
      </c>
    </row>
    <row r="955">
      <c r="A955" s="3" t="n"/>
      <c r="B955" s="3" t="n"/>
      <c r="C955" s="3" t="n"/>
      <c r="D955" s="3" t="n"/>
      <c r="E955" s="3" t="n"/>
      <c r="F955" s="11" t="n"/>
      <c r="G955" s="11" t="n"/>
      <c r="H955" s="11" t="n"/>
      <c r="I955" s="3" t="n"/>
      <c r="J955" s="3">
        <f>IF(tblEjecucion[[#This Row],[orden]]="","",tblEjecucion[[#This Row],[orden]]&amp;IF(tblEjecucion[[#This Row],[operacion]]="","0010",tblEjecucion[[#This Row],[operacion]]))</f>
        <v/>
      </c>
    </row>
    <row r="956">
      <c r="A956" s="3" t="n"/>
      <c r="B956" s="3" t="n"/>
      <c r="C956" s="3" t="n"/>
      <c r="D956" s="3" t="n"/>
      <c r="E956" s="3" t="n"/>
      <c r="F956" s="11" t="n"/>
      <c r="G956" s="11" t="n"/>
      <c r="H956" s="11" t="n"/>
      <c r="I956" s="3" t="n"/>
      <c r="J956" s="3">
        <f>IF(tblEjecucion[[#This Row],[orden]]="","",tblEjecucion[[#This Row],[orden]]&amp;IF(tblEjecucion[[#This Row],[operacion]]="","0010",tblEjecucion[[#This Row],[operacion]]))</f>
        <v/>
      </c>
    </row>
    <row r="957">
      <c r="A957" s="3" t="n"/>
      <c r="B957" s="3" t="n"/>
      <c r="C957" s="3" t="n"/>
      <c r="D957" s="3" t="n"/>
      <c r="E957" s="3" t="n"/>
      <c r="F957" s="11" t="n"/>
      <c r="G957" s="11" t="n"/>
      <c r="H957" s="11" t="n"/>
      <c r="I957" s="3" t="n"/>
      <c r="J957" s="3">
        <f>IF(tblEjecucion[[#This Row],[orden]]="","",tblEjecucion[[#This Row],[orden]]&amp;IF(tblEjecucion[[#This Row],[operacion]]="","0010",tblEjecucion[[#This Row],[operacion]]))</f>
        <v/>
      </c>
    </row>
    <row r="958">
      <c r="A958" s="3" t="n"/>
      <c r="B958" s="3" t="n"/>
      <c r="C958" s="3" t="n"/>
      <c r="D958" s="3" t="n"/>
      <c r="E958" s="3" t="n"/>
      <c r="F958" s="11" t="n"/>
      <c r="G958" s="11" t="n"/>
      <c r="H958" s="11" t="n"/>
      <c r="I958" s="3" t="n"/>
      <c r="J958" s="3">
        <f>IF(tblEjecucion[[#This Row],[orden]]="","",tblEjecucion[[#This Row],[orden]]&amp;IF(tblEjecucion[[#This Row],[operacion]]="","0010",tblEjecucion[[#This Row],[operacion]]))</f>
        <v/>
      </c>
    </row>
    <row r="959">
      <c r="A959" s="3" t="n"/>
      <c r="B959" s="3" t="n"/>
      <c r="C959" s="3" t="n"/>
      <c r="D959" s="3" t="n"/>
      <c r="E959" s="3" t="n"/>
      <c r="F959" s="11" t="n"/>
      <c r="G959" s="11" t="n"/>
      <c r="H959" s="11" t="n"/>
      <c r="I959" s="3" t="n"/>
      <c r="J959" s="3">
        <f>IF(tblEjecucion[[#This Row],[orden]]="","",tblEjecucion[[#This Row],[orden]]&amp;IF(tblEjecucion[[#This Row],[operacion]]="","0010",tblEjecucion[[#This Row],[operacion]]))</f>
        <v/>
      </c>
    </row>
    <row r="960">
      <c r="A960" s="3" t="n"/>
      <c r="B960" s="3" t="n"/>
      <c r="C960" s="3" t="n"/>
      <c r="D960" s="3" t="n"/>
      <c r="E960" s="3" t="n"/>
      <c r="F960" s="11" t="n"/>
      <c r="G960" s="11" t="n"/>
      <c r="H960" s="11" t="n"/>
      <c r="I960" s="3" t="n"/>
      <c r="J960" s="3">
        <f>IF(tblEjecucion[[#This Row],[orden]]="","",tblEjecucion[[#This Row],[orden]]&amp;IF(tblEjecucion[[#This Row],[operacion]]="","0010",tblEjecucion[[#This Row],[operacion]]))</f>
        <v/>
      </c>
    </row>
    <row r="961">
      <c r="A961" s="3" t="n"/>
      <c r="B961" s="3" t="n"/>
      <c r="C961" s="3" t="n"/>
      <c r="D961" s="3" t="n"/>
      <c r="E961" s="3" t="n"/>
      <c r="F961" s="11" t="n"/>
      <c r="G961" s="11" t="n"/>
      <c r="H961" s="11" t="n"/>
      <c r="I961" s="3" t="n"/>
      <c r="J961" s="3">
        <f>IF(tblEjecucion[[#This Row],[orden]]="","",tblEjecucion[[#This Row],[orden]]&amp;IF(tblEjecucion[[#This Row],[operacion]]="","0010",tblEjecucion[[#This Row],[operacion]]))</f>
        <v/>
      </c>
    </row>
    <row r="962">
      <c r="A962" s="3" t="n"/>
      <c r="B962" s="3" t="n"/>
      <c r="C962" s="3" t="n"/>
      <c r="D962" s="3" t="n"/>
      <c r="E962" s="3" t="n"/>
      <c r="F962" s="11" t="n"/>
      <c r="G962" s="11" t="n"/>
      <c r="H962" s="11" t="n"/>
      <c r="I962" s="3" t="n"/>
      <c r="J962" s="3">
        <f>IF(tblEjecucion[[#This Row],[orden]]="","",tblEjecucion[[#This Row],[orden]]&amp;IF(tblEjecucion[[#This Row],[operacion]]="","0010",tblEjecucion[[#This Row],[operacion]]))</f>
        <v/>
      </c>
    </row>
    <row r="963">
      <c r="A963" s="3" t="n"/>
      <c r="B963" s="3" t="n"/>
      <c r="C963" s="3" t="n"/>
      <c r="D963" s="3" t="n"/>
      <c r="E963" s="3" t="n"/>
      <c r="F963" s="11" t="n"/>
      <c r="G963" s="11" t="n"/>
      <c r="H963" s="11" t="n"/>
      <c r="I963" s="3" t="n"/>
      <c r="J963" s="3">
        <f>IF(tblEjecucion[[#This Row],[orden]]="","",tblEjecucion[[#This Row],[orden]]&amp;IF(tblEjecucion[[#This Row],[operacion]]="","0010",tblEjecucion[[#This Row],[operacion]]))</f>
        <v/>
      </c>
    </row>
    <row r="964">
      <c r="A964" s="3" t="n"/>
      <c r="B964" s="3" t="n"/>
      <c r="C964" s="3" t="n"/>
      <c r="D964" s="3" t="n"/>
      <c r="E964" s="3" t="n"/>
      <c r="F964" s="11" t="n"/>
      <c r="G964" s="11" t="n"/>
      <c r="H964" s="11" t="n"/>
      <c r="I964" s="3" t="n"/>
      <c r="J964" s="3">
        <f>IF(tblEjecucion[[#This Row],[orden]]="","",tblEjecucion[[#This Row],[orden]]&amp;IF(tblEjecucion[[#This Row],[operacion]]="","0010",tblEjecucion[[#This Row],[operacion]]))</f>
        <v/>
      </c>
    </row>
    <row r="965">
      <c r="A965" s="3" t="n"/>
      <c r="B965" s="3" t="n"/>
      <c r="C965" s="3" t="n"/>
      <c r="D965" s="3" t="n"/>
      <c r="E965" s="3" t="n"/>
      <c r="F965" s="11" t="n"/>
      <c r="G965" s="11" t="n"/>
      <c r="H965" s="11" t="n"/>
      <c r="I965" s="3" t="n"/>
      <c r="J965" s="3">
        <f>IF(tblEjecucion[[#This Row],[orden]]="","",tblEjecucion[[#This Row],[orden]]&amp;IF(tblEjecucion[[#This Row],[operacion]]="","0010",tblEjecucion[[#This Row],[operacion]]))</f>
        <v/>
      </c>
    </row>
    <row r="966">
      <c r="A966" s="3" t="n"/>
      <c r="B966" s="3" t="n"/>
      <c r="C966" s="3" t="n"/>
      <c r="D966" s="3" t="n"/>
      <c r="E966" s="3" t="n"/>
      <c r="F966" s="11" t="n"/>
      <c r="G966" s="11" t="n"/>
      <c r="H966" s="11" t="n"/>
      <c r="I966" s="3" t="n"/>
      <c r="J966" s="3">
        <f>IF(tblEjecucion[[#This Row],[orden]]="","",tblEjecucion[[#This Row],[orden]]&amp;IF(tblEjecucion[[#This Row],[operacion]]="","0010",tblEjecucion[[#This Row],[operacion]]))</f>
        <v/>
      </c>
    </row>
    <row r="967">
      <c r="A967" s="3" t="n"/>
      <c r="B967" s="3" t="n"/>
      <c r="C967" s="3" t="n"/>
      <c r="D967" s="3" t="n"/>
      <c r="E967" s="3" t="n"/>
      <c r="F967" s="11" t="n"/>
      <c r="G967" s="11" t="n"/>
      <c r="H967" s="11" t="n"/>
      <c r="I967" s="3" t="n"/>
      <c r="J967" s="3">
        <f>IF(tblEjecucion[[#This Row],[orden]]="","",tblEjecucion[[#This Row],[orden]]&amp;IF(tblEjecucion[[#This Row],[operacion]]="","0010",tblEjecucion[[#This Row],[operacion]]))</f>
        <v/>
      </c>
    </row>
    <row r="968">
      <c r="A968" s="3" t="n"/>
      <c r="B968" s="3" t="n"/>
      <c r="C968" s="3" t="n"/>
      <c r="D968" s="3" t="n"/>
      <c r="E968" s="3" t="n"/>
      <c r="F968" s="11" t="n"/>
      <c r="G968" s="11" t="n"/>
      <c r="H968" s="11" t="n"/>
      <c r="I968" s="3" t="n"/>
      <c r="J968" s="3">
        <f>IF(tblEjecucion[[#This Row],[orden]]="","",tblEjecucion[[#This Row],[orden]]&amp;IF(tblEjecucion[[#This Row],[operacion]]="","0010",tblEjecucion[[#This Row],[operacion]]))</f>
        <v/>
      </c>
    </row>
    <row r="969">
      <c r="A969" s="3" t="n"/>
      <c r="B969" s="3" t="n"/>
      <c r="C969" s="3" t="n"/>
      <c r="D969" s="3" t="n"/>
      <c r="E969" s="3" t="n"/>
      <c r="F969" s="11" t="n"/>
      <c r="G969" s="11" t="n"/>
      <c r="H969" s="11" t="n"/>
      <c r="I969" s="3" t="n"/>
      <c r="J969" s="3">
        <f>IF(tblEjecucion[[#This Row],[orden]]="","",tblEjecucion[[#This Row],[orden]]&amp;IF(tblEjecucion[[#This Row],[operacion]]="","0010",tblEjecucion[[#This Row],[operacion]]))</f>
        <v/>
      </c>
    </row>
    <row r="970">
      <c r="A970" s="3" t="n"/>
      <c r="B970" s="3" t="n"/>
      <c r="C970" s="3" t="n"/>
      <c r="D970" s="3" t="n"/>
      <c r="E970" s="3" t="n"/>
      <c r="F970" s="11" t="n"/>
      <c r="G970" s="11" t="n"/>
      <c r="H970" s="11" t="n"/>
      <c r="I970" s="3" t="n"/>
      <c r="J970" s="3">
        <f>IF(tblEjecucion[[#This Row],[orden]]="","",tblEjecucion[[#This Row],[orden]]&amp;IF(tblEjecucion[[#This Row],[operacion]]="","0010",tblEjecucion[[#This Row],[operacion]]))</f>
        <v/>
      </c>
    </row>
    <row r="971">
      <c r="A971" s="3" t="n"/>
      <c r="B971" s="3" t="n"/>
      <c r="C971" s="3" t="n"/>
      <c r="D971" s="3" t="n"/>
      <c r="E971" s="3" t="n"/>
      <c r="F971" s="11" t="n"/>
      <c r="G971" s="11" t="n"/>
      <c r="H971" s="11" t="n"/>
      <c r="I971" s="3" t="n"/>
      <c r="J971" s="3">
        <f>IF(tblEjecucion[[#This Row],[orden]]="","",tblEjecucion[[#This Row],[orden]]&amp;IF(tblEjecucion[[#This Row],[operacion]]="","0010",tblEjecucion[[#This Row],[operacion]]))</f>
        <v/>
      </c>
    </row>
    <row r="972">
      <c r="A972" s="3" t="n"/>
      <c r="B972" s="3" t="n"/>
      <c r="C972" s="3" t="n"/>
      <c r="D972" s="3" t="n"/>
      <c r="E972" s="3" t="n"/>
      <c r="F972" s="11" t="n"/>
      <c r="G972" s="11" t="n"/>
      <c r="H972" s="11" t="n"/>
      <c r="I972" s="3" t="n"/>
      <c r="J972" s="3">
        <f>IF(tblEjecucion[[#This Row],[orden]]="","",tblEjecucion[[#This Row],[orden]]&amp;IF(tblEjecucion[[#This Row],[operacion]]="","0010",tblEjecucion[[#This Row],[operacion]]))</f>
        <v/>
      </c>
    </row>
    <row r="973">
      <c r="A973" s="3" t="n"/>
      <c r="B973" s="3" t="n"/>
      <c r="C973" s="3" t="n"/>
      <c r="D973" s="3" t="n"/>
      <c r="E973" s="3" t="n"/>
      <c r="F973" s="11" t="n"/>
      <c r="G973" s="11" t="n"/>
      <c r="H973" s="11" t="n"/>
      <c r="I973" s="3" t="n"/>
      <c r="J973" s="3">
        <f>IF(tblEjecucion[[#This Row],[orden]]="","",tblEjecucion[[#This Row],[orden]]&amp;IF(tblEjecucion[[#This Row],[operacion]]="","0010",tblEjecucion[[#This Row],[operacion]]))</f>
        <v/>
      </c>
    </row>
    <row r="974">
      <c r="A974" s="3" t="n"/>
      <c r="B974" s="3" t="n"/>
      <c r="C974" s="3" t="n"/>
      <c r="D974" s="3" t="n"/>
      <c r="E974" s="3" t="n"/>
      <c r="F974" s="11" t="n"/>
      <c r="G974" s="11" t="n"/>
      <c r="H974" s="11" t="n"/>
      <c r="I974" s="3" t="n"/>
      <c r="J974" s="3">
        <f>IF(tblEjecucion[[#This Row],[orden]]="","",tblEjecucion[[#This Row],[orden]]&amp;IF(tblEjecucion[[#This Row],[operacion]]="","0010",tblEjecucion[[#This Row],[operacion]]))</f>
        <v/>
      </c>
    </row>
    <row r="975">
      <c r="A975" s="3" t="n"/>
      <c r="B975" s="3" t="n"/>
      <c r="C975" s="3" t="n"/>
      <c r="D975" s="3" t="n"/>
      <c r="E975" s="3" t="n"/>
      <c r="F975" s="11" t="n"/>
      <c r="G975" s="11" t="n"/>
      <c r="H975" s="11" t="n"/>
      <c r="I975" s="3" t="n"/>
      <c r="J975" s="3">
        <f>IF(tblEjecucion[[#This Row],[orden]]="","",tblEjecucion[[#This Row],[orden]]&amp;IF(tblEjecucion[[#This Row],[operacion]]="","0010",tblEjecucion[[#This Row],[operacion]]))</f>
        <v/>
      </c>
    </row>
    <row r="976">
      <c r="A976" s="3" t="n"/>
      <c r="B976" s="3" t="n"/>
      <c r="C976" s="3" t="n"/>
      <c r="D976" s="3" t="n"/>
      <c r="E976" s="3" t="n"/>
      <c r="F976" s="11" t="n"/>
      <c r="G976" s="11" t="n"/>
      <c r="H976" s="11" t="n"/>
      <c r="I976" s="3" t="n"/>
      <c r="J976" s="3">
        <f>IF(tblEjecucion[[#This Row],[orden]]="","",tblEjecucion[[#This Row],[orden]]&amp;IF(tblEjecucion[[#This Row],[operacion]]="","0010",tblEjecucion[[#This Row],[operacion]]))</f>
        <v/>
      </c>
    </row>
    <row r="977">
      <c r="A977" s="3" t="n"/>
      <c r="B977" s="3" t="n"/>
      <c r="C977" s="3" t="n"/>
      <c r="D977" s="3" t="n"/>
      <c r="E977" s="3" t="n"/>
      <c r="F977" s="11" t="n"/>
      <c r="G977" s="11" t="n"/>
      <c r="H977" s="11" t="n"/>
      <c r="I977" s="3" t="n"/>
      <c r="J977" s="3">
        <f>IF(tblEjecucion[[#This Row],[orden]]="","",tblEjecucion[[#This Row],[orden]]&amp;IF(tblEjecucion[[#This Row],[operacion]]="","0010",tblEjecucion[[#This Row],[operacion]]))</f>
        <v/>
      </c>
    </row>
    <row r="978">
      <c r="A978" s="3" t="n"/>
      <c r="B978" s="3" t="n"/>
      <c r="C978" s="3" t="n"/>
      <c r="D978" s="3" t="n"/>
      <c r="E978" s="3" t="n"/>
      <c r="F978" s="11" t="n"/>
      <c r="G978" s="11" t="n"/>
      <c r="H978" s="11" t="n"/>
      <c r="I978" s="3" t="n"/>
      <c r="J978" s="3">
        <f>IF(tblEjecucion[[#This Row],[orden]]="","",tblEjecucion[[#This Row],[orden]]&amp;IF(tblEjecucion[[#This Row],[operacion]]="","0010",tblEjecucion[[#This Row],[operacion]]))</f>
        <v/>
      </c>
    </row>
    <row r="979">
      <c r="A979" s="3" t="n"/>
      <c r="B979" s="3" t="n"/>
      <c r="C979" s="3" t="n"/>
      <c r="D979" s="3" t="n"/>
      <c r="E979" s="3" t="n"/>
      <c r="F979" s="11" t="n"/>
      <c r="G979" s="11" t="n"/>
      <c r="H979" s="11" t="n"/>
      <c r="I979" s="3" t="n"/>
      <c r="J979" s="3">
        <f>IF(tblEjecucion[[#This Row],[orden]]="","",tblEjecucion[[#This Row],[orden]]&amp;IF(tblEjecucion[[#This Row],[operacion]]="","0010",tblEjecucion[[#This Row],[operacion]]))</f>
        <v/>
      </c>
    </row>
    <row r="980">
      <c r="A980" s="3" t="n"/>
      <c r="B980" s="3" t="n"/>
      <c r="C980" s="3" t="n"/>
      <c r="D980" s="3" t="n"/>
      <c r="E980" s="3" t="n"/>
      <c r="F980" s="11" t="n"/>
      <c r="G980" s="11" t="n"/>
      <c r="H980" s="11" t="n"/>
      <c r="I980" s="3" t="n"/>
      <c r="J980" s="3">
        <f>IF(tblEjecucion[[#This Row],[orden]]="","",tblEjecucion[[#This Row],[orden]]&amp;IF(tblEjecucion[[#This Row],[operacion]]="","0010",tblEjecucion[[#This Row],[operacion]]))</f>
        <v/>
      </c>
    </row>
    <row r="981">
      <c r="A981" s="3" t="n"/>
      <c r="B981" s="3" t="n"/>
      <c r="C981" s="3" t="n"/>
      <c r="D981" s="3" t="n"/>
      <c r="E981" s="3" t="n"/>
      <c r="F981" s="11" t="n"/>
      <c r="G981" s="11" t="n"/>
      <c r="H981" s="11" t="n"/>
      <c r="I981" s="3" t="n"/>
      <c r="J981" s="3">
        <f>IF(tblEjecucion[[#This Row],[orden]]="","",tblEjecucion[[#This Row],[orden]]&amp;IF(tblEjecucion[[#This Row],[operacion]]="","0010",tblEjecucion[[#This Row],[operacion]]))</f>
        <v/>
      </c>
    </row>
    <row r="982">
      <c r="A982" s="3" t="n"/>
      <c r="B982" s="3" t="n"/>
      <c r="C982" s="3" t="n"/>
      <c r="D982" s="3" t="n"/>
      <c r="E982" s="3" t="n"/>
      <c r="F982" s="11" t="n"/>
      <c r="G982" s="11" t="n"/>
      <c r="H982" s="11" t="n"/>
      <c r="I982" s="3" t="n"/>
      <c r="J982" s="3">
        <f>IF(tblEjecucion[[#This Row],[orden]]="","",tblEjecucion[[#This Row],[orden]]&amp;IF(tblEjecucion[[#This Row],[operacion]]="","0010",tblEjecucion[[#This Row],[operacion]]))</f>
        <v/>
      </c>
    </row>
    <row r="983">
      <c r="A983" s="3" t="n"/>
      <c r="B983" s="3" t="n"/>
      <c r="C983" s="3" t="n"/>
      <c r="D983" s="3" t="n"/>
      <c r="E983" s="3" t="n"/>
      <c r="F983" s="11" t="n"/>
      <c r="G983" s="11" t="n"/>
      <c r="H983" s="11" t="n"/>
      <c r="I983" s="3" t="n"/>
      <c r="J983" s="3">
        <f>IF(tblEjecucion[[#This Row],[orden]]="","",tblEjecucion[[#This Row],[orden]]&amp;IF(tblEjecucion[[#This Row],[operacion]]="","0010",tblEjecucion[[#This Row],[operacion]]))</f>
        <v/>
      </c>
    </row>
    <row r="984">
      <c r="A984" s="3" t="n"/>
      <c r="B984" s="3" t="n"/>
      <c r="C984" s="3" t="n"/>
      <c r="D984" s="3" t="n"/>
      <c r="E984" s="3" t="n"/>
      <c r="F984" s="11" t="n"/>
      <c r="G984" s="11" t="n"/>
      <c r="H984" s="11" t="n"/>
      <c r="I984" s="3" t="n"/>
      <c r="J984" s="3">
        <f>IF(tblEjecucion[[#This Row],[orden]]="","",tblEjecucion[[#This Row],[orden]]&amp;IF(tblEjecucion[[#This Row],[operacion]]="","0010",tblEjecucion[[#This Row],[operacion]]))</f>
        <v/>
      </c>
    </row>
    <row r="985">
      <c r="A985" s="3" t="n"/>
      <c r="B985" s="3" t="n"/>
      <c r="C985" s="3" t="n"/>
      <c r="D985" s="3" t="n"/>
      <c r="E985" s="3" t="n"/>
      <c r="F985" s="11" t="n"/>
      <c r="G985" s="11" t="n"/>
      <c r="H985" s="11" t="n"/>
      <c r="I985" s="3" t="n"/>
      <c r="J985" s="3">
        <f>IF(tblEjecucion[[#This Row],[orden]]="","",tblEjecucion[[#This Row],[orden]]&amp;IF(tblEjecucion[[#This Row],[operacion]]="","0010",tblEjecucion[[#This Row],[operacion]]))</f>
        <v/>
      </c>
    </row>
    <row r="986">
      <c r="A986" s="3" t="n"/>
      <c r="B986" s="3" t="n"/>
      <c r="C986" s="3" t="n"/>
      <c r="D986" s="3" t="n"/>
      <c r="E986" s="3" t="n"/>
      <c r="F986" s="11" t="n"/>
      <c r="G986" s="11" t="n"/>
      <c r="H986" s="11" t="n"/>
      <c r="I986" s="3" t="n"/>
      <c r="J986" s="3">
        <f>IF(tblEjecucion[[#This Row],[orden]]="","",tblEjecucion[[#This Row],[orden]]&amp;IF(tblEjecucion[[#This Row],[operacion]]="","0010",tblEjecucion[[#This Row],[operacion]]))</f>
        <v/>
      </c>
    </row>
    <row r="987">
      <c r="A987" s="3" t="n"/>
      <c r="B987" s="3" t="n"/>
      <c r="C987" s="3" t="n"/>
      <c r="D987" s="3" t="n"/>
      <c r="E987" s="3" t="n"/>
      <c r="F987" s="11" t="n"/>
      <c r="G987" s="11" t="n"/>
      <c r="H987" s="11" t="n"/>
      <c r="I987" s="3" t="n"/>
      <c r="J987" s="3">
        <f>IF(tblEjecucion[[#This Row],[orden]]="","",tblEjecucion[[#This Row],[orden]]&amp;IF(tblEjecucion[[#This Row],[operacion]]="","0010",tblEjecucion[[#This Row],[operacion]]))</f>
        <v/>
      </c>
    </row>
    <row r="988">
      <c r="A988" s="3" t="n"/>
      <c r="B988" s="3" t="n"/>
      <c r="C988" s="3" t="n"/>
      <c r="D988" s="3" t="n"/>
      <c r="E988" s="3" t="n"/>
      <c r="F988" s="11" t="n"/>
      <c r="G988" s="11" t="n"/>
      <c r="H988" s="11" t="n"/>
      <c r="I988" s="3" t="n"/>
      <c r="J988" s="3">
        <f>IF(tblEjecucion[[#This Row],[orden]]="","",tblEjecucion[[#This Row],[orden]]&amp;IF(tblEjecucion[[#This Row],[operacion]]="","0010",tblEjecucion[[#This Row],[operacion]]))</f>
        <v/>
      </c>
    </row>
    <row r="989">
      <c r="A989" s="3" t="n"/>
      <c r="B989" s="3" t="n"/>
      <c r="C989" s="3" t="n"/>
      <c r="D989" s="3" t="n"/>
      <c r="E989" s="3" t="n"/>
      <c r="F989" s="11" t="n"/>
      <c r="G989" s="11" t="n"/>
      <c r="H989" s="11" t="n"/>
      <c r="I989" s="3" t="n"/>
      <c r="J989" s="3">
        <f>IF(tblEjecucion[[#This Row],[orden]]="","",tblEjecucion[[#This Row],[orden]]&amp;IF(tblEjecucion[[#This Row],[operacion]]="","0010",tblEjecucion[[#This Row],[operacion]]))</f>
        <v/>
      </c>
    </row>
    <row r="990">
      <c r="A990" s="3" t="n"/>
      <c r="B990" s="3" t="n"/>
      <c r="C990" s="3" t="n"/>
      <c r="D990" s="3" t="n"/>
      <c r="E990" s="3" t="n"/>
      <c r="F990" s="11" t="n"/>
      <c r="G990" s="11" t="n"/>
      <c r="H990" s="11" t="n"/>
      <c r="I990" s="3" t="n"/>
      <c r="J990" s="3">
        <f>IF(tblEjecucion[[#This Row],[orden]]="","",tblEjecucion[[#This Row],[orden]]&amp;IF(tblEjecucion[[#This Row],[operacion]]="","0010",tblEjecucion[[#This Row],[operacion]]))</f>
        <v/>
      </c>
    </row>
    <row r="991">
      <c r="A991" s="3" t="n"/>
      <c r="B991" s="3" t="n"/>
      <c r="C991" s="3" t="n"/>
      <c r="D991" s="3" t="n"/>
      <c r="E991" s="3" t="n"/>
      <c r="F991" s="11" t="n"/>
      <c r="G991" s="11" t="n"/>
      <c r="H991" s="11" t="n"/>
      <c r="I991" s="3" t="n"/>
      <c r="J991" s="3">
        <f>IF(tblEjecucion[[#This Row],[orden]]="","",tblEjecucion[[#This Row],[orden]]&amp;IF(tblEjecucion[[#This Row],[operacion]]="","0010",tblEjecucion[[#This Row],[operacion]]))</f>
        <v/>
      </c>
    </row>
    <row r="992">
      <c r="A992" s="3" t="n"/>
      <c r="B992" s="3" t="n"/>
      <c r="C992" s="3" t="n"/>
      <c r="D992" s="3" t="n"/>
      <c r="E992" s="3" t="n"/>
      <c r="F992" s="11" t="n"/>
      <c r="G992" s="11" t="n"/>
      <c r="H992" s="11" t="n"/>
      <c r="I992" s="3" t="n"/>
      <c r="J992" s="3">
        <f>IF(tblEjecucion[[#This Row],[orden]]="","",tblEjecucion[[#This Row],[orden]]&amp;IF(tblEjecucion[[#This Row],[operacion]]="","0010",tblEjecucion[[#This Row],[operacion]]))</f>
        <v/>
      </c>
    </row>
    <row r="993">
      <c r="A993" s="3" t="n"/>
      <c r="B993" s="3" t="n"/>
      <c r="C993" s="3" t="n"/>
      <c r="D993" s="3" t="n"/>
      <c r="E993" s="3" t="n"/>
      <c r="F993" s="11" t="n"/>
      <c r="G993" s="11" t="n"/>
      <c r="H993" s="11" t="n"/>
      <c r="I993" s="3" t="n"/>
      <c r="J993" s="3">
        <f>IF(tblEjecucion[[#This Row],[orden]]="","",tblEjecucion[[#This Row],[orden]]&amp;IF(tblEjecucion[[#This Row],[operacion]]="","0010",tblEjecucion[[#This Row],[operacion]]))</f>
        <v/>
      </c>
    </row>
    <row r="994">
      <c r="A994" s="3" t="n"/>
      <c r="B994" s="3" t="n"/>
      <c r="C994" s="3" t="n"/>
      <c r="D994" s="3" t="n"/>
      <c r="E994" s="3" t="n"/>
      <c r="F994" s="11" t="n"/>
      <c r="G994" s="11" t="n"/>
      <c r="H994" s="11" t="n"/>
      <c r="I994" s="3" t="n"/>
      <c r="J994" s="3">
        <f>IF(tblEjecucion[[#This Row],[orden]]="","",tblEjecucion[[#This Row],[orden]]&amp;IF(tblEjecucion[[#This Row],[operacion]]="","0010",tblEjecucion[[#This Row],[operacion]]))</f>
        <v/>
      </c>
    </row>
    <row r="995">
      <c r="A995" s="3" t="n"/>
      <c r="B995" s="3" t="n"/>
      <c r="C995" s="3" t="n"/>
      <c r="D995" s="3" t="n"/>
      <c r="E995" s="3" t="n"/>
      <c r="F995" s="11" t="n"/>
      <c r="G995" s="11" t="n"/>
      <c r="H995" s="11" t="n"/>
      <c r="I995" s="3" t="n"/>
      <c r="J995" s="3">
        <f>IF(tblEjecucion[[#This Row],[orden]]="","",tblEjecucion[[#This Row],[orden]]&amp;IF(tblEjecucion[[#This Row],[operacion]]="","0010",tblEjecucion[[#This Row],[operacion]]))</f>
        <v/>
      </c>
    </row>
    <row r="996">
      <c r="A996" s="3" t="n"/>
      <c r="B996" s="3" t="n"/>
      <c r="C996" s="3" t="n"/>
      <c r="D996" s="3" t="n"/>
      <c r="E996" s="3" t="n"/>
      <c r="F996" s="11" t="n"/>
      <c r="G996" s="11" t="n"/>
      <c r="H996" s="11" t="n"/>
      <c r="I996" s="3" t="n"/>
      <c r="J996" s="3">
        <f>IF(tblEjecucion[[#This Row],[orden]]="","",tblEjecucion[[#This Row],[orden]]&amp;IF(tblEjecucion[[#This Row],[operacion]]="","0010",tblEjecucion[[#This Row],[operacion]]))</f>
        <v/>
      </c>
    </row>
    <row r="997">
      <c r="A997" s="3" t="n"/>
      <c r="B997" s="3" t="n"/>
      <c r="C997" s="3" t="n"/>
      <c r="D997" s="3" t="n"/>
      <c r="E997" s="3" t="n"/>
      <c r="F997" s="11" t="n"/>
      <c r="G997" s="11" t="n"/>
      <c r="H997" s="11" t="n"/>
      <c r="I997" s="3" t="n"/>
      <c r="J997" s="3">
        <f>IF(tblEjecucion[[#This Row],[orden]]="","",tblEjecucion[[#This Row],[orden]]&amp;IF(tblEjecucion[[#This Row],[operacion]]="","0010",tblEjecucion[[#This Row],[operacion]]))</f>
        <v/>
      </c>
    </row>
    <row r="998">
      <c r="A998" s="3" t="n"/>
      <c r="B998" s="3" t="n"/>
      <c r="C998" s="3" t="n"/>
      <c r="D998" s="3" t="n"/>
      <c r="E998" s="3" t="n"/>
      <c r="F998" s="11" t="n"/>
      <c r="G998" s="11" t="n"/>
      <c r="H998" s="11" t="n"/>
      <c r="I998" s="3" t="n"/>
      <c r="J998" s="3">
        <f>IF(tblEjecucion[[#This Row],[orden]]="","",tblEjecucion[[#This Row],[orden]]&amp;IF(tblEjecucion[[#This Row],[operacion]]="","0010",tblEjecucion[[#This Row],[operacion]]))</f>
        <v/>
      </c>
    </row>
    <row r="999">
      <c r="A999" s="3" t="n"/>
      <c r="B999" s="3" t="n"/>
      <c r="C999" s="3" t="n"/>
      <c r="D999" s="3" t="n"/>
      <c r="E999" s="3" t="n"/>
      <c r="F999" s="11" t="n"/>
      <c r="G999" s="11" t="n"/>
      <c r="H999" s="11" t="n"/>
      <c r="I999" s="3" t="n"/>
      <c r="J999" s="3">
        <f>IF(tblEjecucion[[#This Row],[orden]]="","",tblEjecucion[[#This Row],[orden]]&amp;IF(tblEjecucion[[#This Row],[operacion]]="","0010",tblEjecucion[[#This Row],[operacion]]))</f>
        <v/>
      </c>
    </row>
    <row r="1000">
      <c r="A1000" s="3" t="n"/>
      <c r="B1000" s="3" t="n"/>
      <c r="C1000" s="3" t="n"/>
      <c r="D1000" s="3" t="n"/>
      <c r="E1000" s="3" t="n"/>
      <c r="F1000" s="11" t="n"/>
      <c r="G1000" s="11" t="n"/>
      <c r="H1000" s="11" t="n"/>
      <c r="I1000" s="3" t="n"/>
      <c r="J1000" s="3">
        <f>IF(tblEjecucion[[#This Row],[orden]]="","",tblEjecucion[[#This Row],[orden]]&amp;IF(tblEjecucion[[#This Row],[operacion]]="","0010",tblEjecucion[[#This Row],[operacion]]))</f>
        <v/>
      </c>
    </row>
    <row r="1001">
      <c r="A1001" s="3" t="n"/>
      <c r="B1001" s="3" t="n"/>
      <c r="C1001" s="3" t="n"/>
      <c r="D1001" s="3" t="n"/>
      <c r="E1001" s="3" t="n"/>
      <c r="F1001" s="11" t="n"/>
      <c r="G1001" s="11" t="n"/>
      <c r="H1001" s="11" t="n"/>
      <c r="I1001" s="3" t="n"/>
      <c r="J1001" s="3">
        <f>IF(tblEjecucion[[#This Row],[orden]]="","",tblEjecucion[[#This Row],[orden]]&amp;IF(tblEjecucion[[#This Row],[operacion]]="","0010",tblEjecucion[[#This Row],[operacion]]))</f>
        <v/>
      </c>
    </row>
    <row r="1002">
      <c r="A1002" s="3" t="n"/>
      <c r="B1002" s="3" t="n"/>
      <c r="C1002" s="3" t="n"/>
      <c r="D1002" s="3" t="n"/>
      <c r="E1002" s="3" t="n"/>
      <c r="F1002" s="11" t="n"/>
      <c r="G1002" s="11" t="n"/>
      <c r="H1002" s="11" t="n"/>
      <c r="I1002" s="3" t="n"/>
      <c r="J1002" s="3">
        <f>IF(tblEjecucion[[#This Row],[orden]]="","",tblEjecucion[[#This Row],[orden]]&amp;IF(tblEjecucion[[#This Row],[operacion]]="","0010",tblEjecucion[[#This Row],[operacion]]))</f>
        <v/>
      </c>
    </row>
    <row r="1003">
      <c r="A1003" s="3" t="n"/>
      <c r="B1003" s="3" t="n"/>
      <c r="C1003" s="3" t="n"/>
      <c r="D1003" s="3" t="n"/>
      <c r="E1003" s="3" t="n"/>
      <c r="F1003" s="11" t="n"/>
      <c r="G1003" s="11" t="n"/>
      <c r="H1003" s="11" t="n"/>
      <c r="I1003" s="3" t="n"/>
      <c r="J1003" s="3">
        <f>IF(tblEjecucion[[#This Row],[orden]]="","",tblEjecucion[[#This Row],[orden]]&amp;IF(tblEjecucion[[#This Row],[operacion]]="","0010",tblEjecucion[[#This Row],[operacion]]))</f>
        <v/>
      </c>
    </row>
    <row r="1004">
      <c r="A1004" s="3" t="n"/>
      <c r="B1004" s="3" t="n"/>
      <c r="C1004" s="3" t="n"/>
      <c r="D1004" s="3" t="n"/>
      <c r="E1004" s="3" t="n"/>
      <c r="F1004" s="11" t="n"/>
      <c r="G1004" s="11" t="n"/>
      <c r="H1004" s="11" t="n"/>
      <c r="I1004" s="3" t="n"/>
      <c r="J1004" s="3">
        <f>IF(tblEjecucion[[#This Row],[orden]]="","",tblEjecucion[[#This Row],[orden]]&amp;IF(tblEjecucion[[#This Row],[operacion]]="","0010",tblEjecucion[[#This Row],[operacion]]))</f>
        <v/>
      </c>
    </row>
    <row r="1005">
      <c r="A1005" s="3" t="n"/>
      <c r="B1005" s="3" t="n"/>
      <c r="C1005" s="3" t="n"/>
      <c r="D1005" s="3" t="n"/>
      <c r="E1005" s="3" t="n"/>
      <c r="F1005" s="11" t="n"/>
      <c r="G1005" s="11" t="n"/>
      <c r="H1005" s="11" t="n"/>
      <c r="I1005" s="3" t="n"/>
      <c r="J1005" s="3">
        <f>IF(tblEjecucion[[#This Row],[orden]]="","",tblEjecucion[[#This Row],[orden]]&amp;IF(tblEjecucion[[#This Row],[operacion]]="","0010",tblEjecucion[[#This Row],[operacion]]))</f>
        <v/>
      </c>
    </row>
    <row r="1006">
      <c r="A1006" s="3" t="n"/>
      <c r="B1006" s="3" t="n"/>
      <c r="C1006" s="3" t="n"/>
      <c r="D1006" s="3" t="n"/>
      <c r="E1006" s="3" t="n"/>
      <c r="F1006" s="11" t="n"/>
      <c r="G1006" s="11" t="n"/>
      <c r="H1006" s="11" t="n"/>
      <c r="I1006" s="3" t="n"/>
      <c r="J1006" s="3">
        <f>IF(tblEjecucion[[#This Row],[orden]]="","",tblEjecucion[[#This Row],[orden]]&amp;IF(tblEjecucion[[#This Row],[operacion]]="","0010",tblEjecucion[[#This Row],[operacion]]))</f>
        <v/>
      </c>
    </row>
    <row r="1007">
      <c r="A1007" s="3" t="n"/>
      <c r="B1007" s="3" t="n"/>
      <c r="C1007" s="3" t="n"/>
      <c r="D1007" s="3" t="n"/>
      <c r="E1007" s="3" t="n"/>
      <c r="F1007" s="11" t="n"/>
      <c r="G1007" s="11" t="n"/>
      <c r="H1007" s="11" t="n"/>
      <c r="I1007" s="3" t="n"/>
      <c r="J1007" s="3">
        <f>IF(tblEjecucion[[#This Row],[orden]]="","",tblEjecucion[[#This Row],[orden]]&amp;IF(tblEjecucion[[#This Row],[operacion]]="","0010",tblEjecucion[[#This Row],[operacion]]))</f>
        <v/>
      </c>
    </row>
    <row r="1008">
      <c r="A1008" s="3" t="n"/>
      <c r="B1008" s="3" t="n"/>
      <c r="C1008" s="3" t="n"/>
      <c r="D1008" s="3" t="n"/>
      <c r="E1008" s="3" t="n"/>
      <c r="F1008" s="11" t="n"/>
      <c r="G1008" s="11" t="n"/>
      <c r="H1008" s="11" t="n"/>
      <c r="I1008" s="3" t="n"/>
      <c r="J1008" s="3">
        <f>IF(tblEjecucion[[#This Row],[orden]]="","",tblEjecucion[[#This Row],[orden]]&amp;IF(tblEjecucion[[#This Row],[operacion]]="","0010",tblEjecucion[[#This Row],[operacion]]))</f>
        <v/>
      </c>
    </row>
    <row r="1009">
      <c r="A1009" s="3" t="n"/>
      <c r="B1009" s="3" t="n"/>
      <c r="C1009" s="3" t="n"/>
      <c r="D1009" s="3" t="n"/>
      <c r="E1009" s="3" t="n"/>
      <c r="F1009" s="11" t="n"/>
      <c r="G1009" s="11" t="n"/>
      <c r="H1009" s="11" t="n"/>
      <c r="I1009" s="3" t="n"/>
      <c r="J1009" s="3">
        <f>IF(tblEjecucion[[#This Row],[orden]]="","",tblEjecucion[[#This Row],[orden]]&amp;IF(tblEjecucion[[#This Row],[operacion]]="","0010",tblEjecucion[[#This Row],[operacion]]))</f>
        <v/>
      </c>
    </row>
    <row r="1010">
      <c r="A1010" s="3" t="n"/>
      <c r="B1010" s="3" t="n"/>
      <c r="C1010" s="3" t="n"/>
      <c r="D1010" s="3" t="n"/>
      <c r="E1010" s="3" t="n"/>
      <c r="F1010" s="11" t="n"/>
      <c r="G1010" s="11" t="n"/>
      <c r="H1010" s="11" t="n"/>
      <c r="I1010" s="3" t="n"/>
      <c r="J1010" s="3">
        <f>IF(tblEjecucion[[#This Row],[orden]]="","",tblEjecucion[[#This Row],[orden]]&amp;IF(tblEjecucion[[#This Row],[operacion]]="","0010",tblEjecucion[[#This Row],[operacion]]))</f>
        <v/>
      </c>
    </row>
    <row r="1011">
      <c r="A1011" s="3" t="n"/>
      <c r="B1011" s="3" t="n"/>
      <c r="C1011" s="3" t="n"/>
      <c r="D1011" s="3" t="n"/>
      <c r="E1011" s="3" t="n"/>
      <c r="F1011" s="11" t="n"/>
      <c r="G1011" s="11" t="n"/>
      <c r="H1011" s="11" t="n"/>
      <c r="I1011" s="3" t="n"/>
      <c r="J1011" s="3">
        <f>IF(tblEjecucion[[#This Row],[orden]]="","",tblEjecucion[[#This Row],[orden]]&amp;IF(tblEjecucion[[#This Row],[operacion]]="","0010",tblEjecucion[[#This Row],[operacion]]))</f>
        <v/>
      </c>
    </row>
    <row r="1012">
      <c r="A1012" s="3" t="n"/>
      <c r="B1012" s="3" t="n"/>
      <c r="C1012" s="3" t="n"/>
      <c r="D1012" s="3" t="n"/>
      <c r="E1012" s="3" t="n"/>
      <c r="F1012" s="11" t="n"/>
      <c r="G1012" s="11" t="n"/>
      <c r="H1012" s="11" t="n"/>
      <c r="I1012" s="3" t="n"/>
      <c r="J1012" s="3">
        <f>IF(tblEjecucion[[#This Row],[orden]]="","",tblEjecucion[[#This Row],[orden]]&amp;IF(tblEjecucion[[#This Row],[operacion]]="","0010",tblEjecucion[[#This Row],[operacion]]))</f>
        <v/>
      </c>
    </row>
    <row r="1013">
      <c r="A1013" s="3" t="n"/>
      <c r="B1013" s="3" t="n"/>
      <c r="C1013" s="3" t="n"/>
      <c r="D1013" s="3" t="n"/>
      <c r="E1013" s="3" t="n"/>
      <c r="F1013" s="11" t="n"/>
      <c r="G1013" s="11" t="n"/>
      <c r="H1013" s="11" t="n"/>
      <c r="I1013" s="3" t="n"/>
      <c r="J1013" s="3">
        <f>IF(tblEjecucion[[#This Row],[orden]]="","",tblEjecucion[[#This Row],[orden]]&amp;IF(tblEjecucion[[#This Row],[operacion]]="","0010",tblEjecucion[[#This Row],[operacion]]))</f>
        <v/>
      </c>
    </row>
    <row r="1014">
      <c r="A1014" s="3" t="n"/>
      <c r="B1014" s="3" t="n"/>
      <c r="C1014" s="3" t="n"/>
      <c r="D1014" s="3" t="n"/>
      <c r="E1014" s="3" t="n"/>
      <c r="F1014" s="11" t="n"/>
      <c r="G1014" s="11" t="n"/>
      <c r="H1014" s="11" t="n"/>
      <c r="I1014" s="3" t="n"/>
      <c r="J1014" s="3">
        <f>IF(tblEjecucion[[#This Row],[orden]]="","",tblEjecucion[[#This Row],[orden]]&amp;IF(tblEjecucion[[#This Row],[operacion]]="","0010",tblEjecucion[[#This Row],[operacion]]))</f>
        <v/>
      </c>
    </row>
    <row r="1015">
      <c r="A1015" s="3" t="n"/>
      <c r="B1015" s="3" t="n"/>
      <c r="C1015" s="3" t="n"/>
      <c r="D1015" s="3" t="n"/>
      <c r="E1015" s="3" t="n"/>
      <c r="F1015" s="11" t="n"/>
      <c r="G1015" s="11" t="n"/>
      <c r="H1015" s="11" t="n"/>
      <c r="I1015" s="3" t="n"/>
      <c r="J1015" s="3">
        <f>IF(tblEjecucion[[#This Row],[orden]]="","",tblEjecucion[[#This Row],[orden]]&amp;IF(tblEjecucion[[#This Row],[operacion]]="","0010",tblEjecucion[[#This Row],[operacion]]))</f>
        <v/>
      </c>
    </row>
    <row r="1016">
      <c r="A1016" s="3" t="n"/>
      <c r="B1016" s="3" t="n"/>
      <c r="C1016" s="3" t="n"/>
      <c r="D1016" s="3" t="n"/>
      <c r="E1016" s="3" t="n"/>
      <c r="F1016" s="11" t="n"/>
      <c r="G1016" s="11" t="n"/>
      <c r="H1016" s="11" t="n"/>
      <c r="I1016" s="3" t="n"/>
      <c r="J1016" s="3">
        <f>IF(tblEjecucion[[#This Row],[orden]]="","",tblEjecucion[[#This Row],[orden]]&amp;IF(tblEjecucion[[#This Row],[operacion]]="","0010",tblEjecucion[[#This Row],[operacion]]))</f>
        <v/>
      </c>
    </row>
    <row r="1017">
      <c r="A1017" s="3" t="n"/>
      <c r="B1017" s="3" t="n"/>
      <c r="C1017" s="3" t="n"/>
      <c r="D1017" s="3" t="n"/>
      <c r="E1017" s="3" t="n"/>
      <c r="F1017" s="11" t="n"/>
      <c r="G1017" s="11" t="n"/>
      <c r="H1017" s="11" t="n"/>
      <c r="I1017" s="3" t="n"/>
      <c r="J1017" s="3">
        <f>IF(tblEjecucion[[#This Row],[orden]]="","",tblEjecucion[[#This Row],[orden]]&amp;IF(tblEjecucion[[#This Row],[operacion]]="","0010",tblEjecucion[[#This Row],[operacion]]))</f>
        <v/>
      </c>
    </row>
    <row r="1018">
      <c r="A1018" s="3" t="n"/>
      <c r="B1018" s="3" t="n"/>
      <c r="C1018" s="3" t="n"/>
      <c r="D1018" s="3" t="n"/>
      <c r="E1018" s="3" t="n"/>
      <c r="F1018" s="11" t="n"/>
      <c r="G1018" s="11" t="n"/>
      <c r="H1018" s="11" t="n"/>
      <c r="I1018" s="3" t="n"/>
      <c r="J1018" s="3">
        <f>IF(tblEjecucion[[#This Row],[orden]]="","",tblEjecucion[[#This Row],[orden]]&amp;IF(tblEjecucion[[#This Row],[operacion]]="","0010",tblEjecucion[[#This Row],[operacion]]))</f>
        <v/>
      </c>
    </row>
    <row r="1019">
      <c r="A1019" s="3" t="n"/>
      <c r="B1019" s="3" t="n"/>
      <c r="C1019" s="3" t="n"/>
      <c r="D1019" s="3" t="n"/>
      <c r="E1019" s="3" t="n"/>
      <c r="F1019" s="11" t="n"/>
      <c r="G1019" s="11" t="n"/>
      <c r="H1019" s="11" t="n"/>
      <c r="I1019" s="3" t="n"/>
      <c r="J1019" s="3">
        <f>IF(tblEjecucion[[#This Row],[orden]]="","",tblEjecucion[[#This Row],[orden]]&amp;IF(tblEjecucion[[#This Row],[operacion]]="","0010",tblEjecucion[[#This Row],[operacion]]))</f>
        <v/>
      </c>
    </row>
    <row r="1020">
      <c r="A1020" s="3" t="n"/>
      <c r="B1020" s="3" t="n"/>
      <c r="C1020" s="3" t="n"/>
      <c r="D1020" s="3" t="n"/>
      <c r="E1020" s="3" t="n"/>
      <c r="F1020" s="11" t="n"/>
      <c r="G1020" s="11" t="n"/>
      <c r="H1020" s="11" t="n"/>
      <c r="I1020" s="3" t="n"/>
      <c r="J1020" s="3">
        <f>IF(tblEjecucion[[#This Row],[orden]]="","",tblEjecucion[[#This Row],[orden]]&amp;IF(tblEjecucion[[#This Row],[operacion]]="","0010",tblEjecucion[[#This Row],[operacion]]))</f>
        <v/>
      </c>
    </row>
    <row r="1021">
      <c r="A1021" s="3" t="n"/>
      <c r="B1021" s="3" t="n"/>
      <c r="C1021" s="3" t="n"/>
      <c r="D1021" s="3" t="n"/>
      <c r="E1021" s="3" t="n"/>
      <c r="F1021" s="11" t="n"/>
      <c r="G1021" s="11" t="n"/>
      <c r="H1021" s="11" t="n"/>
      <c r="I1021" s="3" t="n"/>
      <c r="J1021" s="3">
        <f>IF(tblEjecucion[[#This Row],[orden]]="","",tblEjecucion[[#This Row],[orden]]&amp;IF(tblEjecucion[[#This Row],[operacion]]="","0010",tblEjecucion[[#This Row],[operacion]]))</f>
        <v/>
      </c>
    </row>
    <row r="1022">
      <c r="A1022" s="3" t="n"/>
      <c r="B1022" s="3" t="n"/>
      <c r="C1022" s="3" t="n"/>
      <c r="D1022" s="3" t="n"/>
      <c r="E1022" s="3" t="n"/>
      <c r="F1022" s="11" t="n"/>
      <c r="G1022" s="11" t="n"/>
      <c r="H1022" s="11" t="n"/>
      <c r="I1022" s="3" t="n"/>
      <c r="J1022" s="3">
        <f>IF(tblEjecucion[[#This Row],[orden]]="","",tblEjecucion[[#This Row],[orden]]&amp;IF(tblEjecucion[[#This Row],[operacion]]="","0010",tblEjecucion[[#This Row],[operacion]]))</f>
        <v/>
      </c>
    </row>
    <row r="1023">
      <c r="A1023" s="3" t="n"/>
      <c r="B1023" s="3" t="n"/>
      <c r="C1023" s="3" t="n"/>
      <c r="D1023" s="3" t="n"/>
      <c r="E1023" s="3" t="n"/>
      <c r="F1023" s="11" t="n"/>
      <c r="G1023" s="11" t="n"/>
      <c r="H1023" s="11" t="n"/>
      <c r="I1023" s="3" t="n"/>
      <c r="J1023" s="3">
        <f>IF(tblEjecucion[[#This Row],[orden]]="","",tblEjecucion[[#This Row],[orden]]&amp;IF(tblEjecucion[[#This Row],[operacion]]="","0010",tblEjecucion[[#This Row],[operacion]]))</f>
        <v/>
      </c>
    </row>
    <row r="1024">
      <c r="A1024" s="3" t="n"/>
      <c r="B1024" s="3" t="n"/>
      <c r="C1024" s="3" t="n"/>
      <c r="D1024" s="3" t="n"/>
      <c r="E1024" s="3" t="n"/>
      <c r="F1024" s="11" t="n"/>
      <c r="G1024" s="11" t="n"/>
      <c r="H1024" s="11" t="n"/>
      <c r="I1024" s="3" t="n"/>
      <c r="J1024" s="3">
        <f>IF(tblEjecucion[[#This Row],[orden]]="","",tblEjecucion[[#This Row],[orden]]&amp;IF(tblEjecucion[[#This Row],[operacion]]="","0010",tblEjecucion[[#This Row],[operacion]]))</f>
        <v/>
      </c>
    </row>
    <row r="1025">
      <c r="A1025" s="3" t="n"/>
      <c r="B1025" s="3" t="n"/>
      <c r="C1025" s="3" t="n"/>
      <c r="D1025" s="3" t="n"/>
      <c r="E1025" s="3" t="n"/>
      <c r="F1025" s="11" t="n"/>
      <c r="G1025" s="11" t="n"/>
      <c r="H1025" s="11" t="n"/>
      <c r="I1025" s="3" t="n"/>
      <c r="J1025" s="3">
        <f>IF(tblEjecucion[[#This Row],[orden]]="","",tblEjecucion[[#This Row],[orden]]&amp;IF(tblEjecucion[[#This Row],[operacion]]="","0010",tblEjecucion[[#This Row],[operacion]]))</f>
        <v/>
      </c>
    </row>
    <row r="1026">
      <c r="A1026" s="3" t="n"/>
      <c r="B1026" s="3" t="n"/>
      <c r="C1026" s="3" t="n"/>
      <c r="D1026" s="3" t="n"/>
      <c r="E1026" s="3" t="n"/>
      <c r="F1026" s="11" t="n"/>
      <c r="G1026" s="11" t="n"/>
      <c r="H1026" s="11" t="n"/>
      <c r="I1026" s="3" t="n"/>
      <c r="J1026" s="3">
        <f>IF(tblEjecucion[[#This Row],[orden]]="","",tblEjecucion[[#This Row],[orden]]&amp;IF(tblEjecucion[[#This Row],[operacion]]="","0010",tblEjecucion[[#This Row],[operacion]]))</f>
        <v/>
      </c>
    </row>
    <row r="1027">
      <c r="A1027" s="3" t="n"/>
      <c r="B1027" s="3" t="n"/>
      <c r="C1027" s="3" t="n"/>
      <c r="D1027" s="3" t="n"/>
      <c r="E1027" s="3" t="n"/>
      <c r="F1027" s="11" t="n"/>
      <c r="G1027" s="11" t="n"/>
      <c r="H1027" s="11" t="n"/>
      <c r="I1027" s="3" t="n"/>
      <c r="J1027" s="3">
        <f>IF(tblEjecucion[[#This Row],[orden]]="","",tblEjecucion[[#This Row],[orden]]&amp;IF(tblEjecucion[[#This Row],[operacion]]="","0010",tblEjecucion[[#This Row],[operacion]]))</f>
        <v/>
      </c>
    </row>
    <row r="1028">
      <c r="A1028" s="3" t="n"/>
      <c r="B1028" s="3" t="n"/>
      <c r="C1028" s="3" t="n"/>
      <c r="D1028" s="3" t="n"/>
      <c r="E1028" s="3" t="n"/>
      <c r="F1028" s="11" t="n"/>
      <c r="G1028" s="11" t="n"/>
      <c r="H1028" s="11" t="n"/>
      <c r="I1028" s="3" t="n"/>
      <c r="J1028" s="3">
        <f>IF(tblEjecucion[[#This Row],[orden]]="","",tblEjecucion[[#This Row],[orden]]&amp;IF(tblEjecucion[[#This Row],[operacion]]="","0010",tblEjecucion[[#This Row],[operacion]]))</f>
        <v/>
      </c>
    </row>
    <row r="1029">
      <c r="A1029" s="3" t="n"/>
      <c r="B1029" s="3" t="n"/>
      <c r="C1029" s="3" t="n"/>
      <c r="D1029" s="3" t="n"/>
      <c r="E1029" s="3" t="n"/>
      <c r="F1029" s="11" t="n"/>
      <c r="G1029" s="11" t="n"/>
      <c r="H1029" s="11" t="n"/>
      <c r="I1029" s="3" t="n"/>
      <c r="J1029" s="3">
        <f>IF(tblEjecucion[[#This Row],[orden]]="","",tblEjecucion[[#This Row],[orden]]&amp;IF(tblEjecucion[[#This Row],[operacion]]="","0010",tblEjecucion[[#This Row],[operacion]]))</f>
        <v/>
      </c>
    </row>
    <row r="1030">
      <c r="A1030" s="3" t="n"/>
      <c r="B1030" s="3" t="n"/>
      <c r="C1030" s="3" t="n"/>
      <c r="D1030" s="3" t="n"/>
      <c r="E1030" s="3" t="n"/>
      <c r="F1030" s="11" t="n"/>
      <c r="G1030" s="11" t="n"/>
      <c r="H1030" s="11" t="n"/>
      <c r="I1030" s="3" t="n"/>
      <c r="J1030" s="3">
        <f>IF(tblEjecucion[[#This Row],[orden]]="","",tblEjecucion[[#This Row],[orden]]&amp;IF(tblEjecucion[[#This Row],[operacion]]="","0010",tblEjecucion[[#This Row],[operacion]]))</f>
        <v/>
      </c>
    </row>
    <row r="1031">
      <c r="A1031" s="3" t="n"/>
      <c r="B1031" s="3" t="n"/>
      <c r="C1031" s="3" t="n"/>
      <c r="D1031" s="3" t="n"/>
      <c r="E1031" s="3" t="n"/>
      <c r="F1031" s="11" t="n"/>
      <c r="G1031" s="11" t="n"/>
      <c r="H1031" s="11" t="n"/>
      <c r="I1031" s="3" t="n"/>
      <c r="J1031" s="3">
        <f>IF(tblEjecucion[[#This Row],[orden]]="","",tblEjecucion[[#This Row],[orden]]&amp;IF(tblEjecucion[[#This Row],[operacion]]="","0010",tblEjecucion[[#This Row],[operacion]]))</f>
        <v/>
      </c>
    </row>
    <row r="1032">
      <c r="A1032" s="3" t="n"/>
      <c r="B1032" s="3" t="n"/>
      <c r="C1032" s="3" t="n"/>
      <c r="D1032" s="3" t="n"/>
      <c r="E1032" s="3" t="n"/>
      <c r="F1032" s="11" t="n"/>
      <c r="G1032" s="11" t="n"/>
      <c r="H1032" s="11" t="n"/>
      <c r="I1032" s="3" t="n"/>
      <c r="J1032" s="3">
        <f>IF(tblEjecucion[[#This Row],[orden]]="","",tblEjecucion[[#This Row],[orden]]&amp;IF(tblEjecucion[[#This Row],[operacion]]="","0010",tblEjecucion[[#This Row],[operacion]]))</f>
        <v/>
      </c>
    </row>
    <row r="1033">
      <c r="A1033" s="3" t="n"/>
      <c r="B1033" s="3" t="n"/>
      <c r="C1033" s="3" t="n"/>
      <c r="D1033" s="3" t="n"/>
      <c r="E1033" s="3" t="n"/>
      <c r="F1033" s="11" t="n"/>
      <c r="G1033" s="11" t="n"/>
      <c r="H1033" s="11" t="n"/>
      <c r="I1033" s="3" t="n"/>
      <c r="J1033" s="3">
        <f>IF(tblEjecucion[[#This Row],[orden]]="","",tblEjecucion[[#This Row],[orden]]&amp;IF(tblEjecucion[[#This Row],[operacion]]="","0010",tblEjecucion[[#This Row],[operacion]]))</f>
        <v/>
      </c>
    </row>
    <row r="1034">
      <c r="A1034" s="3" t="n"/>
      <c r="B1034" s="3" t="n"/>
      <c r="C1034" s="3" t="n"/>
      <c r="D1034" s="3" t="n"/>
      <c r="E1034" s="3" t="n"/>
      <c r="F1034" s="11" t="n"/>
      <c r="G1034" s="11" t="n"/>
      <c r="H1034" s="11" t="n"/>
      <c r="I1034" s="3" t="n"/>
      <c r="J1034" s="3">
        <f>IF(tblEjecucion[[#This Row],[orden]]="","",tblEjecucion[[#This Row],[orden]]&amp;IF(tblEjecucion[[#This Row],[operacion]]="","0010",tblEjecucion[[#This Row],[operacion]]))</f>
        <v/>
      </c>
    </row>
    <row r="1035">
      <c r="A1035" s="3" t="n"/>
      <c r="B1035" s="3" t="n"/>
      <c r="C1035" s="3" t="n"/>
      <c r="D1035" s="3" t="n"/>
      <c r="E1035" s="3" t="n"/>
      <c r="F1035" s="11" t="n"/>
      <c r="G1035" s="11" t="n"/>
      <c r="H1035" s="11" t="n"/>
      <c r="I1035" s="3" t="n"/>
      <c r="J1035" s="3">
        <f>IF(tblEjecucion[[#This Row],[orden]]="","",tblEjecucion[[#This Row],[orden]]&amp;IF(tblEjecucion[[#This Row],[operacion]]="","0010",tblEjecucion[[#This Row],[operacion]]))</f>
        <v/>
      </c>
    </row>
    <row r="1036">
      <c r="A1036" s="3" t="n"/>
      <c r="B1036" s="3" t="n"/>
      <c r="C1036" s="3" t="n"/>
      <c r="D1036" s="3" t="n"/>
      <c r="E1036" s="3" t="n"/>
      <c r="F1036" s="11" t="n"/>
      <c r="G1036" s="11" t="n"/>
      <c r="H1036" s="11" t="n"/>
      <c r="I1036" s="3" t="n"/>
      <c r="J1036" s="3">
        <f>IF(tblEjecucion[[#This Row],[orden]]="","",tblEjecucion[[#This Row],[orden]]&amp;IF(tblEjecucion[[#This Row],[operacion]]="","0010",tblEjecucion[[#This Row],[operacion]]))</f>
        <v/>
      </c>
    </row>
    <row r="1037">
      <c r="A1037" s="3" t="n"/>
      <c r="B1037" s="3" t="n"/>
      <c r="C1037" s="3" t="n"/>
      <c r="D1037" s="3" t="n"/>
      <c r="E1037" s="3" t="n"/>
      <c r="F1037" s="11" t="n"/>
      <c r="G1037" s="11" t="n"/>
      <c r="H1037" s="11" t="n"/>
      <c r="I1037" s="3" t="n"/>
      <c r="J1037" s="3">
        <f>IF(tblEjecucion[[#This Row],[orden]]="","",tblEjecucion[[#This Row],[orden]]&amp;IF(tblEjecucion[[#This Row],[operacion]]="","0010",tblEjecucion[[#This Row],[operacion]]))</f>
        <v/>
      </c>
    </row>
    <row r="1038">
      <c r="A1038" s="3" t="n"/>
      <c r="B1038" s="3" t="n"/>
      <c r="C1038" s="3" t="n"/>
      <c r="D1038" s="3" t="n"/>
      <c r="E1038" s="3" t="n"/>
      <c r="F1038" s="11" t="n"/>
      <c r="G1038" s="11" t="n"/>
      <c r="H1038" s="11" t="n"/>
      <c r="I1038" s="3" t="n"/>
      <c r="J1038" s="3">
        <f>IF(tblEjecucion[[#This Row],[orden]]="","",tblEjecucion[[#This Row],[orden]]&amp;IF(tblEjecucion[[#This Row],[operacion]]="","0010",tblEjecucion[[#This Row],[operacion]]))</f>
        <v/>
      </c>
    </row>
    <row r="1039">
      <c r="A1039" s="3" t="n"/>
      <c r="B1039" s="3" t="n"/>
      <c r="C1039" s="3" t="n"/>
      <c r="D1039" s="3" t="n"/>
      <c r="E1039" s="3" t="n"/>
      <c r="F1039" s="11" t="n"/>
      <c r="G1039" s="11" t="n"/>
      <c r="H1039" s="11" t="n"/>
      <c r="I1039" s="3" t="n"/>
      <c r="J1039" s="3">
        <f>IF(tblEjecucion[[#This Row],[orden]]="","",tblEjecucion[[#This Row],[orden]]&amp;IF(tblEjecucion[[#This Row],[operacion]]="","0010",tblEjecucion[[#This Row],[operacion]]))</f>
        <v/>
      </c>
    </row>
    <row r="1040">
      <c r="A1040" s="3" t="n"/>
      <c r="B1040" s="3" t="n"/>
      <c r="C1040" s="3" t="n"/>
      <c r="D1040" s="3" t="n"/>
      <c r="E1040" s="3" t="n"/>
      <c r="F1040" s="11" t="n"/>
      <c r="G1040" s="11" t="n"/>
      <c r="H1040" s="11" t="n"/>
      <c r="I1040" s="3" t="n"/>
      <c r="J1040" s="3">
        <f>IF(tblEjecucion[[#This Row],[orden]]="","",tblEjecucion[[#This Row],[orden]]&amp;IF(tblEjecucion[[#This Row],[operacion]]="","0010",tblEjecucion[[#This Row],[operacion]]))</f>
        <v/>
      </c>
    </row>
    <row r="1041">
      <c r="A1041" s="3" t="n"/>
      <c r="B1041" s="3" t="n"/>
      <c r="C1041" s="3" t="n"/>
      <c r="D1041" s="3" t="n"/>
      <c r="E1041" s="3" t="n"/>
      <c r="F1041" s="11" t="n"/>
      <c r="G1041" s="11" t="n"/>
      <c r="H1041" s="11" t="n"/>
      <c r="I1041" s="3" t="n"/>
      <c r="J1041" s="3">
        <f>IF(tblEjecucion[[#This Row],[orden]]="","",tblEjecucion[[#This Row],[orden]]&amp;IF(tblEjecucion[[#This Row],[operacion]]="","0010",tblEjecucion[[#This Row],[operacion]]))</f>
        <v/>
      </c>
    </row>
    <row r="1042">
      <c r="A1042" s="3" t="n"/>
      <c r="B1042" s="3" t="n"/>
      <c r="C1042" s="3" t="n"/>
      <c r="D1042" s="3" t="n"/>
      <c r="E1042" s="3" t="n"/>
      <c r="F1042" s="11" t="n"/>
      <c r="G1042" s="11" t="n"/>
      <c r="H1042" s="11" t="n"/>
      <c r="I1042" s="3" t="n"/>
      <c r="J1042" s="3">
        <f>IF(tblEjecucion[[#This Row],[orden]]="","",tblEjecucion[[#This Row],[orden]]&amp;IF(tblEjecucion[[#This Row],[operacion]]="","0010",tblEjecucion[[#This Row],[operacion]]))</f>
        <v/>
      </c>
    </row>
    <row r="1043">
      <c r="A1043" s="3" t="n"/>
      <c r="B1043" s="3" t="n"/>
      <c r="C1043" s="3" t="n"/>
      <c r="D1043" s="3" t="n"/>
      <c r="E1043" s="3" t="n"/>
      <c r="F1043" s="11" t="n"/>
      <c r="G1043" s="11" t="n"/>
      <c r="H1043" s="11" t="n"/>
      <c r="I1043" s="3" t="n"/>
      <c r="J1043" s="3">
        <f>IF(tblEjecucion[[#This Row],[orden]]="","",tblEjecucion[[#This Row],[orden]]&amp;IF(tblEjecucion[[#This Row],[operacion]]="","0010",tblEjecucion[[#This Row],[operacion]]))</f>
        <v/>
      </c>
    </row>
    <row r="1044">
      <c r="A1044" s="3" t="n"/>
      <c r="B1044" s="3" t="n"/>
      <c r="C1044" s="3" t="n"/>
      <c r="D1044" s="3" t="n"/>
      <c r="E1044" s="3" t="n"/>
      <c r="F1044" s="11" t="n"/>
      <c r="G1044" s="11" t="n"/>
      <c r="H1044" s="11" t="n"/>
      <c r="I1044" s="3" t="n"/>
      <c r="J1044" s="3">
        <f>IF(tblEjecucion[[#This Row],[orden]]="","",tblEjecucion[[#This Row],[orden]]&amp;IF(tblEjecucion[[#This Row],[operacion]]="","0010",tblEjecucion[[#This Row],[operacion]]))</f>
        <v/>
      </c>
    </row>
    <row r="1045">
      <c r="A1045" s="3" t="n"/>
      <c r="B1045" s="3" t="n"/>
      <c r="C1045" s="3" t="n"/>
      <c r="D1045" s="3" t="n"/>
      <c r="E1045" s="3" t="n"/>
      <c r="F1045" s="11" t="n"/>
      <c r="G1045" s="11" t="n"/>
      <c r="H1045" s="11" t="n"/>
      <c r="I1045" s="3" t="n"/>
      <c r="J1045" s="3">
        <f>IF(tblEjecucion[[#This Row],[orden]]="","",tblEjecucion[[#This Row],[orden]]&amp;IF(tblEjecucion[[#This Row],[operacion]]="","0010",tblEjecucion[[#This Row],[operacion]]))</f>
        <v/>
      </c>
    </row>
    <row r="1046">
      <c r="A1046" s="3" t="n"/>
      <c r="B1046" s="3" t="n"/>
      <c r="C1046" s="3" t="n"/>
      <c r="D1046" s="3" t="n"/>
      <c r="E1046" s="3" t="n"/>
      <c r="F1046" s="11" t="n"/>
      <c r="G1046" s="11" t="n"/>
      <c r="H1046" s="11" t="n"/>
      <c r="I1046" s="3" t="n"/>
      <c r="J1046" s="3">
        <f>IF(tblEjecucion[[#This Row],[orden]]="","",tblEjecucion[[#This Row],[orden]]&amp;IF(tblEjecucion[[#This Row],[operacion]]="","0010",tblEjecucion[[#This Row],[operacion]]))</f>
        <v/>
      </c>
    </row>
    <row r="1047">
      <c r="A1047" s="3" t="n"/>
      <c r="B1047" s="3" t="n"/>
      <c r="C1047" s="3" t="n"/>
      <c r="D1047" s="3" t="n"/>
      <c r="E1047" s="3" t="n"/>
      <c r="F1047" s="11" t="n"/>
      <c r="G1047" s="11" t="n"/>
      <c r="H1047" s="11" t="n"/>
      <c r="I1047" s="3" t="n"/>
      <c r="J1047" s="3">
        <f>IF(tblEjecucion[[#This Row],[orden]]="","",tblEjecucion[[#This Row],[orden]]&amp;IF(tblEjecucion[[#This Row],[operacion]]="","0010",tblEjecucion[[#This Row],[operacion]]))</f>
        <v/>
      </c>
    </row>
    <row r="1048">
      <c r="A1048" s="3" t="n"/>
      <c r="B1048" s="3" t="n"/>
      <c r="C1048" s="3" t="n"/>
      <c r="D1048" s="3" t="n"/>
      <c r="E1048" s="3" t="n"/>
      <c r="F1048" s="11" t="n"/>
      <c r="G1048" s="11" t="n"/>
      <c r="H1048" s="11" t="n"/>
      <c r="I1048" s="3" t="n"/>
      <c r="J1048" s="3">
        <f>IF(tblEjecucion[[#This Row],[orden]]="","",tblEjecucion[[#This Row],[orden]]&amp;IF(tblEjecucion[[#This Row],[operacion]]="","0010",tblEjecucion[[#This Row],[operacion]]))</f>
        <v/>
      </c>
    </row>
    <row r="1049">
      <c r="A1049" s="3" t="n"/>
      <c r="B1049" s="3" t="n"/>
      <c r="C1049" s="3" t="n"/>
      <c r="D1049" s="3" t="n"/>
      <c r="E1049" s="3" t="n"/>
      <c r="F1049" s="11" t="n"/>
      <c r="G1049" s="11" t="n"/>
      <c r="H1049" s="11" t="n"/>
      <c r="I1049" s="3" t="n"/>
      <c r="J1049" s="3">
        <f>IF(tblEjecucion[[#This Row],[orden]]="","",tblEjecucion[[#This Row],[orden]]&amp;IF(tblEjecucion[[#This Row],[operacion]]="","0010",tblEjecucion[[#This Row],[operacion]]))</f>
        <v/>
      </c>
    </row>
    <row r="1050">
      <c r="A1050" s="3" t="n"/>
      <c r="B1050" s="3" t="n"/>
      <c r="C1050" s="3" t="n"/>
      <c r="D1050" s="3" t="n"/>
      <c r="E1050" s="3" t="n"/>
      <c r="F1050" s="11" t="n"/>
      <c r="G1050" s="11" t="n"/>
      <c r="H1050" s="11" t="n"/>
      <c r="I1050" s="3" t="n"/>
      <c r="J1050" s="3">
        <f>IF(tblEjecucion[[#This Row],[orden]]="","",tblEjecucion[[#This Row],[orden]]&amp;IF(tblEjecucion[[#This Row],[operacion]]="","0010",tblEjecucion[[#This Row],[operacion]]))</f>
        <v/>
      </c>
    </row>
    <row r="1051">
      <c r="A1051" s="3" t="n"/>
      <c r="B1051" s="3" t="n"/>
      <c r="C1051" s="3" t="n"/>
      <c r="D1051" s="3" t="n"/>
      <c r="E1051" s="3" t="n"/>
      <c r="F1051" s="11" t="n"/>
      <c r="G1051" s="11" t="n"/>
      <c r="H1051" s="11" t="n"/>
      <c r="I1051" s="3" t="n"/>
      <c r="J1051" s="3">
        <f>IF(tblEjecucion[[#This Row],[orden]]="","",tblEjecucion[[#This Row],[orden]]&amp;IF(tblEjecucion[[#This Row],[operacion]]="","0010",tblEjecucion[[#This Row],[operacion]]))</f>
        <v/>
      </c>
    </row>
    <row r="1052">
      <c r="A1052" s="3" t="n"/>
      <c r="B1052" s="3" t="n"/>
      <c r="C1052" s="3" t="n"/>
      <c r="D1052" s="3" t="n"/>
      <c r="E1052" s="3" t="n"/>
      <c r="F1052" s="11" t="n"/>
      <c r="G1052" s="11" t="n"/>
      <c r="H1052" s="11" t="n"/>
      <c r="I1052" s="3" t="n"/>
      <c r="J1052" s="3">
        <f>IF(tblEjecucion[[#This Row],[orden]]="","",tblEjecucion[[#This Row],[orden]]&amp;IF(tblEjecucion[[#This Row],[operacion]]="","0010",tblEjecucion[[#This Row],[operacion]]))</f>
        <v/>
      </c>
    </row>
    <row r="1053">
      <c r="A1053" s="3" t="n"/>
      <c r="B1053" s="3" t="n"/>
      <c r="C1053" s="3" t="n"/>
      <c r="D1053" s="3" t="n"/>
      <c r="E1053" s="3" t="n"/>
      <c r="F1053" s="11" t="n"/>
      <c r="G1053" s="11" t="n"/>
      <c r="H1053" s="11" t="n"/>
      <c r="I1053" s="3" t="n"/>
      <c r="J1053" s="3">
        <f>IF(tblEjecucion[[#This Row],[orden]]="","",tblEjecucion[[#This Row],[orden]]&amp;IF(tblEjecucion[[#This Row],[operacion]]="","0010",tblEjecucion[[#This Row],[operacion]]))</f>
        <v/>
      </c>
    </row>
    <row r="1054">
      <c r="A1054" s="3" t="n"/>
      <c r="B1054" s="3" t="n"/>
      <c r="C1054" s="3" t="n"/>
      <c r="D1054" s="3" t="n"/>
      <c r="E1054" s="3" t="n"/>
      <c r="F1054" s="11" t="n"/>
      <c r="G1054" s="11" t="n"/>
      <c r="H1054" s="11" t="n"/>
      <c r="I1054" s="3" t="n"/>
      <c r="J1054" s="3">
        <f>IF(tblEjecucion[[#This Row],[orden]]="","",tblEjecucion[[#This Row],[orden]]&amp;IF(tblEjecucion[[#This Row],[operacion]]="","0010",tblEjecucion[[#This Row],[operacion]]))</f>
        <v/>
      </c>
    </row>
    <row r="1055">
      <c r="A1055" s="3" t="n"/>
      <c r="B1055" s="3" t="n"/>
      <c r="C1055" s="3" t="n"/>
      <c r="D1055" s="3" t="n"/>
      <c r="E1055" s="3" t="n"/>
      <c r="F1055" s="11" t="n"/>
      <c r="G1055" s="11" t="n"/>
      <c r="H1055" s="11" t="n"/>
      <c r="I1055" s="3" t="n"/>
      <c r="J1055" s="3">
        <f>IF(tblEjecucion[[#This Row],[orden]]="","",tblEjecucion[[#This Row],[orden]]&amp;IF(tblEjecucion[[#This Row],[operacion]]="","0010",tblEjecucion[[#This Row],[operacion]]))</f>
        <v/>
      </c>
    </row>
    <row r="1056">
      <c r="A1056" s="3" t="n"/>
      <c r="B1056" s="3" t="n"/>
      <c r="C1056" s="3" t="n"/>
      <c r="D1056" s="3" t="n"/>
      <c r="E1056" s="3" t="n"/>
      <c r="F1056" s="11" t="n"/>
      <c r="G1056" s="11" t="n"/>
      <c r="H1056" s="11" t="n"/>
      <c r="I1056" s="3" t="n"/>
      <c r="J1056" s="3">
        <f>IF(tblEjecucion[[#This Row],[orden]]="","",tblEjecucion[[#This Row],[orden]]&amp;IF(tblEjecucion[[#This Row],[operacion]]="","0010",tblEjecucion[[#This Row],[operacion]]))</f>
        <v/>
      </c>
    </row>
    <row r="1057">
      <c r="A1057" s="3" t="n"/>
      <c r="B1057" s="3" t="n"/>
      <c r="C1057" s="3" t="n"/>
      <c r="D1057" s="3" t="n"/>
      <c r="E1057" s="3" t="n"/>
      <c r="F1057" s="11" t="n"/>
      <c r="G1057" s="11" t="n"/>
      <c r="H1057" s="11" t="n"/>
      <c r="I1057" s="3" t="n"/>
      <c r="J1057" s="3">
        <f>IF(tblEjecucion[[#This Row],[orden]]="","",tblEjecucion[[#This Row],[orden]]&amp;IF(tblEjecucion[[#This Row],[operacion]]="","0010",tblEjecucion[[#This Row],[operacion]]))</f>
        <v/>
      </c>
    </row>
    <row r="1058">
      <c r="A1058" s="3" t="n"/>
      <c r="B1058" s="3" t="n"/>
      <c r="C1058" s="3" t="n"/>
      <c r="D1058" s="3" t="n"/>
      <c r="E1058" s="3" t="n"/>
      <c r="F1058" s="11" t="n"/>
      <c r="G1058" s="11" t="n"/>
      <c r="H1058" s="11" t="n"/>
      <c r="I1058" s="3" t="n"/>
      <c r="J1058" s="3">
        <f>IF(tblEjecucion[[#This Row],[orden]]="","",tblEjecucion[[#This Row],[orden]]&amp;IF(tblEjecucion[[#This Row],[operacion]]="","0010",tblEjecucion[[#This Row],[operacion]]))</f>
        <v/>
      </c>
    </row>
    <row r="1059">
      <c r="A1059" s="3" t="n"/>
      <c r="B1059" s="3" t="n"/>
      <c r="C1059" s="3" t="n"/>
      <c r="D1059" s="3" t="n"/>
      <c r="E1059" s="3" t="n"/>
      <c r="F1059" s="11" t="n"/>
      <c r="G1059" s="11" t="n"/>
      <c r="H1059" s="11" t="n"/>
      <c r="I1059" s="3" t="n"/>
      <c r="J1059" s="3">
        <f>IF(tblEjecucion[[#This Row],[orden]]="","",tblEjecucion[[#This Row],[orden]]&amp;IF(tblEjecucion[[#This Row],[operacion]]="","0010",tblEjecucion[[#This Row],[operacion]]))</f>
        <v/>
      </c>
    </row>
    <row r="1060">
      <c r="A1060" s="3" t="n"/>
      <c r="B1060" s="3" t="n"/>
      <c r="C1060" s="3" t="n"/>
      <c r="D1060" s="3" t="n"/>
      <c r="E1060" s="3" t="n"/>
      <c r="F1060" s="11" t="n"/>
      <c r="G1060" s="11" t="n"/>
      <c r="H1060" s="11" t="n"/>
      <c r="I1060" s="3" t="n"/>
      <c r="J1060" s="3">
        <f>IF(tblEjecucion[[#This Row],[orden]]="","",tblEjecucion[[#This Row],[orden]]&amp;IF(tblEjecucion[[#This Row],[operacion]]="","0010",tblEjecucion[[#This Row],[operacion]]))</f>
        <v/>
      </c>
    </row>
    <row r="1061">
      <c r="A1061" s="3" t="n"/>
      <c r="B1061" s="3" t="n"/>
      <c r="C1061" s="3" t="n"/>
      <c r="D1061" s="3" t="n"/>
      <c r="E1061" s="3" t="n"/>
      <c r="F1061" s="11" t="n"/>
      <c r="G1061" s="11" t="n"/>
      <c r="H1061" s="11" t="n"/>
      <c r="I1061" s="3" t="n"/>
      <c r="J1061" s="3">
        <f>IF(tblEjecucion[[#This Row],[orden]]="","",tblEjecucion[[#This Row],[orden]]&amp;IF(tblEjecucion[[#This Row],[operacion]]="","0010",tblEjecucion[[#This Row],[operacion]]))</f>
        <v/>
      </c>
    </row>
    <row r="1062">
      <c r="A1062" s="3" t="n"/>
      <c r="B1062" s="3" t="n"/>
      <c r="C1062" s="3" t="n"/>
      <c r="D1062" s="3" t="n"/>
      <c r="E1062" s="3" t="n"/>
      <c r="F1062" s="11" t="n"/>
      <c r="G1062" s="11" t="n"/>
      <c r="H1062" s="11" t="n"/>
      <c r="I1062" s="3" t="n"/>
      <c r="J1062" s="3">
        <f>IF(tblEjecucion[[#This Row],[orden]]="","",tblEjecucion[[#This Row],[orden]]&amp;IF(tblEjecucion[[#This Row],[operacion]]="","0010",tblEjecucion[[#This Row],[operacion]]))</f>
        <v/>
      </c>
    </row>
    <row r="1063">
      <c r="A1063" s="3" t="n"/>
      <c r="B1063" s="3" t="n"/>
      <c r="C1063" s="3" t="n"/>
      <c r="D1063" s="3" t="n"/>
      <c r="E1063" s="3" t="n"/>
      <c r="F1063" s="11" t="n"/>
      <c r="G1063" s="11" t="n"/>
      <c r="H1063" s="11" t="n"/>
      <c r="I1063" s="3" t="n"/>
      <c r="J1063" s="3">
        <f>IF(tblEjecucion[[#This Row],[orden]]="","",tblEjecucion[[#This Row],[orden]]&amp;IF(tblEjecucion[[#This Row],[operacion]]="","0010",tblEjecucion[[#This Row],[operacion]]))</f>
        <v/>
      </c>
    </row>
    <row r="1064">
      <c r="A1064" s="3" t="n"/>
      <c r="B1064" s="3" t="n"/>
      <c r="C1064" s="3" t="n"/>
      <c r="D1064" s="3" t="n"/>
      <c r="E1064" s="3" t="n"/>
      <c r="F1064" s="11" t="n"/>
      <c r="G1064" s="11" t="n"/>
      <c r="H1064" s="11" t="n"/>
      <c r="I1064" s="3" t="n"/>
      <c r="J1064" s="3">
        <f>IF(tblEjecucion[[#This Row],[orden]]="","",tblEjecucion[[#This Row],[orden]]&amp;IF(tblEjecucion[[#This Row],[operacion]]="","0010",tblEjecucion[[#This Row],[operacion]]))</f>
        <v/>
      </c>
    </row>
    <row r="1065">
      <c r="A1065" s="3" t="n"/>
      <c r="B1065" s="3" t="n"/>
      <c r="C1065" s="3" t="n"/>
      <c r="D1065" s="3" t="n"/>
      <c r="E1065" s="3" t="n"/>
      <c r="F1065" s="11" t="n"/>
      <c r="G1065" s="11" t="n"/>
      <c r="H1065" s="11" t="n"/>
      <c r="I1065" s="3" t="n"/>
      <c r="J1065" s="3">
        <f>IF(tblEjecucion[[#This Row],[orden]]="","",tblEjecucion[[#This Row],[orden]]&amp;IF(tblEjecucion[[#This Row],[operacion]]="","0010",tblEjecucion[[#This Row],[operacion]]))</f>
        <v/>
      </c>
    </row>
    <row r="1066">
      <c r="A1066" s="3" t="n"/>
      <c r="B1066" s="3" t="n"/>
      <c r="C1066" s="3" t="n"/>
      <c r="D1066" s="3" t="n"/>
      <c r="E1066" s="3" t="n"/>
      <c r="F1066" s="11" t="n"/>
      <c r="G1066" s="11" t="n"/>
      <c r="H1066" s="11" t="n"/>
      <c r="I1066" s="3" t="n"/>
      <c r="J1066" s="3">
        <f>IF(tblEjecucion[[#This Row],[orden]]="","",tblEjecucion[[#This Row],[orden]]&amp;IF(tblEjecucion[[#This Row],[operacion]]="","0010",tblEjecucion[[#This Row],[operacion]]))</f>
        <v/>
      </c>
    </row>
    <row r="1067">
      <c r="A1067" s="3" t="n"/>
      <c r="B1067" s="3" t="n"/>
      <c r="C1067" s="3" t="n"/>
      <c r="D1067" s="3" t="n"/>
      <c r="E1067" s="3" t="n"/>
      <c r="F1067" s="11" t="n"/>
      <c r="G1067" s="11" t="n"/>
      <c r="H1067" s="11" t="n"/>
      <c r="I1067" s="3" t="n"/>
      <c r="J1067" s="3">
        <f>IF(tblEjecucion[[#This Row],[orden]]="","",tblEjecucion[[#This Row],[orden]]&amp;IF(tblEjecucion[[#This Row],[operacion]]="","0010",tblEjecucion[[#This Row],[operacion]]))</f>
        <v/>
      </c>
    </row>
    <row r="1068">
      <c r="A1068" s="3" t="n"/>
      <c r="B1068" s="3" t="n"/>
      <c r="C1068" s="3" t="n"/>
      <c r="D1068" s="3" t="n"/>
      <c r="E1068" s="3" t="n"/>
      <c r="F1068" s="11" t="n"/>
      <c r="G1068" s="11" t="n"/>
      <c r="H1068" s="11" t="n"/>
      <c r="I1068" s="3" t="n"/>
      <c r="J1068" s="3">
        <f>IF(tblEjecucion[[#This Row],[orden]]="","",tblEjecucion[[#This Row],[orden]]&amp;IF(tblEjecucion[[#This Row],[operacion]]="","0010",tblEjecucion[[#This Row],[operacion]]))</f>
        <v/>
      </c>
    </row>
    <row r="1069">
      <c r="A1069" s="3" t="n"/>
      <c r="B1069" s="3" t="n"/>
      <c r="C1069" s="3" t="n"/>
      <c r="D1069" s="3" t="n"/>
      <c r="E1069" s="3" t="n"/>
      <c r="F1069" s="11" t="n"/>
      <c r="G1069" s="11" t="n"/>
      <c r="H1069" s="11" t="n"/>
      <c r="I1069" s="3" t="n"/>
      <c r="J1069" s="3">
        <f>IF(tblEjecucion[[#This Row],[orden]]="","",tblEjecucion[[#This Row],[orden]]&amp;IF(tblEjecucion[[#This Row],[operacion]]="","0010",tblEjecucion[[#This Row],[operacion]]))</f>
        <v/>
      </c>
    </row>
    <row r="1070">
      <c r="A1070" s="3" t="n"/>
      <c r="B1070" s="3" t="n"/>
      <c r="C1070" s="3" t="n"/>
      <c r="D1070" s="3" t="n"/>
      <c r="E1070" s="3" t="n"/>
      <c r="F1070" s="11" t="n"/>
      <c r="G1070" s="11" t="n"/>
      <c r="H1070" s="11" t="n"/>
      <c r="I1070" s="3" t="n"/>
      <c r="J1070" s="3">
        <f>IF(tblEjecucion[[#This Row],[orden]]="","",tblEjecucion[[#This Row],[orden]]&amp;IF(tblEjecucion[[#This Row],[operacion]]="","0010",tblEjecucion[[#This Row],[operacion]]))</f>
        <v/>
      </c>
    </row>
    <row r="1071">
      <c r="A1071" s="3" t="n"/>
      <c r="B1071" s="3" t="n"/>
      <c r="C1071" s="3" t="n"/>
      <c r="D1071" s="3" t="n"/>
      <c r="E1071" s="3" t="n"/>
      <c r="F1071" s="11" t="n"/>
      <c r="G1071" s="11" t="n"/>
      <c r="H1071" s="11" t="n"/>
      <c r="I1071" s="3" t="n"/>
      <c r="J1071" s="3">
        <f>IF(tblEjecucion[[#This Row],[orden]]="","",tblEjecucion[[#This Row],[orden]]&amp;IF(tblEjecucion[[#This Row],[operacion]]="","0010",tblEjecucion[[#This Row],[operacion]]))</f>
        <v/>
      </c>
    </row>
    <row r="1072">
      <c r="A1072" s="3" t="n"/>
      <c r="B1072" s="3" t="n"/>
      <c r="C1072" s="3" t="n"/>
      <c r="D1072" s="3" t="n"/>
      <c r="E1072" s="3" t="n"/>
      <c r="F1072" s="11" t="n"/>
      <c r="G1072" s="11" t="n"/>
      <c r="H1072" s="11" t="n"/>
      <c r="I1072" s="3" t="n"/>
      <c r="J1072" s="3">
        <f>IF(tblEjecucion[[#This Row],[orden]]="","",tblEjecucion[[#This Row],[orden]]&amp;IF(tblEjecucion[[#This Row],[operacion]]="","0010",tblEjecucion[[#This Row],[operacion]]))</f>
        <v/>
      </c>
    </row>
    <row r="1073">
      <c r="A1073" s="3" t="n"/>
      <c r="B1073" s="3" t="n"/>
      <c r="C1073" s="3" t="n"/>
      <c r="D1073" s="3" t="n"/>
      <c r="E1073" s="3" t="n"/>
      <c r="F1073" s="11" t="n"/>
      <c r="G1073" s="11" t="n"/>
      <c r="H1073" s="11" t="n"/>
      <c r="I1073" s="3" t="n"/>
      <c r="J1073" s="3">
        <f>IF(tblEjecucion[[#This Row],[orden]]="","",tblEjecucion[[#This Row],[orden]]&amp;IF(tblEjecucion[[#This Row],[operacion]]="","0010",tblEjecucion[[#This Row],[operacion]]))</f>
        <v/>
      </c>
    </row>
    <row r="1074">
      <c r="A1074" s="3" t="n"/>
      <c r="B1074" s="3" t="n"/>
      <c r="C1074" s="3" t="n"/>
      <c r="D1074" s="3" t="n"/>
      <c r="E1074" s="3" t="n"/>
      <c r="F1074" s="11" t="n"/>
      <c r="G1074" s="11" t="n"/>
      <c r="H1074" s="11" t="n"/>
      <c r="I1074" s="3" t="n"/>
      <c r="J1074" s="3">
        <f>IF(tblEjecucion[[#This Row],[orden]]="","",tblEjecucion[[#This Row],[orden]]&amp;IF(tblEjecucion[[#This Row],[operacion]]="","0010",tblEjecucion[[#This Row],[operacion]]))</f>
        <v/>
      </c>
    </row>
    <row r="1075">
      <c r="A1075" s="3" t="n"/>
      <c r="B1075" s="3" t="n"/>
      <c r="C1075" s="3" t="n"/>
      <c r="D1075" s="3" t="n"/>
      <c r="E1075" s="3" t="n"/>
      <c r="F1075" s="11" t="n"/>
      <c r="G1075" s="11" t="n"/>
      <c r="H1075" s="11" t="n"/>
      <c r="I1075" s="3" t="n"/>
      <c r="J1075" s="3">
        <f>IF(tblEjecucion[[#This Row],[orden]]="","",tblEjecucion[[#This Row],[orden]]&amp;IF(tblEjecucion[[#This Row],[operacion]]="","0010",tblEjecucion[[#This Row],[operacion]]))</f>
        <v/>
      </c>
    </row>
    <row r="1076">
      <c r="A1076" s="3" t="n"/>
      <c r="B1076" s="3" t="n"/>
      <c r="C1076" s="3" t="n"/>
      <c r="D1076" s="3" t="n"/>
      <c r="E1076" s="3" t="n"/>
      <c r="F1076" s="11" t="n"/>
      <c r="G1076" s="11" t="n"/>
      <c r="H1076" s="11" t="n"/>
      <c r="I1076" s="3" t="n"/>
      <c r="J1076" s="3">
        <f>IF(tblEjecucion[[#This Row],[orden]]="","",tblEjecucion[[#This Row],[orden]]&amp;IF(tblEjecucion[[#This Row],[operacion]]="","0010",tblEjecucion[[#This Row],[operacion]]))</f>
        <v/>
      </c>
    </row>
    <row r="1077">
      <c r="A1077" s="3" t="n"/>
      <c r="B1077" s="3" t="n"/>
      <c r="C1077" s="3" t="n"/>
      <c r="D1077" s="3" t="n"/>
      <c r="E1077" s="3" t="n"/>
      <c r="F1077" s="11" t="n"/>
      <c r="G1077" s="11" t="n"/>
      <c r="H1077" s="11" t="n"/>
      <c r="I1077" s="3" t="n"/>
      <c r="J1077" s="3">
        <f>IF(tblEjecucion[[#This Row],[orden]]="","",tblEjecucion[[#This Row],[orden]]&amp;IF(tblEjecucion[[#This Row],[operacion]]="","0010",tblEjecucion[[#This Row],[operacion]]))</f>
        <v/>
      </c>
    </row>
    <row r="1078">
      <c r="A1078" s="3" t="n"/>
      <c r="B1078" s="3" t="n"/>
      <c r="C1078" s="3" t="n"/>
      <c r="D1078" s="3" t="n"/>
      <c r="E1078" s="3" t="n"/>
      <c r="F1078" s="11" t="n"/>
      <c r="G1078" s="11" t="n"/>
      <c r="H1078" s="11" t="n"/>
      <c r="I1078" s="3" t="n"/>
      <c r="J1078" s="3">
        <f>IF(tblEjecucion[[#This Row],[orden]]="","",tblEjecucion[[#This Row],[orden]]&amp;IF(tblEjecucion[[#This Row],[operacion]]="","0010",tblEjecucion[[#This Row],[operacion]]))</f>
        <v/>
      </c>
    </row>
    <row r="1079">
      <c r="A1079" s="3" t="n"/>
      <c r="B1079" s="3" t="n"/>
      <c r="C1079" s="3" t="n"/>
      <c r="D1079" s="3" t="n"/>
      <c r="E1079" s="3" t="n"/>
      <c r="F1079" s="11" t="n"/>
      <c r="G1079" s="11" t="n"/>
      <c r="H1079" s="11" t="n"/>
      <c r="I1079" s="3" t="n"/>
      <c r="J1079" s="3">
        <f>IF(tblEjecucion[[#This Row],[orden]]="","",tblEjecucion[[#This Row],[orden]]&amp;IF(tblEjecucion[[#This Row],[operacion]]="","0010",tblEjecucion[[#This Row],[operacion]]))</f>
        <v/>
      </c>
    </row>
    <row r="1080">
      <c r="A1080" s="3" t="n"/>
      <c r="B1080" s="3" t="n"/>
      <c r="C1080" s="3" t="n"/>
      <c r="D1080" s="3" t="n"/>
      <c r="E1080" s="3" t="n"/>
      <c r="F1080" s="11" t="n"/>
      <c r="G1080" s="11" t="n"/>
      <c r="H1080" s="11" t="n"/>
      <c r="I1080" s="3" t="n"/>
      <c r="J1080" s="3">
        <f>IF(tblEjecucion[[#This Row],[orden]]="","",tblEjecucion[[#This Row],[orden]]&amp;IF(tblEjecucion[[#This Row],[operacion]]="","0010",tblEjecucion[[#This Row],[operacion]]))</f>
        <v/>
      </c>
    </row>
    <row r="1081">
      <c r="A1081" s="3" t="n"/>
      <c r="B1081" s="3" t="n"/>
      <c r="C1081" s="3" t="n"/>
      <c r="D1081" s="3" t="n"/>
      <c r="E1081" s="3" t="n"/>
      <c r="F1081" s="11" t="n"/>
      <c r="G1081" s="11" t="n"/>
      <c r="H1081" s="11" t="n"/>
      <c r="I1081" s="3" t="n"/>
      <c r="J1081" s="3">
        <f>IF(tblEjecucion[[#This Row],[orden]]="","",tblEjecucion[[#This Row],[orden]]&amp;IF(tblEjecucion[[#This Row],[operacion]]="","0010",tblEjecucion[[#This Row],[operacion]]))</f>
        <v/>
      </c>
    </row>
    <row r="1082">
      <c r="A1082" s="3" t="n"/>
      <c r="B1082" s="3" t="n"/>
      <c r="C1082" s="3" t="n"/>
      <c r="D1082" s="3" t="n"/>
      <c r="E1082" s="3" t="n"/>
      <c r="F1082" s="11" t="n"/>
      <c r="G1082" s="11" t="n"/>
      <c r="H1082" s="11" t="n"/>
      <c r="I1082" s="3" t="n"/>
      <c r="J1082" s="3">
        <f>IF(tblEjecucion[[#This Row],[orden]]="","",tblEjecucion[[#This Row],[orden]]&amp;IF(tblEjecucion[[#This Row],[operacion]]="","0010",tblEjecucion[[#This Row],[operacion]]))</f>
        <v/>
      </c>
    </row>
    <row r="1083">
      <c r="A1083" s="3" t="n"/>
      <c r="B1083" s="3" t="n"/>
      <c r="C1083" s="3" t="n"/>
      <c r="D1083" s="3" t="n"/>
      <c r="E1083" s="3" t="n"/>
      <c r="F1083" s="11" t="n"/>
      <c r="G1083" s="11" t="n"/>
      <c r="H1083" s="11" t="n"/>
      <c r="I1083" s="3" t="n"/>
      <c r="J1083" s="3">
        <f>IF(tblEjecucion[[#This Row],[orden]]="","",tblEjecucion[[#This Row],[orden]]&amp;IF(tblEjecucion[[#This Row],[operacion]]="","0010",tblEjecucion[[#This Row],[operacion]]))</f>
        <v/>
      </c>
    </row>
    <row r="1084">
      <c r="A1084" s="3" t="n"/>
      <c r="B1084" s="3" t="n"/>
      <c r="C1084" s="3" t="n"/>
      <c r="D1084" s="3" t="n"/>
      <c r="E1084" s="3" t="n"/>
      <c r="F1084" s="11" t="n"/>
      <c r="G1084" s="11" t="n"/>
      <c r="H1084" s="11" t="n"/>
      <c r="I1084" s="3" t="n"/>
      <c r="J1084" s="3">
        <f>IF(tblEjecucion[[#This Row],[orden]]="","",tblEjecucion[[#This Row],[orden]]&amp;IF(tblEjecucion[[#This Row],[operacion]]="","0010",tblEjecucion[[#This Row],[operacion]]))</f>
        <v/>
      </c>
    </row>
    <row r="1085">
      <c r="A1085" s="3" t="n"/>
      <c r="B1085" s="3" t="n"/>
      <c r="C1085" s="3" t="n"/>
      <c r="D1085" s="3" t="n"/>
      <c r="E1085" s="3" t="n"/>
      <c r="F1085" s="11" t="n"/>
      <c r="G1085" s="11" t="n"/>
      <c r="H1085" s="11" t="n"/>
      <c r="I1085" s="3" t="n"/>
      <c r="J1085" s="3">
        <f>IF(tblEjecucion[[#This Row],[orden]]="","",tblEjecucion[[#This Row],[orden]]&amp;IF(tblEjecucion[[#This Row],[operacion]]="","0010",tblEjecucion[[#This Row],[operacion]]))</f>
        <v/>
      </c>
    </row>
    <row r="1086">
      <c r="A1086" s="3" t="n"/>
      <c r="B1086" s="3" t="n"/>
      <c r="C1086" s="3" t="n"/>
      <c r="D1086" s="3" t="n"/>
      <c r="E1086" s="3" t="n"/>
      <c r="F1086" s="11" t="n"/>
      <c r="G1086" s="11" t="n"/>
      <c r="H1086" s="11" t="n"/>
      <c r="I1086" s="3" t="n"/>
      <c r="J1086" s="3">
        <f>IF(tblEjecucion[[#This Row],[orden]]="","",tblEjecucion[[#This Row],[orden]]&amp;IF(tblEjecucion[[#This Row],[operacion]]="","0010",tblEjecucion[[#This Row],[operacion]]))</f>
        <v/>
      </c>
    </row>
    <row r="1087">
      <c r="A1087" s="3" t="n"/>
      <c r="B1087" s="3" t="n"/>
      <c r="C1087" s="3" t="n"/>
      <c r="D1087" s="3" t="n"/>
      <c r="E1087" s="3" t="n"/>
      <c r="F1087" s="11" t="n"/>
      <c r="G1087" s="11" t="n"/>
      <c r="H1087" s="11" t="n"/>
      <c r="I1087" s="3" t="n"/>
      <c r="J1087" s="3">
        <f>IF(tblEjecucion[[#This Row],[orden]]="","",tblEjecucion[[#This Row],[orden]]&amp;IF(tblEjecucion[[#This Row],[operacion]]="","0010",tblEjecucion[[#This Row],[operacion]]))</f>
        <v/>
      </c>
    </row>
    <row r="1088">
      <c r="A1088" s="3" t="n"/>
      <c r="B1088" s="3" t="n"/>
      <c r="C1088" s="3" t="n"/>
      <c r="D1088" s="3" t="n"/>
      <c r="E1088" s="3" t="n"/>
      <c r="F1088" s="11" t="n"/>
      <c r="G1088" s="11" t="n"/>
      <c r="H1088" s="11" t="n"/>
      <c r="I1088" s="3" t="n"/>
      <c r="J1088" s="3">
        <f>IF(tblEjecucion[[#This Row],[orden]]="","",tblEjecucion[[#This Row],[orden]]&amp;IF(tblEjecucion[[#This Row],[operacion]]="","0010",tblEjecucion[[#This Row],[operacion]]))</f>
        <v/>
      </c>
    </row>
    <row r="1089">
      <c r="A1089" s="3" t="n"/>
      <c r="B1089" s="3" t="n"/>
      <c r="C1089" s="3" t="n"/>
      <c r="D1089" s="3" t="n"/>
      <c r="E1089" s="3" t="n"/>
      <c r="F1089" s="11" t="n"/>
      <c r="G1089" s="11" t="n"/>
      <c r="H1089" s="11" t="n"/>
      <c r="I1089" s="3" t="n"/>
      <c r="J1089" s="3">
        <f>IF(tblEjecucion[[#This Row],[orden]]="","",tblEjecucion[[#This Row],[orden]]&amp;IF(tblEjecucion[[#This Row],[operacion]]="","0010",tblEjecucion[[#This Row],[operacion]]))</f>
        <v/>
      </c>
    </row>
    <row r="1090">
      <c r="A1090" s="3" t="n"/>
      <c r="B1090" s="3" t="n"/>
      <c r="C1090" s="3" t="n"/>
      <c r="D1090" s="3" t="n"/>
      <c r="E1090" s="3" t="n"/>
      <c r="F1090" s="11" t="n"/>
      <c r="G1090" s="11" t="n"/>
      <c r="H1090" s="11" t="n"/>
      <c r="I1090" s="3" t="n"/>
      <c r="J1090" s="3">
        <f>IF(tblEjecucion[[#This Row],[orden]]="","",tblEjecucion[[#This Row],[orden]]&amp;IF(tblEjecucion[[#This Row],[operacion]]="","0010",tblEjecucion[[#This Row],[operacion]]))</f>
        <v/>
      </c>
    </row>
    <row r="1091">
      <c r="A1091" s="3" t="n"/>
      <c r="B1091" s="3" t="n"/>
      <c r="C1091" s="3" t="n"/>
      <c r="D1091" s="3" t="n"/>
      <c r="E1091" s="3" t="n"/>
      <c r="F1091" s="11" t="n"/>
      <c r="G1091" s="11" t="n"/>
      <c r="H1091" s="11" t="n"/>
      <c r="I1091" s="3" t="n"/>
      <c r="J1091" s="3">
        <f>IF(tblEjecucion[[#This Row],[orden]]="","",tblEjecucion[[#This Row],[orden]]&amp;IF(tblEjecucion[[#This Row],[operacion]]="","0010",tblEjecucion[[#This Row],[operacion]]))</f>
        <v/>
      </c>
    </row>
    <row r="1092">
      <c r="A1092" s="3" t="n"/>
      <c r="B1092" s="3" t="n"/>
      <c r="C1092" s="3" t="n"/>
      <c r="D1092" s="3" t="n"/>
      <c r="E1092" s="3" t="n"/>
      <c r="F1092" s="11" t="n"/>
      <c r="G1092" s="11" t="n"/>
      <c r="H1092" s="11" t="n"/>
      <c r="I1092" s="3" t="n"/>
      <c r="J1092" s="3">
        <f>IF(tblEjecucion[[#This Row],[orden]]="","",tblEjecucion[[#This Row],[orden]]&amp;IF(tblEjecucion[[#This Row],[operacion]]="","0010",tblEjecucion[[#This Row],[operacion]]))</f>
        <v/>
      </c>
    </row>
    <row r="1093">
      <c r="A1093" s="3" t="n"/>
      <c r="B1093" s="3" t="n"/>
      <c r="C1093" s="3" t="n"/>
      <c r="D1093" s="3" t="n"/>
      <c r="E1093" s="3" t="n"/>
      <c r="F1093" s="11" t="n"/>
      <c r="G1093" s="11" t="n"/>
      <c r="H1093" s="11" t="n"/>
      <c r="I1093" s="3" t="n"/>
      <c r="J1093" s="3">
        <f>IF(tblEjecucion[[#This Row],[orden]]="","",tblEjecucion[[#This Row],[orden]]&amp;IF(tblEjecucion[[#This Row],[operacion]]="","0010",tblEjecucion[[#This Row],[operacion]]))</f>
        <v/>
      </c>
    </row>
    <row r="1094">
      <c r="A1094" s="3" t="n"/>
      <c r="B1094" s="3" t="n"/>
      <c r="C1094" s="3" t="n"/>
      <c r="D1094" s="3" t="n"/>
      <c r="E1094" s="3" t="n"/>
      <c r="F1094" s="11" t="n"/>
      <c r="G1094" s="11" t="n"/>
      <c r="H1094" s="11" t="n"/>
      <c r="I1094" s="3" t="n"/>
      <c r="J1094" s="3">
        <f>IF(tblEjecucion[[#This Row],[orden]]="","",tblEjecucion[[#This Row],[orden]]&amp;IF(tblEjecucion[[#This Row],[operacion]]="","0010",tblEjecucion[[#This Row],[operacion]]))</f>
        <v/>
      </c>
    </row>
    <row r="1095">
      <c r="A1095" s="3" t="n"/>
      <c r="B1095" s="3" t="n"/>
      <c r="C1095" s="3" t="n"/>
      <c r="D1095" s="3" t="n"/>
      <c r="E1095" s="3" t="n"/>
      <c r="F1095" s="11" t="n"/>
      <c r="G1095" s="11" t="n"/>
      <c r="H1095" s="11" t="n"/>
      <c r="I1095" s="3" t="n"/>
      <c r="J1095" s="3">
        <f>IF(tblEjecucion[[#This Row],[orden]]="","",tblEjecucion[[#This Row],[orden]]&amp;IF(tblEjecucion[[#This Row],[operacion]]="","0010",tblEjecucion[[#This Row],[operacion]]))</f>
        <v/>
      </c>
    </row>
    <row r="1096">
      <c r="A1096" s="3" t="n"/>
      <c r="B1096" s="3" t="n"/>
      <c r="C1096" s="3" t="n"/>
      <c r="D1096" s="3" t="n"/>
      <c r="E1096" s="3" t="n"/>
      <c r="F1096" s="11" t="n"/>
      <c r="G1096" s="11" t="n"/>
      <c r="H1096" s="11" t="n"/>
      <c r="I1096" s="3" t="n"/>
      <c r="J1096" s="3">
        <f>IF(tblEjecucion[[#This Row],[orden]]="","",tblEjecucion[[#This Row],[orden]]&amp;IF(tblEjecucion[[#This Row],[operacion]]="","0010",tblEjecucion[[#This Row],[operacion]]))</f>
        <v/>
      </c>
    </row>
    <row r="1097">
      <c r="A1097" s="3" t="n"/>
      <c r="B1097" s="3" t="n"/>
      <c r="C1097" s="3" t="n"/>
      <c r="D1097" s="3" t="n"/>
      <c r="E1097" s="3" t="n"/>
      <c r="F1097" s="11" t="n"/>
      <c r="G1097" s="11" t="n"/>
      <c r="H1097" s="11" t="n"/>
      <c r="I1097" s="3" t="n"/>
      <c r="J1097" s="3">
        <f>IF(tblEjecucion[[#This Row],[orden]]="","",tblEjecucion[[#This Row],[orden]]&amp;IF(tblEjecucion[[#This Row],[operacion]]="","0010",tblEjecucion[[#This Row],[operacion]]))</f>
        <v/>
      </c>
    </row>
    <row r="1098">
      <c r="A1098" s="3" t="n"/>
      <c r="B1098" s="3" t="n"/>
      <c r="C1098" s="3" t="n"/>
      <c r="D1098" s="3" t="n"/>
      <c r="E1098" s="3" t="n"/>
      <c r="F1098" s="11" t="n"/>
      <c r="G1098" s="11" t="n"/>
      <c r="H1098" s="11" t="n"/>
      <c r="I1098" s="3" t="n"/>
      <c r="J1098" s="3">
        <f>IF(tblEjecucion[[#This Row],[orden]]="","",tblEjecucion[[#This Row],[orden]]&amp;IF(tblEjecucion[[#This Row],[operacion]]="","0010",tblEjecucion[[#This Row],[operacion]]))</f>
        <v/>
      </c>
    </row>
    <row r="1099">
      <c r="A1099" s="3" t="n"/>
      <c r="B1099" s="3" t="n"/>
      <c r="C1099" s="3" t="n"/>
      <c r="D1099" s="3" t="n"/>
      <c r="E1099" s="3" t="n"/>
      <c r="F1099" s="11" t="n"/>
      <c r="G1099" s="11" t="n"/>
      <c r="H1099" s="11" t="n"/>
      <c r="I1099" s="3" t="n"/>
      <c r="J1099" s="3">
        <f>IF(tblEjecucion[[#This Row],[orden]]="","",tblEjecucion[[#This Row],[orden]]&amp;IF(tblEjecucion[[#This Row],[operacion]]="","0010",tblEjecucion[[#This Row],[operacion]]))</f>
        <v/>
      </c>
    </row>
    <row r="1100">
      <c r="A1100" s="3" t="n"/>
      <c r="B1100" s="3" t="n"/>
      <c r="C1100" s="3" t="n"/>
      <c r="D1100" s="3" t="n"/>
      <c r="E1100" s="3" t="n"/>
      <c r="F1100" s="11" t="n"/>
      <c r="G1100" s="11" t="n"/>
      <c r="H1100" s="11" t="n"/>
      <c r="I1100" s="3" t="n"/>
      <c r="J1100" s="3">
        <f>IF(tblEjecucion[[#This Row],[orden]]="","",tblEjecucion[[#This Row],[orden]]&amp;IF(tblEjecucion[[#This Row],[operacion]]="","0010",tblEjecucion[[#This Row],[operacion]]))</f>
        <v/>
      </c>
    </row>
    <row r="1101">
      <c r="A1101" s="3" t="n"/>
      <c r="B1101" s="3" t="n"/>
      <c r="C1101" s="3" t="n"/>
      <c r="D1101" s="3" t="n"/>
      <c r="E1101" s="3" t="n"/>
      <c r="F1101" s="11" t="n"/>
      <c r="G1101" s="11" t="n"/>
      <c r="H1101" s="11" t="n"/>
      <c r="I1101" s="3" t="n"/>
      <c r="J1101" s="3">
        <f>IF(tblEjecucion[[#This Row],[orden]]="","",tblEjecucion[[#This Row],[orden]]&amp;IF(tblEjecucion[[#This Row],[operacion]]="","0010",tblEjecucion[[#This Row],[operacion]]))</f>
        <v/>
      </c>
    </row>
    <row r="1102">
      <c r="A1102" s="3" t="n"/>
      <c r="B1102" s="3" t="n"/>
      <c r="C1102" s="3" t="n"/>
      <c r="D1102" s="3" t="n"/>
      <c r="E1102" s="3" t="n"/>
      <c r="F1102" s="11" t="n"/>
      <c r="G1102" s="11" t="n"/>
      <c r="H1102" s="11" t="n"/>
      <c r="I1102" s="3" t="n"/>
      <c r="J1102" s="3">
        <f>IF(tblEjecucion[[#This Row],[orden]]="","",tblEjecucion[[#This Row],[orden]]&amp;IF(tblEjecucion[[#This Row],[operacion]]="","0010",tblEjecucion[[#This Row],[operacion]]))</f>
        <v/>
      </c>
    </row>
    <row r="1103">
      <c r="A1103" s="3" t="n"/>
      <c r="B1103" s="3" t="n"/>
      <c r="C1103" s="3" t="n"/>
      <c r="D1103" s="3" t="n"/>
      <c r="E1103" s="3" t="n"/>
      <c r="F1103" s="11" t="n"/>
      <c r="G1103" s="11" t="n"/>
      <c r="H1103" s="11" t="n"/>
      <c r="I1103" s="3" t="n"/>
      <c r="J1103" s="3">
        <f>IF(tblEjecucion[[#This Row],[orden]]="","",tblEjecucion[[#This Row],[orden]]&amp;IF(tblEjecucion[[#This Row],[operacion]]="","0010",tblEjecucion[[#This Row],[operacion]]))</f>
        <v/>
      </c>
    </row>
    <row r="1104">
      <c r="A1104" s="3" t="n"/>
      <c r="B1104" s="3" t="n"/>
      <c r="C1104" s="3" t="n"/>
      <c r="D1104" s="3" t="n"/>
      <c r="E1104" s="3" t="n"/>
      <c r="F1104" s="11" t="n"/>
      <c r="G1104" s="11" t="n"/>
      <c r="H1104" s="11" t="n"/>
      <c r="I1104" s="3" t="n"/>
      <c r="J1104" s="3">
        <f>IF(tblEjecucion[[#This Row],[orden]]="","",tblEjecucion[[#This Row],[orden]]&amp;IF(tblEjecucion[[#This Row],[operacion]]="","0010",tblEjecucion[[#This Row],[operacion]]))</f>
        <v/>
      </c>
    </row>
    <row r="1105">
      <c r="A1105" s="3" t="n"/>
      <c r="B1105" s="3" t="n"/>
      <c r="C1105" s="3" t="n"/>
      <c r="D1105" s="3" t="n"/>
      <c r="E1105" s="3" t="n"/>
      <c r="F1105" s="11" t="n"/>
      <c r="G1105" s="11" t="n"/>
      <c r="H1105" s="11" t="n"/>
      <c r="I1105" s="3" t="n"/>
      <c r="J1105" s="3">
        <f>IF(tblEjecucion[[#This Row],[orden]]="","",tblEjecucion[[#This Row],[orden]]&amp;IF(tblEjecucion[[#This Row],[operacion]]="","0010",tblEjecucion[[#This Row],[operacion]]))</f>
        <v/>
      </c>
    </row>
    <row r="1106">
      <c r="A1106" s="3" t="n"/>
      <c r="B1106" s="3" t="n"/>
      <c r="C1106" s="3" t="n"/>
      <c r="D1106" s="3" t="n"/>
      <c r="E1106" s="3" t="n"/>
      <c r="F1106" s="11" t="n"/>
      <c r="G1106" s="11" t="n"/>
      <c r="H1106" s="11" t="n"/>
      <c r="I1106" s="3" t="n"/>
      <c r="J1106" s="3">
        <f>IF(tblEjecucion[[#This Row],[orden]]="","",tblEjecucion[[#This Row],[orden]]&amp;IF(tblEjecucion[[#This Row],[operacion]]="","0010",tblEjecucion[[#This Row],[operacion]]))</f>
        <v/>
      </c>
    </row>
    <row r="1107">
      <c r="A1107" s="3" t="n"/>
      <c r="B1107" s="3" t="n"/>
      <c r="C1107" s="3" t="n"/>
      <c r="D1107" s="3" t="n"/>
      <c r="E1107" s="3" t="n"/>
      <c r="F1107" s="11" t="n"/>
      <c r="G1107" s="11" t="n"/>
      <c r="H1107" s="11" t="n"/>
      <c r="I1107" s="3" t="n"/>
      <c r="J1107" s="3">
        <f>IF(tblEjecucion[[#This Row],[orden]]="","",tblEjecucion[[#This Row],[orden]]&amp;IF(tblEjecucion[[#This Row],[operacion]]="","0010",tblEjecucion[[#This Row],[operacion]]))</f>
        <v/>
      </c>
    </row>
    <row r="1108">
      <c r="A1108" s="3" t="n"/>
      <c r="B1108" s="3" t="n"/>
      <c r="C1108" s="3" t="n"/>
      <c r="D1108" s="3" t="n"/>
      <c r="E1108" s="3" t="n"/>
      <c r="F1108" s="11" t="n"/>
      <c r="G1108" s="11" t="n"/>
      <c r="H1108" s="11" t="n"/>
      <c r="I1108" s="3" t="n"/>
      <c r="J1108" s="3">
        <f>IF(tblEjecucion[[#This Row],[orden]]="","",tblEjecucion[[#This Row],[orden]]&amp;IF(tblEjecucion[[#This Row],[operacion]]="","0010",tblEjecucion[[#This Row],[operacion]]))</f>
        <v/>
      </c>
    </row>
    <row r="1109">
      <c r="A1109" s="3" t="n"/>
      <c r="B1109" s="3" t="n"/>
      <c r="C1109" s="3" t="n"/>
      <c r="D1109" s="3" t="n"/>
      <c r="E1109" s="3" t="n"/>
      <c r="F1109" s="11" t="n"/>
      <c r="G1109" s="11" t="n"/>
      <c r="H1109" s="11" t="n"/>
      <c r="I1109" s="3" t="n"/>
      <c r="J1109" s="3">
        <f>IF(tblEjecucion[[#This Row],[orden]]="","",tblEjecucion[[#This Row],[orden]]&amp;IF(tblEjecucion[[#This Row],[operacion]]="","0010",tblEjecucion[[#This Row],[operacion]]))</f>
        <v/>
      </c>
    </row>
    <row r="1110">
      <c r="A1110" s="3" t="n"/>
      <c r="B1110" s="3" t="n"/>
      <c r="C1110" s="3" t="n"/>
      <c r="D1110" s="3" t="n"/>
      <c r="E1110" s="3" t="n"/>
      <c r="F1110" s="11" t="n"/>
      <c r="G1110" s="11" t="n"/>
      <c r="H1110" s="11" t="n"/>
      <c r="I1110" s="3" t="n"/>
      <c r="J1110" s="3">
        <f>IF(tblEjecucion[[#This Row],[orden]]="","",tblEjecucion[[#This Row],[orden]]&amp;IF(tblEjecucion[[#This Row],[operacion]]="","0010",tblEjecucion[[#This Row],[operacion]]))</f>
        <v/>
      </c>
    </row>
    <row r="1111">
      <c r="A1111" s="3" t="n"/>
      <c r="B1111" s="3" t="n"/>
      <c r="C1111" s="3" t="n"/>
      <c r="D1111" s="3" t="n"/>
      <c r="E1111" s="3" t="n"/>
      <c r="F1111" s="11" t="n"/>
      <c r="G1111" s="11" t="n"/>
      <c r="H1111" s="11" t="n"/>
      <c r="I1111" s="3" t="n"/>
      <c r="J1111" s="3">
        <f>IF(tblEjecucion[[#This Row],[orden]]="","",tblEjecucion[[#This Row],[orden]]&amp;IF(tblEjecucion[[#This Row],[operacion]]="","0010",tblEjecucion[[#This Row],[operacion]]))</f>
        <v/>
      </c>
    </row>
    <row r="1112">
      <c r="A1112" s="3" t="n"/>
      <c r="B1112" s="3" t="n"/>
      <c r="C1112" s="3" t="n"/>
      <c r="D1112" s="3" t="n"/>
      <c r="E1112" s="3" t="n"/>
      <c r="F1112" s="11" t="n"/>
      <c r="G1112" s="11" t="n"/>
      <c r="H1112" s="11" t="n"/>
      <c r="I1112" s="3" t="n"/>
      <c r="J1112" s="3">
        <f>IF(tblEjecucion[[#This Row],[orden]]="","",tblEjecucion[[#This Row],[orden]]&amp;IF(tblEjecucion[[#This Row],[operacion]]="","0010",tblEjecucion[[#This Row],[operacion]]))</f>
        <v/>
      </c>
    </row>
    <row r="1113">
      <c r="A1113" s="3" t="n"/>
      <c r="B1113" s="3" t="n"/>
      <c r="C1113" s="3" t="n"/>
      <c r="D1113" s="3" t="n"/>
      <c r="E1113" s="3" t="n"/>
      <c r="F1113" s="11" t="n"/>
      <c r="G1113" s="11" t="n"/>
      <c r="H1113" s="11" t="n"/>
      <c r="I1113" s="3" t="n"/>
      <c r="J1113" s="3">
        <f>IF(tblEjecucion[[#This Row],[orden]]="","",tblEjecucion[[#This Row],[orden]]&amp;IF(tblEjecucion[[#This Row],[operacion]]="","0010",tblEjecucion[[#This Row],[operacion]]))</f>
        <v/>
      </c>
    </row>
    <row r="1114">
      <c r="A1114" s="3" t="n"/>
      <c r="B1114" s="3" t="n"/>
      <c r="C1114" s="3" t="n"/>
      <c r="D1114" s="3" t="n"/>
      <c r="E1114" s="3" t="n"/>
      <c r="F1114" s="11" t="n"/>
      <c r="G1114" s="11" t="n"/>
      <c r="H1114" s="11" t="n"/>
      <c r="I1114" s="3" t="n"/>
      <c r="J1114" s="3">
        <f>IF(tblEjecucion[[#This Row],[orden]]="","",tblEjecucion[[#This Row],[orden]]&amp;IF(tblEjecucion[[#This Row],[operacion]]="","0010",tblEjecucion[[#This Row],[operacion]]))</f>
        <v/>
      </c>
    </row>
    <row r="1115">
      <c r="A1115" s="3" t="n"/>
      <c r="B1115" s="3" t="n"/>
      <c r="C1115" s="3" t="n"/>
      <c r="D1115" s="3" t="n"/>
      <c r="E1115" s="3" t="n"/>
      <c r="F1115" s="11" t="n"/>
      <c r="G1115" s="11" t="n"/>
      <c r="H1115" s="11" t="n"/>
      <c r="I1115" s="3" t="n"/>
      <c r="J1115" s="3">
        <f>IF(tblEjecucion[[#This Row],[orden]]="","",tblEjecucion[[#This Row],[orden]]&amp;IF(tblEjecucion[[#This Row],[operacion]]="","0010",tblEjecucion[[#This Row],[operacion]]))</f>
        <v/>
      </c>
    </row>
    <row r="1116">
      <c r="A1116" s="3" t="n"/>
      <c r="B1116" s="3" t="n"/>
      <c r="C1116" s="3" t="n"/>
      <c r="D1116" s="3" t="n"/>
      <c r="E1116" s="3" t="n"/>
      <c r="F1116" s="11" t="n"/>
      <c r="G1116" s="11" t="n"/>
      <c r="H1116" s="11" t="n"/>
      <c r="I1116" s="3" t="n"/>
      <c r="J1116" s="3">
        <f>IF(tblEjecucion[[#This Row],[orden]]="","",tblEjecucion[[#This Row],[orden]]&amp;IF(tblEjecucion[[#This Row],[operacion]]="","0010",tblEjecucion[[#This Row],[operacion]]))</f>
        <v/>
      </c>
    </row>
    <row r="1117">
      <c r="A1117" s="3" t="n"/>
      <c r="B1117" s="3" t="n"/>
      <c r="C1117" s="3" t="n"/>
      <c r="D1117" s="3" t="n"/>
      <c r="E1117" s="3" t="n"/>
      <c r="F1117" s="11" t="n"/>
      <c r="G1117" s="11" t="n"/>
      <c r="H1117" s="11" t="n"/>
      <c r="I1117" s="3" t="n"/>
      <c r="J1117" s="3">
        <f>IF(tblEjecucion[[#This Row],[orden]]="","",tblEjecucion[[#This Row],[orden]]&amp;IF(tblEjecucion[[#This Row],[operacion]]="","0010",tblEjecucion[[#This Row],[operacion]]))</f>
        <v/>
      </c>
    </row>
    <row r="1118">
      <c r="A1118" s="3" t="n"/>
      <c r="B1118" s="3" t="n"/>
      <c r="C1118" s="3" t="n"/>
      <c r="D1118" s="3" t="n"/>
      <c r="E1118" s="3" t="n"/>
      <c r="F1118" s="11" t="n"/>
      <c r="G1118" s="11" t="n"/>
      <c r="H1118" s="11" t="n"/>
      <c r="I1118" s="3" t="n"/>
      <c r="J1118" s="3">
        <f>IF(tblEjecucion[[#This Row],[orden]]="","",tblEjecucion[[#This Row],[orden]]&amp;IF(tblEjecucion[[#This Row],[operacion]]="","0010",tblEjecucion[[#This Row],[operacion]]))</f>
        <v/>
      </c>
    </row>
    <row r="1119">
      <c r="A1119" s="3" t="n"/>
      <c r="B1119" s="3" t="n"/>
      <c r="C1119" s="3" t="n"/>
      <c r="D1119" s="3" t="n"/>
      <c r="E1119" s="3" t="n"/>
      <c r="F1119" s="11" t="n"/>
      <c r="G1119" s="11" t="n"/>
      <c r="H1119" s="11" t="n"/>
      <c r="I1119" s="3" t="n"/>
      <c r="J1119" s="3">
        <f>IF(tblEjecucion[[#This Row],[orden]]="","",tblEjecucion[[#This Row],[orden]]&amp;IF(tblEjecucion[[#This Row],[operacion]]="","0010",tblEjecucion[[#This Row],[operacion]]))</f>
        <v/>
      </c>
    </row>
    <row r="1120">
      <c r="A1120" s="3" t="n"/>
      <c r="B1120" s="3" t="n"/>
      <c r="C1120" s="3" t="n"/>
      <c r="D1120" s="3" t="n"/>
      <c r="E1120" s="3" t="n"/>
      <c r="F1120" s="11" t="n"/>
      <c r="G1120" s="11" t="n"/>
      <c r="H1120" s="11" t="n"/>
      <c r="I1120" s="3" t="n"/>
      <c r="J1120" s="3">
        <f>IF(tblEjecucion[[#This Row],[orden]]="","",tblEjecucion[[#This Row],[orden]]&amp;IF(tblEjecucion[[#This Row],[operacion]]="","0010",tblEjecucion[[#This Row],[operacion]]))</f>
        <v/>
      </c>
    </row>
    <row r="1121">
      <c r="A1121" s="3" t="n"/>
      <c r="B1121" s="3" t="n"/>
      <c r="C1121" s="3" t="n"/>
      <c r="D1121" s="3" t="n"/>
      <c r="E1121" s="3" t="n"/>
      <c r="F1121" s="11" t="n"/>
      <c r="G1121" s="11" t="n"/>
      <c r="H1121" s="11" t="n"/>
      <c r="I1121" s="3" t="n"/>
      <c r="J1121" s="3">
        <f>IF(tblEjecucion[[#This Row],[orden]]="","",tblEjecucion[[#This Row],[orden]]&amp;IF(tblEjecucion[[#This Row],[operacion]]="","0010",tblEjecucion[[#This Row],[operacion]]))</f>
        <v/>
      </c>
    </row>
    <row r="1122">
      <c r="A1122" s="3" t="n"/>
      <c r="B1122" s="3" t="n"/>
      <c r="C1122" s="3" t="n"/>
      <c r="D1122" s="3" t="n"/>
      <c r="E1122" s="3" t="n"/>
      <c r="F1122" s="11" t="n"/>
      <c r="G1122" s="11" t="n"/>
      <c r="H1122" s="11" t="n"/>
      <c r="I1122" s="3" t="n"/>
      <c r="J1122" s="3">
        <f>IF(tblEjecucion[[#This Row],[orden]]="","",tblEjecucion[[#This Row],[orden]]&amp;IF(tblEjecucion[[#This Row],[operacion]]="","0010",tblEjecucion[[#This Row],[operacion]]))</f>
        <v/>
      </c>
    </row>
    <row r="1123">
      <c r="A1123" s="3" t="n"/>
      <c r="B1123" s="3" t="n"/>
      <c r="C1123" s="3" t="n"/>
      <c r="D1123" s="3" t="n"/>
      <c r="E1123" s="3" t="n"/>
      <c r="F1123" s="11" t="n"/>
      <c r="G1123" s="11" t="n"/>
      <c r="H1123" s="11" t="n"/>
      <c r="I1123" s="3" t="n"/>
      <c r="J1123" s="3">
        <f>IF(tblEjecucion[[#This Row],[orden]]="","",tblEjecucion[[#This Row],[orden]]&amp;IF(tblEjecucion[[#This Row],[operacion]]="","0010",tblEjecucion[[#This Row],[operacion]]))</f>
        <v/>
      </c>
    </row>
    <row r="1124">
      <c r="A1124" s="3" t="n"/>
      <c r="B1124" s="3" t="n"/>
      <c r="C1124" s="3" t="n"/>
      <c r="D1124" s="3" t="n"/>
      <c r="E1124" s="3" t="n"/>
      <c r="F1124" s="11" t="n"/>
      <c r="G1124" s="11" t="n"/>
      <c r="H1124" s="11" t="n"/>
      <c r="I1124" s="3" t="n"/>
      <c r="J1124" s="3">
        <f>IF(tblEjecucion[[#This Row],[orden]]="","",tblEjecucion[[#This Row],[orden]]&amp;IF(tblEjecucion[[#This Row],[operacion]]="","0010",tblEjecucion[[#This Row],[operacion]]))</f>
        <v/>
      </c>
    </row>
    <row r="1125">
      <c r="A1125" s="3" t="n"/>
      <c r="B1125" s="3" t="n"/>
      <c r="C1125" s="3" t="n"/>
      <c r="D1125" s="3" t="n"/>
      <c r="E1125" s="3" t="n"/>
      <c r="F1125" s="11" t="n"/>
      <c r="G1125" s="11" t="n"/>
      <c r="H1125" s="11" t="n"/>
      <c r="I1125" s="3" t="n"/>
      <c r="J1125" s="3">
        <f>IF(tblEjecucion[[#This Row],[orden]]="","",tblEjecucion[[#This Row],[orden]]&amp;IF(tblEjecucion[[#This Row],[operacion]]="","0010",tblEjecucion[[#This Row],[operacion]]))</f>
        <v/>
      </c>
    </row>
    <row r="1126">
      <c r="A1126" s="3" t="n"/>
      <c r="B1126" s="3" t="n"/>
      <c r="C1126" s="3" t="n"/>
      <c r="D1126" s="3" t="n"/>
      <c r="E1126" s="3" t="n"/>
      <c r="F1126" s="11" t="n"/>
      <c r="G1126" s="11" t="n"/>
      <c r="H1126" s="11" t="n"/>
      <c r="I1126" s="3" t="n"/>
      <c r="J1126" s="3">
        <f>IF(tblEjecucion[[#This Row],[orden]]="","",tblEjecucion[[#This Row],[orden]]&amp;IF(tblEjecucion[[#This Row],[operacion]]="","0010",tblEjecucion[[#This Row],[operacion]]))</f>
        <v/>
      </c>
    </row>
    <row r="1127">
      <c r="A1127" s="3" t="n"/>
      <c r="B1127" s="3" t="n"/>
      <c r="C1127" s="3" t="n"/>
      <c r="D1127" s="3" t="n"/>
      <c r="E1127" s="3" t="n"/>
      <c r="F1127" s="11" t="n"/>
      <c r="G1127" s="11" t="n"/>
      <c r="H1127" s="11" t="n"/>
      <c r="I1127" s="3" t="n"/>
      <c r="J1127" s="3">
        <f>IF(tblEjecucion[[#This Row],[orden]]="","",tblEjecucion[[#This Row],[orden]]&amp;IF(tblEjecucion[[#This Row],[operacion]]="","0010",tblEjecucion[[#This Row],[operacion]]))</f>
        <v/>
      </c>
    </row>
    <row r="1128">
      <c r="A1128" s="3" t="n"/>
      <c r="B1128" s="3" t="n"/>
      <c r="C1128" s="3" t="n"/>
      <c r="D1128" s="3" t="n"/>
      <c r="E1128" s="3" t="n"/>
      <c r="F1128" s="11" t="n"/>
      <c r="G1128" s="11" t="n"/>
      <c r="H1128" s="11" t="n"/>
      <c r="I1128" s="3" t="n"/>
      <c r="J1128" s="3">
        <f>IF(tblEjecucion[[#This Row],[orden]]="","",tblEjecucion[[#This Row],[orden]]&amp;IF(tblEjecucion[[#This Row],[operacion]]="","0010",tblEjecucion[[#This Row],[operacion]]))</f>
        <v/>
      </c>
    </row>
    <row r="1129">
      <c r="A1129" s="3" t="n"/>
      <c r="B1129" s="3" t="n"/>
      <c r="C1129" s="3" t="n"/>
      <c r="D1129" s="3" t="n"/>
      <c r="E1129" s="3" t="n"/>
      <c r="F1129" s="11" t="n"/>
      <c r="G1129" s="11" t="n"/>
      <c r="H1129" s="11" t="n"/>
      <c r="I1129" s="3" t="n"/>
      <c r="J1129" s="3">
        <f>IF(tblEjecucion[[#This Row],[orden]]="","",tblEjecucion[[#This Row],[orden]]&amp;IF(tblEjecucion[[#This Row],[operacion]]="","0010",tblEjecucion[[#This Row],[operacion]]))</f>
        <v/>
      </c>
    </row>
    <row r="1130">
      <c r="A1130" s="3" t="n"/>
      <c r="B1130" s="3" t="n"/>
      <c r="C1130" s="3" t="n"/>
      <c r="D1130" s="3" t="n"/>
      <c r="E1130" s="3" t="n"/>
      <c r="F1130" s="11" t="n"/>
      <c r="G1130" s="11" t="n"/>
      <c r="H1130" s="11" t="n"/>
      <c r="I1130" s="3" t="n"/>
      <c r="J1130" s="3">
        <f>IF(tblEjecucion[[#This Row],[orden]]="","",tblEjecucion[[#This Row],[orden]]&amp;IF(tblEjecucion[[#This Row],[operacion]]="","0010",tblEjecucion[[#This Row],[operacion]]))</f>
        <v/>
      </c>
    </row>
    <row r="1131">
      <c r="A1131" s="3" t="n"/>
      <c r="B1131" s="3" t="n"/>
      <c r="C1131" s="3" t="n"/>
      <c r="D1131" s="3" t="n"/>
      <c r="E1131" s="3" t="n"/>
      <c r="F1131" s="11" t="n"/>
      <c r="G1131" s="11" t="n"/>
      <c r="H1131" s="11" t="n"/>
      <c r="I1131" s="3" t="n"/>
      <c r="J1131" s="3">
        <f>IF(tblEjecucion[[#This Row],[orden]]="","",tblEjecucion[[#This Row],[orden]]&amp;IF(tblEjecucion[[#This Row],[operacion]]="","0010",tblEjecucion[[#This Row],[operacion]]))</f>
        <v/>
      </c>
    </row>
    <row r="1132">
      <c r="A1132" s="3" t="n"/>
      <c r="B1132" s="3" t="n"/>
      <c r="C1132" s="3" t="n"/>
      <c r="D1132" s="3" t="n"/>
      <c r="E1132" s="3" t="n"/>
      <c r="F1132" s="11" t="n"/>
      <c r="G1132" s="11" t="n"/>
      <c r="H1132" s="11" t="n"/>
      <c r="I1132" s="3" t="n"/>
      <c r="J1132" s="3">
        <f>IF(tblEjecucion[[#This Row],[orden]]="","",tblEjecucion[[#This Row],[orden]]&amp;IF(tblEjecucion[[#This Row],[operacion]]="","0010",tblEjecucion[[#This Row],[operacion]]))</f>
        <v/>
      </c>
    </row>
    <row r="1133">
      <c r="A1133" s="3" t="n"/>
      <c r="B1133" s="3" t="n"/>
      <c r="C1133" s="3" t="n"/>
      <c r="D1133" s="3" t="n"/>
      <c r="E1133" s="3" t="n"/>
      <c r="F1133" s="11" t="n"/>
      <c r="G1133" s="11" t="n"/>
      <c r="H1133" s="11" t="n"/>
      <c r="I1133" s="3" t="n"/>
      <c r="J1133" s="3">
        <f>IF(tblEjecucion[[#This Row],[orden]]="","",tblEjecucion[[#This Row],[orden]]&amp;IF(tblEjecucion[[#This Row],[operacion]]="","0010",tblEjecucion[[#This Row],[operacion]]))</f>
        <v/>
      </c>
    </row>
    <row r="1134">
      <c r="A1134" s="3" t="n"/>
      <c r="B1134" s="3" t="n"/>
      <c r="C1134" s="3" t="n"/>
      <c r="D1134" s="3" t="n"/>
      <c r="E1134" s="3" t="n"/>
      <c r="F1134" s="11" t="n"/>
      <c r="G1134" s="11" t="n"/>
      <c r="H1134" s="11" t="n"/>
      <c r="I1134" s="3" t="n"/>
      <c r="J1134" s="3">
        <f>IF(tblEjecucion[[#This Row],[orden]]="","",tblEjecucion[[#This Row],[orden]]&amp;IF(tblEjecucion[[#This Row],[operacion]]="","0010",tblEjecucion[[#This Row],[operacion]]))</f>
        <v/>
      </c>
    </row>
    <row r="1135">
      <c r="A1135" s="3" t="n"/>
      <c r="B1135" s="3" t="n"/>
      <c r="C1135" s="3" t="n"/>
      <c r="D1135" s="3" t="n"/>
      <c r="E1135" s="3" t="n"/>
      <c r="F1135" s="11" t="n"/>
      <c r="G1135" s="11" t="n"/>
      <c r="H1135" s="11" t="n"/>
      <c r="I1135" s="3" t="n"/>
      <c r="J1135" s="3">
        <f>IF(tblEjecucion[[#This Row],[orden]]="","",tblEjecucion[[#This Row],[orden]]&amp;IF(tblEjecucion[[#This Row],[operacion]]="","0010",tblEjecucion[[#This Row],[operacion]]))</f>
        <v/>
      </c>
    </row>
    <row r="1136">
      <c r="A1136" s="3" t="n"/>
      <c r="B1136" s="3" t="n"/>
      <c r="C1136" s="3" t="n"/>
      <c r="D1136" s="3" t="n"/>
      <c r="E1136" s="3" t="n"/>
      <c r="F1136" s="11" t="n"/>
      <c r="G1136" s="11" t="n"/>
      <c r="H1136" s="11" t="n"/>
      <c r="I1136" s="3" t="n"/>
      <c r="J1136" s="3">
        <f>IF(tblEjecucion[[#This Row],[orden]]="","",tblEjecucion[[#This Row],[orden]]&amp;IF(tblEjecucion[[#This Row],[operacion]]="","0010",tblEjecucion[[#This Row],[operacion]]))</f>
        <v/>
      </c>
    </row>
    <row r="1137">
      <c r="A1137" s="3" t="n"/>
      <c r="B1137" s="3" t="n"/>
      <c r="C1137" s="3" t="n"/>
      <c r="D1137" s="3" t="n"/>
      <c r="E1137" s="3" t="n"/>
      <c r="F1137" s="11" t="n"/>
      <c r="G1137" s="11" t="n"/>
      <c r="H1137" s="11" t="n"/>
      <c r="I1137" s="3" t="n"/>
      <c r="J1137" s="3">
        <f>IF(tblEjecucion[[#This Row],[orden]]="","",tblEjecucion[[#This Row],[orden]]&amp;IF(tblEjecucion[[#This Row],[operacion]]="","0010",tblEjecucion[[#This Row],[operacion]]))</f>
        <v/>
      </c>
    </row>
    <row r="1138">
      <c r="A1138" s="3" t="n"/>
      <c r="B1138" s="3" t="n"/>
      <c r="C1138" s="3" t="n"/>
      <c r="D1138" s="3" t="n"/>
      <c r="E1138" s="3" t="n"/>
      <c r="F1138" s="11" t="n"/>
      <c r="G1138" s="11" t="n"/>
      <c r="H1138" s="11" t="n"/>
      <c r="I1138" s="3" t="n"/>
      <c r="J1138" s="3">
        <f>IF(tblEjecucion[[#This Row],[orden]]="","",tblEjecucion[[#This Row],[orden]]&amp;IF(tblEjecucion[[#This Row],[operacion]]="","0010",tblEjecucion[[#This Row],[operacion]]))</f>
        <v/>
      </c>
    </row>
    <row r="1139">
      <c r="A1139" s="3" t="n"/>
      <c r="B1139" s="3" t="n"/>
      <c r="C1139" s="3" t="n"/>
      <c r="D1139" s="3" t="n"/>
      <c r="E1139" s="3" t="n"/>
      <c r="F1139" s="11" t="n"/>
      <c r="G1139" s="11" t="n"/>
      <c r="H1139" s="11" t="n"/>
      <c r="I1139" s="3" t="n"/>
      <c r="J1139" s="3">
        <f>IF(tblEjecucion[[#This Row],[orden]]="","",tblEjecucion[[#This Row],[orden]]&amp;IF(tblEjecucion[[#This Row],[operacion]]="","0010",tblEjecucion[[#This Row],[operacion]]))</f>
        <v/>
      </c>
    </row>
    <row r="1140">
      <c r="A1140" s="3" t="n"/>
      <c r="B1140" s="3" t="n"/>
      <c r="C1140" s="3" t="n"/>
      <c r="D1140" s="3" t="n"/>
      <c r="E1140" s="3" t="n"/>
      <c r="F1140" s="11" t="n"/>
      <c r="G1140" s="11" t="n"/>
      <c r="H1140" s="11" t="n"/>
      <c r="I1140" s="3" t="n"/>
      <c r="J1140" s="3">
        <f>IF(tblEjecucion[[#This Row],[orden]]="","",tblEjecucion[[#This Row],[orden]]&amp;IF(tblEjecucion[[#This Row],[operacion]]="","0010",tblEjecucion[[#This Row],[operacion]]))</f>
        <v/>
      </c>
    </row>
    <row r="1141">
      <c r="A1141" s="3" t="n"/>
      <c r="B1141" s="3" t="n"/>
      <c r="C1141" s="3" t="n"/>
      <c r="D1141" s="3" t="n"/>
      <c r="E1141" s="3" t="n"/>
      <c r="F1141" s="11" t="n"/>
      <c r="G1141" s="11" t="n"/>
      <c r="H1141" s="11" t="n"/>
      <c r="I1141" s="3" t="n"/>
      <c r="J1141" s="3">
        <f>IF(tblEjecucion[[#This Row],[orden]]="","",tblEjecucion[[#This Row],[orden]]&amp;IF(tblEjecucion[[#This Row],[operacion]]="","0010",tblEjecucion[[#This Row],[operacion]]))</f>
        <v/>
      </c>
    </row>
    <row r="1142">
      <c r="A1142" s="3" t="n"/>
      <c r="B1142" s="3" t="n"/>
      <c r="C1142" s="3" t="n"/>
      <c r="D1142" s="3" t="n"/>
      <c r="E1142" s="3" t="n"/>
      <c r="F1142" s="11" t="n"/>
      <c r="G1142" s="11" t="n"/>
      <c r="H1142" s="11" t="n"/>
      <c r="I1142" s="3" t="n"/>
      <c r="J1142" s="3">
        <f>IF(tblEjecucion[[#This Row],[orden]]="","",tblEjecucion[[#This Row],[orden]]&amp;IF(tblEjecucion[[#This Row],[operacion]]="","0010",tblEjecucion[[#This Row],[operacion]]))</f>
        <v/>
      </c>
    </row>
    <row r="1143">
      <c r="A1143" s="3" t="n"/>
      <c r="B1143" s="3" t="n"/>
      <c r="C1143" s="3" t="n"/>
      <c r="D1143" s="3" t="n"/>
      <c r="E1143" s="3" t="n"/>
      <c r="F1143" s="11" t="n"/>
      <c r="G1143" s="11" t="n"/>
      <c r="H1143" s="11" t="n"/>
      <c r="I1143" s="3" t="n"/>
      <c r="J1143" s="3">
        <f>IF(tblEjecucion[[#This Row],[orden]]="","",tblEjecucion[[#This Row],[orden]]&amp;IF(tblEjecucion[[#This Row],[operacion]]="","0010",tblEjecucion[[#This Row],[operacion]]))</f>
        <v/>
      </c>
    </row>
    <row r="1144">
      <c r="A1144" s="3" t="n"/>
      <c r="B1144" s="3" t="n"/>
      <c r="C1144" s="3" t="n"/>
      <c r="D1144" s="3" t="n"/>
      <c r="E1144" s="3" t="n"/>
      <c r="F1144" s="11" t="n"/>
      <c r="G1144" s="11" t="n"/>
      <c r="H1144" s="11" t="n"/>
      <c r="I1144" s="3" t="n"/>
      <c r="J1144" s="3">
        <f>IF(tblEjecucion[[#This Row],[orden]]="","",tblEjecucion[[#This Row],[orden]]&amp;IF(tblEjecucion[[#This Row],[operacion]]="","0010",tblEjecucion[[#This Row],[operacion]]))</f>
        <v/>
      </c>
    </row>
    <row r="1145">
      <c r="A1145" s="3" t="n"/>
      <c r="B1145" s="3" t="n"/>
      <c r="C1145" s="3" t="n"/>
      <c r="D1145" s="3" t="n"/>
      <c r="E1145" s="3" t="n"/>
      <c r="F1145" s="11" t="n"/>
      <c r="G1145" s="11" t="n"/>
      <c r="H1145" s="11" t="n"/>
      <c r="I1145" s="3" t="n"/>
      <c r="J1145" s="3">
        <f>IF(tblEjecucion[[#This Row],[orden]]="","",tblEjecucion[[#This Row],[orden]]&amp;IF(tblEjecucion[[#This Row],[operacion]]="","0010",tblEjecucion[[#This Row],[operacion]]))</f>
        <v/>
      </c>
    </row>
    <row r="1146">
      <c r="A1146" s="3" t="n"/>
      <c r="B1146" s="3" t="n"/>
      <c r="C1146" s="3" t="n"/>
      <c r="D1146" s="3" t="n"/>
      <c r="E1146" s="3" t="n"/>
      <c r="F1146" s="11" t="n"/>
      <c r="G1146" s="11" t="n"/>
      <c r="H1146" s="11" t="n"/>
      <c r="I1146" s="3" t="n"/>
      <c r="J1146" s="3">
        <f>IF(tblEjecucion[[#This Row],[orden]]="","",tblEjecucion[[#This Row],[orden]]&amp;IF(tblEjecucion[[#This Row],[operacion]]="","0010",tblEjecucion[[#This Row],[operacion]]))</f>
        <v/>
      </c>
    </row>
    <row r="1147">
      <c r="A1147" s="3" t="n"/>
      <c r="B1147" s="3" t="n"/>
      <c r="C1147" s="3" t="n"/>
      <c r="D1147" s="3" t="n"/>
      <c r="E1147" s="3" t="n"/>
      <c r="F1147" s="11" t="n"/>
      <c r="G1147" s="11" t="n"/>
      <c r="H1147" s="11" t="n"/>
      <c r="I1147" s="3" t="n"/>
      <c r="J1147" s="3">
        <f>IF(tblEjecucion[[#This Row],[orden]]="","",tblEjecucion[[#This Row],[orden]]&amp;IF(tblEjecucion[[#This Row],[operacion]]="","0010",tblEjecucion[[#This Row],[operacion]]))</f>
        <v/>
      </c>
    </row>
    <row r="1148">
      <c r="A1148" s="3" t="n"/>
      <c r="B1148" s="3" t="n"/>
      <c r="C1148" s="3" t="n"/>
      <c r="D1148" s="3" t="n"/>
      <c r="E1148" s="3" t="n"/>
      <c r="F1148" s="11" t="n"/>
      <c r="G1148" s="11" t="n"/>
      <c r="H1148" s="11" t="n"/>
      <c r="I1148" s="3" t="n"/>
      <c r="J1148" s="3">
        <f>IF(tblEjecucion[[#This Row],[orden]]="","",tblEjecucion[[#This Row],[orden]]&amp;IF(tblEjecucion[[#This Row],[operacion]]="","0010",tblEjecucion[[#This Row],[operacion]]))</f>
        <v/>
      </c>
    </row>
    <row r="1149">
      <c r="A1149" s="3" t="n"/>
      <c r="B1149" s="3" t="n"/>
      <c r="C1149" s="3" t="n"/>
      <c r="D1149" s="3" t="n"/>
      <c r="E1149" s="3" t="n"/>
      <c r="F1149" s="11" t="n"/>
      <c r="G1149" s="11" t="n"/>
      <c r="H1149" s="11" t="n"/>
      <c r="I1149" s="3" t="n"/>
      <c r="J1149" s="3">
        <f>IF(tblEjecucion[[#This Row],[orden]]="","",tblEjecucion[[#This Row],[orden]]&amp;IF(tblEjecucion[[#This Row],[operacion]]="","0010",tblEjecucion[[#This Row],[operacion]]))</f>
        <v/>
      </c>
    </row>
    <row r="1150">
      <c r="A1150" s="3" t="n"/>
      <c r="B1150" s="3" t="n"/>
      <c r="C1150" s="3" t="n"/>
      <c r="D1150" s="3" t="n"/>
      <c r="E1150" s="3" t="n"/>
      <c r="F1150" s="11" t="n"/>
      <c r="G1150" s="11" t="n"/>
      <c r="H1150" s="11" t="n"/>
      <c r="I1150" s="3" t="n"/>
      <c r="J1150" s="3">
        <f>IF(tblEjecucion[[#This Row],[orden]]="","",tblEjecucion[[#This Row],[orden]]&amp;IF(tblEjecucion[[#This Row],[operacion]]="","0010",tblEjecucion[[#This Row],[operacion]]))</f>
        <v/>
      </c>
    </row>
    <row r="1151">
      <c r="A1151" s="3" t="n"/>
      <c r="B1151" s="3" t="n"/>
      <c r="C1151" s="3" t="n"/>
      <c r="D1151" s="3" t="n"/>
      <c r="E1151" s="3" t="n"/>
      <c r="F1151" s="11" t="n"/>
      <c r="G1151" s="11" t="n"/>
      <c r="H1151" s="11" t="n"/>
      <c r="I1151" s="3" t="n"/>
      <c r="J1151" s="3">
        <f>IF(tblEjecucion[[#This Row],[orden]]="","",tblEjecucion[[#This Row],[orden]]&amp;IF(tblEjecucion[[#This Row],[operacion]]="","0010",tblEjecucion[[#This Row],[operacion]]))</f>
        <v/>
      </c>
    </row>
    <row r="1152">
      <c r="A1152" s="3" t="n"/>
      <c r="B1152" s="3" t="n"/>
      <c r="C1152" s="3" t="n"/>
      <c r="D1152" s="3" t="n"/>
      <c r="E1152" s="3" t="n"/>
      <c r="F1152" s="11" t="n"/>
      <c r="G1152" s="11" t="n"/>
      <c r="H1152" s="11" t="n"/>
      <c r="I1152" s="3" t="n"/>
      <c r="J1152" s="3">
        <f>IF(tblEjecucion[[#This Row],[orden]]="","",tblEjecucion[[#This Row],[orden]]&amp;IF(tblEjecucion[[#This Row],[operacion]]="","0010",tblEjecucion[[#This Row],[operacion]]))</f>
        <v/>
      </c>
    </row>
    <row r="1153">
      <c r="A1153" s="3" t="n"/>
      <c r="B1153" s="3" t="n"/>
      <c r="C1153" s="3" t="n"/>
      <c r="D1153" s="3" t="n"/>
      <c r="E1153" s="3" t="n"/>
      <c r="F1153" s="11" t="n"/>
      <c r="G1153" s="11" t="n"/>
      <c r="H1153" s="11" t="n"/>
      <c r="I1153" s="3" t="n"/>
      <c r="J1153" s="3">
        <f>IF(tblEjecucion[[#This Row],[orden]]="","",tblEjecucion[[#This Row],[orden]]&amp;IF(tblEjecucion[[#This Row],[operacion]]="","0010",tblEjecucion[[#This Row],[operacion]]))</f>
        <v/>
      </c>
    </row>
    <row r="1154">
      <c r="A1154" s="3" t="n"/>
      <c r="B1154" s="3" t="n"/>
      <c r="C1154" s="3" t="n"/>
      <c r="D1154" s="3" t="n"/>
      <c r="E1154" s="3" t="n"/>
      <c r="F1154" s="11" t="n"/>
      <c r="G1154" s="11" t="n"/>
      <c r="H1154" s="11" t="n"/>
      <c r="I1154" s="3" t="n"/>
      <c r="J1154" s="3">
        <f>IF(tblEjecucion[[#This Row],[orden]]="","",tblEjecucion[[#This Row],[orden]]&amp;IF(tblEjecucion[[#This Row],[operacion]]="","0010",tblEjecucion[[#This Row],[operacion]]))</f>
        <v/>
      </c>
    </row>
    <row r="1155">
      <c r="A1155" s="3" t="n"/>
      <c r="B1155" s="3" t="n"/>
      <c r="C1155" s="3" t="n"/>
      <c r="D1155" s="3" t="n"/>
      <c r="E1155" s="3" t="n"/>
      <c r="F1155" s="11" t="n"/>
      <c r="G1155" s="11" t="n"/>
      <c r="H1155" s="11" t="n"/>
      <c r="I1155" s="3" t="n"/>
      <c r="J1155" s="3">
        <f>IF(tblEjecucion[[#This Row],[orden]]="","",tblEjecucion[[#This Row],[orden]]&amp;IF(tblEjecucion[[#This Row],[operacion]]="","0010",tblEjecucion[[#This Row],[operacion]]))</f>
        <v/>
      </c>
    </row>
    <row r="1156">
      <c r="A1156" s="3" t="n"/>
      <c r="B1156" s="3" t="n"/>
      <c r="C1156" s="3" t="n"/>
      <c r="D1156" s="3" t="n"/>
      <c r="E1156" s="3" t="n"/>
      <c r="F1156" s="11" t="n"/>
      <c r="G1156" s="11" t="n"/>
      <c r="H1156" s="11" t="n"/>
      <c r="I1156" s="3" t="n"/>
      <c r="J1156" s="3">
        <f>IF(tblEjecucion[[#This Row],[orden]]="","",tblEjecucion[[#This Row],[orden]]&amp;IF(tblEjecucion[[#This Row],[operacion]]="","0010",tblEjecucion[[#This Row],[operacion]]))</f>
        <v/>
      </c>
    </row>
    <row r="1157">
      <c r="A1157" s="3" t="n"/>
      <c r="B1157" s="3" t="n"/>
      <c r="C1157" s="3" t="n"/>
      <c r="D1157" s="3" t="n"/>
      <c r="E1157" s="3" t="n"/>
      <c r="F1157" s="11" t="n"/>
      <c r="G1157" s="11" t="n"/>
      <c r="H1157" s="11" t="n"/>
      <c r="I1157" s="3" t="n"/>
      <c r="J1157" s="3">
        <f>IF(tblEjecucion[[#This Row],[orden]]="","",tblEjecucion[[#This Row],[orden]]&amp;IF(tblEjecucion[[#This Row],[operacion]]="","0010",tblEjecucion[[#This Row],[operacion]]))</f>
        <v/>
      </c>
    </row>
    <row r="1158">
      <c r="A1158" s="3" t="n"/>
      <c r="B1158" s="3" t="n"/>
      <c r="C1158" s="3" t="n"/>
      <c r="D1158" s="3" t="n"/>
      <c r="E1158" s="3" t="n"/>
      <c r="F1158" s="11" t="n"/>
      <c r="G1158" s="11" t="n"/>
      <c r="H1158" s="11" t="n"/>
      <c r="I1158" s="3" t="n"/>
      <c r="J1158" s="3">
        <f>IF(tblEjecucion[[#This Row],[orden]]="","",tblEjecucion[[#This Row],[orden]]&amp;IF(tblEjecucion[[#This Row],[operacion]]="","0010",tblEjecucion[[#This Row],[operacion]]))</f>
        <v/>
      </c>
    </row>
    <row r="1159">
      <c r="A1159" s="3" t="n"/>
      <c r="B1159" s="3" t="n"/>
      <c r="C1159" s="3" t="n"/>
      <c r="D1159" s="3" t="n"/>
      <c r="E1159" s="3" t="n"/>
      <c r="F1159" s="11" t="n"/>
      <c r="G1159" s="11" t="n"/>
      <c r="H1159" s="11" t="n"/>
      <c r="I1159" s="3" t="n"/>
      <c r="J1159" s="3">
        <f>IF(tblEjecucion[[#This Row],[orden]]="","",tblEjecucion[[#This Row],[orden]]&amp;IF(tblEjecucion[[#This Row],[operacion]]="","0010",tblEjecucion[[#This Row],[operacion]]))</f>
        <v/>
      </c>
    </row>
    <row r="1160">
      <c r="A1160" s="3" t="n"/>
      <c r="B1160" s="3" t="n"/>
      <c r="C1160" s="3" t="n"/>
      <c r="D1160" s="3" t="n"/>
      <c r="E1160" s="3" t="n"/>
      <c r="F1160" s="11" t="n"/>
      <c r="G1160" s="11" t="n"/>
      <c r="H1160" s="11" t="n"/>
      <c r="I1160" s="3" t="n"/>
      <c r="J1160" s="3">
        <f>IF(tblEjecucion[[#This Row],[orden]]="","",tblEjecucion[[#This Row],[orden]]&amp;IF(tblEjecucion[[#This Row],[operacion]]="","0010",tblEjecucion[[#This Row],[operacion]]))</f>
        <v/>
      </c>
    </row>
    <row r="1161">
      <c r="A1161" s="3" t="n"/>
      <c r="B1161" s="3" t="n"/>
      <c r="C1161" s="3" t="n"/>
      <c r="D1161" s="3" t="n"/>
      <c r="E1161" s="3" t="n"/>
      <c r="F1161" s="11" t="n"/>
      <c r="G1161" s="11" t="n"/>
      <c r="H1161" s="11" t="n"/>
      <c r="I1161" s="3" t="n"/>
      <c r="J1161" s="3">
        <f>IF(tblEjecucion[[#This Row],[orden]]="","",tblEjecucion[[#This Row],[orden]]&amp;IF(tblEjecucion[[#This Row],[operacion]]="","0010",tblEjecucion[[#This Row],[operacion]]))</f>
        <v/>
      </c>
    </row>
    <row r="1162">
      <c r="A1162" s="3" t="n"/>
      <c r="B1162" s="3" t="n"/>
      <c r="C1162" s="3" t="n"/>
      <c r="D1162" s="3" t="n"/>
      <c r="E1162" s="3" t="n"/>
      <c r="F1162" s="11" t="n"/>
      <c r="G1162" s="11" t="n"/>
      <c r="H1162" s="11" t="n"/>
      <c r="I1162" s="3" t="n"/>
      <c r="J1162" s="3">
        <f>IF(tblEjecucion[[#This Row],[orden]]="","",tblEjecucion[[#This Row],[orden]]&amp;IF(tblEjecucion[[#This Row],[operacion]]="","0010",tblEjecucion[[#This Row],[operacion]]))</f>
        <v/>
      </c>
    </row>
    <row r="1163">
      <c r="A1163" s="3" t="n"/>
      <c r="B1163" s="3" t="n"/>
      <c r="C1163" s="3" t="n"/>
      <c r="D1163" s="3" t="n"/>
      <c r="E1163" s="3" t="n"/>
      <c r="F1163" s="11" t="n"/>
      <c r="G1163" s="11" t="n"/>
      <c r="H1163" s="11" t="n"/>
      <c r="I1163" s="3" t="n"/>
      <c r="J1163" s="3">
        <f>IF(tblEjecucion[[#This Row],[orden]]="","",tblEjecucion[[#This Row],[orden]]&amp;IF(tblEjecucion[[#This Row],[operacion]]="","0010",tblEjecucion[[#This Row],[operacion]]))</f>
        <v/>
      </c>
    </row>
    <row r="1164">
      <c r="A1164" s="3" t="n"/>
      <c r="B1164" s="3" t="n"/>
      <c r="C1164" s="3" t="n"/>
      <c r="D1164" s="3" t="n"/>
      <c r="E1164" s="3" t="n"/>
      <c r="F1164" s="11" t="n"/>
      <c r="G1164" s="11" t="n"/>
      <c r="H1164" s="11" t="n"/>
      <c r="I1164" s="3" t="n"/>
      <c r="J1164" s="3">
        <f>IF(tblEjecucion[[#This Row],[orden]]="","",tblEjecucion[[#This Row],[orden]]&amp;IF(tblEjecucion[[#This Row],[operacion]]="","0010",tblEjecucion[[#This Row],[operacion]]))</f>
        <v/>
      </c>
    </row>
    <row r="1165">
      <c r="A1165" s="3" t="n"/>
      <c r="B1165" s="3" t="n"/>
      <c r="C1165" s="3" t="n"/>
      <c r="D1165" s="3" t="n"/>
      <c r="E1165" s="3" t="n"/>
      <c r="F1165" s="11" t="n"/>
      <c r="G1165" s="11" t="n"/>
      <c r="H1165" s="11" t="n"/>
      <c r="I1165" s="3" t="n"/>
      <c r="J1165" s="3">
        <f>IF(tblEjecucion[[#This Row],[orden]]="","",tblEjecucion[[#This Row],[orden]]&amp;IF(tblEjecucion[[#This Row],[operacion]]="","0010",tblEjecucion[[#This Row],[operacion]]))</f>
        <v/>
      </c>
    </row>
    <row r="1166">
      <c r="A1166" s="3" t="n"/>
      <c r="B1166" s="3" t="n"/>
      <c r="C1166" s="3" t="n"/>
      <c r="D1166" s="3" t="n"/>
      <c r="E1166" s="3" t="n"/>
      <c r="F1166" s="11" t="n"/>
      <c r="G1166" s="11" t="n"/>
      <c r="H1166" s="11" t="n"/>
      <c r="I1166" s="3" t="n"/>
      <c r="J1166" s="3">
        <f>IF(tblEjecucion[[#This Row],[orden]]="","",tblEjecucion[[#This Row],[orden]]&amp;IF(tblEjecucion[[#This Row],[operacion]]="","0010",tblEjecucion[[#This Row],[operacion]]))</f>
        <v/>
      </c>
    </row>
    <row r="1167">
      <c r="A1167" s="3" t="n"/>
      <c r="B1167" s="3" t="n"/>
      <c r="C1167" s="3" t="n"/>
      <c r="D1167" s="3" t="n"/>
      <c r="E1167" s="3" t="n"/>
      <c r="F1167" s="11" t="n"/>
      <c r="G1167" s="11" t="n"/>
      <c r="H1167" s="11" t="n"/>
      <c r="I1167" s="3" t="n"/>
      <c r="J1167" s="3">
        <f>IF(tblEjecucion[[#This Row],[orden]]="","",tblEjecucion[[#This Row],[orden]]&amp;IF(tblEjecucion[[#This Row],[operacion]]="","0010",tblEjecucion[[#This Row],[operacion]]))</f>
        <v/>
      </c>
    </row>
    <row r="1168">
      <c r="A1168" s="3" t="n"/>
      <c r="B1168" s="3" t="n"/>
      <c r="C1168" s="3" t="n"/>
      <c r="D1168" s="3" t="n"/>
      <c r="E1168" s="3" t="n"/>
      <c r="F1168" s="11" t="n"/>
      <c r="G1168" s="11" t="n"/>
      <c r="H1168" s="11" t="n"/>
      <c r="I1168" s="3" t="n"/>
      <c r="J1168" s="3">
        <f>IF(tblEjecucion[[#This Row],[orden]]="","",tblEjecucion[[#This Row],[orden]]&amp;IF(tblEjecucion[[#This Row],[operacion]]="","0010",tblEjecucion[[#This Row],[operacion]]))</f>
        <v/>
      </c>
    </row>
    <row r="1169">
      <c r="A1169" s="3" t="n"/>
      <c r="B1169" s="3" t="n"/>
      <c r="C1169" s="3" t="n"/>
      <c r="D1169" s="3" t="n"/>
      <c r="E1169" s="3" t="n"/>
      <c r="F1169" s="11" t="n"/>
      <c r="G1169" s="11" t="n"/>
      <c r="H1169" s="11" t="n"/>
      <c r="I1169" s="3" t="n"/>
      <c r="J1169" s="3">
        <f>IF(tblEjecucion[[#This Row],[orden]]="","",tblEjecucion[[#This Row],[orden]]&amp;IF(tblEjecucion[[#This Row],[operacion]]="","0010",tblEjecucion[[#This Row],[operacion]]))</f>
        <v/>
      </c>
    </row>
    <row r="1170">
      <c r="A1170" s="3" t="n"/>
      <c r="B1170" s="3" t="n"/>
      <c r="C1170" s="3" t="n"/>
      <c r="D1170" s="3" t="n"/>
      <c r="E1170" s="3" t="n"/>
      <c r="F1170" s="11" t="n"/>
      <c r="G1170" s="11" t="n"/>
      <c r="H1170" s="11" t="n"/>
      <c r="I1170" s="3" t="n"/>
      <c r="J1170" s="3">
        <f>IF(tblEjecucion[[#This Row],[orden]]="","",tblEjecucion[[#This Row],[orden]]&amp;IF(tblEjecucion[[#This Row],[operacion]]="","0010",tblEjecucion[[#This Row],[operacion]]))</f>
        <v/>
      </c>
    </row>
    <row r="1171">
      <c r="A1171" s="3" t="n"/>
      <c r="B1171" s="3" t="n"/>
      <c r="C1171" s="3" t="n"/>
      <c r="D1171" s="3" t="n"/>
      <c r="E1171" s="3" t="n"/>
      <c r="F1171" s="11" t="n"/>
      <c r="G1171" s="11" t="n"/>
      <c r="H1171" s="11" t="n"/>
      <c r="I1171" s="3" t="n"/>
      <c r="J1171" s="3">
        <f>IF(tblEjecucion[[#This Row],[orden]]="","",tblEjecucion[[#This Row],[orden]]&amp;IF(tblEjecucion[[#This Row],[operacion]]="","0010",tblEjecucion[[#This Row],[operacion]]))</f>
        <v/>
      </c>
    </row>
    <row r="1172">
      <c r="A1172" s="3" t="n"/>
      <c r="B1172" s="3" t="n"/>
      <c r="C1172" s="3" t="n"/>
      <c r="D1172" s="3" t="n"/>
      <c r="E1172" s="3" t="n"/>
      <c r="F1172" s="11" t="n"/>
      <c r="G1172" s="11" t="n"/>
      <c r="H1172" s="11" t="n"/>
      <c r="I1172" s="3" t="n"/>
      <c r="J1172" s="3">
        <f>IF(tblEjecucion[[#This Row],[orden]]="","",tblEjecucion[[#This Row],[orden]]&amp;IF(tblEjecucion[[#This Row],[operacion]]="","0010",tblEjecucion[[#This Row],[operacion]]))</f>
        <v/>
      </c>
    </row>
    <row r="1173">
      <c r="A1173" s="3" t="n"/>
      <c r="B1173" s="3" t="n"/>
      <c r="C1173" s="3" t="n"/>
      <c r="D1173" s="3" t="n"/>
      <c r="E1173" s="3" t="n"/>
      <c r="F1173" s="11" t="n"/>
      <c r="G1173" s="11" t="n"/>
      <c r="H1173" s="11" t="n"/>
      <c r="I1173" s="3" t="n"/>
      <c r="J1173" s="3">
        <f>IF(tblEjecucion[[#This Row],[orden]]="","",tblEjecucion[[#This Row],[orden]]&amp;IF(tblEjecucion[[#This Row],[operacion]]="","0010",tblEjecucion[[#This Row],[operacion]]))</f>
        <v/>
      </c>
    </row>
    <row r="1174">
      <c r="A1174" s="3" t="n"/>
      <c r="B1174" s="3" t="n"/>
      <c r="C1174" s="3" t="n"/>
      <c r="D1174" s="3" t="n"/>
      <c r="E1174" s="3" t="n"/>
      <c r="F1174" s="11" t="n"/>
      <c r="G1174" s="11" t="n"/>
      <c r="H1174" s="11" t="n"/>
      <c r="I1174" s="3" t="n"/>
      <c r="J1174" s="3">
        <f>IF(tblEjecucion[[#This Row],[orden]]="","",tblEjecucion[[#This Row],[orden]]&amp;IF(tblEjecucion[[#This Row],[operacion]]="","0010",tblEjecucion[[#This Row],[operacion]]))</f>
        <v/>
      </c>
    </row>
    <row r="1175">
      <c r="A1175" s="3" t="n"/>
      <c r="B1175" s="3" t="n"/>
      <c r="C1175" s="3" t="n"/>
      <c r="D1175" s="3" t="n"/>
      <c r="E1175" s="3" t="n"/>
      <c r="F1175" s="11" t="n"/>
      <c r="G1175" s="11" t="n"/>
      <c r="H1175" s="11" t="n"/>
      <c r="I1175" s="3" t="n"/>
      <c r="J1175" s="3">
        <f>IF(tblEjecucion[[#This Row],[orden]]="","",tblEjecucion[[#This Row],[orden]]&amp;IF(tblEjecucion[[#This Row],[operacion]]="","0010",tblEjecucion[[#This Row],[operacion]]))</f>
        <v/>
      </c>
    </row>
    <row r="1176">
      <c r="A1176" s="3" t="n"/>
      <c r="B1176" s="3" t="n"/>
      <c r="C1176" s="3" t="n"/>
      <c r="D1176" s="3" t="n"/>
      <c r="E1176" s="3" t="n"/>
      <c r="F1176" s="11" t="n"/>
      <c r="G1176" s="11" t="n"/>
      <c r="H1176" s="11" t="n"/>
      <c r="I1176" s="3" t="n"/>
      <c r="J1176" s="3">
        <f>IF(tblEjecucion[[#This Row],[orden]]="","",tblEjecucion[[#This Row],[orden]]&amp;IF(tblEjecucion[[#This Row],[operacion]]="","0010",tblEjecucion[[#This Row],[operacion]]))</f>
        <v/>
      </c>
    </row>
    <row r="1177">
      <c r="A1177" s="3" t="n"/>
      <c r="B1177" s="3" t="n"/>
      <c r="C1177" s="3" t="n"/>
      <c r="D1177" s="3" t="n"/>
      <c r="E1177" s="3" t="n"/>
      <c r="F1177" s="11" t="n"/>
      <c r="G1177" s="11" t="n"/>
      <c r="H1177" s="11" t="n"/>
      <c r="I1177" s="3" t="n"/>
      <c r="J1177" s="3">
        <f>IF(tblEjecucion[[#This Row],[orden]]="","",tblEjecucion[[#This Row],[orden]]&amp;IF(tblEjecucion[[#This Row],[operacion]]="","0010",tblEjecucion[[#This Row],[operacion]]))</f>
        <v/>
      </c>
    </row>
    <row r="1178">
      <c r="A1178" s="3" t="n"/>
      <c r="B1178" s="3" t="n"/>
      <c r="C1178" s="3" t="n"/>
      <c r="D1178" s="3" t="n"/>
      <c r="E1178" s="3" t="n"/>
      <c r="F1178" s="11" t="n"/>
      <c r="G1178" s="11" t="n"/>
      <c r="H1178" s="11" t="n"/>
      <c r="I1178" s="3" t="n"/>
      <c r="J1178" s="3">
        <f>IF(tblEjecucion[[#This Row],[orden]]="","",tblEjecucion[[#This Row],[orden]]&amp;IF(tblEjecucion[[#This Row],[operacion]]="","0010",tblEjecucion[[#This Row],[operacion]]))</f>
        <v/>
      </c>
    </row>
    <row r="1179">
      <c r="A1179" s="3" t="n"/>
      <c r="B1179" s="3" t="n"/>
      <c r="C1179" s="3" t="n"/>
      <c r="D1179" s="3" t="n"/>
      <c r="E1179" s="3" t="n"/>
      <c r="F1179" s="11" t="n"/>
      <c r="G1179" s="11" t="n"/>
      <c r="H1179" s="11" t="n"/>
      <c r="I1179" s="3" t="n"/>
      <c r="J1179" s="3">
        <f>IF(tblEjecucion[[#This Row],[orden]]="","",tblEjecucion[[#This Row],[orden]]&amp;IF(tblEjecucion[[#This Row],[operacion]]="","0010",tblEjecucion[[#This Row],[operacion]]))</f>
        <v/>
      </c>
    </row>
    <row r="1180">
      <c r="A1180" s="3" t="n"/>
      <c r="B1180" s="3" t="n"/>
      <c r="C1180" s="3" t="n"/>
      <c r="D1180" s="3" t="n"/>
      <c r="E1180" s="3" t="n"/>
      <c r="F1180" s="11" t="n"/>
      <c r="G1180" s="11" t="n"/>
      <c r="H1180" s="11" t="n"/>
      <c r="I1180" s="3" t="n"/>
      <c r="J1180" s="3">
        <f>IF(tblEjecucion[[#This Row],[orden]]="","",tblEjecucion[[#This Row],[orden]]&amp;IF(tblEjecucion[[#This Row],[operacion]]="","0010",tblEjecucion[[#This Row],[operacion]]))</f>
        <v/>
      </c>
    </row>
    <row r="1181">
      <c r="A1181" s="3" t="n"/>
      <c r="B1181" s="3" t="n"/>
      <c r="C1181" s="3" t="n"/>
      <c r="D1181" s="3" t="n"/>
      <c r="E1181" s="3" t="n"/>
      <c r="F1181" s="11" t="n"/>
      <c r="G1181" s="11" t="n"/>
      <c r="H1181" s="11" t="n"/>
      <c r="I1181" s="3" t="n"/>
      <c r="J1181" s="3">
        <f>IF(tblEjecucion[[#This Row],[orden]]="","",tblEjecucion[[#This Row],[orden]]&amp;IF(tblEjecucion[[#This Row],[operacion]]="","0010",tblEjecucion[[#This Row],[operacion]]))</f>
        <v/>
      </c>
    </row>
    <row r="1182">
      <c r="A1182" s="3" t="n"/>
      <c r="B1182" s="3" t="n"/>
      <c r="C1182" s="3" t="n"/>
      <c r="D1182" s="3" t="n"/>
      <c r="E1182" s="3" t="n"/>
      <c r="F1182" s="11" t="n"/>
      <c r="G1182" s="11" t="n"/>
      <c r="H1182" s="11" t="n"/>
      <c r="I1182" s="3" t="n"/>
      <c r="J1182" s="3">
        <f>IF(tblEjecucion[[#This Row],[orden]]="","",tblEjecucion[[#This Row],[orden]]&amp;IF(tblEjecucion[[#This Row],[operacion]]="","0010",tblEjecucion[[#This Row],[operacion]]))</f>
        <v/>
      </c>
    </row>
    <row r="1183">
      <c r="A1183" s="3" t="n"/>
      <c r="B1183" s="3" t="n"/>
      <c r="C1183" s="3" t="n"/>
      <c r="D1183" s="3" t="n"/>
      <c r="E1183" s="3" t="n"/>
      <c r="F1183" s="11" t="n"/>
      <c r="G1183" s="11" t="n"/>
      <c r="H1183" s="11" t="n"/>
      <c r="I1183" s="3" t="n"/>
      <c r="J1183" s="3">
        <f>IF(tblEjecucion[[#This Row],[orden]]="","",tblEjecucion[[#This Row],[orden]]&amp;IF(tblEjecucion[[#This Row],[operacion]]="","0010",tblEjecucion[[#This Row],[operacion]]))</f>
        <v/>
      </c>
    </row>
    <row r="1184">
      <c r="A1184" s="3" t="n"/>
      <c r="B1184" s="3" t="n"/>
      <c r="C1184" s="3" t="n"/>
      <c r="D1184" s="3" t="n"/>
      <c r="E1184" s="3" t="n"/>
      <c r="F1184" s="11" t="n"/>
      <c r="G1184" s="11" t="n"/>
      <c r="H1184" s="11" t="n"/>
      <c r="I1184" s="3" t="n"/>
      <c r="J1184" s="3">
        <f>IF(tblEjecucion[[#This Row],[orden]]="","",tblEjecucion[[#This Row],[orden]]&amp;IF(tblEjecucion[[#This Row],[operacion]]="","0010",tblEjecucion[[#This Row],[operacion]]))</f>
        <v/>
      </c>
    </row>
    <row r="1185">
      <c r="A1185" s="3" t="n"/>
      <c r="B1185" s="3" t="n"/>
      <c r="C1185" s="3" t="n"/>
      <c r="D1185" s="3" t="n"/>
      <c r="E1185" s="3" t="n"/>
      <c r="F1185" s="11" t="n"/>
      <c r="G1185" s="11" t="n"/>
      <c r="H1185" s="11" t="n"/>
      <c r="I1185" s="3" t="n"/>
      <c r="J1185" s="3">
        <f>IF(tblEjecucion[[#This Row],[orden]]="","",tblEjecucion[[#This Row],[orden]]&amp;IF(tblEjecucion[[#This Row],[operacion]]="","0010",tblEjecucion[[#This Row],[operacion]]))</f>
        <v/>
      </c>
    </row>
    <row r="1186">
      <c r="A1186" s="3" t="n"/>
      <c r="B1186" s="3" t="n"/>
      <c r="C1186" s="3" t="n"/>
      <c r="D1186" s="3" t="n"/>
      <c r="E1186" s="3" t="n"/>
      <c r="F1186" s="11" t="n"/>
      <c r="G1186" s="11" t="n"/>
      <c r="H1186" s="11" t="n"/>
      <c r="I1186" s="3" t="n"/>
      <c r="J1186" s="3">
        <f>IF(tblEjecucion[[#This Row],[orden]]="","",tblEjecucion[[#This Row],[orden]]&amp;IF(tblEjecucion[[#This Row],[operacion]]="","0010",tblEjecucion[[#This Row],[operacion]]))</f>
        <v/>
      </c>
    </row>
    <row r="1187">
      <c r="A1187" s="3" t="n"/>
      <c r="B1187" s="3" t="n"/>
      <c r="C1187" s="3" t="n"/>
      <c r="D1187" s="3" t="n"/>
      <c r="E1187" s="3" t="n"/>
      <c r="F1187" s="11" t="n"/>
      <c r="G1187" s="11" t="n"/>
      <c r="H1187" s="11" t="n"/>
      <c r="I1187" s="3" t="n"/>
      <c r="J1187" s="3">
        <f>IF(tblEjecucion[[#This Row],[orden]]="","",tblEjecucion[[#This Row],[orden]]&amp;IF(tblEjecucion[[#This Row],[operacion]]="","0010",tblEjecucion[[#This Row],[operacion]]))</f>
        <v/>
      </c>
    </row>
    <row r="1188">
      <c r="A1188" s="3" t="n"/>
      <c r="B1188" s="3" t="n"/>
      <c r="C1188" s="3" t="n"/>
      <c r="D1188" s="3" t="n"/>
      <c r="E1188" s="3" t="n"/>
      <c r="F1188" s="11" t="n"/>
      <c r="G1188" s="11" t="n"/>
      <c r="H1188" s="11" t="n"/>
      <c r="I1188" s="3" t="n"/>
      <c r="J1188" s="3">
        <f>IF(tblEjecucion[[#This Row],[orden]]="","",tblEjecucion[[#This Row],[orden]]&amp;IF(tblEjecucion[[#This Row],[operacion]]="","0010",tblEjecucion[[#This Row],[operacion]]))</f>
        <v/>
      </c>
    </row>
    <row r="1189">
      <c r="A1189" s="3" t="n"/>
      <c r="B1189" s="3" t="n"/>
      <c r="C1189" s="3" t="n"/>
      <c r="D1189" s="3" t="n"/>
      <c r="E1189" s="3" t="n"/>
      <c r="F1189" s="11" t="n"/>
      <c r="G1189" s="11" t="n"/>
      <c r="H1189" s="11" t="n"/>
      <c r="I1189" s="3" t="n"/>
      <c r="J1189" s="3">
        <f>IF(tblEjecucion[[#This Row],[orden]]="","",tblEjecucion[[#This Row],[orden]]&amp;IF(tblEjecucion[[#This Row],[operacion]]="","0010",tblEjecucion[[#This Row],[operacion]]))</f>
        <v/>
      </c>
    </row>
    <row r="1190">
      <c r="A1190" s="3" t="n"/>
      <c r="B1190" s="3" t="n"/>
      <c r="C1190" s="3" t="n"/>
      <c r="D1190" s="3" t="n"/>
      <c r="E1190" s="3" t="n"/>
      <c r="F1190" s="11" t="n"/>
      <c r="G1190" s="11" t="n"/>
      <c r="H1190" s="11" t="n"/>
      <c r="I1190" s="3" t="n"/>
      <c r="J1190" s="3">
        <f>IF(tblEjecucion[[#This Row],[orden]]="","",tblEjecucion[[#This Row],[orden]]&amp;IF(tblEjecucion[[#This Row],[operacion]]="","0010",tblEjecucion[[#This Row],[operacion]]))</f>
        <v/>
      </c>
    </row>
    <row r="1191">
      <c r="A1191" s="3" t="n"/>
      <c r="B1191" s="3" t="n"/>
      <c r="C1191" s="3" t="n"/>
      <c r="D1191" s="3" t="n"/>
      <c r="E1191" s="3" t="n"/>
      <c r="F1191" s="11" t="n"/>
      <c r="G1191" s="11" t="n"/>
      <c r="H1191" s="11" t="n"/>
      <c r="I1191" s="3" t="n"/>
      <c r="J1191" s="3">
        <f>IF(tblEjecucion[[#This Row],[orden]]="","",tblEjecucion[[#This Row],[orden]]&amp;IF(tblEjecucion[[#This Row],[operacion]]="","0010",tblEjecucion[[#This Row],[operacion]]))</f>
        <v/>
      </c>
    </row>
    <row r="1192">
      <c r="A1192" s="3" t="n"/>
      <c r="B1192" s="3" t="n"/>
      <c r="C1192" s="3" t="n"/>
      <c r="D1192" s="3" t="n"/>
      <c r="E1192" s="3" t="n"/>
      <c r="F1192" s="11" t="n"/>
      <c r="G1192" s="11" t="n"/>
      <c r="H1192" s="11" t="n"/>
      <c r="I1192" s="3" t="n"/>
      <c r="J1192" s="3">
        <f>IF(tblEjecucion[[#This Row],[orden]]="","",tblEjecucion[[#This Row],[orden]]&amp;IF(tblEjecucion[[#This Row],[operacion]]="","0010",tblEjecucion[[#This Row],[operacion]]))</f>
        <v/>
      </c>
    </row>
    <row r="1193">
      <c r="A1193" s="3" t="n"/>
      <c r="B1193" s="3" t="n"/>
      <c r="C1193" s="3" t="n"/>
      <c r="D1193" s="3" t="n"/>
      <c r="E1193" s="3" t="n"/>
      <c r="F1193" s="11" t="n"/>
      <c r="G1193" s="11" t="n"/>
      <c r="H1193" s="11" t="n"/>
      <c r="I1193" s="3" t="n"/>
      <c r="J1193" s="3">
        <f>IF(tblEjecucion[[#This Row],[orden]]="","",tblEjecucion[[#This Row],[orden]]&amp;IF(tblEjecucion[[#This Row],[operacion]]="","0010",tblEjecucion[[#This Row],[operacion]]))</f>
        <v/>
      </c>
    </row>
    <row r="1194">
      <c r="A1194" s="3" t="n"/>
      <c r="B1194" s="3" t="n"/>
      <c r="C1194" s="3" t="n"/>
      <c r="D1194" s="3" t="n"/>
      <c r="E1194" s="3" t="n"/>
      <c r="F1194" s="11" t="n"/>
      <c r="G1194" s="11" t="n"/>
      <c r="H1194" s="11" t="n"/>
      <c r="I1194" s="3" t="n"/>
      <c r="J1194" s="3">
        <f>IF(tblEjecucion[[#This Row],[orden]]="","",tblEjecucion[[#This Row],[orden]]&amp;IF(tblEjecucion[[#This Row],[operacion]]="","0010",tblEjecucion[[#This Row],[operacion]]))</f>
        <v/>
      </c>
    </row>
    <row r="1195">
      <c r="A1195" s="3" t="n"/>
      <c r="B1195" s="3" t="n"/>
      <c r="C1195" s="3" t="n"/>
      <c r="D1195" s="3" t="n"/>
      <c r="E1195" s="3" t="n"/>
      <c r="F1195" s="11" t="n"/>
      <c r="G1195" s="11" t="n"/>
      <c r="H1195" s="11" t="n"/>
      <c r="I1195" s="3" t="n"/>
      <c r="J1195" s="3">
        <f>IF(tblEjecucion[[#This Row],[orden]]="","",tblEjecucion[[#This Row],[orden]]&amp;IF(tblEjecucion[[#This Row],[operacion]]="","0010",tblEjecucion[[#This Row],[operacion]]))</f>
        <v/>
      </c>
    </row>
    <row r="1196">
      <c r="A1196" s="3" t="n"/>
      <c r="B1196" s="3" t="n"/>
      <c r="C1196" s="3" t="n"/>
      <c r="D1196" s="3" t="n"/>
      <c r="E1196" s="3" t="n"/>
      <c r="F1196" s="11" t="n"/>
      <c r="G1196" s="11" t="n"/>
      <c r="H1196" s="11" t="n"/>
      <c r="I1196" s="3" t="n"/>
      <c r="J1196" s="3">
        <f>IF(tblEjecucion[[#This Row],[orden]]="","",tblEjecucion[[#This Row],[orden]]&amp;IF(tblEjecucion[[#This Row],[operacion]]="","0010",tblEjecucion[[#This Row],[operacion]]))</f>
        <v/>
      </c>
    </row>
    <row r="1197">
      <c r="A1197" s="3" t="n"/>
      <c r="B1197" s="3" t="n"/>
      <c r="C1197" s="3" t="n"/>
      <c r="D1197" s="3" t="n"/>
      <c r="E1197" s="3" t="n"/>
      <c r="F1197" s="11" t="n"/>
      <c r="G1197" s="11" t="n"/>
      <c r="H1197" s="11" t="n"/>
      <c r="I1197" s="3" t="n"/>
      <c r="J1197" s="3">
        <f>IF(tblEjecucion[[#This Row],[orden]]="","",tblEjecucion[[#This Row],[orden]]&amp;IF(tblEjecucion[[#This Row],[operacion]]="","0010",tblEjecucion[[#This Row],[operacion]]))</f>
        <v/>
      </c>
    </row>
    <row r="1198">
      <c r="A1198" s="3" t="n"/>
      <c r="B1198" s="3" t="n"/>
      <c r="C1198" s="3" t="n"/>
      <c r="D1198" s="3" t="n"/>
      <c r="E1198" s="3" t="n"/>
      <c r="F1198" s="11" t="n"/>
      <c r="G1198" s="11" t="n"/>
      <c r="H1198" s="11" t="n"/>
      <c r="I1198" s="3" t="n"/>
      <c r="J1198" s="3">
        <f>IF(tblEjecucion[[#This Row],[orden]]="","",tblEjecucion[[#This Row],[orden]]&amp;IF(tblEjecucion[[#This Row],[operacion]]="","0010",tblEjecucion[[#This Row],[operacion]]))</f>
        <v/>
      </c>
    </row>
    <row r="1199">
      <c r="A1199" s="3" t="n"/>
      <c r="B1199" s="3" t="n"/>
      <c r="C1199" s="3" t="n"/>
      <c r="D1199" s="3" t="n"/>
      <c r="E1199" s="3" t="n"/>
      <c r="F1199" s="11" t="n"/>
      <c r="G1199" s="11" t="n"/>
      <c r="H1199" s="11" t="n"/>
      <c r="I1199" s="3" t="n"/>
      <c r="J1199" s="3">
        <f>IF(tblEjecucion[[#This Row],[orden]]="","",tblEjecucion[[#This Row],[orden]]&amp;IF(tblEjecucion[[#This Row],[operacion]]="","0010",tblEjecucion[[#This Row],[operacion]]))</f>
        <v/>
      </c>
    </row>
    <row r="1200">
      <c r="A1200" s="3" t="n"/>
      <c r="B1200" s="3" t="n"/>
      <c r="C1200" s="3" t="n"/>
      <c r="D1200" s="3" t="n"/>
      <c r="E1200" s="3" t="n"/>
      <c r="F1200" s="11" t="n"/>
      <c r="G1200" s="11" t="n"/>
      <c r="H1200" s="11" t="n"/>
      <c r="I1200" s="3" t="n"/>
      <c r="J1200" s="3">
        <f>IF(tblEjecucion[[#This Row],[orden]]="","",tblEjecucion[[#This Row],[orden]]&amp;IF(tblEjecucion[[#This Row],[operacion]]="","0010",tblEjecucion[[#This Row],[operacion]]))</f>
        <v/>
      </c>
    </row>
    <row r="1201">
      <c r="A1201" s="3" t="n"/>
      <c r="B1201" s="3" t="n"/>
      <c r="C1201" s="3" t="n"/>
      <c r="D1201" s="3" t="n"/>
      <c r="E1201" s="3" t="n"/>
      <c r="F1201" s="11" t="n"/>
      <c r="G1201" s="11" t="n"/>
      <c r="H1201" s="11" t="n"/>
      <c r="I1201" s="3" t="n"/>
      <c r="J1201" s="3">
        <f>IF(tblEjecucion[[#This Row],[orden]]="","",tblEjecucion[[#This Row],[orden]]&amp;IF(tblEjecucion[[#This Row],[operacion]]="","0010",tblEjecucion[[#This Row],[operacion]]))</f>
        <v/>
      </c>
    </row>
    <row r="1202">
      <c r="A1202" s="3" t="n"/>
      <c r="B1202" s="3" t="n"/>
      <c r="C1202" s="3" t="n"/>
      <c r="D1202" s="3" t="n"/>
      <c r="E1202" s="3" t="n"/>
      <c r="F1202" s="11" t="n"/>
      <c r="G1202" s="11" t="n"/>
      <c r="H1202" s="11" t="n"/>
      <c r="I1202" s="3" t="n"/>
      <c r="J1202" s="3">
        <f>IF(tblEjecucion[[#This Row],[orden]]="","",tblEjecucion[[#This Row],[orden]]&amp;IF(tblEjecucion[[#This Row],[operacion]]="","0010",tblEjecucion[[#This Row],[operacion]]))</f>
        <v/>
      </c>
    </row>
    <row r="1203">
      <c r="A1203" s="3" t="n"/>
      <c r="B1203" s="3" t="n"/>
      <c r="C1203" s="3" t="n"/>
      <c r="D1203" s="3" t="n"/>
      <c r="E1203" s="3" t="n"/>
      <c r="F1203" s="11" t="n"/>
      <c r="G1203" s="11" t="n"/>
      <c r="H1203" s="11" t="n"/>
      <c r="I1203" s="3" t="n"/>
      <c r="J1203" s="3">
        <f>IF(tblEjecucion[[#This Row],[orden]]="","",tblEjecucion[[#This Row],[orden]]&amp;IF(tblEjecucion[[#This Row],[operacion]]="","0010",tblEjecucion[[#This Row],[operacion]]))</f>
        <v/>
      </c>
    </row>
    <row r="1204">
      <c r="A1204" s="3" t="n"/>
      <c r="B1204" s="3" t="n"/>
      <c r="C1204" s="3" t="n"/>
      <c r="D1204" s="3" t="n"/>
      <c r="E1204" s="3" t="n"/>
      <c r="F1204" s="11" t="n"/>
      <c r="G1204" s="11" t="n"/>
      <c r="H1204" s="11" t="n"/>
      <c r="I1204" s="3" t="n"/>
      <c r="J1204" s="3">
        <f>IF(tblEjecucion[[#This Row],[orden]]="","",tblEjecucion[[#This Row],[orden]]&amp;IF(tblEjecucion[[#This Row],[operacion]]="","0010",tblEjecucion[[#This Row],[operacion]]))</f>
        <v/>
      </c>
    </row>
    <row r="1205">
      <c r="A1205" s="3" t="n"/>
      <c r="B1205" s="3" t="n"/>
      <c r="C1205" s="3" t="n"/>
      <c r="D1205" s="3" t="n"/>
      <c r="E1205" s="3" t="n"/>
      <c r="F1205" s="11" t="n"/>
      <c r="G1205" s="11" t="n"/>
      <c r="H1205" s="11" t="n"/>
      <c r="I1205" s="3" t="n"/>
      <c r="J1205" s="3">
        <f>IF(tblEjecucion[[#This Row],[orden]]="","",tblEjecucion[[#This Row],[orden]]&amp;IF(tblEjecucion[[#This Row],[operacion]]="","0010",tblEjecucion[[#This Row],[operacion]]))</f>
        <v/>
      </c>
    </row>
    <row r="1206">
      <c r="A1206" s="3" t="n"/>
      <c r="B1206" s="3" t="n"/>
      <c r="C1206" s="3" t="n"/>
      <c r="D1206" s="3" t="n"/>
      <c r="E1206" s="3" t="n"/>
      <c r="F1206" s="11" t="n"/>
      <c r="G1206" s="11" t="n"/>
      <c r="H1206" s="11" t="n"/>
      <c r="I1206" s="3" t="n"/>
      <c r="J1206" s="3">
        <f>IF(tblEjecucion[[#This Row],[orden]]="","",tblEjecucion[[#This Row],[orden]]&amp;IF(tblEjecucion[[#This Row],[operacion]]="","0010",tblEjecucion[[#This Row],[operacion]]))</f>
        <v/>
      </c>
    </row>
    <row r="1207">
      <c r="A1207" s="3" t="n"/>
      <c r="B1207" s="3" t="n"/>
      <c r="C1207" s="3" t="n"/>
      <c r="D1207" s="3" t="n"/>
      <c r="E1207" s="3" t="n"/>
      <c r="F1207" s="11" t="n"/>
      <c r="G1207" s="11" t="n"/>
      <c r="H1207" s="11" t="n"/>
      <c r="I1207" s="3" t="n"/>
      <c r="J1207" s="3">
        <f>IF(tblEjecucion[[#This Row],[orden]]="","",tblEjecucion[[#This Row],[orden]]&amp;IF(tblEjecucion[[#This Row],[operacion]]="","0010",tblEjecucion[[#This Row],[operacion]]))</f>
        <v/>
      </c>
    </row>
    <row r="1208">
      <c r="A1208" s="3" t="n"/>
      <c r="B1208" s="3" t="n"/>
      <c r="C1208" s="3" t="n"/>
      <c r="D1208" s="3" t="n"/>
      <c r="E1208" s="3" t="n"/>
      <c r="F1208" s="11" t="n"/>
      <c r="G1208" s="11" t="n"/>
      <c r="H1208" s="11" t="n"/>
      <c r="I1208" s="3" t="n"/>
      <c r="J1208" s="3">
        <f>IF(tblEjecucion[[#This Row],[orden]]="","",tblEjecucion[[#This Row],[orden]]&amp;IF(tblEjecucion[[#This Row],[operacion]]="","0010",tblEjecucion[[#This Row],[operacion]]))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Q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4" customWidth="1" min="29" max="29"/>
    <col width="12" customWidth="1" min="30" max="30"/>
    <col width="14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5" customWidth="1" min="43" max="43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horas_efectivas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es_habil</t>
        </is>
      </c>
      <c r="T3" s="5" t="inlineStr">
        <is>
          <t>clasificacion</t>
        </is>
      </c>
      <c r="U3" s="5" t="inlineStr">
        <is>
          <t>linea</t>
        </is>
      </c>
      <c r="V3" s="5" t="inlineStr">
        <is>
          <t>area</t>
        </is>
      </c>
      <c r="W3" s="5" t="inlineStr">
        <is>
          <t>sub_area</t>
        </is>
      </c>
      <c r="X3" s="5" t="inlineStr">
        <is>
          <t>coordinador</t>
        </is>
      </c>
      <c r="Y3" s="5" t="inlineStr">
        <is>
          <t>especialidad</t>
        </is>
      </c>
      <c r="Z3" s="5" t="inlineStr">
        <is>
          <t>actividad</t>
        </is>
      </c>
      <c r="AA3" s="5" t="inlineStr">
        <is>
          <t>backlog_dias</t>
        </is>
      </c>
      <c r="AB3" s="5" t="inlineStr">
        <is>
          <t>backlog_habiles</t>
        </is>
      </c>
      <c r="AC3" s="5" t="inlineStr">
        <is>
          <t>estado_backlog</t>
        </is>
      </c>
      <c r="AD3" s="5" t="inlineStr">
        <is>
          <t>en_plan</t>
        </is>
      </c>
      <c r="AE3" s="5" t="inlineStr">
        <is>
          <t>tecnico_asignado</t>
        </is>
      </c>
      <c r="AF3" s="5" t="inlineStr">
        <is>
          <t>turno_asignado</t>
        </is>
      </c>
      <c r="AG3" s="5" t="inlineStr">
        <is>
          <t>HHA</t>
        </is>
      </c>
      <c r="AH3" s="5" t="inlineStr">
        <is>
          <t>HHD</t>
        </is>
      </c>
      <c r="AI3" s="5" t="inlineStr">
        <is>
          <t>costo_servicio</t>
        </is>
      </c>
      <c r="AJ3" s="5" t="inlineStr">
        <is>
          <t>costo_materiales</t>
        </is>
      </c>
      <c r="AK3" s="5" t="inlineStr">
        <is>
          <t>costo_total</t>
        </is>
      </c>
      <c r="AL3" s="5" t="inlineStr">
        <is>
          <t>permiso_requerido</t>
        </is>
      </c>
      <c r="AM3" s="5" t="inlineStr">
        <is>
          <t>bloqueo_energia</t>
        </is>
      </c>
      <c r="AN3" s="5" t="inlineStr">
        <is>
          <t>link_checklist</t>
        </is>
      </c>
      <c r="AO3" s="5" t="inlineStr">
        <is>
          <t>abrir_checklist</t>
        </is>
      </c>
      <c r="AP3" s="5" t="inlineStr">
        <is>
          <t>observaciones</t>
        </is>
      </c>
      <c r="AQ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2" t="n">
        <v>46223</v>
      </c>
      <c r="K4" s="3" t="n">
        <v>10</v>
      </c>
      <c r="L4" s="11" t="n">
        <v>250</v>
      </c>
      <c r="M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" s="3">
        <f>IF(tblOrdenes[[#This Row],[fecha_inicio]]="","",YEAR(tblOrdenes[[#This Row],[fecha_inicio]]))</f>
        <v/>
      </c>
      <c r="Q4" s="3">
        <f>IF(tblOrdenes[[#This Row],[fecha_inicio]]="","",MONTH(tblOrdenes[[#This Row],[fecha_inicio]]))</f>
        <v/>
      </c>
      <c r="R4" s="3">
        <f>IF(tblOrdenes[[#This Row],[fecha_inicio]]="","",INDEX(lista_dias,WEEKDAY(tblOrdenes[[#This Row],[fecha_inicio]],2)))</f>
        <v/>
      </c>
      <c r="S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" s="3">
        <f>IF(tblOrdenes[[#This Row],[tipo_ot]]="","",_xlfn.XLOOKUP(tblOrdenes[[#This Row],[tipo_ot]],tblTiposOT[codigo],tblTiposOT[clasificacion],"sin_clasificar"))</f>
        <v/>
      </c>
      <c r="U4" s="3">
        <f>IF(tblOrdenes[[#This Row],[centro_costo]]="","",_xlfn.XLOOKUP(tblOrdenes[[#This Row],[centro_costo]],tblCECO[codigo],tblCECO[linea],"(sin catálogo)"))</f>
        <v/>
      </c>
      <c r="V4" s="3">
        <f>IF(tblOrdenes[[#This Row],[centro_costo]]="","",_xlfn.XLOOKUP(tblOrdenes[[#This Row],[centro_costo]],tblCECO[codigo],tblCECO[area],"(sin catálogo)"))</f>
        <v/>
      </c>
      <c r="W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" s="3">
        <f>IF(tblOrdenes[[#This Row],[centro_costo]]="","",_xlfn.XLOOKUP(tblOrdenes[[#This Row],[centro_costo]],tblCECO[codigo],tblCECO[coordinador],"(sin catálogo)"))</f>
        <v/>
      </c>
      <c r="Y4" s="3">
        <f>IF(tblOrdenes[[#This Row],[puesto_trabajo]]="","",_xlfn.XLOOKUP(tblOrdenes[[#This Row],[puesto_trabajo]],tblPuestos[codigo],tblPuestos[especialidad],"(sin catálogo)"))</f>
        <v/>
      </c>
      <c r="Z4" s="3">
        <f>IF(tblOrdenes[[#This Row],[cod_actividad]]="","",_xlfn.XLOOKUP(tblOrdenes[[#This Row],[cod_actividad]],tblActividades[codigo],tblActividades[descripcion],"(sin catálogo)"))</f>
        <v/>
      </c>
      <c r="AA4" s="13">
        <f>IF(tblOrdenes[[#This Row],[fecha_inicio]]="","",TODAY()-tblOrdenes[[#This Row],[fecha_inicio]])</f>
        <v/>
      </c>
      <c r="AB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" s="3">
        <f>IF(tblOrdenes[[#This Row],[backlog_habiles]]="","",IF(tblOrdenes[[#This Row],[backlog_habiles]]&lt;0,"FUTURO",IF(tblOrdenes[[#This Row],[backlog_habiles]]&gt;p_dias_backlog_max,"BACKLOG","MES CORRIENTE")))</f>
        <v/>
      </c>
      <c r="AD4" s="3">
        <f>IF(tblOrdenes[[#This Row],[backlog_habiles]]="",FALSE,AND(tblOrdenes[[#This Row],[backlog_habiles]]&gt;p_dias_backlog_min,tblOrdenes[[#This Row],[backlog_habiles]]&lt;=p_dias_backlog_max))</f>
        <v/>
      </c>
      <c r="AE4" s="6" t="inlineStr">
        <is>
          <t>Técnico 01</t>
        </is>
      </c>
      <c r="AF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" s="11">
        <f>IF(tblOrdenes[[#This Row],[orden]]="","",_xlfn.XLOOKUP(tblOrdenes[[#This Row],[id_operacion]],tblEjecucion[id_operacion],tblEjecucion[precio],0))</f>
        <v/>
      </c>
      <c r="AJ4" s="11">
        <f>IF(tblOrdenes[[#This Row],[orden]]="","",MAX(0,_xlfn.XLOOKUP(tblOrdenes[[#This Row],[id_operacion]],tblEjecucion[id_operacion],tblEjecucion[costo_plan_total],0)-tblOrdenes[[#This Row],[costo_servicio]]))</f>
        <v/>
      </c>
      <c r="AK4" s="11">
        <f>IF(tblOrdenes[[#This Row],[orden]]="","",tblOrdenes[[#This Row],[costo_servicio]]+tblOrdenes[[#This Row],[costo_materiales]])</f>
        <v/>
      </c>
      <c r="AL4" s="6" t="inlineStr"/>
      <c r="AM4" s="6" t="inlineStr"/>
      <c r="AN4" s="6" t="inlineStr">
        <is>
          <t>ACT-02.pdf</t>
        </is>
      </c>
      <c r="AO4" s="3">
        <f>IF(tblOrdenes[[#This Row],[link_checklist]]="","",HYPERLINK(p_ruta_base_checklists&amp;tblOrdenes[[#This Row],[link_checklist]],"abrir"))</f>
        <v/>
      </c>
      <c r="AP4" s="6" t="inlineStr"/>
      <c r="AQ4" s="3">
        <f>IF(tblOrdenes[[#This Row],[orden]]="","",tblOrdenes[[#This Row],[orden]]&amp;IF(tblOrdenes[[#This Row],[operacion]]="","0010",tblOrdenes[[#This Row],[operacion]]))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2" t="n">
        <v>46224</v>
      </c>
      <c r="K5" s="3" t="n">
        <v>8</v>
      </c>
      <c r="L5" s="11" t="n">
        <v>200</v>
      </c>
      <c r="M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" s="3">
        <f>IF(tblOrdenes[[#This Row],[fecha_inicio]]="","",YEAR(tblOrdenes[[#This Row],[fecha_inicio]]))</f>
        <v/>
      </c>
      <c r="Q5" s="3">
        <f>IF(tblOrdenes[[#This Row],[fecha_inicio]]="","",MONTH(tblOrdenes[[#This Row],[fecha_inicio]]))</f>
        <v/>
      </c>
      <c r="R5" s="3">
        <f>IF(tblOrdenes[[#This Row],[fecha_inicio]]="","",INDEX(lista_dias,WEEKDAY(tblOrdenes[[#This Row],[fecha_inicio]],2)))</f>
        <v/>
      </c>
      <c r="S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" s="3">
        <f>IF(tblOrdenes[[#This Row],[tipo_ot]]="","",_xlfn.XLOOKUP(tblOrdenes[[#This Row],[tipo_ot]],tblTiposOT[codigo],tblTiposOT[clasificacion],"sin_clasificar"))</f>
        <v/>
      </c>
      <c r="U5" s="3">
        <f>IF(tblOrdenes[[#This Row],[centro_costo]]="","",_xlfn.XLOOKUP(tblOrdenes[[#This Row],[centro_costo]],tblCECO[codigo],tblCECO[linea],"(sin catálogo)"))</f>
        <v/>
      </c>
      <c r="V5" s="3">
        <f>IF(tblOrdenes[[#This Row],[centro_costo]]="","",_xlfn.XLOOKUP(tblOrdenes[[#This Row],[centro_costo]],tblCECO[codigo],tblCECO[area],"(sin catálogo)"))</f>
        <v/>
      </c>
      <c r="W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" s="3">
        <f>IF(tblOrdenes[[#This Row],[centro_costo]]="","",_xlfn.XLOOKUP(tblOrdenes[[#This Row],[centro_costo]],tblCECO[codigo],tblCECO[coordinador],"(sin catálogo)"))</f>
        <v/>
      </c>
      <c r="Y5" s="3">
        <f>IF(tblOrdenes[[#This Row],[puesto_trabajo]]="","",_xlfn.XLOOKUP(tblOrdenes[[#This Row],[puesto_trabajo]],tblPuestos[codigo],tblPuestos[especialidad],"(sin catálogo)"))</f>
        <v/>
      </c>
      <c r="Z5" s="3">
        <f>IF(tblOrdenes[[#This Row],[cod_actividad]]="","",_xlfn.XLOOKUP(tblOrdenes[[#This Row],[cod_actividad]],tblActividades[codigo],tblActividades[descripcion],"(sin catálogo)"))</f>
        <v/>
      </c>
      <c r="AA5" s="13">
        <f>IF(tblOrdenes[[#This Row],[fecha_inicio]]="","",TODAY()-tblOrdenes[[#This Row],[fecha_inicio]])</f>
        <v/>
      </c>
      <c r="AB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" s="3">
        <f>IF(tblOrdenes[[#This Row],[backlog_habiles]]="","",IF(tblOrdenes[[#This Row],[backlog_habiles]]&lt;0,"FUTURO",IF(tblOrdenes[[#This Row],[backlog_habiles]]&gt;p_dias_backlog_max,"BACKLOG","MES CORRIENTE")))</f>
        <v/>
      </c>
      <c r="AD5" s="3">
        <f>IF(tblOrdenes[[#This Row],[backlog_habiles]]="",FALSE,AND(tblOrdenes[[#This Row],[backlog_habiles]]&gt;p_dias_backlog_min,tblOrdenes[[#This Row],[backlog_habiles]]&lt;=p_dias_backlog_max))</f>
        <v/>
      </c>
      <c r="AE5" s="6" t="inlineStr">
        <is>
          <t>Técnico 02</t>
        </is>
      </c>
      <c r="AF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" s="11">
        <f>IF(tblOrdenes[[#This Row],[orden]]="","",_xlfn.XLOOKUP(tblOrdenes[[#This Row],[id_operacion]],tblEjecucion[id_operacion],tblEjecucion[precio],0))</f>
        <v/>
      </c>
      <c r="AJ5" s="11">
        <f>IF(tblOrdenes[[#This Row],[orden]]="","",MAX(0,_xlfn.XLOOKUP(tblOrdenes[[#This Row],[id_operacion]],tblEjecucion[id_operacion],tblEjecucion[costo_plan_total],0)-tblOrdenes[[#This Row],[costo_servicio]]))</f>
        <v/>
      </c>
      <c r="AK5" s="11">
        <f>IF(tblOrdenes[[#This Row],[orden]]="","",tblOrdenes[[#This Row],[costo_servicio]]+tblOrdenes[[#This Row],[costo_materiales]])</f>
        <v/>
      </c>
      <c r="AL5" s="6" t="inlineStr"/>
      <c r="AM5" s="6" t="inlineStr"/>
      <c r="AN5" s="6" t="inlineStr">
        <is>
          <t>ACT-04.pdf</t>
        </is>
      </c>
      <c r="AO5" s="3">
        <f>IF(tblOrdenes[[#This Row],[link_checklist]]="","",HYPERLINK(p_ruta_base_checklists&amp;tblOrdenes[[#This Row],[link_checklist]],"abrir"))</f>
        <v/>
      </c>
      <c r="AP5" s="6" t="inlineStr"/>
      <c r="AQ5" s="3">
        <f>IF(tblOrdenes[[#This Row],[orden]]="","",tblOrdenes[[#This Row],[orden]]&amp;IF(tblOrdenes[[#This Row],[operacion]]="","0010",tblOrdenes[[#This Row],[operacion]]))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2" t="n">
        <v>46225</v>
      </c>
      <c r="K6" s="3" t="n">
        <v>6</v>
      </c>
      <c r="L6" s="11" t="n">
        <v>150</v>
      </c>
      <c r="M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" s="3">
        <f>IF(tblOrdenes[[#This Row],[fecha_inicio]]="","",YEAR(tblOrdenes[[#This Row],[fecha_inicio]]))</f>
        <v/>
      </c>
      <c r="Q6" s="3">
        <f>IF(tblOrdenes[[#This Row],[fecha_inicio]]="","",MONTH(tblOrdenes[[#This Row],[fecha_inicio]]))</f>
        <v/>
      </c>
      <c r="R6" s="3">
        <f>IF(tblOrdenes[[#This Row],[fecha_inicio]]="","",INDEX(lista_dias,WEEKDAY(tblOrdenes[[#This Row],[fecha_inicio]],2)))</f>
        <v/>
      </c>
      <c r="S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" s="3">
        <f>IF(tblOrdenes[[#This Row],[tipo_ot]]="","",_xlfn.XLOOKUP(tblOrdenes[[#This Row],[tipo_ot]],tblTiposOT[codigo],tblTiposOT[clasificacion],"sin_clasificar"))</f>
        <v/>
      </c>
      <c r="U6" s="3">
        <f>IF(tblOrdenes[[#This Row],[centro_costo]]="","",_xlfn.XLOOKUP(tblOrdenes[[#This Row],[centro_costo]],tblCECO[codigo],tblCECO[linea],"(sin catálogo)"))</f>
        <v/>
      </c>
      <c r="V6" s="3">
        <f>IF(tblOrdenes[[#This Row],[centro_costo]]="","",_xlfn.XLOOKUP(tblOrdenes[[#This Row],[centro_costo]],tblCECO[codigo],tblCECO[area],"(sin catálogo)"))</f>
        <v/>
      </c>
      <c r="W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" s="3">
        <f>IF(tblOrdenes[[#This Row],[centro_costo]]="","",_xlfn.XLOOKUP(tblOrdenes[[#This Row],[centro_costo]],tblCECO[codigo],tblCECO[coordinador],"(sin catálogo)"))</f>
        <v/>
      </c>
      <c r="Y6" s="3">
        <f>IF(tblOrdenes[[#This Row],[puesto_trabajo]]="","",_xlfn.XLOOKUP(tblOrdenes[[#This Row],[puesto_trabajo]],tblPuestos[codigo],tblPuestos[especialidad],"(sin catálogo)"))</f>
        <v/>
      </c>
      <c r="Z6" s="3">
        <f>IF(tblOrdenes[[#This Row],[cod_actividad]]="","",_xlfn.XLOOKUP(tblOrdenes[[#This Row],[cod_actividad]],tblActividades[codigo],tblActividades[descripcion],"(sin catálogo)"))</f>
        <v/>
      </c>
      <c r="AA6" s="13">
        <f>IF(tblOrdenes[[#This Row],[fecha_inicio]]="","",TODAY()-tblOrdenes[[#This Row],[fecha_inicio]])</f>
        <v/>
      </c>
      <c r="AB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" s="3">
        <f>IF(tblOrdenes[[#This Row],[backlog_habiles]]="","",IF(tblOrdenes[[#This Row],[backlog_habiles]]&lt;0,"FUTURO",IF(tblOrdenes[[#This Row],[backlog_habiles]]&gt;p_dias_backlog_max,"BACKLOG","MES CORRIENTE")))</f>
        <v/>
      </c>
      <c r="AD6" s="3">
        <f>IF(tblOrdenes[[#This Row],[backlog_habiles]]="",FALSE,AND(tblOrdenes[[#This Row],[backlog_habiles]]&gt;p_dias_backlog_min,tblOrdenes[[#This Row],[backlog_habiles]]&lt;=p_dias_backlog_max))</f>
        <v/>
      </c>
      <c r="AE6" s="6" t="inlineStr">
        <is>
          <t>Técnico 03</t>
        </is>
      </c>
      <c r="AF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" s="11">
        <f>IF(tblOrdenes[[#This Row],[orden]]="","",_xlfn.XLOOKUP(tblOrdenes[[#This Row],[id_operacion]],tblEjecucion[id_operacion],tblEjecucion[precio],0))</f>
        <v/>
      </c>
      <c r="AJ6" s="11">
        <f>IF(tblOrdenes[[#This Row],[orden]]="","",MAX(0,_xlfn.XLOOKUP(tblOrdenes[[#This Row],[id_operacion]],tblEjecucion[id_operacion],tblEjecucion[costo_plan_total],0)-tblOrdenes[[#This Row],[costo_servicio]]))</f>
        <v/>
      </c>
      <c r="AK6" s="11">
        <f>IF(tblOrdenes[[#This Row],[orden]]="","",tblOrdenes[[#This Row],[costo_servicio]]+tblOrdenes[[#This Row],[costo_materiales]])</f>
        <v/>
      </c>
      <c r="AL6" s="6" t="inlineStr"/>
      <c r="AM6" s="6" t="inlineStr"/>
      <c r="AN6" s="6" t="inlineStr">
        <is>
          <t>ACT-01.pdf</t>
        </is>
      </c>
      <c r="AO6" s="3">
        <f>IF(tblOrdenes[[#This Row],[link_checklist]]="","",HYPERLINK(p_ruta_base_checklists&amp;tblOrdenes[[#This Row],[link_checklist]],"abrir"))</f>
        <v/>
      </c>
      <c r="AP6" s="6" t="inlineStr"/>
      <c r="AQ6" s="3">
        <f>IF(tblOrdenes[[#This Row],[orden]]="","",tblOrdenes[[#This Row],[orden]]&amp;IF(tblOrdenes[[#This Row],[operacion]]="","0010",tblOrdenes[[#This Row],[operacion]]))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2" t="n">
        <v>46226</v>
      </c>
      <c r="K7" s="3" t="n">
        <v>10</v>
      </c>
      <c r="L7" s="11" t="n">
        <v>250</v>
      </c>
      <c r="M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" s="3">
        <f>IF(tblOrdenes[[#This Row],[fecha_inicio]]="","",YEAR(tblOrdenes[[#This Row],[fecha_inicio]]))</f>
        <v/>
      </c>
      <c r="Q7" s="3">
        <f>IF(tblOrdenes[[#This Row],[fecha_inicio]]="","",MONTH(tblOrdenes[[#This Row],[fecha_inicio]]))</f>
        <v/>
      </c>
      <c r="R7" s="3">
        <f>IF(tblOrdenes[[#This Row],[fecha_inicio]]="","",INDEX(lista_dias,WEEKDAY(tblOrdenes[[#This Row],[fecha_inicio]],2)))</f>
        <v/>
      </c>
      <c r="S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" s="3">
        <f>IF(tblOrdenes[[#This Row],[tipo_ot]]="","",_xlfn.XLOOKUP(tblOrdenes[[#This Row],[tipo_ot]],tblTiposOT[codigo],tblTiposOT[clasificacion],"sin_clasificar"))</f>
        <v/>
      </c>
      <c r="U7" s="3">
        <f>IF(tblOrdenes[[#This Row],[centro_costo]]="","",_xlfn.XLOOKUP(tblOrdenes[[#This Row],[centro_costo]],tblCECO[codigo],tblCECO[linea],"(sin catálogo)"))</f>
        <v/>
      </c>
      <c r="V7" s="3">
        <f>IF(tblOrdenes[[#This Row],[centro_costo]]="","",_xlfn.XLOOKUP(tblOrdenes[[#This Row],[centro_costo]],tblCECO[codigo],tblCECO[area],"(sin catálogo)"))</f>
        <v/>
      </c>
      <c r="W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" s="3">
        <f>IF(tblOrdenes[[#This Row],[centro_costo]]="","",_xlfn.XLOOKUP(tblOrdenes[[#This Row],[centro_costo]],tblCECO[codigo],tblCECO[coordinador],"(sin catálogo)"))</f>
        <v/>
      </c>
      <c r="Y7" s="3">
        <f>IF(tblOrdenes[[#This Row],[puesto_trabajo]]="","",_xlfn.XLOOKUP(tblOrdenes[[#This Row],[puesto_trabajo]],tblPuestos[codigo],tblPuestos[especialidad],"(sin catálogo)"))</f>
        <v/>
      </c>
      <c r="Z7" s="3">
        <f>IF(tblOrdenes[[#This Row],[cod_actividad]]="","",_xlfn.XLOOKUP(tblOrdenes[[#This Row],[cod_actividad]],tblActividades[codigo],tblActividades[descripcion],"(sin catálogo)"))</f>
        <v/>
      </c>
      <c r="AA7" s="13">
        <f>IF(tblOrdenes[[#This Row],[fecha_inicio]]="","",TODAY()-tblOrdenes[[#This Row],[fecha_inicio]])</f>
        <v/>
      </c>
      <c r="AB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" s="3">
        <f>IF(tblOrdenes[[#This Row],[backlog_habiles]]="","",IF(tblOrdenes[[#This Row],[backlog_habiles]]&lt;0,"FUTURO",IF(tblOrdenes[[#This Row],[backlog_habiles]]&gt;p_dias_backlog_max,"BACKLOG","MES CORRIENTE")))</f>
        <v/>
      </c>
      <c r="AD7" s="3">
        <f>IF(tblOrdenes[[#This Row],[backlog_habiles]]="",FALSE,AND(tblOrdenes[[#This Row],[backlog_habiles]]&gt;p_dias_backlog_min,tblOrdenes[[#This Row],[backlog_habiles]]&lt;=p_dias_backlog_max))</f>
        <v/>
      </c>
      <c r="AE7" s="6" t="inlineStr">
        <is>
          <t>Técnico 04</t>
        </is>
      </c>
      <c r="AF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" s="11">
        <f>IF(tblOrdenes[[#This Row],[orden]]="","",_xlfn.XLOOKUP(tblOrdenes[[#This Row],[id_operacion]],tblEjecucion[id_operacion],tblEjecucion[precio],0))</f>
        <v/>
      </c>
      <c r="AJ7" s="11">
        <f>IF(tblOrdenes[[#This Row],[orden]]="","",MAX(0,_xlfn.XLOOKUP(tblOrdenes[[#This Row],[id_operacion]],tblEjecucion[id_operacion],tblEjecucion[costo_plan_total],0)-tblOrdenes[[#This Row],[costo_servicio]]))</f>
        <v/>
      </c>
      <c r="AK7" s="11">
        <f>IF(tblOrdenes[[#This Row],[orden]]="","",tblOrdenes[[#This Row],[costo_servicio]]+tblOrdenes[[#This Row],[costo_materiales]])</f>
        <v/>
      </c>
      <c r="AL7" s="6" t="inlineStr"/>
      <c r="AM7" s="6" t="inlineStr"/>
      <c r="AN7" s="6" t="inlineStr">
        <is>
          <t>ACT-02.pdf</t>
        </is>
      </c>
      <c r="AO7" s="3">
        <f>IF(tblOrdenes[[#This Row],[link_checklist]]="","",HYPERLINK(p_ruta_base_checklists&amp;tblOrdenes[[#This Row],[link_checklist]],"abrir"))</f>
        <v/>
      </c>
      <c r="AP7" s="6" t="inlineStr"/>
      <c r="AQ7" s="3">
        <f>IF(tblOrdenes[[#This Row],[orden]]="","",tblOrdenes[[#This Row],[orden]]&amp;IF(tblOrdenes[[#This Row],[operacion]]="","0010",tblOrdenes[[#This Row],[operacion]]))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2" t="n">
        <v>46227</v>
      </c>
      <c r="K8" s="3" t="n">
        <v>8</v>
      </c>
      <c r="L8" s="11" t="n">
        <v>200</v>
      </c>
      <c r="M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" s="3">
        <f>IF(tblOrdenes[[#This Row],[fecha_inicio]]="","",YEAR(tblOrdenes[[#This Row],[fecha_inicio]]))</f>
        <v/>
      </c>
      <c r="Q8" s="3">
        <f>IF(tblOrdenes[[#This Row],[fecha_inicio]]="","",MONTH(tblOrdenes[[#This Row],[fecha_inicio]]))</f>
        <v/>
      </c>
      <c r="R8" s="3">
        <f>IF(tblOrdenes[[#This Row],[fecha_inicio]]="","",INDEX(lista_dias,WEEKDAY(tblOrdenes[[#This Row],[fecha_inicio]],2)))</f>
        <v/>
      </c>
      <c r="S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" s="3">
        <f>IF(tblOrdenes[[#This Row],[tipo_ot]]="","",_xlfn.XLOOKUP(tblOrdenes[[#This Row],[tipo_ot]],tblTiposOT[codigo],tblTiposOT[clasificacion],"sin_clasificar"))</f>
        <v/>
      </c>
      <c r="U8" s="3">
        <f>IF(tblOrdenes[[#This Row],[centro_costo]]="","",_xlfn.XLOOKUP(tblOrdenes[[#This Row],[centro_costo]],tblCECO[codigo],tblCECO[linea],"(sin catálogo)"))</f>
        <v/>
      </c>
      <c r="V8" s="3">
        <f>IF(tblOrdenes[[#This Row],[centro_costo]]="","",_xlfn.XLOOKUP(tblOrdenes[[#This Row],[centro_costo]],tblCECO[codigo],tblCECO[area],"(sin catálogo)"))</f>
        <v/>
      </c>
      <c r="W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" s="3">
        <f>IF(tblOrdenes[[#This Row],[centro_costo]]="","",_xlfn.XLOOKUP(tblOrdenes[[#This Row],[centro_costo]],tblCECO[codigo],tblCECO[coordinador],"(sin catálogo)"))</f>
        <v/>
      </c>
      <c r="Y8" s="3">
        <f>IF(tblOrdenes[[#This Row],[puesto_trabajo]]="","",_xlfn.XLOOKUP(tblOrdenes[[#This Row],[puesto_trabajo]],tblPuestos[codigo],tblPuestos[especialidad],"(sin catálogo)"))</f>
        <v/>
      </c>
      <c r="Z8" s="3">
        <f>IF(tblOrdenes[[#This Row],[cod_actividad]]="","",_xlfn.XLOOKUP(tblOrdenes[[#This Row],[cod_actividad]],tblActividades[codigo],tblActividades[descripcion],"(sin catálogo)"))</f>
        <v/>
      </c>
      <c r="AA8" s="13">
        <f>IF(tblOrdenes[[#This Row],[fecha_inicio]]="","",TODAY()-tblOrdenes[[#This Row],[fecha_inicio]])</f>
        <v/>
      </c>
      <c r="AB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" s="3">
        <f>IF(tblOrdenes[[#This Row],[backlog_habiles]]="","",IF(tblOrdenes[[#This Row],[backlog_habiles]]&lt;0,"FUTURO",IF(tblOrdenes[[#This Row],[backlog_habiles]]&gt;p_dias_backlog_max,"BACKLOG","MES CORRIENTE")))</f>
        <v/>
      </c>
      <c r="AD8" s="3">
        <f>IF(tblOrdenes[[#This Row],[backlog_habiles]]="",FALSE,AND(tblOrdenes[[#This Row],[backlog_habiles]]&gt;p_dias_backlog_min,tblOrdenes[[#This Row],[backlog_habiles]]&lt;=p_dias_backlog_max))</f>
        <v/>
      </c>
      <c r="AE8" s="6" t="inlineStr">
        <is>
          <t>Técnico 05</t>
        </is>
      </c>
      <c r="AF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" s="11">
        <f>IF(tblOrdenes[[#This Row],[orden]]="","",_xlfn.XLOOKUP(tblOrdenes[[#This Row],[id_operacion]],tblEjecucion[id_operacion],tblEjecucion[precio],0))</f>
        <v/>
      </c>
      <c r="AJ8" s="11">
        <f>IF(tblOrdenes[[#This Row],[orden]]="","",MAX(0,_xlfn.XLOOKUP(tblOrdenes[[#This Row],[id_operacion]],tblEjecucion[id_operacion],tblEjecucion[costo_plan_total],0)-tblOrdenes[[#This Row],[costo_servicio]]))</f>
        <v/>
      </c>
      <c r="AK8" s="11">
        <f>IF(tblOrdenes[[#This Row],[orden]]="","",tblOrdenes[[#This Row],[costo_servicio]]+tblOrdenes[[#This Row],[costo_materiales]])</f>
        <v/>
      </c>
      <c r="AL8" s="6" t="inlineStr"/>
      <c r="AM8" s="6" t="inlineStr"/>
      <c r="AN8" s="6" t="inlineStr">
        <is>
          <t>ACT-04.pdf</t>
        </is>
      </c>
      <c r="AO8" s="3">
        <f>IF(tblOrdenes[[#This Row],[link_checklist]]="","",HYPERLINK(p_ruta_base_checklists&amp;tblOrdenes[[#This Row],[link_checklist]],"abrir"))</f>
        <v/>
      </c>
      <c r="AP8" s="6" t="inlineStr"/>
      <c r="AQ8" s="3">
        <f>IF(tblOrdenes[[#This Row],[orden]]="","",tblOrdenes[[#This Row],[orden]]&amp;IF(tblOrdenes[[#This Row],[operacion]]="","0010",tblOrdenes[[#This Row],[operacion]]))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2" t="n">
        <v>46223</v>
      </c>
      <c r="K9" s="3" t="n">
        <v>6</v>
      </c>
      <c r="L9" s="11" t="n">
        <v>150</v>
      </c>
      <c r="M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" s="3">
        <f>IF(tblOrdenes[[#This Row],[fecha_inicio]]="","",YEAR(tblOrdenes[[#This Row],[fecha_inicio]]))</f>
        <v/>
      </c>
      <c r="Q9" s="3">
        <f>IF(tblOrdenes[[#This Row],[fecha_inicio]]="","",MONTH(tblOrdenes[[#This Row],[fecha_inicio]]))</f>
        <v/>
      </c>
      <c r="R9" s="3">
        <f>IF(tblOrdenes[[#This Row],[fecha_inicio]]="","",INDEX(lista_dias,WEEKDAY(tblOrdenes[[#This Row],[fecha_inicio]],2)))</f>
        <v/>
      </c>
      <c r="S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" s="3">
        <f>IF(tblOrdenes[[#This Row],[tipo_ot]]="","",_xlfn.XLOOKUP(tblOrdenes[[#This Row],[tipo_ot]],tblTiposOT[codigo],tblTiposOT[clasificacion],"sin_clasificar"))</f>
        <v/>
      </c>
      <c r="U9" s="3">
        <f>IF(tblOrdenes[[#This Row],[centro_costo]]="","",_xlfn.XLOOKUP(tblOrdenes[[#This Row],[centro_costo]],tblCECO[codigo],tblCECO[linea],"(sin catálogo)"))</f>
        <v/>
      </c>
      <c r="V9" s="3">
        <f>IF(tblOrdenes[[#This Row],[centro_costo]]="","",_xlfn.XLOOKUP(tblOrdenes[[#This Row],[centro_costo]],tblCECO[codigo],tblCECO[area],"(sin catálogo)"))</f>
        <v/>
      </c>
      <c r="W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" s="3">
        <f>IF(tblOrdenes[[#This Row],[centro_costo]]="","",_xlfn.XLOOKUP(tblOrdenes[[#This Row],[centro_costo]],tblCECO[codigo],tblCECO[coordinador],"(sin catálogo)"))</f>
        <v/>
      </c>
      <c r="Y9" s="3">
        <f>IF(tblOrdenes[[#This Row],[puesto_trabajo]]="","",_xlfn.XLOOKUP(tblOrdenes[[#This Row],[puesto_trabajo]],tblPuestos[codigo],tblPuestos[especialidad],"(sin catálogo)"))</f>
        <v/>
      </c>
      <c r="Z9" s="3">
        <f>IF(tblOrdenes[[#This Row],[cod_actividad]]="","",_xlfn.XLOOKUP(tblOrdenes[[#This Row],[cod_actividad]],tblActividades[codigo],tblActividades[descripcion],"(sin catálogo)"))</f>
        <v/>
      </c>
      <c r="AA9" s="13">
        <f>IF(tblOrdenes[[#This Row],[fecha_inicio]]="","",TODAY()-tblOrdenes[[#This Row],[fecha_inicio]])</f>
        <v/>
      </c>
      <c r="AB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" s="3">
        <f>IF(tblOrdenes[[#This Row],[backlog_habiles]]="","",IF(tblOrdenes[[#This Row],[backlog_habiles]]&lt;0,"FUTURO",IF(tblOrdenes[[#This Row],[backlog_habiles]]&gt;p_dias_backlog_max,"BACKLOG","MES CORRIENTE")))</f>
        <v/>
      </c>
      <c r="AD9" s="3">
        <f>IF(tblOrdenes[[#This Row],[backlog_habiles]]="",FALSE,AND(tblOrdenes[[#This Row],[backlog_habiles]]&gt;p_dias_backlog_min,tblOrdenes[[#This Row],[backlog_habiles]]&lt;=p_dias_backlog_max))</f>
        <v/>
      </c>
      <c r="AE9" s="6" t="inlineStr">
        <is>
          <t>Técnico 06</t>
        </is>
      </c>
      <c r="AF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" s="11">
        <f>IF(tblOrdenes[[#This Row],[orden]]="","",_xlfn.XLOOKUP(tblOrdenes[[#This Row],[id_operacion]],tblEjecucion[id_operacion],tblEjecucion[precio],0))</f>
        <v/>
      </c>
      <c r="AJ9" s="11">
        <f>IF(tblOrdenes[[#This Row],[orden]]="","",MAX(0,_xlfn.XLOOKUP(tblOrdenes[[#This Row],[id_operacion]],tblEjecucion[id_operacion],tblEjecucion[costo_plan_total],0)-tblOrdenes[[#This Row],[costo_servicio]]))</f>
        <v/>
      </c>
      <c r="AK9" s="11">
        <f>IF(tblOrdenes[[#This Row],[orden]]="","",tblOrdenes[[#This Row],[costo_servicio]]+tblOrdenes[[#This Row],[costo_materiales]])</f>
        <v/>
      </c>
      <c r="AL9" s="6" t="inlineStr"/>
      <c r="AM9" s="6" t="inlineStr"/>
      <c r="AN9" s="6" t="inlineStr">
        <is>
          <t>ACT-01.pdf</t>
        </is>
      </c>
      <c r="AO9" s="3">
        <f>IF(tblOrdenes[[#This Row],[link_checklist]]="","",HYPERLINK(p_ruta_base_checklists&amp;tblOrdenes[[#This Row],[link_checklist]],"abrir"))</f>
        <v/>
      </c>
      <c r="AP9" s="6" t="inlineStr"/>
      <c r="AQ9" s="3">
        <f>IF(tblOrdenes[[#This Row],[orden]]="","",tblOrdenes[[#This Row],[orden]]&amp;IF(tblOrdenes[[#This Row],[operacion]]="","0010",tblOrdenes[[#This Row],[operacion]]))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2" t="n">
        <v>46224</v>
      </c>
      <c r="K10" s="3" t="n">
        <v>10</v>
      </c>
      <c r="L10" s="11" t="n">
        <v>250</v>
      </c>
      <c r="M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" s="3">
        <f>IF(tblOrdenes[[#This Row],[fecha_inicio]]="","",YEAR(tblOrdenes[[#This Row],[fecha_inicio]]))</f>
        <v/>
      </c>
      <c r="Q10" s="3">
        <f>IF(tblOrdenes[[#This Row],[fecha_inicio]]="","",MONTH(tblOrdenes[[#This Row],[fecha_inicio]]))</f>
        <v/>
      </c>
      <c r="R10" s="3">
        <f>IF(tblOrdenes[[#This Row],[fecha_inicio]]="","",INDEX(lista_dias,WEEKDAY(tblOrdenes[[#This Row],[fecha_inicio]],2)))</f>
        <v/>
      </c>
      <c r="S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" s="3">
        <f>IF(tblOrdenes[[#This Row],[tipo_ot]]="","",_xlfn.XLOOKUP(tblOrdenes[[#This Row],[tipo_ot]],tblTiposOT[codigo],tblTiposOT[clasificacion],"sin_clasificar"))</f>
        <v/>
      </c>
      <c r="U10" s="3">
        <f>IF(tblOrdenes[[#This Row],[centro_costo]]="","",_xlfn.XLOOKUP(tblOrdenes[[#This Row],[centro_costo]],tblCECO[codigo],tblCECO[linea],"(sin catálogo)"))</f>
        <v/>
      </c>
      <c r="V10" s="3">
        <f>IF(tblOrdenes[[#This Row],[centro_costo]]="","",_xlfn.XLOOKUP(tblOrdenes[[#This Row],[centro_costo]],tblCECO[codigo],tblCECO[area],"(sin catálogo)"))</f>
        <v/>
      </c>
      <c r="W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" s="3">
        <f>IF(tblOrdenes[[#This Row],[centro_costo]]="","",_xlfn.XLOOKUP(tblOrdenes[[#This Row],[centro_costo]],tblCECO[codigo],tblCECO[coordinador],"(sin catálogo)"))</f>
        <v/>
      </c>
      <c r="Y10" s="3">
        <f>IF(tblOrdenes[[#This Row],[puesto_trabajo]]="","",_xlfn.XLOOKUP(tblOrdenes[[#This Row],[puesto_trabajo]],tblPuestos[codigo],tblPuestos[especialidad],"(sin catálogo)"))</f>
        <v/>
      </c>
      <c r="Z10" s="3">
        <f>IF(tblOrdenes[[#This Row],[cod_actividad]]="","",_xlfn.XLOOKUP(tblOrdenes[[#This Row],[cod_actividad]],tblActividades[codigo],tblActividades[descripcion],"(sin catálogo)"))</f>
        <v/>
      </c>
      <c r="AA10" s="13">
        <f>IF(tblOrdenes[[#This Row],[fecha_inicio]]="","",TODAY()-tblOrdenes[[#This Row],[fecha_inicio]])</f>
        <v/>
      </c>
      <c r="AB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" s="3">
        <f>IF(tblOrdenes[[#This Row],[backlog_habiles]]="","",IF(tblOrdenes[[#This Row],[backlog_habiles]]&lt;0,"FUTURO",IF(tblOrdenes[[#This Row],[backlog_habiles]]&gt;p_dias_backlog_max,"BACKLOG","MES CORRIENTE")))</f>
        <v/>
      </c>
      <c r="AD10" s="3">
        <f>IF(tblOrdenes[[#This Row],[backlog_habiles]]="",FALSE,AND(tblOrdenes[[#This Row],[backlog_habiles]]&gt;p_dias_backlog_min,tblOrdenes[[#This Row],[backlog_habiles]]&lt;=p_dias_backlog_max))</f>
        <v/>
      </c>
      <c r="AE10" s="6" t="inlineStr">
        <is>
          <t>Técnico 07</t>
        </is>
      </c>
      <c r="AF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" s="11">
        <f>IF(tblOrdenes[[#This Row],[orden]]="","",_xlfn.XLOOKUP(tblOrdenes[[#This Row],[id_operacion]],tblEjecucion[id_operacion],tblEjecucion[precio],0))</f>
        <v/>
      </c>
      <c r="AJ10" s="11">
        <f>IF(tblOrdenes[[#This Row],[orden]]="","",MAX(0,_xlfn.XLOOKUP(tblOrdenes[[#This Row],[id_operacion]],tblEjecucion[id_operacion],tblEjecucion[costo_plan_total],0)-tblOrdenes[[#This Row],[costo_servicio]]))</f>
        <v/>
      </c>
      <c r="AK10" s="11">
        <f>IF(tblOrdenes[[#This Row],[orden]]="","",tblOrdenes[[#This Row],[costo_servicio]]+tblOrdenes[[#This Row],[costo_materiales]])</f>
        <v/>
      </c>
      <c r="AL10" s="6" t="inlineStr"/>
      <c r="AM10" s="6" t="inlineStr"/>
      <c r="AN10" s="6" t="inlineStr">
        <is>
          <t>ACT-02.pdf</t>
        </is>
      </c>
      <c r="AO10" s="3">
        <f>IF(tblOrdenes[[#This Row],[link_checklist]]="","",HYPERLINK(p_ruta_base_checklists&amp;tblOrdenes[[#This Row],[link_checklist]],"abrir"))</f>
        <v/>
      </c>
      <c r="AP10" s="6" t="inlineStr"/>
      <c r="AQ10" s="3">
        <f>IF(tblOrdenes[[#This Row],[orden]]="","",tblOrdenes[[#This Row],[orden]]&amp;IF(tblOrdenes[[#This Row],[operacion]]="","0010",tblOrdenes[[#This Row],[operacion]]))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2" t="n">
        <v>46225</v>
      </c>
      <c r="K11" s="3" t="n">
        <v>8</v>
      </c>
      <c r="L11" s="11" t="n">
        <v>200</v>
      </c>
      <c r="M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" s="3">
        <f>IF(tblOrdenes[[#This Row],[fecha_inicio]]="","",YEAR(tblOrdenes[[#This Row],[fecha_inicio]]))</f>
        <v/>
      </c>
      <c r="Q11" s="3">
        <f>IF(tblOrdenes[[#This Row],[fecha_inicio]]="","",MONTH(tblOrdenes[[#This Row],[fecha_inicio]]))</f>
        <v/>
      </c>
      <c r="R11" s="3">
        <f>IF(tblOrdenes[[#This Row],[fecha_inicio]]="","",INDEX(lista_dias,WEEKDAY(tblOrdenes[[#This Row],[fecha_inicio]],2)))</f>
        <v/>
      </c>
      <c r="S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" s="3">
        <f>IF(tblOrdenes[[#This Row],[tipo_ot]]="","",_xlfn.XLOOKUP(tblOrdenes[[#This Row],[tipo_ot]],tblTiposOT[codigo],tblTiposOT[clasificacion],"sin_clasificar"))</f>
        <v/>
      </c>
      <c r="U11" s="3">
        <f>IF(tblOrdenes[[#This Row],[centro_costo]]="","",_xlfn.XLOOKUP(tblOrdenes[[#This Row],[centro_costo]],tblCECO[codigo],tblCECO[linea],"(sin catálogo)"))</f>
        <v/>
      </c>
      <c r="V11" s="3">
        <f>IF(tblOrdenes[[#This Row],[centro_costo]]="","",_xlfn.XLOOKUP(tblOrdenes[[#This Row],[centro_costo]],tblCECO[codigo],tblCECO[area],"(sin catálogo)"))</f>
        <v/>
      </c>
      <c r="W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" s="3">
        <f>IF(tblOrdenes[[#This Row],[centro_costo]]="","",_xlfn.XLOOKUP(tblOrdenes[[#This Row],[centro_costo]],tblCECO[codigo],tblCECO[coordinador],"(sin catálogo)"))</f>
        <v/>
      </c>
      <c r="Y11" s="3">
        <f>IF(tblOrdenes[[#This Row],[puesto_trabajo]]="","",_xlfn.XLOOKUP(tblOrdenes[[#This Row],[puesto_trabajo]],tblPuestos[codigo],tblPuestos[especialidad],"(sin catálogo)"))</f>
        <v/>
      </c>
      <c r="Z11" s="3">
        <f>IF(tblOrdenes[[#This Row],[cod_actividad]]="","",_xlfn.XLOOKUP(tblOrdenes[[#This Row],[cod_actividad]],tblActividades[codigo],tblActividades[descripcion],"(sin catálogo)"))</f>
        <v/>
      </c>
      <c r="AA11" s="13">
        <f>IF(tblOrdenes[[#This Row],[fecha_inicio]]="","",TODAY()-tblOrdenes[[#This Row],[fecha_inicio]])</f>
        <v/>
      </c>
      <c r="AB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" s="3">
        <f>IF(tblOrdenes[[#This Row],[backlog_habiles]]="","",IF(tblOrdenes[[#This Row],[backlog_habiles]]&lt;0,"FUTURO",IF(tblOrdenes[[#This Row],[backlog_habiles]]&gt;p_dias_backlog_max,"BACKLOG","MES CORRIENTE")))</f>
        <v/>
      </c>
      <c r="AD11" s="3">
        <f>IF(tblOrdenes[[#This Row],[backlog_habiles]]="",FALSE,AND(tblOrdenes[[#This Row],[backlog_habiles]]&gt;p_dias_backlog_min,tblOrdenes[[#This Row],[backlog_habiles]]&lt;=p_dias_backlog_max))</f>
        <v/>
      </c>
      <c r="AE11" s="6" t="inlineStr">
        <is>
          <t>Técnico 01</t>
        </is>
      </c>
      <c r="AF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" s="11">
        <f>IF(tblOrdenes[[#This Row],[orden]]="","",_xlfn.XLOOKUP(tblOrdenes[[#This Row],[id_operacion]],tblEjecucion[id_operacion],tblEjecucion[precio],0))</f>
        <v/>
      </c>
      <c r="AJ11" s="11">
        <f>IF(tblOrdenes[[#This Row],[orden]]="","",MAX(0,_xlfn.XLOOKUP(tblOrdenes[[#This Row],[id_operacion]],tblEjecucion[id_operacion],tblEjecucion[costo_plan_total],0)-tblOrdenes[[#This Row],[costo_servicio]]))</f>
        <v/>
      </c>
      <c r="AK11" s="11">
        <f>IF(tblOrdenes[[#This Row],[orden]]="","",tblOrdenes[[#This Row],[costo_servicio]]+tblOrdenes[[#This Row],[costo_materiales]])</f>
        <v/>
      </c>
      <c r="AL11" s="6" t="inlineStr"/>
      <c r="AM11" s="6" t="inlineStr"/>
      <c r="AN11" s="6" t="inlineStr">
        <is>
          <t>ACT-04.pdf</t>
        </is>
      </c>
      <c r="AO11" s="3">
        <f>IF(tblOrdenes[[#This Row],[link_checklist]]="","",HYPERLINK(p_ruta_base_checklists&amp;tblOrdenes[[#This Row],[link_checklist]],"abrir"))</f>
        <v/>
      </c>
      <c r="AP11" s="6" t="inlineStr"/>
      <c r="AQ11" s="3">
        <f>IF(tblOrdenes[[#This Row],[orden]]="","",tblOrdenes[[#This Row],[orden]]&amp;IF(tblOrdenes[[#This Row],[operacion]]="","0010",tblOrdenes[[#This Row],[operacion]]))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2" t="n">
        <v>46226</v>
      </c>
      <c r="K12" s="3" t="n">
        <v>6</v>
      </c>
      <c r="L12" s="11" t="n">
        <v>150</v>
      </c>
      <c r="M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" s="3">
        <f>IF(tblOrdenes[[#This Row],[fecha_inicio]]="","",YEAR(tblOrdenes[[#This Row],[fecha_inicio]]))</f>
        <v/>
      </c>
      <c r="Q12" s="3">
        <f>IF(tblOrdenes[[#This Row],[fecha_inicio]]="","",MONTH(tblOrdenes[[#This Row],[fecha_inicio]]))</f>
        <v/>
      </c>
      <c r="R12" s="3">
        <f>IF(tblOrdenes[[#This Row],[fecha_inicio]]="","",INDEX(lista_dias,WEEKDAY(tblOrdenes[[#This Row],[fecha_inicio]],2)))</f>
        <v/>
      </c>
      <c r="S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" s="3">
        <f>IF(tblOrdenes[[#This Row],[tipo_ot]]="","",_xlfn.XLOOKUP(tblOrdenes[[#This Row],[tipo_ot]],tblTiposOT[codigo],tblTiposOT[clasificacion],"sin_clasificar"))</f>
        <v/>
      </c>
      <c r="U12" s="3">
        <f>IF(tblOrdenes[[#This Row],[centro_costo]]="","",_xlfn.XLOOKUP(tblOrdenes[[#This Row],[centro_costo]],tblCECO[codigo],tblCECO[linea],"(sin catálogo)"))</f>
        <v/>
      </c>
      <c r="V12" s="3">
        <f>IF(tblOrdenes[[#This Row],[centro_costo]]="","",_xlfn.XLOOKUP(tblOrdenes[[#This Row],[centro_costo]],tblCECO[codigo],tblCECO[area],"(sin catálogo)"))</f>
        <v/>
      </c>
      <c r="W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" s="3">
        <f>IF(tblOrdenes[[#This Row],[centro_costo]]="","",_xlfn.XLOOKUP(tblOrdenes[[#This Row],[centro_costo]],tblCECO[codigo],tblCECO[coordinador],"(sin catálogo)"))</f>
        <v/>
      </c>
      <c r="Y12" s="3">
        <f>IF(tblOrdenes[[#This Row],[puesto_trabajo]]="","",_xlfn.XLOOKUP(tblOrdenes[[#This Row],[puesto_trabajo]],tblPuestos[codigo],tblPuestos[especialidad],"(sin catálogo)"))</f>
        <v/>
      </c>
      <c r="Z12" s="3">
        <f>IF(tblOrdenes[[#This Row],[cod_actividad]]="","",_xlfn.XLOOKUP(tblOrdenes[[#This Row],[cod_actividad]],tblActividades[codigo],tblActividades[descripcion],"(sin catálogo)"))</f>
        <v/>
      </c>
      <c r="AA12" s="13">
        <f>IF(tblOrdenes[[#This Row],[fecha_inicio]]="","",TODAY()-tblOrdenes[[#This Row],[fecha_inicio]])</f>
        <v/>
      </c>
      <c r="AB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" s="3">
        <f>IF(tblOrdenes[[#This Row],[backlog_habiles]]="","",IF(tblOrdenes[[#This Row],[backlog_habiles]]&lt;0,"FUTURO",IF(tblOrdenes[[#This Row],[backlog_habiles]]&gt;p_dias_backlog_max,"BACKLOG","MES CORRIENTE")))</f>
        <v/>
      </c>
      <c r="AD12" s="3">
        <f>IF(tblOrdenes[[#This Row],[backlog_habiles]]="",FALSE,AND(tblOrdenes[[#This Row],[backlog_habiles]]&gt;p_dias_backlog_min,tblOrdenes[[#This Row],[backlog_habiles]]&lt;=p_dias_backlog_max))</f>
        <v/>
      </c>
      <c r="AE12" s="6" t="inlineStr">
        <is>
          <t>Técnico 02</t>
        </is>
      </c>
      <c r="AF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" s="11">
        <f>IF(tblOrdenes[[#This Row],[orden]]="","",_xlfn.XLOOKUP(tblOrdenes[[#This Row],[id_operacion]],tblEjecucion[id_operacion],tblEjecucion[precio],0))</f>
        <v/>
      </c>
      <c r="AJ12" s="11">
        <f>IF(tblOrdenes[[#This Row],[orden]]="","",MAX(0,_xlfn.XLOOKUP(tblOrdenes[[#This Row],[id_operacion]],tblEjecucion[id_operacion],tblEjecucion[costo_plan_total],0)-tblOrdenes[[#This Row],[costo_servicio]]))</f>
        <v/>
      </c>
      <c r="AK12" s="11">
        <f>IF(tblOrdenes[[#This Row],[orden]]="","",tblOrdenes[[#This Row],[costo_servicio]]+tblOrdenes[[#This Row],[costo_materiales]])</f>
        <v/>
      </c>
      <c r="AL12" s="6" t="inlineStr"/>
      <c r="AM12" s="6" t="inlineStr"/>
      <c r="AN12" s="6" t="inlineStr">
        <is>
          <t>ACT-01.pdf</t>
        </is>
      </c>
      <c r="AO12" s="3">
        <f>IF(tblOrdenes[[#This Row],[link_checklist]]="","",HYPERLINK(p_ruta_base_checklists&amp;tblOrdenes[[#This Row],[link_checklist]],"abrir"))</f>
        <v/>
      </c>
      <c r="AP12" s="6" t="inlineStr"/>
      <c r="AQ12" s="3">
        <f>IF(tblOrdenes[[#This Row],[orden]]="","",tblOrdenes[[#This Row],[orden]]&amp;IF(tblOrdenes[[#This Row],[operacion]]="","0010",tblOrdenes[[#This Row],[operacion]]))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2" t="n">
        <v>46227</v>
      </c>
      <c r="K13" s="3" t="n">
        <v>8</v>
      </c>
      <c r="L13" s="11" t="n">
        <v>200</v>
      </c>
      <c r="M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" s="3">
        <f>IF(tblOrdenes[[#This Row],[fecha_inicio]]="","",YEAR(tblOrdenes[[#This Row],[fecha_inicio]]))</f>
        <v/>
      </c>
      <c r="Q13" s="3">
        <f>IF(tblOrdenes[[#This Row],[fecha_inicio]]="","",MONTH(tblOrdenes[[#This Row],[fecha_inicio]]))</f>
        <v/>
      </c>
      <c r="R13" s="3">
        <f>IF(tblOrdenes[[#This Row],[fecha_inicio]]="","",INDEX(lista_dias,WEEKDAY(tblOrdenes[[#This Row],[fecha_inicio]],2)))</f>
        <v/>
      </c>
      <c r="S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" s="3">
        <f>IF(tblOrdenes[[#This Row],[tipo_ot]]="","",_xlfn.XLOOKUP(tblOrdenes[[#This Row],[tipo_ot]],tblTiposOT[codigo],tblTiposOT[clasificacion],"sin_clasificar"))</f>
        <v/>
      </c>
      <c r="U13" s="3">
        <f>IF(tblOrdenes[[#This Row],[centro_costo]]="","",_xlfn.XLOOKUP(tblOrdenes[[#This Row],[centro_costo]],tblCECO[codigo],tblCECO[linea],"(sin catálogo)"))</f>
        <v/>
      </c>
      <c r="V13" s="3">
        <f>IF(tblOrdenes[[#This Row],[centro_costo]]="","",_xlfn.XLOOKUP(tblOrdenes[[#This Row],[centro_costo]],tblCECO[codigo],tblCECO[area],"(sin catálogo)"))</f>
        <v/>
      </c>
      <c r="W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" s="3">
        <f>IF(tblOrdenes[[#This Row],[centro_costo]]="","",_xlfn.XLOOKUP(tblOrdenes[[#This Row],[centro_costo]],tblCECO[codigo],tblCECO[coordinador],"(sin catálogo)"))</f>
        <v/>
      </c>
      <c r="Y13" s="3">
        <f>IF(tblOrdenes[[#This Row],[puesto_trabajo]]="","",_xlfn.XLOOKUP(tblOrdenes[[#This Row],[puesto_trabajo]],tblPuestos[codigo],tblPuestos[especialidad],"(sin catálogo)"))</f>
        <v/>
      </c>
      <c r="Z13" s="3">
        <f>IF(tblOrdenes[[#This Row],[cod_actividad]]="","",_xlfn.XLOOKUP(tblOrdenes[[#This Row],[cod_actividad]],tblActividades[codigo],tblActividades[descripcion],"(sin catálogo)"))</f>
        <v/>
      </c>
      <c r="AA13" s="13">
        <f>IF(tblOrdenes[[#This Row],[fecha_inicio]]="","",TODAY()-tblOrdenes[[#This Row],[fecha_inicio]])</f>
        <v/>
      </c>
      <c r="AB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" s="3">
        <f>IF(tblOrdenes[[#This Row],[backlog_habiles]]="","",IF(tblOrdenes[[#This Row],[backlog_habiles]]&lt;0,"FUTURO",IF(tblOrdenes[[#This Row],[backlog_habiles]]&gt;p_dias_backlog_max,"BACKLOG","MES CORRIENTE")))</f>
        <v/>
      </c>
      <c r="AD13" s="3">
        <f>IF(tblOrdenes[[#This Row],[backlog_habiles]]="",FALSE,AND(tblOrdenes[[#This Row],[backlog_habiles]]&gt;p_dias_backlog_min,tblOrdenes[[#This Row],[backlog_habiles]]&lt;=p_dias_backlog_max))</f>
        <v/>
      </c>
      <c r="AE13" s="6" t="inlineStr">
        <is>
          <t>Técnico 03</t>
        </is>
      </c>
      <c r="AF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" s="11">
        <f>IF(tblOrdenes[[#This Row],[orden]]="","",_xlfn.XLOOKUP(tblOrdenes[[#This Row],[id_operacion]],tblEjecucion[id_operacion],tblEjecucion[precio],0))</f>
        <v/>
      </c>
      <c r="AJ13" s="11">
        <f>IF(tblOrdenes[[#This Row],[orden]]="","",MAX(0,_xlfn.XLOOKUP(tblOrdenes[[#This Row],[id_operacion]],tblEjecucion[id_operacion],tblEjecucion[costo_plan_total],0)-tblOrdenes[[#This Row],[costo_servicio]]))</f>
        <v/>
      </c>
      <c r="AK13" s="11">
        <f>IF(tblOrdenes[[#This Row],[orden]]="","",tblOrdenes[[#This Row],[costo_servicio]]+tblOrdenes[[#This Row],[costo_materiales]])</f>
        <v/>
      </c>
      <c r="AL13" s="6" t="inlineStr"/>
      <c r="AM13" s="6" t="inlineStr"/>
      <c r="AN13" s="6" t="inlineStr">
        <is>
          <t>ACT-02.pdf</t>
        </is>
      </c>
      <c r="AO13" s="3">
        <f>IF(tblOrdenes[[#This Row],[link_checklist]]="","",HYPERLINK(p_ruta_base_checklists&amp;tblOrdenes[[#This Row],[link_checklist]],"abrir"))</f>
        <v/>
      </c>
      <c r="AP13" s="6" t="inlineStr"/>
      <c r="AQ13" s="3">
        <f>IF(tblOrdenes[[#This Row],[orden]]="","",tblOrdenes[[#This Row],[orden]]&amp;IF(tblOrdenes[[#This Row],[operacion]]="","0010",tblOrdenes[[#This Row],[operacion]]))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2" t="n">
        <v>46223</v>
      </c>
      <c r="K14" s="3" t="n">
        <v>10</v>
      </c>
      <c r="L14" s="11" t="n">
        <v>400</v>
      </c>
      <c r="M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" s="3">
        <f>IF(tblOrdenes[[#This Row],[fecha_inicio]]="","",YEAR(tblOrdenes[[#This Row],[fecha_inicio]]))</f>
        <v/>
      </c>
      <c r="Q14" s="3">
        <f>IF(tblOrdenes[[#This Row],[fecha_inicio]]="","",MONTH(tblOrdenes[[#This Row],[fecha_inicio]]))</f>
        <v/>
      </c>
      <c r="R14" s="3">
        <f>IF(tblOrdenes[[#This Row],[fecha_inicio]]="","",INDEX(lista_dias,WEEKDAY(tblOrdenes[[#This Row],[fecha_inicio]],2)))</f>
        <v/>
      </c>
      <c r="S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" s="3">
        <f>IF(tblOrdenes[[#This Row],[tipo_ot]]="","",_xlfn.XLOOKUP(tblOrdenes[[#This Row],[tipo_ot]],tblTiposOT[codigo],tblTiposOT[clasificacion],"sin_clasificar"))</f>
        <v/>
      </c>
      <c r="U14" s="3">
        <f>IF(tblOrdenes[[#This Row],[centro_costo]]="","",_xlfn.XLOOKUP(tblOrdenes[[#This Row],[centro_costo]],tblCECO[codigo],tblCECO[linea],"(sin catálogo)"))</f>
        <v/>
      </c>
      <c r="V14" s="3">
        <f>IF(tblOrdenes[[#This Row],[centro_costo]]="","",_xlfn.XLOOKUP(tblOrdenes[[#This Row],[centro_costo]],tblCECO[codigo],tblCECO[area],"(sin catálogo)"))</f>
        <v/>
      </c>
      <c r="W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" s="3">
        <f>IF(tblOrdenes[[#This Row],[centro_costo]]="","",_xlfn.XLOOKUP(tblOrdenes[[#This Row],[centro_costo]],tblCECO[codigo],tblCECO[coordinador],"(sin catálogo)"))</f>
        <v/>
      </c>
      <c r="Y14" s="3">
        <f>IF(tblOrdenes[[#This Row],[puesto_trabajo]]="","",_xlfn.XLOOKUP(tblOrdenes[[#This Row],[puesto_trabajo]],tblPuestos[codigo],tblPuestos[especialidad],"(sin catálogo)"))</f>
        <v/>
      </c>
      <c r="Z14" s="3">
        <f>IF(tblOrdenes[[#This Row],[cod_actividad]]="","",_xlfn.XLOOKUP(tblOrdenes[[#This Row],[cod_actividad]],tblActividades[codigo],tblActividades[descripcion],"(sin catálogo)"))</f>
        <v/>
      </c>
      <c r="AA14" s="13">
        <f>IF(tblOrdenes[[#This Row],[fecha_inicio]]="","",TODAY()-tblOrdenes[[#This Row],[fecha_inicio]])</f>
        <v/>
      </c>
      <c r="AB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" s="3">
        <f>IF(tblOrdenes[[#This Row],[backlog_habiles]]="","",IF(tblOrdenes[[#This Row],[backlog_habiles]]&lt;0,"FUTURO",IF(tblOrdenes[[#This Row],[backlog_habiles]]&gt;p_dias_backlog_max,"BACKLOG","MES CORRIENTE")))</f>
        <v/>
      </c>
      <c r="AD14" s="3">
        <f>IF(tblOrdenes[[#This Row],[backlog_habiles]]="",FALSE,AND(tblOrdenes[[#This Row],[backlog_habiles]]&gt;p_dias_backlog_min,tblOrdenes[[#This Row],[backlog_habiles]]&lt;=p_dias_backlog_max))</f>
        <v/>
      </c>
      <c r="AE14" s="6" t="inlineStr">
        <is>
          <t>Técnico 04</t>
        </is>
      </c>
      <c r="AF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" s="11">
        <f>IF(tblOrdenes[[#This Row],[orden]]="","",_xlfn.XLOOKUP(tblOrdenes[[#This Row],[id_operacion]],tblEjecucion[id_operacion],tblEjecucion[precio],0))</f>
        <v/>
      </c>
      <c r="AJ14" s="11">
        <f>IF(tblOrdenes[[#This Row],[orden]]="","",MAX(0,_xlfn.XLOOKUP(tblOrdenes[[#This Row],[id_operacion]],tblEjecucion[id_operacion],tblEjecucion[costo_plan_total],0)-tblOrdenes[[#This Row],[costo_servicio]]))</f>
        <v/>
      </c>
      <c r="AK14" s="11">
        <f>IF(tblOrdenes[[#This Row],[orden]]="","",tblOrdenes[[#This Row],[costo_servicio]]+tblOrdenes[[#This Row],[costo_materiales]])</f>
        <v/>
      </c>
      <c r="AL14" s="6" t="inlineStr"/>
      <c r="AM14" s="6" t="inlineStr"/>
      <c r="AN14" s="6" t="inlineStr"/>
      <c r="AO14" s="3">
        <f>IF(tblOrdenes[[#This Row],[link_checklist]]="","",HYPERLINK(p_ruta_base_checklists&amp;tblOrdenes[[#This Row],[link_checklist]],"abrir"))</f>
        <v/>
      </c>
      <c r="AP14" s="6" t="inlineStr"/>
      <c r="AQ14" s="3">
        <f>IF(tblOrdenes[[#This Row],[orden]]="","",tblOrdenes[[#This Row],[orden]]&amp;IF(tblOrdenes[[#This Row],[operacion]]="","0010",tblOrdenes[[#This Row],[operacion]]))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2" t="n">
        <v>46224</v>
      </c>
      <c r="K15" s="3" t="n">
        <v>10</v>
      </c>
      <c r="L15" s="11" t="n">
        <v>400</v>
      </c>
      <c r="M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" s="3">
        <f>IF(tblOrdenes[[#This Row],[fecha_inicio]]="","",YEAR(tblOrdenes[[#This Row],[fecha_inicio]]))</f>
        <v/>
      </c>
      <c r="Q15" s="3">
        <f>IF(tblOrdenes[[#This Row],[fecha_inicio]]="","",MONTH(tblOrdenes[[#This Row],[fecha_inicio]]))</f>
        <v/>
      </c>
      <c r="R15" s="3">
        <f>IF(tblOrdenes[[#This Row],[fecha_inicio]]="","",INDEX(lista_dias,WEEKDAY(tblOrdenes[[#This Row],[fecha_inicio]],2)))</f>
        <v/>
      </c>
      <c r="S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" s="3">
        <f>IF(tblOrdenes[[#This Row],[tipo_ot]]="","",_xlfn.XLOOKUP(tblOrdenes[[#This Row],[tipo_ot]],tblTiposOT[codigo],tblTiposOT[clasificacion],"sin_clasificar"))</f>
        <v/>
      </c>
      <c r="U15" s="3">
        <f>IF(tblOrdenes[[#This Row],[centro_costo]]="","",_xlfn.XLOOKUP(tblOrdenes[[#This Row],[centro_costo]],tblCECO[codigo],tblCECO[linea],"(sin catálogo)"))</f>
        <v/>
      </c>
      <c r="V15" s="3">
        <f>IF(tblOrdenes[[#This Row],[centro_costo]]="","",_xlfn.XLOOKUP(tblOrdenes[[#This Row],[centro_costo]],tblCECO[codigo],tblCECO[area],"(sin catálogo)"))</f>
        <v/>
      </c>
      <c r="W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" s="3">
        <f>IF(tblOrdenes[[#This Row],[centro_costo]]="","",_xlfn.XLOOKUP(tblOrdenes[[#This Row],[centro_costo]],tblCECO[codigo],tblCECO[coordinador],"(sin catálogo)"))</f>
        <v/>
      </c>
      <c r="Y15" s="3">
        <f>IF(tblOrdenes[[#This Row],[puesto_trabajo]]="","",_xlfn.XLOOKUP(tblOrdenes[[#This Row],[puesto_trabajo]],tblPuestos[codigo],tblPuestos[especialidad],"(sin catálogo)"))</f>
        <v/>
      </c>
      <c r="Z15" s="3">
        <f>IF(tblOrdenes[[#This Row],[cod_actividad]]="","",_xlfn.XLOOKUP(tblOrdenes[[#This Row],[cod_actividad]],tblActividades[codigo],tblActividades[descripcion],"(sin catálogo)"))</f>
        <v/>
      </c>
      <c r="AA15" s="13">
        <f>IF(tblOrdenes[[#This Row],[fecha_inicio]]="","",TODAY()-tblOrdenes[[#This Row],[fecha_inicio]])</f>
        <v/>
      </c>
      <c r="AB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" s="3">
        <f>IF(tblOrdenes[[#This Row],[backlog_habiles]]="","",IF(tblOrdenes[[#This Row],[backlog_habiles]]&lt;0,"FUTURO",IF(tblOrdenes[[#This Row],[backlog_habiles]]&gt;p_dias_backlog_max,"BACKLOG","MES CORRIENTE")))</f>
        <v/>
      </c>
      <c r="AD15" s="3">
        <f>IF(tblOrdenes[[#This Row],[backlog_habiles]]="",FALSE,AND(tblOrdenes[[#This Row],[backlog_habiles]]&gt;p_dias_backlog_min,tblOrdenes[[#This Row],[backlog_habiles]]&lt;=p_dias_backlog_max))</f>
        <v/>
      </c>
      <c r="AE15" s="6" t="inlineStr"/>
      <c r="AF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" s="11">
        <f>IF(tblOrdenes[[#This Row],[orden]]="","",_xlfn.XLOOKUP(tblOrdenes[[#This Row],[id_operacion]],tblEjecucion[id_operacion],tblEjecucion[precio],0))</f>
        <v/>
      </c>
      <c r="AJ15" s="11">
        <f>IF(tblOrdenes[[#This Row],[orden]]="","",MAX(0,_xlfn.XLOOKUP(tblOrdenes[[#This Row],[id_operacion]],tblEjecucion[id_operacion],tblEjecucion[costo_plan_total],0)-tblOrdenes[[#This Row],[costo_servicio]]))</f>
        <v/>
      </c>
      <c r="AK15" s="11">
        <f>IF(tblOrdenes[[#This Row],[orden]]="","",tblOrdenes[[#This Row],[costo_servicio]]+tblOrdenes[[#This Row],[costo_materiales]])</f>
        <v/>
      </c>
      <c r="AL15" s="6" t="inlineStr">
        <is>
          <t>PT-CALIENTE</t>
        </is>
      </c>
      <c r="AM15" s="6" t="inlineStr">
        <is>
          <t>LOTO</t>
        </is>
      </c>
      <c r="AN15" s="6" t="inlineStr"/>
      <c r="AO15" s="3">
        <f>IF(tblOrdenes[[#This Row],[link_checklist]]="","",HYPERLINK(p_ruta_base_checklists&amp;tblOrdenes[[#This Row],[link_checklist]],"abrir"))</f>
        <v/>
      </c>
      <c r="AP15" s="6" t="inlineStr"/>
      <c r="AQ15" s="3">
        <f>IF(tblOrdenes[[#This Row],[orden]]="","",tblOrdenes[[#This Row],[orden]]&amp;IF(tblOrdenes[[#This Row],[operacion]]="","0010",tblOrdenes[[#This Row],[operacion]]))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2" t="n">
        <v>46232</v>
      </c>
      <c r="K16" s="3" t="n">
        <v>8</v>
      </c>
      <c r="L16" s="11" t="n">
        <v>200</v>
      </c>
      <c r="M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" s="3">
        <f>IF(tblOrdenes[[#This Row],[fecha_inicio]]="","",YEAR(tblOrdenes[[#This Row],[fecha_inicio]]))</f>
        <v/>
      </c>
      <c r="Q16" s="3">
        <f>IF(tblOrdenes[[#This Row],[fecha_inicio]]="","",MONTH(tblOrdenes[[#This Row],[fecha_inicio]]))</f>
        <v/>
      </c>
      <c r="R16" s="3">
        <f>IF(tblOrdenes[[#This Row],[fecha_inicio]]="","",INDEX(lista_dias,WEEKDAY(tblOrdenes[[#This Row],[fecha_inicio]],2)))</f>
        <v/>
      </c>
      <c r="S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" s="3">
        <f>IF(tblOrdenes[[#This Row],[tipo_ot]]="","",_xlfn.XLOOKUP(tblOrdenes[[#This Row],[tipo_ot]],tblTiposOT[codigo],tblTiposOT[clasificacion],"sin_clasificar"))</f>
        <v/>
      </c>
      <c r="U16" s="3">
        <f>IF(tblOrdenes[[#This Row],[centro_costo]]="","",_xlfn.XLOOKUP(tblOrdenes[[#This Row],[centro_costo]],tblCECO[codigo],tblCECO[linea],"(sin catálogo)"))</f>
        <v/>
      </c>
      <c r="V16" s="3">
        <f>IF(tblOrdenes[[#This Row],[centro_costo]]="","",_xlfn.XLOOKUP(tblOrdenes[[#This Row],[centro_costo]],tblCECO[codigo],tblCECO[area],"(sin catálogo)"))</f>
        <v/>
      </c>
      <c r="W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" s="3">
        <f>IF(tblOrdenes[[#This Row],[centro_costo]]="","",_xlfn.XLOOKUP(tblOrdenes[[#This Row],[centro_costo]],tblCECO[codigo],tblCECO[coordinador],"(sin catálogo)"))</f>
        <v/>
      </c>
      <c r="Y16" s="3">
        <f>IF(tblOrdenes[[#This Row],[puesto_trabajo]]="","",_xlfn.XLOOKUP(tblOrdenes[[#This Row],[puesto_trabajo]],tblPuestos[codigo],tblPuestos[especialidad],"(sin catálogo)"))</f>
        <v/>
      </c>
      <c r="Z16" s="3">
        <f>IF(tblOrdenes[[#This Row],[cod_actividad]]="","",_xlfn.XLOOKUP(tblOrdenes[[#This Row],[cod_actividad]],tblActividades[codigo],tblActividades[descripcion],"(sin catálogo)"))</f>
        <v/>
      </c>
      <c r="AA16" s="13">
        <f>IF(tblOrdenes[[#This Row],[fecha_inicio]]="","",TODAY()-tblOrdenes[[#This Row],[fecha_inicio]])</f>
        <v/>
      </c>
      <c r="AB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" s="3">
        <f>IF(tblOrdenes[[#This Row],[backlog_habiles]]="","",IF(tblOrdenes[[#This Row],[backlog_habiles]]&lt;0,"FUTURO",IF(tblOrdenes[[#This Row],[backlog_habiles]]&gt;p_dias_backlog_max,"BACKLOG","MES CORRIENTE")))</f>
        <v/>
      </c>
      <c r="AD16" s="3">
        <f>IF(tblOrdenes[[#This Row],[backlog_habiles]]="",FALSE,AND(tblOrdenes[[#This Row],[backlog_habiles]]&gt;p_dias_backlog_min,tblOrdenes[[#This Row],[backlog_habiles]]&lt;=p_dias_backlog_max))</f>
        <v/>
      </c>
      <c r="AE16" s="6" t="inlineStr">
        <is>
          <t>Técnico 01</t>
        </is>
      </c>
      <c r="AF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" s="11">
        <f>IF(tblOrdenes[[#This Row],[orden]]="","",_xlfn.XLOOKUP(tblOrdenes[[#This Row],[id_operacion]],tblEjecucion[id_operacion],tblEjecucion[precio],0))</f>
        <v/>
      </c>
      <c r="AJ16" s="11">
        <f>IF(tblOrdenes[[#This Row],[orden]]="","",MAX(0,_xlfn.XLOOKUP(tblOrdenes[[#This Row],[id_operacion]],tblEjecucion[id_operacion],tblEjecucion[costo_plan_total],0)-tblOrdenes[[#This Row],[costo_servicio]]))</f>
        <v/>
      </c>
      <c r="AK16" s="11">
        <f>IF(tblOrdenes[[#This Row],[orden]]="","",tblOrdenes[[#This Row],[costo_servicio]]+tblOrdenes[[#This Row],[costo_materiales]])</f>
        <v/>
      </c>
      <c r="AL16" s="6" t="inlineStr"/>
      <c r="AM16" s="6" t="inlineStr"/>
      <c r="AN16" s="6" t="inlineStr">
        <is>
          <t>ACT-02.pdf</t>
        </is>
      </c>
      <c r="AO16" s="3">
        <f>IF(tblOrdenes[[#This Row],[link_checklist]]="","",HYPERLINK(p_ruta_base_checklists&amp;tblOrdenes[[#This Row],[link_checklist]],"abrir"))</f>
        <v/>
      </c>
      <c r="AP16" s="6" t="inlineStr">
        <is>
          <t>Ajuste 8 → 12 h en hoja AJUSTES</t>
        </is>
      </c>
      <c r="AQ16" s="3">
        <f>IF(tblOrdenes[[#This Row],[orden]]="","",tblOrdenes[[#This Row],[orden]]&amp;IF(tblOrdenes[[#This Row],[operacion]]="","0010",tblOrdenes[[#This Row],[operacion]]))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2" t="n">
        <v>46233</v>
      </c>
      <c r="K17" s="3" t="n">
        <v>8</v>
      </c>
      <c r="L17" s="11" t="n">
        <v>200</v>
      </c>
      <c r="M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" s="3">
        <f>IF(tblOrdenes[[#This Row],[fecha_inicio]]="","",YEAR(tblOrdenes[[#This Row],[fecha_inicio]]))</f>
        <v/>
      </c>
      <c r="Q17" s="3">
        <f>IF(tblOrdenes[[#This Row],[fecha_inicio]]="","",MONTH(tblOrdenes[[#This Row],[fecha_inicio]]))</f>
        <v/>
      </c>
      <c r="R17" s="3">
        <f>IF(tblOrdenes[[#This Row],[fecha_inicio]]="","",INDEX(lista_dias,WEEKDAY(tblOrdenes[[#This Row],[fecha_inicio]],2)))</f>
        <v/>
      </c>
      <c r="S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" s="3">
        <f>IF(tblOrdenes[[#This Row],[tipo_ot]]="","",_xlfn.XLOOKUP(tblOrdenes[[#This Row],[tipo_ot]],tblTiposOT[codigo],tblTiposOT[clasificacion],"sin_clasificar"))</f>
        <v/>
      </c>
      <c r="U17" s="3">
        <f>IF(tblOrdenes[[#This Row],[centro_costo]]="","",_xlfn.XLOOKUP(tblOrdenes[[#This Row],[centro_costo]],tblCECO[codigo],tblCECO[linea],"(sin catálogo)"))</f>
        <v/>
      </c>
      <c r="V17" s="3">
        <f>IF(tblOrdenes[[#This Row],[centro_costo]]="","",_xlfn.XLOOKUP(tblOrdenes[[#This Row],[centro_costo]],tblCECO[codigo],tblCECO[area],"(sin catálogo)"))</f>
        <v/>
      </c>
      <c r="W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" s="3">
        <f>IF(tblOrdenes[[#This Row],[centro_costo]]="","",_xlfn.XLOOKUP(tblOrdenes[[#This Row],[centro_costo]],tblCECO[codigo],tblCECO[coordinador],"(sin catálogo)"))</f>
        <v/>
      </c>
      <c r="Y17" s="3">
        <f>IF(tblOrdenes[[#This Row],[puesto_trabajo]]="","",_xlfn.XLOOKUP(tblOrdenes[[#This Row],[puesto_trabajo]],tblPuestos[codigo],tblPuestos[especialidad],"(sin catálogo)"))</f>
        <v/>
      </c>
      <c r="Z17" s="3">
        <f>IF(tblOrdenes[[#This Row],[cod_actividad]]="","",_xlfn.XLOOKUP(tblOrdenes[[#This Row],[cod_actividad]],tblActividades[codigo],tblActividades[descripcion],"(sin catálogo)"))</f>
        <v/>
      </c>
      <c r="AA17" s="13">
        <f>IF(tblOrdenes[[#This Row],[fecha_inicio]]="","",TODAY()-tblOrdenes[[#This Row],[fecha_inicio]])</f>
        <v/>
      </c>
      <c r="AB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" s="3">
        <f>IF(tblOrdenes[[#This Row],[backlog_habiles]]="","",IF(tblOrdenes[[#This Row],[backlog_habiles]]&lt;0,"FUTURO",IF(tblOrdenes[[#This Row],[backlog_habiles]]&gt;p_dias_backlog_max,"BACKLOG","MES CORRIENTE")))</f>
        <v/>
      </c>
      <c r="AD17" s="3">
        <f>IF(tblOrdenes[[#This Row],[backlog_habiles]]="",FALSE,AND(tblOrdenes[[#This Row],[backlog_habiles]]&gt;p_dias_backlog_min,tblOrdenes[[#This Row],[backlog_habiles]]&lt;=p_dias_backlog_max))</f>
        <v/>
      </c>
      <c r="AE17" s="6" t="inlineStr">
        <is>
          <t>Técnico 07</t>
        </is>
      </c>
      <c r="AF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" s="11">
        <f>IF(tblOrdenes[[#This Row],[orden]]="","",_xlfn.XLOOKUP(tblOrdenes[[#This Row],[id_operacion]],tblEjecucion[id_operacion],tblEjecucion[precio],0))</f>
        <v/>
      </c>
      <c r="AJ17" s="11">
        <f>IF(tblOrdenes[[#This Row],[orden]]="","",MAX(0,_xlfn.XLOOKUP(tblOrdenes[[#This Row],[id_operacion]],tblEjecucion[id_operacion],tblEjecucion[costo_plan_total],0)-tblOrdenes[[#This Row],[costo_servicio]]))</f>
        <v/>
      </c>
      <c r="AK17" s="11">
        <f>IF(tblOrdenes[[#This Row],[orden]]="","",tblOrdenes[[#This Row],[costo_servicio]]+tblOrdenes[[#This Row],[costo_materiales]])</f>
        <v/>
      </c>
      <c r="AL17" s="6" t="inlineStr"/>
      <c r="AM17" s="6" t="inlineStr"/>
      <c r="AN17" s="6" t="inlineStr">
        <is>
          <t>ACT-04.pdf</t>
        </is>
      </c>
      <c r="AO17" s="3">
        <f>IF(tblOrdenes[[#This Row],[link_checklist]]="","",HYPERLINK(p_ruta_base_checklists&amp;tblOrdenes[[#This Row],[link_checklist]],"abrir"))</f>
        <v/>
      </c>
      <c r="AP17" s="6" t="inlineStr"/>
      <c r="AQ17" s="3">
        <f>IF(tblOrdenes[[#This Row],[orden]]="","",tblOrdenes[[#This Row],[orden]]&amp;IF(tblOrdenes[[#This Row],[operacion]]="","0010",tblOrdenes[[#This Row],[operacion]]))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2" t="n">
        <v>46234</v>
      </c>
      <c r="K18" s="3" t="n">
        <v>6</v>
      </c>
      <c r="L18" s="11" t="n">
        <v>150</v>
      </c>
      <c r="M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" s="3">
        <f>IF(tblOrdenes[[#This Row],[fecha_inicio]]="","",YEAR(tblOrdenes[[#This Row],[fecha_inicio]]))</f>
        <v/>
      </c>
      <c r="Q18" s="3">
        <f>IF(tblOrdenes[[#This Row],[fecha_inicio]]="","",MONTH(tblOrdenes[[#This Row],[fecha_inicio]]))</f>
        <v/>
      </c>
      <c r="R18" s="3">
        <f>IF(tblOrdenes[[#This Row],[fecha_inicio]]="","",INDEX(lista_dias,WEEKDAY(tblOrdenes[[#This Row],[fecha_inicio]],2)))</f>
        <v/>
      </c>
      <c r="S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" s="3">
        <f>IF(tblOrdenes[[#This Row],[tipo_ot]]="","",_xlfn.XLOOKUP(tblOrdenes[[#This Row],[tipo_ot]],tblTiposOT[codigo],tblTiposOT[clasificacion],"sin_clasificar"))</f>
        <v/>
      </c>
      <c r="U18" s="3">
        <f>IF(tblOrdenes[[#This Row],[centro_costo]]="","",_xlfn.XLOOKUP(tblOrdenes[[#This Row],[centro_costo]],tblCECO[codigo],tblCECO[linea],"(sin catálogo)"))</f>
        <v/>
      </c>
      <c r="V18" s="3">
        <f>IF(tblOrdenes[[#This Row],[centro_costo]]="","",_xlfn.XLOOKUP(tblOrdenes[[#This Row],[centro_costo]],tblCECO[codigo],tblCECO[area],"(sin catálogo)"))</f>
        <v/>
      </c>
      <c r="W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" s="3">
        <f>IF(tblOrdenes[[#This Row],[centro_costo]]="","",_xlfn.XLOOKUP(tblOrdenes[[#This Row],[centro_costo]],tblCECO[codigo],tblCECO[coordinador],"(sin catálogo)"))</f>
        <v/>
      </c>
      <c r="Y18" s="3">
        <f>IF(tblOrdenes[[#This Row],[puesto_trabajo]]="","",_xlfn.XLOOKUP(tblOrdenes[[#This Row],[puesto_trabajo]],tblPuestos[codigo],tblPuestos[especialidad],"(sin catálogo)"))</f>
        <v/>
      </c>
      <c r="Z18" s="3">
        <f>IF(tblOrdenes[[#This Row],[cod_actividad]]="","",_xlfn.XLOOKUP(tblOrdenes[[#This Row],[cod_actividad]],tblActividades[codigo],tblActividades[descripcion],"(sin catálogo)"))</f>
        <v/>
      </c>
      <c r="AA18" s="13">
        <f>IF(tblOrdenes[[#This Row],[fecha_inicio]]="","",TODAY()-tblOrdenes[[#This Row],[fecha_inicio]])</f>
        <v/>
      </c>
      <c r="AB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" s="3">
        <f>IF(tblOrdenes[[#This Row],[backlog_habiles]]="","",IF(tblOrdenes[[#This Row],[backlog_habiles]]&lt;0,"FUTURO",IF(tblOrdenes[[#This Row],[backlog_habiles]]&gt;p_dias_backlog_max,"BACKLOG","MES CORRIENTE")))</f>
        <v/>
      </c>
      <c r="AD18" s="3">
        <f>IF(tblOrdenes[[#This Row],[backlog_habiles]]="",FALSE,AND(tblOrdenes[[#This Row],[backlog_habiles]]&gt;p_dias_backlog_min,tblOrdenes[[#This Row],[backlog_habiles]]&lt;=p_dias_backlog_max))</f>
        <v/>
      </c>
      <c r="AE18" s="6" t="inlineStr">
        <is>
          <t>Técnico 01</t>
        </is>
      </c>
      <c r="AF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" s="11">
        <f>IF(tblOrdenes[[#This Row],[orden]]="","",_xlfn.XLOOKUP(tblOrdenes[[#This Row],[id_operacion]],tblEjecucion[id_operacion],tblEjecucion[precio],0))</f>
        <v/>
      </c>
      <c r="AJ18" s="11">
        <f>IF(tblOrdenes[[#This Row],[orden]]="","",MAX(0,_xlfn.XLOOKUP(tblOrdenes[[#This Row],[id_operacion]],tblEjecucion[id_operacion],tblEjecucion[costo_plan_total],0)-tblOrdenes[[#This Row],[costo_servicio]]))</f>
        <v/>
      </c>
      <c r="AK18" s="11">
        <f>IF(tblOrdenes[[#This Row],[orden]]="","",tblOrdenes[[#This Row],[costo_servicio]]+tblOrdenes[[#This Row],[costo_materiales]])</f>
        <v/>
      </c>
      <c r="AL18" s="6" t="inlineStr"/>
      <c r="AM18" s="6" t="inlineStr"/>
      <c r="AN18" s="6" t="inlineStr">
        <is>
          <t>ACT-01.pdf</t>
        </is>
      </c>
      <c r="AO18" s="3">
        <f>IF(tblOrdenes[[#This Row],[link_checklist]]="","",HYPERLINK(p_ruta_base_checklists&amp;tblOrdenes[[#This Row],[link_checklist]],"abrir"))</f>
        <v/>
      </c>
      <c r="AP18" s="6" t="inlineStr"/>
      <c r="AQ18" s="3">
        <f>IF(tblOrdenes[[#This Row],[orden]]="","",tblOrdenes[[#This Row],[orden]]&amp;IF(tblOrdenes[[#This Row],[operacion]]="","0010",tblOrdenes[[#This Row],[operacion]]))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2" t="n">
        <v>46230</v>
      </c>
      <c r="K19" s="3" t="n">
        <v>10</v>
      </c>
      <c r="L19" s="11" t="n">
        <v>250</v>
      </c>
      <c r="M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" s="3">
        <f>IF(tblOrdenes[[#This Row],[fecha_inicio]]="","",YEAR(tblOrdenes[[#This Row],[fecha_inicio]]))</f>
        <v/>
      </c>
      <c r="Q19" s="3">
        <f>IF(tblOrdenes[[#This Row],[fecha_inicio]]="","",MONTH(tblOrdenes[[#This Row],[fecha_inicio]]))</f>
        <v/>
      </c>
      <c r="R19" s="3">
        <f>IF(tblOrdenes[[#This Row],[fecha_inicio]]="","",INDEX(lista_dias,WEEKDAY(tblOrdenes[[#This Row],[fecha_inicio]],2)))</f>
        <v/>
      </c>
      <c r="S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" s="3">
        <f>IF(tblOrdenes[[#This Row],[tipo_ot]]="","",_xlfn.XLOOKUP(tblOrdenes[[#This Row],[tipo_ot]],tblTiposOT[codigo],tblTiposOT[clasificacion],"sin_clasificar"))</f>
        <v/>
      </c>
      <c r="U19" s="3">
        <f>IF(tblOrdenes[[#This Row],[centro_costo]]="","",_xlfn.XLOOKUP(tblOrdenes[[#This Row],[centro_costo]],tblCECO[codigo],tblCECO[linea],"(sin catálogo)"))</f>
        <v/>
      </c>
      <c r="V19" s="3">
        <f>IF(tblOrdenes[[#This Row],[centro_costo]]="","",_xlfn.XLOOKUP(tblOrdenes[[#This Row],[centro_costo]],tblCECO[codigo],tblCECO[area],"(sin catálogo)"))</f>
        <v/>
      </c>
      <c r="W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" s="3">
        <f>IF(tblOrdenes[[#This Row],[centro_costo]]="","",_xlfn.XLOOKUP(tblOrdenes[[#This Row],[centro_costo]],tblCECO[codigo],tblCECO[coordinador],"(sin catálogo)"))</f>
        <v/>
      </c>
      <c r="Y19" s="3">
        <f>IF(tblOrdenes[[#This Row],[puesto_trabajo]]="","",_xlfn.XLOOKUP(tblOrdenes[[#This Row],[puesto_trabajo]],tblPuestos[codigo],tblPuestos[especialidad],"(sin catálogo)"))</f>
        <v/>
      </c>
      <c r="Z19" s="3">
        <f>IF(tblOrdenes[[#This Row],[cod_actividad]]="","",_xlfn.XLOOKUP(tblOrdenes[[#This Row],[cod_actividad]],tblActividades[codigo],tblActividades[descripcion],"(sin catálogo)"))</f>
        <v/>
      </c>
      <c r="AA19" s="13">
        <f>IF(tblOrdenes[[#This Row],[fecha_inicio]]="","",TODAY()-tblOrdenes[[#This Row],[fecha_inicio]])</f>
        <v/>
      </c>
      <c r="AB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" s="3">
        <f>IF(tblOrdenes[[#This Row],[backlog_habiles]]="","",IF(tblOrdenes[[#This Row],[backlog_habiles]]&lt;0,"FUTURO",IF(tblOrdenes[[#This Row],[backlog_habiles]]&gt;p_dias_backlog_max,"BACKLOG","MES CORRIENTE")))</f>
        <v/>
      </c>
      <c r="AD19" s="3">
        <f>IF(tblOrdenes[[#This Row],[backlog_habiles]]="",FALSE,AND(tblOrdenes[[#This Row],[backlog_habiles]]&gt;p_dias_backlog_min,tblOrdenes[[#This Row],[backlog_habiles]]&lt;=p_dias_backlog_max))</f>
        <v/>
      </c>
      <c r="AE19" s="6" t="inlineStr">
        <is>
          <t>Técnico 02</t>
        </is>
      </c>
      <c r="AF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" s="11">
        <f>IF(tblOrdenes[[#This Row],[orden]]="","",_xlfn.XLOOKUP(tblOrdenes[[#This Row],[id_operacion]],tblEjecucion[id_operacion],tblEjecucion[precio],0))</f>
        <v/>
      </c>
      <c r="AJ19" s="11">
        <f>IF(tblOrdenes[[#This Row],[orden]]="","",MAX(0,_xlfn.XLOOKUP(tblOrdenes[[#This Row],[id_operacion]],tblEjecucion[id_operacion],tblEjecucion[costo_plan_total],0)-tblOrdenes[[#This Row],[costo_servicio]]))</f>
        <v/>
      </c>
      <c r="AK19" s="11">
        <f>IF(tblOrdenes[[#This Row],[orden]]="","",tblOrdenes[[#This Row],[costo_servicio]]+tblOrdenes[[#This Row],[costo_materiales]])</f>
        <v/>
      </c>
      <c r="AL19" s="6" t="inlineStr"/>
      <c r="AM19" s="6" t="inlineStr"/>
      <c r="AN19" s="6" t="inlineStr">
        <is>
          <t>ACT-02.pdf</t>
        </is>
      </c>
      <c r="AO19" s="3">
        <f>IF(tblOrdenes[[#This Row],[link_checklist]]="","",HYPERLINK(p_ruta_base_checklists&amp;tblOrdenes[[#This Row],[link_checklist]],"abrir"))</f>
        <v/>
      </c>
      <c r="AP19" s="6" t="inlineStr"/>
      <c r="AQ19" s="3">
        <f>IF(tblOrdenes[[#This Row],[orden]]="","",tblOrdenes[[#This Row],[orden]]&amp;IF(tblOrdenes[[#This Row],[operacion]]="","0010",tblOrdenes[[#This Row],[operacion]]))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2" t="n">
        <v>46231</v>
      </c>
      <c r="K20" s="3" t="n">
        <v>8</v>
      </c>
      <c r="L20" s="11" t="n">
        <v>200</v>
      </c>
      <c r="M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" s="3">
        <f>IF(tblOrdenes[[#This Row],[fecha_inicio]]="","",YEAR(tblOrdenes[[#This Row],[fecha_inicio]]))</f>
        <v/>
      </c>
      <c r="Q20" s="3">
        <f>IF(tblOrdenes[[#This Row],[fecha_inicio]]="","",MONTH(tblOrdenes[[#This Row],[fecha_inicio]]))</f>
        <v/>
      </c>
      <c r="R20" s="3">
        <f>IF(tblOrdenes[[#This Row],[fecha_inicio]]="","",INDEX(lista_dias,WEEKDAY(tblOrdenes[[#This Row],[fecha_inicio]],2)))</f>
        <v/>
      </c>
      <c r="S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" s="3">
        <f>IF(tblOrdenes[[#This Row],[tipo_ot]]="","",_xlfn.XLOOKUP(tblOrdenes[[#This Row],[tipo_ot]],tblTiposOT[codigo],tblTiposOT[clasificacion],"sin_clasificar"))</f>
        <v/>
      </c>
      <c r="U20" s="3">
        <f>IF(tblOrdenes[[#This Row],[centro_costo]]="","",_xlfn.XLOOKUP(tblOrdenes[[#This Row],[centro_costo]],tblCECO[codigo],tblCECO[linea],"(sin catálogo)"))</f>
        <v/>
      </c>
      <c r="V20" s="3">
        <f>IF(tblOrdenes[[#This Row],[centro_costo]]="","",_xlfn.XLOOKUP(tblOrdenes[[#This Row],[centro_costo]],tblCECO[codigo],tblCECO[area],"(sin catálogo)"))</f>
        <v/>
      </c>
      <c r="W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" s="3">
        <f>IF(tblOrdenes[[#This Row],[centro_costo]]="","",_xlfn.XLOOKUP(tblOrdenes[[#This Row],[centro_costo]],tblCECO[codigo],tblCECO[coordinador],"(sin catálogo)"))</f>
        <v/>
      </c>
      <c r="Y20" s="3">
        <f>IF(tblOrdenes[[#This Row],[puesto_trabajo]]="","",_xlfn.XLOOKUP(tblOrdenes[[#This Row],[puesto_trabajo]],tblPuestos[codigo],tblPuestos[especialidad],"(sin catálogo)"))</f>
        <v/>
      </c>
      <c r="Z20" s="3">
        <f>IF(tblOrdenes[[#This Row],[cod_actividad]]="","",_xlfn.XLOOKUP(tblOrdenes[[#This Row],[cod_actividad]],tblActividades[codigo],tblActividades[descripcion],"(sin catálogo)"))</f>
        <v/>
      </c>
      <c r="AA20" s="13">
        <f>IF(tblOrdenes[[#This Row],[fecha_inicio]]="","",TODAY()-tblOrdenes[[#This Row],[fecha_inicio]])</f>
        <v/>
      </c>
      <c r="AB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" s="3">
        <f>IF(tblOrdenes[[#This Row],[backlog_habiles]]="","",IF(tblOrdenes[[#This Row],[backlog_habiles]]&lt;0,"FUTURO",IF(tblOrdenes[[#This Row],[backlog_habiles]]&gt;p_dias_backlog_max,"BACKLOG","MES CORRIENTE")))</f>
        <v/>
      </c>
      <c r="AD20" s="3">
        <f>IF(tblOrdenes[[#This Row],[backlog_habiles]]="",FALSE,AND(tblOrdenes[[#This Row],[backlog_habiles]]&gt;p_dias_backlog_min,tblOrdenes[[#This Row],[backlog_habiles]]&lt;=p_dias_backlog_max))</f>
        <v/>
      </c>
      <c r="AE20" s="6" t="inlineStr">
        <is>
          <t>Técnico 03</t>
        </is>
      </c>
      <c r="AF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" s="11">
        <f>IF(tblOrdenes[[#This Row],[orden]]="","",_xlfn.XLOOKUP(tblOrdenes[[#This Row],[id_operacion]],tblEjecucion[id_operacion],tblEjecucion[precio],0))</f>
        <v/>
      </c>
      <c r="AJ20" s="11">
        <f>IF(tblOrdenes[[#This Row],[orden]]="","",MAX(0,_xlfn.XLOOKUP(tblOrdenes[[#This Row],[id_operacion]],tblEjecucion[id_operacion],tblEjecucion[costo_plan_total],0)-tblOrdenes[[#This Row],[costo_servicio]]))</f>
        <v/>
      </c>
      <c r="AK20" s="11">
        <f>IF(tblOrdenes[[#This Row],[orden]]="","",tblOrdenes[[#This Row],[costo_servicio]]+tblOrdenes[[#This Row],[costo_materiales]])</f>
        <v/>
      </c>
      <c r="AL20" s="6" t="inlineStr"/>
      <c r="AM20" s="6" t="inlineStr"/>
      <c r="AN20" s="6" t="inlineStr">
        <is>
          <t>ACT-04.pdf</t>
        </is>
      </c>
      <c r="AO20" s="3">
        <f>IF(tblOrdenes[[#This Row],[link_checklist]]="","",HYPERLINK(p_ruta_base_checklists&amp;tblOrdenes[[#This Row],[link_checklist]],"abrir"))</f>
        <v/>
      </c>
      <c r="AP20" s="6" t="inlineStr"/>
      <c r="AQ20" s="3">
        <f>IF(tblOrdenes[[#This Row],[orden]]="","",tblOrdenes[[#This Row],[orden]]&amp;IF(tblOrdenes[[#This Row],[operacion]]="","0010",tblOrdenes[[#This Row],[operacion]]))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2" t="n">
        <v>46232</v>
      </c>
      <c r="K21" s="3" t="n">
        <v>6</v>
      </c>
      <c r="L21" s="11" t="n">
        <v>150</v>
      </c>
      <c r="M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" s="3">
        <f>IF(tblOrdenes[[#This Row],[fecha_inicio]]="","",YEAR(tblOrdenes[[#This Row],[fecha_inicio]]))</f>
        <v/>
      </c>
      <c r="Q21" s="3">
        <f>IF(tblOrdenes[[#This Row],[fecha_inicio]]="","",MONTH(tblOrdenes[[#This Row],[fecha_inicio]]))</f>
        <v/>
      </c>
      <c r="R21" s="3">
        <f>IF(tblOrdenes[[#This Row],[fecha_inicio]]="","",INDEX(lista_dias,WEEKDAY(tblOrdenes[[#This Row],[fecha_inicio]],2)))</f>
        <v/>
      </c>
      <c r="S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" s="3">
        <f>IF(tblOrdenes[[#This Row],[tipo_ot]]="","",_xlfn.XLOOKUP(tblOrdenes[[#This Row],[tipo_ot]],tblTiposOT[codigo],tblTiposOT[clasificacion],"sin_clasificar"))</f>
        <v/>
      </c>
      <c r="U21" s="3">
        <f>IF(tblOrdenes[[#This Row],[centro_costo]]="","",_xlfn.XLOOKUP(tblOrdenes[[#This Row],[centro_costo]],tblCECO[codigo],tblCECO[linea],"(sin catálogo)"))</f>
        <v/>
      </c>
      <c r="V21" s="3">
        <f>IF(tblOrdenes[[#This Row],[centro_costo]]="","",_xlfn.XLOOKUP(tblOrdenes[[#This Row],[centro_costo]],tblCECO[codigo],tblCECO[area],"(sin catálogo)"))</f>
        <v/>
      </c>
      <c r="W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" s="3">
        <f>IF(tblOrdenes[[#This Row],[centro_costo]]="","",_xlfn.XLOOKUP(tblOrdenes[[#This Row],[centro_costo]],tblCECO[codigo],tblCECO[coordinador],"(sin catálogo)"))</f>
        <v/>
      </c>
      <c r="Y21" s="3">
        <f>IF(tblOrdenes[[#This Row],[puesto_trabajo]]="","",_xlfn.XLOOKUP(tblOrdenes[[#This Row],[puesto_trabajo]],tblPuestos[codigo],tblPuestos[especialidad],"(sin catálogo)"))</f>
        <v/>
      </c>
      <c r="Z21" s="3">
        <f>IF(tblOrdenes[[#This Row],[cod_actividad]]="","",_xlfn.XLOOKUP(tblOrdenes[[#This Row],[cod_actividad]],tblActividades[codigo],tblActividades[descripcion],"(sin catálogo)"))</f>
        <v/>
      </c>
      <c r="AA21" s="13">
        <f>IF(tblOrdenes[[#This Row],[fecha_inicio]]="","",TODAY()-tblOrdenes[[#This Row],[fecha_inicio]])</f>
        <v/>
      </c>
      <c r="AB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" s="3">
        <f>IF(tblOrdenes[[#This Row],[backlog_habiles]]="","",IF(tblOrdenes[[#This Row],[backlog_habiles]]&lt;0,"FUTURO",IF(tblOrdenes[[#This Row],[backlog_habiles]]&gt;p_dias_backlog_max,"BACKLOG","MES CORRIENTE")))</f>
        <v/>
      </c>
      <c r="AD21" s="3">
        <f>IF(tblOrdenes[[#This Row],[backlog_habiles]]="",FALSE,AND(tblOrdenes[[#This Row],[backlog_habiles]]&gt;p_dias_backlog_min,tblOrdenes[[#This Row],[backlog_habiles]]&lt;=p_dias_backlog_max))</f>
        <v/>
      </c>
      <c r="AE21" s="6" t="inlineStr">
        <is>
          <t>Técnico 04</t>
        </is>
      </c>
      <c r="AF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" s="11">
        <f>IF(tblOrdenes[[#This Row],[orden]]="","",_xlfn.XLOOKUP(tblOrdenes[[#This Row],[id_operacion]],tblEjecucion[id_operacion],tblEjecucion[precio],0))</f>
        <v/>
      </c>
      <c r="AJ21" s="11">
        <f>IF(tblOrdenes[[#This Row],[orden]]="","",MAX(0,_xlfn.XLOOKUP(tblOrdenes[[#This Row],[id_operacion]],tblEjecucion[id_operacion],tblEjecucion[costo_plan_total],0)-tblOrdenes[[#This Row],[costo_servicio]]))</f>
        <v/>
      </c>
      <c r="AK21" s="11">
        <f>IF(tblOrdenes[[#This Row],[orden]]="","",tblOrdenes[[#This Row],[costo_servicio]]+tblOrdenes[[#This Row],[costo_materiales]])</f>
        <v/>
      </c>
      <c r="AL21" s="6" t="inlineStr"/>
      <c r="AM21" s="6" t="inlineStr"/>
      <c r="AN21" s="6" t="inlineStr">
        <is>
          <t>ACT-01.pdf</t>
        </is>
      </c>
      <c r="AO21" s="3">
        <f>IF(tblOrdenes[[#This Row],[link_checklist]]="","",HYPERLINK(p_ruta_base_checklists&amp;tblOrdenes[[#This Row],[link_checklist]],"abrir"))</f>
        <v/>
      </c>
      <c r="AP21" s="6" t="inlineStr"/>
      <c r="AQ21" s="3">
        <f>IF(tblOrdenes[[#This Row],[orden]]="","",tblOrdenes[[#This Row],[orden]]&amp;IF(tblOrdenes[[#This Row],[operacion]]="","0010",tblOrdenes[[#This Row],[operacion]]))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2" t="n">
        <v>46233</v>
      </c>
      <c r="K22" s="3" t="n">
        <v>10</v>
      </c>
      <c r="L22" s="11" t="n">
        <v>250</v>
      </c>
      <c r="M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" s="3">
        <f>IF(tblOrdenes[[#This Row],[fecha_inicio]]="","",YEAR(tblOrdenes[[#This Row],[fecha_inicio]]))</f>
        <v/>
      </c>
      <c r="Q22" s="3">
        <f>IF(tblOrdenes[[#This Row],[fecha_inicio]]="","",MONTH(tblOrdenes[[#This Row],[fecha_inicio]]))</f>
        <v/>
      </c>
      <c r="R22" s="3">
        <f>IF(tblOrdenes[[#This Row],[fecha_inicio]]="","",INDEX(lista_dias,WEEKDAY(tblOrdenes[[#This Row],[fecha_inicio]],2)))</f>
        <v/>
      </c>
      <c r="S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" s="3">
        <f>IF(tblOrdenes[[#This Row],[tipo_ot]]="","",_xlfn.XLOOKUP(tblOrdenes[[#This Row],[tipo_ot]],tblTiposOT[codigo],tblTiposOT[clasificacion],"sin_clasificar"))</f>
        <v/>
      </c>
      <c r="U22" s="3">
        <f>IF(tblOrdenes[[#This Row],[centro_costo]]="","",_xlfn.XLOOKUP(tblOrdenes[[#This Row],[centro_costo]],tblCECO[codigo],tblCECO[linea],"(sin catálogo)"))</f>
        <v/>
      </c>
      <c r="V22" s="3">
        <f>IF(tblOrdenes[[#This Row],[centro_costo]]="","",_xlfn.XLOOKUP(tblOrdenes[[#This Row],[centro_costo]],tblCECO[codigo],tblCECO[area],"(sin catálogo)"))</f>
        <v/>
      </c>
      <c r="W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" s="3">
        <f>IF(tblOrdenes[[#This Row],[centro_costo]]="","",_xlfn.XLOOKUP(tblOrdenes[[#This Row],[centro_costo]],tblCECO[codigo],tblCECO[coordinador],"(sin catálogo)"))</f>
        <v/>
      </c>
      <c r="Y22" s="3">
        <f>IF(tblOrdenes[[#This Row],[puesto_trabajo]]="","",_xlfn.XLOOKUP(tblOrdenes[[#This Row],[puesto_trabajo]],tblPuestos[codigo],tblPuestos[especialidad],"(sin catálogo)"))</f>
        <v/>
      </c>
      <c r="Z22" s="3">
        <f>IF(tblOrdenes[[#This Row],[cod_actividad]]="","",_xlfn.XLOOKUP(tblOrdenes[[#This Row],[cod_actividad]],tblActividades[codigo],tblActividades[descripcion],"(sin catálogo)"))</f>
        <v/>
      </c>
      <c r="AA22" s="13">
        <f>IF(tblOrdenes[[#This Row],[fecha_inicio]]="","",TODAY()-tblOrdenes[[#This Row],[fecha_inicio]])</f>
        <v/>
      </c>
      <c r="AB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" s="3">
        <f>IF(tblOrdenes[[#This Row],[backlog_habiles]]="","",IF(tblOrdenes[[#This Row],[backlog_habiles]]&lt;0,"FUTURO",IF(tblOrdenes[[#This Row],[backlog_habiles]]&gt;p_dias_backlog_max,"BACKLOG","MES CORRIENTE")))</f>
        <v/>
      </c>
      <c r="AD22" s="3">
        <f>IF(tblOrdenes[[#This Row],[backlog_habiles]]="",FALSE,AND(tblOrdenes[[#This Row],[backlog_habiles]]&gt;p_dias_backlog_min,tblOrdenes[[#This Row],[backlog_habiles]]&lt;=p_dias_backlog_max))</f>
        <v/>
      </c>
      <c r="AE22" s="6" t="inlineStr"/>
      <c r="AF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" s="11">
        <f>IF(tblOrdenes[[#This Row],[orden]]="","",_xlfn.XLOOKUP(tblOrdenes[[#This Row],[id_operacion]],tblEjecucion[id_operacion],tblEjecucion[precio],0))</f>
        <v/>
      </c>
      <c r="AJ22" s="11">
        <f>IF(tblOrdenes[[#This Row],[orden]]="","",MAX(0,_xlfn.XLOOKUP(tblOrdenes[[#This Row],[id_operacion]],tblEjecucion[id_operacion],tblEjecucion[costo_plan_total],0)-tblOrdenes[[#This Row],[costo_servicio]]))</f>
        <v/>
      </c>
      <c r="AK22" s="11">
        <f>IF(tblOrdenes[[#This Row],[orden]]="","",tblOrdenes[[#This Row],[costo_servicio]]+tblOrdenes[[#This Row],[costo_materiales]])</f>
        <v/>
      </c>
      <c r="AL22" s="6" t="inlineStr"/>
      <c r="AM22" s="6" t="inlineStr"/>
      <c r="AN22" s="6" t="inlineStr">
        <is>
          <t>ACT-02.pdf</t>
        </is>
      </c>
      <c r="AO22" s="3">
        <f>IF(tblOrdenes[[#This Row],[link_checklist]]="","",HYPERLINK(p_ruta_base_checklists&amp;tblOrdenes[[#This Row],[link_checklist]],"abrir"))</f>
        <v/>
      </c>
      <c r="AP22" s="6" t="inlineStr"/>
      <c r="AQ22" s="3">
        <f>IF(tblOrdenes[[#This Row],[orden]]="","",tblOrdenes[[#This Row],[orden]]&amp;IF(tblOrdenes[[#This Row],[operacion]]="","0010",tblOrdenes[[#This Row],[operacion]]))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2" t="n">
        <v>46234</v>
      </c>
      <c r="K23" s="3" t="n">
        <v>8</v>
      </c>
      <c r="L23" s="11" t="n">
        <v>200</v>
      </c>
      <c r="M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" s="3">
        <f>IF(tblOrdenes[[#This Row],[fecha_inicio]]="","",YEAR(tblOrdenes[[#This Row],[fecha_inicio]]))</f>
        <v/>
      </c>
      <c r="Q23" s="3">
        <f>IF(tblOrdenes[[#This Row],[fecha_inicio]]="","",MONTH(tblOrdenes[[#This Row],[fecha_inicio]]))</f>
        <v/>
      </c>
      <c r="R23" s="3">
        <f>IF(tblOrdenes[[#This Row],[fecha_inicio]]="","",INDEX(lista_dias,WEEKDAY(tblOrdenes[[#This Row],[fecha_inicio]],2)))</f>
        <v/>
      </c>
      <c r="S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" s="3">
        <f>IF(tblOrdenes[[#This Row],[tipo_ot]]="","",_xlfn.XLOOKUP(tblOrdenes[[#This Row],[tipo_ot]],tblTiposOT[codigo],tblTiposOT[clasificacion],"sin_clasificar"))</f>
        <v/>
      </c>
      <c r="U23" s="3">
        <f>IF(tblOrdenes[[#This Row],[centro_costo]]="","",_xlfn.XLOOKUP(tblOrdenes[[#This Row],[centro_costo]],tblCECO[codigo],tblCECO[linea],"(sin catálogo)"))</f>
        <v/>
      </c>
      <c r="V23" s="3">
        <f>IF(tblOrdenes[[#This Row],[centro_costo]]="","",_xlfn.XLOOKUP(tblOrdenes[[#This Row],[centro_costo]],tblCECO[codigo],tblCECO[area],"(sin catálogo)"))</f>
        <v/>
      </c>
      <c r="W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" s="3">
        <f>IF(tblOrdenes[[#This Row],[centro_costo]]="","",_xlfn.XLOOKUP(tblOrdenes[[#This Row],[centro_costo]],tblCECO[codigo],tblCECO[coordinador],"(sin catálogo)"))</f>
        <v/>
      </c>
      <c r="Y23" s="3">
        <f>IF(tblOrdenes[[#This Row],[puesto_trabajo]]="","",_xlfn.XLOOKUP(tblOrdenes[[#This Row],[puesto_trabajo]],tblPuestos[codigo],tblPuestos[especialidad],"(sin catálogo)"))</f>
        <v/>
      </c>
      <c r="Z23" s="3">
        <f>IF(tblOrdenes[[#This Row],[cod_actividad]]="","",_xlfn.XLOOKUP(tblOrdenes[[#This Row],[cod_actividad]],tblActividades[codigo],tblActividades[descripcion],"(sin catálogo)"))</f>
        <v/>
      </c>
      <c r="AA23" s="13">
        <f>IF(tblOrdenes[[#This Row],[fecha_inicio]]="","",TODAY()-tblOrdenes[[#This Row],[fecha_inicio]])</f>
        <v/>
      </c>
      <c r="AB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" s="3">
        <f>IF(tblOrdenes[[#This Row],[backlog_habiles]]="","",IF(tblOrdenes[[#This Row],[backlog_habiles]]&lt;0,"FUTURO",IF(tblOrdenes[[#This Row],[backlog_habiles]]&gt;p_dias_backlog_max,"BACKLOG","MES CORRIENTE")))</f>
        <v/>
      </c>
      <c r="AD23" s="3">
        <f>IF(tblOrdenes[[#This Row],[backlog_habiles]]="",FALSE,AND(tblOrdenes[[#This Row],[backlog_habiles]]&gt;p_dias_backlog_min,tblOrdenes[[#This Row],[backlog_habiles]]&lt;=p_dias_backlog_max))</f>
        <v/>
      </c>
      <c r="AE23" s="6" t="inlineStr">
        <is>
          <t>Técnico 06</t>
        </is>
      </c>
      <c r="AF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" s="11">
        <f>IF(tblOrdenes[[#This Row],[orden]]="","",_xlfn.XLOOKUP(tblOrdenes[[#This Row],[id_operacion]],tblEjecucion[id_operacion],tblEjecucion[precio],0))</f>
        <v/>
      </c>
      <c r="AJ23" s="11">
        <f>IF(tblOrdenes[[#This Row],[orden]]="","",MAX(0,_xlfn.XLOOKUP(tblOrdenes[[#This Row],[id_operacion]],tblEjecucion[id_operacion],tblEjecucion[costo_plan_total],0)-tblOrdenes[[#This Row],[costo_servicio]]))</f>
        <v/>
      </c>
      <c r="AK23" s="11">
        <f>IF(tblOrdenes[[#This Row],[orden]]="","",tblOrdenes[[#This Row],[costo_servicio]]+tblOrdenes[[#This Row],[costo_materiales]])</f>
        <v/>
      </c>
      <c r="AL23" s="6" t="inlineStr"/>
      <c r="AM23" s="6" t="inlineStr"/>
      <c r="AN23" s="6" t="inlineStr">
        <is>
          <t>ACT-04.pdf</t>
        </is>
      </c>
      <c r="AO23" s="3">
        <f>IF(tblOrdenes[[#This Row],[link_checklist]]="","",HYPERLINK(p_ruta_base_checklists&amp;tblOrdenes[[#This Row],[link_checklist]],"abrir"))</f>
        <v/>
      </c>
      <c r="AP23" s="6" t="inlineStr"/>
      <c r="AQ23" s="3">
        <f>IF(tblOrdenes[[#This Row],[orden]]="","",tblOrdenes[[#This Row],[orden]]&amp;IF(tblOrdenes[[#This Row],[operacion]]="","0010",tblOrdenes[[#This Row],[operacion]]))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2" t="n">
        <v>46230</v>
      </c>
      <c r="K24" s="3" t="n">
        <v>6</v>
      </c>
      <c r="L24" s="11" t="n">
        <v>150</v>
      </c>
      <c r="M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" s="3">
        <f>IF(tblOrdenes[[#This Row],[fecha_inicio]]="","",YEAR(tblOrdenes[[#This Row],[fecha_inicio]]))</f>
        <v/>
      </c>
      <c r="Q24" s="3">
        <f>IF(tblOrdenes[[#This Row],[fecha_inicio]]="","",MONTH(tblOrdenes[[#This Row],[fecha_inicio]]))</f>
        <v/>
      </c>
      <c r="R24" s="3">
        <f>IF(tblOrdenes[[#This Row],[fecha_inicio]]="","",INDEX(lista_dias,WEEKDAY(tblOrdenes[[#This Row],[fecha_inicio]],2)))</f>
        <v/>
      </c>
      <c r="S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" s="3">
        <f>IF(tblOrdenes[[#This Row],[tipo_ot]]="","",_xlfn.XLOOKUP(tblOrdenes[[#This Row],[tipo_ot]],tblTiposOT[codigo],tblTiposOT[clasificacion],"sin_clasificar"))</f>
        <v/>
      </c>
      <c r="U24" s="3">
        <f>IF(tblOrdenes[[#This Row],[centro_costo]]="","",_xlfn.XLOOKUP(tblOrdenes[[#This Row],[centro_costo]],tblCECO[codigo],tblCECO[linea],"(sin catálogo)"))</f>
        <v/>
      </c>
      <c r="V24" s="3">
        <f>IF(tblOrdenes[[#This Row],[centro_costo]]="","",_xlfn.XLOOKUP(tblOrdenes[[#This Row],[centro_costo]],tblCECO[codigo],tblCECO[area],"(sin catálogo)"))</f>
        <v/>
      </c>
      <c r="W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" s="3">
        <f>IF(tblOrdenes[[#This Row],[centro_costo]]="","",_xlfn.XLOOKUP(tblOrdenes[[#This Row],[centro_costo]],tblCECO[codigo],tblCECO[coordinador],"(sin catálogo)"))</f>
        <v/>
      </c>
      <c r="Y24" s="3">
        <f>IF(tblOrdenes[[#This Row],[puesto_trabajo]]="","",_xlfn.XLOOKUP(tblOrdenes[[#This Row],[puesto_trabajo]],tblPuestos[codigo],tblPuestos[especialidad],"(sin catálogo)"))</f>
        <v/>
      </c>
      <c r="Z24" s="3">
        <f>IF(tblOrdenes[[#This Row],[cod_actividad]]="","",_xlfn.XLOOKUP(tblOrdenes[[#This Row],[cod_actividad]],tblActividades[codigo],tblActividades[descripcion],"(sin catálogo)"))</f>
        <v/>
      </c>
      <c r="AA24" s="13">
        <f>IF(tblOrdenes[[#This Row],[fecha_inicio]]="","",TODAY()-tblOrdenes[[#This Row],[fecha_inicio]])</f>
        <v/>
      </c>
      <c r="AB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" s="3">
        <f>IF(tblOrdenes[[#This Row],[backlog_habiles]]="","",IF(tblOrdenes[[#This Row],[backlog_habiles]]&lt;0,"FUTURO",IF(tblOrdenes[[#This Row],[backlog_habiles]]&gt;p_dias_backlog_max,"BACKLOG","MES CORRIENTE")))</f>
        <v/>
      </c>
      <c r="AD24" s="3">
        <f>IF(tblOrdenes[[#This Row],[backlog_habiles]]="",FALSE,AND(tblOrdenes[[#This Row],[backlog_habiles]]&gt;p_dias_backlog_min,tblOrdenes[[#This Row],[backlog_habiles]]&lt;=p_dias_backlog_max))</f>
        <v/>
      </c>
      <c r="AE24" s="6" t="inlineStr">
        <is>
          <t>Técnico 07</t>
        </is>
      </c>
      <c r="AF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" s="11">
        <f>IF(tblOrdenes[[#This Row],[orden]]="","",_xlfn.XLOOKUP(tblOrdenes[[#This Row],[id_operacion]],tblEjecucion[id_operacion],tblEjecucion[precio],0))</f>
        <v/>
      </c>
      <c r="AJ24" s="11">
        <f>IF(tblOrdenes[[#This Row],[orden]]="","",MAX(0,_xlfn.XLOOKUP(tblOrdenes[[#This Row],[id_operacion]],tblEjecucion[id_operacion],tblEjecucion[costo_plan_total],0)-tblOrdenes[[#This Row],[costo_servicio]]))</f>
        <v/>
      </c>
      <c r="AK24" s="11">
        <f>IF(tblOrdenes[[#This Row],[orden]]="","",tblOrdenes[[#This Row],[costo_servicio]]+tblOrdenes[[#This Row],[costo_materiales]])</f>
        <v/>
      </c>
      <c r="AL24" s="6" t="inlineStr"/>
      <c r="AM24" s="6" t="inlineStr"/>
      <c r="AN24" s="6" t="inlineStr">
        <is>
          <t>ACT-01.pdf</t>
        </is>
      </c>
      <c r="AO24" s="3">
        <f>IF(tblOrdenes[[#This Row],[link_checklist]]="","",HYPERLINK(p_ruta_base_checklists&amp;tblOrdenes[[#This Row],[link_checklist]],"abrir"))</f>
        <v/>
      </c>
      <c r="AP24" s="6" t="inlineStr"/>
      <c r="AQ24" s="3">
        <f>IF(tblOrdenes[[#This Row],[orden]]="","",tblOrdenes[[#This Row],[orden]]&amp;IF(tblOrdenes[[#This Row],[operacion]]="","0010",tblOrdenes[[#This Row],[operacion]]))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2" t="n">
        <v>46231</v>
      </c>
      <c r="K25" s="3" t="n">
        <v>8</v>
      </c>
      <c r="L25" s="11" t="n">
        <v>200</v>
      </c>
      <c r="M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" s="3">
        <f>IF(tblOrdenes[[#This Row],[fecha_inicio]]="","",YEAR(tblOrdenes[[#This Row],[fecha_inicio]]))</f>
        <v/>
      </c>
      <c r="Q25" s="3">
        <f>IF(tblOrdenes[[#This Row],[fecha_inicio]]="","",MONTH(tblOrdenes[[#This Row],[fecha_inicio]]))</f>
        <v/>
      </c>
      <c r="R25" s="3">
        <f>IF(tblOrdenes[[#This Row],[fecha_inicio]]="","",INDEX(lista_dias,WEEKDAY(tblOrdenes[[#This Row],[fecha_inicio]],2)))</f>
        <v/>
      </c>
      <c r="S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" s="3">
        <f>IF(tblOrdenes[[#This Row],[tipo_ot]]="","",_xlfn.XLOOKUP(tblOrdenes[[#This Row],[tipo_ot]],tblTiposOT[codigo],tblTiposOT[clasificacion],"sin_clasificar"))</f>
        <v/>
      </c>
      <c r="U25" s="3">
        <f>IF(tblOrdenes[[#This Row],[centro_costo]]="","",_xlfn.XLOOKUP(tblOrdenes[[#This Row],[centro_costo]],tblCECO[codigo],tblCECO[linea],"(sin catálogo)"))</f>
        <v/>
      </c>
      <c r="V25" s="3">
        <f>IF(tblOrdenes[[#This Row],[centro_costo]]="","",_xlfn.XLOOKUP(tblOrdenes[[#This Row],[centro_costo]],tblCECO[codigo],tblCECO[area],"(sin catálogo)"))</f>
        <v/>
      </c>
      <c r="W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" s="3">
        <f>IF(tblOrdenes[[#This Row],[centro_costo]]="","",_xlfn.XLOOKUP(tblOrdenes[[#This Row],[centro_costo]],tblCECO[codigo],tblCECO[coordinador],"(sin catálogo)"))</f>
        <v/>
      </c>
      <c r="Y25" s="3">
        <f>IF(tblOrdenes[[#This Row],[puesto_trabajo]]="","",_xlfn.XLOOKUP(tblOrdenes[[#This Row],[puesto_trabajo]],tblPuestos[codigo],tblPuestos[especialidad],"(sin catálogo)"))</f>
        <v/>
      </c>
      <c r="Z25" s="3">
        <f>IF(tblOrdenes[[#This Row],[cod_actividad]]="","",_xlfn.XLOOKUP(tblOrdenes[[#This Row],[cod_actividad]],tblActividades[codigo],tblActividades[descripcion],"(sin catálogo)"))</f>
        <v/>
      </c>
      <c r="AA25" s="13">
        <f>IF(tblOrdenes[[#This Row],[fecha_inicio]]="","",TODAY()-tblOrdenes[[#This Row],[fecha_inicio]])</f>
        <v/>
      </c>
      <c r="AB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" s="3">
        <f>IF(tblOrdenes[[#This Row],[backlog_habiles]]="","",IF(tblOrdenes[[#This Row],[backlog_habiles]]&lt;0,"FUTURO",IF(tblOrdenes[[#This Row],[backlog_habiles]]&gt;p_dias_backlog_max,"BACKLOG","MES CORRIENTE")))</f>
        <v/>
      </c>
      <c r="AD25" s="3">
        <f>IF(tblOrdenes[[#This Row],[backlog_habiles]]="",FALSE,AND(tblOrdenes[[#This Row],[backlog_habiles]]&gt;p_dias_backlog_min,tblOrdenes[[#This Row],[backlog_habiles]]&lt;=p_dias_backlog_max))</f>
        <v/>
      </c>
      <c r="AE25" s="6" t="inlineStr">
        <is>
          <t>Técnico 01</t>
        </is>
      </c>
      <c r="AF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" s="11">
        <f>IF(tblOrdenes[[#This Row],[orden]]="","",_xlfn.XLOOKUP(tblOrdenes[[#This Row],[id_operacion]],tblEjecucion[id_operacion],tblEjecucion[precio],0))</f>
        <v/>
      </c>
      <c r="AJ25" s="11">
        <f>IF(tblOrdenes[[#This Row],[orden]]="","",MAX(0,_xlfn.XLOOKUP(tblOrdenes[[#This Row],[id_operacion]],tblEjecucion[id_operacion],tblEjecucion[costo_plan_total],0)-tblOrdenes[[#This Row],[costo_servicio]]))</f>
        <v/>
      </c>
      <c r="AK25" s="11">
        <f>IF(tblOrdenes[[#This Row],[orden]]="","",tblOrdenes[[#This Row],[costo_servicio]]+tblOrdenes[[#This Row],[costo_materiales]])</f>
        <v/>
      </c>
      <c r="AL25" s="6" t="inlineStr"/>
      <c r="AM25" s="6" t="inlineStr"/>
      <c r="AN25" s="6" t="inlineStr">
        <is>
          <t>ACT-02.pdf</t>
        </is>
      </c>
      <c r="AO25" s="3">
        <f>IF(tblOrdenes[[#This Row],[link_checklist]]="","",HYPERLINK(p_ruta_base_checklists&amp;tblOrdenes[[#This Row],[link_checklist]],"abrir"))</f>
        <v/>
      </c>
      <c r="AP25" s="6" t="inlineStr"/>
      <c r="AQ25" s="3">
        <f>IF(tblOrdenes[[#This Row],[orden]]="","",tblOrdenes[[#This Row],[orden]]&amp;IF(tblOrdenes[[#This Row],[operacion]]="","0010",tblOrdenes[[#This Row],[operacion]]))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2" t="n">
        <v>46232</v>
      </c>
      <c r="K26" s="3" t="n">
        <v>10</v>
      </c>
      <c r="L26" s="11" t="n">
        <v>400</v>
      </c>
      <c r="M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" s="3">
        <f>IF(tblOrdenes[[#This Row],[fecha_inicio]]="","",YEAR(tblOrdenes[[#This Row],[fecha_inicio]]))</f>
        <v/>
      </c>
      <c r="Q26" s="3">
        <f>IF(tblOrdenes[[#This Row],[fecha_inicio]]="","",MONTH(tblOrdenes[[#This Row],[fecha_inicio]]))</f>
        <v/>
      </c>
      <c r="R26" s="3">
        <f>IF(tblOrdenes[[#This Row],[fecha_inicio]]="","",INDEX(lista_dias,WEEKDAY(tblOrdenes[[#This Row],[fecha_inicio]],2)))</f>
        <v/>
      </c>
      <c r="S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" s="3">
        <f>IF(tblOrdenes[[#This Row],[tipo_ot]]="","",_xlfn.XLOOKUP(tblOrdenes[[#This Row],[tipo_ot]],tblTiposOT[codigo],tblTiposOT[clasificacion],"sin_clasificar"))</f>
        <v/>
      </c>
      <c r="U26" s="3">
        <f>IF(tblOrdenes[[#This Row],[centro_costo]]="","",_xlfn.XLOOKUP(tblOrdenes[[#This Row],[centro_costo]],tblCECO[codigo],tblCECO[linea],"(sin catálogo)"))</f>
        <v/>
      </c>
      <c r="V26" s="3">
        <f>IF(tblOrdenes[[#This Row],[centro_costo]]="","",_xlfn.XLOOKUP(tblOrdenes[[#This Row],[centro_costo]],tblCECO[codigo],tblCECO[area],"(sin catálogo)"))</f>
        <v/>
      </c>
      <c r="W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" s="3">
        <f>IF(tblOrdenes[[#This Row],[centro_costo]]="","",_xlfn.XLOOKUP(tblOrdenes[[#This Row],[centro_costo]],tblCECO[codigo],tblCECO[coordinador],"(sin catálogo)"))</f>
        <v/>
      </c>
      <c r="Y26" s="3">
        <f>IF(tblOrdenes[[#This Row],[puesto_trabajo]]="","",_xlfn.XLOOKUP(tblOrdenes[[#This Row],[puesto_trabajo]],tblPuestos[codigo],tblPuestos[especialidad],"(sin catálogo)"))</f>
        <v/>
      </c>
      <c r="Z26" s="3">
        <f>IF(tblOrdenes[[#This Row],[cod_actividad]]="","",_xlfn.XLOOKUP(tblOrdenes[[#This Row],[cod_actividad]],tblActividades[codigo],tblActividades[descripcion],"(sin catálogo)"))</f>
        <v/>
      </c>
      <c r="AA26" s="13">
        <f>IF(tblOrdenes[[#This Row],[fecha_inicio]]="","",TODAY()-tblOrdenes[[#This Row],[fecha_inicio]])</f>
        <v/>
      </c>
      <c r="AB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" s="3">
        <f>IF(tblOrdenes[[#This Row],[backlog_habiles]]="","",IF(tblOrdenes[[#This Row],[backlog_habiles]]&lt;0,"FUTURO",IF(tblOrdenes[[#This Row],[backlog_habiles]]&gt;p_dias_backlog_max,"BACKLOG","MES CORRIENTE")))</f>
        <v/>
      </c>
      <c r="AD26" s="3">
        <f>IF(tblOrdenes[[#This Row],[backlog_habiles]]="",FALSE,AND(tblOrdenes[[#This Row],[backlog_habiles]]&gt;p_dias_backlog_min,tblOrdenes[[#This Row],[backlog_habiles]]&lt;=p_dias_backlog_max))</f>
        <v/>
      </c>
      <c r="AE26" s="6" t="inlineStr">
        <is>
          <t>Técnico 02</t>
        </is>
      </c>
      <c r="AF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" s="11">
        <f>IF(tblOrdenes[[#This Row],[orden]]="","",_xlfn.XLOOKUP(tblOrdenes[[#This Row],[id_operacion]],tblEjecucion[id_operacion],tblEjecucion[precio],0))</f>
        <v/>
      </c>
      <c r="AJ26" s="11">
        <f>IF(tblOrdenes[[#This Row],[orden]]="","",MAX(0,_xlfn.XLOOKUP(tblOrdenes[[#This Row],[id_operacion]],tblEjecucion[id_operacion],tblEjecucion[costo_plan_total],0)-tblOrdenes[[#This Row],[costo_servicio]]))</f>
        <v/>
      </c>
      <c r="AK26" s="11">
        <f>IF(tblOrdenes[[#This Row],[orden]]="","",tblOrdenes[[#This Row],[costo_servicio]]+tblOrdenes[[#This Row],[costo_materiales]])</f>
        <v/>
      </c>
      <c r="AL26" s="6" t="inlineStr"/>
      <c r="AM26" s="6" t="inlineStr"/>
      <c r="AN26" s="6" t="inlineStr"/>
      <c r="AO26" s="3">
        <f>IF(tblOrdenes[[#This Row],[link_checklist]]="","",HYPERLINK(p_ruta_base_checklists&amp;tblOrdenes[[#This Row],[link_checklist]],"abrir"))</f>
        <v/>
      </c>
      <c r="AP26" s="6" t="inlineStr"/>
      <c r="AQ26" s="3">
        <f>IF(tblOrdenes[[#This Row],[orden]]="","",tblOrdenes[[#This Row],[orden]]&amp;IF(tblOrdenes[[#This Row],[operacion]]="","0010",tblOrdenes[[#This Row],[operacion]]))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2" t="n">
        <v>46233</v>
      </c>
      <c r="K27" s="3" t="n">
        <v>8</v>
      </c>
      <c r="L27" s="11" t="n">
        <v>320</v>
      </c>
      <c r="M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" s="3">
        <f>IF(tblOrdenes[[#This Row],[fecha_inicio]]="","",YEAR(tblOrdenes[[#This Row],[fecha_inicio]]))</f>
        <v/>
      </c>
      <c r="Q27" s="3">
        <f>IF(tblOrdenes[[#This Row],[fecha_inicio]]="","",MONTH(tblOrdenes[[#This Row],[fecha_inicio]]))</f>
        <v/>
      </c>
      <c r="R27" s="3">
        <f>IF(tblOrdenes[[#This Row],[fecha_inicio]]="","",INDEX(lista_dias,WEEKDAY(tblOrdenes[[#This Row],[fecha_inicio]],2)))</f>
        <v/>
      </c>
      <c r="S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" s="3">
        <f>IF(tblOrdenes[[#This Row],[tipo_ot]]="","",_xlfn.XLOOKUP(tblOrdenes[[#This Row],[tipo_ot]],tblTiposOT[codigo],tblTiposOT[clasificacion],"sin_clasificar"))</f>
        <v/>
      </c>
      <c r="U27" s="3">
        <f>IF(tblOrdenes[[#This Row],[centro_costo]]="","",_xlfn.XLOOKUP(tblOrdenes[[#This Row],[centro_costo]],tblCECO[codigo],tblCECO[linea],"(sin catálogo)"))</f>
        <v/>
      </c>
      <c r="V27" s="3">
        <f>IF(tblOrdenes[[#This Row],[centro_costo]]="","",_xlfn.XLOOKUP(tblOrdenes[[#This Row],[centro_costo]],tblCECO[codigo],tblCECO[area],"(sin catálogo)"))</f>
        <v/>
      </c>
      <c r="W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" s="3">
        <f>IF(tblOrdenes[[#This Row],[centro_costo]]="","",_xlfn.XLOOKUP(tblOrdenes[[#This Row],[centro_costo]],tblCECO[codigo],tblCECO[coordinador],"(sin catálogo)"))</f>
        <v/>
      </c>
      <c r="Y27" s="3">
        <f>IF(tblOrdenes[[#This Row],[puesto_trabajo]]="","",_xlfn.XLOOKUP(tblOrdenes[[#This Row],[puesto_trabajo]],tblPuestos[codigo],tblPuestos[especialidad],"(sin catálogo)"))</f>
        <v/>
      </c>
      <c r="Z27" s="3">
        <f>IF(tblOrdenes[[#This Row],[cod_actividad]]="","",_xlfn.XLOOKUP(tblOrdenes[[#This Row],[cod_actividad]],tblActividades[codigo],tblActividades[descripcion],"(sin catálogo)"))</f>
        <v/>
      </c>
      <c r="AA27" s="13">
        <f>IF(tblOrdenes[[#This Row],[fecha_inicio]]="","",TODAY()-tblOrdenes[[#This Row],[fecha_inicio]])</f>
        <v/>
      </c>
      <c r="AB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" s="3">
        <f>IF(tblOrdenes[[#This Row],[backlog_habiles]]="","",IF(tblOrdenes[[#This Row],[backlog_habiles]]&lt;0,"FUTURO",IF(tblOrdenes[[#This Row],[backlog_habiles]]&gt;p_dias_backlog_max,"BACKLOG","MES CORRIENTE")))</f>
        <v/>
      </c>
      <c r="AD27" s="3">
        <f>IF(tblOrdenes[[#This Row],[backlog_habiles]]="",FALSE,AND(tblOrdenes[[#This Row],[backlog_habiles]]&gt;p_dias_backlog_min,tblOrdenes[[#This Row],[backlog_habiles]]&lt;=p_dias_backlog_max))</f>
        <v/>
      </c>
      <c r="AE27" s="6" t="inlineStr"/>
      <c r="AF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" s="11">
        <f>IF(tblOrdenes[[#This Row],[orden]]="","",_xlfn.XLOOKUP(tblOrdenes[[#This Row],[id_operacion]],tblEjecucion[id_operacion],tblEjecucion[precio],0))</f>
        <v/>
      </c>
      <c r="AJ27" s="11">
        <f>IF(tblOrdenes[[#This Row],[orden]]="","",MAX(0,_xlfn.XLOOKUP(tblOrdenes[[#This Row],[id_operacion]],tblEjecucion[id_operacion],tblEjecucion[costo_plan_total],0)-tblOrdenes[[#This Row],[costo_servicio]]))</f>
        <v/>
      </c>
      <c r="AK27" s="11">
        <f>IF(tblOrdenes[[#This Row],[orden]]="","",tblOrdenes[[#This Row],[costo_servicio]]+tblOrdenes[[#This Row],[costo_materiales]])</f>
        <v/>
      </c>
      <c r="AL27" s="6" t="inlineStr">
        <is>
          <t>PT-CALIENTE</t>
        </is>
      </c>
      <c r="AM27" s="6" t="inlineStr">
        <is>
          <t>LOTO</t>
        </is>
      </c>
      <c r="AN27" s="6" t="inlineStr"/>
      <c r="AO27" s="3">
        <f>IF(tblOrdenes[[#This Row],[link_checklist]]="","",HYPERLINK(p_ruta_base_checklists&amp;tblOrdenes[[#This Row],[link_checklist]],"abrir"))</f>
        <v/>
      </c>
      <c r="AP27" s="6" t="inlineStr"/>
      <c r="AQ27" s="3">
        <f>IF(tblOrdenes[[#This Row],[orden]]="","",tblOrdenes[[#This Row],[orden]]&amp;IF(tblOrdenes[[#This Row],[operacion]]="","0010",tblOrdenes[[#This Row],[operacion]]))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2" t="n">
        <v>46234</v>
      </c>
      <c r="K28" s="3" t="n">
        <v>7</v>
      </c>
      <c r="L28" s="11" t="n">
        <v>280</v>
      </c>
      <c r="M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" s="3">
        <f>IF(tblOrdenes[[#This Row],[fecha_inicio]]="","",YEAR(tblOrdenes[[#This Row],[fecha_inicio]]))</f>
        <v/>
      </c>
      <c r="Q28" s="3">
        <f>IF(tblOrdenes[[#This Row],[fecha_inicio]]="","",MONTH(tblOrdenes[[#This Row],[fecha_inicio]]))</f>
        <v/>
      </c>
      <c r="R28" s="3">
        <f>IF(tblOrdenes[[#This Row],[fecha_inicio]]="","",INDEX(lista_dias,WEEKDAY(tblOrdenes[[#This Row],[fecha_inicio]],2)))</f>
        <v/>
      </c>
      <c r="S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" s="3">
        <f>IF(tblOrdenes[[#This Row],[tipo_ot]]="","",_xlfn.XLOOKUP(tblOrdenes[[#This Row],[tipo_ot]],tblTiposOT[codigo],tblTiposOT[clasificacion],"sin_clasificar"))</f>
        <v/>
      </c>
      <c r="U28" s="3">
        <f>IF(tblOrdenes[[#This Row],[centro_costo]]="","",_xlfn.XLOOKUP(tblOrdenes[[#This Row],[centro_costo]],tblCECO[codigo],tblCECO[linea],"(sin catálogo)"))</f>
        <v/>
      </c>
      <c r="V28" s="3">
        <f>IF(tblOrdenes[[#This Row],[centro_costo]]="","",_xlfn.XLOOKUP(tblOrdenes[[#This Row],[centro_costo]],tblCECO[codigo],tblCECO[area],"(sin catálogo)"))</f>
        <v/>
      </c>
      <c r="W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" s="3">
        <f>IF(tblOrdenes[[#This Row],[centro_costo]]="","",_xlfn.XLOOKUP(tblOrdenes[[#This Row],[centro_costo]],tblCECO[codigo],tblCECO[coordinador],"(sin catálogo)"))</f>
        <v/>
      </c>
      <c r="Y28" s="3">
        <f>IF(tblOrdenes[[#This Row],[puesto_trabajo]]="","",_xlfn.XLOOKUP(tblOrdenes[[#This Row],[puesto_trabajo]],tblPuestos[codigo],tblPuestos[especialidad],"(sin catálogo)"))</f>
        <v/>
      </c>
      <c r="Z28" s="3">
        <f>IF(tblOrdenes[[#This Row],[cod_actividad]]="","",_xlfn.XLOOKUP(tblOrdenes[[#This Row],[cod_actividad]],tblActividades[codigo],tblActividades[descripcion],"(sin catálogo)"))</f>
        <v/>
      </c>
      <c r="AA28" s="13">
        <f>IF(tblOrdenes[[#This Row],[fecha_inicio]]="","",TODAY()-tblOrdenes[[#This Row],[fecha_inicio]])</f>
        <v/>
      </c>
      <c r="AB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" s="3">
        <f>IF(tblOrdenes[[#This Row],[backlog_habiles]]="","",IF(tblOrdenes[[#This Row],[backlog_habiles]]&lt;0,"FUTURO",IF(tblOrdenes[[#This Row],[backlog_habiles]]&gt;p_dias_backlog_max,"BACKLOG","MES CORRIENTE")))</f>
        <v/>
      </c>
      <c r="AD28" s="3">
        <f>IF(tblOrdenes[[#This Row],[backlog_habiles]]="",FALSE,AND(tblOrdenes[[#This Row],[backlog_habiles]]&gt;p_dias_backlog_min,tblOrdenes[[#This Row],[backlog_habiles]]&lt;=p_dias_backlog_max))</f>
        <v/>
      </c>
      <c r="AE28" s="6" t="inlineStr">
        <is>
          <t>Técnico 04</t>
        </is>
      </c>
      <c r="AF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" s="11">
        <f>IF(tblOrdenes[[#This Row],[orden]]="","",_xlfn.XLOOKUP(tblOrdenes[[#This Row],[id_operacion]],tblEjecucion[id_operacion],tblEjecucion[precio],0))</f>
        <v/>
      </c>
      <c r="AJ28" s="11">
        <f>IF(tblOrdenes[[#This Row],[orden]]="","",MAX(0,_xlfn.XLOOKUP(tblOrdenes[[#This Row],[id_operacion]],tblEjecucion[id_operacion],tblEjecucion[costo_plan_total],0)-tblOrdenes[[#This Row],[costo_servicio]]))</f>
        <v/>
      </c>
      <c r="AK28" s="11">
        <f>IF(tblOrdenes[[#This Row],[orden]]="","",tblOrdenes[[#This Row],[costo_servicio]]+tblOrdenes[[#This Row],[costo_materiales]])</f>
        <v/>
      </c>
      <c r="AL28" s="6" t="inlineStr"/>
      <c r="AM28" s="6" t="inlineStr"/>
      <c r="AN28" s="6" t="inlineStr"/>
      <c r="AO28" s="3">
        <f>IF(tblOrdenes[[#This Row],[link_checklist]]="","",HYPERLINK(p_ruta_base_checklists&amp;tblOrdenes[[#This Row],[link_checklist]],"abrir"))</f>
        <v/>
      </c>
      <c r="AP28" s="6" t="inlineStr"/>
      <c r="AQ28" s="3">
        <f>IF(tblOrdenes[[#This Row],[orden]]="","",tblOrdenes[[#This Row],[orden]]&amp;IF(tblOrdenes[[#This Row],[operacion]]="","0010",tblOrdenes[[#This Row],[operacion]]))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2" t="n">
        <v>46237</v>
      </c>
      <c r="K29" s="3" t="n">
        <v>10</v>
      </c>
      <c r="L29" s="11" t="n">
        <v>250</v>
      </c>
      <c r="M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" s="3">
        <f>IF(tblOrdenes[[#This Row],[fecha_inicio]]="","",YEAR(tblOrdenes[[#This Row],[fecha_inicio]]))</f>
        <v/>
      </c>
      <c r="Q29" s="3">
        <f>IF(tblOrdenes[[#This Row],[fecha_inicio]]="","",MONTH(tblOrdenes[[#This Row],[fecha_inicio]]))</f>
        <v/>
      </c>
      <c r="R29" s="3">
        <f>IF(tblOrdenes[[#This Row],[fecha_inicio]]="","",INDEX(lista_dias,WEEKDAY(tblOrdenes[[#This Row],[fecha_inicio]],2)))</f>
        <v/>
      </c>
      <c r="S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" s="3">
        <f>IF(tblOrdenes[[#This Row],[tipo_ot]]="","",_xlfn.XLOOKUP(tblOrdenes[[#This Row],[tipo_ot]],tblTiposOT[codigo],tblTiposOT[clasificacion],"sin_clasificar"))</f>
        <v/>
      </c>
      <c r="U29" s="3">
        <f>IF(tblOrdenes[[#This Row],[centro_costo]]="","",_xlfn.XLOOKUP(tblOrdenes[[#This Row],[centro_costo]],tblCECO[codigo],tblCECO[linea],"(sin catálogo)"))</f>
        <v/>
      </c>
      <c r="V29" s="3">
        <f>IF(tblOrdenes[[#This Row],[centro_costo]]="","",_xlfn.XLOOKUP(tblOrdenes[[#This Row],[centro_costo]],tblCECO[codigo],tblCECO[area],"(sin catálogo)"))</f>
        <v/>
      </c>
      <c r="W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" s="3">
        <f>IF(tblOrdenes[[#This Row],[centro_costo]]="","",_xlfn.XLOOKUP(tblOrdenes[[#This Row],[centro_costo]],tblCECO[codigo],tblCECO[coordinador],"(sin catálogo)"))</f>
        <v/>
      </c>
      <c r="Y29" s="3">
        <f>IF(tblOrdenes[[#This Row],[puesto_trabajo]]="","",_xlfn.XLOOKUP(tblOrdenes[[#This Row],[puesto_trabajo]],tblPuestos[codigo],tblPuestos[especialidad],"(sin catálogo)"))</f>
        <v/>
      </c>
      <c r="Z29" s="3">
        <f>IF(tblOrdenes[[#This Row],[cod_actividad]]="","",_xlfn.XLOOKUP(tblOrdenes[[#This Row],[cod_actividad]],tblActividades[codigo],tblActividades[descripcion],"(sin catálogo)"))</f>
        <v/>
      </c>
      <c r="AA29" s="13">
        <f>IF(tblOrdenes[[#This Row],[fecha_inicio]]="","",TODAY()-tblOrdenes[[#This Row],[fecha_inicio]])</f>
        <v/>
      </c>
      <c r="AB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" s="3">
        <f>IF(tblOrdenes[[#This Row],[backlog_habiles]]="","",IF(tblOrdenes[[#This Row],[backlog_habiles]]&lt;0,"FUTURO",IF(tblOrdenes[[#This Row],[backlog_habiles]]&gt;p_dias_backlog_max,"BACKLOG","MES CORRIENTE")))</f>
        <v/>
      </c>
      <c r="AD29" s="3">
        <f>IF(tblOrdenes[[#This Row],[backlog_habiles]]="",FALSE,AND(tblOrdenes[[#This Row],[backlog_habiles]]&gt;p_dias_backlog_min,tblOrdenes[[#This Row],[backlog_habiles]]&lt;=p_dias_backlog_max))</f>
        <v/>
      </c>
      <c r="AE29" s="6" t="inlineStr">
        <is>
          <t>Técnico 02</t>
        </is>
      </c>
      <c r="AF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" s="11">
        <f>IF(tblOrdenes[[#This Row],[orden]]="","",_xlfn.XLOOKUP(tblOrdenes[[#This Row],[id_operacion]],tblEjecucion[id_operacion],tblEjecucion[precio],0))</f>
        <v/>
      </c>
      <c r="AJ29" s="11">
        <f>IF(tblOrdenes[[#This Row],[orden]]="","",MAX(0,_xlfn.XLOOKUP(tblOrdenes[[#This Row],[id_operacion]],tblEjecucion[id_operacion],tblEjecucion[costo_plan_total],0)-tblOrdenes[[#This Row],[costo_servicio]]))</f>
        <v/>
      </c>
      <c r="AK29" s="11">
        <f>IF(tblOrdenes[[#This Row],[orden]]="","",tblOrdenes[[#This Row],[costo_servicio]]+tblOrdenes[[#This Row],[costo_materiales]])</f>
        <v/>
      </c>
      <c r="AL29" s="6" t="inlineStr"/>
      <c r="AM29" s="6" t="inlineStr"/>
      <c r="AN29" s="6" t="inlineStr">
        <is>
          <t>ACT-04.pdf</t>
        </is>
      </c>
      <c r="AO29" s="3">
        <f>IF(tblOrdenes[[#This Row],[link_checklist]]="","",HYPERLINK(p_ruta_base_checklists&amp;tblOrdenes[[#This Row],[link_checklist]],"abrir"))</f>
        <v/>
      </c>
      <c r="AP29" s="6" t="inlineStr"/>
      <c r="AQ29" s="3">
        <f>IF(tblOrdenes[[#This Row],[orden]]="","",tblOrdenes[[#This Row],[orden]]&amp;IF(tblOrdenes[[#This Row],[operacion]]="","0010",tblOrdenes[[#This Row],[operacion]]))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2" t="n">
        <v>46238</v>
      </c>
      <c r="K30" s="3" t="n">
        <v>8</v>
      </c>
      <c r="L30" s="11" t="n">
        <v>200</v>
      </c>
      <c r="M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" s="3">
        <f>IF(tblOrdenes[[#This Row],[fecha_inicio]]="","",YEAR(tblOrdenes[[#This Row],[fecha_inicio]]))</f>
        <v/>
      </c>
      <c r="Q30" s="3">
        <f>IF(tblOrdenes[[#This Row],[fecha_inicio]]="","",MONTH(tblOrdenes[[#This Row],[fecha_inicio]]))</f>
        <v/>
      </c>
      <c r="R30" s="3">
        <f>IF(tblOrdenes[[#This Row],[fecha_inicio]]="","",INDEX(lista_dias,WEEKDAY(tblOrdenes[[#This Row],[fecha_inicio]],2)))</f>
        <v/>
      </c>
      <c r="S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" s="3">
        <f>IF(tblOrdenes[[#This Row],[tipo_ot]]="","",_xlfn.XLOOKUP(tblOrdenes[[#This Row],[tipo_ot]],tblTiposOT[codigo],tblTiposOT[clasificacion],"sin_clasificar"))</f>
        <v/>
      </c>
      <c r="U30" s="3">
        <f>IF(tblOrdenes[[#This Row],[centro_costo]]="","",_xlfn.XLOOKUP(tblOrdenes[[#This Row],[centro_costo]],tblCECO[codigo],tblCECO[linea],"(sin catálogo)"))</f>
        <v/>
      </c>
      <c r="V30" s="3">
        <f>IF(tblOrdenes[[#This Row],[centro_costo]]="","",_xlfn.XLOOKUP(tblOrdenes[[#This Row],[centro_costo]],tblCECO[codigo],tblCECO[area],"(sin catálogo)"))</f>
        <v/>
      </c>
      <c r="W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" s="3">
        <f>IF(tblOrdenes[[#This Row],[centro_costo]]="","",_xlfn.XLOOKUP(tblOrdenes[[#This Row],[centro_costo]],tblCECO[codigo],tblCECO[coordinador],"(sin catálogo)"))</f>
        <v/>
      </c>
      <c r="Y30" s="3">
        <f>IF(tblOrdenes[[#This Row],[puesto_trabajo]]="","",_xlfn.XLOOKUP(tblOrdenes[[#This Row],[puesto_trabajo]],tblPuestos[codigo],tblPuestos[especialidad],"(sin catálogo)"))</f>
        <v/>
      </c>
      <c r="Z30" s="3">
        <f>IF(tblOrdenes[[#This Row],[cod_actividad]]="","",_xlfn.XLOOKUP(tblOrdenes[[#This Row],[cod_actividad]],tblActividades[codigo],tblActividades[descripcion],"(sin catálogo)"))</f>
        <v/>
      </c>
      <c r="AA30" s="13">
        <f>IF(tblOrdenes[[#This Row],[fecha_inicio]]="","",TODAY()-tblOrdenes[[#This Row],[fecha_inicio]])</f>
        <v/>
      </c>
      <c r="AB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" s="3">
        <f>IF(tblOrdenes[[#This Row],[backlog_habiles]]="","",IF(tblOrdenes[[#This Row],[backlog_habiles]]&lt;0,"FUTURO",IF(tblOrdenes[[#This Row],[backlog_habiles]]&gt;p_dias_backlog_max,"BACKLOG","MES CORRIENTE")))</f>
        <v/>
      </c>
      <c r="AD30" s="3">
        <f>IF(tblOrdenes[[#This Row],[backlog_habiles]]="",FALSE,AND(tblOrdenes[[#This Row],[backlog_habiles]]&gt;p_dias_backlog_min,tblOrdenes[[#This Row],[backlog_habiles]]&lt;=p_dias_backlog_max))</f>
        <v/>
      </c>
      <c r="AE30" s="6" t="inlineStr">
        <is>
          <t>Técnico 03</t>
        </is>
      </c>
      <c r="AF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" s="11">
        <f>IF(tblOrdenes[[#This Row],[orden]]="","",_xlfn.XLOOKUP(tblOrdenes[[#This Row],[id_operacion]],tblEjecucion[id_operacion],tblEjecucion[precio],0))</f>
        <v/>
      </c>
      <c r="AJ30" s="11">
        <f>IF(tblOrdenes[[#This Row],[orden]]="","",MAX(0,_xlfn.XLOOKUP(tblOrdenes[[#This Row],[id_operacion]],tblEjecucion[id_operacion],tblEjecucion[costo_plan_total],0)-tblOrdenes[[#This Row],[costo_servicio]]))</f>
        <v/>
      </c>
      <c r="AK30" s="11">
        <f>IF(tblOrdenes[[#This Row],[orden]]="","",tblOrdenes[[#This Row],[costo_servicio]]+tblOrdenes[[#This Row],[costo_materiales]])</f>
        <v/>
      </c>
      <c r="AL30" s="6" t="inlineStr"/>
      <c r="AM30" s="6" t="inlineStr"/>
      <c r="AN30" s="6" t="inlineStr">
        <is>
          <t>ACT-01.pdf</t>
        </is>
      </c>
      <c r="AO30" s="3">
        <f>IF(tblOrdenes[[#This Row],[link_checklist]]="","",HYPERLINK(p_ruta_base_checklists&amp;tblOrdenes[[#This Row],[link_checklist]],"abrir"))</f>
        <v/>
      </c>
      <c r="AP30" s="6" t="inlineStr"/>
      <c r="AQ30" s="3">
        <f>IF(tblOrdenes[[#This Row],[orden]]="","",tblOrdenes[[#This Row],[orden]]&amp;IF(tblOrdenes[[#This Row],[operacion]]="","0010",tblOrdenes[[#This Row],[operacion]]))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2" t="n">
        <v>46239</v>
      </c>
      <c r="K31" s="3" t="n">
        <v>6</v>
      </c>
      <c r="L31" s="11" t="n">
        <v>150</v>
      </c>
      <c r="M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" s="3">
        <f>IF(tblOrdenes[[#This Row],[fecha_inicio]]="","",YEAR(tblOrdenes[[#This Row],[fecha_inicio]]))</f>
        <v/>
      </c>
      <c r="Q31" s="3">
        <f>IF(tblOrdenes[[#This Row],[fecha_inicio]]="","",MONTH(tblOrdenes[[#This Row],[fecha_inicio]]))</f>
        <v/>
      </c>
      <c r="R31" s="3">
        <f>IF(tblOrdenes[[#This Row],[fecha_inicio]]="","",INDEX(lista_dias,WEEKDAY(tblOrdenes[[#This Row],[fecha_inicio]],2)))</f>
        <v/>
      </c>
      <c r="S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" s="3">
        <f>IF(tblOrdenes[[#This Row],[tipo_ot]]="","",_xlfn.XLOOKUP(tblOrdenes[[#This Row],[tipo_ot]],tblTiposOT[codigo],tblTiposOT[clasificacion],"sin_clasificar"))</f>
        <v/>
      </c>
      <c r="U31" s="3">
        <f>IF(tblOrdenes[[#This Row],[centro_costo]]="","",_xlfn.XLOOKUP(tblOrdenes[[#This Row],[centro_costo]],tblCECO[codigo],tblCECO[linea],"(sin catálogo)"))</f>
        <v/>
      </c>
      <c r="V31" s="3">
        <f>IF(tblOrdenes[[#This Row],[centro_costo]]="","",_xlfn.XLOOKUP(tblOrdenes[[#This Row],[centro_costo]],tblCECO[codigo],tblCECO[area],"(sin catálogo)"))</f>
        <v/>
      </c>
      <c r="W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" s="3">
        <f>IF(tblOrdenes[[#This Row],[centro_costo]]="","",_xlfn.XLOOKUP(tblOrdenes[[#This Row],[centro_costo]],tblCECO[codigo],tblCECO[coordinador],"(sin catálogo)"))</f>
        <v/>
      </c>
      <c r="Y31" s="3">
        <f>IF(tblOrdenes[[#This Row],[puesto_trabajo]]="","",_xlfn.XLOOKUP(tblOrdenes[[#This Row],[puesto_trabajo]],tblPuestos[codigo],tblPuestos[especialidad],"(sin catálogo)"))</f>
        <v/>
      </c>
      <c r="Z31" s="3">
        <f>IF(tblOrdenes[[#This Row],[cod_actividad]]="","",_xlfn.XLOOKUP(tblOrdenes[[#This Row],[cod_actividad]],tblActividades[codigo],tblActividades[descripcion],"(sin catálogo)"))</f>
        <v/>
      </c>
      <c r="AA31" s="13">
        <f>IF(tblOrdenes[[#This Row],[fecha_inicio]]="","",TODAY()-tblOrdenes[[#This Row],[fecha_inicio]])</f>
        <v/>
      </c>
      <c r="AB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" s="3">
        <f>IF(tblOrdenes[[#This Row],[backlog_habiles]]="","",IF(tblOrdenes[[#This Row],[backlog_habiles]]&lt;0,"FUTURO",IF(tblOrdenes[[#This Row],[backlog_habiles]]&gt;p_dias_backlog_max,"BACKLOG","MES CORRIENTE")))</f>
        <v/>
      </c>
      <c r="AD31" s="3">
        <f>IF(tblOrdenes[[#This Row],[backlog_habiles]]="",FALSE,AND(tblOrdenes[[#This Row],[backlog_habiles]]&gt;p_dias_backlog_min,tblOrdenes[[#This Row],[backlog_habiles]]&lt;=p_dias_backlog_max))</f>
        <v/>
      </c>
      <c r="AE31" s="6" t="inlineStr"/>
      <c r="AF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" s="11">
        <f>IF(tblOrdenes[[#This Row],[orden]]="","",_xlfn.XLOOKUP(tblOrdenes[[#This Row],[id_operacion]],tblEjecucion[id_operacion],tblEjecucion[precio],0))</f>
        <v/>
      </c>
      <c r="AJ31" s="11">
        <f>IF(tblOrdenes[[#This Row],[orden]]="","",MAX(0,_xlfn.XLOOKUP(tblOrdenes[[#This Row],[id_operacion]],tblEjecucion[id_operacion],tblEjecucion[costo_plan_total],0)-tblOrdenes[[#This Row],[costo_servicio]]))</f>
        <v/>
      </c>
      <c r="AK31" s="11">
        <f>IF(tblOrdenes[[#This Row],[orden]]="","",tblOrdenes[[#This Row],[costo_servicio]]+tblOrdenes[[#This Row],[costo_materiales]])</f>
        <v/>
      </c>
      <c r="AL31" s="6" t="inlineStr"/>
      <c r="AM31" s="6" t="inlineStr"/>
      <c r="AN31" s="6" t="inlineStr">
        <is>
          <t>ACT-02.pdf</t>
        </is>
      </c>
      <c r="AO31" s="3">
        <f>IF(tblOrdenes[[#This Row],[link_checklist]]="","",HYPERLINK(p_ruta_base_checklists&amp;tblOrdenes[[#This Row],[link_checklist]],"abrir"))</f>
        <v/>
      </c>
      <c r="AP31" s="6" t="inlineStr"/>
      <c r="AQ31" s="3">
        <f>IF(tblOrdenes[[#This Row],[orden]]="","",tblOrdenes[[#This Row],[orden]]&amp;IF(tblOrdenes[[#This Row],[operacion]]="","0010",tblOrdenes[[#This Row],[operacion]]))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2" t="n">
        <v>46240</v>
      </c>
      <c r="K32" s="3" t="n">
        <v>10</v>
      </c>
      <c r="L32" s="11" t="n">
        <v>250</v>
      </c>
      <c r="M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" s="3">
        <f>IF(tblOrdenes[[#This Row],[fecha_inicio]]="","",YEAR(tblOrdenes[[#This Row],[fecha_inicio]]))</f>
        <v/>
      </c>
      <c r="Q32" s="3">
        <f>IF(tblOrdenes[[#This Row],[fecha_inicio]]="","",MONTH(tblOrdenes[[#This Row],[fecha_inicio]]))</f>
        <v/>
      </c>
      <c r="R32" s="3">
        <f>IF(tblOrdenes[[#This Row],[fecha_inicio]]="","",INDEX(lista_dias,WEEKDAY(tblOrdenes[[#This Row],[fecha_inicio]],2)))</f>
        <v/>
      </c>
      <c r="S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" s="3">
        <f>IF(tblOrdenes[[#This Row],[tipo_ot]]="","",_xlfn.XLOOKUP(tblOrdenes[[#This Row],[tipo_ot]],tblTiposOT[codigo],tblTiposOT[clasificacion],"sin_clasificar"))</f>
        <v/>
      </c>
      <c r="U32" s="3">
        <f>IF(tblOrdenes[[#This Row],[centro_costo]]="","",_xlfn.XLOOKUP(tblOrdenes[[#This Row],[centro_costo]],tblCECO[codigo],tblCECO[linea],"(sin catálogo)"))</f>
        <v/>
      </c>
      <c r="V32" s="3">
        <f>IF(tblOrdenes[[#This Row],[centro_costo]]="","",_xlfn.XLOOKUP(tblOrdenes[[#This Row],[centro_costo]],tblCECO[codigo],tblCECO[area],"(sin catálogo)"))</f>
        <v/>
      </c>
      <c r="W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" s="3">
        <f>IF(tblOrdenes[[#This Row],[centro_costo]]="","",_xlfn.XLOOKUP(tblOrdenes[[#This Row],[centro_costo]],tblCECO[codigo],tblCECO[coordinador],"(sin catálogo)"))</f>
        <v/>
      </c>
      <c r="Y32" s="3">
        <f>IF(tblOrdenes[[#This Row],[puesto_trabajo]]="","",_xlfn.XLOOKUP(tblOrdenes[[#This Row],[puesto_trabajo]],tblPuestos[codigo],tblPuestos[especialidad],"(sin catálogo)"))</f>
        <v/>
      </c>
      <c r="Z32" s="3">
        <f>IF(tblOrdenes[[#This Row],[cod_actividad]]="","",_xlfn.XLOOKUP(tblOrdenes[[#This Row],[cod_actividad]],tblActividades[codigo],tblActividades[descripcion],"(sin catálogo)"))</f>
        <v/>
      </c>
      <c r="AA32" s="13">
        <f>IF(tblOrdenes[[#This Row],[fecha_inicio]]="","",TODAY()-tblOrdenes[[#This Row],[fecha_inicio]])</f>
        <v/>
      </c>
      <c r="AB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" s="3">
        <f>IF(tblOrdenes[[#This Row],[backlog_habiles]]="","",IF(tblOrdenes[[#This Row],[backlog_habiles]]&lt;0,"FUTURO",IF(tblOrdenes[[#This Row],[backlog_habiles]]&gt;p_dias_backlog_max,"BACKLOG","MES CORRIENTE")))</f>
        <v/>
      </c>
      <c r="AD32" s="3">
        <f>IF(tblOrdenes[[#This Row],[backlog_habiles]]="",FALSE,AND(tblOrdenes[[#This Row],[backlog_habiles]]&gt;p_dias_backlog_min,tblOrdenes[[#This Row],[backlog_habiles]]&lt;=p_dias_backlog_max))</f>
        <v/>
      </c>
      <c r="AE32" s="6" t="inlineStr">
        <is>
          <t>Técnico 06</t>
        </is>
      </c>
      <c r="AF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" s="11">
        <f>IF(tblOrdenes[[#This Row],[orden]]="","",_xlfn.XLOOKUP(tblOrdenes[[#This Row],[id_operacion]],tblEjecucion[id_operacion],tblEjecucion[precio],0))</f>
        <v/>
      </c>
      <c r="AJ32" s="11">
        <f>IF(tblOrdenes[[#This Row],[orden]]="","",MAX(0,_xlfn.XLOOKUP(tblOrdenes[[#This Row],[id_operacion]],tblEjecucion[id_operacion],tblEjecucion[costo_plan_total],0)-tblOrdenes[[#This Row],[costo_servicio]]))</f>
        <v/>
      </c>
      <c r="AK32" s="11">
        <f>IF(tblOrdenes[[#This Row],[orden]]="","",tblOrdenes[[#This Row],[costo_servicio]]+tblOrdenes[[#This Row],[costo_materiales]])</f>
        <v/>
      </c>
      <c r="AL32" s="6" t="inlineStr"/>
      <c r="AM32" s="6" t="inlineStr"/>
      <c r="AN32" s="6" t="inlineStr">
        <is>
          <t>ACT-04.pdf</t>
        </is>
      </c>
      <c r="AO32" s="3">
        <f>IF(tblOrdenes[[#This Row],[link_checklist]]="","",HYPERLINK(p_ruta_base_checklists&amp;tblOrdenes[[#This Row],[link_checklist]],"abrir"))</f>
        <v/>
      </c>
      <c r="AP32" s="6" t="inlineStr"/>
      <c r="AQ32" s="3">
        <f>IF(tblOrdenes[[#This Row],[orden]]="","",tblOrdenes[[#This Row],[orden]]&amp;IF(tblOrdenes[[#This Row],[operacion]]="","0010",tblOrdenes[[#This Row],[operacion]]))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2" t="n">
        <v>46241</v>
      </c>
      <c r="K33" s="3" t="n">
        <v>8</v>
      </c>
      <c r="L33" s="11" t="n">
        <v>200</v>
      </c>
      <c r="M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" s="3">
        <f>IF(tblOrdenes[[#This Row],[fecha_inicio]]="","",YEAR(tblOrdenes[[#This Row],[fecha_inicio]]))</f>
        <v/>
      </c>
      <c r="Q33" s="3">
        <f>IF(tblOrdenes[[#This Row],[fecha_inicio]]="","",MONTH(tblOrdenes[[#This Row],[fecha_inicio]]))</f>
        <v/>
      </c>
      <c r="R33" s="3">
        <f>IF(tblOrdenes[[#This Row],[fecha_inicio]]="","",INDEX(lista_dias,WEEKDAY(tblOrdenes[[#This Row],[fecha_inicio]],2)))</f>
        <v/>
      </c>
      <c r="S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" s="3">
        <f>IF(tblOrdenes[[#This Row],[tipo_ot]]="","",_xlfn.XLOOKUP(tblOrdenes[[#This Row],[tipo_ot]],tblTiposOT[codigo],tblTiposOT[clasificacion],"sin_clasificar"))</f>
        <v/>
      </c>
      <c r="U33" s="3">
        <f>IF(tblOrdenes[[#This Row],[centro_costo]]="","",_xlfn.XLOOKUP(tblOrdenes[[#This Row],[centro_costo]],tblCECO[codigo],tblCECO[linea],"(sin catálogo)"))</f>
        <v/>
      </c>
      <c r="V33" s="3">
        <f>IF(tblOrdenes[[#This Row],[centro_costo]]="","",_xlfn.XLOOKUP(tblOrdenes[[#This Row],[centro_costo]],tblCECO[codigo],tblCECO[area],"(sin catálogo)"))</f>
        <v/>
      </c>
      <c r="W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" s="3">
        <f>IF(tblOrdenes[[#This Row],[centro_costo]]="","",_xlfn.XLOOKUP(tblOrdenes[[#This Row],[centro_costo]],tblCECO[codigo],tblCECO[coordinador],"(sin catálogo)"))</f>
        <v/>
      </c>
      <c r="Y33" s="3">
        <f>IF(tblOrdenes[[#This Row],[puesto_trabajo]]="","",_xlfn.XLOOKUP(tblOrdenes[[#This Row],[puesto_trabajo]],tblPuestos[codigo],tblPuestos[especialidad],"(sin catálogo)"))</f>
        <v/>
      </c>
      <c r="Z33" s="3">
        <f>IF(tblOrdenes[[#This Row],[cod_actividad]]="","",_xlfn.XLOOKUP(tblOrdenes[[#This Row],[cod_actividad]],tblActividades[codigo],tblActividades[descripcion],"(sin catálogo)"))</f>
        <v/>
      </c>
      <c r="AA33" s="13">
        <f>IF(tblOrdenes[[#This Row],[fecha_inicio]]="","",TODAY()-tblOrdenes[[#This Row],[fecha_inicio]])</f>
        <v/>
      </c>
      <c r="AB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" s="3">
        <f>IF(tblOrdenes[[#This Row],[backlog_habiles]]="","",IF(tblOrdenes[[#This Row],[backlog_habiles]]&lt;0,"FUTURO",IF(tblOrdenes[[#This Row],[backlog_habiles]]&gt;p_dias_backlog_max,"BACKLOG","MES CORRIENTE")))</f>
        <v/>
      </c>
      <c r="AD33" s="3">
        <f>IF(tblOrdenes[[#This Row],[backlog_habiles]]="",FALSE,AND(tblOrdenes[[#This Row],[backlog_habiles]]&gt;p_dias_backlog_min,tblOrdenes[[#This Row],[backlog_habiles]]&lt;=p_dias_backlog_max))</f>
        <v/>
      </c>
      <c r="AE33" s="6" t="inlineStr">
        <is>
          <t>Técnico 07</t>
        </is>
      </c>
      <c r="AF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" s="11">
        <f>IF(tblOrdenes[[#This Row],[orden]]="","",_xlfn.XLOOKUP(tblOrdenes[[#This Row],[id_operacion]],tblEjecucion[id_operacion],tblEjecucion[precio],0))</f>
        <v/>
      </c>
      <c r="AJ33" s="11">
        <f>IF(tblOrdenes[[#This Row],[orden]]="","",MAX(0,_xlfn.XLOOKUP(tblOrdenes[[#This Row],[id_operacion]],tblEjecucion[id_operacion],tblEjecucion[costo_plan_total],0)-tblOrdenes[[#This Row],[costo_servicio]]))</f>
        <v/>
      </c>
      <c r="AK33" s="11">
        <f>IF(tblOrdenes[[#This Row],[orden]]="","",tblOrdenes[[#This Row],[costo_servicio]]+tblOrdenes[[#This Row],[costo_materiales]])</f>
        <v/>
      </c>
      <c r="AL33" s="6" t="inlineStr"/>
      <c r="AM33" s="6" t="inlineStr"/>
      <c r="AN33" s="6" t="inlineStr">
        <is>
          <t>ACT-01.pdf</t>
        </is>
      </c>
      <c r="AO33" s="3">
        <f>IF(tblOrdenes[[#This Row],[link_checklist]]="","",HYPERLINK(p_ruta_base_checklists&amp;tblOrdenes[[#This Row],[link_checklist]],"abrir"))</f>
        <v/>
      </c>
      <c r="AP33" s="6" t="inlineStr"/>
      <c r="AQ33" s="3">
        <f>IF(tblOrdenes[[#This Row],[orden]]="","",tblOrdenes[[#This Row],[orden]]&amp;IF(tblOrdenes[[#This Row],[operacion]]="","0010",tblOrdenes[[#This Row],[operacion]]))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2" t="n">
        <v>46237</v>
      </c>
      <c r="K34" s="3" t="n">
        <v>6</v>
      </c>
      <c r="L34" s="11" t="n">
        <v>150</v>
      </c>
      <c r="M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" s="3">
        <f>IF(tblOrdenes[[#This Row],[fecha_inicio]]="","",YEAR(tblOrdenes[[#This Row],[fecha_inicio]]))</f>
        <v/>
      </c>
      <c r="Q34" s="3">
        <f>IF(tblOrdenes[[#This Row],[fecha_inicio]]="","",MONTH(tblOrdenes[[#This Row],[fecha_inicio]]))</f>
        <v/>
      </c>
      <c r="R34" s="3">
        <f>IF(tblOrdenes[[#This Row],[fecha_inicio]]="","",INDEX(lista_dias,WEEKDAY(tblOrdenes[[#This Row],[fecha_inicio]],2)))</f>
        <v/>
      </c>
      <c r="S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" s="3">
        <f>IF(tblOrdenes[[#This Row],[tipo_ot]]="","",_xlfn.XLOOKUP(tblOrdenes[[#This Row],[tipo_ot]],tblTiposOT[codigo],tblTiposOT[clasificacion],"sin_clasificar"))</f>
        <v/>
      </c>
      <c r="U34" s="3">
        <f>IF(tblOrdenes[[#This Row],[centro_costo]]="","",_xlfn.XLOOKUP(tblOrdenes[[#This Row],[centro_costo]],tblCECO[codigo],tblCECO[linea],"(sin catálogo)"))</f>
        <v/>
      </c>
      <c r="V34" s="3">
        <f>IF(tblOrdenes[[#This Row],[centro_costo]]="","",_xlfn.XLOOKUP(tblOrdenes[[#This Row],[centro_costo]],tblCECO[codigo],tblCECO[area],"(sin catálogo)"))</f>
        <v/>
      </c>
      <c r="W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" s="3">
        <f>IF(tblOrdenes[[#This Row],[centro_costo]]="","",_xlfn.XLOOKUP(tblOrdenes[[#This Row],[centro_costo]],tblCECO[codigo],tblCECO[coordinador],"(sin catálogo)"))</f>
        <v/>
      </c>
      <c r="Y34" s="3">
        <f>IF(tblOrdenes[[#This Row],[puesto_trabajo]]="","",_xlfn.XLOOKUP(tblOrdenes[[#This Row],[puesto_trabajo]],tblPuestos[codigo],tblPuestos[especialidad],"(sin catálogo)"))</f>
        <v/>
      </c>
      <c r="Z34" s="3">
        <f>IF(tblOrdenes[[#This Row],[cod_actividad]]="","",_xlfn.XLOOKUP(tblOrdenes[[#This Row],[cod_actividad]],tblActividades[codigo],tblActividades[descripcion],"(sin catálogo)"))</f>
        <v/>
      </c>
      <c r="AA34" s="13">
        <f>IF(tblOrdenes[[#This Row],[fecha_inicio]]="","",TODAY()-tblOrdenes[[#This Row],[fecha_inicio]])</f>
        <v/>
      </c>
      <c r="AB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" s="3">
        <f>IF(tblOrdenes[[#This Row],[backlog_habiles]]="","",IF(tblOrdenes[[#This Row],[backlog_habiles]]&lt;0,"FUTURO",IF(tblOrdenes[[#This Row],[backlog_habiles]]&gt;p_dias_backlog_max,"BACKLOG","MES CORRIENTE")))</f>
        <v/>
      </c>
      <c r="AD34" s="3">
        <f>IF(tblOrdenes[[#This Row],[backlog_habiles]]="",FALSE,AND(tblOrdenes[[#This Row],[backlog_habiles]]&gt;p_dias_backlog_min,tblOrdenes[[#This Row],[backlog_habiles]]&lt;=p_dias_backlog_max))</f>
        <v/>
      </c>
      <c r="AE34" s="6" t="inlineStr">
        <is>
          <t>Técnico 01</t>
        </is>
      </c>
      <c r="AF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" s="11">
        <f>IF(tblOrdenes[[#This Row],[orden]]="","",_xlfn.XLOOKUP(tblOrdenes[[#This Row],[id_operacion]],tblEjecucion[id_operacion],tblEjecucion[precio],0))</f>
        <v/>
      </c>
      <c r="AJ34" s="11">
        <f>IF(tblOrdenes[[#This Row],[orden]]="","",MAX(0,_xlfn.XLOOKUP(tblOrdenes[[#This Row],[id_operacion]],tblEjecucion[id_operacion],tblEjecucion[costo_plan_total],0)-tblOrdenes[[#This Row],[costo_servicio]]))</f>
        <v/>
      </c>
      <c r="AK34" s="11">
        <f>IF(tblOrdenes[[#This Row],[orden]]="","",tblOrdenes[[#This Row],[costo_servicio]]+tblOrdenes[[#This Row],[costo_materiales]])</f>
        <v/>
      </c>
      <c r="AL34" s="6" t="inlineStr"/>
      <c r="AM34" s="6" t="inlineStr"/>
      <c r="AN34" s="6" t="inlineStr">
        <is>
          <t>ACT-02.pdf</t>
        </is>
      </c>
      <c r="AO34" s="3">
        <f>IF(tblOrdenes[[#This Row],[link_checklist]]="","",HYPERLINK(p_ruta_base_checklists&amp;tblOrdenes[[#This Row],[link_checklist]],"abrir"))</f>
        <v/>
      </c>
      <c r="AP34" s="6" t="inlineStr"/>
      <c r="AQ34" s="3">
        <f>IF(tblOrdenes[[#This Row],[orden]]="","",tblOrdenes[[#This Row],[orden]]&amp;IF(tblOrdenes[[#This Row],[operacion]]="","0010",tblOrdenes[[#This Row],[operacion]]))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2" t="n">
        <v>46238</v>
      </c>
      <c r="K35" s="3" t="n">
        <v>10</v>
      </c>
      <c r="L35" s="11" t="n">
        <v>250</v>
      </c>
      <c r="M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" s="3">
        <f>IF(tblOrdenes[[#This Row],[fecha_inicio]]="","",YEAR(tblOrdenes[[#This Row],[fecha_inicio]]))</f>
        <v/>
      </c>
      <c r="Q35" s="3">
        <f>IF(tblOrdenes[[#This Row],[fecha_inicio]]="","",MONTH(tblOrdenes[[#This Row],[fecha_inicio]]))</f>
        <v/>
      </c>
      <c r="R35" s="3">
        <f>IF(tblOrdenes[[#This Row],[fecha_inicio]]="","",INDEX(lista_dias,WEEKDAY(tblOrdenes[[#This Row],[fecha_inicio]],2)))</f>
        <v/>
      </c>
      <c r="S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" s="3">
        <f>IF(tblOrdenes[[#This Row],[tipo_ot]]="","",_xlfn.XLOOKUP(tblOrdenes[[#This Row],[tipo_ot]],tblTiposOT[codigo],tblTiposOT[clasificacion],"sin_clasificar"))</f>
        <v/>
      </c>
      <c r="U35" s="3">
        <f>IF(tblOrdenes[[#This Row],[centro_costo]]="","",_xlfn.XLOOKUP(tblOrdenes[[#This Row],[centro_costo]],tblCECO[codigo],tblCECO[linea],"(sin catálogo)"))</f>
        <v/>
      </c>
      <c r="V35" s="3">
        <f>IF(tblOrdenes[[#This Row],[centro_costo]]="","",_xlfn.XLOOKUP(tblOrdenes[[#This Row],[centro_costo]],tblCECO[codigo],tblCECO[area],"(sin catálogo)"))</f>
        <v/>
      </c>
      <c r="W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" s="3">
        <f>IF(tblOrdenes[[#This Row],[centro_costo]]="","",_xlfn.XLOOKUP(tblOrdenes[[#This Row],[centro_costo]],tblCECO[codigo],tblCECO[coordinador],"(sin catálogo)"))</f>
        <v/>
      </c>
      <c r="Y35" s="3">
        <f>IF(tblOrdenes[[#This Row],[puesto_trabajo]]="","",_xlfn.XLOOKUP(tblOrdenes[[#This Row],[puesto_trabajo]],tblPuestos[codigo],tblPuestos[especialidad],"(sin catálogo)"))</f>
        <v/>
      </c>
      <c r="Z35" s="3">
        <f>IF(tblOrdenes[[#This Row],[cod_actividad]]="","",_xlfn.XLOOKUP(tblOrdenes[[#This Row],[cod_actividad]],tblActividades[codigo],tblActividades[descripcion],"(sin catálogo)"))</f>
        <v/>
      </c>
      <c r="AA35" s="13">
        <f>IF(tblOrdenes[[#This Row],[fecha_inicio]]="","",TODAY()-tblOrdenes[[#This Row],[fecha_inicio]])</f>
        <v/>
      </c>
      <c r="AB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" s="3">
        <f>IF(tblOrdenes[[#This Row],[backlog_habiles]]="","",IF(tblOrdenes[[#This Row],[backlog_habiles]]&lt;0,"FUTURO",IF(tblOrdenes[[#This Row],[backlog_habiles]]&gt;p_dias_backlog_max,"BACKLOG","MES CORRIENTE")))</f>
        <v/>
      </c>
      <c r="AD35" s="3">
        <f>IF(tblOrdenes[[#This Row],[backlog_habiles]]="",FALSE,AND(tblOrdenes[[#This Row],[backlog_habiles]]&gt;p_dias_backlog_min,tblOrdenes[[#This Row],[backlog_habiles]]&lt;=p_dias_backlog_max))</f>
        <v/>
      </c>
      <c r="AE35" s="6" t="inlineStr">
        <is>
          <t>Técnico 02</t>
        </is>
      </c>
      <c r="AF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" s="11">
        <f>IF(tblOrdenes[[#This Row],[orden]]="","",_xlfn.XLOOKUP(tblOrdenes[[#This Row],[id_operacion]],tblEjecucion[id_operacion],tblEjecucion[precio],0))</f>
        <v/>
      </c>
      <c r="AJ35" s="11">
        <f>IF(tblOrdenes[[#This Row],[orden]]="","",MAX(0,_xlfn.XLOOKUP(tblOrdenes[[#This Row],[id_operacion]],tblEjecucion[id_operacion],tblEjecucion[costo_plan_total],0)-tblOrdenes[[#This Row],[costo_servicio]]))</f>
        <v/>
      </c>
      <c r="AK35" s="11">
        <f>IF(tblOrdenes[[#This Row],[orden]]="","",tblOrdenes[[#This Row],[costo_servicio]]+tblOrdenes[[#This Row],[costo_materiales]])</f>
        <v/>
      </c>
      <c r="AL35" s="6" t="inlineStr"/>
      <c r="AM35" s="6" t="inlineStr"/>
      <c r="AN35" s="6" t="inlineStr">
        <is>
          <t>ACT-04.pdf</t>
        </is>
      </c>
      <c r="AO35" s="3">
        <f>IF(tblOrdenes[[#This Row],[link_checklist]]="","",HYPERLINK(p_ruta_base_checklists&amp;tblOrdenes[[#This Row],[link_checklist]],"abrir"))</f>
        <v/>
      </c>
      <c r="AP35" s="6" t="inlineStr"/>
      <c r="AQ35" s="3">
        <f>IF(tblOrdenes[[#This Row],[orden]]="","",tblOrdenes[[#This Row],[orden]]&amp;IF(tblOrdenes[[#This Row],[operacion]]="","0010",tblOrdenes[[#This Row],[operacion]]))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2" t="n">
        <v>46239</v>
      </c>
      <c r="K36" s="3" t="n">
        <v>8</v>
      </c>
      <c r="L36" s="11" t="n">
        <v>200</v>
      </c>
      <c r="M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" s="3">
        <f>IF(tblOrdenes[[#This Row],[fecha_inicio]]="","",YEAR(tblOrdenes[[#This Row],[fecha_inicio]]))</f>
        <v/>
      </c>
      <c r="Q36" s="3">
        <f>IF(tblOrdenes[[#This Row],[fecha_inicio]]="","",MONTH(tblOrdenes[[#This Row],[fecha_inicio]]))</f>
        <v/>
      </c>
      <c r="R36" s="3">
        <f>IF(tblOrdenes[[#This Row],[fecha_inicio]]="","",INDEX(lista_dias,WEEKDAY(tblOrdenes[[#This Row],[fecha_inicio]],2)))</f>
        <v/>
      </c>
      <c r="S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" s="3">
        <f>IF(tblOrdenes[[#This Row],[tipo_ot]]="","",_xlfn.XLOOKUP(tblOrdenes[[#This Row],[tipo_ot]],tblTiposOT[codigo],tblTiposOT[clasificacion],"sin_clasificar"))</f>
        <v/>
      </c>
      <c r="U36" s="3">
        <f>IF(tblOrdenes[[#This Row],[centro_costo]]="","",_xlfn.XLOOKUP(tblOrdenes[[#This Row],[centro_costo]],tblCECO[codigo],tblCECO[linea],"(sin catálogo)"))</f>
        <v/>
      </c>
      <c r="V36" s="3">
        <f>IF(tblOrdenes[[#This Row],[centro_costo]]="","",_xlfn.XLOOKUP(tblOrdenes[[#This Row],[centro_costo]],tblCECO[codigo],tblCECO[area],"(sin catálogo)"))</f>
        <v/>
      </c>
      <c r="W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" s="3">
        <f>IF(tblOrdenes[[#This Row],[centro_costo]]="","",_xlfn.XLOOKUP(tblOrdenes[[#This Row],[centro_costo]],tblCECO[codigo],tblCECO[coordinador],"(sin catálogo)"))</f>
        <v/>
      </c>
      <c r="Y36" s="3">
        <f>IF(tblOrdenes[[#This Row],[puesto_trabajo]]="","",_xlfn.XLOOKUP(tblOrdenes[[#This Row],[puesto_trabajo]],tblPuestos[codigo],tblPuestos[especialidad],"(sin catálogo)"))</f>
        <v/>
      </c>
      <c r="Z36" s="3">
        <f>IF(tblOrdenes[[#This Row],[cod_actividad]]="","",_xlfn.XLOOKUP(tblOrdenes[[#This Row],[cod_actividad]],tblActividades[codigo],tblActividades[descripcion],"(sin catálogo)"))</f>
        <v/>
      </c>
      <c r="AA36" s="13">
        <f>IF(tblOrdenes[[#This Row],[fecha_inicio]]="","",TODAY()-tblOrdenes[[#This Row],[fecha_inicio]])</f>
        <v/>
      </c>
      <c r="AB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" s="3">
        <f>IF(tblOrdenes[[#This Row],[backlog_habiles]]="","",IF(tblOrdenes[[#This Row],[backlog_habiles]]&lt;0,"FUTURO",IF(tblOrdenes[[#This Row],[backlog_habiles]]&gt;p_dias_backlog_max,"BACKLOG","MES CORRIENTE")))</f>
        <v/>
      </c>
      <c r="AD36" s="3">
        <f>IF(tblOrdenes[[#This Row],[backlog_habiles]]="",FALSE,AND(tblOrdenes[[#This Row],[backlog_habiles]]&gt;p_dias_backlog_min,tblOrdenes[[#This Row],[backlog_habiles]]&lt;=p_dias_backlog_max))</f>
        <v/>
      </c>
      <c r="AE36" s="6" t="inlineStr">
        <is>
          <t>Técnico 03</t>
        </is>
      </c>
      <c r="AF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" s="11">
        <f>IF(tblOrdenes[[#This Row],[orden]]="","",_xlfn.XLOOKUP(tblOrdenes[[#This Row],[id_operacion]],tblEjecucion[id_operacion],tblEjecucion[precio],0))</f>
        <v/>
      </c>
      <c r="AJ36" s="11">
        <f>IF(tblOrdenes[[#This Row],[orden]]="","",MAX(0,_xlfn.XLOOKUP(tblOrdenes[[#This Row],[id_operacion]],tblEjecucion[id_operacion],tblEjecucion[costo_plan_total],0)-tblOrdenes[[#This Row],[costo_servicio]]))</f>
        <v/>
      </c>
      <c r="AK36" s="11">
        <f>IF(tblOrdenes[[#This Row],[orden]]="","",tblOrdenes[[#This Row],[costo_servicio]]+tblOrdenes[[#This Row],[costo_materiales]])</f>
        <v/>
      </c>
      <c r="AL36" s="6" t="inlineStr"/>
      <c r="AM36" s="6" t="inlineStr"/>
      <c r="AN36" s="6" t="inlineStr">
        <is>
          <t>ACT-01.pdf</t>
        </is>
      </c>
      <c r="AO36" s="3">
        <f>IF(tblOrdenes[[#This Row],[link_checklist]]="","",HYPERLINK(p_ruta_base_checklists&amp;tblOrdenes[[#This Row],[link_checklist]],"abrir"))</f>
        <v/>
      </c>
      <c r="AP36" s="6" t="inlineStr"/>
      <c r="AQ36" s="3">
        <f>IF(tblOrdenes[[#This Row],[orden]]="","",tblOrdenes[[#This Row],[orden]]&amp;IF(tblOrdenes[[#This Row],[operacion]]="","0010",tblOrdenes[[#This Row],[operacion]]))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2" t="n">
        <v>46240</v>
      </c>
      <c r="K37" s="3" t="n">
        <v>6</v>
      </c>
      <c r="L37" s="11" t="n">
        <v>150</v>
      </c>
      <c r="M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" s="3">
        <f>IF(tblOrdenes[[#This Row],[fecha_inicio]]="","",YEAR(tblOrdenes[[#This Row],[fecha_inicio]]))</f>
        <v/>
      </c>
      <c r="Q37" s="3">
        <f>IF(tblOrdenes[[#This Row],[fecha_inicio]]="","",MONTH(tblOrdenes[[#This Row],[fecha_inicio]]))</f>
        <v/>
      </c>
      <c r="R37" s="3">
        <f>IF(tblOrdenes[[#This Row],[fecha_inicio]]="","",INDEX(lista_dias,WEEKDAY(tblOrdenes[[#This Row],[fecha_inicio]],2)))</f>
        <v/>
      </c>
      <c r="S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" s="3">
        <f>IF(tblOrdenes[[#This Row],[tipo_ot]]="","",_xlfn.XLOOKUP(tblOrdenes[[#This Row],[tipo_ot]],tblTiposOT[codigo],tblTiposOT[clasificacion],"sin_clasificar"))</f>
        <v/>
      </c>
      <c r="U37" s="3">
        <f>IF(tblOrdenes[[#This Row],[centro_costo]]="","",_xlfn.XLOOKUP(tblOrdenes[[#This Row],[centro_costo]],tblCECO[codigo],tblCECO[linea],"(sin catálogo)"))</f>
        <v/>
      </c>
      <c r="V37" s="3">
        <f>IF(tblOrdenes[[#This Row],[centro_costo]]="","",_xlfn.XLOOKUP(tblOrdenes[[#This Row],[centro_costo]],tblCECO[codigo],tblCECO[area],"(sin catálogo)"))</f>
        <v/>
      </c>
      <c r="W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" s="3">
        <f>IF(tblOrdenes[[#This Row],[centro_costo]]="","",_xlfn.XLOOKUP(tblOrdenes[[#This Row],[centro_costo]],tblCECO[codigo],tblCECO[coordinador],"(sin catálogo)"))</f>
        <v/>
      </c>
      <c r="Y37" s="3">
        <f>IF(tblOrdenes[[#This Row],[puesto_trabajo]]="","",_xlfn.XLOOKUP(tblOrdenes[[#This Row],[puesto_trabajo]],tblPuestos[codigo],tblPuestos[especialidad],"(sin catálogo)"))</f>
        <v/>
      </c>
      <c r="Z37" s="3">
        <f>IF(tblOrdenes[[#This Row],[cod_actividad]]="","",_xlfn.XLOOKUP(tblOrdenes[[#This Row],[cod_actividad]],tblActividades[codigo],tblActividades[descripcion],"(sin catálogo)"))</f>
        <v/>
      </c>
      <c r="AA37" s="13">
        <f>IF(tblOrdenes[[#This Row],[fecha_inicio]]="","",TODAY()-tblOrdenes[[#This Row],[fecha_inicio]])</f>
        <v/>
      </c>
      <c r="AB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" s="3">
        <f>IF(tblOrdenes[[#This Row],[backlog_habiles]]="","",IF(tblOrdenes[[#This Row],[backlog_habiles]]&lt;0,"FUTURO",IF(tblOrdenes[[#This Row],[backlog_habiles]]&gt;p_dias_backlog_max,"BACKLOG","MES CORRIENTE")))</f>
        <v/>
      </c>
      <c r="AD37" s="3">
        <f>IF(tblOrdenes[[#This Row],[backlog_habiles]]="",FALSE,AND(tblOrdenes[[#This Row],[backlog_habiles]]&gt;p_dias_backlog_min,tblOrdenes[[#This Row],[backlog_habiles]]&lt;=p_dias_backlog_max))</f>
        <v/>
      </c>
      <c r="AE37" s="6" t="inlineStr"/>
      <c r="AF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" s="11">
        <f>IF(tblOrdenes[[#This Row],[orden]]="","",_xlfn.XLOOKUP(tblOrdenes[[#This Row],[id_operacion]],tblEjecucion[id_operacion],tblEjecucion[precio],0))</f>
        <v/>
      </c>
      <c r="AJ37" s="11">
        <f>IF(tblOrdenes[[#This Row],[orden]]="","",MAX(0,_xlfn.XLOOKUP(tblOrdenes[[#This Row],[id_operacion]],tblEjecucion[id_operacion],tblEjecucion[costo_plan_total],0)-tblOrdenes[[#This Row],[costo_servicio]]))</f>
        <v/>
      </c>
      <c r="AK37" s="11">
        <f>IF(tblOrdenes[[#This Row],[orden]]="","",tblOrdenes[[#This Row],[costo_servicio]]+tblOrdenes[[#This Row],[costo_materiales]])</f>
        <v/>
      </c>
      <c r="AL37" s="6" t="inlineStr"/>
      <c r="AM37" s="6" t="inlineStr"/>
      <c r="AN37" s="6" t="inlineStr">
        <is>
          <t>ACT-02.pdf</t>
        </is>
      </c>
      <c r="AO37" s="3">
        <f>IF(tblOrdenes[[#This Row],[link_checklist]]="","",HYPERLINK(p_ruta_base_checklists&amp;tblOrdenes[[#This Row],[link_checklist]],"abrir"))</f>
        <v/>
      </c>
      <c r="AP37" s="6" t="inlineStr"/>
      <c r="AQ37" s="3">
        <f>IF(tblOrdenes[[#This Row],[orden]]="","",tblOrdenes[[#This Row],[orden]]&amp;IF(tblOrdenes[[#This Row],[operacion]]="","0010",tblOrdenes[[#This Row],[operacion]]))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2" t="n">
        <v>46241</v>
      </c>
      <c r="K38" s="3" t="n">
        <v>8</v>
      </c>
      <c r="L38" s="11" t="n">
        <v>200</v>
      </c>
      <c r="M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" s="3">
        <f>IF(tblOrdenes[[#This Row],[fecha_inicio]]="","",YEAR(tblOrdenes[[#This Row],[fecha_inicio]]))</f>
        <v/>
      </c>
      <c r="Q38" s="3">
        <f>IF(tblOrdenes[[#This Row],[fecha_inicio]]="","",MONTH(tblOrdenes[[#This Row],[fecha_inicio]]))</f>
        <v/>
      </c>
      <c r="R38" s="3">
        <f>IF(tblOrdenes[[#This Row],[fecha_inicio]]="","",INDEX(lista_dias,WEEKDAY(tblOrdenes[[#This Row],[fecha_inicio]],2)))</f>
        <v/>
      </c>
      <c r="S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" s="3">
        <f>IF(tblOrdenes[[#This Row],[tipo_ot]]="","",_xlfn.XLOOKUP(tblOrdenes[[#This Row],[tipo_ot]],tblTiposOT[codigo],tblTiposOT[clasificacion],"sin_clasificar"))</f>
        <v/>
      </c>
      <c r="U38" s="3">
        <f>IF(tblOrdenes[[#This Row],[centro_costo]]="","",_xlfn.XLOOKUP(tblOrdenes[[#This Row],[centro_costo]],tblCECO[codigo],tblCECO[linea],"(sin catálogo)"))</f>
        <v/>
      </c>
      <c r="V38" s="3">
        <f>IF(tblOrdenes[[#This Row],[centro_costo]]="","",_xlfn.XLOOKUP(tblOrdenes[[#This Row],[centro_costo]],tblCECO[codigo],tblCECO[area],"(sin catálogo)"))</f>
        <v/>
      </c>
      <c r="W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" s="3">
        <f>IF(tblOrdenes[[#This Row],[centro_costo]]="","",_xlfn.XLOOKUP(tblOrdenes[[#This Row],[centro_costo]],tblCECO[codigo],tblCECO[coordinador],"(sin catálogo)"))</f>
        <v/>
      </c>
      <c r="Y38" s="3">
        <f>IF(tblOrdenes[[#This Row],[puesto_trabajo]]="","",_xlfn.XLOOKUP(tblOrdenes[[#This Row],[puesto_trabajo]],tblPuestos[codigo],tblPuestos[especialidad],"(sin catálogo)"))</f>
        <v/>
      </c>
      <c r="Z38" s="3">
        <f>IF(tblOrdenes[[#This Row],[cod_actividad]]="","",_xlfn.XLOOKUP(tblOrdenes[[#This Row],[cod_actividad]],tblActividades[codigo],tblActividades[descripcion],"(sin catálogo)"))</f>
        <v/>
      </c>
      <c r="AA38" s="13">
        <f>IF(tblOrdenes[[#This Row],[fecha_inicio]]="","",TODAY()-tblOrdenes[[#This Row],[fecha_inicio]])</f>
        <v/>
      </c>
      <c r="AB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" s="3">
        <f>IF(tblOrdenes[[#This Row],[backlog_habiles]]="","",IF(tblOrdenes[[#This Row],[backlog_habiles]]&lt;0,"FUTURO",IF(tblOrdenes[[#This Row],[backlog_habiles]]&gt;p_dias_backlog_max,"BACKLOG","MES CORRIENTE")))</f>
        <v/>
      </c>
      <c r="AD38" s="3">
        <f>IF(tblOrdenes[[#This Row],[backlog_habiles]]="",FALSE,AND(tblOrdenes[[#This Row],[backlog_habiles]]&gt;p_dias_backlog_min,tblOrdenes[[#This Row],[backlog_habiles]]&lt;=p_dias_backlog_max))</f>
        <v/>
      </c>
      <c r="AE38" s="6" t="inlineStr">
        <is>
          <t>Técnico 06</t>
        </is>
      </c>
      <c r="AF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" s="11">
        <f>IF(tblOrdenes[[#This Row],[orden]]="","",_xlfn.XLOOKUP(tblOrdenes[[#This Row],[id_operacion]],tblEjecucion[id_operacion],tblEjecucion[precio],0))</f>
        <v/>
      </c>
      <c r="AJ38" s="11">
        <f>IF(tblOrdenes[[#This Row],[orden]]="","",MAX(0,_xlfn.XLOOKUP(tblOrdenes[[#This Row],[id_operacion]],tblEjecucion[id_operacion],tblEjecucion[costo_plan_total],0)-tblOrdenes[[#This Row],[costo_servicio]]))</f>
        <v/>
      </c>
      <c r="AK38" s="11">
        <f>IF(tblOrdenes[[#This Row],[orden]]="","",tblOrdenes[[#This Row],[costo_servicio]]+tblOrdenes[[#This Row],[costo_materiales]])</f>
        <v/>
      </c>
      <c r="AL38" s="6" t="inlineStr"/>
      <c r="AM38" s="6" t="inlineStr"/>
      <c r="AN38" s="6" t="inlineStr">
        <is>
          <t>ACT-04.pdf</t>
        </is>
      </c>
      <c r="AO38" s="3">
        <f>IF(tblOrdenes[[#This Row],[link_checklist]]="","",HYPERLINK(p_ruta_base_checklists&amp;tblOrdenes[[#This Row],[link_checklist]],"abrir"))</f>
        <v/>
      </c>
      <c r="AP38" s="6" t="inlineStr"/>
      <c r="AQ38" s="3">
        <f>IF(tblOrdenes[[#This Row],[orden]]="","",tblOrdenes[[#This Row],[orden]]&amp;IF(tblOrdenes[[#This Row],[operacion]]="","0010",tblOrdenes[[#This Row],[operacion]]))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2" t="n">
        <v>46237</v>
      </c>
      <c r="K39" s="3" t="n">
        <v>10</v>
      </c>
      <c r="L39" s="11" t="n">
        <v>400</v>
      </c>
      <c r="M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" s="3">
        <f>IF(tblOrdenes[[#This Row],[fecha_inicio]]="","",YEAR(tblOrdenes[[#This Row],[fecha_inicio]]))</f>
        <v/>
      </c>
      <c r="Q39" s="3">
        <f>IF(tblOrdenes[[#This Row],[fecha_inicio]]="","",MONTH(tblOrdenes[[#This Row],[fecha_inicio]]))</f>
        <v/>
      </c>
      <c r="R39" s="3">
        <f>IF(tblOrdenes[[#This Row],[fecha_inicio]]="","",INDEX(lista_dias,WEEKDAY(tblOrdenes[[#This Row],[fecha_inicio]],2)))</f>
        <v/>
      </c>
      <c r="S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" s="3">
        <f>IF(tblOrdenes[[#This Row],[tipo_ot]]="","",_xlfn.XLOOKUP(tblOrdenes[[#This Row],[tipo_ot]],tblTiposOT[codigo],tblTiposOT[clasificacion],"sin_clasificar"))</f>
        <v/>
      </c>
      <c r="U39" s="3">
        <f>IF(tblOrdenes[[#This Row],[centro_costo]]="","",_xlfn.XLOOKUP(tblOrdenes[[#This Row],[centro_costo]],tblCECO[codigo],tblCECO[linea],"(sin catálogo)"))</f>
        <v/>
      </c>
      <c r="V39" s="3">
        <f>IF(tblOrdenes[[#This Row],[centro_costo]]="","",_xlfn.XLOOKUP(tblOrdenes[[#This Row],[centro_costo]],tblCECO[codigo],tblCECO[area],"(sin catálogo)"))</f>
        <v/>
      </c>
      <c r="W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" s="3">
        <f>IF(tblOrdenes[[#This Row],[centro_costo]]="","",_xlfn.XLOOKUP(tblOrdenes[[#This Row],[centro_costo]],tblCECO[codigo],tblCECO[coordinador],"(sin catálogo)"))</f>
        <v/>
      </c>
      <c r="Y39" s="3">
        <f>IF(tblOrdenes[[#This Row],[puesto_trabajo]]="","",_xlfn.XLOOKUP(tblOrdenes[[#This Row],[puesto_trabajo]],tblPuestos[codigo],tblPuestos[especialidad],"(sin catálogo)"))</f>
        <v/>
      </c>
      <c r="Z39" s="3">
        <f>IF(tblOrdenes[[#This Row],[cod_actividad]]="","",_xlfn.XLOOKUP(tblOrdenes[[#This Row],[cod_actividad]],tblActividades[codigo],tblActividades[descripcion],"(sin catálogo)"))</f>
        <v/>
      </c>
      <c r="AA39" s="13">
        <f>IF(tblOrdenes[[#This Row],[fecha_inicio]]="","",TODAY()-tblOrdenes[[#This Row],[fecha_inicio]])</f>
        <v/>
      </c>
      <c r="AB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" s="3">
        <f>IF(tblOrdenes[[#This Row],[backlog_habiles]]="","",IF(tblOrdenes[[#This Row],[backlog_habiles]]&lt;0,"FUTURO",IF(tblOrdenes[[#This Row],[backlog_habiles]]&gt;p_dias_backlog_max,"BACKLOG","MES CORRIENTE")))</f>
        <v/>
      </c>
      <c r="AD39" s="3">
        <f>IF(tblOrdenes[[#This Row],[backlog_habiles]]="",FALSE,AND(tblOrdenes[[#This Row],[backlog_habiles]]&gt;p_dias_backlog_min,tblOrdenes[[#This Row],[backlog_habiles]]&lt;=p_dias_backlog_max))</f>
        <v/>
      </c>
      <c r="AE39" s="6" t="inlineStr"/>
      <c r="AF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" s="11">
        <f>IF(tblOrdenes[[#This Row],[orden]]="","",_xlfn.XLOOKUP(tblOrdenes[[#This Row],[id_operacion]],tblEjecucion[id_operacion],tblEjecucion[precio],0))</f>
        <v/>
      </c>
      <c r="AJ39" s="11">
        <f>IF(tblOrdenes[[#This Row],[orden]]="","",MAX(0,_xlfn.XLOOKUP(tblOrdenes[[#This Row],[id_operacion]],tblEjecucion[id_operacion],tblEjecucion[costo_plan_total],0)-tblOrdenes[[#This Row],[costo_servicio]]))</f>
        <v/>
      </c>
      <c r="AK39" s="11">
        <f>IF(tblOrdenes[[#This Row],[orden]]="","",tblOrdenes[[#This Row],[costo_servicio]]+tblOrdenes[[#This Row],[costo_materiales]])</f>
        <v/>
      </c>
      <c r="AL39" s="6" t="inlineStr">
        <is>
          <t>PT-CALIENTE</t>
        </is>
      </c>
      <c r="AM39" s="6" t="inlineStr">
        <is>
          <t>LOTO</t>
        </is>
      </c>
      <c r="AN39" s="6" t="inlineStr"/>
      <c r="AO39" s="3">
        <f>IF(tblOrdenes[[#This Row],[link_checklist]]="","",HYPERLINK(p_ruta_base_checklists&amp;tblOrdenes[[#This Row],[link_checklist]],"abrir"))</f>
        <v/>
      </c>
      <c r="AP39" s="6" t="inlineStr"/>
      <c r="AQ39" s="3">
        <f>IF(tblOrdenes[[#This Row],[orden]]="","",tblOrdenes[[#This Row],[orden]]&amp;IF(tblOrdenes[[#This Row],[operacion]]="","0010",tblOrdenes[[#This Row],[operacion]]))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2" t="n">
        <v>46238</v>
      </c>
      <c r="K40" s="3" t="n">
        <v>10</v>
      </c>
      <c r="L40" s="11" t="n">
        <v>400</v>
      </c>
      <c r="M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" s="3">
        <f>IF(tblOrdenes[[#This Row],[fecha_inicio]]="","",YEAR(tblOrdenes[[#This Row],[fecha_inicio]]))</f>
        <v/>
      </c>
      <c r="Q40" s="3">
        <f>IF(tblOrdenes[[#This Row],[fecha_inicio]]="","",MONTH(tblOrdenes[[#This Row],[fecha_inicio]]))</f>
        <v/>
      </c>
      <c r="R40" s="3">
        <f>IF(tblOrdenes[[#This Row],[fecha_inicio]]="","",INDEX(lista_dias,WEEKDAY(tblOrdenes[[#This Row],[fecha_inicio]],2)))</f>
        <v/>
      </c>
      <c r="S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" s="3">
        <f>IF(tblOrdenes[[#This Row],[tipo_ot]]="","",_xlfn.XLOOKUP(tblOrdenes[[#This Row],[tipo_ot]],tblTiposOT[codigo],tblTiposOT[clasificacion],"sin_clasificar"))</f>
        <v/>
      </c>
      <c r="U40" s="3">
        <f>IF(tblOrdenes[[#This Row],[centro_costo]]="","",_xlfn.XLOOKUP(tblOrdenes[[#This Row],[centro_costo]],tblCECO[codigo],tblCECO[linea],"(sin catálogo)"))</f>
        <v/>
      </c>
      <c r="V40" s="3">
        <f>IF(tblOrdenes[[#This Row],[centro_costo]]="","",_xlfn.XLOOKUP(tblOrdenes[[#This Row],[centro_costo]],tblCECO[codigo],tblCECO[area],"(sin catálogo)"))</f>
        <v/>
      </c>
      <c r="W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" s="3">
        <f>IF(tblOrdenes[[#This Row],[centro_costo]]="","",_xlfn.XLOOKUP(tblOrdenes[[#This Row],[centro_costo]],tblCECO[codigo],tblCECO[coordinador],"(sin catálogo)"))</f>
        <v/>
      </c>
      <c r="Y40" s="3">
        <f>IF(tblOrdenes[[#This Row],[puesto_trabajo]]="","",_xlfn.XLOOKUP(tblOrdenes[[#This Row],[puesto_trabajo]],tblPuestos[codigo],tblPuestos[especialidad],"(sin catálogo)"))</f>
        <v/>
      </c>
      <c r="Z40" s="3">
        <f>IF(tblOrdenes[[#This Row],[cod_actividad]]="","",_xlfn.XLOOKUP(tblOrdenes[[#This Row],[cod_actividad]],tblActividades[codigo],tblActividades[descripcion],"(sin catálogo)"))</f>
        <v/>
      </c>
      <c r="AA40" s="13">
        <f>IF(tblOrdenes[[#This Row],[fecha_inicio]]="","",TODAY()-tblOrdenes[[#This Row],[fecha_inicio]])</f>
        <v/>
      </c>
      <c r="AB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" s="3">
        <f>IF(tblOrdenes[[#This Row],[backlog_habiles]]="","",IF(tblOrdenes[[#This Row],[backlog_habiles]]&lt;0,"FUTURO",IF(tblOrdenes[[#This Row],[backlog_habiles]]&gt;p_dias_backlog_max,"BACKLOG","MES CORRIENTE")))</f>
        <v/>
      </c>
      <c r="AD40" s="3">
        <f>IF(tblOrdenes[[#This Row],[backlog_habiles]]="",FALSE,AND(tblOrdenes[[#This Row],[backlog_habiles]]&gt;p_dias_backlog_min,tblOrdenes[[#This Row],[backlog_habiles]]&lt;=p_dias_backlog_max))</f>
        <v/>
      </c>
      <c r="AE40" s="6" t="inlineStr">
        <is>
          <t>Técnico 01</t>
        </is>
      </c>
      <c r="AF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" s="11">
        <f>IF(tblOrdenes[[#This Row],[orden]]="","",_xlfn.XLOOKUP(tblOrdenes[[#This Row],[id_operacion]],tblEjecucion[id_operacion],tblEjecucion[precio],0))</f>
        <v/>
      </c>
      <c r="AJ40" s="11">
        <f>IF(tblOrdenes[[#This Row],[orden]]="","",MAX(0,_xlfn.XLOOKUP(tblOrdenes[[#This Row],[id_operacion]],tblEjecucion[id_operacion],tblEjecucion[costo_plan_total],0)-tblOrdenes[[#This Row],[costo_servicio]]))</f>
        <v/>
      </c>
      <c r="AK40" s="11">
        <f>IF(tblOrdenes[[#This Row],[orden]]="","",tblOrdenes[[#This Row],[costo_servicio]]+tblOrdenes[[#This Row],[costo_materiales]])</f>
        <v/>
      </c>
      <c r="AL40" s="6" t="inlineStr"/>
      <c r="AM40" s="6" t="inlineStr"/>
      <c r="AN40" s="6" t="inlineStr"/>
      <c r="AO40" s="3">
        <f>IF(tblOrdenes[[#This Row],[link_checklist]]="","",HYPERLINK(p_ruta_base_checklists&amp;tblOrdenes[[#This Row],[link_checklist]],"abrir"))</f>
        <v/>
      </c>
      <c r="AP40" s="6" t="inlineStr"/>
      <c r="AQ40" s="3">
        <f>IF(tblOrdenes[[#This Row],[orden]]="","",tblOrdenes[[#This Row],[orden]]&amp;IF(tblOrdenes[[#This Row],[operacion]]="","0010",tblOrdenes[[#This Row],[operacion]]))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2" t="n">
        <v>46246</v>
      </c>
      <c r="K41" s="3" t="n">
        <v>10</v>
      </c>
      <c r="L41" s="11" t="n">
        <v>250</v>
      </c>
      <c r="M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" s="3">
        <f>IF(tblOrdenes[[#This Row],[fecha_inicio]]="","",YEAR(tblOrdenes[[#This Row],[fecha_inicio]]))</f>
        <v/>
      </c>
      <c r="Q41" s="3">
        <f>IF(tblOrdenes[[#This Row],[fecha_inicio]]="","",MONTH(tblOrdenes[[#This Row],[fecha_inicio]]))</f>
        <v/>
      </c>
      <c r="R41" s="3">
        <f>IF(tblOrdenes[[#This Row],[fecha_inicio]]="","",INDEX(lista_dias,WEEKDAY(tblOrdenes[[#This Row],[fecha_inicio]],2)))</f>
        <v/>
      </c>
      <c r="S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" s="3">
        <f>IF(tblOrdenes[[#This Row],[tipo_ot]]="","",_xlfn.XLOOKUP(tblOrdenes[[#This Row],[tipo_ot]],tblTiposOT[codigo],tblTiposOT[clasificacion],"sin_clasificar"))</f>
        <v/>
      </c>
      <c r="U41" s="3">
        <f>IF(tblOrdenes[[#This Row],[centro_costo]]="","",_xlfn.XLOOKUP(tblOrdenes[[#This Row],[centro_costo]],tblCECO[codigo],tblCECO[linea],"(sin catálogo)"))</f>
        <v/>
      </c>
      <c r="V41" s="3">
        <f>IF(tblOrdenes[[#This Row],[centro_costo]]="","",_xlfn.XLOOKUP(tblOrdenes[[#This Row],[centro_costo]],tblCECO[codigo],tblCECO[area],"(sin catálogo)"))</f>
        <v/>
      </c>
      <c r="W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" s="3">
        <f>IF(tblOrdenes[[#This Row],[centro_costo]]="","",_xlfn.XLOOKUP(tblOrdenes[[#This Row],[centro_costo]],tblCECO[codigo],tblCECO[coordinador],"(sin catálogo)"))</f>
        <v/>
      </c>
      <c r="Y41" s="3">
        <f>IF(tblOrdenes[[#This Row],[puesto_trabajo]]="","",_xlfn.XLOOKUP(tblOrdenes[[#This Row],[puesto_trabajo]],tblPuestos[codigo],tblPuestos[especialidad],"(sin catálogo)"))</f>
        <v/>
      </c>
      <c r="Z41" s="3">
        <f>IF(tblOrdenes[[#This Row],[cod_actividad]]="","",_xlfn.XLOOKUP(tblOrdenes[[#This Row],[cod_actividad]],tblActividades[codigo],tblActividades[descripcion],"(sin catálogo)"))</f>
        <v/>
      </c>
      <c r="AA41" s="13">
        <f>IF(tblOrdenes[[#This Row],[fecha_inicio]]="","",TODAY()-tblOrdenes[[#This Row],[fecha_inicio]])</f>
        <v/>
      </c>
      <c r="AB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" s="3">
        <f>IF(tblOrdenes[[#This Row],[backlog_habiles]]="","",IF(tblOrdenes[[#This Row],[backlog_habiles]]&lt;0,"FUTURO",IF(tblOrdenes[[#This Row],[backlog_habiles]]&gt;p_dias_backlog_max,"BACKLOG","MES CORRIENTE")))</f>
        <v/>
      </c>
      <c r="AD41" s="3">
        <f>IF(tblOrdenes[[#This Row],[backlog_habiles]]="",FALSE,AND(tblOrdenes[[#This Row],[backlog_habiles]]&gt;p_dias_backlog_min,tblOrdenes[[#This Row],[backlog_habiles]]&lt;=p_dias_backlog_max))</f>
        <v/>
      </c>
      <c r="AE41" s="6" t="inlineStr">
        <is>
          <t>Técnico 03</t>
        </is>
      </c>
      <c r="AF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" s="11">
        <f>IF(tblOrdenes[[#This Row],[orden]]="","",_xlfn.XLOOKUP(tblOrdenes[[#This Row],[id_operacion]],tblEjecucion[id_operacion],tblEjecucion[precio],0))</f>
        <v/>
      </c>
      <c r="AJ41" s="11">
        <f>IF(tblOrdenes[[#This Row],[orden]]="","",MAX(0,_xlfn.XLOOKUP(tblOrdenes[[#This Row],[id_operacion]],tblEjecucion[id_operacion],tblEjecucion[costo_plan_total],0)-tblOrdenes[[#This Row],[costo_servicio]]))</f>
        <v/>
      </c>
      <c r="AK41" s="11">
        <f>IF(tblOrdenes[[#This Row],[orden]]="","",tblOrdenes[[#This Row],[costo_servicio]]+tblOrdenes[[#This Row],[costo_materiales]])</f>
        <v/>
      </c>
      <c r="AL41" s="6" t="inlineStr"/>
      <c r="AM41" s="6" t="inlineStr"/>
      <c r="AN41" s="6" t="inlineStr">
        <is>
          <t>ACT-04.pdf</t>
        </is>
      </c>
      <c r="AO41" s="3">
        <f>IF(tblOrdenes[[#This Row],[link_checklist]]="","",HYPERLINK(p_ruta_base_checklists&amp;tblOrdenes[[#This Row],[link_checklist]],"abrir"))</f>
        <v/>
      </c>
      <c r="AP41" s="6" t="inlineStr"/>
      <c r="AQ41" s="3">
        <f>IF(tblOrdenes[[#This Row],[orden]]="","",tblOrdenes[[#This Row],[orden]]&amp;IF(tblOrdenes[[#This Row],[operacion]]="","0010",tblOrdenes[[#This Row],[operacion]]))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2" t="n">
        <v>46247</v>
      </c>
      <c r="K42" s="3" t="n">
        <v>8</v>
      </c>
      <c r="L42" s="11" t="n">
        <v>200</v>
      </c>
      <c r="M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" s="3">
        <f>IF(tblOrdenes[[#This Row],[fecha_inicio]]="","",YEAR(tblOrdenes[[#This Row],[fecha_inicio]]))</f>
        <v/>
      </c>
      <c r="Q42" s="3">
        <f>IF(tblOrdenes[[#This Row],[fecha_inicio]]="","",MONTH(tblOrdenes[[#This Row],[fecha_inicio]]))</f>
        <v/>
      </c>
      <c r="R42" s="3">
        <f>IF(tblOrdenes[[#This Row],[fecha_inicio]]="","",INDEX(lista_dias,WEEKDAY(tblOrdenes[[#This Row],[fecha_inicio]],2)))</f>
        <v/>
      </c>
      <c r="S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" s="3">
        <f>IF(tblOrdenes[[#This Row],[tipo_ot]]="","",_xlfn.XLOOKUP(tblOrdenes[[#This Row],[tipo_ot]],tblTiposOT[codigo],tblTiposOT[clasificacion],"sin_clasificar"))</f>
        <v/>
      </c>
      <c r="U42" s="3">
        <f>IF(tblOrdenes[[#This Row],[centro_costo]]="","",_xlfn.XLOOKUP(tblOrdenes[[#This Row],[centro_costo]],tblCECO[codigo],tblCECO[linea],"(sin catálogo)"))</f>
        <v/>
      </c>
      <c r="V42" s="3">
        <f>IF(tblOrdenes[[#This Row],[centro_costo]]="","",_xlfn.XLOOKUP(tblOrdenes[[#This Row],[centro_costo]],tblCECO[codigo],tblCECO[area],"(sin catálogo)"))</f>
        <v/>
      </c>
      <c r="W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" s="3">
        <f>IF(tblOrdenes[[#This Row],[centro_costo]]="","",_xlfn.XLOOKUP(tblOrdenes[[#This Row],[centro_costo]],tblCECO[codigo],tblCECO[coordinador],"(sin catálogo)"))</f>
        <v/>
      </c>
      <c r="Y42" s="3">
        <f>IF(tblOrdenes[[#This Row],[puesto_trabajo]]="","",_xlfn.XLOOKUP(tblOrdenes[[#This Row],[puesto_trabajo]],tblPuestos[codigo],tblPuestos[especialidad],"(sin catálogo)"))</f>
        <v/>
      </c>
      <c r="Z42" s="3">
        <f>IF(tblOrdenes[[#This Row],[cod_actividad]]="","",_xlfn.XLOOKUP(tblOrdenes[[#This Row],[cod_actividad]],tblActividades[codigo],tblActividades[descripcion],"(sin catálogo)"))</f>
        <v/>
      </c>
      <c r="AA42" s="13">
        <f>IF(tblOrdenes[[#This Row],[fecha_inicio]]="","",TODAY()-tblOrdenes[[#This Row],[fecha_inicio]])</f>
        <v/>
      </c>
      <c r="AB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" s="3">
        <f>IF(tblOrdenes[[#This Row],[backlog_habiles]]="","",IF(tblOrdenes[[#This Row],[backlog_habiles]]&lt;0,"FUTURO",IF(tblOrdenes[[#This Row],[backlog_habiles]]&gt;p_dias_backlog_max,"BACKLOG","MES CORRIENTE")))</f>
        <v/>
      </c>
      <c r="AD42" s="3">
        <f>IF(tblOrdenes[[#This Row],[backlog_habiles]]="",FALSE,AND(tblOrdenes[[#This Row],[backlog_habiles]]&gt;p_dias_backlog_min,tblOrdenes[[#This Row],[backlog_habiles]]&lt;=p_dias_backlog_max))</f>
        <v/>
      </c>
      <c r="AE42" s="6" t="inlineStr">
        <is>
          <t>Técnico 04</t>
        </is>
      </c>
      <c r="AF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" s="11">
        <f>IF(tblOrdenes[[#This Row],[orden]]="","",_xlfn.XLOOKUP(tblOrdenes[[#This Row],[id_operacion]],tblEjecucion[id_operacion],tblEjecucion[precio],0))</f>
        <v/>
      </c>
      <c r="AJ42" s="11">
        <f>IF(tblOrdenes[[#This Row],[orden]]="","",MAX(0,_xlfn.XLOOKUP(tblOrdenes[[#This Row],[id_operacion]],tblEjecucion[id_operacion],tblEjecucion[costo_plan_total],0)-tblOrdenes[[#This Row],[costo_servicio]]))</f>
        <v/>
      </c>
      <c r="AK42" s="11">
        <f>IF(tblOrdenes[[#This Row],[orden]]="","",tblOrdenes[[#This Row],[costo_servicio]]+tblOrdenes[[#This Row],[costo_materiales]])</f>
        <v/>
      </c>
      <c r="AL42" s="6" t="inlineStr"/>
      <c r="AM42" s="6" t="inlineStr"/>
      <c r="AN42" s="6" t="inlineStr">
        <is>
          <t>ACT-01.pdf</t>
        </is>
      </c>
      <c r="AO42" s="3">
        <f>IF(tblOrdenes[[#This Row],[link_checklist]]="","",HYPERLINK(p_ruta_base_checklists&amp;tblOrdenes[[#This Row],[link_checklist]],"abrir"))</f>
        <v/>
      </c>
      <c r="AP42" s="6" t="inlineStr"/>
      <c r="AQ42" s="3">
        <f>IF(tblOrdenes[[#This Row],[orden]]="","",tblOrdenes[[#This Row],[orden]]&amp;IF(tblOrdenes[[#This Row],[operacion]]="","0010",tblOrdenes[[#This Row],[operacion]]))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2" t="n">
        <v>46248</v>
      </c>
      <c r="K43" s="3" t="n">
        <v>6</v>
      </c>
      <c r="L43" s="11" t="n">
        <v>150</v>
      </c>
      <c r="M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" s="3">
        <f>IF(tblOrdenes[[#This Row],[fecha_inicio]]="","",YEAR(tblOrdenes[[#This Row],[fecha_inicio]]))</f>
        <v/>
      </c>
      <c r="Q43" s="3">
        <f>IF(tblOrdenes[[#This Row],[fecha_inicio]]="","",MONTH(tblOrdenes[[#This Row],[fecha_inicio]]))</f>
        <v/>
      </c>
      <c r="R43" s="3">
        <f>IF(tblOrdenes[[#This Row],[fecha_inicio]]="","",INDEX(lista_dias,WEEKDAY(tblOrdenes[[#This Row],[fecha_inicio]],2)))</f>
        <v/>
      </c>
      <c r="S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" s="3">
        <f>IF(tblOrdenes[[#This Row],[tipo_ot]]="","",_xlfn.XLOOKUP(tblOrdenes[[#This Row],[tipo_ot]],tblTiposOT[codigo],tblTiposOT[clasificacion],"sin_clasificar"))</f>
        <v/>
      </c>
      <c r="U43" s="3">
        <f>IF(tblOrdenes[[#This Row],[centro_costo]]="","",_xlfn.XLOOKUP(tblOrdenes[[#This Row],[centro_costo]],tblCECO[codigo],tblCECO[linea],"(sin catálogo)"))</f>
        <v/>
      </c>
      <c r="V43" s="3">
        <f>IF(tblOrdenes[[#This Row],[centro_costo]]="","",_xlfn.XLOOKUP(tblOrdenes[[#This Row],[centro_costo]],tblCECO[codigo],tblCECO[area],"(sin catálogo)"))</f>
        <v/>
      </c>
      <c r="W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" s="3">
        <f>IF(tblOrdenes[[#This Row],[centro_costo]]="","",_xlfn.XLOOKUP(tblOrdenes[[#This Row],[centro_costo]],tblCECO[codigo],tblCECO[coordinador],"(sin catálogo)"))</f>
        <v/>
      </c>
      <c r="Y43" s="3">
        <f>IF(tblOrdenes[[#This Row],[puesto_trabajo]]="","",_xlfn.XLOOKUP(tblOrdenes[[#This Row],[puesto_trabajo]],tblPuestos[codigo],tblPuestos[especialidad],"(sin catálogo)"))</f>
        <v/>
      </c>
      <c r="Z43" s="3">
        <f>IF(tblOrdenes[[#This Row],[cod_actividad]]="","",_xlfn.XLOOKUP(tblOrdenes[[#This Row],[cod_actividad]],tblActividades[codigo],tblActividades[descripcion],"(sin catálogo)"))</f>
        <v/>
      </c>
      <c r="AA43" s="13">
        <f>IF(tblOrdenes[[#This Row],[fecha_inicio]]="","",TODAY()-tblOrdenes[[#This Row],[fecha_inicio]])</f>
        <v/>
      </c>
      <c r="AB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" s="3">
        <f>IF(tblOrdenes[[#This Row],[backlog_habiles]]="","",IF(tblOrdenes[[#This Row],[backlog_habiles]]&lt;0,"FUTURO",IF(tblOrdenes[[#This Row],[backlog_habiles]]&gt;p_dias_backlog_max,"BACKLOG","MES CORRIENTE")))</f>
        <v/>
      </c>
      <c r="AD43" s="3">
        <f>IF(tblOrdenes[[#This Row],[backlog_habiles]]="",FALSE,AND(tblOrdenes[[#This Row],[backlog_habiles]]&gt;p_dias_backlog_min,tblOrdenes[[#This Row],[backlog_habiles]]&lt;=p_dias_backlog_max))</f>
        <v/>
      </c>
      <c r="AE43" s="6" t="inlineStr"/>
      <c r="AF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" s="11">
        <f>IF(tblOrdenes[[#This Row],[orden]]="","",_xlfn.XLOOKUP(tblOrdenes[[#This Row],[id_operacion]],tblEjecucion[id_operacion],tblEjecucion[precio],0))</f>
        <v/>
      </c>
      <c r="AJ43" s="11">
        <f>IF(tblOrdenes[[#This Row],[orden]]="","",MAX(0,_xlfn.XLOOKUP(tblOrdenes[[#This Row],[id_operacion]],tblEjecucion[id_operacion],tblEjecucion[costo_plan_total],0)-tblOrdenes[[#This Row],[costo_servicio]]))</f>
        <v/>
      </c>
      <c r="AK43" s="11">
        <f>IF(tblOrdenes[[#This Row],[orden]]="","",tblOrdenes[[#This Row],[costo_servicio]]+tblOrdenes[[#This Row],[costo_materiales]])</f>
        <v/>
      </c>
      <c r="AL43" s="6" t="inlineStr"/>
      <c r="AM43" s="6" t="inlineStr"/>
      <c r="AN43" s="6" t="inlineStr">
        <is>
          <t>ACT-02.pdf</t>
        </is>
      </c>
      <c r="AO43" s="3">
        <f>IF(tblOrdenes[[#This Row],[link_checklist]]="","",HYPERLINK(p_ruta_base_checklists&amp;tblOrdenes[[#This Row],[link_checklist]],"abrir"))</f>
        <v/>
      </c>
      <c r="AP43" s="6" t="inlineStr"/>
      <c r="AQ43" s="3">
        <f>IF(tblOrdenes[[#This Row],[orden]]="","",tblOrdenes[[#This Row],[orden]]&amp;IF(tblOrdenes[[#This Row],[operacion]]="","0010",tblOrdenes[[#This Row],[operacion]]))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2" t="n">
        <v>46244</v>
      </c>
      <c r="K44" s="3" t="n">
        <v>10</v>
      </c>
      <c r="L44" s="11" t="n">
        <v>250</v>
      </c>
      <c r="M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" s="3">
        <f>IF(tblOrdenes[[#This Row],[fecha_inicio]]="","",YEAR(tblOrdenes[[#This Row],[fecha_inicio]]))</f>
        <v/>
      </c>
      <c r="Q44" s="3">
        <f>IF(tblOrdenes[[#This Row],[fecha_inicio]]="","",MONTH(tblOrdenes[[#This Row],[fecha_inicio]]))</f>
        <v/>
      </c>
      <c r="R44" s="3">
        <f>IF(tblOrdenes[[#This Row],[fecha_inicio]]="","",INDEX(lista_dias,WEEKDAY(tblOrdenes[[#This Row],[fecha_inicio]],2)))</f>
        <v/>
      </c>
      <c r="S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" s="3">
        <f>IF(tblOrdenes[[#This Row],[tipo_ot]]="","",_xlfn.XLOOKUP(tblOrdenes[[#This Row],[tipo_ot]],tblTiposOT[codigo],tblTiposOT[clasificacion],"sin_clasificar"))</f>
        <v/>
      </c>
      <c r="U44" s="3">
        <f>IF(tblOrdenes[[#This Row],[centro_costo]]="","",_xlfn.XLOOKUP(tblOrdenes[[#This Row],[centro_costo]],tblCECO[codigo],tblCECO[linea],"(sin catálogo)"))</f>
        <v/>
      </c>
      <c r="V44" s="3">
        <f>IF(tblOrdenes[[#This Row],[centro_costo]]="","",_xlfn.XLOOKUP(tblOrdenes[[#This Row],[centro_costo]],tblCECO[codigo],tblCECO[area],"(sin catálogo)"))</f>
        <v/>
      </c>
      <c r="W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" s="3">
        <f>IF(tblOrdenes[[#This Row],[centro_costo]]="","",_xlfn.XLOOKUP(tblOrdenes[[#This Row],[centro_costo]],tblCECO[codigo],tblCECO[coordinador],"(sin catálogo)"))</f>
        <v/>
      </c>
      <c r="Y44" s="3">
        <f>IF(tblOrdenes[[#This Row],[puesto_trabajo]]="","",_xlfn.XLOOKUP(tblOrdenes[[#This Row],[puesto_trabajo]],tblPuestos[codigo],tblPuestos[especialidad],"(sin catálogo)"))</f>
        <v/>
      </c>
      <c r="Z44" s="3">
        <f>IF(tblOrdenes[[#This Row],[cod_actividad]]="","",_xlfn.XLOOKUP(tblOrdenes[[#This Row],[cod_actividad]],tblActividades[codigo],tblActividades[descripcion],"(sin catálogo)"))</f>
        <v/>
      </c>
      <c r="AA44" s="13">
        <f>IF(tblOrdenes[[#This Row],[fecha_inicio]]="","",TODAY()-tblOrdenes[[#This Row],[fecha_inicio]])</f>
        <v/>
      </c>
      <c r="AB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" s="3">
        <f>IF(tblOrdenes[[#This Row],[backlog_habiles]]="","",IF(tblOrdenes[[#This Row],[backlog_habiles]]&lt;0,"FUTURO",IF(tblOrdenes[[#This Row],[backlog_habiles]]&gt;p_dias_backlog_max,"BACKLOG","MES CORRIENTE")))</f>
        <v/>
      </c>
      <c r="AD44" s="3">
        <f>IF(tblOrdenes[[#This Row],[backlog_habiles]]="",FALSE,AND(tblOrdenes[[#This Row],[backlog_habiles]]&gt;p_dias_backlog_min,tblOrdenes[[#This Row],[backlog_habiles]]&lt;=p_dias_backlog_max))</f>
        <v/>
      </c>
      <c r="AE44" s="6" t="inlineStr">
        <is>
          <t>Técnico 06</t>
        </is>
      </c>
      <c r="AF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" s="11">
        <f>IF(tblOrdenes[[#This Row],[orden]]="","",_xlfn.XLOOKUP(tblOrdenes[[#This Row],[id_operacion]],tblEjecucion[id_operacion],tblEjecucion[precio],0))</f>
        <v/>
      </c>
      <c r="AJ44" s="11">
        <f>IF(tblOrdenes[[#This Row],[orden]]="","",MAX(0,_xlfn.XLOOKUP(tblOrdenes[[#This Row],[id_operacion]],tblEjecucion[id_operacion],tblEjecucion[costo_plan_total],0)-tblOrdenes[[#This Row],[costo_servicio]]))</f>
        <v/>
      </c>
      <c r="AK44" s="11">
        <f>IF(tblOrdenes[[#This Row],[orden]]="","",tblOrdenes[[#This Row],[costo_servicio]]+tblOrdenes[[#This Row],[costo_materiales]])</f>
        <v/>
      </c>
      <c r="AL44" s="6" t="inlineStr"/>
      <c r="AM44" s="6" t="inlineStr"/>
      <c r="AN44" s="6" t="inlineStr">
        <is>
          <t>ACT-04.pdf</t>
        </is>
      </c>
      <c r="AO44" s="3">
        <f>IF(tblOrdenes[[#This Row],[link_checklist]]="","",HYPERLINK(p_ruta_base_checklists&amp;tblOrdenes[[#This Row],[link_checklist]],"abrir"))</f>
        <v/>
      </c>
      <c r="AP44" s="6" t="inlineStr"/>
      <c r="AQ44" s="3">
        <f>IF(tblOrdenes[[#This Row],[orden]]="","",tblOrdenes[[#This Row],[orden]]&amp;IF(tblOrdenes[[#This Row],[operacion]]="","0010",tblOrdenes[[#This Row],[operacion]]))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2" t="n">
        <v>46245</v>
      </c>
      <c r="K45" s="3" t="n">
        <v>8</v>
      </c>
      <c r="L45" s="11" t="n">
        <v>200</v>
      </c>
      <c r="M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" s="3">
        <f>IF(tblOrdenes[[#This Row],[fecha_inicio]]="","",YEAR(tblOrdenes[[#This Row],[fecha_inicio]]))</f>
        <v/>
      </c>
      <c r="Q45" s="3">
        <f>IF(tblOrdenes[[#This Row],[fecha_inicio]]="","",MONTH(tblOrdenes[[#This Row],[fecha_inicio]]))</f>
        <v/>
      </c>
      <c r="R45" s="3">
        <f>IF(tblOrdenes[[#This Row],[fecha_inicio]]="","",INDEX(lista_dias,WEEKDAY(tblOrdenes[[#This Row],[fecha_inicio]],2)))</f>
        <v/>
      </c>
      <c r="S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" s="3">
        <f>IF(tblOrdenes[[#This Row],[tipo_ot]]="","",_xlfn.XLOOKUP(tblOrdenes[[#This Row],[tipo_ot]],tblTiposOT[codigo],tblTiposOT[clasificacion],"sin_clasificar"))</f>
        <v/>
      </c>
      <c r="U45" s="3">
        <f>IF(tblOrdenes[[#This Row],[centro_costo]]="","",_xlfn.XLOOKUP(tblOrdenes[[#This Row],[centro_costo]],tblCECO[codigo],tblCECO[linea],"(sin catálogo)"))</f>
        <v/>
      </c>
      <c r="V45" s="3">
        <f>IF(tblOrdenes[[#This Row],[centro_costo]]="","",_xlfn.XLOOKUP(tblOrdenes[[#This Row],[centro_costo]],tblCECO[codigo],tblCECO[area],"(sin catálogo)"))</f>
        <v/>
      </c>
      <c r="W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" s="3">
        <f>IF(tblOrdenes[[#This Row],[centro_costo]]="","",_xlfn.XLOOKUP(tblOrdenes[[#This Row],[centro_costo]],tblCECO[codigo],tblCECO[coordinador],"(sin catálogo)"))</f>
        <v/>
      </c>
      <c r="Y45" s="3">
        <f>IF(tblOrdenes[[#This Row],[puesto_trabajo]]="","",_xlfn.XLOOKUP(tblOrdenes[[#This Row],[puesto_trabajo]],tblPuestos[codigo],tblPuestos[especialidad],"(sin catálogo)"))</f>
        <v/>
      </c>
      <c r="Z45" s="3">
        <f>IF(tblOrdenes[[#This Row],[cod_actividad]]="","",_xlfn.XLOOKUP(tblOrdenes[[#This Row],[cod_actividad]],tblActividades[codigo],tblActividades[descripcion],"(sin catálogo)"))</f>
        <v/>
      </c>
      <c r="AA45" s="13">
        <f>IF(tblOrdenes[[#This Row],[fecha_inicio]]="","",TODAY()-tblOrdenes[[#This Row],[fecha_inicio]])</f>
        <v/>
      </c>
      <c r="AB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" s="3">
        <f>IF(tblOrdenes[[#This Row],[backlog_habiles]]="","",IF(tblOrdenes[[#This Row],[backlog_habiles]]&lt;0,"FUTURO",IF(tblOrdenes[[#This Row],[backlog_habiles]]&gt;p_dias_backlog_max,"BACKLOG","MES CORRIENTE")))</f>
        <v/>
      </c>
      <c r="AD45" s="3">
        <f>IF(tblOrdenes[[#This Row],[backlog_habiles]]="",FALSE,AND(tblOrdenes[[#This Row],[backlog_habiles]]&gt;p_dias_backlog_min,tblOrdenes[[#This Row],[backlog_habiles]]&lt;=p_dias_backlog_max))</f>
        <v/>
      </c>
      <c r="AE45" s="6" t="inlineStr">
        <is>
          <t>Técnico 07</t>
        </is>
      </c>
      <c r="AF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" s="11">
        <f>IF(tblOrdenes[[#This Row],[orden]]="","",_xlfn.XLOOKUP(tblOrdenes[[#This Row],[id_operacion]],tblEjecucion[id_operacion],tblEjecucion[precio],0))</f>
        <v/>
      </c>
      <c r="AJ45" s="11">
        <f>IF(tblOrdenes[[#This Row],[orden]]="","",MAX(0,_xlfn.XLOOKUP(tblOrdenes[[#This Row],[id_operacion]],tblEjecucion[id_operacion],tblEjecucion[costo_plan_total],0)-tblOrdenes[[#This Row],[costo_servicio]]))</f>
        <v/>
      </c>
      <c r="AK45" s="11">
        <f>IF(tblOrdenes[[#This Row],[orden]]="","",tblOrdenes[[#This Row],[costo_servicio]]+tblOrdenes[[#This Row],[costo_materiales]])</f>
        <v/>
      </c>
      <c r="AL45" s="6" t="inlineStr"/>
      <c r="AM45" s="6" t="inlineStr"/>
      <c r="AN45" s="6" t="inlineStr">
        <is>
          <t>ACT-01.pdf</t>
        </is>
      </c>
      <c r="AO45" s="3">
        <f>IF(tblOrdenes[[#This Row],[link_checklist]]="","",HYPERLINK(p_ruta_base_checklists&amp;tblOrdenes[[#This Row],[link_checklist]],"abrir"))</f>
        <v/>
      </c>
      <c r="AP45" s="6" t="inlineStr"/>
      <c r="AQ45" s="3">
        <f>IF(tblOrdenes[[#This Row],[orden]]="","",tblOrdenes[[#This Row],[orden]]&amp;IF(tblOrdenes[[#This Row],[operacion]]="","0010",tblOrdenes[[#This Row],[operacion]]))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2" t="n">
        <v>46246</v>
      </c>
      <c r="K46" s="3" t="n">
        <v>6</v>
      </c>
      <c r="L46" s="11" t="n">
        <v>150</v>
      </c>
      <c r="M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" s="3">
        <f>IF(tblOrdenes[[#This Row],[fecha_inicio]]="","",YEAR(tblOrdenes[[#This Row],[fecha_inicio]]))</f>
        <v/>
      </c>
      <c r="Q46" s="3">
        <f>IF(tblOrdenes[[#This Row],[fecha_inicio]]="","",MONTH(tblOrdenes[[#This Row],[fecha_inicio]]))</f>
        <v/>
      </c>
      <c r="R46" s="3">
        <f>IF(tblOrdenes[[#This Row],[fecha_inicio]]="","",INDEX(lista_dias,WEEKDAY(tblOrdenes[[#This Row],[fecha_inicio]],2)))</f>
        <v/>
      </c>
      <c r="S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" s="3">
        <f>IF(tblOrdenes[[#This Row],[tipo_ot]]="","",_xlfn.XLOOKUP(tblOrdenes[[#This Row],[tipo_ot]],tblTiposOT[codigo],tblTiposOT[clasificacion],"sin_clasificar"))</f>
        <v/>
      </c>
      <c r="U46" s="3">
        <f>IF(tblOrdenes[[#This Row],[centro_costo]]="","",_xlfn.XLOOKUP(tblOrdenes[[#This Row],[centro_costo]],tblCECO[codigo],tblCECO[linea],"(sin catálogo)"))</f>
        <v/>
      </c>
      <c r="V46" s="3">
        <f>IF(tblOrdenes[[#This Row],[centro_costo]]="","",_xlfn.XLOOKUP(tblOrdenes[[#This Row],[centro_costo]],tblCECO[codigo],tblCECO[area],"(sin catálogo)"))</f>
        <v/>
      </c>
      <c r="W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" s="3">
        <f>IF(tblOrdenes[[#This Row],[centro_costo]]="","",_xlfn.XLOOKUP(tblOrdenes[[#This Row],[centro_costo]],tblCECO[codigo],tblCECO[coordinador],"(sin catálogo)"))</f>
        <v/>
      </c>
      <c r="Y46" s="3">
        <f>IF(tblOrdenes[[#This Row],[puesto_trabajo]]="","",_xlfn.XLOOKUP(tblOrdenes[[#This Row],[puesto_trabajo]],tblPuestos[codigo],tblPuestos[especialidad],"(sin catálogo)"))</f>
        <v/>
      </c>
      <c r="Z46" s="3">
        <f>IF(tblOrdenes[[#This Row],[cod_actividad]]="","",_xlfn.XLOOKUP(tblOrdenes[[#This Row],[cod_actividad]],tblActividades[codigo],tblActividades[descripcion],"(sin catálogo)"))</f>
        <v/>
      </c>
      <c r="AA46" s="13">
        <f>IF(tblOrdenes[[#This Row],[fecha_inicio]]="","",TODAY()-tblOrdenes[[#This Row],[fecha_inicio]])</f>
        <v/>
      </c>
      <c r="AB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" s="3">
        <f>IF(tblOrdenes[[#This Row],[backlog_habiles]]="","",IF(tblOrdenes[[#This Row],[backlog_habiles]]&lt;0,"FUTURO",IF(tblOrdenes[[#This Row],[backlog_habiles]]&gt;p_dias_backlog_max,"BACKLOG","MES CORRIENTE")))</f>
        <v/>
      </c>
      <c r="AD46" s="3">
        <f>IF(tblOrdenes[[#This Row],[backlog_habiles]]="",FALSE,AND(tblOrdenes[[#This Row],[backlog_habiles]]&gt;p_dias_backlog_min,tblOrdenes[[#This Row],[backlog_habiles]]&lt;=p_dias_backlog_max))</f>
        <v/>
      </c>
      <c r="AE46" s="6" t="inlineStr">
        <is>
          <t>Técnico 01</t>
        </is>
      </c>
      <c r="AF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" s="11">
        <f>IF(tblOrdenes[[#This Row],[orden]]="","",_xlfn.XLOOKUP(tblOrdenes[[#This Row],[id_operacion]],tblEjecucion[id_operacion],tblEjecucion[precio],0))</f>
        <v/>
      </c>
      <c r="AJ46" s="11">
        <f>IF(tblOrdenes[[#This Row],[orden]]="","",MAX(0,_xlfn.XLOOKUP(tblOrdenes[[#This Row],[id_operacion]],tblEjecucion[id_operacion],tblEjecucion[costo_plan_total],0)-tblOrdenes[[#This Row],[costo_servicio]]))</f>
        <v/>
      </c>
      <c r="AK46" s="11">
        <f>IF(tblOrdenes[[#This Row],[orden]]="","",tblOrdenes[[#This Row],[costo_servicio]]+tblOrdenes[[#This Row],[costo_materiales]])</f>
        <v/>
      </c>
      <c r="AL46" s="6" t="inlineStr"/>
      <c r="AM46" s="6" t="inlineStr"/>
      <c r="AN46" s="6" t="inlineStr">
        <is>
          <t>ACT-02.pdf</t>
        </is>
      </c>
      <c r="AO46" s="3">
        <f>IF(tblOrdenes[[#This Row],[link_checklist]]="","",HYPERLINK(p_ruta_base_checklists&amp;tblOrdenes[[#This Row],[link_checklist]],"abrir"))</f>
        <v/>
      </c>
      <c r="AP46" s="6" t="inlineStr"/>
      <c r="AQ46" s="3">
        <f>IF(tblOrdenes[[#This Row],[orden]]="","",tblOrdenes[[#This Row],[orden]]&amp;IF(tblOrdenes[[#This Row],[operacion]]="","0010",tblOrdenes[[#This Row],[operacion]]))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2" t="n">
        <v>46247</v>
      </c>
      <c r="K47" s="3" t="n">
        <v>10</v>
      </c>
      <c r="L47" s="11" t="n">
        <v>250</v>
      </c>
      <c r="M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" s="3">
        <f>IF(tblOrdenes[[#This Row],[fecha_inicio]]="","",YEAR(tblOrdenes[[#This Row],[fecha_inicio]]))</f>
        <v/>
      </c>
      <c r="Q47" s="3">
        <f>IF(tblOrdenes[[#This Row],[fecha_inicio]]="","",MONTH(tblOrdenes[[#This Row],[fecha_inicio]]))</f>
        <v/>
      </c>
      <c r="R47" s="3">
        <f>IF(tblOrdenes[[#This Row],[fecha_inicio]]="","",INDEX(lista_dias,WEEKDAY(tblOrdenes[[#This Row],[fecha_inicio]],2)))</f>
        <v/>
      </c>
      <c r="S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" s="3">
        <f>IF(tblOrdenes[[#This Row],[tipo_ot]]="","",_xlfn.XLOOKUP(tblOrdenes[[#This Row],[tipo_ot]],tblTiposOT[codigo],tblTiposOT[clasificacion],"sin_clasificar"))</f>
        <v/>
      </c>
      <c r="U47" s="3">
        <f>IF(tblOrdenes[[#This Row],[centro_costo]]="","",_xlfn.XLOOKUP(tblOrdenes[[#This Row],[centro_costo]],tblCECO[codigo],tblCECO[linea],"(sin catálogo)"))</f>
        <v/>
      </c>
      <c r="V47" s="3">
        <f>IF(tblOrdenes[[#This Row],[centro_costo]]="","",_xlfn.XLOOKUP(tblOrdenes[[#This Row],[centro_costo]],tblCECO[codigo],tblCECO[area],"(sin catálogo)"))</f>
        <v/>
      </c>
      <c r="W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" s="3">
        <f>IF(tblOrdenes[[#This Row],[centro_costo]]="","",_xlfn.XLOOKUP(tblOrdenes[[#This Row],[centro_costo]],tblCECO[codigo],tblCECO[coordinador],"(sin catálogo)"))</f>
        <v/>
      </c>
      <c r="Y47" s="3">
        <f>IF(tblOrdenes[[#This Row],[puesto_trabajo]]="","",_xlfn.XLOOKUP(tblOrdenes[[#This Row],[puesto_trabajo]],tblPuestos[codigo],tblPuestos[especialidad],"(sin catálogo)"))</f>
        <v/>
      </c>
      <c r="Z47" s="3">
        <f>IF(tblOrdenes[[#This Row],[cod_actividad]]="","",_xlfn.XLOOKUP(tblOrdenes[[#This Row],[cod_actividad]],tblActividades[codigo],tblActividades[descripcion],"(sin catálogo)"))</f>
        <v/>
      </c>
      <c r="AA47" s="13">
        <f>IF(tblOrdenes[[#This Row],[fecha_inicio]]="","",TODAY()-tblOrdenes[[#This Row],[fecha_inicio]])</f>
        <v/>
      </c>
      <c r="AB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" s="3">
        <f>IF(tblOrdenes[[#This Row],[backlog_habiles]]="","",IF(tblOrdenes[[#This Row],[backlog_habiles]]&lt;0,"FUTURO",IF(tblOrdenes[[#This Row],[backlog_habiles]]&gt;p_dias_backlog_max,"BACKLOG","MES CORRIENTE")))</f>
        <v/>
      </c>
      <c r="AD47" s="3">
        <f>IF(tblOrdenes[[#This Row],[backlog_habiles]]="",FALSE,AND(tblOrdenes[[#This Row],[backlog_habiles]]&gt;p_dias_backlog_min,tblOrdenes[[#This Row],[backlog_habiles]]&lt;=p_dias_backlog_max))</f>
        <v/>
      </c>
      <c r="AE47" s="6" t="inlineStr">
        <is>
          <t>Técnico 02</t>
        </is>
      </c>
      <c r="AF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" s="11">
        <f>IF(tblOrdenes[[#This Row],[orden]]="","",_xlfn.XLOOKUP(tblOrdenes[[#This Row],[id_operacion]],tblEjecucion[id_operacion],tblEjecucion[precio],0))</f>
        <v/>
      </c>
      <c r="AJ47" s="11">
        <f>IF(tblOrdenes[[#This Row],[orden]]="","",MAX(0,_xlfn.XLOOKUP(tblOrdenes[[#This Row],[id_operacion]],tblEjecucion[id_operacion],tblEjecucion[costo_plan_total],0)-tblOrdenes[[#This Row],[costo_servicio]]))</f>
        <v/>
      </c>
      <c r="AK47" s="11">
        <f>IF(tblOrdenes[[#This Row],[orden]]="","",tblOrdenes[[#This Row],[costo_servicio]]+tblOrdenes[[#This Row],[costo_materiales]])</f>
        <v/>
      </c>
      <c r="AL47" s="6" t="inlineStr"/>
      <c r="AM47" s="6" t="inlineStr"/>
      <c r="AN47" s="6" t="inlineStr">
        <is>
          <t>ACT-04.pdf</t>
        </is>
      </c>
      <c r="AO47" s="3">
        <f>IF(tblOrdenes[[#This Row],[link_checklist]]="","",HYPERLINK(p_ruta_base_checklists&amp;tblOrdenes[[#This Row],[link_checklist]],"abrir"))</f>
        <v/>
      </c>
      <c r="AP47" s="6" t="inlineStr"/>
      <c r="AQ47" s="3">
        <f>IF(tblOrdenes[[#This Row],[orden]]="","",tblOrdenes[[#This Row],[orden]]&amp;IF(tblOrdenes[[#This Row],[operacion]]="","0010",tblOrdenes[[#This Row],[operacion]]))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2" t="n">
        <v>46248</v>
      </c>
      <c r="K48" s="3" t="n">
        <v>8</v>
      </c>
      <c r="L48" s="11" t="n">
        <v>200</v>
      </c>
      <c r="M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" s="3">
        <f>IF(tblOrdenes[[#This Row],[fecha_inicio]]="","",YEAR(tblOrdenes[[#This Row],[fecha_inicio]]))</f>
        <v/>
      </c>
      <c r="Q48" s="3">
        <f>IF(tblOrdenes[[#This Row],[fecha_inicio]]="","",MONTH(tblOrdenes[[#This Row],[fecha_inicio]]))</f>
        <v/>
      </c>
      <c r="R48" s="3">
        <f>IF(tblOrdenes[[#This Row],[fecha_inicio]]="","",INDEX(lista_dias,WEEKDAY(tblOrdenes[[#This Row],[fecha_inicio]],2)))</f>
        <v/>
      </c>
      <c r="S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" s="3">
        <f>IF(tblOrdenes[[#This Row],[tipo_ot]]="","",_xlfn.XLOOKUP(tblOrdenes[[#This Row],[tipo_ot]],tblTiposOT[codigo],tblTiposOT[clasificacion],"sin_clasificar"))</f>
        <v/>
      </c>
      <c r="U48" s="3">
        <f>IF(tblOrdenes[[#This Row],[centro_costo]]="","",_xlfn.XLOOKUP(tblOrdenes[[#This Row],[centro_costo]],tblCECO[codigo],tblCECO[linea],"(sin catálogo)"))</f>
        <v/>
      </c>
      <c r="V48" s="3">
        <f>IF(tblOrdenes[[#This Row],[centro_costo]]="","",_xlfn.XLOOKUP(tblOrdenes[[#This Row],[centro_costo]],tblCECO[codigo],tblCECO[area],"(sin catálogo)"))</f>
        <v/>
      </c>
      <c r="W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" s="3">
        <f>IF(tblOrdenes[[#This Row],[centro_costo]]="","",_xlfn.XLOOKUP(tblOrdenes[[#This Row],[centro_costo]],tblCECO[codigo],tblCECO[coordinador],"(sin catálogo)"))</f>
        <v/>
      </c>
      <c r="Y48" s="3">
        <f>IF(tblOrdenes[[#This Row],[puesto_trabajo]]="","",_xlfn.XLOOKUP(tblOrdenes[[#This Row],[puesto_trabajo]],tblPuestos[codigo],tblPuestos[especialidad],"(sin catálogo)"))</f>
        <v/>
      </c>
      <c r="Z48" s="3">
        <f>IF(tblOrdenes[[#This Row],[cod_actividad]]="","",_xlfn.XLOOKUP(tblOrdenes[[#This Row],[cod_actividad]],tblActividades[codigo],tblActividades[descripcion],"(sin catálogo)"))</f>
        <v/>
      </c>
      <c r="AA48" s="13">
        <f>IF(tblOrdenes[[#This Row],[fecha_inicio]]="","",TODAY()-tblOrdenes[[#This Row],[fecha_inicio]])</f>
        <v/>
      </c>
      <c r="AB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" s="3">
        <f>IF(tblOrdenes[[#This Row],[backlog_habiles]]="","",IF(tblOrdenes[[#This Row],[backlog_habiles]]&lt;0,"FUTURO",IF(tblOrdenes[[#This Row],[backlog_habiles]]&gt;p_dias_backlog_max,"BACKLOG","MES CORRIENTE")))</f>
        <v/>
      </c>
      <c r="AD48" s="3">
        <f>IF(tblOrdenes[[#This Row],[backlog_habiles]]="",FALSE,AND(tblOrdenes[[#This Row],[backlog_habiles]]&gt;p_dias_backlog_min,tblOrdenes[[#This Row],[backlog_habiles]]&lt;=p_dias_backlog_max))</f>
        <v/>
      </c>
      <c r="AE48" s="6" t="inlineStr">
        <is>
          <t>Técnico 03</t>
        </is>
      </c>
      <c r="AF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" s="11">
        <f>IF(tblOrdenes[[#This Row],[orden]]="","",_xlfn.XLOOKUP(tblOrdenes[[#This Row],[id_operacion]],tblEjecucion[id_operacion],tblEjecucion[precio],0))</f>
        <v/>
      </c>
      <c r="AJ48" s="11">
        <f>IF(tblOrdenes[[#This Row],[orden]]="","",MAX(0,_xlfn.XLOOKUP(tblOrdenes[[#This Row],[id_operacion]],tblEjecucion[id_operacion],tblEjecucion[costo_plan_total],0)-tblOrdenes[[#This Row],[costo_servicio]]))</f>
        <v/>
      </c>
      <c r="AK48" s="11">
        <f>IF(tblOrdenes[[#This Row],[orden]]="","",tblOrdenes[[#This Row],[costo_servicio]]+tblOrdenes[[#This Row],[costo_materiales]])</f>
        <v/>
      </c>
      <c r="AL48" s="6" t="inlineStr"/>
      <c r="AM48" s="6" t="inlineStr"/>
      <c r="AN48" s="6" t="inlineStr">
        <is>
          <t>ACT-01.pdf</t>
        </is>
      </c>
      <c r="AO48" s="3">
        <f>IF(tblOrdenes[[#This Row],[link_checklist]]="","",HYPERLINK(p_ruta_base_checklists&amp;tblOrdenes[[#This Row],[link_checklist]],"abrir"))</f>
        <v/>
      </c>
      <c r="AP48" s="6" t="inlineStr"/>
      <c r="AQ48" s="3">
        <f>IF(tblOrdenes[[#This Row],[orden]]="","",tblOrdenes[[#This Row],[orden]]&amp;IF(tblOrdenes[[#This Row],[operacion]]="","0010",tblOrdenes[[#This Row],[operacion]]))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2" t="n">
        <v>46244</v>
      </c>
      <c r="K49" s="3" t="n">
        <v>4</v>
      </c>
      <c r="L49" s="11" t="n">
        <v>100</v>
      </c>
      <c r="M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" s="3">
        <f>IF(tblOrdenes[[#This Row],[fecha_inicio]]="","",YEAR(tblOrdenes[[#This Row],[fecha_inicio]]))</f>
        <v/>
      </c>
      <c r="Q49" s="3">
        <f>IF(tblOrdenes[[#This Row],[fecha_inicio]]="","",MONTH(tblOrdenes[[#This Row],[fecha_inicio]]))</f>
        <v/>
      </c>
      <c r="R49" s="3">
        <f>IF(tblOrdenes[[#This Row],[fecha_inicio]]="","",INDEX(lista_dias,WEEKDAY(tblOrdenes[[#This Row],[fecha_inicio]],2)))</f>
        <v/>
      </c>
      <c r="S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" s="3">
        <f>IF(tblOrdenes[[#This Row],[tipo_ot]]="","",_xlfn.XLOOKUP(tblOrdenes[[#This Row],[tipo_ot]],tblTiposOT[codigo],tblTiposOT[clasificacion],"sin_clasificar"))</f>
        <v/>
      </c>
      <c r="U49" s="3">
        <f>IF(tblOrdenes[[#This Row],[centro_costo]]="","",_xlfn.XLOOKUP(tblOrdenes[[#This Row],[centro_costo]],tblCECO[codigo],tblCECO[linea],"(sin catálogo)"))</f>
        <v/>
      </c>
      <c r="V49" s="3">
        <f>IF(tblOrdenes[[#This Row],[centro_costo]]="","",_xlfn.XLOOKUP(tblOrdenes[[#This Row],[centro_costo]],tblCECO[codigo],tblCECO[area],"(sin catálogo)"))</f>
        <v/>
      </c>
      <c r="W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" s="3">
        <f>IF(tblOrdenes[[#This Row],[centro_costo]]="","",_xlfn.XLOOKUP(tblOrdenes[[#This Row],[centro_costo]],tblCECO[codigo],tblCECO[coordinador],"(sin catálogo)"))</f>
        <v/>
      </c>
      <c r="Y49" s="3">
        <f>IF(tblOrdenes[[#This Row],[puesto_trabajo]]="","",_xlfn.XLOOKUP(tblOrdenes[[#This Row],[puesto_trabajo]],tblPuestos[codigo],tblPuestos[especialidad],"(sin catálogo)"))</f>
        <v/>
      </c>
      <c r="Z49" s="3">
        <f>IF(tblOrdenes[[#This Row],[cod_actividad]]="","",_xlfn.XLOOKUP(tblOrdenes[[#This Row],[cod_actividad]],tblActividades[codigo],tblActividades[descripcion],"(sin catálogo)"))</f>
        <v/>
      </c>
      <c r="AA49" s="13">
        <f>IF(tblOrdenes[[#This Row],[fecha_inicio]]="","",TODAY()-tblOrdenes[[#This Row],[fecha_inicio]])</f>
        <v/>
      </c>
      <c r="AB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" s="3">
        <f>IF(tblOrdenes[[#This Row],[backlog_habiles]]="","",IF(tblOrdenes[[#This Row],[backlog_habiles]]&lt;0,"FUTURO",IF(tblOrdenes[[#This Row],[backlog_habiles]]&gt;p_dias_backlog_max,"BACKLOG","MES CORRIENTE")))</f>
        <v/>
      </c>
      <c r="AD49" s="3">
        <f>IF(tblOrdenes[[#This Row],[backlog_habiles]]="",FALSE,AND(tblOrdenes[[#This Row],[backlog_habiles]]&gt;p_dias_backlog_min,tblOrdenes[[#This Row],[backlog_habiles]]&lt;=p_dias_backlog_max))</f>
        <v/>
      </c>
      <c r="AE49" s="6" t="inlineStr">
        <is>
          <t>Técnico 04</t>
        </is>
      </c>
      <c r="AF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" s="11">
        <f>IF(tblOrdenes[[#This Row],[orden]]="","",_xlfn.XLOOKUP(tblOrdenes[[#This Row],[id_operacion]],tblEjecucion[id_operacion],tblEjecucion[precio],0))</f>
        <v/>
      </c>
      <c r="AJ49" s="11">
        <f>IF(tblOrdenes[[#This Row],[orden]]="","",MAX(0,_xlfn.XLOOKUP(tblOrdenes[[#This Row],[id_operacion]],tblEjecucion[id_operacion],tblEjecucion[costo_plan_total],0)-tblOrdenes[[#This Row],[costo_servicio]]))</f>
        <v/>
      </c>
      <c r="AK49" s="11">
        <f>IF(tblOrdenes[[#This Row],[orden]]="","",tblOrdenes[[#This Row],[costo_servicio]]+tblOrdenes[[#This Row],[costo_materiales]])</f>
        <v/>
      </c>
      <c r="AL49" s="6" t="inlineStr"/>
      <c r="AM49" s="6" t="inlineStr"/>
      <c r="AN49" s="6" t="inlineStr">
        <is>
          <t>ACT-02.pdf</t>
        </is>
      </c>
      <c r="AO49" s="3">
        <f>IF(tblOrdenes[[#This Row],[link_checklist]]="","",HYPERLINK(p_ruta_base_checklists&amp;tblOrdenes[[#This Row],[link_checklist]],"abrir"))</f>
        <v/>
      </c>
      <c r="AP49" s="6" t="inlineStr"/>
      <c r="AQ49" s="3">
        <f>IF(tblOrdenes[[#This Row],[orden]]="","",tblOrdenes[[#This Row],[orden]]&amp;IF(tblOrdenes[[#This Row],[operacion]]="","0010",tblOrdenes[[#This Row],[operacion]]))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2" t="n">
        <v>46245</v>
      </c>
      <c r="K50" s="3" t="n">
        <v>10</v>
      </c>
      <c r="L50" s="11" t="n">
        <v>400</v>
      </c>
      <c r="M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" s="3">
        <f>IF(tblOrdenes[[#This Row],[fecha_inicio]]="","",YEAR(tblOrdenes[[#This Row],[fecha_inicio]]))</f>
        <v/>
      </c>
      <c r="Q50" s="3">
        <f>IF(tblOrdenes[[#This Row],[fecha_inicio]]="","",MONTH(tblOrdenes[[#This Row],[fecha_inicio]]))</f>
        <v/>
      </c>
      <c r="R50" s="3">
        <f>IF(tblOrdenes[[#This Row],[fecha_inicio]]="","",INDEX(lista_dias,WEEKDAY(tblOrdenes[[#This Row],[fecha_inicio]],2)))</f>
        <v/>
      </c>
      <c r="S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" s="3">
        <f>IF(tblOrdenes[[#This Row],[tipo_ot]]="","",_xlfn.XLOOKUP(tblOrdenes[[#This Row],[tipo_ot]],tblTiposOT[codigo],tblTiposOT[clasificacion],"sin_clasificar"))</f>
        <v/>
      </c>
      <c r="U50" s="3">
        <f>IF(tblOrdenes[[#This Row],[centro_costo]]="","",_xlfn.XLOOKUP(tblOrdenes[[#This Row],[centro_costo]],tblCECO[codigo],tblCECO[linea],"(sin catálogo)"))</f>
        <v/>
      </c>
      <c r="V50" s="3">
        <f>IF(tblOrdenes[[#This Row],[centro_costo]]="","",_xlfn.XLOOKUP(tblOrdenes[[#This Row],[centro_costo]],tblCECO[codigo],tblCECO[area],"(sin catálogo)"))</f>
        <v/>
      </c>
      <c r="W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" s="3">
        <f>IF(tblOrdenes[[#This Row],[centro_costo]]="","",_xlfn.XLOOKUP(tblOrdenes[[#This Row],[centro_costo]],tblCECO[codigo],tblCECO[coordinador],"(sin catálogo)"))</f>
        <v/>
      </c>
      <c r="Y50" s="3">
        <f>IF(tblOrdenes[[#This Row],[puesto_trabajo]]="","",_xlfn.XLOOKUP(tblOrdenes[[#This Row],[puesto_trabajo]],tblPuestos[codigo],tblPuestos[especialidad],"(sin catálogo)"))</f>
        <v/>
      </c>
      <c r="Z50" s="3">
        <f>IF(tblOrdenes[[#This Row],[cod_actividad]]="","",_xlfn.XLOOKUP(tblOrdenes[[#This Row],[cod_actividad]],tblActividades[codigo],tblActividades[descripcion],"(sin catálogo)"))</f>
        <v/>
      </c>
      <c r="AA50" s="13">
        <f>IF(tblOrdenes[[#This Row],[fecha_inicio]]="","",TODAY()-tblOrdenes[[#This Row],[fecha_inicio]])</f>
        <v/>
      </c>
      <c r="AB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" s="3">
        <f>IF(tblOrdenes[[#This Row],[backlog_habiles]]="","",IF(tblOrdenes[[#This Row],[backlog_habiles]]&lt;0,"FUTURO",IF(tblOrdenes[[#This Row],[backlog_habiles]]&gt;p_dias_backlog_max,"BACKLOG","MES CORRIENTE")))</f>
        <v/>
      </c>
      <c r="AD50" s="3">
        <f>IF(tblOrdenes[[#This Row],[backlog_habiles]]="",FALSE,AND(tblOrdenes[[#This Row],[backlog_habiles]]&gt;p_dias_backlog_min,tblOrdenes[[#This Row],[backlog_habiles]]&lt;=p_dias_backlog_max))</f>
        <v/>
      </c>
      <c r="AE50" s="6" t="inlineStr"/>
      <c r="AF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" s="11">
        <f>IF(tblOrdenes[[#This Row],[orden]]="","",_xlfn.XLOOKUP(tblOrdenes[[#This Row],[id_operacion]],tblEjecucion[id_operacion],tblEjecucion[precio],0))</f>
        <v/>
      </c>
      <c r="AJ50" s="11">
        <f>IF(tblOrdenes[[#This Row],[orden]]="","",MAX(0,_xlfn.XLOOKUP(tblOrdenes[[#This Row],[id_operacion]],tblEjecucion[id_operacion],tblEjecucion[costo_plan_total],0)-tblOrdenes[[#This Row],[costo_servicio]]))</f>
        <v/>
      </c>
      <c r="AK50" s="11">
        <f>IF(tblOrdenes[[#This Row],[orden]]="","",tblOrdenes[[#This Row],[costo_servicio]]+tblOrdenes[[#This Row],[costo_materiales]])</f>
        <v/>
      </c>
      <c r="AL50" s="6" t="inlineStr"/>
      <c r="AM50" s="6" t="inlineStr"/>
      <c r="AN50" s="6" t="inlineStr"/>
      <c r="AO50" s="3">
        <f>IF(tblOrdenes[[#This Row],[link_checklist]]="","",HYPERLINK(p_ruta_base_checklists&amp;tblOrdenes[[#This Row],[link_checklist]],"abrir"))</f>
        <v/>
      </c>
      <c r="AP50" s="6" t="inlineStr"/>
      <c r="AQ50" s="3">
        <f>IF(tblOrdenes[[#This Row],[orden]]="","",tblOrdenes[[#This Row],[orden]]&amp;IF(tblOrdenes[[#This Row],[operacion]]="","0010",tblOrdenes[[#This Row],[operacion]]))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2" t="n">
        <v>46246</v>
      </c>
      <c r="K51" s="3" t="n">
        <v>4</v>
      </c>
      <c r="L51" s="11" t="n">
        <v>160</v>
      </c>
      <c r="M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" s="3">
        <f>IF(tblOrdenes[[#This Row],[fecha_inicio]]="","",YEAR(tblOrdenes[[#This Row],[fecha_inicio]]))</f>
        <v/>
      </c>
      <c r="Q51" s="3">
        <f>IF(tblOrdenes[[#This Row],[fecha_inicio]]="","",MONTH(tblOrdenes[[#This Row],[fecha_inicio]]))</f>
        <v/>
      </c>
      <c r="R51" s="3">
        <f>IF(tblOrdenes[[#This Row],[fecha_inicio]]="","",INDEX(lista_dias,WEEKDAY(tblOrdenes[[#This Row],[fecha_inicio]],2)))</f>
        <v/>
      </c>
      <c r="S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" s="3">
        <f>IF(tblOrdenes[[#This Row],[tipo_ot]]="","",_xlfn.XLOOKUP(tblOrdenes[[#This Row],[tipo_ot]],tblTiposOT[codigo],tblTiposOT[clasificacion],"sin_clasificar"))</f>
        <v/>
      </c>
      <c r="U51" s="3">
        <f>IF(tblOrdenes[[#This Row],[centro_costo]]="","",_xlfn.XLOOKUP(tblOrdenes[[#This Row],[centro_costo]],tblCECO[codigo],tblCECO[linea],"(sin catálogo)"))</f>
        <v/>
      </c>
      <c r="V51" s="3">
        <f>IF(tblOrdenes[[#This Row],[centro_costo]]="","",_xlfn.XLOOKUP(tblOrdenes[[#This Row],[centro_costo]],tblCECO[codigo],tblCECO[area],"(sin catálogo)"))</f>
        <v/>
      </c>
      <c r="W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" s="3">
        <f>IF(tblOrdenes[[#This Row],[centro_costo]]="","",_xlfn.XLOOKUP(tblOrdenes[[#This Row],[centro_costo]],tblCECO[codigo],tblCECO[coordinador],"(sin catálogo)"))</f>
        <v/>
      </c>
      <c r="Y51" s="3">
        <f>IF(tblOrdenes[[#This Row],[puesto_trabajo]]="","",_xlfn.XLOOKUP(tblOrdenes[[#This Row],[puesto_trabajo]],tblPuestos[codigo],tblPuestos[especialidad],"(sin catálogo)"))</f>
        <v/>
      </c>
      <c r="Z51" s="3">
        <f>IF(tblOrdenes[[#This Row],[cod_actividad]]="","",_xlfn.XLOOKUP(tblOrdenes[[#This Row],[cod_actividad]],tblActividades[codigo],tblActividades[descripcion],"(sin catálogo)"))</f>
        <v/>
      </c>
      <c r="AA51" s="13">
        <f>IF(tblOrdenes[[#This Row],[fecha_inicio]]="","",TODAY()-tblOrdenes[[#This Row],[fecha_inicio]])</f>
        <v/>
      </c>
      <c r="AB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" s="3">
        <f>IF(tblOrdenes[[#This Row],[backlog_habiles]]="","",IF(tblOrdenes[[#This Row],[backlog_habiles]]&lt;0,"FUTURO",IF(tblOrdenes[[#This Row],[backlog_habiles]]&gt;p_dias_backlog_max,"BACKLOG","MES CORRIENTE")))</f>
        <v/>
      </c>
      <c r="AD51" s="3">
        <f>IF(tblOrdenes[[#This Row],[backlog_habiles]]="",FALSE,AND(tblOrdenes[[#This Row],[backlog_habiles]]&gt;p_dias_backlog_min,tblOrdenes[[#This Row],[backlog_habiles]]&lt;=p_dias_backlog_max))</f>
        <v/>
      </c>
      <c r="AE51" s="6" t="inlineStr"/>
      <c r="AF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" s="11">
        <f>IF(tblOrdenes[[#This Row],[orden]]="","",_xlfn.XLOOKUP(tblOrdenes[[#This Row],[id_operacion]],tblEjecucion[id_operacion],tblEjecucion[precio],0))</f>
        <v/>
      </c>
      <c r="AJ51" s="11">
        <f>IF(tblOrdenes[[#This Row],[orden]]="","",MAX(0,_xlfn.XLOOKUP(tblOrdenes[[#This Row],[id_operacion]],tblEjecucion[id_operacion],tblEjecucion[costo_plan_total],0)-tblOrdenes[[#This Row],[costo_servicio]]))</f>
        <v/>
      </c>
      <c r="AK51" s="11">
        <f>IF(tblOrdenes[[#This Row],[orden]]="","",tblOrdenes[[#This Row],[costo_servicio]]+tblOrdenes[[#This Row],[costo_materiales]])</f>
        <v/>
      </c>
      <c r="AL51" s="6" t="inlineStr">
        <is>
          <t>PT-CALIENTE</t>
        </is>
      </c>
      <c r="AM51" s="6" t="inlineStr">
        <is>
          <t>LOTO</t>
        </is>
      </c>
      <c r="AN51" s="6" t="inlineStr"/>
      <c r="AO51" s="3">
        <f>IF(tblOrdenes[[#This Row],[link_checklist]]="","",HYPERLINK(p_ruta_base_checklists&amp;tblOrdenes[[#This Row],[link_checklist]],"abrir"))</f>
        <v/>
      </c>
      <c r="AP51" s="6" t="inlineStr"/>
      <c r="AQ51" s="3">
        <f>IF(tblOrdenes[[#This Row],[orden]]="","",tblOrdenes[[#This Row],[orden]]&amp;IF(tblOrdenes[[#This Row],[operacion]]="","0010",tblOrdenes[[#This Row],[operacion]]))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2" t="n">
        <v>46226</v>
      </c>
      <c r="K52" s="3" t="n">
        <v>10</v>
      </c>
      <c r="L52" s="11" t="n">
        <v>250</v>
      </c>
      <c r="M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" s="3">
        <f>IF(tblOrdenes[[#This Row],[fecha_inicio]]="","",YEAR(tblOrdenes[[#This Row],[fecha_inicio]]))</f>
        <v/>
      </c>
      <c r="Q52" s="3">
        <f>IF(tblOrdenes[[#This Row],[fecha_inicio]]="","",MONTH(tblOrdenes[[#This Row],[fecha_inicio]]))</f>
        <v/>
      </c>
      <c r="R52" s="3">
        <f>IF(tblOrdenes[[#This Row],[fecha_inicio]]="","",INDEX(lista_dias,WEEKDAY(tblOrdenes[[#This Row],[fecha_inicio]],2)))</f>
        <v/>
      </c>
      <c r="S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" s="3">
        <f>IF(tblOrdenes[[#This Row],[tipo_ot]]="","",_xlfn.XLOOKUP(tblOrdenes[[#This Row],[tipo_ot]],tblTiposOT[codigo],tblTiposOT[clasificacion],"sin_clasificar"))</f>
        <v/>
      </c>
      <c r="U52" s="3">
        <f>IF(tblOrdenes[[#This Row],[centro_costo]]="","",_xlfn.XLOOKUP(tblOrdenes[[#This Row],[centro_costo]],tblCECO[codigo],tblCECO[linea],"(sin catálogo)"))</f>
        <v/>
      </c>
      <c r="V52" s="3">
        <f>IF(tblOrdenes[[#This Row],[centro_costo]]="","",_xlfn.XLOOKUP(tblOrdenes[[#This Row],[centro_costo]],tblCECO[codigo],tblCECO[area],"(sin catálogo)"))</f>
        <v/>
      </c>
      <c r="W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" s="3">
        <f>IF(tblOrdenes[[#This Row],[centro_costo]]="","",_xlfn.XLOOKUP(tblOrdenes[[#This Row],[centro_costo]],tblCECO[codigo],tblCECO[coordinador],"(sin catálogo)"))</f>
        <v/>
      </c>
      <c r="Y52" s="3">
        <f>IF(tblOrdenes[[#This Row],[puesto_trabajo]]="","",_xlfn.XLOOKUP(tblOrdenes[[#This Row],[puesto_trabajo]],tblPuestos[codigo],tblPuestos[especialidad],"(sin catálogo)"))</f>
        <v/>
      </c>
      <c r="Z52" s="3">
        <f>IF(tblOrdenes[[#This Row],[cod_actividad]]="","",_xlfn.XLOOKUP(tblOrdenes[[#This Row],[cod_actividad]],tblActividades[codigo],tblActividades[descripcion],"(sin catálogo)"))</f>
        <v/>
      </c>
      <c r="AA52" s="13">
        <f>IF(tblOrdenes[[#This Row],[fecha_inicio]]="","",TODAY()-tblOrdenes[[#This Row],[fecha_inicio]])</f>
        <v/>
      </c>
      <c r="AB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" s="3">
        <f>IF(tblOrdenes[[#This Row],[backlog_habiles]]="","",IF(tblOrdenes[[#This Row],[backlog_habiles]]&lt;0,"FUTURO",IF(tblOrdenes[[#This Row],[backlog_habiles]]&gt;p_dias_backlog_max,"BACKLOG","MES CORRIENTE")))</f>
        <v/>
      </c>
      <c r="AD52" s="3">
        <f>IF(tblOrdenes[[#This Row],[backlog_habiles]]="",FALSE,AND(tblOrdenes[[#This Row],[backlog_habiles]]&gt;p_dias_backlog_min,tblOrdenes[[#This Row],[backlog_habiles]]&lt;=p_dias_backlog_max))</f>
        <v/>
      </c>
      <c r="AE52" s="6" t="inlineStr">
        <is>
          <t>Técnico 14</t>
        </is>
      </c>
      <c r="AF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" s="11">
        <f>IF(tblOrdenes[[#This Row],[orden]]="","",_xlfn.XLOOKUP(tblOrdenes[[#This Row],[id_operacion]],tblEjecucion[id_operacion],tblEjecucion[precio],0))</f>
        <v/>
      </c>
      <c r="AJ52" s="11">
        <f>IF(tblOrdenes[[#This Row],[orden]]="","",MAX(0,_xlfn.XLOOKUP(tblOrdenes[[#This Row],[id_operacion]],tblEjecucion[id_operacion],tblEjecucion[costo_plan_total],0)-tblOrdenes[[#This Row],[costo_servicio]]))</f>
        <v/>
      </c>
      <c r="AK52" s="11">
        <f>IF(tblOrdenes[[#This Row],[orden]]="","",tblOrdenes[[#This Row],[costo_servicio]]+tblOrdenes[[#This Row],[costo_materiales]])</f>
        <v/>
      </c>
      <c r="AL52" s="6" t="inlineStr"/>
      <c r="AM52" s="6" t="inlineStr"/>
      <c r="AN52" s="6" t="inlineStr">
        <is>
          <t>ACT-02.pdf</t>
        </is>
      </c>
      <c r="AO52" s="3">
        <f>IF(tblOrdenes[[#This Row],[link_checklist]]="","",HYPERLINK(p_ruta_base_checklists&amp;tblOrdenes[[#This Row],[link_checklist]],"abrir"))</f>
        <v/>
      </c>
      <c r="AP52" s="6" t="inlineStr"/>
      <c r="AQ52" s="3">
        <f>IF(tblOrdenes[[#This Row],[orden]]="","",tblOrdenes[[#This Row],[orden]]&amp;IF(tblOrdenes[[#This Row],[operacion]]="","0010",tblOrdenes[[#This Row],[operacion]]))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2" t="n">
        <v>46227</v>
      </c>
      <c r="K53" s="3" t="n">
        <v>8</v>
      </c>
      <c r="L53" s="11" t="n">
        <v>200</v>
      </c>
      <c r="M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" s="3">
        <f>IF(tblOrdenes[[#This Row],[fecha_inicio]]="","",YEAR(tblOrdenes[[#This Row],[fecha_inicio]]))</f>
        <v/>
      </c>
      <c r="Q53" s="3">
        <f>IF(tblOrdenes[[#This Row],[fecha_inicio]]="","",MONTH(tblOrdenes[[#This Row],[fecha_inicio]]))</f>
        <v/>
      </c>
      <c r="R53" s="3">
        <f>IF(tblOrdenes[[#This Row],[fecha_inicio]]="","",INDEX(lista_dias,WEEKDAY(tblOrdenes[[#This Row],[fecha_inicio]],2)))</f>
        <v/>
      </c>
      <c r="S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" s="3">
        <f>IF(tblOrdenes[[#This Row],[tipo_ot]]="","",_xlfn.XLOOKUP(tblOrdenes[[#This Row],[tipo_ot]],tblTiposOT[codigo],tblTiposOT[clasificacion],"sin_clasificar"))</f>
        <v/>
      </c>
      <c r="U53" s="3">
        <f>IF(tblOrdenes[[#This Row],[centro_costo]]="","",_xlfn.XLOOKUP(tblOrdenes[[#This Row],[centro_costo]],tblCECO[codigo],tblCECO[linea],"(sin catálogo)"))</f>
        <v/>
      </c>
      <c r="V53" s="3">
        <f>IF(tblOrdenes[[#This Row],[centro_costo]]="","",_xlfn.XLOOKUP(tblOrdenes[[#This Row],[centro_costo]],tblCECO[codigo],tblCECO[area],"(sin catálogo)"))</f>
        <v/>
      </c>
      <c r="W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" s="3">
        <f>IF(tblOrdenes[[#This Row],[centro_costo]]="","",_xlfn.XLOOKUP(tblOrdenes[[#This Row],[centro_costo]],tblCECO[codigo],tblCECO[coordinador],"(sin catálogo)"))</f>
        <v/>
      </c>
      <c r="Y53" s="3">
        <f>IF(tblOrdenes[[#This Row],[puesto_trabajo]]="","",_xlfn.XLOOKUP(tblOrdenes[[#This Row],[puesto_trabajo]],tblPuestos[codigo],tblPuestos[especialidad],"(sin catálogo)"))</f>
        <v/>
      </c>
      <c r="Z53" s="3">
        <f>IF(tblOrdenes[[#This Row],[cod_actividad]]="","",_xlfn.XLOOKUP(tblOrdenes[[#This Row],[cod_actividad]],tblActividades[codigo],tblActividades[descripcion],"(sin catálogo)"))</f>
        <v/>
      </c>
      <c r="AA53" s="13">
        <f>IF(tblOrdenes[[#This Row],[fecha_inicio]]="","",TODAY()-tblOrdenes[[#This Row],[fecha_inicio]])</f>
        <v/>
      </c>
      <c r="AB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" s="3">
        <f>IF(tblOrdenes[[#This Row],[backlog_habiles]]="","",IF(tblOrdenes[[#This Row],[backlog_habiles]]&lt;0,"FUTURO",IF(tblOrdenes[[#This Row],[backlog_habiles]]&gt;p_dias_backlog_max,"BACKLOG","MES CORRIENTE")))</f>
        <v/>
      </c>
      <c r="AD53" s="3">
        <f>IF(tblOrdenes[[#This Row],[backlog_habiles]]="",FALSE,AND(tblOrdenes[[#This Row],[backlog_habiles]]&gt;p_dias_backlog_min,tblOrdenes[[#This Row],[backlog_habiles]]&lt;=p_dias_backlog_max))</f>
        <v/>
      </c>
      <c r="AE53" s="6" t="inlineStr">
        <is>
          <t>Técnico 08</t>
        </is>
      </c>
      <c r="AF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" s="11">
        <f>IF(tblOrdenes[[#This Row],[orden]]="","",_xlfn.XLOOKUP(tblOrdenes[[#This Row],[id_operacion]],tblEjecucion[id_operacion],tblEjecucion[precio],0))</f>
        <v/>
      </c>
      <c r="AJ53" s="11">
        <f>IF(tblOrdenes[[#This Row],[orden]]="","",MAX(0,_xlfn.XLOOKUP(tblOrdenes[[#This Row],[id_operacion]],tblEjecucion[id_operacion],tblEjecucion[costo_plan_total],0)-tblOrdenes[[#This Row],[costo_servicio]]))</f>
        <v/>
      </c>
      <c r="AK53" s="11">
        <f>IF(tblOrdenes[[#This Row],[orden]]="","",tblOrdenes[[#This Row],[costo_servicio]]+tblOrdenes[[#This Row],[costo_materiales]])</f>
        <v/>
      </c>
      <c r="AL53" s="6" t="inlineStr"/>
      <c r="AM53" s="6" t="inlineStr"/>
      <c r="AN53" s="6" t="inlineStr">
        <is>
          <t>ACT-04.pdf</t>
        </is>
      </c>
      <c r="AO53" s="3">
        <f>IF(tblOrdenes[[#This Row],[link_checklist]]="","",HYPERLINK(p_ruta_base_checklists&amp;tblOrdenes[[#This Row],[link_checklist]],"abrir"))</f>
        <v/>
      </c>
      <c r="AP53" s="6" t="inlineStr"/>
      <c r="AQ53" s="3">
        <f>IF(tblOrdenes[[#This Row],[orden]]="","",tblOrdenes[[#This Row],[orden]]&amp;IF(tblOrdenes[[#This Row],[operacion]]="","0010",tblOrdenes[[#This Row],[operacion]]))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2" t="n">
        <v>46223</v>
      </c>
      <c r="K54" s="3" t="n">
        <v>6</v>
      </c>
      <c r="L54" s="11" t="n">
        <v>150</v>
      </c>
      <c r="M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" s="3">
        <f>IF(tblOrdenes[[#This Row],[fecha_inicio]]="","",YEAR(tblOrdenes[[#This Row],[fecha_inicio]]))</f>
        <v/>
      </c>
      <c r="Q54" s="3">
        <f>IF(tblOrdenes[[#This Row],[fecha_inicio]]="","",MONTH(tblOrdenes[[#This Row],[fecha_inicio]]))</f>
        <v/>
      </c>
      <c r="R54" s="3">
        <f>IF(tblOrdenes[[#This Row],[fecha_inicio]]="","",INDEX(lista_dias,WEEKDAY(tblOrdenes[[#This Row],[fecha_inicio]],2)))</f>
        <v/>
      </c>
      <c r="S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" s="3">
        <f>IF(tblOrdenes[[#This Row],[tipo_ot]]="","",_xlfn.XLOOKUP(tblOrdenes[[#This Row],[tipo_ot]],tblTiposOT[codigo],tblTiposOT[clasificacion],"sin_clasificar"))</f>
        <v/>
      </c>
      <c r="U54" s="3">
        <f>IF(tblOrdenes[[#This Row],[centro_costo]]="","",_xlfn.XLOOKUP(tblOrdenes[[#This Row],[centro_costo]],tblCECO[codigo],tblCECO[linea],"(sin catálogo)"))</f>
        <v/>
      </c>
      <c r="V54" s="3">
        <f>IF(tblOrdenes[[#This Row],[centro_costo]]="","",_xlfn.XLOOKUP(tblOrdenes[[#This Row],[centro_costo]],tblCECO[codigo],tblCECO[area],"(sin catálogo)"))</f>
        <v/>
      </c>
      <c r="W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" s="3">
        <f>IF(tblOrdenes[[#This Row],[centro_costo]]="","",_xlfn.XLOOKUP(tblOrdenes[[#This Row],[centro_costo]],tblCECO[codigo],tblCECO[coordinador],"(sin catálogo)"))</f>
        <v/>
      </c>
      <c r="Y54" s="3">
        <f>IF(tblOrdenes[[#This Row],[puesto_trabajo]]="","",_xlfn.XLOOKUP(tblOrdenes[[#This Row],[puesto_trabajo]],tblPuestos[codigo],tblPuestos[especialidad],"(sin catálogo)"))</f>
        <v/>
      </c>
      <c r="Z54" s="3">
        <f>IF(tblOrdenes[[#This Row],[cod_actividad]]="","",_xlfn.XLOOKUP(tblOrdenes[[#This Row],[cod_actividad]],tblActividades[codigo],tblActividades[descripcion],"(sin catálogo)"))</f>
        <v/>
      </c>
      <c r="AA54" s="13">
        <f>IF(tblOrdenes[[#This Row],[fecha_inicio]]="","",TODAY()-tblOrdenes[[#This Row],[fecha_inicio]])</f>
        <v/>
      </c>
      <c r="AB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" s="3">
        <f>IF(tblOrdenes[[#This Row],[backlog_habiles]]="","",IF(tblOrdenes[[#This Row],[backlog_habiles]]&lt;0,"FUTURO",IF(tblOrdenes[[#This Row],[backlog_habiles]]&gt;p_dias_backlog_max,"BACKLOG","MES CORRIENTE")))</f>
        <v/>
      </c>
      <c r="AD54" s="3">
        <f>IF(tblOrdenes[[#This Row],[backlog_habiles]]="",FALSE,AND(tblOrdenes[[#This Row],[backlog_habiles]]&gt;p_dias_backlog_min,tblOrdenes[[#This Row],[backlog_habiles]]&lt;=p_dias_backlog_max))</f>
        <v/>
      </c>
      <c r="AE54" s="6" t="inlineStr">
        <is>
          <t>Técnico 09</t>
        </is>
      </c>
      <c r="AF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" s="11">
        <f>IF(tblOrdenes[[#This Row],[orden]]="","",_xlfn.XLOOKUP(tblOrdenes[[#This Row],[id_operacion]],tblEjecucion[id_operacion],tblEjecucion[precio],0))</f>
        <v/>
      </c>
      <c r="AJ54" s="11">
        <f>IF(tblOrdenes[[#This Row],[orden]]="","",MAX(0,_xlfn.XLOOKUP(tblOrdenes[[#This Row],[id_operacion]],tblEjecucion[id_operacion],tblEjecucion[costo_plan_total],0)-tblOrdenes[[#This Row],[costo_servicio]]))</f>
        <v/>
      </c>
      <c r="AK54" s="11">
        <f>IF(tblOrdenes[[#This Row],[orden]]="","",tblOrdenes[[#This Row],[costo_servicio]]+tblOrdenes[[#This Row],[costo_materiales]])</f>
        <v/>
      </c>
      <c r="AL54" s="6" t="inlineStr"/>
      <c r="AM54" s="6" t="inlineStr"/>
      <c r="AN54" s="6" t="inlineStr">
        <is>
          <t>ACT-01.pdf</t>
        </is>
      </c>
      <c r="AO54" s="3">
        <f>IF(tblOrdenes[[#This Row],[link_checklist]]="","",HYPERLINK(p_ruta_base_checklists&amp;tblOrdenes[[#This Row],[link_checklist]],"abrir"))</f>
        <v/>
      </c>
      <c r="AP54" s="6" t="inlineStr"/>
      <c r="AQ54" s="3">
        <f>IF(tblOrdenes[[#This Row],[orden]]="","",tblOrdenes[[#This Row],[orden]]&amp;IF(tblOrdenes[[#This Row],[operacion]]="","0010",tblOrdenes[[#This Row],[operacion]]))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2" t="n">
        <v>46224</v>
      </c>
      <c r="K55" s="3" t="n">
        <v>10</v>
      </c>
      <c r="L55" s="11" t="n">
        <v>250</v>
      </c>
      <c r="M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" s="3">
        <f>IF(tblOrdenes[[#This Row],[fecha_inicio]]="","",YEAR(tblOrdenes[[#This Row],[fecha_inicio]]))</f>
        <v/>
      </c>
      <c r="Q55" s="3">
        <f>IF(tblOrdenes[[#This Row],[fecha_inicio]]="","",MONTH(tblOrdenes[[#This Row],[fecha_inicio]]))</f>
        <v/>
      </c>
      <c r="R55" s="3">
        <f>IF(tblOrdenes[[#This Row],[fecha_inicio]]="","",INDEX(lista_dias,WEEKDAY(tblOrdenes[[#This Row],[fecha_inicio]],2)))</f>
        <v/>
      </c>
      <c r="S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" s="3">
        <f>IF(tblOrdenes[[#This Row],[tipo_ot]]="","",_xlfn.XLOOKUP(tblOrdenes[[#This Row],[tipo_ot]],tblTiposOT[codigo],tblTiposOT[clasificacion],"sin_clasificar"))</f>
        <v/>
      </c>
      <c r="U55" s="3">
        <f>IF(tblOrdenes[[#This Row],[centro_costo]]="","",_xlfn.XLOOKUP(tblOrdenes[[#This Row],[centro_costo]],tblCECO[codigo],tblCECO[linea],"(sin catálogo)"))</f>
        <v/>
      </c>
      <c r="V55" s="3">
        <f>IF(tblOrdenes[[#This Row],[centro_costo]]="","",_xlfn.XLOOKUP(tblOrdenes[[#This Row],[centro_costo]],tblCECO[codigo],tblCECO[area],"(sin catálogo)"))</f>
        <v/>
      </c>
      <c r="W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" s="3">
        <f>IF(tblOrdenes[[#This Row],[centro_costo]]="","",_xlfn.XLOOKUP(tblOrdenes[[#This Row],[centro_costo]],tblCECO[codigo],tblCECO[coordinador],"(sin catálogo)"))</f>
        <v/>
      </c>
      <c r="Y55" s="3">
        <f>IF(tblOrdenes[[#This Row],[puesto_trabajo]]="","",_xlfn.XLOOKUP(tblOrdenes[[#This Row],[puesto_trabajo]],tblPuestos[codigo],tblPuestos[especialidad],"(sin catálogo)"))</f>
        <v/>
      </c>
      <c r="Z55" s="3">
        <f>IF(tblOrdenes[[#This Row],[cod_actividad]]="","",_xlfn.XLOOKUP(tblOrdenes[[#This Row],[cod_actividad]],tblActividades[codigo],tblActividades[descripcion],"(sin catálogo)"))</f>
        <v/>
      </c>
      <c r="AA55" s="13">
        <f>IF(tblOrdenes[[#This Row],[fecha_inicio]]="","",TODAY()-tblOrdenes[[#This Row],[fecha_inicio]])</f>
        <v/>
      </c>
      <c r="AB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" s="3">
        <f>IF(tblOrdenes[[#This Row],[backlog_habiles]]="","",IF(tblOrdenes[[#This Row],[backlog_habiles]]&lt;0,"FUTURO",IF(tblOrdenes[[#This Row],[backlog_habiles]]&gt;p_dias_backlog_max,"BACKLOG","MES CORRIENTE")))</f>
        <v/>
      </c>
      <c r="AD55" s="3">
        <f>IF(tblOrdenes[[#This Row],[backlog_habiles]]="",FALSE,AND(tblOrdenes[[#This Row],[backlog_habiles]]&gt;p_dias_backlog_min,tblOrdenes[[#This Row],[backlog_habiles]]&lt;=p_dias_backlog_max))</f>
        <v/>
      </c>
      <c r="AE55" s="6" t="inlineStr">
        <is>
          <t>Técnico 10</t>
        </is>
      </c>
      <c r="AF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" s="11">
        <f>IF(tblOrdenes[[#This Row],[orden]]="","",_xlfn.XLOOKUP(tblOrdenes[[#This Row],[id_operacion]],tblEjecucion[id_operacion],tblEjecucion[precio],0))</f>
        <v/>
      </c>
      <c r="AJ55" s="11">
        <f>IF(tblOrdenes[[#This Row],[orden]]="","",MAX(0,_xlfn.XLOOKUP(tblOrdenes[[#This Row],[id_operacion]],tblEjecucion[id_operacion],tblEjecucion[costo_plan_total],0)-tblOrdenes[[#This Row],[costo_servicio]]))</f>
        <v/>
      </c>
      <c r="AK55" s="11">
        <f>IF(tblOrdenes[[#This Row],[orden]]="","",tblOrdenes[[#This Row],[costo_servicio]]+tblOrdenes[[#This Row],[costo_materiales]])</f>
        <v/>
      </c>
      <c r="AL55" s="6" t="inlineStr"/>
      <c r="AM55" s="6" t="inlineStr"/>
      <c r="AN55" s="6" t="inlineStr">
        <is>
          <t>ACT-02.pdf</t>
        </is>
      </c>
      <c r="AO55" s="3">
        <f>IF(tblOrdenes[[#This Row],[link_checklist]]="","",HYPERLINK(p_ruta_base_checklists&amp;tblOrdenes[[#This Row],[link_checklist]],"abrir"))</f>
        <v/>
      </c>
      <c r="AP55" s="6" t="inlineStr"/>
      <c r="AQ55" s="3">
        <f>IF(tblOrdenes[[#This Row],[orden]]="","",tblOrdenes[[#This Row],[orden]]&amp;IF(tblOrdenes[[#This Row],[operacion]]="","0010",tblOrdenes[[#This Row],[operacion]]))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2" t="n">
        <v>46225</v>
      </c>
      <c r="K56" s="3" t="n">
        <v>8</v>
      </c>
      <c r="L56" s="11" t="n">
        <v>200</v>
      </c>
      <c r="M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" s="3">
        <f>IF(tblOrdenes[[#This Row],[fecha_inicio]]="","",YEAR(tblOrdenes[[#This Row],[fecha_inicio]]))</f>
        <v/>
      </c>
      <c r="Q56" s="3">
        <f>IF(tblOrdenes[[#This Row],[fecha_inicio]]="","",MONTH(tblOrdenes[[#This Row],[fecha_inicio]]))</f>
        <v/>
      </c>
      <c r="R56" s="3">
        <f>IF(tblOrdenes[[#This Row],[fecha_inicio]]="","",INDEX(lista_dias,WEEKDAY(tblOrdenes[[#This Row],[fecha_inicio]],2)))</f>
        <v/>
      </c>
      <c r="S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" s="3">
        <f>IF(tblOrdenes[[#This Row],[tipo_ot]]="","",_xlfn.XLOOKUP(tblOrdenes[[#This Row],[tipo_ot]],tblTiposOT[codigo],tblTiposOT[clasificacion],"sin_clasificar"))</f>
        <v/>
      </c>
      <c r="U56" s="3">
        <f>IF(tblOrdenes[[#This Row],[centro_costo]]="","",_xlfn.XLOOKUP(tblOrdenes[[#This Row],[centro_costo]],tblCECO[codigo],tblCECO[linea],"(sin catálogo)"))</f>
        <v/>
      </c>
      <c r="V56" s="3">
        <f>IF(tblOrdenes[[#This Row],[centro_costo]]="","",_xlfn.XLOOKUP(tblOrdenes[[#This Row],[centro_costo]],tblCECO[codigo],tblCECO[area],"(sin catálogo)"))</f>
        <v/>
      </c>
      <c r="W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" s="3">
        <f>IF(tblOrdenes[[#This Row],[centro_costo]]="","",_xlfn.XLOOKUP(tblOrdenes[[#This Row],[centro_costo]],tblCECO[codigo],tblCECO[coordinador],"(sin catálogo)"))</f>
        <v/>
      </c>
      <c r="Y56" s="3">
        <f>IF(tblOrdenes[[#This Row],[puesto_trabajo]]="","",_xlfn.XLOOKUP(tblOrdenes[[#This Row],[puesto_trabajo]],tblPuestos[codigo],tblPuestos[especialidad],"(sin catálogo)"))</f>
        <v/>
      </c>
      <c r="Z56" s="3">
        <f>IF(tblOrdenes[[#This Row],[cod_actividad]]="","",_xlfn.XLOOKUP(tblOrdenes[[#This Row],[cod_actividad]],tblActividades[codigo],tblActividades[descripcion],"(sin catálogo)"))</f>
        <v/>
      </c>
      <c r="AA56" s="13">
        <f>IF(tblOrdenes[[#This Row],[fecha_inicio]]="","",TODAY()-tblOrdenes[[#This Row],[fecha_inicio]])</f>
        <v/>
      </c>
      <c r="AB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" s="3">
        <f>IF(tblOrdenes[[#This Row],[backlog_habiles]]="","",IF(tblOrdenes[[#This Row],[backlog_habiles]]&lt;0,"FUTURO",IF(tblOrdenes[[#This Row],[backlog_habiles]]&gt;p_dias_backlog_max,"BACKLOG","MES CORRIENTE")))</f>
        <v/>
      </c>
      <c r="AD56" s="3">
        <f>IF(tblOrdenes[[#This Row],[backlog_habiles]]="",FALSE,AND(tblOrdenes[[#This Row],[backlog_habiles]]&gt;p_dias_backlog_min,tblOrdenes[[#This Row],[backlog_habiles]]&lt;=p_dias_backlog_max))</f>
        <v/>
      </c>
      <c r="AE56" s="6" t="inlineStr">
        <is>
          <t>Técnico 11</t>
        </is>
      </c>
      <c r="AF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" s="11">
        <f>IF(tblOrdenes[[#This Row],[orden]]="","",_xlfn.XLOOKUP(tblOrdenes[[#This Row],[id_operacion]],tblEjecucion[id_operacion],tblEjecucion[precio],0))</f>
        <v/>
      </c>
      <c r="AJ56" s="11">
        <f>IF(tblOrdenes[[#This Row],[orden]]="","",MAX(0,_xlfn.XLOOKUP(tblOrdenes[[#This Row],[id_operacion]],tblEjecucion[id_operacion],tblEjecucion[costo_plan_total],0)-tblOrdenes[[#This Row],[costo_servicio]]))</f>
        <v/>
      </c>
      <c r="AK56" s="11">
        <f>IF(tblOrdenes[[#This Row],[orden]]="","",tblOrdenes[[#This Row],[costo_servicio]]+tblOrdenes[[#This Row],[costo_materiales]])</f>
        <v/>
      </c>
      <c r="AL56" s="6" t="inlineStr"/>
      <c r="AM56" s="6" t="inlineStr"/>
      <c r="AN56" s="6" t="inlineStr">
        <is>
          <t>ACT-04.pdf</t>
        </is>
      </c>
      <c r="AO56" s="3">
        <f>IF(tblOrdenes[[#This Row],[link_checklist]]="","",HYPERLINK(p_ruta_base_checklists&amp;tblOrdenes[[#This Row],[link_checklist]],"abrir"))</f>
        <v/>
      </c>
      <c r="AP56" s="6" t="inlineStr"/>
      <c r="AQ56" s="3">
        <f>IF(tblOrdenes[[#This Row],[orden]]="","",tblOrdenes[[#This Row],[orden]]&amp;IF(tblOrdenes[[#This Row],[operacion]]="","0010",tblOrdenes[[#This Row],[operacion]]))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2" t="n">
        <v>46226</v>
      </c>
      <c r="K57" s="3" t="n">
        <v>6</v>
      </c>
      <c r="L57" s="11" t="n">
        <v>150</v>
      </c>
      <c r="M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" s="3">
        <f>IF(tblOrdenes[[#This Row],[fecha_inicio]]="","",YEAR(tblOrdenes[[#This Row],[fecha_inicio]]))</f>
        <v/>
      </c>
      <c r="Q57" s="3">
        <f>IF(tblOrdenes[[#This Row],[fecha_inicio]]="","",MONTH(tblOrdenes[[#This Row],[fecha_inicio]]))</f>
        <v/>
      </c>
      <c r="R57" s="3">
        <f>IF(tblOrdenes[[#This Row],[fecha_inicio]]="","",INDEX(lista_dias,WEEKDAY(tblOrdenes[[#This Row],[fecha_inicio]],2)))</f>
        <v/>
      </c>
      <c r="S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" s="3">
        <f>IF(tblOrdenes[[#This Row],[tipo_ot]]="","",_xlfn.XLOOKUP(tblOrdenes[[#This Row],[tipo_ot]],tblTiposOT[codigo],tblTiposOT[clasificacion],"sin_clasificar"))</f>
        <v/>
      </c>
      <c r="U57" s="3">
        <f>IF(tblOrdenes[[#This Row],[centro_costo]]="","",_xlfn.XLOOKUP(tblOrdenes[[#This Row],[centro_costo]],tblCECO[codigo],tblCECO[linea],"(sin catálogo)"))</f>
        <v/>
      </c>
      <c r="V57" s="3">
        <f>IF(tblOrdenes[[#This Row],[centro_costo]]="","",_xlfn.XLOOKUP(tblOrdenes[[#This Row],[centro_costo]],tblCECO[codigo],tblCECO[area],"(sin catálogo)"))</f>
        <v/>
      </c>
      <c r="W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" s="3">
        <f>IF(tblOrdenes[[#This Row],[centro_costo]]="","",_xlfn.XLOOKUP(tblOrdenes[[#This Row],[centro_costo]],tblCECO[codigo],tblCECO[coordinador],"(sin catálogo)"))</f>
        <v/>
      </c>
      <c r="Y57" s="3">
        <f>IF(tblOrdenes[[#This Row],[puesto_trabajo]]="","",_xlfn.XLOOKUP(tblOrdenes[[#This Row],[puesto_trabajo]],tblPuestos[codigo],tblPuestos[especialidad],"(sin catálogo)"))</f>
        <v/>
      </c>
      <c r="Z57" s="3">
        <f>IF(tblOrdenes[[#This Row],[cod_actividad]]="","",_xlfn.XLOOKUP(tblOrdenes[[#This Row],[cod_actividad]],tblActividades[codigo],tblActividades[descripcion],"(sin catálogo)"))</f>
        <v/>
      </c>
      <c r="AA57" s="13">
        <f>IF(tblOrdenes[[#This Row],[fecha_inicio]]="","",TODAY()-tblOrdenes[[#This Row],[fecha_inicio]])</f>
        <v/>
      </c>
      <c r="AB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" s="3">
        <f>IF(tblOrdenes[[#This Row],[backlog_habiles]]="","",IF(tblOrdenes[[#This Row],[backlog_habiles]]&lt;0,"FUTURO",IF(tblOrdenes[[#This Row],[backlog_habiles]]&gt;p_dias_backlog_max,"BACKLOG","MES CORRIENTE")))</f>
        <v/>
      </c>
      <c r="AD57" s="3">
        <f>IF(tblOrdenes[[#This Row],[backlog_habiles]]="",FALSE,AND(tblOrdenes[[#This Row],[backlog_habiles]]&gt;p_dias_backlog_min,tblOrdenes[[#This Row],[backlog_habiles]]&lt;=p_dias_backlog_max))</f>
        <v/>
      </c>
      <c r="AE57" s="6" t="inlineStr">
        <is>
          <t>Técnico 12</t>
        </is>
      </c>
      <c r="AF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" s="11">
        <f>IF(tblOrdenes[[#This Row],[orden]]="","",_xlfn.XLOOKUP(tblOrdenes[[#This Row],[id_operacion]],tblEjecucion[id_operacion],tblEjecucion[precio],0))</f>
        <v/>
      </c>
      <c r="AJ57" s="11">
        <f>IF(tblOrdenes[[#This Row],[orden]]="","",MAX(0,_xlfn.XLOOKUP(tblOrdenes[[#This Row],[id_operacion]],tblEjecucion[id_operacion],tblEjecucion[costo_plan_total],0)-tblOrdenes[[#This Row],[costo_servicio]]))</f>
        <v/>
      </c>
      <c r="AK57" s="11">
        <f>IF(tblOrdenes[[#This Row],[orden]]="","",tblOrdenes[[#This Row],[costo_servicio]]+tblOrdenes[[#This Row],[costo_materiales]])</f>
        <v/>
      </c>
      <c r="AL57" s="6" t="inlineStr"/>
      <c r="AM57" s="6" t="inlineStr"/>
      <c r="AN57" s="6" t="inlineStr">
        <is>
          <t>ACT-01.pdf</t>
        </is>
      </c>
      <c r="AO57" s="3">
        <f>IF(tblOrdenes[[#This Row],[link_checklist]]="","",HYPERLINK(p_ruta_base_checklists&amp;tblOrdenes[[#This Row],[link_checklist]],"abrir"))</f>
        <v/>
      </c>
      <c r="AP57" s="6" t="inlineStr"/>
      <c r="AQ57" s="3">
        <f>IF(tblOrdenes[[#This Row],[orden]]="","",tblOrdenes[[#This Row],[orden]]&amp;IF(tblOrdenes[[#This Row],[operacion]]="","0010",tblOrdenes[[#This Row],[operacion]]))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2" t="n">
        <v>46227</v>
      </c>
      <c r="K58" s="3" t="n">
        <v>10</v>
      </c>
      <c r="L58" s="11" t="n">
        <v>250</v>
      </c>
      <c r="M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" s="3">
        <f>IF(tblOrdenes[[#This Row],[fecha_inicio]]="","",YEAR(tblOrdenes[[#This Row],[fecha_inicio]]))</f>
        <v/>
      </c>
      <c r="Q58" s="3">
        <f>IF(tblOrdenes[[#This Row],[fecha_inicio]]="","",MONTH(tblOrdenes[[#This Row],[fecha_inicio]]))</f>
        <v/>
      </c>
      <c r="R58" s="3">
        <f>IF(tblOrdenes[[#This Row],[fecha_inicio]]="","",INDEX(lista_dias,WEEKDAY(tblOrdenes[[#This Row],[fecha_inicio]],2)))</f>
        <v/>
      </c>
      <c r="S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" s="3">
        <f>IF(tblOrdenes[[#This Row],[tipo_ot]]="","",_xlfn.XLOOKUP(tblOrdenes[[#This Row],[tipo_ot]],tblTiposOT[codigo],tblTiposOT[clasificacion],"sin_clasificar"))</f>
        <v/>
      </c>
      <c r="U58" s="3">
        <f>IF(tblOrdenes[[#This Row],[centro_costo]]="","",_xlfn.XLOOKUP(tblOrdenes[[#This Row],[centro_costo]],tblCECO[codigo],tblCECO[linea],"(sin catálogo)"))</f>
        <v/>
      </c>
      <c r="V58" s="3">
        <f>IF(tblOrdenes[[#This Row],[centro_costo]]="","",_xlfn.XLOOKUP(tblOrdenes[[#This Row],[centro_costo]],tblCECO[codigo],tblCECO[area],"(sin catálogo)"))</f>
        <v/>
      </c>
      <c r="W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" s="3">
        <f>IF(tblOrdenes[[#This Row],[centro_costo]]="","",_xlfn.XLOOKUP(tblOrdenes[[#This Row],[centro_costo]],tblCECO[codigo],tblCECO[coordinador],"(sin catálogo)"))</f>
        <v/>
      </c>
      <c r="Y58" s="3">
        <f>IF(tblOrdenes[[#This Row],[puesto_trabajo]]="","",_xlfn.XLOOKUP(tblOrdenes[[#This Row],[puesto_trabajo]],tblPuestos[codigo],tblPuestos[especialidad],"(sin catálogo)"))</f>
        <v/>
      </c>
      <c r="Z58" s="3">
        <f>IF(tblOrdenes[[#This Row],[cod_actividad]]="","",_xlfn.XLOOKUP(tblOrdenes[[#This Row],[cod_actividad]],tblActividades[codigo],tblActividades[descripcion],"(sin catálogo)"))</f>
        <v/>
      </c>
      <c r="AA58" s="13">
        <f>IF(tblOrdenes[[#This Row],[fecha_inicio]]="","",TODAY()-tblOrdenes[[#This Row],[fecha_inicio]])</f>
        <v/>
      </c>
      <c r="AB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" s="3">
        <f>IF(tblOrdenes[[#This Row],[backlog_habiles]]="","",IF(tblOrdenes[[#This Row],[backlog_habiles]]&lt;0,"FUTURO",IF(tblOrdenes[[#This Row],[backlog_habiles]]&gt;p_dias_backlog_max,"BACKLOG","MES CORRIENTE")))</f>
        <v/>
      </c>
      <c r="AD58" s="3">
        <f>IF(tblOrdenes[[#This Row],[backlog_habiles]]="",FALSE,AND(tblOrdenes[[#This Row],[backlog_habiles]]&gt;p_dias_backlog_min,tblOrdenes[[#This Row],[backlog_habiles]]&lt;=p_dias_backlog_max))</f>
        <v/>
      </c>
      <c r="AE58" s="6" t="inlineStr">
        <is>
          <t>Técnico 13</t>
        </is>
      </c>
      <c r="AF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" s="11">
        <f>IF(tblOrdenes[[#This Row],[orden]]="","",_xlfn.XLOOKUP(tblOrdenes[[#This Row],[id_operacion]],tblEjecucion[id_operacion],tblEjecucion[precio],0))</f>
        <v/>
      </c>
      <c r="AJ58" s="11">
        <f>IF(tblOrdenes[[#This Row],[orden]]="","",MAX(0,_xlfn.XLOOKUP(tblOrdenes[[#This Row],[id_operacion]],tblEjecucion[id_operacion],tblEjecucion[costo_plan_total],0)-tblOrdenes[[#This Row],[costo_servicio]]))</f>
        <v/>
      </c>
      <c r="AK58" s="11">
        <f>IF(tblOrdenes[[#This Row],[orden]]="","",tblOrdenes[[#This Row],[costo_servicio]]+tblOrdenes[[#This Row],[costo_materiales]])</f>
        <v/>
      </c>
      <c r="AL58" s="6" t="inlineStr"/>
      <c r="AM58" s="6" t="inlineStr"/>
      <c r="AN58" s="6" t="inlineStr">
        <is>
          <t>ACT-02.pdf</t>
        </is>
      </c>
      <c r="AO58" s="3">
        <f>IF(tblOrdenes[[#This Row],[link_checklist]]="","",HYPERLINK(p_ruta_base_checklists&amp;tblOrdenes[[#This Row],[link_checklist]],"abrir"))</f>
        <v/>
      </c>
      <c r="AP58" s="6" t="inlineStr"/>
      <c r="AQ58" s="3">
        <f>IF(tblOrdenes[[#This Row],[orden]]="","",tblOrdenes[[#This Row],[orden]]&amp;IF(tblOrdenes[[#This Row],[operacion]]="","0010",tblOrdenes[[#This Row],[operacion]]))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2" t="n">
        <v>46223</v>
      </c>
      <c r="K59" s="3" t="n">
        <v>2</v>
      </c>
      <c r="L59" s="11" t="n">
        <v>50</v>
      </c>
      <c r="M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" s="3">
        <f>IF(tblOrdenes[[#This Row],[fecha_inicio]]="","",YEAR(tblOrdenes[[#This Row],[fecha_inicio]]))</f>
        <v/>
      </c>
      <c r="Q59" s="3">
        <f>IF(tblOrdenes[[#This Row],[fecha_inicio]]="","",MONTH(tblOrdenes[[#This Row],[fecha_inicio]]))</f>
        <v/>
      </c>
      <c r="R59" s="3">
        <f>IF(tblOrdenes[[#This Row],[fecha_inicio]]="","",INDEX(lista_dias,WEEKDAY(tblOrdenes[[#This Row],[fecha_inicio]],2)))</f>
        <v/>
      </c>
      <c r="S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" s="3">
        <f>IF(tblOrdenes[[#This Row],[tipo_ot]]="","",_xlfn.XLOOKUP(tblOrdenes[[#This Row],[tipo_ot]],tblTiposOT[codigo],tblTiposOT[clasificacion],"sin_clasificar"))</f>
        <v/>
      </c>
      <c r="U59" s="3">
        <f>IF(tblOrdenes[[#This Row],[centro_costo]]="","",_xlfn.XLOOKUP(tblOrdenes[[#This Row],[centro_costo]],tblCECO[codigo],tblCECO[linea],"(sin catálogo)"))</f>
        <v/>
      </c>
      <c r="V59" s="3">
        <f>IF(tblOrdenes[[#This Row],[centro_costo]]="","",_xlfn.XLOOKUP(tblOrdenes[[#This Row],[centro_costo]],tblCECO[codigo],tblCECO[area],"(sin catálogo)"))</f>
        <v/>
      </c>
      <c r="W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" s="3">
        <f>IF(tblOrdenes[[#This Row],[centro_costo]]="","",_xlfn.XLOOKUP(tblOrdenes[[#This Row],[centro_costo]],tblCECO[codigo],tblCECO[coordinador],"(sin catálogo)"))</f>
        <v/>
      </c>
      <c r="Y59" s="3">
        <f>IF(tblOrdenes[[#This Row],[puesto_trabajo]]="","",_xlfn.XLOOKUP(tblOrdenes[[#This Row],[puesto_trabajo]],tblPuestos[codigo],tblPuestos[especialidad],"(sin catálogo)"))</f>
        <v/>
      </c>
      <c r="Z59" s="3">
        <f>IF(tblOrdenes[[#This Row],[cod_actividad]]="","",_xlfn.XLOOKUP(tblOrdenes[[#This Row],[cod_actividad]],tblActividades[codigo],tblActividades[descripcion],"(sin catálogo)"))</f>
        <v/>
      </c>
      <c r="AA59" s="13">
        <f>IF(tblOrdenes[[#This Row],[fecha_inicio]]="","",TODAY()-tblOrdenes[[#This Row],[fecha_inicio]])</f>
        <v/>
      </c>
      <c r="AB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" s="3">
        <f>IF(tblOrdenes[[#This Row],[backlog_habiles]]="","",IF(tblOrdenes[[#This Row],[backlog_habiles]]&lt;0,"FUTURO",IF(tblOrdenes[[#This Row],[backlog_habiles]]&gt;p_dias_backlog_max,"BACKLOG","MES CORRIENTE")))</f>
        <v/>
      </c>
      <c r="AD59" s="3">
        <f>IF(tblOrdenes[[#This Row],[backlog_habiles]]="",FALSE,AND(tblOrdenes[[#This Row],[backlog_habiles]]&gt;p_dias_backlog_min,tblOrdenes[[#This Row],[backlog_habiles]]&lt;=p_dias_backlog_max))</f>
        <v/>
      </c>
      <c r="AE59" s="6" t="inlineStr">
        <is>
          <t>Técnico 14</t>
        </is>
      </c>
      <c r="AF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" s="11">
        <f>IF(tblOrdenes[[#This Row],[orden]]="","",_xlfn.XLOOKUP(tblOrdenes[[#This Row],[id_operacion]],tblEjecucion[id_operacion],tblEjecucion[precio],0))</f>
        <v/>
      </c>
      <c r="AJ59" s="11">
        <f>IF(tblOrdenes[[#This Row],[orden]]="","",MAX(0,_xlfn.XLOOKUP(tblOrdenes[[#This Row],[id_operacion]],tblEjecucion[id_operacion],tblEjecucion[costo_plan_total],0)-tblOrdenes[[#This Row],[costo_servicio]]))</f>
        <v/>
      </c>
      <c r="AK59" s="11">
        <f>IF(tblOrdenes[[#This Row],[orden]]="","",tblOrdenes[[#This Row],[costo_servicio]]+tblOrdenes[[#This Row],[costo_materiales]])</f>
        <v/>
      </c>
      <c r="AL59" s="6" t="inlineStr"/>
      <c r="AM59" s="6" t="inlineStr"/>
      <c r="AN59" s="6" t="inlineStr">
        <is>
          <t>ACT-04.pdf</t>
        </is>
      </c>
      <c r="AO59" s="3">
        <f>IF(tblOrdenes[[#This Row],[link_checklist]]="","",HYPERLINK(p_ruta_base_checklists&amp;tblOrdenes[[#This Row],[link_checklist]],"abrir"))</f>
        <v/>
      </c>
      <c r="AP59" s="6" t="inlineStr"/>
      <c r="AQ59" s="3">
        <f>IF(tblOrdenes[[#This Row],[orden]]="","",tblOrdenes[[#This Row],[orden]]&amp;IF(tblOrdenes[[#This Row],[operacion]]="","0010",tblOrdenes[[#This Row],[operacion]]))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2" t="n">
        <v>46224</v>
      </c>
      <c r="K60" s="3" t="n">
        <v>10</v>
      </c>
      <c r="L60" s="11" t="n">
        <v>400</v>
      </c>
      <c r="M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" s="3">
        <f>IF(tblOrdenes[[#This Row],[fecha_inicio]]="","",YEAR(tblOrdenes[[#This Row],[fecha_inicio]]))</f>
        <v/>
      </c>
      <c r="Q60" s="3">
        <f>IF(tblOrdenes[[#This Row],[fecha_inicio]]="","",MONTH(tblOrdenes[[#This Row],[fecha_inicio]]))</f>
        <v/>
      </c>
      <c r="R60" s="3">
        <f>IF(tblOrdenes[[#This Row],[fecha_inicio]]="","",INDEX(lista_dias,WEEKDAY(tblOrdenes[[#This Row],[fecha_inicio]],2)))</f>
        <v/>
      </c>
      <c r="S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" s="3">
        <f>IF(tblOrdenes[[#This Row],[tipo_ot]]="","",_xlfn.XLOOKUP(tblOrdenes[[#This Row],[tipo_ot]],tblTiposOT[codigo],tblTiposOT[clasificacion],"sin_clasificar"))</f>
        <v/>
      </c>
      <c r="U60" s="3">
        <f>IF(tblOrdenes[[#This Row],[centro_costo]]="","",_xlfn.XLOOKUP(tblOrdenes[[#This Row],[centro_costo]],tblCECO[codigo],tblCECO[linea],"(sin catálogo)"))</f>
        <v/>
      </c>
      <c r="V60" s="3">
        <f>IF(tblOrdenes[[#This Row],[centro_costo]]="","",_xlfn.XLOOKUP(tblOrdenes[[#This Row],[centro_costo]],tblCECO[codigo],tblCECO[area],"(sin catálogo)"))</f>
        <v/>
      </c>
      <c r="W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" s="3">
        <f>IF(tblOrdenes[[#This Row],[centro_costo]]="","",_xlfn.XLOOKUP(tblOrdenes[[#This Row],[centro_costo]],tblCECO[codigo],tblCECO[coordinador],"(sin catálogo)"))</f>
        <v/>
      </c>
      <c r="Y60" s="3">
        <f>IF(tblOrdenes[[#This Row],[puesto_trabajo]]="","",_xlfn.XLOOKUP(tblOrdenes[[#This Row],[puesto_trabajo]],tblPuestos[codigo],tblPuestos[especialidad],"(sin catálogo)"))</f>
        <v/>
      </c>
      <c r="Z60" s="3">
        <f>IF(tblOrdenes[[#This Row],[cod_actividad]]="","",_xlfn.XLOOKUP(tblOrdenes[[#This Row],[cod_actividad]],tblActividades[codigo],tblActividades[descripcion],"(sin catálogo)"))</f>
        <v/>
      </c>
      <c r="AA60" s="13">
        <f>IF(tblOrdenes[[#This Row],[fecha_inicio]]="","",TODAY()-tblOrdenes[[#This Row],[fecha_inicio]])</f>
        <v/>
      </c>
      <c r="AB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" s="3">
        <f>IF(tblOrdenes[[#This Row],[backlog_habiles]]="","",IF(tblOrdenes[[#This Row],[backlog_habiles]]&lt;0,"FUTURO",IF(tblOrdenes[[#This Row],[backlog_habiles]]&gt;p_dias_backlog_max,"BACKLOG","MES CORRIENTE")))</f>
        <v/>
      </c>
      <c r="AD60" s="3">
        <f>IF(tblOrdenes[[#This Row],[backlog_habiles]]="",FALSE,AND(tblOrdenes[[#This Row],[backlog_habiles]]&gt;p_dias_backlog_min,tblOrdenes[[#This Row],[backlog_habiles]]&lt;=p_dias_backlog_max))</f>
        <v/>
      </c>
      <c r="AE60" s="6" t="inlineStr">
        <is>
          <t>Técnico 08</t>
        </is>
      </c>
      <c r="AF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" s="11">
        <f>IF(tblOrdenes[[#This Row],[orden]]="","",_xlfn.XLOOKUP(tblOrdenes[[#This Row],[id_operacion]],tblEjecucion[id_operacion],tblEjecucion[precio],0))</f>
        <v/>
      </c>
      <c r="AJ60" s="11">
        <f>IF(tblOrdenes[[#This Row],[orden]]="","",MAX(0,_xlfn.XLOOKUP(tblOrdenes[[#This Row],[id_operacion]],tblEjecucion[id_operacion],tblEjecucion[costo_plan_total],0)-tblOrdenes[[#This Row],[costo_servicio]]))</f>
        <v/>
      </c>
      <c r="AK60" s="11">
        <f>IF(tblOrdenes[[#This Row],[orden]]="","",tblOrdenes[[#This Row],[costo_servicio]]+tblOrdenes[[#This Row],[costo_materiales]])</f>
        <v/>
      </c>
      <c r="AL60" s="6" t="inlineStr"/>
      <c r="AM60" s="6" t="inlineStr"/>
      <c r="AN60" s="6" t="inlineStr"/>
      <c r="AO60" s="3">
        <f>IF(tblOrdenes[[#This Row],[link_checklist]]="","",HYPERLINK(p_ruta_base_checklists&amp;tblOrdenes[[#This Row],[link_checklist]],"abrir"))</f>
        <v/>
      </c>
      <c r="AP60" s="6" t="inlineStr"/>
      <c r="AQ60" s="3">
        <f>IF(tblOrdenes[[#This Row],[orden]]="","",tblOrdenes[[#This Row],[orden]]&amp;IF(tblOrdenes[[#This Row],[operacion]]="","0010",tblOrdenes[[#This Row],[operacion]]))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2" t="n">
        <v>46225</v>
      </c>
      <c r="K61" s="3" t="n">
        <v>5</v>
      </c>
      <c r="L61" s="11" t="n">
        <v>200</v>
      </c>
      <c r="M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" s="3">
        <f>IF(tblOrdenes[[#This Row],[fecha_inicio]]="","",YEAR(tblOrdenes[[#This Row],[fecha_inicio]]))</f>
        <v/>
      </c>
      <c r="Q61" s="3">
        <f>IF(tblOrdenes[[#This Row],[fecha_inicio]]="","",MONTH(tblOrdenes[[#This Row],[fecha_inicio]]))</f>
        <v/>
      </c>
      <c r="R61" s="3">
        <f>IF(tblOrdenes[[#This Row],[fecha_inicio]]="","",INDEX(lista_dias,WEEKDAY(tblOrdenes[[#This Row],[fecha_inicio]],2)))</f>
        <v/>
      </c>
      <c r="S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" s="3">
        <f>IF(tblOrdenes[[#This Row],[tipo_ot]]="","",_xlfn.XLOOKUP(tblOrdenes[[#This Row],[tipo_ot]],tblTiposOT[codigo],tblTiposOT[clasificacion],"sin_clasificar"))</f>
        <v/>
      </c>
      <c r="U61" s="3">
        <f>IF(tblOrdenes[[#This Row],[centro_costo]]="","",_xlfn.XLOOKUP(tblOrdenes[[#This Row],[centro_costo]],tblCECO[codigo],tblCECO[linea],"(sin catálogo)"))</f>
        <v/>
      </c>
      <c r="V61" s="3">
        <f>IF(tblOrdenes[[#This Row],[centro_costo]]="","",_xlfn.XLOOKUP(tblOrdenes[[#This Row],[centro_costo]],tblCECO[codigo],tblCECO[area],"(sin catálogo)"))</f>
        <v/>
      </c>
      <c r="W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" s="3">
        <f>IF(tblOrdenes[[#This Row],[centro_costo]]="","",_xlfn.XLOOKUP(tblOrdenes[[#This Row],[centro_costo]],tblCECO[codigo],tblCECO[coordinador],"(sin catálogo)"))</f>
        <v/>
      </c>
      <c r="Y61" s="3">
        <f>IF(tblOrdenes[[#This Row],[puesto_trabajo]]="","",_xlfn.XLOOKUP(tblOrdenes[[#This Row],[puesto_trabajo]],tblPuestos[codigo],tblPuestos[especialidad],"(sin catálogo)"))</f>
        <v/>
      </c>
      <c r="Z61" s="3">
        <f>IF(tblOrdenes[[#This Row],[cod_actividad]]="","",_xlfn.XLOOKUP(tblOrdenes[[#This Row],[cod_actividad]],tblActividades[codigo],tblActividades[descripcion],"(sin catálogo)"))</f>
        <v/>
      </c>
      <c r="AA61" s="13">
        <f>IF(tblOrdenes[[#This Row],[fecha_inicio]]="","",TODAY()-tblOrdenes[[#This Row],[fecha_inicio]])</f>
        <v/>
      </c>
      <c r="AB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" s="3">
        <f>IF(tblOrdenes[[#This Row],[backlog_habiles]]="","",IF(tblOrdenes[[#This Row],[backlog_habiles]]&lt;0,"FUTURO",IF(tblOrdenes[[#This Row],[backlog_habiles]]&gt;p_dias_backlog_max,"BACKLOG","MES CORRIENTE")))</f>
        <v/>
      </c>
      <c r="AD61" s="3">
        <f>IF(tblOrdenes[[#This Row],[backlog_habiles]]="",FALSE,AND(tblOrdenes[[#This Row],[backlog_habiles]]&gt;p_dias_backlog_min,tblOrdenes[[#This Row],[backlog_habiles]]&lt;=p_dias_backlog_max))</f>
        <v/>
      </c>
      <c r="AE61" s="6" t="inlineStr">
        <is>
          <t>Técnico 09</t>
        </is>
      </c>
      <c r="AF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" s="11">
        <f>IF(tblOrdenes[[#This Row],[orden]]="","",_xlfn.XLOOKUP(tblOrdenes[[#This Row],[id_operacion]],tblEjecucion[id_operacion],tblEjecucion[precio],0))</f>
        <v/>
      </c>
      <c r="AJ61" s="11">
        <f>IF(tblOrdenes[[#This Row],[orden]]="","",MAX(0,_xlfn.XLOOKUP(tblOrdenes[[#This Row],[id_operacion]],tblEjecucion[id_operacion],tblEjecucion[costo_plan_total],0)-tblOrdenes[[#This Row],[costo_servicio]]))</f>
        <v/>
      </c>
      <c r="AK61" s="11">
        <f>IF(tblOrdenes[[#This Row],[orden]]="","",tblOrdenes[[#This Row],[costo_servicio]]+tblOrdenes[[#This Row],[costo_materiales]])</f>
        <v/>
      </c>
      <c r="AL61" s="6" t="inlineStr"/>
      <c r="AM61" s="6" t="inlineStr"/>
      <c r="AN61" s="6" t="inlineStr"/>
      <c r="AO61" s="3">
        <f>IF(tblOrdenes[[#This Row],[link_checklist]]="","",HYPERLINK(p_ruta_base_checklists&amp;tblOrdenes[[#This Row],[link_checklist]],"abrir"))</f>
        <v/>
      </c>
      <c r="AP61" s="6" t="inlineStr"/>
      <c r="AQ61" s="3">
        <f>IF(tblOrdenes[[#This Row],[orden]]="","",tblOrdenes[[#This Row],[orden]]&amp;IF(tblOrdenes[[#This Row],[operacion]]="","0010",tblOrdenes[[#This Row],[operacion]]))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2" t="n">
        <v>46233</v>
      </c>
      <c r="K62" s="3" t="n">
        <v>6</v>
      </c>
      <c r="L62" s="11" t="n">
        <v>150</v>
      </c>
      <c r="M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" s="3">
        <f>IF(tblOrdenes[[#This Row],[fecha_inicio]]="","",YEAR(tblOrdenes[[#This Row],[fecha_inicio]]))</f>
        <v/>
      </c>
      <c r="Q62" s="3">
        <f>IF(tblOrdenes[[#This Row],[fecha_inicio]]="","",MONTH(tblOrdenes[[#This Row],[fecha_inicio]]))</f>
        <v/>
      </c>
      <c r="R62" s="3">
        <f>IF(tblOrdenes[[#This Row],[fecha_inicio]]="","",INDEX(lista_dias,WEEKDAY(tblOrdenes[[#This Row],[fecha_inicio]],2)))</f>
        <v/>
      </c>
      <c r="S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" s="3">
        <f>IF(tblOrdenes[[#This Row],[tipo_ot]]="","",_xlfn.XLOOKUP(tblOrdenes[[#This Row],[tipo_ot]],tblTiposOT[codigo],tblTiposOT[clasificacion],"sin_clasificar"))</f>
        <v/>
      </c>
      <c r="U62" s="3">
        <f>IF(tblOrdenes[[#This Row],[centro_costo]]="","",_xlfn.XLOOKUP(tblOrdenes[[#This Row],[centro_costo]],tblCECO[codigo],tblCECO[linea],"(sin catálogo)"))</f>
        <v/>
      </c>
      <c r="V62" s="3">
        <f>IF(tblOrdenes[[#This Row],[centro_costo]]="","",_xlfn.XLOOKUP(tblOrdenes[[#This Row],[centro_costo]],tblCECO[codigo],tblCECO[area],"(sin catálogo)"))</f>
        <v/>
      </c>
      <c r="W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" s="3">
        <f>IF(tblOrdenes[[#This Row],[centro_costo]]="","",_xlfn.XLOOKUP(tblOrdenes[[#This Row],[centro_costo]],tblCECO[codigo],tblCECO[coordinador],"(sin catálogo)"))</f>
        <v/>
      </c>
      <c r="Y62" s="3">
        <f>IF(tblOrdenes[[#This Row],[puesto_trabajo]]="","",_xlfn.XLOOKUP(tblOrdenes[[#This Row],[puesto_trabajo]],tblPuestos[codigo],tblPuestos[especialidad],"(sin catálogo)"))</f>
        <v/>
      </c>
      <c r="Z62" s="3">
        <f>IF(tblOrdenes[[#This Row],[cod_actividad]]="","",_xlfn.XLOOKUP(tblOrdenes[[#This Row],[cod_actividad]],tblActividades[codigo],tblActividades[descripcion],"(sin catálogo)"))</f>
        <v/>
      </c>
      <c r="AA62" s="13">
        <f>IF(tblOrdenes[[#This Row],[fecha_inicio]]="","",TODAY()-tblOrdenes[[#This Row],[fecha_inicio]])</f>
        <v/>
      </c>
      <c r="AB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" s="3">
        <f>IF(tblOrdenes[[#This Row],[backlog_habiles]]="","",IF(tblOrdenes[[#This Row],[backlog_habiles]]&lt;0,"FUTURO",IF(tblOrdenes[[#This Row],[backlog_habiles]]&gt;p_dias_backlog_max,"BACKLOG","MES CORRIENTE")))</f>
        <v/>
      </c>
      <c r="AD62" s="3">
        <f>IF(tblOrdenes[[#This Row],[backlog_habiles]]="",FALSE,AND(tblOrdenes[[#This Row],[backlog_habiles]]&gt;p_dias_backlog_min,tblOrdenes[[#This Row],[backlog_habiles]]&lt;=p_dias_backlog_max))</f>
        <v/>
      </c>
      <c r="AE62" s="6" t="inlineStr">
        <is>
          <t>Técnico 10</t>
        </is>
      </c>
      <c r="AF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" s="11">
        <f>IF(tblOrdenes[[#This Row],[orden]]="","",_xlfn.XLOOKUP(tblOrdenes[[#This Row],[id_operacion]],tblEjecucion[id_operacion],tblEjecucion[precio],0))</f>
        <v/>
      </c>
      <c r="AJ62" s="11">
        <f>IF(tblOrdenes[[#This Row],[orden]]="","",MAX(0,_xlfn.XLOOKUP(tblOrdenes[[#This Row],[id_operacion]],tblEjecucion[id_operacion],tblEjecucion[costo_plan_total],0)-tblOrdenes[[#This Row],[costo_servicio]]))</f>
        <v/>
      </c>
      <c r="AK62" s="11">
        <f>IF(tblOrdenes[[#This Row],[orden]]="","",tblOrdenes[[#This Row],[costo_servicio]]+tblOrdenes[[#This Row],[costo_materiales]])</f>
        <v/>
      </c>
      <c r="AL62" s="6" t="inlineStr"/>
      <c r="AM62" s="6" t="inlineStr"/>
      <c r="AN62" s="6" t="inlineStr">
        <is>
          <t>ACT-04.pdf</t>
        </is>
      </c>
      <c r="AO62" s="3">
        <f>IF(tblOrdenes[[#This Row],[link_checklist]]="","",HYPERLINK(p_ruta_base_checklists&amp;tblOrdenes[[#This Row],[link_checklist]],"abrir"))</f>
        <v/>
      </c>
      <c r="AP62" s="6" t="inlineStr">
        <is>
          <t>Ajuste 6 → 4 h en hoja AJUSTES</t>
        </is>
      </c>
      <c r="AQ62" s="3">
        <f>IF(tblOrdenes[[#This Row],[orden]]="","",tblOrdenes[[#This Row],[orden]]&amp;IF(tblOrdenes[[#This Row],[operacion]]="","0010",tblOrdenes[[#This Row],[operacion]]))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2" t="n">
        <v>46234</v>
      </c>
      <c r="K63" s="3" t="n">
        <v>8</v>
      </c>
      <c r="L63" s="11" t="n">
        <v>200</v>
      </c>
      <c r="M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" s="3">
        <f>IF(tblOrdenes[[#This Row],[fecha_inicio]]="","",YEAR(tblOrdenes[[#This Row],[fecha_inicio]]))</f>
        <v/>
      </c>
      <c r="Q63" s="3">
        <f>IF(tblOrdenes[[#This Row],[fecha_inicio]]="","",MONTH(tblOrdenes[[#This Row],[fecha_inicio]]))</f>
        <v/>
      </c>
      <c r="R63" s="3">
        <f>IF(tblOrdenes[[#This Row],[fecha_inicio]]="","",INDEX(lista_dias,WEEKDAY(tblOrdenes[[#This Row],[fecha_inicio]],2)))</f>
        <v/>
      </c>
      <c r="S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" s="3">
        <f>IF(tblOrdenes[[#This Row],[tipo_ot]]="","",_xlfn.XLOOKUP(tblOrdenes[[#This Row],[tipo_ot]],tblTiposOT[codigo],tblTiposOT[clasificacion],"sin_clasificar"))</f>
        <v/>
      </c>
      <c r="U63" s="3">
        <f>IF(tblOrdenes[[#This Row],[centro_costo]]="","",_xlfn.XLOOKUP(tblOrdenes[[#This Row],[centro_costo]],tblCECO[codigo],tblCECO[linea],"(sin catálogo)"))</f>
        <v/>
      </c>
      <c r="V63" s="3">
        <f>IF(tblOrdenes[[#This Row],[centro_costo]]="","",_xlfn.XLOOKUP(tblOrdenes[[#This Row],[centro_costo]],tblCECO[codigo],tblCECO[area],"(sin catálogo)"))</f>
        <v/>
      </c>
      <c r="W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" s="3">
        <f>IF(tblOrdenes[[#This Row],[centro_costo]]="","",_xlfn.XLOOKUP(tblOrdenes[[#This Row],[centro_costo]],tblCECO[codigo],tblCECO[coordinador],"(sin catálogo)"))</f>
        <v/>
      </c>
      <c r="Y63" s="3">
        <f>IF(tblOrdenes[[#This Row],[puesto_trabajo]]="","",_xlfn.XLOOKUP(tblOrdenes[[#This Row],[puesto_trabajo]],tblPuestos[codigo],tblPuestos[especialidad],"(sin catálogo)"))</f>
        <v/>
      </c>
      <c r="Z63" s="3">
        <f>IF(tblOrdenes[[#This Row],[cod_actividad]]="","",_xlfn.XLOOKUP(tblOrdenes[[#This Row],[cod_actividad]],tblActividades[codigo],tblActividades[descripcion],"(sin catálogo)"))</f>
        <v/>
      </c>
      <c r="AA63" s="13">
        <f>IF(tblOrdenes[[#This Row],[fecha_inicio]]="","",TODAY()-tblOrdenes[[#This Row],[fecha_inicio]])</f>
        <v/>
      </c>
      <c r="AB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" s="3">
        <f>IF(tblOrdenes[[#This Row],[backlog_habiles]]="","",IF(tblOrdenes[[#This Row],[backlog_habiles]]&lt;0,"FUTURO",IF(tblOrdenes[[#This Row],[backlog_habiles]]&gt;p_dias_backlog_max,"BACKLOG","MES CORRIENTE")))</f>
        <v/>
      </c>
      <c r="AD63" s="3">
        <f>IF(tblOrdenes[[#This Row],[backlog_habiles]]="",FALSE,AND(tblOrdenes[[#This Row],[backlog_habiles]]&gt;p_dias_backlog_min,tblOrdenes[[#This Row],[backlog_habiles]]&lt;=p_dias_backlog_max))</f>
        <v/>
      </c>
      <c r="AE63" s="6" t="inlineStr"/>
      <c r="AF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" s="11">
        <f>IF(tblOrdenes[[#This Row],[orden]]="","",_xlfn.XLOOKUP(tblOrdenes[[#This Row],[id_operacion]],tblEjecucion[id_operacion],tblEjecucion[precio],0))</f>
        <v/>
      </c>
      <c r="AJ63" s="11">
        <f>IF(tblOrdenes[[#This Row],[orden]]="","",MAX(0,_xlfn.XLOOKUP(tblOrdenes[[#This Row],[id_operacion]],tblEjecucion[id_operacion],tblEjecucion[costo_plan_total],0)-tblOrdenes[[#This Row],[costo_servicio]]))</f>
        <v/>
      </c>
      <c r="AK63" s="11">
        <f>IF(tblOrdenes[[#This Row],[orden]]="","",tblOrdenes[[#This Row],[costo_servicio]]+tblOrdenes[[#This Row],[costo_materiales]])</f>
        <v/>
      </c>
      <c r="AL63" s="6" t="inlineStr"/>
      <c r="AM63" s="6" t="inlineStr"/>
      <c r="AN63" s="6" t="inlineStr">
        <is>
          <t>ACT-01.pdf</t>
        </is>
      </c>
      <c r="AO63" s="3">
        <f>IF(tblOrdenes[[#This Row],[link_checklist]]="","",HYPERLINK(p_ruta_base_checklists&amp;tblOrdenes[[#This Row],[link_checklist]],"abrir"))</f>
        <v/>
      </c>
      <c r="AP63" s="6" t="inlineStr"/>
      <c r="AQ63" s="3">
        <f>IF(tblOrdenes[[#This Row],[orden]]="","",tblOrdenes[[#This Row],[orden]]&amp;IF(tblOrdenes[[#This Row],[operacion]]="","0010",tblOrdenes[[#This Row],[operacion]]))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2" t="n">
        <v>46230</v>
      </c>
      <c r="K64" s="3" t="n">
        <v>6</v>
      </c>
      <c r="L64" s="11" t="n">
        <v>150</v>
      </c>
      <c r="M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" s="3">
        <f>IF(tblOrdenes[[#This Row],[fecha_inicio]]="","",YEAR(tblOrdenes[[#This Row],[fecha_inicio]]))</f>
        <v/>
      </c>
      <c r="Q64" s="3">
        <f>IF(tblOrdenes[[#This Row],[fecha_inicio]]="","",MONTH(tblOrdenes[[#This Row],[fecha_inicio]]))</f>
        <v/>
      </c>
      <c r="R64" s="3">
        <f>IF(tblOrdenes[[#This Row],[fecha_inicio]]="","",INDEX(lista_dias,WEEKDAY(tblOrdenes[[#This Row],[fecha_inicio]],2)))</f>
        <v/>
      </c>
      <c r="S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" s="3">
        <f>IF(tblOrdenes[[#This Row],[tipo_ot]]="","",_xlfn.XLOOKUP(tblOrdenes[[#This Row],[tipo_ot]],tblTiposOT[codigo],tblTiposOT[clasificacion],"sin_clasificar"))</f>
        <v/>
      </c>
      <c r="U64" s="3">
        <f>IF(tblOrdenes[[#This Row],[centro_costo]]="","",_xlfn.XLOOKUP(tblOrdenes[[#This Row],[centro_costo]],tblCECO[codigo],tblCECO[linea],"(sin catálogo)"))</f>
        <v/>
      </c>
      <c r="V64" s="3">
        <f>IF(tblOrdenes[[#This Row],[centro_costo]]="","",_xlfn.XLOOKUP(tblOrdenes[[#This Row],[centro_costo]],tblCECO[codigo],tblCECO[area],"(sin catálogo)"))</f>
        <v/>
      </c>
      <c r="W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" s="3">
        <f>IF(tblOrdenes[[#This Row],[centro_costo]]="","",_xlfn.XLOOKUP(tblOrdenes[[#This Row],[centro_costo]],tblCECO[codigo],tblCECO[coordinador],"(sin catálogo)"))</f>
        <v/>
      </c>
      <c r="Y64" s="3">
        <f>IF(tblOrdenes[[#This Row],[puesto_trabajo]]="","",_xlfn.XLOOKUP(tblOrdenes[[#This Row],[puesto_trabajo]],tblPuestos[codigo],tblPuestos[especialidad],"(sin catálogo)"))</f>
        <v/>
      </c>
      <c r="Z64" s="3">
        <f>IF(tblOrdenes[[#This Row],[cod_actividad]]="","",_xlfn.XLOOKUP(tblOrdenes[[#This Row],[cod_actividad]],tblActividades[codigo],tblActividades[descripcion],"(sin catálogo)"))</f>
        <v/>
      </c>
      <c r="AA64" s="13">
        <f>IF(tblOrdenes[[#This Row],[fecha_inicio]]="","",TODAY()-tblOrdenes[[#This Row],[fecha_inicio]])</f>
        <v/>
      </c>
      <c r="AB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" s="3">
        <f>IF(tblOrdenes[[#This Row],[backlog_habiles]]="","",IF(tblOrdenes[[#This Row],[backlog_habiles]]&lt;0,"FUTURO",IF(tblOrdenes[[#This Row],[backlog_habiles]]&gt;p_dias_backlog_max,"BACKLOG","MES CORRIENTE")))</f>
        <v/>
      </c>
      <c r="AD64" s="3">
        <f>IF(tblOrdenes[[#This Row],[backlog_habiles]]="",FALSE,AND(tblOrdenes[[#This Row],[backlog_habiles]]&gt;p_dias_backlog_min,tblOrdenes[[#This Row],[backlog_habiles]]&lt;=p_dias_backlog_max))</f>
        <v/>
      </c>
      <c r="AE64" s="6" t="inlineStr">
        <is>
          <t>Técnico 12</t>
        </is>
      </c>
      <c r="AF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" s="11">
        <f>IF(tblOrdenes[[#This Row],[orden]]="","",_xlfn.XLOOKUP(tblOrdenes[[#This Row],[id_operacion]],tblEjecucion[id_operacion],tblEjecucion[precio],0))</f>
        <v/>
      </c>
      <c r="AJ64" s="11">
        <f>IF(tblOrdenes[[#This Row],[orden]]="","",MAX(0,_xlfn.XLOOKUP(tblOrdenes[[#This Row],[id_operacion]],tblEjecucion[id_operacion],tblEjecucion[costo_plan_total],0)-tblOrdenes[[#This Row],[costo_servicio]]))</f>
        <v/>
      </c>
      <c r="AK64" s="11">
        <f>IF(tblOrdenes[[#This Row],[orden]]="","",tblOrdenes[[#This Row],[costo_servicio]]+tblOrdenes[[#This Row],[costo_materiales]])</f>
        <v/>
      </c>
      <c r="AL64" s="6" t="inlineStr"/>
      <c r="AM64" s="6" t="inlineStr"/>
      <c r="AN64" s="6" t="inlineStr">
        <is>
          <t>ACT-02.pdf</t>
        </is>
      </c>
      <c r="AO64" s="3">
        <f>IF(tblOrdenes[[#This Row],[link_checklist]]="","",HYPERLINK(p_ruta_base_checklists&amp;tblOrdenes[[#This Row],[link_checklist]],"abrir"))</f>
        <v/>
      </c>
      <c r="AP64" s="6" t="inlineStr"/>
      <c r="AQ64" s="3">
        <f>IF(tblOrdenes[[#This Row],[orden]]="","",tblOrdenes[[#This Row],[orden]]&amp;IF(tblOrdenes[[#This Row],[operacion]]="","0010",tblOrdenes[[#This Row],[operacion]]))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2" t="n">
        <v>46231</v>
      </c>
      <c r="K65" s="3" t="n">
        <v>10</v>
      </c>
      <c r="L65" s="11" t="n">
        <v>250</v>
      </c>
      <c r="M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" s="3">
        <f>IF(tblOrdenes[[#This Row],[fecha_inicio]]="","",YEAR(tblOrdenes[[#This Row],[fecha_inicio]]))</f>
        <v/>
      </c>
      <c r="Q65" s="3">
        <f>IF(tblOrdenes[[#This Row],[fecha_inicio]]="","",MONTH(tblOrdenes[[#This Row],[fecha_inicio]]))</f>
        <v/>
      </c>
      <c r="R65" s="3">
        <f>IF(tblOrdenes[[#This Row],[fecha_inicio]]="","",INDEX(lista_dias,WEEKDAY(tblOrdenes[[#This Row],[fecha_inicio]],2)))</f>
        <v/>
      </c>
      <c r="S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" s="3">
        <f>IF(tblOrdenes[[#This Row],[tipo_ot]]="","",_xlfn.XLOOKUP(tblOrdenes[[#This Row],[tipo_ot]],tblTiposOT[codigo],tblTiposOT[clasificacion],"sin_clasificar"))</f>
        <v/>
      </c>
      <c r="U65" s="3">
        <f>IF(tblOrdenes[[#This Row],[centro_costo]]="","",_xlfn.XLOOKUP(tblOrdenes[[#This Row],[centro_costo]],tblCECO[codigo],tblCECO[linea],"(sin catálogo)"))</f>
        <v/>
      </c>
      <c r="V65" s="3">
        <f>IF(tblOrdenes[[#This Row],[centro_costo]]="","",_xlfn.XLOOKUP(tblOrdenes[[#This Row],[centro_costo]],tblCECO[codigo],tblCECO[area],"(sin catálogo)"))</f>
        <v/>
      </c>
      <c r="W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" s="3">
        <f>IF(tblOrdenes[[#This Row],[centro_costo]]="","",_xlfn.XLOOKUP(tblOrdenes[[#This Row],[centro_costo]],tblCECO[codigo],tblCECO[coordinador],"(sin catálogo)"))</f>
        <v/>
      </c>
      <c r="Y65" s="3">
        <f>IF(tblOrdenes[[#This Row],[puesto_trabajo]]="","",_xlfn.XLOOKUP(tblOrdenes[[#This Row],[puesto_trabajo]],tblPuestos[codigo],tblPuestos[especialidad],"(sin catálogo)"))</f>
        <v/>
      </c>
      <c r="Z65" s="3">
        <f>IF(tblOrdenes[[#This Row],[cod_actividad]]="","",_xlfn.XLOOKUP(tblOrdenes[[#This Row],[cod_actividad]],tblActividades[codigo],tblActividades[descripcion],"(sin catálogo)"))</f>
        <v/>
      </c>
      <c r="AA65" s="13">
        <f>IF(tblOrdenes[[#This Row],[fecha_inicio]]="","",TODAY()-tblOrdenes[[#This Row],[fecha_inicio]])</f>
        <v/>
      </c>
      <c r="AB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" s="3">
        <f>IF(tblOrdenes[[#This Row],[backlog_habiles]]="","",IF(tblOrdenes[[#This Row],[backlog_habiles]]&lt;0,"FUTURO",IF(tblOrdenes[[#This Row],[backlog_habiles]]&gt;p_dias_backlog_max,"BACKLOG","MES CORRIENTE")))</f>
        <v/>
      </c>
      <c r="AD65" s="3">
        <f>IF(tblOrdenes[[#This Row],[backlog_habiles]]="",FALSE,AND(tblOrdenes[[#This Row],[backlog_habiles]]&gt;p_dias_backlog_min,tblOrdenes[[#This Row],[backlog_habiles]]&lt;=p_dias_backlog_max))</f>
        <v/>
      </c>
      <c r="AE65" s="6" t="inlineStr">
        <is>
          <t>Técnico 13</t>
        </is>
      </c>
      <c r="AF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" s="11">
        <f>IF(tblOrdenes[[#This Row],[orden]]="","",_xlfn.XLOOKUP(tblOrdenes[[#This Row],[id_operacion]],tblEjecucion[id_operacion],tblEjecucion[precio],0))</f>
        <v/>
      </c>
      <c r="AJ65" s="11">
        <f>IF(tblOrdenes[[#This Row],[orden]]="","",MAX(0,_xlfn.XLOOKUP(tblOrdenes[[#This Row],[id_operacion]],tblEjecucion[id_operacion],tblEjecucion[costo_plan_total],0)-tblOrdenes[[#This Row],[costo_servicio]]))</f>
        <v/>
      </c>
      <c r="AK65" s="11">
        <f>IF(tblOrdenes[[#This Row],[orden]]="","",tblOrdenes[[#This Row],[costo_servicio]]+tblOrdenes[[#This Row],[costo_materiales]])</f>
        <v/>
      </c>
      <c r="AL65" s="6" t="inlineStr"/>
      <c r="AM65" s="6" t="inlineStr"/>
      <c r="AN65" s="6" t="inlineStr">
        <is>
          <t>ACT-04.pdf</t>
        </is>
      </c>
      <c r="AO65" s="3">
        <f>IF(tblOrdenes[[#This Row],[link_checklist]]="","",HYPERLINK(p_ruta_base_checklists&amp;tblOrdenes[[#This Row],[link_checklist]],"abrir"))</f>
        <v/>
      </c>
      <c r="AP65" s="6" t="inlineStr"/>
      <c r="AQ65" s="3">
        <f>IF(tblOrdenes[[#This Row],[orden]]="","",tblOrdenes[[#This Row],[orden]]&amp;IF(tblOrdenes[[#This Row],[operacion]]="","0010",tblOrdenes[[#This Row],[operacion]]))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2" t="n">
        <v>46232</v>
      </c>
      <c r="K66" s="3" t="n">
        <v>8</v>
      </c>
      <c r="L66" s="11" t="n">
        <v>200</v>
      </c>
      <c r="M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" s="3">
        <f>IF(tblOrdenes[[#This Row],[fecha_inicio]]="","",YEAR(tblOrdenes[[#This Row],[fecha_inicio]]))</f>
        <v/>
      </c>
      <c r="Q66" s="3">
        <f>IF(tblOrdenes[[#This Row],[fecha_inicio]]="","",MONTH(tblOrdenes[[#This Row],[fecha_inicio]]))</f>
        <v/>
      </c>
      <c r="R66" s="3">
        <f>IF(tblOrdenes[[#This Row],[fecha_inicio]]="","",INDEX(lista_dias,WEEKDAY(tblOrdenes[[#This Row],[fecha_inicio]],2)))</f>
        <v/>
      </c>
      <c r="S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" s="3">
        <f>IF(tblOrdenes[[#This Row],[tipo_ot]]="","",_xlfn.XLOOKUP(tblOrdenes[[#This Row],[tipo_ot]],tblTiposOT[codigo],tblTiposOT[clasificacion],"sin_clasificar"))</f>
        <v/>
      </c>
      <c r="U66" s="3">
        <f>IF(tblOrdenes[[#This Row],[centro_costo]]="","",_xlfn.XLOOKUP(tblOrdenes[[#This Row],[centro_costo]],tblCECO[codigo],tblCECO[linea],"(sin catálogo)"))</f>
        <v/>
      </c>
      <c r="V66" s="3">
        <f>IF(tblOrdenes[[#This Row],[centro_costo]]="","",_xlfn.XLOOKUP(tblOrdenes[[#This Row],[centro_costo]],tblCECO[codigo],tblCECO[area],"(sin catálogo)"))</f>
        <v/>
      </c>
      <c r="W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" s="3">
        <f>IF(tblOrdenes[[#This Row],[centro_costo]]="","",_xlfn.XLOOKUP(tblOrdenes[[#This Row],[centro_costo]],tblCECO[codigo],tblCECO[coordinador],"(sin catálogo)"))</f>
        <v/>
      </c>
      <c r="Y66" s="3">
        <f>IF(tblOrdenes[[#This Row],[puesto_trabajo]]="","",_xlfn.XLOOKUP(tblOrdenes[[#This Row],[puesto_trabajo]],tblPuestos[codigo],tblPuestos[especialidad],"(sin catálogo)"))</f>
        <v/>
      </c>
      <c r="Z66" s="3">
        <f>IF(tblOrdenes[[#This Row],[cod_actividad]]="","",_xlfn.XLOOKUP(tblOrdenes[[#This Row],[cod_actividad]],tblActividades[codigo],tblActividades[descripcion],"(sin catálogo)"))</f>
        <v/>
      </c>
      <c r="AA66" s="13">
        <f>IF(tblOrdenes[[#This Row],[fecha_inicio]]="","",TODAY()-tblOrdenes[[#This Row],[fecha_inicio]])</f>
        <v/>
      </c>
      <c r="AB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" s="3">
        <f>IF(tblOrdenes[[#This Row],[backlog_habiles]]="","",IF(tblOrdenes[[#This Row],[backlog_habiles]]&lt;0,"FUTURO",IF(tblOrdenes[[#This Row],[backlog_habiles]]&gt;p_dias_backlog_max,"BACKLOG","MES CORRIENTE")))</f>
        <v/>
      </c>
      <c r="AD66" s="3">
        <f>IF(tblOrdenes[[#This Row],[backlog_habiles]]="",FALSE,AND(tblOrdenes[[#This Row],[backlog_habiles]]&gt;p_dias_backlog_min,tblOrdenes[[#This Row],[backlog_habiles]]&lt;=p_dias_backlog_max))</f>
        <v/>
      </c>
      <c r="AE66" s="6" t="inlineStr">
        <is>
          <t>Técnico 14</t>
        </is>
      </c>
      <c r="AF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" s="11">
        <f>IF(tblOrdenes[[#This Row],[orden]]="","",_xlfn.XLOOKUP(tblOrdenes[[#This Row],[id_operacion]],tblEjecucion[id_operacion],tblEjecucion[precio],0))</f>
        <v/>
      </c>
      <c r="AJ66" s="11">
        <f>IF(tblOrdenes[[#This Row],[orden]]="","",MAX(0,_xlfn.XLOOKUP(tblOrdenes[[#This Row],[id_operacion]],tblEjecucion[id_operacion],tblEjecucion[costo_plan_total],0)-tblOrdenes[[#This Row],[costo_servicio]]))</f>
        <v/>
      </c>
      <c r="AK66" s="11">
        <f>IF(tblOrdenes[[#This Row],[orden]]="","",tblOrdenes[[#This Row],[costo_servicio]]+tblOrdenes[[#This Row],[costo_materiales]])</f>
        <v/>
      </c>
      <c r="AL66" s="6" t="inlineStr"/>
      <c r="AM66" s="6" t="inlineStr"/>
      <c r="AN66" s="6" t="inlineStr">
        <is>
          <t>ACT-01.pdf</t>
        </is>
      </c>
      <c r="AO66" s="3">
        <f>IF(tblOrdenes[[#This Row],[link_checklist]]="","",HYPERLINK(p_ruta_base_checklists&amp;tblOrdenes[[#This Row],[link_checklist]],"abrir"))</f>
        <v/>
      </c>
      <c r="AP66" s="6" t="inlineStr"/>
      <c r="AQ66" s="3">
        <f>IF(tblOrdenes[[#This Row],[orden]]="","",tblOrdenes[[#This Row],[orden]]&amp;IF(tblOrdenes[[#This Row],[operacion]]="","0010",tblOrdenes[[#This Row],[operacion]]))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2" t="n">
        <v>46233</v>
      </c>
      <c r="K67" s="3" t="n">
        <v>6</v>
      </c>
      <c r="L67" s="11" t="n">
        <v>150</v>
      </c>
      <c r="M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" s="3">
        <f>IF(tblOrdenes[[#This Row],[fecha_inicio]]="","",YEAR(tblOrdenes[[#This Row],[fecha_inicio]]))</f>
        <v/>
      </c>
      <c r="Q67" s="3">
        <f>IF(tblOrdenes[[#This Row],[fecha_inicio]]="","",MONTH(tblOrdenes[[#This Row],[fecha_inicio]]))</f>
        <v/>
      </c>
      <c r="R67" s="3">
        <f>IF(tblOrdenes[[#This Row],[fecha_inicio]]="","",INDEX(lista_dias,WEEKDAY(tblOrdenes[[#This Row],[fecha_inicio]],2)))</f>
        <v/>
      </c>
      <c r="S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" s="3">
        <f>IF(tblOrdenes[[#This Row],[tipo_ot]]="","",_xlfn.XLOOKUP(tblOrdenes[[#This Row],[tipo_ot]],tblTiposOT[codigo],tblTiposOT[clasificacion],"sin_clasificar"))</f>
        <v/>
      </c>
      <c r="U67" s="3">
        <f>IF(tblOrdenes[[#This Row],[centro_costo]]="","",_xlfn.XLOOKUP(tblOrdenes[[#This Row],[centro_costo]],tblCECO[codigo],tblCECO[linea],"(sin catálogo)"))</f>
        <v/>
      </c>
      <c r="V67" s="3">
        <f>IF(tblOrdenes[[#This Row],[centro_costo]]="","",_xlfn.XLOOKUP(tblOrdenes[[#This Row],[centro_costo]],tblCECO[codigo],tblCECO[area],"(sin catálogo)"))</f>
        <v/>
      </c>
      <c r="W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" s="3">
        <f>IF(tblOrdenes[[#This Row],[centro_costo]]="","",_xlfn.XLOOKUP(tblOrdenes[[#This Row],[centro_costo]],tblCECO[codigo],tblCECO[coordinador],"(sin catálogo)"))</f>
        <v/>
      </c>
      <c r="Y67" s="3">
        <f>IF(tblOrdenes[[#This Row],[puesto_trabajo]]="","",_xlfn.XLOOKUP(tblOrdenes[[#This Row],[puesto_trabajo]],tblPuestos[codigo],tblPuestos[especialidad],"(sin catálogo)"))</f>
        <v/>
      </c>
      <c r="Z67" s="3">
        <f>IF(tblOrdenes[[#This Row],[cod_actividad]]="","",_xlfn.XLOOKUP(tblOrdenes[[#This Row],[cod_actividad]],tblActividades[codigo],tblActividades[descripcion],"(sin catálogo)"))</f>
        <v/>
      </c>
      <c r="AA67" s="13">
        <f>IF(tblOrdenes[[#This Row],[fecha_inicio]]="","",TODAY()-tblOrdenes[[#This Row],[fecha_inicio]])</f>
        <v/>
      </c>
      <c r="AB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" s="3">
        <f>IF(tblOrdenes[[#This Row],[backlog_habiles]]="","",IF(tblOrdenes[[#This Row],[backlog_habiles]]&lt;0,"FUTURO",IF(tblOrdenes[[#This Row],[backlog_habiles]]&gt;p_dias_backlog_max,"BACKLOG","MES CORRIENTE")))</f>
        <v/>
      </c>
      <c r="AD67" s="3">
        <f>IF(tblOrdenes[[#This Row],[backlog_habiles]]="",FALSE,AND(tblOrdenes[[#This Row],[backlog_habiles]]&gt;p_dias_backlog_min,tblOrdenes[[#This Row],[backlog_habiles]]&lt;=p_dias_backlog_max))</f>
        <v/>
      </c>
      <c r="AE67" s="6" t="inlineStr">
        <is>
          <t>Técnico 08</t>
        </is>
      </c>
      <c r="AF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" s="11">
        <f>IF(tblOrdenes[[#This Row],[orden]]="","",_xlfn.XLOOKUP(tblOrdenes[[#This Row],[id_operacion]],tblEjecucion[id_operacion],tblEjecucion[precio],0))</f>
        <v/>
      </c>
      <c r="AJ67" s="11">
        <f>IF(tblOrdenes[[#This Row],[orden]]="","",MAX(0,_xlfn.XLOOKUP(tblOrdenes[[#This Row],[id_operacion]],tblEjecucion[id_operacion],tblEjecucion[costo_plan_total],0)-tblOrdenes[[#This Row],[costo_servicio]]))</f>
        <v/>
      </c>
      <c r="AK67" s="11">
        <f>IF(tblOrdenes[[#This Row],[orden]]="","",tblOrdenes[[#This Row],[costo_servicio]]+tblOrdenes[[#This Row],[costo_materiales]])</f>
        <v/>
      </c>
      <c r="AL67" s="6" t="inlineStr"/>
      <c r="AM67" s="6" t="inlineStr"/>
      <c r="AN67" s="6" t="inlineStr">
        <is>
          <t>ACT-02.pdf</t>
        </is>
      </c>
      <c r="AO67" s="3">
        <f>IF(tblOrdenes[[#This Row],[link_checklist]]="","",HYPERLINK(p_ruta_base_checklists&amp;tblOrdenes[[#This Row],[link_checklist]],"abrir"))</f>
        <v/>
      </c>
      <c r="AP67" s="6" t="inlineStr"/>
      <c r="AQ67" s="3">
        <f>IF(tblOrdenes[[#This Row],[orden]]="","",tblOrdenes[[#This Row],[orden]]&amp;IF(tblOrdenes[[#This Row],[operacion]]="","0010",tblOrdenes[[#This Row],[operacion]]))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2" t="n">
        <v>46234</v>
      </c>
      <c r="K68" s="3" t="n">
        <v>10</v>
      </c>
      <c r="L68" s="11" t="n">
        <v>250</v>
      </c>
      <c r="M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" s="3">
        <f>IF(tblOrdenes[[#This Row],[fecha_inicio]]="","",YEAR(tblOrdenes[[#This Row],[fecha_inicio]]))</f>
        <v/>
      </c>
      <c r="Q68" s="3">
        <f>IF(tblOrdenes[[#This Row],[fecha_inicio]]="","",MONTH(tblOrdenes[[#This Row],[fecha_inicio]]))</f>
        <v/>
      </c>
      <c r="R68" s="3">
        <f>IF(tblOrdenes[[#This Row],[fecha_inicio]]="","",INDEX(lista_dias,WEEKDAY(tblOrdenes[[#This Row],[fecha_inicio]],2)))</f>
        <v/>
      </c>
      <c r="S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" s="3">
        <f>IF(tblOrdenes[[#This Row],[tipo_ot]]="","",_xlfn.XLOOKUP(tblOrdenes[[#This Row],[tipo_ot]],tblTiposOT[codigo],tblTiposOT[clasificacion],"sin_clasificar"))</f>
        <v/>
      </c>
      <c r="U68" s="3">
        <f>IF(tblOrdenes[[#This Row],[centro_costo]]="","",_xlfn.XLOOKUP(tblOrdenes[[#This Row],[centro_costo]],tblCECO[codigo],tblCECO[linea],"(sin catálogo)"))</f>
        <v/>
      </c>
      <c r="V68" s="3">
        <f>IF(tblOrdenes[[#This Row],[centro_costo]]="","",_xlfn.XLOOKUP(tblOrdenes[[#This Row],[centro_costo]],tblCECO[codigo],tblCECO[area],"(sin catálogo)"))</f>
        <v/>
      </c>
      <c r="W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" s="3">
        <f>IF(tblOrdenes[[#This Row],[centro_costo]]="","",_xlfn.XLOOKUP(tblOrdenes[[#This Row],[centro_costo]],tblCECO[codigo],tblCECO[coordinador],"(sin catálogo)"))</f>
        <v/>
      </c>
      <c r="Y68" s="3">
        <f>IF(tblOrdenes[[#This Row],[puesto_trabajo]]="","",_xlfn.XLOOKUP(tblOrdenes[[#This Row],[puesto_trabajo]],tblPuestos[codigo],tblPuestos[especialidad],"(sin catálogo)"))</f>
        <v/>
      </c>
      <c r="Z68" s="3">
        <f>IF(tblOrdenes[[#This Row],[cod_actividad]]="","",_xlfn.XLOOKUP(tblOrdenes[[#This Row],[cod_actividad]],tblActividades[codigo],tblActividades[descripcion],"(sin catálogo)"))</f>
        <v/>
      </c>
      <c r="AA68" s="13">
        <f>IF(tblOrdenes[[#This Row],[fecha_inicio]]="","",TODAY()-tblOrdenes[[#This Row],[fecha_inicio]])</f>
        <v/>
      </c>
      <c r="AB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" s="3">
        <f>IF(tblOrdenes[[#This Row],[backlog_habiles]]="","",IF(tblOrdenes[[#This Row],[backlog_habiles]]&lt;0,"FUTURO",IF(tblOrdenes[[#This Row],[backlog_habiles]]&gt;p_dias_backlog_max,"BACKLOG","MES CORRIENTE")))</f>
        <v/>
      </c>
      <c r="AD68" s="3">
        <f>IF(tblOrdenes[[#This Row],[backlog_habiles]]="",FALSE,AND(tblOrdenes[[#This Row],[backlog_habiles]]&gt;p_dias_backlog_min,tblOrdenes[[#This Row],[backlog_habiles]]&lt;=p_dias_backlog_max))</f>
        <v/>
      </c>
      <c r="AE68" s="6" t="inlineStr">
        <is>
          <t>Técnico 09</t>
        </is>
      </c>
      <c r="AF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" s="11">
        <f>IF(tblOrdenes[[#This Row],[orden]]="","",_xlfn.XLOOKUP(tblOrdenes[[#This Row],[id_operacion]],tblEjecucion[id_operacion],tblEjecucion[precio],0))</f>
        <v/>
      </c>
      <c r="AJ68" s="11">
        <f>IF(tblOrdenes[[#This Row],[orden]]="","",MAX(0,_xlfn.XLOOKUP(tblOrdenes[[#This Row],[id_operacion]],tblEjecucion[id_operacion],tblEjecucion[costo_plan_total],0)-tblOrdenes[[#This Row],[costo_servicio]]))</f>
        <v/>
      </c>
      <c r="AK68" s="11">
        <f>IF(tblOrdenes[[#This Row],[orden]]="","",tblOrdenes[[#This Row],[costo_servicio]]+tblOrdenes[[#This Row],[costo_materiales]])</f>
        <v/>
      </c>
      <c r="AL68" s="6" t="inlineStr"/>
      <c r="AM68" s="6" t="inlineStr"/>
      <c r="AN68" s="6" t="inlineStr">
        <is>
          <t>ACT-04.pdf</t>
        </is>
      </c>
      <c r="AO68" s="3">
        <f>IF(tblOrdenes[[#This Row],[link_checklist]]="","",HYPERLINK(p_ruta_base_checklists&amp;tblOrdenes[[#This Row],[link_checklist]],"abrir"))</f>
        <v/>
      </c>
      <c r="AP68" s="6" t="inlineStr"/>
      <c r="AQ68" s="3">
        <f>IF(tblOrdenes[[#This Row],[orden]]="","",tblOrdenes[[#This Row],[orden]]&amp;IF(tblOrdenes[[#This Row],[operacion]]="","0010",tblOrdenes[[#This Row],[operacion]]))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2" t="n">
        <v>46230</v>
      </c>
      <c r="K69" s="3" t="n">
        <v>7</v>
      </c>
      <c r="L69" s="11" t="n">
        <v>175</v>
      </c>
      <c r="M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" s="3">
        <f>IF(tblOrdenes[[#This Row],[fecha_inicio]]="","",YEAR(tblOrdenes[[#This Row],[fecha_inicio]]))</f>
        <v/>
      </c>
      <c r="Q69" s="3">
        <f>IF(tblOrdenes[[#This Row],[fecha_inicio]]="","",MONTH(tblOrdenes[[#This Row],[fecha_inicio]]))</f>
        <v/>
      </c>
      <c r="R69" s="3">
        <f>IF(tblOrdenes[[#This Row],[fecha_inicio]]="","",INDEX(lista_dias,WEEKDAY(tblOrdenes[[#This Row],[fecha_inicio]],2)))</f>
        <v/>
      </c>
      <c r="S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" s="3">
        <f>IF(tblOrdenes[[#This Row],[tipo_ot]]="","",_xlfn.XLOOKUP(tblOrdenes[[#This Row],[tipo_ot]],tblTiposOT[codigo],tblTiposOT[clasificacion],"sin_clasificar"))</f>
        <v/>
      </c>
      <c r="U69" s="3">
        <f>IF(tblOrdenes[[#This Row],[centro_costo]]="","",_xlfn.XLOOKUP(tblOrdenes[[#This Row],[centro_costo]],tblCECO[codigo],tblCECO[linea],"(sin catálogo)"))</f>
        <v/>
      </c>
      <c r="V69" s="3">
        <f>IF(tblOrdenes[[#This Row],[centro_costo]]="","",_xlfn.XLOOKUP(tblOrdenes[[#This Row],[centro_costo]],tblCECO[codigo],tblCECO[area],"(sin catálogo)"))</f>
        <v/>
      </c>
      <c r="W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" s="3">
        <f>IF(tblOrdenes[[#This Row],[centro_costo]]="","",_xlfn.XLOOKUP(tblOrdenes[[#This Row],[centro_costo]],tblCECO[codigo],tblCECO[coordinador],"(sin catálogo)"))</f>
        <v/>
      </c>
      <c r="Y69" s="3">
        <f>IF(tblOrdenes[[#This Row],[puesto_trabajo]]="","",_xlfn.XLOOKUP(tblOrdenes[[#This Row],[puesto_trabajo]],tblPuestos[codigo],tblPuestos[especialidad],"(sin catálogo)"))</f>
        <v/>
      </c>
      <c r="Z69" s="3">
        <f>IF(tblOrdenes[[#This Row],[cod_actividad]]="","",_xlfn.XLOOKUP(tblOrdenes[[#This Row],[cod_actividad]],tblActividades[codigo],tblActividades[descripcion],"(sin catálogo)"))</f>
        <v/>
      </c>
      <c r="AA69" s="13">
        <f>IF(tblOrdenes[[#This Row],[fecha_inicio]]="","",TODAY()-tblOrdenes[[#This Row],[fecha_inicio]])</f>
        <v/>
      </c>
      <c r="AB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" s="3">
        <f>IF(tblOrdenes[[#This Row],[backlog_habiles]]="","",IF(tblOrdenes[[#This Row],[backlog_habiles]]&lt;0,"FUTURO",IF(tblOrdenes[[#This Row],[backlog_habiles]]&gt;p_dias_backlog_max,"BACKLOG","MES CORRIENTE")))</f>
        <v/>
      </c>
      <c r="AD69" s="3">
        <f>IF(tblOrdenes[[#This Row],[backlog_habiles]]="",FALSE,AND(tblOrdenes[[#This Row],[backlog_habiles]]&gt;p_dias_backlog_min,tblOrdenes[[#This Row],[backlog_habiles]]&lt;=p_dias_backlog_max))</f>
        <v/>
      </c>
      <c r="AE69" s="6" t="inlineStr">
        <is>
          <t>Técnico 10</t>
        </is>
      </c>
      <c r="AF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" s="11">
        <f>IF(tblOrdenes[[#This Row],[orden]]="","",_xlfn.XLOOKUP(tblOrdenes[[#This Row],[id_operacion]],tblEjecucion[id_operacion],tblEjecucion[precio],0))</f>
        <v/>
      </c>
      <c r="AJ69" s="11">
        <f>IF(tblOrdenes[[#This Row],[orden]]="","",MAX(0,_xlfn.XLOOKUP(tblOrdenes[[#This Row],[id_operacion]],tblEjecucion[id_operacion],tblEjecucion[costo_plan_total],0)-tblOrdenes[[#This Row],[costo_servicio]]))</f>
        <v/>
      </c>
      <c r="AK69" s="11">
        <f>IF(tblOrdenes[[#This Row],[orden]]="","",tblOrdenes[[#This Row],[costo_servicio]]+tblOrdenes[[#This Row],[costo_materiales]])</f>
        <v/>
      </c>
      <c r="AL69" s="6" t="inlineStr"/>
      <c r="AM69" s="6" t="inlineStr"/>
      <c r="AN69" s="6" t="inlineStr">
        <is>
          <t>ACT-01.pdf</t>
        </is>
      </c>
      <c r="AO69" s="3">
        <f>IF(tblOrdenes[[#This Row],[link_checklist]]="","",HYPERLINK(p_ruta_base_checklists&amp;tblOrdenes[[#This Row],[link_checklist]],"abrir"))</f>
        <v/>
      </c>
      <c r="AP69" s="6" t="inlineStr"/>
      <c r="AQ69" s="3">
        <f>IF(tblOrdenes[[#This Row],[orden]]="","",tblOrdenes[[#This Row],[orden]]&amp;IF(tblOrdenes[[#This Row],[operacion]]="","0010",tblOrdenes[[#This Row],[operacion]]))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2" t="n">
        <v>46231</v>
      </c>
      <c r="K70" s="3" t="n">
        <v>10</v>
      </c>
      <c r="L70" s="11" t="n">
        <v>400</v>
      </c>
      <c r="M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" s="3">
        <f>IF(tblOrdenes[[#This Row],[fecha_inicio]]="","",YEAR(tblOrdenes[[#This Row],[fecha_inicio]]))</f>
        <v/>
      </c>
      <c r="Q70" s="3">
        <f>IF(tblOrdenes[[#This Row],[fecha_inicio]]="","",MONTH(tblOrdenes[[#This Row],[fecha_inicio]]))</f>
        <v/>
      </c>
      <c r="R70" s="3">
        <f>IF(tblOrdenes[[#This Row],[fecha_inicio]]="","",INDEX(lista_dias,WEEKDAY(tblOrdenes[[#This Row],[fecha_inicio]],2)))</f>
        <v/>
      </c>
      <c r="S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" s="3">
        <f>IF(tblOrdenes[[#This Row],[tipo_ot]]="","",_xlfn.XLOOKUP(tblOrdenes[[#This Row],[tipo_ot]],tblTiposOT[codigo],tblTiposOT[clasificacion],"sin_clasificar"))</f>
        <v/>
      </c>
      <c r="U70" s="3">
        <f>IF(tblOrdenes[[#This Row],[centro_costo]]="","",_xlfn.XLOOKUP(tblOrdenes[[#This Row],[centro_costo]],tblCECO[codigo],tblCECO[linea],"(sin catálogo)"))</f>
        <v/>
      </c>
      <c r="V70" s="3">
        <f>IF(tblOrdenes[[#This Row],[centro_costo]]="","",_xlfn.XLOOKUP(tblOrdenes[[#This Row],[centro_costo]],tblCECO[codigo],tblCECO[area],"(sin catálogo)"))</f>
        <v/>
      </c>
      <c r="W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" s="3">
        <f>IF(tblOrdenes[[#This Row],[centro_costo]]="","",_xlfn.XLOOKUP(tblOrdenes[[#This Row],[centro_costo]],tblCECO[codigo],tblCECO[coordinador],"(sin catálogo)"))</f>
        <v/>
      </c>
      <c r="Y70" s="3">
        <f>IF(tblOrdenes[[#This Row],[puesto_trabajo]]="","",_xlfn.XLOOKUP(tblOrdenes[[#This Row],[puesto_trabajo]],tblPuestos[codigo],tblPuestos[especialidad],"(sin catálogo)"))</f>
        <v/>
      </c>
      <c r="Z70" s="3">
        <f>IF(tblOrdenes[[#This Row],[cod_actividad]]="","",_xlfn.XLOOKUP(tblOrdenes[[#This Row],[cod_actividad]],tblActividades[codigo],tblActividades[descripcion],"(sin catálogo)"))</f>
        <v/>
      </c>
      <c r="AA70" s="13">
        <f>IF(tblOrdenes[[#This Row],[fecha_inicio]]="","",TODAY()-tblOrdenes[[#This Row],[fecha_inicio]])</f>
        <v/>
      </c>
      <c r="AB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" s="3">
        <f>IF(tblOrdenes[[#This Row],[backlog_habiles]]="","",IF(tblOrdenes[[#This Row],[backlog_habiles]]&lt;0,"FUTURO",IF(tblOrdenes[[#This Row],[backlog_habiles]]&gt;p_dias_backlog_max,"BACKLOG","MES CORRIENTE")))</f>
        <v/>
      </c>
      <c r="AD70" s="3">
        <f>IF(tblOrdenes[[#This Row],[backlog_habiles]]="",FALSE,AND(tblOrdenes[[#This Row],[backlog_habiles]]&gt;p_dias_backlog_min,tblOrdenes[[#This Row],[backlog_habiles]]&lt;=p_dias_backlog_max))</f>
        <v/>
      </c>
      <c r="AE70" s="6" t="inlineStr">
        <is>
          <t>Técnico 11</t>
        </is>
      </c>
      <c r="AF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" s="11">
        <f>IF(tblOrdenes[[#This Row],[orden]]="","",_xlfn.XLOOKUP(tblOrdenes[[#This Row],[id_operacion]],tblEjecucion[id_operacion],tblEjecucion[precio],0))</f>
        <v/>
      </c>
      <c r="AJ70" s="11">
        <f>IF(tblOrdenes[[#This Row],[orden]]="","",MAX(0,_xlfn.XLOOKUP(tblOrdenes[[#This Row],[id_operacion]],tblEjecucion[id_operacion],tblEjecucion[costo_plan_total],0)-tblOrdenes[[#This Row],[costo_servicio]]))</f>
        <v/>
      </c>
      <c r="AK70" s="11">
        <f>IF(tblOrdenes[[#This Row],[orden]]="","",tblOrdenes[[#This Row],[costo_servicio]]+tblOrdenes[[#This Row],[costo_materiales]])</f>
        <v/>
      </c>
      <c r="AL70" s="6" t="inlineStr"/>
      <c r="AM70" s="6" t="inlineStr"/>
      <c r="AN70" s="6" t="inlineStr"/>
      <c r="AO70" s="3">
        <f>IF(tblOrdenes[[#This Row],[link_checklist]]="","",HYPERLINK(p_ruta_base_checklists&amp;tblOrdenes[[#This Row],[link_checklist]],"abrir"))</f>
        <v/>
      </c>
      <c r="AP70" s="6" t="inlineStr"/>
      <c r="AQ70" s="3">
        <f>IF(tblOrdenes[[#This Row],[orden]]="","",tblOrdenes[[#This Row],[orden]]&amp;IF(tblOrdenes[[#This Row],[operacion]]="","0010",tblOrdenes[[#This Row],[operacion]]))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2" t="n">
        <v>46232</v>
      </c>
      <c r="K71" s="3" t="n">
        <v>10</v>
      </c>
      <c r="L71" s="11" t="n">
        <v>400</v>
      </c>
      <c r="M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" s="3">
        <f>IF(tblOrdenes[[#This Row],[fecha_inicio]]="","",YEAR(tblOrdenes[[#This Row],[fecha_inicio]]))</f>
        <v/>
      </c>
      <c r="Q71" s="3">
        <f>IF(tblOrdenes[[#This Row],[fecha_inicio]]="","",MONTH(tblOrdenes[[#This Row],[fecha_inicio]]))</f>
        <v/>
      </c>
      <c r="R71" s="3">
        <f>IF(tblOrdenes[[#This Row],[fecha_inicio]]="","",INDEX(lista_dias,WEEKDAY(tblOrdenes[[#This Row],[fecha_inicio]],2)))</f>
        <v/>
      </c>
      <c r="S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" s="3">
        <f>IF(tblOrdenes[[#This Row],[tipo_ot]]="","",_xlfn.XLOOKUP(tblOrdenes[[#This Row],[tipo_ot]],tblTiposOT[codigo],tblTiposOT[clasificacion],"sin_clasificar"))</f>
        <v/>
      </c>
      <c r="U71" s="3">
        <f>IF(tblOrdenes[[#This Row],[centro_costo]]="","",_xlfn.XLOOKUP(tblOrdenes[[#This Row],[centro_costo]],tblCECO[codigo],tblCECO[linea],"(sin catálogo)"))</f>
        <v/>
      </c>
      <c r="V71" s="3">
        <f>IF(tblOrdenes[[#This Row],[centro_costo]]="","",_xlfn.XLOOKUP(tblOrdenes[[#This Row],[centro_costo]],tblCECO[codigo],tblCECO[area],"(sin catálogo)"))</f>
        <v/>
      </c>
      <c r="W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" s="3">
        <f>IF(tblOrdenes[[#This Row],[centro_costo]]="","",_xlfn.XLOOKUP(tblOrdenes[[#This Row],[centro_costo]],tblCECO[codigo],tblCECO[coordinador],"(sin catálogo)"))</f>
        <v/>
      </c>
      <c r="Y71" s="3">
        <f>IF(tblOrdenes[[#This Row],[puesto_trabajo]]="","",_xlfn.XLOOKUP(tblOrdenes[[#This Row],[puesto_trabajo]],tblPuestos[codigo],tblPuestos[especialidad],"(sin catálogo)"))</f>
        <v/>
      </c>
      <c r="Z71" s="3">
        <f>IF(tblOrdenes[[#This Row],[cod_actividad]]="","",_xlfn.XLOOKUP(tblOrdenes[[#This Row],[cod_actividad]],tblActividades[codigo],tblActividades[descripcion],"(sin catálogo)"))</f>
        <v/>
      </c>
      <c r="AA71" s="13">
        <f>IF(tblOrdenes[[#This Row],[fecha_inicio]]="","",TODAY()-tblOrdenes[[#This Row],[fecha_inicio]])</f>
        <v/>
      </c>
      <c r="AB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" s="3">
        <f>IF(tblOrdenes[[#This Row],[backlog_habiles]]="","",IF(tblOrdenes[[#This Row],[backlog_habiles]]&lt;0,"FUTURO",IF(tblOrdenes[[#This Row],[backlog_habiles]]&gt;p_dias_backlog_max,"BACKLOG","MES CORRIENTE")))</f>
        <v/>
      </c>
      <c r="AD71" s="3">
        <f>IF(tblOrdenes[[#This Row],[backlog_habiles]]="",FALSE,AND(tblOrdenes[[#This Row],[backlog_habiles]]&gt;p_dias_backlog_min,tblOrdenes[[#This Row],[backlog_habiles]]&lt;=p_dias_backlog_max))</f>
        <v/>
      </c>
      <c r="AE71" s="6" t="inlineStr">
        <is>
          <t>Técnico 12</t>
        </is>
      </c>
      <c r="AF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" s="11">
        <f>IF(tblOrdenes[[#This Row],[orden]]="","",_xlfn.XLOOKUP(tblOrdenes[[#This Row],[id_operacion]],tblEjecucion[id_operacion],tblEjecucion[precio],0))</f>
        <v/>
      </c>
      <c r="AJ71" s="11">
        <f>IF(tblOrdenes[[#This Row],[orden]]="","",MAX(0,_xlfn.XLOOKUP(tblOrdenes[[#This Row],[id_operacion]],tblEjecucion[id_operacion],tblEjecucion[costo_plan_total],0)-tblOrdenes[[#This Row],[costo_servicio]]))</f>
        <v/>
      </c>
      <c r="AK71" s="11">
        <f>IF(tblOrdenes[[#This Row],[orden]]="","",tblOrdenes[[#This Row],[costo_servicio]]+tblOrdenes[[#This Row],[costo_materiales]])</f>
        <v/>
      </c>
      <c r="AL71" s="6" t="inlineStr">
        <is>
          <t>PT-CALIENTE</t>
        </is>
      </c>
      <c r="AM71" s="6" t="inlineStr">
        <is>
          <t>LOTO</t>
        </is>
      </c>
      <c r="AN71" s="6" t="inlineStr"/>
      <c r="AO71" s="3">
        <f>IF(tblOrdenes[[#This Row],[link_checklist]]="","",HYPERLINK(p_ruta_base_checklists&amp;tblOrdenes[[#This Row],[link_checklist]],"abrir"))</f>
        <v/>
      </c>
      <c r="AP71" s="6" t="inlineStr"/>
      <c r="AQ71" s="3">
        <f>IF(tblOrdenes[[#This Row],[orden]]="","",tblOrdenes[[#This Row],[orden]]&amp;IF(tblOrdenes[[#This Row],[operacion]]="","0010",tblOrdenes[[#This Row],[operacion]]))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2" t="n">
        <v>46240</v>
      </c>
      <c r="K72" s="3" t="n">
        <v>10</v>
      </c>
      <c r="L72" s="11" t="n">
        <v>250</v>
      </c>
      <c r="M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" s="3">
        <f>IF(tblOrdenes[[#This Row],[fecha_inicio]]="","",YEAR(tblOrdenes[[#This Row],[fecha_inicio]]))</f>
        <v/>
      </c>
      <c r="Q72" s="3">
        <f>IF(tblOrdenes[[#This Row],[fecha_inicio]]="","",MONTH(tblOrdenes[[#This Row],[fecha_inicio]]))</f>
        <v/>
      </c>
      <c r="R72" s="3">
        <f>IF(tblOrdenes[[#This Row],[fecha_inicio]]="","",INDEX(lista_dias,WEEKDAY(tblOrdenes[[#This Row],[fecha_inicio]],2)))</f>
        <v/>
      </c>
      <c r="S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" s="3">
        <f>IF(tblOrdenes[[#This Row],[tipo_ot]]="","",_xlfn.XLOOKUP(tblOrdenes[[#This Row],[tipo_ot]],tblTiposOT[codigo],tblTiposOT[clasificacion],"sin_clasificar"))</f>
        <v/>
      </c>
      <c r="U72" s="3">
        <f>IF(tblOrdenes[[#This Row],[centro_costo]]="","",_xlfn.XLOOKUP(tblOrdenes[[#This Row],[centro_costo]],tblCECO[codigo],tblCECO[linea],"(sin catálogo)"))</f>
        <v/>
      </c>
      <c r="V72" s="3">
        <f>IF(tblOrdenes[[#This Row],[centro_costo]]="","",_xlfn.XLOOKUP(tblOrdenes[[#This Row],[centro_costo]],tblCECO[codigo],tblCECO[area],"(sin catálogo)"))</f>
        <v/>
      </c>
      <c r="W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" s="3">
        <f>IF(tblOrdenes[[#This Row],[centro_costo]]="","",_xlfn.XLOOKUP(tblOrdenes[[#This Row],[centro_costo]],tblCECO[codigo],tblCECO[coordinador],"(sin catálogo)"))</f>
        <v/>
      </c>
      <c r="Y72" s="3">
        <f>IF(tblOrdenes[[#This Row],[puesto_trabajo]]="","",_xlfn.XLOOKUP(tblOrdenes[[#This Row],[puesto_trabajo]],tblPuestos[codigo],tblPuestos[especialidad],"(sin catálogo)"))</f>
        <v/>
      </c>
      <c r="Z72" s="3">
        <f>IF(tblOrdenes[[#This Row],[cod_actividad]]="","",_xlfn.XLOOKUP(tblOrdenes[[#This Row],[cod_actividad]],tblActividades[codigo],tblActividades[descripcion],"(sin catálogo)"))</f>
        <v/>
      </c>
      <c r="AA72" s="13">
        <f>IF(tblOrdenes[[#This Row],[fecha_inicio]]="","",TODAY()-tblOrdenes[[#This Row],[fecha_inicio]])</f>
        <v/>
      </c>
      <c r="AB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" s="3">
        <f>IF(tblOrdenes[[#This Row],[backlog_habiles]]="","",IF(tblOrdenes[[#This Row],[backlog_habiles]]&lt;0,"FUTURO",IF(tblOrdenes[[#This Row],[backlog_habiles]]&gt;p_dias_backlog_max,"BACKLOG","MES CORRIENTE")))</f>
        <v/>
      </c>
      <c r="AD72" s="3">
        <f>IF(tblOrdenes[[#This Row],[backlog_habiles]]="",FALSE,AND(tblOrdenes[[#This Row],[backlog_habiles]]&gt;p_dias_backlog_min,tblOrdenes[[#This Row],[backlog_habiles]]&lt;=p_dias_backlog_max))</f>
        <v/>
      </c>
      <c r="AE72" s="6" t="inlineStr">
        <is>
          <t>Técnico 13</t>
        </is>
      </c>
      <c r="AF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" s="11">
        <f>IF(tblOrdenes[[#This Row],[orden]]="","",_xlfn.XLOOKUP(tblOrdenes[[#This Row],[id_operacion]],tblEjecucion[id_operacion],tblEjecucion[precio],0))</f>
        <v/>
      </c>
      <c r="AJ72" s="11">
        <f>IF(tblOrdenes[[#This Row],[orden]]="","",MAX(0,_xlfn.XLOOKUP(tblOrdenes[[#This Row],[id_operacion]],tblEjecucion[id_operacion],tblEjecucion[costo_plan_total],0)-tblOrdenes[[#This Row],[costo_servicio]]))</f>
        <v/>
      </c>
      <c r="AK72" s="11">
        <f>IF(tblOrdenes[[#This Row],[orden]]="","",tblOrdenes[[#This Row],[costo_servicio]]+tblOrdenes[[#This Row],[costo_materiales]])</f>
        <v/>
      </c>
      <c r="AL72" s="6" t="inlineStr"/>
      <c r="AM72" s="6" t="inlineStr"/>
      <c r="AN72" s="6" t="inlineStr">
        <is>
          <t>ACT-01.pdf</t>
        </is>
      </c>
      <c r="AO72" s="3">
        <f>IF(tblOrdenes[[#This Row],[link_checklist]]="","",HYPERLINK(p_ruta_base_checklists&amp;tblOrdenes[[#This Row],[link_checklist]],"abrir"))</f>
        <v/>
      </c>
      <c r="AP72" s="6" t="inlineStr"/>
      <c r="AQ72" s="3">
        <f>IF(tblOrdenes[[#This Row],[orden]]="","",tblOrdenes[[#This Row],[orden]]&amp;IF(tblOrdenes[[#This Row],[operacion]]="","0010",tblOrdenes[[#This Row],[operacion]]))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2" t="n">
        <v>46241</v>
      </c>
      <c r="K73" s="3" t="n">
        <v>8</v>
      </c>
      <c r="L73" s="11" t="n">
        <v>200</v>
      </c>
      <c r="M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" s="3">
        <f>IF(tblOrdenes[[#This Row],[fecha_inicio]]="","",YEAR(tblOrdenes[[#This Row],[fecha_inicio]]))</f>
        <v/>
      </c>
      <c r="Q73" s="3">
        <f>IF(tblOrdenes[[#This Row],[fecha_inicio]]="","",MONTH(tblOrdenes[[#This Row],[fecha_inicio]]))</f>
        <v/>
      </c>
      <c r="R73" s="3">
        <f>IF(tblOrdenes[[#This Row],[fecha_inicio]]="","",INDEX(lista_dias,WEEKDAY(tblOrdenes[[#This Row],[fecha_inicio]],2)))</f>
        <v/>
      </c>
      <c r="S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" s="3">
        <f>IF(tblOrdenes[[#This Row],[tipo_ot]]="","",_xlfn.XLOOKUP(tblOrdenes[[#This Row],[tipo_ot]],tblTiposOT[codigo],tblTiposOT[clasificacion],"sin_clasificar"))</f>
        <v/>
      </c>
      <c r="U73" s="3">
        <f>IF(tblOrdenes[[#This Row],[centro_costo]]="","",_xlfn.XLOOKUP(tblOrdenes[[#This Row],[centro_costo]],tblCECO[codigo],tblCECO[linea],"(sin catálogo)"))</f>
        <v/>
      </c>
      <c r="V73" s="3">
        <f>IF(tblOrdenes[[#This Row],[centro_costo]]="","",_xlfn.XLOOKUP(tblOrdenes[[#This Row],[centro_costo]],tblCECO[codigo],tblCECO[area],"(sin catálogo)"))</f>
        <v/>
      </c>
      <c r="W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" s="3">
        <f>IF(tblOrdenes[[#This Row],[centro_costo]]="","",_xlfn.XLOOKUP(tblOrdenes[[#This Row],[centro_costo]],tblCECO[codigo],tblCECO[coordinador],"(sin catálogo)"))</f>
        <v/>
      </c>
      <c r="Y73" s="3">
        <f>IF(tblOrdenes[[#This Row],[puesto_trabajo]]="","",_xlfn.XLOOKUP(tblOrdenes[[#This Row],[puesto_trabajo]],tblPuestos[codigo],tblPuestos[especialidad],"(sin catálogo)"))</f>
        <v/>
      </c>
      <c r="Z73" s="3">
        <f>IF(tblOrdenes[[#This Row],[cod_actividad]]="","",_xlfn.XLOOKUP(tblOrdenes[[#This Row],[cod_actividad]],tblActividades[codigo],tblActividades[descripcion],"(sin catálogo)"))</f>
        <v/>
      </c>
      <c r="AA73" s="13">
        <f>IF(tblOrdenes[[#This Row],[fecha_inicio]]="","",TODAY()-tblOrdenes[[#This Row],[fecha_inicio]])</f>
        <v/>
      </c>
      <c r="AB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" s="3">
        <f>IF(tblOrdenes[[#This Row],[backlog_habiles]]="","",IF(tblOrdenes[[#This Row],[backlog_habiles]]&lt;0,"FUTURO",IF(tblOrdenes[[#This Row],[backlog_habiles]]&gt;p_dias_backlog_max,"BACKLOG","MES CORRIENTE")))</f>
        <v/>
      </c>
      <c r="AD73" s="3">
        <f>IF(tblOrdenes[[#This Row],[backlog_habiles]]="",FALSE,AND(tblOrdenes[[#This Row],[backlog_habiles]]&gt;p_dias_backlog_min,tblOrdenes[[#This Row],[backlog_habiles]]&lt;=p_dias_backlog_max))</f>
        <v/>
      </c>
      <c r="AE73" s="6" t="inlineStr">
        <is>
          <t>Técnico 14</t>
        </is>
      </c>
      <c r="AF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" s="11">
        <f>IF(tblOrdenes[[#This Row],[orden]]="","",_xlfn.XLOOKUP(tblOrdenes[[#This Row],[id_operacion]],tblEjecucion[id_operacion],tblEjecucion[precio],0))</f>
        <v/>
      </c>
      <c r="AJ73" s="11">
        <f>IF(tblOrdenes[[#This Row],[orden]]="","",MAX(0,_xlfn.XLOOKUP(tblOrdenes[[#This Row],[id_operacion]],tblEjecucion[id_operacion],tblEjecucion[costo_plan_total],0)-tblOrdenes[[#This Row],[costo_servicio]]))</f>
        <v/>
      </c>
      <c r="AK73" s="11">
        <f>IF(tblOrdenes[[#This Row],[orden]]="","",tblOrdenes[[#This Row],[costo_servicio]]+tblOrdenes[[#This Row],[costo_materiales]])</f>
        <v/>
      </c>
      <c r="AL73" s="6" t="inlineStr"/>
      <c r="AM73" s="6" t="inlineStr"/>
      <c r="AN73" s="6" t="inlineStr">
        <is>
          <t>ACT-02.pdf</t>
        </is>
      </c>
      <c r="AO73" s="3">
        <f>IF(tblOrdenes[[#This Row],[link_checklist]]="","",HYPERLINK(p_ruta_base_checklists&amp;tblOrdenes[[#This Row],[link_checklist]],"abrir"))</f>
        <v/>
      </c>
      <c r="AP73" s="6" t="inlineStr"/>
      <c r="AQ73" s="3">
        <f>IF(tblOrdenes[[#This Row],[orden]]="","",tblOrdenes[[#This Row],[orden]]&amp;IF(tblOrdenes[[#This Row],[operacion]]="","0010",tblOrdenes[[#This Row],[operacion]]))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2" t="n">
        <v>46237</v>
      </c>
      <c r="K74" s="3" t="n">
        <v>6</v>
      </c>
      <c r="L74" s="11" t="n">
        <v>150</v>
      </c>
      <c r="M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" s="3">
        <f>IF(tblOrdenes[[#This Row],[fecha_inicio]]="","",YEAR(tblOrdenes[[#This Row],[fecha_inicio]]))</f>
        <v/>
      </c>
      <c r="Q74" s="3">
        <f>IF(tblOrdenes[[#This Row],[fecha_inicio]]="","",MONTH(tblOrdenes[[#This Row],[fecha_inicio]]))</f>
        <v/>
      </c>
      <c r="R74" s="3">
        <f>IF(tblOrdenes[[#This Row],[fecha_inicio]]="","",INDEX(lista_dias,WEEKDAY(tblOrdenes[[#This Row],[fecha_inicio]],2)))</f>
        <v/>
      </c>
      <c r="S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" s="3">
        <f>IF(tblOrdenes[[#This Row],[tipo_ot]]="","",_xlfn.XLOOKUP(tblOrdenes[[#This Row],[tipo_ot]],tblTiposOT[codigo],tblTiposOT[clasificacion],"sin_clasificar"))</f>
        <v/>
      </c>
      <c r="U74" s="3">
        <f>IF(tblOrdenes[[#This Row],[centro_costo]]="","",_xlfn.XLOOKUP(tblOrdenes[[#This Row],[centro_costo]],tblCECO[codigo],tblCECO[linea],"(sin catálogo)"))</f>
        <v/>
      </c>
      <c r="V74" s="3">
        <f>IF(tblOrdenes[[#This Row],[centro_costo]]="","",_xlfn.XLOOKUP(tblOrdenes[[#This Row],[centro_costo]],tblCECO[codigo],tblCECO[area],"(sin catálogo)"))</f>
        <v/>
      </c>
      <c r="W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" s="3">
        <f>IF(tblOrdenes[[#This Row],[centro_costo]]="","",_xlfn.XLOOKUP(tblOrdenes[[#This Row],[centro_costo]],tblCECO[codigo],tblCECO[coordinador],"(sin catálogo)"))</f>
        <v/>
      </c>
      <c r="Y74" s="3">
        <f>IF(tblOrdenes[[#This Row],[puesto_trabajo]]="","",_xlfn.XLOOKUP(tblOrdenes[[#This Row],[puesto_trabajo]],tblPuestos[codigo],tblPuestos[especialidad],"(sin catálogo)"))</f>
        <v/>
      </c>
      <c r="Z74" s="3">
        <f>IF(tblOrdenes[[#This Row],[cod_actividad]]="","",_xlfn.XLOOKUP(tblOrdenes[[#This Row],[cod_actividad]],tblActividades[codigo],tblActividades[descripcion],"(sin catálogo)"))</f>
        <v/>
      </c>
      <c r="AA74" s="13">
        <f>IF(tblOrdenes[[#This Row],[fecha_inicio]]="","",TODAY()-tblOrdenes[[#This Row],[fecha_inicio]])</f>
        <v/>
      </c>
      <c r="AB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" s="3">
        <f>IF(tblOrdenes[[#This Row],[backlog_habiles]]="","",IF(tblOrdenes[[#This Row],[backlog_habiles]]&lt;0,"FUTURO",IF(tblOrdenes[[#This Row],[backlog_habiles]]&gt;p_dias_backlog_max,"BACKLOG","MES CORRIENTE")))</f>
        <v/>
      </c>
      <c r="AD74" s="3">
        <f>IF(tblOrdenes[[#This Row],[backlog_habiles]]="",FALSE,AND(tblOrdenes[[#This Row],[backlog_habiles]]&gt;p_dias_backlog_min,tblOrdenes[[#This Row],[backlog_habiles]]&lt;=p_dias_backlog_max))</f>
        <v/>
      </c>
      <c r="AE74" s="6" t="inlineStr">
        <is>
          <t>Técnico 08</t>
        </is>
      </c>
      <c r="AF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" s="11">
        <f>IF(tblOrdenes[[#This Row],[orden]]="","",_xlfn.XLOOKUP(tblOrdenes[[#This Row],[id_operacion]],tblEjecucion[id_operacion],tblEjecucion[precio],0))</f>
        <v/>
      </c>
      <c r="AJ74" s="11">
        <f>IF(tblOrdenes[[#This Row],[orden]]="","",MAX(0,_xlfn.XLOOKUP(tblOrdenes[[#This Row],[id_operacion]],tblEjecucion[id_operacion],tblEjecucion[costo_plan_total],0)-tblOrdenes[[#This Row],[costo_servicio]]))</f>
        <v/>
      </c>
      <c r="AK74" s="11">
        <f>IF(tblOrdenes[[#This Row],[orden]]="","",tblOrdenes[[#This Row],[costo_servicio]]+tblOrdenes[[#This Row],[costo_materiales]])</f>
        <v/>
      </c>
      <c r="AL74" s="6" t="inlineStr"/>
      <c r="AM74" s="6" t="inlineStr"/>
      <c r="AN74" s="6" t="inlineStr">
        <is>
          <t>ACT-04.pdf</t>
        </is>
      </c>
      <c r="AO74" s="3">
        <f>IF(tblOrdenes[[#This Row],[link_checklist]]="","",HYPERLINK(p_ruta_base_checklists&amp;tblOrdenes[[#This Row],[link_checklist]],"abrir"))</f>
        <v/>
      </c>
      <c r="AP74" s="6" t="inlineStr"/>
      <c r="AQ74" s="3">
        <f>IF(tblOrdenes[[#This Row],[orden]]="","",tblOrdenes[[#This Row],[orden]]&amp;IF(tblOrdenes[[#This Row],[operacion]]="","0010",tblOrdenes[[#This Row],[operacion]]))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2" t="n">
        <v>46238</v>
      </c>
      <c r="K75" s="3" t="n">
        <v>10</v>
      </c>
      <c r="L75" s="11" t="n">
        <v>250</v>
      </c>
      <c r="M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" s="3">
        <f>IF(tblOrdenes[[#This Row],[fecha_inicio]]="","",YEAR(tblOrdenes[[#This Row],[fecha_inicio]]))</f>
        <v/>
      </c>
      <c r="Q75" s="3">
        <f>IF(tblOrdenes[[#This Row],[fecha_inicio]]="","",MONTH(tblOrdenes[[#This Row],[fecha_inicio]]))</f>
        <v/>
      </c>
      <c r="R75" s="3">
        <f>IF(tblOrdenes[[#This Row],[fecha_inicio]]="","",INDEX(lista_dias,WEEKDAY(tblOrdenes[[#This Row],[fecha_inicio]],2)))</f>
        <v/>
      </c>
      <c r="S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" s="3">
        <f>IF(tblOrdenes[[#This Row],[tipo_ot]]="","",_xlfn.XLOOKUP(tblOrdenes[[#This Row],[tipo_ot]],tblTiposOT[codigo],tblTiposOT[clasificacion],"sin_clasificar"))</f>
        <v/>
      </c>
      <c r="U75" s="3">
        <f>IF(tblOrdenes[[#This Row],[centro_costo]]="","",_xlfn.XLOOKUP(tblOrdenes[[#This Row],[centro_costo]],tblCECO[codigo],tblCECO[linea],"(sin catálogo)"))</f>
        <v/>
      </c>
      <c r="V75" s="3">
        <f>IF(tblOrdenes[[#This Row],[centro_costo]]="","",_xlfn.XLOOKUP(tblOrdenes[[#This Row],[centro_costo]],tblCECO[codigo],tblCECO[area],"(sin catálogo)"))</f>
        <v/>
      </c>
      <c r="W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" s="3">
        <f>IF(tblOrdenes[[#This Row],[centro_costo]]="","",_xlfn.XLOOKUP(tblOrdenes[[#This Row],[centro_costo]],tblCECO[codigo],tblCECO[coordinador],"(sin catálogo)"))</f>
        <v/>
      </c>
      <c r="Y75" s="3">
        <f>IF(tblOrdenes[[#This Row],[puesto_trabajo]]="","",_xlfn.XLOOKUP(tblOrdenes[[#This Row],[puesto_trabajo]],tblPuestos[codigo],tblPuestos[especialidad],"(sin catálogo)"))</f>
        <v/>
      </c>
      <c r="Z75" s="3">
        <f>IF(tblOrdenes[[#This Row],[cod_actividad]]="","",_xlfn.XLOOKUP(tblOrdenes[[#This Row],[cod_actividad]],tblActividades[codigo],tblActividades[descripcion],"(sin catálogo)"))</f>
        <v/>
      </c>
      <c r="AA75" s="13">
        <f>IF(tblOrdenes[[#This Row],[fecha_inicio]]="","",TODAY()-tblOrdenes[[#This Row],[fecha_inicio]])</f>
        <v/>
      </c>
      <c r="AB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" s="3">
        <f>IF(tblOrdenes[[#This Row],[backlog_habiles]]="","",IF(tblOrdenes[[#This Row],[backlog_habiles]]&lt;0,"FUTURO",IF(tblOrdenes[[#This Row],[backlog_habiles]]&gt;p_dias_backlog_max,"BACKLOG","MES CORRIENTE")))</f>
        <v/>
      </c>
      <c r="AD75" s="3">
        <f>IF(tblOrdenes[[#This Row],[backlog_habiles]]="",FALSE,AND(tblOrdenes[[#This Row],[backlog_habiles]]&gt;p_dias_backlog_min,tblOrdenes[[#This Row],[backlog_habiles]]&lt;=p_dias_backlog_max))</f>
        <v/>
      </c>
      <c r="AE75" s="6" t="inlineStr"/>
      <c r="AF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" s="11">
        <f>IF(tblOrdenes[[#This Row],[orden]]="","",_xlfn.XLOOKUP(tblOrdenes[[#This Row],[id_operacion]],tblEjecucion[id_operacion],tblEjecucion[precio],0))</f>
        <v/>
      </c>
      <c r="AJ75" s="11">
        <f>IF(tblOrdenes[[#This Row],[orden]]="","",MAX(0,_xlfn.XLOOKUP(tblOrdenes[[#This Row],[id_operacion]],tblEjecucion[id_operacion],tblEjecucion[costo_plan_total],0)-tblOrdenes[[#This Row],[costo_servicio]]))</f>
        <v/>
      </c>
      <c r="AK75" s="11">
        <f>IF(tblOrdenes[[#This Row],[orden]]="","",tblOrdenes[[#This Row],[costo_servicio]]+tblOrdenes[[#This Row],[costo_materiales]])</f>
        <v/>
      </c>
      <c r="AL75" s="6" t="inlineStr"/>
      <c r="AM75" s="6" t="inlineStr"/>
      <c r="AN75" s="6" t="inlineStr">
        <is>
          <t>ACT-01.pdf</t>
        </is>
      </c>
      <c r="AO75" s="3">
        <f>IF(tblOrdenes[[#This Row],[link_checklist]]="","",HYPERLINK(p_ruta_base_checklists&amp;tblOrdenes[[#This Row],[link_checklist]],"abrir"))</f>
        <v/>
      </c>
      <c r="AP75" s="6" t="inlineStr"/>
      <c r="AQ75" s="3">
        <f>IF(tblOrdenes[[#This Row],[orden]]="","",tblOrdenes[[#This Row],[orden]]&amp;IF(tblOrdenes[[#This Row],[operacion]]="","0010",tblOrdenes[[#This Row],[operacion]]))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2" t="n">
        <v>46239</v>
      </c>
      <c r="K76" s="3" t="n">
        <v>8</v>
      </c>
      <c r="L76" s="11" t="n">
        <v>200</v>
      </c>
      <c r="M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" s="3">
        <f>IF(tblOrdenes[[#This Row],[fecha_inicio]]="","",YEAR(tblOrdenes[[#This Row],[fecha_inicio]]))</f>
        <v/>
      </c>
      <c r="Q76" s="3">
        <f>IF(tblOrdenes[[#This Row],[fecha_inicio]]="","",MONTH(tblOrdenes[[#This Row],[fecha_inicio]]))</f>
        <v/>
      </c>
      <c r="R76" s="3">
        <f>IF(tblOrdenes[[#This Row],[fecha_inicio]]="","",INDEX(lista_dias,WEEKDAY(tblOrdenes[[#This Row],[fecha_inicio]],2)))</f>
        <v/>
      </c>
      <c r="S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" s="3">
        <f>IF(tblOrdenes[[#This Row],[tipo_ot]]="","",_xlfn.XLOOKUP(tblOrdenes[[#This Row],[tipo_ot]],tblTiposOT[codigo],tblTiposOT[clasificacion],"sin_clasificar"))</f>
        <v/>
      </c>
      <c r="U76" s="3">
        <f>IF(tblOrdenes[[#This Row],[centro_costo]]="","",_xlfn.XLOOKUP(tblOrdenes[[#This Row],[centro_costo]],tblCECO[codigo],tblCECO[linea],"(sin catálogo)"))</f>
        <v/>
      </c>
      <c r="V76" s="3">
        <f>IF(tblOrdenes[[#This Row],[centro_costo]]="","",_xlfn.XLOOKUP(tblOrdenes[[#This Row],[centro_costo]],tblCECO[codigo],tblCECO[area],"(sin catálogo)"))</f>
        <v/>
      </c>
      <c r="W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" s="3">
        <f>IF(tblOrdenes[[#This Row],[centro_costo]]="","",_xlfn.XLOOKUP(tblOrdenes[[#This Row],[centro_costo]],tblCECO[codigo],tblCECO[coordinador],"(sin catálogo)"))</f>
        <v/>
      </c>
      <c r="Y76" s="3">
        <f>IF(tblOrdenes[[#This Row],[puesto_trabajo]]="","",_xlfn.XLOOKUP(tblOrdenes[[#This Row],[puesto_trabajo]],tblPuestos[codigo],tblPuestos[especialidad],"(sin catálogo)"))</f>
        <v/>
      </c>
      <c r="Z76" s="3">
        <f>IF(tblOrdenes[[#This Row],[cod_actividad]]="","",_xlfn.XLOOKUP(tblOrdenes[[#This Row],[cod_actividad]],tblActividades[codigo],tblActividades[descripcion],"(sin catálogo)"))</f>
        <v/>
      </c>
      <c r="AA76" s="13">
        <f>IF(tblOrdenes[[#This Row],[fecha_inicio]]="","",TODAY()-tblOrdenes[[#This Row],[fecha_inicio]])</f>
        <v/>
      </c>
      <c r="AB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" s="3">
        <f>IF(tblOrdenes[[#This Row],[backlog_habiles]]="","",IF(tblOrdenes[[#This Row],[backlog_habiles]]&lt;0,"FUTURO",IF(tblOrdenes[[#This Row],[backlog_habiles]]&gt;p_dias_backlog_max,"BACKLOG","MES CORRIENTE")))</f>
        <v/>
      </c>
      <c r="AD76" s="3">
        <f>IF(tblOrdenes[[#This Row],[backlog_habiles]]="",FALSE,AND(tblOrdenes[[#This Row],[backlog_habiles]]&gt;p_dias_backlog_min,tblOrdenes[[#This Row],[backlog_habiles]]&lt;=p_dias_backlog_max))</f>
        <v/>
      </c>
      <c r="AE76" s="6" t="inlineStr">
        <is>
          <t>Técnico 10</t>
        </is>
      </c>
      <c r="AF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" s="11">
        <f>IF(tblOrdenes[[#This Row],[orden]]="","",_xlfn.XLOOKUP(tblOrdenes[[#This Row],[id_operacion]],tblEjecucion[id_operacion],tblEjecucion[precio],0))</f>
        <v/>
      </c>
      <c r="AJ76" s="11">
        <f>IF(tblOrdenes[[#This Row],[orden]]="","",MAX(0,_xlfn.XLOOKUP(tblOrdenes[[#This Row],[id_operacion]],tblEjecucion[id_operacion],tblEjecucion[costo_plan_total],0)-tblOrdenes[[#This Row],[costo_servicio]]))</f>
        <v/>
      </c>
      <c r="AK76" s="11">
        <f>IF(tblOrdenes[[#This Row],[orden]]="","",tblOrdenes[[#This Row],[costo_servicio]]+tblOrdenes[[#This Row],[costo_materiales]])</f>
        <v/>
      </c>
      <c r="AL76" s="6" t="inlineStr"/>
      <c r="AM76" s="6" t="inlineStr"/>
      <c r="AN76" s="6" t="inlineStr">
        <is>
          <t>ACT-02.pdf</t>
        </is>
      </c>
      <c r="AO76" s="3">
        <f>IF(tblOrdenes[[#This Row],[link_checklist]]="","",HYPERLINK(p_ruta_base_checklists&amp;tblOrdenes[[#This Row],[link_checklist]],"abrir"))</f>
        <v/>
      </c>
      <c r="AP76" s="6" t="inlineStr"/>
      <c r="AQ76" s="3">
        <f>IF(tblOrdenes[[#This Row],[orden]]="","",tblOrdenes[[#This Row],[orden]]&amp;IF(tblOrdenes[[#This Row],[operacion]]="","0010",tblOrdenes[[#This Row],[operacion]]))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2" t="n">
        <v>46240</v>
      </c>
      <c r="K77" s="3" t="n">
        <v>6</v>
      </c>
      <c r="L77" s="11" t="n">
        <v>150</v>
      </c>
      <c r="M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" s="3">
        <f>IF(tblOrdenes[[#This Row],[fecha_inicio]]="","",YEAR(tblOrdenes[[#This Row],[fecha_inicio]]))</f>
        <v/>
      </c>
      <c r="Q77" s="3">
        <f>IF(tblOrdenes[[#This Row],[fecha_inicio]]="","",MONTH(tblOrdenes[[#This Row],[fecha_inicio]]))</f>
        <v/>
      </c>
      <c r="R77" s="3">
        <f>IF(tblOrdenes[[#This Row],[fecha_inicio]]="","",INDEX(lista_dias,WEEKDAY(tblOrdenes[[#This Row],[fecha_inicio]],2)))</f>
        <v/>
      </c>
      <c r="S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" s="3">
        <f>IF(tblOrdenes[[#This Row],[tipo_ot]]="","",_xlfn.XLOOKUP(tblOrdenes[[#This Row],[tipo_ot]],tblTiposOT[codigo],tblTiposOT[clasificacion],"sin_clasificar"))</f>
        <v/>
      </c>
      <c r="U77" s="3">
        <f>IF(tblOrdenes[[#This Row],[centro_costo]]="","",_xlfn.XLOOKUP(tblOrdenes[[#This Row],[centro_costo]],tblCECO[codigo],tblCECO[linea],"(sin catálogo)"))</f>
        <v/>
      </c>
      <c r="V77" s="3">
        <f>IF(tblOrdenes[[#This Row],[centro_costo]]="","",_xlfn.XLOOKUP(tblOrdenes[[#This Row],[centro_costo]],tblCECO[codigo],tblCECO[area],"(sin catálogo)"))</f>
        <v/>
      </c>
      <c r="W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" s="3">
        <f>IF(tblOrdenes[[#This Row],[centro_costo]]="","",_xlfn.XLOOKUP(tblOrdenes[[#This Row],[centro_costo]],tblCECO[codigo],tblCECO[coordinador],"(sin catálogo)"))</f>
        <v/>
      </c>
      <c r="Y77" s="3">
        <f>IF(tblOrdenes[[#This Row],[puesto_trabajo]]="","",_xlfn.XLOOKUP(tblOrdenes[[#This Row],[puesto_trabajo]],tblPuestos[codigo],tblPuestos[especialidad],"(sin catálogo)"))</f>
        <v/>
      </c>
      <c r="Z77" s="3">
        <f>IF(tblOrdenes[[#This Row],[cod_actividad]]="","",_xlfn.XLOOKUP(tblOrdenes[[#This Row],[cod_actividad]],tblActividades[codigo],tblActividades[descripcion],"(sin catálogo)"))</f>
        <v/>
      </c>
      <c r="AA77" s="13">
        <f>IF(tblOrdenes[[#This Row],[fecha_inicio]]="","",TODAY()-tblOrdenes[[#This Row],[fecha_inicio]])</f>
        <v/>
      </c>
      <c r="AB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" s="3">
        <f>IF(tblOrdenes[[#This Row],[backlog_habiles]]="","",IF(tblOrdenes[[#This Row],[backlog_habiles]]&lt;0,"FUTURO",IF(tblOrdenes[[#This Row],[backlog_habiles]]&gt;p_dias_backlog_max,"BACKLOG","MES CORRIENTE")))</f>
        <v/>
      </c>
      <c r="AD77" s="3">
        <f>IF(tblOrdenes[[#This Row],[backlog_habiles]]="",FALSE,AND(tblOrdenes[[#This Row],[backlog_habiles]]&gt;p_dias_backlog_min,tblOrdenes[[#This Row],[backlog_habiles]]&lt;=p_dias_backlog_max))</f>
        <v/>
      </c>
      <c r="AE77" s="6" t="inlineStr">
        <is>
          <t>Técnico 11</t>
        </is>
      </c>
      <c r="AF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" s="11">
        <f>IF(tblOrdenes[[#This Row],[orden]]="","",_xlfn.XLOOKUP(tblOrdenes[[#This Row],[id_operacion]],tblEjecucion[id_operacion],tblEjecucion[precio],0))</f>
        <v/>
      </c>
      <c r="AJ77" s="11">
        <f>IF(tblOrdenes[[#This Row],[orden]]="","",MAX(0,_xlfn.XLOOKUP(tblOrdenes[[#This Row],[id_operacion]],tblEjecucion[id_operacion],tblEjecucion[costo_plan_total],0)-tblOrdenes[[#This Row],[costo_servicio]]))</f>
        <v/>
      </c>
      <c r="AK77" s="11">
        <f>IF(tblOrdenes[[#This Row],[orden]]="","",tblOrdenes[[#This Row],[costo_servicio]]+tblOrdenes[[#This Row],[costo_materiales]])</f>
        <v/>
      </c>
      <c r="AL77" s="6" t="inlineStr"/>
      <c r="AM77" s="6" t="inlineStr"/>
      <c r="AN77" s="6" t="inlineStr">
        <is>
          <t>ACT-04.pdf</t>
        </is>
      </c>
      <c r="AO77" s="3">
        <f>IF(tblOrdenes[[#This Row],[link_checklist]]="","",HYPERLINK(p_ruta_base_checklists&amp;tblOrdenes[[#This Row],[link_checklist]],"abrir"))</f>
        <v/>
      </c>
      <c r="AP77" s="6" t="inlineStr"/>
      <c r="AQ77" s="3">
        <f>IF(tblOrdenes[[#This Row],[orden]]="","",tblOrdenes[[#This Row],[orden]]&amp;IF(tblOrdenes[[#This Row],[operacion]]="","0010",tblOrdenes[[#This Row],[operacion]]))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2" t="n">
        <v>46241</v>
      </c>
      <c r="K78" s="3" t="n">
        <v>10</v>
      </c>
      <c r="L78" s="11" t="n">
        <v>250</v>
      </c>
      <c r="M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" s="3">
        <f>IF(tblOrdenes[[#This Row],[fecha_inicio]]="","",YEAR(tblOrdenes[[#This Row],[fecha_inicio]]))</f>
        <v/>
      </c>
      <c r="Q78" s="3">
        <f>IF(tblOrdenes[[#This Row],[fecha_inicio]]="","",MONTH(tblOrdenes[[#This Row],[fecha_inicio]]))</f>
        <v/>
      </c>
      <c r="R78" s="3">
        <f>IF(tblOrdenes[[#This Row],[fecha_inicio]]="","",INDEX(lista_dias,WEEKDAY(tblOrdenes[[#This Row],[fecha_inicio]],2)))</f>
        <v/>
      </c>
      <c r="S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" s="3">
        <f>IF(tblOrdenes[[#This Row],[tipo_ot]]="","",_xlfn.XLOOKUP(tblOrdenes[[#This Row],[tipo_ot]],tblTiposOT[codigo],tblTiposOT[clasificacion],"sin_clasificar"))</f>
        <v/>
      </c>
      <c r="U78" s="3">
        <f>IF(tblOrdenes[[#This Row],[centro_costo]]="","",_xlfn.XLOOKUP(tblOrdenes[[#This Row],[centro_costo]],tblCECO[codigo],tblCECO[linea],"(sin catálogo)"))</f>
        <v/>
      </c>
      <c r="V78" s="3">
        <f>IF(tblOrdenes[[#This Row],[centro_costo]]="","",_xlfn.XLOOKUP(tblOrdenes[[#This Row],[centro_costo]],tblCECO[codigo],tblCECO[area],"(sin catálogo)"))</f>
        <v/>
      </c>
      <c r="W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" s="3">
        <f>IF(tblOrdenes[[#This Row],[centro_costo]]="","",_xlfn.XLOOKUP(tblOrdenes[[#This Row],[centro_costo]],tblCECO[codigo],tblCECO[coordinador],"(sin catálogo)"))</f>
        <v/>
      </c>
      <c r="Y78" s="3">
        <f>IF(tblOrdenes[[#This Row],[puesto_trabajo]]="","",_xlfn.XLOOKUP(tblOrdenes[[#This Row],[puesto_trabajo]],tblPuestos[codigo],tblPuestos[especialidad],"(sin catálogo)"))</f>
        <v/>
      </c>
      <c r="Z78" s="3">
        <f>IF(tblOrdenes[[#This Row],[cod_actividad]]="","",_xlfn.XLOOKUP(tblOrdenes[[#This Row],[cod_actividad]],tblActividades[codigo],tblActividades[descripcion],"(sin catálogo)"))</f>
        <v/>
      </c>
      <c r="AA78" s="13">
        <f>IF(tblOrdenes[[#This Row],[fecha_inicio]]="","",TODAY()-tblOrdenes[[#This Row],[fecha_inicio]])</f>
        <v/>
      </c>
      <c r="AB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" s="3">
        <f>IF(tblOrdenes[[#This Row],[backlog_habiles]]="","",IF(tblOrdenes[[#This Row],[backlog_habiles]]&lt;0,"FUTURO",IF(tblOrdenes[[#This Row],[backlog_habiles]]&gt;p_dias_backlog_max,"BACKLOG","MES CORRIENTE")))</f>
        <v/>
      </c>
      <c r="AD78" s="3">
        <f>IF(tblOrdenes[[#This Row],[backlog_habiles]]="",FALSE,AND(tblOrdenes[[#This Row],[backlog_habiles]]&gt;p_dias_backlog_min,tblOrdenes[[#This Row],[backlog_habiles]]&lt;=p_dias_backlog_max))</f>
        <v/>
      </c>
      <c r="AE78" s="6" t="inlineStr">
        <is>
          <t>Técnico 12</t>
        </is>
      </c>
      <c r="AF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" s="11">
        <f>IF(tblOrdenes[[#This Row],[orden]]="","",_xlfn.XLOOKUP(tblOrdenes[[#This Row],[id_operacion]],tblEjecucion[id_operacion],tblEjecucion[precio],0))</f>
        <v/>
      </c>
      <c r="AJ78" s="11">
        <f>IF(tblOrdenes[[#This Row],[orden]]="","",MAX(0,_xlfn.XLOOKUP(tblOrdenes[[#This Row],[id_operacion]],tblEjecucion[id_operacion],tblEjecucion[costo_plan_total],0)-tblOrdenes[[#This Row],[costo_servicio]]))</f>
        <v/>
      </c>
      <c r="AK78" s="11">
        <f>IF(tblOrdenes[[#This Row],[orden]]="","",tblOrdenes[[#This Row],[costo_servicio]]+tblOrdenes[[#This Row],[costo_materiales]])</f>
        <v/>
      </c>
      <c r="AL78" s="6" t="inlineStr"/>
      <c r="AM78" s="6" t="inlineStr"/>
      <c r="AN78" s="6" t="inlineStr">
        <is>
          <t>ACT-01.pdf</t>
        </is>
      </c>
      <c r="AO78" s="3">
        <f>IF(tblOrdenes[[#This Row],[link_checklist]]="","",HYPERLINK(p_ruta_base_checklists&amp;tblOrdenes[[#This Row],[link_checklist]],"abrir"))</f>
        <v/>
      </c>
      <c r="AP78" s="6" t="inlineStr"/>
      <c r="AQ78" s="3">
        <f>IF(tblOrdenes[[#This Row],[orden]]="","",tblOrdenes[[#This Row],[orden]]&amp;IF(tblOrdenes[[#This Row],[operacion]]="","0010",tblOrdenes[[#This Row],[operacion]]))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2" t="n">
        <v>46237</v>
      </c>
      <c r="K79" s="3" t="n">
        <v>2</v>
      </c>
      <c r="L79" s="11" t="n">
        <v>50</v>
      </c>
      <c r="M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" s="3">
        <f>IF(tblOrdenes[[#This Row],[fecha_inicio]]="","",YEAR(tblOrdenes[[#This Row],[fecha_inicio]]))</f>
        <v/>
      </c>
      <c r="Q79" s="3">
        <f>IF(tblOrdenes[[#This Row],[fecha_inicio]]="","",MONTH(tblOrdenes[[#This Row],[fecha_inicio]]))</f>
        <v/>
      </c>
      <c r="R79" s="3">
        <f>IF(tblOrdenes[[#This Row],[fecha_inicio]]="","",INDEX(lista_dias,WEEKDAY(tblOrdenes[[#This Row],[fecha_inicio]],2)))</f>
        <v/>
      </c>
      <c r="S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" s="3">
        <f>IF(tblOrdenes[[#This Row],[tipo_ot]]="","",_xlfn.XLOOKUP(tblOrdenes[[#This Row],[tipo_ot]],tblTiposOT[codigo],tblTiposOT[clasificacion],"sin_clasificar"))</f>
        <v/>
      </c>
      <c r="U79" s="3">
        <f>IF(tblOrdenes[[#This Row],[centro_costo]]="","",_xlfn.XLOOKUP(tblOrdenes[[#This Row],[centro_costo]],tblCECO[codigo],tblCECO[linea],"(sin catálogo)"))</f>
        <v/>
      </c>
      <c r="V79" s="3">
        <f>IF(tblOrdenes[[#This Row],[centro_costo]]="","",_xlfn.XLOOKUP(tblOrdenes[[#This Row],[centro_costo]],tblCECO[codigo],tblCECO[area],"(sin catálogo)"))</f>
        <v/>
      </c>
      <c r="W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" s="3">
        <f>IF(tblOrdenes[[#This Row],[centro_costo]]="","",_xlfn.XLOOKUP(tblOrdenes[[#This Row],[centro_costo]],tblCECO[codigo],tblCECO[coordinador],"(sin catálogo)"))</f>
        <v/>
      </c>
      <c r="Y79" s="3">
        <f>IF(tblOrdenes[[#This Row],[puesto_trabajo]]="","",_xlfn.XLOOKUP(tblOrdenes[[#This Row],[puesto_trabajo]],tblPuestos[codigo],tblPuestos[especialidad],"(sin catálogo)"))</f>
        <v/>
      </c>
      <c r="Z79" s="3">
        <f>IF(tblOrdenes[[#This Row],[cod_actividad]]="","",_xlfn.XLOOKUP(tblOrdenes[[#This Row],[cod_actividad]],tblActividades[codigo],tblActividades[descripcion],"(sin catálogo)"))</f>
        <v/>
      </c>
      <c r="AA79" s="13">
        <f>IF(tblOrdenes[[#This Row],[fecha_inicio]]="","",TODAY()-tblOrdenes[[#This Row],[fecha_inicio]])</f>
        <v/>
      </c>
      <c r="AB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" s="3">
        <f>IF(tblOrdenes[[#This Row],[backlog_habiles]]="","",IF(tblOrdenes[[#This Row],[backlog_habiles]]&lt;0,"FUTURO",IF(tblOrdenes[[#This Row],[backlog_habiles]]&gt;p_dias_backlog_max,"BACKLOG","MES CORRIENTE")))</f>
        <v/>
      </c>
      <c r="AD79" s="3">
        <f>IF(tblOrdenes[[#This Row],[backlog_habiles]]="",FALSE,AND(tblOrdenes[[#This Row],[backlog_habiles]]&gt;p_dias_backlog_min,tblOrdenes[[#This Row],[backlog_habiles]]&lt;=p_dias_backlog_max))</f>
        <v/>
      </c>
      <c r="AE79" s="6" t="inlineStr">
        <is>
          <t>Técnico 13</t>
        </is>
      </c>
      <c r="AF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" s="11">
        <f>IF(tblOrdenes[[#This Row],[orden]]="","",_xlfn.XLOOKUP(tblOrdenes[[#This Row],[id_operacion]],tblEjecucion[id_operacion],tblEjecucion[precio],0))</f>
        <v/>
      </c>
      <c r="AJ79" s="11">
        <f>IF(tblOrdenes[[#This Row],[orden]]="","",MAX(0,_xlfn.XLOOKUP(tblOrdenes[[#This Row],[id_operacion]],tblEjecucion[id_operacion],tblEjecucion[costo_plan_total],0)-tblOrdenes[[#This Row],[costo_servicio]]))</f>
        <v/>
      </c>
      <c r="AK79" s="11">
        <f>IF(tblOrdenes[[#This Row],[orden]]="","",tblOrdenes[[#This Row],[costo_servicio]]+tblOrdenes[[#This Row],[costo_materiales]])</f>
        <v/>
      </c>
      <c r="AL79" s="6" t="inlineStr"/>
      <c r="AM79" s="6" t="inlineStr"/>
      <c r="AN79" s="6" t="inlineStr">
        <is>
          <t>ACT-02.pdf</t>
        </is>
      </c>
      <c r="AO79" s="3">
        <f>IF(tblOrdenes[[#This Row],[link_checklist]]="","",HYPERLINK(p_ruta_base_checklists&amp;tblOrdenes[[#This Row],[link_checklist]],"abrir"))</f>
        <v/>
      </c>
      <c r="AP79" s="6" t="inlineStr"/>
      <c r="AQ79" s="3">
        <f>IF(tblOrdenes[[#This Row],[orden]]="","",tblOrdenes[[#This Row],[orden]]&amp;IF(tblOrdenes[[#This Row],[operacion]]="","0010",tblOrdenes[[#This Row],[operacion]]))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2" t="n">
        <v>46238</v>
      </c>
      <c r="K80" s="3" t="n">
        <v>10</v>
      </c>
      <c r="L80" s="11" t="n">
        <v>400</v>
      </c>
      <c r="M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" s="3">
        <f>IF(tblOrdenes[[#This Row],[fecha_inicio]]="","",YEAR(tblOrdenes[[#This Row],[fecha_inicio]]))</f>
        <v/>
      </c>
      <c r="Q80" s="3">
        <f>IF(tblOrdenes[[#This Row],[fecha_inicio]]="","",MONTH(tblOrdenes[[#This Row],[fecha_inicio]]))</f>
        <v/>
      </c>
      <c r="R80" s="3">
        <f>IF(tblOrdenes[[#This Row],[fecha_inicio]]="","",INDEX(lista_dias,WEEKDAY(tblOrdenes[[#This Row],[fecha_inicio]],2)))</f>
        <v/>
      </c>
      <c r="S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" s="3">
        <f>IF(tblOrdenes[[#This Row],[tipo_ot]]="","",_xlfn.XLOOKUP(tblOrdenes[[#This Row],[tipo_ot]],tblTiposOT[codigo],tblTiposOT[clasificacion],"sin_clasificar"))</f>
        <v/>
      </c>
      <c r="U80" s="3">
        <f>IF(tblOrdenes[[#This Row],[centro_costo]]="","",_xlfn.XLOOKUP(tblOrdenes[[#This Row],[centro_costo]],tblCECO[codigo],tblCECO[linea],"(sin catálogo)"))</f>
        <v/>
      </c>
      <c r="V80" s="3">
        <f>IF(tblOrdenes[[#This Row],[centro_costo]]="","",_xlfn.XLOOKUP(tblOrdenes[[#This Row],[centro_costo]],tblCECO[codigo],tblCECO[area],"(sin catálogo)"))</f>
        <v/>
      </c>
      <c r="W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" s="3">
        <f>IF(tblOrdenes[[#This Row],[centro_costo]]="","",_xlfn.XLOOKUP(tblOrdenes[[#This Row],[centro_costo]],tblCECO[codigo],tblCECO[coordinador],"(sin catálogo)"))</f>
        <v/>
      </c>
      <c r="Y80" s="3">
        <f>IF(tblOrdenes[[#This Row],[puesto_trabajo]]="","",_xlfn.XLOOKUP(tblOrdenes[[#This Row],[puesto_trabajo]],tblPuestos[codigo],tblPuestos[especialidad],"(sin catálogo)"))</f>
        <v/>
      </c>
      <c r="Z80" s="3">
        <f>IF(tblOrdenes[[#This Row],[cod_actividad]]="","",_xlfn.XLOOKUP(tblOrdenes[[#This Row],[cod_actividad]],tblActividades[codigo],tblActividades[descripcion],"(sin catálogo)"))</f>
        <v/>
      </c>
      <c r="AA80" s="13">
        <f>IF(tblOrdenes[[#This Row],[fecha_inicio]]="","",TODAY()-tblOrdenes[[#This Row],[fecha_inicio]])</f>
        <v/>
      </c>
      <c r="AB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" s="3">
        <f>IF(tblOrdenes[[#This Row],[backlog_habiles]]="","",IF(tblOrdenes[[#This Row],[backlog_habiles]]&lt;0,"FUTURO",IF(tblOrdenes[[#This Row],[backlog_habiles]]&gt;p_dias_backlog_max,"BACKLOG","MES CORRIENTE")))</f>
        <v/>
      </c>
      <c r="AD80" s="3">
        <f>IF(tblOrdenes[[#This Row],[backlog_habiles]]="",FALSE,AND(tblOrdenes[[#This Row],[backlog_habiles]]&gt;p_dias_backlog_min,tblOrdenes[[#This Row],[backlog_habiles]]&lt;=p_dias_backlog_max))</f>
        <v/>
      </c>
      <c r="AE80" s="6" t="inlineStr">
        <is>
          <t>Técnico 14</t>
        </is>
      </c>
      <c r="AF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" s="11">
        <f>IF(tblOrdenes[[#This Row],[orden]]="","",_xlfn.XLOOKUP(tblOrdenes[[#This Row],[id_operacion]],tblEjecucion[id_operacion],tblEjecucion[precio],0))</f>
        <v/>
      </c>
      <c r="AJ80" s="11">
        <f>IF(tblOrdenes[[#This Row],[orden]]="","",MAX(0,_xlfn.XLOOKUP(tblOrdenes[[#This Row],[id_operacion]],tblEjecucion[id_operacion],tblEjecucion[costo_plan_total],0)-tblOrdenes[[#This Row],[costo_servicio]]))</f>
        <v/>
      </c>
      <c r="AK80" s="11">
        <f>IF(tblOrdenes[[#This Row],[orden]]="","",tblOrdenes[[#This Row],[costo_servicio]]+tblOrdenes[[#This Row],[costo_materiales]])</f>
        <v/>
      </c>
      <c r="AL80" s="6" t="inlineStr"/>
      <c r="AM80" s="6" t="inlineStr"/>
      <c r="AN80" s="6" t="inlineStr"/>
      <c r="AO80" s="3">
        <f>IF(tblOrdenes[[#This Row],[link_checklist]]="","",HYPERLINK(p_ruta_base_checklists&amp;tblOrdenes[[#This Row],[link_checklist]],"abrir"))</f>
        <v/>
      </c>
      <c r="AP80" s="6" t="inlineStr"/>
      <c r="AQ80" s="3">
        <f>IF(tblOrdenes[[#This Row],[orden]]="","",tblOrdenes[[#This Row],[orden]]&amp;IF(tblOrdenes[[#This Row],[operacion]]="","0010",tblOrdenes[[#This Row],[operacion]]))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2" t="n">
        <v>46246</v>
      </c>
      <c r="K81" s="3" t="n">
        <v>10</v>
      </c>
      <c r="L81" s="11" t="n">
        <v>250</v>
      </c>
      <c r="M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" s="3">
        <f>IF(tblOrdenes[[#This Row],[fecha_inicio]]="","",YEAR(tblOrdenes[[#This Row],[fecha_inicio]]))</f>
        <v/>
      </c>
      <c r="Q81" s="3">
        <f>IF(tblOrdenes[[#This Row],[fecha_inicio]]="","",MONTH(tblOrdenes[[#This Row],[fecha_inicio]]))</f>
        <v/>
      </c>
      <c r="R81" s="3">
        <f>IF(tblOrdenes[[#This Row],[fecha_inicio]]="","",INDEX(lista_dias,WEEKDAY(tblOrdenes[[#This Row],[fecha_inicio]],2)))</f>
        <v/>
      </c>
      <c r="S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" s="3">
        <f>IF(tblOrdenes[[#This Row],[tipo_ot]]="","",_xlfn.XLOOKUP(tblOrdenes[[#This Row],[tipo_ot]],tblTiposOT[codigo],tblTiposOT[clasificacion],"sin_clasificar"))</f>
        <v/>
      </c>
      <c r="U81" s="3">
        <f>IF(tblOrdenes[[#This Row],[centro_costo]]="","",_xlfn.XLOOKUP(tblOrdenes[[#This Row],[centro_costo]],tblCECO[codigo],tblCECO[linea],"(sin catálogo)"))</f>
        <v/>
      </c>
      <c r="V81" s="3">
        <f>IF(tblOrdenes[[#This Row],[centro_costo]]="","",_xlfn.XLOOKUP(tblOrdenes[[#This Row],[centro_costo]],tblCECO[codigo],tblCECO[area],"(sin catálogo)"))</f>
        <v/>
      </c>
      <c r="W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" s="3">
        <f>IF(tblOrdenes[[#This Row],[centro_costo]]="","",_xlfn.XLOOKUP(tblOrdenes[[#This Row],[centro_costo]],tblCECO[codigo],tblCECO[coordinador],"(sin catálogo)"))</f>
        <v/>
      </c>
      <c r="Y81" s="3">
        <f>IF(tblOrdenes[[#This Row],[puesto_trabajo]]="","",_xlfn.XLOOKUP(tblOrdenes[[#This Row],[puesto_trabajo]],tblPuestos[codigo],tblPuestos[especialidad],"(sin catálogo)"))</f>
        <v/>
      </c>
      <c r="Z81" s="3">
        <f>IF(tblOrdenes[[#This Row],[cod_actividad]]="","",_xlfn.XLOOKUP(tblOrdenes[[#This Row],[cod_actividad]],tblActividades[codigo],tblActividades[descripcion],"(sin catálogo)"))</f>
        <v/>
      </c>
      <c r="AA81" s="13">
        <f>IF(tblOrdenes[[#This Row],[fecha_inicio]]="","",TODAY()-tblOrdenes[[#This Row],[fecha_inicio]])</f>
        <v/>
      </c>
      <c r="AB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" s="3">
        <f>IF(tblOrdenes[[#This Row],[backlog_habiles]]="","",IF(tblOrdenes[[#This Row],[backlog_habiles]]&lt;0,"FUTURO",IF(tblOrdenes[[#This Row],[backlog_habiles]]&gt;p_dias_backlog_max,"BACKLOG","MES CORRIENTE")))</f>
        <v/>
      </c>
      <c r="AD81" s="3">
        <f>IF(tblOrdenes[[#This Row],[backlog_habiles]]="",FALSE,AND(tblOrdenes[[#This Row],[backlog_habiles]]&gt;p_dias_backlog_min,tblOrdenes[[#This Row],[backlog_habiles]]&lt;=p_dias_backlog_max))</f>
        <v/>
      </c>
      <c r="AE81" s="6" t="inlineStr">
        <is>
          <t>Técnico 08</t>
        </is>
      </c>
      <c r="AF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" s="11">
        <f>IF(tblOrdenes[[#This Row],[orden]]="","",_xlfn.XLOOKUP(tblOrdenes[[#This Row],[id_operacion]],tblEjecucion[id_operacion],tblEjecucion[precio],0))</f>
        <v/>
      </c>
      <c r="AJ81" s="11">
        <f>IF(tblOrdenes[[#This Row],[orden]]="","",MAX(0,_xlfn.XLOOKUP(tblOrdenes[[#This Row],[id_operacion]],tblEjecucion[id_operacion],tblEjecucion[costo_plan_total],0)-tblOrdenes[[#This Row],[costo_servicio]]))</f>
        <v/>
      </c>
      <c r="AK81" s="11">
        <f>IF(tblOrdenes[[#This Row],[orden]]="","",tblOrdenes[[#This Row],[costo_servicio]]+tblOrdenes[[#This Row],[costo_materiales]])</f>
        <v/>
      </c>
      <c r="AL81" s="6" t="inlineStr"/>
      <c r="AM81" s="6" t="inlineStr"/>
      <c r="AN81" s="6" t="inlineStr">
        <is>
          <t>ACT-01.pdf</t>
        </is>
      </c>
      <c r="AO81" s="3">
        <f>IF(tblOrdenes[[#This Row],[link_checklist]]="","",HYPERLINK(p_ruta_base_checklists&amp;tblOrdenes[[#This Row],[link_checklist]],"abrir"))</f>
        <v/>
      </c>
      <c r="AP81" s="6" t="inlineStr"/>
      <c r="AQ81" s="3">
        <f>IF(tblOrdenes[[#This Row],[orden]]="","",tblOrdenes[[#This Row],[orden]]&amp;IF(tblOrdenes[[#This Row],[operacion]]="","0010",tblOrdenes[[#This Row],[operacion]]))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2" t="n">
        <v>46247</v>
      </c>
      <c r="K82" s="3" t="n">
        <v>8</v>
      </c>
      <c r="L82" s="11" t="n">
        <v>200</v>
      </c>
      <c r="M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" s="3">
        <f>IF(tblOrdenes[[#This Row],[fecha_inicio]]="","",YEAR(tblOrdenes[[#This Row],[fecha_inicio]]))</f>
        <v/>
      </c>
      <c r="Q82" s="3">
        <f>IF(tblOrdenes[[#This Row],[fecha_inicio]]="","",MONTH(tblOrdenes[[#This Row],[fecha_inicio]]))</f>
        <v/>
      </c>
      <c r="R82" s="3">
        <f>IF(tblOrdenes[[#This Row],[fecha_inicio]]="","",INDEX(lista_dias,WEEKDAY(tblOrdenes[[#This Row],[fecha_inicio]],2)))</f>
        <v/>
      </c>
      <c r="S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" s="3">
        <f>IF(tblOrdenes[[#This Row],[tipo_ot]]="","",_xlfn.XLOOKUP(tblOrdenes[[#This Row],[tipo_ot]],tblTiposOT[codigo],tblTiposOT[clasificacion],"sin_clasificar"))</f>
        <v/>
      </c>
      <c r="U82" s="3">
        <f>IF(tblOrdenes[[#This Row],[centro_costo]]="","",_xlfn.XLOOKUP(tblOrdenes[[#This Row],[centro_costo]],tblCECO[codigo],tblCECO[linea],"(sin catálogo)"))</f>
        <v/>
      </c>
      <c r="V82" s="3">
        <f>IF(tblOrdenes[[#This Row],[centro_costo]]="","",_xlfn.XLOOKUP(tblOrdenes[[#This Row],[centro_costo]],tblCECO[codigo],tblCECO[area],"(sin catálogo)"))</f>
        <v/>
      </c>
      <c r="W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" s="3">
        <f>IF(tblOrdenes[[#This Row],[centro_costo]]="","",_xlfn.XLOOKUP(tblOrdenes[[#This Row],[centro_costo]],tblCECO[codigo],tblCECO[coordinador],"(sin catálogo)"))</f>
        <v/>
      </c>
      <c r="Y82" s="3">
        <f>IF(tblOrdenes[[#This Row],[puesto_trabajo]]="","",_xlfn.XLOOKUP(tblOrdenes[[#This Row],[puesto_trabajo]],tblPuestos[codigo],tblPuestos[especialidad],"(sin catálogo)"))</f>
        <v/>
      </c>
      <c r="Z82" s="3">
        <f>IF(tblOrdenes[[#This Row],[cod_actividad]]="","",_xlfn.XLOOKUP(tblOrdenes[[#This Row],[cod_actividad]],tblActividades[codigo],tblActividades[descripcion],"(sin catálogo)"))</f>
        <v/>
      </c>
      <c r="AA82" s="13">
        <f>IF(tblOrdenes[[#This Row],[fecha_inicio]]="","",TODAY()-tblOrdenes[[#This Row],[fecha_inicio]])</f>
        <v/>
      </c>
      <c r="AB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" s="3">
        <f>IF(tblOrdenes[[#This Row],[backlog_habiles]]="","",IF(tblOrdenes[[#This Row],[backlog_habiles]]&lt;0,"FUTURO",IF(tblOrdenes[[#This Row],[backlog_habiles]]&gt;p_dias_backlog_max,"BACKLOG","MES CORRIENTE")))</f>
        <v/>
      </c>
      <c r="AD82" s="3">
        <f>IF(tblOrdenes[[#This Row],[backlog_habiles]]="",FALSE,AND(tblOrdenes[[#This Row],[backlog_habiles]]&gt;p_dias_backlog_min,tblOrdenes[[#This Row],[backlog_habiles]]&lt;=p_dias_backlog_max))</f>
        <v/>
      </c>
      <c r="AE82" s="6" t="inlineStr">
        <is>
          <t>Técnico 09</t>
        </is>
      </c>
      <c r="AF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" s="11">
        <f>IF(tblOrdenes[[#This Row],[orden]]="","",_xlfn.XLOOKUP(tblOrdenes[[#This Row],[id_operacion]],tblEjecucion[id_operacion],tblEjecucion[precio],0))</f>
        <v/>
      </c>
      <c r="AJ82" s="11">
        <f>IF(tblOrdenes[[#This Row],[orden]]="","",MAX(0,_xlfn.XLOOKUP(tblOrdenes[[#This Row],[id_operacion]],tblEjecucion[id_operacion],tblEjecucion[costo_plan_total],0)-tblOrdenes[[#This Row],[costo_servicio]]))</f>
        <v/>
      </c>
      <c r="AK82" s="11">
        <f>IF(tblOrdenes[[#This Row],[orden]]="","",tblOrdenes[[#This Row],[costo_servicio]]+tblOrdenes[[#This Row],[costo_materiales]])</f>
        <v/>
      </c>
      <c r="AL82" s="6" t="inlineStr"/>
      <c r="AM82" s="6" t="inlineStr"/>
      <c r="AN82" s="6" t="inlineStr">
        <is>
          <t>ACT-02.pdf</t>
        </is>
      </c>
      <c r="AO82" s="3">
        <f>IF(tblOrdenes[[#This Row],[link_checklist]]="","",HYPERLINK(p_ruta_base_checklists&amp;tblOrdenes[[#This Row],[link_checklist]],"abrir"))</f>
        <v/>
      </c>
      <c r="AP82" s="6" t="inlineStr"/>
      <c r="AQ82" s="3">
        <f>IF(tblOrdenes[[#This Row],[orden]]="","",tblOrdenes[[#This Row],[orden]]&amp;IF(tblOrdenes[[#This Row],[operacion]]="","0010",tblOrdenes[[#This Row],[operacion]]))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2" t="n">
        <v>46248</v>
      </c>
      <c r="K83" s="3" t="n">
        <v>6</v>
      </c>
      <c r="L83" s="11" t="n">
        <v>150</v>
      </c>
      <c r="M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" s="3">
        <f>IF(tblOrdenes[[#This Row],[fecha_inicio]]="","",YEAR(tblOrdenes[[#This Row],[fecha_inicio]]))</f>
        <v/>
      </c>
      <c r="Q83" s="3">
        <f>IF(tblOrdenes[[#This Row],[fecha_inicio]]="","",MONTH(tblOrdenes[[#This Row],[fecha_inicio]]))</f>
        <v/>
      </c>
      <c r="R83" s="3">
        <f>IF(tblOrdenes[[#This Row],[fecha_inicio]]="","",INDEX(lista_dias,WEEKDAY(tblOrdenes[[#This Row],[fecha_inicio]],2)))</f>
        <v/>
      </c>
      <c r="S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" s="3">
        <f>IF(tblOrdenes[[#This Row],[tipo_ot]]="","",_xlfn.XLOOKUP(tblOrdenes[[#This Row],[tipo_ot]],tblTiposOT[codigo],tblTiposOT[clasificacion],"sin_clasificar"))</f>
        <v/>
      </c>
      <c r="U83" s="3">
        <f>IF(tblOrdenes[[#This Row],[centro_costo]]="","",_xlfn.XLOOKUP(tblOrdenes[[#This Row],[centro_costo]],tblCECO[codigo],tblCECO[linea],"(sin catálogo)"))</f>
        <v/>
      </c>
      <c r="V83" s="3">
        <f>IF(tblOrdenes[[#This Row],[centro_costo]]="","",_xlfn.XLOOKUP(tblOrdenes[[#This Row],[centro_costo]],tblCECO[codigo],tblCECO[area],"(sin catálogo)"))</f>
        <v/>
      </c>
      <c r="W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" s="3">
        <f>IF(tblOrdenes[[#This Row],[centro_costo]]="","",_xlfn.XLOOKUP(tblOrdenes[[#This Row],[centro_costo]],tblCECO[codigo],tblCECO[coordinador],"(sin catálogo)"))</f>
        <v/>
      </c>
      <c r="Y83" s="3">
        <f>IF(tblOrdenes[[#This Row],[puesto_trabajo]]="","",_xlfn.XLOOKUP(tblOrdenes[[#This Row],[puesto_trabajo]],tblPuestos[codigo],tblPuestos[especialidad],"(sin catálogo)"))</f>
        <v/>
      </c>
      <c r="Z83" s="3">
        <f>IF(tblOrdenes[[#This Row],[cod_actividad]]="","",_xlfn.XLOOKUP(tblOrdenes[[#This Row],[cod_actividad]],tblActividades[codigo],tblActividades[descripcion],"(sin catálogo)"))</f>
        <v/>
      </c>
      <c r="AA83" s="13">
        <f>IF(tblOrdenes[[#This Row],[fecha_inicio]]="","",TODAY()-tblOrdenes[[#This Row],[fecha_inicio]])</f>
        <v/>
      </c>
      <c r="AB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" s="3">
        <f>IF(tblOrdenes[[#This Row],[backlog_habiles]]="","",IF(tblOrdenes[[#This Row],[backlog_habiles]]&lt;0,"FUTURO",IF(tblOrdenes[[#This Row],[backlog_habiles]]&gt;p_dias_backlog_max,"BACKLOG","MES CORRIENTE")))</f>
        <v/>
      </c>
      <c r="AD83" s="3">
        <f>IF(tblOrdenes[[#This Row],[backlog_habiles]]="",FALSE,AND(tblOrdenes[[#This Row],[backlog_habiles]]&gt;p_dias_backlog_min,tblOrdenes[[#This Row],[backlog_habiles]]&lt;=p_dias_backlog_max))</f>
        <v/>
      </c>
      <c r="AE83" s="6" t="inlineStr">
        <is>
          <t>Técnico 10</t>
        </is>
      </c>
      <c r="AF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" s="11">
        <f>IF(tblOrdenes[[#This Row],[orden]]="","",_xlfn.XLOOKUP(tblOrdenes[[#This Row],[id_operacion]],tblEjecucion[id_operacion],tblEjecucion[precio],0))</f>
        <v/>
      </c>
      <c r="AJ83" s="11">
        <f>IF(tblOrdenes[[#This Row],[orden]]="","",MAX(0,_xlfn.XLOOKUP(tblOrdenes[[#This Row],[id_operacion]],tblEjecucion[id_operacion],tblEjecucion[costo_plan_total],0)-tblOrdenes[[#This Row],[costo_servicio]]))</f>
        <v/>
      </c>
      <c r="AK83" s="11">
        <f>IF(tblOrdenes[[#This Row],[orden]]="","",tblOrdenes[[#This Row],[costo_servicio]]+tblOrdenes[[#This Row],[costo_materiales]])</f>
        <v/>
      </c>
      <c r="AL83" s="6" t="inlineStr"/>
      <c r="AM83" s="6" t="inlineStr"/>
      <c r="AN83" s="6" t="inlineStr">
        <is>
          <t>ACT-04.pdf</t>
        </is>
      </c>
      <c r="AO83" s="3">
        <f>IF(tblOrdenes[[#This Row],[link_checklist]]="","",HYPERLINK(p_ruta_base_checklists&amp;tblOrdenes[[#This Row],[link_checklist]],"abrir"))</f>
        <v/>
      </c>
      <c r="AP83" s="6" t="inlineStr"/>
      <c r="AQ83" s="3">
        <f>IF(tblOrdenes[[#This Row],[orden]]="","",tblOrdenes[[#This Row],[orden]]&amp;IF(tblOrdenes[[#This Row],[operacion]]="","0010",tblOrdenes[[#This Row],[operacion]]))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2" t="n">
        <v>46244</v>
      </c>
      <c r="K84" s="3" t="n">
        <v>10</v>
      </c>
      <c r="L84" s="11" t="n">
        <v>250</v>
      </c>
      <c r="M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" s="3">
        <f>IF(tblOrdenes[[#This Row],[fecha_inicio]]="","",YEAR(tblOrdenes[[#This Row],[fecha_inicio]]))</f>
        <v/>
      </c>
      <c r="Q84" s="3">
        <f>IF(tblOrdenes[[#This Row],[fecha_inicio]]="","",MONTH(tblOrdenes[[#This Row],[fecha_inicio]]))</f>
        <v/>
      </c>
      <c r="R84" s="3">
        <f>IF(tblOrdenes[[#This Row],[fecha_inicio]]="","",INDEX(lista_dias,WEEKDAY(tblOrdenes[[#This Row],[fecha_inicio]],2)))</f>
        <v/>
      </c>
      <c r="S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" s="3">
        <f>IF(tblOrdenes[[#This Row],[tipo_ot]]="","",_xlfn.XLOOKUP(tblOrdenes[[#This Row],[tipo_ot]],tblTiposOT[codigo],tblTiposOT[clasificacion],"sin_clasificar"))</f>
        <v/>
      </c>
      <c r="U84" s="3">
        <f>IF(tblOrdenes[[#This Row],[centro_costo]]="","",_xlfn.XLOOKUP(tblOrdenes[[#This Row],[centro_costo]],tblCECO[codigo],tblCECO[linea],"(sin catálogo)"))</f>
        <v/>
      </c>
      <c r="V84" s="3">
        <f>IF(tblOrdenes[[#This Row],[centro_costo]]="","",_xlfn.XLOOKUP(tblOrdenes[[#This Row],[centro_costo]],tblCECO[codigo],tblCECO[area],"(sin catálogo)"))</f>
        <v/>
      </c>
      <c r="W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" s="3">
        <f>IF(tblOrdenes[[#This Row],[centro_costo]]="","",_xlfn.XLOOKUP(tblOrdenes[[#This Row],[centro_costo]],tblCECO[codigo],tblCECO[coordinador],"(sin catálogo)"))</f>
        <v/>
      </c>
      <c r="Y84" s="3">
        <f>IF(tblOrdenes[[#This Row],[puesto_trabajo]]="","",_xlfn.XLOOKUP(tblOrdenes[[#This Row],[puesto_trabajo]],tblPuestos[codigo],tblPuestos[especialidad],"(sin catálogo)"))</f>
        <v/>
      </c>
      <c r="Z84" s="3">
        <f>IF(tblOrdenes[[#This Row],[cod_actividad]]="","",_xlfn.XLOOKUP(tblOrdenes[[#This Row],[cod_actividad]],tblActividades[codigo],tblActividades[descripcion],"(sin catálogo)"))</f>
        <v/>
      </c>
      <c r="AA84" s="13">
        <f>IF(tblOrdenes[[#This Row],[fecha_inicio]]="","",TODAY()-tblOrdenes[[#This Row],[fecha_inicio]])</f>
        <v/>
      </c>
      <c r="AB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" s="3">
        <f>IF(tblOrdenes[[#This Row],[backlog_habiles]]="","",IF(tblOrdenes[[#This Row],[backlog_habiles]]&lt;0,"FUTURO",IF(tblOrdenes[[#This Row],[backlog_habiles]]&gt;p_dias_backlog_max,"BACKLOG","MES CORRIENTE")))</f>
        <v/>
      </c>
      <c r="AD84" s="3">
        <f>IF(tblOrdenes[[#This Row],[backlog_habiles]]="",FALSE,AND(tblOrdenes[[#This Row],[backlog_habiles]]&gt;p_dias_backlog_min,tblOrdenes[[#This Row],[backlog_habiles]]&lt;=p_dias_backlog_max))</f>
        <v/>
      </c>
      <c r="AE84" s="6" t="inlineStr">
        <is>
          <t>Técnico 11</t>
        </is>
      </c>
      <c r="AF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" s="11">
        <f>IF(tblOrdenes[[#This Row],[orden]]="","",_xlfn.XLOOKUP(tblOrdenes[[#This Row],[id_operacion]],tblEjecucion[id_operacion],tblEjecucion[precio],0))</f>
        <v/>
      </c>
      <c r="AJ84" s="11">
        <f>IF(tblOrdenes[[#This Row],[orden]]="","",MAX(0,_xlfn.XLOOKUP(tblOrdenes[[#This Row],[id_operacion]],tblEjecucion[id_operacion],tblEjecucion[costo_plan_total],0)-tblOrdenes[[#This Row],[costo_servicio]]))</f>
        <v/>
      </c>
      <c r="AK84" s="11">
        <f>IF(tblOrdenes[[#This Row],[orden]]="","",tblOrdenes[[#This Row],[costo_servicio]]+tblOrdenes[[#This Row],[costo_materiales]])</f>
        <v/>
      </c>
      <c r="AL84" s="6" t="inlineStr"/>
      <c r="AM84" s="6" t="inlineStr"/>
      <c r="AN84" s="6" t="inlineStr">
        <is>
          <t>ACT-01.pdf</t>
        </is>
      </c>
      <c r="AO84" s="3">
        <f>IF(tblOrdenes[[#This Row],[link_checklist]]="","",HYPERLINK(p_ruta_base_checklists&amp;tblOrdenes[[#This Row],[link_checklist]],"abrir"))</f>
        <v/>
      </c>
      <c r="AP84" s="6" t="inlineStr"/>
      <c r="AQ84" s="3">
        <f>IF(tblOrdenes[[#This Row],[orden]]="","",tblOrdenes[[#This Row],[orden]]&amp;IF(tblOrdenes[[#This Row],[operacion]]="","0010",tblOrdenes[[#This Row],[operacion]]))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2" t="n">
        <v>46245</v>
      </c>
      <c r="K85" s="3" t="n">
        <v>8</v>
      </c>
      <c r="L85" s="11" t="n">
        <v>200</v>
      </c>
      <c r="M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" s="3">
        <f>IF(tblOrdenes[[#This Row],[fecha_inicio]]="","",YEAR(tblOrdenes[[#This Row],[fecha_inicio]]))</f>
        <v/>
      </c>
      <c r="Q85" s="3">
        <f>IF(tblOrdenes[[#This Row],[fecha_inicio]]="","",MONTH(tblOrdenes[[#This Row],[fecha_inicio]]))</f>
        <v/>
      </c>
      <c r="R85" s="3">
        <f>IF(tblOrdenes[[#This Row],[fecha_inicio]]="","",INDEX(lista_dias,WEEKDAY(tblOrdenes[[#This Row],[fecha_inicio]],2)))</f>
        <v/>
      </c>
      <c r="S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" s="3">
        <f>IF(tblOrdenes[[#This Row],[tipo_ot]]="","",_xlfn.XLOOKUP(tblOrdenes[[#This Row],[tipo_ot]],tblTiposOT[codigo],tblTiposOT[clasificacion],"sin_clasificar"))</f>
        <v/>
      </c>
      <c r="U85" s="3">
        <f>IF(tblOrdenes[[#This Row],[centro_costo]]="","",_xlfn.XLOOKUP(tblOrdenes[[#This Row],[centro_costo]],tblCECO[codigo],tblCECO[linea],"(sin catálogo)"))</f>
        <v/>
      </c>
      <c r="V85" s="3">
        <f>IF(tblOrdenes[[#This Row],[centro_costo]]="","",_xlfn.XLOOKUP(tblOrdenes[[#This Row],[centro_costo]],tblCECO[codigo],tblCECO[area],"(sin catálogo)"))</f>
        <v/>
      </c>
      <c r="W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" s="3">
        <f>IF(tblOrdenes[[#This Row],[centro_costo]]="","",_xlfn.XLOOKUP(tblOrdenes[[#This Row],[centro_costo]],tblCECO[codigo],tblCECO[coordinador],"(sin catálogo)"))</f>
        <v/>
      </c>
      <c r="Y85" s="3">
        <f>IF(tblOrdenes[[#This Row],[puesto_trabajo]]="","",_xlfn.XLOOKUP(tblOrdenes[[#This Row],[puesto_trabajo]],tblPuestos[codigo],tblPuestos[especialidad],"(sin catálogo)"))</f>
        <v/>
      </c>
      <c r="Z85" s="3">
        <f>IF(tblOrdenes[[#This Row],[cod_actividad]]="","",_xlfn.XLOOKUP(tblOrdenes[[#This Row],[cod_actividad]],tblActividades[codigo],tblActividades[descripcion],"(sin catálogo)"))</f>
        <v/>
      </c>
      <c r="AA85" s="13">
        <f>IF(tblOrdenes[[#This Row],[fecha_inicio]]="","",TODAY()-tblOrdenes[[#This Row],[fecha_inicio]])</f>
        <v/>
      </c>
      <c r="AB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" s="3">
        <f>IF(tblOrdenes[[#This Row],[backlog_habiles]]="","",IF(tblOrdenes[[#This Row],[backlog_habiles]]&lt;0,"FUTURO",IF(tblOrdenes[[#This Row],[backlog_habiles]]&gt;p_dias_backlog_max,"BACKLOG","MES CORRIENTE")))</f>
        <v/>
      </c>
      <c r="AD85" s="3">
        <f>IF(tblOrdenes[[#This Row],[backlog_habiles]]="",FALSE,AND(tblOrdenes[[#This Row],[backlog_habiles]]&gt;p_dias_backlog_min,tblOrdenes[[#This Row],[backlog_habiles]]&lt;=p_dias_backlog_max))</f>
        <v/>
      </c>
      <c r="AE85" s="6" t="inlineStr">
        <is>
          <t>Técnico 12</t>
        </is>
      </c>
      <c r="AF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" s="11">
        <f>IF(tblOrdenes[[#This Row],[orden]]="","",_xlfn.XLOOKUP(tblOrdenes[[#This Row],[id_operacion]],tblEjecucion[id_operacion],tblEjecucion[precio],0))</f>
        <v/>
      </c>
      <c r="AJ85" s="11">
        <f>IF(tblOrdenes[[#This Row],[orden]]="","",MAX(0,_xlfn.XLOOKUP(tblOrdenes[[#This Row],[id_operacion]],tblEjecucion[id_operacion],tblEjecucion[costo_plan_total],0)-tblOrdenes[[#This Row],[costo_servicio]]))</f>
        <v/>
      </c>
      <c r="AK85" s="11">
        <f>IF(tblOrdenes[[#This Row],[orden]]="","",tblOrdenes[[#This Row],[costo_servicio]]+tblOrdenes[[#This Row],[costo_materiales]])</f>
        <v/>
      </c>
      <c r="AL85" s="6" t="inlineStr"/>
      <c r="AM85" s="6" t="inlineStr"/>
      <c r="AN85" s="6" t="inlineStr">
        <is>
          <t>ACT-02.pdf</t>
        </is>
      </c>
      <c r="AO85" s="3">
        <f>IF(tblOrdenes[[#This Row],[link_checklist]]="","",HYPERLINK(p_ruta_base_checklists&amp;tblOrdenes[[#This Row],[link_checklist]],"abrir"))</f>
        <v/>
      </c>
      <c r="AP85" s="6" t="inlineStr"/>
      <c r="AQ85" s="3">
        <f>IF(tblOrdenes[[#This Row],[orden]]="","",tblOrdenes[[#This Row],[orden]]&amp;IF(tblOrdenes[[#This Row],[operacion]]="","0010",tblOrdenes[[#This Row],[operacion]]))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2" t="n">
        <v>46246</v>
      </c>
      <c r="K86" s="3" t="n">
        <v>8</v>
      </c>
      <c r="L86" s="11" t="n">
        <v>200</v>
      </c>
      <c r="M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" s="3">
        <f>IF(tblOrdenes[[#This Row],[fecha_inicio]]="","",YEAR(tblOrdenes[[#This Row],[fecha_inicio]]))</f>
        <v/>
      </c>
      <c r="Q86" s="3">
        <f>IF(tblOrdenes[[#This Row],[fecha_inicio]]="","",MONTH(tblOrdenes[[#This Row],[fecha_inicio]]))</f>
        <v/>
      </c>
      <c r="R86" s="3">
        <f>IF(tblOrdenes[[#This Row],[fecha_inicio]]="","",INDEX(lista_dias,WEEKDAY(tblOrdenes[[#This Row],[fecha_inicio]],2)))</f>
        <v/>
      </c>
      <c r="S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" s="3">
        <f>IF(tblOrdenes[[#This Row],[tipo_ot]]="","",_xlfn.XLOOKUP(tblOrdenes[[#This Row],[tipo_ot]],tblTiposOT[codigo],tblTiposOT[clasificacion],"sin_clasificar"))</f>
        <v/>
      </c>
      <c r="U86" s="3">
        <f>IF(tblOrdenes[[#This Row],[centro_costo]]="","",_xlfn.XLOOKUP(tblOrdenes[[#This Row],[centro_costo]],tblCECO[codigo],tblCECO[linea],"(sin catálogo)"))</f>
        <v/>
      </c>
      <c r="V86" s="3">
        <f>IF(tblOrdenes[[#This Row],[centro_costo]]="","",_xlfn.XLOOKUP(tblOrdenes[[#This Row],[centro_costo]],tblCECO[codigo],tblCECO[area],"(sin catálogo)"))</f>
        <v/>
      </c>
      <c r="W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" s="3">
        <f>IF(tblOrdenes[[#This Row],[centro_costo]]="","",_xlfn.XLOOKUP(tblOrdenes[[#This Row],[centro_costo]],tblCECO[codigo],tblCECO[coordinador],"(sin catálogo)"))</f>
        <v/>
      </c>
      <c r="Y86" s="3">
        <f>IF(tblOrdenes[[#This Row],[puesto_trabajo]]="","",_xlfn.XLOOKUP(tblOrdenes[[#This Row],[puesto_trabajo]],tblPuestos[codigo],tblPuestos[especialidad],"(sin catálogo)"))</f>
        <v/>
      </c>
      <c r="Z86" s="3">
        <f>IF(tblOrdenes[[#This Row],[cod_actividad]]="","",_xlfn.XLOOKUP(tblOrdenes[[#This Row],[cod_actividad]],tblActividades[codigo],tblActividades[descripcion],"(sin catálogo)"))</f>
        <v/>
      </c>
      <c r="AA86" s="13">
        <f>IF(tblOrdenes[[#This Row],[fecha_inicio]]="","",TODAY()-tblOrdenes[[#This Row],[fecha_inicio]])</f>
        <v/>
      </c>
      <c r="AB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" s="3">
        <f>IF(tblOrdenes[[#This Row],[backlog_habiles]]="","",IF(tblOrdenes[[#This Row],[backlog_habiles]]&lt;0,"FUTURO",IF(tblOrdenes[[#This Row],[backlog_habiles]]&gt;p_dias_backlog_max,"BACKLOG","MES CORRIENTE")))</f>
        <v/>
      </c>
      <c r="AD86" s="3">
        <f>IF(tblOrdenes[[#This Row],[backlog_habiles]]="",FALSE,AND(tblOrdenes[[#This Row],[backlog_habiles]]&gt;p_dias_backlog_min,tblOrdenes[[#This Row],[backlog_habiles]]&lt;=p_dias_backlog_max))</f>
        <v/>
      </c>
      <c r="AE86" s="6" t="inlineStr">
        <is>
          <t>Técnico 13</t>
        </is>
      </c>
      <c r="AF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" s="11">
        <f>IF(tblOrdenes[[#This Row],[orden]]="","",_xlfn.XLOOKUP(tblOrdenes[[#This Row],[id_operacion]],tblEjecucion[id_operacion],tblEjecucion[precio],0))</f>
        <v/>
      </c>
      <c r="AJ86" s="11">
        <f>IF(tblOrdenes[[#This Row],[orden]]="","",MAX(0,_xlfn.XLOOKUP(tblOrdenes[[#This Row],[id_operacion]],tblEjecucion[id_operacion],tblEjecucion[costo_plan_total],0)-tblOrdenes[[#This Row],[costo_servicio]]))</f>
        <v/>
      </c>
      <c r="AK86" s="11">
        <f>IF(tblOrdenes[[#This Row],[orden]]="","",tblOrdenes[[#This Row],[costo_servicio]]+tblOrdenes[[#This Row],[costo_materiales]])</f>
        <v/>
      </c>
      <c r="AL86" s="6" t="inlineStr"/>
      <c r="AM86" s="6" t="inlineStr"/>
      <c r="AN86" s="6" t="inlineStr">
        <is>
          <t>ACT-04.pdf</t>
        </is>
      </c>
      <c r="AO86" s="3">
        <f>IF(tblOrdenes[[#This Row],[link_checklist]]="","",HYPERLINK(p_ruta_base_checklists&amp;tblOrdenes[[#This Row],[link_checklist]],"abrir"))</f>
        <v/>
      </c>
      <c r="AP86" s="6" t="inlineStr"/>
      <c r="AQ86" s="3">
        <f>IF(tblOrdenes[[#This Row],[orden]]="","",tblOrdenes[[#This Row],[orden]]&amp;IF(tblOrdenes[[#This Row],[operacion]]="","0010",tblOrdenes[[#This Row],[operacion]]))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2" t="n">
        <v>46247</v>
      </c>
      <c r="K87" s="3" t="n">
        <v>10</v>
      </c>
      <c r="L87" s="11" t="n">
        <v>400</v>
      </c>
      <c r="M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" s="3">
        <f>IF(tblOrdenes[[#This Row],[fecha_inicio]]="","",YEAR(tblOrdenes[[#This Row],[fecha_inicio]]))</f>
        <v/>
      </c>
      <c r="Q87" s="3">
        <f>IF(tblOrdenes[[#This Row],[fecha_inicio]]="","",MONTH(tblOrdenes[[#This Row],[fecha_inicio]]))</f>
        <v/>
      </c>
      <c r="R87" s="3">
        <f>IF(tblOrdenes[[#This Row],[fecha_inicio]]="","",INDEX(lista_dias,WEEKDAY(tblOrdenes[[#This Row],[fecha_inicio]],2)))</f>
        <v/>
      </c>
      <c r="S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" s="3">
        <f>IF(tblOrdenes[[#This Row],[tipo_ot]]="","",_xlfn.XLOOKUP(tblOrdenes[[#This Row],[tipo_ot]],tblTiposOT[codigo],tblTiposOT[clasificacion],"sin_clasificar"))</f>
        <v/>
      </c>
      <c r="U87" s="3">
        <f>IF(tblOrdenes[[#This Row],[centro_costo]]="","",_xlfn.XLOOKUP(tblOrdenes[[#This Row],[centro_costo]],tblCECO[codigo],tblCECO[linea],"(sin catálogo)"))</f>
        <v/>
      </c>
      <c r="V87" s="3">
        <f>IF(tblOrdenes[[#This Row],[centro_costo]]="","",_xlfn.XLOOKUP(tblOrdenes[[#This Row],[centro_costo]],tblCECO[codigo],tblCECO[area],"(sin catálogo)"))</f>
        <v/>
      </c>
      <c r="W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" s="3">
        <f>IF(tblOrdenes[[#This Row],[centro_costo]]="","",_xlfn.XLOOKUP(tblOrdenes[[#This Row],[centro_costo]],tblCECO[codigo],tblCECO[coordinador],"(sin catálogo)"))</f>
        <v/>
      </c>
      <c r="Y87" s="3">
        <f>IF(tblOrdenes[[#This Row],[puesto_trabajo]]="","",_xlfn.XLOOKUP(tblOrdenes[[#This Row],[puesto_trabajo]],tblPuestos[codigo],tblPuestos[especialidad],"(sin catálogo)"))</f>
        <v/>
      </c>
      <c r="Z87" s="3">
        <f>IF(tblOrdenes[[#This Row],[cod_actividad]]="","",_xlfn.XLOOKUP(tblOrdenes[[#This Row],[cod_actividad]],tblActividades[codigo],tblActividades[descripcion],"(sin catálogo)"))</f>
        <v/>
      </c>
      <c r="AA87" s="13">
        <f>IF(tblOrdenes[[#This Row],[fecha_inicio]]="","",TODAY()-tblOrdenes[[#This Row],[fecha_inicio]])</f>
        <v/>
      </c>
      <c r="AB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" s="3">
        <f>IF(tblOrdenes[[#This Row],[backlog_habiles]]="","",IF(tblOrdenes[[#This Row],[backlog_habiles]]&lt;0,"FUTURO",IF(tblOrdenes[[#This Row],[backlog_habiles]]&gt;p_dias_backlog_max,"BACKLOG","MES CORRIENTE")))</f>
        <v/>
      </c>
      <c r="AD87" s="3">
        <f>IF(tblOrdenes[[#This Row],[backlog_habiles]]="",FALSE,AND(tblOrdenes[[#This Row],[backlog_habiles]]&gt;p_dias_backlog_min,tblOrdenes[[#This Row],[backlog_habiles]]&lt;=p_dias_backlog_max))</f>
        <v/>
      </c>
      <c r="AE87" s="6" t="inlineStr"/>
      <c r="AF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" s="11">
        <f>IF(tblOrdenes[[#This Row],[orden]]="","",_xlfn.XLOOKUP(tblOrdenes[[#This Row],[id_operacion]],tblEjecucion[id_operacion],tblEjecucion[precio],0))</f>
        <v/>
      </c>
      <c r="AJ87" s="11">
        <f>IF(tblOrdenes[[#This Row],[orden]]="","",MAX(0,_xlfn.XLOOKUP(tblOrdenes[[#This Row],[id_operacion]],tblEjecucion[id_operacion],tblEjecucion[costo_plan_total],0)-tblOrdenes[[#This Row],[costo_servicio]]))</f>
        <v/>
      </c>
      <c r="AK87" s="11">
        <f>IF(tblOrdenes[[#This Row],[orden]]="","",tblOrdenes[[#This Row],[costo_servicio]]+tblOrdenes[[#This Row],[costo_materiales]])</f>
        <v/>
      </c>
      <c r="AL87" s="6" t="inlineStr">
        <is>
          <t>PT-CALIENTE</t>
        </is>
      </c>
      <c r="AM87" s="6" t="inlineStr">
        <is>
          <t>LOTO</t>
        </is>
      </c>
      <c r="AN87" s="6" t="inlineStr"/>
      <c r="AO87" s="3">
        <f>IF(tblOrdenes[[#This Row],[link_checklist]]="","",HYPERLINK(p_ruta_base_checklists&amp;tblOrdenes[[#This Row],[link_checklist]],"abrir"))</f>
        <v/>
      </c>
      <c r="AP87" s="6" t="inlineStr"/>
      <c r="AQ87" s="3">
        <f>IF(tblOrdenes[[#This Row],[orden]]="","",tblOrdenes[[#This Row],[orden]]&amp;IF(tblOrdenes[[#This Row],[operacion]]="","0010",tblOrdenes[[#This Row],[operacion]]))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2" t="n">
        <v>46227</v>
      </c>
      <c r="K88" s="3" t="n">
        <v>10</v>
      </c>
      <c r="L88" s="11" t="n">
        <v>250</v>
      </c>
      <c r="M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" s="3">
        <f>IF(tblOrdenes[[#This Row],[fecha_inicio]]="","",YEAR(tblOrdenes[[#This Row],[fecha_inicio]]))</f>
        <v/>
      </c>
      <c r="Q88" s="3">
        <f>IF(tblOrdenes[[#This Row],[fecha_inicio]]="","",MONTH(tblOrdenes[[#This Row],[fecha_inicio]]))</f>
        <v/>
      </c>
      <c r="R88" s="3">
        <f>IF(tblOrdenes[[#This Row],[fecha_inicio]]="","",INDEX(lista_dias,WEEKDAY(tblOrdenes[[#This Row],[fecha_inicio]],2)))</f>
        <v/>
      </c>
      <c r="S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" s="3">
        <f>IF(tblOrdenes[[#This Row],[tipo_ot]]="","",_xlfn.XLOOKUP(tblOrdenes[[#This Row],[tipo_ot]],tblTiposOT[codigo],tblTiposOT[clasificacion],"sin_clasificar"))</f>
        <v/>
      </c>
      <c r="U88" s="3">
        <f>IF(tblOrdenes[[#This Row],[centro_costo]]="","",_xlfn.XLOOKUP(tblOrdenes[[#This Row],[centro_costo]],tblCECO[codigo],tblCECO[linea],"(sin catálogo)"))</f>
        <v/>
      </c>
      <c r="V88" s="3">
        <f>IF(tblOrdenes[[#This Row],[centro_costo]]="","",_xlfn.XLOOKUP(tblOrdenes[[#This Row],[centro_costo]],tblCECO[codigo],tblCECO[area],"(sin catálogo)"))</f>
        <v/>
      </c>
      <c r="W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" s="3">
        <f>IF(tblOrdenes[[#This Row],[centro_costo]]="","",_xlfn.XLOOKUP(tblOrdenes[[#This Row],[centro_costo]],tblCECO[codigo],tblCECO[coordinador],"(sin catálogo)"))</f>
        <v/>
      </c>
      <c r="Y88" s="3">
        <f>IF(tblOrdenes[[#This Row],[puesto_trabajo]]="","",_xlfn.XLOOKUP(tblOrdenes[[#This Row],[puesto_trabajo]],tblPuestos[codigo],tblPuestos[especialidad],"(sin catálogo)"))</f>
        <v/>
      </c>
      <c r="Z88" s="3">
        <f>IF(tblOrdenes[[#This Row],[cod_actividad]]="","",_xlfn.XLOOKUP(tblOrdenes[[#This Row],[cod_actividad]],tblActividades[codigo],tblActividades[descripcion],"(sin catálogo)"))</f>
        <v/>
      </c>
      <c r="AA88" s="13">
        <f>IF(tblOrdenes[[#This Row],[fecha_inicio]]="","",TODAY()-tblOrdenes[[#This Row],[fecha_inicio]])</f>
        <v/>
      </c>
      <c r="AB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" s="3">
        <f>IF(tblOrdenes[[#This Row],[backlog_habiles]]="","",IF(tblOrdenes[[#This Row],[backlog_habiles]]&lt;0,"FUTURO",IF(tblOrdenes[[#This Row],[backlog_habiles]]&gt;p_dias_backlog_max,"BACKLOG","MES CORRIENTE")))</f>
        <v/>
      </c>
      <c r="AD88" s="3">
        <f>IF(tblOrdenes[[#This Row],[backlog_habiles]]="",FALSE,AND(tblOrdenes[[#This Row],[backlog_habiles]]&gt;p_dias_backlog_min,tblOrdenes[[#This Row],[backlog_habiles]]&lt;=p_dias_backlog_max))</f>
        <v/>
      </c>
      <c r="AE88" s="6" t="inlineStr">
        <is>
          <t>Técnico 15</t>
        </is>
      </c>
      <c r="AF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" s="11">
        <f>IF(tblOrdenes[[#This Row],[orden]]="","",_xlfn.XLOOKUP(tblOrdenes[[#This Row],[id_operacion]],tblEjecucion[id_operacion],tblEjecucion[precio],0))</f>
        <v/>
      </c>
      <c r="AJ88" s="11">
        <f>IF(tblOrdenes[[#This Row],[orden]]="","",MAX(0,_xlfn.XLOOKUP(tblOrdenes[[#This Row],[id_operacion]],tblEjecucion[id_operacion],tblEjecucion[costo_plan_total],0)-tblOrdenes[[#This Row],[costo_servicio]]))</f>
        <v/>
      </c>
      <c r="AK88" s="11">
        <f>IF(tblOrdenes[[#This Row],[orden]]="","",tblOrdenes[[#This Row],[costo_servicio]]+tblOrdenes[[#This Row],[costo_materiales]])</f>
        <v/>
      </c>
      <c r="AL88" s="6" t="inlineStr"/>
      <c r="AM88" s="6" t="inlineStr"/>
      <c r="AN88" s="6" t="inlineStr">
        <is>
          <t>ACT-02.pdf</t>
        </is>
      </c>
      <c r="AO88" s="3">
        <f>IF(tblOrdenes[[#This Row],[link_checklist]]="","",HYPERLINK(p_ruta_base_checklists&amp;tblOrdenes[[#This Row],[link_checklist]],"abrir"))</f>
        <v/>
      </c>
      <c r="AP88" s="6" t="inlineStr"/>
      <c r="AQ88" s="3">
        <f>IF(tblOrdenes[[#This Row],[orden]]="","",tblOrdenes[[#This Row],[orden]]&amp;IF(tblOrdenes[[#This Row],[operacion]]="","0010",tblOrdenes[[#This Row],[operacion]]))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2" t="n">
        <v>46223</v>
      </c>
      <c r="K89" s="3" t="n">
        <v>8</v>
      </c>
      <c r="L89" s="11" t="n">
        <v>200</v>
      </c>
      <c r="M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" s="3">
        <f>IF(tblOrdenes[[#This Row],[fecha_inicio]]="","",YEAR(tblOrdenes[[#This Row],[fecha_inicio]]))</f>
        <v/>
      </c>
      <c r="Q89" s="3">
        <f>IF(tblOrdenes[[#This Row],[fecha_inicio]]="","",MONTH(tblOrdenes[[#This Row],[fecha_inicio]]))</f>
        <v/>
      </c>
      <c r="R89" s="3">
        <f>IF(tblOrdenes[[#This Row],[fecha_inicio]]="","",INDEX(lista_dias,WEEKDAY(tblOrdenes[[#This Row],[fecha_inicio]],2)))</f>
        <v/>
      </c>
      <c r="S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" s="3">
        <f>IF(tblOrdenes[[#This Row],[tipo_ot]]="","",_xlfn.XLOOKUP(tblOrdenes[[#This Row],[tipo_ot]],tblTiposOT[codigo],tblTiposOT[clasificacion],"sin_clasificar"))</f>
        <v/>
      </c>
      <c r="U89" s="3">
        <f>IF(tblOrdenes[[#This Row],[centro_costo]]="","",_xlfn.XLOOKUP(tblOrdenes[[#This Row],[centro_costo]],tblCECO[codigo],tblCECO[linea],"(sin catálogo)"))</f>
        <v/>
      </c>
      <c r="V89" s="3">
        <f>IF(tblOrdenes[[#This Row],[centro_costo]]="","",_xlfn.XLOOKUP(tblOrdenes[[#This Row],[centro_costo]],tblCECO[codigo],tblCECO[area],"(sin catálogo)"))</f>
        <v/>
      </c>
      <c r="W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" s="3">
        <f>IF(tblOrdenes[[#This Row],[centro_costo]]="","",_xlfn.XLOOKUP(tblOrdenes[[#This Row],[centro_costo]],tblCECO[codigo],tblCECO[coordinador],"(sin catálogo)"))</f>
        <v/>
      </c>
      <c r="Y89" s="3">
        <f>IF(tblOrdenes[[#This Row],[puesto_trabajo]]="","",_xlfn.XLOOKUP(tblOrdenes[[#This Row],[puesto_trabajo]],tblPuestos[codigo],tblPuestos[especialidad],"(sin catálogo)"))</f>
        <v/>
      </c>
      <c r="Z89" s="3">
        <f>IF(tblOrdenes[[#This Row],[cod_actividad]]="","",_xlfn.XLOOKUP(tblOrdenes[[#This Row],[cod_actividad]],tblActividades[codigo],tblActividades[descripcion],"(sin catálogo)"))</f>
        <v/>
      </c>
      <c r="AA89" s="13">
        <f>IF(tblOrdenes[[#This Row],[fecha_inicio]]="","",TODAY()-tblOrdenes[[#This Row],[fecha_inicio]])</f>
        <v/>
      </c>
      <c r="AB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" s="3">
        <f>IF(tblOrdenes[[#This Row],[backlog_habiles]]="","",IF(tblOrdenes[[#This Row],[backlog_habiles]]&lt;0,"FUTURO",IF(tblOrdenes[[#This Row],[backlog_habiles]]&gt;p_dias_backlog_max,"BACKLOG","MES CORRIENTE")))</f>
        <v/>
      </c>
      <c r="AD89" s="3">
        <f>IF(tblOrdenes[[#This Row],[backlog_habiles]]="",FALSE,AND(tblOrdenes[[#This Row],[backlog_habiles]]&gt;p_dias_backlog_min,tblOrdenes[[#This Row],[backlog_habiles]]&lt;=p_dias_backlog_max))</f>
        <v/>
      </c>
      <c r="AE89" s="6" t="inlineStr">
        <is>
          <t>Técnico 16</t>
        </is>
      </c>
      <c r="AF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" s="11">
        <f>IF(tblOrdenes[[#This Row],[orden]]="","",_xlfn.XLOOKUP(tblOrdenes[[#This Row],[id_operacion]],tblEjecucion[id_operacion],tblEjecucion[precio],0))</f>
        <v/>
      </c>
      <c r="AJ89" s="11">
        <f>IF(tblOrdenes[[#This Row],[orden]]="","",MAX(0,_xlfn.XLOOKUP(tblOrdenes[[#This Row],[id_operacion]],tblEjecucion[id_operacion],tblEjecucion[costo_plan_total],0)-tblOrdenes[[#This Row],[costo_servicio]]))</f>
        <v/>
      </c>
      <c r="AK89" s="11">
        <f>IF(tblOrdenes[[#This Row],[orden]]="","",tblOrdenes[[#This Row],[costo_servicio]]+tblOrdenes[[#This Row],[costo_materiales]])</f>
        <v/>
      </c>
      <c r="AL89" s="6" t="inlineStr"/>
      <c r="AM89" s="6" t="inlineStr"/>
      <c r="AN89" s="6" t="inlineStr">
        <is>
          <t>ACT-04.pdf</t>
        </is>
      </c>
      <c r="AO89" s="3">
        <f>IF(tblOrdenes[[#This Row],[link_checklist]]="","",HYPERLINK(p_ruta_base_checklists&amp;tblOrdenes[[#This Row],[link_checklist]],"abrir"))</f>
        <v/>
      </c>
      <c r="AP89" s="6" t="inlineStr"/>
      <c r="AQ89" s="3">
        <f>IF(tblOrdenes[[#This Row],[orden]]="","",tblOrdenes[[#This Row],[orden]]&amp;IF(tblOrdenes[[#This Row],[operacion]]="","0010",tblOrdenes[[#This Row],[operacion]]))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2" t="n">
        <v>46224</v>
      </c>
      <c r="K90" s="3" t="n">
        <v>6</v>
      </c>
      <c r="L90" s="11" t="n">
        <v>150</v>
      </c>
      <c r="M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" s="3">
        <f>IF(tblOrdenes[[#This Row],[fecha_inicio]]="","",YEAR(tblOrdenes[[#This Row],[fecha_inicio]]))</f>
        <v/>
      </c>
      <c r="Q90" s="3">
        <f>IF(tblOrdenes[[#This Row],[fecha_inicio]]="","",MONTH(tblOrdenes[[#This Row],[fecha_inicio]]))</f>
        <v/>
      </c>
      <c r="R90" s="3">
        <f>IF(tblOrdenes[[#This Row],[fecha_inicio]]="","",INDEX(lista_dias,WEEKDAY(tblOrdenes[[#This Row],[fecha_inicio]],2)))</f>
        <v/>
      </c>
      <c r="S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" s="3">
        <f>IF(tblOrdenes[[#This Row],[tipo_ot]]="","",_xlfn.XLOOKUP(tblOrdenes[[#This Row],[tipo_ot]],tblTiposOT[codigo],tblTiposOT[clasificacion],"sin_clasificar"))</f>
        <v/>
      </c>
      <c r="U90" s="3">
        <f>IF(tblOrdenes[[#This Row],[centro_costo]]="","",_xlfn.XLOOKUP(tblOrdenes[[#This Row],[centro_costo]],tblCECO[codigo],tblCECO[linea],"(sin catálogo)"))</f>
        <v/>
      </c>
      <c r="V90" s="3">
        <f>IF(tblOrdenes[[#This Row],[centro_costo]]="","",_xlfn.XLOOKUP(tblOrdenes[[#This Row],[centro_costo]],tblCECO[codigo],tblCECO[area],"(sin catálogo)"))</f>
        <v/>
      </c>
      <c r="W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" s="3">
        <f>IF(tblOrdenes[[#This Row],[centro_costo]]="","",_xlfn.XLOOKUP(tblOrdenes[[#This Row],[centro_costo]],tblCECO[codigo],tblCECO[coordinador],"(sin catálogo)"))</f>
        <v/>
      </c>
      <c r="Y90" s="3">
        <f>IF(tblOrdenes[[#This Row],[puesto_trabajo]]="","",_xlfn.XLOOKUP(tblOrdenes[[#This Row],[puesto_trabajo]],tblPuestos[codigo],tblPuestos[especialidad],"(sin catálogo)"))</f>
        <v/>
      </c>
      <c r="Z90" s="3">
        <f>IF(tblOrdenes[[#This Row],[cod_actividad]]="","",_xlfn.XLOOKUP(tblOrdenes[[#This Row],[cod_actividad]],tblActividades[codigo],tblActividades[descripcion],"(sin catálogo)"))</f>
        <v/>
      </c>
      <c r="AA90" s="13">
        <f>IF(tblOrdenes[[#This Row],[fecha_inicio]]="","",TODAY()-tblOrdenes[[#This Row],[fecha_inicio]])</f>
        <v/>
      </c>
      <c r="AB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" s="3">
        <f>IF(tblOrdenes[[#This Row],[backlog_habiles]]="","",IF(tblOrdenes[[#This Row],[backlog_habiles]]&lt;0,"FUTURO",IF(tblOrdenes[[#This Row],[backlog_habiles]]&gt;p_dias_backlog_max,"BACKLOG","MES CORRIENTE")))</f>
        <v/>
      </c>
      <c r="AD90" s="3">
        <f>IF(tblOrdenes[[#This Row],[backlog_habiles]]="",FALSE,AND(tblOrdenes[[#This Row],[backlog_habiles]]&gt;p_dias_backlog_min,tblOrdenes[[#This Row],[backlog_habiles]]&lt;=p_dias_backlog_max))</f>
        <v/>
      </c>
      <c r="AE90" s="6" t="inlineStr">
        <is>
          <t>Técnico 15</t>
        </is>
      </c>
      <c r="AF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" s="11">
        <f>IF(tblOrdenes[[#This Row],[orden]]="","",_xlfn.XLOOKUP(tblOrdenes[[#This Row],[id_operacion]],tblEjecucion[id_operacion],tblEjecucion[precio],0))</f>
        <v/>
      </c>
      <c r="AJ90" s="11">
        <f>IF(tblOrdenes[[#This Row],[orden]]="","",MAX(0,_xlfn.XLOOKUP(tblOrdenes[[#This Row],[id_operacion]],tblEjecucion[id_operacion],tblEjecucion[costo_plan_total],0)-tblOrdenes[[#This Row],[costo_servicio]]))</f>
        <v/>
      </c>
      <c r="AK90" s="11">
        <f>IF(tblOrdenes[[#This Row],[orden]]="","",tblOrdenes[[#This Row],[costo_servicio]]+tblOrdenes[[#This Row],[costo_materiales]])</f>
        <v/>
      </c>
      <c r="AL90" s="6" t="inlineStr"/>
      <c r="AM90" s="6" t="inlineStr"/>
      <c r="AN90" s="6" t="inlineStr">
        <is>
          <t>ACT-01.pdf</t>
        </is>
      </c>
      <c r="AO90" s="3">
        <f>IF(tblOrdenes[[#This Row],[link_checklist]]="","",HYPERLINK(p_ruta_base_checklists&amp;tblOrdenes[[#This Row],[link_checklist]],"abrir"))</f>
        <v/>
      </c>
      <c r="AP90" s="6" t="inlineStr"/>
      <c r="AQ90" s="3">
        <f>IF(tblOrdenes[[#This Row],[orden]]="","",tblOrdenes[[#This Row],[orden]]&amp;IF(tblOrdenes[[#This Row],[operacion]]="","0010",tblOrdenes[[#This Row],[operacion]]))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2" t="n">
        <v>46225</v>
      </c>
      <c r="K91" s="3" t="n">
        <v>10</v>
      </c>
      <c r="L91" s="11" t="n">
        <v>250</v>
      </c>
      <c r="M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" s="3">
        <f>IF(tblOrdenes[[#This Row],[fecha_inicio]]="","",YEAR(tblOrdenes[[#This Row],[fecha_inicio]]))</f>
        <v/>
      </c>
      <c r="Q91" s="3">
        <f>IF(tblOrdenes[[#This Row],[fecha_inicio]]="","",MONTH(tblOrdenes[[#This Row],[fecha_inicio]]))</f>
        <v/>
      </c>
      <c r="R91" s="3">
        <f>IF(tblOrdenes[[#This Row],[fecha_inicio]]="","",INDEX(lista_dias,WEEKDAY(tblOrdenes[[#This Row],[fecha_inicio]],2)))</f>
        <v/>
      </c>
      <c r="S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" s="3">
        <f>IF(tblOrdenes[[#This Row],[tipo_ot]]="","",_xlfn.XLOOKUP(tblOrdenes[[#This Row],[tipo_ot]],tblTiposOT[codigo],tblTiposOT[clasificacion],"sin_clasificar"))</f>
        <v/>
      </c>
      <c r="U91" s="3">
        <f>IF(tblOrdenes[[#This Row],[centro_costo]]="","",_xlfn.XLOOKUP(tblOrdenes[[#This Row],[centro_costo]],tblCECO[codigo],tblCECO[linea],"(sin catálogo)"))</f>
        <v/>
      </c>
      <c r="V91" s="3">
        <f>IF(tblOrdenes[[#This Row],[centro_costo]]="","",_xlfn.XLOOKUP(tblOrdenes[[#This Row],[centro_costo]],tblCECO[codigo],tblCECO[area],"(sin catálogo)"))</f>
        <v/>
      </c>
      <c r="W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" s="3">
        <f>IF(tblOrdenes[[#This Row],[centro_costo]]="","",_xlfn.XLOOKUP(tblOrdenes[[#This Row],[centro_costo]],tblCECO[codigo],tblCECO[coordinador],"(sin catálogo)"))</f>
        <v/>
      </c>
      <c r="Y91" s="3">
        <f>IF(tblOrdenes[[#This Row],[puesto_trabajo]]="","",_xlfn.XLOOKUP(tblOrdenes[[#This Row],[puesto_trabajo]],tblPuestos[codigo],tblPuestos[especialidad],"(sin catálogo)"))</f>
        <v/>
      </c>
      <c r="Z91" s="3">
        <f>IF(tblOrdenes[[#This Row],[cod_actividad]]="","",_xlfn.XLOOKUP(tblOrdenes[[#This Row],[cod_actividad]],tblActividades[codigo],tblActividades[descripcion],"(sin catálogo)"))</f>
        <v/>
      </c>
      <c r="AA91" s="13">
        <f>IF(tblOrdenes[[#This Row],[fecha_inicio]]="","",TODAY()-tblOrdenes[[#This Row],[fecha_inicio]])</f>
        <v/>
      </c>
      <c r="AB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" s="3">
        <f>IF(tblOrdenes[[#This Row],[backlog_habiles]]="","",IF(tblOrdenes[[#This Row],[backlog_habiles]]&lt;0,"FUTURO",IF(tblOrdenes[[#This Row],[backlog_habiles]]&gt;p_dias_backlog_max,"BACKLOG","MES CORRIENTE")))</f>
        <v/>
      </c>
      <c r="AD91" s="3">
        <f>IF(tblOrdenes[[#This Row],[backlog_habiles]]="",FALSE,AND(tblOrdenes[[#This Row],[backlog_habiles]]&gt;p_dias_backlog_min,tblOrdenes[[#This Row],[backlog_habiles]]&lt;=p_dias_backlog_max))</f>
        <v/>
      </c>
      <c r="AE91" s="6" t="inlineStr">
        <is>
          <t>Técnico 16</t>
        </is>
      </c>
      <c r="AF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" s="11">
        <f>IF(tblOrdenes[[#This Row],[orden]]="","",_xlfn.XLOOKUP(tblOrdenes[[#This Row],[id_operacion]],tblEjecucion[id_operacion],tblEjecucion[precio],0))</f>
        <v/>
      </c>
      <c r="AJ91" s="11">
        <f>IF(tblOrdenes[[#This Row],[orden]]="","",MAX(0,_xlfn.XLOOKUP(tblOrdenes[[#This Row],[id_operacion]],tblEjecucion[id_operacion],tblEjecucion[costo_plan_total],0)-tblOrdenes[[#This Row],[costo_servicio]]))</f>
        <v/>
      </c>
      <c r="AK91" s="11">
        <f>IF(tblOrdenes[[#This Row],[orden]]="","",tblOrdenes[[#This Row],[costo_servicio]]+tblOrdenes[[#This Row],[costo_materiales]])</f>
        <v/>
      </c>
      <c r="AL91" s="6" t="inlineStr"/>
      <c r="AM91" s="6" t="inlineStr"/>
      <c r="AN91" s="6" t="inlineStr">
        <is>
          <t>ACT-02.pdf</t>
        </is>
      </c>
      <c r="AO91" s="3">
        <f>IF(tblOrdenes[[#This Row],[link_checklist]]="","",HYPERLINK(p_ruta_base_checklists&amp;tblOrdenes[[#This Row],[link_checklist]],"abrir"))</f>
        <v/>
      </c>
      <c r="AP91" s="6" t="inlineStr"/>
      <c r="AQ91" s="3">
        <f>IF(tblOrdenes[[#This Row],[orden]]="","",tblOrdenes[[#This Row],[orden]]&amp;IF(tblOrdenes[[#This Row],[operacion]]="","0010",tblOrdenes[[#This Row],[operacion]]))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2" t="n">
        <v>46226</v>
      </c>
      <c r="K92" s="3" t="n">
        <v>6</v>
      </c>
      <c r="L92" s="11" t="n">
        <v>150</v>
      </c>
      <c r="M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" s="3">
        <f>IF(tblOrdenes[[#This Row],[fecha_inicio]]="","",YEAR(tblOrdenes[[#This Row],[fecha_inicio]]))</f>
        <v/>
      </c>
      <c r="Q92" s="3">
        <f>IF(tblOrdenes[[#This Row],[fecha_inicio]]="","",MONTH(tblOrdenes[[#This Row],[fecha_inicio]]))</f>
        <v/>
      </c>
      <c r="R92" s="3">
        <f>IF(tblOrdenes[[#This Row],[fecha_inicio]]="","",INDEX(lista_dias,WEEKDAY(tblOrdenes[[#This Row],[fecha_inicio]],2)))</f>
        <v/>
      </c>
      <c r="S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" s="3">
        <f>IF(tblOrdenes[[#This Row],[tipo_ot]]="","",_xlfn.XLOOKUP(tblOrdenes[[#This Row],[tipo_ot]],tblTiposOT[codigo],tblTiposOT[clasificacion],"sin_clasificar"))</f>
        <v/>
      </c>
      <c r="U92" s="3">
        <f>IF(tblOrdenes[[#This Row],[centro_costo]]="","",_xlfn.XLOOKUP(tblOrdenes[[#This Row],[centro_costo]],tblCECO[codigo],tblCECO[linea],"(sin catálogo)"))</f>
        <v/>
      </c>
      <c r="V92" s="3">
        <f>IF(tblOrdenes[[#This Row],[centro_costo]]="","",_xlfn.XLOOKUP(tblOrdenes[[#This Row],[centro_costo]],tblCECO[codigo],tblCECO[area],"(sin catálogo)"))</f>
        <v/>
      </c>
      <c r="W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" s="3">
        <f>IF(tblOrdenes[[#This Row],[centro_costo]]="","",_xlfn.XLOOKUP(tblOrdenes[[#This Row],[centro_costo]],tblCECO[codigo],tblCECO[coordinador],"(sin catálogo)"))</f>
        <v/>
      </c>
      <c r="Y92" s="3">
        <f>IF(tblOrdenes[[#This Row],[puesto_trabajo]]="","",_xlfn.XLOOKUP(tblOrdenes[[#This Row],[puesto_trabajo]],tblPuestos[codigo],tblPuestos[especialidad],"(sin catálogo)"))</f>
        <v/>
      </c>
      <c r="Z92" s="3">
        <f>IF(tblOrdenes[[#This Row],[cod_actividad]]="","",_xlfn.XLOOKUP(tblOrdenes[[#This Row],[cod_actividad]],tblActividades[codigo],tblActividades[descripcion],"(sin catálogo)"))</f>
        <v/>
      </c>
      <c r="AA92" s="13">
        <f>IF(tblOrdenes[[#This Row],[fecha_inicio]]="","",TODAY()-tblOrdenes[[#This Row],[fecha_inicio]])</f>
        <v/>
      </c>
      <c r="AB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" s="3">
        <f>IF(tblOrdenes[[#This Row],[backlog_habiles]]="","",IF(tblOrdenes[[#This Row],[backlog_habiles]]&lt;0,"FUTURO",IF(tblOrdenes[[#This Row],[backlog_habiles]]&gt;p_dias_backlog_max,"BACKLOG","MES CORRIENTE")))</f>
        <v/>
      </c>
      <c r="AD92" s="3">
        <f>IF(tblOrdenes[[#This Row],[backlog_habiles]]="",FALSE,AND(tblOrdenes[[#This Row],[backlog_habiles]]&gt;p_dias_backlog_min,tblOrdenes[[#This Row],[backlog_habiles]]&lt;=p_dias_backlog_max))</f>
        <v/>
      </c>
      <c r="AE92" s="6" t="inlineStr">
        <is>
          <t>Técnico 15</t>
        </is>
      </c>
      <c r="AF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" s="11">
        <f>IF(tblOrdenes[[#This Row],[orden]]="","",_xlfn.XLOOKUP(tblOrdenes[[#This Row],[id_operacion]],tblEjecucion[id_operacion],tblEjecucion[precio],0))</f>
        <v/>
      </c>
      <c r="AJ92" s="11">
        <f>IF(tblOrdenes[[#This Row],[orden]]="","",MAX(0,_xlfn.XLOOKUP(tblOrdenes[[#This Row],[id_operacion]],tblEjecucion[id_operacion],tblEjecucion[costo_plan_total],0)-tblOrdenes[[#This Row],[costo_servicio]]))</f>
        <v/>
      </c>
      <c r="AK92" s="11">
        <f>IF(tblOrdenes[[#This Row],[orden]]="","",tblOrdenes[[#This Row],[costo_servicio]]+tblOrdenes[[#This Row],[costo_materiales]])</f>
        <v/>
      </c>
      <c r="AL92" s="6" t="inlineStr"/>
      <c r="AM92" s="6" t="inlineStr"/>
      <c r="AN92" s="6" t="inlineStr">
        <is>
          <t>ACT-04.pdf</t>
        </is>
      </c>
      <c r="AO92" s="3">
        <f>IF(tblOrdenes[[#This Row],[link_checklist]]="","",HYPERLINK(p_ruta_base_checklists&amp;tblOrdenes[[#This Row],[link_checklist]],"abrir"))</f>
        <v/>
      </c>
      <c r="AP92" s="6" t="inlineStr"/>
      <c r="AQ92" s="3">
        <f>IF(tblOrdenes[[#This Row],[orden]]="","",tblOrdenes[[#This Row],[orden]]&amp;IF(tblOrdenes[[#This Row],[operacion]]="","0010",tblOrdenes[[#This Row],[operacion]]))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2" t="n">
        <v>46227</v>
      </c>
      <c r="K93" s="3" t="n">
        <v>10</v>
      </c>
      <c r="L93" s="11" t="n">
        <v>400</v>
      </c>
      <c r="M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" s="3">
        <f>IF(tblOrdenes[[#This Row],[fecha_inicio]]="","",YEAR(tblOrdenes[[#This Row],[fecha_inicio]]))</f>
        <v/>
      </c>
      <c r="Q93" s="3">
        <f>IF(tblOrdenes[[#This Row],[fecha_inicio]]="","",MONTH(tblOrdenes[[#This Row],[fecha_inicio]]))</f>
        <v/>
      </c>
      <c r="R93" s="3">
        <f>IF(tblOrdenes[[#This Row],[fecha_inicio]]="","",INDEX(lista_dias,WEEKDAY(tblOrdenes[[#This Row],[fecha_inicio]],2)))</f>
        <v/>
      </c>
      <c r="S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" s="3">
        <f>IF(tblOrdenes[[#This Row],[tipo_ot]]="","",_xlfn.XLOOKUP(tblOrdenes[[#This Row],[tipo_ot]],tblTiposOT[codigo],tblTiposOT[clasificacion],"sin_clasificar"))</f>
        <v/>
      </c>
      <c r="U93" s="3">
        <f>IF(tblOrdenes[[#This Row],[centro_costo]]="","",_xlfn.XLOOKUP(tblOrdenes[[#This Row],[centro_costo]],tblCECO[codigo],tblCECO[linea],"(sin catálogo)"))</f>
        <v/>
      </c>
      <c r="V93" s="3">
        <f>IF(tblOrdenes[[#This Row],[centro_costo]]="","",_xlfn.XLOOKUP(tblOrdenes[[#This Row],[centro_costo]],tblCECO[codigo],tblCECO[area],"(sin catálogo)"))</f>
        <v/>
      </c>
      <c r="W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" s="3">
        <f>IF(tblOrdenes[[#This Row],[centro_costo]]="","",_xlfn.XLOOKUP(tblOrdenes[[#This Row],[centro_costo]],tblCECO[codigo],tblCECO[coordinador],"(sin catálogo)"))</f>
        <v/>
      </c>
      <c r="Y93" s="3">
        <f>IF(tblOrdenes[[#This Row],[puesto_trabajo]]="","",_xlfn.XLOOKUP(tblOrdenes[[#This Row],[puesto_trabajo]],tblPuestos[codigo],tblPuestos[especialidad],"(sin catálogo)"))</f>
        <v/>
      </c>
      <c r="Z93" s="3">
        <f>IF(tblOrdenes[[#This Row],[cod_actividad]]="","",_xlfn.XLOOKUP(tblOrdenes[[#This Row],[cod_actividad]],tblActividades[codigo],tblActividades[descripcion],"(sin catálogo)"))</f>
        <v/>
      </c>
      <c r="AA93" s="13">
        <f>IF(tblOrdenes[[#This Row],[fecha_inicio]]="","",TODAY()-tblOrdenes[[#This Row],[fecha_inicio]])</f>
        <v/>
      </c>
      <c r="AB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" s="3">
        <f>IF(tblOrdenes[[#This Row],[backlog_habiles]]="","",IF(tblOrdenes[[#This Row],[backlog_habiles]]&lt;0,"FUTURO",IF(tblOrdenes[[#This Row],[backlog_habiles]]&gt;p_dias_backlog_max,"BACKLOG","MES CORRIENTE")))</f>
        <v/>
      </c>
      <c r="AD93" s="3">
        <f>IF(tblOrdenes[[#This Row],[backlog_habiles]]="",FALSE,AND(tblOrdenes[[#This Row],[backlog_habiles]]&gt;p_dias_backlog_min,tblOrdenes[[#This Row],[backlog_habiles]]&lt;=p_dias_backlog_max))</f>
        <v/>
      </c>
      <c r="AE93" s="6" t="inlineStr">
        <is>
          <t>Técnico 16</t>
        </is>
      </c>
      <c r="AF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" s="11">
        <f>IF(tblOrdenes[[#This Row],[orden]]="","",_xlfn.XLOOKUP(tblOrdenes[[#This Row],[id_operacion]],tblEjecucion[id_operacion],tblEjecucion[precio],0))</f>
        <v/>
      </c>
      <c r="AJ93" s="11">
        <f>IF(tblOrdenes[[#This Row],[orden]]="","",MAX(0,_xlfn.XLOOKUP(tblOrdenes[[#This Row],[id_operacion]],tblEjecucion[id_operacion],tblEjecucion[costo_plan_total],0)-tblOrdenes[[#This Row],[costo_servicio]]))</f>
        <v/>
      </c>
      <c r="AK93" s="11">
        <f>IF(tblOrdenes[[#This Row],[orden]]="","",tblOrdenes[[#This Row],[costo_servicio]]+tblOrdenes[[#This Row],[costo_materiales]])</f>
        <v/>
      </c>
      <c r="AL93" s="6" t="inlineStr"/>
      <c r="AM93" s="6" t="inlineStr"/>
      <c r="AN93" s="6" t="inlineStr"/>
      <c r="AO93" s="3">
        <f>IF(tblOrdenes[[#This Row],[link_checklist]]="","",HYPERLINK(p_ruta_base_checklists&amp;tblOrdenes[[#This Row],[link_checklist]],"abrir"))</f>
        <v/>
      </c>
      <c r="AP93" s="6" t="inlineStr"/>
      <c r="AQ93" s="3">
        <f>IF(tblOrdenes[[#This Row],[orden]]="","",tblOrdenes[[#This Row],[orden]]&amp;IF(tblOrdenes[[#This Row],[operacion]]="","0010",tblOrdenes[[#This Row],[operacion]]))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2" t="n">
        <v>46230</v>
      </c>
      <c r="K94" s="3" t="n">
        <v>10</v>
      </c>
      <c r="L94" s="11" t="n">
        <v>250</v>
      </c>
      <c r="M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" s="3">
        <f>IF(tblOrdenes[[#This Row],[fecha_inicio]]="","",YEAR(tblOrdenes[[#This Row],[fecha_inicio]]))</f>
        <v/>
      </c>
      <c r="Q94" s="3">
        <f>IF(tblOrdenes[[#This Row],[fecha_inicio]]="","",MONTH(tblOrdenes[[#This Row],[fecha_inicio]]))</f>
        <v/>
      </c>
      <c r="R94" s="3">
        <f>IF(tblOrdenes[[#This Row],[fecha_inicio]]="","",INDEX(lista_dias,WEEKDAY(tblOrdenes[[#This Row],[fecha_inicio]],2)))</f>
        <v/>
      </c>
      <c r="S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" s="3">
        <f>IF(tblOrdenes[[#This Row],[tipo_ot]]="","",_xlfn.XLOOKUP(tblOrdenes[[#This Row],[tipo_ot]],tblTiposOT[codigo],tblTiposOT[clasificacion],"sin_clasificar"))</f>
        <v/>
      </c>
      <c r="U94" s="3">
        <f>IF(tblOrdenes[[#This Row],[centro_costo]]="","",_xlfn.XLOOKUP(tblOrdenes[[#This Row],[centro_costo]],tblCECO[codigo],tblCECO[linea],"(sin catálogo)"))</f>
        <v/>
      </c>
      <c r="V94" s="3">
        <f>IF(tblOrdenes[[#This Row],[centro_costo]]="","",_xlfn.XLOOKUP(tblOrdenes[[#This Row],[centro_costo]],tblCECO[codigo],tblCECO[area],"(sin catálogo)"))</f>
        <v/>
      </c>
      <c r="W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" s="3">
        <f>IF(tblOrdenes[[#This Row],[centro_costo]]="","",_xlfn.XLOOKUP(tblOrdenes[[#This Row],[centro_costo]],tblCECO[codigo],tblCECO[coordinador],"(sin catálogo)"))</f>
        <v/>
      </c>
      <c r="Y94" s="3">
        <f>IF(tblOrdenes[[#This Row],[puesto_trabajo]]="","",_xlfn.XLOOKUP(tblOrdenes[[#This Row],[puesto_trabajo]],tblPuestos[codigo],tblPuestos[especialidad],"(sin catálogo)"))</f>
        <v/>
      </c>
      <c r="Z94" s="3">
        <f>IF(tblOrdenes[[#This Row],[cod_actividad]]="","",_xlfn.XLOOKUP(tblOrdenes[[#This Row],[cod_actividad]],tblActividades[codigo],tblActividades[descripcion],"(sin catálogo)"))</f>
        <v/>
      </c>
      <c r="AA94" s="13">
        <f>IF(tblOrdenes[[#This Row],[fecha_inicio]]="","",TODAY()-tblOrdenes[[#This Row],[fecha_inicio]])</f>
        <v/>
      </c>
      <c r="AB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" s="3">
        <f>IF(tblOrdenes[[#This Row],[backlog_habiles]]="","",IF(tblOrdenes[[#This Row],[backlog_habiles]]&lt;0,"FUTURO",IF(tblOrdenes[[#This Row],[backlog_habiles]]&gt;p_dias_backlog_max,"BACKLOG","MES CORRIENTE")))</f>
        <v/>
      </c>
      <c r="AD94" s="3">
        <f>IF(tblOrdenes[[#This Row],[backlog_habiles]]="",FALSE,AND(tblOrdenes[[#This Row],[backlog_habiles]]&gt;p_dias_backlog_min,tblOrdenes[[#This Row],[backlog_habiles]]&lt;=p_dias_backlog_max))</f>
        <v/>
      </c>
      <c r="AE94" s="6" t="inlineStr">
        <is>
          <t>Técnico 15</t>
        </is>
      </c>
      <c r="AF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" s="11">
        <f>IF(tblOrdenes[[#This Row],[orden]]="","",_xlfn.XLOOKUP(tblOrdenes[[#This Row],[id_operacion]],tblEjecucion[id_operacion],tblEjecucion[precio],0))</f>
        <v/>
      </c>
      <c r="AJ94" s="11">
        <f>IF(tblOrdenes[[#This Row],[orden]]="","",MAX(0,_xlfn.XLOOKUP(tblOrdenes[[#This Row],[id_operacion]],tblEjecucion[id_operacion],tblEjecucion[costo_plan_total],0)-tblOrdenes[[#This Row],[costo_servicio]]))</f>
        <v/>
      </c>
      <c r="AK94" s="11">
        <f>IF(tblOrdenes[[#This Row],[orden]]="","",tblOrdenes[[#This Row],[costo_servicio]]+tblOrdenes[[#This Row],[costo_materiales]])</f>
        <v/>
      </c>
      <c r="AL94" s="6" t="inlineStr"/>
      <c r="AM94" s="6" t="inlineStr"/>
      <c r="AN94" s="6" t="inlineStr">
        <is>
          <t>ACT-02.pdf</t>
        </is>
      </c>
      <c r="AO94" s="3">
        <f>IF(tblOrdenes[[#This Row],[link_checklist]]="","",HYPERLINK(p_ruta_base_checklists&amp;tblOrdenes[[#This Row],[link_checklist]],"abrir"))</f>
        <v/>
      </c>
      <c r="AP94" s="6" t="inlineStr"/>
      <c r="AQ94" s="3">
        <f>IF(tblOrdenes[[#This Row],[orden]]="","",tblOrdenes[[#This Row],[orden]]&amp;IF(tblOrdenes[[#This Row],[operacion]]="","0010",tblOrdenes[[#This Row],[operacion]]))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2" t="n">
        <v>46231</v>
      </c>
      <c r="K95" s="3" t="n">
        <v>8</v>
      </c>
      <c r="L95" s="11" t="n">
        <v>200</v>
      </c>
      <c r="M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" s="3">
        <f>IF(tblOrdenes[[#This Row],[fecha_inicio]]="","",YEAR(tblOrdenes[[#This Row],[fecha_inicio]]))</f>
        <v/>
      </c>
      <c r="Q95" s="3">
        <f>IF(tblOrdenes[[#This Row],[fecha_inicio]]="","",MONTH(tblOrdenes[[#This Row],[fecha_inicio]]))</f>
        <v/>
      </c>
      <c r="R95" s="3">
        <f>IF(tblOrdenes[[#This Row],[fecha_inicio]]="","",INDEX(lista_dias,WEEKDAY(tblOrdenes[[#This Row],[fecha_inicio]],2)))</f>
        <v/>
      </c>
      <c r="S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" s="3">
        <f>IF(tblOrdenes[[#This Row],[tipo_ot]]="","",_xlfn.XLOOKUP(tblOrdenes[[#This Row],[tipo_ot]],tblTiposOT[codigo],tblTiposOT[clasificacion],"sin_clasificar"))</f>
        <v/>
      </c>
      <c r="U95" s="3">
        <f>IF(tblOrdenes[[#This Row],[centro_costo]]="","",_xlfn.XLOOKUP(tblOrdenes[[#This Row],[centro_costo]],tblCECO[codigo],tblCECO[linea],"(sin catálogo)"))</f>
        <v/>
      </c>
      <c r="V95" s="3">
        <f>IF(tblOrdenes[[#This Row],[centro_costo]]="","",_xlfn.XLOOKUP(tblOrdenes[[#This Row],[centro_costo]],tblCECO[codigo],tblCECO[area],"(sin catálogo)"))</f>
        <v/>
      </c>
      <c r="W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" s="3">
        <f>IF(tblOrdenes[[#This Row],[centro_costo]]="","",_xlfn.XLOOKUP(tblOrdenes[[#This Row],[centro_costo]],tblCECO[codigo],tblCECO[coordinador],"(sin catálogo)"))</f>
        <v/>
      </c>
      <c r="Y95" s="3">
        <f>IF(tblOrdenes[[#This Row],[puesto_trabajo]]="","",_xlfn.XLOOKUP(tblOrdenes[[#This Row],[puesto_trabajo]],tblPuestos[codigo],tblPuestos[especialidad],"(sin catálogo)"))</f>
        <v/>
      </c>
      <c r="Z95" s="3">
        <f>IF(tblOrdenes[[#This Row],[cod_actividad]]="","",_xlfn.XLOOKUP(tblOrdenes[[#This Row],[cod_actividad]],tblActividades[codigo],tblActividades[descripcion],"(sin catálogo)"))</f>
        <v/>
      </c>
      <c r="AA95" s="13">
        <f>IF(tblOrdenes[[#This Row],[fecha_inicio]]="","",TODAY()-tblOrdenes[[#This Row],[fecha_inicio]])</f>
        <v/>
      </c>
      <c r="AB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" s="3">
        <f>IF(tblOrdenes[[#This Row],[backlog_habiles]]="","",IF(tblOrdenes[[#This Row],[backlog_habiles]]&lt;0,"FUTURO",IF(tblOrdenes[[#This Row],[backlog_habiles]]&gt;p_dias_backlog_max,"BACKLOG","MES CORRIENTE")))</f>
        <v/>
      </c>
      <c r="AD95" s="3">
        <f>IF(tblOrdenes[[#This Row],[backlog_habiles]]="",FALSE,AND(tblOrdenes[[#This Row],[backlog_habiles]]&gt;p_dias_backlog_min,tblOrdenes[[#This Row],[backlog_habiles]]&lt;=p_dias_backlog_max))</f>
        <v/>
      </c>
      <c r="AE95" s="6" t="inlineStr">
        <is>
          <t>Técnico 16</t>
        </is>
      </c>
      <c r="AF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" s="11">
        <f>IF(tblOrdenes[[#This Row],[orden]]="","",_xlfn.XLOOKUP(tblOrdenes[[#This Row],[id_operacion]],tblEjecucion[id_operacion],tblEjecucion[precio],0))</f>
        <v/>
      </c>
      <c r="AJ95" s="11">
        <f>IF(tblOrdenes[[#This Row],[orden]]="","",MAX(0,_xlfn.XLOOKUP(tblOrdenes[[#This Row],[id_operacion]],tblEjecucion[id_operacion],tblEjecucion[costo_plan_total],0)-tblOrdenes[[#This Row],[costo_servicio]]))</f>
        <v/>
      </c>
      <c r="AK95" s="11">
        <f>IF(tblOrdenes[[#This Row],[orden]]="","",tblOrdenes[[#This Row],[costo_servicio]]+tblOrdenes[[#This Row],[costo_materiales]])</f>
        <v/>
      </c>
      <c r="AL95" s="6" t="inlineStr"/>
      <c r="AM95" s="6" t="inlineStr"/>
      <c r="AN95" s="6" t="inlineStr">
        <is>
          <t>ACT-04.pdf</t>
        </is>
      </c>
      <c r="AO95" s="3">
        <f>IF(tblOrdenes[[#This Row],[link_checklist]]="","",HYPERLINK(p_ruta_base_checklists&amp;tblOrdenes[[#This Row],[link_checklist]],"abrir"))</f>
        <v/>
      </c>
      <c r="AP95" s="6" t="inlineStr"/>
      <c r="AQ95" s="3">
        <f>IF(tblOrdenes[[#This Row],[orden]]="","",tblOrdenes[[#This Row],[orden]]&amp;IF(tblOrdenes[[#This Row],[operacion]]="","0010",tblOrdenes[[#This Row],[operacion]]))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2" t="n">
        <v>46232</v>
      </c>
      <c r="K96" s="3" t="n">
        <v>6</v>
      </c>
      <c r="L96" s="11" t="n">
        <v>150</v>
      </c>
      <c r="M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" s="3">
        <f>IF(tblOrdenes[[#This Row],[fecha_inicio]]="","",YEAR(tblOrdenes[[#This Row],[fecha_inicio]]))</f>
        <v/>
      </c>
      <c r="Q96" s="3">
        <f>IF(tblOrdenes[[#This Row],[fecha_inicio]]="","",MONTH(tblOrdenes[[#This Row],[fecha_inicio]]))</f>
        <v/>
      </c>
      <c r="R96" s="3">
        <f>IF(tblOrdenes[[#This Row],[fecha_inicio]]="","",INDEX(lista_dias,WEEKDAY(tblOrdenes[[#This Row],[fecha_inicio]],2)))</f>
        <v/>
      </c>
      <c r="S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" s="3">
        <f>IF(tblOrdenes[[#This Row],[tipo_ot]]="","",_xlfn.XLOOKUP(tblOrdenes[[#This Row],[tipo_ot]],tblTiposOT[codigo],tblTiposOT[clasificacion],"sin_clasificar"))</f>
        <v/>
      </c>
      <c r="U96" s="3">
        <f>IF(tblOrdenes[[#This Row],[centro_costo]]="","",_xlfn.XLOOKUP(tblOrdenes[[#This Row],[centro_costo]],tblCECO[codigo],tblCECO[linea],"(sin catálogo)"))</f>
        <v/>
      </c>
      <c r="V96" s="3">
        <f>IF(tblOrdenes[[#This Row],[centro_costo]]="","",_xlfn.XLOOKUP(tblOrdenes[[#This Row],[centro_costo]],tblCECO[codigo],tblCECO[area],"(sin catálogo)"))</f>
        <v/>
      </c>
      <c r="W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" s="3">
        <f>IF(tblOrdenes[[#This Row],[centro_costo]]="","",_xlfn.XLOOKUP(tblOrdenes[[#This Row],[centro_costo]],tblCECO[codigo],tblCECO[coordinador],"(sin catálogo)"))</f>
        <v/>
      </c>
      <c r="Y96" s="3">
        <f>IF(tblOrdenes[[#This Row],[puesto_trabajo]]="","",_xlfn.XLOOKUP(tblOrdenes[[#This Row],[puesto_trabajo]],tblPuestos[codigo],tblPuestos[especialidad],"(sin catálogo)"))</f>
        <v/>
      </c>
      <c r="Z96" s="3">
        <f>IF(tblOrdenes[[#This Row],[cod_actividad]]="","",_xlfn.XLOOKUP(tblOrdenes[[#This Row],[cod_actividad]],tblActividades[codigo],tblActividades[descripcion],"(sin catálogo)"))</f>
        <v/>
      </c>
      <c r="AA96" s="13">
        <f>IF(tblOrdenes[[#This Row],[fecha_inicio]]="","",TODAY()-tblOrdenes[[#This Row],[fecha_inicio]])</f>
        <v/>
      </c>
      <c r="AB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" s="3">
        <f>IF(tblOrdenes[[#This Row],[backlog_habiles]]="","",IF(tblOrdenes[[#This Row],[backlog_habiles]]&lt;0,"FUTURO",IF(tblOrdenes[[#This Row],[backlog_habiles]]&gt;p_dias_backlog_max,"BACKLOG","MES CORRIENTE")))</f>
        <v/>
      </c>
      <c r="AD96" s="3">
        <f>IF(tblOrdenes[[#This Row],[backlog_habiles]]="",FALSE,AND(tblOrdenes[[#This Row],[backlog_habiles]]&gt;p_dias_backlog_min,tblOrdenes[[#This Row],[backlog_habiles]]&lt;=p_dias_backlog_max))</f>
        <v/>
      </c>
      <c r="AE96" s="6" t="inlineStr">
        <is>
          <t>Técnico 15</t>
        </is>
      </c>
      <c r="AF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" s="11">
        <f>IF(tblOrdenes[[#This Row],[orden]]="","",_xlfn.XLOOKUP(tblOrdenes[[#This Row],[id_operacion]],tblEjecucion[id_operacion],tblEjecucion[precio],0))</f>
        <v/>
      </c>
      <c r="AJ96" s="11">
        <f>IF(tblOrdenes[[#This Row],[orden]]="","",MAX(0,_xlfn.XLOOKUP(tblOrdenes[[#This Row],[id_operacion]],tblEjecucion[id_operacion],tblEjecucion[costo_plan_total],0)-tblOrdenes[[#This Row],[costo_servicio]]))</f>
        <v/>
      </c>
      <c r="AK96" s="11">
        <f>IF(tblOrdenes[[#This Row],[orden]]="","",tblOrdenes[[#This Row],[costo_servicio]]+tblOrdenes[[#This Row],[costo_materiales]])</f>
        <v/>
      </c>
      <c r="AL96" s="6" t="inlineStr"/>
      <c r="AM96" s="6" t="inlineStr"/>
      <c r="AN96" s="6" t="inlineStr">
        <is>
          <t>ACT-01.pdf</t>
        </is>
      </c>
      <c r="AO96" s="3">
        <f>IF(tblOrdenes[[#This Row],[link_checklist]]="","",HYPERLINK(p_ruta_base_checklists&amp;tblOrdenes[[#This Row],[link_checklist]],"abrir"))</f>
        <v/>
      </c>
      <c r="AP96" s="6" t="inlineStr"/>
      <c r="AQ96" s="3">
        <f>IF(tblOrdenes[[#This Row],[orden]]="","",tblOrdenes[[#This Row],[orden]]&amp;IF(tblOrdenes[[#This Row],[operacion]]="","0010",tblOrdenes[[#This Row],[operacion]]))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2" t="n">
        <v>46233</v>
      </c>
      <c r="K97" s="3" t="n">
        <v>10</v>
      </c>
      <c r="L97" s="11" t="n">
        <v>250</v>
      </c>
      <c r="M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" s="3">
        <f>IF(tblOrdenes[[#This Row],[fecha_inicio]]="","",YEAR(tblOrdenes[[#This Row],[fecha_inicio]]))</f>
        <v/>
      </c>
      <c r="Q97" s="3">
        <f>IF(tblOrdenes[[#This Row],[fecha_inicio]]="","",MONTH(tblOrdenes[[#This Row],[fecha_inicio]]))</f>
        <v/>
      </c>
      <c r="R97" s="3">
        <f>IF(tblOrdenes[[#This Row],[fecha_inicio]]="","",INDEX(lista_dias,WEEKDAY(tblOrdenes[[#This Row],[fecha_inicio]],2)))</f>
        <v/>
      </c>
      <c r="S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" s="3">
        <f>IF(tblOrdenes[[#This Row],[tipo_ot]]="","",_xlfn.XLOOKUP(tblOrdenes[[#This Row],[tipo_ot]],tblTiposOT[codigo],tblTiposOT[clasificacion],"sin_clasificar"))</f>
        <v/>
      </c>
      <c r="U97" s="3">
        <f>IF(tblOrdenes[[#This Row],[centro_costo]]="","",_xlfn.XLOOKUP(tblOrdenes[[#This Row],[centro_costo]],tblCECO[codigo],tblCECO[linea],"(sin catálogo)"))</f>
        <v/>
      </c>
      <c r="V97" s="3">
        <f>IF(tblOrdenes[[#This Row],[centro_costo]]="","",_xlfn.XLOOKUP(tblOrdenes[[#This Row],[centro_costo]],tblCECO[codigo],tblCECO[area],"(sin catálogo)"))</f>
        <v/>
      </c>
      <c r="W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" s="3">
        <f>IF(tblOrdenes[[#This Row],[centro_costo]]="","",_xlfn.XLOOKUP(tblOrdenes[[#This Row],[centro_costo]],tblCECO[codigo],tblCECO[coordinador],"(sin catálogo)"))</f>
        <v/>
      </c>
      <c r="Y97" s="3">
        <f>IF(tblOrdenes[[#This Row],[puesto_trabajo]]="","",_xlfn.XLOOKUP(tblOrdenes[[#This Row],[puesto_trabajo]],tblPuestos[codigo],tblPuestos[especialidad],"(sin catálogo)"))</f>
        <v/>
      </c>
      <c r="Z97" s="3">
        <f>IF(tblOrdenes[[#This Row],[cod_actividad]]="","",_xlfn.XLOOKUP(tblOrdenes[[#This Row],[cod_actividad]],tblActividades[codigo],tblActividades[descripcion],"(sin catálogo)"))</f>
        <v/>
      </c>
      <c r="AA97" s="13">
        <f>IF(tblOrdenes[[#This Row],[fecha_inicio]]="","",TODAY()-tblOrdenes[[#This Row],[fecha_inicio]])</f>
        <v/>
      </c>
      <c r="AB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" s="3">
        <f>IF(tblOrdenes[[#This Row],[backlog_habiles]]="","",IF(tblOrdenes[[#This Row],[backlog_habiles]]&lt;0,"FUTURO",IF(tblOrdenes[[#This Row],[backlog_habiles]]&gt;p_dias_backlog_max,"BACKLOG","MES CORRIENTE")))</f>
        <v/>
      </c>
      <c r="AD97" s="3">
        <f>IF(tblOrdenes[[#This Row],[backlog_habiles]]="",FALSE,AND(tblOrdenes[[#This Row],[backlog_habiles]]&gt;p_dias_backlog_min,tblOrdenes[[#This Row],[backlog_habiles]]&lt;=p_dias_backlog_max))</f>
        <v/>
      </c>
      <c r="AE97" s="6" t="inlineStr">
        <is>
          <t>Técnico 16</t>
        </is>
      </c>
      <c r="AF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" s="11">
        <f>IF(tblOrdenes[[#This Row],[orden]]="","",_xlfn.XLOOKUP(tblOrdenes[[#This Row],[id_operacion]],tblEjecucion[id_operacion],tblEjecucion[precio],0))</f>
        <v/>
      </c>
      <c r="AJ97" s="11">
        <f>IF(tblOrdenes[[#This Row],[orden]]="","",MAX(0,_xlfn.XLOOKUP(tblOrdenes[[#This Row],[id_operacion]],tblEjecucion[id_operacion],tblEjecucion[costo_plan_total],0)-tblOrdenes[[#This Row],[costo_servicio]]))</f>
        <v/>
      </c>
      <c r="AK97" s="11">
        <f>IF(tblOrdenes[[#This Row],[orden]]="","",tblOrdenes[[#This Row],[costo_servicio]]+tblOrdenes[[#This Row],[costo_materiales]])</f>
        <v/>
      </c>
      <c r="AL97" s="6" t="inlineStr"/>
      <c r="AM97" s="6" t="inlineStr"/>
      <c r="AN97" s="6" t="inlineStr">
        <is>
          <t>ACT-02.pdf</t>
        </is>
      </c>
      <c r="AO97" s="3">
        <f>IF(tblOrdenes[[#This Row],[link_checklist]]="","",HYPERLINK(p_ruta_base_checklists&amp;tblOrdenes[[#This Row],[link_checklist]],"abrir"))</f>
        <v/>
      </c>
      <c r="AP97" s="6" t="inlineStr"/>
      <c r="AQ97" s="3">
        <f>IF(tblOrdenes[[#This Row],[orden]]="","",tblOrdenes[[#This Row],[orden]]&amp;IF(tblOrdenes[[#This Row],[operacion]]="","0010",tblOrdenes[[#This Row],[operacion]]))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2" t="n">
        <v>46234</v>
      </c>
      <c r="K98" s="3" t="n">
        <v>11</v>
      </c>
      <c r="L98" s="11" t="n">
        <v>275</v>
      </c>
      <c r="M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" s="3">
        <f>IF(tblOrdenes[[#This Row],[fecha_inicio]]="","",YEAR(tblOrdenes[[#This Row],[fecha_inicio]]))</f>
        <v/>
      </c>
      <c r="Q98" s="3">
        <f>IF(tblOrdenes[[#This Row],[fecha_inicio]]="","",MONTH(tblOrdenes[[#This Row],[fecha_inicio]]))</f>
        <v/>
      </c>
      <c r="R98" s="3">
        <f>IF(tblOrdenes[[#This Row],[fecha_inicio]]="","",INDEX(lista_dias,WEEKDAY(tblOrdenes[[#This Row],[fecha_inicio]],2)))</f>
        <v/>
      </c>
      <c r="S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" s="3">
        <f>IF(tblOrdenes[[#This Row],[tipo_ot]]="","",_xlfn.XLOOKUP(tblOrdenes[[#This Row],[tipo_ot]],tblTiposOT[codigo],tblTiposOT[clasificacion],"sin_clasificar"))</f>
        <v/>
      </c>
      <c r="U98" s="3">
        <f>IF(tblOrdenes[[#This Row],[centro_costo]]="","",_xlfn.XLOOKUP(tblOrdenes[[#This Row],[centro_costo]],tblCECO[codigo],tblCECO[linea],"(sin catálogo)"))</f>
        <v/>
      </c>
      <c r="V98" s="3">
        <f>IF(tblOrdenes[[#This Row],[centro_costo]]="","",_xlfn.XLOOKUP(tblOrdenes[[#This Row],[centro_costo]],tblCECO[codigo],tblCECO[area],"(sin catálogo)"))</f>
        <v/>
      </c>
      <c r="W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" s="3">
        <f>IF(tblOrdenes[[#This Row],[centro_costo]]="","",_xlfn.XLOOKUP(tblOrdenes[[#This Row],[centro_costo]],tblCECO[codigo],tblCECO[coordinador],"(sin catálogo)"))</f>
        <v/>
      </c>
      <c r="Y98" s="3">
        <f>IF(tblOrdenes[[#This Row],[puesto_trabajo]]="","",_xlfn.XLOOKUP(tblOrdenes[[#This Row],[puesto_trabajo]],tblPuestos[codigo],tblPuestos[especialidad],"(sin catálogo)"))</f>
        <v/>
      </c>
      <c r="Z98" s="3">
        <f>IF(tblOrdenes[[#This Row],[cod_actividad]]="","",_xlfn.XLOOKUP(tblOrdenes[[#This Row],[cod_actividad]],tblActividades[codigo],tblActividades[descripcion],"(sin catálogo)"))</f>
        <v/>
      </c>
      <c r="AA98" s="13">
        <f>IF(tblOrdenes[[#This Row],[fecha_inicio]]="","",TODAY()-tblOrdenes[[#This Row],[fecha_inicio]])</f>
        <v/>
      </c>
      <c r="AB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" s="3">
        <f>IF(tblOrdenes[[#This Row],[backlog_habiles]]="","",IF(tblOrdenes[[#This Row],[backlog_habiles]]&lt;0,"FUTURO",IF(tblOrdenes[[#This Row],[backlog_habiles]]&gt;p_dias_backlog_max,"BACKLOG","MES CORRIENTE")))</f>
        <v/>
      </c>
      <c r="AD98" s="3">
        <f>IF(tblOrdenes[[#This Row],[backlog_habiles]]="",FALSE,AND(tblOrdenes[[#This Row],[backlog_habiles]]&gt;p_dias_backlog_min,tblOrdenes[[#This Row],[backlog_habiles]]&lt;=p_dias_backlog_max))</f>
        <v/>
      </c>
      <c r="AE98" s="6" t="inlineStr">
        <is>
          <t>Técnico 15</t>
        </is>
      </c>
      <c r="AF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" s="11">
        <f>IF(tblOrdenes[[#This Row],[orden]]="","",_xlfn.XLOOKUP(tblOrdenes[[#This Row],[id_operacion]],tblEjecucion[id_operacion],tblEjecucion[precio],0))</f>
        <v/>
      </c>
      <c r="AJ98" s="11">
        <f>IF(tblOrdenes[[#This Row],[orden]]="","",MAX(0,_xlfn.XLOOKUP(tblOrdenes[[#This Row],[id_operacion]],tblEjecucion[id_operacion],tblEjecucion[costo_plan_total],0)-tblOrdenes[[#This Row],[costo_servicio]]))</f>
        <v/>
      </c>
      <c r="AK98" s="11">
        <f>IF(tblOrdenes[[#This Row],[orden]]="","",tblOrdenes[[#This Row],[costo_servicio]]+tblOrdenes[[#This Row],[costo_materiales]])</f>
        <v/>
      </c>
      <c r="AL98" s="6" t="inlineStr"/>
      <c r="AM98" s="6" t="inlineStr"/>
      <c r="AN98" s="6" t="inlineStr">
        <is>
          <t>ACT-04.pdf</t>
        </is>
      </c>
      <c r="AO98" s="3">
        <f>IF(tblOrdenes[[#This Row],[link_checklist]]="","",HYPERLINK(p_ruta_base_checklists&amp;tblOrdenes[[#This Row],[link_checklist]],"abrir"))</f>
        <v/>
      </c>
      <c r="AP98" s="6" t="inlineStr"/>
      <c r="AQ98" s="3">
        <f>IF(tblOrdenes[[#This Row],[orden]]="","",tblOrdenes[[#This Row],[orden]]&amp;IF(tblOrdenes[[#This Row],[operacion]]="","0010",tblOrdenes[[#This Row],[operacion]]))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2" t="n">
        <v>46230</v>
      </c>
      <c r="K99" s="3" t="n">
        <v>10</v>
      </c>
      <c r="L99" s="11" t="n">
        <v>400</v>
      </c>
      <c r="M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" s="3">
        <f>IF(tblOrdenes[[#This Row],[fecha_inicio]]="","",YEAR(tblOrdenes[[#This Row],[fecha_inicio]]))</f>
        <v/>
      </c>
      <c r="Q99" s="3">
        <f>IF(tblOrdenes[[#This Row],[fecha_inicio]]="","",MONTH(tblOrdenes[[#This Row],[fecha_inicio]]))</f>
        <v/>
      </c>
      <c r="R99" s="3">
        <f>IF(tblOrdenes[[#This Row],[fecha_inicio]]="","",INDEX(lista_dias,WEEKDAY(tblOrdenes[[#This Row],[fecha_inicio]],2)))</f>
        <v/>
      </c>
      <c r="S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" s="3">
        <f>IF(tblOrdenes[[#This Row],[tipo_ot]]="","",_xlfn.XLOOKUP(tblOrdenes[[#This Row],[tipo_ot]],tblTiposOT[codigo],tblTiposOT[clasificacion],"sin_clasificar"))</f>
        <v/>
      </c>
      <c r="U99" s="3">
        <f>IF(tblOrdenes[[#This Row],[centro_costo]]="","",_xlfn.XLOOKUP(tblOrdenes[[#This Row],[centro_costo]],tblCECO[codigo],tblCECO[linea],"(sin catálogo)"))</f>
        <v/>
      </c>
      <c r="V99" s="3">
        <f>IF(tblOrdenes[[#This Row],[centro_costo]]="","",_xlfn.XLOOKUP(tblOrdenes[[#This Row],[centro_costo]],tblCECO[codigo],tblCECO[area],"(sin catálogo)"))</f>
        <v/>
      </c>
      <c r="W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" s="3">
        <f>IF(tblOrdenes[[#This Row],[centro_costo]]="","",_xlfn.XLOOKUP(tblOrdenes[[#This Row],[centro_costo]],tblCECO[codigo],tblCECO[coordinador],"(sin catálogo)"))</f>
        <v/>
      </c>
      <c r="Y99" s="3">
        <f>IF(tblOrdenes[[#This Row],[puesto_trabajo]]="","",_xlfn.XLOOKUP(tblOrdenes[[#This Row],[puesto_trabajo]],tblPuestos[codigo],tblPuestos[especialidad],"(sin catálogo)"))</f>
        <v/>
      </c>
      <c r="Z99" s="3">
        <f>IF(tblOrdenes[[#This Row],[cod_actividad]]="","",_xlfn.XLOOKUP(tblOrdenes[[#This Row],[cod_actividad]],tblActividades[codigo],tblActividades[descripcion],"(sin catálogo)"))</f>
        <v/>
      </c>
      <c r="AA99" s="13">
        <f>IF(tblOrdenes[[#This Row],[fecha_inicio]]="","",TODAY()-tblOrdenes[[#This Row],[fecha_inicio]])</f>
        <v/>
      </c>
      <c r="AB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" s="3">
        <f>IF(tblOrdenes[[#This Row],[backlog_habiles]]="","",IF(tblOrdenes[[#This Row],[backlog_habiles]]&lt;0,"FUTURO",IF(tblOrdenes[[#This Row],[backlog_habiles]]&gt;p_dias_backlog_max,"BACKLOG","MES CORRIENTE")))</f>
        <v/>
      </c>
      <c r="AD99" s="3">
        <f>IF(tblOrdenes[[#This Row],[backlog_habiles]]="",FALSE,AND(tblOrdenes[[#This Row],[backlog_habiles]]&gt;p_dias_backlog_min,tblOrdenes[[#This Row],[backlog_habiles]]&lt;=p_dias_backlog_max))</f>
        <v/>
      </c>
      <c r="AE99" s="6" t="inlineStr"/>
      <c r="AF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" s="11">
        <f>IF(tblOrdenes[[#This Row],[orden]]="","",_xlfn.XLOOKUP(tblOrdenes[[#This Row],[id_operacion]],tblEjecucion[id_operacion],tblEjecucion[precio],0))</f>
        <v/>
      </c>
      <c r="AJ99" s="11">
        <f>IF(tblOrdenes[[#This Row],[orden]]="","",MAX(0,_xlfn.XLOOKUP(tblOrdenes[[#This Row],[id_operacion]],tblEjecucion[id_operacion],tblEjecucion[costo_plan_total],0)-tblOrdenes[[#This Row],[costo_servicio]]))</f>
        <v/>
      </c>
      <c r="AK99" s="11">
        <f>IF(tblOrdenes[[#This Row],[orden]]="","",tblOrdenes[[#This Row],[costo_servicio]]+tblOrdenes[[#This Row],[costo_materiales]])</f>
        <v/>
      </c>
      <c r="AL99" s="6" t="inlineStr">
        <is>
          <t>PT-CALIENTE</t>
        </is>
      </c>
      <c r="AM99" s="6" t="inlineStr">
        <is>
          <t>LOTO</t>
        </is>
      </c>
      <c r="AN99" s="6" t="inlineStr"/>
      <c r="AO99" s="3">
        <f>IF(tblOrdenes[[#This Row],[link_checklist]]="","",HYPERLINK(p_ruta_base_checklists&amp;tblOrdenes[[#This Row],[link_checklist]],"abrir"))</f>
        <v/>
      </c>
      <c r="AP99" s="6" t="inlineStr"/>
      <c r="AQ99" s="3">
        <f>IF(tblOrdenes[[#This Row],[orden]]="","",tblOrdenes[[#This Row],[orden]]&amp;IF(tblOrdenes[[#This Row],[operacion]]="","0010",tblOrdenes[[#This Row],[operacion]]))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2" t="n">
        <v>46238</v>
      </c>
      <c r="K100" s="3" t="n">
        <v>10</v>
      </c>
      <c r="L100" s="11" t="n">
        <v>250</v>
      </c>
      <c r="M1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" s="3">
        <f>IF(tblOrdenes[[#This Row],[fecha_inicio]]="","",YEAR(tblOrdenes[[#This Row],[fecha_inicio]]))</f>
        <v/>
      </c>
      <c r="Q100" s="3">
        <f>IF(tblOrdenes[[#This Row],[fecha_inicio]]="","",MONTH(tblOrdenes[[#This Row],[fecha_inicio]]))</f>
        <v/>
      </c>
      <c r="R100" s="3">
        <f>IF(tblOrdenes[[#This Row],[fecha_inicio]]="","",INDEX(lista_dias,WEEKDAY(tblOrdenes[[#This Row],[fecha_inicio]],2)))</f>
        <v/>
      </c>
      <c r="S1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" s="3">
        <f>IF(tblOrdenes[[#This Row],[tipo_ot]]="","",_xlfn.XLOOKUP(tblOrdenes[[#This Row],[tipo_ot]],tblTiposOT[codigo],tblTiposOT[clasificacion],"sin_clasificar"))</f>
        <v/>
      </c>
      <c r="U100" s="3">
        <f>IF(tblOrdenes[[#This Row],[centro_costo]]="","",_xlfn.XLOOKUP(tblOrdenes[[#This Row],[centro_costo]],tblCECO[codigo],tblCECO[linea],"(sin catálogo)"))</f>
        <v/>
      </c>
      <c r="V100" s="3">
        <f>IF(tblOrdenes[[#This Row],[centro_costo]]="","",_xlfn.XLOOKUP(tblOrdenes[[#This Row],[centro_costo]],tblCECO[codigo],tblCECO[area],"(sin catálogo)"))</f>
        <v/>
      </c>
      <c r="W1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" s="3">
        <f>IF(tblOrdenes[[#This Row],[centro_costo]]="","",_xlfn.XLOOKUP(tblOrdenes[[#This Row],[centro_costo]],tblCECO[codigo],tblCECO[coordinador],"(sin catálogo)"))</f>
        <v/>
      </c>
      <c r="Y100" s="3">
        <f>IF(tblOrdenes[[#This Row],[puesto_trabajo]]="","",_xlfn.XLOOKUP(tblOrdenes[[#This Row],[puesto_trabajo]],tblPuestos[codigo],tblPuestos[especialidad],"(sin catálogo)"))</f>
        <v/>
      </c>
      <c r="Z100" s="3">
        <f>IF(tblOrdenes[[#This Row],[cod_actividad]]="","",_xlfn.XLOOKUP(tblOrdenes[[#This Row],[cod_actividad]],tblActividades[codigo],tblActividades[descripcion],"(sin catálogo)"))</f>
        <v/>
      </c>
      <c r="AA100" s="13">
        <f>IF(tblOrdenes[[#This Row],[fecha_inicio]]="","",TODAY()-tblOrdenes[[#This Row],[fecha_inicio]])</f>
        <v/>
      </c>
      <c r="AB1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" s="3">
        <f>IF(tblOrdenes[[#This Row],[backlog_habiles]]="","",IF(tblOrdenes[[#This Row],[backlog_habiles]]&lt;0,"FUTURO",IF(tblOrdenes[[#This Row],[backlog_habiles]]&gt;p_dias_backlog_max,"BACKLOG","MES CORRIENTE")))</f>
        <v/>
      </c>
      <c r="AD100" s="3">
        <f>IF(tblOrdenes[[#This Row],[backlog_habiles]]="",FALSE,AND(tblOrdenes[[#This Row],[backlog_habiles]]&gt;p_dias_backlog_min,tblOrdenes[[#This Row],[backlog_habiles]]&lt;=p_dias_backlog_max))</f>
        <v/>
      </c>
      <c r="AE100" s="6" t="inlineStr">
        <is>
          <t>Técnico 15</t>
        </is>
      </c>
      <c r="AF1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" s="11">
        <f>IF(tblOrdenes[[#This Row],[orden]]="","",_xlfn.XLOOKUP(tblOrdenes[[#This Row],[id_operacion]],tblEjecucion[id_operacion],tblEjecucion[precio],0))</f>
        <v/>
      </c>
      <c r="AJ100" s="11">
        <f>IF(tblOrdenes[[#This Row],[orden]]="","",MAX(0,_xlfn.XLOOKUP(tblOrdenes[[#This Row],[id_operacion]],tblEjecucion[id_operacion],tblEjecucion[costo_plan_total],0)-tblOrdenes[[#This Row],[costo_servicio]]))</f>
        <v/>
      </c>
      <c r="AK100" s="11">
        <f>IF(tblOrdenes[[#This Row],[orden]]="","",tblOrdenes[[#This Row],[costo_servicio]]+tblOrdenes[[#This Row],[costo_materiales]])</f>
        <v/>
      </c>
      <c r="AL100" s="6" t="inlineStr"/>
      <c r="AM100" s="6" t="inlineStr"/>
      <c r="AN100" s="6" t="inlineStr">
        <is>
          <t>ACT-02.pdf</t>
        </is>
      </c>
      <c r="AO100" s="3">
        <f>IF(tblOrdenes[[#This Row],[link_checklist]]="","",HYPERLINK(p_ruta_base_checklists&amp;tblOrdenes[[#This Row],[link_checklist]],"abrir"))</f>
        <v/>
      </c>
      <c r="AP100" s="6" t="inlineStr"/>
      <c r="AQ100" s="3">
        <f>IF(tblOrdenes[[#This Row],[orden]]="","",tblOrdenes[[#This Row],[orden]]&amp;IF(tblOrdenes[[#This Row],[operacion]]="","0010",tblOrdenes[[#This Row],[operacion]]))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2" t="n">
        <v>46239</v>
      </c>
      <c r="K101" s="3" t="n">
        <v>8</v>
      </c>
      <c r="L101" s="11" t="n">
        <v>200</v>
      </c>
      <c r="M1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" s="3">
        <f>IF(tblOrdenes[[#This Row],[fecha_inicio]]="","",YEAR(tblOrdenes[[#This Row],[fecha_inicio]]))</f>
        <v/>
      </c>
      <c r="Q101" s="3">
        <f>IF(tblOrdenes[[#This Row],[fecha_inicio]]="","",MONTH(tblOrdenes[[#This Row],[fecha_inicio]]))</f>
        <v/>
      </c>
      <c r="R101" s="3">
        <f>IF(tblOrdenes[[#This Row],[fecha_inicio]]="","",INDEX(lista_dias,WEEKDAY(tblOrdenes[[#This Row],[fecha_inicio]],2)))</f>
        <v/>
      </c>
      <c r="S1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" s="3">
        <f>IF(tblOrdenes[[#This Row],[tipo_ot]]="","",_xlfn.XLOOKUP(tblOrdenes[[#This Row],[tipo_ot]],tblTiposOT[codigo],tblTiposOT[clasificacion],"sin_clasificar"))</f>
        <v/>
      </c>
      <c r="U101" s="3">
        <f>IF(tblOrdenes[[#This Row],[centro_costo]]="","",_xlfn.XLOOKUP(tblOrdenes[[#This Row],[centro_costo]],tblCECO[codigo],tblCECO[linea],"(sin catálogo)"))</f>
        <v/>
      </c>
      <c r="V101" s="3">
        <f>IF(tblOrdenes[[#This Row],[centro_costo]]="","",_xlfn.XLOOKUP(tblOrdenes[[#This Row],[centro_costo]],tblCECO[codigo],tblCECO[area],"(sin catálogo)"))</f>
        <v/>
      </c>
      <c r="W1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" s="3">
        <f>IF(tblOrdenes[[#This Row],[centro_costo]]="","",_xlfn.XLOOKUP(tblOrdenes[[#This Row],[centro_costo]],tblCECO[codigo],tblCECO[coordinador],"(sin catálogo)"))</f>
        <v/>
      </c>
      <c r="Y101" s="3">
        <f>IF(tblOrdenes[[#This Row],[puesto_trabajo]]="","",_xlfn.XLOOKUP(tblOrdenes[[#This Row],[puesto_trabajo]],tblPuestos[codigo],tblPuestos[especialidad],"(sin catálogo)"))</f>
        <v/>
      </c>
      <c r="Z101" s="3">
        <f>IF(tblOrdenes[[#This Row],[cod_actividad]]="","",_xlfn.XLOOKUP(tblOrdenes[[#This Row],[cod_actividad]],tblActividades[codigo],tblActividades[descripcion],"(sin catálogo)"))</f>
        <v/>
      </c>
      <c r="AA101" s="13">
        <f>IF(tblOrdenes[[#This Row],[fecha_inicio]]="","",TODAY()-tblOrdenes[[#This Row],[fecha_inicio]])</f>
        <v/>
      </c>
      <c r="AB1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" s="3">
        <f>IF(tblOrdenes[[#This Row],[backlog_habiles]]="","",IF(tblOrdenes[[#This Row],[backlog_habiles]]&lt;0,"FUTURO",IF(tblOrdenes[[#This Row],[backlog_habiles]]&gt;p_dias_backlog_max,"BACKLOG","MES CORRIENTE")))</f>
        <v/>
      </c>
      <c r="AD101" s="3">
        <f>IF(tblOrdenes[[#This Row],[backlog_habiles]]="",FALSE,AND(tblOrdenes[[#This Row],[backlog_habiles]]&gt;p_dias_backlog_min,tblOrdenes[[#This Row],[backlog_habiles]]&lt;=p_dias_backlog_max))</f>
        <v/>
      </c>
      <c r="AE101" s="6" t="inlineStr">
        <is>
          <t>Técnico 16</t>
        </is>
      </c>
      <c r="AF1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" s="11">
        <f>IF(tblOrdenes[[#This Row],[orden]]="","",_xlfn.XLOOKUP(tblOrdenes[[#This Row],[id_operacion]],tblEjecucion[id_operacion],tblEjecucion[precio],0))</f>
        <v/>
      </c>
      <c r="AJ101" s="11">
        <f>IF(tblOrdenes[[#This Row],[orden]]="","",MAX(0,_xlfn.XLOOKUP(tblOrdenes[[#This Row],[id_operacion]],tblEjecucion[id_operacion],tblEjecucion[costo_plan_total],0)-tblOrdenes[[#This Row],[costo_servicio]]))</f>
        <v/>
      </c>
      <c r="AK101" s="11">
        <f>IF(tblOrdenes[[#This Row],[orden]]="","",tblOrdenes[[#This Row],[costo_servicio]]+tblOrdenes[[#This Row],[costo_materiales]])</f>
        <v/>
      </c>
      <c r="AL101" s="6" t="inlineStr"/>
      <c r="AM101" s="6" t="inlineStr"/>
      <c r="AN101" s="6" t="inlineStr">
        <is>
          <t>ACT-04.pdf</t>
        </is>
      </c>
      <c r="AO101" s="3">
        <f>IF(tblOrdenes[[#This Row],[link_checklist]]="","",HYPERLINK(p_ruta_base_checklists&amp;tblOrdenes[[#This Row],[link_checklist]],"abrir"))</f>
        <v/>
      </c>
      <c r="AP101" s="6" t="inlineStr"/>
      <c r="AQ101" s="3">
        <f>IF(tblOrdenes[[#This Row],[orden]]="","",tblOrdenes[[#This Row],[orden]]&amp;IF(tblOrdenes[[#This Row],[operacion]]="","0010",tblOrdenes[[#This Row],[operacion]]))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2" t="n">
        <v>46240</v>
      </c>
      <c r="K102" s="3" t="n">
        <v>6</v>
      </c>
      <c r="L102" s="11" t="n">
        <v>150</v>
      </c>
      <c r="M1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" s="3">
        <f>IF(tblOrdenes[[#This Row],[fecha_inicio]]="","",YEAR(tblOrdenes[[#This Row],[fecha_inicio]]))</f>
        <v/>
      </c>
      <c r="Q102" s="3">
        <f>IF(tblOrdenes[[#This Row],[fecha_inicio]]="","",MONTH(tblOrdenes[[#This Row],[fecha_inicio]]))</f>
        <v/>
      </c>
      <c r="R102" s="3">
        <f>IF(tblOrdenes[[#This Row],[fecha_inicio]]="","",INDEX(lista_dias,WEEKDAY(tblOrdenes[[#This Row],[fecha_inicio]],2)))</f>
        <v/>
      </c>
      <c r="S1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" s="3">
        <f>IF(tblOrdenes[[#This Row],[tipo_ot]]="","",_xlfn.XLOOKUP(tblOrdenes[[#This Row],[tipo_ot]],tblTiposOT[codigo],tblTiposOT[clasificacion],"sin_clasificar"))</f>
        <v/>
      </c>
      <c r="U102" s="3">
        <f>IF(tblOrdenes[[#This Row],[centro_costo]]="","",_xlfn.XLOOKUP(tblOrdenes[[#This Row],[centro_costo]],tblCECO[codigo],tblCECO[linea],"(sin catálogo)"))</f>
        <v/>
      </c>
      <c r="V102" s="3">
        <f>IF(tblOrdenes[[#This Row],[centro_costo]]="","",_xlfn.XLOOKUP(tblOrdenes[[#This Row],[centro_costo]],tblCECO[codigo],tblCECO[area],"(sin catálogo)"))</f>
        <v/>
      </c>
      <c r="W1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" s="3">
        <f>IF(tblOrdenes[[#This Row],[centro_costo]]="","",_xlfn.XLOOKUP(tblOrdenes[[#This Row],[centro_costo]],tblCECO[codigo],tblCECO[coordinador],"(sin catálogo)"))</f>
        <v/>
      </c>
      <c r="Y102" s="3">
        <f>IF(tblOrdenes[[#This Row],[puesto_trabajo]]="","",_xlfn.XLOOKUP(tblOrdenes[[#This Row],[puesto_trabajo]],tblPuestos[codigo],tblPuestos[especialidad],"(sin catálogo)"))</f>
        <v/>
      </c>
      <c r="Z102" s="3">
        <f>IF(tblOrdenes[[#This Row],[cod_actividad]]="","",_xlfn.XLOOKUP(tblOrdenes[[#This Row],[cod_actividad]],tblActividades[codigo],tblActividades[descripcion],"(sin catálogo)"))</f>
        <v/>
      </c>
      <c r="AA102" s="13">
        <f>IF(tblOrdenes[[#This Row],[fecha_inicio]]="","",TODAY()-tblOrdenes[[#This Row],[fecha_inicio]])</f>
        <v/>
      </c>
      <c r="AB1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" s="3">
        <f>IF(tblOrdenes[[#This Row],[backlog_habiles]]="","",IF(tblOrdenes[[#This Row],[backlog_habiles]]&lt;0,"FUTURO",IF(tblOrdenes[[#This Row],[backlog_habiles]]&gt;p_dias_backlog_max,"BACKLOG","MES CORRIENTE")))</f>
        <v/>
      </c>
      <c r="AD102" s="3">
        <f>IF(tblOrdenes[[#This Row],[backlog_habiles]]="",FALSE,AND(tblOrdenes[[#This Row],[backlog_habiles]]&gt;p_dias_backlog_min,tblOrdenes[[#This Row],[backlog_habiles]]&lt;=p_dias_backlog_max))</f>
        <v/>
      </c>
      <c r="AE102" s="6" t="inlineStr">
        <is>
          <t>Técnico 15</t>
        </is>
      </c>
      <c r="AF1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" s="11">
        <f>IF(tblOrdenes[[#This Row],[orden]]="","",_xlfn.XLOOKUP(tblOrdenes[[#This Row],[id_operacion]],tblEjecucion[id_operacion],tblEjecucion[precio],0))</f>
        <v/>
      </c>
      <c r="AJ102" s="11">
        <f>IF(tblOrdenes[[#This Row],[orden]]="","",MAX(0,_xlfn.XLOOKUP(tblOrdenes[[#This Row],[id_operacion]],tblEjecucion[id_operacion],tblEjecucion[costo_plan_total],0)-tblOrdenes[[#This Row],[costo_servicio]]))</f>
        <v/>
      </c>
      <c r="AK102" s="11">
        <f>IF(tblOrdenes[[#This Row],[orden]]="","",tblOrdenes[[#This Row],[costo_servicio]]+tblOrdenes[[#This Row],[costo_materiales]])</f>
        <v/>
      </c>
      <c r="AL102" s="6" t="inlineStr"/>
      <c r="AM102" s="6" t="inlineStr"/>
      <c r="AN102" s="6" t="inlineStr">
        <is>
          <t>ACT-01.pdf</t>
        </is>
      </c>
      <c r="AO102" s="3">
        <f>IF(tblOrdenes[[#This Row],[link_checklist]]="","",HYPERLINK(p_ruta_base_checklists&amp;tblOrdenes[[#This Row],[link_checklist]],"abrir"))</f>
        <v/>
      </c>
      <c r="AP102" s="6" t="inlineStr"/>
      <c r="AQ102" s="3">
        <f>IF(tblOrdenes[[#This Row],[orden]]="","",tblOrdenes[[#This Row],[orden]]&amp;IF(tblOrdenes[[#This Row],[operacion]]="","0010",tblOrdenes[[#This Row],[operacion]]))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2" t="n">
        <v>46241</v>
      </c>
      <c r="K103" s="3" t="n">
        <v>11</v>
      </c>
      <c r="L103" s="11" t="n">
        <v>275</v>
      </c>
      <c r="M1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" s="3">
        <f>IF(tblOrdenes[[#This Row],[fecha_inicio]]="","",YEAR(tblOrdenes[[#This Row],[fecha_inicio]]))</f>
        <v/>
      </c>
      <c r="Q103" s="3">
        <f>IF(tblOrdenes[[#This Row],[fecha_inicio]]="","",MONTH(tblOrdenes[[#This Row],[fecha_inicio]]))</f>
        <v/>
      </c>
      <c r="R103" s="3">
        <f>IF(tblOrdenes[[#This Row],[fecha_inicio]]="","",INDEX(lista_dias,WEEKDAY(tblOrdenes[[#This Row],[fecha_inicio]],2)))</f>
        <v/>
      </c>
      <c r="S1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" s="3">
        <f>IF(tblOrdenes[[#This Row],[tipo_ot]]="","",_xlfn.XLOOKUP(tblOrdenes[[#This Row],[tipo_ot]],tblTiposOT[codigo],tblTiposOT[clasificacion],"sin_clasificar"))</f>
        <v/>
      </c>
      <c r="U103" s="3">
        <f>IF(tblOrdenes[[#This Row],[centro_costo]]="","",_xlfn.XLOOKUP(tblOrdenes[[#This Row],[centro_costo]],tblCECO[codigo],tblCECO[linea],"(sin catálogo)"))</f>
        <v/>
      </c>
      <c r="V103" s="3">
        <f>IF(tblOrdenes[[#This Row],[centro_costo]]="","",_xlfn.XLOOKUP(tblOrdenes[[#This Row],[centro_costo]],tblCECO[codigo],tblCECO[area],"(sin catálogo)"))</f>
        <v/>
      </c>
      <c r="W1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" s="3">
        <f>IF(tblOrdenes[[#This Row],[centro_costo]]="","",_xlfn.XLOOKUP(tblOrdenes[[#This Row],[centro_costo]],tblCECO[codigo],tblCECO[coordinador],"(sin catálogo)"))</f>
        <v/>
      </c>
      <c r="Y103" s="3">
        <f>IF(tblOrdenes[[#This Row],[puesto_trabajo]]="","",_xlfn.XLOOKUP(tblOrdenes[[#This Row],[puesto_trabajo]],tblPuestos[codigo],tblPuestos[especialidad],"(sin catálogo)"))</f>
        <v/>
      </c>
      <c r="Z103" s="3">
        <f>IF(tblOrdenes[[#This Row],[cod_actividad]]="","",_xlfn.XLOOKUP(tblOrdenes[[#This Row],[cod_actividad]],tblActividades[codigo],tblActividades[descripcion],"(sin catálogo)"))</f>
        <v/>
      </c>
      <c r="AA103" s="13">
        <f>IF(tblOrdenes[[#This Row],[fecha_inicio]]="","",TODAY()-tblOrdenes[[#This Row],[fecha_inicio]])</f>
        <v/>
      </c>
      <c r="AB1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" s="3">
        <f>IF(tblOrdenes[[#This Row],[backlog_habiles]]="","",IF(tblOrdenes[[#This Row],[backlog_habiles]]&lt;0,"FUTURO",IF(tblOrdenes[[#This Row],[backlog_habiles]]&gt;p_dias_backlog_max,"BACKLOG","MES CORRIENTE")))</f>
        <v/>
      </c>
      <c r="AD103" s="3">
        <f>IF(tblOrdenes[[#This Row],[backlog_habiles]]="",FALSE,AND(tblOrdenes[[#This Row],[backlog_habiles]]&gt;p_dias_backlog_min,tblOrdenes[[#This Row],[backlog_habiles]]&lt;=p_dias_backlog_max))</f>
        <v/>
      </c>
      <c r="AE103" s="6" t="inlineStr">
        <is>
          <t>Técnico 16</t>
        </is>
      </c>
      <c r="AF1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" s="11">
        <f>IF(tblOrdenes[[#This Row],[orden]]="","",_xlfn.XLOOKUP(tblOrdenes[[#This Row],[id_operacion]],tblEjecucion[id_operacion],tblEjecucion[precio],0))</f>
        <v/>
      </c>
      <c r="AJ103" s="11">
        <f>IF(tblOrdenes[[#This Row],[orden]]="","",MAX(0,_xlfn.XLOOKUP(tblOrdenes[[#This Row],[id_operacion]],tblEjecucion[id_operacion],tblEjecucion[costo_plan_total],0)-tblOrdenes[[#This Row],[costo_servicio]]))</f>
        <v/>
      </c>
      <c r="AK103" s="11">
        <f>IF(tblOrdenes[[#This Row],[orden]]="","",tblOrdenes[[#This Row],[costo_servicio]]+tblOrdenes[[#This Row],[costo_materiales]])</f>
        <v/>
      </c>
      <c r="AL103" s="6" t="inlineStr"/>
      <c r="AM103" s="6" t="inlineStr"/>
      <c r="AN103" s="6" t="inlineStr">
        <is>
          <t>ACT-02.pdf</t>
        </is>
      </c>
      <c r="AO103" s="3">
        <f>IF(tblOrdenes[[#This Row],[link_checklist]]="","",HYPERLINK(p_ruta_base_checklists&amp;tblOrdenes[[#This Row],[link_checklist]],"abrir"))</f>
        <v/>
      </c>
      <c r="AP103" s="6" t="inlineStr"/>
      <c r="AQ103" s="3">
        <f>IF(tblOrdenes[[#This Row],[orden]]="","",tblOrdenes[[#This Row],[orden]]&amp;IF(tblOrdenes[[#This Row],[operacion]]="","0010",tblOrdenes[[#This Row],[operacion]]))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2" t="n">
        <v>46237</v>
      </c>
      <c r="K104" s="3" t="n">
        <v>7</v>
      </c>
      <c r="L104" s="11" t="n">
        <v>280</v>
      </c>
      <c r="M1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" s="3">
        <f>IF(tblOrdenes[[#This Row],[fecha_inicio]]="","",YEAR(tblOrdenes[[#This Row],[fecha_inicio]]))</f>
        <v/>
      </c>
      <c r="Q104" s="3">
        <f>IF(tblOrdenes[[#This Row],[fecha_inicio]]="","",MONTH(tblOrdenes[[#This Row],[fecha_inicio]]))</f>
        <v/>
      </c>
      <c r="R104" s="3">
        <f>IF(tblOrdenes[[#This Row],[fecha_inicio]]="","",INDEX(lista_dias,WEEKDAY(tblOrdenes[[#This Row],[fecha_inicio]],2)))</f>
        <v/>
      </c>
      <c r="S1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" s="3">
        <f>IF(tblOrdenes[[#This Row],[tipo_ot]]="","",_xlfn.XLOOKUP(tblOrdenes[[#This Row],[tipo_ot]],tblTiposOT[codigo],tblTiposOT[clasificacion],"sin_clasificar"))</f>
        <v/>
      </c>
      <c r="U104" s="3">
        <f>IF(tblOrdenes[[#This Row],[centro_costo]]="","",_xlfn.XLOOKUP(tblOrdenes[[#This Row],[centro_costo]],tblCECO[codigo],tblCECO[linea],"(sin catálogo)"))</f>
        <v/>
      </c>
      <c r="V104" s="3">
        <f>IF(tblOrdenes[[#This Row],[centro_costo]]="","",_xlfn.XLOOKUP(tblOrdenes[[#This Row],[centro_costo]],tblCECO[codigo],tblCECO[area],"(sin catálogo)"))</f>
        <v/>
      </c>
      <c r="W1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" s="3">
        <f>IF(tblOrdenes[[#This Row],[centro_costo]]="","",_xlfn.XLOOKUP(tblOrdenes[[#This Row],[centro_costo]],tblCECO[codigo],tblCECO[coordinador],"(sin catálogo)"))</f>
        <v/>
      </c>
      <c r="Y104" s="3">
        <f>IF(tblOrdenes[[#This Row],[puesto_trabajo]]="","",_xlfn.XLOOKUP(tblOrdenes[[#This Row],[puesto_trabajo]],tblPuestos[codigo],tblPuestos[especialidad],"(sin catálogo)"))</f>
        <v/>
      </c>
      <c r="Z104" s="3">
        <f>IF(tblOrdenes[[#This Row],[cod_actividad]]="","",_xlfn.XLOOKUP(tblOrdenes[[#This Row],[cod_actividad]],tblActividades[codigo],tblActividades[descripcion],"(sin catálogo)"))</f>
        <v/>
      </c>
      <c r="AA104" s="13">
        <f>IF(tblOrdenes[[#This Row],[fecha_inicio]]="","",TODAY()-tblOrdenes[[#This Row],[fecha_inicio]])</f>
        <v/>
      </c>
      <c r="AB1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" s="3">
        <f>IF(tblOrdenes[[#This Row],[backlog_habiles]]="","",IF(tblOrdenes[[#This Row],[backlog_habiles]]&lt;0,"FUTURO",IF(tblOrdenes[[#This Row],[backlog_habiles]]&gt;p_dias_backlog_max,"BACKLOG","MES CORRIENTE")))</f>
        <v/>
      </c>
      <c r="AD104" s="3">
        <f>IF(tblOrdenes[[#This Row],[backlog_habiles]]="",FALSE,AND(tblOrdenes[[#This Row],[backlog_habiles]]&gt;p_dias_backlog_min,tblOrdenes[[#This Row],[backlog_habiles]]&lt;=p_dias_backlog_max))</f>
        <v/>
      </c>
      <c r="AE104" s="6" t="inlineStr">
        <is>
          <t>Técnico 15</t>
        </is>
      </c>
      <c r="AF1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" s="11">
        <f>IF(tblOrdenes[[#This Row],[orden]]="","",_xlfn.XLOOKUP(tblOrdenes[[#This Row],[id_operacion]],tblEjecucion[id_operacion],tblEjecucion[precio],0))</f>
        <v/>
      </c>
      <c r="AJ104" s="11">
        <f>IF(tblOrdenes[[#This Row],[orden]]="","",MAX(0,_xlfn.XLOOKUP(tblOrdenes[[#This Row],[id_operacion]],tblEjecucion[id_operacion],tblEjecucion[costo_plan_total],0)-tblOrdenes[[#This Row],[costo_servicio]]))</f>
        <v/>
      </c>
      <c r="AK104" s="11">
        <f>IF(tblOrdenes[[#This Row],[orden]]="","",tblOrdenes[[#This Row],[costo_servicio]]+tblOrdenes[[#This Row],[costo_materiales]])</f>
        <v/>
      </c>
      <c r="AL104" s="6" t="inlineStr"/>
      <c r="AM104" s="6" t="inlineStr"/>
      <c r="AN104" s="6" t="inlineStr"/>
      <c r="AO104" s="3">
        <f>IF(tblOrdenes[[#This Row],[link_checklist]]="","",HYPERLINK(p_ruta_base_checklists&amp;tblOrdenes[[#This Row],[link_checklist]],"abrir"))</f>
        <v/>
      </c>
      <c r="AP104" s="6" t="inlineStr"/>
      <c r="AQ104" s="3">
        <f>IF(tblOrdenes[[#This Row],[orden]]="","",tblOrdenes[[#This Row],[orden]]&amp;IF(tblOrdenes[[#This Row],[operacion]]="","0010",tblOrdenes[[#This Row],[operacion]]))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2" t="n">
        <v>46245</v>
      </c>
      <c r="K105" s="3" t="n">
        <v>10</v>
      </c>
      <c r="L105" s="11" t="n">
        <v>250</v>
      </c>
      <c r="M1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" s="3">
        <f>IF(tblOrdenes[[#This Row],[fecha_inicio]]="","",YEAR(tblOrdenes[[#This Row],[fecha_inicio]]))</f>
        <v/>
      </c>
      <c r="Q105" s="3">
        <f>IF(tblOrdenes[[#This Row],[fecha_inicio]]="","",MONTH(tblOrdenes[[#This Row],[fecha_inicio]]))</f>
        <v/>
      </c>
      <c r="R105" s="3">
        <f>IF(tblOrdenes[[#This Row],[fecha_inicio]]="","",INDEX(lista_dias,WEEKDAY(tblOrdenes[[#This Row],[fecha_inicio]],2)))</f>
        <v/>
      </c>
      <c r="S1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" s="3">
        <f>IF(tblOrdenes[[#This Row],[tipo_ot]]="","",_xlfn.XLOOKUP(tblOrdenes[[#This Row],[tipo_ot]],tblTiposOT[codigo],tblTiposOT[clasificacion],"sin_clasificar"))</f>
        <v/>
      </c>
      <c r="U105" s="3">
        <f>IF(tblOrdenes[[#This Row],[centro_costo]]="","",_xlfn.XLOOKUP(tblOrdenes[[#This Row],[centro_costo]],tblCECO[codigo],tblCECO[linea],"(sin catálogo)"))</f>
        <v/>
      </c>
      <c r="V105" s="3">
        <f>IF(tblOrdenes[[#This Row],[centro_costo]]="","",_xlfn.XLOOKUP(tblOrdenes[[#This Row],[centro_costo]],tblCECO[codigo],tblCECO[area],"(sin catálogo)"))</f>
        <v/>
      </c>
      <c r="W1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" s="3">
        <f>IF(tblOrdenes[[#This Row],[centro_costo]]="","",_xlfn.XLOOKUP(tblOrdenes[[#This Row],[centro_costo]],tblCECO[codigo],tblCECO[coordinador],"(sin catálogo)"))</f>
        <v/>
      </c>
      <c r="Y105" s="3">
        <f>IF(tblOrdenes[[#This Row],[puesto_trabajo]]="","",_xlfn.XLOOKUP(tblOrdenes[[#This Row],[puesto_trabajo]],tblPuestos[codigo],tblPuestos[especialidad],"(sin catálogo)"))</f>
        <v/>
      </c>
      <c r="Z105" s="3">
        <f>IF(tblOrdenes[[#This Row],[cod_actividad]]="","",_xlfn.XLOOKUP(tblOrdenes[[#This Row],[cod_actividad]],tblActividades[codigo],tblActividades[descripcion],"(sin catálogo)"))</f>
        <v/>
      </c>
      <c r="AA105" s="13">
        <f>IF(tblOrdenes[[#This Row],[fecha_inicio]]="","",TODAY()-tblOrdenes[[#This Row],[fecha_inicio]])</f>
        <v/>
      </c>
      <c r="AB1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" s="3">
        <f>IF(tblOrdenes[[#This Row],[backlog_habiles]]="","",IF(tblOrdenes[[#This Row],[backlog_habiles]]&lt;0,"FUTURO",IF(tblOrdenes[[#This Row],[backlog_habiles]]&gt;p_dias_backlog_max,"BACKLOG","MES CORRIENTE")))</f>
        <v/>
      </c>
      <c r="AD105" s="3">
        <f>IF(tblOrdenes[[#This Row],[backlog_habiles]]="",FALSE,AND(tblOrdenes[[#This Row],[backlog_habiles]]&gt;p_dias_backlog_min,tblOrdenes[[#This Row],[backlog_habiles]]&lt;=p_dias_backlog_max))</f>
        <v/>
      </c>
      <c r="AE105" s="6" t="inlineStr">
        <is>
          <t>Técnico 16</t>
        </is>
      </c>
      <c r="AF1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" s="11">
        <f>IF(tblOrdenes[[#This Row],[orden]]="","",_xlfn.XLOOKUP(tblOrdenes[[#This Row],[id_operacion]],tblEjecucion[id_operacion],tblEjecucion[precio],0))</f>
        <v/>
      </c>
      <c r="AJ105" s="11">
        <f>IF(tblOrdenes[[#This Row],[orden]]="","",MAX(0,_xlfn.XLOOKUP(tblOrdenes[[#This Row],[id_operacion]],tblEjecucion[id_operacion],tblEjecucion[costo_plan_total],0)-tblOrdenes[[#This Row],[costo_servicio]]))</f>
        <v/>
      </c>
      <c r="AK105" s="11">
        <f>IF(tblOrdenes[[#This Row],[orden]]="","",tblOrdenes[[#This Row],[costo_servicio]]+tblOrdenes[[#This Row],[costo_materiales]])</f>
        <v/>
      </c>
      <c r="AL105" s="6" t="inlineStr"/>
      <c r="AM105" s="6" t="inlineStr"/>
      <c r="AN105" s="6" t="inlineStr">
        <is>
          <t>ACT-01.pdf</t>
        </is>
      </c>
      <c r="AO105" s="3">
        <f>IF(tblOrdenes[[#This Row],[link_checklist]]="","",HYPERLINK(p_ruta_base_checklists&amp;tblOrdenes[[#This Row],[link_checklist]],"abrir"))</f>
        <v/>
      </c>
      <c r="AP105" s="6" t="inlineStr"/>
      <c r="AQ105" s="3">
        <f>IF(tblOrdenes[[#This Row],[orden]]="","",tblOrdenes[[#This Row],[orden]]&amp;IF(tblOrdenes[[#This Row],[operacion]]="","0010",tblOrdenes[[#This Row],[operacion]]))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2" t="n">
        <v>46246</v>
      </c>
      <c r="K106" s="3" t="n">
        <v>8</v>
      </c>
      <c r="L106" s="11" t="n">
        <v>200</v>
      </c>
      <c r="M1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" s="3">
        <f>IF(tblOrdenes[[#This Row],[fecha_inicio]]="","",YEAR(tblOrdenes[[#This Row],[fecha_inicio]]))</f>
        <v/>
      </c>
      <c r="Q106" s="3">
        <f>IF(tblOrdenes[[#This Row],[fecha_inicio]]="","",MONTH(tblOrdenes[[#This Row],[fecha_inicio]]))</f>
        <v/>
      </c>
      <c r="R106" s="3">
        <f>IF(tblOrdenes[[#This Row],[fecha_inicio]]="","",INDEX(lista_dias,WEEKDAY(tblOrdenes[[#This Row],[fecha_inicio]],2)))</f>
        <v/>
      </c>
      <c r="S1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" s="3">
        <f>IF(tblOrdenes[[#This Row],[tipo_ot]]="","",_xlfn.XLOOKUP(tblOrdenes[[#This Row],[tipo_ot]],tblTiposOT[codigo],tblTiposOT[clasificacion],"sin_clasificar"))</f>
        <v/>
      </c>
      <c r="U106" s="3">
        <f>IF(tblOrdenes[[#This Row],[centro_costo]]="","",_xlfn.XLOOKUP(tblOrdenes[[#This Row],[centro_costo]],tblCECO[codigo],tblCECO[linea],"(sin catálogo)"))</f>
        <v/>
      </c>
      <c r="V106" s="3">
        <f>IF(tblOrdenes[[#This Row],[centro_costo]]="","",_xlfn.XLOOKUP(tblOrdenes[[#This Row],[centro_costo]],tblCECO[codigo],tblCECO[area],"(sin catálogo)"))</f>
        <v/>
      </c>
      <c r="W1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" s="3">
        <f>IF(tblOrdenes[[#This Row],[centro_costo]]="","",_xlfn.XLOOKUP(tblOrdenes[[#This Row],[centro_costo]],tblCECO[codigo],tblCECO[coordinador],"(sin catálogo)"))</f>
        <v/>
      </c>
      <c r="Y106" s="3">
        <f>IF(tblOrdenes[[#This Row],[puesto_trabajo]]="","",_xlfn.XLOOKUP(tblOrdenes[[#This Row],[puesto_trabajo]],tblPuestos[codigo],tblPuestos[especialidad],"(sin catálogo)"))</f>
        <v/>
      </c>
      <c r="Z106" s="3">
        <f>IF(tblOrdenes[[#This Row],[cod_actividad]]="","",_xlfn.XLOOKUP(tblOrdenes[[#This Row],[cod_actividad]],tblActividades[codigo],tblActividades[descripcion],"(sin catálogo)"))</f>
        <v/>
      </c>
      <c r="AA106" s="13">
        <f>IF(tblOrdenes[[#This Row],[fecha_inicio]]="","",TODAY()-tblOrdenes[[#This Row],[fecha_inicio]])</f>
        <v/>
      </c>
      <c r="AB1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" s="3">
        <f>IF(tblOrdenes[[#This Row],[backlog_habiles]]="","",IF(tblOrdenes[[#This Row],[backlog_habiles]]&lt;0,"FUTURO",IF(tblOrdenes[[#This Row],[backlog_habiles]]&gt;p_dias_backlog_max,"BACKLOG","MES CORRIENTE")))</f>
        <v/>
      </c>
      <c r="AD106" s="3">
        <f>IF(tblOrdenes[[#This Row],[backlog_habiles]]="",FALSE,AND(tblOrdenes[[#This Row],[backlog_habiles]]&gt;p_dias_backlog_min,tblOrdenes[[#This Row],[backlog_habiles]]&lt;=p_dias_backlog_max))</f>
        <v/>
      </c>
      <c r="AE106" s="6" t="inlineStr">
        <is>
          <t>Técnico 15</t>
        </is>
      </c>
      <c r="AF1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" s="11">
        <f>IF(tblOrdenes[[#This Row],[orden]]="","",_xlfn.XLOOKUP(tblOrdenes[[#This Row],[id_operacion]],tblEjecucion[id_operacion],tblEjecucion[precio],0))</f>
        <v/>
      </c>
      <c r="AJ106" s="11">
        <f>IF(tblOrdenes[[#This Row],[orden]]="","",MAX(0,_xlfn.XLOOKUP(tblOrdenes[[#This Row],[id_operacion]],tblEjecucion[id_operacion],tblEjecucion[costo_plan_total],0)-tblOrdenes[[#This Row],[costo_servicio]]))</f>
        <v/>
      </c>
      <c r="AK106" s="11">
        <f>IF(tblOrdenes[[#This Row],[orden]]="","",tblOrdenes[[#This Row],[costo_servicio]]+tblOrdenes[[#This Row],[costo_materiales]])</f>
        <v/>
      </c>
      <c r="AL106" s="6" t="inlineStr"/>
      <c r="AM106" s="6" t="inlineStr"/>
      <c r="AN106" s="6" t="inlineStr">
        <is>
          <t>ACT-02.pdf</t>
        </is>
      </c>
      <c r="AO106" s="3">
        <f>IF(tblOrdenes[[#This Row],[link_checklist]]="","",HYPERLINK(p_ruta_base_checklists&amp;tblOrdenes[[#This Row],[link_checklist]],"abrir"))</f>
        <v/>
      </c>
      <c r="AP106" s="6" t="inlineStr"/>
      <c r="AQ106" s="3">
        <f>IF(tblOrdenes[[#This Row],[orden]]="","",tblOrdenes[[#This Row],[orden]]&amp;IF(tblOrdenes[[#This Row],[operacion]]="","0010",tblOrdenes[[#This Row],[operacion]]))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2" t="n">
        <v>46247</v>
      </c>
      <c r="K107" s="3" t="n">
        <v>6</v>
      </c>
      <c r="L107" s="11" t="n">
        <v>150</v>
      </c>
      <c r="M1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" s="3">
        <f>IF(tblOrdenes[[#This Row],[fecha_inicio]]="","",YEAR(tblOrdenes[[#This Row],[fecha_inicio]]))</f>
        <v/>
      </c>
      <c r="Q107" s="3">
        <f>IF(tblOrdenes[[#This Row],[fecha_inicio]]="","",MONTH(tblOrdenes[[#This Row],[fecha_inicio]]))</f>
        <v/>
      </c>
      <c r="R107" s="3">
        <f>IF(tblOrdenes[[#This Row],[fecha_inicio]]="","",INDEX(lista_dias,WEEKDAY(tblOrdenes[[#This Row],[fecha_inicio]],2)))</f>
        <v/>
      </c>
      <c r="S1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" s="3">
        <f>IF(tblOrdenes[[#This Row],[tipo_ot]]="","",_xlfn.XLOOKUP(tblOrdenes[[#This Row],[tipo_ot]],tblTiposOT[codigo],tblTiposOT[clasificacion],"sin_clasificar"))</f>
        <v/>
      </c>
      <c r="U107" s="3">
        <f>IF(tblOrdenes[[#This Row],[centro_costo]]="","",_xlfn.XLOOKUP(tblOrdenes[[#This Row],[centro_costo]],tblCECO[codigo],tblCECO[linea],"(sin catálogo)"))</f>
        <v/>
      </c>
      <c r="V107" s="3">
        <f>IF(tblOrdenes[[#This Row],[centro_costo]]="","",_xlfn.XLOOKUP(tblOrdenes[[#This Row],[centro_costo]],tblCECO[codigo],tblCECO[area],"(sin catálogo)"))</f>
        <v/>
      </c>
      <c r="W1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" s="3">
        <f>IF(tblOrdenes[[#This Row],[centro_costo]]="","",_xlfn.XLOOKUP(tblOrdenes[[#This Row],[centro_costo]],tblCECO[codigo],tblCECO[coordinador],"(sin catálogo)"))</f>
        <v/>
      </c>
      <c r="Y107" s="3">
        <f>IF(tblOrdenes[[#This Row],[puesto_trabajo]]="","",_xlfn.XLOOKUP(tblOrdenes[[#This Row],[puesto_trabajo]],tblPuestos[codigo],tblPuestos[especialidad],"(sin catálogo)"))</f>
        <v/>
      </c>
      <c r="Z107" s="3">
        <f>IF(tblOrdenes[[#This Row],[cod_actividad]]="","",_xlfn.XLOOKUP(tblOrdenes[[#This Row],[cod_actividad]],tblActividades[codigo],tblActividades[descripcion],"(sin catálogo)"))</f>
        <v/>
      </c>
      <c r="AA107" s="13">
        <f>IF(tblOrdenes[[#This Row],[fecha_inicio]]="","",TODAY()-tblOrdenes[[#This Row],[fecha_inicio]])</f>
        <v/>
      </c>
      <c r="AB1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" s="3">
        <f>IF(tblOrdenes[[#This Row],[backlog_habiles]]="","",IF(tblOrdenes[[#This Row],[backlog_habiles]]&lt;0,"FUTURO",IF(tblOrdenes[[#This Row],[backlog_habiles]]&gt;p_dias_backlog_max,"BACKLOG","MES CORRIENTE")))</f>
        <v/>
      </c>
      <c r="AD107" s="3">
        <f>IF(tblOrdenes[[#This Row],[backlog_habiles]]="",FALSE,AND(tblOrdenes[[#This Row],[backlog_habiles]]&gt;p_dias_backlog_min,tblOrdenes[[#This Row],[backlog_habiles]]&lt;=p_dias_backlog_max))</f>
        <v/>
      </c>
      <c r="AE107" s="6" t="inlineStr">
        <is>
          <t>Técnico 16</t>
        </is>
      </c>
      <c r="AF1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" s="11">
        <f>IF(tblOrdenes[[#This Row],[orden]]="","",_xlfn.XLOOKUP(tblOrdenes[[#This Row],[id_operacion]],tblEjecucion[id_operacion],tblEjecucion[precio],0))</f>
        <v/>
      </c>
      <c r="AJ107" s="11">
        <f>IF(tblOrdenes[[#This Row],[orden]]="","",MAX(0,_xlfn.XLOOKUP(tblOrdenes[[#This Row],[id_operacion]],tblEjecucion[id_operacion],tblEjecucion[costo_plan_total],0)-tblOrdenes[[#This Row],[costo_servicio]]))</f>
        <v/>
      </c>
      <c r="AK107" s="11">
        <f>IF(tblOrdenes[[#This Row],[orden]]="","",tblOrdenes[[#This Row],[costo_servicio]]+tblOrdenes[[#This Row],[costo_materiales]])</f>
        <v/>
      </c>
      <c r="AL107" s="6" t="inlineStr"/>
      <c r="AM107" s="6" t="inlineStr"/>
      <c r="AN107" s="6" t="inlineStr">
        <is>
          <t>ACT-04.pdf</t>
        </is>
      </c>
      <c r="AO107" s="3">
        <f>IF(tblOrdenes[[#This Row],[link_checklist]]="","",HYPERLINK(p_ruta_base_checklists&amp;tblOrdenes[[#This Row],[link_checklist]],"abrir"))</f>
        <v/>
      </c>
      <c r="AP107" s="6" t="inlineStr"/>
      <c r="AQ107" s="3">
        <f>IF(tblOrdenes[[#This Row],[orden]]="","",tblOrdenes[[#This Row],[orden]]&amp;IF(tblOrdenes[[#This Row],[operacion]]="","0010",tblOrdenes[[#This Row],[operacion]]))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2" t="n">
        <v>46248</v>
      </c>
      <c r="K108" s="3" t="n">
        <v>6</v>
      </c>
      <c r="L108" s="11" t="n">
        <v>150</v>
      </c>
      <c r="M1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" s="3">
        <f>IF(tblOrdenes[[#This Row],[fecha_inicio]]="","",YEAR(tblOrdenes[[#This Row],[fecha_inicio]]))</f>
        <v/>
      </c>
      <c r="Q108" s="3">
        <f>IF(tblOrdenes[[#This Row],[fecha_inicio]]="","",MONTH(tblOrdenes[[#This Row],[fecha_inicio]]))</f>
        <v/>
      </c>
      <c r="R108" s="3">
        <f>IF(tblOrdenes[[#This Row],[fecha_inicio]]="","",INDEX(lista_dias,WEEKDAY(tblOrdenes[[#This Row],[fecha_inicio]],2)))</f>
        <v/>
      </c>
      <c r="S1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" s="3">
        <f>IF(tblOrdenes[[#This Row],[tipo_ot]]="","",_xlfn.XLOOKUP(tblOrdenes[[#This Row],[tipo_ot]],tblTiposOT[codigo],tblTiposOT[clasificacion],"sin_clasificar"))</f>
        <v/>
      </c>
      <c r="U108" s="3">
        <f>IF(tblOrdenes[[#This Row],[centro_costo]]="","",_xlfn.XLOOKUP(tblOrdenes[[#This Row],[centro_costo]],tblCECO[codigo],tblCECO[linea],"(sin catálogo)"))</f>
        <v/>
      </c>
      <c r="V108" s="3">
        <f>IF(tblOrdenes[[#This Row],[centro_costo]]="","",_xlfn.XLOOKUP(tblOrdenes[[#This Row],[centro_costo]],tblCECO[codigo],tblCECO[area],"(sin catálogo)"))</f>
        <v/>
      </c>
      <c r="W1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" s="3">
        <f>IF(tblOrdenes[[#This Row],[centro_costo]]="","",_xlfn.XLOOKUP(tblOrdenes[[#This Row],[centro_costo]],tblCECO[codigo],tblCECO[coordinador],"(sin catálogo)"))</f>
        <v/>
      </c>
      <c r="Y108" s="3">
        <f>IF(tblOrdenes[[#This Row],[puesto_trabajo]]="","",_xlfn.XLOOKUP(tblOrdenes[[#This Row],[puesto_trabajo]],tblPuestos[codigo],tblPuestos[especialidad],"(sin catálogo)"))</f>
        <v/>
      </c>
      <c r="Z108" s="3">
        <f>IF(tblOrdenes[[#This Row],[cod_actividad]]="","",_xlfn.XLOOKUP(tblOrdenes[[#This Row],[cod_actividad]],tblActividades[codigo],tblActividades[descripcion],"(sin catálogo)"))</f>
        <v/>
      </c>
      <c r="AA108" s="13">
        <f>IF(tblOrdenes[[#This Row],[fecha_inicio]]="","",TODAY()-tblOrdenes[[#This Row],[fecha_inicio]])</f>
        <v/>
      </c>
      <c r="AB1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" s="3">
        <f>IF(tblOrdenes[[#This Row],[backlog_habiles]]="","",IF(tblOrdenes[[#This Row],[backlog_habiles]]&lt;0,"FUTURO",IF(tblOrdenes[[#This Row],[backlog_habiles]]&gt;p_dias_backlog_max,"BACKLOG","MES CORRIENTE")))</f>
        <v/>
      </c>
      <c r="AD108" s="3">
        <f>IF(tblOrdenes[[#This Row],[backlog_habiles]]="",FALSE,AND(tblOrdenes[[#This Row],[backlog_habiles]]&gt;p_dias_backlog_min,tblOrdenes[[#This Row],[backlog_habiles]]&lt;=p_dias_backlog_max))</f>
        <v/>
      </c>
      <c r="AE108" s="6" t="inlineStr">
        <is>
          <t>Técnico 15</t>
        </is>
      </c>
      <c r="AF1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" s="11">
        <f>IF(tblOrdenes[[#This Row],[orden]]="","",_xlfn.XLOOKUP(tblOrdenes[[#This Row],[id_operacion]],tblEjecucion[id_operacion],tblEjecucion[precio],0))</f>
        <v/>
      </c>
      <c r="AJ108" s="11">
        <f>IF(tblOrdenes[[#This Row],[orden]]="","",MAX(0,_xlfn.XLOOKUP(tblOrdenes[[#This Row],[id_operacion]],tblEjecucion[id_operacion],tblEjecucion[costo_plan_total],0)-tblOrdenes[[#This Row],[costo_servicio]]))</f>
        <v/>
      </c>
      <c r="AK108" s="11">
        <f>IF(tblOrdenes[[#This Row],[orden]]="","",tblOrdenes[[#This Row],[costo_servicio]]+tblOrdenes[[#This Row],[costo_materiales]])</f>
        <v/>
      </c>
      <c r="AL108" s="6" t="inlineStr"/>
      <c r="AM108" s="6" t="inlineStr"/>
      <c r="AN108" s="6" t="inlineStr">
        <is>
          <t>ACT-01.pdf</t>
        </is>
      </c>
      <c r="AO108" s="3">
        <f>IF(tblOrdenes[[#This Row],[link_checklist]]="","",HYPERLINK(p_ruta_base_checklists&amp;tblOrdenes[[#This Row],[link_checklist]],"abrir"))</f>
        <v/>
      </c>
      <c r="AP108" s="6" t="inlineStr"/>
      <c r="AQ108" s="3">
        <f>IF(tblOrdenes[[#This Row],[orden]]="","",tblOrdenes[[#This Row],[orden]]&amp;IF(tblOrdenes[[#This Row],[operacion]]="","0010",tblOrdenes[[#This Row],[operacion]]))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2" t="n">
        <v>46244</v>
      </c>
      <c r="K109" s="3" t="n">
        <v>6</v>
      </c>
      <c r="L109" s="11" t="n">
        <v>240</v>
      </c>
      <c r="M1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" s="3">
        <f>IF(tblOrdenes[[#This Row],[fecha_inicio]]="","",YEAR(tblOrdenes[[#This Row],[fecha_inicio]]))</f>
        <v/>
      </c>
      <c r="Q109" s="3">
        <f>IF(tblOrdenes[[#This Row],[fecha_inicio]]="","",MONTH(tblOrdenes[[#This Row],[fecha_inicio]]))</f>
        <v/>
      </c>
      <c r="R109" s="3">
        <f>IF(tblOrdenes[[#This Row],[fecha_inicio]]="","",INDEX(lista_dias,WEEKDAY(tblOrdenes[[#This Row],[fecha_inicio]],2)))</f>
        <v/>
      </c>
      <c r="S1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" s="3">
        <f>IF(tblOrdenes[[#This Row],[tipo_ot]]="","",_xlfn.XLOOKUP(tblOrdenes[[#This Row],[tipo_ot]],tblTiposOT[codigo],tblTiposOT[clasificacion],"sin_clasificar"))</f>
        <v/>
      </c>
      <c r="U109" s="3">
        <f>IF(tblOrdenes[[#This Row],[centro_costo]]="","",_xlfn.XLOOKUP(tblOrdenes[[#This Row],[centro_costo]],tblCECO[codigo],tblCECO[linea],"(sin catálogo)"))</f>
        <v/>
      </c>
      <c r="V109" s="3">
        <f>IF(tblOrdenes[[#This Row],[centro_costo]]="","",_xlfn.XLOOKUP(tblOrdenes[[#This Row],[centro_costo]],tblCECO[codigo],tblCECO[area],"(sin catálogo)"))</f>
        <v/>
      </c>
      <c r="W1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" s="3">
        <f>IF(tblOrdenes[[#This Row],[centro_costo]]="","",_xlfn.XLOOKUP(tblOrdenes[[#This Row],[centro_costo]],tblCECO[codigo],tblCECO[coordinador],"(sin catálogo)"))</f>
        <v/>
      </c>
      <c r="Y109" s="3">
        <f>IF(tblOrdenes[[#This Row],[puesto_trabajo]]="","",_xlfn.XLOOKUP(tblOrdenes[[#This Row],[puesto_trabajo]],tblPuestos[codigo],tblPuestos[especialidad],"(sin catálogo)"))</f>
        <v/>
      </c>
      <c r="Z109" s="3">
        <f>IF(tblOrdenes[[#This Row],[cod_actividad]]="","",_xlfn.XLOOKUP(tblOrdenes[[#This Row],[cod_actividad]],tblActividades[codigo],tblActividades[descripcion],"(sin catálogo)"))</f>
        <v/>
      </c>
      <c r="AA109" s="13">
        <f>IF(tblOrdenes[[#This Row],[fecha_inicio]]="","",TODAY()-tblOrdenes[[#This Row],[fecha_inicio]])</f>
        <v/>
      </c>
      <c r="AB1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" s="3">
        <f>IF(tblOrdenes[[#This Row],[backlog_habiles]]="","",IF(tblOrdenes[[#This Row],[backlog_habiles]]&lt;0,"FUTURO",IF(tblOrdenes[[#This Row],[backlog_habiles]]&gt;p_dias_backlog_max,"BACKLOG","MES CORRIENTE")))</f>
        <v/>
      </c>
      <c r="AD109" s="3">
        <f>IF(tblOrdenes[[#This Row],[backlog_habiles]]="",FALSE,AND(tblOrdenes[[#This Row],[backlog_habiles]]&gt;p_dias_backlog_min,tblOrdenes[[#This Row],[backlog_habiles]]&lt;=p_dias_backlog_max))</f>
        <v/>
      </c>
      <c r="AE109" s="6" t="inlineStr">
        <is>
          <t>Técnico 16</t>
        </is>
      </c>
      <c r="AF1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" s="11">
        <f>IF(tblOrdenes[[#This Row],[orden]]="","",_xlfn.XLOOKUP(tblOrdenes[[#This Row],[id_operacion]],tblEjecucion[id_operacion],tblEjecucion[precio],0))</f>
        <v/>
      </c>
      <c r="AJ109" s="11">
        <f>IF(tblOrdenes[[#This Row],[orden]]="","",MAX(0,_xlfn.XLOOKUP(tblOrdenes[[#This Row],[id_operacion]],tblEjecucion[id_operacion],tblEjecucion[costo_plan_total],0)-tblOrdenes[[#This Row],[costo_servicio]]))</f>
        <v/>
      </c>
      <c r="AK109" s="11">
        <f>IF(tblOrdenes[[#This Row],[orden]]="","",tblOrdenes[[#This Row],[costo_servicio]]+tblOrdenes[[#This Row],[costo_materiales]])</f>
        <v/>
      </c>
      <c r="AL109" s="6" t="inlineStr"/>
      <c r="AM109" s="6" t="inlineStr"/>
      <c r="AN109" s="6" t="inlineStr"/>
      <c r="AO109" s="3">
        <f>IF(tblOrdenes[[#This Row],[link_checklist]]="","",HYPERLINK(p_ruta_base_checklists&amp;tblOrdenes[[#This Row],[link_checklist]],"abrir"))</f>
        <v/>
      </c>
      <c r="AP109" s="6" t="inlineStr"/>
      <c r="AQ109" s="3">
        <f>IF(tblOrdenes[[#This Row],[orden]]="","",tblOrdenes[[#This Row],[orden]]&amp;IF(tblOrdenes[[#This Row],[operacion]]="","0010",tblOrdenes[[#This Row],[operacion]]))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Certificación legal — EQ-112</t>
        </is>
      </c>
      <c r="D110" s="3" t="inlineStr">
        <is>
          <t>Certificación legal en EQ-112</t>
        </is>
      </c>
      <c r="E110" s="3" t="inlineStr">
        <is>
          <t>EQ-112</t>
        </is>
      </c>
      <c r="F110" s="3" t="inlineStr">
        <is>
          <t>CC-310</t>
        </is>
      </c>
      <c r="G110" s="3" t="inlineStr">
        <is>
          <t>PU-TER</t>
        </is>
      </c>
      <c r="H110" s="3" t="inlineStr">
        <is>
          <t>ACT-05</t>
        </is>
      </c>
      <c r="I110" s="3" t="inlineStr">
        <is>
          <t>TIPO-P2</t>
        </is>
      </c>
      <c r="J110" s="12" t="n">
        <v>46230</v>
      </c>
      <c r="K110" s="3" t="n">
        <v>10</v>
      </c>
      <c r="L110" s="11" t="n">
        <v>250</v>
      </c>
      <c r="M1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" s="3">
        <f>IF(tblOrdenes[[#This Row],[fecha_inicio]]="","",YEAR(tblOrdenes[[#This Row],[fecha_inicio]]))</f>
        <v/>
      </c>
      <c r="Q110" s="3">
        <f>IF(tblOrdenes[[#This Row],[fecha_inicio]]="","",MONTH(tblOrdenes[[#This Row],[fecha_inicio]]))</f>
        <v/>
      </c>
      <c r="R110" s="3">
        <f>IF(tblOrdenes[[#This Row],[fecha_inicio]]="","",INDEX(lista_dias,WEEKDAY(tblOrdenes[[#This Row],[fecha_inicio]],2)))</f>
        <v/>
      </c>
      <c r="S1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" s="3">
        <f>IF(tblOrdenes[[#This Row],[tipo_ot]]="","",_xlfn.XLOOKUP(tblOrdenes[[#This Row],[tipo_ot]],tblTiposOT[codigo],tblTiposOT[clasificacion],"sin_clasificar"))</f>
        <v/>
      </c>
      <c r="U110" s="3">
        <f>IF(tblOrdenes[[#This Row],[centro_costo]]="","",_xlfn.XLOOKUP(tblOrdenes[[#This Row],[centro_costo]],tblCECO[codigo],tblCECO[linea],"(sin catálogo)"))</f>
        <v/>
      </c>
      <c r="V110" s="3">
        <f>IF(tblOrdenes[[#This Row],[centro_costo]]="","",_xlfn.XLOOKUP(tblOrdenes[[#This Row],[centro_costo]],tblCECO[codigo],tblCECO[area],"(sin catálogo)"))</f>
        <v/>
      </c>
      <c r="W1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" s="3">
        <f>IF(tblOrdenes[[#This Row],[centro_costo]]="","",_xlfn.XLOOKUP(tblOrdenes[[#This Row],[centro_costo]],tblCECO[codigo],tblCECO[coordinador],"(sin catálogo)"))</f>
        <v/>
      </c>
      <c r="Y110" s="3">
        <f>IF(tblOrdenes[[#This Row],[puesto_trabajo]]="","",_xlfn.XLOOKUP(tblOrdenes[[#This Row],[puesto_trabajo]],tblPuestos[codigo],tblPuestos[especialidad],"(sin catálogo)"))</f>
        <v/>
      </c>
      <c r="Z110" s="3">
        <f>IF(tblOrdenes[[#This Row],[cod_actividad]]="","",_xlfn.XLOOKUP(tblOrdenes[[#This Row],[cod_actividad]],tblActividades[codigo],tblActividades[descripcion],"(sin catálogo)"))</f>
        <v/>
      </c>
      <c r="AA110" s="13">
        <f>IF(tblOrdenes[[#This Row],[fecha_inicio]]="","",TODAY()-tblOrdenes[[#This Row],[fecha_inicio]])</f>
        <v/>
      </c>
      <c r="AB1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" s="3">
        <f>IF(tblOrdenes[[#This Row],[backlog_habiles]]="","",IF(tblOrdenes[[#This Row],[backlog_habiles]]&lt;0,"FUTURO",IF(tblOrdenes[[#This Row],[backlog_habiles]]&gt;p_dias_backlog_max,"BACKLOG","MES CORRIENTE")))</f>
        <v/>
      </c>
      <c r="AD110" s="3">
        <f>IF(tblOrdenes[[#This Row],[backlog_habiles]]="",FALSE,AND(tblOrdenes[[#This Row],[backlog_habiles]]&gt;p_dias_backlog_min,tblOrdenes[[#This Row],[backlog_habiles]]&lt;=p_dias_backlog_max))</f>
        <v/>
      </c>
      <c r="AE110" s="6" t="inlineStr"/>
      <c r="AF1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" s="11">
        <f>IF(tblOrdenes[[#This Row],[orden]]="","",_xlfn.XLOOKUP(tblOrdenes[[#This Row],[id_operacion]],tblEjecucion[id_operacion],tblEjecucion[precio],0))</f>
        <v/>
      </c>
      <c r="AJ110" s="11">
        <f>IF(tblOrdenes[[#This Row],[orden]]="","",MAX(0,_xlfn.XLOOKUP(tblOrdenes[[#This Row],[id_operacion]],tblEjecucion[id_operacion],tblEjecucion[costo_plan_total],0)-tblOrdenes[[#This Row],[costo_servicio]]))</f>
        <v/>
      </c>
      <c r="AK110" s="11">
        <f>IF(tblOrdenes[[#This Row],[orden]]="","",tblOrdenes[[#This Row],[costo_servicio]]+tblOrdenes[[#This Row],[costo_materiales]])</f>
        <v/>
      </c>
      <c r="AL110" s="6" t="inlineStr"/>
      <c r="AM110" s="6" t="inlineStr"/>
      <c r="AN110" s="6" t="inlineStr"/>
      <c r="AO110" s="3">
        <f>IF(tblOrdenes[[#This Row],[link_checklist]]="","",HYPERLINK(p_ruta_base_checklists&amp;tblOrdenes[[#This Row],[link_checklist]],"abrir"))</f>
        <v/>
      </c>
      <c r="AP110" s="6" t="inlineStr"/>
      <c r="AQ110" s="3">
        <f>IF(tblOrdenes[[#This Row],[orden]]="","",tblOrdenes[[#This Row],[orden]]&amp;IF(tblOrdenes[[#This Row],[operacion]]="","0010",tblOrdenes[[#This Row],[operacion]]))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Certificación legal — EQ-110</t>
        </is>
      </c>
      <c r="D111" s="3" t="inlineStr">
        <is>
          <t>Certificación legal en EQ-110</t>
        </is>
      </c>
      <c r="E111" s="3" t="inlineStr">
        <is>
          <t>EQ-110</t>
        </is>
      </c>
      <c r="F111" s="3" t="inlineStr">
        <is>
          <t>CC-310</t>
        </is>
      </c>
      <c r="G111" s="3" t="inlineStr">
        <is>
          <t>PU-TER</t>
        </is>
      </c>
      <c r="H111" s="3" t="inlineStr">
        <is>
          <t>ACT-05</t>
        </is>
      </c>
      <c r="I111" s="3" t="inlineStr">
        <is>
          <t>TIPO-P2</t>
        </is>
      </c>
      <c r="J111" s="12" t="n">
        <v>46231</v>
      </c>
      <c r="K111" s="3" t="n">
        <v>6</v>
      </c>
      <c r="L111" s="11" t="n">
        <v>150</v>
      </c>
      <c r="M1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" s="3">
        <f>IF(tblOrdenes[[#This Row],[fecha_inicio]]="","",YEAR(tblOrdenes[[#This Row],[fecha_inicio]]))</f>
        <v/>
      </c>
      <c r="Q111" s="3">
        <f>IF(tblOrdenes[[#This Row],[fecha_inicio]]="","",MONTH(tblOrdenes[[#This Row],[fecha_inicio]]))</f>
        <v/>
      </c>
      <c r="R111" s="3">
        <f>IF(tblOrdenes[[#This Row],[fecha_inicio]]="","",INDEX(lista_dias,WEEKDAY(tblOrdenes[[#This Row],[fecha_inicio]],2)))</f>
        <v/>
      </c>
      <c r="S1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" s="3">
        <f>IF(tblOrdenes[[#This Row],[tipo_ot]]="","",_xlfn.XLOOKUP(tblOrdenes[[#This Row],[tipo_ot]],tblTiposOT[codigo],tblTiposOT[clasificacion],"sin_clasificar"))</f>
        <v/>
      </c>
      <c r="U111" s="3">
        <f>IF(tblOrdenes[[#This Row],[centro_costo]]="","",_xlfn.XLOOKUP(tblOrdenes[[#This Row],[centro_costo]],tblCECO[codigo],tblCECO[linea],"(sin catálogo)"))</f>
        <v/>
      </c>
      <c r="V111" s="3">
        <f>IF(tblOrdenes[[#This Row],[centro_costo]]="","",_xlfn.XLOOKUP(tblOrdenes[[#This Row],[centro_costo]],tblCECO[codigo],tblCECO[area],"(sin catálogo)"))</f>
        <v/>
      </c>
      <c r="W1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" s="3">
        <f>IF(tblOrdenes[[#This Row],[centro_costo]]="","",_xlfn.XLOOKUP(tblOrdenes[[#This Row],[centro_costo]],tblCECO[codigo],tblCECO[coordinador],"(sin catálogo)"))</f>
        <v/>
      </c>
      <c r="Y111" s="3">
        <f>IF(tblOrdenes[[#This Row],[puesto_trabajo]]="","",_xlfn.XLOOKUP(tblOrdenes[[#This Row],[puesto_trabajo]],tblPuestos[codigo],tblPuestos[especialidad],"(sin catálogo)"))</f>
        <v/>
      </c>
      <c r="Z111" s="3">
        <f>IF(tblOrdenes[[#This Row],[cod_actividad]]="","",_xlfn.XLOOKUP(tblOrdenes[[#This Row],[cod_actividad]],tblActividades[codigo],tblActividades[descripcion],"(sin catálogo)"))</f>
        <v/>
      </c>
      <c r="AA111" s="13">
        <f>IF(tblOrdenes[[#This Row],[fecha_inicio]]="","",TODAY()-tblOrdenes[[#This Row],[fecha_inicio]])</f>
        <v/>
      </c>
      <c r="AB1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" s="3">
        <f>IF(tblOrdenes[[#This Row],[backlog_habiles]]="","",IF(tblOrdenes[[#This Row],[backlog_habiles]]&lt;0,"FUTURO",IF(tblOrdenes[[#This Row],[backlog_habiles]]&gt;p_dias_backlog_max,"BACKLOG","MES CORRIENTE")))</f>
        <v/>
      </c>
      <c r="AD111" s="3">
        <f>IF(tblOrdenes[[#This Row],[backlog_habiles]]="",FALSE,AND(tblOrdenes[[#This Row],[backlog_habiles]]&gt;p_dias_backlog_min,tblOrdenes[[#This Row],[backlog_habiles]]&lt;=p_dias_backlog_max))</f>
        <v/>
      </c>
      <c r="AE111" s="6" t="inlineStr"/>
      <c r="AF1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" s="11">
        <f>IF(tblOrdenes[[#This Row],[orden]]="","",_xlfn.XLOOKUP(tblOrdenes[[#This Row],[id_operacion]],tblEjecucion[id_operacion],tblEjecucion[precio],0))</f>
        <v/>
      </c>
      <c r="AJ111" s="11">
        <f>IF(tblOrdenes[[#This Row],[orden]]="","",MAX(0,_xlfn.XLOOKUP(tblOrdenes[[#This Row],[id_operacion]],tblEjecucion[id_operacion],tblEjecucion[costo_plan_total],0)-tblOrdenes[[#This Row],[costo_servicio]]))</f>
        <v/>
      </c>
      <c r="AK111" s="11">
        <f>IF(tblOrdenes[[#This Row],[orden]]="","",tblOrdenes[[#This Row],[costo_servicio]]+tblOrdenes[[#This Row],[costo_materiales]])</f>
        <v/>
      </c>
      <c r="AL111" s="6" t="inlineStr"/>
      <c r="AM111" s="6" t="inlineStr"/>
      <c r="AN111" s="6" t="inlineStr"/>
      <c r="AO111" s="3">
        <f>IF(tblOrdenes[[#This Row],[link_checklist]]="","",HYPERLINK(p_ruta_base_checklists&amp;tblOrdenes[[#This Row],[link_checklist]],"abrir"))</f>
        <v/>
      </c>
      <c r="AP111" s="6" t="inlineStr"/>
      <c r="AQ111" s="3">
        <f>IF(tblOrdenes[[#This Row],[orden]]="","",tblOrdenes[[#This Row],[orden]]&amp;IF(tblOrdenes[[#This Row],[operacion]]="","0010",tblOrdenes[[#This Row],[operacion]]))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Certificación legal — EQ-111</t>
        </is>
      </c>
      <c r="D112" s="3" t="inlineStr">
        <is>
          <t>Certificación legal en EQ-111</t>
        </is>
      </c>
      <c r="E112" s="3" t="inlineStr">
        <is>
          <t>EQ-111</t>
        </is>
      </c>
      <c r="F112" s="3" t="inlineStr">
        <is>
          <t>CC-310</t>
        </is>
      </c>
      <c r="G112" s="3" t="inlineStr">
        <is>
          <t>PU-TER</t>
        </is>
      </c>
      <c r="H112" s="3" t="inlineStr">
        <is>
          <t>ACT-05</t>
        </is>
      </c>
      <c r="I112" s="3" t="inlineStr">
        <is>
          <t>TIPO-P2</t>
        </is>
      </c>
      <c r="J112" s="12" t="n">
        <v>46237</v>
      </c>
      <c r="K112" s="3" t="n">
        <v>10</v>
      </c>
      <c r="L112" s="11" t="n">
        <v>250</v>
      </c>
      <c r="M1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" s="3">
        <f>IF(tblOrdenes[[#This Row],[fecha_inicio]]="","",YEAR(tblOrdenes[[#This Row],[fecha_inicio]]))</f>
        <v/>
      </c>
      <c r="Q112" s="3">
        <f>IF(tblOrdenes[[#This Row],[fecha_inicio]]="","",MONTH(tblOrdenes[[#This Row],[fecha_inicio]]))</f>
        <v/>
      </c>
      <c r="R112" s="3">
        <f>IF(tblOrdenes[[#This Row],[fecha_inicio]]="","",INDEX(lista_dias,WEEKDAY(tblOrdenes[[#This Row],[fecha_inicio]],2)))</f>
        <v/>
      </c>
      <c r="S1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" s="3">
        <f>IF(tblOrdenes[[#This Row],[tipo_ot]]="","",_xlfn.XLOOKUP(tblOrdenes[[#This Row],[tipo_ot]],tblTiposOT[codigo],tblTiposOT[clasificacion],"sin_clasificar"))</f>
        <v/>
      </c>
      <c r="U112" s="3">
        <f>IF(tblOrdenes[[#This Row],[centro_costo]]="","",_xlfn.XLOOKUP(tblOrdenes[[#This Row],[centro_costo]],tblCECO[codigo],tblCECO[linea],"(sin catálogo)"))</f>
        <v/>
      </c>
      <c r="V112" s="3">
        <f>IF(tblOrdenes[[#This Row],[centro_costo]]="","",_xlfn.XLOOKUP(tblOrdenes[[#This Row],[centro_costo]],tblCECO[codigo],tblCECO[area],"(sin catálogo)"))</f>
        <v/>
      </c>
      <c r="W1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" s="3">
        <f>IF(tblOrdenes[[#This Row],[centro_costo]]="","",_xlfn.XLOOKUP(tblOrdenes[[#This Row],[centro_costo]],tblCECO[codigo],tblCECO[coordinador],"(sin catálogo)"))</f>
        <v/>
      </c>
      <c r="Y112" s="3">
        <f>IF(tblOrdenes[[#This Row],[puesto_trabajo]]="","",_xlfn.XLOOKUP(tblOrdenes[[#This Row],[puesto_trabajo]],tblPuestos[codigo],tblPuestos[especialidad],"(sin catálogo)"))</f>
        <v/>
      </c>
      <c r="Z112" s="3">
        <f>IF(tblOrdenes[[#This Row],[cod_actividad]]="","",_xlfn.XLOOKUP(tblOrdenes[[#This Row],[cod_actividad]],tblActividades[codigo],tblActividades[descripcion],"(sin catálogo)"))</f>
        <v/>
      </c>
      <c r="AA112" s="13">
        <f>IF(tblOrdenes[[#This Row],[fecha_inicio]]="","",TODAY()-tblOrdenes[[#This Row],[fecha_inicio]])</f>
        <v/>
      </c>
      <c r="AB1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" s="3">
        <f>IF(tblOrdenes[[#This Row],[backlog_habiles]]="","",IF(tblOrdenes[[#This Row],[backlog_habiles]]&lt;0,"FUTURO",IF(tblOrdenes[[#This Row],[backlog_habiles]]&gt;p_dias_backlog_max,"BACKLOG","MES CORRIENTE")))</f>
        <v/>
      </c>
      <c r="AD112" s="3">
        <f>IF(tblOrdenes[[#This Row],[backlog_habiles]]="",FALSE,AND(tblOrdenes[[#This Row],[backlog_habiles]]&gt;p_dias_backlog_min,tblOrdenes[[#This Row],[backlog_habiles]]&lt;=p_dias_backlog_max))</f>
        <v/>
      </c>
      <c r="AE112" s="6" t="inlineStr"/>
      <c r="AF1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" s="11">
        <f>IF(tblOrdenes[[#This Row],[orden]]="","",_xlfn.XLOOKUP(tblOrdenes[[#This Row],[id_operacion]],tblEjecucion[id_operacion],tblEjecucion[precio],0))</f>
        <v/>
      </c>
      <c r="AJ112" s="11">
        <f>IF(tblOrdenes[[#This Row],[orden]]="","",MAX(0,_xlfn.XLOOKUP(tblOrdenes[[#This Row],[id_operacion]],tblEjecucion[id_operacion],tblEjecucion[costo_plan_total],0)-tblOrdenes[[#This Row],[costo_servicio]]))</f>
        <v/>
      </c>
      <c r="AK112" s="11">
        <f>IF(tblOrdenes[[#This Row],[orden]]="","",tblOrdenes[[#This Row],[costo_servicio]]+tblOrdenes[[#This Row],[costo_materiales]])</f>
        <v/>
      </c>
      <c r="AL112" s="6" t="inlineStr"/>
      <c r="AM112" s="6" t="inlineStr"/>
      <c r="AN112" s="6" t="inlineStr"/>
      <c r="AO112" s="3">
        <f>IF(tblOrdenes[[#This Row],[link_checklist]]="","",HYPERLINK(p_ruta_base_checklists&amp;tblOrdenes[[#This Row],[link_checklist]],"abrir"))</f>
        <v/>
      </c>
      <c r="AP112" s="6" t="inlineStr"/>
      <c r="AQ112" s="3">
        <f>IF(tblOrdenes[[#This Row],[orden]]="","",tblOrdenes[[#This Row],[orden]]&amp;IF(tblOrdenes[[#This Row],[operacion]]="","0010",tblOrdenes[[#This Row],[operacion]]))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Certificación legal — EQ-112</t>
        </is>
      </c>
      <c r="D113" s="3" t="inlineStr">
        <is>
          <t>Certificación legal en EQ-112</t>
        </is>
      </c>
      <c r="E113" s="3" t="inlineStr">
        <is>
          <t>EQ-112</t>
        </is>
      </c>
      <c r="F113" s="3" t="inlineStr">
        <is>
          <t>CC-310</t>
        </is>
      </c>
      <c r="G113" s="3" t="inlineStr">
        <is>
          <t>PU-TER</t>
        </is>
      </c>
      <c r="H113" s="3" t="inlineStr">
        <is>
          <t>ACT-05</t>
        </is>
      </c>
      <c r="I113" s="3" t="inlineStr">
        <is>
          <t>TIPO-P2</t>
        </is>
      </c>
      <c r="J113" s="12" t="n">
        <v>46238</v>
      </c>
      <c r="K113" s="3" t="n">
        <v>2</v>
      </c>
      <c r="L113" s="11" t="n">
        <v>50</v>
      </c>
      <c r="M1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" s="3">
        <f>IF(tblOrdenes[[#This Row],[fecha_inicio]]="","",YEAR(tblOrdenes[[#This Row],[fecha_inicio]]))</f>
        <v/>
      </c>
      <c r="Q113" s="3">
        <f>IF(tblOrdenes[[#This Row],[fecha_inicio]]="","",MONTH(tblOrdenes[[#This Row],[fecha_inicio]]))</f>
        <v/>
      </c>
      <c r="R113" s="3">
        <f>IF(tblOrdenes[[#This Row],[fecha_inicio]]="","",INDEX(lista_dias,WEEKDAY(tblOrdenes[[#This Row],[fecha_inicio]],2)))</f>
        <v/>
      </c>
      <c r="S1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" s="3">
        <f>IF(tblOrdenes[[#This Row],[tipo_ot]]="","",_xlfn.XLOOKUP(tblOrdenes[[#This Row],[tipo_ot]],tblTiposOT[codigo],tblTiposOT[clasificacion],"sin_clasificar"))</f>
        <v/>
      </c>
      <c r="U113" s="3">
        <f>IF(tblOrdenes[[#This Row],[centro_costo]]="","",_xlfn.XLOOKUP(tblOrdenes[[#This Row],[centro_costo]],tblCECO[codigo],tblCECO[linea],"(sin catálogo)"))</f>
        <v/>
      </c>
      <c r="V113" s="3">
        <f>IF(tblOrdenes[[#This Row],[centro_costo]]="","",_xlfn.XLOOKUP(tblOrdenes[[#This Row],[centro_costo]],tblCECO[codigo],tblCECO[area],"(sin catálogo)"))</f>
        <v/>
      </c>
      <c r="W1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" s="3">
        <f>IF(tblOrdenes[[#This Row],[centro_costo]]="","",_xlfn.XLOOKUP(tblOrdenes[[#This Row],[centro_costo]],tblCECO[codigo],tblCECO[coordinador],"(sin catálogo)"))</f>
        <v/>
      </c>
      <c r="Y113" s="3">
        <f>IF(tblOrdenes[[#This Row],[puesto_trabajo]]="","",_xlfn.XLOOKUP(tblOrdenes[[#This Row],[puesto_trabajo]],tblPuestos[codigo],tblPuestos[especialidad],"(sin catálogo)"))</f>
        <v/>
      </c>
      <c r="Z113" s="3">
        <f>IF(tblOrdenes[[#This Row],[cod_actividad]]="","",_xlfn.XLOOKUP(tblOrdenes[[#This Row],[cod_actividad]],tblActividades[codigo],tblActividades[descripcion],"(sin catálogo)"))</f>
        <v/>
      </c>
      <c r="AA113" s="13">
        <f>IF(tblOrdenes[[#This Row],[fecha_inicio]]="","",TODAY()-tblOrdenes[[#This Row],[fecha_inicio]])</f>
        <v/>
      </c>
      <c r="AB1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" s="3">
        <f>IF(tblOrdenes[[#This Row],[backlog_habiles]]="","",IF(tblOrdenes[[#This Row],[backlog_habiles]]&lt;0,"FUTURO",IF(tblOrdenes[[#This Row],[backlog_habiles]]&gt;p_dias_backlog_max,"BACKLOG","MES CORRIENTE")))</f>
        <v/>
      </c>
      <c r="AD113" s="3">
        <f>IF(tblOrdenes[[#This Row],[backlog_habiles]]="",FALSE,AND(tblOrdenes[[#This Row],[backlog_habiles]]&gt;p_dias_backlog_min,tblOrdenes[[#This Row],[backlog_habiles]]&lt;=p_dias_backlog_max))</f>
        <v/>
      </c>
      <c r="AE113" s="6" t="inlineStr"/>
      <c r="AF1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" s="11">
        <f>IF(tblOrdenes[[#This Row],[orden]]="","",_xlfn.XLOOKUP(tblOrdenes[[#This Row],[id_operacion]],tblEjecucion[id_operacion],tblEjecucion[precio],0))</f>
        <v/>
      </c>
      <c r="AJ113" s="11">
        <f>IF(tblOrdenes[[#This Row],[orden]]="","",MAX(0,_xlfn.XLOOKUP(tblOrdenes[[#This Row],[id_operacion]],tblEjecucion[id_operacion],tblEjecucion[costo_plan_total],0)-tblOrdenes[[#This Row],[costo_servicio]]))</f>
        <v/>
      </c>
      <c r="AK113" s="11">
        <f>IF(tblOrdenes[[#This Row],[orden]]="","",tblOrdenes[[#This Row],[costo_servicio]]+tblOrdenes[[#This Row],[costo_materiales]])</f>
        <v/>
      </c>
      <c r="AL113" s="6" t="inlineStr"/>
      <c r="AM113" s="6" t="inlineStr"/>
      <c r="AN113" s="6" t="inlineStr"/>
      <c r="AO113" s="3">
        <f>IF(tblOrdenes[[#This Row],[link_checklist]]="","",HYPERLINK(p_ruta_base_checklists&amp;tblOrdenes[[#This Row],[link_checklist]],"abrir"))</f>
        <v/>
      </c>
      <c r="AP113" s="6" t="inlineStr"/>
      <c r="AQ113" s="3">
        <f>IF(tblOrdenes[[#This Row],[orden]]="","",tblOrdenes[[#This Row],[orden]]&amp;IF(tblOrdenes[[#This Row],[operacion]]="","0010",tblOrdenes[[#This Row],[operacion]]))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EQ-102</t>
        </is>
      </c>
      <c r="D114" s="3" t="inlineStr">
        <is>
          <t>Reparación de falla en EQ-102</t>
        </is>
      </c>
      <c r="E114" s="3" t="inlineStr">
        <is>
          <t>EQ-102</t>
        </is>
      </c>
      <c r="F114" s="3" t="inlineStr">
        <is>
          <t>CC-110</t>
        </is>
      </c>
      <c r="G114" s="3" t="inlineStr">
        <is>
          <t>PU-MEC</t>
        </is>
      </c>
      <c r="H114" s="3" t="inlineStr">
        <is>
          <t>ACT-03</t>
        </is>
      </c>
      <c r="I114" s="3" t="inlineStr">
        <is>
          <t>TIPO-C2</t>
        </is>
      </c>
      <c r="J114" s="12" t="n">
        <v>46235</v>
      </c>
      <c r="K114" s="3" t="n">
        <v>6</v>
      </c>
      <c r="L114" s="11" t="n">
        <v>240</v>
      </c>
      <c r="M1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" s="3">
        <f>IF(tblOrdenes[[#This Row],[fecha_inicio]]="","",YEAR(tblOrdenes[[#This Row],[fecha_inicio]]))</f>
        <v/>
      </c>
      <c r="Q114" s="3">
        <f>IF(tblOrdenes[[#This Row],[fecha_inicio]]="","",MONTH(tblOrdenes[[#This Row],[fecha_inicio]]))</f>
        <v/>
      </c>
      <c r="R114" s="3">
        <f>IF(tblOrdenes[[#This Row],[fecha_inicio]]="","",INDEX(lista_dias,WEEKDAY(tblOrdenes[[#This Row],[fecha_inicio]],2)))</f>
        <v/>
      </c>
      <c r="S1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" s="3">
        <f>IF(tblOrdenes[[#This Row],[tipo_ot]]="","",_xlfn.XLOOKUP(tblOrdenes[[#This Row],[tipo_ot]],tblTiposOT[codigo],tblTiposOT[clasificacion],"sin_clasificar"))</f>
        <v/>
      </c>
      <c r="U114" s="3">
        <f>IF(tblOrdenes[[#This Row],[centro_costo]]="","",_xlfn.XLOOKUP(tblOrdenes[[#This Row],[centro_costo]],tblCECO[codigo],tblCECO[linea],"(sin catálogo)"))</f>
        <v/>
      </c>
      <c r="V114" s="3">
        <f>IF(tblOrdenes[[#This Row],[centro_costo]]="","",_xlfn.XLOOKUP(tblOrdenes[[#This Row],[centro_costo]],tblCECO[codigo],tblCECO[area],"(sin catálogo)"))</f>
        <v/>
      </c>
      <c r="W1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" s="3">
        <f>IF(tblOrdenes[[#This Row],[centro_costo]]="","",_xlfn.XLOOKUP(tblOrdenes[[#This Row],[centro_costo]],tblCECO[codigo],tblCECO[coordinador],"(sin catálogo)"))</f>
        <v/>
      </c>
      <c r="Y114" s="3">
        <f>IF(tblOrdenes[[#This Row],[puesto_trabajo]]="","",_xlfn.XLOOKUP(tblOrdenes[[#This Row],[puesto_trabajo]],tblPuestos[codigo],tblPuestos[especialidad],"(sin catálogo)"))</f>
        <v/>
      </c>
      <c r="Z114" s="3">
        <f>IF(tblOrdenes[[#This Row],[cod_actividad]]="","",_xlfn.XLOOKUP(tblOrdenes[[#This Row],[cod_actividad]],tblActividades[codigo],tblActividades[descripcion],"(sin catálogo)"))</f>
        <v/>
      </c>
      <c r="AA114" s="13">
        <f>IF(tblOrdenes[[#This Row],[fecha_inicio]]="","",TODAY()-tblOrdenes[[#This Row],[fecha_inicio]])</f>
        <v/>
      </c>
      <c r="AB1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" s="3">
        <f>IF(tblOrdenes[[#This Row],[backlog_habiles]]="","",IF(tblOrdenes[[#This Row],[backlog_habiles]]&lt;0,"FUTURO",IF(tblOrdenes[[#This Row],[backlog_habiles]]&gt;p_dias_backlog_max,"BACKLOG","MES CORRIENTE")))</f>
        <v/>
      </c>
      <c r="AD114" s="3">
        <f>IF(tblOrdenes[[#This Row],[backlog_habiles]]="",FALSE,AND(tblOrdenes[[#This Row],[backlog_habiles]]&gt;p_dias_backlog_min,tblOrdenes[[#This Row],[backlog_habiles]]&lt;=p_dias_backlog_max))</f>
        <v/>
      </c>
      <c r="AE114" s="6" t="inlineStr">
        <is>
          <t>Técnico 01</t>
        </is>
      </c>
      <c r="AF1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" s="11">
        <f>IF(tblOrdenes[[#This Row],[orden]]="","",_xlfn.XLOOKUP(tblOrdenes[[#This Row],[id_operacion]],tblEjecucion[id_operacion],tblEjecucion[precio],0))</f>
        <v/>
      </c>
      <c r="AJ114" s="11">
        <f>IF(tblOrdenes[[#This Row],[orden]]="","",MAX(0,_xlfn.XLOOKUP(tblOrdenes[[#This Row],[id_operacion]],tblEjecucion[id_operacion],tblEjecucion[costo_plan_total],0)-tblOrdenes[[#This Row],[costo_servicio]]))</f>
        <v/>
      </c>
      <c r="AK114" s="11">
        <f>IF(tblOrdenes[[#This Row],[orden]]="","",tblOrdenes[[#This Row],[costo_servicio]]+tblOrdenes[[#This Row],[costo_materiales]])</f>
        <v/>
      </c>
      <c r="AL114" s="6" t="inlineStr"/>
      <c r="AM114" s="6" t="inlineStr"/>
      <c r="AN114" s="6" t="inlineStr"/>
      <c r="AO114" s="3">
        <f>IF(tblOrdenes[[#This Row],[link_checklist]]="","",HYPERLINK(p_ruta_base_checklists&amp;tblOrdenes[[#This Row],[link_checklist]],"abrir"))</f>
        <v/>
      </c>
      <c r="AP114" s="6" t="inlineStr"/>
      <c r="AQ114" s="3">
        <f>IF(tblOrdenes[[#This Row],[orden]]="","",tblOrdenes[[#This Row],[orden]]&amp;IF(tblOrdenes[[#This Row],[operacion]]="","0010",tblOrdenes[[#This Row],[operacion]]))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Reparación de falla — EQ-103</t>
        </is>
      </c>
      <c r="D115" s="3" t="inlineStr">
        <is>
          <t>Reparación de falla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PU-ELE</t>
        </is>
      </c>
      <c r="H115" s="3" t="inlineStr">
        <is>
          <t>ACT-03</t>
        </is>
      </c>
      <c r="I115" s="3" t="inlineStr">
        <is>
          <t>TIPO-C1</t>
        </is>
      </c>
      <c r="J115" s="12" t="n">
        <v>46235</v>
      </c>
      <c r="K115" s="3" t="n">
        <v>4</v>
      </c>
      <c r="L115" s="11" t="n">
        <v>160</v>
      </c>
      <c r="M1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" s="3">
        <f>IF(tblOrdenes[[#This Row],[fecha_inicio]]="","",YEAR(tblOrdenes[[#This Row],[fecha_inicio]]))</f>
        <v/>
      </c>
      <c r="Q115" s="3">
        <f>IF(tblOrdenes[[#This Row],[fecha_inicio]]="","",MONTH(tblOrdenes[[#This Row],[fecha_inicio]]))</f>
        <v/>
      </c>
      <c r="R115" s="3">
        <f>IF(tblOrdenes[[#This Row],[fecha_inicio]]="","",INDEX(lista_dias,WEEKDAY(tblOrdenes[[#This Row],[fecha_inicio]],2)))</f>
        <v/>
      </c>
      <c r="S1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" s="3">
        <f>IF(tblOrdenes[[#This Row],[tipo_ot]]="","",_xlfn.XLOOKUP(tblOrdenes[[#This Row],[tipo_ot]],tblTiposOT[codigo],tblTiposOT[clasificacion],"sin_clasificar"))</f>
        <v/>
      </c>
      <c r="U115" s="3">
        <f>IF(tblOrdenes[[#This Row],[centro_costo]]="","",_xlfn.XLOOKUP(tblOrdenes[[#This Row],[centro_costo]],tblCECO[codigo],tblCECO[linea],"(sin catálogo)"))</f>
        <v/>
      </c>
      <c r="V115" s="3">
        <f>IF(tblOrdenes[[#This Row],[centro_costo]]="","",_xlfn.XLOOKUP(tblOrdenes[[#This Row],[centro_costo]],tblCECO[codigo],tblCECO[area],"(sin catálogo)"))</f>
        <v/>
      </c>
      <c r="W1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" s="3">
        <f>IF(tblOrdenes[[#This Row],[centro_costo]]="","",_xlfn.XLOOKUP(tblOrdenes[[#This Row],[centro_costo]],tblCECO[codigo],tblCECO[coordinador],"(sin catálogo)"))</f>
        <v/>
      </c>
      <c r="Y115" s="3">
        <f>IF(tblOrdenes[[#This Row],[puesto_trabajo]]="","",_xlfn.XLOOKUP(tblOrdenes[[#This Row],[puesto_trabajo]],tblPuestos[codigo],tblPuestos[especialidad],"(sin catálogo)"))</f>
        <v/>
      </c>
      <c r="Z115" s="3">
        <f>IF(tblOrdenes[[#This Row],[cod_actividad]]="","",_xlfn.XLOOKUP(tblOrdenes[[#This Row],[cod_actividad]],tblActividades[codigo],tblActividades[descripcion],"(sin catálogo)"))</f>
        <v/>
      </c>
      <c r="AA115" s="13">
        <f>IF(tblOrdenes[[#This Row],[fecha_inicio]]="","",TODAY()-tblOrdenes[[#This Row],[fecha_inicio]])</f>
        <v/>
      </c>
      <c r="AB1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" s="3">
        <f>IF(tblOrdenes[[#This Row],[backlog_habiles]]="","",IF(tblOrdenes[[#This Row],[backlog_habiles]]&lt;0,"FUTURO",IF(tblOrdenes[[#This Row],[backlog_habiles]]&gt;p_dias_backlog_max,"BACKLOG","MES CORRIENTE")))</f>
        <v/>
      </c>
      <c r="AD115" s="3">
        <f>IF(tblOrdenes[[#This Row],[backlog_habiles]]="",FALSE,AND(tblOrdenes[[#This Row],[backlog_habiles]]&gt;p_dias_backlog_min,tblOrdenes[[#This Row],[backlog_habiles]]&lt;=p_dias_backlog_max))</f>
        <v/>
      </c>
      <c r="AE115" s="6" t="inlineStr">
        <is>
          <t>Técnico 08</t>
        </is>
      </c>
      <c r="AF1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" s="11">
        <f>IF(tblOrdenes[[#This Row],[orden]]="","",_xlfn.XLOOKUP(tblOrdenes[[#This Row],[id_operacion]],tblEjecucion[id_operacion],tblEjecucion[precio],0))</f>
        <v/>
      </c>
      <c r="AJ115" s="11">
        <f>IF(tblOrdenes[[#This Row],[orden]]="","",MAX(0,_xlfn.XLOOKUP(tblOrdenes[[#This Row],[id_operacion]],tblEjecucion[id_operacion],tblEjecucion[costo_plan_total],0)-tblOrdenes[[#This Row],[costo_servicio]]))</f>
        <v/>
      </c>
      <c r="AK115" s="11">
        <f>IF(tblOrdenes[[#This Row],[orden]]="","",tblOrdenes[[#This Row],[costo_servicio]]+tblOrdenes[[#This Row],[costo_materiales]])</f>
        <v/>
      </c>
      <c r="AL115" s="6" t="inlineStr"/>
      <c r="AM115" s="6" t="inlineStr"/>
      <c r="AN115" s="6" t="inlineStr"/>
      <c r="AO115" s="3">
        <f>IF(tblOrdenes[[#This Row],[link_checklist]]="","",HYPERLINK(p_ruta_base_checklists&amp;tblOrdenes[[#This Row],[link_checklist]],"abrir"))</f>
        <v/>
      </c>
      <c r="AP115" s="6" t="inlineStr"/>
      <c r="AQ115" s="3">
        <f>IF(tblOrdenes[[#This Row],[orden]]="","",tblOrdenes[[#This Row],[orden]]&amp;IF(tblOrdenes[[#This Row],[operacion]]="","0010",tblOrdenes[[#This Row],[operacion]]))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Reparación de falla — EQ-107</t>
        </is>
      </c>
      <c r="D116" s="3" t="inlineStr">
        <is>
          <t>Reparación de falla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PU-MEC</t>
        </is>
      </c>
      <c r="H116" s="3" t="inlineStr">
        <is>
          <t>ACT-03</t>
        </is>
      </c>
      <c r="I116" s="3" t="inlineStr">
        <is>
          <t>TIPO-C2</t>
        </is>
      </c>
      <c r="J116" s="12" t="n">
        <v>46236</v>
      </c>
      <c r="K116" s="3" t="n">
        <v>8</v>
      </c>
      <c r="L116" s="11" t="n">
        <v>320</v>
      </c>
      <c r="M1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" s="3">
        <f>IF(tblOrdenes[[#This Row],[fecha_inicio]]="","",YEAR(tblOrdenes[[#This Row],[fecha_inicio]]))</f>
        <v/>
      </c>
      <c r="Q116" s="3">
        <f>IF(tblOrdenes[[#This Row],[fecha_inicio]]="","",MONTH(tblOrdenes[[#This Row],[fecha_inicio]]))</f>
        <v/>
      </c>
      <c r="R116" s="3">
        <f>IF(tblOrdenes[[#This Row],[fecha_inicio]]="","",INDEX(lista_dias,WEEKDAY(tblOrdenes[[#This Row],[fecha_inicio]],2)))</f>
        <v/>
      </c>
      <c r="S1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" s="3">
        <f>IF(tblOrdenes[[#This Row],[tipo_ot]]="","",_xlfn.XLOOKUP(tblOrdenes[[#This Row],[tipo_ot]],tblTiposOT[codigo],tblTiposOT[clasificacion],"sin_clasificar"))</f>
        <v/>
      </c>
      <c r="U116" s="3">
        <f>IF(tblOrdenes[[#This Row],[centro_costo]]="","",_xlfn.XLOOKUP(tblOrdenes[[#This Row],[centro_costo]],tblCECO[codigo],tblCECO[linea],"(sin catálogo)"))</f>
        <v/>
      </c>
      <c r="V116" s="3">
        <f>IF(tblOrdenes[[#This Row],[centro_costo]]="","",_xlfn.XLOOKUP(tblOrdenes[[#This Row],[centro_costo]],tblCECO[codigo],tblCECO[area],"(sin catálogo)"))</f>
        <v/>
      </c>
      <c r="W1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" s="3">
        <f>IF(tblOrdenes[[#This Row],[centro_costo]]="","",_xlfn.XLOOKUP(tblOrdenes[[#This Row],[centro_costo]],tblCECO[codigo],tblCECO[coordinador],"(sin catálogo)"))</f>
        <v/>
      </c>
      <c r="Y116" s="3">
        <f>IF(tblOrdenes[[#This Row],[puesto_trabajo]]="","",_xlfn.XLOOKUP(tblOrdenes[[#This Row],[puesto_trabajo]],tblPuestos[codigo],tblPuestos[especialidad],"(sin catálogo)"))</f>
        <v/>
      </c>
      <c r="Z116" s="3">
        <f>IF(tblOrdenes[[#This Row],[cod_actividad]]="","",_xlfn.XLOOKUP(tblOrdenes[[#This Row],[cod_actividad]],tblActividades[codigo],tblActividades[descripcion],"(sin catálogo)"))</f>
        <v/>
      </c>
      <c r="AA116" s="13">
        <f>IF(tblOrdenes[[#This Row],[fecha_inicio]]="","",TODAY()-tblOrdenes[[#This Row],[fecha_inicio]])</f>
        <v/>
      </c>
      <c r="AB1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" s="3">
        <f>IF(tblOrdenes[[#This Row],[backlog_habiles]]="","",IF(tblOrdenes[[#This Row],[backlog_habiles]]&lt;0,"FUTURO",IF(tblOrdenes[[#This Row],[backlog_habiles]]&gt;p_dias_backlog_max,"BACKLOG","MES CORRIENTE")))</f>
        <v/>
      </c>
      <c r="AD116" s="3">
        <f>IF(tblOrdenes[[#This Row],[backlog_habiles]]="",FALSE,AND(tblOrdenes[[#This Row],[backlog_habiles]]&gt;p_dias_backlog_min,tblOrdenes[[#This Row],[backlog_habiles]]&lt;=p_dias_backlog_max))</f>
        <v/>
      </c>
      <c r="AE116" s="6" t="inlineStr"/>
      <c r="AF1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" s="11">
        <f>IF(tblOrdenes[[#This Row],[orden]]="","",_xlfn.XLOOKUP(tblOrdenes[[#This Row],[id_operacion]],tblEjecucion[id_operacion],tblEjecucion[precio],0))</f>
        <v/>
      </c>
      <c r="AJ116" s="11">
        <f>IF(tblOrdenes[[#This Row],[orden]]="","",MAX(0,_xlfn.XLOOKUP(tblOrdenes[[#This Row],[id_operacion]],tblEjecucion[id_operacion],tblEjecucion[costo_plan_total],0)-tblOrdenes[[#This Row],[costo_servicio]]))</f>
        <v/>
      </c>
      <c r="AK116" s="11">
        <f>IF(tblOrdenes[[#This Row],[orden]]="","",tblOrdenes[[#This Row],[costo_servicio]]+tblOrdenes[[#This Row],[costo_materiales]])</f>
        <v/>
      </c>
      <c r="AL116" s="6" t="inlineStr"/>
      <c r="AM116" s="6" t="inlineStr"/>
      <c r="AN116" s="6" t="inlineStr"/>
      <c r="AO116" s="3">
        <f>IF(tblOrdenes[[#This Row],[link_checklist]]="","",HYPERLINK(p_ruta_base_checklists&amp;tblOrdenes[[#This Row],[link_checklist]],"abrir"))</f>
        <v/>
      </c>
      <c r="AP116" s="6" t="inlineStr"/>
      <c r="AQ116" s="3">
        <f>IF(tblOrdenes[[#This Row],[orden]]="","",tblOrdenes[[#This Row],[orden]]&amp;IF(tblOrdenes[[#This Row],[operacion]]="","0010",tblOrdenes[[#This Row],[operacion]]))</f>
        <v/>
      </c>
    </row>
    <row r="117">
      <c r="A117" s="3" t="inlineStr">
        <is>
          <t>OT-000001</t>
        </is>
      </c>
      <c r="B117" s="3" t="inlineStr">
        <is>
          <t>0020</t>
        </is>
      </c>
      <c r="C117" s="3" t="inlineStr">
        <is>
          <t>Lubricación programada — EQ-102</t>
        </is>
      </c>
      <c r="D117" s="3" t="inlineStr">
        <is>
          <t>Segunda operación — EQ-102</t>
        </is>
      </c>
      <c r="E117" s="3" t="inlineStr">
        <is>
          <t>EQ-102</t>
        </is>
      </c>
      <c r="F117" s="3" t="inlineStr">
        <is>
          <t>CC-110</t>
        </is>
      </c>
      <c r="G117" s="3" t="inlineStr">
        <is>
          <t>PU-MEC</t>
        </is>
      </c>
      <c r="H117" s="3" t="inlineStr">
        <is>
          <t>ACT-02</t>
        </is>
      </c>
      <c r="I117" s="3" t="inlineStr">
        <is>
          <t>TIPO-P2</t>
        </is>
      </c>
      <c r="J117" s="12" t="n">
        <v>46223</v>
      </c>
      <c r="K117" s="3" t="n">
        <v>2</v>
      </c>
      <c r="L117" s="11" t="n">
        <v>50</v>
      </c>
      <c r="M1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" s="3">
        <f>IF(tblOrdenes[[#This Row],[fecha_inicio]]="","",YEAR(tblOrdenes[[#This Row],[fecha_inicio]]))</f>
        <v/>
      </c>
      <c r="Q117" s="3">
        <f>IF(tblOrdenes[[#This Row],[fecha_inicio]]="","",MONTH(tblOrdenes[[#This Row],[fecha_inicio]]))</f>
        <v/>
      </c>
      <c r="R117" s="3">
        <f>IF(tblOrdenes[[#This Row],[fecha_inicio]]="","",INDEX(lista_dias,WEEKDAY(tblOrdenes[[#This Row],[fecha_inicio]],2)))</f>
        <v/>
      </c>
      <c r="S1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" s="3">
        <f>IF(tblOrdenes[[#This Row],[tipo_ot]]="","",_xlfn.XLOOKUP(tblOrdenes[[#This Row],[tipo_ot]],tblTiposOT[codigo],tblTiposOT[clasificacion],"sin_clasificar"))</f>
        <v/>
      </c>
      <c r="U117" s="3">
        <f>IF(tblOrdenes[[#This Row],[centro_costo]]="","",_xlfn.XLOOKUP(tblOrdenes[[#This Row],[centro_costo]],tblCECO[codigo],tblCECO[linea],"(sin catálogo)"))</f>
        <v/>
      </c>
      <c r="V117" s="3">
        <f>IF(tblOrdenes[[#This Row],[centro_costo]]="","",_xlfn.XLOOKUP(tblOrdenes[[#This Row],[centro_costo]],tblCECO[codigo],tblCECO[area],"(sin catálogo)"))</f>
        <v/>
      </c>
      <c r="W1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" s="3">
        <f>IF(tblOrdenes[[#This Row],[centro_costo]]="","",_xlfn.XLOOKUP(tblOrdenes[[#This Row],[centro_costo]],tblCECO[codigo],tblCECO[coordinador],"(sin catálogo)"))</f>
        <v/>
      </c>
      <c r="Y117" s="3">
        <f>IF(tblOrdenes[[#This Row],[puesto_trabajo]]="","",_xlfn.XLOOKUP(tblOrdenes[[#This Row],[puesto_trabajo]],tblPuestos[codigo],tblPuestos[especialidad],"(sin catálogo)"))</f>
        <v/>
      </c>
      <c r="Z117" s="3">
        <f>IF(tblOrdenes[[#This Row],[cod_actividad]]="","",_xlfn.XLOOKUP(tblOrdenes[[#This Row],[cod_actividad]],tblActividades[codigo],tblActividades[descripcion],"(sin catálogo)"))</f>
        <v/>
      </c>
      <c r="AA117" s="13">
        <f>IF(tblOrdenes[[#This Row],[fecha_inicio]]="","",TODAY()-tblOrdenes[[#This Row],[fecha_inicio]])</f>
        <v/>
      </c>
      <c r="AB1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" s="3">
        <f>IF(tblOrdenes[[#This Row],[backlog_habiles]]="","",IF(tblOrdenes[[#This Row],[backlog_habiles]]&lt;0,"FUTURO",IF(tblOrdenes[[#This Row],[backlog_habiles]]&gt;p_dias_backlog_max,"BACKLOG","MES CORRIENTE")))</f>
        <v/>
      </c>
      <c r="AD117" s="3">
        <f>IF(tblOrdenes[[#This Row],[backlog_habiles]]="",FALSE,AND(tblOrdenes[[#This Row],[backlog_habiles]]&gt;p_dias_backlog_min,tblOrdenes[[#This Row],[backlog_habiles]]&lt;=p_dias_backlog_max))</f>
        <v/>
      </c>
      <c r="AE117" s="6" t="inlineStr">
        <is>
          <t>Técnico 01</t>
        </is>
      </c>
      <c r="AF1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" s="11">
        <f>IF(tblOrdenes[[#This Row],[orden]]="","",_xlfn.XLOOKUP(tblOrdenes[[#This Row],[id_operacion]],tblEjecucion[id_operacion],tblEjecucion[precio],0))</f>
        <v/>
      </c>
      <c r="AJ117" s="11">
        <f>IF(tblOrdenes[[#This Row],[orden]]="","",MAX(0,_xlfn.XLOOKUP(tblOrdenes[[#This Row],[id_operacion]],tblEjecucion[id_operacion],tblEjecucion[costo_plan_total],0)-tblOrdenes[[#This Row],[costo_servicio]]))</f>
        <v/>
      </c>
      <c r="AK117" s="11">
        <f>IF(tblOrdenes[[#This Row],[orden]]="","",tblOrdenes[[#This Row],[costo_servicio]]+tblOrdenes[[#This Row],[costo_materiales]])</f>
        <v/>
      </c>
      <c r="AL117" s="6" t="inlineStr"/>
      <c r="AM117" s="6" t="inlineStr"/>
      <c r="AN117" s="6" t="inlineStr"/>
      <c r="AO117" s="3">
        <f>IF(tblOrdenes[[#This Row],[link_checklist]]="","",HYPERLINK(p_ruta_base_checklists&amp;tblOrdenes[[#This Row],[link_checklist]],"abrir"))</f>
        <v/>
      </c>
      <c r="AP117" s="6" t="inlineStr"/>
      <c r="AQ117" s="3">
        <f>IF(tblOrdenes[[#This Row],[orden]]="","",tblOrdenes[[#This Row],[orden]]&amp;IF(tblOrdenes[[#This Row],[operacion]]="","0010",tblOrdenes[[#This Row],[operacion]]))</f>
        <v/>
      </c>
    </row>
    <row r="118">
      <c r="A118" s="3" t="inlineStr">
        <is>
          <t>OT-000041</t>
        </is>
      </c>
      <c r="B118" s="3" t="inlineStr">
        <is>
          <t>0020</t>
        </is>
      </c>
      <c r="C118" s="3" t="inlineStr">
        <is>
          <t>Análisis predictivo — EQ-107</t>
        </is>
      </c>
      <c r="D118" s="3" t="inlineStr">
        <is>
          <t>Segunda operación — EQ-107</t>
        </is>
      </c>
      <c r="E118" s="3" t="inlineStr">
        <is>
          <t>EQ-107</t>
        </is>
      </c>
      <c r="F118" s="3" t="inlineStr">
        <is>
          <t>CC-210</t>
        </is>
      </c>
      <c r="G118" s="3" t="inlineStr">
        <is>
          <t>PU-MEC</t>
        </is>
      </c>
      <c r="H118" s="3" t="inlineStr">
        <is>
          <t>ACT-04</t>
        </is>
      </c>
      <c r="I118" s="3" t="inlineStr">
        <is>
          <t>TIPO-P2</t>
        </is>
      </c>
      <c r="J118" s="12" t="n">
        <v>46244</v>
      </c>
      <c r="K118" s="3" t="n">
        <v>2</v>
      </c>
      <c r="L118" s="11" t="n">
        <v>50</v>
      </c>
      <c r="M1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" s="3">
        <f>IF(tblOrdenes[[#This Row],[fecha_inicio]]="","",YEAR(tblOrdenes[[#This Row],[fecha_inicio]]))</f>
        <v/>
      </c>
      <c r="Q118" s="3">
        <f>IF(tblOrdenes[[#This Row],[fecha_inicio]]="","",MONTH(tblOrdenes[[#This Row],[fecha_inicio]]))</f>
        <v/>
      </c>
      <c r="R118" s="3">
        <f>IF(tblOrdenes[[#This Row],[fecha_inicio]]="","",INDEX(lista_dias,WEEKDAY(tblOrdenes[[#This Row],[fecha_inicio]],2)))</f>
        <v/>
      </c>
      <c r="S1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" s="3">
        <f>IF(tblOrdenes[[#This Row],[tipo_ot]]="","",_xlfn.XLOOKUP(tblOrdenes[[#This Row],[tipo_ot]],tblTiposOT[codigo],tblTiposOT[clasificacion],"sin_clasificar"))</f>
        <v/>
      </c>
      <c r="U118" s="3">
        <f>IF(tblOrdenes[[#This Row],[centro_costo]]="","",_xlfn.XLOOKUP(tblOrdenes[[#This Row],[centro_costo]],tblCECO[codigo],tblCECO[linea],"(sin catálogo)"))</f>
        <v/>
      </c>
      <c r="V118" s="3">
        <f>IF(tblOrdenes[[#This Row],[centro_costo]]="","",_xlfn.XLOOKUP(tblOrdenes[[#This Row],[centro_costo]],tblCECO[codigo],tblCECO[area],"(sin catálogo)"))</f>
        <v/>
      </c>
      <c r="W1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" s="3">
        <f>IF(tblOrdenes[[#This Row],[centro_costo]]="","",_xlfn.XLOOKUP(tblOrdenes[[#This Row],[centro_costo]],tblCECO[codigo],tblCECO[coordinador],"(sin catálogo)"))</f>
        <v/>
      </c>
      <c r="Y118" s="3">
        <f>IF(tblOrdenes[[#This Row],[puesto_trabajo]]="","",_xlfn.XLOOKUP(tblOrdenes[[#This Row],[puesto_trabajo]],tblPuestos[codigo],tblPuestos[especialidad],"(sin catálogo)"))</f>
        <v/>
      </c>
      <c r="Z118" s="3">
        <f>IF(tblOrdenes[[#This Row],[cod_actividad]]="","",_xlfn.XLOOKUP(tblOrdenes[[#This Row],[cod_actividad]],tblActividades[codigo],tblActividades[descripcion],"(sin catálogo)"))</f>
        <v/>
      </c>
      <c r="AA118" s="13">
        <f>IF(tblOrdenes[[#This Row],[fecha_inicio]]="","",TODAY()-tblOrdenes[[#This Row],[fecha_inicio]])</f>
        <v/>
      </c>
      <c r="AB1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" s="3">
        <f>IF(tblOrdenes[[#This Row],[backlog_habiles]]="","",IF(tblOrdenes[[#This Row],[backlog_habiles]]&lt;0,"FUTURO",IF(tblOrdenes[[#This Row],[backlog_habiles]]&gt;p_dias_backlog_max,"BACKLOG","MES CORRIENTE")))</f>
        <v/>
      </c>
      <c r="AD118" s="3">
        <f>IF(tblOrdenes[[#This Row],[backlog_habiles]]="",FALSE,AND(tblOrdenes[[#This Row],[backlog_habiles]]&gt;p_dias_backlog_min,tblOrdenes[[#This Row],[backlog_habiles]]&lt;=p_dias_backlog_max))</f>
        <v/>
      </c>
      <c r="AE118" s="6" t="inlineStr">
        <is>
          <t>Técnico 06</t>
        </is>
      </c>
      <c r="AF1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" s="11">
        <f>IF(tblOrdenes[[#This Row],[orden]]="","",_xlfn.XLOOKUP(tblOrdenes[[#This Row],[id_operacion]],tblEjecucion[id_operacion],tblEjecucion[precio],0))</f>
        <v/>
      </c>
      <c r="AJ118" s="11">
        <f>IF(tblOrdenes[[#This Row],[orden]]="","",MAX(0,_xlfn.XLOOKUP(tblOrdenes[[#This Row],[id_operacion]],tblEjecucion[id_operacion],tblEjecucion[costo_plan_total],0)-tblOrdenes[[#This Row],[costo_servicio]]))</f>
        <v/>
      </c>
      <c r="AK118" s="11">
        <f>IF(tblOrdenes[[#This Row],[orden]]="","",tblOrdenes[[#This Row],[costo_servicio]]+tblOrdenes[[#This Row],[costo_materiales]])</f>
        <v/>
      </c>
      <c r="AL118" s="6" t="inlineStr"/>
      <c r="AM118" s="6" t="inlineStr"/>
      <c r="AN118" s="6" t="inlineStr"/>
      <c r="AO118" s="3">
        <f>IF(tblOrdenes[[#This Row],[link_checklist]]="","",HYPERLINK(p_ruta_base_checklists&amp;tblOrdenes[[#This Row],[link_checklist]],"abrir"))</f>
        <v/>
      </c>
      <c r="AP118" s="6" t="inlineStr"/>
      <c r="AQ118" s="3">
        <f>IF(tblOrdenes[[#This Row],[orden]]="","",tblOrdenes[[#This Row],[orden]]&amp;IF(tblOrdenes[[#This Row],[operacion]]="","0010",tblOrdenes[[#This Row],[operacion]]))</f>
        <v/>
      </c>
    </row>
    <row r="119">
      <c r="A119" s="3" t="inlineStr">
        <is>
          <t>OT-000081</t>
        </is>
      </c>
      <c r="B119" s="3" t="inlineStr">
        <is>
          <t>0020</t>
        </is>
      </c>
      <c r="C119" s="3" t="inlineStr">
        <is>
          <t>Inspección de rutina — EQ-102</t>
        </is>
      </c>
      <c r="D119" s="3" t="inlineStr">
        <is>
          <t>Segunda operación — EQ-102</t>
        </is>
      </c>
      <c r="E119" s="3" t="inlineStr">
        <is>
          <t>EQ-102</t>
        </is>
      </c>
      <c r="F119" s="3" t="inlineStr">
        <is>
          <t>CC-120</t>
        </is>
      </c>
      <c r="G119" s="3" t="inlineStr">
        <is>
          <t>PU-ELE</t>
        </is>
      </c>
      <c r="H119" s="3" t="inlineStr">
        <is>
          <t>ACT-01</t>
        </is>
      </c>
      <c r="I119" s="3" t="inlineStr">
        <is>
          <t>TIPO-P2</t>
        </is>
      </c>
      <c r="J119" s="12" t="n">
        <v>46244</v>
      </c>
      <c r="K119" s="3" t="n">
        <v>2</v>
      </c>
      <c r="L119" s="11" t="n">
        <v>50</v>
      </c>
      <c r="M1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" s="3">
        <f>IF(tblOrdenes[[#This Row],[fecha_inicio]]="","",YEAR(tblOrdenes[[#This Row],[fecha_inicio]]))</f>
        <v/>
      </c>
      <c r="Q119" s="3">
        <f>IF(tblOrdenes[[#This Row],[fecha_inicio]]="","",MONTH(tblOrdenes[[#This Row],[fecha_inicio]]))</f>
        <v/>
      </c>
      <c r="R119" s="3">
        <f>IF(tblOrdenes[[#This Row],[fecha_inicio]]="","",INDEX(lista_dias,WEEKDAY(tblOrdenes[[#This Row],[fecha_inicio]],2)))</f>
        <v/>
      </c>
      <c r="S1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" s="3">
        <f>IF(tblOrdenes[[#This Row],[tipo_ot]]="","",_xlfn.XLOOKUP(tblOrdenes[[#This Row],[tipo_ot]],tblTiposOT[codigo],tblTiposOT[clasificacion],"sin_clasificar"))</f>
        <v/>
      </c>
      <c r="U119" s="3">
        <f>IF(tblOrdenes[[#This Row],[centro_costo]]="","",_xlfn.XLOOKUP(tblOrdenes[[#This Row],[centro_costo]],tblCECO[codigo],tblCECO[linea],"(sin catálogo)"))</f>
        <v/>
      </c>
      <c r="V119" s="3">
        <f>IF(tblOrdenes[[#This Row],[centro_costo]]="","",_xlfn.XLOOKUP(tblOrdenes[[#This Row],[centro_costo]],tblCECO[codigo],tblCECO[area],"(sin catálogo)"))</f>
        <v/>
      </c>
      <c r="W1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" s="3">
        <f>IF(tblOrdenes[[#This Row],[centro_costo]]="","",_xlfn.XLOOKUP(tblOrdenes[[#This Row],[centro_costo]],tblCECO[codigo],tblCECO[coordinador],"(sin catálogo)"))</f>
        <v/>
      </c>
      <c r="Y119" s="3">
        <f>IF(tblOrdenes[[#This Row],[puesto_trabajo]]="","",_xlfn.XLOOKUP(tblOrdenes[[#This Row],[puesto_trabajo]],tblPuestos[codigo],tblPuestos[especialidad],"(sin catálogo)"))</f>
        <v/>
      </c>
      <c r="Z119" s="3">
        <f>IF(tblOrdenes[[#This Row],[cod_actividad]]="","",_xlfn.XLOOKUP(tblOrdenes[[#This Row],[cod_actividad]],tblActividades[codigo],tblActividades[descripcion],"(sin catálogo)"))</f>
        <v/>
      </c>
      <c r="AA119" s="13">
        <f>IF(tblOrdenes[[#This Row],[fecha_inicio]]="","",TODAY()-tblOrdenes[[#This Row],[fecha_inicio]])</f>
        <v/>
      </c>
      <c r="AB1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" s="3">
        <f>IF(tblOrdenes[[#This Row],[backlog_habiles]]="","",IF(tblOrdenes[[#This Row],[backlog_habiles]]&lt;0,"FUTURO",IF(tblOrdenes[[#This Row],[backlog_habiles]]&gt;p_dias_backlog_max,"BACKLOG","MES CORRIENTE")))</f>
        <v/>
      </c>
      <c r="AD119" s="3">
        <f>IF(tblOrdenes[[#This Row],[backlog_habiles]]="",FALSE,AND(tblOrdenes[[#This Row],[backlog_habiles]]&gt;p_dias_backlog_min,tblOrdenes[[#This Row],[backlog_habiles]]&lt;=p_dias_backlog_max))</f>
        <v/>
      </c>
      <c r="AE119" s="6" t="inlineStr">
        <is>
          <t>Técnico 11</t>
        </is>
      </c>
      <c r="AF1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" s="11">
        <f>IF(tblOrdenes[[#This Row],[orden]]="","",_xlfn.XLOOKUP(tblOrdenes[[#This Row],[id_operacion]],tblEjecucion[id_operacion],tblEjecucion[precio],0))</f>
        <v/>
      </c>
      <c r="AJ119" s="11">
        <f>IF(tblOrdenes[[#This Row],[orden]]="","",MAX(0,_xlfn.XLOOKUP(tblOrdenes[[#This Row],[id_operacion]],tblEjecucion[id_operacion],tblEjecucion[costo_plan_total],0)-tblOrdenes[[#This Row],[costo_servicio]]))</f>
        <v/>
      </c>
      <c r="AK119" s="11">
        <f>IF(tblOrdenes[[#This Row],[orden]]="","",tblOrdenes[[#This Row],[costo_servicio]]+tblOrdenes[[#This Row],[costo_materiales]])</f>
        <v/>
      </c>
      <c r="AL119" s="6" t="inlineStr"/>
      <c r="AM119" s="6" t="inlineStr"/>
      <c r="AN119" s="6" t="inlineStr"/>
      <c r="AO119" s="3">
        <f>IF(tblOrdenes[[#This Row],[link_checklist]]="","",HYPERLINK(p_ruta_base_checklists&amp;tblOrdenes[[#This Row],[link_checklist]],"abrir"))</f>
        <v/>
      </c>
      <c r="AP119" s="6" t="inlineStr"/>
      <c r="AQ119" s="3">
        <f>IF(tblOrdenes[[#This Row],[orden]]="","",tblOrdenes[[#This Row],[orden]]&amp;IF(tblOrdenes[[#This Row],[operacion]]="","0010",tblOrdenes[[#This Row],[operacion]]))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EQ-103</t>
        </is>
      </c>
      <c r="D120" s="3" t="inlineStr">
        <is>
          <t>Reparación de falla en EQ-103</t>
        </is>
      </c>
      <c r="E120" s="3" t="inlineStr">
        <is>
          <t>EQ-103</t>
        </is>
      </c>
      <c r="F120" s="3" t="inlineStr">
        <is>
          <t>CC-110</t>
        </is>
      </c>
      <c r="G120" s="3" t="inlineStr">
        <is>
          <t>PU-MEC</t>
        </is>
      </c>
      <c r="H120" s="3" t="inlineStr">
        <is>
          <t>ACT-03</t>
        </is>
      </c>
      <c r="I120" s="3" t="inlineStr">
        <is>
          <t>TIPO-C2</t>
        </is>
      </c>
      <c r="J120" s="12" t="n">
        <v>46185</v>
      </c>
      <c r="K120" s="3" t="n">
        <v>4</v>
      </c>
      <c r="L120" s="11" t="n">
        <v>160</v>
      </c>
      <c r="M1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" s="3">
        <f>IF(tblOrdenes[[#This Row],[fecha_inicio]]="","",YEAR(tblOrdenes[[#This Row],[fecha_inicio]]))</f>
        <v/>
      </c>
      <c r="Q120" s="3">
        <f>IF(tblOrdenes[[#This Row],[fecha_inicio]]="","",MONTH(tblOrdenes[[#This Row],[fecha_inicio]]))</f>
        <v/>
      </c>
      <c r="R120" s="3">
        <f>IF(tblOrdenes[[#This Row],[fecha_inicio]]="","",INDEX(lista_dias,WEEKDAY(tblOrdenes[[#This Row],[fecha_inicio]],2)))</f>
        <v/>
      </c>
      <c r="S1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" s="3">
        <f>IF(tblOrdenes[[#This Row],[tipo_ot]]="","",_xlfn.XLOOKUP(tblOrdenes[[#This Row],[tipo_ot]],tblTiposOT[codigo],tblTiposOT[clasificacion],"sin_clasificar"))</f>
        <v/>
      </c>
      <c r="U120" s="3">
        <f>IF(tblOrdenes[[#This Row],[centro_costo]]="","",_xlfn.XLOOKUP(tblOrdenes[[#This Row],[centro_costo]],tblCECO[codigo],tblCECO[linea],"(sin catálogo)"))</f>
        <v/>
      </c>
      <c r="V120" s="3">
        <f>IF(tblOrdenes[[#This Row],[centro_costo]]="","",_xlfn.XLOOKUP(tblOrdenes[[#This Row],[centro_costo]],tblCECO[codigo],tblCECO[area],"(sin catálogo)"))</f>
        <v/>
      </c>
      <c r="W1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" s="3">
        <f>IF(tblOrdenes[[#This Row],[centro_costo]]="","",_xlfn.XLOOKUP(tblOrdenes[[#This Row],[centro_costo]],tblCECO[codigo],tblCECO[coordinador],"(sin catálogo)"))</f>
        <v/>
      </c>
      <c r="Y120" s="3">
        <f>IF(tblOrdenes[[#This Row],[puesto_trabajo]]="","",_xlfn.XLOOKUP(tblOrdenes[[#This Row],[puesto_trabajo]],tblPuestos[codigo],tblPuestos[especialidad],"(sin catálogo)"))</f>
        <v/>
      </c>
      <c r="Z120" s="3">
        <f>IF(tblOrdenes[[#This Row],[cod_actividad]]="","",_xlfn.XLOOKUP(tblOrdenes[[#This Row],[cod_actividad]],tblActividades[codigo],tblActividades[descripcion],"(sin catálogo)"))</f>
        <v/>
      </c>
      <c r="AA120" s="13">
        <f>IF(tblOrdenes[[#This Row],[fecha_inicio]]="","",TODAY()-tblOrdenes[[#This Row],[fecha_inicio]])</f>
        <v/>
      </c>
      <c r="AB1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" s="3">
        <f>IF(tblOrdenes[[#This Row],[backlog_habiles]]="","",IF(tblOrdenes[[#This Row],[backlog_habiles]]&lt;0,"FUTURO",IF(tblOrdenes[[#This Row],[backlog_habiles]]&gt;p_dias_backlog_max,"BACKLOG","MES CORRIENTE")))</f>
        <v/>
      </c>
      <c r="AD120" s="3">
        <f>IF(tblOrdenes[[#This Row],[backlog_habiles]]="",FALSE,AND(tblOrdenes[[#This Row],[backlog_habiles]]&gt;p_dias_backlog_min,tblOrdenes[[#This Row],[backlog_habiles]]&lt;=p_dias_backlog_max))</f>
        <v/>
      </c>
      <c r="AE120" s="6" t="inlineStr"/>
      <c r="AF1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" s="11">
        <f>IF(tblOrdenes[[#This Row],[orden]]="","",_xlfn.XLOOKUP(tblOrdenes[[#This Row],[id_operacion]],tblEjecucion[id_operacion],tblEjecucion[precio],0))</f>
        <v/>
      </c>
      <c r="AJ120" s="11">
        <f>IF(tblOrdenes[[#This Row],[orden]]="","",MAX(0,_xlfn.XLOOKUP(tblOrdenes[[#This Row],[id_operacion]],tblEjecucion[id_operacion],tblEjecucion[costo_plan_total],0)-tblOrdenes[[#This Row],[costo_servicio]]))</f>
        <v/>
      </c>
      <c r="AK120" s="11">
        <f>IF(tblOrdenes[[#This Row],[orden]]="","",tblOrdenes[[#This Row],[costo_servicio]]+tblOrdenes[[#This Row],[costo_materiales]])</f>
        <v/>
      </c>
      <c r="AL120" s="6" t="inlineStr"/>
      <c r="AM120" s="6" t="inlineStr"/>
      <c r="AN120" s="6" t="inlineStr"/>
      <c r="AO120" s="3">
        <f>IF(tblOrdenes[[#This Row],[link_checklist]]="","",HYPERLINK(p_ruta_base_checklists&amp;tblOrdenes[[#This Row],[link_checklist]],"abrir"))</f>
        <v/>
      </c>
      <c r="AP120" s="6" t="inlineStr"/>
      <c r="AQ120" s="3">
        <f>IF(tblOrdenes[[#This Row],[orden]]="","",tblOrdenes[[#This Row],[orden]]&amp;IF(tblOrdenes[[#This Row],[operacion]]="","0010",tblOrdenes[[#This Row],[operacion]]))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Reparación de falla — EQ-104</t>
        </is>
      </c>
      <c r="D121" s="3" t="inlineStr">
        <is>
          <t>Reparación de falla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PU-ELE</t>
        </is>
      </c>
      <c r="H121" s="3" t="inlineStr">
        <is>
          <t>ACT-03</t>
        </is>
      </c>
      <c r="I121" s="3" t="inlineStr">
        <is>
          <t>TIPO-C1</t>
        </is>
      </c>
      <c r="J121" s="12" t="n">
        <v>46185</v>
      </c>
      <c r="K121" s="3" t="n">
        <v>6</v>
      </c>
      <c r="L121" s="11" t="n">
        <v>240</v>
      </c>
      <c r="M1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1" s="3">
        <f>IF(tblOrdenes[[#This Row],[fecha_inicio]]="","",YEAR(tblOrdenes[[#This Row],[fecha_inicio]]))</f>
        <v/>
      </c>
      <c r="Q121" s="3">
        <f>IF(tblOrdenes[[#This Row],[fecha_inicio]]="","",MONTH(tblOrdenes[[#This Row],[fecha_inicio]]))</f>
        <v/>
      </c>
      <c r="R121" s="3">
        <f>IF(tblOrdenes[[#This Row],[fecha_inicio]]="","",INDEX(lista_dias,WEEKDAY(tblOrdenes[[#This Row],[fecha_inicio]],2)))</f>
        <v/>
      </c>
      <c r="S1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1" s="3">
        <f>IF(tblOrdenes[[#This Row],[tipo_ot]]="","",_xlfn.XLOOKUP(tblOrdenes[[#This Row],[tipo_ot]],tblTiposOT[codigo],tblTiposOT[clasificacion],"sin_clasificar"))</f>
        <v/>
      </c>
      <c r="U121" s="3">
        <f>IF(tblOrdenes[[#This Row],[centro_costo]]="","",_xlfn.XLOOKUP(tblOrdenes[[#This Row],[centro_costo]],tblCECO[codigo],tblCECO[linea],"(sin catálogo)"))</f>
        <v/>
      </c>
      <c r="V121" s="3">
        <f>IF(tblOrdenes[[#This Row],[centro_costo]]="","",_xlfn.XLOOKUP(tblOrdenes[[#This Row],[centro_costo]],tblCECO[codigo],tblCECO[area],"(sin catálogo)"))</f>
        <v/>
      </c>
      <c r="W1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1" s="3">
        <f>IF(tblOrdenes[[#This Row],[centro_costo]]="","",_xlfn.XLOOKUP(tblOrdenes[[#This Row],[centro_costo]],tblCECO[codigo],tblCECO[coordinador],"(sin catálogo)"))</f>
        <v/>
      </c>
      <c r="Y121" s="3">
        <f>IF(tblOrdenes[[#This Row],[puesto_trabajo]]="","",_xlfn.XLOOKUP(tblOrdenes[[#This Row],[puesto_trabajo]],tblPuestos[codigo],tblPuestos[especialidad],"(sin catálogo)"))</f>
        <v/>
      </c>
      <c r="Z121" s="3">
        <f>IF(tblOrdenes[[#This Row],[cod_actividad]]="","",_xlfn.XLOOKUP(tblOrdenes[[#This Row],[cod_actividad]],tblActividades[codigo],tblActividades[descripcion],"(sin catálogo)"))</f>
        <v/>
      </c>
      <c r="AA121" s="13">
        <f>IF(tblOrdenes[[#This Row],[fecha_inicio]]="","",TODAY()-tblOrdenes[[#This Row],[fecha_inicio]])</f>
        <v/>
      </c>
      <c r="AB1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1" s="3">
        <f>IF(tblOrdenes[[#This Row],[backlog_habiles]]="","",IF(tblOrdenes[[#This Row],[backlog_habiles]]&lt;0,"FUTURO",IF(tblOrdenes[[#This Row],[backlog_habiles]]&gt;p_dias_backlog_max,"BACKLOG","MES CORRIENTE")))</f>
        <v/>
      </c>
      <c r="AD121" s="3">
        <f>IF(tblOrdenes[[#This Row],[backlog_habiles]]="",FALSE,AND(tblOrdenes[[#This Row],[backlog_habiles]]&gt;p_dias_backlog_min,tblOrdenes[[#This Row],[backlog_habiles]]&lt;=p_dias_backlog_max))</f>
        <v/>
      </c>
      <c r="AE121" s="6" t="inlineStr"/>
      <c r="AF1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1" s="11">
        <f>IF(tblOrdenes[[#This Row],[orden]]="","",_xlfn.XLOOKUP(tblOrdenes[[#This Row],[id_operacion]],tblEjecucion[id_operacion],tblEjecucion[precio],0))</f>
        <v/>
      </c>
      <c r="AJ121" s="11">
        <f>IF(tblOrdenes[[#This Row],[orden]]="","",MAX(0,_xlfn.XLOOKUP(tblOrdenes[[#This Row],[id_operacion]],tblEjecucion[id_operacion],tblEjecucion[costo_plan_total],0)-tblOrdenes[[#This Row],[costo_servicio]]))</f>
        <v/>
      </c>
      <c r="AK121" s="11">
        <f>IF(tblOrdenes[[#This Row],[orden]]="","",tblOrdenes[[#This Row],[costo_servicio]]+tblOrdenes[[#This Row],[costo_materiales]])</f>
        <v/>
      </c>
      <c r="AL121" s="6" t="inlineStr"/>
      <c r="AM121" s="6" t="inlineStr"/>
      <c r="AN121" s="6" t="inlineStr"/>
      <c r="AO121" s="3">
        <f>IF(tblOrdenes[[#This Row],[link_checklist]]="","",HYPERLINK(p_ruta_base_checklists&amp;tblOrdenes[[#This Row],[link_checklist]],"abrir"))</f>
        <v/>
      </c>
      <c r="AP121" s="6" t="inlineStr"/>
      <c r="AQ121" s="3">
        <f>IF(tblOrdenes[[#This Row],[orden]]="","",tblOrdenes[[#This Row],[orden]]&amp;IF(tblOrdenes[[#This Row],[operacion]]="","0010",tblOrdenes[[#This Row],[operacion]]))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Reparación de falla — EQ-109</t>
        </is>
      </c>
      <c r="D122" s="3" t="inlineStr">
        <is>
          <t>Reparación de falla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PU-AUT</t>
        </is>
      </c>
      <c r="H122" s="3" t="inlineStr">
        <is>
          <t>ACT-03</t>
        </is>
      </c>
      <c r="I122" s="3" t="inlineStr">
        <is>
          <t>TIPO-C2</t>
        </is>
      </c>
      <c r="J122" s="12" t="n">
        <v>46185</v>
      </c>
      <c r="K122" s="3" t="n">
        <v>8</v>
      </c>
      <c r="L122" s="11" t="n">
        <v>320</v>
      </c>
      <c r="M1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2" s="3">
        <f>IF(tblOrdenes[[#This Row],[fecha_inicio]]="","",YEAR(tblOrdenes[[#This Row],[fecha_inicio]]))</f>
        <v/>
      </c>
      <c r="Q122" s="3">
        <f>IF(tblOrdenes[[#This Row],[fecha_inicio]]="","",MONTH(tblOrdenes[[#This Row],[fecha_inicio]]))</f>
        <v/>
      </c>
      <c r="R122" s="3">
        <f>IF(tblOrdenes[[#This Row],[fecha_inicio]]="","",INDEX(lista_dias,WEEKDAY(tblOrdenes[[#This Row],[fecha_inicio]],2)))</f>
        <v/>
      </c>
      <c r="S1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2" s="3">
        <f>IF(tblOrdenes[[#This Row],[tipo_ot]]="","",_xlfn.XLOOKUP(tblOrdenes[[#This Row],[tipo_ot]],tblTiposOT[codigo],tblTiposOT[clasificacion],"sin_clasificar"))</f>
        <v/>
      </c>
      <c r="U122" s="3">
        <f>IF(tblOrdenes[[#This Row],[centro_costo]]="","",_xlfn.XLOOKUP(tblOrdenes[[#This Row],[centro_costo]],tblCECO[codigo],tblCECO[linea],"(sin catálogo)"))</f>
        <v/>
      </c>
      <c r="V122" s="3">
        <f>IF(tblOrdenes[[#This Row],[centro_costo]]="","",_xlfn.XLOOKUP(tblOrdenes[[#This Row],[centro_costo]],tblCECO[codigo],tblCECO[area],"(sin catálogo)"))</f>
        <v/>
      </c>
      <c r="W1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2" s="3">
        <f>IF(tblOrdenes[[#This Row],[centro_costo]]="","",_xlfn.XLOOKUP(tblOrdenes[[#This Row],[centro_costo]],tblCECO[codigo],tblCECO[coordinador],"(sin catálogo)"))</f>
        <v/>
      </c>
      <c r="Y122" s="3">
        <f>IF(tblOrdenes[[#This Row],[puesto_trabajo]]="","",_xlfn.XLOOKUP(tblOrdenes[[#This Row],[puesto_trabajo]],tblPuestos[codigo],tblPuestos[especialidad],"(sin catálogo)"))</f>
        <v/>
      </c>
      <c r="Z122" s="3">
        <f>IF(tblOrdenes[[#This Row],[cod_actividad]]="","",_xlfn.XLOOKUP(tblOrdenes[[#This Row],[cod_actividad]],tblActividades[codigo],tblActividades[descripcion],"(sin catálogo)"))</f>
        <v/>
      </c>
      <c r="AA122" s="13">
        <f>IF(tblOrdenes[[#This Row],[fecha_inicio]]="","",TODAY()-tblOrdenes[[#This Row],[fecha_inicio]])</f>
        <v/>
      </c>
      <c r="AB1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2" s="3">
        <f>IF(tblOrdenes[[#This Row],[backlog_habiles]]="","",IF(tblOrdenes[[#This Row],[backlog_habiles]]&lt;0,"FUTURO",IF(tblOrdenes[[#This Row],[backlog_habiles]]&gt;p_dias_backlog_max,"BACKLOG","MES CORRIENTE")))</f>
        <v/>
      </c>
      <c r="AD122" s="3">
        <f>IF(tblOrdenes[[#This Row],[backlog_habiles]]="",FALSE,AND(tblOrdenes[[#This Row],[backlog_habiles]]&gt;p_dias_backlog_min,tblOrdenes[[#This Row],[backlog_habiles]]&lt;=p_dias_backlog_max))</f>
        <v/>
      </c>
      <c r="AE122" s="6" t="inlineStr"/>
      <c r="AF1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2" s="11">
        <f>IF(tblOrdenes[[#This Row],[orden]]="","",_xlfn.XLOOKUP(tblOrdenes[[#This Row],[id_operacion]],tblEjecucion[id_operacion],tblEjecucion[precio],0))</f>
        <v/>
      </c>
      <c r="AJ122" s="11">
        <f>IF(tblOrdenes[[#This Row],[orden]]="","",MAX(0,_xlfn.XLOOKUP(tblOrdenes[[#This Row],[id_operacion]],tblEjecucion[id_operacion],tblEjecucion[costo_plan_total],0)-tblOrdenes[[#This Row],[costo_servicio]]))</f>
        <v/>
      </c>
      <c r="AK122" s="11">
        <f>IF(tblOrdenes[[#This Row],[orden]]="","",tblOrdenes[[#This Row],[costo_servicio]]+tblOrdenes[[#This Row],[costo_materiales]])</f>
        <v/>
      </c>
      <c r="AL122" s="6" t="inlineStr"/>
      <c r="AM122" s="6" t="inlineStr"/>
      <c r="AN122" s="6" t="inlineStr"/>
      <c r="AO122" s="3">
        <f>IF(tblOrdenes[[#This Row],[link_checklist]]="","",HYPERLINK(p_ruta_base_checklists&amp;tblOrdenes[[#This Row],[link_checklist]],"abrir"))</f>
        <v/>
      </c>
      <c r="AP122" s="6" t="inlineStr"/>
      <c r="AQ122" s="3">
        <f>IF(tblOrdenes[[#This Row],[orden]]="","",tblOrdenes[[#This Row],[orden]]&amp;IF(tblOrdenes[[#This Row],[operacion]]="","0010",tblOrdenes[[#This Row],[operacion]]))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EQ-106</t>
        </is>
      </c>
      <c r="D123" s="3" t="inlineStr">
        <is>
          <t>Inspección de rutina en EQ-106</t>
        </is>
      </c>
      <c r="E123" s="3" t="inlineStr">
        <is>
          <t>EQ-106</t>
        </is>
      </c>
      <c r="F123" s="3" t="inlineStr">
        <is>
          <t>CC-220</t>
        </is>
      </c>
      <c r="G123" s="3" t="inlineStr">
        <is>
          <t>PU-MEC</t>
        </is>
      </c>
      <c r="H123" s="3" t="inlineStr">
        <is>
          <t>ACT-01</t>
        </is>
      </c>
      <c r="I123" s="3" t="inlineStr">
        <is>
          <t>TIPO-P1</t>
        </is>
      </c>
      <c r="J123" s="12" t="n">
        <v>46185</v>
      </c>
      <c r="K123" s="3" t="n">
        <v>4</v>
      </c>
      <c r="L123" s="11" t="n">
        <v>100</v>
      </c>
      <c r="M1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3" s="3">
        <f>IF(tblOrdenes[[#This Row],[fecha_inicio]]="","",YEAR(tblOrdenes[[#This Row],[fecha_inicio]]))</f>
        <v/>
      </c>
      <c r="Q123" s="3">
        <f>IF(tblOrdenes[[#This Row],[fecha_inicio]]="","",MONTH(tblOrdenes[[#This Row],[fecha_inicio]]))</f>
        <v/>
      </c>
      <c r="R123" s="3">
        <f>IF(tblOrdenes[[#This Row],[fecha_inicio]]="","",INDEX(lista_dias,WEEKDAY(tblOrdenes[[#This Row],[fecha_inicio]],2)))</f>
        <v/>
      </c>
      <c r="S1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3" s="3">
        <f>IF(tblOrdenes[[#This Row],[tipo_ot]]="","",_xlfn.XLOOKUP(tblOrdenes[[#This Row],[tipo_ot]],tblTiposOT[codigo],tblTiposOT[clasificacion],"sin_clasificar"))</f>
        <v/>
      </c>
      <c r="U123" s="3">
        <f>IF(tblOrdenes[[#This Row],[centro_costo]]="","",_xlfn.XLOOKUP(tblOrdenes[[#This Row],[centro_costo]],tblCECO[codigo],tblCECO[linea],"(sin catálogo)"))</f>
        <v/>
      </c>
      <c r="V123" s="3">
        <f>IF(tblOrdenes[[#This Row],[centro_costo]]="","",_xlfn.XLOOKUP(tblOrdenes[[#This Row],[centro_costo]],tblCECO[codigo],tblCECO[area],"(sin catálogo)"))</f>
        <v/>
      </c>
      <c r="W1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3" s="3">
        <f>IF(tblOrdenes[[#This Row],[centro_costo]]="","",_xlfn.XLOOKUP(tblOrdenes[[#This Row],[centro_costo]],tblCECO[codigo],tblCECO[coordinador],"(sin catálogo)"))</f>
        <v/>
      </c>
      <c r="Y123" s="3">
        <f>IF(tblOrdenes[[#This Row],[puesto_trabajo]]="","",_xlfn.XLOOKUP(tblOrdenes[[#This Row],[puesto_trabajo]],tblPuestos[codigo],tblPuestos[especialidad],"(sin catálogo)"))</f>
        <v/>
      </c>
      <c r="Z123" s="3">
        <f>IF(tblOrdenes[[#This Row],[cod_actividad]]="","",_xlfn.XLOOKUP(tblOrdenes[[#This Row],[cod_actividad]],tblActividades[codigo],tblActividades[descripcion],"(sin catálogo)"))</f>
        <v/>
      </c>
      <c r="AA123" s="13">
        <f>IF(tblOrdenes[[#This Row],[fecha_inicio]]="","",TODAY()-tblOrdenes[[#This Row],[fecha_inicio]])</f>
        <v/>
      </c>
      <c r="AB1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3" s="3">
        <f>IF(tblOrdenes[[#This Row],[backlog_habiles]]="","",IF(tblOrdenes[[#This Row],[backlog_habiles]]&lt;0,"FUTURO",IF(tblOrdenes[[#This Row],[backlog_habiles]]&gt;p_dias_backlog_max,"BACKLOG","MES CORRIENTE")))</f>
        <v/>
      </c>
      <c r="AD123" s="3">
        <f>IF(tblOrdenes[[#This Row],[backlog_habiles]]="",FALSE,AND(tblOrdenes[[#This Row],[backlog_habiles]]&gt;p_dias_backlog_min,tblOrdenes[[#This Row],[backlog_habiles]]&lt;=p_dias_backlog_max))</f>
        <v/>
      </c>
      <c r="AE123" s="6" t="inlineStr"/>
      <c r="AF1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3" s="11">
        <f>IF(tblOrdenes[[#This Row],[orden]]="","",_xlfn.XLOOKUP(tblOrdenes[[#This Row],[id_operacion]],tblEjecucion[id_operacion],tblEjecucion[precio],0))</f>
        <v/>
      </c>
      <c r="AJ123" s="11">
        <f>IF(tblOrdenes[[#This Row],[orden]]="","",MAX(0,_xlfn.XLOOKUP(tblOrdenes[[#This Row],[id_operacion]],tblEjecucion[id_operacion],tblEjecucion[costo_plan_total],0)-tblOrdenes[[#This Row],[costo_servicio]]))</f>
        <v/>
      </c>
      <c r="AK123" s="11">
        <f>IF(tblOrdenes[[#This Row],[orden]]="","",tblOrdenes[[#This Row],[costo_servicio]]+tblOrdenes[[#This Row],[costo_materiales]])</f>
        <v/>
      </c>
      <c r="AL123" s="6" t="inlineStr"/>
      <c r="AM123" s="6" t="inlineStr"/>
      <c r="AN123" s="6" t="inlineStr"/>
      <c r="AO123" s="3">
        <f>IF(tblOrdenes[[#This Row],[link_checklist]]="","",HYPERLINK(p_ruta_base_checklists&amp;tblOrdenes[[#This Row],[link_checklist]],"abrir"))</f>
        <v/>
      </c>
      <c r="AP123" s="6" t="inlineStr"/>
      <c r="AQ123" s="3">
        <f>IF(tblOrdenes[[#This Row],[orden]]="","",tblOrdenes[[#This Row],[orden]]&amp;IF(tblOrdenes[[#This Row],[operacion]]="","0010",tblOrdenes[[#This Row],[operacion]]))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EQ-111</t>
        </is>
      </c>
      <c r="D124" s="3" t="inlineStr">
        <is>
          <t>Reparación de falla en EQ-111</t>
        </is>
      </c>
      <c r="E124" s="3" t="inlineStr">
        <is>
          <t>EQ-111</t>
        </is>
      </c>
      <c r="F124" s="3" t="inlineStr">
        <is>
          <t>CC-310</t>
        </is>
      </c>
      <c r="G124" s="3" t="inlineStr">
        <is>
          <t>PU-ELE</t>
        </is>
      </c>
      <c r="H124" s="3" t="inlineStr">
        <is>
          <t>ACT-03</t>
        </is>
      </c>
      <c r="I124" s="3" t="inlineStr">
        <is>
          <t>TIPO-C2</t>
        </is>
      </c>
      <c r="J124" s="12" t="n">
        <v>46185</v>
      </c>
      <c r="K124" s="3" t="n">
        <v>6</v>
      </c>
      <c r="L124" s="11" t="n">
        <v>240</v>
      </c>
      <c r="M1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4" s="3">
        <f>IF(tblOrdenes[[#This Row],[fecha_inicio]]="","",YEAR(tblOrdenes[[#This Row],[fecha_inicio]]))</f>
        <v/>
      </c>
      <c r="Q124" s="3">
        <f>IF(tblOrdenes[[#This Row],[fecha_inicio]]="","",MONTH(tblOrdenes[[#This Row],[fecha_inicio]]))</f>
        <v/>
      </c>
      <c r="R124" s="3">
        <f>IF(tblOrdenes[[#This Row],[fecha_inicio]]="","",INDEX(lista_dias,WEEKDAY(tblOrdenes[[#This Row],[fecha_inicio]],2)))</f>
        <v/>
      </c>
      <c r="S1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4" s="3">
        <f>IF(tblOrdenes[[#This Row],[tipo_ot]]="","",_xlfn.XLOOKUP(tblOrdenes[[#This Row],[tipo_ot]],tblTiposOT[codigo],tblTiposOT[clasificacion],"sin_clasificar"))</f>
        <v/>
      </c>
      <c r="U124" s="3">
        <f>IF(tblOrdenes[[#This Row],[centro_costo]]="","",_xlfn.XLOOKUP(tblOrdenes[[#This Row],[centro_costo]],tblCECO[codigo],tblCECO[linea],"(sin catálogo)"))</f>
        <v/>
      </c>
      <c r="V124" s="3">
        <f>IF(tblOrdenes[[#This Row],[centro_costo]]="","",_xlfn.XLOOKUP(tblOrdenes[[#This Row],[centro_costo]],tblCECO[codigo],tblCECO[area],"(sin catálogo)"))</f>
        <v/>
      </c>
      <c r="W1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4" s="3">
        <f>IF(tblOrdenes[[#This Row],[centro_costo]]="","",_xlfn.XLOOKUP(tblOrdenes[[#This Row],[centro_costo]],tblCECO[codigo],tblCECO[coordinador],"(sin catálogo)"))</f>
        <v/>
      </c>
      <c r="Y124" s="3">
        <f>IF(tblOrdenes[[#This Row],[puesto_trabajo]]="","",_xlfn.XLOOKUP(tblOrdenes[[#This Row],[puesto_trabajo]],tblPuestos[codigo],tblPuestos[especialidad],"(sin catálogo)"))</f>
        <v/>
      </c>
      <c r="Z124" s="3">
        <f>IF(tblOrdenes[[#This Row],[cod_actividad]]="","",_xlfn.XLOOKUP(tblOrdenes[[#This Row],[cod_actividad]],tblActividades[codigo],tblActividades[descripcion],"(sin catálogo)"))</f>
        <v/>
      </c>
      <c r="AA124" s="13">
        <f>IF(tblOrdenes[[#This Row],[fecha_inicio]]="","",TODAY()-tblOrdenes[[#This Row],[fecha_inicio]])</f>
        <v/>
      </c>
      <c r="AB1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4" s="3">
        <f>IF(tblOrdenes[[#This Row],[backlog_habiles]]="","",IF(tblOrdenes[[#This Row],[backlog_habiles]]&lt;0,"FUTURO",IF(tblOrdenes[[#This Row],[backlog_habiles]]&gt;p_dias_backlog_max,"BACKLOG","MES CORRIENTE")))</f>
        <v/>
      </c>
      <c r="AD124" s="3">
        <f>IF(tblOrdenes[[#This Row],[backlog_habiles]]="",FALSE,AND(tblOrdenes[[#This Row],[backlog_habiles]]&gt;p_dias_backlog_min,tblOrdenes[[#This Row],[backlog_habiles]]&lt;=p_dias_backlog_max))</f>
        <v/>
      </c>
      <c r="AE124" s="6" t="inlineStr"/>
      <c r="AF1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4" s="11">
        <f>IF(tblOrdenes[[#This Row],[orden]]="","",_xlfn.XLOOKUP(tblOrdenes[[#This Row],[id_operacion]],tblEjecucion[id_operacion],tblEjecucion[precio],0))</f>
        <v/>
      </c>
      <c r="AJ124" s="11">
        <f>IF(tblOrdenes[[#This Row],[orden]]="","",MAX(0,_xlfn.XLOOKUP(tblOrdenes[[#This Row],[id_operacion]],tblEjecucion[id_operacion],tblEjecucion[costo_plan_total],0)-tblOrdenes[[#This Row],[costo_servicio]]))</f>
        <v/>
      </c>
      <c r="AK124" s="11">
        <f>IF(tblOrdenes[[#This Row],[orden]]="","",tblOrdenes[[#This Row],[costo_servicio]]+tblOrdenes[[#This Row],[costo_materiales]])</f>
        <v/>
      </c>
      <c r="AL124" s="6" t="inlineStr"/>
      <c r="AM124" s="6" t="inlineStr"/>
      <c r="AN124" s="6" t="inlineStr"/>
      <c r="AO124" s="3">
        <f>IF(tblOrdenes[[#This Row],[link_checklist]]="","",HYPERLINK(p_ruta_base_checklists&amp;tblOrdenes[[#This Row],[link_checklist]],"abrir"))</f>
        <v/>
      </c>
      <c r="AP124" s="6" t="inlineStr"/>
      <c r="AQ124" s="3">
        <f>IF(tblOrdenes[[#This Row],[orden]]="","",tblOrdenes[[#This Row],[orden]]&amp;IF(tblOrdenes[[#This Row],[operacion]]="","0010",tblOrdenes[[#This Row],[operacion]]))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Reparación de falla — EQ-112</t>
        </is>
      </c>
      <c r="D125" s="3" t="inlineStr">
        <is>
          <t>Reparación de falla en EQ-112</t>
        </is>
      </c>
      <c r="E125" s="3" t="inlineStr">
        <is>
          <t>EQ-112</t>
        </is>
      </c>
      <c r="F125" s="3" t="inlineStr">
        <is>
          <t>CC-311</t>
        </is>
      </c>
      <c r="G125" s="3" t="inlineStr">
        <is>
          <t>PU-AUT</t>
        </is>
      </c>
      <c r="H125" s="3" t="inlineStr">
        <is>
          <t>ACT-03</t>
        </is>
      </c>
      <c r="I125" s="3" t="inlineStr">
        <is>
          <t>TIPO-C1</t>
        </is>
      </c>
      <c r="J125" s="12" t="n">
        <v>46185</v>
      </c>
      <c r="K125" s="3" t="n">
        <v>8</v>
      </c>
      <c r="L125" s="11" t="n">
        <v>320</v>
      </c>
      <c r="M1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5" s="3">
        <f>IF(tblOrdenes[[#This Row],[fecha_inicio]]="","",YEAR(tblOrdenes[[#This Row],[fecha_inicio]]))</f>
        <v/>
      </c>
      <c r="Q125" s="3">
        <f>IF(tblOrdenes[[#This Row],[fecha_inicio]]="","",MONTH(tblOrdenes[[#This Row],[fecha_inicio]]))</f>
        <v/>
      </c>
      <c r="R125" s="3">
        <f>IF(tblOrdenes[[#This Row],[fecha_inicio]]="","",INDEX(lista_dias,WEEKDAY(tblOrdenes[[#This Row],[fecha_inicio]],2)))</f>
        <v/>
      </c>
      <c r="S1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5" s="3">
        <f>IF(tblOrdenes[[#This Row],[tipo_ot]]="","",_xlfn.XLOOKUP(tblOrdenes[[#This Row],[tipo_ot]],tblTiposOT[codigo],tblTiposOT[clasificacion],"sin_clasificar"))</f>
        <v/>
      </c>
      <c r="U125" s="3">
        <f>IF(tblOrdenes[[#This Row],[centro_costo]]="","",_xlfn.XLOOKUP(tblOrdenes[[#This Row],[centro_costo]],tblCECO[codigo],tblCECO[linea],"(sin catálogo)"))</f>
        <v/>
      </c>
      <c r="V125" s="3">
        <f>IF(tblOrdenes[[#This Row],[centro_costo]]="","",_xlfn.XLOOKUP(tblOrdenes[[#This Row],[centro_costo]],tblCECO[codigo],tblCECO[area],"(sin catálogo)"))</f>
        <v/>
      </c>
      <c r="W1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5" s="3">
        <f>IF(tblOrdenes[[#This Row],[centro_costo]]="","",_xlfn.XLOOKUP(tblOrdenes[[#This Row],[centro_costo]],tblCECO[codigo],tblCECO[coordinador],"(sin catálogo)"))</f>
        <v/>
      </c>
      <c r="Y125" s="3">
        <f>IF(tblOrdenes[[#This Row],[puesto_trabajo]]="","",_xlfn.XLOOKUP(tblOrdenes[[#This Row],[puesto_trabajo]],tblPuestos[codigo],tblPuestos[especialidad],"(sin catálogo)"))</f>
        <v/>
      </c>
      <c r="Z125" s="3">
        <f>IF(tblOrdenes[[#This Row],[cod_actividad]]="","",_xlfn.XLOOKUP(tblOrdenes[[#This Row],[cod_actividad]],tblActividades[codigo],tblActividades[descripcion],"(sin catálogo)"))</f>
        <v/>
      </c>
      <c r="AA125" s="13">
        <f>IF(tblOrdenes[[#This Row],[fecha_inicio]]="","",TODAY()-tblOrdenes[[#This Row],[fecha_inicio]])</f>
        <v/>
      </c>
      <c r="AB1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5" s="3">
        <f>IF(tblOrdenes[[#This Row],[backlog_habiles]]="","",IF(tblOrdenes[[#This Row],[backlog_habiles]]&lt;0,"FUTURO",IF(tblOrdenes[[#This Row],[backlog_habiles]]&gt;p_dias_backlog_max,"BACKLOG","MES CORRIENTE")))</f>
        <v/>
      </c>
      <c r="AD125" s="3">
        <f>IF(tblOrdenes[[#This Row],[backlog_habiles]]="",FALSE,AND(tblOrdenes[[#This Row],[backlog_habiles]]&gt;p_dias_backlog_min,tblOrdenes[[#This Row],[backlog_habiles]]&lt;=p_dias_backlog_max))</f>
        <v/>
      </c>
      <c r="AE125" s="6" t="inlineStr"/>
      <c r="AF1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5" s="11">
        <f>IF(tblOrdenes[[#This Row],[orden]]="","",_xlfn.XLOOKUP(tblOrdenes[[#This Row],[id_operacion]],tblEjecucion[id_operacion],tblEjecucion[precio],0))</f>
        <v/>
      </c>
      <c r="AJ125" s="11">
        <f>IF(tblOrdenes[[#This Row],[orden]]="","",MAX(0,_xlfn.XLOOKUP(tblOrdenes[[#This Row],[id_operacion]],tblEjecucion[id_operacion],tblEjecucion[costo_plan_total],0)-tblOrdenes[[#This Row],[costo_servicio]]))</f>
        <v/>
      </c>
      <c r="AK125" s="11">
        <f>IF(tblOrdenes[[#This Row],[orden]]="","",tblOrdenes[[#This Row],[costo_servicio]]+tblOrdenes[[#This Row],[costo_materiales]])</f>
        <v/>
      </c>
      <c r="AL125" s="6" t="inlineStr"/>
      <c r="AM125" s="6" t="inlineStr"/>
      <c r="AN125" s="6" t="inlineStr"/>
      <c r="AO125" s="3">
        <f>IF(tblOrdenes[[#This Row],[link_checklist]]="","",HYPERLINK(p_ruta_base_checklists&amp;tblOrdenes[[#This Row],[link_checklist]],"abrir"))</f>
        <v/>
      </c>
      <c r="AP125" s="6" t="inlineStr"/>
      <c r="AQ125" s="3">
        <f>IF(tblOrdenes[[#This Row],[orden]]="","",tblOrdenes[[#This Row],[orden]]&amp;IF(tblOrdenes[[#This Row],[operacion]]="","0010",tblOrdenes[[#This Row],[operacion]]))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Reparación de falla — EQ-110</t>
        </is>
      </c>
      <c r="D126" s="3" t="inlineStr">
        <is>
          <t>Reparación de falla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PU-MEC</t>
        </is>
      </c>
      <c r="H126" s="3" t="inlineStr">
        <is>
          <t>ACT-03</t>
        </is>
      </c>
      <c r="I126" s="3" t="inlineStr">
        <is>
          <t>TIPO-C2</t>
        </is>
      </c>
      <c r="J126" s="12" t="n">
        <v>46185</v>
      </c>
      <c r="K126" s="3" t="n">
        <v>4</v>
      </c>
      <c r="L126" s="11" t="n">
        <v>160</v>
      </c>
      <c r="M1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6" s="3">
        <f>IF(tblOrdenes[[#This Row],[fecha_inicio]]="","",YEAR(tblOrdenes[[#This Row],[fecha_inicio]]))</f>
        <v/>
      </c>
      <c r="Q126" s="3">
        <f>IF(tblOrdenes[[#This Row],[fecha_inicio]]="","",MONTH(tblOrdenes[[#This Row],[fecha_inicio]]))</f>
        <v/>
      </c>
      <c r="R126" s="3">
        <f>IF(tblOrdenes[[#This Row],[fecha_inicio]]="","",INDEX(lista_dias,WEEKDAY(tblOrdenes[[#This Row],[fecha_inicio]],2)))</f>
        <v/>
      </c>
      <c r="S1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6" s="3">
        <f>IF(tblOrdenes[[#This Row],[tipo_ot]]="","",_xlfn.XLOOKUP(tblOrdenes[[#This Row],[tipo_ot]],tblTiposOT[codigo],tblTiposOT[clasificacion],"sin_clasificar"))</f>
        <v/>
      </c>
      <c r="U126" s="3">
        <f>IF(tblOrdenes[[#This Row],[centro_costo]]="","",_xlfn.XLOOKUP(tblOrdenes[[#This Row],[centro_costo]],tblCECO[codigo],tblCECO[linea],"(sin catálogo)"))</f>
        <v/>
      </c>
      <c r="V126" s="3">
        <f>IF(tblOrdenes[[#This Row],[centro_costo]]="","",_xlfn.XLOOKUP(tblOrdenes[[#This Row],[centro_costo]],tblCECO[codigo],tblCECO[area],"(sin catálogo)"))</f>
        <v/>
      </c>
      <c r="W1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6" s="3">
        <f>IF(tblOrdenes[[#This Row],[centro_costo]]="","",_xlfn.XLOOKUP(tblOrdenes[[#This Row],[centro_costo]],tblCECO[codigo],tblCECO[coordinador],"(sin catálogo)"))</f>
        <v/>
      </c>
      <c r="Y126" s="3">
        <f>IF(tblOrdenes[[#This Row],[puesto_trabajo]]="","",_xlfn.XLOOKUP(tblOrdenes[[#This Row],[puesto_trabajo]],tblPuestos[codigo],tblPuestos[especialidad],"(sin catálogo)"))</f>
        <v/>
      </c>
      <c r="Z126" s="3">
        <f>IF(tblOrdenes[[#This Row],[cod_actividad]]="","",_xlfn.XLOOKUP(tblOrdenes[[#This Row],[cod_actividad]],tblActividades[codigo],tblActividades[descripcion],"(sin catálogo)"))</f>
        <v/>
      </c>
      <c r="AA126" s="13">
        <f>IF(tblOrdenes[[#This Row],[fecha_inicio]]="","",TODAY()-tblOrdenes[[#This Row],[fecha_inicio]])</f>
        <v/>
      </c>
      <c r="AB1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6" s="3">
        <f>IF(tblOrdenes[[#This Row],[backlog_habiles]]="","",IF(tblOrdenes[[#This Row],[backlog_habiles]]&lt;0,"FUTURO",IF(tblOrdenes[[#This Row],[backlog_habiles]]&gt;p_dias_backlog_max,"BACKLOG","MES CORRIENTE")))</f>
        <v/>
      </c>
      <c r="AD126" s="3">
        <f>IF(tblOrdenes[[#This Row],[backlog_habiles]]="",FALSE,AND(tblOrdenes[[#This Row],[backlog_habiles]]&gt;p_dias_backlog_min,tblOrdenes[[#This Row],[backlog_habiles]]&lt;=p_dias_backlog_max))</f>
        <v/>
      </c>
      <c r="AE126" s="6" t="inlineStr"/>
      <c r="AF1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6" s="11">
        <f>IF(tblOrdenes[[#This Row],[orden]]="","",_xlfn.XLOOKUP(tblOrdenes[[#This Row],[id_operacion]],tblEjecucion[id_operacion],tblEjecucion[precio],0))</f>
        <v/>
      </c>
      <c r="AJ126" s="11">
        <f>IF(tblOrdenes[[#This Row],[orden]]="","",MAX(0,_xlfn.XLOOKUP(tblOrdenes[[#This Row],[id_operacion]],tblEjecucion[id_operacion],tblEjecucion[costo_plan_total],0)-tblOrdenes[[#This Row],[costo_servicio]]))</f>
        <v/>
      </c>
      <c r="AK126" s="11">
        <f>IF(tblOrdenes[[#This Row],[orden]]="","",tblOrdenes[[#This Row],[costo_servicio]]+tblOrdenes[[#This Row],[costo_materiales]])</f>
        <v/>
      </c>
      <c r="AL126" s="6" t="inlineStr"/>
      <c r="AM126" s="6" t="inlineStr"/>
      <c r="AN126" s="6" t="inlineStr"/>
      <c r="AO126" s="3">
        <f>IF(tblOrdenes[[#This Row],[link_checklist]]="","",HYPERLINK(p_ruta_base_checklists&amp;tblOrdenes[[#This Row],[link_checklist]],"abrir"))</f>
        <v/>
      </c>
      <c r="AP126" s="6" t="inlineStr"/>
      <c r="AQ126" s="3">
        <f>IF(tblOrdenes[[#This Row],[orden]]="","",tblOrdenes[[#This Row],[orden]]&amp;IF(tblOrdenes[[#This Row],[operacion]]="","0010",tblOrdenes[[#This Row],[operacion]]))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EQ-111</t>
        </is>
      </c>
      <c r="D127" s="3" t="inlineStr">
        <is>
          <t>Lubricación programada en EQ-111</t>
        </is>
      </c>
      <c r="E127" s="3" t="inlineStr">
        <is>
          <t>EQ-111</t>
        </is>
      </c>
      <c r="F127" s="3" t="inlineStr">
        <is>
          <t>CC-321</t>
        </is>
      </c>
      <c r="G127" s="3" t="inlineStr">
        <is>
          <t>PU-ELE</t>
        </is>
      </c>
      <c r="H127" s="3" t="inlineStr">
        <is>
          <t>ACT-02</t>
        </is>
      </c>
      <c r="I127" s="3" t="inlineStr">
        <is>
          <t>TIPO-P1</t>
        </is>
      </c>
      <c r="J127" s="12" t="n">
        <v>46185</v>
      </c>
      <c r="K127" s="3" t="n">
        <v>6</v>
      </c>
      <c r="L127" s="11" t="n">
        <v>150</v>
      </c>
      <c r="M1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7" s="3">
        <f>IF(tblOrdenes[[#This Row],[fecha_inicio]]="","",YEAR(tblOrdenes[[#This Row],[fecha_inicio]]))</f>
        <v/>
      </c>
      <c r="Q127" s="3">
        <f>IF(tblOrdenes[[#This Row],[fecha_inicio]]="","",MONTH(tblOrdenes[[#This Row],[fecha_inicio]]))</f>
        <v/>
      </c>
      <c r="R127" s="3">
        <f>IF(tblOrdenes[[#This Row],[fecha_inicio]]="","",INDEX(lista_dias,WEEKDAY(tblOrdenes[[#This Row],[fecha_inicio]],2)))</f>
        <v/>
      </c>
      <c r="S1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7" s="3">
        <f>IF(tblOrdenes[[#This Row],[tipo_ot]]="","",_xlfn.XLOOKUP(tblOrdenes[[#This Row],[tipo_ot]],tblTiposOT[codigo],tblTiposOT[clasificacion],"sin_clasificar"))</f>
        <v/>
      </c>
      <c r="U127" s="3">
        <f>IF(tblOrdenes[[#This Row],[centro_costo]]="","",_xlfn.XLOOKUP(tblOrdenes[[#This Row],[centro_costo]],tblCECO[codigo],tblCECO[linea],"(sin catálogo)"))</f>
        <v/>
      </c>
      <c r="V127" s="3">
        <f>IF(tblOrdenes[[#This Row],[centro_costo]]="","",_xlfn.XLOOKUP(tblOrdenes[[#This Row],[centro_costo]],tblCECO[codigo],tblCECO[area],"(sin catálogo)"))</f>
        <v/>
      </c>
      <c r="W1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7" s="3">
        <f>IF(tblOrdenes[[#This Row],[centro_costo]]="","",_xlfn.XLOOKUP(tblOrdenes[[#This Row],[centro_costo]],tblCECO[codigo],tblCECO[coordinador],"(sin catálogo)"))</f>
        <v/>
      </c>
      <c r="Y127" s="3">
        <f>IF(tblOrdenes[[#This Row],[puesto_trabajo]]="","",_xlfn.XLOOKUP(tblOrdenes[[#This Row],[puesto_trabajo]],tblPuestos[codigo],tblPuestos[especialidad],"(sin catálogo)"))</f>
        <v/>
      </c>
      <c r="Z127" s="3">
        <f>IF(tblOrdenes[[#This Row],[cod_actividad]]="","",_xlfn.XLOOKUP(tblOrdenes[[#This Row],[cod_actividad]],tblActividades[codigo],tblActividades[descripcion],"(sin catálogo)"))</f>
        <v/>
      </c>
      <c r="AA127" s="13">
        <f>IF(tblOrdenes[[#This Row],[fecha_inicio]]="","",TODAY()-tblOrdenes[[#This Row],[fecha_inicio]])</f>
        <v/>
      </c>
      <c r="AB1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7" s="3">
        <f>IF(tblOrdenes[[#This Row],[backlog_habiles]]="","",IF(tblOrdenes[[#This Row],[backlog_habiles]]&lt;0,"FUTURO",IF(tblOrdenes[[#This Row],[backlog_habiles]]&gt;p_dias_backlog_max,"BACKLOG","MES CORRIENTE")))</f>
        <v/>
      </c>
      <c r="AD127" s="3">
        <f>IF(tblOrdenes[[#This Row],[backlog_habiles]]="",FALSE,AND(tblOrdenes[[#This Row],[backlog_habiles]]&gt;p_dias_backlog_min,tblOrdenes[[#This Row],[backlog_habiles]]&lt;=p_dias_backlog_max))</f>
        <v/>
      </c>
      <c r="AE127" s="6" t="inlineStr"/>
      <c r="AF1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7" s="11">
        <f>IF(tblOrdenes[[#This Row],[orden]]="","",_xlfn.XLOOKUP(tblOrdenes[[#This Row],[id_operacion]],tblEjecucion[id_operacion],tblEjecucion[precio],0))</f>
        <v/>
      </c>
      <c r="AJ127" s="11">
        <f>IF(tblOrdenes[[#This Row],[orden]]="","",MAX(0,_xlfn.XLOOKUP(tblOrdenes[[#This Row],[id_operacion]],tblEjecucion[id_operacion],tblEjecucion[costo_plan_total],0)-tblOrdenes[[#This Row],[costo_servicio]]))</f>
        <v/>
      </c>
      <c r="AK127" s="11">
        <f>IF(tblOrdenes[[#This Row],[orden]]="","",tblOrdenes[[#This Row],[costo_servicio]]+tblOrdenes[[#This Row],[costo_materiales]])</f>
        <v/>
      </c>
      <c r="AL127" s="6" t="inlineStr"/>
      <c r="AM127" s="6" t="inlineStr"/>
      <c r="AN127" s="6" t="inlineStr"/>
      <c r="AO127" s="3">
        <f>IF(tblOrdenes[[#This Row],[link_checklist]]="","",HYPERLINK(p_ruta_base_checklists&amp;tblOrdenes[[#This Row],[link_checklist]],"abrir"))</f>
        <v/>
      </c>
      <c r="AP127" s="6" t="inlineStr"/>
      <c r="AQ127" s="3">
        <f>IF(tblOrdenes[[#This Row],[orden]]="","",tblOrdenes[[#This Row],[orden]]&amp;IF(tblOrdenes[[#This Row],[operacion]]="","0010",tblOrdenes[[#This Row],[operacion]]))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EQ-101</t>
        </is>
      </c>
      <c r="D128" s="3" t="inlineStr">
        <is>
          <t>Reparación de falla en EQ-101</t>
        </is>
      </c>
      <c r="E128" s="3" t="inlineStr">
        <is>
          <t>EQ-101</t>
        </is>
      </c>
      <c r="F128" s="3" t="inlineStr">
        <is>
          <t>CC-120</t>
        </is>
      </c>
      <c r="G128" s="3" t="inlineStr">
        <is>
          <t>PU-ELE</t>
        </is>
      </c>
      <c r="H128" s="3" t="inlineStr">
        <is>
          <t>ACT-03</t>
        </is>
      </c>
      <c r="I128" s="3" t="inlineStr">
        <is>
          <t>TIPO-C2</t>
        </is>
      </c>
      <c r="J128" s="12" t="n">
        <v>46155</v>
      </c>
      <c r="K128" s="3" t="n">
        <v>4</v>
      </c>
      <c r="L128" s="11" t="n">
        <v>160</v>
      </c>
      <c r="M1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8" s="3">
        <f>IF(tblOrdenes[[#This Row],[fecha_inicio]]="","",YEAR(tblOrdenes[[#This Row],[fecha_inicio]]))</f>
        <v/>
      </c>
      <c r="Q128" s="3">
        <f>IF(tblOrdenes[[#This Row],[fecha_inicio]]="","",MONTH(tblOrdenes[[#This Row],[fecha_inicio]]))</f>
        <v/>
      </c>
      <c r="R128" s="3">
        <f>IF(tblOrdenes[[#This Row],[fecha_inicio]]="","",INDEX(lista_dias,WEEKDAY(tblOrdenes[[#This Row],[fecha_inicio]],2)))</f>
        <v/>
      </c>
      <c r="S1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8" s="3">
        <f>IF(tblOrdenes[[#This Row],[tipo_ot]]="","",_xlfn.XLOOKUP(tblOrdenes[[#This Row],[tipo_ot]],tblTiposOT[codigo],tblTiposOT[clasificacion],"sin_clasificar"))</f>
        <v/>
      </c>
      <c r="U128" s="3">
        <f>IF(tblOrdenes[[#This Row],[centro_costo]]="","",_xlfn.XLOOKUP(tblOrdenes[[#This Row],[centro_costo]],tblCECO[codigo],tblCECO[linea],"(sin catálogo)"))</f>
        <v/>
      </c>
      <c r="V128" s="3">
        <f>IF(tblOrdenes[[#This Row],[centro_costo]]="","",_xlfn.XLOOKUP(tblOrdenes[[#This Row],[centro_costo]],tblCECO[codigo],tblCECO[area],"(sin catálogo)"))</f>
        <v/>
      </c>
      <c r="W1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8" s="3">
        <f>IF(tblOrdenes[[#This Row],[centro_costo]]="","",_xlfn.XLOOKUP(tblOrdenes[[#This Row],[centro_costo]],tblCECO[codigo],tblCECO[coordinador],"(sin catálogo)"))</f>
        <v/>
      </c>
      <c r="Y128" s="3">
        <f>IF(tblOrdenes[[#This Row],[puesto_trabajo]]="","",_xlfn.XLOOKUP(tblOrdenes[[#This Row],[puesto_trabajo]],tblPuestos[codigo],tblPuestos[especialidad],"(sin catálogo)"))</f>
        <v/>
      </c>
      <c r="Z128" s="3">
        <f>IF(tblOrdenes[[#This Row],[cod_actividad]]="","",_xlfn.XLOOKUP(tblOrdenes[[#This Row],[cod_actividad]],tblActividades[codigo],tblActividades[descripcion],"(sin catálogo)"))</f>
        <v/>
      </c>
      <c r="AA128" s="13">
        <f>IF(tblOrdenes[[#This Row],[fecha_inicio]]="","",TODAY()-tblOrdenes[[#This Row],[fecha_inicio]])</f>
        <v/>
      </c>
      <c r="AB1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8" s="3">
        <f>IF(tblOrdenes[[#This Row],[backlog_habiles]]="","",IF(tblOrdenes[[#This Row],[backlog_habiles]]&lt;0,"FUTURO",IF(tblOrdenes[[#This Row],[backlog_habiles]]&gt;p_dias_backlog_max,"BACKLOG","MES CORRIENTE")))</f>
        <v/>
      </c>
      <c r="AD128" s="3">
        <f>IF(tblOrdenes[[#This Row],[backlog_habiles]]="",FALSE,AND(tblOrdenes[[#This Row],[backlog_habiles]]&gt;p_dias_backlog_min,tblOrdenes[[#This Row],[backlog_habiles]]&lt;=p_dias_backlog_max))</f>
        <v/>
      </c>
      <c r="AE128" s="6" t="inlineStr"/>
      <c r="AF1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8" s="11">
        <f>IF(tblOrdenes[[#This Row],[orden]]="","",_xlfn.XLOOKUP(tblOrdenes[[#This Row],[id_operacion]],tblEjecucion[id_operacion],tblEjecucion[precio],0))</f>
        <v/>
      </c>
      <c r="AJ128" s="11">
        <f>IF(tblOrdenes[[#This Row],[orden]]="","",MAX(0,_xlfn.XLOOKUP(tblOrdenes[[#This Row],[id_operacion]],tblEjecucion[id_operacion],tblEjecucion[costo_plan_total],0)-tblOrdenes[[#This Row],[costo_servicio]]))</f>
        <v/>
      </c>
      <c r="AK128" s="11">
        <f>IF(tblOrdenes[[#This Row],[orden]]="","",tblOrdenes[[#This Row],[costo_servicio]]+tblOrdenes[[#This Row],[costo_materiales]])</f>
        <v/>
      </c>
      <c r="AL128" s="6" t="inlineStr"/>
      <c r="AM128" s="6" t="inlineStr"/>
      <c r="AN128" s="6" t="inlineStr"/>
      <c r="AO128" s="3">
        <f>IF(tblOrdenes[[#This Row],[link_checklist]]="","",HYPERLINK(p_ruta_base_checklists&amp;tblOrdenes[[#This Row],[link_checklist]],"abrir"))</f>
        <v/>
      </c>
      <c r="AP128" s="6" t="inlineStr"/>
      <c r="AQ128" s="3">
        <f>IF(tblOrdenes[[#This Row],[orden]]="","",tblOrdenes[[#This Row],[orden]]&amp;IF(tblOrdenes[[#This Row],[operacion]]="","0010",tblOrdenes[[#This Row],[operacion]]))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Reparación de falla — EQ-108</t>
        </is>
      </c>
      <c r="D129" s="3" t="inlineStr">
        <is>
          <t>Reparación de falla en EQ-108</t>
        </is>
      </c>
      <c r="E129" s="3" t="inlineStr">
        <is>
          <t>EQ-108</t>
        </is>
      </c>
      <c r="F129" s="3" t="inlineStr">
        <is>
          <t>CC-210</t>
        </is>
      </c>
      <c r="G129" s="3" t="inlineStr">
        <is>
          <t>PU-AUT</t>
        </is>
      </c>
      <c r="H129" s="3" t="inlineStr">
        <is>
          <t>ACT-03</t>
        </is>
      </c>
      <c r="I129" s="3" t="inlineStr">
        <is>
          <t>TIPO-C1</t>
        </is>
      </c>
      <c r="J129" s="12" t="n">
        <v>46155</v>
      </c>
      <c r="K129" s="3" t="n">
        <v>6</v>
      </c>
      <c r="L129" s="11" t="n">
        <v>240</v>
      </c>
      <c r="M1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9" s="3">
        <f>IF(tblOrdenes[[#This Row],[fecha_inicio]]="","",YEAR(tblOrdenes[[#This Row],[fecha_inicio]]))</f>
        <v/>
      </c>
      <c r="Q129" s="3">
        <f>IF(tblOrdenes[[#This Row],[fecha_inicio]]="","",MONTH(tblOrdenes[[#This Row],[fecha_inicio]]))</f>
        <v/>
      </c>
      <c r="R129" s="3">
        <f>IF(tblOrdenes[[#This Row],[fecha_inicio]]="","",INDEX(lista_dias,WEEKDAY(tblOrdenes[[#This Row],[fecha_inicio]],2)))</f>
        <v/>
      </c>
      <c r="S1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9" s="3">
        <f>IF(tblOrdenes[[#This Row],[tipo_ot]]="","",_xlfn.XLOOKUP(tblOrdenes[[#This Row],[tipo_ot]],tblTiposOT[codigo],tblTiposOT[clasificacion],"sin_clasificar"))</f>
        <v/>
      </c>
      <c r="U129" s="3">
        <f>IF(tblOrdenes[[#This Row],[centro_costo]]="","",_xlfn.XLOOKUP(tblOrdenes[[#This Row],[centro_costo]],tblCECO[codigo],tblCECO[linea],"(sin catálogo)"))</f>
        <v/>
      </c>
      <c r="V129" s="3">
        <f>IF(tblOrdenes[[#This Row],[centro_costo]]="","",_xlfn.XLOOKUP(tblOrdenes[[#This Row],[centro_costo]],tblCECO[codigo],tblCECO[area],"(sin catálogo)"))</f>
        <v/>
      </c>
      <c r="W1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9" s="3">
        <f>IF(tblOrdenes[[#This Row],[centro_costo]]="","",_xlfn.XLOOKUP(tblOrdenes[[#This Row],[centro_costo]],tblCECO[codigo],tblCECO[coordinador],"(sin catálogo)"))</f>
        <v/>
      </c>
      <c r="Y129" s="3">
        <f>IF(tblOrdenes[[#This Row],[puesto_trabajo]]="","",_xlfn.XLOOKUP(tblOrdenes[[#This Row],[puesto_trabajo]],tblPuestos[codigo],tblPuestos[especialidad],"(sin catálogo)"))</f>
        <v/>
      </c>
      <c r="Z129" s="3">
        <f>IF(tblOrdenes[[#This Row],[cod_actividad]]="","",_xlfn.XLOOKUP(tblOrdenes[[#This Row],[cod_actividad]],tblActividades[codigo],tblActividades[descripcion],"(sin catálogo)"))</f>
        <v/>
      </c>
      <c r="AA129" s="13">
        <f>IF(tblOrdenes[[#This Row],[fecha_inicio]]="","",TODAY()-tblOrdenes[[#This Row],[fecha_inicio]])</f>
        <v/>
      </c>
      <c r="AB1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9" s="3">
        <f>IF(tblOrdenes[[#This Row],[backlog_habiles]]="","",IF(tblOrdenes[[#This Row],[backlog_habiles]]&lt;0,"FUTURO",IF(tblOrdenes[[#This Row],[backlog_habiles]]&gt;p_dias_backlog_max,"BACKLOG","MES CORRIENTE")))</f>
        <v/>
      </c>
      <c r="AD129" s="3">
        <f>IF(tblOrdenes[[#This Row],[backlog_habiles]]="",FALSE,AND(tblOrdenes[[#This Row],[backlog_habiles]]&gt;p_dias_backlog_min,tblOrdenes[[#This Row],[backlog_habiles]]&lt;=p_dias_backlog_max))</f>
        <v/>
      </c>
      <c r="AE129" s="6" t="inlineStr"/>
      <c r="AF1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9" s="11">
        <f>IF(tblOrdenes[[#This Row],[orden]]="","",_xlfn.XLOOKUP(tblOrdenes[[#This Row],[id_operacion]],tblEjecucion[id_operacion],tblEjecucion[precio],0))</f>
        <v/>
      </c>
      <c r="AJ129" s="11">
        <f>IF(tblOrdenes[[#This Row],[orden]]="","",MAX(0,_xlfn.XLOOKUP(tblOrdenes[[#This Row],[id_operacion]],tblEjecucion[id_operacion],tblEjecucion[costo_plan_total],0)-tblOrdenes[[#This Row],[costo_servicio]]))</f>
        <v/>
      </c>
      <c r="AK129" s="11">
        <f>IF(tblOrdenes[[#This Row],[orden]]="","",tblOrdenes[[#This Row],[costo_servicio]]+tblOrdenes[[#This Row],[costo_materiales]])</f>
        <v/>
      </c>
      <c r="AL129" s="6" t="inlineStr"/>
      <c r="AM129" s="6" t="inlineStr"/>
      <c r="AN129" s="6" t="inlineStr"/>
      <c r="AO129" s="3">
        <f>IF(tblOrdenes[[#This Row],[link_checklist]]="","",HYPERLINK(p_ruta_base_checklists&amp;tblOrdenes[[#This Row],[link_checklist]],"abrir"))</f>
        <v/>
      </c>
      <c r="AP129" s="6" t="inlineStr"/>
      <c r="AQ129" s="3">
        <f>IF(tblOrdenes[[#This Row],[orden]]="","",tblOrdenes[[#This Row],[orden]]&amp;IF(tblOrdenes[[#This Row],[operacion]]="","0010",tblOrdenes[[#This Row],[operacion]]))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Reparación de falla — EQ-109</t>
        </is>
      </c>
      <c r="D130" s="3" t="inlineStr">
        <is>
          <t>Reparación de falla en EQ-109</t>
        </is>
      </c>
      <c r="E130" s="3" t="inlineStr">
        <is>
          <t>EQ-109</t>
        </is>
      </c>
      <c r="F130" s="3" t="inlineStr">
        <is>
          <t>CC-220</t>
        </is>
      </c>
      <c r="G130" s="3" t="inlineStr">
        <is>
          <t>PU-MEC</t>
        </is>
      </c>
      <c r="H130" s="3" t="inlineStr">
        <is>
          <t>ACT-03</t>
        </is>
      </c>
      <c r="I130" s="3" t="inlineStr">
        <is>
          <t>TIPO-C2</t>
        </is>
      </c>
      <c r="J130" s="12" t="n">
        <v>46155</v>
      </c>
      <c r="K130" s="3" t="n">
        <v>8</v>
      </c>
      <c r="L130" s="11" t="n">
        <v>320</v>
      </c>
      <c r="M1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0" s="3">
        <f>IF(tblOrdenes[[#This Row],[fecha_inicio]]="","",YEAR(tblOrdenes[[#This Row],[fecha_inicio]]))</f>
        <v/>
      </c>
      <c r="Q130" s="3">
        <f>IF(tblOrdenes[[#This Row],[fecha_inicio]]="","",MONTH(tblOrdenes[[#This Row],[fecha_inicio]]))</f>
        <v/>
      </c>
      <c r="R130" s="3">
        <f>IF(tblOrdenes[[#This Row],[fecha_inicio]]="","",INDEX(lista_dias,WEEKDAY(tblOrdenes[[#This Row],[fecha_inicio]],2)))</f>
        <v/>
      </c>
      <c r="S1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0" s="3">
        <f>IF(tblOrdenes[[#This Row],[tipo_ot]]="","",_xlfn.XLOOKUP(tblOrdenes[[#This Row],[tipo_ot]],tblTiposOT[codigo],tblTiposOT[clasificacion],"sin_clasificar"))</f>
        <v/>
      </c>
      <c r="U130" s="3">
        <f>IF(tblOrdenes[[#This Row],[centro_costo]]="","",_xlfn.XLOOKUP(tblOrdenes[[#This Row],[centro_costo]],tblCECO[codigo],tblCECO[linea],"(sin catálogo)"))</f>
        <v/>
      </c>
      <c r="V130" s="3">
        <f>IF(tblOrdenes[[#This Row],[centro_costo]]="","",_xlfn.XLOOKUP(tblOrdenes[[#This Row],[centro_costo]],tblCECO[codigo],tblCECO[area],"(sin catálogo)"))</f>
        <v/>
      </c>
      <c r="W1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0" s="3">
        <f>IF(tblOrdenes[[#This Row],[centro_costo]]="","",_xlfn.XLOOKUP(tblOrdenes[[#This Row],[centro_costo]],tblCECO[codigo],tblCECO[coordinador],"(sin catálogo)"))</f>
        <v/>
      </c>
      <c r="Y130" s="3">
        <f>IF(tblOrdenes[[#This Row],[puesto_trabajo]]="","",_xlfn.XLOOKUP(tblOrdenes[[#This Row],[puesto_trabajo]],tblPuestos[codigo],tblPuestos[especialidad],"(sin catálogo)"))</f>
        <v/>
      </c>
      <c r="Z130" s="3">
        <f>IF(tblOrdenes[[#This Row],[cod_actividad]]="","",_xlfn.XLOOKUP(tblOrdenes[[#This Row],[cod_actividad]],tblActividades[codigo],tblActividades[descripcion],"(sin catálogo)"))</f>
        <v/>
      </c>
      <c r="AA130" s="13">
        <f>IF(tblOrdenes[[#This Row],[fecha_inicio]]="","",TODAY()-tblOrdenes[[#This Row],[fecha_inicio]])</f>
        <v/>
      </c>
      <c r="AB1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0" s="3">
        <f>IF(tblOrdenes[[#This Row],[backlog_habiles]]="","",IF(tblOrdenes[[#This Row],[backlog_habiles]]&lt;0,"FUTURO",IF(tblOrdenes[[#This Row],[backlog_habiles]]&gt;p_dias_backlog_max,"BACKLOG","MES CORRIENTE")))</f>
        <v/>
      </c>
      <c r="AD130" s="3">
        <f>IF(tblOrdenes[[#This Row],[backlog_habiles]]="",FALSE,AND(tblOrdenes[[#This Row],[backlog_habiles]]&gt;p_dias_backlog_min,tblOrdenes[[#This Row],[backlog_habiles]]&lt;=p_dias_backlog_max))</f>
        <v/>
      </c>
      <c r="AE130" s="6" t="inlineStr"/>
      <c r="AF1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0" s="11">
        <f>IF(tblOrdenes[[#This Row],[orden]]="","",_xlfn.XLOOKUP(tblOrdenes[[#This Row],[id_operacion]],tblEjecucion[id_operacion],tblEjecucion[precio],0))</f>
        <v/>
      </c>
      <c r="AJ130" s="11">
        <f>IF(tblOrdenes[[#This Row],[orden]]="","",MAX(0,_xlfn.XLOOKUP(tblOrdenes[[#This Row],[id_operacion]],tblEjecucion[id_operacion],tblEjecucion[costo_plan_total],0)-tblOrdenes[[#This Row],[costo_servicio]]))</f>
        <v/>
      </c>
      <c r="AK130" s="11">
        <f>IF(tblOrdenes[[#This Row],[orden]]="","",tblOrdenes[[#This Row],[costo_servicio]]+tblOrdenes[[#This Row],[costo_materiales]])</f>
        <v/>
      </c>
      <c r="AL130" s="6" t="inlineStr"/>
      <c r="AM130" s="6" t="inlineStr"/>
      <c r="AN130" s="6" t="inlineStr"/>
      <c r="AO130" s="3">
        <f>IF(tblOrdenes[[#This Row],[link_checklist]]="","",HYPERLINK(p_ruta_base_checklists&amp;tblOrdenes[[#This Row],[link_checklist]],"abrir"))</f>
        <v/>
      </c>
      <c r="AP130" s="6" t="inlineStr"/>
      <c r="AQ130" s="3">
        <f>IF(tblOrdenes[[#This Row],[orden]]="","",tblOrdenes[[#This Row],[orden]]&amp;IF(tblOrdenes[[#This Row],[operacion]]="","0010",tblOrdenes[[#This Row],[operacion]]))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Análisis predictivo — EQ-112</t>
        </is>
      </c>
      <c r="D131" s="3" t="inlineStr">
        <is>
          <t>Análisis predictivo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PU-ELE</t>
        </is>
      </c>
      <c r="H131" s="3" t="inlineStr">
        <is>
          <t>ACT-04</t>
        </is>
      </c>
      <c r="I131" s="3" t="inlineStr">
        <is>
          <t>TIPO-P1</t>
        </is>
      </c>
      <c r="J131" s="12" t="n">
        <v>46155</v>
      </c>
      <c r="K131" s="3" t="n">
        <v>4</v>
      </c>
      <c r="L131" s="11" t="n">
        <v>100</v>
      </c>
      <c r="M1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1" s="3">
        <f>IF(tblOrdenes[[#This Row],[fecha_inicio]]="","",YEAR(tblOrdenes[[#This Row],[fecha_inicio]]))</f>
        <v/>
      </c>
      <c r="Q131" s="3">
        <f>IF(tblOrdenes[[#This Row],[fecha_inicio]]="","",MONTH(tblOrdenes[[#This Row],[fecha_inicio]]))</f>
        <v/>
      </c>
      <c r="R131" s="3">
        <f>IF(tblOrdenes[[#This Row],[fecha_inicio]]="","",INDEX(lista_dias,WEEKDAY(tblOrdenes[[#This Row],[fecha_inicio]],2)))</f>
        <v/>
      </c>
      <c r="S1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1" s="3">
        <f>IF(tblOrdenes[[#This Row],[tipo_ot]]="","",_xlfn.XLOOKUP(tblOrdenes[[#This Row],[tipo_ot]],tblTiposOT[codigo],tblTiposOT[clasificacion],"sin_clasificar"))</f>
        <v/>
      </c>
      <c r="U131" s="3">
        <f>IF(tblOrdenes[[#This Row],[centro_costo]]="","",_xlfn.XLOOKUP(tblOrdenes[[#This Row],[centro_costo]],tblCECO[codigo],tblCECO[linea],"(sin catálogo)"))</f>
        <v/>
      </c>
      <c r="V131" s="3">
        <f>IF(tblOrdenes[[#This Row],[centro_costo]]="","",_xlfn.XLOOKUP(tblOrdenes[[#This Row],[centro_costo]],tblCECO[codigo],tblCECO[area],"(sin catálogo)"))</f>
        <v/>
      </c>
      <c r="W1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1" s="3">
        <f>IF(tblOrdenes[[#This Row],[centro_costo]]="","",_xlfn.XLOOKUP(tblOrdenes[[#This Row],[centro_costo]],tblCECO[codigo],tblCECO[coordinador],"(sin catálogo)"))</f>
        <v/>
      </c>
      <c r="Y131" s="3">
        <f>IF(tblOrdenes[[#This Row],[puesto_trabajo]]="","",_xlfn.XLOOKUP(tblOrdenes[[#This Row],[puesto_trabajo]],tblPuestos[codigo],tblPuestos[especialidad],"(sin catálogo)"))</f>
        <v/>
      </c>
      <c r="Z131" s="3">
        <f>IF(tblOrdenes[[#This Row],[cod_actividad]]="","",_xlfn.XLOOKUP(tblOrdenes[[#This Row],[cod_actividad]],tblActividades[codigo],tblActividades[descripcion],"(sin catálogo)"))</f>
        <v/>
      </c>
      <c r="AA131" s="13">
        <f>IF(tblOrdenes[[#This Row],[fecha_inicio]]="","",TODAY()-tblOrdenes[[#This Row],[fecha_inicio]])</f>
        <v/>
      </c>
      <c r="AB1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1" s="3">
        <f>IF(tblOrdenes[[#This Row],[backlog_habiles]]="","",IF(tblOrdenes[[#This Row],[backlog_habiles]]&lt;0,"FUTURO",IF(tblOrdenes[[#This Row],[backlog_habiles]]&gt;p_dias_backlog_max,"BACKLOG","MES CORRIENTE")))</f>
        <v/>
      </c>
      <c r="AD131" s="3">
        <f>IF(tblOrdenes[[#This Row],[backlog_habiles]]="",FALSE,AND(tblOrdenes[[#This Row],[backlog_habiles]]&gt;p_dias_backlog_min,tblOrdenes[[#This Row],[backlog_habiles]]&lt;=p_dias_backlog_max))</f>
        <v/>
      </c>
      <c r="AE131" s="6" t="inlineStr"/>
      <c r="AF1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1" s="11">
        <f>IF(tblOrdenes[[#This Row],[orden]]="","",_xlfn.XLOOKUP(tblOrdenes[[#This Row],[id_operacion]],tblEjecucion[id_operacion],tblEjecucion[precio],0))</f>
        <v/>
      </c>
      <c r="AJ131" s="11">
        <f>IF(tblOrdenes[[#This Row],[orden]]="","",MAX(0,_xlfn.XLOOKUP(tblOrdenes[[#This Row],[id_operacion]],tblEjecucion[id_operacion],tblEjecucion[costo_plan_total],0)-tblOrdenes[[#This Row],[costo_servicio]]))</f>
        <v/>
      </c>
      <c r="AK131" s="11">
        <f>IF(tblOrdenes[[#This Row],[orden]]="","",tblOrdenes[[#This Row],[costo_servicio]]+tblOrdenes[[#This Row],[costo_materiales]])</f>
        <v/>
      </c>
      <c r="AL131" s="6" t="inlineStr"/>
      <c r="AM131" s="6" t="inlineStr"/>
      <c r="AN131" s="6" t="inlineStr"/>
      <c r="AO131" s="3">
        <f>IF(tblOrdenes[[#This Row],[link_checklist]]="","",HYPERLINK(p_ruta_base_checklists&amp;tblOrdenes[[#This Row],[link_checklist]],"abrir"))</f>
        <v/>
      </c>
      <c r="AP131" s="6" t="inlineStr"/>
      <c r="AQ131" s="3">
        <f>IF(tblOrdenes[[#This Row],[orden]]="","",tblOrdenes[[#This Row],[orden]]&amp;IF(tblOrdenes[[#This Row],[operacion]]="","0010",tblOrdenes[[#This Row],[operacion]]))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Reparación de falla — EQ-110</t>
        </is>
      </c>
      <c r="D132" s="3" t="inlineStr">
        <is>
          <t>Reparación de falla en EQ-110</t>
        </is>
      </c>
      <c r="E132" s="3" t="inlineStr">
        <is>
          <t>EQ-110</t>
        </is>
      </c>
      <c r="F132" s="3" t="inlineStr">
        <is>
          <t>CC-311</t>
        </is>
      </c>
      <c r="G132" s="3" t="inlineStr">
        <is>
          <t>PU-AUT</t>
        </is>
      </c>
      <c r="H132" s="3" t="inlineStr">
        <is>
          <t>ACT-03</t>
        </is>
      </c>
      <c r="I132" s="3" t="inlineStr">
        <is>
          <t>TIPO-C2</t>
        </is>
      </c>
      <c r="J132" s="12" t="n">
        <v>46155</v>
      </c>
      <c r="K132" s="3" t="n">
        <v>6</v>
      </c>
      <c r="L132" s="11" t="n">
        <v>240</v>
      </c>
      <c r="M1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2" s="3">
        <f>IF(tblOrdenes[[#This Row],[fecha_inicio]]="","",YEAR(tblOrdenes[[#This Row],[fecha_inicio]]))</f>
        <v/>
      </c>
      <c r="Q132" s="3">
        <f>IF(tblOrdenes[[#This Row],[fecha_inicio]]="","",MONTH(tblOrdenes[[#This Row],[fecha_inicio]]))</f>
        <v/>
      </c>
      <c r="R132" s="3">
        <f>IF(tblOrdenes[[#This Row],[fecha_inicio]]="","",INDEX(lista_dias,WEEKDAY(tblOrdenes[[#This Row],[fecha_inicio]],2)))</f>
        <v/>
      </c>
      <c r="S1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2" s="3">
        <f>IF(tblOrdenes[[#This Row],[tipo_ot]]="","",_xlfn.XLOOKUP(tblOrdenes[[#This Row],[tipo_ot]],tblTiposOT[codigo],tblTiposOT[clasificacion],"sin_clasificar"))</f>
        <v/>
      </c>
      <c r="U132" s="3">
        <f>IF(tblOrdenes[[#This Row],[centro_costo]]="","",_xlfn.XLOOKUP(tblOrdenes[[#This Row],[centro_costo]],tblCECO[codigo],tblCECO[linea],"(sin catálogo)"))</f>
        <v/>
      </c>
      <c r="V132" s="3">
        <f>IF(tblOrdenes[[#This Row],[centro_costo]]="","",_xlfn.XLOOKUP(tblOrdenes[[#This Row],[centro_costo]],tblCECO[codigo],tblCECO[area],"(sin catálogo)"))</f>
        <v/>
      </c>
      <c r="W1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2" s="3">
        <f>IF(tblOrdenes[[#This Row],[centro_costo]]="","",_xlfn.XLOOKUP(tblOrdenes[[#This Row],[centro_costo]],tblCECO[codigo],tblCECO[coordinador],"(sin catálogo)"))</f>
        <v/>
      </c>
      <c r="Y132" s="3">
        <f>IF(tblOrdenes[[#This Row],[puesto_trabajo]]="","",_xlfn.XLOOKUP(tblOrdenes[[#This Row],[puesto_trabajo]],tblPuestos[codigo],tblPuestos[especialidad],"(sin catálogo)"))</f>
        <v/>
      </c>
      <c r="Z132" s="3">
        <f>IF(tblOrdenes[[#This Row],[cod_actividad]]="","",_xlfn.XLOOKUP(tblOrdenes[[#This Row],[cod_actividad]],tblActividades[codigo],tblActividades[descripcion],"(sin catálogo)"))</f>
        <v/>
      </c>
      <c r="AA132" s="13">
        <f>IF(tblOrdenes[[#This Row],[fecha_inicio]]="","",TODAY()-tblOrdenes[[#This Row],[fecha_inicio]])</f>
        <v/>
      </c>
      <c r="AB1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2" s="3">
        <f>IF(tblOrdenes[[#This Row],[backlog_habiles]]="","",IF(tblOrdenes[[#This Row],[backlog_habiles]]&lt;0,"FUTURO",IF(tblOrdenes[[#This Row],[backlog_habiles]]&gt;p_dias_backlog_max,"BACKLOG","MES CORRIENTE")))</f>
        <v/>
      </c>
      <c r="AD132" s="3">
        <f>IF(tblOrdenes[[#This Row],[backlog_habiles]]="",FALSE,AND(tblOrdenes[[#This Row],[backlog_habiles]]&gt;p_dias_backlog_min,tblOrdenes[[#This Row],[backlog_habiles]]&lt;=p_dias_backlog_max))</f>
        <v/>
      </c>
      <c r="AE132" s="6" t="inlineStr"/>
      <c r="AF1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2" s="11">
        <f>IF(tblOrdenes[[#This Row],[orden]]="","",_xlfn.XLOOKUP(tblOrdenes[[#This Row],[id_operacion]],tblEjecucion[id_operacion],tblEjecucion[precio],0))</f>
        <v/>
      </c>
      <c r="AJ132" s="11">
        <f>IF(tblOrdenes[[#This Row],[orden]]="","",MAX(0,_xlfn.XLOOKUP(tblOrdenes[[#This Row],[id_operacion]],tblEjecucion[id_operacion],tblEjecucion[costo_plan_total],0)-tblOrdenes[[#This Row],[costo_servicio]]))</f>
        <v/>
      </c>
      <c r="AK132" s="11">
        <f>IF(tblOrdenes[[#This Row],[orden]]="","",tblOrdenes[[#This Row],[costo_servicio]]+tblOrdenes[[#This Row],[costo_materiales]])</f>
        <v/>
      </c>
      <c r="AL132" s="6" t="inlineStr"/>
      <c r="AM132" s="6" t="inlineStr"/>
      <c r="AN132" s="6" t="inlineStr"/>
      <c r="AO132" s="3">
        <f>IF(tblOrdenes[[#This Row],[link_checklist]]="","",HYPERLINK(p_ruta_base_checklists&amp;tblOrdenes[[#This Row],[link_checklist]],"abrir"))</f>
        <v/>
      </c>
      <c r="AP132" s="6" t="inlineStr"/>
      <c r="AQ132" s="3">
        <f>IF(tblOrdenes[[#This Row],[orden]]="","",tblOrdenes[[#This Row],[orden]]&amp;IF(tblOrdenes[[#This Row],[operacion]]="","0010",tblOrdenes[[#This Row],[operacion]]))</f>
        <v/>
      </c>
    </row>
    <row r="133">
      <c r="A133" s="3" t="inlineStr">
        <is>
          <t>OT-000130</t>
        </is>
      </c>
      <c r="B133" s="3" t="inlineStr">
        <is>
          <t>0010</t>
        </is>
      </c>
      <c r="C133" s="3" t="inlineStr">
        <is>
          <t>Reparación de falla — EQ-111</t>
        </is>
      </c>
      <c r="D133" s="3" t="inlineStr">
        <is>
          <t>Reparación de falla en EQ-111</t>
        </is>
      </c>
      <c r="E133" s="3" t="inlineStr">
        <is>
          <t>EQ-111</t>
        </is>
      </c>
      <c r="F133" s="3" t="inlineStr">
        <is>
          <t>CC-320</t>
        </is>
      </c>
      <c r="G133" s="3" t="inlineStr">
        <is>
          <t>PU-MEC</t>
        </is>
      </c>
      <c r="H133" s="3" t="inlineStr">
        <is>
          <t>ACT-03</t>
        </is>
      </c>
      <c r="I133" s="3" t="inlineStr">
        <is>
          <t>TIPO-C1</t>
        </is>
      </c>
      <c r="J133" s="12" t="n">
        <v>46155</v>
      </c>
      <c r="K133" s="3" t="n">
        <v>8</v>
      </c>
      <c r="L133" s="11" t="n">
        <v>320</v>
      </c>
      <c r="M1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3" s="3">
        <f>IF(tblOrdenes[[#This Row],[fecha_inicio]]="","",YEAR(tblOrdenes[[#This Row],[fecha_inicio]]))</f>
        <v/>
      </c>
      <c r="Q133" s="3">
        <f>IF(tblOrdenes[[#This Row],[fecha_inicio]]="","",MONTH(tblOrdenes[[#This Row],[fecha_inicio]]))</f>
        <v/>
      </c>
      <c r="R133" s="3">
        <f>IF(tblOrdenes[[#This Row],[fecha_inicio]]="","",INDEX(lista_dias,WEEKDAY(tblOrdenes[[#This Row],[fecha_inicio]],2)))</f>
        <v/>
      </c>
      <c r="S1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3" s="3">
        <f>IF(tblOrdenes[[#This Row],[tipo_ot]]="","",_xlfn.XLOOKUP(tblOrdenes[[#This Row],[tipo_ot]],tblTiposOT[codigo],tblTiposOT[clasificacion],"sin_clasificar"))</f>
        <v/>
      </c>
      <c r="U133" s="3">
        <f>IF(tblOrdenes[[#This Row],[centro_costo]]="","",_xlfn.XLOOKUP(tblOrdenes[[#This Row],[centro_costo]],tblCECO[codigo],tblCECO[linea],"(sin catálogo)"))</f>
        <v/>
      </c>
      <c r="V133" s="3">
        <f>IF(tblOrdenes[[#This Row],[centro_costo]]="","",_xlfn.XLOOKUP(tblOrdenes[[#This Row],[centro_costo]],tblCECO[codigo],tblCECO[area],"(sin catálogo)"))</f>
        <v/>
      </c>
      <c r="W1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3" s="3">
        <f>IF(tblOrdenes[[#This Row],[centro_costo]]="","",_xlfn.XLOOKUP(tblOrdenes[[#This Row],[centro_costo]],tblCECO[codigo],tblCECO[coordinador],"(sin catálogo)"))</f>
        <v/>
      </c>
      <c r="Y133" s="3">
        <f>IF(tblOrdenes[[#This Row],[puesto_trabajo]]="","",_xlfn.XLOOKUP(tblOrdenes[[#This Row],[puesto_trabajo]],tblPuestos[codigo],tblPuestos[especialidad],"(sin catálogo)"))</f>
        <v/>
      </c>
      <c r="Z133" s="3">
        <f>IF(tblOrdenes[[#This Row],[cod_actividad]]="","",_xlfn.XLOOKUP(tblOrdenes[[#This Row],[cod_actividad]],tblActividades[codigo],tblActividades[descripcion],"(sin catálogo)"))</f>
        <v/>
      </c>
      <c r="AA133" s="13">
        <f>IF(tblOrdenes[[#This Row],[fecha_inicio]]="","",TODAY()-tblOrdenes[[#This Row],[fecha_inicio]])</f>
        <v/>
      </c>
      <c r="AB1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3" s="3">
        <f>IF(tblOrdenes[[#This Row],[backlog_habiles]]="","",IF(tblOrdenes[[#This Row],[backlog_habiles]]&lt;0,"FUTURO",IF(tblOrdenes[[#This Row],[backlog_habiles]]&gt;p_dias_backlog_max,"BACKLOG","MES CORRIENTE")))</f>
        <v/>
      </c>
      <c r="AD133" s="3">
        <f>IF(tblOrdenes[[#This Row],[backlog_habiles]]="",FALSE,AND(tblOrdenes[[#This Row],[backlog_habiles]]&gt;p_dias_backlog_min,tblOrdenes[[#This Row],[backlog_habiles]]&lt;=p_dias_backlog_max))</f>
        <v/>
      </c>
      <c r="AE133" s="6" t="inlineStr"/>
      <c r="AF1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3" s="11">
        <f>IF(tblOrdenes[[#This Row],[orden]]="","",_xlfn.XLOOKUP(tblOrdenes[[#This Row],[id_operacion]],tblEjecucion[id_operacion],tblEjecucion[precio],0))</f>
        <v/>
      </c>
      <c r="AJ133" s="11">
        <f>IF(tblOrdenes[[#This Row],[orden]]="","",MAX(0,_xlfn.XLOOKUP(tblOrdenes[[#This Row],[id_operacion]],tblEjecucion[id_operacion],tblEjecucion[costo_plan_total],0)-tblOrdenes[[#This Row],[costo_servicio]]))</f>
        <v/>
      </c>
      <c r="AK133" s="11">
        <f>IF(tblOrdenes[[#This Row],[orden]]="","",tblOrdenes[[#This Row],[costo_servicio]]+tblOrdenes[[#This Row],[costo_materiales]])</f>
        <v/>
      </c>
      <c r="AL133" s="6" t="inlineStr"/>
      <c r="AM133" s="6" t="inlineStr"/>
      <c r="AN133" s="6" t="inlineStr"/>
      <c r="AO133" s="3">
        <f>IF(tblOrdenes[[#This Row],[link_checklist]]="","",HYPERLINK(p_ruta_base_checklists&amp;tblOrdenes[[#This Row],[link_checklist]],"abrir"))</f>
        <v/>
      </c>
      <c r="AP133" s="6" t="inlineStr"/>
      <c r="AQ133" s="3">
        <f>IF(tblOrdenes[[#This Row],[orden]]="","",tblOrdenes[[#This Row],[orden]]&amp;IF(tblOrdenes[[#This Row],[operacion]]="","0010",tblOrdenes[[#This Row],[operacion]]))</f>
        <v/>
      </c>
    </row>
    <row r="134">
      <c r="A134" s="3" t="inlineStr">
        <is>
          <t>OT-000131</t>
        </is>
      </c>
      <c r="B134" s="3" t="inlineStr">
        <is>
          <t>0010</t>
        </is>
      </c>
      <c r="C134" s="3" t="inlineStr">
        <is>
          <t>Reparación de falla — EQ-109</t>
        </is>
      </c>
      <c r="D134" s="3" t="inlineStr">
        <is>
          <t>Reparación de falla en EQ-109</t>
        </is>
      </c>
      <c r="E134" s="3" t="inlineStr">
        <is>
          <t>EQ-109</t>
        </is>
      </c>
      <c r="F134" s="3" t="inlineStr">
        <is>
          <t>CC-210</t>
        </is>
      </c>
      <c r="G134" s="3" t="inlineStr">
        <is>
          <t>PU-AUT</t>
        </is>
      </c>
      <c r="H134" s="3" t="inlineStr">
        <is>
          <t>ACT-03</t>
        </is>
      </c>
      <c r="I134" s="3" t="inlineStr">
        <is>
          <t>TIPO-C2</t>
        </is>
      </c>
      <c r="J134" s="12" t="n">
        <v>46130</v>
      </c>
      <c r="K134" s="3" t="n">
        <v>4</v>
      </c>
      <c r="L134" s="11" t="n">
        <v>160</v>
      </c>
      <c r="M1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4" s="3">
        <f>IF(tblOrdenes[[#This Row],[fecha_inicio]]="","",YEAR(tblOrdenes[[#This Row],[fecha_inicio]]))</f>
        <v/>
      </c>
      <c r="Q134" s="3">
        <f>IF(tblOrdenes[[#This Row],[fecha_inicio]]="","",MONTH(tblOrdenes[[#This Row],[fecha_inicio]]))</f>
        <v/>
      </c>
      <c r="R134" s="3">
        <f>IF(tblOrdenes[[#This Row],[fecha_inicio]]="","",INDEX(lista_dias,WEEKDAY(tblOrdenes[[#This Row],[fecha_inicio]],2)))</f>
        <v/>
      </c>
      <c r="S1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4" s="3">
        <f>IF(tblOrdenes[[#This Row],[tipo_ot]]="","",_xlfn.XLOOKUP(tblOrdenes[[#This Row],[tipo_ot]],tblTiposOT[codigo],tblTiposOT[clasificacion],"sin_clasificar"))</f>
        <v/>
      </c>
      <c r="U134" s="3">
        <f>IF(tblOrdenes[[#This Row],[centro_costo]]="","",_xlfn.XLOOKUP(tblOrdenes[[#This Row],[centro_costo]],tblCECO[codigo],tblCECO[linea],"(sin catálogo)"))</f>
        <v/>
      </c>
      <c r="V134" s="3">
        <f>IF(tblOrdenes[[#This Row],[centro_costo]]="","",_xlfn.XLOOKUP(tblOrdenes[[#This Row],[centro_costo]],tblCECO[codigo],tblCECO[area],"(sin catálogo)"))</f>
        <v/>
      </c>
      <c r="W1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4" s="3">
        <f>IF(tblOrdenes[[#This Row],[centro_costo]]="","",_xlfn.XLOOKUP(tblOrdenes[[#This Row],[centro_costo]],tblCECO[codigo],tblCECO[coordinador],"(sin catálogo)"))</f>
        <v/>
      </c>
      <c r="Y134" s="3">
        <f>IF(tblOrdenes[[#This Row],[puesto_trabajo]]="","",_xlfn.XLOOKUP(tblOrdenes[[#This Row],[puesto_trabajo]],tblPuestos[codigo],tblPuestos[especialidad],"(sin catálogo)"))</f>
        <v/>
      </c>
      <c r="Z134" s="3">
        <f>IF(tblOrdenes[[#This Row],[cod_actividad]]="","",_xlfn.XLOOKUP(tblOrdenes[[#This Row],[cod_actividad]],tblActividades[codigo],tblActividades[descripcion],"(sin catálogo)"))</f>
        <v/>
      </c>
      <c r="AA134" s="13">
        <f>IF(tblOrdenes[[#This Row],[fecha_inicio]]="","",TODAY()-tblOrdenes[[#This Row],[fecha_inicio]])</f>
        <v/>
      </c>
      <c r="AB1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4" s="3">
        <f>IF(tblOrdenes[[#This Row],[backlog_habiles]]="","",IF(tblOrdenes[[#This Row],[backlog_habiles]]&lt;0,"FUTURO",IF(tblOrdenes[[#This Row],[backlog_habiles]]&gt;p_dias_backlog_max,"BACKLOG","MES CORRIENTE")))</f>
        <v/>
      </c>
      <c r="AD134" s="3">
        <f>IF(tblOrdenes[[#This Row],[backlog_habiles]]="",FALSE,AND(tblOrdenes[[#This Row],[backlog_habiles]]&gt;p_dias_backlog_min,tblOrdenes[[#This Row],[backlog_habiles]]&lt;=p_dias_backlog_max))</f>
        <v/>
      </c>
      <c r="AE134" s="6" t="inlineStr"/>
      <c r="AF1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4" s="11">
        <f>IF(tblOrdenes[[#This Row],[orden]]="","",_xlfn.XLOOKUP(tblOrdenes[[#This Row],[id_operacion]],tblEjecucion[id_operacion],tblEjecucion[precio],0))</f>
        <v/>
      </c>
      <c r="AJ134" s="11">
        <f>IF(tblOrdenes[[#This Row],[orden]]="","",MAX(0,_xlfn.XLOOKUP(tblOrdenes[[#This Row],[id_operacion]],tblEjecucion[id_operacion],tblEjecucion[costo_plan_total],0)-tblOrdenes[[#This Row],[costo_servicio]]))</f>
        <v/>
      </c>
      <c r="AK134" s="11">
        <f>IF(tblOrdenes[[#This Row],[orden]]="","",tblOrdenes[[#This Row],[costo_servicio]]+tblOrdenes[[#This Row],[costo_materiales]])</f>
        <v/>
      </c>
      <c r="AL134" s="6" t="inlineStr"/>
      <c r="AM134" s="6" t="inlineStr"/>
      <c r="AN134" s="6" t="inlineStr"/>
      <c r="AO134" s="3">
        <f>IF(tblOrdenes[[#This Row],[link_checklist]]="","",HYPERLINK(p_ruta_base_checklists&amp;tblOrdenes[[#This Row],[link_checklist]],"abrir"))</f>
        <v/>
      </c>
      <c r="AP134" s="6" t="inlineStr"/>
      <c r="AQ134" s="3">
        <f>IF(tblOrdenes[[#This Row],[orden]]="","",tblOrdenes[[#This Row],[orden]]&amp;IF(tblOrdenes[[#This Row],[operacion]]="","0010",tblOrdenes[[#This Row],[operacion]]))</f>
        <v/>
      </c>
    </row>
    <row r="135">
      <c r="A135" s="3" t="inlineStr">
        <is>
          <t>OT-000132</t>
        </is>
      </c>
      <c r="B135" s="3" t="inlineStr">
        <is>
          <t>0010</t>
        </is>
      </c>
      <c r="C135" s="3" t="inlineStr">
        <is>
          <t>Reparación de falla — EQ-106</t>
        </is>
      </c>
      <c r="D135" s="3" t="inlineStr">
        <is>
          <t>Reparación de falla en EQ-106</t>
        </is>
      </c>
      <c r="E135" s="3" t="inlineStr">
        <is>
          <t>EQ-106</t>
        </is>
      </c>
      <c r="F135" s="3" t="inlineStr">
        <is>
          <t>CC-220</t>
        </is>
      </c>
      <c r="G135" s="3" t="inlineStr">
        <is>
          <t>PU-MEC</t>
        </is>
      </c>
      <c r="H135" s="3" t="inlineStr">
        <is>
          <t>ACT-03</t>
        </is>
      </c>
      <c r="I135" s="3" t="inlineStr">
        <is>
          <t>TIPO-C1</t>
        </is>
      </c>
      <c r="J135" s="12" t="n">
        <v>46130</v>
      </c>
      <c r="K135" s="3" t="n">
        <v>6</v>
      </c>
      <c r="L135" s="11" t="n">
        <v>240</v>
      </c>
      <c r="M1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5" s="3">
        <f>IF(tblOrdenes[[#This Row],[fecha_inicio]]="","",YEAR(tblOrdenes[[#This Row],[fecha_inicio]]))</f>
        <v/>
      </c>
      <c r="Q135" s="3">
        <f>IF(tblOrdenes[[#This Row],[fecha_inicio]]="","",MONTH(tblOrdenes[[#This Row],[fecha_inicio]]))</f>
        <v/>
      </c>
      <c r="R135" s="3">
        <f>IF(tblOrdenes[[#This Row],[fecha_inicio]]="","",INDEX(lista_dias,WEEKDAY(tblOrdenes[[#This Row],[fecha_inicio]],2)))</f>
        <v/>
      </c>
      <c r="S1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5" s="3">
        <f>IF(tblOrdenes[[#This Row],[tipo_ot]]="","",_xlfn.XLOOKUP(tblOrdenes[[#This Row],[tipo_ot]],tblTiposOT[codigo],tblTiposOT[clasificacion],"sin_clasificar"))</f>
        <v/>
      </c>
      <c r="U135" s="3">
        <f>IF(tblOrdenes[[#This Row],[centro_costo]]="","",_xlfn.XLOOKUP(tblOrdenes[[#This Row],[centro_costo]],tblCECO[codigo],tblCECO[linea],"(sin catálogo)"))</f>
        <v/>
      </c>
      <c r="V135" s="3">
        <f>IF(tblOrdenes[[#This Row],[centro_costo]]="","",_xlfn.XLOOKUP(tblOrdenes[[#This Row],[centro_costo]],tblCECO[codigo],tblCECO[area],"(sin catálogo)"))</f>
        <v/>
      </c>
      <c r="W1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5" s="3">
        <f>IF(tblOrdenes[[#This Row],[centro_costo]]="","",_xlfn.XLOOKUP(tblOrdenes[[#This Row],[centro_costo]],tblCECO[codigo],tblCECO[coordinador],"(sin catálogo)"))</f>
        <v/>
      </c>
      <c r="Y135" s="3">
        <f>IF(tblOrdenes[[#This Row],[puesto_trabajo]]="","",_xlfn.XLOOKUP(tblOrdenes[[#This Row],[puesto_trabajo]],tblPuestos[codigo],tblPuestos[especialidad],"(sin catálogo)"))</f>
        <v/>
      </c>
      <c r="Z135" s="3">
        <f>IF(tblOrdenes[[#This Row],[cod_actividad]]="","",_xlfn.XLOOKUP(tblOrdenes[[#This Row],[cod_actividad]],tblActividades[codigo],tblActividades[descripcion],"(sin catálogo)"))</f>
        <v/>
      </c>
      <c r="AA135" s="13">
        <f>IF(tblOrdenes[[#This Row],[fecha_inicio]]="","",TODAY()-tblOrdenes[[#This Row],[fecha_inicio]])</f>
        <v/>
      </c>
      <c r="AB1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5" s="3">
        <f>IF(tblOrdenes[[#This Row],[backlog_habiles]]="","",IF(tblOrdenes[[#This Row],[backlog_habiles]]&lt;0,"FUTURO",IF(tblOrdenes[[#This Row],[backlog_habiles]]&gt;p_dias_backlog_max,"BACKLOG","MES CORRIENTE")))</f>
        <v/>
      </c>
      <c r="AD135" s="3">
        <f>IF(tblOrdenes[[#This Row],[backlog_habiles]]="",FALSE,AND(tblOrdenes[[#This Row],[backlog_habiles]]&gt;p_dias_backlog_min,tblOrdenes[[#This Row],[backlog_habiles]]&lt;=p_dias_backlog_max))</f>
        <v/>
      </c>
      <c r="AE135" s="6" t="inlineStr"/>
      <c r="AF1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5" s="11">
        <f>IF(tblOrdenes[[#This Row],[orden]]="","",_xlfn.XLOOKUP(tblOrdenes[[#This Row],[id_operacion]],tblEjecucion[id_operacion],tblEjecucion[precio],0))</f>
        <v/>
      </c>
      <c r="AJ135" s="11">
        <f>IF(tblOrdenes[[#This Row],[orden]]="","",MAX(0,_xlfn.XLOOKUP(tblOrdenes[[#This Row],[id_operacion]],tblEjecucion[id_operacion],tblEjecucion[costo_plan_total],0)-tblOrdenes[[#This Row],[costo_servicio]]))</f>
        <v/>
      </c>
      <c r="AK135" s="11">
        <f>IF(tblOrdenes[[#This Row],[orden]]="","",tblOrdenes[[#This Row],[costo_servicio]]+tblOrdenes[[#This Row],[costo_materiales]])</f>
        <v/>
      </c>
      <c r="AL135" s="6" t="inlineStr"/>
      <c r="AM135" s="6" t="inlineStr"/>
      <c r="AN135" s="6" t="inlineStr"/>
      <c r="AO135" s="3">
        <f>IF(tblOrdenes[[#This Row],[link_checklist]]="","",HYPERLINK(p_ruta_base_checklists&amp;tblOrdenes[[#This Row],[link_checklist]],"abrir"))</f>
        <v/>
      </c>
      <c r="AP135" s="6" t="inlineStr"/>
      <c r="AQ135" s="3">
        <f>IF(tblOrdenes[[#This Row],[orden]]="","",tblOrdenes[[#This Row],[orden]]&amp;IF(tblOrdenes[[#This Row],[operacion]]="","0010",tblOrdenes[[#This Row],[operacion]]))</f>
        <v/>
      </c>
    </row>
    <row r="136">
      <c r="A136" s="3" t="inlineStr">
        <is>
          <t>OT-000133</t>
        </is>
      </c>
      <c r="B136" s="3" t="inlineStr">
        <is>
          <t>0010</t>
        </is>
      </c>
      <c r="C136" s="3" t="inlineStr">
        <is>
          <t>Reparación de falla — EQ-111</t>
        </is>
      </c>
      <c r="D136" s="3" t="inlineStr">
        <is>
          <t>Reparación de falla en EQ-111</t>
        </is>
      </c>
      <c r="E136" s="3" t="inlineStr">
        <is>
          <t>EQ-111</t>
        </is>
      </c>
      <c r="F136" s="3" t="inlineStr">
        <is>
          <t>CC-310</t>
        </is>
      </c>
      <c r="G136" s="3" t="inlineStr">
        <is>
          <t>PU-ELE</t>
        </is>
      </c>
      <c r="H136" s="3" t="inlineStr">
        <is>
          <t>ACT-03</t>
        </is>
      </c>
      <c r="I136" s="3" t="inlineStr">
        <is>
          <t>TIPO-C2</t>
        </is>
      </c>
      <c r="J136" s="12" t="n">
        <v>46130</v>
      </c>
      <c r="K136" s="3" t="n">
        <v>8</v>
      </c>
      <c r="L136" s="11" t="n">
        <v>320</v>
      </c>
      <c r="M1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6" s="3">
        <f>IF(tblOrdenes[[#This Row],[fecha_inicio]]="","",YEAR(tblOrdenes[[#This Row],[fecha_inicio]]))</f>
        <v/>
      </c>
      <c r="Q136" s="3">
        <f>IF(tblOrdenes[[#This Row],[fecha_inicio]]="","",MONTH(tblOrdenes[[#This Row],[fecha_inicio]]))</f>
        <v/>
      </c>
      <c r="R136" s="3">
        <f>IF(tblOrdenes[[#This Row],[fecha_inicio]]="","",INDEX(lista_dias,WEEKDAY(tblOrdenes[[#This Row],[fecha_inicio]],2)))</f>
        <v/>
      </c>
      <c r="S1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6" s="3">
        <f>IF(tblOrdenes[[#This Row],[tipo_ot]]="","",_xlfn.XLOOKUP(tblOrdenes[[#This Row],[tipo_ot]],tblTiposOT[codigo],tblTiposOT[clasificacion],"sin_clasificar"))</f>
        <v/>
      </c>
      <c r="U136" s="3">
        <f>IF(tblOrdenes[[#This Row],[centro_costo]]="","",_xlfn.XLOOKUP(tblOrdenes[[#This Row],[centro_costo]],tblCECO[codigo],tblCECO[linea],"(sin catálogo)"))</f>
        <v/>
      </c>
      <c r="V136" s="3">
        <f>IF(tblOrdenes[[#This Row],[centro_costo]]="","",_xlfn.XLOOKUP(tblOrdenes[[#This Row],[centro_costo]],tblCECO[codigo],tblCECO[area],"(sin catálogo)"))</f>
        <v/>
      </c>
      <c r="W1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6" s="3">
        <f>IF(tblOrdenes[[#This Row],[centro_costo]]="","",_xlfn.XLOOKUP(tblOrdenes[[#This Row],[centro_costo]],tblCECO[codigo],tblCECO[coordinador],"(sin catálogo)"))</f>
        <v/>
      </c>
      <c r="Y136" s="3">
        <f>IF(tblOrdenes[[#This Row],[puesto_trabajo]]="","",_xlfn.XLOOKUP(tblOrdenes[[#This Row],[puesto_trabajo]],tblPuestos[codigo],tblPuestos[especialidad],"(sin catálogo)"))</f>
        <v/>
      </c>
      <c r="Z136" s="3">
        <f>IF(tblOrdenes[[#This Row],[cod_actividad]]="","",_xlfn.XLOOKUP(tblOrdenes[[#This Row],[cod_actividad]],tblActividades[codigo],tblActividades[descripcion],"(sin catálogo)"))</f>
        <v/>
      </c>
      <c r="AA136" s="13">
        <f>IF(tblOrdenes[[#This Row],[fecha_inicio]]="","",TODAY()-tblOrdenes[[#This Row],[fecha_inicio]])</f>
        <v/>
      </c>
      <c r="AB1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6" s="3">
        <f>IF(tblOrdenes[[#This Row],[backlog_habiles]]="","",IF(tblOrdenes[[#This Row],[backlog_habiles]]&lt;0,"FUTURO",IF(tblOrdenes[[#This Row],[backlog_habiles]]&gt;p_dias_backlog_max,"BACKLOG","MES CORRIENTE")))</f>
        <v/>
      </c>
      <c r="AD136" s="3">
        <f>IF(tblOrdenes[[#This Row],[backlog_habiles]]="",FALSE,AND(tblOrdenes[[#This Row],[backlog_habiles]]&gt;p_dias_backlog_min,tblOrdenes[[#This Row],[backlog_habiles]]&lt;=p_dias_backlog_max))</f>
        <v/>
      </c>
      <c r="AE136" s="6" t="inlineStr"/>
      <c r="AF1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6" s="11">
        <f>IF(tblOrdenes[[#This Row],[orden]]="","",_xlfn.XLOOKUP(tblOrdenes[[#This Row],[id_operacion]],tblEjecucion[id_operacion],tblEjecucion[precio],0))</f>
        <v/>
      </c>
      <c r="AJ136" s="11">
        <f>IF(tblOrdenes[[#This Row],[orden]]="","",MAX(0,_xlfn.XLOOKUP(tblOrdenes[[#This Row],[id_operacion]],tblEjecucion[id_operacion],tblEjecucion[costo_plan_total],0)-tblOrdenes[[#This Row],[costo_servicio]]))</f>
        <v/>
      </c>
      <c r="AK136" s="11">
        <f>IF(tblOrdenes[[#This Row],[orden]]="","",tblOrdenes[[#This Row],[costo_servicio]]+tblOrdenes[[#This Row],[costo_materiales]])</f>
        <v/>
      </c>
      <c r="AL136" s="6" t="inlineStr"/>
      <c r="AM136" s="6" t="inlineStr"/>
      <c r="AN136" s="6" t="inlineStr"/>
      <c r="AO136" s="3">
        <f>IF(tblOrdenes[[#This Row],[link_checklist]]="","",HYPERLINK(p_ruta_base_checklists&amp;tblOrdenes[[#This Row],[link_checklist]],"abrir"))</f>
        <v/>
      </c>
      <c r="AP136" s="6" t="inlineStr"/>
      <c r="AQ136" s="3">
        <f>IF(tblOrdenes[[#This Row],[orden]]="","",tblOrdenes[[#This Row],[orden]]&amp;IF(tblOrdenes[[#This Row],[operacion]]="","0010",tblOrdenes[[#This Row],[operacion]]))</f>
        <v/>
      </c>
    </row>
    <row r="137">
      <c r="A137" s="3" t="inlineStr">
        <is>
          <t>OT-000134</t>
        </is>
      </c>
      <c r="B137" s="3" t="inlineStr">
        <is>
          <t>0010</t>
        </is>
      </c>
      <c r="C137" s="3" t="inlineStr">
        <is>
          <t>Análisis predictivo — EQ-112</t>
        </is>
      </c>
      <c r="D137" s="3" t="inlineStr">
        <is>
          <t>Análisis predictivo en EQ-112</t>
        </is>
      </c>
      <c r="E137" s="3" t="inlineStr">
        <is>
          <t>EQ-112</t>
        </is>
      </c>
      <c r="F137" s="3" t="inlineStr">
        <is>
          <t>CC-311</t>
        </is>
      </c>
      <c r="G137" s="3" t="inlineStr">
        <is>
          <t>PU-AUT</t>
        </is>
      </c>
      <c r="H137" s="3" t="inlineStr">
        <is>
          <t>ACT-04</t>
        </is>
      </c>
      <c r="I137" s="3" t="inlineStr">
        <is>
          <t>TIPO-P1</t>
        </is>
      </c>
      <c r="J137" s="12" t="n">
        <v>46130</v>
      </c>
      <c r="K137" s="3" t="n">
        <v>4</v>
      </c>
      <c r="L137" s="11" t="n">
        <v>100</v>
      </c>
      <c r="M1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7" s="3">
        <f>IF(tblOrdenes[[#This Row],[fecha_inicio]]="","",YEAR(tblOrdenes[[#This Row],[fecha_inicio]]))</f>
        <v/>
      </c>
      <c r="Q137" s="3">
        <f>IF(tblOrdenes[[#This Row],[fecha_inicio]]="","",MONTH(tblOrdenes[[#This Row],[fecha_inicio]]))</f>
        <v/>
      </c>
      <c r="R137" s="3">
        <f>IF(tblOrdenes[[#This Row],[fecha_inicio]]="","",INDEX(lista_dias,WEEKDAY(tblOrdenes[[#This Row],[fecha_inicio]],2)))</f>
        <v/>
      </c>
      <c r="S1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7" s="3">
        <f>IF(tblOrdenes[[#This Row],[tipo_ot]]="","",_xlfn.XLOOKUP(tblOrdenes[[#This Row],[tipo_ot]],tblTiposOT[codigo],tblTiposOT[clasificacion],"sin_clasificar"))</f>
        <v/>
      </c>
      <c r="U137" s="3">
        <f>IF(tblOrdenes[[#This Row],[centro_costo]]="","",_xlfn.XLOOKUP(tblOrdenes[[#This Row],[centro_costo]],tblCECO[codigo],tblCECO[linea],"(sin catálogo)"))</f>
        <v/>
      </c>
      <c r="V137" s="3">
        <f>IF(tblOrdenes[[#This Row],[centro_costo]]="","",_xlfn.XLOOKUP(tblOrdenes[[#This Row],[centro_costo]],tblCECO[codigo],tblCECO[area],"(sin catálogo)"))</f>
        <v/>
      </c>
      <c r="W1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7" s="3">
        <f>IF(tblOrdenes[[#This Row],[centro_costo]]="","",_xlfn.XLOOKUP(tblOrdenes[[#This Row],[centro_costo]],tblCECO[codigo],tblCECO[coordinador],"(sin catálogo)"))</f>
        <v/>
      </c>
      <c r="Y137" s="3">
        <f>IF(tblOrdenes[[#This Row],[puesto_trabajo]]="","",_xlfn.XLOOKUP(tblOrdenes[[#This Row],[puesto_trabajo]],tblPuestos[codigo],tblPuestos[especialidad],"(sin catálogo)"))</f>
        <v/>
      </c>
      <c r="Z137" s="3">
        <f>IF(tblOrdenes[[#This Row],[cod_actividad]]="","",_xlfn.XLOOKUP(tblOrdenes[[#This Row],[cod_actividad]],tblActividades[codigo],tblActividades[descripcion],"(sin catálogo)"))</f>
        <v/>
      </c>
      <c r="AA137" s="13">
        <f>IF(tblOrdenes[[#This Row],[fecha_inicio]]="","",TODAY()-tblOrdenes[[#This Row],[fecha_inicio]])</f>
        <v/>
      </c>
      <c r="AB1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7" s="3">
        <f>IF(tblOrdenes[[#This Row],[backlog_habiles]]="","",IF(tblOrdenes[[#This Row],[backlog_habiles]]&lt;0,"FUTURO",IF(tblOrdenes[[#This Row],[backlog_habiles]]&gt;p_dias_backlog_max,"BACKLOG","MES CORRIENTE")))</f>
        <v/>
      </c>
      <c r="AD137" s="3">
        <f>IF(tblOrdenes[[#This Row],[backlog_habiles]]="",FALSE,AND(tblOrdenes[[#This Row],[backlog_habiles]]&gt;p_dias_backlog_min,tblOrdenes[[#This Row],[backlog_habiles]]&lt;=p_dias_backlog_max))</f>
        <v/>
      </c>
      <c r="AE137" s="6" t="inlineStr"/>
      <c r="AF1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7" s="11">
        <f>IF(tblOrdenes[[#This Row],[orden]]="","",_xlfn.XLOOKUP(tblOrdenes[[#This Row],[id_operacion]],tblEjecucion[id_operacion],tblEjecucion[precio],0))</f>
        <v/>
      </c>
      <c r="AJ137" s="11">
        <f>IF(tblOrdenes[[#This Row],[orden]]="","",MAX(0,_xlfn.XLOOKUP(tblOrdenes[[#This Row],[id_operacion]],tblEjecucion[id_operacion],tblEjecucion[costo_plan_total],0)-tblOrdenes[[#This Row],[costo_servicio]]))</f>
        <v/>
      </c>
      <c r="AK137" s="11">
        <f>IF(tblOrdenes[[#This Row],[orden]]="","",tblOrdenes[[#This Row],[costo_servicio]]+tblOrdenes[[#This Row],[costo_materiales]])</f>
        <v/>
      </c>
      <c r="AL137" s="6" t="inlineStr"/>
      <c r="AM137" s="6" t="inlineStr"/>
      <c r="AN137" s="6" t="inlineStr"/>
      <c r="AO137" s="3">
        <f>IF(tblOrdenes[[#This Row],[link_checklist]]="","",HYPERLINK(p_ruta_base_checklists&amp;tblOrdenes[[#This Row],[link_checklist]],"abrir"))</f>
        <v/>
      </c>
      <c r="AP137" s="6" t="inlineStr"/>
      <c r="AQ137" s="3">
        <f>IF(tblOrdenes[[#This Row],[orden]]="","",tblOrdenes[[#This Row],[orden]]&amp;IF(tblOrdenes[[#This Row],[operacion]]="","0010",tblOrdenes[[#This Row],[operacion]]))</f>
        <v/>
      </c>
    </row>
    <row r="138">
      <c r="A138" s="3" t="inlineStr">
        <is>
          <t>OT-000135</t>
        </is>
      </c>
      <c r="B138" s="3" t="inlineStr">
        <is>
          <t>0010</t>
        </is>
      </c>
      <c r="C138" s="3" t="inlineStr">
        <is>
          <t>Reparación de falla — EQ-110</t>
        </is>
      </c>
      <c r="D138" s="3" t="inlineStr">
        <is>
          <t>Reparación de falla en EQ-110</t>
        </is>
      </c>
      <c r="E138" s="3" t="inlineStr">
        <is>
          <t>EQ-110</t>
        </is>
      </c>
      <c r="F138" s="3" t="inlineStr">
        <is>
          <t>CC-320</t>
        </is>
      </c>
      <c r="G138" s="3" t="inlineStr">
        <is>
          <t>PU-MEC</t>
        </is>
      </c>
      <c r="H138" s="3" t="inlineStr">
        <is>
          <t>ACT-03</t>
        </is>
      </c>
      <c r="I138" s="3" t="inlineStr">
        <is>
          <t>TIPO-C2</t>
        </is>
      </c>
      <c r="J138" s="12" t="n">
        <v>46130</v>
      </c>
      <c r="K138" s="3" t="n">
        <v>6</v>
      </c>
      <c r="L138" s="11" t="n">
        <v>240</v>
      </c>
      <c r="M1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8" s="3">
        <f>IF(tblOrdenes[[#This Row],[fecha_inicio]]="","",YEAR(tblOrdenes[[#This Row],[fecha_inicio]]))</f>
        <v/>
      </c>
      <c r="Q138" s="3">
        <f>IF(tblOrdenes[[#This Row],[fecha_inicio]]="","",MONTH(tblOrdenes[[#This Row],[fecha_inicio]]))</f>
        <v/>
      </c>
      <c r="R138" s="3">
        <f>IF(tblOrdenes[[#This Row],[fecha_inicio]]="","",INDEX(lista_dias,WEEKDAY(tblOrdenes[[#This Row],[fecha_inicio]],2)))</f>
        <v/>
      </c>
      <c r="S1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8" s="3">
        <f>IF(tblOrdenes[[#This Row],[tipo_ot]]="","",_xlfn.XLOOKUP(tblOrdenes[[#This Row],[tipo_ot]],tblTiposOT[codigo],tblTiposOT[clasificacion],"sin_clasificar"))</f>
        <v/>
      </c>
      <c r="U138" s="3">
        <f>IF(tblOrdenes[[#This Row],[centro_costo]]="","",_xlfn.XLOOKUP(tblOrdenes[[#This Row],[centro_costo]],tblCECO[codigo],tblCECO[linea],"(sin catálogo)"))</f>
        <v/>
      </c>
      <c r="V138" s="3">
        <f>IF(tblOrdenes[[#This Row],[centro_costo]]="","",_xlfn.XLOOKUP(tblOrdenes[[#This Row],[centro_costo]],tblCECO[codigo],tblCECO[area],"(sin catálogo)"))</f>
        <v/>
      </c>
      <c r="W1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8" s="3">
        <f>IF(tblOrdenes[[#This Row],[centro_costo]]="","",_xlfn.XLOOKUP(tblOrdenes[[#This Row],[centro_costo]],tblCECO[codigo],tblCECO[coordinador],"(sin catálogo)"))</f>
        <v/>
      </c>
      <c r="Y138" s="3">
        <f>IF(tblOrdenes[[#This Row],[puesto_trabajo]]="","",_xlfn.XLOOKUP(tblOrdenes[[#This Row],[puesto_trabajo]],tblPuestos[codigo],tblPuestos[especialidad],"(sin catálogo)"))</f>
        <v/>
      </c>
      <c r="Z138" s="3">
        <f>IF(tblOrdenes[[#This Row],[cod_actividad]]="","",_xlfn.XLOOKUP(tblOrdenes[[#This Row],[cod_actividad]],tblActividades[codigo],tblActividades[descripcion],"(sin catálogo)"))</f>
        <v/>
      </c>
      <c r="AA138" s="13">
        <f>IF(tblOrdenes[[#This Row],[fecha_inicio]]="","",TODAY()-tblOrdenes[[#This Row],[fecha_inicio]])</f>
        <v/>
      </c>
      <c r="AB1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8" s="3">
        <f>IF(tblOrdenes[[#This Row],[backlog_habiles]]="","",IF(tblOrdenes[[#This Row],[backlog_habiles]]&lt;0,"FUTURO",IF(tblOrdenes[[#This Row],[backlog_habiles]]&gt;p_dias_backlog_max,"BACKLOG","MES CORRIENTE")))</f>
        <v/>
      </c>
      <c r="AD138" s="3">
        <f>IF(tblOrdenes[[#This Row],[backlog_habiles]]="",FALSE,AND(tblOrdenes[[#This Row],[backlog_habiles]]&gt;p_dias_backlog_min,tblOrdenes[[#This Row],[backlog_habiles]]&lt;=p_dias_backlog_max))</f>
        <v/>
      </c>
      <c r="AE138" s="6" t="inlineStr"/>
      <c r="AF1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8" s="11">
        <f>IF(tblOrdenes[[#This Row],[orden]]="","",_xlfn.XLOOKUP(tblOrdenes[[#This Row],[id_operacion]],tblEjecucion[id_operacion],tblEjecucion[precio],0))</f>
        <v/>
      </c>
      <c r="AJ138" s="11">
        <f>IF(tblOrdenes[[#This Row],[orden]]="","",MAX(0,_xlfn.XLOOKUP(tblOrdenes[[#This Row],[id_operacion]],tblEjecucion[id_operacion],tblEjecucion[costo_plan_total],0)-tblOrdenes[[#This Row],[costo_servicio]]))</f>
        <v/>
      </c>
      <c r="AK138" s="11">
        <f>IF(tblOrdenes[[#This Row],[orden]]="","",tblOrdenes[[#This Row],[costo_servicio]]+tblOrdenes[[#This Row],[costo_materiales]])</f>
        <v/>
      </c>
      <c r="AL138" s="6" t="inlineStr"/>
      <c r="AM138" s="6" t="inlineStr"/>
      <c r="AN138" s="6" t="inlineStr"/>
      <c r="AO138" s="3">
        <f>IF(tblOrdenes[[#This Row],[link_checklist]]="","",HYPERLINK(p_ruta_base_checklists&amp;tblOrdenes[[#This Row],[link_checklist]],"abrir"))</f>
        <v/>
      </c>
      <c r="AP138" s="6" t="inlineStr"/>
      <c r="AQ138" s="3">
        <f>IF(tblOrdenes[[#This Row],[orden]]="","",tblOrdenes[[#This Row],[orden]]&amp;IF(tblOrdenes[[#This Row],[operacion]]="","0010",tblOrdenes[[#This Row],[operacion]]))</f>
        <v/>
      </c>
    </row>
    <row r="139">
      <c r="A139" s="3" t="inlineStr">
        <is>
          <t>OT-000136</t>
        </is>
      </c>
      <c r="B139" s="3" t="inlineStr">
        <is>
          <t>0010</t>
        </is>
      </c>
      <c r="C139" s="3" t="inlineStr">
        <is>
          <t>Reparación de falla — EQ-111</t>
        </is>
      </c>
      <c r="D139" s="3" t="inlineStr">
        <is>
          <t>Reparación de falla en EQ-111</t>
        </is>
      </c>
      <c r="E139" s="3" t="inlineStr">
        <is>
          <t>EQ-111</t>
        </is>
      </c>
      <c r="F139" s="3" t="inlineStr">
        <is>
          <t>CC-321</t>
        </is>
      </c>
      <c r="G139" s="3" t="inlineStr">
        <is>
          <t>PU-ELE</t>
        </is>
      </c>
      <c r="H139" s="3" t="inlineStr">
        <is>
          <t>ACT-03</t>
        </is>
      </c>
      <c r="I139" s="3" t="inlineStr">
        <is>
          <t>TIPO-C1</t>
        </is>
      </c>
      <c r="J139" s="12" t="n">
        <v>46130</v>
      </c>
      <c r="K139" s="3" t="n">
        <v>8</v>
      </c>
      <c r="L139" s="11" t="n">
        <v>320</v>
      </c>
      <c r="M1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9" s="3">
        <f>IF(tblOrdenes[[#This Row],[fecha_inicio]]="","",YEAR(tblOrdenes[[#This Row],[fecha_inicio]]))</f>
        <v/>
      </c>
      <c r="Q139" s="3">
        <f>IF(tblOrdenes[[#This Row],[fecha_inicio]]="","",MONTH(tblOrdenes[[#This Row],[fecha_inicio]]))</f>
        <v/>
      </c>
      <c r="R139" s="3">
        <f>IF(tblOrdenes[[#This Row],[fecha_inicio]]="","",INDEX(lista_dias,WEEKDAY(tblOrdenes[[#This Row],[fecha_inicio]],2)))</f>
        <v/>
      </c>
      <c r="S1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9" s="3">
        <f>IF(tblOrdenes[[#This Row],[tipo_ot]]="","",_xlfn.XLOOKUP(tblOrdenes[[#This Row],[tipo_ot]],tblTiposOT[codigo],tblTiposOT[clasificacion],"sin_clasificar"))</f>
        <v/>
      </c>
      <c r="U139" s="3">
        <f>IF(tblOrdenes[[#This Row],[centro_costo]]="","",_xlfn.XLOOKUP(tblOrdenes[[#This Row],[centro_costo]],tblCECO[codigo],tblCECO[linea],"(sin catálogo)"))</f>
        <v/>
      </c>
      <c r="V139" s="3">
        <f>IF(tblOrdenes[[#This Row],[centro_costo]]="","",_xlfn.XLOOKUP(tblOrdenes[[#This Row],[centro_costo]],tblCECO[codigo],tblCECO[area],"(sin catálogo)"))</f>
        <v/>
      </c>
      <c r="W1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9" s="3">
        <f>IF(tblOrdenes[[#This Row],[centro_costo]]="","",_xlfn.XLOOKUP(tblOrdenes[[#This Row],[centro_costo]],tblCECO[codigo],tblCECO[coordinador],"(sin catálogo)"))</f>
        <v/>
      </c>
      <c r="Y139" s="3">
        <f>IF(tblOrdenes[[#This Row],[puesto_trabajo]]="","",_xlfn.XLOOKUP(tblOrdenes[[#This Row],[puesto_trabajo]],tblPuestos[codigo],tblPuestos[especialidad],"(sin catálogo)"))</f>
        <v/>
      </c>
      <c r="Z139" s="3">
        <f>IF(tblOrdenes[[#This Row],[cod_actividad]]="","",_xlfn.XLOOKUP(tblOrdenes[[#This Row],[cod_actividad]],tblActividades[codigo],tblActividades[descripcion],"(sin catálogo)"))</f>
        <v/>
      </c>
      <c r="AA139" s="13">
        <f>IF(tblOrdenes[[#This Row],[fecha_inicio]]="","",TODAY()-tblOrdenes[[#This Row],[fecha_inicio]])</f>
        <v/>
      </c>
      <c r="AB1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9" s="3">
        <f>IF(tblOrdenes[[#This Row],[backlog_habiles]]="","",IF(tblOrdenes[[#This Row],[backlog_habiles]]&lt;0,"FUTURO",IF(tblOrdenes[[#This Row],[backlog_habiles]]&gt;p_dias_backlog_max,"BACKLOG","MES CORRIENTE")))</f>
        <v/>
      </c>
      <c r="AD139" s="3">
        <f>IF(tblOrdenes[[#This Row],[backlog_habiles]]="",FALSE,AND(tblOrdenes[[#This Row],[backlog_habiles]]&gt;p_dias_backlog_min,tblOrdenes[[#This Row],[backlog_habiles]]&lt;=p_dias_backlog_max))</f>
        <v/>
      </c>
      <c r="AE139" s="6" t="inlineStr"/>
      <c r="AF1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9" s="11">
        <f>IF(tblOrdenes[[#This Row],[orden]]="","",_xlfn.XLOOKUP(tblOrdenes[[#This Row],[id_operacion]],tblEjecucion[id_operacion],tblEjecucion[precio],0))</f>
        <v/>
      </c>
      <c r="AJ139" s="11">
        <f>IF(tblOrdenes[[#This Row],[orden]]="","",MAX(0,_xlfn.XLOOKUP(tblOrdenes[[#This Row],[id_operacion]],tblEjecucion[id_operacion],tblEjecucion[costo_plan_total],0)-tblOrdenes[[#This Row],[costo_servicio]]))</f>
        <v/>
      </c>
      <c r="AK139" s="11">
        <f>IF(tblOrdenes[[#This Row],[orden]]="","",tblOrdenes[[#This Row],[costo_servicio]]+tblOrdenes[[#This Row],[costo_materiales]])</f>
        <v/>
      </c>
      <c r="AL139" s="6" t="inlineStr"/>
      <c r="AM139" s="6" t="inlineStr"/>
      <c r="AN139" s="6" t="inlineStr"/>
      <c r="AO139" s="3">
        <f>IF(tblOrdenes[[#This Row],[link_checklist]]="","",HYPERLINK(p_ruta_base_checklists&amp;tblOrdenes[[#This Row],[link_checklist]],"abrir"))</f>
        <v/>
      </c>
      <c r="AP139" s="6" t="inlineStr"/>
      <c r="AQ139" s="3">
        <f>IF(tblOrdenes[[#This Row],[orden]]="","",tblOrdenes[[#This Row],[orden]]&amp;IF(tblOrdenes[[#This Row],[operacion]]="","0010",tblOrdenes[[#This Row],[operacion]]))</f>
        <v/>
      </c>
    </row>
    <row r="140">
      <c r="A140" s="3" t="inlineStr">
        <is>
          <t>OT-000137</t>
        </is>
      </c>
      <c r="B140" s="3" t="inlineStr">
        <is>
          <t>0010</t>
        </is>
      </c>
      <c r="C140" s="3" t="inlineStr">
        <is>
          <t>Reparación de falla — EQ-107</t>
        </is>
      </c>
      <c r="D140" s="3" t="inlineStr">
        <is>
          <t>Reparación de falla en EQ-107</t>
        </is>
      </c>
      <c r="E140" s="3" t="inlineStr">
        <is>
          <t>EQ-107</t>
        </is>
      </c>
      <c r="F140" s="3" t="inlineStr">
        <is>
          <t>CC-220</t>
        </is>
      </c>
      <c r="G140" s="3" t="inlineStr">
        <is>
          <t>PU-MEC</t>
        </is>
      </c>
      <c r="H140" s="3" t="inlineStr">
        <is>
          <t>ACT-03</t>
        </is>
      </c>
      <c r="I140" s="3" t="inlineStr">
        <is>
          <t>TIPO-C2</t>
        </is>
      </c>
      <c r="J140" s="12" t="n">
        <v>46110</v>
      </c>
      <c r="K140" s="3" t="n">
        <v>4</v>
      </c>
      <c r="L140" s="11" t="n">
        <v>160</v>
      </c>
      <c r="M1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0" s="3">
        <f>IF(tblOrdenes[[#This Row],[fecha_inicio]]="","",YEAR(tblOrdenes[[#This Row],[fecha_inicio]]))</f>
        <v/>
      </c>
      <c r="Q140" s="3">
        <f>IF(tblOrdenes[[#This Row],[fecha_inicio]]="","",MONTH(tblOrdenes[[#This Row],[fecha_inicio]]))</f>
        <v/>
      </c>
      <c r="R140" s="3">
        <f>IF(tblOrdenes[[#This Row],[fecha_inicio]]="","",INDEX(lista_dias,WEEKDAY(tblOrdenes[[#This Row],[fecha_inicio]],2)))</f>
        <v/>
      </c>
      <c r="S1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0" s="3">
        <f>IF(tblOrdenes[[#This Row],[tipo_ot]]="","",_xlfn.XLOOKUP(tblOrdenes[[#This Row],[tipo_ot]],tblTiposOT[codigo],tblTiposOT[clasificacion],"sin_clasificar"))</f>
        <v/>
      </c>
      <c r="U140" s="3">
        <f>IF(tblOrdenes[[#This Row],[centro_costo]]="","",_xlfn.XLOOKUP(tblOrdenes[[#This Row],[centro_costo]],tblCECO[codigo],tblCECO[linea],"(sin catálogo)"))</f>
        <v/>
      </c>
      <c r="V140" s="3">
        <f>IF(tblOrdenes[[#This Row],[centro_costo]]="","",_xlfn.XLOOKUP(tblOrdenes[[#This Row],[centro_costo]],tblCECO[codigo],tblCECO[area],"(sin catálogo)"))</f>
        <v/>
      </c>
      <c r="W1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0" s="3">
        <f>IF(tblOrdenes[[#This Row],[centro_costo]]="","",_xlfn.XLOOKUP(tblOrdenes[[#This Row],[centro_costo]],tblCECO[codigo],tblCECO[coordinador],"(sin catálogo)"))</f>
        <v/>
      </c>
      <c r="Y140" s="3">
        <f>IF(tblOrdenes[[#This Row],[puesto_trabajo]]="","",_xlfn.XLOOKUP(tblOrdenes[[#This Row],[puesto_trabajo]],tblPuestos[codigo],tblPuestos[especialidad],"(sin catálogo)"))</f>
        <v/>
      </c>
      <c r="Z140" s="3">
        <f>IF(tblOrdenes[[#This Row],[cod_actividad]]="","",_xlfn.XLOOKUP(tblOrdenes[[#This Row],[cod_actividad]],tblActividades[codigo],tblActividades[descripcion],"(sin catálogo)"))</f>
        <v/>
      </c>
      <c r="AA140" s="13">
        <f>IF(tblOrdenes[[#This Row],[fecha_inicio]]="","",TODAY()-tblOrdenes[[#This Row],[fecha_inicio]])</f>
        <v/>
      </c>
      <c r="AB1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0" s="3">
        <f>IF(tblOrdenes[[#This Row],[backlog_habiles]]="","",IF(tblOrdenes[[#This Row],[backlog_habiles]]&lt;0,"FUTURO",IF(tblOrdenes[[#This Row],[backlog_habiles]]&gt;p_dias_backlog_max,"BACKLOG","MES CORRIENTE")))</f>
        <v/>
      </c>
      <c r="AD140" s="3">
        <f>IF(tblOrdenes[[#This Row],[backlog_habiles]]="",FALSE,AND(tblOrdenes[[#This Row],[backlog_habiles]]&gt;p_dias_backlog_min,tblOrdenes[[#This Row],[backlog_habiles]]&lt;=p_dias_backlog_max))</f>
        <v/>
      </c>
      <c r="AE140" s="6" t="inlineStr"/>
      <c r="AF1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0" s="11">
        <f>IF(tblOrdenes[[#This Row],[orden]]="","",_xlfn.XLOOKUP(tblOrdenes[[#This Row],[id_operacion]],tblEjecucion[id_operacion],tblEjecucion[precio],0))</f>
        <v/>
      </c>
      <c r="AJ140" s="11">
        <f>IF(tblOrdenes[[#This Row],[orden]]="","",MAX(0,_xlfn.XLOOKUP(tblOrdenes[[#This Row],[id_operacion]],tblEjecucion[id_operacion],tblEjecucion[costo_plan_total],0)-tblOrdenes[[#This Row],[costo_servicio]]))</f>
        <v/>
      </c>
      <c r="AK140" s="11">
        <f>IF(tblOrdenes[[#This Row],[orden]]="","",tblOrdenes[[#This Row],[costo_servicio]]+tblOrdenes[[#This Row],[costo_materiales]])</f>
        <v/>
      </c>
      <c r="AL140" s="6" t="inlineStr"/>
      <c r="AM140" s="6" t="inlineStr"/>
      <c r="AN140" s="6" t="inlineStr"/>
      <c r="AO140" s="3">
        <f>IF(tblOrdenes[[#This Row],[link_checklist]]="","",HYPERLINK(p_ruta_base_checklists&amp;tblOrdenes[[#This Row],[link_checklist]],"abrir"))</f>
        <v/>
      </c>
      <c r="AP140" s="6" t="inlineStr"/>
      <c r="AQ140" s="3">
        <f>IF(tblOrdenes[[#This Row],[orden]]="","",tblOrdenes[[#This Row],[orden]]&amp;IF(tblOrdenes[[#This Row],[operacion]]="","0010",tblOrdenes[[#This Row],[operacion]]))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EQ-110</t>
        </is>
      </c>
      <c r="D141" s="3" t="inlineStr">
        <is>
          <t>Reparación de falla en EQ-110</t>
        </is>
      </c>
      <c r="E141" s="3" t="inlineStr">
        <is>
          <t>EQ-110</t>
        </is>
      </c>
      <c r="F141" s="3" t="inlineStr">
        <is>
          <t>CC-310</t>
        </is>
      </c>
      <c r="G141" s="3" t="inlineStr">
        <is>
          <t>PU-ELE</t>
        </is>
      </c>
      <c r="H141" s="3" t="inlineStr">
        <is>
          <t>ACT-03</t>
        </is>
      </c>
      <c r="I141" s="3" t="inlineStr">
        <is>
          <t>TIPO-C1</t>
        </is>
      </c>
      <c r="J141" s="12" t="n">
        <v>46110</v>
      </c>
      <c r="K141" s="3" t="n">
        <v>6</v>
      </c>
      <c r="L141" s="11" t="n">
        <v>240</v>
      </c>
      <c r="M1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1" s="3">
        <f>IF(tblOrdenes[[#This Row],[fecha_inicio]]="","",YEAR(tblOrdenes[[#This Row],[fecha_inicio]]))</f>
        <v/>
      </c>
      <c r="Q141" s="3">
        <f>IF(tblOrdenes[[#This Row],[fecha_inicio]]="","",MONTH(tblOrdenes[[#This Row],[fecha_inicio]]))</f>
        <v/>
      </c>
      <c r="R141" s="3">
        <f>IF(tblOrdenes[[#This Row],[fecha_inicio]]="","",INDEX(lista_dias,WEEKDAY(tblOrdenes[[#This Row],[fecha_inicio]],2)))</f>
        <v/>
      </c>
      <c r="S1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1" s="3">
        <f>IF(tblOrdenes[[#This Row],[tipo_ot]]="","",_xlfn.XLOOKUP(tblOrdenes[[#This Row],[tipo_ot]],tblTiposOT[codigo],tblTiposOT[clasificacion],"sin_clasificar"))</f>
        <v/>
      </c>
      <c r="U141" s="3">
        <f>IF(tblOrdenes[[#This Row],[centro_costo]]="","",_xlfn.XLOOKUP(tblOrdenes[[#This Row],[centro_costo]],tblCECO[codigo],tblCECO[linea],"(sin catálogo)"))</f>
        <v/>
      </c>
      <c r="V141" s="3">
        <f>IF(tblOrdenes[[#This Row],[centro_costo]]="","",_xlfn.XLOOKUP(tblOrdenes[[#This Row],[centro_costo]],tblCECO[codigo],tblCECO[area],"(sin catálogo)"))</f>
        <v/>
      </c>
      <c r="W1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1" s="3">
        <f>IF(tblOrdenes[[#This Row],[centro_costo]]="","",_xlfn.XLOOKUP(tblOrdenes[[#This Row],[centro_costo]],tblCECO[codigo],tblCECO[coordinador],"(sin catálogo)"))</f>
        <v/>
      </c>
      <c r="Y141" s="3">
        <f>IF(tblOrdenes[[#This Row],[puesto_trabajo]]="","",_xlfn.XLOOKUP(tblOrdenes[[#This Row],[puesto_trabajo]],tblPuestos[codigo],tblPuestos[especialidad],"(sin catálogo)"))</f>
        <v/>
      </c>
      <c r="Z141" s="3">
        <f>IF(tblOrdenes[[#This Row],[cod_actividad]]="","",_xlfn.XLOOKUP(tblOrdenes[[#This Row],[cod_actividad]],tblActividades[codigo],tblActividades[descripcion],"(sin catálogo)"))</f>
        <v/>
      </c>
      <c r="AA141" s="13">
        <f>IF(tblOrdenes[[#This Row],[fecha_inicio]]="","",TODAY()-tblOrdenes[[#This Row],[fecha_inicio]])</f>
        <v/>
      </c>
      <c r="AB1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1" s="3">
        <f>IF(tblOrdenes[[#This Row],[backlog_habiles]]="","",IF(tblOrdenes[[#This Row],[backlog_habiles]]&lt;0,"FUTURO",IF(tblOrdenes[[#This Row],[backlog_habiles]]&gt;p_dias_backlog_max,"BACKLOG","MES CORRIENTE")))</f>
        <v/>
      </c>
      <c r="AD141" s="3">
        <f>IF(tblOrdenes[[#This Row],[backlog_habiles]]="",FALSE,AND(tblOrdenes[[#This Row],[backlog_habiles]]&gt;p_dias_backlog_min,tblOrdenes[[#This Row],[backlog_habiles]]&lt;=p_dias_backlog_max))</f>
        <v/>
      </c>
      <c r="AE141" s="6" t="inlineStr"/>
      <c r="AF1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1" s="11">
        <f>IF(tblOrdenes[[#This Row],[orden]]="","",_xlfn.XLOOKUP(tblOrdenes[[#This Row],[id_operacion]],tblEjecucion[id_operacion],tblEjecucion[precio],0))</f>
        <v/>
      </c>
      <c r="AJ141" s="11">
        <f>IF(tblOrdenes[[#This Row],[orden]]="","",MAX(0,_xlfn.XLOOKUP(tblOrdenes[[#This Row],[id_operacion]],tblEjecucion[id_operacion],tblEjecucion[costo_plan_total],0)-tblOrdenes[[#This Row],[costo_servicio]]))</f>
        <v/>
      </c>
      <c r="AK141" s="11">
        <f>IF(tblOrdenes[[#This Row],[orden]]="","",tblOrdenes[[#This Row],[costo_servicio]]+tblOrdenes[[#This Row],[costo_materiales]])</f>
        <v/>
      </c>
      <c r="AL141" s="6" t="inlineStr"/>
      <c r="AM141" s="6" t="inlineStr"/>
      <c r="AN141" s="6" t="inlineStr"/>
      <c r="AO141" s="3">
        <f>IF(tblOrdenes[[#This Row],[link_checklist]]="","",HYPERLINK(p_ruta_base_checklists&amp;tblOrdenes[[#This Row],[link_checklist]],"abrir"))</f>
        <v/>
      </c>
      <c r="AP141" s="6" t="inlineStr"/>
      <c r="AQ141" s="3">
        <f>IF(tblOrdenes[[#This Row],[orden]]="","",tblOrdenes[[#This Row],[orden]]&amp;IF(tblOrdenes[[#This Row],[operacion]]="","0010",tblOrdenes[[#This Row],[operacion]]))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EQ-111</t>
        </is>
      </c>
      <c r="D142" s="3" t="inlineStr">
        <is>
          <t>Reparación de falla en EQ-111</t>
        </is>
      </c>
      <c r="E142" s="3" t="inlineStr">
        <is>
          <t>EQ-111</t>
        </is>
      </c>
      <c r="F142" s="3" t="inlineStr">
        <is>
          <t>CC-311</t>
        </is>
      </c>
      <c r="G142" s="3" t="inlineStr">
        <is>
          <t>PU-AUT</t>
        </is>
      </c>
      <c r="H142" s="3" t="inlineStr">
        <is>
          <t>ACT-03</t>
        </is>
      </c>
      <c r="I142" s="3" t="inlineStr">
        <is>
          <t>TIPO-C2</t>
        </is>
      </c>
      <c r="J142" s="12" t="n">
        <v>46110</v>
      </c>
      <c r="K142" s="3" t="n">
        <v>8</v>
      </c>
      <c r="L142" s="11" t="n">
        <v>320</v>
      </c>
      <c r="M1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2" s="3">
        <f>IF(tblOrdenes[[#This Row],[fecha_inicio]]="","",YEAR(tblOrdenes[[#This Row],[fecha_inicio]]))</f>
        <v/>
      </c>
      <c r="Q142" s="3">
        <f>IF(tblOrdenes[[#This Row],[fecha_inicio]]="","",MONTH(tblOrdenes[[#This Row],[fecha_inicio]]))</f>
        <v/>
      </c>
      <c r="R142" s="3">
        <f>IF(tblOrdenes[[#This Row],[fecha_inicio]]="","",INDEX(lista_dias,WEEKDAY(tblOrdenes[[#This Row],[fecha_inicio]],2)))</f>
        <v/>
      </c>
      <c r="S1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2" s="3">
        <f>IF(tblOrdenes[[#This Row],[tipo_ot]]="","",_xlfn.XLOOKUP(tblOrdenes[[#This Row],[tipo_ot]],tblTiposOT[codigo],tblTiposOT[clasificacion],"sin_clasificar"))</f>
        <v/>
      </c>
      <c r="U142" s="3">
        <f>IF(tblOrdenes[[#This Row],[centro_costo]]="","",_xlfn.XLOOKUP(tblOrdenes[[#This Row],[centro_costo]],tblCECO[codigo],tblCECO[linea],"(sin catálogo)"))</f>
        <v/>
      </c>
      <c r="V142" s="3">
        <f>IF(tblOrdenes[[#This Row],[centro_costo]]="","",_xlfn.XLOOKUP(tblOrdenes[[#This Row],[centro_costo]],tblCECO[codigo],tblCECO[area],"(sin catálogo)"))</f>
        <v/>
      </c>
      <c r="W1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2" s="3">
        <f>IF(tblOrdenes[[#This Row],[centro_costo]]="","",_xlfn.XLOOKUP(tblOrdenes[[#This Row],[centro_costo]],tblCECO[codigo],tblCECO[coordinador],"(sin catálogo)"))</f>
        <v/>
      </c>
      <c r="Y142" s="3">
        <f>IF(tblOrdenes[[#This Row],[puesto_trabajo]]="","",_xlfn.XLOOKUP(tblOrdenes[[#This Row],[puesto_trabajo]],tblPuestos[codigo],tblPuestos[especialidad],"(sin catálogo)"))</f>
        <v/>
      </c>
      <c r="Z142" s="3">
        <f>IF(tblOrdenes[[#This Row],[cod_actividad]]="","",_xlfn.XLOOKUP(tblOrdenes[[#This Row],[cod_actividad]],tblActividades[codigo],tblActividades[descripcion],"(sin catálogo)"))</f>
        <v/>
      </c>
      <c r="AA142" s="13">
        <f>IF(tblOrdenes[[#This Row],[fecha_inicio]]="","",TODAY()-tblOrdenes[[#This Row],[fecha_inicio]])</f>
        <v/>
      </c>
      <c r="AB1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2" s="3">
        <f>IF(tblOrdenes[[#This Row],[backlog_habiles]]="","",IF(tblOrdenes[[#This Row],[backlog_habiles]]&lt;0,"FUTURO",IF(tblOrdenes[[#This Row],[backlog_habiles]]&gt;p_dias_backlog_max,"BACKLOG","MES CORRIENTE")))</f>
        <v/>
      </c>
      <c r="AD142" s="3">
        <f>IF(tblOrdenes[[#This Row],[backlog_habiles]]="",FALSE,AND(tblOrdenes[[#This Row],[backlog_habiles]]&gt;p_dias_backlog_min,tblOrdenes[[#This Row],[backlog_habiles]]&lt;=p_dias_backlog_max))</f>
        <v/>
      </c>
      <c r="AE142" s="6" t="inlineStr"/>
      <c r="AF1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2" s="11">
        <f>IF(tblOrdenes[[#This Row],[orden]]="","",_xlfn.XLOOKUP(tblOrdenes[[#This Row],[id_operacion]],tblEjecucion[id_operacion],tblEjecucion[precio],0))</f>
        <v/>
      </c>
      <c r="AJ142" s="11">
        <f>IF(tblOrdenes[[#This Row],[orden]]="","",MAX(0,_xlfn.XLOOKUP(tblOrdenes[[#This Row],[id_operacion]],tblEjecucion[id_operacion],tblEjecucion[costo_plan_total],0)-tblOrdenes[[#This Row],[costo_servicio]]))</f>
        <v/>
      </c>
      <c r="AK142" s="11">
        <f>IF(tblOrdenes[[#This Row],[orden]]="","",tblOrdenes[[#This Row],[costo_servicio]]+tblOrdenes[[#This Row],[costo_materiales]])</f>
        <v/>
      </c>
      <c r="AL142" s="6" t="inlineStr"/>
      <c r="AM142" s="6" t="inlineStr"/>
      <c r="AN142" s="6" t="inlineStr"/>
      <c r="AO142" s="3">
        <f>IF(tblOrdenes[[#This Row],[link_checklist]]="","",HYPERLINK(p_ruta_base_checklists&amp;tblOrdenes[[#This Row],[link_checklist]],"abrir"))</f>
        <v/>
      </c>
      <c r="AP142" s="6" t="inlineStr"/>
      <c r="AQ142" s="3">
        <f>IF(tblOrdenes[[#This Row],[orden]]="","",tblOrdenes[[#This Row],[orden]]&amp;IF(tblOrdenes[[#This Row],[operacion]]="","0010",tblOrdenes[[#This Row],[operacion]]))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Análisis predictivo — EQ-112</t>
        </is>
      </c>
      <c r="D143" s="3" t="inlineStr">
        <is>
          <t>Análisis predictivo en EQ-112</t>
        </is>
      </c>
      <c r="E143" s="3" t="inlineStr">
        <is>
          <t>EQ-112</t>
        </is>
      </c>
      <c r="F143" s="3" t="inlineStr">
        <is>
          <t>CC-320</t>
        </is>
      </c>
      <c r="G143" s="3" t="inlineStr">
        <is>
          <t>PU-MEC</t>
        </is>
      </c>
      <c r="H143" s="3" t="inlineStr">
        <is>
          <t>ACT-04</t>
        </is>
      </c>
      <c r="I143" s="3" t="inlineStr">
        <is>
          <t>TIPO-P1</t>
        </is>
      </c>
      <c r="J143" s="12" t="n">
        <v>46110</v>
      </c>
      <c r="K143" s="3" t="n">
        <v>4</v>
      </c>
      <c r="L143" s="11" t="n">
        <v>100</v>
      </c>
      <c r="M1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3" s="3">
        <f>IF(tblOrdenes[[#This Row],[fecha_inicio]]="","",YEAR(tblOrdenes[[#This Row],[fecha_inicio]]))</f>
        <v/>
      </c>
      <c r="Q143" s="3">
        <f>IF(tblOrdenes[[#This Row],[fecha_inicio]]="","",MONTH(tblOrdenes[[#This Row],[fecha_inicio]]))</f>
        <v/>
      </c>
      <c r="R143" s="3">
        <f>IF(tblOrdenes[[#This Row],[fecha_inicio]]="","",INDEX(lista_dias,WEEKDAY(tblOrdenes[[#This Row],[fecha_inicio]],2)))</f>
        <v/>
      </c>
      <c r="S1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3" s="3">
        <f>IF(tblOrdenes[[#This Row],[tipo_ot]]="","",_xlfn.XLOOKUP(tblOrdenes[[#This Row],[tipo_ot]],tblTiposOT[codigo],tblTiposOT[clasificacion],"sin_clasificar"))</f>
        <v/>
      </c>
      <c r="U143" s="3">
        <f>IF(tblOrdenes[[#This Row],[centro_costo]]="","",_xlfn.XLOOKUP(tblOrdenes[[#This Row],[centro_costo]],tblCECO[codigo],tblCECO[linea],"(sin catálogo)"))</f>
        <v/>
      </c>
      <c r="V143" s="3">
        <f>IF(tblOrdenes[[#This Row],[centro_costo]]="","",_xlfn.XLOOKUP(tblOrdenes[[#This Row],[centro_costo]],tblCECO[codigo],tblCECO[area],"(sin catálogo)"))</f>
        <v/>
      </c>
      <c r="W1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3" s="3">
        <f>IF(tblOrdenes[[#This Row],[centro_costo]]="","",_xlfn.XLOOKUP(tblOrdenes[[#This Row],[centro_costo]],tblCECO[codigo],tblCECO[coordinador],"(sin catálogo)"))</f>
        <v/>
      </c>
      <c r="Y143" s="3">
        <f>IF(tblOrdenes[[#This Row],[puesto_trabajo]]="","",_xlfn.XLOOKUP(tblOrdenes[[#This Row],[puesto_trabajo]],tblPuestos[codigo],tblPuestos[especialidad],"(sin catálogo)"))</f>
        <v/>
      </c>
      <c r="Z143" s="3">
        <f>IF(tblOrdenes[[#This Row],[cod_actividad]]="","",_xlfn.XLOOKUP(tblOrdenes[[#This Row],[cod_actividad]],tblActividades[codigo],tblActividades[descripcion],"(sin catálogo)"))</f>
        <v/>
      </c>
      <c r="AA143" s="13">
        <f>IF(tblOrdenes[[#This Row],[fecha_inicio]]="","",TODAY()-tblOrdenes[[#This Row],[fecha_inicio]])</f>
        <v/>
      </c>
      <c r="AB1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3" s="3">
        <f>IF(tblOrdenes[[#This Row],[backlog_habiles]]="","",IF(tblOrdenes[[#This Row],[backlog_habiles]]&lt;0,"FUTURO",IF(tblOrdenes[[#This Row],[backlog_habiles]]&gt;p_dias_backlog_max,"BACKLOG","MES CORRIENTE")))</f>
        <v/>
      </c>
      <c r="AD143" s="3">
        <f>IF(tblOrdenes[[#This Row],[backlog_habiles]]="",FALSE,AND(tblOrdenes[[#This Row],[backlog_habiles]]&gt;p_dias_backlog_min,tblOrdenes[[#This Row],[backlog_habiles]]&lt;=p_dias_backlog_max))</f>
        <v/>
      </c>
      <c r="AE143" s="6" t="inlineStr"/>
      <c r="AF1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3" s="11">
        <f>IF(tblOrdenes[[#This Row],[orden]]="","",_xlfn.XLOOKUP(tblOrdenes[[#This Row],[id_operacion]],tblEjecucion[id_operacion],tblEjecucion[precio],0))</f>
        <v/>
      </c>
      <c r="AJ143" s="11">
        <f>IF(tblOrdenes[[#This Row],[orden]]="","",MAX(0,_xlfn.XLOOKUP(tblOrdenes[[#This Row],[id_operacion]],tblEjecucion[id_operacion],tblEjecucion[costo_plan_total],0)-tblOrdenes[[#This Row],[costo_servicio]]))</f>
        <v/>
      </c>
      <c r="AK143" s="11">
        <f>IF(tblOrdenes[[#This Row],[orden]]="","",tblOrdenes[[#This Row],[costo_servicio]]+tblOrdenes[[#This Row],[costo_materiales]])</f>
        <v/>
      </c>
      <c r="AL143" s="6" t="inlineStr"/>
      <c r="AM143" s="6" t="inlineStr"/>
      <c r="AN143" s="6" t="inlineStr"/>
      <c r="AO143" s="3">
        <f>IF(tblOrdenes[[#This Row],[link_checklist]]="","",HYPERLINK(p_ruta_base_checklists&amp;tblOrdenes[[#This Row],[link_checklist]],"abrir"))</f>
        <v/>
      </c>
      <c r="AP143" s="6" t="inlineStr"/>
      <c r="AQ143" s="3">
        <f>IF(tblOrdenes[[#This Row],[orden]]="","",tblOrdenes[[#This Row],[orden]]&amp;IF(tblOrdenes[[#This Row],[operacion]]="","0010",tblOrdenes[[#This Row],[operacion]]))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Reparación de falla — EQ-110</t>
        </is>
      </c>
      <c r="D144" s="3" t="inlineStr">
        <is>
          <t>Reparación de falla en EQ-110</t>
        </is>
      </c>
      <c r="E144" s="3" t="inlineStr">
        <is>
          <t>EQ-110</t>
        </is>
      </c>
      <c r="F144" s="3" t="inlineStr">
        <is>
          <t>CC-310</t>
        </is>
      </c>
      <c r="G144" s="3" t="inlineStr">
        <is>
          <t>PU-ELE</t>
        </is>
      </c>
      <c r="H144" s="3" t="inlineStr">
        <is>
          <t>ACT-03</t>
        </is>
      </c>
      <c r="I144" s="3" t="inlineStr">
        <is>
          <t>TIPO-C2</t>
        </is>
      </c>
      <c r="J144" s="12" t="n">
        <v>46080</v>
      </c>
      <c r="K144" s="3" t="n">
        <v>4</v>
      </c>
      <c r="L144" s="11" t="n">
        <v>160</v>
      </c>
      <c r="M1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4" s="3">
        <f>IF(tblOrdenes[[#This Row],[fecha_inicio]]="","",YEAR(tblOrdenes[[#This Row],[fecha_inicio]]))</f>
        <v/>
      </c>
      <c r="Q144" s="3">
        <f>IF(tblOrdenes[[#This Row],[fecha_inicio]]="","",MONTH(tblOrdenes[[#This Row],[fecha_inicio]]))</f>
        <v/>
      </c>
      <c r="R144" s="3">
        <f>IF(tblOrdenes[[#This Row],[fecha_inicio]]="","",INDEX(lista_dias,WEEKDAY(tblOrdenes[[#This Row],[fecha_inicio]],2)))</f>
        <v/>
      </c>
      <c r="S1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4" s="3">
        <f>IF(tblOrdenes[[#This Row],[tipo_ot]]="","",_xlfn.XLOOKUP(tblOrdenes[[#This Row],[tipo_ot]],tblTiposOT[codigo],tblTiposOT[clasificacion],"sin_clasificar"))</f>
        <v/>
      </c>
      <c r="U144" s="3">
        <f>IF(tblOrdenes[[#This Row],[centro_costo]]="","",_xlfn.XLOOKUP(tblOrdenes[[#This Row],[centro_costo]],tblCECO[codigo],tblCECO[linea],"(sin catálogo)"))</f>
        <v/>
      </c>
      <c r="V144" s="3">
        <f>IF(tblOrdenes[[#This Row],[centro_costo]]="","",_xlfn.XLOOKUP(tblOrdenes[[#This Row],[centro_costo]],tblCECO[codigo],tblCECO[area],"(sin catálogo)"))</f>
        <v/>
      </c>
      <c r="W1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4" s="3">
        <f>IF(tblOrdenes[[#This Row],[centro_costo]]="","",_xlfn.XLOOKUP(tblOrdenes[[#This Row],[centro_costo]],tblCECO[codigo],tblCECO[coordinador],"(sin catálogo)"))</f>
        <v/>
      </c>
      <c r="Y144" s="3">
        <f>IF(tblOrdenes[[#This Row],[puesto_trabajo]]="","",_xlfn.XLOOKUP(tblOrdenes[[#This Row],[puesto_trabajo]],tblPuestos[codigo],tblPuestos[especialidad],"(sin catálogo)"))</f>
        <v/>
      </c>
      <c r="Z144" s="3">
        <f>IF(tblOrdenes[[#This Row],[cod_actividad]]="","",_xlfn.XLOOKUP(tblOrdenes[[#This Row],[cod_actividad]],tblActividades[codigo],tblActividades[descripcion],"(sin catálogo)"))</f>
        <v/>
      </c>
      <c r="AA144" s="13">
        <f>IF(tblOrdenes[[#This Row],[fecha_inicio]]="","",TODAY()-tblOrdenes[[#This Row],[fecha_inicio]])</f>
        <v/>
      </c>
      <c r="AB1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4" s="3">
        <f>IF(tblOrdenes[[#This Row],[backlog_habiles]]="","",IF(tblOrdenes[[#This Row],[backlog_habiles]]&lt;0,"FUTURO",IF(tblOrdenes[[#This Row],[backlog_habiles]]&gt;p_dias_backlog_max,"BACKLOG","MES CORRIENTE")))</f>
        <v/>
      </c>
      <c r="AD144" s="3">
        <f>IF(tblOrdenes[[#This Row],[backlog_habiles]]="",FALSE,AND(tblOrdenes[[#This Row],[backlog_habiles]]&gt;p_dias_backlog_min,tblOrdenes[[#This Row],[backlog_habiles]]&lt;=p_dias_backlog_max))</f>
        <v/>
      </c>
      <c r="AE144" s="6" t="inlineStr"/>
      <c r="AF1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4" s="11">
        <f>IF(tblOrdenes[[#This Row],[orden]]="","",_xlfn.XLOOKUP(tblOrdenes[[#This Row],[id_operacion]],tblEjecucion[id_operacion],tblEjecucion[precio],0))</f>
        <v/>
      </c>
      <c r="AJ144" s="11">
        <f>IF(tblOrdenes[[#This Row],[orden]]="","",MAX(0,_xlfn.XLOOKUP(tblOrdenes[[#This Row],[id_operacion]],tblEjecucion[id_operacion],tblEjecucion[costo_plan_total],0)-tblOrdenes[[#This Row],[costo_servicio]]))</f>
        <v/>
      </c>
      <c r="AK144" s="11">
        <f>IF(tblOrdenes[[#This Row],[orden]]="","",tblOrdenes[[#This Row],[costo_servicio]]+tblOrdenes[[#This Row],[costo_materiales]])</f>
        <v/>
      </c>
      <c r="AL144" s="6" t="inlineStr"/>
      <c r="AM144" s="6" t="inlineStr"/>
      <c r="AN144" s="6" t="inlineStr"/>
      <c r="AO144" s="3">
        <f>IF(tblOrdenes[[#This Row],[link_checklist]]="","",HYPERLINK(p_ruta_base_checklists&amp;tblOrdenes[[#This Row],[link_checklist]],"abrir"))</f>
        <v/>
      </c>
      <c r="AP144" s="6" t="inlineStr"/>
      <c r="AQ144" s="3">
        <f>IF(tblOrdenes[[#This Row],[orden]]="","",tblOrdenes[[#This Row],[orden]]&amp;IF(tblOrdenes[[#This Row],[operacion]]="","0010",tblOrdenes[[#This Row],[operacion]]))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EQ-111</t>
        </is>
      </c>
      <c r="D145" s="3" t="inlineStr">
        <is>
          <t>Reparación de falla en EQ-111</t>
        </is>
      </c>
      <c r="E145" s="3" t="inlineStr">
        <is>
          <t>EQ-111</t>
        </is>
      </c>
      <c r="F145" s="3" t="inlineStr">
        <is>
          <t>CC-311</t>
        </is>
      </c>
      <c r="G145" s="3" t="inlineStr">
        <is>
          <t>PU-AUT</t>
        </is>
      </c>
      <c r="H145" s="3" t="inlineStr">
        <is>
          <t>ACT-03</t>
        </is>
      </c>
      <c r="I145" s="3" t="inlineStr">
        <is>
          <t>TIPO-C1</t>
        </is>
      </c>
      <c r="J145" s="12" t="n">
        <v>46080</v>
      </c>
      <c r="K145" s="3" t="n">
        <v>6</v>
      </c>
      <c r="L145" s="11" t="n">
        <v>240</v>
      </c>
      <c r="M1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5" s="3">
        <f>IF(tblOrdenes[[#This Row],[fecha_inicio]]="","",YEAR(tblOrdenes[[#This Row],[fecha_inicio]]))</f>
        <v/>
      </c>
      <c r="Q145" s="3">
        <f>IF(tblOrdenes[[#This Row],[fecha_inicio]]="","",MONTH(tblOrdenes[[#This Row],[fecha_inicio]]))</f>
        <v/>
      </c>
      <c r="R145" s="3">
        <f>IF(tblOrdenes[[#This Row],[fecha_inicio]]="","",INDEX(lista_dias,WEEKDAY(tblOrdenes[[#This Row],[fecha_inicio]],2)))</f>
        <v/>
      </c>
      <c r="S1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5" s="3">
        <f>IF(tblOrdenes[[#This Row],[tipo_ot]]="","",_xlfn.XLOOKUP(tblOrdenes[[#This Row],[tipo_ot]],tblTiposOT[codigo],tblTiposOT[clasificacion],"sin_clasificar"))</f>
        <v/>
      </c>
      <c r="U145" s="3">
        <f>IF(tblOrdenes[[#This Row],[centro_costo]]="","",_xlfn.XLOOKUP(tblOrdenes[[#This Row],[centro_costo]],tblCECO[codigo],tblCECO[linea],"(sin catálogo)"))</f>
        <v/>
      </c>
      <c r="V145" s="3">
        <f>IF(tblOrdenes[[#This Row],[centro_costo]]="","",_xlfn.XLOOKUP(tblOrdenes[[#This Row],[centro_costo]],tblCECO[codigo],tblCECO[area],"(sin catálogo)"))</f>
        <v/>
      </c>
      <c r="W1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5" s="3">
        <f>IF(tblOrdenes[[#This Row],[centro_costo]]="","",_xlfn.XLOOKUP(tblOrdenes[[#This Row],[centro_costo]],tblCECO[codigo],tblCECO[coordinador],"(sin catálogo)"))</f>
        <v/>
      </c>
      <c r="Y145" s="3">
        <f>IF(tblOrdenes[[#This Row],[puesto_trabajo]]="","",_xlfn.XLOOKUP(tblOrdenes[[#This Row],[puesto_trabajo]],tblPuestos[codigo],tblPuestos[especialidad],"(sin catálogo)"))</f>
        <v/>
      </c>
      <c r="Z145" s="3">
        <f>IF(tblOrdenes[[#This Row],[cod_actividad]]="","",_xlfn.XLOOKUP(tblOrdenes[[#This Row],[cod_actividad]],tblActividades[codigo],tblActividades[descripcion],"(sin catálogo)"))</f>
        <v/>
      </c>
      <c r="AA145" s="13">
        <f>IF(tblOrdenes[[#This Row],[fecha_inicio]]="","",TODAY()-tblOrdenes[[#This Row],[fecha_inicio]])</f>
        <v/>
      </c>
      <c r="AB1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5" s="3">
        <f>IF(tblOrdenes[[#This Row],[backlog_habiles]]="","",IF(tblOrdenes[[#This Row],[backlog_habiles]]&lt;0,"FUTURO",IF(tblOrdenes[[#This Row],[backlog_habiles]]&gt;p_dias_backlog_max,"BACKLOG","MES CORRIENTE")))</f>
        <v/>
      </c>
      <c r="AD145" s="3">
        <f>IF(tblOrdenes[[#This Row],[backlog_habiles]]="",FALSE,AND(tblOrdenes[[#This Row],[backlog_habiles]]&gt;p_dias_backlog_min,tblOrdenes[[#This Row],[backlog_habiles]]&lt;=p_dias_backlog_max))</f>
        <v/>
      </c>
      <c r="AE145" s="6" t="inlineStr"/>
      <c r="AF1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5" s="11">
        <f>IF(tblOrdenes[[#This Row],[orden]]="","",_xlfn.XLOOKUP(tblOrdenes[[#This Row],[id_operacion]],tblEjecucion[id_operacion],tblEjecucion[precio],0))</f>
        <v/>
      </c>
      <c r="AJ145" s="11">
        <f>IF(tblOrdenes[[#This Row],[orden]]="","",MAX(0,_xlfn.XLOOKUP(tblOrdenes[[#This Row],[id_operacion]],tblEjecucion[id_operacion],tblEjecucion[costo_plan_total],0)-tblOrdenes[[#This Row],[costo_servicio]]))</f>
        <v/>
      </c>
      <c r="AK145" s="11">
        <f>IF(tblOrdenes[[#This Row],[orden]]="","",tblOrdenes[[#This Row],[costo_servicio]]+tblOrdenes[[#This Row],[costo_materiales]])</f>
        <v/>
      </c>
      <c r="AL145" s="6" t="inlineStr"/>
      <c r="AM145" s="6" t="inlineStr"/>
      <c r="AN145" s="6" t="inlineStr"/>
      <c r="AO145" s="3">
        <f>IF(tblOrdenes[[#This Row],[link_checklist]]="","",HYPERLINK(p_ruta_base_checklists&amp;tblOrdenes[[#This Row],[link_checklist]],"abrir"))</f>
        <v/>
      </c>
      <c r="AP145" s="6" t="inlineStr"/>
      <c r="AQ145" s="3">
        <f>IF(tblOrdenes[[#This Row],[orden]]="","",tblOrdenes[[#This Row],[orden]]&amp;IF(tblOrdenes[[#This Row],[operacion]]="","0010",tblOrdenes[[#This Row],[operacion]]))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EQ-112</t>
        </is>
      </c>
      <c r="D146" s="3" t="inlineStr">
        <is>
          <t>Reparación de falla en EQ-112</t>
        </is>
      </c>
      <c r="E146" s="3" t="inlineStr">
        <is>
          <t>EQ-112</t>
        </is>
      </c>
      <c r="F146" s="3" t="inlineStr">
        <is>
          <t>CC-320</t>
        </is>
      </c>
      <c r="G146" s="3" t="inlineStr">
        <is>
          <t>PU-MEC</t>
        </is>
      </c>
      <c r="H146" s="3" t="inlineStr">
        <is>
          <t>ACT-03</t>
        </is>
      </c>
      <c r="I146" s="3" t="inlineStr">
        <is>
          <t>TIPO-C2</t>
        </is>
      </c>
      <c r="J146" s="12" t="n">
        <v>46080</v>
      </c>
      <c r="K146" s="3" t="n">
        <v>8</v>
      </c>
      <c r="L146" s="11" t="n">
        <v>320</v>
      </c>
      <c r="M1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6" s="3">
        <f>IF(tblOrdenes[[#This Row],[fecha_inicio]]="","",YEAR(tblOrdenes[[#This Row],[fecha_inicio]]))</f>
        <v/>
      </c>
      <c r="Q146" s="3">
        <f>IF(tblOrdenes[[#This Row],[fecha_inicio]]="","",MONTH(tblOrdenes[[#This Row],[fecha_inicio]]))</f>
        <v/>
      </c>
      <c r="R146" s="3">
        <f>IF(tblOrdenes[[#This Row],[fecha_inicio]]="","",INDEX(lista_dias,WEEKDAY(tblOrdenes[[#This Row],[fecha_inicio]],2)))</f>
        <v/>
      </c>
      <c r="S1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6" s="3">
        <f>IF(tblOrdenes[[#This Row],[tipo_ot]]="","",_xlfn.XLOOKUP(tblOrdenes[[#This Row],[tipo_ot]],tblTiposOT[codigo],tblTiposOT[clasificacion],"sin_clasificar"))</f>
        <v/>
      </c>
      <c r="U146" s="3">
        <f>IF(tblOrdenes[[#This Row],[centro_costo]]="","",_xlfn.XLOOKUP(tblOrdenes[[#This Row],[centro_costo]],tblCECO[codigo],tblCECO[linea],"(sin catálogo)"))</f>
        <v/>
      </c>
      <c r="V146" s="3">
        <f>IF(tblOrdenes[[#This Row],[centro_costo]]="","",_xlfn.XLOOKUP(tblOrdenes[[#This Row],[centro_costo]],tblCECO[codigo],tblCECO[area],"(sin catálogo)"))</f>
        <v/>
      </c>
      <c r="W1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6" s="3">
        <f>IF(tblOrdenes[[#This Row],[centro_costo]]="","",_xlfn.XLOOKUP(tblOrdenes[[#This Row],[centro_costo]],tblCECO[codigo],tblCECO[coordinador],"(sin catálogo)"))</f>
        <v/>
      </c>
      <c r="Y146" s="3">
        <f>IF(tblOrdenes[[#This Row],[puesto_trabajo]]="","",_xlfn.XLOOKUP(tblOrdenes[[#This Row],[puesto_trabajo]],tblPuestos[codigo],tblPuestos[especialidad],"(sin catálogo)"))</f>
        <v/>
      </c>
      <c r="Z146" s="3">
        <f>IF(tblOrdenes[[#This Row],[cod_actividad]]="","",_xlfn.XLOOKUP(tblOrdenes[[#This Row],[cod_actividad]],tblActividades[codigo],tblActividades[descripcion],"(sin catálogo)"))</f>
        <v/>
      </c>
      <c r="AA146" s="13">
        <f>IF(tblOrdenes[[#This Row],[fecha_inicio]]="","",TODAY()-tblOrdenes[[#This Row],[fecha_inicio]])</f>
        <v/>
      </c>
      <c r="AB1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6" s="3">
        <f>IF(tblOrdenes[[#This Row],[backlog_habiles]]="","",IF(tblOrdenes[[#This Row],[backlog_habiles]]&lt;0,"FUTURO",IF(tblOrdenes[[#This Row],[backlog_habiles]]&gt;p_dias_backlog_max,"BACKLOG","MES CORRIENTE")))</f>
        <v/>
      </c>
      <c r="AD146" s="3">
        <f>IF(tblOrdenes[[#This Row],[backlog_habiles]]="",FALSE,AND(tblOrdenes[[#This Row],[backlog_habiles]]&gt;p_dias_backlog_min,tblOrdenes[[#This Row],[backlog_habiles]]&lt;=p_dias_backlog_max))</f>
        <v/>
      </c>
      <c r="AE146" s="6" t="inlineStr"/>
      <c r="AF1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6" s="11">
        <f>IF(tblOrdenes[[#This Row],[orden]]="","",_xlfn.XLOOKUP(tblOrdenes[[#This Row],[id_operacion]],tblEjecucion[id_operacion],tblEjecucion[precio],0))</f>
        <v/>
      </c>
      <c r="AJ146" s="11">
        <f>IF(tblOrdenes[[#This Row],[orden]]="","",MAX(0,_xlfn.XLOOKUP(tblOrdenes[[#This Row],[id_operacion]],tblEjecucion[id_operacion],tblEjecucion[costo_plan_total],0)-tblOrdenes[[#This Row],[costo_servicio]]))</f>
        <v/>
      </c>
      <c r="AK146" s="11">
        <f>IF(tblOrdenes[[#This Row],[orden]]="","",tblOrdenes[[#This Row],[costo_servicio]]+tblOrdenes[[#This Row],[costo_materiales]])</f>
        <v/>
      </c>
      <c r="AL146" s="6" t="inlineStr"/>
      <c r="AM146" s="6" t="inlineStr"/>
      <c r="AN146" s="6" t="inlineStr"/>
      <c r="AO146" s="3">
        <f>IF(tblOrdenes[[#This Row],[link_checklist]]="","",HYPERLINK(p_ruta_base_checklists&amp;tblOrdenes[[#This Row],[link_checklist]],"abrir"))</f>
        <v/>
      </c>
      <c r="AP146" s="6" t="inlineStr"/>
      <c r="AQ146" s="3">
        <f>IF(tblOrdenes[[#This Row],[orden]]="","",tblOrdenes[[#This Row],[orden]]&amp;IF(tblOrdenes[[#This Row],[operacion]]="","0010",tblOrdenes[[#This Row],[operacion]]))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Inspección de rutina — EQ-110</t>
        </is>
      </c>
      <c r="D147" s="3" t="inlineStr">
        <is>
          <t>Inspección de rutina en EQ-110</t>
        </is>
      </c>
      <c r="E147" s="3" t="inlineStr">
        <is>
          <t>EQ-110</t>
        </is>
      </c>
      <c r="F147" s="3" t="inlineStr">
        <is>
          <t>CC-321</t>
        </is>
      </c>
      <c r="G147" s="3" t="inlineStr">
        <is>
          <t>PU-ELE</t>
        </is>
      </c>
      <c r="H147" s="3" t="inlineStr">
        <is>
          <t>ACT-01</t>
        </is>
      </c>
      <c r="I147" s="3" t="inlineStr">
        <is>
          <t>TIPO-P1</t>
        </is>
      </c>
      <c r="J147" s="12" t="n">
        <v>46080</v>
      </c>
      <c r="K147" s="3" t="n">
        <v>4</v>
      </c>
      <c r="L147" s="11" t="n">
        <v>100</v>
      </c>
      <c r="M1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7" s="3">
        <f>IF(tblOrdenes[[#This Row],[fecha_inicio]]="","",YEAR(tblOrdenes[[#This Row],[fecha_inicio]]))</f>
        <v/>
      </c>
      <c r="Q147" s="3">
        <f>IF(tblOrdenes[[#This Row],[fecha_inicio]]="","",MONTH(tblOrdenes[[#This Row],[fecha_inicio]]))</f>
        <v/>
      </c>
      <c r="R147" s="3">
        <f>IF(tblOrdenes[[#This Row],[fecha_inicio]]="","",INDEX(lista_dias,WEEKDAY(tblOrdenes[[#This Row],[fecha_inicio]],2)))</f>
        <v/>
      </c>
      <c r="S1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7" s="3">
        <f>IF(tblOrdenes[[#This Row],[tipo_ot]]="","",_xlfn.XLOOKUP(tblOrdenes[[#This Row],[tipo_ot]],tblTiposOT[codigo],tblTiposOT[clasificacion],"sin_clasificar"))</f>
        <v/>
      </c>
      <c r="U147" s="3">
        <f>IF(tblOrdenes[[#This Row],[centro_costo]]="","",_xlfn.XLOOKUP(tblOrdenes[[#This Row],[centro_costo]],tblCECO[codigo],tblCECO[linea],"(sin catálogo)"))</f>
        <v/>
      </c>
      <c r="V147" s="3">
        <f>IF(tblOrdenes[[#This Row],[centro_costo]]="","",_xlfn.XLOOKUP(tblOrdenes[[#This Row],[centro_costo]],tblCECO[codigo],tblCECO[area],"(sin catálogo)"))</f>
        <v/>
      </c>
      <c r="W1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7" s="3">
        <f>IF(tblOrdenes[[#This Row],[centro_costo]]="","",_xlfn.XLOOKUP(tblOrdenes[[#This Row],[centro_costo]],tblCECO[codigo],tblCECO[coordinador],"(sin catálogo)"))</f>
        <v/>
      </c>
      <c r="Y147" s="3">
        <f>IF(tblOrdenes[[#This Row],[puesto_trabajo]]="","",_xlfn.XLOOKUP(tblOrdenes[[#This Row],[puesto_trabajo]],tblPuestos[codigo],tblPuestos[especialidad],"(sin catálogo)"))</f>
        <v/>
      </c>
      <c r="Z147" s="3">
        <f>IF(tblOrdenes[[#This Row],[cod_actividad]]="","",_xlfn.XLOOKUP(tblOrdenes[[#This Row],[cod_actividad]],tblActividades[codigo],tblActividades[descripcion],"(sin catálogo)"))</f>
        <v/>
      </c>
      <c r="AA147" s="13">
        <f>IF(tblOrdenes[[#This Row],[fecha_inicio]]="","",TODAY()-tblOrdenes[[#This Row],[fecha_inicio]])</f>
        <v/>
      </c>
      <c r="AB1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7" s="3">
        <f>IF(tblOrdenes[[#This Row],[backlog_habiles]]="","",IF(tblOrdenes[[#This Row],[backlog_habiles]]&lt;0,"FUTURO",IF(tblOrdenes[[#This Row],[backlog_habiles]]&gt;p_dias_backlog_max,"BACKLOG","MES CORRIENTE")))</f>
        <v/>
      </c>
      <c r="AD147" s="3">
        <f>IF(tblOrdenes[[#This Row],[backlog_habiles]]="",FALSE,AND(tblOrdenes[[#This Row],[backlog_habiles]]&gt;p_dias_backlog_min,tblOrdenes[[#This Row],[backlog_habiles]]&lt;=p_dias_backlog_max))</f>
        <v/>
      </c>
      <c r="AE147" s="6" t="inlineStr"/>
      <c r="AF1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7" s="11">
        <f>IF(tblOrdenes[[#This Row],[orden]]="","",_xlfn.XLOOKUP(tblOrdenes[[#This Row],[id_operacion]],tblEjecucion[id_operacion],tblEjecucion[precio],0))</f>
        <v/>
      </c>
      <c r="AJ147" s="11">
        <f>IF(tblOrdenes[[#This Row],[orden]]="","",MAX(0,_xlfn.XLOOKUP(tblOrdenes[[#This Row],[id_operacion]],tblEjecucion[id_operacion],tblEjecucion[costo_plan_total],0)-tblOrdenes[[#This Row],[costo_servicio]]))</f>
        <v/>
      </c>
      <c r="AK147" s="11">
        <f>IF(tblOrdenes[[#This Row],[orden]]="","",tblOrdenes[[#This Row],[costo_servicio]]+tblOrdenes[[#This Row],[costo_materiales]])</f>
        <v/>
      </c>
      <c r="AL147" s="6" t="inlineStr"/>
      <c r="AM147" s="6" t="inlineStr"/>
      <c r="AN147" s="6" t="inlineStr"/>
      <c r="AO147" s="3">
        <f>IF(tblOrdenes[[#This Row],[link_checklist]]="","",HYPERLINK(p_ruta_base_checklists&amp;tblOrdenes[[#This Row],[link_checklist]],"abrir"))</f>
        <v/>
      </c>
      <c r="AP147" s="6" t="inlineStr"/>
      <c r="AQ147" s="3">
        <f>IF(tblOrdenes[[#This Row],[orden]]="","",tblOrdenes[[#This Row],[orden]]&amp;IF(tblOrdenes[[#This Row],[operacion]]="","0010",tblOrdenes[[#This Row],[operacion]]))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EQ-101</t>
        </is>
      </c>
      <c r="D148" s="3" t="inlineStr">
        <is>
          <t>Lubricación programada en EQ-101</t>
        </is>
      </c>
      <c r="E148" s="3" t="inlineStr">
        <is>
          <t>EQ-101</t>
        </is>
      </c>
      <c r="F148" s="3" t="inlineStr">
        <is>
          <t>CC-110</t>
        </is>
      </c>
      <c r="G148" s="3" t="inlineStr">
        <is>
          <t>PU-MEC</t>
        </is>
      </c>
      <c r="H148" s="3" t="inlineStr">
        <is>
          <t>ACT-02</t>
        </is>
      </c>
      <c r="I148" s="3" t="inlineStr">
        <is>
          <t>TIPO-P2</t>
        </is>
      </c>
      <c r="J148" s="12" t="n">
        <v>46190</v>
      </c>
      <c r="K148" s="3" t="n">
        <v>4</v>
      </c>
      <c r="L148" s="11" t="n">
        <v>100</v>
      </c>
      <c r="M1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8" s="3">
        <f>IF(tblOrdenes[[#This Row],[fecha_inicio]]="","",YEAR(tblOrdenes[[#This Row],[fecha_inicio]]))</f>
        <v/>
      </c>
      <c r="Q148" s="3">
        <f>IF(tblOrdenes[[#This Row],[fecha_inicio]]="","",MONTH(tblOrdenes[[#This Row],[fecha_inicio]]))</f>
        <v/>
      </c>
      <c r="R148" s="3">
        <f>IF(tblOrdenes[[#This Row],[fecha_inicio]]="","",INDEX(lista_dias,WEEKDAY(tblOrdenes[[#This Row],[fecha_inicio]],2)))</f>
        <v/>
      </c>
      <c r="S1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8" s="3">
        <f>IF(tblOrdenes[[#This Row],[tipo_ot]]="","",_xlfn.XLOOKUP(tblOrdenes[[#This Row],[tipo_ot]],tblTiposOT[codigo],tblTiposOT[clasificacion],"sin_clasificar"))</f>
        <v/>
      </c>
      <c r="U148" s="3">
        <f>IF(tblOrdenes[[#This Row],[centro_costo]]="","",_xlfn.XLOOKUP(tblOrdenes[[#This Row],[centro_costo]],tblCECO[codigo],tblCECO[linea],"(sin catálogo)"))</f>
        <v/>
      </c>
      <c r="V148" s="3">
        <f>IF(tblOrdenes[[#This Row],[centro_costo]]="","",_xlfn.XLOOKUP(tblOrdenes[[#This Row],[centro_costo]],tblCECO[codigo],tblCECO[area],"(sin catálogo)"))</f>
        <v/>
      </c>
      <c r="W1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8" s="3">
        <f>IF(tblOrdenes[[#This Row],[centro_costo]]="","",_xlfn.XLOOKUP(tblOrdenes[[#This Row],[centro_costo]],tblCECO[codigo],tblCECO[coordinador],"(sin catálogo)"))</f>
        <v/>
      </c>
      <c r="Y148" s="3">
        <f>IF(tblOrdenes[[#This Row],[puesto_trabajo]]="","",_xlfn.XLOOKUP(tblOrdenes[[#This Row],[puesto_trabajo]],tblPuestos[codigo],tblPuestos[especialidad],"(sin catálogo)"))</f>
        <v/>
      </c>
      <c r="Z148" s="3">
        <f>IF(tblOrdenes[[#This Row],[cod_actividad]]="","",_xlfn.XLOOKUP(tblOrdenes[[#This Row],[cod_actividad]],tblActividades[codigo],tblActividades[descripcion],"(sin catálogo)"))</f>
        <v/>
      </c>
      <c r="AA148" s="13">
        <f>IF(tblOrdenes[[#This Row],[fecha_inicio]]="","",TODAY()-tblOrdenes[[#This Row],[fecha_inicio]])</f>
        <v/>
      </c>
      <c r="AB1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8" s="3">
        <f>IF(tblOrdenes[[#This Row],[backlog_habiles]]="","",IF(tblOrdenes[[#This Row],[backlog_habiles]]&lt;0,"FUTURO",IF(tblOrdenes[[#This Row],[backlog_habiles]]&gt;p_dias_backlog_max,"BACKLOG","MES CORRIENTE")))</f>
        <v/>
      </c>
      <c r="AD148" s="3">
        <f>IF(tblOrdenes[[#This Row],[backlog_habiles]]="",FALSE,AND(tblOrdenes[[#This Row],[backlog_habiles]]&gt;p_dias_backlog_min,tblOrdenes[[#This Row],[backlog_habiles]]&lt;=p_dias_backlog_max))</f>
        <v/>
      </c>
      <c r="AE148" s="6" t="inlineStr"/>
      <c r="AF1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8" s="11">
        <f>IF(tblOrdenes[[#This Row],[orden]]="","",_xlfn.XLOOKUP(tblOrdenes[[#This Row],[id_operacion]],tblEjecucion[id_operacion],tblEjecucion[precio],0))</f>
        <v/>
      </c>
      <c r="AJ148" s="11">
        <f>IF(tblOrdenes[[#This Row],[orden]]="","",MAX(0,_xlfn.XLOOKUP(tblOrdenes[[#This Row],[id_operacion]],tblEjecucion[id_operacion],tblEjecucion[costo_plan_total],0)-tblOrdenes[[#This Row],[costo_servicio]]))</f>
        <v/>
      </c>
      <c r="AK148" s="11">
        <f>IF(tblOrdenes[[#This Row],[orden]]="","",tblOrdenes[[#This Row],[costo_servicio]]+tblOrdenes[[#This Row],[costo_materiales]])</f>
        <v/>
      </c>
      <c r="AL148" s="6" t="inlineStr"/>
      <c r="AM148" s="6" t="inlineStr"/>
      <c r="AN148" s="6" t="inlineStr"/>
      <c r="AO148" s="3">
        <f>IF(tblOrdenes[[#This Row],[link_checklist]]="","",HYPERLINK(p_ruta_base_checklists&amp;tblOrdenes[[#This Row],[link_checklist]],"abrir"))</f>
        <v/>
      </c>
      <c r="AP148" s="6" t="inlineStr"/>
      <c r="AQ148" s="3">
        <f>IF(tblOrdenes[[#This Row],[orden]]="","",tblOrdenes[[#This Row],[orden]]&amp;IF(tblOrdenes[[#This Row],[operacion]]="","0010",tblOrdenes[[#This Row],[operacion]]))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EQ-102</t>
        </is>
      </c>
      <c r="D149" s="3" t="inlineStr">
        <is>
          <t>Reparación de falla en EQ-102</t>
        </is>
      </c>
      <c r="E149" s="3" t="inlineStr">
        <is>
          <t>EQ-102</t>
        </is>
      </c>
      <c r="F149" s="3" t="inlineStr">
        <is>
          <t>CC-120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2" t="n">
        <v>46183</v>
      </c>
      <c r="K149" s="3" t="n">
        <v>6</v>
      </c>
      <c r="L149" s="11" t="n">
        <v>240</v>
      </c>
      <c r="M1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9" s="3">
        <f>IF(tblOrdenes[[#This Row],[fecha_inicio]]="","",YEAR(tblOrdenes[[#This Row],[fecha_inicio]]))</f>
        <v/>
      </c>
      <c r="Q149" s="3">
        <f>IF(tblOrdenes[[#This Row],[fecha_inicio]]="","",MONTH(tblOrdenes[[#This Row],[fecha_inicio]]))</f>
        <v/>
      </c>
      <c r="R149" s="3">
        <f>IF(tblOrdenes[[#This Row],[fecha_inicio]]="","",INDEX(lista_dias,WEEKDAY(tblOrdenes[[#This Row],[fecha_inicio]],2)))</f>
        <v/>
      </c>
      <c r="S1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9" s="3">
        <f>IF(tblOrdenes[[#This Row],[tipo_ot]]="","",_xlfn.XLOOKUP(tblOrdenes[[#This Row],[tipo_ot]],tblTiposOT[codigo],tblTiposOT[clasificacion],"sin_clasificar"))</f>
        <v/>
      </c>
      <c r="U149" s="3">
        <f>IF(tblOrdenes[[#This Row],[centro_costo]]="","",_xlfn.XLOOKUP(tblOrdenes[[#This Row],[centro_costo]],tblCECO[codigo],tblCECO[linea],"(sin catálogo)"))</f>
        <v/>
      </c>
      <c r="V149" s="3">
        <f>IF(tblOrdenes[[#This Row],[centro_costo]]="","",_xlfn.XLOOKUP(tblOrdenes[[#This Row],[centro_costo]],tblCECO[codigo],tblCECO[area],"(sin catálogo)"))</f>
        <v/>
      </c>
      <c r="W1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9" s="3">
        <f>IF(tblOrdenes[[#This Row],[centro_costo]]="","",_xlfn.XLOOKUP(tblOrdenes[[#This Row],[centro_costo]],tblCECO[codigo],tblCECO[coordinador],"(sin catálogo)"))</f>
        <v/>
      </c>
      <c r="Y149" s="3">
        <f>IF(tblOrdenes[[#This Row],[puesto_trabajo]]="","",_xlfn.XLOOKUP(tblOrdenes[[#This Row],[puesto_trabajo]],tblPuestos[codigo],tblPuestos[especialidad],"(sin catálogo)"))</f>
        <v/>
      </c>
      <c r="Z149" s="3">
        <f>IF(tblOrdenes[[#This Row],[cod_actividad]]="","",_xlfn.XLOOKUP(tblOrdenes[[#This Row],[cod_actividad]],tblActividades[codigo],tblActividades[descripcion],"(sin catálogo)"))</f>
        <v/>
      </c>
      <c r="AA149" s="13">
        <f>IF(tblOrdenes[[#This Row],[fecha_inicio]]="","",TODAY()-tblOrdenes[[#This Row],[fecha_inicio]])</f>
        <v/>
      </c>
      <c r="AB1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9" s="3">
        <f>IF(tblOrdenes[[#This Row],[backlog_habiles]]="","",IF(tblOrdenes[[#This Row],[backlog_habiles]]&lt;0,"FUTURO",IF(tblOrdenes[[#This Row],[backlog_habiles]]&gt;p_dias_backlog_max,"BACKLOG","MES CORRIENTE")))</f>
        <v/>
      </c>
      <c r="AD149" s="3">
        <f>IF(tblOrdenes[[#This Row],[backlog_habiles]]="",FALSE,AND(tblOrdenes[[#This Row],[backlog_habiles]]&gt;p_dias_backlog_min,tblOrdenes[[#This Row],[backlog_habiles]]&lt;=p_dias_backlog_max))</f>
        <v/>
      </c>
      <c r="AE149" s="6" t="inlineStr"/>
      <c r="AF1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9" s="11">
        <f>IF(tblOrdenes[[#This Row],[orden]]="","",_xlfn.XLOOKUP(tblOrdenes[[#This Row],[id_operacion]],tblEjecucion[id_operacion],tblEjecucion[precio],0))</f>
        <v/>
      </c>
      <c r="AJ149" s="11">
        <f>IF(tblOrdenes[[#This Row],[orden]]="","",MAX(0,_xlfn.XLOOKUP(tblOrdenes[[#This Row],[id_operacion]],tblEjecucion[id_operacion],tblEjecucion[costo_plan_total],0)-tblOrdenes[[#This Row],[costo_servicio]]))</f>
        <v/>
      </c>
      <c r="AK149" s="11">
        <f>IF(tblOrdenes[[#This Row],[orden]]="","",tblOrdenes[[#This Row],[costo_servicio]]+tblOrdenes[[#This Row],[costo_materiales]])</f>
        <v/>
      </c>
      <c r="AL149" s="6" t="inlineStr"/>
      <c r="AM149" s="6" t="inlineStr"/>
      <c r="AN149" s="6" t="inlineStr"/>
      <c r="AO149" s="3">
        <f>IF(tblOrdenes[[#This Row],[link_checklist]]="","",HYPERLINK(p_ruta_base_checklists&amp;tblOrdenes[[#This Row],[link_checklist]],"abrir"))</f>
        <v/>
      </c>
      <c r="AP149" s="6" t="inlineStr"/>
      <c r="AQ149" s="3">
        <f>IF(tblOrdenes[[#This Row],[orden]]="","",tblOrdenes[[#This Row],[orden]]&amp;IF(tblOrdenes[[#This Row],[operacion]]="","0010",tblOrdenes[[#This Row],[operacion]]))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Inspección de rutina — EQ-109</t>
        </is>
      </c>
      <c r="D150" s="3" t="inlineStr">
        <is>
          <t>Inspección de rutina en EQ-109</t>
        </is>
      </c>
      <c r="E150" s="3" t="inlineStr">
        <is>
          <t>EQ-109</t>
        </is>
      </c>
      <c r="F150" s="3" t="inlineStr">
        <is>
          <t>CC-210</t>
        </is>
      </c>
      <c r="G150" s="3" t="inlineStr">
        <is>
          <t>PU-AUT</t>
        </is>
      </c>
      <c r="H150" s="3" t="inlineStr">
        <is>
          <t>ACT-01</t>
        </is>
      </c>
      <c r="I150" s="3" t="inlineStr">
        <is>
          <t>TIPO-P2</t>
        </is>
      </c>
      <c r="J150" s="12" t="n">
        <v>46176</v>
      </c>
      <c r="K150" s="3" t="n">
        <v>8</v>
      </c>
      <c r="L150" s="11" t="n">
        <v>200</v>
      </c>
      <c r="M1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0" s="3">
        <f>IF(tblOrdenes[[#This Row],[fecha_inicio]]="","",YEAR(tblOrdenes[[#This Row],[fecha_inicio]]))</f>
        <v/>
      </c>
      <c r="Q150" s="3">
        <f>IF(tblOrdenes[[#This Row],[fecha_inicio]]="","",MONTH(tblOrdenes[[#This Row],[fecha_inicio]]))</f>
        <v/>
      </c>
      <c r="R150" s="3">
        <f>IF(tblOrdenes[[#This Row],[fecha_inicio]]="","",INDEX(lista_dias,WEEKDAY(tblOrdenes[[#This Row],[fecha_inicio]],2)))</f>
        <v/>
      </c>
      <c r="S1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0" s="3">
        <f>IF(tblOrdenes[[#This Row],[tipo_ot]]="","",_xlfn.XLOOKUP(tblOrdenes[[#This Row],[tipo_ot]],tblTiposOT[codigo],tblTiposOT[clasificacion],"sin_clasificar"))</f>
        <v/>
      </c>
      <c r="U150" s="3">
        <f>IF(tblOrdenes[[#This Row],[centro_costo]]="","",_xlfn.XLOOKUP(tblOrdenes[[#This Row],[centro_costo]],tblCECO[codigo],tblCECO[linea],"(sin catálogo)"))</f>
        <v/>
      </c>
      <c r="V150" s="3">
        <f>IF(tblOrdenes[[#This Row],[centro_costo]]="","",_xlfn.XLOOKUP(tblOrdenes[[#This Row],[centro_costo]],tblCECO[codigo],tblCECO[area],"(sin catálogo)"))</f>
        <v/>
      </c>
      <c r="W1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0" s="3">
        <f>IF(tblOrdenes[[#This Row],[centro_costo]]="","",_xlfn.XLOOKUP(tblOrdenes[[#This Row],[centro_costo]],tblCECO[codigo],tblCECO[coordinador],"(sin catálogo)"))</f>
        <v/>
      </c>
      <c r="Y150" s="3">
        <f>IF(tblOrdenes[[#This Row],[puesto_trabajo]]="","",_xlfn.XLOOKUP(tblOrdenes[[#This Row],[puesto_trabajo]],tblPuestos[codigo],tblPuestos[especialidad],"(sin catálogo)"))</f>
        <v/>
      </c>
      <c r="Z150" s="3">
        <f>IF(tblOrdenes[[#This Row],[cod_actividad]]="","",_xlfn.XLOOKUP(tblOrdenes[[#This Row],[cod_actividad]],tblActividades[codigo],tblActividades[descripcion],"(sin catálogo)"))</f>
        <v/>
      </c>
      <c r="AA150" s="13">
        <f>IF(tblOrdenes[[#This Row],[fecha_inicio]]="","",TODAY()-tblOrdenes[[#This Row],[fecha_inicio]])</f>
        <v/>
      </c>
      <c r="AB1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0" s="3">
        <f>IF(tblOrdenes[[#This Row],[backlog_habiles]]="","",IF(tblOrdenes[[#This Row],[backlog_habiles]]&lt;0,"FUTURO",IF(tblOrdenes[[#This Row],[backlog_habiles]]&gt;p_dias_backlog_max,"BACKLOG","MES CORRIENTE")))</f>
        <v/>
      </c>
      <c r="AD150" s="3">
        <f>IF(tblOrdenes[[#This Row],[backlog_habiles]]="",FALSE,AND(tblOrdenes[[#This Row],[backlog_habiles]]&gt;p_dias_backlog_min,tblOrdenes[[#This Row],[backlog_habiles]]&lt;=p_dias_backlog_max))</f>
        <v/>
      </c>
      <c r="AE150" s="6" t="inlineStr"/>
      <c r="AF1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0" s="11">
        <f>IF(tblOrdenes[[#This Row],[orden]]="","",_xlfn.XLOOKUP(tblOrdenes[[#This Row],[id_operacion]],tblEjecucion[id_operacion],tblEjecucion[precio],0))</f>
        <v/>
      </c>
      <c r="AJ150" s="11">
        <f>IF(tblOrdenes[[#This Row],[orden]]="","",MAX(0,_xlfn.XLOOKUP(tblOrdenes[[#This Row],[id_operacion]],tblEjecucion[id_operacion],tblEjecucion[costo_plan_total],0)-tblOrdenes[[#This Row],[costo_servicio]]))</f>
        <v/>
      </c>
      <c r="AK150" s="11">
        <f>IF(tblOrdenes[[#This Row],[orden]]="","",tblOrdenes[[#This Row],[costo_servicio]]+tblOrdenes[[#This Row],[costo_materiales]])</f>
        <v/>
      </c>
      <c r="AL150" s="6" t="inlineStr"/>
      <c r="AM150" s="6" t="inlineStr"/>
      <c r="AN150" s="6" t="inlineStr"/>
      <c r="AO150" s="3">
        <f>IF(tblOrdenes[[#This Row],[link_checklist]]="","",HYPERLINK(p_ruta_base_checklists&amp;tblOrdenes[[#This Row],[link_checklist]],"abrir"))</f>
        <v/>
      </c>
      <c r="AP150" s="6" t="inlineStr"/>
      <c r="AQ150" s="3">
        <f>IF(tblOrdenes[[#This Row],[orden]]="","",tblOrdenes[[#This Row],[orden]]&amp;IF(tblOrdenes[[#This Row],[operacion]]="","0010",tblOrdenes[[#This Row],[operacion]]))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CC-220</t>
        </is>
      </c>
      <c r="G151" s="3" t="inlineStr">
        <is>
          <t>PU-MEC</t>
        </is>
      </c>
      <c r="H151" s="3" t="inlineStr">
        <is>
          <t>ACT-03</t>
        </is>
      </c>
      <c r="I151" s="3" t="inlineStr">
        <is>
          <t>TIPO-C1</t>
        </is>
      </c>
      <c r="J151" s="12" t="n">
        <v>46169</v>
      </c>
      <c r="K151" s="3" t="n">
        <v>4</v>
      </c>
      <c r="L151" s="11" t="n">
        <v>160</v>
      </c>
      <c r="M1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1" s="3">
        <f>IF(tblOrdenes[[#This Row],[fecha_inicio]]="","",YEAR(tblOrdenes[[#This Row],[fecha_inicio]]))</f>
        <v/>
      </c>
      <c r="Q151" s="3">
        <f>IF(tblOrdenes[[#This Row],[fecha_inicio]]="","",MONTH(tblOrdenes[[#This Row],[fecha_inicio]]))</f>
        <v/>
      </c>
      <c r="R151" s="3">
        <f>IF(tblOrdenes[[#This Row],[fecha_inicio]]="","",INDEX(lista_dias,WEEKDAY(tblOrdenes[[#This Row],[fecha_inicio]],2)))</f>
        <v/>
      </c>
      <c r="S1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1" s="3">
        <f>IF(tblOrdenes[[#This Row],[tipo_ot]]="","",_xlfn.XLOOKUP(tblOrdenes[[#This Row],[tipo_ot]],tblTiposOT[codigo],tblTiposOT[clasificacion],"sin_clasificar"))</f>
        <v/>
      </c>
      <c r="U151" s="3">
        <f>IF(tblOrdenes[[#This Row],[centro_costo]]="","",_xlfn.XLOOKUP(tblOrdenes[[#This Row],[centro_costo]],tblCECO[codigo],tblCECO[linea],"(sin catálogo)"))</f>
        <v/>
      </c>
      <c r="V151" s="3">
        <f>IF(tblOrdenes[[#This Row],[centro_costo]]="","",_xlfn.XLOOKUP(tblOrdenes[[#This Row],[centro_costo]],tblCECO[codigo],tblCECO[area],"(sin catálogo)"))</f>
        <v/>
      </c>
      <c r="W1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1" s="3">
        <f>IF(tblOrdenes[[#This Row],[centro_costo]]="","",_xlfn.XLOOKUP(tblOrdenes[[#This Row],[centro_costo]],tblCECO[codigo],tblCECO[coordinador],"(sin catálogo)"))</f>
        <v/>
      </c>
      <c r="Y151" s="3">
        <f>IF(tblOrdenes[[#This Row],[puesto_trabajo]]="","",_xlfn.XLOOKUP(tblOrdenes[[#This Row],[puesto_trabajo]],tblPuestos[codigo],tblPuestos[especialidad],"(sin catálogo)"))</f>
        <v/>
      </c>
      <c r="Z151" s="3">
        <f>IF(tblOrdenes[[#This Row],[cod_actividad]]="","",_xlfn.XLOOKUP(tblOrdenes[[#This Row],[cod_actividad]],tblActividades[codigo],tblActividades[descripcion],"(sin catálogo)"))</f>
        <v/>
      </c>
      <c r="AA151" s="13">
        <f>IF(tblOrdenes[[#This Row],[fecha_inicio]]="","",TODAY()-tblOrdenes[[#This Row],[fecha_inicio]])</f>
        <v/>
      </c>
      <c r="AB1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1" s="3">
        <f>IF(tblOrdenes[[#This Row],[backlog_habiles]]="","",IF(tblOrdenes[[#This Row],[backlog_habiles]]&lt;0,"FUTURO",IF(tblOrdenes[[#This Row],[backlog_habiles]]&gt;p_dias_backlog_max,"BACKLOG","MES CORRIENTE")))</f>
        <v/>
      </c>
      <c r="AD151" s="3">
        <f>IF(tblOrdenes[[#This Row],[backlog_habiles]]="",FALSE,AND(tblOrdenes[[#This Row],[backlog_habiles]]&gt;p_dias_backlog_min,tblOrdenes[[#This Row],[backlog_habiles]]&lt;=p_dias_backlog_max))</f>
        <v/>
      </c>
      <c r="AE151" s="6" t="inlineStr"/>
      <c r="AF1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1" s="11">
        <f>IF(tblOrdenes[[#This Row],[orden]]="","",_xlfn.XLOOKUP(tblOrdenes[[#This Row],[id_operacion]],tblEjecucion[id_operacion],tblEjecucion[precio],0))</f>
        <v/>
      </c>
      <c r="AJ151" s="11">
        <f>IF(tblOrdenes[[#This Row],[orden]]="","",MAX(0,_xlfn.XLOOKUP(tblOrdenes[[#This Row],[id_operacion]],tblEjecucion[id_operacion],tblEjecucion[costo_plan_total],0)-tblOrdenes[[#This Row],[costo_servicio]]))</f>
        <v/>
      </c>
      <c r="AK151" s="11">
        <f>IF(tblOrdenes[[#This Row],[orden]]="","",tblOrdenes[[#This Row],[costo_servicio]]+tblOrdenes[[#This Row],[costo_materiales]])</f>
        <v/>
      </c>
      <c r="AL151" s="6" t="inlineStr"/>
      <c r="AM151" s="6" t="inlineStr"/>
      <c r="AN151" s="6" t="inlineStr"/>
      <c r="AO151" s="3">
        <f>IF(tblOrdenes[[#This Row],[link_checklist]]="","",HYPERLINK(p_ruta_base_checklists&amp;tblOrdenes[[#This Row],[link_checklist]],"abrir"))</f>
        <v/>
      </c>
      <c r="AP151" s="6" t="inlineStr"/>
      <c r="AQ151" s="3">
        <f>IF(tblOrdenes[[#This Row],[orden]]="","",tblOrdenes[[#This Row],[orden]]&amp;IF(tblOrdenes[[#This Row],[operacion]]="","0010",tblOrdenes[[#This Row],[operacion]]))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Análisis predictivo — EQ-112</t>
        </is>
      </c>
      <c r="D152" s="3" t="inlineStr">
        <is>
          <t>Análisis predictivo en EQ-112</t>
        </is>
      </c>
      <c r="E152" s="3" t="inlineStr">
        <is>
          <t>EQ-112</t>
        </is>
      </c>
      <c r="F152" s="3" t="inlineStr">
        <is>
          <t>CC-310</t>
        </is>
      </c>
      <c r="G152" s="3" t="inlineStr">
        <is>
          <t>PU-ELE</t>
        </is>
      </c>
      <c r="H152" s="3" t="inlineStr">
        <is>
          <t>ACT-04</t>
        </is>
      </c>
      <c r="I152" s="3" t="inlineStr">
        <is>
          <t>TIPO-P2</t>
        </is>
      </c>
      <c r="J152" s="12" t="n">
        <v>46162</v>
      </c>
      <c r="K152" s="3" t="n">
        <v>6</v>
      </c>
      <c r="L152" s="11" t="n">
        <v>150</v>
      </c>
      <c r="M1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2" s="3">
        <f>IF(tblOrdenes[[#This Row],[fecha_inicio]]="","",YEAR(tblOrdenes[[#This Row],[fecha_inicio]]))</f>
        <v/>
      </c>
      <c r="Q152" s="3">
        <f>IF(tblOrdenes[[#This Row],[fecha_inicio]]="","",MONTH(tblOrdenes[[#This Row],[fecha_inicio]]))</f>
        <v/>
      </c>
      <c r="R152" s="3">
        <f>IF(tblOrdenes[[#This Row],[fecha_inicio]]="","",INDEX(lista_dias,WEEKDAY(tblOrdenes[[#This Row],[fecha_inicio]],2)))</f>
        <v/>
      </c>
      <c r="S1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2" s="3">
        <f>IF(tblOrdenes[[#This Row],[tipo_ot]]="","",_xlfn.XLOOKUP(tblOrdenes[[#This Row],[tipo_ot]],tblTiposOT[codigo],tblTiposOT[clasificacion],"sin_clasificar"))</f>
        <v/>
      </c>
      <c r="U152" s="3">
        <f>IF(tblOrdenes[[#This Row],[centro_costo]]="","",_xlfn.XLOOKUP(tblOrdenes[[#This Row],[centro_costo]],tblCECO[codigo],tblCECO[linea],"(sin catálogo)"))</f>
        <v/>
      </c>
      <c r="V152" s="3">
        <f>IF(tblOrdenes[[#This Row],[centro_costo]]="","",_xlfn.XLOOKUP(tblOrdenes[[#This Row],[centro_costo]],tblCECO[codigo],tblCECO[area],"(sin catálogo)"))</f>
        <v/>
      </c>
      <c r="W1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2" s="3">
        <f>IF(tblOrdenes[[#This Row],[centro_costo]]="","",_xlfn.XLOOKUP(tblOrdenes[[#This Row],[centro_costo]],tblCECO[codigo],tblCECO[coordinador],"(sin catálogo)"))</f>
        <v/>
      </c>
      <c r="Y152" s="3">
        <f>IF(tblOrdenes[[#This Row],[puesto_trabajo]]="","",_xlfn.XLOOKUP(tblOrdenes[[#This Row],[puesto_trabajo]],tblPuestos[codigo],tblPuestos[especialidad],"(sin catálogo)"))</f>
        <v/>
      </c>
      <c r="Z152" s="3">
        <f>IF(tblOrdenes[[#This Row],[cod_actividad]]="","",_xlfn.XLOOKUP(tblOrdenes[[#This Row],[cod_actividad]],tblActividades[codigo],tblActividades[descripcion],"(sin catálogo)"))</f>
        <v/>
      </c>
      <c r="AA152" s="13">
        <f>IF(tblOrdenes[[#This Row],[fecha_inicio]]="","",TODAY()-tblOrdenes[[#This Row],[fecha_inicio]])</f>
        <v/>
      </c>
      <c r="AB1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2" s="3">
        <f>IF(tblOrdenes[[#This Row],[backlog_habiles]]="","",IF(tblOrdenes[[#This Row],[backlog_habiles]]&lt;0,"FUTURO",IF(tblOrdenes[[#This Row],[backlog_habiles]]&gt;p_dias_backlog_max,"BACKLOG","MES CORRIENTE")))</f>
        <v/>
      </c>
      <c r="AD152" s="3">
        <f>IF(tblOrdenes[[#This Row],[backlog_habiles]]="",FALSE,AND(tblOrdenes[[#This Row],[backlog_habiles]]&gt;p_dias_backlog_min,tblOrdenes[[#This Row],[backlog_habiles]]&lt;=p_dias_backlog_max))</f>
        <v/>
      </c>
      <c r="AE152" s="6" t="inlineStr"/>
      <c r="AF1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2" s="11">
        <f>IF(tblOrdenes[[#This Row],[orden]]="","",_xlfn.XLOOKUP(tblOrdenes[[#This Row],[id_operacion]],tblEjecucion[id_operacion],tblEjecucion[precio],0))</f>
        <v/>
      </c>
      <c r="AJ152" s="11">
        <f>IF(tblOrdenes[[#This Row],[orden]]="","",MAX(0,_xlfn.XLOOKUP(tblOrdenes[[#This Row],[id_operacion]],tblEjecucion[id_operacion],tblEjecucion[costo_plan_total],0)-tblOrdenes[[#This Row],[costo_servicio]]))</f>
        <v/>
      </c>
      <c r="AK152" s="11">
        <f>IF(tblOrdenes[[#This Row],[orden]]="","",tblOrdenes[[#This Row],[costo_servicio]]+tblOrdenes[[#This Row],[costo_materiales]])</f>
        <v/>
      </c>
      <c r="AL152" s="6" t="inlineStr"/>
      <c r="AM152" s="6" t="inlineStr"/>
      <c r="AN152" s="6" t="inlineStr"/>
      <c r="AO152" s="3">
        <f>IF(tblOrdenes[[#This Row],[link_checklist]]="","",HYPERLINK(p_ruta_base_checklists&amp;tblOrdenes[[#This Row],[link_checklist]],"abrir"))</f>
        <v/>
      </c>
      <c r="AP152" s="6" t="inlineStr"/>
      <c r="AQ152" s="3">
        <f>IF(tblOrdenes[[#This Row],[orden]]="","",tblOrdenes[[#This Row],[orden]]&amp;IF(tblOrdenes[[#This Row],[operacion]]="","0010",tblOrdenes[[#This Row],[operacion]]))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CC-311</t>
        </is>
      </c>
      <c r="G153" s="3" t="inlineStr">
        <is>
          <t>PU-AUT</t>
        </is>
      </c>
      <c r="H153" s="3" t="inlineStr">
        <is>
          <t>ACT-03</t>
        </is>
      </c>
      <c r="I153" s="3" t="inlineStr">
        <is>
          <t>TIPO-C1</t>
        </is>
      </c>
      <c r="J153" s="12" t="n">
        <v>46155</v>
      </c>
      <c r="K153" s="3" t="n">
        <v>8</v>
      </c>
      <c r="L153" s="11" t="n">
        <v>320</v>
      </c>
      <c r="M1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3" s="3">
        <f>IF(tblOrdenes[[#This Row],[fecha_inicio]]="","",YEAR(tblOrdenes[[#This Row],[fecha_inicio]]))</f>
        <v/>
      </c>
      <c r="Q153" s="3">
        <f>IF(tblOrdenes[[#This Row],[fecha_inicio]]="","",MONTH(tblOrdenes[[#This Row],[fecha_inicio]]))</f>
        <v/>
      </c>
      <c r="R153" s="3">
        <f>IF(tblOrdenes[[#This Row],[fecha_inicio]]="","",INDEX(lista_dias,WEEKDAY(tblOrdenes[[#This Row],[fecha_inicio]],2)))</f>
        <v/>
      </c>
      <c r="S1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3" s="3">
        <f>IF(tblOrdenes[[#This Row],[tipo_ot]]="","",_xlfn.XLOOKUP(tblOrdenes[[#This Row],[tipo_ot]],tblTiposOT[codigo],tblTiposOT[clasificacion],"sin_clasificar"))</f>
        <v/>
      </c>
      <c r="U153" s="3">
        <f>IF(tblOrdenes[[#This Row],[centro_costo]]="","",_xlfn.XLOOKUP(tblOrdenes[[#This Row],[centro_costo]],tblCECO[codigo],tblCECO[linea],"(sin catálogo)"))</f>
        <v/>
      </c>
      <c r="V153" s="3">
        <f>IF(tblOrdenes[[#This Row],[centro_costo]]="","",_xlfn.XLOOKUP(tblOrdenes[[#This Row],[centro_costo]],tblCECO[codigo],tblCECO[area],"(sin catálogo)"))</f>
        <v/>
      </c>
      <c r="W1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3" s="3">
        <f>IF(tblOrdenes[[#This Row],[centro_costo]]="","",_xlfn.XLOOKUP(tblOrdenes[[#This Row],[centro_costo]],tblCECO[codigo],tblCECO[coordinador],"(sin catálogo)"))</f>
        <v/>
      </c>
      <c r="Y153" s="3">
        <f>IF(tblOrdenes[[#This Row],[puesto_trabajo]]="","",_xlfn.XLOOKUP(tblOrdenes[[#This Row],[puesto_trabajo]],tblPuestos[codigo],tblPuestos[especialidad],"(sin catálogo)"))</f>
        <v/>
      </c>
      <c r="Z153" s="3">
        <f>IF(tblOrdenes[[#This Row],[cod_actividad]]="","",_xlfn.XLOOKUP(tblOrdenes[[#This Row],[cod_actividad]],tblActividades[codigo],tblActividades[descripcion],"(sin catálogo)"))</f>
        <v/>
      </c>
      <c r="AA153" s="13">
        <f>IF(tblOrdenes[[#This Row],[fecha_inicio]]="","",TODAY()-tblOrdenes[[#This Row],[fecha_inicio]])</f>
        <v/>
      </c>
      <c r="AB1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3" s="3">
        <f>IF(tblOrdenes[[#This Row],[backlog_habiles]]="","",IF(tblOrdenes[[#This Row],[backlog_habiles]]&lt;0,"FUTURO",IF(tblOrdenes[[#This Row],[backlog_habiles]]&gt;p_dias_backlog_max,"BACKLOG","MES CORRIENTE")))</f>
        <v/>
      </c>
      <c r="AD153" s="3">
        <f>IF(tblOrdenes[[#This Row],[backlog_habiles]]="",FALSE,AND(tblOrdenes[[#This Row],[backlog_habiles]]&gt;p_dias_backlog_min,tblOrdenes[[#This Row],[backlog_habiles]]&lt;=p_dias_backlog_max))</f>
        <v/>
      </c>
      <c r="AE153" s="6" t="inlineStr"/>
      <c r="AF1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3" s="11">
        <f>IF(tblOrdenes[[#This Row],[orden]]="","",_xlfn.XLOOKUP(tblOrdenes[[#This Row],[id_operacion]],tblEjecucion[id_operacion],tblEjecucion[precio],0))</f>
        <v/>
      </c>
      <c r="AJ153" s="11">
        <f>IF(tblOrdenes[[#This Row],[orden]]="","",MAX(0,_xlfn.XLOOKUP(tblOrdenes[[#This Row],[id_operacion]],tblEjecucion[id_operacion],tblEjecucion[costo_plan_total],0)-tblOrdenes[[#This Row],[costo_servicio]]))</f>
        <v/>
      </c>
      <c r="AK153" s="11">
        <f>IF(tblOrdenes[[#This Row],[orden]]="","",tblOrdenes[[#This Row],[costo_servicio]]+tblOrdenes[[#This Row],[costo_materiales]])</f>
        <v/>
      </c>
      <c r="AL153" s="6" t="inlineStr"/>
      <c r="AM153" s="6" t="inlineStr"/>
      <c r="AN153" s="6" t="inlineStr"/>
      <c r="AO153" s="3">
        <f>IF(tblOrdenes[[#This Row],[link_checklist]]="","",HYPERLINK(p_ruta_base_checklists&amp;tblOrdenes[[#This Row],[link_checklist]],"abrir"))</f>
        <v/>
      </c>
      <c r="AP153" s="6" t="inlineStr"/>
      <c r="AQ153" s="3">
        <f>IF(tblOrdenes[[#This Row],[orden]]="","",tblOrdenes[[#This Row],[orden]]&amp;IF(tblOrdenes[[#This Row],[operacion]]="","0010",tblOrdenes[[#This Row],[operacion]]))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Lubricación programada — EQ-111</t>
        </is>
      </c>
      <c r="D154" s="3" t="inlineStr">
        <is>
          <t>Lubricación programada en EQ-111</t>
        </is>
      </c>
      <c r="E154" s="3" t="inlineStr">
        <is>
          <t>EQ-111</t>
        </is>
      </c>
      <c r="F154" s="3" t="inlineStr">
        <is>
          <t>CC-320</t>
        </is>
      </c>
      <c r="G154" s="3" t="inlineStr">
        <is>
          <t>PU-MEC</t>
        </is>
      </c>
      <c r="H154" s="3" t="inlineStr">
        <is>
          <t>ACT-02</t>
        </is>
      </c>
      <c r="I154" s="3" t="inlineStr">
        <is>
          <t>TIPO-P2</t>
        </is>
      </c>
      <c r="J154" s="12" t="n">
        <v>46148</v>
      </c>
      <c r="K154" s="3" t="n">
        <v>4</v>
      </c>
      <c r="L154" s="11" t="n">
        <v>100</v>
      </c>
      <c r="M1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4" s="3">
        <f>IF(tblOrdenes[[#This Row],[fecha_inicio]]="","",YEAR(tblOrdenes[[#This Row],[fecha_inicio]]))</f>
        <v/>
      </c>
      <c r="Q154" s="3">
        <f>IF(tblOrdenes[[#This Row],[fecha_inicio]]="","",MONTH(tblOrdenes[[#This Row],[fecha_inicio]]))</f>
        <v/>
      </c>
      <c r="R154" s="3">
        <f>IF(tblOrdenes[[#This Row],[fecha_inicio]]="","",INDEX(lista_dias,WEEKDAY(tblOrdenes[[#This Row],[fecha_inicio]],2)))</f>
        <v/>
      </c>
      <c r="S1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4" s="3">
        <f>IF(tblOrdenes[[#This Row],[tipo_ot]]="","",_xlfn.XLOOKUP(tblOrdenes[[#This Row],[tipo_ot]],tblTiposOT[codigo],tblTiposOT[clasificacion],"sin_clasificar"))</f>
        <v/>
      </c>
      <c r="U154" s="3">
        <f>IF(tblOrdenes[[#This Row],[centro_costo]]="","",_xlfn.XLOOKUP(tblOrdenes[[#This Row],[centro_costo]],tblCECO[codigo],tblCECO[linea],"(sin catálogo)"))</f>
        <v/>
      </c>
      <c r="V154" s="3">
        <f>IF(tblOrdenes[[#This Row],[centro_costo]]="","",_xlfn.XLOOKUP(tblOrdenes[[#This Row],[centro_costo]],tblCECO[codigo],tblCECO[area],"(sin catálogo)"))</f>
        <v/>
      </c>
      <c r="W1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4" s="3">
        <f>IF(tblOrdenes[[#This Row],[centro_costo]]="","",_xlfn.XLOOKUP(tblOrdenes[[#This Row],[centro_costo]],tblCECO[codigo],tblCECO[coordinador],"(sin catálogo)"))</f>
        <v/>
      </c>
      <c r="Y154" s="3">
        <f>IF(tblOrdenes[[#This Row],[puesto_trabajo]]="","",_xlfn.XLOOKUP(tblOrdenes[[#This Row],[puesto_trabajo]],tblPuestos[codigo],tblPuestos[especialidad],"(sin catálogo)"))</f>
        <v/>
      </c>
      <c r="Z154" s="3">
        <f>IF(tblOrdenes[[#This Row],[cod_actividad]]="","",_xlfn.XLOOKUP(tblOrdenes[[#This Row],[cod_actividad]],tblActividades[codigo],tblActividades[descripcion],"(sin catálogo)"))</f>
        <v/>
      </c>
      <c r="AA154" s="13">
        <f>IF(tblOrdenes[[#This Row],[fecha_inicio]]="","",TODAY()-tblOrdenes[[#This Row],[fecha_inicio]])</f>
        <v/>
      </c>
      <c r="AB1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4" s="3">
        <f>IF(tblOrdenes[[#This Row],[backlog_habiles]]="","",IF(tblOrdenes[[#This Row],[backlog_habiles]]&lt;0,"FUTURO",IF(tblOrdenes[[#This Row],[backlog_habiles]]&gt;p_dias_backlog_max,"BACKLOG","MES CORRIENTE")))</f>
        <v/>
      </c>
      <c r="AD154" s="3">
        <f>IF(tblOrdenes[[#This Row],[backlog_habiles]]="",FALSE,AND(tblOrdenes[[#This Row],[backlog_habiles]]&gt;p_dias_backlog_min,tblOrdenes[[#This Row],[backlog_habiles]]&lt;=p_dias_backlog_max))</f>
        <v/>
      </c>
      <c r="AE154" s="6" t="inlineStr"/>
      <c r="AF1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4" s="11">
        <f>IF(tblOrdenes[[#This Row],[orden]]="","",_xlfn.XLOOKUP(tblOrdenes[[#This Row],[id_operacion]],tblEjecucion[id_operacion],tblEjecucion[precio],0))</f>
        <v/>
      </c>
      <c r="AJ154" s="11">
        <f>IF(tblOrdenes[[#This Row],[orden]]="","",MAX(0,_xlfn.XLOOKUP(tblOrdenes[[#This Row],[id_operacion]],tblEjecucion[id_operacion],tblEjecucion[costo_plan_total],0)-tblOrdenes[[#This Row],[costo_servicio]]))</f>
        <v/>
      </c>
      <c r="AK154" s="11">
        <f>IF(tblOrdenes[[#This Row],[orden]]="","",tblOrdenes[[#This Row],[costo_servicio]]+tblOrdenes[[#This Row],[costo_materiales]])</f>
        <v/>
      </c>
      <c r="AL154" s="6" t="inlineStr"/>
      <c r="AM154" s="6" t="inlineStr"/>
      <c r="AN154" s="6" t="inlineStr"/>
      <c r="AO154" s="3">
        <f>IF(tblOrdenes[[#This Row],[link_checklist]]="","",HYPERLINK(p_ruta_base_checklists&amp;tblOrdenes[[#This Row],[link_checklist]],"abrir"))</f>
        <v/>
      </c>
      <c r="AP154" s="6" t="inlineStr"/>
      <c r="AQ154" s="3">
        <f>IF(tblOrdenes[[#This Row],[orden]]="","",tblOrdenes[[#This Row],[orden]]&amp;IF(tblOrdenes[[#This Row],[operacion]]="","0010",tblOrdenes[[#This Row],[operacion]]))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EQ-112</t>
        </is>
      </c>
      <c r="D155" s="3" t="inlineStr">
        <is>
          <t>Reparación de falla en EQ-112</t>
        </is>
      </c>
      <c r="E155" s="3" t="inlineStr">
        <is>
          <t>EQ-112</t>
        </is>
      </c>
      <c r="F155" s="3" t="inlineStr">
        <is>
          <t>CC-321</t>
        </is>
      </c>
      <c r="G155" s="3" t="inlineStr">
        <is>
          <t>PU-ELE</t>
        </is>
      </c>
      <c r="H155" s="3" t="inlineStr">
        <is>
          <t>ACT-03</t>
        </is>
      </c>
      <c r="I155" s="3" t="inlineStr">
        <is>
          <t>TIPO-C1</t>
        </is>
      </c>
      <c r="J155" s="12" t="n">
        <v>46141</v>
      </c>
      <c r="K155" s="3" t="n">
        <v>6</v>
      </c>
      <c r="L155" s="11" t="n">
        <v>240</v>
      </c>
      <c r="M1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5" s="3">
        <f>IF(tblOrdenes[[#This Row],[fecha_inicio]]="","",YEAR(tblOrdenes[[#This Row],[fecha_inicio]]))</f>
        <v/>
      </c>
      <c r="Q155" s="3">
        <f>IF(tblOrdenes[[#This Row],[fecha_inicio]]="","",MONTH(tblOrdenes[[#This Row],[fecha_inicio]]))</f>
        <v/>
      </c>
      <c r="R155" s="3">
        <f>IF(tblOrdenes[[#This Row],[fecha_inicio]]="","",INDEX(lista_dias,WEEKDAY(tblOrdenes[[#This Row],[fecha_inicio]],2)))</f>
        <v/>
      </c>
      <c r="S1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5" s="3">
        <f>IF(tblOrdenes[[#This Row],[tipo_ot]]="","",_xlfn.XLOOKUP(tblOrdenes[[#This Row],[tipo_ot]],tblTiposOT[codigo],tblTiposOT[clasificacion],"sin_clasificar"))</f>
        <v/>
      </c>
      <c r="U155" s="3">
        <f>IF(tblOrdenes[[#This Row],[centro_costo]]="","",_xlfn.XLOOKUP(tblOrdenes[[#This Row],[centro_costo]],tblCECO[codigo],tblCECO[linea],"(sin catálogo)"))</f>
        <v/>
      </c>
      <c r="V155" s="3">
        <f>IF(tblOrdenes[[#This Row],[centro_costo]]="","",_xlfn.XLOOKUP(tblOrdenes[[#This Row],[centro_costo]],tblCECO[codigo],tblCECO[area],"(sin catálogo)"))</f>
        <v/>
      </c>
      <c r="W1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5" s="3">
        <f>IF(tblOrdenes[[#This Row],[centro_costo]]="","",_xlfn.XLOOKUP(tblOrdenes[[#This Row],[centro_costo]],tblCECO[codigo],tblCECO[coordinador],"(sin catálogo)"))</f>
        <v/>
      </c>
      <c r="Y155" s="3">
        <f>IF(tblOrdenes[[#This Row],[puesto_trabajo]]="","",_xlfn.XLOOKUP(tblOrdenes[[#This Row],[puesto_trabajo]],tblPuestos[codigo],tblPuestos[especialidad],"(sin catálogo)"))</f>
        <v/>
      </c>
      <c r="Z155" s="3">
        <f>IF(tblOrdenes[[#This Row],[cod_actividad]]="","",_xlfn.XLOOKUP(tblOrdenes[[#This Row],[cod_actividad]],tblActividades[codigo],tblActividades[descripcion],"(sin catálogo)"))</f>
        <v/>
      </c>
      <c r="AA155" s="13">
        <f>IF(tblOrdenes[[#This Row],[fecha_inicio]]="","",TODAY()-tblOrdenes[[#This Row],[fecha_inicio]])</f>
        <v/>
      </c>
      <c r="AB1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5" s="3">
        <f>IF(tblOrdenes[[#This Row],[backlog_habiles]]="","",IF(tblOrdenes[[#This Row],[backlog_habiles]]&lt;0,"FUTURO",IF(tblOrdenes[[#This Row],[backlog_habiles]]&gt;p_dias_backlog_max,"BACKLOG","MES CORRIENTE")))</f>
        <v/>
      </c>
      <c r="AD155" s="3">
        <f>IF(tblOrdenes[[#This Row],[backlog_habiles]]="",FALSE,AND(tblOrdenes[[#This Row],[backlog_habiles]]&gt;p_dias_backlog_min,tblOrdenes[[#This Row],[backlog_habiles]]&lt;=p_dias_backlog_max))</f>
        <v/>
      </c>
      <c r="AE155" s="6" t="inlineStr"/>
      <c r="AF1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5" s="11">
        <f>IF(tblOrdenes[[#This Row],[orden]]="","",_xlfn.XLOOKUP(tblOrdenes[[#This Row],[id_operacion]],tblEjecucion[id_operacion],tblEjecucion[precio],0))</f>
        <v/>
      </c>
      <c r="AJ155" s="11">
        <f>IF(tblOrdenes[[#This Row],[orden]]="","",MAX(0,_xlfn.XLOOKUP(tblOrdenes[[#This Row],[id_operacion]],tblEjecucion[id_operacion],tblEjecucion[costo_plan_total],0)-tblOrdenes[[#This Row],[costo_servicio]]))</f>
        <v/>
      </c>
      <c r="AK155" s="11">
        <f>IF(tblOrdenes[[#This Row],[orden]]="","",tblOrdenes[[#This Row],[costo_servicio]]+tblOrdenes[[#This Row],[costo_materiales]])</f>
        <v/>
      </c>
      <c r="AL155" s="6" t="inlineStr"/>
      <c r="AM155" s="6" t="inlineStr"/>
      <c r="AN155" s="6" t="inlineStr"/>
      <c r="AO155" s="3">
        <f>IF(tblOrdenes[[#This Row],[link_checklist]]="","",HYPERLINK(p_ruta_base_checklists&amp;tblOrdenes[[#This Row],[link_checklist]],"abrir"))</f>
        <v/>
      </c>
      <c r="AP155" s="6" t="inlineStr"/>
      <c r="AQ155" s="3">
        <f>IF(tblOrdenes[[#This Row],[orden]]="","",tblOrdenes[[#This Row],[orden]]&amp;IF(tblOrdenes[[#This Row],[operacion]]="","0010",tblOrdenes[[#This Row],[operacion]]))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Inspección de rutina — EQ-110</t>
        </is>
      </c>
      <c r="D156" s="3" t="inlineStr">
        <is>
          <t>Inspección de rutina en EQ-110</t>
        </is>
      </c>
      <c r="E156" s="3" t="inlineStr">
        <is>
          <t>EQ-110</t>
        </is>
      </c>
      <c r="F156" s="3" t="inlineStr">
        <is>
          <t>CC-330</t>
        </is>
      </c>
      <c r="G156" s="3" t="inlineStr">
        <is>
          <t>PU-AUT</t>
        </is>
      </c>
      <c r="H156" s="3" t="inlineStr">
        <is>
          <t>ACT-01</t>
        </is>
      </c>
      <c r="I156" s="3" t="inlineStr">
        <is>
          <t>TIPO-P2</t>
        </is>
      </c>
      <c r="J156" s="12" t="n">
        <v>46134</v>
      </c>
      <c r="K156" s="3" t="n">
        <v>8</v>
      </c>
      <c r="L156" s="11" t="n">
        <v>200</v>
      </c>
      <c r="M1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6" s="3">
        <f>IF(tblOrdenes[[#This Row],[fecha_inicio]]="","",YEAR(tblOrdenes[[#This Row],[fecha_inicio]]))</f>
        <v/>
      </c>
      <c r="Q156" s="3">
        <f>IF(tblOrdenes[[#This Row],[fecha_inicio]]="","",MONTH(tblOrdenes[[#This Row],[fecha_inicio]]))</f>
        <v/>
      </c>
      <c r="R156" s="3">
        <f>IF(tblOrdenes[[#This Row],[fecha_inicio]]="","",INDEX(lista_dias,WEEKDAY(tblOrdenes[[#This Row],[fecha_inicio]],2)))</f>
        <v/>
      </c>
      <c r="S1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6" s="3">
        <f>IF(tblOrdenes[[#This Row],[tipo_ot]]="","",_xlfn.XLOOKUP(tblOrdenes[[#This Row],[tipo_ot]],tblTiposOT[codigo],tblTiposOT[clasificacion],"sin_clasificar"))</f>
        <v/>
      </c>
      <c r="U156" s="3">
        <f>IF(tblOrdenes[[#This Row],[centro_costo]]="","",_xlfn.XLOOKUP(tblOrdenes[[#This Row],[centro_costo]],tblCECO[codigo],tblCECO[linea],"(sin catálogo)"))</f>
        <v/>
      </c>
      <c r="V156" s="3">
        <f>IF(tblOrdenes[[#This Row],[centro_costo]]="","",_xlfn.XLOOKUP(tblOrdenes[[#This Row],[centro_costo]],tblCECO[codigo],tblCECO[area],"(sin catálogo)"))</f>
        <v/>
      </c>
      <c r="W1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6" s="3">
        <f>IF(tblOrdenes[[#This Row],[centro_costo]]="","",_xlfn.XLOOKUP(tblOrdenes[[#This Row],[centro_costo]],tblCECO[codigo],tblCECO[coordinador],"(sin catálogo)"))</f>
        <v/>
      </c>
      <c r="Y156" s="3">
        <f>IF(tblOrdenes[[#This Row],[puesto_trabajo]]="","",_xlfn.XLOOKUP(tblOrdenes[[#This Row],[puesto_trabajo]],tblPuestos[codigo],tblPuestos[especialidad],"(sin catálogo)"))</f>
        <v/>
      </c>
      <c r="Z156" s="3">
        <f>IF(tblOrdenes[[#This Row],[cod_actividad]]="","",_xlfn.XLOOKUP(tblOrdenes[[#This Row],[cod_actividad]],tblActividades[codigo],tblActividades[descripcion],"(sin catálogo)"))</f>
        <v/>
      </c>
      <c r="AA156" s="13">
        <f>IF(tblOrdenes[[#This Row],[fecha_inicio]]="","",TODAY()-tblOrdenes[[#This Row],[fecha_inicio]])</f>
        <v/>
      </c>
      <c r="AB1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6" s="3">
        <f>IF(tblOrdenes[[#This Row],[backlog_habiles]]="","",IF(tblOrdenes[[#This Row],[backlog_habiles]]&lt;0,"FUTURO",IF(tblOrdenes[[#This Row],[backlog_habiles]]&gt;p_dias_backlog_max,"BACKLOG","MES CORRIENTE")))</f>
        <v/>
      </c>
      <c r="AD156" s="3">
        <f>IF(tblOrdenes[[#This Row],[backlog_habiles]]="",FALSE,AND(tblOrdenes[[#This Row],[backlog_habiles]]&gt;p_dias_backlog_min,tblOrdenes[[#This Row],[backlog_habiles]]&lt;=p_dias_backlog_max))</f>
        <v/>
      </c>
      <c r="AE156" s="6" t="inlineStr"/>
      <c r="AF1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6" s="11">
        <f>IF(tblOrdenes[[#This Row],[orden]]="","",_xlfn.XLOOKUP(tblOrdenes[[#This Row],[id_operacion]],tblEjecucion[id_operacion],tblEjecucion[precio],0))</f>
        <v/>
      </c>
      <c r="AJ156" s="11">
        <f>IF(tblOrdenes[[#This Row],[orden]]="","",MAX(0,_xlfn.XLOOKUP(tblOrdenes[[#This Row],[id_operacion]],tblEjecucion[id_operacion],tblEjecucion[costo_plan_total],0)-tblOrdenes[[#This Row],[costo_servicio]]))</f>
        <v/>
      </c>
      <c r="AK156" s="11">
        <f>IF(tblOrdenes[[#This Row],[orden]]="","",tblOrdenes[[#This Row],[costo_servicio]]+tblOrdenes[[#This Row],[costo_materiales]])</f>
        <v/>
      </c>
      <c r="AL156" s="6" t="inlineStr"/>
      <c r="AM156" s="6" t="inlineStr"/>
      <c r="AN156" s="6" t="inlineStr"/>
      <c r="AO156" s="3">
        <f>IF(tblOrdenes[[#This Row],[link_checklist]]="","",HYPERLINK(p_ruta_base_checklists&amp;tblOrdenes[[#This Row],[link_checklist]],"abrir"))</f>
        <v/>
      </c>
      <c r="AP156" s="6" t="inlineStr"/>
      <c r="AQ156" s="3">
        <f>IF(tblOrdenes[[#This Row],[orden]]="","",tblOrdenes[[#This Row],[orden]]&amp;IF(tblOrdenes[[#This Row],[operacion]]="","0010",tblOrdenes[[#This Row],[operacion]]))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EQ-111</t>
        </is>
      </c>
      <c r="D157" s="3" t="inlineStr">
        <is>
          <t>Reparación de falla en EQ-111</t>
        </is>
      </c>
      <c r="E157" s="3" t="inlineStr">
        <is>
          <t>EQ-111</t>
        </is>
      </c>
      <c r="F157" s="3" t="inlineStr">
        <is>
          <t>CC-340</t>
        </is>
      </c>
      <c r="G157" s="3" t="inlineStr">
        <is>
          <t>PU-MEC</t>
        </is>
      </c>
      <c r="H157" s="3" t="inlineStr">
        <is>
          <t>ACT-03</t>
        </is>
      </c>
      <c r="I157" s="3" t="inlineStr">
        <is>
          <t>TIPO-C1</t>
        </is>
      </c>
      <c r="J157" s="12" t="n">
        <v>46127</v>
      </c>
      <c r="K157" s="3" t="n">
        <v>4</v>
      </c>
      <c r="L157" s="11" t="n">
        <v>160</v>
      </c>
      <c r="M1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7" s="3">
        <f>IF(tblOrdenes[[#This Row],[fecha_inicio]]="","",YEAR(tblOrdenes[[#This Row],[fecha_inicio]]))</f>
        <v/>
      </c>
      <c r="Q157" s="3">
        <f>IF(tblOrdenes[[#This Row],[fecha_inicio]]="","",MONTH(tblOrdenes[[#This Row],[fecha_inicio]]))</f>
        <v/>
      </c>
      <c r="R157" s="3">
        <f>IF(tblOrdenes[[#This Row],[fecha_inicio]]="","",INDEX(lista_dias,WEEKDAY(tblOrdenes[[#This Row],[fecha_inicio]],2)))</f>
        <v/>
      </c>
      <c r="S1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7" s="3">
        <f>IF(tblOrdenes[[#This Row],[tipo_ot]]="","",_xlfn.XLOOKUP(tblOrdenes[[#This Row],[tipo_ot]],tblTiposOT[codigo],tblTiposOT[clasificacion],"sin_clasificar"))</f>
        <v/>
      </c>
      <c r="U157" s="3">
        <f>IF(tblOrdenes[[#This Row],[centro_costo]]="","",_xlfn.XLOOKUP(tblOrdenes[[#This Row],[centro_costo]],tblCECO[codigo],tblCECO[linea],"(sin catálogo)"))</f>
        <v/>
      </c>
      <c r="V157" s="3">
        <f>IF(tblOrdenes[[#This Row],[centro_costo]]="","",_xlfn.XLOOKUP(tblOrdenes[[#This Row],[centro_costo]],tblCECO[codigo],tblCECO[area],"(sin catálogo)"))</f>
        <v/>
      </c>
      <c r="W1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7" s="3">
        <f>IF(tblOrdenes[[#This Row],[centro_costo]]="","",_xlfn.XLOOKUP(tblOrdenes[[#This Row],[centro_costo]],tblCECO[codigo],tblCECO[coordinador],"(sin catálogo)"))</f>
        <v/>
      </c>
      <c r="Y157" s="3">
        <f>IF(tblOrdenes[[#This Row],[puesto_trabajo]]="","",_xlfn.XLOOKUP(tblOrdenes[[#This Row],[puesto_trabajo]],tblPuestos[codigo],tblPuestos[especialidad],"(sin catálogo)"))</f>
        <v/>
      </c>
      <c r="Z157" s="3">
        <f>IF(tblOrdenes[[#This Row],[cod_actividad]]="","",_xlfn.XLOOKUP(tblOrdenes[[#This Row],[cod_actividad]],tblActividades[codigo],tblActividades[descripcion],"(sin catálogo)"))</f>
        <v/>
      </c>
      <c r="AA157" s="13">
        <f>IF(tblOrdenes[[#This Row],[fecha_inicio]]="","",TODAY()-tblOrdenes[[#This Row],[fecha_inicio]])</f>
        <v/>
      </c>
      <c r="AB1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7" s="3">
        <f>IF(tblOrdenes[[#This Row],[backlog_habiles]]="","",IF(tblOrdenes[[#This Row],[backlog_habiles]]&lt;0,"FUTURO",IF(tblOrdenes[[#This Row],[backlog_habiles]]&gt;p_dias_backlog_max,"BACKLOG","MES CORRIENTE")))</f>
        <v/>
      </c>
      <c r="AD157" s="3">
        <f>IF(tblOrdenes[[#This Row],[backlog_habiles]]="",FALSE,AND(tblOrdenes[[#This Row],[backlog_habiles]]&gt;p_dias_backlog_min,tblOrdenes[[#This Row],[backlog_habiles]]&lt;=p_dias_backlog_max))</f>
        <v/>
      </c>
      <c r="AE157" s="6" t="inlineStr"/>
      <c r="AF1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7" s="11">
        <f>IF(tblOrdenes[[#This Row],[orden]]="","",_xlfn.XLOOKUP(tblOrdenes[[#This Row],[id_operacion]],tblEjecucion[id_operacion],tblEjecucion[precio],0))</f>
        <v/>
      </c>
      <c r="AJ157" s="11">
        <f>IF(tblOrdenes[[#This Row],[orden]]="","",MAX(0,_xlfn.XLOOKUP(tblOrdenes[[#This Row],[id_operacion]],tblEjecucion[id_operacion],tblEjecucion[costo_plan_total],0)-tblOrdenes[[#This Row],[costo_servicio]]))</f>
        <v/>
      </c>
      <c r="AK157" s="11">
        <f>IF(tblOrdenes[[#This Row],[orden]]="","",tblOrdenes[[#This Row],[costo_servicio]]+tblOrdenes[[#This Row],[costo_materiales]])</f>
        <v/>
      </c>
      <c r="AL157" s="6" t="inlineStr"/>
      <c r="AM157" s="6" t="inlineStr"/>
      <c r="AN157" s="6" t="inlineStr"/>
      <c r="AO157" s="3">
        <f>IF(tblOrdenes[[#This Row],[link_checklist]]="","",HYPERLINK(p_ruta_base_checklists&amp;tblOrdenes[[#This Row],[link_checklist]],"abrir"))</f>
        <v/>
      </c>
      <c r="AP157" s="6" t="inlineStr"/>
      <c r="AQ157" s="3">
        <f>IF(tblOrdenes[[#This Row],[orden]]="","",tblOrdenes[[#This Row],[orden]]&amp;IF(tblOrdenes[[#This Row],[operacion]]="","0010",tblOrdenes[[#This Row],[operacion]]))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Análisis predictivo — EQ-101</t>
        </is>
      </c>
      <c r="D158" s="3" t="inlineStr">
        <is>
          <t>Análisis predictivo en EQ-101</t>
        </is>
      </c>
      <c r="E158" s="3" t="inlineStr">
        <is>
          <t>EQ-101</t>
        </is>
      </c>
      <c r="F158" s="3" t="inlineStr">
        <is>
          <t>CC-110</t>
        </is>
      </c>
      <c r="G158" s="3" t="inlineStr">
        <is>
          <t>PU-ELE</t>
        </is>
      </c>
      <c r="H158" s="3" t="inlineStr">
        <is>
          <t>ACT-04</t>
        </is>
      </c>
      <c r="I158" s="3" t="inlineStr">
        <is>
          <t>TIPO-P2</t>
        </is>
      </c>
      <c r="J158" s="12" t="n">
        <v>46120</v>
      </c>
      <c r="K158" s="3" t="n">
        <v>6</v>
      </c>
      <c r="L158" s="11" t="n">
        <v>150</v>
      </c>
      <c r="M1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8" s="3">
        <f>IF(tblOrdenes[[#This Row],[fecha_inicio]]="","",YEAR(tblOrdenes[[#This Row],[fecha_inicio]]))</f>
        <v/>
      </c>
      <c r="Q158" s="3">
        <f>IF(tblOrdenes[[#This Row],[fecha_inicio]]="","",MONTH(tblOrdenes[[#This Row],[fecha_inicio]]))</f>
        <v/>
      </c>
      <c r="R158" s="3">
        <f>IF(tblOrdenes[[#This Row],[fecha_inicio]]="","",INDEX(lista_dias,WEEKDAY(tblOrdenes[[#This Row],[fecha_inicio]],2)))</f>
        <v/>
      </c>
      <c r="S1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8" s="3">
        <f>IF(tblOrdenes[[#This Row],[tipo_ot]]="","",_xlfn.XLOOKUP(tblOrdenes[[#This Row],[tipo_ot]],tblTiposOT[codigo],tblTiposOT[clasificacion],"sin_clasificar"))</f>
        <v/>
      </c>
      <c r="U158" s="3">
        <f>IF(tblOrdenes[[#This Row],[centro_costo]]="","",_xlfn.XLOOKUP(tblOrdenes[[#This Row],[centro_costo]],tblCECO[codigo],tblCECO[linea],"(sin catálogo)"))</f>
        <v/>
      </c>
      <c r="V158" s="3">
        <f>IF(tblOrdenes[[#This Row],[centro_costo]]="","",_xlfn.XLOOKUP(tblOrdenes[[#This Row],[centro_costo]],tblCECO[codigo],tblCECO[area],"(sin catálogo)"))</f>
        <v/>
      </c>
      <c r="W1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8" s="3">
        <f>IF(tblOrdenes[[#This Row],[centro_costo]]="","",_xlfn.XLOOKUP(tblOrdenes[[#This Row],[centro_costo]],tblCECO[codigo],tblCECO[coordinador],"(sin catálogo)"))</f>
        <v/>
      </c>
      <c r="Y158" s="3">
        <f>IF(tblOrdenes[[#This Row],[puesto_trabajo]]="","",_xlfn.XLOOKUP(tblOrdenes[[#This Row],[puesto_trabajo]],tblPuestos[codigo],tblPuestos[especialidad],"(sin catálogo)"))</f>
        <v/>
      </c>
      <c r="Z158" s="3">
        <f>IF(tblOrdenes[[#This Row],[cod_actividad]]="","",_xlfn.XLOOKUP(tblOrdenes[[#This Row],[cod_actividad]],tblActividades[codigo],tblActividades[descripcion],"(sin catálogo)"))</f>
        <v/>
      </c>
      <c r="AA158" s="13">
        <f>IF(tblOrdenes[[#This Row],[fecha_inicio]]="","",TODAY()-tblOrdenes[[#This Row],[fecha_inicio]])</f>
        <v/>
      </c>
      <c r="AB1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8" s="3">
        <f>IF(tblOrdenes[[#This Row],[backlog_habiles]]="","",IF(tblOrdenes[[#This Row],[backlog_habiles]]&lt;0,"FUTURO",IF(tblOrdenes[[#This Row],[backlog_habiles]]&gt;p_dias_backlog_max,"BACKLOG","MES CORRIENTE")))</f>
        <v/>
      </c>
      <c r="AD158" s="3">
        <f>IF(tblOrdenes[[#This Row],[backlog_habiles]]="",FALSE,AND(tblOrdenes[[#This Row],[backlog_habiles]]&gt;p_dias_backlog_min,tblOrdenes[[#This Row],[backlog_habiles]]&lt;=p_dias_backlog_max))</f>
        <v/>
      </c>
      <c r="AE158" s="6" t="inlineStr"/>
      <c r="AF1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8" s="11">
        <f>IF(tblOrdenes[[#This Row],[orden]]="","",_xlfn.XLOOKUP(tblOrdenes[[#This Row],[id_operacion]],tblEjecucion[id_operacion],tblEjecucion[precio],0))</f>
        <v/>
      </c>
      <c r="AJ158" s="11">
        <f>IF(tblOrdenes[[#This Row],[orden]]="","",MAX(0,_xlfn.XLOOKUP(tblOrdenes[[#This Row],[id_operacion]],tblEjecucion[id_operacion],tblEjecucion[costo_plan_total],0)-tblOrdenes[[#This Row],[costo_servicio]]))</f>
        <v/>
      </c>
      <c r="AK158" s="11">
        <f>IF(tblOrdenes[[#This Row],[orden]]="","",tblOrdenes[[#This Row],[costo_servicio]]+tblOrdenes[[#This Row],[costo_materiales]])</f>
        <v/>
      </c>
      <c r="AL158" s="6" t="inlineStr"/>
      <c r="AM158" s="6" t="inlineStr"/>
      <c r="AN158" s="6" t="inlineStr"/>
      <c r="AO158" s="3">
        <f>IF(tblOrdenes[[#This Row],[link_checklist]]="","",HYPERLINK(p_ruta_base_checklists&amp;tblOrdenes[[#This Row],[link_checklist]],"abrir"))</f>
        <v/>
      </c>
      <c r="AP158" s="6" t="inlineStr"/>
      <c r="AQ158" s="3">
        <f>IF(tblOrdenes[[#This Row],[orden]]="","",tblOrdenes[[#This Row],[orden]]&amp;IF(tblOrdenes[[#This Row],[operacion]]="","0010",tblOrdenes[[#This Row],[operacion]]))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EQ-102</t>
        </is>
      </c>
      <c r="D159" s="3" t="inlineStr">
        <is>
          <t>Reparación de falla en EQ-102</t>
        </is>
      </c>
      <c r="E159" s="3" t="inlineStr">
        <is>
          <t>EQ-102</t>
        </is>
      </c>
      <c r="F159" s="3" t="inlineStr">
        <is>
          <t>CC-120</t>
        </is>
      </c>
      <c r="G159" s="3" t="inlineStr">
        <is>
          <t>PU-AUT</t>
        </is>
      </c>
      <c r="H159" s="3" t="inlineStr">
        <is>
          <t>ACT-03</t>
        </is>
      </c>
      <c r="I159" s="3" t="inlineStr">
        <is>
          <t>TIPO-C1</t>
        </is>
      </c>
      <c r="J159" s="12" t="n">
        <v>46113</v>
      </c>
      <c r="K159" s="3" t="n">
        <v>8</v>
      </c>
      <c r="L159" s="11" t="n">
        <v>320</v>
      </c>
      <c r="M1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9" s="3">
        <f>IF(tblOrdenes[[#This Row],[fecha_inicio]]="","",YEAR(tblOrdenes[[#This Row],[fecha_inicio]]))</f>
        <v/>
      </c>
      <c r="Q159" s="3">
        <f>IF(tblOrdenes[[#This Row],[fecha_inicio]]="","",MONTH(tblOrdenes[[#This Row],[fecha_inicio]]))</f>
        <v/>
      </c>
      <c r="R159" s="3">
        <f>IF(tblOrdenes[[#This Row],[fecha_inicio]]="","",INDEX(lista_dias,WEEKDAY(tblOrdenes[[#This Row],[fecha_inicio]],2)))</f>
        <v/>
      </c>
      <c r="S1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9" s="3">
        <f>IF(tblOrdenes[[#This Row],[tipo_ot]]="","",_xlfn.XLOOKUP(tblOrdenes[[#This Row],[tipo_ot]],tblTiposOT[codigo],tblTiposOT[clasificacion],"sin_clasificar"))</f>
        <v/>
      </c>
      <c r="U159" s="3">
        <f>IF(tblOrdenes[[#This Row],[centro_costo]]="","",_xlfn.XLOOKUP(tblOrdenes[[#This Row],[centro_costo]],tblCECO[codigo],tblCECO[linea],"(sin catálogo)"))</f>
        <v/>
      </c>
      <c r="V159" s="3">
        <f>IF(tblOrdenes[[#This Row],[centro_costo]]="","",_xlfn.XLOOKUP(tblOrdenes[[#This Row],[centro_costo]],tblCECO[codigo],tblCECO[area],"(sin catálogo)"))</f>
        <v/>
      </c>
      <c r="W1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9" s="3">
        <f>IF(tblOrdenes[[#This Row],[centro_costo]]="","",_xlfn.XLOOKUP(tblOrdenes[[#This Row],[centro_costo]],tblCECO[codigo],tblCECO[coordinador],"(sin catálogo)"))</f>
        <v/>
      </c>
      <c r="Y159" s="3">
        <f>IF(tblOrdenes[[#This Row],[puesto_trabajo]]="","",_xlfn.XLOOKUP(tblOrdenes[[#This Row],[puesto_trabajo]],tblPuestos[codigo],tblPuestos[especialidad],"(sin catálogo)"))</f>
        <v/>
      </c>
      <c r="Z159" s="3">
        <f>IF(tblOrdenes[[#This Row],[cod_actividad]]="","",_xlfn.XLOOKUP(tblOrdenes[[#This Row],[cod_actividad]],tblActividades[codigo],tblActividades[descripcion],"(sin catálogo)"))</f>
        <v/>
      </c>
      <c r="AA159" s="13">
        <f>IF(tblOrdenes[[#This Row],[fecha_inicio]]="","",TODAY()-tblOrdenes[[#This Row],[fecha_inicio]])</f>
        <v/>
      </c>
      <c r="AB1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9" s="3">
        <f>IF(tblOrdenes[[#This Row],[backlog_habiles]]="","",IF(tblOrdenes[[#This Row],[backlog_habiles]]&lt;0,"FUTURO",IF(tblOrdenes[[#This Row],[backlog_habiles]]&gt;p_dias_backlog_max,"BACKLOG","MES CORRIENTE")))</f>
        <v/>
      </c>
      <c r="AD159" s="3">
        <f>IF(tblOrdenes[[#This Row],[backlog_habiles]]="",FALSE,AND(tblOrdenes[[#This Row],[backlog_habiles]]&gt;p_dias_backlog_min,tblOrdenes[[#This Row],[backlog_habiles]]&lt;=p_dias_backlog_max))</f>
        <v/>
      </c>
      <c r="AE159" s="6" t="inlineStr"/>
      <c r="AF1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9" s="11">
        <f>IF(tblOrdenes[[#This Row],[orden]]="","",_xlfn.XLOOKUP(tblOrdenes[[#This Row],[id_operacion]],tblEjecucion[id_operacion],tblEjecucion[precio],0))</f>
        <v/>
      </c>
      <c r="AJ159" s="11">
        <f>IF(tblOrdenes[[#This Row],[orden]]="","",MAX(0,_xlfn.XLOOKUP(tblOrdenes[[#This Row],[id_operacion]],tblEjecucion[id_operacion],tblEjecucion[costo_plan_total],0)-tblOrdenes[[#This Row],[costo_servicio]]))</f>
        <v/>
      </c>
      <c r="AK159" s="11">
        <f>IF(tblOrdenes[[#This Row],[orden]]="","",tblOrdenes[[#This Row],[costo_servicio]]+tblOrdenes[[#This Row],[costo_materiales]])</f>
        <v/>
      </c>
      <c r="AL159" s="6" t="inlineStr"/>
      <c r="AM159" s="6" t="inlineStr"/>
      <c r="AN159" s="6" t="inlineStr"/>
      <c r="AO159" s="3">
        <f>IF(tblOrdenes[[#This Row],[link_checklist]]="","",HYPERLINK(p_ruta_base_checklists&amp;tblOrdenes[[#This Row],[link_checklist]],"abrir"))</f>
        <v/>
      </c>
      <c r="AP159" s="6" t="inlineStr"/>
      <c r="AQ159" s="3">
        <f>IF(tblOrdenes[[#This Row],[orden]]="","",tblOrdenes[[#This Row],[orden]]&amp;IF(tblOrdenes[[#This Row],[operacion]]="","0010",tblOrdenes[[#This Row],[operacion]]))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Lubricación programada — EQ-107</t>
        </is>
      </c>
      <c r="D160" s="3" t="inlineStr">
        <is>
          <t>Lubricación programada en EQ-107</t>
        </is>
      </c>
      <c r="E160" s="3" t="inlineStr">
        <is>
          <t>EQ-107</t>
        </is>
      </c>
      <c r="F160" s="3" t="inlineStr">
        <is>
          <t>CC-210</t>
        </is>
      </c>
      <c r="G160" s="3" t="inlineStr">
        <is>
          <t>PU-MEC</t>
        </is>
      </c>
      <c r="H160" s="3" t="inlineStr">
        <is>
          <t>ACT-02</t>
        </is>
      </c>
      <c r="I160" s="3" t="inlineStr">
        <is>
          <t>TIPO-P2</t>
        </is>
      </c>
      <c r="J160" s="12" t="n">
        <v>46106</v>
      </c>
      <c r="K160" s="3" t="n">
        <v>4</v>
      </c>
      <c r="L160" s="11" t="n">
        <v>100</v>
      </c>
      <c r="M1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0" s="3">
        <f>IF(tblOrdenes[[#This Row],[fecha_inicio]]="","",YEAR(tblOrdenes[[#This Row],[fecha_inicio]]))</f>
        <v/>
      </c>
      <c r="Q160" s="3">
        <f>IF(tblOrdenes[[#This Row],[fecha_inicio]]="","",MONTH(tblOrdenes[[#This Row],[fecha_inicio]]))</f>
        <v/>
      </c>
      <c r="R160" s="3">
        <f>IF(tblOrdenes[[#This Row],[fecha_inicio]]="","",INDEX(lista_dias,WEEKDAY(tblOrdenes[[#This Row],[fecha_inicio]],2)))</f>
        <v/>
      </c>
      <c r="S1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0" s="3">
        <f>IF(tblOrdenes[[#This Row],[tipo_ot]]="","",_xlfn.XLOOKUP(tblOrdenes[[#This Row],[tipo_ot]],tblTiposOT[codigo],tblTiposOT[clasificacion],"sin_clasificar"))</f>
        <v/>
      </c>
      <c r="U160" s="3">
        <f>IF(tblOrdenes[[#This Row],[centro_costo]]="","",_xlfn.XLOOKUP(tblOrdenes[[#This Row],[centro_costo]],tblCECO[codigo],tblCECO[linea],"(sin catálogo)"))</f>
        <v/>
      </c>
      <c r="V160" s="3">
        <f>IF(tblOrdenes[[#This Row],[centro_costo]]="","",_xlfn.XLOOKUP(tblOrdenes[[#This Row],[centro_costo]],tblCECO[codigo],tblCECO[area],"(sin catálogo)"))</f>
        <v/>
      </c>
      <c r="W1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0" s="3">
        <f>IF(tblOrdenes[[#This Row],[centro_costo]]="","",_xlfn.XLOOKUP(tblOrdenes[[#This Row],[centro_costo]],tblCECO[codigo],tblCECO[coordinador],"(sin catálogo)"))</f>
        <v/>
      </c>
      <c r="Y160" s="3">
        <f>IF(tblOrdenes[[#This Row],[puesto_trabajo]]="","",_xlfn.XLOOKUP(tblOrdenes[[#This Row],[puesto_trabajo]],tblPuestos[codigo],tblPuestos[especialidad],"(sin catálogo)"))</f>
        <v/>
      </c>
      <c r="Z160" s="3">
        <f>IF(tblOrdenes[[#This Row],[cod_actividad]]="","",_xlfn.XLOOKUP(tblOrdenes[[#This Row],[cod_actividad]],tblActividades[codigo],tblActividades[descripcion],"(sin catálogo)"))</f>
        <v/>
      </c>
      <c r="AA160" s="13">
        <f>IF(tblOrdenes[[#This Row],[fecha_inicio]]="","",TODAY()-tblOrdenes[[#This Row],[fecha_inicio]])</f>
        <v/>
      </c>
      <c r="AB1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0" s="3">
        <f>IF(tblOrdenes[[#This Row],[backlog_habiles]]="","",IF(tblOrdenes[[#This Row],[backlog_habiles]]&lt;0,"FUTURO",IF(tblOrdenes[[#This Row],[backlog_habiles]]&gt;p_dias_backlog_max,"BACKLOG","MES CORRIENTE")))</f>
        <v/>
      </c>
      <c r="AD160" s="3">
        <f>IF(tblOrdenes[[#This Row],[backlog_habiles]]="",FALSE,AND(tblOrdenes[[#This Row],[backlog_habiles]]&gt;p_dias_backlog_min,tblOrdenes[[#This Row],[backlog_habiles]]&lt;=p_dias_backlog_max))</f>
        <v/>
      </c>
      <c r="AE160" s="6" t="inlineStr"/>
      <c r="AF1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0" s="11">
        <f>IF(tblOrdenes[[#This Row],[orden]]="","",_xlfn.XLOOKUP(tblOrdenes[[#This Row],[id_operacion]],tblEjecucion[id_operacion],tblEjecucion[precio],0))</f>
        <v/>
      </c>
      <c r="AJ160" s="11">
        <f>IF(tblOrdenes[[#This Row],[orden]]="","",MAX(0,_xlfn.XLOOKUP(tblOrdenes[[#This Row],[id_operacion]],tblEjecucion[id_operacion],tblEjecucion[costo_plan_total],0)-tblOrdenes[[#This Row],[costo_servicio]]))</f>
        <v/>
      </c>
      <c r="AK160" s="11">
        <f>IF(tblOrdenes[[#This Row],[orden]]="","",tblOrdenes[[#This Row],[costo_servicio]]+tblOrdenes[[#This Row],[costo_materiales]])</f>
        <v/>
      </c>
      <c r="AL160" s="6" t="inlineStr"/>
      <c r="AM160" s="6" t="inlineStr"/>
      <c r="AN160" s="6" t="inlineStr"/>
      <c r="AO160" s="3">
        <f>IF(tblOrdenes[[#This Row],[link_checklist]]="","",HYPERLINK(p_ruta_base_checklists&amp;tblOrdenes[[#This Row],[link_checklist]],"abrir"))</f>
        <v/>
      </c>
      <c r="AP160" s="6" t="inlineStr"/>
      <c r="AQ160" s="3">
        <f>IF(tblOrdenes[[#This Row],[orden]]="","",tblOrdenes[[#This Row],[orden]]&amp;IF(tblOrdenes[[#This Row],[operacion]]="","0010",tblOrdenes[[#This Row],[operacion]]))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EQ-108</t>
        </is>
      </c>
      <c r="D161" s="3" t="inlineStr">
        <is>
          <t>Reparación de falla en EQ-108</t>
        </is>
      </c>
      <c r="E161" s="3" t="inlineStr">
        <is>
          <t>EQ-108</t>
        </is>
      </c>
      <c r="F161" s="3" t="inlineStr">
        <is>
          <t>CC-220</t>
        </is>
      </c>
      <c r="G161" s="3" t="inlineStr">
        <is>
          <t>PU-ELE</t>
        </is>
      </c>
      <c r="H161" s="3" t="inlineStr">
        <is>
          <t>ACT-03</t>
        </is>
      </c>
      <c r="I161" s="3" t="inlineStr">
        <is>
          <t>TIPO-C1</t>
        </is>
      </c>
      <c r="J161" s="12" t="n">
        <v>46099</v>
      </c>
      <c r="K161" s="3" t="n">
        <v>6</v>
      </c>
      <c r="L161" s="11" t="n">
        <v>240</v>
      </c>
      <c r="M1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1" s="3">
        <f>IF(tblOrdenes[[#This Row],[fecha_inicio]]="","",YEAR(tblOrdenes[[#This Row],[fecha_inicio]]))</f>
        <v/>
      </c>
      <c r="Q161" s="3">
        <f>IF(tblOrdenes[[#This Row],[fecha_inicio]]="","",MONTH(tblOrdenes[[#This Row],[fecha_inicio]]))</f>
        <v/>
      </c>
      <c r="R161" s="3">
        <f>IF(tblOrdenes[[#This Row],[fecha_inicio]]="","",INDEX(lista_dias,WEEKDAY(tblOrdenes[[#This Row],[fecha_inicio]],2)))</f>
        <v/>
      </c>
      <c r="S1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1" s="3">
        <f>IF(tblOrdenes[[#This Row],[tipo_ot]]="","",_xlfn.XLOOKUP(tblOrdenes[[#This Row],[tipo_ot]],tblTiposOT[codigo],tblTiposOT[clasificacion],"sin_clasificar"))</f>
        <v/>
      </c>
      <c r="U161" s="3">
        <f>IF(tblOrdenes[[#This Row],[centro_costo]]="","",_xlfn.XLOOKUP(tblOrdenes[[#This Row],[centro_costo]],tblCECO[codigo],tblCECO[linea],"(sin catálogo)"))</f>
        <v/>
      </c>
      <c r="V161" s="3">
        <f>IF(tblOrdenes[[#This Row],[centro_costo]]="","",_xlfn.XLOOKUP(tblOrdenes[[#This Row],[centro_costo]],tblCECO[codigo],tblCECO[area],"(sin catálogo)"))</f>
        <v/>
      </c>
      <c r="W1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1" s="3">
        <f>IF(tblOrdenes[[#This Row],[centro_costo]]="","",_xlfn.XLOOKUP(tblOrdenes[[#This Row],[centro_costo]],tblCECO[codigo],tblCECO[coordinador],"(sin catálogo)"))</f>
        <v/>
      </c>
      <c r="Y161" s="3">
        <f>IF(tblOrdenes[[#This Row],[puesto_trabajo]]="","",_xlfn.XLOOKUP(tblOrdenes[[#This Row],[puesto_trabajo]],tblPuestos[codigo],tblPuestos[especialidad],"(sin catálogo)"))</f>
        <v/>
      </c>
      <c r="Z161" s="3">
        <f>IF(tblOrdenes[[#This Row],[cod_actividad]]="","",_xlfn.XLOOKUP(tblOrdenes[[#This Row],[cod_actividad]],tblActividades[codigo],tblActividades[descripcion],"(sin catálogo)"))</f>
        <v/>
      </c>
      <c r="AA161" s="13">
        <f>IF(tblOrdenes[[#This Row],[fecha_inicio]]="","",TODAY()-tblOrdenes[[#This Row],[fecha_inicio]])</f>
        <v/>
      </c>
      <c r="AB1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1" s="3">
        <f>IF(tblOrdenes[[#This Row],[backlog_habiles]]="","",IF(tblOrdenes[[#This Row],[backlog_habiles]]&lt;0,"FUTURO",IF(tblOrdenes[[#This Row],[backlog_habiles]]&gt;p_dias_backlog_max,"BACKLOG","MES CORRIENTE")))</f>
        <v/>
      </c>
      <c r="AD161" s="3">
        <f>IF(tblOrdenes[[#This Row],[backlog_habiles]]="",FALSE,AND(tblOrdenes[[#This Row],[backlog_habiles]]&gt;p_dias_backlog_min,tblOrdenes[[#This Row],[backlog_habiles]]&lt;=p_dias_backlog_max))</f>
        <v/>
      </c>
      <c r="AE161" s="6" t="inlineStr"/>
      <c r="AF1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1" s="11">
        <f>IF(tblOrdenes[[#This Row],[orden]]="","",_xlfn.XLOOKUP(tblOrdenes[[#This Row],[id_operacion]],tblEjecucion[id_operacion],tblEjecucion[precio],0))</f>
        <v/>
      </c>
      <c r="AJ161" s="11">
        <f>IF(tblOrdenes[[#This Row],[orden]]="","",MAX(0,_xlfn.XLOOKUP(tblOrdenes[[#This Row],[id_operacion]],tblEjecucion[id_operacion],tblEjecucion[costo_plan_total],0)-tblOrdenes[[#This Row],[costo_servicio]]))</f>
        <v/>
      </c>
      <c r="AK161" s="11">
        <f>IF(tblOrdenes[[#This Row],[orden]]="","",tblOrdenes[[#This Row],[costo_servicio]]+tblOrdenes[[#This Row],[costo_materiales]])</f>
        <v/>
      </c>
      <c r="AL161" s="6" t="inlineStr"/>
      <c r="AM161" s="6" t="inlineStr"/>
      <c r="AN161" s="6" t="inlineStr"/>
      <c r="AO161" s="3">
        <f>IF(tblOrdenes[[#This Row],[link_checklist]]="","",HYPERLINK(p_ruta_base_checklists&amp;tblOrdenes[[#This Row],[link_checklist]],"abrir"))</f>
        <v/>
      </c>
      <c r="AP161" s="6" t="inlineStr"/>
      <c r="AQ161" s="3">
        <f>IF(tblOrdenes[[#This Row],[orden]]="","",tblOrdenes[[#This Row],[orden]]&amp;IF(tblOrdenes[[#This Row],[operacion]]="","0010",tblOrdenes[[#This Row],[operacion]]))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Inspección de rutina — EQ-110</t>
        </is>
      </c>
      <c r="D162" s="3" t="inlineStr">
        <is>
          <t>Inspección de rutina en EQ-110</t>
        </is>
      </c>
      <c r="E162" s="3" t="inlineStr">
        <is>
          <t>EQ-110</t>
        </is>
      </c>
      <c r="F162" s="3" t="inlineStr">
        <is>
          <t>CC-310</t>
        </is>
      </c>
      <c r="G162" s="3" t="inlineStr">
        <is>
          <t>PU-AUT</t>
        </is>
      </c>
      <c r="H162" s="3" t="inlineStr">
        <is>
          <t>ACT-01</t>
        </is>
      </c>
      <c r="I162" s="3" t="inlineStr">
        <is>
          <t>TIPO-P2</t>
        </is>
      </c>
      <c r="J162" s="12" t="n">
        <v>46092</v>
      </c>
      <c r="K162" s="3" t="n">
        <v>8</v>
      </c>
      <c r="L162" s="11" t="n">
        <v>200</v>
      </c>
      <c r="M1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2" s="3">
        <f>IF(tblOrdenes[[#This Row],[fecha_inicio]]="","",YEAR(tblOrdenes[[#This Row],[fecha_inicio]]))</f>
        <v/>
      </c>
      <c r="Q162" s="3">
        <f>IF(tblOrdenes[[#This Row],[fecha_inicio]]="","",MONTH(tblOrdenes[[#This Row],[fecha_inicio]]))</f>
        <v/>
      </c>
      <c r="R162" s="3">
        <f>IF(tblOrdenes[[#This Row],[fecha_inicio]]="","",INDEX(lista_dias,WEEKDAY(tblOrdenes[[#This Row],[fecha_inicio]],2)))</f>
        <v/>
      </c>
      <c r="S1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2" s="3">
        <f>IF(tblOrdenes[[#This Row],[tipo_ot]]="","",_xlfn.XLOOKUP(tblOrdenes[[#This Row],[tipo_ot]],tblTiposOT[codigo],tblTiposOT[clasificacion],"sin_clasificar"))</f>
        <v/>
      </c>
      <c r="U162" s="3">
        <f>IF(tblOrdenes[[#This Row],[centro_costo]]="","",_xlfn.XLOOKUP(tblOrdenes[[#This Row],[centro_costo]],tblCECO[codigo],tblCECO[linea],"(sin catálogo)"))</f>
        <v/>
      </c>
      <c r="V162" s="3">
        <f>IF(tblOrdenes[[#This Row],[centro_costo]]="","",_xlfn.XLOOKUP(tblOrdenes[[#This Row],[centro_costo]],tblCECO[codigo],tblCECO[area],"(sin catálogo)"))</f>
        <v/>
      </c>
      <c r="W1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2" s="3">
        <f>IF(tblOrdenes[[#This Row],[centro_costo]]="","",_xlfn.XLOOKUP(tblOrdenes[[#This Row],[centro_costo]],tblCECO[codigo],tblCECO[coordinador],"(sin catálogo)"))</f>
        <v/>
      </c>
      <c r="Y162" s="3">
        <f>IF(tblOrdenes[[#This Row],[puesto_trabajo]]="","",_xlfn.XLOOKUP(tblOrdenes[[#This Row],[puesto_trabajo]],tblPuestos[codigo],tblPuestos[especialidad],"(sin catálogo)"))</f>
        <v/>
      </c>
      <c r="Z162" s="3">
        <f>IF(tblOrdenes[[#This Row],[cod_actividad]]="","",_xlfn.XLOOKUP(tblOrdenes[[#This Row],[cod_actividad]],tblActividades[codigo],tblActividades[descripcion],"(sin catálogo)"))</f>
        <v/>
      </c>
      <c r="AA162" s="13">
        <f>IF(tblOrdenes[[#This Row],[fecha_inicio]]="","",TODAY()-tblOrdenes[[#This Row],[fecha_inicio]])</f>
        <v/>
      </c>
      <c r="AB1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2" s="3">
        <f>IF(tblOrdenes[[#This Row],[backlog_habiles]]="","",IF(tblOrdenes[[#This Row],[backlog_habiles]]&lt;0,"FUTURO",IF(tblOrdenes[[#This Row],[backlog_habiles]]&gt;p_dias_backlog_max,"BACKLOG","MES CORRIENTE")))</f>
        <v/>
      </c>
      <c r="AD162" s="3">
        <f>IF(tblOrdenes[[#This Row],[backlog_habiles]]="",FALSE,AND(tblOrdenes[[#This Row],[backlog_habiles]]&gt;p_dias_backlog_min,tblOrdenes[[#This Row],[backlog_habiles]]&lt;=p_dias_backlog_max))</f>
        <v/>
      </c>
      <c r="AE162" s="6" t="inlineStr"/>
      <c r="AF1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2" s="11">
        <f>IF(tblOrdenes[[#This Row],[orden]]="","",_xlfn.XLOOKUP(tblOrdenes[[#This Row],[id_operacion]],tblEjecucion[id_operacion],tblEjecucion[precio],0))</f>
        <v/>
      </c>
      <c r="AJ162" s="11">
        <f>IF(tblOrdenes[[#This Row],[orden]]="","",MAX(0,_xlfn.XLOOKUP(tblOrdenes[[#This Row],[id_operacion]],tblEjecucion[id_operacion],tblEjecucion[costo_plan_total],0)-tblOrdenes[[#This Row],[costo_servicio]]))</f>
        <v/>
      </c>
      <c r="AK162" s="11">
        <f>IF(tblOrdenes[[#This Row],[orden]]="","",tblOrdenes[[#This Row],[costo_servicio]]+tblOrdenes[[#This Row],[costo_materiales]])</f>
        <v/>
      </c>
      <c r="AL162" s="6" t="inlineStr"/>
      <c r="AM162" s="6" t="inlineStr"/>
      <c r="AN162" s="6" t="inlineStr"/>
      <c r="AO162" s="3">
        <f>IF(tblOrdenes[[#This Row],[link_checklist]]="","",HYPERLINK(p_ruta_base_checklists&amp;tblOrdenes[[#This Row],[link_checklist]],"abrir"))</f>
        <v/>
      </c>
      <c r="AP162" s="6" t="inlineStr"/>
      <c r="AQ162" s="3">
        <f>IF(tblOrdenes[[#This Row],[orden]]="","",tblOrdenes[[#This Row],[orden]]&amp;IF(tblOrdenes[[#This Row],[operacion]]="","0010",tblOrdenes[[#This Row],[operacion]]))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Lubricación programada — EQ-101</t>
        </is>
      </c>
      <c r="D163" s="3" t="inlineStr">
        <is>
          <t>Lubricación programada en EQ-101</t>
        </is>
      </c>
      <c r="E163" s="3" t="inlineStr">
        <is>
          <t>EQ-101</t>
        </is>
      </c>
      <c r="F163" s="3" t="inlineStr">
        <is>
          <t>CC-110</t>
        </is>
      </c>
      <c r="G163" s="3" t="inlineStr">
        <is>
          <t>PU-MEC</t>
        </is>
      </c>
      <c r="H163" s="3" t="inlineStr">
        <is>
          <t>ACT-02</t>
        </is>
      </c>
      <c r="I163" s="3" t="inlineStr">
        <is>
          <t>TIPO-P1</t>
        </is>
      </c>
      <c r="J163" s="12" t="n">
        <v>46270</v>
      </c>
      <c r="K163" s="3" t="n">
        <v>6</v>
      </c>
      <c r="L163" s="11" t="n">
        <v>150</v>
      </c>
      <c r="M1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3" s="3">
        <f>IF(tblOrdenes[[#This Row],[fecha_inicio]]="","",YEAR(tblOrdenes[[#This Row],[fecha_inicio]]))</f>
        <v/>
      </c>
      <c r="Q163" s="3">
        <f>IF(tblOrdenes[[#This Row],[fecha_inicio]]="","",MONTH(tblOrdenes[[#This Row],[fecha_inicio]]))</f>
        <v/>
      </c>
      <c r="R163" s="3">
        <f>IF(tblOrdenes[[#This Row],[fecha_inicio]]="","",INDEX(lista_dias,WEEKDAY(tblOrdenes[[#This Row],[fecha_inicio]],2)))</f>
        <v/>
      </c>
      <c r="S1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3" s="3">
        <f>IF(tblOrdenes[[#This Row],[tipo_ot]]="","",_xlfn.XLOOKUP(tblOrdenes[[#This Row],[tipo_ot]],tblTiposOT[codigo],tblTiposOT[clasificacion],"sin_clasificar"))</f>
        <v/>
      </c>
      <c r="U163" s="3">
        <f>IF(tblOrdenes[[#This Row],[centro_costo]]="","",_xlfn.XLOOKUP(tblOrdenes[[#This Row],[centro_costo]],tblCECO[codigo],tblCECO[linea],"(sin catálogo)"))</f>
        <v/>
      </c>
      <c r="V163" s="3">
        <f>IF(tblOrdenes[[#This Row],[centro_costo]]="","",_xlfn.XLOOKUP(tblOrdenes[[#This Row],[centro_costo]],tblCECO[codigo],tblCECO[area],"(sin catálogo)"))</f>
        <v/>
      </c>
      <c r="W1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3" s="3">
        <f>IF(tblOrdenes[[#This Row],[centro_costo]]="","",_xlfn.XLOOKUP(tblOrdenes[[#This Row],[centro_costo]],tblCECO[codigo],tblCECO[coordinador],"(sin catálogo)"))</f>
        <v/>
      </c>
      <c r="Y163" s="3">
        <f>IF(tblOrdenes[[#This Row],[puesto_trabajo]]="","",_xlfn.XLOOKUP(tblOrdenes[[#This Row],[puesto_trabajo]],tblPuestos[codigo],tblPuestos[especialidad],"(sin catálogo)"))</f>
        <v/>
      </c>
      <c r="Z163" s="3">
        <f>IF(tblOrdenes[[#This Row],[cod_actividad]]="","",_xlfn.XLOOKUP(tblOrdenes[[#This Row],[cod_actividad]],tblActividades[codigo],tblActividades[descripcion],"(sin catálogo)"))</f>
        <v/>
      </c>
      <c r="AA163" s="13">
        <f>IF(tblOrdenes[[#This Row],[fecha_inicio]]="","",TODAY()-tblOrdenes[[#This Row],[fecha_inicio]])</f>
        <v/>
      </c>
      <c r="AB1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3" s="3">
        <f>IF(tblOrdenes[[#This Row],[backlog_habiles]]="","",IF(tblOrdenes[[#This Row],[backlog_habiles]]&lt;0,"FUTURO",IF(tblOrdenes[[#This Row],[backlog_habiles]]&gt;p_dias_backlog_max,"BACKLOG","MES CORRIENTE")))</f>
        <v/>
      </c>
      <c r="AD163" s="3">
        <f>IF(tblOrdenes[[#This Row],[backlog_habiles]]="",FALSE,AND(tblOrdenes[[#This Row],[backlog_habiles]]&gt;p_dias_backlog_min,tblOrdenes[[#This Row],[backlog_habiles]]&lt;=p_dias_backlog_max))</f>
        <v/>
      </c>
      <c r="AE163" s="6" t="inlineStr"/>
      <c r="AF1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3" s="11">
        <f>IF(tblOrdenes[[#This Row],[orden]]="","",_xlfn.XLOOKUP(tblOrdenes[[#This Row],[id_operacion]],tblEjecucion[id_operacion],tblEjecucion[precio],0))</f>
        <v/>
      </c>
      <c r="AJ163" s="11">
        <f>IF(tblOrdenes[[#This Row],[orden]]="","",MAX(0,_xlfn.XLOOKUP(tblOrdenes[[#This Row],[id_operacion]],tblEjecucion[id_operacion],tblEjecucion[costo_plan_total],0)-tblOrdenes[[#This Row],[costo_servicio]]))</f>
        <v/>
      </c>
      <c r="AK163" s="11">
        <f>IF(tblOrdenes[[#This Row],[orden]]="","",tblOrdenes[[#This Row],[costo_servicio]]+tblOrdenes[[#This Row],[costo_materiales]])</f>
        <v/>
      </c>
      <c r="AL163" s="6" t="inlineStr"/>
      <c r="AM163" s="6" t="inlineStr"/>
      <c r="AN163" s="6" t="inlineStr"/>
      <c r="AO163" s="3">
        <f>IF(tblOrdenes[[#This Row],[link_checklist]]="","",HYPERLINK(p_ruta_base_checklists&amp;tblOrdenes[[#This Row],[link_checklist]],"abrir"))</f>
        <v/>
      </c>
      <c r="AP163" s="6" t="inlineStr"/>
      <c r="AQ163" s="3">
        <f>IF(tblOrdenes[[#This Row],[orden]]="","",tblOrdenes[[#This Row],[orden]]&amp;IF(tblOrdenes[[#This Row],[operacion]]="","0010",tblOrdenes[[#This Row],[operacion]]))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EQ-102</t>
        </is>
      </c>
      <c r="D164" s="3" t="inlineStr">
        <is>
          <t>Análisis predictivo en EQ-102</t>
        </is>
      </c>
      <c r="E164" s="3" t="inlineStr">
        <is>
          <t>EQ-102</t>
        </is>
      </c>
      <c r="F164" s="3" t="inlineStr">
        <is>
          <t>CC-110</t>
        </is>
      </c>
      <c r="G164" s="3" t="inlineStr">
        <is>
          <t>PU-MEC</t>
        </is>
      </c>
      <c r="H164" s="3" t="inlineStr">
        <is>
          <t>ACT-04</t>
        </is>
      </c>
      <c r="I164" s="3" t="inlineStr">
        <is>
          <t>TIPO-P2</t>
        </is>
      </c>
      <c r="J164" s="12" t="n">
        <v>46270</v>
      </c>
      <c r="K164" s="3" t="n">
        <v>6</v>
      </c>
      <c r="L164" s="11" t="n">
        <v>150</v>
      </c>
      <c r="M1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4" s="3">
        <f>IF(tblOrdenes[[#This Row],[fecha_inicio]]="","",YEAR(tblOrdenes[[#This Row],[fecha_inicio]]))</f>
        <v/>
      </c>
      <c r="Q164" s="3">
        <f>IF(tblOrdenes[[#This Row],[fecha_inicio]]="","",MONTH(tblOrdenes[[#This Row],[fecha_inicio]]))</f>
        <v/>
      </c>
      <c r="R164" s="3">
        <f>IF(tblOrdenes[[#This Row],[fecha_inicio]]="","",INDEX(lista_dias,WEEKDAY(tblOrdenes[[#This Row],[fecha_inicio]],2)))</f>
        <v/>
      </c>
      <c r="S1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4" s="3">
        <f>IF(tblOrdenes[[#This Row],[tipo_ot]]="","",_xlfn.XLOOKUP(tblOrdenes[[#This Row],[tipo_ot]],tblTiposOT[codigo],tblTiposOT[clasificacion],"sin_clasificar"))</f>
        <v/>
      </c>
      <c r="U164" s="3">
        <f>IF(tblOrdenes[[#This Row],[centro_costo]]="","",_xlfn.XLOOKUP(tblOrdenes[[#This Row],[centro_costo]],tblCECO[codigo],tblCECO[linea],"(sin catálogo)"))</f>
        <v/>
      </c>
      <c r="V164" s="3">
        <f>IF(tblOrdenes[[#This Row],[centro_costo]]="","",_xlfn.XLOOKUP(tblOrdenes[[#This Row],[centro_costo]],tblCECO[codigo],tblCECO[area],"(sin catálogo)"))</f>
        <v/>
      </c>
      <c r="W1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4" s="3">
        <f>IF(tblOrdenes[[#This Row],[centro_costo]]="","",_xlfn.XLOOKUP(tblOrdenes[[#This Row],[centro_costo]],tblCECO[codigo],tblCECO[coordinador],"(sin catálogo)"))</f>
        <v/>
      </c>
      <c r="Y164" s="3">
        <f>IF(tblOrdenes[[#This Row],[puesto_trabajo]]="","",_xlfn.XLOOKUP(tblOrdenes[[#This Row],[puesto_trabajo]],tblPuestos[codigo],tblPuestos[especialidad],"(sin catálogo)"))</f>
        <v/>
      </c>
      <c r="Z164" s="3">
        <f>IF(tblOrdenes[[#This Row],[cod_actividad]]="","",_xlfn.XLOOKUP(tblOrdenes[[#This Row],[cod_actividad]],tblActividades[codigo],tblActividades[descripcion],"(sin catálogo)"))</f>
        <v/>
      </c>
      <c r="AA164" s="13">
        <f>IF(tblOrdenes[[#This Row],[fecha_inicio]]="","",TODAY()-tblOrdenes[[#This Row],[fecha_inicio]])</f>
        <v/>
      </c>
      <c r="AB1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4" s="3">
        <f>IF(tblOrdenes[[#This Row],[backlog_habiles]]="","",IF(tblOrdenes[[#This Row],[backlog_habiles]]&lt;0,"FUTURO",IF(tblOrdenes[[#This Row],[backlog_habiles]]&gt;p_dias_backlog_max,"BACKLOG","MES CORRIENTE")))</f>
        <v/>
      </c>
      <c r="AD164" s="3">
        <f>IF(tblOrdenes[[#This Row],[backlog_habiles]]="",FALSE,AND(tblOrdenes[[#This Row],[backlog_habiles]]&gt;p_dias_backlog_min,tblOrdenes[[#This Row],[backlog_habiles]]&lt;=p_dias_backlog_max))</f>
        <v/>
      </c>
      <c r="AE164" s="6" t="inlineStr"/>
      <c r="AF1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4" s="11">
        <f>IF(tblOrdenes[[#This Row],[orden]]="","",_xlfn.XLOOKUP(tblOrdenes[[#This Row],[id_operacion]],tblEjecucion[id_operacion],tblEjecucion[precio],0))</f>
        <v/>
      </c>
      <c r="AJ164" s="11">
        <f>IF(tblOrdenes[[#This Row],[orden]]="","",MAX(0,_xlfn.XLOOKUP(tblOrdenes[[#This Row],[id_operacion]],tblEjecucion[id_operacion],tblEjecucion[costo_plan_total],0)-tblOrdenes[[#This Row],[costo_servicio]]))</f>
        <v/>
      </c>
      <c r="AK164" s="11">
        <f>IF(tblOrdenes[[#This Row],[orden]]="","",tblOrdenes[[#This Row],[costo_servicio]]+tblOrdenes[[#This Row],[costo_materiales]])</f>
        <v/>
      </c>
      <c r="AL164" s="6" t="inlineStr"/>
      <c r="AM164" s="6" t="inlineStr"/>
      <c r="AN164" s="6" t="inlineStr"/>
      <c r="AO164" s="3">
        <f>IF(tblOrdenes[[#This Row],[link_checklist]]="","",HYPERLINK(p_ruta_base_checklists&amp;tblOrdenes[[#This Row],[link_checklist]],"abrir"))</f>
        <v/>
      </c>
      <c r="AP164" s="6" t="inlineStr"/>
      <c r="AQ164" s="3">
        <f>IF(tblOrdenes[[#This Row],[orden]]="","",tblOrdenes[[#This Row],[orden]]&amp;IF(tblOrdenes[[#This Row],[operacion]]="","0010",tblOrdenes[[#This Row],[operacion]]))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Inspección de rutina — EQ-103</t>
        </is>
      </c>
      <c r="D165" s="3" t="inlineStr">
        <is>
          <t>Inspección de rutina en EQ-103</t>
        </is>
      </c>
      <c r="E165" s="3" t="inlineStr">
        <is>
          <t>EQ-103</t>
        </is>
      </c>
      <c r="F165" s="3" t="inlineStr">
        <is>
          <t>CC-110</t>
        </is>
      </c>
      <c r="G165" s="3" t="inlineStr">
        <is>
          <t>PU-MEC</t>
        </is>
      </c>
      <c r="H165" s="3" t="inlineStr">
        <is>
          <t>ACT-01</t>
        </is>
      </c>
      <c r="I165" s="3" t="inlineStr">
        <is>
          <t>TIPO-P1</t>
        </is>
      </c>
      <c r="J165" s="12" t="n">
        <v>46270</v>
      </c>
      <c r="K165" s="3" t="n">
        <v>6</v>
      </c>
      <c r="L165" s="11" t="n">
        <v>150</v>
      </c>
      <c r="M1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5" s="3">
        <f>IF(tblOrdenes[[#This Row],[fecha_inicio]]="","",YEAR(tblOrdenes[[#This Row],[fecha_inicio]]))</f>
        <v/>
      </c>
      <c r="Q165" s="3">
        <f>IF(tblOrdenes[[#This Row],[fecha_inicio]]="","",MONTH(tblOrdenes[[#This Row],[fecha_inicio]]))</f>
        <v/>
      </c>
      <c r="R165" s="3">
        <f>IF(tblOrdenes[[#This Row],[fecha_inicio]]="","",INDEX(lista_dias,WEEKDAY(tblOrdenes[[#This Row],[fecha_inicio]],2)))</f>
        <v/>
      </c>
      <c r="S1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5" s="3">
        <f>IF(tblOrdenes[[#This Row],[tipo_ot]]="","",_xlfn.XLOOKUP(tblOrdenes[[#This Row],[tipo_ot]],tblTiposOT[codigo],tblTiposOT[clasificacion],"sin_clasificar"))</f>
        <v/>
      </c>
      <c r="U165" s="3">
        <f>IF(tblOrdenes[[#This Row],[centro_costo]]="","",_xlfn.XLOOKUP(tblOrdenes[[#This Row],[centro_costo]],tblCECO[codigo],tblCECO[linea],"(sin catálogo)"))</f>
        <v/>
      </c>
      <c r="V165" s="3">
        <f>IF(tblOrdenes[[#This Row],[centro_costo]]="","",_xlfn.XLOOKUP(tblOrdenes[[#This Row],[centro_costo]],tblCECO[codigo],tblCECO[area],"(sin catálogo)"))</f>
        <v/>
      </c>
      <c r="W1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5" s="3">
        <f>IF(tblOrdenes[[#This Row],[centro_costo]]="","",_xlfn.XLOOKUP(tblOrdenes[[#This Row],[centro_costo]],tblCECO[codigo],tblCECO[coordinador],"(sin catálogo)"))</f>
        <v/>
      </c>
      <c r="Y165" s="3">
        <f>IF(tblOrdenes[[#This Row],[puesto_trabajo]]="","",_xlfn.XLOOKUP(tblOrdenes[[#This Row],[puesto_trabajo]],tblPuestos[codigo],tblPuestos[especialidad],"(sin catálogo)"))</f>
        <v/>
      </c>
      <c r="Z165" s="3">
        <f>IF(tblOrdenes[[#This Row],[cod_actividad]]="","",_xlfn.XLOOKUP(tblOrdenes[[#This Row],[cod_actividad]],tblActividades[codigo],tblActividades[descripcion],"(sin catálogo)"))</f>
        <v/>
      </c>
      <c r="AA165" s="13">
        <f>IF(tblOrdenes[[#This Row],[fecha_inicio]]="","",TODAY()-tblOrdenes[[#This Row],[fecha_inicio]])</f>
        <v/>
      </c>
      <c r="AB1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5" s="3">
        <f>IF(tblOrdenes[[#This Row],[backlog_habiles]]="","",IF(tblOrdenes[[#This Row],[backlog_habiles]]&lt;0,"FUTURO",IF(tblOrdenes[[#This Row],[backlog_habiles]]&gt;p_dias_backlog_max,"BACKLOG","MES CORRIENTE")))</f>
        <v/>
      </c>
      <c r="AD165" s="3">
        <f>IF(tblOrdenes[[#This Row],[backlog_habiles]]="",FALSE,AND(tblOrdenes[[#This Row],[backlog_habiles]]&gt;p_dias_backlog_min,tblOrdenes[[#This Row],[backlog_habiles]]&lt;=p_dias_backlog_max))</f>
        <v/>
      </c>
      <c r="AE165" s="6" t="inlineStr"/>
      <c r="AF1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5" s="11">
        <f>IF(tblOrdenes[[#This Row],[orden]]="","",_xlfn.XLOOKUP(tblOrdenes[[#This Row],[id_operacion]],tblEjecucion[id_operacion],tblEjecucion[precio],0))</f>
        <v/>
      </c>
      <c r="AJ165" s="11">
        <f>IF(tblOrdenes[[#This Row],[orden]]="","",MAX(0,_xlfn.XLOOKUP(tblOrdenes[[#This Row],[id_operacion]],tblEjecucion[id_operacion],tblEjecucion[costo_plan_total],0)-tblOrdenes[[#This Row],[costo_servicio]]))</f>
        <v/>
      </c>
      <c r="AK165" s="11">
        <f>IF(tblOrdenes[[#This Row],[orden]]="","",tblOrdenes[[#This Row],[costo_servicio]]+tblOrdenes[[#This Row],[costo_materiales]])</f>
        <v/>
      </c>
      <c r="AL165" s="6" t="inlineStr"/>
      <c r="AM165" s="6" t="inlineStr"/>
      <c r="AN165" s="6" t="inlineStr"/>
      <c r="AO165" s="3">
        <f>IF(tblOrdenes[[#This Row],[link_checklist]]="","",HYPERLINK(p_ruta_base_checklists&amp;tblOrdenes[[#This Row],[link_checklist]],"abrir"))</f>
        <v/>
      </c>
      <c r="AP165" s="6" t="inlineStr"/>
      <c r="AQ165" s="3">
        <f>IF(tblOrdenes[[#This Row],[orden]]="","",tblOrdenes[[#This Row],[orden]]&amp;IF(tblOrdenes[[#This Row],[operacion]]="","0010",tblOrdenes[[#This Row],[operacion]]))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Lubricación programada — EQ-104</t>
        </is>
      </c>
      <c r="D166" s="3" t="inlineStr">
        <is>
          <t>Lubricación programada en EQ-104</t>
        </is>
      </c>
      <c r="E166" s="3" t="inlineStr">
        <is>
          <t>EQ-104</t>
        </is>
      </c>
      <c r="F166" s="3" t="inlineStr">
        <is>
          <t>CC-110</t>
        </is>
      </c>
      <c r="G166" s="3" t="inlineStr">
        <is>
          <t>PU-ELE</t>
        </is>
      </c>
      <c r="H166" s="3" t="inlineStr">
        <is>
          <t>ACT-02</t>
        </is>
      </c>
      <c r="I166" s="3" t="inlineStr">
        <is>
          <t>TIPO-P2</t>
        </is>
      </c>
      <c r="J166" s="12" t="n">
        <v>46330</v>
      </c>
      <c r="K166" s="3" t="n">
        <v>6</v>
      </c>
      <c r="L166" s="11" t="n">
        <v>150</v>
      </c>
      <c r="M1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6" s="3">
        <f>IF(tblOrdenes[[#This Row],[fecha_inicio]]="","",YEAR(tblOrdenes[[#This Row],[fecha_inicio]]))</f>
        <v/>
      </c>
      <c r="Q166" s="3">
        <f>IF(tblOrdenes[[#This Row],[fecha_inicio]]="","",MONTH(tblOrdenes[[#This Row],[fecha_inicio]]))</f>
        <v/>
      </c>
      <c r="R166" s="3">
        <f>IF(tblOrdenes[[#This Row],[fecha_inicio]]="","",INDEX(lista_dias,WEEKDAY(tblOrdenes[[#This Row],[fecha_inicio]],2)))</f>
        <v/>
      </c>
      <c r="S1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6" s="3">
        <f>IF(tblOrdenes[[#This Row],[tipo_ot]]="","",_xlfn.XLOOKUP(tblOrdenes[[#This Row],[tipo_ot]],tblTiposOT[codigo],tblTiposOT[clasificacion],"sin_clasificar"))</f>
        <v/>
      </c>
      <c r="U166" s="3">
        <f>IF(tblOrdenes[[#This Row],[centro_costo]]="","",_xlfn.XLOOKUP(tblOrdenes[[#This Row],[centro_costo]],tblCECO[codigo],tblCECO[linea],"(sin catálogo)"))</f>
        <v/>
      </c>
      <c r="V166" s="3">
        <f>IF(tblOrdenes[[#This Row],[centro_costo]]="","",_xlfn.XLOOKUP(tblOrdenes[[#This Row],[centro_costo]],tblCECO[codigo],tblCECO[area],"(sin catálogo)"))</f>
        <v/>
      </c>
      <c r="W1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6" s="3">
        <f>IF(tblOrdenes[[#This Row],[centro_costo]]="","",_xlfn.XLOOKUP(tblOrdenes[[#This Row],[centro_costo]],tblCECO[codigo],tblCECO[coordinador],"(sin catálogo)"))</f>
        <v/>
      </c>
      <c r="Y166" s="3">
        <f>IF(tblOrdenes[[#This Row],[puesto_trabajo]]="","",_xlfn.XLOOKUP(tblOrdenes[[#This Row],[puesto_trabajo]],tblPuestos[codigo],tblPuestos[especialidad],"(sin catálogo)"))</f>
        <v/>
      </c>
      <c r="Z166" s="3">
        <f>IF(tblOrdenes[[#This Row],[cod_actividad]]="","",_xlfn.XLOOKUP(tblOrdenes[[#This Row],[cod_actividad]],tblActividades[codigo],tblActividades[descripcion],"(sin catálogo)"))</f>
        <v/>
      </c>
      <c r="AA166" s="13">
        <f>IF(tblOrdenes[[#This Row],[fecha_inicio]]="","",TODAY()-tblOrdenes[[#This Row],[fecha_inicio]])</f>
        <v/>
      </c>
      <c r="AB1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6" s="3">
        <f>IF(tblOrdenes[[#This Row],[backlog_habiles]]="","",IF(tblOrdenes[[#This Row],[backlog_habiles]]&lt;0,"FUTURO",IF(tblOrdenes[[#This Row],[backlog_habiles]]&gt;p_dias_backlog_max,"BACKLOG","MES CORRIENTE")))</f>
        <v/>
      </c>
      <c r="AD166" s="3">
        <f>IF(tblOrdenes[[#This Row],[backlog_habiles]]="",FALSE,AND(tblOrdenes[[#This Row],[backlog_habiles]]&gt;p_dias_backlog_min,tblOrdenes[[#This Row],[backlog_habiles]]&lt;=p_dias_backlog_max))</f>
        <v/>
      </c>
      <c r="AE166" s="6" t="inlineStr"/>
      <c r="AF1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6" s="11">
        <f>IF(tblOrdenes[[#This Row],[orden]]="","",_xlfn.XLOOKUP(tblOrdenes[[#This Row],[id_operacion]],tblEjecucion[id_operacion],tblEjecucion[precio],0))</f>
        <v/>
      </c>
      <c r="AJ166" s="11">
        <f>IF(tblOrdenes[[#This Row],[orden]]="","",MAX(0,_xlfn.XLOOKUP(tblOrdenes[[#This Row],[id_operacion]],tblEjecucion[id_operacion],tblEjecucion[costo_plan_total],0)-tblOrdenes[[#This Row],[costo_servicio]]))</f>
        <v/>
      </c>
      <c r="AK166" s="11">
        <f>IF(tblOrdenes[[#This Row],[orden]]="","",tblOrdenes[[#This Row],[costo_servicio]]+tblOrdenes[[#This Row],[costo_materiales]])</f>
        <v/>
      </c>
      <c r="AL166" s="6" t="inlineStr"/>
      <c r="AM166" s="6" t="inlineStr"/>
      <c r="AN166" s="6" t="inlineStr"/>
      <c r="AO166" s="3">
        <f>IF(tblOrdenes[[#This Row],[link_checklist]]="","",HYPERLINK(p_ruta_base_checklists&amp;tblOrdenes[[#This Row],[link_checklist]],"abrir"))</f>
        <v/>
      </c>
      <c r="AP166" s="6" t="inlineStr"/>
      <c r="AQ166" s="3">
        <f>IF(tblOrdenes[[#This Row],[orden]]="","",tblOrdenes[[#This Row],[orden]]&amp;IF(tblOrdenes[[#This Row],[operacion]]="","0010",tblOrdenes[[#This Row],[operacion]]))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Análisis predictivo — EQ-105</t>
        </is>
      </c>
      <c r="D167" s="3" t="inlineStr">
        <is>
          <t>Análisis predictivo en EQ-105</t>
        </is>
      </c>
      <c r="E167" s="3" t="inlineStr">
        <is>
          <t>EQ-105</t>
        </is>
      </c>
      <c r="F167" s="3" t="inlineStr">
        <is>
          <t>CC-110</t>
        </is>
      </c>
      <c r="G167" s="3" t="inlineStr">
        <is>
          <t>PU-ELE</t>
        </is>
      </c>
      <c r="H167" s="3" t="inlineStr">
        <is>
          <t>ACT-04</t>
        </is>
      </c>
      <c r="I167" s="3" t="inlineStr">
        <is>
          <t>TIPO-P1</t>
        </is>
      </c>
      <c r="J167" s="12" t="n">
        <v>46330</v>
      </c>
      <c r="K167" s="3" t="n">
        <v>6</v>
      </c>
      <c r="L167" s="11" t="n">
        <v>150</v>
      </c>
      <c r="M1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7" s="3">
        <f>IF(tblOrdenes[[#This Row],[fecha_inicio]]="","",YEAR(tblOrdenes[[#This Row],[fecha_inicio]]))</f>
        <v/>
      </c>
      <c r="Q167" s="3">
        <f>IF(tblOrdenes[[#This Row],[fecha_inicio]]="","",MONTH(tblOrdenes[[#This Row],[fecha_inicio]]))</f>
        <v/>
      </c>
      <c r="R167" s="3">
        <f>IF(tblOrdenes[[#This Row],[fecha_inicio]]="","",INDEX(lista_dias,WEEKDAY(tblOrdenes[[#This Row],[fecha_inicio]],2)))</f>
        <v/>
      </c>
      <c r="S1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7" s="3">
        <f>IF(tblOrdenes[[#This Row],[tipo_ot]]="","",_xlfn.XLOOKUP(tblOrdenes[[#This Row],[tipo_ot]],tblTiposOT[codigo],tblTiposOT[clasificacion],"sin_clasificar"))</f>
        <v/>
      </c>
      <c r="U167" s="3">
        <f>IF(tblOrdenes[[#This Row],[centro_costo]]="","",_xlfn.XLOOKUP(tblOrdenes[[#This Row],[centro_costo]],tblCECO[codigo],tblCECO[linea],"(sin catálogo)"))</f>
        <v/>
      </c>
      <c r="V167" s="3">
        <f>IF(tblOrdenes[[#This Row],[centro_costo]]="","",_xlfn.XLOOKUP(tblOrdenes[[#This Row],[centro_costo]],tblCECO[codigo],tblCECO[area],"(sin catálogo)"))</f>
        <v/>
      </c>
      <c r="W1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7" s="3">
        <f>IF(tblOrdenes[[#This Row],[centro_costo]]="","",_xlfn.XLOOKUP(tblOrdenes[[#This Row],[centro_costo]],tblCECO[codigo],tblCECO[coordinador],"(sin catálogo)"))</f>
        <v/>
      </c>
      <c r="Y167" s="3">
        <f>IF(tblOrdenes[[#This Row],[puesto_trabajo]]="","",_xlfn.XLOOKUP(tblOrdenes[[#This Row],[puesto_trabajo]],tblPuestos[codigo],tblPuestos[especialidad],"(sin catálogo)"))</f>
        <v/>
      </c>
      <c r="Z167" s="3">
        <f>IF(tblOrdenes[[#This Row],[cod_actividad]]="","",_xlfn.XLOOKUP(tblOrdenes[[#This Row],[cod_actividad]],tblActividades[codigo],tblActividades[descripcion],"(sin catálogo)"))</f>
        <v/>
      </c>
      <c r="AA167" s="13">
        <f>IF(tblOrdenes[[#This Row],[fecha_inicio]]="","",TODAY()-tblOrdenes[[#This Row],[fecha_inicio]])</f>
        <v/>
      </c>
      <c r="AB1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7" s="3">
        <f>IF(tblOrdenes[[#This Row],[backlog_habiles]]="","",IF(tblOrdenes[[#This Row],[backlog_habiles]]&lt;0,"FUTURO",IF(tblOrdenes[[#This Row],[backlog_habiles]]&gt;p_dias_backlog_max,"BACKLOG","MES CORRIENTE")))</f>
        <v/>
      </c>
      <c r="AD167" s="3">
        <f>IF(tblOrdenes[[#This Row],[backlog_habiles]]="",FALSE,AND(tblOrdenes[[#This Row],[backlog_habiles]]&gt;p_dias_backlog_min,tblOrdenes[[#This Row],[backlog_habiles]]&lt;=p_dias_backlog_max))</f>
        <v/>
      </c>
      <c r="AE167" s="6" t="inlineStr"/>
      <c r="AF1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7" s="11">
        <f>IF(tblOrdenes[[#This Row],[orden]]="","",_xlfn.XLOOKUP(tblOrdenes[[#This Row],[id_operacion]],tblEjecucion[id_operacion],tblEjecucion[precio],0))</f>
        <v/>
      </c>
      <c r="AJ167" s="11">
        <f>IF(tblOrdenes[[#This Row],[orden]]="","",MAX(0,_xlfn.XLOOKUP(tblOrdenes[[#This Row],[id_operacion]],tblEjecucion[id_operacion],tblEjecucion[costo_plan_total],0)-tblOrdenes[[#This Row],[costo_servicio]]))</f>
        <v/>
      </c>
      <c r="AK167" s="11">
        <f>IF(tblOrdenes[[#This Row],[orden]]="","",tblOrdenes[[#This Row],[costo_servicio]]+tblOrdenes[[#This Row],[costo_materiales]])</f>
        <v/>
      </c>
      <c r="AL167" s="6" t="inlineStr"/>
      <c r="AM167" s="6" t="inlineStr"/>
      <c r="AN167" s="6" t="inlineStr"/>
      <c r="AO167" s="3">
        <f>IF(tblOrdenes[[#This Row],[link_checklist]]="","",HYPERLINK(p_ruta_base_checklists&amp;tblOrdenes[[#This Row],[link_checklist]],"abrir"))</f>
        <v/>
      </c>
      <c r="AP167" s="6" t="inlineStr"/>
      <c r="AQ167" s="3">
        <f>IF(tblOrdenes[[#This Row],[orden]]="","",tblOrdenes[[#This Row],[orden]]&amp;IF(tblOrdenes[[#This Row],[operacion]]="","0010",tblOrdenes[[#This Row],[operacion]]))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Inspección de rutina — EQ-101</t>
        </is>
      </c>
      <c r="D168" s="3" t="inlineStr">
        <is>
          <t>Inspección de rutina en EQ-101</t>
        </is>
      </c>
      <c r="E168" s="3" t="inlineStr">
        <is>
          <t>EQ-101</t>
        </is>
      </c>
      <c r="F168" s="3" t="inlineStr">
        <is>
          <t>CC-110</t>
        </is>
      </c>
      <c r="G168" s="3" t="inlineStr">
        <is>
          <t>PU-AUT</t>
        </is>
      </c>
      <c r="H168" s="3" t="inlineStr">
        <is>
          <t>ACT-01</t>
        </is>
      </c>
      <c r="I168" s="3" t="inlineStr">
        <is>
          <t>TIPO-P2</t>
        </is>
      </c>
      <c r="J168" s="12" t="n">
        <v>46385</v>
      </c>
      <c r="K168" s="3" t="n">
        <v>4</v>
      </c>
      <c r="L168" s="11" t="n">
        <v>100</v>
      </c>
      <c r="M1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8" s="3">
        <f>IF(tblOrdenes[[#This Row],[fecha_inicio]]="","",YEAR(tblOrdenes[[#This Row],[fecha_inicio]]))</f>
        <v/>
      </c>
      <c r="Q168" s="3">
        <f>IF(tblOrdenes[[#This Row],[fecha_inicio]]="","",MONTH(tblOrdenes[[#This Row],[fecha_inicio]]))</f>
        <v/>
      </c>
      <c r="R168" s="3">
        <f>IF(tblOrdenes[[#This Row],[fecha_inicio]]="","",INDEX(lista_dias,WEEKDAY(tblOrdenes[[#This Row],[fecha_inicio]],2)))</f>
        <v/>
      </c>
      <c r="S1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8" s="3">
        <f>IF(tblOrdenes[[#This Row],[tipo_ot]]="","",_xlfn.XLOOKUP(tblOrdenes[[#This Row],[tipo_ot]],tblTiposOT[codigo],tblTiposOT[clasificacion],"sin_clasificar"))</f>
        <v/>
      </c>
      <c r="U168" s="3">
        <f>IF(tblOrdenes[[#This Row],[centro_costo]]="","",_xlfn.XLOOKUP(tblOrdenes[[#This Row],[centro_costo]],tblCECO[codigo],tblCECO[linea],"(sin catálogo)"))</f>
        <v/>
      </c>
      <c r="V168" s="3">
        <f>IF(tblOrdenes[[#This Row],[centro_costo]]="","",_xlfn.XLOOKUP(tblOrdenes[[#This Row],[centro_costo]],tblCECO[codigo],tblCECO[area],"(sin catálogo)"))</f>
        <v/>
      </c>
      <c r="W1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8" s="3">
        <f>IF(tblOrdenes[[#This Row],[centro_costo]]="","",_xlfn.XLOOKUP(tblOrdenes[[#This Row],[centro_costo]],tblCECO[codigo],tblCECO[coordinador],"(sin catálogo)"))</f>
        <v/>
      </c>
      <c r="Y168" s="3">
        <f>IF(tblOrdenes[[#This Row],[puesto_trabajo]]="","",_xlfn.XLOOKUP(tblOrdenes[[#This Row],[puesto_trabajo]],tblPuestos[codigo],tblPuestos[especialidad],"(sin catálogo)"))</f>
        <v/>
      </c>
      <c r="Z168" s="3">
        <f>IF(tblOrdenes[[#This Row],[cod_actividad]]="","",_xlfn.XLOOKUP(tblOrdenes[[#This Row],[cod_actividad]],tblActividades[codigo],tblActividades[descripcion],"(sin catálogo)"))</f>
        <v/>
      </c>
      <c r="AA168" s="13">
        <f>IF(tblOrdenes[[#This Row],[fecha_inicio]]="","",TODAY()-tblOrdenes[[#This Row],[fecha_inicio]])</f>
        <v/>
      </c>
      <c r="AB1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8" s="3">
        <f>IF(tblOrdenes[[#This Row],[backlog_habiles]]="","",IF(tblOrdenes[[#This Row],[backlog_habiles]]&lt;0,"FUTURO",IF(tblOrdenes[[#This Row],[backlog_habiles]]&gt;p_dias_backlog_max,"BACKLOG","MES CORRIENTE")))</f>
        <v/>
      </c>
      <c r="AD168" s="3">
        <f>IF(tblOrdenes[[#This Row],[backlog_habiles]]="",FALSE,AND(tblOrdenes[[#This Row],[backlog_habiles]]&gt;p_dias_backlog_min,tblOrdenes[[#This Row],[backlog_habiles]]&lt;=p_dias_backlog_max))</f>
        <v/>
      </c>
      <c r="AE168" s="6" t="inlineStr"/>
      <c r="AF1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8" s="11">
        <f>IF(tblOrdenes[[#This Row],[orden]]="","",_xlfn.XLOOKUP(tblOrdenes[[#This Row],[id_operacion]],tblEjecucion[id_operacion],tblEjecucion[precio],0))</f>
        <v/>
      </c>
      <c r="AJ168" s="11">
        <f>IF(tblOrdenes[[#This Row],[orden]]="","",MAX(0,_xlfn.XLOOKUP(tblOrdenes[[#This Row],[id_operacion]],tblEjecucion[id_operacion],tblEjecucion[costo_plan_total],0)-tblOrdenes[[#This Row],[costo_servicio]]))</f>
        <v/>
      </c>
      <c r="AK168" s="11">
        <f>IF(tblOrdenes[[#This Row],[orden]]="","",tblOrdenes[[#This Row],[costo_servicio]]+tblOrdenes[[#This Row],[costo_materiales]])</f>
        <v/>
      </c>
      <c r="AL168" s="6" t="inlineStr"/>
      <c r="AM168" s="6" t="inlineStr"/>
      <c r="AN168" s="6" t="inlineStr"/>
      <c r="AO168" s="3">
        <f>IF(tblOrdenes[[#This Row],[link_checklist]]="","",HYPERLINK(p_ruta_base_checklists&amp;tblOrdenes[[#This Row],[link_checklist]],"abrir"))</f>
        <v/>
      </c>
      <c r="AP168" s="6" t="inlineStr"/>
      <c r="AQ168" s="3">
        <f>IF(tblOrdenes[[#This Row],[orden]]="","",tblOrdenes[[#This Row],[orden]]&amp;IF(tblOrdenes[[#This Row],[operacion]]="","0010",tblOrdenes[[#This Row],[operacion]]))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EQ-102</t>
        </is>
      </c>
      <c r="D169" s="3" t="inlineStr">
        <is>
          <t>Lubricación programada en EQ-102</t>
        </is>
      </c>
      <c r="E169" s="3" t="inlineStr">
        <is>
          <t>EQ-102</t>
        </is>
      </c>
      <c r="F169" s="3" t="inlineStr">
        <is>
          <t>CC-110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2" t="n">
        <v>46388</v>
      </c>
      <c r="K169" s="3" t="n">
        <v>4</v>
      </c>
      <c r="L169" s="11" t="n">
        <v>100</v>
      </c>
      <c r="M1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9" s="3">
        <f>IF(tblOrdenes[[#This Row],[fecha_inicio]]="","",YEAR(tblOrdenes[[#This Row],[fecha_inicio]]))</f>
        <v/>
      </c>
      <c r="Q169" s="3">
        <f>IF(tblOrdenes[[#This Row],[fecha_inicio]]="","",MONTH(tblOrdenes[[#This Row],[fecha_inicio]]))</f>
        <v/>
      </c>
      <c r="R169" s="3">
        <f>IF(tblOrdenes[[#This Row],[fecha_inicio]]="","",INDEX(lista_dias,WEEKDAY(tblOrdenes[[#This Row],[fecha_inicio]],2)))</f>
        <v/>
      </c>
      <c r="S1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9" s="3">
        <f>IF(tblOrdenes[[#This Row],[tipo_ot]]="","",_xlfn.XLOOKUP(tblOrdenes[[#This Row],[tipo_ot]],tblTiposOT[codigo],tblTiposOT[clasificacion],"sin_clasificar"))</f>
        <v/>
      </c>
      <c r="U169" s="3">
        <f>IF(tblOrdenes[[#This Row],[centro_costo]]="","",_xlfn.XLOOKUP(tblOrdenes[[#This Row],[centro_costo]],tblCECO[codigo],tblCECO[linea],"(sin catálogo)"))</f>
        <v/>
      </c>
      <c r="V169" s="3">
        <f>IF(tblOrdenes[[#This Row],[centro_costo]]="","",_xlfn.XLOOKUP(tblOrdenes[[#This Row],[centro_costo]],tblCECO[codigo],tblCECO[area],"(sin catálogo)"))</f>
        <v/>
      </c>
      <c r="W1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9" s="3">
        <f>IF(tblOrdenes[[#This Row],[centro_costo]]="","",_xlfn.XLOOKUP(tblOrdenes[[#This Row],[centro_costo]],tblCECO[codigo],tblCECO[coordinador],"(sin catálogo)"))</f>
        <v/>
      </c>
      <c r="Y169" s="3">
        <f>IF(tblOrdenes[[#This Row],[puesto_trabajo]]="","",_xlfn.XLOOKUP(tblOrdenes[[#This Row],[puesto_trabajo]],tblPuestos[codigo],tblPuestos[especialidad],"(sin catálogo)"))</f>
        <v/>
      </c>
      <c r="Z169" s="3">
        <f>IF(tblOrdenes[[#This Row],[cod_actividad]]="","",_xlfn.XLOOKUP(tblOrdenes[[#This Row],[cod_actividad]],tblActividades[codigo],tblActividades[descripcion],"(sin catálogo)"))</f>
        <v/>
      </c>
      <c r="AA169" s="13">
        <f>IF(tblOrdenes[[#This Row],[fecha_inicio]]="","",TODAY()-tblOrdenes[[#This Row],[fecha_inicio]])</f>
        <v/>
      </c>
      <c r="AB1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9" s="3">
        <f>IF(tblOrdenes[[#This Row],[backlog_habiles]]="","",IF(tblOrdenes[[#This Row],[backlog_habiles]]&lt;0,"FUTURO",IF(tblOrdenes[[#This Row],[backlog_habiles]]&gt;p_dias_backlog_max,"BACKLOG","MES CORRIENTE")))</f>
        <v/>
      </c>
      <c r="AD169" s="3">
        <f>IF(tblOrdenes[[#This Row],[backlog_habiles]]="",FALSE,AND(tblOrdenes[[#This Row],[backlog_habiles]]&gt;p_dias_backlog_min,tblOrdenes[[#This Row],[backlog_habiles]]&lt;=p_dias_backlog_max))</f>
        <v/>
      </c>
      <c r="AE169" s="6" t="inlineStr"/>
      <c r="AF1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9" s="11">
        <f>IF(tblOrdenes[[#This Row],[orden]]="","",_xlfn.XLOOKUP(tblOrdenes[[#This Row],[id_operacion]],tblEjecucion[id_operacion],tblEjecucion[precio],0))</f>
        <v/>
      </c>
      <c r="AJ169" s="11">
        <f>IF(tblOrdenes[[#This Row],[orden]]="","",MAX(0,_xlfn.XLOOKUP(tblOrdenes[[#This Row],[id_operacion]],tblEjecucion[id_operacion],tblEjecucion[costo_plan_total],0)-tblOrdenes[[#This Row],[costo_servicio]]))</f>
        <v/>
      </c>
      <c r="AK169" s="11">
        <f>IF(tblOrdenes[[#This Row],[orden]]="","",tblOrdenes[[#This Row],[costo_servicio]]+tblOrdenes[[#This Row],[costo_materiales]])</f>
        <v/>
      </c>
      <c r="AL169" s="6" t="inlineStr"/>
      <c r="AM169" s="6" t="inlineStr"/>
      <c r="AN169" s="6" t="inlineStr"/>
      <c r="AO169" s="3">
        <f>IF(tblOrdenes[[#This Row],[link_checklist]]="","",HYPERLINK(p_ruta_base_checklists&amp;tblOrdenes[[#This Row],[link_checklist]],"abrir"))</f>
        <v/>
      </c>
      <c r="AP169" s="6" t="inlineStr"/>
      <c r="AQ169" s="3">
        <f>IF(tblOrdenes[[#This Row],[orden]]="","",tblOrdenes[[#This Row],[orden]]&amp;IF(tblOrdenes[[#This Row],[operacion]]="","0010",tblOrdenes[[#This Row],[operacion]]))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Análisis predictivo — EQ-103</t>
        </is>
      </c>
      <c r="D170" s="3" t="inlineStr">
        <is>
          <t>Análisis predictivo en EQ-103</t>
        </is>
      </c>
      <c r="E170" s="3" t="inlineStr">
        <is>
          <t>EQ-103</t>
        </is>
      </c>
      <c r="F170" s="3" t="inlineStr">
        <is>
          <t>CC-110</t>
        </is>
      </c>
      <c r="G170" s="3" t="inlineStr">
        <is>
          <t>PU-ELE</t>
        </is>
      </c>
      <c r="H170" s="3" t="inlineStr">
        <is>
          <t>ACT-04</t>
        </is>
      </c>
      <c r="I170" s="3" t="inlineStr">
        <is>
          <t>TIPO-P2</t>
        </is>
      </c>
      <c r="J170" s="12" t="n">
        <v>46392</v>
      </c>
      <c r="K170" s="3" t="n">
        <v>4</v>
      </c>
      <c r="L170" s="11" t="n">
        <v>100</v>
      </c>
      <c r="M1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0" s="3">
        <f>IF(tblOrdenes[[#This Row],[fecha_inicio]]="","",YEAR(tblOrdenes[[#This Row],[fecha_inicio]]))</f>
        <v/>
      </c>
      <c r="Q170" s="3">
        <f>IF(tblOrdenes[[#This Row],[fecha_inicio]]="","",MONTH(tblOrdenes[[#This Row],[fecha_inicio]]))</f>
        <v/>
      </c>
      <c r="R170" s="3">
        <f>IF(tblOrdenes[[#This Row],[fecha_inicio]]="","",INDEX(lista_dias,WEEKDAY(tblOrdenes[[#This Row],[fecha_inicio]],2)))</f>
        <v/>
      </c>
      <c r="S1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0" s="3">
        <f>IF(tblOrdenes[[#This Row],[tipo_ot]]="","",_xlfn.XLOOKUP(tblOrdenes[[#This Row],[tipo_ot]],tblTiposOT[codigo],tblTiposOT[clasificacion],"sin_clasificar"))</f>
        <v/>
      </c>
      <c r="U170" s="3">
        <f>IF(tblOrdenes[[#This Row],[centro_costo]]="","",_xlfn.XLOOKUP(tblOrdenes[[#This Row],[centro_costo]],tblCECO[codigo],tblCECO[linea],"(sin catálogo)"))</f>
        <v/>
      </c>
      <c r="V170" s="3">
        <f>IF(tblOrdenes[[#This Row],[centro_costo]]="","",_xlfn.XLOOKUP(tblOrdenes[[#This Row],[centro_costo]],tblCECO[codigo],tblCECO[area],"(sin catálogo)"))</f>
        <v/>
      </c>
      <c r="W1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0" s="3">
        <f>IF(tblOrdenes[[#This Row],[centro_costo]]="","",_xlfn.XLOOKUP(tblOrdenes[[#This Row],[centro_costo]],tblCECO[codigo],tblCECO[coordinador],"(sin catálogo)"))</f>
        <v/>
      </c>
      <c r="Y170" s="3">
        <f>IF(tblOrdenes[[#This Row],[puesto_trabajo]]="","",_xlfn.XLOOKUP(tblOrdenes[[#This Row],[puesto_trabajo]],tblPuestos[codigo],tblPuestos[especialidad],"(sin catálogo)"))</f>
        <v/>
      </c>
      <c r="Z170" s="3">
        <f>IF(tblOrdenes[[#This Row],[cod_actividad]]="","",_xlfn.XLOOKUP(tblOrdenes[[#This Row],[cod_actividad]],tblActividades[codigo],tblActividades[descripcion],"(sin catálogo)"))</f>
        <v/>
      </c>
      <c r="AA170" s="13">
        <f>IF(tblOrdenes[[#This Row],[fecha_inicio]]="","",TODAY()-tblOrdenes[[#This Row],[fecha_inicio]])</f>
        <v/>
      </c>
      <c r="AB1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0" s="3">
        <f>IF(tblOrdenes[[#This Row],[backlog_habiles]]="","",IF(tblOrdenes[[#This Row],[backlog_habiles]]&lt;0,"FUTURO",IF(tblOrdenes[[#This Row],[backlog_habiles]]&gt;p_dias_backlog_max,"BACKLOG","MES CORRIENTE")))</f>
        <v/>
      </c>
      <c r="AD170" s="3">
        <f>IF(tblOrdenes[[#This Row],[backlog_habiles]]="",FALSE,AND(tblOrdenes[[#This Row],[backlog_habiles]]&gt;p_dias_backlog_min,tblOrdenes[[#This Row],[backlog_habiles]]&lt;=p_dias_backlog_max))</f>
        <v/>
      </c>
      <c r="AE170" s="6" t="inlineStr"/>
      <c r="AF1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0" s="11">
        <f>IF(tblOrdenes[[#This Row],[orden]]="","",_xlfn.XLOOKUP(tblOrdenes[[#This Row],[id_operacion]],tblEjecucion[id_operacion],tblEjecucion[precio],0))</f>
        <v/>
      </c>
      <c r="AJ170" s="11">
        <f>IF(tblOrdenes[[#This Row],[orden]]="","",MAX(0,_xlfn.XLOOKUP(tblOrdenes[[#This Row],[id_operacion]],tblEjecucion[id_operacion],tblEjecucion[costo_plan_total],0)-tblOrdenes[[#This Row],[costo_servicio]]))</f>
        <v/>
      </c>
      <c r="AK170" s="11">
        <f>IF(tblOrdenes[[#This Row],[orden]]="","",tblOrdenes[[#This Row],[costo_servicio]]+tblOrdenes[[#This Row],[costo_materiales]])</f>
        <v/>
      </c>
      <c r="AL170" s="6" t="inlineStr"/>
      <c r="AM170" s="6" t="inlineStr"/>
      <c r="AN170" s="6" t="inlineStr"/>
      <c r="AO170" s="3">
        <f>IF(tblOrdenes[[#This Row],[link_checklist]]="","",HYPERLINK(p_ruta_base_checklists&amp;tblOrdenes[[#This Row],[link_checklist]],"abrir"))</f>
        <v/>
      </c>
      <c r="AP170" s="6" t="inlineStr"/>
      <c r="AQ170" s="3">
        <f>IF(tblOrdenes[[#This Row],[orden]]="","",tblOrdenes[[#This Row],[orden]]&amp;IF(tblOrdenes[[#This Row],[operacion]]="","0010",tblOrdenes[[#This Row],[operacion]]))</f>
        <v/>
      </c>
    </row>
    <row r="171">
      <c r="A171" s="3" t="inlineStr">
        <is>
          <t>OT-000900</t>
        </is>
      </c>
      <c r="B171" s="3" t="inlineStr">
        <is>
          <t>0010</t>
        </is>
      </c>
      <c r="C171" s="3" t="inlineStr">
        <is>
          <t>Reparación de falla — EQ-104</t>
        </is>
      </c>
      <c r="D171" s="3" t="inlineStr">
        <is>
          <t>Reparación de falla en EQ-104</t>
        </is>
      </c>
      <c r="E171" s="3" t="inlineStr">
        <is>
          <t>EQ-104</t>
        </is>
      </c>
      <c r="F171" s="3" t="inlineStr">
        <is>
          <t>CC-110</t>
        </is>
      </c>
      <c r="G171" s="3" t="inlineStr">
        <is>
          <t>PU-MEC</t>
        </is>
      </c>
      <c r="H171" s="3" t="inlineStr">
        <is>
          <t>ACT-03</t>
        </is>
      </c>
      <c r="I171" s="3" t="inlineStr">
        <is>
          <t>TIPO-C1</t>
        </is>
      </c>
      <c r="J171" s="12" t="n">
        <v>46180</v>
      </c>
      <c r="K171" s="3" t="n">
        <v>6</v>
      </c>
      <c r="L171" s="11" t="n">
        <v>240</v>
      </c>
      <c r="M1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1" s="3">
        <f>IF(tblOrdenes[[#This Row],[fecha_inicio]]="","",YEAR(tblOrdenes[[#This Row],[fecha_inicio]]))</f>
        <v/>
      </c>
      <c r="Q171" s="3">
        <f>IF(tblOrdenes[[#This Row],[fecha_inicio]]="","",MONTH(tblOrdenes[[#This Row],[fecha_inicio]]))</f>
        <v/>
      </c>
      <c r="R171" s="3">
        <f>IF(tblOrdenes[[#This Row],[fecha_inicio]]="","",INDEX(lista_dias,WEEKDAY(tblOrdenes[[#This Row],[fecha_inicio]],2)))</f>
        <v/>
      </c>
      <c r="S1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1" s="3">
        <f>IF(tblOrdenes[[#This Row],[tipo_ot]]="","",_xlfn.XLOOKUP(tblOrdenes[[#This Row],[tipo_ot]],tblTiposOT[codigo],tblTiposOT[clasificacion],"sin_clasificar"))</f>
        <v/>
      </c>
      <c r="U171" s="3">
        <f>IF(tblOrdenes[[#This Row],[centro_costo]]="","",_xlfn.XLOOKUP(tblOrdenes[[#This Row],[centro_costo]],tblCECO[codigo],tblCECO[linea],"(sin catálogo)"))</f>
        <v/>
      </c>
      <c r="V171" s="3">
        <f>IF(tblOrdenes[[#This Row],[centro_costo]]="","",_xlfn.XLOOKUP(tblOrdenes[[#This Row],[centro_costo]],tblCECO[codigo],tblCECO[area],"(sin catálogo)"))</f>
        <v/>
      </c>
      <c r="W1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1" s="3">
        <f>IF(tblOrdenes[[#This Row],[centro_costo]]="","",_xlfn.XLOOKUP(tblOrdenes[[#This Row],[centro_costo]],tblCECO[codigo],tblCECO[coordinador],"(sin catálogo)"))</f>
        <v/>
      </c>
      <c r="Y171" s="3">
        <f>IF(tblOrdenes[[#This Row],[puesto_trabajo]]="","",_xlfn.XLOOKUP(tblOrdenes[[#This Row],[puesto_trabajo]],tblPuestos[codigo],tblPuestos[especialidad],"(sin catálogo)"))</f>
        <v/>
      </c>
      <c r="Z171" s="3">
        <f>IF(tblOrdenes[[#This Row],[cod_actividad]]="","",_xlfn.XLOOKUP(tblOrdenes[[#This Row],[cod_actividad]],tblActividades[codigo],tblActividades[descripcion],"(sin catálogo)"))</f>
        <v/>
      </c>
      <c r="AA171" s="13">
        <f>IF(tblOrdenes[[#This Row],[fecha_inicio]]="","",TODAY()-tblOrdenes[[#This Row],[fecha_inicio]])</f>
        <v/>
      </c>
      <c r="AB1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1" s="3">
        <f>IF(tblOrdenes[[#This Row],[backlog_habiles]]="","",IF(tblOrdenes[[#This Row],[backlog_habiles]]&lt;0,"FUTURO",IF(tblOrdenes[[#This Row],[backlog_habiles]]&gt;p_dias_backlog_max,"BACKLOG","MES CORRIENTE")))</f>
        <v/>
      </c>
      <c r="AD171" s="3">
        <f>IF(tblOrdenes[[#This Row],[backlog_habiles]]="",FALSE,AND(tblOrdenes[[#This Row],[backlog_habiles]]&gt;p_dias_backlog_min,tblOrdenes[[#This Row],[backlog_habiles]]&lt;=p_dias_backlog_max))</f>
        <v/>
      </c>
      <c r="AE171" s="6" t="inlineStr"/>
      <c r="AF1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1" s="11">
        <f>IF(tblOrdenes[[#This Row],[orden]]="","",_xlfn.XLOOKUP(tblOrdenes[[#This Row],[id_operacion]],tblEjecucion[id_operacion],tblEjecucion[precio],0))</f>
        <v/>
      </c>
      <c r="AJ171" s="11">
        <f>IF(tblOrdenes[[#This Row],[orden]]="","",MAX(0,_xlfn.XLOOKUP(tblOrdenes[[#This Row],[id_operacion]],tblEjecucion[id_operacion],tblEjecucion[costo_plan_total],0)-tblOrdenes[[#This Row],[costo_servicio]]))</f>
        <v/>
      </c>
      <c r="AK171" s="11">
        <f>IF(tblOrdenes[[#This Row],[orden]]="","",tblOrdenes[[#This Row],[costo_servicio]]+tblOrdenes[[#This Row],[costo_materiales]])</f>
        <v/>
      </c>
      <c r="AL171" s="6" t="inlineStr"/>
      <c r="AM171" s="6" t="inlineStr"/>
      <c r="AN171" s="6" t="inlineStr"/>
      <c r="AO171" s="3">
        <f>IF(tblOrdenes[[#This Row],[link_checklist]]="","",HYPERLINK(p_ruta_base_checklists&amp;tblOrdenes[[#This Row],[link_checklist]],"abrir"))</f>
        <v/>
      </c>
      <c r="AP171" s="6" t="inlineStr"/>
      <c r="AQ171" s="3">
        <f>IF(tblOrdenes[[#This Row],[orden]]="","",tblOrdenes[[#This Row],[orden]]&amp;IF(tblOrdenes[[#This Row],[operacion]]="","0010",tblOrdenes[[#This Row],[operacion]]))</f>
        <v/>
      </c>
    </row>
    <row r="172">
      <c r="A172" s="3" t="inlineStr">
        <is>
          <t>OT-000900</t>
        </is>
      </c>
      <c r="B172" s="3" t="inlineStr">
        <is>
          <t>0010</t>
        </is>
      </c>
      <c r="C172" s="3" t="inlineStr">
        <is>
          <t>Reparación de falla — EQ-104</t>
        </is>
      </c>
      <c r="D172" s="3" t="inlineStr">
        <is>
          <t>Reparación de falla en EQ-104</t>
        </is>
      </c>
      <c r="E172" s="3" t="inlineStr">
        <is>
          <t>EQ-104</t>
        </is>
      </c>
      <c r="F172" s="3" t="inlineStr">
        <is>
          <t>CC-110</t>
        </is>
      </c>
      <c r="G172" s="3" t="inlineStr">
        <is>
          <t>PU-MEC</t>
        </is>
      </c>
      <c r="H172" s="3" t="inlineStr">
        <is>
          <t>ACT-03</t>
        </is>
      </c>
      <c r="I172" s="3" t="inlineStr">
        <is>
          <t>TIPO-C1</t>
        </is>
      </c>
      <c r="J172" s="12" t="n">
        <v>46180</v>
      </c>
      <c r="K172" s="3" t="n">
        <v>6</v>
      </c>
      <c r="L172" s="11" t="n">
        <v>240</v>
      </c>
      <c r="M1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2" s="3">
        <f>IF(tblOrdenes[[#This Row],[fecha_inicio]]="","",YEAR(tblOrdenes[[#This Row],[fecha_inicio]]))</f>
        <v/>
      </c>
      <c r="Q172" s="3">
        <f>IF(tblOrdenes[[#This Row],[fecha_inicio]]="","",MONTH(tblOrdenes[[#This Row],[fecha_inicio]]))</f>
        <v/>
      </c>
      <c r="R172" s="3">
        <f>IF(tblOrdenes[[#This Row],[fecha_inicio]]="","",INDEX(lista_dias,WEEKDAY(tblOrdenes[[#This Row],[fecha_inicio]],2)))</f>
        <v/>
      </c>
      <c r="S1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2" s="3">
        <f>IF(tblOrdenes[[#This Row],[tipo_ot]]="","",_xlfn.XLOOKUP(tblOrdenes[[#This Row],[tipo_ot]],tblTiposOT[codigo],tblTiposOT[clasificacion],"sin_clasificar"))</f>
        <v/>
      </c>
      <c r="U172" s="3">
        <f>IF(tblOrdenes[[#This Row],[centro_costo]]="","",_xlfn.XLOOKUP(tblOrdenes[[#This Row],[centro_costo]],tblCECO[codigo],tblCECO[linea],"(sin catálogo)"))</f>
        <v/>
      </c>
      <c r="V172" s="3">
        <f>IF(tblOrdenes[[#This Row],[centro_costo]]="","",_xlfn.XLOOKUP(tblOrdenes[[#This Row],[centro_costo]],tblCECO[codigo],tblCECO[area],"(sin catálogo)"))</f>
        <v/>
      </c>
      <c r="W1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2" s="3">
        <f>IF(tblOrdenes[[#This Row],[centro_costo]]="","",_xlfn.XLOOKUP(tblOrdenes[[#This Row],[centro_costo]],tblCECO[codigo],tblCECO[coordinador],"(sin catálogo)"))</f>
        <v/>
      </c>
      <c r="Y172" s="3">
        <f>IF(tblOrdenes[[#This Row],[puesto_trabajo]]="","",_xlfn.XLOOKUP(tblOrdenes[[#This Row],[puesto_trabajo]],tblPuestos[codigo],tblPuestos[especialidad],"(sin catálogo)"))</f>
        <v/>
      </c>
      <c r="Z172" s="3">
        <f>IF(tblOrdenes[[#This Row],[cod_actividad]]="","",_xlfn.XLOOKUP(tblOrdenes[[#This Row],[cod_actividad]],tblActividades[codigo],tblActividades[descripcion],"(sin catálogo)"))</f>
        <v/>
      </c>
      <c r="AA172" s="13">
        <f>IF(tblOrdenes[[#This Row],[fecha_inicio]]="","",TODAY()-tblOrdenes[[#This Row],[fecha_inicio]])</f>
        <v/>
      </c>
      <c r="AB1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2" s="3">
        <f>IF(tblOrdenes[[#This Row],[backlog_habiles]]="","",IF(tblOrdenes[[#This Row],[backlog_habiles]]&lt;0,"FUTURO",IF(tblOrdenes[[#This Row],[backlog_habiles]]&gt;p_dias_backlog_max,"BACKLOG","MES CORRIENTE")))</f>
        <v/>
      </c>
      <c r="AD172" s="3">
        <f>IF(tblOrdenes[[#This Row],[backlog_habiles]]="",FALSE,AND(tblOrdenes[[#This Row],[backlog_habiles]]&gt;p_dias_backlog_min,tblOrdenes[[#This Row],[backlog_habiles]]&lt;=p_dias_backlog_max))</f>
        <v/>
      </c>
      <c r="AE172" s="6" t="inlineStr"/>
      <c r="AF1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2" s="11">
        <f>IF(tblOrdenes[[#This Row],[orden]]="","",_xlfn.XLOOKUP(tblOrdenes[[#This Row],[id_operacion]],tblEjecucion[id_operacion],tblEjecucion[precio],0))</f>
        <v/>
      </c>
      <c r="AJ172" s="11">
        <f>IF(tblOrdenes[[#This Row],[orden]]="","",MAX(0,_xlfn.XLOOKUP(tblOrdenes[[#This Row],[id_operacion]],tblEjecucion[id_operacion],tblEjecucion[costo_plan_total],0)-tblOrdenes[[#This Row],[costo_servicio]]))</f>
        <v/>
      </c>
      <c r="AK172" s="11">
        <f>IF(tblOrdenes[[#This Row],[orden]]="","",tblOrdenes[[#This Row],[costo_servicio]]+tblOrdenes[[#This Row],[costo_materiales]])</f>
        <v/>
      </c>
      <c r="AL172" s="6" t="inlineStr"/>
      <c r="AM172" s="6" t="inlineStr"/>
      <c r="AN172" s="6" t="inlineStr"/>
      <c r="AO172" s="3">
        <f>IF(tblOrdenes[[#This Row],[link_checklist]]="","",HYPERLINK(p_ruta_base_checklists&amp;tblOrdenes[[#This Row],[link_checklist]],"abrir"))</f>
        <v/>
      </c>
      <c r="AP172" s="6" t="inlineStr"/>
      <c r="AQ172" s="3">
        <f>IF(tblOrdenes[[#This Row],[orden]]="","",tblOrdenes[[#This Row],[orden]]&amp;IF(tblOrdenes[[#This Row],[operacion]]="","0010",tblOrdenes[[#This Row],[operacion]]))</f>
        <v/>
      </c>
    </row>
    <row r="173">
      <c r="A173" s="3" t="inlineStr">
        <is>
          <t>OT-000901</t>
        </is>
      </c>
      <c r="B173" s="3" t="inlineStr">
        <is>
          <t>0010</t>
        </is>
      </c>
      <c r="C173" s="3" t="inlineStr">
        <is>
          <t>Reparación de falla — EQ-101</t>
        </is>
      </c>
      <c r="D173" s="3" t="inlineStr">
        <is>
          <t>Reparación de falla en EQ-101</t>
        </is>
      </c>
      <c r="E173" s="3" t="inlineStr">
        <is>
          <t>EQ-101</t>
        </is>
      </c>
      <c r="F173" s="3" t="inlineStr">
        <is>
          <t>CC-110</t>
        </is>
      </c>
      <c r="G173" s="3" t="inlineStr">
        <is>
          <t>PU-ELE</t>
        </is>
      </c>
      <c r="H173" s="3" t="inlineStr">
        <is>
          <t>ACT-03</t>
        </is>
      </c>
      <c r="I173" s="3" t="inlineStr">
        <is>
          <t>TIPO-C1</t>
        </is>
      </c>
      <c r="J173" s="12" t="n"/>
      <c r="K173" s="3" t="n">
        <v>4</v>
      </c>
      <c r="L173" s="11" t="n">
        <v>160</v>
      </c>
      <c r="M1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3" s="3">
        <f>IF(tblOrdenes[[#This Row],[fecha_inicio]]="","",YEAR(tblOrdenes[[#This Row],[fecha_inicio]]))</f>
        <v/>
      </c>
      <c r="Q173" s="3">
        <f>IF(tblOrdenes[[#This Row],[fecha_inicio]]="","",MONTH(tblOrdenes[[#This Row],[fecha_inicio]]))</f>
        <v/>
      </c>
      <c r="R173" s="3">
        <f>IF(tblOrdenes[[#This Row],[fecha_inicio]]="","",INDEX(lista_dias,WEEKDAY(tblOrdenes[[#This Row],[fecha_inicio]],2)))</f>
        <v/>
      </c>
      <c r="S1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3" s="3">
        <f>IF(tblOrdenes[[#This Row],[tipo_ot]]="","",_xlfn.XLOOKUP(tblOrdenes[[#This Row],[tipo_ot]],tblTiposOT[codigo],tblTiposOT[clasificacion],"sin_clasificar"))</f>
        <v/>
      </c>
      <c r="U173" s="3">
        <f>IF(tblOrdenes[[#This Row],[centro_costo]]="","",_xlfn.XLOOKUP(tblOrdenes[[#This Row],[centro_costo]],tblCECO[codigo],tblCECO[linea],"(sin catálogo)"))</f>
        <v/>
      </c>
      <c r="V173" s="3">
        <f>IF(tblOrdenes[[#This Row],[centro_costo]]="","",_xlfn.XLOOKUP(tblOrdenes[[#This Row],[centro_costo]],tblCECO[codigo],tblCECO[area],"(sin catálogo)"))</f>
        <v/>
      </c>
      <c r="W1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3" s="3">
        <f>IF(tblOrdenes[[#This Row],[centro_costo]]="","",_xlfn.XLOOKUP(tblOrdenes[[#This Row],[centro_costo]],tblCECO[codigo],tblCECO[coordinador],"(sin catálogo)"))</f>
        <v/>
      </c>
      <c r="Y173" s="3">
        <f>IF(tblOrdenes[[#This Row],[puesto_trabajo]]="","",_xlfn.XLOOKUP(tblOrdenes[[#This Row],[puesto_trabajo]],tblPuestos[codigo],tblPuestos[especialidad],"(sin catálogo)"))</f>
        <v/>
      </c>
      <c r="Z173" s="3">
        <f>IF(tblOrdenes[[#This Row],[cod_actividad]]="","",_xlfn.XLOOKUP(tblOrdenes[[#This Row],[cod_actividad]],tblActividades[codigo],tblActividades[descripcion],"(sin catálogo)"))</f>
        <v/>
      </c>
      <c r="AA173" s="13">
        <f>IF(tblOrdenes[[#This Row],[fecha_inicio]]="","",TODAY()-tblOrdenes[[#This Row],[fecha_inicio]])</f>
        <v/>
      </c>
      <c r="AB1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3" s="3">
        <f>IF(tblOrdenes[[#This Row],[backlog_habiles]]="","",IF(tblOrdenes[[#This Row],[backlog_habiles]]&lt;0,"FUTURO",IF(tblOrdenes[[#This Row],[backlog_habiles]]&gt;p_dias_backlog_max,"BACKLOG","MES CORRIENTE")))</f>
        <v/>
      </c>
      <c r="AD173" s="3">
        <f>IF(tblOrdenes[[#This Row],[backlog_habiles]]="",FALSE,AND(tblOrdenes[[#This Row],[backlog_habiles]]&gt;p_dias_backlog_min,tblOrdenes[[#This Row],[backlog_habiles]]&lt;=p_dias_backlog_max))</f>
        <v/>
      </c>
      <c r="AE173" s="6" t="inlineStr"/>
      <c r="AF1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3" s="11">
        <f>IF(tblOrdenes[[#This Row],[orden]]="","",_xlfn.XLOOKUP(tblOrdenes[[#This Row],[id_operacion]],tblEjecucion[id_operacion],tblEjecucion[precio],0))</f>
        <v/>
      </c>
      <c r="AJ173" s="11">
        <f>IF(tblOrdenes[[#This Row],[orden]]="","",MAX(0,_xlfn.XLOOKUP(tblOrdenes[[#This Row],[id_operacion]],tblEjecucion[id_operacion],tblEjecucion[costo_plan_total],0)-tblOrdenes[[#This Row],[costo_servicio]]))</f>
        <v/>
      </c>
      <c r="AK173" s="11">
        <f>IF(tblOrdenes[[#This Row],[orden]]="","",tblOrdenes[[#This Row],[costo_servicio]]+tblOrdenes[[#This Row],[costo_materiales]])</f>
        <v/>
      </c>
      <c r="AL173" s="6" t="inlineStr"/>
      <c r="AM173" s="6" t="inlineStr"/>
      <c r="AN173" s="6" t="inlineStr"/>
      <c r="AO173" s="3">
        <f>IF(tblOrdenes[[#This Row],[link_checklist]]="","",HYPERLINK(p_ruta_base_checklists&amp;tblOrdenes[[#This Row],[link_checklist]],"abrir"))</f>
        <v/>
      </c>
      <c r="AP173" s="6" t="inlineStr"/>
      <c r="AQ173" s="3">
        <f>IF(tblOrdenes[[#This Row],[orden]]="","",tblOrdenes[[#This Row],[orden]]&amp;IF(tblOrdenes[[#This Row],[operacion]]="","0010",tblOrdenes[[#This Row],[operacion]]))</f>
        <v/>
      </c>
    </row>
    <row r="174">
      <c r="A174" s="3" t="inlineStr">
        <is>
          <t>OT-000902</t>
        </is>
      </c>
      <c r="B174" s="3" t="inlineStr">
        <is>
          <t>0010</t>
        </is>
      </c>
      <c r="C174" s="3" t="inlineStr">
        <is>
          <t>Inspección de rutina — EQ-102</t>
        </is>
      </c>
      <c r="D174" s="3" t="inlineStr">
        <is>
          <t>Inspección de rutina en EQ-102</t>
        </is>
      </c>
      <c r="E174" s="3" t="inlineStr">
        <is>
          <t>EQ-102</t>
        </is>
      </c>
      <c r="F174" s="3" t="inlineStr">
        <is>
          <t>CC-110</t>
        </is>
      </c>
      <c r="G174" s="3" t="inlineStr">
        <is>
          <t>PU-MEC</t>
        </is>
      </c>
      <c r="H174" s="3" t="inlineStr">
        <is>
          <t>ACT-01</t>
        </is>
      </c>
      <c r="I174" s="3" t="inlineStr">
        <is>
          <t>TIPO-P2</t>
        </is>
      </c>
      <c r="J174" s="12" t="n"/>
      <c r="K174" s="3" t="n">
        <v>6</v>
      </c>
      <c r="L174" s="11" t="n">
        <v>150</v>
      </c>
      <c r="M1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4" s="3">
        <f>IF(tblOrdenes[[#This Row],[fecha_inicio]]="","",YEAR(tblOrdenes[[#This Row],[fecha_inicio]]))</f>
        <v/>
      </c>
      <c r="Q174" s="3">
        <f>IF(tblOrdenes[[#This Row],[fecha_inicio]]="","",MONTH(tblOrdenes[[#This Row],[fecha_inicio]]))</f>
        <v/>
      </c>
      <c r="R174" s="3">
        <f>IF(tblOrdenes[[#This Row],[fecha_inicio]]="","",INDEX(lista_dias,WEEKDAY(tblOrdenes[[#This Row],[fecha_inicio]],2)))</f>
        <v/>
      </c>
      <c r="S1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4" s="3">
        <f>IF(tblOrdenes[[#This Row],[tipo_ot]]="","",_xlfn.XLOOKUP(tblOrdenes[[#This Row],[tipo_ot]],tblTiposOT[codigo],tblTiposOT[clasificacion],"sin_clasificar"))</f>
        <v/>
      </c>
      <c r="U174" s="3">
        <f>IF(tblOrdenes[[#This Row],[centro_costo]]="","",_xlfn.XLOOKUP(tblOrdenes[[#This Row],[centro_costo]],tblCECO[codigo],tblCECO[linea],"(sin catálogo)"))</f>
        <v/>
      </c>
      <c r="V174" s="3">
        <f>IF(tblOrdenes[[#This Row],[centro_costo]]="","",_xlfn.XLOOKUP(tblOrdenes[[#This Row],[centro_costo]],tblCECO[codigo],tblCECO[area],"(sin catálogo)"))</f>
        <v/>
      </c>
      <c r="W1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4" s="3">
        <f>IF(tblOrdenes[[#This Row],[centro_costo]]="","",_xlfn.XLOOKUP(tblOrdenes[[#This Row],[centro_costo]],tblCECO[codigo],tblCECO[coordinador],"(sin catálogo)"))</f>
        <v/>
      </c>
      <c r="Y174" s="3">
        <f>IF(tblOrdenes[[#This Row],[puesto_trabajo]]="","",_xlfn.XLOOKUP(tblOrdenes[[#This Row],[puesto_trabajo]],tblPuestos[codigo],tblPuestos[especialidad],"(sin catálogo)"))</f>
        <v/>
      </c>
      <c r="Z174" s="3">
        <f>IF(tblOrdenes[[#This Row],[cod_actividad]]="","",_xlfn.XLOOKUP(tblOrdenes[[#This Row],[cod_actividad]],tblActividades[codigo],tblActividades[descripcion],"(sin catálogo)"))</f>
        <v/>
      </c>
      <c r="AA174" s="13">
        <f>IF(tblOrdenes[[#This Row],[fecha_inicio]]="","",TODAY()-tblOrdenes[[#This Row],[fecha_inicio]])</f>
        <v/>
      </c>
      <c r="AB1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4" s="3">
        <f>IF(tblOrdenes[[#This Row],[backlog_habiles]]="","",IF(tblOrdenes[[#This Row],[backlog_habiles]]&lt;0,"FUTURO",IF(tblOrdenes[[#This Row],[backlog_habiles]]&gt;p_dias_backlog_max,"BACKLOG","MES CORRIENTE")))</f>
        <v/>
      </c>
      <c r="AD174" s="3">
        <f>IF(tblOrdenes[[#This Row],[backlog_habiles]]="",FALSE,AND(tblOrdenes[[#This Row],[backlog_habiles]]&gt;p_dias_backlog_min,tblOrdenes[[#This Row],[backlog_habiles]]&lt;=p_dias_backlog_max))</f>
        <v/>
      </c>
      <c r="AE174" s="6" t="inlineStr"/>
      <c r="AF1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4" s="11">
        <f>IF(tblOrdenes[[#This Row],[orden]]="","",_xlfn.XLOOKUP(tblOrdenes[[#This Row],[id_operacion]],tblEjecucion[id_operacion],tblEjecucion[precio],0))</f>
        <v/>
      </c>
      <c r="AJ174" s="11">
        <f>IF(tblOrdenes[[#This Row],[orden]]="","",MAX(0,_xlfn.XLOOKUP(tblOrdenes[[#This Row],[id_operacion]],tblEjecucion[id_operacion],tblEjecucion[costo_plan_total],0)-tblOrdenes[[#This Row],[costo_servicio]]))</f>
        <v/>
      </c>
      <c r="AK174" s="11">
        <f>IF(tblOrdenes[[#This Row],[orden]]="","",tblOrdenes[[#This Row],[costo_servicio]]+tblOrdenes[[#This Row],[costo_materiales]])</f>
        <v/>
      </c>
      <c r="AL174" s="6" t="inlineStr"/>
      <c r="AM174" s="6" t="inlineStr"/>
      <c r="AN174" s="6" t="inlineStr"/>
      <c r="AO174" s="3">
        <f>IF(tblOrdenes[[#This Row],[link_checklist]]="","",HYPERLINK(p_ruta_base_checklists&amp;tblOrdenes[[#This Row],[link_checklist]],"abrir"))</f>
        <v/>
      </c>
      <c r="AP174" s="6" t="inlineStr"/>
      <c r="AQ174" s="3">
        <f>IF(tblOrdenes[[#This Row],[orden]]="","",tblOrdenes[[#This Row],[orden]]&amp;IF(tblOrdenes[[#This Row],[operacion]]="","0010",tblOrdenes[[#This Row],[operacion]]))</f>
        <v/>
      </c>
    </row>
    <row r="175">
      <c r="A175" s="3" t="inlineStr">
        <is>
          <t>OT-000903</t>
        </is>
      </c>
      <c r="B175" s="3" t="inlineStr">
        <is>
          <t>0010</t>
        </is>
      </c>
      <c r="C175" s="3" t="inlineStr">
        <is>
          <t>Reparación de falla — EQ-103</t>
        </is>
      </c>
      <c r="D175" s="3" t="inlineStr">
        <is>
          <t>Reparación de falla en EQ-103</t>
        </is>
      </c>
      <c r="E175" s="3" t="inlineStr">
        <is>
          <t>EQ-103</t>
        </is>
      </c>
      <c r="F175" s="3" t="inlineStr">
        <is>
          <t>CC-110</t>
        </is>
      </c>
      <c r="G175" s="3" t="inlineStr">
        <is>
          <t>PU-AUT</t>
        </is>
      </c>
      <c r="H175" s="3" t="inlineStr">
        <is>
          <t>ACT-03</t>
        </is>
      </c>
      <c r="I175" s="3" t="inlineStr">
        <is>
          <t>TIPO-C1</t>
        </is>
      </c>
      <c r="J175" s="12" t="n">
        <v>46175</v>
      </c>
      <c r="K175" s="3" t="n"/>
      <c r="L175" s="11" t="n">
        <v>0</v>
      </c>
      <c r="M1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5" s="3">
        <f>IF(tblOrdenes[[#This Row],[fecha_inicio]]="","",YEAR(tblOrdenes[[#This Row],[fecha_inicio]]))</f>
        <v/>
      </c>
      <c r="Q175" s="3">
        <f>IF(tblOrdenes[[#This Row],[fecha_inicio]]="","",MONTH(tblOrdenes[[#This Row],[fecha_inicio]]))</f>
        <v/>
      </c>
      <c r="R175" s="3">
        <f>IF(tblOrdenes[[#This Row],[fecha_inicio]]="","",INDEX(lista_dias,WEEKDAY(tblOrdenes[[#This Row],[fecha_inicio]],2)))</f>
        <v/>
      </c>
      <c r="S1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5" s="3">
        <f>IF(tblOrdenes[[#This Row],[tipo_ot]]="","",_xlfn.XLOOKUP(tblOrdenes[[#This Row],[tipo_ot]],tblTiposOT[codigo],tblTiposOT[clasificacion],"sin_clasificar"))</f>
        <v/>
      </c>
      <c r="U175" s="3">
        <f>IF(tblOrdenes[[#This Row],[centro_costo]]="","",_xlfn.XLOOKUP(tblOrdenes[[#This Row],[centro_costo]],tblCECO[codigo],tblCECO[linea],"(sin catálogo)"))</f>
        <v/>
      </c>
      <c r="V175" s="3">
        <f>IF(tblOrdenes[[#This Row],[centro_costo]]="","",_xlfn.XLOOKUP(tblOrdenes[[#This Row],[centro_costo]],tblCECO[codigo],tblCECO[area],"(sin catálogo)"))</f>
        <v/>
      </c>
      <c r="W1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5" s="3">
        <f>IF(tblOrdenes[[#This Row],[centro_costo]]="","",_xlfn.XLOOKUP(tblOrdenes[[#This Row],[centro_costo]],tblCECO[codigo],tblCECO[coordinador],"(sin catálogo)"))</f>
        <v/>
      </c>
      <c r="Y175" s="3">
        <f>IF(tblOrdenes[[#This Row],[puesto_trabajo]]="","",_xlfn.XLOOKUP(tblOrdenes[[#This Row],[puesto_trabajo]],tblPuestos[codigo],tblPuestos[especialidad],"(sin catálogo)"))</f>
        <v/>
      </c>
      <c r="Z175" s="3">
        <f>IF(tblOrdenes[[#This Row],[cod_actividad]]="","",_xlfn.XLOOKUP(tblOrdenes[[#This Row],[cod_actividad]],tblActividades[codigo],tblActividades[descripcion],"(sin catálogo)"))</f>
        <v/>
      </c>
      <c r="AA175" s="13">
        <f>IF(tblOrdenes[[#This Row],[fecha_inicio]]="","",TODAY()-tblOrdenes[[#This Row],[fecha_inicio]])</f>
        <v/>
      </c>
      <c r="AB1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5" s="3">
        <f>IF(tblOrdenes[[#This Row],[backlog_habiles]]="","",IF(tblOrdenes[[#This Row],[backlog_habiles]]&lt;0,"FUTURO",IF(tblOrdenes[[#This Row],[backlog_habiles]]&gt;p_dias_backlog_max,"BACKLOG","MES CORRIENTE")))</f>
        <v/>
      </c>
      <c r="AD175" s="3">
        <f>IF(tblOrdenes[[#This Row],[backlog_habiles]]="",FALSE,AND(tblOrdenes[[#This Row],[backlog_habiles]]&gt;p_dias_backlog_min,tblOrdenes[[#This Row],[backlog_habiles]]&lt;=p_dias_backlog_max))</f>
        <v/>
      </c>
      <c r="AE175" s="6" t="inlineStr"/>
      <c r="AF1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5" s="11">
        <f>IF(tblOrdenes[[#This Row],[orden]]="","",_xlfn.XLOOKUP(tblOrdenes[[#This Row],[id_operacion]],tblEjecucion[id_operacion],tblEjecucion[precio],0))</f>
        <v/>
      </c>
      <c r="AJ175" s="11">
        <f>IF(tblOrdenes[[#This Row],[orden]]="","",MAX(0,_xlfn.XLOOKUP(tblOrdenes[[#This Row],[id_operacion]],tblEjecucion[id_operacion],tblEjecucion[costo_plan_total],0)-tblOrdenes[[#This Row],[costo_servicio]]))</f>
        <v/>
      </c>
      <c r="AK175" s="11">
        <f>IF(tblOrdenes[[#This Row],[orden]]="","",tblOrdenes[[#This Row],[costo_servicio]]+tblOrdenes[[#This Row],[costo_materiales]])</f>
        <v/>
      </c>
      <c r="AL175" s="6" t="inlineStr"/>
      <c r="AM175" s="6" t="inlineStr"/>
      <c r="AN175" s="6" t="inlineStr"/>
      <c r="AO175" s="3">
        <f>IF(tblOrdenes[[#This Row],[link_checklist]]="","",HYPERLINK(p_ruta_base_checklists&amp;tblOrdenes[[#This Row],[link_checklist]],"abrir"))</f>
        <v/>
      </c>
      <c r="AP175" s="6" t="inlineStr"/>
      <c r="AQ175" s="3">
        <f>IF(tblOrdenes[[#This Row],[orden]]="","",tblOrdenes[[#This Row],[orden]]&amp;IF(tblOrdenes[[#This Row],[operacion]]="","0010",tblOrdenes[[#This Row],[operacion]]))</f>
        <v/>
      </c>
    </row>
    <row r="176">
      <c r="A176" s="3" t="inlineStr">
        <is>
          <t>OT-000904</t>
        </is>
      </c>
      <c r="B176" s="3" t="inlineStr">
        <is>
          <t>0010</t>
        </is>
      </c>
      <c r="C176" s="3" t="inlineStr">
        <is>
          <t>Reparación de falla — EQ-104</t>
        </is>
      </c>
      <c r="D176" s="3" t="inlineStr">
        <is>
          <t>Reparación de falla en EQ-104</t>
        </is>
      </c>
      <c r="E176" s="3" t="inlineStr">
        <is>
          <t>EQ-104</t>
        </is>
      </c>
      <c r="F176" s="3" t="inlineStr">
        <is>
          <t>CC-110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2" t="n">
        <v>46175</v>
      </c>
      <c r="K176" s="3" t="n"/>
      <c r="L176" s="11" t="n">
        <v>0</v>
      </c>
      <c r="M1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6" s="3">
        <f>IF(tblOrdenes[[#This Row],[fecha_inicio]]="","",YEAR(tblOrdenes[[#This Row],[fecha_inicio]]))</f>
        <v/>
      </c>
      <c r="Q176" s="3">
        <f>IF(tblOrdenes[[#This Row],[fecha_inicio]]="","",MONTH(tblOrdenes[[#This Row],[fecha_inicio]]))</f>
        <v/>
      </c>
      <c r="R176" s="3">
        <f>IF(tblOrdenes[[#This Row],[fecha_inicio]]="","",INDEX(lista_dias,WEEKDAY(tblOrdenes[[#This Row],[fecha_inicio]],2)))</f>
        <v/>
      </c>
      <c r="S1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6" s="3">
        <f>IF(tblOrdenes[[#This Row],[tipo_ot]]="","",_xlfn.XLOOKUP(tblOrdenes[[#This Row],[tipo_ot]],tblTiposOT[codigo],tblTiposOT[clasificacion],"sin_clasificar"))</f>
        <v/>
      </c>
      <c r="U176" s="3">
        <f>IF(tblOrdenes[[#This Row],[centro_costo]]="","",_xlfn.XLOOKUP(tblOrdenes[[#This Row],[centro_costo]],tblCECO[codigo],tblCECO[linea],"(sin catálogo)"))</f>
        <v/>
      </c>
      <c r="V176" s="3">
        <f>IF(tblOrdenes[[#This Row],[centro_costo]]="","",_xlfn.XLOOKUP(tblOrdenes[[#This Row],[centro_costo]],tblCECO[codigo],tblCECO[area],"(sin catálogo)"))</f>
        <v/>
      </c>
      <c r="W1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6" s="3">
        <f>IF(tblOrdenes[[#This Row],[centro_costo]]="","",_xlfn.XLOOKUP(tblOrdenes[[#This Row],[centro_costo]],tblCECO[codigo],tblCECO[coordinador],"(sin catálogo)"))</f>
        <v/>
      </c>
      <c r="Y176" s="3">
        <f>IF(tblOrdenes[[#This Row],[puesto_trabajo]]="","",_xlfn.XLOOKUP(tblOrdenes[[#This Row],[puesto_trabajo]],tblPuestos[codigo],tblPuestos[especialidad],"(sin catálogo)"))</f>
        <v/>
      </c>
      <c r="Z176" s="3">
        <f>IF(tblOrdenes[[#This Row],[cod_actividad]]="","",_xlfn.XLOOKUP(tblOrdenes[[#This Row],[cod_actividad]],tblActividades[codigo],tblActividades[descripcion],"(sin catálogo)"))</f>
        <v/>
      </c>
      <c r="AA176" s="13">
        <f>IF(tblOrdenes[[#This Row],[fecha_inicio]]="","",TODAY()-tblOrdenes[[#This Row],[fecha_inicio]])</f>
        <v/>
      </c>
      <c r="AB1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6" s="3">
        <f>IF(tblOrdenes[[#This Row],[backlog_habiles]]="","",IF(tblOrdenes[[#This Row],[backlog_habiles]]&lt;0,"FUTURO",IF(tblOrdenes[[#This Row],[backlog_habiles]]&gt;p_dias_backlog_max,"BACKLOG","MES CORRIENTE")))</f>
        <v/>
      </c>
      <c r="AD176" s="3">
        <f>IF(tblOrdenes[[#This Row],[backlog_habiles]]="",FALSE,AND(tblOrdenes[[#This Row],[backlog_habiles]]&gt;p_dias_backlog_min,tblOrdenes[[#This Row],[backlog_habiles]]&lt;=p_dias_backlog_max))</f>
        <v/>
      </c>
      <c r="AE176" s="6" t="inlineStr"/>
      <c r="AF1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6" s="11">
        <f>IF(tblOrdenes[[#This Row],[orden]]="","",_xlfn.XLOOKUP(tblOrdenes[[#This Row],[id_operacion]],tblEjecucion[id_operacion],tblEjecucion[precio],0))</f>
        <v/>
      </c>
      <c r="AJ176" s="11">
        <f>IF(tblOrdenes[[#This Row],[orden]]="","",MAX(0,_xlfn.XLOOKUP(tblOrdenes[[#This Row],[id_operacion]],tblEjecucion[id_operacion],tblEjecucion[costo_plan_total],0)-tblOrdenes[[#This Row],[costo_servicio]]))</f>
        <v/>
      </c>
      <c r="AK176" s="11">
        <f>IF(tblOrdenes[[#This Row],[orden]]="","",tblOrdenes[[#This Row],[costo_servicio]]+tblOrdenes[[#This Row],[costo_materiales]])</f>
        <v/>
      </c>
      <c r="AL176" s="6" t="inlineStr"/>
      <c r="AM176" s="6" t="inlineStr"/>
      <c r="AN176" s="6" t="inlineStr"/>
      <c r="AO176" s="3">
        <f>IF(tblOrdenes[[#This Row],[link_checklist]]="","",HYPERLINK(p_ruta_base_checklists&amp;tblOrdenes[[#This Row],[link_checklist]],"abrir"))</f>
        <v/>
      </c>
      <c r="AP176" s="6" t="inlineStr"/>
      <c r="AQ176" s="3">
        <f>IF(tblOrdenes[[#This Row],[orden]]="","",tblOrdenes[[#This Row],[orden]]&amp;IF(tblOrdenes[[#This Row],[operacion]]="","0010",tblOrdenes[[#This Row],[operacion]]))</f>
        <v/>
      </c>
    </row>
    <row r="177">
      <c r="A177" s="3" t="inlineStr">
        <is>
          <t>OT-000905</t>
        </is>
      </c>
      <c r="B177" s="3" t="inlineStr">
        <is>
          <t>0010</t>
        </is>
      </c>
      <c r="C177" s="3" t="inlineStr">
        <is>
          <t>Reparación de falla — EQ-105</t>
        </is>
      </c>
      <c r="D177" s="3" t="inlineStr">
        <is>
          <t>Reparación de falla en EQ-105</t>
        </is>
      </c>
      <c r="E177" s="3" t="inlineStr">
        <is>
          <t>EQ-105</t>
        </is>
      </c>
      <c r="F177" s="3" t="inlineStr">
        <is>
          <t>CC-110</t>
        </is>
      </c>
      <c r="G177" s="3" t="inlineStr">
        <is>
          <t>PU-MEC</t>
        </is>
      </c>
      <c r="H177" s="3" t="inlineStr">
        <is>
          <t>ACT-03</t>
        </is>
      </c>
      <c r="I177" s="3" t="inlineStr">
        <is>
          <t>TIPO-X9</t>
        </is>
      </c>
      <c r="J177" s="12" t="n">
        <v>46170</v>
      </c>
      <c r="K177" s="3" t="n">
        <v>4</v>
      </c>
      <c r="L177" s="11" t="n">
        <v>160</v>
      </c>
      <c r="M1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7" s="3">
        <f>IF(tblOrdenes[[#This Row],[fecha_inicio]]="","",YEAR(tblOrdenes[[#This Row],[fecha_inicio]]))</f>
        <v/>
      </c>
      <c r="Q177" s="3">
        <f>IF(tblOrdenes[[#This Row],[fecha_inicio]]="","",MONTH(tblOrdenes[[#This Row],[fecha_inicio]]))</f>
        <v/>
      </c>
      <c r="R177" s="3">
        <f>IF(tblOrdenes[[#This Row],[fecha_inicio]]="","",INDEX(lista_dias,WEEKDAY(tblOrdenes[[#This Row],[fecha_inicio]],2)))</f>
        <v/>
      </c>
      <c r="S1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7" s="3">
        <f>IF(tblOrdenes[[#This Row],[tipo_ot]]="","",_xlfn.XLOOKUP(tblOrdenes[[#This Row],[tipo_ot]],tblTiposOT[codigo],tblTiposOT[clasificacion],"sin_clasificar"))</f>
        <v/>
      </c>
      <c r="U177" s="3">
        <f>IF(tblOrdenes[[#This Row],[centro_costo]]="","",_xlfn.XLOOKUP(tblOrdenes[[#This Row],[centro_costo]],tblCECO[codigo],tblCECO[linea],"(sin catálogo)"))</f>
        <v/>
      </c>
      <c r="V177" s="3">
        <f>IF(tblOrdenes[[#This Row],[centro_costo]]="","",_xlfn.XLOOKUP(tblOrdenes[[#This Row],[centro_costo]],tblCECO[codigo],tblCECO[area],"(sin catálogo)"))</f>
        <v/>
      </c>
      <c r="W1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7" s="3">
        <f>IF(tblOrdenes[[#This Row],[centro_costo]]="","",_xlfn.XLOOKUP(tblOrdenes[[#This Row],[centro_costo]],tblCECO[codigo],tblCECO[coordinador],"(sin catálogo)"))</f>
        <v/>
      </c>
      <c r="Y177" s="3">
        <f>IF(tblOrdenes[[#This Row],[puesto_trabajo]]="","",_xlfn.XLOOKUP(tblOrdenes[[#This Row],[puesto_trabajo]],tblPuestos[codigo],tblPuestos[especialidad],"(sin catálogo)"))</f>
        <v/>
      </c>
      <c r="Z177" s="3">
        <f>IF(tblOrdenes[[#This Row],[cod_actividad]]="","",_xlfn.XLOOKUP(tblOrdenes[[#This Row],[cod_actividad]],tblActividades[codigo],tblActividades[descripcion],"(sin catálogo)"))</f>
        <v/>
      </c>
      <c r="AA177" s="13">
        <f>IF(tblOrdenes[[#This Row],[fecha_inicio]]="","",TODAY()-tblOrdenes[[#This Row],[fecha_inicio]])</f>
        <v/>
      </c>
      <c r="AB1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7" s="3">
        <f>IF(tblOrdenes[[#This Row],[backlog_habiles]]="","",IF(tblOrdenes[[#This Row],[backlog_habiles]]&lt;0,"FUTURO",IF(tblOrdenes[[#This Row],[backlog_habiles]]&gt;p_dias_backlog_max,"BACKLOG","MES CORRIENTE")))</f>
        <v/>
      </c>
      <c r="AD177" s="3">
        <f>IF(tblOrdenes[[#This Row],[backlog_habiles]]="",FALSE,AND(tblOrdenes[[#This Row],[backlog_habiles]]&gt;p_dias_backlog_min,tblOrdenes[[#This Row],[backlog_habiles]]&lt;=p_dias_backlog_max))</f>
        <v/>
      </c>
      <c r="AE177" s="6" t="inlineStr"/>
      <c r="AF1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7" s="11">
        <f>IF(tblOrdenes[[#This Row],[orden]]="","",_xlfn.XLOOKUP(tblOrdenes[[#This Row],[id_operacion]],tblEjecucion[id_operacion],tblEjecucion[precio],0))</f>
        <v/>
      </c>
      <c r="AJ177" s="11">
        <f>IF(tblOrdenes[[#This Row],[orden]]="","",MAX(0,_xlfn.XLOOKUP(tblOrdenes[[#This Row],[id_operacion]],tblEjecucion[id_operacion],tblEjecucion[costo_plan_total],0)-tblOrdenes[[#This Row],[costo_servicio]]))</f>
        <v/>
      </c>
      <c r="AK177" s="11">
        <f>IF(tblOrdenes[[#This Row],[orden]]="","",tblOrdenes[[#This Row],[costo_servicio]]+tblOrdenes[[#This Row],[costo_materiales]])</f>
        <v/>
      </c>
      <c r="AL177" s="6" t="inlineStr"/>
      <c r="AM177" s="6" t="inlineStr"/>
      <c r="AN177" s="6" t="inlineStr"/>
      <c r="AO177" s="3">
        <f>IF(tblOrdenes[[#This Row],[link_checklist]]="","",HYPERLINK(p_ruta_base_checklists&amp;tblOrdenes[[#This Row],[link_checklist]],"abrir"))</f>
        <v/>
      </c>
      <c r="AP177" s="6" t="inlineStr"/>
      <c r="AQ177" s="3">
        <f>IF(tblOrdenes[[#This Row],[orden]]="","",tblOrdenes[[#This Row],[orden]]&amp;IF(tblOrdenes[[#This Row],[operacion]]="","0010",tblOrdenes[[#This Row],[operacion]]))</f>
        <v/>
      </c>
    </row>
    <row r="178">
      <c r="A178" s="3" t="inlineStr">
        <is>
          <t>OT-000906</t>
        </is>
      </c>
      <c r="B178" s="3" t="inlineStr">
        <is>
          <t>0010</t>
        </is>
      </c>
      <c r="C178" s="3" t="inlineStr">
        <is>
          <t>Reparación de falla — EQ-101</t>
        </is>
      </c>
      <c r="D178" s="3" t="inlineStr">
        <is>
          <t>Reparación de falla en EQ-101</t>
        </is>
      </c>
      <c r="E178" s="3" t="inlineStr">
        <is>
          <t>EQ-101</t>
        </is>
      </c>
      <c r="F178" s="3" t="inlineStr">
        <is>
          <t>CC-110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TIPO-X9</t>
        </is>
      </c>
      <c r="J178" s="12" t="n">
        <v>46170</v>
      </c>
      <c r="K178" s="3" t="n">
        <v>4</v>
      </c>
      <c r="L178" s="11" t="n">
        <v>160</v>
      </c>
      <c r="M1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8" s="3">
        <f>IF(tblOrdenes[[#This Row],[fecha_inicio]]="","",YEAR(tblOrdenes[[#This Row],[fecha_inicio]]))</f>
        <v/>
      </c>
      <c r="Q178" s="3">
        <f>IF(tblOrdenes[[#This Row],[fecha_inicio]]="","",MONTH(tblOrdenes[[#This Row],[fecha_inicio]]))</f>
        <v/>
      </c>
      <c r="R178" s="3">
        <f>IF(tblOrdenes[[#This Row],[fecha_inicio]]="","",INDEX(lista_dias,WEEKDAY(tblOrdenes[[#This Row],[fecha_inicio]],2)))</f>
        <v/>
      </c>
      <c r="S1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8" s="3">
        <f>IF(tblOrdenes[[#This Row],[tipo_ot]]="","",_xlfn.XLOOKUP(tblOrdenes[[#This Row],[tipo_ot]],tblTiposOT[codigo],tblTiposOT[clasificacion],"sin_clasificar"))</f>
        <v/>
      </c>
      <c r="U178" s="3">
        <f>IF(tblOrdenes[[#This Row],[centro_costo]]="","",_xlfn.XLOOKUP(tblOrdenes[[#This Row],[centro_costo]],tblCECO[codigo],tblCECO[linea],"(sin catálogo)"))</f>
        <v/>
      </c>
      <c r="V178" s="3">
        <f>IF(tblOrdenes[[#This Row],[centro_costo]]="","",_xlfn.XLOOKUP(tblOrdenes[[#This Row],[centro_costo]],tblCECO[codigo],tblCECO[area],"(sin catálogo)"))</f>
        <v/>
      </c>
      <c r="W1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8" s="3">
        <f>IF(tblOrdenes[[#This Row],[centro_costo]]="","",_xlfn.XLOOKUP(tblOrdenes[[#This Row],[centro_costo]],tblCECO[codigo],tblCECO[coordinador],"(sin catálogo)"))</f>
        <v/>
      </c>
      <c r="Y178" s="3">
        <f>IF(tblOrdenes[[#This Row],[puesto_trabajo]]="","",_xlfn.XLOOKUP(tblOrdenes[[#This Row],[puesto_trabajo]],tblPuestos[codigo],tblPuestos[especialidad],"(sin catálogo)"))</f>
        <v/>
      </c>
      <c r="Z178" s="3">
        <f>IF(tblOrdenes[[#This Row],[cod_actividad]]="","",_xlfn.XLOOKUP(tblOrdenes[[#This Row],[cod_actividad]],tblActividades[codigo],tblActividades[descripcion],"(sin catálogo)"))</f>
        <v/>
      </c>
      <c r="AA178" s="13">
        <f>IF(tblOrdenes[[#This Row],[fecha_inicio]]="","",TODAY()-tblOrdenes[[#This Row],[fecha_inicio]])</f>
        <v/>
      </c>
      <c r="AB1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8" s="3">
        <f>IF(tblOrdenes[[#This Row],[backlog_habiles]]="","",IF(tblOrdenes[[#This Row],[backlog_habiles]]&lt;0,"FUTURO",IF(tblOrdenes[[#This Row],[backlog_habiles]]&gt;p_dias_backlog_max,"BACKLOG","MES CORRIENTE")))</f>
        <v/>
      </c>
      <c r="AD178" s="3">
        <f>IF(tblOrdenes[[#This Row],[backlog_habiles]]="",FALSE,AND(tblOrdenes[[#This Row],[backlog_habiles]]&gt;p_dias_backlog_min,tblOrdenes[[#This Row],[backlog_habiles]]&lt;=p_dias_backlog_max))</f>
        <v/>
      </c>
      <c r="AE178" s="6" t="inlineStr"/>
      <c r="AF1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8" s="11">
        <f>IF(tblOrdenes[[#This Row],[orden]]="","",_xlfn.XLOOKUP(tblOrdenes[[#This Row],[id_operacion]],tblEjecucion[id_operacion],tblEjecucion[precio],0))</f>
        <v/>
      </c>
      <c r="AJ178" s="11">
        <f>IF(tblOrdenes[[#This Row],[orden]]="","",MAX(0,_xlfn.XLOOKUP(tblOrdenes[[#This Row],[id_operacion]],tblEjecucion[id_operacion],tblEjecucion[costo_plan_total],0)-tblOrdenes[[#This Row],[costo_servicio]]))</f>
        <v/>
      </c>
      <c r="AK178" s="11">
        <f>IF(tblOrdenes[[#This Row],[orden]]="","",tblOrdenes[[#This Row],[costo_servicio]]+tblOrdenes[[#This Row],[costo_materiales]])</f>
        <v/>
      </c>
      <c r="AL178" s="6" t="inlineStr"/>
      <c r="AM178" s="6" t="inlineStr"/>
      <c r="AN178" s="6" t="inlineStr"/>
      <c r="AO178" s="3">
        <f>IF(tblOrdenes[[#This Row],[link_checklist]]="","",HYPERLINK(p_ruta_base_checklists&amp;tblOrdenes[[#This Row],[link_checklist]],"abrir"))</f>
        <v/>
      </c>
      <c r="AP178" s="6" t="inlineStr"/>
      <c r="AQ178" s="3">
        <f>IF(tblOrdenes[[#This Row],[orden]]="","",tblOrdenes[[#This Row],[orden]]&amp;IF(tblOrdenes[[#This Row],[operacion]]="","0010",tblOrdenes[[#This Row],[operacion]]))</f>
        <v/>
      </c>
    </row>
    <row r="179">
      <c r="A179" s="3" t="inlineStr">
        <is>
          <t>OT-000907</t>
        </is>
      </c>
      <c r="B179" s="3" t="inlineStr">
        <is>
          <t>0010</t>
        </is>
      </c>
      <c r="C179" s="3" t="inlineStr">
        <is>
          <t>Reparación de falla — EQ-102</t>
        </is>
      </c>
      <c r="D179" s="3" t="inlineStr">
        <is>
          <t>Reparación de falla en EQ-102</t>
        </is>
      </c>
      <c r="E179" s="3" t="inlineStr">
        <is>
          <t>EQ-102</t>
        </is>
      </c>
      <c r="F179" s="3" t="inlineStr">
        <is>
          <t>CC-999</t>
        </is>
      </c>
      <c r="G179" s="3" t="inlineStr">
        <is>
          <t>PU-MEC</t>
        </is>
      </c>
      <c r="H179" s="3" t="inlineStr">
        <is>
          <t>ACT-03</t>
        </is>
      </c>
      <c r="I179" s="3" t="inlineStr">
        <is>
          <t>TIPO-C1</t>
        </is>
      </c>
      <c r="J179" s="12" t="n">
        <v>46168</v>
      </c>
      <c r="K179" s="3" t="n">
        <v>4</v>
      </c>
      <c r="L179" s="11" t="n">
        <v>160</v>
      </c>
      <c r="M1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9" s="3">
        <f>IF(tblOrdenes[[#This Row],[fecha_inicio]]="","",YEAR(tblOrdenes[[#This Row],[fecha_inicio]]))</f>
        <v/>
      </c>
      <c r="Q179" s="3">
        <f>IF(tblOrdenes[[#This Row],[fecha_inicio]]="","",MONTH(tblOrdenes[[#This Row],[fecha_inicio]]))</f>
        <v/>
      </c>
      <c r="R179" s="3">
        <f>IF(tblOrdenes[[#This Row],[fecha_inicio]]="","",INDEX(lista_dias,WEEKDAY(tblOrdenes[[#This Row],[fecha_inicio]],2)))</f>
        <v/>
      </c>
      <c r="S1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9" s="3">
        <f>IF(tblOrdenes[[#This Row],[tipo_ot]]="","",_xlfn.XLOOKUP(tblOrdenes[[#This Row],[tipo_ot]],tblTiposOT[codigo],tblTiposOT[clasificacion],"sin_clasificar"))</f>
        <v/>
      </c>
      <c r="U179" s="3">
        <f>IF(tblOrdenes[[#This Row],[centro_costo]]="","",_xlfn.XLOOKUP(tblOrdenes[[#This Row],[centro_costo]],tblCECO[codigo],tblCECO[linea],"(sin catálogo)"))</f>
        <v/>
      </c>
      <c r="V179" s="3">
        <f>IF(tblOrdenes[[#This Row],[centro_costo]]="","",_xlfn.XLOOKUP(tblOrdenes[[#This Row],[centro_costo]],tblCECO[codigo],tblCECO[area],"(sin catálogo)"))</f>
        <v/>
      </c>
      <c r="W1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9" s="3">
        <f>IF(tblOrdenes[[#This Row],[centro_costo]]="","",_xlfn.XLOOKUP(tblOrdenes[[#This Row],[centro_costo]],tblCECO[codigo],tblCECO[coordinador],"(sin catálogo)"))</f>
        <v/>
      </c>
      <c r="Y179" s="3">
        <f>IF(tblOrdenes[[#This Row],[puesto_trabajo]]="","",_xlfn.XLOOKUP(tblOrdenes[[#This Row],[puesto_trabajo]],tblPuestos[codigo],tblPuestos[especialidad],"(sin catálogo)"))</f>
        <v/>
      </c>
      <c r="Z179" s="3">
        <f>IF(tblOrdenes[[#This Row],[cod_actividad]]="","",_xlfn.XLOOKUP(tblOrdenes[[#This Row],[cod_actividad]],tblActividades[codigo],tblActividades[descripcion],"(sin catálogo)"))</f>
        <v/>
      </c>
      <c r="AA179" s="13">
        <f>IF(tblOrdenes[[#This Row],[fecha_inicio]]="","",TODAY()-tblOrdenes[[#This Row],[fecha_inicio]])</f>
        <v/>
      </c>
      <c r="AB1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9" s="3">
        <f>IF(tblOrdenes[[#This Row],[backlog_habiles]]="","",IF(tblOrdenes[[#This Row],[backlog_habiles]]&lt;0,"FUTURO",IF(tblOrdenes[[#This Row],[backlog_habiles]]&gt;p_dias_backlog_max,"BACKLOG","MES CORRIENTE")))</f>
        <v/>
      </c>
      <c r="AD179" s="3">
        <f>IF(tblOrdenes[[#This Row],[backlog_habiles]]="",FALSE,AND(tblOrdenes[[#This Row],[backlog_habiles]]&gt;p_dias_backlog_min,tblOrdenes[[#This Row],[backlog_habiles]]&lt;=p_dias_backlog_max))</f>
        <v/>
      </c>
      <c r="AE179" s="6" t="inlineStr"/>
      <c r="AF1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9" s="11">
        <f>IF(tblOrdenes[[#This Row],[orden]]="","",_xlfn.XLOOKUP(tblOrdenes[[#This Row],[id_operacion]],tblEjecucion[id_operacion],tblEjecucion[precio],0))</f>
        <v/>
      </c>
      <c r="AJ179" s="11">
        <f>IF(tblOrdenes[[#This Row],[orden]]="","",MAX(0,_xlfn.XLOOKUP(tblOrdenes[[#This Row],[id_operacion]],tblEjecucion[id_operacion],tblEjecucion[costo_plan_total],0)-tblOrdenes[[#This Row],[costo_servicio]]))</f>
        <v/>
      </c>
      <c r="AK179" s="11">
        <f>IF(tblOrdenes[[#This Row],[orden]]="","",tblOrdenes[[#This Row],[costo_servicio]]+tblOrdenes[[#This Row],[costo_materiales]])</f>
        <v/>
      </c>
      <c r="AL179" s="6" t="inlineStr"/>
      <c r="AM179" s="6" t="inlineStr"/>
      <c r="AN179" s="6" t="inlineStr"/>
      <c r="AO179" s="3">
        <f>IF(tblOrdenes[[#This Row],[link_checklist]]="","",HYPERLINK(p_ruta_base_checklists&amp;tblOrdenes[[#This Row],[link_checklist]],"abrir"))</f>
        <v/>
      </c>
      <c r="AP179" s="6" t="inlineStr"/>
      <c r="AQ179" s="3">
        <f>IF(tblOrdenes[[#This Row],[orden]]="","",tblOrdenes[[#This Row],[orden]]&amp;IF(tblOrdenes[[#This Row],[operacion]]="","0010",tblOrdenes[[#This Row],[operacion]]))</f>
        <v/>
      </c>
    </row>
    <row r="180">
      <c r="A180" s="3" t="inlineStr">
        <is>
          <t>OT-000908</t>
        </is>
      </c>
      <c r="B180" s="3" t="inlineStr">
        <is>
          <t>0010</t>
        </is>
      </c>
      <c r="C180" s="3" t="inlineStr">
        <is>
          <t>Reparación de falla — EQ-103</t>
        </is>
      </c>
      <c r="D180" s="3" t="inlineStr">
        <is>
          <t>Reparación de falla en EQ-103</t>
        </is>
      </c>
      <c r="E180" s="3" t="inlineStr">
        <is>
          <t>EQ-103</t>
        </is>
      </c>
      <c r="F180" s="3" t="inlineStr">
        <is>
          <t>CC-110</t>
        </is>
      </c>
      <c r="G180" s="3" t="inlineStr">
        <is>
          <t>PU-XXX</t>
        </is>
      </c>
      <c r="H180" s="3" t="inlineStr">
        <is>
          <t>ACT-03</t>
        </is>
      </c>
      <c r="I180" s="3" t="inlineStr">
        <is>
          <t>TIPO-C2</t>
        </is>
      </c>
      <c r="J180" s="12" t="n">
        <v>46168</v>
      </c>
      <c r="K180" s="3" t="n">
        <v>4</v>
      </c>
      <c r="L180" s="11" t="n">
        <v>160</v>
      </c>
      <c r="M1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0" s="3">
        <f>IF(tblOrdenes[[#This Row],[fecha_inicio]]="","",YEAR(tblOrdenes[[#This Row],[fecha_inicio]]))</f>
        <v/>
      </c>
      <c r="Q180" s="3">
        <f>IF(tblOrdenes[[#This Row],[fecha_inicio]]="","",MONTH(tblOrdenes[[#This Row],[fecha_inicio]]))</f>
        <v/>
      </c>
      <c r="R180" s="3">
        <f>IF(tblOrdenes[[#This Row],[fecha_inicio]]="","",INDEX(lista_dias,WEEKDAY(tblOrdenes[[#This Row],[fecha_inicio]],2)))</f>
        <v/>
      </c>
      <c r="S1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0" s="3">
        <f>IF(tblOrdenes[[#This Row],[tipo_ot]]="","",_xlfn.XLOOKUP(tblOrdenes[[#This Row],[tipo_ot]],tblTiposOT[codigo],tblTiposOT[clasificacion],"sin_clasificar"))</f>
        <v/>
      </c>
      <c r="U180" s="3">
        <f>IF(tblOrdenes[[#This Row],[centro_costo]]="","",_xlfn.XLOOKUP(tblOrdenes[[#This Row],[centro_costo]],tblCECO[codigo],tblCECO[linea],"(sin catálogo)"))</f>
        <v/>
      </c>
      <c r="V180" s="3">
        <f>IF(tblOrdenes[[#This Row],[centro_costo]]="","",_xlfn.XLOOKUP(tblOrdenes[[#This Row],[centro_costo]],tblCECO[codigo],tblCECO[area],"(sin catálogo)"))</f>
        <v/>
      </c>
      <c r="W1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0" s="3">
        <f>IF(tblOrdenes[[#This Row],[centro_costo]]="","",_xlfn.XLOOKUP(tblOrdenes[[#This Row],[centro_costo]],tblCECO[codigo],tblCECO[coordinador],"(sin catálogo)"))</f>
        <v/>
      </c>
      <c r="Y180" s="3">
        <f>IF(tblOrdenes[[#This Row],[puesto_trabajo]]="","",_xlfn.XLOOKUP(tblOrdenes[[#This Row],[puesto_trabajo]],tblPuestos[codigo],tblPuestos[especialidad],"(sin catálogo)"))</f>
        <v/>
      </c>
      <c r="Z180" s="3">
        <f>IF(tblOrdenes[[#This Row],[cod_actividad]]="","",_xlfn.XLOOKUP(tblOrdenes[[#This Row],[cod_actividad]],tblActividades[codigo],tblActividades[descripcion],"(sin catálogo)"))</f>
        <v/>
      </c>
      <c r="AA180" s="13">
        <f>IF(tblOrdenes[[#This Row],[fecha_inicio]]="","",TODAY()-tblOrdenes[[#This Row],[fecha_inicio]])</f>
        <v/>
      </c>
      <c r="AB1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0" s="3">
        <f>IF(tblOrdenes[[#This Row],[backlog_habiles]]="","",IF(tblOrdenes[[#This Row],[backlog_habiles]]&lt;0,"FUTURO",IF(tblOrdenes[[#This Row],[backlog_habiles]]&gt;p_dias_backlog_max,"BACKLOG","MES CORRIENTE")))</f>
        <v/>
      </c>
      <c r="AD180" s="3">
        <f>IF(tblOrdenes[[#This Row],[backlog_habiles]]="",FALSE,AND(tblOrdenes[[#This Row],[backlog_habiles]]&gt;p_dias_backlog_min,tblOrdenes[[#This Row],[backlog_habiles]]&lt;=p_dias_backlog_max))</f>
        <v/>
      </c>
      <c r="AE180" s="6" t="inlineStr"/>
      <c r="AF1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0" s="11">
        <f>IF(tblOrdenes[[#This Row],[orden]]="","",_xlfn.XLOOKUP(tblOrdenes[[#This Row],[id_operacion]],tblEjecucion[id_operacion],tblEjecucion[precio],0))</f>
        <v/>
      </c>
      <c r="AJ180" s="11">
        <f>IF(tblOrdenes[[#This Row],[orden]]="","",MAX(0,_xlfn.XLOOKUP(tblOrdenes[[#This Row],[id_operacion]],tblEjecucion[id_operacion],tblEjecucion[costo_plan_total],0)-tblOrdenes[[#This Row],[costo_servicio]]))</f>
        <v/>
      </c>
      <c r="AK180" s="11">
        <f>IF(tblOrdenes[[#This Row],[orden]]="","",tblOrdenes[[#This Row],[costo_servicio]]+tblOrdenes[[#This Row],[costo_materiales]])</f>
        <v/>
      </c>
      <c r="AL180" s="6" t="inlineStr"/>
      <c r="AM180" s="6" t="inlineStr"/>
      <c r="AN180" s="6" t="inlineStr"/>
      <c r="AO180" s="3">
        <f>IF(tblOrdenes[[#This Row],[link_checklist]]="","",HYPERLINK(p_ruta_base_checklists&amp;tblOrdenes[[#This Row],[link_checklist]],"abrir"))</f>
        <v/>
      </c>
      <c r="AP180" s="6" t="inlineStr"/>
      <c r="AQ180" s="3">
        <f>IF(tblOrdenes[[#This Row],[orden]]="","",tblOrdenes[[#This Row],[orden]]&amp;IF(tblOrdenes[[#This Row],[operacion]]="","0010",tblOrdenes[[#This Row],[operacion]]))</f>
        <v/>
      </c>
    </row>
    <row r="181">
      <c r="A181" s="3" t="inlineStr">
        <is>
          <t>OT-000909</t>
        </is>
      </c>
      <c r="B181" s="3" t="inlineStr">
        <is>
          <t>0010</t>
        </is>
      </c>
      <c r="C181" s="3" t="inlineStr">
        <is>
          <t>Reparación de falla — EQ-104</t>
        </is>
      </c>
      <c r="D181" s="3" t="inlineStr">
        <is>
          <t>Reparación de falla en EQ-104</t>
        </is>
      </c>
      <c r="E181" s="3" t="inlineStr">
        <is>
          <t>EQ-104</t>
        </is>
      </c>
      <c r="F181" s="3" t="inlineStr">
        <is>
          <t>CC-110</t>
        </is>
      </c>
      <c r="G181" s="3" t="inlineStr">
        <is>
          <t>PU-AUT</t>
        </is>
      </c>
      <c r="H181" s="3" t="inlineStr">
        <is>
          <t>ACT-99</t>
        </is>
      </c>
      <c r="I181" s="3" t="inlineStr">
        <is>
          <t>TIPO-C1</t>
        </is>
      </c>
      <c r="J181" s="12" t="n">
        <v>46166</v>
      </c>
      <c r="K181" s="3" t="n">
        <v>4</v>
      </c>
      <c r="L181" s="11" t="n">
        <v>160</v>
      </c>
      <c r="M1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1" s="3">
        <f>IF(tblOrdenes[[#This Row],[fecha_inicio]]="","",YEAR(tblOrdenes[[#This Row],[fecha_inicio]]))</f>
        <v/>
      </c>
      <c r="Q181" s="3">
        <f>IF(tblOrdenes[[#This Row],[fecha_inicio]]="","",MONTH(tblOrdenes[[#This Row],[fecha_inicio]]))</f>
        <v/>
      </c>
      <c r="R181" s="3">
        <f>IF(tblOrdenes[[#This Row],[fecha_inicio]]="","",INDEX(lista_dias,WEEKDAY(tblOrdenes[[#This Row],[fecha_inicio]],2)))</f>
        <v/>
      </c>
      <c r="S1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1" s="3">
        <f>IF(tblOrdenes[[#This Row],[tipo_ot]]="","",_xlfn.XLOOKUP(tblOrdenes[[#This Row],[tipo_ot]],tblTiposOT[codigo],tblTiposOT[clasificacion],"sin_clasificar"))</f>
        <v/>
      </c>
      <c r="U181" s="3">
        <f>IF(tblOrdenes[[#This Row],[centro_costo]]="","",_xlfn.XLOOKUP(tblOrdenes[[#This Row],[centro_costo]],tblCECO[codigo],tblCECO[linea],"(sin catálogo)"))</f>
        <v/>
      </c>
      <c r="V181" s="3">
        <f>IF(tblOrdenes[[#This Row],[centro_costo]]="","",_xlfn.XLOOKUP(tblOrdenes[[#This Row],[centro_costo]],tblCECO[codigo],tblCECO[area],"(sin catálogo)"))</f>
        <v/>
      </c>
      <c r="W1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1" s="3">
        <f>IF(tblOrdenes[[#This Row],[centro_costo]]="","",_xlfn.XLOOKUP(tblOrdenes[[#This Row],[centro_costo]],tblCECO[codigo],tblCECO[coordinador],"(sin catálogo)"))</f>
        <v/>
      </c>
      <c r="Y181" s="3">
        <f>IF(tblOrdenes[[#This Row],[puesto_trabajo]]="","",_xlfn.XLOOKUP(tblOrdenes[[#This Row],[puesto_trabajo]],tblPuestos[codigo],tblPuestos[especialidad],"(sin catálogo)"))</f>
        <v/>
      </c>
      <c r="Z181" s="3">
        <f>IF(tblOrdenes[[#This Row],[cod_actividad]]="","",_xlfn.XLOOKUP(tblOrdenes[[#This Row],[cod_actividad]],tblActividades[codigo],tblActividades[descripcion],"(sin catálogo)"))</f>
        <v/>
      </c>
      <c r="AA181" s="13">
        <f>IF(tblOrdenes[[#This Row],[fecha_inicio]]="","",TODAY()-tblOrdenes[[#This Row],[fecha_inicio]])</f>
        <v/>
      </c>
      <c r="AB1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1" s="3">
        <f>IF(tblOrdenes[[#This Row],[backlog_habiles]]="","",IF(tblOrdenes[[#This Row],[backlog_habiles]]&lt;0,"FUTURO",IF(tblOrdenes[[#This Row],[backlog_habiles]]&gt;p_dias_backlog_max,"BACKLOG","MES CORRIENTE")))</f>
        <v/>
      </c>
      <c r="AD181" s="3">
        <f>IF(tblOrdenes[[#This Row],[backlog_habiles]]="",FALSE,AND(tblOrdenes[[#This Row],[backlog_habiles]]&gt;p_dias_backlog_min,tblOrdenes[[#This Row],[backlog_habiles]]&lt;=p_dias_backlog_max))</f>
        <v/>
      </c>
      <c r="AE181" s="6" t="inlineStr"/>
      <c r="AF1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1" s="11">
        <f>IF(tblOrdenes[[#This Row],[orden]]="","",_xlfn.XLOOKUP(tblOrdenes[[#This Row],[id_operacion]],tblEjecucion[id_operacion],tblEjecucion[precio],0))</f>
        <v/>
      </c>
      <c r="AJ181" s="11">
        <f>IF(tblOrdenes[[#This Row],[orden]]="","",MAX(0,_xlfn.XLOOKUP(tblOrdenes[[#This Row],[id_operacion]],tblEjecucion[id_operacion],tblEjecucion[costo_plan_total],0)-tblOrdenes[[#This Row],[costo_servicio]]))</f>
        <v/>
      </c>
      <c r="AK181" s="11">
        <f>IF(tblOrdenes[[#This Row],[orden]]="","",tblOrdenes[[#This Row],[costo_servicio]]+tblOrdenes[[#This Row],[costo_materiales]])</f>
        <v/>
      </c>
      <c r="AL181" s="6" t="inlineStr"/>
      <c r="AM181" s="6" t="inlineStr"/>
      <c r="AN181" s="6" t="inlineStr"/>
      <c r="AO181" s="3">
        <f>IF(tblOrdenes[[#This Row],[link_checklist]]="","",HYPERLINK(p_ruta_base_checklists&amp;tblOrdenes[[#This Row],[link_checklist]],"abrir"))</f>
        <v/>
      </c>
      <c r="AP181" s="6" t="inlineStr"/>
      <c r="AQ181" s="3">
        <f>IF(tblOrdenes[[#This Row],[orden]]="","",tblOrdenes[[#This Row],[orden]]&amp;IF(tblOrdenes[[#This Row],[operacion]]="","0010",tblOrdenes[[#This Row],[operacion]]))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Reparación de falla — EQ-109</t>
        </is>
      </c>
      <c r="D182" s="3" t="inlineStr">
        <is>
          <t>Reparación de falla en EQ-109</t>
        </is>
      </c>
      <c r="E182" s="3" t="inlineStr">
        <is>
          <t>EQ-109</t>
        </is>
      </c>
      <c r="F182" s="3" t="inlineStr">
        <is>
          <t>CC-220</t>
        </is>
      </c>
      <c r="G182" s="3" t="inlineStr">
        <is>
          <t>PU-ELE</t>
        </is>
      </c>
      <c r="H182" s="3" t="inlineStr">
        <is>
          <t>ACT-03</t>
        </is>
      </c>
      <c r="I182" s="3" t="inlineStr">
        <is>
          <t>TIPO-C2</t>
        </is>
      </c>
      <c r="J182" s="12" t="n">
        <v>46195</v>
      </c>
      <c r="K182" s="3" t="n">
        <v>2</v>
      </c>
      <c r="L182" s="11" t="n">
        <v>80</v>
      </c>
      <c r="M1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2" s="3">
        <f>IF(tblOrdenes[[#This Row],[fecha_inicio]]="","",YEAR(tblOrdenes[[#This Row],[fecha_inicio]]))</f>
        <v/>
      </c>
      <c r="Q182" s="3">
        <f>IF(tblOrdenes[[#This Row],[fecha_inicio]]="","",MONTH(tblOrdenes[[#This Row],[fecha_inicio]]))</f>
        <v/>
      </c>
      <c r="R182" s="3">
        <f>IF(tblOrdenes[[#This Row],[fecha_inicio]]="","",INDEX(lista_dias,WEEKDAY(tblOrdenes[[#This Row],[fecha_inicio]],2)))</f>
        <v/>
      </c>
      <c r="S1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2" s="3">
        <f>IF(tblOrdenes[[#This Row],[tipo_ot]]="","",_xlfn.XLOOKUP(tblOrdenes[[#This Row],[tipo_ot]],tblTiposOT[codigo],tblTiposOT[clasificacion],"sin_clasificar"))</f>
        <v/>
      </c>
      <c r="U182" s="3">
        <f>IF(tblOrdenes[[#This Row],[centro_costo]]="","",_xlfn.XLOOKUP(tblOrdenes[[#This Row],[centro_costo]],tblCECO[codigo],tblCECO[linea],"(sin catálogo)"))</f>
        <v/>
      </c>
      <c r="V182" s="3">
        <f>IF(tblOrdenes[[#This Row],[centro_costo]]="","",_xlfn.XLOOKUP(tblOrdenes[[#This Row],[centro_costo]],tblCECO[codigo],tblCECO[area],"(sin catálogo)"))</f>
        <v/>
      </c>
      <c r="W1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2" s="3">
        <f>IF(tblOrdenes[[#This Row],[centro_costo]]="","",_xlfn.XLOOKUP(tblOrdenes[[#This Row],[centro_costo]],tblCECO[codigo],tblCECO[coordinador],"(sin catálogo)"))</f>
        <v/>
      </c>
      <c r="Y182" s="3">
        <f>IF(tblOrdenes[[#This Row],[puesto_trabajo]]="","",_xlfn.XLOOKUP(tblOrdenes[[#This Row],[puesto_trabajo]],tblPuestos[codigo],tblPuestos[especialidad],"(sin catálogo)"))</f>
        <v/>
      </c>
      <c r="Z182" s="3">
        <f>IF(tblOrdenes[[#This Row],[cod_actividad]]="","",_xlfn.XLOOKUP(tblOrdenes[[#This Row],[cod_actividad]],tblActividades[codigo],tblActividades[descripcion],"(sin catálogo)"))</f>
        <v/>
      </c>
      <c r="AA182" s="13">
        <f>IF(tblOrdenes[[#This Row],[fecha_inicio]]="","",TODAY()-tblOrdenes[[#This Row],[fecha_inicio]])</f>
        <v/>
      </c>
      <c r="AB1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2" s="3">
        <f>IF(tblOrdenes[[#This Row],[backlog_habiles]]="","",IF(tblOrdenes[[#This Row],[backlog_habiles]]&lt;0,"FUTURO",IF(tblOrdenes[[#This Row],[backlog_habiles]]&gt;p_dias_backlog_max,"BACKLOG","MES CORRIENTE")))</f>
        <v/>
      </c>
      <c r="AD182" s="3">
        <f>IF(tblOrdenes[[#This Row],[backlog_habiles]]="",FALSE,AND(tblOrdenes[[#This Row],[backlog_habiles]]&gt;p_dias_backlog_min,tblOrdenes[[#This Row],[backlog_habiles]]&lt;=p_dias_backlog_max))</f>
        <v/>
      </c>
      <c r="AE182" s="6" t="inlineStr"/>
      <c r="AF1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2" s="11">
        <f>IF(tblOrdenes[[#This Row],[orden]]="","",_xlfn.XLOOKUP(tblOrdenes[[#This Row],[id_operacion]],tblEjecucion[id_operacion],tblEjecucion[precio],0))</f>
        <v/>
      </c>
      <c r="AJ182" s="11">
        <f>IF(tblOrdenes[[#This Row],[orden]]="","",MAX(0,_xlfn.XLOOKUP(tblOrdenes[[#This Row],[id_operacion]],tblEjecucion[id_operacion],tblEjecucion[costo_plan_total],0)-tblOrdenes[[#This Row],[costo_servicio]]))</f>
        <v/>
      </c>
      <c r="AK182" s="11">
        <f>IF(tblOrdenes[[#This Row],[orden]]="","",tblOrdenes[[#This Row],[costo_servicio]]+tblOrdenes[[#This Row],[costo_materiales]])</f>
        <v/>
      </c>
      <c r="AL182" s="6" t="inlineStr"/>
      <c r="AM182" s="6" t="inlineStr"/>
      <c r="AN182" s="6" t="inlineStr"/>
      <c r="AO182" s="3">
        <f>IF(tblOrdenes[[#This Row],[link_checklist]]="","",HYPERLINK(p_ruta_base_checklists&amp;tblOrdenes[[#This Row],[link_checklist]],"abrir"))</f>
        <v/>
      </c>
      <c r="AP182" s="6" t="inlineStr"/>
      <c r="AQ182" s="3">
        <f>IF(tblOrdenes[[#This Row],[orden]]="","",tblOrdenes[[#This Row],[orden]]&amp;IF(tblOrdenes[[#This Row],[operacion]]="","0010",tblOrdenes[[#This Row],[operacion]]))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Reparación de falla — EQ-106</t>
        </is>
      </c>
      <c r="D183" s="3" t="inlineStr">
        <is>
          <t>Reparación de falla en EQ-106</t>
        </is>
      </c>
      <c r="E183" s="3" t="inlineStr">
        <is>
          <t>EQ-106</t>
        </is>
      </c>
      <c r="F183" s="3" t="inlineStr">
        <is>
          <t>CC-220</t>
        </is>
      </c>
      <c r="G183" s="3" t="inlineStr">
        <is>
          <t>PU-ELE</t>
        </is>
      </c>
      <c r="H183" s="3" t="inlineStr">
        <is>
          <t>ACT-03</t>
        </is>
      </c>
      <c r="I183" s="3" t="inlineStr">
        <is>
          <t>TIPO-C1</t>
        </is>
      </c>
      <c r="J183" s="12" t="n">
        <v>46194</v>
      </c>
      <c r="K183" s="3" t="n">
        <v>2</v>
      </c>
      <c r="L183" s="11" t="n">
        <v>80</v>
      </c>
      <c r="M1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3" s="3">
        <f>IF(tblOrdenes[[#This Row],[fecha_inicio]]="","",YEAR(tblOrdenes[[#This Row],[fecha_inicio]]))</f>
        <v/>
      </c>
      <c r="Q183" s="3">
        <f>IF(tblOrdenes[[#This Row],[fecha_inicio]]="","",MONTH(tblOrdenes[[#This Row],[fecha_inicio]]))</f>
        <v/>
      </c>
      <c r="R183" s="3">
        <f>IF(tblOrdenes[[#This Row],[fecha_inicio]]="","",INDEX(lista_dias,WEEKDAY(tblOrdenes[[#This Row],[fecha_inicio]],2)))</f>
        <v/>
      </c>
      <c r="S1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3" s="3">
        <f>IF(tblOrdenes[[#This Row],[tipo_ot]]="","",_xlfn.XLOOKUP(tblOrdenes[[#This Row],[tipo_ot]],tblTiposOT[codigo],tblTiposOT[clasificacion],"sin_clasificar"))</f>
        <v/>
      </c>
      <c r="U183" s="3">
        <f>IF(tblOrdenes[[#This Row],[centro_costo]]="","",_xlfn.XLOOKUP(tblOrdenes[[#This Row],[centro_costo]],tblCECO[codigo],tblCECO[linea],"(sin catálogo)"))</f>
        <v/>
      </c>
      <c r="V183" s="3">
        <f>IF(tblOrdenes[[#This Row],[centro_costo]]="","",_xlfn.XLOOKUP(tblOrdenes[[#This Row],[centro_costo]],tblCECO[codigo],tblCECO[area],"(sin catálogo)"))</f>
        <v/>
      </c>
      <c r="W1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3" s="3">
        <f>IF(tblOrdenes[[#This Row],[centro_costo]]="","",_xlfn.XLOOKUP(tblOrdenes[[#This Row],[centro_costo]],tblCECO[codigo],tblCECO[coordinador],"(sin catálogo)"))</f>
        <v/>
      </c>
      <c r="Y183" s="3">
        <f>IF(tblOrdenes[[#This Row],[puesto_trabajo]]="","",_xlfn.XLOOKUP(tblOrdenes[[#This Row],[puesto_trabajo]],tblPuestos[codigo],tblPuestos[especialidad],"(sin catálogo)"))</f>
        <v/>
      </c>
      <c r="Z183" s="3">
        <f>IF(tblOrdenes[[#This Row],[cod_actividad]]="","",_xlfn.XLOOKUP(tblOrdenes[[#This Row],[cod_actividad]],tblActividades[codigo],tblActividades[descripcion],"(sin catálogo)"))</f>
        <v/>
      </c>
      <c r="AA183" s="13">
        <f>IF(tblOrdenes[[#This Row],[fecha_inicio]]="","",TODAY()-tblOrdenes[[#This Row],[fecha_inicio]])</f>
        <v/>
      </c>
      <c r="AB1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3" s="3">
        <f>IF(tblOrdenes[[#This Row],[backlog_habiles]]="","",IF(tblOrdenes[[#This Row],[backlog_habiles]]&lt;0,"FUTURO",IF(tblOrdenes[[#This Row],[backlog_habiles]]&gt;p_dias_backlog_max,"BACKLOG","MES CORRIENTE")))</f>
        <v/>
      </c>
      <c r="AD183" s="3">
        <f>IF(tblOrdenes[[#This Row],[backlog_habiles]]="",FALSE,AND(tblOrdenes[[#This Row],[backlog_habiles]]&gt;p_dias_backlog_min,tblOrdenes[[#This Row],[backlog_habiles]]&lt;=p_dias_backlog_max))</f>
        <v/>
      </c>
      <c r="AE183" s="6" t="inlineStr"/>
      <c r="AF1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3" s="11">
        <f>IF(tblOrdenes[[#This Row],[orden]]="","",_xlfn.XLOOKUP(tblOrdenes[[#This Row],[id_operacion]],tblEjecucion[id_operacion],tblEjecucion[precio],0))</f>
        <v/>
      </c>
      <c r="AJ183" s="11">
        <f>IF(tblOrdenes[[#This Row],[orden]]="","",MAX(0,_xlfn.XLOOKUP(tblOrdenes[[#This Row],[id_operacion]],tblEjecucion[id_operacion],tblEjecucion[costo_plan_total],0)-tblOrdenes[[#This Row],[costo_servicio]]))</f>
        <v/>
      </c>
      <c r="AK183" s="11">
        <f>IF(tblOrdenes[[#This Row],[orden]]="","",tblOrdenes[[#This Row],[costo_servicio]]+tblOrdenes[[#This Row],[costo_materiales]])</f>
        <v/>
      </c>
      <c r="AL183" s="6" t="inlineStr"/>
      <c r="AM183" s="6" t="inlineStr"/>
      <c r="AN183" s="6" t="inlineStr"/>
      <c r="AO183" s="3">
        <f>IF(tblOrdenes[[#This Row],[link_checklist]]="","",HYPERLINK(p_ruta_base_checklists&amp;tblOrdenes[[#This Row],[link_checklist]],"abrir"))</f>
        <v/>
      </c>
      <c r="AP183" s="6" t="inlineStr"/>
      <c r="AQ183" s="3">
        <f>IF(tblOrdenes[[#This Row],[orden]]="","",tblOrdenes[[#This Row],[orden]]&amp;IF(tblOrdenes[[#This Row],[operacion]]="","0010",tblOrdenes[[#This Row],[operacion]]))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Reparación de falla — EQ-107</t>
        </is>
      </c>
      <c r="D184" s="3" t="inlineStr">
        <is>
          <t>Reparación de falla en EQ-107</t>
        </is>
      </c>
      <c r="E184" s="3" t="inlineStr">
        <is>
          <t>EQ-107</t>
        </is>
      </c>
      <c r="F184" s="3" t="inlineStr">
        <is>
          <t>CC-220</t>
        </is>
      </c>
      <c r="G184" s="3" t="inlineStr">
        <is>
          <t>PU-ELE</t>
        </is>
      </c>
      <c r="H184" s="3" t="inlineStr">
        <is>
          <t>ACT-03</t>
        </is>
      </c>
      <c r="I184" s="3" t="inlineStr">
        <is>
          <t>TIPO-C2</t>
        </is>
      </c>
      <c r="J184" s="12" t="n">
        <v>46193</v>
      </c>
      <c r="K184" s="3" t="n">
        <v>2</v>
      </c>
      <c r="L184" s="11" t="n">
        <v>80</v>
      </c>
      <c r="M1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4" s="3">
        <f>IF(tblOrdenes[[#This Row],[fecha_inicio]]="","",YEAR(tblOrdenes[[#This Row],[fecha_inicio]]))</f>
        <v/>
      </c>
      <c r="Q184" s="3">
        <f>IF(tblOrdenes[[#This Row],[fecha_inicio]]="","",MONTH(tblOrdenes[[#This Row],[fecha_inicio]]))</f>
        <v/>
      </c>
      <c r="R184" s="3">
        <f>IF(tblOrdenes[[#This Row],[fecha_inicio]]="","",INDEX(lista_dias,WEEKDAY(tblOrdenes[[#This Row],[fecha_inicio]],2)))</f>
        <v/>
      </c>
      <c r="S1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4" s="3">
        <f>IF(tblOrdenes[[#This Row],[tipo_ot]]="","",_xlfn.XLOOKUP(tblOrdenes[[#This Row],[tipo_ot]],tblTiposOT[codigo],tblTiposOT[clasificacion],"sin_clasificar"))</f>
        <v/>
      </c>
      <c r="U184" s="3">
        <f>IF(tblOrdenes[[#This Row],[centro_costo]]="","",_xlfn.XLOOKUP(tblOrdenes[[#This Row],[centro_costo]],tblCECO[codigo],tblCECO[linea],"(sin catálogo)"))</f>
        <v/>
      </c>
      <c r="V184" s="3">
        <f>IF(tblOrdenes[[#This Row],[centro_costo]]="","",_xlfn.XLOOKUP(tblOrdenes[[#This Row],[centro_costo]],tblCECO[codigo],tblCECO[area],"(sin catálogo)"))</f>
        <v/>
      </c>
      <c r="W1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4" s="3">
        <f>IF(tblOrdenes[[#This Row],[centro_costo]]="","",_xlfn.XLOOKUP(tblOrdenes[[#This Row],[centro_costo]],tblCECO[codigo],tblCECO[coordinador],"(sin catálogo)"))</f>
        <v/>
      </c>
      <c r="Y184" s="3">
        <f>IF(tblOrdenes[[#This Row],[puesto_trabajo]]="","",_xlfn.XLOOKUP(tblOrdenes[[#This Row],[puesto_trabajo]],tblPuestos[codigo],tblPuestos[especialidad],"(sin catálogo)"))</f>
        <v/>
      </c>
      <c r="Z184" s="3">
        <f>IF(tblOrdenes[[#This Row],[cod_actividad]]="","",_xlfn.XLOOKUP(tblOrdenes[[#This Row],[cod_actividad]],tblActividades[codigo],tblActividades[descripcion],"(sin catálogo)"))</f>
        <v/>
      </c>
      <c r="AA184" s="13">
        <f>IF(tblOrdenes[[#This Row],[fecha_inicio]]="","",TODAY()-tblOrdenes[[#This Row],[fecha_inicio]])</f>
        <v/>
      </c>
      <c r="AB1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4" s="3">
        <f>IF(tblOrdenes[[#This Row],[backlog_habiles]]="","",IF(tblOrdenes[[#This Row],[backlog_habiles]]&lt;0,"FUTURO",IF(tblOrdenes[[#This Row],[backlog_habiles]]&gt;p_dias_backlog_max,"BACKLOG","MES CORRIENTE")))</f>
        <v/>
      </c>
      <c r="AD184" s="3">
        <f>IF(tblOrdenes[[#This Row],[backlog_habiles]]="",FALSE,AND(tblOrdenes[[#This Row],[backlog_habiles]]&gt;p_dias_backlog_min,tblOrdenes[[#This Row],[backlog_habiles]]&lt;=p_dias_backlog_max))</f>
        <v/>
      </c>
      <c r="AE184" s="6" t="inlineStr"/>
      <c r="AF1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4" s="11">
        <f>IF(tblOrdenes[[#This Row],[orden]]="","",_xlfn.XLOOKUP(tblOrdenes[[#This Row],[id_operacion]],tblEjecucion[id_operacion],tblEjecucion[precio],0))</f>
        <v/>
      </c>
      <c r="AJ184" s="11">
        <f>IF(tblOrdenes[[#This Row],[orden]]="","",MAX(0,_xlfn.XLOOKUP(tblOrdenes[[#This Row],[id_operacion]],tblEjecucion[id_operacion],tblEjecucion[costo_plan_total],0)-tblOrdenes[[#This Row],[costo_servicio]]))</f>
        <v/>
      </c>
      <c r="AK184" s="11">
        <f>IF(tblOrdenes[[#This Row],[orden]]="","",tblOrdenes[[#This Row],[costo_servicio]]+tblOrdenes[[#This Row],[costo_materiales]])</f>
        <v/>
      </c>
      <c r="AL184" s="6" t="inlineStr"/>
      <c r="AM184" s="6" t="inlineStr"/>
      <c r="AN184" s="6" t="inlineStr"/>
      <c r="AO184" s="3">
        <f>IF(tblOrdenes[[#This Row],[link_checklist]]="","",HYPERLINK(p_ruta_base_checklists&amp;tblOrdenes[[#This Row],[link_checklist]],"abrir"))</f>
        <v/>
      </c>
      <c r="AP184" s="6" t="inlineStr"/>
      <c r="AQ184" s="3">
        <f>IF(tblOrdenes[[#This Row],[orden]]="","",tblOrdenes[[#This Row],[orden]]&amp;IF(tblOrdenes[[#This Row],[operacion]]="","0010",tblOrdenes[[#This Row],[operacion]]))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Reparación de falla — EQ-108</t>
        </is>
      </c>
      <c r="D185" s="3" t="inlineStr">
        <is>
          <t>Reparación de falla en EQ-108</t>
        </is>
      </c>
      <c r="E185" s="3" t="inlineStr">
        <is>
          <t>EQ-108</t>
        </is>
      </c>
      <c r="F185" s="3" t="inlineStr">
        <is>
          <t>CC-220</t>
        </is>
      </c>
      <c r="G185" s="3" t="inlineStr">
        <is>
          <t>PU-ELE</t>
        </is>
      </c>
      <c r="H185" s="3" t="inlineStr">
        <is>
          <t>ACT-03</t>
        </is>
      </c>
      <c r="I185" s="3" t="inlineStr">
        <is>
          <t>TIPO-C1</t>
        </is>
      </c>
      <c r="J185" s="12" t="n">
        <v>46192</v>
      </c>
      <c r="K185" s="3" t="n">
        <v>2</v>
      </c>
      <c r="L185" s="11" t="n">
        <v>80</v>
      </c>
      <c r="M1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5" s="3">
        <f>IF(tblOrdenes[[#This Row],[fecha_inicio]]="","",YEAR(tblOrdenes[[#This Row],[fecha_inicio]]))</f>
        <v/>
      </c>
      <c r="Q185" s="3">
        <f>IF(tblOrdenes[[#This Row],[fecha_inicio]]="","",MONTH(tblOrdenes[[#This Row],[fecha_inicio]]))</f>
        <v/>
      </c>
      <c r="R185" s="3">
        <f>IF(tblOrdenes[[#This Row],[fecha_inicio]]="","",INDEX(lista_dias,WEEKDAY(tblOrdenes[[#This Row],[fecha_inicio]],2)))</f>
        <v/>
      </c>
      <c r="S1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5" s="3">
        <f>IF(tblOrdenes[[#This Row],[tipo_ot]]="","",_xlfn.XLOOKUP(tblOrdenes[[#This Row],[tipo_ot]],tblTiposOT[codigo],tblTiposOT[clasificacion],"sin_clasificar"))</f>
        <v/>
      </c>
      <c r="U185" s="3">
        <f>IF(tblOrdenes[[#This Row],[centro_costo]]="","",_xlfn.XLOOKUP(tblOrdenes[[#This Row],[centro_costo]],tblCECO[codigo],tblCECO[linea],"(sin catálogo)"))</f>
        <v/>
      </c>
      <c r="V185" s="3">
        <f>IF(tblOrdenes[[#This Row],[centro_costo]]="","",_xlfn.XLOOKUP(tblOrdenes[[#This Row],[centro_costo]],tblCECO[codigo],tblCECO[area],"(sin catálogo)"))</f>
        <v/>
      </c>
      <c r="W1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5" s="3">
        <f>IF(tblOrdenes[[#This Row],[centro_costo]]="","",_xlfn.XLOOKUP(tblOrdenes[[#This Row],[centro_costo]],tblCECO[codigo],tblCECO[coordinador],"(sin catálogo)"))</f>
        <v/>
      </c>
      <c r="Y185" s="3">
        <f>IF(tblOrdenes[[#This Row],[puesto_trabajo]]="","",_xlfn.XLOOKUP(tblOrdenes[[#This Row],[puesto_trabajo]],tblPuestos[codigo],tblPuestos[especialidad],"(sin catálogo)"))</f>
        <v/>
      </c>
      <c r="Z185" s="3">
        <f>IF(tblOrdenes[[#This Row],[cod_actividad]]="","",_xlfn.XLOOKUP(tblOrdenes[[#This Row],[cod_actividad]],tblActividades[codigo],tblActividades[descripcion],"(sin catálogo)"))</f>
        <v/>
      </c>
      <c r="AA185" s="13">
        <f>IF(tblOrdenes[[#This Row],[fecha_inicio]]="","",TODAY()-tblOrdenes[[#This Row],[fecha_inicio]])</f>
        <v/>
      </c>
      <c r="AB1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5" s="3">
        <f>IF(tblOrdenes[[#This Row],[backlog_habiles]]="","",IF(tblOrdenes[[#This Row],[backlog_habiles]]&lt;0,"FUTURO",IF(tblOrdenes[[#This Row],[backlog_habiles]]&gt;p_dias_backlog_max,"BACKLOG","MES CORRIENTE")))</f>
        <v/>
      </c>
      <c r="AD185" s="3">
        <f>IF(tblOrdenes[[#This Row],[backlog_habiles]]="",FALSE,AND(tblOrdenes[[#This Row],[backlog_habiles]]&gt;p_dias_backlog_min,tblOrdenes[[#This Row],[backlog_habiles]]&lt;=p_dias_backlog_max))</f>
        <v/>
      </c>
      <c r="AE185" s="6" t="inlineStr"/>
      <c r="AF1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5" s="11">
        <f>IF(tblOrdenes[[#This Row],[orden]]="","",_xlfn.XLOOKUP(tblOrdenes[[#This Row],[id_operacion]],tblEjecucion[id_operacion],tblEjecucion[precio],0))</f>
        <v/>
      </c>
      <c r="AJ185" s="11">
        <f>IF(tblOrdenes[[#This Row],[orden]]="","",MAX(0,_xlfn.XLOOKUP(tblOrdenes[[#This Row],[id_operacion]],tblEjecucion[id_operacion],tblEjecucion[costo_plan_total],0)-tblOrdenes[[#This Row],[costo_servicio]]))</f>
        <v/>
      </c>
      <c r="AK185" s="11">
        <f>IF(tblOrdenes[[#This Row],[orden]]="","",tblOrdenes[[#This Row],[costo_servicio]]+tblOrdenes[[#This Row],[costo_materiales]])</f>
        <v/>
      </c>
      <c r="AL185" s="6" t="inlineStr"/>
      <c r="AM185" s="6" t="inlineStr"/>
      <c r="AN185" s="6" t="inlineStr"/>
      <c r="AO185" s="3">
        <f>IF(tblOrdenes[[#This Row],[link_checklist]]="","",HYPERLINK(p_ruta_base_checklists&amp;tblOrdenes[[#This Row],[link_checklist]],"abrir"))</f>
        <v/>
      </c>
      <c r="AP185" s="6" t="inlineStr"/>
      <c r="AQ185" s="3">
        <f>IF(tblOrdenes[[#This Row],[orden]]="","",tblOrdenes[[#This Row],[orden]]&amp;IF(tblOrdenes[[#This Row],[operacion]]="","0010",tblOrdenes[[#This Row],[operacion]]))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Reparación de falla — EQ-109</t>
        </is>
      </c>
      <c r="D186" s="3" t="inlineStr">
        <is>
          <t>Reparación de falla en EQ-109</t>
        </is>
      </c>
      <c r="E186" s="3" t="inlineStr">
        <is>
          <t>EQ-109</t>
        </is>
      </c>
      <c r="F186" s="3" t="inlineStr">
        <is>
          <t>CC-220</t>
        </is>
      </c>
      <c r="G186" s="3" t="inlineStr">
        <is>
          <t>PU-ELE</t>
        </is>
      </c>
      <c r="H186" s="3" t="inlineStr">
        <is>
          <t>ACT-03</t>
        </is>
      </c>
      <c r="I186" s="3" t="inlineStr">
        <is>
          <t>TIPO-C2</t>
        </is>
      </c>
      <c r="J186" s="12" t="n">
        <v>46191</v>
      </c>
      <c r="K186" s="3" t="n">
        <v>2</v>
      </c>
      <c r="L186" s="11" t="n">
        <v>80</v>
      </c>
      <c r="M1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6" s="3">
        <f>IF(tblOrdenes[[#This Row],[fecha_inicio]]="","",YEAR(tblOrdenes[[#This Row],[fecha_inicio]]))</f>
        <v/>
      </c>
      <c r="Q186" s="3">
        <f>IF(tblOrdenes[[#This Row],[fecha_inicio]]="","",MONTH(tblOrdenes[[#This Row],[fecha_inicio]]))</f>
        <v/>
      </c>
      <c r="R186" s="3">
        <f>IF(tblOrdenes[[#This Row],[fecha_inicio]]="","",INDEX(lista_dias,WEEKDAY(tblOrdenes[[#This Row],[fecha_inicio]],2)))</f>
        <v/>
      </c>
      <c r="S1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6" s="3">
        <f>IF(tblOrdenes[[#This Row],[tipo_ot]]="","",_xlfn.XLOOKUP(tblOrdenes[[#This Row],[tipo_ot]],tblTiposOT[codigo],tblTiposOT[clasificacion],"sin_clasificar"))</f>
        <v/>
      </c>
      <c r="U186" s="3">
        <f>IF(tblOrdenes[[#This Row],[centro_costo]]="","",_xlfn.XLOOKUP(tblOrdenes[[#This Row],[centro_costo]],tblCECO[codigo],tblCECO[linea],"(sin catálogo)"))</f>
        <v/>
      </c>
      <c r="V186" s="3">
        <f>IF(tblOrdenes[[#This Row],[centro_costo]]="","",_xlfn.XLOOKUP(tblOrdenes[[#This Row],[centro_costo]],tblCECO[codigo],tblCECO[area],"(sin catálogo)"))</f>
        <v/>
      </c>
      <c r="W1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6" s="3">
        <f>IF(tblOrdenes[[#This Row],[centro_costo]]="","",_xlfn.XLOOKUP(tblOrdenes[[#This Row],[centro_costo]],tblCECO[codigo],tblCECO[coordinador],"(sin catálogo)"))</f>
        <v/>
      </c>
      <c r="Y186" s="3">
        <f>IF(tblOrdenes[[#This Row],[puesto_trabajo]]="","",_xlfn.XLOOKUP(tblOrdenes[[#This Row],[puesto_trabajo]],tblPuestos[codigo],tblPuestos[especialidad],"(sin catálogo)"))</f>
        <v/>
      </c>
      <c r="Z186" s="3">
        <f>IF(tblOrdenes[[#This Row],[cod_actividad]]="","",_xlfn.XLOOKUP(tblOrdenes[[#This Row],[cod_actividad]],tblActividades[codigo],tblActividades[descripcion],"(sin catálogo)"))</f>
        <v/>
      </c>
      <c r="AA186" s="13">
        <f>IF(tblOrdenes[[#This Row],[fecha_inicio]]="","",TODAY()-tblOrdenes[[#This Row],[fecha_inicio]])</f>
        <v/>
      </c>
      <c r="AB1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6" s="3">
        <f>IF(tblOrdenes[[#This Row],[backlog_habiles]]="","",IF(tblOrdenes[[#This Row],[backlog_habiles]]&lt;0,"FUTURO",IF(tblOrdenes[[#This Row],[backlog_habiles]]&gt;p_dias_backlog_max,"BACKLOG","MES CORRIENTE")))</f>
        <v/>
      </c>
      <c r="AD186" s="3">
        <f>IF(tblOrdenes[[#This Row],[backlog_habiles]]="",FALSE,AND(tblOrdenes[[#This Row],[backlog_habiles]]&gt;p_dias_backlog_min,tblOrdenes[[#This Row],[backlog_habiles]]&lt;=p_dias_backlog_max))</f>
        <v/>
      </c>
      <c r="AE186" s="6" t="inlineStr"/>
      <c r="AF1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6" s="11">
        <f>IF(tblOrdenes[[#This Row],[orden]]="","",_xlfn.XLOOKUP(tblOrdenes[[#This Row],[id_operacion]],tblEjecucion[id_operacion],tblEjecucion[precio],0))</f>
        <v/>
      </c>
      <c r="AJ186" s="11">
        <f>IF(tblOrdenes[[#This Row],[orden]]="","",MAX(0,_xlfn.XLOOKUP(tblOrdenes[[#This Row],[id_operacion]],tblEjecucion[id_operacion],tblEjecucion[costo_plan_total],0)-tblOrdenes[[#This Row],[costo_servicio]]))</f>
        <v/>
      </c>
      <c r="AK186" s="11">
        <f>IF(tblOrdenes[[#This Row],[orden]]="","",tblOrdenes[[#This Row],[costo_servicio]]+tblOrdenes[[#This Row],[costo_materiales]])</f>
        <v/>
      </c>
      <c r="AL186" s="6" t="inlineStr"/>
      <c r="AM186" s="6" t="inlineStr"/>
      <c r="AN186" s="6" t="inlineStr"/>
      <c r="AO186" s="3">
        <f>IF(tblOrdenes[[#This Row],[link_checklist]]="","",HYPERLINK(p_ruta_base_checklists&amp;tblOrdenes[[#This Row],[link_checklist]],"abrir"))</f>
        <v/>
      </c>
      <c r="AP186" s="6" t="inlineStr"/>
      <c r="AQ186" s="3">
        <f>IF(tblOrdenes[[#This Row],[orden]]="","",tblOrdenes[[#This Row],[orden]]&amp;IF(tblOrdenes[[#This Row],[operacion]]="","0010",tblOrdenes[[#This Row],[operacion]]))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Reparación de falla — EQ-106</t>
        </is>
      </c>
      <c r="D187" s="3" t="inlineStr">
        <is>
          <t>Reparación de falla en EQ-106</t>
        </is>
      </c>
      <c r="E187" s="3" t="inlineStr">
        <is>
          <t>EQ-106</t>
        </is>
      </c>
      <c r="F187" s="3" t="inlineStr">
        <is>
          <t>CC-220</t>
        </is>
      </c>
      <c r="G187" s="3" t="inlineStr">
        <is>
          <t>PU-ELE</t>
        </is>
      </c>
      <c r="H187" s="3" t="inlineStr">
        <is>
          <t>ACT-03</t>
        </is>
      </c>
      <c r="I187" s="3" t="inlineStr">
        <is>
          <t>TIPO-C1</t>
        </is>
      </c>
      <c r="J187" s="12" t="n">
        <v>46190</v>
      </c>
      <c r="K187" s="3" t="n">
        <v>2</v>
      </c>
      <c r="L187" s="11" t="n">
        <v>80</v>
      </c>
      <c r="M1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7" s="3">
        <f>IF(tblOrdenes[[#This Row],[fecha_inicio]]="","",YEAR(tblOrdenes[[#This Row],[fecha_inicio]]))</f>
        <v/>
      </c>
      <c r="Q187" s="3">
        <f>IF(tblOrdenes[[#This Row],[fecha_inicio]]="","",MONTH(tblOrdenes[[#This Row],[fecha_inicio]]))</f>
        <v/>
      </c>
      <c r="R187" s="3">
        <f>IF(tblOrdenes[[#This Row],[fecha_inicio]]="","",INDEX(lista_dias,WEEKDAY(tblOrdenes[[#This Row],[fecha_inicio]],2)))</f>
        <v/>
      </c>
      <c r="S1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7" s="3">
        <f>IF(tblOrdenes[[#This Row],[tipo_ot]]="","",_xlfn.XLOOKUP(tblOrdenes[[#This Row],[tipo_ot]],tblTiposOT[codigo],tblTiposOT[clasificacion],"sin_clasificar"))</f>
        <v/>
      </c>
      <c r="U187" s="3">
        <f>IF(tblOrdenes[[#This Row],[centro_costo]]="","",_xlfn.XLOOKUP(tblOrdenes[[#This Row],[centro_costo]],tblCECO[codigo],tblCECO[linea],"(sin catálogo)"))</f>
        <v/>
      </c>
      <c r="V187" s="3">
        <f>IF(tblOrdenes[[#This Row],[centro_costo]]="","",_xlfn.XLOOKUP(tblOrdenes[[#This Row],[centro_costo]],tblCECO[codigo],tblCECO[area],"(sin catálogo)"))</f>
        <v/>
      </c>
      <c r="W1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7" s="3">
        <f>IF(tblOrdenes[[#This Row],[centro_costo]]="","",_xlfn.XLOOKUP(tblOrdenes[[#This Row],[centro_costo]],tblCECO[codigo],tblCECO[coordinador],"(sin catálogo)"))</f>
        <v/>
      </c>
      <c r="Y187" s="3">
        <f>IF(tblOrdenes[[#This Row],[puesto_trabajo]]="","",_xlfn.XLOOKUP(tblOrdenes[[#This Row],[puesto_trabajo]],tblPuestos[codigo],tblPuestos[especialidad],"(sin catálogo)"))</f>
        <v/>
      </c>
      <c r="Z187" s="3">
        <f>IF(tblOrdenes[[#This Row],[cod_actividad]]="","",_xlfn.XLOOKUP(tblOrdenes[[#This Row],[cod_actividad]],tblActividades[codigo],tblActividades[descripcion],"(sin catálogo)"))</f>
        <v/>
      </c>
      <c r="AA187" s="13">
        <f>IF(tblOrdenes[[#This Row],[fecha_inicio]]="","",TODAY()-tblOrdenes[[#This Row],[fecha_inicio]])</f>
        <v/>
      </c>
      <c r="AB1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7" s="3">
        <f>IF(tblOrdenes[[#This Row],[backlog_habiles]]="","",IF(tblOrdenes[[#This Row],[backlog_habiles]]&lt;0,"FUTURO",IF(tblOrdenes[[#This Row],[backlog_habiles]]&gt;p_dias_backlog_max,"BACKLOG","MES CORRIENTE")))</f>
        <v/>
      </c>
      <c r="AD187" s="3">
        <f>IF(tblOrdenes[[#This Row],[backlog_habiles]]="",FALSE,AND(tblOrdenes[[#This Row],[backlog_habiles]]&gt;p_dias_backlog_min,tblOrdenes[[#This Row],[backlog_habiles]]&lt;=p_dias_backlog_max))</f>
        <v/>
      </c>
      <c r="AE187" s="6" t="inlineStr"/>
      <c r="AF1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7" s="11">
        <f>IF(tblOrdenes[[#This Row],[orden]]="","",_xlfn.XLOOKUP(tblOrdenes[[#This Row],[id_operacion]],tblEjecucion[id_operacion],tblEjecucion[precio],0))</f>
        <v/>
      </c>
      <c r="AJ187" s="11">
        <f>IF(tblOrdenes[[#This Row],[orden]]="","",MAX(0,_xlfn.XLOOKUP(tblOrdenes[[#This Row],[id_operacion]],tblEjecucion[id_operacion],tblEjecucion[costo_plan_total],0)-tblOrdenes[[#This Row],[costo_servicio]]))</f>
        <v/>
      </c>
      <c r="AK187" s="11">
        <f>IF(tblOrdenes[[#This Row],[orden]]="","",tblOrdenes[[#This Row],[costo_servicio]]+tblOrdenes[[#This Row],[costo_materiales]])</f>
        <v/>
      </c>
      <c r="AL187" s="6" t="inlineStr"/>
      <c r="AM187" s="6" t="inlineStr"/>
      <c r="AN187" s="6" t="inlineStr"/>
      <c r="AO187" s="3">
        <f>IF(tblOrdenes[[#This Row],[link_checklist]]="","",HYPERLINK(p_ruta_base_checklists&amp;tblOrdenes[[#This Row],[link_checklist]],"abrir"))</f>
        <v/>
      </c>
      <c r="AP187" s="6" t="inlineStr"/>
      <c r="AQ187" s="3">
        <f>IF(tblOrdenes[[#This Row],[orden]]="","",tblOrdenes[[#This Row],[orden]]&amp;IF(tblOrdenes[[#This Row],[operacion]]="","0010",tblOrdenes[[#This Row],[operacion]]))</f>
        <v/>
      </c>
    </row>
    <row r="188">
      <c r="A188" s="3" t="inlineStr">
        <is>
          <t>OT-000185</t>
        </is>
      </c>
      <c r="B188" s="3" t="inlineStr">
        <is>
          <t>0010</t>
        </is>
      </c>
      <c r="C188" s="3" t="inlineStr">
        <is>
          <t>Reparación de falla — EQ-107</t>
        </is>
      </c>
      <c r="D188" s="3" t="inlineStr">
        <is>
          <t>Reparación de falla en EQ-107</t>
        </is>
      </c>
      <c r="E188" s="3" t="inlineStr">
        <is>
          <t>EQ-107</t>
        </is>
      </c>
      <c r="F188" s="3" t="inlineStr">
        <is>
          <t>CC-220</t>
        </is>
      </c>
      <c r="G188" s="3" t="inlineStr">
        <is>
          <t>PU-ELE</t>
        </is>
      </c>
      <c r="H188" s="3" t="inlineStr">
        <is>
          <t>ACT-03</t>
        </is>
      </c>
      <c r="I188" s="3" t="inlineStr">
        <is>
          <t>TIPO-C2</t>
        </is>
      </c>
      <c r="J188" s="12" t="n">
        <v>46189</v>
      </c>
      <c r="K188" s="3" t="n">
        <v>2</v>
      </c>
      <c r="L188" s="11" t="n">
        <v>80</v>
      </c>
      <c r="M1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8" s="3">
        <f>IF(tblOrdenes[[#This Row],[fecha_inicio]]="","",YEAR(tblOrdenes[[#This Row],[fecha_inicio]]))</f>
        <v/>
      </c>
      <c r="Q188" s="3">
        <f>IF(tblOrdenes[[#This Row],[fecha_inicio]]="","",MONTH(tblOrdenes[[#This Row],[fecha_inicio]]))</f>
        <v/>
      </c>
      <c r="R188" s="3">
        <f>IF(tblOrdenes[[#This Row],[fecha_inicio]]="","",INDEX(lista_dias,WEEKDAY(tblOrdenes[[#This Row],[fecha_inicio]],2)))</f>
        <v/>
      </c>
      <c r="S1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8" s="3">
        <f>IF(tblOrdenes[[#This Row],[tipo_ot]]="","",_xlfn.XLOOKUP(tblOrdenes[[#This Row],[tipo_ot]],tblTiposOT[codigo],tblTiposOT[clasificacion],"sin_clasificar"))</f>
        <v/>
      </c>
      <c r="U188" s="3">
        <f>IF(tblOrdenes[[#This Row],[centro_costo]]="","",_xlfn.XLOOKUP(tblOrdenes[[#This Row],[centro_costo]],tblCECO[codigo],tblCECO[linea],"(sin catálogo)"))</f>
        <v/>
      </c>
      <c r="V188" s="3">
        <f>IF(tblOrdenes[[#This Row],[centro_costo]]="","",_xlfn.XLOOKUP(tblOrdenes[[#This Row],[centro_costo]],tblCECO[codigo],tblCECO[area],"(sin catálogo)"))</f>
        <v/>
      </c>
      <c r="W1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8" s="3">
        <f>IF(tblOrdenes[[#This Row],[centro_costo]]="","",_xlfn.XLOOKUP(tblOrdenes[[#This Row],[centro_costo]],tblCECO[codigo],tblCECO[coordinador],"(sin catálogo)"))</f>
        <v/>
      </c>
      <c r="Y188" s="3">
        <f>IF(tblOrdenes[[#This Row],[puesto_trabajo]]="","",_xlfn.XLOOKUP(tblOrdenes[[#This Row],[puesto_trabajo]],tblPuestos[codigo],tblPuestos[especialidad],"(sin catálogo)"))</f>
        <v/>
      </c>
      <c r="Z188" s="3">
        <f>IF(tblOrdenes[[#This Row],[cod_actividad]]="","",_xlfn.XLOOKUP(tblOrdenes[[#This Row],[cod_actividad]],tblActividades[codigo],tblActividades[descripcion],"(sin catálogo)"))</f>
        <v/>
      </c>
      <c r="AA188" s="13">
        <f>IF(tblOrdenes[[#This Row],[fecha_inicio]]="","",TODAY()-tblOrdenes[[#This Row],[fecha_inicio]])</f>
        <v/>
      </c>
      <c r="AB1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8" s="3">
        <f>IF(tblOrdenes[[#This Row],[backlog_habiles]]="","",IF(tblOrdenes[[#This Row],[backlog_habiles]]&lt;0,"FUTURO",IF(tblOrdenes[[#This Row],[backlog_habiles]]&gt;p_dias_backlog_max,"BACKLOG","MES CORRIENTE")))</f>
        <v/>
      </c>
      <c r="AD188" s="3">
        <f>IF(tblOrdenes[[#This Row],[backlog_habiles]]="",FALSE,AND(tblOrdenes[[#This Row],[backlog_habiles]]&gt;p_dias_backlog_min,tblOrdenes[[#This Row],[backlog_habiles]]&lt;=p_dias_backlog_max))</f>
        <v/>
      </c>
      <c r="AE188" s="6" t="inlineStr"/>
      <c r="AF1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8" s="11">
        <f>IF(tblOrdenes[[#This Row],[orden]]="","",_xlfn.XLOOKUP(tblOrdenes[[#This Row],[id_operacion]],tblEjecucion[id_operacion],tblEjecucion[precio],0))</f>
        <v/>
      </c>
      <c r="AJ188" s="11">
        <f>IF(tblOrdenes[[#This Row],[orden]]="","",MAX(0,_xlfn.XLOOKUP(tblOrdenes[[#This Row],[id_operacion]],tblEjecucion[id_operacion],tblEjecucion[costo_plan_total],0)-tblOrdenes[[#This Row],[costo_servicio]]))</f>
        <v/>
      </c>
      <c r="AK188" s="11">
        <f>IF(tblOrdenes[[#This Row],[orden]]="","",tblOrdenes[[#This Row],[costo_servicio]]+tblOrdenes[[#This Row],[costo_materiales]])</f>
        <v/>
      </c>
      <c r="AL188" s="6" t="inlineStr"/>
      <c r="AM188" s="6" t="inlineStr"/>
      <c r="AN188" s="6" t="inlineStr"/>
      <c r="AO188" s="3">
        <f>IF(tblOrdenes[[#This Row],[link_checklist]]="","",HYPERLINK(p_ruta_base_checklists&amp;tblOrdenes[[#This Row],[link_checklist]],"abrir"))</f>
        <v/>
      </c>
      <c r="AP188" s="6" t="inlineStr"/>
      <c r="AQ188" s="3">
        <f>IF(tblOrdenes[[#This Row],[orden]]="","",tblOrdenes[[#This Row],[orden]]&amp;IF(tblOrdenes[[#This Row],[operacion]]="","0010",tblOrdenes[[#This Row],[operacion]]))</f>
        <v/>
      </c>
    </row>
    <row r="189">
      <c r="A189" s="3" t="inlineStr">
        <is>
          <t>OT-000186</t>
        </is>
      </c>
      <c r="B189" s="3" t="inlineStr">
        <is>
          <t>0010</t>
        </is>
      </c>
      <c r="C189" s="3" t="inlineStr">
        <is>
          <t>Reparación de falla — EQ-108</t>
        </is>
      </c>
      <c r="D189" s="3" t="inlineStr">
        <is>
          <t>Reparación de falla en EQ-108</t>
        </is>
      </c>
      <c r="E189" s="3" t="inlineStr">
        <is>
          <t>EQ-108</t>
        </is>
      </c>
      <c r="F189" s="3" t="inlineStr">
        <is>
          <t>CC-220</t>
        </is>
      </c>
      <c r="G189" s="3" t="inlineStr">
        <is>
          <t>PU-ELE</t>
        </is>
      </c>
      <c r="H189" s="3" t="inlineStr">
        <is>
          <t>ACT-03</t>
        </is>
      </c>
      <c r="I189" s="3" t="inlineStr">
        <is>
          <t>TIPO-C1</t>
        </is>
      </c>
      <c r="J189" s="12" t="n">
        <v>46188</v>
      </c>
      <c r="K189" s="3" t="n">
        <v>2</v>
      </c>
      <c r="L189" s="11" t="n">
        <v>80</v>
      </c>
      <c r="M1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9" s="3">
        <f>IF(tblOrdenes[[#This Row],[fecha_inicio]]="","",YEAR(tblOrdenes[[#This Row],[fecha_inicio]]))</f>
        <v/>
      </c>
      <c r="Q189" s="3">
        <f>IF(tblOrdenes[[#This Row],[fecha_inicio]]="","",MONTH(tblOrdenes[[#This Row],[fecha_inicio]]))</f>
        <v/>
      </c>
      <c r="R189" s="3">
        <f>IF(tblOrdenes[[#This Row],[fecha_inicio]]="","",INDEX(lista_dias,WEEKDAY(tblOrdenes[[#This Row],[fecha_inicio]],2)))</f>
        <v/>
      </c>
      <c r="S1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9" s="3">
        <f>IF(tblOrdenes[[#This Row],[tipo_ot]]="","",_xlfn.XLOOKUP(tblOrdenes[[#This Row],[tipo_ot]],tblTiposOT[codigo],tblTiposOT[clasificacion],"sin_clasificar"))</f>
        <v/>
      </c>
      <c r="U189" s="3">
        <f>IF(tblOrdenes[[#This Row],[centro_costo]]="","",_xlfn.XLOOKUP(tblOrdenes[[#This Row],[centro_costo]],tblCECO[codigo],tblCECO[linea],"(sin catálogo)"))</f>
        <v/>
      </c>
      <c r="V189" s="3">
        <f>IF(tblOrdenes[[#This Row],[centro_costo]]="","",_xlfn.XLOOKUP(tblOrdenes[[#This Row],[centro_costo]],tblCECO[codigo],tblCECO[area],"(sin catálogo)"))</f>
        <v/>
      </c>
      <c r="W1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9" s="3">
        <f>IF(tblOrdenes[[#This Row],[centro_costo]]="","",_xlfn.XLOOKUP(tblOrdenes[[#This Row],[centro_costo]],tblCECO[codigo],tblCECO[coordinador],"(sin catálogo)"))</f>
        <v/>
      </c>
      <c r="Y189" s="3">
        <f>IF(tblOrdenes[[#This Row],[puesto_trabajo]]="","",_xlfn.XLOOKUP(tblOrdenes[[#This Row],[puesto_trabajo]],tblPuestos[codigo],tblPuestos[especialidad],"(sin catálogo)"))</f>
        <v/>
      </c>
      <c r="Z189" s="3">
        <f>IF(tblOrdenes[[#This Row],[cod_actividad]]="","",_xlfn.XLOOKUP(tblOrdenes[[#This Row],[cod_actividad]],tblActividades[codigo],tblActividades[descripcion],"(sin catálogo)"))</f>
        <v/>
      </c>
      <c r="AA189" s="13">
        <f>IF(tblOrdenes[[#This Row],[fecha_inicio]]="","",TODAY()-tblOrdenes[[#This Row],[fecha_inicio]])</f>
        <v/>
      </c>
      <c r="AB1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9" s="3">
        <f>IF(tblOrdenes[[#This Row],[backlog_habiles]]="","",IF(tblOrdenes[[#This Row],[backlog_habiles]]&lt;0,"FUTURO",IF(tblOrdenes[[#This Row],[backlog_habiles]]&gt;p_dias_backlog_max,"BACKLOG","MES CORRIENTE")))</f>
        <v/>
      </c>
      <c r="AD189" s="3">
        <f>IF(tblOrdenes[[#This Row],[backlog_habiles]]="",FALSE,AND(tblOrdenes[[#This Row],[backlog_habiles]]&gt;p_dias_backlog_min,tblOrdenes[[#This Row],[backlog_habiles]]&lt;=p_dias_backlog_max))</f>
        <v/>
      </c>
      <c r="AE189" s="6" t="inlineStr"/>
      <c r="AF1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9" s="11">
        <f>IF(tblOrdenes[[#This Row],[orden]]="","",_xlfn.XLOOKUP(tblOrdenes[[#This Row],[id_operacion]],tblEjecucion[id_operacion],tblEjecucion[precio],0))</f>
        <v/>
      </c>
      <c r="AJ189" s="11">
        <f>IF(tblOrdenes[[#This Row],[orden]]="","",MAX(0,_xlfn.XLOOKUP(tblOrdenes[[#This Row],[id_operacion]],tblEjecucion[id_operacion],tblEjecucion[costo_plan_total],0)-tblOrdenes[[#This Row],[costo_servicio]]))</f>
        <v/>
      </c>
      <c r="AK189" s="11">
        <f>IF(tblOrdenes[[#This Row],[orden]]="","",tblOrdenes[[#This Row],[costo_servicio]]+tblOrdenes[[#This Row],[costo_materiales]])</f>
        <v/>
      </c>
      <c r="AL189" s="6" t="inlineStr"/>
      <c r="AM189" s="6" t="inlineStr"/>
      <c r="AN189" s="6" t="inlineStr"/>
      <c r="AO189" s="3">
        <f>IF(tblOrdenes[[#This Row],[link_checklist]]="","",HYPERLINK(p_ruta_base_checklists&amp;tblOrdenes[[#This Row],[link_checklist]],"abrir"))</f>
        <v/>
      </c>
      <c r="AP189" s="6" t="inlineStr"/>
      <c r="AQ189" s="3">
        <f>IF(tblOrdenes[[#This Row],[orden]]="","",tblOrdenes[[#This Row],[orden]]&amp;IF(tblOrdenes[[#This Row],[operacion]]="","0010",tblOrdenes[[#This Row],[operacion]]))</f>
        <v/>
      </c>
    </row>
    <row r="190">
      <c r="A190" s="3" t="inlineStr">
        <is>
          <t>OT-000187</t>
        </is>
      </c>
      <c r="B190" s="3" t="inlineStr">
        <is>
          <t>0010</t>
        </is>
      </c>
      <c r="C190" s="3" t="inlineStr">
        <is>
          <t>Reparación de falla — EQ-109</t>
        </is>
      </c>
      <c r="D190" s="3" t="inlineStr">
        <is>
          <t>Reparación de falla en EQ-109</t>
        </is>
      </c>
      <c r="E190" s="3" t="inlineStr">
        <is>
          <t>EQ-109</t>
        </is>
      </c>
      <c r="F190" s="3" t="inlineStr">
        <is>
          <t>CC-220</t>
        </is>
      </c>
      <c r="G190" s="3" t="inlineStr">
        <is>
          <t>PU-ELE</t>
        </is>
      </c>
      <c r="H190" s="3" t="inlineStr">
        <is>
          <t>ACT-03</t>
        </is>
      </c>
      <c r="I190" s="3" t="inlineStr">
        <is>
          <t>TIPO-C2</t>
        </is>
      </c>
      <c r="J190" s="12" t="n">
        <v>46187</v>
      </c>
      <c r="K190" s="3" t="n">
        <v>2</v>
      </c>
      <c r="L190" s="11" t="n">
        <v>80</v>
      </c>
      <c r="M1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0" s="3">
        <f>IF(tblOrdenes[[#This Row],[fecha_inicio]]="","",YEAR(tblOrdenes[[#This Row],[fecha_inicio]]))</f>
        <v/>
      </c>
      <c r="Q190" s="3">
        <f>IF(tblOrdenes[[#This Row],[fecha_inicio]]="","",MONTH(tblOrdenes[[#This Row],[fecha_inicio]]))</f>
        <v/>
      </c>
      <c r="R190" s="3">
        <f>IF(tblOrdenes[[#This Row],[fecha_inicio]]="","",INDEX(lista_dias,WEEKDAY(tblOrdenes[[#This Row],[fecha_inicio]],2)))</f>
        <v/>
      </c>
      <c r="S1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0" s="3">
        <f>IF(tblOrdenes[[#This Row],[tipo_ot]]="","",_xlfn.XLOOKUP(tblOrdenes[[#This Row],[tipo_ot]],tblTiposOT[codigo],tblTiposOT[clasificacion],"sin_clasificar"))</f>
        <v/>
      </c>
      <c r="U190" s="3">
        <f>IF(tblOrdenes[[#This Row],[centro_costo]]="","",_xlfn.XLOOKUP(tblOrdenes[[#This Row],[centro_costo]],tblCECO[codigo],tblCECO[linea],"(sin catálogo)"))</f>
        <v/>
      </c>
      <c r="V190" s="3">
        <f>IF(tblOrdenes[[#This Row],[centro_costo]]="","",_xlfn.XLOOKUP(tblOrdenes[[#This Row],[centro_costo]],tblCECO[codigo],tblCECO[area],"(sin catálogo)"))</f>
        <v/>
      </c>
      <c r="W1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0" s="3">
        <f>IF(tblOrdenes[[#This Row],[centro_costo]]="","",_xlfn.XLOOKUP(tblOrdenes[[#This Row],[centro_costo]],tblCECO[codigo],tblCECO[coordinador],"(sin catálogo)"))</f>
        <v/>
      </c>
      <c r="Y190" s="3">
        <f>IF(tblOrdenes[[#This Row],[puesto_trabajo]]="","",_xlfn.XLOOKUP(tblOrdenes[[#This Row],[puesto_trabajo]],tblPuestos[codigo],tblPuestos[especialidad],"(sin catálogo)"))</f>
        <v/>
      </c>
      <c r="Z190" s="3">
        <f>IF(tblOrdenes[[#This Row],[cod_actividad]]="","",_xlfn.XLOOKUP(tblOrdenes[[#This Row],[cod_actividad]],tblActividades[codigo],tblActividades[descripcion],"(sin catálogo)"))</f>
        <v/>
      </c>
      <c r="AA190" s="13">
        <f>IF(tblOrdenes[[#This Row],[fecha_inicio]]="","",TODAY()-tblOrdenes[[#This Row],[fecha_inicio]])</f>
        <v/>
      </c>
      <c r="AB1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0" s="3">
        <f>IF(tblOrdenes[[#This Row],[backlog_habiles]]="","",IF(tblOrdenes[[#This Row],[backlog_habiles]]&lt;0,"FUTURO",IF(tblOrdenes[[#This Row],[backlog_habiles]]&gt;p_dias_backlog_max,"BACKLOG","MES CORRIENTE")))</f>
        <v/>
      </c>
      <c r="AD190" s="3">
        <f>IF(tblOrdenes[[#This Row],[backlog_habiles]]="",FALSE,AND(tblOrdenes[[#This Row],[backlog_habiles]]&gt;p_dias_backlog_min,tblOrdenes[[#This Row],[backlog_habiles]]&lt;=p_dias_backlog_max))</f>
        <v/>
      </c>
      <c r="AE190" s="6" t="inlineStr"/>
      <c r="AF1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0" s="11">
        <f>IF(tblOrdenes[[#This Row],[orden]]="","",_xlfn.XLOOKUP(tblOrdenes[[#This Row],[id_operacion]],tblEjecucion[id_operacion],tblEjecucion[precio],0))</f>
        <v/>
      </c>
      <c r="AJ190" s="11">
        <f>IF(tblOrdenes[[#This Row],[orden]]="","",MAX(0,_xlfn.XLOOKUP(tblOrdenes[[#This Row],[id_operacion]],tblEjecucion[id_operacion],tblEjecucion[costo_plan_total],0)-tblOrdenes[[#This Row],[costo_servicio]]))</f>
        <v/>
      </c>
      <c r="AK190" s="11">
        <f>IF(tblOrdenes[[#This Row],[orden]]="","",tblOrdenes[[#This Row],[costo_servicio]]+tblOrdenes[[#This Row],[costo_materiales]])</f>
        <v/>
      </c>
      <c r="AL190" s="6" t="inlineStr"/>
      <c r="AM190" s="6" t="inlineStr"/>
      <c r="AN190" s="6" t="inlineStr"/>
      <c r="AO190" s="3">
        <f>IF(tblOrdenes[[#This Row],[link_checklist]]="","",HYPERLINK(p_ruta_base_checklists&amp;tblOrdenes[[#This Row],[link_checklist]],"abrir"))</f>
        <v/>
      </c>
      <c r="AP190" s="6" t="inlineStr"/>
      <c r="AQ190" s="3">
        <f>IF(tblOrdenes[[#This Row],[orden]]="","",tblOrdenes[[#This Row],[orden]]&amp;IF(tblOrdenes[[#This Row],[operacion]]="","0010",tblOrdenes[[#This Row],[operacion]]))</f>
        <v/>
      </c>
    </row>
    <row r="191">
      <c r="A191" s="3" t="inlineStr">
        <is>
          <t>OT-000188</t>
        </is>
      </c>
      <c r="B191" s="3" t="inlineStr">
        <is>
          <t>0010</t>
        </is>
      </c>
      <c r="C191" s="3" t="inlineStr">
        <is>
          <t>Reparación de falla — EQ-106</t>
        </is>
      </c>
      <c r="D191" s="3" t="inlineStr">
        <is>
          <t>Reparación de falla en EQ-106</t>
        </is>
      </c>
      <c r="E191" s="3" t="inlineStr">
        <is>
          <t>EQ-106</t>
        </is>
      </c>
      <c r="F191" s="3" t="inlineStr">
        <is>
          <t>CC-220</t>
        </is>
      </c>
      <c r="G191" s="3" t="inlineStr">
        <is>
          <t>PU-ELE</t>
        </is>
      </c>
      <c r="H191" s="3" t="inlineStr">
        <is>
          <t>ACT-03</t>
        </is>
      </c>
      <c r="I191" s="3" t="inlineStr">
        <is>
          <t>TIPO-C1</t>
        </is>
      </c>
      <c r="J191" s="12" t="n">
        <v>46186</v>
      </c>
      <c r="K191" s="3" t="n">
        <v>2</v>
      </c>
      <c r="L191" s="11" t="n">
        <v>80</v>
      </c>
      <c r="M1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1" s="3">
        <f>IF(tblOrdenes[[#This Row],[fecha_inicio]]="","",YEAR(tblOrdenes[[#This Row],[fecha_inicio]]))</f>
        <v/>
      </c>
      <c r="Q191" s="3">
        <f>IF(tblOrdenes[[#This Row],[fecha_inicio]]="","",MONTH(tblOrdenes[[#This Row],[fecha_inicio]]))</f>
        <v/>
      </c>
      <c r="R191" s="3">
        <f>IF(tblOrdenes[[#This Row],[fecha_inicio]]="","",INDEX(lista_dias,WEEKDAY(tblOrdenes[[#This Row],[fecha_inicio]],2)))</f>
        <v/>
      </c>
      <c r="S1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1" s="3">
        <f>IF(tblOrdenes[[#This Row],[tipo_ot]]="","",_xlfn.XLOOKUP(tblOrdenes[[#This Row],[tipo_ot]],tblTiposOT[codigo],tblTiposOT[clasificacion],"sin_clasificar"))</f>
        <v/>
      </c>
      <c r="U191" s="3">
        <f>IF(tblOrdenes[[#This Row],[centro_costo]]="","",_xlfn.XLOOKUP(tblOrdenes[[#This Row],[centro_costo]],tblCECO[codigo],tblCECO[linea],"(sin catálogo)"))</f>
        <v/>
      </c>
      <c r="V191" s="3">
        <f>IF(tblOrdenes[[#This Row],[centro_costo]]="","",_xlfn.XLOOKUP(tblOrdenes[[#This Row],[centro_costo]],tblCECO[codigo],tblCECO[area],"(sin catálogo)"))</f>
        <v/>
      </c>
      <c r="W1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1" s="3">
        <f>IF(tblOrdenes[[#This Row],[centro_costo]]="","",_xlfn.XLOOKUP(tblOrdenes[[#This Row],[centro_costo]],tblCECO[codigo],tblCECO[coordinador],"(sin catálogo)"))</f>
        <v/>
      </c>
      <c r="Y191" s="3">
        <f>IF(tblOrdenes[[#This Row],[puesto_trabajo]]="","",_xlfn.XLOOKUP(tblOrdenes[[#This Row],[puesto_trabajo]],tblPuestos[codigo],tblPuestos[especialidad],"(sin catálogo)"))</f>
        <v/>
      </c>
      <c r="Z191" s="3">
        <f>IF(tblOrdenes[[#This Row],[cod_actividad]]="","",_xlfn.XLOOKUP(tblOrdenes[[#This Row],[cod_actividad]],tblActividades[codigo],tblActividades[descripcion],"(sin catálogo)"))</f>
        <v/>
      </c>
      <c r="AA191" s="13">
        <f>IF(tblOrdenes[[#This Row],[fecha_inicio]]="","",TODAY()-tblOrdenes[[#This Row],[fecha_inicio]])</f>
        <v/>
      </c>
      <c r="AB1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1" s="3">
        <f>IF(tblOrdenes[[#This Row],[backlog_habiles]]="","",IF(tblOrdenes[[#This Row],[backlog_habiles]]&lt;0,"FUTURO",IF(tblOrdenes[[#This Row],[backlog_habiles]]&gt;p_dias_backlog_max,"BACKLOG","MES CORRIENTE")))</f>
        <v/>
      </c>
      <c r="AD191" s="3">
        <f>IF(tblOrdenes[[#This Row],[backlog_habiles]]="",FALSE,AND(tblOrdenes[[#This Row],[backlog_habiles]]&gt;p_dias_backlog_min,tblOrdenes[[#This Row],[backlog_habiles]]&lt;=p_dias_backlog_max))</f>
        <v/>
      </c>
      <c r="AE191" s="6" t="inlineStr"/>
      <c r="AF1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1" s="11">
        <f>IF(tblOrdenes[[#This Row],[orden]]="","",_xlfn.XLOOKUP(tblOrdenes[[#This Row],[id_operacion]],tblEjecucion[id_operacion],tblEjecucion[precio],0))</f>
        <v/>
      </c>
      <c r="AJ191" s="11">
        <f>IF(tblOrdenes[[#This Row],[orden]]="","",MAX(0,_xlfn.XLOOKUP(tblOrdenes[[#This Row],[id_operacion]],tblEjecucion[id_operacion],tblEjecucion[costo_plan_total],0)-tblOrdenes[[#This Row],[costo_servicio]]))</f>
        <v/>
      </c>
      <c r="AK191" s="11">
        <f>IF(tblOrdenes[[#This Row],[orden]]="","",tblOrdenes[[#This Row],[costo_servicio]]+tblOrdenes[[#This Row],[costo_materiales]])</f>
        <v/>
      </c>
      <c r="AL191" s="6" t="inlineStr"/>
      <c r="AM191" s="6" t="inlineStr"/>
      <c r="AN191" s="6" t="inlineStr"/>
      <c r="AO191" s="3">
        <f>IF(tblOrdenes[[#This Row],[link_checklist]]="","",HYPERLINK(p_ruta_base_checklists&amp;tblOrdenes[[#This Row],[link_checklist]],"abrir"))</f>
        <v/>
      </c>
      <c r="AP191" s="6" t="inlineStr"/>
      <c r="AQ191" s="3">
        <f>IF(tblOrdenes[[#This Row],[orden]]="","",tblOrdenes[[#This Row],[orden]]&amp;IF(tblOrdenes[[#This Row],[operacion]]="","0010",tblOrdenes[[#This Row],[operacion]]))</f>
        <v/>
      </c>
    </row>
    <row r="192">
      <c r="A192" s="3" t="inlineStr">
        <is>
          <t>OT-000189</t>
        </is>
      </c>
      <c r="B192" s="3" t="inlineStr">
        <is>
          <t>0010</t>
        </is>
      </c>
      <c r="C192" s="3" t="inlineStr">
        <is>
          <t>Reparación de falla — EQ-107</t>
        </is>
      </c>
      <c r="D192" s="3" t="inlineStr">
        <is>
          <t>Reparación de falla en EQ-107</t>
        </is>
      </c>
      <c r="E192" s="3" t="inlineStr">
        <is>
          <t>EQ-107</t>
        </is>
      </c>
      <c r="F192" s="3" t="inlineStr">
        <is>
          <t>CC-220</t>
        </is>
      </c>
      <c r="G192" s="3" t="inlineStr">
        <is>
          <t>PU-ELE</t>
        </is>
      </c>
      <c r="H192" s="3" t="inlineStr">
        <is>
          <t>ACT-03</t>
        </is>
      </c>
      <c r="I192" s="3" t="inlineStr">
        <is>
          <t>TIPO-C2</t>
        </is>
      </c>
      <c r="J192" s="12" t="n">
        <v>46185</v>
      </c>
      <c r="K192" s="3" t="n">
        <v>2</v>
      </c>
      <c r="L192" s="11" t="n">
        <v>80</v>
      </c>
      <c r="M1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2" s="3">
        <f>IF(tblOrdenes[[#This Row],[fecha_inicio]]="","",YEAR(tblOrdenes[[#This Row],[fecha_inicio]]))</f>
        <v/>
      </c>
      <c r="Q192" s="3">
        <f>IF(tblOrdenes[[#This Row],[fecha_inicio]]="","",MONTH(tblOrdenes[[#This Row],[fecha_inicio]]))</f>
        <v/>
      </c>
      <c r="R192" s="3">
        <f>IF(tblOrdenes[[#This Row],[fecha_inicio]]="","",INDEX(lista_dias,WEEKDAY(tblOrdenes[[#This Row],[fecha_inicio]],2)))</f>
        <v/>
      </c>
      <c r="S1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2" s="3">
        <f>IF(tblOrdenes[[#This Row],[tipo_ot]]="","",_xlfn.XLOOKUP(tblOrdenes[[#This Row],[tipo_ot]],tblTiposOT[codigo],tblTiposOT[clasificacion],"sin_clasificar"))</f>
        <v/>
      </c>
      <c r="U192" s="3">
        <f>IF(tblOrdenes[[#This Row],[centro_costo]]="","",_xlfn.XLOOKUP(tblOrdenes[[#This Row],[centro_costo]],tblCECO[codigo],tblCECO[linea],"(sin catálogo)"))</f>
        <v/>
      </c>
      <c r="V192" s="3">
        <f>IF(tblOrdenes[[#This Row],[centro_costo]]="","",_xlfn.XLOOKUP(tblOrdenes[[#This Row],[centro_costo]],tblCECO[codigo],tblCECO[area],"(sin catálogo)"))</f>
        <v/>
      </c>
      <c r="W1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2" s="3">
        <f>IF(tblOrdenes[[#This Row],[centro_costo]]="","",_xlfn.XLOOKUP(tblOrdenes[[#This Row],[centro_costo]],tblCECO[codigo],tblCECO[coordinador],"(sin catálogo)"))</f>
        <v/>
      </c>
      <c r="Y192" s="3">
        <f>IF(tblOrdenes[[#This Row],[puesto_trabajo]]="","",_xlfn.XLOOKUP(tblOrdenes[[#This Row],[puesto_trabajo]],tblPuestos[codigo],tblPuestos[especialidad],"(sin catálogo)"))</f>
        <v/>
      </c>
      <c r="Z192" s="3">
        <f>IF(tblOrdenes[[#This Row],[cod_actividad]]="","",_xlfn.XLOOKUP(tblOrdenes[[#This Row],[cod_actividad]],tblActividades[codigo],tblActividades[descripcion],"(sin catálogo)"))</f>
        <v/>
      </c>
      <c r="AA192" s="13">
        <f>IF(tblOrdenes[[#This Row],[fecha_inicio]]="","",TODAY()-tblOrdenes[[#This Row],[fecha_inicio]])</f>
        <v/>
      </c>
      <c r="AB1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2" s="3">
        <f>IF(tblOrdenes[[#This Row],[backlog_habiles]]="","",IF(tblOrdenes[[#This Row],[backlog_habiles]]&lt;0,"FUTURO",IF(tblOrdenes[[#This Row],[backlog_habiles]]&gt;p_dias_backlog_max,"BACKLOG","MES CORRIENTE")))</f>
        <v/>
      </c>
      <c r="AD192" s="3">
        <f>IF(tblOrdenes[[#This Row],[backlog_habiles]]="",FALSE,AND(tblOrdenes[[#This Row],[backlog_habiles]]&gt;p_dias_backlog_min,tblOrdenes[[#This Row],[backlog_habiles]]&lt;=p_dias_backlog_max))</f>
        <v/>
      </c>
      <c r="AE192" s="6" t="inlineStr"/>
      <c r="AF1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2" s="11">
        <f>IF(tblOrdenes[[#This Row],[orden]]="","",_xlfn.XLOOKUP(tblOrdenes[[#This Row],[id_operacion]],tblEjecucion[id_operacion],tblEjecucion[precio],0))</f>
        <v/>
      </c>
      <c r="AJ192" s="11">
        <f>IF(tblOrdenes[[#This Row],[orden]]="","",MAX(0,_xlfn.XLOOKUP(tblOrdenes[[#This Row],[id_operacion]],tblEjecucion[id_operacion],tblEjecucion[costo_plan_total],0)-tblOrdenes[[#This Row],[costo_servicio]]))</f>
        <v/>
      </c>
      <c r="AK192" s="11">
        <f>IF(tblOrdenes[[#This Row],[orden]]="","",tblOrdenes[[#This Row],[costo_servicio]]+tblOrdenes[[#This Row],[costo_materiales]])</f>
        <v/>
      </c>
      <c r="AL192" s="6" t="inlineStr"/>
      <c r="AM192" s="6" t="inlineStr"/>
      <c r="AN192" s="6" t="inlineStr"/>
      <c r="AO192" s="3">
        <f>IF(tblOrdenes[[#This Row],[link_checklist]]="","",HYPERLINK(p_ruta_base_checklists&amp;tblOrdenes[[#This Row],[link_checklist]],"abrir"))</f>
        <v/>
      </c>
      <c r="AP192" s="6" t="inlineStr"/>
      <c r="AQ192" s="3">
        <f>IF(tblOrdenes[[#This Row],[orden]]="","",tblOrdenes[[#This Row],[orden]]&amp;IF(tblOrdenes[[#This Row],[operacion]]="","0010",tblOrdenes[[#This Row],[operacion]]))</f>
        <v/>
      </c>
    </row>
    <row r="193">
      <c r="A193" s="3" t="inlineStr">
        <is>
          <t>OT-000190</t>
        </is>
      </c>
      <c r="B193" s="3" t="inlineStr">
        <is>
          <t>0010</t>
        </is>
      </c>
      <c r="C193" s="3" t="inlineStr">
        <is>
          <t>Reparación de falla — EQ-108</t>
        </is>
      </c>
      <c r="D193" s="3" t="inlineStr">
        <is>
          <t>Reparación de falla en EQ-108</t>
        </is>
      </c>
      <c r="E193" s="3" t="inlineStr">
        <is>
          <t>EQ-108</t>
        </is>
      </c>
      <c r="F193" s="3" t="inlineStr">
        <is>
          <t>CC-220</t>
        </is>
      </c>
      <c r="G193" s="3" t="inlineStr">
        <is>
          <t>PU-ELE</t>
        </is>
      </c>
      <c r="H193" s="3" t="inlineStr">
        <is>
          <t>ACT-03</t>
        </is>
      </c>
      <c r="I193" s="3" t="inlineStr">
        <is>
          <t>TIPO-C1</t>
        </is>
      </c>
      <c r="J193" s="12" t="n">
        <v>46184</v>
      </c>
      <c r="K193" s="3" t="n">
        <v>2</v>
      </c>
      <c r="L193" s="11" t="n">
        <v>80</v>
      </c>
      <c r="M1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3" s="3">
        <f>IF(tblOrdenes[[#This Row],[fecha_inicio]]="","",YEAR(tblOrdenes[[#This Row],[fecha_inicio]]))</f>
        <v/>
      </c>
      <c r="Q193" s="3">
        <f>IF(tblOrdenes[[#This Row],[fecha_inicio]]="","",MONTH(tblOrdenes[[#This Row],[fecha_inicio]]))</f>
        <v/>
      </c>
      <c r="R193" s="3">
        <f>IF(tblOrdenes[[#This Row],[fecha_inicio]]="","",INDEX(lista_dias,WEEKDAY(tblOrdenes[[#This Row],[fecha_inicio]],2)))</f>
        <v/>
      </c>
      <c r="S1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3" s="3">
        <f>IF(tblOrdenes[[#This Row],[tipo_ot]]="","",_xlfn.XLOOKUP(tblOrdenes[[#This Row],[tipo_ot]],tblTiposOT[codigo],tblTiposOT[clasificacion],"sin_clasificar"))</f>
        <v/>
      </c>
      <c r="U193" s="3">
        <f>IF(tblOrdenes[[#This Row],[centro_costo]]="","",_xlfn.XLOOKUP(tblOrdenes[[#This Row],[centro_costo]],tblCECO[codigo],tblCECO[linea],"(sin catálogo)"))</f>
        <v/>
      </c>
      <c r="V193" s="3">
        <f>IF(tblOrdenes[[#This Row],[centro_costo]]="","",_xlfn.XLOOKUP(tblOrdenes[[#This Row],[centro_costo]],tblCECO[codigo],tblCECO[area],"(sin catálogo)"))</f>
        <v/>
      </c>
      <c r="W1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3" s="3">
        <f>IF(tblOrdenes[[#This Row],[centro_costo]]="","",_xlfn.XLOOKUP(tblOrdenes[[#This Row],[centro_costo]],tblCECO[codigo],tblCECO[coordinador],"(sin catálogo)"))</f>
        <v/>
      </c>
      <c r="Y193" s="3">
        <f>IF(tblOrdenes[[#This Row],[puesto_trabajo]]="","",_xlfn.XLOOKUP(tblOrdenes[[#This Row],[puesto_trabajo]],tblPuestos[codigo],tblPuestos[especialidad],"(sin catálogo)"))</f>
        <v/>
      </c>
      <c r="Z193" s="3">
        <f>IF(tblOrdenes[[#This Row],[cod_actividad]]="","",_xlfn.XLOOKUP(tblOrdenes[[#This Row],[cod_actividad]],tblActividades[codigo],tblActividades[descripcion],"(sin catálogo)"))</f>
        <v/>
      </c>
      <c r="AA193" s="13">
        <f>IF(tblOrdenes[[#This Row],[fecha_inicio]]="","",TODAY()-tblOrdenes[[#This Row],[fecha_inicio]])</f>
        <v/>
      </c>
      <c r="AB1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3" s="3">
        <f>IF(tblOrdenes[[#This Row],[backlog_habiles]]="","",IF(tblOrdenes[[#This Row],[backlog_habiles]]&lt;0,"FUTURO",IF(tblOrdenes[[#This Row],[backlog_habiles]]&gt;p_dias_backlog_max,"BACKLOG","MES CORRIENTE")))</f>
        <v/>
      </c>
      <c r="AD193" s="3">
        <f>IF(tblOrdenes[[#This Row],[backlog_habiles]]="",FALSE,AND(tblOrdenes[[#This Row],[backlog_habiles]]&gt;p_dias_backlog_min,tblOrdenes[[#This Row],[backlog_habiles]]&lt;=p_dias_backlog_max))</f>
        <v/>
      </c>
      <c r="AE193" s="6" t="inlineStr"/>
      <c r="AF1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3" s="11">
        <f>IF(tblOrdenes[[#This Row],[orden]]="","",_xlfn.XLOOKUP(tblOrdenes[[#This Row],[id_operacion]],tblEjecucion[id_operacion],tblEjecucion[precio],0))</f>
        <v/>
      </c>
      <c r="AJ193" s="11">
        <f>IF(tblOrdenes[[#This Row],[orden]]="","",MAX(0,_xlfn.XLOOKUP(tblOrdenes[[#This Row],[id_operacion]],tblEjecucion[id_operacion],tblEjecucion[costo_plan_total],0)-tblOrdenes[[#This Row],[costo_servicio]]))</f>
        <v/>
      </c>
      <c r="AK193" s="11">
        <f>IF(tblOrdenes[[#This Row],[orden]]="","",tblOrdenes[[#This Row],[costo_servicio]]+tblOrdenes[[#This Row],[costo_materiales]])</f>
        <v/>
      </c>
      <c r="AL193" s="6" t="inlineStr"/>
      <c r="AM193" s="6" t="inlineStr"/>
      <c r="AN193" s="6" t="inlineStr"/>
      <c r="AO193" s="3">
        <f>IF(tblOrdenes[[#This Row],[link_checklist]]="","",HYPERLINK(p_ruta_base_checklists&amp;tblOrdenes[[#This Row],[link_checklist]],"abrir"))</f>
        <v/>
      </c>
      <c r="AP193" s="6" t="inlineStr"/>
      <c r="AQ193" s="3">
        <f>IF(tblOrdenes[[#This Row],[orden]]="","",tblOrdenes[[#This Row],[orden]]&amp;IF(tblOrdenes[[#This Row],[operacion]]="","0010",tblOrdenes[[#This Row],[operacion]]))</f>
        <v/>
      </c>
    </row>
    <row r="194">
      <c r="A194" s="3" t="inlineStr">
        <is>
          <t>OT-000191</t>
        </is>
      </c>
      <c r="B194" s="3" t="inlineStr">
        <is>
          <t>0010</t>
        </is>
      </c>
      <c r="C194" s="3" t="inlineStr">
        <is>
          <t>Reparación de falla — EQ-109</t>
        </is>
      </c>
      <c r="D194" s="3" t="inlineStr">
        <is>
          <t>Reparación de falla en EQ-109</t>
        </is>
      </c>
      <c r="E194" s="3" t="inlineStr">
        <is>
          <t>EQ-109</t>
        </is>
      </c>
      <c r="F194" s="3" t="inlineStr">
        <is>
          <t>CC-220</t>
        </is>
      </c>
      <c r="G194" s="3" t="inlineStr">
        <is>
          <t>PU-ELE</t>
        </is>
      </c>
      <c r="H194" s="3" t="inlineStr">
        <is>
          <t>ACT-03</t>
        </is>
      </c>
      <c r="I194" s="3" t="inlineStr">
        <is>
          <t>TIPO-C2</t>
        </is>
      </c>
      <c r="J194" s="12" t="n">
        <v>46183</v>
      </c>
      <c r="K194" s="3" t="n">
        <v>2</v>
      </c>
      <c r="L194" s="11" t="n">
        <v>80</v>
      </c>
      <c r="M1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4" s="3">
        <f>IF(tblOrdenes[[#This Row],[fecha_inicio]]="","",YEAR(tblOrdenes[[#This Row],[fecha_inicio]]))</f>
        <v/>
      </c>
      <c r="Q194" s="3">
        <f>IF(tblOrdenes[[#This Row],[fecha_inicio]]="","",MONTH(tblOrdenes[[#This Row],[fecha_inicio]]))</f>
        <v/>
      </c>
      <c r="R194" s="3">
        <f>IF(tblOrdenes[[#This Row],[fecha_inicio]]="","",INDEX(lista_dias,WEEKDAY(tblOrdenes[[#This Row],[fecha_inicio]],2)))</f>
        <v/>
      </c>
      <c r="S1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4" s="3">
        <f>IF(tblOrdenes[[#This Row],[tipo_ot]]="","",_xlfn.XLOOKUP(tblOrdenes[[#This Row],[tipo_ot]],tblTiposOT[codigo],tblTiposOT[clasificacion],"sin_clasificar"))</f>
        <v/>
      </c>
      <c r="U194" s="3">
        <f>IF(tblOrdenes[[#This Row],[centro_costo]]="","",_xlfn.XLOOKUP(tblOrdenes[[#This Row],[centro_costo]],tblCECO[codigo],tblCECO[linea],"(sin catálogo)"))</f>
        <v/>
      </c>
      <c r="V194" s="3">
        <f>IF(tblOrdenes[[#This Row],[centro_costo]]="","",_xlfn.XLOOKUP(tblOrdenes[[#This Row],[centro_costo]],tblCECO[codigo],tblCECO[area],"(sin catálogo)"))</f>
        <v/>
      </c>
      <c r="W1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4" s="3">
        <f>IF(tblOrdenes[[#This Row],[centro_costo]]="","",_xlfn.XLOOKUP(tblOrdenes[[#This Row],[centro_costo]],tblCECO[codigo],tblCECO[coordinador],"(sin catálogo)"))</f>
        <v/>
      </c>
      <c r="Y194" s="3">
        <f>IF(tblOrdenes[[#This Row],[puesto_trabajo]]="","",_xlfn.XLOOKUP(tblOrdenes[[#This Row],[puesto_trabajo]],tblPuestos[codigo],tblPuestos[especialidad],"(sin catálogo)"))</f>
        <v/>
      </c>
      <c r="Z194" s="3">
        <f>IF(tblOrdenes[[#This Row],[cod_actividad]]="","",_xlfn.XLOOKUP(tblOrdenes[[#This Row],[cod_actividad]],tblActividades[codigo],tblActividades[descripcion],"(sin catálogo)"))</f>
        <v/>
      </c>
      <c r="AA194" s="13">
        <f>IF(tblOrdenes[[#This Row],[fecha_inicio]]="","",TODAY()-tblOrdenes[[#This Row],[fecha_inicio]])</f>
        <v/>
      </c>
      <c r="AB1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4" s="3">
        <f>IF(tblOrdenes[[#This Row],[backlog_habiles]]="","",IF(tblOrdenes[[#This Row],[backlog_habiles]]&lt;0,"FUTURO",IF(tblOrdenes[[#This Row],[backlog_habiles]]&gt;p_dias_backlog_max,"BACKLOG","MES CORRIENTE")))</f>
        <v/>
      </c>
      <c r="AD194" s="3">
        <f>IF(tblOrdenes[[#This Row],[backlog_habiles]]="",FALSE,AND(tblOrdenes[[#This Row],[backlog_habiles]]&gt;p_dias_backlog_min,tblOrdenes[[#This Row],[backlog_habiles]]&lt;=p_dias_backlog_max))</f>
        <v/>
      </c>
      <c r="AE194" s="6" t="inlineStr"/>
      <c r="AF1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4" s="11">
        <f>IF(tblOrdenes[[#This Row],[orden]]="","",_xlfn.XLOOKUP(tblOrdenes[[#This Row],[id_operacion]],tblEjecucion[id_operacion],tblEjecucion[precio],0))</f>
        <v/>
      </c>
      <c r="AJ194" s="11">
        <f>IF(tblOrdenes[[#This Row],[orden]]="","",MAX(0,_xlfn.XLOOKUP(tblOrdenes[[#This Row],[id_operacion]],tblEjecucion[id_operacion],tblEjecucion[costo_plan_total],0)-tblOrdenes[[#This Row],[costo_servicio]]))</f>
        <v/>
      </c>
      <c r="AK194" s="11">
        <f>IF(tblOrdenes[[#This Row],[orden]]="","",tblOrdenes[[#This Row],[costo_servicio]]+tblOrdenes[[#This Row],[costo_materiales]])</f>
        <v/>
      </c>
      <c r="AL194" s="6" t="inlineStr"/>
      <c r="AM194" s="6" t="inlineStr"/>
      <c r="AN194" s="6" t="inlineStr"/>
      <c r="AO194" s="3">
        <f>IF(tblOrdenes[[#This Row],[link_checklist]]="","",HYPERLINK(p_ruta_base_checklists&amp;tblOrdenes[[#This Row],[link_checklist]],"abrir"))</f>
        <v/>
      </c>
      <c r="AP194" s="6" t="inlineStr"/>
      <c r="AQ194" s="3">
        <f>IF(tblOrdenes[[#This Row],[orden]]="","",tblOrdenes[[#This Row],[orden]]&amp;IF(tblOrdenes[[#This Row],[operacion]]="","0010",tblOrdenes[[#This Row],[operacion]]))</f>
        <v/>
      </c>
    </row>
    <row r="195">
      <c r="A195" s="3" t="inlineStr">
        <is>
          <t>OT-000192</t>
        </is>
      </c>
      <c r="B195" s="3" t="inlineStr">
        <is>
          <t>0010</t>
        </is>
      </c>
      <c r="C195" s="3" t="inlineStr">
        <is>
          <t>Reparación de falla — EQ-106</t>
        </is>
      </c>
      <c r="D195" s="3" t="inlineStr">
        <is>
          <t>Reparación de falla en EQ-106</t>
        </is>
      </c>
      <c r="E195" s="3" t="inlineStr">
        <is>
          <t>EQ-106</t>
        </is>
      </c>
      <c r="F195" s="3" t="inlineStr">
        <is>
          <t>CC-220</t>
        </is>
      </c>
      <c r="G195" s="3" t="inlineStr">
        <is>
          <t>PU-ELE</t>
        </is>
      </c>
      <c r="H195" s="3" t="inlineStr">
        <is>
          <t>ACT-03</t>
        </is>
      </c>
      <c r="I195" s="3" t="inlineStr">
        <is>
          <t>TIPO-C1</t>
        </is>
      </c>
      <c r="J195" s="12" t="n">
        <v>46182</v>
      </c>
      <c r="K195" s="3" t="n">
        <v>2</v>
      </c>
      <c r="L195" s="11" t="n">
        <v>80</v>
      </c>
      <c r="M1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5" s="3">
        <f>IF(tblOrdenes[[#This Row],[fecha_inicio]]="","",YEAR(tblOrdenes[[#This Row],[fecha_inicio]]))</f>
        <v/>
      </c>
      <c r="Q195" s="3">
        <f>IF(tblOrdenes[[#This Row],[fecha_inicio]]="","",MONTH(tblOrdenes[[#This Row],[fecha_inicio]]))</f>
        <v/>
      </c>
      <c r="R195" s="3">
        <f>IF(tblOrdenes[[#This Row],[fecha_inicio]]="","",INDEX(lista_dias,WEEKDAY(tblOrdenes[[#This Row],[fecha_inicio]],2)))</f>
        <v/>
      </c>
      <c r="S1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5" s="3">
        <f>IF(tblOrdenes[[#This Row],[tipo_ot]]="","",_xlfn.XLOOKUP(tblOrdenes[[#This Row],[tipo_ot]],tblTiposOT[codigo],tblTiposOT[clasificacion],"sin_clasificar"))</f>
        <v/>
      </c>
      <c r="U195" s="3">
        <f>IF(tblOrdenes[[#This Row],[centro_costo]]="","",_xlfn.XLOOKUP(tblOrdenes[[#This Row],[centro_costo]],tblCECO[codigo],tblCECO[linea],"(sin catálogo)"))</f>
        <v/>
      </c>
      <c r="V195" s="3">
        <f>IF(tblOrdenes[[#This Row],[centro_costo]]="","",_xlfn.XLOOKUP(tblOrdenes[[#This Row],[centro_costo]],tblCECO[codigo],tblCECO[area],"(sin catálogo)"))</f>
        <v/>
      </c>
      <c r="W1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5" s="3">
        <f>IF(tblOrdenes[[#This Row],[centro_costo]]="","",_xlfn.XLOOKUP(tblOrdenes[[#This Row],[centro_costo]],tblCECO[codigo],tblCECO[coordinador],"(sin catálogo)"))</f>
        <v/>
      </c>
      <c r="Y195" s="3">
        <f>IF(tblOrdenes[[#This Row],[puesto_trabajo]]="","",_xlfn.XLOOKUP(tblOrdenes[[#This Row],[puesto_trabajo]],tblPuestos[codigo],tblPuestos[especialidad],"(sin catálogo)"))</f>
        <v/>
      </c>
      <c r="Z195" s="3">
        <f>IF(tblOrdenes[[#This Row],[cod_actividad]]="","",_xlfn.XLOOKUP(tblOrdenes[[#This Row],[cod_actividad]],tblActividades[codigo],tblActividades[descripcion],"(sin catálogo)"))</f>
        <v/>
      </c>
      <c r="AA195" s="13">
        <f>IF(tblOrdenes[[#This Row],[fecha_inicio]]="","",TODAY()-tblOrdenes[[#This Row],[fecha_inicio]])</f>
        <v/>
      </c>
      <c r="AB1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5" s="3">
        <f>IF(tblOrdenes[[#This Row],[backlog_habiles]]="","",IF(tblOrdenes[[#This Row],[backlog_habiles]]&lt;0,"FUTURO",IF(tblOrdenes[[#This Row],[backlog_habiles]]&gt;p_dias_backlog_max,"BACKLOG","MES CORRIENTE")))</f>
        <v/>
      </c>
      <c r="AD195" s="3">
        <f>IF(tblOrdenes[[#This Row],[backlog_habiles]]="",FALSE,AND(tblOrdenes[[#This Row],[backlog_habiles]]&gt;p_dias_backlog_min,tblOrdenes[[#This Row],[backlog_habiles]]&lt;=p_dias_backlog_max))</f>
        <v/>
      </c>
      <c r="AE195" s="6" t="inlineStr"/>
      <c r="AF1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5" s="11">
        <f>IF(tblOrdenes[[#This Row],[orden]]="","",_xlfn.XLOOKUP(tblOrdenes[[#This Row],[id_operacion]],tblEjecucion[id_operacion],tblEjecucion[precio],0))</f>
        <v/>
      </c>
      <c r="AJ195" s="11">
        <f>IF(tblOrdenes[[#This Row],[orden]]="","",MAX(0,_xlfn.XLOOKUP(tblOrdenes[[#This Row],[id_operacion]],tblEjecucion[id_operacion],tblEjecucion[costo_plan_total],0)-tblOrdenes[[#This Row],[costo_servicio]]))</f>
        <v/>
      </c>
      <c r="AK195" s="11">
        <f>IF(tblOrdenes[[#This Row],[orden]]="","",tblOrdenes[[#This Row],[costo_servicio]]+tblOrdenes[[#This Row],[costo_materiales]])</f>
        <v/>
      </c>
      <c r="AL195" s="6" t="inlineStr"/>
      <c r="AM195" s="6" t="inlineStr"/>
      <c r="AN195" s="6" t="inlineStr"/>
      <c r="AO195" s="3">
        <f>IF(tblOrdenes[[#This Row],[link_checklist]]="","",HYPERLINK(p_ruta_base_checklists&amp;tblOrdenes[[#This Row],[link_checklist]],"abrir"))</f>
        <v/>
      </c>
      <c r="AP195" s="6" t="inlineStr"/>
      <c r="AQ195" s="3">
        <f>IF(tblOrdenes[[#This Row],[orden]]="","",tblOrdenes[[#This Row],[orden]]&amp;IF(tblOrdenes[[#This Row],[operacion]]="","0010",tblOrdenes[[#This Row],[operacion]]))</f>
        <v/>
      </c>
    </row>
    <row r="196">
      <c r="A196" s="3" t="inlineStr">
        <is>
          <t>OT-000193</t>
        </is>
      </c>
      <c r="B196" s="3" t="inlineStr">
        <is>
          <t>0010</t>
        </is>
      </c>
      <c r="C196" s="3" t="inlineStr">
        <is>
          <t>Reparación de falla — EQ-107</t>
        </is>
      </c>
      <c r="D196" s="3" t="inlineStr">
        <is>
          <t>Reparación de falla en EQ-107</t>
        </is>
      </c>
      <c r="E196" s="3" t="inlineStr">
        <is>
          <t>EQ-107</t>
        </is>
      </c>
      <c r="F196" s="3" t="inlineStr">
        <is>
          <t>CC-220</t>
        </is>
      </c>
      <c r="G196" s="3" t="inlineStr">
        <is>
          <t>PU-ELE</t>
        </is>
      </c>
      <c r="H196" s="3" t="inlineStr">
        <is>
          <t>ACT-03</t>
        </is>
      </c>
      <c r="I196" s="3" t="inlineStr">
        <is>
          <t>TIPO-C2</t>
        </is>
      </c>
      <c r="J196" s="12" t="n">
        <v>46181</v>
      </c>
      <c r="K196" s="3" t="n">
        <v>2</v>
      </c>
      <c r="L196" s="11" t="n">
        <v>80</v>
      </c>
      <c r="M1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6" s="3">
        <f>IF(tblOrdenes[[#This Row],[fecha_inicio]]="","",YEAR(tblOrdenes[[#This Row],[fecha_inicio]]))</f>
        <v/>
      </c>
      <c r="Q196" s="3">
        <f>IF(tblOrdenes[[#This Row],[fecha_inicio]]="","",MONTH(tblOrdenes[[#This Row],[fecha_inicio]]))</f>
        <v/>
      </c>
      <c r="R196" s="3">
        <f>IF(tblOrdenes[[#This Row],[fecha_inicio]]="","",INDEX(lista_dias,WEEKDAY(tblOrdenes[[#This Row],[fecha_inicio]],2)))</f>
        <v/>
      </c>
      <c r="S1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6" s="3">
        <f>IF(tblOrdenes[[#This Row],[tipo_ot]]="","",_xlfn.XLOOKUP(tblOrdenes[[#This Row],[tipo_ot]],tblTiposOT[codigo],tblTiposOT[clasificacion],"sin_clasificar"))</f>
        <v/>
      </c>
      <c r="U196" s="3">
        <f>IF(tblOrdenes[[#This Row],[centro_costo]]="","",_xlfn.XLOOKUP(tblOrdenes[[#This Row],[centro_costo]],tblCECO[codigo],tblCECO[linea],"(sin catálogo)"))</f>
        <v/>
      </c>
      <c r="V196" s="3">
        <f>IF(tblOrdenes[[#This Row],[centro_costo]]="","",_xlfn.XLOOKUP(tblOrdenes[[#This Row],[centro_costo]],tblCECO[codigo],tblCECO[area],"(sin catálogo)"))</f>
        <v/>
      </c>
      <c r="W1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6" s="3">
        <f>IF(tblOrdenes[[#This Row],[centro_costo]]="","",_xlfn.XLOOKUP(tblOrdenes[[#This Row],[centro_costo]],tblCECO[codigo],tblCECO[coordinador],"(sin catálogo)"))</f>
        <v/>
      </c>
      <c r="Y196" s="3">
        <f>IF(tblOrdenes[[#This Row],[puesto_trabajo]]="","",_xlfn.XLOOKUP(tblOrdenes[[#This Row],[puesto_trabajo]],tblPuestos[codigo],tblPuestos[especialidad],"(sin catálogo)"))</f>
        <v/>
      </c>
      <c r="Z196" s="3">
        <f>IF(tblOrdenes[[#This Row],[cod_actividad]]="","",_xlfn.XLOOKUP(tblOrdenes[[#This Row],[cod_actividad]],tblActividades[codigo],tblActividades[descripcion],"(sin catálogo)"))</f>
        <v/>
      </c>
      <c r="AA196" s="13">
        <f>IF(tblOrdenes[[#This Row],[fecha_inicio]]="","",TODAY()-tblOrdenes[[#This Row],[fecha_inicio]])</f>
        <v/>
      </c>
      <c r="AB1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6" s="3">
        <f>IF(tblOrdenes[[#This Row],[backlog_habiles]]="","",IF(tblOrdenes[[#This Row],[backlog_habiles]]&lt;0,"FUTURO",IF(tblOrdenes[[#This Row],[backlog_habiles]]&gt;p_dias_backlog_max,"BACKLOG","MES CORRIENTE")))</f>
        <v/>
      </c>
      <c r="AD196" s="3">
        <f>IF(tblOrdenes[[#This Row],[backlog_habiles]]="",FALSE,AND(tblOrdenes[[#This Row],[backlog_habiles]]&gt;p_dias_backlog_min,tblOrdenes[[#This Row],[backlog_habiles]]&lt;=p_dias_backlog_max))</f>
        <v/>
      </c>
      <c r="AE196" s="6" t="inlineStr"/>
      <c r="AF1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6" s="11">
        <f>IF(tblOrdenes[[#This Row],[orden]]="","",_xlfn.XLOOKUP(tblOrdenes[[#This Row],[id_operacion]],tblEjecucion[id_operacion],tblEjecucion[precio],0))</f>
        <v/>
      </c>
      <c r="AJ196" s="11">
        <f>IF(tblOrdenes[[#This Row],[orden]]="","",MAX(0,_xlfn.XLOOKUP(tblOrdenes[[#This Row],[id_operacion]],tblEjecucion[id_operacion],tblEjecucion[costo_plan_total],0)-tblOrdenes[[#This Row],[costo_servicio]]))</f>
        <v/>
      </c>
      <c r="AK196" s="11">
        <f>IF(tblOrdenes[[#This Row],[orden]]="","",tblOrdenes[[#This Row],[costo_servicio]]+tblOrdenes[[#This Row],[costo_materiales]])</f>
        <v/>
      </c>
      <c r="AL196" s="6" t="inlineStr"/>
      <c r="AM196" s="6" t="inlineStr"/>
      <c r="AN196" s="6" t="inlineStr"/>
      <c r="AO196" s="3">
        <f>IF(tblOrdenes[[#This Row],[link_checklist]]="","",HYPERLINK(p_ruta_base_checklists&amp;tblOrdenes[[#This Row],[link_checklist]],"abrir"))</f>
        <v/>
      </c>
      <c r="AP196" s="6" t="inlineStr"/>
      <c r="AQ196" s="3">
        <f>IF(tblOrdenes[[#This Row],[orden]]="","",tblOrdenes[[#This Row],[orden]]&amp;IF(tblOrdenes[[#This Row],[operacion]]="","0010",tblOrdenes[[#This Row],[operacion]]))</f>
        <v/>
      </c>
    </row>
    <row r="197">
      <c r="A197" s="3" t="inlineStr">
        <is>
          <t>OT-000194</t>
        </is>
      </c>
      <c r="B197" s="3" t="inlineStr">
        <is>
          <t>0010</t>
        </is>
      </c>
      <c r="C197" s="3" t="inlineStr">
        <is>
          <t>Reparación de falla — EQ-108</t>
        </is>
      </c>
      <c r="D197" s="3" t="inlineStr">
        <is>
          <t>Reparación de falla en EQ-108</t>
        </is>
      </c>
      <c r="E197" s="3" t="inlineStr">
        <is>
          <t>EQ-108</t>
        </is>
      </c>
      <c r="F197" s="3" t="inlineStr">
        <is>
          <t>CC-220</t>
        </is>
      </c>
      <c r="G197" s="3" t="inlineStr">
        <is>
          <t>PU-ELE</t>
        </is>
      </c>
      <c r="H197" s="3" t="inlineStr">
        <is>
          <t>ACT-03</t>
        </is>
      </c>
      <c r="I197" s="3" t="inlineStr">
        <is>
          <t>TIPO-C1</t>
        </is>
      </c>
      <c r="J197" s="12" t="n">
        <v>46180</v>
      </c>
      <c r="K197" s="3" t="n">
        <v>2</v>
      </c>
      <c r="L197" s="11" t="n">
        <v>80</v>
      </c>
      <c r="M1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7" s="3">
        <f>IF(tblOrdenes[[#This Row],[fecha_inicio]]="","",YEAR(tblOrdenes[[#This Row],[fecha_inicio]]))</f>
        <v/>
      </c>
      <c r="Q197" s="3">
        <f>IF(tblOrdenes[[#This Row],[fecha_inicio]]="","",MONTH(tblOrdenes[[#This Row],[fecha_inicio]]))</f>
        <v/>
      </c>
      <c r="R197" s="3">
        <f>IF(tblOrdenes[[#This Row],[fecha_inicio]]="","",INDEX(lista_dias,WEEKDAY(tblOrdenes[[#This Row],[fecha_inicio]],2)))</f>
        <v/>
      </c>
      <c r="S1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7" s="3">
        <f>IF(tblOrdenes[[#This Row],[tipo_ot]]="","",_xlfn.XLOOKUP(tblOrdenes[[#This Row],[tipo_ot]],tblTiposOT[codigo],tblTiposOT[clasificacion],"sin_clasificar"))</f>
        <v/>
      </c>
      <c r="U197" s="3">
        <f>IF(tblOrdenes[[#This Row],[centro_costo]]="","",_xlfn.XLOOKUP(tblOrdenes[[#This Row],[centro_costo]],tblCECO[codigo],tblCECO[linea],"(sin catálogo)"))</f>
        <v/>
      </c>
      <c r="V197" s="3">
        <f>IF(tblOrdenes[[#This Row],[centro_costo]]="","",_xlfn.XLOOKUP(tblOrdenes[[#This Row],[centro_costo]],tblCECO[codigo],tblCECO[area],"(sin catálogo)"))</f>
        <v/>
      </c>
      <c r="W1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7" s="3">
        <f>IF(tblOrdenes[[#This Row],[centro_costo]]="","",_xlfn.XLOOKUP(tblOrdenes[[#This Row],[centro_costo]],tblCECO[codigo],tblCECO[coordinador],"(sin catálogo)"))</f>
        <v/>
      </c>
      <c r="Y197" s="3">
        <f>IF(tblOrdenes[[#This Row],[puesto_trabajo]]="","",_xlfn.XLOOKUP(tblOrdenes[[#This Row],[puesto_trabajo]],tblPuestos[codigo],tblPuestos[especialidad],"(sin catálogo)"))</f>
        <v/>
      </c>
      <c r="Z197" s="3">
        <f>IF(tblOrdenes[[#This Row],[cod_actividad]]="","",_xlfn.XLOOKUP(tblOrdenes[[#This Row],[cod_actividad]],tblActividades[codigo],tblActividades[descripcion],"(sin catálogo)"))</f>
        <v/>
      </c>
      <c r="AA197" s="13">
        <f>IF(tblOrdenes[[#This Row],[fecha_inicio]]="","",TODAY()-tblOrdenes[[#This Row],[fecha_inicio]])</f>
        <v/>
      </c>
      <c r="AB1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7" s="3">
        <f>IF(tblOrdenes[[#This Row],[backlog_habiles]]="","",IF(tblOrdenes[[#This Row],[backlog_habiles]]&lt;0,"FUTURO",IF(tblOrdenes[[#This Row],[backlog_habiles]]&gt;p_dias_backlog_max,"BACKLOG","MES CORRIENTE")))</f>
        <v/>
      </c>
      <c r="AD197" s="3">
        <f>IF(tblOrdenes[[#This Row],[backlog_habiles]]="",FALSE,AND(tblOrdenes[[#This Row],[backlog_habiles]]&gt;p_dias_backlog_min,tblOrdenes[[#This Row],[backlog_habiles]]&lt;=p_dias_backlog_max))</f>
        <v/>
      </c>
      <c r="AE197" s="6" t="inlineStr"/>
      <c r="AF1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7" s="11">
        <f>IF(tblOrdenes[[#This Row],[orden]]="","",_xlfn.XLOOKUP(tblOrdenes[[#This Row],[id_operacion]],tblEjecucion[id_operacion],tblEjecucion[precio],0))</f>
        <v/>
      </c>
      <c r="AJ197" s="11">
        <f>IF(tblOrdenes[[#This Row],[orden]]="","",MAX(0,_xlfn.XLOOKUP(tblOrdenes[[#This Row],[id_operacion]],tblEjecucion[id_operacion],tblEjecucion[costo_plan_total],0)-tblOrdenes[[#This Row],[costo_servicio]]))</f>
        <v/>
      </c>
      <c r="AK197" s="11">
        <f>IF(tblOrdenes[[#This Row],[orden]]="","",tblOrdenes[[#This Row],[costo_servicio]]+tblOrdenes[[#This Row],[costo_materiales]])</f>
        <v/>
      </c>
      <c r="AL197" s="6" t="inlineStr"/>
      <c r="AM197" s="6" t="inlineStr"/>
      <c r="AN197" s="6" t="inlineStr"/>
      <c r="AO197" s="3">
        <f>IF(tblOrdenes[[#This Row],[link_checklist]]="","",HYPERLINK(p_ruta_base_checklists&amp;tblOrdenes[[#This Row],[link_checklist]],"abrir"))</f>
        <v/>
      </c>
      <c r="AP197" s="6" t="inlineStr"/>
      <c r="AQ197" s="3">
        <f>IF(tblOrdenes[[#This Row],[orden]]="","",tblOrdenes[[#This Row],[orden]]&amp;IF(tblOrdenes[[#This Row],[operacion]]="","0010",tblOrdenes[[#This Row],[operacion]]))</f>
        <v/>
      </c>
    </row>
    <row r="198">
      <c r="A198" s="3" t="inlineStr">
        <is>
          <t>OT-000195</t>
        </is>
      </c>
      <c r="B198" s="3" t="inlineStr">
        <is>
          <t>0010</t>
        </is>
      </c>
      <c r="C198" s="3" t="inlineStr">
        <is>
          <t>Reparación de falla — EQ-109</t>
        </is>
      </c>
      <c r="D198" s="3" t="inlineStr">
        <is>
          <t>Reparación de falla en EQ-109</t>
        </is>
      </c>
      <c r="E198" s="3" t="inlineStr">
        <is>
          <t>EQ-109</t>
        </is>
      </c>
      <c r="F198" s="3" t="inlineStr">
        <is>
          <t>CC-220</t>
        </is>
      </c>
      <c r="G198" s="3" t="inlineStr">
        <is>
          <t>PU-ELE</t>
        </is>
      </c>
      <c r="H198" s="3" t="inlineStr">
        <is>
          <t>ACT-03</t>
        </is>
      </c>
      <c r="I198" s="3" t="inlineStr">
        <is>
          <t>TIPO-C2</t>
        </is>
      </c>
      <c r="J198" s="12" t="n">
        <v>46179</v>
      </c>
      <c r="K198" s="3" t="n">
        <v>2</v>
      </c>
      <c r="L198" s="11" t="n">
        <v>80</v>
      </c>
      <c r="M1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8" s="3">
        <f>IF(tblOrdenes[[#This Row],[fecha_inicio]]="","",YEAR(tblOrdenes[[#This Row],[fecha_inicio]]))</f>
        <v/>
      </c>
      <c r="Q198" s="3">
        <f>IF(tblOrdenes[[#This Row],[fecha_inicio]]="","",MONTH(tblOrdenes[[#This Row],[fecha_inicio]]))</f>
        <v/>
      </c>
      <c r="R198" s="3">
        <f>IF(tblOrdenes[[#This Row],[fecha_inicio]]="","",INDEX(lista_dias,WEEKDAY(tblOrdenes[[#This Row],[fecha_inicio]],2)))</f>
        <v/>
      </c>
      <c r="S1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8" s="3">
        <f>IF(tblOrdenes[[#This Row],[tipo_ot]]="","",_xlfn.XLOOKUP(tblOrdenes[[#This Row],[tipo_ot]],tblTiposOT[codigo],tblTiposOT[clasificacion],"sin_clasificar"))</f>
        <v/>
      </c>
      <c r="U198" s="3">
        <f>IF(tblOrdenes[[#This Row],[centro_costo]]="","",_xlfn.XLOOKUP(tblOrdenes[[#This Row],[centro_costo]],tblCECO[codigo],tblCECO[linea],"(sin catálogo)"))</f>
        <v/>
      </c>
      <c r="V198" s="3">
        <f>IF(tblOrdenes[[#This Row],[centro_costo]]="","",_xlfn.XLOOKUP(tblOrdenes[[#This Row],[centro_costo]],tblCECO[codigo],tblCECO[area],"(sin catálogo)"))</f>
        <v/>
      </c>
      <c r="W1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8" s="3">
        <f>IF(tblOrdenes[[#This Row],[centro_costo]]="","",_xlfn.XLOOKUP(tblOrdenes[[#This Row],[centro_costo]],tblCECO[codigo],tblCECO[coordinador],"(sin catálogo)"))</f>
        <v/>
      </c>
      <c r="Y198" s="3">
        <f>IF(tblOrdenes[[#This Row],[puesto_trabajo]]="","",_xlfn.XLOOKUP(tblOrdenes[[#This Row],[puesto_trabajo]],tblPuestos[codigo],tblPuestos[especialidad],"(sin catálogo)"))</f>
        <v/>
      </c>
      <c r="Z198" s="3">
        <f>IF(tblOrdenes[[#This Row],[cod_actividad]]="","",_xlfn.XLOOKUP(tblOrdenes[[#This Row],[cod_actividad]],tblActividades[codigo],tblActividades[descripcion],"(sin catálogo)"))</f>
        <v/>
      </c>
      <c r="AA198" s="13">
        <f>IF(tblOrdenes[[#This Row],[fecha_inicio]]="","",TODAY()-tblOrdenes[[#This Row],[fecha_inicio]])</f>
        <v/>
      </c>
      <c r="AB1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8" s="3">
        <f>IF(tblOrdenes[[#This Row],[backlog_habiles]]="","",IF(tblOrdenes[[#This Row],[backlog_habiles]]&lt;0,"FUTURO",IF(tblOrdenes[[#This Row],[backlog_habiles]]&gt;p_dias_backlog_max,"BACKLOG","MES CORRIENTE")))</f>
        <v/>
      </c>
      <c r="AD198" s="3">
        <f>IF(tblOrdenes[[#This Row],[backlog_habiles]]="",FALSE,AND(tblOrdenes[[#This Row],[backlog_habiles]]&gt;p_dias_backlog_min,tblOrdenes[[#This Row],[backlog_habiles]]&lt;=p_dias_backlog_max))</f>
        <v/>
      </c>
      <c r="AE198" s="6" t="inlineStr"/>
      <c r="AF1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8" s="11">
        <f>IF(tblOrdenes[[#This Row],[orden]]="","",_xlfn.XLOOKUP(tblOrdenes[[#This Row],[id_operacion]],tblEjecucion[id_operacion],tblEjecucion[precio],0))</f>
        <v/>
      </c>
      <c r="AJ198" s="11">
        <f>IF(tblOrdenes[[#This Row],[orden]]="","",MAX(0,_xlfn.XLOOKUP(tblOrdenes[[#This Row],[id_operacion]],tblEjecucion[id_operacion],tblEjecucion[costo_plan_total],0)-tblOrdenes[[#This Row],[costo_servicio]]))</f>
        <v/>
      </c>
      <c r="AK198" s="11">
        <f>IF(tblOrdenes[[#This Row],[orden]]="","",tblOrdenes[[#This Row],[costo_servicio]]+tblOrdenes[[#This Row],[costo_materiales]])</f>
        <v/>
      </c>
      <c r="AL198" s="6" t="inlineStr"/>
      <c r="AM198" s="6" t="inlineStr"/>
      <c r="AN198" s="6" t="inlineStr"/>
      <c r="AO198" s="3">
        <f>IF(tblOrdenes[[#This Row],[link_checklist]]="","",HYPERLINK(p_ruta_base_checklists&amp;tblOrdenes[[#This Row],[link_checklist]],"abrir"))</f>
        <v/>
      </c>
      <c r="AP198" s="6" t="inlineStr"/>
      <c r="AQ198" s="3">
        <f>IF(tblOrdenes[[#This Row],[orden]]="","",tblOrdenes[[#This Row],[orden]]&amp;IF(tblOrdenes[[#This Row],[operacion]]="","0010",tblOrdenes[[#This Row],[operacion]]))</f>
        <v/>
      </c>
    </row>
    <row r="199">
      <c r="A199" s="3" t="inlineStr">
        <is>
          <t>OT-000196</t>
        </is>
      </c>
      <c r="B199" s="3" t="inlineStr">
        <is>
          <t>0010</t>
        </is>
      </c>
      <c r="C199" s="3" t="inlineStr">
        <is>
          <t>Reparación de falla — EQ-106</t>
        </is>
      </c>
      <c r="D199" s="3" t="inlineStr">
        <is>
          <t>Reparación de falla en EQ-106</t>
        </is>
      </c>
      <c r="E199" s="3" t="inlineStr">
        <is>
          <t>EQ-106</t>
        </is>
      </c>
      <c r="F199" s="3" t="inlineStr">
        <is>
          <t>CC-220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TIPO-C1</t>
        </is>
      </c>
      <c r="J199" s="12" t="n">
        <v>46178</v>
      </c>
      <c r="K199" s="3" t="n">
        <v>2</v>
      </c>
      <c r="L199" s="11" t="n">
        <v>80</v>
      </c>
      <c r="M1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9" s="3">
        <f>IF(tblOrdenes[[#This Row],[fecha_inicio]]="","",YEAR(tblOrdenes[[#This Row],[fecha_inicio]]))</f>
        <v/>
      </c>
      <c r="Q199" s="3">
        <f>IF(tblOrdenes[[#This Row],[fecha_inicio]]="","",MONTH(tblOrdenes[[#This Row],[fecha_inicio]]))</f>
        <v/>
      </c>
      <c r="R199" s="3">
        <f>IF(tblOrdenes[[#This Row],[fecha_inicio]]="","",INDEX(lista_dias,WEEKDAY(tblOrdenes[[#This Row],[fecha_inicio]],2)))</f>
        <v/>
      </c>
      <c r="S1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9" s="3">
        <f>IF(tblOrdenes[[#This Row],[tipo_ot]]="","",_xlfn.XLOOKUP(tblOrdenes[[#This Row],[tipo_ot]],tblTiposOT[codigo],tblTiposOT[clasificacion],"sin_clasificar"))</f>
        <v/>
      </c>
      <c r="U199" s="3">
        <f>IF(tblOrdenes[[#This Row],[centro_costo]]="","",_xlfn.XLOOKUP(tblOrdenes[[#This Row],[centro_costo]],tblCECO[codigo],tblCECO[linea],"(sin catálogo)"))</f>
        <v/>
      </c>
      <c r="V199" s="3">
        <f>IF(tblOrdenes[[#This Row],[centro_costo]]="","",_xlfn.XLOOKUP(tblOrdenes[[#This Row],[centro_costo]],tblCECO[codigo],tblCECO[area],"(sin catálogo)"))</f>
        <v/>
      </c>
      <c r="W1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9" s="3">
        <f>IF(tblOrdenes[[#This Row],[centro_costo]]="","",_xlfn.XLOOKUP(tblOrdenes[[#This Row],[centro_costo]],tblCECO[codigo],tblCECO[coordinador],"(sin catálogo)"))</f>
        <v/>
      </c>
      <c r="Y199" s="3">
        <f>IF(tblOrdenes[[#This Row],[puesto_trabajo]]="","",_xlfn.XLOOKUP(tblOrdenes[[#This Row],[puesto_trabajo]],tblPuestos[codigo],tblPuestos[especialidad],"(sin catálogo)"))</f>
        <v/>
      </c>
      <c r="Z199" s="3">
        <f>IF(tblOrdenes[[#This Row],[cod_actividad]]="","",_xlfn.XLOOKUP(tblOrdenes[[#This Row],[cod_actividad]],tblActividades[codigo],tblActividades[descripcion],"(sin catálogo)"))</f>
        <v/>
      </c>
      <c r="AA199" s="13">
        <f>IF(tblOrdenes[[#This Row],[fecha_inicio]]="","",TODAY()-tblOrdenes[[#This Row],[fecha_inicio]])</f>
        <v/>
      </c>
      <c r="AB1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9" s="3">
        <f>IF(tblOrdenes[[#This Row],[backlog_habiles]]="","",IF(tblOrdenes[[#This Row],[backlog_habiles]]&lt;0,"FUTURO",IF(tblOrdenes[[#This Row],[backlog_habiles]]&gt;p_dias_backlog_max,"BACKLOG","MES CORRIENTE")))</f>
        <v/>
      </c>
      <c r="AD199" s="3">
        <f>IF(tblOrdenes[[#This Row],[backlog_habiles]]="",FALSE,AND(tblOrdenes[[#This Row],[backlog_habiles]]&gt;p_dias_backlog_min,tblOrdenes[[#This Row],[backlog_habiles]]&lt;=p_dias_backlog_max))</f>
        <v/>
      </c>
      <c r="AE199" s="6" t="inlineStr"/>
      <c r="AF1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9" s="11">
        <f>IF(tblOrdenes[[#This Row],[orden]]="","",_xlfn.XLOOKUP(tblOrdenes[[#This Row],[id_operacion]],tblEjecucion[id_operacion],tblEjecucion[precio],0))</f>
        <v/>
      </c>
      <c r="AJ199" s="11">
        <f>IF(tblOrdenes[[#This Row],[orden]]="","",MAX(0,_xlfn.XLOOKUP(tblOrdenes[[#This Row],[id_operacion]],tblEjecucion[id_operacion],tblEjecucion[costo_plan_total],0)-tblOrdenes[[#This Row],[costo_servicio]]))</f>
        <v/>
      </c>
      <c r="AK199" s="11">
        <f>IF(tblOrdenes[[#This Row],[orden]]="","",tblOrdenes[[#This Row],[costo_servicio]]+tblOrdenes[[#This Row],[costo_materiales]])</f>
        <v/>
      </c>
      <c r="AL199" s="6" t="inlineStr"/>
      <c r="AM199" s="6" t="inlineStr"/>
      <c r="AN199" s="6" t="inlineStr"/>
      <c r="AO199" s="3">
        <f>IF(tblOrdenes[[#This Row],[link_checklist]]="","",HYPERLINK(p_ruta_base_checklists&amp;tblOrdenes[[#This Row],[link_checklist]],"abrir"))</f>
        <v/>
      </c>
      <c r="AP199" s="6" t="inlineStr"/>
      <c r="AQ199" s="3">
        <f>IF(tblOrdenes[[#This Row],[orden]]="","",tblOrdenes[[#This Row],[orden]]&amp;IF(tblOrdenes[[#This Row],[operacion]]="","0010",tblOrdenes[[#This Row],[operacion]]))</f>
        <v/>
      </c>
    </row>
    <row r="200">
      <c r="A200" s="3" t="inlineStr">
        <is>
          <t>OT-000197</t>
        </is>
      </c>
      <c r="B200" s="3" t="inlineStr">
        <is>
          <t>0010</t>
        </is>
      </c>
      <c r="C200" s="3" t="inlineStr">
        <is>
          <t>Reparación de falla — EQ-107</t>
        </is>
      </c>
      <c r="D200" s="3" t="inlineStr">
        <is>
          <t>Reparación de falla en EQ-107</t>
        </is>
      </c>
      <c r="E200" s="3" t="inlineStr">
        <is>
          <t>EQ-107</t>
        </is>
      </c>
      <c r="F200" s="3" t="inlineStr">
        <is>
          <t>CC-220</t>
        </is>
      </c>
      <c r="G200" s="3" t="inlineStr">
        <is>
          <t>PU-ELE</t>
        </is>
      </c>
      <c r="H200" s="3" t="inlineStr">
        <is>
          <t>ACT-03</t>
        </is>
      </c>
      <c r="I200" s="3" t="inlineStr">
        <is>
          <t>TIPO-C2</t>
        </is>
      </c>
      <c r="J200" s="12" t="n">
        <v>46177</v>
      </c>
      <c r="K200" s="3" t="n">
        <v>2</v>
      </c>
      <c r="L200" s="11" t="n">
        <v>80</v>
      </c>
      <c r="M2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0" s="3">
        <f>IF(tblOrdenes[[#This Row],[fecha_inicio]]="","",YEAR(tblOrdenes[[#This Row],[fecha_inicio]]))</f>
        <v/>
      </c>
      <c r="Q200" s="3">
        <f>IF(tblOrdenes[[#This Row],[fecha_inicio]]="","",MONTH(tblOrdenes[[#This Row],[fecha_inicio]]))</f>
        <v/>
      </c>
      <c r="R200" s="3">
        <f>IF(tblOrdenes[[#This Row],[fecha_inicio]]="","",INDEX(lista_dias,WEEKDAY(tblOrdenes[[#This Row],[fecha_inicio]],2)))</f>
        <v/>
      </c>
      <c r="S2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0" s="3">
        <f>IF(tblOrdenes[[#This Row],[tipo_ot]]="","",_xlfn.XLOOKUP(tblOrdenes[[#This Row],[tipo_ot]],tblTiposOT[codigo],tblTiposOT[clasificacion],"sin_clasificar"))</f>
        <v/>
      </c>
      <c r="U200" s="3">
        <f>IF(tblOrdenes[[#This Row],[centro_costo]]="","",_xlfn.XLOOKUP(tblOrdenes[[#This Row],[centro_costo]],tblCECO[codigo],tblCECO[linea],"(sin catálogo)"))</f>
        <v/>
      </c>
      <c r="V200" s="3">
        <f>IF(tblOrdenes[[#This Row],[centro_costo]]="","",_xlfn.XLOOKUP(tblOrdenes[[#This Row],[centro_costo]],tblCECO[codigo],tblCECO[area],"(sin catálogo)"))</f>
        <v/>
      </c>
      <c r="W2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0" s="3">
        <f>IF(tblOrdenes[[#This Row],[centro_costo]]="","",_xlfn.XLOOKUP(tblOrdenes[[#This Row],[centro_costo]],tblCECO[codigo],tblCECO[coordinador],"(sin catálogo)"))</f>
        <v/>
      </c>
      <c r="Y200" s="3">
        <f>IF(tblOrdenes[[#This Row],[puesto_trabajo]]="","",_xlfn.XLOOKUP(tblOrdenes[[#This Row],[puesto_trabajo]],tblPuestos[codigo],tblPuestos[especialidad],"(sin catálogo)"))</f>
        <v/>
      </c>
      <c r="Z200" s="3">
        <f>IF(tblOrdenes[[#This Row],[cod_actividad]]="","",_xlfn.XLOOKUP(tblOrdenes[[#This Row],[cod_actividad]],tblActividades[codigo],tblActividades[descripcion],"(sin catálogo)"))</f>
        <v/>
      </c>
      <c r="AA200" s="13">
        <f>IF(tblOrdenes[[#This Row],[fecha_inicio]]="","",TODAY()-tblOrdenes[[#This Row],[fecha_inicio]])</f>
        <v/>
      </c>
      <c r="AB2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0" s="3">
        <f>IF(tblOrdenes[[#This Row],[backlog_habiles]]="","",IF(tblOrdenes[[#This Row],[backlog_habiles]]&lt;0,"FUTURO",IF(tblOrdenes[[#This Row],[backlog_habiles]]&gt;p_dias_backlog_max,"BACKLOG","MES CORRIENTE")))</f>
        <v/>
      </c>
      <c r="AD200" s="3">
        <f>IF(tblOrdenes[[#This Row],[backlog_habiles]]="",FALSE,AND(tblOrdenes[[#This Row],[backlog_habiles]]&gt;p_dias_backlog_min,tblOrdenes[[#This Row],[backlog_habiles]]&lt;=p_dias_backlog_max))</f>
        <v/>
      </c>
      <c r="AE200" s="6" t="inlineStr"/>
      <c r="AF2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0" s="11">
        <f>IF(tblOrdenes[[#This Row],[orden]]="","",_xlfn.XLOOKUP(tblOrdenes[[#This Row],[id_operacion]],tblEjecucion[id_operacion],tblEjecucion[precio],0))</f>
        <v/>
      </c>
      <c r="AJ200" s="11">
        <f>IF(tblOrdenes[[#This Row],[orden]]="","",MAX(0,_xlfn.XLOOKUP(tblOrdenes[[#This Row],[id_operacion]],tblEjecucion[id_operacion],tblEjecucion[costo_plan_total],0)-tblOrdenes[[#This Row],[costo_servicio]]))</f>
        <v/>
      </c>
      <c r="AK200" s="11">
        <f>IF(tblOrdenes[[#This Row],[orden]]="","",tblOrdenes[[#This Row],[costo_servicio]]+tblOrdenes[[#This Row],[costo_materiales]])</f>
        <v/>
      </c>
      <c r="AL200" s="6" t="inlineStr"/>
      <c r="AM200" s="6" t="inlineStr"/>
      <c r="AN200" s="6" t="inlineStr"/>
      <c r="AO200" s="3">
        <f>IF(tblOrdenes[[#This Row],[link_checklist]]="","",HYPERLINK(p_ruta_base_checklists&amp;tblOrdenes[[#This Row],[link_checklist]],"abrir"))</f>
        <v/>
      </c>
      <c r="AP200" s="6" t="inlineStr"/>
      <c r="AQ200" s="3">
        <f>IF(tblOrdenes[[#This Row],[orden]]="","",tblOrdenes[[#This Row],[orden]]&amp;IF(tblOrdenes[[#This Row],[operacion]]="","0010",tblOrdenes[[#This Row],[operacion]]))</f>
        <v/>
      </c>
    </row>
    <row r="201">
      <c r="A201" s="3" t="inlineStr">
        <is>
          <t>OT-000198</t>
        </is>
      </c>
      <c r="B201" s="3" t="inlineStr">
        <is>
          <t>0010</t>
        </is>
      </c>
      <c r="C201" s="3" t="inlineStr">
        <is>
          <t>Reparación de falla — EQ-108</t>
        </is>
      </c>
      <c r="D201" s="3" t="inlineStr">
        <is>
          <t>Reparación de falla en EQ-108</t>
        </is>
      </c>
      <c r="E201" s="3" t="inlineStr">
        <is>
          <t>EQ-108</t>
        </is>
      </c>
      <c r="F201" s="3" t="inlineStr">
        <is>
          <t>CC-220</t>
        </is>
      </c>
      <c r="G201" s="3" t="inlineStr">
        <is>
          <t>PU-ELE</t>
        </is>
      </c>
      <c r="H201" s="3" t="inlineStr">
        <is>
          <t>ACT-03</t>
        </is>
      </c>
      <c r="I201" s="3" t="inlineStr">
        <is>
          <t>TIPO-C1</t>
        </is>
      </c>
      <c r="J201" s="12" t="n">
        <v>46176</v>
      </c>
      <c r="K201" s="3" t="n">
        <v>2</v>
      </c>
      <c r="L201" s="11" t="n">
        <v>80</v>
      </c>
      <c r="M2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1" s="3">
        <f>IF(tblOrdenes[[#This Row],[fecha_inicio]]="","",YEAR(tblOrdenes[[#This Row],[fecha_inicio]]))</f>
        <v/>
      </c>
      <c r="Q201" s="3">
        <f>IF(tblOrdenes[[#This Row],[fecha_inicio]]="","",MONTH(tblOrdenes[[#This Row],[fecha_inicio]]))</f>
        <v/>
      </c>
      <c r="R201" s="3">
        <f>IF(tblOrdenes[[#This Row],[fecha_inicio]]="","",INDEX(lista_dias,WEEKDAY(tblOrdenes[[#This Row],[fecha_inicio]],2)))</f>
        <v/>
      </c>
      <c r="S2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1" s="3">
        <f>IF(tblOrdenes[[#This Row],[tipo_ot]]="","",_xlfn.XLOOKUP(tblOrdenes[[#This Row],[tipo_ot]],tblTiposOT[codigo],tblTiposOT[clasificacion],"sin_clasificar"))</f>
        <v/>
      </c>
      <c r="U201" s="3">
        <f>IF(tblOrdenes[[#This Row],[centro_costo]]="","",_xlfn.XLOOKUP(tblOrdenes[[#This Row],[centro_costo]],tblCECO[codigo],tblCECO[linea],"(sin catálogo)"))</f>
        <v/>
      </c>
      <c r="V201" s="3">
        <f>IF(tblOrdenes[[#This Row],[centro_costo]]="","",_xlfn.XLOOKUP(tblOrdenes[[#This Row],[centro_costo]],tblCECO[codigo],tblCECO[area],"(sin catálogo)"))</f>
        <v/>
      </c>
      <c r="W2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1" s="3">
        <f>IF(tblOrdenes[[#This Row],[centro_costo]]="","",_xlfn.XLOOKUP(tblOrdenes[[#This Row],[centro_costo]],tblCECO[codigo],tblCECO[coordinador],"(sin catálogo)"))</f>
        <v/>
      </c>
      <c r="Y201" s="3">
        <f>IF(tblOrdenes[[#This Row],[puesto_trabajo]]="","",_xlfn.XLOOKUP(tblOrdenes[[#This Row],[puesto_trabajo]],tblPuestos[codigo],tblPuestos[especialidad],"(sin catálogo)"))</f>
        <v/>
      </c>
      <c r="Z201" s="3">
        <f>IF(tblOrdenes[[#This Row],[cod_actividad]]="","",_xlfn.XLOOKUP(tblOrdenes[[#This Row],[cod_actividad]],tblActividades[codigo],tblActividades[descripcion],"(sin catálogo)"))</f>
        <v/>
      </c>
      <c r="AA201" s="13">
        <f>IF(tblOrdenes[[#This Row],[fecha_inicio]]="","",TODAY()-tblOrdenes[[#This Row],[fecha_inicio]])</f>
        <v/>
      </c>
      <c r="AB2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1" s="3">
        <f>IF(tblOrdenes[[#This Row],[backlog_habiles]]="","",IF(tblOrdenes[[#This Row],[backlog_habiles]]&lt;0,"FUTURO",IF(tblOrdenes[[#This Row],[backlog_habiles]]&gt;p_dias_backlog_max,"BACKLOG","MES CORRIENTE")))</f>
        <v/>
      </c>
      <c r="AD201" s="3">
        <f>IF(tblOrdenes[[#This Row],[backlog_habiles]]="",FALSE,AND(tblOrdenes[[#This Row],[backlog_habiles]]&gt;p_dias_backlog_min,tblOrdenes[[#This Row],[backlog_habiles]]&lt;=p_dias_backlog_max))</f>
        <v/>
      </c>
      <c r="AE201" s="6" t="inlineStr"/>
      <c r="AF2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1" s="11">
        <f>IF(tblOrdenes[[#This Row],[orden]]="","",_xlfn.XLOOKUP(tblOrdenes[[#This Row],[id_operacion]],tblEjecucion[id_operacion],tblEjecucion[precio],0))</f>
        <v/>
      </c>
      <c r="AJ201" s="11">
        <f>IF(tblOrdenes[[#This Row],[orden]]="","",MAX(0,_xlfn.XLOOKUP(tblOrdenes[[#This Row],[id_operacion]],tblEjecucion[id_operacion],tblEjecucion[costo_plan_total],0)-tblOrdenes[[#This Row],[costo_servicio]]))</f>
        <v/>
      </c>
      <c r="AK201" s="11">
        <f>IF(tblOrdenes[[#This Row],[orden]]="","",tblOrdenes[[#This Row],[costo_servicio]]+tblOrdenes[[#This Row],[costo_materiales]])</f>
        <v/>
      </c>
      <c r="AL201" s="6" t="inlineStr"/>
      <c r="AM201" s="6" t="inlineStr"/>
      <c r="AN201" s="6" t="inlineStr"/>
      <c r="AO201" s="3">
        <f>IF(tblOrdenes[[#This Row],[link_checklist]]="","",HYPERLINK(p_ruta_base_checklists&amp;tblOrdenes[[#This Row],[link_checklist]],"abrir"))</f>
        <v/>
      </c>
      <c r="AP201" s="6" t="inlineStr"/>
      <c r="AQ201" s="3">
        <f>IF(tblOrdenes[[#This Row],[orden]]="","",tblOrdenes[[#This Row],[orden]]&amp;IF(tblOrdenes[[#This Row],[operacion]]="","0010",tblOrdenes[[#This Row],[operacion]]))</f>
        <v/>
      </c>
    </row>
    <row r="202">
      <c r="A202" s="3" t="inlineStr">
        <is>
          <t>OT-000199</t>
        </is>
      </c>
      <c r="B202" s="3" t="inlineStr">
        <is>
          <t>0010</t>
        </is>
      </c>
      <c r="C202" s="3" t="inlineStr">
        <is>
          <t>Reparación de falla — EQ-109</t>
        </is>
      </c>
      <c r="D202" s="3" t="inlineStr">
        <is>
          <t>Reparación de falla en EQ-109</t>
        </is>
      </c>
      <c r="E202" s="3" t="inlineStr">
        <is>
          <t>EQ-109</t>
        </is>
      </c>
      <c r="F202" s="3" t="inlineStr">
        <is>
          <t>CC-220</t>
        </is>
      </c>
      <c r="G202" s="3" t="inlineStr">
        <is>
          <t>PU-ELE</t>
        </is>
      </c>
      <c r="H202" s="3" t="inlineStr">
        <is>
          <t>ACT-03</t>
        </is>
      </c>
      <c r="I202" s="3" t="inlineStr">
        <is>
          <t>TIPO-C2</t>
        </is>
      </c>
      <c r="J202" s="12" t="n">
        <v>46175</v>
      </c>
      <c r="K202" s="3" t="n">
        <v>2</v>
      </c>
      <c r="L202" s="11" t="n">
        <v>80</v>
      </c>
      <c r="M2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2" s="3">
        <f>IF(tblOrdenes[[#This Row],[fecha_inicio]]="","",YEAR(tblOrdenes[[#This Row],[fecha_inicio]]))</f>
        <v/>
      </c>
      <c r="Q202" s="3">
        <f>IF(tblOrdenes[[#This Row],[fecha_inicio]]="","",MONTH(tblOrdenes[[#This Row],[fecha_inicio]]))</f>
        <v/>
      </c>
      <c r="R202" s="3">
        <f>IF(tblOrdenes[[#This Row],[fecha_inicio]]="","",INDEX(lista_dias,WEEKDAY(tblOrdenes[[#This Row],[fecha_inicio]],2)))</f>
        <v/>
      </c>
      <c r="S2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2" s="3">
        <f>IF(tblOrdenes[[#This Row],[tipo_ot]]="","",_xlfn.XLOOKUP(tblOrdenes[[#This Row],[tipo_ot]],tblTiposOT[codigo],tblTiposOT[clasificacion],"sin_clasificar"))</f>
        <v/>
      </c>
      <c r="U202" s="3">
        <f>IF(tblOrdenes[[#This Row],[centro_costo]]="","",_xlfn.XLOOKUP(tblOrdenes[[#This Row],[centro_costo]],tblCECO[codigo],tblCECO[linea],"(sin catálogo)"))</f>
        <v/>
      </c>
      <c r="V202" s="3">
        <f>IF(tblOrdenes[[#This Row],[centro_costo]]="","",_xlfn.XLOOKUP(tblOrdenes[[#This Row],[centro_costo]],tblCECO[codigo],tblCECO[area],"(sin catálogo)"))</f>
        <v/>
      </c>
      <c r="W2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2" s="3">
        <f>IF(tblOrdenes[[#This Row],[centro_costo]]="","",_xlfn.XLOOKUP(tblOrdenes[[#This Row],[centro_costo]],tblCECO[codigo],tblCECO[coordinador],"(sin catálogo)"))</f>
        <v/>
      </c>
      <c r="Y202" s="3">
        <f>IF(tblOrdenes[[#This Row],[puesto_trabajo]]="","",_xlfn.XLOOKUP(tblOrdenes[[#This Row],[puesto_trabajo]],tblPuestos[codigo],tblPuestos[especialidad],"(sin catálogo)"))</f>
        <v/>
      </c>
      <c r="Z202" s="3">
        <f>IF(tblOrdenes[[#This Row],[cod_actividad]]="","",_xlfn.XLOOKUP(tblOrdenes[[#This Row],[cod_actividad]],tblActividades[codigo],tblActividades[descripcion],"(sin catálogo)"))</f>
        <v/>
      </c>
      <c r="AA202" s="13">
        <f>IF(tblOrdenes[[#This Row],[fecha_inicio]]="","",TODAY()-tblOrdenes[[#This Row],[fecha_inicio]])</f>
        <v/>
      </c>
      <c r="AB2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2" s="3">
        <f>IF(tblOrdenes[[#This Row],[backlog_habiles]]="","",IF(tblOrdenes[[#This Row],[backlog_habiles]]&lt;0,"FUTURO",IF(tblOrdenes[[#This Row],[backlog_habiles]]&gt;p_dias_backlog_max,"BACKLOG","MES CORRIENTE")))</f>
        <v/>
      </c>
      <c r="AD202" s="3">
        <f>IF(tblOrdenes[[#This Row],[backlog_habiles]]="",FALSE,AND(tblOrdenes[[#This Row],[backlog_habiles]]&gt;p_dias_backlog_min,tblOrdenes[[#This Row],[backlog_habiles]]&lt;=p_dias_backlog_max))</f>
        <v/>
      </c>
      <c r="AE202" s="6" t="inlineStr"/>
      <c r="AF2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2" s="11">
        <f>IF(tblOrdenes[[#This Row],[orden]]="","",_xlfn.XLOOKUP(tblOrdenes[[#This Row],[id_operacion]],tblEjecucion[id_operacion],tblEjecucion[precio],0))</f>
        <v/>
      </c>
      <c r="AJ202" s="11">
        <f>IF(tblOrdenes[[#This Row],[orden]]="","",MAX(0,_xlfn.XLOOKUP(tblOrdenes[[#This Row],[id_operacion]],tblEjecucion[id_operacion],tblEjecucion[costo_plan_total],0)-tblOrdenes[[#This Row],[costo_servicio]]))</f>
        <v/>
      </c>
      <c r="AK202" s="11">
        <f>IF(tblOrdenes[[#This Row],[orden]]="","",tblOrdenes[[#This Row],[costo_servicio]]+tblOrdenes[[#This Row],[costo_materiales]])</f>
        <v/>
      </c>
      <c r="AL202" s="6" t="inlineStr"/>
      <c r="AM202" s="6" t="inlineStr"/>
      <c r="AN202" s="6" t="inlineStr"/>
      <c r="AO202" s="3">
        <f>IF(tblOrdenes[[#This Row],[link_checklist]]="","",HYPERLINK(p_ruta_base_checklists&amp;tblOrdenes[[#This Row],[link_checklist]],"abrir"))</f>
        <v/>
      </c>
      <c r="AP202" s="6" t="inlineStr"/>
      <c r="AQ202" s="3">
        <f>IF(tblOrdenes[[#This Row],[orden]]="","",tblOrdenes[[#This Row],[orden]]&amp;IF(tblOrdenes[[#This Row],[operacion]]="","0010",tblOrdenes[[#This Row],[operacion]]))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2" t="n">
        <v>46174</v>
      </c>
      <c r="K203" s="3" t="n">
        <v>2</v>
      </c>
      <c r="L203" s="11" t="n">
        <v>80</v>
      </c>
      <c r="M2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3" s="3">
        <f>IF(tblOrdenes[[#This Row],[fecha_inicio]]="","",YEAR(tblOrdenes[[#This Row],[fecha_inicio]]))</f>
        <v/>
      </c>
      <c r="Q203" s="3">
        <f>IF(tblOrdenes[[#This Row],[fecha_inicio]]="","",MONTH(tblOrdenes[[#This Row],[fecha_inicio]]))</f>
        <v/>
      </c>
      <c r="R203" s="3">
        <f>IF(tblOrdenes[[#This Row],[fecha_inicio]]="","",INDEX(lista_dias,WEEKDAY(tblOrdenes[[#This Row],[fecha_inicio]],2)))</f>
        <v/>
      </c>
      <c r="S2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3" s="3">
        <f>IF(tblOrdenes[[#This Row],[tipo_ot]]="","",_xlfn.XLOOKUP(tblOrdenes[[#This Row],[tipo_ot]],tblTiposOT[codigo],tblTiposOT[clasificacion],"sin_clasificar"))</f>
        <v/>
      </c>
      <c r="U203" s="3">
        <f>IF(tblOrdenes[[#This Row],[centro_costo]]="","",_xlfn.XLOOKUP(tblOrdenes[[#This Row],[centro_costo]],tblCECO[codigo],tblCECO[linea],"(sin catálogo)"))</f>
        <v/>
      </c>
      <c r="V203" s="3">
        <f>IF(tblOrdenes[[#This Row],[centro_costo]]="","",_xlfn.XLOOKUP(tblOrdenes[[#This Row],[centro_costo]],tblCECO[codigo],tblCECO[area],"(sin catálogo)"))</f>
        <v/>
      </c>
      <c r="W2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3" s="3">
        <f>IF(tblOrdenes[[#This Row],[centro_costo]]="","",_xlfn.XLOOKUP(tblOrdenes[[#This Row],[centro_costo]],tblCECO[codigo],tblCECO[coordinador],"(sin catálogo)"))</f>
        <v/>
      </c>
      <c r="Y203" s="3">
        <f>IF(tblOrdenes[[#This Row],[puesto_trabajo]]="","",_xlfn.XLOOKUP(tblOrdenes[[#This Row],[puesto_trabajo]],tblPuestos[codigo],tblPuestos[especialidad],"(sin catálogo)"))</f>
        <v/>
      </c>
      <c r="Z203" s="3">
        <f>IF(tblOrdenes[[#This Row],[cod_actividad]]="","",_xlfn.XLOOKUP(tblOrdenes[[#This Row],[cod_actividad]],tblActividades[codigo],tblActividades[descripcion],"(sin catálogo)"))</f>
        <v/>
      </c>
      <c r="AA203" s="13">
        <f>IF(tblOrdenes[[#This Row],[fecha_inicio]]="","",TODAY()-tblOrdenes[[#This Row],[fecha_inicio]])</f>
        <v/>
      </c>
      <c r="AB2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3" s="3">
        <f>IF(tblOrdenes[[#This Row],[backlog_habiles]]="","",IF(tblOrdenes[[#This Row],[backlog_habiles]]&lt;0,"FUTURO",IF(tblOrdenes[[#This Row],[backlog_habiles]]&gt;p_dias_backlog_max,"BACKLOG","MES CORRIENTE")))</f>
        <v/>
      </c>
      <c r="AD203" s="3">
        <f>IF(tblOrdenes[[#This Row],[backlog_habiles]]="",FALSE,AND(tblOrdenes[[#This Row],[backlog_habiles]]&gt;p_dias_backlog_min,tblOrdenes[[#This Row],[backlog_habiles]]&lt;=p_dias_backlog_max))</f>
        <v/>
      </c>
      <c r="AE203" s="6" t="inlineStr"/>
      <c r="AF2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3" s="11">
        <f>IF(tblOrdenes[[#This Row],[orden]]="","",_xlfn.XLOOKUP(tblOrdenes[[#This Row],[id_operacion]],tblEjecucion[id_operacion],tblEjecucion[precio],0))</f>
        <v/>
      </c>
      <c r="AJ203" s="11">
        <f>IF(tblOrdenes[[#This Row],[orden]]="","",MAX(0,_xlfn.XLOOKUP(tblOrdenes[[#This Row],[id_operacion]],tblEjecucion[id_operacion],tblEjecucion[costo_plan_total],0)-tblOrdenes[[#This Row],[costo_servicio]]))</f>
        <v/>
      </c>
      <c r="AK203" s="11">
        <f>IF(tblOrdenes[[#This Row],[orden]]="","",tblOrdenes[[#This Row],[costo_servicio]]+tblOrdenes[[#This Row],[costo_materiales]])</f>
        <v/>
      </c>
      <c r="AL203" s="6" t="inlineStr"/>
      <c r="AM203" s="6" t="inlineStr"/>
      <c r="AN203" s="6" t="inlineStr"/>
      <c r="AO203" s="3">
        <f>IF(tblOrdenes[[#This Row],[link_checklist]]="","",HYPERLINK(p_ruta_base_checklists&amp;tblOrdenes[[#This Row],[link_checklist]],"abrir"))</f>
        <v/>
      </c>
      <c r="AP203" s="6" t="inlineStr"/>
      <c r="AQ203" s="3">
        <f>IF(tblOrdenes[[#This Row],[orden]]="","",tblOrdenes[[#This Row],[orden]]&amp;IF(tblOrdenes[[#This Row],[operacion]]="","0010",tblOrdenes[[#This Row],[operacion]]))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2" t="n"/>
      <c r="K204" s="3" t="n"/>
      <c r="L204" s="11" t="n"/>
      <c r="M2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4" s="3">
        <f>IF(tblOrdenes[[#This Row],[fecha_inicio]]="","",YEAR(tblOrdenes[[#This Row],[fecha_inicio]]))</f>
        <v/>
      </c>
      <c r="Q204" s="3">
        <f>IF(tblOrdenes[[#This Row],[fecha_inicio]]="","",MONTH(tblOrdenes[[#This Row],[fecha_inicio]]))</f>
        <v/>
      </c>
      <c r="R204" s="3">
        <f>IF(tblOrdenes[[#This Row],[fecha_inicio]]="","",INDEX(lista_dias,WEEKDAY(tblOrdenes[[#This Row],[fecha_inicio]],2)))</f>
        <v/>
      </c>
      <c r="S2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4" s="3">
        <f>IF(tblOrdenes[[#This Row],[tipo_ot]]="","",_xlfn.XLOOKUP(tblOrdenes[[#This Row],[tipo_ot]],tblTiposOT[codigo],tblTiposOT[clasificacion],"sin_clasificar"))</f>
        <v/>
      </c>
      <c r="U204" s="3">
        <f>IF(tblOrdenes[[#This Row],[centro_costo]]="","",_xlfn.XLOOKUP(tblOrdenes[[#This Row],[centro_costo]],tblCECO[codigo],tblCECO[linea],"(sin catálogo)"))</f>
        <v/>
      </c>
      <c r="V204" s="3">
        <f>IF(tblOrdenes[[#This Row],[centro_costo]]="","",_xlfn.XLOOKUP(tblOrdenes[[#This Row],[centro_costo]],tblCECO[codigo],tblCECO[area],"(sin catálogo)"))</f>
        <v/>
      </c>
      <c r="W2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4" s="3">
        <f>IF(tblOrdenes[[#This Row],[centro_costo]]="","",_xlfn.XLOOKUP(tblOrdenes[[#This Row],[centro_costo]],tblCECO[codigo],tblCECO[coordinador],"(sin catálogo)"))</f>
        <v/>
      </c>
      <c r="Y204" s="3">
        <f>IF(tblOrdenes[[#This Row],[puesto_trabajo]]="","",_xlfn.XLOOKUP(tblOrdenes[[#This Row],[puesto_trabajo]],tblPuestos[codigo],tblPuestos[especialidad],"(sin catálogo)"))</f>
        <v/>
      </c>
      <c r="Z204" s="3">
        <f>IF(tblOrdenes[[#This Row],[cod_actividad]]="","",_xlfn.XLOOKUP(tblOrdenes[[#This Row],[cod_actividad]],tblActividades[codigo],tblActividades[descripcion],"(sin catálogo)"))</f>
        <v/>
      </c>
      <c r="AA204" s="13">
        <f>IF(tblOrdenes[[#This Row],[fecha_inicio]]="","",TODAY()-tblOrdenes[[#This Row],[fecha_inicio]])</f>
        <v/>
      </c>
      <c r="AB2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4" s="3">
        <f>IF(tblOrdenes[[#This Row],[backlog_habiles]]="","",IF(tblOrdenes[[#This Row],[backlog_habiles]]&lt;0,"FUTURO",IF(tblOrdenes[[#This Row],[backlog_habiles]]&gt;p_dias_backlog_max,"BACKLOG","MES CORRIENTE")))</f>
        <v/>
      </c>
      <c r="AD204" s="3">
        <f>IF(tblOrdenes[[#This Row],[backlog_habiles]]="",FALSE,AND(tblOrdenes[[#This Row],[backlog_habiles]]&gt;p_dias_backlog_min,tblOrdenes[[#This Row],[backlog_habiles]]&lt;=p_dias_backlog_max))</f>
        <v/>
      </c>
      <c r="AE204" s="6" t="n"/>
      <c r="AF2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4" s="11">
        <f>IF(tblOrdenes[[#This Row],[orden]]="","",_xlfn.XLOOKUP(tblOrdenes[[#This Row],[id_operacion]],tblEjecucion[id_operacion],tblEjecucion[precio],0))</f>
        <v/>
      </c>
      <c r="AJ204" s="11">
        <f>IF(tblOrdenes[[#This Row],[orden]]="","",MAX(0,_xlfn.XLOOKUP(tblOrdenes[[#This Row],[id_operacion]],tblEjecucion[id_operacion],tblEjecucion[costo_plan_total],0)-tblOrdenes[[#This Row],[costo_servicio]]))</f>
        <v/>
      </c>
      <c r="AK204" s="11">
        <f>IF(tblOrdenes[[#This Row],[orden]]="","",tblOrdenes[[#This Row],[costo_servicio]]+tblOrdenes[[#This Row],[costo_materiales]])</f>
        <v/>
      </c>
      <c r="AL204" s="6" t="n"/>
      <c r="AM204" s="6" t="n"/>
      <c r="AN204" s="6" t="n"/>
      <c r="AO204" s="3">
        <f>IF(tblOrdenes[[#This Row],[link_checklist]]="","",HYPERLINK(p_ruta_base_checklists&amp;tblOrdenes[[#This Row],[link_checklist]],"abrir"))</f>
        <v/>
      </c>
      <c r="AP204" s="6" t="n"/>
      <c r="AQ204" s="3">
        <f>IF(tblOrdenes[[#This Row],[orden]]="","",tblOrdenes[[#This Row],[orden]]&amp;IF(tblOrdenes[[#This Row],[operacion]]="","0010",tblOrdenes[[#This Row],[operacion]]))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2" t="n"/>
      <c r="K205" s="3" t="n"/>
      <c r="L205" s="11" t="n"/>
      <c r="M2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5" s="3">
        <f>IF(tblOrdenes[[#This Row],[fecha_inicio]]="","",YEAR(tblOrdenes[[#This Row],[fecha_inicio]]))</f>
        <v/>
      </c>
      <c r="Q205" s="3">
        <f>IF(tblOrdenes[[#This Row],[fecha_inicio]]="","",MONTH(tblOrdenes[[#This Row],[fecha_inicio]]))</f>
        <v/>
      </c>
      <c r="R205" s="3">
        <f>IF(tblOrdenes[[#This Row],[fecha_inicio]]="","",INDEX(lista_dias,WEEKDAY(tblOrdenes[[#This Row],[fecha_inicio]],2)))</f>
        <v/>
      </c>
      <c r="S2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5" s="3">
        <f>IF(tblOrdenes[[#This Row],[tipo_ot]]="","",_xlfn.XLOOKUP(tblOrdenes[[#This Row],[tipo_ot]],tblTiposOT[codigo],tblTiposOT[clasificacion],"sin_clasificar"))</f>
        <v/>
      </c>
      <c r="U205" s="3">
        <f>IF(tblOrdenes[[#This Row],[centro_costo]]="","",_xlfn.XLOOKUP(tblOrdenes[[#This Row],[centro_costo]],tblCECO[codigo],tblCECO[linea],"(sin catálogo)"))</f>
        <v/>
      </c>
      <c r="V205" s="3">
        <f>IF(tblOrdenes[[#This Row],[centro_costo]]="","",_xlfn.XLOOKUP(tblOrdenes[[#This Row],[centro_costo]],tblCECO[codigo],tblCECO[area],"(sin catálogo)"))</f>
        <v/>
      </c>
      <c r="W2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5" s="3">
        <f>IF(tblOrdenes[[#This Row],[centro_costo]]="","",_xlfn.XLOOKUP(tblOrdenes[[#This Row],[centro_costo]],tblCECO[codigo],tblCECO[coordinador],"(sin catálogo)"))</f>
        <v/>
      </c>
      <c r="Y205" s="3">
        <f>IF(tblOrdenes[[#This Row],[puesto_trabajo]]="","",_xlfn.XLOOKUP(tblOrdenes[[#This Row],[puesto_trabajo]],tblPuestos[codigo],tblPuestos[especialidad],"(sin catálogo)"))</f>
        <v/>
      </c>
      <c r="Z205" s="3">
        <f>IF(tblOrdenes[[#This Row],[cod_actividad]]="","",_xlfn.XLOOKUP(tblOrdenes[[#This Row],[cod_actividad]],tblActividades[codigo],tblActividades[descripcion],"(sin catálogo)"))</f>
        <v/>
      </c>
      <c r="AA205" s="13">
        <f>IF(tblOrdenes[[#This Row],[fecha_inicio]]="","",TODAY()-tblOrdenes[[#This Row],[fecha_inicio]])</f>
        <v/>
      </c>
      <c r="AB2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5" s="3">
        <f>IF(tblOrdenes[[#This Row],[backlog_habiles]]="","",IF(tblOrdenes[[#This Row],[backlog_habiles]]&lt;0,"FUTURO",IF(tblOrdenes[[#This Row],[backlog_habiles]]&gt;p_dias_backlog_max,"BACKLOG","MES CORRIENTE")))</f>
        <v/>
      </c>
      <c r="AD205" s="3">
        <f>IF(tblOrdenes[[#This Row],[backlog_habiles]]="",FALSE,AND(tblOrdenes[[#This Row],[backlog_habiles]]&gt;p_dias_backlog_min,tblOrdenes[[#This Row],[backlog_habiles]]&lt;=p_dias_backlog_max))</f>
        <v/>
      </c>
      <c r="AE205" s="6" t="n"/>
      <c r="AF2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5" s="11">
        <f>IF(tblOrdenes[[#This Row],[orden]]="","",_xlfn.XLOOKUP(tblOrdenes[[#This Row],[id_operacion]],tblEjecucion[id_operacion],tblEjecucion[precio],0))</f>
        <v/>
      </c>
      <c r="AJ205" s="11">
        <f>IF(tblOrdenes[[#This Row],[orden]]="","",MAX(0,_xlfn.XLOOKUP(tblOrdenes[[#This Row],[id_operacion]],tblEjecucion[id_operacion],tblEjecucion[costo_plan_total],0)-tblOrdenes[[#This Row],[costo_servicio]]))</f>
        <v/>
      </c>
      <c r="AK205" s="11">
        <f>IF(tblOrdenes[[#This Row],[orden]]="","",tblOrdenes[[#This Row],[costo_servicio]]+tblOrdenes[[#This Row],[costo_materiales]])</f>
        <v/>
      </c>
      <c r="AL205" s="6" t="n"/>
      <c r="AM205" s="6" t="n"/>
      <c r="AN205" s="6" t="n"/>
      <c r="AO205" s="3">
        <f>IF(tblOrdenes[[#This Row],[link_checklist]]="","",HYPERLINK(p_ruta_base_checklists&amp;tblOrdenes[[#This Row],[link_checklist]],"abrir"))</f>
        <v/>
      </c>
      <c r="AP205" s="6" t="n"/>
      <c r="AQ205" s="3">
        <f>IF(tblOrdenes[[#This Row],[orden]]="","",tblOrdenes[[#This Row],[orden]]&amp;IF(tblOrdenes[[#This Row],[operacion]]="","0010",tblOrdenes[[#This Row],[operacion]]))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2" t="n"/>
      <c r="K206" s="3" t="n"/>
      <c r="L206" s="11" t="n"/>
      <c r="M2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6" s="3">
        <f>IF(tblOrdenes[[#This Row],[fecha_inicio]]="","",YEAR(tblOrdenes[[#This Row],[fecha_inicio]]))</f>
        <v/>
      </c>
      <c r="Q206" s="3">
        <f>IF(tblOrdenes[[#This Row],[fecha_inicio]]="","",MONTH(tblOrdenes[[#This Row],[fecha_inicio]]))</f>
        <v/>
      </c>
      <c r="R206" s="3">
        <f>IF(tblOrdenes[[#This Row],[fecha_inicio]]="","",INDEX(lista_dias,WEEKDAY(tblOrdenes[[#This Row],[fecha_inicio]],2)))</f>
        <v/>
      </c>
      <c r="S2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6" s="3">
        <f>IF(tblOrdenes[[#This Row],[tipo_ot]]="","",_xlfn.XLOOKUP(tblOrdenes[[#This Row],[tipo_ot]],tblTiposOT[codigo],tblTiposOT[clasificacion],"sin_clasificar"))</f>
        <v/>
      </c>
      <c r="U206" s="3">
        <f>IF(tblOrdenes[[#This Row],[centro_costo]]="","",_xlfn.XLOOKUP(tblOrdenes[[#This Row],[centro_costo]],tblCECO[codigo],tblCECO[linea],"(sin catálogo)"))</f>
        <v/>
      </c>
      <c r="V206" s="3">
        <f>IF(tblOrdenes[[#This Row],[centro_costo]]="","",_xlfn.XLOOKUP(tblOrdenes[[#This Row],[centro_costo]],tblCECO[codigo],tblCECO[area],"(sin catálogo)"))</f>
        <v/>
      </c>
      <c r="W2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6" s="3">
        <f>IF(tblOrdenes[[#This Row],[centro_costo]]="","",_xlfn.XLOOKUP(tblOrdenes[[#This Row],[centro_costo]],tblCECO[codigo],tblCECO[coordinador],"(sin catálogo)"))</f>
        <v/>
      </c>
      <c r="Y206" s="3">
        <f>IF(tblOrdenes[[#This Row],[puesto_trabajo]]="","",_xlfn.XLOOKUP(tblOrdenes[[#This Row],[puesto_trabajo]],tblPuestos[codigo],tblPuestos[especialidad],"(sin catálogo)"))</f>
        <v/>
      </c>
      <c r="Z206" s="3">
        <f>IF(tblOrdenes[[#This Row],[cod_actividad]]="","",_xlfn.XLOOKUP(tblOrdenes[[#This Row],[cod_actividad]],tblActividades[codigo],tblActividades[descripcion],"(sin catálogo)"))</f>
        <v/>
      </c>
      <c r="AA206" s="13">
        <f>IF(tblOrdenes[[#This Row],[fecha_inicio]]="","",TODAY()-tblOrdenes[[#This Row],[fecha_inicio]])</f>
        <v/>
      </c>
      <c r="AB2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6" s="3">
        <f>IF(tblOrdenes[[#This Row],[backlog_habiles]]="","",IF(tblOrdenes[[#This Row],[backlog_habiles]]&lt;0,"FUTURO",IF(tblOrdenes[[#This Row],[backlog_habiles]]&gt;p_dias_backlog_max,"BACKLOG","MES CORRIENTE")))</f>
        <v/>
      </c>
      <c r="AD206" s="3">
        <f>IF(tblOrdenes[[#This Row],[backlog_habiles]]="",FALSE,AND(tblOrdenes[[#This Row],[backlog_habiles]]&gt;p_dias_backlog_min,tblOrdenes[[#This Row],[backlog_habiles]]&lt;=p_dias_backlog_max))</f>
        <v/>
      </c>
      <c r="AE206" s="6" t="n"/>
      <c r="AF2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6" s="11">
        <f>IF(tblOrdenes[[#This Row],[orden]]="","",_xlfn.XLOOKUP(tblOrdenes[[#This Row],[id_operacion]],tblEjecucion[id_operacion],tblEjecucion[precio],0))</f>
        <v/>
      </c>
      <c r="AJ206" s="11">
        <f>IF(tblOrdenes[[#This Row],[orden]]="","",MAX(0,_xlfn.XLOOKUP(tblOrdenes[[#This Row],[id_operacion]],tblEjecucion[id_operacion],tblEjecucion[costo_plan_total],0)-tblOrdenes[[#This Row],[costo_servicio]]))</f>
        <v/>
      </c>
      <c r="AK206" s="11">
        <f>IF(tblOrdenes[[#This Row],[orden]]="","",tblOrdenes[[#This Row],[costo_servicio]]+tblOrdenes[[#This Row],[costo_materiales]])</f>
        <v/>
      </c>
      <c r="AL206" s="6" t="n"/>
      <c r="AM206" s="6" t="n"/>
      <c r="AN206" s="6" t="n"/>
      <c r="AO206" s="3">
        <f>IF(tblOrdenes[[#This Row],[link_checklist]]="","",HYPERLINK(p_ruta_base_checklists&amp;tblOrdenes[[#This Row],[link_checklist]],"abrir"))</f>
        <v/>
      </c>
      <c r="AP206" s="6" t="n"/>
      <c r="AQ206" s="3">
        <f>IF(tblOrdenes[[#This Row],[orden]]="","",tblOrdenes[[#This Row],[orden]]&amp;IF(tblOrdenes[[#This Row],[operacion]]="","0010",tblOrdenes[[#This Row],[operacion]]))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2" t="n"/>
      <c r="K207" s="3" t="n"/>
      <c r="L207" s="11" t="n"/>
      <c r="M2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7" s="3">
        <f>IF(tblOrdenes[[#This Row],[fecha_inicio]]="","",YEAR(tblOrdenes[[#This Row],[fecha_inicio]]))</f>
        <v/>
      </c>
      <c r="Q207" s="3">
        <f>IF(tblOrdenes[[#This Row],[fecha_inicio]]="","",MONTH(tblOrdenes[[#This Row],[fecha_inicio]]))</f>
        <v/>
      </c>
      <c r="R207" s="3">
        <f>IF(tblOrdenes[[#This Row],[fecha_inicio]]="","",INDEX(lista_dias,WEEKDAY(tblOrdenes[[#This Row],[fecha_inicio]],2)))</f>
        <v/>
      </c>
      <c r="S2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7" s="3">
        <f>IF(tblOrdenes[[#This Row],[tipo_ot]]="","",_xlfn.XLOOKUP(tblOrdenes[[#This Row],[tipo_ot]],tblTiposOT[codigo],tblTiposOT[clasificacion],"sin_clasificar"))</f>
        <v/>
      </c>
      <c r="U207" s="3">
        <f>IF(tblOrdenes[[#This Row],[centro_costo]]="","",_xlfn.XLOOKUP(tblOrdenes[[#This Row],[centro_costo]],tblCECO[codigo],tblCECO[linea],"(sin catálogo)"))</f>
        <v/>
      </c>
      <c r="V207" s="3">
        <f>IF(tblOrdenes[[#This Row],[centro_costo]]="","",_xlfn.XLOOKUP(tblOrdenes[[#This Row],[centro_costo]],tblCECO[codigo],tblCECO[area],"(sin catálogo)"))</f>
        <v/>
      </c>
      <c r="W2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7" s="3">
        <f>IF(tblOrdenes[[#This Row],[centro_costo]]="","",_xlfn.XLOOKUP(tblOrdenes[[#This Row],[centro_costo]],tblCECO[codigo],tblCECO[coordinador],"(sin catálogo)"))</f>
        <v/>
      </c>
      <c r="Y207" s="3">
        <f>IF(tblOrdenes[[#This Row],[puesto_trabajo]]="","",_xlfn.XLOOKUP(tblOrdenes[[#This Row],[puesto_trabajo]],tblPuestos[codigo],tblPuestos[especialidad],"(sin catálogo)"))</f>
        <v/>
      </c>
      <c r="Z207" s="3">
        <f>IF(tblOrdenes[[#This Row],[cod_actividad]]="","",_xlfn.XLOOKUP(tblOrdenes[[#This Row],[cod_actividad]],tblActividades[codigo],tblActividades[descripcion],"(sin catálogo)"))</f>
        <v/>
      </c>
      <c r="AA207" s="13">
        <f>IF(tblOrdenes[[#This Row],[fecha_inicio]]="","",TODAY()-tblOrdenes[[#This Row],[fecha_inicio]])</f>
        <v/>
      </c>
      <c r="AB2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7" s="3">
        <f>IF(tblOrdenes[[#This Row],[backlog_habiles]]="","",IF(tblOrdenes[[#This Row],[backlog_habiles]]&lt;0,"FUTURO",IF(tblOrdenes[[#This Row],[backlog_habiles]]&gt;p_dias_backlog_max,"BACKLOG","MES CORRIENTE")))</f>
        <v/>
      </c>
      <c r="AD207" s="3">
        <f>IF(tblOrdenes[[#This Row],[backlog_habiles]]="",FALSE,AND(tblOrdenes[[#This Row],[backlog_habiles]]&gt;p_dias_backlog_min,tblOrdenes[[#This Row],[backlog_habiles]]&lt;=p_dias_backlog_max))</f>
        <v/>
      </c>
      <c r="AE207" s="6" t="n"/>
      <c r="AF2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7" s="11">
        <f>IF(tblOrdenes[[#This Row],[orden]]="","",_xlfn.XLOOKUP(tblOrdenes[[#This Row],[id_operacion]],tblEjecucion[id_operacion],tblEjecucion[precio],0))</f>
        <v/>
      </c>
      <c r="AJ207" s="11">
        <f>IF(tblOrdenes[[#This Row],[orden]]="","",MAX(0,_xlfn.XLOOKUP(tblOrdenes[[#This Row],[id_operacion]],tblEjecucion[id_operacion],tblEjecucion[costo_plan_total],0)-tblOrdenes[[#This Row],[costo_servicio]]))</f>
        <v/>
      </c>
      <c r="AK207" s="11">
        <f>IF(tblOrdenes[[#This Row],[orden]]="","",tblOrdenes[[#This Row],[costo_servicio]]+tblOrdenes[[#This Row],[costo_materiales]])</f>
        <v/>
      </c>
      <c r="AL207" s="6" t="n"/>
      <c r="AM207" s="6" t="n"/>
      <c r="AN207" s="6" t="n"/>
      <c r="AO207" s="3">
        <f>IF(tblOrdenes[[#This Row],[link_checklist]]="","",HYPERLINK(p_ruta_base_checklists&amp;tblOrdenes[[#This Row],[link_checklist]],"abrir"))</f>
        <v/>
      </c>
      <c r="AP207" s="6" t="n"/>
      <c r="AQ207" s="3">
        <f>IF(tblOrdenes[[#This Row],[orden]]="","",tblOrdenes[[#This Row],[orden]]&amp;IF(tblOrdenes[[#This Row],[operacion]]="","0010",tblOrdenes[[#This Row],[operacion]]))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2" t="n"/>
      <c r="K208" s="3" t="n"/>
      <c r="L208" s="11" t="n"/>
      <c r="M2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8" s="3">
        <f>IF(tblOrdenes[[#This Row],[fecha_inicio]]="","",YEAR(tblOrdenes[[#This Row],[fecha_inicio]]))</f>
        <v/>
      </c>
      <c r="Q208" s="3">
        <f>IF(tblOrdenes[[#This Row],[fecha_inicio]]="","",MONTH(tblOrdenes[[#This Row],[fecha_inicio]]))</f>
        <v/>
      </c>
      <c r="R208" s="3">
        <f>IF(tblOrdenes[[#This Row],[fecha_inicio]]="","",INDEX(lista_dias,WEEKDAY(tblOrdenes[[#This Row],[fecha_inicio]],2)))</f>
        <v/>
      </c>
      <c r="S2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8" s="3">
        <f>IF(tblOrdenes[[#This Row],[tipo_ot]]="","",_xlfn.XLOOKUP(tblOrdenes[[#This Row],[tipo_ot]],tblTiposOT[codigo],tblTiposOT[clasificacion],"sin_clasificar"))</f>
        <v/>
      </c>
      <c r="U208" s="3">
        <f>IF(tblOrdenes[[#This Row],[centro_costo]]="","",_xlfn.XLOOKUP(tblOrdenes[[#This Row],[centro_costo]],tblCECO[codigo],tblCECO[linea],"(sin catálogo)"))</f>
        <v/>
      </c>
      <c r="V208" s="3">
        <f>IF(tblOrdenes[[#This Row],[centro_costo]]="","",_xlfn.XLOOKUP(tblOrdenes[[#This Row],[centro_costo]],tblCECO[codigo],tblCECO[area],"(sin catálogo)"))</f>
        <v/>
      </c>
      <c r="W2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8" s="3">
        <f>IF(tblOrdenes[[#This Row],[centro_costo]]="","",_xlfn.XLOOKUP(tblOrdenes[[#This Row],[centro_costo]],tblCECO[codigo],tblCECO[coordinador],"(sin catálogo)"))</f>
        <v/>
      </c>
      <c r="Y208" s="3">
        <f>IF(tblOrdenes[[#This Row],[puesto_trabajo]]="","",_xlfn.XLOOKUP(tblOrdenes[[#This Row],[puesto_trabajo]],tblPuestos[codigo],tblPuestos[especialidad],"(sin catálogo)"))</f>
        <v/>
      </c>
      <c r="Z208" s="3">
        <f>IF(tblOrdenes[[#This Row],[cod_actividad]]="","",_xlfn.XLOOKUP(tblOrdenes[[#This Row],[cod_actividad]],tblActividades[codigo],tblActividades[descripcion],"(sin catálogo)"))</f>
        <v/>
      </c>
      <c r="AA208" s="13">
        <f>IF(tblOrdenes[[#This Row],[fecha_inicio]]="","",TODAY()-tblOrdenes[[#This Row],[fecha_inicio]])</f>
        <v/>
      </c>
      <c r="AB2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8" s="3">
        <f>IF(tblOrdenes[[#This Row],[backlog_habiles]]="","",IF(tblOrdenes[[#This Row],[backlog_habiles]]&lt;0,"FUTURO",IF(tblOrdenes[[#This Row],[backlog_habiles]]&gt;p_dias_backlog_max,"BACKLOG","MES CORRIENTE")))</f>
        <v/>
      </c>
      <c r="AD208" s="3">
        <f>IF(tblOrdenes[[#This Row],[backlog_habiles]]="",FALSE,AND(tblOrdenes[[#This Row],[backlog_habiles]]&gt;p_dias_backlog_min,tblOrdenes[[#This Row],[backlog_habiles]]&lt;=p_dias_backlog_max))</f>
        <v/>
      </c>
      <c r="AE208" s="6" t="n"/>
      <c r="AF2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8" s="11">
        <f>IF(tblOrdenes[[#This Row],[orden]]="","",_xlfn.XLOOKUP(tblOrdenes[[#This Row],[id_operacion]],tblEjecucion[id_operacion],tblEjecucion[precio],0))</f>
        <v/>
      </c>
      <c r="AJ208" s="11">
        <f>IF(tblOrdenes[[#This Row],[orden]]="","",MAX(0,_xlfn.XLOOKUP(tblOrdenes[[#This Row],[id_operacion]],tblEjecucion[id_operacion],tblEjecucion[costo_plan_total],0)-tblOrdenes[[#This Row],[costo_servicio]]))</f>
        <v/>
      </c>
      <c r="AK208" s="11">
        <f>IF(tblOrdenes[[#This Row],[orden]]="","",tblOrdenes[[#This Row],[costo_servicio]]+tblOrdenes[[#This Row],[costo_materiales]])</f>
        <v/>
      </c>
      <c r="AL208" s="6" t="n"/>
      <c r="AM208" s="6" t="n"/>
      <c r="AN208" s="6" t="n"/>
      <c r="AO208" s="3">
        <f>IF(tblOrdenes[[#This Row],[link_checklist]]="","",HYPERLINK(p_ruta_base_checklists&amp;tblOrdenes[[#This Row],[link_checklist]],"abrir"))</f>
        <v/>
      </c>
      <c r="AP208" s="6" t="n"/>
      <c r="AQ208" s="3">
        <f>IF(tblOrdenes[[#This Row],[orden]]="","",tblOrdenes[[#This Row],[orden]]&amp;IF(tblOrdenes[[#This Row],[operacion]]="","0010",tblOrdenes[[#This Row],[operacion]]))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2" t="n"/>
      <c r="K209" s="3" t="n"/>
      <c r="L209" s="11" t="n"/>
      <c r="M2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9" s="3">
        <f>IF(tblOrdenes[[#This Row],[fecha_inicio]]="","",YEAR(tblOrdenes[[#This Row],[fecha_inicio]]))</f>
        <v/>
      </c>
      <c r="Q209" s="3">
        <f>IF(tblOrdenes[[#This Row],[fecha_inicio]]="","",MONTH(tblOrdenes[[#This Row],[fecha_inicio]]))</f>
        <v/>
      </c>
      <c r="R209" s="3">
        <f>IF(tblOrdenes[[#This Row],[fecha_inicio]]="","",INDEX(lista_dias,WEEKDAY(tblOrdenes[[#This Row],[fecha_inicio]],2)))</f>
        <v/>
      </c>
      <c r="S2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9" s="3">
        <f>IF(tblOrdenes[[#This Row],[tipo_ot]]="","",_xlfn.XLOOKUP(tblOrdenes[[#This Row],[tipo_ot]],tblTiposOT[codigo],tblTiposOT[clasificacion],"sin_clasificar"))</f>
        <v/>
      </c>
      <c r="U209" s="3">
        <f>IF(tblOrdenes[[#This Row],[centro_costo]]="","",_xlfn.XLOOKUP(tblOrdenes[[#This Row],[centro_costo]],tblCECO[codigo],tblCECO[linea],"(sin catálogo)"))</f>
        <v/>
      </c>
      <c r="V209" s="3">
        <f>IF(tblOrdenes[[#This Row],[centro_costo]]="","",_xlfn.XLOOKUP(tblOrdenes[[#This Row],[centro_costo]],tblCECO[codigo],tblCECO[area],"(sin catálogo)"))</f>
        <v/>
      </c>
      <c r="W2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9" s="3">
        <f>IF(tblOrdenes[[#This Row],[centro_costo]]="","",_xlfn.XLOOKUP(tblOrdenes[[#This Row],[centro_costo]],tblCECO[codigo],tblCECO[coordinador],"(sin catálogo)"))</f>
        <v/>
      </c>
      <c r="Y209" s="3">
        <f>IF(tblOrdenes[[#This Row],[puesto_trabajo]]="","",_xlfn.XLOOKUP(tblOrdenes[[#This Row],[puesto_trabajo]],tblPuestos[codigo],tblPuestos[especialidad],"(sin catálogo)"))</f>
        <v/>
      </c>
      <c r="Z209" s="3">
        <f>IF(tblOrdenes[[#This Row],[cod_actividad]]="","",_xlfn.XLOOKUP(tblOrdenes[[#This Row],[cod_actividad]],tblActividades[codigo],tblActividades[descripcion],"(sin catálogo)"))</f>
        <v/>
      </c>
      <c r="AA209" s="13">
        <f>IF(tblOrdenes[[#This Row],[fecha_inicio]]="","",TODAY()-tblOrdenes[[#This Row],[fecha_inicio]])</f>
        <v/>
      </c>
      <c r="AB2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9" s="3">
        <f>IF(tblOrdenes[[#This Row],[backlog_habiles]]="","",IF(tblOrdenes[[#This Row],[backlog_habiles]]&lt;0,"FUTURO",IF(tblOrdenes[[#This Row],[backlog_habiles]]&gt;p_dias_backlog_max,"BACKLOG","MES CORRIENTE")))</f>
        <v/>
      </c>
      <c r="AD209" s="3">
        <f>IF(tblOrdenes[[#This Row],[backlog_habiles]]="",FALSE,AND(tblOrdenes[[#This Row],[backlog_habiles]]&gt;p_dias_backlog_min,tblOrdenes[[#This Row],[backlog_habiles]]&lt;=p_dias_backlog_max))</f>
        <v/>
      </c>
      <c r="AE209" s="6" t="n"/>
      <c r="AF2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9" s="11">
        <f>IF(tblOrdenes[[#This Row],[orden]]="","",_xlfn.XLOOKUP(tblOrdenes[[#This Row],[id_operacion]],tblEjecucion[id_operacion],tblEjecucion[precio],0))</f>
        <v/>
      </c>
      <c r="AJ209" s="11">
        <f>IF(tblOrdenes[[#This Row],[orden]]="","",MAX(0,_xlfn.XLOOKUP(tblOrdenes[[#This Row],[id_operacion]],tblEjecucion[id_operacion],tblEjecucion[costo_plan_total],0)-tblOrdenes[[#This Row],[costo_servicio]]))</f>
        <v/>
      </c>
      <c r="AK209" s="11">
        <f>IF(tblOrdenes[[#This Row],[orden]]="","",tblOrdenes[[#This Row],[costo_servicio]]+tblOrdenes[[#This Row],[costo_materiales]])</f>
        <v/>
      </c>
      <c r="AL209" s="6" t="n"/>
      <c r="AM209" s="6" t="n"/>
      <c r="AN209" s="6" t="n"/>
      <c r="AO209" s="3">
        <f>IF(tblOrdenes[[#This Row],[link_checklist]]="","",HYPERLINK(p_ruta_base_checklists&amp;tblOrdenes[[#This Row],[link_checklist]],"abrir"))</f>
        <v/>
      </c>
      <c r="AP209" s="6" t="n"/>
      <c r="AQ209" s="3">
        <f>IF(tblOrdenes[[#This Row],[orden]]="","",tblOrdenes[[#This Row],[orden]]&amp;IF(tblOrdenes[[#This Row],[operacion]]="","0010",tblOrdenes[[#This Row],[operacion]]))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2" t="n"/>
      <c r="K210" s="3" t="n"/>
      <c r="L210" s="11" t="n"/>
      <c r="M2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0" s="3">
        <f>IF(tblOrdenes[[#This Row],[fecha_inicio]]="","",YEAR(tblOrdenes[[#This Row],[fecha_inicio]]))</f>
        <v/>
      </c>
      <c r="Q210" s="3">
        <f>IF(tblOrdenes[[#This Row],[fecha_inicio]]="","",MONTH(tblOrdenes[[#This Row],[fecha_inicio]]))</f>
        <v/>
      </c>
      <c r="R210" s="3">
        <f>IF(tblOrdenes[[#This Row],[fecha_inicio]]="","",INDEX(lista_dias,WEEKDAY(tblOrdenes[[#This Row],[fecha_inicio]],2)))</f>
        <v/>
      </c>
      <c r="S2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0" s="3">
        <f>IF(tblOrdenes[[#This Row],[tipo_ot]]="","",_xlfn.XLOOKUP(tblOrdenes[[#This Row],[tipo_ot]],tblTiposOT[codigo],tblTiposOT[clasificacion],"sin_clasificar"))</f>
        <v/>
      </c>
      <c r="U210" s="3">
        <f>IF(tblOrdenes[[#This Row],[centro_costo]]="","",_xlfn.XLOOKUP(tblOrdenes[[#This Row],[centro_costo]],tblCECO[codigo],tblCECO[linea],"(sin catálogo)"))</f>
        <v/>
      </c>
      <c r="V210" s="3">
        <f>IF(tblOrdenes[[#This Row],[centro_costo]]="","",_xlfn.XLOOKUP(tblOrdenes[[#This Row],[centro_costo]],tblCECO[codigo],tblCECO[area],"(sin catálogo)"))</f>
        <v/>
      </c>
      <c r="W2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0" s="3">
        <f>IF(tblOrdenes[[#This Row],[centro_costo]]="","",_xlfn.XLOOKUP(tblOrdenes[[#This Row],[centro_costo]],tblCECO[codigo],tblCECO[coordinador],"(sin catálogo)"))</f>
        <v/>
      </c>
      <c r="Y210" s="3">
        <f>IF(tblOrdenes[[#This Row],[puesto_trabajo]]="","",_xlfn.XLOOKUP(tblOrdenes[[#This Row],[puesto_trabajo]],tblPuestos[codigo],tblPuestos[especialidad],"(sin catálogo)"))</f>
        <v/>
      </c>
      <c r="Z210" s="3">
        <f>IF(tblOrdenes[[#This Row],[cod_actividad]]="","",_xlfn.XLOOKUP(tblOrdenes[[#This Row],[cod_actividad]],tblActividades[codigo],tblActividades[descripcion],"(sin catálogo)"))</f>
        <v/>
      </c>
      <c r="AA210" s="13">
        <f>IF(tblOrdenes[[#This Row],[fecha_inicio]]="","",TODAY()-tblOrdenes[[#This Row],[fecha_inicio]])</f>
        <v/>
      </c>
      <c r="AB2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0" s="3">
        <f>IF(tblOrdenes[[#This Row],[backlog_habiles]]="","",IF(tblOrdenes[[#This Row],[backlog_habiles]]&lt;0,"FUTURO",IF(tblOrdenes[[#This Row],[backlog_habiles]]&gt;p_dias_backlog_max,"BACKLOG","MES CORRIENTE")))</f>
        <v/>
      </c>
      <c r="AD210" s="3">
        <f>IF(tblOrdenes[[#This Row],[backlog_habiles]]="",FALSE,AND(tblOrdenes[[#This Row],[backlog_habiles]]&gt;p_dias_backlog_min,tblOrdenes[[#This Row],[backlog_habiles]]&lt;=p_dias_backlog_max))</f>
        <v/>
      </c>
      <c r="AE210" s="6" t="n"/>
      <c r="AF2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0" s="11">
        <f>IF(tblOrdenes[[#This Row],[orden]]="","",_xlfn.XLOOKUP(tblOrdenes[[#This Row],[id_operacion]],tblEjecucion[id_operacion],tblEjecucion[precio],0))</f>
        <v/>
      </c>
      <c r="AJ210" s="11">
        <f>IF(tblOrdenes[[#This Row],[orden]]="","",MAX(0,_xlfn.XLOOKUP(tblOrdenes[[#This Row],[id_operacion]],tblEjecucion[id_operacion],tblEjecucion[costo_plan_total],0)-tblOrdenes[[#This Row],[costo_servicio]]))</f>
        <v/>
      </c>
      <c r="AK210" s="11">
        <f>IF(tblOrdenes[[#This Row],[orden]]="","",tblOrdenes[[#This Row],[costo_servicio]]+tblOrdenes[[#This Row],[costo_materiales]])</f>
        <v/>
      </c>
      <c r="AL210" s="6" t="n"/>
      <c r="AM210" s="6" t="n"/>
      <c r="AN210" s="6" t="n"/>
      <c r="AO210" s="3">
        <f>IF(tblOrdenes[[#This Row],[link_checklist]]="","",HYPERLINK(p_ruta_base_checklists&amp;tblOrdenes[[#This Row],[link_checklist]],"abrir"))</f>
        <v/>
      </c>
      <c r="AP210" s="6" t="n"/>
      <c r="AQ210" s="3">
        <f>IF(tblOrdenes[[#This Row],[orden]]="","",tblOrdenes[[#This Row],[orden]]&amp;IF(tblOrdenes[[#This Row],[operacion]]="","0010",tblOrdenes[[#This Row],[operacion]]))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2" t="n"/>
      <c r="K211" s="3" t="n"/>
      <c r="L211" s="11" t="n"/>
      <c r="M2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1" s="3">
        <f>IF(tblOrdenes[[#This Row],[fecha_inicio]]="","",YEAR(tblOrdenes[[#This Row],[fecha_inicio]]))</f>
        <v/>
      </c>
      <c r="Q211" s="3">
        <f>IF(tblOrdenes[[#This Row],[fecha_inicio]]="","",MONTH(tblOrdenes[[#This Row],[fecha_inicio]]))</f>
        <v/>
      </c>
      <c r="R211" s="3">
        <f>IF(tblOrdenes[[#This Row],[fecha_inicio]]="","",INDEX(lista_dias,WEEKDAY(tblOrdenes[[#This Row],[fecha_inicio]],2)))</f>
        <v/>
      </c>
      <c r="S2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1" s="3">
        <f>IF(tblOrdenes[[#This Row],[tipo_ot]]="","",_xlfn.XLOOKUP(tblOrdenes[[#This Row],[tipo_ot]],tblTiposOT[codigo],tblTiposOT[clasificacion],"sin_clasificar"))</f>
        <v/>
      </c>
      <c r="U211" s="3">
        <f>IF(tblOrdenes[[#This Row],[centro_costo]]="","",_xlfn.XLOOKUP(tblOrdenes[[#This Row],[centro_costo]],tblCECO[codigo],tblCECO[linea],"(sin catálogo)"))</f>
        <v/>
      </c>
      <c r="V211" s="3">
        <f>IF(tblOrdenes[[#This Row],[centro_costo]]="","",_xlfn.XLOOKUP(tblOrdenes[[#This Row],[centro_costo]],tblCECO[codigo],tblCECO[area],"(sin catálogo)"))</f>
        <v/>
      </c>
      <c r="W2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1" s="3">
        <f>IF(tblOrdenes[[#This Row],[centro_costo]]="","",_xlfn.XLOOKUP(tblOrdenes[[#This Row],[centro_costo]],tblCECO[codigo],tblCECO[coordinador],"(sin catálogo)"))</f>
        <v/>
      </c>
      <c r="Y211" s="3">
        <f>IF(tblOrdenes[[#This Row],[puesto_trabajo]]="","",_xlfn.XLOOKUP(tblOrdenes[[#This Row],[puesto_trabajo]],tblPuestos[codigo],tblPuestos[especialidad],"(sin catálogo)"))</f>
        <v/>
      </c>
      <c r="Z211" s="3">
        <f>IF(tblOrdenes[[#This Row],[cod_actividad]]="","",_xlfn.XLOOKUP(tblOrdenes[[#This Row],[cod_actividad]],tblActividades[codigo],tblActividades[descripcion],"(sin catálogo)"))</f>
        <v/>
      </c>
      <c r="AA211" s="13">
        <f>IF(tblOrdenes[[#This Row],[fecha_inicio]]="","",TODAY()-tblOrdenes[[#This Row],[fecha_inicio]])</f>
        <v/>
      </c>
      <c r="AB2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1" s="3">
        <f>IF(tblOrdenes[[#This Row],[backlog_habiles]]="","",IF(tblOrdenes[[#This Row],[backlog_habiles]]&lt;0,"FUTURO",IF(tblOrdenes[[#This Row],[backlog_habiles]]&gt;p_dias_backlog_max,"BACKLOG","MES CORRIENTE")))</f>
        <v/>
      </c>
      <c r="AD211" s="3">
        <f>IF(tblOrdenes[[#This Row],[backlog_habiles]]="",FALSE,AND(tblOrdenes[[#This Row],[backlog_habiles]]&gt;p_dias_backlog_min,tblOrdenes[[#This Row],[backlog_habiles]]&lt;=p_dias_backlog_max))</f>
        <v/>
      </c>
      <c r="AE211" s="6" t="n"/>
      <c r="AF2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1" s="11">
        <f>IF(tblOrdenes[[#This Row],[orden]]="","",_xlfn.XLOOKUP(tblOrdenes[[#This Row],[id_operacion]],tblEjecucion[id_operacion],tblEjecucion[precio],0))</f>
        <v/>
      </c>
      <c r="AJ211" s="11">
        <f>IF(tblOrdenes[[#This Row],[orden]]="","",MAX(0,_xlfn.XLOOKUP(tblOrdenes[[#This Row],[id_operacion]],tblEjecucion[id_operacion],tblEjecucion[costo_plan_total],0)-tblOrdenes[[#This Row],[costo_servicio]]))</f>
        <v/>
      </c>
      <c r="AK211" s="11">
        <f>IF(tblOrdenes[[#This Row],[orden]]="","",tblOrdenes[[#This Row],[costo_servicio]]+tblOrdenes[[#This Row],[costo_materiales]])</f>
        <v/>
      </c>
      <c r="AL211" s="6" t="n"/>
      <c r="AM211" s="6" t="n"/>
      <c r="AN211" s="6" t="n"/>
      <c r="AO211" s="3">
        <f>IF(tblOrdenes[[#This Row],[link_checklist]]="","",HYPERLINK(p_ruta_base_checklists&amp;tblOrdenes[[#This Row],[link_checklist]],"abrir"))</f>
        <v/>
      </c>
      <c r="AP211" s="6" t="n"/>
      <c r="AQ211" s="3">
        <f>IF(tblOrdenes[[#This Row],[orden]]="","",tblOrdenes[[#This Row],[orden]]&amp;IF(tblOrdenes[[#This Row],[operacion]]="","0010",tblOrdenes[[#This Row],[operacion]]))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2" t="n"/>
      <c r="K212" s="3" t="n"/>
      <c r="L212" s="11" t="n"/>
      <c r="M2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2" s="3">
        <f>IF(tblOrdenes[[#This Row],[fecha_inicio]]="","",YEAR(tblOrdenes[[#This Row],[fecha_inicio]]))</f>
        <v/>
      </c>
      <c r="Q212" s="3">
        <f>IF(tblOrdenes[[#This Row],[fecha_inicio]]="","",MONTH(tblOrdenes[[#This Row],[fecha_inicio]]))</f>
        <v/>
      </c>
      <c r="R212" s="3">
        <f>IF(tblOrdenes[[#This Row],[fecha_inicio]]="","",INDEX(lista_dias,WEEKDAY(tblOrdenes[[#This Row],[fecha_inicio]],2)))</f>
        <v/>
      </c>
      <c r="S2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2" s="3">
        <f>IF(tblOrdenes[[#This Row],[tipo_ot]]="","",_xlfn.XLOOKUP(tblOrdenes[[#This Row],[tipo_ot]],tblTiposOT[codigo],tblTiposOT[clasificacion],"sin_clasificar"))</f>
        <v/>
      </c>
      <c r="U212" s="3">
        <f>IF(tblOrdenes[[#This Row],[centro_costo]]="","",_xlfn.XLOOKUP(tblOrdenes[[#This Row],[centro_costo]],tblCECO[codigo],tblCECO[linea],"(sin catálogo)"))</f>
        <v/>
      </c>
      <c r="V212" s="3">
        <f>IF(tblOrdenes[[#This Row],[centro_costo]]="","",_xlfn.XLOOKUP(tblOrdenes[[#This Row],[centro_costo]],tblCECO[codigo],tblCECO[area],"(sin catálogo)"))</f>
        <v/>
      </c>
      <c r="W2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2" s="3">
        <f>IF(tblOrdenes[[#This Row],[centro_costo]]="","",_xlfn.XLOOKUP(tblOrdenes[[#This Row],[centro_costo]],tblCECO[codigo],tblCECO[coordinador],"(sin catálogo)"))</f>
        <v/>
      </c>
      <c r="Y212" s="3">
        <f>IF(tblOrdenes[[#This Row],[puesto_trabajo]]="","",_xlfn.XLOOKUP(tblOrdenes[[#This Row],[puesto_trabajo]],tblPuestos[codigo],tblPuestos[especialidad],"(sin catálogo)"))</f>
        <v/>
      </c>
      <c r="Z212" s="3">
        <f>IF(tblOrdenes[[#This Row],[cod_actividad]]="","",_xlfn.XLOOKUP(tblOrdenes[[#This Row],[cod_actividad]],tblActividades[codigo],tblActividades[descripcion],"(sin catálogo)"))</f>
        <v/>
      </c>
      <c r="AA212" s="13">
        <f>IF(tblOrdenes[[#This Row],[fecha_inicio]]="","",TODAY()-tblOrdenes[[#This Row],[fecha_inicio]])</f>
        <v/>
      </c>
      <c r="AB2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2" s="3">
        <f>IF(tblOrdenes[[#This Row],[backlog_habiles]]="","",IF(tblOrdenes[[#This Row],[backlog_habiles]]&lt;0,"FUTURO",IF(tblOrdenes[[#This Row],[backlog_habiles]]&gt;p_dias_backlog_max,"BACKLOG","MES CORRIENTE")))</f>
        <v/>
      </c>
      <c r="AD212" s="3">
        <f>IF(tblOrdenes[[#This Row],[backlog_habiles]]="",FALSE,AND(tblOrdenes[[#This Row],[backlog_habiles]]&gt;p_dias_backlog_min,tblOrdenes[[#This Row],[backlog_habiles]]&lt;=p_dias_backlog_max))</f>
        <v/>
      </c>
      <c r="AE212" s="6" t="n"/>
      <c r="AF2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2" s="11">
        <f>IF(tblOrdenes[[#This Row],[orden]]="","",_xlfn.XLOOKUP(tblOrdenes[[#This Row],[id_operacion]],tblEjecucion[id_operacion],tblEjecucion[precio],0))</f>
        <v/>
      </c>
      <c r="AJ212" s="11">
        <f>IF(tblOrdenes[[#This Row],[orden]]="","",MAX(0,_xlfn.XLOOKUP(tblOrdenes[[#This Row],[id_operacion]],tblEjecucion[id_operacion],tblEjecucion[costo_plan_total],0)-tblOrdenes[[#This Row],[costo_servicio]]))</f>
        <v/>
      </c>
      <c r="AK212" s="11">
        <f>IF(tblOrdenes[[#This Row],[orden]]="","",tblOrdenes[[#This Row],[costo_servicio]]+tblOrdenes[[#This Row],[costo_materiales]])</f>
        <v/>
      </c>
      <c r="AL212" s="6" t="n"/>
      <c r="AM212" s="6" t="n"/>
      <c r="AN212" s="6" t="n"/>
      <c r="AO212" s="3">
        <f>IF(tblOrdenes[[#This Row],[link_checklist]]="","",HYPERLINK(p_ruta_base_checklists&amp;tblOrdenes[[#This Row],[link_checklist]],"abrir"))</f>
        <v/>
      </c>
      <c r="AP212" s="6" t="n"/>
      <c r="AQ212" s="3">
        <f>IF(tblOrdenes[[#This Row],[orden]]="","",tblOrdenes[[#This Row],[orden]]&amp;IF(tblOrdenes[[#This Row],[operacion]]="","0010",tblOrdenes[[#This Row],[operacion]]))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2" t="n"/>
      <c r="K213" s="3" t="n"/>
      <c r="L213" s="11" t="n"/>
      <c r="M2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3" s="3">
        <f>IF(tblOrdenes[[#This Row],[fecha_inicio]]="","",YEAR(tblOrdenes[[#This Row],[fecha_inicio]]))</f>
        <v/>
      </c>
      <c r="Q213" s="3">
        <f>IF(tblOrdenes[[#This Row],[fecha_inicio]]="","",MONTH(tblOrdenes[[#This Row],[fecha_inicio]]))</f>
        <v/>
      </c>
      <c r="R213" s="3">
        <f>IF(tblOrdenes[[#This Row],[fecha_inicio]]="","",INDEX(lista_dias,WEEKDAY(tblOrdenes[[#This Row],[fecha_inicio]],2)))</f>
        <v/>
      </c>
      <c r="S2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3" s="3">
        <f>IF(tblOrdenes[[#This Row],[tipo_ot]]="","",_xlfn.XLOOKUP(tblOrdenes[[#This Row],[tipo_ot]],tblTiposOT[codigo],tblTiposOT[clasificacion],"sin_clasificar"))</f>
        <v/>
      </c>
      <c r="U213" s="3">
        <f>IF(tblOrdenes[[#This Row],[centro_costo]]="","",_xlfn.XLOOKUP(tblOrdenes[[#This Row],[centro_costo]],tblCECO[codigo],tblCECO[linea],"(sin catálogo)"))</f>
        <v/>
      </c>
      <c r="V213" s="3">
        <f>IF(tblOrdenes[[#This Row],[centro_costo]]="","",_xlfn.XLOOKUP(tblOrdenes[[#This Row],[centro_costo]],tblCECO[codigo],tblCECO[area],"(sin catálogo)"))</f>
        <v/>
      </c>
      <c r="W2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3" s="3">
        <f>IF(tblOrdenes[[#This Row],[centro_costo]]="","",_xlfn.XLOOKUP(tblOrdenes[[#This Row],[centro_costo]],tblCECO[codigo],tblCECO[coordinador],"(sin catálogo)"))</f>
        <v/>
      </c>
      <c r="Y213" s="3">
        <f>IF(tblOrdenes[[#This Row],[puesto_trabajo]]="","",_xlfn.XLOOKUP(tblOrdenes[[#This Row],[puesto_trabajo]],tblPuestos[codigo],tblPuestos[especialidad],"(sin catálogo)"))</f>
        <v/>
      </c>
      <c r="Z213" s="3">
        <f>IF(tblOrdenes[[#This Row],[cod_actividad]]="","",_xlfn.XLOOKUP(tblOrdenes[[#This Row],[cod_actividad]],tblActividades[codigo],tblActividades[descripcion],"(sin catálogo)"))</f>
        <v/>
      </c>
      <c r="AA213" s="13">
        <f>IF(tblOrdenes[[#This Row],[fecha_inicio]]="","",TODAY()-tblOrdenes[[#This Row],[fecha_inicio]])</f>
        <v/>
      </c>
      <c r="AB2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3" s="3">
        <f>IF(tblOrdenes[[#This Row],[backlog_habiles]]="","",IF(tblOrdenes[[#This Row],[backlog_habiles]]&lt;0,"FUTURO",IF(tblOrdenes[[#This Row],[backlog_habiles]]&gt;p_dias_backlog_max,"BACKLOG","MES CORRIENTE")))</f>
        <v/>
      </c>
      <c r="AD213" s="3">
        <f>IF(tblOrdenes[[#This Row],[backlog_habiles]]="",FALSE,AND(tblOrdenes[[#This Row],[backlog_habiles]]&gt;p_dias_backlog_min,tblOrdenes[[#This Row],[backlog_habiles]]&lt;=p_dias_backlog_max))</f>
        <v/>
      </c>
      <c r="AE213" s="6" t="n"/>
      <c r="AF2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3" s="11">
        <f>IF(tblOrdenes[[#This Row],[orden]]="","",_xlfn.XLOOKUP(tblOrdenes[[#This Row],[id_operacion]],tblEjecucion[id_operacion],tblEjecucion[precio],0))</f>
        <v/>
      </c>
      <c r="AJ213" s="11">
        <f>IF(tblOrdenes[[#This Row],[orden]]="","",MAX(0,_xlfn.XLOOKUP(tblOrdenes[[#This Row],[id_operacion]],tblEjecucion[id_operacion],tblEjecucion[costo_plan_total],0)-tblOrdenes[[#This Row],[costo_servicio]]))</f>
        <v/>
      </c>
      <c r="AK213" s="11">
        <f>IF(tblOrdenes[[#This Row],[orden]]="","",tblOrdenes[[#This Row],[costo_servicio]]+tblOrdenes[[#This Row],[costo_materiales]])</f>
        <v/>
      </c>
      <c r="AL213" s="6" t="n"/>
      <c r="AM213" s="6" t="n"/>
      <c r="AN213" s="6" t="n"/>
      <c r="AO213" s="3">
        <f>IF(tblOrdenes[[#This Row],[link_checklist]]="","",HYPERLINK(p_ruta_base_checklists&amp;tblOrdenes[[#This Row],[link_checklist]],"abrir"))</f>
        <v/>
      </c>
      <c r="AP213" s="6" t="n"/>
      <c r="AQ213" s="3">
        <f>IF(tblOrdenes[[#This Row],[orden]]="","",tblOrdenes[[#This Row],[orden]]&amp;IF(tblOrdenes[[#This Row],[operacion]]="","0010",tblOrdenes[[#This Row],[operacion]]))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2" t="n"/>
      <c r="K214" s="3" t="n"/>
      <c r="L214" s="11" t="n"/>
      <c r="M2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4" s="3">
        <f>IF(tblOrdenes[[#This Row],[fecha_inicio]]="","",YEAR(tblOrdenes[[#This Row],[fecha_inicio]]))</f>
        <v/>
      </c>
      <c r="Q214" s="3">
        <f>IF(tblOrdenes[[#This Row],[fecha_inicio]]="","",MONTH(tblOrdenes[[#This Row],[fecha_inicio]]))</f>
        <v/>
      </c>
      <c r="R214" s="3">
        <f>IF(tblOrdenes[[#This Row],[fecha_inicio]]="","",INDEX(lista_dias,WEEKDAY(tblOrdenes[[#This Row],[fecha_inicio]],2)))</f>
        <v/>
      </c>
      <c r="S2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4" s="3">
        <f>IF(tblOrdenes[[#This Row],[tipo_ot]]="","",_xlfn.XLOOKUP(tblOrdenes[[#This Row],[tipo_ot]],tblTiposOT[codigo],tblTiposOT[clasificacion],"sin_clasificar"))</f>
        <v/>
      </c>
      <c r="U214" s="3">
        <f>IF(tblOrdenes[[#This Row],[centro_costo]]="","",_xlfn.XLOOKUP(tblOrdenes[[#This Row],[centro_costo]],tblCECO[codigo],tblCECO[linea],"(sin catálogo)"))</f>
        <v/>
      </c>
      <c r="V214" s="3">
        <f>IF(tblOrdenes[[#This Row],[centro_costo]]="","",_xlfn.XLOOKUP(tblOrdenes[[#This Row],[centro_costo]],tblCECO[codigo],tblCECO[area],"(sin catálogo)"))</f>
        <v/>
      </c>
      <c r="W2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4" s="3">
        <f>IF(tblOrdenes[[#This Row],[centro_costo]]="","",_xlfn.XLOOKUP(tblOrdenes[[#This Row],[centro_costo]],tblCECO[codigo],tblCECO[coordinador],"(sin catálogo)"))</f>
        <v/>
      </c>
      <c r="Y214" s="3">
        <f>IF(tblOrdenes[[#This Row],[puesto_trabajo]]="","",_xlfn.XLOOKUP(tblOrdenes[[#This Row],[puesto_trabajo]],tblPuestos[codigo],tblPuestos[especialidad],"(sin catálogo)"))</f>
        <v/>
      </c>
      <c r="Z214" s="3">
        <f>IF(tblOrdenes[[#This Row],[cod_actividad]]="","",_xlfn.XLOOKUP(tblOrdenes[[#This Row],[cod_actividad]],tblActividades[codigo],tblActividades[descripcion],"(sin catálogo)"))</f>
        <v/>
      </c>
      <c r="AA214" s="13">
        <f>IF(tblOrdenes[[#This Row],[fecha_inicio]]="","",TODAY()-tblOrdenes[[#This Row],[fecha_inicio]])</f>
        <v/>
      </c>
      <c r="AB2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4" s="3">
        <f>IF(tblOrdenes[[#This Row],[backlog_habiles]]="","",IF(tblOrdenes[[#This Row],[backlog_habiles]]&lt;0,"FUTURO",IF(tblOrdenes[[#This Row],[backlog_habiles]]&gt;p_dias_backlog_max,"BACKLOG","MES CORRIENTE")))</f>
        <v/>
      </c>
      <c r="AD214" s="3">
        <f>IF(tblOrdenes[[#This Row],[backlog_habiles]]="",FALSE,AND(tblOrdenes[[#This Row],[backlog_habiles]]&gt;p_dias_backlog_min,tblOrdenes[[#This Row],[backlog_habiles]]&lt;=p_dias_backlog_max))</f>
        <v/>
      </c>
      <c r="AE214" s="6" t="n"/>
      <c r="AF2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4" s="11">
        <f>IF(tblOrdenes[[#This Row],[orden]]="","",_xlfn.XLOOKUP(tblOrdenes[[#This Row],[id_operacion]],tblEjecucion[id_operacion],tblEjecucion[precio],0))</f>
        <v/>
      </c>
      <c r="AJ214" s="11">
        <f>IF(tblOrdenes[[#This Row],[orden]]="","",MAX(0,_xlfn.XLOOKUP(tblOrdenes[[#This Row],[id_operacion]],tblEjecucion[id_operacion],tblEjecucion[costo_plan_total],0)-tblOrdenes[[#This Row],[costo_servicio]]))</f>
        <v/>
      </c>
      <c r="AK214" s="11">
        <f>IF(tblOrdenes[[#This Row],[orden]]="","",tblOrdenes[[#This Row],[costo_servicio]]+tblOrdenes[[#This Row],[costo_materiales]])</f>
        <v/>
      </c>
      <c r="AL214" s="6" t="n"/>
      <c r="AM214" s="6" t="n"/>
      <c r="AN214" s="6" t="n"/>
      <c r="AO214" s="3">
        <f>IF(tblOrdenes[[#This Row],[link_checklist]]="","",HYPERLINK(p_ruta_base_checklists&amp;tblOrdenes[[#This Row],[link_checklist]],"abrir"))</f>
        <v/>
      </c>
      <c r="AP214" s="6" t="n"/>
      <c r="AQ214" s="3">
        <f>IF(tblOrdenes[[#This Row],[orden]]="","",tblOrdenes[[#This Row],[orden]]&amp;IF(tblOrdenes[[#This Row],[operacion]]="","0010",tblOrdenes[[#This Row],[operacion]]))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2" t="n"/>
      <c r="K215" s="3" t="n"/>
      <c r="L215" s="11" t="n"/>
      <c r="M2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5" s="3">
        <f>IF(tblOrdenes[[#This Row],[fecha_inicio]]="","",YEAR(tblOrdenes[[#This Row],[fecha_inicio]]))</f>
        <v/>
      </c>
      <c r="Q215" s="3">
        <f>IF(tblOrdenes[[#This Row],[fecha_inicio]]="","",MONTH(tblOrdenes[[#This Row],[fecha_inicio]]))</f>
        <v/>
      </c>
      <c r="R215" s="3">
        <f>IF(tblOrdenes[[#This Row],[fecha_inicio]]="","",INDEX(lista_dias,WEEKDAY(tblOrdenes[[#This Row],[fecha_inicio]],2)))</f>
        <v/>
      </c>
      <c r="S2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5" s="3">
        <f>IF(tblOrdenes[[#This Row],[tipo_ot]]="","",_xlfn.XLOOKUP(tblOrdenes[[#This Row],[tipo_ot]],tblTiposOT[codigo],tblTiposOT[clasificacion],"sin_clasificar"))</f>
        <v/>
      </c>
      <c r="U215" s="3">
        <f>IF(tblOrdenes[[#This Row],[centro_costo]]="","",_xlfn.XLOOKUP(tblOrdenes[[#This Row],[centro_costo]],tblCECO[codigo],tblCECO[linea],"(sin catálogo)"))</f>
        <v/>
      </c>
      <c r="V215" s="3">
        <f>IF(tblOrdenes[[#This Row],[centro_costo]]="","",_xlfn.XLOOKUP(tblOrdenes[[#This Row],[centro_costo]],tblCECO[codigo],tblCECO[area],"(sin catálogo)"))</f>
        <v/>
      </c>
      <c r="W2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5" s="3">
        <f>IF(tblOrdenes[[#This Row],[centro_costo]]="","",_xlfn.XLOOKUP(tblOrdenes[[#This Row],[centro_costo]],tblCECO[codigo],tblCECO[coordinador],"(sin catálogo)"))</f>
        <v/>
      </c>
      <c r="Y215" s="3">
        <f>IF(tblOrdenes[[#This Row],[puesto_trabajo]]="","",_xlfn.XLOOKUP(tblOrdenes[[#This Row],[puesto_trabajo]],tblPuestos[codigo],tblPuestos[especialidad],"(sin catálogo)"))</f>
        <v/>
      </c>
      <c r="Z215" s="3">
        <f>IF(tblOrdenes[[#This Row],[cod_actividad]]="","",_xlfn.XLOOKUP(tblOrdenes[[#This Row],[cod_actividad]],tblActividades[codigo],tblActividades[descripcion],"(sin catálogo)"))</f>
        <v/>
      </c>
      <c r="AA215" s="13">
        <f>IF(tblOrdenes[[#This Row],[fecha_inicio]]="","",TODAY()-tblOrdenes[[#This Row],[fecha_inicio]])</f>
        <v/>
      </c>
      <c r="AB2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5" s="3">
        <f>IF(tblOrdenes[[#This Row],[backlog_habiles]]="","",IF(tblOrdenes[[#This Row],[backlog_habiles]]&lt;0,"FUTURO",IF(tblOrdenes[[#This Row],[backlog_habiles]]&gt;p_dias_backlog_max,"BACKLOG","MES CORRIENTE")))</f>
        <v/>
      </c>
      <c r="AD215" s="3">
        <f>IF(tblOrdenes[[#This Row],[backlog_habiles]]="",FALSE,AND(tblOrdenes[[#This Row],[backlog_habiles]]&gt;p_dias_backlog_min,tblOrdenes[[#This Row],[backlog_habiles]]&lt;=p_dias_backlog_max))</f>
        <v/>
      </c>
      <c r="AE215" s="6" t="n"/>
      <c r="AF2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5" s="11">
        <f>IF(tblOrdenes[[#This Row],[orden]]="","",_xlfn.XLOOKUP(tblOrdenes[[#This Row],[id_operacion]],tblEjecucion[id_operacion],tblEjecucion[precio],0))</f>
        <v/>
      </c>
      <c r="AJ215" s="11">
        <f>IF(tblOrdenes[[#This Row],[orden]]="","",MAX(0,_xlfn.XLOOKUP(tblOrdenes[[#This Row],[id_operacion]],tblEjecucion[id_operacion],tblEjecucion[costo_plan_total],0)-tblOrdenes[[#This Row],[costo_servicio]]))</f>
        <v/>
      </c>
      <c r="AK215" s="11">
        <f>IF(tblOrdenes[[#This Row],[orden]]="","",tblOrdenes[[#This Row],[costo_servicio]]+tblOrdenes[[#This Row],[costo_materiales]])</f>
        <v/>
      </c>
      <c r="AL215" s="6" t="n"/>
      <c r="AM215" s="6" t="n"/>
      <c r="AN215" s="6" t="n"/>
      <c r="AO215" s="3">
        <f>IF(tblOrdenes[[#This Row],[link_checklist]]="","",HYPERLINK(p_ruta_base_checklists&amp;tblOrdenes[[#This Row],[link_checklist]],"abrir"))</f>
        <v/>
      </c>
      <c r="AP215" s="6" t="n"/>
      <c r="AQ215" s="3">
        <f>IF(tblOrdenes[[#This Row],[orden]]="","",tblOrdenes[[#This Row],[orden]]&amp;IF(tblOrdenes[[#This Row],[operacion]]="","0010",tblOrdenes[[#This Row],[operacion]]))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2" t="n"/>
      <c r="K216" s="3" t="n"/>
      <c r="L216" s="11" t="n"/>
      <c r="M2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6" s="3">
        <f>IF(tblOrdenes[[#This Row],[fecha_inicio]]="","",YEAR(tblOrdenes[[#This Row],[fecha_inicio]]))</f>
        <v/>
      </c>
      <c r="Q216" s="3">
        <f>IF(tblOrdenes[[#This Row],[fecha_inicio]]="","",MONTH(tblOrdenes[[#This Row],[fecha_inicio]]))</f>
        <v/>
      </c>
      <c r="R216" s="3">
        <f>IF(tblOrdenes[[#This Row],[fecha_inicio]]="","",INDEX(lista_dias,WEEKDAY(tblOrdenes[[#This Row],[fecha_inicio]],2)))</f>
        <v/>
      </c>
      <c r="S2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6" s="3">
        <f>IF(tblOrdenes[[#This Row],[tipo_ot]]="","",_xlfn.XLOOKUP(tblOrdenes[[#This Row],[tipo_ot]],tblTiposOT[codigo],tblTiposOT[clasificacion],"sin_clasificar"))</f>
        <v/>
      </c>
      <c r="U216" s="3">
        <f>IF(tblOrdenes[[#This Row],[centro_costo]]="","",_xlfn.XLOOKUP(tblOrdenes[[#This Row],[centro_costo]],tblCECO[codigo],tblCECO[linea],"(sin catálogo)"))</f>
        <v/>
      </c>
      <c r="V216" s="3">
        <f>IF(tblOrdenes[[#This Row],[centro_costo]]="","",_xlfn.XLOOKUP(tblOrdenes[[#This Row],[centro_costo]],tblCECO[codigo],tblCECO[area],"(sin catálogo)"))</f>
        <v/>
      </c>
      <c r="W2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6" s="3">
        <f>IF(tblOrdenes[[#This Row],[centro_costo]]="","",_xlfn.XLOOKUP(tblOrdenes[[#This Row],[centro_costo]],tblCECO[codigo],tblCECO[coordinador],"(sin catálogo)"))</f>
        <v/>
      </c>
      <c r="Y216" s="3">
        <f>IF(tblOrdenes[[#This Row],[puesto_trabajo]]="","",_xlfn.XLOOKUP(tblOrdenes[[#This Row],[puesto_trabajo]],tblPuestos[codigo],tblPuestos[especialidad],"(sin catálogo)"))</f>
        <v/>
      </c>
      <c r="Z216" s="3">
        <f>IF(tblOrdenes[[#This Row],[cod_actividad]]="","",_xlfn.XLOOKUP(tblOrdenes[[#This Row],[cod_actividad]],tblActividades[codigo],tblActividades[descripcion],"(sin catálogo)"))</f>
        <v/>
      </c>
      <c r="AA216" s="13">
        <f>IF(tblOrdenes[[#This Row],[fecha_inicio]]="","",TODAY()-tblOrdenes[[#This Row],[fecha_inicio]])</f>
        <v/>
      </c>
      <c r="AB2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6" s="3">
        <f>IF(tblOrdenes[[#This Row],[backlog_habiles]]="","",IF(tblOrdenes[[#This Row],[backlog_habiles]]&lt;0,"FUTURO",IF(tblOrdenes[[#This Row],[backlog_habiles]]&gt;p_dias_backlog_max,"BACKLOG","MES CORRIENTE")))</f>
        <v/>
      </c>
      <c r="AD216" s="3">
        <f>IF(tblOrdenes[[#This Row],[backlog_habiles]]="",FALSE,AND(tblOrdenes[[#This Row],[backlog_habiles]]&gt;p_dias_backlog_min,tblOrdenes[[#This Row],[backlog_habiles]]&lt;=p_dias_backlog_max))</f>
        <v/>
      </c>
      <c r="AE216" s="6" t="n"/>
      <c r="AF2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6" s="11">
        <f>IF(tblOrdenes[[#This Row],[orden]]="","",_xlfn.XLOOKUP(tblOrdenes[[#This Row],[id_operacion]],tblEjecucion[id_operacion],tblEjecucion[precio],0))</f>
        <v/>
      </c>
      <c r="AJ216" s="11">
        <f>IF(tblOrdenes[[#This Row],[orden]]="","",MAX(0,_xlfn.XLOOKUP(tblOrdenes[[#This Row],[id_operacion]],tblEjecucion[id_operacion],tblEjecucion[costo_plan_total],0)-tblOrdenes[[#This Row],[costo_servicio]]))</f>
        <v/>
      </c>
      <c r="AK216" s="11">
        <f>IF(tblOrdenes[[#This Row],[orden]]="","",tblOrdenes[[#This Row],[costo_servicio]]+tblOrdenes[[#This Row],[costo_materiales]])</f>
        <v/>
      </c>
      <c r="AL216" s="6" t="n"/>
      <c r="AM216" s="6" t="n"/>
      <c r="AN216" s="6" t="n"/>
      <c r="AO216" s="3">
        <f>IF(tblOrdenes[[#This Row],[link_checklist]]="","",HYPERLINK(p_ruta_base_checklists&amp;tblOrdenes[[#This Row],[link_checklist]],"abrir"))</f>
        <v/>
      </c>
      <c r="AP216" s="6" t="n"/>
      <c r="AQ216" s="3">
        <f>IF(tblOrdenes[[#This Row],[orden]]="","",tblOrdenes[[#This Row],[orden]]&amp;IF(tblOrdenes[[#This Row],[operacion]]="","0010",tblOrdenes[[#This Row],[operacion]]))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2" t="n"/>
      <c r="K217" s="3" t="n"/>
      <c r="L217" s="11" t="n"/>
      <c r="M2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7" s="3">
        <f>IF(tblOrdenes[[#This Row],[fecha_inicio]]="","",YEAR(tblOrdenes[[#This Row],[fecha_inicio]]))</f>
        <v/>
      </c>
      <c r="Q217" s="3">
        <f>IF(tblOrdenes[[#This Row],[fecha_inicio]]="","",MONTH(tblOrdenes[[#This Row],[fecha_inicio]]))</f>
        <v/>
      </c>
      <c r="R217" s="3">
        <f>IF(tblOrdenes[[#This Row],[fecha_inicio]]="","",INDEX(lista_dias,WEEKDAY(tblOrdenes[[#This Row],[fecha_inicio]],2)))</f>
        <v/>
      </c>
      <c r="S2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7" s="3">
        <f>IF(tblOrdenes[[#This Row],[tipo_ot]]="","",_xlfn.XLOOKUP(tblOrdenes[[#This Row],[tipo_ot]],tblTiposOT[codigo],tblTiposOT[clasificacion],"sin_clasificar"))</f>
        <v/>
      </c>
      <c r="U217" s="3">
        <f>IF(tblOrdenes[[#This Row],[centro_costo]]="","",_xlfn.XLOOKUP(tblOrdenes[[#This Row],[centro_costo]],tblCECO[codigo],tblCECO[linea],"(sin catálogo)"))</f>
        <v/>
      </c>
      <c r="V217" s="3">
        <f>IF(tblOrdenes[[#This Row],[centro_costo]]="","",_xlfn.XLOOKUP(tblOrdenes[[#This Row],[centro_costo]],tblCECO[codigo],tblCECO[area],"(sin catálogo)"))</f>
        <v/>
      </c>
      <c r="W2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7" s="3">
        <f>IF(tblOrdenes[[#This Row],[centro_costo]]="","",_xlfn.XLOOKUP(tblOrdenes[[#This Row],[centro_costo]],tblCECO[codigo],tblCECO[coordinador],"(sin catálogo)"))</f>
        <v/>
      </c>
      <c r="Y217" s="3">
        <f>IF(tblOrdenes[[#This Row],[puesto_trabajo]]="","",_xlfn.XLOOKUP(tblOrdenes[[#This Row],[puesto_trabajo]],tblPuestos[codigo],tblPuestos[especialidad],"(sin catálogo)"))</f>
        <v/>
      </c>
      <c r="Z217" s="3">
        <f>IF(tblOrdenes[[#This Row],[cod_actividad]]="","",_xlfn.XLOOKUP(tblOrdenes[[#This Row],[cod_actividad]],tblActividades[codigo],tblActividades[descripcion],"(sin catálogo)"))</f>
        <v/>
      </c>
      <c r="AA217" s="13">
        <f>IF(tblOrdenes[[#This Row],[fecha_inicio]]="","",TODAY()-tblOrdenes[[#This Row],[fecha_inicio]])</f>
        <v/>
      </c>
      <c r="AB2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7" s="3">
        <f>IF(tblOrdenes[[#This Row],[backlog_habiles]]="","",IF(tblOrdenes[[#This Row],[backlog_habiles]]&lt;0,"FUTURO",IF(tblOrdenes[[#This Row],[backlog_habiles]]&gt;p_dias_backlog_max,"BACKLOG","MES CORRIENTE")))</f>
        <v/>
      </c>
      <c r="AD217" s="3">
        <f>IF(tblOrdenes[[#This Row],[backlog_habiles]]="",FALSE,AND(tblOrdenes[[#This Row],[backlog_habiles]]&gt;p_dias_backlog_min,tblOrdenes[[#This Row],[backlog_habiles]]&lt;=p_dias_backlog_max))</f>
        <v/>
      </c>
      <c r="AE217" s="6" t="n"/>
      <c r="AF2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7" s="11">
        <f>IF(tblOrdenes[[#This Row],[orden]]="","",_xlfn.XLOOKUP(tblOrdenes[[#This Row],[id_operacion]],tblEjecucion[id_operacion],tblEjecucion[precio],0))</f>
        <v/>
      </c>
      <c r="AJ217" s="11">
        <f>IF(tblOrdenes[[#This Row],[orden]]="","",MAX(0,_xlfn.XLOOKUP(tblOrdenes[[#This Row],[id_operacion]],tblEjecucion[id_operacion],tblEjecucion[costo_plan_total],0)-tblOrdenes[[#This Row],[costo_servicio]]))</f>
        <v/>
      </c>
      <c r="AK217" s="11">
        <f>IF(tblOrdenes[[#This Row],[orden]]="","",tblOrdenes[[#This Row],[costo_servicio]]+tblOrdenes[[#This Row],[costo_materiales]])</f>
        <v/>
      </c>
      <c r="AL217" s="6" t="n"/>
      <c r="AM217" s="6" t="n"/>
      <c r="AN217" s="6" t="n"/>
      <c r="AO217" s="3">
        <f>IF(tblOrdenes[[#This Row],[link_checklist]]="","",HYPERLINK(p_ruta_base_checklists&amp;tblOrdenes[[#This Row],[link_checklist]],"abrir"))</f>
        <v/>
      </c>
      <c r="AP217" s="6" t="n"/>
      <c r="AQ217" s="3">
        <f>IF(tblOrdenes[[#This Row],[orden]]="","",tblOrdenes[[#This Row],[orden]]&amp;IF(tblOrdenes[[#This Row],[operacion]]="","0010",tblOrdenes[[#This Row],[operacion]]))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2" t="n"/>
      <c r="K218" s="3" t="n"/>
      <c r="L218" s="11" t="n"/>
      <c r="M2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8" s="3">
        <f>IF(tblOrdenes[[#This Row],[fecha_inicio]]="","",YEAR(tblOrdenes[[#This Row],[fecha_inicio]]))</f>
        <v/>
      </c>
      <c r="Q218" s="3">
        <f>IF(tblOrdenes[[#This Row],[fecha_inicio]]="","",MONTH(tblOrdenes[[#This Row],[fecha_inicio]]))</f>
        <v/>
      </c>
      <c r="R218" s="3">
        <f>IF(tblOrdenes[[#This Row],[fecha_inicio]]="","",INDEX(lista_dias,WEEKDAY(tblOrdenes[[#This Row],[fecha_inicio]],2)))</f>
        <v/>
      </c>
      <c r="S2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8" s="3">
        <f>IF(tblOrdenes[[#This Row],[tipo_ot]]="","",_xlfn.XLOOKUP(tblOrdenes[[#This Row],[tipo_ot]],tblTiposOT[codigo],tblTiposOT[clasificacion],"sin_clasificar"))</f>
        <v/>
      </c>
      <c r="U218" s="3">
        <f>IF(tblOrdenes[[#This Row],[centro_costo]]="","",_xlfn.XLOOKUP(tblOrdenes[[#This Row],[centro_costo]],tblCECO[codigo],tblCECO[linea],"(sin catálogo)"))</f>
        <v/>
      </c>
      <c r="V218" s="3">
        <f>IF(tblOrdenes[[#This Row],[centro_costo]]="","",_xlfn.XLOOKUP(tblOrdenes[[#This Row],[centro_costo]],tblCECO[codigo],tblCECO[area],"(sin catálogo)"))</f>
        <v/>
      </c>
      <c r="W2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8" s="3">
        <f>IF(tblOrdenes[[#This Row],[centro_costo]]="","",_xlfn.XLOOKUP(tblOrdenes[[#This Row],[centro_costo]],tblCECO[codigo],tblCECO[coordinador],"(sin catálogo)"))</f>
        <v/>
      </c>
      <c r="Y218" s="3">
        <f>IF(tblOrdenes[[#This Row],[puesto_trabajo]]="","",_xlfn.XLOOKUP(tblOrdenes[[#This Row],[puesto_trabajo]],tblPuestos[codigo],tblPuestos[especialidad],"(sin catálogo)"))</f>
        <v/>
      </c>
      <c r="Z218" s="3">
        <f>IF(tblOrdenes[[#This Row],[cod_actividad]]="","",_xlfn.XLOOKUP(tblOrdenes[[#This Row],[cod_actividad]],tblActividades[codigo],tblActividades[descripcion],"(sin catálogo)"))</f>
        <v/>
      </c>
      <c r="AA218" s="13">
        <f>IF(tblOrdenes[[#This Row],[fecha_inicio]]="","",TODAY()-tblOrdenes[[#This Row],[fecha_inicio]])</f>
        <v/>
      </c>
      <c r="AB2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8" s="3">
        <f>IF(tblOrdenes[[#This Row],[backlog_habiles]]="","",IF(tblOrdenes[[#This Row],[backlog_habiles]]&lt;0,"FUTURO",IF(tblOrdenes[[#This Row],[backlog_habiles]]&gt;p_dias_backlog_max,"BACKLOG","MES CORRIENTE")))</f>
        <v/>
      </c>
      <c r="AD218" s="3">
        <f>IF(tblOrdenes[[#This Row],[backlog_habiles]]="",FALSE,AND(tblOrdenes[[#This Row],[backlog_habiles]]&gt;p_dias_backlog_min,tblOrdenes[[#This Row],[backlog_habiles]]&lt;=p_dias_backlog_max))</f>
        <v/>
      </c>
      <c r="AE218" s="6" t="n"/>
      <c r="AF2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8" s="11">
        <f>IF(tblOrdenes[[#This Row],[orden]]="","",_xlfn.XLOOKUP(tblOrdenes[[#This Row],[id_operacion]],tblEjecucion[id_operacion],tblEjecucion[precio],0))</f>
        <v/>
      </c>
      <c r="AJ218" s="11">
        <f>IF(tblOrdenes[[#This Row],[orden]]="","",MAX(0,_xlfn.XLOOKUP(tblOrdenes[[#This Row],[id_operacion]],tblEjecucion[id_operacion],tblEjecucion[costo_plan_total],0)-tblOrdenes[[#This Row],[costo_servicio]]))</f>
        <v/>
      </c>
      <c r="AK218" s="11">
        <f>IF(tblOrdenes[[#This Row],[orden]]="","",tblOrdenes[[#This Row],[costo_servicio]]+tblOrdenes[[#This Row],[costo_materiales]])</f>
        <v/>
      </c>
      <c r="AL218" s="6" t="n"/>
      <c r="AM218" s="6" t="n"/>
      <c r="AN218" s="6" t="n"/>
      <c r="AO218" s="3">
        <f>IF(tblOrdenes[[#This Row],[link_checklist]]="","",HYPERLINK(p_ruta_base_checklists&amp;tblOrdenes[[#This Row],[link_checklist]],"abrir"))</f>
        <v/>
      </c>
      <c r="AP218" s="6" t="n"/>
      <c r="AQ218" s="3">
        <f>IF(tblOrdenes[[#This Row],[orden]]="","",tblOrdenes[[#This Row],[orden]]&amp;IF(tblOrdenes[[#This Row],[operacion]]="","0010",tblOrdenes[[#This Row],[operacion]]))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2" t="n"/>
      <c r="K219" s="3" t="n"/>
      <c r="L219" s="11" t="n"/>
      <c r="M2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9" s="3">
        <f>IF(tblOrdenes[[#This Row],[fecha_inicio]]="","",YEAR(tblOrdenes[[#This Row],[fecha_inicio]]))</f>
        <v/>
      </c>
      <c r="Q219" s="3">
        <f>IF(tblOrdenes[[#This Row],[fecha_inicio]]="","",MONTH(tblOrdenes[[#This Row],[fecha_inicio]]))</f>
        <v/>
      </c>
      <c r="R219" s="3">
        <f>IF(tblOrdenes[[#This Row],[fecha_inicio]]="","",INDEX(lista_dias,WEEKDAY(tblOrdenes[[#This Row],[fecha_inicio]],2)))</f>
        <v/>
      </c>
      <c r="S2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9" s="3">
        <f>IF(tblOrdenes[[#This Row],[tipo_ot]]="","",_xlfn.XLOOKUP(tblOrdenes[[#This Row],[tipo_ot]],tblTiposOT[codigo],tblTiposOT[clasificacion],"sin_clasificar"))</f>
        <v/>
      </c>
      <c r="U219" s="3">
        <f>IF(tblOrdenes[[#This Row],[centro_costo]]="","",_xlfn.XLOOKUP(tblOrdenes[[#This Row],[centro_costo]],tblCECO[codigo],tblCECO[linea],"(sin catálogo)"))</f>
        <v/>
      </c>
      <c r="V219" s="3">
        <f>IF(tblOrdenes[[#This Row],[centro_costo]]="","",_xlfn.XLOOKUP(tblOrdenes[[#This Row],[centro_costo]],tblCECO[codigo],tblCECO[area],"(sin catálogo)"))</f>
        <v/>
      </c>
      <c r="W2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9" s="3">
        <f>IF(tblOrdenes[[#This Row],[centro_costo]]="","",_xlfn.XLOOKUP(tblOrdenes[[#This Row],[centro_costo]],tblCECO[codigo],tblCECO[coordinador],"(sin catálogo)"))</f>
        <v/>
      </c>
      <c r="Y219" s="3">
        <f>IF(tblOrdenes[[#This Row],[puesto_trabajo]]="","",_xlfn.XLOOKUP(tblOrdenes[[#This Row],[puesto_trabajo]],tblPuestos[codigo],tblPuestos[especialidad],"(sin catálogo)"))</f>
        <v/>
      </c>
      <c r="Z219" s="3">
        <f>IF(tblOrdenes[[#This Row],[cod_actividad]]="","",_xlfn.XLOOKUP(tblOrdenes[[#This Row],[cod_actividad]],tblActividades[codigo],tblActividades[descripcion],"(sin catálogo)"))</f>
        <v/>
      </c>
      <c r="AA219" s="13">
        <f>IF(tblOrdenes[[#This Row],[fecha_inicio]]="","",TODAY()-tblOrdenes[[#This Row],[fecha_inicio]])</f>
        <v/>
      </c>
      <c r="AB2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9" s="3">
        <f>IF(tblOrdenes[[#This Row],[backlog_habiles]]="","",IF(tblOrdenes[[#This Row],[backlog_habiles]]&lt;0,"FUTURO",IF(tblOrdenes[[#This Row],[backlog_habiles]]&gt;p_dias_backlog_max,"BACKLOG","MES CORRIENTE")))</f>
        <v/>
      </c>
      <c r="AD219" s="3">
        <f>IF(tblOrdenes[[#This Row],[backlog_habiles]]="",FALSE,AND(tblOrdenes[[#This Row],[backlog_habiles]]&gt;p_dias_backlog_min,tblOrdenes[[#This Row],[backlog_habiles]]&lt;=p_dias_backlog_max))</f>
        <v/>
      </c>
      <c r="AE219" s="6" t="n"/>
      <c r="AF2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9" s="11">
        <f>IF(tblOrdenes[[#This Row],[orden]]="","",_xlfn.XLOOKUP(tblOrdenes[[#This Row],[id_operacion]],tblEjecucion[id_operacion],tblEjecucion[precio],0))</f>
        <v/>
      </c>
      <c r="AJ219" s="11">
        <f>IF(tblOrdenes[[#This Row],[orden]]="","",MAX(0,_xlfn.XLOOKUP(tblOrdenes[[#This Row],[id_operacion]],tblEjecucion[id_operacion],tblEjecucion[costo_plan_total],0)-tblOrdenes[[#This Row],[costo_servicio]]))</f>
        <v/>
      </c>
      <c r="AK219" s="11">
        <f>IF(tblOrdenes[[#This Row],[orden]]="","",tblOrdenes[[#This Row],[costo_servicio]]+tblOrdenes[[#This Row],[costo_materiales]])</f>
        <v/>
      </c>
      <c r="AL219" s="6" t="n"/>
      <c r="AM219" s="6" t="n"/>
      <c r="AN219" s="6" t="n"/>
      <c r="AO219" s="3">
        <f>IF(tblOrdenes[[#This Row],[link_checklist]]="","",HYPERLINK(p_ruta_base_checklists&amp;tblOrdenes[[#This Row],[link_checklist]],"abrir"))</f>
        <v/>
      </c>
      <c r="AP219" s="6" t="n"/>
      <c r="AQ219" s="3">
        <f>IF(tblOrdenes[[#This Row],[orden]]="","",tblOrdenes[[#This Row],[orden]]&amp;IF(tblOrdenes[[#This Row],[operacion]]="","0010",tblOrdenes[[#This Row],[operacion]]))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2" t="n"/>
      <c r="K220" s="3" t="n"/>
      <c r="L220" s="11" t="n"/>
      <c r="M2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0" s="3">
        <f>IF(tblOrdenes[[#This Row],[fecha_inicio]]="","",YEAR(tblOrdenes[[#This Row],[fecha_inicio]]))</f>
        <v/>
      </c>
      <c r="Q220" s="3">
        <f>IF(tblOrdenes[[#This Row],[fecha_inicio]]="","",MONTH(tblOrdenes[[#This Row],[fecha_inicio]]))</f>
        <v/>
      </c>
      <c r="R220" s="3">
        <f>IF(tblOrdenes[[#This Row],[fecha_inicio]]="","",INDEX(lista_dias,WEEKDAY(tblOrdenes[[#This Row],[fecha_inicio]],2)))</f>
        <v/>
      </c>
      <c r="S2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0" s="3">
        <f>IF(tblOrdenes[[#This Row],[tipo_ot]]="","",_xlfn.XLOOKUP(tblOrdenes[[#This Row],[tipo_ot]],tblTiposOT[codigo],tblTiposOT[clasificacion],"sin_clasificar"))</f>
        <v/>
      </c>
      <c r="U220" s="3">
        <f>IF(tblOrdenes[[#This Row],[centro_costo]]="","",_xlfn.XLOOKUP(tblOrdenes[[#This Row],[centro_costo]],tblCECO[codigo],tblCECO[linea],"(sin catálogo)"))</f>
        <v/>
      </c>
      <c r="V220" s="3">
        <f>IF(tblOrdenes[[#This Row],[centro_costo]]="","",_xlfn.XLOOKUP(tblOrdenes[[#This Row],[centro_costo]],tblCECO[codigo],tblCECO[area],"(sin catálogo)"))</f>
        <v/>
      </c>
      <c r="W2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0" s="3">
        <f>IF(tblOrdenes[[#This Row],[centro_costo]]="","",_xlfn.XLOOKUP(tblOrdenes[[#This Row],[centro_costo]],tblCECO[codigo],tblCECO[coordinador],"(sin catálogo)"))</f>
        <v/>
      </c>
      <c r="Y220" s="3">
        <f>IF(tblOrdenes[[#This Row],[puesto_trabajo]]="","",_xlfn.XLOOKUP(tblOrdenes[[#This Row],[puesto_trabajo]],tblPuestos[codigo],tblPuestos[especialidad],"(sin catálogo)"))</f>
        <v/>
      </c>
      <c r="Z220" s="3">
        <f>IF(tblOrdenes[[#This Row],[cod_actividad]]="","",_xlfn.XLOOKUP(tblOrdenes[[#This Row],[cod_actividad]],tblActividades[codigo],tblActividades[descripcion],"(sin catálogo)"))</f>
        <v/>
      </c>
      <c r="AA220" s="13">
        <f>IF(tblOrdenes[[#This Row],[fecha_inicio]]="","",TODAY()-tblOrdenes[[#This Row],[fecha_inicio]])</f>
        <v/>
      </c>
      <c r="AB2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0" s="3">
        <f>IF(tblOrdenes[[#This Row],[backlog_habiles]]="","",IF(tblOrdenes[[#This Row],[backlog_habiles]]&lt;0,"FUTURO",IF(tblOrdenes[[#This Row],[backlog_habiles]]&gt;p_dias_backlog_max,"BACKLOG","MES CORRIENTE")))</f>
        <v/>
      </c>
      <c r="AD220" s="3">
        <f>IF(tblOrdenes[[#This Row],[backlog_habiles]]="",FALSE,AND(tblOrdenes[[#This Row],[backlog_habiles]]&gt;p_dias_backlog_min,tblOrdenes[[#This Row],[backlog_habiles]]&lt;=p_dias_backlog_max))</f>
        <v/>
      </c>
      <c r="AE220" s="6" t="n"/>
      <c r="AF2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0" s="11">
        <f>IF(tblOrdenes[[#This Row],[orden]]="","",_xlfn.XLOOKUP(tblOrdenes[[#This Row],[id_operacion]],tblEjecucion[id_operacion],tblEjecucion[precio],0))</f>
        <v/>
      </c>
      <c r="AJ220" s="11">
        <f>IF(tblOrdenes[[#This Row],[orden]]="","",MAX(0,_xlfn.XLOOKUP(tblOrdenes[[#This Row],[id_operacion]],tblEjecucion[id_operacion],tblEjecucion[costo_plan_total],0)-tblOrdenes[[#This Row],[costo_servicio]]))</f>
        <v/>
      </c>
      <c r="AK220" s="11">
        <f>IF(tblOrdenes[[#This Row],[orden]]="","",tblOrdenes[[#This Row],[costo_servicio]]+tblOrdenes[[#This Row],[costo_materiales]])</f>
        <v/>
      </c>
      <c r="AL220" s="6" t="n"/>
      <c r="AM220" s="6" t="n"/>
      <c r="AN220" s="6" t="n"/>
      <c r="AO220" s="3">
        <f>IF(tblOrdenes[[#This Row],[link_checklist]]="","",HYPERLINK(p_ruta_base_checklists&amp;tblOrdenes[[#This Row],[link_checklist]],"abrir"))</f>
        <v/>
      </c>
      <c r="AP220" s="6" t="n"/>
      <c r="AQ220" s="3">
        <f>IF(tblOrdenes[[#This Row],[orden]]="","",tblOrdenes[[#This Row],[orden]]&amp;IF(tblOrdenes[[#This Row],[operacion]]="","0010",tblOrdenes[[#This Row],[operacion]]))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2" t="n"/>
      <c r="K221" s="3" t="n"/>
      <c r="L221" s="11" t="n"/>
      <c r="M2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1" s="3">
        <f>IF(tblOrdenes[[#This Row],[fecha_inicio]]="","",YEAR(tblOrdenes[[#This Row],[fecha_inicio]]))</f>
        <v/>
      </c>
      <c r="Q221" s="3">
        <f>IF(tblOrdenes[[#This Row],[fecha_inicio]]="","",MONTH(tblOrdenes[[#This Row],[fecha_inicio]]))</f>
        <v/>
      </c>
      <c r="R221" s="3">
        <f>IF(tblOrdenes[[#This Row],[fecha_inicio]]="","",INDEX(lista_dias,WEEKDAY(tblOrdenes[[#This Row],[fecha_inicio]],2)))</f>
        <v/>
      </c>
      <c r="S2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1" s="3">
        <f>IF(tblOrdenes[[#This Row],[tipo_ot]]="","",_xlfn.XLOOKUP(tblOrdenes[[#This Row],[tipo_ot]],tblTiposOT[codigo],tblTiposOT[clasificacion],"sin_clasificar"))</f>
        <v/>
      </c>
      <c r="U221" s="3">
        <f>IF(tblOrdenes[[#This Row],[centro_costo]]="","",_xlfn.XLOOKUP(tblOrdenes[[#This Row],[centro_costo]],tblCECO[codigo],tblCECO[linea],"(sin catálogo)"))</f>
        <v/>
      </c>
      <c r="V221" s="3">
        <f>IF(tblOrdenes[[#This Row],[centro_costo]]="","",_xlfn.XLOOKUP(tblOrdenes[[#This Row],[centro_costo]],tblCECO[codigo],tblCECO[area],"(sin catálogo)"))</f>
        <v/>
      </c>
      <c r="W2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1" s="3">
        <f>IF(tblOrdenes[[#This Row],[centro_costo]]="","",_xlfn.XLOOKUP(tblOrdenes[[#This Row],[centro_costo]],tblCECO[codigo],tblCECO[coordinador],"(sin catálogo)"))</f>
        <v/>
      </c>
      <c r="Y221" s="3">
        <f>IF(tblOrdenes[[#This Row],[puesto_trabajo]]="","",_xlfn.XLOOKUP(tblOrdenes[[#This Row],[puesto_trabajo]],tblPuestos[codigo],tblPuestos[especialidad],"(sin catálogo)"))</f>
        <v/>
      </c>
      <c r="Z221" s="3">
        <f>IF(tblOrdenes[[#This Row],[cod_actividad]]="","",_xlfn.XLOOKUP(tblOrdenes[[#This Row],[cod_actividad]],tblActividades[codigo],tblActividades[descripcion],"(sin catálogo)"))</f>
        <v/>
      </c>
      <c r="AA221" s="13">
        <f>IF(tblOrdenes[[#This Row],[fecha_inicio]]="","",TODAY()-tblOrdenes[[#This Row],[fecha_inicio]])</f>
        <v/>
      </c>
      <c r="AB2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1" s="3">
        <f>IF(tblOrdenes[[#This Row],[backlog_habiles]]="","",IF(tblOrdenes[[#This Row],[backlog_habiles]]&lt;0,"FUTURO",IF(tblOrdenes[[#This Row],[backlog_habiles]]&gt;p_dias_backlog_max,"BACKLOG","MES CORRIENTE")))</f>
        <v/>
      </c>
      <c r="AD221" s="3">
        <f>IF(tblOrdenes[[#This Row],[backlog_habiles]]="",FALSE,AND(tblOrdenes[[#This Row],[backlog_habiles]]&gt;p_dias_backlog_min,tblOrdenes[[#This Row],[backlog_habiles]]&lt;=p_dias_backlog_max))</f>
        <v/>
      </c>
      <c r="AE221" s="6" t="n"/>
      <c r="AF2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1" s="11">
        <f>IF(tblOrdenes[[#This Row],[orden]]="","",_xlfn.XLOOKUP(tblOrdenes[[#This Row],[id_operacion]],tblEjecucion[id_operacion],tblEjecucion[precio],0))</f>
        <v/>
      </c>
      <c r="AJ221" s="11">
        <f>IF(tblOrdenes[[#This Row],[orden]]="","",MAX(0,_xlfn.XLOOKUP(tblOrdenes[[#This Row],[id_operacion]],tblEjecucion[id_operacion],tblEjecucion[costo_plan_total],0)-tblOrdenes[[#This Row],[costo_servicio]]))</f>
        <v/>
      </c>
      <c r="AK221" s="11">
        <f>IF(tblOrdenes[[#This Row],[orden]]="","",tblOrdenes[[#This Row],[costo_servicio]]+tblOrdenes[[#This Row],[costo_materiales]])</f>
        <v/>
      </c>
      <c r="AL221" s="6" t="n"/>
      <c r="AM221" s="6" t="n"/>
      <c r="AN221" s="6" t="n"/>
      <c r="AO221" s="3">
        <f>IF(tblOrdenes[[#This Row],[link_checklist]]="","",HYPERLINK(p_ruta_base_checklists&amp;tblOrdenes[[#This Row],[link_checklist]],"abrir"))</f>
        <v/>
      </c>
      <c r="AP221" s="6" t="n"/>
      <c r="AQ221" s="3">
        <f>IF(tblOrdenes[[#This Row],[orden]]="","",tblOrdenes[[#This Row],[orden]]&amp;IF(tblOrdenes[[#This Row],[operacion]]="","0010",tblOrdenes[[#This Row],[operacion]]))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2" t="n"/>
      <c r="K222" s="3" t="n"/>
      <c r="L222" s="11" t="n"/>
      <c r="M2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2" s="3">
        <f>IF(tblOrdenes[[#This Row],[fecha_inicio]]="","",YEAR(tblOrdenes[[#This Row],[fecha_inicio]]))</f>
        <v/>
      </c>
      <c r="Q222" s="3">
        <f>IF(tblOrdenes[[#This Row],[fecha_inicio]]="","",MONTH(tblOrdenes[[#This Row],[fecha_inicio]]))</f>
        <v/>
      </c>
      <c r="R222" s="3">
        <f>IF(tblOrdenes[[#This Row],[fecha_inicio]]="","",INDEX(lista_dias,WEEKDAY(tblOrdenes[[#This Row],[fecha_inicio]],2)))</f>
        <v/>
      </c>
      <c r="S2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2" s="3">
        <f>IF(tblOrdenes[[#This Row],[tipo_ot]]="","",_xlfn.XLOOKUP(tblOrdenes[[#This Row],[tipo_ot]],tblTiposOT[codigo],tblTiposOT[clasificacion],"sin_clasificar"))</f>
        <v/>
      </c>
      <c r="U222" s="3">
        <f>IF(tblOrdenes[[#This Row],[centro_costo]]="","",_xlfn.XLOOKUP(tblOrdenes[[#This Row],[centro_costo]],tblCECO[codigo],tblCECO[linea],"(sin catálogo)"))</f>
        <v/>
      </c>
      <c r="V222" s="3">
        <f>IF(tblOrdenes[[#This Row],[centro_costo]]="","",_xlfn.XLOOKUP(tblOrdenes[[#This Row],[centro_costo]],tblCECO[codigo],tblCECO[area],"(sin catálogo)"))</f>
        <v/>
      </c>
      <c r="W2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2" s="3">
        <f>IF(tblOrdenes[[#This Row],[centro_costo]]="","",_xlfn.XLOOKUP(tblOrdenes[[#This Row],[centro_costo]],tblCECO[codigo],tblCECO[coordinador],"(sin catálogo)"))</f>
        <v/>
      </c>
      <c r="Y222" s="3">
        <f>IF(tblOrdenes[[#This Row],[puesto_trabajo]]="","",_xlfn.XLOOKUP(tblOrdenes[[#This Row],[puesto_trabajo]],tblPuestos[codigo],tblPuestos[especialidad],"(sin catálogo)"))</f>
        <v/>
      </c>
      <c r="Z222" s="3">
        <f>IF(tblOrdenes[[#This Row],[cod_actividad]]="","",_xlfn.XLOOKUP(tblOrdenes[[#This Row],[cod_actividad]],tblActividades[codigo],tblActividades[descripcion],"(sin catálogo)"))</f>
        <v/>
      </c>
      <c r="AA222" s="13">
        <f>IF(tblOrdenes[[#This Row],[fecha_inicio]]="","",TODAY()-tblOrdenes[[#This Row],[fecha_inicio]])</f>
        <v/>
      </c>
      <c r="AB2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2" s="3">
        <f>IF(tblOrdenes[[#This Row],[backlog_habiles]]="","",IF(tblOrdenes[[#This Row],[backlog_habiles]]&lt;0,"FUTURO",IF(tblOrdenes[[#This Row],[backlog_habiles]]&gt;p_dias_backlog_max,"BACKLOG","MES CORRIENTE")))</f>
        <v/>
      </c>
      <c r="AD222" s="3">
        <f>IF(tblOrdenes[[#This Row],[backlog_habiles]]="",FALSE,AND(tblOrdenes[[#This Row],[backlog_habiles]]&gt;p_dias_backlog_min,tblOrdenes[[#This Row],[backlog_habiles]]&lt;=p_dias_backlog_max))</f>
        <v/>
      </c>
      <c r="AE222" s="6" t="n"/>
      <c r="AF2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2" s="11">
        <f>IF(tblOrdenes[[#This Row],[orden]]="","",_xlfn.XLOOKUP(tblOrdenes[[#This Row],[id_operacion]],tblEjecucion[id_operacion],tblEjecucion[precio],0))</f>
        <v/>
      </c>
      <c r="AJ222" s="11">
        <f>IF(tblOrdenes[[#This Row],[orden]]="","",MAX(0,_xlfn.XLOOKUP(tblOrdenes[[#This Row],[id_operacion]],tblEjecucion[id_operacion],tblEjecucion[costo_plan_total],0)-tblOrdenes[[#This Row],[costo_servicio]]))</f>
        <v/>
      </c>
      <c r="AK222" s="11">
        <f>IF(tblOrdenes[[#This Row],[orden]]="","",tblOrdenes[[#This Row],[costo_servicio]]+tblOrdenes[[#This Row],[costo_materiales]])</f>
        <v/>
      </c>
      <c r="AL222" s="6" t="n"/>
      <c r="AM222" s="6" t="n"/>
      <c r="AN222" s="6" t="n"/>
      <c r="AO222" s="3">
        <f>IF(tblOrdenes[[#This Row],[link_checklist]]="","",HYPERLINK(p_ruta_base_checklists&amp;tblOrdenes[[#This Row],[link_checklist]],"abrir"))</f>
        <v/>
      </c>
      <c r="AP222" s="6" t="n"/>
      <c r="AQ222" s="3">
        <f>IF(tblOrdenes[[#This Row],[orden]]="","",tblOrdenes[[#This Row],[orden]]&amp;IF(tblOrdenes[[#This Row],[operacion]]="","0010",tblOrdenes[[#This Row],[operacion]]))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2" t="n"/>
      <c r="K223" s="3" t="n"/>
      <c r="L223" s="11" t="n"/>
      <c r="M2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3" s="3">
        <f>IF(tblOrdenes[[#This Row],[fecha_inicio]]="","",YEAR(tblOrdenes[[#This Row],[fecha_inicio]]))</f>
        <v/>
      </c>
      <c r="Q223" s="3">
        <f>IF(tblOrdenes[[#This Row],[fecha_inicio]]="","",MONTH(tblOrdenes[[#This Row],[fecha_inicio]]))</f>
        <v/>
      </c>
      <c r="R223" s="3">
        <f>IF(tblOrdenes[[#This Row],[fecha_inicio]]="","",INDEX(lista_dias,WEEKDAY(tblOrdenes[[#This Row],[fecha_inicio]],2)))</f>
        <v/>
      </c>
      <c r="S2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3" s="3">
        <f>IF(tblOrdenes[[#This Row],[tipo_ot]]="","",_xlfn.XLOOKUP(tblOrdenes[[#This Row],[tipo_ot]],tblTiposOT[codigo],tblTiposOT[clasificacion],"sin_clasificar"))</f>
        <v/>
      </c>
      <c r="U223" s="3">
        <f>IF(tblOrdenes[[#This Row],[centro_costo]]="","",_xlfn.XLOOKUP(tblOrdenes[[#This Row],[centro_costo]],tblCECO[codigo],tblCECO[linea],"(sin catálogo)"))</f>
        <v/>
      </c>
      <c r="V223" s="3">
        <f>IF(tblOrdenes[[#This Row],[centro_costo]]="","",_xlfn.XLOOKUP(tblOrdenes[[#This Row],[centro_costo]],tblCECO[codigo],tblCECO[area],"(sin catálogo)"))</f>
        <v/>
      </c>
      <c r="W2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3" s="3">
        <f>IF(tblOrdenes[[#This Row],[centro_costo]]="","",_xlfn.XLOOKUP(tblOrdenes[[#This Row],[centro_costo]],tblCECO[codigo],tblCECO[coordinador],"(sin catálogo)"))</f>
        <v/>
      </c>
      <c r="Y223" s="3">
        <f>IF(tblOrdenes[[#This Row],[puesto_trabajo]]="","",_xlfn.XLOOKUP(tblOrdenes[[#This Row],[puesto_trabajo]],tblPuestos[codigo],tblPuestos[especialidad],"(sin catálogo)"))</f>
        <v/>
      </c>
      <c r="Z223" s="3">
        <f>IF(tblOrdenes[[#This Row],[cod_actividad]]="","",_xlfn.XLOOKUP(tblOrdenes[[#This Row],[cod_actividad]],tblActividades[codigo],tblActividades[descripcion],"(sin catálogo)"))</f>
        <v/>
      </c>
      <c r="AA223" s="13">
        <f>IF(tblOrdenes[[#This Row],[fecha_inicio]]="","",TODAY()-tblOrdenes[[#This Row],[fecha_inicio]])</f>
        <v/>
      </c>
      <c r="AB2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3" s="3">
        <f>IF(tblOrdenes[[#This Row],[backlog_habiles]]="","",IF(tblOrdenes[[#This Row],[backlog_habiles]]&lt;0,"FUTURO",IF(tblOrdenes[[#This Row],[backlog_habiles]]&gt;p_dias_backlog_max,"BACKLOG","MES CORRIENTE")))</f>
        <v/>
      </c>
      <c r="AD223" s="3">
        <f>IF(tblOrdenes[[#This Row],[backlog_habiles]]="",FALSE,AND(tblOrdenes[[#This Row],[backlog_habiles]]&gt;p_dias_backlog_min,tblOrdenes[[#This Row],[backlog_habiles]]&lt;=p_dias_backlog_max))</f>
        <v/>
      </c>
      <c r="AE223" s="6" t="n"/>
      <c r="AF2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3" s="11">
        <f>IF(tblOrdenes[[#This Row],[orden]]="","",_xlfn.XLOOKUP(tblOrdenes[[#This Row],[id_operacion]],tblEjecucion[id_operacion],tblEjecucion[precio],0))</f>
        <v/>
      </c>
      <c r="AJ223" s="11">
        <f>IF(tblOrdenes[[#This Row],[orden]]="","",MAX(0,_xlfn.XLOOKUP(tblOrdenes[[#This Row],[id_operacion]],tblEjecucion[id_operacion],tblEjecucion[costo_plan_total],0)-tblOrdenes[[#This Row],[costo_servicio]]))</f>
        <v/>
      </c>
      <c r="AK223" s="11">
        <f>IF(tblOrdenes[[#This Row],[orden]]="","",tblOrdenes[[#This Row],[costo_servicio]]+tblOrdenes[[#This Row],[costo_materiales]])</f>
        <v/>
      </c>
      <c r="AL223" s="6" t="n"/>
      <c r="AM223" s="6" t="n"/>
      <c r="AN223" s="6" t="n"/>
      <c r="AO223" s="3">
        <f>IF(tblOrdenes[[#This Row],[link_checklist]]="","",HYPERLINK(p_ruta_base_checklists&amp;tblOrdenes[[#This Row],[link_checklist]],"abrir"))</f>
        <v/>
      </c>
      <c r="AP223" s="6" t="n"/>
      <c r="AQ223" s="3">
        <f>IF(tblOrdenes[[#This Row],[orden]]="","",tblOrdenes[[#This Row],[orden]]&amp;IF(tblOrdenes[[#This Row],[operacion]]="","0010",tblOrdenes[[#This Row],[operacion]]))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2" t="n"/>
      <c r="K224" s="3" t="n"/>
      <c r="L224" s="11" t="n"/>
      <c r="M2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4" s="3">
        <f>IF(tblOrdenes[[#This Row],[fecha_inicio]]="","",YEAR(tblOrdenes[[#This Row],[fecha_inicio]]))</f>
        <v/>
      </c>
      <c r="Q224" s="3">
        <f>IF(tblOrdenes[[#This Row],[fecha_inicio]]="","",MONTH(tblOrdenes[[#This Row],[fecha_inicio]]))</f>
        <v/>
      </c>
      <c r="R224" s="3">
        <f>IF(tblOrdenes[[#This Row],[fecha_inicio]]="","",INDEX(lista_dias,WEEKDAY(tblOrdenes[[#This Row],[fecha_inicio]],2)))</f>
        <v/>
      </c>
      <c r="S2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4" s="3">
        <f>IF(tblOrdenes[[#This Row],[tipo_ot]]="","",_xlfn.XLOOKUP(tblOrdenes[[#This Row],[tipo_ot]],tblTiposOT[codigo],tblTiposOT[clasificacion],"sin_clasificar"))</f>
        <v/>
      </c>
      <c r="U224" s="3">
        <f>IF(tblOrdenes[[#This Row],[centro_costo]]="","",_xlfn.XLOOKUP(tblOrdenes[[#This Row],[centro_costo]],tblCECO[codigo],tblCECO[linea],"(sin catálogo)"))</f>
        <v/>
      </c>
      <c r="V224" s="3">
        <f>IF(tblOrdenes[[#This Row],[centro_costo]]="","",_xlfn.XLOOKUP(tblOrdenes[[#This Row],[centro_costo]],tblCECO[codigo],tblCECO[area],"(sin catálogo)"))</f>
        <v/>
      </c>
      <c r="W2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4" s="3">
        <f>IF(tblOrdenes[[#This Row],[centro_costo]]="","",_xlfn.XLOOKUP(tblOrdenes[[#This Row],[centro_costo]],tblCECO[codigo],tblCECO[coordinador],"(sin catálogo)"))</f>
        <v/>
      </c>
      <c r="Y224" s="3">
        <f>IF(tblOrdenes[[#This Row],[puesto_trabajo]]="","",_xlfn.XLOOKUP(tblOrdenes[[#This Row],[puesto_trabajo]],tblPuestos[codigo],tblPuestos[especialidad],"(sin catálogo)"))</f>
        <v/>
      </c>
      <c r="Z224" s="3">
        <f>IF(tblOrdenes[[#This Row],[cod_actividad]]="","",_xlfn.XLOOKUP(tblOrdenes[[#This Row],[cod_actividad]],tblActividades[codigo],tblActividades[descripcion],"(sin catálogo)"))</f>
        <v/>
      </c>
      <c r="AA224" s="13">
        <f>IF(tblOrdenes[[#This Row],[fecha_inicio]]="","",TODAY()-tblOrdenes[[#This Row],[fecha_inicio]])</f>
        <v/>
      </c>
      <c r="AB2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4" s="3">
        <f>IF(tblOrdenes[[#This Row],[backlog_habiles]]="","",IF(tblOrdenes[[#This Row],[backlog_habiles]]&lt;0,"FUTURO",IF(tblOrdenes[[#This Row],[backlog_habiles]]&gt;p_dias_backlog_max,"BACKLOG","MES CORRIENTE")))</f>
        <v/>
      </c>
      <c r="AD224" s="3">
        <f>IF(tblOrdenes[[#This Row],[backlog_habiles]]="",FALSE,AND(tblOrdenes[[#This Row],[backlog_habiles]]&gt;p_dias_backlog_min,tblOrdenes[[#This Row],[backlog_habiles]]&lt;=p_dias_backlog_max))</f>
        <v/>
      </c>
      <c r="AE224" s="6" t="n"/>
      <c r="AF2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4" s="11">
        <f>IF(tblOrdenes[[#This Row],[orden]]="","",_xlfn.XLOOKUP(tblOrdenes[[#This Row],[id_operacion]],tblEjecucion[id_operacion],tblEjecucion[precio],0))</f>
        <v/>
      </c>
      <c r="AJ224" s="11">
        <f>IF(tblOrdenes[[#This Row],[orden]]="","",MAX(0,_xlfn.XLOOKUP(tblOrdenes[[#This Row],[id_operacion]],tblEjecucion[id_operacion],tblEjecucion[costo_plan_total],0)-tblOrdenes[[#This Row],[costo_servicio]]))</f>
        <v/>
      </c>
      <c r="AK224" s="11">
        <f>IF(tblOrdenes[[#This Row],[orden]]="","",tblOrdenes[[#This Row],[costo_servicio]]+tblOrdenes[[#This Row],[costo_materiales]])</f>
        <v/>
      </c>
      <c r="AL224" s="6" t="n"/>
      <c r="AM224" s="6" t="n"/>
      <c r="AN224" s="6" t="n"/>
      <c r="AO224" s="3">
        <f>IF(tblOrdenes[[#This Row],[link_checklist]]="","",HYPERLINK(p_ruta_base_checklists&amp;tblOrdenes[[#This Row],[link_checklist]],"abrir"))</f>
        <v/>
      </c>
      <c r="AP224" s="6" t="n"/>
      <c r="AQ224" s="3">
        <f>IF(tblOrdenes[[#This Row],[orden]]="","",tblOrdenes[[#This Row],[orden]]&amp;IF(tblOrdenes[[#This Row],[operacion]]="","0010",tblOrdenes[[#This Row],[operacion]]))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2" t="n"/>
      <c r="K225" s="3" t="n"/>
      <c r="L225" s="11" t="n"/>
      <c r="M2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5" s="3">
        <f>IF(tblOrdenes[[#This Row],[fecha_inicio]]="","",YEAR(tblOrdenes[[#This Row],[fecha_inicio]]))</f>
        <v/>
      </c>
      <c r="Q225" s="3">
        <f>IF(tblOrdenes[[#This Row],[fecha_inicio]]="","",MONTH(tblOrdenes[[#This Row],[fecha_inicio]]))</f>
        <v/>
      </c>
      <c r="R225" s="3">
        <f>IF(tblOrdenes[[#This Row],[fecha_inicio]]="","",INDEX(lista_dias,WEEKDAY(tblOrdenes[[#This Row],[fecha_inicio]],2)))</f>
        <v/>
      </c>
      <c r="S2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5" s="3">
        <f>IF(tblOrdenes[[#This Row],[tipo_ot]]="","",_xlfn.XLOOKUP(tblOrdenes[[#This Row],[tipo_ot]],tblTiposOT[codigo],tblTiposOT[clasificacion],"sin_clasificar"))</f>
        <v/>
      </c>
      <c r="U225" s="3">
        <f>IF(tblOrdenes[[#This Row],[centro_costo]]="","",_xlfn.XLOOKUP(tblOrdenes[[#This Row],[centro_costo]],tblCECO[codigo],tblCECO[linea],"(sin catálogo)"))</f>
        <v/>
      </c>
      <c r="V225" s="3">
        <f>IF(tblOrdenes[[#This Row],[centro_costo]]="","",_xlfn.XLOOKUP(tblOrdenes[[#This Row],[centro_costo]],tblCECO[codigo],tblCECO[area],"(sin catálogo)"))</f>
        <v/>
      </c>
      <c r="W2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5" s="3">
        <f>IF(tblOrdenes[[#This Row],[centro_costo]]="","",_xlfn.XLOOKUP(tblOrdenes[[#This Row],[centro_costo]],tblCECO[codigo],tblCECO[coordinador],"(sin catálogo)"))</f>
        <v/>
      </c>
      <c r="Y225" s="3">
        <f>IF(tblOrdenes[[#This Row],[puesto_trabajo]]="","",_xlfn.XLOOKUP(tblOrdenes[[#This Row],[puesto_trabajo]],tblPuestos[codigo],tblPuestos[especialidad],"(sin catálogo)"))</f>
        <v/>
      </c>
      <c r="Z225" s="3">
        <f>IF(tblOrdenes[[#This Row],[cod_actividad]]="","",_xlfn.XLOOKUP(tblOrdenes[[#This Row],[cod_actividad]],tblActividades[codigo],tblActividades[descripcion],"(sin catálogo)"))</f>
        <v/>
      </c>
      <c r="AA225" s="13">
        <f>IF(tblOrdenes[[#This Row],[fecha_inicio]]="","",TODAY()-tblOrdenes[[#This Row],[fecha_inicio]])</f>
        <v/>
      </c>
      <c r="AB2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5" s="3">
        <f>IF(tblOrdenes[[#This Row],[backlog_habiles]]="","",IF(tblOrdenes[[#This Row],[backlog_habiles]]&lt;0,"FUTURO",IF(tblOrdenes[[#This Row],[backlog_habiles]]&gt;p_dias_backlog_max,"BACKLOG","MES CORRIENTE")))</f>
        <v/>
      </c>
      <c r="AD225" s="3">
        <f>IF(tblOrdenes[[#This Row],[backlog_habiles]]="",FALSE,AND(tblOrdenes[[#This Row],[backlog_habiles]]&gt;p_dias_backlog_min,tblOrdenes[[#This Row],[backlog_habiles]]&lt;=p_dias_backlog_max))</f>
        <v/>
      </c>
      <c r="AE225" s="6" t="n"/>
      <c r="AF2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5" s="11">
        <f>IF(tblOrdenes[[#This Row],[orden]]="","",_xlfn.XLOOKUP(tblOrdenes[[#This Row],[id_operacion]],tblEjecucion[id_operacion],tblEjecucion[precio],0))</f>
        <v/>
      </c>
      <c r="AJ225" s="11">
        <f>IF(tblOrdenes[[#This Row],[orden]]="","",MAX(0,_xlfn.XLOOKUP(tblOrdenes[[#This Row],[id_operacion]],tblEjecucion[id_operacion],tblEjecucion[costo_plan_total],0)-tblOrdenes[[#This Row],[costo_servicio]]))</f>
        <v/>
      </c>
      <c r="AK225" s="11">
        <f>IF(tblOrdenes[[#This Row],[orden]]="","",tblOrdenes[[#This Row],[costo_servicio]]+tblOrdenes[[#This Row],[costo_materiales]])</f>
        <v/>
      </c>
      <c r="AL225" s="6" t="n"/>
      <c r="AM225" s="6" t="n"/>
      <c r="AN225" s="6" t="n"/>
      <c r="AO225" s="3">
        <f>IF(tblOrdenes[[#This Row],[link_checklist]]="","",HYPERLINK(p_ruta_base_checklists&amp;tblOrdenes[[#This Row],[link_checklist]],"abrir"))</f>
        <v/>
      </c>
      <c r="AP225" s="6" t="n"/>
      <c r="AQ225" s="3">
        <f>IF(tblOrdenes[[#This Row],[orden]]="","",tblOrdenes[[#This Row],[orden]]&amp;IF(tblOrdenes[[#This Row],[operacion]]="","0010",tblOrdenes[[#This Row],[operacion]]))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2" t="n"/>
      <c r="K226" s="3" t="n"/>
      <c r="L226" s="11" t="n"/>
      <c r="M2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6" s="3">
        <f>IF(tblOrdenes[[#This Row],[fecha_inicio]]="","",YEAR(tblOrdenes[[#This Row],[fecha_inicio]]))</f>
        <v/>
      </c>
      <c r="Q226" s="3">
        <f>IF(tblOrdenes[[#This Row],[fecha_inicio]]="","",MONTH(tblOrdenes[[#This Row],[fecha_inicio]]))</f>
        <v/>
      </c>
      <c r="R226" s="3">
        <f>IF(tblOrdenes[[#This Row],[fecha_inicio]]="","",INDEX(lista_dias,WEEKDAY(tblOrdenes[[#This Row],[fecha_inicio]],2)))</f>
        <v/>
      </c>
      <c r="S2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6" s="3">
        <f>IF(tblOrdenes[[#This Row],[tipo_ot]]="","",_xlfn.XLOOKUP(tblOrdenes[[#This Row],[tipo_ot]],tblTiposOT[codigo],tblTiposOT[clasificacion],"sin_clasificar"))</f>
        <v/>
      </c>
      <c r="U226" s="3">
        <f>IF(tblOrdenes[[#This Row],[centro_costo]]="","",_xlfn.XLOOKUP(tblOrdenes[[#This Row],[centro_costo]],tblCECO[codigo],tblCECO[linea],"(sin catálogo)"))</f>
        <v/>
      </c>
      <c r="V226" s="3">
        <f>IF(tblOrdenes[[#This Row],[centro_costo]]="","",_xlfn.XLOOKUP(tblOrdenes[[#This Row],[centro_costo]],tblCECO[codigo],tblCECO[area],"(sin catálogo)"))</f>
        <v/>
      </c>
      <c r="W2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6" s="3">
        <f>IF(tblOrdenes[[#This Row],[centro_costo]]="","",_xlfn.XLOOKUP(tblOrdenes[[#This Row],[centro_costo]],tblCECO[codigo],tblCECO[coordinador],"(sin catálogo)"))</f>
        <v/>
      </c>
      <c r="Y226" s="3">
        <f>IF(tblOrdenes[[#This Row],[puesto_trabajo]]="","",_xlfn.XLOOKUP(tblOrdenes[[#This Row],[puesto_trabajo]],tblPuestos[codigo],tblPuestos[especialidad],"(sin catálogo)"))</f>
        <v/>
      </c>
      <c r="Z226" s="3">
        <f>IF(tblOrdenes[[#This Row],[cod_actividad]]="","",_xlfn.XLOOKUP(tblOrdenes[[#This Row],[cod_actividad]],tblActividades[codigo],tblActividades[descripcion],"(sin catálogo)"))</f>
        <v/>
      </c>
      <c r="AA226" s="13">
        <f>IF(tblOrdenes[[#This Row],[fecha_inicio]]="","",TODAY()-tblOrdenes[[#This Row],[fecha_inicio]])</f>
        <v/>
      </c>
      <c r="AB2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6" s="3">
        <f>IF(tblOrdenes[[#This Row],[backlog_habiles]]="","",IF(tblOrdenes[[#This Row],[backlog_habiles]]&lt;0,"FUTURO",IF(tblOrdenes[[#This Row],[backlog_habiles]]&gt;p_dias_backlog_max,"BACKLOG","MES CORRIENTE")))</f>
        <v/>
      </c>
      <c r="AD226" s="3">
        <f>IF(tblOrdenes[[#This Row],[backlog_habiles]]="",FALSE,AND(tblOrdenes[[#This Row],[backlog_habiles]]&gt;p_dias_backlog_min,tblOrdenes[[#This Row],[backlog_habiles]]&lt;=p_dias_backlog_max))</f>
        <v/>
      </c>
      <c r="AE226" s="6" t="n"/>
      <c r="AF2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6" s="11">
        <f>IF(tblOrdenes[[#This Row],[orden]]="","",_xlfn.XLOOKUP(tblOrdenes[[#This Row],[id_operacion]],tblEjecucion[id_operacion],tblEjecucion[precio],0))</f>
        <v/>
      </c>
      <c r="AJ226" s="11">
        <f>IF(tblOrdenes[[#This Row],[orden]]="","",MAX(0,_xlfn.XLOOKUP(tblOrdenes[[#This Row],[id_operacion]],tblEjecucion[id_operacion],tblEjecucion[costo_plan_total],0)-tblOrdenes[[#This Row],[costo_servicio]]))</f>
        <v/>
      </c>
      <c r="AK226" s="11">
        <f>IF(tblOrdenes[[#This Row],[orden]]="","",tblOrdenes[[#This Row],[costo_servicio]]+tblOrdenes[[#This Row],[costo_materiales]])</f>
        <v/>
      </c>
      <c r="AL226" s="6" t="n"/>
      <c r="AM226" s="6" t="n"/>
      <c r="AN226" s="6" t="n"/>
      <c r="AO226" s="3">
        <f>IF(tblOrdenes[[#This Row],[link_checklist]]="","",HYPERLINK(p_ruta_base_checklists&amp;tblOrdenes[[#This Row],[link_checklist]],"abrir"))</f>
        <v/>
      </c>
      <c r="AP226" s="6" t="n"/>
      <c r="AQ226" s="3">
        <f>IF(tblOrdenes[[#This Row],[orden]]="","",tblOrdenes[[#This Row],[orden]]&amp;IF(tblOrdenes[[#This Row],[operacion]]="","0010",tblOrdenes[[#This Row],[operacion]]))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2" t="n"/>
      <c r="K227" s="3" t="n"/>
      <c r="L227" s="11" t="n"/>
      <c r="M2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7" s="3">
        <f>IF(tblOrdenes[[#This Row],[fecha_inicio]]="","",YEAR(tblOrdenes[[#This Row],[fecha_inicio]]))</f>
        <v/>
      </c>
      <c r="Q227" s="3">
        <f>IF(tblOrdenes[[#This Row],[fecha_inicio]]="","",MONTH(tblOrdenes[[#This Row],[fecha_inicio]]))</f>
        <v/>
      </c>
      <c r="R227" s="3">
        <f>IF(tblOrdenes[[#This Row],[fecha_inicio]]="","",INDEX(lista_dias,WEEKDAY(tblOrdenes[[#This Row],[fecha_inicio]],2)))</f>
        <v/>
      </c>
      <c r="S2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7" s="3">
        <f>IF(tblOrdenes[[#This Row],[tipo_ot]]="","",_xlfn.XLOOKUP(tblOrdenes[[#This Row],[tipo_ot]],tblTiposOT[codigo],tblTiposOT[clasificacion],"sin_clasificar"))</f>
        <v/>
      </c>
      <c r="U227" s="3">
        <f>IF(tblOrdenes[[#This Row],[centro_costo]]="","",_xlfn.XLOOKUP(tblOrdenes[[#This Row],[centro_costo]],tblCECO[codigo],tblCECO[linea],"(sin catálogo)"))</f>
        <v/>
      </c>
      <c r="V227" s="3">
        <f>IF(tblOrdenes[[#This Row],[centro_costo]]="","",_xlfn.XLOOKUP(tblOrdenes[[#This Row],[centro_costo]],tblCECO[codigo],tblCECO[area],"(sin catálogo)"))</f>
        <v/>
      </c>
      <c r="W2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7" s="3">
        <f>IF(tblOrdenes[[#This Row],[centro_costo]]="","",_xlfn.XLOOKUP(tblOrdenes[[#This Row],[centro_costo]],tblCECO[codigo],tblCECO[coordinador],"(sin catálogo)"))</f>
        <v/>
      </c>
      <c r="Y227" s="3">
        <f>IF(tblOrdenes[[#This Row],[puesto_trabajo]]="","",_xlfn.XLOOKUP(tblOrdenes[[#This Row],[puesto_trabajo]],tblPuestos[codigo],tblPuestos[especialidad],"(sin catálogo)"))</f>
        <v/>
      </c>
      <c r="Z227" s="3">
        <f>IF(tblOrdenes[[#This Row],[cod_actividad]]="","",_xlfn.XLOOKUP(tblOrdenes[[#This Row],[cod_actividad]],tblActividades[codigo],tblActividades[descripcion],"(sin catálogo)"))</f>
        <v/>
      </c>
      <c r="AA227" s="13">
        <f>IF(tblOrdenes[[#This Row],[fecha_inicio]]="","",TODAY()-tblOrdenes[[#This Row],[fecha_inicio]])</f>
        <v/>
      </c>
      <c r="AB2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7" s="3">
        <f>IF(tblOrdenes[[#This Row],[backlog_habiles]]="","",IF(tblOrdenes[[#This Row],[backlog_habiles]]&lt;0,"FUTURO",IF(tblOrdenes[[#This Row],[backlog_habiles]]&gt;p_dias_backlog_max,"BACKLOG","MES CORRIENTE")))</f>
        <v/>
      </c>
      <c r="AD227" s="3">
        <f>IF(tblOrdenes[[#This Row],[backlog_habiles]]="",FALSE,AND(tblOrdenes[[#This Row],[backlog_habiles]]&gt;p_dias_backlog_min,tblOrdenes[[#This Row],[backlog_habiles]]&lt;=p_dias_backlog_max))</f>
        <v/>
      </c>
      <c r="AE227" s="6" t="n"/>
      <c r="AF2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7" s="11">
        <f>IF(tblOrdenes[[#This Row],[orden]]="","",_xlfn.XLOOKUP(tblOrdenes[[#This Row],[id_operacion]],tblEjecucion[id_operacion],tblEjecucion[precio],0))</f>
        <v/>
      </c>
      <c r="AJ227" s="11">
        <f>IF(tblOrdenes[[#This Row],[orden]]="","",MAX(0,_xlfn.XLOOKUP(tblOrdenes[[#This Row],[id_operacion]],tblEjecucion[id_operacion],tblEjecucion[costo_plan_total],0)-tblOrdenes[[#This Row],[costo_servicio]]))</f>
        <v/>
      </c>
      <c r="AK227" s="11">
        <f>IF(tblOrdenes[[#This Row],[orden]]="","",tblOrdenes[[#This Row],[costo_servicio]]+tblOrdenes[[#This Row],[costo_materiales]])</f>
        <v/>
      </c>
      <c r="AL227" s="6" t="n"/>
      <c r="AM227" s="6" t="n"/>
      <c r="AN227" s="6" t="n"/>
      <c r="AO227" s="3">
        <f>IF(tblOrdenes[[#This Row],[link_checklist]]="","",HYPERLINK(p_ruta_base_checklists&amp;tblOrdenes[[#This Row],[link_checklist]],"abrir"))</f>
        <v/>
      </c>
      <c r="AP227" s="6" t="n"/>
      <c r="AQ227" s="3">
        <f>IF(tblOrdenes[[#This Row],[orden]]="","",tblOrdenes[[#This Row],[orden]]&amp;IF(tblOrdenes[[#This Row],[operacion]]="","0010",tblOrdenes[[#This Row],[operacion]]))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2" t="n"/>
      <c r="K228" s="3" t="n"/>
      <c r="L228" s="11" t="n"/>
      <c r="M2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8" s="3">
        <f>IF(tblOrdenes[[#This Row],[fecha_inicio]]="","",YEAR(tblOrdenes[[#This Row],[fecha_inicio]]))</f>
        <v/>
      </c>
      <c r="Q228" s="3">
        <f>IF(tblOrdenes[[#This Row],[fecha_inicio]]="","",MONTH(tblOrdenes[[#This Row],[fecha_inicio]]))</f>
        <v/>
      </c>
      <c r="R228" s="3">
        <f>IF(tblOrdenes[[#This Row],[fecha_inicio]]="","",INDEX(lista_dias,WEEKDAY(tblOrdenes[[#This Row],[fecha_inicio]],2)))</f>
        <v/>
      </c>
      <c r="S2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8" s="3">
        <f>IF(tblOrdenes[[#This Row],[tipo_ot]]="","",_xlfn.XLOOKUP(tblOrdenes[[#This Row],[tipo_ot]],tblTiposOT[codigo],tblTiposOT[clasificacion],"sin_clasificar"))</f>
        <v/>
      </c>
      <c r="U228" s="3">
        <f>IF(tblOrdenes[[#This Row],[centro_costo]]="","",_xlfn.XLOOKUP(tblOrdenes[[#This Row],[centro_costo]],tblCECO[codigo],tblCECO[linea],"(sin catálogo)"))</f>
        <v/>
      </c>
      <c r="V228" s="3">
        <f>IF(tblOrdenes[[#This Row],[centro_costo]]="","",_xlfn.XLOOKUP(tblOrdenes[[#This Row],[centro_costo]],tblCECO[codigo],tblCECO[area],"(sin catálogo)"))</f>
        <v/>
      </c>
      <c r="W2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8" s="3">
        <f>IF(tblOrdenes[[#This Row],[centro_costo]]="","",_xlfn.XLOOKUP(tblOrdenes[[#This Row],[centro_costo]],tblCECO[codigo],tblCECO[coordinador],"(sin catálogo)"))</f>
        <v/>
      </c>
      <c r="Y228" s="3">
        <f>IF(tblOrdenes[[#This Row],[puesto_trabajo]]="","",_xlfn.XLOOKUP(tblOrdenes[[#This Row],[puesto_trabajo]],tblPuestos[codigo],tblPuestos[especialidad],"(sin catálogo)"))</f>
        <v/>
      </c>
      <c r="Z228" s="3">
        <f>IF(tblOrdenes[[#This Row],[cod_actividad]]="","",_xlfn.XLOOKUP(tblOrdenes[[#This Row],[cod_actividad]],tblActividades[codigo],tblActividades[descripcion],"(sin catálogo)"))</f>
        <v/>
      </c>
      <c r="AA228" s="13">
        <f>IF(tblOrdenes[[#This Row],[fecha_inicio]]="","",TODAY()-tblOrdenes[[#This Row],[fecha_inicio]])</f>
        <v/>
      </c>
      <c r="AB2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8" s="3">
        <f>IF(tblOrdenes[[#This Row],[backlog_habiles]]="","",IF(tblOrdenes[[#This Row],[backlog_habiles]]&lt;0,"FUTURO",IF(tblOrdenes[[#This Row],[backlog_habiles]]&gt;p_dias_backlog_max,"BACKLOG","MES CORRIENTE")))</f>
        <v/>
      </c>
      <c r="AD228" s="3">
        <f>IF(tblOrdenes[[#This Row],[backlog_habiles]]="",FALSE,AND(tblOrdenes[[#This Row],[backlog_habiles]]&gt;p_dias_backlog_min,tblOrdenes[[#This Row],[backlog_habiles]]&lt;=p_dias_backlog_max))</f>
        <v/>
      </c>
      <c r="AE228" s="6" t="n"/>
      <c r="AF2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8" s="11">
        <f>IF(tblOrdenes[[#This Row],[orden]]="","",_xlfn.XLOOKUP(tblOrdenes[[#This Row],[id_operacion]],tblEjecucion[id_operacion],tblEjecucion[precio],0))</f>
        <v/>
      </c>
      <c r="AJ228" s="11">
        <f>IF(tblOrdenes[[#This Row],[orden]]="","",MAX(0,_xlfn.XLOOKUP(tblOrdenes[[#This Row],[id_operacion]],tblEjecucion[id_operacion],tblEjecucion[costo_plan_total],0)-tblOrdenes[[#This Row],[costo_servicio]]))</f>
        <v/>
      </c>
      <c r="AK228" s="11">
        <f>IF(tblOrdenes[[#This Row],[orden]]="","",tblOrdenes[[#This Row],[costo_servicio]]+tblOrdenes[[#This Row],[costo_materiales]])</f>
        <v/>
      </c>
      <c r="AL228" s="6" t="n"/>
      <c r="AM228" s="6" t="n"/>
      <c r="AN228" s="6" t="n"/>
      <c r="AO228" s="3">
        <f>IF(tblOrdenes[[#This Row],[link_checklist]]="","",HYPERLINK(p_ruta_base_checklists&amp;tblOrdenes[[#This Row],[link_checklist]],"abrir"))</f>
        <v/>
      </c>
      <c r="AP228" s="6" t="n"/>
      <c r="AQ228" s="3">
        <f>IF(tblOrdenes[[#This Row],[orden]]="","",tblOrdenes[[#This Row],[orden]]&amp;IF(tblOrdenes[[#This Row],[operacion]]="","0010",tblOrdenes[[#This Row],[operacion]]))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2" t="n"/>
      <c r="K229" s="3" t="n"/>
      <c r="L229" s="11" t="n"/>
      <c r="M2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9" s="3">
        <f>IF(tblOrdenes[[#This Row],[fecha_inicio]]="","",YEAR(tblOrdenes[[#This Row],[fecha_inicio]]))</f>
        <v/>
      </c>
      <c r="Q229" s="3">
        <f>IF(tblOrdenes[[#This Row],[fecha_inicio]]="","",MONTH(tblOrdenes[[#This Row],[fecha_inicio]]))</f>
        <v/>
      </c>
      <c r="R229" s="3">
        <f>IF(tblOrdenes[[#This Row],[fecha_inicio]]="","",INDEX(lista_dias,WEEKDAY(tblOrdenes[[#This Row],[fecha_inicio]],2)))</f>
        <v/>
      </c>
      <c r="S2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9" s="3">
        <f>IF(tblOrdenes[[#This Row],[tipo_ot]]="","",_xlfn.XLOOKUP(tblOrdenes[[#This Row],[tipo_ot]],tblTiposOT[codigo],tblTiposOT[clasificacion],"sin_clasificar"))</f>
        <v/>
      </c>
      <c r="U229" s="3">
        <f>IF(tblOrdenes[[#This Row],[centro_costo]]="","",_xlfn.XLOOKUP(tblOrdenes[[#This Row],[centro_costo]],tblCECO[codigo],tblCECO[linea],"(sin catálogo)"))</f>
        <v/>
      </c>
      <c r="V229" s="3">
        <f>IF(tblOrdenes[[#This Row],[centro_costo]]="","",_xlfn.XLOOKUP(tblOrdenes[[#This Row],[centro_costo]],tblCECO[codigo],tblCECO[area],"(sin catálogo)"))</f>
        <v/>
      </c>
      <c r="W2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9" s="3">
        <f>IF(tblOrdenes[[#This Row],[centro_costo]]="","",_xlfn.XLOOKUP(tblOrdenes[[#This Row],[centro_costo]],tblCECO[codigo],tblCECO[coordinador],"(sin catálogo)"))</f>
        <v/>
      </c>
      <c r="Y229" s="3">
        <f>IF(tblOrdenes[[#This Row],[puesto_trabajo]]="","",_xlfn.XLOOKUP(tblOrdenes[[#This Row],[puesto_trabajo]],tblPuestos[codigo],tblPuestos[especialidad],"(sin catálogo)"))</f>
        <v/>
      </c>
      <c r="Z229" s="3">
        <f>IF(tblOrdenes[[#This Row],[cod_actividad]]="","",_xlfn.XLOOKUP(tblOrdenes[[#This Row],[cod_actividad]],tblActividades[codigo],tblActividades[descripcion],"(sin catálogo)"))</f>
        <v/>
      </c>
      <c r="AA229" s="13">
        <f>IF(tblOrdenes[[#This Row],[fecha_inicio]]="","",TODAY()-tblOrdenes[[#This Row],[fecha_inicio]])</f>
        <v/>
      </c>
      <c r="AB2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9" s="3">
        <f>IF(tblOrdenes[[#This Row],[backlog_habiles]]="","",IF(tblOrdenes[[#This Row],[backlog_habiles]]&lt;0,"FUTURO",IF(tblOrdenes[[#This Row],[backlog_habiles]]&gt;p_dias_backlog_max,"BACKLOG","MES CORRIENTE")))</f>
        <v/>
      </c>
      <c r="AD229" s="3">
        <f>IF(tblOrdenes[[#This Row],[backlog_habiles]]="",FALSE,AND(tblOrdenes[[#This Row],[backlog_habiles]]&gt;p_dias_backlog_min,tblOrdenes[[#This Row],[backlog_habiles]]&lt;=p_dias_backlog_max))</f>
        <v/>
      </c>
      <c r="AE229" s="6" t="n"/>
      <c r="AF2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9" s="11">
        <f>IF(tblOrdenes[[#This Row],[orden]]="","",_xlfn.XLOOKUP(tblOrdenes[[#This Row],[id_operacion]],tblEjecucion[id_operacion],tblEjecucion[precio],0))</f>
        <v/>
      </c>
      <c r="AJ229" s="11">
        <f>IF(tblOrdenes[[#This Row],[orden]]="","",MAX(0,_xlfn.XLOOKUP(tblOrdenes[[#This Row],[id_operacion]],tblEjecucion[id_operacion],tblEjecucion[costo_plan_total],0)-tblOrdenes[[#This Row],[costo_servicio]]))</f>
        <v/>
      </c>
      <c r="AK229" s="11">
        <f>IF(tblOrdenes[[#This Row],[orden]]="","",tblOrdenes[[#This Row],[costo_servicio]]+tblOrdenes[[#This Row],[costo_materiales]])</f>
        <v/>
      </c>
      <c r="AL229" s="6" t="n"/>
      <c r="AM229" s="6" t="n"/>
      <c r="AN229" s="6" t="n"/>
      <c r="AO229" s="3">
        <f>IF(tblOrdenes[[#This Row],[link_checklist]]="","",HYPERLINK(p_ruta_base_checklists&amp;tblOrdenes[[#This Row],[link_checklist]],"abrir"))</f>
        <v/>
      </c>
      <c r="AP229" s="6" t="n"/>
      <c r="AQ229" s="3">
        <f>IF(tblOrdenes[[#This Row],[orden]]="","",tblOrdenes[[#This Row],[orden]]&amp;IF(tblOrdenes[[#This Row],[operacion]]="","0010",tblOrdenes[[#This Row],[operacion]]))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2" t="n"/>
      <c r="K230" s="3" t="n"/>
      <c r="L230" s="11" t="n"/>
      <c r="M2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0" s="3">
        <f>IF(tblOrdenes[[#This Row],[fecha_inicio]]="","",YEAR(tblOrdenes[[#This Row],[fecha_inicio]]))</f>
        <v/>
      </c>
      <c r="Q230" s="3">
        <f>IF(tblOrdenes[[#This Row],[fecha_inicio]]="","",MONTH(tblOrdenes[[#This Row],[fecha_inicio]]))</f>
        <v/>
      </c>
      <c r="R230" s="3">
        <f>IF(tblOrdenes[[#This Row],[fecha_inicio]]="","",INDEX(lista_dias,WEEKDAY(tblOrdenes[[#This Row],[fecha_inicio]],2)))</f>
        <v/>
      </c>
      <c r="S2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0" s="3">
        <f>IF(tblOrdenes[[#This Row],[tipo_ot]]="","",_xlfn.XLOOKUP(tblOrdenes[[#This Row],[tipo_ot]],tblTiposOT[codigo],tblTiposOT[clasificacion],"sin_clasificar"))</f>
        <v/>
      </c>
      <c r="U230" s="3">
        <f>IF(tblOrdenes[[#This Row],[centro_costo]]="","",_xlfn.XLOOKUP(tblOrdenes[[#This Row],[centro_costo]],tblCECO[codigo],tblCECO[linea],"(sin catálogo)"))</f>
        <v/>
      </c>
      <c r="V230" s="3">
        <f>IF(tblOrdenes[[#This Row],[centro_costo]]="","",_xlfn.XLOOKUP(tblOrdenes[[#This Row],[centro_costo]],tblCECO[codigo],tblCECO[area],"(sin catálogo)"))</f>
        <v/>
      </c>
      <c r="W2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0" s="3">
        <f>IF(tblOrdenes[[#This Row],[centro_costo]]="","",_xlfn.XLOOKUP(tblOrdenes[[#This Row],[centro_costo]],tblCECO[codigo],tblCECO[coordinador],"(sin catálogo)"))</f>
        <v/>
      </c>
      <c r="Y230" s="3">
        <f>IF(tblOrdenes[[#This Row],[puesto_trabajo]]="","",_xlfn.XLOOKUP(tblOrdenes[[#This Row],[puesto_trabajo]],tblPuestos[codigo],tblPuestos[especialidad],"(sin catálogo)"))</f>
        <v/>
      </c>
      <c r="Z230" s="3">
        <f>IF(tblOrdenes[[#This Row],[cod_actividad]]="","",_xlfn.XLOOKUP(tblOrdenes[[#This Row],[cod_actividad]],tblActividades[codigo],tblActividades[descripcion],"(sin catálogo)"))</f>
        <v/>
      </c>
      <c r="AA230" s="13">
        <f>IF(tblOrdenes[[#This Row],[fecha_inicio]]="","",TODAY()-tblOrdenes[[#This Row],[fecha_inicio]])</f>
        <v/>
      </c>
      <c r="AB2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0" s="3">
        <f>IF(tblOrdenes[[#This Row],[backlog_habiles]]="","",IF(tblOrdenes[[#This Row],[backlog_habiles]]&lt;0,"FUTURO",IF(tblOrdenes[[#This Row],[backlog_habiles]]&gt;p_dias_backlog_max,"BACKLOG","MES CORRIENTE")))</f>
        <v/>
      </c>
      <c r="AD230" s="3">
        <f>IF(tblOrdenes[[#This Row],[backlog_habiles]]="",FALSE,AND(tblOrdenes[[#This Row],[backlog_habiles]]&gt;p_dias_backlog_min,tblOrdenes[[#This Row],[backlog_habiles]]&lt;=p_dias_backlog_max))</f>
        <v/>
      </c>
      <c r="AE230" s="6" t="n"/>
      <c r="AF2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0" s="11">
        <f>IF(tblOrdenes[[#This Row],[orden]]="","",_xlfn.XLOOKUP(tblOrdenes[[#This Row],[id_operacion]],tblEjecucion[id_operacion],tblEjecucion[precio],0))</f>
        <v/>
      </c>
      <c r="AJ230" s="11">
        <f>IF(tblOrdenes[[#This Row],[orden]]="","",MAX(0,_xlfn.XLOOKUP(tblOrdenes[[#This Row],[id_operacion]],tblEjecucion[id_operacion],tblEjecucion[costo_plan_total],0)-tblOrdenes[[#This Row],[costo_servicio]]))</f>
        <v/>
      </c>
      <c r="AK230" s="11">
        <f>IF(tblOrdenes[[#This Row],[orden]]="","",tblOrdenes[[#This Row],[costo_servicio]]+tblOrdenes[[#This Row],[costo_materiales]])</f>
        <v/>
      </c>
      <c r="AL230" s="6" t="n"/>
      <c r="AM230" s="6" t="n"/>
      <c r="AN230" s="6" t="n"/>
      <c r="AO230" s="3">
        <f>IF(tblOrdenes[[#This Row],[link_checklist]]="","",HYPERLINK(p_ruta_base_checklists&amp;tblOrdenes[[#This Row],[link_checklist]],"abrir"))</f>
        <v/>
      </c>
      <c r="AP230" s="6" t="n"/>
      <c r="AQ230" s="3">
        <f>IF(tblOrdenes[[#This Row],[orden]]="","",tblOrdenes[[#This Row],[orden]]&amp;IF(tblOrdenes[[#This Row],[operacion]]="","0010",tblOrdenes[[#This Row],[operacion]]))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2" t="n"/>
      <c r="K231" s="3" t="n"/>
      <c r="L231" s="11" t="n"/>
      <c r="M2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1" s="3">
        <f>IF(tblOrdenes[[#This Row],[fecha_inicio]]="","",YEAR(tblOrdenes[[#This Row],[fecha_inicio]]))</f>
        <v/>
      </c>
      <c r="Q231" s="3">
        <f>IF(tblOrdenes[[#This Row],[fecha_inicio]]="","",MONTH(tblOrdenes[[#This Row],[fecha_inicio]]))</f>
        <v/>
      </c>
      <c r="R231" s="3">
        <f>IF(tblOrdenes[[#This Row],[fecha_inicio]]="","",INDEX(lista_dias,WEEKDAY(tblOrdenes[[#This Row],[fecha_inicio]],2)))</f>
        <v/>
      </c>
      <c r="S2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1" s="3">
        <f>IF(tblOrdenes[[#This Row],[tipo_ot]]="","",_xlfn.XLOOKUP(tblOrdenes[[#This Row],[tipo_ot]],tblTiposOT[codigo],tblTiposOT[clasificacion],"sin_clasificar"))</f>
        <v/>
      </c>
      <c r="U231" s="3">
        <f>IF(tblOrdenes[[#This Row],[centro_costo]]="","",_xlfn.XLOOKUP(tblOrdenes[[#This Row],[centro_costo]],tblCECO[codigo],tblCECO[linea],"(sin catálogo)"))</f>
        <v/>
      </c>
      <c r="V231" s="3">
        <f>IF(tblOrdenes[[#This Row],[centro_costo]]="","",_xlfn.XLOOKUP(tblOrdenes[[#This Row],[centro_costo]],tblCECO[codigo],tblCECO[area],"(sin catálogo)"))</f>
        <v/>
      </c>
      <c r="W2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1" s="3">
        <f>IF(tblOrdenes[[#This Row],[centro_costo]]="","",_xlfn.XLOOKUP(tblOrdenes[[#This Row],[centro_costo]],tblCECO[codigo],tblCECO[coordinador],"(sin catálogo)"))</f>
        <v/>
      </c>
      <c r="Y231" s="3">
        <f>IF(tblOrdenes[[#This Row],[puesto_trabajo]]="","",_xlfn.XLOOKUP(tblOrdenes[[#This Row],[puesto_trabajo]],tblPuestos[codigo],tblPuestos[especialidad],"(sin catálogo)"))</f>
        <v/>
      </c>
      <c r="Z231" s="3">
        <f>IF(tblOrdenes[[#This Row],[cod_actividad]]="","",_xlfn.XLOOKUP(tblOrdenes[[#This Row],[cod_actividad]],tblActividades[codigo],tblActividades[descripcion],"(sin catálogo)"))</f>
        <v/>
      </c>
      <c r="AA231" s="13">
        <f>IF(tblOrdenes[[#This Row],[fecha_inicio]]="","",TODAY()-tblOrdenes[[#This Row],[fecha_inicio]])</f>
        <v/>
      </c>
      <c r="AB2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1" s="3">
        <f>IF(tblOrdenes[[#This Row],[backlog_habiles]]="","",IF(tblOrdenes[[#This Row],[backlog_habiles]]&lt;0,"FUTURO",IF(tblOrdenes[[#This Row],[backlog_habiles]]&gt;p_dias_backlog_max,"BACKLOG","MES CORRIENTE")))</f>
        <v/>
      </c>
      <c r="AD231" s="3">
        <f>IF(tblOrdenes[[#This Row],[backlog_habiles]]="",FALSE,AND(tblOrdenes[[#This Row],[backlog_habiles]]&gt;p_dias_backlog_min,tblOrdenes[[#This Row],[backlog_habiles]]&lt;=p_dias_backlog_max))</f>
        <v/>
      </c>
      <c r="AE231" s="6" t="n"/>
      <c r="AF2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1" s="11">
        <f>IF(tblOrdenes[[#This Row],[orden]]="","",_xlfn.XLOOKUP(tblOrdenes[[#This Row],[id_operacion]],tblEjecucion[id_operacion],tblEjecucion[precio],0))</f>
        <v/>
      </c>
      <c r="AJ231" s="11">
        <f>IF(tblOrdenes[[#This Row],[orden]]="","",MAX(0,_xlfn.XLOOKUP(tblOrdenes[[#This Row],[id_operacion]],tblEjecucion[id_operacion],tblEjecucion[costo_plan_total],0)-tblOrdenes[[#This Row],[costo_servicio]]))</f>
        <v/>
      </c>
      <c r="AK231" s="11">
        <f>IF(tblOrdenes[[#This Row],[orden]]="","",tblOrdenes[[#This Row],[costo_servicio]]+tblOrdenes[[#This Row],[costo_materiales]])</f>
        <v/>
      </c>
      <c r="AL231" s="6" t="n"/>
      <c r="AM231" s="6" t="n"/>
      <c r="AN231" s="6" t="n"/>
      <c r="AO231" s="3">
        <f>IF(tblOrdenes[[#This Row],[link_checklist]]="","",HYPERLINK(p_ruta_base_checklists&amp;tblOrdenes[[#This Row],[link_checklist]],"abrir"))</f>
        <v/>
      </c>
      <c r="AP231" s="6" t="n"/>
      <c r="AQ231" s="3">
        <f>IF(tblOrdenes[[#This Row],[orden]]="","",tblOrdenes[[#This Row],[orden]]&amp;IF(tblOrdenes[[#This Row],[operacion]]="","0010",tblOrdenes[[#This Row],[operacion]]))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2" t="n"/>
      <c r="K232" s="3" t="n"/>
      <c r="L232" s="11" t="n"/>
      <c r="M2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2" s="3">
        <f>IF(tblOrdenes[[#This Row],[fecha_inicio]]="","",YEAR(tblOrdenes[[#This Row],[fecha_inicio]]))</f>
        <v/>
      </c>
      <c r="Q232" s="3">
        <f>IF(tblOrdenes[[#This Row],[fecha_inicio]]="","",MONTH(tblOrdenes[[#This Row],[fecha_inicio]]))</f>
        <v/>
      </c>
      <c r="R232" s="3">
        <f>IF(tblOrdenes[[#This Row],[fecha_inicio]]="","",INDEX(lista_dias,WEEKDAY(tblOrdenes[[#This Row],[fecha_inicio]],2)))</f>
        <v/>
      </c>
      <c r="S2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2" s="3">
        <f>IF(tblOrdenes[[#This Row],[tipo_ot]]="","",_xlfn.XLOOKUP(tblOrdenes[[#This Row],[tipo_ot]],tblTiposOT[codigo],tblTiposOT[clasificacion],"sin_clasificar"))</f>
        <v/>
      </c>
      <c r="U232" s="3">
        <f>IF(tblOrdenes[[#This Row],[centro_costo]]="","",_xlfn.XLOOKUP(tblOrdenes[[#This Row],[centro_costo]],tblCECO[codigo],tblCECO[linea],"(sin catálogo)"))</f>
        <v/>
      </c>
      <c r="V232" s="3">
        <f>IF(tblOrdenes[[#This Row],[centro_costo]]="","",_xlfn.XLOOKUP(tblOrdenes[[#This Row],[centro_costo]],tblCECO[codigo],tblCECO[area],"(sin catálogo)"))</f>
        <v/>
      </c>
      <c r="W2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2" s="3">
        <f>IF(tblOrdenes[[#This Row],[centro_costo]]="","",_xlfn.XLOOKUP(tblOrdenes[[#This Row],[centro_costo]],tblCECO[codigo],tblCECO[coordinador],"(sin catálogo)"))</f>
        <v/>
      </c>
      <c r="Y232" s="3">
        <f>IF(tblOrdenes[[#This Row],[puesto_trabajo]]="","",_xlfn.XLOOKUP(tblOrdenes[[#This Row],[puesto_trabajo]],tblPuestos[codigo],tblPuestos[especialidad],"(sin catálogo)"))</f>
        <v/>
      </c>
      <c r="Z232" s="3">
        <f>IF(tblOrdenes[[#This Row],[cod_actividad]]="","",_xlfn.XLOOKUP(tblOrdenes[[#This Row],[cod_actividad]],tblActividades[codigo],tblActividades[descripcion],"(sin catálogo)"))</f>
        <v/>
      </c>
      <c r="AA232" s="13">
        <f>IF(tblOrdenes[[#This Row],[fecha_inicio]]="","",TODAY()-tblOrdenes[[#This Row],[fecha_inicio]])</f>
        <v/>
      </c>
      <c r="AB2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2" s="3">
        <f>IF(tblOrdenes[[#This Row],[backlog_habiles]]="","",IF(tblOrdenes[[#This Row],[backlog_habiles]]&lt;0,"FUTURO",IF(tblOrdenes[[#This Row],[backlog_habiles]]&gt;p_dias_backlog_max,"BACKLOG","MES CORRIENTE")))</f>
        <v/>
      </c>
      <c r="AD232" s="3">
        <f>IF(tblOrdenes[[#This Row],[backlog_habiles]]="",FALSE,AND(tblOrdenes[[#This Row],[backlog_habiles]]&gt;p_dias_backlog_min,tblOrdenes[[#This Row],[backlog_habiles]]&lt;=p_dias_backlog_max))</f>
        <v/>
      </c>
      <c r="AE232" s="6" t="n"/>
      <c r="AF2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2" s="11">
        <f>IF(tblOrdenes[[#This Row],[orden]]="","",_xlfn.XLOOKUP(tblOrdenes[[#This Row],[id_operacion]],tblEjecucion[id_operacion],tblEjecucion[precio],0))</f>
        <v/>
      </c>
      <c r="AJ232" s="11">
        <f>IF(tblOrdenes[[#This Row],[orden]]="","",MAX(0,_xlfn.XLOOKUP(tblOrdenes[[#This Row],[id_operacion]],tblEjecucion[id_operacion],tblEjecucion[costo_plan_total],0)-tblOrdenes[[#This Row],[costo_servicio]]))</f>
        <v/>
      </c>
      <c r="AK232" s="11">
        <f>IF(tblOrdenes[[#This Row],[orden]]="","",tblOrdenes[[#This Row],[costo_servicio]]+tblOrdenes[[#This Row],[costo_materiales]])</f>
        <v/>
      </c>
      <c r="AL232" s="6" t="n"/>
      <c r="AM232" s="6" t="n"/>
      <c r="AN232" s="6" t="n"/>
      <c r="AO232" s="3">
        <f>IF(tblOrdenes[[#This Row],[link_checklist]]="","",HYPERLINK(p_ruta_base_checklists&amp;tblOrdenes[[#This Row],[link_checklist]],"abrir"))</f>
        <v/>
      </c>
      <c r="AP232" s="6" t="n"/>
      <c r="AQ232" s="3">
        <f>IF(tblOrdenes[[#This Row],[orden]]="","",tblOrdenes[[#This Row],[orden]]&amp;IF(tblOrdenes[[#This Row],[operacion]]="","0010",tblOrdenes[[#This Row],[operacion]]))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2" t="n"/>
      <c r="K233" s="3" t="n"/>
      <c r="L233" s="11" t="n"/>
      <c r="M2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3" s="3">
        <f>IF(tblOrdenes[[#This Row],[fecha_inicio]]="","",YEAR(tblOrdenes[[#This Row],[fecha_inicio]]))</f>
        <v/>
      </c>
      <c r="Q233" s="3">
        <f>IF(tblOrdenes[[#This Row],[fecha_inicio]]="","",MONTH(tblOrdenes[[#This Row],[fecha_inicio]]))</f>
        <v/>
      </c>
      <c r="R233" s="3">
        <f>IF(tblOrdenes[[#This Row],[fecha_inicio]]="","",INDEX(lista_dias,WEEKDAY(tblOrdenes[[#This Row],[fecha_inicio]],2)))</f>
        <v/>
      </c>
      <c r="S2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3" s="3">
        <f>IF(tblOrdenes[[#This Row],[tipo_ot]]="","",_xlfn.XLOOKUP(tblOrdenes[[#This Row],[tipo_ot]],tblTiposOT[codigo],tblTiposOT[clasificacion],"sin_clasificar"))</f>
        <v/>
      </c>
      <c r="U233" s="3">
        <f>IF(tblOrdenes[[#This Row],[centro_costo]]="","",_xlfn.XLOOKUP(tblOrdenes[[#This Row],[centro_costo]],tblCECO[codigo],tblCECO[linea],"(sin catálogo)"))</f>
        <v/>
      </c>
      <c r="V233" s="3">
        <f>IF(tblOrdenes[[#This Row],[centro_costo]]="","",_xlfn.XLOOKUP(tblOrdenes[[#This Row],[centro_costo]],tblCECO[codigo],tblCECO[area],"(sin catálogo)"))</f>
        <v/>
      </c>
      <c r="W2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3" s="3">
        <f>IF(tblOrdenes[[#This Row],[centro_costo]]="","",_xlfn.XLOOKUP(tblOrdenes[[#This Row],[centro_costo]],tblCECO[codigo],tblCECO[coordinador],"(sin catálogo)"))</f>
        <v/>
      </c>
      <c r="Y233" s="3">
        <f>IF(tblOrdenes[[#This Row],[puesto_trabajo]]="","",_xlfn.XLOOKUP(tblOrdenes[[#This Row],[puesto_trabajo]],tblPuestos[codigo],tblPuestos[especialidad],"(sin catálogo)"))</f>
        <v/>
      </c>
      <c r="Z233" s="3">
        <f>IF(tblOrdenes[[#This Row],[cod_actividad]]="","",_xlfn.XLOOKUP(tblOrdenes[[#This Row],[cod_actividad]],tblActividades[codigo],tblActividades[descripcion],"(sin catálogo)"))</f>
        <v/>
      </c>
      <c r="AA233" s="13">
        <f>IF(tblOrdenes[[#This Row],[fecha_inicio]]="","",TODAY()-tblOrdenes[[#This Row],[fecha_inicio]])</f>
        <v/>
      </c>
      <c r="AB2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3" s="3">
        <f>IF(tblOrdenes[[#This Row],[backlog_habiles]]="","",IF(tblOrdenes[[#This Row],[backlog_habiles]]&lt;0,"FUTURO",IF(tblOrdenes[[#This Row],[backlog_habiles]]&gt;p_dias_backlog_max,"BACKLOG","MES CORRIENTE")))</f>
        <v/>
      </c>
      <c r="AD233" s="3">
        <f>IF(tblOrdenes[[#This Row],[backlog_habiles]]="",FALSE,AND(tblOrdenes[[#This Row],[backlog_habiles]]&gt;p_dias_backlog_min,tblOrdenes[[#This Row],[backlog_habiles]]&lt;=p_dias_backlog_max))</f>
        <v/>
      </c>
      <c r="AE233" s="6" t="n"/>
      <c r="AF2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3" s="11">
        <f>IF(tblOrdenes[[#This Row],[orden]]="","",_xlfn.XLOOKUP(tblOrdenes[[#This Row],[id_operacion]],tblEjecucion[id_operacion],tblEjecucion[precio],0))</f>
        <v/>
      </c>
      <c r="AJ233" s="11">
        <f>IF(tblOrdenes[[#This Row],[orden]]="","",MAX(0,_xlfn.XLOOKUP(tblOrdenes[[#This Row],[id_operacion]],tblEjecucion[id_operacion],tblEjecucion[costo_plan_total],0)-tblOrdenes[[#This Row],[costo_servicio]]))</f>
        <v/>
      </c>
      <c r="AK233" s="11">
        <f>IF(tblOrdenes[[#This Row],[orden]]="","",tblOrdenes[[#This Row],[costo_servicio]]+tblOrdenes[[#This Row],[costo_materiales]])</f>
        <v/>
      </c>
      <c r="AL233" s="6" t="n"/>
      <c r="AM233" s="6" t="n"/>
      <c r="AN233" s="6" t="n"/>
      <c r="AO233" s="3">
        <f>IF(tblOrdenes[[#This Row],[link_checklist]]="","",HYPERLINK(p_ruta_base_checklists&amp;tblOrdenes[[#This Row],[link_checklist]],"abrir"))</f>
        <v/>
      </c>
      <c r="AP233" s="6" t="n"/>
      <c r="AQ233" s="3">
        <f>IF(tblOrdenes[[#This Row],[orden]]="","",tblOrdenes[[#This Row],[orden]]&amp;IF(tblOrdenes[[#This Row],[operacion]]="","0010",tblOrdenes[[#This Row],[operacion]]))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2" t="n"/>
      <c r="K234" s="3" t="n"/>
      <c r="L234" s="11" t="n"/>
      <c r="M2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4" s="3">
        <f>IF(tblOrdenes[[#This Row],[fecha_inicio]]="","",YEAR(tblOrdenes[[#This Row],[fecha_inicio]]))</f>
        <v/>
      </c>
      <c r="Q234" s="3">
        <f>IF(tblOrdenes[[#This Row],[fecha_inicio]]="","",MONTH(tblOrdenes[[#This Row],[fecha_inicio]]))</f>
        <v/>
      </c>
      <c r="R234" s="3">
        <f>IF(tblOrdenes[[#This Row],[fecha_inicio]]="","",INDEX(lista_dias,WEEKDAY(tblOrdenes[[#This Row],[fecha_inicio]],2)))</f>
        <v/>
      </c>
      <c r="S2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4" s="3">
        <f>IF(tblOrdenes[[#This Row],[tipo_ot]]="","",_xlfn.XLOOKUP(tblOrdenes[[#This Row],[tipo_ot]],tblTiposOT[codigo],tblTiposOT[clasificacion],"sin_clasificar"))</f>
        <v/>
      </c>
      <c r="U234" s="3">
        <f>IF(tblOrdenes[[#This Row],[centro_costo]]="","",_xlfn.XLOOKUP(tblOrdenes[[#This Row],[centro_costo]],tblCECO[codigo],tblCECO[linea],"(sin catálogo)"))</f>
        <v/>
      </c>
      <c r="V234" s="3">
        <f>IF(tblOrdenes[[#This Row],[centro_costo]]="","",_xlfn.XLOOKUP(tblOrdenes[[#This Row],[centro_costo]],tblCECO[codigo],tblCECO[area],"(sin catálogo)"))</f>
        <v/>
      </c>
      <c r="W2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4" s="3">
        <f>IF(tblOrdenes[[#This Row],[centro_costo]]="","",_xlfn.XLOOKUP(tblOrdenes[[#This Row],[centro_costo]],tblCECO[codigo],tblCECO[coordinador],"(sin catálogo)"))</f>
        <v/>
      </c>
      <c r="Y234" s="3">
        <f>IF(tblOrdenes[[#This Row],[puesto_trabajo]]="","",_xlfn.XLOOKUP(tblOrdenes[[#This Row],[puesto_trabajo]],tblPuestos[codigo],tblPuestos[especialidad],"(sin catálogo)"))</f>
        <v/>
      </c>
      <c r="Z234" s="3">
        <f>IF(tblOrdenes[[#This Row],[cod_actividad]]="","",_xlfn.XLOOKUP(tblOrdenes[[#This Row],[cod_actividad]],tblActividades[codigo],tblActividades[descripcion],"(sin catálogo)"))</f>
        <v/>
      </c>
      <c r="AA234" s="13">
        <f>IF(tblOrdenes[[#This Row],[fecha_inicio]]="","",TODAY()-tblOrdenes[[#This Row],[fecha_inicio]])</f>
        <v/>
      </c>
      <c r="AB2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4" s="3">
        <f>IF(tblOrdenes[[#This Row],[backlog_habiles]]="","",IF(tblOrdenes[[#This Row],[backlog_habiles]]&lt;0,"FUTURO",IF(tblOrdenes[[#This Row],[backlog_habiles]]&gt;p_dias_backlog_max,"BACKLOG","MES CORRIENTE")))</f>
        <v/>
      </c>
      <c r="AD234" s="3">
        <f>IF(tblOrdenes[[#This Row],[backlog_habiles]]="",FALSE,AND(tblOrdenes[[#This Row],[backlog_habiles]]&gt;p_dias_backlog_min,tblOrdenes[[#This Row],[backlog_habiles]]&lt;=p_dias_backlog_max))</f>
        <v/>
      </c>
      <c r="AE234" s="6" t="n"/>
      <c r="AF2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4" s="11">
        <f>IF(tblOrdenes[[#This Row],[orden]]="","",_xlfn.XLOOKUP(tblOrdenes[[#This Row],[id_operacion]],tblEjecucion[id_operacion],tblEjecucion[precio],0))</f>
        <v/>
      </c>
      <c r="AJ234" s="11">
        <f>IF(tblOrdenes[[#This Row],[orden]]="","",MAX(0,_xlfn.XLOOKUP(tblOrdenes[[#This Row],[id_operacion]],tblEjecucion[id_operacion],tblEjecucion[costo_plan_total],0)-tblOrdenes[[#This Row],[costo_servicio]]))</f>
        <v/>
      </c>
      <c r="AK234" s="11">
        <f>IF(tblOrdenes[[#This Row],[orden]]="","",tblOrdenes[[#This Row],[costo_servicio]]+tblOrdenes[[#This Row],[costo_materiales]])</f>
        <v/>
      </c>
      <c r="AL234" s="6" t="n"/>
      <c r="AM234" s="6" t="n"/>
      <c r="AN234" s="6" t="n"/>
      <c r="AO234" s="3">
        <f>IF(tblOrdenes[[#This Row],[link_checklist]]="","",HYPERLINK(p_ruta_base_checklists&amp;tblOrdenes[[#This Row],[link_checklist]],"abrir"))</f>
        <v/>
      </c>
      <c r="AP234" s="6" t="n"/>
      <c r="AQ234" s="3">
        <f>IF(tblOrdenes[[#This Row],[orden]]="","",tblOrdenes[[#This Row],[orden]]&amp;IF(tblOrdenes[[#This Row],[operacion]]="","0010",tblOrdenes[[#This Row],[operacion]]))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2" t="n"/>
      <c r="K235" s="3" t="n"/>
      <c r="L235" s="11" t="n"/>
      <c r="M2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5" s="3">
        <f>IF(tblOrdenes[[#This Row],[fecha_inicio]]="","",YEAR(tblOrdenes[[#This Row],[fecha_inicio]]))</f>
        <v/>
      </c>
      <c r="Q235" s="3">
        <f>IF(tblOrdenes[[#This Row],[fecha_inicio]]="","",MONTH(tblOrdenes[[#This Row],[fecha_inicio]]))</f>
        <v/>
      </c>
      <c r="R235" s="3">
        <f>IF(tblOrdenes[[#This Row],[fecha_inicio]]="","",INDEX(lista_dias,WEEKDAY(tblOrdenes[[#This Row],[fecha_inicio]],2)))</f>
        <v/>
      </c>
      <c r="S2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5" s="3">
        <f>IF(tblOrdenes[[#This Row],[tipo_ot]]="","",_xlfn.XLOOKUP(tblOrdenes[[#This Row],[tipo_ot]],tblTiposOT[codigo],tblTiposOT[clasificacion],"sin_clasificar"))</f>
        <v/>
      </c>
      <c r="U235" s="3">
        <f>IF(tblOrdenes[[#This Row],[centro_costo]]="","",_xlfn.XLOOKUP(tblOrdenes[[#This Row],[centro_costo]],tblCECO[codigo],tblCECO[linea],"(sin catálogo)"))</f>
        <v/>
      </c>
      <c r="V235" s="3">
        <f>IF(tblOrdenes[[#This Row],[centro_costo]]="","",_xlfn.XLOOKUP(tblOrdenes[[#This Row],[centro_costo]],tblCECO[codigo],tblCECO[area],"(sin catálogo)"))</f>
        <v/>
      </c>
      <c r="W2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5" s="3">
        <f>IF(tblOrdenes[[#This Row],[centro_costo]]="","",_xlfn.XLOOKUP(tblOrdenes[[#This Row],[centro_costo]],tblCECO[codigo],tblCECO[coordinador],"(sin catálogo)"))</f>
        <v/>
      </c>
      <c r="Y235" s="3">
        <f>IF(tblOrdenes[[#This Row],[puesto_trabajo]]="","",_xlfn.XLOOKUP(tblOrdenes[[#This Row],[puesto_trabajo]],tblPuestos[codigo],tblPuestos[especialidad],"(sin catálogo)"))</f>
        <v/>
      </c>
      <c r="Z235" s="3">
        <f>IF(tblOrdenes[[#This Row],[cod_actividad]]="","",_xlfn.XLOOKUP(tblOrdenes[[#This Row],[cod_actividad]],tblActividades[codigo],tblActividades[descripcion],"(sin catálogo)"))</f>
        <v/>
      </c>
      <c r="AA235" s="13">
        <f>IF(tblOrdenes[[#This Row],[fecha_inicio]]="","",TODAY()-tblOrdenes[[#This Row],[fecha_inicio]])</f>
        <v/>
      </c>
      <c r="AB2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5" s="3">
        <f>IF(tblOrdenes[[#This Row],[backlog_habiles]]="","",IF(tblOrdenes[[#This Row],[backlog_habiles]]&lt;0,"FUTURO",IF(tblOrdenes[[#This Row],[backlog_habiles]]&gt;p_dias_backlog_max,"BACKLOG","MES CORRIENTE")))</f>
        <v/>
      </c>
      <c r="AD235" s="3">
        <f>IF(tblOrdenes[[#This Row],[backlog_habiles]]="",FALSE,AND(tblOrdenes[[#This Row],[backlog_habiles]]&gt;p_dias_backlog_min,tblOrdenes[[#This Row],[backlog_habiles]]&lt;=p_dias_backlog_max))</f>
        <v/>
      </c>
      <c r="AE235" s="6" t="n"/>
      <c r="AF2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5" s="11">
        <f>IF(tblOrdenes[[#This Row],[orden]]="","",_xlfn.XLOOKUP(tblOrdenes[[#This Row],[id_operacion]],tblEjecucion[id_operacion],tblEjecucion[precio],0))</f>
        <v/>
      </c>
      <c r="AJ235" s="11">
        <f>IF(tblOrdenes[[#This Row],[orden]]="","",MAX(0,_xlfn.XLOOKUP(tblOrdenes[[#This Row],[id_operacion]],tblEjecucion[id_operacion],tblEjecucion[costo_plan_total],0)-tblOrdenes[[#This Row],[costo_servicio]]))</f>
        <v/>
      </c>
      <c r="AK235" s="11">
        <f>IF(tblOrdenes[[#This Row],[orden]]="","",tblOrdenes[[#This Row],[costo_servicio]]+tblOrdenes[[#This Row],[costo_materiales]])</f>
        <v/>
      </c>
      <c r="AL235" s="6" t="n"/>
      <c r="AM235" s="6" t="n"/>
      <c r="AN235" s="6" t="n"/>
      <c r="AO235" s="3">
        <f>IF(tblOrdenes[[#This Row],[link_checklist]]="","",HYPERLINK(p_ruta_base_checklists&amp;tblOrdenes[[#This Row],[link_checklist]],"abrir"))</f>
        <v/>
      </c>
      <c r="AP235" s="6" t="n"/>
      <c r="AQ235" s="3">
        <f>IF(tblOrdenes[[#This Row],[orden]]="","",tblOrdenes[[#This Row],[orden]]&amp;IF(tblOrdenes[[#This Row],[operacion]]="","0010",tblOrdenes[[#This Row],[operacion]]))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2" t="n"/>
      <c r="K236" s="3" t="n"/>
      <c r="L236" s="11" t="n"/>
      <c r="M2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6" s="3">
        <f>IF(tblOrdenes[[#This Row],[fecha_inicio]]="","",YEAR(tblOrdenes[[#This Row],[fecha_inicio]]))</f>
        <v/>
      </c>
      <c r="Q236" s="3">
        <f>IF(tblOrdenes[[#This Row],[fecha_inicio]]="","",MONTH(tblOrdenes[[#This Row],[fecha_inicio]]))</f>
        <v/>
      </c>
      <c r="R236" s="3">
        <f>IF(tblOrdenes[[#This Row],[fecha_inicio]]="","",INDEX(lista_dias,WEEKDAY(tblOrdenes[[#This Row],[fecha_inicio]],2)))</f>
        <v/>
      </c>
      <c r="S2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6" s="3">
        <f>IF(tblOrdenes[[#This Row],[tipo_ot]]="","",_xlfn.XLOOKUP(tblOrdenes[[#This Row],[tipo_ot]],tblTiposOT[codigo],tblTiposOT[clasificacion],"sin_clasificar"))</f>
        <v/>
      </c>
      <c r="U236" s="3">
        <f>IF(tblOrdenes[[#This Row],[centro_costo]]="","",_xlfn.XLOOKUP(tblOrdenes[[#This Row],[centro_costo]],tblCECO[codigo],tblCECO[linea],"(sin catálogo)"))</f>
        <v/>
      </c>
      <c r="V236" s="3">
        <f>IF(tblOrdenes[[#This Row],[centro_costo]]="","",_xlfn.XLOOKUP(tblOrdenes[[#This Row],[centro_costo]],tblCECO[codigo],tblCECO[area],"(sin catálogo)"))</f>
        <v/>
      </c>
      <c r="W2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6" s="3">
        <f>IF(tblOrdenes[[#This Row],[centro_costo]]="","",_xlfn.XLOOKUP(tblOrdenes[[#This Row],[centro_costo]],tblCECO[codigo],tblCECO[coordinador],"(sin catálogo)"))</f>
        <v/>
      </c>
      <c r="Y236" s="3">
        <f>IF(tblOrdenes[[#This Row],[puesto_trabajo]]="","",_xlfn.XLOOKUP(tblOrdenes[[#This Row],[puesto_trabajo]],tblPuestos[codigo],tblPuestos[especialidad],"(sin catálogo)"))</f>
        <v/>
      </c>
      <c r="Z236" s="3">
        <f>IF(tblOrdenes[[#This Row],[cod_actividad]]="","",_xlfn.XLOOKUP(tblOrdenes[[#This Row],[cod_actividad]],tblActividades[codigo],tblActividades[descripcion],"(sin catálogo)"))</f>
        <v/>
      </c>
      <c r="AA236" s="13">
        <f>IF(tblOrdenes[[#This Row],[fecha_inicio]]="","",TODAY()-tblOrdenes[[#This Row],[fecha_inicio]])</f>
        <v/>
      </c>
      <c r="AB2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6" s="3">
        <f>IF(tblOrdenes[[#This Row],[backlog_habiles]]="","",IF(tblOrdenes[[#This Row],[backlog_habiles]]&lt;0,"FUTURO",IF(tblOrdenes[[#This Row],[backlog_habiles]]&gt;p_dias_backlog_max,"BACKLOG","MES CORRIENTE")))</f>
        <v/>
      </c>
      <c r="AD236" s="3">
        <f>IF(tblOrdenes[[#This Row],[backlog_habiles]]="",FALSE,AND(tblOrdenes[[#This Row],[backlog_habiles]]&gt;p_dias_backlog_min,tblOrdenes[[#This Row],[backlog_habiles]]&lt;=p_dias_backlog_max))</f>
        <v/>
      </c>
      <c r="AE236" s="6" t="n"/>
      <c r="AF2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6" s="11">
        <f>IF(tblOrdenes[[#This Row],[orden]]="","",_xlfn.XLOOKUP(tblOrdenes[[#This Row],[id_operacion]],tblEjecucion[id_operacion],tblEjecucion[precio],0))</f>
        <v/>
      </c>
      <c r="AJ236" s="11">
        <f>IF(tblOrdenes[[#This Row],[orden]]="","",MAX(0,_xlfn.XLOOKUP(tblOrdenes[[#This Row],[id_operacion]],tblEjecucion[id_operacion],tblEjecucion[costo_plan_total],0)-tblOrdenes[[#This Row],[costo_servicio]]))</f>
        <v/>
      </c>
      <c r="AK236" s="11">
        <f>IF(tblOrdenes[[#This Row],[orden]]="","",tblOrdenes[[#This Row],[costo_servicio]]+tblOrdenes[[#This Row],[costo_materiales]])</f>
        <v/>
      </c>
      <c r="AL236" s="6" t="n"/>
      <c r="AM236" s="6" t="n"/>
      <c r="AN236" s="6" t="n"/>
      <c r="AO236" s="3">
        <f>IF(tblOrdenes[[#This Row],[link_checklist]]="","",HYPERLINK(p_ruta_base_checklists&amp;tblOrdenes[[#This Row],[link_checklist]],"abrir"))</f>
        <v/>
      </c>
      <c r="AP236" s="6" t="n"/>
      <c r="AQ236" s="3">
        <f>IF(tblOrdenes[[#This Row],[orden]]="","",tblOrdenes[[#This Row],[orden]]&amp;IF(tblOrdenes[[#This Row],[operacion]]="","0010",tblOrdenes[[#This Row],[operacion]]))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2" t="n"/>
      <c r="K237" s="3" t="n"/>
      <c r="L237" s="11" t="n"/>
      <c r="M2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7" s="3">
        <f>IF(tblOrdenes[[#This Row],[fecha_inicio]]="","",YEAR(tblOrdenes[[#This Row],[fecha_inicio]]))</f>
        <v/>
      </c>
      <c r="Q237" s="3">
        <f>IF(tblOrdenes[[#This Row],[fecha_inicio]]="","",MONTH(tblOrdenes[[#This Row],[fecha_inicio]]))</f>
        <v/>
      </c>
      <c r="R237" s="3">
        <f>IF(tblOrdenes[[#This Row],[fecha_inicio]]="","",INDEX(lista_dias,WEEKDAY(tblOrdenes[[#This Row],[fecha_inicio]],2)))</f>
        <v/>
      </c>
      <c r="S2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7" s="3">
        <f>IF(tblOrdenes[[#This Row],[tipo_ot]]="","",_xlfn.XLOOKUP(tblOrdenes[[#This Row],[tipo_ot]],tblTiposOT[codigo],tblTiposOT[clasificacion],"sin_clasificar"))</f>
        <v/>
      </c>
      <c r="U237" s="3">
        <f>IF(tblOrdenes[[#This Row],[centro_costo]]="","",_xlfn.XLOOKUP(tblOrdenes[[#This Row],[centro_costo]],tblCECO[codigo],tblCECO[linea],"(sin catálogo)"))</f>
        <v/>
      </c>
      <c r="V237" s="3">
        <f>IF(tblOrdenes[[#This Row],[centro_costo]]="","",_xlfn.XLOOKUP(tblOrdenes[[#This Row],[centro_costo]],tblCECO[codigo],tblCECO[area],"(sin catálogo)"))</f>
        <v/>
      </c>
      <c r="W2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7" s="3">
        <f>IF(tblOrdenes[[#This Row],[centro_costo]]="","",_xlfn.XLOOKUP(tblOrdenes[[#This Row],[centro_costo]],tblCECO[codigo],tblCECO[coordinador],"(sin catálogo)"))</f>
        <v/>
      </c>
      <c r="Y237" s="3">
        <f>IF(tblOrdenes[[#This Row],[puesto_trabajo]]="","",_xlfn.XLOOKUP(tblOrdenes[[#This Row],[puesto_trabajo]],tblPuestos[codigo],tblPuestos[especialidad],"(sin catálogo)"))</f>
        <v/>
      </c>
      <c r="Z237" s="3">
        <f>IF(tblOrdenes[[#This Row],[cod_actividad]]="","",_xlfn.XLOOKUP(tblOrdenes[[#This Row],[cod_actividad]],tblActividades[codigo],tblActividades[descripcion],"(sin catálogo)"))</f>
        <v/>
      </c>
      <c r="AA237" s="13">
        <f>IF(tblOrdenes[[#This Row],[fecha_inicio]]="","",TODAY()-tblOrdenes[[#This Row],[fecha_inicio]])</f>
        <v/>
      </c>
      <c r="AB2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7" s="3">
        <f>IF(tblOrdenes[[#This Row],[backlog_habiles]]="","",IF(tblOrdenes[[#This Row],[backlog_habiles]]&lt;0,"FUTURO",IF(tblOrdenes[[#This Row],[backlog_habiles]]&gt;p_dias_backlog_max,"BACKLOG","MES CORRIENTE")))</f>
        <v/>
      </c>
      <c r="AD237" s="3">
        <f>IF(tblOrdenes[[#This Row],[backlog_habiles]]="",FALSE,AND(tblOrdenes[[#This Row],[backlog_habiles]]&gt;p_dias_backlog_min,tblOrdenes[[#This Row],[backlog_habiles]]&lt;=p_dias_backlog_max))</f>
        <v/>
      </c>
      <c r="AE237" s="6" t="n"/>
      <c r="AF2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7" s="11">
        <f>IF(tblOrdenes[[#This Row],[orden]]="","",_xlfn.XLOOKUP(tblOrdenes[[#This Row],[id_operacion]],tblEjecucion[id_operacion],tblEjecucion[precio],0))</f>
        <v/>
      </c>
      <c r="AJ237" s="11">
        <f>IF(tblOrdenes[[#This Row],[orden]]="","",MAX(0,_xlfn.XLOOKUP(tblOrdenes[[#This Row],[id_operacion]],tblEjecucion[id_operacion],tblEjecucion[costo_plan_total],0)-tblOrdenes[[#This Row],[costo_servicio]]))</f>
        <v/>
      </c>
      <c r="AK237" s="11">
        <f>IF(tblOrdenes[[#This Row],[orden]]="","",tblOrdenes[[#This Row],[costo_servicio]]+tblOrdenes[[#This Row],[costo_materiales]])</f>
        <v/>
      </c>
      <c r="AL237" s="6" t="n"/>
      <c r="AM237" s="6" t="n"/>
      <c r="AN237" s="6" t="n"/>
      <c r="AO237" s="3">
        <f>IF(tblOrdenes[[#This Row],[link_checklist]]="","",HYPERLINK(p_ruta_base_checklists&amp;tblOrdenes[[#This Row],[link_checklist]],"abrir"))</f>
        <v/>
      </c>
      <c r="AP237" s="6" t="n"/>
      <c r="AQ237" s="3">
        <f>IF(tblOrdenes[[#This Row],[orden]]="","",tblOrdenes[[#This Row],[orden]]&amp;IF(tblOrdenes[[#This Row],[operacion]]="","0010",tblOrdenes[[#This Row],[operacion]]))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2" t="n"/>
      <c r="K238" s="3" t="n"/>
      <c r="L238" s="11" t="n"/>
      <c r="M2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8" s="3">
        <f>IF(tblOrdenes[[#This Row],[fecha_inicio]]="","",YEAR(tblOrdenes[[#This Row],[fecha_inicio]]))</f>
        <v/>
      </c>
      <c r="Q238" s="3">
        <f>IF(tblOrdenes[[#This Row],[fecha_inicio]]="","",MONTH(tblOrdenes[[#This Row],[fecha_inicio]]))</f>
        <v/>
      </c>
      <c r="R238" s="3">
        <f>IF(tblOrdenes[[#This Row],[fecha_inicio]]="","",INDEX(lista_dias,WEEKDAY(tblOrdenes[[#This Row],[fecha_inicio]],2)))</f>
        <v/>
      </c>
      <c r="S2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8" s="3">
        <f>IF(tblOrdenes[[#This Row],[tipo_ot]]="","",_xlfn.XLOOKUP(tblOrdenes[[#This Row],[tipo_ot]],tblTiposOT[codigo],tblTiposOT[clasificacion],"sin_clasificar"))</f>
        <v/>
      </c>
      <c r="U238" s="3">
        <f>IF(tblOrdenes[[#This Row],[centro_costo]]="","",_xlfn.XLOOKUP(tblOrdenes[[#This Row],[centro_costo]],tblCECO[codigo],tblCECO[linea],"(sin catálogo)"))</f>
        <v/>
      </c>
      <c r="V238" s="3">
        <f>IF(tblOrdenes[[#This Row],[centro_costo]]="","",_xlfn.XLOOKUP(tblOrdenes[[#This Row],[centro_costo]],tblCECO[codigo],tblCECO[area],"(sin catálogo)"))</f>
        <v/>
      </c>
      <c r="W2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8" s="3">
        <f>IF(tblOrdenes[[#This Row],[centro_costo]]="","",_xlfn.XLOOKUP(tblOrdenes[[#This Row],[centro_costo]],tblCECO[codigo],tblCECO[coordinador],"(sin catálogo)"))</f>
        <v/>
      </c>
      <c r="Y238" s="3">
        <f>IF(tblOrdenes[[#This Row],[puesto_trabajo]]="","",_xlfn.XLOOKUP(tblOrdenes[[#This Row],[puesto_trabajo]],tblPuestos[codigo],tblPuestos[especialidad],"(sin catálogo)"))</f>
        <v/>
      </c>
      <c r="Z238" s="3">
        <f>IF(tblOrdenes[[#This Row],[cod_actividad]]="","",_xlfn.XLOOKUP(tblOrdenes[[#This Row],[cod_actividad]],tblActividades[codigo],tblActividades[descripcion],"(sin catálogo)"))</f>
        <v/>
      </c>
      <c r="AA238" s="13">
        <f>IF(tblOrdenes[[#This Row],[fecha_inicio]]="","",TODAY()-tblOrdenes[[#This Row],[fecha_inicio]])</f>
        <v/>
      </c>
      <c r="AB2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8" s="3">
        <f>IF(tblOrdenes[[#This Row],[backlog_habiles]]="","",IF(tblOrdenes[[#This Row],[backlog_habiles]]&lt;0,"FUTURO",IF(tblOrdenes[[#This Row],[backlog_habiles]]&gt;p_dias_backlog_max,"BACKLOG","MES CORRIENTE")))</f>
        <v/>
      </c>
      <c r="AD238" s="3">
        <f>IF(tblOrdenes[[#This Row],[backlog_habiles]]="",FALSE,AND(tblOrdenes[[#This Row],[backlog_habiles]]&gt;p_dias_backlog_min,tblOrdenes[[#This Row],[backlog_habiles]]&lt;=p_dias_backlog_max))</f>
        <v/>
      </c>
      <c r="AE238" s="6" t="n"/>
      <c r="AF2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8" s="11">
        <f>IF(tblOrdenes[[#This Row],[orden]]="","",_xlfn.XLOOKUP(tblOrdenes[[#This Row],[id_operacion]],tblEjecucion[id_operacion],tblEjecucion[precio],0))</f>
        <v/>
      </c>
      <c r="AJ238" s="11">
        <f>IF(tblOrdenes[[#This Row],[orden]]="","",MAX(0,_xlfn.XLOOKUP(tblOrdenes[[#This Row],[id_operacion]],tblEjecucion[id_operacion],tblEjecucion[costo_plan_total],0)-tblOrdenes[[#This Row],[costo_servicio]]))</f>
        <v/>
      </c>
      <c r="AK238" s="11">
        <f>IF(tblOrdenes[[#This Row],[orden]]="","",tblOrdenes[[#This Row],[costo_servicio]]+tblOrdenes[[#This Row],[costo_materiales]])</f>
        <v/>
      </c>
      <c r="AL238" s="6" t="n"/>
      <c r="AM238" s="6" t="n"/>
      <c r="AN238" s="6" t="n"/>
      <c r="AO238" s="3">
        <f>IF(tblOrdenes[[#This Row],[link_checklist]]="","",HYPERLINK(p_ruta_base_checklists&amp;tblOrdenes[[#This Row],[link_checklist]],"abrir"))</f>
        <v/>
      </c>
      <c r="AP238" s="6" t="n"/>
      <c r="AQ238" s="3">
        <f>IF(tblOrdenes[[#This Row],[orden]]="","",tblOrdenes[[#This Row],[orden]]&amp;IF(tblOrdenes[[#This Row],[operacion]]="","0010",tblOrdenes[[#This Row],[operacion]]))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2" t="n"/>
      <c r="K239" s="3" t="n"/>
      <c r="L239" s="11" t="n"/>
      <c r="M2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9" s="3">
        <f>IF(tblOrdenes[[#This Row],[fecha_inicio]]="","",YEAR(tblOrdenes[[#This Row],[fecha_inicio]]))</f>
        <v/>
      </c>
      <c r="Q239" s="3">
        <f>IF(tblOrdenes[[#This Row],[fecha_inicio]]="","",MONTH(tblOrdenes[[#This Row],[fecha_inicio]]))</f>
        <v/>
      </c>
      <c r="R239" s="3">
        <f>IF(tblOrdenes[[#This Row],[fecha_inicio]]="","",INDEX(lista_dias,WEEKDAY(tblOrdenes[[#This Row],[fecha_inicio]],2)))</f>
        <v/>
      </c>
      <c r="S2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9" s="3">
        <f>IF(tblOrdenes[[#This Row],[tipo_ot]]="","",_xlfn.XLOOKUP(tblOrdenes[[#This Row],[tipo_ot]],tblTiposOT[codigo],tblTiposOT[clasificacion],"sin_clasificar"))</f>
        <v/>
      </c>
      <c r="U239" s="3">
        <f>IF(tblOrdenes[[#This Row],[centro_costo]]="","",_xlfn.XLOOKUP(tblOrdenes[[#This Row],[centro_costo]],tblCECO[codigo],tblCECO[linea],"(sin catálogo)"))</f>
        <v/>
      </c>
      <c r="V239" s="3">
        <f>IF(tblOrdenes[[#This Row],[centro_costo]]="","",_xlfn.XLOOKUP(tblOrdenes[[#This Row],[centro_costo]],tblCECO[codigo],tblCECO[area],"(sin catálogo)"))</f>
        <v/>
      </c>
      <c r="W2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9" s="3">
        <f>IF(tblOrdenes[[#This Row],[centro_costo]]="","",_xlfn.XLOOKUP(tblOrdenes[[#This Row],[centro_costo]],tblCECO[codigo],tblCECO[coordinador],"(sin catálogo)"))</f>
        <v/>
      </c>
      <c r="Y239" s="3">
        <f>IF(tblOrdenes[[#This Row],[puesto_trabajo]]="","",_xlfn.XLOOKUP(tblOrdenes[[#This Row],[puesto_trabajo]],tblPuestos[codigo],tblPuestos[especialidad],"(sin catálogo)"))</f>
        <v/>
      </c>
      <c r="Z239" s="3">
        <f>IF(tblOrdenes[[#This Row],[cod_actividad]]="","",_xlfn.XLOOKUP(tblOrdenes[[#This Row],[cod_actividad]],tblActividades[codigo],tblActividades[descripcion],"(sin catálogo)"))</f>
        <v/>
      </c>
      <c r="AA239" s="13">
        <f>IF(tblOrdenes[[#This Row],[fecha_inicio]]="","",TODAY()-tblOrdenes[[#This Row],[fecha_inicio]])</f>
        <v/>
      </c>
      <c r="AB2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9" s="3">
        <f>IF(tblOrdenes[[#This Row],[backlog_habiles]]="","",IF(tblOrdenes[[#This Row],[backlog_habiles]]&lt;0,"FUTURO",IF(tblOrdenes[[#This Row],[backlog_habiles]]&gt;p_dias_backlog_max,"BACKLOG","MES CORRIENTE")))</f>
        <v/>
      </c>
      <c r="AD239" s="3">
        <f>IF(tblOrdenes[[#This Row],[backlog_habiles]]="",FALSE,AND(tblOrdenes[[#This Row],[backlog_habiles]]&gt;p_dias_backlog_min,tblOrdenes[[#This Row],[backlog_habiles]]&lt;=p_dias_backlog_max))</f>
        <v/>
      </c>
      <c r="AE239" s="6" t="n"/>
      <c r="AF2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9" s="11">
        <f>IF(tblOrdenes[[#This Row],[orden]]="","",_xlfn.XLOOKUP(tblOrdenes[[#This Row],[id_operacion]],tblEjecucion[id_operacion],tblEjecucion[precio],0))</f>
        <v/>
      </c>
      <c r="AJ239" s="11">
        <f>IF(tblOrdenes[[#This Row],[orden]]="","",MAX(0,_xlfn.XLOOKUP(tblOrdenes[[#This Row],[id_operacion]],tblEjecucion[id_operacion],tblEjecucion[costo_plan_total],0)-tblOrdenes[[#This Row],[costo_servicio]]))</f>
        <v/>
      </c>
      <c r="AK239" s="11">
        <f>IF(tblOrdenes[[#This Row],[orden]]="","",tblOrdenes[[#This Row],[costo_servicio]]+tblOrdenes[[#This Row],[costo_materiales]])</f>
        <v/>
      </c>
      <c r="AL239" s="6" t="n"/>
      <c r="AM239" s="6" t="n"/>
      <c r="AN239" s="6" t="n"/>
      <c r="AO239" s="3">
        <f>IF(tblOrdenes[[#This Row],[link_checklist]]="","",HYPERLINK(p_ruta_base_checklists&amp;tblOrdenes[[#This Row],[link_checklist]],"abrir"))</f>
        <v/>
      </c>
      <c r="AP239" s="6" t="n"/>
      <c r="AQ239" s="3">
        <f>IF(tblOrdenes[[#This Row],[orden]]="","",tblOrdenes[[#This Row],[orden]]&amp;IF(tblOrdenes[[#This Row],[operacion]]="","0010",tblOrdenes[[#This Row],[operacion]]))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2" t="n"/>
      <c r="K240" s="3" t="n"/>
      <c r="L240" s="11" t="n"/>
      <c r="M2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0" s="3">
        <f>IF(tblOrdenes[[#This Row],[fecha_inicio]]="","",YEAR(tblOrdenes[[#This Row],[fecha_inicio]]))</f>
        <v/>
      </c>
      <c r="Q240" s="3">
        <f>IF(tblOrdenes[[#This Row],[fecha_inicio]]="","",MONTH(tblOrdenes[[#This Row],[fecha_inicio]]))</f>
        <v/>
      </c>
      <c r="R240" s="3">
        <f>IF(tblOrdenes[[#This Row],[fecha_inicio]]="","",INDEX(lista_dias,WEEKDAY(tblOrdenes[[#This Row],[fecha_inicio]],2)))</f>
        <v/>
      </c>
      <c r="S2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0" s="3">
        <f>IF(tblOrdenes[[#This Row],[tipo_ot]]="","",_xlfn.XLOOKUP(tblOrdenes[[#This Row],[tipo_ot]],tblTiposOT[codigo],tblTiposOT[clasificacion],"sin_clasificar"))</f>
        <v/>
      </c>
      <c r="U240" s="3">
        <f>IF(tblOrdenes[[#This Row],[centro_costo]]="","",_xlfn.XLOOKUP(tblOrdenes[[#This Row],[centro_costo]],tblCECO[codigo],tblCECO[linea],"(sin catálogo)"))</f>
        <v/>
      </c>
      <c r="V240" s="3">
        <f>IF(tblOrdenes[[#This Row],[centro_costo]]="","",_xlfn.XLOOKUP(tblOrdenes[[#This Row],[centro_costo]],tblCECO[codigo],tblCECO[area],"(sin catálogo)"))</f>
        <v/>
      </c>
      <c r="W2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0" s="3">
        <f>IF(tblOrdenes[[#This Row],[centro_costo]]="","",_xlfn.XLOOKUP(tblOrdenes[[#This Row],[centro_costo]],tblCECO[codigo],tblCECO[coordinador],"(sin catálogo)"))</f>
        <v/>
      </c>
      <c r="Y240" s="3">
        <f>IF(tblOrdenes[[#This Row],[puesto_trabajo]]="","",_xlfn.XLOOKUP(tblOrdenes[[#This Row],[puesto_trabajo]],tblPuestos[codigo],tblPuestos[especialidad],"(sin catálogo)"))</f>
        <v/>
      </c>
      <c r="Z240" s="3">
        <f>IF(tblOrdenes[[#This Row],[cod_actividad]]="","",_xlfn.XLOOKUP(tblOrdenes[[#This Row],[cod_actividad]],tblActividades[codigo],tblActividades[descripcion],"(sin catálogo)"))</f>
        <v/>
      </c>
      <c r="AA240" s="13">
        <f>IF(tblOrdenes[[#This Row],[fecha_inicio]]="","",TODAY()-tblOrdenes[[#This Row],[fecha_inicio]])</f>
        <v/>
      </c>
      <c r="AB2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0" s="3">
        <f>IF(tblOrdenes[[#This Row],[backlog_habiles]]="","",IF(tblOrdenes[[#This Row],[backlog_habiles]]&lt;0,"FUTURO",IF(tblOrdenes[[#This Row],[backlog_habiles]]&gt;p_dias_backlog_max,"BACKLOG","MES CORRIENTE")))</f>
        <v/>
      </c>
      <c r="AD240" s="3">
        <f>IF(tblOrdenes[[#This Row],[backlog_habiles]]="",FALSE,AND(tblOrdenes[[#This Row],[backlog_habiles]]&gt;p_dias_backlog_min,tblOrdenes[[#This Row],[backlog_habiles]]&lt;=p_dias_backlog_max))</f>
        <v/>
      </c>
      <c r="AE240" s="6" t="n"/>
      <c r="AF2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0" s="11">
        <f>IF(tblOrdenes[[#This Row],[orden]]="","",_xlfn.XLOOKUP(tblOrdenes[[#This Row],[id_operacion]],tblEjecucion[id_operacion],tblEjecucion[precio],0))</f>
        <v/>
      </c>
      <c r="AJ240" s="11">
        <f>IF(tblOrdenes[[#This Row],[orden]]="","",MAX(0,_xlfn.XLOOKUP(tblOrdenes[[#This Row],[id_operacion]],tblEjecucion[id_operacion],tblEjecucion[costo_plan_total],0)-tblOrdenes[[#This Row],[costo_servicio]]))</f>
        <v/>
      </c>
      <c r="AK240" s="11">
        <f>IF(tblOrdenes[[#This Row],[orden]]="","",tblOrdenes[[#This Row],[costo_servicio]]+tblOrdenes[[#This Row],[costo_materiales]])</f>
        <v/>
      </c>
      <c r="AL240" s="6" t="n"/>
      <c r="AM240" s="6" t="n"/>
      <c r="AN240" s="6" t="n"/>
      <c r="AO240" s="3">
        <f>IF(tblOrdenes[[#This Row],[link_checklist]]="","",HYPERLINK(p_ruta_base_checklists&amp;tblOrdenes[[#This Row],[link_checklist]],"abrir"))</f>
        <v/>
      </c>
      <c r="AP240" s="6" t="n"/>
      <c r="AQ240" s="3">
        <f>IF(tblOrdenes[[#This Row],[orden]]="","",tblOrdenes[[#This Row],[orden]]&amp;IF(tblOrdenes[[#This Row],[operacion]]="","0010",tblOrdenes[[#This Row],[operacion]]))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2" t="n"/>
      <c r="K241" s="3" t="n"/>
      <c r="L241" s="11" t="n"/>
      <c r="M2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1" s="3">
        <f>IF(tblOrdenes[[#This Row],[fecha_inicio]]="","",YEAR(tblOrdenes[[#This Row],[fecha_inicio]]))</f>
        <v/>
      </c>
      <c r="Q241" s="3">
        <f>IF(tblOrdenes[[#This Row],[fecha_inicio]]="","",MONTH(tblOrdenes[[#This Row],[fecha_inicio]]))</f>
        <v/>
      </c>
      <c r="R241" s="3">
        <f>IF(tblOrdenes[[#This Row],[fecha_inicio]]="","",INDEX(lista_dias,WEEKDAY(tblOrdenes[[#This Row],[fecha_inicio]],2)))</f>
        <v/>
      </c>
      <c r="S2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1" s="3">
        <f>IF(tblOrdenes[[#This Row],[tipo_ot]]="","",_xlfn.XLOOKUP(tblOrdenes[[#This Row],[tipo_ot]],tblTiposOT[codigo],tblTiposOT[clasificacion],"sin_clasificar"))</f>
        <v/>
      </c>
      <c r="U241" s="3">
        <f>IF(tblOrdenes[[#This Row],[centro_costo]]="","",_xlfn.XLOOKUP(tblOrdenes[[#This Row],[centro_costo]],tblCECO[codigo],tblCECO[linea],"(sin catálogo)"))</f>
        <v/>
      </c>
      <c r="V241" s="3">
        <f>IF(tblOrdenes[[#This Row],[centro_costo]]="","",_xlfn.XLOOKUP(tblOrdenes[[#This Row],[centro_costo]],tblCECO[codigo],tblCECO[area],"(sin catálogo)"))</f>
        <v/>
      </c>
      <c r="W2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1" s="3">
        <f>IF(tblOrdenes[[#This Row],[centro_costo]]="","",_xlfn.XLOOKUP(tblOrdenes[[#This Row],[centro_costo]],tblCECO[codigo],tblCECO[coordinador],"(sin catálogo)"))</f>
        <v/>
      </c>
      <c r="Y241" s="3">
        <f>IF(tblOrdenes[[#This Row],[puesto_trabajo]]="","",_xlfn.XLOOKUP(tblOrdenes[[#This Row],[puesto_trabajo]],tblPuestos[codigo],tblPuestos[especialidad],"(sin catálogo)"))</f>
        <v/>
      </c>
      <c r="Z241" s="3">
        <f>IF(tblOrdenes[[#This Row],[cod_actividad]]="","",_xlfn.XLOOKUP(tblOrdenes[[#This Row],[cod_actividad]],tblActividades[codigo],tblActividades[descripcion],"(sin catálogo)"))</f>
        <v/>
      </c>
      <c r="AA241" s="13">
        <f>IF(tblOrdenes[[#This Row],[fecha_inicio]]="","",TODAY()-tblOrdenes[[#This Row],[fecha_inicio]])</f>
        <v/>
      </c>
      <c r="AB2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1" s="3">
        <f>IF(tblOrdenes[[#This Row],[backlog_habiles]]="","",IF(tblOrdenes[[#This Row],[backlog_habiles]]&lt;0,"FUTURO",IF(tblOrdenes[[#This Row],[backlog_habiles]]&gt;p_dias_backlog_max,"BACKLOG","MES CORRIENTE")))</f>
        <v/>
      </c>
      <c r="AD241" s="3">
        <f>IF(tblOrdenes[[#This Row],[backlog_habiles]]="",FALSE,AND(tblOrdenes[[#This Row],[backlog_habiles]]&gt;p_dias_backlog_min,tblOrdenes[[#This Row],[backlog_habiles]]&lt;=p_dias_backlog_max))</f>
        <v/>
      </c>
      <c r="AE241" s="6" t="n"/>
      <c r="AF2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1" s="11">
        <f>IF(tblOrdenes[[#This Row],[orden]]="","",_xlfn.XLOOKUP(tblOrdenes[[#This Row],[id_operacion]],tblEjecucion[id_operacion],tblEjecucion[precio],0))</f>
        <v/>
      </c>
      <c r="AJ241" s="11">
        <f>IF(tblOrdenes[[#This Row],[orden]]="","",MAX(0,_xlfn.XLOOKUP(tblOrdenes[[#This Row],[id_operacion]],tblEjecucion[id_operacion],tblEjecucion[costo_plan_total],0)-tblOrdenes[[#This Row],[costo_servicio]]))</f>
        <v/>
      </c>
      <c r="AK241" s="11">
        <f>IF(tblOrdenes[[#This Row],[orden]]="","",tblOrdenes[[#This Row],[costo_servicio]]+tblOrdenes[[#This Row],[costo_materiales]])</f>
        <v/>
      </c>
      <c r="AL241" s="6" t="n"/>
      <c r="AM241" s="6" t="n"/>
      <c r="AN241" s="6" t="n"/>
      <c r="AO241" s="3">
        <f>IF(tblOrdenes[[#This Row],[link_checklist]]="","",HYPERLINK(p_ruta_base_checklists&amp;tblOrdenes[[#This Row],[link_checklist]],"abrir"))</f>
        <v/>
      </c>
      <c r="AP241" s="6" t="n"/>
      <c r="AQ241" s="3">
        <f>IF(tblOrdenes[[#This Row],[orden]]="","",tblOrdenes[[#This Row],[orden]]&amp;IF(tblOrdenes[[#This Row],[operacion]]="","0010",tblOrdenes[[#This Row],[operacion]]))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2" t="n"/>
      <c r="K242" s="3" t="n"/>
      <c r="L242" s="11" t="n"/>
      <c r="M2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2" s="3">
        <f>IF(tblOrdenes[[#This Row],[fecha_inicio]]="","",YEAR(tblOrdenes[[#This Row],[fecha_inicio]]))</f>
        <v/>
      </c>
      <c r="Q242" s="3">
        <f>IF(tblOrdenes[[#This Row],[fecha_inicio]]="","",MONTH(tblOrdenes[[#This Row],[fecha_inicio]]))</f>
        <v/>
      </c>
      <c r="R242" s="3">
        <f>IF(tblOrdenes[[#This Row],[fecha_inicio]]="","",INDEX(lista_dias,WEEKDAY(tblOrdenes[[#This Row],[fecha_inicio]],2)))</f>
        <v/>
      </c>
      <c r="S2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2" s="3">
        <f>IF(tblOrdenes[[#This Row],[tipo_ot]]="","",_xlfn.XLOOKUP(tblOrdenes[[#This Row],[tipo_ot]],tblTiposOT[codigo],tblTiposOT[clasificacion],"sin_clasificar"))</f>
        <v/>
      </c>
      <c r="U242" s="3">
        <f>IF(tblOrdenes[[#This Row],[centro_costo]]="","",_xlfn.XLOOKUP(tblOrdenes[[#This Row],[centro_costo]],tblCECO[codigo],tblCECO[linea],"(sin catálogo)"))</f>
        <v/>
      </c>
      <c r="V242" s="3">
        <f>IF(tblOrdenes[[#This Row],[centro_costo]]="","",_xlfn.XLOOKUP(tblOrdenes[[#This Row],[centro_costo]],tblCECO[codigo],tblCECO[area],"(sin catálogo)"))</f>
        <v/>
      </c>
      <c r="W2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2" s="3">
        <f>IF(tblOrdenes[[#This Row],[centro_costo]]="","",_xlfn.XLOOKUP(tblOrdenes[[#This Row],[centro_costo]],tblCECO[codigo],tblCECO[coordinador],"(sin catálogo)"))</f>
        <v/>
      </c>
      <c r="Y242" s="3">
        <f>IF(tblOrdenes[[#This Row],[puesto_trabajo]]="","",_xlfn.XLOOKUP(tblOrdenes[[#This Row],[puesto_trabajo]],tblPuestos[codigo],tblPuestos[especialidad],"(sin catálogo)"))</f>
        <v/>
      </c>
      <c r="Z242" s="3">
        <f>IF(tblOrdenes[[#This Row],[cod_actividad]]="","",_xlfn.XLOOKUP(tblOrdenes[[#This Row],[cod_actividad]],tblActividades[codigo],tblActividades[descripcion],"(sin catálogo)"))</f>
        <v/>
      </c>
      <c r="AA242" s="13">
        <f>IF(tblOrdenes[[#This Row],[fecha_inicio]]="","",TODAY()-tblOrdenes[[#This Row],[fecha_inicio]])</f>
        <v/>
      </c>
      <c r="AB2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2" s="3">
        <f>IF(tblOrdenes[[#This Row],[backlog_habiles]]="","",IF(tblOrdenes[[#This Row],[backlog_habiles]]&lt;0,"FUTURO",IF(tblOrdenes[[#This Row],[backlog_habiles]]&gt;p_dias_backlog_max,"BACKLOG","MES CORRIENTE")))</f>
        <v/>
      </c>
      <c r="AD242" s="3">
        <f>IF(tblOrdenes[[#This Row],[backlog_habiles]]="",FALSE,AND(tblOrdenes[[#This Row],[backlog_habiles]]&gt;p_dias_backlog_min,tblOrdenes[[#This Row],[backlog_habiles]]&lt;=p_dias_backlog_max))</f>
        <v/>
      </c>
      <c r="AE242" s="6" t="n"/>
      <c r="AF2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2" s="11">
        <f>IF(tblOrdenes[[#This Row],[orden]]="","",_xlfn.XLOOKUP(tblOrdenes[[#This Row],[id_operacion]],tblEjecucion[id_operacion],tblEjecucion[precio],0))</f>
        <v/>
      </c>
      <c r="AJ242" s="11">
        <f>IF(tblOrdenes[[#This Row],[orden]]="","",MAX(0,_xlfn.XLOOKUP(tblOrdenes[[#This Row],[id_operacion]],tblEjecucion[id_operacion],tblEjecucion[costo_plan_total],0)-tblOrdenes[[#This Row],[costo_servicio]]))</f>
        <v/>
      </c>
      <c r="AK242" s="11">
        <f>IF(tblOrdenes[[#This Row],[orden]]="","",tblOrdenes[[#This Row],[costo_servicio]]+tblOrdenes[[#This Row],[costo_materiales]])</f>
        <v/>
      </c>
      <c r="AL242" s="6" t="n"/>
      <c r="AM242" s="6" t="n"/>
      <c r="AN242" s="6" t="n"/>
      <c r="AO242" s="3">
        <f>IF(tblOrdenes[[#This Row],[link_checklist]]="","",HYPERLINK(p_ruta_base_checklists&amp;tblOrdenes[[#This Row],[link_checklist]],"abrir"))</f>
        <v/>
      </c>
      <c r="AP242" s="6" t="n"/>
      <c r="AQ242" s="3">
        <f>IF(tblOrdenes[[#This Row],[orden]]="","",tblOrdenes[[#This Row],[orden]]&amp;IF(tblOrdenes[[#This Row],[operacion]]="","0010",tblOrdenes[[#This Row],[operacion]]))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2" t="n"/>
      <c r="K243" s="3" t="n"/>
      <c r="L243" s="11" t="n"/>
      <c r="M2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3" s="3">
        <f>IF(tblOrdenes[[#This Row],[fecha_inicio]]="","",YEAR(tblOrdenes[[#This Row],[fecha_inicio]]))</f>
        <v/>
      </c>
      <c r="Q243" s="3">
        <f>IF(tblOrdenes[[#This Row],[fecha_inicio]]="","",MONTH(tblOrdenes[[#This Row],[fecha_inicio]]))</f>
        <v/>
      </c>
      <c r="R243" s="3">
        <f>IF(tblOrdenes[[#This Row],[fecha_inicio]]="","",INDEX(lista_dias,WEEKDAY(tblOrdenes[[#This Row],[fecha_inicio]],2)))</f>
        <v/>
      </c>
      <c r="S2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3" s="3">
        <f>IF(tblOrdenes[[#This Row],[tipo_ot]]="","",_xlfn.XLOOKUP(tblOrdenes[[#This Row],[tipo_ot]],tblTiposOT[codigo],tblTiposOT[clasificacion],"sin_clasificar"))</f>
        <v/>
      </c>
      <c r="U243" s="3">
        <f>IF(tblOrdenes[[#This Row],[centro_costo]]="","",_xlfn.XLOOKUP(tblOrdenes[[#This Row],[centro_costo]],tblCECO[codigo],tblCECO[linea],"(sin catálogo)"))</f>
        <v/>
      </c>
      <c r="V243" s="3">
        <f>IF(tblOrdenes[[#This Row],[centro_costo]]="","",_xlfn.XLOOKUP(tblOrdenes[[#This Row],[centro_costo]],tblCECO[codigo],tblCECO[area],"(sin catálogo)"))</f>
        <v/>
      </c>
      <c r="W2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3" s="3">
        <f>IF(tblOrdenes[[#This Row],[centro_costo]]="","",_xlfn.XLOOKUP(tblOrdenes[[#This Row],[centro_costo]],tblCECO[codigo],tblCECO[coordinador],"(sin catálogo)"))</f>
        <v/>
      </c>
      <c r="Y243" s="3">
        <f>IF(tblOrdenes[[#This Row],[puesto_trabajo]]="","",_xlfn.XLOOKUP(tblOrdenes[[#This Row],[puesto_trabajo]],tblPuestos[codigo],tblPuestos[especialidad],"(sin catálogo)"))</f>
        <v/>
      </c>
      <c r="Z243" s="3">
        <f>IF(tblOrdenes[[#This Row],[cod_actividad]]="","",_xlfn.XLOOKUP(tblOrdenes[[#This Row],[cod_actividad]],tblActividades[codigo],tblActividades[descripcion],"(sin catálogo)"))</f>
        <v/>
      </c>
      <c r="AA243" s="13">
        <f>IF(tblOrdenes[[#This Row],[fecha_inicio]]="","",TODAY()-tblOrdenes[[#This Row],[fecha_inicio]])</f>
        <v/>
      </c>
      <c r="AB2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3" s="3">
        <f>IF(tblOrdenes[[#This Row],[backlog_habiles]]="","",IF(tblOrdenes[[#This Row],[backlog_habiles]]&lt;0,"FUTURO",IF(tblOrdenes[[#This Row],[backlog_habiles]]&gt;p_dias_backlog_max,"BACKLOG","MES CORRIENTE")))</f>
        <v/>
      </c>
      <c r="AD243" s="3">
        <f>IF(tblOrdenes[[#This Row],[backlog_habiles]]="",FALSE,AND(tblOrdenes[[#This Row],[backlog_habiles]]&gt;p_dias_backlog_min,tblOrdenes[[#This Row],[backlog_habiles]]&lt;=p_dias_backlog_max))</f>
        <v/>
      </c>
      <c r="AE243" s="6" t="n"/>
      <c r="AF2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3" s="11">
        <f>IF(tblOrdenes[[#This Row],[orden]]="","",_xlfn.XLOOKUP(tblOrdenes[[#This Row],[id_operacion]],tblEjecucion[id_operacion],tblEjecucion[precio],0))</f>
        <v/>
      </c>
      <c r="AJ243" s="11">
        <f>IF(tblOrdenes[[#This Row],[orden]]="","",MAX(0,_xlfn.XLOOKUP(tblOrdenes[[#This Row],[id_operacion]],tblEjecucion[id_operacion],tblEjecucion[costo_plan_total],0)-tblOrdenes[[#This Row],[costo_servicio]]))</f>
        <v/>
      </c>
      <c r="AK243" s="11">
        <f>IF(tblOrdenes[[#This Row],[orden]]="","",tblOrdenes[[#This Row],[costo_servicio]]+tblOrdenes[[#This Row],[costo_materiales]])</f>
        <v/>
      </c>
      <c r="AL243" s="6" t="n"/>
      <c r="AM243" s="6" t="n"/>
      <c r="AN243" s="6" t="n"/>
      <c r="AO243" s="3">
        <f>IF(tblOrdenes[[#This Row],[link_checklist]]="","",HYPERLINK(p_ruta_base_checklists&amp;tblOrdenes[[#This Row],[link_checklist]],"abrir"))</f>
        <v/>
      </c>
      <c r="AP243" s="6" t="n"/>
      <c r="AQ243" s="3">
        <f>IF(tblOrdenes[[#This Row],[orden]]="","",tblOrdenes[[#This Row],[orden]]&amp;IF(tblOrdenes[[#This Row],[operacion]]="","0010",tblOrdenes[[#This Row],[operacion]]))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2" t="n"/>
      <c r="K244" s="3" t="n"/>
      <c r="L244" s="11" t="n"/>
      <c r="M2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4" s="3">
        <f>IF(tblOrdenes[[#This Row],[fecha_inicio]]="","",YEAR(tblOrdenes[[#This Row],[fecha_inicio]]))</f>
        <v/>
      </c>
      <c r="Q244" s="3">
        <f>IF(tblOrdenes[[#This Row],[fecha_inicio]]="","",MONTH(tblOrdenes[[#This Row],[fecha_inicio]]))</f>
        <v/>
      </c>
      <c r="R244" s="3">
        <f>IF(tblOrdenes[[#This Row],[fecha_inicio]]="","",INDEX(lista_dias,WEEKDAY(tblOrdenes[[#This Row],[fecha_inicio]],2)))</f>
        <v/>
      </c>
      <c r="S2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4" s="3">
        <f>IF(tblOrdenes[[#This Row],[tipo_ot]]="","",_xlfn.XLOOKUP(tblOrdenes[[#This Row],[tipo_ot]],tblTiposOT[codigo],tblTiposOT[clasificacion],"sin_clasificar"))</f>
        <v/>
      </c>
      <c r="U244" s="3">
        <f>IF(tblOrdenes[[#This Row],[centro_costo]]="","",_xlfn.XLOOKUP(tblOrdenes[[#This Row],[centro_costo]],tblCECO[codigo],tblCECO[linea],"(sin catálogo)"))</f>
        <v/>
      </c>
      <c r="V244" s="3">
        <f>IF(tblOrdenes[[#This Row],[centro_costo]]="","",_xlfn.XLOOKUP(tblOrdenes[[#This Row],[centro_costo]],tblCECO[codigo],tblCECO[area],"(sin catálogo)"))</f>
        <v/>
      </c>
      <c r="W2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4" s="3">
        <f>IF(tblOrdenes[[#This Row],[centro_costo]]="","",_xlfn.XLOOKUP(tblOrdenes[[#This Row],[centro_costo]],tblCECO[codigo],tblCECO[coordinador],"(sin catálogo)"))</f>
        <v/>
      </c>
      <c r="Y244" s="3">
        <f>IF(tblOrdenes[[#This Row],[puesto_trabajo]]="","",_xlfn.XLOOKUP(tblOrdenes[[#This Row],[puesto_trabajo]],tblPuestos[codigo],tblPuestos[especialidad],"(sin catálogo)"))</f>
        <v/>
      </c>
      <c r="Z244" s="3">
        <f>IF(tblOrdenes[[#This Row],[cod_actividad]]="","",_xlfn.XLOOKUP(tblOrdenes[[#This Row],[cod_actividad]],tblActividades[codigo],tblActividades[descripcion],"(sin catálogo)"))</f>
        <v/>
      </c>
      <c r="AA244" s="13">
        <f>IF(tblOrdenes[[#This Row],[fecha_inicio]]="","",TODAY()-tblOrdenes[[#This Row],[fecha_inicio]])</f>
        <v/>
      </c>
      <c r="AB2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4" s="3">
        <f>IF(tblOrdenes[[#This Row],[backlog_habiles]]="","",IF(tblOrdenes[[#This Row],[backlog_habiles]]&lt;0,"FUTURO",IF(tblOrdenes[[#This Row],[backlog_habiles]]&gt;p_dias_backlog_max,"BACKLOG","MES CORRIENTE")))</f>
        <v/>
      </c>
      <c r="AD244" s="3">
        <f>IF(tblOrdenes[[#This Row],[backlog_habiles]]="",FALSE,AND(tblOrdenes[[#This Row],[backlog_habiles]]&gt;p_dias_backlog_min,tblOrdenes[[#This Row],[backlog_habiles]]&lt;=p_dias_backlog_max))</f>
        <v/>
      </c>
      <c r="AE244" s="6" t="n"/>
      <c r="AF2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4" s="11">
        <f>IF(tblOrdenes[[#This Row],[orden]]="","",_xlfn.XLOOKUP(tblOrdenes[[#This Row],[id_operacion]],tblEjecucion[id_operacion],tblEjecucion[precio],0))</f>
        <v/>
      </c>
      <c r="AJ244" s="11">
        <f>IF(tblOrdenes[[#This Row],[orden]]="","",MAX(0,_xlfn.XLOOKUP(tblOrdenes[[#This Row],[id_operacion]],tblEjecucion[id_operacion],tblEjecucion[costo_plan_total],0)-tblOrdenes[[#This Row],[costo_servicio]]))</f>
        <v/>
      </c>
      <c r="AK244" s="11">
        <f>IF(tblOrdenes[[#This Row],[orden]]="","",tblOrdenes[[#This Row],[costo_servicio]]+tblOrdenes[[#This Row],[costo_materiales]])</f>
        <v/>
      </c>
      <c r="AL244" s="6" t="n"/>
      <c r="AM244" s="6" t="n"/>
      <c r="AN244" s="6" t="n"/>
      <c r="AO244" s="3">
        <f>IF(tblOrdenes[[#This Row],[link_checklist]]="","",HYPERLINK(p_ruta_base_checklists&amp;tblOrdenes[[#This Row],[link_checklist]],"abrir"))</f>
        <v/>
      </c>
      <c r="AP244" s="6" t="n"/>
      <c r="AQ244" s="3">
        <f>IF(tblOrdenes[[#This Row],[orden]]="","",tblOrdenes[[#This Row],[orden]]&amp;IF(tblOrdenes[[#This Row],[operacion]]="","0010",tblOrdenes[[#This Row],[operacion]]))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2" t="n"/>
      <c r="K245" s="3" t="n"/>
      <c r="L245" s="11" t="n"/>
      <c r="M2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5" s="3">
        <f>IF(tblOrdenes[[#This Row],[fecha_inicio]]="","",YEAR(tblOrdenes[[#This Row],[fecha_inicio]]))</f>
        <v/>
      </c>
      <c r="Q245" s="3">
        <f>IF(tblOrdenes[[#This Row],[fecha_inicio]]="","",MONTH(tblOrdenes[[#This Row],[fecha_inicio]]))</f>
        <v/>
      </c>
      <c r="R245" s="3">
        <f>IF(tblOrdenes[[#This Row],[fecha_inicio]]="","",INDEX(lista_dias,WEEKDAY(tblOrdenes[[#This Row],[fecha_inicio]],2)))</f>
        <v/>
      </c>
      <c r="S2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5" s="3">
        <f>IF(tblOrdenes[[#This Row],[tipo_ot]]="","",_xlfn.XLOOKUP(tblOrdenes[[#This Row],[tipo_ot]],tblTiposOT[codigo],tblTiposOT[clasificacion],"sin_clasificar"))</f>
        <v/>
      </c>
      <c r="U245" s="3">
        <f>IF(tblOrdenes[[#This Row],[centro_costo]]="","",_xlfn.XLOOKUP(tblOrdenes[[#This Row],[centro_costo]],tblCECO[codigo],tblCECO[linea],"(sin catálogo)"))</f>
        <v/>
      </c>
      <c r="V245" s="3">
        <f>IF(tblOrdenes[[#This Row],[centro_costo]]="","",_xlfn.XLOOKUP(tblOrdenes[[#This Row],[centro_costo]],tblCECO[codigo],tblCECO[area],"(sin catálogo)"))</f>
        <v/>
      </c>
      <c r="W2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5" s="3">
        <f>IF(tblOrdenes[[#This Row],[centro_costo]]="","",_xlfn.XLOOKUP(tblOrdenes[[#This Row],[centro_costo]],tblCECO[codigo],tblCECO[coordinador],"(sin catálogo)"))</f>
        <v/>
      </c>
      <c r="Y245" s="3">
        <f>IF(tblOrdenes[[#This Row],[puesto_trabajo]]="","",_xlfn.XLOOKUP(tblOrdenes[[#This Row],[puesto_trabajo]],tblPuestos[codigo],tblPuestos[especialidad],"(sin catálogo)"))</f>
        <v/>
      </c>
      <c r="Z245" s="3">
        <f>IF(tblOrdenes[[#This Row],[cod_actividad]]="","",_xlfn.XLOOKUP(tblOrdenes[[#This Row],[cod_actividad]],tblActividades[codigo],tblActividades[descripcion],"(sin catálogo)"))</f>
        <v/>
      </c>
      <c r="AA245" s="13">
        <f>IF(tblOrdenes[[#This Row],[fecha_inicio]]="","",TODAY()-tblOrdenes[[#This Row],[fecha_inicio]])</f>
        <v/>
      </c>
      <c r="AB2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5" s="3">
        <f>IF(tblOrdenes[[#This Row],[backlog_habiles]]="","",IF(tblOrdenes[[#This Row],[backlog_habiles]]&lt;0,"FUTURO",IF(tblOrdenes[[#This Row],[backlog_habiles]]&gt;p_dias_backlog_max,"BACKLOG","MES CORRIENTE")))</f>
        <v/>
      </c>
      <c r="AD245" s="3">
        <f>IF(tblOrdenes[[#This Row],[backlog_habiles]]="",FALSE,AND(tblOrdenes[[#This Row],[backlog_habiles]]&gt;p_dias_backlog_min,tblOrdenes[[#This Row],[backlog_habiles]]&lt;=p_dias_backlog_max))</f>
        <v/>
      </c>
      <c r="AE245" s="6" t="n"/>
      <c r="AF2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5" s="11">
        <f>IF(tblOrdenes[[#This Row],[orden]]="","",_xlfn.XLOOKUP(tblOrdenes[[#This Row],[id_operacion]],tblEjecucion[id_operacion],tblEjecucion[precio],0))</f>
        <v/>
      </c>
      <c r="AJ245" s="11">
        <f>IF(tblOrdenes[[#This Row],[orden]]="","",MAX(0,_xlfn.XLOOKUP(tblOrdenes[[#This Row],[id_operacion]],tblEjecucion[id_operacion],tblEjecucion[costo_plan_total],0)-tblOrdenes[[#This Row],[costo_servicio]]))</f>
        <v/>
      </c>
      <c r="AK245" s="11">
        <f>IF(tblOrdenes[[#This Row],[orden]]="","",tblOrdenes[[#This Row],[costo_servicio]]+tblOrdenes[[#This Row],[costo_materiales]])</f>
        <v/>
      </c>
      <c r="AL245" s="6" t="n"/>
      <c r="AM245" s="6" t="n"/>
      <c r="AN245" s="6" t="n"/>
      <c r="AO245" s="3">
        <f>IF(tblOrdenes[[#This Row],[link_checklist]]="","",HYPERLINK(p_ruta_base_checklists&amp;tblOrdenes[[#This Row],[link_checklist]],"abrir"))</f>
        <v/>
      </c>
      <c r="AP245" s="6" t="n"/>
      <c r="AQ245" s="3">
        <f>IF(tblOrdenes[[#This Row],[orden]]="","",tblOrdenes[[#This Row],[orden]]&amp;IF(tblOrdenes[[#This Row],[operacion]]="","0010",tblOrdenes[[#This Row],[operacion]]))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2" t="n"/>
      <c r="K246" s="3" t="n"/>
      <c r="L246" s="11" t="n"/>
      <c r="M2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6" s="3">
        <f>IF(tblOrdenes[[#This Row],[fecha_inicio]]="","",YEAR(tblOrdenes[[#This Row],[fecha_inicio]]))</f>
        <v/>
      </c>
      <c r="Q246" s="3">
        <f>IF(tblOrdenes[[#This Row],[fecha_inicio]]="","",MONTH(tblOrdenes[[#This Row],[fecha_inicio]]))</f>
        <v/>
      </c>
      <c r="R246" s="3">
        <f>IF(tblOrdenes[[#This Row],[fecha_inicio]]="","",INDEX(lista_dias,WEEKDAY(tblOrdenes[[#This Row],[fecha_inicio]],2)))</f>
        <v/>
      </c>
      <c r="S2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6" s="3">
        <f>IF(tblOrdenes[[#This Row],[tipo_ot]]="","",_xlfn.XLOOKUP(tblOrdenes[[#This Row],[tipo_ot]],tblTiposOT[codigo],tblTiposOT[clasificacion],"sin_clasificar"))</f>
        <v/>
      </c>
      <c r="U246" s="3">
        <f>IF(tblOrdenes[[#This Row],[centro_costo]]="","",_xlfn.XLOOKUP(tblOrdenes[[#This Row],[centro_costo]],tblCECO[codigo],tblCECO[linea],"(sin catálogo)"))</f>
        <v/>
      </c>
      <c r="V246" s="3">
        <f>IF(tblOrdenes[[#This Row],[centro_costo]]="","",_xlfn.XLOOKUP(tblOrdenes[[#This Row],[centro_costo]],tblCECO[codigo],tblCECO[area],"(sin catálogo)"))</f>
        <v/>
      </c>
      <c r="W2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6" s="3">
        <f>IF(tblOrdenes[[#This Row],[centro_costo]]="","",_xlfn.XLOOKUP(tblOrdenes[[#This Row],[centro_costo]],tblCECO[codigo],tblCECO[coordinador],"(sin catálogo)"))</f>
        <v/>
      </c>
      <c r="Y246" s="3">
        <f>IF(tblOrdenes[[#This Row],[puesto_trabajo]]="","",_xlfn.XLOOKUP(tblOrdenes[[#This Row],[puesto_trabajo]],tblPuestos[codigo],tblPuestos[especialidad],"(sin catálogo)"))</f>
        <v/>
      </c>
      <c r="Z246" s="3">
        <f>IF(tblOrdenes[[#This Row],[cod_actividad]]="","",_xlfn.XLOOKUP(tblOrdenes[[#This Row],[cod_actividad]],tblActividades[codigo],tblActividades[descripcion],"(sin catálogo)"))</f>
        <v/>
      </c>
      <c r="AA246" s="13">
        <f>IF(tblOrdenes[[#This Row],[fecha_inicio]]="","",TODAY()-tblOrdenes[[#This Row],[fecha_inicio]])</f>
        <v/>
      </c>
      <c r="AB2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6" s="3">
        <f>IF(tblOrdenes[[#This Row],[backlog_habiles]]="","",IF(tblOrdenes[[#This Row],[backlog_habiles]]&lt;0,"FUTURO",IF(tblOrdenes[[#This Row],[backlog_habiles]]&gt;p_dias_backlog_max,"BACKLOG","MES CORRIENTE")))</f>
        <v/>
      </c>
      <c r="AD246" s="3">
        <f>IF(tblOrdenes[[#This Row],[backlog_habiles]]="",FALSE,AND(tblOrdenes[[#This Row],[backlog_habiles]]&gt;p_dias_backlog_min,tblOrdenes[[#This Row],[backlog_habiles]]&lt;=p_dias_backlog_max))</f>
        <v/>
      </c>
      <c r="AE246" s="6" t="n"/>
      <c r="AF2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6" s="11">
        <f>IF(tblOrdenes[[#This Row],[orden]]="","",_xlfn.XLOOKUP(tblOrdenes[[#This Row],[id_operacion]],tblEjecucion[id_operacion],tblEjecucion[precio],0))</f>
        <v/>
      </c>
      <c r="AJ246" s="11">
        <f>IF(tblOrdenes[[#This Row],[orden]]="","",MAX(0,_xlfn.XLOOKUP(tblOrdenes[[#This Row],[id_operacion]],tblEjecucion[id_operacion],tblEjecucion[costo_plan_total],0)-tblOrdenes[[#This Row],[costo_servicio]]))</f>
        <v/>
      </c>
      <c r="AK246" s="11">
        <f>IF(tblOrdenes[[#This Row],[orden]]="","",tblOrdenes[[#This Row],[costo_servicio]]+tblOrdenes[[#This Row],[costo_materiales]])</f>
        <v/>
      </c>
      <c r="AL246" s="6" t="n"/>
      <c r="AM246" s="6" t="n"/>
      <c r="AN246" s="6" t="n"/>
      <c r="AO246" s="3">
        <f>IF(tblOrdenes[[#This Row],[link_checklist]]="","",HYPERLINK(p_ruta_base_checklists&amp;tblOrdenes[[#This Row],[link_checklist]],"abrir"))</f>
        <v/>
      </c>
      <c r="AP246" s="6" t="n"/>
      <c r="AQ246" s="3">
        <f>IF(tblOrdenes[[#This Row],[orden]]="","",tblOrdenes[[#This Row],[orden]]&amp;IF(tblOrdenes[[#This Row],[operacion]]="","0010",tblOrdenes[[#This Row],[operacion]]))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2" t="n"/>
      <c r="K247" s="3" t="n"/>
      <c r="L247" s="11" t="n"/>
      <c r="M2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7" s="3">
        <f>IF(tblOrdenes[[#This Row],[fecha_inicio]]="","",YEAR(tblOrdenes[[#This Row],[fecha_inicio]]))</f>
        <v/>
      </c>
      <c r="Q247" s="3">
        <f>IF(tblOrdenes[[#This Row],[fecha_inicio]]="","",MONTH(tblOrdenes[[#This Row],[fecha_inicio]]))</f>
        <v/>
      </c>
      <c r="R247" s="3">
        <f>IF(tblOrdenes[[#This Row],[fecha_inicio]]="","",INDEX(lista_dias,WEEKDAY(tblOrdenes[[#This Row],[fecha_inicio]],2)))</f>
        <v/>
      </c>
      <c r="S2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7" s="3">
        <f>IF(tblOrdenes[[#This Row],[tipo_ot]]="","",_xlfn.XLOOKUP(tblOrdenes[[#This Row],[tipo_ot]],tblTiposOT[codigo],tblTiposOT[clasificacion],"sin_clasificar"))</f>
        <v/>
      </c>
      <c r="U247" s="3">
        <f>IF(tblOrdenes[[#This Row],[centro_costo]]="","",_xlfn.XLOOKUP(tblOrdenes[[#This Row],[centro_costo]],tblCECO[codigo],tblCECO[linea],"(sin catálogo)"))</f>
        <v/>
      </c>
      <c r="V247" s="3">
        <f>IF(tblOrdenes[[#This Row],[centro_costo]]="","",_xlfn.XLOOKUP(tblOrdenes[[#This Row],[centro_costo]],tblCECO[codigo],tblCECO[area],"(sin catálogo)"))</f>
        <v/>
      </c>
      <c r="W2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7" s="3">
        <f>IF(tblOrdenes[[#This Row],[centro_costo]]="","",_xlfn.XLOOKUP(tblOrdenes[[#This Row],[centro_costo]],tblCECO[codigo],tblCECO[coordinador],"(sin catálogo)"))</f>
        <v/>
      </c>
      <c r="Y247" s="3">
        <f>IF(tblOrdenes[[#This Row],[puesto_trabajo]]="","",_xlfn.XLOOKUP(tblOrdenes[[#This Row],[puesto_trabajo]],tblPuestos[codigo],tblPuestos[especialidad],"(sin catálogo)"))</f>
        <v/>
      </c>
      <c r="Z247" s="3">
        <f>IF(tblOrdenes[[#This Row],[cod_actividad]]="","",_xlfn.XLOOKUP(tblOrdenes[[#This Row],[cod_actividad]],tblActividades[codigo],tblActividades[descripcion],"(sin catálogo)"))</f>
        <v/>
      </c>
      <c r="AA247" s="13">
        <f>IF(tblOrdenes[[#This Row],[fecha_inicio]]="","",TODAY()-tblOrdenes[[#This Row],[fecha_inicio]])</f>
        <v/>
      </c>
      <c r="AB2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7" s="3">
        <f>IF(tblOrdenes[[#This Row],[backlog_habiles]]="","",IF(tblOrdenes[[#This Row],[backlog_habiles]]&lt;0,"FUTURO",IF(tblOrdenes[[#This Row],[backlog_habiles]]&gt;p_dias_backlog_max,"BACKLOG","MES CORRIENTE")))</f>
        <v/>
      </c>
      <c r="AD247" s="3">
        <f>IF(tblOrdenes[[#This Row],[backlog_habiles]]="",FALSE,AND(tblOrdenes[[#This Row],[backlog_habiles]]&gt;p_dias_backlog_min,tblOrdenes[[#This Row],[backlog_habiles]]&lt;=p_dias_backlog_max))</f>
        <v/>
      </c>
      <c r="AE247" s="6" t="n"/>
      <c r="AF2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7" s="11">
        <f>IF(tblOrdenes[[#This Row],[orden]]="","",_xlfn.XLOOKUP(tblOrdenes[[#This Row],[id_operacion]],tblEjecucion[id_operacion],tblEjecucion[precio],0))</f>
        <v/>
      </c>
      <c r="AJ247" s="11">
        <f>IF(tblOrdenes[[#This Row],[orden]]="","",MAX(0,_xlfn.XLOOKUP(tblOrdenes[[#This Row],[id_operacion]],tblEjecucion[id_operacion],tblEjecucion[costo_plan_total],0)-tblOrdenes[[#This Row],[costo_servicio]]))</f>
        <v/>
      </c>
      <c r="AK247" s="11">
        <f>IF(tblOrdenes[[#This Row],[orden]]="","",tblOrdenes[[#This Row],[costo_servicio]]+tblOrdenes[[#This Row],[costo_materiales]])</f>
        <v/>
      </c>
      <c r="AL247" s="6" t="n"/>
      <c r="AM247" s="6" t="n"/>
      <c r="AN247" s="6" t="n"/>
      <c r="AO247" s="3">
        <f>IF(tblOrdenes[[#This Row],[link_checklist]]="","",HYPERLINK(p_ruta_base_checklists&amp;tblOrdenes[[#This Row],[link_checklist]],"abrir"))</f>
        <v/>
      </c>
      <c r="AP247" s="6" t="n"/>
      <c r="AQ247" s="3">
        <f>IF(tblOrdenes[[#This Row],[orden]]="","",tblOrdenes[[#This Row],[orden]]&amp;IF(tblOrdenes[[#This Row],[operacion]]="","0010",tblOrdenes[[#This Row],[operacion]]))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2" t="n"/>
      <c r="K248" s="3" t="n"/>
      <c r="L248" s="11" t="n"/>
      <c r="M2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8" s="3">
        <f>IF(tblOrdenes[[#This Row],[fecha_inicio]]="","",YEAR(tblOrdenes[[#This Row],[fecha_inicio]]))</f>
        <v/>
      </c>
      <c r="Q248" s="3">
        <f>IF(tblOrdenes[[#This Row],[fecha_inicio]]="","",MONTH(tblOrdenes[[#This Row],[fecha_inicio]]))</f>
        <v/>
      </c>
      <c r="R248" s="3">
        <f>IF(tblOrdenes[[#This Row],[fecha_inicio]]="","",INDEX(lista_dias,WEEKDAY(tblOrdenes[[#This Row],[fecha_inicio]],2)))</f>
        <v/>
      </c>
      <c r="S2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8" s="3">
        <f>IF(tblOrdenes[[#This Row],[tipo_ot]]="","",_xlfn.XLOOKUP(tblOrdenes[[#This Row],[tipo_ot]],tblTiposOT[codigo],tblTiposOT[clasificacion],"sin_clasificar"))</f>
        <v/>
      </c>
      <c r="U248" s="3">
        <f>IF(tblOrdenes[[#This Row],[centro_costo]]="","",_xlfn.XLOOKUP(tblOrdenes[[#This Row],[centro_costo]],tblCECO[codigo],tblCECO[linea],"(sin catálogo)"))</f>
        <v/>
      </c>
      <c r="V248" s="3">
        <f>IF(tblOrdenes[[#This Row],[centro_costo]]="","",_xlfn.XLOOKUP(tblOrdenes[[#This Row],[centro_costo]],tblCECO[codigo],tblCECO[area],"(sin catálogo)"))</f>
        <v/>
      </c>
      <c r="W2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8" s="3">
        <f>IF(tblOrdenes[[#This Row],[centro_costo]]="","",_xlfn.XLOOKUP(tblOrdenes[[#This Row],[centro_costo]],tblCECO[codigo],tblCECO[coordinador],"(sin catálogo)"))</f>
        <v/>
      </c>
      <c r="Y248" s="3">
        <f>IF(tblOrdenes[[#This Row],[puesto_trabajo]]="","",_xlfn.XLOOKUP(tblOrdenes[[#This Row],[puesto_trabajo]],tblPuestos[codigo],tblPuestos[especialidad],"(sin catálogo)"))</f>
        <v/>
      </c>
      <c r="Z248" s="3">
        <f>IF(tblOrdenes[[#This Row],[cod_actividad]]="","",_xlfn.XLOOKUP(tblOrdenes[[#This Row],[cod_actividad]],tblActividades[codigo],tblActividades[descripcion],"(sin catálogo)"))</f>
        <v/>
      </c>
      <c r="AA248" s="13">
        <f>IF(tblOrdenes[[#This Row],[fecha_inicio]]="","",TODAY()-tblOrdenes[[#This Row],[fecha_inicio]])</f>
        <v/>
      </c>
      <c r="AB2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8" s="3">
        <f>IF(tblOrdenes[[#This Row],[backlog_habiles]]="","",IF(tblOrdenes[[#This Row],[backlog_habiles]]&lt;0,"FUTURO",IF(tblOrdenes[[#This Row],[backlog_habiles]]&gt;p_dias_backlog_max,"BACKLOG","MES CORRIENTE")))</f>
        <v/>
      </c>
      <c r="AD248" s="3">
        <f>IF(tblOrdenes[[#This Row],[backlog_habiles]]="",FALSE,AND(tblOrdenes[[#This Row],[backlog_habiles]]&gt;p_dias_backlog_min,tblOrdenes[[#This Row],[backlog_habiles]]&lt;=p_dias_backlog_max))</f>
        <v/>
      </c>
      <c r="AE248" s="6" t="n"/>
      <c r="AF2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8" s="11">
        <f>IF(tblOrdenes[[#This Row],[orden]]="","",_xlfn.XLOOKUP(tblOrdenes[[#This Row],[id_operacion]],tblEjecucion[id_operacion],tblEjecucion[precio],0))</f>
        <v/>
      </c>
      <c r="AJ248" s="11">
        <f>IF(tblOrdenes[[#This Row],[orden]]="","",MAX(0,_xlfn.XLOOKUP(tblOrdenes[[#This Row],[id_operacion]],tblEjecucion[id_operacion],tblEjecucion[costo_plan_total],0)-tblOrdenes[[#This Row],[costo_servicio]]))</f>
        <v/>
      </c>
      <c r="AK248" s="11">
        <f>IF(tblOrdenes[[#This Row],[orden]]="","",tblOrdenes[[#This Row],[costo_servicio]]+tblOrdenes[[#This Row],[costo_materiales]])</f>
        <v/>
      </c>
      <c r="AL248" s="6" t="n"/>
      <c r="AM248" s="6" t="n"/>
      <c r="AN248" s="6" t="n"/>
      <c r="AO248" s="3">
        <f>IF(tblOrdenes[[#This Row],[link_checklist]]="","",HYPERLINK(p_ruta_base_checklists&amp;tblOrdenes[[#This Row],[link_checklist]],"abrir"))</f>
        <v/>
      </c>
      <c r="AP248" s="6" t="n"/>
      <c r="AQ248" s="3">
        <f>IF(tblOrdenes[[#This Row],[orden]]="","",tblOrdenes[[#This Row],[orden]]&amp;IF(tblOrdenes[[#This Row],[operacion]]="","0010",tblOrdenes[[#This Row],[operacion]]))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2" t="n"/>
      <c r="K249" s="3" t="n"/>
      <c r="L249" s="11" t="n"/>
      <c r="M2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9" s="3">
        <f>IF(tblOrdenes[[#This Row],[fecha_inicio]]="","",YEAR(tblOrdenes[[#This Row],[fecha_inicio]]))</f>
        <v/>
      </c>
      <c r="Q249" s="3">
        <f>IF(tblOrdenes[[#This Row],[fecha_inicio]]="","",MONTH(tblOrdenes[[#This Row],[fecha_inicio]]))</f>
        <v/>
      </c>
      <c r="R249" s="3">
        <f>IF(tblOrdenes[[#This Row],[fecha_inicio]]="","",INDEX(lista_dias,WEEKDAY(tblOrdenes[[#This Row],[fecha_inicio]],2)))</f>
        <v/>
      </c>
      <c r="S2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9" s="3">
        <f>IF(tblOrdenes[[#This Row],[tipo_ot]]="","",_xlfn.XLOOKUP(tblOrdenes[[#This Row],[tipo_ot]],tblTiposOT[codigo],tblTiposOT[clasificacion],"sin_clasificar"))</f>
        <v/>
      </c>
      <c r="U249" s="3">
        <f>IF(tblOrdenes[[#This Row],[centro_costo]]="","",_xlfn.XLOOKUP(tblOrdenes[[#This Row],[centro_costo]],tblCECO[codigo],tblCECO[linea],"(sin catálogo)"))</f>
        <v/>
      </c>
      <c r="V249" s="3">
        <f>IF(tblOrdenes[[#This Row],[centro_costo]]="","",_xlfn.XLOOKUP(tblOrdenes[[#This Row],[centro_costo]],tblCECO[codigo],tblCECO[area],"(sin catálogo)"))</f>
        <v/>
      </c>
      <c r="W2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9" s="3">
        <f>IF(tblOrdenes[[#This Row],[centro_costo]]="","",_xlfn.XLOOKUP(tblOrdenes[[#This Row],[centro_costo]],tblCECO[codigo],tblCECO[coordinador],"(sin catálogo)"))</f>
        <v/>
      </c>
      <c r="Y249" s="3">
        <f>IF(tblOrdenes[[#This Row],[puesto_trabajo]]="","",_xlfn.XLOOKUP(tblOrdenes[[#This Row],[puesto_trabajo]],tblPuestos[codigo],tblPuestos[especialidad],"(sin catálogo)"))</f>
        <v/>
      </c>
      <c r="Z249" s="3">
        <f>IF(tblOrdenes[[#This Row],[cod_actividad]]="","",_xlfn.XLOOKUP(tblOrdenes[[#This Row],[cod_actividad]],tblActividades[codigo],tblActividades[descripcion],"(sin catálogo)"))</f>
        <v/>
      </c>
      <c r="AA249" s="13">
        <f>IF(tblOrdenes[[#This Row],[fecha_inicio]]="","",TODAY()-tblOrdenes[[#This Row],[fecha_inicio]])</f>
        <v/>
      </c>
      <c r="AB2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9" s="3">
        <f>IF(tblOrdenes[[#This Row],[backlog_habiles]]="","",IF(tblOrdenes[[#This Row],[backlog_habiles]]&lt;0,"FUTURO",IF(tblOrdenes[[#This Row],[backlog_habiles]]&gt;p_dias_backlog_max,"BACKLOG","MES CORRIENTE")))</f>
        <v/>
      </c>
      <c r="AD249" s="3">
        <f>IF(tblOrdenes[[#This Row],[backlog_habiles]]="",FALSE,AND(tblOrdenes[[#This Row],[backlog_habiles]]&gt;p_dias_backlog_min,tblOrdenes[[#This Row],[backlog_habiles]]&lt;=p_dias_backlog_max))</f>
        <v/>
      </c>
      <c r="AE249" s="6" t="n"/>
      <c r="AF2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9" s="11">
        <f>IF(tblOrdenes[[#This Row],[orden]]="","",_xlfn.XLOOKUP(tblOrdenes[[#This Row],[id_operacion]],tblEjecucion[id_operacion],tblEjecucion[precio],0))</f>
        <v/>
      </c>
      <c r="AJ249" s="11">
        <f>IF(tblOrdenes[[#This Row],[orden]]="","",MAX(0,_xlfn.XLOOKUP(tblOrdenes[[#This Row],[id_operacion]],tblEjecucion[id_operacion],tblEjecucion[costo_plan_total],0)-tblOrdenes[[#This Row],[costo_servicio]]))</f>
        <v/>
      </c>
      <c r="AK249" s="11">
        <f>IF(tblOrdenes[[#This Row],[orden]]="","",tblOrdenes[[#This Row],[costo_servicio]]+tblOrdenes[[#This Row],[costo_materiales]])</f>
        <v/>
      </c>
      <c r="AL249" s="6" t="n"/>
      <c r="AM249" s="6" t="n"/>
      <c r="AN249" s="6" t="n"/>
      <c r="AO249" s="3">
        <f>IF(tblOrdenes[[#This Row],[link_checklist]]="","",HYPERLINK(p_ruta_base_checklists&amp;tblOrdenes[[#This Row],[link_checklist]],"abrir"))</f>
        <v/>
      </c>
      <c r="AP249" s="6" t="n"/>
      <c r="AQ249" s="3">
        <f>IF(tblOrdenes[[#This Row],[orden]]="","",tblOrdenes[[#This Row],[orden]]&amp;IF(tblOrdenes[[#This Row],[operacion]]="","0010",tblOrdenes[[#This Row],[operacion]]))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2" t="n"/>
      <c r="K250" s="3" t="n"/>
      <c r="L250" s="11" t="n"/>
      <c r="M2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0" s="3">
        <f>IF(tblOrdenes[[#This Row],[fecha_inicio]]="","",YEAR(tblOrdenes[[#This Row],[fecha_inicio]]))</f>
        <v/>
      </c>
      <c r="Q250" s="3">
        <f>IF(tblOrdenes[[#This Row],[fecha_inicio]]="","",MONTH(tblOrdenes[[#This Row],[fecha_inicio]]))</f>
        <v/>
      </c>
      <c r="R250" s="3">
        <f>IF(tblOrdenes[[#This Row],[fecha_inicio]]="","",INDEX(lista_dias,WEEKDAY(tblOrdenes[[#This Row],[fecha_inicio]],2)))</f>
        <v/>
      </c>
      <c r="S2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0" s="3">
        <f>IF(tblOrdenes[[#This Row],[tipo_ot]]="","",_xlfn.XLOOKUP(tblOrdenes[[#This Row],[tipo_ot]],tblTiposOT[codigo],tblTiposOT[clasificacion],"sin_clasificar"))</f>
        <v/>
      </c>
      <c r="U250" s="3">
        <f>IF(tblOrdenes[[#This Row],[centro_costo]]="","",_xlfn.XLOOKUP(tblOrdenes[[#This Row],[centro_costo]],tblCECO[codigo],tblCECO[linea],"(sin catálogo)"))</f>
        <v/>
      </c>
      <c r="V250" s="3">
        <f>IF(tblOrdenes[[#This Row],[centro_costo]]="","",_xlfn.XLOOKUP(tblOrdenes[[#This Row],[centro_costo]],tblCECO[codigo],tblCECO[area],"(sin catálogo)"))</f>
        <v/>
      </c>
      <c r="W2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0" s="3">
        <f>IF(tblOrdenes[[#This Row],[centro_costo]]="","",_xlfn.XLOOKUP(tblOrdenes[[#This Row],[centro_costo]],tblCECO[codigo],tblCECO[coordinador],"(sin catálogo)"))</f>
        <v/>
      </c>
      <c r="Y250" s="3">
        <f>IF(tblOrdenes[[#This Row],[puesto_trabajo]]="","",_xlfn.XLOOKUP(tblOrdenes[[#This Row],[puesto_trabajo]],tblPuestos[codigo],tblPuestos[especialidad],"(sin catálogo)"))</f>
        <v/>
      </c>
      <c r="Z250" s="3">
        <f>IF(tblOrdenes[[#This Row],[cod_actividad]]="","",_xlfn.XLOOKUP(tblOrdenes[[#This Row],[cod_actividad]],tblActividades[codigo],tblActividades[descripcion],"(sin catálogo)"))</f>
        <v/>
      </c>
      <c r="AA250" s="13">
        <f>IF(tblOrdenes[[#This Row],[fecha_inicio]]="","",TODAY()-tblOrdenes[[#This Row],[fecha_inicio]])</f>
        <v/>
      </c>
      <c r="AB2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0" s="3">
        <f>IF(tblOrdenes[[#This Row],[backlog_habiles]]="","",IF(tblOrdenes[[#This Row],[backlog_habiles]]&lt;0,"FUTURO",IF(tblOrdenes[[#This Row],[backlog_habiles]]&gt;p_dias_backlog_max,"BACKLOG","MES CORRIENTE")))</f>
        <v/>
      </c>
      <c r="AD250" s="3">
        <f>IF(tblOrdenes[[#This Row],[backlog_habiles]]="",FALSE,AND(tblOrdenes[[#This Row],[backlog_habiles]]&gt;p_dias_backlog_min,tblOrdenes[[#This Row],[backlog_habiles]]&lt;=p_dias_backlog_max))</f>
        <v/>
      </c>
      <c r="AE250" s="6" t="n"/>
      <c r="AF2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0" s="11">
        <f>IF(tblOrdenes[[#This Row],[orden]]="","",_xlfn.XLOOKUP(tblOrdenes[[#This Row],[id_operacion]],tblEjecucion[id_operacion],tblEjecucion[precio],0))</f>
        <v/>
      </c>
      <c r="AJ250" s="11">
        <f>IF(tblOrdenes[[#This Row],[orden]]="","",MAX(0,_xlfn.XLOOKUP(tblOrdenes[[#This Row],[id_operacion]],tblEjecucion[id_operacion],tblEjecucion[costo_plan_total],0)-tblOrdenes[[#This Row],[costo_servicio]]))</f>
        <v/>
      </c>
      <c r="AK250" s="11">
        <f>IF(tblOrdenes[[#This Row],[orden]]="","",tblOrdenes[[#This Row],[costo_servicio]]+tblOrdenes[[#This Row],[costo_materiales]])</f>
        <v/>
      </c>
      <c r="AL250" s="6" t="n"/>
      <c r="AM250" s="6" t="n"/>
      <c r="AN250" s="6" t="n"/>
      <c r="AO250" s="3">
        <f>IF(tblOrdenes[[#This Row],[link_checklist]]="","",HYPERLINK(p_ruta_base_checklists&amp;tblOrdenes[[#This Row],[link_checklist]],"abrir"))</f>
        <v/>
      </c>
      <c r="AP250" s="6" t="n"/>
      <c r="AQ250" s="3">
        <f>IF(tblOrdenes[[#This Row],[orden]]="","",tblOrdenes[[#This Row],[orden]]&amp;IF(tblOrdenes[[#This Row],[operacion]]="","0010",tblOrdenes[[#This Row],[operacion]]))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2" t="n"/>
      <c r="K251" s="3" t="n"/>
      <c r="L251" s="11" t="n"/>
      <c r="M2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1" s="3">
        <f>IF(tblOrdenes[[#This Row],[fecha_inicio]]="","",YEAR(tblOrdenes[[#This Row],[fecha_inicio]]))</f>
        <v/>
      </c>
      <c r="Q251" s="3">
        <f>IF(tblOrdenes[[#This Row],[fecha_inicio]]="","",MONTH(tblOrdenes[[#This Row],[fecha_inicio]]))</f>
        <v/>
      </c>
      <c r="R251" s="3">
        <f>IF(tblOrdenes[[#This Row],[fecha_inicio]]="","",INDEX(lista_dias,WEEKDAY(tblOrdenes[[#This Row],[fecha_inicio]],2)))</f>
        <v/>
      </c>
      <c r="S2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1" s="3">
        <f>IF(tblOrdenes[[#This Row],[tipo_ot]]="","",_xlfn.XLOOKUP(tblOrdenes[[#This Row],[tipo_ot]],tblTiposOT[codigo],tblTiposOT[clasificacion],"sin_clasificar"))</f>
        <v/>
      </c>
      <c r="U251" s="3">
        <f>IF(tblOrdenes[[#This Row],[centro_costo]]="","",_xlfn.XLOOKUP(tblOrdenes[[#This Row],[centro_costo]],tblCECO[codigo],tblCECO[linea],"(sin catálogo)"))</f>
        <v/>
      </c>
      <c r="V251" s="3">
        <f>IF(tblOrdenes[[#This Row],[centro_costo]]="","",_xlfn.XLOOKUP(tblOrdenes[[#This Row],[centro_costo]],tblCECO[codigo],tblCECO[area],"(sin catálogo)"))</f>
        <v/>
      </c>
      <c r="W2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1" s="3">
        <f>IF(tblOrdenes[[#This Row],[centro_costo]]="","",_xlfn.XLOOKUP(tblOrdenes[[#This Row],[centro_costo]],tblCECO[codigo],tblCECO[coordinador],"(sin catálogo)"))</f>
        <v/>
      </c>
      <c r="Y251" s="3">
        <f>IF(tblOrdenes[[#This Row],[puesto_trabajo]]="","",_xlfn.XLOOKUP(tblOrdenes[[#This Row],[puesto_trabajo]],tblPuestos[codigo],tblPuestos[especialidad],"(sin catálogo)"))</f>
        <v/>
      </c>
      <c r="Z251" s="3">
        <f>IF(tblOrdenes[[#This Row],[cod_actividad]]="","",_xlfn.XLOOKUP(tblOrdenes[[#This Row],[cod_actividad]],tblActividades[codigo],tblActividades[descripcion],"(sin catálogo)"))</f>
        <v/>
      </c>
      <c r="AA251" s="13">
        <f>IF(tblOrdenes[[#This Row],[fecha_inicio]]="","",TODAY()-tblOrdenes[[#This Row],[fecha_inicio]])</f>
        <v/>
      </c>
      <c r="AB2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1" s="3">
        <f>IF(tblOrdenes[[#This Row],[backlog_habiles]]="","",IF(tblOrdenes[[#This Row],[backlog_habiles]]&lt;0,"FUTURO",IF(tblOrdenes[[#This Row],[backlog_habiles]]&gt;p_dias_backlog_max,"BACKLOG","MES CORRIENTE")))</f>
        <v/>
      </c>
      <c r="AD251" s="3">
        <f>IF(tblOrdenes[[#This Row],[backlog_habiles]]="",FALSE,AND(tblOrdenes[[#This Row],[backlog_habiles]]&gt;p_dias_backlog_min,tblOrdenes[[#This Row],[backlog_habiles]]&lt;=p_dias_backlog_max))</f>
        <v/>
      </c>
      <c r="AE251" s="6" t="n"/>
      <c r="AF2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1" s="11">
        <f>IF(tblOrdenes[[#This Row],[orden]]="","",_xlfn.XLOOKUP(tblOrdenes[[#This Row],[id_operacion]],tblEjecucion[id_operacion],tblEjecucion[precio],0))</f>
        <v/>
      </c>
      <c r="AJ251" s="11">
        <f>IF(tblOrdenes[[#This Row],[orden]]="","",MAX(0,_xlfn.XLOOKUP(tblOrdenes[[#This Row],[id_operacion]],tblEjecucion[id_operacion],tblEjecucion[costo_plan_total],0)-tblOrdenes[[#This Row],[costo_servicio]]))</f>
        <v/>
      </c>
      <c r="AK251" s="11">
        <f>IF(tblOrdenes[[#This Row],[orden]]="","",tblOrdenes[[#This Row],[costo_servicio]]+tblOrdenes[[#This Row],[costo_materiales]])</f>
        <v/>
      </c>
      <c r="AL251" s="6" t="n"/>
      <c r="AM251" s="6" t="n"/>
      <c r="AN251" s="6" t="n"/>
      <c r="AO251" s="3">
        <f>IF(tblOrdenes[[#This Row],[link_checklist]]="","",HYPERLINK(p_ruta_base_checklists&amp;tblOrdenes[[#This Row],[link_checklist]],"abrir"))</f>
        <v/>
      </c>
      <c r="AP251" s="6" t="n"/>
      <c r="AQ251" s="3">
        <f>IF(tblOrdenes[[#This Row],[orden]]="","",tblOrdenes[[#This Row],[orden]]&amp;IF(tblOrdenes[[#This Row],[operacion]]="","0010",tblOrdenes[[#This Row],[operacion]]))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2" t="n"/>
      <c r="K252" s="3" t="n"/>
      <c r="L252" s="11" t="n"/>
      <c r="M2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2" s="3">
        <f>IF(tblOrdenes[[#This Row],[fecha_inicio]]="","",YEAR(tblOrdenes[[#This Row],[fecha_inicio]]))</f>
        <v/>
      </c>
      <c r="Q252" s="3">
        <f>IF(tblOrdenes[[#This Row],[fecha_inicio]]="","",MONTH(tblOrdenes[[#This Row],[fecha_inicio]]))</f>
        <v/>
      </c>
      <c r="R252" s="3">
        <f>IF(tblOrdenes[[#This Row],[fecha_inicio]]="","",INDEX(lista_dias,WEEKDAY(tblOrdenes[[#This Row],[fecha_inicio]],2)))</f>
        <v/>
      </c>
      <c r="S2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2" s="3">
        <f>IF(tblOrdenes[[#This Row],[tipo_ot]]="","",_xlfn.XLOOKUP(tblOrdenes[[#This Row],[tipo_ot]],tblTiposOT[codigo],tblTiposOT[clasificacion],"sin_clasificar"))</f>
        <v/>
      </c>
      <c r="U252" s="3">
        <f>IF(tblOrdenes[[#This Row],[centro_costo]]="","",_xlfn.XLOOKUP(tblOrdenes[[#This Row],[centro_costo]],tblCECO[codigo],tblCECO[linea],"(sin catálogo)"))</f>
        <v/>
      </c>
      <c r="V252" s="3">
        <f>IF(tblOrdenes[[#This Row],[centro_costo]]="","",_xlfn.XLOOKUP(tblOrdenes[[#This Row],[centro_costo]],tblCECO[codigo],tblCECO[area],"(sin catálogo)"))</f>
        <v/>
      </c>
      <c r="W2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2" s="3">
        <f>IF(tblOrdenes[[#This Row],[centro_costo]]="","",_xlfn.XLOOKUP(tblOrdenes[[#This Row],[centro_costo]],tblCECO[codigo],tblCECO[coordinador],"(sin catálogo)"))</f>
        <v/>
      </c>
      <c r="Y252" s="3">
        <f>IF(tblOrdenes[[#This Row],[puesto_trabajo]]="","",_xlfn.XLOOKUP(tblOrdenes[[#This Row],[puesto_trabajo]],tblPuestos[codigo],tblPuestos[especialidad],"(sin catálogo)"))</f>
        <v/>
      </c>
      <c r="Z252" s="3">
        <f>IF(tblOrdenes[[#This Row],[cod_actividad]]="","",_xlfn.XLOOKUP(tblOrdenes[[#This Row],[cod_actividad]],tblActividades[codigo],tblActividades[descripcion],"(sin catálogo)"))</f>
        <v/>
      </c>
      <c r="AA252" s="13">
        <f>IF(tblOrdenes[[#This Row],[fecha_inicio]]="","",TODAY()-tblOrdenes[[#This Row],[fecha_inicio]])</f>
        <v/>
      </c>
      <c r="AB2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2" s="3">
        <f>IF(tblOrdenes[[#This Row],[backlog_habiles]]="","",IF(tblOrdenes[[#This Row],[backlog_habiles]]&lt;0,"FUTURO",IF(tblOrdenes[[#This Row],[backlog_habiles]]&gt;p_dias_backlog_max,"BACKLOG","MES CORRIENTE")))</f>
        <v/>
      </c>
      <c r="AD252" s="3">
        <f>IF(tblOrdenes[[#This Row],[backlog_habiles]]="",FALSE,AND(tblOrdenes[[#This Row],[backlog_habiles]]&gt;p_dias_backlog_min,tblOrdenes[[#This Row],[backlog_habiles]]&lt;=p_dias_backlog_max))</f>
        <v/>
      </c>
      <c r="AE252" s="6" t="n"/>
      <c r="AF2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2" s="11">
        <f>IF(tblOrdenes[[#This Row],[orden]]="","",_xlfn.XLOOKUP(tblOrdenes[[#This Row],[id_operacion]],tblEjecucion[id_operacion],tblEjecucion[precio],0))</f>
        <v/>
      </c>
      <c r="AJ252" s="11">
        <f>IF(tblOrdenes[[#This Row],[orden]]="","",MAX(0,_xlfn.XLOOKUP(tblOrdenes[[#This Row],[id_operacion]],tblEjecucion[id_operacion],tblEjecucion[costo_plan_total],0)-tblOrdenes[[#This Row],[costo_servicio]]))</f>
        <v/>
      </c>
      <c r="AK252" s="11">
        <f>IF(tblOrdenes[[#This Row],[orden]]="","",tblOrdenes[[#This Row],[costo_servicio]]+tblOrdenes[[#This Row],[costo_materiales]])</f>
        <v/>
      </c>
      <c r="AL252" s="6" t="n"/>
      <c r="AM252" s="6" t="n"/>
      <c r="AN252" s="6" t="n"/>
      <c r="AO252" s="3">
        <f>IF(tblOrdenes[[#This Row],[link_checklist]]="","",HYPERLINK(p_ruta_base_checklists&amp;tblOrdenes[[#This Row],[link_checklist]],"abrir"))</f>
        <v/>
      </c>
      <c r="AP252" s="6" t="n"/>
      <c r="AQ252" s="3">
        <f>IF(tblOrdenes[[#This Row],[orden]]="","",tblOrdenes[[#This Row],[orden]]&amp;IF(tblOrdenes[[#This Row],[operacion]]="","0010",tblOrdenes[[#This Row],[operacion]]))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2" t="n"/>
      <c r="K253" s="3" t="n"/>
      <c r="L253" s="11" t="n"/>
      <c r="M2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3" s="3">
        <f>IF(tblOrdenes[[#This Row],[fecha_inicio]]="","",YEAR(tblOrdenes[[#This Row],[fecha_inicio]]))</f>
        <v/>
      </c>
      <c r="Q253" s="3">
        <f>IF(tblOrdenes[[#This Row],[fecha_inicio]]="","",MONTH(tblOrdenes[[#This Row],[fecha_inicio]]))</f>
        <v/>
      </c>
      <c r="R253" s="3">
        <f>IF(tblOrdenes[[#This Row],[fecha_inicio]]="","",INDEX(lista_dias,WEEKDAY(tblOrdenes[[#This Row],[fecha_inicio]],2)))</f>
        <v/>
      </c>
      <c r="S2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3" s="3">
        <f>IF(tblOrdenes[[#This Row],[tipo_ot]]="","",_xlfn.XLOOKUP(tblOrdenes[[#This Row],[tipo_ot]],tblTiposOT[codigo],tblTiposOT[clasificacion],"sin_clasificar"))</f>
        <v/>
      </c>
      <c r="U253" s="3">
        <f>IF(tblOrdenes[[#This Row],[centro_costo]]="","",_xlfn.XLOOKUP(tblOrdenes[[#This Row],[centro_costo]],tblCECO[codigo],tblCECO[linea],"(sin catálogo)"))</f>
        <v/>
      </c>
      <c r="V253" s="3">
        <f>IF(tblOrdenes[[#This Row],[centro_costo]]="","",_xlfn.XLOOKUP(tblOrdenes[[#This Row],[centro_costo]],tblCECO[codigo],tblCECO[area],"(sin catálogo)"))</f>
        <v/>
      </c>
      <c r="W2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3" s="3">
        <f>IF(tblOrdenes[[#This Row],[centro_costo]]="","",_xlfn.XLOOKUP(tblOrdenes[[#This Row],[centro_costo]],tblCECO[codigo],tblCECO[coordinador],"(sin catálogo)"))</f>
        <v/>
      </c>
      <c r="Y253" s="3">
        <f>IF(tblOrdenes[[#This Row],[puesto_trabajo]]="","",_xlfn.XLOOKUP(tblOrdenes[[#This Row],[puesto_trabajo]],tblPuestos[codigo],tblPuestos[especialidad],"(sin catálogo)"))</f>
        <v/>
      </c>
      <c r="Z253" s="3">
        <f>IF(tblOrdenes[[#This Row],[cod_actividad]]="","",_xlfn.XLOOKUP(tblOrdenes[[#This Row],[cod_actividad]],tblActividades[codigo],tblActividades[descripcion],"(sin catálogo)"))</f>
        <v/>
      </c>
      <c r="AA253" s="13">
        <f>IF(tblOrdenes[[#This Row],[fecha_inicio]]="","",TODAY()-tblOrdenes[[#This Row],[fecha_inicio]])</f>
        <v/>
      </c>
      <c r="AB2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3" s="3">
        <f>IF(tblOrdenes[[#This Row],[backlog_habiles]]="","",IF(tblOrdenes[[#This Row],[backlog_habiles]]&lt;0,"FUTURO",IF(tblOrdenes[[#This Row],[backlog_habiles]]&gt;p_dias_backlog_max,"BACKLOG","MES CORRIENTE")))</f>
        <v/>
      </c>
      <c r="AD253" s="3">
        <f>IF(tblOrdenes[[#This Row],[backlog_habiles]]="",FALSE,AND(tblOrdenes[[#This Row],[backlog_habiles]]&gt;p_dias_backlog_min,tblOrdenes[[#This Row],[backlog_habiles]]&lt;=p_dias_backlog_max))</f>
        <v/>
      </c>
      <c r="AE253" s="6" t="n"/>
      <c r="AF2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3" s="11">
        <f>IF(tblOrdenes[[#This Row],[orden]]="","",_xlfn.XLOOKUP(tblOrdenes[[#This Row],[id_operacion]],tblEjecucion[id_operacion],tblEjecucion[precio],0))</f>
        <v/>
      </c>
      <c r="AJ253" s="11">
        <f>IF(tblOrdenes[[#This Row],[orden]]="","",MAX(0,_xlfn.XLOOKUP(tblOrdenes[[#This Row],[id_operacion]],tblEjecucion[id_operacion],tblEjecucion[costo_plan_total],0)-tblOrdenes[[#This Row],[costo_servicio]]))</f>
        <v/>
      </c>
      <c r="AK253" s="11">
        <f>IF(tblOrdenes[[#This Row],[orden]]="","",tblOrdenes[[#This Row],[costo_servicio]]+tblOrdenes[[#This Row],[costo_materiales]])</f>
        <v/>
      </c>
      <c r="AL253" s="6" t="n"/>
      <c r="AM253" s="6" t="n"/>
      <c r="AN253" s="6" t="n"/>
      <c r="AO253" s="3">
        <f>IF(tblOrdenes[[#This Row],[link_checklist]]="","",HYPERLINK(p_ruta_base_checklists&amp;tblOrdenes[[#This Row],[link_checklist]],"abrir"))</f>
        <v/>
      </c>
      <c r="AP253" s="6" t="n"/>
      <c r="AQ253" s="3">
        <f>IF(tblOrdenes[[#This Row],[orden]]="","",tblOrdenes[[#This Row],[orden]]&amp;IF(tblOrdenes[[#This Row],[operacion]]="","0010",tblOrdenes[[#This Row],[operacion]]))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2" t="n"/>
      <c r="K254" s="3" t="n"/>
      <c r="L254" s="11" t="n"/>
      <c r="M2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4" s="3">
        <f>IF(tblOrdenes[[#This Row],[fecha_inicio]]="","",YEAR(tblOrdenes[[#This Row],[fecha_inicio]]))</f>
        <v/>
      </c>
      <c r="Q254" s="3">
        <f>IF(tblOrdenes[[#This Row],[fecha_inicio]]="","",MONTH(tblOrdenes[[#This Row],[fecha_inicio]]))</f>
        <v/>
      </c>
      <c r="R254" s="3">
        <f>IF(tblOrdenes[[#This Row],[fecha_inicio]]="","",INDEX(lista_dias,WEEKDAY(tblOrdenes[[#This Row],[fecha_inicio]],2)))</f>
        <v/>
      </c>
      <c r="S2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4" s="3">
        <f>IF(tblOrdenes[[#This Row],[tipo_ot]]="","",_xlfn.XLOOKUP(tblOrdenes[[#This Row],[tipo_ot]],tblTiposOT[codigo],tblTiposOT[clasificacion],"sin_clasificar"))</f>
        <v/>
      </c>
      <c r="U254" s="3">
        <f>IF(tblOrdenes[[#This Row],[centro_costo]]="","",_xlfn.XLOOKUP(tblOrdenes[[#This Row],[centro_costo]],tblCECO[codigo],tblCECO[linea],"(sin catálogo)"))</f>
        <v/>
      </c>
      <c r="V254" s="3">
        <f>IF(tblOrdenes[[#This Row],[centro_costo]]="","",_xlfn.XLOOKUP(tblOrdenes[[#This Row],[centro_costo]],tblCECO[codigo],tblCECO[area],"(sin catálogo)"))</f>
        <v/>
      </c>
      <c r="W2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4" s="3">
        <f>IF(tblOrdenes[[#This Row],[centro_costo]]="","",_xlfn.XLOOKUP(tblOrdenes[[#This Row],[centro_costo]],tblCECO[codigo],tblCECO[coordinador],"(sin catálogo)"))</f>
        <v/>
      </c>
      <c r="Y254" s="3">
        <f>IF(tblOrdenes[[#This Row],[puesto_trabajo]]="","",_xlfn.XLOOKUP(tblOrdenes[[#This Row],[puesto_trabajo]],tblPuestos[codigo],tblPuestos[especialidad],"(sin catálogo)"))</f>
        <v/>
      </c>
      <c r="Z254" s="3">
        <f>IF(tblOrdenes[[#This Row],[cod_actividad]]="","",_xlfn.XLOOKUP(tblOrdenes[[#This Row],[cod_actividad]],tblActividades[codigo],tblActividades[descripcion],"(sin catálogo)"))</f>
        <v/>
      </c>
      <c r="AA254" s="13">
        <f>IF(tblOrdenes[[#This Row],[fecha_inicio]]="","",TODAY()-tblOrdenes[[#This Row],[fecha_inicio]])</f>
        <v/>
      </c>
      <c r="AB2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4" s="3">
        <f>IF(tblOrdenes[[#This Row],[backlog_habiles]]="","",IF(tblOrdenes[[#This Row],[backlog_habiles]]&lt;0,"FUTURO",IF(tblOrdenes[[#This Row],[backlog_habiles]]&gt;p_dias_backlog_max,"BACKLOG","MES CORRIENTE")))</f>
        <v/>
      </c>
      <c r="AD254" s="3">
        <f>IF(tblOrdenes[[#This Row],[backlog_habiles]]="",FALSE,AND(tblOrdenes[[#This Row],[backlog_habiles]]&gt;p_dias_backlog_min,tblOrdenes[[#This Row],[backlog_habiles]]&lt;=p_dias_backlog_max))</f>
        <v/>
      </c>
      <c r="AE254" s="6" t="n"/>
      <c r="AF2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4" s="11">
        <f>IF(tblOrdenes[[#This Row],[orden]]="","",_xlfn.XLOOKUP(tblOrdenes[[#This Row],[id_operacion]],tblEjecucion[id_operacion],tblEjecucion[precio],0))</f>
        <v/>
      </c>
      <c r="AJ254" s="11">
        <f>IF(tblOrdenes[[#This Row],[orden]]="","",MAX(0,_xlfn.XLOOKUP(tblOrdenes[[#This Row],[id_operacion]],tblEjecucion[id_operacion],tblEjecucion[costo_plan_total],0)-tblOrdenes[[#This Row],[costo_servicio]]))</f>
        <v/>
      </c>
      <c r="AK254" s="11">
        <f>IF(tblOrdenes[[#This Row],[orden]]="","",tblOrdenes[[#This Row],[costo_servicio]]+tblOrdenes[[#This Row],[costo_materiales]])</f>
        <v/>
      </c>
      <c r="AL254" s="6" t="n"/>
      <c r="AM254" s="6" t="n"/>
      <c r="AN254" s="6" t="n"/>
      <c r="AO254" s="3">
        <f>IF(tblOrdenes[[#This Row],[link_checklist]]="","",HYPERLINK(p_ruta_base_checklists&amp;tblOrdenes[[#This Row],[link_checklist]],"abrir"))</f>
        <v/>
      </c>
      <c r="AP254" s="6" t="n"/>
      <c r="AQ254" s="3">
        <f>IF(tblOrdenes[[#This Row],[orden]]="","",tblOrdenes[[#This Row],[orden]]&amp;IF(tblOrdenes[[#This Row],[operacion]]="","0010",tblOrdenes[[#This Row],[operacion]]))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2" t="n"/>
      <c r="K255" s="3" t="n"/>
      <c r="L255" s="11" t="n"/>
      <c r="M2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5" s="3">
        <f>IF(tblOrdenes[[#This Row],[fecha_inicio]]="","",YEAR(tblOrdenes[[#This Row],[fecha_inicio]]))</f>
        <v/>
      </c>
      <c r="Q255" s="3">
        <f>IF(tblOrdenes[[#This Row],[fecha_inicio]]="","",MONTH(tblOrdenes[[#This Row],[fecha_inicio]]))</f>
        <v/>
      </c>
      <c r="R255" s="3">
        <f>IF(tblOrdenes[[#This Row],[fecha_inicio]]="","",INDEX(lista_dias,WEEKDAY(tblOrdenes[[#This Row],[fecha_inicio]],2)))</f>
        <v/>
      </c>
      <c r="S2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5" s="3">
        <f>IF(tblOrdenes[[#This Row],[tipo_ot]]="","",_xlfn.XLOOKUP(tblOrdenes[[#This Row],[tipo_ot]],tblTiposOT[codigo],tblTiposOT[clasificacion],"sin_clasificar"))</f>
        <v/>
      </c>
      <c r="U255" s="3">
        <f>IF(tblOrdenes[[#This Row],[centro_costo]]="","",_xlfn.XLOOKUP(tblOrdenes[[#This Row],[centro_costo]],tblCECO[codigo],tblCECO[linea],"(sin catálogo)"))</f>
        <v/>
      </c>
      <c r="V255" s="3">
        <f>IF(tblOrdenes[[#This Row],[centro_costo]]="","",_xlfn.XLOOKUP(tblOrdenes[[#This Row],[centro_costo]],tblCECO[codigo],tblCECO[area],"(sin catálogo)"))</f>
        <v/>
      </c>
      <c r="W2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5" s="3">
        <f>IF(tblOrdenes[[#This Row],[centro_costo]]="","",_xlfn.XLOOKUP(tblOrdenes[[#This Row],[centro_costo]],tblCECO[codigo],tblCECO[coordinador],"(sin catálogo)"))</f>
        <v/>
      </c>
      <c r="Y255" s="3">
        <f>IF(tblOrdenes[[#This Row],[puesto_trabajo]]="","",_xlfn.XLOOKUP(tblOrdenes[[#This Row],[puesto_trabajo]],tblPuestos[codigo],tblPuestos[especialidad],"(sin catálogo)"))</f>
        <v/>
      </c>
      <c r="Z255" s="3">
        <f>IF(tblOrdenes[[#This Row],[cod_actividad]]="","",_xlfn.XLOOKUP(tblOrdenes[[#This Row],[cod_actividad]],tblActividades[codigo],tblActividades[descripcion],"(sin catálogo)"))</f>
        <v/>
      </c>
      <c r="AA255" s="13">
        <f>IF(tblOrdenes[[#This Row],[fecha_inicio]]="","",TODAY()-tblOrdenes[[#This Row],[fecha_inicio]])</f>
        <v/>
      </c>
      <c r="AB2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5" s="3">
        <f>IF(tblOrdenes[[#This Row],[backlog_habiles]]="","",IF(tblOrdenes[[#This Row],[backlog_habiles]]&lt;0,"FUTURO",IF(tblOrdenes[[#This Row],[backlog_habiles]]&gt;p_dias_backlog_max,"BACKLOG","MES CORRIENTE")))</f>
        <v/>
      </c>
      <c r="AD255" s="3">
        <f>IF(tblOrdenes[[#This Row],[backlog_habiles]]="",FALSE,AND(tblOrdenes[[#This Row],[backlog_habiles]]&gt;p_dias_backlog_min,tblOrdenes[[#This Row],[backlog_habiles]]&lt;=p_dias_backlog_max))</f>
        <v/>
      </c>
      <c r="AE255" s="6" t="n"/>
      <c r="AF2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5" s="11">
        <f>IF(tblOrdenes[[#This Row],[orden]]="","",_xlfn.XLOOKUP(tblOrdenes[[#This Row],[id_operacion]],tblEjecucion[id_operacion],tblEjecucion[precio],0))</f>
        <v/>
      </c>
      <c r="AJ255" s="11">
        <f>IF(tblOrdenes[[#This Row],[orden]]="","",MAX(0,_xlfn.XLOOKUP(tblOrdenes[[#This Row],[id_operacion]],tblEjecucion[id_operacion],tblEjecucion[costo_plan_total],0)-tblOrdenes[[#This Row],[costo_servicio]]))</f>
        <v/>
      </c>
      <c r="AK255" s="11">
        <f>IF(tblOrdenes[[#This Row],[orden]]="","",tblOrdenes[[#This Row],[costo_servicio]]+tblOrdenes[[#This Row],[costo_materiales]])</f>
        <v/>
      </c>
      <c r="AL255" s="6" t="n"/>
      <c r="AM255" s="6" t="n"/>
      <c r="AN255" s="6" t="n"/>
      <c r="AO255" s="3">
        <f>IF(tblOrdenes[[#This Row],[link_checklist]]="","",HYPERLINK(p_ruta_base_checklists&amp;tblOrdenes[[#This Row],[link_checklist]],"abrir"))</f>
        <v/>
      </c>
      <c r="AP255" s="6" t="n"/>
      <c r="AQ255" s="3">
        <f>IF(tblOrdenes[[#This Row],[orden]]="","",tblOrdenes[[#This Row],[orden]]&amp;IF(tblOrdenes[[#This Row],[operacion]]="","0010",tblOrdenes[[#This Row],[operacion]]))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2" t="n"/>
      <c r="K256" s="3" t="n"/>
      <c r="L256" s="11" t="n"/>
      <c r="M2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6" s="3">
        <f>IF(tblOrdenes[[#This Row],[fecha_inicio]]="","",YEAR(tblOrdenes[[#This Row],[fecha_inicio]]))</f>
        <v/>
      </c>
      <c r="Q256" s="3">
        <f>IF(tblOrdenes[[#This Row],[fecha_inicio]]="","",MONTH(tblOrdenes[[#This Row],[fecha_inicio]]))</f>
        <v/>
      </c>
      <c r="R256" s="3">
        <f>IF(tblOrdenes[[#This Row],[fecha_inicio]]="","",INDEX(lista_dias,WEEKDAY(tblOrdenes[[#This Row],[fecha_inicio]],2)))</f>
        <v/>
      </c>
      <c r="S2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6" s="3">
        <f>IF(tblOrdenes[[#This Row],[tipo_ot]]="","",_xlfn.XLOOKUP(tblOrdenes[[#This Row],[tipo_ot]],tblTiposOT[codigo],tblTiposOT[clasificacion],"sin_clasificar"))</f>
        <v/>
      </c>
      <c r="U256" s="3">
        <f>IF(tblOrdenes[[#This Row],[centro_costo]]="","",_xlfn.XLOOKUP(tblOrdenes[[#This Row],[centro_costo]],tblCECO[codigo],tblCECO[linea],"(sin catálogo)"))</f>
        <v/>
      </c>
      <c r="V256" s="3">
        <f>IF(tblOrdenes[[#This Row],[centro_costo]]="","",_xlfn.XLOOKUP(tblOrdenes[[#This Row],[centro_costo]],tblCECO[codigo],tblCECO[area],"(sin catálogo)"))</f>
        <v/>
      </c>
      <c r="W2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6" s="3">
        <f>IF(tblOrdenes[[#This Row],[centro_costo]]="","",_xlfn.XLOOKUP(tblOrdenes[[#This Row],[centro_costo]],tblCECO[codigo],tblCECO[coordinador],"(sin catálogo)"))</f>
        <v/>
      </c>
      <c r="Y256" s="3">
        <f>IF(tblOrdenes[[#This Row],[puesto_trabajo]]="","",_xlfn.XLOOKUP(tblOrdenes[[#This Row],[puesto_trabajo]],tblPuestos[codigo],tblPuestos[especialidad],"(sin catálogo)"))</f>
        <v/>
      </c>
      <c r="Z256" s="3">
        <f>IF(tblOrdenes[[#This Row],[cod_actividad]]="","",_xlfn.XLOOKUP(tblOrdenes[[#This Row],[cod_actividad]],tblActividades[codigo],tblActividades[descripcion],"(sin catálogo)"))</f>
        <v/>
      </c>
      <c r="AA256" s="13">
        <f>IF(tblOrdenes[[#This Row],[fecha_inicio]]="","",TODAY()-tblOrdenes[[#This Row],[fecha_inicio]])</f>
        <v/>
      </c>
      <c r="AB2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6" s="3">
        <f>IF(tblOrdenes[[#This Row],[backlog_habiles]]="","",IF(tblOrdenes[[#This Row],[backlog_habiles]]&lt;0,"FUTURO",IF(tblOrdenes[[#This Row],[backlog_habiles]]&gt;p_dias_backlog_max,"BACKLOG","MES CORRIENTE")))</f>
        <v/>
      </c>
      <c r="AD256" s="3">
        <f>IF(tblOrdenes[[#This Row],[backlog_habiles]]="",FALSE,AND(tblOrdenes[[#This Row],[backlog_habiles]]&gt;p_dias_backlog_min,tblOrdenes[[#This Row],[backlog_habiles]]&lt;=p_dias_backlog_max))</f>
        <v/>
      </c>
      <c r="AE256" s="6" t="n"/>
      <c r="AF2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6" s="11">
        <f>IF(tblOrdenes[[#This Row],[orden]]="","",_xlfn.XLOOKUP(tblOrdenes[[#This Row],[id_operacion]],tblEjecucion[id_operacion],tblEjecucion[precio],0))</f>
        <v/>
      </c>
      <c r="AJ256" s="11">
        <f>IF(tblOrdenes[[#This Row],[orden]]="","",MAX(0,_xlfn.XLOOKUP(tblOrdenes[[#This Row],[id_operacion]],tblEjecucion[id_operacion],tblEjecucion[costo_plan_total],0)-tblOrdenes[[#This Row],[costo_servicio]]))</f>
        <v/>
      </c>
      <c r="AK256" s="11">
        <f>IF(tblOrdenes[[#This Row],[orden]]="","",tblOrdenes[[#This Row],[costo_servicio]]+tblOrdenes[[#This Row],[costo_materiales]])</f>
        <v/>
      </c>
      <c r="AL256" s="6" t="n"/>
      <c r="AM256" s="6" t="n"/>
      <c r="AN256" s="6" t="n"/>
      <c r="AO256" s="3">
        <f>IF(tblOrdenes[[#This Row],[link_checklist]]="","",HYPERLINK(p_ruta_base_checklists&amp;tblOrdenes[[#This Row],[link_checklist]],"abrir"))</f>
        <v/>
      </c>
      <c r="AP256" s="6" t="n"/>
      <c r="AQ256" s="3">
        <f>IF(tblOrdenes[[#This Row],[orden]]="","",tblOrdenes[[#This Row],[orden]]&amp;IF(tblOrdenes[[#This Row],[operacion]]="","0010",tblOrdenes[[#This Row],[operacion]]))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2" t="n"/>
      <c r="K257" s="3" t="n"/>
      <c r="L257" s="11" t="n"/>
      <c r="M2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7" s="3">
        <f>IF(tblOrdenes[[#This Row],[fecha_inicio]]="","",YEAR(tblOrdenes[[#This Row],[fecha_inicio]]))</f>
        <v/>
      </c>
      <c r="Q257" s="3">
        <f>IF(tblOrdenes[[#This Row],[fecha_inicio]]="","",MONTH(tblOrdenes[[#This Row],[fecha_inicio]]))</f>
        <v/>
      </c>
      <c r="R257" s="3">
        <f>IF(tblOrdenes[[#This Row],[fecha_inicio]]="","",INDEX(lista_dias,WEEKDAY(tblOrdenes[[#This Row],[fecha_inicio]],2)))</f>
        <v/>
      </c>
      <c r="S2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7" s="3">
        <f>IF(tblOrdenes[[#This Row],[tipo_ot]]="","",_xlfn.XLOOKUP(tblOrdenes[[#This Row],[tipo_ot]],tblTiposOT[codigo],tblTiposOT[clasificacion],"sin_clasificar"))</f>
        <v/>
      </c>
      <c r="U257" s="3">
        <f>IF(tblOrdenes[[#This Row],[centro_costo]]="","",_xlfn.XLOOKUP(tblOrdenes[[#This Row],[centro_costo]],tblCECO[codigo],tblCECO[linea],"(sin catálogo)"))</f>
        <v/>
      </c>
      <c r="V257" s="3">
        <f>IF(tblOrdenes[[#This Row],[centro_costo]]="","",_xlfn.XLOOKUP(tblOrdenes[[#This Row],[centro_costo]],tblCECO[codigo],tblCECO[area],"(sin catálogo)"))</f>
        <v/>
      </c>
      <c r="W2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7" s="3">
        <f>IF(tblOrdenes[[#This Row],[centro_costo]]="","",_xlfn.XLOOKUP(tblOrdenes[[#This Row],[centro_costo]],tblCECO[codigo],tblCECO[coordinador],"(sin catálogo)"))</f>
        <v/>
      </c>
      <c r="Y257" s="3">
        <f>IF(tblOrdenes[[#This Row],[puesto_trabajo]]="","",_xlfn.XLOOKUP(tblOrdenes[[#This Row],[puesto_trabajo]],tblPuestos[codigo],tblPuestos[especialidad],"(sin catálogo)"))</f>
        <v/>
      </c>
      <c r="Z257" s="3">
        <f>IF(tblOrdenes[[#This Row],[cod_actividad]]="","",_xlfn.XLOOKUP(tblOrdenes[[#This Row],[cod_actividad]],tblActividades[codigo],tblActividades[descripcion],"(sin catálogo)"))</f>
        <v/>
      </c>
      <c r="AA257" s="13">
        <f>IF(tblOrdenes[[#This Row],[fecha_inicio]]="","",TODAY()-tblOrdenes[[#This Row],[fecha_inicio]])</f>
        <v/>
      </c>
      <c r="AB2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7" s="3">
        <f>IF(tblOrdenes[[#This Row],[backlog_habiles]]="","",IF(tblOrdenes[[#This Row],[backlog_habiles]]&lt;0,"FUTURO",IF(tblOrdenes[[#This Row],[backlog_habiles]]&gt;p_dias_backlog_max,"BACKLOG","MES CORRIENTE")))</f>
        <v/>
      </c>
      <c r="AD257" s="3">
        <f>IF(tblOrdenes[[#This Row],[backlog_habiles]]="",FALSE,AND(tblOrdenes[[#This Row],[backlog_habiles]]&gt;p_dias_backlog_min,tblOrdenes[[#This Row],[backlog_habiles]]&lt;=p_dias_backlog_max))</f>
        <v/>
      </c>
      <c r="AE257" s="6" t="n"/>
      <c r="AF2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7" s="11">
        <f>IF(tblOrdenes[[#This Row],[orden]]="","",_xlfn.XLOOKUP(tblOrdenes[[#This Row],[id_operacion]],tblEjecucion[id_operacion],tblEjecucion[precio],0))</f>
        <v/>
      </c>
      <c r="AJ257" s="11">
        <f>IF(tblOrdenes[[#This Row],[orden]]="","",MAX(0,_xlfn.XLOOKUP(tblOrdenes[[#This Row],[id_operacion]],tblEjecucion[id_operacion],tblEjecucion[costo_plan_total],0)-tblOrdenes[[#This Row],[costo_servicio]]))</f>
        <v/>
      </c>
      <c r="AK257" s="11">
        <f>IF(tblOrdenes[[#This Row],[orden]]="","",tblOrdenes[[#This Row],[costo_servicio]]+tblOrdenes[[#This Row],[costo_materiales]])</f>
        <v/>
      </c>
      <c r="AL257" s="6" t="n"/>
      <c r="AM257" s="6" t="n"/>
      <c r="AN257" s="6" t="n"/>
      <c r="AO257" s="3">
        <f>IF(tblOrdenes[[#This Row],[link_checklist]]="","",HYPERLINK(p_ruta_base_checklists&amp;tblOrdenes[[#This Row],[link_checklist]],"abrir"))</f>
        <v/>
      </c>
      <c r="AP257" s="6" t="n"/>
      <c r="AQ257" s="3">
        <f>IF(tblOrdenes[[#This Row],[orden]]="","",tblOrdenes[[#This Row],[orden]]&amp;IF(tblOrdenes[[#This Row],[operacion]]="","0010",tblOrdenes[[#This Row],[operacion]]))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2" t="n"/>
      <c r="K258" s="3" t="n"/>
      <c r="L258" s="11" t="n"/>
      <c r="M2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8" s="3">
        <f>IF(tblOrdenes[[#This Row],[fecha_inicio]]="","",YEAR(tblOrdenes[[#This Row],[fecha_inicio]]))</f>
        <v/>
      </c>
      <c r="Q258" s="3">
        <f>IF(tblOrdenes[[#This Row],[fecha_inicio]]="","",MONTH(tblOrdenes[[#This Row],[fecha_inicio]]))</f>
        <v/>
      </c>
      <c r="R258" s="3">
        <f>IF(tblOrdenes[[#This Row],[fecha_inicio]]="","",INDEX(lista_dias,WEEKDAY(tblOrdenes[[#This Row],[fecha_inicio]],2)))</f>
        <v/>
      </c>
      <c r="S2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8" s="3">
        <f>IF(tblOrdenes[[#This Row],[tipo_ot]]="","",_xlfn.XLOOKUP(tblOrdenes[[#This Row],[tipo_ot]],tblTiposOT[codigo],tblTiposOT[clasificacion],"sin_clasificar"))</f>
        <v/>
      </c>
      <c r="U258" s="3">
        <f>IF(tblOrdenes[[#This Row],[centro_costo]]="","",_xlfn.XLOOKUP(tblOrdenes[[#This Row],[centro_costo]],tblCECO[codigo],tblCECO[linea],"(sin catálogo)"))</f>
        <v/>
      </c>
      <c r="V258" s="3">
        <f>IF(tblOrdenes[[#This Row],[centro_costo]]="","",_xlfn.XLOOKUP(tblOrdenes[[#This Row],[centro_costo]],tblCECO[codigo],tblCECO[area],"(sin catálogo)"))</f>
        <v/>
      </c>
      <c r="W2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8" s="3">
        <f>IF(tblOrdenes[[#This Row],[centro_costo]]="","",_xlfn.XLOOKUP(tblOrdenes[[#This Row],[centro_costo]],tblCECO[codigo],tblCECO[coordinador],"(sin catálogo)"))</f>
        <v/>
      </c>
      <c r="Y258" s="3">
        <f>IF(tblOrdenes[[#This Row],[puesto_trabajo]]="","",_xlfn.XLOOKUP(tblOrdenes[[#This Row],[puesto_trabajo]],tblPuestos[codigo],tblPuestos[especialidad],"(sin catálogo)"))</f>
        <v/>
      </c>
      <c r="Z258" s="3">
        <f>IF(tblOrdenes[[#This Row],[cod_actividad]]="","",_xlfn.XLOOKUP(tblOrdenes[[#This Row],[cod_actividad]],tblActividades[codigo],tblActividades[descripcion],"(sin catálogo)"))</f>
        <v/>
      </c>
      <c r="AA258" s="13">
        <f>IF(tblOrdenes[[#This Row],[fecha_inicio]]="","",TODAY()-tblOrdenes[[#This Row],[fecha_inicio]])</f>
        <v/>
      </c>
      <c r="AB2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8" s="3">
        <f>IF(tblOrdenes[[#This Row],[backlog_habiles]]="","",IF(tblOrdenes[[#This Row],[backlog_habiles]]&lt;0,"FUTURO",IF(tblOrdenes[[#This Row],[backlog_habiles]]&gt;p_dias_backlog_max,"BACKLOG","MES CORRIENTE")))</f>
        <v/>
      </c>
      <c r="AD258" s="3">
        <f>IF(tblOrdenes[[#This Row],[backlog_habiles]]="",FALSE,AND(tblOrdenes[[#This Row],[backlog_habiles]]&gt;p_dias_backlog_min,tblOrdenes[[#This Row],[backlog_habiles]]&lt;=p_dias_backlog_max))</f>
        <v/>
      </c>
      <c r="AE258" s="6" t="n"/>
      <c r="AF2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8" s="11">
        <f>IF(tblOrdenes[[#This Row],[orden]]="","",_xlfn.XLOOKUP(tblOrdenes[[#This Row],[id_operacion]],tblEjecucion[id_operacion],tblEjecucion[precio],0))</f>
        <v/>
      </c>
      <c r="AJ258" s="11">
        <f>IF(tblOrdenes[[#This Row],[orden]]="","",MAX(0,_xlfn.XLOOKUP(tblOrdenes[[#This Row],[id_operacion]],tblEjecucion[id_operacion],tblEjecucion[costo_plan_total],0)-tblOrdenes[[#This Row],[costo_servicio]]))</f>
        <v/>
      </c>
      <c r="AK258" s="11">
        <f>IF(tblOrdenes[[#This Row],[orden]]="","",tblOrdenes[[#This Row],[costo_servicio]]+tblOrdenes[[#This Row],[costo_materiales]])</f>
        <v/>
      </c>
      <c r="AL258" s="6" t="n"/>
      <c r="AM258" s="6" t="n"/>
      <c r="AN258" s="6" t="n"/>
      <c r="AO258" s="3">
        <f>IF(tblOrdenes[[#This Row],[link_checklist]]="","",HYPERLINK(p_ruta_base_checklists&amp;tblOrdenes[[#This Row],[link_checklist]],"abrir"))</f>
        <v/>
      </c>
      <c r="AP258" s="6" t="n"/>
      <c r="AQ258" s="3">
        <f>IF(tblOrdenes[[#This Row],[orden]]="","",tblOrdenes[[#This Row],[orden]]&amp;IF(tblOrdenes[[#This Row],[operacion]]="","0010",tblOrdenes[[#This Row],[operacion]]))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2" t="n"/>
      <c r="K259" s="3" t="n"/>
      <c r="L259" s="11" t="n"/>
      <c r="M2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9" s="3">
        <f>IF(tblOrdenes[[#This Row],[fecha_inicio]]="","",YEAR(tblOrdenes[[#This Row],[fecha_inicio]]))</f>
        <v/>
      </c>
      <c r="Q259" s="3">
        <f>IF(tblOrdenes[[#This Row],[fecha_inicio]]="","",MONTH(tblOrdenes[[#This Row],[fecha_inicio]]))</f>
        <v/>
      </c>
      <c r="R259" s="3">
        <f>IF(tblOrdenes[[#This Row],[fecha_inicio]]="","",INDEX(lista_dias,WEEKDAY(tblOrdenes[[#This Row],[fecha_inicio]],2)))</f>
        <v/>
      </c>
      <c r="S2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9" s="3">
        <f>IF(tblOrdenes[[#This Row],[tipo_ot]]="","",_xlfn.XLOOKUP(tblOrdenes[[#This Row],[tipo_ot]],tblTiposOT[codigo],tblTiposOT[clasificacion],"sin_clasificar"))</f>
        <v/>
      </c>
      <c r="U259" s="3">
        <f>IF(tblOrdenes[[#This Row],[centro_costo]]="","",_xlfn.XLOOKUP(tblOrdenes[[#This Row],[centro_costo]],tblCECO[codigo],tblCECO[linea],"(sin catálogo)"))</f>
        <v/>
      </c>
      <c r="V259" s="3">
        <f>IF(tblOrdenes[[#This Row],[centro_costo]]="","",_xlfn.XLOOKUP(tblOrdenes[[#This Row],[centro_costo]],tblCECO[codigo],tblCECO[area],"(sin catálogo)"))</f>
        <v/>
      </c>
      <c r="W2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9" s="3">
        <f>IF(tblOrdenes[[#This Row],[centro_costo]]="","",_xlfn.XLOOKUP(tblOrdenes[[#This Row],[centro_costo]],tblCECO[codigo],tblCECO[coordinador],"(sin catálogo)"))</f>
        <v/>
      </c>
      <c r="Y259" s="3">
        <f>IF(tblOrdenes[[#This Row],[puesto_trabajo]]="","",_xlfn.XLOOKUP(tblOrdenes[[#This Row],[puesto_trabajo]],tblPuestos[codigo],tblPuestos[especialidad],"(sin catálogo)"))</f>
        <v/>
      </c>
      <c r="Z259" s="3">
        <f>IF(tblOrdenes[[#This Row],[cod_actividad]]="","",_xlfn.XLOOKUP(tblOrdenes[[#This Row],[cod_actividad]],tblActividades[codigo],tblActividades[descripcion],"(sin catálogo)"))</f>
        <v/>
      </c>
      <c r="AA259" s="13">
        <f>IF(tblOrdenes[[#This Row],[fecha_inicio]]="","",TODAY()-tblOrdenes[[#This Row],[fecha_inicio]])</f>
        <v/>
      </c>
      <c r="AB2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9" s="3">
        <f>IF(tblOrdenes[[#This Row],[backlog_habiles]]="","",IF(tblOrdenes[[#This Row],[backlog_habiles]]&lt;0,"FUTURO",IF(tblOrdenes[[#This Row],[backlog_habiles]]&gt;p_dias_backlog_max,"BACKLOG","MES CORRIENTE")))</f>
        <v/>
      </c>
      <c r="AD259" s="3">
        <f>IF(tblOrdenes[[#This Row],[backlog_habiles]]="",FALSE,AND(tblOrdenes[[#This Row],[backlog_habiles]]&gt;p_dias_backlog_min,tblOrdenes[[#This Row],[backlog_habiles]]&lt;=p_dias_backlog_max))</f>
        <v/>
      </c>
      <c r="AE259" s="6" t="n"/>
      <c r="AF2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9" s="11">
        <f>IF(tblOrdenes[[#This Row],[orden]]="","",_xlfn.XLOOKUP(tblOrdenes[[#This Row],[id_operacion]],tblEjecucion[id_operacion],tblEjecucion[precio],0))</f>
        <v/>
      </c>
      <c r="AJ259" s="11">
        <f>IF(tblOrdenes[[#This Row],[orden]]="","",MAX(0,_xlfn.XLOOKUP(tblOrdenes[[#This Row],[id_operacion]],tblEjecucion[id_operacion],tblEjecucion[costo_plan_total],0)-tblOrdenes[[#This Row],[costo_servicio]]))</f>
        <v/>
      </c>
      <c r="AK259" s="11">
        <f>IF(tblOrdenes[[#This Row],[orden]]="","",tblOrdenes[[#This Row],[costo_servicio]]+tblOrdenes[[#This Row],[costo_materiales]])</f>
        <v/>
      </c>
      <c r="AL259" s="6" t="n"/>
      <c r="AM259" s="6" t="n"/>
      <c r="AN259" s="6" t="n"/>
      <c r="AO259" s="3">
        <f>IF(tblOrdenes[[#This Row],[link_checklist]]="","",HYPERLINK(p_ruta_base_checklists&amp;tblOrdenes[[#This Row],[link_checklist]],"abrir"))</f>
        <v/>
      </c>
      <c r="AP259" s="6" t="n"/>
      <c r="AQ259" s="3">
        <f>IF(tblOrdenes[[#This Row],[orden]]="","",tblOrdenes[[#This Row],[orden]]&amp;IF(tblOrdenes[[#This Row],[operacion]]="","0010",tblOrdenes[[#This Row],[operacion]]))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2" t="n"/>
      <c r="K260" s="3" t="n"/>
      <c r="L260" s="11" t="n"/>
      <c r="M2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0" s="3">
        <f>IF(tblOrdenes[[#This Row],[fecha_inicio]]="","",YEAR(tblOrdenes[[#This Row],[fecha_inicio]]))</f>
        <v/>
      </c>
      <c r="Q260" s="3">
        <f>IF(tblOrdenes[[#This Row],[fecha_inicio]]="","",MONTH(tblOrdenes[[#This Row],[fecha_inicio]]))</f>
        <v/>
      </c>
      <c r="R260" s="3">
        <f>IF(tblOrdenes[[#This Row],[fecha_inicio]]="","",INDEX(lista_dias,WEEKDAY(tblOrdenes[[#This Row],[fecha_inicio]],2)))</f>
        <v/>
      </c>
      <c r="S2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0" s="3">
        <f>IF(tblOrdenes[[#This Row],[tipo_ot]]="","",_xlfn.XLOOKUP(tblOrdenes[[#This Row],[tipo_ot]],tblTiposOT[codigo],tblTiposOT[clasificacion],"sin_clasificar"))</f>
        <v/>
      </c>
      <c r="U260" s="3">
        <f>IF(tblOrdenes[[#This Row],[centro_costo]]="","",_xlfn.XLOOKUP(tblOrdenes[[#This Row],[centro_costo]],tblCECO[codigo],tblCECO[linea],"(sin catálogo)"))</f>
        <v/>
      </c>
      <c r="V260" s="3">
        <f>IF(tblOrdenes[[#This Row],[centro_costo]]="","",_xlfn.XLOOKUP(tblOrdenes[[#This Row],[centro_costo]],tblCECO[codigo],tblCECO[area],"(sin catálogo)"))</f>
        <v/>
      </c>
      <c r="W2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0" s="3">
        <f>IF(tblOrdenes[[#This Row],[centro_costo]]="","",_xlfn.XLOOKUP(tblOrdenes[[#This Row],[centro_costo]],tblCECO[codigo],tblCECO[coordinador],"(sin catálogo)"))</f>
        <v/>
      </c>
      <c r="Y260" s="3">
        <f>IF(tblOrdenes[[#This Row],[puesto_trabajo]]="","",_xlfn.XLOOKUP(tblOrdenes[[#This Row],[puesto_trabajo]],tblPuestos[codigo],tblPuestos[especialidad],"(sin catálogo)"))</f>
        <v/>
      </c>
      <c r="Z260" s="3">
        <f>IF(tblOrdenes[[#This Row],[cod_actividad]]="","",_xlfn.XLOOKUP(tblOrdenes[[#This Row],[cod_actividad]],tblActividades[codigo],tblActividades[descripcion],"(sin catálogo)"))</f>
        <v/>
      </c>
      <c r="AA260" s="13">
        <f>IF(tblOrdenes[[#This Row],[fecha_inicio]]="","",TODAY()-tblOrdenes[[#This Row],[fecha_inicio]])</f>
        <v/>
      </c>
      <c r="AB2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0" s="3">
        <f>IF(tblOrdenes[[#This Row],[backlog_habiles]]="","",IF(tblOrdenes[[#This Row],[backlog_habiles]]&lt;0,"FUTURO",IF(tblOrdenes[[#This Row],[backlog_habiles]]&gt;p_dias_backlog_max,"BACKLOG","MES CORRIENTE")))</f>
        <v/>
      </c>
      <c r="AD260" s="3">
        <f>IF(tblOrdenes[[#This Row],[backlog_habiles]]="",FALSE,AND(tblOrdenes[[#This Row],[backlog_habiles]]&gt;p_dias_backlog_min,tblOrdenes[[#This Row],[backlog_habiles]]&lt;=p_dias_backlog_max))</f>
        <v/>
      </c>
      <c r="AE260" s="6" t="n"/>
      <c r="AF2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0" s="11">
        <f>IF(tblOrdenes[[#This Row],[orden]]="","",_xlfn.XLOOKUP(tblOrdenes[[#This Row],[id_operacion]],tblEjecucion[id_operacion],tblEjecucion[precio],0))</f>
        <v/>
      </c>
      <c r="AJ260" s="11">
        <f>IF(tblOrdenes[[#This Row],[orden]]="","",MAX(0,_xlfn.XLOOKUP(tblOrdenes[[#This Row],[id_operacion]],tblEjecucion[id_operacion],tblEjecucion[costo_plan_total],0)-tblOrdenes[[#This Row],[costo_servicio]]))</f>
        <v/>
      </c>
      <c r="AK260" s="11">
        <f>IF(tblOrdenes[[#This Row],[orden]]="","",tblOrdenes[[#This Row],[costo_servicio]]+tblOrdenes[[#This Row],[costo_materiales]])</f>
        <v/>
      </c>
      <c r="AL260" s="6" t="n"/>
      <c r="AM260" s="6" t="n"/>
      <c r="AN260" s="6" t="n"/>
      <c r="AO260" s="3">
        <f>IF(tblOrdenes[[#This Row],[link_checklist]]="","",HYPERLINK(p_ruta_base_checklists&amp;tblOrdenes[[#This Row],[link_checklist]],"abrir"))</f>
        <v/>
      </c>
      <c r="AP260" s="6" t="n"/>
      <c r="AQ260" s="3">
        <f>IF(tblOrdenes[[#This Row],[orden]]="","",tblOrdenes[[#This Row],[orden]]&amp;IF(tblOrdenes[[#This Row],[operacion]]="","0010",tblOrdenes[[#This Row],[operacion]]))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2" t="n"/>
      <c r="K261" s="3" t="n"/>
      <c r="L261" s="11" t="n"/>
      <c r="M2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1" s="3">
        <f>IF(tblOrdenes[[#This Row],[fecha_inicio]]="","",YEAR(tblOrdenes[[#This Row],[fecha_inicio]]))</f>
        <v/>
      </c>
      <c r="Q261" s="3">
        <f>IF(tblOrdenes[[#This Row],[fecha_inicio]]="","",MONTH(tblOrdenes[[#This Row],[fecha_inicio]]))</f>
        <v/>
      </c>
      <c r="R261" s="3">
        <f>IF(tblOrdenes[[#This Row],[fecha_inicio]]="","",INDEX(lista_dias,WEEKDAY(tblOrdenes[[#This Row],[fecha_inicio]],2)))</f>
        <v/>
      </c>
      <c r="S2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1" s="3">
        <f>IF(tblOrdenes[[#This Row],[tipo_ot]]="","",_xlfn.XLOOKUP(tblOrdenes[[#This Row],[tipo_ot]],tblTiposOT[codigo],tblTiposOT[clasificacion],"sin_clasificar"))</f>
        <v/>
      </c>
      <c r="U261" s="3">
        <f>IF(tblOrdenes[[#This Row],[centro_costo]]="","",_xlfn.XLOOKUP(tblOrdenes[[#This Row],[centro_costo]],tblCECO[codigo],tblCECO[linea],"(sin catálogo)"))</f>
        <v/>
      </c>
      <c r="V261" s="3">
        <f>IF(tblOrdenes[[#This Row],[centro_costo]]="","",_xlfn.XLOOKUP(tblOrdenes[[#This Row],[centro_costo]],tblCECO[codigo],tblCECO[area],"(sin catálogo)"))</f>
        <v/>
      </c>
      <c r="W2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1" s="3">
        <f>IF(tblOrdenes[[#This Row],[centro_costo]]="","",_xlfn.XLOOKUP(tblOrdenes[[#This Row],[centro_costo]],tblCECO[codigo],tblCECO[coordinador],"(sin catálogo)"))</f>
        <v/>
      </c>
      <c r="Y261" s="3">
        <f>IF(tblOrdenes[[#This Row],[puesto_trabajo]]="","",_xlfn.XLOOKUP(tblOrdenes[[#This Row],[puesto_trabajo]],tblPuestos[codigo],tblPuestos[especialidad],"(sin catálogo)"))</f>
        <v/>
      </c>
      <c r="Z261" s="3">
        <f>IF(tblOrdenes[[#This Row],[cod_actividad]]="","",_xlfn.XLOOKUP(tblOrdenes[[#This Row],[cod_actividad]],tblActividades[codigo],tblActividades[descripcion],"(sin catálogo)"))</f>
        <v/>
      </c>
      <c r="AA261" s="13">
        <f>IF(tblOrdenes[[#This Row],[fecha_inicio]]="","",TODAY()-tblOrdenes[[#This Row],[fecha_inicio]])</f>
        <v/>
      </c>
      <c r="AB2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1" s="3">
        <f>IF(tblOrdenes[[#This Row],[backlog_habiles]]="","",IF(tblOrdenes[[#This Row],[backlog_habiles]]&lt;0,"FUTURO",IF(tblOrdenes[[#This Row],[backlog_habiles]]&gt;p_dias_backlog_max,"BACKLOG","MES CORRIENTE")))</f>
        <v/>
      </c>
      <c r="AD261" s="3">
        <f>IF(tblOrdenes[[#This Row],[backlog_habiles]]="",FALSE,AND(tblOrdenes[[#This Row],[backlog_habiles]]&gt;p_dias_backlog_min,tblOrdenes[[#This Row],[backlog_habiles]]&lt;=p_dias_backlog_max))</f>
        <v/>
      </c>
      <c r="AE261" s="6" t="n"/>
      <c r="AF2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1" s="11">
        <f>IF(tblOrdenes[[#This Row],[orden]]="","",_xlfn.XLOOKUP(tblOrdenes[[#This Row],[id_operacion]],tblEjecucion[id_operacion],tblEjecucion[precio],0))</f>
        <v/>
      </c>
      <c r="AJ261" s="11">
        <f>IF(tblOrdenes[[#This Row],[orden]]="","",MAX(0,_xlfn.XLOOKUP(tblOrdenes[[#This Row],[id_operacion]],tblEjecucion[id_operacion],tblEjecucion[costo_plan_total],0)-tblOrdenes[[#This Row],[costo_servicio]]))</f>
        <v/>
      </c>
      <c r="AK261" s="11">
        <f>IF(tblOrdenes[[#This Row],[orden]]="","",tblOrdenes[[#This Row],[costo_servicio]]+tblOrdenes[[#This Row],[costo_materiales]])</f>
        <v/>
      </c>
      <c r="AL261" s="6" t="n"/>
      <c r="AM261" s="6" t="n"/>
      <c r="AN261" s="6" t="n"/>
      <c r="AO261" s="3">
        <f>IF(tblOrdenes[[#This Row],[link_checklist]]="","",HYPERLINK(p_ruta_base_checklists&amp;tblOrdenes[[#This Row],[link_checklist]],"abrir"))</f>
        <v/>
      </c>
      <c r="AP261" s="6" t="n"/>
      <c r="AQ261" s="3">
        <f>IF(tblOrdenes[[#This Row],[orden]]="","",tblOrdenes[[#This Row],[orden]]&amp;IF(tblOrdenes[[#This Row],[operacion]]="","0010",tblOrdenes[[#This Row],[operacion]]))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2" t="n"/>
      <c r="K262" s="3" t="n"/>
      <c r="L262" s="11" t="n"/>
      <c r="M2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2" s="3">
        <f>IF(tblOrdenes[[#This Row],[fecha_inicio]]="","",YEAR(tblOrdenes[[#This Row],[fecha_inicio]]))</f>
        <v/>
      </c>
      <c r="Q262" s="3">
        <f>IF(tblOrdenes[[#This Row],[fecha_inicio]]="","",MONTH(tblOrdenes[[#This Row],[fecha_inicio]]))</f>
        <v/>
      </c>
      <c r="R262" s="3">
        <f>IF(tblOrdenes[[#This Row],[fecha_inicio]]="","",INDEX(lista_dias,WEEKDAY(tblOrdenes[[#This Row],[fecha_inicio]],2)))</f>
        <v/>
      </c>
      <c r="S2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2" s="3">
        <f>IF(tblOrdenes[[#This Row],[tipo_ot]]="","",_xlfn.XLOOKUP(tblOrdenes[[#This Row],[tipo_ot]],tblTiposOT[codigo],tblTiposOT[clasificacion],"sin_clasificar"))</f>
        <v/>
      </c>
      <c r="U262" s="3">
        <f>IF(tblOrdenes[[#This Row],[centro_costo]]="","",_xlfn.XLOOKUP(tblOrdenes[[#This Row],[centro_costo]],tblCECO[codigo],tblCECO[linea],"(sin catálogo)"))</f>
        <v/>
      </c>
      <c r="V262" s="3">
        <f>IF(tblOrdenes[[#This Row],[centro_costo]]="","",_xlfn.XLOOKUP(tblOrdenes[[#This Row],[centro_costo]],tblCECO[codigo],tblCECO[area],"(sin catálogo)"))</f>
        <v/>
      </c>
      <c r="W2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2" s="3">
        <f>IF(tblOrdenes[[#This Row],[centro_costo]]="","",_xlfn.XLOOKUP(tblOrdenes[[#This Row],[centro_costo]],tblCECO[codigo],tblCECO[coordinador],"(sin catálogo)"))</f>
        <v/>
      </c>
      <c r="Y262" s="3">
        <f>IF(tblOrdenes[[#This Row],[puesto_trabajo]]="","",_xlfn.XLOOKUP(tblOrdenes[[#This Row],[puesto_trabajo]],tblPuestos[codigo],tblPuestos[especialidad],"(sin catálogo)"))</f>
        <v/>
      </c>
      <c r="Z262" s="3">
        <f>IF(tblOrdenes[[#This Row],[cod_actividad]]="","",_xlfn.XLOOKUP(tblOrdenes[[#This Row],[cod_actividad]],tblActividades[codigo],tblActividades[descripcion],"(sin catálogo)"))</f>
        <v/>
      </c>
      <c r="AA262" s="13">
        <f>IF(tblOrdenes[[#This Row],[fecha_inicio]]="","",TODAY()-tblOrdenes[[#This Row],[fecha_inicio]])</f>
        <v/>
      </c>
      <c r="AB2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2" s="3">
        <f>IF(tblOrdenes[[#This Row],[backlog_habiles]]="","",IF(tblOrdenes[[#This Row],[backlog_habiles]]&lt;0,"FUTURO",IF(tblOrdenes[[#This Row],[backlog_habiles]]&gt;p_dias_backlog_max,"BACKLOG","MES CORRIENTE")))</f>
        <v/>
      </c>
      <c r="AD262" s="3">
        <f>IF(tblOrdenes[[#This Row],[backlog_habiles]]="",FALSE,AND(tblOrdenes[[#This Row],[backlog_habiles]]&gt;p_dias_backlog_min,tblOrdenes[[#This Row],[backlog_habiles]]&lt;=p_dias_backlog_max))</f>
        <v/>
      </c>
      <c r="AE262" s="6" t="n"/>
      <c r="AF2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2" s="11">
        <f>IF(tblOrdenes[[#This Row],[orden]]="","",_xlfn.XLOOKUP(tblOrdenes[[#This Row],[id_operacion]],tblEjecucion[id_operacion],tblEjecucion[precio],0))</f>
        <v/>
      </c>
      <c r="AJ262" s="11">
        <f>IF(tblOrdenes[[#This Row],[orden]]="","",MAX(0,_xlfn.XLOOKUP(tblOrdenes[[#This Row],[id_operacion]],tblEjecucion[id_operacion],tblEjecucion[costo_plan_total],0)-tblOrdenes[[#This Row],[costo_servicio]]))</f>
        <v/>
      </c>
      <c r="AK262" s="11">
        <f>IF(tblOrdenes[[#This Row],[orden]]="","",tblOrdenes[[#This Row],[costo_servicio]]+tblOrdenes[[#This Row],[costo_materiales]])</f>
        <v/>
      </c>
      <c r="AL262" s="6" t="n"/>
      <c r="AM262" s="6" t="n"/>
      <c r="AN262" s="6" t="n"/>
      <c r="AO262" s="3">
        <f>IF(tblOrdenes[[#This Row],[link_checklist]]="","",HYPERLINK(p_ruta_base_checklists&amp;tblOrdenes[[#This Row],[link_checklist]],"abrir"))</f>
        <v/>
      </c>
      <c r="AP262" s="6" t="n"/>
      <c r="AQ262" s="3">
        <f>IF(tblOrdenes[[#This Row],[orden]]="","",tblOrdenes[[#This Row],[orden]]&amp;IF(tblOrdenes[[#This Row],[operacion]]="","0010",tblOrdenes[[#This Row],[operacion]]))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2" t="n"/>
      <c r="K263" s="3" t="n"/>
      <c r="L263" s="11" t="n"/>
      <c r="M2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3" s="3">
        <f>IF(tblOrdenes[[#This Row],[fecha_inicio]]="","",YEAR(tblOrdenes[[#This Row],[fecha_inicio]]))</f>
        <v/>
      </c>
      <c r="Q263" s="3">
        <f>IF(tblOrdenes[[#This Row],[fecha_inicio]]="","",MONTH(tblOrdenes[[#This Row],[fecha_inicio]]))</f>
        <v/>
      </c>
      <c r="R263" s="3">
        <f>IF(tblOrdenes[[#This Row],[fecha_inicio]]="","",INDEX(lista_dias,WEEKDAY(tblOrdenes[[#This Row],[fecha_inicio]],2)))</f>
        <v/>
      </c>
      <c r="S2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3" s="3">
        <f>IF(tblOrdenes[[#This Row],[tipo_ot]]="","",_xlfn.XLOOKUP(tblOrdenes[[#This Row],[tipo_ot]],tblTiposOT[codigo],tblTiposOT[clasificacion],"sin_clasificar"))</f>
        <v/>
      </c>
      <c r="U263" s="3">
        <f>IF(tblOrdenes[[#This Row],[centro_costo]]="","",_xlfn.XLOOKUP(tblOrdenes[[#This Row],[centro_costo]],tblCECO[codigo],tblCECO[linea],"(sin catálogo)"))</f>
        <v/>
      </c>
      <c r="V263" s="3">
        <f>IF(tblOrdenes[[#This Row],[centro_costo]]="","",_xlfn.XLOOKUP(tblOrdenes[[#This Row],[centro_costo]],tblCECO[codigo],tblCECO[area],"(sin catálogo)"))</f>
        <v/>
      </c>
      <c r="W2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3" s="3">
        <f>IF(tblOrdenes[[#This Row],[centro_costo]]="","",_xlfn.XLOOKUP(tblOrdenes[[#This Row],[centro_costo]],tblCECO[codigo],tblCECO[coordinador],"(sin catálogo)"))</f>
        <v/>
      </c>
      <c r="Y263" s="3">
        <f>IF(tblOrdenes[[#This Row],[puesto_trabajo]]="","",_xlfn.XLOOKUP(tblOrdenes[[#This Row],[puesto_trabajo]],tblPuestos[codigo],tblPuestos[especialidad],"(sin catálogo)"))</f>
        <v/>
      </c>
      <c r="Z263" s="3">
        <f>IF(tblOrdenes[[#This Row],[cod_actividad]]="","",_xlfn.XLOOKUP(tblOrdenes[[#This Row],[cod_actividad]],tblActividades[codigo],tblActividades[descripcion],"(sin catálogo)"))</f>
        <v/>
      </c>
      <c r="AA263" s="13">
        <f>IF(tblOrdenes[[#This Row],[fecha_inicio]]="","",TODAY()-tblOrdenes[[#This Row],[fecha_inicio]])</f>
        <v/>
      </c>
      <c r="AB2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3" s="3">
        <f>IF(tblOrdenes[[#This Row],[backlog_habiles]]="","",IF(tblOrdenes[[#This Row],[backlog_habiles]]&lt;0,"FUTURO",IF(tblOrdenes[[#This Row],[backlog_habiles]]&gt;p_dias_backlog_max,"BACKLOG","MES CORRIENTE")))</f>
        <v/>
      </c>
      <c r="AD263" s="3">
        <f>IF(tblOrdenes[[#This Row],[backlog_habiles]]="",FALSE,AND(tblOrdenes[[#This Row],[backlog_habiles]]&gt;p_dias_backlog_min,tblOrdenes[[#This Row],[backlog_habiles]]&lt;=p_dias_backlog_max))</f>
        <v/>
      </c>
      <c r="AE263" s="6" t="n"/>
      <c r="AF2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3" s="11">
        <f>IF(tblOrdenes[[#This Row],[orden]]="","",_xlfn.XLOOKUP(tblOrdenes[[#This Row],[id_operacion]],tblEjecucion[id_operacion],tblEjecucion[precio],0))</f>
        <v/>
      </c>
      <c r="AJ263" s="11">
        <f>IF(tblOrdenes[[#This Row],[orden]]="","",MAX(0,_xlfn.XLOOKUP(tblOrdenes[[#This Row],[id_operacion]],tblEjecucion[id_operacion],tblEjecucion[costo_plan_total],0)-tblOrdenes[[#This Row],[costo_servicio]]))</f>
        <v/>
      </c>
      <c r="AK263" s="11">
        <f>IF(tblOrdenes[[#This Row],[orden]]="","",tblOrdenes[[#This Row],[costo_servicio]]+tblOrdenes[[#This Row],[costo_materiales]])</f>
        <v/>
      </c>
      <c r="AL263" s="6" t="n"/>
      <c r="AM263" s="6" t="n"/>
      <c r="AN263" s="6" t="n"/>
      <c r="AO263" s="3">
        <f>IF(tblOrdenes[[#This Row],[link_checklist]]="","",HYPERLINK(p_ruta_base_checklists&amp;tblOrdenes[[#This Row],[link_checklist]],"abrir"))</f>
        <v/>
      </c>
      <c r="AP263" s="6" t="n"/>
      <c r="AQ263" s="3">
        <f>IF(tblOrdenes[[#This Row],[orden]]="","",tblOrdenes[[#This Row],[orden]]&amp;IF(tblOrdenes[[#This Row],[operacion]]="","0010",tblOrdenes[[#This Row],[operacion]]))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2" t="n"/>
      <c r="K264" s="3" t="n"/>
      <c r="L264" s="11" t="n"/>
      <c r="M2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4" s="3">
        <f>IF(tblOrdenes[[#This Row],[fecha_inicio]]="","",YEAR(tblOrdenes[[#This Row],[fecha_inicio]]))</f>
        <v/>
      </c>
      <c r="Q264" s="3">
        <f>IF(tblOrdenes[[#This Row],[fecha_inicio]]="","",MONTH(tblOrdenes[[#This Row],[fecha_inicio]]))</f>
        <v/>
      </c>
      <c r="R264" s="3">
        <f>IF(tblOrdenes[[#This Row],[fecha_inicio]]="","",INDEX(lista_dias,WEEKDAY(tblOrdenes[[#This Row],[fecha_inicio]],2)))</f>
        <v/>
      </c>
      <c r="S2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4" s="3">
        <f>IF(tblOrdenes[[#This Row],[tipo_ot]]="","",_xlfn.XLOOKUP(tblOrdenes[[#This Row],[tipo_ot]],tblTiposOT[codigo],tblTiposOT[clasificacion],"sin_clasificar"))</f>
        <v/>
      </c>
      <c r="U264" s="3">
        <f>IF(tblOrdenes[[#This Row],[centro_costo]]="","",_xlfn.XLOOKUP(tblOrdenes[[#This Row],[centro_costo]],tblCECO[codigo],tblCECO[linea],"(sin catálogo)"))</f>
        <v/>
      </c>
      <c r="V264" s="3">
        <f>IF(tblOrdenes[[#This Row],[centro_costo]]="","",_xlfn.XLOOKUP(tblOrdenes[[#This Row],[centro_costo]],tblCECO[codigo],tblCECO[area],"(sin catálogo)"))</f>
        <v/>
      </c>
      <c r="W2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4" s="3">
        <f>IF(tblOrdenes[[#This Row],[centro_costo]]="","",_xlfn.XLOOKUP(tblOrdenes[[#This Row],[centro_costo]],tblCECO[codigo],tblCECO[coordinador],"(sin catálogo)"))</f>
        <v/>
      </c>
      <c r="Y264" s="3">
        <f>IF(tblOrdenes[[#This Row],[puesto_trabajo]]="","",_xlfn.XLOOKUP(tblOrdenes[[#This Row],[puesto_trabajo]],tblPuestos[codigo],tblPuestos[especialidad],"(sin catálogo)"))</f>
        <v/>
      </c>
      <c r="Z264" s="3">
        <f>IF(tblOrdenes[[#This Row],[cod_actividad]]="","",_xlfn.XLOOKUP(tblOrdenes[[#This Row],[cod_actividad]],tblActividades[codigo],tblActividades[descripcion],"(sin catálogo)"))</f>
        <v/>
      </c>
      <c r="AA264" s="13">
        <f>IF(tblOrdenes[[#This Row],[fecha_inicio]]="","",TODAY()-tblOrdenes[[#This Row],[fecha_inicio]])</f>
        <v/>
      </c>
      <c r="AB2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4" s="3">
        <f>IF(tblOrdenes[[#This Row],[backlog_habiles]]="","",IF(tblOrdenes[[#This Row],[backlog_habiles]]&lt;0,"FUTURO",IF(tblOrdenes[[#This Row],[backlog_habiles]]&gt;p_dias_backlog_max,"BACKLOG","MES CORRIENTE")))</f>
        <v/>
      </c>
      <c r="AD264" s="3">
        <f>IF(tblOrdenes[[#This Row],[backlog_habiles]]="",FALSE,AND(tblOrdenes[[#This Row],[backlog_habiles]]&gt;p_dias_backlog_min,tblOrdenes[[#This Row],[backlog_habiles]]&lt;=p_dias_backlog_max))</f>
        <v/>
      </c>
      <c r="AE264" s="6" t="n"/>
      <c r="AF2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4" s="11">
        <f>IF(tblOrdenes[[#This Row],[orden]]="","",_xlfn.XLOOKUP(tblOrdenes[[#This Row],[id_operacion]],tblEjecucion[id_operacion],tblEjecucion[precio],0))</f>
        <v/>
      </c>
      <c r="AJ264" s="11">
        <f>IF(tblOrdenes[[#This Row],[orden]]="","",MAX(0,_xlfn.XLOOKUP(tblOrdenes[[#This Row],[id_operacion]],tblEjecucion[id_operacion],tblEjecucion[costo_plan_total],0)-tblOrdenes[[#This Row],[costo_servicio]]))</f>
        <v/>
      </c>
      <c r="AK264" s="11">
        <f>IF(tblOrdenes[[#This Row],[orden]]="","",tblOrdenes[[#This Row],[costo_servicio]]+tblOrdenes[[#This Row],[costo_materiales]])</f>
        <v/>
      </c>
      <c r="AL264" s="6" t="n"/>
      <c r="AM264" s="6" t="n"/>
      <c r="AN264" s="6" t="n"/>
      <c r="AO264" s="3">
        <f>IF(tblOrdenes[[#This Row],[link_checklist]]="","",HYPERLINK(p_ruta_base_checklists&amp;tblOrdenes[[#This Row],[link_checklist]],"abrir"))</f>
        <v/>
      </c>
      <c r="AP264" s="6" t="n"/>
      <c r="AQ264" s="3">
        <f>IF(tblOrdenes[[#This Row],[orden]]="","",tblOrdenes[[#This Row],[orden]]&amp;IF(tblOrdenes[[#This Row],[operacion]]="","0010",tblOrdenes[[#This Row],[operacion]]))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2" t="n"/>
      <c r="K265" s="3" t="n"/>
      <c r="L265" s="11" t="n"/>
      <c r="M2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5" s="3">
        <f>IF(tblOrdenes[[#This Row],[fecha_inicio]]="","",YEAR(tblOrdenes[[#This Row],[fecha_inicio]]))</f>
        <v/>
      </c>
      <c r="Q265" s="3">
        <f>IF(tblOrdenes[[#This Row],[fecha_inicio]]="","",MONTH(tblOrdenes[[#This Row],[fecha_inicio]]))</f>
        <v/>
      </c>
      <c r="R265" s="3">
        <f>IF(tblOrdenes[[#This Row],[fecha_inicio]]="","",INDEX(lista_dias,WEEKDAY(tblOrdenes[[#This Row],[fecha_inicio]],2)))</f>
        <v/>
      </c>
      <c r="S2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5" s="3">
        <f>IF(tblOrdenes[[#This Row],[tipo_ot]]="","",_xlfn.XLOOKUP(tblOrdenes[[#This Row],[tipo_ot]],tblTiposOT[codigo],tblTiposOT[clasificacion],"sin_clasificar"))</f>
        <v/>
      </c>
      <c r="U265" s="3">
        <f>IF(tblOrdenes[[#This Row],[centro_costo]]="","",_xlfn.XLOOKUP(tblOrdenes[[#This Row],[centro_costo]],tblCECO[codigo],tblCECO[linea],"(sin catálogo)"))</f>
        <v/>
      </c>
      <c r="V265" s="3">
        <f>IF(tblOrdenes[[#This Row],[centro_costo]]="","",_xlfn.XLOOKUP(tblOrdenes[[#This Row],[centro_costo]],tblCECO[codigo],tblCECO[area],"(sin catálogo)"))</f>
        <v/>
      </c>
      <c r="W2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5" s="3">
        <f>IF(tblOrdenes[[#This Row],[centro_costo]]="","",_xlfn.XLOOKUP(tblOrdenes[[#This Row],[centro_costo]],tblCECO[codigo],tblCECO[coordinador],"(sin catálogo)"))</f>
        <v/>
      </c>
      <c r="Y265" s="3">
        <f>IF(tblOrdenes[[#This Row],[puesto_trabajo]]="","",_xlfn.XLOOKUP(tblOrdenes[[#This Row],[puesto_trabajo]],tblPuestos[codigo],tblPuestos[especialidad],"(sin catálogo)"))</f>
        <v/>
      </c>
      <c r="Z265" s="3">
        <f>IF(tblOrdenes[[#This Row],[cod_actividad]]="","",_xlfn.XLOOKUP(tblOrdenes[[#This Row],[cod_actividad]],tblActividades[codigo],tblActividades[descripcion],"(sin catálogo)"))</f>
        <v/>
      </c>
      <c r="AA265" s="13">
        <f>IF(tblOrdenes[[#This Row],[fecha_inicio]]="","",TODAY()-tblOrdenes[[#This Row],[fecha_inicio]])</f>
        <v/>
      </c>
      <c r="AB2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5" s="3">
        <f>IF(tblOrdenes[[#This Row],[backlog_habiles]]="","",IF(tblOrdenes[[#This Row],[backlog_habiles]]&lt;0,"FUTURO",IF(tblOrdenes[[#This Row],[backlog_habiles]]&gt;p_dias_backlog_max,"BACKLOG","MES CORRIENTE")))</f>
        <v/>
      </c>
      <c r="AD265" s="3">
        <f>IF(tblOrdenes[[#This Row],[backlog_habiles]]="",FALSE,AND(tblOrdenes[[#This Row],[backlog_habiles]]&gt;p_dias_backlog_min,tblOrdenes[[#This Row],[backlog_habiles]]&lt;=p_dias_backlog_max))</f>
        <v/>
      </c>
      <c r="AE265" s="6" t="n"/>
      <c r="AF2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5" s="11">
        <f>IF(tblOrdenes[[#This Row],[orden]]="","",_xlfn.XLOOKUP(tblOrdenes[[#This Row],[id_operacion]],tblEjecucion[id_operacion],tblEjecucion[precio],0))</f>
        <v/>
      </c>
      <c r="AJ265" s="11">
        <f>IF(tblOrdenes[[#This Row],[orden]]="","",MAX(0,_xlfn.XLOOKUP(tblOrdenes[[#This Row],[id_operacion]],tblEjecucion[id_operacion],tblEjecucion[costo_plan_total],0)-tblOrdenes[[#This Row],[costo_servicio]]))</f>
        <v/>
      </c>
      <c r="AK265" s="11">
        <f>IF(tblOrdenes[[#This Row],[orden]]="","",tblOrdenes[[#This Row],[costo_servicio]]+tblOrdenes[[#This Row],[costo_materiales]])</f>
        <v/>
      </c>
      <c r="AL265" s="6" t="n"/>
      <c r="AM265" s="6" t="n"/>
      <c r="AN265" s="6" t="n"/>
      <c r="AO265" s="3">
        <f>IF(tblOrdenes[[#This Row],[link_checklist]]="","",HYPERLINK(p_ruta_base_checklists&amp;tblOrdenes[[#This Row],[link_checklist]],"abrir"))</f>
        <v/>
      </c>
      <c r="AP265" s="6" t="n"/>
      <c r="AQ265" s="3">
        <f>IF(tblOrdenes[[#This Row],[orden]]="","",tblOrdenes[[#This Row],[orden]]&amp;IF(tblOrdenes[[#This Row],[operacion]]="","0010",tblOrdenes[[#This Row],[operacion]]))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2" t="n"/>
      <c r="K266" s="3" t="n"/>
      <c r="L266" s="11" t="n"/>
      <c r="M2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6" s="3">
        <f>IF(tblOrdenes[[#This Row],[fecha_inicio]]="","",YEAR(tblOrdenes[[#This Row],[fecha_inicio]]))</f>
        <v/>
      </c>
      <c r="Q266" s="3">
        <f>IF(tblOrdenes[[#This Row],[fecha_inicio]]="","",MONTH(tblOrdenes[[#This Row],[fecha_inicio]]))</f>
        <v/>
      </c>
      <c r="R266" s="3">
        <f>IF(tblOrdenes[[#This Row],[fecha_inicio]]="","",INDEX(lista_dias,WEEKDAY(tblOrdenes[[#This Row],[fecha_inicio]],2)))</f>
        <v/>
      </c>
      <c r="S2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6" s="3">
        <f>IF(tblOrdenes[[#This Row],[tipo_ot]]="","",_xlfn.XLOOKUP(tblOrdenes[[#This Row],[tipo_ot]],tblTiposOT[codigo],tblTiposOT[clasificacion],"sin_clasificar"))</f>
        <v/>
      </c>
      <c r="U266" s="3">
        <f>IF(tblOrdenes[[#This Row],[centro_costo]]="","",_xlfn.XLOOKUP(tblOrdenes[[#This Row],[centro_costo]],tblCECO[codigo],tblCECO[linea],"(sin catálogo)"))</f>
        <v/>
      </c>
      <c r="V266" s="3">
        <f>IF(tblOrdenes[[#This Row],[centro_costo]]="","",_xlfn.XLOOKUP(tblOrdenes[[#This Row],[centro_costo]],tblCECO[codigo],tblCECO[area],"(sin catálogo)"))</f>
        <v/>
      </c>
      <c r="W2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6" s="3">
        <f>IF(tblOrdenes[[#This Row],[centro_costo]]="","",_xlfn.XLOOKUP(tblOrdenes[[#This Row],[centro_costo]],tblCECO[codigo],tblCECO[coordinador],"(sin catálogo)"))</f>
        <v/>
      </c>
      <c r="Y266" s="3">
        <f>IF(tblOrdenes[[#This Row],[puesto_trabajo]]="","",_xlfn.XLOOKUP(tblOrdenes[[#This Row],[puesto_trabajo]],tblPuestos[codigo],tblPuestos[especialidad],"(sin catálogo)"))</f>
        <v/>
      </c>
      <c r="Z266" s="3">
        <f>IF(tblOrdenes[[#This Row],[cod_actividad]]="","",_xlfn.XLOOKUP(tblOrdenes[[#This Row],[cod_actividad]],tblActividades[codigo],tblActividades[descripcion],"(sin catálogo)"))</f>
        <v/>
      </c>
      <c r="AA266" s="13">
        <f>IF(tblOrdenes[[#This Row],[fecha_inicio]]="","",TODAY()-tblOrdenes[[#This Row],[fecha_inicio]])</f>
        <v/>
      </c>
      <c r="AB2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6" s="3">
        <f>IF(tblOrdenes[[#This Row],[backlog_habiles]]="","",IF(tblOrdenes[[#This Row],[backlog_habiles]]&lt;0,"FUTURO",IF(tblOrdenes[[#This Row],[backlog_habiles]]&gt;p_dias_backlog_max,"BACKLOG","MES CORRIENTE")))</f>
        <v/>
      </c>
      <c r="AD266" s="3">
        <f>IF(tblOrdenes[[#This Row],[backlog_habiles]]="",FALSE,AND(tblOrdenes[[#This Row],[backlog_habiles]]&gt;p_dias_backlog_min,tblOrdenes[[#This Row],[backlog_habiles]]&lt;=p_dias_backlog_max))</f>
        <v/>
      </c>
      <c r="AE266" s="6" t="n"/>
      <c r="AF2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6" s="11">
        <f>IF(tblOrdenes[[#This Row],[orden]]="","",_xlfn.XLOOKUP(tblOrdenes[[#This Row],[id_operacion]],tblEjecucion[id_operacion],tblEjecucion[precio],0))</f>
        <v/>
      </c>
      <c r="AJ266" s="11">
        <f>IF(tblOrdenes[[#This Row],[orden]]="","",MAX(0,_xlfn.XLOOKUP(tblOrdenes[[#This Row],[id_operacion]],tblEjecucion[id_operacion],tblEjecucion[costo_plan_total],0)-tblOrdenes[[#This Row],[costo_servicio]]))</f>
        <v/>
      </c>
      <c r="AK266" s="11">
        <f>IF(tblOrdenes[[#This Row],[orden]]="","",tblOrdenes[[#This Row],[costo_servicio]]+tblOrdenes[[#This Row],[costo_materiales]])</f>
        <v/>
      </c>
      <c r="AL266" s="6" t="n"/>
      <c r="AM266" s="6" t="n"/>
      <c r="AN266" s="6" t="n"/>
      <c r="AO266" s="3">
        <f>IF(tblOrdenes[[#This Row],[link_checklist]]="","",HYPERLINK(p_ruta_base_checklists&amp;tblOrdenes[[#This Row],[link_checklist]],"abrir"))</f>
        <v/>
      </c>
      <c r="AP266" s="6" t="n"/>
      <c r="AQ266" s="3">
        <f>IF(tblOrdenes[[#This Row],[orden]]="","",tblOrdenes[[#This Row],[orden]]&amp;IF(tblOrdenes[[#This Row],[operacion]]="","0010",tblOrdenes[[#This Row],[operacion]]))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2" t="n"/>
      <c r="K267" s="3" t="n"/>
      <c r="L267" s="11" t="n"/>
      <c r="M2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7" s="3">
        <f>IF(tblOrdenes[[#This Row],[fecha_inicio]]="","",YEAR(tblOrdenes[[#This Row],[fecha_inicio]]))</f>
        <v/>
      </c>
      <c r="Q267" s="3">
        <f>IF(tblOrdenes[[#This Row],[fecha_inicio]]="","",MONTH(tblOrdenes[[#This Row],[fecha_inicio]]))</f>
        <v/>
      </c>
      <c r="R267" s="3">
        <f>IF(tblOrdenes[[#This Row],[fecha_inicio]]="","",INDEX(lista_dias,WEEKDAY(tblOrdenes[[#This Row],[fecha_inicio]],2)))</f>
        <v/>
      </c>
      <c r="S2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7" s="3">
        <f>IF(tblOrdenes[[#This Row],[tipo_ot]]="","",_xlfn.XLOOKUP(tblOrdenes[[#This Row],[tipo_ot]],tblTiposOT[codigo],tblTiposOT[clasificacion],"sin_clasificar"))</f>
        <v/>
      </c>
      <c r="U267" s="3">
        <f>IF(tblOrdenes[[#This Row],[centro_costo]]="","",_xlfn.XLOOKUP(tblOrdenes[[#This Row],[centro_costo]],tblCECO[codigo],tblCECO[linea],"(sin catálogo)"))</f>
        <v/>
      </c>
      <c r="V267" s="3">
        <f>IF(tblOrdenes[[#This Row],[centro_costo]]="","",_xlfn.XLOOKUP(tblOrdenes[[#This Row],[centro_costo]],tblCECO[codigo],tblCECO[area],"(sin catálogo)"))</f>
        <v/>
      </c>
      <c r="W2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7" s="3">
        <f>IF(tblOrdenes[[#This Row],[centro_costo]]="","",_xlfn.XLOOKUP(tblOrdenes[[#This Row],[centro_costo]],tblCECO[codigo],tblCECO[coordinador],"(sin catálogo)"))</f>
        <v/>
      </c>
      <c r="Y267" s="3">
        <f>IF(tblOrdenes[[#This Row],[puesto_trabajo]]="","",_xlfn.XLOOKUP(tblOrdenes[[#This Row],[puesto_trabajo]],tblPuestos[codigo],tblPuestos[especialidad],"(sin catálogo)"))</f>
        <v/>
      </c>
      <c r="Z267" s="3">
        <f>IF(tblOrdenes[[#This Row],[cod_actividad]]="","",_xlfn.XLOOKUP(tblOrdenes[[#This Row],[cod_actividad]],tblActividades[codigo],tblActividades[descripcion],"(sin catálogo)"))</f>
        <v/>
      </c>
      <c r="AA267" s="13">
        <f>IF(tblOrdenes[[#This Row],[fecha_inicio]]="","",TODAY()-tblOrdenes[[#This Row],[fecha_inicio]])</f>
        <v/>
      </c>
      <c r="AB2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7" s="3">
        <f>IF(tblOrdenes[[#This Row],[backlog_habiles]]="","",IF(tblOrdenes[[#This Row],[backlog_habiles]]&lt;0,"FUTURO",IF(tblOrdenes[[#This Row],[backlog_habiles]]&gt;p_dias_backlog_max,"BACKLOG","MES CORRIENTE")))</f>
        <v/>
      </c>
      <c r="AD267" s="3">
        <f>IF(tblOrdenes[[#This Row],[backlog_habiles]]="",FALSE,AND(tblOrdenes[[#This Row],[backlog_habiles]]&gt;p_dias_backlog_min,tblOrdenes[[#This Row],[backlog_habiles]]&lt;=p_dias_backlog_max))</f>
        <v/>
      </c>
      <c r="AE267" s="6" t="n"/>
      <c r="AF2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7" s="11">
        <f>IF(tblOrdenes[[#This Row],[orden]]="","",_xlfn.XLOOKUP(tblOrdenes[[#This Row],[id_operacion]],tblEjecucion[id_operacion],tblEjecucion[precio],0))</f>
        <v/>
      </c>
      <c r="AJ267" s="11">
        <f>IF(tblOrdenes[[#This Row],[orden]]="","",MAX(0,_xlfn.XLOOKUP(tblOrdenes[[#This Row],[id_operacion]],tblEjecucion[id_operacion],tblEjecucion[costo_plan_total],0)-tblOrdenes[[#This Row],[costo_servicio]]))</f>
        <v/>
      </c>
      <c r="AK267" s="11">
        <f>IF(tblOrdenes[[#This Row],[orden]]="","",tblOrdenes[[#This Row],[costo_servicio]]+tblOrdenes[[#This Row],[costo_materiales]])</f>
        <v/>
      </c>
      <c r="AL267" s="6" t="n"/>
      <c r="AM267" s="6" t="n"/>
      <c r="AN267" s="6" t="n"/>
      <c r="AO267" s="3">
        <f>IF(tblOrdenes[[#This Row],[link_checklist]]="","",HYPERLINK(p_ruta_base_checklists&amp;tblOrdenes[[#This Row],[link_checklist]],"abrir"))</f>
        <v/>
      </c>
      <c r="AP267" s="6" t="n"/>
      <c r="AQ267" s="3">
        <f>IF(tblOrdenes[[#This Row],[orden]]="","",tblOrdenes[[#This Row],[orden]]&amp;IF(tblOrdenes[[#This Row],[operacion]]="","0010",tblOrdenes[[#This Row],[operacion]]))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2" t="n"/>
      <c r="K268" s="3" t="n"/>
      <c r="L268" s="11" t="n"/>
      <c r="M2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8" s="3">
        <f>IF(tblOrdenes[[#This Row],[fecha_inicio]]="","",YEAR(tblOrdenes[[#This Row],[fecha_inicio]]))</f>
        <v/>
      </c>
      <c r="Q268" s="3">
        <f>IF(tblOrdenes[[#This Row],[fecha_inicio]]="","",MONTH(tblOrdenes[[#This Row],[fecha_inicio]]))</f>
        <v/>
      </c>
      <c r="R268" s="3">
        <f>IF(tblOrdenes[[#This Row],[fecha_inicio]]="","",INDEX(lista_dias,WEEKDAY(tblOrdenes[[#This Row],[fecha_inicio]],2)))</f>
        <v/>
      </c>
      <c r="S2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8" s="3">
        <f>IF(tblOrdenes[[#This Row],[tipo_ot]]="","",_xlfn.XLOOKUP(tblOrdenes[[#This Row],[tipo_ot]],tblTiposOT[codigo],tblTiposOT[clasificacion],"sin_clasificar"))</f>
        <v/>
      </c>
      <c r="U268" s="3">
        <f>IF(tblOrdenes[[#This Row],[centro_costo]]="","",_xlfn.XLOOKUP(tblOrdenes[[#This Row],[centro_costo]],tblCECO[codigo],tblCECO[linea],"(sin catálogo)"))</f>
        <v/>
      </c>
      <c r="V268" s="3">
        <f>IF(tblOrdenes[[#This Row],[centro_costo]]="","",_xlfn.XLOOKUP(tblOrdenes[[#This Row],[centro_costo]],tblCECO[codigo],tblCECO[area],"(sin catálogo)"))</f>
        <v/>
      </c>
      <c r="W2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8" s="3">
        <f>IF(tblOrdenes[[#This Row],[centro_costo]]="","",_xlfn.XLOOKUP(tblOrdenes[[#This Row],[centro_costo]],tblCECO[codigo],tblCECO[coordinador],"(sin catálogo)"))</f>
        <v/>
      </c>
      <c r="Y268" s="3">
        <f>IF(tblOrdenes[[#This Row],[puesto_trabajo]]="","",_xlfn.XLOOKUP(tblOrdenes[[#This Row],[puesto_trabajo]],tblPuestos[codigo],tblPuestos[especialidad],"(sin catálogo)"))</f>
        <v/>
      </c>
      <c r="Z268" s="3">
        <f>IF(tblOrdenes[[#This Row],[cod_actividad]]="","",_xlfn.XLOOKUP(tblOrdenes[[#This Row],[cod_actividad]],tblActividades[codigo],tblActividades[descripcion],"(sin catálogo)"))</f>
        <v/>
      </c>
      <c r="AA268" s="13">
        <f>IF(tblOrdenes[[#This Row],[fecha_inicio]]="","",TODAY()-tblOrdenes[[#This Row],[fecha_inicio]])</f>
        <v/>
      </c>
      <c r="AB2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8" s="3">
        <f>IF(tblOrdenes[[#This Row],[backlog_habiles]]="","",IF(tblOrdenes[[#This Row],[backlog_habiles]]&lt;0,"FUTURO",IF(tblOrdenes[[#This Row],[backlog_habiles]]&gt;p_dias_backlog_max,"BACKLOG","MES CORRIENTE")))</f>
        <v/>
      </c>
      <c r="AD268" s="3">
        <f>IF(tblOrdenes[[#This Row],[backlog_habiles]]="",FALSE,AND(tblOrdenes[[#This Row],[backlog_habiles]]&gt;p_dias_backlog_min,tblOrdenes[[#This Row],[backlog_habiles]]&lt;=p_dias_backlog_max))</f>
        <v/>
      </c>
      <c r="AE268" s="6" t="n"/>
      <c r="AF2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8" s="11">
        <f>IF(tblOrdenes[[#This Row],[orden]]="","",_xlfn.XLOOKUP(tblOrdenes[[#This Row],[id_operacion]],tblEjecucion[id_operacion],tblEjecucion[precio],0))</f>
        <v/>
      </c>
      <c r="AJ268" s="11">
        <f>IF(tblOrdenes[[#This Row],[orden]]="","",MAX(0,_xlfn.XLOOKUP(tblOrdenes[[#This Row],[id_operacion]],tblEjecucion[id_operacion],tblEjecucion[costo_plan_total],0)-tblOrdenes[[#This Row],[costo_servicio]]))</f>
        <v/>
      </c>
      <c r="AK268" s="11">
        <f>IF(tblOrdenes[[#This Row],[orden]]="","",tblOrdenes[[#This Row],[costo_servicio]]+tblOrdenes[[#This Row],[costo_materiales]])</f>
        <v/>
      </c>
      <c r="AL268" s="6" t="n"/>
      <c r="AM268" s="6" t="n"/>
      <c r="AN268" s="6" t="n"/>
      <c r="AO268" s="3">
        <f>IF(tblOrdenes[[#This Row],[link_checklist]]="","",HYPERLINK(p_ruta_base_checklists&amp;tblOrdenes[[#This Row],[link_checklist]],"abrir"))</f>
        <v/>
      </c>
      <c r="AP268" s="6" t="n"/>
      <c r="AQ268" s="3">
        <f>IF(tblOrdenes[[#This Row],[orden]]="","",tblOrdenes[[#This Row],[orden]]&amp;IF(tblOrdenes[[#This Row],[operacion]]="","0010",tblOrdenes[[#This Row],[operacion]]))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2" t="n"/>
      <c r="K269" s="3" t="n"/>
      <c r="L269" s="11" t="n"/>
      <c r="M2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9" s="3">
        <f>IF(tblOrdenes[[#This Row],[fecha_inicio]]="","",YEAR(tblOrdenes[[#This Row],[fecha_inicio]]))</f>
        <v/>
      </c>
      <c r="Q269" s="3">
        <f>IF(tblOrdenes[[#This Row],[fecha_inicio]]="","",MONTH(tblOrdenes[[#This Row],[fecha_inicio]]))</f>
        <v/>
      </c>
      <c r="R269" s="3">
        <f>IF(tblOrdenes[[#This Row],[fecha_inicio]]="","",INDEX(lista_dias,WEEKDAY(tblOrdenes[[#This Row],[fecha_inicio]],2)))</f>
        <v/>
      </c>
      <c r="S2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9" s="3">
        <f>IF(tblOrdenes[[#This Row],[tipo_ot]]="","",_xlfn.XLOOKUP(tblOrdenes[[#This Row],[tipo_ot]],tblTiposOT[codigo],tblTiposOT[clasificacion],"sin_clasificar"))</f>
        <v/>
      </c>
      <c r="U269" s="3">
        <f>IF(tblOrdenes[[#This Row],[centro_costo]]="","",_xlfn.XLOOKUP(tblOrdenes[[#This Row],[centro_costo]],tblCECO[codigo],tblCECO[linea],"(sin catálogo)"))</f>
        <v/>
      </c>
      <c r="V269" s="3">
        <f>IF(tblOrdenes[[#This Row],[centro_costo]]="","",_xlfn.XLOOKUP(tblOrdenes[[#This Row],[centro_costo]],tblCECO[codigo],tblCECO[area],"(sin catálogo)"))</f>
        <v/>
      </c>
      <c r="W2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9" s="3">
        <f>IF(tblOrdenes[[#This Row],[centro_costo]]="","",_xlfn.XLOOKUP(tblOrdenes[[#This Row],[centro_costo]],tblCECO[codigo],tblCECO[coordinador],"(sin catálogo)"))</f>
        <v/>
      </c>
      <c r="Y269" s="3">
        <f>IF(tblOrdenes[[#This Row],[puesto_trabajo]]="","",_xlfn.XLOOKUP(tblOrdenes[[#This Row],[puesto_trabajo]],tblPuestos[codigo],tblPuestos[especialidad],"(sin catálogo)"))</f>
        <v/>
      </c>
      <c r="Z269" s="3">
        <f>IF(tblOrdenes[[#This Row],[cod_actividad]]="","",_xlfn.XLOOKUP(tblOrdenes[[#This Row],[cod_actividad]],tblActividades[codigo],tblActividades[descripcion],"(sin catálogo)"))</f>
        <v/>
      </c>
      <c r="AA269" s="13">
        <f>IF(tblOrdenes[[#This Row],[fecha_inicio]]="","",TODAY()-tblOrdenes[[#This Row],[fecha_inicio]])</f>
        <v/>
      </c>
      <c r="AB2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9" s="3">
        <f>IF(tblOrdenes[[#This Row],[backlog_habiles]]="","",IF(tblOrdenes[[#This Row],[backlog_habiles]]&lt;0,"FUTURO",IF(tblOrdenes[[#This Row],[backlog_habiles]]&gt;p_dias_backlog_max,"BACKLOG","MES CORRIENTE")))</f>
        <v/>
      </c>
      <c r="AD269" s="3">
        <f>IF(tblOrdenes[[#This Row],[backlog_habiles]]="",FALSE,AND(tblOrdenes[[#This Row],[backlog_habiles]]&gt;p_dias_backlog_min,tblOrdenes[[#This Row],[backlog_habiles]]&lt;=p_dias_backlog_max))</f>
        <v/>
      </c>
      <c r="AE269" s="6" t="n"/>
      <c r="AF2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9" s="11">
        <f>IF(tblOrdenes[[#This Row],[orden]]="","",_xlfn.XLOOKUP(tblOrdenes[[#This Row],[id_operacion]],tblEjecucion[id_operacion],tblEjecucion[precio],0))</f>
        <v/>
      </c>
      <c r="AJ269" s="11">
        <f>IF(tblOrdenes[[#This Row],[orden]]="","",MAX(0,_xlfn.XLOOKUP(tblOrdenes[[#This Row],[id_operacion]],tblEjecucion[id_operacion],tblEjecucion[costo_plan_total],0)-tblOrdenes[[#This Row],[costo_servicio]]))</f>
        <v/>
      </c>
      <c r="AK269" s="11">
        <f>IF(tblOrdenes[[#This Row],[orden]]="","",tblOrdenes[[#This Row],[costo_servicio]]+tblOrdenes[[#This Row],[costo_materiales]])</f>
        <v/>
      </c>
      <c r="AL269" s="6" t="n"/>
      <c r="AM269" s="6" t="n"/>
      <c r="AN269" s="6" t="n"/>
      <c r="AO269" s="3">
        <f>IF(tblOrdenes[[#This Row],[link_checklist]]="","",HYPERLINK(p_ruta_base_checklists&amp;tblOrdenes[[#This Row],[link_checklist]],"abrir"))</f>
        <v/>
      </c>
      <c r="AP269" s="6" t="n"/>
      <c r="AQ269" s="3">
        <f>IF(tblOrdenes[[#This Row],[orden]]="","",tblOrdenes[[#This Row],[orden]]&amp;IF(tblOrdenes[[#This Row],[operacion]]="","0010",tblOrdenes[[#This Row],[operacion]]))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2" t="n"/>
      <c r="K270" s="3" t="n"/>
      <c r="L270" s="11" t="n"/>
      <c r="M2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0" s="3">
        <f>IF(tblOrdenes[[#This Row],[fecha_inicio]]="","",YEAR(tblOrdenes[[#This Row],[fecha_inicio]]))</f>
        <v/>
      </c>
      <c r="Q270" s="3">
        <f>IF(tblOrdenes[[#This Row],[fecha_inicio]]="","",MONTH(tblOrdenes[[#This Row],[fecha_inicio]]))</f>
        <v/>
      </c>
      <c r="R270" s="3">
        <f>IF(tblOrdenes[[#This Row],[fecha_inicio]]="","",INDEX(lista_dias,WEEKDAY(tblOrdenes[[#This Row],[fecha_inicio]],2)))</f>
        <v/>
      </c>
      <c r="S2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0" s="3">
        <f>IF(tblOrdenes[[#This Row],[tipo_ot]]="","",_xlfn.XLOOKUP(tblOrdenes[[#This Row],[tipo_ot]],tblTiposOT[codigo],tblTiposOT[clasificacion],"sin_clasificar"))</f>
        <v/>
      </c>
      <c r="U270" s="3">
        <f>IF(tblOrdenes[[#This Row],[centro_costo]]="","",_xlfn.XLOOKUP(tblOrdenes[[#This Row],[centro_costo]],tblCECO[codigo],tblCECO[linea],"(sin catálogo)"))</f>
        <v/>
      </c>
      <c r="V270" s="3">
        <f>IF(tblOrdenes[[#This Row],[centro_costo]]="","",_xlfn.XLOOKUP(tblOrdenes[[#This Row],[centro_costo]],tblCECO[codigo],tblCECO[area],"(sin catálogo)"))</f>
        <v/>
      </c>
      <c r="W2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0" s="3">
        <f>IF(tblOrdenes[[#This Row],[centro_costo]]="","",_xlfn.XLOOKUP(tblOrdenes[[#This Row],[centro_costo]],tblCECO[codigo],tblCECO[coordinador],"(sin catálogo)"))</f>
        <v/>
      </c>
      <c r="Y270" s="3">
        <f>IF(tblOrdenes[[#This Row],[puesto_trabajo]]="","",_xlfn.XLOOKUP(tblOrdenes[[#This Row],[puesto_trabajo]],tblPuestos[codigo],tblPuestos[especialidad],"(sin catálogo)"))</f>
        <v/>
      </c>
      <c r="Z270" s="3">
        <f>IF(tblOrdenes[[#This Row],[cod_actividad]]="","",_xlfn.XLOOKUP(tblOrdenes[[#This Row],[cod_actividad]],tblActividades[codigo],tblActividades[descripcion],"(sin catálogo)"))</f>
        <v/>
      </c>
      <c r="AA270" s="13">
        <f>IF(tblOrdenes[[#This Row],[fecha_inicio]]="","",TODAY()-tblOrdenes[[#This Row],[fecha_inicio]])</f>
        <v/>
      </c>
      <c r="AB2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0" s="3">
        <f>IF(tblOrdenes[[#This Row],[backlog_habiles]]="","",IF(tblOrdenes[[#This Row],[backlog_habiles]]&lt;0,"FUTURO",IF(tblOrdenes[[#This Row],[backlog_habiles]]&gt;p_dias_backlog_max,"BACKLOG","MES CORRIENTE")))</f>
        <v/>
      </c>
      <c r="AD270" s="3">
        <f>IF(tblOrdenes[[#This Row],[backlog_habiles]]="",FALSE,AND(tblOrdenes[[#This Row],[backlog_habiles]]&gt;p_dias_backlog_min,tblOrdenes[[#This Row],[backlog_habiles]]&lt;=p_dias_backlog_max))</f>
        <v/>
      </c>
      <c r="AE270" s="6" t="n"/>
      <c r="AF2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0" s="11">
        <f>IF(tblOrdenes[[#This Row],[orden]]="","",_xlfn.XLOOKUP(tblOrdenes[[#This Row],[id_operacion]],tblEjecucion[id_operacion],tblEjecucion[precio],0))</f>
        <v/>
      </c>
      <c r="AJ270" s="11">
        <f>IF(tblOrdenes[[#This Row],[orden]]="","",MAX(0,_xlfn.XLOOKUP(tblOrdenes[[#This Row],[id_operacion]],tblEjecucion[id_operacion],tblEjecucion[costo_plan_total],0)-tblOrdenes[[#This Row],[costo_servicio]]))</f>
        <v/>
      </c>
      <c r="AK270" s="11">
        <f>IF(tblOrdenes[[#This Row],[orden]]="","",tblOrdenes[[#This Row],[costo_servicio]]+tblOrdenes[[#This Row],[costo_materiales]])</f>
        <v/>
      </c>
      <c r="AL270" s="6" t="n"/>
      <c r="AM270" s="6" t="n"/>
      <c r="AN270" s="6" t="n"/>
      <c r="AO270" s="3">
        <f>IF(tblOrdenes[[#This Row],[link_checklist]]="","",HYPERLINK(p_ruta_base_checklists&amp;tblOrdenes[[#This Row],[link_checklist]],"abrir"))</f>
        <v/>
      </c>
      <c r="AP270" s="6" t="n"/>
      <c r="AQ270" s="3">
        <f>IF(tblOrdenes[[#This Row],[orden]]="","",tblOrdenes[[#This Row],[orden]]&amp;IF(tblOrdenes[[#This Row],[operacion]]="","0010",tblOrdenes[[#This Row],[operacion]]))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2" t="n"/>
      <c r="K271" s="3" t="n"/>
      <c r="L271" s="11" t="n"/>
      <c r="M2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1" s="3">
        <f>IF(tblOrdenes[[#This Row],[fecha_inicio]]="","",YEAR(tblOrdenes[[#This Row],[fecha_inicio]]))</f>
        <v/>
      </c>
      <c r="Q271" s="3">
        <f>IF(tblOrdenes[[#This Row],[fecha_inicio]]="","",MONTH(tblOrdenes[[#This Row],[fecha_inicio]]))</f>
        <v/>
      </c>
      <c r="R271" s="3">
        <f>IF(tblOrdenes[[#This Row],[fecha_inicio]]="","",INDEX(lista_dias,WEEKDAY(tblOrdenes[[#This Row],[fecha_inicio]],2)))</f>
        <v/>
      </c>
      <c r="S2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1" s="3">
        <f>IF(tblOrdenes[[#This Row],[tipo_ot]]="","",_xlfn.XLOOKUP(tblOrdenes[[#This Row],[tipo_ot]],tblTiposOT[codigo],tblTiposOT[clasificacion],"sin_clasificar"))</f>
        <v/>
      </c>
      <c r="U271" s="3">
        <f>IF(tblOrdenes[[#This Row],[centro_costo]]="","",_xlfn.XLOOKUP(tblOrdenes[[#This Row],[centro_costo]],tblCECO[codigo],tblCECO[linea],"(sin catálogo)"))</f>
        <v/>
      </c>
      <c r="V271" s="3">
        <f>IF(tblOrdenes[[#This Row],[centro_costo]]="","",_xlfn.XLOOKUP(tblOrdenes[[#This Row],[centro_costo]],tblCECO[codigo],tblCECO[area],"(sin catálogo)"))</f>
        <v/>
      </c>
      <c r="W2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1" s="3">
        <f>IF(tblOrdenes[[#This Row],[centro_costo]]="","",_xlfn.XLOOKUP(tblOrdenes[[#This Row],[centro_costo]],tblCECO[codigo],tblCECO[coordinador],"(sin catálogo)"))</f>
        <v/>
      </c>
      <c r="Y271" s="3">
        <f>IF(tblOrdenes[[#This Row],[puesto_trabajo]]="","",_xlfn.XLOOKUP(tblOrdenes[[#This Row],[puesto_trabajo]],tblPuestos[codigo],tblPuestos[especialidad],"(sin catálogo)"))</f>
        <v/>
      </c>
      <c r="Z271" s="3">
        <f>IF(tblOrdenes[[#This Row],[cod_actividad]]="","",_xlfn.XLOOKUP(tblOrdenes[[#This Row],[cod_actividad]],tblActividades[codigo],tblActividades[descripcion],"(sin catálogo)"))</f>
        <v/>
      </c>
      <c r="AA271" s="13">
        <f>IF(tblOrdenes[[#This Row],[fecha_inicio]]="","",TODAY()-tblOrdenes[[#This Row],[fecha_inicio]])</f>
        <v/>
      </c>
      <c r="AB2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1" s="3">
        <f>IF(tblOrdenes[[#This Row],[backlog_habiles]]="","",IF(tblOrdenes[[#This Row],[backlog_habiles]]&lt;0,"FUTURO",IF(tblOrdenes[[#This Row],[backlog_habiles]]&gt;p_dias_backlog_max,"BACKLOG","MES CORRIENTE")))</f>
        <v/>
      </c>
      <c r="AD271" s="3">
        <f>IF(tblOrdenes[[#This Row],[backlog_habiles]]="",FALSE,AND(tblOrdenes[[#This Row],[backlog_habiles]]&gt;p_dias_backlog_min,tblOrdenes[[#This Row],[backlog_habiles]]&lt;=p_dias_backlog_max))</f>
        <v/>
      </c>
      <c r="AE271" s="6" t="n"/>
      <c r="AF2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1" s="11">
        <f>IF(tblOrdenes[[#This Row],[orden]]="","",_xlfn.XLOOKUP(tblOrdenes[[#This Row],[id_operacion]],tblEjecucion[id_operacion],tblEjecucion[precio],0))</f>
        <v/>
      </c>
      <c r="AJ271" s="11">
        <f>IF(tblOrdenes[[#This Row],[orden]]="","",MAX(0,_xlfn.XLOOKUP(tblOrdenes[[#This Row],[id_operacion]],tblEjecucion[id_operacion],tblEjecucion[costo_plan_total],0)-tblOrdenes[[#This Row],[costo_servicio]]))</f>
        <v/>
      </c>
      <c r="AK271" s="11">
        <f>IF(tblOrdenes[[#This Row],[orden]]="","",tblOrdenes[[#This Row],[costo_servicio]]+tblOrdenes[[#This Row],[costo_materiales]])</f>
        <v/>
      </c>
      <c r="AL271" s="6" t="n"/>
      <c r="AM271" s="6" t="n"/>
      <c r="AN271" s="6" t="n"/>
      <c r="AO271" s="3">
        <f>IF(tblOrdenes[[#This Row],[link_checklist]]="","",HYPERLINK(p_ruta_base_checklists&amp;tblOrdenes[[#This Row],[link_checklist]],"abrir"))</f>
        <v/>
      </c>
      <c r="AP271" s="6" t="n"/>
      <c r="AQ271" s="3">
        <f>IF(tblOrdenes[[#This Row],[orden]]="","",tblOrdenes[[#This Row],[orden]]&amp;IF(tblOrdenes[[#This Row],[operacion]]="","0010",tblOrdenes[[#This Row],[operacion]]))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2" t="n"/>
      <c r="K272" s="3" t="n"/>
      <c r="L272" s="11" t="n"/>
      <c r="M2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2" s="3">
        <f>IF(tblOrdenes[[#This Row],[fecha_inicio]]="","",YEAR(tblOrdenes[[#This Row],[fecha_inicio]]))</f>
        <v/>
      </c>
      <c r="Q272" s="3">
        <f>IF(tblOrdenes[[#This Row],[fecha_inicio]]="","",MONTH(tblOrdenes[[#This Row],[fecha_inicio]]))</f>
        <v/>
      </c>
      <c r="R272" s="3">
        <f>IF(tblOrdenes[[#This Row],[fecha_inicio]]="","",INDEX(lista_dias,WEEKDAY(tblOrdenes[[#This Row],[fecha_inicio]],2)))</f>
        <v/>
      </c>
      <c r="S2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2" s="3">
        <f>IF(tblOrdenes[[#This Row],[tipo_ot]]="","",_xlfn.XLOOKUP(tblOrdenes[[#This Row],[tipo_ot]],tblTiposOT[codigo],tblTiposOT[clasificacion],"sin_clasificar"))</f>
        <v/>
      </c>
      <c r="U272" s="3">
        <f>IF(tblOrdenes[[#This Row],[centro_costo]]="","",_xlfn.XLOOKUP(tblOrdenes[[#This Row],[centro_costo]],tblCECO[codigo],tblCECO[linea],"(sin catálogo)"))</f>
        <v/>
      </c>
      <c r="V272" s="3">
        <f>IF(tblOrdenes[[#This Row],[centro_costo]]="","",_xlfn.XLOOKUP(tblOrdenes[[#This Row],[centro_costo]],tblCECO[codigo],tblCECO[area],"(sin catálogo)"))</f>
        <v/>
      </c>
      <c r="W2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2" s="3">
        <f>IF(tblOrdenes[[#This Row],[centro_costo]]="","",_xlfn.XLOOKUP(tblOrdenes[[#This Row],[centro_costo]],tblCECO[codigo],tblCECO[coordinador],"(sin catálogo)"))</f>
        <v/>
      </c>
      <c r="Y272" s="3">
        <f>IF(tblOrdenes[[#This Row],[puesto_trabajo]]="","",_xlfn.XLOOKUP(tblOrdenes[[#This Row],[puesto_trabajo]],tblPuestos[codigo],tblPuestos[especialidad],"(sin catálogo)"))</f>
        <v/>
      </c>
      <c r="Z272" s="3">
        <f>IF(tblOrdenes[[#This Row],[cod_actividad]]="","",_xlfn.XLOOKUP(tblOrdenes[[#This Row],[cod_actividad]],tblActividades[codigo],tblActividades[descripcion],"(sin catálogo)"))</f>
        <v/>
      </c>
      <c r="AA272" s="13">
        <f>IF(tblOrdenes[[#This Row],[fecha_inicio]]="","",TODAY()-tblOrdenes[[#This Row],[fecha_inicio]])</f>
        <v/>
      </c>
      <c r="AB2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2" s="3">
        <f>IF(tblOrdenes[[#This Row],[backlog_habiles]]="","",IF(tblOrdenes[[#This Row],[backlog_habiles]]&lt;0,"FUTURO",IF(tblOrdenes[[#This Row],[backlog_habiles]]&gt;p_dias_backlog_max,"BACKLOG","MES CORRIENTE")))</f>
        <v/>
      </c>
      <c r="AD272" s="3">
        <f>IF(tblOrdenes[[#This Row],[backlog_habiles]]="",FALSE,AND(tblOrdenes[[#This Row],[backlog_habiles]]&gt;p_dias_backlog_min,tblOrdenes[[#This Row],[backlog_habiles]]&lt;=p_dias_backlog_max))</f>
        <v/>
      </c>
      <c r="AE272" s="6" t="n"/>
      <c r="AF2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2" s="11">
        <f>IF(tblOrdenes[[#This Row],[orden]]="","",_xlfn.XLOOKUP(tblOrdenes[[#This Row],[id_operacion]],tblEjecucion[id_operacion],tblEjecucion[precio],0))</f>
        <v/>
      </c>
      <c r="AJ272" s="11">
        <f>IF(tblOrdenes[[#This Row],[orden]]="","",MAX(0,_xlfn.XLOOKUP(tblOrdenes[[#This Row],[id_operacion]],tblEjecucion[id_operacion],tblEjecucion[costo_plan_total],0)-tblOrdenes[[#This Row],[costo_servicio]]))</f>
        <v/>
      </c>
      <c r="AK272" s="11">
        <f>IF(tblOrdenes[[#This Row],[orden]]="","",tblOrdenes[[#This Row],[costo_servicio]]+tblOrdenes[[#This Row],[costo_materiales]])</f>
        <v/>
      </c>
      <c r="AL272" s="6" t="n"/>
      <c r="AM272" s="6" t="n"/>
      <c r="AN272" s="6" t="n"/>
      <c r="AO272" s="3">
        <f>IF(tblOrdenes[[#This Row],[link_checklist]]="","",HYPERLINK(p_ruta_base_checklists&amp;tblOrdenes[[#This Row],[link_checklist]],"abrir"))</f>
        <v/>
      </c>
      <c r="AP272" s="6" t="n"/>
      <c r="AQ272" s="3">
        <f>IF(tblOrdenes[[#This Row],[orden]]="","",tblOrdenes[[#This Row],[orden]]&amp;IF(tblOrdenes[[#This Row],[operacion]]="","0010",tblOrdenes[[#This Row],[operacion]]))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2" t="n"/>
      <c r="K273" s="3" t="n"/>
      <c r="L273" s="11" t="n"/>
      <c r="M2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3" s="3">
        <f>IF(tblOrdenes[[#This Row],[fecha_inicio]]="","",YEAR(tblOrdenes[[#This Row],[fecha_inicio]]))</f>
        <v/>
      </c>
      <c r="Q273" s="3">
        <f>IF(tblOrdenes[[#This Row],[fecha_inicio]]="","",MONTH(tblOrdenes[[#This Row],[fecha_inicio]]))</f>
        <v/>
      </c>
      <c r="R273" s="3">
        <f>IF(tblOrdenes[[#This Row],[fecha_inicio]]="","",INDEX(lista_dias,WEEKDAY(tblOrdenes[[#This Row],[fecha_inicio]],2)))</f>
        <v/>
      </c>
      <c r="S2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3" s="3">
        <f>IF(tblOrdenes[[#This Row],[tipo_ot]]="","",_xlfn.XLOOKUP(tblOrdenes[[#This Row],[tipo_ot]],tblTiposOT[codigo],tblTiposOT[clasificacion],"sin_clasificar"))</f>
        <v/>
      </c>
      <c r="U273" s="3">
        <f>IF(tblOrdenes[[#This Row],[centro_costo]]="","",_xlfn.XLOOKUP(tblOrdenes[[#This Row],[centro_costo]],tblCECO[codigo],tblCECO[linea],"(sin catálogo)"))</f>
        <v/>
      </c>
      <c r="V273" s="3">
        <f>IF(tblOrdenes[[#This Row],[centro_costo]]="","",_xlfn.XLOOKUP(tblOrdenes[[#This Row],[centro_costo]],tblCECO[codigo],tblCECO[area],"(sin catálogo)"))</f>
        <v/>
      </c>
      <c r="W2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3" s="3">
        <f>IF(tblOrdenes[[#This Row],[centro_costo]]="","",_xlfn.XLOOKUP(tblOrdenes[[#This Row],[centro_costo]],tblCECO[codigo],tblCECO[coordinador],"(sin catálogo)"))</f>
        <v/>
      </c>
      <c r="Y273" s="3">
        <f>IF(tblOrdenes[[#This Row],[puesto_trabajo]]="","",_xlfn.XLOOKUP(tblOrdenes[[#This Row],[puesto_trabajo]],tblPuestos[codigo],tblPuestos[especialidad],"(sin catálogo)"))</f>
        <v/>
      </c>
      <c r="Z273" s="3">
        <f>IF(tblOrdenes[[#This Row],[cod_actividad]]="","",_xlfn.XLOOKUP(tblOrdenes[[#This Row],[cod_actividad]],tblActividades[codigo],tblActividades[descripcion],"(sin catálogo)"))</f>
        <v/>
      </c>
      <c r="AA273" s="13">
        <f>IF(tblOrdenes[[#This Row],[fecha_inicio]]="","",TODAY()-tblOrdenes[[#This Row],[fecha_inicio]])</f>
        <v/>
      </c>
      <c r="AB2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3" s="3">
        <f>IF(tblOrdenes[[#This Row],[backlog_habiles]]="","",IF(tblOrdenes[[#This Row],[backlog_habiles]]&lt;0,"FUTURO",IF(tblOrdenes[[#This Row],[backlog_habiles]]&gt;p_dias_backlog_max,"BACKLOG","MES CORRIENTE")))</f>
        <v/>
      </c>
      <c r="AD273" s="3">
        <f>IF(tblOrdenes[[#This Row],[backlog_habiles]]="",FALSE,AND(tblOrdenes[[#This Row],[backlog_habiles]]&gt;p_dias_backlog_min,tblOrdenes[[#This Row],[backlog_habiles]]&lt;=p_dias_backlog_max))</f>
        <v/>
      </c>
      <c r="AE273" s="6" t="n"/>
      <c r="AF2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3" s="11">
        <f>IF(tblOrdenes[[#This Row],[orden]]="","",_xlfn.XLOOKUP(tblOrdenes[[#This Row],[id_operacion]],tblEjecucion[id_operacion],tblEjecucion[precio],0))</f>
        <v/>
      </c>
      <c r="AJ273" s="11">
        <f>IF(tblOrdenes[[#This Row],[orden]]="","",MAX(0,_xlfn.XLOOKUP(tblOrdenes[[#This Row],[id_operacion]],tblEjecucion[id_operacion],tblEjecucion[costo_plan_total],0)-tblOrdenes[[#This Row],[costo_servicio]]))</f>
        <v/>
      </c>
      <c r="AK273" s="11">
        <f>IF(tblOrdenes[[#This Row],[orden]]="","",tblOrdenes[[#This Row],[costo_servicio]]+tblOrdenes[[#This Row],[costo_materiales]])</f>
        <v/>
      </c>
      <c r="AL273" s="6" t="n"/>
      <c r="AM273" s="6" t="n"/>
      <c r="AN273" s="6" t="n"/>
      <c r="AO273" s="3">
        <f>IF(tblOrdenes[[#This Row],[link_checklist]]="","",HYPERLINK(p_ruta_base_checklists&amp;tblOrdenes[[#This Row],[link_checklist]],"abrir"))</f>
        <v/>
      </c>
      <c r="AP273" s="6" t="n"/>
      <c r="AQ273" s="3">
        <f>IF(tblOrdenes[[#This Row],[orden]]="","",tblOrdenes[[#This Row],[orden]]&amp;IF(tblOrdenes[[#This Row],[operacion]]="","0010",tblOrdenes[[#This Row],[operacion]]))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2" t="n"/>
      <c r="K274" s="3" t="n"/>
      <c r="L274" s="11" t="n"/>
      <c r="M2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4" s="3">
        <f>IF(tblOrdenes[[#This Row],[fecha_inicio]]="","",YEAR(tblOrdenes[[#This Row],[fecha_inicio]]))</f>
        <v/>
      </c>
      <c r="Q274" s="3">
        <f>IF(tblOrdenes[[#This Row],[fecha_inicio]]="","",MONTH(tblOrdenes[[#This Row],[fecha_inicio]]))</f>
        <v/>
      </c>
      <c r="R274" s="3">
        <f>IF(tblOrdenes[[#This Row],[fecha_inicio]]="","",INDEX(lista_dias,WEEKDAY(tblOrdenes[[#This Row],[fecha_inicio]],2)))</f>
        <v/>
      </c>
      <c r="S2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4" s="3">
        <f>IF(tblOrdenes[[#This Row],[tipo_ot]]="","",_xlfn.XLOOKUP(tblOrdenes[[#This Row],[tipo_ot]],tblTiposOT[codigo],tblTiposOT[clasificacion],"sin_clasificar"))</f>
        <v/>
      </c>
      <c r="U274" s="3">
        <f>IF(tblOrdenes[[#This Row],[centro_costo]]="","",_xlfn.XLOOKUP(tblOrdenes[[#This Row],[centro_costo]],tblCECO[codigo],tblCECO[linea],"(sin catálogo)"))</f>
        <v/>
      </c>
      <c r="V274" s="3">
        <f>IF(tblOrdenes[[#This Row],[centro_costo]]="","",_xlfn.XLOOKUP(tblOrdenes[[#This Row],[centro_costo]],tblCECO[codigo],tblCECO[area],"(sin catálogo)"))</f>
        <v/>
      </c>
      <c r="W2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4" s="3">
        <f>IF(tblOrdenes[[#This Row],[centro_costo]]="","",_xlfn.XLOOKUP(tblOrdenes[[#This Row],[centro_costo]],tblCECO[codigo],tblCECO[coordinador],"(sin catálogo)"))</f>
        <v/>
      </c>
      <c r="Y274" s="3">
        <f>IF(tblOrdenes[[#This Row],[puesto_trabajo]]="","",_xlfn.XLOOKUP(tblOrdenes[[#This Row],[puesto_trabajo]],tblPuestos[codigo],tblPuestos[especialidad],"(sin catálogo)"))</f>
        <v/>
      </c>
      <c r="Z274" s="3">
        <f>IF(tblOrdenes[[#This Row],[cod_actividad]]="","",_xlfn.XLOOKUP(tblOrdenes[[#This Row],[cod_actividad]],tblActividades[codigo],tblActividades[descripcion],"(sin catálogo)"))</f>
        <v/>
      </c>
      <c r="AA274" s="13">
        <f>IF(tblOrdenes[[#This Row],[fecha_inicio]]="","",TODAY()-tblOrdenes[[#This Row],[fecha_inicio]])</f>
        <v/>
      </c>
      <c r="AB2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4" s="3">
        <f>IF(tblOrdenes[[#This Row],[backlog_habiles]]="","",IF(tblOrdenes[[#This Row],[backlog_habiles]]&lt;0,"FUTURO",IF(tblOrdenes[[#This Row],[backlog_habiles]]&gt;p_dias_backlog_max,"BACKLOG","MES CORRIENTE")))</f>
        <v/>
      </c>
      <c r="AD274" s="3">
        <f>IF(tblOrdenes[[#This Row],[backlog_habiles]]="",FALSE,AND(tblOrdenes[[#This Row],[backlog_habiles]]&gt;p_dias_backlog_min,tblOrdenes[[#This Row],[backlog_habiles]]&lt;=p_dias_backlog_max))</f>
        <v/>
      </c>
      <c r="AE274" s="6" t="n"/>
      <c r="AF2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4" s="11">
        <f>IF(tblOrdenes[[#This Row],[orden]]="","",_xlfn.XLOOKUP(tblOrdenes[[#This Row],[id_operacion]],tblEjecucion[id_operacion],tblEjecucion[precio],0))</f>
        <v/>
      </c>
      <c r="AJ274" s="11">
        <f>IF(tblOrdenes[[#This Row],[orden]]="","",MAX(0,_xlfn.XLOOKUP(tblOrdenes[[#This Row],[id_operacion]],tblEjecucion[id_operacion],tblEjecucion[costo_plan_total],0)-tblOrdenes[[#This Row],[costo_servicio]]))</f>
        <v/>
      </c>
      <c r="AK274" s="11">
        <f>IF(tblOrdenes[[#This Row],[orden]]="","",tblOrdenes[[#This Row],[costo_servicio]]+tblOrdenes[[#This Row],[costo_materiales]])</f>
        <v/>
      </c>
      <c r="AL274" s="6" t="n"/>
      <c r="AM274" s="6" t="n"/>
      <c r="AN274" s="6" t="n"/>
      <c r="AO274" s="3">
        <f>IF(tblOrdenes[[#This Row],[link_checklist]]="","",HYPERLINK(p_ruta_base_checklists&amp;tblOrdenes[[#This Row],[link_checklist]],"abrir"))</f>
        <v/>
      </c>
      <c r="AP274" s="6" t="n"/>
      <c r="AQ274" s="3">
        <f>IF(tblOrdenes[[#This Row],[orden]]="","",tblOrdenes[[#This Row],[orden]]&amp;IF(tblOrdenes[[#This Row],[operacion]]="","0010",tblOrdenes[[#This Row],[operacion]]))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2" t="n"/>
      <c r="K275" s="3" t="n"/>
      <c r="L275" s="11" t="n"/>
      <c r="M2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5" s="3">
        <f>IF(tblOrdenes[[#This Row],[fecha_inicio]]="","",YEAR(tblOrdenes[[#This Row],[fecha_inicio]]))</f>
        <v/>
      </c>
      <c r="Q275" s="3">
        <f>IF(tblOrdenes[[#This Row],[fecha_inicio]]="","",MONTH(tblOrdenes[[#This Row],[fecha_inicio]]))</f>
        <v/>
      </c>
      <c r="R275" s="3">
        <f>IF(tblOrdenes[[#This Row],[fecha_inicio]]="","",INDEX(lista_dias,WEEKDAY(tblOrdenes[[#This Row],[fecha_inicio]],2)))</f>
        <v/>
      </c>
      <c r="S2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5" s="3">
        <f>IF(tblOrdenes[[#This Row],[tipo_ot]]="","",_xlfn.XLOOKUP(tblOrdenes[[#This Row],[tipo_ot]],tblTiposOT[codigo],tblTiposOT[clasificacion],"sin_clasificar"))</f>
        <v/>
      </c>
      <c r="U275" s="3">
        <f>IF(tblOrdenes[[#This Row],[centro_costo]]="","",_xlfn.XLOOKUP(tblOrdenes[[#This Row],[centro_costo]],tblCECO[codigo],tblCECO[linea],"(sin catálogo)"))</f>
        <v/>
      </c>
      <c r="V275" s="3">
        <f>IF(tblOrdenes[[#This Row],[centro_costo]]="","",_xlfn.XLOOKUP(tblOrdenes[[#This Row],[centro_costo]],tblCECO[codigo],tblCECO[area],"(sin catálogo)"))</f>
        <v/>
      </c>
      <c r="W2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5" s="3">
        <f>IF(tblOrdenes[[#This Row],[centro_costo]]="","",_xlfn.XLOOKUP(tblOrdenes[[#This Row],[centro_costo]],tblCECO[codigo],tblCECO[coordinador],"(sin catálogo)"))</f>
        <v/>
      </c>
      <c r="Y275" s="3">
        <f>IF(tblOrdenes[[#This Row],[puesto_trabajo]]="","",_xlfn.XLOOKUP(tblOrdenes[[#This Row],[puesto_trabajo]],tblPuestos[codigo],tblPuestos[especialidad],"(sin catálogo)"))</f>
        <v/>
      </c>
      <c r="Z275" s="3">
        <f>IF(tblOrdenes[[#This Row],[cod_actividad]]="","",_xlfn.XLOOKUP(tblOrdenes[[#This Row],[cod_actividad]],tblActividades[codigo],tblActividades[descripcion],"(sin catálogo)"))</f>
        <v/>
      </c>
      <c r="AA275" s="13">
        <f>IF(tblOrdenes[[#This Row],[fecha_inicio]]="","",TODAY()-tblOrdenes[[#This Row],[fecha_inicio]])</f>
        <v/>
      </c>
      <c r="AB2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5" s="3">
        <f>IF(tblOrdenes[[#This Row],[backlog_habiles]]="","",IF(tblOrdenes[[#This Row],[backlog_habiles]]&lt;0,"FUTURO",IF(tblOrdenes[[#This Row],[backlog_habiles]]&gt;p_dias_backlog_max,"BACKLOG","MES CORRIENTE")))</f>
        <v/>
      </c>
      <c r="AD275" s="3">
        <f>IF(tblOrdenes[[#This Row],[backlog_habiles]]="",FALSE,AND(tblOrdenes[[#This Row],[backlog_habiles]]&gt;p_dias_backlog_min,tblOrdenes[[#This Row],[backlog_habiles]]&lt;=p_dias_backlog_max))</f>
        <v/>
      </c>
      <c r="AE275" s="6" t="n"/>
      <c r="AF2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5" s="11">
        <f>IF(tblOrdenes[[#This Row],[orden]]="","",_xlfn.XLOOKUP(tblOrdenes[[#This Row],[id_operacion]],tblEjecucion[id_operacion],tblEjecucion[precio],0))</f>
        <v/>
      </c>
      <c r="AJ275" s="11">
        <f>IF(tblOrdenes[[#This Row],[orden]]="","",MAX(0,_xlfn.XLOOKUP(tblOrdenes[[#This Row],[id_operacion]],tblEjecucion[id_operacion],tblEjecucion[costo_plan_total],0)-tblOrdenes[[#This Row],[costo_servicio]]))</f>
        <v/>
      </c>
      <c r="AK275" s="11">
        <f>IF(tblOrdenes[[#This Row],[orden]]="","",tblOrdenes[[#This Row],[costo_servicio]]+tblOrdenes[[#This Row],[costo_materiales]])</f>
        <v/>
      </c>
      <c r="AL275" s="6" t="n"/>
      <c r="AM275" s="6" t="n"/>
      <c r="AN275" s="6" t="n"/>
      <c r="AO275" s="3">
        <f>IF(tblOrdenes[[#This Row],[link_checklist]]="","",HYPERLINK(p_ruta_base_checklists&amp;tblOrdenes[[#This Row],[link_checklist]],"abrir"))</f>
        <v/>
      </c>
      <c r="AP275" s="6" t="n"/>
      <c r="AQ275" s="3">
        <f>IF(tblOrdenes[[#This Row],[orden]]="","",tblOrdenes[[#This Row],[orden]]&amp;IF(tblOrdenes[[#This Row],[operacion]]="","0010",tblOrdenes[[#This Row],[operacion]]))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2" t="n"/>
      <c r="K276" s="3" t="n"/>
      <c r="L276" s="11" t="n"/>
      <c r="M2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6" s="3">
        <f>IF(tblOrdenes[[#This Row],[fecha_inicio]]="","",YEAR(tblOrdenes[[#This Row],[fecha_inicio]]))</f>
        <v/>
      </c>
      <c r="Q276" s="3">
        <f>IF(tblOrdenes[[#This Row],[fecha_inicio]]="","",MONTH(tblOrdenes[[#This Row],[fecha_inicio]]))</f>
        <v/>
      </c>
      <c r="R276" s="3">
        <f>IF(tblOrdenes[[#This Row],[fecha_inicio]]="","",INDEX(lista_dias,WEEKDAY(tblOrdenes[[#This Row],[fecha_inicio]],2)))</f>
        <v/>
      </c>
      <c r="S2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6" s="3">
        <f>IF(tblOrdenes[[#This Row],[tipo_ot]]="","",_xlfn.XLOOKUP(tblOrdenes[[#This Row],[tipo_ot]],tblTiposOT[codigo],tblTiposOT[clasificacion],"sin_clasificar"))</f>
        <v/>
      </c>
      <c r="U276" s="3">
        <f>IF(tblOrdenes[[#This Row],[centro_costo]]="","",_xlfn.XLOOKUP(tblOrdenes[[#This Row],[centro_costo]],tblCECO[codigo],tblCECO[linea],"(sin catálogo)"))</f>
        <v/>
      </c>
      <c r="V276" s="3">
        <f>IF(tblOrdenes[[#This Row],[centro_costo]]="","",_xlfn.XLOOKUP(tblOrdenes[[#This Row],[centro_costo]],tblCECO[codigo],tblCECO[area],"(sin catálogo)"))</f>
        <v/>
      </c>
      <c r="W2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6" s="3">
        <f>IF(tblOrdenes[[#This Row],[centro_costo]]="","",_xlfn.XLOOKUP(tblOrdenes[[#This Row],[centro_costo]],tblCECO[codigo],tblCECO[coordinador],"(sin catálogo)"))</f>
        <v/>
      </c>
      <c r="Y276" s="3">
        <f>IF(tblOrdenes[[#This Row],[puesto_trabajo]]="","",_xlfn.XLOOKUP(tblOrdenes[[#This Row],[puesto_trabajo]],tblPuestos[codigo],tblPuestos[especialidad],"(sin catálogo)"))</f>
        <v/>
      </c>
      <c r="Z276" s="3">
        <f>IF(tblOrdenes[[#This Row],[cod_actividad]]="","",_xlfn.XLOOKUP(tblOrdenes[[#This Row],[cod_actividad]],tblActividades[codigo],tblActividades[descripcion],"(sin catálogo)"))</f>
        <v/>
      </c>
      <c r="AA276" s="13">
        <f>IF(tblOrdenes[[#This Row],[fecha_inicio]]="","",TODAY()-tblOrdenes[[#This Row],[fecha_inicio]])</f>
        <v/>
      </c>
      <c r="AB2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6" s="3">
        <f>IF(tblOrdenes[[#This Row],[backlog_habiles]]="","",IF(tblOrdenes[[#This Row],[backlog_habiles]]&lt;0,"FUTURO",IF(tblOrdenes[[#This Row],[backlog_habiles]]&gt;p_dias_backlog_max,"BACKLOG","MES CORRIENTE")))</f>
        <v/>
      </c>
      <c r="AD276" s="3">
        <f>IF(tblOrdenes[[#This Row],[backlog_habiles]]="",FALSE,AND(tblOrdenes[[#This Row],[backlog_habiles]]&gt;p_dias_backlog_min,tblOrdenes[[#This Row],[backlog_habiles]]&lt;=p_dias_backlog_max))</f>
        <v/>
      </c>
      <c r="AE276" s="6" t="n"/>
      <c r="AF2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6" s="11">
        <f>IF(tblOrdenes[[#This Row],[orden]]="","",_xlfn.XLOOKUP(tblOrdenes[[#This Row],[id_operacion]],tblEjecucion[id_operacion],tblEjecucion[precio],0))</f>
        <v/>
      </c>
      <c r="AJ276" s="11">
        <f>IF(tblOrdenes[[#This Row],[orden]]="","",MAX(0,_xlfn.XLOOKUP(tblOrdenes[[#This Row],[id_operacion]],tblEjecucion[id_operacion],tblEjecucion[costo_plan_total],0)-tblOrdenes[[#This Row],[costo_servicio]]))</f>
        <v/>
      </c>
      <c r="AK276" s="11">
        <f>IF(tblOrdenes[[#This Row],[orden]]="","",tblOrdenes[[#This Row],[costo_servicio]]+tblOrdenes[[#This Row],[costo_materiales]])</f>
        <v/>
      </c>
      <c r="AL276" s="6" t="n"/>
      <c r="AM276" s="6" t="n"/>
      <c r="AN276" s="6" t="n"/>
      <c r="AO276" s="3">
        <f>IF(tblOrdenes[[#This Row],[link_checklist]]="","",HYPERLINK(p_ruta_base_checklists&amp;tblOrdenes[[#This Row],[link_checklist]],"abrir"))</f>
        <v/>
      </c>
      <c r="AP276" s="6" t="n"/>
      <c r="AQ276" s="3">
        <f>IF(tblOrdenes[[#This Row],[orden]]="","",tblOrdenes[[#This Row],[orden]]&amp;IF(tblOrdenes[[#This Row],[operacion]]="","0010",tblOrdenes[[#This Row],[operacion]]))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2" t="n"/>
      <c r="K277" s="3" t="n"/>
      <c r="L277" s="11" t="n"/>
      <c r="M2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7" s="3">
        <f>IF(tblOrdenes[[#This Row],[fecha_inicio]]="","",YEAR(tblOrdenes[[#This Row],[fecha_inicio]]))</f>
        <v/>
      </c>
      <c r="Q277" s="3">
        <f>IF(tblOrdenes[[#This Row],[fecha_inicio]]="","",MONTH(tblOrdenes[[#This Row],[fecha_inicio]]))</f>
        <v/>
      </c>
      <c r="R277" s="3">
        <f>IF(tblOrdenes[[#This Row],[fecha_inicio]]="","",INDEX(lista_dias,WEEKDAY(tblOrdenes[[#This Row],[fecha_inicio]],2)))</f>
        <v/>
      </c>
      <c r="S2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7" s="3">
        <f>IF(tblOrdenes[[#This Row],[tipo_ot]]="","",_xlfn.XLOOKUP(tblOrdenes[[#This Row],[tipo_ot]],tblTiposOT[codigo],tblTiposOT[clasificacion],"sin_clasificar"))</f>
        <v/>
      </c>
      <c r="U277" s="3">
        <f>IF(tblOrdenes[[#This Row],[centro_costo]]="","",_xlfn.XLOOKUP(tblOrdenes[[#This Row],[centro_costo]],tblCECO[codigo],tblCECO[linea],"(sin catálogo)"))</f>
        <v/>
      </c>
      <c r="V277" s="3">
        <f>IF(tblOrdenes[[#This Row],[centro_costo]]="","",_xlfn.XLOOKUP(tblOrdenes[[#This Row],[centro_costo]],tblCECO[codigo],tblCECO[area],"(sin catálogo)"))</f>
        <v/>
      </c>
      <c r="W2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7" s="3">
        <f>IF(tblOrdenes[[#This Row],[centro_costo]]="","",_xlfn.XLOOKUP(tblOrdenes[[#This Row],[centro_costo]],tblCECO[codigo],tblCECO[coordinador],"(sin catálogo)"))</f>
        <v/>
      </c>
      <c r="Y277" s="3">
        <f>IF(tblOrdenes[[#This Row],[puesto_trabajo]]="","",_xlfn.XLOOKUP(tblOrdenes[[#This Row],[puesto_trabajo]],tblPuestos[codigo],tblPuestos[especialidad],"(sin catálogo)"))</f>
        <v/>
      </c>
      <c r="Z277" s="3">
        <f>IF(tblOrdenes[[#This Row],[cod_actividad]]="","",_xlfn.XLOOKUP(tblOrdenes[[#This Row],[cod_actividad]],tblActividades[codigo],tblActividades[descripcion],"(sin catálogo)"))</f>
        <v/>
      </c>
      <c r="AA277" s="13">
        <f>IF(tblOrdenes[[#This Row],[fecha_inicio]]="","",TODAY()-tblOrdenes[[#This Row],[fecha_inicio]])</f>
        <v/>
      </c>
      <c r="AB2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7" s="3">
        <f>IF(tblOrdenes[[#This Row],[backlog_habiles]]="","",IF(tblOrdenes[[#This Row],[backlog_habiles]]&lt;0,"FUTURO",IF(tblOrdenes[[#This Row],[backlog_habiles]]&gt;p_dias_backlog_max,"BACKLOG","MES CORRIENTE")))</f>
        <v/>
      </c>
      <c r="AD277" s="3">
        <f>IF(tblOrdenes[[#This Row],[backlog_habiles]]="",FALSE,AND(tblOrdenes[[#This Row],[backlog_habiles]]&gt;p_dias_backlog_min,tblOrdenes[[#This Row],[backlog_habiles]]&lt;=p_dias_backlog_max))</f>
        <v/>
      </c>
      <c r="AE277" s="6" t="n"/>
      <c r="AF2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7" s="11">
        <f>IF(tblOrdenes[[#This Row],[orden]]="","",_xlfn.XLOOKUP(tblOrdenes[[#This Row],[id_operacion]],tblEjecucion[id_operacion],tblEjecucion[precio],0))</f>
        <v/>
      </c>
      <c r="AJ277" s="11">
        <f>IF(tblOrdenes[[#This Row],[orden]]="","",MAX(0,_xlfn.XLOOKUP(tblOrdenes[[#This Row],[id_operacion]],tblEjecucion[id_operacion],tblEjecucion[costo_plan_total],0)-tblOrdenes[[#This Row],[costo_servicio]]))</f>
        <v/>
      </c>
      <c r="AK277" s="11">
        <f>IF(tblOrdenes[[#This Row],[orden]]="","",tblOrdenes[[#This Row],[costo_servicio]]+tblOrdenes[[#This Row],[costo_materiales]])</f>
        <v/>
      </c>
      <c r="AL277" s="6" t="n"/>
      <c r="AM277" s="6" t="n"/>
      <c r="AN277" s="6" t="n"/>
      <c r="AO277" s="3">
        <f>IF(tblOrdenes[[#This Row],[link_checklist]]="","",HYPERLINK(p_ruta_base_checklists&amp;tblOrdenes[[#This Row],[link_checklist]],"abrir"))</f>
        <v/>
      </c>
      <c r="AP277" s="6" t="n"/>
      <c r="AQ277" s="3">
        <f>IF(tblOrdenes[[#This Row],[orden]]="","",tblOrdenes[[#This Row],[orden]]&amp;IF(tblOrdenes[[#This Row],[operacion]]="","0010",tblOrdenes[[#This Row],[operacion]]))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2" t="n"/>
      <c r="K278" s="3" t="n"/>
      <c r="L278" s="11" t="n"/>
      <c r="M2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8" s="3">
        <f>IF(tblOrdenes[[#This Row],[fecha_inicio]]="","",YEAR(tblOrdenes[[#This Row],[fecha_inicio]]))</f>
        <v/>
      </c>
      <c r="Q278" s="3">
        <f>IF(tblOrdenes[[#This Row],[fecha_inicio]]="","",MONTH(tblOrdenes[[#This Row],[fecha_inicio]]))</f>
        <v/>
      </c>
      <c r="R278" s="3">
        <f>IF(tblOrdenes[[#This Row],[fecha_inicio]]="","",INDEX(lista_dias,WEEKDAY(tblOrdenes[[#This Row],[fecha_inicio]],2)))</f>
        <v/>
      </c>
      <c r="S2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8" s="3">
        <f>IF(tblOrdenes[[#This Row],[tipo_ot]]="","",_xlfn.XLOOKUP(tblOrdenes[[#This Row],[tipo_ot]],tblTiposOT[codigo],tblTiposOT[clasificacion],"sin_clasificar"))</f>
        <v/>
      </c>
      <c r="U278" s="3">
        <f>IF(tblOrdenes[[#This Row],[centro_costo]]="","",_xlfn.XLOOKUP(tblOrdenes[[#This Row],[centro_costo]],tblCECO[codigo],tblCECO[linea],"(sin catálogo)"))</f>
        <v/>
      </c>
      <c r="V278" s="3">
        <f>IF(tblOrdenes[[#This Row],[centro_costo]]="","",_xlfn.XLOOKUP(tblOrdenes[[#This Row],[centro_costo]],tblCECO[codigo],tblCECO[area],"(sin catálogo)"))</f>
        <v/>
      </c>
      <c r="W2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8" s="3">
        <f>IF(tblOrdenes[[#This Row],[centro_costo]]="","",_xlfn.XLOOKUP(tblOrdenes[[#This Row],[centro_costo]],tblCECO[codigo],tblCECO[coordinador],"(sin catálogo)"))</f>
        <v/>
      </c>
      <c r="Y278" s="3">
        <f>IF(tblOrdenes[[#This Row],[puesto_trabajo]]="","",_xlfn.XLOOKUP(tblOrdenes[[#This Row],[puesto_trabajo]],tblPuestos[codigo],tblPuestos[especialidad],"(sin catálogo)"))</f>
        <v/>
      </c>
      <c r="Z278" s="3">
        <f>IF(tblOrdenes[[#This Row],[cod_actividad]]="","",_xlfn.XLOOKUP(tblOrdenes[[#This Row],[cod_actividad]],tblActividades[codigo],tblActividades[descripcion],"(sin catálogo)"))</f>
        <v/>
      </c>
      <c r="AA278" s="13">
        <f>IF(tblOrdenes[[#This Row],[fecha_inicio]]="","",TODAY()-tblOrdenes[[#This Row],[fecha_inicio]])</f>
        <v/>
      </c>
      <c r="AB2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8" s="3">
        <f>IF(tblOrdenes[[#This Row],[backlog_habiles]]="","",IF(tblOrdenes[[#This Row],[backlog_habiles]]&lt;0,"FUTURO",IF(tblOrdenes[[#This Row],[backlog_habiles]]&gt;p_dias_backlog_max,"BACKLOG","MES CORRIENTE")))</f>
        <v/>
      </c>
      <c r="AD278" s="3">
        <f>IF(tblOrdenes[[#This Row],[backlog_habiles]]="",FALSE,AND(tblOrdenes[[#This Row],[backlog_habiles]]&gt;p_dias_backlog_min,tblOrdenes[[#This Row],[backlog_habiles]]&lt;=p_dias_backlog_max))</f>
        <v/>
      </c>
      <c r="AE278" s="6" t="n"/>
      <c r="AF2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8" s="11">
        <f>IF(tblOrdenes[[#This Row],[orden]]="","",_xlfn.XLOOKUP(tblOrdenes[[#This Row],[id_operacion]],tblEjecucion[id_operacion],tblEjecucion[precio],0))</f>
        <v/>
      </c>
      <c r="AJ278" s="11">
        <f>IF(tblOrdenes[[#This Row],[orden]]="","",MAX(0,_xlfn.XLOOKUP(tblOrdenes[[#This Row],[id_operacion]],tblEjecucion[id_operacion],tblEjecucion[costo_plan_total],0)-tblOrdenes[[#This Row],[costo_servicio]]))</f>
        <v/>
      </c>
      <c r="AK278" s="11">
        <f>IF(tblOrdenes[[#This Row],[orden]]="","",tblOrdenes[[#This Row],[costo_servicio]]+tblOrdenes[[#This Row],[costo_materiales]])</f>
        <v/>
      </c>
      <c r="AL278" s="6" t="n"/>
      <c r="AM278" s="6" t="n"/>
      <c r="AN278" s="6" t="n"/>
      <c r="AO278" s="3">
        <f>IF(tblOrdenes[[#This Row],[link_checklist]]="","",HYPERLINK(p_ruta_base_checklists&amp;tblOrdenes[[#This Row],[link_checklist]],"abrir"))</f>
        <v/>
      </c>
      <c r="AP278" s="6" t="n"/>
      <c r="AQ278" s="3">
        <f>IF(tblOrdenes[[#This Row],[orden]]="","",tblOrdenes[[#This Row],[orden]]&amp;IF(tblOrdenes[[#This Row],[operacion]]="","0010",tblOrdenes[[#This Row],[operacion]]))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2" t="n"/>
      <c r="K279" s="3" t="n"/>
      <c r="L279" s="11" t="n"/>
      <c r="M2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9" s="3">
        <f>IF(tblOrdenes[[#This Row],[fecha_inicio]]="","",YEAR(tblOrdenes[[#This Row],[fecha_inicio]]))</f>
        <v/>
      </c>
      <c r="Q279" s="3">
        <f>IF(tblOrdenes[[#This Row],[fecha_inicio]]="","",MONTH(tblOrdenes[[#This Row],[fecha_inicio]]))</f>
        <v/>
      </c>
      <c r="R279" s="3">
        <f>IF(tblOrdenes[[#This Row],[fecha_inicio]]="","",INDEX(lista_dias,WEEKDAY(tblOrdenes[[#This Row],[fecha_inicio]],2)))</f>
        <v/>
      </c>
      <c r="S2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9" s="3">
        <f>IF(tblOrdenes[[#This Row],[tipo_ot]]="","",_xlfn.XLOOKUP(tblOrdenes[[#This Row],[tipo_ot]],tblTiposOT[codigo],tblTiposOT[clasificacion],"sin_clasificar"))</f>
        <v/>
      </c>
      <c r="U279" s="3">
        <f>IF(tblOrdenes[[#This Row],[centro_costo]]="","",_xlfn.XLOOKUP(tblOrdenes[[#This Row],[centro_costo]],tblCECO[codigo],tblCECO[linea],"(sin catálogo)"))</f>
        <v/>
      </c>
      <c r="V279" s="3">
        <f>IF(tblOrdenes[[#This Row],[centro_costo]]="","",_xlfn.XLOOKUP(tblOrdenes[[#This Row],[centro_costo]],tblCECO[codigo],tblCECO[area],"(sin catálogo)"))</f>
        <v/>
      </c>
      <c r="W2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9" s="3">
        <f>IF(tblOrdenes[[#This Row],[centro_costo]]="","",_xlfn.XLOOKUP(tblOrdenes[[#This Row],[centro_costo]],tblCECO[codigo],tblCECO[coordinador],"(sin catálogo)"))</f>
        <v/>
      </c>
      <c r="Y279" s="3">
        <f>IF(tblOrdenes[[#This Row],[puesto_trabajo]]="","",_xlfn.XLOOKUP(tblOrdenes[[#This Row],[puesto_trabajo]],tblPuestos[codigo],tblPuestos[especialidad],"(sin catálogo)"))</f>
        <v/>
      </c>
      <c r="Z279" s="3">
        <f>IF(tblOrdenes[[#This Row],[cod_actividad]]="","",_xlfn.XLOOKUP(tblOrdenes[[#This Row],[cod_actividad]],tblActividades[codigo],tblActividades[descripcion],"(sin catálogo)"))</f>
        <v/>
      </c>
      <c r="AA279" s="13">
        <f>IF(tblOrdenes[[#This Row],[fecha_inicio]]="","",TODAY()-tblOrdenes[[#This Row],[fecha_inicio]])</f>
        <v/>
      </c>
      <c r="AB2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9" s="3">
        <f>IF(tblOrdenes[[#This Row],[backlog_habiles]]="","",IF(tblOrdenes[[#This Row],[backlog_habiles]]&lt;0,"FUTURO",IF(tblOrdenes[[#This Row],[backlog_habiles]]&gt;p_dias_backlog_max,"BACKLOG","MES CORRIENTE")))</f>
        <v/>
      </c>
      <c r="AD279" s="3">
        <f>IF(tblOrdenes[[#This Row],[backlog_habiles]]="",FALSE,AND(tblOrdenes[[#This Row],[backlog_habiles]]&gt;p_dias_backlog_min,tblOrdenes[[#This Row],[backlog_habiles]]&lt;=p_dias_backlog_max))</f>
        <v/>
      </c>
      <c r="AE279" s="6" t="n"/>
      <c r="AF2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9" s="11">
        <f>IF(tblOrdenes[[#This Row],[orden]]="","",_xlfn.XLOOKUP(tblOrdenes[[#This Row],[id_operacion]],tblEjecucion[id_operacion],tblEjecucion[precio],0))</f>
        <v/>
      </c>
      <c r="AJ279" s="11">
        <f>IF(tblOrdenes[[#This Row],[orden]]="","",MAX(0,_xlfn.XLOOKUP(tblOrdenes[[#This Row],[id_operacion]],tblEjecucion[id_operacion],tblEjecucion[costo_plan_total],0)-tblOrdenes[[#This Row],[costo_servicio]]))</f>
        <v/>
      </c>
      <c r="AK279" s="11">
        <f>IF(tblOrdenes[[#This Row],[orden]]="","",tblOrdenes[[#This Row],[costo_servicio]]+tblOrdenes[[#This Row],[costo_materiales]])</f>
        <v/>
      </c>
      <c r="AL279" s="6" t="n"/>
      <c r="AM279" s="6" t="n"/>
      <c r="AN279" s="6" t="n"/>
      <c r="AO279" s="3">
        <f>IF(tblOrdenes[[#This Row],[link_checklist]]="","",HYPERLINK(p_ruta_base_checklists&amp;tblOrdenes[[#This Row],[link_checklist]],"abrir"))</f>
        <v/>
      </c>
      <c r="AP279" s="6" t="n"/>
      <c r="AQ279" s="3">
        <f>IF(tblOrdenes[[#This Row],[orden]]="","",tblOrdenes[[#This Row],[orden]]&amp;IF(tblOrdenes[[#This Row],[operacion]]="","0010",tblOrdenes[[#This Row],[operacion]]))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2" t="n"/>
      <c r="K280" s="3" t="n"/>
      <c r="L280" s="11" t="n"/>
      <c r="M2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0" s="3">
        <f>IF(tblOrdenes[[#This Row],[fecha_inicio]]="","",YEAR(tblOrdenes[[#This Row],[fecha_inicio]]))</f>
        <v/>
      </c>
      <c r="Q280" s="3">
        <f>IF(tblOrdenes[[#This Row],[fecha_inicio]]="","",MONTH(tblOrdenes[[#This Row],[fecha_inicio]]))</f>
        <v/>
      </c>
      <c r="R280" s="3">
        <f>IF(tblOrdenes[[#This Row],[fecha_inicio]]="","",INDEX(lista_dias,WEEKDAY(tblOrdenes[[#This Row],[fecha_inicio]],2)))</f>
        <v/>
      </c>
      <c r="S2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0" s="3">
        <f>IF(tblOrdenes[[#This Row],[tipo_ot]]="","",_xlfn.XLOOKUP(tblOrdenes[[#This Row],[tipo_ot]],tblTiposOT[codigo],tblTiposOT[clasificacion],"sin_clasificar"))</f>
        <v/>
      </c>
      <c r="U280" s="3">
        <f>IF(tblOrdenes[[#This Row],[centro_costo]]="","",_xlfn.XLOOKUP(tblOrdenes[[#This Row],[centro_costo]],tblCECO[codigo],tblCECO[linea],"(sin catálogo)"))</f>
        <v/>
      </c>
      <c r="V280" s="3">
        <f>IF(tblOrdenes[[#This Row],[centro_costo]]="","",_xlfn.XLOOKUP(tblOrdenes[[#This Row],[centro_costo]],tblCECO[codigo],tblCECO[area],"(sin catálogo)"))</f>
        <v/>
      </c>
      <c r="W2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0" s="3">
        <f>IF(tblOrdenes[[#This Row],[centro_costo]]="","",_xlfn.XLOOKUP(tblOrdenes[[#This Row],[centro_costo]],tblCECO[codigo],tblCECO[coordinador],"(sin catálogo)"))</f>
        <v/>
      </c>
      <c r="Y280" s="3">
        <f>IF(tblOrdenes[[#This Row],[puesto_trabajo]]="","",_xlfn.XLOOKUP(tblOrdenes[[#This Row],[puesto_trabajo]],tblPuestos[codigo],tblPuestos[especialidad],"(sin catálogo)"))</f>
        <v/>
      </c>
      <c r="Z280" s="3">
        <f>IF(tblOrdenes[[#This Row],[cod_actividad]]="","",_xlfn.XLOOKUP(tblOrdenes[[#This Row],[cod_actividad]],tblActividades[codigo],tblActividades[descripcion],"(sin catálogo)"))</f>
        <v/>
      </c>
      <c r="AA280" s="13">
        <f>IF(tblOrdenes[[#This Row],[fecha_inicio]]="","",TODAY()-tblOrdenes[[#This Row],[fecha_inicio]])</f>
        <v/>
      </c>
      <c r="AB2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0" s="3">
        <f>IF(tblOrdenes[[#This Row],[backlog_habiles]]="","",IF(tblOrdenes[[#This Row],[backlog_habiles]]&lt;0,"FUTURO",IF(tblOrdenes[[#This Row],[backlog_habiles]]&gt;p_dias_backlog_max,"BACKLOG","MES CORRIENTE")))</f>
        <v/>
      </c>
      <c r="AD280" s="3">
        <f>IF(tblOrdenes[[#This Row],[backlog_habiles]]="",FALSE,AND(tblOrdenes[[#This Row],[backlog_habiles]]&gt;p_dias_backlog_min,tblOrdenes[[#This Row],[backlog_habiles]]&lt;=p_dias_backlog_max))</f>
        <v/>
      </c>
      <c r="AE280" s="6" t="n"/>
      <c r="AF2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0" s="11">
        <f>IF(tblOrdenes[[#This Row],[orden]]="","",_xlfn.XLOOKUP(tblOrdenes[[#This Row],[id_operacion]],tblEjecucion[id_operacion],tblEjecucion[precio],0))</f>
        <v/>
      </c>
      <c r="AJ280" s="11">
        <f>IF(tblOrdenes[[#This Row],[orden]]="","",MAX(0,_xlfn.XLOOKUP(tblOrdenes[[#This Row],[id_operacion]],tblEjecucion[id_operacion],tblEjecucion[costo_plan_total],0)-tblOrdenes[[#This Row],[costo_servicio]]))</f>
        <v/>
      </c>
      <c r="AK280" s="11">
        <f>IF(tblOrdenes[[#This Row],[orden]]="","",tblOrdenes[[#This Row],[costo_servicio]]+tblOrdenes[[#This Row],[costo_materiales]])</f>
        <v/>
      </c>
      <c r="AL280" s="6" t="n"/>
      <c r="AM280" s="6" t="n"/>
      <c r="AN280" s="6" t="n"/>
      <c r="AO280" s="3">
        <f>IF(tblOrdenes[[#This Row],[link_checklist]]="","",HYPERLINK(p_ruta_base_checklists&amp;tblOrdenes[[#This Row],[link_checklist]],"abrir"))</f>
        <v/>
      </c>
      <c r="AP280" s="6" t="n"/>
      <c r="AQ280" s="3">
        <f>IF(tblOrdenes[[#This Row],[orden]]="","",tblOrdenes[[#This Row],[orden]]&amp;IF(tblOrdenes[[#This Row],[operacion]]="","0010",tblOrdenes[[#This Row],[operacion]]))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2" t="n"/>
      <c r="K281" s="3" t="n"/>
      <c r="L281" s="11" t="n"/>
      <c r="M2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1" s="3">
        <f>IF(tblOrdenes[[#This Row],[fecha_inicio]]="","",YEAR(tblOrdenes[[#This Row],[fecha_inicio]]))</f>
        <v/>
      </c>
      <c r="Q281" s="3">
        <f>IF(tblOrdenes[[#This Row],[fecha_inicio]]="","",MONTH(tblOrdenes[[#This Row],[fecha_inicio]]))</f>
        <v/>
      </c>
      <c r="R281" s="3">
        <f>IF(tblOrdenes[[#This Row],[fecha_inicio]]="","",INDEX(lista_dias,WEEKDAY(tblOrdenes[[#This Row],[fecha_inicio]],2)))</f>
        <v/>
      </c>
      <c r="S2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1" s="3">
        <f>IF(tblOrdenes[[#This Row],[tipo_ot]]="","",_xlfn.XLOOKUP(tblOrdenes[[#This Row],[tipo_ot]],tblTiposOT[codigo],tblTiposOT[clasificacion],"sin_clasificar"))</f>
        <v/>
      </c>
      <c r="U281" s="3">
        <f>IF(tblOrdenes[[#This Row],[centro_costo]]="","",_xlfn.XLOOKUP(tblOrdenes[[#This Row],[centro_costo]],tblCECO[codigo],tblCECO[linea],"(sin catálogo)"))</f>
        <v/>
      </c>
      <c r="V281" s="3">
        <f>IF(tblOrdenes[[#This Row],[centro_costo]]="","",_xlfn.XLOOKUP(tblOrdenes[[#This Row],[centro_costo]],tblCECO[codigo],tblCECO[area],"(sin catálogo)"))</f>
        <v/>
      </c>
      <c r="W2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1" s="3">
        <f>IF(tblOrdenes[[#This Row],[centro_costo]]="","",_xlfn.XLOOKUP(tblOrdenes[[#This Row],[centro_costo]],tblCECO[codigo],tblCECO[coordinador],"(sin catálogo)"))</f>
        <v/>
      </c>
      <c r="Y281" s="3">
        <f>IF(tblOrdenes[[#This Row],[puesto_trabajo]]="","",_xlfn.XLOOKUP(tblOrdenes[[#This Row],[puesto_trabajo]],tblPuestos[codigo],tblPuestos[especialidad],"(sin catálogo)"))</f>
        <v/>
      </c>
      <c r="Z281" s="3">
        <f>IF(tblOrdenes[[#This Row],[cod_actividad]]="","",_xlfn.XLOOKUP(tblOrdenes[[#This Row],[cod_actividad]],tblActividades[codigo],tblActividades[descripcion],"(sin catálogo)"))</f>
        <v/>
      </c>
      <c r="AA281" s="13">
        <f>IF(tblOrdenes[[#This Row],[fecha_inicio]]="","",TODAY()-tblOrdenes[[#This Row],[fecha_inicio]])</f>
        <v/>
      </c>
      <c r="AB2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1" s="3">
        <f>IF(tblOrdenes[[#This Row],[backlog_habiles]]="","",IF(tblOrdenes[[#This Row],[backlog_habiles]]&lt;0,"FUTURO",IF(tblOrdenes[[#This Row],[backlog_habiles]]&gt;p_dias_backlog_max,"BACKLOG","MES CORRIENTE")))</f>
        <v/>
      </c>
      <c r="AD281" s="3">
        <f>IF(tblOrdenes[[#This Row],[backlog_habiles]]="",FALSE,AND(tblOrdenes[[#This Row],[backlog_habiles]]&gt;p_dias_backlog_min,tblOrdenes[[#This Row],[backlog_habiles]]&lt;=p_dias_backlog_max))</f>
        <v/>
      </c>
      <c r="AE281" s="6" t="n"/>
      <c r="AF2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1" s="11">
        <f>IF(tblOrdenes[[#This Row],[orden]]="","",_xlfn.XLOOKUP(tblOrdenes[[#This Row],[id_operacion]],tblEjecucion[id_operacion],tblEjecucion[precio],0))</f>
        <v/>
      </c>
      <c r="AJ281" s="11">
        <f>IF(tblOrdenes[[#This Row],[orden]]="","",MAX(0,_xlfn.XLOOKUP(tblOrdenes[[#This Row],[id_operacion]],tblEjecucion[id_operacion],tblEjecucion[costo_plan_total],0)-tblOrdenes[[#This Row],[costo_servicio]]))</f>
        <v/>
      </c>
      <c r="AK281" s="11">
        <f>IF(tblOrdenes[[#This Row],[orden]]="","",tblOrdenes[[#This Row],[costo_servicio]]+tblOrdenes[[#This Row],[costo_materiales]])</f>
        <v/>
      </c>
      <c r="AL281" s="6" t="n"/>
      <c r="AM281" s="6" t="n"/>
      <c r="AN281" s="6" t="n"/>
      <c r="AO281" s="3">
        <f>IF(tblOrdenes[[#This Row],[link_checklist]]="","",HYPERLINK(p_ruta_base_checklists&amp;tblOrdenes[[#This Row],[link_checklist]],"abrir"))</f>
        <v/>
      </c>
      <c r="AP281" s="6" t="n"/>
      <c r="AQ281" s="3">
        <f>IF(tblOrdenes[[#This Row],[orden]]="","",tblOrdenes[[#This Row],[orden]]&amp;IF(tblOrdenes[[#This Row],[operacion]]="","0010",tblOrdenes[[#This Row],[operacion]]))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2" t="n"/>
      <c r="K282" s="3" t="n"/>
      <c r="L282" s="11" t="n"/>
      <c r="M2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2" s="3">
        <f>IF(tblOrdenes[[#This Row],[fecha_inicio]]="","",YEAR(tblOrdenes[[#This Row],[fecha_inicio]]))</f>
        <v/>
      </c>
      <c r="Q282" s="3">
        <f>IF(tblOrdenes[[#This Row],[fecha_inicio]]="","",MONTH(tblOrdenes[[#This Row],[fecha_inicio]]))</f>
        <v/>
      </c>
      <c r="R282" s="3">
        <f>IF(tblOrdenes[[#This Row],[fecha_inicio]]="","",INDEX(lista_dias,WEEKDAY(tblOrdenes[[#This Row],[fecha_inicio]],2)))</f>
        <v/>
      </c>
      <c r="S2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2" s="3">
        <f>IF(tblOrdenes[[#This Row],[tipo_ot]]="","",_xlfn.XLOOKUP(tblOrdenes[[#This Row],[tipo_ot]],tblTiposOT[codigo],tblTiposOT[clasificacion],"sin_clasificar"))</f>
        <v/>
      </c>
      <c r="U282" s="3">
        <f>IF(tblOrdenes[[#This Row],[centro_costo]]="","",_xlfn.XLOOKUP(tblOrdenes[[#This Row],[centro_costo]],tblCECO[codigo],tblCECO[linea],"(sin catálogo)"))</f>
        <v/>
      </c>
      <c r="V282" s="3">
        <f>IF(tblOrdenes[[#This Row],[centro_costo]]="","",_xlfn.XLOOKUP(tblOrdenes[[#This Row],[centro_costo]],tblCECO[codigo],tblCECO[area],"(sin catálogo)"))</f>
        <v/>
      </c>
      <c r="W2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2" s="3">
        <f>IF(tblOrdenes[[#This Row],[centro_costo]]="","",_xlfn.XLOOKUP(tblOrdenes[[#This Row],[centro_costo]],tblCECO[codigo],tblCECO[coordinador],"(sin catálogo)"))</f>
        <v/>
      </c>
      <c r="Y282" s="3">
        <f>IF(tblOrdenes[[#This Row],[puesto_trabajo]]="","",_xlfn.XLOOKUP(tblOrdenes[[#This Row],[puesto_trabajo]],tblPuestos[codigo],tblPuestos[especialidad],"(sin catálogo)"))</f>
        <v/>
      </c>
      <c r="Z282" s="3">
        <f>IF(tblOrdenes[[#This Row],[cod_actividad]]="","",_xlfn.XLOOKUP(tblOrdenes[[#This Row],[cod_actividad]],tblActividades[codigo],tblActividades[descripcion],"(sin catálogo)"))</f>
        <v/>
      </c>
      <c r="AA282" s="13">
        <f>IF(tblOrdenes[[#This Row],[fecha_inicio]]="","",TODAY()-tblOrdenes[[#This Row],[fecha_inicio]])</f>
        <v/>
      </c>
      <c r="AB2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2" s="3">
        <f>IF(tblOrdenes[[#This Row],[backlog_habiles]]="","",IF(tblOrdenes[[#This Row],[backlog_habiles]]&lt;0,"FUTURO",IF(tblOrdenes[[#This Row],[backlog_habiles]]&gt;p_dias_backlog_max,"BACKLOG","MES CORRIENTE")))</f>
        <v/>
      </c>
      <c r="AD282" s="3">
        <f>IF(tblOrdenes[[#This Row],[backlog_habiles]]="",FALSE,AND(tblOrdenes[[#This Row],[backlog_habiles]]&gt;p_dias_backlog_min,tblOrdenes[[#This Row],[backlog_habiles]]&lt;=p_dias_backlog_max))</f>
        <v/>
      </c>
      <c r="AE282" s="6" t="n"/>
      <c r="AF2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2" s="11">
        <f>IF(tblOrdenes[[#This Row],[orden]]="","",_xlfn.XLOOKUP(tblOrdenes[[#This Row],[id_operacion]],tblEjecucion[id_operacion],tblEjecucion[precio],0))</f>
        <v/>
      </c>
      <c r="AJ282" s="11">
        <f>IF(tblOrdenes[[#This Row],[orden]]="","",MAX(0,_xlfn.XLOOKUP(tblOrdenes[[#This Row],[id_operacion]],tblEjecucion[id_operacion],tblEjecucion[costo_plan_total],0)-tblOrdenes[[#This Row],[costo_servicio]]))</f>
        <v/>
      </c>
      <c r="AK282" s="11">
        <f>IF(tblOrdenes[[#This Row],[orden]]="","",tblOrdenes[[#This Row],[costo_servicio]]+tblOrdenes[[#This Row],[costo_materiales]])</f>
        <v/>
      </c>
      <c r="AL282" s="6" t="n"/>
      <c r="AM282" s="6" t="n"/>
      <c r="AN282" s="6" t="n"/>
      <c r="AO282" s="3">
        <f>IF(tblOrdenes[[#This Row],[link_checklist]]="","",HYPERLINK(p_ruta_base_checklists&amp;tblOrdenes[[#This Row],[link_checklist]],"abrir"))</f>
        <v/>
      </c>
      <c r="AP282" s="6" t="n"/>
      <c r="AQ282" s="3">
        <f>IF(tblOrdenes[[#This Row],[orden]]="","",tblOrdenes[[#This Row],[orden]]&amp;IF(tblOrdenes[[#This Row],[operacion]]="","0010",tblOrdenes[[#This Row],[operacion]]))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2" t="n"/>
      <c r="K283" s="3" t="n"/>
      <c r="L283" s="11" t="n"/>
      <c r="M2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3" s="3">
        <f>IF(tblOrdenes[[#This Row],[fecha_inicio]]="","",YEAR(tblOrdenes[[#This Row],[fecha_inicio]]))</f>
        <v/>
      </c>
      <c r="Q283" s="3">
        <f>IF(tblOrdenes[[#This Row],[fecha_inicio]]="","",MONTH(tblOrdenes[[#This Row],[fecha_inicio]]))</f>
        <v/>
      </c>
      <c r="R283" s="3">
        <f>IF(tblOrdenes[[#This Row],[fecha_inicio]]="","",INDEX(lista_dias,WEEKDAY(tblOrdenes[[#This Row],[fecha_inicio]],2)))</f>
        <v/>
      </c>
      <c r="S2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3" s="3">
        <f>IF(tblOrdenes[[#This Row],[tipo_ot]]="","",_xlfn.XLOOKUP(tblOrdenes[[#This Row],[tipo_ot]],tblTiposOT[codigo],tblTiposOT[clasificacion],"sin_clasificar"))</f>
        <v/>
      </c>
      <c r="U283" s="3">
        <f>IF(tblOrdenes[[#This Row],[centro_costo]]="","",_xlfn.XLOOKUP(tblOrdenes[[#This Row],[centro_costo]],tblCECO[codigo],tblCECO[linea],"(sin catálogo)"))</f>
        <v/>
      </c>
      <c r="V283" s="3">
        <f>IF(tblOrdenes[[#This Row],[centro_costo]]="","",_xlfn.XLOOKUP(tblOrdenes[[#This Row],[centro_costo]],tblCECO[codigo],tblCECO[area],"(sin catálogo)"))</f>
        <v/>
      </c>
      <c r="W2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3" s="3">
        <f>IF(tblOrdenes[[#This Row],[centro_costo]]="","",_xlfn.XLOOKUP(tblOrdenes[[#This Row],[centro_costo]],tblCECO[codigo],tblCECO[coordinador],"(sin catálogo)"))</f>
        <v/>
      </c>
      <c r="Y283" s="3">
        <f>IF(tblOrdenes[[#This Row],[puesto_trabajo]]="","",_xlfn.XLOOKUP(tblOrdenes[[#This Row],[puesto_trabajo]],tblPuestos[codigo],tblPuestos[especialidad],"(sin catálogo)"))</f>
        <v/>
      </c>
      <c r="Z283" s="3">
        <f>IF(tblOrdenes[[#This Row],[cod_actividad]]="","",_xlfn.XLOOKUP(tblOrdenes[[#This Row],[cod_actividad]],tblActividades[codigo],tblActividades[descripcion],"(sin catálogo)"))</f>
        <v/>
      </c>
      <c r="AA283" s="13">
        <f>IF(tblOrdenes[[#This Row],[fecha_inicio]]="","",TODAY()-tblOrdenes[[#This Row],[fecha_inicio]])</f>
        <v/>
      </c>
      <c r="AB2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3" s="3">
        <f>IF(tblOrdenes[[#This Row],[backlog_habiles]]="","",IF(tblOrdenes[[#This Row],[backlog_habiles]]&lt;0,"FUTURO",IF(tblOrdenes[[#This Row],[backlog_habiles]]&gt;p_dias_backlog_max,"BACKLOG","MES CORRIENTE")))</f>
        <v/>
      </c>
      <c r="AD283" s="3">
        <f>IF(tblOrdenes[[#This Row],[backlog_habiles]]="",FALSE,AND(tblOrdenes[[#This Row],[backlog_habiles]]&gt;p_dias_backlog_min,tblOrdenes[[#This Row],[backlog_habiles]]&lt;=p_dias_backlog_max))</f>
        <v/>
      </c>
      <c r="AE283" s="6" t="n"/>
      <c r="AF2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3" s="11">
        <f>IF(tblOrdenes[[#This Row],[orden]]="","",_xlfn.XLOOKUP(tblOrdenes[[#This Row],[id_operacion]],tblEjecucion[id_operacion],tblEjecucion[precio],0))</f>
        <v/>
      </c>
      <c r="AJ283" s="11">
        <f>IF(tblOrdenes[[#This Row],[orden]]="","",MAX(0,_xlfn.XLOOKUP(tblOrdenes[[#This Row],[id_operacion]],tblEjecucion[id_operacion],tblEjecucion[costo_plan_total],0)-tblOrdenes[[#This Row],[costo_servicio]]))</f>
        <v/>
      </c>
      <c r="AK283" s="11">
        <f>IF(tblOrdenes[[#This Row],[orden]]="","",tblOrdenes[[#This Row],[costo_servicio]]+tblOrdenes[[#This Row],[costo_materiales]])</f>
        <v/>
      </c>
      <c r="AL283" s="6" t="n"/>
      <c r="AM283" s="6" t="n"/>
      <c r="AN283" s="6" t="n"/>
      <c r="AO283" s="3">
        <f>IF(tblOrdenes[[#This Row],[link_checklist]]="","",HYPERLINK(p_ruta_base_checklists&amp;tblOrdenes[[#This Row],[link_checklist]],"abrir"))</f>
        <v/>
      </c>
      <c r="AP283" s="6" t="n"/>
      <c r="AQ283" s="3">
        <f>IF(tblOrdenes[[#This Row],[orden]]="","",tblOrdenes[[#This Row],[orden]]&amp;IF(tblOrdenes[[#This Row],[operacion]]="","0010",tblOrdenes[[#This Row],[operacion]]))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2" t="n"/>
      <c r="K284" s="3" t="n"/>
      <c r="L284" s="11" t="n"/>
      <c r="M2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4" s="3">
        <f>IF(tblOrdenes[[#This Row],[fecha_inicio]]="","",YEAR(tblOrdenes[[#This Row],[fecha_inicio]]))</f>
        <v/>
      </c>
      <c r="Q284" s="3">
        <f>IF(tblOrdenes[[#This Row],[fecha_inicio]]="","",MONTH(tblOrdenes[[#This Row],[fecha_inicio]]))</f>
        <v/>
      </c>
      <c r="R284" s="3">
        <f>IF(tblOrdenes[[#This Row],[fecha_inicio]]="","",INDEX(lista_dias,WEEKDAY(tblOrdenes[[#This Row],[fecha_inicio]],2)))</f>
        <v/>
      </c>
      <c r="S2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4" s="3">
        <f>IF(tblOrdenes[[#This Row],[tipo_ot]]="","",_xlfn.XLOOKUP(tblOrdenes[[#This Row],[tipo_ot]],tblTiposOT[codigo],tblTiposOT[clasificacion],"sin_clasificar"))</f>
        <v/>
      </c>
      <c r="U284" s="3">
        <f>IF(tblOrdenes[[#This Row],[centro_costo]]="","",_xlfn.XLOOKUP(tblOrdenes[[#This Row],[centro_costo]],tblCECO[codigo],tblCECO[linea],"(sin catálogo)"))</f>
        <v/>
      </c>
      <c r="V284" s="3">
        <f>IF(tblOrdenes[[#This Row],[centro_costo]]="","",_xlfn.XLOOKUP(tblOrdenes[[#This Row],[centro_costo]],tblCECO[codigo],tblCECO[area],"(sin catálogo)"))</f>
        <v/>
      </c>
      <c r="W2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4" s="3">
        <f>IF(tblOrdenes[[#This Row],[centro_costo]]="","",_xlfn.XLOOKUP(tblOrdenes[[#This Row],[centro_costo]],tblCECO[codigo],tblCECO[coordinador],"(sin catálogo)"))</f>
        <v/>
      </c>
      <c r="Y284" s="3">
        <f>IF(tblOrdenes[[#This Row],[puesto_trabajo]]="","",_xlfn.XLOOKUP(tblOrdenes[[#This Row],[puesto_trabajo]],tblPuestos[codigo],tblPuestos[especialidad],"(sin catálogo)"))</f>
        <v/>
      </c>
      <c r="Z284" s="3">
        <f>IF(tblOrdenes[[#This Row],[cod_actividad]]="","",_xlfn.XLOOKUP(tblOrdenes[[#This Row],[cod_actividad]],tblActividades[codigo],tblActividades[descripcion],"(sin catálogo)"))</f>
        <v/>
      </c>
      <c r="AA284" s="13">
        <f>IF(tblOrdenes[[#This Row],[fecha_inicio]]="","",TODAY()-tblOrdenes[[#This Row],[fecha_inicio]])</f>
        <v/>
      </c>
      <c r="AB2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4" s="3">
        <f>IF(tblOrdenes[[#This Row],[backlog_habiles]]="","",IF(tblOrdenes[[#This Row],[backlog_habiles]]&lt;0,"FUTURO",IF(tblOrdenes[[#This Row],[backlog_habiles]]&gt;p_dias_backlog_max,"BACKLOG","MES CORRIENTE")))</f>
        <v/>
      </c>
      <c r="AD284" s="3">
        <f>IF(tblOrdenes[[#This Row],[backlog_habiles]]="",FALSE,AND(tblOrdenes[[#This Row],[backlog_habiles]]&gt;p_dias_backlog_min,tblOrdenes[[#This Row],[backlog_habiles]]&lt;=p_dias_backlog_max))</f>
        <v/>
      </c>
      <c r="AE284" s="6" t="n"/>
      <c r="AF2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4" s="11">
        <f>IF(tblOrdenes[[#This Row],[orden]]="","",_xlfn.XLOOKUP(tblOrdenes[[#This Row],[id_operacion]],tblEjecucion[id_operacion],tblEjecucion[precio],0))</f>
        <v/>
      </c>
      <c r="AJ284" s="11">
        <f>IF(tblOrdenes[[#This Row],[orden]]="","",MAX(0,_xlfn.XLOOKUP(tblOrdenes[[#This Row],[id_operacion]],tblEjecucion[id_operacion],tblEjecucion[costo_plan_total],0)-tblOrdenes[[#This Row],[costo_servicio]]))</f>
        <v/>
      </c>
      <c r="AK284" s="11">
        <f>IF(tblOrdenes[[#This Row],[orden]]="","",tblOrdenes[[#This Row],[costo_servicio]]+tblOrdenes[[#This Row],[costo_materiales]])</f>
        <v/>
      </c>
      <c r="AL284" s="6" t="n"/>
      <c r="AM284" s="6" t="n"/>
      <c r="AN284" s="6" t="n"/>
      <c r="AO284" s="3">
        <f>IF(tblOrdenes[[#This Row],[link_checklist]]="","",HYPERLINK(p_ruta_base_checklists&amp;tblOrdenes[[#This Row],[link_checklist]],"abrir"))</f>
        <v/>
      </c>
      <c r="AP284" s="6" t="n"/>
      <c r="AQ284" s="3">
        <f>IF(tblOrdenes[[#This Row],[orden]]="","",tblOrdenes[[#This Row],[orden]]&amp;IF(tblOrdenes[[#This Row],[operacion]]="","0010",tblOrdenes[[#This Row],[operacion]]))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2" t="n"/>
      <c r="K285" s="3" t="n"/>
      <c r="L285" s="11" t="n"/>
      <c r="M2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5" s="3">
        <f>IF(tblOrdenes[[#This Row],[fecha_inicio]]="","",YEAR(tblOrdenes[[#This Row],[fecha_inicio]]))</f>
        <v/>
      </c>
      <c r="Q285" s="3">
        <f>IF(tblOrdenes[[#This Row],[fecha_inicio]]="","",MONTH(tblOrdenes[[#This Row],[fecha_inicio]]))</f>
        <v/>
      </c>
      <c r="R285" s="3">
        <f>IF(tblOrdenes[[#This Row],[fecha_inicio]]="","",INDEX(lista_dias,WEEKDAY(tblOrdenes[[#This Row],[fecha_inicio]],2)))</f>
        <v/>
      </c>
      <c r="S2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5" s="3">
        <f>IF(tblOrdenes[[#This Row],[tipo_ot]]="","",_xlfn.XLOOKUP(tblOrdenes[[#This Row],[tipo_ot]],tblTiposOT[codigo],tblTiposOT[clasificacion],"sin_clasificar"))</f>
        <v/>
      </c>
      <c r="U285" s="3">
        <f>IF(tblOrdenes[[#This Row],[centro_costo]]="","",_xlfn.XLOOKUP(tblOrdenes[[#This Row],[centro_costo]],tblCECO[codigo],tblCECO[linea],"(sin catálogo)"))</f>
        <v/>
      </c>
      <c r="V285" s="3">
        <f>IF(tblOrdenes[[#This Row],[centro_costo]]="","",_xlfn.XLOOKUP(tblOrdenes[[#This Row],[centro_costo]],tblCECO[codigo],tblCECO[area],"(sin catálogo)"))</f>
        <v/>
      </c>
      <c r="W2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5" s="3">
        <f>IF(tblOrdenes[[#This Row],[centro_costo]]="","",_xlfn.XLOOKUP(tblOrdenes[[#This Row],[centro_costo]],tblCECO[codigo],tblCECO[coordinador],"(sin catálogo)"))</f>
        <v/>
      </c>
      <c r="Y285" s="3">
        <f>IF(tblOrdenes[[#This Row],[puesto_trabajo]]="","",_xlfn.XLOOKUP(tblOrdenes[[#This Row],[puesto_trabajo]],tblPuestos[codigo],tblPuestos[especialidad],"(sin catálogo)"))</f>
        <v/>
      </c>
      <c r="Z285" s="3">
        <f>IF(tblOrdenes[[#This Row],[cod_actividad]]="","",_xlfn.XLOOKUP(tblOrdenes[[#This Row],[cod_actividad]],tblActividades[codigo],tblActividades[descripcion],"(sin catálogo)"))</f>
        <v/>
      </c>
      <c r="AA285" s="13">
        <f>IF(tblOrdenes[[#This Row],[fecha_inicio]]="","",TODAY()-tblOrdenes[[#This Row],[fecha_inicio]])</f>
        <v/>
      </c>
      <c r="AB2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5" s="3">
        <f>IF(tblOrdenes[[#This Row],[backlog_habiles]]="","",IF(tblOrdenes[[#This Row],[backlog_habiles]]&lt;0,"FUTURO",IF(tblOrdenes[[#This Row],[backlog_habiles]]&gt;p_dias_backlog_max,"BACKLOG","MES CORRIENTE")))</f>
        <v/>
      </c>
      <c r="AD285" s="3">
        <f>IF(tblOrdenes[[#This Row],[backlog_habiles]]="",FALSE,AND(tblOrdenes[[#This Row],[backlog_habiles]]&gt;p_dias_backlog_min,tblOrdenes[[#This Row],[backlog_habiles]]&lt;=p_dias_backlog_max))</f>
        <v/>
      </c>
      <c r="AE285" s="6" t="n"/>
      <c r="AF2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5" s="11">
        <f>IF(tblOrdenes[[#This Row],[orden]]="","",_xlfn.XLOOKUP(tblOrdenes[[#This Row],[id_operacion]],tblEjecucion[id_operacion],tblEjecucion[precio],0))</f>
        <v/>
      </c>
      <c r="AJ285" s="11">
        <f>IF(tblOrdenes[[#This Row],[orden]]="","",MAX(0,_xlfn.XLOOKUP(tblOrdenes[[#This Row],[id_operacion]],tblEjecucion[id_operacion],tblEjecucion[costo_plan_total],0)-tblOrdenes[[#This Row],[costo_servicio]]))</f>
        <v/>
      </c>
      <c r="AK285" s="11">
        <f>IF(tblOrdenes[[#This Row],[orden]]="","",tblOrdenes[[#This Row],[costo_servicio]]+tblOrdenes[[#This Row],[costo_materiales]])</f>
        <v/>
      </c>
      <c r="AL285" s="6" t="n"/>
      <c r="AM285" s="6" t="n"/>
      <c r="AN285" s="6" t="n"/>
      <c r="AO285" s="3">
        <f>IF(tblOrdenes[[#This Row],[link_checklist]]="","",HYPERLINK(p_ruta_base_checklists&amp;tblOrdenes[[#This Row],[link_checklist]],"abrir"))</f>
        <v/>
      </c>
      <c r="AP285" s="6" t="n"/>
      <c r="AQ285" s="3">
        <f>IF(tblOrdenes[[#This Row],[orden]]="","",tblOrdenes[[#This Row],[orden]]&amp;IF(tblOrdenes[[#This Row],[operacion]]="","0010",tblOrdenes[[#This Row],[operacion]]))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2" t="n"/>
      <c r="K286" s="3" t="n"/>
      <c r="L286" s="11" t="n"/>
      <c r="M2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6" s="3">
        <f>IF(tblOrdenes[[#This Row],[fecha_inicio]]="","",YEAR(tblOrdenes[[#This Row],[fecha_inicio]]))</f>
        <v/>
      </c>
      <c r="Q286" s="3">
        <f>IF(tblOrdenes[[#This Row],[fecha_inicio]]="","",MONTH(tblOrdenes[[#This Row],[fecha_inicio]]))</f>
        <v/>
      </c>
      <c r="R286" s="3">
        <f>IF(tblOrdenes[[#This Row],[fecha_inicio]]="","",INDEX(lista_dias,WEEKDAY(tblOrdenes[[#This Row],[fecha_inicio]],2)))</f>
        <v/>
      </c>
      <c r="S2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6" s="3">
        <f>IF(tblOrdenes[[#This Row],[tipo_ot]]="","",_xlfn.XLOOKUP(tblOrdenes[[#This Row],[tipo_ot]],tblTiposOT[codigo],tblTiposOT[clasificacion],"sin_clasificar"))</f>
        <v/>
      </c>
      <c r="U286" s="3">
        <f>IF(tblOrdenes[[#This Row],[centro_costo]]="","",_xlfn.XLOOKUP(tblOrdenes[[#This Row],[centro_costo]],tblCECO[codigo],tblCECO[linea],"(sin catálogo)"))</f>
        <v/>
      </c>
      <c r="V286" s="3">
        <f>IF(tblOrdenes[[#This Row],[centro_costo]]="","",_xlfn.XLOOKUP(tblOrdenes[[#This Row],[centro_costo]],tblCECO[codigo],tblCECO[area],"(sin catálogo)"))</f>
        <v/>
      </c>
      <c r="W2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6" s="3">
        <f>IF(tblOrdenes[[#This Row],[centro_costo]]="","",_xlfn.XLOOKUP(tblOrdenes[[#This Row],[centro_costo]],tblCECO[codigo],tblCECO[coordinador],"(sin catálogo)"))</f>
        <v/>
      </c>
      <c r="Y286" s="3">
        <f>IF(tblOrdenes[[#This Row],[puesto_trabajo]]="","",_xlfn.XLOOKUP(tblOrdenes[[#This Row],[puesto_trabajo]],tblPuestos[codigo],tblPuestos[especialidad],"(sin catálogo)"))</f>
        <v/>
      </c>
      <c r="Z286" s="3">
        <f>IF(tblOrdenes[[#This Row],[cod_actividad]]="","",_xlfn.XLOOKUP(tblOrdenes[[#This Row],[cod_actividad]],tblActividades[codigo],tblActividades[descripcion],"(sin catálogo)"))</f>
        <v/>
      </c>
      <c r="AA286" s="13">
        <f>IF(tblOrdenes[[#This Row],[fecha_inicio]]="","",TODAY()-tblOrdenes[[#This Row],[fecha_inicio]])</f>
        <v/>
      </c>
      <c r="AB2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6" s="3">
        <f>IF(tblOrdenes[[#This Row],[backlog_habiles]]="","",IF(tblOrdenes[[#This Row],[backlog_habiles]]&lt;0,"FUTURO",IF(tblOrdenes[[#This Row],[backlog_habiles]]&gt;p_dias_backlog_max,"BACKLOG","MES CORRIENTE")))</f>
        <v/>
      </c>
      <c r="AD286" s="3">
        <f>IF(tblOrdenes[[#This Row],[backlog_habiles]]="",FALSE,AND(tblOrdenes[[#This Row],[backlog_habiles]]&gt;p_dias_backlog_min,tblOrdenes[[#This Row],[backlog_habiles]]&lt;=p_dias_backlog_max))</f>
        <v/>
      </c>
      <c r="AE286" s="6" t="n"/>
      <c r="AF2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6" s="11">
        <f>IF(tblOrdenes[[#This Row],[orden]]="","",_xlfn.XLOOKUP(tblOrdenes[[#This Row],[id_operacion]],tblEjecucion[id_operacion],tblEjecucion[precio],0))</f>
        <v/>
      </c>
      <c r="AJ286" s="11">
        <f>IF(tblOrdenes[[#This Row],[orden]]="","",MAX(0,_xlfn.XLOOKUP(tblOrdenes[[#This Row],[id_operacion]],tblEjecucion[id_operacion],tblEjecucion[costo_plan_total],0)-tblOrdenes[[#This Row],[costo_servicio]]))</f>
        <v/>
      </c>
      <c r="AK286" s="11">
        <f>IF(tblOrdenes[[#This Row],[orden]]="","",tblOrdenes[[#This Row],[costo_servicio]]+tblOrdenes[[#This Row],[costo_materiales]])</f>
        <v/>
      </c>
      <c r="AL286" s="6" t="n"/>
      <c r="AM286" s="6" t="n"/>
      <c r="AN286" s="6" t="n"/>
      <c r="AO286" s="3">
        <f>IF(tblOrdenes[[#This Row],[link_checklist]]="","",HYPERLINK(p_ruta_base_checklists&amp;tblOrdenes[[#This Row],[link_checklist]],"abrir"))</f>
        <v/>
      </c>
      <c r="AP286" s="6" t="n"/>
      <c r="AQ286" s="3">
        <f>IF(tblOrdenes[[#This Row],[orden]]="","",tblOrdenes[[#This Row],[orden]]&amp;IF(tblOrdenes[[#This Row],[operacion]]="","0010",tblOrdenes[[#This Row],[operacion]]))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2" t="n"/>
      <c r="K287" s="3" t="n"/>
      <c r="L287" s="11" t="n"/>
      <c r="M2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7" s="3">
        <f>IF(tblOrdenes[[#This Row],[fecha_inicio]]="","",YEAR(tblOrdenes[[#This Row],[fecha_inicio]]))</f>
        <v/>
      </c>
      <c r="Q287" s="3">
        <f>IF(tblOrdenes[[#This Row],[fecha_inicio]]="","",MONTH(tblOrdenes[[#This Row],[fecha_inicio]]))</f>
        <v/>
      </c>
      <c r="R287" s="3">
        <f>IF(tblOrdenes[[#This Row],[fecha_inicio]]="","",INDEX(lista_dias,WEEKDAY(tblOrdenes[[#This Row],[fecha_inicio]],2)))</f>
        <v/>
      </c>
      <c r="S2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7" s="3">
        <f>IF(tblOrdenes[[#This Row],[tipo_ot]]="","",_xlfn.XLOOKUP(tblOrdenes[[#This Row],[tipo_ot]],tblTiposOT[codigo],tblTiposOT[clasificacion],"sin_clasificar"))</f>
        <v/>
      </c>
      <c r="U287" s="3">
        <f>IF(tblOrdenes[[#This Row],[centro_costo]]="","",_xlfn.XLOOKUP(tblOrdenes[[#This Row],[centro_costo]],tblCECO[codigo],tblCECO[linea],"(sin catálogo)"))</f>
        <v/>
      </c>
      <c r="V287" s="3">
        <f>IF(tblOrdenes[[#This Row],[centro_costo]]="","",_xlfn.XLOOKUP(tblOrdenes[[#This Row],[centro_costo]],tblCECO[codigo],tblCECO[area],"(sin catálogo)"))</f>
        <v/>
      </c>
      <c r="W2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7" s="3">
        <f>IF(tblOrdenes[[#This Row],[centro_costo]]="","",_xlfn.XLOOKUP(tblOrdenes[[#This Row],[centro_costo]],tblCECO[codigo],tblCECO[coordinador],"(sin catálogo)"))</f>
        <v/>
      </c>
      <c r="Y287" s="3">
        <f>IF(tblOrdenes[[#This Row],[puesto_trabajo]]="","",_xlfn.XLOOKUP(tblOrdenes[[#This Row],[puesto_trabajo]],tblPuestos[codigo],tblPuestos[especialidad],"(sin catálogo)"))</f>
        <v/>
      </c>
      <c r="Z287" s="3">
        <f>IF(tblOrdenes[[#This Row],[cod_actividad]]="","",_xlfn.XLOOKUP(tblOrdenes[[#This Row],[cod_actividad]],tblActividades[codigo],tblActividades[descripcion],"(sin catálogo)"))</f>
        <v/>
      </c>
      <c r="AA287" s="13">
        <f>IF(tblOrdenes[[#This Row],[fecha_inicio]]="","",TODAY()-tblOrdenes[[#This Row],[fecha_inicio]])</f>
        <v/>
      </c>
      <c r="AB2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7" s="3">
        <f>IF(tblOrdenes[[#This Row],[backlog_habiles]]="","",IF(tblOrdenes[[#This Row],[backlog_habiles]]&lt;0,"FUTURO",IF(tblOrdenes[[#This Row],[backlog_habiles]]&gt;p_dias_backlog_max,"BACKLOG","MES CORRIENTE")))</f>
        <v/>
      </c>
      <c r="AD287" s="3">
        <f>IF(tblOrdenes[[#This Row],[backlog_habiles]]="",FALSE,AND(tblOrdenes[[#This Row],[backlog_habiles]]&gt;p_dias_backlog_min,tblOrdenes[[#This Row],[backlog_habiles]]&lt;=p_dias_backlog_max))</f>
        <v/>
      </c>
      <c r="AE287" s="6" t="n"/>
      <c r="AF2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7" s="11">
        <f>IF(tblOrdenes[[#This Row],[orden]]="","",_xlfn.XLOOKUP(tblOrdenes[[#This Row],[id_operacion]],tblEjecucion[id_operacion],tblEjecucion[precio],0))</f>
        <v/>
      </c>
      <c r="AJ287" s="11">
        <f>IF(tblOrdenes[[#This Row],[orden]]="","",MAX(0,_xlfn.XLOOKUP(tblOrdenes[[#This Row],[id_operacion]],tblEjecucion[id_operacion],tblEjecucion[costo_plan_total],0)-tblOrdenes[[#This Row],[costo_servicio]]))</f>
        <v/>
      </c>
      <c r="AK287" s="11">
        <f>IF(tblOrdenes[[#This Row],[orden]]="","",tblOrdenes[[#This Row],[costo_servicio]]+tblOrdenes[[#This Row],[costo_materiales]])</f>
        <v/>
      </c>
      <c r="AL287" s="6" t="n"/>
      <c r="AM287" s="6" t="n"/>
      <c r="AN287" s="6" t="n"/>
      <c r="AO287" s="3">
        <f>IF(tblOrdenes[[#This Row],[link_checklist]]="","",HYPERLINK(p_ruta_base_checklists&amp;tblOrdenes[[#This Row],[link_checklist]],"abrir"))</f>
        <v/>
      </c>
      <c r="AP287" s="6" t="n"/>
      <c r="AQ287" s="3">
        <f>IF(tblOrdenes[[#This Row],[orden]]="","",tblOrdenes[[#This Row],[orden]]&amp;IF(tblOrdenes[[#This Row],[operacion]]="","0010",tblOrdenes[[#This Row],[operacion]]))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2" t="n"/>
      <c r="K288" s="3" t="n"/>
      <c r="L288" s="11" t="n"/>
      <c r="M2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8" s="3">
        <f>IF(tblOrdenes[[#This Row],[fecha_inicio]]="","",YEAR(tblOrdenes[[#This Row],[fecha_inicio]]))</f>
        <v/>
      </c>
      <c r="Q288" s="3">
        <f>IF(tblOrdenes[[#This Row],[fecha_inicio]]="","",MONTH(tblOrdenes[[#This Row],[fecha_inicio]]))</f>
        <v/>
      </c>
      <c r="R288" s="3">
        <f>IF(tblOrdenes[[#This Row],[fecha_inicio]]="","",INDEX(lista_dias,WEEKDAY(tblOrdenes[[#This Row],[fecha_inicio]],2)))</f>
        <v/>
      </c>
      <c r="S2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8" s="3">
        <f>IF(tblOrdenes[[#This Row],[tipo_ot]]="","",_xlfn.XLOOKUP(tblOrdenes[[#This Row],[tipo_ot]],tblTiposOT[codigo],tblTiposOT[clasificacion],"sin_clasificar"))</f>
        <v/>
      </c>
      <c r="U288" s="3">
        <f>IF(tblOrdenes[[#This Row],[centro_costo]]="","",_xlfn.XLOOKUP(tblOrdenes[[#This Row],[centro_costo]],tblCECO[codigo],tblCECO[linea],"(sin catálogo)"))</f>
        <v/>
      </c>
      <c r="V288" s="3">
        <f>IF(tblOrdenes[[#This Row],[centro_costo]]="","",_xlfn.XLOOKUP(tblOrdenes[[#This Row],[centro_costo]],tblCECO[codigo],tblCECO[area],"(sin catálogo)"))</f>
        <v/>
      </c>
      <c r="W2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8" s="3">
        <f>IF(tblOrdenes[[#This Row],[centro_costo]]="","",_xlfn.XLOOKUP(tblOrdenes[[#This Row],[centro_costo]],tblCECO[codigo],tblCECO[coordinador],"(sin catálogo)"))</f>
        <v/>
      </c>
      <c r="Y288" s="3">
        <f>IF(tblOrdenes[[#This Row],[puesto_trabajo]]="","",_xlfn.XLOOKUP(tblOrdenes[[#This Row],[puesto_trabajo]],tblPuestos[codigo],tblPuestos[especialidad],"(sin catálogo)"))</f>
        <v/>
      </c>
      <c r="Z288" s="3">
        <f>IF(tblOrdenes[[#This Row],[cod_actividad]]="","",_xlfn.XLOOKUP(tblOrdenes[[#This Row],[cod_actividad]],tblActividades[codigo],tblActividades[descripcion],"(sin catálogo)"))</f>
        <v/>
      </c>
      <c r="AA288" s="13">
        <f>IF(tblOrdenes[[#This Row],[fecha_inicio]]="","",TODAY()-tblOrdenes[[#This Row],[fecha_inicio]])</f>
        <v/>
      </c>
      <c r="AB2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8" s="3">
        <f>IF(tblOrdenes[[#This Row],[backlog_habiles]]="","",IF(tblOrdenes[[#This Row],[backlog_habiles]]&lt;0,"FUTURO",IF(tblOrdenes[[#This Row],[backlog_habiles]]&gt;p_dias_backlog_max,"BACKLOG","MES CORRIENTE")))</f>
        <v/>
      </c>
      <c r="AD288" s="3">
        <f>IF(tblOrdenes[[#This Row],[backlog_habiles]]="",FALSE,AND(tblOrdenes[[#This Row],[backlog_habiles]]&gt;p_dias_backlog_min,tblOrdenes[[#This Row],[backlog_habiles]]&lt;=p_dias_backlog_max))</f>
        <v/>
      </c>
      <c r="AE288" s="6" t="n"/>
      <c r="AF2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8" s="11">
        <f>IF(tblOrdenes[[#This Row],[orden]]="","",_xlfn.XLOOKUP(tblOrdenes[[#This Row],[id_operacion]],tblEjecucion[id_operacion],tblEjecucion[precio],0))</f>
        <v/>
      </c>
      <c r="AJ288" s="11">
        <f>IF(tblOrdenes[[#This Row],[orden]]="","",MAX(0,_xlfn.XLOOKUP(tblOrdenes[[#This Row],[id_operacion]],tblEjecucion[id_operacion],tblEjecucion[costo_plan_total],0)-tblOrdenes[[#This Row],[costo_servicio]]))</f>
        <v/>
      </c>
      <c r="AK288" s="11">
        <f>IF(tblOrdenes[[#This Row],[orden]]="","",tblOrdenes[[#This Row],[costo_servicio]]+tblOrdenes[[#This Row],[costo_materiales]])</f>
        <v/>
      </c>
      <c r="AL288" s="6" t="n"/>
      <c r="AM288" s="6" t="n"/>
      <c r="AN288" s="6" t="n"/>
      <c r="AO288" s="3">
        <f>IF(tblOrdenes[[#This Row],[link_checklist]]="","",HYPERLINK(p_ruta_base_checklists&amp;tblOrdenes[[#This Row],[link_checklist]],"abrir"))</f>
        <v/>
      </c>
      <c r="AP288" s="6" t="n"/>
      <c r="AQ288" s="3">
        <f>IF(tblOrdenes[[#This Row],[orden]]="","",tblOrdenes[[#This Row],[orden]]&amp;IF(tblOrdenes[[#This Row],[operacion]]="","0010",tblOrdenes[[#This Row],[operacion]]))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2" t="n"/>
      <c r="K289" s="3" t="n"/>
      <c r="L289" s="11" t="n"/>
      <c r="M2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9" s="3">
        <f>IF(tblOrdenes[[#This Row],[fecha_inicio]]="","",YEAR(tblOrdenes[[#This Row],[fecha_inicio]]))</f>
        <v/>
      </c>
      <c r="Q289" s="3">
        <f>IF(tblOrdenes[[#This Row],[fecha_inicio]]="","",MONTH(tblOrdenes[[#This Row],[fecha_inicio]]))</f>
        <v/>
      </c>
      <c r="R289" s="3">
        <f>IF(tblOrdenes[[#This Row],[fecha_inicio]]="","",INDEX(lista_dias,WEEKDAY(tblOrdenes[[#This Row],[fecha_inicio]],2)))</f>
        <v/>
      </c>
      <c r="S2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9" s="3">
        <f>IF(tblOrdenes[[#This Row],[tipo_ot]]="","",_xlfn.XLOOKUP(tblOrdenes[[#This Row],[tipo_ot]],tblTiposOT[codigo],tblTiposOT[clasificacion],"sin_clasificar"))</f>
        <v/>
      </c>
      <c r="U289" s="3">
        <f>IF(tblOrdenes[[#This Row],[centro_costo]]="","",_xlfn.XLOOKUP(tblOrdenes[[#This Row],[centro_costo]],tblCECO[codigo],tblCECO[linea],"(sin catálogo)"))</f>
        <v/>
      </c>
      <c r="V289" s="3">
        <f>IF(tblOrdenes[[#This Row],[centro_costo]]="","",_xlfn.XLOOKUP(tblOrdenes[[#This Row],[centro_costo]],tblCECO[codigo],tblCECO[area],"(sin catálogo)"))</f>
        <v/>
      </c>
      <c r="W2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9" s="3">
        <f>IF(tblOrdenes[[#This Row],[centro_costo]]="","",_xlfn.XLOOKUP(tblOrdenes[[#This Row],[centro_costo]],tblCECO[codigo],tblCECO[coordinador],"(sin catálogo)"))</f>
        <v/>
      </c>
      <c r="Y289" s="3">
        <f>IF(tblOrdenes[[#This Row],[puesto_trabajo]]="","",_xlfn.XLOOKUP(tblOrdenes[[#This Row],[puesto_trabajo]],tblPuestos[codigo],tblPuestos[especialidad],"(sin catálogo)"))</f>
        <v/>
      </c>
      <c r="Z289" s="3">
        <f>IF(tblOrdenes[[#This Row],[cod_actividad]]="","",_xlfn.XLOOKUP(tblOrdenes[[#This Row],[cod_actividad]],tblActividades[codigo],tblActividades[descripcion],"(sin catálogo)"))</f>
        <v/>
      </c>
      <c r="AA289" s="13">
        <f>IF(tblOrdenes[[#This Row],[fecha_inicio]]="","",TODAY()-tblOrdenes[[#This Row],[fecha_inicio]])</f>
        <v/>
      </c>
      <c r="AB2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9" s="3">
        <f>IF(tblOrdenes[[#This Row],[backlog_habiles]]="","",IF(tblOrdenes[[#This Row],[backlog_habiles]]&lt;0,"FUTURO",IF(tblOrdenes[[#This Row],[backlog_habiles]]&gt;p_dias_backlog_max,"BACKLOG","MES CORRIENTE")))</f>
        <v/>
      </c>
      <c r="AD289" s="3">
        <f>IF(tblOrdenes[[#This Row],[backlog_habiles]]="",FALSE,AND(tblOrdenes[[#This Row],[backlog_habiles]]&gt;p_dias_backlog_min,tblOrdenes[[#This Row],[backlog_habiles]]&lt;=p_dias_backlog_max))</f>
        <v/>
      </c>
      <c r="AE289" s="6" t="n"/>
      <c r="AF2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9" s="11">
        <f>IF(tblOrdenes[[#This Row],[orden]]="","",_xlfn.XLOOKUP(tblOrdenes[[#This Row],[id_operacion]],tblEjecucion[id_operacion],tblEjecucion[precio],0))</f>
        <v/>
      </c>
      <c r="AJ289" s="11">
        <f>IF(tblOrdenes[[#This Row],[orden]]="","",MAX(0,_xlfn.XLOOKUP(tblOrdenes[[#This Row],[id_operacion]],tblEjecucion[id_operacion],tblEjecucion[costo_plan_total],0)-tblOrdenes[[#This Row],[costo_servicio]]))</f>
        <v/>
      </c>
      <c r="AK289" s="11">
        <f>IF(tblOrdenes[[#This Row],[orden]]="","",tblOrdenes[[#This Row],[costo_servicio]]+tblOrdenes[[#This Row],[costo_materiales]])</f>
        <v/>
      </c>
      <c r="AL289" s="6" t="n"/>
      <c r="AM289" s="6" t="n"/>
      <c r="AN289" s="6" t="n"/>
      <c r="AO289" s="3">
        <f>IF(tblOrdenes[[#This Row],[link_checklist]]="","",HYPERLINK(p_ruta_base_checklists&amp;tblOrdenes[[#This Row],[link_checklist]],"abrir"))</f>
        <v/>
      </c>
      <c r="AP289" s="6" t="n"/>
      <c r="AQ289" s="3">
        <f>IF(tblOrdenes[[#This Row],[orden]]="","",tblOrdenes[[#This Row],[orden]]&amp;IF(tblOrdenes[[#This Row],[operacion]]="","0010",tblOrdenes[[#This Row],[operacion]]))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2" t="n"/>
      <c r="K290" s="3" t="n"/>
      <c r="L290" s="11" t="n"/>
      <c r="M2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0" s="3">
        <f>IF(tblOrdenes[[#This Row],[fecha_inicio]]="","",YEAR(tblOrdenes[[#This Row],[fecha_inicio]]))</f>
        <v/>
      </c>
      <c r="Q290" s="3">
        <f>IF(tblOrdenes[[#This Row],[fecha_inicio]]="","",MONTH(tblOrdenes[[#This Row],[fecha_inicio]]))</f>
        <v/>
      </c>
      <c r="R290" s="3">
        <f>IF(tblOrdenes[[#This Row],[fecha_inicio]]="","",INDEX(lista_dias,WEEKDAY(tblOrdenes[[#This Row],[fecha_inicio]],2)))</f>
        <v/>
      </c>
      <c r="S2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0" s="3">
        <f>IF(tblOrdenes[[#This Row],[tipo_ot]]="","",_xlfn.XLOOKUP(tblOrdenes[[#This Row],[tipo_ot]],tblTiposOT[codigo],tblTiposOT[clasificacion],"sin_clasificar"))</f>
        <v/>
      </c>
      <c r="U290" s="3">
        <f>IF(tblOrdenes[[#This Row],[centro_costo]]="","",_xlfn.XLOOKUP(tblOrdenes[[#This Row],[centro_costo]],tblCECO[codigo],tblCECO[linea],"(sin catálogo)"))</f>
        <v/>
      </c>
      <c r="V290" s="3">
        <f>IF(tblOrdenes[[#This Row],[centro_costo]]="","",_xlfn.XLOOKUP(tblOrdenes[[#This Row],[centro_costo]],tblCECO[codigo],tblCECO[area],"(sin catálogo)"))</f>
        <v/>
      </c>
      <c r="W2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0" s="3">
        <f>IF(tblOrdenes[[#This Row],[centro_costo]]="","",_xlfn.XLOOKUP(tblOrdenes[[#This Row],[centro_costo]],tblCECO[codigo],tblCECO[coordinador],"(sin catálogo)"))</f>
        <v/>
      </c>
      <c r="Y290" s="3">
        <f>IF(tblOrdenes[[#This Row],[puesto_trabajo]]="","",_xlfn.XLOOKUP(tblOrdenes[[#This Row],[puesto_trabajo]],tblPuestos[codigo],tblPuestos[especialidad],"(sin catálogo)"))</f>
        <v/>
      </c>
      <c r="Z290" s="3">
        <f>IF(tblOrdenes[[#This Row],[cod_actividad]]="","",_xlfn.XLOOKUP(tblOrdenes[[#This Row],[cod_actividad]],tblActividades[codigo],tblActividades[descripcion],"(sin catálogo)"))</f>
        <v/>
      </c>
      <c r="AA290" s="13">
        <f>IF(tblOrdenes[[#This Row],[fecha_inicio]]="","",TODAY()-tblOrdenes[[#This Row],[fecha_inicio]])</f>
        <v/>
      </c>
      <c r="AB2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0" s="3">
        <f>IF(tblOrdenes[[#This Row],[backlog_habiles]]="","",IF(tblOrdenes[[#This Row],[backlog_habiles]]&lt;0,"FUTURO",IF(tblOrdenes[[#This Row],[backlog_habiles]]&gt;p_dias_backlog_max,"BACKLOG","MES CORRIENTE")))</f>
        <v/>
      </c>
      <c r="AD290" s="3">
        <f>IF(tblOrdenes[[#This Row],[backlog_habiles]]="",FALSE,AND(tblOrdenes[[#This Row],[backlog_habiles]]&gt;p_dias_backlog_min,tblOrdenes[[#This Row],[backlog_habiles]]&lt;=p_dias_backlog_max))</f>
        <v/>
      </c>
      <c r="AE290" s="6" t="n"/>
      <c r="AF2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0" s="11">
        <f>IF(tblOrdenes[[#This Row],[orden]]="","",_xlfn.XLOOKUP(tblOrdenes[[#This Row],[id_operacion]],tblEjecucion[id_operacion],tblEjecucion[precio],0))</f>
        <v/>
      </c>
      <c r="AJ290" s="11">
        <f>IF(tblOrdenes[[#This Row],[orden]]="","",MAX(0,_xlfn.XLOOKUP(tblOrdenes[[#This Row],[id_operacion]],tblEjecucion[id_operacion],tblEjecucion[costo_plan_total],0)-tblOrdenes[[#This Row],[costo_servicio]]))</f>
        <v/>
      </c>
      <c r="AK290" s="11">
        <f>IF(tblOrdenes[[#This Row],[orden]]="","",tblOrdenes[[#This Row],[costo_servicio]]+tblOrdenes[[#This Row],[costo_materiales]])</f>
        <v/>
      </c>
      <c r="AL290" s="6" t="n"/>
      <c r="AM290" s="6" t="n"/>
      <c r="AN290" s="6" t="n"/>
      <c r="AO290" s="3">
        <f>IF(tblOrdenes[[#This Row],[link_checklist]]="","",HYPERLINK(p_ruta_base_checklists&amp;tblOrdenes[[#This Row],[link_checklist]],"abrir"))</f>
        <v/>
      </c>
      <c r="AP290" s="6" t="n"/>
      <c r="AQ290" s="3">
        <f>IF(tblOrdenes[[#This Row],[orden]]="","",tblOrdenes[[#This Row],[orden]]&amp;IF(tblOrdenes[[#This Row],[operacion]]="","0010",tblOrdenes[[#This Row],[operacion]]))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2" t="n"/>
      <c r="K291" s="3" t="n"/>
      <c r="L291" s="11" t="n"/>
      <c r="M2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1" s="3">
        <f>IF(tblOrdenes[[#This Row],[fecha_inicio]]="","",YEAR(tblOrdenes[[#This Row],[fecha_inicio]]))</f>
        <v/>
      </c>
      <c r="Q291" s="3">
        <f>IF(tblOrdenes[[#This Row],[fecha_inicio]]="","",MONTH(tblOrdenes[[#This Row],[fecha_inicio]]))</f>
        <v/>
      </c>
      <c r="R291" s="3">
        <f>IF(tblOrdenes[[#This Row],[fecha_inicio]]="","",INDEX(lista_dias,WEEKDAY(tblOrdenes[[#This Row],[fecha_inicio]],2)))</f>
        <v/>
      </c>
      <c r="S2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1" s="3">
        <f>IF(tblOrdenes[[#This Row],[tipo_ot]]="","",_xlfn.XLOOKUP(tblOrdenes[[#This Row],[tipo_ot]],tblTiposOT[codigo],tblTiposOT[clasificacion],"sin_clasificar"))</f>
        <v/>
      </c>
      <c r="U291" s="3">
        <f>IF(tblOrdenes[[#This Row],[centro_costo]]="","",_xlfn.XLOOKUP(tblOrdenes[[#This Row],[centro_costo]],tblCECO[codigo],tblCECO[linea],"(sin catálogo)"))</f>
        <v/>
      </c>
      <c r="V291" s="3">
        <f>IF(tblOrdenes[[#This Row],[centro_costo]]="","",_xlfn.XLOOKUP(tblOrdenes[[#This Row],[centro_costo]],tblCECO[codigo],tblCECO[area],"(sin catálogo)"))</f>
        <v/>
      </c>
      <c r="W2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1" s="3">
        <f>IF(tblOrdenes[[#This Row],[centro_costo]]="","",_xlfn.XLOOKUP(tblOrdenes[[#This Row],[centro_costo]],tblCECO[codigo],tblCECO[coordinador],"(sin catálogo)"))</f>
        <v/>
      </c>
      <c r="Y291" s="3">
        <f>IF(tblOrdenes[[#This Row],[puesto_trabajo]]="","",_xlfn.XLOOKUP(tblOrdenes[[#This Row],[puesto_trabajo]],tblPuestos[codigo],tblPuestos[especialidad],"(sin catálogo)"))</f>
        <v/>
      </c>
      <c r="Z291" s="3">
        <f>IF(tblOrdenes[[#This Row],[cod_actividad]]="","",_xlfn.XLOOKUP(tblOrdenes[[#This Row],[cod_actividad]],tblActividades[codigo],tblActividades[descripcion],"(sin catálogo)"))</f>
        <v/>
      </c>
      <c r="AA291" s="13">
        <f>IF(tblOrdenes[[#This Row],[fecha_inicio]]="","",TODAY()-tblOrdenes[[#This Row],[fecha_inicio]])</f>
        <v/>
      </c>
      <c r="AB2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1" s="3">
        <f>IF(tblOrdenes[[#This Row],[backlog_habiles]]="","",IF(tblOrdenes[[#This Row],[backlog_habiles]]&lt;0,"FUTURO",IF(tblOrdenes[[#This Row],[backlog_habiles]]&gt;p_dias_backlog_max,"BACKLOG","MES CORRIENTE")))</f>
        <v/>
      </c>
      <c r="AD291" s="3">
        <f>IF(tblOrdenes[[#This Row],[backlog_habiles]]="",FALSE,AND(tblOrdenes[[#This Row],[backlog_habiles]]&gt;p_dias_backlog_min,tblOrdenes[[#This Row],[backlog_habiles]]&lt;=p_dias_backlog_max))</f>
        <v/>
      </c>
      <c r="AE291" s="6" t="n"/>
      <c r="AF2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1" s="11">
        <f>IF(tblOrdenes[[#This Row],[orden]]="","",_xlfn.XLOOKUP(tblOrdenes[[#This Row],[id_operacion]],tblEjecucion[id_operacion],tblEjecucion[precio],0))</f>
        <v/>
      </c>
      <c r="AJ291" s="11">
        <f>IF(tblOrdenes[[#This Row],[orden]]="","",MAX(0,_xlfn.XLOOKUP(tblOrdenes[[#This Row],[id_operacion]],tblEjecucion[id_operacion],tblEjecucion[costo_plan_total],0)-tblOrdenes[[#This Row],[costo_servicio]]))</f>
        <v/>
      </c>
      <c r="AK291" s="11">
        <f>IF(tblOrdenes[[#This Row],[orden]]="","",tblOrdenes[[#This Row],[costo_servicio]]+tblOrdenes[[#This Row],[costo_materiales]])</f>
        <v/>
      </c>
      <c r="AL291" s="6" t="n"/>
      <c r="AM291" s="6" t="n"/>
      <c r="AN291" s="6" t="n"/>
      <c r="AO291" s="3">
        <f>IF(tblOrdenes[[#This Row],[link_checklist]]="","",HYPERLINK(p_ruta_base_checklists&amp;tblOrdenes[[#This Row],[link_checklist]],"abrir"))</f>
        <v/>
      </c>
      <c r="AP291" s="6" t="n"/>
      <c r="AQ291" s="3">
        <f>IF(tblOrdenes[[#This Row],[orden]]="","",tblOrdenes[[#This Row],[orden]]&amp;IF(tblOrdenes[[#This Row],[operacion]]="","0010",tblOrdenes[[#This Row],[operacion]]))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2" t="n"/>
      <c r="K292" s="3" t="n"/>
      <c r="L292" s="11" t="n"/>
      <c r="M2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2" s="3">
        <f>IF(tblOrdenes[[#This Row],[fecha_inicio]]="","",YEAR(tblOrdenes[[#This Row],[fecha_inicio]]))</f>
        <v/>
      </c>
      <c r="Q292" s="3">
        <f>IF(tblOrdenes[[#This Row],[fecha_inicio]]="","",MONTH(tblOrdenes[[#This Row],[fecha_inicio]]))</f>
        <v/>
      </c>
      <c r="R292" s="3">
        <f>IF(tblOrdenes[[#This Row],[fecha_inicio]]="","",INDEX(lista_dias,WEEKDAY(tblOrdenes[[#This Row],[fecha_inicio]],2)))</f>
        <v/>
      </c>
      <c r="S2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2" s="3">
        <f>IF(tblOrdenes[[#This Row],[tipo_ot]]="","",_xlfn.XLOOKUP(tblOrdenes[[#This Row],[tipo_ot]],tblTiposOT[codigo],tblTiposOT[clasificacion],"sin_clasificar"))</f>
        <v/>
      </c>
      <c r="U292" s="3">
        <f>IF(tblOrdenes[[#This Row],[centro_costo]]="","",_xlfn.XLOOKUP(tblOrdenes[[#This Row],[centro_costo]],tblCECO[codigo],tblCECO[linea],"(sin catálogo)"))</f>
        <v/>
      </c>
      <c r="V292" s="3">
        <f>IF(tblOrdenes[[#This Row],[centro_costo]]="","",_xlfn.XLOOKUP(tblOrdenes[[#This Row],[centro_costo]],tblCECO[codigo],tblCECO[area],"(sin catálogo)"))</f>
        <v/>
      </c>
      <c r="W2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2" s="3">
        <f>IF(tblOrdenes[[#This Row],[centro_costo]]="","",_xlfn.XLOOKUP(tblOrdenes[[#This Row],[centro_costo]],tblCECO[codigo],tblCECO[coordinador],"(sin catálogo)"))</f>
        <v/>
      </c>
      <c r="Y292" s="3">
        <f>IF(tblOrdenes[[#This Row],[puesto_trabajo]]="","",_xlfn.XLOOKUP(tblOrdenes[[#This Row],[puesto_trabajo]],tblPuestos[codigo],tblPuestos[especialidad],"(sin catálogo)"))</f>
        <v/>
      </c>
      <c r="Z292" s="3">
        <f>IF(tblOrdenes[[#This Row],[cod_actividad]]="","",_xlfn.XLOOKUP(tblOrdenes[[#This Row],[cod_actividad]],tblActividades[codigo],tblActividades[descripcion],"(sin catálogo)"))</f>
        <v/>
      </c>
      <c r="AA292" s="13">
        <f>IF(tblOrdenes[[#This Row],[fecha_inicio]]="","",TODAY()-tblOrdenes[[#This Row],[fecha_inicio]])</f>
        <v/>
      </c>
      <c r="AB2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2" s="3">
        <f>IF(tblOrdenes[[#This Row],[backlog_habiles]]="","",IF(tblOrdenes[[#This Row],[backlog_habiles]]&lt;0,"FUTURO",IF(tblOrdenes[[#This Row],[backlog_habiles]]&gt;p_dias_backlog_max,"BACKLOG","MES CORRIENTE")))</f>
        <v/>
      </c>
      <c r="AD292" s="3">
        <f>IF(tblOrdenes[[#This Row],[backlog_habiles]]="",FALSE,AND(tblOrdenes[[#This Row],[backlog_habiles]]&gt;p_dias_backlog_min,tblOrdenes[[#This Row],[backlog_habiles]]&lt;=p_dias_backlog_max))</f>
        <v/>
      </c>
      <c r="AE292" s="6" t="n"/>
      <c r="AF2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2" s="11">
        <f>IF(tblOrdenes[[#This Row],[orden]]="","",_xlfn.XLOOKUP(tblOrdenes[[#This Row],[id_operacion]],tblEjecucion[id_operacion],tblEjecucion[precio],0))</f>
        <v/>
      </c>
      <c r="AJ292" s="11">
        <f>IF(tblOrdenes[[#This Row],[orden]]="","",MAX(0,_xlfn.XLOOKUP(tblOrdenes[[#This Row],[id_operacion]],tblEjecucion[id_operacion],tblEjecucion[costo_plan_total],0)-tblOrdenes[[#This Row],[costo_servicio]]))</f>
        <v/>
      </c>
      <c r="AK292" s="11">
        <f>IF(tblOrdenes[[#This Row],[orden]]="","",tblOrdenes[[#This Row],[costo_servicio]]+tblOrdenes[[#This Row],[costo_materiales]])</f>
        <v/>
      </c>
      <c r="AL292" s="6" t="n"/>
      <c r="AM292" s="6" t="n"/>
      <c r="AN292" s="6" t="n"/>
      <c r="AO292" s="3">
        <f>IF(tblOrdenes[[#This Row],[link_checklist]]="","",HYPERLINK(p_ruta_base_checklists&amp;tblOrdenes[[#This Row],[link_checklist]],"abrir"))</f>
        <v/>
      </c>
      <c r="AP292" s="6" t="n"/>
      <c r="AQ292" s="3">
        <f>IF(tblOrdenes[[#This Row],[orden]]="","",tblOrdenes[[#This Row],[orden]]&amp;IF(tblOrdenes[[#This Row],[operacion]]="","0010",tblOrdenes[[#This Row],[operacion]]))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2" t="n"/>
      <c r="K293" s="3" t="n"/>
      <c r="L293" s="11" t="n"/>
      <c r="M2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3" s="3">
        <f>IF(tblOrdenes[[#This Row],[fecha_inicio]]="","",YEAR(tblOrdenes[[#This Row],[fecha_inicio]]))</f>
        <v/>
      </c>
      <c r="Q293" s="3">
        <f>IF(tblOrdenes[[#This Row],[fecha_inicio]]="","",MONTH(tblOrdenes[[#This Row],[fecha_inicio]]))</f>
        <v/>
      </c>
      <c r="R293" s="3">
        <f>IF(tblOrdenes[[#This Row],[fecha_inicio]]="","",INDEX(lista_dias,WEEKDAY(tblOrdenes[[#This Row],[fecha_inicio]],2)))</f>
        <v/>
      </c>
      <c r="S2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3" s="3">
        <f>IF(tblOrdenes[[#This Row],[tipo_ot]]="","",_xlfn.XLOOKUP(tblOrdenes[[#This Row],[tipo_ot]],tblTiposOT[codigo],tblTiposOT[clasificacion],"sin_clasificar"))</f>
        <v/>
      </c>
      <c r="U293" s="3">
        <f>IF(tblOrdenes[[#This Row],[centro_costo]]="","",_xlfn.XLOOKUP(tblOrdenes[[#This Row],[centro_costo]],tblCECO[codigo],tblCECO[linea],"(sin catálogo)"))</f>
        <v/>
      </c>
      <c r="V293" s="3">
        <f>IF(tblOrdenes[[#This Row],[centro_costo]]="","",_xlfn.XLOOKUP(tblOrdenes[[#This Row],[centro_costo]],tblCECO[codigo],tblCECO[area],"(sin catálogo)"))</f>
        <v/>
      </c>
      <c r="W2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3" s="3">
        <f>IF(tblOrdenes[[#This Row],[centro_costo]]="","",_xlfn.XLOOKUP(tblOrdenes[[#This Row],[centro_costo]],tblCECO[codigo],tblCECO[coordinador],"(sin catálogo)"))</f>
        <v/>
      </c>
      <c r="Y293" s="3">
        <f>IF(tblOrdenes[[#This Row],[puesto_trabajo]]="","",_xlfn.XLOOKUP(tblOrdenes[[#This Row],[puesto_trabajo]],tblPuestos[codigo],tblPuestos[especialidad],"(sin catálogo)"))</f>
        <v/>
      </c>
      <c r="Z293" s="3">
        <f>IF(tblOrdenes[[#This Row],[cod_actividad]]="","",_xlfn.XLOOKUP(tblOrdenes[[#This Row],[cod_actividad]],tblActividades[codigo],tblActividades[descripcion],"(sin catálogo)"))</f>
        <v/>
      </c>
      <c r="AA293" s="13">
        <f>IF(tblOrdenes[[#This Row],[fecha_inicio]]="","",TODAY()-tblOrdenes[[#This Row],[fecha_inicio]])</f>
        <v/>
      </c>
      <c r="AB2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3" s="3">
        <f>IF(tblOrdenes[[#This Row],[backlog_habiles]]="","",IF(tblOrdenes[[#This Row],[backlog_habiles]]&lt;0,"FUTURO",IF(tblOrdenes[[#This Row],[backlog_habiles]]&gt;p_dias_backlog_max,"BACKLOG","MES CORRIENTE")))</f>
        <v/>
      </c>
      <c r="AD293" s="3">
        <f>IF(tblOrdenes[[#This Row],[backlog_habiles]]="",FALSE,AND(tblOrdenes[[#This Row],[backlog_habiles]]&gt;p_dias_backlog_min,tblOrdenes[[#This Row],[backlog_habiles]]&lt;=p_dias_backlog_max))</f>
        <v/>
      </c>
      <c r="AE293" s="6" t="n"/>
      <c r="AF2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3" s="11">
        <f>IF(tblOrdenes[[#This Row],[orden]]="","",_xlfn.XLOOKUP(tblOrdenes[[#This Row],[id_operacion]],tblEjecucion[id_operacion],tblEjecucion[precio],0))</f>
        <v/>
      </c>
      <c r="AJ293" s="11">
        <f>IF(tblOrdenes[[#This Row],[orden]]="","",MAX(0,_xlfn.XLOOKUP(tblOrdenes[[#This Row],[id_operacion]],tblEjecucion[id_operacion],tblEjecucion[costo_plan_total],0)-tblOrdenes[[#This Row],[costo_servicio]]))</f>
        <v/>
      </c>
      <c r="AK293" s="11">
        <f>IF(tblOrdenes[[#This Row],[orden]]="","",tblOrdenes[[#This Row],[costo_servicio]]+tblOrdenes[[#This Row],[costo_materiales]])</f>
        <v/>
      </c>
      <c r="AL293" s="6" t="n"/>
      <c r="AM293" s="6" t="n"/>
      <c r="AN293" s="6" t="n"/>
      <c r="AO293" s="3">
        <f>IF(tblOrdenes[[#This Row],[link_checklist]]="","",HYPERLINK(p_ruta_base_checklists&amp;tblOrdenes[[#This Row],[link_checklist]],"abrir"))</f>
        <v/>
      </c>
      <c r="AP293" s="6" t="n"/>
      <c r="AQ293" s="3">
        <f>IF(tblOrdenes[[#This Row],[orden]]="","",tblOrdenes[[#This Row],[orden]]&amp;IF(tblOrdenes[[#This Row],[operacion]]="","0010",tblOrdenes[[#This Row],[operacion]]))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2" t="n"/>
      <c r="K294" s="3" t="n"/>
      <c r="L294" s="11" t="n"/>
      <c r="M2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4" s="3">
        <f>IF(tblOrdenes[[#This Row],[fecha_inicio]]="","",YEAR(tblOrdenes[[#This Row],[fecha_inicio]]))</f>
        <v/>
      </c>
      <c r="Q294" s="3">
        <f>IF(tblOrdenes[[#This Row],[fecha_inicio]]="","",MONTH(tblOrdenes[[#This Row],[fecha_inicio]]))</f>
        <v/>
      </c>
      <c r="R294" s="3">
        <f>IF(tblOrdenes[[#This Row],[fecha_inicio]]="","",INDEX(lista_dias,WEEKDAY(tblOrdenes[[#This Row],[fecha_inicio]],2)))</f>
        <v/>
      </c>
      <c r="S2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4" s="3">
        <f>IF(tblOrdenes[[#This Row],[tipo_ot]]="","",_xlfn.XLOOKUP(tblOrdenes[[#This Row],[tipo_ot]],tblTiposOT[codigo],tblTiposOT[clasificacion],"sin_clasificar"))</f>
        <v/>
      </c>
      <c r="U294" s="3">
        <f>IF(tblOrdenes[[#This Row],[centro_costo]]="","",_xlfn.XLOOKUP(tblOrdenes[[#This Row],[centro_costo]],tblCECO[codigo],tblCECO[linea],"(sin catálogo)"))</f>
        <v/>
      </c>
      <c r="V294" s="3">
        <f>IF(tblOrdenes[[#This Row],[centro_costo]]="","",_xlfn.XLOOKUP(tblOrdenes[[#This Row],[centro_costo]],tblCECO[codigo],tblCECO[area],"(sin catálogo)"))</f>
        <v/>
      </c>
      <c r="W2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4" s="3">
        <f>IF(tblOrdenes[[#This Row],[centro_costo]]="","",_xlfn.XLOOKUP(tblOrdenes[[#This Row],[centro_costo]],tblCECO[codigo],tblCECO[coordinador],"(sin catálogo)"))</f>
        <v/>
      </c>
      <c r="Y294" s="3">
        <f>IF(tblOrdenes[[#This Row],[puesto_trabajo]]="","",_xlfn.XLOOKUP(tblOrdenes[[#This Row],[puesto_trabajo]],tblPuestos[codigo],tblPuestos[especialidad],"(sin catálogo)"))</f>
        <v/>
      </c>
      <c r="Z294" s="3">
        <f>IF(tblOrdenes[[#This Row],[cod_actividad]]="","",_xlfn.XLOOKUP(tblOrdenes[[#This Row],[cod_actividad]],tblActividades[codigo],tblActividades[descripcion],"(sin catálogo)"))</f>
        <v/>
      </c>
      <c r="AA294" s="13">
        <f>IF(tblOrdenes[[#This Row],[fecha_inicio]]="","",TODAY()-tblOrdenes[[#This Row],[fecha_inicio]])</f>
        <v/>
      </c>
      <c r="AB2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4" s="3">
        <f>IF(tblOrdenes[[#This Row],[backlog_habiles]]="","",IF(tblOrdenes[[#This Row],[backlog_habiles]]&lt;0,"FUTURO",IF(tblOrdenes[[#This Row],[backlog_habiles]]&gt;p_dias_backlog_max,"BACKLOG","MES CORRIENTE")))</f>
        <v/>
      </c>
      <c r="AD294" s="3">
        <f>IF(tblOrdenes[[#This Row],[backlog_habiles]]="",FALSE,AND(tblOrdenes[[#This Row],[backlog_habiles]]&gt;p_dias_backlog_min,tblOrdenes[[#This Row],[backlog_habiles]]&lt;=p_dias_backlog_max))</f>
        <v/>
      </c>
      <c r="AE294" s="6" t="n"/>
      <c r="AF2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4" s="11">
        <f>IF(tblOrdenes[[#This Row],[orden]]="","",_xlfn.XLOOKUP(tblOrdenes[[#This Row],[id_operacion]],tblEjecucion[id_operacion],tblEjecucion[precio],0))</f>
        <v/>
      </c>
      <c r="AJ294" s="11">
        <f>IF(tblOrdenes[[#This Row],[orden]]="","",MAX(0,_xlfn.XLOOKUP(tblOrdenes[[#This Row],[id_operacion]],tblEjecucion[id_operacion],tblEjecucion[costo_plan_total],0)-tblOrdenes[[#This Row],[costo_servicio]]))</f>
        <v/>
      </c>
      <c r="AK294" s="11">
        <f>IF(tblOrdenes[[#This Row],[orden]]="","",tblOrdenes[[#This Row],[costo_servicio]]+tblOrdenes[[#This Row],[costo_materiales]])</f>
        <v/>
      </c>
      <c r="AL294" s="6" t="n"/>
      <c r="AM294" s="6" t="n"/>
      <c r="AN294" s="6" t="n"/>
      <c r="AO294" s="3">
        <f>IF(tblOrdenes[[#This Row],[link_checklist]]="","",HYPERLINK(p_ruta_base_checklists&amp;tblOrdenes[[#This Row],[link_checklist]],"abrir"))</f>
        <v/>
      </c>
      <c r="AP294" s="6" t="n"/>
      <c r="AQ294" s="3">
        <f>IF(tblOrdenes[[#This Row],[orden]]="","",tblOrdenes[[#This Row],[orden]]&amp;IF(tblOrdenes[[#This Row],[operacion]]="","0010",tblOrdenes[[#This Row],[operacion]]))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2" t="n"/>
      <c r="K295" s="3" t="n"/>
      <c r="L295" s="11" t="n"/>
      <c r="M2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5" s="3">
        <f>IF(tblOrdenes[[#This Row],[fecha_inicio]]="","",YEAR(tblOrdenes[[#This Row],[fecha_inicio]]))</f>
        <v/>
      </c>
      <c r="Q295" s="3">
        <f>IF(tblOrdenes[[#This Row],[fecha_inicio]]="","",MONTH(tblOrdenes[[#This Row],[fecha_inicio]]))</f>
        <v/>
      </c>
      <c r="R295" s="3">
        <f>IF(tblOrdenes[[#This Row],[fecha_inicio]]="","",INDEX(lista_dias,WEEKDAY(tblOrdenes[[#This Row],[fecha_inicio]],2)))</f>
        <v/>
      </c>
      <c r="S2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5" s="3">
        <f>IF(tblOrdenes[[#This Row],[tipo_ot]]="","",_xlfn.XLOOKUP(tblOrdenes[[#This Row],[tipo_ot]],tblTiposOT[codigo],tblTiposOT[clasificacion],"sin_clasificar"))</f>
        <v/>
      </c>
      <c r="U295" s="3">
        <f>IF(tblOrdenes[[#This Row],[centro_costo]]="","",_xlfn.XLOOKUP(tblOrdenes[[#This Row],[centro_costo]],tblCECO[codigo],tblCECO[linea],"(sin catálogo)"))</f>
        <v/>
      </c>
      <c r="V295" s="3">
        <f>IF(tblOrdenes[[#This Row],[centro_costo]]="","",_xlfn.XLOOKUP(tblOrdenes[[#This Row],[centro_costo]],tblCECO[codigo],tblCECO[area],"(sin catálogo)"))</f>
        <v/>
      </c>
      <c r="W2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5" s="3">
        <f>IF(tblOrdenes[[#This Row],[centro_costo]]="","",_xlfn.XLOOKUP(tblOrdenes[[#This Row],[centro_costo]],tblCECO[codigo],tblCECO[coordinador],"(sin catálogo)"))</f>
        <v/>
      </c>
      <c r="Y295" s="3">
        <f>IF(tblOrdenes[[#This Row],[puesto_trabajo]]="","",_xlfn.XLOOKUP(tblOrdenes[[#This Row],[puesto_trabajo]],tblPuestos[codigo],tblPuestos[especialidad],"(sin catálogo)"))</f>
        <v/>
      </c>
      <c r="Z295" s="3">
        <f>IF(tblOrdenes[[#This Row],[cod_actividad]]="","",_xlfn.XLOOKUP(tblOrdenes[[#This Row],[cod_actividad]],tblActividades[codigo],tblActividades[descripcion],"(sin catálogo)"))</f>
        <v/>
      </c>
      <c r="AA295" s="13">
        <f>IF(tblOrdenes[[#This Row],[fecha_inicio]]="","",TODAY()-tblOrdenes[[#This Row],[fecha_inicio]])</f>
        <v/>
      </c>
      <c r="AB2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5" s="3">
        <f>IF(tblOrdenes[[#This Row],[backlog_habiles]]="","",IF(tblOrdenes[[#This Row],[backlog_habiles]]&lt;0,"FUTURO",IF(tblOrdenes[[#This Row],[backlog_habiles]]&gt;p_dias_backlog_max,"BACKLOG","MES CORRIENTE")))</f>
        <v/>
      </c>
      <c r="AD295" s="3">
        <f>IF(tblOrdenes[[#This Row],[backlog_habiles]]="",FALSE,AND(tblOrdenes[[#This Row],[backlog_habiles]]&gt;p_dias_backlog_min,tblOrdenes[[#This Row],[backlog_habiles]]&lt;=p_dias_backlog_max))</f>
        <v/>
      </c>
      <c r="AE295" s="6" t="n"/>
      <c r="AF2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5" s="11">
        <f>IF(tblOrdenes[[#This Row],[orden]]="","",_xlfn.XLOOKUP(tblOrdenes[[#This Row],[id_operacion]],tblEjecucion[id_operacion],tblEjecucion[precio],0))</f>
        <v/>
      </c>
      <c r="AJ295" s="11">
        <f>IF(tblOrdenes[[#This Row],[orden]]="","",MAX(0,_xlfn.XLOOKUP(tblOrdenes[[#This Row],[id_operacion]],tblEjecucion[id_operacion],tblEjecucion[costo_plan_total],0)-tblOrdenes[[#This Row],[costo_servicio]]))</f>
        <v/>
      </c>
      <c r="AK295" s="11">
        <f>IF(tblOrdenes[[#This Row],[orden]]="","",tblOrdenes[[#This Row],[costo_servicio]]+tblOrdenes[[#This Row],[costo_materiales]])</f>
        <v/>
      </c>
      <c r="AL295" s="6" t="n"/>
      <c r="AM295" s="6" t="n"/>
      <c r="AN295" s="6" t="n"/>
      <c r="AO295" s="3">
        <f>IF(tblOrdenes[[#This Row],[link_checklist]]="","",HYPERLINK(p_ruta_base_checklists&amp;tblOrdenes[[#This Row],[link_checklist]],"abrir"))</f>
        <v/>
      </c>
      <c r="AP295" s="6" t="n"/>
      <c r="AQ295" s="3">
        <f>IF(tblOrdenes[[#This Row],[orden]]="","",tblOrdenes[[#This Row],[orden]]&amp;IF(tblOrdenes[[#This Row],[operacion]]="","0010",tblOrdenes[[#This Row],[operacion]]))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2" t="n"/>
      <c r="K296" s="3" t="n"/>
      <c r="L296" s="11" t="n"/>
      <c r="M2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6" s="3">
        <f>IF(tblOrdenes[[#This Row],[fecha_inicio]]="","",YEAR(tblOrdenes[[#This Row],[fecha_inicio]]))</f>
        <v/>
      </c>
      <c r="Q296" s="3">
        <f>IF(tblOrdenes[[#This Row],[fecha_inicio]]="","",MONTH(tblOrdenes[[#This Row],[fecha_inicio]]))</f>
        <v/>
      </c>
      <c r="R296" s="3">
        <f>IF(tblOrdenes[[#This Row],[fecha_inicio]]="","",INDEX(lista_dias,WEEKDAY(tblOrdenes[[#This Row],[fecha_inicio]],2)))</f>
        <v/>
      </c>
      <c r="S2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6" s="3">
        <f>IF(tblOrdenes[[#This Row],[tipo_ot]]="","",_xlfn.XLOOKUP(tblOrdenes[[#This Row],[tipo_ot]],tblTiposOT[codigo],tblTiposOT[clasificacion],"sin_clasificar"))</f>
        <v/>
      </c>
      <c r="U296" s="3">
        <f>IF(tblOrdenes[[#This Row],[centro_costo]]="","",_xlfn.XLOOKUP(tblOrdenes[[#This Row],[centro_costo]],tblCECO[codigo],tblCECO[linea],"(sin catálogo)"))</f>
        <v/>
      </c>
      <c r="V296" s="3">
        <f>IF(tblOrdenes[[#This Row],[centro_costo]]="","",_xlfn.XLOOKUP(tblOrdenes[[#This Row],[centro_costo]],tblCECO[codigo],tblCECO[area],"(sin catálogo)"))</f>
        <v/>
      </c>
      <c r="W2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6" s="3">
        <f>IF(tblOrdenes[[#This Row],[centro_costo]]="","",_xlfn.XLOOKUP(tblOrdenes[[#This Row],[centro_costo]],tblCECO[codigo],tblCECO[coordinador],"(sin catálogo)"))</f>
        <v/>
      </c>
      <c r="Y296" s="3">
        <f>IF(tblOrdenes[[#This Row],[puesto_trabajo]]="","",_xlfn.XLOOKUP(tblOrdenes[[#This Row],[puesto_trabajo]],tblPuestos[codigo],tblPuestos[especialidad],"(sin catálogo)"))</f>
        <v/>
      </c>
      <c r="Z296" s="3">
        <f>IF(tblOrdenes[[#This Row],[cod_actividad]]="","",_xlfn.XLOOKUP(tblOrdenes[[#This Row],[cod_actividad]],tblActividades[codigo],tblActividades[descripcion],"(sin catálogo)"))</f>
        <v/>
      </c>
      <c r="AA296" s="13">
        <f>IF(tblOrdenes[[#This Row],[fecha_inicio]]="","",TODAY()-tblOrdenes[[#This Row],[fecha_inicio]])</f>
        <v/>
      </c>
      <c r="AB2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6" s="3">
        <f>IF(tblOrdenes[[#This Row],[backlog_habiles]]="","",IF(tblOrdenes[[#This Row],[backlog_habiles]]&lt;0,"FUTURO",IF(tblOrdenes[[#This Row],[backlog_habiles]]&gt;p_dias_backlog_max,"BACKLOG","MES CORRIENTE")))</f>
        <v/>
      </c>
      <c r="AD296" s="3">
        <f>IF(tblOrdenes[[#This Row],[backlog_habiles]]="",FALSE,AND(tblOrdenes[[#This Row],[backlog_habiles]]&gt;p_dias_backlog_min,tblOrdenes[[#This Row],[backlog_habiles]]&lt;=p_dias_backlog_max))</f>
        <v/>
      </c>
      <c r="AE296" s="6" t="n"/>
      <c r="AF2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6" s="11">
        <f>IF(tblOrdenes[[#This Row],[orden]]="","",_xlfn.XLOOKUP(tblOrdenes[[#This Row],[id_operacion]],tblEjecucion[id_operacion],tblEjecucion[precio],0))</f>
        <v/>
      </c>
      <c r="AJ296" s="11">
        <f>IF(tblOrdenes[[#This Row],[orden]]="","",MAX(0,_xlfn.XLOOKUP(tblOrdenes[[#This Row],[id_operacion]],tblEjecucion[id_operacion],tblEjecucion[costo_plan_total],0)-tblOrdenes[[#This Row],[costo_servicio]]))</f>
        <v/>
      </c>
      <c r="AK296" s="11">
        <f>IF(tblOrdenes[[#This Row],[orden]]="","",tblOrdenes[[#This Row],[costo_servicio]]+tblOrdenes[[#This Row],[costo_materiales]])</f>
        <v/>
      </c>
      <c r="AL296" s="6" t="n"/>
      <c r="AM296" s="6" t="n"/>
      <c r="AN296" s="6" t="n"/>
      <c r="AO296" s="3">
        <f>IF(tblOrdenes[[#This Row],[link_checklist]]="","",HYPERLINK(p_ruta_base_checklists&amp;tblOrdenes[[#This Row],[link_checklist]],"abrir"))</f>
        <v/>
      </c>
      <c r="AP296" s="6" t="n"/>
      <c r="AQ296" s="3">
        <f>IF(tblOrdenes[[#This Row],[orden]]="","",tblOrdenes[[#This Row],[orden]]&amp;IF(tblOrdenes[[#This Row],[operacion]]="","0010",tblOrdenes[[#This Row],[operacion]]))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2" t="n"/>
      <c r="K297" s="3" t="n"/>
      <c r="L297" s="11" t="n"/>
      <c r="M2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7" s="3">
        <f>IF(tblOrdenes[[#This Row],[fecha_inicio]]="","",YEAR(tblOrdenes[[#This Row],[fecha_inicio]]))</f>
        <v/>
      </c>
      <c r="Q297" s="3">
        <f>IF(tblOrdenes[[#This Row],[fecha_inicio]]="","",MONTH(tblOrdenes[[#This Row],[fecha_inicio]]))</f>
        <v/>
      </c>
      <c r="R297" s="3">
        <f>IF(tblOrdenes[[#This Row],[fecha_inicio]]="","",INDEX(lista_dias,WEEKDAY(tblOrdenes[[#This Row],[fecha_inicio]],2)))</f>
        <v/>
      </c>
      <c r="S2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7" s="3">
        <f>IF(tblOrdenes[[#This Row],[tipo_ot]]="","",_xlfn.XLOOKUP(tblOrdenes[[#This Row],[tipo_ot]],tblTiposOT[codigo],tblTiposOT[clasificacion],"sin_clasificar"))</f>
        <v/>
      </c>
      <c r="U297" s="3">
        <f>IF(tblOrdenes[[#This Row],[centro_costo]]="","",_xlfn.XLOOKUP(tblOrdenes[[#This Row],[centro_costo]],tblCECO[codigo],tblCECO[linea],"(sin catálogo)"))</f>
        <v/>
      </c>
      <c r="V297" s="3">
        <f>IF(tblOrdenes[[#This Row],[centro_costo]]="","",_xlfn.XLOOKUP(tblOrdenes[[#This Row],[centro_costo]],tblCECO[codigo],tblCECO[area],"(sin catálogo)"))</f>
        <v/>
      </c>
      <c r="W2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7" s="3">
        <f>IF(tblOrdenes[[#This Row],[centro_costo]]="","",_xlfn.XLOOKUP(tblOrdenes[[#This Row],[centro_costo]],tblCECO[codigo],tblCECO[coordinador],"(sin catálogo)"))</f>
        <v/>
      </c>
      <c r="Y297" s="3">
        <f>IF(tblOrdenes[[#This Row],[puesto_trabajo]]="","",_xlfn.XLOOKUP(tblOrdenes[[#This Row],[puesto_trabajo]],tblPuestos[codigo],tblPuestos[especialidad],"(sin catálogo)"))</f>
        <v/>
      </c>
      <c r="Z297" s="3">
        <f>IF(tblOrdenes[[#This Row],[cod_actividad]]="","",_xlfn.XLOOKUP(tblOrdenes[[#This Row],[cod_actividad]],tblActividades[codigo],tblActividades[descripcion],"(sin catálogo)"))</f>
        <v/>
      </c>
      <c r="AA297" s="13">
        <f>IF(tblOrdenes[[#This Row],[fecha_inicio]]="","",TODAY()-tblOrdenes[[#This Row],[fecha_inicio]])</f>
        <v/>
      </c>
      <c r="AB2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7" s="3">
        <f>IF(tblOrdenes[[#This Row],[backlog_habiles]]="","",IF(tblOrdenes[[#This Row],[backlog_habiles]]&lt;0,"FUTURO",IF(tblOrdenes[[#This Row],[backlog_habiles]]&gt;p_dias_backlog_max,"BACKLOG","MES CORRIENTE")))</f>
        <v/>
      </c>
      <c r="AD297" s="3">
        <f>IF(tblOrdenes[[#This Row],[backlog_habiles]]="",FALSE,AND(tblOrdenes[[#This Row],[backlog_habiles]]&gt;p_dias_backlog_min,tblOrdenes[[#This Row],[backlog_habiles]]&lt;=p_dias_backlog_max))</f>
        <v/>
      </c>
      <c r="AE297" s="6" t="n"/>
      <c r="AF2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7" s="11">
        <f>IF(tblOrdenes[[#This Row],[orden]]="","",_xlfn.XLOOKUP(tblOrdenes[[#This Row],[id_operacion]],tblEjecucion[id_operacion],tblEjecucion[precio],0))</f>
        <v/>
      </c>
      <c r="AJ297" s="11">
        <f>IF(tblOrdenes[[#This Row],[orden]]="","",MAX(0,_xlfn.XLOOKUP(tblOrdenes[[#This Row],[id_operacion]],tblEjecucion[id_operacion],tblEjecucion[costo_plan_total],0)-tblOrdenes[[#This Row],[costo_servicio]]))</f>
        <v/>
      </c>
      <c r="AK297" s="11">
        <f>IF(tblOrdenes[[#This Row],[orden]]="","",tblOrdenes[[#This Row],[costo_servicio]]+tblOrdenes[[#This Row],[costo_materiales]])</f>
        <v/>
      </c>
      <c r="AL297" s="6" t="n"/>
      <c r="AM297" s="6" t="n"/>
      <c r="AN297" s="6" t="n"/>
      <c r="AO297" s="3">
        <f>IF(tblOrdenes[[#This Row],[link_checklist]]="","",HYPERLINK(p_ruta_base_checklists&amp;tblOrdenes[[#This Row],[link_checklist]],"abrir"))</f>
        <v/>
      </c>
      <c r="AP297" s="6" t="n"/>
      <c r="AQ297" s="3">
        <f>IF(tblOrdenes[[#This Row],[orden]]="","",tblOrdenes[[#This Row],[orden]]&amp;IF(tblOrdenes[[#This Row],[operacion]]="","0010",tblOrdenes[[#This Row],[operacion]]))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2" t="n"/>
      <c r="K298" s="3" t="n"/>
      <c r="L298" s="11" t="n"/>
      <c r="M2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8" s="3">
        <f>IF(tblOrdenes[[#This Row],[fecha_inicio]]="","",YEAR(tblOrdenes[[#This Row],[fecha_inicio]]))</f>
        <v/>
      </c>
      <c r="Q298" s="3">
        <f>IF(tblOrdenes[[#This Row],[fecha_inicio]]="","",MONTH(tblOrdenes[[#This Row],[fecha_inicio]]))</f>
        <v/>
      </c>
      <c r="R298" s="3">
        <f>IF(tblOrdenes[[#This Row],[fecha_inicio]]="","",INDEX(lista_dias,WEEKDAY(tblOrdenes[[#This Row],[fecha_inicio]],2)))</f>
        <v/>
      </c>
      <c r="S2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8" s="3">
        <f>IF(tblOrdenes[[#This Row],[tipo_ot]]="","",_xlfn.XLOOKUP(tblOrdenes[[#This Row],[tipo_ot]],tblTiposOT[codigo],tblTiposOT[clasificacion],"sin_clasificar"))</f>
        <v/>
      </c>
      <c r="U298" s="3">
        <f>IF(tblOrdenes[[#This Row],[centro_costo]]="","",_xlfn.XLOOKUP(tblOrdenes[[#This Row],[centro_costo]],tblCECO[codigo],tblCECO[linea],"(sin catálogo)"))</f>
        <v/>
      </c>
      <c r="V298" s="3">
        <f>IF(tblOrdenes[[#This Row],[centro_costo]]="","",_xlfn.XLOOKUP(tblOrdenes[[#This Row],[centro_costo]],tblCECO[codigo],tblCECO[area],"(sin catálogo)"))</f>
        <v/>
      </c>
      <c r="W2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8" s="3">
        <f>IF(tblOrdenes[[#This Row],[centro_costo]]="","",_xlfn.XLOOKUP(tblOrdenes[[#This Row],[centro_costo]],tblCECO[codigo],tblCECO[coordinador],"(sin catálogo)"))</f>
        <v/>
      </c>
      <c r="Y298" s="3">
        <f>IF(tblOrdenes[[#This Row],[puesto_trabajo]]="","",_xlfn.XLOOKUP(tblOrdenes[[#This Row],[puesto_trabajo]],tblPuestos[codigo],tblPuestos[especialidad],"(sin catálogo)"))</f>
        <v/>
      </c>
      <c r="Z298" s="3">
        <f>IF(tblOrdenes[[#This Row],[cod_actividad]]="","",_xlfn.XLOOKUP(tblOrdenes[[#This Row],[cod_actividad]],tblActividades[codigo],tblActividades[descripcion],"(sin catálogo)"))</f>
        <v/>
      </c>
      <c r="AA298" s="13">
        <f>IF(tblOrdenes[[#This Row],[fecha_inicio]]="","",TODAY()-tblOrdenes[[#This Row],[fecha_inicio]])</f>
        <v/>
      </c>
      <c r="AB2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8" s="3">
        <f>IF(tblOrdenes[[#This Row],[backlog_habiles]]="","",IF(tblOrdenes[[#This Row],[backlog_habiles]]&lt;0,"FUTURO",IF(tblOrdenes[[#This Row],[backlog_habiles]]&gt;p_dias_backlog_max,"BACKLOG","MES CORRIENTE")))</f>
        <v/>
      </c>
      <c r="AD298" s="3">
        <f>IF(tblOrdenes[[#This Row],[backlog_habiles]]="",FALSE,AND(tblOrdenes[[#This Row],[backlog_habiles]]&gt;p_dias_backlog_min,tblOrdenes[[#This Row],[backlog_habiles]]&lt;=p_dias_backlog_max))</f>
        <v/>
      </c>
      <c r="AE298" s="6" t="n"/>
      <c r="AF2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8" s="11">
        <f>IF(tblOrdenes[[#This Row],[orden]]="","",_xlfn.XLOOKUP(tblOrdenes[[#This Row],[id_operacion]],tblEjecucion[id_operacion],tblEjecucion[precio],0))</f>
        <v/>
      </c>
      <c r="AJ298" s="11">
        <f>IF(tblOrdenes[[#This Row],[orden]]="","",MAX(0,_xlfn.XLOOKUP(tblOrdenes[[#This Row],[id_operacion]],tblEjecucion[id_operacion],tblEjecucion[costo_plan_total],0)-tblOrdenes[[#This Row],[costo_servicio]]))</f>
        <v/>
      </c>
      <c r="AK298" s="11">
        <f>IF(tblOrdenes[[#This Row],[orden]]="","",tblOrdenes[[#This Row],[costo_servicio]]+tblOrdenes[[#This Row],[costo_materiales]])</f>
        <v/>
      </c>
      <c r="AL298" s="6" t="n"/>
      <c r="AM298" s="6" t="n"/>
      <c r="AN298" s="6" t="n"/>
      <c r="AO298" s="3">
        <f>IF(tblOrdenes[[#This Row],[link_checklist]]="","",HYPERLINK(p_ruta_base_checklists&amp;tblOrdenes[[#This Row],[link_checklist]],"abrir"))</f>
        <v/>
      </c>
      <c r="AP298" s="6" t="n"/>
      <c r="AQ298" s="3">
        <f>IF(tblOrdenes[[#This Row],[orden]]="","",tblOrdenes[[#This Row],[orden]]&amp;IF(tblOrdenes[[#This Row],[operacion]]="","0010",tblOrdenes[[#This Row],[operacion]]))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2" t="n"/>
      <c r="K299" s="3" t="n"/>
      <c r="L299" s="11" t="n"/>
      <c r="M2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9" s="3">
        <f>IF(tblOrdenes[[#This Row],[fecha_inicio]]="","",YEAR(tblOrdenes[[#This Row],[fecha_inicio]]))</f>
        <v/>
      </c>
      <c r="Q299" s="3">
        <f>IF(tblOrdenes[[#This Row],[fecha_inicio]]="","",MONTH(tblOrdenes[[#This Row],[fecha_inicio]]))</f>
        <v/>
      </c>
      <c r="R299" s="3">
        <f>IF(tblOrdenes[[#This Row],[fecha_inicio]]="","",INDEX(lista_dias,WEEKDAY(tblOrdenes[[#This Row],[fecha_inicio]],2)))</f>
        <v/>
      </c>
      <c r="S2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9" s="3">
        <f>IF(tblOrdenes[[#This Row],[tipo_ot]]="","",_xlfn.XLOOKUP(tblOrdenes[[#This Row],[tipo_ot]],tblTiposOT[codigo],tblTiposOT[clasificacion],"sin_clasificar"))</f>
        <v/>
      </c>
      <c r="U299" s="3">
        <f>IF(tblOrdenes[[#This Row],[centro_costo]]="","",_xlfn.XLOOKUP(tblOrdenes[[#This Row],[centro_costo]],tblCECO[codigo],tblCECO[linea],"(sin catálogo)"))</f>
        <v/>
      </c>
      <c r="V299" s="3">
        <f>IF(tblOrdenes[[#This Row],[centro_costo]]="","",_xlfn.XLOOKUP(tblOrdenes[[#This Row],[centro_costo]],tblCECO[codigo],tblCECO[area],"(sin catálogo)"))</f>
        <v/>
      </c>
      <c r="W2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9" s="3">
        <f>IF(tblOrdenes[[#This Row],[centro_costo]]="","",_xlfn.XLOOKUP(tblOrdenes[[#This Row],[centro_costo]],tblCECO[codigo],tblCECO[coordinador],"(sin catálogo)"))</f>
        <v/>
      </c>
      <c r="Y299" s="3">
        <f>IF(tblOrdenes[[#This Row],[puesto_trabajo]]="","",_xlfn.XLOOKUP(tblOrdenes[[#This Row],[puesto_trabajo]],tblPuestos[codigo],tblPuestos[especialidad],"(sin catálogo)"))</f>
        <v/>
      </c>
      <c r="Z299" s="3">
        <f>IF(tblOrdenes[[#This Row],[cod_actividad]]="","",_xlfn.XLOOKUP(tblOrdenes[[#This Row],[cod_actividad]],tblActividades[codigo],tblActividades[descripcion],"(sin catálogo)"))</f>
        <v/>
      </c>
      <c r="AA299" s="13">
        <f>IF(tblOrdenes[[#This Row],[fecha_inicio]]="","",TODAY()-tblOrdenes[[#This Row],[fecha_inicio]])</f>
        <v/>
      </c>
      <c r="AB2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9" s="3">
        <f>IF(tblOrdenes[[#This Row],[backlog_habiles]]="","",IF(tblOrdenes[[#This Row],[backlog_habiles]]&lt;0,"FUTURO",IF(tblOrdenes[[#This Row],[backlog_habiles]]&gt;p_dias_backlog_max,"BACKLOG","MES CORRIENTE")))</f>
        <v/>
      </c>
      <c r="AD299" s="3">
        <f>IF(tblOrdenes[[#This Row],[backlog_habiles]]="",FALSE,AND(tblOrdenes[[#This Row],[backlog_habiles]]&gt;p_dias_backlog_min,tblOrdenes[[#This Row],[backlog_habiles]]&lt;=p_dias_backlog_max))</f>
        <v/>
      </c>
      <c r="AE299" s="6" t="n"/>
      <c r="AF2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9" s="11">
        <f>IF(tblOrdenes[[#This Row],[orden]]="","",_xlfn.XLOOKUP(tblOrdenes[[#This Row],[id_operacion]],tblEjecucion[id_operacion],tblEjecucion[precio],0))</f>
        <v/>
      </c>
      <c r="AJ299" s="11">
        <f>IF(tblOrdenes[[#This Row],[orden]]="","",MAX(0,_xlfn.XLOOKUP(tblOrdenes[[#This Row],[id_operacion]],tblEjecucion[id_operacion],tblEjecucion[costo_plan_total],0)-tblOrdenes[[#This Row],[costo_servicio]]))</f>
        <v/>
      </c>
      <c r="AK299" s="11">
        <f>IF(tblOrdenes[[#This Row],[orden]]="","",tblOrdenes[[#This Row],[costo_servicio]]+tblOrdenes[[#This Row],[costo_materiales]])</f>
        <v/>
      </c>
      <c r="AL299" s="6" t="n"/>
      <c r="AM299" s="6" t="n"/>
      <c r="AN299" s="6" t="n"/>
      <c r="AO299" s="3">
        <f>IF(tblOrdenes[[#This Row],[link_checklist]]="","",HYPERLINK(p_ruta_base_checklists&amp;tblOrdenes[[#This Row],[link_checklist]],"abrir"))</f>
        <v/>
      </c>
      <c r="AP299" s="6" t="n"/>
      <c r="AQ299" s="3">
        <f>IF(tblOrdenes[[#This Row],[orden]]="","",tblOrdenes[[#This Row],[orden]]&amp;IF(tblOrdenes[[#This Row],[operacion]]="","0010",tblOrdenes[[#This Row],[operacion]]))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2" t="n"/>
      <c r="K300" s="3" t="n"/>
      <c r="L300" s="11" t="n"/>
      <c r="M3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0" s="3">
        <f>IF(tblOrdenes[[#This Row],[fecha_inicio]]="","",YEAR(tblOrdenes[[#This Row],[fecha_inicio]]))</f>
        <v/>
      </c>
      <c r="Q300" s="3">
        <f>IF(tblOrdenes[[#This Row],[fecha_inicio]]="","",MONTH(tblOrdenes[[#This Row],[fecha_inicio]]))</f>
        <v/>
      </c>
      <c r="R300" s="3">
        <f>IF(tblOrdenes[[#This Row],[fecha_inicio]]="","",INDEX(lista_dias,WEEKDAY(tblOrdenes[[#This Row],[fecha_inicio]],2)))</f>
        <v/>
      </c>
      <c r="S3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0" s="3">
        <f>IF(tblOrdenes[[#This Row],[tipo_ot]]="","",_xlfn.XLOOKUP(tblOrdenes[[#This Row],[tipo_ot]],tblTiposOT[codigo],tblTiposOT[clasificacion],"sin_clasificar"))</f>
        <v/>
      </c>
      <c r="U300" s="3">
        <f>IF(tblOrdenes[[#This Row],[centro_costo]]="","",_xlfn.XLOOKUP(tblOrdenes[[#This Row],[centro_costo]],tblCECO[codigo],tblCECO[linea],"(sin catálogo)"))</f>
        <v/>
      </c>
      <c r="V300" s="3">
        <f>IF(tblOrdenes[[#This Row],[centro_costo]]="","",_xlfn.XLOOKUP(tblOrdenes[[#This Row],[centro_costo]],tblCECO[codigo],tblCECO[area],"(sin catálogo)"))</f>
        <v/>
      </c>
      <c r="W3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0" s="3">
        <f>IF(tblOrdenes[[#This Row],[centro_costo]]="","",_xlfn.XLOOKUP(tblOrdenes[[#This Row],[centro_costo]],tblCECO[codigo],tblCECO[coordinador],"(sin catálogo)"))</f>
        <v/>
      </c>
      <c r="Y300" s="3">
        <f>IF(tblOrdenes[[#This Row],[puesto_trabajo]]="","",_xlfn.XLOOKUP(tblOrdenes[[#This Row],[puesto_trabajo]],tblPuestos[codigo],tblPuestos[especialidad],"(sin catálogo)"))</f>
        <v/>
      </c>
      <c r="Z300" s="3">
        <f>IF(tblOrdenes[[#This Row],[cod_actividad]]="","",_xlfn.XLOOKUP(tblOrdenes[[#This Row],[cod_actividad]],tblActividades[codigo],tblActividades[descripcion],"(sin catálogo)"))</f>
        <v/>
      </c>
      <c r="AA300" s="13">
        <f>IF(tblOrdenes[[#This Row],[fecha_inicio]]="","",TODAY()-tblOrdenes[[#This Row],[fecha_inicio]])</f>
        <v/>
      </c>
      <c r="AB3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0" s="3">
        <f>IF(tblOrdenes[[#This Row],[backlog_habiles]]="","",IF(tblOrdenes[[#This Row],[backlog_habiles]]&lt;0,"FUTURO",IF(tblOrdenes[[#This Row],[backlog_habiles]]&gt;p_dias_backlog_max,"BACKLOG","MES CORRIENTE")))</f>
        <v/>
      </c>
      <c r="AD300" s="3">
        <f>IF(tblOrdenes[[#This Row],[backlog_habiles]]="",FALSE,AND(tblOrdenes[[#This Row],[backlog_habiles]]&gt;p_dias_backlog_min,tblOrdenes[[#This Row],[backlog_habiles]]&lt;=p_dias_backlog_max))</f>
        <v/>
      </c>
      <c r="AE300" s="6" t="n"/>
      <c r="AF3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0" s="11">
        <f>IF(tblOrdenes[[#This Row],[orden]]="","",_xlfn.XLOOKUP(tblOrdenes[[#This Row],[id_operacion]],tblEjecucion[id_operacion],tblEjecucion[precio],0))</f>
        <v/>
      </c>
      <c r="AJ300" s="11">
        <f>IF(tblOrdenes[[#This Row],[orden]]="","",MAX(0,_xlfn.XLOOKUP(tblOrdenes[[#This Row],[id_operacion]],tblEjecucion[id_operacion],tblEjecucion[costo_plan_total],0)-tblOrdenes[[#This Row],[costo_servicio]]))</f>
        <v/>
      </c>
      <c r="AK300" s="11">
        <f>IF(tblOrdenes[[#This Row],[orden]]="","",tblOrdenes[[#This Row],[costo_servicio]]+tblOrdenes[[#This Row],[costo_materiales]])</f>
        <v/>
      </c>
      <c r="AL300" s="6" t="n"/>
      <c r="AM300" s="6" t="n"/>
      <c r="AN300" s="6" t="n"/>
      <c r="AO300" s="3">
        <f>IF(tblOrdenes[[#This Row],[link_checklist]]="","",HYPERLINK(p_ruta_base_checklists&amp;tblOrdenes[[#This Row],[link_checklist]],"abrir"))</f>
        <v/>
      </c>
      <c r="AP300" s="6" t="n"/>
      <c r="AQ300" s="3">
        <f>IF(tblOrdenes[[#This Row],[orden]]="","",tblOrdenes[[#This Row],[orden]]&amp;IF(tblOrdenes[[#This Row],[operacion]]="","0010",tblOrdenes[[#This Row],[operacion]]))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2" t="n"/>
      <c r="K301" s="3" t="n"/>
      <c r="L301" s="11" t="n"/>
      <c r="M3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1" s="3">
        <f>IF(tblOrdenes[[#This Row],[fecha_inicio]]="","",YEAR(tblOrdenes[[#This Row],[fecha_inicio]]))</f>
        <v/>
      </c>
      <c r="Q301" s="3">
        <f>IF(tblOrdenes[[#This Row],[fecha_inicio]]="","",MONTH(tblOrdenes[[#This Row],[fecha_inicio]]))</f>
        <v/>
      </c>
      <c r="R301" s="3">
        <f>IF(tblOrdenes[[#This Row],[fecha_inicio]]="","",INDEX(lista_dias,WEEKDAY(tblOrdenes[[#This Row],[fecha_inicio]],2)))</f>
        <v/>
      </c>
      <c r="S3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1" s="3">
        <f>IF(tblOrdenes[[#This Row],[tipo_ot]]="","",_xlfn.XLOOKUP(tblOrdenes[[#This Row],[tipo_ot]],tblTiposOT[codigo],tblTiposOT[clasificacion],"sin_clasificar"))</f>
        <v/>
      </c>
      <c r="U301" s="3">
        <f>IF(tblOrdenes[[#This Row],[centro_costo]]="","",_xlfn.XLOOKUP(tblOrdenes[[#This Row],[centro_costo]],tblCECO[codigo],tblCECO[linea],"(sin catálogo)"))</f>
        <v/>
      </c>
      <c r="V301" s="3">
        <f>IF(tblOrdenes[[#This Row],[centro_costo]]="","",_xlfn.XLOOKUP(tblOrdenes[[#This Row],[centro_costo]],tblCECO[codigo],tblCECO[area],"(sin catálogo)"))</f>
        <v/>
      </c>
      <c r="W3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1" s="3">
        <f>IF(tblOrdenes[[#This Row],[centro_costo]]="","",_xlfn.XLOOKUP(tblOrdenes[[#This Row],[centro_costo]],tblCECO[codigo],tblCECO[coordinador],"(sin catálogo)"))</f>
        <v/>
      </c>
      <c r="Y301" s="3">
        <f>IF(tblOrdenes[[#This Row],[puesto_trabajo]]="","",_xlfn.XLOOKUP(tblOrdenes[[#This Row],[puesto_trabajo]],tblPuestos[codigo],tblPuestos[especialidad],"(sin catálogo)"))</f>
        <v/>
      </c>
      <c r="Z301" s="3">
        <f>IF(tblOrdenes[[#This Row],[cod_actividad]]="","",_xlfn.XLOOKUP(tblOrdenes[[#This Row],[cod_actividad]],tblActividades[codigo],tblActividades[descripcion],"(sin catálogo)"))</f>
        <v/>
      </c>
      <c r="AA301" s="13">
        <f>IF(tblOrdenes[[#This Row],[fecha_inicio]]="","",TODAY()-tblOrdenes[[#This Row],[fecha_inicio]])</f>
        <v/>
      </c>
      <c r="AB3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1" s="3">
        <f>IF(tblOrdenes[[#This Row],[backlog_habiles]]="","",IF(tblOrdenes[[#This Row],[backlog_habiles]]&lt;0,"FUTURO",IF(tblOrdenes[[#This Row],[backlog_habiles]]&gt;p_dias_backlog_max,"BACKLOG","MES CORRIENTE")))</f>
        <v/>
      </c>
      <c r="AD301" s="3">
        <f>IF(tblOrdenes[[#This Row],[backlog_habiles]]="",FALSE,AND(tblOrdenes[[#This Row],[backlog_habiles]]&gt;p_dias_backlog_min,tblOrdenes[[#This Row],[backlog_habiles]]&lt;=p_dias_backlog_max))</f>
        <v/>
      </c>
      <c r="AE301" s="6" t="n"/>
      <c r="AF3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1" s="11">
        <f>IF(tblOrdenes[[#This Row],[orden]]="","",_xlfn.XLOOKUP(tblOrdenes[[#This Row],[id_operacion]],tblEjecucion[id_operacion],tblEjecucion[precio],0))</f>
        <v/>
      </c>
      <c r="AJ301" s="11">
        <f>IF(tblOrdenes[[#This Row],[orden]]="","",MAX(0,_xlfn.XLOOKUP(tblOrdenes[[#This Row],[id_operacion]],tblEjecucion[id_operacion],tblEjecucion[costo_plan_total],0)-tblOrdenes[[#This Row],[costo_servicio]]))</f>
        <v/>
      </c>
      <c r="AK301" s="11">
        <f>IF(tblOrdenes[[#This Row],[orden]]="","",tblOrdenes[[#This Row],[costo_servicio]]+tblOrdenes[[#This Row],[costo_materiales]])</f>
        <v/>
      </c>
      <c r="AL301" s="6" t="n"/>
      <c r="AM301" s="6" t="n"/>
      <c r="AN301" s="6" t="n"/>
      <c r="AO301" s="3">
        <f>IF(tblOrdenes[[#This Row],[link_checklist]]="","",HYPERLINK(p_ruta_base_checklists&amp;tblOrdenes[[#This Row],[link_checklist]],"abrir"))</f>
        <v/>
      </c>
      <c r="AP301" s="6" t="n"/>
      <c r="AQ301" s="3">
        <f>IF(tblOrdenes[[#This Row],[orden]]="","",tblOrdenes[[#This Row],[orden]]&amp;IF(tblOrdenes[[#This Row],[operacion]]="","0010",tblOrdenes[[#This Row],[operacion]]))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2" t="n"/>
      <c r="K302" s="3" t="n"/>
      <c r="L302" s="11" t="n"/>
      <c r="M3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2" s="3">
        <f>IF(tblOrdenes[[#This Row],[fecha_inicio]]="","",YEAR(tblOrdenes[[#This Row],[fecha_inicio]]))</f>
        <v/>
      </c>
      <c r="Q302" s="3">
        <f>IF(tblOrdenes[[#This Row],[fecha_inicio]]="","",MONTH(tblOrdenes[[#This Row],[fecha_inicio]]))</f>
        <v/>
      </c>
      <c r="R302" s="3">
        <f>IF(tblOrdenes[[#This Row],[fecha_inicio]]="","",INDEX(lista_dias,WEEKDAY(tblOrdenes[[#This Row],[fecha_inicio]],2)))</f>
        <v/>
      </c>
      <c r="S3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2" s="3">
        <f>IF(tblOrdenes[[#This Row],[tipo_ot]]="","",_xlfn.XLOOKUP(tblOrdenes[[#This Row],[tipo_ot]],tblTiposOT[codigo],tblTiposOT[clasificacion],"sin_clasificar"))</f>
        <v/>
      </c>
      <c r="U302" s="3">
        <f>IF(tblOrdenes[[#This Row],[centro_costo]]="","",_xlfn.XLOOKUP(tblOrdenes[[#This Row],[centro_costo]],tblCECO[codigo],tblCECO[linea],"(sin catálogo)"))</f>
        <v/>
      </c>
      <c r="V302" s="3">
        <f>IF(tblOrdenes[[#This Row],[centro_costo]]="","",_xlfn.XLOOKUP(tblOrdenes[[#This Row],[centro_costo]],tblCECO[codigo],tblCECO[area],"(sin catálogo)"))</f>
        <v/>
      </c>
      <c r="W3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2" s="3">
        <f>IF(tblOrdenes[[#This Row],[centro_costo]]="","",_xlfn.XLOOKUP(tblOrdenes[[#This Row],[centro_costo]],tblCECO[codigo],tblCECO[coordinador],"(sin catálogo)"))</f>
        <v/>
      </c>
      <c r="Y302" s="3">
        <f>IF(tblOrdenes[[#This Row],[puesto_trabajo]]="","",_xlfn.XLOOKUP(tblOrdenes[[#This Row],[puesto_trabajo]],tblPuestos[codigo],tblPuestos[especialidad],"(sin catálogo)"))</f>
        <v/>
      </c>
      <c r="Z302" s="3">
        <f>IF(tblOrdenes[[#This Row],[cod_actividad]]="","",_xlfn.XLOOKUP(tblOrdenes[[#This Row],[cod_actividad]],tblActividades[codigo],tblActividades[descripcion],"(sin catálogo)"))</f>
        <v/>
      </c>
      <c r="AA302" s="13">
        <f>IF(tblOrdenes[[#This Row],[fecha_inicio]]="","",TODAY()-tblOrdenes[[#This Row],[fecha_inicio]])</f>
        <v/>
      </c>
      <c r="AB3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2" s="3">
        <f>IF(tblOrdenes[[#This Row],[backlog_habiles]]="","",IF(tblOrdenes[[#This Row],[backlog_habiles]]&lt;0,"FUTURO",IF(tblOrdenes[[#This Row],[backlog_habiles]]&gt;p_dias_backlog_max,"BACKLOG","MES CORRIENTE")))</f>
        <v/>
      </c>
      <c r="AD302" s="3">
        <f>IF(tblOrdenes[[#This Row],[backlog_habiles]]="",FALSE,AND(tblOrdenes[[#This Row],[backlog_habiles]]&gt;p_dias_backlog_min,tblOrdenes[[#This Row],[backlog_habiles]]&lt;=p_dias_backlog_max))</f>
        <v/>
      </c>
      <c r="AE302" s="6" t="n"/>
      <c r="AF3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2" s="11">
        <f>IF(tblOrdenes[[#This Row],[orden]]="","",_xlfn.XLOOKUP(tblOrdenes[[#This Row],[id_operacion]],tblEjecucion[id_operacion],tblEjecucion[precio],0))</f>
        <v/>
      </c>
      <c r="AJ302" s="11">
        <f>IF(tblOrdenes[[#This Row],[orden]]="","",MAX(0,_xlfn.XLOOKUP(tblOrdenes[[#This Row],[id_operacion]],tblEjecucion[id_operacion],tblEjecucion[costo_plan_total],0)-tblOrdenes[[#This Row],[costo_servicio]]))</f>
        <v/>
      </c>
      <c r="AK302" s="11">
        <f>IF(tblOrdenes[[#This Row],[orden]]="","",tblOrdenes[[#This Row],[costo_servicio]]+tblOrdenes[[#This Row],[costo_materiales]])</f>
        <v/>
      </c>
      <c r="AL302" s="6" t="n"/>
      <c r="AM302" s="6" t="n"/>
      <c r="AN302" s="6" t="n"/>
      <c r="AO302" s="3">
        <f>IF(tblOrdenes[[#This Row],[link_checklist]]="","",HYPERLINK(p_ruta_base_checklists&amp;tblOrdenes[[#This Row],[link_checklist]],"abrir"))</f>
        <v/>
      </c>
      <c r="AP302" s="6" t="n"/>
      <c r="AQ302" s="3">
        <f>IF(tblOrdenes[[#This Row],[orden]]="","",tblOrdenes[[#This Row],[orden]]&amp;IF(tblOrdenes[[#This Row],[operacion]]="","0010",tblOrdenes[[#This Row],[operacion]]))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2" t="n"/>
      <c r="K303" s="3" t="n"/>
      <c r="L303" s="11" t="n"/>
      <c r="M3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3" s="3">
        <f>IF(tblOrdenes[[#This Row],[fecha_inicio]]="","",YEAR(tblOrdenes[[#This Row],[fecha_inicio]]))</f>
        <v/>
      </c>
      <c r="Q303" s="3">
        <f>IF(tblOrdenes[[#This Row],[fecha_inicio]]="","",MONTH(tblOrdenes[[#This Row],[fecha_inicio]]))</f>
        <v/>
      </c>
      <c r="R303" s="3">
        <f>IF(tblOrdenes[[#This Row],[fecha_inicio]]="","",INDEX(lista_dias,WEEKDAY(tblOrdenes[[#This Row],[fecha_inicio]],2)))</f>
        <v/>
      </c>
      <c r="S3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3" s="3">
        <f>IF(tblOrdenes[[#This Row],[tipo_ot]]="","",_xlfn.XLOOKUP(tblOrdenes[[#This Row],[tipo_ot]],tblTiposOT[codigo],tblTiposOT[clasificacion],"sin_clasificar"))</f>
        <v/>
      </c>
      <c r="U303" s="3">
        <f>IF(tblOrdenes[[#This Row],[centro_costo]]="","",_xlfn.XLOOKUP(tblOrdenes[[#This Row],[centro_costo]],tblCECO[codigo],tblCECO[linea],"(sin catálogo)"))</f>
        <v/>
      </c>
      <c r="V303" s="3">
        <f>IF(tblOrdenes[[#This Row],[centro_costo]]="","",_xlfn.XLOOKUP(tblOrdenes[[#This Row],[centro_costo]],tblCECO[codigo],tblCECO[area],"(sin catálogo)"))</f>
        <v/>
      </c>
      <c r="W3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3" s="3">
        <f>IF(tblOrdenes[[#This Row],[centro_costo]]="","",_xlfn.XLOOKUP(tblOrdenes[[#This Row],[centro_costo]],tblCECO[codigo],tblCECO[coordinador],"(sin catálogo)"))</f>
        <v/>
      </c>
      <c r="Y303" s="3">
        <f>IF(tblOrdenes[[#This Row],[puesto_trabajo]]="","",_xlfn.XLOOKUP(tblOrdenes[[#This Row],[puesto_trabajo]],tblPuestos[codigo],tblPuestos[especialidad],"(sin catálogo)"))</f>
        <v/>
      </c>
      <c r="Z303" s="3">
        <f>IF(tblOrdenes[[#This Row],[cod_actividad]]="","",_xlfn.XLOOKUP(tblOrdenes[[#This Row],[cod_actividad]],tblActividades[codigo],tblActividades[descripcion],"(sin catálogo)"))</f>
        <v/>
      </c>
      <c r="AA303" s="13">
        <f>IF(tblOrdenes[[#This Row],[fecha_inicio]]="","",TODAY()-tblOrdenes[[#This Row],[fecha_inicio]])</f>
        <v/>
      </c>
      <c r="AB3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3" s="3">
        <f>IF(tblOrdenes[[#This Row],[backlog_habiles]]="","",IF(tblOrdenes[[#This Row],[backlog_habiles]]&lt;0,"FUTURO",IF(tblOrdenes[[#This Row],[backlog_habiles]]&gt;p_dias_backlog_max,"BACKLOG","MES CORRIENTE")))</f>
        <v/>
      </c>
      <c r="AD303" s="3">
        <f>IF(tblOrdenes[[#This Row],[backlog_habiles]]="",FALSE,AND(tblOrdenes[[#This Row],[backlog_habiles]]&gt;p_dias_backlog_min,tblOrdenes[[#This Row],[backlog_habiles]]&lt;=p_dias_backlog_max))</f>
        <v/>
      </c>
      <c r="AE303" s="6" t="n"/>
      <c r="AF3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3" s="11">
        <f>IF(tblOrdenes[[#This Row],[orden]]="","",_xlfn.XLOOKUP(tblOrdenes[[#This Row],[id_operacion]],tblEjecucion[id_operacion],tblEjecucion[precio],0))</f>
        <v/>
      </c>
      <c r="AJ303" s="11">
        <f>IF(tblOrdenes[[#This Row],[orden]]="","",MAX(0,_xlfn.XLOOKUP(tblOrdenes[[#This Row],[id_operacion]],tblEjecucion[id_operacion],tblEjecucion[costo_plan_total],0)-tblOrdenes[[#This Row],[costo_servicio]]))</f>
        <v/>
      </c>
      <c r="AK303" s="11">
        <f>IF(tblOrdenes[[#This Row],[orden]]="","",tblOrdenes[[#This Row],[costo_servicio]]+tblOrdenes[[#This Row],[costo_materiales]])</f>
        <v/>
      </c>
      <c r="AL303" s="6" t="n"/>
      <c r="AM303" s="6" t="n"/>
      <c r="AN303" s="6" t="n"/>
      <c r="AO303" s="3">
        <f>IF(tblOrdenes[[#This Row],[link_checklist]]="","",HYPERLINK(p_ruta_base_checklists&amp;tblOrdenes[[#This Row],[link_checklist]],"abrir"))</f>
        <v/>
      </c>
      <c r="AP303" s="6" t="n"/>
      <c r="AQ303" s="3">
        <f>IF(tblOrdenes[[#This Row],[orden]]="","",tblOrdenes[[#This Row],[orden]]&amp;IF(tblOrdenes[[#This Row],[operacion]]="","0010",tblOrdenes[[#This Row],[operacion]]))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2" t="n"/>
      <c r="K304" s="3" t="n"/>
      <c r="L304" s="11" t="n"/>
      <c r="M3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4" s="3">
        <f>IF(tblOrdenes[[#This Row],[fecha_inicio]]="","",YEAR(tblOrdenes[[#This Row],[fecha_inicio]]))</f>
        <v/>
      </c>
      <c r="Q304" s="3">
        <f>IF(tblOrdenes[[#This Row],[fecha_inicio]]="","",MONTH(tblOrdenes[[#This Row],[fecha_inicio]]))</f>
        <v/>
      </c>
      <c r="R304" s="3">
        <f>IF(tblOrdenes[[#This Row],[fecha_inicio]]="","",INDEX(lista_dias,WEEKDAY(tblOrdenes[[#This Row],[fecha_inicio]],2)))</f>
        <v/>
      </c>
      <c r="S3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4" s="3">
        <f>IF(tblOrdenes[[#This Row],[tipo_ot]]="","",_xlfn.XLOOKUP(tblOrdenes[[#This Row],[tipo_ot]],tblTiposOT[codigo],tblTiposOT[clasificacion],"sin_clasificar"))</f>
        <v/>
      </c>
      <c r="U304" s="3">
        <f>IF(tblOrdenes[[#This Row],[centro_costo]]="","",_xlfn.XLOOKUP(tblOrdenes[[#This Row],[centro_costo]],tblCECO[codigo],tblCECO[linea],"(sin catálogo)"))</f>
        <v/>
      </c>
      <c r="V304" s="3">
        <f>IF(tblOrdenes[[#This Row],[centro_costo]]="","",_xlfn.XLOOKUP(tblOrdenes[[#This Row],[centro_costo]],tblCECO[codigo],tblCECO[area],"(sin catálogo)"))</f>
        <v/>
      </c>
      <c r="W3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4" s="3">
        <f>IF(tblOrdenes[[#This Row],[centro_costo]]="","",_xlfn.XLOOKUP(tblOrdenes[[#This Row],[centro_costo]],tblCECO[codigo],tblCECO[coordinador],"(sin catálogo)"))</f>
        <v/>
      </c>
      <c r="Y304" s="3">
        <f>IF(tblOrdenes[[#This Row],[puesto_trabajo]]="","",_xlfn.XLOOKUP(tblOrdenes[[#This Row],[puesto_trabajo]],tblPuestos[codigo],tblPuestos[especialidad],"(sin catálogo)"))</f>
        <v/>
      </c>
      <c r="Z304" s="3">
        <f>IF(tblOrdenes[[#This Row],[cod_actividad]]="","",_xlfn.XLOOKUP(tblOrdenes[[#This Row],[cod_actividad]],tblActividades[codigo],tblActividades[descripcion],"(sin catálogo)"))</f>
        <v/>
      </c>
      <c r="AA304" s="13">
        <f>IF(tblOrdenes[[#This Row],[fecha_inicio]]="","",TODAY()-tblOrdenes[[#This Row],[fecha_inicio]])</f>
        <v/>
      </c>
      <c r="AB3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4" s="3">
        <f>IF(tblOrdenes[[#This Row],[backlog_habiles]]="","",IF(tblOrdenes[[#This Row],[backlog_habiles]]&lt;0,"FUTURO",IF(tblOrdenes[[#This Row],[backlog_habiles]]&gt;p_dias_backlog_max,"BACKLOG","MES CORRIENTE")))</f>
        <v/>
      </c>
      <c r="AD304" s="3">
        <f>IF(tblOrdenes[[#This Row],[backlog_habiles]]="",FALSE,AND(tblOrdenes[[#This Row],[backlog_habiles]]&gt;p_dias_backlog_min,tblOrdenes[[#This Row],[backlog_habiles]]&lt;=p_dias_backlog_max))</f>
        <v/>
      </c>
      <c r="AE304" s="6" t="n"/>
      <c r="AF3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4" s="11">
        <f>IF(tblOrdenes[[#This Row],[orden]]="","",_xlfn.XLOOKUP(tblOrdenes[[#This Row],[id_operacion]],tblEjecucion[id_operacion],tblEjecucion[precio],0))</f>
        <v/>
      </c>
      <c r="AJ304" s="11">
        <f>IF(tblOrdenes[[#This Row],[orden]]="","",MAX(0,_xlfn.XLOOKUP(tblOrdenes[[#This Row],[id_operacion]],tblEjecucion[id_operacion],tblEjecucion[costo_plan_total],0)-tblOrdenes[[#This Row],[costo_servicio]]))</f>
        <v/>
      </c>
      <c r="AK304" s="11">
        <f>IF(tblOrdenes[[#This Row],[orden]]="","",tblOrdenes[[#This Row],[costo_servicio]]+tblOrdenes[[#This Row],[costo_materiales]])</f>
        <v/>
      </c>
      <c r="AL304" s="6" t="n"/>
      <c r="AM304" s="6" t="n"/>
      <c r="AN304" s="6" t="n"/>
      <c r="AO304" s="3">
        <f>IF(tblOrdenes[[#This Row],[link_checklist]]="","",HYPERLINK(p_ruta_base_checklists&amp;tblOrdenes[[#This Row],[link_checklist]],"abrir"))</f>
        <v/>
      </c>
      <c r="AP304" s="6" t="n"/>
      <c r="AQ304" s="3">
        <f>IF(tblOrdenes[[#This Row],[orden]]="","",tblOrdenes[[#This Row],[orden]]&amp;IF(tblOrdenes[[#This Row],[operacion]]="","0010",tblOrdenes[[#This Row],[operacion]]))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2" t="n"/>
      <c r="K305" s="3" t="n"/>
      <c r="L305" s="11" t="n"/>
      <c r="M3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5" s="3">
        <f>IF(tblOrdenes[[#This Row],[fecha_inicio]]="","",YEAR(tblOrdenes[[#This Row],[fecha_inicio]]))</f>
        <v/>
      </c>
      <c r="Q305" s="3">
        <f>IF(tblOrdenes[[#This Row],[fecha_inicio]]="","",MONTH(tblOrdenes[[#This Row],[fecha_inicio]]))</f>
        <v/>
      </c>
      <c r="R305" s="3">
        <f>IF(tblOrdenes[[#This Row],[fecha_inicio]]="","",INDEX(lista_dias,WEEKDAY(tblOrdenes[[#This Row],[fecha_inicio]],2)))</f>
        <v/>
      </c>
      <c r="S3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5" s="3">
        <f>IF(tblOrdenes[[#This Row],[tipo_ot]]="","",_xlfn.XLOOKUP(tblOrdenes[[#This Row],[tipo_ot]],tblTiposOT[codigo],tblTiposOT[clasificacion],"sin_clasificar"))</f>
        <v/>
      </c>
      <c r="U305" s="3">
        <f>IF(tblOrdenes[[#This Row],[centro_costo]]="","",_xlfn.XLOOKUP(tblOrdenes[[#This Row],[centro_costo]],tblCECO[codigo],tblCECO[linea],"(sin catálogo)"))</f>
        <v/>
      </c>
      <c r="V305" s="3">
        <f>IF(tblOrdenes[[#This Row],[centro_costo]]="","",_xlfn.XLOOKUP(tblOrdenes[[#This Row],[centro_costo]],tblCECO[codigo],tblCECO[area],"(sin catálogo)"))</f>
        <v/>
      </c>
      <c r="W3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5" s="3">
        <f>IF(tblOrdenes[[#This Row],[centro_costo]]="","",_xlfn.XLOOKUP(tblOrdenes[[#This Row],[centro_costo]],tblCECO[codigo],tblCECO[coordinador],"(sin catálogo)"))</f>
        <v/>
      </c>
      <c r="Y305" s="3">
        <f>IF(tblOrdenes[[#This Row],[puesto_trabajo]]="","",_xlfn.XLOOKUP(tblOrdenes[[#This Row],[puesto_trabajo]],tblPuestos[codigo],tblPuestos[especialidad],"(sin catálogo)"))</f>
        <v/>
      </c>
      <c r="Z305" s="3">
        <f>IF(tblOrdenes[[#This Row],[cod_actividad]]="","",_xlfn.XLOOKUP(tblOrdenes[[#This Row],[cod_actividad]],tblActividades[codigo],tblActividades[descripcion],"(sin catálogo)"))</f>
        <v/>
      </c>
      <c r="AA305" s="13">
        <f>IF(tblOrdenes[[#This Row],[fecha_inicio]]="","",TODAY()-tblOrdenes[[#This Row],[fecha_inicio]])</f>
        <v/>
      </c>
      <c r="AB3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5" s="3">
        <f>IF(tblOrdenes[[#This Row],[backlog_habiles]]="","",IF(tblOrdenes[[#This Row],[backlog_habiles]]&lt;0,"FUTURO",IF(tblOrdenes[[#This Row],[backlog_habiles]]&gt;p_dias_backlog_max,"BACKLOG","MES CORRIENTE")))</f>
        <v/>
      </c>
      <c r="AD305" s="3">
        <f>IF(tblOrdenes[[#This Row],[backlog_habiles]]="",FALSE,AND(tblOrdenes[[#This Row],[backlog_habiles]]&gt;p_dias_backlog_min,tblOrdenes[[#This Row],[backlog_habiles]]&lt;=p_dias_backlog_max))</f>
        <v/>
      </c>
      <c r="AE305" s="6" t="n"/>
      <c r="AF3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5" s="11">
        <f>IF(tblOrdenes[[#This Row],[orden]]="","",_xlfn.XLOOKUP(tblOrdenes[[#This Row],[id_operacion]],tblEjecucion[id_operacion],tblEjecucion[precio],0))</f>
        <v/>
      </c>
      <c r="AJ305" s="11">
        <f>IF(tblOrdenes[[#This Row],[orden]]="","",MAX(0,_xlfn.XLOOKUP(tblOrdenes[[#This Row],[id_operacion]],tblEjecucion[id_operacion],tblEjecucion[costo_plan_total],0)-tblOrdenes[[#This Row],[costo_servicio]]))</f>
        <v/>
      </c>
      <c r="AK305" s="11">
        <f>IF(tblOrdenes[[#This Row],[orden]]="","",tblOrdenes[[#This Row],[costo_servicio]]+tblOrdenes[[#This Row],[costo_materiales]])</f>
        <v/>
      </c>
      <c r="AL305" s="6" t="n"/>
      <c r="AM305" s="6" t="n"/>
      <c r="AN305" s="6" t="n"/>
      <c r="AO305" s="3">
        <f>IF(tblOrdenes[[#This Row],[link_checklist]]="","",HYPERLINK(p_ruta_base_checklists&amp;tblOrdenes[[#This Row],[link_checklist]],"abrir"))</f>
        <v/>
      </c>
      <c r="AP305" s="6" t="n"/>
      <c r="AQ305" s="3">
        <f>IF(tblOrdenes[[#This Row],[orden]]="","",tblOrdenes[[#This Row],[orden]]&amp;IF(tblOrdenes[[#This Row],[operacion]]="","0010",tblOrdenes[[#This Row],[operacion]]))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2" t="n"/>
      <c r="K306" s="3" t="n"/>
      <c r="L306" s="11" t="n"/>
      <c r="M3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6" s="3">
        <f>IF(tblOrdenes[[#This Row],[fecha_inicio]]="","",YEAR(tblOrdenes[[#This Row],[fecha_inicio]]))</f>
        <v/>
      </c>
      <c r="Q306" s="3">
        <f>IF(tblOrdenes[[#This Row],[fecha_inicio]]="","",MONTH(tblOrdenes[[#This Row],[fecha_inicio]]))</f>
        <v/>
      </c>
      <c r="R306" s="3">
        <f>IF(tblOrdenes[[#This Row],[fecha_inicio]]="","",INDEX(lista_dias,WEEKDAY(tblOrdenes[[#This Row],[fecha_inicio]],2)))</f>
        <v/>
      </c>
      <c r="S3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6" s="3">
        <f>IF(tblOrdenes[[#This Row],[tipo_ot]]="","",_xlfn.XLOOKUP(tblOrdenes[[#This Row],[tipo_ot]],tblTiposOT[codigo],tblTiposOT[clasificacion],"sin_clasificar"))</f>
        <v/>
      </c>
      <c r="U306" s="3">
        <f>IF(tblOrdenes[[#This Row],[centro_costo]]="","",_xlfn.XLOOKUP(tblOrdenes[[#This Row],[centro_costo]],tblCECO[codigo],tblCECO[linea],"(sin catálogo)"))</f>
        <v/>
      </c>
      <c r="V306" s="3">
        <f>IF(tblOrdenes[[#This Row],[centro_costo]]="","",_xlfn.XLOOKUP(tblOrdenes[[#This Row],[centro_costo]],tblCECO[codigo],tblCECO[area],"(sin catálogo)"))</f>
        <v/>
      </c>
      <c r="W3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6" s="3">
        <f>IF(tblOrdenes[[#This Row],[centro_costo]]="","",_xlfn.XLOOKUP(tblOrdenes[[#This Row],[centro_costo]],tblCECO[codigo],tblCECO[coordinador],"(sin catálogo)"))</f>
        <v/>
      </c>
      <c r="Y306" s="3">
        <f>IF(tblOrdenes[[#This Row],[puesto_trabajo]]="","",_xlfn.XLOOKUP(tblOrdenes[[#This Row],[puesto_trabajo]],tblPuestos[codigo],tblPuestos[especialidad],"(sin catálogo)"))</f>
        <v/>
      </c>
      <c r="Z306" s="3">
        <f>IF(tblOrdenes[[#This Row],[cod_actividad]]="","",_xlfn.XLOOKUP(tblOrdenes[[#This Row],[cod_actividad]],tblActividades[codigo],tblActividades[descripcion],"(sin catálogo)"))</f>
        <v/>
      </c>
      <c r="AA306" s="13">
        <f>IF(tblOrdenes[[#This Row],[fecha_inicio]]="","",TODAY()-tblOrdenes[[#This Row],[fecha_inicio]])</f>
        <v/>
      </c>
      <c r="AB3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6" s="3">
        <f>IF(tblOrdenes[[#This Row],[backlog_habiles]]="","",IF(tblOrdenes[[#This Row],[backlog_habiles]]&lt;0,"FUTURO",IF(tblOrdenes[[#This Row],[backlog_habiles]]&gt;p_dias_backlog_max,"BACKLOG","MES CORRIENTE")))</f>
        <v/>
      </c>
      <c r="AD306" s="3">
        <f>IF(tblOrdenes[[#This Row],[backlog_habiles]]="",FALSE,AND(tblOrdenes[[#This Row],[backlog_habiles]]&gt;p_dias_backlog_min,tblOrdenes[[#This Row],[backlog_habiles]]&lt;=p_dias_backlog_max))</f>
        <v/>
      </c>
      <c r="AE306" s="6" t="n"/>
      <c r="AF3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6" s="11">
        <f>IF(tblOrdenes[[#This Row],[orden]]="","",_xlfn.XLOOKUP(tblOrdenes[[#This Row],[id_operacion]],tblEjecucion[id_operacion],tblEjecucion[precio],0))</f>
        <v/>
      </c>
      <c r="AJ306" s="11">
        <f>IF(tblOrdenes[[#This Row],[orden]]="","",MAX(0,_xlfn.XLOOKUP(tblOrdenes[[#This Row],[id_operacion]],tblEjecucion[id_operacion],tblEjecucion[costo_plan_total],0)-tblOrdenes[[#This Row],[costo_servicio]]))</f>
        <v/>
      </c>
      <c r="AK306" s="11">
        <f>IF(tblOrdenes[[#This Row],[orden]]="","",tblOrdenes[[#This Row],[costo_servicio]]+tblOrdenes[[#This Row],[costo_materiales]])</f>
        <v/>
      </c>
      <c r="AL306" s="6" t="n"/>
      <c r="AM306" s="6" t="n"/>
      <c r="AN306" s="6" t="n"/>
      <c r="AO306" s="3">
        <f>IF(tblOrdenes[[#This Row],[link_checklist]]="","",HYPERLINK(p_ruta_base_checklists&amp;tblOrdenes[[#This Row],[link_checklist]],"abrir"))</f>
        <v/>
      </c>
      <c r="AP306" s="6" t="n"/>
      <c r="AQ306" s="3">
        <f>IF(tblOrdenes[[#This Row],[orden]]="","",tblOrdenes[[#This Row],[orden]]&amp;IF(tblOrdenes[[#This Row],[operacion]]="","0010",tblOrdenes[[#This Row],[operacion]]))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2" t="n"/>
      <c r="K307" s="3" t="n"/>
      <c r="L307" s="11" t="n"/>
      <c r="M3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7" s="3">
        <f>IF(tblOrdenes[[#This Row],[fecha_inicio]]="","",YEAR(tblOrdenes[[#This Row],[fecha_inicio]]))</f>
        <v/>
      </c>
      <c r="Q307" s="3">
        <f>IF(tblOrdenes[[#This Row],[fecha_inicio]]="","",MONTH(tblOrdenes[[#This Row],[fecha_inicio]]))</f>
        <v/>
      </c>
      <c r="R307" s="3">
        <f>IF(tblOrdenes[[#This Row],[fecha_inicio]]="","",INDEX(lista_dias,WEEKDAY(tblOrdenes[[#This Row],[fecha_inicio]],2)))</f>
        <v/>
      </c>
      <c r="S3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7" s="3">
        <f>IF(tblOrdenes[[#This Row],[tipo_ot]]="","",_xlfn.XLOOKUP(tblOrdenes[[#This Row],[tipo_ot]],tblTiposOT[codigo],tblTiposOT[clasificacion],"sin_clasificar"))</f>
        <v/>
      </c>
      <c r="U307" s="3">
        <f>IF(tblOrdenes[[#This Row],[centro_costo]]="","",_xlfn.XLOOKUP(tblOrdenes[[#This Row],[centro_costo]],tblCECO[codigo],tblCECO[linea],"(sin catálogo)"))</f>
        <v/>
      </c>
      <c r="V307" s="3">
        <f>IF(tblOrdenes[[#This Row],[centro_costo]]="","",_xlfn.XLOOKUP(tblOrdenes[[#This Row],[centro_costo]],tblCECO[codigo],tblCECO[area],"(sin catálogo)"))</f>
        <v/>
      </c>
      <c r="W3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7" s="3">
        <f>IF(tblOrdenes[[#This Row],[centro_costo]]="","",_xlfn.XLOOKUP(tblOrdenes[[#This Row],[centro_costo]],tblCECO[codigo],tblCECO[coordinador],"(sin catálogo)"))</f>
        <v/>
      </c>
      <c r="Y307" s="3">
        <f>IF(tblOrdenes[[#This Row],[puesto_trabajo]]="","",_xlfn.XLOOKUP(tblOrdenes[[#This Row],[puesto_trabajo]],tblPuestos[codigo],tblPuestos[especialidad],"(sin catálogo)"))</f>
        <v/>
      </c>
      <c r="Z307" s="3">
        <f>IF(tblOrdenes[[#This Row],[cod_actividad]]="","",_xlfn.XLOOKUP(tblOrdenes[[#This Row],[cod_actividad]],tblActividades[codigo],tblActividades[descripcion],"(sin catálogo)"))</f>
        <v/>
      </c>
      <c r="AA307" s="13">
        <f>IF(tblOrdenes[[#This Row],[fecha_inicio]]="","",TODAY()-tblOrdenes[[#This Row],[fecha_inicio]])</f>
        <v/>
      </c>
      <c r="AB3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7" s="3">
        <f>IF(tblOrdenes[[#This Row],[backlog_habiles]]="","",IF(tblOrdenes[[#This Row],[backlog_habiles]]&lt;0,"FUTURO",IF(tblOrdenes[[#This Row],[backlog_habiles]]&gt;p_dias_backlog_max,"BACKLOG","MES CORRIENTE")))</f>
        <v/>
      </c>
      <c r="AD307" s="3">
        <f>IF(tblOrdenes[[#This Row],[backlog_habiles]]="",FALSE,AND(tblOrdenes[[#This Row],[backlog_habiles]]&gt;p_dias_backlog_min,tblOrdenes[[#This Row],[backlog_habiles]]&lt;=p_dias_backlog_max))</f>
        <v/>
      </c>
      <c r="AE307" s="6" t="n"/>
      <c r="AF3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7" s="11">
        <f>IF(tblOrdenes[[#This Row],[orden]]="","",_xlfn.XLOOKUP(tblOrdenes[[#This Row],[id_operacion]],tblEjecucion[id_operacion],tblEjecucion[precio],0))</f>
        <v/>
      </c>
      <c r="AJ307" s="11">
        <f>IF(tblOrdenes[[#This Row],[orden]]="","",MAX(0,_xlfn.XLOOKUP(tblOrdenes[[#This Row],[id_operacion]],tblEjecucion[id_operacion],tblEjecucion[costo_plan_total],0)-tblOrdenes[[#This Row],[costo_servicio]]))</f>
        <v/>
      </c>
      <c r="AK307" s="11">
        <f>IF(tblOrdenes[[#This Row],[orden]]="","",tblOrdenes[[#This Row],[costo_servicio]]+tblOrdenes[[#This Row],[costo_materiales]])</f>
        <v/>
      </c>
      <c r="AL307" s="6" t="n"/>
      <c r="AM307" s="6" t="n"/>
      <c r="AN307" s="6" t="n"/>
      <c r="AO307" s="3">
        <f>IF(tblOrdenes[[#This Row],[link_checklist]]="","",HYPERLINK(p_ruta_base_checklists&amp;tblOrdenes[[#This Row],[link_checklist]],"abrir"))</f>
        <v/>
      </c>
      <c r="AP307" s="6" t="n"/>
      <c r="AQ307" s="3">
        <f>IF(tblOrdenes[[#This Row],[orden]]="","",tblOrdenes[[#This Row],[orden]]&amp;IF(tblOrdenes[[#This Row],[operacion]]="","0010",tblOrdenes[[#This Row],[operacion]]))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2" t="n"/>
      <c r="K308" s="3" t="n"/>
      <c r="L308" s="11" t="n"/>
      <c r="M3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8" s="3">
        <f>IF(tblOrdenes[[#This Row],[fecha_inicio]]="","",YEAR(tblOrdenes[[#This Row],[fecha_inicio]]))</f>
        <v/>
      </c>
      <c r="Q308" s="3">
        <f>IF(tblOrdenes[[#This Row],[fecha_inicio]]="","",MONTH(tblOrdenes[[#This Row],[fecha_inicio]]))</f>
        <v/>
      </c>
      <c r="R308" s="3">
        <f>IF(tblOrdenes[[#This Row],[fecha_inicio]]="","",INDEX(lista_dias,WEEKDAY(tblOrdenes[[#This Row],[fecha_inicio]],2)))</f>
        <v/>
      </c>
      <c r="S3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8" s="3">
        <f>IF(tblOrdenes[[#This Row],[tipo_ot]]="","",_xlfn.XLOOKUP(tblOrdenes[[#This Row],[tipo_ot]],tblTiposOT[codigo],tblTiposOT[clasificacion],"sin_clasificar"))</f>
        <v/>
      </c>
      <c r="U308" s="3">
        <f>IF(tblOrdenes[[#This Row],[centro_costo]]="","",_xlfn.XLOOKUP(tblOrdenes[[#This Row],[centro_costo]],tblCECO[codigo],tblCECO[linea],"(sin catálogo)"))</f>
        <v/>
      </c>
      <c r="V308" s="3">
        <f>IF(tblOrdenes[[#This Row],[centro_costo]]="","",_xlfn.XLOOKUP(tblOrdenes[[#This Row],[centro_costo]],tblCECO[codigo],tblCECO[area],"(sin catálogo)"))</f>
        <v/>
      </c>
      <c r="W3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8" s="3">
        <f>IF(tblOrdenes[[#This Row],[centro_costo]]="","",_xlfn.XLOOKUP(tblOrdenes[[#This Row],[centro_costo]],tblCECO[codigo],tblCECO[coordinador],"(sin catálogo)"))</f>
        <v/>
      </c>
      <c r="Y308" s="3">
        <f>IF(tblOrdenes[[#This Row],[puesto_trabajo]]="","",_xlfn.XLOOKUP(tblOrdenes[[#This Row],[puesto_trabajo]],tblPuestos[codigo],tblPuestos[especialidad],"(sin catálogo)"))</f>
        <v/>
      </c>
      <c r="Z308" s="3">
        <f>IF(tblOrdenes[[#This Row],[cod_actividad]]="","",_xlfn.XLOOKUP(tblOrdenes[[#This Row],[cod_actividad]],tblActividades[codigo],tblActividades[descripcion],"(sin catálogo)"))</f>
        <v/>
      </c>
      <c r="AA308" s="13">
        <f>IF(tblOrdenes[[#This Row],[fecha_inicio]]="","",TODAY()-tblOrdenes[[#This Row],[fecha_inicio]])</f>
        <v/>
      </c>
      <c r="AB3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8" s="3">
        <f>IF(tblOrdenes[[#This Row],[backlog_habiles]]="","",IF(tblOrdenes[[#This Row],[backlog_habiles]]&lt;0,"FUTURO",IF(tblOrdenes[[#This Row],[backlog_habiles]]&gt;p_dias_backlog_max,"BACKLOG","MES CORRIENTE")))</f>
        <v/>
      </c>
      <c r="AD308" s="3">
        <f>IF(tblOrdenes[[#This Row],[backlog_habiles]]="",FALSE,AND(tblOrdenes[[#This Row],[backlog_habiles]]&gt;p_dias_backlog_min,tblOrdenes[[#This Row],[backlog_habiles]]&lt;=p_dias_backlog_max))</f>
        <v/>
      </c>
      <c r="AE308" s="6" t="n"/>
      <c r="AF3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8" s="11">
        <f>IF(tblOrdenes[[#This Row],[orden]]="","",_xlfn.XLOOKUP(tblOrdenes[[#This Row],[id_operacion]],tblEjecucion[id_operacion],tblEjecucion[precio],0))</f>
        <v/>
      </c>
      <c r="AJ308" s="11">
        <f>IF(tblOrdenes[[#This Row],[orden]]="","",MAX(0,_xlfn.XLOOKUP(tblOrdenes[[#This Row],[id_operacion]],tblEjecucion[id_operacion],tblEjecucion[costo_plan_total],0)-tblOrdenes[[#This Row],[costo_servicio]]))</f>
        <v/>
      </c>
      <c r="AK308" s="11">
        <f>IF(tblOrdenes[[#This Row],[orden]]="","",tblOrdenes[[#This Row],[costo_servicio]]+tblOrdenes[[#This Row],[costo_materiales]])</f>
        <v/>
      </c>
      <c r="AL308" s="6" t="n"/>
      <c r="AM308" s="6" t="n"/>
      <c r="AN308" s="6" t="n"/>
      <c r="AO308" s="3">
        <f>IF(tblOrdenes[[#This Row],[link_checklist]]="","",HYPERLINK(p_ruta_base_checklists&amp;tblOrdenes[[#This Row],[link_checklist]],"abrir"))</f>
        <v/>
      </c>
      <c r="AP308" s="6" t="n"/>
      <c r="AQ308" s="3">
        <f>IF(tblOrdenes[[#This Row],[orden]]="","",tblOrdenes[[#This Row],[orden]]&amp;IF(tblOrdenes[[#This Row],[operacion]]="","0010",tblOrdenes[[#This Row],[operacion]]))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2" t="n"/>
      <c r="K309" s="3" t="n"/>
      <c r="L309" s="11" t="n"/>
      <c r="M3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9" s="3">
        <f>IF(tblOrdenes[[#This Row],[fecha_inicio]]="","",YEAR(tblOrdenes[[#This Row],[fecha_inicio]]))</f>
        <v/>
      </c>
      <c r="Q309" s="3">
        <f>IF(tblOrdenes[[#This Row],[fecha_inicio]]="","",MONTH(tblOrdenes[[#This Row],[fecha_inicio]]))</f>
        <v/>
      </c>
      <c r="R309" s="3">
        <f>IF(tblOrdenes[[#This Row],[fecha_inicio]]="","",INDEX(lista_dias,WEEKDAY(tblOrdenes[[#This Row],[fecha_inicio]],2)))</f>
        <v/>
      </c>
      <c r="S3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9" s="3">
        <f>IF(tblOrdenes[[#This Row],[tipo_ot]]="","",_xlfn.XLOOKUP(tblOrdenes[[#This Row],[tipo_ot]],tblTiposOT[codigo],tblTiposOT[clasificacion],"sin_clasificar"))</f>
        <v/>
      </c>
      <c r="U309" s="3">
        <f>IF(tblOrdenes[[#This Row],[centro_costo]]="","",_xlfn.XLOOKUP(tblOrdenes[[#This Row],[centro_costo]],tblCECO[codigo],tblCECO[linea],"(sin catálogo)"))</f>
        <v/>
      </c>
      <c r="V309" s="3">
        <f>IF(tblOrdenes[[#This Row],[centro_costo]]="","",_xlfn.XLOOKUP(tblOrdenes[[#This Row],[centro_costo]],tblCECO[codigo],tblCECO[area],"(sin catálogo)"))</f>
        <v/>
      </c>
      <c r="W3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9" s="3">
        <f>IF(tblOrdenes[[#This Row],[centro_costo]]="","",_xlfn.XLOOKUP(tblOrdenes[[#This Row],[centro_costo]],tblCECO[codigo],tblCECO[coordinador],"(sin catálogo)"))</f>
        <v/>
      </c>
      <c r="Y309" s="3">
        <f>IF(tblOrdenes[[#This Row],[puesto_trabajo]]="","",_xlfn.XLOOKUP(tblOrdenes[[#This Row],[puesto_trabajo]],tblPuestos[codigo],tblPuestos[especialidad],"(sin catálogo)"))</f>
        <v/>
      </c>
      <c r="Z309" s="3">
        <f>IF(tblOrdenes[[#This Row],[cod_actividad]]="","",_xlfn.XLOOKUP(tblOrdenes[[#This Row],[cod_actividad]],tblActividades[codigo],tblActividades[descripcion],"(sin catálogo)"))</f>
        <v/>
      </c>
      <c r="AA309" s="13">
        <f>IF(tblOrdenes[[#This Row],[fecha_inicio]]="","",TODAY()-tblOrdenes[[#This Row],[fecha_inicio]])</f>
        <v/>
      </c>
      <c r="AB3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9" s="3">
        <f>IF(tblOrdenes[[#This Row],[backlog_habiles]]="","",IF(tblOrdenes[[#This Row],[backlog_habiles]]&lt;0,"FUTURO",IF(tblOrdenes[[#This Row],[backlog_habiles]]&gt;p_dias_backlog_max,"BACKLOG","MES CORRIENTE")))</f>
        <v/>
      </c>
      <c r="AD309" s="3">
        <f>IF(tblOrdenes[[#This Row],[backlog_habiles]]="",FALSE,AND(tblOrdenes[[#This Row],[backlog_habiles]]&gt;p_dias_backlog_min,tblOrdenes[[#This Row],[backlog_habiles]]&lt;=p_dias_backlog_max))</f>
        <v/>
      </c>
      <c r="AE309" s="6" t="n"/>
      <c r="AF3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9" s="11">
        <f>IF(tblOrdenes[[#This Row],[orden]]="","",_xlfn.XLOOKUP(tblOrdenes[[#This Row],[id_operacion]],tblEjecucion[id_operacion],tblEjecucion[precio],0))</f>
        <v/>
      </c>
      <c r="AJ309" s="11">
        <f>IF(tblOrdenes[[#This Row],[orden]]="","",MAX(0,_xlfn.XLOOKUP(tblOrdenes[[#This Row],[id_operacion]],tblEjecucion[id_operacion],tblEjecucion[costo_plan_total],0)-tblOrdenes[[#This Row],[costo_servicio]]))</f>
        <v/>
      </c>
      <c r="AK309" s="11">
        <f>IF(tblOrdenes[[#This Row],[orden]]="","",tblOrdenes[[#This Row],[costo_servicio]]+tblOrdenes[[#This Row],[costo_materiales]])</f>
        <v/>
      </c>
      <c r="AL309" s="6" t="n"/>
      <c r="AM309" s="6" t="n"/>
      <c r="AN309" s="6" t="n"/>
      <c r="AO309" s="3">
        <f>IF(tblOrdenes[[#This Row],[link_checklist]]="","",HYPERLINK(p_ruta_base_checklists&amp;tblOrdenes[[#This Row],[link_checklist]],"abrir"))</f>
        <v/>
      </c>
      <c r="AP309" s="6" t="n"/>
      <c r="AQ309" s="3">
        <f>IF(tblOrdenes[[#This Row],[orden]]="","",tblOrdenes[[#This Row],[orden]]&amp;IF(tblOrdenes[[#This Row],[operacion]]="","0010",tblOrdenes[[#This Row],[operacion]]))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2" t="n"/>
      <c r="K310" s="3" t="n"/>
      <c r="L310" s="11" t="n"/>
      <c r="M3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0" s="3">
        <f>IF(tblOrdenes[[#This Row],[fecha_inicio]]="","",YEAR(tblOrdenes[[#This Row],[fecha_inicio]]))</f>
        <v/>
      </c>
      <c r="Q310" s="3">
        <f>IF(tblOrdenes[[#This Row],[fecha_inicio]]="","",MONTH(tblOrdenes[[#This Row],[fecha_inicio]]))</f>
        <v/>
      </c>
      <c r="R310" s="3">
        <f>IF(tblOrdenes[[#This Row],[fecha_inicio]]="","",INDEX(lista_dias,WEEKDAY(tblOrdenes[[#This Row],[fecha_inicio]],2)))</f>
        <v/>
      </c>
      <c r="S3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0" s="3">
        <f>IF(tblOrdenes[[#This Row],[tipo_ot]]="","",_xlfn.XLOOKUP(tblOrdenes[[#This Row],[tipo_ot]],tblTiposOT[codigo],tblTiposOT[clasificacion],"sin_clasificar"))</f>
        <v/>
      </c>
      <c r="U310" s="3">
        <f>IF(tblOrdenes[[#This Row],[centro_costo]]="","",_xlfn.XLOOKUP(tblOrdenes[[#This Row],[centro_costo]],tblCECO[codigo],tblCECO[linea],"(sin catálogo)"))</f>
        <v/>
      </c>
      <c r="V310" s="3">
        <f>IF(tblOrdenes[[#This Row],[centro_costo]]="","",_xlfn.XLOOKUP(tblOrdenes[[#This Row],[centro_costo]],tblCECO[codigo],tblCECO[area],"(sin catálogo)"))</f>
        <v/>
      </c>
      <c r="W3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0" s="3">
        <f>IF(tblOrdenes[[#This Row],[centro_costo]]="","",_xlfn.XLOOKUP(tblOrdenes[[#This Row],[centro_costo]],tblCECO[codigo],tblCECO[coordinador],"(sin catálogo)"))</f>
        <v/>
      </c>
      <c r="Y310" s="3">
        <f>IF(tblOrdenes[[#This Row],[puesto_trabajo]]="","",_xlfn.XLOOKUP(tblOrdenes[[#This Row],[puesto_trabajo]],tblPuestos[codigo],tblPuestos[especialidad],"(sin catálogo)"))</f>
        <v/>
      </c>
      <c r="Z310" s="3">
        <f>IF(tblOrdenes[[#This Row],[cod_actividad]]="","",_xlfn.XLOOKUP(tblOrdenes[[#This Row],[cod_actividad]],tblActividades[codigo],tblActividades[descripcion],"(sin catálogo)"))</f>
        <v/>
      </c>
      <c r="AA310" s="13">
        <f>IF(tblOrdenes[[#This Row],[fecha_inicio]]="","",TODAY()-tblOrdenes[[#This Row],[fecha_inicio]])</f>
        <v/>
      </c>
      <c r="AB3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0" s="3">
        <f>IF(tblOrdenes[[#This Row],[backlog_habiles]]="","",IF(tblOrdenes[[#This Row],[backlog_habiles]]&lt;0,"FUTURO",IF(tblOrdenes[[#This Row],[backlog_habiles]]&gt;p_dias_backlog_max,"BACKLOG","MES CORRIENTE")))</f>
        <v/>
      </c>
      <c r="AD310" s="3">
        <f>IF(tblOrdenes[[#This Row],[backlog_habiles]]="",FALSE,AND(tblOrdenes[[#This Row],[backlog_habiles]]&gt;p_dias_backlog_min,tblOrdenes[[#This Row],[backlog_habiles]]&lt;=p_dias_backlog_max))</f>
        <v/>
      </c>
      <c r="AE310" s="6" t="n"/>
      <c r="AF3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0" s="11">
        <f>IF(tblOrdenes[[#This Row],[orden]]="","",_xlfn.XLOOKUP(tblOrdenes[[#This Row],[id_operacion]],tblEjecucion[id_operacion],tblEjecucion[precio],0))</f>
        <v/>
      </c>
      <c r="AJ310" s="11">
        <f>IF(tblOrdenes[[#This Row],[orden]]="","",MAX(0,_xlfn.XLOOKUP(tblOrdenes[[#This Row],[id_operacion]],tblEjecucion[id_operacion],tblEjecucion[costo_plan_total],0)-tblOrdenes[[#This Row],[costo_servicio]]))</f>
        <v/>
      </c>
      <c r="AK310" s="11">
        <f>IF(tblOrdenes[[#This Row],[orden]]="","",tblOrdenes[[#This Row],[costo_servicio]]+tblOrdenes[[#This Row],[costo_materiales]])</f>
        <v/>
      </c>
      <c r="AL310" s="6" t="n"/>
      <c r="AM310" s="6" t="n"/>
      <c r="AN310" s="6" t="n"/>
      <c r="AO310" s="3">
        <f>IF(tblOrdenes[[#This Row],[link_checklist]]="","",HYPERLINK(p_ruta_base_checklists&amp;tblOrdenes[[#This Row],[link_checklist]],"abrir"))</f>
        <v/>
      </c>
      <c r="AP310" s="6" t="n"/>
      <c r="AQ310" s="3">
        <f>IF(tblOrdenes[[#This Row],[orden]]="","",tblOrdenes[[#This Row],[orden]]&amp;IF(tblOrdenes[[#This Row],[operacion]]="","0010",tblOrdenes[[#This Row],[operacion]]))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2" t="n"/>
      <c r="K311" s="3" t="n"/>
      <c r="L311" s="11" t="n"/>
      <c r="M3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1" s="3">
        <f>IF(tblOrdenes[[#This Row],[fecha_inicio]]="","",YEAR(tblOrdenes[[#This Row],[fecha_inicio]]))</f>
        <v/>
      </c>
      <c r="Q311" s="3">
        <f>IF(tblOrdenes[[#This Row],[fecha_inicio]]="","",MONTH(tblOrdenes[[#This Row],[fecha_inicio]]))</f>
        <v/>
      </c>
      <c r="R311" s="3">
        <f>IF(tblOrdenes[[#This Row],[fecha_inicio]]="","",INDEX(lista_dias,WEEKDAY(tblOrdenes[[#This Row],[fecha_inicio]],2)))</f>
        <v/>
      </c>
      <c r="S3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1" s="3">
        <f>IF(tblOrdenes[[#This Row],[tipo_ot]]="","",_xlfn.XLOOKUP(tblOrdenes[[#This Row],[tipo_ot]],tblTiposOT[codigo],tblTiposOT[clasificacion],"sin_clasificar"))</f>
        <v/>
      </c>
      <c r="U311" s="3">
        <f>IF(tblOrdenes[[#This Row],[centro_costo]]="","",_xlfn.XLOOKUP(tblOrdenes[[#This Row],[centro_costo]],tblCECO[codigo],tblCECO[linea],"(sin catálogo)"))</f>
        <v/>
      </c>
      <c r="V311" s="3">
        <f>IF(tblOrdenes[[#This Row],[centro_costo]]="","",_xlfn.XLOOKUP(tblOrdenes[[#This Row],[centro_costo]],tblCECO[codigo],tblCECO[area],"(sin catálogo)"))</f>
        <v/>
      </c>
      <c r="W3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1" s="3">
        <f>IF(tblOrdenes[[#This Row],[centro_costo]]="","",_xlfn.XLOOKUP(tblOrdenes[[#This Row],[centro_costo]],tblCECO[codigo],tblCECO[coordinador],"(sin catálogo)"))</f>
        <v/>
      </c>
      <c r="Y311" s="3">
        <f>IF(tblOrdenes[[#This Row],[puesto_trabajo]]="","",_xlfn.XLOOKUP(tblOrdenes[[#This Row],[puesto_trabajo]],tblPuestos[codigo],tblPuestos[especialidad],"(sin catálogo)"))</f>
        <v/>
      </c>
      <c r="Z311" s="3">
        <f>IF(tblOrdenes[[#This Row],[cod_actividad]]="","",_xlfn.XLOOKUP(tblOrdenes[[#This Row],[cod_actividad]],tblActividades[codigo],tblActividades[descripcion],"(sin catálogo)"))</f>
        <v/>
      </c>
      <c r="AA311" s="13">
        <f>IF(tblOrdenes[[#This Row],[fecha_inicio]]="","",TODAY()-tblOrdenes[[#This Row],[fecha_inicio]])</f>
        <v/>
      </c>
      <c r="AB3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1" s="3">
        <f>IF(tblOrdenes[[#This Row],[backlog_habiles]]="","",IF(tblOrdenes[[#This Row],[backlog_habiles]]&lt;0,"FUTURO",IF(tblOrdenes[[#This Row],[backlog_habiles]]&gt;p_dias_backlog_max,"BACKLOG","MES CORRIENTE")))</f>
        <v/>
      </c>
      <c r="AD311" s="3">
        <f>IF(tblOrdenes[[#This Row],[backlog_habiles]]="",FALSE,AND(tblOrdenes[[#This Row],[backlog_habiles]]&gt;p_dias_backlog_min,tblOrdenes[[#This Row],[backlog_habiles]]&lt;=p_dias_backlog_max))</f>
        <v/>
      </c>
      <c r="AE311" s="6" t="n"/>
      <c r="AF3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1" s="11">
        <f>IF(tblOrdenes[[#This Row],[orden]]="","",_xlfn.XLOOKUP(tblOrdenes[[#This Row],[id_operacion]],tblEjecucion[id_operacion],tblEjecucion[precio],0))</f>
        <v/>
      </c>
      <c r="AJ311" s="11">
        <f>IF(tblOrdenes[[#This Row],[orden]]="","",MAX(0,_xlfn.XLOOKUP(tblOrdenes[[#This Row],[id_operacion]],tblEjecucion[id_operacion],tblEjecucion[costo_plan_total],0)-tblOrdenes[[#This Row],[costo_servicio]]))</f>
        <v/>
      </c>
      <c r="AK311" s="11">
        <f>IF(tblOrdenes[[#This Row],[orden]]="","",tblOrdenes[[#This Row],[costo_servicio]]+tblOrdenes[[#This Row],[costo_materiales]])</f>
        <v/>
      </c>
      <c r="AL311" s="6" t="n"/>
      <c r="AM311" s="6" t="n"/>
      <c r="AN311" s="6" t="n"/>
      <c r="AO311" s="3">
        <f>IF(tblOrdenes[[#This Row],[link_checklist]]="","",HYPERLINK(p_ruta_base_checklists&amp;tblOrdenes[[#This Row],[link_checklist]],"abrir"))</f>
        <v/>
      </c>
      <c r="AP311" s="6" t="n"/>
      <c r="AQ311" s="3">
        <f>IF(tblOrdenes[[#This Row],[orden]]="","",tblOrdenes[[#This Row],[orden]]&amp;IF(tblOrdenes[[#This Row],[operacion]]="","0010",tblOrdenes[[#This Row],[operacion]]))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2" t="n"/>
      <c r="K312" s="3" t="n"/>
      <c r="L312" s="11" t="n"/>
      <c r="M3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2" s="3">
        <f>IF(tblOrdenes[[#This Row],[fecha_inicio]]="","",YEAR(tblOrdenes[[#This Row],[fecha_inicio]]))</f>
        <v/>
      </c>
      <c r="Q312" s="3">
        <f>IF(tblOrdenes[[#This Row],[fecha_inicio]]="","",MONTH(tblOrdenes[[#This Row],[fecha_inicio]]))</f>
        <v/>
      </c>
      <c r="R312" s="3">
        <f>IF(tblOrdenes[[#This Row],[fecha_inicio]]="","",INDEX(lista_dias,WEEKDAY(tblOrdenes[[#This Row],[fecha_inicio]],2)))</f>
        <v/>
      </c>
      <c r="S3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2" s="3">
        <f>IF(tblOrdenes[[#This Row],[tipo_ot]]="","",_xlfn.XLOOKUP(tblOrdenes[[#This Row],[tipo_ot]],tblTiposOT[codigo],tblTiposOT[clasificacion],"sin_clasificar"))</f>
        <v/>
      </c>
      <c r="U312" s="3">
        <f>IF(tblOrdenes[[#This Row],[centro_costo]]="","",_xlfn.XLOOKUP(tblOrdenes[[#This Row],[centro_costo]],tblCECO[codigo],tblCECO[linea],"(sin catálogo)"))</f>
        <v/>
      </c>
      <c r="V312" s="3">
        <f>IF(tblOrdenes[[#This Row],[centro_costo]]="","",_xlfn.XLOOKUP(tblOrdenes[[#This Row],[centro_costo]],tblCECO[codigo],tblCECO[area],"(sin catálogo)"))</f>
        <v/>
      </c>
      <c r="W3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2" s="3">
        <f>IF(tblOrdenes[[#This Row],[centro_costo]]="","",_xlfn.XLOOKUP(tblOrdenes[[#This Row],[centro_costo]],tblCECO[codigo],tblCECO[coordinador],"(sin catálogo)"))</f>
        <v/>
      </c>
      <c r="Y312" s="3">
        <f>IF(tblOrdenes[[#This Row],[puesto_trabajo]]="","",_xlfn.XLOOKUP(tblOrdenes[[#This Row],[puesto_trabajo]],tblPuestos[codigo],tblPuestos[especialidad],"(sin catálogo)"))</f>
        <v/>
      </c>
      <c r="Z312" s="3">
        <f>IF(tblOrdenes[[#This Row],[cod_actividad]]="","",_xlfn.XLOOKUP(tblOrdenes[[#This Row],[cod_actividad]],tblActividades[codigo],tblActividades[descripcion],"(sin catálogo)"))</f>
        <v/>
      </c>
      <c r="AA312" s="13">
        <f>IF(tblOrdenes[[#This Row],[fecha_inicio]]="","",TODAY()-tblOrdenes[[#This Row],[fecha_inicio]])</f>
        <v/>
      </c>
      <c r="AB3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2" s="3">
        <f>IF(tblOrdenes[[#This Row],[backlog_habiles]]="","",IF(tblOrdenes[[#This Row],[backlog_habiles]]&lt;0,"FUTURO",IF(tblOrdenes[[#This Row],[backlog_habiles]]&gt;p_dias_backlog_max,"BACKLOG","MES CORRIENTE")))</f>
        <v/>
      </c>
      <c r="AD312" s="3">
        <f>IF(tblOrdenes[[#This Row],[backlog_habiles]]="",FALSE,AND(tblOrdenes[[#This Row],[backlog_habiles]]&gt;p_dias_backlog_min,tblOrdenes[[#This Row],[backlog_habiles]]&lt;=p_dias_backlog_max))</f>
        <v/>
      </c>
      <c r="AE312" s="6" t="n"/>
      <c r="AF3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2" s="11">
        <f>IF(tblOrdenes[[#This Row],[orden]]="","",_xlfn.XLOOKUP(tblOrdenes[[#This Row],[id_operacion]],tblEjecucion[id_operacion],tblEjecucion[precio],0))</f>
        <v/>
      </c>
      <c r="AJ312" s="11">
        <f>IF(tblOrdenes[[#This Row],[orden]]="","",MAX(0,_xlfn.XLOOKUP(tblOrdenes[[#This Row],[id_operacion]],tblEjecucion[id_operacion],tblEjecucion[costo_plan_total],0)-tblOrdenes[[#This Row],[costo_servicio]]))</f>
        <v/>
      </c>
      <c r="AK312" s="11">
        <f>IF(tblOrdenes[[#This Row],[orden]]="","",tblOrdenes[[#This Row],[costo_servicio]]+tblOrdenes[[#This Row],[costo_materiales]])</f>
        <v/>
      </c>
      <c r="AL312" s="6" t="n"/>
      <c r="AM312" s="6" t="n"/>
      <c r="AN312" s="6" t="n"/>
      <c r="AO312" s="3">
        <f>IF(tblOrdenes[[#This Row],[link_checklist]]="","",HYPERLINK(p_ruta_base_checklists&amp;tblOrdenes[[#This Row],[link_checklist]],"abrir"))</f>
        <v/>
      </c>
      <c r="AP312" s="6" t="n"/>
      <c r="AQ312" s="3">
        <f>IF(tblOrdenes[[#This Row],[orden]]="","",tblOrdenes[[#This Row],[orden]]&amp;IF(tblOrdenes[[#This Row],[operacion]]="","0010",tblOrdenes[[#This Row],[operacion]]))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2" t="n"/>
      <c r="K313" s="3" t="n"/>
      <c r="L313" s="11" t="n"/>
      <c r="M3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3" s="3">
        <f>IF(tblOrdenes[[#This Row],[fecha_inicio]]="","",YEAR(tblOrdenes[[#This Row],[fecha_inicio]]))</f>
        <v/>
      </c>
      <c r="Q313" s="3">
        <f>IF(tblOrdenes[[#This Row],[fecha_inicio]]="","",MONTH(tblOrdenes[[#This Row],[fecha_inicio]]))</f>
        <v/>
      </c>
      <c r="R313" s="3">
        <f>IF(tblOrdenes[[#This Row],[fecha_inicio]]="","",INDEX(lista_dias,WEEKDAY(tblOrdenes[[#This Row],[fecha_inicio]],2)))</f>
        <v/>
      </c>
      <c r="S3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3" s="3">
        <f>IF(tblOrdenes[[#This Row],[tipo_ot]]="","",_xlfn.XLOOKUP(tblOrdenes[[#This Row],[tipo_ot]],tblTiposOT[codigo],tblTiposOT[clasificacion],"sin_clasificar"))</f>
        <v/>
      </c>
      <c r="U313" s="3">
        <f>IF(tblOrdenes[[#This Row],[centro_costo]]="","",_xlfn.XLOOKUP(tblOrdenes[[#This Row],[centro_costo]],tblCECO[codigo],tblCECO[linea],"(sin catálogo)"))</f>
        <v/>
      </c>
      <c r="V313" s="3">
        <f>IF(tblOrdenes[[#This Row],[centro_costo]]="","",_xlfn.XLOOKUP(tblOrdenes[[#This Row],[centro_costo]],tblCECO[codigo],tblCECO[area],"(sin catálogo)"))</f>
        <v/>
      </c>
      <c r="W3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3" s="3">
        <f>IF(tblOrdenes[[#This Row],[centro_costo]]="","",_xlfn.XLOOKUP(tblOrdenes[[#This Row],[centro_costo]],tblCECO[codigo],tblCECO[coordinador],"(sin catálogo)"))</f>
        <v/>
      </c>
      <c r="Y313" s="3">
        <f>IF(tblOrdenes[[#This Row],[puesto_trabajo]]="","",_xlfn.XLOOKUP(tblOrdenes[[#This Row],[puesto_trabajo]],tblPuestos[codigo],tblPuestos[especialidad],"(sin catálogo)"))</f>
        <v/>
      </c>
      <c r="Z313" s="3">
        <f>IF(tblOrdenes[[#This Row],[cod_actividad]]="","",_xlfn.XLOOKUP(tblOrdenes[[#This Row],[cod_actividad]],tblActividades[codigo],tblActividades[descripcion],"(sin catálogo)"))</f>
        <v/>
      </c>
      <c r="AA313" s="13">
        <f>IF(tblOrdenes[[#This Row],[fecha_inicio]]="","",TODAY()-tblOrdenes[[#This Row],[fecha_inicio]])</f>
        <v/>
      </c>
      <c r="AB3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3" s="3">
        <f>IF(tblOrdenes[[#This Row],[backlog_habiles]]="","",IF(tblOrdenes[[#This Row],[backlog_habiles]]&lt;0,"FUTURO",IF(tblOrdenes[[#This Row],[backlog_habiles]]&gt;p_dias_backlog_max,"BACKLOG","MES CORRIENTE")))</f>
        <v/>
      </c>
      <c r="AD313" s="3">
        <f>IF(tblOrdenes[[#This Row],[backlog_habiles]]="",FALSE,AND(tblOrdenes[[#This Row],[backlog_habiles]]&gt;p_dias_backlog_min,tblOrdenes[[#This Row],[backlog_habiles]]&lt;=p_dias_backlog_max))</f>
        <v/>
      </c>
      <c r="AE313" s="6" t="n"/>
      <c r="AF3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3" s="11">
        <f>IF(tblOrdenes[[#This Row],[orden]]="","",_xlfn.XLOOKUP(tblOrdenes[[#This Row],[id_operacion]],tblEjecucion[id_operacion],tblEjecucion[precio],0))</f>
        <v/>
      </c>
      <c r="AJ313" s="11">
        <f>IF(tblOrdenes[[#This Row],[orden]]="","",MAX(0,_xlfn.XLOOKUP(tblOrdenes[[#This Row],[id_operacion]],tblEjecucion[id_operacion],tblEjecucion[costo_plan_total],0)-tblOrdenes[[#This Row],[costo_servicio]]))</f>
        <v/>
      </c>
      <c r="AK313" s="11">
        <f>IF(tblOrdenes[[#This Row],[orden]]="","",tblOrdenes[[#This Row],[costo_servicio]]+tblOrdenes[[#This Row],[costo_materiales]])</f>
        <v/>
      </c>
      <c r="AL313" s="6" t="n"/>
      <c r="AM313" s="6" t="n"/>
      <c r="AN313" s="6" t="n"/>
      <c r="AO313" s="3">
        <f>IF(tblOrdenes[[#This Row],[link_checklist]]="","",HYPERLINK(p_ruta_base_checklists&amp;tblOrdenes[[#This Row],[link_checklist]],"abrir"))</f>
        <v/>
      </c>
      <c r="AP313" s="6" t="n"/>
      <c r="AQ313" s="3">
        <f>IF(tblOrdenes[[#This Row],[orden]]="","",tblOrdenes[[#This Row],[orden]]&amp;IF(tblOrdenes[[#This Row],[operacion]]="","0010",tblOrdenes[[#This Row],[operacion]]))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2" t="n"/>
      <c r="K314" s="3" t="n"/>
      <c r="L314" s="11" t="n"/>
      <c r="M3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4" s="3">
        <f>IF(tblOrdenes[[#This Row],[fecha_inicio]]="","",YEAR(tblOrdenes[[#This Row],[fecha_inicio]]))</f>
        <v/>
      </c>
      <c r="Q314" s="3">
        <f>IF(tblOrdenes[[#This Row],[fecha_inicio]]="","",MONTH(tblOrdenes[[#This Row],[fecha_inicio]]))</f>
        <v/>
      </c>
      <c r="R314" s="3">
        <f>IF(tblOrdenes[[#This Row],[fecha_inicio]]="","",INDEX(lista_dias,WEEKDAY(tblOrdenes[[#This Row],[fecha_inicio]],2)))</f>
        <v/>
      </c>
      <c r="S3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4" s="3">
        <f>IF(tblOrdenes[[#This Row],[tipo_ot]]="","",_xlfn.XLOOKUP(tblOrdenes[[#This Row],[tipo_ot]],tblTiposOT[codigo],tblTiposOT[clasificacion],"sin_clasificar"))</f>
        <v/>
      </c>
      <c r="U314" s="3">
        <f>IF(tblOrdenes[[#This Row],[centro_costo]]="","",_xlfn.XLOOKUP(tblOrdenes[[#This Row],[centro_costo]],tblCECO[codigo],tblCECO[linea],"(sin catálogo)"))</f>
        <v/>
      </c>
      <c r="V314" s="3">
        <f>IF(tblOrdenes[[#This Row],[centro_costo]]="","",_xlfn.XLOOKUP(tblOrdenes[[#This Row],[centro_costo]],tblCECO[codigo],tblCECO[area],"(sin catálogo)"))</f>
        <v/>
      </c>
      <c r="W3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4" s="3">
        <f>IF(tblOrdenes[[#This Row],[centro_costo]]="","",_xlfn.XLOOKUP(tblOrdenes[[#This Row],[centro_costo]],tblCECO[codigo],tblCECO[coordinador],"(sin catálogo)"))</f>
        <v/>
      </c>
      <c r="Y314" s="3">
        <f>IF(tblOrdenes[[#This Row],[puesto_trabajo]]="","",_xlfn.XLOOKUP(tblOrdenes[[#This Row],[puesto_trabajo]],tblPuestos[codigo],tblPuestos[especialidad],"(sin catálogo)"))</f>
        <v/>
      </c>
      <c r="Z314" s="3">
        <f>IF(tblOrdenes[[#This Row],[cod_actividad]]="","",_xlfn.XLOOKUP(tblOrdenes[[#This Row],[cod_actividad]],tblActividades[codigo],tblActividades[descripcion],"(sin catálogo)"))</f>
        <v/>
      </c>
      <c r="AA314" s="13">
        <f>IF(tblOrdenes[[#This Row],[fecha_inicio]]="","",TODAY()-tblOrdenes[[#This Row],[fecha_inicio]])</f>
        <v/>
      </c>
      <c r="AB3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4" s="3">
        <f>IF(tblOrdenes[[#This Row],[backlog_habiles]]="","",IF(tblOrdenes[[#This Row],[backlog_habiles]]&lt;0,"FUTURO",IF(tblOrdenes[[#This Row],[backlog_habiles]]&gt;p_dias_backlog_max,"BACKLOG","MES CORRIENTE")))</f>
        <v/>
      </c>
      <c r="AD314" s="3">
        <f>IF(tblOrdenes[[#This Row],[backlog_habiles]]="",FALSE,AND(tblOrdenes[[#This Row],[backlog_habiles]]&gt;p_dias_backlog_min,tblOrdenes[[#This Row],[backlog_habiles]]&lt;=p_dias_backlog_max))</f>
        <v/>
      </c>
      <c r="AE314" s="6" t="n"/>
      <c r="AF3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4" s="11">
        <f>IF(tblOrdenes[[#This Row],[orden]]="","",_xlfn.XLOOKUP(tblOrdenes[[#This Row],[id_operacion]],tblEjecucion[id_operacion],tblEjecucion[precio],0))</f>
        <v/>
      </c>
      <c r="AJ314" s="11">
        <f>IF(tblOrdenes[[#This Row],[orden]]="","",MAX(0,_xlfn.XLOOKUP(tblOrdenes[[#This Row],[id_operacion]],tblEjecucion[id_operacion],tblEjecucion[costo_plan_total],0)-tblOrdenes[[#This Row],[costo_servicio]]))</f>
        <v/>
      </c>
      <c r="AK314" s="11">
        <f>IF(tblOrdenes[[#This Row],[orden]]="","",tblOrdenes[[#This Row],[costo_servicio]]+tblOrdenes[[#This Row],[costo_materiales]])</f>
        <v/>
      </c>
      <c r="AL314" s="6" t="n"/>
      <c r="AM314" s="6" t="n"/>
      <c r="AN314" s="6" t="n"/>
      <c r="AO314" s="3">
        <f>IF(tblOrdenes[[#This Row],[link_checklist]]="","",HYPERLINK(p_ruta_base_checklists&amp;tblOrdenes[[#This Row],[link_checklist]],"abrir"))</f>
        <v/>
      </c>
      <c r="AP314" s="6" t="n"/>
      <c r="AQ314" s="3">
        <f>IF(tblOrdenes[[#This Row],[orden]]="","",tblOrdenes[[#This Row],[orden]]&amp;IF(tblOrdenes[[#This Row],[operacion]]="","0010",tblOrdenes[[#This Row],[operacion]]))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2" t="n"/>
      <c r="K315" s="3" t="n"/>
      <c r="L315" s="11" t="n"/>
      <c r="M3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5" s="3">
        <f>IF(tblOrdenes[[#This Row],[fecha_inicio]]="","",YEAR(tblOrdenes[[#This Row],[fecha_inicio]]))</f>
        <v/>
      </c>
      <c r="Q315" s="3">
        <f>IF(tblOrdenes[[#This Row],[fecha_inicio]]="","",MONTH(tblOrdenes[[#This Row],[fecha_inicio]]))</f>
        <v/>
      </c>
      <c r="R315" s="3">
        <f>IF(tblOrdenes[[#This Row],[fecha_inicio]]="","",INDEX(lista_dias,WEEKDAY(tblOrdenes[[#This Row],[fecha_inicio]],2)))</f>
        <v/>
      </c>
      <c r="S3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5" s="3">
        <f>IF(tblOrdenes[[#This Row],[tipo_ot]]="","",_xlfn.XLOOKUP(tblOrdenes[[#This Row],[tipo_ot]],tblTiposOT[codigo],tblTiposOT[clasificacion],"sin_clasificar"))</f>
        <v/>
      </c>
      <c r="U315" s="3">
        <f>IF(tblOrdenes[[#This Row],[centro_costo]]="","",_xlfn.XLOOKUP(tblOrdenes[[#This Row],[centro_costo]],tblCECO[codigo],tblCECO[linea],"(sin catálogo)"))</f>
        <v/>
      </c>
      <c r="V315" s="3">
        <f>IF(tblOrdenes[[#This Row],[centro_costo]]="","",_xlfn.XLOOKUP(tblOrdenes[[#This Row],[centro_costo]],tblCECO[codigo],tblCECO[area],"(sin catálogo)"))</f>
        <v/>
      </c>
      <c r="W3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5" s="3">
        <f>IF(tblOrdenes[[#This Row],[centro_costo]]="","",_xlfn.XLOOKUP(tblOrdenes[[#This Row],[centro_costo]],tblCECO[codigo],tblCECO[coordinador],"(sin catálogo)"))</f>
        <v/>
      </c>
      <c r="Y315" s="3">
        <f>IF(tblOrdenes[[#This Row],[puesto_trabajo]]="","",_xlfn.XLOOKUP(tblOrdenes[[#This Row],[puesto_trabajo]],tblPuestos[codigo],tblPuestos[especialidad],"(sin catálogo)"))</f>
        <v/>
      </c>
      <c r="Z315" s="3">
        <f>IF(tblOrdenes[[#This Row],[cod_actividad]]="","",_xlfn.XLOOKUP(tblOrdenes[[#This Row],[cod_actividad]],tblActividades[codigo],tblActividades[descripcion],"(sin catálogo)"))</f>
        <v/>
      </c>
      <c r="AA315" s="13">
        <f>IF(tblOrdenes[[#This Row],[fecha_inicio]]="","",TODAY()-tblOrdenes[[#This Row],[fecha_inicio]])</f>
        <v/>
      </c>
      <c r="AB3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5" s="3">
        <f>IF(tblOrdenes[[#This Row],[backlog_habiles]]="","",IF(tblOrdenes[[#This Row],[backlog_habiles]]&lt;0,"FUTURO",IF(tblOrdenes[[#This Row],[backlog_habiles]]&gt;p_dias_backlog_max,"BACKLOG","MES CORRIENTE")))</f>
        <v/>
      </c>
      <c r="AD315" s="3">
        <f>IF(tblOrdenes[[#This Row],[backlog_habiles]]="",FALSE,AND(tblOrdenes[[#This Row],[backlog_habiles]]&gt;p_dias_backlog_min,tblOrdenes[[#This Row],[backlog_habiles]]&lt;=p_dias_backlog_max))</f>
        <v/>
      </c>
      <c r="AE315" s="6" t="n"/>
      <c r="AF3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5" s="11">
        <f>IF(tblOrdenes[[#This Row],[orden]]="","",_xlfn.XLOOKUP(tblOrdenes[[#This Row],[id_operacion]],tblEjecucion[id_operacion],tblEjecucion[precio],0))</f>
        <v/>
      </c>
      <c r="AJ315" s="11">
        <f>IF(tblOrdenes[[#This Row],[orden]]="","",MAX(0,_xlfn.XLOOKUP(tblOrdenes[[#This Row],[id_operacion]],tblEjecucion[id_operacion],tblEjecucion[costo_plan_total],0)-tblOrdenes[[#This Row],[costo_servicio]]))</f>
        <v/>
      </c>
      <c r="AK315" s="11">
        <f>IF(tblOrdenes[[#This Row],[orden]]="","",tblOrdenes[[#This Row],[costo_servicio]]+tblOrdenes[[#This Row],[costo_materiales]])</f>
        <v/>
      </c>
      <c r="AL315" s="6" t="n"/>
      <c r="AM315" s="6" t="n"/>
      <c r="AN315" s="6" t="n"/>
      <c r="AO315" s="3">
        <f>IF(tblOrdenes[[#This Row],[link_checklist]]="","",HYPERLINK(p_ruta_base_checklists&amp;tblOrdenes[[#This Row],[link_checklist]],"abrir"))</f>
        <v/>
      </c>
      <c r="AP315" s="6" t="n"/>
      <c r="AQ315" s="3">
        <f>IF(tblOrdenes[[#This Row],[orden]]="","",tblOrdenes[[#This Row],[orden]]&amp;IF(tblOrdenes[[#This Row],[operacion]]="","0010",tblOrdenes[[#This Row],[operacion]]))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2" t="n"/>
      <c r="K316" s="3" t="n"/>
      <c r="L316" s="11" t="n"/>
      <c r="M3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6" s="3">
        <f>IF(tblOrdenes[[#This Row],[fecha_inicio]]="","",YEAR(tblOrdenes[[#This Row],[fecha_inicio]]))</f>
        <v/>
      </c>
      <c r="Q316" s="3">
        <f>IF(tblOrdenes[[#This Row],[fecha_inicio]]="","",MONTH(tblOrdenes[[#This Row],[fecha_inicio]]))</f>
        <v/>
      </c>
      <c r="R316" s="3">
        <f>IF(tblOrdenes[[#This Row],[fecha_inicio]]="","",INDEX(lista_dias,WEEKDAY(tblOrdenes[[#This Row],[fecha_inicio]],2)))</f>
        <v/>
      </c>
      <c r="S3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6" s="3">
        <f>IF(tblOrdenes[[#This Row],[tipo_ot]]="","",_xlfn.XLOOKUP(tblOrdenes[[#This Row],[tipo_ot]],tblTiposOT[codigo],tblTiposOT[clasificacion],"sin_clasificar"))</f>
        <v/>
      </c>
      <c r="U316" s="3">
        <f>IF(tblOrdenes[[#This Row],[centro_costo]]="","",_xlfn.XLOOKUP(tblOrdenes[[#This Row],[centro_costo]],tblCECO[codigo],tblCECO[linea],"(sin catálogo)"))</f>
        <v/>
      </c>
      <c r="V316" s="3">
        <f>IF(tblOrdenes[[#This Row],[centro_costo]]="","",_xlfn.XLOOKUP(tblOrdenes[[#This Row],[centro_costo]],tblCECO[codigo],tblCECO[area],"(sin catálogo)"))</f>
        <v/>
      </c>
      <c r="W3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6" s="3">
        <f>IF(tblOrdenes[[#This Row],[centro_costo]]="","",_xlfn.XLOOKUP(tblOrdenes[[#This Row],[centro_costo]],tblCECO[codigo],tblCECO[coordinador],"(sin catálogo)"))</f>
        <v/>
      </c>
      <c r="Y316" s="3">
        <f>IF(tblOrdenes[[#This Row],[puesto_trabajo]]="","",_xlfn.XLOOKUP(tblOrdenes[[#This Row],[puesto_trabajo]],tblPuestos[codigo],tblPuestos[especialidad],"(sin catálogo)"))</f>
        <v/>
      </c>
      <c r="Z316" s="3">
        <f>IF(tblOrdenes[[#This Row],[cod_actividad]]="","",_xlfn.XLOOKUP(tblOrdenes[[#This Row],[cod_actividad]],tblActividades[codigo],tblActividades[descripcion],"(sin catálogo)"))</f>
        <v/>
      </c>
      <c r="AA316" s="13">
        <f>IF(tblOrdenes[[#This Row],[fecha_inicio]]="","",TODAY()-tblOrdenes[[#This Row],[fecha_inicio]])</f>
        <v/>
      </c>
      <c r="AB3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6" s="3">
        <f>IF(tblOrdenes[[#This Row],[backlog_habiles]]="","",IF(tblOrdenes[[#This Row],[backlog_habiles]]&lt;0,"FUTURO",IF(tblOrdenes[[#This Row],[backlog_habiles]]&gt;p_dias_backlog_max,"BACKLOG","MES CORRIENTE")))</f>
        <v/>
      </c>
      <c r="AD316" s="3">
        <f>IF(tblOrdenes[[#This Row],[backlog_habiles]]="",FALSE,AND(tblOrdenes[[#This Row],[backlog_habiles]]&gt;p_dias_backlog_min,tblOrdenes[[#This Row],[backlog_habiles]]&lt;=p_dias_backlog_max))</f>
        <v/>
      </c>
      <c r="AE316" s="6" t="n"/>
      <c r="AF3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6" s="11">
        <f>IF(tblOrdenes[[#This Row],[orden]]="","",_xlfn.XLOOKUP(tblOrdenes[[#This Row],[id_operacion]],tblEjecucion[id_operacion],tblEjecucion[precio],0))</f>
        <v/>
      </c>
      <c r="AJ316" s="11">
        <f>IF(tblOrdenes[[#This Row],[orden]]="","",MAX(0,_xlfn.XLOOKUP(tblOrdenes[[#This Row],[id_operacion]],tblEjecucion[id_operacion],tblEjecucion[costo_plan_total],0)-tblOrdenes[[#This Row],[costo_servicio]]))</f>
        <v/>
      </c>
      <c r="AK316" s="11">
        <f>IF(tblOrdenes[[#This Row],[orden]]="","",tblOrdenes[[#This Row],[costo_servicio]]+tblOrdenes[[#This Row],[costo_materiales]])</f>
        <v/>
      </c>
      <c r="AL316" s="6" t="n"/>
      <c r="AM316" s="6" t="n"/>
      <c r="AN316" s="6" t="n"/>
      <c r="AO316" s="3">
        <f>IF(tblOrdenes[[#This Row],[link_checklist]]="","",HYPERLINK(p_ruta_base_checklists&amp;tblOrdenes[[#This Row],[link_checklist]],"abrir"))</f>
        <v/>
      </c>
      <c r="AP316" s="6" t="n"/>
      <c r="AQ316" s="3">
        <f>IF(tblOrdenes[[#This Row],[orden]]="","",tblOrdenes[[#This Row],[orden]]&amp;IF(tblOrdenes[[#This Row],[operacion]]="","0010",tblOrdenes[[#This Row],[operacion]]))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2" t="n"/>
      <c r="K317" s="3" t="n"/>
      <c r="L317" s="11" t="n"/>
      <c r="M3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7" s="3">
        <f>IF(tblOrdenes[[#This Row],[fecha_inicio]]="","",YEAR(tblOrdenes[[#This Row],[fecha_inicio]]))</f>
        <v/>
      </c>
      <c r="Q317" s="3">
        <f>IF(tblOrdenes[[#This Row],[fecha_inicio]]="","",MONTH(tblOrdenes[[#This Row],[fecha_inicio]]))</f>
        <v/>
      </c>
      <c r="R317" s="3">
        <f>IF(tblOrdenes[[#This Row],[fecha_inicio]]="","",INDEX(lista_dias,WEEKDAY(tblOrdenes[[#This Row],[fecha_inicio]],2)))</f>
        <v/>
      </c>
      <c r="S3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7" s="3">
        <f>IF(tblOrdenes[[#This Row],[tipo_ot]]="","",_xlfn.XLOOKUP(tblOrdenes[[#This Row],[tipo_ot]],tblTiposOT[codigo],tblTiposOT[clasificacion],"sin_clasificar"))</f>
        <v/>
      </c>
      <c r="U317" s="3">
        <f>IF(tblOrdenes[[#This Row],[centro_costo]]="","",_xlfn.XLOOKUP(tblOrdenes[[#This Row],[centro_costo]],tblCECO[codigo],tblCECO[linea],"(sin catálogo)"))</f>
        <v/>
      </c>
      <c r="V317" s="3">
        <f>IF(tblOrdenes[[#This Row],[centro_costo]]="","",_xlfn.XLOOKUP(tblOrdenes[[#This Row],[centro_costo]],tblCECO[codigo],tblCECO[area],"(sin catálogo)"))</f>
        <v/>
      </c>
      <c r="W3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7" s="3">
        <f>IF(tblOrdenes[[#This Row],[centro_costo]]="","",_xlfn.XLOOKUP(tblOrdenes[[#This Row],[centro_costo]],tblCECO[codigo],tblCECO[coordinador],"(sin catálogo)"))</f>
        <v/>
      </c>
      <c r="Y317" s="3">
        <f>IF(tblOrdenes[[#This Row],[puesto_trabajo]]="","",_xlfn.XLOOKUP(tblOrdenes[[#This Row],[puesto_trabajo]],tblPuestos[codigo],tblPuestos[especialidad],"(sin catálogo)"))</f>
        <v/>
      </c>
      <c r="Z317" s="3">
        <f>IF(tblOrdenes[[#This Row],[cod_actividad]]="","",_xlfn.XLOOKUP(tblOrdenes[[#This Row],[cod_actividad]],tblActividades[codigo],tblActividades[descripcion],"(sin catálogo)"))</f>
        <v/>
      </c>
      <c r="AA317" s="13">
        <f>IF(tblOrdenes[[#This Row],[fecha_inicio]]="","",TODAY()-tblOrdenes[[#This Row],[fecha_inicio]])</f>
        <v/>
      </c>
      <c r="AB3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7" s="3">
        <f>IF(tblOrdenes[[#This Row],[backlog_habiles]]="","",IF(tblOrdenes[[#This Row],[backlog_habiles]]&lt;0,"FUTURO",IF(tblOrdenes[[#This Row],[backlog_habiles]]&gt;p_dias_backlog_max,"BACKLOG","MES CORRIENTE")))</f>
        <v/>
      </c>
      <c r="AD317" s="3">
        <f>IF(tblOrdenes[[#This Row],[backlog_habiles]]="",FALSE,AND(tblOrdenes[[#This Row],[backlog_habiles]]&gt;p_dias_backlog_min,tblOrdenes[[#This Row],[backlog_habiles]]&lt;=p_dias_backlog_max))</f>
        <v/>
      </c>
      <c r="AE317" s="6" t="n"/>
      <c r="AF3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7" s="11">
        <f>IF(tblOrdenes[[#This Row],[orden]]="","",_xlfn.XLOOKUP(tblOrdenes[[#This Row],[id_operacion]],tblEjecucion[id_operacion],tblEjecucion[precio],0))</f>
        <v/>
      </c>
      <c r="AJ317" s="11">
        <f>IF(tblOrdenes[[#This Row],[orden]]="","",MAX(0,_xlfn.XLOOKUP(tblOrdenes[[#This Row],[id_operacion]],tblEjecucion[id_operacion],tblEjecucion[costo_plan_total],0)-tblOrdenes[[#This Row],[costo_servicio]]))</f>
        <v/>
      </c>
      <c r="AK317" s="11">
        <f>IF(tblOrdenes[[#This Row],[orden]]="","",tblOrdenes[[#This Row],[costo_servicio]]+tblOrdenes[[#This Row],[costo_materiales]])</f>
        <v/>
      </c>
      <c r="AL317" s="6" t="n"/>
      <c r="AM317" s="6" t="n"/>
      <c r="AN317" s="6" t="n"/>
      <c r="AO317" s="3">
        <f>IF(tblOrdenes[[#This Row],[link_checklist]]="","",HYPERLINK(p_ruta_base_checklists&amp;tblOrdenes[[#This Row],[link_checklist]],"abrir"))</f>
        <v/>
      </c>
      <c r="AP317" s="6" t="n"/>
      <c r="AQ317" s="3">
        <f>IF(tblOrdenes[[#This Row],[orden]]="","",tblOrdenes[[#This Row],[orden]]&amp;IF(tblOrdenes[[#This Row],[operacion]]="","0010",tblOrdenes[[#This Row],[operacion]]))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2" t="n"/>
      <c r="K318" s="3" t="n"/>
      <c r="L318" s="11" t="n"/>
      <c r="M3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8" s="3">
        <f>IF(tblOrdenes[[#This Row],[fecha_inicio]]="","",YEAR(tblOrdenes[[#This Row],[fecha_inicio]]))</f>
        <v/>
      </c>
      <c r="Q318" s="3">
        <f>IF(tblOrdenes[[#This Row],[fecha_inicio]]="","",MONTH(tblOrdenes[[#This Row],[fecha_inicio]]))</f>
        <v/>
      </c>
      <c r="R318" s="3">
        <f>IF(tblOrdenes[[#This Row],[fecha_inicio]]="","",INDEX(lista_dias,WEEKDAY(tblOrdenes[[#This Row],[fecha_inicio]],2)))</f>
        <v/>
      </c>
      <c r="S3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8" s="3">
        <f>IF(tblOrdenes[[#This Row],[tipo_ot]]="","",_xlfn.XLOOKUP(tblOrdenes[[#This Row],[tipo_ot]],tblTiposOT[codigo],tblTiposOT[clasificacion],"sin_clasificar"))</f>
        <v/>
      </c>
      <c r="U318" s="3">
        <f>IF(tblOrdenes[[#This Row],[centro_costo]]="","",_xlfn.XLOOKUP(tblOrdenes[[#This Row],[centro_costo]],tblCECO[codigo],tblCECO[linea],"(sin catálogo)"))</f>
        <v/>
      </c>
      <c r="V318" s="3">
        <f>IF(tblOrdenes[[#This Row],[centro_costo]]="","",_xlfn.XLOOKUP(tblOrdenes[[#This Row],[centro_costo]],tblCECO[codigo],tblCECO[area],"(sin catálogo)"))</f>
        <v/>
      </c>
      <c r="W3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8" s="3">
        <f>IF(tblOrdenes[[#This Row],[centro_costo]]="","",_xlfn.XLOOKUP(tblOrdenes[[#This Row],[centro_costo]],tblCECO[codigo],tblCECO[coordinador],"(sin catálogo)"))</f>
        <v/>
      </c>
      <c r="Y318" s="3">
        <f>IF(tblOrdenes[[#This Row],[puesto_trabajo]]="","",_xlfn.XLOOKUP(tblOrdenes[[#This Row],[puesto_trabajo]],tblPuestos[codigo],tblPuestos[especialidad],"(sin catálogo)"))</f>
        <v/>
      </c>
      <c r="Z318" s="3">
        <f>IF(tblOrdenes[[#This Row],[cod_actividad]]="","",_xlfn.XLOOKUP(tblOrdenes[[#This Row],[cod_actividad]],tblActividades[codigo],tblActividades[descripcion],"(sin catálogo)"))</f>
        <v/>
      </c>
      <c r="AA318" s="13">
        <f>IF(tblOrdenes[[#This Row],[fecha_inicio]]="","",TODAY()-tblOrdenes[[#This Row],[fecha_inicio]])</f>
        <v/>
      </c>
      <c r="AB3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8" s="3">
        <f>IF(tblOrdenes[[#This Row],[backlog_habiles]]="","",IF(tblOrdenes[[#This Row],[backlog_habiles]]&lt;0,"FUTURO",IF(tblOrdenes[[#This Row],[backlog_habiles]]&gt;p_dias_backlog_max,"BACKLOG","MES CORRIENTE")))</f>
        <v/>
      </c>
      <c r="AD318" s="3">
        <f>IF(tblOrdenes[[#This Row],[backlog_habiles]]="",FALSE,AND(tblOrdenes[[#This Row],[backlog_habiles]]&gt;p_dias_backlog_min,tblOrdenes[[#This Row],[backlog_habiles]]&lt;=p_dias_backlog_max))</f>
        <v/>
      </c>
      <c r="AE318" s="6" t="n"/>
      <c r="AF3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8" s="11">
        <f>IF(tblOrdenes[[#This Row],[orden]]="","",_xlfn.XLOOKUP(tblOrdenes[[#This Row],[id_operacion]],tblEjecucion[id_operacion],tblEjecucion[precio],0))</f>
        <v/>
      </c>
      <c r="AJ318" s="11">
        <f>IF(tblOrdenes[[#This Row],[orden]]="","",MAX(0,_xlfn.XLOOKUP(tblOrdenes[[#This Row],[id_operacion]],tblEjecucion[id_operacion],tblEjecucion[costo_plan_total],0)-tblOrdenes[[#This Row],[costo_servicio]]))</f>
        <v/>
      </c>
      <c r="AK318" s="11">
        <f>IF(tblOrdenes[[#This Row],[orden]]="","",tblOrdenes[[#This Row],[costo_servicio]]+tblOrdenes[[#This Row],[costo_materiales]])</f>
        <v/>
      </c>
      <c r="AL318" s="6" t="n"/>
      <c r="AM318" s="6" t="n"/>
      <c r="AN318" s="6" t="n"/>
      <c r="AO318" s="3">
        <f>IF(tblOrdenes[[#This Row],[link_checklist]]="","",HYPERLINK(p_ruta_base_checklists&amp;tblOrdenes[[#This Row],[link_checklist]],"abrir"))</f>
        <v/>
      </c>
      <c r="AP318" s="6" t="n"/>
      <c r="AQ318" s="3">
        <f>IF(tblOrdenes[[#This Row],[orden]]="","",tblOrdenes[[#This Row],[orden]]&amp;IF(tblOrdenes[[#This Row],[operacion]]="","0010",tblOrdenes[[#This Row],[operacion]]))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2" t="n"/>
      <c r="K319" s="3" t="n"/>
      <c r="L319" s="11" t="n"/>
      <c r="M3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9" s="3">
        <f>IF(tblOrdenes[[#This Row],[fecha_inicio]]="","",YEAR(tblOrdenes[[#This Row],[fecha_inicio]]))</f>
        <v/>
      </c>
      <c r="Q319" s="3">
        <f>IF(tblOrdenes[[#This Row],[fecha_inicio]]="","",MONTH(tblOrdenes[[#This Row],[fecha_inicio]]))</f>
        <v/>
      </c>
      <c r="R319" s="3">
        <f>IF(tblOrdenes[[#This Row],[fecha_inicio]]="","",INDEX(lista_dias,WEEKDAY(tblOrdenes[[#This Row],[fecha_inicio]],2)))</f>
        <v/>
      </c>
      <c r="S3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9" s="3">
        <f>IF(tblOrdenes[[#This Row],[tipo_ot]]="","",_xlfn.XLOOKUP(tblOrdenes[[#This Row],[tipo_ot]],tblTiposOT[codigo],tblTiposOT[clasificacion],"sin_clasificar"))</f>
        <v/>
      </c>
      <c r="U319" s="3">
        <f>IF(tblOrdenes[[#This Row],[centro_costo]]="","",_xlfn.XLOOKUP(tblOrdenes[[#This Row],[centro_costo]],tblCECO[codigo],tblCECO[linea],"(sin catálogo)"))</f>
        <v/>
      </c>
      <c r="V319" s="3">
        <f>IF(tblOrdenes[[#This Row],[centro_costo]]="","",_xlfn.XLOOKUP(tblOrdenes[[#This Row],[centro_costo]],tblCECO[codigo],tblCECO[area],"(sin catálogo)"))</f>
        <v/>
      </c>
      <c r="W3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9" s="3">
        <f>IF(tblOrdenes[[#This Row],[centro_costo]]="","",_xlfn.XLOOKUP(tblOrdenes[[#This Row],[centro_costo]],tblCECO[codigo],tblCECO[coordinador],"(sin catálogo)"))</f>
        <v/>
      </c>
      <c r="Y319" s="3">
        <f>IF(tblOrdenes[[#This Row],[puesto_trabajo]]="","",_xlfn.XLOOKUP(tblOrdenes[[#This Row],[puesto_trabajo]],tblPuestos[codigo],tblPuestos[especialidad],"(sin catálogo)"))</f>
        <v/>
      </c>
      <c r="Z319" s="3">
        <f>IF(tblOrdenes[[#This Row],[cod_actividad]]="","",_xlfn.XLOOKUP(tblOrdenes[[#This Row],[cod_actividad]],tblActividades[codigo],tblActividades[descripcion],"(sin catálogo)"))</f>
        <v/>
      </c>
      <c r="AA319" s="13">
        <f>IF(tblOrdenes[[#This Row],[fecha_inicio]]="","",TODAY()-tblOrdenes[[#This Row],[fecha_inicio]])</f>
        <v/>
      </c>
      <c r="AB3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9" s="3">
        <f>IF(tblOrdenes[[#This Row],[backlog_habiles]]="","",IF(tblOrdenes[[#This Row],[backlog_habiles]]&lt;0,"FUTURO",IF(tblOrdenes[[#This Row],[backlog_habiles]]&gt;p_dias_backlog_max,"BACKLOG","MES CORRIENTE")))</f>
        <v/>
      </c>
      <c r="AD319" s="3">
        <f>IF(tblOrdenes[[#This Row],[backlog_habiles]]="",FALSE,AND(tblOrdenes[[#This Row],[backlog_habiles]]&gt;p_dias_backlog_min,tblOrdenes[[#This Row],[backlog_habiles]]&lt;=p_dias_backlog_max))</f>
        <v/>
      </c>
      <c r="AE319" s="6" t="n"/>
      <c r="AF3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9" s="11">
        <f>IF(tblOrdenes[[#This Row],[orden]]="","",_xlfn.XLOOKUP(tblOrdenes[[#This Row],[id_operacion]],tblEjecucion[id_operacion],tblEjecucion[precio],0))</f>
        <v/>
      </c>
      <c r="AJ319" s="11">
        <f>IF(tblOrdenes[[#This Row],[orden]]="","",MAX(0,_xlfn.XLOOKUP(tblOrdenes[[#This Row],[id_operacion]],tblEjecucion[id_operacion],tblEjecucion[costo_plan_total],0)-tblOrdenes[[#This Row],[costo_servicio]]))</f>
        <v/>
      </c>
      <c r="AK319" s="11">
        <f>IF(tblOrdenes[[#This Row],[orden]]="","",tblOrdenes[[#This Row],[costo_servicio]]+tblOrdenes[[#This Row],[costo_materiales]])</f>
        <v/>
      </c>
      <c r="AL319" s="6" t="n"/>
      <c r="AM319" s="6" t="n"/>
      <c r="AN319" s="6" t="n"/>
      <c r="AO319" s="3">
        <f>IF(tblOrdenes[[#This Row],[link_checklist]]="","",HYPERLINK(p_ruta_base_checklists&amp;tblOrdenes[[#This Row],[link_checklist]],"abrir"))</f>
        <v/>
      </c>
      <c r="AP319" s="6" t="n"/>
      <c r="AQ319" s="3">
        <f>IF(tblOrdenes[[#This Row],[orden]]="","",tblOrdenes[[#This Row],[orden]]&amp;IF(tblOrdenes[[#This Row],[operacion]]="","0010",tblOrdenes[[#This Row],[operacion]]))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2" t="n"/>
      <c r="K320" s="3" t="n"/>
      <c r="L320" s="11" t="n"/>
      <c r="M3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0" s="3">
        <f>IF(tblOrdenes[[#This Row],[fecha_inicio]]="","",YEAR(tblOrdenes[[#This Row],[fecha_inicio]]))</f>
        <v/>
      </c>
      <c r="Q320" s="3">
        <f>IF(tblOrdenes[[#This Row],[fecha_inicio]]="","",MONTH(tblOrdenes[[#This Row],[fecha_inicio]]))</f>
        <v/>
      </c>
      <c r="R320" s="3">
        <f>IF(tblOrdenes[[#This Row],[fecha_inicio]]="","",INDEX(lista_dias,WEEKDAY(tblOrdenes[[#This Row],[fecha_inicio]],2)))</f>
        <v/>
      </c>
      <c r="S3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0" s="3">
        <f>IF(tblOrdenes[[#This Row],[tipo_ot]]="","",_xlfn.XLOOKUP(tblOrdenes[[#This Row],[tipo_ot]],tblTiposOT[codigo],tblTiposOT[clasificacion],"sin_clasificar"))</f>
        <v/>
      </c>
      <c r="U320" s="3">
        <f>IF(tblOrdenes[[#This Row],[centro_costo]]="","",_xlfn.XLOOKUP(tblOrdenes[[#This Row],[centro_costo]],tblCECO[codigo],tblCECO[linea],"(sin catálogo)"))</f>
        <v/>
      </c>
      <c r="V320" s="3">
        <f>IF(tblOrdenes[[#This Row],[centro_costo]]="","",_xlfn.XLOOKUP(tblOrdenes[[#This Row],[centro_costo]],tblCECO[codigo],tblCECO[area],"(sin catálogo)"))</f>
        <v/>
      </c>
      <c r="W3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0" s="3">
        <f>IF(tblOrdenes[[#This Row],[centro_costo]]="","",_xlfn.XLOOKUP(tblOrdenes[[#This Row],[centro_costo]],tblCECO[codigo],tblCECO[coordinador],"(sin catálogo)"))</f>
        <v/>
      </c>
      <c r="Y320" s="3">
        <f>IF(tblOrdenes[[#This Row],[puesto_trabajo]]="","",_xlfn.XLOOKUP(tblOrdenes[[#This Row],[puesto_trabajo]],tblPuestos[codigo],tblPuestos[especialidad],"(sin catálogo)"))</f>
        <v/>
      </c>
      <c r="Z320" s="3">
        <f>IF(tblOrdenes[[#This Row],[cod_actividad]]="","",_xlfn.XLOOKUP(tblOrdenes[[#This Row],[cod_actividad]],tblActividades[codigo],tblActividades[descripcion],"(sin catálogo)"))</f>
        <v/>
      </c>
      <c r="AA320" s="13">
        <f>IF(tblOrdenes[[#This Row],[fecha_inicio]]="","",TODAY()-tblOrdenes[[#This Row],[fecha_inicio]])</f>
        <v/>
      </c>
      <c r="AB3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0" s="3">
        <f>IF(tblOrdenes[[#This Row],[backlog_habiles]]="","",IF(tblOrdenes[[#This Row],[backlog_habiles]]&lt;0,"FUTURO",IF(tblOrdenes[[#This Row],[backlog_habiles]]&gt;p_dias_backlog_max,"BACKLOG","MES CORRIENTE")))</f>
        <v/>
      </c>
      <c r="AD320" s="3">
        <f>IF(tblOrdenes[[#This Row],[backlog_habiles]]="",FALSE,AND(tblOrdenes[[#This Row],[backlog_habiles]]&gt;p_dias_backlog_min,tblOrdenes[[#This Row],[backlog_habiles]]&lt;=p_dias_backlog_max))</f>
        <v/>
      </c>
      <c r="AE320" s="6" t="n"/>
      <c r="AF3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0" s="11">
        <f>IF(tblOrdenes[[#This Row],[orden]]="","",_xlfn.XLOOKUP(tblOrdenes[[#This Row],[id_operacion]],tblEjecucion[id_operacion],tblEjecucion[precio],0))</f>
        <v/>
      </c>
      <c r="AJ320" s="11">
        <f>IF(tblOrdenes[[#This Row],[orden]]="","",MAX(0,_xlfn.XLOOKUP(tblOrdenes[[#This Row],[id_operacion]],tblEjecucion[id_operacion],tblEjecucion[costo_plan_total],0)-tblOrdenes[[#This Row],[costo_servicio]]))</f>
        <v/>
      </c>
      <c r="AK320" s="11">
        <f>IF(tblOrdenes[[#This Row],[orden]]="","",tblOrdenes[[#This Row],[costo_servicio]]+tblOrdenes[[#This Row],[costo_materiales]])</f>
        <v/>
      </c>
      <c r="AL320" s="6" t="n"/>
      <c r="AM320" s="6" t="n"/>
      <c r="AN320" s="6" t="n"/>
      <c r="AO320" s="3">
        <f>IF(tblOrdenes[[#This Row],[link_checklist]]="","",HYPERLINK(p_ruta_base_checklists&amp;tblOrdenes[[#This Row],[link_checklist]],"abrir"))</f>
        <v/>
      </c>
      <c r="AP320" s="6" t="n"/>
      <c r="AQ320" s="3">
        <f>IF(tblOrdenes[[#This Row],[orden]]="","",tblOrdenes[[#This Row],[orden]]&amp;IF(tblOrdenes[[#This Row],[operacion]]="","0010",tblOrdenes[[#This Row],[operacion]]))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2" t="n"/>
      <c r="K321" s="3" t="n"/>
      <c r="L321" s="11" t="n"/>
      <c r="M3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1" s="3">
        <f>IF(tblOrdenes[[#This Row],[fecha_inicio]]="","",YEAR(tblOrdenes[[#This Row],[fecha_inicio]]))</f>
        <v/>
      </c>
      <c r="Q321" s="3">
        <f>IF(tblOrdenes[[#This Row],[fecha_inicio]]="","",MONTH(tblOrdenes[[#This Row],[fecha_inicio]]))</f>
        <v/>
      </c>
      <c r="R321" s="3">
        <f>IF(tblOrdenes[[#This Row],[fecha_inicio]]="","",INDEX(lista_dias,WEEKDAY(tblOrdenes[[#This Row],[fecha_inicio]],2)))</f>
        <v/>
      </c>
      <c r="S3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1" s="3">
        <f>IF(tblOrdenes[[#This Row],[tipo_ot]]="","",_xlfn.XLOOKUP(tblOrdenes[[#This Row],[tipo_ot]],tblTiposOT[codigo],tblTiposOT[clasificacion],"sin_clasificar"))</f>
        <v/>
      </c>
      <c r="U321" s="3">
        <f>IF(tblOrdenes[[#This Row],[centro_costo]]="","",_xlfn.XLOOKUP(tblOrdenes[[#This Row],[centro_costo]],tblCECO[codigo],tblCECO[linea],"(sin catálogo)"))</f>
        <v/>
      </c>
      <c r="V321" s="3">
        <f>IF(tblOrdenes[[#This Row],[centro_costo]]="","",_xlfn.XLOOKUP(tblOrdenes[[#This Row],[centro_costo]],tblCECO[codigo],tblCECO[area],"(sin catálogo)"))</f>
        <v/>
      </c>
      <c r="W3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1" s="3">
        <f>IF(tblOrdenes[[#This Row],[centro_costo]]="","",_xlfn.XLOOKUP(tblOrdenes[[#This Row],[centro_costo]],tblCECO[codigo],tblCECO[coordinador],"(sin catálogo)"))</f>
        <v/>
      </c>
      <c r="Y321" s="3">
        <f>IF(tblOrdenes[[#This Row],[puesto_trabajo]]="","",_xlfn.XLOOKUP(tblOrdenes[[#This Row],[puesto_trabajo]],tblPuestos[codigo],tblPuestos[especialidad],"(sin catálogo)"))</f>
        <v/>
      </c>
      <c r="Z321" s="3">
        <f>IF(tblOrdenes[[#This Row],[cod_actividad]]="","",_xlfn.XLOOKUP(tblOrdenes[[#This Row],[cod_actividad]],tblActividades[codigo],tblActividades[descripcion],"(sin catálogo)"))</f>
        <v/>
      </c>
      <c r="AA321" s="13">
        <f>IF(tblOrdenes[[#This Row],[fecha_inicio]]="","",TODAY()-tblOrdenes[[#This Row],[fecha_inicio]])</f>
        <v/>
      </c>
      <c r="AB3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1" s="3">
        <f>IF(tblOrdenes[[#This Row],[backlog_habiles]]="","",IF(tblOrdenes[[#This Row],[backlog_habiles]]&lt;0,"FUTURO",IF(tblOrdenes[[#This Row],[backlog_habiles]]&gt;p_dias_backlog_max,"BACKLOG","MES CORRIENTE")))</f>
        <v/>
      </c>
      <c r="AD321" s="3">
        <f>IF(tblOrdenes[[#This Row],[backlog_habiles]]="",FALSE,AND(tblOrdenes[[#This Row],[backlog_habiles]]&gt;p_dias_backlog_min,tblOrdenes[[#This Row],[backlog_habiles]]&lt;=p_dias_backlog_max))</f>
        <v/>
      </c>
      <c r="AE321" s="6" t="n"/>
      <c r="AF3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1" s="11">
        <f>IF(tblOrdenes[[#This Row],[orden]]="","",_xlfn.XLOOKUP(tblOrdenes[[#This Row],[id_operacion]],tblEjecucion[id_operacion],tblEjecucion[precio],0))</f>
        <v/>
      </c>
      <c r="AJ321" s="11">
        <f>IF(tblOrdenes[[#This Row],[orden]]="","",MAX(0,_xlfn.XLOOKUP(tblOrdenes[[#This Row],[id_operacion]],tblEjecucion[id_operacion],tblEjecucion[costo_plan_total],0)-tblOrdenes[[#This Row],[costo_servicio]]))</f>
        <v/>
      </c>
      <c r="AK321" s="11">
        <f>IF(tblOrdenes[[#This Row],[orden]]="","",tblOrdenes[[#This Row],[costo_servicio]]+tblOrdenes[[#This Row],[costo_materiales]])</f>
        <v/>
      </c>
      <c r="AL321" s="6" t="n"/>
      <c r="AM321" s="6" t="n"/>
      <c r="AN321" s="6" t="n"/>
      <c r="AO321" s="3">
        <f>IF(tblOrdenes[[#This Row],[link_checklist]]="","",HYPERLINK(p_ruta_base_checklists&amp;tblOrdenes[[#This Row],[link_checklist]],"abrir"))</f>
        <v/>
      </c>
      <c r="AP321" s="6" t="n"/>
      <c r="AQ321" s="3">
        <f>IF(tblOrdenes[[#This Row],[orden]]="","",tblOrdenes[[#This Row],[orden]]&amp;IF(tblOrdenes[[#This Row],[operacion]]="","0010",tblOrdenes[[#This Row],[operacion]]))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2" t="n"/>
      <c r="K322" s="3" t="n"/>
      <c r="L322" s="11" t="n"/>
      <c r="M3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2" s="3">
        <f>IF(tblOrdenes[[#This Row],[fecha_inicio]]="","",YEAR(tblOrdenes[[#This Row],[fecha_inicio]]))</f>
        <v/>
      </c>
      <c r="Q322" s="3">
        <f>IF(tblOrdenes[[#This Row],[fecha_inicio]]="","",MONTH(tblOrdenes[[#This Row],[fecha_inicio]]))</f>
        <v/>
      </c>
      <c r="R322" s="3">
        <f>IF(tblOrdenes[[#This Row],[fecha_inicio]]="","",INDEX(lista_dias,WEEKDAY(tblOrdenes[[#This Row],[fecha_inicio]],2)))</f>
        <v/>
      </c>
      <c r="S3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2" s="3">
        <f>IF(tblOrdenes[[#This Row],[tipo_ot]]="","",_xlfn.XLOOKUP(tblOrdenes[[#This Row],[tipo_ot]],tblTiposOT[codigo],tblTiposOT[clasificacion],"sin_clasificar"))</f>
        <v/>
      </c>
      <c r="U322" s="3">
        <f>IF(tblOrdenes[[#This Row],[centro_costo]]="","",_xlfn.XLOOKUP(tblOrdenes[[#This Row],[centro_costo]],tblCECO[codigo],tblCECO[linea],"(sin catálogo)"))</f>
        <v/>
      </c>
      <c r="V322" s="3">
        <f>IF(tblOrdenes[[#This Row],[centro_costo]]="","",_xlfn.XLOOKUP(tblOrdenes[[#This Row],[centro_costo]],tblCECO[codigo],tblCECO[area],"(sin catálogo)"))</f>
        <v/>
      </c>
      <c r="W3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2" s="3">
        <f>IF(tblOrdenes[[#This Row],[centro_costo]]="","",_xlfn.XLOOKUP(tblOrdenes[[#This Row],[centro_costo]],tblCECO[codigo],tblCECO[coordinador],"(sin catálogo)"))</f>
        <v/>
      </c>
      <c r="Y322" s="3">
        <f>IF(tblOrdenes[[#This Row],[puesto_trabajo]]="","",_xlfn.XLOOKUP(tblOrdenes[[#This Row],[puesto_trabajo]],tblPuestos[codigo],tblPuestos[especialidad],"(sin catálogo)"))</f>
        <v/>
      </c>
      <c r="Z322" s="3">
        <f>IF(tblOrdenes[[#This Row],[cod_actividad]]="","",_xlfn.XLOOKUP(tblOrdenes[[#This Row],[cod_actividad]],tblActividades[codigo],tblActividades[descripcion],"(sin catálogo)"))</f>
        <v/>
      </c>
      <c r="AA322" s="13">
        <f>IF(tblOrdenes[[#This Row],[fecha_inicio]]="","",TODAY()-tblOrdenes[[#This Row],[fecha_inicio]])</f>
        <v/>
      </c>
      <c r="AB3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2" s="3">
        <f>IF(tblOrdenes[[#This Row],[backlog_habiles]]="","",IF(tblOrdenes[[#This Row],[backlog_habiles]]&lt;0,"FUTURO",IF(tblOrdenes[[#This Row],[backlog_habiles]]&gt;p_dias_backlog_max,"BACKLOG","MES CORRIENTE")))</f>
        <v/>
      </c>
      <c r="AD322" s="3">
        <f>IF(tblOrdenes[[#This Row],[backlog_habiles]]="",FALSE,AND(tblOrdenes[[#This Row],[backlog_habiles]]&gt;p_dias_backlog_min,tblOrdenes[[#This Row],[backlog_habiles]]&lt;=p_dias_backlog_max))</f>
        <v/>
      </c>
      <c r="AE322" s="6" t="n"/>
      <c r="AF3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2" s="11">
        <f>IF(tblOrdenes[[#This Row],[orden]]="","",_xlfn.XLOOKUP(tblOrdenes[[#This Row],[id_operacion]],tblEjecucion[id_operacion],tblEjecucion[precio],0))</f>
        <v/>
      </c>
      <c r="AJ322" s="11">
        <f>IF(tblOrdenes[[#This Row],[orden]]="","",MAX(0,_xlfn.XLOOKUP(tblOrdenes[[#This Row],[id_operacion]],tblEjecucion[id_operacion],tblEjecucion[costo_plan_total],0)-tblOrdenes[[#This Row],[costo_servicio]]))</f>
        <v/>
      </c>
      <c r="AK322" s="11">
        <f>IF(tblOrdenes[[#This Row],[orden]]="","",tblOrdenes[[#This Row],[costo_servicio]]+tblOrdenes[[#This Row],[costo_materiales]])</f>
        <v/>
      </c>
      <c r="AL322" s="6" t="n"/>
      <c r="AM322" s="6" t="n"/>
      <c r="AN322" s="6" t="n"/>
      <c r="AO322" s="3">
        <f>IF(tblOrdenes[[#This Row],[link_checklist]]="","",HYPERLINK(p_ruta_base_checklists&amp;tblOrdenes[[#This Row],[link_checklist]],"abrir"))</f>
        <v/>
      </c>
      <c r="AP322" s="6" t="n"/>
      <c r="AQ322" s="3">
        <f>IF(tblOrdenes[[#This Row],[orden]]="","",tblOrdenes[[#This Row],[orden]]&amp;IF(tblOrdenes[[#This Row],[operacion]]="","0010",tblOrdenes[[#This Row],[operacion]]))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2" t="n"/>
      <c r="K323" s="3" t="n"/>
      <c r="L323" s="11" t="n"/>
      <c r="M3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3" s="3">
        <f>IF(tblOrdenes[[#This Row],[fecha_inicio]]="","",YEAR(tblOrdenes[[#This Row],[fecha_inicio]]))</f>
        <v/>
      </c>
      <c r="Q323" s="3">
        <f>IF(tblOrdenes[[#This Row],[fecha_inicio]]="","",MONTH(tblOrdenes[[#This Row],[fecha_inicio]]))</f>
        <v/>
      </c>
      <c r="R323" s="3">
        <f>IF(tblOrdenes[[#This Row],[fecha_inicio]]="","",INDEX(lista_dias,WEEKDAY(tblOrdenes[[#This Row],[fecha_inicio]],2)))</f>
        <v/>
      </c>
      <c r="S3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3" s="3">
        <f>IF(tblOrdenes[[#This Row],[tipo_ot]]="","",_xlfn.XLOOKUP(tblOrdenes[[#This Row],[tipo_ot]],tblTiposOT[codigo],tblTiposOT[clasificacion],"sin_clasificar"))</f>
        <v/>
      </c>
      <c r="U323" s="3">
        <f>IF(tblOrdenes[[#This Row],[centro_costo]]="","",_xlfn.XLOOKUP(tblOrdenes[[#This Row],[centro_costo]],tblCECO[codigo],tblCECO[linea],"(sin catálogo)"))</f>
        <v/>
      </c>
      <c r="V323" s="3">
        <f>IF(tblOrdenes[[#This Row],[centro_costo]]="","",_xlfn.XLOOKUP(tblOrdenes[[#This Row],[centro_costo]],tblCECO[codigo],tblCECO[area],"(sin catálogo)"))</f>
        <v/>
      </c>
      <c r="W3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3" s="3">
        <f>IF(tblOrdenes[[#This Row],[centro_costo]]="","",_xlfn.XLOOKUP(tblOrdenes[[#This Row],[centro_costo]],tblCECO[codigo],tblCECO[coordinador],"(sin catálogo)"))</f>
        <v/>
      </c>
      <c r="Y323" s="3">
        <f>IF(tblOrdenes[[#This Row],[puesto_trabajo]]="","",_xlfn.XLOOKUP(tblOrdenes[[#This Row],[puesto_trabajo]],tblPuestos[codigo],tblPuestos[especialidad],"(sin catálogo)"))</f>
        <v/>
      </c>
      <c r="Z323" s="3">
        <f>IF(tblOrdenes[[#This Row],[cod_actividad]]="","",_xlfn.XLOOKUP(tblOrdenes[[#This Row],[cod_actividad]],tblActividades[codigo],tblActividades[descripcion],"(sin catálogo)"))</f>
        <v/>
      </c>
      <c r="AA323" s="13">
        <f>IF(tblOrdenes[[#This Row],[fecha_inicio]]="","",TODAY()-tblOrdenes[[#This Row],[fecha_inicio]])</f>
        <v/>
      </c>
      <c r="AB3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3" s="3">
        <f>IF(tblOrdenes[[#This Row],[backlog_habiles]]="","",IF(tblOrdenes[[#This Row],[backlog_habiles]]&lt;0,"FUTURO",IF(tblOrdenes[[#This Row],[backlog_habiles]]&gt;p_dias_backlog_max,"BACKLOG","MES CORRIENTE")))</f>
        <v/>
      </c>
      <c r="AD323" s="3">
        <f>IF(tblOrdenes[[#This Row],[backlog_habiles]]="",FALSE,AND(tblOrdenes[[#This Row],[backlog_habiles]]&gt;p_dias_backlog_min,tblOrdenes[[#This Row],[backlog_habiles]]&lt;=p_dias_backlog_max))</f>
        <v/>
      </c>
      <c r="AE323" s="6" t="n"/>
      <c r="AF3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3" s="11">
        <f>IF(tblOrdenes[[#This Row],[orden]]="","",_xlfn.XLOOKUP(tblOrdenes[[#This Row],[id_operacion]],tblEjecucion[id_operacion],tblEjecucion[precio],0))</f>
        <v/>
      </c>
      <c r="AJ323" s="11">
        <f>IF(tblOrdenes[[#This Row],[orden]]="","",MAX(0,_xlfn.XLOOKUP(tblOrdenes[[#This Row],[id_operacion]],tblEjecucion[id_operacion],tblEjecucion[costo_plan_total],0)-tblOrdenes[[#This Row],[costo_servicio]]))</f>
        <v/>
      </c>
      <c r="AK323" s="11">
        <f>IF(tblOrdenes[[#This Row],[orden]]="","",tblOrdenes[[#This Row],[costo_servicio]]+tblOrdenes[[#This Row],[costo_materiales]])</f>
        <v/>
      </c>
      <c r="AL323" s="6" t="n"/>
      <c r="AM323" s="6" t="n"/>
      <c r="AN323" s="6" t="n"/>
      <c r="AO323" s="3">
        <f>IF(tblOrdenes[[#This Row],[link_checklist]]="","",HYPERLINK(p_ruta_base_checklists&amp;tblOrdenes[[#This Row],[link_checklist]],"abrir"))</f>
        <v/>
      </c>
      <c r="AP323" s="6" t="n"/>
      <c r="AQ323" s="3">
        <f>IF(tblOrdenes[[#This Row],[orden]]="","",tblOrdenes[[#This Row],[orden]]&amp;IF(tblOrdenes[[#This Row],[operacion]]="","0010",tblOrdenes[[#This Row],[operacion]]))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2" t="n"/>
      <c r="K324" s="3" t="n"/>
      <c r="L324" s="11" t="n"/>
      <c r="M3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4" s="3">
        <f>IF(tblOrdenes[[#This Row],[fecha_inicio]]="","",YEAR(tblOrdenes[[#This Row],[fecha_inicio]]))</f>
        <v/>
      </c>
      <c r="Q324" s="3">
        <f>IF(tblOrdenes[[#This Row],[fecha_inicio]]="","",MONTH(tblOrdenes[[#This Row],[fecha_inicio]]))</f>
        <v/>
      </c>
      <c r="R324" s="3">
        <f>IF(tblOrdenes[[#This Row],[fecha_inicio]]="","",INDEX(lista_dias,WEEKDAY(tblOrdenes[[#This Row],[fecha_inicio]],2)))</f>
        <v/>
      </c>
      <c r="S3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4" s="3">
        <f>IF(tblOrdenes[[#This Row],[tipo_ot]]="","",_xlfn.XLOOKUP(tblOrdenes[[#This Row],[tipo_ot]],tblTiposOT[codigo],tblTiposOT[clasificacion],"sin_clasificar"))</f>
        <v/>
      </c>
      <c r="U324" s="3">
        <f>IF(tblOrdenes[[#This Row],[centro_costo]]="","",_xlfn.XLOOKUP(tblOrdenes[[#This Row],[centro_costo]],tblCECO[codigo],tblCECO[linea],"(sin catálogo)"))</f>
        <v/>
      </c>
      <c r="V324" s="3">
        <f>IF(tblOrdenes[[#This Row],[centro_costo]]="","",_xlfn.XLOOKUP(tblOrdenes[[#This Row],[centro_costo]],tblCECO[codigo],tblCECO[area],"(sin catálogo)"))</f>
        <v/>
      </c>
      <c r="W3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4" s="3">
        <f>IF(tblOrdenes[[#This Row],[centro_costo]]="","",_xlfn.XLOOKUP(tblOrdenes[[#This Row],[centro_costo]],tblCECO[codigo],tblCECO[coordinador],"(sin catálogo)"))</f>
        <v/>
      </c>
      <c r="Y324" s="3">
        <f>IF(tblOrdenes[[#This Row],[puesto_trabajo]]="","",_xlfn.XLOOKUP(tblOrdenes[[#This Row],[puesto_trabajo]],tblPuestos[codigo],tblPuestos[especialidad],"(sin catálogo)"))</f>
        <v/>
      </c>
      <c r="Z324" s="3">
        <f>IF(tblOrdenes[[#This Row],[cod_actividad]]="","",_xlfn.XLOOKUP(tblOrdenes[[#This Row],[cod_actividad]],tblActividades[codigo],tblActividades[descripcion],"(sin catálogo)"))</f>
        <v/>
      </c>
      <c r="AA324" s="13">
        <f>IF(tblOrdenes[[#This Row],[fecha_inicio]]="","",TODAY()-tblOrdenes[[#This Row],[fecha_inicio]])</f>
        <v/>
      </c>
      <c r="AB3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4" s="3">
        <f>IF(tblOrdenes[[#This Row],[backlog_habiles]]="","",IF(tblOrdenes[[#This Row],[backlog_habiles]]&lt;0,"FUTURO",IF(tblOrdenes[[#This Row],[backlog_habiles]]&gt;p_dias_backlog_max,"BACKLOG","MES CORRIENTE")))</f>
        <v/>
      </c>
      <c r="AD324" s="3">
        <f>IF(tblOrdenes[[#This Row],[backlog_habiles]]="",FALSE,AND(tblOrdenes[[#This Row],[backlog_habiles]]&gt;p_dias_backlog_min,tblOrdenes[[#This Row],[backlog_habiles]]&lt;=p_dias_backlog_max))</f>
        <v/>
      </c>
      <c r="AE324" s="6" t="n"/>
      <c r="AF3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4" s="11">
        <f>IF(tblOrdenes[[#This Row],[orden]]="","",_xlfn.XLOOKUP(tblOrdenes[[#This Row],[id_operacion]],tblEjecucion[id_operacion],tblEjecucion[precio],0))</f>
        <v/>
      </c>
      <c r="AJ324" s="11">
        <f>IF(tblOrdenes[[#This Row],[orden]]="","",MAX(0,_xlfn.XLOOKUP(tblOrdenes[[#This Row],[id_operacion]],tblEjecucion[id_operacion],tblEjecucion[costo_plan_total],0)-tblOrdenes[[#This Row],[costo_servicio]]))</f>
        <v/>
      </c>
      <c r="AK324" s="11">
        <f>IF(tblOrdenes[[#This Row],[orden]]="","",tblOrdenes[[#This Row],[costo_servicio]]+tblOrdenes[[#This Row],[costo_materiales]])</f>
        <v/>
      </c>
      <c r="AL324" s="6" t="n"/>
      <c r="AM324" s="6" t="n"/>
      <c r="AN324" s="6" t="n"/>
      <c r="AO324" s="3">
        <f>IF(tblOrdenes[[#This Row],[link_checklist]]="","",HYPERLINK(p_ruta_base_checklists&amp;tblOrdenes[[#This Row],[link_checklist]],"abrir"))</f>
        <v/>
      </c>
      <c r="AP324" s="6" t="n"/>
      <c r="AQ324" s="3">
        <f>IF(tblOrdenes[[#This Row],[orden]]="","",tblOrdenes[[#This Row],[orden]]&amp;IF(tblOrdenes[[#This Row],[operacion]]="","0010",tblOrdenes[[#This Row],[operacion]]))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2" t="n"/>
      <c r="K325" s="3" t="n"/>
      <c r="L325" s="11" t="n"/>
      <c r="M3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5" s="3">
        <f>IF(tblOrdenes[[#This Row],[fecha_inicio]]="","",YEAR(tblOrdenes[[#This Row],[fecha_inicio]]))</f>
        <v/>
      </c>
      <c r="Q325" s="3">
        <f>IF(tblOrdenes[[#This Row],[fecha_inicio]]="","",MONTH(tblOrdenes[[#This Row],[fecha_inicio]]))</f>
        <v/>
      </c>
      <c r="R325" s="3">
        <f>IF(tblOrdenes[[#This Row],[fecha_inicio]]="","",INDEX(lista_dias,WEEKDAY(tblOrdenes[[#This Row],[fecha_inicio]],2)))</f>
        <v/>
      </c>
      <c r="S3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5" s="3">
        <f>IF(tblOrdenes[[#This Row],[tipo_ot]]="","",_xlfn.XLOOKUP(tblOrdenes[[#This Row],[tipo_ot]],tblTiposOT[codigo],tblTiposOT[clasificacion],"sin_clasificar"))</f>
        <v/>
      </c>
      <c r="U325" s="3">
        <f>IF(tblOrdenes[[#This Row],[centro_costo]]="","",_xlfn.XLOOKUP(tblOrdenes[[#This Row],[centro_costo]],tblCECO[codigo],tblCECO[linea],"(sin catálogo)"))</f>
        <v/>
      </c>
      <c r="V325" s="3">
        <f>IF(tblOrdenes[[#This Row],[centro_costo]]="","",_xlfn.XLOOKUP(tblOrdenes[[#This Row],[centro_costo]],tblCECO[codigo],tblCECO[area],"(sin catálogo)"))</f>
        <v/>
      </c>
      <c r="W3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5" s="3">
        <f>IF(tblOrdenes[[#This Row],[centro_costo]]="","",_xlfn.XLOOKUP(tblOrdenes[[#This Row],[centro_costo]],tblCECO[codigo],tblCECO[coordinador],"(sin catálogo)"))</f>
        <v/>
      </c>
      <c r="Y325" s="3">
        <f>IF(tblOrdenes[[#This Row],[puesto_trabajo]]="","",_xlfn.XLOOKUP(tblOrdenes[[#This Row],[puesto_trabajo]],tblPuestos[codigo],tblPuestos[especialidad],"(sin catálogo)"))</f>
        <v/>
      </c>
      <c r="Z325" s="3">
        <f>IF(tblOrdenes[[#This Row],[cod_actividad]]="","",_xlfn.XLOOKUP(tblOrdenes[[#This Row],[cod_actividad]],tblActividades[codigo],tblActividades[descripcion],"(sin catálogo)"))</f>
        <v/>
      </c>
      <c r="AA325" s="13">
        <f>IF(tblOrdenes[[#This Row],[fecha_inicio]]="","",TODAY()-tblOrdenes[[#This Row],[fecha_inicio]])</f>
        <v/>
      </c>
      <c r="AB3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5" s="3">
        <f>IF(tblOrdenes[[#This Row],[backlog_habiles]]="","",IF(tblOrdenes[[#This Row],[backlog_habiles]]&lt;0,"FUTURO",IF(tblOrdenes[[#This Row],[backlog_habiles]]&gt;p_dias_backlog_max,"BACKLOG","MES CORRIENTE")))</f>
        <v/>
      </c>
      <c r="AD325" s="3">
        <f>IF(tblOrdenes[[#This Row],[backlog_habiles]]="",FALSE,AND(tblOrdenes[[#This Row],[backlog_habiles]]&gt;p_dias_backlog_min,tblOrdenes[[#This Row],[backlog_habiles]]&lt;=p_dias_backlog_max))</f>
        <v/>
      </c>
      <c r="AE325" s="6" t="n"/>
      <c r="AF3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5" s="11">
        <f>IF(tblOrdenes[[#This Row],[orden]]="","",_xlfn.XLOOKUP(tblOrdenes[[#This Row],[id_operacion]],tblEjecucion[id_operacion],tblEjecucion[precio],0))</f>
        <v/>
      </c>
      <c r="AJ325" s="11">
        <f>IF(tblOrdenes[[#This Row],[orden]]="","",MAX(0,_xlfn.XLOOKUP(tblOrdenes[[#This Row],[id_operacion]],tblEjecucion[id_operacion],tblEjecucion[costo_plan_total],0)-tblOrdenes[[#This Row],[costo_servicio]]))</f>
        <v/>
      </c>
      <c r="AK325" s="11">
        <f>IF(tblOrdenes[[#This Row],[orden]]="","",tblOrdenes[[#This Row],[costo_servicio]]+tblOrdenes[[#This Row],[costo_materiales]])</f>
        <v/>
      </c>
      <c r="AL325" s="6" t="n"/>
      <c r="AM325" s="6" t="n"/>
      <c r="AN325" s="6" t="n"/>
      <c r="AO325" s="3">
        <f>IF(tblOrdenes[[#This Row],[link_checklist]]="","",HYPERLINK(p_ruta_base_checklists&amp;tblOrdenes[[#This Row],[link_checklist]],"abrir"))</f>
        <v/>
      </c>
      <c r="AP325" s="6" t="n"/>
      <c r="AQ325" s="3">
        <f>IF(tblOrdenes[[#This Row],[orden]]="","",tblOrdenes[[#This Row],[orden]]&amp;IF(tblOrdenes[[#This Row],[operacion]]="","0010",tblOrdenes[[#This Row],[operacion]]))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2" t="n"/>
      <c r="K326" s="3" t="n"/>
      <c r="L326" s="11" t="n"/>
      <c r="M3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6" s="3">
        <f>IF(tblOrdenes[[#This Row],[fecha_inicio]]="","",YEAR(tblOrdenes[[#This Row],[fecha_inicio]]))</f>
        <v/>
      </c>
      <c r="Q326" s="3">
        <f>IF(tblOrdenes[[#This Row],[fecha_inicio]]="","",MONTH(tblOrdenes[[#This Row],[fecha_inicio]]))</f>
        <v/>
      </c>
      <c r="R326" s="3">
        <f>IF(tblOrdenes[[#This Row],[fecha_inicio]]="","",INDEX(lista_dias,WEEKDAY(tblOrdenes[[#This Row],[fecha_inicio]],2)))</f>
        <v/>
      </c>
      <c r="S3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6" s="3">
        <f>IF(tblOrdenes[[#This Row],[tipo_ot]]="","",_xlfn.XLOOKUP(tblOrdenes[[#This Row],[tipo_ot]],tblTiposOT[codigo],tblTiposOT[clasificacion],"sin_clasificar"))</f>
        <v/>
      </c>
      <c r="U326" s="3">
        <f>IF(tblOrdenes[[#This Row],[centro_costo]]="","",_xlfn.XLOOKUP(tblOrdenes[[#This Row],[centro_costo]],tblCECO[codigo],tblCECO[linea],"(sin catálogo)"))</f>
        <v/>
      </c>
      <c r="V326" s="3">
        <f>IF(tblOrdenes[[#This Row],[centro_costo]]="","",_xlfn.XLOOKUP(tblOrdenes[[#This Row],[centro_costo]],tblCECO[codigo],tblCECO[area],"(sin catálogo)"))</f>
        <v/>
      </c>
      <c r="W3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6" s="3">
        <f>IF(tblOrdenes[[#This Row],[centro_costo]]="","",_xlfn.XLOOKUP(tblOrdenes[[#This Row],[centro_costo]],tblCECO[codigo],tblCECO[coordinador],"(sin catálogo)"))</f>
        <v/>
      </c>
      <c r="Y326" s="3">
        <f>IF(tblOrdenes[[#This Row],[puesto_trabajo]]="","",_xlfn.XLOOKUP(tblOrdenes[[#This Row],[puesto_trabajo]],tblPuestos[codigo],tblPuestos[especialidad],"(sin catálogo)"))</f>
        <v/>
      </c>
      <c r="Z326" s="3">
        <f>IF(tblOrdenes[[#This Row],[cod_actividad]]="","",_xlfn.XLOOKUP(tblOrdenes[[#This Row],[cod_actividad]],tblActividades[codigo],tblActividades[descripcion],"(sin catálogo)"))</f>
        <v/>
      </c>
      <c r="AA326" s="13">
        <f>IF(tblOrdenes[[#This Row],[fecha_inicio]]="","",TODAY()-tblOrdenes[[#This Row],[fecha_inicio]])</f>
        <v/>
      </c>
      <c r="AB3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6" s="3">
        <f>IF(tblOrdenes[[#This Row],[backlog_habiles]]="","",IF(tblOrdenes[[#This Row],[backlog_habiles]]&lt;0,"FUTURO",IF(tblOrdenes[[#This Row],[backlog_habiles]]&gt;p_dias_backlog_max,"BACKLOG","MES CORRIENTE")))</f>
        <v/>
      </c>
      <c r="AD326" s="3">
        <f>IF(tblOrdenes[[#This Row],[backlog_habiles]]="",FALSE,AND(tblOrdenes[[#This Row],[backlog_habiles]]&gt;p_dias_backlog_min,tblOrdenes[[#This Row],[backlog_habiles]]&lt;=p_dias_backlog_max))</f>
        <v/>
      </c>
      <c r="AE326" s="6" t="n"/>
      <c r="AF3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6" s="11">
        <f>IF(tblOrdenes[[#This Row],[orden]]="","",_xlfn.XLOOKUP(tblOrdenes[[#This Row],[id_operacion]],tblEjecucion[id_operacion],tblEjecucion[precio],0))</f>
        <v/>
      </c>
      <c r="AJ326" s="11">
        <f>IF(tblOrdenes[[#This Row],[orden]]="","",MAX(0,_xlfn.XLOOKUP(tblOrdenes[[#This Row],[id_operacion]],tblEjecucion[id_operacion],tblEjecucion[costo_plan_total],0)-tblOrdenes[[#This Row],[costo_servicio]]))</f>
        <v/>
      </c>
      <c r="AK326" s="11">
        <f>IF(tblOrdenes[[#This Row],[orden]]="","",tblOrdenes[[#This Row],[costo_servicio]]+tblOrdenes[[#This Row],[costo_materiales]])</f>
        <v/>
      </c>
      <c r="AL326" s="6" t="n"/>
      <c r="AM326" s="6" t="n"/>
      <c r="AN326" s="6" t="n"/>
      <c r="AO326" s="3">
        <f>IF(tblOrdenes[[#This Row],[link_checklist]]="","",HYPERLINK(p_ruta_base_checklists&amp;tblOrdenes[[#This Row],[link_checklist]],"abrir"))</f>
        <v/>
      </c>
      <c r="AP326" s="6" t="n"/>
      <c r="AQ326" s="3">
        <f>IF(tblOrdenes[[#This Row],[orden]]="","",tblOrdenes[[#This Row],[orden]]&amp;IF(tblOrdenes[[#This Row],[operacion]]="","0010",tblOrdenes[[#This Row],[operacion]]))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2" t="n"/>
      <c r="K327" s="3" t="n"/>
      <c r="L327" s="11" t="n"/>
      <c r="M3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7" s="3">
        <f>IF(tblOrdenes[[#This Row],[fecha_inicio]]="","",YEAR(tblOrdenes[[#This Row],[fecha_inicio]]))</f>
        <v/>
      </c>
      <c r="Q327" s="3">
        <f>IF(tblOrdenes[[#This Row],[fecha_inicio]]="","",MONTH(tblOrdenes[[#This Row],[fecha_inicio]]))</f>
        <v/>
      </c>
      <c r="R327" s="3">
        <f>IF(tblOrdenes[[#This Row],[fecha_inicio]]="","",INDEX(lista_dias,WEEKDAY(tblOrdenes[[#This Row],[fecha_inicio]],2)))</f>
        <v/>
      </c>
      <c r="S3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7" s="3">
        <f>IF(tblOrdenes[[#This Row],[tipo_ot]]="","",_xlfn.XLOOKUP(tblOrdenes[[#This Row],[tipo_ot]],tblTiposOT[codigo],tblTiposOT[clasificacion],"sin_clasificar"))</f>
        <v/>
      </c>
      <c r="U327" s="3">
        <f>IF(tblOrdenes[[#This Row],[centro_costo]]="","",_xlfn.XLOOKUP(tblOrdenes[[#This Row],[centro_costo]],tblCECO[codigo],tblCECO[linea],"(sin catálogo)"))</f>
        <v/>
      </c>
      <c r="V327" s="3">
        <f>IF(tblOrdenes[[#This Row],[centro_costo]]="","",_xlfn.XLOOKUP(tblOrdenes[[#This Row],[centro_costo]],tblCECO[codigo],tblCECO[area],"(sin catálogo)"))</f>
        <v/>
      </c>
      <c r="W3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7" s="3">
        <f>IF(tblOrdenes[[#This Row],[centro_costo]]="","",_xlfn.XLOOKUP(tblOrdenes[[#This Row],[centro_costo]],tblCECO[codigo],tblCECO[coordinador],"(sin catálogo)"))</f>
        <v/>
      </c>
      <c r="Y327" s="3">
        <f>IF(tblOrdenes[[#This Row],[puesto_trabajo]]="","",_xlfn.XLOOKUP(tblOrdenes[[#This Row],[puesto_trabajo]],tblPuestos[codigo],tblPuestos[especialidad],"(sin catálogo)"))</f>
        <v/>
      </c>
      <c r="Z327" s="3">
        <f>IF(tblOrdenes[[#This Row],[cod_actividad]]="","",_xlfn.XLOOKUP(tblOrdenes[[#This Row],[cod_actividad]],tblActividades[codigo],tblActividades[descripcion],"(sin catálogo)"))</f>
        <v/>
      </c>
      <c r="AA327" s="13">
        <f>IF(tblOrdenes[[#This Row],[fecha_inicio]]="","",TODAY()-tblOrdenes[[#This Row],[fecha_inicio]])</f>
        <v/>
      </c>
      <c r="AB3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7" s="3">
        <f>IF(tblOrdenes[[#This Row],[backlog_habiles]]="","",IF(tblOrdenes[[#This Row],[backlog_habiles]]&lt;0,"FUTURO",IF(tblOrdenes[[#This Row],[backlog_habiles]]&gt;p_dias_backlog_max,"BACKLOG","MES CORRIENTE")))</f>
        <v/>
      </c>
      <c r="AD327" s="3">
        <f>IF(tblOrdenes[[#This Row],[backlog_habiles]]="",FALSE,AND(tblOrdenes[[#This Row],[backlog_habiles]]&gt;p_dias_backlog_min,tblOrdenes[[#This Row],[backlog_habiles]]&lt;=p_dias_backlog_max))</f>
        <v/>
      </c>
      <c r="AE327" s="6" t="n"/>
      <c r="AF3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7" s="11">
        <f>IF(tblOrdenes[[#This Row],[orden]]="","",_xlfn.XLOOKUP(tblOrdenes[[#This Row],[id_operacion]],tblEjecucion[id_operacion],tblEjecucion[precio],0))</f>
        <v/>
      </c>
      <c r="AJ327" s="11">
        <f>IF(tblOrdenes[[#This Row],[orden]]="","",MAX(0,_xlfn.XLOOKUP(tblOrdenes[[#This Row],[id_operacion]],tblEjecucion[id_operacion],tblEjecucion[costo_plan_total],0)-tblOrdenes[[#This Row],[costo_servicio]]))</f>
        <v/>
      </c>
      <c r="AK327" s="11">
        <f>IF(tblOrdenes[[#This Row],[orden]]="","",tblOrdenes[[#This Row],[costo_servicio]]+tblOrdenes[[#This Row],[costo_materiales]])</f>
        <v/>
      </c>
      <c r="AL327" s="6" t="n"/>
      <c r="AM327" s="6" t="n"/>
      <c r="AN327" s="6" t="n"/>
      <c r="AO327" s="3">
        <f>IF(tblOrdenes[[#This Row],[link_checklist]]="","",HYPERLINK(p_ruta_base_checklists&amp;tblOrdenes[[#This Row],[link_checklist]],"abrir"))</f>
        <v/>
      </c>
      <c r="AP327" s="6" t="n"/>
      <c r="AQ327" s="3">
        <f>IF(tblOrdenes[[#This Row],[orden]]="","",tblOrdenes[[#This Row],[orden]]&amp;IF(tblOrdenes[[#This Row],[operacion]]="","0010",tblOrdenes[[#This Row],[operacion]]))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2" t="n"/>
      <c r="K328" s="3" t="n"/>
      <c r="L328" s="11" t="n"/>
      <c r="M3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8" s="3">
        <f>IF(tblOrdenes[[#This Row],[fecha_inicio]]="","",YEAR(tblOrdenes[[#This Row],[fecha_inicio]]))</f>
        <v/>
      </c>
      <c r="Q328" s="3">
        <f>IF(tblOrdenes[[#This Row],[fecha_inicio]]="","",MONTH(tblOrdenes[[#This Row],[fecha_inicio]]))</f>
        <v/>
      </c>
      <c r="R328" s="3">
        <f>IF(tblOrdenes[[#This Row],[fecha_inicio]]="","",INDEX(lista_dias,WEEKDAY(tblOrdenes[[#This Row],[fecha_inicio]],2)))</f>
        <v/>
      </c>
      <c r="S3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8" s="3">
        <f>IF(tblOrdenes[[#This Row],[tipo_ot]]="","",_xlfn.XLOOKUP(tblOrdenes[[#This Row],[tipo_ot]],tblTiposOT[codigo],tblTiposOT[clasificacion],"sin_clasificar"))</f>
        <v/>
      </c>
      <c r="U328" s="3">
        <f>IF(tblOrdenes[[#This Row],[centro_costo]]="","",_xlfn.XLOOKUP(tblOrdenes[[#This Row],[centro_costo]],tblCECO[codigo],tblCECO[linea],"(sin catálogo)"))</f>
        <v/>
      </c>
      <c r="V328" s="3">
        <f>IF(tblOrdenes[[#This Row],[centro_costo]]="","",_xlfn.XLOOKUP(tblOrdenes[[#This Row],[centro_costo]],tblCECO[codigo],tblCECO[area],"(sin catálogo)"))</f>
        <v/>
      </c>
      <c r="W3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8" s="3">
        <f>IF(tblOrdenes[[#This Row],[centro_costo]]="","",_xlfn.XLOOKUP(tblOrdenes[[#This Row],[centro_costo]],tblCECO[codigo],tblCECO[coordinador],"(sin catálogo)"))</f>
        <v/>
      </c>
      <c r="Y328" s="3">
        <f>IF(tblOrdenes[[#This Row],[puesto_trabajo]]="","",_xlfn.XLOOKUP(tblOrdenes[[#This Row],[puesto_trabajo]],tblPuestos[codigo],tblPuestos[especialidad],"(sin catálogo)"))</f>
        <v/>
      </c>
      <c r="Z328" s="3">
        <f>IF(tblOrdenes[[#This Row],[cod_actividad]]="","",_xlfn.XLOOKUP(tblOrdenes[[#This Row],[cod_actividad]],tblActividades[codigo],tblActividades[descripcion],"(sin catálogo)"))</f>
        <v/>
      </c>
      <c r="AA328" s="13">
        <f>IF(tblOrdenes[[#This Row],[fecha_inicio]]="","",TODAY()-tblOrdenes[[#This Row],[fecha_inicio]])</f>
        <v/>
      </c>
      <c r="AB3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8" s="3">
        <f>IF(tblOrdenes[[#This Row],[backlog_habiles]]="","",IF(tblOrdenes[[#This Row],[backlog_habiles]]&lt;0,"FUTURO",IF(tblOrdenes[[#This Row],[backlog_habiles]]&gt;p_dias_backlog_max,"BACKLOG","MES CORRIENTE")))</f>
        <v/>
      </c>
      <c r="AD328" s="3">
        <f>IF(tblOrdenes[[#This Row],[backlog_habiles]]="",FALSE,AND(tblOrdenes[[#This Row],[backlog_habiles]]&gt;p_dias_backlog_min,tblOrdenes[[#This Row],[backlog_habiles]]&lt;=p_dias_backlog_max))</f>
        <v/>
      </c>
      <c r="AE328" s="6" t="n"/>
      <c r="AF3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8" s="11">
        <f>IF(tblOrdenes[[#This Row],[orden]]="","",_xlfn.XLOOKUP(tblOrdenes[[#This Row],[id_operacion]],tblEjecucion[id_operacion],tblEjecucion[precio],0))</f>
        <v/>
      </c>
      <c r="AJ328" s="11">
        <f>IF(tblOrdenes[[#This Row],[orden]]="","",MAX(0,_xlfn.XLOOKUP(tblOrdenes[[#This Row],[id_operacion]],tblEjecucion[id_operacion],tblEjecucion[costo_plan_total],0)-tblOrdenes[[#This Row],[costo_servicio]]))</f>
        <v/>
      </c>
      <c r="AK328" s="11">
        <f>IF(tblOrdenes[[#This Row],[orden]]="","",tblOrdenes[[#This Row],[costo_servicio]]+tblOrdenes[[#This Row],[costo_materiales]])</f>
        <v/>
      </c>
      <c r="AL328" s="6" t="n"/>
      <c r="AM328" s="6" t="n"/>
      <c r="AN328" s="6" t="n"/>
      <c r="AO328" s="3">
        <f>IF(tblOrdenes[[#This Row],[link_checklist]]="","",HYPERLINK(p_ruta_base_checklists&amp;tblOrdenes[[#This Row],[link_checklist]],"abrir"))</f>
        <v/>
      </c>
      <c r="AP328" s="6" t="n"/>
      <c r="AQ328" s="3">
        <f>IF(tblOrdenes[[#This Row],[orden]]="","",tblOrdenes[[#This Row],[orden]]&amp;IF(tblOrdenes[[#This Row],[operacion]]="","0010",tblOrdenes[[#This Row],[operacion]]))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2" t="n"/>
      <c r="K329" s="3" t="n"/>
      <c r="L329" s="11" t="n"/>
      <c r="M3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9" s="3">
        <f>IF(tblOrdenes[[#This Row],[fecha_inicio]]="","",YEAR(tblOrdenes[[#This Row],[fecha_inicio]]))</f>
        <v/>
      </c>
      <c r="Q329" s="3">
        <f>IF(tblOrdenes[[#This Row],[fecha_inicio]]="","",MONTH(tblOrdenes[[#This Row],[fecha_inicio]]))</f>
        <v/>
      </c>
      <c r="R329" s="3">
        <f>IF(tblOrdenes[[#This Row],[fecha_inicio]]="","",INDEX(lista_dias,WEEKDAY(tblOrdenes[[#This Row],[fecha_inicio]],2)))</f>
        <v/>
      </c>
      <c r="S3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9" s="3">
        <f>IF(tblOrdenes[[#This Row],[tipo_ot]]="","",_xlfn.XLOOKUP(tblOrdenes[[#This Row],[tipo_ot]],tblTiposOT[codigo],tblTiposOT[clasificacion],"sin_clasificar"))</f>
        <v/>
      </c>
      <c r="U329" s="3">
        <f>IF(tblOrdenes[[#This Row],[centro_costo]]="","",_xlfn.XLOOKUP(tblOrdenes[[#This Row],[centro_costo]],tblCECO[codigo],tblCECO[linea],"(sin catálogo)"))</f>
        <v/>
      </c>
      <c r="V329" s="3">
        <f>IF(tblOrdenes[[#This Row],[centro_costo]]="","",_xlfn.XLOOKUP(tblOrdenes[[#This Row],[centro_costo]],tblCECO[codigo],tblCECO[area],"(sin catálogo)"))</f>
        <v/>
      </c>
      <c r="W3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9" s="3">
        <f>IF(tblOrdenes[[#This Row],[centro_costo]]="","",_xlfn.XLOOKUP(tblOrdenes[[#This Row],[centro_costo]],tblCECO[codigo],tblCECO[coordinador],"(sin catálogo)"))</f>
        <v/>
      </c>
      <c r="Y329" s="3">
        <f>IF(tblOrdenes[[#This Row],[puesto_trabajo]]="","",_xlfn.XLOOKUP(tblOrdenes[[#This Row],[puesto_trabajo]],tblPuestos[codigo],tblPuestos[especialidad],"(sin catálogo)"))</f>
        <v/>
      </c>
      <c r="Z329" s="3">
        <f>IF(tblOrdenes[[#This Row],[cod_actividad]]="","",_xlfn.XLOOKUP(tblOrdenes[[#This Row],[cod_actividad]],tblActividades[codigo],tblActividades[descripcion],"(sin catálogo)"))</f>
        <v/>
      </c>
      <c r="AA329" s="13">
        <f>IF(tblOrdenes[[#This Row],[fecha_inicio]]="","",TODAY()-tblOrdenes[[#This Row],[fecha_inicio]])</f>
        <v/>
      </c>
      <c r="AB3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9" s="3">
        <f>IF(tblOrdenes[[#This Row],[backlog_habiles]]="","",IF(tblOrdenes[[#This Row],[backlog_habiles]]&lt;0,"FUTURO",IF(tblOrdenes[[#This Row],[backlog_habiles]]&gt;p_dias_backlog_max,"BACKLOG","MES CORRIENTE")))</f>
        <v/>
      </c>
      <c r="AD329" s="3">
        <f>IF(tblOrdenes[[#This Row],[backlog_habiles]]="",FALSE,AND(tblOrdenes[[#This Row],[backlog_habiles]]&gt;p_dias_backlog_min,tblOrdenes[[#This Row],[backlog_habiles]]&lt;=p_dias_backlog_max))</f>
        <v/>
      </c>
      <c r="AE329" s="6" t="n"/>
      <c r="AF3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9" s="11">
        <f>IF(tblOrdenes[[#This Row],[orden]]="","",_xlfn.XLOOKUP(tblOrdenes[[#This Row],[id_operacion]],tblEjecucion[id_operacion],tblEjecucion[precio],0))</f>
        <v/>
      </c>
      <c r="AJ329" s="11">
        <f>IF(tblOrdenes[[#This Row],[orden]]="","",MAX(0,_xlfn.XLOOKUP(tblOrdenes[[#This Row],[id_operacion]],tblEjecucion[id_operacion],tblEjecucion[costo_plan_total],0)-tblOrdenes[[#This Row],[costo_servicio]]))</f>
        <v/>
      </c>
      <c r="AK329" s="11">
        <f>IF(tblOrdenes[[#This Row],[orden]]="","",tblOrdenes[[#This Row],[costo_servicio]]+tblOrdenes[[#This Row],[costo_materiales]])</f>
        <v/>
      </c>
      <c r="AL329" s="6" t="n"/>
      <c r="AM329" s="6" t="n"/>
      <c r="AN329" s="6" t="n"/>
      <c r="AO329" s="3">
        <f>IF(tblOrdenes[[#This Row],[link_checklist]]="","",HYPERLINK(p_ruta_base_checklists&amp;tblOrdenes[[#This Row],[link_checklist]],"abrir"))</f>
        <v/>
      </c>
      <c r="AP329" s="6" t="n"/>
      <c r="AQ329" s="3">
        <f>IF(tblOrdenes[[#This Row],[orden]]="","",tblOrdenes[[#This Row],[orden]]&amp;IF(tblOrdenes[[#This Row],[operacion]]="","0010",tblOrdenes[[#This Row],[operacion]]))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2" t="n"/>
      <c r="K330" s="3" t="n"/>
      <c r="L330" s="11" t="n"/>
      <c r="M3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0" s="3">
        <f>IF(tblOrdenes[[#This Row],[fecha_inicio]]="","",YEAR(tblOrdenes[[#This Row],[fecha_inicio]]))</f>
        <v/>
      </c>
      <c r="Q330" s="3">
        <f>IF(tblOrdenes[[#This Row],[fecha_inicio]]="","",MONTH(tblOrdenes[[#This Row],[fecha_inicio]]))</f>
        <v/>
      </c>
      <c r="R330" s="3">
        <f>IF(tblOrdenes[[#This Row],[fecha_inicio]]="","",INDEX(lista_dias,WEEKDAY(tblOrdenes[[#This Row],[fecha_inicio]],2)))</f>
        <v/>
      </c>
      <c r="S3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0" s="3">
        <f>IF(tblOrdenes[[#This Row],[tipo_ot]]="","",_xlfn.XLOOKUP(tblOrdenes[[#This Row],[tipo_ot]],tblTiposOT[codigo],tblTiposOT[clasificacion],"sin_clasificar"))</f>
        <v/>
      </c>
      <c r="U330" s="3">
        <f>IF(tblOrdenes[[#This Row],[centro_costo]]="","",_xlfn.XLOOKUP(tblOrdenes[[#This Row],[centro_costo]],tblCECO[codigo],tblCECO[linea],"(sin catálogo)"))</f>
        <v/>
      </c>
      <c r="V330" s="3">
        <f>IF(tblOrdenes[[#This Row],[centro_costo]]="","",_xlfn.XLOOKUP(tblOrdenes[[#This Row],[centro_costo]],tblCECO[codigo],tblCECO[area],"(sin catálogo)"))</f>
        <v/>
      </c>
      <c r="W3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0" s="3">
        <f>IF(tblOrdenes[[#This Row],[centro_costo]]="","",_xlfn.XLOOKUP(tblOrdenes[[#This Row],[centro_costo]],tblCECO[codigo],tblCECO[coordinador],"(sin catálogo)"))</f>
        <v/>
      </c>
      <c r="Y330" s="3">
        <f>IF(tblOrdenes[[#This Row],[puesto_trabajo]]="","",_xlfn.XLOOKUP(tblOrdenes[[#This Row],[puesto_trabajo]],tblPuestos[codigo],tblPuestos[especialidad],"(sin catálogo)"))</f>
        <v/>
      </c>
      <c r="Z330" s="3">
        <f>IF(tblOrdenes[[#This Row],[cod_actividad]]="","",_xlfn.XLOOKUP(tblOrdenes[[#This Row],[cod_actividad]],tblActividades[codigo],tblActividades[descripcion],"(sin catálogo)"))</f>
        <v/>
      </c>
      <c r="AA330" s="13">
        <f>IF(tblOrdenes[[#This Row],[fecha_inicio]]="","",TODAY()-tblOrdenes[[#This Row],[fecha_inicio]])</f>
        <v/>
      </c>
      <c r="AB3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0" s="3">
        <f>IF(tblOrdenes[[#This Row],[backlog_habiles]]="","",IF(tblOrdenes[[#This Row],[backlog_habiles]]&lt;0,"FUTURO",IF(tblOrdenes[[#This Row],[backlog_habiles]]&gt;p_dias_backlog_max,"BACKLOG","MES CORRIENTE")))</f>
        <v/>
      </c>
      <c r="AD330" s="3">
        <f>IF(tblOrdenes[[#This Row],[backlog_habiles]]="",FALSE,AND(tblOrdenes[[#This Row],[backlog_habiles]]&gt;p_dias_backlog_min,tblOrdenes[[#This Row],[backlog_habiles]]&lt;=p_dias_backlog_max))</f>
        <v/>
      </c>
      <c r="AE330" s="6" t="n"/>
      <c r="AF3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0" s="11">
        <f>IF(tblOrdenes[[#This Row],[orden]]="","",_xlfn.XLOOKUP(tblOrdenes[[#This Row],[id_operacion]],tblEjecucion[id_operacion],tblEjecucion[precio],0))</f>
        <v/>
      </c>
      <c r="AJ330" s="11">
        <f>IF(tblOrdenes[[#This Row],[orden]]="","",MAX(0,_xlfn.XLOOKUP(tblOrdenes[[#This Row],[id_operacion]],tblEjecucion[id_operacion],tblEjecucion[costo_plan_total],0)-tblOrdenes[[#This Row],[costo_servicio]]))</f>
        <v/>
      </c>
      <c r="AK330" s="11">
        <f>IF(tblOrdenes[[#This Row],[orden]]="","",tblOrdenes[[#This Row],[costo_servicio]]+tblOrdenes[[#This Row],[costo_materiales]])</f>
        <v/>
      </c>
      <c r="AL330" s="6" t="n"/>
      <c r="AM330" s="6" t="n"/>
      <c r="AN330" s="6" t="n"/>
      <c r="AO330" s="3">
        <f>IF(tblOrdenes[[#This Row],[link_checklist]]="","",HYPERLINK(p_ruta_base_checklists&amp;tblOrdenes[[#This Row],[link_checklist]],"abrir"))</f>
        <v/>
      </c>
      <c r="AP330" s="6" t="n"/>
      <c r="AQ330" s="3">
        <f>IF(tblOrdenes[[#This Row],[orden]]="","",tblOrdenes[[#This Row],[orden]]&amp;IF(tblOrdenes[[#This Row],[operacion]]="","0010",tblOrdenes[[#This Row],[operacion]]))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2" t="n"/>
      <c r="K331" s="3" t="n"/>
      <c r="L331" s="11" t="n"/>
      <c r="M3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1" s="3">
        <f>IF(tblOrdenes[[#This Row],[fecha_inicio]]="","",YEAR(tblOrdenes[[#This Row],[fecha_inicio]]))</f>
        <v/>
      </c>
      <c r="Q331" s="3">
        <f>IF(tblOrdenes[[#This Row],[fecha_inicio]]="","",MONTH(tblOrdenes[[#This Row],[fecha_inicio]]))</f>
        <v/>
      </c>
      <c r="R331" s="3">
        <f>IF(tblOrdenes[[#This Row],[fecha_inicio]]="","",INDEX(lista_dias,WEEKDAY(tblOrdenes[[#This Row],[fecha_inicio]],2)))</f>
        <v/>
      </c>
      <c r="S3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1" s="3">
        <f>IF(tblOrdenes[[#This Row],[tipo_ot]]="","",_xlfn.XLOOKUP(tblOrdenes[[#This Row],[tipo_ot]],tblTiposOT[codigo],tblTiposOT[clasificacion],"sin_clasificar"))</f>
        <v/>
      </c>
      <c r="U331" s="3">
        <f>IF(tblOrdenes[[#This Row],[centro_costo]]="","",_xlfn.XLOOKUP(tblOrdenes[[#This Row],[centro_costo]],tblCECO[codigo],tblCECO[linea],"(sin catálogo)"))</f>
        <v/>
      </c>
      <c r="V331" s="3">
        <f>IF(tblOrdenes[[#This Row],[centro_costo]]="","",_xlfn.XLOOKUP(tblOrdenes[[#This Row],[centro_costo]],tblCECO[codigo],tblCECO[area],"(sin catálogo)"))</f>
        <v/>
      </c>
      <c r="W3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1" s="3">
        <f>IF(tblOrdenes[[#This Row],[centro_costo]]="","",_xlfn.XLOOKUP(tblOrdenes[[#This Row],[centro_costo]],tblCECO[codigo],tblCECO[coordinador],"(sin catálogo)"))</f>
        <v/>
      </c>
      <c r="Y331" s="3">
        <f>IF(tblOrdenes[[#This Row],[puesto_trabajo]]="","",_xlfn.XLOOKUP(tblOrdenes[[#This Row],[puesto_trabajo]],tblPuestos[codigo],tblPuestos[especialidad],"(sin catálogo)"))</f>
        <v/>
      </c>
      <c r="Z331" s="3">
        <f>IF(tblOrdenes[[#This Row],[cod_actividad]]="","",_xlfn.XLOOKUP(tblOrdenes[[#This Row],[cod_actividad]],tblActividades[codigo],tblActividades[descripcion],"(sin catálogo)"))</f>
        <v/>
      </c>
      <c r="AA331" s="13">
        <f>IF(tblOrdenes[[#This Row],[fecha_inicio]]="","",TODAY()-tblOrdenes[[#This Row],[fecha_inicio]])</f>
        <v/>
      </c>
      <c r="AB3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1" s="3">
        <f>IF(tblOrdenes[[#This Row],[backlog_habiles]]="","",IF(tblOrdenes[[#This Row],[backlog_habiles]]&lt;0,"FUTURO",IF(tblOrdenes[[#This Row],[backlog_habiles]]&gt;p_dias_backlog_max,"BACKLOG","MES CORRIENTE")))</f>
        <v/>
      </c>
      <c r="AD331" s="3">
        <f>IF(tblOrdenes[[#This Row],[backlog_habiles]]="",FALSE,AND(tblOrdenes[[#This Row],[backlog_habiles]]&gt;p_dias_backlog_min,tblOrdenes[[#This Row],[backlog_habiles]]&lt;=p_dias_backlog_max))</f>
        <v/>
      </c>
      <c r="AE331" s="6" t="n"/>
      <c r="AF3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1" s="11">
        <f>IF(tblOrdenes[[#This Row],[orden]]="","",_xlfn.XLOOKUP(tblOrdenes[[#This Row],[id_operacion]],tblEjecucion[id_operacion],tblEjecucion[precio],0))</f>
        <v/>
      </c>
      <c r="AJ331" s="11">
        <f>IF(tblOrdenes[[#This Row],[orden]]="","",MAX(0,_xlfn.XLOOKUP(tblOrdenes[[#This Row],[id_operacion]],tblEjecucion[id_operacion],tblEjecucion[costo_plan_total],0)-tblOrdenes[[#This Row],[costo_servicio]]))</f>
        <v/>
      </c>
      <c r="AK331" s="11">
        <f>IF(tblOrdenes[[#This Row],[orden]]="","",tblOrdenes[[#This Row],[costo_servicio]]+tblOrdenes[[#This Row],[costo_materiales]])</f>
        <v/>
      </c>
      <c r="AL331" s="6" t="n"/>
      <c r="AM331" s="6" t="n"/>
      <c r="AN331" s="6" t="n"/>
      <c r="AO331" s="3">
        <f>IF(tblOrdenes[[#This Row],[link_checklist]]="","",HYPERLINK(p_ruta_base_checklists&amp;tblOrdenes[[#This Row],[link_checklist]],"abrir"))</f>
        <v/>
      </c>
      <c r="AP331" s="6" t="n"/>
      <c r="AQ331" s="3">
        <f>IF(tblOrdenes[[#This Row],[orden]]="","",tblOrdenes[[#This Row],[orden]]&amp;IF(tblOrdenes[[#This Row],[operacion]]="","0010",tblOrdenes[[#This Row],[operacion]]))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2" t="n"/>
      <c r="K332" s="3" t="n"/>
      <c r="L332" s="11" t="n"/>
      <c r="M3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2" s="3">
        <f>IF(tblOrdenes[[#This Row],[fecha_inicio]]="","",YEAR(tblOrdenes[[#This Row],[fecha_inicio]]))</f>
        <v/>
      </c>
      <c r="Q332" s="3">
        <f>IF(tblOrdenes[[#This Row],[fecha_inicio]]="","",MONTH(tblOrdenes[[#This Row],[fecha_inicio]]))</f>
        <v/>
      </c>
      <c r="R332" s="3">
        <f>IF(tblOrdenes[[#This Row],[fecha_inicio]]="","",INDEX(lista_dias,WEEKDAY(tblOrdenes[[#This Row],[fecha_inicio]],2)))</f>
        <v/>
      </c>
      <c r="S3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2" s="3">
        <f>IF(tblOrdenes[[#This Row],[tipo_ot]]="","",_xlfn.XLOOKUP(tblOrdenes[[#This Row],[tipo_ot]],tblTiposOT[codigo],tblTiposOT[clasificacion],"sin_clasificar"))</f>
        <v/>
      </c>
      <c r="U332" s="3">
        <f>IF(tblOrdenes[[#This Row],[centro_costo]]="","",_xlfn.XLOOKUP(tblOrdenes[[#This Row],[centro_costo]],tblCECO[codigo],tblCECO[linea],"(sin catálogo)"))</f>
        <v/>
      </c>
      <c r="V332" s="3">
        <f>IF(tblOrdenes[[#This Row],[centro_costo]]="","",_xlfn.XLOOKUP(tblOrdenes[[#This Row],[centro_costo]],tblCECO[codigo],tblCECO[area],"(sin catálogo)"))</f>
        <v/>
      </c>
      <c r="W3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2" s="3">
        <f>IF(tblOrdenes[[#This Row],[centro_costo]]="","",_xlfn.XLOOKUP(tblOrdenes[[#This Row],[centro_costo]],tblCECO[codigo],tblCECO[coordinador],"(sin catálogo)"))</f>
        <v/>
      </c>
      <c r="Y332" s="3">
        <f>IF(tblOrdenes[[#This Row],[puesto_trabajo]]="","",_xlfn.XLOOKUP(tblOrdenes[[#This Row],[puesto_trabajo]],tblPuestos[codigo],tblPuestos[especialidad],"(sin catálogo)"))</f>
        <v/>
      </c>
      <c r="Z332" s="3">
        <f>IF(tblOrdenes[[#This Row],[cod_actividad]]="","",_xlfn.XLOOKUP(tblOrdenes[[#This Row],[cod_actividad]],tblActividades[codigo],tblActividades[descripcion],"(sin catálogo)"))</f>
        <v/>
      </c>
      <c r="AA332" s="13">
        <f>IF(tblOrdenes[[#This Row],[fecha_inicio]]="","",TODAY()-tblOrdenes[[#This Row],[fecha_inicio]])</f>
        <v/>
      </c>
      <c r="AB3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2" s="3">
        <f>IF(tblOrdenes[[#This Row],[backlog_habiles]]="","",IF(tblOrdenes[[#This Row],[backlog_habiles]]&lt;0,"FUTURO",IF(tblOrdenes[[#This Row],[backlog_habiles]]&gt;p_dias_backlog_max,"BACKLOG","MES CORRIENTE")))</f>
        <v/>
      </c>
      <c r="AD332" s="3">
        <f>IF(tblOrdenes[[#This Row],[backlog_habiles]]="",FALSE,AND(tblOrdenes[[#This Row],[backlog_habiles]]&gt;p_dias_backlog_min,tblOrdenes[[#This Row],[backlog_habiles]]&lt;=p_dias_backlog_max))</f>
        <v/>
      </c>
      <c r="AE332" s="6" t="n"/>
      <c r="AF3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2" s="11">
        <f>IF(tblOrdenes[[#This Row],[orden]]="","",_xlfn.XLOOKUP(tblOrdenes[[#This Row],[id_operacion]],tblEjecucion[id_operacion],tblEjecucion[precio],0))</f>
        <v/>
      </c>
      <c r="AJ332" s="11">
        <f>IF(tblOrdenes[[#This Row],[orden]]="","",MAX(0,_xlfn.XLOOKUP(tblOrdenes[[#This Row],[id_operacion]],tblEjecucion[id_operacion],tblEjecucion[costo_plan_total],0)-tblOrdenes[[#This Row],[costo_servicio]]))</f>
        <v/>
      </c>
      <c r="AK332" s="11">
        <f>IF(tblOrdenes[[#This Row],[orden]]="","",tblOrdenes[[#This Row],[costo_servicio]]+tblOrdenes[[#This Row],[costo_materiales]])</f>
        <v/>
      </c>
      <c r="AL332" s="6" t="n"/>
      <c r="AM332" s="6" t="n"/>
      <c r="AN332" s="6" t="n"/>
      <c r="AO332" s="3">
        <f>IF(tblOrdenes[[#This Row],[link_checklist]]="","",HYPERLINK(p_ruta_base_checklists&amp;tblOrdenes[[#This Row],[link_checklist]],"abrir"))</f>
        <v/>
      </c>
      <c r="AP332" s="6" t="n"/>
      <c r="AQ332" s="3">
        <f>IF(tblOrdenes[[#This Row],[orden]]="","",tblOrdenes[[#This Row],[orden]]&amp;IF(tblOrdenes[[#This Row],[operacion]]="","0010",tblOrdenes[[#This Row],[operacion]]))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2" t="n"/>
      <c r="K333" s="3" t="n"/>
      <c r="L333" s="11" t="n"/>
      <c r="M3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3" s="3">
        <f>IF(tblOrdenes[[#This Row],[fecha_inicio]]="","",YEAR(tblOrdenes[[#This Row],[fecha_inicio]]))</f>
        <v/>
      </c>
      <c r="Q333" s="3">
        <f>IF(tblOrdenes[[#This Row],[fecha_inicio]]="","",MONTH(tblOrdenes[[#This Row],[fecha_inicio]]))</f>
        <v/>
      </c>
      <c r="R333" s="3">
        <f>IF(tblOrdenes[[#This Row],[fecha_inicio]]="","",INDEX(lista_dias,WEEKDAY(tblOrdenes[[#This Row],[fecha_inicio]],2)))</f>
        <v/>
      </c>
      <c r="S3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3" s="3">
        <f>IF(tblOrdenes[[#This Row],[tipo_ot]]="","",_xlfn.XLOOKUP(tblOrdenes[[#This Row],[tipo_ot]],tblTiposOT[codigo],tblTiposOT[clasificacion],"sin_clasificar"))</f>
        <v/>
      </c>
      <c r="U333" s="3">
        <f>IF(tblOrdenes[[#This Row],[centro_costo]]="","",_xlfn.XLOOKUP(tblOrdenes[[#This Row],[centro_costo]],tblCECO[codigo],tblCECO[linea],"(sin catálogo)"))</f>
        <v/>
      </c>
      <c r="V333" s="3">
        <f>IF(tblOrdenes[[#This Row],[centro_costo]]="","",_xlfn.XLOOKUP(tblOrdenes[[#This Row],[centro_costo]],tblCECO[codigo],tblCECO[area],"(sin catálogo)"))</f>
        <v/>
      </c>
      <c r="W3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3" s="3">
        <f>IF(tblOrdenes[[#This Row],[centro_costo]]="","",_xlfn.XLOOKUP(tblOrdenes[[#This Row],[centro_costo]],tblCECO[codigo],tblCECO[coordinador],"(sin catálogo)"))</f>
        <v/>
      </c>
      <c r="Y333" s="3">
        <f>IF(tblOrdenes[[#This Row],[puesto_trabajo]]="","",_xlfn.XLOOKUP(tblOrdenes[[#This Row],[puesto_trabajo]],tblPuestos[codigo],tblPuestos[especialidad],"(sin catálogo)"))</f>
        <v/>
      </c>
      <c r="Z333" s="3">
        <f>IF(tblOrdenes[[#This Row],[cod_actividad]]="","",_xlfn.XLOOKUP(tblOrdenes[[#This Row],[cod_actividad]],tblActividades[codigo],tblActividades[descripcion],"(sin catálogo)"))</f>
        <v/>
      </c>
      <c r="AA333" s="13">
        <f>IF(tblOrdenes[[#This Row],[fecha_inicio]]="","",TODAY()-tblOrdenes[[#This Row],[fecha_inicio]])</f>
        <v/>
      </c>
      <c r="AB3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3" s="3">
        <f>IF(tblOrdenes[[#This Row],[backlog_habiles]]="","",IF(tblOrdenes[[#This Row],[backlog_habiles]]&lt;0,"FUTURO",IF(tblOrdenes[[#This Row],[backlog_habiles]]&gt;p_dias_backlog_max,"BACKLOG","MES CORRIENTE")))</f>
        <v/>
      </c>
      <c r="AD333" s="3">
        <f>IF(tblOrdenes[[#This Row],[backlog_habiles]]="",FALSE,AND(tblOrdenes[[#This Row],[backlog_habiles]]&gt;p_dias_backlog_min,tblOrdenes[[#This Row],[backlog_habiles]]&lt;=p_dias_backlog_max))</f>
        <v/>
      </c>
      <c r="AE333" s="6" t="n"/>
      <c r="AF3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3" s="11">
        <f>IF(tblOrdenes[[#This Row],[orden]]="","",_xlfn.XLOOKUP(tblOrdenes[[#This Row],[id_operacion]],tblEjecucion[id_operacion],tblEjecucion[precio],0))</f>
        <v/>
      </c>
      <c r="AJ333" s="11">
        <f>IF(tblOrdenes[[#This Row],[orden]]="","",MAX(0,_xlfn.XLOOKUP(tblOrdenes[[#This Row],[id_operacion]],tblEjecucion[id_operacion],tblEjecucion[costo_plan_total],0)-tblOrdenes[[#This Row],[costo_servicio]]))</f>
        <v/>
      </c>
      <c r="AK333" s="11">
        <f>IF(tblOrdenes[[#This Row],[orden]]="","",tblOrdenes[[#This Row],[costo_servicio]]+tblOrdenes[[#This Row],[costo_materiales]])</f>
        <v/>
      </c>
      <c r="AL333" s="6" t="n"/>
      <c r="AM333" s="6" t="n"/>
      <c r="AN333" s="6" t="n"/>
      <c r="AO333" s="3">
        <f>IF(tblOrdenes[[#This Row],[link_checklist]]="","",HYPERLINK(p_ruta_base_checklists&amp;tblOrdenes[[#This Row],[link_checklist]],"abrir"))</f>
        <v/>
      </c>
      <c r="AP333" s="6" t="n"/>
      <c r="AQ333" s="3">
        <f>IF(tblOrdenes[[#This Row],[orden]]="","",tblOrdenes[[#This Row],[orden]]&amp;IF(tblOrdenes[[#This Row],[operacion]]="","0010",tblOrdenes[[#This Row],[operacion]]))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2" t="n"/>
      <c r="K334" s="3" t="n"/>
      <c r="L334" s="11" t="n"/>
      <c r="M3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4" s="3">
        <f>IF(tblOrdenes[[#This Row],[fecha_inicio]]="","",YEAR(tblOrdenes[[#This Row],[fecha_inicio]]))</f>
        <v/>
      </c>
      <c r="Q334" s="3">
        <f>IF(tblOrdenes[[#This Row],[fecha_inicio]]="","",MONTH(tblOrdenes[[#This Row],[fecha_inicio]]))</f>
        <v/>
      </c>
      <c r="R334" s="3">
        <f>IF(tblOrdenes[[#This Row],[fecha_inicio]]="","",INDEX(lista_dias,WEEKDAY(tblOrdenes[[#This Row],[fecha_inicio]],2)))</f>
        <v/>
      </c>
      <c r="S3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4" s="3">
        <f>IF(tblOrdenes[[#This Row],[tipo_ot]]="","",_xlfn.XLOOKUP(tblOrdenes[[#This Row],[tipo_ot]],tblTiposOT[codigo],tblTiposOT[clasificacion],"sin_clasificar"))</f>
        <v/>
      </c>
      <c r="U334" s="3">
        <f>IF(tblOrdenes[[#This Row],[centro_costo]]="","",_xlfn.XLOOKUP(tblOrdenes[[#This Row],[centro_costo]],tblCECO[codigo],tblCECO[linea],"(sin catálogo)"))</f>
        <v/>
      </c>
      <c r="V334" s="3">
        <f>IF(tblOrdenes[[#This Row],[centro_costo]]="","",_xlfn.XLOOKUP(tblOrdenes[[#This Row],[centro_costo]],tblCECO[codigo],tblCECO[area],"(sin catálogo)"))</f>
        <v/>
      </c>
      <c r="W3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4" s="3">
        <f>IF(tblOrdenes[[#This Row],[centro_costo]]="","",_xlfn.XLOOKUP(tblOrdenes[[#This Row],[centro_costo]],tblCECO[codigo],tblCECO[coordinador],"(sin catálogo)"))</f>
        <v/>
      </c>
      <c r="Y334" s="3">
        <f>IF(tblOrdenes[[#This Row],[puesto_trabajo]]="","",_xlfn.XLOOKUP(tblOrdenes[[#This Row],[puesto_trabajo]],tblPuestos[codigo],tblPuestos[especialidad],"(sin catálogo)"))</f>
        <v/>
      </c>
      <c r="Z334" s="3">
        <f>IF(tblOrdenes[[#This Row],[cod_actividad]]="","",_xlfn.XLOOKUP(tblOrdenes[[#This Row],[cod_actividad]],tblActividades[codigo],tblActividades[descripcion],"(sin catálogo)"))</f>
        <v/>
      </c>
      <c r="AA334" s="13">
        <f>IF(tblOrdenes[[#This Row],[fecha_inicio]]="","",TODAY()-tblOrdenes[[#This Row],[fecha_inicio]])</f>
        <v/>
      </c>
      <c r="AB3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4" s="3">
        <f>IF(tblOrdenes[[#This Row],[backlog_habiles]]="","",IF(tblOrdenes[[#This Row],[backlog_habiles]]&lt;0,"FUTURO",IF(tblOrdenes[[#This Row],[backlog_habiles]]&gt;p_dias_backlog_max,"BACKLOG","MES CORRIENTE")))</f>
        <v/>
      </c>
      <c r="AD334" s="3">
        <f>IF(tblOrdenes[[#This Row],[backlog_habiles]]="",FALSE,AND(tblOrdenes[[#This Row],[backlog_habiles]]&gt;p_dias_backlog_min,tblOrdenes[[#This Row],[backlog_habiles]]&lt;=p_dias_backlog_max))</f>
        <v/>
      </c>
      <c r="AE334" s="6" t="n"/>
      <c r="AF3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4" s="11">
        <f>IF(tblOrdenes[[#This Row],[orden]]="","",_xlfn.XLOOKUP(tblOrdenes[[#This Row],[id_operacion]],tblEjecucion[id_operacion],tblEjecucion[precio],0))</f>
        <v/>
      </c>
      <c r="AJ334" s="11">
        <f>IF(tblOrdenes[[#This Row],[orden]]="","",MAX(0,_xlfn.XLOOKUP(tblOrdenes[[#This Row],[id_operacion]],tblEjecucion[id_operacion],tblEjecucion[costo_plan_total],0)-tblOrdenes[[#This Row],[costo_servicio]]))</f>
        <v/>
      </c>
      <c r="AK334" s="11">
        <f>IF(tblOrdenes[[#This Row],[orden]]="","",tblOrdenes[[#This Row],[costo_servicio]]+tblOrdenes[[#This Row],[costo_materiales]])</f>
        <v/>
      </c>
      <c r="AL334" s="6" t="n"/>
      <c r="AM334" s="6" t="n"/>
      <c r="AN334" s="6" t="n"/>
      <c r="AO334" s="3">
        <f>IF(tblOrdenes[[#This Row],[link_checklist]]="","",HYPERLINK(p_ruta_base_checklists&amp;tblOrdenes[[#This Row],[link_checklist]],"abrir"))</f>
        <v/>
      </c>
      <c r="AP334" s="6" t="n"/>
      <c r="AQ334" s="3">
        <f>IF(tblOrdenes[[#This Row],[orden]]="","",tblOrdenes[[#This Row],[orden]]&amp;IF(tblOrdenes[[#This Row],[operacion]]="","0010",tblOrdenes[[#This Row],[operacion]]))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2" t="n"/>
      <c r="K335" s="3" t="n"/>
      <c r="L335" s="11" t="n"/>
      <c r="M3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5" s="3">
        <f>IF(tblOrdenes[[#This Row],[fecha_inicio]]="","",YEAR(tblOrdenes[[#This Row],[fecha_inicio]]))</f>
        <v/>
      </c>
      <c r="Q335" s="3">
        <f>IF(tblOrdenes[[#This Row],[fecha_inicio]]="","",MONTH(tblOrdenes[[#This Row],[fecha_inicio]]))</f>
        <v/>
      </c>
      <c r="R335" s="3">
        <f>IF(tblOrdenes[[#This Row],[fecha_inicio]]="","",INDEX(lista_dias,WEEKDAY(tblOrdenes[[#This Row],[fecha_inicio]],2)))</f>
        <v/>
      </c>
      <c r="S3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5" s="3">
        <f>IF(tblOrdenes[[#This Row],[tipo_ot]]="","",_xlfn.XLOOKUP(tblOrdenes[[#This Row],[tipo_ot]],tblTiposOT[codigo],tblTiposOT[clasificacion],"sin_clasificar"))</f>
        <v/>
      </c>
      <c r="U335" s="3">
        <f>IF(tblOrdenes[[#This Row],[centro_costo]]="","",_xlfn.XLOOKUP(tblOrdenes[[#This Row],[centro_costo]],tblCECO[codigo],tblCECO[linea],"(sin catálogo)"))</f>
        <v/>
      </c>
      <c r="V335" s="3">
        <f>IF(tblOrdenes[[#This Row],[centro_costo]]="","",_xlfn.XLOOKUP(tblOrdenes[[#This Row],[centro_costo]],tblCECO[codigo],tblCECO[area],"(sin catálogo)"))</f>
        <v/>
      </c>
      <c r="W3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5" s="3">
        <f>IF(tblOrdenes[[#This Row],[centro_costo]]="","",_xlfn.XLOOKUP(tblOrdenes[[#This Row],[centro_costo]],tblCECO[codigo],tblCECO[coordinador],"(sin catálogo)"))</f>
        <v/>
      </c>
      <c r="Y335" s="3">
        <f>IF(tblOrdenes[[#This Row],[puesto_trabajo]]="","",_xlfn.XLOOKUP(tblOrdenes[[#This Row],[puesto_trabajo]],tblPuestos[codigo],tblPuestos[especialidad],"(sin catálogo)"))</f>
        <v/>
      </c>
      <c r="Z335" s="3">
        <f>IF(tblOrdenes[[#This Row],[cod_actividad]]="","",_xlfn.XLOOKUP(tblOrdenes[[#This Row],[cod_actividad]],tblActividades[codigo],tblActividades[descripcion],"(sin catálogo)"))</f>
        <v/>
      </c>
      <c r="AA335" s="13">
        <f>IF(tblOrdenes[[#This Row],[fecha_inicio]]="","",TODAY()-tblOrdenes[[#This Row],[fecha_inicio]])</f>
        <v/>
      </c>
      <c r="AB3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5" s="3">
        <f>IF(tblOrdenes[[#This Row],[backlog_habiles]]="","",IF(tblOrdenes[[#This Row],[backlog_habiles]]&lt;0,"FUTURO",IF(tblOrdenes[[#This Row],[backlog_habiles]]&gt;p_dias_backlog_max,"BACKLOG","MES CORRIENTE")))</f>
        <v/>
      </c>
      <c r="AD335" s="3">
        <f>IF(tblOrdenes[[#This Row],[backlog_habiles]]="",FALSE,AND(tblOrdenes[[#This Row],[backlog_habiles]]&gt;p_dias_backlog_min,tblOrdenes[[#This Row],[backlog_habiles]]&lt;=p_dias_backlog_max))</f>
        <v/>
      </c>
      <c r="AE335" s="6" t="n"/>
      <c r="AF3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5" s="11">
        <f>IF(tblOrdenes[[#This Row],[orden]]="","",_xlfn.XLOOKUP(tblOrdenes[[#This Row],[id_operacion]],tblEjecucion[id_operacion],tblEjecucion[precio],0))</f>
        <v/>
      </c>
      <c r="AJ335" s="11">
        <f>IF(tblOrdenes[[#This Row],[orden]]="","",MAX(0,_xlfn.XLOOKUP(tblOrdenes[[#This Row],[id_operacion]],tblEjecucion[id_operacion],tblEjecucion[costo_plan_total],0)-tblOrdenes[[#This Row],[costo_servicio]]))</f>
        <v/>
      </c>
      <c r="AK335" s="11">
        <f>IF(tblOrdenes[[#This Row],[orden]]="","",tblOrdenes[[#This Row],[costo_servicio]]+tblOrdenes[[#This Row],[costo_materiales]])</f>
        <v/>
      </c>
      <c r="AL335" s="6" t="n"/>
      <c r="AM335" s="6" t="n"/>
      <c r="AN335" s="6" t="n"/>
      <c r="AO335" s="3">
        <f>IF(tblOrdenes[[#This Row],[link_checklist]]="","",HYPERLINK(p_ruta_base_checklists&amp;tblOrdenes[[#This Row],[link_checklist]],"abrir"))</f>
        <v/>
      </c>
      <c r="AP335" s="6" t="n"/>
      <c r="AQ335" s="3">
        <f>IF(tblOrdenes[[#This Row],[orden]]="","",tblOrdenes[[#This Row],[orden]]&amp;IF(tblOrdenes[[#This Row],[operacion]]="","0010",tblOrdenes[[#This Row],[operacion]]))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2" t="n"/>
      <c r="K336" s="3" t="n"/>
      <c r="L336" s="11" t="n"/>
      <c r="M3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6" s="3">
        <f>IF(tblOrdenes[[#This Row],[fecha_inicio]]="","",YEAR(tblOrdenes[[#This Row],[fecha_inicio]]))</f>
        <v/>
      </c>
      <c r="Q336" s="3">
        <f>IF(tblOrdenes[[#This Row],[fecha_inicio]]="","",MONTH(tblOrdenes[[#This Row],[fecha_inicio]]))</f>
        <v/>
      </c>
      <c r="R336" s="3">
        <f>IF(tblOrdenes[[#This Row],[fecha_inicio]]="","",INDEX(lista_dias,WEEKDAY(tblOrdenes[[#This Row],[fecha_inicio]],2)))</f>
        <v/>
      </c>
      <c r="S3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6" s="3">
        <f>IF(tblOrdenes[[#This Row],[tipo_ot]]="","",_xlfn.XLOOKUP(tblOrdenes[[#This Row],[tipo_ot]],tblTiposOT[codigo],tblTiposOT[clasificacion],"sin_clasificar"))</f>
        <v/>
      </c>
      <c r="U336" s="3">
        <f>IF(tblOrdenes[[#This Row],[centro_costo]]="","",_xlfn.XLOOKUP(tblOrdenes[[#This Row],[centro_costo]],tblCECO[codigo],tblCECO[linea],"(sin catálogo)"))</f>
        <v/>
      </c>
      <c r="V336" s="3">
        <f>IF(tblOrdenes[[#This Row],[centro_costo]]="","",_xlfn.XLOOKUP(tblOrdenes[[#This Row],[centro_costo]],tblCECO[codigo],tblCECO[area],"(sin catálogo)"))</f>
        <v/>
      </c>
      <c r="W3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6" s="3">
        <f>IF(tblOrdenes[[#This Row],[centro_costo]]="","",_xlfn.XLOOKUP(tblOrdenes[[#This Row],[centro_costo]],tblCECO[codigo],tblCECO[coordinador],"(sin catálogo)"))</f>
        <v/>
      </c>
      <c r="Y336" s="3">
        <f>IF(tblOrdenes[[#This Row],[puesto_trabajo]]="","",_xlfn.XLOOKUP(tblOrdenes[[#This Row],[puesto_trabajo]],tblPuestos[codigo],tblPuestos[especialidad],"(sin catálogo)"))</f>
        <v/>
      </c>
      <c r="Z336" s="3">
        <f>IF(tblOrdenes[[#This Row],[cod_actividad]]="","",_xlfn.XLOOKUP(tblOrdenes[[#This Row],[cod_actividad]],tblActividades[codigo],tblActividades[descripcion],"(sin catálogo)"))</f>
        <v/>
      </c>
      <c r="AA336" s="13">
        <f>IF(tblOrdenes[[#This Row],[fecha_inicio]]="","",TODAY()-tblOrdenes[[#This Row],[fecha_inicio]])</f>
        <v/>
      </c>
      <c r="AB3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6" s="3">
        <f>IF(tblOrdenes[[#This Row],[backlog_habiles]]="","",IF(tblOrdenes[[#This Row],[backlog_habiles]]&lt;0,"FUTURO",IF(tblOrdenes[[#This Row],[backlog_habiles]]&gt;p_dias_backlog_max,"BACKLOG","MES CORRIENTE")))</f>
        <v/>
      </c>
      <c r="AD336" s="3">
        <f>IF(tblOrdenes[[#This Row],[backlog_habiles]]="",FALSE,AND(tblOrdenes[[#This Row],[backlog_habiles]]&gt;p_dias_backlog_min,tblOrdenes[[#This Row],[backlog_habiles]]&lt;=p_dias_backlog_max))</f>
        <v/>
      </c>
      <c r="AE336" s="6" t="n"/>
      <c r="AF3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6" s="11">
        <f>IF(tblOrdenes[[#This Row],[orden]]="","",_xlfn.XLOOKUP(tblOrdenes[[#This Row],[id_operacion]],tblEjecucion[id_operacion],tblEjecucion[precio],0))</f>
        <v/>
      </c>
      <c r="AJ336" s="11">
        <f>IF(tblOrdenes[[#This Row],[orden]]="","",MAX(0,_xlfn.XLOOKUP(tblOrdenes[[#This Row],[id_operacion]],tblEjecucion[id_operacion],tblEjecucion[costo_plan_total],0)-tblOrdenes[[#This Row],[costo_servicio]]))</f>
        <v/>
      </c>
      <c r="AK336" s="11">
        <f>IF(tblOrdenes[[#This Row],[orden]]="","",tblOrdenes[[#This Row],[costo_servicio]]+tblOrdenes[[#This Row],[costo_materiales]])</f>
        <v/>
      </c>
      <c r="AL336" s="6" t="n"/>
      <c r="AM336" s="6" t="n"/>
      <c r="AN336" s="6" t="n"/>
      <c r="AO336" s="3">
        <f>IF(tblOrdenes[[#This Row],[link_checklist]]="","",HYPERLINK(p_ruta_base_checklists&amp;tblOrdenes[[#This Row],[link_checklist]],"abrir"))</f>
        <v/>
      </c>
      <c r="AP336" s="6" t="n"/>
      <c r="AQ336" s="3">
        <f>IF(tblOrdenes[[#This Row],[orden]]="","",tblOrdenes[[#This Row],[orden]]&amp;IF(tblOrdenes[[#This Row],[operacion]]="","0010",tblOrdenes[[#This Row],[operacion]]))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2" t="n"/>
      <c r="K337" s="3" t="n"/>
      <c r="L337" s="11" t="n"/>
      <c r="M3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7" s="3">
        <f>IF(tblOrdenes[[#This Row],[fecha_inicio]]="","",YEAR(tblOrdenes[[#This Row],[fecha_inicio]]))</f>
        <v/>
      </c>
      <c r="Q337" s="3">
        <f>IF(tblOrdenes[[#This Row],[fecha_inicio]]="","",MONTH(tblOrdenes[[#This Row],[fecha_inicio]]))</f>
        <v/>
      </c>
      <c r="R337" s="3">
        <f>IF(tblOrdenes[[#This Row],[fecha_inicio]]="","",INDEX(lista_dias,WEEKDAY(tblOrdenes[[#This Row],[fecha_inicio]],2)))</f>
        <v/>
      </c>
      <c r="S3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7" s="3">
        <f>IF(tblOrdenes[[#This Row],[tipo_ot]]="","",_xlfn.XLOOKUP(tblOrdenes[[#This Row],[tipo_ot]],tblTiposOT[codigo],tblTiposOT[clasificacion],"sin_clasificar"))</f>
        <v/>
      </c>
      <c r="U337" s="3">
        <f>IF(tblOrdenes[[#This Row],[centro_costo]]="","",_xlfn.XLOOKUP(tblOrdenes[[#This Row],[centro_costo]],tblCECO[codigo],tblCECO[linea],"(sin catálogo)"))</f>
        <v/>
      </c>
      <c r="V337" s="3">
        <f>IF(tblOrdenes[[#This Row],[centro_costo]]="","",_xlfn.XLOOKUP(tblOrdenes[[#This Row],[centro_costo]],tblCECO[codigo],tblCECO[area],"(sin catálogo)"))</f>
        <v/>
      </c>
      <c r="W3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7" s="3">
        <f>IF(tblOrdenes[[#This Row],[centro_costo]]="","",_xlfn.XLOOKUP(tblOrdenes[[#This Row],[centro_costo]],tblCECO[codigo],tblCECO[coordinador],"(sin catálogo)"))</f>
        <v/>
      </c>
      <c r="Y337" s="3">
        <f>IF(tblOrdenes[[#This Row],[puesto_trabajo]]="","",_xlfn.XLOOKUP(tblOrdenes[[#This Row],[puesto_trabajo]],tblPuestos[codigo],tblPuestos[especialidad],"(sin catálogo)"))</f>
        <v/>
      </c>
      <c r="Z337" s="3">
        <f>IF(tblOrdenes[[#This Row],[cod_actividad]]="","",_xlfn.XLOOKUP(tblOrdenes[[#This Row],[cod_actividad]],tblActividades[codigo],tblActividades[descripcion],"(sin catálogo)"))</f>
        <v/>
      </c>
      <c r="AA337" s="13">
        <f>IF(tblOrdenes[[#This Row],[fecha_inicio]]="","",TODAY()-tblOrdenes[[#This Row],[fecha_inicio]])</f>
        <v/>
      </c>
      <c r="AB3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7" s="3">
        <f>IF(tblOrdenes[[#This Row],[backlog_habiles]]="","",IF(tblOrdenes[[#This Row],[backlog_habiles]]&lt;0,"FUTURO",IF(tblOrdenes[[#This Row],[backlog_habiles]]&gt;p_dias_backlog_max,"BACKLOG","MES CORRIENTE")))</f>
        <v/>
      </c>
      <c r="AD337" s="3">
        <f>IF(tblOrdenes[[#This Row],[backlog_habiles]]="",FALSE,AND(tblOrdenes[[#This Row],[backlog_habiles]]&gt;p_dias_backlog_min,tblOrdenes[[#This Row],[backlog_habiles]]&lt;=p_dias_backlog_max))</f>
        <v/>
      </c>
      <c r="AE337" s="6" t="n"/>
      <c r="AF3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7" s="11">
        <f>IF(tblOrdenes[[#This Row],[orden]]="","",_xlfn.XLOOKUP(tblOrdenes[[#This Row],[id_operacion]],tblEjecucion[id_operacion],tblEjecucion[precio],0))</f>
        <v/>
      </c>
      <c r="AJ337" s="11">
        <f>IF(tblOrdenes[[#This Row],[orden]]="","",MAX(0,_xlfn.XLOOKUP(tblOrdenes[[#This Row],[id_operacion]],tblEjecucion[id_operacion],tblEjecucion[costo_plan_total],0)-tblOrdenes[[#This Row],[costo_servicio]]))</f>
        <v/>
      </c>
      <c r="AK337" s="11">
        <f>IF(tblOrdenes[[#This Row],[orden]]="","",tblOrdenes[[#This Row],[costo_servicio]]+tblOrdenes[[#This Row],[costo_materiales]])</f>
        <v/>
      </c>
      <c r="AL337" s="6" t="n"/>
      <c r="AM337" s="6" t="n"/>
      <c r="AN337" s="6" t="n"/>
      <c r="AO337" s="3">
        <f>IF(tblOrdenes[[#This Row],[link_checklist]]="","",HYPERLINK(p_ruta_base_checklists&amp;tblOrdenes[[#This Row],[link_checklist]],"abrir"))</f>
        <v/>
      </c>
      <c r="AP337" s="6" t="n"/>
      <c r="AQ337" s="3">
        <f>IF(tblOrdenes[[#This Row],[orden]]="","",tblOrdenes[[#This Row],[orden]]&amp;IF(tblOrdenes[[#This Row],[operacion]]="","0010",tblOrdenes[[#This Row],[operacion]]))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2" t="n"/>
      <c r="K338" s="3" t="n"/>
      <c r="L338" s="11" t="n"/>
      <c r="M3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8" s="3">
        <f>IF(tblOrdenes[[#This Row],[fecha_inicio]]="","",YEAR(tblOrdenes[[#This Row],[fecha_inicio]]))</f>
        <v/>
      </c>
      <c r="Q338" s="3">
        <f>IF(tblOrdenes[[#This Row],[fecha_inicio]]="","",MONTH(tblOrdenes[[#This Row],[fecha_inicio]]))</f>
        <v/>
      </c>
      <c r="R338" s="3">
        <f>IF(tblOrdenes[[#This Row],[fecha_inicio]]="","",INDEX(lista_dias,WEEKDAY(tblOrdenes[[#This Row],[fecha_inicio]],2)))</f>
        <v/>
      </c>
      <c r="S3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8" s="3">
        <f>IF(tblOrdenes[[#This Row],[tipo_ot]]="","",_xlfn.XLOOKUP(tblOrdenes[[#This Row],[tipo_ot]],tblTiposOT[codigo],tblTiposOT[clasificacion],"sin_clasificar"))</f>
        <v/>
      </c>
      <c r="U338" s="3">
        <f>IF(tblOrdenes[[#This Row],[centro_costo]]="","",_xlfn.XLOOKUP(tblOrdenes[[#This Row],[centro_costo]],tblCECO[codigo],tblCECO[linea],"(sin catálogo)"))</f>
        <v/>
      </c>
      <c r="V338" s="3">
        <f>IF(tblOrdenes[[#This Row],[centro_costo]]="","",_xlfn.XLOOKUP(tblOrdenes[[#This Row],[centro_costo]],tblCECO[codigo],tblCECO[area],"(sin catálogo)"))</f>
        <v/>
      </c>
      <c r="W3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8" s="3">
        <f>IF(tblOrdenes[[#This Row],[centro_costo]]="","",_xlfn.XLOOKUP(tblOrdenes[[#This Row],[centro_costo]],tblCECO[codigo],tblCECO[coordinador],"(sin catálogo)"))</f>
        <v/>
      </c>
      <c r="Y338" s="3">
        <f>IF(tblOrdenes[[#This Row],[puesto_trabajo]]="","",_xlfn.XLOOKUP(tblOrdenes[[#This Row],[puesto_trabajo]],tblPuestos[codigo],tblPuestos[especialidad],"(sin catálogo)"))</f>
        <v/>
      </c>
      <c r="Z338" s="3">
        <f>IF(tblOrdenes[[#This Row],[cod_actividad]]="","",_xlfn.XLOOKUP(tblOrdenes[[#This Row],[cod_actividad]],tblActividades[codigo],tblActividades[descripcion],"(sin catálogo)"))</f>
        <v/>
      </c>
      <c r="AA338" s="13">
        <f>IF(tblOrdenes[[#This Row],[fecha_inicio]]="","",TODAY()-tblOrdenes[[#This Row],[fecha_inicio]])</f>
        <v/>
      </c>
      <c r="AB3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8" s="3">
        <f>IF(tblOrdenes[[#This Row],[backlog_habiles]]="","",IF(tblOrdenes[[#This Row],[backlog_habiles]]&lt;0,"FUTURO",IF(tblOrdenes[[#This Row],[backlog_habiles]]&gt;p_dias_backlog_max,"BACKLOG","MES CORRIENTE")))</f>
        <v/>
      </c>
      <c r="AD338" s="3">
        <f>IF(tblOrdenes[[#This Row],[backlog_habiles]]="",FALSE,AND(tblOrdenes[[#This Row],[backlog_habiles]]&gt;p_dias_backlog_min,tblOrdenes[[#This Row],[backlog_habiles]]&lt;=p_dias_backlog_max))</f>
        <v/>
      </c>
      <c r="AE338" s="6" t="n"/>
      <c r="AF3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8" s="11">
        <f>IF(tblOrdenes[[#This Row],[orden]]="","",_xlfn.XLOOKUP(tblOrdenes[[#This Row],[id_operacion]],tblEjecucion[id_operacion],tblEjecucion[precio],0))</f>
        <v/>
      </c>
      <c r="AJ338" s="11">
        <f>IF(tblOrdenes[[#This Row],[orden]]="","",MAX(0,_xlfn.XLOOKUP(tblOrdenes[[#This Row],[id_operacion]],tblEjecucion[id_operacion],tblEjecucion[costo_plan_total],0)-tblOrdenes[[#This Row],[costo_servicio]]))</f>
        <v/>
      </c>
      <c r="AK338" s="11">
        <f>IF(tblOrdenes[[#This Row],[orden]]="","",tblOrdenes[[#This Row],[costo_servicio]]+tblOrdenes[[#This Row],[costo_materiales]])</f>
        <v/>
      </c>
      <c r="AL338" s="6" t="n"/>
      <c r="AM338" s="6" t="n"/>
      <c r="AN338" s="6" t="n"/>
      <c r="AO338" s="3">
        <f>IF(tblOrdenes[[#This Row],[link_checklist]]="","",HYPERLINK(p_ruta_base_checklists&amp;tblOrdenes[[#This Row],[link_checklist]],"abrir"))</f>
        <v/>
      </c>
      <c r="AP338" s="6" t="n"/>
      <c r="AQ338" s="3">
        <f>IF(tblOrdenes[[#This Row],[orden]]="","",tblOrdenes[[#This Row],[orden]]&amp;IF(tblOrdenes[[#This Row],[operacion]]="","0010",tblOrdenes[[#This Row],[operacion]]))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2" t="n"/>
      <c r="K339" s="3" t="n"/>
      <c r="L339" s="11" t="n"/>
      <c r="M3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9" s="3">
        <f>IF(tblOrdenes[[#This Row],[fecha_inicio]]="","",YEAR(tblOrdenes[[#This Row],[fecha_inicio]]))</f>
        <v/>
      </c>
      <c r="Q339" s="3">
        <f>IF(tblOrdenes[[#This Row],[fecha_inicio]]="","",MONTH(tblOrdenes[[#This Row],[fecha_inicio]]))</f>
        <v/>
      </c>
      <c r="R339" s="3">
        <f>IF(tblOrdenes[[#This Row],[fecha_inicio]]="","",INDEX(lista_dias,WEEKDAY(tblOrdenes[[#This Row],[fecha_inicio]],2)))</f>
        <v/>
      </c>
      <c r="S3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9" s="3">
        <f>IF(tblOrdenes[[#This Row],[tipo_ot]]="","",_xlfn.XLOOKUP(tblOrdenes[[#This Row],[tipo_ot]],tblTiposOT[codigo],tblTiposOT[clasificacion],"sin_clasificar"))</f>
        <v/>
      </c>
      <c r="U339" s="3">
        <f>IF(tblOrdenes[[#This Row],[centro_costo]]="","",_xlfn.XLOOKUP(tblOrdenes[[#This Row],[centro_costo]],tblCECO[codigo],tblCECO[linea],"(sin catálogo)"))</f>
        <v/>
      </c>
      <c r="V339" s="3">
        <f>IF(tblOrdenes[[#This Row],[centro_costo]]="","",_xlfn.XLOOKUP(tblOrdenes[[#This Row],[centro_costo]],tblCECO[codigo],tblCECO[area],"(sin catálogo)"))</f>
        <v/>
      </c>
      <c r="W3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9" s="3">
        <f>IF(tblOrdenes[[#This Row],[centro_costo]]="","",_xlfn.XLOOKUP(tblOrdenes[[#This Row],[centro_costo]],tblCECO[codigo],tblCECO[coordinador],"(sin catálogo)"))</f>
        <v/>
      </c>
      <c r="Y339" s="3">
        <f>IF(tblOrdenes[[#This Row],[puesto_trabajo]]="","",_xlfn.XLOOKUP(tblOrdenes[[#This Row],[puesto_trabajo]],tblPuestos[codigo],tblPuestos[especialidad],"(sin catálogo)"))</f>
        <v/>
      </c>
      <c r="Z339" s="3">
        <f>IF(tblOrdenes[[#This Row],[cod_actividad]]="","",_xlfn.XLOOKUP(tblOrdenes[[#This Row],[cod_actividad]],tblActividades[codigo],tblActividades[descripcion],"(sin catálogo)"))</f>
        <v/>
      </c>
      <c r="AA339" s="13">
        <f>IF(tblOrdenes[[#This Row],[fecha_inicio]]="","",TODAY()-tblOrdenes[[#This Row],[fecha_inicio]])</f>
        <v/>
      </c>
      <c r="AB3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9" s="3">
        <f>IF(tblOrdenes[[#This Row],[backlog_habiles]]="","",IF(tblOrdenes[[#This Row],[backlog_habiles]]&lt;0,"FUTURO",IF(tblOrdenes[[#This Row],[backlog_habiles]]&gt;p_dias_backlog_max,"BACKLOG","MES CORRIENTE")))</f>
        <v/>
      </c>
      <c r="AD339" s="3">
        <f>IF(tblOrdenes[[#This Row],[backlog_habiles]]="",FALSE,AND(tblOrdenes[[#This Row],[backlog_habiles]]&gt;p_dias_backlog_min,tblOrdenes[[#This Row],[backlog_habiles]]&lt;=p_dias_backlog_max))</f>
        <v/>
      </c>
      <c r="AE339" s="6" t="n"/>
      <c r="AF3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9" s="11">
        <f>IF(tblOrdenes[[#This Row],[orden]]="","",_xlfn.XLOOKUP(tblOrdenes[[#This Row],[id_operacion]],tblEjecucion[id_operacion],tblEjecucion[precio],0))</f>
        <v/>
      </c>
      <c r="AJ339" s="11">
        <f>IF(tblOrdenes[[#This Row],[orden]]="","",MAX(0,_xlfn.XLOOKUP(tblOrdenes[[#This Row],[id_operacion]],tblEjecucion[id_operacion],tblEjecucion[costo_plan_total],0)-tblOrdenes[[#This Row],[costo_servicio]]))</f>
        <v/>
      </c>
      <c r="AK339" s="11">
        <f>IF(tblOrdenes[[#This Row],[orden]]="","",tblOrdenes[[#This Row],[costo_servicio]]+tblOrdenes[[#This Row],[costo_materiales]])</f>
        <v/>
      </c>
      <c r="AL339" s="6" t="n"/>
      <c r="AM339" s="6" t="n"/>
      <c r="AN339" s="6" t="n"/>
      <c r="AO339" s="3">
        <f>IF(tblOrdenes[[#This Row],[link_checklist]]="","",HYPERLINK(p_ruta_base_checklists&amp;tblOrdenes[[#This Row],[link_checklist]],"abrir"))</f>
        <v/>
      </c>
      <c r="AP339" s="6" t="n"/>
      <c r="AQ339" s="3">
        <f>IF(tblOrdenes[[#This Row],[orden]]="","",tblOrdenes[[#This Row],[orden]]&amp;IF(tblOrdenes[[#This Row],[operacion]]="","0010",tblOrdenes[[#This Row],[operacion]]))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2" t="n"/>
      <c r="K340" s="3" t="n"/>
      <c r="L340" s="11" t="n"/>
      <c r="M3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0" s="3">
        <f>IF(tblOrdenes[[#This Row],[fecha_inicio]]="","",YEAR(tblOrdenes[[#This Row],[fecha_inicio]]))</f>
        <v/>
      </c>
      <c r="Q340" s="3">
        <f>IF(tblOrdenes[[#This Row],[fecha_inicio]]="","",MONTH(tblOrdenes[[#This Row],[fecha_inicio]]))</f>
        <v/>
      </c>
      <c r="R340" s="3">
        <f>IF(tblOrdenes[[#This Row],[fecha_inicio]]="","",INDEX(lista_dias,WEEKDAY(tblOrdenes[[#This Row],[fecha_inicio]],2)))</f>
        <v/>
      </c>
      <c r="S3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0" s="3">
        <f>IF(tblOrdenes[[#This Row],[tipo_ot]]="","",_xlfn.XLOOKUP(tblOrdenes[[#This Row],[tipo_ot]],tblTiposOT[codigo],tblTiposOT[clasificacion],"sin_clasificar"))</f>
        <v/>
      </c>
      <c r="U340" s="3">
        <f>IF(tblOrdenes[[#This Row],[centro_costo]]="","",_xlfn.XLOOKUP(tblOrdenes[[#This Row],[centro_costo]],tblCECO[codigo],tblCECO[linea],"(sin catálogo)"))</f>
        <v/>
      </c>
      <c r="V340" s="3">
        <f>IF(tblOrdenes[[#This Row],[centro_costo]]="","",_xlfn.XLOOKUP(tblOrdenes[[#This Row],[centro_costo]],tblCECO[codigo],tblCECO[area],"(sin catálogo)"))</f>
        <v/>
      </c>
      <c r="W3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0" s="3">
        <f>IF(tblOrdenes[[#This Row],[centro_costo]]="","",_xlfn.XLOOKUP(tblOrdenes[[#This Row],[centro_costo]],tblCECO[codigo],tblCECO[coordinador],"(sin catálogo)"))</f>
        <v/>
      </c>
      <c r="Y340" s="3">
        <f>IF(tblOrdenes[[#This Row],[puesto_trabajo]]="","",_xlfn.XLOOKUP(tblOrdenes[[#This Row],[puesto_trabajo]],tblPuestos[codigo],tblPuestos[especialidad],"(sin catálogo)"))</f>
        <v/>
      </c>
      <c r="Z340" s="3">
        <f>IF(tblOrdenes[[#This Row],[cod_actividad]]="","",_xlfn.XLOOKUP(tblOrdenes[[#This Row],[cod_actividad]],tblActividades[codigo],tblActividades[descripcion],"(sin catálogo)"))</f>
        <v/>
      </c>
      <c r="AA340" s="13">
        <f>IF(tblOrdenes[[#This Row],[fecha_inicio]]="","",TODAY()-tblOrdenes[[#This Row],[fecha_inicio]])</f>
        <v/>
      </c>
      <c r="AB3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0" s="3">
        <f>IF(tblOrdenes[[#This Row],[backlog_habiles]]="","",IF(tblOrdenes[[#This Row],[backlog_habiles]]&lt;0,"FUTURO",IF(tblOrdenes[[#This Row],[backlog_habiles]]&gt;p_dias_backlog_max,"BACKLOG","MES CORRIENTE")))</f>
        <v/>
      </c>
      <c r="AD340" s="3">
        <f>IF(tblOrdenes[[#This Row],[backlog_habiles]]="",FALSE,AND(tblOrdenes[[#This Row],[backlog_habiles]]&gt;p_dias_backlog_min,tblOrdenes[[#This Row],[backlog_habiles]]&lt;=p_dias_backlog_max))</f>
        <v/>
      </c>
      <c r="AE340" s="6" t="n"/>
      <c r="AF3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0" s="11">
        <f>IF(tblOrdenes[[#This Row],[orden]]="","",_xlfn.XLOOKUP(tblOrdenes[[#This Row],[id_operacion]],tblEjecucion[id_operacion],tblEjecucion[precio],0))</f>
        <v/>
      </c>
      <c r="AJ340" s="11">
        <f>IF(tblOrdenes[[#This Row],[orden]]="","",MAX(0,_xlfn.XLOOKUP(tblOrdenes[[#This Row],[id_operacion]],tblEjecucion[id_operacion],tblEjecucion[costo_plan_total],0)-tblOrdenes[[#This Row],[costo_servicio]]))</f>
        <v/>
      </c>
      <c r="AK340" s="11">
        <f>IF(tblOrdenes[[#This Row],[orden]]="","",tblOrdenes[[#This Row],[costo_servicio]]+tblOrdenes[[#This Row],[costo_materiales]])</f>
        <v/>
      </c>
      <c r="AL340" s="6" t="n"/>
      <c r="AM340" s="6" t="n"/>
      <c r="AN340" s="6" t="n"/>
      <c r="AO340" s="3">
        <f>IF(tblOrdenes[[#This Row],[link_checklist]]="","",HYPERLINK(p_ruta_base_checklists&amp;tblOrdenes[[#This Row],[link_checklist]],"abrir"))</f>
        <v/>
      </c>
      <c r="AP340" s="6" t="n"/>
      <c r="AQ340" s="3">
        <f>IF(tblOrdenes[[#This Row],[orden]]="","",tblOrdenes[[#This Row],[orden]]&amp;IF(tblOrdenes[[#This Row],[operacion]]="","0010",tblOrdenes[[#This Row],[operacion]]))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2" t="n"/>
      <c r="K341" s="3" t="n"/>
      <c r="L341" s="11" t="n"/>
      <c r="M3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1" s="3">
        <f>IF(tblOrdenes[[#This Row],[fecha_inicio]]="","",YEAR(tblOrdenes[[#This Row],[fecha_inicio]]))</f>
        <v/>
      </c>
      <c r="Q341" s="3">
        <f>IF(tblOrdenes[[#This Row],[fecha_inicio]]="","",MONTH(tblOrdenes[[#This Row],[fecha_inicio]]))</f>
        <v/>
      </c>
      <c r="R341" s="3">
        <f>IF(tblOrdenes[[#This Row],[fecha_inicio]]="","",INDEX(lista_dias,WEEKDAY(tblOrdenes[[#This Row],[fecha_inicio]],2)))</f>
        <v/>
      </c>
      <c r="S3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1" s="3">
        <f>IF(tblOrdenes[[#This Row],[tipo_ot]]="","",_xlfn.XLOOKUP(tblOrdenes[[#This Row],[tipo_ot]],tblTiposOT[codigo],tblTiposOT[clasificacion],"sin_clasificar"))</f>
        <v/>
      </c>
      <c r="U341" s="3">
        <f>IF(tblOrdenes[[#This Row],[centro_costo]]="","",_xlfn.XLOOKUP(tblOrdenes[[#This Row],[centro_costo]],tblCECO[codigo],tblCECO[linea],"(sin catálogo)"))</f>
        <v/>
      </c>
      <c r="V341" s="3">
        <f>IF(tblOrdenes[[#This Row],[centro_costo]]="","",_xlfn.XLOOKUP(tblOrdenes[[#This Row],[centro_costo]],tblCECO[codigo],tblCECO[area],"(sin catálogo)"))</f>
        <v/>
      </c>
      <c r="W3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1" s="3">
        <f>IF(tblOrdenes[[#This Row],[centro_costo]]="","",_xlfn.XLOOKUP(tblOrdenes[[#This Row],[centro_costo]],tblCECO[codigo],tblCECO[coordinador],"(sin catálogo)"))</f>
        <v/>
      </c>
      <c r="Y341" s="3">
        <f>IF(tblOrdenes[[#This Row],[puesto_trabajo]]="","",_xlfn.XLOOKUP(tblOrdenes[[#This Row],[puesto_trabajo]],tblPuestos[codigo],tblPuestos[especialidad],"(sin catálogo)"))</f>
        <v/>
      </c>
      <c r="Z341" s="3">
        <f>IF(tblOrdenes[[#This Row],[cod_actividad]]="","",_xlfn.XLOOKUP(tblOrdenes[[#This Row],[cod_actividad]],tblActividades[codigo],tblActividades[descripcion],"(sin catálogo)"))</f>
        <v/>
      </c>
      <c r="AA341" s="13">
        <f>IF(tblOrdenes[[#This Row],[fecha_inicio]]="","",TODAY()-tblOrdenes[[#This Row],[fecha_inicio]])</f>
        <v/>
      </c>
      <c r="AB3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1" s="3">
        <f>IF(tblOrdenes[[#This Row],[backlog_habiles]]="","",IF(tblOrdenes[[#This Row],[backlog_habiles]]&lt;0,"FUTURO",IF(tblOrdenes[[#This Row],[backlog_habiles]]&gt;p_dias_backlog_max,"BACKLOG","MES CORRIENTE")))</f>
        <v/>
      </c>
      <c r="AD341" s="3">
        <f>IF(tblOrdenes[[#This Row],[backlog_habiles]]="",FALSE,AND(tblOrdenes[[#This Row],[backlog_habiles]]&gt;p_dias_backlog_min,tblOrdenes[[#This Row],[backlog_habiles]]&lt;=p_dias_backlog_max))</f>
        <v/>
      </c>
      <c r="AE341" s="6" t="n"/>
      <c r="AF3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1" s="11">
        <f>IF(tblOrdenes[[#This Row],[orden]]="","",_xlfn.XLOOKUP(tblOrdenes[[#This Row],[id_operacion]],tblEjecucion[id_operacion],tblEjecucion[precio],0))</f>
        <v/>
      </c>
      <c r="AJ341" s="11">
        <f>IF(tblOrdenes[[#This Row],[orden]]="","",MAX(0,_xlfn.XLOOKUP(tblOrdenes[[#This Row],[id_operacion]],tblEjecucion[id_operacion],tblEjecucion[costo_plan_total],0)-tblOrdenes[[#This Row],[costo_servicio]]))</f>
        <v/>
      </c>
      <c r="AK341" s="11">
        <f>IF(tblOrdenes[[#This Row],[orden]]="","",tblOrdenes[[#This Row],[costo_servicio]]+tblOrdenes[[#This Row],[costo_materiales]])</f>
        <v/>
      </c>
      <c r="AL341" s="6" t="n"/>
      <c r="AM341" s="6" t="n"/>
      <c r="AN341" s="6" t="n"/>
      <c r="AO341" s="3">
        <f>IF(tblOrdenes[[#This Row],[link_checklist]]="","",HYPERLINK(p_ruta_base_checklists&amp;tblOrdenes[[#This Row],[link_checklist]],"abrir"))</f>
        <v/>
      </c>
      <c r="AP341" s="6" t="n"/>
      <c r="AQ341" s="3">
        <f>IF(tblOrdenes[[#This Row],[orden]]="","",tblOrdenes[[#This Row],[orden]]&amp;IF(tblOrdenes[[#This Row],[operacion]]="","0010",tblOrdenes[[#This Row],[operacion]]))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2" t="n"/>
      <c r="K342" s="3" t="n"/>
      <c r="L342" s="11" t="n"/>
      <c r="M3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2" s="3">
        <f>IF(tblOrdenes[[#This Row],[fecha_inicio]]="","",YEAR(tblOrdenes[[#This Row],[fecha_inicio]]))</f>
        <v/>
      </c>
      <c r="Q342" s="3">
        <f>IF(tblOrdenes[[#This Row],[fecha_inicio]]="","",MONTH(tblOrdenes[[#This Row],[fecha_inicio]]))</f>
        <v/>
      </c>
      <c r="R342" s="3">
        <f>IF(tblOrdenes[[#This Row],[fecha_inicio]]="","",INDEX(lista_dias,WEEKDAY(tblOrdenes[[#This Row],[fecha_inicio]],2)))</f>
        <v/>
      </c>
      <c r="S3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2" s="3">
        <f>IF(tblOrdenes[[#This Row],[tipo_ot]]="","",_xlfn.XLOOKUP(tblOrdenes[[#This Row],[tipo_ot]],tblTiposOT[codigo],tblTiposOT[clasificacion],"sin_clasificar"))</f>
        <v/>
      </c>
      <c r="U342" s="3">
        <f>IF(tblOrdenes[[#This Row],[centro_costo]]="","",_xlfn.XLOOKUP(tblOrdenes[[#This Row],[centro_costo]],tblCECO[codigo],tblCECO[linea],"(sin catálogo)"))</f>
        <v/>
      </c>
      <c r="V342" s="3">
        <f>IF(tblOrdenes[[#This Row],[centro_costo]]="","",_xlfn.XLOOKUP(tblOrdenes[[#This Row],[centro_costo]],tblCECO[codigo],tblCECO[area],"(sin catálogo)"))</f>
        <v/>
      </c>
      <c r="W3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2" s="3">
        <f>IF(tblOrdenes[[#This Row],[centro_costo]]="","",_xlfn.XLOOKUP(tblOrdenes[[#This Row],[centro_costo]],tblCECO[codigo],tblCECO[coordinador],"(sin catálogo)"))</f>
        <v/>
      </c>
      <c r="Y342" s="3">
        <f>IF(tblOrdenes[[#This Row],[puesto_trabajo]]="","",_xlfn.XLOOKUP(tblOrdenes[[#This Row],[puesto_trabajo]],tblPuestos[codigo],tblPuestos[especialidad],"(sin catálogo)"))</f>
        <v/>
      </c>
      <c r="Z342" s="3">
        <f>IF(tblOrdenes[[#This Row],[cod_actividad]]="","",_xlfn.XLOOKUP(tblOrdenes[[#This Row],[cod_actividad]],tblActividades[codigo],tblActividades[descripcion],"(sin catálogo)"))</f>
        <v/>
      </c>
      <c r="AA342" s="13">
        <f>IF(tblOrdenes[[#This Row],[fecha_inicio]]="","",TODAY()-tblOrdenes[[#This Row],[fecha_inicio]])</f>
        <v/>
      </c>
      <c r="AB3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2" s="3">
        <f>IF(tblOrdenes[[#This Row],[backlog_habiles]]="","",IF(tblOrdenes[[#This Row],[backlog_habiles]]&lt;0,"FUTURO",IF(tblOrdenes[[#This Row],[backlog_habiles]]&gt;p_dias_backlog_max,"BACKLOG","MES CORRIENTE")))</f>
        <v/>
      </c>
      <c r="AD342" s="3">
        <f>IF(tblOrdenes[[#This Row],[backlog_habiles]]="",FALSE,AND(tblOrdenes[[#This Row],[backlog_habiles]]&gt;p_dias_backlog_min,tblOrdenes[[#This Row],[backlog_habiles]]&lt;=p_dias_backlog_max))</f>
        <v/>
      </c>
      <c r="AE342" s="6" t="n"/>
      <c r="AF3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2" s="11">
        <f>IF(tblOrdenes[[#This Row],[orden]]="","",_xlfn.XLOOKUP(tblOrdenes[[#This Row],[id_operacion]],tblEjecucion[id_operacion],tblEjecucion[precio],0))</f>
        <v/>
      </c>
      <c r="AJ342" s="11">
        <f>IF(tblOrdenes[[#This Row],[orden]]="","",MAX(0,_xlfn.XLOOKUP(tblOrdenes[[#This Row],[id_operacion]],tblEjecucion[id_operacion],tblEjecucion[costo_plan_total],0)-tblOrdenes[[#This Row],[costo_servicio]]))</f>
        <v/>
      </c>
      <c r="AK342" s="11">
        <f>IF(tblOrdenes[[#This Row],[orden]]="","",tblOrdenes[[#This Row],[costo_servicio]]+tblOrdenes[[#This Row],[costo_materiales]])</f>
        <v/>
      </c>
      <c r="AL342" s="6" t="n"/>
      <c r="AM342" s="6" t="n"/>
      <c r="AN342" s="6" t="n"/>
      <c r="AO342" s="3">
        <f>IF(tblOrdenes[[#This Row],[link_checklist]]="","",HYPERLINK(p_ruta_base_checklists&amp;tblOrdenes[[#This Row],[link_checklist]],"abrir"))</f>
        <v/>
      </c>
      <c r="AP342" s="6" t="n"/>
      <c r="AQ342" s="3">
        <f>IF(tblOrdenes[[#This Row],[orden]]="","",tblOrdenes[[#This Row],[orden]]&amp;IF(tblOrdenes[[#This Row],[operacion]]="","0010",tblOrdenes[[#This Row],[operacion]]))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2" t="n"/>
      <c r="K343" s="3" t="n"/>
      <c r="L343" s="11" t="n"/>
      <c r="M3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3" s="3">
        <f>IF(tblOrdenes[[#This Row],[fecha_inicio]]="","",YEAR(tblOrdenes[[#This Row],[fecha_inicio]]))</f>
        <v/>
      </c>
      <c r="Q343" s="3">
        <f>IF(tblOrdenes[[#This Row],[fecha_inicio]]="","",MONTH(tblOrdenes[[#This Row],[fecha_inicio]]))</f>
        <v/>
      </c>
      <c r="R343" s="3">
        <f>IF(tblOrdenes[[#This Row],[fecha_inicio]]="","",INDEX(lista_dias,WEEKDAY(tblOrdenes[[#This Row],[fecha_inicio]],2)))</f>
        <v/>
      </c>
      <c r="S3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3" s="3">
        <f>IF(tblOrdenes[[#This Row],[tipo_ot]]="","",_xlfn.XLOOKUP(tblOrdenes[[#This Row],[tipo_ot]],tblTiposOT[codigo],tblTiposOT[clasificacion],"sin_clasificar"))</f>
        <v/>
      </c>
      <c r="U343" s="3">
        <f>IF(tblOrdenes[[#This Row],[centro_costo]]="","",_xlfn.XLOOKUP(tblOrdenes[[#This Row],[centro_costo]],tblCECO[codigo],tblCECO[linea],"(sin catálogo)"))</f>
        <v/>
      </c>
      <c r="V343" s="3">
        <f>IF(tblOrdenes[[#This Row],[centro_costo]]="","",_xlfn.XLOOKUP(tblOrdenes[[#This Row],[centro_costo]],tblCECO[codigo],tblCECO[area],"(sin catálogo)"))</f>
        <v/>
      </c>
      <c r="W3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3" s="3">
        <f>IF(tblOrdenes[[#This Row],[centro_costo]]="","",_xlfn.XLOOKUP(tblOrdenes[[#This Row],[centro_costo]],tblCECO[codigo],tblCECO[coordinador],"(sin catálogo)"))</f>
        <v/>
      </c>
      <c r="Y343" s="3">
        <f>IF(tblOrdenes[[#This Row],[puesto_trabajo]]="","",_xlfn.XLOOKUP(tblOrdenes[[#This Row],[puesto_trabajo]],tblPuestos[codigo],tblPuestos[especialidad],"(sin catálogo)"))</f>
        <v/>
      </c>
      <c r="Z343" s="3">
        <f>IF(tblOrdenes[[#This Row],[cod_actividad]]="","",_xlfn.XLOOKUP(tblOrdenes[[#This Row],[cod_actividad]],tblActividades[codigo],tblActividades[descripcion],"(sin catálogo)"))</f>
        <v/>
      </c>
      <c r="AA343" s="13">
        <f>IF(tblOrdenes[[#This Row],[fecha_inicio]]="","",TODAY()-tblOrdenes[[#This Row],[fecha_inicio]])</f>
        <v/>
      </c>
      <c r="AB3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3" s="3">
        <f>IF(tblOrdenes[[#This Row],[backlog_habiles]]="","",IF(tblOrdenes[[#This Row],[backlog_habiles]]&lt;0,"FUTURO",IF(tblOrdenes[[#This Row],[backlog_habiles]]&gt;p_dias_backlog_max,"BACKLOG","MES CORRIENTE")))</f>
        <v/>
      </c>
      <c r="AD343" s="3">
        <f>IF(tblOrdenes[[#This Row],[backlog_habiles]]="",FALSE,AND(tblOrdenes[[#This Row],[backlog_habiles]]&gt;p_dias_backlog_min,tblOrdenes[[#This Row],[backlog_habiles]]&lt;=p_dias_backlog_max))</f>
        <v/>
      </c>
      <c r="AE343" s="6" t="n"/>
      <c r="AF3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3" s="11">
        <f>IF(tblOrdenes[[#This Row],[orden]]="","",_xlfn.XLOOKUP(tblOrdenes[[#This Row],[id_operacion]],tblEjecucion[id_operacion],tblEjecucion[precio],0))</f>
        <v/>
      </c>
      <c r="AJ343" s="11">
        <f>IF(tblOrdenes[[#This Row],[orden]]="","",MAX(0,_xlfn.XLOOKUP(tblOrdenes[[#This Row],[id_operacion]],tblEjecucion[id_operacion],tblEjecucion[costo_plan_total],0)-tblOrdenes[[#This Row],[costo_servicio]]))</f>
        <v/>
      </c>
      <c r="AK343" s="11">
        <f>IF(tblOrdenes[[#This Row],[orden]]="","",tblOrdenes[[#This Row],[costo_servicio]]+tblOrdenes[[#This Row],[costo_materiales]])</f>
        <v/>
      </c>
      <c r="AL343" s="6" t="n"/>
      <c r="AM343" s="6" t="n"/>
      <c r="AN343" s="6" t="n"/>
      <c r="AO343" s="3">
        <f>IF(tblOrdenes[[#This Row],[link_checklist]]="","",HYPERLINK(p_ruta_base_checklists&amp;tblOrdenes[[#This Row],[link_checklist]],"abrir"))</f>
        <v/>
      </c>
      <c r="AP343" s="6" t="n"/>
      <c r="AQ343" s="3">
        <f>IF(tblOrdenes[[#This Row],[orden]]="","",tblOrdenes[[#This Row],[orden]]&amp;IF(tblOrdenes[[#This Row],[operacion]]="","0010",tblOrdenes[[#This Row],[operacion]]))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2" t="n"/>
      <c r="K344" s="3" t="n"/>
      <c r="L344" s="11" t="n"/>
      <c r="M3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4" s="3">
        <f>IF(tblOrdenes[[#This Row],[fecha_inicio]]="","",YEAR(tblOrdenes[[#This Row],[fecha_inicio]]))</f>
        <v/>
      </c>
      <c r="Q344" s="3">
        <f>IF(tblOrdenes[[#This Row],[fecha_inicio]]="","",MONTH(tblOrdenes[[#This Row],[fecha_inicio]]))</f>
        <v/>
      </c>
      <c r="R344" s="3">
        <f>IF(tblOrdenes[[#This Row],[fecha_inicio]]="","",INDEX(lista_dias,WEEKDAY(tblOrdenes[[#This Row],[fecha_inicio]],2)))</f>
        <v/>
      </c>
      <c r="S3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4" s="3">
        <f>IF(tblOrdenes[[#This Row],[tipo_ot]]="","",_xlfn.XLOOKUP(tblOrdenes[[#This Row],[tipo_ot]],tblTiposOT[codigo],tblTiposOT[clasificacion],"sin_clasificar"))</f>
        <v/>
      </c>
      <c r="U344" s="3">
        <f>IF(tblOrdenes[[#This Row],[centro_costo]]="","",_xlfn.XLOOKUP(tblOrdenes[[#This Row],[centro_costo]],tblCECO[codigo],tblCECO[linea],"(sin catálogo)"))</f>
        <v/>
      </c>
      <c r="V344" s="3">
        <f>IF(tblOrdenes[[#This Row],[centro_costo]]="","",_xlfn.XLOOKUP(tblOrdenes[[#This Row],[centro_costo]],tblCECO[codigo],tblCECO[area],"(sin catálogo)"))</f>
        <v/>
      </c>
      <c r="W3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4" s="3">
        <f>IF(tblOrdenes[[#This Row],[centro_costo]]="","",_xlfn.XLOOKUP(tblOrdenes[[#This Row],[centro_costo]],tblCECO[codigo],tblCECO[coordinador],"(sin catálogo)"))</f>
        <v/>
      </c>
      <c r="Y344" s="3">
        <f>IF(tblOrdenes[[#This Row],[puesto_trabajo]]="","",_xlfn.XLOOKUP(tblOrdenes[[#This Row],[puesto_trabajo]],tblPuestos[codigo],tblPuestos[especialidad],"(sin catálogo)"))</f>
        <v/>
      </c>
      <c r="Z344" s="3">
        <f>IF(tblOrdenes[[#This Row],[cod_actividad]]="","",_xlfn.XLOOKUP(tblOrdenes[[#This Row],[cod_actividad]],tblActividades[codigo],tblActividades[descripcion],"(sin catálogo)"))</f>
        <v/>
      </c>
      <c r="AA344" s="13">
        <f>IF(tblOrdenes[[#This Row],[fecha_inicio]]="","",TODAY()-tblOrdenes[[#This Row],[fecha_inicio]])</f>
        <v/>
      </c>
      <c r="AB3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4" s="3">
        <f>IF(tblOrdenes[[#This Row],[backlog_habiles]]="","",IF(tblOrdenes[[#This Row],[backlog_habiles]]&lt;0,"FUTURO",IF(tblOrdenes[[#This Row],[backlog_habiles]]&gt;p_dias_backlog_max,"BACKLOG","MES CORRIENTE")))</f>
        <v/>
      </c>
      <c r="AD344" s="3">
        <f>IF(tblOrdenes[[#This Row],[backlog_habiles]]="",FALSE,AND(tblOrdenes[[#This Row],[backlog_habiles]]&gt;p_dias_backlog_min,tblOrdenes[[#This Row],[backlog_habiles]]&lt;=p_dias_backlog_max))</f>
        <v/>
      </c>
      <c r="AE344" s="6" t="n"/>
      <c r="AF3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4" s="11">
        <f>IF(tblOrdenes[[#This Row],[orden]]="","",_xlfn.XLOOKUP(tblOrdenes[[#This Row],[id_operacion]],tblEjecucion[id_operacion],tblEjecucion[precio],0))</f>
        <v/>
      </c>
      <c r="AJ344" s="11">
        <f>IF(tblOrdenes[[#This Row],[orden]]="","",MAX(0,_xlfn.XLOOKUP(tblOrdenes[[#This Row],[id_operacion]],tblEjecucion[id_operacion],tblEjecucion[costo_plan_total],0)-tblOrdenes[[#This Row],[costo_servicio]]))</f>
        <v/>
      </c>
      <c r="AK344" s="11">
        <f>IF(tblOrdenes[[#This Row],[orden]]="","",tblOrdenes[[#This Row],[costo_servicio]]+tblOrdenes[[#This Row],[costo_materiales]])</f>
        <v/>
      </c>
      <c r="AL344" s="6" t="n"/>
      <c r="AM344" s="6" t="n"/>
      <c r="AN344" s="6" t="n"/>
      <c r="AO344" s="3">
        <f>IF(tblOrdenes[[#This Row],[link_checklist]]="","",HYPERLINK(p_ruta_base_checklists&amp;tblOrdenes[[#This Row],[link_checklist]],"abrir"))</f>
        <v/>
      </c>
      <c r="AP344" s="6" t="n"/>
      <c r="AQ344" s="3">
        <f>IF(tblOrdenes[[#This Row],[orden]]="","",tblOrdenes[[#This Row],[orden]]&amp;IF(tblOrdenes[[#This Row],[operacion]]="","0010",tblOrdenes[[#This Row],[operacion]]))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2" t="n"/>
      <c r="K345" s="3" t="n"/>
      <c r="L345" s="11" t="n"/>
      <c r="M3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5" s="3">
        <f>IF(tblOrdenes[[#This Row],[fecha_inicio]]="","",YEAR(tblOrdenes[[#This Row],[fecha_inicio]]))</f>
        <v/>
      </c>
      <c r="Q345" s="3">
        <f>IF(tblOrdenes[[#This Row],[fecha_inicio]]="","",MONTH(tblOrdenes[[#This Row],[fecha_inicio]]))</f>
        <v/>
      </c>
      <c r="R345" s="3">
        <f>IF(tblOrdenes[[#This Row],[fecha_inicio]]="","",INDEX(lista_dias,WEEKDAY(tblOrdenes[[#This Row],[fecha_inicio]],2)))</f>
        <v/>
      </c>
      <c r="S3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5" s="3">
        <f>IF(tblOrdenes[[#This Row],[tipo_ot]]="","",_xlfn.XLOOKUP(tblOrdenes[[#This Row],[tipo_ot]],tblTiposOT[codigo],tblTiposOT[clasificacion],"sin_clasificar"))</f>
        <v/>
      </c>
      <c r="U345" s="3">
        <f>IF(tblOrdenes[[#This Row],[centro_costo]]="","",_xlfn.XLOOKUP(tblOrdenes[[#This Row],[centro_costo]],tblCECO[codigo],tblCECO[linea],"(sin catálogo)"))</f>
        <v/>
      </c>
      <c r="V345" s="3">
        <f>IF(tblOrdenes[[#This Row],[centro_costo]]="","",_xlfn.XLOOKUP(tblOrdenes[[#This Row],[centro_costo]],tblCECO[codigo],tblCECO[area],"(sin catálogo)"))</f>
        <v/>
      </c>
      <c r="W3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5" s="3">
        <f>IF(tblOrdenes[[#This Row],[centro_costo]]="","",_xlfn.XLOOKUP(tblOrdenes[[#This Row],[centro_costo]],tblCECO[codigo],tblCECO[coordinador],"(sin catálogo)"))</f>
        <v/>
      </c>
      <c r="Y345" s="3">
        <f>IF(tblOrdenes[[#This Row],[puesto_trabajo]]="","",_xlfn.XLOOKUP(tblOrdenes[[#This Row],[puesto_trabajo]],tblPuestos[codigo],tblPuestos[especialidad],"(sin catálogo)"))</f>
        <v/>
      </c>
      <c r="Z345" s="3">
        <f>IF(tblOrdenes[[#This Row],[cod_actividad]]="","",_xlfn.XLOOKUP(tblOrdenes[[#This Row],[cod_actividad]],tblActividades[codigo],tblActividades[descripcion],"(sin catálogo)"))</f>
        <v/>
      </c>
      <c r="AA345" s="13">
        <f>IF(tblOrdenes[[#This Row],[fecha_inicio]]="","",TODAY()-tblOrdenes[[#This Row],[fecha_inicio]])</f>
        <v/>
      </c>
      <c r="AB3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5" s="3">
        <f>IF(tblOrdenes[[#This Row],[backlog_habiles]]="","",IF(tblOrdenes[[#This Row],[backlog_habiles]]&lt;0,"FUTURO",IF(tblOrdenes[[#This Row],[backlog_habiles]]&gt;p_dias_backlog_max,"BACKLOG","MES CORRIENTE")))</f>
        <v/>
      </c>
      <c r="AD345" s="3">
        <f>IF(tblOrdenes[[#This Row],[backlog_habiles]]="",FALSE,AND(tblOrdenes[[#This Row],[backlog_habiles]]&gt;p_dias_backlog_min,tblOrdenes[[#This Row],[backlog_habiles]]&lt;=p_dias_backlog_max))</f>
        <v/>
      </c>
      <c r="AE345" s="6" t="n"/>
      <c r="AF3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5" s="11">
        <f>IF(tblOrdenes[[#This Row],[orden]]="","",_xlfn.XLOOKUP(tblOrdenes[[#This Row],[id_operacion]],tblEjecucion[id_operacion],tblEjecucion[precio],0))</f>
        <v/>
      </c>
      <c r="AJ345" s="11">
        <f>IF(tblOrdenes[[#This Row],[orden]]="","",MAX(0,_xlfn.XLOOKUP(tblOrdenes[[#This Row],[id_operacion]],tblEjecucion[id_operacion],tblEjecucion[costo_plan_total],0)-tblOrdenes[[#This Row],[costo_servicio]]))</f>
        <v/>
      </c>
      <c r="AK345" s="11">
        <f>IF(tblOrdenes[[#This Row],[orden]]="","",tblOrdenes[[#This Row],[costo_servicio]]+tblOrdenes[[#This Row],[costo_materiales]])</f>
        <v/>
      </c>
      <c r="AL345" s="6" t="n"/>
      <c r="AM345" s="6" t="n"/>
      <c r="AN345" s="6" t="n"/>
      <c r="AO345" s="3">
        <f>IF(tblOrdenes[[#This Row],[link_checklist]]="","",HYPERLINK(p_ruta_base_checklists&amp;tblOrdenes[[#This Row],[link_checklist]],"abrir"))</f>
        <v/>
      </c>
      <c r="AP345" s="6" t="n"/>
      <c r="AQ345" s="3">
        <f>IF(tblOrdenes[[#This Row],[orden]]="","",tblOrdenes[[#This Row],[orden]]&amp;IF(tblOrdenes[[#This Row],[operacion]]="","0010",tblOrdenes[[#This Row],[operacion]]))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2" t="n"/>
      <c r="K346" s="3" t="n"/>
      <c r="L346" s="11" t="n"/>
      <c r="M3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6" s="3">
        <f>IF(tblOrdenes[[#This Row],[fecha_inicio]]="","",YEAR(tblOrdenes[[#This Row],[fecha_inicio]]))</f>
        <v/>
      </c>
      <c r="Q346" s="3">
        <f>IF(tblOrdenes[[#This Row],[fecha_inicio]]="","",MONTH(tblOrdenes[[#This Row],[fecha_inicio]]))</f>
        <v/>
      </c>
      <c r="R346" s="3">
        <f>IF(tblOrdenes[[#This Row],[fecha_inicio]]="","",INDEX(lista_dias,WEEKDAY(tblOrdenes[[#This Row],[fecha_inicio]],2)))</f>
        <v/>
      </c>
      <c r="S3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6" s="3">
        <f>IF(tblOrdenes[[#This Row],[tipo_ot]]="","",_xlfn.XLOOKUP(tblOrdenes[[#This Row],[tipo_ot]],tblTiposOT[codigo],tblTiposOT[clasificacion],"sin_clasificar"))</f>
        <v/>
      </c>
      <c r="U346" s="3">
        <f>IF(tblOrdenes[[#This Row],[centro_costo]]="","",_xlfn.XLOOKUP(tblOrdenes[[#This Row],[centro_costo]],tblCECO[codigo],tblCECO[linea],"(sin catálogo)"))</f>
        <v/>
      </c>
      <c r="V346" s="3">
        <f>IF(tblOrdenes[[#This Row],[centro_costo]]="","",_xlfn.XLOOKUP(tblOrdenes[[#This Row],[centro_costo]],tblCECO[codigo],tblCECO[area],"(sin catálogo)"))</f>
        <v/>
      </c>
      <c r="W3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6" s="3">
        <f>IF(tblOrdenes[[#This Row],[centro_costo]]="","",_xlfn.XLOOKUP(tblOrdenes[[#This Row],[centro_costo]],tblCECO[codigo],tblCECO[coordinador],"(sin catálogo)"))</f>
        <v/>
      </c>
      <c r="Y346" s="3">
        <f>IF(tblOrdenes[[#This Row],[puesto_trabajo]]="","",_xlfn.XLOOKUP(tblOrdenes[[#This Row],[puesto_trabajo]],tblPuestos[codigo],tblPuestos[especialidad],"(sin catálogo)"))</f>
        <v/>
      </c>
      <c r="Z346" s="3">
        <f>IF(tblOrdenes[[#This Row],[cod_actividad]]="","",_xlfn.XLOOKUP(tblOrdenes[[#This Row],[cod_actividad]],tblActividades[codigo],tblActividades[descripcion],"(sin catálogo)"))</f>
        <v/>
      </c>
      <c r="AA346" s="13">
        <f>IF(tblOrdenes[[#This Row],[fecha_inicio]]="","",TODAY()-tblOrdenes[[#This Row],[fecha_inicio]])</f>
        <v/>
      </c>
      <c r="AB3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6" s="3">
        <f>IF(tblOrdenes[[#This Row],[backlog_habiles]]="","",IF(tblOrdenes[[#This Row],[backlog_habiles]]&lt;0,"FUTURO",IF(tblOrdenes[[#This Row],[backlog_habiles]]&gt;p_dias_backlog_max,"BACKLOG","MES CORRIENTE")))</f>
        <v/>
      </c>
      <c r="AD346" s="3">
        <f>IF(tblOrdenes[[#This Row],[backlog_habiles]]="",FALSE,AND(tblOrdenes[[#This Row],[backlog_habiles]]&gt;p_dias_backlog_min,tblOrdenes[[#This Row],[backlog_habiles]]&lt;=p_dias_backlog_max))</f>
        <v/>
      </c>
      <c r="AE346" s="6" t="n"/>
      <c r="AF3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6" s="11">
        <f>IF(tblOrdenes[[#This Row],[orden]]="","",_xlfn.XLOOKUP(tblOrdenes[[#This Row],[id_operacion]],tblEjecucion[id_operacion],tblEjecucion[precio],0))</f>
        <v/>
      </c>
      <c r="AJ346" s="11">
        <f>IF(tblOrdenes[[#This Row],[orden]]="","",MAX(0,_xlfn.XLOOKUP(tblOrdenes[[#This Row],[id_operacion]],tblEjecucion[id_operacion],tblEjecucion[costo_plan_total],0)-tblOrdenes[[#This Row],[costo_servicio]]))</f>
        <v/>
      </c>
      <c r="AK346" s="11">
        <f>IF(tblOrdenes[[#This Row],[orden]]="","",tblOrdenes[[#This Row],[costo_servicio]]+tblOrdenes[[#This Row],[costo_materiales]])</f>
        <v/>
      </c>
      <c r="AL346" s="6" t="n"/>
      <c r="AM346" s="6" t="n"/>
      <c r="AN346" s="6" t="n"/>
      <c r="AO346" s="3">
        <f>IF(tblOrdenes[[#This Row],[link_checklist]]="","",HYPERLINK(p_ruta_base_checklists&amp;tblOrdenes[[#This Row],[link_checklist]],"abrir"))</f>
        <v/>
      </c>
      <c r="AP346" s="6" t="n"/>
      <c r="AQ346" s="3">
        <f>IF(tblOrdenes[[#This Row],[orden]]="","",tblOrdenes[[#This Row],[orden]]&amp;IF(tblOrdenes[[#This Row],[operacion]]="","0010",tblOrdenes[[#This Row],[operacion]]))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2" t="n"/>
      <c r="K347" s="3" t="n"/>
      <c r="L347" s="11" t="n"/>
      <c r="M3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7" s="3">
        <f>IF(tblOrdenes[[#This Row],[fecha_inicio]]="","",YEAR(tblOrdenes[[#This Row],[fecha_inicio]]))</f>
        <v/>
      </c>
      <c r="Q347" s="3">
        <f>IF(tblOrdenes[[#This Row],[fecha_inicio]]="","",MONTH(tblOrdenes[[#This Row],[fecha_inicio]]))</f>
        <v/>
      </c>
      <c r="R347" s="3">
        <f>IF(tblOrdenes[[#This Row],[fecha_inicio]]="","",INDEX(lista_dias,WEEKDAY(tblOrdenes[[#This Row],[fecha_inicio]],2)))</f>
        <v/>
      </c>
      <c r="S3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7" s="3">
        <f>IF(tblOrdenes[[#This Row],[tipo_ot]]="","",_xlfn.XLOOKUP(tblOrdenes[[#This Row],[tipo_ot]],tblTiposOT[codigo],tblTiposOT[clasificacion],"sin_clasificar"))</f>
        <v/>
      </c>
      <c r="U347" s="3">
        <f>IF(tblOrdenes[[#This Row],[centro_costo]]="","",_xlfn.XLOOKUP(tblOrdenes[[#This Row],[centro_costo]],tblCECO[codigo],tblCECO[linea],"(sin catálogo)"))</f>
        <v/>
      </c>
      <c r="V347" s="3">
        <f>IF(tblOrdenes[[#This Row],[centro_costo]]="","",_xlfn.XLOOKUP(tblOrdenes[[#This Row],[centro_costo]],tblCECO[codigo],tblCECO[area],"(sin catálogo)"))</f>
        <v/>
      </c>
      <c r="W3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7" s="3">
        <f>IF(tblOrdenes[[#This Row],[centro_costo]]="","",_xlfn.XLOOKUP(tblOrdenes[[#This Row],[centro_costo]],tblCECO[codigo],tblCECO[coordinador],"(sin catálogo)"))</f>
        <v/>
      </c>
      <c r="Y347" s="3">
        <f>IF(tblOrdenes[[#This Row],[puesto_trabajo]]="","",_xlfn.XLOOKUP(tblOrdenes[[#This Row],[puesto_trabajo]],tblPuestos[codigo],tblPuestos[especialidad],"(sin catálogo)"))</f>
        <v/>
      </c>
      <c r="Z347" s="3">
        <f>IF(tblOrdenes[[#This Row],[cod_actividad]]="","",_xlfn.XLOOKUP(tblOrdenes[[#This Row],[cod_actividad]],tblActividades[codigo],tblActividades[descripcion],"(sin catálogo)"))</f>
        <v/>
      </c>
      <c r="AA347" s="13">
        <f>IF(tblOrdenes[[#This Row],[fecha_inicio]]="","",TODAY()-tblOrdenes[[#This Row],[fecha_inicio]])</f>
        <v/>
      </c>
      <c r="AB3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7" s="3">
        <f>IF(tblOrdenes[[#This Row],[backlog_habiles]]="","",IF(tblOrdenes[[#This Row],[backlog_habiles]]&lt;0,"FUTURO",IF(tblOrdenes[[#This Row],[backlog_habiles]]&gt;p_dias_backlog_max,"BACKLOG","MES CORRIENTE")))</f>
        <v/>
      </c>
      <c r="AD347" s="3">
        <f>IF(tblOrdenes[[#This Row],[backlog_habiles]]="",FALSE,AND(tblOrdenes[[#This Row],[backlog_habiles]]&gt;p_dias_backlog_min,tblOrdenes[[#This Row],[backlog_habiles]]&lt;=p_dias_backlog_max))</f>
        <v/>
      </c>
      <c r="AE347" s="6" t="n"/>
      <c r="AF3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7" s="11">
        <f>IF(tblOrdenes[[#This Row],[orden]]="","",_xlfn.XLOOKUP(tblOrdenes[[#This Row],[id_operacion]],tblEjecucion[id_operacion],tblEjecucion[precio],0))</f>
        <v/>
      </c>
      <c r="AJ347" s="11">
        <f>IF(tblOrdenes[[#This Row],[orden]]="","",MAX(0,_xlfn.XLOOKUP(tblOrdenes[[#This Row],[id_operacion]],tblEjecucion[id_operacion],tblEjecucion[costo_plan_total],0)-tblOrdenes[[#This Row],[costo_servicio]]))</f>
        <v/>
      </c>
      <c r="AK347" s="11">
        <f>IF(tblOrdenes[[#This Row],[orden]]="","",tblOrdenes[[#This Row],[costo_servicio]]+tblOrdenes[[#This Row],[costo_materiales]])</f>
        <v/>
      </c>
      <c r="AL347" s="6" t="n"/>
      <c r="AM347" s="6" t="n"/>
      <c r="AN347" s="6" t="n"/>
      <c r="AO347" s="3">
        <f>IF(tblOrdenes[[#This Row],[link_checklist]]="","",HYPERLINK(p_ruta_base_checklists&amp;tblOrdenes[[#This Row],[link_checklist]],"abrir"))</f>
        <v/>
      </c>
      <c r="AP347" s="6" t="n"/>
      <c r="AQ347" s="3">
        <f>IF(tblOrdenes[[#This Row],[orden]]="","",tblOrdenes[[#This Row],[orden]]&amp;IF(tblOrdenes[[#This Row],[operacion]]="","0010",tblOrdenes[[#This Row],[operacion]]))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2" t="n"/>
      <c r="K348" s="3" t="n"/>
      <c r="L348" s="11" t="n"/>
      <c r="M3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8" s="3">
        <f>IF(tblOrdenes[[#This Row],[fecha_inicio]]="","",YEAR(tblOrdenes[[#This Row],[fecha_inicio]]))</f>
        <v/>
      </c>
      <c r="Q348" s="3">
        <f>IF(tblOrdenes[[#This Row],[fecha_inicio]]="","",MONTH(tblOrdenes[[#This Row],[fecha_inicio]]))</f>
        <v/>
      </c>
      <c r="R348" s="3">
        <f>IF(tblOrdenes[[#This Row],[fecha_inicio]]="","",INDEX(lista_dias,WEEKDAY(tblOrdenes[[#This Row],[fecha_inicio]],2)))</f>
        <v/>
      </c>
      <c r="S3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8" s="3">
        <f>IF(tblOrdenes[[#This Row],[tipo_ot]]="","",_xlfn.XLOOKUP(tblOrdenes[[#This Row],[tipo_ot]],tblTiposOT[codigo],tblTiposOT[clasificacion],"sin_clasificar"))</f>
        <v/>
      </c>
      <c r="U348" s="3">
        <f>IF(tblOrdenes[[#This Row],[centro_costo]]="","",_xlfn.XLOOKUP(tblOrdenes[[#This Row],[centro_costo]],tblCECO[codigo],tblCECO[linea],"(sin catálogo)"))</f>
        <v/>
      </c>
      <c r="V348" s="3">
        <f>IF(tblOrdenes[[#This Row],[centro_costo]]="","",_xlfn.XLOOKUP(tblOrdenes[[#This Row],[centro_costo]],tblCECO[codigo],tblCECO[area],"(sin catálogo)"))</f>
        <v/>
      </c>
      <c r="W3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8" s="3">
        <f>IF(tblOrdenes[[#This Row],[centro_costo]]="","",_xlfn.XLOOKUP(tblOrdenes[[#This Row],[centro_costo]],tblCECO[codigo],tblCECO[coordinador],"(sin catálogo)"))</f>
        <v/>
      </c>
      <c r="Y348" s="3">
        <f>IF(tblOrdenes[[#This Row],[puesto_trabajo]]="","",_xlfn.XLOOKUP(tblOrdenes[[#This Row],[puesto_trabajo]],tblPuestos[codigo],tblPuestos[especialidad],"(sin catálogo)"))</f>
        <v/>
      </c>
      <c r="Z348" s="3">
        <f>IF(tblOrdenes[[#This Row],[cod_actividad]]="","",_xlfn.XLOOKUP(tblOrdenes[[#This Row],[cod_actividad]],tblActividades[codigo],tblActividades[descripcion],"(sin catálogo)"))</f>
        <v/>
      </c>
      <c r="AA348" s="13">
        <f>IF(tblOrdenes[[#This Row],[fecha_inicio]]="","",TODAY()-tblOrdenes[[#This Row],[fecha_inicio]])</f>
        <v/>
      </c>
      <c r="AB3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8" s="3">
        <f>IF(tblOrdenes[[#This Row],[backlog_habiles]]="","",IF(tblOrdenes[[#This Row],[backlog_habiles]]&lt;0,"FUTURO",IF(tblOrdenes[[#This Row],[backlog_habiles]]&gt;p_dias_backlog_max,"BACKLOG","MES CORRIENTE")))</f>
        <v/>
      </c>
      <c r="AD348" s="3">
        <f>IF(tblOrdenes[[#This Row],[backlog_habiles]]="",FALSE,AND(tblOrdenes[[#This Row],[backlog_habiles]]&gt;p_dias_backlog_min,tblOrdenes[[#This Row],[backlog_habiles]]&lt;=p_dias_backlog_max))</f>
        <v/>
      </c>
      <c r="AE348" s="6" t="n"/>
      <c r="AF3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8" s="11">
        <f>IF(tblOrdenes[[#This Row],[orden]]="","",_xlfn.XLOOKUP(tblOrdenes[[#This Row],[id_operacion]],tblEjecucion[id_operacion],tblEjecucion[precio],0))</f>
        <v/>
      </c>
      <c r="AJ348" s="11">
        <f>IF(tblOrdenes[[#This Row],[orden]]="","",MAX(0,_xlfn.XLOOKUP(tblOrdenes[[#This Row],[id_operacion]],tblEjecucion[id_operacion],tblEjecucion[costo_plan_total],0)-tblOrdenes[[#This Row],[costo_servicio]]))</f>
        <v/>
      </c>
      <c r="AK348" s="11">
        <f>IF(tblOrdenes[[#This Row],[orden]]="","",tblOrdenes[[#This Row],[costo_servicio]]+tblOrdenes[[#This Row],[costo_materiales]])</f>
        <v/>
      </c>
      <c r="AL348" s="6" t="n"/>
      <c r="AM348" s="6" t="n"/>
      <c r="AN348" s="6" t="n"/>
      <c r="AO348" s="3">
        <f>IF(tblOrdenes[[#This Row],[link_checklist]]="","",HYPERLINK(p_ruta_base_checklists&amp;tblOrdenes[[#This Row],[link_checklist]],"abrir"))</f>
        <v/>
      </c>
      <c r="AP348" s="6" t="n"/>
      <c r="AQ348" s="3">
        <f>IF(tblOrdenes[[#This Row],[orden]]="","",tblOrdenes[[#This Row],[orden]]&amp;IF(tblOrdenes[[#This Row],[operacion]]="","0010",tblOrdenes[[#This Row],[operacion]]))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2" t="n"/>
      <c r="K349" s="3" t="n"/>
      <c r="L349" s="11" t="n"/>
      <c r="M3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9" s="3">
        <f>IF(tblOrdenes[[#This Row],[fecha_inicio]]="","",YEAR(tblOrdenes[[#This Row],[fecha_inicio]]))</f>
        <v/>
      </c>
      <c r="Q349" s="3">
        <f>IF(tblOrdenes[[#This Row],[fecha_inicio]]="","",MONTH(tblOrdenes[[#This Row],[fecha_inicio]]))</f>
        <v/>
      </c>
      <c r="R349" s="3">
        <f>IF(tblOrdenes[[#This Row],[fecha_inicio]]="","",INDEX(lista_dias,WEEKDAY(tblOrdenes[[#This Row],[fecha_inicio]],2)))</f>
        <v/>
      </c>
      <c r="S3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9" s="3">
        <f>IF(tblOrdenes[[#This Row],[tipo_ot]]="","",_xlfn.XLOOKUP(tblOrdenes[[#This Row],[tipo_ot]],tblTiposOT[codigo],tblTiposOT[clasificacion],"sin_clasificar"))</f>
        <v/>
      </c>
      <c r="U349" s="3">
        <f>IF(tblOrdenes[[#This Row],[centro_costo]]="","",_xlfn.XLOOKUP(tblOrdenes[[#This Row],[centro_costo]],tblCECO[codigo],tblCECO[linea],"(sin catálogo)"))</f>
        <v/>
      </c>
      <c r="V349" s="3">
        <f>IF(tblOrdenes[[#This Row],[centro_costo]]="","",_xlfn.XLOOKUP(tblOrdenes[[#This Row],[centro_costo]],tblCECO[codigo],tblCECO[area],"(sin catálogo)"))</f>
        <v/>
      </c>
      <c r="W3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9" s="3">
        <f>IF(tblOrdenes[[#This Row],[centro_costo]]="","",_xlfn.XLOOKUP(tblOrdenes[[#This Row],[centro_costo]],tblCECO[codigo],tblCECO[coordinador],"(sin catálogo)"))</f>
        <v/>
      </c>
      <c r="Y349" s="3">
        <f>IF(tblOrdenes[[#This Row],[puesto_trabajo]]="","",_xlfn.XLOOKUP(tblOrdenes[[#This Row],[puesto_trabajo]],tblPuestos[codigo],tblPuestos[especialidad],"(sin catálogo)"))</f>
        <v/>
      </c>
      <c r="Z349" s="3">
        <f>IF(tblOrdenes[[#This Row],[cod_actividad]]="","",_xlfn.XLOOKUP(tblOrdenes[[#This Row],[cod_actividad]],tblActividades[codigo],tblActividades[descripcion],"(sin catálogo)"))</f>
        <v/>
      </c>
      <c r="AA349" s="13">
        <f>IF(tblOrdenes[[#This Row],[fecha_inicio]]="","",TODAY()-tblOrdenes[[#This Row],[fecha_inicio]])</f>
        <v/>
      </c>
      <c r="AB3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9" s="3">
        <f>IF(tblOrdenes[[#This Row],[backlog_habiles]]="","",IF(tblOrdenes[[#This Row],[backlog_habiles]]&lt;0,"FUTURO",IF(tblOrdenes[[#This Row],[backlog_habiles]]&gt;p_dias_backlog_max,"BACKLOG","MES CORRIENTE")))</f>
        <v/>
      </c>
      <c r="AD349" s="3">
        <f>IF(tblOrdenes[[#This Row],[backlog_habiles]]="",FALSE,AND(tblOrdenes[[#This Row],[backlog_habiles]]&gt;p_dias_backlog_min,tblOrdenes[[#This Row],[backlog_habiles]]&lt;=p_dias_backlog_max))</f>
        <v/>
      </c>
      <c r="AE349" s="6" t="n"/>
      <c r="AF3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9" s="11">
        <f>IF(tblOrdenes[[#This Row],[orden]]="","",_xlfn.XLOOKUP(tblOrdenes[[#This Row],[id_operacion]],tblEjecucion[id_operacion],tblEjecucion[precio],0))</f>
        <v/>
      </c>
      <c r="AJ349" s="11">
        <f>IF(tblOrdenes[[#This Row],[orden]]="","",MAX(0,_xlfn.XLOOKUP(tblOrdenes[[#This Row],[id_operacion]],tblEjecucion[id_operacion],tblEjecucion[costo_plan_total],0)-tblOrdenes[[#This Row],[costo_servicio]]))</f>
        <v/>
      </c>
      <c r="AK349" s="11">
        <f>IF(tblOrdenes[[#This Row],[orden]]="","",tblOrdenes[[#This Row],[costo_servicio]]+tblOrdenes[[#This Row],[costo_materiales]])</f>
        <v/>
      </c>
      <c r="AL349" s="6" t="n"/>
      <c r="AM349" s="6" t="n"/>
      <c r="AN349" s="6" t="n"/>
      <c r="AO349" s="3">
        <f>IF(tblOrdenes[[#This Row],[link_checklist]]="","",HYPERLINK(p_ruta_base_checklists&amp;tblOrdenes[[#This Row],[link_checklist]],"abrir"))</f>
        <v/>
      </c>
      <c r="AP349" s="6" t="n"/>
      <c r="AQ349" s="3">
        <f>IF(tblOrdenes[[#This Row],[orden]]="","",tblOrdenes[[#This Row],[orden]]&amp;IF(tblOrdenes[[#This Row],[operacion]]="","0010",tblOrdenes[[#This Row],[operacion]]))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2" t="n"/>
      <c r="K350" s="3" t="n"/>
      <c r="L350" s="11" t="n"/>
      <c r="M3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0" s="3">
        <f>IF(tblOrdenes[[#This Row],[fecha_inicio]]="","",YEAR(tblOrdenes[[#This Row],[fecha_inicio]]))</f>
        <v/>
      </c>
      <c r="Q350" s="3">
        <f>IF(tblOrdenes[[#This Row],[fecha_inicio]]="","",MONTH(tblOrdenes[[#This Row],[fecha_inicio]]))</f>
        <v/>
      </c>
      <c r="R350" s="3">
        <f>IF(tblOrdenes[[#This Row],[fecha_inicio]]="","",INDEX(lista_dias,WEEKDAY(tblOrdenes[[#This Row],[fecha_inicio]],2)))</f>
        <v/>
      </c>
      <c r="S3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0" s="3">
        <f>IF(tblOrdenes[[#This Row],[tipo_ot]]="","",_xlfn.XLOOKUP(tblOrdenes[[#This Row],[tipo_ot]],tblTiposOT[codigo],tblTiposOT[clasificacion],"sin_clasificar"))</f>
        <v/>
      </c>
      <c r="U350" s="3">
        <f>IF(tblOrdenes[[#This Row],[centro_costo]]="","",_xlfn.XLOOKUP(tblOrdenes[[#This Row],[centro_costo]],tblCECO[codigo],tblCECO[linea],"(sin catálogo)"))</f>
        <v/>
      </c>
      <c r="V350" s="3">
        <f>IF(tblOrdenes[[#This Row],[centro_costo]]="","",_xlfn.XLOOKUP(tblOrdenes[[#This Row],[centro_costo]],tblCECO[codigo],tblCECO[area],"(sin catálogo)"))</f>
        <v/>
      </c>
      <c r="W3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0" s="3">
        <f>IF(tblOrdenes[[#This Row],[centro_costo]]="","",_xlfn.XLOOKUP(tblOrdenes[[#This Row],[centro_costo]],tblCECO[codigo],tblCECO[coordinador],"(sin catálogo)"))</f>
        <v/>
      </c>
      <c r="Y350" s="3">
        <f>IF(tblOrdenes[[#This Row],[puesto_trabajo]]="","",_xlfn.XLOOKUP(tblOrdenes[[#This Row],[puesto_trabajo]],tblPuestos[codigo],tblPuestos[especialidad],"(sin catálogo)"))</f>
        <v/>
      </c>
      <c r="Z350" s="3">
        <f>IF(tblOrdenes[[#This Row],[cod_actividad]]="","",_xlfn.XLOOKUP(tblOrdenes[[#This Row],[cod_actividad]],tblActividades[codigo],tblActividades[descripcion],"(sin catálogo)"))</f>
        <v/>
      </c>
      <c r="AA350" s="13">
        <f>IF(tblOrdenes[[#This Row],[fecha_inicio]]="","",TODAY()-tblOrdenes[[#This Row],[fecha_inicio]])</f>
        <v/>
      </c>
      <c r="AB3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0" s="3">
        <f>IF(tblOrdenes[[#This Row],[backlog_habiles]]="","",IF(tblOrdenes[[#This Row],[backlog_habiles]]&lt;0,"FUTURO",IF(tblOrdenes[[#This Row],[backlog_habiles]]&gt;p_dias_backlog_max,"BACKLOG","MES CORRIENTE")))</f>
        <v/>
      </c>
      <c r="AD350" s="3">
        <f>IF(tblOrdenes[[#This Row],[backlog_habiles]]="",FALSE,AND(tblOrdenes[[#This Row],[backlog_habiles]]&gt;p_dias_backlog_min,tblOrdenes[[#This Row],[backlog_habiles]]&lt;=p_dias_backlog_max))</f>
        <v/>
      </c>
      <c r="AE350" s="6" t="n"/>
      <c r="AF3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0" s="11">
        <f>IF(tblOrdenes[[#This Row],[orden]]="","",_xlfn.XLOOKUP(tblOrdenes[[#This Row],[id_operacion]],tblEjecucion[id_operacion],tblEjecucion[precio],0))</f>
        <v/>
      </c>
      <c r="AJ350" s="11">
        <f>IF(tblOrdenes[[#This Row],[orden]]="","",MAX(0,_xlfn.XLOOKUP(tblOrdenes[[#This Row],[id_operacion]],tblEjecucion[id_operacion],tblEjecucion[costo_plan_total],0)-tblOrdenes[[#This Row],[costo_servicio]]))</f>
        <v/>
      </c>
      <c r="AK350" s="11">
        <f>IF(tblOrdenes[[#This Row],[orden]]="","",tblOrdenes[[#This Row],[costo_servicio]]+tblOrdenes[[#This Row],[costo_materiales]])</f>
        <v/>
      </c>
      <c r="AL350" s="6" t="n"/>
      <c r="AM350" s="6" t="n"/>
      <c r="AN350" s="6" t="n"/>
      <c r="AO350" s="3">
        <f>IF(tblOrdenes[[#This Row],[link_checklist]]="","",HYPERLINK(p_ruta_base_checklists&amp;tblOrdenes[[#This Row],[link_checklist]],"abrir"))</f>
        <v/>
      </c>
      <c r="AP350" s="6" t="n"/>
      <c r="AQ350" s="3">
        <f>IF(tblOrdenes[[#This Row],[orden]]="","",tblOrdenes[[#This Row],[orden]]&amp;IF(tblOrdenes[[#This Row],[operacion]]="","0010",tblOrdenes[[#This Row],[operacion]]))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2" t="n"/>
      <c r="K351" s="3" t="n"/>
      <c r="L351" s="11" t="n"/>
      <c r="M3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1" s="3">
        <f>IF(tblOrdenes[[#This Row],[fecha_inicio]]="","",YEAR(tblOrdenes[[#This Row],[fecha_inicio]]))</f>
        <v/>
      </c>
      <c r="Q351" s="3">
        <f>IF(tblOrdenes[[#This Row],[fecha_inicio]]="","",MONTH(tblOrdenes[[#This Row],[fecha_inicio]]))</f>
        <v/>
      </c>
      <c r="R351" s="3">
        <f>IF(tblOrdenes[[#This Row],[fecha_inicio]]="","",INDEX(lista_dias,WEEKDAY(tblOrdenes[[#This Row],[fecha_inicio]],2)))</f>
        <v/>
      </c>
      <c r="S3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1" s="3">
        <f>IF(tblOrdenes[[#This Row],[tipo_ot]]="","",_xlfn.XLOOKUP(tblOrdenes[[#This Row],[tipo_ot]],tblTiposOT[codigo],tblTiposOT[clasificacion],"sin_clasificar"))</f>
        <v/>
      </c>
      <c r="U351" s="3">
        <f>IF(tblOrdenes[[#This Row],[centro_costo]]="","",_xlfn.XLOOKUP(tblOrdenes[[#This Row],[centro_costo]],tblCECO[codigo],tblCECO[linea],"(sin catálogo)"))</f>
        <v/>
      </c>
      <c r="V351" s="3">
        <f>IF(tblOrdenes[[#This Row],[centro_costo]]="","",_xlfn.XLOOKUP(tblOrdenes[[#This Row],[centro_costo]],tblCECO[codigo],tblCECO[area],"(sin catálogo)"))</f>
        <v/>
      </c>
      <c r="W3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1" s="3">
        <f>IF(tblOrdenes[[#This Row],[centro_costo]]="","",_xlfn.XLOOKUP(tblOrdenes[[#This Row],[centro_costo]],tblCECO[codigo],tblCECO[coordinador],"(sin catálogo)"))</f>
        <v/>
      </c>
      <c r="Y351" s="3">
        <f>IF(tblOrdenes[[#This Row],[puesto_trabajo]]="","",_xlfn.XLOOKUP(tblOrdenes[[#This Row],[puesto_trabajo]],tblPuestos[codigo],tblPuestos[especialidad],"(sin catálogo)"))</f>
        <v/>
      </c>
      <c r="Z351" s="3">
        <f>IF(tblOrdenes[[#This Row],[cod_actividad]]="","",_xlfn.XLOOKUP(tblOrdenes[[#This Row],[cod_actividad]],tblActividades[codigo],tblActividades[descripcion],"(sin catálogo)"))</f>
        <v/>
      </c>
      <c r="AA351" s="13">
        <f>IF(tblOrdenes[[#This Row],[fecha_inicio]]="","",TODAY()-tblOrdenes[[#This Row],[fecha_inicio]])</f>
        <v/>
      </c>
      <c r="AB3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1" s="3">
        <f>IF(tblOrdenes[[#This Row],[backlog_habiles]]="","",IF(tblOrdenes[[#This Row],[backlog_habiles]]&lt;0,"FUTURO",IF(tblOrdenes[[#This Row],[backlog_habiles]]&gt;p_dias_backlog_max,"BACKLOG","MES CORRIENTE")))</f>
        <v/>
      </c>
      <c r="AD351" s="3">
        <f>IF(tblOrdenes[[#This Row],[backlog_habiles]]="",FALSE,AND(tblOrdenes[[#This Row],[backlog_habiles]]&gt;p_dias_backlog_min,tblOrdenes[[#This Row],[backlog_habiles]]&lt;=p_dias_backlog_max))</f>
        <v/>
      </c>
      <c r="AE351" s="6" t="n"/>
      <c r="AF3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1" s="11">
        <f>IF(tblOrdenes[[#This Row],[orden]]="","",_xlfn.XLOOKUP(tblOrdenes[[#This Row],[id_operacion]],tblEjecucion[id_operacion],tblEjecucion[precio],0))</f>
        <v/>
      </c>
      <c r="AJ351" s="11">
        <f>IF(tblOrdenes[[#This Row],[orden]]="","",MAX(0,_xlfn.XLOOKUP(tblOrdenes[[#This Row],[id_operacion]],tblEjecucion[id_operacion],tblEjecucion[costo_plan_total],0)-tblOrdenes[[#This Row],[costo_servicio]]))</f>
        <v/>
      </c>
      <c r="AK351" s="11">
        <f>IF(tblOrdenes[[#This Row],[orden]]="","",tblOrdenes[[#This Row],[costo_servicio]]+tblOrdenes[[#This Row],[costo_materiales]])</f>
        <v/>
      </c>
      <c r="AL351" s="6" t="n"/>
      <c r="AM351" s="6" t="n"/>
      <c r="AN351" s="6" t="n"/>
      <c r="AO351" s="3">
        <f>IF(tblOrdenes[[#This Row],[link_checklist]]="","",HYPERLINK(p_ruta_base_checklists&amp;tblOrdenes[[#This Row],[link_checklist]],"abrir"))</f>
        <v/>
      </c>
      <c r="AP351" s="6" t="n"/>
      <c r="AQ351" s="3">
        <f>IF(tblOrdenes[[#This Row],[orden]]="","",tblOrdenes[[#This Row],[orden]]&amp;IF(tblOrdenes[[#This Row],[operacion]]="","0010",tblOrdenes[[#This Row],[operacion]]))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2" t="n"/>
      <c r="K352" s="3" t="n"/>
      <c r="L352" s="11" t="n"/>
      <c r="M3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2" s="3">
        <f>IF(tblOrdenes[[#This Row],[fecha_inicio]]="","",YEAR(tblOrdenes[[#This Row],[fecha_inicio]]))</f>
        <v/>
      </c>
      <c r="Q352" s="3">
        <f>IF(tblOrdenes[[#This Row],[fecha_inicio]]="","",MONTH(tblOrdenes[[#This Row],[fecha_inicio]]))</f>
        <v/>
      </c>
      <c r="R352" s="3">
        <f>IF(tblOrdenes[[#This Row],[fecha_inicio]]="","",INDEX(lista_dias,WEEKDAY(tblOrdenes[[#This Row],[fecha_inicio]],2)))</f>
        <v/>
      </c>
      <c r="S3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2" s="3">
        <f>IF(tblOrdenes[[#This Row],[tipo_ot]]="","",_xlfn.XLOOKUP(tblOrdenes[[#This Row],[tipo_ot]],tblTiposOT[codigo],tblTiposOT[clasificacion],"sin_clasificar"))</f>
        <v/>
      </c>
      <c r="U352" s="3">
        <f>IF(tblOrdenes[[#This Row],[centro_costo]]="","",_xlfn.XLOOKUP(tblOrdenes[[#This Row],[centro_costo]],tblCECO[codigo],tblCECO[linea],"(sin catálogo)"))</f>
        <v/>
      </c>
      <c r="V352" s="3">
        <f>IF(tblOrdenes[[#This Row],[centro_costo]]="","",_xlfn.XLOOKUP(tblOrdenes[[#This Row],[centro_costo]],tblCECO[codigo],tblCECO[area],"(sin catálogo)"))</f>
        <v/>
      </c>
      <c r="W3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2" s="3">
        <f>IF(tblOrdenes[[#This Row],[centro_costo]]="","",_xlfn.XLOOKUP(tblOrdenes[[#This Row],[centro_costo]],tblCECO[codigo],tblCECO[coordinador],"(sin catálogo)"))</f>
        <v/>
      </c>
      <c r="Y352" s="3">
        <f>IF(tblOrdenes[[#This Row],[puesto_trabajo]]="","",_xlfn.XLOOKUP(tblOrdenes[[#This Row],[puesto_trabajo]],tblPuestos[codigo],tblPuestos[especialidad],"(sin catálogo)"))</f>
        <v/>
      </c>
      <c r="Z352" s="3">
        <f>IF(tblOrdenes[[#This Row],[cod_actividad]]="","",_xlfn.XLOOKUP(tblOrdenes[[#This Row],[cod_actividad]],tblActividades[codigo],tblActividades[descripcion],"(sin catálogo)"))</f>
        <v/>
      </c>
      <c r="AA352" s="13">
        <f>IF(tblOrdenes[[#This Row],[fecha_inicio]]="","",TODAY()-tblOrdenes[[#This Row],[fecha_inicio]])</f>
        <v/>
      </c>
      <c r="AB3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2" s="3">
        <f>IF(tblOrdenes[[#This Row],[backlog_habiles]]="","",IF(tblOrdenes[[#This Row],[backlog_habiles]]&lt;0,"FUTURO",IF(tblOrdenes[[#This Row],[backlog_habiles]]&gt;p_dias_backlog_max,"BACKLOG","MES CORRIENTE")))</f>
        <v/>
      </c>
      <c r="AD352" s="3">
        <f>IF(tblOrdenes[[#This Row],[backlog_habiles]]="",FALSE,AND(tblOrdenes[[#This Row],[backlog_habiles]]&gt;p_dias_backlog_min,tblOrdenes[[#This Row],[backlog_habiles]]&lt;=p_dias_backlog_max))</f>
        <v/>
      </c>
      <c r="AE352" s="6" t="n"/>
      <c r="AF3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2" s="11">
        <f>IF(tblOrdenes[[#This Row],[orden]]="","",_xlfn.XLOOKUP(tblOrdenes[[#This Row],[id_operacion]],tblEjecucion[id_operacion],tblEjecucion[precio],0))</f>
        <v/>
      </c>
      <c r="AJ352" s="11">
        <f>IF(tblOrdenes[[#This Row],[orden]]="","",MAX(0,_xlfn.XLOOKUP(tblOrdenes[[#This Row],[id_operacion]],tblEjecucion[id_operacion],tblEjecucion[costo_plan_total],0)-tblOrdenes[[#This Row],[costo_servicio]]))</f>
        <v/>
      </c>
      <c r="AK352" s="11">
        <f>IF(tblOrdenes[[#This Row],[orden]]="","",tblOrdenes[[#This Row],[costo_servicio]]+tblOrdenes[[#This Row],[costo_materiales]])</f>
        <v/>
      </c>
      <c r="AL352" s="6" t="n"/>
      <c r="AM352" s="6" t="n"/>
      <c r="AN352" s="6" t="n"/>
      <c r="AO352" s="3">
        <f>IF(tblOrdenes[[#This Row],[link_checklist]]="","",HYPERLINK(p_ruta_base_checklists&amp;tblOrdenes[[#This Row],[link_checklist]],"abrir"))</f>
        <v/>
      </c>
      <c r="AP352" s="6" t="n"/>
      <c r="AQ352" s="3">
        <f>IF(tblOrdenes[[#This Row],[orden]]="","",tblOrdenes[[#This Row],[orden]]&amp;IF(tblOrdenes[[#This Row],[operacion]]="","0010",tblOrdenes[[#This Row],[operacion]]))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2" t="n"/>
      <c r="K353" s="3" t="n"/>
      <c r="L353" s="11" t="n"/>
      <c r="M3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3" s="3">
        <f>IF(tblOrdenes[[#This Row],[fecha_inicio]]="","",YEAR(tblOrdenes[[#This Row],[fecha_inicio]]))</f>
        <v/>
      </c>
      <c r="Q353" s="3">
        <f>IF(tblOrdenes[[#This Row],[fecha_inicio]]="","",MONTH(tblOrdenes[[#This Row],[fecha_inicio]]))</f>
        <v/>
      </c>
      <c r="R353" s="3">
        <f>IF(tblOrdenes[[#This Row],[fecha_inicio]]="","",INDEX(lista_dias,WEEKDAY(tblOrdenes[[#This Row],[fecha_inicio]],2)))</f>
        <v/>
      </c>
      <c r="S3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3" s="3">
        <f>IF(tblOrdenes[[#This Row],[tipo_ot]]="","",_xlfn.XLOOKUP(tblOrdenes[[#This Row],[tipo_ot]],tblTiposOT[codigo],tblTiposOT[clasificacion],"sin_clasificar"))</f>
        <v/>
      </c>
      <c r="U353" s="3">
        <f>IF(tblOrdenes[[#This Row],[centro_costo]]="","",_xlfn.XLOOKUP(tblOrdenes[[#This Row],[centro_costo]],tblCECO[codigo],tblCECO[linea],"(sin catálogo)"))</f>
        <v/>
      </c>
      <c r="V353" s="3">
        <f>IF(tblOrdenes[[#This Row],[centro_costo]]="","",_xlfn.XLOOKUP(tblOrdenes[[#This Row],[centro_costo]],tblCECO[codigo],tblCECO[area],"(sin catálogo)"))</f>
        <v/>
      </c>
      <c r="W3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3" s="3">
        <f>IF(tblOrdenes[[#This Row],[centro_costo]]="","",_xlfn.XLOOKUP(tblOrdenes[[#This Row],[centro_costo]],tblCECO[codigo],tblCECO[coordinador],"(sin catálogo)"))</f>
        <v/>
      </c>
      <c r="Y353" s="3">
        <f>IF(tblOrdenes[[#This Row],[puesto_trabajo]]="","",_xlfn.XLOOKUP(tblOrdenes[[#This Row],[puesto_trabajo]],tblPuestos[codigo],tblPuestos[especialidad],"(sin catálogo)"))</f>
        <v/>
      </c>
      <c r="Z353" s="3">
        <f>IF(tblOrdenes[[#This Row],[cod_actividad]]="","",_xlfn.XLOOKUP(tblOrdenes[[#This Row],[cod_actividad]],tblActividades[codigo],tblActividades[descripcion],"(sin catálogo)"))</f>
        <v/>
      </c>
      <c r="AA353" s="13">
        <f>IF(tblOrdenes[[#This Row],[fecha_inicio]]="","",TODAY()-tblOrdenes[[#This Row],[fecha_inicio]])</f>
        <v/>
      </c>
      <c r="AB3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3" s="3">
        <f>IF(tblOrdenes[[#This Row],[backlog_habiles]]="","",IF(tblOrdenes[[#This Row],[backlog_habiles]]&lt;0,"FUTURO",IF(tblOrdenes[[#This Row],[backlog_habiles]]&gt;p_dias_backlog_max,"BACKLOG","MES CORRIENTE")))</f>
        <v/>
      </c>
      <c r="AD353" s="3">
        <f>IF(tblOrdenes[[#This Row],[backlog_habiles]]="",FALSE,AND(tblOrdenes[[#This Row],[backlog_habiles]]&gt;p_dias_backlog_min,tblOrdenes[[#This Row],[backlog_habiles]]&lt;=p_dias_backlog_max))</f>
        <v/>
      </c>
      <c r="AE353" s="6" t="n"/>
      <c r="AF3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3" s="11">
        <f>IF(tblOrdenes[[#This Row],[orden]]="","",_xlfn.XLOOKUP(tblOrdenes[[#This Row],[id_operacion]],tblEjecucion[id_operacion],tblEjecucion[precio],0))</f>
        <v/>
      </c>
      <c r="AJ353" s="11">
        <f>IF(tblOrdenes[[#This Row],[orden]]="","",MAX(0,_xlfn.XLOOKUP(tblOrdenes[[#This Row],[id_operacion]],tblEjecucion[id_operacion],tblEjecucion[costo_plan_total],0)-tblOrdenes[[#This Row],[costo_servicio]]))</f>
        <v/>
      </c>
      <c r="AK353" s="11">
        <f>IF(tblOrdenes[[#This Row],[orden]]="","",tblOrdenes[[#This Row],[costo_servicio]]+tblOrdenes[[#This Row],[costo_materiales]])</f>
        <v/>
      </c>
      <c r="AL353" s="6" t="n"/>
      <c r="AM353" s="6" t="n"/>
      <c r="AN353" s="6" t="n"/>
      <c r="AO353" s="3">
        <f>IF(tblOrdenes[[#This Row],[link_checklist]]="","",HYPERLINK(p_ruta_base_checklists&amp;tblOrdenes[[#This Row],[link_checklist]],"abrir"))</f>
        <v/>
      </c>
      <c r="AP353" s="6" t="n"/>
      <c r="AQ353" s="3">
        <f>IF(tblOrdenes[[#This Row],[orden]]="","",tblOrdenes[[#This Row],[orden]]&amp;IF(tblOrdenes[[#This Row],[operacion]]="","0010",tblOrdenes[[#This Row],[operacion]]))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2" t="n"/>
      <c r="K354" s="3" t="n"/>
      <c r="L354" s="11" t="n"/>
      <c r="M3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4" s="3">
        <f>IF(tblOrdenes[[#This Row],[fecha_inicio]]="","",YEAR(tblOrdenes[[#This Row],[fecha_inicio]]))</f>
        <v/>
      </c>
      <c r="Q354" s="3">
        <f>IF(tblOrdenes[[#This Row],[fecha_inicio]]="","",MONTH(tblOrdenes[[#This Row],[fecha_inicio]]))</f>
        <v/>
      </c>
      <c r="R354" s="3">
        <f>IF(tblOrdenes[[#This Row],[fecha_inicio]]="","",INDEX(lista_dias,WEEKDAY(tblOrdenes[[#This Row],[fecha_inicio]],2)))</f>
        <v/>
      </c>
      <c r="S3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4" s="3">
        <f>IF(tblOrdenes[[#This Row],[tipo_ot]]="","",_xlfn.XLOOKUP(tblOrdenes[[#This Row],[tipo_ot]],tblTiposOT[codigo],tblTiposOT[clasificacion],"sin_clasificar"))</f>
        <v/>
      </c>
      <c r="U354" s="3">
        <f>IF(tblOrdenes[[#This Row],[centro_costo]]="","",_xlfn.XLOOKUP(tblOrdenes[[#This Row],[centro_costo]],tblCECO[codigo],tblCECO[linea],"(sin catálogo)"))</f>
        <v/>
      </c>
      <c r="V354" s="3">
        <f>IF(tblOrdenes[[#This Row],[centro_costo]]="","",_xlfn.XLOOKUP(tblOrdenes[[#This Row],[centro_costo]],tblCECO[codigo],tblCECO[area],"(sin catálogo)"))</f>
        <v/>
      </c>
      <c r="W3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4" s="3">
        <f>IF(tblOrdenes[[#This Row],[centro_costo]]="","",_xlfn.XLOOKUP(tblOrdenes[[#This Row],[centro_costo]],tblCECO[codigo],tblCECO[coordinador],"(sin catálogo)"))</f>
        <v/>
      </c>
      <c r="Y354" s="3">
        <f>IF(tblOrdenes[[#This Row],[puesto_trabajo]]="","",_xlfn.XLOOKUP(tblOrdenes[[#This Row],[puesto_trabajo]],tblPuestos[codigo],tblPuestos[especialidad],"(sin catálogo)"))</f>
        <v/>
      </c>
      <c r="Z354" s="3">
        <f>IF(tblOrdenes[[#This Row],[cod_actividad]]="","",_xlfn.XLOOKUP(tblOrdenes[[#This Row],[cod_actividad]],tblActividades[codigo],tblActividades[descripcion],"(sin catálogo)"))</f>
        <v/>
      </c>
      <c r="AA354" s="13">
        <f>IF(tblOrdenes[[#This Row],[fecha_inicio]]="","",TODAY()-tblOrdenes[[#This Row],[fecha_inicio]])</f>
        <v/>
      </c>
      <c r="AB3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4" s="3">
        <f>IF(tblOrdenes[[#This Row],[backlog_habiles]]="","",IF(tblOrdenes[[#This Row],[backlog_habiles]]&lt;0,"FUTURO",IF(tblOrdenes[[#This Row],[backlog_habiles]]&gt;p_dias_backlog_max,"BACKLOG","MES CORRIENTE")))</f>
        <v/>
      </c>
      <c r="AD354" s="3">
        <f>IF(tblOrdenes[[#This Row],[backlog_habiles]]="",FALSE,AND(tblOrdenes[[#This Row],[backlog_habiles]]&gt;p_dias_backlog_min,tblOrdenes[[#This Row],[backlog_habiles]]&lt;=p_dias_backlog_max))</f>
        <v/>
      </c>
      <c r="AE354" s="6" t="n"/>
      <c r="AF3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4" s="11">
        <f>IF(tblOrdenes[[#This Row],[orden]]="","",_xlfn.XLOOKUP(tblOrdenes[[#This Row],[id_operacion]],tblEjecucion[id_operacion],tblEjecucion[precio],0))</f>
        <v/>
      </c>
      <c r="AJ354" s="11">
        <f>IF(tblOrdenes[[#This Row],[orden]]="","",MAX(0,_xlfn.XLOOKUP(tblOrdenes[[#This Row],[id_operacion]],tblEjecucion[id_operacion],tblEjecucion[costo_plan_total],0)-tblOrdenes[[#This Row],[costo_servicio]]))</f>
        <v/>
      </c>
      <c r="AK354" s="11">
        <f>IF(tblOrdenes[[#This Row],[orden]]="","",tblOrdenes[[#This Row],[costo_servicio]]+tblOrdenes[[#This Row],[costo_materiales]])</f>
        <v/>
      </c>
      <c r="AL354" s="6" t="n"/>
      <c r="AM354" s="6" t="n"/>
      <c r="AN354" s="6" t="n"/>
      <c r="AO354" s="3">
        <f>IF(tblOrdenes[[#This Row],[link_checklist]]="","",HYPERLINK(p_ruta_base_checklists&amp;tblOrdenes[[#This Row],[link_checklist]],"abrir"))</f>
        <v/>
      </c>
      <c r="AP354" s="6" t="n"/>
      <c r="AQ354" s="3">
        <f>IF(tblOrdenes[[#This Row],[orden]]="","",tblOrdenes[[#This Row],[orden]]&amp;IF(tblOrdenes[[#This Row],[operacion]]="","0010",tblOrdenes[[#This Row],[operacion]]))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2" t="n"/>
      <c r="K355" s="3" t="n"/>
      <c r="L355" s="11" t="n"/>
      <c r="M3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5" s="3">
        <f>IF(tblOrdenes[[#This Row],[fecha_inicio]]="","",YEAR(tblOrdenes[[#This Row],[fecha_inicio]]))</f>
        <v/>
      </c>
      <c r="Q355" s="3">
        <f>IF(tblOrdenes[[#This Row],[fecha_inicio]]="","",MONTH(tblOrdenes[[#This Row],[fecha_inicio]]))</f>
        <v/>
      </c>
      <c r="R355" s="3">
        <f>IF(tblOrdenes[[#This Row],[fecha_inicio]]="","",INDEX(lista_dias,WEEKDAY(tblOrdenes[[#This Row],[fecha_inicio]],2)))</f>
        <v/>
      </c>
      <c r="S3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5" s="3">
        <f>IF(tblOrdenes[[#This Row],[tipo_ot]]="","",_xlfn.XLOOKUP(tblOrdenes[[#This Row],[tipo_ot]],tblTiposOT[codigo],tblTiposOT[clasificacion],"sin_clasificar"))</f>
        <v/>
      </c>
      <c r="U355" s="3">
        <f>IF(tblOrdenes[[#This Row],[centro_costo]]="","",_xlfn.XLOOKUP(tblOrdenes[[#This Row],[centro_costo]],tblCECO[codigo],tblCECO[linea],"(sin catálogo)"))</f>
        <v/>
      </c>
      <c r="V355" s="3">
        <f>IF(tblOrdenes[[#This Row],[centro_costo]]="","",_xlfn.XLOOKUP(tblOrdenes[[#This Row],[centro_costo]],tblCECO[codigo],tblCECO[area],"(sin catálogo)"))</f>
        <v/>
      </c>
      <c r="W3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5" s="3">
        <f>IF(tblOrdenes[[#This Row],[centro_costo]]="","",_xlfn.XLOOKUP(tblOrdenes[[#This Row],[centro_costo]],tblCECO[codigo],tblCECO[coordinador],"(sin catálogo)"))</f>
        <v/>
      </c>
      <c r="Y355" s="3">
        <f>IF(tblOrdenes[[#This Row],[puesto_trabajo]]="","",_xlfn.XLOOKUP(tblOrdenes[[#This Row],[puesto_trabajo]],tblPuestos[codigo],tblPuestos[especialidad],"(sin catálogo)"))</f>
        <v/>
      </c>
      <c r="Z355" s="3">
        <f>IF(tblOrdenes[[#This Row],[cod_actividad]]="","",_xlfn.XLOOKUP(tblOrdenes[[#This Row],[cod_actividad]],tblActividades[codigo],tblActividades[descripcion],"(sin catálogo)"))</f>
        <v/>
      </c>
      <c r="AA355" s="13">
        <f>IF(tblOrdenes[[#This Row],[fecha_inicio]]="","",TODAY()-tblOrdenes[[#This Row],[fecha_inicio]])</f>
        <v/>
      </c>
      <c r="AB3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5" s="3">
        <f>IF(tblOrdenes[[#This Row],[backlog_habiles]]="","",IF(tblOrdenes[[#This Row],[backlog_habiles]]&lt;0,"FUTURO",IF(tblOrdenes[[#This Row],[backlog_habiles]]&gt;p_dias_backlog_max,"BACKLOG","MES CORRIENTE")))</f>
        <v/>
      </c>
      <c r="AD355" s="3">
        <f>IF(tblOrdenes[[#This Row],[backlog_habiles]]="",FALSE,AND(tblOrdenes[[#This Row],[backlog_habiles]]&gt;p_dias_backlog_min,tblOrdenes[[#This Row],[backlog_habiles]]&lt;=p_dias_backlog_max))</f>
        <v/>
      </c>
      <c r="AE355" s="6" t="n"/>
      <c r="AF3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5" s="11">
        <f>IF(tblOrdenes[[#This Row],[orden]]="","",_xlfn.XLOOKUP(tblOrdenes[[#This Row],[id_operacion]],tblEjecucion[id_operacion],tblEjecucion[precio],0))</f>
        <v/>
      </c>
      <c r="AJ355" s="11">
        <f>IF(tblOrdenes[[#This Row],[orden]]="","",MAX(0,_xlfn.XLOOKUP(tblOrdenes[[#This Row],[id_operacion]],tblEjecucion[id_operacion],tblEjecucion[costo_plan_total],0)-tblOrdenes[[#This Row],[costo_servicio]]))</f>
        <v/>
      </c>
      <c r="AK355" s="11">
        <f>IF(tblOrdenes[[#This Row],[orden]]="","",tblOrdenes[[#This Row],[costo_servicio]]+tblOrdenes[[#This Row],[costo_materiales]])</f>
        <v/>
      </c>
      <c r="AL355" s="6" t="n"/>
      <c r="AM355" s="6" t="n"/>
      <c r="AN355" s="6" t="n"/>
      <c r="AO355" s="3">
        <f>IF(tblOrdenes[[#This Row],[link_checklist]]="","",HYPERLINK(p_ruta_base_checklists&amp;tblOrdenes[[#This Row],[link_checklist]],"abrir"))</f>
        <v/>
      </c>
      <c r="AP355" s="6" t="n"/>
      <c r="AQ355" s="3">
        <f>IF(tblOrdenes[[#This Row],[orden]]="","",tblOrdenes[[#This Row],[orden]]&amp;IF(tblOrdenes[[#This Row],[operacion]]="","0010",tblOrdenes[[#This Row],[operacion]]))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2" t="n"/>
      <c r="K356" s="3" t="n"/>
      <c r="L356" s="11" t="n"/>
      <c r="M3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6" s="3">
        <f>IF(tblOrdenes[[#This Row],[fecha_inicio]]="","",YEAR(tblOrdenes[[#This Row],[fecha_inicio]]))</f>
        <v/>
      </c>
      <c r="Q356" s="3">
        <f>IF(tblOrdenes[[#This Row],[fecha_inicio]]="","",MONTH(tblOrdenes[[#This Row],[fecha_inicio]]))</f>
        <v/>
      </c>
      <c r="R356" s="3">
        <f>IF(tblOrdenes[[#This Row],[fecha_inicio]]="","",INDEX(lista_dias,WEEKDAY(tblOrdenes[[#This Row],[fecha_inicio]],2)))</f>
        <v/>
      </c>
      <c r="S3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6" s="3">
        <f>IF(tblOrdenes[[#This Row],[tipo_ot]]="","",_xlfn.XLOOKUP(tblOrdenes[[#This Row],[tipo_ot]],tblTiposOT[codigo],tblTiposOT[clasificacion],"sin_clasificar"))</f>
        <v/>
      </c>
      <c r="U356" s="3">
        <f>IF(tblOrdenes[[#This Row],[centro_costo]]="","",_xlfn.XLOOKUP(tblOrdenes[[#This Row],[centro_costo]],tblCECO[codigo],tblCECO[linea],"(sin catálogo)"))</f>
        <v/>
      </c>
      <c r="V356" s="3">
        <f>IF(tblOrdenes[[#This Row],[centro_costo]]="","",_xlfn.XLOOKUP(tblOrdenes[[#This Row],[centro_costo]],tblCECO[codigo],tblCECO[area],"(sin catálogo)"))</f>
        <v/>
      </c>
      <c r="W3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6" s="3">
        <f>IF(tblOrdenes[[#This Row],[centro_costo]]="","",_xlfn.XLOOKUP(tblOrdenes[[#This Row],[centro_costo]],tblCECO[codigo],tblCECO[coordinador],"(sin catálogo)"))</f>
        <v/>
      </c>
      <c r="Y356" s="3">
        <f>IF(tblOrdenes[[#This Row],[puesto_trabajo]]="","",_xlfn.XLOOKUP(tblOrdenes[[#This Row],[puesto_trabajo]],tblPuestos[codigo],tblPuestos[especialidad],"(sin catálogo)"))</f>
        <v/>
      </c>
      <c r="Z356" s="3">
        <f>IF(tblOrdenes[[#This Row],[cod_actividad]]="","",_xlfn.XLOOKUP(tblOrdenes[[#This Row],[cod_actividad]],tblActividades[codigo],tblActividades[descripcion],"(sin catálogo)"))</f>
        <v/>
      </c>
      <c r="AA356" s="13">
        <f>IF(tblOrdenes[[#This Row],[fecha_inicio]]="","",TODAY()-tblOrdenes[[#This Row],[fecha_inicio]])</f>
        <v/>
      </c>
      <c r="AB3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6" s="3">
        <f>IF(tblOrdenes[[#This Row],[backlog_habiles]]="","",IF(tblOrdenes[[#This Row],[backlog_habiles]]&lt;0,"FUTURO",IF(tblOrdenes[[#This Row],[backlog_habiles]]&gt;p_dias_backlog_max,"BACKLOG","MES CORRIENTE")))</f>
        <v/>
      </c>
      <c r="AD356" s="3">
        <f>IF(tblOrdenes[[#This Row],[backlog_habiles]]="",FALSE,AND(tblOrdenes[[#This Row],[backlog_habiles]]&gt;p_dias_backlog_min,tblOrdenes[[#This Row],[backlog_habiles]]&lt;=p_dias_backlog_max))</f>
        <v/>
      </c>
      <c r="AE356" s="6" t="n"/>
      <c r="AF3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6" s="11">
        <f>IF(tblOrdenes[[#This Row],[orden]]="","",_xlfn.XLOOKUP(tblOrdenes[[#This Row],[id_operacion]],tblEjecucion[id_operacion],tblEjecucion[precio],0))</f>
        <v/>
      </c>
      <c r="AJ356" s="11">
        <f>IF(tblOrdenes[[#This Row],[orden]]="","",MAX(0,_xlfn.XLOOKUP(tblOrdenes[[#This Row],[id_operacion]],tblEjecucion[id_operacion],tblEjecucion[costo_plan_total],0)-tblOrdenes[[#This Row],[costo_servicio]]))</f>
        <v/>
      </c>
      <c r="AK356" s="11">
        <f>IF(tblOrdenes[[#This Row],[orden]]="","",tblOrdenes[[#This Row],[costo_servicio]]+tblOrdenes[[#This Row],[costo_materiales]])</f>
        <v/>
      </c>
      <c r="AL356" s="6" t="n"/>
      <c r="AM356" s="6" t="n"/>
      <c r="AN356" s="6" t="n"/>
      <c r="AO356" s="3">
        <f>IF(tblOrdenes[[#This Row],[link_checklist]]="","",HYPERLINK(p_ruta_base_checklists&amp;tblOrdenes[[#This Row],[link_checklist]],"abrir"))</f>
        <v/>
      </c>
      <c r="AP356" s="6" t="n"/>
      <c r="AQ356" s="3">
        <f>IF(tblOrdenes[[#This Row],[orden]]="","",tblOrdenes[[#This Row],[orden]]&amp;IF(tblOrdenes[[#This Row],[operacion]]="","0010",tblOrdenes[[#This Row],[operacion]]))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2" t="n"/>
      <c r="K357" s="3" t="n"/>
      <c r="L357" s="11" t="n"/>
      <c r="M3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7" s="3">
        <f>IF(tblOrdenes[[#This Row],[fecha_inicio]]="","",YEAR(tblOrdenes[[#This Row],[fecha_inicio]]))</f>
        <v/>
      </c>
      <c r="Q357" s="3">
        <f>IF(tblOrdenes[[#This Row],[fecha_inicio]]="","",MONTH(tblOrdenes[[#This Row],[fecha_inicio]]))</f>
        <v/>
      </c>
      <c r="R357" s="3">
        <f>IF(tblOrdenes[[#This Row],[fecha_inicio]]="","",INDEX(lista_dias,WEEKDAY(tblOrdenes[[#This Row],[fecha_inicio]],2)))</f>
        <v/>
      </c>
      <c r="S3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7" s="3">
        <f>IF(tblOrdenes[[#This Row],[tipo_ot]]="","",_xlfn.XLOOKUP(tblOrdenes[[#This Row],[tipo_ot]],tblTiposOT[codigo],tblTiposOT[clasificacion],"sin_clasificar"))</f>
        <v/>
      </c>
      <c r="U357" s="3">
        <f>IF(tblOrdenes[[#This Row],[centro_costo]]="","",_xlfn.XLOOKUP(tblOrdenes[[#This Row],[centro_costo]],tblCECO[codigo],tblCECO[linea],"(sin catálogo)"))</f>
        <v/>
      </c>
      <c r="V357" s="3">
        <f>IF(tblOrdenes[[#This Row],[centro_costo]]="","",_xlfn.XLOOKUP(tblOrdenes[[#This Row],[centro_costo]],tblCECO[codigo],tblCECO[area],"(sin catálogo)"))</f>
        <v/>
      </c>
      <c r="W3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7" s="3">
        <f>IF(tblOrdenes[[#This Row],[centro_costo]]="","",_xlfn.XLOOKUP(tblOrdenes[[#This Row],[centro_costo]],tblCECO[codigo],tblCECO[coordinador],"(sin catálogo)"))</f>
        <v/>
      </c>
      <c r="Y357" s="3">
        <f>IF(tblOrdenes[[#This Row],[puesto_trabajo]]="","",_xlfn.XLOOKUP(tblOrdenes[[#This Row],[puesto_trabajo]],tblPuestos[codigo],tblPuestos[especialidad],"(sin catálogo)"))</f>
        <v/>
      </c>
      <c r="Z357" s="3">
        <f>IF(tblOrdenes[[#This Row],[cod_actividad]]="","",_xlfn.XLOOKUP(tblOrdenes[[#This Row],[cod_actividad]],tblActividades[codigo],tblActividades[descripcion],"(sin catálogo)"))</f>
        <v/>
      </c>
      <c r="AA357" s="13">
        <f>IF(tblOrdenes[[#This Row],[fecha_inicio]]="","",TODAY()-tblOrdenes[[#This Row],[fecha_inicio]])</f>
        <v/>
      </c>
      <c r="AB3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7" s="3">
        <f>IF(tblOrdenes[[#This Row],[backlog_habiles]]="","",IF(tblOrdenes[[#This Row],[backlog_habiles]]&lt;0,"FUTURO",IF(tblOrdenes[[#This Row],[backlog_habiles]]&gt;p_dias_backlog_max,"BACKLOG","MES CORRIENTE")))</f>
        <v/>
      </c>
      <c r="AD357" s="3">
        <f>IF(tblOrdenes[[#This Row],[backlog_habiles]]="",FALSE,AND(tblOrdenes[[#This Row],[backlog_habiles]]&gt;p_dias_backlog_min,tblOrdenes[[#This Row],[backlog_habiles]]&lt;=p_dias_backlog_max))</f>
        <v/>
      </c>
      <c r="AE357" s="6" t="n"/>
      <c r="AF3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7" s="11">
        <f>IF(tblOrdenes[[#This Row],[orden]]="","",_xlfn.XLOOKUP(tblOrdenes[[#This Row],[id_operacion]],tblEjecucion[id_operacion],tblEjecucion[precio],0))</f>
        <v/>
      </c>
      <c r="AJ357" s="11">
        <f>IF(tblOrdenes[[#This Row],[orden]]="","",MAX(0,_xlfn.XLOOKUP(tblOrdenes[[#This Row],[id_operacion]],tblEjecucion[id_operacion],tblEjecucion[costo_plan_total],0)-tblOrdenes[[#This Row],[costo_servicio]]))</f>
        <v/>
      </c>
      <c r="AK357" s="11">
        <f>IF(tblOrdenes[[#This Row],[orden]]="","",tblOrdenes[[#This Row],[costo_servicio]]+tblOrdenes[[#This Row],[costo_materiales]])</f>
        <v/>
      </c>
      <c r="AL357" s="6" t="n"/>
      <c r="AM357" s="6" t="n"/>
      <c r="AN357" s="6" t="n"/>
      <c r="AO357" s="3">
        <f>IF(tblOrdenes[[#This Row],[link_checklist]]="","",HYPERLINK(p_ruta_base_checklists&amp;tblOrdenes[[#This Row],[link_checklist]],"abrir"))</f>
        <v/>
      </c>
      <c r="AP357" s="6" t="n"/>
      <c r="AQ357" s="3">
        <f>IF(tblOrdenes[[#This Row],[orden]]="","",tblOrdenes[[#This Row],[orden]]&amp;IF(tblOrdenes[[#This Row],[operacion]]="","0010",tblOrdenes[[#This Row],[operacion]]))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2" t="n"/>
      <c r="K358" s="3" t="n"/>
      <c r="L358" s="11" t="n"/>
      <c r="M3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8" s="3">
        <f>IF(tblOrdenes[[#This Row],[fecha_inicio]]="","",YEAR(tblOrdenes[[#This Row],[fecha_inicio]]))</f>
        <v/>
      </c>
      <c r="Q358" s="3">
        <f>IF(tblOrdenes[[#This Row],[fecha_inicio]]="","",MONTH(tblOrdenes[[#This Row],[fecha_inicio]]))</f>
        <v/>
      </c>
      <c r="R358" s="3">
        <f>IF(tblOrdenes[[#This Row],[fecha_inicio]]="","",INDEX(lista_dias,WEEKDAY(tblOrdenes[[#This Row],[fecha_inicio]],2)))</f>
        <v/>
      </c>
      <c r="S3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8" s="3">
        <f>IF(tblOrdenes[[#This Row],[tipo_ot]]="","",_xlfn.XLOOKUP(tblOrdenes[[#This Row],[tipo_ot]],tblTiposOT[codigo],tblTiposOT[clasificacion],"sin_clasificar"))</f>
        <v/>
      </c>
      <c r="U358" s="3">
        <f>IF(tblOrdenes[[#This Row],[centro_costo]]="","",_xlfn.XLOOKUP(tblOrdenes[[#This Row],[centro_costo]],tblCECO[codigo],tblCECO[linea],"(sin catálogo)"))</f>
        <v/>
      </c>
      <c r="V358" s="3">
        <f>IF(tblOrdenes[[#This Row],[centro_costo]]="","",_xlfn.XLOOKUP(tblOrdenes[[#This Row],[centro_costo]],tblCECO[codigo],tblCECO[area],"(sin catálogo)"))</f>
        <v/>
      </c>
      <c r="W3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8" s="3">
        <f>IF(tblOrdenes[[#This Row],[centro_costo]]="","",_xlfn.XLOOKUP(tblOrdenes[[#This Row],[centro_costo]],tblCECO[codigo],tblCECO[coordinador],"(sin catálogo)"))</f>
        <v/>
      </c>
      <c r="Y358" s="3">
        <f>IF(tblOrdenes[[#This Row],[puesto_trabajo]]="","",_xlfn.XLOOKUP(tblOrdenes[[#This Row],[puesto_trabajo]],tblPuestos[codigo],tblPuestos[especialidad],"(sin catálogo)"))</f>
        <v/>
      </c>
      <c r="Z358" s="3">
        <f>IF(tblOrdenes[[#This Row],[cod_actividad]]="","",_xlfn.XLOOKUP(tblOrdenes[[#This Row],[cod_actividad]],tblActividades[codigo],tblActividades[descripcion],"(sin catálogo)"))</f>
        <v/>
      </c>
      <c r="AA358" s="13">
        <f>IF(tblOrdenes[[#This Row],[fecha_inicio]]="","",TODAY()-tblOrdenes[[#This Row],[fecha_inicio]])</f>
        <v/>
      </c>
      <c r="AB3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8" s="3">
        <f>IF(tblOrdenes[[#This Row],[backlog_habiles]]="","",IF(tblOrdenes[[#This Row],[backlog_habiles]]&lt;0,"FUTURO",IF(tblOrdenes[[#This Row],[backlog_habiles]]&gt;p_dias_backlog_max,"BACKLOG","MES CORRIENTE")))</f>
        <v/>
      </c>
      <c r="AD358" s="3">
        <f>IF(tblOrdenes[[#This Row],[backlog_habiles]]="",FALSE,AND(tblOrdenes[[#This Row],[backlog_habiles]]&gt;p_dias_backlog_min,tblOrdenes[[#This Row],[backlog_habiles]]&lt;=p_dias_backlog_max))</f>
        <v/>
      </c>
      <c r="AE358" s="6" t="n"/>
      <c r="AF3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8" s="11">
        <f>IF(tblOrdenes[[#This Row],[orden]]="","",_xlfn.XLOOKUP(tblOrdenes[[#This Row],[id_operacion]],tblEjecucion[id_operacion],tblEjecucion[precio],0))</f>
        <v/>
      </c>
      <c r="AJ358" s="11">
        <f>IF(tblOrdenes[[#This Row],[orden]]="","",MAX(0,_xlfn.XLOOKUP(tblOrdenes[[#This Row],[id_operacion]],tblEjecucion[id_operacion],tblEjecucion[costo_plan_total],0)-tblOrdenes[[#This Row],[costo_servicio]]))</f>
        <v/>
      </c>
      <c r="AK358" s="11">
        <f>IF(tblOrdenes[[#This Row],[orden]]="","",tblOrdenes[[#This Row],[costo_servicio]]+tblOrdenes[[#This Row],[costo_materiales]])</f>
        <v/>
      </c>
      <c r="AL358" s="6" t="n"/>
      <c r="AM358" s="6" t="n"/>
      <c r="AN358" s="6" t="n"/>
      <c r="AO358" s="3">
        <f>IF(tblOrdenes[[#This Row],[link_checklist]]="","",HYPERLINK(p_ruta_base_checklists&amp;tblOrdenes[[#This Row],[link_checklist]],"abrir"))</f>
        <v/>
      </c>
      <c r="AP358" s="6" t="n"/>
      <c r="AQ358" s="3">
        <f>IF(tblOrdenes[[#This Row],[orden]]="","",tblOrdenes[[#This Row],[orden]]&amp;IF(tblOrdenes[[#This Row],[operacion]]="","0010",tblOrdenes[[#This Row],[operacion]]))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2" t="n"/>
      <c r="K359" s="3" t="n"/>
      <c r="L359" s="11" t="n"/>
      <c r="M3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9" s="3">
        <f>IF(tblOrdenes[[#This Row],[fecha_inicio]]="","",YEAR(tblOrdenes[[#This Row],[fecha_inicio]]))</f>
        <v/>
      </c>
      <c r="Q359" s="3">
        <f>IF(tblOrdenes[[#This Row],[fecha_inicio]]="","",MONTH(tblOrdenes[[#This Row],[fecha_inicio]]))</f>
        <v/>
      </c>
      <c r="R359" s="3">
        <f>IF(tblOrdenes[[#This Row],[fecha_inicio]]="","",INDEX(lista_dias,WEEKDAY(tblOrdenes[[#This Row],[fecha_inicio]],2)))</f>
        <v/>
      </c>
      <c r="S3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9" s="3">
        <f>IF(tblOrdenes[[#This Row],[tipo_ot]]="","",_xlfn.XLOOKUP(tblOrdenes[[#This Row],[tipo_ot]],tblTiposOT[codigo],tblTiposOT[clasificacion],"sin_clasificar"))</f>
        <v/>
      </c>
      <c r="U359" s="3">
        <f>IF(tblOrdenes[[#This Row],[centro_costo]]="","",_xlfn.XLOOKUP(tblOrdenes[[#This Row],[centro_costo]],tblCECO[codigo],tblCECO[linea],"(sin catálogo)"))</f>
        <v/>
      </c>
      <c r="V359" s="3">
        <f>IF(tblOrdenes[[#This Row],[centro_costo]]="","",_xlfn.XLOOKUP(tblOrdenes[[#This Row],[centro_costo]],tblCECO[codigo],tblCECO[area],"(sin catálogo)"))</f>
        <v/>
      </c>
      <c r="W3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9" s="3">
        <f>IF(tblOrdenes[[#This Row],[centro_costo]]="","",_xlfn.XLOOKUP(tblOrdenes[[#This Row],[centro_costo]],tblCECO[codigo],tblCECO[coordinador],"(sin catálogo)"))</f>
        <v/>
      </c>
      <c r="Y359" s="3">
        <f>IF(tblOrdenes[[#This Row],[puesto_trabajo]]="","",_xlfn.XLOOKUP(tblOrdenes[[#This Row],[puesto_trabajo]],tblPuestos[codigo],tblPuestos[especialidad],"(sin catálogo)"))</f>
        <v/>
      </c>
      <c r="Z359" s="3">
        <f>IF(tblOrdenes[[#This Row],[cod_actividad]]="","",_xlfn.XLOOKUP(tblOrdenes[[#This Row],[cod_actividad]],tblActividades[codigo],tblActividades[descripcion],"(sin catálogo)"))</f>
        <v/>
      </c>
      <c r="AA359" s="13">
        <f>IF(tblOrdenes[[#This Row],[fecha_inicio]]="","",TODAY()-tblOrdenes[[#This Row],[fecha_inicio]])</f>
        <v/>
      </c>
      <c r="AB3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9" s="3">
        <f>IF(tblOrdenes[[#This Row],[backlog_habiles]]="","",IF(tblOrdenes[[#This Row],[backlog_habiles]]&lt;0,"FUTURO",IF(tblOrdenes[[#This Row],[backlog_habiles]]&gt;p_dias_backlog_max,"BACKLOG","MES CORRIENTE")))</f>
        <v/>
      </c>
      <c r="AD359" s="3">
        <f>IF(tblOrdenes[[#This Row],[backlog_habiles]]="",FALSE,AND(tblOrdenes[[#This Row],[backlog_habiles]]&gt;p_dias_backlog_min,tblOrdenes[[#This Row],[backlog_habiles]]&lt;=p_dias_backlog_max))</f>
        <v/>
      </c>
      <c r="AE359" s="6" t="n"/>
      <c r="AF3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9" s="11">
        <f>IF(tblOrdenes[[#This Row],[orden]]="","",_xlfn.XLOOKUP(tblOrdenes[[#This Row],[id_operacion]],tblEjecucion[id_operacion],tblEjecucion[precio],0))</f>
        <v/>
      </c>
      <c r="AJ359" s="11">
        <f>IF(tblOrdenes[[#This Row],[orden]]="","",MAX(0,_xlfn.XLOOKUP(tblOrdenes[[#This Row],[id_operacion]],tblEjecucion[id_operacion],tblEjecucion[costo_plan_total],0)-tblOrdenes[[#This Row],[costo_servicio]]))</f>
        <v/>
      </c>
      <c r="AK359" s="11">
        <f>IF(tblOrdenes[[#This Row],[orden]]="","",tblOrdenes[[#This Row],[costo_servicio]]+tblOrdenes[[#This Row],[costo_materiales]])</f>
        <v/>
      </c>
      <c r="AL359" s="6" t="n"/>
      <c r="AM359" s="6" t="n"/>
      <c r="AN359" s="6" t="n"/>
      <c r="AO359" s="3">
        <f>IF(tblOrdenes[[#This Row],[link_checklist]]="","",HYPERLINK(p_ruta_base_checklists&amp;tblOrdenes[[#This Row],[link_checklist]],"abrir"))</f>
        <v/>
      </c>
      <c r="AP359" s="6" t="n"/>
      <c r="AQ359" s="3">
        <f>IF(tblOrdenes[[#This Row],[orden]]="","",tblOrdenes[[#This Row],[orden]]&amp;IF(tblOrdenes[[#This Row],[operacion]]="","0010",tblOrdenes[[#This Row],[operacion]]))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2" t="n"/>
      <c r="K360" s="3" t="n"/>
      <c r="L360" s="11" t="n"/>
      <c r="M3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0" s="3">
        <f>IF(tblOrdenes[[#This Row],[fecha_inicio]]="","",YEAR(tblOrdenes[[#This Row],[fecha_inicio]]))</f>
        <v/>
      </c>
      <c r="Q360" s="3">
        <f>IF(tblOrdenes[[#This Row],[fecha_inicio]]="","",MONTH(tblOrdenes[[#This Row],[fecha_inicio]]))</f>
        <v/>
      </c>
      <c r="R360" s="3">
        <f>IF(tblOrdenes[[#This Row],[fecha_inicio]]="","",INDEX(lista_dias,WEEKDAY(tblOrdenes[[#This Row],[fecha_inicio]],2)))</f>
        <v/>
      </c>
      <c r="S3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0" s="3">
        <f>IF(tblOrdenes[[#This Row],[tipo_ot]]="","",_xlfn.XLOOKUP(tblOrdenes[[#This Row],[tipo_ot]],tblTiposOT[codigo],tblTiposOT[clasificacion],"sin_clasificar"))</f>
        <v/>
      </c>
      <c r="U360" s="3">
        <f>IF(tblOrdenes[[#This Row],[centro_costo]]="","",_xlfn.XLOOKUP(tblOrdenes[[#This Row],[centro_costo]],tblCECO[codigo],tblCECO[linea],"(sin catálogo)"))</f>
        <v/>
      </c>
      <c r="V360" s="3">
        <f>IF(tblOrdenes[[#This Row],[centro_costo]]="","",_xlfn.XLOOKUP(tblOrdenes[[#This Row],[centro_costo]],tblCECO[codigo],tblCECO[area],"(sin catálogo)"))</f>
        <v/>
      </c>
      <c r="W3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0" s="3">
        <f>IF(tblOrdenes[[#This Row],[centro_costo]]="","",_xlfn.XLOOKUP(tblOrdenes[[#This Row],[centro_costo]],tblCECO[codigo],tblCECO[coordinador],"(sin catálogo)"))</f>
        <v/>
      </c>
      <c r="Y360" s="3">
        <f>IF(tblOrdenes[[#This Row],[puesto_trabajo]]="","",_xlfn.XLOOKUP(tblOrdenes[[#This Row],[puesto_trabajo]],tblPuestos[codigo],tblPuestos[especialidad],"(sin catálogo)"))</f>
        <v/>
      </c>
      <c r="Z360" s="3">
        <f>IF(tblOrdenes[[#This Row],[cod_actividad]]="","",_xlfn.XLOOKUP(tblOrdenes[[#This Row],[cod_actividad]],tblActividades[codigo],tblActividades[descripcion],"(sin catálogo)"))</f>
        <v/>
      </c>
      <c r="AA360" s="13">
        <f>IF(tblOrdenes[[#This Row],[fecha_inicio]]="","",TODAY()-tblOrdenes[[#This Row],[fecha_inicio]])</f>
        <v/>
      </c>
      <c r="AB3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0" s="3">
        <f>IF(tblOrdenes[[#This Row],[backlog_habiles]]="","",IF(tblOrdenes[[#This Row],[backlog_habiles]]&lt;0,"FUTURO",IF(tblOrdenes[[#This Row],[backlog_habiles]]&gt;p_dias_backlog_max,"BACKLOG","MES CORRIENTE")))</f>
        <v/>
      </c>
      <c r="AD360" s="3">
        <f>IF(tblOrdenes[[#This Row],[backlog_habiles]]="",FALSE,AND(tblOrdenes[[#This Row],[backlog_habiles]]&gt;p_dias_backlog_min,tblOrdenes[[#This Row],[backlog_habiles]]&lt;=p_dias_backlog_max))</f>
        <v/>
      </c>
      <c r="AE360" s="6" t="n"/>
      <c r="AF3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0" s="11">
        <f>IF(tblOrdenes[[#This Row],[orden]]="","",_xlfn.XLOOKUP(tblOrdenes[[#This Row],[id_operacion]],tblEjecucion[id_operacion],tblEjecucion[precio],0))</f>
        <v/>
      </c>
      <c r="AJ360" s="11">
        <f>IF(tblOrdenes[[#This Row],[orden]]="","",MAX(0,_xlfn.XLOOKUP(tblOrdenes[[#This Row],[id_operacion]],tblEjecucion[id_operacion],tblEjecucion[costo_plan_total],0)-tblOrdenes[[#This Row],[costo_servicio]]))</f>
        <v/>
      </c>
      <c r="AK360" s="11">
        <f>IF(tblOrdenes[[#This Row],[orden]]="","",tblOrdenes[[#This Row],[costo_servicio]]+tblOrdenes[[#This Row],[costo_materiales]])</f>
        <v/>
      </c>
      <c r="AL360" s="6" t="n"/>
      <c r="AM360" s="6" t="n"/>
      <c r="AN360" s="6" t="n"/>
      <c r="AO360" s="3">
        <f>IF(tblOrdenes[[#This Row],[link_checklist]]="","",HYPERLINK(p_ruta_base_checklists&amp;tblOrdenes[[#This Row],[link_checklist]],"abrir"))</f>
        <v/>
      </c>
      <c r="AP360" s="6" t="n"/>
      <c r="AQ360" s="3">
        <f>IF(tblOrdenes[[#This Row],[orden]]="","",tblOrdenes[[#This Row],[orden]]&amp;IF(tblOrdenes[[#This Row],[operacion]]="","0010",tblOrdenes[[#This Row],[operacion]]))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2" t="n"/>
      <c r="K361" s="3" t="n"/>
      <c r="L361" s="11" t="n"/>
      <c r="M3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1" s="3">
        <f>IF(tblOrdenes[[#This Row],[fecha_inicio]]="","",YEAR(tblOrdenes[[#This Row],[fecha_inicio]]))</f>
        <v/>
      </c>
      <c r="Q361" s="3">
        <f>IF(tblOrdenes[[#This Row],[fecha_inicio]]="","",MONTH(tblOrdenes[[#This Row],[fecha_inicio]]))</f>
        <v/>
      </c>
      <c r="R361" s="3">
        <f>IF(tblOrdenes[[#This Row],[fecha_inicio]]="","",INDEX(lista_dias,WEEKDAY(tblOrdenes[[#This Row],[fecha_inicio]],2)))</f>
        <v/>
      </c>
      <c r="S3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1" s="3">
        <f>IF(tblOrdenes[[#This Row],[tipo_ot]]="","",_xlfn.XLOOKUP(tblOrdenes[[#This Row],[tipo_ot]],tblTiposOT[codigo],tblTiposOT[clasificacion],"sin_clasificar"))</f>
        <v/>
      </c>
      <c r="U361" s="3">
        <f>IF(tblOrdenes[[#This Row],[centro_costo]]="","",_xlfn.XLOOKUP(tblOrdenes[[#This Row],[centro_costo]],tblCECO[codigo],tblCECO[linea],"(sin catálogo)"))</f>
        <v/>
      </c>
      <c r="V361" s="3">
        <f>IF(tblOrdenes[[#This Row],[centro_costo]]="","",_xlfn.XLOOKUP(tblOrdenes[[#This Row],[centro_costo]],tblCECO[codigo],tblCECO[area],"(sin catálogo)"))</f>
        <v/>
      </c>
      <c r="W3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1" s="3">
        <f>IF(tblOrdenes[[#This Row],[centro_costo]]="","",_xlfn.XLOOKUP(tblOrdenes[[#This Row],[centro_costo]],tblCECO[codigo],tblCECO[coordinador],"(sin catálogo)"))</f>
        <v/>
      </c>
      <c r="Y361" s="3">
        <f>IF(tblOrdenes[[#This Row],[puesto_trabajo]]="","",_xlfn.XLOOKUP(tblOrdenes[[#This Row],[puesto_trabajo]],tblPuestos[codigo],tblPuestos[especialidad],"(sin catálogo)"))</f>
        <v/>
      </c>
      <c r="Z361" s="3">
        <f>IF(tblOrdenes[[#This Row],[cod_actividad]]="","",_xlfn.XLOOKUP(tblOrdenes[[#This Row],[cod_actividad]],tblActividades[codigo],tblActividades[descripcion],"(sin catálogo)"))</f>
        <v/>
      </c>
      <c r="AA361" s="13">
        <f>IF(tblOrdenes[[#This Row],[fecha_inicio]]="","",TODAY()-tblOrdenes[[#This Row],[fecha_inicio]])</f>
        <v/>
      </c>
      <c r="AB3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1" s="3">
        <f>IF(tblOrdenes[[#This Row],[backlog_habiles]]="","",IF(tblOrdenes[[#This Row],[backlog_habiles]]&lt;0,"FUTURO",IF(tblOrdenes[[#This Row],[backlog_habiles]]&gt;p_dias_backlog_max,"BACKLOG","MES CORRIENTE")))</f>
        <v/>
      </c>
      <c r="AD361" s="3">
        <f>IF(tblOrdenes[[#This Row],[backlog_habiles]]="",FALSE,AND(tblOrdenes[[#This Row],[backlog_habiles]]&gt;p_dias_backlog_min,tblOrdenes[[#This Row],[backlog_habiles]]&lt;=p_dias_backlog_max))</f>
        <v/>
      </c>
      <c r="AE361" s="6" t="n"/>
      <c r="AF3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1" s="11">
        <f>IF(tblOrdenes[[#This Row],[orden]]="","",_xlfn.XLOOKUP(tblOrdenes[[#This Row],[id_operacion]],tblEjecucion[id_operacion],tblEjecucion[precio],0))</f>
        <v/>
      </c>
      <c r="AJ361" s="11">
        <f>IF(tblOrdenes[[#This Row],[orden]]="","",MAX(0,_xlfn.XLOOKUP(tblOrdenes[[#This Row],[id_operacion]],tblEjecucion[id_operacion],tblEjecucion[costo_plan_total],0)-tblOrdenes[[#This Row],[costo_servicio]]))</f>
        <v/>
      </c>
      <c r="AK361" s="11">
        <f>IF(tblOrdenes[[#This Row],[orden]]="","",tblOrdenes[[#This Row],[costo_servicio]]+tblOrdenes[[#This Row],[costo_materiales]])</f>
        <v/>
      </c>
      <c r="AL361" s="6" t="n"/>
      <c r="AM361" s="6" t="n"/>
      <c r="AN361" s="6" t="n"/>
      <c r="AO361" s="3">
        <f>IF(tblOrdenes[[#This Row],[link_checklist]]="","",HYPERLINK(p_ruta_base_checklists&amp;tblOrdenes[[#This Row],[link_checklist]],"abrir"))</f>
        <v/>
      </c>
      <c r="AP361" s="6" t="n"/>
      <c r="AQ361" s="3">
        <f>IF(tblOrdenes[[#This Row],[orden]]="","",tblOrdenes[[#This Row],[orden]]&amp;IF(tblOrdenes[[#This Row],[operacion]]="","0010",tblOrdenes[[#This Row],[operacion]]))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2" t="n"/>
      <c r="K362" s="3" t="n"/>
      <c r="L362" s="11" t="n"/>
      <c r="M3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2" s="3">
        <f>IF(tblOrdenes[[#This Row],[fecha_inicio]]="","",YEAR(tblOrdenes[[#This Row],[fecha_inicio]]))</f>
        <v/>
      </c>
      <c r="Q362" s="3">
        <f>IF(tblOrdenes[[#This Row],[fecha_inicio]]="","",MONTH(tblOrdenes[[#This Row],[fecha_inicio]]))</f>
        <v/>
      </c>
      <c r="R362" s="3">
        <f>IF(tblOrdenes[[#This Row],[fecha_inicio]]="","",INDEX(lista_dias,WEEKDAY(tblOrdenes[[#This Row],[fecha_inicio]],2)))</f>
        <v/>
      </c>
      <c r="S3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2" s="3">
        <f>IF(tblOrdenes[[#This Row],[tipo_ot]]="","",_xlfn.XLOOKUP(tblOrdenes[[#This Row],[tipo_ot]],tblTiposOT[codigo],tblTiposOT[clasificacion],"sin_clasificar"))</f>
        <v/>
      </c>
      <c r="U362" s="3">
        <f>IF(tblOrdenes[[#This Row],[centro_costo]]="","",_xlfn.XLOOKUP(tblOrdenes[[#This Row],[centro_costo]],tblCECO[codigo],tblCECO[linea],"(sin catálogo)"))</f>
        <v/>
      </c>
      <c r="V362" s="3">
        <f>IF(tblOrdenes[[#This Row],[centro_costo]]="","",_xlfn.XLOOKUP(tblOrdenes[[#This Row],[centro_costo]],tblCECO[codigo],tblCECO[area],"(sin catálogo)"))</f>
        <v/>
      </c>
      <c r="W3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2" s="3">
        <f>IF(tblOrdenes[[#This Row],[centro_costo]]="","",_xlfn.XLOOKUP(tblOrdenes[[#This Row],[centro_costo]],tblCECO[codigo],tblCECO[coordinador],"(sin catálogo)"))</f>
        <v/>
      </c>
      <c r="Y362" s="3">
        <f>IF(tblOrdenes[[#This Row],[puesto_trabajo]]="","",_xlfn.XLOOKUP(tblOrdenes[[#This Row],[puesto_trabajo]],tblPuestos[codigo],tblPuestos[especialidad],"(sin catálogo)"))</f>
        <v/>
      </c>
      <c r="Z362" s="3">
        <f>IF(tblOrdenes[[#This Row],[cod_actividad]]="","",_xlfn.XLOOKUP(tblOrdenes[[#This Row],[cod_actividad]],tblActividades[codigo],tblActividades[descripcion],"(sin catálogo)"))</f>
        <v/>
      </c>
      <c r="AA362" s="13">
        <f>IF(tblOrdenes[[#This Row],[fecha_inicio]]="","",TODAY()-tblOrdenes[[#This Row],[fecha_inicio]])</f>
        <v/>
      </c>
      <c r="AB3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2" s="3">
        <f>IF(tblOrdenes[[#This Row],[backlog_habiles]]="","",IF(tblOrdenes[[#This Row],[backlog_habiles]]&lt;0,"FUTURO",IF(tblOrdenes[[#This Row],[backlog_habiles]]&gt;p_dias_backlog_max,"BACKLOG","MES CORRIENTE")))</f>
        <v/>
      </c>
      <c r="AD362" s="3">
        <f>IF(tblOrdenes[[#This Row],[backlog_habiles]]="",FALSE,AND(tblOrdenes[[#This Row],[backlog_habiles]]&gt;p_dias_backlog_min,tblOrdenes[[#This Row],[backlog_habiles]]&lt;=p_dias_backlog_max))</f>
        <v/>
      </c>
      <c r="AE362" s="6" t="n"/>
      <c r="AF3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2" s="11">
        <f>IF(tblOrdenes[[#This Row],[orden]]="","",_xlfn.XLOOKUP(tblOrdenes[[#This Row],[id_operacion]],tblEjecucion[id_operacion],tblEjecucion[precio],0))</f>
        <v/>
      </c>
      <c r="AJ362" s="11">
        <f>IF(tblOrdenes[[#This Row],[orden]]="","",MAX(0,_xlfn.XLOOKUP(tblOrdenes[[#This Row],[id_operacion]],tblEjecucion[id_operacion],tblEjecucion[costo_plan_total],0)-tblOrdenes[[#This Row],[costo_servicio]]))</f>
        <v/>
      </c>
      <c r="AK362" s="11">
        <f>IF(tblOrdenes[[#This Row],[orden]]="","",tblOrdenes[[#This Row],[costo_servicio]]+tblOrdenes[[#This Row],[costo_materiales]])</f>
        <v/>
      </c>
      <c r="AL362" s="6" t="n"/>
      <c r="AM362" s="6" t="n"/>
      <c r="AN362" s="6" t="n"/>
      <c r="AO362" s="3">
        <f>IF(tblOrdenes[[#This Row],[link_checklist]]="","",HYPERLINK(p_ruta_base_checklists&amp;tblOrdenes[[#This Row],[link_checklist]],"abrir"))</f>
        <v/>
      </c>
      <c r="AP362" s="6" t="n"/>
      <c r="AQ362" s="3">
        <f>IF(tblOrdenes[[#This Row],[orden]]="","",tblOrdenes[[#This Row],[orden]]&amp;IF(tblOrdenes[[#This Row],[operacion]]="","0010",tblOrdenes[[#This Row],[operacion]]))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2" t="n"/>
      <c r="K363" s="3" t="n"/>
      <c r="L363" s="11" t="n"/>
      <c r="M3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3" s="3">
        <f>IF(tblOrdenes[[#This Row],[fecha_inicio]]="","",YEAR(tblOrdenes[[#This Row],[fecha_inicio]]))</f>
        <v/>
      </c>
      <c r="Q363" s="3">
        <f>IF(tblOrdenes[[#This Row],[fecha_inicio]]="","",MONTH(tblOrdenes[[#This Row],[fecha_inicio]]))</f>
        <v/>
      </c>
      <c r="R363" s="3">
        <f>IF(tblOrdenes[[#This Row],[fecha_inicio]]="","",INDEX(lista_dias,WEEKDAY(tblOrdenes[[#This Row],[fecha_inicio]],2)))</f>
        <v/>
      </c>
      <c r="S3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3" s="3">
        <f>IF(tblOrdenes[[#This Row],[tipo_ot]]="","",_xlfn.XLOOKUP(tblOrdenes[[#This Row],[tipo_ot]],tblTiposOT[codigo],tblTiposOT[clasificacion],"sin_clasificar"))</f>
        <v/>
      </c>
      <c r="U363" s="3">
        <f>IF(tblOrdenes[[#This Row],[centro_costo]]="","",_xlfn.XLOOKUP(tblOrdenes[[#This Row],[centro_costo]],tblCECO[codigo],tblCECO[linea],"(sin catálogo)"))</f>
        <v/>
      </c>
      <c r="V363" s="3">
        <f>IF(tblOrdenes[[#This Row],[centro_costo]]="","",_xlfn.XLOOKUP(tblOrdenes[[#This Row],[centro_costo]],tblCECO[codigo],tblCECO[area],"(sin catálogo)"))</f>
        <v/>
      </c>
      <c r="W3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3" s="3">
        <f>IF(tblOrdenes[[#This Row],[centro_costo]]="","",_xlfn.XLOOKUP(tblOrdenes[[#This Row],[centro_costo]],tblCECO[codigo],tblCECO[coordinador],"(sin catálogo)"))</f>
        <v/>
      </c>
      <c r="Y363" s="3">
        <f>IF(tblOrdenes[[#This Row],[puesto_trabajo]]="","",_xlfn.XLOOKUP(tblOrdenes[[#This Row],[puesto_trabajo]],tblPuestos[codigo],tblPuestos[especialidad],"(sin catálogo)"))</f>
        <v/>
      </c>
      <c r="Z363" s="3">
        <f>IF(tblOrdenes[[#This Row],[cod_actividad]]="","",_xlfn.XLOOKUP(tblOrdenes[[#This Row],[cod_actividad]],tblActividades[codigo],tblActividades[descripcion],"(sin catálogo)"))</f>
        <v/>
      </c>
      <c r="AA363" s="13">
        <f>IF(tblOrdenes[[#This Row],[fecha_inicio]]="","",TODAY()-tblOrdenes[[#This Row],[fecha_inicio]])</f>
        <v/>
      </c>
      <c r="AB3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3" s="3">
        <f>IF(tblOrdenes[[#This Row],[backlog_habiles]]="","",IF(tblOrdenes[[#This Row],[backlog_habiles]]&lt;0,"FUTURO",IF(tblOrdenes[[#This Row],[backlog_habiles]]&gt;p_dias_backlog_max,"BACKLOG","MES CORRIENTE")))</f>
        <v/>
      </c>
      <c r="AD363" s="3">
        <f>IF(tblOrdenes[[#This Row],[backlog_habiles]]="",FALSE,AND(tblOrdenes[[#This Row],[backlog_habiles]]&gt;p_dias_backlog_min,tblOrdenes[[#This Row],[backlog_habiles]]&lt;=p_dias_backlog_max))</f>
        <v/>
      </c>
      <c r="AE363" s="6" t="n"/>
      <c r="AF3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3" s="11">
        <f>IF(tblOrdenes[[#This Row],[orden]]="","",_xlfn.XLOOKUP(tblOrdenes[[#This Row],[id_operacion]],tblEjecucion[id_operacion],tblEjecucion[precio],0))</f>
        <v/>
      </c>
      <c r="AJ363" s="11">
        <f>IF(tblOrdenes[[#This Row],[orden]]="","",MAX(0,_xlfn.XLOOKUP(tblOrdenes[[#This Row],[id_operacion]],tblEjecucion[id_operacion],tblEjecucion[costo_plan_total],0)-tblOrdenes[[#This Row],[costo_servicio]]))</f>
        <v/>
      </c>
      <c r="AK363" s="11">
        <f>IF(tblOrdenes[[#This Row],[orden]]="","",tblOrdenes[[#This Row],[costo_servicio]]+tblOrdenes[[#This Row],[costo_materiales]])</f>
        <v/>
      </c>
      <c r="AL363" s="6" t="n"/>
      <c r="AM363" s="6" t="n"/>
      <c r="AN363" s="6" t="n"/>
      <c r="AO363" s="3">
        <f>IF(tblOrdenes[[#This Row],[link_checklist]]="","",HYPERLINK(p_ruta_base_checklists&amp;tblOrdenes[[#This Row],[link_checklist]],"abrir"))</f>
        <v/>
      </c>
      <c r="AP363" s="6" t="n"/>
      <c r="AQ363" s="3">
        <f>IF(tblOrdenes[[#This Row],[orden]]="","",tblOrdenes[[#This Row],[orden]]&amp;IF(tblOrdenes[[#This Row],[operacion]]="","0010",tblOrdenes[[#This Row],[operacion]]))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2" t="n"/>
      <c r="K364" s="3" t="n"/>
      <c r="L364" s="11" t="n"/>
      <c r="M3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4" s="3">
        <f>IF(tblOrdenes[[#This Row],[fecha_inicio]]="","",YEAR(tblOrdenes[[#This Row],[fecha_inicio]]))</f>
        <v/>
      </c>
      <c r="Q364" s="3">
        <f>IF(tblOrdenes[[#This Row],[fecha_inicio]]="","",MONTH(tblOrdenes[[#This Row],[fecha_inicio]]))</f>
        <v/>
      </c>
      <c r="R364" s="3">
        <f>IF(tblOrdenes[[#This Row],[fecha_inicio]]="","",INDEX(lista_dias,WEEKDAY(tblOrdenes[[#This Row],[fecha_inicio]],2)))</f>
        <v/>
      </c>
      <c r="S3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4" s="3">
        <f>IF(tblOrdenes[[#This Row],[tipo_ot]]="","",_xlfn.XLOOKUP(tblOrdenes[[#This Row],[tipo_ot]],tblTiposOT[codigo],tblTiposOT[clasificacion],"sin_clasificar"))</f>
        <v/>
      </c>
      <c r="U364" s="3">
        <f>IF(tblOrdenes[[#This Row],[centro_costo]]="","",_xlfn.XLOOKUP(tblOrdenes[[#This Row],[centro_costo]],tblCECO[codigo],tblCECO[linea],"(sin catálogo)"))</f>
        <v/>
      </c>
      <c r="V364" s="3">
        <f>IF(tblOrdenes[[#This Row],[centro_costo]]="","",_xlfn.XLOOKUP(tblOrdenes[[#This Row],[centro_costo]],tblCECO[codigo],tblCECO[area],"(sin catálogo)"))</f>
        <v/>
      </c>
      <c r="W3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4" s="3">
        <f>IF(tblOrdenes[[#This Row],[centro_costo]]="","",_xlfn.XLOOKUP(tblOrdenes[[#This Row],[centro_costo]],tblCECO[codigo],tblCECO[coordinador],"(sin catálogo)"))</f>
        <v/>
      </c>
      <c r="Y364" s="3">
        <f>IF(tblOrdenes[[#This Row],[puesto_trabajo]]="","",_xlfn.XLOOKUP(tblOrdenes[[#This Row],[puesto_trabajo]],tblPuestos[codigo],tblPuestos[especialidad],"(sin catálogo)"))</f>
        <v/>
      </c>
      <c r="Z364" s="3">
        <f>IF(tblOrdenes[[#This Row],[cod_actividad]]="","",_xlfn.XLOOKUP(tblOrdenes[[#This Row],[cod_actividad]],tblActividades[codigo],tblActividades[descripcion],"(sin catálogo)"))</f>
        <v/>
      </c>
      <c r="AA364" s="13">
        <f>IF(tblOrdenes[[#This Row],[fecha_inicio]]="","",TODAY()-tblOrdenes[[#This Row],[fecha_inicio]])</f>
        <v/>
      </c>
      <c r="AB3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4" s="3">
        <f>IF(tblOrdenes[[#This Row],[backlog_habiles]]="","",IF(tblOrdenes[[#This Row],[backlog_habiles]]&lt;0,"FUTURO",IF(tblOrdenes[[#This Row],[backlog_habiles]]&gt;p_dias_backlog_max,"BACKLOG","MES CORRIENTE")))</f>
        <v/>
      </c>
      <c r="AD364" s="3">
        <f>IF(tblOrdenes[[#This Row],[backlog_habiles]]="",FALSE,AND(tblOrdenes[[#This Row],[backlog_habiles]]&gt;p_dias_backlog_min,tblOrdenes[[#This Row],[backlog_habiles]]&lt;=p_dias_backlog_max))</f>
        <v/>
      </c>
      <c r="AE364" s="6" t="n"/>
      <c r="AF3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4" s="11">
        <f>IF(tblOrdenes[[#This Row],[orden]]="","",_xlfn.XLOOKUP(tblOrdenes[[#This Row],[id_operacion]],tblEjecucion[id_operacion],tblEjecucion[precio],0))</f>
        <v/>
      </c>
      <c r="AJ364" s="11">
        <f>IF(tblOrdenes[[#This Row],[orden]]="","",MAX(0,_xlfn.XLOOKUP(tblOrdenes[[#This Row],[id_operacion]],tblEjecucion[id_operacion],tblEjecucion[costo_plan_total],0)-tblOrdenes[[#This Row],[costo_servicio]]))</f>
        <v/>
      </c>
      <c r="AK364" s="11">
        <f>IF(tblOrdenes[[#This Row],[orden]]="","",tblOrdenes[[#This Row],[costo_servicio]]+tblOrdenes[[#This Row],[costo_materiales]])</f>
        <v/>
      </c>
      <c r="AL364" s="6" t="n"/>
      <c r="AM364" s="6" t="n"/>
      <c r="AN364" s="6" t="n"/>
      <c r="AO364" s="3">
        <f>IF(tblOrdenes[[#This Row],[link_checklist]]="","",HYPERLINK(p_ruta_base_checklists&amp;tblOrdenes[[#This Row],[link_checklist]],"abrir"))</f>
        <v/>
      </c>
      <c r="AP364" s="6" t="n"/>
      <c r="AQ364" s="3">
        <f>IF(tblOrdenes[[#This Row],[orden]]="","",tblOrdenes[[#This Row],[orden]]&amp;IF(tblOrdenes[[#This Row],[operacion]]="","0010",tblOrdenes[[#This Row],[operacion]]))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2" t="n"/>
      <c r="K365" s="3" t="n"/>
      <c r="L365" s="11" t="n"/>
      <c r="M3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5" s="3">
        <f>IF(tblOrdenes[[#This Row],[fecha_inicio]]="","",YEAR(tblOrdenes[[#This Row],[fecha_inicio]]))</f>
        <v/>
      </c>
      <c r="Q365" s="3">
        <f>IF(tblOrdenes[[#This Row],[fecha_inicio]]="","",MONTH(tblOrdenes[[#This Row],[fecha_inicio]]))</f>
        <v/>
      </c>
      <c r="R365" s="3">
        <f>IF(tblOrdenes[[#This Row],[fecha_inicio]]="","",INDEX(lista_dias,WEEKDAY(tblOrdenes[[#This Row],[fecha_inicio]],2)))</f>
        <v/>
      </c>
      <c r="S3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5" s="3">
        <f>IF(tblOrdenes[[#This Row],[tipo_ot]]="","",_xlfn.XLOOKUP(tblOrdenes[[#This Row],[tipo_ot]],tblTiposOT[codigo],tblTiposOT[clasificacion],"sin_clasificar"))</f>
        <v/>
      </c>
      <c r="U365" s="3">
        <f>IF(tblOrdenes[[#This Row],[centro_costo]]="","",_xlfn.XLOOKUP(tblOrdenes[[#This Row],[centro_costo]],tblCECO[codigo],tblCECO[linea],"(sin catálogo)"))</f>
        <v/>
      </c>
      <c r="V365" s="3">
        <f>IF(tblOrdenes[[#This Row],[centro_costo]]="","",_xlfn.XLOOKUP(tblOrdenes[[#This Row],[centro_costo]],tblCECO[codigo],tblCECO[area],"(sin catálogo)"))</f>
        <v/>
      </c>
      <c r="W3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5" s="3">
        <f>IF(tblOrdenes[[#This Row],[centro_costo]]="","",_xlfn.XLOOKUP(tblOrdenes[[#This Row],[centro_costo]],tblCECO[codigo],tblCECO[coordinador],"(sin catálogo)"))</f>
        <v/>
      </c>
      <c r="Y365" s="3">
        <f>IF(tblOrdenes[[#This Row],[puesto_trabajo]]="","",_xlfn.XLOOKUP(tblOrdenes[[#This Row],[puesto_trabajo]],tblPuestos[codigo],tblPuestos[especialidad],"(sin catálogo)"))</f>
        <v/>
      </c>
      <c r="Z365" s="3">
        <f>IF(tblOrdenes[[#This Row],[cod_actividad]]="","",_xlfn.XLOOKUP(tblOrdenes[[#This Row],[cod_actividad]],tblActividades[codigo],tblActividades[descripcion],"(sin catálogo)"))</f>
        <v/>
      </c>
      <c r="AA365" s="13">
        <f>IF(tblOrdenes[[#This Row],[fecha_inicio]]="","",TODAY()-tblOrdenes[[#This Row],[fecha_inicio]])</f>
        <v/>
      </c>
      <c r="AB3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5" s="3">
        <f>IF(tblOrdenes[[#This Row],[backlog_habiles]]="","",IF(tblOrdenes[[#This Row],[backlog_habiles]]&lt;0,"FUTURO",IF(tblOrdenes[[#This Row],[backlog_habiles]]&gt;p_dias_backlog_max,"BACKLOG","MES CORRIENTE")))</f>
        <v/>
      </c>
      <c r="AD365" s="3">
        <f>IF(tblOrdenes[[#This Row],[backlog_habiles]]="",FALSE,AND(tblOrdenes[[#This Row],[backlog_habiles]]&gt;p_dias_backlog_min,tblOrdenes[[#This Row],[backlog_habiles]]&lt;=p_dias_backlog_max))</f>
        <v/>
      </c>
      <c r="AE365" s="6" t="n"/>
      <c r="AF3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5" s="11">
        <f>IF(tblOrdenes[[#This Row],[orden]]="","",_xlfn.XLOOKUP(tblOrdenes[[#This Row],[id_operacion]],tblEjecucion[id_operacion],tblEjecucion[precio],0))</f>
        <v/>
      </c>
      <c r="AJ365" s="11">
        <f>IF(tblOrdenes[[#This Row],[orden]]="","",MAX(0,_xlfn.XLOOKUP(tblOrdenes[[#This Row],[id_operacion]],tblEjecucion[id_operacion],tblEjecucion[costo_plan_total],0)-tblOrdenes[[#This Row],[costo_servicio]]))</f>
        <v/>
      </c>
      <c r="AK365" s="11">
        <f>IF(tblOrdenes[[#This Row],[orden]]="","",tblOrdenes[[#This Row],[costo_servicio]]+tblOrdenes[[#This Row],[costo_materiales]])</f>
        <v/>
      </c>
      <c r="AL365" s="6" t="n"/>
      <c r="AM365" s="6" t="n"/>
      <c r="AN365" s="6" t="n"/>
      <c r="AO365" s="3">
        <f>IF(tblOrdenes[[#This Row],[link_checklist]]="","",HYPERLINK(p_ruta_base_checklists&amp;tblOrdenes[[#This Row],[link_checklist]],"abrir"))</f>
        <v/>
      </c>
      <c r="AP365" s="6" t="n"/>
      <c r="AQ365" s="3">
        <f>IF(tblOrdenes[[#This Row],[orden]]="","",tblOrdenes[[#This Row],[orden]]&amp;IF(tblOrdenes[[#This Row],[operacion]]="","0010",tblOrdenes[[#This Row],[operacion]]))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2" t="n"/>
      <c r="K366" s="3" t="n"/>
      <c r="L366" s="11" t="n"/>
      <c r="M3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6" s="3">
        <f>IF(tblOrdenes[[#This Row],[fecha_inicio]]="","",YEAR(tblOrdenes[[#This Row],[fecha_inicio]]))</f>
        <v/>
      </c>
      <c r="Q366" s="3">
        <f>IF(tblOrdenes[[#This Row],[fecha_inicio]]="","",MONTH(tblOrdenes[[#This Row],[fecha_inicio]]))</f>
        <v/>
      </c>
      <c r="R366" s="3">
        <f>IF(tblOrdenes[[#This Row],[fecha_inicio]]="","",INDEX(lista_dias,WEEKDAY(tblOrdenes[[#This Row],[fecha_inicio]],2)))</f>
        <v/>
      </c>
      <c r="S3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6" s="3">
        <f>IF(tblOrdenes[[#This Row],[tipo_ot]]="","",_xlfn.XLOOKUP(tblOrdenes[[#This Row],[tipo_ot]],tblTiposOT[codigo],tblTiposOT[clasificacion],"sin_clasificar"))</f>
        <v/>
      </c>
      <c r="U366" s="3">
        <f>IF(tblOrdenes[[#This Row],[centro_costo]]="","",_xlfn.XLOOKUP(tblOrdenes[[#This Row],[centro_costo]],tblCECO[codigo],tblCECO[linea],"(sin catálogo)"))</f>
        <v/>
      </c>
      <c r="V366" s="3">
        <f>IF(tblOrdenes[[#This Row],[centro_costo]]="","",_xlfn.XLOOKUP(tblOrdenes[[#This Row],[centro_costo]],tblCECO[codigo],tblCECO[area],"(sin catálogo)"))</f>
        <v/>
      </c>
      <c r="W3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6" s="3">
        <f>IF(tblOrdenes[[#This Row],[centro_costo]]="","",_xlfn.XLOOKUP(tblOrdenes[[#This Row],[centro_costo]],tblCECO[codigo],tblCECO[coordinador],"(sin catálogo)"))</f>
        <v/>
      </c>
      <c r="Y366" s="3">
        <f>IF(tblOrdenes[[#This Row],[puesto_trabajo]]="","",_xlfn.XLOOKUP(tblOrdenes[[#This Row],[puesto_trabajo]],tblPuestos[codigo],tblPuestos[especialidad],"(sin catálogo)"))</f>
        <v/>
      </c>
      <c r="Z366" s="3">
        <f>IF(tblOrdenes[[#This Row],[cod_actividad]]="","",_xlfn.XLOOKUP(tblOrdenes[[#This Row],[cod_actividad]],tblActividades[codigo],tblActividades[descripcion],"(sin catálogo)"))</f>
        <v/>
      </c>
      <c r="AA366" s="13">
        <f>IF(tblOrdenes[[#This Row],[fecha_inicio]]="","",TODAY()-tblOrdenes[[#This Row],[fecha_inicio]])</f>
        <v/>
      </c>
      <c r="AB3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6" s="3">
        <f>IF(tblOrdenes[[#This Row],[backlog_habiles]]="","",IF(tblOrdenes[[#This Row],[backlog_habiles]]&lt;0,"FUTURO",IF(tblOrdenes[[#This Row],[backlog_habiles]]&gt;p_dias_backlog_max,"BACKLOG","MES CORRIENTE")))</f>
        <v/>
      </c>
      <c r="AD366" s="3">
        <f>IF(tblOrdenes[[#This Row],[backlog_habiles]]="",FALSE,AND(tblOrdenes[[#This Row],[backlog_habiles]]&gt;p_dias_backlog_min,tblOrdenes[[#This Row],[backlog_habiles]]&lt;=p_dias_backlog_max))</f>
        <v/>
      </c>
      <c r="AE366" s="6" t="n"/>
      <c r="AF3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6" s="11">
        <f>IF(tblOrdenes[[#This Row],[orden]]="","",_xlfn.XLOOKUP(tblOrdenes[[#This Row],[id_operacion]],tblEjecucion[id_operacion],tblEjecucion[precio],0))</f>
        <v/>
      </c>
      <c r="AJ366" s="11">
        <f>IF(tblOrdenes[[#This Row],[orden]]="","",MAX(0,_xlfn.XLOOKUP(tblOrdenes[[#This Row],[id_operacion]],tblEjecucion[id_operacion],tblEjecucion[costo_plan_total],0)-tblOrdenes[[#This Row],[costo_servicio]]))</f>
        <v/>
      </c>
      <c r="AK366" s="11">
        <f>IF(tblOrdenes[[#This Row],[orden]]="","",tblOrdenes[[#This Row],[costo_servicio]]+tblOrdenes[[#This Row],[costo_materiales]])</f>
        <v/>
      </c>
      <c r="AL366" s="6" t="n"/>
      <c r="AM366" s="6" t="n"/>
      <c r="AN366" s="6" t="n"/>
      <c r="AO366" s="3">
        <f>IF(tblOrdenes[[#This Row],[link_checklist]]="","",HYPERLINK(p_ruta_base_checklists&amp;tblOrdenes[[#This Row],[link_checklist]],"abrir"))</f>
        <v/>
      </c>
      <c r="AP366" s="6" t="n"/>
      <c r="AQ366" s="3">
        <f>IF(tblOrdenes[[#This Row],[orden]]="","",tblOrdenes[[#This Row],[orden]]&amp;IF(tblOrdenes[[#This Row],[operacion]]="","0010",tblOrdenes[[#This Row],[operacion]]))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2" t="n"/>
      <c r="K367" s="3" t="n"/>
      <c r="L367" s="11" t="n"/>
      <c r="M3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7" s="3">
        <f>IF(tblOrdenes[[#This Row],[fecha_inicio]]="","",YEAR(tblOrdenes[[#This Row],[fecha_inicio]]))</f>
        <v/>
      </c>
      <c r="Q367" s="3">
        <f>IF(tblOrdenes[[#This Row],[fecha_inicio]]="","",MONTH(tblOrdenes[[#This Row],[fecha_inicio]]))</f>
        <v/>
      </c>
      <c r="R367" s="3">
        <f>IF(tblOrdenes[[#This Row],[fecha_inicio]]="","",INDEX(lista_dias,WEEKDAY(tblOrdenes[[#This Row],[fecha_inicio]],2)))</f>
        <v/>
      </c>
      <c r="S3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7" s="3">
        <f>IF(tblOrdenes[[#This Row],[tipo_ot]]="","",_xlfn.XLOOKUP(tblOrdenes[[#This Row],[tipo_ot]],tblTiposOT[codigo],tblTiposOT[clasificacion],"sin_clasificar"))</f>
        <v/>
      </c>
      <c r="U367" s="3">
        <f>IF(tblOrdenes[[#This Row],[centro_costo]]="","",_xlfn.XLOOKUP(tblOrdenes[[#This Row],[centro_costo]],tblCECO[codigo],tblCECO[linea],"(sin catálogo)"))</f>
        <v/>
      </c>
      <c r="V367" s="3">
        <f>IF(tblOrdenes[[#This Row],[centro_costo]]="","",_xlfn.XLOOKUP(tblOrdenes[[#This Row],[centro_costo]],tblCECO[codigo],tblCECO[area],"(sin catálogo)"))</f>
        <v/>
      </c>
      <c r="W3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7" s="3">
        <f>IF(tblOrdenes[[#This Row],[centro_costo]]="","",_xlfn.XLOOKUP(tblOrdenes[[#This Row],[centro_costo]],tblCECO[codigo],tblCECO[coordinador],"(sin catálogo)"))</f>
        <v/>
      </c>
      <c r="Y367" s="3">
        <f>IF(tblOrdenes[[#This Row],[puesto_trabajo]]="","",_xlfn.XLOOKUP(tblOrdenes[[#This Row],[puesto_trabajo]],tblPuestos[codigo],tblPuestos[especialidad],"(sin catálogo)"))</f>
        <v/>
      </c>
      <c r="Z367" s="3">
        <f>IF(tblOrdenes[[#This Row],[cod_actividad]]="","",_xlfn.XLOOKUP(tblOrdenes[[#This Row],[cod_actividad]],tblActividades[codigo],tblActividades[descripcion],"(sin catálogo)"))</f>
        <v/>
      </c>
      <c r="AA367" s="13">
        <f>IF(tblOrdenes[[#This Row],[fecha_inicio]]="","",TODAY()-tblOrdenes[[#This Row],[fecha_inicio]])</f>
        <v/>
      </c>
      <c r="AB3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7" s="3">
        <f>IF(tblOrdenes[[#This Row],[backlog_habiles]]="","",IF(tblOrdenes[[#This Row],[backlog_habiles]]&lt;0,"FUTURO",IF(tblOrdenes[[#This Row],[backlog_habiles]]&gt;p_dias_backlog_max,"BACKLOG","MES CORRIENTE")))</f>
        <v/>
      </c>
      <c r="AD367" s="3">
        <f>IF(tblOrdenes[[#This Row],[backlog_habiles]]="",FALSE,AND(tblOrdenes[[#This Row],[backlog_habiles]]&gt;p_dias_backlog_min,tblOrdenes[[#This Row],[backlog_habiles]]&lt;=p_dias_backlog_max))</f>
        <v/>
      </c>
      <c r="AE367" s="6" t="n"/>
      <c r="AF3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7" s="11">
        <f>IF(tblOrdenes[[#This Row],[orden]]="","",_xlfn.XLOOKUP(tblOrdenes[[#This Row],[id_operacion]],tblEjecucion[id_operacion],tblEjecucion[precio],0))</f>
        <v/>
      </c>
      <c r="AJ367" s="11">
        <f>IF(tblOrdenes[[#This Row],[orden]]="","",MAX(0,_xlfn.XLOOKUP(tblOrdenes[[#This Row],[id_operacion]],tblEjecucion[id_operacion],tblEjecucion[costo_plan_total],0)-tblOrdenes[[#This Row],[costo_servicio]]))</f>
        <v/>
      </c>
      <c r="AK367" s="11">
        <f>IF(tblOrdenes[[#This Row],[orden]]="","",tblOrdenes[[#This Row],[costo_servicio]]+tblOrdenes[[#This Row],[costo_materiales]])</f>
        <v/>
      </c>
      <c r="AL367" s="6" t="n"/>
      <c r="AM367" s="6" t="n"/>
      <c r="AN367" s="6" t="n"/>
      <c r="AO367" s="3">
        <f>IF(tblOrdenes[[#This Row],[link_checklist]]="","",HYPERLINK(p_ruta_base_checklists&amp;tblOrdenes[[#This Row],[link_checklist]],"abrir"))</f>
        <v/>
      </c>
      <c r="AP367" s="6" t="n"/>
      <c r="AQ367" s="3">
        <f>IF(tblOrdenes[[#This Row],[orden]]="","",tblOrdenes[[#This Row],[orden]]&amp;IF(tblOrdenes[[#This Row],[operacion]]="","0010",tblOrdenes[[#This Row],[operacion]]))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2" t="n"/>
      <c r="K368" s="3" t="n"/>
      <c r="L368" s="11" t="n"/>
      <c r="M3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8" s="3">
        <f>IF(tblOrdenes[[#This Row],[fecha_inicio]]="","",YEAR(tblOrdenes[[#This Row],[fecha_inicio]]))</f>
        <v/>
      </c>
      <c r="Q368" s="3">
        <f>IF(tblOrdenes[[#This Row],[fecha_inicio]]="","",MONTH(tblOrdenes[[#This Row],[fecha_inicio]]))</f>
        <v/>
      </c>
      <c r="R368" s="3">
        <f>IF(tblOrdenes[[#This Row],[fecha_inicio]]="","",INDEX(lista_dias,WEEKDAY(tblOrdenes[[#This Row],[fecha_inicio]],2)))</f>
        <v/>
      </c>
      <c r="S3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8" s="3">
        <f>IF(tblOrdenes[[#This Row],[tipo_ot]]="","",_xlfn.XLOOKUP(tblOrdenes[[#This Row],[tipo_ot]],tblTiposOT[codigo],tblTiposOT[clasificacion],"sin_clasificar"))</f>
        <v/>
      </c>
      <c r="U368" s="3">
        <f>IF(tblOrdenes[[#This Row],[centro_costo]]="","",_xlfn.XLOOKUP(tblOrdenes[[#This Row],[centro_costo]],tblCECO[codigo],tblCECO[linea],"(sin catálogo)"))</f>
        <v/>
      </c>
      <c r="V368" s="3">
        <f>IF(tblOrdenes[[#This Row],[centro_costo]]="","",_xlfn.XLOOKUP(tblOrdenes[[#This Row],[centro_costo]],tblCECO[codigo],tblCECO[area],"(sin catálogo)"))</f>
        <v/>
      </c>
      <c r="W3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8" s="3">
        <f>IF(tblOrdenes[[#This Row],[centro_costo]]="","",_xlfn.XLOOKUP(tblOrdenes[[#This Row],[centro_costo]],tblCECO[codigo],tblCECO[coordinador],"(sin catálogo)"))</f>
        <v/>
      </c>
      <c r="Y368" s="3">
        <f>IF(tblOrdenes[[#This Row],[puesto_trabajo]]="","",_xlfn.XLOOKUP(tblOrdenes[[#This Row],[puesto_trabajo]],tblPuestos[codigo],tblPuestos[especialidad],"(sin catálogo)"))</f>
        <v/>
      </c>
      <c r="Z368" s="3">
        <f>IF(tblOrdenes[[#This Row],[cod_actividad]]="","",_xlfn.XLOOKUP(tblOrdenes[[#This Row],[cod_actividad]],tblActividades[codigo],tblActividades[descripcion],"(sin catálogo)"))</f>
        <v/>
      </c>
      <c r="AA368" s="13">
        <f>IF(tblOrdenes[[#This Row],[fecha_inicio]]="","",TODAY()-tblOrdenes[[#This Row],[fecha_inicio]])</f>
        <v/>
      </c>
      <c r="AB3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8" s="3">
        <f>IF(tblOrdenes[[#This Row],[backlog_habiles]]="","",IF(tblOrdenes[[#This Row],[backlog_habiles]]&lt;0,"FUTURO",IF(tblOrdenes[[#This Row],[backlog_habiles]]&gt;p_dias_backlog_max,"BACKLOG","MES CORRIENTE")))</f>
        <v/>
      </c>
      <c r="AD368" s="3">
        <f>IF(tblOrdenes[[#This Row],[backlog_habiles]]="",FALSE,AND(tblOrdenes[[#This Row],[backlog_habiles]]&gt;p_dias_backlog_min,tblOrdenes[[#This Row],[backlog_habiles]]&lt;=p_dias_backlog_max))</f>
        <v/>
      </c>
      <c r="AE368" s="6" t="n"/>
      <c r="AF3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8" s="11">
        <f>IF(tblOrdenes[[#This Row],[orden]]="","",_xlfn.XLOOKUP(tblOrdenes[[#This Row],[id_operacion]],tblEjecucion[id_operacion],tblEjecucion[precio],0))</f>
        <v/>
      </c>
      <c r="AJ368" s="11">
        <f>IF(tblOrdenes[[#This Row],[orden]]="","",MAX(0,_xlfn.XLOOKUP(tblOrdenes[[#This Row],[id_operacion]],tblEjecucion[id_operacion],tblEjecucion[costo_plan_total],0)-tblOrdenes[[#This Row],[costo_servicio]]))</f>
        <v/>
      </c>
      <c r="AK368" s="11">
        <f>IF(tblOrdenes[[#This Row],[orden]]="","",tblOrdenes[[#This Row],[costo_servicio]]+tblOrdenes[[#This Row],[costo_materiales]])</f>
        <v/>
      </c>
      <c r="AL368" s="6" t="n"/>
      <c r="AM368" s="6" t="n"/>
      <c r="AN368" s="6" t="n"/>
      <c r="AO368" s="3">
        <f>IF(tblOrdenes[[#This Row],[link_checklist]]="","",HYPERLINK(p_ruta_base_checklists&amp;tblOrdenes[[#This Row],[link_checklist]],"abrir"))</f>
        <v/>
      </c>
      <c r="AP368" s="6" t="n"/>
      <c r="AQ368" s="3">
        <f>IF(tblOrdenes[[#This Row],[orden]]="","",tblOrdenes[[#This Row],[orden]]&amp;IF(tblOrdenes[[#This Row],[operacion]]="","0010",tblOrdenes[[#This Row],[operacion]]))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2" t="n"/>
      <c r="K369" s="3" t="n"/>
      <c r="L369" s="11" t="n"/>
      <c r="M3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9" s="3">
        <f>IF(tblOrdenes[[#This Row],[fecha_inicio]]="","",YEAR(tblOrdenes[[#This Row],[fecha_inicio]]))</f>
        <v/>
      </c>
      <c r="Q369" s="3">
        <f>IF(tblOrdenes[[#This Row],[fecha_inicio]]="","",MONTH(tblOrdenes[[#This Row],[fecha_inicio]]))</f>
        <v/>
      </c>
      <c r="R369" s="3">
        <f>IF(tblOrdenes[[#This Row],[fecha_inicio]]="","",INDEX(lista_dias,WEEKDAY(tblOrdenes[[#This Row],[fecha_inicio]],2)))</f>
        <v/>
      </c>
      <c r="S3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9" s="3">
        <f>IF(tblOrdenes[[#This Row],[tipo_ot]]="","",_xlfn.XLOOKUP(tblOrdenes[[#This Row],[tipo_ot]],tblTiposOT[codigo],tblTiposOT[clasificacion],"sin_clasificar"))</f>
        <v/>
      </c>
      <c r="U369" s="3">
        <f>IF(tblOrdenes[[#This Row],[centro_costo]]="","",_xlfn.XLOOKUP(tblOrdenes[[#This Row],[centro_costo]],tblCECO[codigo],tblCECO[linea],"(sin catálogo)"))</f>
        <v/>
      </c>
      <c r="V369" s="3">
        <f>IF(tblOrdenes[[#This Row],[centro_costo]]="","",_xlfn.XLOOKUP(tblOrdenes[[#This Row],[centro_costo]],tblCECO[codigo],tblCECO[area],"(sin catálogo)"))</f>
        <v/>
      </c>
      <c r="W3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9" s="3">
        <f>IF(tblOrdenes[[#This Row],[centro_costo]]="","",_xlfn.XLOOKUP(tblOrdenes[[#This Row],[centro_costo]],tblCECO[codigo],tblCECO[coordinador],"(sin catálogo)"))</f>
        <v/>
      </c>
      <c r="Y369" s="3">
        <f>IF(tblOrdenes[[#This Row],[puesto_trabajo]]="","",_xlfn.XLOOKUP(tblOrdenes[[#This Row],[puesto_trabajo]],tblPuestos[codigo],tblPuestos[especialidad],"(sin catálogo)"))</f>
        <v/>
      </c>
      <c r="Z369" s="3">
        <f>IF(tblOrdenes[[#This Row],[cod_actividad]]="","",_xlfn.XLOOKUP(tblOrdenes[[#This Row],[cod_actividad]],tblActividades[codigo],tblActividades[descripcion],"(sin catálogo)"))</f>
        <v/>
      </c>
      <c r="AA369" s="13">
        <f>IF(tblOrdenes[[#This Row],[fecha_inicio]]="","",TODAY()-tblOrdenes[[#This Row],[fecha_inicio]])</f>
        <v/>
      </c>
      <c r="AB3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9" s="3">
        <f>IF(tblOrdenes[[#This Row],[backlog_habiles]]="","",IF(tblOrdenes[[#This Row],[backlog_habiles]]&lt;0,"FUTURO",IF(tblOrdenes[[#This Row],[backlog_habiles]]&gt;p_dias_backlog_max,"BACKLOG","MES CORRIENTE")))</f>
        <v/>
      </c>
      <c r="AD369" s="3">
        <f>IF(tblOrdenes[[#This Row],[backlog_habiles]]="",FALSE,AND(tblOrdenes[[#This Row],[backlog_habiles]]&gt;p_dias_backlog_min,tblOrdenes[[#This Row],[backlog_habiles]]&lt;=p_dias_backlog_max))</f>
        <v/>
      </c>
      <c r="AE369" s="6" t="n"/>
      <c r="AF3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9" s="11">
        <f>IF(tblOrdenes[[#This Row],[orden]]="","",_xlfn.XLOOKUP(tblOrdenes[[#This Row],[id_operacion]],tblEjecucion[id_operacion],tblEjecucion[precio],0))</f>
        <v/>
      </c>
      <c r="AJ369" s="11">
        <f>IF(tblOrdenes[[#This Row],[orden]]="","",MAX(0,_xlfn.XLOOKUP(tblOrdenes[[#This Row],[id_operacion]],tblEjecucion[id_operacion],tblEjecucion[costo_plan_total],0)-tblOrdenes[[#This Row],[costo_servicio]]))</f>
        <v/>
      </c>
      <c r="AK369" s="11">
        <f>IF(tblOrdenes[[#This Row],[orden]]="","",tblOrdenes[[#This Row],[costo_servicio]]+tblOrdenes[[#This Row],[costo_materiales]])</f>
        <v/>
      </c>
      <c r="AL369" s="6" t="n"/>
      <c r="AM369" s="6" t="n"/>
      <c r="AN369" s="6" t="n"/>
      <c r="AO369" s="3">
        <f>IF(tblOrdenes[[#This Row],[link_checklist]]="","",HYPERLINK(p_ruta_base_checklists&amp;tblOrdenes[[#This Row],[link_checklist]],"abrir"))</f>
        <v/>
      </c>
      <c r="AP369" s="6" t="n"/>
      <c r="AQ369" s="3">
        <f>IF(tblOrdenes[[#This Row],[orden]]="","",tblOrdenes[[#This Row],[orden]]&amp;IF(tblOrdenes[[#This Row],[operacion]]="","0010",tblOrdenes[[#This Row],[operacion]]))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2" t="n"/>
      <c r="K370" s="3" t="n"/>
      <c r="L370" s="11" t="n"/>
      <c r="M3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0" s="3">
        <f>IF(tblOrdenes[[#This Row],[fecha_inicio]]="","",YEAR(tblOrdenes[[#This Row],[fecha_inicio]]))</f>
        <v/>
      </c>
      <c r="Q370" s="3">
        <f>IF(tblOrdenes[[#This Row],[fecha_inicio]]="","",MONTH(tblOrdenes[[#This Row],[fecha_inicio]]))</f>
        <v/>
      </c>
      <c r="R370" s="3">
        <f>IF(tblOrdenes[[#This Row],[fecha_inicio]]="","",INDEX(lista_dias,WEEKDAY(tblOrdenes[[#This Row],[fecha_inicio]],2)))</f>
        <v/>
      </c>
      <c r="S3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0" s="3">
        <f>IF(tblOrdenes[[#This Row],[tipo_ot]]="","",_xlfn.XLOOKUP(tblOrdenes[[#This Row],[tipo_ot]],tblTiposOT[codigo],tblTiposOT[clasificacion],"sin_clasificar"))</f>
        <v/>
      </c>
      <c r="U370" s="3">
        <f>IF(tblOrdenes[[#This Row],[centro_costo]]="","",_xlfn.XLOOKUP(tblOrdenes[[#This Row],[centro_costo]],tblCECO[codigo],tblCECO[linea],"(sin catálogo)"))</f>
        <v/>
      </c>
      <c r="V370" s="3">
        <f>IF(tblOrdenes[[#This Row],[centro_costo]]="","",_xlfn.XLOOKUP(tblOrdenes[[#This Row],[centro_costo]],tblCECO[codigo],tblCECO[area],"(sin catálogo)"))</f>
        <v/>
      </c>
      <c r="W3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0" s="3">
        <f>IF(tblOrdenes[[#This Row],[centro_costo]]="","",_xlfn.XLOOKUP(tblOrdenes[[#This Row],[centro_costo]],tblCECO[codigo],tblCECO[coordinador],"(sin catálogo)"))</f>
        <v/>
      </c>
      <c r="Y370" s="3">
        <f>IF(tblOrdenes[[#This Row],[puesto_trabajo]]="","",_xlfn.XLOOKUP(tblOrdenes[[#This Row],[puesto_trabajo]],tblPuestos[codigo],tblPuestos[especialidad],"(sin catálogo)"))</f>
        <v/>
      </c>
      <c r="Z370" s="3">
        <f>IF(tblOrdenes[[#This Row],[cod_actividad]]="","",_xlfn.XLOOKUP(tblOrdenes[[#This Row],[cod_actividad]],tblActividades[codigo],tblActividades[descripcion],"(sin catálogo)"))</f>
        <v/>
      </c>
      <c r="AA370" s="13">
        <f>IF(tblOrdenes[[#This Row],[fecha_inicio]]="","",TODAY()-tblOrdenes[[#This Row],[fecha_inicio]])</f>
        <v/>
      </c>
      <c r="AB3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0" s="3">
        <f>IF(tblOrdenes[[#This Row],[backlog_habiles]]="","",IF(tblOrdenes[[#This Row],[backlog_habiles]]&lt;0,"FUTURO",IF(tblOrdenes[[#This Row],[backlog_habiles]]&gt;p_dias_backlog_max,"BACKLOG","MES CORRIENTE")))</f>
        <v/>
      </c>
      <c r="AD370" s="3">
        <f>IF(tblOrdenes[[#This Row],[backlog_habiles]]="",FALSE,AND(tblOrdenes[[#This Row],[backlog_habiles]]&gt;p_dias_backlog_min,tblOrdenes[[#This Row],[backlog_habiles]]&lt;=p_dias_backlog_max))</f>
        <v/>
      </c>
      <c r="AE370" s="6" t="n"/>
      <c r="AF3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0" s="11">
        <f>IF(tblOrdenes[[#This Row],[orden]]="","",_xlfn.XLOOKUP(tblOrdenes[[#This Row],[id_operacion]],tblEjecucion[id_operacion],tblEjecucion[precio],0))</f>
        <v/>
      </c>
      <c r="AJ370" s="11">
        <f>IF(tblOrdenes[[#This Row],[orden]]="","",MAX(0,_xlfn.XLOOKUP(tblOrdenes[[#This Row],[id_operacion]],tblEjecucion[id_operacion],tblEjecucion[costo_plan_total],0)-tblOrdenes[[#This Row],[costo_servicio]]))</f>
        <v/>
      </c>
      <c r="AK370" s="11">
        <f>IF(tblOrdenes[[#This Row],[orden]]="","",tblOrdenes[[#This Row],[costo_servicio]]+tblOrdenes[[#This Row],[costo_materiales]])</f>
        <v/>
      </c>
      <c r="AL370" s="6" t="n"/>
      <c r="AM370" s="6" t="n"/>
      <c r="AN370" s="6" t="n"/>
      <c r="AO370" s="3">
        <f>IF(tblOrdenes[[#This Row],[link_checklist]]="","",HYPERLINK(p_ruta_base_checklists&amp;tblOrdenes[[#This Row],[link_checklist]],"abrir"))</f>
        <v/>
      </c>
      <c r="AP370" s="6" t="n"/>
      <c r="AQ370" s="3">
        <f>IF(tblOrdenes[[#This Row],[orden]]="","",tblOrdenes[[#This Row],[orden]]&amp;IF(tblOrdenes[[#This Row],[operacion]]="","0010",tblOrdenes[[#This Row],[operacion]]))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2" t="n"/>
      <c r="K371" s="3" t="n"/>
      <c r="L371" s="11" t="n"/>
      <c r="M3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1" s="3">
        <f>IF(tblOrdenes[[#This Row],[fecha_inicio]]="","",YEAR(tblOrdenes[[#This Row],[fecha_inicio]]))</f>
        <v/>
      </c>
      <c r="Q371" s="3">
        <f>IF(tblOrdenes[[#This Row],[fecha_inicio]]="","",MONTH(tblOrdenes[[#This Row],[fecha_inicio]]))</f>
        <v/>
      </c>
      <c r="R371" s="3">
        <f>IF(tblOrdenes[[#This Row],[fecha_inicio]]="","",INDEX(lista_dias,WEEKDAY(tblOrdenes[[#This Row],[fecha_inicio]],2)))</f>
        <v/>
      </c>
      <c r="S3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1" s="3">
        <f>IF(tblOrdenes[[#This Row],[tipo_ot]]="","",_xlfn.XLOOKUP(tblOrdenes[[#This Row],[tipo_ot]],tblTiposOT[codigo],tblTiposOT[clasificacion],"sin_clasificar"))</f>
        <v/>
      </c>
      <c r="U371" s="3">
        <f>IF(tblOrdenes[[#This Row],[centro_costo]]="","",_xlfn.XLOOKUP(tblOrdenes[[#This Row],[centro_costo]],tblCECO[codigo],tblCECO[linea],"(sin catálogo)"))</f>
        <v/>
      </c>
      <c r="V371" s="3">
        <f>IF(tblOrdenes[[#This Row],[centro_costo]]="","",_xlfn.XLOOKUP(tblOrdenes[[#This Row],[centro_costo]],tblCECO[codigo],tblCECO[area],"(sin catálogo)"))</f>
        <v/>
      </c>
      <c r="W3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1" s="3">
        <f>IF(tblOrdenes[[#This Row],[centro_costo]]="","",_xlfn.XLOOKUP(tblOrdenes[[#This Row],[centro_costo]],tblCECO[codigo],tblCECO[coordinador],"(sin catálogo)"))</f>
        <v/>
      </c>
      <c r="Y371" s="3">
        <f>IF(tblOrdenes[[#This Row],[puesto_trabajo]]="","",_xlfn.XLOOKUP(tblOrdenes[[#This Row],[puesto_trabajo]],tblPuestos[codigo],tblPuestos[especialidad],"(sin catálogo)"))</f>
        <v/>
      </c>
      <c r="Z371" s="3">
        <f>IF(tblOrdenes[[#This Row],[cod_actividad]]="","",_xlfn.XLOOKUP(tblOrdenes[[#This Row],[cod_actividad]],tblActividades[codigo],tblActividades[descripcion],"(sin catálogo)"))</f>
        <v/>
      </c>
      <c r="AA371" s="13">
        <f>IF(tblOrdenes[[#This Row],[fecha_inicio]]="","",TODAY()-tblOrdenes[[#This Row],[fecha_inicio]])</f>
        <v/>
      </c>
      <c r="AB3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1" s="3">
        <f>IF(tblOrdenes[[#This Row],[backlog_habiles]]="","",IF(tblOrdenes[[#This Row],[backlog_habiles]]&lt;0,"FUTURO",IF(tblOrdenes[[#This Row],[backlog_habiles]]&gt;p_dias_backlog_max,"BACKLOG","MES CORRIENTE")))</f>
        <v/>
      </c>
      <c r="AD371" s="3">
        <f>IF(tblOrdenes[[#This Row],[backlog_habiles]]="",FALSE,AND(tblOrdenes[[#This Row],[backlog_habiles]]&gt;p_dias_backlog_min,tblOrdenes[[#This Row],[backlog_habiles]]&lt;=p_dias_backlog_max))</f>
        <v/>
      </c>
      <c r="AE371" s="6" t="n"/>
      <c r="AF3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1" s="11">
        <f>IF(tblOrdenes[[#This Row],[orden]]="","",_xlfn.XLOOKUP(tblOrdenes[[#This Row],[id_operacion]],tblEjecucion[id_operacion],tblEjecucion[precio],0))</f>
        <v/>
      </c>
      <c r="AJ371" s="11">
        <f>IF(tblOrdenes[[#This Row],[orden]]="","",MAX(0,_xlfn.XLOOKUP(tblOrdenes[[#This Row],[id_operacion]],tblEjecucion[id_operacion],tblEjecucion[costo_plan_total],0)-tblOrdenes[[#This Row],[costo_servicio]]))</f>
        <v/>
      </c>
      <c r="AK371" s="11">
        <f>IF(tblOrdenes[[#This Row],[orden]]="","",tblOrdenes[[#This Row],[costo_servicio]]+tblOrdenes[[#This Row],[costo_materiales]])</f>
        <v/>
      </c>
      <c r="AL371" s="6" t="n"/>
      <c r="AM371" s="6" t="n"/>
      <c r="AN371" s="6" t="n"/>
      <c r="AO371" s="3">
        <f>IF(tblOrdenes[[#This Row],[link_checklist]]="","",HYPERLINK(p_ruta_base_checklists&amp;tblOrdenes[[#This Row],[link_checklist]],"abrir"))</f>
        <v/>
      </c>
      <c r="AP371" s="6" t="n"/>
      <c r="AQ371" s="3">
        <f>IF(tblOrdenes[[#This Row],[orden]]="","",tblOrdenes[[#This Row],[orden]]&amp;IF(tblOrdenes[[#This Row],[operacion]]="","0010",tblOrdenes[[#This Row],[operacion]]))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2" t="n"/>
      <c r="K372" s="3" t="n"/>
      <c r="L372" s="11" t="n"/>
      <c r="M3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2" s="3">
        <f>IF(tblOrdenes[[#This Row],[fecha_inicio]]="","",YEAR(tblOrdenes[[#This Row],[fecha_inicio]]))</f>
        <v/>
      </c>
      <c r="Q372" s="3">
        <f>IF(tblOrdenes[[#This Row],[fecha_inicio]]="","",MONTH(tblOrdenes[[#This Row],[fecha_inicio]]))</f>
        <v/>
      </c>
      <c r="R372" s="3">
        <f>IF(tblOrdenes[[#This Row],[fecha_inicio]]="","",INDEX(lista_dias,WEEKDAY(tblOrdenes[[#This Row],[fecha_inicio]],2)))</f>
        <v/>
      </c>
      <c r="S3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2" s="3">
        <f>IF(tblOrdenes[[#This Row],[tipo_ot]]="","",_xlfn.XLOOKUP(tblOrdenes[[#This Row],[tipo_ot]],tblTiposOT[codigo],tblTiposOT[clasificacion],"sin_clasificar"))</f>
        <v/>
      </c>
      <c r="U372" s="3">
        <f>IF(tblOrdenes[[#This Row],[centro_costo]]="","",_xlfn.XLOOKUP(tblOrdenes[[#This Row],[centro_costo]],tblCECO[codigo],tblCECO[linea],"(sin catálogo)"))</f>
        <v/>
      </c>
      <c r="V372" s="3">
        <f>IF(tblOrdenes[[#This Row],[centro_costo]]="","",_xlfn.XLOOKUP(tblOrdenes[[#This Row],[centro_costo]],tblCECO[codigo],tblCECO[area],"(sin catálogo)"))</f>
        <v/>
      </c>
      <c r="W3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2" s="3">
        <f>IF(tblOrdenes[[#This Row],[centro_costo]]="","",_xlfn.XLOOKUP(tblOrdenes[[#This Row],[centro_costo]],tblCECO[codigo],tblCECO[coordinador],"(sin catálogo)"))</f>
        <v/>
      </c>
      <c r="Y372" s="3">
        <f>IF(tblOrdenes[[#This Row],[puesto_trabajo]]="","",_xlfn.XLOOKUP(tblOrdenes[[#This Row],[puesto_trabajo]],tblPuestos[codigo],tblPuestos[especialidad],"(sin catálogo)"))</f>
        <v/>
      </c>
      <c r="Z372" s="3">
        <f>IF(tblOrdenes[[#This Row],[cod_actividad]]="","",_xlfn.XLOOKUP(tblOrdenes[[#This Row],[cod_actividad]],tblActividades[codigo],tblActividades[descripcion],"(sin catálogo)"))</f>
        <v/>
      </c>
      <c r="AA372" s="13">
        <f>IF(tblOrdenes[[#This Row],[fecha_inicio]]="","",TODAY()-tblOrdenes[[#This Row],[fecha_inicio]])</f>
        <v/>
      </c>
      <c r="AB3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2" s="3">
        <f>IF(tblOrdenes[[#This Row],[backlog_habiles]]="","",IF(tblOrdenes[[#This Row],[backlog_habiles]]&lt;0,"FUTURO",IF(tblOrdenes[[#This Row],[backlog_habiles]]&gt;p_dias_backlog_max,"BACKLOG","MES CORRIENTE")))</f>
        <v/>
      </c>
      <c r="AD372" s="3">
        <f>IF(tblOrdenes[[#This Row],[backlog_habiles]]="",FALSE,AND(tblOrdenes[[#This Row],[backlog_habiles]]&gt;p_dias_backlog_min,tblOrdenes[[#This Row],[backlog_habiles]]&lt;=p_dias_backlog_max))</f>
        <v/>
      </c>
      <c r="AE372" s="6" t="n"/>
      <c r="AF3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2" s="11">
        <f>IF(tblOrdenes[[#This Row],[orden]]="","",_xlfn.XLOOKUP(tblOrdenes[[#This Row],[id_operacion]],tblEjecucion[id_operacion],tblEjecucion[precio],0))</f>
        <v/>
      </c>
      <c r="AJ372" s="11">
        <f>IF(tblOrdenes[[#This Row],[orden]]="","",MAX(0,_xlfn.XLOOKUP(tblOrdenes[[#This Row],[id_operacion]],tblEjecucion[id_operacion],tblEjecucion[costo_plan_total],0)-tblOrdenes[[#This Row],[costo_servicio]]))</f>
        <v/>
      </c>
      <c r="AK372" s="11">
        <f>IF(tblOrdenes[[#This Row],[orden]]="","",tblOrdenes[[#This Row],[costo_servicio]]+tblOrdenes[[#This Row],[costo_materiales]])</f>
        <v/>
      </c>
      <c r="AL372" s="6" t="n"/>
      <c r="AM372" s="6" t="n"/>
      <c r="AN372" s="6" t="n"/>
      <c r="AO372" s="3">
        <f>IF(tblOrdenes[[#This Row],[link_checklist]]="","",HYPERLINK(p_ruta_base_checklists&amp;tblOrdenes[[#This Row],[link_checklist]],"abrir"))</f>
        <v/>
      </c>
      <c r="AP372" s="6" t="n"/>
      <c r="AQ372" s="3">
        <f>IF(tblOrdenes[[#This Row],[orden]]="","",tblOrdenes[[#This Row],[orden]]&amp;IF(tblOrdenes[[#This Row],[operacion]]="","0010",tblOrdenes[[#This Row],[operacion]]))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2" t="n"/>
      <c r="K373" s="3" t="n"/>
      <c r="L373" s="11" t="n"/>
      <c r="M3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3" s="3">
        <f>IF(tblOrdenes[[#This Row],[fecha_inicio]]="","",YEAR(tblOrdenes[[#This Row],[fecha_inicio]]))</f>
        <v/>
      </c>
      <c r="Q373" s="3">
        <f>IF(tblOrdenes[[#This Row],[fecha_inicio]]="","",MONTH(tblOrdenes[[#This Row],[fecha_inicio]]))</f>
        <v/>
      </c>
      <c r="R373" s="3">
        <f>IF(tblOrdenes[[#This Row],[fecha_inicio]]="","",INDEX(lista_dias,WEEKDAY(tblOrdenes[[#This Row],[fecha_inicio]],2)))</f>
        <v/>
      </c>
      <c r="S3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3" s="3">
        <f>IF(tblOrdenes[[#This Row],[tipo_ot]]="","",_xlfn.XLOOKUP(tblOrdenes[[#This Row],[tipo_ot]],tblTiposOT[codigo],tblTiposOT[clasificacion],"sin_clasificar"))</f>
        <v/>
      </c>
      <c r="U373" s="3">
        <f>IF(tblOrdenes[[#This Row],[centro_costo]]="","",_xlfn.XLOOKUP(tblOrdenes[[#This Row],[centro_costo]],tblCECO[codigo],tblCECO[linea],"(sin catálogo)"))</f>
        <v/>
      </c>
      <c r="V373" s="3">
        <f>IF(tblOrdenes[[#This Row],[centro_costo]]="","",_xlfn.XLOOKUP(tblOrdenes[[#This Row],[centro_costo]],tblCECO[codigo],tblCECO[area],"(sin catálogo)"))</f>
        <v/>
      </c>
      <c r="W3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3" s="3">
        <f>IF(tblOrdenes[[#This Row],[centro_costo]]="","",_xlfn.XLOOKUP(tblOrdenes[[#This Row],[centro_costo]],tblCECO[codigo],tblCECO[coordinador],"(sin catálogo)"))</f>
        <v/>
      </c>
      <c r="Y373" s="3">
        <f>IF(tblOrdenes[[#This Row],[puesto_trabajo]]="","",_xlfn.XLOOKUP(tblOrdenes[[#This Row],[puesto_trabajo]],tblPuestos[codigo],tblPuestos[especialidad],"(sin catálogo)"))</f>
        <v/>
      </c>
      <c r="Z373" s="3">
        <f>IF(tblOrdenes[[#This Row],[cod_actividad]]="","",_xlfn.XLOOKUP(tblOrdenes[[#This Row],[cod_actividad]],tblActividades[codigo],tblActividades[descripcion],"(sin catálogo)"))</f>
        <v/>
      </c>
      <c r="AA373" s="13">
        <f>IF(tblOrdenes[[#This Row],[fecha_inicio]]="","",TODAY()-tblOrdenes[[#This Row],[fecha_inicio]])</f>
        <v/>
      </c>
      <c r="AB3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3" s="3">
        <f>IF(tblOrdenes[[#This Row],[backlog_habiles]]="","",IF(tblOrdenes[[#This Row],[backlog_habiles]]&lt;0,"FUTURO",IF(tblOrdenes[[#This Row],[backlog_habiles]]&gt;p_dias_backlog_max,"BACKLOG","MES CORRIENTE")))</f>
        <v/>
      </c>
      <c r="AD373" s="3">
        <f>IF(tblOrdenes[[#This Row],[backlog_habiles]]="",FALSE,AND(tblOrdenes[[#This Row],[backlog_habiles]]&gt;p_dias_backlog_min,tblOrdenes[[#This Row],[backlog_habiles]]&lt;=p_dias_backlog_max))</f>
        <v/>
      </c>
      <c r="AE373" s="6" t="n"/>
      <c r="AF3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3" s="11">
        <f>IF(tblOrdenes[[#This Row],[orden]]="","",_xlfn.XLOOKUP(tblOrdenes[[#This Row],[id_operacion]],tblEjecucion[id_operacion],tblEjecucion[precio],0))</f>
        <v/>
      </c>
      <c r="AJ373" s="11">
        <f>IF(tblOrdenes[[#This Row],[orden]]="","",MAX(0,_xlfn.XLOOKUP(tblOrdenes[[#This Row],[id_operacion]],tblEjecucion[id_operacion],tblEjecucion[costo_plan_total],0)-tblOrdenes[[#This Row],[costo_servicio]]))</f>
        <v/>
      </c>
      <c r="AK373" s="11">
        <f>IF(tblOrdenes[[#This Row],[orden]]="","",tblOrdenes[[#This Row],[costo_servicio]]+tblOrdenes[[#This Row],[costo_materiales]])</f>
        <v/>
      </c>
      <c r="AL373" s="6" t="n"/>
      <c r="AM373" s="6" t="n"/>
      <c r="AN373" s="6" t="n"/>
      <c r="AO373" s="3">
        <f>IF(tblOrdenes[[#This Row],[link_checklist]]="","",HYPERLINK(p_ruta_base_checklists&amp;tblOrdenes[[#This Row],[link_checklist]],"abrir"))</f>
        <v/>
      </c>
      <c r="AP373" s="6" t="n"/>
      <c r="AQ373" s="3">
        <f>IF(tblOrdenes[[#This Row],[orden]]="","",tblOrdenes[[#This Row],[orden]]&amp;IF(tblOrdenes[[#This Row],[operacion]]="","0010",tblOrdenes[[#This Row],[operacion]]))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2" t="n"/>
      <c r="K374" s="3" t="n"/>
      <c r="L374" s="11" t="n"/>
      <c r="M3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4" s="3">
        <f>IF(tblOrdenes[[#This Row],[fecha_inicio]]="","",YEAR(tblOrdenes[[#This Row],[fecha_inicio]]))</f>
        <v/>
      </c>
      <c r="Q374" s="3">
        <f>IF(tblOrdenes[[#This Row],[fecha_inicio]]="","",MONTH(tblOrdenes[[#This Row],[fecha_inicio]]))</f>
        <v/>
      </c>
      <c r="R374" s="3">
        <f>IF(tblOrdenes[[#This Row],[fecha_inicio]]="","",INDEX(lista_dias,WEEKDAY(tblOrdenes[[#This Row],[fecha_inicio]],2)))</f>
        <v/>
      </c>
      <c r="S3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4" s="3">
        <f>IF(tblOrdenes[[#This Row],[tipo_ot]]="","",_xlfn.XLOOKUP(tblOrdenes[[#This Row],[tipo_ot]],tblTiposOT[codigo],tblTiposOT[clasificacion],"sin_clasificar"))</f>
        <v/>
      </c>
      <c r="U374" s="3">
        <f>IF(tblOrdenes[[#This Row],[centro_costo]]="","",_xlfn.XLOOKUP(tblOrdenes[[#This Row],[centro_costo]],tblCECO[codigo],tblCECO[linea],"(sin catálogo)"))</f>
        <v/>
      </c>
      <c r="V374" s="3">
        <f>IF(tblOrdenes[[#This Row],[centro_costo]]="","",_xlfn.XLOOKUP(tblOrdenes[[#This Row],[centro_costo]],tblCECO[codigo],tblCECO[area],"(sin catálogo)"))</f>
        <v/>
      </c>
      <c r="W3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4" s="3">
        <f>IF(tblOrdenes[[#This Row],[centro_costo]]="","",_xlfn.XLOOKUP(tblOrdenes[[#This Row],[centro_costo]],tblCECO[codigo],tblCECO[coordinador],"(sin catálogo)"))</f>
        <v/>
      </c>
      <c r="Y374" s="3">
        <f>IF(tblOrdenes[[#This Row],[puesto_trabajo]]="","",_xlfn.XLOOKUP(tblOrdenes[[#This Row],[puesto_trabajo]],tblPuestos[codigo],tblPuestos[especialidad],"(sin catálogo)"))</f>
        <v/>
      </c>
      <c r="Z374" s="3">
        <f>IF(tblOrdenes[[#This Row],[cod_actividad]]="","",_xlfn.XLOOKUP(tblOrdenes[[#This Row],[cod_actividad]],tblActividades[codigo],tblActividades[descripcion],"(sin catálogo)"))</f>
        <v/>
      </c>
      <c r="AA374" s="13">
        <f>IF(tblOrdenes[[#This Row],[fecha_inicio]]="","",TODAY()-tblOrdenes[[#This Row],[fecha_inicio]])</f>
        <v/>
      </c>
      <c r="AB3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4" s="3">
        <f>IF(tblOrdenes[[#This Row],[backlog_habiles]]="","",IF(tblOrdenes[[#This Row],[backlog_habiles]]&lt;0,"FUTURO",IF(tblOrdenes[[#This Row],[backlog_habiles]]&gt;p_dias_backlog_max,"BACKLOG","MES CORRIENTE")))</f>
        <v/>
      </c>
      <c r="AD374" s="3">
        <f>IF(tblOrdenes[[#This Row],[backlog_habiles]]="",FALSE,AND(tblOrdenes[[#This Row],[backlog_habiles]]&gt;p_dias_backlog_min,tblOrdenes[[#This Row],[backlog_habiles]]&lt;=p_dias_backlog_max))</f>
        <v/>
      </c>
      <c r="AE374" s="6" t="n"/>
      <c r="AF3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4" s="11">
        <f>IF(tblOrdenes[[#This Row],[orden]]="","",_xlfn.XLOOKUP(tblOrdenes[[#This Row],[id_operacion]],tblEjecucion[id_operacion],tblEjecucion[precio],0))</f>
        <v/>
      </c>
      <c r="AJ374" s="11">
        <f>IF(tblOrdenes[[#This Row],[orden]]="","",MAX(0,_xlfn.XLOOKUP(tblOrdenes[[#This Row],[id_operacion]],tblEjecucion[id_operacion],tblEjecucion[costo_plan_total],0)-tblOrdenes[[#This Row],[costo_servicio]]))</f>
        <v/>
      </c>
      <c r="AK374" s="11">
        <f>IF(tblOrdenes[[#This Row],[orden]]="","",tblOrdenes[[#This Row],[costo_servicio]]+tblOrdenes[[#This Row],[costo_materiales]])</f>
        <v/>
      </c>
      <c r="AL374" s="6" t="n"/>
      <c r="AM374" s="6" t="n"/>
      <c r="AN374" s="6" t="n"/>
      <c r="AO374" s="3">
        <f>IF(tblOrdenes[[#This Row],[link_checklist]]="","",HYPERLINK(p_ruta_base_checklists&amp;tblOrdenes[[#This Row],[link_checklist]],"abrir"))</f>
        <v/>
      </c>
      <c r="AP374" s="6" t="n"/>
      <c r="AQ374" s="3">
        <f>IF(tblOrdenes[[#This Row],[orden]]="","",tblOrdenes[[#This Row],[orden]]&amp;IF(tblOrdenes[[#This Row],[operacion]]="","0010",tblOrdenes[[#This Row],[operacion]]))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2" t="n"/>
      <c r="K375" s="3" t="n"/>
      <c r="L375" s="11" t="n"/>
      <c r="M3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5" s="3">
        <f>IF(tblOrdenes[[#This Row],[fecha_inicio]]="","",YEAR(tblOrdenes[[#This Row],[fecha_inicio]]))</f>
        <v/>
      </c>
      <c r="Q375" s="3">
        <f>IF(tblOrdenes[[#This Row],[fecha_inicio]]="","",MONTH(tblOrdenes[[#This Row],[fecha_inicio]]))</f>
        <v/>
      </c>
      <c r="R375" s="3">
        <f>IF(tblOrdenes[[#This Row],[fecha_inicio]]="","",INDEX(lista_dias,WEEKDAY(tblOrdenes[[#This Row],[fecha_inicio]],2)))</f>
        <v/>
      </c>
      <c r="S3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5" s="3">
        <f>IF(tblOrdenes[[#This Row],[tipo_ot]]="","",_xlfn.XLOOKUP(tblOrdenes[[#This Row],[tipo_ot]],tblTiposOT[codigo],tblTiposOT[clasificacion],"sin_clasificar"))</f>
        <v/>
      </c>
      <c r="U375" s="3">
        <f>IF(tblOrdenes[[#This Row],[centro_costo]]="","",_xlfn.XLOOKUP(tblOrdenes[[#This Row],[centro_costo]],tblCECO[codigo],tblCECO[linea],"(sin catálogo)"))</f>
        <v/>
      </c>
      <c r="V375" s="3">
        <f>IF(tblOrdenes[[#This Row],[centro_costo]]="","",_xlfn.XLOOKUP(tblOrdenes[[#This Row],[centro_costo]],tblCECO[codigo],tblCECO[area],"(sin catálogo)"))</f>
        <v/>
      </c>
      <c r="W3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5" s="3">
        <f>IF(tblOrdenes[[#This Row],[centro_costo]]="","",_xlfn.XLOOKUP(tblOrdenes[[#This Row],[centro_costo]],tblCECO[codigo],tblCECO[coordinador],"(sin catálogo)"))</f>
        <v/>
      </c>
      <c r="Y375" s="3">
        <f>IF(tblOrdenes[[#This Row],[puesto_trabajo]]="","",_xlfn.XLOOKUP(tblOrdenes[[#This Row],[puesto_trabajo]],tblPuestos[codigo],tblPuestos[especialidad],"(sin catálogo)"))</f>
        <v/>
      </c>
      <c r="Z375" s="3">
        <f>IF(tblOrdenes[[#This Row],[cod_actividad]]="","",_xlfn.XLOOKUP(tblOrdenes[[#This Row],[cod_actividad]],tblActividades[codigo],tblActividades[descripcion],"(sin catálogo)"))</f>
        <v/>
      </c>
      <c r="AA375" s="13">
        <f>IF(tblOrdenes[[#This Row],[fecha_inicio]]="","",TODAY()-tblOrdenes[[#This Row],[fecha_inicio]])</f>
        <v/>
      </c>
      <c r="AB3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5" s="3">
        <f>IF(tblOrdenes[[#This Row],[backlog_habiles]]="","",IF(tblOrdenes[[#This Row],[backlog_habiles]]&lt;0,"FUTURO",IF(tblOrdenes[[#This Row],[backlog_habiles]]&gt;p_dias_backlog_max,"BACKLOG","MES CORRIENTE")))</f>
        <v/>
      </c>
      <c r="AD375" s="3">
        <f>IF(tblOrdenes[[#This Row],[backlog_habiles]]="",FALSE,AND(tblOrdenes[[#This Row],[backlog_habiles]]&gt;p_dias_backlog_min,tblOrdenes[[#This Row],[backlog_habiles]]&lt;=p_dias_backlog_max))</f>
        <v/>
      </c>
      <c r="AE375" s="6" t="n"/>
      <c r="AF3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5" s="11">
        <f>IF(tblOrdenes[[#This Row],[orden]]="","",_xlfn.XLOOKUP(tblOrdenes[[#This Row],[id_operacion]],tblEjecucion[id_operacion],tblEjecucion[precio],0))</f>
        <v/>
      </c>
      <c r="AJ375" s="11">
        <f>IF(tblOrdenes[[#This Row],[orden]]="","",MAX(0,_xlfn.XLOOKUP(tblOrdenes[[#This Row],[id_operacion]],tblEjecucion[id_operacion],tblEjecucion[costo_plan_total],0)-tblOrdenes[[#This Row],[costo_servicio]]))</f>
        <v/>
      </c>
      <c r="AK375" s="11">
        <f>IF(tblOrdenes[[#This Row],[orden]]="","",tblOrdenes[[#This Row],[costo_servicio]]+tblOrdenes[[#This Row],[costo_materiales]])</f>
        <v/>
      </c>
      <c r="AL375" s="6" t="n"/>
      <c r="AM375" s="6" t="n"/>
      <c r="AN375" s="6" t="n"/>
      <c r="AO375" s="3">
        <f>IF(tblOrdenes[[#This Row],[link_checklist]]="","",HYPERLINK(p_ruta_base_checklists&amp;tblOrdenes[[#This Row],[link_checklist]],"abrir"))</f>
        <v/>
      </c>
      <c r="AP375" s="6" t="n"/>
      <c r="AQ375" s="3">
        <f>IF(tblOrdenes[[#This Row],[orden]]="","",tblOrdenes[[#This Row],[orden]]&amp;IF(tblOrdenes[[#This Row],[operacion]]="","0010",tblOrdenes[[#This Row],[operacion]]))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2" t="n"/>
      <c r="K376" s="3" t="n"/>
      <c r="L376" s="11" t="n"/>
      <c r="M3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6" s="3">
        <f>IF(tblOrdenes[[#This Row],[fecha_inicio]]="","",YEAR(tblOrdenes[[#This Row],[fecha_inicio]]))</f>
        <v/>
      </c>
      <c r="Q376" s="3">
        <f>IF(tblOrdenes[[#This Row],[fecha_inicio]]="","",MONTH(tblOrdenes[[#This Row],[fecha_inicio]]))</f>
        <v/>
      </c>
      <c r="R376" s="3">
        <f>IF(tblOrdenes[[#This Row],[fecha_inicio]]="","",INDEX(lista_dias,WEEKDAY(tblOrdenes[[#This Row],[fecha_inicio]],2)))</f>
        <v/>
      </c>
      <c r="S3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6" s="3">
        <f>IF(tblOrdenes[[#This Row],[tipo_ot]]="","",_xlfn.XLOOKUP(tblOrdenes[[#This Row],[tipo_ot]],tblTiposOT[codigo],tblTiposOT[clasificacion],"sin_clasificar"))</f>
        <v/>
      </c>
      <c r="U376" s="3">
        <f>IF(tblOrdenes[[#This Row],[centro_costo]]="","",_xlfn.XLOOKUP(tblOrdenes[[#This Row],[centro_costo]],tblCECO[codigo],tblCECO[linea],"(sin catálogo)"))</f>
        <v/>
      </c>
      <c r="V376" s="3">
        <f>IF(tblOrdenes[[#This Row],[centro_costo]]="","",_xlfn.XLOOKUP(tblOrdenes[[#This Row],[centro_costo]],tblCECO[codigo],tblCECO[area],"(sin catálogo)"))</f>
        <v/>
      </c>
      <c r="W3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6" s="3">
        <f>IF(tblOrdenes[[#This Row],[centro_costo]]="","",_xlfn.XLOOKUP(tblOrdenes[[#This Row],[centro_costo]],tblCECO[codigo],tblCECO[coordinador],"(sin catálogo)"))</f>
        <v/>
      </c>
      <c r="Y376" s="3">
        <f>IF(tblOrdenes[[#This Row],[puesto_trabajo]]="","",_xlfn.XLOOKUP(tblOrdenes[[#This Row],[puesto_trabajo]],tblPuestos[codigo],tblPuestos[especialidad],"(sin catálogo)"))</f>
        <v/>
      </c>
      <c r="Z376" s="3">
        <f>IF(tblOrdenes[[#This Row],[cod_actividad]]="","",_xlfn.XLOOKUP(tblOrdenes[[#This Row],[cod_actividad]],tblActividades[codigo],tblActividades[descripcion],"(sin catálogo)"))</f>
        <v/>
      </c>
      <c r="AA376" s="13">
        <f>IF(tblOrdenes[[#This Row],[fecha_inicio]]="","",TODAY()-tblOrdenes[[#This Row],[fecha_inicio]])</f>
        <v/>
      </c>
      <c r="AB3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6" s="3">
        <f>IF(tblOrdenes[[#This Row],[backlog_habiles]]="","",IF(tblOrdenes[[#This Row],[backlog_habiles]]&lt;0,"FUTURO",IF(tblOrdenes[[#This Row],[backlog_habiles]]&gt;p_dias_backlog_max,"BACKLOG","MES CORRIENTE")))</f>
        <v/>
      </c>
      <c r="AD376" s="3">
        <f>IF(tblOrdenes[[#This Row],[backlog_habiles]]="",FALSE,AND(tblOrdenes[[#This Row],[backlog_habiles]]&gt;p_dias_backlog_min,tblOrdenes[[#This Row],[backlog_habiles]]&lt;=p_dias_backlog_max))</f>
        <v/>
      </c>
      <c r="AE376" s="6" t="n"/>
      <c r="AF3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6" s="11">
        <f>IF(tblOrdenes[[#This Row],[orden]]="","",_xlfn.XLOOKUP(tblOrdenes[[#This Row],[id_operacion]],tblEjecucion[id_operacion],tblEjecucion[precio],0))</f>
        <v/>
      </c>
      <c r="AJ376" s="11">
        <f>IF(tblOrdenes[[#This Row],[orden]]="","",MAX(0,_xlfn.XLOOKUP(tblOrdenes[[#This Row],[id_operacion]],tblEjecucion[id_operacion],tblEjecucion[costo_plan_total],0)-tblOrdenes[[#This Row],[costo_servicio]]))</f>
        <v/>
      </c>
      <c r="AK376" s="11">
        <f>IF(tblOrdenes[[#This Row],[orden]]="","",tblOrdenes[[#This Row],[costo_servicio]]+tblOrdenes[[#This Row],[costo_materiales]])</f>
        <v/>
      </c>
      <c r="AL376" s="6" t="n"/>
      <c r="AM376" s="6" t="n"/>
      <c r="AN376" s="6" t="n"/>
      <c r="AO376" s="3">
        <f>IF(tblOrdenes[[#This Row],[link_checklist]]="","",HYPERLINK(p_ruta_base_checklists&amp;tblOrdenes[[#This Row],[link_checklist]],"abrir"))</f>
        <v/>
      </c>
      <c r="AP376" s="6" t="n"/>
      <c r="AQ376" s="3">
        <f>IF(tblOrdenes[[#This Row],[orden]]="","",tblOrdenes[[#This Row],[orden]]&amp;IF(tblOrdenes[[#This Row],[operacion]]="","0010",tblOrdenes[[#This Row],[operacion]]))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2" t="n"/>
      <c r="K377" s="3" t="n"/>
      <c r="L377" s="11" t="n"/>
      <c r="M3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7" s="3">
        <f>IF(tblOrdenes[[#This Row],[fecha_inicio]]="","",YEAR(tblOrdenes[[#This Row],[fecha_inicio]]))</f>
        <v/>
      </c>
      <c r="Q377" s="3">
        <f>IF(tblOrdenes[[#This Row],[fecha_inicio]]="","",MONTH(tblOrdenes[[#This Row],[fecha_inicio]]))</f>
        <v/>
      </c>
      <c r="R377" s="3">
        <f>IF(tblOrdenes[[#This Row],[fecha_inicio]]="","",INDEX(lista_dias,WEEKDAY(tblOrdenes[[#This Row],[fecha_inicio]],2)))</f>
        <v/>
      </c>
      <c r="S3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7" s="3">
        <f>IF(tblOrdenes[[#This Row],[tipo_ot]]="","",_xlfn.XLOOKUP(tblOrdenes[[#This Row],[tipo_ot]],tblTiposOT[codigo],tblTiposOT[clasificacion],"sin_clasificar"))</f>
        <v/>
      </c>
      <c r="U377" s="3">
        <f>IF(tblOrdenes[[#This Row],[centro_costo]]="","",_xlfn.XLOOKUP(tblOrdenes[[#This Row],[centro_costo]],tblCECO[codigo],tblCECO[linea],"(sin catálogo)"))</f>
        <v/>
      </c>
      <c r="V377" s="3">
        <f>IF(tblOrdenes[[#This Row],[centro_costo]]="","",_xlfn.XLOOKUP(tblOrdenes[[#This Row],[centro_costo]],tblCECO[codigo],tblCECO[area],"(sin catálogo)"))</f>
        <v/>
      </c>
      <c r="W3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7" s="3">
        <f>IF(tblOrdenes[[#This Row],[centro_costo]]="","",_xlfn.XLOOKUP(tblOrdenes[[#This Row],[centro_costo]],tblCECO[codigo],tblCECO[coordinador],"(sin catálogo)"))</f>
        <v/>
      </c>
      <c r="Y377" s="3">
        <f>IF(tblOrdenes[[#This Row],[puesto_trabajo]]="","",_xlfn.XLOOKUP(tblOrdenes[[#This Row],[puesto_trabajo]],tblPuestos[codigo],tblPuestos[especialidad],"(sin catálogo)"))</f>
        <v/>
      </c>
      <c r="Z377" s="3">
        <f>IF(tblOrdenes[[#This Row],[cod_actividad]]="","",_xlfn.XLOOKUP(tblOrdenes[[#This Row],[cod_actividad]],tblActividades[codigo],tblActividades[descripcion],"(sin catálogo)"))</f>
        <v/>
      </c>
      <c r="AA377" s="13">
        <f>IF(tblOrdenes[[#This Row],[fecha_inicio]]="","",TODAY()-tblOrdenes[[#This Row],[fecha_inicio]])</f>
        <v/>
      </c>
      <c r="AB3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7" s="3">
        <f>IF(tblOrdenes[[#This Row],[backlog_habiles]]="","",IF(tblOrdenes[[#This Row],[backlog_habiles]]&lt;0,"FUTURO",IF(tblOrdenes[[#This Row],[backlog_habiles]]&gt;p_dias_backlog_max,"BACKLOG","MES CORRIENTE")))</f>
        <v/>
      </c>
      <c r="AD377" s="3">
        <f>IF(tblOrdenes[[#This Row],[backlog_habiles]]="",FALSE,AND(tblOrdenes[[#This Row],[backlog_habiles]]&gt;p_dias_backlog_min,tblOrdenes[[#This Row],[backlog_habiles]]&lt;=p_dias_backlog_max))</f>
        <v/>
      </c>
      <c r="AE377" s="6" t="n"/>
      <c r="AF3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7" s="11">
        <f>IF(tblOrdenes[[#This Row],[orden]]="","",_xlfn.XLOOKUP(tblOrdenes[[#This Row],[id_operacion]],tblEjecucion[id_operacion],tblEjecucion[precio],0))</f>
        <v/>
      </c>
      <c r="AJ377" s="11">
        <f>IF(tblOrdenes[[#This Row],[orden]]="","",MAX(0,_xlfn.XLOOKUP(tblOrdenes[[#This Row],[id_operacion]],tblEjecucion[id_operacion],tblEjecucion[costo_plan_total],0)-tblOrdenes[[#This Row],[costo_servicio]]))</f>
        <v/>
      </c>
      <c r="AK377" s="11">
        <f>IF(tblOrdenes[[#This Row],[orden]]="","",tblOrdenes[[#This Row],[costo_servicio]]+tblOrdenes[[#This Row],[costo_materiales]])</f>
        <v/>
      </c>
      <c r="AL377" s="6" t="n"/>
      <c r="AM377" s="6" t="n"/>
      <c r="AN377" s="6" t="n"/>
      <c r="AO377" s="3">
        <f>IF(tblOrdenes[[#This Row],[link_checklist]]="","",HYPERLINK(p_ruta_base_checklists&amp;tblOrdenes[[#This Row],[link_checklist]],"abrir"))</f>
        <v/>
      </c>
      <c r="AP377" s="6" t="n"/>
      <c r="AQ377" s="3">
        <f>IF(tblOrdenes[[#This Row],[orden]]="","",tblOrdenes[[#This Row],[orden]]&amp;IF(tblOrdenes[[#This Row],[operacion]]="","0010",tblOrdenes[[#This Row],[operacion]]))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2" t="n"/>
      <c r="K378" s="3" t="n"/>
      <c r="L378" s="11" t="n"/>
      <c r="M3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8" s="3">
        <f>IF(tblOrdenes[[#This Row],[fecha_inicio]]="","",YEAR(tblOrdenes[[#This Row],[fecha_inicio]]))</f>
        <v/>
      </c>
      <c r="Q378" s="3">
        <f>IF(tblOrdenes[[#This Row],[fecha_inicio]]="","",MONTH(tblOrdenes[[#This Row],[fecha_inicio]]))</f>
        <v/>
      </c>
      <c r="R378" s="3">
        <f>IF(tblOrdenes[[#This Row],[fecha_inicio]]="","",INDEX(lista_dias,WEEKDAY(tblOrdenes[[#This Row],[fecha_inicio]],2)))</f>
        <v/>
      </c>
      <c r="S3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8" s="3">
        <f>IF(tblOrdenes[[#This Row],[tipo_ot]]="","",_xlfn.XLOOKUP(tblOrdenes[[#This Row],[tipo_ot]],tblTiposOT[codigo],tblTiposOT[clasificacion],"sin_clasificar"))</f>
        <v/>
      </c>
      <c r="U378" s="3">
        <f>IF(tblOrdenes[[#This Row],[centro_costo]]="","",_xlfn.XLOOKUP(tblOrdenes[[#This Row],[centro_costo]],tblCECO[codigo],tblCECO[linea],"(sin catálogo)"))</f>
        <v/>
      </c>
      <c r="V378" s="3">
        <f>IF(tblOrdenes[[#This Row],[centro_costo]]="","",_xlfn.XLOOKUP(tblOrdenes[[#This Row],[centro_costo]],tblCECO[codigo],tblCECO[area],"(sin catálogo)"))</f>
        <v/>
      </c>
      <c r="W3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8" s="3">
        <f>IF(tblOrdenes[[#This Row],[centro_costo]]="","",_xlfn.XLOOKUP(tblOrdenes[[#This Row],[centro_costo]],tblCECO[codigo],tblCECO[coordinador],"(sin catálogo)"))</f>
        <v/>
      </c>
      <c r="Y378" s="3">
        <f>IF(tblOrdenes[[#This Row],[puesto_trabajo]]="","",_xlfn.XLOOKUP(tblOrdenes[[#This Row],[puesto_trabajo]],tblPuestos[codigo],tblPuestos[especialidad],"(sin catálogo)"))</f>
        <v/>
      </c>
      <c r="Z378" s="3">
        <f>IF(tblOrdenes[[#This Row],[cod_actividad]]="","",_xlfn.XLOOKUP(tblOrdenes[[#This Row],[cod_actividad]],tblActividades[codigo],tblActividades[descripcion],"(sin catálogo)"))</f>
        <v/>
      </c>
      <c r="AA378" s="13">
        <f>IF(tblOrdenes[[#This Row],[fecha_inicio]]="","",TODAY()-tblOrdenes[[#This Row],[fecha_inicio]])</f>
        <v/>
      </c>
      <c r="AB3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8" s="3">
        <f>IF(tblOrdenes[[#This Row],[backlog_habiles]]="","",IF(tblOrdenes[[#This Row],[backlog_habiles]]&lt;0,"FUTURO",IF(tblOrdenes[[#This Row],[backlog_habiles]]&gt;p_dias_backlog_max,"BACKLOG","MES CORRIENTE")))</f>
        <v/>
      </c>
      <c r="AD378" s="3">
        <f>IF(tblOrdenes[[#This Row],[backlog_habiles]]="",FALSE,AND(tblOrdenes[[#This Row],[backlog_habiles]]&gt;p_dias_backlog_min,tblOrdenes[[#This Row],[backlog_habiles]]&lt;=p_dias_backlog_max))</f>
        <v/>
      </c>
      <c r="AE378" s="6" t="n"/>
      <c r="AF3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8" s="11">
        <f>IF(tblOrdenes[[#This Row],[orden]]="","",_xlfn.XLOOKUP(tblOrdenes[[#This Row],[id_operacion]],tblEjecucion[id_operacion],tblEjecucion[precio],0))</f>
        <v/>
      </c>
      <c r="AJ378" s="11">
        <f>IF(tblOrdenes[[#This Row],[orden]]="","",MAX(0,_xlfn.XLOOKUP(tblOrdenes[[#This Row],[id_operacion]],tblEjecucion[id_operacion],tblEjecucion[costo_plan_total],0)-tblOrdenes[[#This Row],[costo_servicio]]))</f>
        <v/>
      </c>
      <c r="AK378" s="11">
        <f>IF(tblOrdenes[[#This Row],[orden]]="","",tblOrdenes[[#This Row],[costo_servicio]]+tblOrdenes[[#This Row],[costo_materiales]])</f>
        <v/>
      </c>
      <c r="AL378" s="6" t="n"/>
      <c r="AM378" s="6" t="n"/>
      <c r="AN378" s="6" t="n"/>
      <c r="AO378" s="3">
        <f>IF(tblOrdenes[[#This Row],[link_checklist]]="","",HYPERLINK(p_ruta_base_checklists&amp;tblOrdenes[[#This Row],[link_checklist]],"abrir"))</f>
        <v/>
      </c>
      <c r="AP378" s="6" t="n"/>
      <c r="AQ378" s="3">
        <f>IF(tblOrdenes[[#This Row],[orden]]="","",tblOrdenes[[#This Row],[orden]]&amp;IF(tblOrdenes[[#This Row],[operacion]]="","0010",tblOrdenes[[#This Row],[operacion]]))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2" t="n"/>
      <c r="K379" s="3" t="n"/>
      <c r="L379" s="11" t="n"/>
      <c r="M3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9" s="3">
        <f>IF(tblOrdenes[[#This Row],[fecha_inicio]]="","",YEAR(tblOrdenes[[#This Row],[fecha_inicio]]))</f>
        <v/>
      </c>
      <c r="Q379" s="3">
        <f>IF(tblOrdenes[[#This Row],[fecha_inicio]]="","",MONTH(tblOrdenes[[#This Row],[fecha_inicio]]))</f>
        <v/>
      </c>
      <c r="R379" s="3">
        <f>IF(tblOrdenes[[#This Row],[fecha_inicio]]="","",INDEX(lista_dias,WEEKDAY(tblOrdenes[[#This Row],[fecha_inicio]],2)))</f>
        <v/>
      </c>
      <c r="S3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9" s="3">
        <f>IF(tblOrdenes[[#This Row],[tipo_ot]]="","",_xlfn.XLOOKUP(tblOrdenes[[#This Row],[tipo_ot]],tblTiposOT[codigo],tblTiposOT[clasificacion],"sin_clasificar"))</f>
        <v/>
      </c>
      <c r="U379" s="3">
        <f>IF(tblOrdenes[[#This Row],[centro_costo]]="","",_xlfn.XLOOKUP(tblOrdenes[[#This Row],[centro_costo]],tblCECO[codigo],tblCECO[linea],"(sin catálogo)"))</f>
        <v/>
      </c>
      <c r="V379" s="3">
        <f>IF(tblOrdenes[[#This Row],[centro_costo]]="","",_xlfn.XLOOKUP(tblOrdenes[[#This Row],[centro_costo]],tblCECO[codigo],tblCECO[area],"(sin catálogo)"))</f>
        <v/>
      </c>
      <c r="W3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9" s="3">
        <f>IF(tblOrdenes[[#This Row],[centro_costo]]="","",_xlfn.XLOOKUP(tblOrdenes[[#This Row],[centro_costo]],tblCECO[codigo],tblCECO[coordinador],"(sin catálogo)"))</f>
        <v/>
      </c>
      <c r="Y379" s="3">
        <f>IF(tblOrdenes[[#This Row],[puesto_trabajo]]="","",_xlfn.XLOOKUP(tblOrdenes[[#This Row],[puesto_trabajo]],tblPuestos[codigo],tblPuestos[especialidad],"(sin catálogo)"))</f>
        <v/>
      </c>
      <c r="Z379" s="3">
        <f>IF(tblOrdenes[[#This Row],[cod_actividad]]="","",_xlfn.XLOOKUP(tblOrdenes[[#This Row],[cod_actividad]],tblActividades[codigo],tblActividades[descripcion],"(sin catálogo)"))</f>
        <v/>
      </c>
      <c r="AA379" s="13">
        <f>IF(tblOrdenes[[#This Row],[fecha_inicio]]="","",TODAY()-tblOrdenes[[#This Row],[fecha_inicio]])</f>
        <v/>
      </c>
      <c r="AB3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9" s="3">
        <f>IF(tblOrdenes[[#This Row],[backlog_habiles]]="","",IF(tblOrdenes[[#This Row],[backlog_habiles]]&lt;0,"FUTURO",IF(tblOrdenes[[#This Row],[backlog_habiles]]&gt;p_dias_backlog_max,"BACKLOG","MES CORRIENTE")))</f>
        <v/>
      </c>
      <c r="AD379" s="3">
        <f>IF(tblOrdenes[[#This Row],[backlog_habiles]]="",FALSE,AND(tblOrdenes[[#This Row],[backlog_habiles]]&gt;p_dias_backlog_min,tblOrdenes[[#This Row],[backlog_habiles]]&lt;=p_dias_backlog_max))</f>
        <v/>
      </c>
      <c r="AE379" s="6" t="n"/>
      <c r="AF3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9" s="11">
        <f>IF(tblOrdenes[[#This Row],[orden]]="","",_xlfn.XLOOKUP(tblOrdenes[[#This Row],[id_operacion]],tblEjecucion[id_operacion],tblEjecucion[precio],0))</f>
        <v/>
      </c>
      <c r="AJ379" s="11">
        <f>IF(tblOrdenes[[#This Row],[orden]]="","",MAX(0,_xlfn.XLOOKUP(tblOrdenes[[#This Row],[id_operacion]],tblEjecucion[id_operacion],tblEjecucion[costo_plan_total],0)-tblOrdenes[[#This Row],[costo_servicio]]))</f>
        <v/>
      </c>
      <c r="AK379" s="11">
        <f>IF(tblOrdenes[[#This Row],[orden]]="","",tblOrdenes[[#This Row],[costo_servicio]]+tblOrdenes[[#This Row],[costo_materiales]])</f>
        <v/>
      </c>
      <c r="AL379" s="6" t="n"/>
      <c r="AM379" s="6" t="n"/>
      <c r="AN379" s="6" t="n"/>
      <c r="AO379" s="3">
        <f>IF(tblOrdenes[[#This Row],[link_checklist]]="","",HYPERLINK(p_ruta_base_checklists&amp;tblOrdenes[[#This Row],[link_checklist]],"abrir"))</f>
        <v/>
      </c>
      <c r="AP379" s="6" t="n"/>
      <c r="AQ379" s="3">
        <f>IF(tblOrdenes[[#This Row],[orden]]="","",tblOrdenes[[#This Row],[orden]]&amp;IF(tblOrdenes[[#This Row],[operacion]]="","0010",tblOrdenes[[#This Row],[operacion]]))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2" t="n"/>
      <c r="K380" s="3" t="n"/>
      <c r="L380" s="11" t="n"/>
      <c r="M3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0" s="3">
        <f>IF(tblOrdenes[[#This Row],[fecha_inicio]]="","",YEAR(tblOrdenes[[#This Row],[fecha_inicio]]))</f>
        <v/>
      </c>
      <c r="Q380" s="3">
        <f>IF(tblOrdenes[[#This Row],[fecha_inicio]]="","",MONTH(tblOrdenes[[#This Row],[fecha_inicio]]))</f>
        <v/>
      </c>
      <c r="R380" s="3">
        <f>IF(tblOrdenes[[#This Row],[fecha_inicio]]="","",INDEX(lista_dias,WEEKDAY(tblOrdenes[[#This Row],[fecha_inicio]],2)))</f>
        <v/>
      </c>
      <c r="S3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0" s="3">
        <f>IF(tblOrdenes[[#This Row],[tipo_ot]]="","",_xlfn.XLOOKUP(tblOrdenes[[#This Row],[tipo_ot]],tblTiposOT[codigo],tblTiposOT[clasificacion],"sin_clasificar"))</f>
        <v/>
      </c>
      <c r="U380" s="3">
        <f>IF(tblOrdenes[[#This Row],[centro_costo]]="","",_xlfn.XLOOKUP(tblOrdenes[[#This Row],[centro_costo]],tblCECO[codigo],tblCECO[linea],"(sin catálogo)"))</f>
        <v/>
      </c>
      <c r="V380" s="3">
        <f>IF(tblOrdenes[[#This Row],[centro_costo]]="","",_xlfn.XLOOKUP(tblOrdenes[[#This Row],[centro_costo]],tblCECO[codigo],tblCECO[area],"(sin catálogo)"))</f>
        <v/>
      </c>
      <c r="W3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0" s="3">
        <f>IF(tblOrdenes[[#This Row],[centro_costo]]="","",_xlfn.XLOOKUP(tblOrdenes[[#This Row],[centro_costo]],tblCECO[codigo],tblCECO[coordinador],"(sin catálogo)"))</f>
        <v/>
      </c>
      <c r="Y380" s="3">
        <f>IF(tblOrdenes[[#This Row],[puesto_trabajo]]="","",_xlfn.XLOOKUP(tblOrdenes[[#This Row],[puesto_trabajo]],tblPuestos[codigo],tblPuestos[especialidad],"(sin catálogo)"))</f>
        <v/>
      </c>
      <c r="Z380" s="3">
        <f>IF(tblOrdenes[[#This Row],[cod_actividad]]="","",_xlfn.XLOOKUP(tblOrdenes[[#This Row],[cod_actividad]],tblActividades[codigo],tblActividades[descripcion],"(sin catálogo)"))</f>
        <v/>
      </c>
      <c r="AA380" s="13">
        <f>IF(tblOrdenes[[#This Row],[fecha_inicio]]="","",TODAY()-tblOrdenes[[#This Row],[fecha_inicio]])</f>
        <v/>
      </c>
      <c r="AB3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0" s="3">
        <f>IF(tblOrdenes[[#This Row],[backlog_habiles]]="","",IF(tblOrdenes[[#This Row],[backlog_habiles]]&lt;0,"FUTURO",IF(tblOrdenes[[#This Row],[backlog_habiles]]&gt;p_dias_backlog_max,"BACKLOG","MES CORRIENTE")))</f>
        <v/>
      </c>
      <c r="AD380" s="3">
        <f>IF(tblOrdenes[[#This Row],[backlog_habiles]]="",FALSE,AND(tblOrdenes[[#This Row],[backlog_habiles]]&gt;p_dias_backlog_min,tblOrdenes[[#This Row],[backlog_habiles]]&lt;=p_dias_backlog_max))</f>
        <v/>
      </c>
      <c r="AE380" s="6" t="n"/>
      <c r="AF3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0" s="11">
        <f>IF(tblOrdenes[[#This Row],[orden]]="","",_xlfn.XLOOKUP(tblOrdenes[[#This Row],[id_operacion]],tblEjecucion[id_operacion],tblEjecucion[precio],0))</f>
        <v/>
      </c>
      <c r="AJ380" s="11">
        <f>IF(tblOrdenes[[#This Row],[orden]]="","",MAX(0,_xlfn.XLOOKUP(tblOrdenes[[#This Row],[id_operacion]],tblEjecucion[id_operacion],tblEjecucion[costo_plan_total],0)-tblOrdenes[[#This Row],[costo_servicio]]))</f>
        <v/>
      </c>
      <c r="AK380" s="11">
        <f>IF(tblOrdenes[[#This Row],[orden]]="","",tblOrdenes[[#This Row],[costo_servicio]]+tblOrdenes[[#This Row],[costo_materiales]])</f>
        <v/>
      </c>
      <c r="AL380" s="6" t="n"/>
      <c r="AM380" s="6" t="n"/>
      <c r="AN380" s="6" t="n"/>
      <c r="AO380" s="3">
        <f>IF(tblOrdenes[[#This Row],[link_checklist]]="","",HYPERLINK(p_ruta_base_checklists&amp;tblOrdenes[[#This Row],[link_checklist]],"abrir"))</f>
        <v/>
      </c>
      <c r="AP380" s="6" t="n"/>
      <c r="AQ380" s="3">
        <f>IF(tblOrdenes[[#This Row],[orden]]="","",tblOrdenes[[#This Row],[orden]]&amp;IF(tblOrdenes[[#This Row],[operacion]]="","0010",tblOrdenes[[#This Row],[operacion]]))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2" t="n"/>
      <c r="K381" s="3" t="n"/>
      <c r="L381" s="11" t="n"/>
      <c r="M3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1" s="3">
        <f>IF(tblOrdenes[[#This Row],[fecha_inicio]]="","",YEAR(tblOrdenes[[#This Row],[fecha_inicio]]))</f>
        <v/>
      </c>
      <c r="Q381" s="3">
        <f>IF(tblOrdenes[[#This Row],[fecha_inicio]]="","",MONTH(tblOrdenes[[#This Row],[fecha_inicio]]))</f>
        <v/>
      </c>
      <c r="R381" s="3">
        <f>IF(tblOrdenes[[#This Row],[fecha_inicio]]="","",INDEX(lista_dias,WEEKDAY(tblOrdenes[[#This Row],[fecha_inicio]],2)))</f>
        <v/>
      </c>
      <c r="S3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1" s="3">
        <f>IF(tblOrdenes[[#This Row],[tipo_ot]]="","",_xlfn.XLOOKUP(tblOrdenes[[#This Row],[tipo_ot]],tblTiposOT[codigo],tblTiposOT[clasificacion],"sin_clasificar"))</f>
        <v/>
      </c>
      <c r="U381" s="3">
        <f>IF(tblOrdenes[[#This Row],[centro_costo]]="","",_xlfn.XLOOKUP(tblOrdenes[[#This Row],[centro_costo]],tblCECO[codigo],tblCECO[linea],"(sin catálogo)"))</f>
        <v/>
      </c>
      <c r="V381" s="3">
        <f>IF(tblOrdenes[[#This Row],[centro_costo]]="","",_xlfn.XLOOKUP(tblOrdenes[[#This Row],[centro_costo]],tblCECO[codigo],tblCECO[area],"(sin catálogo)"))</f>
        <v/>
      </c>
      <c r="W3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1" s="3">
        <f>IF(tblOrdenes[[#This Row],[centro_costo]]="","",_xlfn.XLOOKUP(tblOrdenes[[#This Row],[centro_costo]],tblCECO[codigo],tblCECO[coordinador],"(sin catálogo)"))</f>
        <v/>
      </c>
      <c r="Y381" s="3">
        <f>IF(tblOrdenes[[#This Row],[puesto_trabajo]]="","",_xlfn.XLOOKUP(tblOrdenes[[#This Row],[puesto_trabajo]],tblPuestos[codigo],tblPuestos[especialidad],"(sin catálogo)"))</f>
        <v/>
      </c>
      <c r="Z381" s="3">
        <f>IF(tblOrdenes[[#This Row],[cod_actividad]]="","",_xlfn.XLOOKUP(tblOrdenes[[#This Row],[cod_actividad]],tblActividades[codigo],tblActividades[descripcion],"(sin catálogo)"))</f>
        <v/>
      </c>
      <c r="AA381" s="13">
        <f>IF(tblOrdenes[[#This Row],[fecha_inicio]]="","",TODAY()-tblOrdenes[[#This Row],[fecha_inicio]])</f>
        <v/>
      </c>
      <c r="AB3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1" s="3">
        <f>IF(tblOrdenes[[#This Row],[backlog_habiles]]="","",IF(tblOrdenes[[#This Row],[backlog_habiles]]&lt;0,"FUTURO",IF(tblOrdenes[[#This Row],[backlog_habiles]]&gt;p_dias_backlog_max,"BACKLOG","MES CORRIENTE")))</f>
        <v/>
      </c>
      <c r="AD381" s="3">
        <f>IF(tblOrdenes[[#This Row],[backlog_habiles]]="",FALSE,AND(tblOrdenes[[#This Row],[backlog_habiles]]&gt;p_dias_backlog_min,tblOrdenes[[#This Row],[backlog_habiles]]&lt;=p_dias_backlog_max))</f>
        <v/>
      </c>
      <c r="AE381" s="6" t="n"/>
      <c r="AF3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1" s="11">
        <f>IF(tblOrdenes[[#This Row],[orden]]="","",_xlfn.XLOOKUP(tblOrdenes[[#This Row],[id_operacion]],tblEjecucion[id_operacion],tblEjecucion[precio],0))</f>
        <v/>
      </c>
      <c r="AJ381" s="11">
        <f>IF(tblOrdenes[[#This Row],[orden]]="","",MAX(0,_xlfn.XLOOKUP(tblOrdenes[[#This Row],[id_operacion]],tblEjecucion[id_operacion],tblEjecucion[costo_plan_total],0)-tblOrdenes[[#This Row],[costo_servicio]]))</f>
        <v/>
      </c>
      <c r="AK381" s="11">
        <f>IF(tblOrdenes[[#This Row],[orden]]="","",tblOrdenes[[#This Row],[costo_servicio]]+tblOrdenes[[#This Row],[costo_materiales]])</f>
        <v/>
      </c>
      <c r="AL381" s="6" t="n"/>
      <c r="AM381" s="6" t="n"/>
      <c r="AN381" s="6" t="n"/>
      <c r="AO381" s="3">
        <f>IF(tblOrdenes[[#This Row],[link_checklist]]="","",HYPERLINK(p_ruta_base_checklists&amp;tblOrdenes[[#This Row],[link_checklist]],"abrir"))</f>
        <v/>
      </c>
      <c r="AP381" s="6" t="n"/>
      <c r="AQ381" s="3">
        <f>IF(tblOrdenes[[#This Row],[orden]]="","",tblOrdenes[[#This Row],[orden]]&amp;IF(tblOrdenes[[#This Row],[operacion]]="","0010",tblOrdenes[[#This Row],[operacion]]))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2" t="n"/>
      <c r="K382" s="3" t="n"/>
      <c r="L382" s="11" t="n"/>
      <c r="M3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2" s="3">
        <f>IF(tblOrdenes[[#This Row],[fecha_inicio]]="","",YEAR(tblOrdenes[[#This Row],[fecha_inicio]]))</f>
        <v/>
      </c>
      <c r="Q382" s="3">
        <f>IF(tblOrdenes[[#This Row],[fecha_inicio]]="","",MONTH(tblOrdenes[[#This Row],[fecha_inicio]]))</f>
        <v/>
      </c>
      <c r="R382" s="3">
        <f>IF(tblOrdenes[[#This Row],[fecha_inicio]]="","",INDEX(lista_dias,WEEKDAY(tblOrdenes[[#This Row],[fecha_inicio]],2)))</f>
        <v/>
      </c>
      <c r="S3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2" s="3">
        <f>IF(tblOrdenes[[#This Row],[tipo_ot]]="","",_xlfn.XLOOKUP(tblOrdenes[[#This Row],[tipo_ot]],tblTiposOT[codigo],tblTiposOT[clasificacion],"sin_clasificar"))</f>
        <v/>
      </c>
      <c r="U382" s="3">
        <f>IF(tblOrdenes[[#This Row],[centro_costo]]="","",_xlfn.XLOOKUP(tblOrdenes[[#This Row],[centro_costo]],tblCECO[codigo],tblCECO[linea],"(sin catálogo)"))</f>
        <v/>
      </c>
      <c r="V382" s="3">
        <f>IF(tblOrdenes[[#This Row],[centro_costo]]="","",_xlfn.XLOOKUP(tblOrdenes[[#This Row],[centro_costo]],tblCECO[codigo],tblCECO[area],"(sin catálogo)"))</f>
        <v/>
      </c>
      <c r="W3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2" s="3">
        <f>IF(tblOrdenes[[#This Row],[centro_costo]]="","",_xlfn.XLOOKUP(tblOrdenes[[#This Row],[centro_costo]],tblCECO[codigo],tblCECO[coordinador],"(sin catálogo)"))</f>
        <v/>
      </c>
      <c r="Y382" s="3">
        <f>IF(tblOrdenes[[#This Row],[puesto_trabajo]]="","",_xlfn.XLOOKUP(tblOrdenes[[#This Row],[puesto_trabajo]],tblPuestos[codigo],tblPuestos[especialidad],"(sin catálogo)"))</f>
        <v/>
      </c>
      <c r="Z382" s="3">
        <f>IF(tblOrdenes[[#This Row],[cod_actividad]]="","",_xlfn.XLOOKUP(tblOrdenes[[#This Row],[cod_actividad]],tblActividades[codigo],tblActividades[descripcion],"(sin catálogo)"))</f>
        <v/>
      </c>
      <c r="AA382" s="13">
        <f>IF(tblOrdenes[[#This Row],[fecha_inicio]]="","",TODAY()-tblOrdenes[[#This Row],[fecha_inicio]])</f>
        <v/>
      </c>
      <c r="AB3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2" s="3">
        <f>IF(tblOrdenes[[#This Row],[backlog_habiles]]="","",IF(tblOrdenes[[#This Row],[backlog_habiles]]&lt;0,"FUTURO",IF(tblOrdenes[[#This Row],[backlog_habiles]]&gt;p_dias_backlog_max,"BACKLOG","MES CORRIENTE")))</f>
        <v/>
      </c>
      <c r="AD382" s="3">
        <f>IF(tblOrdenes[[#This Row],[backlog_habiles]]="",FALSE,AND(tblOrdenes[[#This Row],[backlog_habiles]]&gt;p_dias_backlog_min,tblOrdenes[[#This Row],[backlog_habiles]]&lt;=p_dias_backlog_max))</f>
        <v/>
      </c>
      <c r="AE382" s="6" t="n"/>
      <c r="AF3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2" s="11">
        <f>IF(tblOrdenes[[#This Row],[orden]]="","",_xlfn.XLOOKUP(tblOrdenes[[#This Row],[id_operacion]],tblEjecucion[id_operacion],tblEjecucion[precio],0))</f>
        <v/>
      </c>
      <c r="AJ382" s="11">
        <f>IF(tblOrdenes[[#This Row],[orden]]="","",MAX(0,_xlfn.XLOOKUP(tblOrdenes[[#This Row],[id_operacion]],tblEjecucion[id_operacion],tblEjecucion[costo_plan_total],0)-tblOrdenes[[#This Row],[costo_servicio]]))</f>
        <v/>
      </c>
      <c r="AK382" s="11">
        <f>IF(tblOrdenes[[#This Row],[orden]]="","",tblOrdenes[[#This Row],[costo_servicio]]+tblOrdenes[[#This Row],[costo_materiales]])</f>
        <v/>
      </c>
      <c r="AL382" s="6" t="n"/>
      <c r="AM382" s="6" t="n"/>
      <c r="AN382" s="6" t="n"/>
      <c r="AO382" s="3">
        <f>IF(tblOrdenes[[#This Row],[link_checklist]]="","",HYPERLINK(p_ruta_base_checklists&amp;tblOrdenes[[#This Row],[link_checklist]],"abrir"))</f>
        <v/>
      </c>
      <c r="AP382" s="6" t="n"/>
      <c r="AQ382" s="3">
        <f>IF(tblOrdenes[[#This Row],[orden]]="","",tblOrdenes[[#This Row],[orden]]&amp;IF(tblOrdenes[[#This Row],[operacion]]="","0010",tblOrdenes[[#This Row],[operacion]]))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2" t="n"/>
      <c r="K383" s="3" t="n"/>
      <c r="L383" s="11" t="n"/>
      <c r="M3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3" s="3">
        <f>IF(tblOrdenes[[#This Row],[fecha_inicio]]="","",YEAR(tblOrdenes[[#This Row],[fecha_inicio]]))</f>
        <v/>
      </c>
      <c r="Q383" s="3">
        <f>IF(tblOrdenes[[#This Row],[fecha_inicio]]="","",MONTH(tblOrdenes[[#This Row],[fecha_inicio]]))</f>
        <v/>
      </c>
      <c r="R383" s="3">
        <f>IF(tblOrdenes[[#This Row],[fecha_inicio]]="","",INDEX(lista_dias,WEEKDAY(tblOrdenes[[#This Row],[fecha_inicio]],2)))</f>
        <v/>
      </c>
      <c r="S3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3" s="3">
        <f>IF(tblOrdenes[[#This Row],[tipo_ot]]="","",_xlfn.XLOOKUP(tblOrdenes[[#This Row],[tipo_ot]],tblTiposOT[codigo],tblTiposOT[clasificacion],"sin_clasificar"))</f>
        <v/>
      </c>
      <c r="U383" s="3">
        <f>IF(tblOrdenes[[#This Row],[centro_costo]]="","",_xlfn.XLOOKUP(tblOrdenes[[#This Row],[centro_costo]],tblCECO[codigo],tblCECO[linea],"(sin catálogo)"))</f>
        <v/>
      </c>
      <c r="V383" s="3">
        <f>IF(tblOrdenes[[#This Row],[centro_costo]]="","",_xlfn.XLOOKUP(tblOrdenes[[#This Row],[centro_costo]],tblCECO[codigo],tblCECO[area],"(sin catálogo)"))</f>
        <v/>
      </c>
      <c r="W3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3" s="3">
        <f>IF(tblOrdenes[[#This Row],[centro_costo]]="","",_xlfn.XLOOKUP(tblOrdenes[[#This Row],[centro_costo]],tblCECO[codigo],tblCECO[coordinador],"(sin catálogo)"))</f>
        <v/>
      </c>
      <c r="Y383" s="3">
        <f>IF(tblOrdenes[[#This Row],[puesto_trabajo]]="","",_xlfn.XLOOKUP(tblOrdenes[[#This Row],[puesto_trabajo]],tblPuestos[codigo],tblPuestos[especialidad],"(sin catálogo)"))</f>
        <v/>
      </c>
      <c r="Z383" s="3">
        <f>IF(tblOrdenes[[#This Row],[cod_actividad]]="","",_xlfn.XLOOKUP(tblOrdenes[[#This Row],[cod_actividad]],tblActividades[codigo],tblActividades[descripcion],"(sin catálogo)"))</f>
        <v/>
      </c>
      <c r="AA383" s="13">
        <f>IF(tblOrdenes[[#This Row],[fecha_inicio]]="","",TODAY()-tblOrdenes[[#This Row],[fecha_inicio]])</f>
        <v/>
      </c>
      <c r="AB3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3" s="3">
        <f>IF(tblOrdenes[[#This Row],[backlog_habiles]]="","",IF(tblOrdenes[[#This Row],[backlog_habiles]]&lt;0,"FUTURO",IF(tblOrdenes[[#This Row],[backlog_habiles]]&gt;p_dias_backlog_max,"BACKLOG","MES CORRIENTE")))</f>
        <v/>
      </c>
      <c r="AD383" s="3">
        <f>IF(tblOrdenes[[#This Row],[backlog_habiles]]="",FALSE,AND(tblOrdenes[[#This Row],[backlog_habiles]]&gt;p_dias_backlog_min,tblOrdenes[[#This Row],[backlog_habiles]]&lt;=p_dias_backlog_max))</f>
        <v/>
      </c>
      <c r="AE383" s="6" t="n"/>
      <c r="AF3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3" s="11">
        <f>IF(tblOrdenes[[#This Row],[orden]]="","",_xlfn.XLOOKUP(tblOrdenes[[#This Row],[id_operacion]],tblEjecucion[id_operacion],tblEjecucion[precio],0))</f>
        <v/>
      </c>
      <c r="AJ383" s="11">
        <f>IF(tblOrdenes[[#This Row],[orden]]="","",MAX(0,_xlfn.XLOOKUP(tblOrdenes[[#This Row],[id_operacion]],tblEjecucion[id_operacion],tblEjecucion[costo_plan_total],0)-tblOrdenes[[#This Row],[costo_servicio]]))</f>
        <v/>
      </c>
      <c r="AK383" s="11">
        <f>IF(tblOrdenes[[#This Row],[orden]]="","",tblOrdenes[[#This Row],[costo_servicio]]+tblOrdenes[[#This Row],[costo_materiales]])</f>
        <v/>
      </c>
      <c r="AL383" s="6" t="n"/>
      <c r="AM383" s="6" t="n"/>
      <c r="AN383" s="6" t="n"/>
      <c r="AO383" s="3">
        <f>IF(tblOrdenes[[#This Row],[link_checklist]]="","",HYPERLINK(p_ruta_base_checklists&amp;tblOrdenes[[#This Row],[link_checklist]],"abrir"))</f>
        <v/>
      </c>
      <c r="AP383" s="6" t="n"/>
      <c r="AQ383" s="3">
        <f>IF(tblOrdenes[[#This Row],[orden]]="","",tblOrdenes[[#This Row],[orden]]&amp;IF(tblOrdenes[[#This Row],[operacion]]="","0010",tblOrdenes[[#This Row],[operacion]]))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2" t="n"/>
      <c r="K384" s="3" t="n"/>
      <c r="L384" s="11" t="n"/>
      <c r="M3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4" s="3">
        <f>IF(tblOrdenes[[#This Row],[fecha_inicio]]="","",YEAR(tblOrdenes[[#This Row],[fecha_inicio]]))</f>
        <v/>
      </c>
      <c r="Q384" s="3">
        <f>IF(tblOrdenes[[#This Row],[fecha_inicio]]="","",MONTH(tblOrdenes[[#This Row],[fecha_inicio]]))</f>
        <v/>
      </c>
      <c r="R384" s="3">
        <f>IF(tblOrdenes[[#This Row],[fecha_inicio]]="","",INDEX(lista_dias,WEEKDAY(tblOrdenes[[#This Row],[fecha_inicio]],2)))</f>
        <v/>
      </c>
      <c r="S3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4" s="3">
        <f>IF(tblOrdenes[[#This Row],[tipo_ot]]="","",_xlfn.XLOOKUP(tblOrdenes[[#This Row],[tipo_ot]],tblTiposOT[codigo],tblTiposOT[clasificacion],"sin_clasificar"))</f>
        <v/>
      </c>
      <c r="U384" s="3">
        <f>IF(tblOrdenes[[#This Row],[centro_costo]]="","",_xlfn.XLOOKUP(tblOrdenes[[#This Row],[centro_costo]],tblCECO[codigo],tblCECO[linea],"(sin catálogo)"))</f>
        <v/>
      </c>
      <c r="V384" s="3">
        <f>IF(tblOrdenes[[#This Row],[centro_costo]]="","",_xlfn.XLOOKUP(tblOrdenes[[#This Row],[centro_costo]],tblCECO[codigo],tblCECO[area],"(sin catálogo)"))</f>
        <v/>
      </c>
      <c r="W3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4" s="3">
        <f>IF(tblOrdenes[[#This Row],[centro_costo]]="","",_xlfn.XLOOKUP(tblOrdenes[[#This Row],[centro_costo]],tblCECO[codigo],tblCECO[coordinador],"(sin catálogo)"))</f>
        <v/>
      </c>
      <c r="Y384" s="3">
        <f>IF(tblOrdenes[[#This Row],[puesto_trabajo]]="","",_xlfn.XLOOKUP(tblOrdenes[[#This Row],[puesto_trabajo]],tblPuestos[codigo],tblPuestos[especialidad],"(sin catálogo)"))</f>
        <v/>
      </c>
      <c r="Z384" s="3">
        <f>IF(tblOrdenes[[#This Row],[cod_actividad]]="","",_xlfn.XLOOKUP(tblOrdenes[[#This Row],[cod_actividad]],tblActividades[codigo],tblActividades[descripcion],"(sin catálogo)"))</f>
        <v/>
      </c>
      <c r="AA384" s="13">
        <f>IF(tblOrdenes[[#This Row],[fecha_inicio]]="","",TODAY()-tblOrdenes[[#This Row],[fecha_inicio]])</f>
        <v/>
      </c>
      <c r="AB3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4" s="3">
        <f>IF(tblOrdenes[[#This Row],[backlog_habiles]]="","",IF(tblOrdenes[[#This Row],[backlog_habiles]]&lt;0,"FUTURO",IF(tblOrdenes[[#This Row],[backlog_habiles]]&gt;p_dias_backlog_max,"BACKLOG","MES CORRIENTE")))</f>
        <v/>
      </c>
      <c r="AD384" s="3">
        <f>IF(tblOrdenes[[#This Row],[backlog_habiles]]="",FALSE,AND(tblOrdenes[[#This Row],[backlog_habiles]]&gt;p_dias_backlog_min,tblOrdenes[[#This Row],[backlog_habiles]]&lt;=p_dias_backlog_max))</f>
        <v/>
      </c>
      <c r="AE384" s="6" t="n"/>
      <c r="AF3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4" s="11">
        <f>IF(tblOrdenes[[#This Row],[orden]]="","",_xlfn.XLOOKUP(tblOrdenes[[#This Row],[id_operacion]],tblEjecucion[id_operacion],tblEjecucion[precio],0))</f>
        <v/>
      </c>
      <c r="AJ384" s="11">
        <f>IF(tblOrdenes[[#This Row],[orden]]="","",MAX(0,_xlfn.XLOOKUP(tblOrdenes[[#This Row],[id_operacion]],tblEjecucion[id_operacion],tblEjecucion[costo_plan_total],0)-tblOrdenes[[#This Row],[costo_servicio]]))</f>
        <v/>
      </c>
      <c r="AK384" s="11">
        <f>IF(tblOrdenes[[#This Row],[orden]]="","",tblOrdenes[[#This Row],[costo_servicio]]+tblOrdenes[[#This Row],[costo_materiales]])</f>
        <v/>
      </c>
      <c r="AL384" s="6" t="n"/>
      <c r="AM384" s="6" t="n"/>
      <c r="AN384" s="6" t="n"/>
      <c r="AO384" s="3">
        <f>IF(tblOrdenes[[#This Row],[link_checklist]]="","",HYPERLINK(p_ruta_base_checklists&amp;tblOrdenes[[#This Row],[link_checklist]],"abrir"))</f>
        <v/>
      </c>
      <c r="AP384" s="6" t="n"/>
      <c r="AQ384" s="3">
        <f>IF(tblOrdenes[[#This Row],[orden]]="","",tblOrdenes[[#This Row],[orden]]&amp;IF(tblOrdenes[[#This Row],[operacion]]="","0010",tblOrdenes[[#This Row],[operacion]]))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2" t="n"/>
      <c r="K385" s="3" t="n"/>
      <c r="L385" s="11" t="n"/>
      <c r="M3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5" s="3">
        <f>IF(tblOrdenes[[#This Row],[fecha_inicio]]="","",YEAR(tblOrdenes[[#This Row],[fecha_inicio]]))</f>
        <v/>
      </c>
      <c r="Q385" s="3">
        <f>IF(tblOrdenes[[#This Row],[fecha_inicio]]="","",MONTH(tblOrdenes[[#This Row],[fecha_inicio]]))</f>
        <v/>
      </c>
      <c r="R385" s="3">
        <f>IF(tblOrdenes[[#This Row],[fecha_inicio]]="","",INDEX(lista_dias,WEEKDAY(tblOrdenes[[#This Row],[fecha_inicio]],2)))</f>
        <v/>
      </c>
      <c r="S3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5" s="3">
        <f>IF(tblOrdenes[[#This Row],[tipo_ot]]="","",_xlfn.XLOOKUP(tblOrdenes[[#This Row],[tipo_ot]],tblTiposOT[codigo],tblTiposOT[clasificacion],"sin_clasificar"))</f>
        <v/>
      </c>
      <c r="U385" s="3">
        <f>IF(tblOrdenes[[#This Row],[centro_costo]]="","",_xlfn.XLOOKUP(tblOrdenes[[#This Row],[centro_costo]],tblCECO[codigo],tblCECO[linea],"(sin catálogo)"))</f>
        <v/>
      </c>
      <c r="V385" s="3">
        <f>IF(tblOrdenes[[#This Row],[centro_costo]]="","",_xlfn.XLOOKUP(tblOrdenes[[#This Row],[centro_costo]],tblCECO[codigo],tblCECO[area],"(sin catálogo)"))</f>
        <v/>
      </c>
      <c r="W3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5" s="3">
        <f>IF(tblOrdenes[[#This Row],[centro_costo]]="","",_xlfn.XLOOKUP(tblOrdenes[[#This Row],[centro_costo]],tblCECO[codigo],tblCECO[coordinador],"(sin catálogo)"))</f>
        <v/>
      </c>
      <c r="Y385" s="3">
        <f>IF(tblOrdenes[[#This Row],[puesto_trabajo]]="","",_xlfn.XLOOKUP(tblOrdenes[[#This Row],[puesto_trabajo]],tblPuestos[codigo],tblPuestos[especialidad],"(sin catálogo)"))</f>
        <v/>
      </c>
      <c r="Z385" s="3">
        <f>IF(tblOrdenes[[#This Row],[cod_actividad]]="","",_xlfn.XLOOKUP(tblOrdenes[[#This Row],[cod_actividad]],tblActividades[codigo],tblActividades[descripcion],"(sin catálogo)"))</f>
        <v/>
      </c>
      <c r="AA385" s="13">
        <f>IF(tblOrdenes[[#This Row],[fecha_inicio]]="","",TODAY()-tblOrdenes[[#This Row],[fecha_inicio]])</f>
        <v/>
      </c>
      <c r="AB3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5" s="3">
        <f>IF(tblOrdenes[[#This Row],[backlog_habiles]]="","",IF(tblOrdenes[[#This Row],[backlog_habiles]]&lt;0,"FUTURO",IF(tblOrdenes[[#This Row],[backlog_habiles]]&gt;p_dias_backlog_max,"BACKLOG","MES CORRIENTE")))</f>
        <v/>
      </c>
      <c r="AD385" s="3">
        <f>IF(tblOrdenes[[#This Row],[backlog_habiles]]="",FALSE,AND(tblOrdenes[[#This Row],[backlog_habiles]]&gt;p_dias_backlog_min,tblOrdenes[[#This Row],[backlog_habiles]]&lt;=p_dias_backlog_max))</f>
        <v/>
      </c>
      <c r="AE385" s="6" t="n"/>
      <c r="AF3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5" s="11">
        <f>IF(tblOrdenes[[#This Row],[orden]]="","",_xlfn.XLOOKUP(tblOrdenes[[#This Row],[id_operacion]],tblEjecucion[id_operacion],tblEjecucion[precio],0))</f>
        <v/>
      </c>
      <c r="AJ385" s="11">
        <f>IF(tblOrdenes[[#This Row],[orden]]="","",MAX(0,_xlfn.XLOOKUP(tblOrdenes[[#This Row],[id_operacion]],tblEjecucion[id_operacion],tblEjecucion[costo_plan_total],0)-tblOrdenes[[#This Row],[costo_servicio]]))</f>
        <v/>
      </c>
      <c r="AK385" s="11">
        <f>IF(tblOrdenes[[#This Row],[orden]]="","",tblOrdenes[[#This Row],[costo_servicio]]+tblOrdenes[[#This Row],[costo_materiales]])</f>
        <v/>
      </c>
      <c r="AL385" s="6" t="n"/>
      <c r="AM385" s="6" t="n"/>
      <c r="AN385" s="6" t="n"/>
      <c r="AO385" s="3">
        <f>IF(tblOrdenes[[#This Row],[link_checklist]]="","",HYPERLINK(p_ruta_base_checklists&amp;tblOrdenes[[#This Row],[link_checklist]],"abrir"))</f>
        <v/>
      </c>
      <c r="AP385" s="6" t="n"/>
      <c r="AQ385" s="3">
        <f>IF(tblOrdenes[[#This Row],[orden]]="","",tblOrdenes[[#This Row],[orden]]&amp;IF(tblOrdenes[[#This Row],[operacion]]="","0010",tblOrdenes[[#This Row],[operacion]]))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2" t="n"/>
      <c r="K386" s="3" t="n"/>
      <c r="L386" s="11" t="n"/>
      <c r="M3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6" s="3">
        <f>IF(tblOrdenes[[#This Row],[fecha_inicio]]="","",YEAR(tblOrdenes[[#This Row],[fecha_inicio]]))</f>
        <v/>
      </c>
      <c r="Q386" s="3">
        <f>IF(tblOrdenes[[#This Row],[fecha_inicio]]="","",MONTH(tblOrdenes[[#This Row],[fecha_inicio]]))</f>
        <v/>
      </c>
      <c r="R386" s="3">
        <f>IF(tblOrdenes[[#This Row],[fecha_inicio]]="","",INDEX(lista_dias,WEEKDAY(tblOrdenes[[#This Row],[fecha_inicio]],2)))</f>
        <v/>
      </c>
      <c r="S3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6" s="3">
        <f>IF(tblOrdenes[[#This Row],[tipo_ot]]="","",_xlfn.XLOOKUP(tblOrdenes[[#This Row],[tipo_ot]],tblTiposOT[codigo],tblTiposOT[clasificacion],"sin_clasificar"))</f>
        <v/>
      </c>
      <c r="U386" s="3">
        <f>IF(tblOrdenes[[#This Row],[centro_costo]]="","",_xlfn.XLOOKUP(tblOrdenes[[#This Row],[centro_costo]],tblCECO[codigo],tblCECO[linea],"(sin catálogo)"))</f>
        <v/>
      </c>
      <c r="V386" s="3">
        <f>IF(tblOrdenes[[#This Row],[centro_costo]]="","",_xlfn.XLOOKUP(tblOrdenes[[#This Row],[centro_costo]],tblCECO[codigo],tblCECO[area],"(sin catálogo)"))</f>
        <v/>
      </c>
      <c r="W3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6" s="3">
        <f>IF(tblOrdenes[[#This Row],[centro_costo]]="","",_xlfn.XLOOKUP(tblOrdenes[[#This Row],[centro_costo]],tblCECO[codigo],tblCECO[coordinador],"(sin catálogo)"))</f>
        <v/>
      </c>
      <c r="Y386" s="3">
        <f>IF(tblOrdenes[[#This Row],[puesto_trabajo]]="","",_xlfn.XLOOKUP(tblOrdenes[[#This Row],[puesto_trabajo]],tblPuestos[codigo],tblPuestos[especialidad],"(sin catálogo)"))</f>
        <v/>
      </c>
      <c r="Z386" s="3">
        <f>IF(tblOrdenes[[#This Row],[cod_actividad]]="","",_xlfn.XLOOKUP(tblOrdenes[[#This Row],[cod_actividad]],tblActividades[codigo],tblActividades[descripcion],"(sin catálogo)"))</f>
        <v/>
      </c>
      <c r="AA386" s="13">
        <f>IF(tblOrdenes[[#This Row],[fecha_inicio]]="","",TODAY()-tblOrdenes[[#This Row],[fecha_inicio]])</f>
        <v/>
      </c>
      <c r="AB3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6" s="3">
        <f>IF(tblOrdenes[[#This Row],[backlog_habiles]]="","",IF(tblOrdenes[[#This Row],[backlog_habiles]]&lt;0,"FUTURO",IF(tblOrdenes[[#This Row],[backlog_habiles]]&gt;p_dias_backlog_max,"BACKLOG","MES CORRIENTE")))</f>
        <v/>
      </c>
      <c r="AD386" s="3">
        <f>IF(tblOrdenes[[#This Row],[backlog_habiles]]="",FALSE,AND(tblOrdenes[[#This Row],[backlog_habiles]]&gt;p_dias_backlog_min,tblOrdenes[[#This Row],[backlog_habiles]]&lt;=p_dias_backlog_max))</f>
        <v/>
      </c>
      <c r="AE386" s="6" t="n"/>
      <c r="AF3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6" s="11">
        <f>IF(tblOrdenes[[#This Row],[orden]]="","",_xlfn.XLOOKUP(tblOrdenes[[#This Row],[id_operacion]],tblEjecucion[id_operacion],tblEjecucion[precio],0))</f>
        <v/>
      </c>
      <c r="AJ386" s="11">
        <f>IF(tblOrdenes[[#This Row],[orden]]="","",MAX(0,_xlfn.XLOOKUP(tblOrdenes[[#This Row],[id_operacion]],tblEjecucion[id_operacion],tblEjecucion[costo_plan_total],0)-tblOrdenes[[#This Row],[costo_servicio]]))</f>
        <v/>
      </c>
      <c r="AK386" s="11">
        <f>IF(tblOrdenes[[#This Row],[orden]]="","",tblOrdenes[[#This Row],[costo_servicio]]+tblOrdenes[[#This Row],[costo_materiales]])</f>
        <v/>
      </c>
      <c r="AL386" s="6" t="n"/>
      <c r="AM386" s="6" t="n"/>
      <c r="AN386" s="6" t="n"/>
      <c r="AO386" s="3">
        <f>IF(tblOrdenes[[#This Row],[link_checklist]]="","",HYPERLINK(p_ruta_base_checklists&amp;tblOrdenes[[#This Row],[link_checklist]],"abrir"))</f>
        <v/>
      </c>
      <c r="AP386" s="6" t="n"/>
      <c r="AQ386" s="3">
        <f>IF(tblOrdenes[[#This Row],[orden]]="","",tblOrdenes[[#This Row],[orden]]&amp;IF(tblOrdenes[[#This Row],[operacion]]="","0010",tblOrdenes[[#This Row],[operacion]]))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2" t="n"/>
      <c r="K387" s="3" t="n"/>
      <c r="L387" s="11" t="n"/>
      <c r="M3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7" s="3">
        <f>IF(tblOrdenes[[#This Row],[fecha_inicio]]="","",YEAR(tblOrdenes[[#This Row],[fecha_inicio]]))</f>
        <v/>
      </c>
      <c r="Q387" s="3">
        <f>IF(tblOrdenes[[#This Row],[fecha_inicio]]="","",MONTH(tblOrdenes[[#This Row],[fecha_inicio]]))</f>
        <v/>
      </c>
      <c r="R387" s="3">
        <f>IF(tblOrdenes[[#This Row],[fecha_inicio]]="","",INDEX(lista_dias,WEEKDAY(tblOrdenes[[#This Row],[fecha_inicio]],2)))</f>
        <v/>
      </c>
      <c r="S3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7" s="3">
        <f>IF(tblOrdenes[[#This Row],[tipo_ot]]="","",_xlfn.XLOOKUP(tblOrdenes[[#This Row],[tipo_ot]],tblTiposOT[codigo],tblTiposOT[clasificacion],"sin_clasificar"))</f>
        <v/>
      </c>
      <c r="U387" s="3">
        <f>IF(tblOrdenes[[#This Row],[centro_costo]]="","",_xlfn.XLOOKUP(tblOrdenes[[#This Row],[centro_costo]],tblCECO[codigo],tblCECO[linea],"(sin catálogo)"))</f>
        <v/>
      </c>
      <c r="V387" s="3">
        <f>IF(tblOrdenes[[#This Row],[centro_costo]]="","",_xlfn.XLOOKUP(tblOrdenes[[#This Row],[centro_costo]],tblCECO[codigo],tblCECO[area],"(sin catálogo)"))</f>
        <v/>
      </c>
      <c r="W3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7" s="3">
        <f>IF(tblOrdenes[[#This Row],[centro_costo]]="","",_xlfn.XLOOKUP(tblOrdenes[[#This Row],[centro_costo]],tblCECO[codigo],tblCECO[coordinador],"(sin catálogo)"))</f>
        <v/>
      </c>
      <c r="Y387" s="3">
        <f>IF(tblOrdenes[[#This Row],[puesto_trabajo]]="","",_xlfn.XLOOKUP(tblOrdenes[[#This Row],[puesto_trabajo]],tblPuestos[codigo],tblPuestos[especialidad],"(sin catálogo)"))</f>
        <v/>
      </c>
      <c r="Z387" s="3">
        <f>IF(tblOrdenes[[#This Row],[cod_actividad]]="","",_xlfn.XLOOKUP(tblOrdenes[[#This Row],[cod_actividad]],tblActividades[codigo],tblActividades[descripcion],"(sin catálogo)"))</f>
        <v/>
      </c>
      <c r="AA387" s="13">
        <f>IF(tblOrdenes[[#This Row],[fecha_inicio]]="","",TODAY()-tblOrdenes[[#This Row],[fecha_inicio]])</f>
        <v/>
      </c>
      <c r="AB3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7" s="3">
        <f>IF(tblOrdenes[[#This Row],[backlog_habiles]]="","",IF(tblOrdenes[[#This Row],[backlog_habiles]]&lt;0,"FUTURO",IF(tblOrdenes[[#This Row],[backlog_habiles]]&gt;p_dias_backlog_max,"BACKLOG","MES CORRIENTE")))</f>
        <v/>
      </c>
      <c r="AD387" s="3">
        <f>IF(tblOrdenes[[#This Row],[backlog_habiles]]="",FALSE,AND(tblOrdenes[[#This Row],[backlog_habiles]]&gt;p_dias_backlog_min,tblOrdenes[[#This Row],[backlog_habiles]]&lt;=p_dias_backlog_max))</f>
        <v/>
      </c>
      <c r="AE387" s="6" t="n"/>
      <c r="AF3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7" s="11">
        <f>IF(tblOrdenes[[#This Row],[orden]]="","",_xlfn.XLOOKUP(tblOrdenes[[#This Row],[id_operacion]],tblEjecucion[id_operacion],tblEjecucion[precio],0))</f>
        <v/>
      </c>
      <c r="AJ387" s="11">
        <f>IF(tblOrdenes[[#This Row],[orden]]="","",MAX(0,_xlfn.XLOOKUP(tblOrdenes[[#This Row],[id_operacion]],tblEjecucion[id_operacion],tblEjecucion[costo_plan_total],0)-tblOrdenes[[#This Row],[costo_servicio]]))</f>
        <v/>
      </c>
      <c r="AK387" s="11">
        <f>IF(tblOrdenes[[#This Row],[orden]]="","",tblOrdenes[[#This Row],[costo_servicio]]+tblOrdenes[[#This Row],[costo_materiales]])</f>
        <v/>
      </c>
      <c r="AL387" s="6" t="n"/>
      <c r="AM387" s="6" t="n"/>
      <c r="AN387" s="6" t="n"/>
      <c r="AO387" s="3">
        <f>IF(tblOrdenes[[#This Row],[link_checklist]]="","",HYPERLINK(p_ruta_base_checklists&amp;tblOrdenes[[#This Row],[link_checklist]],"abrir"))</f>
        <v/>
      </c>
      <c r="AP387" s="6" t="n"/>
      <c r="AQ387" s="3">
        <f>IF(tblOrdenes[[#This Row],[orden]]="","",tblOrdenes[[#This Row],[orden]]&amp;IF(tblOrdenes[[#This Row],[operacion]]="","0010",tblOrdenes[[#This Row],[operacion]]))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2" t="n"/>
      <c r="K388" s="3" t="n"/>
      <c r="L388" s="11" t="n"/>
      <c r="M3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8" s="3">
        <f>IF(tblOrdenes[[#This Row],[fecha_inicio]]="","",YEAR(tblOrdenes[[#This Row],[fecha_inicio]]))</f>
        <v/>
      </c>
      <c r="Q388" s="3">
        <f>IF(tblOrdenes[[#This Row],[fecha_inicio]]="","",MONTH(tblOrdenes[[#This Row],[fecha_inicio]]))</f>
        <v/>
      </c>
      <c r="R388" s="3">
        <f>IF(tblOrdenes[[#This Row],[fecha_inicio]]="","",INDEX(lista_dias,WEEKDAY(tblOrdenes[[#This Row],[fecha_inicio]],2)))</f>
        <v/>
      </c>
      <c r="S3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8" s="3">
        <f>IF(tblOrdenes[[#This Row],[tipo_ot]]="","",_xlfn.XLOOKUP(tblOrdenes[[#This Row],[tipo_ot]],tblTiposOT[codigo],tblTiposOT[clasificacion],"sin_clasificar"))</f>
        <v/>
      </c>
      <c r="U388" s="3">
        <f>IF(tblOrdenes[[#This Row],[centro_costo]]="","",_xlfn.XLOOKUP(tblOrdenes[[#This Row],[centro_costo]],tblCECO[codigo],tblCECO[linea],"(sin catálogo)"))</f>
        <v/>
      </c>
      <c r="V388" s="3">
        <f>IF(tblOrdenes[[#This Row],[centro_costo]]="","",_xlfn.XLOOKUP(tblOrdenes[[#This Row],[centro_costo]],tblCECO[codigo],tblCECO[area],"(sin catálogo)"))</f>
        <v/>
      </c>
      <c r="W3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8" s="3">
        <f>IF(tblOrdenes[[#This Row],[centro_costo]]="","",_xlfn.XLOOKUP(tblOrdenes[[#This Row],[centro_costo]],tblCECO[codigo],tblCECO[coordinador],"(sin catálogo)"))</f>
        <v/>
      </c>
      <c r="Y388" s="3">
        <f>IF(tblOrdenes[[#This Row],[puesto_trabajo]]="","",_xlfn.XLOOKUP(tblOrdenes[[#This Row],[puesto_trabajo]],tblPuestos[codigo],tblPuestos[especialidad],"(sin catálogo)"))</f>
        <v/>
      </c>
      <c r="Z388" s="3">
        <f>IF(tblOrdenes[[#This Row],[cod_actividad]]="","",_xlfn.XLOOKUP(tblOrdenes[[#This Row],[cod_actividad]],tblActividades[codigo],tblActividades[descripcion],"(sin catálogo)"))</f>
        <v/>
      </c>
      <c r="AA388" s="13">
        <f>IF(tblOrdenes[[#This Row],[fecha_inicio]]="","",TODAY()-tblOrdenes[[#This Row],[fecha_inicio]])</f>
        <v/>
      </c>
      <c r="AB3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8" s="3">
        <f>IF(tblOrdenes[[#This Row],[backlog_habiles]]="","",IF(tblOrdenes[[#This Row],[backlog_habiles]]&lt;0,"FUTURO",IF(tblOrdenes[[#This Row],[backlog_habiles]]&gt;p_dias_backlog_max,"BACKLOG","MES CORRIENTE")))</f>
        <v/>
      </c>
      <c r="AD388" s="3">
        <f>IF(tblOrdenes[[#This Row],[backlog_habiles]]="",FALSE,AND(tblOrdenes[[#This Row],[backlog_habiles]]&gt;p_dias_backlog_min,tblOrdenes[[#This Row],[backlog_habiles]]&lt;=p_dias_backlog_max))</f>
        <v/>
      </c>
      <c r="AE388" s="6" t="n"/>
      <c r="AF3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8" s="11">
        <f>IF(tblOrdenes[[#This Row],[orden]]="","",_xlfn.XLOOKUP(tblOrdenes[[#This Row],[id_operacion]],tblEjecucion[id_operacion],tblEjecucion[precio],0))</f>
        <v/>
      </c>
      <c r="AJ388" s="11">
        <f>IF(tblOrdenes[[#This Row],[orden]]="","",MAX(0,_xlfn.XLOOKUP(tblOrdenes[[#This Row],[id_operacion]],tblEjecucion[id_operacion],tblEjecucion[costo_plan_total],0)-tblOrdenes[[#This Row],[costo_servicio]]))</f>
        <v/>
      </c>
      <c r="AK388" s="11">
        <f>IF(tblOrdenes[[#This Row],[orden]]="","",tblOrdenes[[#This Row],[costo_servicio]]+tblOrdenes[[#This Row],[costo_materiales]])</f>
        <v/>
      </c>
      <c r="AL388" s="6" t="n"/>
      <c r="AM388" s="6" t="n"/>
      <c r="AN388" s="6" t="n"/>
      <c r="AO388" s="3">
        <f>IF(tblOrdenes[[#This Row],[link_checklist]]="","",HYPERLINK(p_ruta_base_checklists&amp;tblOrdenes[[#This Row],[link_checklist]],"abrir"))</f>
        <v/>
      </c>
      <c r="AP388" s="6" t="n"/>
      <c r="AQ388" s="3">
        <f>IF(tblOrdenes[[#This Row],[orden]]="","",tblOrdenes[[#This Row],[orden]]&amp;IF(tblOrdenes[[#This Row],[operacion]]="","0010",tblOrdenes[[#This Row],[operacion]]))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2" t="n"/>
      <c r="K389" s="3" t="n"/>
      <c r="L389" s="11" t="n"/>
      <c r="M3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9" s="3">
        <f>IF(tblOrdenes[[#This Row],[fecha_inicio]]="","",YEAR(tblOrdenes[[#This Row],[fecha_inicio]]))</f>
        <v/>
      </c>
      <c r="Q389" s="3">
        <f>IF(tblOrdenes[[#This Row],[fecha_inicio]]="","",MONTH(tblOrdenes[[#This Row],[fecha_inicio]]))</f>
        <v/>
      </c>
      <c r="R389" s="3">
        <f>IF(tblOrdenes[[#This Row],[fecha_inicio]]="","",INDEX(lista_dias,WEEKDAY(tblOrdenes[[#This Row],[fecha_inicio]],2)))</f>
        <v/>
      </c>
      <c r="S3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9" s="3">
        <f>IF(tblOrdenes[[#This Row],[tipo_ot]]="","",_xlfn.XLOOKUP(tblOrdenes[[#This Row],[tipo_ot]],tblTiposOT[codigo],tblTiposOT[clasificacion],"sin_clasificar"))</f>
        <v/>
      </c>
      <c r="U389" s="3">
        <f>IF(tblOrdenes[[#This Row],[centro_costo]]="","",_xlfn.XLOOKUP(tblOrdenes[[#This Row],[centro_costo]],tblCECO[codigo],tblCECO[linea],"(sin catálogo)"))</f>
        <v/>
      </c>
      <c r="V389" s="3">
        <f>IF(tblOrdenes[[#This Row],[centro_costo]]="","",_xlfn.XLOOKUP(tblOrdenes[[#This Row],[centro_costo]],tblCECO[codigo],tblCECO[area],"(sin catálogo)"))</f>
        <v/>
      </c>
      <c r="W3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9" s="3">
        <f>IF(tblOrdenes[[#This Row],[centro_costo]]="","",_xlfn.XLOOKUP(tblOrdenes[[#This Row],[centro_costo]],tblCECO[codigo],tblCECO[coordinador],"(sin catálogo)"))</f>
        <v/>
      </c>
      <c r="Y389" s="3">
        <f>IF(tblOrdenes[[#This Row],[puesto_trabajo]]="","",_xlfn.XLOOKUP(tblOrdenes[[#This Row],[puesto_trabajo]],tblPuestos[codigo],tblPuestos[especialidad],"(sin catálogo)"))</f>
        <v/>
      </c>
      <c r="Z389" s="3">
        <f>IF(tblOrdenes[[#This Row],[cod_actividad]]="","",_xlfn.XLOOKUP(tblOrdenes[[#This Row],[cod_actividad]],tblActividades[codigo],tblActividades[descripcion],"(sin catálogo)"))</f>
        <v/>
      </c>
      <c r="AA389" s="13">
        <f>IF(tblOrdenes[[#This Row],[fecha_inicio]]="","",TODAY()-tblOrdenes[[#This Row],[fecha_inicio]])</f>
        <v/>
      </c>
      <c r="AB3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9" s="3">
        <f>IF(tblOrdenes[[#This Row],[backlog_habiles]]="","",IF(tblOrdenes[[#This Row],[backlog_habiles]]&lt;0,"FUTURO",IF(tblOrdenes[[#This Row],[backlog_habiles]]&gt;p_dias_backlog_max,"BACKLOG","MES CORRIENTE")))</f>
        <v/>
      </c>
      <c r="AD389" s="3">
        <f>IF(tblOrdenes[[#This Row],[backlog_habiles]]="",FALSE,AND(tblOrdenes[[#This Row],[backlog_habiles]]&gt;p_dias_backlog_min,tblOrdenes[[#This Row],[backlog_habiles]]&lt;=p_dias_backlog_max))</f>
        <v/>
      </c>
      <c r="AE389" s="6" t="n"/>
      <c r="AF3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9" s="11">
        <f>IF(tblOrdenes[[#This Row],[orden]]="","",_xlfn.XLOOKUP(tblOrdenes[[#This Row],[id_operacion]],tblEjecucion[id_operacion],tblEjecucion[precio],0))</f>
        <v/>
      </c>
      <c r="AJ389" s="11">
        <f>IF(tblOrdenes[[#This Row],[orden]]="","",MAX(0,_xlfn.XLOOKUP(tblOrdenes[[#This Row],[id_operacion]],tblEjecucion[id_operacion],tblEjecucion[costo_plan_total],0)-tblOrdenes[[#This Row],[costo_servicio]]))</f>
        <v/>
      </c>
      <c r="AK389" s="11">
        <f>IF(tblOrdenes[[#This Row],[orden]]="","",tblOrdenes[[#This Row],[costo_servicio]]+tblOrdenes[[#This Row],[costo_materiales]])</f>
        <v/>
      </c>
      <c r="AL389" s="6" t="n"/>
      <c r="AM389" s="6" t="n"/>
      <c r="AN389" s="6" t="n"/>
      <c r="AO389" s="3">
        <f>IF(tblOrdenes[[#This Row],[link_checklist]]="","",HYPERLINK(p_ruta_base_checklists&amp;tblOrdenes[[#This Row],[link_checklist]],"abrir"))</f>
        <v/>
      </c>
      <c r="AP389" s="6" t="n"/>
      <c r="AQ389" s="3">
        <f>IF(tblOrdenes[[#This Row],[orden]]="","",tblOrdenes[[#This Row],[orden]]&amp;IF(tblOrdenes[[#This Row],[operacion]]="","0010",tblOrdenes[[#This Row],[operacion]]))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2" t="n"/>
      <c r="K390" s="3" t="n"/>
      <c r="L390" s="11" t="n"/>
      <c r="M3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0" s="3">
        <f>IF(tblOrdenes[[#This Row],[fecha_inicio]]="","",YEAR(tblOrdenes[[#This Row],[fecha_inicio]]))</f>
        <v/>
      </c>
      <c r="Q390" s="3">
        <f>IF(tblOrdenes[[#This Row],[fecha_inicio]]="","",MONTH(tblOrdenes[[#This Row],[fecha_inicio]]))</f>
        <v/>
      </c>
      <c r="R390" s="3">
        <f>IF(tblOrdenes[[#This Row],[fecha_inicio]]="","",INDEX(lista_dias,WEEKDAY(tblOrdenes[[#This Row],[fecha_inicio]],2)))</f>
        <v/>
      </c>
      <c r="S3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0" s="3">
        <f>IF(tblOrdenes[[#This Row],[tipo_ot]]="","",_xlfn.XLOOKUP(tblOrdenes[[#This Row],[tipo_ot]],tblTiposOT[codigo],tblTiposOT[clasificacion],"sin_clasificar"))</f>
        <v/>
      </c>
      <c r="U390" s="3">
        <f>IF(tblOrdenes[[#This Row],[centro_costo]]="","",_xlfn.XLOOKUP(tblOrdenes[[#This Row],[centro_costo]],tblCECO[codigo],tblCECO[linea],"(sin catálogo)"))</f>
        <v/>
      </c>
      <c r="V390" s="3">
        <f>IF(tblOrdenes[[#This Row],[centro_costo]]="","",_xlfn.XLOOKUP(tblOrdenes[[#This Row],[centro_costo]],tblCECO[codigo],tblCECO[area],"(sin catálogo)"))</f>
        <v/>
      </c>
      <c r="W3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0" s="3">
        <f>IF(tblOrdenes[[#This Row],[centro_costo]]="","",_xlfn.XLOOKUP(tblOrdenes[[#This Row],[centro_costo]],tblCECO[codigo],tblCECO[coordinador],"(sin catálogo)"))</f>
        <v/>
      </c>
      <c r="Y390" s="3">
        <f>IF(tblOrdenes[[#This Row],[puesto_trabajo]]="","",_xlfn.XLOOKUP(tblOrdenes[[#This Row],[puesto_trabajo]],tblPuestos[codigo],tblPuestos[especialidad],"(sin catálogo)"))</f>
        <v/>
      </c>
      <c r="Z390" s="3">
        <f>IF(tblOrdenes[[#This Row],[cod_actividad]]="","",_xlfn.XLOOKUP(tblOrdenes[[#This Row],[cod_actividad]],tblActividades[codigo],tblActividades[descripcion],"(sin catálogo)"))</f>
        <v/>
      </c>
      <c r="AA390" s="13">
        <f>IF(tblOrdenes[[#This Row],[fecha_inicio]]="","",TODAY()-tblOrdenes[[#This Row],[fecha_inicio]])</f>
        <v/>
      </c>
      <c r="AB3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0" s="3">
        <f>IF(tblOrdenes[[#This Row],[backlog_habiles]]="","",IF(tblOrdenes[[#This Row],[backlog_habiles]]&lt;0,"FUTURO",IF(tblOrdenes[[#This Row],[backlog_habiles]]&gt;p_dias_backlog_max,"BACKLOG","MES CORRIENTE")))</f>
        <v/>
      </c>
      <c r="AD390" s="3">
        <f>IF(tblOrdenes[[#This Row],[backlog_habiles]]="",FALSE,AND(tblOrdenes[[#This Row],[backlog_habiles]]&gt;p_dias_backlog_min,tblOrdenes[[#This Row],[backlog_habiles]]&lt;=p_dias_backlog_max))</f>
        <v/>
      </c>
      <c r="AE390" s="6" t="n"/>
      <c r="AF3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0" s="11">
        <f>IF(tblOrdenes[[#This Row],[orden]]="","",_xlfn.XLOOKUP(tblOrdenes[[#This Row],[id_operacion]],tblEjecucion[id_operacion],tblEjecucion[precio],0))</f>
        <v/>
      </c>
      <c r="AJ390" s="11">
        <f>IF(tblOrdenes[[#This Row],[orden]]="","",MAX(0,_xlfn.XLOOKUP(tblOrdenes[[#This Row],[id_operacion]],tblEjecucion[id_operacion],tblEjecucion[costo_plan_total],0)-tblOrdenes[[#This Row],[costo_servicio]]))</f>
        <v/>
      </c>
      <c r="AK390" s="11">
        <f>IF(tblOrdenes[[#This Row],[orden]]="","",tblOrdenes[[#This Row],[costo_servicio]]+tblOrdenes[[#This Row],[costo_materiales]])</f>
        <v/>
      </c>
      <c r="AL390" s="6" t="n"/>
      <c r="AM390" s="6" t="n"/>
      <c r="AN390" s="6" t="n"/>
      <c r="AO390" s="3">
        <f>IF(tblOrdenes[[#This Row],[link_checklist]]="","",HYPERLINK(p_ruta_base_checklists&amp;tblOrdenes[[#This Row],[link_checklist]],"abrir"))</f>
        <v/>
      </c>
      <c r="AP390" s="6" t="n"/>
      <c r="AQ390" s="3">
        <f>IF(tblOrdenes[[#This Row],[orden]]="","",tblOrdenes[[#This Row],[orden]]&amp;IF(tblOrdenes[[#This Row],[operacion]]="","0010",tblOrdenes[[#This Row],[operacion]]))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2" t="n"/>
      <c r="K391" s="3" t="n"/>
      <c r="L391" s="11" t="n"/>
      <c r="M3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1" s="3">
        <f>IF(tblOrdenes[[#This Row],[fecha_inicio]]="","",YEAR(tblOrdenes[[#This Row],[fecha_inicio]]))</f>
        <v/>
      </c>
      <c r="Q391" s="3">
        <f>IF(tblOrdenes[[#This Row],[fecha_inicio]]="","",MONTH(tblOrdenes[[#This Row],[fecha_inicio]]))</f>
        <v/>
      </c>
      <c r="R391" s="3">
        <f>IF(tblOrdenes[[#This Row],[fecha_inicio]]="","",INDEX(lista_dias,WEEKDAY(tblOrdenes[[#This Row],[fecha_inicio]],2)))</f>
        <v/>
      </c>
      <c r="S3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1" s="3">
        <f>IF(tblOrdenes[[#This Row],[tipo_ot]]="","",_xlfn.XLOOKUP(tblOrdenes[[#This Row],[tipo_ot]],tblTiposOT[codigo],tblTiposOT[clasificacion],"sin_clasificar"))</f>
        <v/>
      </c>
      <c r="U391" s="3">
        <f>IF(tblOrdenes[[#This Row],[centro_costo]]="","",_xlfn.XLOOKUP(tblOrdenes[[#This Row],[centro_costo]],tblCECO[codigo],tblCECO[linea],"(sin catálogo)"))</f>
        <v/>
      </c>
      <c r="V391" s="3">
        <f>IF(tblOrdenes[[#This Row],[centro_costo]]="","",_xlfn.XLOOKUP(tblOrdenes[[#This Row],[centro_costo]],tblCECO[codigo],tblCECO[area],"(sin catálogo)"))</f>
        <v/>
      </c>
      <c r="W3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1" s="3">
        <f>IF(tblOrdenes[[#This Row],[centro_costo]]="","",_xlfn.XLOOKUP(tblOrdenes[[#This Row],[centro_costo]],tblCECO[codigo],tblCECO[coordinador],"(sin catálogo)"))</f>
        <v/>
      </c>
      <c r="Y391" s="3">
        <f>IF(tblOrdenes[[#This Row],[puesto_trabajo]]="","",_xlfn.XLOOKUP(tblOrdenes[[#This Row],[puesto_trabajo]],tblPuestos[codigo],tblPuestos[especialidad],"(sin catálogo)"))</f>
        <v/>
      </c>
      <c r="Z391" s="3">
        <f>IF(tblOrdenes[[#This Row],[cod_actividad]]="","",_xlfn.XLOOKUP(tblOrdenes[[#This Row],[cod_actividad]],tblActividades[codigo],tblActividades[descripcion],"(sin catálogo)"))</f>
        <v/>
      </c>
      <c r="AA391" s="13">
        <f>IF(tblOrdenes[[#This Row],[fecha_inicio]]="","",TODAY()-tblOrdenes[[#This Row],[fecha_inicio]])</f>
        <v/>
      </c>
      <c r="AB3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1" s="3">
        <f>IF(tblOrdenes[[#This Row],[backlog_habiles]]="","",IF(tblOrdenes[[#This Row],[backlog_habiles]]&lt;0,"FUTURO",IF(tblOrdenes[[#This Row],[backlog_habiles]]&gt;p_dias_backlog_max,"BACKLOG","MES CORRIENTE")))</f>
        <v/>
      </c>
      <c r="AD391" s="3">
        <f>IF(tblOrdenes[[#This Row],[backlog_habiles]]="",FALSE,AND(tblOrdenes[[#This Row],[backlog_habiles]]&gt;p_dias_backlog_min,tblOrdenes[[#This Row],[backlog_habiles]]&lt;=p_dias_backlog_max))</f>
        <v/>
      </c>
      <c r="AE391" s="6" t="n"/>
      <c r="AF3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1" s="11">
        <f>IF(tblOrdenes[[#This Row],[orden]]="","",_xlfn.XLOOKUP(tblOrdenes[[#This Row],[id_operacion]],tblEjecucion[id_operacion],tblEjecucion[precio],0))</f>
        <v/>
      </c>
      <c r="AJ391" s="11">
        <f>IF(tblOrdenes[[#This Row],[orden]]="","",MAX(0,_xlfn.XLOOKUP(tblOrdenes[[#This Row],[id_operacion]],tblEjecucion[id_operacion],tblEjecucion[costo_plan_total],0)-tblOrdenes[[#This Row],[costo_servicio]]))</f>
        <v/>
      </c>
      <c r="AK391" s="11">
        <f>IF(tblOrdenes[[#This Row],[orden]]="","",tblOrdenes[[#This Row],[costo_servicio]]+tblOrdenes[[#This Row],[costo_materiales]])</f>
        <v/>
      </c>
      <c r="AL391" s="6" t="n"/>
      <c r="AM391" s="6" t="n"/>
      <c r="AN391" s="6" t="n"/>
      <c r="AO391" s="3">
        <f>IF(tblOrdenes[[#This Row],[link_checklist]]="","",HYPERLINK(p_ruta_base_checklists&amp;tblOrdenes[[#This Row],[link_checklist]],"abrir"))</f>
        <v/>
      </c>
      <c r="AP391" s="6" t="n"/>
      <c r="AQ391" s="3">
        <f>IF(tblOrdenes[[#This Row],[orden]]="","",tblOrdenes[[#This Row],[orden]]&amp;IF(tblOrdenes[[#This Row],[operacion]]="","0010",tblOrdenes[[#This Row],[operacion]]))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2" t="n"/>
      <c r="K392" s="3" t="n"/>
      <c r="L392" s="11" t="n"/>
      <c r="M3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2" s="3">
        <f>IF(tblOrdenes[[#This Row],[fecha_inicio]]="","",YEAR(tblOrdenes[[#This Row],[fecha_inicio]]))</f>
        <v/>
      </c>
      <c r="Q392" s="3">
        <f>IF(tblOrdenes[[#This Row],[fecha_inicio]]="","",MONTH(tblOrdenes[[#This Row],[fecha_inicio]]))</f>
        <v/>
      </c>
      <c r="R392" s="3">
        <f>IF(tblOrdenes[[#This Row],[fecha_inicio]]="","",INDEX(lista_dias,WEEKDAY(tblOrdenes[[#This Row],[fecha_inicio]],2)))</f>
        <v/>
      </c>
      <c r="S3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2" s="3">
        <f>IF(tblOrdenes[[#This Row],[tipo_ot]]="","",_xlfn.XLOOKUP(tblOrdenes[[#This Row],[tipo_ot]],tblTiposOT[codigo],tblTiposOT[clasificacion],"sin_clasificar"))</f>
        <v/>
      </c>
      <c r="U392" s="3">
        <f>IF(tblOrdenes[[#This Row],[centro_costo]]="","",_xlfn.XLOOKUP(tblOrdenes[[#This Row],[centro_costo]],tblCECO[codigo],tblCECO[linea],"(sin catálogo)"))</f>
        <v/>
      </c>
      <c r="V392" s="3">
        <f>IF(tblOrdenes[[#This Row],[centro_costo]]="","",_xlfn.XLOOKUP(tblOrdenes[[#This Row],[centro_costo]],tblCECO[codigo],tblCECO[area],"(sin catálogo)"))</f>
        <v/>
      </c>
      <c r="W3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2" s="3">
        <f>IF(tblOrdenes[[#This Row],[centro_costo]]="","",_xlfn.XLOOKUP(tblOrdenes[[#This Row],[centro_costo]],tblCECO[codigo],tblCECO[coordinador],"(sin catálogo)"))</f>
        <v/>
      </c>
      <c r="Y392" s="3">
        <f>IF(tblOrdenes[[#This Row],[puesto_trabajo]]="","",_xlfn.XLOOKUP(tblOrdenes[[#This Row],[puesto_trabajo]],tblPuestos[codigo],tblPuestos[especialidad],"(sin catálogo)"))</f>
        <v/>
      </c>
      <c r="Z392" s="3">
        <f>IF(tblOrdenes[[#This Row],[cod_actividad]]="","",_xlfn.XLOOKUP(tblOrdenes[[#This Row],[cod_actividad]],tblActividades[codigo],tblActividades[descripcion],"(sin catálogo)"))</f>
        <v/>
      </c>
      <c r="AA392" s="13">
        <f>IF(tblOrdenes[[#This Row],[fecha_inicio]]="","",TODAY()-tblOrdenes[[#This Row],[fecha_inicio]])</f>
        <v/>
      </c>
      <c r="AB3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2" s="3">
        <f>IF(tblOrdenes[[#This Row],[backlog_habiles]]="","",IF(tblOrdenes[[#This Row],[backlog_habiles]]&lt;0,"FUTURO",IF(tblOrdenes[[#This Row],[backlog_habiles]]&gt;p_dias_backlog_max,"BACKLOG","MES CORRIENTE")))</f>
        <v/>
      </c>
      <c r="AD392" s="3">
        <f>IF(tblOrdenes[[#This Row],[backlog_habiles]]="",FALSE,AND(tblOrdenes[[#This Row],[backlog_habiles]]&gt;p_dias_backlog_min,tblOrdenes[[#This Row],[backlog_habiles]]&lt;=p_dias_backlog_max))</f>
        <v/>
      </c>
      <c r="AE392" s="6" t="n"/>
      <c r="AF3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2" s="11">
        <f>IF(tblOrdenes[[#This Row],[orden]]="","",_xlfn.XLOOKUP(tblOrdenes[[#This Row],[id_operacion]],tblEjecucion[id_operacion],tblEjecucion[precio],0))</f>
        <v/>
      </c>
      <c r="AJ392" s="11">
        <f>IF(tblOrdenes[[#This Row],[orden]]="","",MAX(0,_xlfn.XLOOKUP(tblOrdenes[[#This Row],[id_operacion]],tblEjecucion[id_operacion],tblEjecucion[costo_plan_total],0)-tblOrdenes[[#This Row],[costo_servicio]]))</f>
        <v/>
      </c>
      <c r="AK392" s="11">
        <f>IF(tblOrdenes[[#This Row],[orden]]="","",tblOrdenes[[#This Row],[costo_servicio]]+tblOrdenes[[#This Row],[costo_materiales]])</f>
        <v/>
      </c>
      <c r="AL392" s="6" t="n"/>
      <c r="AM392" s="6" t="n"/>
      <c r="AN392" s="6" t="n"/>
      <c r="AO392" s="3">
        <f>IF(tblOrdenes[[#This Row],[link_checklist]]="","",HYPERLINK(p_ruta_base_checklists&amp;tblOrdenes[[#This Row],[link_checklist]],"abrir"))</f>
        <v/>
      </c>
      <c r="AP392" s="6" t="n"/>
      <c r="AQ392" s="3">
        <f>IF(tblOrdenes[[#This Row],[orden]]="","",tblOrdenes[[#This Row],[orden]]&amp;IF(tblOrdenes[[#This Row],[operacion]]="","0010",tblOrdenes[[#This Row],[operacion]]))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2" t="n"/>
      <c r="K393" s="3" t="n"/>
      <c r="L393" s="11" t="n"/>
      <c r="M3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3" s="3">
        <f>IF(tblOrdenes[[#This Row],[fecha_inicio]]="","",YEAR(tblOrdenes[[#This Row],[fecha_inicio]]))</f>
        <v/>
      </c>
      <c r="Q393" s="3">
        <f>IF(tblOrdenes[[#This Row],[fecha_inicio]]="","",MONTH(tblOrdenes[[#This Row],[fecha_inicio]]))</f>
        <v/>
      </c>
      <c r="R393" s="3">
        <f>IF(tblOrdenes[[#This Row],[fecha_inicio]]="","",INDEX(lista_dias,WEEKDAY(tblOrdenes[[#This Row],[fecha_inicio]],2)))</f>
        <v/>
      </c>
      <c r="S3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3" s="3">
        <f>IF(tblOrdenes[[#This Row],[tipo_ot]]="","",_xlfn.XLOOKUP(tblOrdenes[[#This Row],[tipo_ot]],tblTiposOT[codigo],tblTiposOT[clasificacion],"sin_clasificar"))</f>
        <v/>
      </c>
      <c r="U393" s="3">
        <f>IF(tblOrdenes[[#This Row],[centro_costo]]="","",_xlfn.XLOOKUP(tblOrdenes[[#This Row],[centro_costo]],tblCECO[codigo],tblCECO[linea],"(sin catálogo)"))</f>
        <v/>
      </c>
      <c r="V393" s="3">
        <f>IF(tblOrdenes[[#This Row],[centro_costo]]="","",_xlfn.XLOOKUP(tblOrdenes[[#This Row],[centro_costo]],tblCECO[codigo],tblCECO[area],"(sin catálogo)"))</f>
        <v/>
      </c>
      <c r="W3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3" s="3">
        <f>IF(tblOrdenes[[#This Row],[centro_costo]]="","",_xlfn.XLOOKUP(tblOrdenes[[#This Row],[centro_costo]],tblCECO[codigo],tblCECO[coordinador],"(sin catálogo)"))</f>
        <v/>
      </c>
      <c r="Y393" s="3">
        <f>IF(tblOrdenes[[#This Row],[puesto_trabajo]]="","",_xlfn.XLOOKUP(tblOrdenes[[#This Row],[puesto_trabajo]],tblPuestos[codigo],tblPuestos[especialidad],"(sin catálogo)"))</f>
        <v/>
      </c>
      <c r="Z393" s="3">
        <f>IF(tblOrdenes[[#This Row],[cod_actividad]]="","",_xlfn.XLOOKUP(tblOrdenes[[#This Row],[cod_actividad]],tblActividades[codigo],tblActividades[descripcion],"(sin catálogo)"))</f>
        <v/>
      </c>
      <c r="AA393" s="13">
        <f>IF(tblOrdenes[[#This Row],[fecha_inicio]]="","",TODAY()-tblOrdenes[[#This Row],[fecha_inicio]])</f>
        <v/>
      </c>
      <c r="AB3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3" s="3">
        <f>IF(tblOrdenes[[#This Row],[backlog_habiles]]="","",IF(tblOrdenes[[#This Row],[backlog_habiles]]&lt;0,"FUTURO",IF(tblOrdenes[[#This Row],[backlog_habiles]]&gt;p_dias_backlog_max,"BACKLOG","MES CORRIENTE")))</f>
        <v/>
      </c>
      <c r="AD393" s="3">
        <f>IF(tblOrdenes[[#This Row],[backlog_habiles]]="",FALSE,AND(tblOrdenes[[#This Row],[backlog_habiles]]&gt;p_dias_backlog_min,tblOrdenes[[#This Row],[backlog_habiles]]&lt;=p_dias_backlog_max))</f>
        <v/>
      </c>
      <c r="AE393" s="6" t="n"/>
      <c r="AF3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3" s="11">
        <f>IF(tblOrdenes[[#This Row],[orden]]="","",_xlfn.XLOOKUP(tblOrdenes[[#This Row],[id_operacion]],tblEjecucion[id_operacion],tblEjecucion[precio],0))</f>
        <v/>
      </c>
      <c r="AJ393" s="11">
        <f>IF(tblOrdenes[[#This Row],[orden]]="","",MAX(0,_xlfn.XLOOKUP(tblOrdenes[[#This Row],[id_operacion]],tblEjecucion[id_operacion],tblEjecucion[costo_plan_total],0)-tblOrdenes[[#This Row],[costo_servicio]]))</f>
        <v/>
      </c>
      <c r="AK393" s="11">
        <f>IF(tblOrdenes[[#This Row],[orden]]="","",tblOrdenes[[#This Row],[costo_servicio]]+tblOrdenes[[#This Row],[costo_materiales]])</f>
        <v/>
      </c>
      <c r="AL393" s="6" t="n"/>
      <c r="AM393" s="6" t="n"/>
      <c r="AN393" s="6" t="n"/>
      <c r="AO393" s="3">
        <f>IF(tblOrdenes[[#This Row],[link_checklist]]="","",HYPERLINK(p_ruta_base_checklists&amp;tblOrdenes[[#This Row],[link_checklist]],"abrir"))</f>
        <v/>
      </c>
      <c r="AP393" s="6" t="n"/>
      <c r="AQ393" s="3">
        <f>IF(tblOrdenes[[#This Row],[orden]]="","",tblOrdenes[[#This Row],[orden]]&amp;IF(tblOrdenes[[#This Row],[operacion]]="","0010",tblOrdenes[[#This Row],[operacion]]))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2" t="n"/>
      <c r="K394" s="3" t="n"/>
      <c r="L394" s="11" t="n"/>
      <c r="M3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4" s="3">
        <f>IF(tblOrdenes[[#This Row],[fecha_inicio]]="","",YEAR(tblOrdenes[[#This Row],[fecha_inicio]]))</f>
        <v/>
      </c>
      <c r="Q394" s="3">
        <f>IF(tblOrdenes[[#This Row],[fecha_inicio]]="","",MONTH(tblOrdenes[[#This Row],[fecha_inicio]]))</f>
        <v/>
      </c>
      <c r="R394" s="3">
        <f>IF(tblOrdenes[[#This Row],[fecha_inicio]]="","",INDEX(lista_dias,WEEKDAY(tblOrdenes[[#This Row],[fecha_inicio]],2)))</f>
        <v/>
      </c>
      <c r="S3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4" s="3">
        <f>IF(tblOrdenes[[#This Row],[tipo_ot]]="","",_xlfn.XLOOKUP(tblOrdenes[[#This Row],[tipo_ot]],tblTiposOT[codigo],tblTiposOT[clasificacion],"sin_clasificar"))</f>
        <v/>
      </c>
      <c r="U394" s="3">
        <f>IF(tblOrdenes[[#This Row],[centro_costo]]="","",_xlfn.XLOOKUP(tblOrdenes[[#This Row],[centro_costo]],tblCECO[codigo],tblCECO[linea],"(sin catálogo)"))</f>
        <v/>
      </c>
      <c r="V394" s="3">
        <f>IF(tblOrdenes[[#This Row],[centro_costo]]="","",_xlfn.XLOOKUP(tblOrdenes[[#This Row],[centro_costo]],tblCECO[codigo],tblCECO[area],"(sin catálogo)"))</f>
        <v/>
      </c>
      <c r="W3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4" s="3">
        <f>IF(tblOrdenes[[#This Row],[centro_costo]]="","",_xlfn.XLOOKUP(tblOrdenes[[#This Row],[centro_costo]],tblCECO[codigo],tblCECO[coordinador],"(sin catálogo)"))</f>
        <v/>
      </c>
      <c r="Y394" s="3">
        <f>IF(tblOrdenes[[#This Row],[puesto_trabajo]]="","",_xlfn.XLOOKUP(tblOrdenes[[#This Row],[puesto_trabajo]],tblPuestos[codigo],tblPuestos[especialidad],"(sin catálogo)"))</f>
        <v/>
      </c>
      <c r="Z394" s="3">
        <f>IF(tblOrdenes[[#This Row],[cod_actividad]]="","",_xlfn.XLOOKUP(tblOrdenes[[#This Row],[cod_actividad]],tblActividades[codigo],tblActividades[descripcion],"(sin catálogo)"))</f>
        <v/>
      </c>
      <c r="AA394" s="13">
        <f>IF(tblOrdenes[[#This Row],[fecha_inicio]]="","",TODAY()-tblOrdenes[[#This Row],[fecha_inicio]])</f>
        <v/>
      </c>
      <c r="AB3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4" s="3">
        <f>IF(tblOrdenes[[#This Row],[backlog_habiles]]="","",IF(tblOrdenes[[#This Row],[backlog_habiles]]&lt;0,"FUTURO",IF(tblOrdenes[[#This Row],[backlog_habiles]]&gt;p_dias_backlog_max,"BACKLOG","MES CORRIENTE")))</f>
        <v/>
      </c>
      <c r="AD394" s="3">
        <f>IF(tblOrdenes[[#This Row],[backlog_habiles]]="",FALSE,AND(tblOrdenes[[#This Row],[backlog_habiles]]&gt;p_dias_backlog_min,tblOrdenes[[#This Row],[backlog_habiles]]&lt;=p_dias_backlog_max))</f>
        <v/>
      </c>
      <c r="AE394" s="6" t="n"/>
      <c r="AF3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4" s="11">
        <f>IF(tblOrdenes[[#This Row],[orden]]="","",_xlfn.XLOOKUP(tblOrdenes[[#This Row],[id_operacion]],tblEjecucion[id_operacion],tblEjecucion[precio],0))</f>
        <v/>
      </c>
      <c r="AJ394" s="11">
        <f>IF(tblOrdenes[[#This Row],[orden]]="","",MAX(0,_xlfn.XLOOKUP(tblOrdenes[[#This Row],[id_operacion]],tblEjecucion[id_operacion],tblEjecucion[costo_plan_total],0)-tblOrdenes[[#This Row],[costo_servicio]]))</f>
        <v/>
      </c>
      <c r="AK394" s="11">
        <f>IF(tblOrdenes[[#This Row],[orden]]="","",tblOrdenes[[#This Row],[costo_servicio]]+tblOrdenes[[#This Row],[costo_materiales]])</f>
        <v/>
      </c>
      <c r="AL394" s="6" t="n"/>
      <c r="AM394" s="6" t="n"/>
      <c r="AN394" s="6" t="n"/>
      <c r="AO394" s="3">
        <f>IF(tblOrdenes[[#This Row],[link_checklist]]="","",HYPERLINK(p_ruta_base_checklists&amp;tblOrdenes[[#This Row],[link_checklist]],"abrir"))</f>
        <v/>
      </c>
      <c r="AP394" s="6" t="n"/>
      <c r="AQ394" s="3">
        <f>IF(tblOrdenes[[#This Row],[orden]]="","",tblOrdenes[[#This Row],[orden]]&amp;IF(tblOrdenes[[#This Row],[operacion]]="","0010",tblOrdenes[[#This Row],[operacion]]))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2" t="n"/>
      <c r="K395" s="3" t="n"/>
      <c r="L395" s="11" t="n"/>
      <c r="M3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5" s="3">
        <f>IF(tblOrdenes[[#This Row],[fecha_inicio]]="","",YEAR(tblOrdenes[[#This Row],[fecha_inicio]]))</f>
        <v/>
      </c>
      <c r="Q395" s="3">
        <f>IF(tblOrdenes[[#This Row],[fecha_inicio]]="","",MONTH(tblOrdenes[[#This Row],[fecha_inicio]]))</f>
        <v/>
      </c>
      <c r="R395" s="3">
        <f>IF(tblOrdenes[[#This Row],[fecha_inicio]]="","",INDEX(lista_dias,WEEKDAY(tblOrdenes[[#This Row],[fecha_inicio]],2)))</f>
        <v/>
      </c>
      <c r="S3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5" s="3">
        <f>IF(tblOrdenes[[#This Row],[tipo_ot]]="","",_xlfn.XLOOKUP(tblOrdenes[[#This Row],[tipo_ot]],tblTiposOT[codigo],tblTiposOT[clasificacion],"sin_clasificar"))</f>
        <v/>
      </c>
      <c r="U395" s="3">
        <f>IF(tblOrdenes[[#This Row],[centro_costo]]="","",_xlfn.XLOOKUP(tblOrdenes[[#This Row],[centro_costo]],tblCECO[codigo],tblCECO[linea],"(sin catálogo)"))</f>
        <v/>
      </c>
      <c r="V395" s="3">
        <f>IF(tblOrdenes[[#This Row],[centro_costo]]="","",_xlfn.XLOOKUP(tblOrdenes[[#This Row],[centro_costo]],tblCECO[codigo],tblCECO[area],"(sin catálogo)"))</f>
        <v/>
      </c>
      <c r="W3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5" s="3">
        <f>IF(tblOrdenes[[#This Row],[centro_costo]]="","",_xlfn.XLOOKUP(tblOrdenes[[#This Row],[centro_costo]],tblCECO[codigo],tblCECO[coordinador],"(sin catálogo)"))</f>
        <v/>
      </c>
      <c r="Y395" s="3">
        <f>IF(tblOrdenes[[#This Row],[puesto_trabajo]]="","",_xlfn.XLOOKUP(tblOrdenes[[#This Row],[puesto_trabajo]],tblPuestos[codigo],tblPuestos[especialidad],"(sin catálogo)"))</f>
        <v/>
      </c>
      <c r="Z395" s="3">
        <f>IF(tblOrdenes[[#This Row],[cod_actividad]]="","",_xlfn.XLOOKUP(tblOrdenes[[#This Row],[cod_actividad]],tblActividades[codigo],tblActividades[descripcion],"(sin catálogo)"))</f>
        <v/>
      </c>
      <c r="AA395" s="13">
        <f>IF(tblOrdenes[[#This Row],[fecha_inicio]]="","",TODAY()-tblOrdenes[[#This Row],[fecha_inicio]])</f>
        <v/>
      </c>
      <c r="AB3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5" s="3">
        <f>IF(tblOrdenes[[#This Row],[backlog_habiles]]="","",IF(tblOrdenes[[#This Row],[backlog_habiles]]&lt;0,"FUTURO",IF(tblOrdenes[[#This Row],[backlog_habiles]]&gt;p_dias_backlog_max,"BACKLOG","MES CORRIENTE")))</f>
        <v/>
      </c>
      <c r="AD395" s="3">
        <f>IF(tblOrdenes[[#This Row],[backlog_habiles]]="",FALSE,AND(tblOrdenes[[#This Row],[backlog_habiles]]&gt;p_dias_backlog_min,tblOrdenes[[#This Row],[backlog_habiles]]&lt;=p_dias_backlog_max))</f>
        <v/>
      </c>
      <c r="AE395" s="6" t="n"/>
      <c r="AF3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5" s="11">
        <f>IF(tblOrdenes[[#This Row],[orden]]="","",_xlfn.XLOOKUP(tblOrdenes[[#This Row],[id_operacion]],tblEjecucion[id_operacion],tblEjecucion[precio],0))</f>
        <v/>
      </c>
      <c r="AJ395" s="11">
        <f>IF(tblOrdenes[[#This Row],[orden]]="","",MAX(0,_xlfn.XLOOKUP(tblOrdenes[[#This Row],[id_operacion]],tblEjecucion[id_operacion],tblEjecucion[costo_plan_total],0)-tblOrdenes[[#This Row],[costo_servicio]]))</f>
        <v/>
      </c>
      <c r="AK395" s="11">
        <f>IF(tblOrdenes[[#This Row],[orden]]="","",tblOrdenes[[#This Row],[costo_servicio]]+tblOrdenes[[#This Row],[costo_materiales]])</f>
        <v/>
      </c>
      <c r="AL395" s="6" t="n"/>
      <c r="AM395" s="6" t="n"/>
      <c r="AN395" s="6" t="n"/>
      <c r="AO395" s="3">
        <f>IF(tblOrdenes[[#This Row],[link_checklist]]="","",HYPERLINK(p_ruta_base_checklists&amp;tblOrdenes[[#This Row],[link_checklist]],"abrir"))</f>
        <v/>
      </c>
      <c r="AP395" s="6" t="n"/>
      <c r="AQ395" s="3">
        <f>IF(tblOrdenes[[#This Row],[orden]]="","",tblOrdenes[[#This Row],[orden]]&amp;IF(tblOrdenes[[#This Row],[operacion]]="","0010",tblOrdenes[[#This Row],[operacion]]))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2" t="n"/>
      <c r="K396" s="3" t="n"/>
      <c r="L396" s="11" t="n"/>
      <c r="M3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6" s="3">
        <f>IF(tblOrdenes[[#This Row],[fecha_inicio]]="","",YEAR(tblOrdenes[[#This Row],[fecha_inicio]]))</f>
        <v/>
      </c>
      <c r="Q396" s="3">
        <f>IF(tblOrdenes[[#This Row],[fecha_inicio]]="","",MONTH(tblOrdenes[[#This Row],[fecha_inicio]]))</f>
        <v/>
      </c>
      <c r="R396" s="3">
        <f>IF(tblOrdenes[[#This Row],[fecha_inicio]]="","",INDEX(lista_dias,WEEKDAY(tblOrdenes[[#This Row],[fecha_inicio]],2)))</f>
        <v/>
      </c>
      <c r="S3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6" s="3">
        <f>IF(tblOrdenes[[#This Row],[tipo_ot]]="","",_xlfn.XLOOKUP(tblOrdenes[[#This Row],[tipo_ot]],tblTiposOT[codigo],tblTiposOT[clasificacion],"sin_clasificar"))</f>
        <v/>
      </c>
      <c r="U396" s="3">
        <f>IF(tblOrdenes[[#This Row],[centro_costo]]="","",_xlfn.XLOOKUP(tblOrdenes[[#This Row],[centro_costo]],tblCECO[codigo],tblCECO[linea],"(sin catálogo)"))</f>
        <v/>
      </c>
      <c r="V396" s="3">
        <f>IF(tblOrdenes[[#This Row],[centro_costo]]="","",_xlfn.XLOOKUP(tblOrdenes[[#This Row],[centro_costo]],tblCECO[codigo],tblCECO[area],"(sin catálogo)"))</f>
        <v/>
      </c>
      <c r="W3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6" s="3">
        <f>IF(tblOrdenes[[#This Row],[centro_costo]]="","",_xlfn.XLOOKUP(tblOrdenes[[#This Row],[centro_costo]],tblCECO[codigo],tblCECO[coordinador],"(sin catálogo)"))</f>
        <v/>
      </c>
      <c r="Y396" s="3">
        <f>IF(tblOrdenes[[#This Row],[puesto_trabajo]]="","",_xlfn.XLOOKUP(tblOrdenes[[#This Row],[puesto_trabajo]],tblPuestos[codigo],tblPuestos[especialidad],"(sin catálogo)"))</f>
        <v/>
      </c>
      <c r="Z396" s="3">
        <f>IF(tblOrdenes[[#This Row],[cod_actividad]]="","",_xlfn.XLOOKUP(tblOrdenes[[#This Row],[cod_actividad]],tblActividades[codigo],tblActividades[descripcion],"(sin catálogo)"))</f>
        <v/>
      </c>
      <c r="AA396" s="13">
        <f>IF(tblOrdenes[[#This Row],[fecha_inicio]]="","",TODAY()-tblOrdenes[[#This Row],[fecha_inicio]])</f>
        <v/>
      </c>
      <c r="AB3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6" s="3">
        <f>IF(tblOrdenes[[#This Row],[backlog_habiles]]="","",IF(tblOrdenes[[#This Row],[backlog_habiles]]&lt;0,"FUTURO",IF(tblOrdenes[[#This Row],[backlog_habiles]]&gt;p_dias_backlog_max,"BACKLOG","MES CORRIENTE")))</f>
        <v/>
      </c>
      <c r="AD396" s="3">
        <f>IF(tblOrdenes[[#This Row],[backlog_habiles]]="",FALSE,AND(tblOrdenes[[#This Row],[backlog_habiles]]&gt;p_dias_backlog_min,tblOrdenes[[#This Row],[backlog_habiles]]&lt;=p_dias_backlog_max))</f>
        <v/>
      </c>
      <c r="AE396" s="6" t="n"/>
      <c r="AF3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6" s="11">
        <f>IF(tblOrdenes[[#This Row],[orden]]="","",_xlfn.XLOOKUP(tblOrdenes[[#This Row],[id_operacion]],tblEjecucion[id_operacion],tblEjecucion[precio],0))</f>
        <v/>
      </c>
      <c r="AJ396" s="11">
        <f>IF(tblOrdenes[[#This Row],[orden]]="","",MAX(0,_xlfn.XLOOKUP(tblOrdenes[[#This Row],[id_operacion]],tblEjecucion[id_operacion],tblEjecucion[costo_plan_total],0)-tblOrdenes[[#This Row],[costo_servicio]]))</f>
        <v/>
      </c>
      <c r="AK396" s="11">
        <f>IF(tblOrdenes[[#This Row],[orden]]="","",tblOrdenes[[#This Row],[costo_servicio]]+tblOrdenes[[#This Row],[costo_materiales]])</f>
        <v/>
      </c>
      <c r="AL396" s="6" t="n"/>
      <c r="AM396" s="6" t="n"/>
      <c r="AN396" s="6" t="n"/>
      <c r="AO396" s="3">
        <f>IF(tblOrdenes[[#This Row],[link_checklist]]="","",HYPERLINK(p_ruta_base_checklists&amp;tblOrdenes[[#This Row],[link_checklist]],"abrir"))</f>
        <v/>
      </c>
      <c r="AP396" s="6" t="n"/>
      <c r="AQ396" s="3">
        <f>IF(tblOrdenes[[#This Row],[orden]]="","",tblOrdenes[[#This Row],[orden]]&amp;IF(tblOrdenes[[#This Row],[operacion]]="","0010",tblOrdenes[[#This Row],[operacion]]))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2" t="n"/>
      <c r="K397" s="3" t="n"/>
      <c r="L397" s="11" t="n"/>
      <c r="M3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7" s="3">
        <f>IF(tblOrdenes[[#This Row],[fecha_inicio]]="","",YEAR(tblOrdenes[[#This Row],[fecha_inicio]]))</f>
        <v/>
      </c>
      <c r="Q397" s="3">
        <f>IF(tblOrdenes[[#This Row],[fecha_inicio]]="","",MONTH(tblOrdenes[[#This Row],[fecha_inicio]]))</f>
        <v/>
      </c>
      <c r="R397" s="3">
        <f>IF(tblOrdenes[[#This Row],[fecha_inicio]]="","",INDEX(lista_dias,WEEKDAY(tblOrdenes[[#This Row],[fecha_inicio]],2)))</f>
        <v/>
      </c>
      <c r="S3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7" s="3">
        <f>IF(tblOrdenes[[#This Row],[tipo_ot]]="","",_xlfn.XLOOKUP(tblOrdenes[[#This Row],[tipo_ot]],tblTiposOT[codigo],tblTiposOT[clasificacion],"sin_clasificar"))</f>
        <v/>
      </c>
      <c r="U397" s="3">
        <f>IF(tblOrdenes[[#This Row],[centro_costo]]="","",_xlfn.XLOOKUP(tblOrdenes[[#This Row],[centro_costo]],tblCECO[codigo],tblCECO[linea],"(sin catálogo)"))</f>
        <v/>
      </c>
      <c r="V397" s="3">
        <f>IF(tblOrdenes[[#This Row],[centro_costo]]="","",_xlfn.XLOOKUP(tblOrdenes[[#This Row],[centro_costo]],tblCECO[codigo],tblCECO[area],"(sin catálogo)"))</f>
        <v/>
      </c>
      <c r="W3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7" s="3">
        <f>IF(tblOrdenes[[#This Row],[centro_costo]]="","",_xlfn.XLOOKUP(tblOrdenes[[#This Row],[centro_costo]],tblCECO[codigo],tblCECO[coordinador],"(sin catálogo)"))</f>
        <v/>
      </c>
      <c r="Y397" s="3">
        <f>IF(tblOrdenes[[#This Row],[puesto_trabajo]]="","",_xlfn.XLOOKUP(tblOrdenes[[#This Row],[puesto_trabajo]],tblPuestos[codigo],tblPuestos[especialidad],"(sin catálogo)"))</f>
        <v/>
      </c>
      <c r="Z397" s="3">
        <f>IF(tblOrdenes[[#This Row],[cod_actividad]]="","",_xlfn.XLOOKUP(tblOrdenes[[#This Row],[cod_actividad]],tblActividades[codigo],tblActividades[descripcion],"(sin catálogo)"))</f>
        <v/>
      </c>
      <c r="AA397" s="13">
        <f>IF(tblOrdenes[[#This Row],[fecha_inicio]]="","",TODAY()-tblOrdenes[[#This Row],[fecha_inicio]])</f>
        <v/>
      </c>
      <c r="AB3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7" s="3">
        <f>IF(tblOrdenes[[#This Row],[backlog_habiles]]="","",IF(tblOrdenes[[#This Row],[backlog_habiles]]&lt;0,"FUTURO",IF(tblOrdenes[[#This Row],[backlog_habiles]]&gt;p_dias_backlog_max,"BACKLOG","MES CORRIENTE")))</f>
        <v/>
      </c>
      <c r="AD397" s="3">
        <f>IF(tblOrdenes[[#This Row],[backlog_habiles]]="",FALSE,AND(tblOrdenes[[#This Row],[backlog_habiles]]&gt;p_dias_backlog_min,tblOrdenes[[#This Row],[backlog_habiles]]&lt;=p_dias_backlog_max))</f>
        <v/>
      </c>
      <c r="AE397" s="6" t="n"/>
      <c r="AF3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7" s="11">
        <f>IF(tblOrdenes[[#This Row],[orden]]="","",_xlfn.XLOOKUP(tblOrdenes[[#This Row],[id_operacion]],tblEjecucion[id_operacion],tblEjecucion[precio],0))</f>
        <v/>
      </c>
      <c r="AJ397" s="11">
        <f>IF(tblOrdenes[[#This Row],[orden]]="","",MAX(0,_xlfn.XLOOKUP(tblOrdenes[[#This Row],[id_operacion]],tblEjecucion[id_operacion],tblEjecucion[costo_plan_total],0)-tblOrdenes[[#This Row],[costo_servicio]]))</f>
        <v/>
      </c>
      <c r="AK397" s="11">
        <f>IF(tblOrdenes[[#This Row],[orden]]="","",tblOrdenes[[#This Row],[costo_servicio]]+tblOrdenes[[#This Row],[costo_materiales]])</f>
        <v/>
      </c>
      <c r="AL397" s="6" t="n"/>
      <c r="AM397" s="6" t="n"/>
      <c r="AN397" s="6" t="n"/>
      <c r="AO397" s="3">
        <f>IF(tblOrdenes[[#This Row],[link_checklist]]="","",HYPERLINK(p_ruta_base_checklists&amp;tblOrdenes[[#This Row],[link_checklist]],"abrir"))</f>
        <v/>
      </c>
      <c r="AP397" s="6" t="n"/>
      <c r="AQ397" s="3">
        <f>IF(tblOrdenes[[#This Row],[orden]]="","",tblOrdenes[[#This Row],[orden]]&amp;IF(tblOrdenes[[#This Row],[operacion]]="","0010",tblOrdenes[[#This Row],[operacion]]))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2" t="n"/>
      <c r="K398" s="3" t="n"/>
      <c r="L398" s="11" t="n"/>
      <c r="M3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8" s="3">
        <f>IF(tblOrdenes[[#This Row],[fecha_inicio]]="","",YEAR(tblOrdenes[[#This Row],[fecha_inicio]]))</f>
        <v/>
      </c>
      <c r="Q398" s="3">
        <f>IF(tblOrdenes[[#This Row],[fecha_inicio]]="","",MONTH(tblOrdenes[[#This Row],[fecha_inicio]]))</f>
        <v/>
      </c>
      <c r="R398" s="3">
        <f>IF(tblOrdenes[[#This Row],[fecha_inicio]]="","",INDEX(lista_dias,WEEKDAY(tblOrdenes[[#This Row],[fecha_inicio]],2)))</f>
        <v/>
      </c>
      <c r="S3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8" s="3">
        <f>IF(tblOrdenes[[#This Row],[tipo_ot]]="","",_xlfn.XLOOKUP(tblOrdenes[[#This Row],[tipo_ot]],tblTiposOT[codigo],tblTiposOT[clasificacion],"sin_clasificar"))</f>
        <v/>
      </c>
      <c r="U398" s="3">
        <f>IF(tblOrdenes[[#This Row],[centro_costo]]="","",_xlfn.XLOOKUP(tblOrdenes[[#This Row],[centro_costo]],tblCECO[codigo],tblCECO[linea],"(sin catálogo)"))</f>
        <v/>
      </c>
      <c r="V398" s="3">
        <f>IF(tblOrdenes[[#This Row],[centro_costo]]="","",_xlfn.XLOOKUP(tblOrdenes[[#This Row],[centro_costo]],tblCECO[codigo],tblCECO[area],"(sin catálogo)"))</f>
        <v/>
      </c>
      <c r="W3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8" s="3">
        <f>IF(tblOrdenes[[#This Row],[centro_costo]]="","",_xlfn.XLOOKUP(tblOrdenes[[#This Row],[centro_costo]],tblCECO[codigo],tblCECO[coordinador],"(sin catálogo)"))</f>
        <v/>
      </c>
      <c r="Y398" s="3">
        <f>IF(tblOrdenes[[#This Row],[puesto_trabajo]]="","",_xlfn.XLOOKUP(tblOrdenes[[#This Row],[puesto_trabajo]],tblPuestos[codigo],tblPuestos[especialidad],"(sin catálogo)"))</f>
        <v/>
      </c>
      <c r="Z398" s="3">
        <f>IF(tblOrdenes[[#This Row],[cod_actividad]]="","",_xlfn.XLOOKUP(tblOrdenes[[#This Row],[cod_actividad]],tblActividades[codigo],tblActividades[descripcion],"(sin catálogo)"))</f>
        <v/>
      </c>
      <c r="AA398" s="13">
        <f>IF(tblOrdenes[[#This Row],[fecha_inicio]]="","",TODAY()-tblOrdenes[[#This Row],[fecha_inicio]])</f>
        <v/>
      </c>
      <c r="AB3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8" s="3">
        <f>IF(tblOrdenes[[#This Row],[backlog_habiles]]="","",IF(tblOrdenes[[#This Row],[backlog_habiles]]&lt;0,"FUTURO",IF(tblOrdenes[[#This Row],[backlog_habiles]]&gt;p_dias_backlog_max,"BACKLOG","MES CORRIENTE")))</f>
        <v/>
      </c>
      <c r="AD398" s="3">
        <f>IF(tblOrdenes[[#This Row],[backlog_habiles]]="",FALSE,AND(tblOrdenes[[#This Row],[backlog_habiles]]&gt;p_dias_backlog_min,tblOrdenes[[#This Row],[backlog_habiles]]&lt;=p_dias_backlog_max))</f>
        <v/>
      </c>
      <c r="AE398" s="6" t="n"/>
      <c r="AF3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8" s="11">
        <f>IF(tblOrdenes[[#This Row],[orden]]="","",_xlfn.XLOOKUP(tblOrdenes[[#This Row],[id_operacion]],tblEjecucion[id_operacion],tblEjecucion[precio],0))</f>
        <v/>
      </c>
      <c r="AJ398" s="11">
        <f>IF(tblOrdenes[[#This Row],[orden]]="","",MAX(0,_xlfn.XLOOKUP(tblOrdenes[[#This Row],[id_operacion]],tblEjecucion[id_operacion],tblEjecucion[costo_plan_total],0)-tblOrdenes[[#This Row],[costo_servicio]]))</f>
        <v/>
      </c>
      <c r="AK398" s="11">
        <f>IF(tblOrdenes[[#This Row],[orden]]="","",tblOrdenes[[#This Row],[costo_servicio]]+tblOrdenes[[#This Row],[costo_materiales]])</f>
        <v/>
      </c>
      <c r="AL398" s="6" t="n"/>
      <c r="AM398" s="6" t="n"/>
      <c r="AN398" s="6" t="n"/>
      <c r="AO398" s="3">
        <f>IF(tblOrdenes[[#This Row],[link_checklist]]="","",HYPERLINK(p_ruta_base_checklists&amp;tblOrdenes[[#This Row],[link_checklist]],"abrir"))</f>
        <v/>
      </c>
      <c r="AP398" s="6" t="n"/>
      <c r="AQ398" s="3">
        <f>IF(tblOrdenes[[#This Row],[orden]]="","",tblOrdenes[[#This Row],[orden]]&amp;IF(tblOrdenes[[#This Row],[operacion]]="","0010",tblOrdenes[[#This Row],[operacion]]))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2" t="n"/>
      <c r="K399" s="3" t="n"/>
      <c r="L399" s="11" t="n"/>
      <c r="M3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9" s="3">
        <f>IF(tblOrdenes[[#This Row],[fecha_inicio]]="","",YEAR(tblOrdenes[[#This Row],[fecha_inicio]]))</f>
        <v/>
      </c>
      <c r="Q399" s="3">
        <f>IF(tblOrdenes[[#This Row],[fecha_inicio]]="","",MONTH(tblOrdenes[[#This Row],[fecha_inicio]]))</f>
        <v/>
      </c>
      <c r="R399" s="3">
        <f>IF(tblOrdenes[[#This Row],[fecha_inicio]]="","",INDEX(lista_dias,WEEKDAY(tblOrdenes[[#This Row],[fecha_inicio]],2)))</f>
        <v/>
      </c>
      <c r="S3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9" s="3">
        <f>IF(tblOrdenes[[#This Row],[tipo_ot]]="","",_xlfn.XLOOKUP(tblOrdenes[[#This Row],[tipo_ot]],tblTiposOT[codigo],tblTiposOT[clasificacion],"sin_clasificar"))</f>
        <v/>
      </c>
      <c r="U399" s="3">
        <f>IF(tblOrdenes[[#This Row],[centro_costo]]="","",_xlfn.XLOOKUP(tblOrdenes[[#This Row],[centro_costo]],tblCECO[codigo],tblCECO[linea],"(sin catálogo)"))</f>
        <v/>
      </c>
      <c r="V399" s="3">
        <f>IF(tblOrdenes[[#This Row],[centro_costo]]="","",_xlfn.XLOOKUP(tblOrdenes[[#This Row],[centro_costo]],tblCECO[codigo],tblCECO[area],"(sin catálogo)"))</f>
        <v/>
      </c>
      <c r="W3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9" s="3">
        <f>IF(tblOrdenes[[#This Row],[centro_costo]]="","",_xlfn.XLOOKUP(tblOrdenes[[#This Row],[centro_costo]],tblCECO[codigo],tblCECO[coordinador],"(sin catálogo)"))</f>
        <v/>
      </c>
      <c r="Y399" s="3">
        <f>IF(tblOrdenes[[#This Row],[puesto_trabajo]]="","",_xlfn.XLOOKUP(tblOrdenes[[#This Row],[puesto_trabajo]],tblPuestos[codigo],tblPuestos[especialidad],"(sin catálogo)"))</f>
        <v/>
      </c>
      <c r="Z399" s="3">
        <f>IF(tblOrdenes[[#This Row],[cod_actividad]]="","",_xlfn.XLOOKUP(tblOrdenes[[#This Row],[cod_actividad]],tblActividades[codigo],tblActividades[descripcion],"(sin catálogo)"))</f>
        <v/>
      </c>
      <c r="AA399" s="13">
        <f>IF(tblOrdenes[[#This Row],[fecha_inicio]]="","",TODAY()-tblOrdenes[[#This Row],[fecha_inicio]])</f>
        <v/>
      </c>
      <c r="AB3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9" s="3">
        <f>IF(tblOrdenes[[#This Row],[backlog_habiles]]="","",IF(tblOrdenes[[#This Row],[backlog_habiles]]&lt;0,"FUTURO",IF(tblOrdenes[[#This Row],[backlog_habiles]]&gt;p_dias_backlog_max,"BACKLOG","MES CORRIENTE")))</f>
        <v/>
      </c>
      <c r="AD399" s="3">
        <f>IF(tblOrdenes[[#This Row],[backlog_habiles]]="",FALSE,AND(tblOrdenes[[#This Row],[backlog_habiles]]&gt;p_dias_backlog_min,tblOrdenes[[#This Row],[backlog_habiles]]&lt;=p_dias_backlog_max))</f>
        <v/>
      </c>
      <c r="AE399" s="6" t="n"/>
      <c r="AF3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9" s="11">
        <f>IF(tblOrdenes[[#This Row],[orden]]="","",_xlfn.XLOOKUP(tblOrdenes[[#This Row],[id_operacion]],tblEjecucion[id_operacion],tblEjecucion[precio],0))</f>
        <v/>
      </c>
      <c r="AJ399" s="11">
        <f>IF(tblOrdenes[[#This Row],[orden]]="","",MAX(0,_xlfn.XLOOKUP(tblOrdenes[[#This Row],[id_operacion]],tblEjecucion[id_operacion],tblEjecucion[costo_plan_total],0)-tblOrdenes[[#This Row],[costo_servicio]]))</f>
        <v/>
      </c>
      <c r="AK399" s="11">
        <f>IF(tblOrdenes[[#This Row],[orden]]="","",tblOrdenes[[#This Row],[costo_servicio]]+tblOrdenes[[#This Row],[costo_materiales]])</f>
        <v/>
      </c>
      <c r="AL399" s="6" t="n"/>
      <c r="AM399" s="6" t="n"/>
      <c r="AN399" s="6" t="n"/>
      <c r="AO399" s="3">
        <f>IF(tblOrdenes[[#This Row],[link_checklist]]="","",HYPERLINK(p_ruta_base_checklists&amp;tblOrdenes[[#This Row],[link_checklist]],"abrir"))</f>
        <v/>
      </c>
      <c r="AP399" s="6" t="n"/>
      <c r="AQ399" s="3">
        <f>IF(tblOrdenes[[#This Row],[orden]]="","",tblOrdenes[[#This Row],[orden]]&amp;IF(tblOrdenes[[#This Row],[operacion]]="","0010",tblOrdenes[[#This Row],[operacion]]))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2" t="n"/>
      <c r="K400" s="3" t="n"/>
      <c r="L400" s="11" t="n"/>
      <c r="M4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0" s="3">
        <f>IF(tblOrdenes[[#This Row],[fecha_inicio]]="","",YEAR(tblOrdenes[[#This Row],[fecha_inicio]]))</f>
        <v/>
      </c>
      <c r="Q400" s="3">
        <f>IF(tblOrdenes[[#This Row],[fecha_inicio]]="","",MONTH(tblOrdenes[[#This Row],[fecha_inicio]]))</f>
        <v/>
      </c>
      <c r="R400" s="3">
        <f>IF(tblOrdenes[[#This Row],[fecha_inicio]]="","",INDEX(lista_dias,WEEKDAY(tblOrdenes[[#This Row],[fecha_inicio]],2)))</f>
        <v/>
      </c>
      <c r="S4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0" s="3">
        <f>IF(tblOrdenes[[#This Row],[tipo_ot]]="","",_xlfn.XLOOKUP(tblOrdenes[[#This Row],[tipo_ot]],tblTiposOT[codigo],tblTiposOT[clasificacion],"sin_clasificar"))</f>
        <v/>
      </c>
      <c r="U400" s="3">
        <f>IF(tblOrdenes[[#This Row],[centro_costo]]="","",_xlfn.XLOOKUP(tblOrdenes[[#This Row],[centro_costo]],tblCECO[codigo],tblCECO[linea],"(sin catálogo)"))</f>
        <v/>
      </c>
      <c r="V400" s="3">
        <f>IF(tblOrdenes[[#This Row],[centro_costo]]="","",_xlfn.XLOOKUP(tblOrdenes[[#This Row],[centro_costo]],tblCECO[codigo],tblCECO[area],"(sin catálogo)"))</f>
        <v/>
      </c>
      <c r="W4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0" s="3">
        <f>IF(tblOrdenes[[#This Row],[centro_costo]]="","",_xlfn.XLOOKUP(tblOrdenes[[#This Row],[centro_costo]],tblCECO[codigo],tblCECO[coordinador],"(sin catálogo)"))</f>
        <v/>
      </c>
      <c r="Y400" s="3">
        <f>IF(tblOrdenes[[#This Row],[puesto_trabajo]]="","",_xlfn.XLOOKUP(tblOrdenes[[#This Row],[puesto_trabajo]],tblPuestos[codigo],tblPuestos[especialidad],"(sin catálogo)"))</f>
        <v/>
      </c>
      <c r="Z400" s="3">
        <f>IF(tblOrdenes[[#This Row],[cod_actividad]]="","",_xlfn.XLOOKUP(tblOrdenes[[#This Row],[cod_actividad]],tblActividades[codigo],tblActividades[descripcion],"(sin catálogo)"))</f>
        <v/>
      </c>
      <c r="AA400" s="13">
        <f>IF(tblOrdenes[[#This Row],[fecha_inicio]]="","",TODAY()-tblOrdenes[[#This Row],[fecha_inicio]])</f>
        <v/>
      </c>
      <c r="AB4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0" s="3">
        <f>IF(tblOrdenes[[#This Row],[backlog_habiles]]="","",IF(tblOrdenes[[#This Row],[backlog_habiles]]&lt;0,"FUTURO",IF(tblOrdenes[[#This Row],[backlog_habiles]]&gt;p_dias_backlog_max,"BACKLOG","MES CORRIENTE")))</f>
        <v/>
      </c>
      <c r="AD400" s="3">
        <f>IF(tblOrdenes[[#This Row],[backlog_habiles]]="",FALSE,AND(tblOrdenes[[#This Row],[backlog_habiles]]&gt;p_dias_backlog_min,tblOrdenes[[#This Row],[backlog_habiles]]&lt;=p_dias_backlog_max))</f>
        <v/>
      </c>
      <c r="AE400" s="6" t="n"/>
      <c r="AF4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0" s="11">
        <f>IF(tblOrdenes[[#This Row],[orden]]="","",_xlfn.XLOOKUP(tblOrdenes[[#This Row],[id_operacion]],tblEjecucion[id_operacion],tblEjecucion[precio],0))</f>
        <v/>
      </c>
      <c r="AJ400" s="11">
        <f>IF(tblOrdenes[[#This Row],[orden]]="","",MAX(0,_xlfn.XLOOKUP(tblOrdenes[[#This Row],[id_operacion]],tblEjecucion[id_operacion],tblEjecucion[costo_plan_total],0)-tblOrdenes[[#This Row],[costo_servicio]]))</f>
        <v/>
      </c>
      <c r="AK400" s="11">
        <f>IF(tblOrdenes[[#This Row],[orden]]="","",tblOrdenes[[#This Row],[costo_servicio]]+tblOrdenes[[#This Row],[costo_materiales]])</f>
        <v/>
      </c>
      <c r="AL400" s="6" t="n"/>
      <c r="AM400" s="6" t="n"/>
      <c r="AN400" s="6" t="n"/>
      <c r="AO400" s="3">
        <f>IF(tblOrdenes[[#This Row],[link_checklist]]="","",HYPERLINK(p_ruta_base_checklists&amp;tblOrdenes[[#This Row],[link_checklist]],"abrir"))</f>
        <v/>
      </c>
      <c r="AP400" s="6" t="n"/>
      <c r="AQ400" s="3">
        <f>IF(tblOrdenes[[#This Row],[orden]]="","",tblOrdenes[[#This Row],[orden]]&amp;IF(tblOrdenes[[#This Row],[operacion]]="","0010",tblOrdenes[[#This Row],[operacion]]))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2" t="n"/>
      <c r="K401" s="3" t="n"/>
      <c r="L401" s="11" t="n"/>
      <c r="M4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1" s="3">
        <f>IF(tblOrdenes[[#This Row],[fecha_inicio]]="","",YEAR(tblOrdenes[[#This Row],[fecha_inicio]]))</f>
        <v/>
      </c>
      <c r="Q401" s="3">
        <f>IF(tblOrdenes[[#This Row],[fecha_inicio]]="","",MONTH(tblOrdenes[[#This Row],[fecha_inicio]]))</f>
        <v/>
      </c>
      <c r="R401" s="3">
        <f>IF(tblOrdenes[[#This Row],[fecha_inicio]]="","",INDEX(lista_dias,WEEKDAY(tblOrdenes[[#This Row],[fecha_inicio]],2)))</f>
        <v/>
      </c>
      <c r="S4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1" s="3">
        <f>IF(tblOrdenes[[#This Row],[tipo_ot]]="","",_xlfn.XLOOKUP(tblOrdenes[[#This Row],[tipo_ot]],tblTiposOT[codigo],tblTiposOT[clasificacion],"sin_clasificar"))</f>
        <v/>
      </c>
      <c r="U401" s="3">
        <f>IF(tblOrdenes[[#This Row],[centro_costo]]="","",_xlfn.XLOOKUP(tblOrdenes[[#This Row],[centro_costo]],tblCECO[codigo],tblCECO[linea],"(sin catálogo)"))</f>
        <v/>
      </c>
      <c r="V401" s="3">
        <f>IF(tblOrdenes[[#This Row],[centro_costo]]="","",_xlfn.XLOOKUP(tblOrdenes[[#This Row],[centro_costo]],tblCECO[codigo],tblCECO[area],"(sin catálogo)"))</f>
        <v/>
      </c>
      <c r="W4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1" s="3">
        <f>IF(tblOrdenes[[#This Row],[centro_costo]]="","",_xlfn.XLOOKUP(tblOrdenes[[#This Row],[centro_costo]],tblCECO[codigo],tblCECO[coordinador],"(sin catálogo)"))</f>
        <v/>
      </c>
      <c r="Y401" s="3">
        <f>IF(tblOrdenes[[#This Row],[puesto_trabajo]]="","",_xlfn.XLOOKUP(tblOrdenes[[#This Row],[puesto_trabajo]],tblPuestos[codigo],tblPuestos[especialidad],"(sin catálogo)"))</f>
        <v/>
      </c>
      <c r="Z401" s="3">
        <f>IF(tblOrdenes[[#This Row],[cod_actividad]]="","",_xlfn.XLOOKUP(tblOrdenes[[#This Row],[cod_actividad]],tblActividades[codigo],tblActividades[descripcion],"(sin catálogo)"))</f>
        <v/>
      </c>
      <c r="AA401" s="13">
        <f>IF(tblOrdenes[[#This Row],[fecha_inicio]]="","",TODAY()-tblOrdenes[[#This Row],[fecha_inicio]])</f>
        <v/>
      </c>
      <c r="AB4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1" s="3">
        <f>IF(tblOrdenes[[#This Row],[backlog_habiles]]="","",IF(tblOrdenes[[#This Row],[backlog_habiles]]&lt;0,"FUTURO",IF(tblOrdenes[[#This Row],[backlog_habiles]]&gt;p_dias_backlog_max,"BACKLOG","MES CORRIENTE")))</f>
        <v/>
      </c>
      <c r="AD401" s="3">
        <f>IF(tblOrdenes[[#This Row],[backlog_habiles]]="",FALSE,AND(tblOrdenes[[#This Row],[backlog_habiles]]&gt;p_dias_backlog_min,tblOrdenes[[#This Row],[backlog_habiles]]&lt;=p_dias_backlog_max))</f>
        <v/>
      </c>
      <c r="AE401" s="6" t="n"/>
      <c r="AF4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1" s="11">
        <f>IF(tblOrdenes[[#This Row],[orden]]="","",_xlfn.XLOOKUP(tblOrdenes[[#This Row],[id_operacion]],tblEjecucion[id_operacion],tblEjecucion[precio],0))</f>
        <v/>
      </c>
      <c r="AJ401" s="11">
        <f>IF(tblOrdenes[[#This Row],[orden]]="","",MAX(0,_xlfn.XLOOKUP(tblOrdenes[[#This Row],[id_operacion]],tblEjecucion[id_operacion],tblEjecucion[costo_plan_total],0)-tblOrdenes[[#This Row],[costo_servicio]]))</f>
        <v/>
      </c>
      <c r="AK401" s="11">
        <f>IF(tblOrdenes[[#This Row],[orden]]="","",tblOrdenes[[#This Row],[costo_servicio]]+tblOrdenes[[#This Row],[costo_materiales]])</f>
        <v/>
      </c>
      <c r="AL401" s="6" t="n"/>
      <c r="AM401" s="6" t="n"/>
      <c r="AN401" s="6" t="n"/>
      <c r="AO401" s="3">
        <f>IF(tblOrdenes[[#This Row],[link_checklist]]="","",HYPERLINK(p_ruta_base_checklists&amp;tblOrdenes[[#This Row],[link_checklist]],"abrir"))</f>
        <v/>
      </c>
      <c r="AP401" s="6" t="n"/>
      <c r="AQ401" s="3">
        <f>IF(tblOrdenes[[#This Row],[orden]]="","",tblOrdenes[[#This Row],[orden]]&amp;IF(tblOrdenes[[#This Row],[operacion]]="","0010",tblOrdenes[[#This Row],[operacion]]))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2" t="n"/>
      <c r="K402" s="3" t="n"/>
      <c r="L402" s="11" t="n"/>
      <c r="M4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2" s="3">
        <f>IF(tblOrdenes[[#This Row],[fecha_inicio]]="","",YEAR(tblOrdenes[[#This Row],[fecha_inicio]]))</f>
        <v/>
      </c>
      <c r="Q402" s="3">
        <f>IF(tblOrdenes[[#This Row],[fecha_inicio]]="","",MONTH(tblOrdenes[[#This Row],[fecha_inicio]]))</f>
        <v/>
      </c>
      <c r="R402" s="3">
        <f>IF(tblOrdenes[[#This Row],[fecha_inicio]]="","",INDEX(lista_dias,WEEKDAY(tblOrdenes[[#This Row],[fecha_inicio]],2)))</f>
        <v/>
      </c>
      <c r="S4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2" s="3">
        <f>IF(tblOrdenes[[#This Row],[tipo_ot]]="","",_xlfn.XLOOKUP(tblOrdenes[[#This Row],[tipo_ot]],tblTiposOT[codigo],tblTiposOT[clasificacion],"sin_clasificar"))</f>
        <v/>
      </c>
      <c r="U402" s="3">
        <f>IF(tblOrdenes[[#This Row],[centro_costo]]="","",_xlfn.XLOOKUP(tblOrdenes[[#This Row],[centro_costo]],tblCECO[codigo],tblCECO[linea],"(sin catálogo)"))</f>
        <v/>
      </c>
      <c r="V402" s="3">
        <f>IF(tblOrdenes[[#This Row],[centro_costo]]="","",_xlfn.XLOOKUP(tblOrdenes[[#This Row],[centro_costo]],tblCECO[codigo],tblCECO[area],"(sin catálogo)"))</f>
        <v/>
      </c>
      <c r="W4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2" s="3">
        <f>IF(tblOrdenes[[#This Row],[centro_costo]]="","",_xlfn.XLOOKUP(tblOrdenes[[#This Row],[centro_costo]],tblCECO[codigo],tblCECO[coordinador],"(sin catálogo)"))</f>
        <v/>
      </c>
      <c r="Y402" s="3">
        <f>IF(tblOrdenes[[#This Row],[puesto_trabajo]]="","",_xlfn.XLOOKUP(tblOrdenes[[#This Row],[puesto_trabajo]],tblPuestos[codigo],tblPuestos[especialidad],"(sin catálogo)"))</f>
        <v/>
      </c>
      <c r="Z402" s="3">
        <f>IF(tblOrdenes[[#This Row],[cod_actividad]]="","",_xlfn.XLOOKUP(tblOrdenes[[#This Row],[cod_actividad]],tblActividades[codigo],tblActividades[descripcion],"(sin catálogo)"))</f>
        <v/>
      </c>
      <c r="AA402" s="13">
        <f>IF(tblOrdenes[[#This Row],[fecha_inicio]]="","",TODAY()-tblOrdenes[[#This Row],[fecha_inicio]])</f>
        <v/>
      </c>
      <c r="AB4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2" s="3">
        <f>IF(tblOrdenes[[#This Row],[backlog_habiles]]="","",IF(tblOrdenes[[#This Row],[backlog_habiles]]&lt;0,"FUTURO",IF(tblOrdenes[[#This Row],[backlog_habiles]]&gt;p_dias_backlog_max,"BACKLOG","MES CORRIENTE")))</f>
        <v/>
      </c>
      <c r="AD402" s="3">
        <f>IF(tblOrdenes[[#This Row],[backlog_habiles]]="",FALSE,AND(tblOrdenes[[#This Row],[backlog_habiles]]&gt;p_dias_backlog_min,tblOrdenes[[#This Row],[backlog_habiles]]&lt;=p_dias_backlog_max))</f>
        <v/>
      </c>
      <c r="AE402" s="6" t="n"/>
      <c r="AF4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2" s="11">
        <f>IF(tblOrdenes[[#This Row],[orden]]="","",_xlfn.XLOOKUP(tblOrdenes[[#This Row],[id_operacion]],tblEjecucion[id_operacion],tblEjecucion[precio],0))</f>
        <v/>
      </c>
      <c r="AJ402" s="11">
        <f>IF(tblOrdenes[[#This Row],[orden]]="","",MAX(0,_xlfn.XLOOKUP(tblOrdenes[[#This Row],[id_operacion]],tblEjecucion[id_operacion],tblEjecucion[costo_plan_total],0)-tblOrdenes[[#This Row],[costo_servicio]]))</f>
        <v/>
      </c>
      <c r="AK402" s="11">
        <f>IF(tblOrdenes[[#This Row],[orden]]="","",tblOrdenes[[#This Row],[costo_servicio]]+tblOrdenes[[#This Row],[costo_materiales]])</f>
        <v/>
      </c>
      <c r="AL402" s="6" t="n"/>
      <c r="AM402" s="6" t="n"/>
      <c r="AN402" s="6" t="n"/>
      <c r="AO402" s="3">
        <f>IF(tblOrdenes[[#This Row],[link_checklist]]="","",HYPERLINK(p_ruta_base_checklists&amp;tblOrdenes[[#This Row],[link_checklist]],"abrir"))</f>
        <v/>
      </c>
      <c r="AP402" s="6" t="n"/>
      <c r="AQ402" s="3">
        <f>IF(tblOrdenes[[#This Row],[orden]]="","",tblOrdenes[[#This Row],[orden]]&amp;IF(tblOrdenes[[#This Row],[operacion]]="","0010",tblOrdenes[[#This Row],[operacion]]))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2" t="n"/>
      <c r="K403" s="3" t="n"/>
      <c r="L403" s="11" t="n"/>
      <c r="M4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3" s="3">
        <f>IF(tblOrdenes[[#This Row],[fecha_inicio]]="","",YEAR(tblOrdenes[[#This Row],[fecha_inicio]]))</f>
        <v/>
      </c>
      <c r="Q403" s="3">
        <f>IF(tblOrdenes[[#This Row],[fecha_inicio]]="","",MONTH(tblOrdenes[[#This Row],[fecha_inicio]]))</f>
        <v/>
      </c>
      <c r="R403" s="3">
        <f>IF(tblOrdenes[[#This Row],[fecha_inicio]]="","",INDEX(lista_dias,WEEKDAY(tblOrdenes[[#This Row],[fecha_inicio]],2)))</f>
        <v/>
      </c>
      <c r="S4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3" s="3">
        <f>IF(tblOrdenes[[#This Row],[tipo_ot]]="","",_xlfn.XLOOKUP(tblOrdenes[[#This Row],[tipo_ot]],tblTiposOT[codigo],tblTiposOT[clasificacion],"sin_clasificar"))</f>
        <v/>
      </c>
      <c r="U403" s="3">
        <f>IF(tblOrdenes[[#This Row],[centro_costo]]="","",_xlfn.XLOOKUP(tblOrdenes[[#This Row],[centro_costo]],tblCECO[codigo],tblCECO[linea],"(sin catálogo)"))</f>
        <v/>
      </c>
      <c r="V403" s="3">
        <f>IF(tblOrdenes[[#This Row],[centro_costo]]="","",_xlfn.XLOOKUP(tblOrdenes[[#This Row],[centro_costo]],tblCECO[codigo],tblCECO[area],"(sin catálogo)"))</f>
        <v/>
      </c>
      <c r="W4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3" s="3">
        <f>IF(tblOrdenes[[#This Row],[centro_costo]]="","",_xlfn.XLOOKUP(tblOrdenes[[#This Row],[centro_costo]],tblCECO[codigo],tblCECO[coordinador],"(sin catálogo)"))</f>
        <v/>
      </c>
      <c r="Y403" s="3">
        <f>IF(tblOrdenes[[#This Row],[puesto_trabajo]]="","",_xlfn.XLOOKUP(tblOrdenes[[#This Row],[puesto_trabajo]],tblPuestos[codigo],tblPuestos[especialidad],"(sin catálogo)"))</f>
        <v/>
      </c>
      <c r="Z403" s="3">
        <f>IF(tblOrdenes[[#This Row],[cod_actividad]]="","",_xlfn.XLOOKUP(tblOrdenes[[#This Row],[cod_actividad]],tblActividades[codigo],tblActividades[descripcion],"(sin catálogo)"))</f>
        <v/>
      </c>
      <c r="AA403" s="13">
        <f>IF(tblOrdenes[[#This Row],[fecha_inicio]]="","",TODAY()-tblOrdenes[[#This Row],[fecha_inicio]])</f>
        <v/>
      </c>
      <c r="AB4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3" s="3">
        <f>IF(tblOrdenes[[#This Row],[backlog_habiles]]="","",IF(tblOrdenes[[#This Row],[backlog_habiles]]&lt;0,"FUTURO",IF(tblOrdenes[[#This Row],[backlog_habiles]]&gt;p_dias_backlog_max,"BACKLOG","MES CORRIENTE")))</f>
        <v/>
      </c>
      <c r="AD403" s="3">
        <f>IF(tblOrdenes[[#This Row],[backlog_habiles]]="",FALSE,AND(tblOrdenes[[#This Row],[backlog_habiles]]&gt;p_dias_backlog_min,tblOrdenes[[#This Row],[backlog_habiles]]&lt;=p_dias_backlog_max))</f>
        <v/>
      </c>
      <c r="AE403" s="6" t="n"/>
      <c r="AF4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3" s="11">
        <f>IF(tblOrdenes[[#This Row],[orden]]="","",_xlfn.XLOOKUP(tblOrdenes[[#This Row],[id_operacion]],tblEjecucion[id_operacion],tblEjecucion[precio],0))</f>
        <v/>
      </c>
      <c r="AJ403" s="11">
        <f>IF(tblOrdenes[[#This Row],[orden]]="","",MAX(0,_xlfn.XLOOKUP(tblOrdenes[[#This Row],[id_operacion]],tblEjecucion[id_operacion],tblEjecucion[costo_plan_total],0)-tblOrdenes[[#This Row],[costo_servicio]]))</f>
        <v/>
      </c>
      <c r="AK403" s="11">
        <f>IF(tblOrdenes[[#This Row],[orden]]="","",tblOrdenes[[#This Row],[costo_servicio]]+tblOrdenes[[#This Row],[costo_materiales]])</f>
        <v/>
      </c>
      <c r="AL403" s="6" t="n"/>
      <c r="AM403" s="6" t="n"/>
      <c r="AN403" s="6" t="n"/>
      <c r="AO403" s="3">
        <f>IF(tblOrdenes[[#This Row],[link_checklist]]="","",HYPERLINK(p_ruta_base_checklists&amp;tblOrdenes[[#This Row],[link_checklist]],"abrir"))</f>
        <v/>
      </c>
      <c r="AP403" s="6" t="n"/>
      <c r="AQ403" s="3">
        <f>IF(tblOrdenes[[#This Row],[orden]]="","",tblOrdenes[[#This Row],[orden]]&amp;IF(tblOrdenes[[#This Row],[operacion]]="","0010",tblOrdenes[[#This Row],[operacion]]))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2" t="n"/>
      <c r="K404" s="3" t="n"/>
      <c r="L404" s="11" t="n"/>
      <c r="M4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4" s="3">
        <f>IF(tblOrdenes[[#This Row],[fecha_inicio]]="","",YEAR(tblOrdenes[[#This Row],[fecha_inicio]]))</f>
        <v/>
      </c>
      <c r="Q404" s="3">
        <f>IF(tblOrdenes[[#This Row],[fecha_inicio]]="","",MONTH(tblOrdenes[[#This Row],[fecha_inicio]]))</f>
        <v/>
      </c>
      <c r="R404" s="3">
        <f>IF(tblOrdenes[[#This Row],[fecha_inicio]]="","",INDEX(lista_dias,WEEKDAY(tblOrdenes[[#This Row],[fecha_inicio]],2)))</f>
        <v/>
      </c>
      <c r="S4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4" s="3">
        <f>IF(tblOrdenes[[#This Row],[tipo_ot]]="","",_xlfn.XLOOKUP(tblOrdenes[[#This Row],[tipo_ot]],tblTiposOT[codigo],tblTiposOT[clasificacion],"sin_clasificar"))</f>
        <v/>
      </c>
      <c r="U404" s="3">
        <f>IF(tblOrdenes[[#This Row],[centro_costo]]="","",_xlfn.XLOOKUP(tblOrdenes[[#This Row],[centro_costo]],tblCECO[codigo],tblCECO[linea],"(sin catálogo)"))</f>
        <v/>
      </c>
      <c r="V404" s="3">
        <f>IF(tblOrdenes[[#This Row],[centro_costo]]="","",_xlfn.XLOOKUP(tblOrdenes[[#This Row],[centro_costo]],tblCECO[codigo],tblCECO[area],"(sin catálogo)"))</f>
        <v/>
      </c>
      <c r="W4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4" s="3">
        <f>IF(tblOrdenes[[#This Row],[centro_costo]]="","",_xlfn.XLOOKUP(tblOrdenes[[#This Row],[centro_costo]],tblCECO[codigo],tblCECO[coordinador],"(sin catálogo)"))</f>
        <v/>
      </c>
      <c r="Y404" s="3">
        <f>IF(tblOrdenes[[#This Row],[puesto_trabajo]]="","",_xlfn.XLOOKUP(tblOrdenes[[#This Row],[puesto_trabajo]],tblPuestos[codigo],tblPuestos[especialidad],"(sin catálogo)"))</f>
        <v/>
      </c>
      <c r="Z404" s="3">
        <f>IF(tblOrdenes[[#This Row],[cod_actividad]]="","",_xlfn.XLOOKUP(tblOrdenes[[#This Row],[cod_actividad]],tblActividades[codigo],tblActividades[descripcion],"(sin catálogo)"))</f>
        <v/>
      </c>
      <c r="AA404" s="13">
        <f>IF(tblOrdenes[[#This Row],[fecha_inicio]]="","",TODAY()-tblOrdenes[[#This Row],[fecha_inicio]])</f>
        <v/>
      </c>
      <c r="AB4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4" s="3">
        <f>IF(tblOrdenes[[#This Row],[backlog_habiles]]="","",IF(tblOrdenes[[#This Row],[backlog_habiles]]&lt;0,"FUTURO",IF(tblOrdenes[[#This Row],[backlog_habiles]]&gt;p_dias_backlog_max,"BACKLOG","MES CORRIENTE")))</f>
        <v/>
      </c>
      <c r="AD404" s="3">
        <f>IF(tblOrdenes[[#This Row],[backlog_habiles]]="",FALSE,AND(tblOrdenes[[#This Row],[backlog_habiles]]&gt;p_dias_backlog_min,tblOrdenes[[#This Row],[backlog_habiles]]&lt;=p_dias_backlog_max))</f>
        <v/>
      </c>
      <c r="AE404" s="6" t="n"/>
      <c r="AF4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4" s="11">
        <f>IF(tblOrdenes[[#This Row],[orden]]="","",_xlfn.XLOOKUP(tblOrdenes[[#This Row],[id_operacion]],tblEjecucion[id_operacion],tblEjecucion[precio],0))</f>
        <v/>
      </c>
      <c r="AJ404" s="11">
        <f>IF(tblOrdenes[[#This Row],[orden]]="","",MAX(0,_xlfn.XLOOKUP(tblOrdenes[[#This Row],[id_operacion]],tblEjecucion[id_operacion],tblEjecucion[costo_plan_total],0)-tblOrdenes[[#This Row],[costo_servicio]]))</f>
        <v/>
      </c>
      <c r="AK404" s="11">
        <f>IF(tblOrdenes[[#This Row],[orden]]="","",tblOrdenes[[#This Row],[costo_servicio]]+tblOrdenes[[#This Row],[costo_materiales]])</f>
        <v/>
      </c>
      <c r="AL404" s="6" t="n"/>
      <c r="AM404" s="6" t="n"/>
      <c r="AN404" s="6" t="n"/>
      <c r="AO404" s="3">
        <f>IF(tblOrdenes[[#This Row],[link_checklist]]="","",HYPERLINK(p_ruta_base_checklists&amp;tblOrdenes[[#This Row],[link_checklist]],"abrir"))</f>
        <v/>
      </c>
      <c r="AP404" s="6" t="n"/>
      <c r="AQ404" s="3">
        <f>IF(tblOrdenes[[#This Row],[orden]]="","",tblOrdenes[[#This Row],[orden]]&amp;IF(tblOrdenes[[#This Row],[operacion]]="","0010",tblOrdenes[[#This Row],[operacion]]))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2" t="n"/>
      <c r="K405" s="3" t="n"/>
      <c r="L405" s="11" t="n"/>
      <c r="M4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5" s="3">
        <f>IF(tblOrdenes[[#This Row],[fecha_inicio]]="","",YEAR(tblOrdenes[[#This Row],[fecha_inicio]]))</f>
        <v/>
      </c>
      <c r="Q405" s="3">
        <f>IF(tblOrdenes[[#This Row],[fecha_inicio]]="","",MONTH(tblOrdenes[[#This Row],[fecha_inicio]]))</f>
        <v/>
      </c>
      <c r="R405" s="3">
        <f>IF(tblOrdenes[[#This Row],[fecha_inicio]]="","",INDEX(lista_dias,WEEKDAY(tblOrdenes[[#This Row],[fecha_inicio]],2)))</f>
        <v/>
      </c>
      <c r="S4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5" s="3">
        <f>IF(tblOrdenes[[#This Row],[tipo_ot]]="","",_xlfn.XLOOKUP(tblOrdenes[[#This Row],[tipo_ot]],tblTiposOT[codigo],tblTiposOT[clasificacion],"sin_clasificar"))</f>
        <v/>
      </c>
      <c r="U405" s="3">
        <f>IF(tblOrdenes[[#This Row],[centro_costo]]="","",_xlfn.XLOOKUP(tblOrdenes[[#This Row],[centro_costo]],tblCECO[codigo],tblCECO[linea],"(sin catálogo)"))</f>
        <v/>
      </c>
      <c r="V405" s="3">
        <f>IF(tblOrdenes[[#This Row],[centro_costo]]="","",_xlfn.XLOOKUP(tblOrdenes[[#This Row],[centro_costo]],tblCECO[codigo],tblCECO[area],"(sin catálogo)"))</f>
        <v/>
      </c>
      <c r="W4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5" s="3">
        <f>IF(tblOrdenes[[#This Row],[centro_costo]]="","",_xlfn.XLOOKUP(tblOrdenes[[#This Row],[centro_costo]],tblCECO[codigo],tblCECO[coordinador],"(sin catálogo)"))</f>
        <v/>
      </c>
      <c r="Y405" s="3">
        <f>IF(tblOrdenes[[#This Row],[puesto_trabajo]]="","",_xlfn.XLOOKUP(tblOrdenes[[#This Row],[puesto_trabajo]],tblPuestos[codigo],tblPuestos[especialidad],"(sin catálogo)"))</f>
        <v/>
      </c>
      <c r="Z405" s="3">
        <f>IF(tblOrdenes[[#This Row],[cod_actividad]]="","",_xlfn.XLOOKUP(tblOrdenes[[#This Row],[cod_actividad]],tblActividades[codigo],tblActividades[descripcion],"(sin catálogo)"))</f>
        <v/>
      </c>
      <c r="AA405" s="13">
        <f>IF(tblOrdenes[[#This Row],[fecha_inicio]]="","",TODAY()-tblOrdenes[[#This Row],[fecha_inicio]])</f>
        <v/>
      </c>
      <c r="AB4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5" s="3">
        <f>IF(tblOrdenes[[#This Row],[backlog_habiles]]="","",IF(tblOrdenes[[#This Row],[backlog_habiles]]&lt;0,"FUTURO",IF(tblOrdenes[[#This Row],[backlog_habiles]]&gt;p_dias_backlog_max,"BACKLOG","MES CORRIENTE")))</f>
        <v/>
      </c>
      <c r="AD405" s="3">
        <f>IF(tblOrdenes[[#This Row],[backlog_habiles]]="",FALSE,AND(tblOrdenes[[#This Row],[backlog_habiles]]&gt;p_dias_backlog_min,tblOrdenes[[#This Row],[backlog_habiles]]&lt;=p_dias_backlog_max))</f>
        <v/>
      </c>
      <c r="AE405" s="6" t="n"/>
      <c r="AF4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5" s="11">
        <f>IF(tblOrdenes[[#This Row],[orden]]="","",_xlfn.XLOOKUP(tblOrdenes[[#This Row],[id_operacion]],tblEjecucion[id_operacion],tblEjecucion[precio],0))</f>
        <v/>
      </c>
      <c r="AJ405" s="11">
        <f>IF(tblOrdenes[[#This Row],[orden]]="","",MAX(0,_xlfn.XLOOKUP(tblOrdenes[[#This Row],[id_operacion]],tblEjecucion[id_operacion],tblEjecucion[costo_plan_total],0)-tblOrdenes[[#This Row],[costo_servicio]]))</f>
        <v/>
      </c>
      <c r="AK405" s="11">
        <f>IF(tblOrdenes[[#This Row],[orden]]="","",tblOrdenes[[#This Row],[costo_servicio]]+tblOrdenes[[#This Row],[costo_materiales]])</f>
        <v/>
      </c>
      <c r="AL405" s="6" t="n"/>
      <c r="AM405" s="6" t="n"/>
      <c r="AN405" s="6" t="n"/>
      <c r="AO405" s="3">
        <f>IF(tblOrdenes[[#This Row],[link_checklist]]="","",HYPERLINK(p_ruta_base_checklists&amp;tblOrdenes[[#This Row],[link_checklist]],"abrir"))</f>
        <v/>
      </c>
      <c r="AP405" s="6" t="n"/>
      <c r="AQ405" s="3">
        <f>IF(tblOrdenes[[#This Row],[orden]]="","",tblOrdenes[[#This Row],[orden]]&amp;IF(tblOrdenes[[#This Row],[operacion]]="","0010",tblOrdenes[[#This Row],[operacion]]))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2" t="n"/>
      <c r="K406" s="3" t="n"/>
      <c r="L406" s="11" t="n"/>
      <c r="M4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6" s="3">
        <f>IF(tblOrdenes[[#This Row],[fecha_inicio]]="","",YEAR(tblOrdenes[[#This Row],[fecha_inicio]]))</f>
        <v/>
      </c>
      <c r="Q406" s="3">
        <f>IF(tblOrdenes[[#This Row],[fecha_inicio]]="","",MONTH(tblOrdenes[[#This Row],[fecha_inicio]]))</f>
        <v/>
      </c>
      <c r="R406" s="3">
        <f>IF(tblOrdenes[[#This Row],[fecha_inicio]]="","",INDEX(lista_dias,WEEKDAY(tblOrdenes[[#This Row],[fecha_inicio]],2)))</f>
        <v/>
      </c>
      <c r="S4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6" s="3">
        <f>IF(tblOrdenes[[#This Row],[tipo_ot]]="","",_xlfn.XLOOKUP(tblOrdenes[[#This Row],[tipo_ot]],tblTiposOT[codigo],tblTiposOT[clasificacion],"sin_clasificar"))</f>
        <v/>
      </c>
      <c r="U406" s="3">
        <f>IF(tblOrdenes[[#This Row],[centro_costo]]="","",_xlfn.XLOOKUP(tblOrdenes[[#This Row],[centro_costo]],tblCECO[codigo],tblCECO[linea],"(sin catálogo)"))</f>
        <v/>
      </c>
      <c r="V406" s="3">
        <f>IF(tblOrdenes[[#This Row],[centro_costo]]="","",_xlfn.XLOOKUP(tblOrdenes[[#This Row],[centro_costo]],tblCECO[codigo],tblCECO[area],"(sin catálogo)"))</f>
        <v/>
      </c>
      <c r="W4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6" s="3">
        <f>IF(tblOrdenes[[#This Row],[centro_costo]]="","",_xlfn.XLOOKUP(tblOrdenes[[#This Row],[centro_costo]],tblCECO[codigo],tblCECO[coordinador],"(sin catálogo)"))</f>
        <v/>
      </c>
      <c r="Y406" s="3">
        <f>IF(tblOrdenes[[#This Row],[puesto_trabajo]]="","",_xlfn.XLOOKUP(tblOrdenes[[#This Row],[puesto_trabajo]],tblPuestos[codigo],tblPuestos[especialidad],"(sin catálogo)"))</f>
        <v/>
      </c>
      <c r="Z406" s="3">
        <f>IF(tblOrdenes[[#This Row],[cod_actividad]]="","",_xlfn.XLOOKUP(tblOrdenes[[#This Row],[cod_actividad]],tblActividades[codigo],tblActividades[descripcion],"(sin catálogo)"))</f>
        <v/>
      </c>
      <c r="AA406" s="13">
        <f>IF(tblOrdenes[[#This Row],[fecha_inicio]]="","",TODAY()-tblOrdenes[[#This Row],[fecha_inicio]])</f>
        <v/>
      </c>
      <c r="AB4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6" s="3">
        <f>IF(tblOrdenes[[#This Row],[backlog_habiles]]="","",IF(tblOrdenes[[#This Row],[backlog_habiles]]&lt;0,"FUTURO",IF(tblOrdenes[[#This Row],[backlog_habiles]]&gt;p_dias_backlog_max,"BACKLOG","MES CORRIENTE")))</f>
        <v/>
      </c>
      <c r="AD406" s="3">
        <f>IF(tblOrdenes[[#This Row],[backlog_habiles]]="",FALSE,AND(tblOrdenes[[#This Row],[backlog_habiles]]&gt;p_dias_backlog_min,tblOrdenes[[#This Row],[backlog_habiles]]&lt;=p_dias_backlog_max))</f>
        <v/>
      </c>
      <c r="AE406" s="6" t="n"/>
      <c r="AF4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6" s="11">
        <f>IF(tblOrdenes[[#This Row],[orden]]="","",_xlfn.XLOOKUP(tblOrdenes[[#This Row],[id_operacion]],tblEjecucion[id_operacion],tblEjecucion[precio],0))</f>
        <v/>
      </c>
      <c r="AJ406" s="11">
        <f>IF(tblOrdenes[[#This Row],[orden]]="","",MAX(0,_xlfn.XLOOKUP(tblOrdenes[[#This Row],[id_operacion]],tblEjecucion[id_operacion],tblEjecucion[costo_plan_total],0)-tblOrdenes[[#This Row],[costo_servicio]]))</f>
        <v/>
      </c>
      <c r="AK406" s="11">
        <f>IF(tblOrdenes[[#This Row],[orden]]="","",tblOrdenes[[#This Row],[costo_servicio]]+tblOrdenes[[#This Row],[costo_materiales]])</f>
        <v/>
      </c>
      <c r="AL406" s="6" t="n"/>
      <c r="AM406" s="6" t="n"/>
      <c r="AN406" s="6" t="n"/>
      <c r="AO406" s="3">
        <f>IF(tblOrdenes[[#This Row],[link_checklist]]="","",HYPERLINK(p_ruta_base_checklists&amp;tblOrdenes[[#This Row],[link_checklist]],"abrir"))</f>
        <v/>
      </c>
      <c r="AP406" s="6" t="n"/>
      <c r="AQ406" s="3">
        <f>IF(tblOrdenes[[#This Row],[orden]]="","",tblOrdenes[[#This Row],[orden]]&amp;IF(tblOrdenes[[#This Row],[operacion]]="","0010",tblOrdenes[[#This Row],[operacion]]))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2" t="n"/>
      <c r="K407" s="3" t="n"/>
      <c r="L407" s="11" t="n"/>
      <c r="M4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7" s="3">
        <f>IF(tblOrdenes[[#This Row],[fecha_inicio]]="","",YEAR(tblOrdenes[[#This Row],[fecha_inicio]]))</f>
        <v/>
      </c>
      <c r="Q407" s="3">
        <f>IF(tblOrdenes[[#This Row],[fecha_inicio]]="","",MONTH(tblOrdenes[[#This Row],[fecha_inicio]]))</f>
        <v/>
      </c>
      <c r="R407" s="3">
        <f>IF(tblOrdenes[[#This Row],[fecha_inicio]]="","",INDEX(lista_dias,WEEKDAY(tblOrdenes[[#This Row],[fecha_inicio]],2)))</f>
        <v/>
      </c>
      <c r="S4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7" s="3">
        <f>IF(tblOrdenes[[#This Row],[tipo_ot]]="","",_xlfn.XLOOKUP(tblOrdenes[[#This Row],[tipo_ot]],tblTiposOT[codigo],tblTiposOT[clasificacion],"sin_clasificar"))</f>
        <v/>
      </c>
      <c r="U407" s="3">
        <f>IF(tblOrdenes[[#This Row],[centro_costo]]="","",_xlfn.XLOOKUP(tblOrdenes[[#This Row],[centro_costo]],tblCECO[codigo],tblCECO[linea],"(sin catálogo)"))</f>
        <v/>
      </c>
      <c r="V407" s="3">
        <f>IF(tblOrdenes[[#This Row],[centro_costo]]="","",_xlfn.XLOOKUP(tblOrdenes[[#This Row],[centro_costo]],tblCECO[codigo],tblCECO[area],"(sin catálogo)"))</f>
        <v/>
      </c>
      <c r="W4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7" s="3">
        <f>IF(tblOrdenes[[#This Row],[centro_costo]]="","",_xlfn.XLOOKUP(tblOrdenes[[#This Row],[centro_costo]],tblCECO[codigo],tblCECO[coordinador],"(sin catálogo)"))</f>
        <v/>
      </c>
      <c r="Y407" s="3">
        <f>IF(tblOrdenes[[#This Row],[puesto_trabajo]]="","",_xlfn.XLOOKUP(tblOrdenes[[#This Row],[puesto_trabajo]],tblPuestos[codigo],tblPuestos[especialidad],"(sin catálogo)"))</f>
        <v/>
      </c>
      <c r="Z407" s="3">
        <f>IF(tblOrdenes[[#This Row],[cod_actividad]]="","",_xlfn.XLOOKUP(tblOrdenes[[#This Row],[cod_actividad]],tblActividades[codigo],tblActividades[descripcion],"(sin catálogo)"))</f>
        <v/>
      </c>
      <c r="AA407" s="13">
        <f>IF(tblOrdenes[[#This Row],[fecha_inicio]]="","",TODAY()-tblOrdenes[[#This Row],[fecha_inicio]])</f>
        <v/>
      </c>
      <c r="AB4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7" s="3">
        <f>IF(tblOrdenes[[#This Row],[backlog_habiles]]="","",IF(tblOrdenes[[#This Row],[backlog_habiles]]&lt;0,"FUTURO",IF(tblOrdenes[[#This Row],[backlog_habiles]]&gt;p_dias_backlog_max,"BACKLOG","MES CORRIENTE")))</f>
        <v/>
      </c>
      <c r="AD407" s="3">
        <f>IF(tblOrdenes[[#This Row],[backlog_habiles]]="",FALSE,AND(tblOrdenes[[#This Row],[backlog_habiles]]&gt;p_dias_backlog_min,tblOrdenes[[#This Row],[backlog_habiles]]&lt;=p_dias_backlog_max))</f>
        <v/>
      </c>
      <c r="AE407" s="6" t="n"/>
      <c r="AF4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7" s="11">
        <f>IF(tblOrdenes[[#This Row],[orden]]="","",_xlfn.XLOOKUP(tblOrdenes[[#This Row],[id_operacion]],tblEjecucion[id_operacion],tblEjecucion[precio],0))</f>
        <v/>
      </c>
      <c r="AJ407" s="11">
        <f>IF(tblOrdenes[[#This Row],[orden]]="","",MAX(0,_xlfn.XLOOKUP(tblOrdenes[[#This Row],[id_operacion]],tblEjecucion[id_operacion],tblEjecucion[costo_plan_total],0)-tblOrdenes[[#This Row],[costo_servicio]]))</f>
        <v/>
      </c>
      <c r="AK407" s="11">
        <f>IF(tblOrdenes[[#This Row],[orden]]="","",tblOrdenes[[#This Row],[costo_servicio]]+tblOrdenes[[#This Row],[costo_materiales]])</f>
        <v/>
      </c>
      <c r="AL407" s="6" t="n"/>
      <c r="AM407" s="6" t="n"/>
      <c r="AN407" s="6" t="n"/>
      <c r="AO407" s="3">
        <f>IF(tblOrdenes[[#This Row],[link_checklist]]="","",HYPERLINK(p_ruta_base_checklists&amp;tblOrdenes[[#This Row],[link_checklist]],"abrir"))</f>
        <v/>
      </c>
      <c r="AP407" s="6" t="n"/>
      <c r="AQ407" s="3">
        <f>IF(tblOrdenes[[#This Row],[orden]]="","",tblOrdenes[[#This Row],[orden]]&amp;IF(tblOrdenes[[#This Row],[operacion]]="","0010",tblOrdenes[[#This Row],[operacion]]))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2" t="n"/>
      <c r="K408" s="3" t="n"/>
      <c r="L408" s="11" t="n"/>
      <c r="M4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8" s="3">
        <f>IF(tblOrdenes[[#This Row],[fecha_inicio]]="","",YEAR(tblOrdenes[[#This Row],[fecha_inicio]]))</f>
        <v/>
      </c>
      <c r="Q408" s="3">
        <f>IF(tblOrdenes[[#This Row],[fecha_inicio]]="","",MONTH(tblOrdenes[[#This Row],[fecha_inicio]]))</f>
        <v/>
      </c>
      <c r="R408" s="3">
        <f>IF(tblOrdenes[[#This Row],[fecha_inicio]]="","",INDEX(lista_dias,WEEKDAY(tblOrdenes[[#This Row],[fecha_inicio]],2)))</f>
        <v/>
      </c>
      <c r="S4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8" s="3">
        <f>IF(tblOrdenes[[#This Row],[tipo_ot]]="","",_xlfn.XLOOKUP(tblOrdenes[[#This Row],[tipo_ot]],tblTiposOT[codigo],tblTiposOT[clasificacion],"sin_clasificar"))</f>
        <v/>
      </c>
      <c r="U408" s="3">
        <f>IF(tblOrdenes[[#This Row],[centro_costo]]="","",_xlfn.XLOOKUP(tblOrdenes[[#This Row],[centro_costo]],tblCECO[codigo],tblCECO[linea],"(sin catálogo)"))</f>
        <v/>
      </c>
      <c r="V408" s="3">
        <f>IF(tblOrdenes[[#This Row],[centro_costo]]="","",_xlfn.XLOOKUP(tblOrdenes[[#This Row],[centro_costo]],tblCECO[codigo],tblCECO[area],"(sin catálogo)"))</f>
        <v/>
      </c>
      <c r="W4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8" s="3">
        <f>IF(tblOrdenes[[#This Row],[centro_costo]]="","",_xlfn.XLOOKUP(tblOrdenes[[#This Row],[centro_costo]],tblCECO[codigo],tblCECO[coordinador],"(sin catálogo)"))</f>
        <v/>
      </c>
      <c r="Y408" s="3">
        <f>IF(tblOrdenes[[#This Row],[puesto_trabajo]]="","",_xlfn.XLOOKUP(tblOrdenes[[#This Row],[puesto_trabajo]],tblPuestos[codigo],tblPuestos[especialidad],"(sin catálogo)"))</f>
        <v/>
      </c>
      <c r="Z408" s="3">
        <f>IF(tblOrdenes[[#This Row],[cod_actividad]]="","",_xlfn.XLOOKUP(tblOrdenes[[#This Row],[cod_actividad]],tblActividades[codigo],tblActividades[descripcion],"(sin catálogo)"))</f>
        <v/>
      </c>
      <c r="AA408" s="13">
        <f>IF(tblOrdenes[[#This Row],[fecha_inicio]]="","",TODAY()-tblOrdenes[[#This Row],[fecha_inicio]])</f>
        <v/>
      </c>
      <c r="AB4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8" s="3">
        <f>IF(tblOrdenes[[#This Row],[backlog_habiles]]="","",IF(tblOrdenes[[#This Row],[backlog_habiles]]&lt;0,"FUTURO",IF(tblOrdenes[[#This Row],[backlog_habiles]]&gt;p_dias_backlog_max,"BACKLOG","MES CORRIENTE")))</f>
        <v/>
      </c>
      <c r="AD408" s="3">
        <f>IF(tblOrdenes[[#This Row],[backlog_habiles]]="",FALSE,AND(tblOrdenes[[#This Row],[backlog_habiles]]&gt;p_dias_backlog_min,tblOrdenes[[#This Row],[backlog_habiles]]&lt;=p_dias_backlog_max))</f>
        <v/>
      </c>
      <c r="AE408" s="6" t="n"/>
      <c r="AF4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8" s="11">
        <f>IF(tblOrdenes[[#This Row],[orden]]="","",_xlfn.XLOOKUP(tblOrdenes[[#This Row],[id_operacion]],tblEjecucion[id_operacion],tblEjecucion[precio],0))</f>
        <v/>
      </c>
      <c r="AJ408" s="11">
        <f>IF(tblOrdenes[[#This Row],[orden]]="","",MAX(0,_xlfn.XLOOKUP(tblOrdenes[[#This Row],[id_operacion]],tblEjecucion[id_operacion],tblEjecucion[costo_plan_total],0)-tblOrdenes[[#This Row],[costo_servicio]]))</f>
        <v/>
      </c>
      <c r="AK408" s="11">
        <f>IF(tblOrdenes[[#This Row],[orden]]="","",tblOrdenes[[#This Row],[costo_servicio]]+tblOrdenes[[#This Row],[costo_materiales]])</f>
        <v/>
      </c>
      <c r="AL408" s="6" t="n"/>
      <c r="AM408" s="6" t="n"/>
      <c r="AN408" s="6" t="n"/>
      <c r="AO408" s="3">
        <f>IF(tblOrdenes[[#This Row],[link_checklist]]="","",HYPERLINK(p_ruta_base_checklists&amp;tblOrdenes[[#This Row],[link_checklist]],"abrir"))</f>
        <v/>
      </c>
      <c r="AP408" s="6" t="n"/>
      <c r="AQ408" s="3">
        <f>IF(tblOrdenes[[#This Row],[orden]]="","",tblOrdenes[[#This Row],[orden]]&amp;IF(tblOrdenes[[#This Row],[operacion]]="","0010",tblOrdenes[[#This Row],[operacion]]))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2" t="n"/>
      <c r="K409" s="3" t="n"/>
      <c r="L409" s="11" t="n"/>
      <c r="M4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9" s="3">
        <f>IF(tblOrdenes[[#This Row],[fecha_inicio]]="","",YEAR(tblOrdenes[[#This Row],[fecha_inicio]]))</f>
        <v/>
      </c>
      <c r="Q409" s="3">
        <f>IF(tblOrdenes[[#This Row],[fecha_inicio]]="","",MONTH(tblOrdenes[[#This Row],[fecha_inicio]]))</f>
        <v/>
      </c>
      <c r="R409" s="3">
        <f>IF(tblOrdenes[[#This Row],[fecha_inicio]]="","",INDEX(lista_dias,WEEKDAY(tblOrdenes[[#This Row],[fecha_inicio]],2)))</f>
        <v/>
      </c>
      <c r="S4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9" s="3">
        <f>IF(tblOrdenes[[#This Row],[tipo_ot]]="","",_xlfn.XLOOKUP(tblOrdenes[[#This Row],[tipo_ot]],tblTiposOT[codigo],tblTiposOT[clasificacion],"sin_clasificar"))</f>
        <v/>
      </c>
      <c r="U409" s="3">
        <f>IF(tblOrdenes[[#This Row],[centro_costo]]="","",_xlfn.XLOOKUP(tblOrdenes[[#This Row],[centro_costo]],tblCECO[codigo],tblCECO[linea],"(sin catálogo)"))</f>
        <v/>
      </c>
      <c r="V409" s="3">
        <f>IF(tblOrdenes[[#This Row],[centro_costo]]="","",_xlfn.XLOOKUP(tblOrdenes[[#This Row],[centro_costo]],tblCECO[codigo],tblCECO[area],"(sin catálogo)"))</f>
        <v/>
      </c>
      <c r="W4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9" s="3">
        <f>IF(tblOrdenes[[#This Row],[centro_costo]]="","",_xlfn.XLOOKUP(tblOrdenes[[#This Row],[centro_costo]],tblCECO[codigo],tblCECO[coordinador],"(sin catálogo)"))</f>
        <v/>
      </c>
      <c r="Y409" s="3">
        <f>IF(tblOrdenes[[#This Row],[puesto_trabajo]]="","",_xlfn.XLOOKUP(tblOrdenes[[#This Row],[puesto_trabajo]],tblPuestos[codigo],tblPuestos[especialidad],"(sin catálogo)"))</f>
        <v/>
      </c>
      <c r="Z409" s="3">
        <f>IF(tblOrdenes[[#This Row],[cod_actividad]]="","",_xlfn.XLOOKUP(tblOrdenes[[#This Row],[cod_actividad]],tblActividades[codigo],tblActividades[descripcion],"(sin catálogo)"))</f>
        <v/>
      </c>
      <c r="AA409" s="13">
        <f>IF(tblOrdenes[[#This Row],[fecha_inicio]]="","",TODAY()-tblOrdenes[[#This Row],[fecha_inicio]])</f>
        <v/>
      </c>
      <c r="AB4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9" s="3">
        <f>IF(tblOrdenes[[#This Row],[backlog_habiles]]="","",IF(tblOrdenes[[#This Row],[backlog_habiles]]&lt;0,"FUTURO",IF(tblOrdenes[[#This Row],[backlog_habiles]]&gt;p_dias_backlog_max,"BACKLOG","MES CORRIENTE")))</f>
        <v/>
      </c>
      <c r="AD409" s="3">
        <f>IF(tblOrdenes[[#This Row],[backlog_habiles]]="",FALSE,AND(tblOrdenes[[#This Row],[backlog_habiles]]&gt;p_dias_backlog_min,tblOrdenes[[#This Row],[backlog_habiles]]&lt;=p_dias_backlog_max))</f>
        <v/>
      </c>
      <c r="AE409" s="6" t="n"/>
      <c r="AF4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9" s="11">
        <f>IF(tblOrdenes[[#This Row],[orden]]="","",_xlfn.XLOOKUP(tblOrdenes[[#This Row],[id_operacion]],tblEjecucion[id_operacion],tblEjecucion[precio],0))</f>
        <v/>
      </c>
      <c r="AJ409" s="11">
        <f>IF(tblOrdenes[[#This Row],[orden]]="","",MAX(0,_xlfn.XLOOKUP(tblOrdenes[[#This Row],[id_operacion]],tblEjecucion[id_operacion],tblEjecucion[costo_plan_total],0)-tblOrdenes[[#This Row],[costo_servicio]]))</f>
        <v/>
      </c>
      <c r="AK409" s="11">
        <f>IF(tblOrdenes[[#This Row],[orden]]="","",tblOrdenes[[#This Row],[costo_servicio]]+tblOrdenes[[#This Row],[costo_materiales]])</f>
        <v/>
      </c>
      <c r="AL409" s="6" t="n"/>
      <c r="AM409" s="6" t="n"/>
      <c r="AN409" s="6" t="n"/>
      <c r="AO409" s="3">
        <f>IF(tblOrdenes[[#This Row],[link_checklist]]="","",HYPERLINK(p_ruta_base_checklists&amp;tblOrdenes[[#This Row],[link_checklist]],"abrir"))</f>
        <v/>
      </c>
      <c r="AP409" s="6" t="n"/>
      <c r="AQ409" s="3">
        <f>IF(tblOrdenes[[#This Row],[orden]]="","",tblOrdenes[[#This Row],[orden]]&amp;IF(tblOrdenes[[#This Row],[operacion]]="","0010",tblOrdenes[[#This Row],[operacion]]))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2" t="n"/>
      <c r="K410" s="3" t="n"/>
      <c r="L410" s="11" t="n"/>
      <c r="M4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0" s="3">
        <f>IF(tblOrdenes[[#This Row],[fecha_inicio]]="","",YEAR(tblOrdenes[[#This Row],[fecha_inicio]]))</f>
        <v/>
      </c>
      <c r="Q410" s="3">
        <f>IF(tblOrdenes[[#This Row],[fecha_inicio]]="","",MONTH(tblOrdenes[[#This Row],[fecha_inicio]]))</f>
        <v/>
      </c>
      <c r="R410" s="3">
        <f>IF(tblOrdenes[[#This Row],[fecha_inicio]]="","",INDEX(lista_dias,WEEKDAY(tblOrdenes[[#This Row],[fecha_inicio]],2)))</f>
        <v/>
      </c>
      <c r="S4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0" s="3">
        <f>IF(tblOrdenes[[#This Row],[tipo_ot]]="","",_xlfn.XLOOKUP(tblOrdenes[[#This Row],[tipo_ot]],tblTiposOT[codigo],tblTiposOT[clasificacion],"sin_clasificar"))</f>
        <v/>
      </c>
      <c r="U410" s="3">
        <f>IF(tblOrdenes[[#This Row],[centro_costo]]="","",_xlfn.XLOOKUP(tblOrdenes[[#This Row],[centro_costo]],tblCECO[codigo],tblCECO[linea],"(sin catálogo)"))</f>
        <v/>
      </c>
      <c r="V410" s="3">
        <f>IF(tblOrdenes[[#This Row],[centro_costo]]="","",_xlfn.XLOOKUP(tblOrdenes[[#This Row],[centro_costo]],tblCECO[codigo],tblCECO[area],"(sin catálogo)"))</f>
        <v/>
      </c>
      <c r="W4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0" s="3">
        <f>IF(tblOrdenes[[#This Row],[centro_costo]]="","",_xlfn.XLOOKUP(tblOrdenes[[#This Row],[centro_costo]],tblCECO[codigo],tblCECO[coordinador],"(sin catálogo)"))</f>
        <v/>
      </c>
      <c r="Y410" s="3">
        <f>IF(tblOrdenes[[#This Row],[puesto_trabajo]]="","",_xlfn.XLOOKUP(tblOrdenes[[#This Row],[puesto_trabajo]],tblPuestos[codigo],tblPuestos[especialidad],"(sin catálogo)"))</f>
        <v/>
      </c>
      <c r="Z410" s="3">
        <f>IF(tblOrdenes[[#This Row],[cod_actividad]]="","",_xlfn.XLOOKUP(tblOrdenes[[#This Row],[cod_actividad]],tblActividades[codigo],tblActividades[descripcion],"(sin catálogo)"))</f>
        <v/>
      </c>
      <c r="AA410" s="13">
        <f>IF(tblOrdenes[[#This Row],[fecha_inicio]]="","",TODAY()-tblOrdenes[[#This Row],[fecha_inicio]])</f>
        <v/>
      </c>
      <c r="AB4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0" s="3">
        <f>IF(tblOrdenes[[#This Row],[backlog_habiles]]="","",IF(tblOrdenes[[#This Row],[backlog_habiles]]&lt;0,"FUTURO",IF(tblOrdenes[[#This Row],[backlog_habiles]]&gt;p_dias_backlog_max,"BACKLOG","MES CORRIENTE")))</f>
        <v/>
      </c>
      <c r="AD410" s="3">
        <f>IF(tblOrdenes[[#This Row],[backlog_habiles]]="",FALSE,AND(tblOrdenes[[#This Row],[backlog_habiles]]&gt;p_dias_backlog_min,tblOrdenes[[#This Row],[backlog_habiles]]&lt;=p_dias_backlog_max))</f>
        <v/>
      </c>
      <c r="AE410" s="6" t="n"/>
      <c r="AF4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0" s="11">
        <f>IF(tblOrdenes[[#This Row],[orden]]="","",_xlfn.XLOOKUP(tblOrdenes[[#This Row],[id_operacion]],tblEjecucion[id_operacion],tblEjecucion[precio],0))</f>
        <v/>
      </c>
      <c r="AJ410" s="11">
        <f>IF(tblOrdenes[[#This Row],[orden]]="","",MAX(0,_xlfn.XLOOKUP(tblOrdenes[[#This Row],[id_operacion]],tblEjecucion[id_operacion],tblEjecucion[costo_plan_total],0)-tblOrdenes[[#This Row],[costo_servicio]]))</f>
        <v/>
      </c>
      <c r="AK410" s="11">
        <f>IF(tblOrdenes[[#This Row],[orden]]="","",tblOrdenes[[#This Row],[costo_servicio]]+tblOrdenes[[#This Row],[costo_materiales]])</f>
        <v/>
      </c>
      <c r="AL410" s="6" t="n"/>
      <c r="AM410" s="6" t="n"/>
      <c r="AN410" s="6" t="n"/>
      <c r="AO410" s="3">
        <f>IF(tblOrdenes[[#This Row],[link_checklist]]="","",HYPERLINK(p_ruta_base_checklists&amp;tblOrdenes[[#This Row],[link_checklist]],"abrir"))</f>
        <v/>
      </c>
      <c r="AP410" s="6" t="n"/>
      <c r="AQ410" s="3">
        <f>IF(tblOrdenes[[#This Row],[orden]]="","",tblOrdenes[[#This Row],[orden]]&amp;IF(tblOrdenes[[#This Row],[operacion]]="","0010",tblOrdenes[[#This Row],[operacion]]))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2" t="n"/>
      <c r="K411" s="3" t="n"/>
      <c r="L411" s="11" t="n"/>
      <c r="M4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1" s="3">
        <f>IF(tblOrdenes[[#This Row],[fecha_inicio]]="","",YEAR(tblOrdenes[[#This Row],[fecha_inicio]]))</f>
        <v/>
      </c>
      <c r="Q411" s="3">
        <f>IF(tblOrdenes[[#This Row],[fecha_inicio]]="","",MONTH(tblOrdenes[[#This Row],[fecha_inicio]]))</f>
        <v/>
      </c>
      <c r="R411" s="3">
        <f>IF(tblOrdenes[[#This Row],[fecha_inicio]]="","",INDEX(lista_dias,WEEKDAY(tblOrdenes[[#This Row],[fecha_inicio]],2)))</f>
        <v/>
      </c>
      <c r="S4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1" s="3">
        <f>IF(tblOrdenes[[#This Row],[tipo_ot]]="","",_xlfn.XLOOKUP(tblOrdenes[[#This Row],[tipo_ot]],tblTiposOT[codigo],tblTiposOT[clasificacion],"sin_clasificar"))</f>
        <v/>
      </c>
      <c r="U411" s="3">
        <f>IF(tblOrdenes[[#This Row],[centro_costo]]="","",_xlfn.XLOOKUP(tblOrdenes[[#This Row],[centro_costo]],tblCECO[codigo],tblCECO[linea],"(sin catálogo)"))</f>
        <v/>
      </c>
      <c r="V411" s="3">
        <f>IF(tblOrdenes[[#This Row],[centro_costo]]="","",_xlfn.XLOOKUP(tblOrdenes[[#This Row],[centro_costo]],tblCECO[codigo],tblCECO[area],"(sin catálogo)"))</f>
        <v/>
      </c>
      <c r="W4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1" s="3">
        <f>IF(tblOrdenes[[#This Row],[centro_costo]]="","",_xlfn.XLOOKUP(tblOrdenes[[#This Row],[centro_costo]],tblCECO[codigo],tblCECO[coordinador],"(sin catálogo)"))</f>
        <v/>
      </c>
      <c r="Y411" s="3">
        <f>IF(tblOrdenes[[#This Row],[puesto_trabajo]]="","",_xlfn.XLOOKUP(tblOrdenes[[#This Row],[puesto_trabajo]],tblPuestos[codigo],tblPuestos[especialidad],"(sin catálogo)"))</f>
        <v/>
      </c>
      <c r="Z411" s="3">
        <f>IF(tblOrdenes[[#This Row],[cod_actividad]]="","",_xlfn.XLOOKUP(tblOrdenes[[#This Row],[cod_actividad]],tblActividades[codigo],tblActividades[descripcion],"(sin catálogo)"))</f>
        <v/>
      </c>
      <c r="AA411" s="13">
        <f>IF(tblOrdenes[[#This Row],[fecha_inicio]]="","",TODAY()-tblOrdenes[[#This Row],[fecha_inicio]])</f>
        <v/>
      </c>
      <c r="AB4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1" s="3">
        <f>IF(tblOrdenes[[#This Row],[backlog_habiles]]="","",IF(tblOrdenes[[#This Row],[backlog_habiles]]&lt;0,"FUTURO",IF(tblOrdenes[[#This Row],[backlog_habiles]]&gt;p_dias_backlog_max,"BACKLOG","MES CORRIENTE")))</f>
        <v/>
      </c>
      <c r="AD411" s="3">
        <f>IF(tblOrdenes[[#This Row],[backlog_habiles]]="",FALSE,AND(tblOrdenes[[#This Row],[backlog_habiles]]&gt;p_dias_backlog_min,tblOrdenes[[#This Row],[backlog_habiles]]&lt;=p_dias_backlog_max))</f>
        <v/>
      </c>
      <c r="AE411" s="6" t="n"/>
      <c r="AF4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1" s="11">
        <f>IF(tblOrdenes[[#This Row],[orden]]="","",_xlfn.XLOOKUP(tblOrdenes[[#This Row],[id_operacion]],tblEjecucion[id_operacion],tblEjecucion[precio],0))</f>
        <v/>
      </c>
      <c r="AJ411" s="11">
        <f>IF(tblOrdenes[[#This Row],[orden]]="","",MAX(0,_xlfn.XLOOKUP(tblOrdenes[[#This Row],[id_operacion]],tblEjecucion[id_operacion],tblEjecucion[costo_plan_total],0)-tblOrdenes[[#This Row],[costo_servicio]]))</f>
        <v/>
      </c>
      <c r="AK411" s="11">
        <f>IF(tblOrdenes[[#This Row],[orden]]="","",tblOrdenes[[#This Row],[costo_servicio]]+tblOrdenes[[#This Row],[costo_materiales]])</f>
        <v/>
      </c>
      <c r="AL411" s="6" t="n"/>
      <c r="AM411" s="6" t="n"/>
      <c r="AN411" s="6" t="n"/>
      <c r="AO411" s="3">
        <f>IF(tblOrdenes[[#This Row],[link_checklist]]="","",HYPERLINK(p_ruta_base_checklists&amp;tblOrdenes[[#This Row],[link_checklist]],"abrir"))</f>
        <v/>
      </c>
      <c r="AP411" s="6" t="n"/>
      <c r="AQ411" s="3">
        <f>IF(tblOrdenes[[#This Row],[orden]]="","",tblOrdenes[[#This Row],[orden]]&amp;IF(tblOrdenes[[#This Row],[operacion]]="","0010",tblOrdenes[[#This Row],[operacion]]))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2" t="n"/>
      <c r="K412" s="3" t="n"/>
      <c r="L412" s="11" t="n"/>
      <c r="M4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2" s="3">
        <f>IF(tblOrdenes[[#This Row],[fecha_inicio]]="","",YEAR(tblOrdenes[[#This Row],[fecha_inicio]]))</f>
        <v/>
      </c>
      <c r="Q412" s="3">
        <f>IF(tblOrdenes[[#This Row],[fecha_inicio]]="","",MONTH(tblOrdenes[[#This Row],[fecha_inicio]]))</f>
        <v/>
      </c>
      <c r="R412" s="3">
        <f>IF(tblOrdenes[[#This Row],[fecha_inicio]]="","",INDEX(lista_dias,WEEKDAY(tblOrdenes[[#This Row],[fecha_inicio]],2)))</f>
        <v/>
      </c>
      <c r="S4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2" s="3">
        <f>IF(tblOrdenes[[#This Row],[tipo_ot]]="","",_xlfn.XLOOKUP(tblOrdenes[[#This Row],[tipo_ot]],tblTiposOT[codigo],tblTiposOT[clasificacion],"sin_clasificar"))</f>
        <v/>
      </c>
      <c r="U412" s="3">
        <f>IF(tblOrdenes[[#This Row],[centro_costo]]="","",_xlfn.XLOOKUP(tblOrdenes[[#This Row],[centro_costo]],tblCECO[codigo],tblCECO[linea],"(sin catálogo)"))</f>
        <v/>
      </c>
      <c r="V412" s="3">
        <f>IF(tblOrdenes[[#This Row],[centro_costo]]="","",_xlfn.XLOOKUP(tblOrdenes[[#This Row],[centro_costo]],tblCECO[codigo],tblCECO[area],"(sin catálogo)"))</f>
        <v/>
      </c>
      <c r="W4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2" s="3">
        <f>IF(tblOrdenes[[#This Row],[centro_costo]]="","",_xlfn.XLOOKUP(tblOrdenes[[#This Row],[centro_costo]],tblCECO[codigo],tblCECO[coordinador],"(sin catálogo)"))</f>
        <v/>
      </c>
      <c r="Y412" s="3">
        <f>IF(tblOrdenes[[#This Row],[puesto_trabajo]]="","",_xlfn.XLOOKUP(tblOrdenes[[#This Row],[puesto_trabajo]],tblPuestos[codigo],tblPuestos[especialidad],"(sin catálogo)"))</f>
        <v/>
      </c>
      <c r="Z412" s="3">
        <f>IF(tblOrdenes[[#This Row],[cod_actividad]]="","",_xlfn.XLOOKUP(tblOrdenes[[#This Row],[cod_actividad]],tblActividades[codigo],tblActividades[descripcion],"(sin catálogo)"))</f>
        <v/>
      </c>
      <c r="AA412" s="13">
        <f>IF(tblOrdenes[[#This Row],[fecha_inicio]]="","",TODAY()-tblOrdenes[[#This Row],[fecha_inicio]])</f>
        <v/>
      </c>
      <c r="AB4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2" s="3">
        <f>IF(tblOrdenes[[#This Row],[backlog_habiles]]="","",IF(tblOrdenes[[#This Row],[backlog_habiles]]&lt;0,"FUTURO",IF(tblOrdenes[[#This Row],[backlog_habiles]]&gt;p_dias_backlog_max,"BACKLOG","MES CORRIENTE")))</f>
        <v/>
      </c>
      <c r="AD412" s="3">
        <f>IF(tblOrdenes[[#This Row],[backlog_habiles]]="",FALSE,AND(tblOrdenes[[#This Row],[backlog_habiles]]&gt;p_dias_backlog_min,tblOrdenes[[#This Row],[backlog_habiles]]&lt;=p_dias_backlog_max))</f>
        <v/>
      </c>
      <c r="AE412" s="6" t="n"/>
      <c r="AF4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2" s="11">
        <f>IF(tblOrdenes[[#This Row],[orden]]="","",_xlfn.XLOOKUP(tblOrdenes[[#This Row],[id_operacion]],tblEjecucion[id_operacion],tblEjecucion[precio],0))</f>
        <v/>
      </c>
      <c r="AJ412" s="11">
        <f>IF(tblOrdenes[[#This Row],[orden]]="","",MAX(0,_xlfn.XLOOKUP(tblOrdenes[[#This Row],[id_operacion]],tblEjecucion[id_operacion],tblEjecucion[costo_plan_total],0)-tblOrdenes[[#This Row],[costo_servicio]]))</f>
        <v/>
      </c>
      <c r="AK412" s="11">
        <f>IF(tblOrdenes[[#This Row],[orden]]="","",tblOrdenes[[#This Row],[costo_servicio]]+tblOrdenes[[#This Row],[costo_materiales]])</f>
        <v/>
      </c>
      <c r="AL412" s="6" t="n"/>
      <c r="AM412" s="6" t="n"/>
      <c r="AN412" s="6" t="n"/>
      <c r="AO412" s="3">
        <f>IF(tblOrdenes[[#This Row],[link_checklist]]="","",HYPERLINK(p_ruta_base_checklists&amp;tblOrdenes[[#This Row],[link_checklist]],"abrir"))</f>
        <v/>
      </c>
      <c r="AP412" s="6" t="n"/>
      <c r="AQ412" s="3">
        <f>IF(tblOrdenes[[#This Row],[orden]]="","",tblOrdenes[[#This Row],[orden]]&amp;IF(tblOrdenes[[#This Row],[operacion]]="","0010",tblOrdenes[[#This Row],[operacion]]))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2" t="n"/>
      <c r="K413" s="3" t="n"/>
      <c r="L413" s="11" t="n"/>
      <c r="M4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3" s="3">
        <f>IF(tblOrdenes[[#This Row],[fecha_inicio]]="","",YEAR(tblOrdenes[[#This Row],[fecha_inicio]]))</f>
        <v/>
      </c>
      <c r="Q413" s="3">
        <f>IF(tblOrdenes[[#This Row],[fecha_inicio]]="","",MONTH(tblOrdenes[[#This Row],[fecha_inicio]]))</f>
        <v/>
      </c>
      <c r="R413" s="3">
        <f>IF(tblOrdenes[[#This Row],[fecha_inicio]]="","",INDEX(lista_dias,WEEKDAY(tblOrdenes[[#This Row],[fecha_inicio]],2)))</f>
        <v/>
      </c>
      <c r="S4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3" s="3">
        <f>IF(tblOrdenes[[#This Row],[tipo_ot]]="","",_xlfn.XLOOKUP(tblOrdenes[[#This Row],[tipo_ot]],tblTiposOT[codigo],tblTiposOT[clasificacion],"sin_clasificar"))</f>
        <v/>
      </c>
      <c r="U413" s="3">
        <f>IF(tblOrdenes[[#This Row],[centro_costo]]="","",_xlfn.XLOOKUP(tblOrdenes[[#This Row],[centro_costo]],tblCECO[codigo],tblCECO[linea],"(sin catálogo)"))</f>
        <v/>
      </c>
      <c r="V413" s="3">
        <f>IF(tblOrdenes[[#This Row],[centro_costo]]="","",_xlfn.XLOOKUP(tblOrdenes[[#This Row],[centro_costo]],tblCECO[codigo],tblCECO[area],"(sin catálogo)"))</f>
        <v/>
      </c>
      <c r="W4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3" s="3">
        <f>IF(tblOrdenes[[#This Row],[centro_costo]]="","",_xlfn.XLOOKUP(tblOrdenes[[#This Row],[centro_costo]],tblCECO[codigo],tblCECO[coordinador],"(sin catálogo)"))</f>
        <v/>
      </c>
      <c r="Y413" s="3">
        <f>IF(tblOrdenes[[#This Row],[puesto_trabajo]]="","",_xlfn.XLOOKUP(tblOrdenes[[#This Row],[puesto_trabajo]],tblPuestos[codigo],tblPuestos[especialidad],"(sin catálogo)"))</f>
        <v/>
      </c>
      <c r="Z413" s="3">
        <f>IF(tblOrdenes[[#This Row],[cod_actividad]]="","",_xlfn.XLOOKUP(tblOrdenes[[#This Row],[cod_actividad]],tblActividades[codigo],tblActividades[descripcion],"(sin catálogo)"))</f>
        <v/>
      </c>
      <c r="AA413" s="13">
        <f>IF(tblOrdenes[[#This Row],[fecha_inicio]]="","",TODAY()-tblOrdenes[[#This Row],[fecha_inicio]])</f>
        <v/>
      </c>
      <c r="AB4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3" s="3">
        <f>IF(tblOrdenes[[#This Row],[backlog_habiles]]="","",IF(tblOrdenes[[#This Row],[backlog_habiles]]&lt;0,"FUTURO",IF(tblOrdenes[[#This Row],[backlog_habiles]]&gt;p_dias_backlog_max,"BACKLOG","MES CORRIENTE")))</f>
        <v/>
      </c>
      <c r="AD413" s="3">
        <f>IF(tblOrdenes[[#This Row],[backlog_habiles]]="",FALSE,AND(tblOrdenes[[#This Row],[backlog_habiles]]&gt;p_dias_backlog_min,tblOrdenes[[#This Row],[backlog_habiles]]&lt;=p_dias_backlog_max))</f>
        <v/>
      </c>
      <c r="AE413" s="6" t="n"/>
      <c r="AF4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3" s="11">
        <f>IF(tblOrdenes[[#This Row],[orden]]="","",_xlfn.XLOOKUP(tblOrdenes[[#This Row],[id_operacion]],tblEjecucion[id_operacion],tblEjecucion[precio],0))</f>
        <v/>
      </c>
      <c r="AJ413" s="11">
        <f>IF(tblOrdenes[[#This Row],[orden]]="","",MAX(0,_xlfn.XLOOKUP(tblOrdenes[[#This Row],[id_operacion]],tblEjecucion[id_operacion],tblEjecucion[costo_plan_total],0)-tblOrdenes[[#This Row],[costo_servicio]]))</f>
        <v/>
      </c>
      <c r="AK413" s="11">
        <f>IF(tblOrdenes[[#This Row],[orden]]="","",tblOrdenes[[#This Row],[costo_servicio]]+tblOrdenes[[#This Row],[costo_materiales]])</f>
        <v/>
      </c>
      <c r="AL413" s="6" t="n"/>
      <c r="AM413" s="6" t="n"/>
      <c r="AN413" s="6" t="n"/>
      <c r="AO413" s="3">
        <f>IF(tblOrdenes[[#This Row],[link_checklist]]="","",HYPERLINK(p_ruta_base_checklists&amp;tblOrdenes[[#This Row],[link_checklist]],"abrir"))</f>
        <v/>
      </c>
      <c r="AP413" s="6" t="n"/>
      <c r="AQ413" s="3">
        <f>IF(tblOrdenes[[#This Row],[orden]]="","",tblOrdenes[[#This Row],[orden]]&amp;IF(tblOrdenes[[#This Row],[operacion]]="","0010",tblOrdenes[[#This Row],[operacion]]))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2" t="n"/>
      <c r="K414" s="3" t="n"/>
      <c r="L414" s="11" t="n"/>
      <c r="M4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4" s="3">
        <f>IF(tblOrdenes[[#This Row],[fecha_inicio]]="","",YEAR(tblOrdenes[[#This Row],[fecha_inicio]]))</f>
        <v/>
      </c>
      <c r="Q414" s="3">
        <f>IF(tblOrdenes[[#This Row],[fecha_inicio]]="","",MONTH(tblOrdenes[[#This Row],[fecha_inicio]]))</f>
        <v/>
      </c>
      <c r="R414" s="3">
        <f>IF(tblOrdenes[[#This Row],[fecha_inicio]]="","",INDEX(lista_dias,WEEKDAY(tblOrdenes[[#This Row],[fecha_inicio]],2)))</f>
        <v/>
      </c>
      <c r="S4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4" s="3">
        <f>IF(tblOrdenes[[#This Row],[tipo_ot]]="","",_xlfn.XLOOKUP(tblOrdenes[[#This Row],[tipo_ot]],tblTiposOT[codigo],tblTiposOT[clasificacion],"sin_clasificar"))</f>
        <v/>
      </c>
      <c r="U414" s="3">
        <f>IF(tblOrdenes[[#This Row],[centro_costo]]="","",_xlfn.XLOOKUP(tblOrdenes[[#This Row],[centro_costo]],tblCECO[codigo],tblCECO[linea],"(sin catálogo)"))</f>
        <v/>
      </c>
      <c r="V414" s="3">
        <f>IF(tblOrdenes[[#This Row],[centro_costo]]="","",_xlfn.XLOOKUP(tblOrdenes[[#This Row],[centro_costo]],tblCECO[codigo],tblCECO[area],"(sin catálogo)"))</f>
        <v/>
      </c>
      <c r="W4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4" s="3">
        <f>IF(tblOrdenes[[#This Row],[centro_costo]]="","",_xlfn.XLOOKUP(tblOrdenes[[#This Row],[centro_costo]],tblCECO[codigo],tblCECO[coordinador],"(sin catálogo)"))</f>
        <v/>
      </c>
      <c r="Y414" s="3">
        <f>IF(tblOrdenes[[#This Row],[puesto_trabajo]]="","",_xlfn.XLOOKUP(tblOrdenes[[#This Row],[puesto_trabajo]],tblPuestos[codigo],tblPuestos[especialidad],"(sin catálogo)"))</f>
        <v/>
      </c>
      <c r="Z414" s="3">
        <f>IF(tblOrdenes[[#This Row],[cod_actividad]]="","",_xlfn.XLOOKUP(tblOrdenes[[#This Row],[cod_actividad]],tblActividades[codigo],tblActividades[descripcion],"(sin catálogo)"))</f>
        <v/>
      </c>
      <c r="AA414" s="13">
        <f>IF(tblOrdenes[[#This Row],[fecha_inicio]]="","",TODAY()-tblOrdenes[[#This Row],[fecha_inicio]])</f>
        <v/>
      </c>
      <c r="AB4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4" s="3">
        <f>IF(tblOrdenes[[#This Row],[backlog_habiles]]="","",IF(tblOrdenes[[#This Row],[backlog_habiles]]&lt;0,"FUTURO",IF(tblOrdenes[[#This Row],[backlog_habiles]]&gt;p_dias_backlog_max,"BACKLOG","MES CORRIENTE")))</f>
        <v/>
      </c>
      <c r="AD414" s="3">
        <f>IF(tblOrdenes[[#This Row],[backlog_habiles]]="",FALSE,AND(tblOrdenes[[#This Row],[backlog_habiles]]&gt;p_dias_backlog_min,tblOrdenes[[#This Row],[backlog_habiles]]&lt;=p_dias_backlog_max))</f>
        <v/>
      </c>
      <c r="AE414" s="6" t="n"/>
      <c r="AF4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4" s="11">
        <f>IF(tblOrdenes[[#This Row],[orden]]="","",_xlfn.XLOOKUP(tblOrdenes[[#This Row],[id_operacion]],tblEjecucion[id_operacion],tblEjecucion[precio],0))</f>
        <v/>
      </c>
      <c r="AJ414" s="11">
        <f>IF(tblOrdenes[[#This Row],[orden]]="","",MAX(0,_xlfn.XLOOKUP(tblOrdenes[[#This Row],[id_operacion]],tblEjecucion[id_operacion],tblEjecucion[costo_plan_total],0)-tblOrdenes[[#This Row],[costo_servicio]]))</f>
        <v/>
      </c>
      <c r="AK414" s="11">
        <f>IF(tblOrdenes[[#This Row],[orden]]="","",tblOrdenes[[#This Row],[costo_servicio]]+tblOrdenes[[#This Row],[costo_materiales]])</f>
        <v/>
      </c>
      <c r="AL414" s="6" t="n"/>
      <c r="AM414" s="6" t="n"/>
      <c r="AN414" s="6" t="n"/>
      <c r="AO414" s="3">
        <f>IF(tblOrdenes[[#This Row],[link_checklist]]="","",HYPERLINK(p_ruta_base_checklists&amp;tblOrdenes[[#This Row],[link_checklist]],"abrir"))</f>
        <v/>
      </c>
      <c r="AP414" s="6" t="n"/>
      <c r="AQ414" s="3">
        <f>IF(tblOrdenes[[#This Row],[orden]]="","",tblOrdenes[[#This Row],[orden]]&amp;IF(tblOrdenes[[#This Row],[operacion]]="","0010",tblOrdenes[[#This Row],[operacion]]))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2" t="n"/>
      <c r="K415" s="3" t="n"/>
      <c r="L415" s="11" t="n"/>
      <c r="M4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5" s="3">
        <f>IF(tblOrdenes[[#This Row],[fecha_inicio]]="","",YEAR(tblOrdenes[[#This Row],[fecha_inicio]]))</f>
        <v/>
      </c>
      <c r="Q415" s="3">
        <f>IF(tblOrdenes[[#This Row],[fecha_inicio]]="","",MONTH(tblOrdenes[[#This Row],[fecha_inicio]]))</f>
        <v/>
      </c>
      <c r="R415" s="3">
        <f>IF(tblOrdenes[[#This Row],[fecha_inicio]]="","",INDEX(lista_dias,WEEKDAY(tblOrdenes[[#This Row],[fecha_inicio]],2)))</f>
        <v/>
      </c>
      <c r="S4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5" s="3">
        <f>IF(tblOrdenes[[#This Row],[tipo_ot]]="","",_xlfn.XLOOKUP(tblOrdenes[[#This Row],[tipo_ot]],tblTiposOT[codigo],tblTiposOT[clasificacion],"sin_clasificar"))</f>
        <v/>
      </c>
      <c r="U415" s="3">
        <f>IF(tblOrdenes[[#This Row],[centro_costo]]="","",_xlfn.XLOOKUP(tblOrdenes[[#This Row],[centro_costo]],tblCECO[codigo],tblCECO[linea],"(sin catálogo)"))</f>
        <v/>
      </c>
      <c r="V415" s="3">
        <f>IF(tblOrdenes[[#This Row],[centro_costo]]="","",_xlfn.XLOOKUP(tblOrdenes[[#This Row],[centro_costo]],tblCECO[codigo],tblCECO[area],"(sin catálogo)"))</f>
        <v/>
      </c>
      <c r="W4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5" s="3">
        <f>IF(tblOrdenes[[#This Row],[centro_costo]]="","",_xlfn.XLOOKUP(tblOrdenes[[#This Row],[centro_costo]],tblCECO[codigo],tblCECO[coordinador],"(sin catálogo)"))</f>
        <v/>
      </c>
      <c r="Y415" s="3">
        <f>IF(tblOrdenes[[#This Row],[puesto_trabajo]]="","",_xlfn.XLOOKUP(tblOrdenes[[#This Row],[puesto_trabajo]],tblPuestos[codigo],tblPuestos[especialidad],"(sin catálogo)"))</f>
        <v/>
      </c>
      <c r="Z415" s="3">
        <f>IF(tblOrdenes[[#This Row],[cod_actividad]]="","",_xlfn.XLOOKUP(tblOrdenes[[#This Row],[cod_actividad]],tblActividades[codigo],tblActividades[descripcion],"(sin catálogo)"))</f>
        <v/>
      </c>
      <c r="AA415" s="13">
        <f>IF(tblOrdenes[[#This Row],[fecha_inicio]]="","",TODAY()-tblOrdenes[[#This Row],[fecha_inicio]])</f>
        <v/>
      </c>
      <c r="AB4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5" s="3">
        <f>IF(tblOrdenes[[#This Row],[backlog_habiles]]="","",IF(tblOrdenes[[#This Row],[backlog_habiles]]&lt;0,"FUTURO",IF(tblOrdenes[[#This Row],[backlog_habiles]]&gt;p_dias_backlog_max,"BACKLOG","MES CORRIENTE")))</f>
        <v/>
      </c>
      <c r="AD415" s="3">
        <f>IF(tblOrdenes[[#This Row],[backlog_habiles]]="",FALSE,AND(tblOrdenes[[#This Row],[backlog_habiles]]&gt;p_dias_backlog_min,tblOrdenes[[#This Row],[backlog_habiles]]&lt;=p_dias_backlog_max))</f>
        <v/>
      </c>
      <c r="AE415" s="6" t="n"/>
      <c r="AF4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5" s="11">
        <f>IF(tblOrdenes[[#This Row],[orden]]="","",_xlfn.XLOOKUP(tblOrdenes[[#This Row],[id_operacion]],tblEjecucion[id_operacion],tblEjecucion[precio],0))</f>
        <v/>
      </c>
      <c r="AJ415" s="11">
        <f>IF(tblOrdenes[[#This Row],[orden]]="","",MAX(0,_xlfn.XLOOKUP(tblOrdenes[[#This Row],[id_operacion]],tblEjecucion[id_operacion],tblEjecucion[costo_plan_total],0)-tblOrdenes[[#This Row],[costo_servicio]]))</f>
        <v/>
      </c>
      <c r="AK415" s="11">
        <f>IF(tblOrdenes[[#This Row],[orden]]="","",tblOrdenes[[#This Row],[costo_servicio]]+tblOrdenes[[#This Row],[costo_materiales]])</f>
        <v/>
      </c>
      <c r="AL415" s="6" t="n"/>
      <c r="AM415" s="6" t="n"/>
      <c r="AN415" s="6" t="n"/>
      <c r="AO415" s="3">
        <f>IF(tblOrdenes[[#This Row],[link_checklist]]="","",HYPERLINK(p_ruta_base_checklists&amp;tblOrdenes[[#This Row],[link_checklist]],"abrir"))</f>
        <v/>
      </c>
      <c r="AP415" s="6" t="n"/>
      <c r="AQ415" s="3">
        <f>IF(tblOrdenes[[#This Row],[orden]]="","",tblOrdenes[[#This Row],[orden]]&amp;IF(tblOrdenes[[#This Row],[operacion]]="","0010",tblOrdenes[[#This Row],[operacion]]))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2" t="n"/>
      <c r="K416" s="3" t="n"/>
      <c r="L416" s="11" t="n"/>
      <c r="M4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6" s="3">
        <f>IF(tblOrdenes[[#This Row],[fecha_inicio]]="","",YEAR(tblOrdenes[[#This Row],[fecha_inicio]]))</f>
        <v/>
      </c>
      <c r="Q416" s="3">
        <f>IF(tblOrdenes[[#This Row],[fecha_inicio]]="","",MONTH(tblOrdenes[[#This Row],[fecha_inicio]]))</f>
        <v/>
      </c>
      <c r="R416" s="3">
        <f>IF(tblOrdenes[[#This Row],[fecha_inicio]]="","",INDEX(lista_dias,WEEKDAY(tblOrdenes[[#This Row],[fecha_inicio]],2)))</f>
        <v/>
      </c>
      <c r="S4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6" s="3">
        <f>IF(tblOrdenes[[#This Row],[tipo_ot]]="","",_xlfn.XLOOKUP(tblOrdenes[[#This Row],[tipo_ot]],tblTiposOT[codigo],tblTiposOT[clasificacion],"sin_clasificar"))</f>
        <v/>
      </c>
      <c r="U416" s="3">
        <f>IF(tblOrdenes[[#This Row],[centro_costo]]="","",_xlfn.XLOOKUP(tblOrdenes[[#This Row],[centro_costo]],tblCECO[codigo],tblCECO[linea],"(sin catálogo)"))</f>
        <v/>
      </c>
      <c r="V416" s="3">
        <f>IF(tblOrdenes[[#This Row],[centro_costo]]="","",_xlfn.XLOOKUP(tblOrdenes[[#This Row],[centro_costo]],tblCECO[codigo],tblCECO[area],"(sin catálogo)"))</f>
        <v/>
      </c>
      <c r="W4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6" s="3">
        <f>IF(tblOrdenes[[#This Row],[centro_costo]]="","",_xlfn.XLOOKUP(tblOrdenes[[#This Row],[centro_costo]],tblCECO[codigo],tblCECO[coordinador],"(sin catálogo)"))</f>
        <v/>
      </c>
      <c r="Y416" s="3">
        <f>IF(tblOrdenes[[#This Row],[puesto_trabajo]]="","",_xlfn.XLOOKUP(tblOrdenes[[#This Row],[puesto_trabajo]],tblPuestos[codigo],tblPuestos[especialidad],"(sin catálogo)"))</f>
        <v/>
      </c>
      <c r="Z416" s="3">
        <f>IF(tblOrdenes[[#This Row],[cod_actividad]]="","",_xlfn.XLOOKUP(tblOrdenes[[#This Row],[cod_actividad]],tblActividades[codigo],tblActividades[descripcion],"(sin catálogo)"))</f>
        <v/>
      </c>
      <c r="AA416" s="13">
        <f>IF(tblOrdenes[[#This Row],[fecha_inicio]]="","",TODAY()-tblOrdenes[[#This Row],[fecha_inicio]])</f>
        <v/>
      </c>
      <c r="AB4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6" s="3">
        <f>IF(tblOrdenes[[#This Row],[backlog_habiles]]="","",IF(tblOrdenes[[#This Row],[backlog_habiles]]&lt;0,"FUTURO",IF(tblOrdenes[[#This Row],[backlog_habiles]]&gt;p_dias_backlog_max,"BACKLOG","MES CORRIENTE")))</f>
        <v/>
      </c>
      <c r="AD416" s="3">
        <f>IF(tblOrdenes[[#This Row],[backlog_habiles]]="",FALSE,AND(tblOrdenes[[#This Row],[backlog_habiles]]&gt;p_dias_backlog_min,tblOrdenes[[#This Row],[backlog_habiles]]&lt;=p_dias_backlog_max))</f>
        <v/>
      </c>
      <c r="AE416" s="6" t="n"/>
      <c r="AF4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6" s="11">
        <f>IF(tblOrdenes[[#This Row],[orden]]="","",_xlfn.XLOOKUP(tblOrdenes[[#This Row],[id_operacion]],tblEjecucion[id_operacion],tblEjecucion[precio],0))</f>
        <v/>
      </c>
      <c r="AJ416" s="11">
        <f>IF(tblOrdenes[[#This Row],[orden]]="","",MAX(0,_xlfn.XLOOKUP(tblOrdenes[[#This Row],[id_operacion]],tblEjecucion[id_operacion],tblEjecucion[costo_plan_total],0)-tblOrdenes[[#This Row],[costo_servicio]]))</f>
        <v/>
      </c>
      <c r="AK416" s="11">
        <f>IF(tblOrdenes[[#This Row],[orden]]="","",tblOrdenes[[#This Row],[costo_servicio]]+tblOrdenes[[#This Row],[costo_materiales]])</f>
        <v/>
      </c>
      <c r="AL416" s="6" t="n"/>
      <c r="AM416" s="6" t="n"/>
      <c r="AN416" s="6" t="n"/>
      <c r="AO416" s="3">
        <f>IF(tblOrdenes[[#This Row],[link_checklist]]="","",HYPERLINK(p_ruta_base_checklists&amp;tblOrdenes[[#This Row],[link_checklist]],"abrir"))</f>
        <v/>
      </c>
      <c r="AP416" s="6" t="n"/>
      <c r="AQ416" s="3">
        <f>IF(tblOrdenes[[#This Row],[orden]]="","",tblOrdenes[[#This Row],[orden]]&amp;IF(tblOrdenes[[#This Row],[operacion]]="","0010",tblOrdenes[[#This Row],[operacion]]))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2" t="n"/>
      <c r="K417" s="3" t="n"/>
      <c r="L417" s="11" t="n"/>
      <c r="M4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7" s="3">
        <f>IF(tblOrdenes[[#This Row],[fecha_inicio]]="","",YEAR(tblOrdenes[[#This Row],[fecha_inicio]]))</f>
        <v/>
      </c>
      <c r="Q417" s="3">
        <f>IF(tblOrdenes[[#This Row],[fecha_inicio]]="","",MONTH(tblOrdenes[[#This Row],[fecha_inicio]]))</f>
        <v/>
      </c>
      <c r="R417" s="3">
        <f>IF(tblOrdenes[[#This Row],[fecha_inicio]]="","",INDEX(lista_dias,WEEKDAY(tblOrdenes[[#This Row],[fecha_inicio]],2)))</f>
        <v/>
      </c>
      <c r="S4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7" s="3">
        <f>IF(tblOrdenes[[#This Row],[tipo_ot]]="","",_xlfn.XLOOKUP(tblOrdenes[[#This Row],[tipo_ot]],tblTiposOT[codigo],tblTiposOT[clasificacion],"sin_clasificar"))</f>
        <v/>
      </c>
      <c r="U417" s="3">
        <f>IF(tblOrdenes[[#This Row],[centro_costo]]="","",_xlfn.XLOOKUP(tblOrdenes[[#This Row],[centro_costo]],tblCECO[codigo],tblCECO[linea],"(sin catálogo)"))</f>
        <v/>
      </c>
      <c r="V417" s="3">
        <f>IF(tblOrdenes[[#This Row],[centro_costo]]="","",_xlfn.XLOOKUP(tblOrdenes[[#This Row],[centro_costo]],tblCECO[codigo],tblCECO[area],"(sin catálogo)"))</f>
        <v/>
      </c>
      <c r="W4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7" s="3">
        <f>IF(tblOrdenes[[#This Row],[centro_costo]]="","",_xlfn.XLOOKUP(tblOrdenes[[#This Row],[centro_costo]],tblCECO[codigo],tblCECO[coordinador],"(sin catálogo)"))</f>
        <v/>
      </c>
      <c r="Y417" s="3">
        <f>IF(tblOrdenes[[#This Row],[puesto_trabajo]]="","",_xlfn.XLOOKUP(tblOrdenes[[#This Row],[puesto_trabajo]],tblPuestos[codigo],tblPuestos[especialidad],"(sin catálogo)"))</f>
        <v/>
      </c>
      <c r="Z417" s="3">
        <f>IF(tblOrdenes[[#This Row],[cod_actividad]]="","",_xlfn.XLOOKUP(tblOrdenes[[#This Row],[cod_actividad]],tblActividades[codigo],tblActividades[descripcion],"(sin catálogo)"))</f>
        <v/>
      </c>
      <c r="AA417" s="13">
        <f>IF(tblOrdenes[[#This Row],[fecha_inicio]]="","",TODAY()-tblOrdenes[[#This Row],[fecha_inicio]])</f>
        <v/>
      </c>
      <c r="AB4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7" s="3">
        <f>IF(tblOrdenes[[#This Row],[backlog_habiles]]="","",IF(tblOrdenes[[#This Row],[backlog_habiles]]&lt;0,"FUTURO",IF(tblOrdenes[[#This Row],[backlog_habiles]]&gt;p_dias_backlog_max,"BACKLOG","MES CORRIENTE")))</f>
        <v/>
      </c>
      <c r="AD417" s="3">
        <f>IF(tblOrdenes[[#This Row],[backlog_habiles]]="",FALSE,AND(tblOrdenes[[#This Row],[backlog_habiles]]&gt;p_dias_backlog_min,tblOrdenes[[#This Row],[backlog_habiles]]&lt;=p_dias_backlog_max))</f>
        <v/>
      </c>
      <c r="AE417" s="6" t="n"/>
      <c r="AF4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7" s="11">
        <f>IF(tblOrdenes[[#This Row],[orden]]="","",_xlfn.XLOOKUP(tblOrdenes[[#This Row],[id_operacion]],tblEjecucion[id_operacion],tblEjecucion[precio],0))</f>
        <v/>
      </c>
      <c r="AJ417" s="11">
        <f>IF(tblOrdenes[[#This Row],[orden]]="","",MAX(0,_xlfn.XLOOKUP(tblOrdenes[[#This Row],[id_operacion]],tblEjecucion[id_operacion],tblEjecucion[costo_plan_total],0)-tblOrdenes[[#This Row],[costo_servicio]]))</f>
        <v/>
      </c>
      <c r="AK417" s="11">
        <f>IF(tblOrdenes[[#This Row],[orden]]="","",tblOrdenes[[#This Row],[costo_servicio]]+tblOrdenes[[#This Row],[costo_materiales]])</f>
        <v/>
      </c>
      <c r="AL417" s="6" t="n"/>
      <c r="AM417" s="6" t="n"/>
      <c r="AN417" s="6" t="n"/>
      <c r="AO417" s="3">
        <f>IF(tblOrdenes[[#This Row],[link_checklist]]="","",HYPERLINK(p_ruta_base_checklists&amp;tblOrdenes[[#This Row],[link_checklist]],"abrir"))</f>
        <v/>
      </c>
      <c r="AP417" s="6" t="n"/>
      <c r="AQ417" s="3">
        <f>IF(tblOrdenes[[#This Row],[orden]]="","",tblOrdenes[[#This Row],[orden]]&amp;IF(tblOrdenes[[#This Row],[operacion]]="","0010",tblOrdenes[[#This Row],[operacion]]))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2" t="n"/>
      <c r="K418" s="3" t="n"/>
      <c r="L418" s="11" t="n"/>
      <c r="M4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8" s="3">
        <f>IF(tblOrdenes[[#This Row],[fecha_inicio]]="","",YEAR(tblOrdenes[[#This Row],[fecha_inicio]]))</f>
        <v/>
      </c>
      <c r="Q418" s="3">
        <f>IF(tblOrdenes[[#This Row],[fecha_inicio]]="","",MONTH(tblOrdenes[[#This Row],[fecha_inicio]]))</f>
        <v/>
      </c>
      <c r="R418" s="3">
        <f>IF(tblOrdenes[[#This Row],[fecha_inicio]]="","",INDEX(lista_dias,WEEKDAY(tblOrdenes[[#This Row],[fecha_inicio]],2)))</f>
        <v/>
      </c>
      <c r="S4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8" s="3">
        <f>IF(tblOrdenes[[#This Row],[tipo_ot]]="","",_xlfn.XLOOKUP(tblOrdenes[[#This Row],[tipo_ot]],tblTiposOT[codigo],tblTiposOT[clasificacion],"sin_clasificar"))</f>
        <v/>
      </c>
      <c r="U418" s="3">
        <f>IF(tblOrdenes[[#This Row],[centro_costo]]="","",_xlfn.XLOOKUP(tblOrdenes[[#This Row],[centro_costo]],tblCECO[codigo],tblCECO[linea],"(sin catálogo)"))</f>
        <v/>
      </c>
      <c r="V418" s="3">
        <f>IF(tblOrdenes[[#This Row],[centro_costo]]="","",_xlfn.XLOOKUP(tblOrdenes[[#This Row],[centro_costo]],tblCECO[codigo],tblCECO[area],"(sin catálogo)"))</f>
        <v/>
      </c>
      <c r="W4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8" s="3">
        <f>IF(tblOrdenes[[#This Row],[centro_costo]]="","",_xlfn.XLOOKUP(tblOrdenes[[#This Row],[centro_costo]],tblCECO[codigo],tblCECO[coordinador],"(sin catálogo)"))</f>
        <v/>
      </c>
      <c r="Y418" s="3">
        <f>IF(tblOrdenes[[#This Row],[puesto_trabajo]]="","",_xlfn.XLOOKUP(tblOrdenes[[#This Row],[puesto_trabajo]],tblPuestos[codigo],tblPuestos[especialidad],"(sin catálogo)"))</f>
        <v/>
      </c>
      <c r="Z418" s="3">
        <f>IF(tblOrdenes[[#This Row],[cod_actividad]]="","",_xlfn.XLOOKUP(tblOrdenes[[#This Row],[cod_actividad]],tblActividades[codigo],tblActividades[descripcion],"(sin catálogo)"))</f>
        <v/>
      </c>
      <c r="AA418" s="13">
        <f>IF(tblOrdenes[[#This Row],[fecha_inicio]]="","",TODAY()-tblOrdenes[[#This Row],[fecha_inicio]])</f>
        <v/>
      </c>
      <c r="AB4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8" s="3">
        <f>IF(tblOrdenes[[#This Row],[backlog_habiles]]="","",IF(tblOrdenes[[#This Row],[backlog_habiles]]&lt;0,"FUTURO",IF(tblOrdenes[[#This Row],[backlog_habiles]]&gt;p_dias_backlog_max,"BACKLOG","MES CORRIENTE")))</f>
        <v/>
      </c>
      <c r="AD418" s="3">
        <f>IF(tblOrdenes[[#This Row],[backlog_habiles]]="",FALSE,AND(tblOrdenes[[#This Row],[backlog_habiles]]&gt;p_dias_backlog_min,tblOrdenes[[#This Row],[backlog_habiles]]&lt;=p_dias_backlog_max))</f>
        <v/>
      </c>
      <c r="AE418" s="6" t="n"/>
      <c r="AF4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8" s="11">
        <f>IF(tblOrdenes[[#This Row],[orden]]="","",_xlfn.XLOOKUP(tblOrdenes[[#This Row],[id_operacion]],tblEjecucion[id_operacion],tblEjecucion[precio],0))</f>
        <v/>
      </c>
      <c r="AJ418" s="11">
        <f>IF(tblOrdenes[[#This Row],[orden]]="","",MAX(0,_xlfn.XLOOKUP(tblOrdenes[[#This Row],[id_operacion]],tblEjecucion[id_operacion],tblEjecucion[costo_plan_total],0)-tblOrdenes[[#This Row],[costo_servicio]]))</f>
        <v/>
      </c>
      <c r="AK418" s="11">
        <f>IF(tblOrdenes[[#This Row],[orden]]="","",tblOrdenes[[#This Row],[costo_servicio]]+tblOrdenes[[#This Row],[costo_materiales]])</f>
        <v/>
      </c>
      <c r="AL418" s="6" t="n"/>
      <c r="AM418" s="6" t="n"/>
      <c r="AN418" s="6" t="n"/>
      <c r="AO418" s="3">
        <f>IF(tblOrdenes[[#This Row],[link_checklist]]="","",HYPERLINK(p_ruta_base_checklists&amp;tblOrdenes[[#This Row],[link_checklist]],"abrir"))</f>
        <v/>
      </c>
      <c r="AP418" s="6" t="n"/>
      <c r="AQ418" s="3">
        <f>IF(tblOrdenes[[#This Row],[orden]]="","",tblOrdenes[[#This Row],[orden]]&amp;IF(tblOrdenes[[#This Row],[operacion]]="","0010",tblOrdenes[[#This Row],[operacion]]))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2" t="n"/>
      <c r="K419" s="3" t="n"/>
      <c r="L419" s="11" t="n"/>
      <c r="M4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9" s="3">
        <f>IF(tblOrdenes[[#This Row],[fecha_inicio]]="","",YEAR(tblOrdenes[[#This Row],[fecha_inicio]]))</f>
        <v/>
      </c>
      <c r="Q419" s="3">
        <f>IF(tblOrdenes[[#This Row],[fecha_inicio]]="","",MONTH(tblOrdenes[[#This Row],[fecha_inicio]]))</f>
        <v/>
      </c>
      <c r="R419" s="3">
        <f>IF(tblOrdenes[[#This Row],[fecha_inicio]]="","",INDEX(lista_dias,WEEKDAY(tblOrdenes[[#This Row],[fecha_inicio]],2)))</f>
        <v/>
      </c>
      <c r="S4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9" s="3">
        <f>IF(tblOrdenes[[#This Row],[tipo_ot]]="","",_xlfn.XLOOKUP(tblOrdenes[[#This Row],[tipo_ot]],tblTiposOT[codigo],tblTiposOT[clasificacion],"sin_clasificar"))</f>
        <v/>
      </c>
      <c r="U419" s="3">
        <f>IF(tblOrdenes[[#This Row],[centro_costo]]="","",_xlfn.XLOOKUP(tblOrdenes[[#This Row],[centro_costo]],tblCECO[codigo],tblCECO[linea],"(sin catálogo)"))</f>
        <v/>
      </c>
      <c r="V419" s="3">
        <f>IF(tblOrdenes[[#This Row],[centro_costo]]="","",_xlfn.XLOOKUP(tblOrdenes[[#This Row],[centro_costo]],tblCECO[codigo],tblCECO[area],"(sin catálogo)"))</f>
        <v/>
      </c>
      <c r="W4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9" s="3">
        <f>IF(tblOrdenes[[#This Row],[centro_costo]]="","",_xlfn.XLOOKUP(tblOrdenes[[#This Row],[centro_costo]],tblCECO[codigo],tblCECO[coordinador],"(sin catálogo)"))</f>
        <v/>
      </c>
      <c r="Y419" s="3">
        <f>IF(tblOrdenes[[#This Row],[puesto_trabajo]]="","",_xlfn.XLOOKUP(tblOrdenes[[#This Row],[puesto_trabajo]],tblPuestos[codigo],tblPuestos[especialidad],"(sin catálogo)"))</f>
        <v/>
      </c>
      <c r="Z419" s="3">
        <f>IF(tblOrdenes[[#This Row],[cod_actividad]]="","",_xlfn.XLOOKUP(tblOrdenes[[#This Row],[cod_actividad]],tblActividades[codigo],tblActividades[descripcion],"(sin catálogo)"))</f>
        <v/>
      </c>
      <c r="AA419" s="13">
        <f>IF(tblOrdenes[[#This Row],[fecha_inicio]]="","",TODAY()-tblOrdenes[[#This Row],[fecha_inicio]])</f>
        <v/>
      </c>
      <c r="AB4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9" s="3">
        <f>IF(tblOrdenes[[#This Row],[backlog_habiles]]="","",IF(tblOrdenes[[#This Row],[backlog_habiles]]&lt;0,"FUTURO",IF(tblOrdenes[[#This Row],[backlog_habiles]]&gt;p_dias_backlog_max,"BACKLOG","MES CORRIENTE")))</f>
        <v/>
      </c>
      <c r="AD419" s="3">
        <f>IF(tblOrdenes[[#This Row],[backlog_habiles]]="",FALSE,AND(tblOrdenes[[#This Row],[backlog_habiles]]&gt;p_dias_backlog_min,tblOrdenes[[#This Row],[backlog_habiles]]&lt;=p_dias_backlog_max))</f>
        <v/>
      </c>
      <c r="AE419" s="6" t="n"/>
      <c r="AF4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9" s="11">
        <f>IF(tblOrdenes[[#This Row],[orden]]="","",_xlfn.XLOOKUP(tblOrdenes[[#This Row],[id_operacion]],tblEjecucion[id_operacion],tblEjecucion[precio],0))</f>
        <v/>
      </c>
      <c r="AJ419" s="11">
        <f>IF(tblOrdenes[[#This Row],[orden]]="","",MAX(0,_xlfn.XLOOKUP(tblOrdenes[[#This Row],[id_operacion]],tblEjecucion[id_operacion],tblEjecucion[costo_plan_total],0)-tblOrdenes[[#This Row],[costo_servicio]]))</f>
        <v/>
      </c>
      <c r="AK419" s="11">
        <f>IF(tblOrdenes[[#This Row],[orden]]="","",tblOrdenes[[#This Row],[costo_servicio]]+tblOrdenes[[#This Row],[costo_materiales]])</f>
        <v/>
      </c>
      <c r="AL419" s="6" t="n"/>
      <c r="AM419" s="6" t="n"/>
      <c r="AN419" s="6" t="n"/>
      <c r="AO419" s="3">
        <f>IF(tblOrdenes[[#This Row],[link_checklist]]="","",HYPERLINK(p_ruta_base_checklists&amp;tblOrdenes[[#This Row],[link_checklist]],"abrir"))</f>
        <v/>
      </c>
      <c r="AP419" s="6" t="n"/>
      <c r="AQ419" s="3">
        <f>IF(tblOrdenes[[#This Row],[orden]]="","",tblOrdenes[[#This Row],[orden]]&amp;IF(tblOrdenes[[#This Row],[operacion]]="","0010",tblOrdenes[[#This Row],[operacion]]))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2" t="n"/>
      <c r="K420" s="3" t="n"/>
      <c r="L420" s="11" t="n"/>
      <c r="M4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0" s="3">
        <f>IF(tblOrdenes[[#This Row],[fecha_inicio]]="","",YEAR(tblOrdenes[[#This Row],[fecha_inicio]]))</f>
        <v/>
      </c>
      <c r="Q420" s="3">
        <f>IF(tblOrdenes[[#This Row],[fecha_inicio]]="","",MONTH(tblOrdenes[[#This Row],[fecha_inicio]]))</f>
        <v/>
      </c>
      <c r="R420" s="3">
        <f>IF(tblOrdenes[[#This Row],[fecha_inicio]]="","",INDEX(lista_dias,WEEKDAY(tblOrdenes[[#This Row],[fecha_inicio]],2)))</f>
        <v/>
      </c>
      <c r="S4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0" s="3">
        <f>IF(tblOrdenes[[#This Row],[tipo_ot]]="","",_xlfn.XLOOKUP(tblOrdenes[[#This Row],[tipo_ot]],tblTiposOT[codigo],tblTiposOT[clasificacion],"sin_clasificar"))</f>
        <v/>
      </c>
      <c r="U420" s="3">
        <f>IF(tblOrdenes[[#This Row],[centro_costo]]="","",_xlfn.XLOOKUP(tblOrdenes[[#This Row],[centro_costo]],tblCECO[codigo],tblCECO[linea],"(sin catálogo)"))</f>
        <v/>
      </c>
      <c r="V420" s="3">
        <f>IF(tblOrdenes[[#This Row],[centro_costo]]="","",_xlfn.XLOOKUP(tblOrdenes[[#This Row],[centro_costo]],tblCECO[codigo],tblCECO[area],"(sin catálogo)"))</f>
        <v/>
      </c>
      <c r="W4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0" s="3">
        <f>IF(tblOrdenes[[#This Row],[centro_costo]]="","",_xlfn.XLOOKUP(tblOrdenes[[#This Row],[centro_costo]],tblCECO[codigo],tblCECO[coordinador],"(sin catálogo)"))</f>
        <v/>
      </c>
      <c r="Y420" s="3">
        <f>IF(tblOrdenes[[#This Row],[puesto_trabajo]]="","",_xlfn.XLOOKUP(tblOrdenes[[#This Row],[puesto_trabajo]],tblPuestos[codigo],tblPuestos[especialidad],"(sin catálogo)"))</f>
        <v/>
      </c>
      <c r="Z420" s="3">
        <f>IF(tblOrdenes[[#This Row],[cod_actividad]]="","",_xlfn.XLOOKUP(tblOrdenes[[#This Row],[cod_actividad]],tblActividades[codigo],tblActividades[descripcion],"(sin catálogo)"))</f>
        <v/>
      </c>
      <c r="AA420" s="13">
        <f>IF(tblOrdenes[[#This Row],[fecha_inicio]]="","",TODAY()-tblOrdenes[[#This Row],[fecha_inicio]])</f>
        <v/>
      </c>
      <c r="AB4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0" s="3">
        <f>IF(tblOrdenes[[#This Row],[backlog_habiles]]="","",IF(tblOrdenes[[#This Row],[backlog_habiles]]&lt;0,"FUTURO",IF(tblOrdenes[[#This Row],[backlog_habiles]]&gt;p_dias_backlog_max,"BACKLOG","MES CORRIENTE")))</f>
        <v/>
      </c>
      <c r="AD420" s="3">
        <f>IF(tblOrdenes[[#This Row],[backlog_habiles]]="",FALSE,AND(tblOrdenes[[#This Row],[backlog_habiles]]&gt;p_dias_backlog_min,tblOrdenes[[#This Row],[backlog_habiles]]&lt;=p_dias_backlog_max))</f>
        <v/>
      </c>
      <c r="AE420" s="6" t="n"/>
      <c r="AF4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0" s="11">
        <f>IF(tblOrdenes[[#This Row],[orden]]="","",_xlfn.XLOOKUP(tblOrdenes[[#This Row],[id_operacion]],tblEjecucion[id_operacion],tblEjecucion[precio],0))</f>
        <v/>
      </c>
      <c r="AJ420" s="11">
        <f>IF(tblOrdenes[[#This Row],[orden]]="","",MAX(0,_xlfn.XLOOKUP(tblOrdenes[[#This Row],[id_operacion]],tblEjecucion[id_operacion],tblEjecucion[costo_plan_total],0)-tblOrdenes[[#This Row],[costo_servicio]]))</f>
        <v/>
      </c>
      <c r="AK420" s="11">
        <f>IF(tblOrdenes[[#This Row],[orden]]="","",tblOrdenes[[#This Row],[costo_servicio]]+tblOrdenes[[#This Row],[costo_materiales]])</f>
        <v/>
      </c>
      <c r="AL420" s="6" t="n"/>
      <c r="AM420" s="6" t="n"/>
      <c r="AN420" s="6" t="n"/>
      <c r="AO420" s="3">
        <f>IF(tblOrdenes[[#This Row],[link_checklist]]="","",HYPERLINK(p_ruta_base_checklists&amp;tblOrdenes[[#This Row],[link_checklist]],"abrir"))</f>
        <v/>
      </c>
      <c r="AP420" s="6" t="n"/>
      <c r="AQ420" s="3">
        <f>IF(tblOrdenes[[#This Row],[orden]]="","",tblOrdenes[[#This Row],[orden]]&amp;IF(tblOrdenes[[#This Row],[operacion]]="","0010",tblOrdenes[[#This Row],[operacion]]))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2" t="n"/>
      <c r="K421" s="3" t="n"/>
      <c r="L421" s="11" t="n"/>
      <c r="M4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1" s="3">
        <f>IF(tblOrdenes[[#This Row],[fecha_inicio]]="","",YEAR(tblOrdenes[[#This Row],[fecha_inicio]]))</f>
        <v/>
      </c>
      <c r="Q421" s="3">
        <f>IF(tblOrdenes[[#This Row],[fecha_inicio]]="","",MONTH(tblOrdenes[[#This Row],[fecha_inicio]]))</f>
        <v/>
      </c>
      <c r="R421" s="3">
        <f>IF(tblOrdenes[[#This Row],[fecha_inicio]]="","",INDEX(lista_dias,WEEKDAY(tblOrdenes[[#This Row],[fecha_inicio]],2)))</f>
        <v/>
      </c>
      <c r="S4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1" s="3">
        <f>IF(tblOrdenes[[#This Row],[tipo_ot]]="","",_xlfn.XLOOKUP(tblOrdenes[[#This Row],[tipo_ot]],tblTiposOT[codigo],tblTiposOT[clasificacion],"sin_clasificar"))</f>
        <v/>
      </c>
      <c r="U421" s="3">
        <f>IF(tblOrdenes[[#This Row],[centro_costo]]="","",_xlfn.XLOOKUP(tblOrdenes[[#This Row],[centro_costo]],tblCECO[codigo],tblCECO[linea],"(sin catálogo)"))</f>
        <v/>
      </c>
      <c r="V421" s="3">
        <f>IF(tblOrdenes[[#This Row],[centro_costo]]="","",_xlfn.XLOOKUP(tblOrdenes[[#This Row],[centro_costo]],tblCECO[codigo],tblCECO[area],"(sin catálogo)"))</f>
        <v/>
      </c>
      <c r="W4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1" s="3">
        <f>IF(tblOrdenes[[#This Row],[centro_costo]]="","",_xlfn.XLOOKUP(tblOrdenes[[#This Row],[centro_costo]],tblCECO[codigo],tblCECO[coordinador],"(sin catálogo)"))</f>
        <v/>
      </c>
      <c r="Y421" s="3">
        <f>IF(tblOrdenes[[#This Row],[puesto_trabajo]]="","",_xlfn.XLOOKUP(tblOrdenes[[#This Row],[puesto_trabajo]],tblPuestos[codigo],tblPuestos[especialidad],"(sin catálogo)"))</f>
        <v/>
      </c>
      <c r="Z421" s="3">
        <f>IF(tblOrdenes[[#This Row],[cod_actividad]]="","",_xlfn.XLOOKUP(tblOrdenes[[#This Row],[cod_actividad]],tblActividades[codigo],tblActividades[descripcion],"(sin catálogo)"))</f>
        <v/>
      </c>
      <c r="AA421" s="13">
        <f>IF(tblOrdenes[[#This Row],[fecha_inicio]]="","",TODAY()-tblOrdenes[[#This Row],[fecha_inicio]])</f>
        <v/>
      </c>
      <c r="AB4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1" s="3">
        <f>IF(tblOrdenes[[#This Row],[backlog_habiles]]="","",IF(tblOrdenes[[#This Row],[backlog_habiles]]&lt;0,"FUTURO",IF(tblOrdenes[[#This Row],[backlog_habiles]]&gt;p_dias_backlog_max,"BACKLOG","MES CORRIENTE")))</f>
        <v/>
      </c>
      <c r="AD421" s="3">
        <f>IF(tblOrdenes[[#This Row],[backlog_habiles]]="",FALSE,AND(tblOrdenes[[#This Row],[backlog_habiles]]&gt;p_dias_backlog_min,tblOrdenes[[#This Row],[backlog_habiles]]&lt;=p_dias_backlog_max))</f>
        <v/>
      </c>
      <c r="AE421" s="6" t="n"/>
      <c r="AF4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1" s="11">
        <f>IF(tblOrdenes[[#This Row],[orden]]="","",_xlfn.XLOOKUP(tblOrdenes[[#This Row],[id_operacion]],tblEjecucion[id_operacion],tblEjecucion[precio],0))</f>
        <v/>
      </c>
      <c r="AJ421" s="11">
        <f>IF(tblOrdenes[[#This Row],[orden]]="","",MAX(0,_xlfn.XLOOKUP(tblOrdenes[[#This Row],[id_operacion]],tblEjecucion[id_operacion],tblEjecucion[costo_plan_total],0)-tblOrdenes[[#This Row],[costo_servicio]]))</f>
        <v/>
      </c>
      <c r="AK421" s="11">
        <f>IF(tblOrdenes[[#This Row],[orden]]="","",tblOrdenes[[#This Row],[costo_servicio]]+tblOrdenes[[#This Row],[costo_materiales]])</f>
        <v/>
      </c>
      <c r="AL421" s="6" t="n"/>
      <c r="AM421" s="6" t="n"/>
      <c r="AN421" s="6" t="n"/>
      <c r="AO421" s="3">
        <f>IF(tblOrdenes[[#This Row],[link_checklist]]="","",HYPERLINK(p_ruta_base_checklists&amp;tblOrdenes[[#This Row],[link_checklist]],"abrir"))</f>
        <v/>
      </c>
      <c r="AP421" s="6" t="n"/>
      <c r="AQ421" s="3">
        <f>IF(tblOrdenes[[#This Row],[orden]]="","",tblOrdenes[[#This Row],[orden]]&amp;IF(tblOrdenes[[#This Row],[operacion]]="","0010",tblOrdenes[[#This Row],[operacion]]))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2" t="n"/>
      <c r="K422" s="3" t="n"/>
      <c r="L422" s="11" t="n"/>
      <c r="M4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2" s="3">
        <f>IF(tblOrdenes[[#This Row],[fecha_inicio]]="","",YEAR(tblOrdenes[[#This Row],[fecha_inicio]]))</f>
        <v/>
      </c>
      <c r="Q422" s="3">
        <f>IF(tblOrdenes[[#This Row],[fecha_inicio]]="","",MONTH(tblOrdenes[[#This Row],[fecha_inicio]]))</f>
        <v/>
      </c>
      <c r="R422" s="3">
        <f>IF(tblOrdenes[[#This Row],[fecha_inicio]]="","",INDEX(lista_dias,WEEKDAY(tblOrdenes[[#This Row],[fecha_inicio]],2)))</f>
        <v/>
      </c>
      <c r="S4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2" s="3">
        <f>IF(tblOrdenes[[#This Row],[tipo_ot]]="","",_xlfn.XLOOKUP(tblOrdenes[[#This Row],[tipo_ot]],tblTiposOT[codigo],tblTiposOT[clasificacion],"sin_clasificar"))</f>
        <v/>
      </c>
      <c r="U422" s="3">
        <f>IF(tblOrdenes[[#This Row],[centro_costo]]="","",_xlfn.XLOOKUP(tblOrdenes[[#This Row],[centro_costo]],tblCECO[codigo],tblCECO[linea],"(sin catálogo)"))</f>
        <v/>
      </c>
      <c r="V422" s="3">
        <f>IF(tblOrdenes[[#This Row],[centro_costo]]="","",_xlfn.XLOOKUP(tblOrdenes[[#This Row],[centro_costo]],tblCECO[codigo],tblCECO[area],"(sin catálogo)"))</f>
        <v/>
      </c>
      <c r="W4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2" s="3">
        <f>IF(tblOrdenes[[#This Row],[centro_costo]]="","",_xlfn.XLOOKUP(tblOrdenes[[#This Row],[centro_costo]],tblCECO[codigo],tblCECO[coordinador],"(sin catálogo)"))</f>
        <v/>
      </c>
      <c r="Y422" s="3">
        <f>IF(tblOrdenes[[#This Row],[puesto_trabajo]]="","",_xlfn.XLOOKUP(tblOrdenes[[#This Row],[puesto_trabajo]],tblPuestos[codigo],tblPuestos[especialidad],"(sin catálogo)"))</f>
        <v/>
      </c>
      <c r="Z422" s="3">
        <f>IF(tblOrdenes[[#This Row],[cod_actividad]]="","",_xlfn.XLOOKUP(tblOrdenes[[#This Row],[cod_actividad]],tblActividades[codigo],tblActividades[descripcion],"(sin catálogo)"))</f>
        <v/>
      </c>
      <c r="AA422" s="13">
        <f>IF(tblOrdenes[[#This Row],[fecha_inicio]]="","",TODAY()-tblOrdenes[[#This Row],[fecha_inicio]])</f>
        <v/>
      </c>
      <c r="AB4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2" s="3">
        <f>IF(tblOrdenes[[#This Row],[backlog_habiles]]="","",IF(tblOrdenes[[#This Row],[backlog_habiles]]&lt;0,"FUTURO",IF(tblOrdenes[[#This Row],[backlog_habiles]]&gt;p_dias_backlog_max,"BACKLOG","MES CORRIENTE")))</f>
        <v/>
      </c>
      <c r="AD422" s="3">
        <f>IF(tblOrdenes[[#This Row],[backlog_habiles]]="",FALSE,AND(tblOrdenes[[#This Row],[backlog_habiles]]&gt;p_dias_backlog_min,tblOrdenes[[#This Row],[backlog_habiles]]&lt;=p_dias_backlog_max))</f>
        <v/>
      </c>
      <c r="AE422" s="6" t="n"/>
      <c r="AF4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2" s="11">
        <f>IF(tblOrdenes[[#This Row],[orden]]="","",_xlfn.XLOOKUP(tblOrdenes[[#This Row],[id_operacion]],tblEjecucion[id_operacion],tblEjecucion[precio],0))</f>
        <v/>
      </c>
      <c r="AJ422" s="11">
        <f>IF(tblOrdenes[[#This Row],[orden]]="","",MAX(0,_xlfn.XLOOKUP(tblOrdenes[[#This Row],[id_operacion]],tblEjecucion[id_operacion],tblEjecucion[costo_plan_total],0)-tblOrdenes[[#This Row],[costo_servicio]]))</f>
        <v/>
      </c>
      <c r="AK422" s="11">
        <f>IF(tblOrdenes[[#This Row],[orden]]="","",tblOrdenes[[#This Row],[costo_servicio]]+tblOrdenes[[#This Row],[costo_materiales]])</f>
        <v/>
      </c>
      <c r="AL422" s="6" t="n"/>
      <c r="AM422" s="6" t="n"/>
      <c r="AN422" s="6" t="n"/>
      <c r="AO422" s="3">
        <f>IF(tblOrdenes[[#This Row],[link_checklist]]="","",HYPERLINK(p_ruta_base_checklists&amp;tblOrdenes[[#This Row],[link_checklist]],"abrir"))</f>
        <v/>
      </c>
      <c r="AP422" s="6" t="n"/>
      <c r="AQ422" s="3">
        <f>IF(tblOrdenes[[#This Row],[orden]]="","",tblOrdenes[[#This Row],[orden]]&amp;IF(tblOrdenes[[#This Row],[operacion]]="","0010",tblOrdenes[[#This Row],[operacion]]))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2" t="n"/>
      <c r="K423" s="3" t="n"/>
      <c r="L423" s="11" t="n"/>
      <c r="M4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3" s="3">
        <f>IF(tblOrdenes[[#This Row],[fecha_inicio]]="","",YEAR(tblOrdenes[[#This Row],[fecha_inicio]]))</f>
        <v/>
      </c>
      <c r="Q423" s="3">
        <f>IF(tblOrdenes[[#This Row],[fecha_inicio]]="","",MONTH(tblOrdenes[[#This Row],[fecha_inicio]]))</f>
        <v/>
      </c>
      <c r="R423" s="3">
        <f>IF(tblOrdenes[[#This Row],[fecha_inicio]]="","",INDEX(lista_dias,WEEKDAY(tblOrdenes[[#This Row],[fecha_inicio]],2)))</f>
        <v/>
      </c>
      <c r="S4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3" s="3">
        <f>IF(tblOrdenes[[#This Row],[tipo_ot]]="","",_xlfn.XLOOKUP(tblOrdenes[[#This Row],[tipo_ot]],tblTiposOT[codigo],tblTiposOT[clasificacion],"sin_clasificar"))</f>
        <v/>
      </c>
      <c r="U423" s="3">
        <f>IF(tblOrdenes[[#This Row],[centro_costo]]="","",_xlfn.XLOOKUP(tblOrdenes[[#This Row],[centro_costo]],tblCECO[codigo],tblCECO[linea],"(sin catálogo)"))</f>
        <v/>
      </c>
      <c r="V423" s="3">
        <f>IF(tblOrdenes[[#This Row],[centro_costo]]="","",_xlfn.XLOOKUP(tblOrdenes[[#This Row],[centro_costo]],tblCECO[codigo],tblCECO[area],"(sin catálogo)"))</f>
        <v/>
      </c>
      <c r="W4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3" s="3">
        <f>IF(tblOrdenes[[#This Row],[centro_costo]]="","",_xlfn.XLOOKUP(tblOrdenes[[#This Row],[centro_costo]],tblCECO[codigo],tblCECO[coordinador],"(sin catálogo)"))</f>
        <v/>
      </c>
      <c r="Y423" s="3">
        <f>IF(tblOrdenes[[#This Row],[puesto_trabajo]]="","",_xlfn.XLOOKUP(tblOrdenes[[#This Row],[puesto_trabajo]],tblPuestos[codigo],tblPuestos[especialidad],"(sin catálogo)"))</f>
        <v/>
      </c>
      <c r="Z423" s="3">
        <f>IF(tblOrdenes[[#This Row],[cod_actividad]]="","",_xlfn.XLOOKUP(tblOrdenes[[#This Row],[cod_actividad]],tblActividades[codigo],tblActividades[descripcion],"(sin catálogo)"))</f>
        <v/>
      </c>
      <c r="AA423" s="13">
        <f>IF(tblOrdenes[[#This Row],[fecha_inicio]]="","",TODAY()-tblOrdenes[[#This Row],[fecha_inicio]])</f>
        <v/>
      </c>
      <c r="AB4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3" s="3">
        <f>IF(tblOrdenes[[#This Row],[backlog_habiles]]="","",IF(tblOrdenes[[#This Row],[backlog_habiles]]&lt;0,"FUTURO",IF(tblOrdenes[[#This Row],[backlog_habiles]]&gt;p_dias_backlog_max,"BACKLOG","MES CORRIENTE")))</f>
        <v/>
      </c>
      <c r="AD423" s="3">
        <f>IF(tblOrdenes[[#This Row],[backlog_habiles]]="",FALSE,AND(tblOrdenes[[#This Row],[backlog_habiles]]&gt;p_dias_backlog_min,tblOrdenes[[#This Row],[backlog_habiles]]&lt;=p_dias_backlog_max))</f>
        <v/>
      </c>
      <c r="AE423" s="6" t="n"/>
      <c r="AF4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3" s="11">
        <f>IF(tblOrdenes[[#This Row],[orden]]="","",_xlfn.XLOOKUP(tblOrdenes[[#This Row],[id_operacion]],tblEjecucion[id_operacion],tblEjecucion[precio],0))</f>
        <v/>
      </c>
      <c r="AJ423" s="11">
        <f>IF(tblOrdenes[[#This Row],[orden]]="","",MAX(0,_xlfn.XLOOKUP(tblOrdenes[[#This Row],[id_operacion]],tblEjecucion[id_operacion],tblEjecucion[costo_plan_total],0)-tblOrdenes[[#This Row],[costo_servicio]]))</f>
        <v/>
      </c>
      <c r="AK423" s="11">
        <f>IF(tblOrdenes[[#This Row],[orden]]="","",tblOrdenes[[#This Row],[costo_servicio]]+tblOrdenes[[#This Row],[costo_materiales]])</f>
        <v/>
      </c>
      <c r="AL423" s="6" t="n"/>
      <c r="AM423" s="6" t="n"/>
      <c r="AN423" s="6" t="n"/>
      <c r="AO423" s="3">
        <f>IF(tblOrdenes[[#This Row],[link_checklist]]="","",HYPERLINK(p_ruta_base_checklists&amp;tblOrdenes[[#This Row],[link_checklist]],"abrir"))</f>
        <v/>
      </c>
      <c r="AP423" s="6" t="n"/>
      <c r="AQ423" s="3">
        <f>IF(tblOrdenes[[#This Row],[orden]]="","",tblOrdenes[[#This Row],[orden]]&amp;IF(tblOrdenes[[#This Row],[operacion]]="","0010",tblOrdenes[[#This Row],[operacion]]))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2" t="n"/>
      <c r="K424" s="3" t="n"/>
      <c r="L424" s="11" t="n"/>
      <c r="M4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4" s="3">
        <f>IF(tblOrdenes[[#This Row],[fecha_inicio]]="","",YEAR(tblOrdenes[[#This Row],[fecha_inicio]]))</f>
        <v/>
      </c>
      <c r="Q424" s="3">
        <f>IF(tblOrdenes[[#This Row],[fecha_inicio]]="","",MONTH(tblOrdenes[[#This Row],[fecha_inicio]]))</f>
        <v/>
      </c>
      <c r="R424" s="3">
        <f>IF(tblOrdenes[[#This Row],[fecha_inicio]]="","",INDEX(lista_dias,WEEKDAY(tblOrdenes[[#This Row],[fecha_inicio]],2)))</f>
        <v/>
      </c>
      <c r="S4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4" s="3">
        <f>IF(tblOrdenes[[#This Row],[tipo_ot]]="","",_xlfn.XLOOKUP(tblOrdenes[[#This Row],[tipo_ot]],tblTiposOT[codigo],tblTiposOT[clasificacion],"sin_clasificar"))</f>
        <v/>
      </c>
      <c r="U424" s="3">
        <f>IF(tblOrdenes[[#This Row],[centro_costo]]="","",_xlfn.XLOOKUP(tblOrdenes[[#This Row],[centro_costo]],tblCECO[codigo],tblCECO[linea],"(sin catálogo)"))</f>
        <v/>
      </c>
      <c r="V424" s="3">
        <f>IF(tblOrdenes[[#This Row],[centro_costo]]="","",_xlfn.XLOOKUP(tblOrdenes[[#This Row],[centro_costo]],tblCECO[codigo],tblCECO[area],"(sin catálogo)"))</f>
        <v/>
      </c>
      <c r="W4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4" s="3">
        <f>IF(tblOrdenes[[#This Row],[centro_costo]]="","",_xlfn.XLOOKUP(tblOrdenes[[#This Row],[centro_costo]],tblCECO[codigo],tblCECO[coordinador],"(sin catálogo)"))</f>
        <v/>
      </c>
      <c r="Y424" s="3">
        <f>IF(tblOrdenes[[#This Row],[puesto_trabajo]]="","",_xlfn.XLOOKUP(tblOrdenes[[#This Row],[puesto_trabajo]],tblPuestos[codigo],tblPuestos[especialidad],"(sin catálogo)"))</f>
        <v/>
      </c>
      <c r="Z424" s="3">
        <f>IF(tblOrdenes[[#This Row],[cod_actividad]]="","",_xlfn.XLOOKUP(tblOrdenes[[#This Row],[cod_actividad]],tblActividades[codigo],tblActividades[descripcion],"(sin catálogo)"))</f>
        <v/>
      </c>
      <c r="AA424" s="13">
        <f>IF(tblOrdenes[[#This Row],[fecha_inicio]]="","",TODAY()-tblOrdenes[[#This Row],[fecha_inicio]])</f>
        <v/>
      </c>
      <c r="AB4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4" s="3">
        <f>IF(tblOrdenes[[#This Row],[backlog_habiles]]="","",IF(tblOrdenes[[#This Row],[backlog_habiles]]&lt;0,"FUTURO",IF(tblOrdenes[[#This Row],[backlog_habiles]]&gt;p_dias_backlog_max,"BACKLOG","MES CORRIENTE")))</f>
        <v/>
      </c>
      <c r="AD424" s="3">
        <f>IF(tblOrdenes[[#This Row],[backlog_habiles]]="",FALSE,AND(tblOrdenes[[#This Row],[backlog_habiles]]&gt;p_dias_backlog_min,tblOrdenes[[#This Row],[backlog_habiles]]&lt;=p_dias_backlog_max))</f>
        <v/>
      </c>
      <c r="AE424" s="6" t="n"/>
      <c r="AF4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4" s="11">
        <f>IF(tblOrdenes[[#This Row],[orden]]="","",_xlfn.XLOOKUP(tblOrdenes[[#This Row],[id_operacion]],tblEjecucion[id_operacion],tblEjecucion[precio],0))</f>
        <v/>
      </c>
      <c r="AJ424" s="11">
        <f>IF(tblOrdenes[[#This Row],[orden]]="","",MAX(0,_xlfn.XLOOKUP(tblOrdenes[[#This Row],[id_operacion]],tblEjecucion[id_operacion],tblEjecucion[costo_plan_total],0)-tblOrdenes[[#This Row],[costo_servicio]]))</f>
        <v/>
      </c>
      <c r="AK424" s="11">
        <f>IF(tblOrdenes[[#This Row],[orden]]="","",tblOrdenes[[#This Row],[costo_servicio]]+tblOrdenes[[#This Row],[costo_materiales]])</f>
        <v/>
      </c>
      <c r="AL424" s="6" t="n"/>
      <c r="AM424" s="6" t="n"/>
      <c r="AN424" s="6" t="n"/>
      <c r="AO424" s="3">
        <f>IF(tblOrdenes[[#This Row],[link_checklist]]="","",HYPERLINK(p_ruta_base_checklists&amp;tblOrdenes[[#This Row],[link_checklist]],"abrir"))</f>
        <v/>
      </c>
      <c r="AP424" s="6" t="n"/>
      <c r="AQ424" s="3">
        <f>IF(tblOrdenes[[#This Row],[orden]]="","",tblOrdenes[[#This Row],[orden]]&amp;IF(tblOrdenes[[#This Row],[operacion]]="","0010",tblOrdenes[[#This Row],[operacion]]))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2" t="n"/>
      <c r="K425" s="3" t="n"/>
      <c r="L425" s="11" t="n"/>
      <c r="M4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5" s="3">
        <f>IF(tblOrdenes[[#This Row],[fecha_inicio]]="","",YEAR(tblOrdenes[[#This Row],[fecha_inicio]]))</f>
        <v/>
      </c>
      <c r="Q425" s="3">
        <f>IF(tblOrdenes[[#This Row],[fecha_inicio]]="","",MONTH(tblOrdenes[[#This Row],[fecha_inicio]]))</f>
        <v/>
      </c>
      <c r="R425" s="3">
        <f>IF(tblOrdenes[[#This Row],[fecha_inicio]]="","",INDEX(lista_dias,WEEKDAY(tblOrdenes[[#This Row],[fecha_inicio]],2)))</f>
        <v/>
      </c>
      <c r="S4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5" s="3">
        <f>IF(tblOrdenes[[#This Row],[tipo_ot]]="","",_xlfn.XLOOKUP(tblOrdenes[[#This Row],[tipo_ot]],tblTiposOT[codigo],tblTiposOT[clasificacion],"sin_clasificar"))</f>
        <v/>
      </c>
      <c r="U425" s="3">
        <f>IF(tblOrdenes[[#This Row],[centro_costo]]="","",_xlfn.XLOOKUP(tblOrdenes[[#This Row],[centro_costo]],tblCECO[codigo],tblCECO[linea],"(sin catálogo)"))</f>
        <v/>
      </c>
      <c r="V425" s="3">
        <f>IF(tblOrdenes[[#This Row],[centro_costo]]="","",_xlfn.XLOOKUP(tblOrdenes[[#This Row],[centro_costo]],tblCECO[codigo],tblCECO[area],"(sin catálogo)"))</f>
        <v/>
      </c>
      <c r="W4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5" s="3">
        <f>IF(tblOrdenes[[#This Row],[centro_costo]]="","",_xlfn.XLOOKUP(tblOrdenes[[#This Row],[centro_costo]],tblCECO[codigo],tblCECO[coordinador],"(sin catálogo)"))</f>
        <v/>
      </c>
      <c r="Y425" s="3">
        <f>IF(tblOrdenes[[#This Row],[puesto_trabajo]]="","",_xlfn.XLOOKUP(tblOrdenes[[#This Row],[puesto_trabajo]],tblPuestos[codigo],tblPuestos[especialidad],"(sin catálogo)"))</f>
        <v/>
      </c>
      <c r="Z425" s="3">
        <f>IF(tblOrdenes[[#This Row],[cod_actividad]]="","",_xlfn.XLOOKUP(tblOrdenes[[#This Row],[cod_actividad]],tblActividades[codigo],tblActividades[descripcion],"(sin catálogo)"))</f>
        <v/>
      </c>
      <c r="AA425" s="13">
        <f>IF(tblOrdenes[[#This Row],[fecha_inicio]]="","",TODAY()-tblOrdenes[[#This Row],[fecha_inicio]])</f>
        <v/>
      </c>
      <c r="AB4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5" s="3">
        <f>IF(tblOrdenes[[#This Row],[backlog_habiles]]="","",IF(tblOrdenes[[#This Row],[backlog_habiles]]&lt;0,"FUTURO",IF(tblOrdenes[[#This Row],[backlog_habiles]]&gt;p_dias_backlog_max,"BACKLOG","MES CORRIENTE")))</f>
        <v/>
      </c>
      <c r="AD425" s="3">
        <f>IF(tblOrdenes[[#This Row],[backlog_habiles]]="",FALSE,AND(tblOrdenes[[#This Row],[backlog_habiles]]&gt;p_dias_backlog_min,tblOrdenes[[#This Row],[backlog_habiles]]&lt;=p_dias_backlog_max))</f>
        <v/>
      </c>
      <c r="AE425" s="6" t="n"/>
      <c r="AF4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5" s="11">
        <f>IF(tblOrdenes[[#This Row],[orden]]="","",_xlfn.XLOOKUP(tblOrdenes[[#This Row],[id_operacion]],tblEjecucion[id_operacion],tblEjecucion[precio],0))</f>
        <v/>
      </c>
      <c r="AJ425" s="11">
        <f>IF(tblOrdenes[[#This Row],[orden]]="","",MAX(0,_xlfn.XLOOKUP(tblOrdenes[[#This Row],[id_operacion]],tblEjecucion[id_operacion],tblEjecucion[costo_plan_total],0)-tblOrdenes[[#This Row],[costo_servicio]]))</f>
        <v/>
      </c>
      <c r="AK425" s="11">
        <f>IF(tblOrdenes[[#This Row],[orden]]="","",tblOrdenes[[#This Row],[costo_servicio]]+tblOrdenes[[#This Row],[costo_materiales]])</f>
        <v/>
      </c>
      <c r="AL425" s="6" t="n"/>
      <c r="AM425" s="6" t="n"/>
      <c r="AN425" s="6" t="n"/>
      <c r="AO425" s="3">
        <f>IF(tblOrdenes[[#This Row],[link_checklist]]="","",HYPERLINK(p_ruta_base_checklists&amp;tblOrdenes[[#This Row],[link_checklist]],"abrir"))</f>
        <v/>
      </c>
      <c r="AP425" s="6" t="n"/>
      <c r="AQ425" s="3">
        <f>IF(tblOrdenes[[#This Row],[orden]]="","",tblOrdenes[[#This Row],[orden]]&amp;IF(tblOrdenes[[#This Row],[operacion]]="","0010",tblOrdenes[[#This Row],[operacion]]))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2" t="n"/>
      <c r="K426" s="3" t="n"/>
      <c r="L426" s="11" t="n"/>
      <c r="M4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6" s="3">
        <f>IF(tblOrdenes[[#This Row],[fecha_inicio]]="","",YEAR(tblOrdenes[[#This Row],[fecha_inicio]]))</f>
        <v/>
      </c>
      <c r="Q426" s="3">
        <f>IF(tblOrdenes[[#This Row],[fecha_inicio]]="","",MONTH(tblOrdenes[[#This Row],[fecha_inicio]]))</f>
        <v/>
      </c>
      <c r="R426" s="3">
        <f>IF(tblOrdenes[[#This Row],[fecha_inicio]]="","",INDEX(lista_dias,WEEKDAY(tblOrdenes[[#This Row],[fecha_inicio]],2)))</f>
        <v/>
      </c>
      <c r="S4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6" s="3">
        <f>IF(tblOrdenes[[#This Row],[tipo_ot]]="","",_xlfn.XLOOKUP(tblOrdenes[[#This Row],[tipo_ot]],tblTiposOT[codigo],tblTiposOT[clasificacion],"sin_clasificar"))</f>
        <v/>
      </c>
      <c r="U426" s="3">
        <f>IF(tblOrdenes[[#This Row],[centro_costo]]="","",_xlfn.XLOOKUP(tblOrdenes[[#This Row],[centro_costo]],tblCECO[codigo],tblCECO[linea],"(sin catálogo)"))</f>
        <v/>
      </c>
      <c r="V426" s="3">
        <f>IF(tblOrdenes[[#This Row],[centro_costo]]="","",_xlfn.XLOOKUP(tblOrdenes[[#This Row],[centro_costo]],tblCECO[codigo],tblCECO[area],"(sin catálogo)"))</f>
        <v/>
      </c>
      <c r="W4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6" s="3">
        <f>IF(tblOrdenes[[#This Row],[centro_costo]]="","",_xlfn.XLOOKUP(tblOrdenes[[#This Row],[centro_costo]],tblCECO[codigo],tblCECO[coordinador],"(sin catálogo)"))</f>
        <v/>
      </c>
      <c r="Y426" s="3">
        <f>IF(tblOrdenes[[#This Row],[puesto_trabajo]]="","",_xlfn.XLOOKUP(tblOrdenes[[#This Row],[puesto_trabajo]],tblPuestos[codigo],tblPuestos[especialidad],"(sin catálogo)"))</f>
        <v/>
      </c>
      <c r="Z426" s="3">
        <f>IF(tblOrdenes[[#This Row],[cod_actividad]]="","",_xlfn.XLOOKUP(tblOrdenes[[#This Row],[cod_actividad]],tblActividades[codigo],tblActividades[descripcion],"(sin catálogo)"))</f>
        <v/>
      </c>
      <c r="AA426" s="13">
        <f>IF(tblOrdenes[[#This Row],[fecha_inicio]]="","",TODAY()-tblOrdenes[[#This Row],[fecha_inicio]])</f>
        <v/>
      </c>
      <c r="AB4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6" s="3">
        <f>IF(tblOrdenes[[#This Row],[backlog_habiles]]="","",IF(tblOrdenes[[#This Row],[backlog_habiles]]&lt;0,"FUTURO",IF(tblOrdenes[[#This Row],[backlog_habiles]]&gt;p_dias_backlog_max,"BACKLOG","MES CORRIENTE")))</f>
        <v/>
      </c>
      <c r="AD426" s="3">
        <f>IF(tblOrdenes[[#This Row],[backlog_habiles]]="",FALSE,AND(tblOrdenes[[#This Row],[backlog_habiles]]&gt;p_dias_backlog_min,tblOrdenes[[#This Row],[backlog_habiles]]&lt;=p_dias_backlog_max))</f>
        <v/>
      </c>
      <c r="AE426" s="6" t="n"/>
      <c r="AF4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6" s="11">
        <f>IF(tblOrdenes[[#This Row],[orden]]="","",_xlfn.XLOOKUP(tblOrdenes[[#This Row],[id_operacion]],tblEjecucion[id_operacion],tblEjecucion[precio],0))</f>
        <v/>
      </c>
      <c r="AJ426" s="11">
        <f>IF(tblOrdenes[[#This Row],[orden]]="","",MAX(0,_xlfn.XLOOKUP(tblOrdenes[[#This Row],[id_operacion]],tblEjecucion[id_operacion],tblEjecucion[costo_plan_total],0)-tblOrdenes[[#This Row],[costo_servicio]]))</f>
        <v/>
      </c>
      <c r="AK426" s="11">
        <f>IF(tblOrdenes[[#This Row],[orden]]="","",tblOrdenes[[#This Row],[costo_servicio]]+tblOrdenes[[#This Row],[costo_materiales]])</f>
        <v/>
      </c>
      <c r="AL426" s="6" t="n"/>
      <c r="AM426" s="6" t="n"/>
      <c r="AN426" s="6" t="n"/>
      <c r="AO426" s="3">
        <f>IF(tblOrdenes[[#This Row],[link_checklist]]="","",HYPERLINK(p_ruta_base_checklists&amp;tblOrdenes[[#This Row],[link_checklist]],"abrir"))</f>
        <v/>
      </c>
      <c r="AP426" s="6" t="n"/>
      <c r="AQ426" s="3">
        <f>IF(tblOrdenes[[#This Row],[orden]]="","",tblOrdenes[[#This Row],[orden]]&amp;IF(tblOrdenes[[#This Row],[operacion]]="","0010",tblOrdenes[[#This Row],[operacion]]))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2" t="n"/>
      <c r="K427" s="3" t="n"/>
      <c r="L427" s="11" t="n"/>
      <c r="M4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7" s="3">
        <f>IF(tblOrdenes[[#This Row],[fecha_inicio]]="","",YEAR(tblOrdenes[[#This Row],[fecha_inicio]]))</f>
        <v/>
      </c>
      <c r="Q427" s="3">
        <f>IF(tblOrdenes[[#This Row],[fecha_inicio]]="","",MONTH(tblOrdenes[[#This Row],[fecha_inicio]]))</f>
        <v/>
      </c>
      <c r="R427" s="3">
        <f>IF(tblOrdenes[[#This Row],[fecha_inicio]]="","",INDEX(lista_dias,WEEKDAY(tblOrdenes[[#This Row],[fecha_inicio]],2)))</f>
        <v/>
      </c>
      <c r="S4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7" s="3">
        <f>IF(tblOrdenes[[#This Row],[tipo_ot]]="","",_xlfn.XLOOKUP(tblOrdenes[[#This Row],[tipo_ot]],tblTiposOT[codigo],tblTiposOT[clasificacion],"sin_clasificar"))</f>
        <v/>
      </c>
      <c r="U427" s="3">
        <f>IF(tblOrdenes[[#This Row],[centro_costo]]="","",_xlfn.XLOOKUP(tblOrdenes[[#This Row],[centro_costo]],tblCECO[codigo],tblCECO[linea],"(sin catálogo)"))</f>
        <v/>
      </c>
      <c r="V427" s="3">
        <f>IF(tblOrdenes[[#This Row],[centro_costo]]="","",_xlfn.XLOOKUP(tblOrdenes[[#This Row],[centro_costo]],tblCECO[codigo],tblCECO[area],"(sin catálogo)"))</f>
        <v/>
      </c>
      <c r="W4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7" s="3">
        <f>IF(tblOrdenes[[#This Row],[centro_costo]]="","",_xlfn.XLOOKUP(tblOrdenes[[#This Row],[centro_costo]],tblCECO[codigo],tblCECO[coordinador],"(sin catálogo)"))</f>
        <v/>
      </c>
      <c r="Y427" s="3">
        <f>IF(tblOrdenes[[#This Row],[puesto_trabajo]]="","",_xlfn.XLOOKUP(tblOrdenes[[#This Row],[puesto_trabajo]],tblPuestos[codigo],tblPuestos[especialidad],"(sin catálogo)"))</f>
        <v/>
      </c>
      <c r="Z427" s="3">
        <f>IF(tblOrdenes[[#This Row],[cod_actividad]]="","",_xlfn.XLOOKUP(tblOrdenes[[#This Row],[cod_actividad]],tblActividades[codigo],tblActividades[descripcion],"(sin catálogo)"))</f>
        <v/>
      </c>
      <c r="AA427" s="13">
        <f>IF(tblOrdenes[[#This Row],[fecha_inicio]]="","",TODAY()-tblOrdenes[[#This Row],[fecha_inicio]])</f>
        <v/>
      </c>
      <c r="AB4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7" s="3">
        <f>IF(tblOrdenes[[#This Row],[backlog_habiles]]="","",IF(tblOrdenes[[#This Row],[backlog_habiles]]&lt;0,"FUTURO",IF(tblOrdenes[[#This Row],[backlog_habiles]]&gt;p_dias_backlog_max,"BACKLOG","MES CORRIENTE")))</f>
        <v/>
      </c>
      <c r="AD427" s="3">
        <f>IF(tblOrdenes[[#This Row],[backlog_habiles]]="",FALSE,AND(tblOrdenes[[#This Row],[backlog_habiles]]&gt;p_dias_backlog_min,tblOrdenes[[#This Row],[backlog_habiles]]&lt;=p_dias_backlog_max))</f>
        <v/>
      </c>
      <c r="AE427" s="6" t="n"/>
      <c r="AF4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7" s="11">
        <f>IF(tblOrdenes[[#This Row],[orden]]="","",_xlfn.XLOOKUP(tblOrdenes[[#This Row],[id_operacion]],tblEjecucion[id_operacion],tblEjecucion[precio],0))</f>
        <v/>
      </c>
      <c r="AJ427" s="11">
        <f>IF(tblOrdenes[[#This Row],[orden]]="","",MAX(0,_xlfn.XLOOKUP(tblOrdenes[[#This Row],[id_operacion]],tblEjecucion[id_operacion],tblEjecucion[costo_plan_total],0)-tblOrdenes[[#This Row],[costo_servicio]]))</f>
        <v/>
      </c>
      <c r="AK427" s="11">
        <f>IF(tblOrdenes[[#This Row],[orden]]="","",tblOrdenes[[#This Row],[costo_servicio]]+tblOrdenes[[#This Row],[costo_materiales]])</f>
        <v/>
      </c>
      <c r="AL427" s="6" t="n"/>
      <c r="AM427" s="6" t="n"/>
      <c r="AN427" s="6" t="n"/>
      <c r="AO427" s="3">
        <f>IF(tblOrdenes[[#This Row],[link_checklist]]="","",HYPERLINK(p_ruta_base_checklists&amp;tblOrdenes[[#This Row],[link_checklist]],"abrir"))</f>
        <v/>
      </c>
      <c r="AP427" s="6" t="n"/>
      <c r="AQ427" s="3">
        <f>IF(tblOrdenes[[#This Row],[orden]]="","",tblOrdenes[[#This Row],[orden]]&amp;IF(tblOrdenes[[#This Row],[operacion]]="","0010",tblOrdenes[[#This Row],[operacion]]))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2" t="n"/>
      <c r="K428" s="3" t="n"/>
      <c r="L428" s="11" t="n"/>
      <c r="M4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8" s="3">
        <f>IF(tblOrdenes[[#This Row],[fecha_inicio]]="","",YEAR(tblOrdenes[[#This Row],[fecha_inicio]]))</f>
        <v/>
      </c>
      <c r="Q428" s="3">
        <f>IF(tblOrdenes[[#This Row],[fecha_inicio]]="","",MONTH(tblOrdenes[[#This Row],[fecha_inicio]]))</f>
        <v/>
      </c>
      <c r="R428" s="3">
        <f>IF(tblOrdenes[[#This Row],[fecha_inicio]]="","",INDEX(lista_dias,WEEKDAY(tblOrdenes[[#This Row],[fecha_inicio]],2)))</f>
        <v/>
      </c>
      <c r="S4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8" s="3">
        <f>IF(tblOrdenes[[#This Row],[tipo_ot]]="","",_xlfn.XLOOKUP(tblOrdenes[[#This Row],[tipo_ot]],tblTiposOT[codigo],tblTiposOT[clasificacion],"sin_clasificar"))</f>
        <v/>
      </c>
      <c r="U428" s="3">
        <f>IF(tblOrdenes[[#This Row],[centro_costo]]="","",_xlfn.XLOOKUP(tblOrdenes[[#This Row],[centro_costo]],tblCECO[codigo],tblCECO[linea],"(sin catálogo)"))</f>
        <v/>
      </c>
      <c r="V428" s="3">
        <f>IF(tblOrdenes[[#This Row],[centro_costo]]="","",_xlfn.XLOOKUP(tblOrdenes[[#This Row],[centro_costo]],tblCECO[codigo],tblCECO[area],"(sin catálogo)"))</f>
        <v/>
      </c>
      <c r="W4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8" s="3">
        <f>IF(tblOrdenes[[#This Row],[centro_costo]]="","",_xlfn.XLOOKUP(tblOrdenes[[#This Row],[centro_costo]],tblCECO[codigo],tblCECO[coordinador],"(sin catálogo)"))</f>
        <v/>
      </c>
      <c r="Y428" s="3">
        <f>IF(tblOrdenes[[#This Row],[puesto_trabajo]]="","",_xlfn.XLOOKUP(tblOrdenes[[#This Row],[puesto_trabajo]],tblPuestos[codigo],tblPuestos[especialidad],"(sin catálogo)"))</f>
        <v/>
      </c>
      <c r="Z428" s="3">
        <f>IF(tblOrdenes[[#This Row],[cod_actividad]]="","",_xlfn.XLOOKUP(tblOrdenes[[#This Row],[cod_actividad]],tblActividades[codigo],tblActividades[descripcion],"(sin catálogo)"))</f>
        <v/>
      </c>
      <c r="AA428" s="13">
        <f>IF(tblOrdenes[[#This Row],[fecha_inicio]]="","",TODAY()-tblOrdenes[[#This Row],[fecha_inicio]])</f>
        <v/>
      </c>
      <c r="AB4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8" s="3">
        <f>IF(tblOrdenes[[#This Row],[backlog_habiles]]="","",IF(tblOrdenes[[#This Row],[backlog_habiles]]&lt;0,"FUTURO",IF(tblOrdenes[[#This Row],[backlog_habiles]]&gt;p_dias_backlog_max,"BACKLOG","MES CORRIENTE")))</f>
        <v/>
      </c>
      <c r="AD428" s="3">
        <f>IF(tblOrdenes[[#This Row],[backlog_habiles]]="",FALSE,AND(tblOrdenes[[#This Row],[backlog_habiles]]&gt;p_dias_backlog_min,tblOrdenes[[#This Row],[backlog_habiles]]&lt;=p_dias_backlog_max))</f>
        <v/>
      </c>
      <c r="AE428" s="6" t="n"/>
      <c r="AF4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8" s="11">
        <f>IF(tblOrdenes[[#This Row],[orden]]="","",_xlfn.XLOOKUP(tblOrdenes[[#This Row],[id_operacion]],tblEjecucion[id_operacion],tblEjecucion[precio],0))</f>
        <v/>
      </c>
      <c r="AJ428" s="11">
        <f>IF(tblOrdenes[[#This Row],[orden]]="","",MAX(0,_xlfn.XLOOKUP(tblOrdenes[[#This Row],[id_operacion]],tblEjecucion[id_operacion],tblEjecucion[costo_plan_total],0)-tblOrdenes[[#This Row],[costo_servicio]]))</f>
        <v/>
      </c>
      <c r="AK428" s="11">
        <f>IF(tblOrdenes[[#This Row],[orden]]="","",tblOrdenes[[#This Row],[costo_servicio]]+tblOrdenes[[#This Row],[costo_materiales]])</f>
        <v/>
      </c>
      <c r="AL428" s="6" t="n"/>
      <c r="AM428" s="6" t="n"/>
      <c r="AN428" s="6" t="n"/>
      <c r="AO428" s="3">
        <f>IF(tblOrdenes[[#This Row],[link_checklist]]="","",HYPERLINK(p_ruta_base_checklists&amp;tblOrdenes[[#This Row],[link_checklist]],"abrir"))</f>
        <v/>
      </c>
      <c r="AP428" s="6" t="n"/>
      <c r="AQ428" s="3">
        <f>IF(tblOrdenes[[#This Row],[orden]]="","",tblOrdenes[[#This Row],[orden]]&amp;IF(tblOrdenes[[#This Row],[operacion]]="","0010",tblOrdenes[[#This Row],[operacion]]))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2" t="n"/>
      <c r="K429" s="3" t="n"/>
      <c r="L429" s="11" t="n"/>
      <c r="M4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9" s="3">
        <f>IF(tblOrdenes[[#This Row],[fecha_inicio]]="","",YEAR(tblOrdenes[[#This Row],[fecha_inicio]]))</f>
        <v/>
      </c>
      <c r="Q429" s="3">
        <f>IF(tblOrdenes[[#This Row],[fecha_inicio]]="","",MONTH(tblOrdenes[[#This Row],[fecha_inicio]]))</f>
        <v/>
      </c>
      <c r="R429" s="3">
        <f>IF(tblOrdenes[[#This Row],[fecha_inicio]]="","",INDEX(lista_dias,WEEKDAY(tblOrdenes[[#This Row],[fecha_inicio]],2)))</f>
        <v/>
      </c>
      <c r="S4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9" s="3">
        <f>IF(tblOrdenes[[#This Row],[tipo_ot]]="","",_xlfn.XLOOKUP(tblOrdenes[[#This Row],[tipo_ot]],tblTiposOT[codigo],tblTiposOT[clasificacion],"sin_clasificar"))</f>
        <v/>
      </c>
      <c r="U429" s="3">
        <f>IF(tblOrdenes[[#This Row],[centro_costo]]="","",_xlfn.XLOOKUP(tblOrdenes[[#This Row],[centro_costo]],tblCECO[codigo],tblCECO[linea],"(sin catálogo)"))</f>
        <v/>
      </c>
      <c r="V429" s="3">
        <f>IF(tblOrdenes[[#This Row],[centro_costo]]="","",_xlfn.XLOOKUP(tblOrdenes[[#This Row],[centro_costo]],tblCECO[codigo],tblCECO[area],"(sin catálogo)"))</f>
        <v/>
      </c>
      <c r="W4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9" s="3">
        <f>IF(tblOrdenes[[#This Row],[centro_costo]]="","",_xlfn.XLOOKUP(tblOrdenes[[#This Row],[centro_costo]],tblCECO[codigo],tblCECO[coordinador],"(sin catálogo)"))</f>
        <v/>
      </c>
      <c r="Y429" s="3">
        <f>IF(tblOrdenes[[#This Row],[puesto_trabajo]]="","",_xlfn.XLOOKUP(tblOrdenes[[#This Row],[puesto_trabajo]],tblPuestos[codigo],tblPuestos[especialidad],"(sin catálogo)"))</f>
        <v/>
      </c>
      <c r="Z429" s="3">
        <f>IF(tblOrdenes[[#This Row],[cod_actividad]]="","",_xlfn.XLOOKUP(tblOrdenes[[#This Row],[cod_actividad]],tblActividades[codigo],tblActividades[descripcion],"(sin catálogo)"))</f>
        <v/>
      </c>
      <c r="AA429" s="13">
        <f>IF(tblOrdenes[[#This Row],[fecha_inicio]]="","",TODAY()-tblOrdenes[[#This Row],[fecha_inicio]])</f>
        <v/>
      </c>
      <c r="AB4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9" s="3">
        <f>IF(tblOrdenes[[#This Row],[backlog_habiles]]="","",IF(tblOrdenes[[#This Row],[backlog_habiles]]&lt;0,"FUTURO",IF(tblOrdenes[[#This Row],[backlog_habiles]]&gt;p_dias_backlog_max,"BACKLOG","MES CORRIENTE")))</f>
        <v/>
      </c>
      <c r="AD429" s="3">
        <f>IF(tblOrdenes[[#This Row],[backlog_habiles]]="",FALSE,AND(tblOrdenes[[#This Row],[backlog_habiles]]&gt;p_dias_backlog_min,tblOrdenes[[#This Row],[backlog_habiles]]&lt;=p_dias_backlog_max))</f>
        <v/>
      </c>
      <c r="AE429" s="6" t="n"/>
      <c r="AF4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9" s="11">
        <f>IF(tblOrdenes[[#This Row],[orden]]="","",_xlfn.XLOOKUP(tblOrdenes[[#This Row],[id_operacion]],tblEjecucion[id_operacion],tblEjecucion[precio],0))</f>
        <v/>
      </c>
      <c r="AJ429" s="11">
        <f>IF(tblOrdenes[[#This Row],[orden]]="","",MAX(0,_xlfn.XLOOKUP(tblOrdenes[[#This Row],[id_operacion]],tblEjecucion[id_operacion],tblEjecucion[costo_plan_total],0)-tblOrdenes[[#This Row],[costo_servicio]]))</f>
        <v/>
      </c>
      <c r="AK429" s="11">
        <f>IF(tblOrdenes[[#This Row],[orden]]="","",tblOrdenes[[#This Row],[costo_servicio]]+tblOrdenes[[#This Row],[costo_materiales]])</f>
        <v/>
      </c>
      <c r="AL429" s="6" t="n"/>
      <c r="AM429" s="6" t="n"/>
      <c r="AN429" s="6" t="n"/>
      <c r="AO429" s="3">
        <f>IF(tblOrdenes[[#This Row],[link_checklist]]="","",HYPERLINK(p_ruta_base_checklists&amp;tblOrdenes[[#This Row],[link_checklist]],"abrir"))</f>
        <v/>
      </c>
      <c r="AP429" s="6" t="n"/>
      <c r="AQ429" s="3">
        <f>IF(tblOrdenes[[#This Row],[orden]]="","",tblOrdenes[[#This Row],[orden]]&amp;IF(tblOrdenes[[#This Row],[operacion]]="","0010",tblOrdenes[[#This Row],[operacion]]))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2" t="n"/>
      <c r="K430" s="3" t="n"/>
      <c r="L430" s="11" t="n"/>
      <c r="M4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0" s="3">
        <f>IF(tblOrdenes[[#This Row],[fecha_inicio]]="","",YEAR(tblOrdenes[[#This Row],[fecha_inicio]]))</f>
        <v/>
      </c>
      <c r="Q430" s="3">
        <f>IF(tblOrdenes[[#This Row],[fecha_inicio]]="","",MONTH(tblOrdenes[[#This Row],[fecha_inicio]]))</f>
        <v/>
      </c>
      <c r="R430" s="3">
        <f>IF(tblOrdenes[[#This Row],[fecha_inicio]]="","",INDEX(lista_dias,WEEKDAY(tblOrdenes[[#This Row],[fecha_inicio]],2)))</f>
        <v/>
      </c>
      <c r="S4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0" s="3">
        <f>IF(tblOrdenes[[#This Row],[tipo_ot]]="","",_xlfn.XLOOKUP(tblOrdenes[[#This Row],[tipo_ot]],tblTiposOT[codigo],tblTiposOT[clasificacion],"sin_clasificar"))</f>
        <v/>
      </c>
      <c r="U430" s="3">
        <f>IF(tblOrdenes[[#This Row],[centro_costo]]="","",_xlfn.XLOOKUP(tblOrdenes[[#This Row],[centro_costo]],tblCECO[codigo],tblCECO[linea],"(sin catálogo)"))</f>
        <v/>
      </c>
      <c r="V430" s="3">
        <f>IF(tblOrdenes[[#This Row],[centro_costo]]="","",_xlfn.XLOOKUP(tblOrdenes[[#This Row],[centro_costo]],tblCECO[codigo],tblCECO[area],"(sin catálogo)"))</f>
        <v/>
      </c>
      <c r="W4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0" s="3">
        <f>IF(tblOrdenes[[#This Row],[centro_costo]]="","",_xlfn.XLOOKUP(tblOrdenes[[#This Row],[centro_costo]],tblCECO[codigo],tblCECO[coordinador],"(sin catálogo)"))</f>
        <v/>
      </c>
      <c r="Y430" s="3">
        <f>IF(tblOrdenes[[#This Row],[puesto_trabajo]]="","",_xlfn.XLOOKUP(tblOrdenes[[#This Row],[puesto_trabajo]],tblPuestos[codigo],tblPuestos[especialidad],"(sin catálogo)"))</f>
        <v/>
      </c>
      <c r="Z430" s="3">
        <f>IF(tblOrdenes[[#This Row],[cod_actividad]]="","",_xlfn.XLOOKUP(tblOrdenes[[#This Row],[cod_actividad]],tblActividades[codigo],tblActividades[descripcion],"(sin catálogo)"))</f>
        <v/>
      </c>
      <c r="AA430" s="13">
        <f>IF(tblOrdenes[[#This Row],[fecha_inicio]]="","",TODAY()-tblOrdenes[[#This Row],[fecha_inicio]])</f>
        <v/>
      </c>
      <c r="AB4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0" s="3">
        <f>IF(tblOrdenes[[#This Row],[backlog_habiles]]="","",IF(tblOrdenes[[#This Row],[backlog_habiles]]&lt;0,"FUTURO",IF(tblOrdenes[[#This Row],[backlog_habiles]]&gt;p_dias_backlog_max,"BACKLOG","MES CORRIENTE")))</f>
        <v/>
      </c>
      <c r="AD430" s="3">
        <f>IF(tblOrdenes[[#This Row],[backlog_habiles]]="",FALSE,AND(tblOrdenes[[#This Row],[backlog_habiles]]&gt;p_dias_backlog_min,tblOrdenes[[#This Row],[backlog_habiles]]&lt;=p_dias_backlog_max))</f>
        <v/>
      </c>
      <c r="AE430" s="6" t="n"/>
      <c r="AF4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0" s="11">
        <f>IF(tblOrdenes[[#This Row],[orden]]="","",_xlfn.XLOOKUP(tblOrdenes[[#This Row],[id_operacion]],tblEjecucion[id_operacion],tblEjecucion[precio],0))</f>
        <v/>
      </c>
      <c r="AJ430" s="11">
        <f>IF(tblOrdenes[[#This Row],[orden]]="","",MAX(0,_xlfn.XLOOKUP(tblOrdenes[[#This Row],[id_operacion]],tblEjecucion[id_operacion],tblEjecucion[costo_plan_total],0)-tblOrdenes[[#This Row],[costo_servicio]]))</f>
        <v/>
      </c>
      <c r="AK430" s="11">
        <f>IF(tblOrdenes[[#This Row],[orden]]="","",tblOrdenes[[#This Row],[costo_servicio]]+tblOrdenes[[#This Row],[costo_materiales]])</f>
        <v/>
      </c>
      <c r="AL430" s="6" t="n"/>
      <c r="AM430" s="6" t="n"/>
      <c r="AN430" s="6" t="n"/>
      <c r="AO430" s="3">
        <f>IF(tblOrdenes[[#This Row],[link_checklist]]="","",HYPERLINK(p_ruta_base_checklists&amp;tblOrdenes[[#This Row],[link_checklist]],"abrir"))</f>
        <v/>
      </c>
      <c r="AP430" s="6" t="n"/>
      <c r="AQ430" s="3">
        <f>IF(tblOrdenes[[#This Row],[orden]]="","",tblOrdenes[[#This Row],[orden]]&amp;IF(tblOrdenes[[#This Row],[operacion]]="","0010",tblOrdenes[[#This Row],[operacion]]))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2" t="n"/>
      <c r="K431" s="3" t="n"/>
      <c r="L431" s="11" t="n"/>
      <c r="M4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1" s="3">
        <f>IF(tblOrdenes[[#This Row],[fecha_inicio]]="","",YEAR(tblOrdenes[[#This Row],[fecha_inicio]]))</f>
        <v/>
      </c>
      <c r="Q431" s="3">
        <f>IF(tblOrdenes[[#This Row],[fecha_inicio]]="","",MONTH(tblOrdenes[[#This Row],[fecha_inicio]]))</f>
        <v/>
      </c>
      <c r="R431" s="3">
        <f>IF(tblOrdenes[[#This Row],[fecha_inicio]]="","",INDEX(lista_dias,WEEKDAY(tblOrdenes[[#This Row],[fecha_inicio]],2)))</f>
        <v/>
      </c>
      <c r="S4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1" s="3">
        <f>IF(tblOrdenes[[#This Row],[tipo_ot]]="","",_xlfn.XLOOKUP(tblOrdenes[[#This Row],[tipo_ot]],tblTiposOT[codigo],tblTiposOT[clasificacion],"sin_clasificar"))</f>
        <v/>
      </c>
      <c r="U431" s="3">
        <f>IF(tblOrdenes[[#This Row],[centro_costo]]="","",_xlfn.XLOOKUP(tblOrdenes[[#This Row],[centro_costo]],tblCECO[codigo],tblCECO[linea],"(sin catálogo)"))</f>
        <v/>
      </c>
      <c r="V431" s="3">
        <f>IF(tblOrdenes[[#This Row],[centro_costo]]="","",_xlfn.XLOOKUP(tblOrdenes[[#This Row],[centro_costo]],tblCECO[codigo],tblCECO[area],"(sin catálogo)"))</f>
        <v/>
      </c>
      <c r="W4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1" s="3">
        <f>IF(tblOrdenes[[#This Row],[centro_costo]]="","",_xlfn.XLOOKUP(tblOrdenes[[#This Row],[centro_costo]],tblCECO[codigo],tblCECO[coordinador],"(sin catálogo)"))</f>
        <v/>
      </c>
      <c r="Y431" s="3">
        <f>IF(tblOrdenes[[#This Row],[puesto_trabajo]]="","",_xlfn.XLOOKUP(tblOrdenes[[#This Row],[puesto_trabajo]],tblPuestos[codigo],tblPuestos[especialidad],"(sin catálogo)"))</f>
        <v/>
      </c>
      <c r="Z431" s="3">
        <f>IF(tblOrdenes[[#This Row],[cod_actividad]]="","",_xlfn.XLOOKUP(tblOrdenes[[#This Row],[cod_actividad]],tblActividades[codigo],tblActividades[descripcion],"(sin catálogo)"))</f>
        <v/>
      </c>
      <c r="AA431" s="13">
        <f>IF(tblOrdenes[[#This Row],[fecha_inicio]]="","",TODAY()-tblOrdenes[[#This Row],[fecha_inicio]])</f>
        <v/>
      </c>
      <c r="AB4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1" s="3">
        <f>IF(tblOrdenes[[#This Row],[backlog_habiles]]="","",IF(tblOrdenes[[#This Row],[backlog_habiles]]&lt;0,"FUTURO",IF(tblOrdenes[[#This Row],[backlog_habiles]]&gt;p_dias_backlog_max,"BACKLOG","MES CORRIENTE")))</f>
        <v/>
      </c>
      <c r="AD431" s="3">
        <f>IF(tblOrdenes[[#This Row],[backlog_habiles]]="",FALSE,AND(tblOrdenes[[#This Row],[backlog_habiles]]&gt;p_dias_backlog_min,tblOrdenes[[#This Row],[backlog_habiles]]&lt;=p_dias_backlog_max))</f>
        <v/>
      </c>
      <c r="AE431" s="6" t="n"/>
      <c r="AF4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1" s="11">
        <f>IF(tblOrdenes[[#This Row],[orden]]="","",_xlfn.XLOOKUP(tblOrdenes[[#This Row],[id_operacion]],tblEjecucion[id_operacion],tblEjecucion[precio],0))</f>
        <v/>
      </c>
      <c r="AJ431" s="11">
        <f>IF(tblOrdenes[[#This Row],[orden]]="","",MAX(0,_xlfn.XLOOKUP(tblOrdenes[[#This Row],[id_operacion]],tblEjecucion[id_operacion],tblEjecucion[costo_plan_total],0)-tblOrdenes[[#This Row],[costo_servicio]]))</f>
        <v/>
      </c>
      <c r="AK431" s="11">
        <f>IF(tblOrdenes[[#This Row],[orden]]="","",tblOrdenes[[#This Row],[costo_servicio]]+tblOrdenes[[#This Row],[costo_materiales]])</f>
        <v/>
      </c>
      <c r="AL431" s="6" t="n"/>
      <c r="AM431" s="6" t="n"/>
      <c r="AN431" s="6" t="n"/>
      <c r="AO431" s="3">
        <f>IF(tblOrdenes[[#This Row],[link_checklist]]="","",HYPERLINK(p_ruta_base_checklists&amp;tblOrdenes[[#This Row],[link_checklist]],"abrir"))</f>
        <v/>
      </c>
      <c r="AP431" s="6" t="n"/>
      <c r="AQ431" s="3">
        <f>IF(tblOrdenes[[#This Row],[orden]]="","",tblOrdenes[[#This Row],[orden]]&amp;IF(tblOrdenes[[#This Row],[operacion]]="","0010",tblOrdenes[[#This Row],[operacion]]))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2" t="n"/>
      <c r="K432" s="3" t="n"/>
      <c r="L432" s="11" t="n"/>
      <c r="M4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2" s="3">
        <f>IF(tblOrdenes[[#This Row],[fecha_inicio]]="","",YEAR(tblOrdenes[[#This Row],[fecha_inicio]]))</f>
        <v/>
      </c>
      <c r="Q432" s="3">
        <f>IF(tblOrdenes[[#This Row],[fecha_inicio]]="","",MONTH(tblOrdenes[[#This Row],[fecha_inicio]]))</f>
        <v/>
      </c>
      <c r="R432" s="3">
        <f>IF(tblOrdenes[[#This Row],[fecha_inicio]]="","",INDEX(lista_dias,WEEKDAY(tblOrdenes[[#This Row],[fecha_inicio]],2)))</f>
        <v/>
      </c>
      <c r="S4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2" s="3">
        <f>IF(tblOrdenes[[#This Row],[tipo_ot]]="","",_xlfn.XLOOKUP(tblOrdenes[[#This Row],[tipo_ot]],tblTiposOT[codigo],tblTiposOT[clasificacion],"sin_clasificar"))</f>
        <v/>
      </c>
      <c r="U432" s="3">
        <f>IF(tblOrdenes[[#This Row],[centro_costo]]="","",_xlfn.XLOOKUP(tblOrdenes[[#This Row],[centro_costo]],tblCECO[codigo],tblCECO[linea],"(sin catálogo)"))</f>
        <v/>
      </c>
      <c r="V432" s="3">
        <f>IF(tblOrdenes[[#This Row],[centro_costo]]="","",_xlfn.XLOOKUP(tblOrdenes[[#This Row],[centro_costo]],tblCECO[codigo],tblCECO[area],"(sin catálogo)"))</f>
        <v/>
      </c>
      <c r="W4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2" s="3">
        <f>IF(tblOrdenes[[#This Row],[centro_costo]]="","",_xlfn.XLOOKUP(tblOrdenes[[#This Row],[centro_costo]],tblCECO[codigo],tblCECO[coordinador],"(sin catálogo)"))</f>
        <v/>
      </c>
      <c r="Y432" s="3">
        <f>IF(tblOrdenes[[#This Row],[puesto_trabajo]]="","",_xlfn.XLOOKUP(tblOrdenes[[#This Row],[puesto_trabajo]],tblPuestos[codigo],tblPuestos[especialidad],"(sin catálogo)"))</f>
        <v/>
      </c>
      <c r="Z432" s="3">
        <f>IF(tblOrdenes[[#This Row],[cod_actividad]]="","",_xlfn.XLOOKUP(tblOrdenes[[#This Row],[cod_actividad]],tblActividades[codigo],tblActividades[descripcion],"(sin catálogo)"))</f>
        <v/>
      </c>
      <c r="AA432" s="13">
        <f>IF(tblOrdenes[[#This Row],[fecha_inicio]]="","",TODAY()-tblOrdenes[[#This Row],[fecha_inicio]])</f>
        <v/>
      </c>
      <c r="AB4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2" s="3">
        <f>IF(tblOrdenes[[#This Row],[backlog_habiles]]="","",IF(tblOrdenes[[#This Row],[backlog_habiles]]&lt;0,"FUTURO",IF(tblOrdenes[[#This Row],[backlog_habiles]]&gt;p_dias_backlog_max,"BACKLOG","MES CORRIENTE")))</f>
        <v/>
      </c>
      <c r="AD432" s="3">
        <f>IF(tblOrdenes[[#This Row],[backlog_habiles]]="",FALSE,AND(tblOrdenes[[#This Row],[backlog_habiles]]&gt;p_dias_backlog_min,tblOrdenes[[#This Row],[backlog_habiles]]&lt;=p_dias_backlog_max))</f>
        <v/>
      </c>
      <c r="AE432" s="6" t="n"/>
      <c r="AF4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2" s="11">
        <f>IF(tblOrdenes[[#This Row],[orden]]="","",_xlfn.XLOOKUP(tblOrdenes[[#This Row],[id_operacion]],tblEjecucion[id_operacion],tblEjecucion[precio],0))</f>
        <v/>
      </c>
      <c r="AJ432" s="11">
        <f>IF(tblOrdenes[[#This Row],[orden]]="","",MAX(0,_xlfn.XLOOKUP(tblOrdenes[[#This Row],[id_operacion]],tblEjecucion[id_operacion],tblEjecucion[costo_plan_total],0)-tblOrdenes[[#This Row],[costo_servicio]]))</f>
        <v/>
      </c>
      <c r="AK432" s="11">
        <f>IF(tblOrdenes[[#This Row],[orden]]="","",tblOrdenes[[#This Row],[costo_servicio]]+tblOrdenes[[#This Row],[costo_materiales]])</f>
        <v/>
      </c>
      <c r="AL432" s="6" t="n"/>
      <c r="AM432" s="6" t="n"/>
      <c r="AN432" s="6" t="n"/>
      <c r="AO432" s="3">
        <f>IF(tblOrdenes[[#This Row],[link_checklist]]="","",HYPERLINK(p_ruta_base_checklists&amp;tblOrdenes[[#This Row],[link_checklist]],"abrir"))</f>
        <v/>
      </c>
      <c r="AP432" s="6" t="n"/>
      <c r="AQ432" s="3">
        <f>IF(tblOrdenes[[#This Row],[orden]]="","",tblOrdenes[[#This Row],[orden]]&amp;IF(tblOrdenes[[#This Row],[operacion]]="","0010",tblOrdenes[[#This Row],[operacion]]))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2" t="n"/>
      <c r="K433" s="3" t="n"/>
      <c r="L433" s="11" t="n"/>
      <c r="M4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3" s="3">
        <f>IF(tblOrdenes[[#This Row],[fecha_inicio]]="","",YEAR(tblOrdenes[[#This Row],[fecha_inicio]]))</f>
        <v/>
      </c>
      <c r="Q433" s="3">
        <f>IF(tblOrdenes[[#This Row],[fecha_inicio]]="","",MONTH(tblOrdenes[[#This Row],[fecha_inicio]]))</f>
        <v/>
      </c>
      <c r="R433" s="3">
        <f>IF(tblOrdenes[[#This Row],[fecha_inicio]]="","",INDEX(lista_dias,WEEKDAY(tblOrdenes[[#This Row],[fecha_inicio]],2)))</f>
        <v/>
      </c>
      <c r="S4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3" s="3">
        <f>IF(tblOrdenes[[#This Row],[tipo_ot]]="","",_xlfn.XLOOKUP(tblOrdenes[[#This Row],[tipo_ot]],tblTiposOT[codigo],tblTiposOT[clasificacion],"sin_clasificar"))</f>
        <v/>
      </c>
      <c r="U433" s="3">
        <f>IF(tblOrdenes[[#This Row],[centro_costo]]="","",_xlfn.XLOOKUP(tblOrdenes[[#This Row],[centro_costo]],tblCECO[codigo],tblCECO[linea],"(sin catálogo)"))</f>
        <v/>
      </c>
      <c r="V433" s="3">
        <f>IF(tblOrdenes[[#This Row],[centro_costo]]="","",_xlfn.XLOOKUP(tblOrdenes[[#This Row],[centro_costo]],tblCECO[codigo],tblCECO[area],"(sin catálogo)"))</f>
        <v/>
      </c>
      <c r="W4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3" s="3">
        <f>IF(tblOrdenes[[#This Row],[centro_costo]]="","",_xlfn.XLOOKUP(tblOrdenes[[#This Row],[centro_costo]],tblCECO[codigo],tblCECO[coordinador],"(sin catálogo)"))</f>
        <v/>
      </c>
      <c r="Y433" s="3">
        <f>IF(tblOrdenes[[#This Row],[puesto_trabajo]]="","",_xlfn.XLOOKUP(tblOrdenes[[#This Row],[puesto_trabajo]],tblPuestos[codigo],tblPuestos[especialidad],"(sin catálogo)"))</f>
        <v/>
      </c>
      <c r="Z433" s="3">
        <f>IF(tblOrdenes[[#This Row],[cod_actividad]]="","",_xlfn.XLOOKUP(tblOrdenes[[#This Row],[cod_actividad]],tblActividades[codigo],tblActividades[descripcion],"(sin catálogo)"))</f>
        <v/>
      </c>
      <c r="AA433" s="13">
        <f>IF(tblOrdenes[[#This Row],[fecha_inicio]]="","",TODAY()-tblOrdenes[[#This Row],[fecha_inicio]])</f>
        <v/>
      </c>
      <c r="AB4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3" s="3">
        <f>IF(tblOrdenes[[#This Row],[backlog_habiles]]="","",IF(tblOrdenes[[#This Row],[backlog_habiles]]&lt;0,"FUTURO",IF(tblOrdenes[[#This Row],[backlog_habiles]]&gt;p_dias_backlog_max,"BACKLOG","MES CORRIENTE")))</f>
        <v/>
      </c>
      <c r="AD433" s="3">
        <f>IF(tblOrdenes[[#This Row],[backlog_habiles]]="",FALSE,AND(tblOrdenes[[#This Row],[backlog_habiles]]&gt;p_dias_backlog_min,tblOrdenes[[#This Row],[backlog_habiles]]&lt;=p_dias_backlog_max))</f>
        <v/>
      </c>
      <c r="AE433" s="6" t="n"/>
      <c r="AF4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3" s="11">
        <f>IF(tblOrdenes[[#This Row],[orden]]="","",_xlfn.XLOOKUP(tblOrdenes[[#This Row],[id_operacion]],tblEjecucion[id_operacion],tblEjecucion[precio],0))</f>
        <v/>
      </c>
      <c r="AJ433" s="11">
        <f>IF(tblOrdenes[[#This Row],[orden]]="","",MAX(0,_xlfn.XLOOKUP(tblOrdenes[[#This Row],[id_operacion]],tblEjecucion[id_operacion],tblEjecucion[costo_plan_total],0)-tblOrdenes[[#This Row],[costo_servicio]]))</f>
        <v/>
      </c>
      <c r="AK433" s="11">
        <f>IF(tblOrdenes[[#This Row],[orden]]="","",tblOrdenes[[#This Row],[costo_servicio]]+tblOrdenes[[#This Row],[costo_materiales]])</f>
        <v/>
      </c>
      <c r="AL433" s="6" t="n"/>
      <c r="AM433" s="6" t="n"/>
      <c r="AN433" s="6" t="n"/>
      <c r="AO433" s="3">
        <f>IF(tblOrdenes[[#This Row],[link_checklist]]="","",HYPERLINK(p_ruta_base_checklists&amp;tblOrdenes[[#This Row],[link_checklist]],"abrir"))</f>
        <v/>
      </c>
      <c r="AP433" s="6" t="n"/>
      <c r="AQ433" s="3">
        <f>IF(tblOrdenes[[#This Row],[orden]]="","",tblOrdenes[[#This Row],[orden]]&amp;IF(tblOrdenes[[#This Row],[operacion]]="","0010",tblOrdenes[[#This Row],[operacion]]))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2" t="n"/>
      <c r="K434" s="3" t="n"/>
      <c r="L434" s="11" t="n"/>
      <c r="M4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4" s="3">
        <f>IF(tblOrdenes[[#This Row],[fecha_inicio]]="","",YEAR(tblOrdenes[[#This Row],[fecha_inicio]]))</f>
        <v/>
      </c>
      <c r="Q434" s="3">
        <f>IF(tblOrdenes[[#This Row],[fecha_inicio]]="","",MONTH(tblOrdenes[[#This Row],[fecha_inicio]]))</f>
        <v/>
      </c>
      <c r="R434" s="3">
        <f>IF(tblOrdenes[[#This Row],[fecha_inicio]]="","",INDEX(lista_dias,WEEKDAY(tblOrdenes[[#This Row],[fecha_inicio]],2)))</f>
        <v/>
      </c>
      <c r="S4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4" s="3">
        <f>IF(tblOrdenes[[#This Row],[tipo_ot]]="","",_xlfn.XLOOKUP(tblOrdenes[[#This Row],[tipo_ot]],tblTiposOT[codigo],tblTiposOT[clasificacion],"sin_clasificar"))</f>
        <v/>
      </c>
      <c r="U434" s="3">
        <f>IF(tblOrdenes[[#This Row],[centro_costo]]="","",_xlfn.XLOOKUP(tblOrdenes[[#This Row],[centro_costo]],tblCECO[codigo],tblCECO[linea],"(sin catálogo)"))</f>
        <v/>
      </c>
      <c r="V434" s="3">
        <f>IF(tblOrdenes[[#This Row],[centro_costo]]="","",_xlfn.XLOOKUP(tblOrdenes[[#This Row],[centro_costo]],tblCECO[codigo],tblCECO[area],"(sin catálogo)"))</f>
        <v/>
      </c>
      <c r="W4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4" s="3">
        <f>IF(tblOrdenes[[#This Row],[centro_costo]]="","",_xlfn.XLOOKUP(tblOrdenes[[#This Row],[centro_costo]],tblCECO[codigo],tblCECO[coordinador],"(sin catálogo)"))</f>
        <v/>
      </c>
      <c r="Y434" s="3">
        <f>IF(tblOrdenes[[#This Row],[puesto_trabajo]]="","",_xlfn.XLOOKUP(tblOrdenes[[#This Row],[puesto_trabajo]],tblPuestos[codigo],tblPuestos[especialidad],"(sin catálogo)"))</f>
        <v/>
      </c>
      <c r="Z434" s="3">
        <f>IF(tblOrdenes[[#This Row],[cod_actividad]]="","",_xlfn.XLOOKUP(tblOrdenes[[#This Row],[cod_actividad]],tblActividades[codigo],tblActividades[descripcion],"(sin catálogo)"))</f>
        <v/>
      </c>
      <c r="AA434" s="13">
        <f>IF(tblOrdenes[[#This Row],[fecha_inicio]]="","",TODAY()-tblOrdenes[[#This Row],[fecha_inicio]])</f>
        <v/>
      </c>
      <c r="AB4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4" s="3">
        <f>IF(tblOrdenes[[#This Row],[backlog_habiles]]="","",IF(tblOrdenes[[#This Row],[backlog_habiles]]&lt;0,"FUTURO",IF(tblOrdenes[[#This Row],[backlog_habiles]]&gt;p_dias_backlog_max,"BACKLOG","MES CORRIENTE")))</f>
        <v/>
      </c>
      <c r="AD434" s="3">
        <f>IF(tblOrdenes[[#This Row],[backlog_habiles]]="",FALSE,AND(tblOrdenes[[#This Row],[backlog_habiles]]&gt;p_dias_backlog_min,tblOrdenes[[#This Row],[backlog_habiles]]&lt;=p_dias_backlog_max))</f>
        <v/>
      </c>
      <c r="AE434" s="6" t="n"/>
      <c r="AF4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4" s="11">
        <f>IF(tblOrdenes[[#This Row],[orden]]="","",_xlfn.XLOOKUP(tblOrdenes[[#This Row],[id_operacion]],tblEjecucion[id_operacion],tblEjecucion[precio],0))</f>
        <v/>
      </c>
      <c r="AJ434" s="11">
        <f>IF(tblOrdenes[[#This Row],[orden]]="","",MAX(0,_xlfn.XLOOKUP(tblOrdenes[[#This Row],[id_operacion]],tblEjecucion[id_operacion],tblEjecucion[costo_plan_total],0)-tblOrdenes[[#This Row],[costo_servicio]]))</f>
        <v/>
      </c>
      <c r="AK434" s="11">
        <f>IF(tblOrdenes[[#This Row],[orden]]="","",tblOrdenes[[#This Row],[costo_servicio]]+tblOrdenes[[#This Row],[costo_materiales]])</f>
        <v/>
      </c>
      <c r="AL434" s="6" t="n"/>
      <c r="AM434" s="6" t="n"/>
      <c r="AN434" s="6" t="n"/>
      <c r="AO434" s="3">
        <f>IF(tblOrdenes[[#This Row],[link_checklist]]="","",HYPERLINK(p_ruta_base_checklists&amp;tblOrdenes[[#This Row],[link_checklist]],"abrir"))</f>
        <v/>
      </c>
      <c r="AP434" s="6" t="n"/>
      <c r="AQ434" s="3">
        <f>IF(tblOrdenes[[#This Row],[orden]]="","",tblOrdenes[[#This Row],[orden]]&amp;IF(tblOrdenes[[#This Row],[operacion]]="","0010",tblOrdenes[[#This Row],[operacion]]))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2" t="n"/>
      <c r="K435" s="3" t="n"/>
      <c r="L435" s="11" t="n"/>
      <c r="M4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5" s="3">
        <f>IF(tblOrdenes[[#This Row],[fecha_inicio]]="","",YEAR(tblOrdenes[[#This Row],[fecha_inicio]]))</f>
        <v/>
      </c>
      <c r="Q435" s="3">
        <f>IF(tblOrdenes[[#This Row],[fecha_inicio]]="","",MONTH(tblOrdenes[[#This Row],[fecha_inicio]]))</f>
        <v/>
      </c>
      <c r="R435" s="3">
        <f>IF(tblOrdenes[[#This Row],[fecha_inicio]]="","",INDEX(lista_dias,WEEKDAY(tblOrdenes[[#This Row],[fecha_inicio]],2)))</f>
        <v/>
      </c>
      <c r="S4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5" s="3">
        <f>IF(tblOrdenes[[#This Row],[tipo_ot]]="","",_xlfn.XLOOKUP(tblOrdenes[[#This Row],[tipo_ot]],tblTiposOT[codigo],tblTiposOT[clasificacion],"sin_clasificar"))</f>
        <v/>
      </c>
      <c r="U435" s="3">
        <f>IF(tblOrdenes[[#This Row],[centro_costo]]="","",_xlfn.XLOOKUP(tblOrdenes[[#This Row],[centro_costo]],tblCECO[codigo],tblCECO[linea],"(sin catálogo)"))</f>
        <v/>
      </c>
      <c r="V435" s="3">
        <f>IF(tblOrdenes[[#This Row],[centro_costo]]="","",_xlfn.XLOOKUP(tblOrdenes[[#This Row],[centro_costo]],tblCECO[codigo],tblCECO[area],"(sin catálogo)"))</f>
        <v/>
      </c>
      <c r="W4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5" s="3">
        <f>IF(tblOrdenes[[#This Row],[centro_costo]]="","",_xlfn.XLOOKUP(tblOrdenes[[#This Row],[centro_costo]],tblCECO[codigo],tblCECO[coordinador],"(sin catálogo)"))</f>
        <v/>
      </c>
      <c r="Y435" s="3">
        <f>IF(tblOrdenes[[#This Row],[puesto_trabajo]]="","",_xlfn.XLOOKUP(tblOrdenes[[#This Row],[puesto_trabajo]],tblPuestos[codigo],tblPuestos[especialidad],"(sin catálogo)"))</f>
        <v/>
      </c>
      <c r="Z435" s="3">
        <f>IF(tblOrdenes[[#This Row],[cod_actividad]]="","",_xlfn.XLOOKUP(tblOrdenes[[#This Row],[cod_actividad]],tblActividades[codigo],tblActividades[descripcion],"(sin catálogo)"))</f>
        <v/>
      </c>
      <c r="AA435" s="13">
        <f>IF(tblOrdenes[[#This Row],[fecha_inicio]]="","",TODAY()-tblOrdenes[[#This Row],[fecha_inicio]])</f>
        <v/>
      </c>
      <c r="AB4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5" s="3">
        <f>IF(tblOrdenes[[#This Row],[backlog_habiles]]="","",IF(tblOrdenes[[#This Row],[backlog_habiles]]&lt;0,"FUTURO",IF(tblOrdenes[[#This Row],[backlog_habiles]]&gt;p_dias_backlog_max,"BACKLOG","MES CORRIENTE")))</f>
        <v/>
      </c>
      <c r="AD435" s="3">
        <f>IF(tblOrdenes[[#This Row],[backlog_habiles]]="",FALSE,AND(tblOrdenes[[#This Row],[backlog_habiles]]&gt;p_dias_backlog_min,tblOrdenes[[#This Row],[backlog_habiles]]&lt;=p_dias_backlog_max))</f>
        <v/>
      </c>
      <c r="AE435" s="6" t="n"/>
      <c r="AF4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5" s="11">
        <f>IF(tblOrdenes[[#This Row],[orden]]="","",_xlfn.XLOOKUP(tblOrdenes[[#This Row],[id_operacion]],tblEjecucion[id_operacion],tblEjecucion[precio],0))</f>
        <v/>
      </c>
      <c r="AJ435" s="11">
        <f>IF(tblOrdenes[[#This Row],[orden]]="","",MAX(0,_xlfn.XLOOKUP(tblOrdenes[[#This Row],[id_operacion]],tblEjecucion[id_operacion],tblEjecucion[costo_plan_total],0)-tblOrdenes[[#This Row],[costo_servicio]]))</f>
        <v/>
      </c>
      <c r="AK435" s="11">
        <f>IF(tblOrdenes[[#This Row],[orden]]="","",tblOrdenes[[#This Row],[costo_servicio]]+tblOrdenes[[#This Row],[costo_materiales]])</f>
        <v/>
      </c>
      <c r="AL435" s="6" t="n"/>
      <c r="AM435" s="6" t="n"/>
      <c r="AN435" s="6" t="n"/>
      <c r="AO435" s="3">
        <f>IF(tblOrdenes[[#This Row],[link_checklist]]="","",HYPERLINK(p_ruta_base_checklists&amp;tblOrdenes[[#This Row],[link_checklist]],"abrir"))</f>
        <v/>
      </c>
      <c r="AP435" s="6" t="n"/>
      <c r="AQ435" s="3">
        <f>IF(tblOrdenes[[#This Row],[orden]]="","",tblOrdenes[[#This Row],[orden]]&amp;IF(tblOrdenes[[#This Row],[operacion]]="","0010",tblOrdenes[[#This Row],[operacion]]))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2" t="n"/>
      <c r="K436" s="3" t="n"/>
      <c r="L436" s="11" t="n"/>
      <c r="M4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6" s="3">
        <f>IF(tblOrdenes[[#This Row],[fecha_inicio]]="","",YEAR(tblOrdenes[[#This Row],[fecha_inicio]]))</f>
        <v/>
      </c>
      <c r="Q436" s="3">
        <f>IF(tblOrdenes[[#This Row],[fecha_inicio]]="","",MONTH(tblOrdenes[[#This Row],[fecha_inicio]]))</f>
        <v/>
      </c>
      <c r="R436" s="3">
        <f>IF(tblOrdenes[[#This Row],[fecha_inicio]]="","",INDEX(lista_dias,WEEKDAY(tblOrdenes[[#This Row],[fecha_inicio]],2)))</f>
        <v/>
      </c>
      <c r="S4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6" s="3">
        <f>IF(tblOrdenes[[#This Row],[tipo_ot]]="","",_xlfn.XLOOKUP(tblOrdenes[[#This Row],[tipo_ot]],tblTiposOT[codigo],tblTiposOT[clasificacion],"sin_clasificar"))</f>
        <v/>
      </c>
      <c r="U436" s="3">
        <f>IF(tblOrdenes[[#This Row],[centro_costo]]="","",_xlfn.XLOOKUP(tblOrdenes[[#This Row],[centro_costo]],tblCECO[codigo],tblCECO[linea],"(sin catálogo)"))</f>
        <v/>
      </c>
      <c r="V436" s="3">
        <f>IF(tblOrdenes[[#This Row],[centro_costo]]="","",_xlfn.XLOOKUP(tblOrdenes[[#This Row],[centro_costo]],tblCECO[codigo],tblCECO[area],"(sin catálogo)"))</f>
        <v/>
      </c>
      <c r="W4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6" s="3">
        <f>IF(tblOrdenes[[#This Row],[centro_costo]]="","",_xlfn.XLOOKUP(tblOrdenes[[#This Row],[centro_costo]],tblCECO[codigo],tblCECO[coordinador],"(sin catálogo)"))</f>
        <v/>
      </c>
      <c r="Y436" s="3">
        <f>IF(tblOrdenes[[#This Row],[puesto_trabajo]]="","",_xlfn.XLOOKUP(tblOrdenes[[#This Row],[puesto_trabajo]],tblPuestos[codigo],tblPuestos[especialidad],"(sin catálogo)"))</f>
        <v/>
      </c>
      <c r="Z436" s="3">
        <f>IF(tblOrdenes[[#This Row],[cod_actividad]]="","",_xlfn.XLOOKUP(tblOrdenes[[#This Row],[cod_actividad]],tblActividades[codigo],tblActividades[descripcion],"(sin catálogo)"))</f>
        <v/>
      </c>
      <c r="AA436" s="13">
        <f>IF(tblOrdenes[[#This Row],[fecha_inicio]]="","",TODAY()-tblOrdenes[[#This Row],[fecha_inicio]])</f>
        <v/>
      </c>
      <c r="AB4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6" s="3">
        <f>IF(tblOrdenes[[#This Row],[backlog_habiles]]="","",IF(tblOrdenes[[#This Row],[backlog_habiles]]&lt;0,"FUTURO",IF(tblOrdenes[[#This Row],[backlog_habiles]]&gt;p_dias_backlog_max,"BACKLOG","MES CORRIENTE")))</f>
        <v/>
      </c>
      <c r="AD436" s="3">
        <f>IF(tblOrdenes[[#This Row],[backlog_habiles]]="",FALSE,AND(tblOrdenes[[#This Row],[backlog_habiles]]&gt;p_dias_backlog_min,tblOrdenes[[#This Row],[backlog_habiles]]&lt;=p_dias_backlog_max))</f>
        <v/>
      </c>
      <c r="AE436" s="6" t="n"/>
      <c r="AF4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6" s="11">
        <f>IF(tblOrdenes[[#This Row],[orden]]="","",_xlfn.XLOOKUP(tblOrdenes[[#This Row],[id_operacion]],tblEjecucion[id_operacion],tblEjecucion[precio],0))</f>
        <v/>
      </c>
      <c r="AJ436" s="11">
        <f>IF(tblOrdenes[[#This Row],[orden]]="","",MAX(0,_xlfn.XLOOKUP(tblOrdenes[[#This Row],[id_operacion]],tblEjecucion[id_operacion],tblEjecucion[costo_plan_total],0)-tblOrdenes[[#This Row],[costo_servicio]]))</f>
        <v/>
      </c>
      <c r="AK436" s="11">
        <f>IF(tblOrdenes[[#This Row],[orden]]="","",tblOrdenes[[#This Row],[costo_servicio]]+tblOrdenes[[#This Row],[costo_materiales]])</f>
        <v/>
      </c>
      <c r="AL436" s="6" t="n"/>
      <c r="AM436" s="6" t="n"/>
      <c r="AN436" s="6" t="n"/>
      <c r="AO436" s="3">
        <f>IF(tblOrdenes[[#This Row],[link_checklist]]="","",HYPERLINK(p_ruta_base_checklists&amp;tblOrdenes[[#This Row],[link_checklist]],"abrir"))</f>
        <v/>
      </c>
      <c r="AP436" s="6" t="n"/>
      <c r="AQ436" s="3">
        <f>IF(tblOrdenes[[#This Row],[orden]]="","",tblOrdenes[[#This Row],[orden]]&amp;IF(tblOrdenes[[#This Row],[operacion]]="","0010",tblOrdenes[[#This Row],[operacion]]))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2" t="n"/>
      <c r="K437" s="3" t="n"/>
      <c r="L437" s="11" t="n"/>
      <c r="M4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7" s="3">
        <f>IF(tblOrdenes[[#This Row],[fecha_inicio]]="","",YEAR(tblOrdenes[[#This Row],[fecha_inicio]]))</f>
        <v/>
      </c>
      <c r="Q437" s="3">
        <f>IF(tblOrdenes[[#This Row],[fecha_inicio]]="","",MONTH(tblOrdenes[[#This Row],[fecha_inicio]]))</f>
        <v/>
      </c>
      <c r="R437" s="3">
        <f>IF(tblOrdenes[[#This Row],[fecha_inicio]]="","",INDEX(lista_dias,WEEKDAY(tblOrdenes[[#This Row],[fecha_inicio]],2)))</f>
        <v/>
      </c>
      <c r="S4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7" s="3">
        <f>IF(tblOrdenes[[#This Row],[tipo_ot]]="","",_xlfn.XLOOKUP(tblOrdenes[[#This Row],[tipo_ot]],tblTiposOT[codigo],tblTiposOT[clasificacion],"sin_clasificar"))</f>
        <v/>
      </c>
      <c r="U437" s="3">
        <f>IF(tblOrdenes[[#This Row],[centro_costo]]="","",_xlfn.XLOOKUP(tblOrdenes[[#This Row],[centro_costo]],tblCECO[codigo],tblCECO[linea],"(sin catálogo)"))</f>
        <v/>
      </c>
      <c r="V437" s="3">
        <f>IF(tblOrdenes[[#This Row],[centro_costo]]="","",_xlfn.XLOOKUP(tblOrdenes[[#This Row],[centro_costo]],tblCECO[codigo],tblCECO[area],"(sin catálogo)"))</f>
        <v/>
      </c>
      <c r="W4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7" s="3">
        <f>IF(tblOrdenes[[#This Row],[centro_costo]]="","",_xlfn.XLOOKUP(tblOrdenes[[#This Row],[centro_costo]],tblCECO[codigo],tblCECO[coordinador],"(sin catálogo)"))</f>
        <v/>
      </c>
      <c r="Y437" s="3">
        <f>IF(tblOrdenes[[#This Row],[puesto_trabajo]]="","",_xlfn.XLOOKUP(tblOrdenes[[#This Row],[puesto_trabajo]],tblPuestos[codigo],tblPuestos[especialidad],"(sin catálogo)"))</f>
        <v/>
      </c>
      <c r="Z437" s="3">
        <f>IF(tblOrdenes[[#This Row],[cod_actividad]]="","",_xlfn.XLOOKUP(tblOrdenes[[#This Row],[cod_actividad]],tblActividades[codigo],tblActividades[descripcion],"(sin catálogo)"))</f>
        <v/>
      </c>
      <c r="AA437" s="13">
        <f>IF(tblOrdenes[[#This Row],[fecha_inicio]]="","",TODAY()-tblOrdenes[[#This Row],[fecha_inicio]])</f>
        <v/>
      </c>
      <c r="AB4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7" s="3">
        <f>IF(tblOrdenes[[#This Row],[backlog_habiles]]="","",IF(tblOrdenes[[#This Row],[backlog_habiles]]&lt;0,"FUTURO",IF(tblOrdenes[[#This Row],[backlog_habiles]]&gt;p_dias_backlog_max,"BACKLOG","MES CORRIENTE")))</f>
        <v/>
      </c>
      <c r="AD437" s="3">
        <f>IF(tblOrdenes[[#This Row],[backlog_habiles]]="",FALSE,AND(tblOrdenes[[#This Row],[backlog_habiles]]&gt;p_dias_backlog_min,tblOrdenes[[#This Row],[backlog_habiles]]&lt;=p_dias_backlog_max))</f>
        <v/>
      </c>
      <c r="AE437" s="6" t="n"/>
      <c r="AF4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7" s="11">
        <f>IF(tblOrdenes[[#This Row],[orden]]="","",_xlfn.XLOOKUP(tblOrdenes[[#This Row],[id_operacion]],tblEjecucion[id_operacion],tblEjecucion[precio],0))</f>
        <v/>
      </c>
      <c r="AJ437" s="11">
        <f>IF(tblOrdenes[[#This Row],[orden]]="","",MAX(0,_xlfn.XLOOKUP(tblOrdenes[[#This Row],[id_operacion]],tblEjecucion[id_operacion],tblEjecucion[costo_plan_total],0)-tblOrdenes[[#This Row],[costo_servicio]]))</f>
        <v/>
      </c>
      <c r="AK437" s="11">
        <f>IF(tblOrdenes[[#This Row],[orden]]="","",tblOrdenes[[#This Row],[costo_servicio]]+tblOrdenes[[#This Row],[costo_materiales]])</f>
        <v/>
      </c>
      <c r="AL437" s="6" t="n"/>
      <c r="AM437" s="6" t="n"/>
      <c r="AN437" s="6" t="n"/>
      <c r="AO437" s="3">
        <f>IF(tblOrdenes[[#This Row],[link_checklist]]="","",HYPERLINK(p_ruta_base_checklists&amp;tblOrdenes[[#This Row],[link_checklist]],"abrir"))</f>
        <v/>
      </c>
      <c r="AP437" s="6" t="n"/>
      <c r="AQ437" s="3">
        <f>IF(tblOrdenes[[#This Row],[orden]]="","",tblOrdenes[[#This Row],[orden]]&amp;IF(tblOrdenes[[#This Row],[operacion]]="","0010",tblOrdenes[[#This Row],[operacion]]))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2" t="n"/>
      <c r="K438" s="3" t="n"/>
      <c r="L438" s="11" t="n"/>
      <c r="M4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8" s="3">
        <f>IF(tblOrdenes[[#This Row],[fecha_inicio]]="","",YEAR(tblOrdenes[[#This Row],[fecha_inicio]]))</f>
        <v/>
      </c>
      <c r="Q438" s="3">
        <f>IF(tblOrdenes[[#This Row],[fecha_inicio]]="","",MONTH(tblOrdenes[[#This Row],[fecha_inicio]]))</f>
        <v/>
      </c>
      <c r="R438" s="3">
        <f>IF(tblOrdenes[[#This Row],[fecha_inicio]]="","",INDEX(lista_dias,WEEKDAY(tblOrdenes[[#This Row],[fecha_inicio]],2)))</f>
        <v/>
      </c>
      <c r="S4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8" s="3">
        <f>IF(tblOrdenes[[#This Row],[tipo_ot]]="","",_xlfn.XLOOKUP(tblOrdenes[[#This Row],[tipo_ot]],tblTiposOT[codigo],tblTiposOT[clasificacion],"sin_clasificar"))</f>
        <v/>
      </c>
      <c r="U438" s="3">
        <f>IF(tblOrdenes[[#This Row],[centro_costo]]="","",_xlfn.XLOOKUP(tblOrdenes[[#This Row],[centro_costo]],tblCECO[codigo],tblCECO[linea],"(sin catálogo)"))</f>
        <v/>
      </c>
      <c r="V438" s="3">
        <f>IF(tblOrdenes[[#This Row],[centro_costo]]="","",_xlfn.XLOOKUP(tblOrdenes[[#This Row],[centro_costo]],tblCECO[codigo],tblCECO[area],"(sin catálogo)"))</f>
        <v/>
      </c>
      <c r="W4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8" s="3">
        <f>IF(tblOrdenes[[#This Row],[centro_costo]]="","",_xlfn.XLOOKUP(tblOrdenes[[#This Row],[centro_costo]],tblCECO[codigo],tblCECO[coordinador],"(sin catálogo)"))</f>
        <v/>
      </c>
      <c r="Y438" s="3">
        <f>IF(tblOrdenes[[#This Row],[puesto_trabajo]]="","",_xlfn.XLOOKUP(tblOrdenes[[#This Row],[puesto_trabajo]],tblPuestos[codigo],tblPuestos[especialidad],"(sin catálogo)"))</f>
        <v/>
      </c>
      <c r="Z438" s="3">
        <f>IF(tblOrdenes[[#This Row],[cod_actividad]]="","",_xlfn.XLOOKUP(tblOrdenes[[#This Row],[cod_actividad]],tblActividades[codigo],tblActividades[descripcion],"(sin catálogo)"))</f>
        <v/>
      </c>
      <c r="AA438" s="13">
        <f>IF(tblOrdenes[[#This Row],[fecha_inicio]]="","",TODAY()-tblOrdenes[[#This Row],[fecha_inicio]])</f>
        <v/>
      </c>
      <c r="AB4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8" s="3">
        <f>IF(tblOrdenes[[#This Row],[backlog_habiles]]="","",IF(tblOrdenes[[#This Row],[backlog_habiles]]&lt;0,"FUTURO",IF(tblOrdenes[[#This Row],[backlog_habiles]]&gt;p_dias_backlog_max,"BACKLOG","MES CORRIENTE")))</f>
        <v/>
      </c>
      <c r="AD438" s="3">
        <f>IF(tblOrdenes[[#This Row],[backlog_habiles]]="",FALSE,AND(tblOrdenes[[#This Row],[backlog_habiles]]&gt;p_dias_backlog_min,tblOrdenes[[#This Row],[backlog_habiles]]&lt;=p_dias_backlog_max))</f>
        <v/>
      </c>
      <c r="AE438" s="6" t="n"/>
      <c r="AF4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8" s="11">
        <f>IF(tblOrdenes[[#This Row],[orden]]="","",_xlfn.XLOOKUP(tblOrdenes[[#This Row],[id_operacion]],tblEjecucion[id_operacion],tblEjecucion[precio],0))</f>
        <v/>
      </c>
      <c r="AJ438" s="11">
        <f>IF(tblOrdenes[[#This Row],[orden]]="","",MAX(0,_xlfn.XLOOKUP(tblOrdenes[[#This Row],[id_operacion]],tblEjecucion[id_operacion],tblEjecucion[costo_plan_total],0)-tblOrdenes[[#This Row],[costo_servicio]]))</f>
        <v/>
      </c>
      <c r="AK438" s="11">
        <f>IF(tblOrdenes[[#This Row],[orden]]="","",tblOrdenes[[#This Row],[costo_servicio]]+tblOrdenes[[#This Row],[costo_materiales]])</f>
        <v/>
      </c>
      <c r="AL438" s="6" t="n"/>
      <c r="AM438" s="6" t="n"/>
      <c r="AN438" s="6" t="n"/>
      <c r="AO438" s="3">
        <f>IF(tblOrdenes[[#This Row],[link_checklist]]="","",HYPERLINK(p_ruta_base_checklists&amp;tblOrdenes[[#This Row],[link_checklist]],"abrir"))</f>
        <v/>
      </c>
      <c r="AP438" s="6" t="n"/>
      <c r="AQ438" s="3">
        <f>IF(tblOrdenes[[#This Row],[orden]]="","",tblOrdenes[[#This Row],[orden]]&amp;IF(tblOrdenes[[#This Row],[operacion]]="","0010",tblOrdenes[[#This Row],[operacion]]))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2" t="n"/>
      <c r="K439" s="3" t="n"/>
      <c r="L439" s="11" t="n"/>
      <c r="M4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9" s="3">
        <f>IF(tblOrdenes[[#This Row],[fecha_inicio]]="","",YEAR(tblOrdenes[[#This Row],[fecha_inicio]]))</f>
        <v/>
      </c>
      <c r="Q439" s="3">
        <f>IF(tblOrdenes[[#This Row],[fecha_inicio]]="","",MONTH(tblOrdenes[[#This Row],[fecha_inicio]]))</f>
        <v/>
      </c>
      <c r="R439" s="3">
        <f>IF(tblOrdenes[[#This Row],[fecha_inicio]]="","",INDEX(lista_dias,WEEKDAY(tblOrdenes[[#This Row],[fecha_inicio]],2)))</f>
        <v/>
      </c>
      <c r="S4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9" s="3">
        <f>IF(tblOrdenes[[#This Row],[tipo_ot]]="","",_xlfn.XLOOKUP(tblOrdenes[[#This Row],[tipo_ot]],tblTiposOT[codigo],tblTiposOT[clasificacion],"sin_clasificar"))</f>
        <v/>
      </c>
      <c r="U439" s="3">
        <f>IF(tblOrdenes[[#This Row],[centro_costo]]="","",_xlfn.XLOOKUP(tblOrdenes[[#This Row],[centro_costo]],tblCECO[codigo],tblCECO[linea],"(sin catálogo)"))</f>
        <v/>
      </c>
      <c r="V439" s="3">
        <f>IF(tblOrdenes[[#This Row],[centro_costo]]="","",_xlfn.XLOOKUP(tblOrdenes[[#This Row],[centro_costo]],tblCECO[codigo],tblCECO[area],"(sin catálogo)"))</f>
        <v/>
      </c>
      <c r="W4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9" s="3">
        <f>IF(tblOrdenes[[#This Row],[centro_costo]]="","",_xlfn.XLOOKUP(tblOrdenes[[#This Row],[centro_costo]],tblCECO[codigo],tblCECO[coordinador],"(sin catálogo)"))</f>
        <v/>
      </c>
      <c r="Y439" s="3">
        <f>IF(tblOrdenes[[#This Row],[puesto_trabajo]]="","",_xlfn.XLOOKUP(tblOrdenes[[#This Row],[puesto_trabajo]],tblPuestos[codigo],tblPuestos[especialidad],"(sin catálogo)"))</f>
        <v/>
      </c>
      <c r="Z439" s="3">
        <f>IF(tblOrdenes[[#This Row],[cod_actividad]]="","",_xlfn.XLOOKUP(tblOrdenes[[#This Row],[cod_actividad]],tblActividades[codigo],tblActividades[descripcion],"(sin catálogo)"))</f>
        <v/>
      </c>
      <c r="AA439" s="13">
        <f>IF(tblOrdenes[[#This Row],[fecha_inicio]]="","",TODAY()-tblOrdenes[[#This Row],[fecha_inicio]])</f>
        <v/>
      </c>
      <c r="AB4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9" s="3">
        <f>IF(tblOrdenes[[#This Row],[backlog_habiles]]="","",IF(tblOrdenes[[#This Row],[backlog_habiles]]&lt;0,"FUTURO",IF(tblOrdenes[[#This Row],[backlog_habiles]]&gt;p_dias_backlog_max,"BACKLOG","MES CORRIENTE")))</f>
        <v/>
      </c>
      <c r="AD439" s="3">
        <f>IF(tblOrdenes[[#This Row],[backlog_habiles]]="",FALSE,AND(tblOrdenes[[#This Row],[backlog_habiles]]&gt;p_dias_backlog_min,tblOrdenes[[#This Row],[backlog_habiles]]&lt;=p_dias_backlog_max))</f>
        <v/>
      </c>
      <c r="AE439" s="6" t="n"/>
      <c r="AF4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9" s="11">
        <f>IF(tblOrdenes[[#This Row],[orden]]="","",_xlfn.XLOOKUP(tblOrdenes[[#This Row],[id_operacion]],tblEjecucion[id_operacion],tblEjecucion[precio],0))</f>
        <v/>
      </c>
      <c r="AJ439" s="11">
        <f>IF(tblOrdenes[[#This Row],[orden]]="","",MAX(0,_xlfn.XLOOKUP(tblOrdenes[[#This Row],[id_operacion]],tblEjecucion[id_operacion],tblEjecucion[costo_plan_total],0)-tblOrdenes[[#This Row],[costo_servicio]]))</f>
        <v/>
      </c>
      <c r="AK439" s="11">
        <f>IF(tblOrdenes[[#This Row],[orden]]="","",tblOrdenes[[#This Row],[costo_servicio]]+tblOrdenes[[#This Row],[costo_materiales]])</f>
        <v/>
      </c>
      <c r="AL439" s="6" t="n"/>
      <c r="AM439" s="6" t="n"/>
      <c r="AN439" s="6" t="n"/>
      <c r="AO439" s="3">
        <f>IF(tblOrdenes[[#This Row],[link_checklist]]="","",HYPERLINK(p_ruta_base_checklists&amp;tblOrdenes[[#This Row],[link_checklist]],"abrir"))</f>
        <v/>
      </c>
      <c r="AP439" s="6" t="n"/>
      <c r="AQ439" s="3">
        <f>IF(tblOrdenes[[#This Row],[orden]]="","",tblOrdenes[[#This Row],[orden]]&amp;IF(tblOrdenes[[#This Row],[operacion]]="","0010",tblOrdenes[[#This Row],[operacion]]))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2" t="n"/>
      <c r="K440" s="3" t="n"/>
      <c r="L440" s="11" t="n"/>
      <c r="M4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0" s="3">
        <f>IF(tblOrdenes[[#This Row],[fecha_inicio]]="","",YEAR(tblOrdenes[[#This Row],[fecha_inicio]]))</f>
        <v/>
      </c>
      <c r="Q440" s="3">
        <f>IF(tblOrdenes[[#This Row],[fecha_inicio]]="","",MONTH(tblOrdenes[[#This Row],[fecha_inicio]]))</f>
        <v/>
      </c>
      <c r="R440" s="3">
        <f>IF(tblOrdenes[[#This Row],[fecha_inicio]]="","",INDEX(lista_dias,WEEKDAY(tblOrdenes[[#This Row],[fecha_inicio]],2)))</f>
        <v/>
      </c>
      <c r="S4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0" s="3">
        <f>IF(tblOrdenes[[#This Row],[tipo_ot]]="","",_xlfn.XLOOKUP(tblOrdenes[[#This Row],[tipo_ot]],tblTiposOT[codigo],tblTiposOT[clasificacion],"sin_clasificar"))</f>
        <v/>
      </c>
      <c r="U440" s="3">
        <f>IF(tblOrdenes[[#This Row],[centro_costo]]="","",_xlfn.XLOOKUP(tblOrdenes[[#This Row],[centro_costo]],tblCECO[codigo],tblCECO[linea],"(sin catálogo)"))</f>
        <v/>
      </c>
      <c r="V440" s="3">
        <f>IF(tblOrdenes[[#This Row],[centro_costo]]="","",_xlfn.XLOOKUP(tblOrdenes[[#This Row],[centro_costo]],tblCECO[codigo],tblCECO[area],"(sin catálogo)"))</f>
        <v/>
      </c>
      <c r="W4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0" s="3">
        <f>IF(tblOrdenes[[#This Row],[centro_costo]]="","",_xlfn.XLOOKUP(tblOrdenes[[#This Row],[centro_costo]],tblCECO[codigo],tblCECO[coordinador],"(sin catálogo)"))</f>
        <v/>
      </c>
      <c r="Y440" s="3">
        <f>IF(tblOrdenes[[#This Row],[puesto_trabajo]]="","",_xlfn.XLOOKUP(tblOrdenes[[#This Row],[puesto_trabajo]],tblPuestos[codigo],tblPuestos[especialidad],"(sin catálogo)"))</f>
        <v/>
      </c>
      <c r="Z440" s="3">
        <f>IF(tblOrdenes[[#This Row],[cod_actividad]]="","",_xlfn.XLOOKUP(tblOrdenes[[#This Row],[cod_actividad]],tblActividades[codigo],tblActividades[descripcion],"(sin catálogo)"))</f>
        <v/>
      </c>
      <c r="AA440" s="13">
        <f>IF(tblOrdenes[[#This Row],[fecha_inicio]]="","",TODAY()-tblOrdenes[[#This Row],[fecha_inicio]])</f>
        <v/>
      </c>
      <c r="AB4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0" s="3">
        <f>IF(tblOrdenes[[#This Row],[backlog_habiles]]="","",IF(tblOrdenes[[#This Row],[backlog_habiles]]&lt;0,"FUTURO",IF(tblOrdenes[[#This Row],[backlog_habiles]]&gt;p_dias_backlog_max,"BACKLOG","MES CORRIENTE")))</f>
        <v/>
      </c>
      <c r="AD440" s="3">
        <f>IF(tblOrdenes[[#This Row],[backlog_habiles]]="",FALSE,AND(tblOrdenes[[#This Row],[backlog_habiles]]&gt;p_dias_backlog_min,tblOrdenes[[#This Row],[backlog_habiles]]&lt;=p_dias_backlog_max))</f>
        <v/>
      </c>
      <c r="AE440" s="6" t="n"/>
      <c r="AF4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0" s="11">
        <f>IF(tblOrdenes[[#This Row],[orden]]="","",_xlfn.XLOOKUP(tblOrdenes[[#This Row],[id_operacion]],tblEjecucion[id_operacion],tblEjecucion[precio],0))</f>
        <v/>
      </c>
      <c r="AJ440" s="11">
        <f>IF(tblOrdenes[[#This Row],[orden]]="","",MAX(0,_xlfn.XLOOKUP(tblOrdenes[[#This Row],[id_operacion]],tblEjecucion[id_operacion],tblEjecucion[costo_plan_total],0)-tblOrdenes[[#This Row],[costo_servicio]]))</f>
        <v/>
      </c>
      <c r="AK440" s="11">
        <f>IF(tblOrdenes[[#This Row],[orden]]="","",tblOrdenes[[#This Row],[costo_servicio]]+tblOrdenes[[#This Row],[costo_materiales]])</f>
        <v/>
      </c>
      <c r="AL440" s="6" t="n"/>
      <c r="AM440" s="6" t="n"/>
      <c r="AN440" s="6" t="n"/>
      <c r="AO440" s="3">
        <f>IF(tblOrdenes[[#This Row],[link_checklist]]="","",HYPERLINK(p_ruta_base_checklists&amp;tblOrdenes[[#This Row],[link_checklist]],"abrir"))</f>
        <v/>
      </c>
      <c r="AP440" s="6" t="n"/>
      <c r="AQ440" s="3">
        <f>IF(tblOrdenes[[#This Row],[orden]]="","",tblOrdenes[[#This Row],[orden]]&amp;IF(tblOrdenes[[#This Row],[operacion]]="","0010",tblOrdenes[[#This Row],[operacion]]))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2" t="n"/>
      <c r="K441" s="3" t="n"/>
      <c r="L441" s="11" t="n"/>
      <c r="M4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1" s="3">
        <f>IF(tblOrdenes[[#This Row],[fecha_inicio]]="","",YEAR(tblOrdenes[[#This Row],[fecha_inicio]]))</f>
        <v/>
      </c>
      <c r="Q441" s="3">
        <f>IF(tblOrdenes[[#This Row],[fecha_inicio]]="","",MONTH(tblOrdenes[[#This Row],[fecha_inicio]]))</f>
        <v/>
      </c>
      <c r="R441" s="3">
        <f>IF(tblOrdenes[[#This Row],[fecha_inicio]]="","",INDEX(lista_dias,WEEKDAY(tblOrdenes[[#This Row],[fecha_inicio]],2)))</f>
        <v/>
      </c>
      <c r="S4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1" s="3">
        <f>IF(tblOrdenes[[#This Row],[tipo_ot]]="","",_xlfn.XLOOKUP(tblOrdenes[[#This Row],[tipo_ot]],tblTiposOT[codigo],tblTiposOT[clasificacion],"sin_clasificar"))</f>
        <v/>
      </c>
      <c r="U441" s="3">
        <f>IF(tblOrdenes[[#This Row],[centro_costo]]="","",_xlfn.XLOOKUP(tblOrdenes[[#This Row],[centro_costo]],tblCECO[codigo],tblCECO[linea],"(sin catálogo)"))</f>
        <v/>
      </c>
      <c r="V441" s="3">
        <f>IF(tblOrdenes[[#This Row],[centro_costo]]="","",_xlfn.XLOOKUP(tblOrdenes[[#This Row],[centro_costo]],tblCECO[codigo],tblCECO[area],"(sin catálogo)"))</f>
        <v/>
      </c>
      <c r="W4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1" s="3">
        <f>IF(tblOrdenes[[#This Row],[centro_costo]]="","",_xlfn.XLOOKUP(tblOrdenes[[#This Row],[centro_costo]],tblCECO[codigo],tblCECO[coordinador],"(sin catálogo)"))</f>
        <v/>
      </c>
      <c r="Y441" s="3">
        <f>IF(tblOrdenes[[#This Row],[puesto_trabajo]]="","",_xlfn.XLOOKUP(tblOrdenes[[#This Row],[puesto_trabajo]],tblPuestos[codigo],tblPuestos[especialidad],"(sin catálogo)"))</f>
        <v/>
      </c>
      <c r="Z441" s="3">
        <f>IF(tblOrdenes[[#This Row],[cod_actividad]]="","",_xlfn.XLOOKUP(tblOrdenes[[#This Row],[cod_actividad]],tblActividades[codigo],tblActividades[descripcion],"(sin catálogo)"))</f>
        <v/>
      </c>
      <c r="AA441" s="13">
        <f>IF(tblOrdenes[[#This Row],[fecha_inicio]]="","",TODAY()-tblOrdenes[[#This Row],[fecha_inicio]])</f>
        <v/>
      </c>
      <c r="AB4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1" s="3">
        <f>IF(tblOrdenes[[#This Row],[backlog_habiles]]="","",IF(tblOrdenes[[#This Row],[backlog_habiles]]&lt;0,"FUTURO",IF(tblOrdenes[[#This Row],[backlog_habiles]]&gt;p_dias_backlog_max,"BACKLOG","MES CORRIENTE")))</f>
        <v/>
      </c>
      <c r="AD441" s="3">
        <f>IF(tblOrdenes[[#This Row],[backlog_habiles]]="",FALSE,AND(tblOrdenes[[#This Row],[backlog_habiles]]&gt;p_dias_backlog_min,tblOrdenes[[#This Row],[backlog_habiles]]&lt;=p_dias_backlog_max))</f>
        <v/>
      </c>
      <c r="AE441" s="6" t="n"/>
      <c r="AF4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1" s="11">
        <f>IF(tblOrdenes[[#This Row],[orden]]="","",_xlfn.XLOOKUP(tblOrdenes[[#This Row],[id_operacion]],tblEjecucion[id_operacion],tblEjecucion[precio],0))</f>
        <v/>
      </c>
      <c r="AJ441" s="11">
        <f>IF(tblOrdenes[[#This Row],[orden]]="","",MAX(0,_xlfn.XLOOKUP(tblOrdenes[[#This Row],[id_operacion]],tblEjecucion[id_operacion],tblEjecucion[costo_plan_total],0)-tblOrdenes[[#This Row],[costo_servicio]]))</f>
        <v/>
      </c>
      <c r="AK441" s="11">
        <f>IF(tblOrdenes[[#This Row],[orden]]="","",tblOrdenes[[#This Row],[costo_servicio]]+tblOrdenes[[#This Row],[costo_materiales]])</f>
        <v/>
      </c>
      <c r="AL441" s="6" t="n"/>
      <c r="AM441" s="6" t="n"/>
      <c r="AN441" s="6" t="n"/>
      <c r="AO441" s="3">
        <f>IF(tblOrdenes[[#This Row],[link_checklist]]="","",HYPERLINK(p_ruta_base_checklists&amp;tblOrdenes[[#This Row],[link_checklist]],"abrir"))</f>
        <v/>
      </c>
      <c r="AP441" s="6" t="n"/>
      <c r="AQ441" s="3">
        <f>IF(tblOrdenes[[#This Row],[orden]]="","",tblOrdenes[[#This Row],[orden]]&amp;IF(tblOrdenes[[#This Row],[operacion]]="","0010",tblOrdenes[[#This Row],[operacion]]))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2" t="n"/>
      <c r="K442" s="3" t="n"/>
      <c r="L442" s="11" t="n"/>
      <c r="M4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2" s="3">
        <f>IF(tblOrdenes[[#This Row],[fecha_inicio]]="","",YEAR(tblOrdenes[[#This Row],[fecha_inicio]]))</f>
        <v/>
      </c>
      <c r="Q442" s="3">
        <f>IF(tblOrdenes[[#This Row],[fecha_inicio]]="","",MONTH(tblOrdenes[[#This Row],[fecha_inicio]]))</f>
        <v/>
      </c>
      <c r="R442" s="3">
        <f>IF(tblOrdenes[[#This Row],[fecha_inicio]]="","",INDEX(lista_dias,WEEKDAY(tblOrdenes[[#This Row],[fecha_inicio]],2)))</f>
        <v/>
      </c>
      <c r="S4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2" s="3">
        <f>IF(tblOrdenes[[#This Row],[tipo_ot]]="","",_xlfn.XLOOKUP(tblOrdenes[[#This Row],[tipo_ot]],tblTiposOT[codigo],tblTiposOT[clasificacion],"sin_clasificar"))</f>
        <v/>
      </c>
      <c r="U442" s="3">
        <f>IF(tblOrdenes[[#This Row],[centro_costo]]="","",_xlfn.XLOOKUP(tblOrdenes[[#This Row],[centro_costo]],tblCECO[codigo],tblCECO[linea],"(sin catálogo)"))</f>
        <v/>
      </c>
      <c r="V442" s="3">
        <f>IF(tblOrdenes[[#This Row],[centro_costo]]="","",_xlfn.XLOOKUP(tblOrdenes[[#This Row],[centro_costo]],tblCECO[codigo],tblCECO[area],"(sin catálogo)"))</f>
        <v/>
      </c>
      <c r="W4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2" s="3">
        <f>IF(tblOrdenes[[#This Row],[centro_costo]]="","",_xlfn.XLOOKUP(tblOrdenes[[#This Row],[centro_costo]],tblCECO[codigo],tblCECO[coordinador],"(sin catálogo)"))</f>
        <v/>
      </c>
      <c r="Y442" s="3">
        <f>IF(tblOrdenes[[#This Row],[puesto_trabajo]]="","",_xlfn.XLOOKUP(tblOrdenes[[#This Row],[puesto_trabajo]],tblPuestos[codigo],tblPuestos[especialidad],"(sin catálogo)"))</f>
        <v/>
      </c>
      <c r="Z442" s="3">
        <f>IF(tblOrdenes[[#This Row],[cod_actividad]]="","",_xlfn.XLOOKUP(tblOrdenes[[#This Row],[cod_actividad]],tblActividades[codigo],tblActividades[descripcion],"(sin catálogo)"))</f>
        <v/>
      </c>
      <c r="AA442" s="13">
        <f>IF(tblOrdenes[[#This Row],[fecha_inicio]]="","",TODAY()-tblOrdenes[[#This Row],[fecha_inicio]])</f>
        <v/>
      </c>
      <c r="AB4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2" s="3">
        <f>IF(tblOrdenes[[#This Row],[backlog_habiles]]="","",IF(tblOrdenes[[#This Row],[backlog_habiles]]&lt;0,"FUTURO",IF(tblOrdenes[[#This Row],[backlog_habiles]]&gt;p_dias_backlog_max,"BACKLOG","MES CORRIENTE")))</f>
        <v/>
      </c>
      <c r="AD442" s="3">
        <f>IF(tblOrdenes[[#This Row],[backlog_habiles]]="",FALSE,AND(tblOrdenes[[#This Row],[backlog_habiles]]&gt;p_dias_backlog_min,tblOrdenes[[#This Row],[backlog_habiles]]&lt;=p_dias_backlog_max))</f>
        <v/>
      </c>
      <c r="AE442" s="6" t="n"/>
      <c r="AF4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2" s="11">
        <f>IF(tblOrdenes[[#This Row],[orden]]="","",_xlfn.XLOOKUP(tblOrdenes[[#This Row],[id_operacion]],tblEjecucion[id_operacion],tblEjecucion[precio],0))</f>
        <v/>
      </c>
      <c r="AJ442" s="11">
        <f>IF(tblOrdenes[[#This Row],[orden]]="","",MAX(0,_xlfn.XLOOKUP(tblOrdenes[[#This Row],[id_operacion]],tblEjecucion[id_operacion],tblEjecucion[costo_plan_total],0)-tblOrdenes[[#This Row],[costo_servicio]]))</f>
        <v/>
      </c>
      <c r="AK442" s="11">
        <f>IF(tblOrdenes[[#This Row],[orden]]="","",tblOrdenes[[#This Row],[costo_servicio]]+tblOrdenes[[#This Row],[costo_materiales]])</f>
        <v/>
      </c>
      <c r="AL442" s="6" t="n"/>
      <c r="AM442" s="6" t="n"/>
      <c r="AN442" s="6" t="n"/>
      <c r="AO442" s="3">
        <f>IF(tblOrdenes[[#This Row],[link_checklist]]="","",HYPERLINK(p_ruta_base_checklists&amp;tblOrdenes[[#This Row],[link_checklist]],"abrir"))</f>
        <v/>
      </c>
      <c r="AP442" s="6" t="n"/>
      <c r="AQ442" s="3">
        <f>IF(tblOrdenes[[#This Row],[orden]]="","",tblOrdenes[[#This Row],[orden]]&amp;IF(tblOrdenes[[#This Row],[operacion]]="","0010",tblOrdenes[[#This Row],[operacion]]))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2" t="n"/>
      <c r="K443" s="3" t="n"/>
      <c r="L443" s="11" t="n"/>
      <c r="M4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3" s="3">
        <f>IF(tblOrdenes[[#This Row],[fecha_inicio]]="","",YEAR(tblOrdenes[[#This Row],[fecha_inicio]]))</f>
        <v/>
      </c>
      <c r="Q443" s="3">
        <f>IF(tblOrdenes[[#This Row],[fecha_inicio]]="","",MONTH(tblOrdenes[[#This Row],[fecha_inicio]]))</f>
        <v/>
      </c>
      <c r="R443" s="3">
        <f>IF(tblOrdenes[[#This Row],[fecha_inicio]]="","",INDEX(lista_dias,WEEKDAY(tblOrdenes[[#This Row],[fecha_inicio]],2)))</f>
        <v/>
      </c>
      <c r="S4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3" s="3">
        <f>IF(tblOrdenes[[#This Row],[tipo_ot]]="","",_xlfn.XLOOKUP(tblOrdenes[[#This Row],[tipo_ot]],tblTiposOT[codigo],tblTiposOT[clasificacion],"sin_clasificar"))</f>
        <v/>
      </c>
      <c r="U443" s="3">
        <f>IF(tblOrdenes[[#This Row],[centro_costo]]="","",_xlfn.XLOOKUP(tblOrdenes[[#This Row],[centro_costo]],tblCECO[codigo],tblCECO[linea],"(sin catálogo)"))</f>
        <v/>
      </c>
      <c r="V443" s="3">
        <f>IF(tblOrdenes[[#This Row],[centro_costo]]="","",_xlfn.XLOOKUP(tblOrdenes[[#This Row],[centro_costo]],tblCECO[codigo],tblCECO[area],"(sin catálogo)"))</f>
        <v/>
      </c>
      <c r="W4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3" s="3">
        <f>IF(tblOrdenes[[#This Row],[centro_costo]]="","",_xlfn.XLOOKUP(tblOrdenes[[#This Row],[centro_costo]],tblCECO[codigo],tblCECO[coordinador],"(sin catálogo)"))</f>
        <v/>
      </c>
      <c r="Y443" s="3">
        <f>IF(tblOrdenes[[#This Row],[puesto_trabajo]]="","",_xlfn.XLOOKUP(tblOrdenes[[#This Row],[puesto_trabajo]],tblPuestos[codigo],tblPuestos[especialidad],"(sin catálogo)"))</f>
        <v/>
      </c>
      <c r="Z443" s="3">
        <f>IF(tblOrdenes[[#This Row],[cod_actividad]]="","",_xlfn.XLOOKUP(tblOrdenes[[#This Row],[cod_actividad]],tblActividades[codigo],tblActividades[descripcion],"(sin catálogo)"))</f>
        <v/>
      </c>
      <c r="AA443" s="13">
        <f>IF(tblOrdenes[[#This Row],[fecha_inicio]]="","",TODAY()-tblOrdenes[[#This Row],[fecha_inicio]])</f>
        <v/>
      </c>
      <c r="AB4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3" s="3">
        <f>IF(tblOrdenes[[#This Row],[backlog_habiles]]="","",IF(tblOrdenes[[#This Row],[backlog_habiles]]&lt;0,"FUTURO",IF(tblOrdenes[[#This Row],[backlog_habiles]]&gt;p_dias_backlog_max,"BACKLOG","MES CORRIENTE")))</f>
        <v/>
      </c>
      <c r="AD443" s="3">
        <f>IF(tblOrdenes[[#This Row],[backlog_habiles]]="",FALSE,AND(tblOrdenes[[#This Row],[backlog_habiles]]&gt;p_dias_backlog_min,tblOrdenes[[#This Row],[backlog_habiles]]&lt;=p_dias_backlog_max))</f>
        <v/>
      </c>
      <c r="AE443" s="6" t="n"/>
      <c r="AF4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3" s="11">
        <f>IF(tblOrdenes[[#This Row],[orden]]="","",_xlfn.XLOOKUP(tblOrdenes[[#This Row],[id_operacion]],tblEjecucion[id_operacion],tblEjecucion[precio],0))</f>
        <v/>
      </c>
      <c r="AJ443" s="11">
        <f>IF(tblOrdenes[[#This Row],[orden]]="","",MAX(0,_xlfn.XLOOKUP(tblOrdenes[[#This Row],[id_operacion]],tblEjecucion[id_operacion],tblEjecucion[costo_plan_total],0)-tblOrdenes[[#This Row],[costo_servicio]]))</f>
        <v/>
      </c>
      <c r="AK443" s="11">
        <f>IF(tblOrdenes[[#This Row],[orden]]="","",tblOrdenes[[#This Row],[costo_servicio]]+tblOrdenes[[#This Row],[costo_materiales]])</f>
        <v/>
      </c>
      <c r="AL443" s="6" t="n"/>
      <c r="AM443" s="6" t="n"/>
      <c r="AN443" s="6" t="n"/>
      <c r="AO443" s="3">
        <f>IF(tblOrdenes[[#This Row],[link_checklist]]="","",HYPERLINK(p_ruta_base_checklists&amp;tblOrdenes[[#This Row],[link_checklist]],"abrir"))</f>
        <v/>
      </c>
      <c r="AP443" s="6" t="n"/>
      <c r="AQ443" s="3">
        <f>IF(tblOrdenes[[#This Row],[orden]]="","",tblOrdenes[[#This Row],[orden]]&amp;IF(tblOrdenes[[#This Row],[operacion]]="","0010",tblOrdenes[[#This Row],[operacion]]))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2" t="n"/>
      <c r="K444" s="3" t="n"/>
      <c r="L444" s="11" t="n"/>
      <c r="M4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4" s="3">
        <f>IF(tblOrdenes[[#This Row],[fecha_inicio]]="","",YEAR(tblOrdenes[[#This Row],[fecha_inicio]]))</f>
        <v/>
      </c>
      <c r="Q444" s="3">
        <f>IF(tblOrdenes[[#This Row],[fecha_inicio]]="","",MONTH(tblOrdenes[[#This Row],[fecha_inicio]]))</f>
        <v/>
      </c>
      <c r="R444" s="3">
        <f>IF(tblOrdenes[[#This Row],[fecha_inicio]]="","",INDEX(lista_dias,WEEKDAY(tblOrdenes[[#This Row],[fecha_inicio]],2)))</f>
        <v/>
      </c>
      <c r="S4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4" s="3">
        <f>IF(tblOrdenes[[#This Row],[tipo_ot]]="","",_xlfn.XLOOKUP(tblOrdenes[[#This Row],[tipo_ot]],tblTiposOT[codigo],tblTiposOT[clasificacion],"sin_clasificar"))</f>
        <v/>
      </c>
      <c r="U444" s="3">
        <f>IF(tblOrdenes[[#This Row],[centro_costo]]="","",_xlfn.XLOOKUP(tblOrdenes[[#This Row],[centro_costo]],tblCECO[codigo],tblCECO[linea],"(sin catálogo)"))</f>
        <v/>
      </c>
      <c r="V444" s="3">
        <f>IF(tblOrdenes[[#This Row],[centro_costo]]="","",_xlfn.XLOOKUP(tblOrdenes[[#This Row],[centro_costo]],tblCECO[codigo],tblCECO[area],"(sin catálogo)"))</f>
        <v/>
      </c>
      <c r="W4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4" s="3">
        <f>IF(tblOrdenes[[#This Row],[centro_costo]]="","",_xlfn.XLOOKUP(tblOrdenes[[#This Row],[centro_costo]],tblCECO[codigo],tblCECO[coordinador],"(sin catálogo)"))</f>
        <v/>
      </c>
      <c r="Y444" s="3">
        <f>IF(tblOrdenes[[#This Row],[puesto_trabajo]]="","",_xlfn.XLOOKUP(tblOrdenes[[#This Row],[puesto_trabajo]],tblPuestos[codigo],tblPuestos[especialidad],"(sin catálogo)"))</f>
        <v/>
      </c>
      <c r="Z444" s="3">
        <f>IF(tblOrdenes[[#This Row],[cod_actividad]]="","",_xlfn.XLOOKUP(tblOrdenes[[#This Row],[cod_actividad]],tblActividades[codigo],tblActividades[descripcion],"(sin catálogo)"))</f>
        <v/>
      </c>
      <c r="AA444" s="13">
        <f>IF(tblOrdenes[[#This Row],[fecha_inicio]]="","",TODAY()-tblOrdenes[[#This Row],[fecha_inicio]])</f>
        <v/>
      </c>
      <c r="AB4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4" s="3">
        <f>IF(tblOrdenes[[#This Row],[backlog_habiles]]="","",IF(tblOrdenes[[#This Row],[backlog_habiles]]&lt;0,"FUTURO",IF(tblOrdenes[[#This Row],[backlog_habiles]]&gt;p_dias_backlog_max,"BACKLOG","MES CORRIENTE")))</f>
        <v/>
      </c>
      <c r="AD444" s="3">
        <f>IF(tblOrdenes[[#This Row],[backlog_habiles]]="",FALSE,AND(tblOrdenes[[#This Row],[backlog_habiles]]&gt;p_dias_backlog_min,tblOrdenes[[#This Row],[backlog_habiles]]&lt;=p_dias_backlog_max))</f>
        <v/>
      </c>
      <c r="AE444" s="6" t="n"/>
      <c r="AF4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4" s="11">
        <f>IF(tblOrdenes[[#This Row],[orden]]="","",_xlfn.XLOOKUP(tblOrdenes[[#This Row],[id_operacion]],tblEjecucion[id_operacion],tblEjecucion[precio],0))</f>
        <v/>
      </c>
      <c r="AJ444" s="11">
        <f>IF(tblOrdenes[[#This Row],[orden]]="","",MAX(0,_xlfn.XLOOKUP(tblOrdenes[[#This Row],[id_operacion]],tblEjecucion[id_operacion],tblEjecucion[costo_plan_total],0)-tblOrdenes[[#This Row],[costo_servicio]]))</f>
        <v/>
      </c>
      <c r="AK444" s="11">
        <f>IF(tblOrdenes[[#This Row],[orden]]="","",tblOrdenes[[#This Row],[costo_servicio]]+tblOrdenes[[#This Row],[costo_materiales]])</f>
        <v/>
      </c>
      <c r="AL444" s="6" t="n"/>
      <c r="AM444" s="6" t="n"/>
      <c r="AN444" s="6" t="n"/>
      <c r="AO444" s="3">
        <f>IF(tblOrdenes[[#This Row],[link_checklist]]="","",HYPERLINK(p_ruta_base_checklists&amp;tblOrdenes[[#This Row],[link_checklist]],"abrir"))</f>
        <v/>
      </c>
      <c r="AP444" s="6" t="n"/>
      <c r="AQ444" s="3">
        <f>IF(tblOrdenes[[#This Row],[orden]]="","",tblOrdenes[[#This Row],[orden]]&amp;IF(tblOrdenes[[#This Row],[operacion]]="","0010",tblOrdenes[[#This Row],[operacion]]))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2" t="n"/>
      <c r="K445" s="3" t="n"/>
      <c r="L445" s="11" t="n"/>
      <c r="M4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5" s="3">
        <f>IF(tblOrdenes[[#This Row],[fecha_inicio]]="","",YEAR(tblOrdenes[[#This Row],[fecha_inicio]]))</f>
        <v/>
      </c>
      <c r="Q445" s="3">
        <f>IF(tblOrdenes[[#This Row],[fecha_inicio]]="","",MONTH(tblOrdenes[[#This Row],[fecha_inicio]]))</f>
        <v/>
      </c>
      <c r="R445" s="3">
        <f>IF(tblOrdenes[[#This Row],[fecha_inicio]]="","",INDEX(lista_dias,WEEKDAY(tblOrdenes[[#This Row],[fecha_inicio]],2)))</f>
        <v/>
      </c>
      <c r="S4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5" s="3">
        <f>IF(tblOrdenes[[#This Row],[tipo_ot]]="","",_xlfn.XLOOKUP(tblOrdenes[[#This Row],[tipo_ot]],tblTiposOT[codigo],tblTiposOT[clasificacion],"sin_clasificar"))</f>
        <v/>
      </c>
      <c r="U445" s="3">
        <f>IF(tblOrdenes[[#This Row],[centro_costo]]="","",_xlfn.XLOOKUP(tblOrdenes[[#This Row],[centro_costo]],tblCECO[codigo],tblCECO[linea],"(sin catálogo)"))</f>
        <v/>
      </c>
      <c r="V445" s="3">
        <f>IF(tblOrdenes[[#This Row],[centro_costo]]="","",_xlfn.XLOOKUP(tblOrdenes[[#This Row],[centro_costo]],tblCECO[codigo],tblCECO[area],"(sin catálogo)"))</f>
        <v/>
      </c>
      <c r="W4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5" s="3">
        <f>IF(tblOrdenes[[#This Row],[centro_costo]]="","",_xlfn.XLOOKUP(tblOrdenes[[#This Row],[centro_costo]],tblCECO[codigo],tblCECO[coordinador],"(sin catálogo)"))</f>
        <v/>
      </c>
      <c r="Y445" s="3">
        <f>IF(tblOrdenes[[#This Row],[puesto_trabajo]]="","",_xlfn.XLOOKUP(tblOrdenes[[#This Row],[puesto_trabajo]],tblPuestos[codigo],tblPuestos[especialidad],"(sin catálogo)"))</f>
        <v/>
      </c>
      <c r="Z445" s="3">
        <f>IF(tblOrdenes[[#This Row],[cod_actividad]]="","",_xlfn.XLOOKUP(tblOrdenes[[#This Row],[cod_actividad]],tblActividades[codigo],tblActividades[descripcion],"(sin catálogo)"))</f>
        <v/>
      </c>
      <c r="AA445" s="13">
        <f>IF(tblOrdenes[[#This Row],[fecha_inicio]]="","",TODAY()-tblOrdenes[[#This Row],[fecha_inicio]])</f>
        <v/>
      </c>
      <c r="AB4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5" s="3">
        <f>IF(tblOrdenes[[#This Row],[backlog_habiles]]="","",IF(tblOrdenes[[#This Row],[backlog_habiles]]&lt;0,"FUTURO",IF(tblOrdenes[[#This Row],[backlog_habiles]]&gt;p_dias_backlog_max,"BACKLOG","MES CORRIENTE")))</f>
        <v/>
      </c>
      <c r="AD445" s="3">
        <f>IF(tblOrdenes[[#This Row],[backlog_habiles]]="",FALSE,AND(tblOrdenes[[#This Row],[backlog_habiles]]&gt;p_dias_backlog_min,tblOrdenes[[#This Row],[backlog_habiles]]&lt;=p_dias_backlog_max))</f>
        <v/>
      </c>
      <c r="AE445" s="6" t="n"/>
      <c r="AF4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5" s="11">
        <f>IF(tblOrdenes[[#This Row],[orden]]="","",_xlfn.XLOOKUP(tblOrdenes[[#This Row],[id_operacion]],tblEjecucion[id_operacion],tblEjecucion[precio],0))</f>
        <v/>
      </c>
      <c r="AJ445" s="11">
        <f>IF(tblOrdenes[[#This Row],[orden]]="","",MAX(0,_xlfn.XLOOKUP(tblOrdenes[[#This Row],[id_operacion]],tblEjecucion[id_operacion],tblEjecucion[costo_plan_total],0)-tblOrdenes[[#This Row],[costo_servicio]]))</f>
        <v/>
      </c>
      <c r="AK445" s="11">
        <f>IF(tblOrdenes[[#This Row],[orden]]="","",tblOrdenes[[#This Row],[costo_servicio]]+tblOrdenes[[#This Row],[costo_materiales]])</f>
        <v/>
      </c>
      <c r="AL445" s="6" t="n"/>
      <c r="AM445" s="6" t="n"/>
      <c r="AN445" s="6" t="n"/>
      <c r="AO445" s="3">
        <f>IF(tblOrdenes[[#This Row],[link_checklist]]="","",HYPERLINK(p_ruta_base_checklists&amp;tblOrdenes[[#This Row],[link_checklist]],"abrir"))</f>
        <v/>
      </c>
      <c r="AP445" s="6" t="n"/>
      <c r="AQ445" s="3">
        <f>IF(tblOrdenes[[#This Row],[orden]]="","",tblOrdenes[[#This Row],[orden]]&amp;IF(tblOrdenes[[#This Row],[operacion]]="","0010",tblOrdenes[[#This Row],[operacion]]))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2" t="n"/>
      <c r="K446" s="3" t="n"/>
      <c r="L446" s="11" t="n"/>
      <c r="M4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6" s="3">
        <f>IF(tblOrdenes[[#This Row],[fecha_inicio]]="","",YEAR(tblOrdenes[[#This Row],[fecha_inicio]]))</f>
        <v/>
      </c>
      <c r="Q446" s="3">
        <f>IF(tblOrdenes[[#This Row],[fecha_inicio]]="","",MONTH(tblOrdenes[[#This Row],[fecha_inicio]]))</f>
        <v/>
      </c>
      <c r="R446" s="3">
        <f>IF(tblOrdenes[[#This Row],[fecha_inicio]]="","",INDEX(lista_dias,WEEKDAY(tblOrdenes[[#This Row],[fecha_inicio]],2)))</f>
        <v/>
      </c>
      <c r="S4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6" s="3">
        <f>IF(tblOrdenes[[#This Row],[tipo_ot]]="","",_xlfn.XLOOKUP(tblOrdenes[[#This Row],[tipo_ot]],tblTiposOT[codigo],tblTiposOT[clasificacion],"sin_clasificar"))</f>
        <v/>
      </c>
      <c r="U446" s="3">
        <f>IF(tblOrdenes[[#This Row],[centro_costo]]="","",_xlfn.XLOOKUP(tblOrdenes[[#This Row],[centro_costo]],tblCECO[codigo],tblCECO[linea],"(sin catálogo)"))</f>
        <v/>
      </c>
      <c r="V446" s="3">
        <f>IF(tblOrdenes[[#This Row],[centro_costo]]="","",_xlfn.XLOOKUP(tblOrdenes[[#This Row],[centro_costo]],tblCECO[codigo],tblCECO[area],"(sin catálogo)"))</f>
        <v/>
      </c>
      <c r="W4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6" s="3">
        <f>IF(tblOrdenes[[#This Row],[centro_costo]]="","",_xlfn.XLOOKUP(tblOrdenes[[#This Row],[centro_costo]],tblCECO[codigo],tblCECO[coordinador],"(sin catálogo)"))</f>
        <v/>
      </c>
      <c r="Y446" s="3">
        <f>IF(tblOrdenes[[#This Row],[puesto_trabajo]]="","",_xlfn.XLOOKUP(tblOrdenes[[#This Row],[puesto_trabajo]],tblPuestos[codigo],tblPuestos[especialidad],"(sin catálogo)"))</f>
        <v/>
      </c>
      <c r="Z446" s="3">
        <f>IF(tblOrdenes[[#This Row],[cod_actividad]]="","",_xlfn.XLOOKUP(tblOrdenes[[#This Row],[cod_actividad]],tblActividades[codigo],tblActividades[descripcion],"(sin catálogo)"))</f>
        <v/>
      </c>
      <c r="AA446" s="13">
        <f>IF(tblOrdenes[[#This Row],[fecha_inicio]]="","",TODAY()-tblOrdenes[[#This Row],[fecha_inicio]])</f>
        <v/>
      </c>
      <c r="AB4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6" s="3">
        <f>IF(tblOrdenes[[#This Row],[backlog_habiles]]="","",IF(tblOrdenes[[#This Row],[backlog_habiles]]&lt;0,"FUTURO",IF(tblOrdenes[[#This Row],[backlog_habiles]]&gt;p_dias_backlog_max,"BACKLOG","MES CORRIENTE")))</f>
        <v/>
      </c>
      <c r="AD446" s="3">
        <f>IF(tblOrdenes[[#This Row],[backlog_habiles]]="",FALSE,AND(tblOrdenes[[#This Row],[backlog_habiles]]&gt;p_dias_backlog_min,tblOrdenes[[#This Row],[backlog_habiles]]&lt;=p_dias_backlog_max))</f>
        <v/>
      </c>
      <c r="AE446" s="6" t="n"/>
      <c r="AF4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6" s="11">
        <f>IF(tblOrdenes[[#This Row],[orden]]="","",_xlfn.XLOOKUP(tblOrdenes[[#This Row],[id_operacion]],tblEjecucion[id_operacion],tblEjecucion[precio],0))</f>
        <v/>
      </c>
      <c r="AJ446" s="11">
        <f>IF(tblOrdenes[[#This Row],[orden]]="","",MAX(0,_xlfn.XLOOKUP(tblOrdenes[[#This Row],[id_operacion]],tblEjecucion[id_operacion],tblEjecucion[costo_plan_total],0)-tblOrdenes[[#This Row],[costo_servicio]]))</f>
        <v/>
      </c>
      <c r="AK446" s="11">
        <f>IF(tblOrdenes[[#This Row],[orden]]="","",tblOrdenes[[#This Row],[costo_servicio]]+tblOrdenes[[#This Row],[costo_materiales]])</f>
        <v/>
      </c>
      <c r="AL446" s="6" t="n"/>
      <c r="AM446" s="6" t="n"/>
      <c r="AN446" s="6" t="n"/>
      <c r="AO446" s="3">
        <f>IF(tblOrdenes[[#This Row],[link_checklist]]="","",HYPERLINK(p_ruta_base_checklists&amp;tblOrdenes[[#This Row],[link_checklist]],"abrir"))</f>
        <v/>
      </c>
      <c r="AP446" s="6" t="n"/>
      <c r="AQ446" s="3">
        <f>IF(tblOrdenes[[#This Row],[orden]]="","",tblOrdenes[[#This Row],[orden]]&amp;IF(tblOrdenes[[#This Row],[operacion]]="","0010",tblOrdenes[[#This Row],[operacion]]))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2" t="n"/>
      <c r="K447" s="3" t="n"/>
      <c r="L447" s="11" t="n"/>
      <c r="M4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7" s="3">
        <f>IF(tblOrdenes[[#This Row],[fecha_inicio]]="","",YEAR(tblOrdenes[[#This Row],[fecha_inicio]]))</f>
        <v/>
      </c>
      <c r="Q447" s="3">
        <f>IF(tblOrdenes[[#This Row],[fecha_inicio]]="","",MONTH(tblOrdenes[[#This Row],[fecha_inicio]]))</f>
        <v/>
      </c>
      <c r="R447" s="3">
        <f>IF(tblOrdenes[[#This Row],[fecha_inicio]]="","",INDEX(lista_dias,WEEKDAY(tblOrdenes[[#This Row],[fecha_inicio]],2)))</f>
        <v/>
      </c>
      <c r="S4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7" s="3">
        <f>IF(tblOrdenes[[#This Row],[tipo_ot]]="","",_xlfn.XLOOKUP(tblOrdenes[[#This Row],[tipo_ot]],tblTiposOT[codigo],tblTiposOT[clasificacion],"sin_clasificar"))</f>
        <v/>
      </c>
      <c r="U447" s="3">
        <f>IF(tblOrdenes[[#This Row],[centro_costo]]="","",_xlfn.XLOOKUP(tblOrdenes[[#This Row],[centro_costo]],tblCECO[codigo],tblCECO[linea],"(sin catálogo)"))</f>
        <v/>
      </c>
      <c r="V447" s="3">
        <f>IF(tblOrdenes[[#This Row],[centro_costo]]="","",_xlfn.XLOOKUP(tblOrdenes[[#This Row],[centro_costo]],tblCECO[codigo],tblCECO[area],"(sin catálogo)"))</f>
        <v/>
      </c>
      <c r="W4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7" s="3">
        <f>IF(tblOrdenes[[#This Row],[centro_costo]]="","",_xlfn.XLOOKUP(tblOrdenes[[#This Row],[centro_costo]],tblCECO[codigo],tblCECO[coordinador],"(sin catálogo)"))</f>
        <v/>
      </c>
      <c r="Y447" s="3">
        <f>IF(tblOrdenes[[#This Row],[puesto_trabajo]]="","",_xlfn.XLOOKUP(tblOrdenes[[#This Row],[puesto_trabajo]],tblPuestos[codigo],tblPuestos[especialidad],"(sin catálogo)"))</f>
        <v/>
      </c>
      <c r="Z447" s="3">
        <f>IF(tblOrdenes[[#This Row],[cod_actividad]]="","",_xlfn.XLOOKUP(tblOrdenes[[#This Row],[cod_actividad]],tblActividades[codigo],tblActividades[descripcion],"(sin catálogo)"))</f>
        <v/>
      </c>
      <c r="AA447" s="13">
        <f>IF(tblOrdenes[[#This Row],[fecha_inicio]]="","",TODAY()-tblOrdenes[[#This Row],[fecha_inicio]])</f>
        <v/>
      </c>
      <c r="AB4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7" s="3">
        <f>IF(tblOrdenes[[#This Row],[backlog_habiles]]="","",IF(tblOrdenes[[#This Row],[backlog_habiles]]&lt;0,"FUTURO",IF(tblOrdenes[[#This Row],[backlog_habiles]]&gt;p_dias_backlog_max,"BACKLOG","MES CORRIENTE")))</f>
        <v/>
      </c>
      <c r="AD447" s="3">
        <f>IF(tblOrdenes[[#This Row],[backlog_habiles]]="",FALSE,AND(tblOrdenes[[#This Row],[backlog_habiles]]&gt;p_dias_backlog_min,tblOrdenes[[#This Row],[backlog_habiles]]&lt;=p_dias_backlog_max))</f>
        <v/>
      </c>
      <c r="AE447" s="6" t="n"/>
      <c r="AF4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7" s="11">
        <f>IF(tblOrdenes[[#This Row],[orden]]="","",_xlfn.XLOOKUP(tblOrdenes[[#This Row],[id_operacion]],tblEjecucion[id_operacion],tblEjecucion[precio],0))</f>
        <v/>
      </c>
      <c r="AJ447" s="11">
        <f>IF(tblOrdenes[[#This Row],[orden]]="","",MAX(0,_xlfn.XLOOKUP(tblOrdenes[[#This Row],[id_operacion]],tblEjecucion[id_operacion],tblEjecucion[costo_plan_total],0)-tblOrdenes[[#This Row],[costo_servicio]]))</f>
        <v/>
      </c>
      <c r="AK447" s="11">
        <f>IF(tblOrdenes[[#This Row],[orden]]="","",tblOrdenes[[#This Row],[costo_servicio]]+tblOrdenes[[#This Row],[costo_materiales]])</f>
        <v/>
      </c>
      <c r="AL447" s="6" t="n"/>
      <c r="AM447" s="6" t="n"/>
      <c r="AN447" s="6" t="n"/>
      <c r="AO447" s="3">
        <f>IF(tblOrdenes[[#This Row],[link_checklist]]="","",HYPERLINK(p_ruta_base_checklists&amp;tblOrdenes[[#This Row],[link_checklist]],"abrir"))</f>
        <v/>
      </c>
      <c r="AP447" s="6" t="n"/>
      <c r="AQ447" s="3">
        <f>IF(tblOrdenes[[#This Row],[orden]]="","",tblOrdenes[[#This Row],[orden]]&amp;IF(tblOrdenes[[#This Row],[operacion]]="","0010",tblOrdenes[[#This Row],[operacion]]))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2" t="n"/>
      <c r="K448" s="3" t="n"/>
      <c r="L448" s="11" t="n"/>
      <c r="M4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8" s="3">
        <f>IF(tblOrdenes[[#This Row],[fecha_inicio]]="","",YEAR(tblOrdenes[[#This Row],[fecha_inicio]]))</f>
        <v/>
      </c>
      <c r="Q448" s="3">
        <f>IF(tblOrdenes[[#This Row],[fecha_inicio]]="","",MONTH(tblOrdenes[[#This Row],[fecha_inicio]]))</f>
        <v/>
      </c>
      <c r="R448" s="3">
        <f>IF(tblOrdenes[[#This Row],[fecha_inicio]]="","",INDEX(lista_dias,WEEKDAY(tblOrdenes[[#This Row],[fecha_inicio]],2)))</f>
        <v/>
      </c>
      <c r="S4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8" s="3">
        <f>IF(tblOrdenes[[#This Row],[tipo_ot]]="","",_xlfn.XLOOKUP(tblOrdenes[[#This Row],[tipo_ot]],tblTiposOT[codigo],tblTiposOT[clasificacion],"sin_clasificar"))</f>
        <v/>
      </c>
      <c r="U448" s="3">
        <f>IF(tblOrdenes[[#This Row],[centro_costo]]="","",_xlfn.XLOOKUP(tblOrdenes[[#This Row],[centro_costo]],tblCECO[codigo],tblCECO[linea],"(sin catálogo)"))</f>
        <v/>
      </c>
      <c r="V448" s="3">
        <f>IF(tblOrdenes[[#This Row],[centro_costo]]="","",_xlfn.XLOOKUP(tblOrdenes[[#This Row],[centro_costo]],tblCECO[codigo],tblCECO[area],"(sin catálogo)"))</f>
        <v/>
      </c>
      <c r="W4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8" s="3">
        <f>IF(tblOrdenes[[#This Row],[centro_costo]]="","",_xlfn.XLOOKUP(tblOrdenes[[#This Row],[centro_costo]],tblCECO[codigo],tblCECO[coordinador],"(sin catálogo)"))</f>
        <v/>
      </c>
      <c r="Y448" s="3">
        <f>IF(tblOrdenes[[#This Row],[puesto_trabajo]]="","",_xlfn.XLOOKUP(tblOrdenes[[#This Row],[puesto_trabajo]],tblPuestos[codigo],tblPuestos[especialidad],"(sin catálogo)"))</f>
        <v/>
      </c>
      <c r="Z448" s="3">
        <f>IF(tblOrdenes[[#This Row],[cod_actividad]]="","",_xlfn.XLOOKUP(tblOrdenes[[#This Row],[cod_actividad]],tblActividades[codigo],tblActividades[descripcion],"(sin catálogo)"))</f>
        <v/>
      </c>
      <c r="AA448" s="13">
        <f>IF(tblOrdenes[[#This Row],[fecha_inicio]]="","",TODAY()-tblOrdenes[[#This Row],[fecha_inicio]])</f>
        <v/>
      </c>
      <c r="AB4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8" s="3">
        <f>IF(tblOrdenes[[#This Row],[backlog_habiles]]="","",IF(tblOrdenes[[#This Row],[backlog_habiles]]&lt;0,"FUTURO",IF(tblOrdenes[[#This Row],[backlog_habiles]]&gt;p_dias_backlog_max,"BACKLOG","MES CORRIENTE")))</f>
        <v/>
      </c>
      <c r="AD448" s="3">
        <f>IF(tblOrdenes[[#This Row],[backlog_habiles]]="",FALSE,AND(tblOrdenes[[#This Row],[backlog_habiles]]&gt;p_dias_backlog_min,tblOrdenes[[#This Row],[backlog_habiles]]&lt;=p_dias_backlog_max))</f>
        <v/>
      </c>
      <c r="AE448" s="6" t="n"/>
      <c r="AF4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8" s="11">
        <f>IF(tblOrdenes[[#This Row],[orden]]="","",_xlfn.XLOOKUP(tblOrdenes[[#This Row],[id_operacion]],tblEjecucion[id_operacion],tblEjecucion[precio],0))</f>
        <v/>
      </c>
      <c r="AJ448" s="11">
        <f>IF(tblOrdenes[[#This Row],[orden]]="","",MAX(0,_xlfn.XLOOKUP(tblOrdenes[[#This Row],[id_operacion]],tblEjecucion[id_operacion],tblEjecucion[costo_plan_total],0)-tblOrdenes[[#This Row],[costo_servicio]]))</f>
        <v/>
      </c>
      <c r="AK448" s="11">
        <f>IF(tblOrdenes[[#This Row],[orden]]="","",tblOrdenes[[#This Row],[costo_servicio]]+tblOrdenes[[#This Row],[costo_materiales]])</f>
        <v/>
      </c>
      <c r="AL448" s="6" t="n"/>
      <c r="AM448" s="6" t="n"/>
      <c r="AN448" s="6" t="n"/>
      <c r="AO448" s="3">
        <f>IF(tblOrdenes[[#This Row],[link_checklist]]="","",HYPERLINK(p_ruta_base_checklists&amp;tblOrdenes[[#This Row],[link_checklist]],"abrir"))</f>
        <v/>
      </c>
      <c r="AP448" s="6" t="n"/>
      <c r="AQ448" s="3">
        <f>IF(tblOrdenes[[#This Row],[orden]]="","",tblOrdenes[[#This Row],[orden]]&amp;IF(tblOrdenes[[#This Row],[operacion]]="","0010",tblOrdenes[[#This Row],[operacion]]))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2" t="n"/>
      <c r="K449" s="3" t="n"/>
      <c r="L449" s="11" t="n"/>
      <c r="M4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9" s="3">
        <f>IF(tblOrdenes[[#This Row],[fecha_inicio]]="","",YEAR(tblOrdenes[[#This Row],[fecha_inicio]]))</f>
        <v/>
      </c>
      <c r="Q449" s="3">
        <f>IF(tblOrdenes[[#This Row],[fecha_inicio]]="","",MONTH(tblOrdenes[[#This Row],[fecha_inicio]]))</f>
        <v/>
      </c>
      <c r="R449" s="3">
        <f>IF(tblOrdenes[[#This Row],[fecha_inicio]]="","",INDEX(lista_dias,WEEKDAY(tblOrdenes[[#This Row],[fecha_inicio]],2)))</f>
        <v/>
      </c>
      <c r="S4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9" s="3">
        <f>IF(tblOrdenes[[#This Row],[tipo_ot]]="","",_xlfn.XLOOKUP(tblOrdenes[[#This Row],[tipo_ot]],tblTiposOT[codigo],tblTiposOT[clasificacion],"sin_clasificar"))</f>
        <v/>
      </c>
      <c r="U449" s="3">
        <f>IF(tblOrdenes[[#This Row],[centro_costo]]="","",_xlfn.XLOOKUP(tblOrdenes[[#This Row],[centro_costo]],tblCECO[codigo],tblCECO[linea],"(sin catálogo)"))</f>
        <v/>
      </c>
      <c r="V449" s="3">
        <f>IF(tblOrdenes[[#This Row],[centro_costo]]="","",_xlfn.XLOOKUP(tblOrdenes[[#This Row],[centro_costo]],tblCECO[codigo],tblCECO[area],"(sin catálogo)"))</f>
        <v/>
      </c>
      <c r="W4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9" s="3">
        <f>IF(tblOrdenes[[#This Row],[centro_costo]]="","",_xlfn.XLOOKUP(tblOrdenes[[#This Row],[centro_costo]],tblCECO[codigo],tblCECO[coordinador],"(sin catálogo)"))</f>
        <v/>
      </c>
      <c r="Y449" s="3">
        <f>IF(tblOrdenes[[#This Row],[puesto_trabajo]]="","",_xlfn.XLOOKUP(tblOrdenes[[#This Row],[puesto_trabajo]],tblPuestos[codigo],tblPuestos[especialidad],"(sin catálogo)"))</f>
        <v/>
      </c>
      <c r="Z449" s="3">
        <f>IF(tblOrdenes[[#This Row],[cod_actividad]]="","",_xlfn.XLOOKUP(tblOrdenes[[#This Row],[cod_actividad]],tblActividades[codigo],tblActividades[descripcion],"(sin catálogo)"))</f>
        <v/>
      </c>
      <c r="AA449" s="13">
        <f>IF(tblOrdenes[[#This Row],[fecha_inicio]]="","",TODAY()-tblOrdenes[[#This Row],[fecha_inicio]])</f>
        <v/>
      </c>
      <c r="AB4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9" s="3">
        <f>IF(tblOrdenes[[#This Row],[backlog_habiles]]="","",IF(tblOrdenes[[#This Row],[backlog_habiles]]&lt;0,"FUTURO",IF(tblOrdenes[[#This Row],[backlog_habiles]]&gt;p_dias_backlog_max,"BACKLOG","MES CORRIENTE")))</f>
        <v/>
      </c>
      <c r="AD449" s="3">
        <f>IF(tblOrdenes[[#This Row],[backlog_habiles]]="",FALSE,AND(tblOrdenes[[#This Row],[backlog_habiles]]&gt;p_dias_backlog_min,tblOrdenes[[#This Row],[backlog_habiles]]&lt;=p_dias_backlog_max))</f>
        <v/>
      </c>
      <c r="AE449" s="6" t="n"/>
      <c r="AF4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9" s="11">
        <f>IF(tblOrdenes[[#This Row],[orden]]="","",_xlfn.XLOOKUP(tblOrdenes[[#This Row],[id_operacion]],tblEjecucion[id_operacion],tblEjecucion[precio],0))</f>
        <v/>
      </c>
      <c r="AJ449" s="11">
        <f>IF(tblOrdenes[[#This Row],[orden]]="","",MAX(0,_xlfn.XLOOKUP(tblOrdenes[[#This Row],[id_operacion]],tblEjecucion[id_operacion],tblEjecucion[costo_plan_total],0)-tblOrdenes[[#This Row],[costo_servicio]]))</f>
        <v/>
      </c>
      <c r="AK449" s="11">
        <f>IF(tblOrdenes[[#This Row],[orden]]="","",tblOrdenes[[#This Row],[costo_servicio]]+tblOrdenes[[#This Row],[costo_materiales]])</f>
        <v/>
      </c>
      <c r="AL449" s="6" t="n"/>
      <c r="AM449" s="6" t="n"/>
      <c r="AN449" s="6" t="n"/>
      <c r="AO449" s="3">
        <f>IF(tblOrdenes[[#This Row],[link_checklist]]="","",HYPERLINK(p_ruta_base_checklists&amp;tblOrdenes[[#This Row],[link_checklist]],"abrir"))</f>
        <v/>
      </c>
      <c r="AP449" s="6" t="n"/>
      <c r="AQ449" s="3">
        <f>IF(tblOrdenes[[#This Row],[orden]]="","",tblOrdenes[[#This Row],[orden]]&amp;IF(tblOrdenes[[#This Row],[operacion]]="","0010",tblOrdenes[[#This Row],[operacion]]))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2" t="n"/>
      <c r="K450" s="3" t="n"/>
      <c r="L450" s="11" t="n"/>
      <c r="M4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0" s="3">
        <f>IF(tblOrdenes[[#This Row],[fecha_inicio]]="","",YEAR(tblOrdenes[[#This Row],[fecha_inicio]]))</f>
        <v/>
      </c>
      <c r="Q450" s="3">
        <f>IF(tblOrdenes[[#This Row],[fecha_inicio]]="","",MONTH(tblOrdenes[[#This Row],[fecha_inicio]]))</f>
        <v/>
      </c>
      <c r="R450" s="3">
        <f>IF(tblOrdenes[[#This Row],[fecha_inicio]]="","",INDEX(lista_dias,WEEKDAY(tblOrdenes[[#This Row],[fecha_inicio]],2)))</f>
        <v/>
      </c>
      <c r="S4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0" s="3">
        <f>IF(tblOrdenes[[#This Row],[tipo_ot]]="","",_xlfn.XLOOKUP(tblOrdenes[[#This Row],[tipo_ot]],tblTiposOT[codigo],tblTiposOT[clasificacion],"sin_clasificar"))</f>
        <v/>
      </c>
      <c r="U450" s="3">
        <f>IF(tblOrdenes[[#This Row],[centro_costo]]="","",_xlfn.XLOOKUP(tblOrdenes[[#This Row],[centro_costo]],tblCECO[codigo],tblCECO[linea],"(sin catálogo)"))</f>
        <v/>
      </c>
      <c r="V450" s="3">
        <f>IF(tblOrdenes[[#This Row],[centro_costo]]="","",_xlfn.XLOOKUP(tblOrdenes[[#This Row],[centro_costo]],tblCECO[codigo],tblCECO[area],"(sin catálogo)"))</f>
        <v/>
      </c>
      <c r="W4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0" s="3">
        <f>IF(tblOrdenes[[#This Row],[centro_costo]]="","",_xlfn.XLOOKUP(tblOrdenes[[#This Row],[centro_costo]],tblCECO[codigo],tblCECO[coordinador],"(sin catálogo)"))</f>
        <v/>
      </c>
      <c r="Y450" s="3">
        <f>IF(tblOrdenes[[#This Row],[puesto_trabajo]]="","",_xlfn.XLOOKUP(tblOrdenes[[#This Row],[puesto_trabajo]],tblPuestos[codigo],tblPuestos[especialidad],"(sin catálogo)"))</f>
        <v/>
      </c>
      <c r="Z450" s="3">
        <f>IF(tblOrdenes[[#This Row],[cod_actividad]]="","",_xlfn.XLOOKUP(tblOrdenes[[#This Row],[cod_actividad]],tblActividades[codigo],tblActividades[descripcion],"(sin catálogo)"))</f>
        <v/>
      </c>
      <c r="AA450" s="13">
        <f>IF(tblOrdenes[[#This Row],[fecha_inicio]]="","",TODAY()-tblOrdenes[[#This Row],[fecha_inicio]])</f>
        <v/>
      </c>
      <c r="AB4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0" s="3">
        <f>IF(tblOrdenes[[#This Row],[backlog_habiles]]="","",IF(tblOrdenes[[#This Row],[backlog_habiles]]&lt;0,"FUTURO",IF(tblOrdenes[[#This Row],[backlog_habiles]]&gt;p_dias_backlog_max,"BACKLOG","MES CORRIENTE")))</f>
        <v/>
      </c>
      <c r="AD450" s="3">
        <f>IF(tblOrdenes[[#This Row],[backlog_habiles]]="",FALSE,AND(tblOrdenes[[#This Row],[backlog_habiles]]&gt;p_dias_backlog_min,tblOrdenes[[#This Row],[backlog_habiles]]&lt;=p_dias_backlog_max))</f>
        <v/>
      </c>
      <c r="AE450" s="6" t="n"/>
      <c r="AF4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0" s="11">
        <f>IF(tblOrdenes[[#This Row],[orden]]="","",_xlfn.XLOOKUP(tblOrdenes[[#This Row],[id_operacion]],tblEjecucion[id_operacion],tblEjecucion[precio],0))</f>
        <v/>
      </c>
      <c r="AJ450" s="11">
        <f>IF(tblOrdenes[[#This Row],[orden]]="","",MAX(0,_xlfn.XLOOKUP(tblOrdenes[[#This Row],[id_operacion]],tblEjecucion[id_operacion],tblEjecucion[costo_plan_total],0)-tblOrdenes[[#This Row],[costo_servicio]]))</f>
        <v/>
      </c>
      <c r="AK450" s="11">
        <f>IF(tblOrdenes[[#This Row],[orden]]="","",tblOrdenes[[#This Row],[costo_servicio]]+tblOrdenes[[#This Row],[costo_materiales]])</f>
        <v/>
      </c>
      <c r="AL450" s="6" t="n"/>
      <c r="AM450" s="6" t="n"/>
      <c r="AN450" s="6" t="n"/>
      <c r="AO450" s="3">
        <f>IF(tblOrdenes[[#This Row],[link_checklist]]="","",HYPERLINK(p_ruta_base_checklists&amp;tblOrdenes[[#This Row],[link_checklist]],"abrir"))</f>
        <v/>
      </c>
      <c r="AP450" s="6" t="n"/>
      <c r="AQ450" s="3">
        <f>IF(tblOrdenes[[#This Row],[orden]]="","",tblOrdenes[[#This Row],[orden]]&amp;IF(tblOrdenes[[#This Row],[operacion]]="","0010",tblOrdenes[[#This Row],[operacion]]))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2" t="n"/>
      <c r="K451" s="3" t="n"/>
      <c r="L451" s="11" t="n"/>
      <c r="M4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1" s="3">
        <f>IF(tblOrdenes[[#This Row],[fecha_inicio]]="","",YEAR(tblOrdenes[[#This Row],[fecha_inicio]]))</f>
        <v/>
      </c>
      <c r="Q451" s="3">
        <f>IF(tblOrdenes[[#This Row],[fecha_inicio]]="","",MONTH(tblOrdenes[[#This Row],[fecha_inicio]]))</f>
        <v/>
      </c>
      <c r="R451" s="3">
        <f>IF(tblOrdenes[[#This Row],[fecha_inicio]]="","",INDEX(lista_dias,WEEKDAY(tblOrdenes[[#This Row],[fecha_inicio]],2)))</f>
        <v/>
      </c>
      <c r="S4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1" s="3">
        <f>IF(tblOrdenes[[#This Row],[tipo_ot]]="","",_xlfn.XLOOKUP(tblOrdenes[[#This Row],[tipo_ot]],tblTiposOT[codigo],tblTiposOT[clasificacion],"sin_clasificar"))</f>
        <v/>
      </c>
      <c r="U451" s="3">
        <f>IF(tblOrdenes[[#This Row],[centro_costo]]="","",_xlfn.XLOOKUP(tblOrdenes[[#This Row],[centro_costo]],tblCECO[codigo],tblCECO[linea],"(sin catálogo)"))</f>
        <v/>
      </c>
      <c r="V451" s="3">
        <f>IF(tblOrdenes[[#This Row],[centro_costo]]="","",_xlfn.XLOOKUP(tblOrdenes[[#This Row],[centro_costo]],tblCECO[codigo],tblCECO[area],"(sin catálogo)"))</f>
        <v/>
      </c>
      <c r="W4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1" s="3">
        <f>IF(tblOrdenes[[#This Row],[centro_costo]]="","",_xlfn.XLOOKUP(tblOrdenes[[#This Row],[centro_costo]],tblCECO[codigo],tblCECO[coordinador],"(sin catálogo)"))</f>
        <v/>
      </c>
      <c r="Y451" s="3">
        <f>IF(tblOrdenes[[#This Row],[puesto_trabajo]]="","",_xlfn.XLOOKUP(tblOrdenes[[#This Row],[puesto_trabajo]],tblPuestos[codigo],tblPuestos[especialidad],"(sin catálogo)"))</f>
        <v/>
      </c>
      <c r="Z451" s="3">
        <f>IF(tblOrdenes[[#This Row],[cod_actividad]]="","",_xlfn.XLOOKUP(tblOrdenes[[#This Row],[cod_actividad]],tblActividades[codigo],tblActividades[descripcion],"(sin catálogo)"))</f>
        <v/>
      </c>
      <c r="AA451" s="13">
        <f>IF(tblOrdenes[[#This Row],[fecha_inicio]]="","",TODAY()-tblOrdenes[[#This Row],[fecha_inicio]])</f>
        <v/>
      </c>
      <c r="AB4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1" s="3">
        <f>IF(tblOrdenes[[#This Row],[backlog_habiles]]="","",IF(tblOrdenes[[#This Row],[backlog_habiles]]&lt;0,"FUTURO",IF(tblOrdenes[[#This Row],[backlog_habiles]]&gt;p_dias_backlog_max,"BACKLOG","MES CORRIENTE")))</f>
        <v/>
      </c>
      <c r="AD451" s="3">
        <f>IF(tblOrdenes[[#This Row],[backlog_habiles]]="",FALSE,AND(tblOrdenes[[#This Row],[backlog_habiles]]&gt;p_dias_backlog_min,tblOrdenes[[#This Row],[backlog_habiles]]&lt;=p_dias_backlog_max))</f>
        <v/>
      </c>
      <c r="AE451" s="6" t="n"/>
      <c r="AF4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1" s="11">
        <f>IF(tblOrdenes[[#This Row],[orden]]="","",_xlfn.XLOOKUP(tblOrdenes[[#This Row],[id_operacion]],tblEjecucion[id_operacion],tblEjecucion[precio],0))</f>
        <v/>
      </c>
      <c r="AJ451" s="11">
        <f>IF(tblOrdenes[[#This Row],[orden]]="","",MAX(0,_xlfn.XLOOKUP(tblOrdenes[[#This Row],[id_operacion]],tblEjecucion[id_operacion],tblEjecucion[costo_plan_total],0)-tblOrdenes[[#This Row],[costo_servicio]]))</f>
        <v/>
      </c>
      <c r="AK451" s="11">
        <f>IF(tblOrdenes[[#This Row],[orden]]="","",tblOrdenes[[#This Row],[costo_servicio]]+tblOrdenes[[#This Row],[costo_materiales]])</f>
        <v/>
      </c>
      <c r="AL451" s="6" t="n"/>
      <c r="AM451" s="6" t="n"/>
      <c r="AN451" s="6" t="n"/>
      <c r="AO451" s="3">
        <f>IF(tblOrdenes[[#This Row],[link_checklist]]="","",HYPERLINK(p_ruta_base_checklists&amp;tblOrdenes[[#This Row],[link_checklist]],"abrir"))</f>
        <v/>
      </c>
      <c r="AP451" s="6" t="n"/>
      <c r="AQ451" s="3">
        <f>IF(tblOrdenes[[#This Row],[orden]]="","",tblOrdenes[[#This Row],[orden]]&amp;IF(tblOrdenes[[#This Row],[operacion]]="","0010",tblOrdenes[[#This Row],[operacion]]))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2" t="n"/>
      <c r="K452" s="3" t="n"/>
      <c r="L452" s="11" t="n"/>
      <c r="M4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2" s="3">
        <f>IF(tblOrdenes[[#This Row],[fecha_inicio]]="","",YEAR(tblOrdenes[[#This Row],[fecha_inicio]]))</f>
        <v/>
      </c>
      <c r="Q452" s="3">
        <f>IF(tblOrdenes[[#This Row],[fecha_inicio]]="","",MONTH(tblOrdenes[[#This Row],[fecha_inicio]]))</f>
        <v/>
      </c>
      <c r="R452" s="3">
        <f>IF(tblOrdenes[[#This Row],[fecha_inicio]]="","",INDEX(lista_dias,WEEKDAY(tblOrdenes[[#This Row],[fecha_inicio]],2)))</f>
        <v/>
      </c>
      <c r="S4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2" s="3">
        <f>IF(tblOrdenes[[#This Row],[tipo_ot]]="","",_xlfn.XLOOKUP(tblOrdenes[[#This Row],[tipo_ot]],tblTiposOT[codigo],tblTiposOT[clasificacion],"sin_clasificar"))</f>
        <v/>
      </c>
      <c r="U452" s="3">
        <f>IF(tblOrdenes[[#This Row],[centro_costo]]="","",_xlfn.XLOOKUP(tblOrdenes[[#This Row],[centro_costo]],tblCECO[codigo],tblCECO[linea],"(sin catálogo)"))</f>
        <v/>
      </c>
      <c r="V452" s="3">
        <f>IF(tblOrdenes[[#This Row],[centro_costo]]="","",_xlfn.XLOOKUP(tblOrdenes[[#This Row],[centro_costo]],tblCECO[codigo],tblCECO[area],"(sin catálogo)"))</f>
        <v/>
      </c>
      <c r="W4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2" s="3">
        <f>IF(tblOrdenes[[#This Row],[centro_costo]]="","",_xlfn.XLOOKUP(tblOrdenes[[#This Row],[centro_costo]],tblCECO[codigo],tblCECO[coordinador],"(sin catálogo)"))</f>
        <v/>
      </c>
      <c r="Y452" s="3">
        <f>IF(tblOrdenes[[#This Row],[puesto_trabajo]]="","",_xlfn.XLOOKUP(tblOrdenes[[#This Row],[puesto_trabajo]],tblPuestos[codigo],tblPuestos[especialidad],"(sin catálogo)"))</f>
        <v/>
      </c>
      <c r="Z452" s="3">
        <f>IF(tblOrdenes[[#This Row],[cod_actividad]]="","",_xlfn.XLOOKUP(tblOrdenes[[#This Row],[cod_actividad]],tblActividades[codigo],tblActividades[descripcion],"(sin catálogo)"))</f>
        <v/>
      </c>
      <c r="AA452" s="13">
        <f>IF(tblOrdenes[[#This Row],[fecha_inicio]]="","",TODAY()-tblOrdenes[[#This Row],[fecha_inicio]])</f>
        <v/>
      </c>
      <c r="AB4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2" s="3">
        <f>IF(tblOrdenes[[#This Row],[backlog_habiles]]="","",IF(tblOrdenes[[#This Row],[backlog_habiles]]&lt;0,"FUTURO",IF(tblOrdenes[[#This Row],[backlog_habiles]]&gt;p_dias_backlog_max,"BACKLOG","MES CORRIENTE")))</f>
        <v/>
      </c>
      <c r="AD452" s="3">
        <f>IF(tblOrdenes[[#This Row],[backlog_habiles]]="",FALSE,AND(tblOrdenes[[#This Row],[backlog_habiles]]&gt;p_dias_backlog_min,tblOrdenes[[#This Row],[backlog_habiles]]&lt;=p_dias_backlog_max))</f>
        <v/>
      </c>
      <c r="AE452" s="6" t="n"/>
      <c r="AF4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2" s="11">
        <f>IF(tblOrdenes[[#This Row],[orden]]="","",_xlfn.XLOOKUP(tblOrdenes[[#This Row],[id_operacion]],tblEjecucion[id_operacion],tblEjecucion[precio],0))</f>
        <v/>
      </c>
      <c r="AJ452" s="11">
        <f>IF(tblOrdenes[[#This Row],[orden]]="","",MAX(0,_xlfn.XLOOKUP(tblOrdenes[[#This Row],[id_operacion]],tblEjecucion[id_operacion],tblEjecucion[costo_plan_total],0)-tblOrdenes[[#This Row],[costo_servicio]]))</f>
        <v/>
      </c>
      <c r="AK452" s="11">
        <f>IF(tblOrdenes[[#This Row],[orden]]="","",tblOrdenes[[#This Row],[costo_servicio]]+tblOrdenes[[#This Row],[costo_materiales]])</f>
        <v/>
      </c>
      <c r="AL452" s="6" t="n"/>
      <c r="AM452" s="6" t="n"/>
      <c r="AN452" s="6" t="n"/>
      <c r="AO452" s="3">
        <f>IF(tblOrdenes[[#This Row],[link_checklist]]="","",HYPERLINK(p_ruta_base_checklists&amp;tblOrdenes[[#This Row],[link_checklist]],"abrir"))</f>
        <v/>
      </c>
      <c r="AP452" s="6" t="n"/>
      <c r="AQ452" s="3">
        <f>IF(tblOrdenes[[#This Row],[orden]]="","",tblOrdenes[[#This Row],[orden]]&amp;IF(tblOrdenes[[#This Row],[operacion]]="","0010",tblOrdenes[[#This Row],[operacion]]))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2" t="n"/>
      <c r="K453" s="3" t="n"/>
      <c r="L453" s="11" t="n"/>
      <c r="M4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3" s="3">
        <f>IF(tblOrdenes[[#This Row],[fecha_inicio]]="","",YEAR(tblOrdenes[[#This Row],[fecha_inicio]]))</f>
        <v/>
      </c>
      <c r="Q453" s="3">
        <f>IF(tblOrdenes[[#This Row],[fecha_inicio]]="","",MONTH(tblOrdenes[[#This Row],[fecha_inicio]]))</f>
        <v/>
      </c>
      <c r="R453" s="3">
        <f>IF(tblOrdenes[[#This Row],[fecha_inicio]]="","",INDEX(lista_dias,WEEKDAY(tblOrdenes[[#This Row],[fecha_inicio]],2)))</f>
        <v/>
      </c>
      <c r="S4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3" s="3">
        <f>IF(tblOrdenes[[#This Row],[tipo_ot]]="","",_xlfn.XLOOKUP(tblOrdenes[[#This Row],[tipo_ot]],tblTiposOT[codigo],tblTiposOT[clasificacion],"sin_clasificar"))</f>
        <v/>
      </c>
      <c r="U453" s="3">
        <f>IF(tblOrdenes[[#This Row],[centro_costo]]="","",_xlfn.XLOOKUP(tblOrdenes[[#This Row],[centro_costo]],tblCECO[codigo],tblCECO[linea],"(sin catálogo)"))</f>
        <v/>
      </c>
      <c r="V453" s="3">
        <f>IF(tblOrdenes[[#This Row],[centro_costo]]="","",_xlfn.XLOOKUP(tblOrdenes[[#This Row],[centro_costo]],tblCECO[codigo],tblCECO[area],"(sin catálogo)"))</f>
        <v/>
      </c>
      <c r="W4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3" s="3">
        <f>IF(tblOrdenes[[#This Row],[centro_costo]]="","",_xlfn.XLOOKUP(tblOrdenes[[#This Row],[centro_costo]],tblCECO[codigo],tblCECO[coordinador],"(sin catálogo)"))</f>
        <v/>
      </c>
      <c r="Y453" s="3">
        <f>IF(tblOrdenes[[#This Row],[puesto_trabajo]]="","",_xlfn.XLOOKUP(tblOrdenes[[#This Row],[puesto_trabajo]],tblPuestos[codigo],tblPuestos[especialidad],"(sin catálogo)"))</f>
        <v/>
      </c>
      <c r="Z453" s="3">
        <f>IF(tblOrdenes[[#This Row],[cod_actividad]]="","",_xlfn.XLOOKUP(tblOrdenes[[#This Row],[cod_actividad]],tblActividades[codigo],tblActividades[descripcion],"(sin catálogo)"))</f>
        <v/>
      </c>
      <c r="AA453" s="13">
        <f>IF(tblOrdenes[[#This Row],[fecha_inicio]]="","",TODAY()-tblOrdenes[[#This Row],[fecha_inicio]])</f>
        <v/>
      </c>
      <c r="AB4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3" s="3">
        <f>IF(tblOrdenes[[#This Row],[backlog_habiles]]="","",IF(tblOrdenes[[#This Row],[backlog_habiles]]&lt;0,"FUTURO",IF(tblOrdenes[[#This Row],[backlog_habiles]]&gt;p_dias_backlog_max,"BACKLOG","MES CORRIENTE")))</f>
        <v/>
      </c>
      <c r="AD453" s="3">
        <f>IF(tblOrdenes[[#This Row],[backlog_habiles]]="",FALSE,AND(tblOrdenes[[#This Row],[backlog_habiles]]&gt;p_dias_backlog_min,tblOrdenes[[#This Row],[backlog_habiles]]&lt;=p_dias_backlog_max))</f>
        <v/>
      </c>
      <c r="AE453" s="6" t="n"/>
      <c r="AF4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3" s="11">
        <f>IF(tblOrdenes[[#This Row],[orden]]="","",_xlfn.XLOOKUP(tblOrdenes[[#This Row],[id_operacion]],tblEjecucion[id_operacion],tblEjecucion[precio],0))</f>
        <v/>
      </c>
      <c r="AJ453" s="11">
        <f>IF(tblOrdenes[[#This Row],[orden]]="","",MAX(0,_xlfn.XLOOKUP(tblOrdenes[[#This Row],[id_operacion]],tblEjecucion[id_operacion],tblEjecucion[costo_plan_total],0)-tblOrdenes[[#This Row],[costo_servicio]]))</f>
        <v/>
      </c>
      <c r="AK453" s="11">
        <f>IF(tblOrdenes[[#This Row],[orden]]="","",tblOrdenes[[#This Row],[costo_servicio]]+tblOrdenes[[#This Row],[costo_materiales]])</f>
        <v/>
      </c>
      <c r="AL453" s="6" t="n"/>
      <c r="AM453" s="6" t="n"/>
      <c r="AN453" s="6" t="n"/>
      <c r="AO453" s="3">
        <f>IF(tblOrdenes[[#This Row],[link_checklist]]="","",HYPERLINK(p_ruta_base_checklists&amp;tblOrdenes[[#This Row],[link_checklist]],"abrir"))</f>
        <v/>
      </c>
      <c r="AP453" s="6" t="n"/>
      <c r="AQ453" s="3">
        <f>IF(tblOrdenes[[#This Row],[orden]]="","",tblOrdenes[[#This Row],[orden]]&amp;IF(tblOrdenes[[#This Row],[operacion]]="","0010",tblOrdenes[[#This Row],[operacion]]))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2" t="n"/>
      <c r="K454" s="3" t="n"/>
      <c r="L454" s="11" t="n"/>
      <c r="M4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4" s="3">
        <f>IF(tblOrdenes[[#This Row],[fecha_inicio]]="","",YEAR(tblOrdenes[[#This Row],[fecha_inicio]]))</f>
        <v/>
      </c>
      <c r="Q454" s="3">
        <f>IF(tblOrdenes[[#This Row],[fecha_inicio]]="","",MONTH(tblOrdenes[[#This Row],[fecha_inicio]]))</f>
        <v/>
      </c>
      <c r="R454" s="3">
        <f>IF(tblOrdenes[[#This Row],[fecha_inicio]]="","",INDEX(lista_dias,WEEKDAY(tblOrdenes[[#This Row],[fecha_inicio]],2)))</f>
        <v/>
      </c>
      <c r="S4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4" s="3">
        <f>IF(tblOrdenes[[#This Row],[tipo_ot]]="","",_xlfn.XLOOKUP(tblOrdenes[[#This Row],[tipo_ot]],tblTiposOT[codigo],tblTiposOT[clasificacion],"sin_clasificar"))</f>
        <v/>
      </c>
      <c r="U454" s="3">
        <f>IF(tblOrdenes[[#This Row],[centro_costo]]="","",_xlfn.XLOOKUP(tblOrdenes[[#This Row],[centro_costo]],tblCECO[codigo],tblCECO[linea],"(sin catálogo)"))</f>
        <v/>
      </c>
      <c r="V454" s="3">
        <f>IF(tblOrdenes[[#This Row],[centro_costo]]="","",_xlfn.XLOOKUP(tblOrdenes[[#This Row],[centro_costo]],tblCECO[codigo],tblCECO[area],"(sin catálogo)"))</f>
        <v/>
      </c>
      <c r="W4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4" s="3">
        <f>IF(tblOrdenes[[#This Row],[centro_costo]]="","",_xlfn.XLOOKUP(tblOrdenes[[#This Row],[centro_costo]],tblCECO[codigo],tblCECO[coordinador],"(sin catálogo)"))</f>
        <v/>
      </c>
      <c r="Y454" s="3">
        <f>IF(tblOrdenes[[#This Row],[puesto_trabajo]]="","",_xlfn.XLOOKUP(tblOrdenes[[#This Row],[puesto_trabajo]],tblPuestos[codigo],tblPuestos[especialidad],"(sin catálogo)"))</f>
        <v/>
      </c>
      <c r="Z454" s="3">
        <f>IF(tblOrdenes[[#This Row],[cod_actividad]]="","",_xlfn.XLOOKUP(tblOrdenes[[#This Row],[cod_actividad]],tblActividades[codigo],tblActividades[descripcion],"(sin catálogo)"))</f>
        <v/>
      </c>
      <c r="AA454" s="13">
        <f>IF(tblOrdenes[[#This Row],[fecha_inicio]]="","",TODAY()-tblOrdenes[[#This Row],[fecha_inicio]])</f>
        <v/>
      </c>
      <c r="AB4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4" s="3">
        <f>IF(tblOrdenes[[#This Row],[backlog_habiles]]="","",IF(tblOrdenes[[#This Row],[backlog_habiles]]&lt;0,"FUTURO",IF(tblOrdenes[[#This Row],[backlog_habiles]]&gt;p_dias_backlog_max,"BACKLOG","MES CORRIENTE")))</f>
        <v/>
      </c>
      <c r="AD454" s="3">
        <f>IF(tblOrdenes[[#This Row],[backlog_habiles]]="",FALSE,AND(tblOrdenes[[#This Row],[backlog_habiles]]&gt;p_dias_backlog_min,tblOrdenes[[#This Row],[backlog_habiles]]&lt;=p_dias_backlog_max))</f>
        <v/>
      </c>
      <c r="AE454" s="6" t="n"/>
      <c r="AF4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4" s="11">
        <f>IF(tblOrdenes[[#This Row],[orden]]="","",_xlfn.XLOOKUP(tblOrdenes[[#This Row],[id_operacion]],tblEjecucion[id_operacion],tblEjecucion[precio],0))</f>
        <v/>
      </c>
      <c r="AJ454" s="11">
        <f>IF(tblOrdenes[[#This Row],[orden]]="","",MAX(0,_xlfn.XLOOKUP(tblOrdenes[[#This Row],[id_operacion]],tblEjecucion[id_operacion],tblEjecucion[costo_plan_total],0)-tblOrdenes[[#This Row],[costo_servicio]]))</f>
        <v/>
      </c>
      <c r="AK454" s="11">
        <f>IF(tblOrdenes[[#This Row],[orden]]="","",tblOrdenes[[#This Row],[costo_servicio]]+tblOrdenes[[#This Row],[costo_materiales]])</f>
        <v/>
      </c>
      <c r="AL454" s="6" t="n"/>
      <c r="AM454" s="6" t="n"/>
      <c r="AN454" s="6" t="n"/>
      <c r="AO454" s="3">
        <f>IF(tblOrdenes[[#This Row],[link_checklist]]="","",HYPERLINK(p_ruta_base_checklists&amp;tblOrdenes[[#This Row],[link_checklist]],"abrir"))</f>
        <v/>
      </c>
      <c r="AP454" s="6" t="n"/>
      <c r="AQ454" s="3">
        <f>IF(tblOrdenes[[#This Row],[orden]]="","",tblOrdenes[[#This Row],[orden]]&amp;IF(tblOrdenes[[#This Row],[operacion]]="","0010",tblOrdenes[[#This Row],[operacion]]))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2" t="n"/>
      <c r="K455" s="3" t="n"/>
      <c r="L455" s="11" t="n"/>
      <c r="M4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5" s="3">
        <f>IF(tblOrdenes[[#This Row],[fecha_inicio]]="","",YEAR(tblOrdenes[[#This Row],[fecha_inicio]]))</f>
        <v/>
      </c>
      <c r="Q455" s="3">
        <f>IF(tblOrdenes[[#This Row],[fecha_inicio]]="","",MONTH(tblOrdenes[[#This Row],[fecha_inicio]]))</f>
        <v/>
      </c>
      <c r="R455" s="3">
        <f>IF(tblOrdenes[[#This Row],[fecha_inicio]]="","",INDEX(lista_dias,WEEKDAY(tblOrdenes[[#This Row],[fecha_inicio]],2)))</f>
        <v/>
      </c>
      <c r="S4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5" s="3">
        <f>IF(tblOrdenes[[#This Row],[tipo_ot]]="","",_xlfn.XLOOKUP(tblOrdenes[[#This Row],[tipo_ot]],tblTiposOT[codigo],tblTiposOT[clasificacion],"sin_clasificar"))</f>
        <v/>
      </c>
      <c r="U455" s="3">
        <f>IF(tblOrdenes[[#This Row],[centro_costo]]="","",_xlfn.XLOOKUP(tblOrdenes[[#This Row],[centro_costo]],tblCECO[codigo],tblCECO[linea],"(sin catálogo)"))</f>
        <v/>
      </c>
      <c r="V455" s="3">
        <f>IF(tblOrdenes[[#This Row],[centro_costo]]="","",_xlfn.XLOOKUP(tblOrdenes[[#This Row],[centro_costo]],tblCECO[codigo],tblCECO[area],"(sin catálogo)"))</f>
        <v/>
      </c>
      <c r="W4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5" s="3">
        <f>IF(tblOrdenes[[#This Row],[centro_costo]]="","",_xlfn.XLOOKUP(tblOrdenes[[#This Row],[centro_costo]],tblCECO[codigo],tblCECO[coordinador],"(sin catálogo)"))</f>
        <v/>
      </c>
      <c r="Y455" s="3">
        <f>IF(tblOrdenes[[#This Row],[puesto_trabajo]]="","",_xlfn.XLOOKUP(tblOrdenes[[#This Row],[puesto_trabajo]],tblPuestos[codigo],tblPuestos[especialidad],"(sin catálogo)"))</f>
        <v/>
      </c>
      <c r="Z455" s="3">
        <f>IF(tblOrdenes[[#This Row],[cod_actividad]]="","",_xlfn.XLOOKUP(tblOrdenes[[#This Row],[cod_actividad]],tblActividades[codigo],tblActividades[descripcion],"(sin catálogo)"))</f>
        <v/>
      </c>
      <c r="AA455" s="13">
        <f>IF(tblOrdenes[[#This Row],[fecha_inicio]]="","",TODAY()-tblOrdenes[[#This Row],[fecha_inicio]])</f>
        <v/>
      </c>
      <c r="AB4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5" s="3">
        <f>IF(tblOrdenes[[#This Row],[backlog_habiles]]="","",IF(tblOrdenes[[#This Row],[backlog_habiles]]&lt;0,"FUTURO",IF(tblOrdenes[[#This Row],[backlog_habiles]]&gt;p_dias_backlog_max,"BACKLOG","MES CORRIENTE")))</f>
        <v/>
      </c>
      <c r="AD455" s="3">
        <f>IF(tblOrdenes[[#This Row],[backlog_habiles]]="",FALSE,AND(tblOrdenes[[#This Row],[backlog_habiles]]&gt;p_dias_backlog_min,tblOrdenes[[#This Row],[backlog_habiles]]&lt;=p_dias_backlog_max))</f>
        <v/>
      </c>
      <c r="AE455" s="6" t="n"/>
      <c r="AF4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5" s="11">
        <f>IF(tblOrdenes[[#This Row],[orden]]="","",_xlfn.XLOOKUP(tblOrdenes[[#This Row],[id_operacion]],tblEjecucion[id_operacion],tblEjecucion[precio],0))</f>
        <v/>
      </c>
      <c r="AJ455" s="11">
        <f>IF(tblOrdenes[[#This Row],[orden]]="","",MAX(0,_xlfn.XLOOKUP(tblOrdenes[[#This Row],[id_operacion]],tblEjecucion[id_operacion],tblEjecucion[costo_plan_total],0)-tblOrdenes[[#This Row],[costo_servicio]]))</f>
        <v/>
      </c>
      <c r="AK455" s="11">
        <f>IF(tblOrdenes[[#This Row],[orden]]="","",tblOrdenes[[#This Row],[costo_servicio]]+tblOrdenes[[#This Row],[costo_materiales]])</f>
        <v/>
      </c>
      <c r="AL455" s="6" t="n"/>
      <c r="AM455" s="6" t="n"/>
      <c r="AN455" s="6" t="n"/>
      <c r="AO455" s="3">
        <f>IF(tblOrdenes[[#This Row],[link_checklist]]="","",HYPERLINK(p_ruta_base_checklists&amp;tblOrdenes[[#This Row],[link_checklist]],"abrir"))</f>
        <v/>
      </c>
      <c r="AP455" s="6" t="n"/>
      <c r="AQ455" s="3">
        <f>IF(tblOrdenes[[#This Row],[orden]]="","",tblOrdenes[[#This Row],[orden]]&amp;IF(tblOrdenes[[#This Row],[operacion]]="","0010",tblOrdenes[[#This Row],[operacion]]))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2" t="n"/>
      <c r="K456" s="3" t="n"/>
      <c r="L456" s="11" t="n"/>
      <c r="M4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6" s="3">
        <f>IF(tblOrdenes[[#This Row],[fecha_inicio]]="","",YEAR(tblOrdenes[[#This Row],[fecha_inicio]]))</f>
        <v/>
      </c>
      <c r="Q456" s="3">
        <f>IF(tblOrdenes[[#This Row],[fecha_inicio]]="","",MONTH(tblOrdenes[[#This Row],[fecha_inicio]]))</f>
        <v/>
      </c>
      <c r="R456" s="3">
        <f>IF(tblOrdenes[[#This Row],[fecha_inicio]]="","",INDEX(lista_dias,WEEKDAY(tblOrdenes[[#This Row],[fecha_inicio]],2)))</f>
        <v/>
      </c>
      <c r="S4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6" s="3">
        <f>IF(tblOrdenes[[#This Row],[tipo_ot]]="","",_xlfn.XLOOKUP(tblOrdenes[[#This Row],[tipo_ot]],tblTiposOT[codigo],tblTiposOT[clasificacion],"sin_clasificar"))</f>
        <v/>
      </c>
      <c r="U456" s="3">
        <f>IF(tblOrdenes[[#This Row],[centro_costo]]="","",_xlfn.XLOOKUP(tblOrdenes[[#This Row],[centro_costo]],tblCECO[codigo],tblCECO[linea],"(sin catálogo)"))</f>
        <v/>
      </c>
      <c r="V456" s="3">
        <f>IF(tblOrdenes[[#This Row],[centro_costo]]="","",_xlfn.XLOOKUP(tblOrdenes[[#This Row],[centro_costo]],tblCECO[codigo],tblCECO[area],"(sin catálogo)"))</f>
        <v/>
      </c>
      <c r="W4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6" s="3">
        <f>IF(tblOrdenes[[#This Row],[centro_costo]]="","",_xlfn.XLOOKUP(tblOrdenes[[#This Row],[centro_costo]],tblCECO[codigo],tblCECO[coordinador],"(sin catálogo)"))</f>
        <v/>
      </c>
      <c r="Y456" s="3">
        <f>IF(tblOrdenes[[#This Row],[puesto_trabajo]]="","",_xlfn.XLOOKUP(tblOrdenes[[#This Row],[puesto_trabajo]],tblPuestos[codigo],tblPuestos[especialidad],"(sin catálogo)"))</f>
        <v/>
      </c>
      <c r="Z456" s="3">
        <f>IF(tblOrdenes[[#This Row],[cod_actividad]]="","",_xlfn.XLOOKUP(tblOrdenes[[#This Row],[cod_actividad]],tblActividades[codigo],tblActividades[descripcion],"(sin catálogo)"))</f>
        <v/>
      </c>
      <c r="AA456" s="13">
        <f>IF(tblOrdenes[[#This Row],[fecha_inicio]]="","",TODAY()-tblOrdenes[[#This Row],[fecha_inicio]])</f>
        <v/>
      </c>
      <c r="AB4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6" s="3">
        <f>IF(tblOrdenes[[#This Row],[backlog_habiles]]="","",IF(tblOrdenes[[#This Row],[backlog_habiles]]&lt;0,"FUTURO",IF(tblOrdenes[[#This Row],[backlog_habiles]]&gt;p_dias_backlog_max,"BACKLOG","MES CORRIENTE")))</f>
        <v/>
      </c>
      <c r="AD456" s="3">
        <f>IF(tblOrdenes[[#This Row],[backlog_habiles]]="",FALSE,AND(tblOrdenes[[#This Row],[backlog_habiles]]&gt;p_dias_backlog_min,tblOrdenes[[#This Row],[backlog_habiles]]&lt;=p_dias_backlog_max))</f>
        <v/>
      </c>
      <c r="AE456" s="6" t="n"/>
      <c r="AF4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6" s="11">
        <f>IF(tblOrdenes[[#This Row],[orden]]="","",_xlfn.XLOOKUP(tblOrdenes[[#This Row],[id_operacion]],tblEjecucion[id_operacion],tblEjecucion[precio],0))</f>
        <v/>
      </c>
      <c r="AJ456" s="11">
        <f>IF(tblOrdenes[[#This Row],[orden]]="","",MAX(0,_xlfn.XLOOKUP(tblOrdenes[[#This Row],[id_operacion]],tblEjecucion[id_operacion],tblEjecucion[costo_plan_total],0)-tblOrdenes[[#This Row],[costo_servicio]]))</f>
        <v/>
      </c>
      <c r="AK456" s="11">
        <f>IF(tblOrdenes[[#This Row],[orden]]="","",tblOrdenes[[#This Row],[costo_servicio]]+tblOrdenes[[#This Row],[costo_materiales]])</f>
        <v/>
      </c>
      <c r="AL456" s="6" t="n"/>
      <c r="AM456" s="6" t="n"/>
      <c r="AN456" s="6" t="n"/>
      <c r="AO456" s="3">
        <f>IF(tblOrdenes[[#This Row],[link_checklist]]="","",HYPERLINK(p_ruta_base_checklists&amp;tblOrdenes[[#This Row],[link_checklist]],"abrir"))</f>
        <v/>
      </c>
      <c r="AP456" s="6" t="n"/>
      <c r="AQ456" s="3">
        <f>IF(tblOrdenes[[#This Row],[orden]]="","",tblOrdenes[[#This Row],[orden]]&amp;IF(tblOrdenes[[#This Row],[operacion]]="","0010",tblOrdenes[[#This Row],[operacion]]))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2" t="n"/>
      <c r="K457" s="3" t="n"/>
      <c r="L457" s="11" t="n"/>
      <c r="M4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7" s="3">
        <f>IF(tblOrdenes[[#This Row],[fecha_inicio]]="","",YEAR(tblOrdenes[[#This Row],[fecha_inicio]]))</f>
        <v/>
      </c>
      <c r="Q457" s="3">
        <f>IF(tblOrdenes[[#This Row],[fecha_inicio]]="","",MONTH(tblOrdenes[[#This Row],[fecha_inicio]]))</f>
        <v/>
      </c>
      <c r="R457" s="3">
        <f>IF(tblOrdenes[[#This Row],[fecha_inicio]]="","",INDEX(lista_dias,WEEKDAY(tblOrdenes[[#This Row],[fecha_inicio]],2)))</f>
        <v/>
      </c>
      <c r="S4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7" s="3">
        <f>IF(tblOrdenes[[#This Row],[tipo_ot]]="","",_xlfn.XLOOKUP(tblOrdenes[[#This Row],[tipo_ot]],tblTiposOT[codigo],tblTiposOT[clasificacion],"sin_clasificar"))</f>
        <v/>
      </c>
      <c r="U457" s="3">
        <f>IF(tblOrdenes[[#This Row],[centro_costo]]="","",_xlfn.XLOOKUP(tblOrdenes[[#This Row],[centro_costo]],tblCECO[codigo],tblCECO[linea],"(sin catálogo)"))</f>
        <v/>
      </c>
      <c r="V457" s="3">
        <f>IF(tblOrdenes[[#This Row],[centro_costo]]="","",_xlfn.XLOOKUP(tblOrdenes[[#This Row],[centro_costo]],tblCECO[codigo],tblCECO[area],"(sin catálogo)"))</f>
        <v/>
      </c>
      <c r="W4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7" s="3">
        <f>IF(tblOrdenes[[#This Row],[centro_costo]]="","",_xlfn.XLOOKUP(tblOrdenes[[#This Row],[centro_costo]],tblCECO[codigo],tblCECO[coordinador],"(sin catálogo)"))</f>
        <v/>
      </c>
      <c r="Y457" s="3">
        <f>IF(tblOrdenes[[#This Row],[puesto_trabajo]]="","",_xlfn.XLOOKUP(tblOrdenes[[#This Row],[puesto_trabajo]],tblPuestos[codigo],tblPuestos[especialidad],"(sin catálogo)"))</f>
        <v/>
      </c>
      <c r="Z457" s="3">
        <f>IF(tblOrdenes[[#This Row],[cod_actividad]]="","",_xlfn.XLOOKUP(tblOrdenes[[#This Row],[cod_actividad]],tblActividades[codigo],tblActividades[descripcion],"(sin catálogo)"))</f>
        <v/>
      </c>
      <c r="AA457" s="13">
        <f>IF(tblOrdenes[[#This Row],[fecha_inicio]]="","",TODAY()-tblOrdenes[[#This Row],[fecha_inicio]])</f>
        <v/>
      </c>
      <c r="AB4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7" s="3">
        <f>IF(tblOrdenes[[#This Row],[backlog_habiles]]="","",IF(tblOrdenes[[#This Row],[backlog_habiles]]&lt;0,"FUTURO",IF(tblOrdenes[[#This Row],[backlog_habiles]]&gt;p_dias_backlog_max,"BACKLOG","MES CORRIENTE")))</f>
        <v/>
      </c>
      <c r="AD457" s="3">
        <f>IF(tblOrdenes[[#This Row],[backlog_habiles]]="",FALSE,AND(tblOrdenes[[#This Row],[backlog_habiles]]&gt;p_dias_backlog_min,tblOrdenes[[#This Row],[backlog_habiles]]&lt;=p_dias_backlog_max))</f>
        <v/>
      </c>
      <c r="AE457" s="6" t="n"/>
      <c r="AF4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7" s="11">
        <f>IF(tblOrdenes[[#This Row],[orden]]="","",_xlfn.XLOOKUP(tblOrdenes[[#This Row],[id_operacion]],tblEjecucion[id_operacion],tblEjecucion[precio],0))</f>
        <v/>
      </c>
      <c r="AJ457" s="11">
        <f>IF(tblOrdenes[[#This Row],[orden]]="","",MAX(0,_xlfn.XLOOKUP(tblOrdenes[[#This Row],[id_operacion]],tblEjecucion[id_operacion],tblEjecucion[costo_plan_total],0)-tblOrdenes[[#This Row],[costo_servicio]]))</f>
        <v/>
      </c>
      <c r="AK457" s="11">
        <f>IF(tblOrdenes[[#This Row],[orden]]="","",tblOrdenes[[#This Row],[costo_servicio]]+tblOrdenes[[#This Row],[costo_materiales]])</f>
        <v/>
      </c>
      <c r="AL457" s="6" t="n"/>
      <c r="AM457" s="6" t="n"/>
      <c r="AN457" s="6" t="n"/>
      <c r="AO457" s="3">
        <f>IF(tblOrdenes[[#This Row],[link_checklist]]="","",HYPERLINK(p_ruta_base_checklists&amp;tblOrdenes[[#This Row],[link_checklist]],"abrir"))</f>
        <v/>
      </c>
      <c r="AP457" s="6" t="n"/>
      <c r="AQ457" s="3">
        <f>IF(tblOrdenes[[#This Row],[orden]]="","",tblOrdenes[[#This Row],[orden]]&amp;IF(tblOrdenes[[#This Row],[operacion]]="","0010",tblOrdenes[[#This Row],[operacion]]))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2" t="n"/>
      <c r="K458" s="3" t="n"/>
      <c r="L458" s="11" t="n"/>
      <c r="M4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8" s="3">
        <f>IF(tblOrdenes[[#This Row],[fecha_inicio]]="","",YEAR(tblOrdenes[[#This Row],[fecha_inicio]]))</f>
        <v/>
      </c>
      <c r="Q458" s="3">
        <f>IF(tblOrdenes[[#This Row],[fecha_inicio]]="","",MONTH(tblOrdenes[[#This Row],[fecha_inicio]]))</f>
        <v/>
      </c>
      <c r="R458" s="3">
        <f>IF(tblOrdenes[[#This Row],[fecha_inicio]]="","",INDEX(lista_dias,WEEKDAY(tblOrdenes[[#This Row],[fecha_inicio]],2)))</f>
        <v/>
      </c>
      <c r="S4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8" s="3">
        <f>IF(tblOrdenes[[#This Row],[tipo_ot]]="","",_xlfn.XLOOKUP(tblOrdenes[[#This Row],[tipo_ot]],tblTiposOT[codigo],tblTiposOT[clasificacion],"sin_clasificar"))</f>
        <v/>
      </c>
      <c r="U458" s="3">
        <f>IF(tblOrdenes[[#This Row],[centro_costo]]="","",_xlfn.XLOOKUP(tblOrdenes[[#This Row],[centro_costo]],tblCECO[codigo],tblCECO[linea],"(sin catálogo)"))</f>
        <v/>
      </c>
      <c r="V458" s="3">
        <f>IF(tblOrdenes[[#This Row],[centro_costo]]="","",_xlfn.XLOOKUP(tblOrdenes[[#This Row],[centro_costo]],tblCECO[codigo],tblCECO[area],"(sin catálogo)"))</f>
        <v/>
      </c>
      <c r="W4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8" s="3">
        <f>IF(tblOrdenes[[#This Row],[centro_costo]]="","",_xlfn.XLOOKUP(tblOrdenes[[#This Row],[centro_costo]],tblCECO[codigo],tblCECO[coordinador],"(sin catálogo)"))</f>
        <v/>
      </c>
      <c r="Y458" s="3">
        <f>IF(tblOrdenes[[#This Row],[puesto_trabajo]]="","",_xlfn.XLOOKUP(tblOrdenes[[#This Row],[puesto_trabajo]],tblPuestos[codigo],tblPuestos[especialidad],"(sin catálogo)"))</f>
        <v/>
      </c>
      <c r="Z458" s="3">
        <f>IF(tblOrdenes[[#This Row],[cod_actividad]]="","",_xlfn.XLOOKUP(tblOrdenes[[#This Row],[cod_actividad]],tblActividades[codigo],tblActividades[descripcion],"(sin catálogo)"))</f>
        <v/>
      </c>
      <c r="AA458" s="13">
        <f>IF(tblOrdenes[[#This Row],[fecha_inicio]]="","",TODAY()-tblOrdenes[[#This Row],[fecha_inicio]])</f>
        <v/>
      </c>
      <c r="AB4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8" s="3">
        <f>IF(tblOrdenes[[#This Row],[backlog_habiles]]="","",IF(tblOrdenes[[#This Row],[backlog_habiles]]&lt;0,"FUTURO",IF(tblOrdenes[[#This Row],[backlog_habiles]]&gt;p_dias_backlog_max,"BACKLOG","MES CORRIENTE")))</f>
        <v/>
      </c>
      <c r="AD458" s="3">
        <f>IF(tblOrdenes[[#This Row],[backlog_habiles]]="",FALSE,AND(tblOrdenes[[#This Row],[backlog_habiles]]&gt;p_dias_backlog_min,tblOrdenes[[#This Row],[backlog_habiles]]&lt;=p_dias_backlog_max))</f>
        <v/>
      </c>
      <c r="AE458" s="6" t="n"/>
      <c r="AF4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8" s="11">
        <f>IF(tblOrdenes[[#This Row],[orden]]="","",_xlfn.XLOOKUP(tblOrdenes[[#This Row],[id_operacion]],tblEjecucion[id_operacion],tblEjecucion[precio],0))</f>
        <v/>
      </c>
      <c r="AJ458" s="11">
        <f>IF(tblOrdenes[[#This Row],[orden]]="","",MAX(0,_xlfn.XLOOKUP(tblOrdenes[[#This Row],[id_operacion]],tblEjecucion[id_operacion],tblEjecucion[costo_plan_total],0)-tblOrdenes[[#This Row],[costo_servicio]]))</f>
        <v/>
      </c>
      <c r="AK458" s="11">
        <f>IF(tblOrdenes[[#This Row],[orden]]="","",tblOrdenes[[#This Row],[costo_servicio]]+tblOrdenes[[#This Row],[costo_materiales]])</f>
        <v/>
      </c>
      <c r="AL458" s="6" t="n"/>
      <c r="AM458" s="6" t="n"/>
      <c r="AN458" s="6" t="n"/>
      <c r="AO458" s="3">
        <f>IF(tblOrdenes[[#This Row],[link_checklist]]="","",HYPERLINK(p_ruta_base_checklists&amp;tblOrdenes[[#This Row],[link_checklist]],"abrir"))</f>
        <v/>
      </c>
      <c r="AP458" s="6" t="n"/>
      <c r="AQ458" s="3">
        <f>IF(tblOrdenes[[#This Row],[orden]]="","",tblOrdenes[[#This Row],[orden]]&amp;IF(tblOrdenes[[#This Row],[operacion]]="","0010",tblOrdenes[[#This Row],[operacion]]))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2" t="n"/>
      <c r="K459" s="3" t="n"/>
      <c r="L459" s="11" t="n"/>
      <c r="M4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9" s="3">
        <f>IF(tblOrdenes[[#This Row],[fecha_inicio]]="","",YEAR(tblOrdenes[[#This Row],[fecha_inicio]]))</f>
        <v/>
      </c>
      <c r="Q459" s="3">
        <f>IF(tblOrdenes[[#This Row],[fecha_inicio]]="","",MONTH(tblOrdenes[[#This Row],[fecha_inicio]]))</f>
        <v/>
      </c>
      <c r="R459" s="3">
        <f>IF(tblOrdenes[[#This Row],[fecha_inicio]]="","",INDEX(lista_dias,WEEKDAY(tblOrdenes[[#This Row],[fecha_inicio]],2)))</f>
        <v/>
      </c>
      <c r="S4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9" s="3">
        <f>IF(tblOrdenes[[#This Row],[tipo_ot]]="","",_xlfn.XLOOKUP(tblOrdenes[[#This Row],[tipo_ot]],tblTiposOT[codigo],tblTiposOT[clasificacion],"sin_clasificar"))</f>
        <v/>
      </c>
      <c r="U459" s="3">
        <f>IF(tblOrdenes[[#This Row],[centro_costo]]="","",_xlfn.XLOOKUP(tblOrdenes[[#This Row],[centro_costo]],tblCECO[codigo],tblCECO[linea],"(sin catálogo)"))</f>
        <v/>
      </c>
      <c r="V459" s="3">
        <f>IF(tblOrdenes[[#This Row],[centro_costo]]="","",_xlfn.XLOOKUP(tblOrdenes[[#This Row],[centro_costo]],tblCECO[codigo],tblCECO[area],"(sin catálogo)"))</f>
        <v/>
      </c>
      <c r="W4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9" s="3">
        <f>IF(tblOrdenes[[#This Row],[centro_costo]]="","",_xlfn.XLOOKUP(tblOrdenes[[#This Row],[centro_costo]],tblCECO[codigo],tblCECO[coordinador],"(sin catálogo)"))</f>
        <v/>
      </c>
      <c r="Y459" s="3">
        <f>IF(tblOrdenes[[#This Row],[puesto_trabajo]]="","",_xlfn.XLOOKUP(tblOrdenes[[#This Row],[puesto_trabajo]],tblPuestos[codigo],tblPuestos[especialidad],"(sin catálogo)"))</f>
        <v/>
      </c>
      <c r="Z459" s="3">
        <f>IF(tblOrdenes[[#This Row],[cod_actividad]]="","",_xlfn.XLOOKUP(tblOrdenes[[#This Row],[cod_actividad]],tblActividades[codigo],tblActividades[descripcion],"(sin catálogo)"))</f>
        <v/>
      </c>
      <c r="AA459" s="13">
        <f>IF(tblOrdenes[[#This Row],[fecha_inicio]]="","",TODAY()-tblOrdenes[[#This Row],[fecha_inicio]])</f>
        <v/>
      </c>
      <c r="AB4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9" s="3">
        <f>IF(tblOrdenes[[#This Row],[backlog_habiles]]="","",IF(tblOrdenes[[#This Row],[backlog_habiles]]&lt;0,"FUTURO",IF(tblOrdenes[[#This Row],[backlog_habiles]]&gt;p_dias_backlog_max,"BACKLOG","MES CORRIENTE")))</f>
        <v/>
      </c>
      <c r="AD459" s="3">
        <f>IF(tblOrdenes[[#This Row],[backlog_habiles]]="",FALSE,AND(tblOrdenes[[#This Row],[backlog_habiles]]&gt;p_dias_backlog_min,tblOrdenes[[#This Row],[backlog_habiles]]&lt;=p_dias_backlog_max))</f>
        <v/>
      </c>
      <c r="AE459" s="6" t="n"/>
      <c r="AF4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9" s="11">
        <f>IF(tblOrdenes[[#This Row],[orden]]="","",_xlfn.XLOOKUP(tblOrdenes[[#This Row],[id_operacion]],tblEjecucion[id_operacion],tblEjecucion[precio],0))</f>
        <v/>
      </c>
      <c r="AJ459" s="11">
        <f>IF(tblOrdenes[[#This Row],[orden]]="","",MAX(0,_xlfn.XLOOKUP(tblOrdenes[[#This Row],[id_operacion]],tblEjecucion[id_operacion],tblEjecucion[costo_plan_total],0)-tblOrdenes[[#This Row],[costo_servicio]]))</f>
        <v/>
      </c>
      <c r="AK459" s="11">
        <f>IF(tblOrdenes[[#This Row],[orden]]="","",tblOrdenes[[#This Row],[costo_servicio]]+tblOrdenes[[#This Row],[costo_materiales]])</f>
        <v/>
      </c>
      <c r="AL459" s="6" t="n"/>
      <c r="AM459" s="6" t="n"/>
      <c r="AN459" s="6" t="n"/>
      <c r="AO459" s="3">
        <f>IF(tblOrdenes[[#This Row],[link_checklist]]="","",HYPERLINK(p_ruta_base_checklists&amp;tblOrdenes[[#This Row],[link_checklist]],"abrir"))</f>
        <v/>
      </c>
      <c r="AP459" s="6" t="n"/>
      <c r="AQ459" s="3">
        <f>IF(tblOrdenes[[#This Row],[orden]]="","",tblOrdenes[[#This Row],[orden]]&amp;IF(tblOrdenes[[#This Row],[operacion]]="","0010",tblOrdenes[[#This Row],[operacion]]))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2" t="n"/>
      <c r="K460" s="3" t="n"/>
      <c r="L460" s="11" t="n"/>
      <c r="M4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0" s="3">
        <f>IF(tblOrdenes[[#This Row],[fecha_inicio]]="","",YEAR(tblOrdenes[[#This Row],[fecha_inicio]]))</f>
        <v/>
      </c>
      <c r="Q460" s="3">
        <f>IF(tblOrdenes[[#This Row],[fecha_inicio]]="","",MONTH(tblOrdenes[[#This Row],[fecha_inicio]]))</f>
        <v/>
      </c>
      <c r="R460" s="3">
        <f>IF(tblOrdenes[[#This Row],[fecha_inicio]]="","",INDEX(lista_dias,WEEKDAY(tblOrdenes[[#This Row],[fecha_inicio]],2)))</f>
        <v/>
      </c>
      <c r="S4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0" s="3">
        <f>IF(tblOrdenes[[#This Row],[tipo_ot]]="","",_xlfn.XLOOKUP(tblOrdenes[[#This Row],[tipo_ot]],tblTiposOT[codigo],tblTiposOT[clasificacion],"sin_clasificar"))</f>
        <v/>
      </c>
      <c r="U460" s="3">
        <f>IF(tblOrdenes[[#This Row],[centro_costo]]="","",_xlfn.XLOOKUP(tblOrdenes[[#This Row],[centro_costo]],tblCECO[codigo],tblCECO[linea],"(sin catálogo)"))</f>
        <v/>
      </c>
      <c r="V460" s="3">
        <f>IF(tblOrdenes[[#This Row],[centro_costo]]="","",_xlfn.XLOOKUP(tblOrdenes[[#This Row],[centro_costo]],tblCECO[codigo],tblCECO[area],"(sin catálogo)"))</f>
        <v/>
      </c>
      <c r="W4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0" s="3">
        <f>IF(tblOrdenes[[#This Row],[centro_costo]]="","",_xlfn.XLOOKUP(tblOrdenes[[#This Row],[centro_costo]],tblCECO[codigo],tblCECO[coordinador],"(sin catálogo)"))</f>
        <v/>
      </c>
      <c r="Y460" s="3">
        <f>IF(tblOrdenes[[#This Row],[puesto_trabajo]]="","",_xlfn.XLOOKUP(tblOrdenes[[#This Row],[puesto_trabajo]],tblPuestos[codigo],tblPuestos[especialidad],"(sin catálogo)"))</f>
        <v/>
      </c>
      <c r="Z460" s="3">
        <f>IF(tblOrdenes[[#This Row],[cod_actividad]]="","",_xlfn.XLOOKUP(tblOrdenes[[#This Row],[cod_actividad]],tblActividades[codigo],tblActividades[descripcion],"(sin catálogo)"))</f>
        <v/>
      </c>
      <c r="AA460" s="13">
        <f>IF(tblOrdenes[[#This Row],[fecha_inicio]]="","",TODAY()-tblOrdenes[[#This Row],[fecha_inicio]])</f>
        <v/>
      </c>
      <c r="AB4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0" s="3">
        <f>IF(tblOrdenes[[#This Row],[backlog_habiles]]="","",IF(tblOrdenes[[#This Row],[backlog_habiles]]&lt;0,"FUTURO",IF(tblOrdenes[[#This Row],[backlog_habiles]]&gt;p_dias_backlog_max,"BACKLOG","MES CORRIENTE")))</f>
        <v/>
      </c>
      <c r="AD460" s="3">
        <f>IF(tblOrdenes[[#This Row],[backlog_habiles]]="",FALSE,AND(tblOrdenes[[#This Row],[backlog_habiles]]&gt;p_dias_backlog_min,tblOrdenes[[#This Row],[backlog_habiles]]&lt;=p_dias_backlog_max))</f>
        <v/>
      </c>
      <c r="AE460" s="6" t="n"/>
      <c r="AF4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0" s="11">
        <f>IF(tblOrdenes[[#This Row],[orden]]="","",_xlfn.XLOOKUP(tblOrdenes[[#This Row],[id_operacion]],tblEjecucion[id_operacion],tblEjecucion[precio],0))</f>
        <v/>
      </c>
      <c r="AJ460" s="11">
        <f>IF(tblOrdenes[[#This Row],[orden]]="","",MAX(0,_xlfn.XLOOKUP(tblOrdenes[[#This Row],[id_operacion]],tblEjecucion[id_operacion],tblEjecucion[costo_plan_total],0)-tblOrdenes[[#This Row],[costo_servicio]]))</f>
        <v/>
      </c>
      <c r="AK460" s="11">
        <f>IF(tblOrdenes[[#This Row],[orden]]="","",tblOrdenes[[#This Row],[costo_servicio]]+tblOrdenes[[#This Row],[costo_materiales]])</f>
        <v/>
      </c>
      <c r="AL460" s="6" t="n"/>
      <c r="AM460" s="6" t="n"/>
      <c r="AN460" s="6" t="n"/>
      <c r="AO460" s="3">
        <f>IF(tblOrdenes[[#This Row],[link_checklist]]="","",HYPERLINK(p_ruta_base_checklists&amp;tblOrdenes[[#This Row],[link_checklist]],"abrir"))</f>
        <v/>
      </c>
      <c r="AP460" s="6" t="n"/>
      <c r="AQ460" s="3">
        <f>IF(tblOrdenes[[#This Row],[orden]]="","",tblOrdenes[[#This Row],[orden]]&amp;IF(tblOrdenes[[#This Row],[operacion]]="","0010",tblOrdenes[[#This Row],[operacion]]))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2" t="n"/>
      <c r="K461" s="3" t="n"/>
      <c r="L461" s="11" t="n"/>
      <c r="M4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1" s="3">
        <f>IF(tblOrdenes[[#This Row],[fecha_inicio]]="","",YEAR(tblOrdenes[[#This Row],[fecha_inicio]]))</f>
        <v/>
      </c>
      <c r="Q461" s="3">
        <f>IF(tblOrdenes[[#This Row],[fecha_inicio]]="","",MONTH(tblOrdenes[[#This Row],[fecha_inicio]]))</f>
        <v/>
      </c>
      <c r="R461" s="3">
        <f>IF(tblOrdenes[[#This Row],[fecha_inicio]]="","",INDEX(lista_dias,WEEKDAY(tblOrdenes[[#This Row],[fecha_inicio]],2)))</f>
        <v/>
      </c>
      <c r="S4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1" s="3">
        <f>IF(tblOrdenes[[#This Row],[tipo_ot]]="","",_xlfn.XLOOKUP(tblOrdenes[[#This Row],[tipo_ot]],tblTiposOT[codigo],tblTiposOT[clasificacion],"sin_clasificar"))</f>
        <v/>
      </c>
      <c r="U461" s="3">
        <f>IF(tblOrdenes[[#This Row],[centro_costo]]="","",_xlfn.XLOOKUP(tblOrdenes[[#This Row],[centro_costo]],tblCECO[codigo],tblCECO[linea],"(sin catálogo)"))</f>
        <v/>
      </c>
      <c r="V461" s="3">
        <f>IF(tblOrdenes[[#This Row],[centro_costo]]="","",_xlfn.XLOOKUP(tblOrdenes[[#This Row],[centro_costo]],tblCECO[codigo],tblCECO[area],"(sin catálogo)"))</f>
        <v/>
      </c>
      <c r="W4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1" s="3">
        <f>IF(tblOrdenes[[#This Row],[centro_costo]]="","",_xlfn.XLOOKUP(tblOrdenes[[#This Row],[centro_costo]],tblCECO[codigo],tblCECO[coordinador],"(sin catálogo)"))</f>
        <v/>
      </c>
      <c r="Y461" s="3">
        <f>IF(tblOrdenes[[#This Row],[puesto_trabajo]]="","",_xlfn.XLOOKUP(tblOrdenes[[#This Row],[puesto_trabajo]],tblPuestos[codigo],tblPuestos[especialidad],"(sin catálogo)"))</f>
        <v/>
      </c>
      <c r="Z461" s="3">
        <f>IF(tblOrdenes[[#This Row],[cod_actividad]]="","",_xlfn.XLOOKUP(tblOrdenes[[#This Row],[cod_actividad]],tblActividades[codigo],tblActividades[descripcion],"(sin catálogo)"))</f>
        <v/>
      </c>
      <c r="AA461" s="13">
        <f>IF(tblOrdenes[[#This Row],[fecha_inicio]]="","",TODAY()-tblOrdenes[[#This Row],[fecha_inicio]])</f>
        <v/>
      </c>
      <c r="AB4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1" s="3">
        <f>IF(tblOrdenes[[#This Row],[backlog_habiles]]="","",IF(tblOrdenes[[#This Row],[backlog_habiles]]&lt;0,"FUTURO",IF(tblOrdenes[[#This Row],[backlog_habiles]]&gt;p_dias_backlog_max,"BACKLOG","MES CORRIENTE")))</f>
        <v/>
      </c>
      <c r="AD461" s="3">
        <f>IF(tblOrdenes[[#This Row],[backlog_habiles]]="",FALSE,AND(tblOrdenes[[#This Row],[backlog_habiles]]&gt;p_dias_backlog_min,tblOrdenes[[#This Row],[backlog_habiles]]&lt;=p_dias_backlog_max))</f>
        <v/>
      </c>
      <c r="AE461" s="6" t="n"/>
      <c r="AF4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1" s="11">
        <f>IF(tblOrdenes[[#This Row],[orden]]="","",_xlfn.XLOOKUP(tblOrdenes[[#This Row],[id_operacion]],tblEjecucion[id_operacion],tblEjecucion[precio],0))</f>
        <v/>
      </c>
      <c r="AJ461" s="11">
        <f>IF(tblOrdenes[[#This Row],[orden]]="","",MAX(0,_xlfn.XLOOKUP(tblOrdenes[[#This Row],[id_operacion]],tblEjecucion[id_operacion],tblEjecucion[costo_plan_total],0)-tblOrdenes[[#This Row],[costo_servicio]]))</f>
        <v/>
      </c>
      <c r="AK461" s="11">
        <f>IF(tblOrdenes[[#This Row],[orden]]="","",tblOrdenes[[#This Row],[costo_servicio]]+tblOrdenes[[#This Row],[costo_materiales]])</f>
        <v/>
      </c>
      <c r="AL461" s="6" t="n"/>
      <c r="AM461" s="6" t="n"/>
      <c r="AN461" s="6" t="n"/>
      <c r="AO461" s="3">
        <f>IF(tblOrdenes[[#This Row],[link_checklist]]="","",HYPERLINK(p_ruta_base_checklists&amp;tblOrdenes[[#This Row],[link_checklist]],"abrir"))</f>
        <v/>
      </c>
      <c r="AP461" s="6" t="n"/>
      <c r="AQ461" s="3">
        <f>IF(tblOrdenes[[#This Row],[orden]]="","",tblOrdenes[[#This Row],[orden]]&amp;IF(tblOrdenes[[#This Row],[operacion]]="","0010",tblOrdenes[[#This Row],[operacion]]))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2" t="n"/>
      <c r="K462" s="3" t="n"/>
      <c r="L462" s="11" t="n"/>
      <c r="M4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2" s="3">
        <f>IF(tblOrdenes[[#This Row],[fecha_inicio]]="","",YEAR(tblOrdenes[[#This Row],[fecha_inicio]]))</f>
        <v/>
      </c>
      <c r="Q462" s="3">
        <f>IF(tblOrdenes[[#This Row],[fecha_inicio]]="","",MONTH(tblOrdenes[[#This Row],[fecha_inicio]]))</f>
        <v/>
      </c>
      <c r="R462" s="3">
        <f>IF(tblOrdenes[[#This Row],[fecha_inicio]]="","",INDEX(lista_dias,WEEKDAY(tblOrdenes[[#This Row],[fecha_inicio]],2)))</f>
        <v/>
      </c>
      <c r="S4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2" s="3">
        <f>IF(tblOrdenes[[#This Row],[tipo_ot]]="","",_xlfn.XLOOKUP(tblOrdenes[[#This Row],[tipo_ot]],tblTiposOT[codigo],tblTiposOT[clasificacion],"sin_clasificar"))</f>
        <v/>
      </c>
      <c r="U462" s="3">
        <f>IF(tblOrdenes[[#This Row],[centro_costo]]="","",_xlfn.XLOOKUP(tblOrdenes[[#This Row],[centro_costo]],tblCECO[codigo],tblCECO[linea],"(sin catálogo)"))</f>
        <v/>
      </c>
      <c r="V462" s="3">
        <f>IF(tblOrdenes[[#This Row],[centro_costo]]="","",_xlfn.XLOOKUP(tblOrdenes[[#This Row],[centro_costo]],tblCECO[codigo],tblCECO[area],"(sin catálogo)"))</f>
        <v/>
      </c>
      <c r="W4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2" s="3">
        <f>IF(tblOrdenes[[#This Row],[centro_costo]]="","",_xlfn.XLOOKUP(tblOrdenes[[#This Row],[centro_costo]],tblCECO[codigo],tblCECO[coordinador],"(sin catálogo)"))</f>
        <v/>
      </c>
      <c r="Y462" s="3">
        <f>IF(tblOrdenes[[#This Row],[puesto_trabajo]]="","",_xlfn.XLOOKUP(tblOrdenes[[#This Row],[puesto_trabajo]],tblPuestos[codigo],tblPuestos[especialidad],"(sin catálogo)"))</f>
        <v/>
      </c>
      <c r="Z462" s="3">
        <f>IF(tblOrdenes[[#This Row],[cod_actividad]]="","",_xlfn.XLOOKUP(tblOrdenes[[#This Row],[cod_actividad]],tblActividades[codigo],tblActividades[descripcion],"(sin catálogo)"))</f>
        <v/>
      </c>
      <c r="AA462" s="13">
        <f>IF(tblOrdenes[[#This Row],[fecha_inicio]]="","",TODAY()-tblOrdenes[[#This Row],[fecha_inicio]])</f>
        <v/>
      </c>
      <c r="AB4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2" s="3">
        <f>IF(tblOrdenes[[#This Row],[backlog_habiles]]="","",IF(tblOrdenes[[#This Row],[backlog_habiles]]&lt;0,"FUTURO",IF(tblOrdenes[[#This Row],[backlog_habiles]]&gt;p_dias_backlog_max,"BACKLOG","MES CORRIENTE")))</f>
        <v/>
      </c>
      <c r="AD462" s="3">
        <f>IF(tblOrdenes[[#This Row],[backlog_habiles]]="",FALSE,AND(tblOrdenes[[#This Row],[backlog_habiles]]&gt;p_dias_backlog_min,tblOrdenes[[#This Row],[backlog_habiles]]&lt;=p_dias_backlog_max))</f>
        <v/>
      </c>
      <c r="AE462" s="6" t="n"/>
      <c r="AF4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2" s="11">
        <f>IF(tblOrdenes[[#This Row],[orden]]="","",_xlfn.XLOOKUP(tblOrdenes[[#This Row],[id_operacion]],tblEjecucion[id_operacion],tblEjecucion[precio],0))</f>
        <v/>
      </c>
      <c r="AJ462" s="11">
        <f>IF(tblOrdenes[[#This Row],[orden]]="","",MAX(0,_xlfn.XLOOKUP(tblOrdenes[[#This Row],[id_operacion]],tblEjecucion[id_operacion],tblEjecucion[costo_plan_total],0)-tblOrdenes[[#This Row],[costo_servicio]]))</f>
        <v/>
      </c>
      <c r="AK462" s="11">
        <f>IF(tblOrdenes[[#This Row],[orden]]="","",tblOrdenes[[#This Row],[costo_servicio]]+tblOrdenes[[#This Row],[costo_materiales]])</f>
        <v/>
      </c>
      <c r="AL462" s="6" t="n"/>
      <c r="AM462" s="6" t="n"/>
      <c r="AN462" s="6" t="n"/>
      <c r="AO462" s="3">
        <f>IF(tblOrdenes[[#This Row],[link_checklist]]="","",HYPERLINK(p_ruta_base_checklists&amp;tblOrdenes[[#This Row],[link_checklist]],"abrir"))</f>
        <v/>
      </c>
      <c r="AP462" s="6" t="n"/>
      <c r="AQ462" s="3">
        <f>IF(tblOrdenes[[#This Row],[orden]]="","",tblOrdenes[[#This Row],[orden]]&amp;IF(tblOrdenes[[#This Row],[operacion]]="","0010",tblOrdenes[[#This Row],[operacion]]))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2" t="n"/>
      <c r="K463" s="3" t="n"/>
      <c r="L463" s="11" t="n"/>
      <c r="M4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3" s="3">
        <f>IF(tblOrdenes[[#This Row],[fecha_inicio]]="","",YEAR(tblOrdenes[[#This Row],[fecha_inicio]]))</f>
        <v/>
      </c>
      <c r="Q463" s="3">
        <f>IF(tblOrdenes[[#This Row],[fecha_inicio]]="","",MONTH(tblOrdenes[[#This Row],[fecha_inicio]]))</f>
        <v/>
      </c>
      <c r="R463" s="3">
        <f>IF(tblOrdenes[[#This Row],[fecha_inicio]]="","",INDEX(lista_dias,WEEKDAY(tblOrdenes[[#This Row],[fecha_inicio]],2)))</f>
        <v/>
      </c>
      <c r="S4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3" s="3">
        <f>IF(tblOrdenes[[#This Row],[tipo_ot]]="","",_xlfn.XLOOKUP(tblOrdenes[[#This Row],[tipo_ot]],tblTiposOT[codigo],tblTiposOT[clasificacion],"sin_clasificar"))</f>
        <v/>
      </c>
      <c r="U463" s="3">
        <f>IF(tblOrdenes[[#This Row],[centro_costo]]="","",_xlfn.XLOOKUP(tblOrdenes[[#This Row],[centro_costo]],tblCECO[codigo],tblCECO[linea],"(sin catálogo)"))</f>
        <v/>
      </c>
      <c r="V463" s="3">
        <f>IF(tblOrdenes[[#This Row],[centro_costo]]="","",_xlfn.XLOOKUP(tblOrdenes[[#This Row],[centro_costo]],tblCECO[codigo],tblCECO[area],"(sin catálogo)"))</f>
        <v/>
      </c>
      <c r="W4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3" s="3">
        <f>IF(tblOrdenes[[#This Row],[centro_costo]]="","",_xlfn.XLOOKUP(tblOrdenes[[#This Row],[centro_costo]],tblCECO[codigo],tblCECO[coordinador],"(sin catálogo)"))</f>
        <v/>
      </c>
      <c r="Y463" s="3">
        <f>IF(tblOrdenes[[#This Row],[puesto_trabajo]]="","",_xlfn.XLOOKUP(tblOrdenes[[#This Row],[puesto_trabajo]],tblPuestos[codigo],tblPuestos[especialidad],"(sin catálogo)"))</f>
        <v/>
      </c>
      <c r="Z463" s="3">
        <f>IF(tblOrdenes[[#This Row],[cod_actividad]]="","",_xlfn.XLOOKUP(tblOrdenes[[#This Row],[cod_actividad]],tblActividades[codigo],tblActividades[descripcion],"(sin catálogo)"))</f>
        <v/>
      </c>
      <c r="AA463" s="13">
        <f>IF(tblOrdenes[[#This Row],[fecha_inicio]]="","",TODAY()-tblOrdenes[[#This Row],[fecha_inicio]])</f>
        <v/>
      </c>
      <c r="AB4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3" s="3">
        <f>IF(tblOrdenes[[#This Row],[backlog_habiles]]="","",IF(tblOrdenes[[#This Row],[backlog_habiles]]&lt;0,"FUTURO",IF(tblOrdenes[[#This Row],[backlog_habiles]]&gt;p_dias_backlog_max,"BACKLOG","MES CORRIENTE")))</f>
        <v/>
      </c>
      <c r="AD463" s="3">
        <f>IF(tblOrdenes[[#This Row],[backlog_habiles]]="",FALSE,AND(tblOrdenes[[#This Row],[backlog_habiles]]&gt;p_dias_backlog_min,tblOrdenes[[#This Row],[backlog_habiles]]&lt;=p_dias_backlog_max))</f>
        <v/>
      </c>
      <c r="AE463" s="6" t="n"/>
      <c r="AF4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3" s="11">
        <f>IF(tblOrdenes[[#This Row],[orden]]="","",_xlfn.XLOOKUP(tblOrdenes[[#This Row],[id_operacion]],tblEjecucion[id_operacion],tblEjecucion[precio],0))</f>
        <v/>
      </c>
      <c r="AJ463" s="11">
        <f>IF(tblOrdenes[[#This Row],[orden]]="","",MAX(0,_xlfn.XLOOKUP(tblOrdenes[[#This Row],[id_operacion]],tblEjecucion[id_operacion],tblEjecucion[costo_plan_total],0)-tblOrdenes[[#This Row],[costo_servicio]]))</f>
        <v/>
      </c>
      <c r="AK463" s="11">
        <f>IF(tblOrdenes[[#This Row],[orden]]="","",tblOrdenes[[#This Row],[costo_servicio]]+tblOrdenes[[#This Row],[costo_materiales]])</f>
        <v/>
      </c>
      <c r="AL463" s="6" t="n"/>
      <c r="AM463" s="6" t="n"/>
      <c r="AN463" s="6" t="n"/>
      <c r="AO463" s="3">
        <f>IF(tblOrdenes[[#This Row],[link_checklist]]="","",HYPERLINK(p_ruta_base_checklists&amp;tblOrdenes[[#This Row],[link_checklist]],"abrir"))</f>
        <v/>
      </c>
      <c r="AP463" s="6" t="n"/>
      <c r="AQ463" s="3">
        <f>IF(tblOrdenes[[#This Row],[orden]]="","",tblOrdenes[[#This Row],[orden]]&amp;IF(tblOrdenes[[#This Row],[operacion]]="","0010",tblOrdenes[[#This Row],[operacion]]))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2" t="n"/>
      <c r="K464" s="3" t="n"/>
      <c r="L464" s="11" t="n"/>
      <c r="M4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4" s="3">
        <f>IF(tblOrdenes[[#This Row],[fecha_inicio]]="","",YEAR(tblOrdenes[[#This Row],[fecha_inicio]]))</f>
        <v/>
      </c>
      <c r="Q464" s="3">
        <f>IF(tblOrdenes[[#This Row],[fecha_inicio]]="","",MONTH(tblOrdenes[[#This Row],[fecha_inicio]]))</f>
        <v/>
      </c>
      <c r="R464" s="3">
        <f>IF(tblOrdenes[[#This Row],[fecha_inicio]]="","",INDEX(lista_dias,WEEKDAY(tblOrdenes[[#This Row],[fecha_inicio]],2)))</f>
        <v/>
      </c>
      <c r="S4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4" s="3">
        <f>IF(tblOrdenes[[#This Row],[tipo_ot]]="","",_xlfn.XLOOKUP(tblOrdenes[[#This Row],[tipo_ot]],tblTiposOT[codigo],tblTiposOT[clasificacion],"sin_clasificar"))</f>
        <v/>
      </c>
      <c r="U464" s="3">
        <f>IF(tblOrdenes[[#This Row],[centro_costo]]="","",_xlfn.XLOOKUP(tblOrdenes[[#This Row],[centro_costo]],tblCECO[codigo],tblCECO[linea],"(sin catálogo)"))</f>
        <v/>
      </c>
      <c r="V464" s="3">
        <f>IF(tblOrdenes[[#This Row],[centro_costo]]="","",_xlfn.XLOOKUP(tblOrdenes[[#This Row],[centro_costo]],tblCECO[codigo],tblCECO[area],"(sin catálogo)"))</f>
        <v/>
      </c>
      <c r="W4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4" s="3">
        <f>IF(tblOrdenes[[#This Row],[centro_costo]]="","",_xlfn.XLOOKUP(tblOrdenes[[#This Row],[centro_costo]],tblCECO[codigo],tblCECO[coordinador],"(sin catálogo)"))</f>
        <v/>
      </c>
      <c r="Y464" s="3">
        <f>IF(tblOrdenes[[#This Row],[puesto_trabajo]]="","",_xlfn.XLOOKUP(tblOrdenes[[#This Row],[puesto_trabajo]],tblPuestos[codigo],tblPuestos[especialidad],"(sin catálogo)"))</f>
        <v/>
      </c>
      <c r="Z464" s="3">
        <f>IF(tblOrdenes[[#This Row],[cod_actividad]]="","",_xlfn.XLOOKUP(tblOrdenes[[#This Row],[cod_actividad]],tblActividades[codigo],tblActividades[descripcion],"(sin catálogo)"))</f>
        <v/>
      </c>
      <c r="AA464" s="13">
        <f>IF(tblOrdenes[[#This Row],[fecha_inicio]]="","",TODAY()-tblOrdenes[[#This Row],[fecha_inicio]])</f>
        <v/>
      </c>
      <c r="AB4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4" s="3">
        <f>IF(tblOrdenes[[#This Row],[backlog_habiles]]="","",IF(tblOrdenes[[#This Row],[backlog_habiles]]&lt;0,"FUTURO",IF(tblOrdenes[[#This Row],[backlog_habiles]]&gt;p_dias_backlog_max,"BACKLOG","MES CORRIENTE")))</f>
        <v/>
      </c>
      <c r="AD464" s="3">
        <f>IF(tblOrdenes[[#This Row],[backlog_habiles]]="",FALSE,AND(tblOrdenes[[#This Row],[backlog_habiles]]&gt;p_dias_backlog_min,tblOrdenes[[#This Row],[backlog_habiles]]&lt;=p_dias_backlog_max))</f>
        <v/>
      </c>
      <c r="AE464" s="6" t="n"/>
      <c r="AF4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4" s="11">
        <f>IF(tblOrdenes[[#This Row],[orden]]="","",_xlfn.XLOOKUP(tblOrdenes[[#This Row],[id_operacion]],tblEjecucion[id_operacion],tblEjecucion[precio],0))</f>
        <v/>
      </c>
      <c r="AJ464" s="11">
        <f>IF(tblOrdenes[[#This Row],[orden]]="","",MAX(0,_xlfn.XLOOKUP(tblOrdenes[[#This Row],[id_operacion]],tblEjecucion[id_operacion],tblEjecucion[costo_plan_total],0)-tblOrdenes[[#This Row],[costo_servicio]]))</f>
        <v/>
      </c>
      <c r="AK464" s="11">
        <f>IF(tblOrdenes[[#This Row],[orden]]="","",tblOrdenes[[#This Row],[costo_servicio]]+tblOrdenes[[#This Row],[costo_materiales]])</f>
        <v/>
      </c>
      <c r="AL464" s="6" t="n"/>
      <c r="AM464" s="6" t="n"/>
      <c r="AN464" s="6" t="n"/>
      <c r="AO464" s="3">
        <f>IF(tblOrdenes[[#This Row],[link_checklist]]="","",HYPERLINK(p_ruta_base_checklists&amp;tblOrdenes[[#This Row],[link_checklist]],"abrir"))</f>
        <v/>
      </c>
      <c r="AP464" s="6" t="n"/>
      <c r="AQ464" s="3">
        <f>IF(tblOrdenes[[#This Row],[orden]]="","",tblOrdenes[[#This Row],[orden]]&amp;IF(tblOrdenes[[#This Row],[operacion]]="","0010",tblOrdenes[[#This Row],[operacion]]))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2" t="n"/>
      <c r="K465" s="3" t="n"/>
      <c r="L465" s="11" t="n"/>
      <c r="M4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5" s="3">
        <f>IF(tblOrdenes[[#This Row],[fecha_inicio]]="","",YEAR(tblOrdenes[[#This Row],[fecha_inicio]]))</f>
        <v/>
      </c>
      <c r="Q465" s="3">
        <f>IF(tblOrdenes[[#This Row],[fecha_inicio]]="","",MONTH(tblOrdenes[[#This Row],[fecha_inicio]]))</f>
        <v/>
      </c>
      <c r="R465" s="3">
        <f>IF(tblOrdenes[[#This Row],[fecha_inicio]]="","",INDEX(lista_dias,WEEKDAY(tblOrdenes[[#This Row],[fecha_inicio]],2)))</f>
        <v/>
      </c>
      <c r="S4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5" s="3">
        <f>IF(tblOrdenes[[#This Row],[tipo_ot]]="","",_xlfn.XLOOKUP(tblOrdenes[[#This Row],[tipo_ot]],tblTiposOT[codigo],tblTiposOT[clasificacion],"sin_clasificar"))</f>
        <v/>
      </c>
      <c r="U465" s="3">
        <f>IF(tblOrdenes[[#This Row],[centro_costo]]="","",_xlfn.XLOOKUP(tblOrdenes[[#This Row],[centro_costo]],tblCECO[codigo],tblCECO[linea],"(sin catálogo)"))</f>
        <v/>
      </c>
      <c r="V465" s="3">
        <f>IF(tblOrdenes[[#This Row],[centro_costo]]="","",_xlfn.XLOOKUP(tblOrdenes[[#This Row],[centro_costo]],tblCECO[codigo],tblCECO[area],"(sin catálogo)"))</f>
        <v/>
      </c>
      <c r="W4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5" s="3">
        <f>IF(tblOrdenes[[#This Row],[centro_costo]]="","",_xlfn.XLOOKUP(tblOrdenes[[#This Row],[centro_costo]],tblCECO[codigo],tblCECO[coordinador],"(sin catálogo)"))</f>
        <v/>
      </c>
      <c r="Y465" s="3">
        <f>IF(tblOrdenes[[#This Row],[puesto_trabajo]]="","",_xlfn.XLOOKUP(tblOrdenes[[#This Row],[puesto_trabajo]],tblPuestos[codigo],tblPuestos[especialidad],"(sin catálogo)"))</f>
        <v/>
      </c>
      <c r="Z465" s="3">
        <f>IF(tblOrdenes[[#This Row],[cod_actividad]]="","",_xlfn.XLOOKUP(tblOrdenes[[#This Row],[cod_actividad]],tblActividades[codigo],tblActividades[descripcion],"(sin catálogo)"))</f>
        <v/>
      </c>
      <c r="AA465" s="13">
        <f>IF(tblOrdenes[[#This Row],[fecha_inicio]]="","",TODAY()-tblOrdenes[[#This Row],[fecha_inicio]])</f>
        <v/>
      </c>
      <c r="AB4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5" s="3">
        <f>IF(tblOrdenes[[#This Row],[backlog_habiles]]="","",IF(tblOrdenes[[#This Row],[backlog_habiles]]&lt;0,"FUTURO",IF(tblOrdenes[[#This Row],[backlog_habiles]]&gt;p_dias_backlog_max,"BACKLOG","MES CORRIENTE")))</f>
        <v/>
      </c>
      <c r="AD465" s="3">
        <f>IF(tblOrdenes[[#This Row],[backlog_habiles]]="",FALSE,AND(tblOrdenes[[#This Row],[backlog_habiles]]&gt;p_dias_backlog_min,tblOrdenes[[#This Row],[backlog_habiles]]&lt;=p_dias_backlog_max))</f>
        <v/>
      </c>
      <c r="AE465" s="6" t="n"/>
      <c r="AF4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5" s="11">
        <f>IF(tblOrdenes[[#This Row],[orden]]="","",_xlfn.XLOOKUP(tblOrdenes[[#This Row],[id_operacion]],tblEjecucion[id_operacion],tblEjecucion[precio],0))</f>
        <v/>
      </c>
      <c r="AJ465" s="11">
        <f>IF(tblOrdenes[[#This Row],[orden]]="","",MAX(0,_xlfn.XLOOKUP(tblOrdenes[[#This Row],[id_operacion]],tblEjecucion[id_operacion],tblEjecucion[costo_plan_total],0)-tblOrdenes[[#This Row],[costo_servicio]]))</f>
        <v/>
      </c>
      <c r="AK465" s="11">
        <f>IF(tblOrdenes[[#This Row],[orden]]="","",tblOrdenes[[#This Row],[costo_servicio]]+tblOrdenes[[#This Row],[costo_materiales]])</f>
        <v/>
      </c>
      <c r="AL465" s="6" t="n"/>
      <c r="AM465" s="6" t="n"/>
      <c r="AN465" s="6" t="n"/>
      <c r="AO465" s="3">
        <f>IF(tblOrdenes[[#This Row],[link_checklist]]="","",HYPERLINK(p_ruta_base_checklists&amp;tblOrdenes[[#This Row],[link_checklist]],"abrir"))</f>
        <v/>
      </c>
      <c r="AP465" s="6" t="n"/>
      <c r="AQ465" s="3">
        <f>IF(tblOrdenes[[#This Row],[orden]]="","",tblOrdenes[[#This Row],[orden]]&amp;IF(tblOrdenes[[#This Row],[operacion]]="","0010",tblOrdenes[[#This Row],[operacion]]))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2" t="n"/>
      <c r="K466" s="3" t="n"/>
      <c r="L466" s="11" t="n"/>
      <c r="M4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6" s="3">
        <f>IF(tblOrdenes[[#This Row],[fecha_inicio]]="","",YEAR(tblOrdenes[[#This Row],[fecha_inicio]]))</f>
        <v/>
      </c>
      <c r="Q466" s="3">
        <f>IF(tblOrdenes[[#This Row],[fecha_inicio]]="","",MONTH(tblOrdenes[[#This Row],[fecha_inicio]]))</f>
        <v/>
      </c>
      <c r="R466" s="3">
        <f>IF(tblOrdenes[[#This Row],[fecha_inicio]]="","",INDEX(lista_dias,WEEKDAY(tblOrdenes[[#This Row],[fecha_inicio]],2)))</f>
        <v/>
      </c>
      <c r="S4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6" s="3">
        <f>IF(tblOrdenes[[#This Row],[tipo_ot]]="","",_xlfn.XLOOKUP(tblOrdenes[[#This Row],[tipo_ot]],tblTiposOT[codigo],tblTiposOT[clasificacion],"sin_clasificar"))</f>
        <v/>
      </c>
      <c r="U466" s="3">
        <f>IF(tblOrdenes[[#This Row],[centro_costo]]="","",_xlfn.XLOOKUP(tblOrdenes[[#This Row],[centro_costo]],tblCECO[codigo],tblCECO[linea],"(sin catálogo)"))</f>
        <v/>
      </c>
      <c r="V466" s="3">
        <f>IF(tblOrdenes[[#This Row],[centro_costo]]="","",_xlfn.XLOOKUP(tblOrdenes[[#This Row],[centro_costo]],tblCECO[codigo],tblCECO[area],"(sin catálogo)"))</f>
        <v/>
      </c>
      <c r="W4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6" s="3">
        <f>IF(tblOrdenes[[#This Row],[centro_costo]]="","",_xlfn.XLOOKUP(tblOrdenes[[#This Row],[centro_costo]],tblCECO[codigo],tblCECO[coordinador],"(sin catálogo)"))</f>
        <v/>
      </c>
      <c r="Y466" s="3">
        <f>IF(tblOrdenes[[#This Row],[puesto_trabajo]]="","",_xlfn.XLOOKUP(tblOrdenes[[#This Row],[puesto_trabajo]],tblPuestos[codigo],tblPuestos[especialidad],"(sin catálogo)"))</f>
        <v/>
      </c>
      <c r="Z466" s="3">
        <f>IF(tblOrdenes[[#This Row],[cod_actividad]]="","",_xlfn.XLOOKUP(tblOrdenes[[#This Row],[cod_actividad]],tblActividades[codigo],tblActividades[descripcion],"(sin catálogo)"))</f>
        <v/>
      </c>
      <c r="AA466" s="13">
        <f>IF(tblOrdenes[[#This Row],[fecha_inicio]]="","",TODAY()-tblOrdenes[[#This Row],[fecha_inicio]])</f>
        <v/>
      </c>
      <c r="AB4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6" s="3">
        <f>IF(tblOrdenes[[#This Row],[backlog_habiles]]="","",IF(tblOrdenes[[#This Row],[backlog_habiles]]&lt;0,"FUTURO",IF(tblOrdenes[[#This Row],[backlog_habiles]]&gt;p_dias_backlog_max,"BACKLOG","MES CORRIENTE")))</f>
        <v/>
      </c>
      <c r="AD466" s="3">
        <f>IF(tblOrdenes[[#This Row],[backlog_habiles]]="",FALSE,AND(tblOrdenes[[#This Row],[backlog_habiles]]&gt;p_dias_backlog_min,tblOrdenes[[#This Row],[backlog_habiles]]&lt;=p_dias_backlog_max))</f>
        <v/>
      </c>
      <c r="AE466" s="6" t="n"/>
      <c r="AF4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6" s="11">
        <f>IF(tblOrdenes[[#This Row],[orden]]="","",_xlfn.XLOOKUP(tblOrdenes[[#This Row],[id_operacion]],tblEjecucion[id_operacion],tblEjecucion[precio],0))</f>
        <v/>
      </c>
      <c r="AJ466" s="11">
        <f>IF(tblOrdenes[[#This Row],[orden]]="","",MAX(0,_xlfn.XLOOKUP(tblOrdenes[[#This Row],[id_operacion]],tblEjecucion[id_operacion],tblEjecucion[costo_plan_total],0)-tblOrdenes[[#This Row],[costo_servicio]]))</f>
        <v/>
      </c>
      <c r="AK466" s="11">
        <f>IF(tblOrdenes[[#This Row],[orden]]="","",tblOrdenes[[#This Row],[costo_servicio]]+tblOrdenes[[#This Row],[costo_materiales]])</f>
        <v/>
      </c>
      <c r="AL466" s="6" t="n"/>
      <c r="AM466" s="6" t="n"/>
      <c r="AN466" s="6" t="n"/>
      <c r="AO466" s="3">
        <f>IF(tblOrdenes[[#This Row],[link_checklist]]="","",HYPERLINK(p_ruta_base_checklists&amp;tblOrdenes[[#This Row],[link_checklist]],"abrir"))</f>
        <v/>
      </c>
      <c r="AP466" s="6" t="n"/>
      <c r="AQ466" s="3">
        <f>IF(tblOrdenes[[#This Row],[orden]]="","",tblOrdenes[[#This Row],[orden]]&amp;IF(tblOrdenes[[#This Row],[operacion]]="","0010",tblOrdenes[[#This Row],[operacion]]))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2" t="n"/>
      <c r="K467" s="3" t="n"/>
      <c r="L467" s="11" t="n"/>
      <c r="M4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7" s="3">
        <f>IF(tblOrdenes[[#This Row],[fecha_inicio]]="","",YEAR(tblOrdenes[[#This Row],[fecha_inicio]]))</f>
        <v/>
      </c>
      <c r="Q467" s="3">
        <f>IF(tblOrdenes[[#This Row],[fecha_inicio]]="","",MONTH(tblOrdenes[[#This Row],[fecha_inicio]]))</f>
        <v/>
      </c>
      <c r="R467" s="3">
        <f>IF(tblOrdenes[[#This Row],[fecha_inicio]]="","",INDEX(lista_dias,WEEKDAY(tblOrdenes[[#This Row],[fecha_inicio]],2)))</f>
        <v/>
      </c>
      <c r="S4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7" s="3">
        <f>IF(tblOrdenes[[#This Row],[tipo_ot]]="","",_xlfn.XLOOKUP(tblOrdenes[[#This Row],[tipo_ot]],tblTiposOT[codigo],tblTiposOT[clasificacion],"sin_clasificar"))</f>
        <v/>
      </c>
      <c r="U467" s="3">
        <f>IF(tblOrdenes[[#This Row],[centro_costo]]="","",_xlfn.XLOOKUP(tblOrdenes[[#This Row],[centro_costo]],tblCECO[codigo],tblCECO[linea],"(sin catálogo)"))</f>
        <v/>
      </c>
      <c r="V467" s="3">
        <f>IF(tblOrdenes[[#This Row],[centro_costo]]="","",_xlfn.XLOOKUP(tblOrdenes[[#This Row],[centro_costo]],tblCECO[codigo],tblCECO[area],"(sin catálogo)"))</f>
        <v/>
      </c>
      <c r="W4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7" s="3">
        <f>IF(tblOrdenes[[#This Row],[centro_costo]]="","",_xlfn.XLOOKUP(tblOrdenes[[#This Row],[centro_costo]],tblCECO[codigo],tblCECO[coordinador],"(sin catálogo)"))</f>
        <v/>
      </c>
      <c r="Y467" s="3">
        <f>IF(tblOrdenes[[#This Row],[puesto_trabajo]]="","",_xlfn.XLOOKUP(tblOrdenes[[#This Row],[puesto_trabajo]],tblPuestos[codigo],tblPuestos[especialidad],"(sin catálogo)"))</f>
        <v/>
      </c>
      <c r="Z467" s="3">
        <f>IF(tblOrdenes[[#This Row],[cod_actividad]]="","",_xlfn.XLOOKUP(tblOrdenes[[#This Row],[cod_actividad]],tblActividades[codigo],tblActividades[descripcion],"(sin catálogo)"))</f>
        <v/>
      </c>
      <c r="AA467" s="13">
        <f>IF(tblOrdenes[[#This Row],[fecha_inicio]]="","",TODAY()-tblOrdenes[[#This Row],[fecha_inicio]])</f>
        <v/>
      </c>
      <c r="AB4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7" s="3">
        <f>IF(tblOrdenes[[#This Row],[backlog_habiles]]="","",IF(tblOrdenes[[#This Row],[backlog_habiles]]&lt;0,"FUTURO",IF(tblOrdenes[[#This Row],[backlog_habiles]]&gt;p_dias_backlog_max,"BACKLOG","MES CORRIENTE")))</f>
        <v/>
      </c>
      <c r="AD467" s="3">
        <f>IF(tblOrdenes[[#This Row],[backlog_habiles]]="",FALSE,AND(tblOrdenes[[#This Row],[backlog_habiles]]&gt;p_dias_backlog_min,tblOrdenes[[#This Row],[backlog_habiles]]&lt;=p_dias_backlog_max))</f>
        <v/>
      </c>
      <c r="AE467" s="6" t="n"/>
      <c r="AF4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7" s="11">
        <f>IF(tblOrdenes[[#This Row],[orden]]="","",_xlfn.XLOOKUP(tblOrdenes[[#This Row],[id_operacion]],tblEjecucion[id_operacion],tblEjecucion[precio],0))</f>
        <v/>
      </c>
      <c r="AJ467" s="11">
        <f>IF(tblOrdenes[[#This Row],[orden]]="","",MAX(0,_xlfn.XLOOKUP(tblOrdenes[[#This Row],[id_operacion]],tblEjecucion[id_operacion],tblEjecucion[costo_plan_total],0)-tblOrdenes[[#This Row],[costo_servicio]]))</f>
        <v/>
      </c>
      <c r="AK467" s="11">
        <f>IF(tblOrdenes[[#This Row],[orden]]="","",tblOrdenes[[#This Row],[costo_servicio]]+tblOrdenes[[#This Row],[costo_materiales]])</f>
        <v/>
      </c>
      <c r="AL467" s="6" t="n"/>
      <c r="AM467" s="6" t="n"/>
      <c r="AN467" s="6" t="n"/>
      <c r="AO467" s="3">
        <f>IF(tblOrdenes[[#This Row],[link_checklist]]="","",HYPERLINK(p_ruta_base_checklists&amp;tblOrdenes[[#This Row],[link_checklist]],"abrir"))</f>
        <v/>
      </c>
      <c r="AP467" s="6" t="n"/>
      <c r="AQ467" s="3">
        <f>IF(tblOrdenes[[#This Row],[orden]]="","",tblOrdenes[[#This Row],[orden]]&amp;IF(tblOrdenes[[#This Row],[operacion]]="","0010",tblOrdenes[[#This Row],[operacion]]))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2" t="n"/>
      <c r="K468" s="3" t="n"/>
      <c r="L468" s="11" t="n"/>
      <c r="M4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8" s="3">
        <f>IF(tblOrdenes[[#This Row],[fecha_inicio]]="","",YEAR(tblOrdenes[[#This Row],[fecha_inicio]]))</f>
        <v/>
      </c>
      <c r="Q468" s="3">
        <f>IF(tblOrdenes[[#This Row],[fecha_inicio]]="","",MONTH(tblOrdenes[[#This Row],[fecha_inicio]]))</f>
        <v/>
      </c>
      <c r="R468" s="3">
        <f>IF(tblOrdenes[[#This Row],[fecha_inicio]]="","",INDEX(lista_dias,WEEKDAY(tblOrdenes[[#This Row],[fecha_inicio]],2)))</f>
        <v/>
      </c>
      <c r="S4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8" s="3">
        <f>IF(tblOrdenes[[#This Row],[tipo_ot]]="","",_xlfn.XLOOKUP(tblOrdenes[[#This Row],[tipo_ot]],tblTiposOT[codigo],tblTiposOT[clasificacion],"sin_clasificar"))</f>
        <v/>
      </c>
      <c r="U468" s="3">
        <f>IF(tblOrdenes[[#This Row],[centro_costo]]="","",_xlfn.XLOOKUP(tblOrdenes[[#This Row],[centro_costo]],tblCECO[codigo],tblCECO[linea],"(sin catálogo)"))</f>
        <v/>
      </c>
      <c r="V468" s="3">
        <f>IF(tblOrdenes[[#This Row],[centro_costo]]="","",_xlfn.XLOOKUP(tblOrdenes[[#This Row],[centro_costo]],tblCECO[codigo],tblCECO[area],"(sin catálogo)"))</f>
        <v/>
      </c>
      <c r="W4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8" s="3">
        <f>IF(tblOrdenes[[#This Row],[centro_costo]]="","",_xlfn.XLOOKUP(tblOrdenes[[#This Row],[centro_costo]],tblCECO[codigo],tblCECO[coordinador],"(sin catálogo)"))</f>
        <v/>
      </c>
      <c r="Y468" s="3">
        <f>IF(tblOrdenes[[#This Row],[puesto_trabajo]]="","",_xlfn.XLOOKUP(tblOrdenes[[#This Row],[puesto_trabajo]],tblPuestos[codigo],tblPuestos[especialidad],"(sin catálogo)"))</f>
        <v/>
      </c>
      <c r="Z468" s="3">
        <f>IF(tblOrdenes[[#This Row],[cod_actividad]]="","",_xlfn.XLOOKUP(tblOrdenes[[#This Row],[cod_actividad]],tblActividades[codigo],tblActividades[descripcion],"(sin catálogo)"))</f>
        <v/>
      </c>
      <c r="AA468" s="13">
        <f>IF(tblOrdenes[[#This Row],[fecha_inicio]]="","",TODAY()-tblOrdenes[[#This Row],[fecha_inicio]])</f>
        <v/>
      </c>
      <c r="AB4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8" s="3">
        <f>IF(tblOrdenes[[#This Row],[backlog_habiles]]="","",IF(tblOrdenes[[#This Row],[backlog_habiles]]&lt;0,"FUTURO",IF(tblOrdenes[[#This Row],[backlog_habiles]]&gt;p_dias_backlog_max,"BACKLOG","MES CORRIENTE")))</f>
        <v/>
      </c>
      <c r="AD468" s="3">
        <f>IF(tblOrdenes[[#This Row],[backlog_habiles]]="",FALSE,AND(tblOrdenes[[#This Row],[backlog_habiles]]&gt;p_dias_backlog_min,tblOrdenes[[#This Row],[backlog_habiles]]&lt;=p_dias_backlog_max))</f>
        <v/>
      </c>
      <c r="AE468" s="6" t="n"/>
      <c r="AF4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8" s="11">
        <f>IF(tblOrdenes[[#This Row],[orden]]="","",_xlfn.XLOOKUP(tblOrdenes[[#This Row],[id_operacion]],tblEjecucion[id_operacion],tblEjecucion[precio],0))</f>
        <v/>
      </c>
      <c r="AJ468" s="11">
        <f>IF(tblOrdenes[[#This Row],[orden]]="","",MAX(0,_xlfn.XLOOKUP(tblOrdenes[[#This Row],[id_operacion]],tblEjecucion[id_operacion],tblEjecucion[costo_plan_total],0)-tblOrdenes[[#This Row],[costo_servicio]]))</f>
        <v/>
      </c>
      <c r="AK468" s="11">
        <f>IF(tblOrdenes[[#This Row],[orden]]="","",tblOrdenes[[#This Row],[costo_servicio]]+tblOrdenes[[#This Row],[costo_materiales]])</f>
        <v/>
      </c>
      <c r="AL468" s="6" t="n"/>
      <c r="AM468" s="6" t="n"/>
      <c r="AN468" s="6" t="n"/>
      <c r="AO468" s="3">
        <f>IF(tblOrdenes[[#This Row],[link_checklist]]="","",HYPERLINK(p_ruta_base_checklists&amp;tblOrdenes[[#This Row],[link_checklist]],"abrir"))</f>
        <v/>
      </c>
      <c r="AP468" s="6" t="n"/>
      <c r="AQ468" s="3">
        <f>IF(tblOrdenes[[#This Row],[orden]]="","",tblOrdenes[[#This Row],[orden]]&amp;IF(tblOrdenes[[#This Row],[operacion]]="","0010",tblOrdenes[[#This Row],[operacion]]))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2" t="n"/>
      <c r="K469" s="3" t="n"/>
      <c r="L469" s="11" t="n"/>
      <c r="M4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9" s="3">
        <f>IF(tblOrdenes[[#This Row],[fecha_inicio]]="","",YEAR(tblOrdenes[[#This Row],[fecha_inicio]]))</f>
        <v/>
      </c>
      <c r="Q469" s="3">
        <f>IF(tblOrdenes[[#This Row],[fecha_inicio]]="","",MONTH(tblOrdenes[[#This Row],[fecha_inicio]]))</f>
        <v/>
      </c>
      <c r="R469" s="3">
        <f>IF(tblOrdenes[[#This Row],[fecha_inicio]]="","",INDEX(lista_dias,WEEKDAY(tblOrdenes[[#This Row],[fecha_inicio]],2)))</f>
        <v/>
      </c>
      <c r="S4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9" s="3">
        <f>IF(tblOrdenes[[#This Row],[tipo_ot]]="","",_xlfn.XLOOKUP(tblOrdenes[[#This Row],[tipo_ot]],tblTiposOT[codigo],tblTiposOT[clasificacion],"sin_clasificar"))</f>
        <v/>
      </c>
      <c r="U469" s="3">
        <f>IF(tblOrdenes[[#This Row],[centro_costo]]="","",_xlfn.XLOOKUP(tblOrdenes[[#This Row],[centro_costo]],tblCECO[codigo],tblCECO[linea],"(sin catálogo)"))</f>
        <v/>
      </c>
      <c r="V469" s="3">
        <f>IF(tblOrdenes[[#This Row],[centro_costo]]="","",_xlfn.XLOOKUP(tblOrdenes[[#This Row],[centro_costo]],tblCECO[codigo],tblCECO[area],"(sin catálogo)"))</f>
        <v/>
      </c>
      <c r="W4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9" s="3">
        <f>IF(tblOrdenes[[#This Row],[centro_costo]]="","",_xlfn.XLOOKUP(tblOrdenes[[#This Row],[centro_costo]],tblCECO[codigo],tblCECO[coordinador],"(sin catálogo)"))</f>
        <v/>
      </c>
      <c r="Y469" s="3">
        <f>IF(tblOrdenes[[#This Row],[puesto_trabajo]]="","",_xlfn.XLOOKUP(tblOrdenes[[#This Row],[puesto_trabajo]],tblPuestos[codigo],tblPuestos[especialidad],"(sin catálogo)"))</f>
        <v/>
      </c>
      <c r="Z469" s="3">
        <f>IF(tblOrdenes[[#This Row],[cod_actividad]]="","",_xlfn.XLOOKUP(tblOrdenes[[#This Row],[cod_actividad]],tblActividades[codigo],tblActividades[descripcion],"(sin catálogo)"))</f>
        <v/>
      </c>
      <c r="AA469" s="13">
        <f>IF(tblOrdenes[[#This Row],[fecha_inicio]]="","",TODAY()-tblOrdenes[[#This Row],[fecha_inicio]])</f>
        <v/>
      </c>
      <c r="AB4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9" s="3">
        <f>IF(tblOrdenes[[#This Row],[backlog_habiles]]="","",IF(tblOrdenes[[#This Row],[backlog_habiles]]&lt;0,"FUTURO",IF(tblOrdenes[[#This Row],[backlog_habiles]]&gt;p_dias_backlog_max,"BACKLOG","MES CORRIENTE")))</f>
        <v/>
      </c>
      <c r="AD469" s="3">
        <f>IF(tblOrdenes[[#This Row],[backlog_habiles]]="",FALSE,AND(tblOrdenes[[#This Row],[backlog_habiles]]&gt;p_dias_backlog_min,tblOrdenes[[#This Row],[backlog_habiles]]&lt;=p_dias_backlog_max))</f>
        <v/>
      </c>
      <c r="AE469" s="6" t="n"/>
      <c r="AF4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9" s="11">
        <f>IF(tblOrdenes[[#This Row],[orden]]="","",_xlfn.XLOOKUP(tblOrdenes[[#This Row],[id_operacion]],tblEjecucion[id_operacion],tblEjecucion[precio],0))</f>
        <v/>
      </c>
      <c r="AJ469" s="11">
        <f>IF(tblOrdenes[[#This Row],[orden]]="","",MAX(0,_xlfn.XLOOKUP(tblOrdenes[[#This Row],[id_operacion]],tblEjecucion[id_operacion],tblEjecucion[costo_plan_total],0)-tblOrdenes[[#This Row],[costo_servicio]]))</f>
        <v/>
      </c>
      <c r="AK469" s="11">
        <f>IF(tblOrdenes[[#This Row],[orden]]="","",tblOrdenes[[#This Row],[costo_servicio]]+tblOrdenes[[#This Row],[costo_materiales]])</f>
        <v/>
      </c>
      <c r="AL469" s="6" t="n"/>
      <c r="AM469" s="6" t="n"/>
      <c r="AN469" s="6" t="n"/>
      <c r="AO469" s="3">
        <f>IF(tblOrdenes[[#This Row],[link_checklist]]="","",HYPERLINK(p_ruta_base_checklists&amp;tblOrdenes[[#This Row],[link_checklist]],"abrir"))</f>
        <v/>
      </c>
      <c r="AP469" s="6" t="n"/>
      <c r="AQ469" s="3">
        <f>IF(tblOrdenes[[#This Row],[orden]]="","",tblOrdenes[[#This Row],[orden]]&amp;IF(tblOrdenes[[#This Row],[operacion]]="","0010",tblOrdenes[[#This Row],[operacion]]))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2" t="n"/>
      <c r="K470" s="3" t="n"/>
      <c r="L470" s="11" t="n"/>
      <c r="M4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0" s="3">
        <f>IF(tblOrdenes[[#This Row],[fecha_inicio]]="","",YEAR(tblOrdenes[[#This Row],[fecha_inicio]]))</f>
        <v/>
      </c>
      <c r="Q470" s="3">
        <f>IF(tblOrdenes[[#This Row],[fecha_inicio]]="","",MONTH(tblOrdenes[[#This Row],[fecha_inicio]]))</f>
        <v/>
      </c>
      <c r="R470" s="3">
        <f>IF(tblOrdenes[[#This Row],[fecha_inicio]]="","",INDEX(lista_dias,WEEKDAY(tblOrdenes[[#This Row],[fecha_inicio]],2)))</f>
        <v/>
      </c>
      <c r="S4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0" s="3">
        <f>IF(tblOrdenes[[#This Row],[tipo_ot]]="","",_xlfn.XLOOKUP(tblOrdenes[[#This Row],[tipo_ot]],tblTiposOT[codigo],tblTiposOT[clasificacion],"sin_clasificar"))</f>
        <v/>
      </c>
      <c r="U470" s="3">
        <f>IF(tblOrdenes[[#This Row],[centro_costo]]="","",_xlfn.XLOOKUP(tblOrdenes[[#This Row],[centro_costo]],tblCECO[codigo],tblCECO[linea],"(sin catálogo)"))</f>
        <v/>
      </c>
      <c r="V470" s="3">
        <f>IF(tblOrdenes[[#This Row],[centro_costo]]="","",_xlfn.XLOOKUP(tblOrdenes[[#This Row],[centro_costo]],tblCECO[codigo],tblCECO[area],"(sin catálogo)"))</f>
        <v/>
      </c>
      <c r="W4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0" s="3">
        <f>IF(tblOrdenes[[#This Row],[centro_costo]]="","",_xlfn.XLOOKUP(tblOrdenes[[#This Row],[centro_costo]],tblCECO[codigo],tblCECO[coordinador],"(sin catálogo)"))</f>
        <v/>
      </c>
      <c r="Y470" s="3">
        <f>IF(tblOrdenes[[#This Row],[puesto_trabajo]]="","",_xlfn.XLOOKUP(tblOrdenes[[#This Row],[puesto_trabajo]],tblPuestos[codigo],tblPuestos[especialidad],"(sin catálogo)"))</f>
        <v/>
      </c>
      <c r="Z470" s="3">
        <f>IF(tblOrdenes[[#This Row],[cod_actividad]]="","",_xlfn.XLOOKUP(tblOrdenes[[#This Row],[cod_actividad]],tblActividades[codigo],tblActividades[descripcion],"(sin catálogo)"))</f>
        <v/>
      </c>
      <c r="AA470" s="13">
        <f>IF(tblOrdenes[[#This Row],[fecha_inicio]]="","",TODAY()-tblOrdenes[[#This Row],[fecha_inicio]])</f>
        <v/>
      </c>
      <c r="AB4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0" s="3">
        <f>IF(tblOrdenes[[#This Row],[backlog_habiles]]="","",IF(tblOrdenes[[#This Row],[backlog_habiles]]&lt;0,"FUTURO",IF(tblOrdenes[[#This Row],[backlog_habiles]]&gt;p_dias_backlog_max,"BACKLOG","MES CORRIENTE")))</f>
        <v/>
      </c>
      <c r="AD470" s="3">
        <f>IF(tblOrdenes[[#This Row],[backlog_habiles]]="",FALSE,AND(tblOrdenes[[#This Row],[backlog_habiles]]&gt;p_dias_backlog_min,tblOrdenes[[#This Row],[backlog_habiles]]&lt;=p_dias_backlog_max))</f>
        <v/>
      </c>
      <c r="AE470" s="6" t="n"/>
      <c r="AF4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0" s="11">
        <f>IF(tblOrdenes[[#This Row],[orden]]="","",_xlfn.XLOOKUP(tblOrdenes[[#This Row],[id_operacion]],tblEjecucion[id_operacion],tblEjecucion[precio],0))</f>
        <v/>
      </c>
      <c r="AJ470" s="11">
        <f>IF(tblOrdenes[[#This Row],[orden]]="","",MAX(0,_xlfn.XLOOKUP(tblOrdenes[[#This Row],[id_operacion]],tblEjecucion[id_operacion],tblEjecucion[costo_plan_total],0)-tblOrdenes[[#This Row],[costo_servicio]]))</f>
        <v/>
      </c>
      <c r="AK470" s="11">
        <f>IF(tblOrdenes[[#This Row],[orden]]="","",tblOrdenes[[#This Row],[costo_servicio]]+tblOrdenes[[#This Row],[costo_materiales]])</f>
        <v/>
      </c>
      <c r="AL470" s="6" t="n"/>
      <c r="AM470" s="6" t="n"/>
      <c r="AN470" s="6" t="n"/>
      <c r="AO470" s="3">
        <f>IF(tblOrdenes[[#This Row],[link_checklist]]="","",HYPERLINK(p_ruta_base_checklists&amp;tblOrdenes[[#This Row],[link_checklist]],"abrir"))</f>
        <v/>
      </c>
      <c r="AP470" s="6" t="n"/>
      <c r="AQ470" s="3">
        <f>IF(tblOrdenes[[#This Row],[orden]]="","",tblOrdenes[[#This Row],[orden]]&amp;IF(tblOrdenes[[#This Row],[operacion]]="","0010",tblOrdenes[[#This Row],[operacion]]))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2" t="n"/>
      <c r="K471" s="3" t="n"/>
      <c r="L471" s="11" t="n"/>
      <c r="M4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1" s="3">
        <f>IF(tblOrdenes[[#This Row],[fecha_inicio]]="","",YEAR(tblOrdenes[[#This Row],[fecha_inicio]]))</f>
        <v/>
      </c>
      <c r="Q471" s="3">
        <f>IF(tblOrdenes[[#This Row],[fecha_inicio]]="","",MONTH(tblOrdenes[[#This Row],[fecha_inicio]]))</f>
        <v/>
      </c>
      <c r="R471" s="3">
        <f>IF(tblOrdenes[[#This Row],[fecha_inicio]]="","",INDEX(lista_dias,WEEKDAY(tblOrdenes[[#This Row],[fecha_inicio]],2)))</f>
        <v/>
      </c>
      <c r="S4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1" s="3">
        <f>IF(tblOrdenes[[#This Row],[tipo_ot]]="","",_xlfn.XLOOKUP(tblOrdenes[[#This Row],[tipo_ot]],tblTiposOT[codigo],tblTiposOT[clasificacion],"sin_clasificar"))</f>
        <v/>
      </c>
      <c r="U471" s="3">
        <f>IF(tblOrdenes[[#This Row],[centro_costo]]="","",_xlfn.XLOOKUP(tblOrdenes[[#This Row],[centro_costo]],tblCECO[codigo],tblCECO[linea],"(sin catálogo)"))</f>
        <v/>
      </c>
      <c r="V471" s="3">
        <f>IF(tblOrdenes[[#This Row],[centro_costo]]="","",_xlfn.XLOOKUP(tblOrdenes[[#This Row],[centro_costo]],tblCECO[codigo],tblCECO[area],"(sin catálogo)"))</f>
        <v/>
      </c>
      <c r="W4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1" s="3">
        <f>IF(tblOrdenes[[#This Row],[centro_costo]]="","",_xlfn.XLOOKUP(tblOrdenes[[#This Row],[centro_costo]],tblCECO[codigo],tblCECO[coordinador],"(sin catálogo)"))</f>
        <v/>
      </c>
      <c r="Y471" s="3">
        <f>IF(tblOrdenes[[#This Row],[puesto_trabajo]]="","",_xlfn.XLOOKUP(tblOrdenes[[#This Row],[puesto_trabajo]],tblPuestos[codigo],tblPuestos[especialidad],"(sin catálogo)"))</f>
        <v/>
      </c>
      <c r="Z471" s="3">
        <f>IF(tblOrdenes[[#This Row],[cod_actividad]]="","",_xlfn.XLOOKUP(tblOrdenes[[#This Row],[cod_actividad]],tblActividades[codigo],tblActividades[descripcion],"(sin catálogo)"))</f>
        <v/>
      </c>
      <c r="AA471" s="13">
        <f>IF(tblOrdenes[[#This Row],[fecha_inicio]]="","",TODAY()-tblOrdenes[[#This Row],[fecha_inicio]])</f>
        <v/>
      </c>
      <c r="AB4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1" s="3">
        <f>IF(tblOrdenes[[#This Row],[backlog_habiles]]="","",IF(tblOrdenes[[#This Row],[backlog_habiles]]&lt;0,"FUTURO",IF(tblOrdenes[[#This Row],[backlog_habiles]]&gt;p_dias_backlog_max,"BACKLOG","MES CORRIENTE")))</f>
        <v/>
      </c>
      <c r="AD471" s="3">
        <f>IF(tblOrdenes[[#This Row],[backlog_habiles]]="",FALSE,AND(tblOrdenes[[#This Row],[backlog_habiles]]&gt;p_dias_backlog_min,tblOrdenes[[#This Row],[backlog_habiles]]&lt;=p_dias_backlog_max))</f>
        <v/>
      </c>
      <c r="AE471" s="6" t="n"/>
      <c r="AF4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1" s="11">
        <f>IF(tblOrdenes[[#This Row],[orden]]="","",_xlfn.XLOOKUP(tblOrdenes[[#This Row],[id_operacion]],tblEjecucion[id_operacion],tblEjecucion[precio],0))</f>
        <v/>
      </c>
      <c r="AJ471" s="11">
        <f>IF(tblOrdenes[[#This Row],[orden]]="","",MAX(0,_xlfn.XLOOKUP(tblOrdenes[[#This Row],[id_operacion]],tblEjecucion[id_operacion],tblEjecucion[costo_plan_total],0)-tblOrdenes[[#This Row],[costo_servicio]]))</f>
        <v/>
      </c>
      <c r="AK471" s="11">
        <f>IF(tblOrdenes[[#This Row],[orden]]="","",tblOrdenes[[#This Row],[costo_servicio]]+tblOrdenes[[#This Row],[costo_materiales]])</f>
        <v/>
      </c>
      <c r="AL471" s="6" t="n"/>
      <c r="AM471" s="6" t="n"/>
      <c r="AN471" s="6" t="n"/>
      <c r="AO471" s="3">
        <f>IF(tblOrdenes[[#This Row],[link_checklist]]="","",HYPERLINK(p_ruta_base_checklists&amp;tblOrdenes[[#This Row],[link_checklist]],"abrir"))</f>
        <v/>
      </c>
      <c r="AP471" s="6" t="n"/>
      <c r="AQ471" s="3">
        <f>IF(tblOrdenes[[#This Row],[orden]]="","",tblOrdenes[[#This Row],[orden]]&amp;IF(tblOrdenes[[#This Row],[operacion]]="","0010",tblOrdenes[[#This Row],[operacion]]))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2" t="n"/>
      <c r="K472" s="3" t="n"/>
      <c r="L472" s="11" t="n"/>
      <c r="M4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2" s="3">
        <f>IF(tblOrdenes[[#This Row],[fecha_inicio]]="","",YEAR(tblOrdenes[[#This Row],[fecha_inicio]]))</f>
        <v/>
      </c>
      <c r="Q472" s="3">
        <f>IF(tblOrdenes[[#This Row],[fecha_inicio]]="","",MONTH(tblOrdenes[[#This Row],[fecha_inicio]]))</f>
        <v/>
      </c>
      <c r="R472" s="3">
        <f>IF(tblOrdenes[[#This Row],[fecha_inicio]]="","",INDEX(lista_dias,WEEKDAY(tblOrdenes[[#This Row],[fecha_inicio]],2)))</f>
        <v/>
      </c>
      <c r="S4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2" s="3">
        <f>IF(tblOrdenes[[#This Row],[tipo_ot]]="","",_xlfn.XLOOKUP(tblOrdenes[[#This Row],[tipo_ot]],tblTiposOT[codigo],tblTiposOT[clasificacion],"sin_clasificar"))</f>
        <v/>
      </c>
      <c r="U472" s="3">
        <f>IF(tblOrdenes[[#This Row],[centro_costo]]="","",_xlfn.XLOOKUP(tblOrdenes[[#This Row],[centro_costo]],tblCECO[codigo],tblCECO[linea],"(sin catálogo)"))</f>
        <v/>
      </c>
      <c r="V472" s="3">
        <f>IF(tblOrdenes[[#This Row],[centro_costo]]="","",_xlfn.XLOOKUP(tblOrdenes[[#This Row],[centro_costo]],tblCECO[codigo],tblCECO[area],"(sin catálogo)"))</f>
        <v/>
      </c>
      <c r="W4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2" s="3">
        <f>IF(tblOrdenes[[#This Row],[centro_costo]]="","",_xlfn.XLOOKUP(tblOrdenes[[#This Row],[centro_costo]],tblCECO[codigo],tblCECO[coordinador],"(sin catálogo)"))</f>
        <v/>
      </c>
      <c r="Y472" s="3">
        <f>IF(tblOrdenes[[#This Row],[puesto_trabajo]]="","",_xlfn.XLOOKUP(tblOrdenes[[#This Row],[puesto_trabajo]],tblPuestos[codigo],tblPuestos[especialidad],"(sin catálogo)"))</f>
        <v/>
      </c>
      <c r="Z472" s="3">
        <f>IF(tblOrdenes[[#This Row],[cod_actividad]]="","",_xlfn.XLOOKUP(tblOrdenes[[#This Row],[cod_actividad]],tblActividades[codigo],tblActividades[descripcion],"(sin catálogo)"))</f>
        <v/>
      </c>
      <c r="AA472" s="13">
        <f>IF(tblOrdenes[[#This Row],[fecha_inicio]]="","",TODAY()-tblOrdenes[[#This Row],[fecha_inicio]])</f>
        <v/>
      </c>
      <c r="AB4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2" s="3">
        <f>IF(tblOrdenes[[#This Row],[backlog_habiles]]="","",IF(tblOrdenes[[#This Row],[backlog_habiles]]&lt;0,"FUTURO",IF(tblOrdenes[[#This Row],[backlog_habiles]]&gt;p_dias_backlog_max,"BACKLOG","MES CORRIENTE")))</f>
        <v/>
      </c>
      <c r="AD472" s="3">
        <f>IF(tblOrdenes[[#This Row],[backlog_habiles]]="",FALSE,AND(tblOrdenes[[#This Row],[backlog_habiles]]&gt;p_dias_backlog_min,tblOrdenes[[#This Row],[backlog_habiles]]&lt;=p_dias_backlog_max))</f>
        <v/>
      </c>
      <c r="AE472" s="6" t="n"/>
      <c r="AF4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2" s="11">
        <f>IF(tblOrdenes[[#This Row],[orden]]="","",_xlfn.XLOOKUP(tblOrdenes[[#This Row],[id_operacion]],tblEjecucion[id_operacion],tblEjecucion[precio],0))</f>
        <v/>
      </c>
      <c r="AJ472" s="11">
        <f>IF(tblOrdenes[[#This Row],[orden]]="","",MAX(0,_xlfn.XLOOKUP(tblOrdenes[[#This Row],[id_operacion]],tblEjecucion[id_operacion],tblEjecucion[costo_plan_total],0)-tblOrdenes[[#This Row],[costo_servicio]]))</f>
        <v/>
      </c>
      <c r="AK472" s="11">
        <f>IF(tblOrdenes[[#This Row],[orden]]="","",tblOrdenes[[#This Row],[costo_servicio]]+tblOrdenes[[#This Row],[costo_materiales]])</f>
        <v/>
      </c>
      <c r="AL472" s="6" t="n"/>
      <c r="AM472" s="6" t="n"/>
      <c r="AN472" s="6" t="n"/>
      <c r="AO472" s="3">
        <f>IF(tblOrdenes[[#This Row],[link_checklist]]="","",HYPERLINK(p_ruta_base_checklists&amp;tblOrdenes[[#This Row],[link_checklist]],"abrir"))</f>
        <v/>
      </c>
      <c r="AP472" s="6" t="n"/>
      <c r="AQ472" s="3">
        <f>IF(tblOrdenes[[#This Row],[orden]]="","",tblOrdenes[[#This Row],[orden]]&amp;IF(tblOrdenes[[#This Row],[operacion]]="","0010",tblOrdenes[[#This Row],[operacion]]))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2" t="n"/>
      <c r="K473" s="3" t="n"/>
      <c r="L473" s="11" t="n"/>
      <c r="M4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3" s="3">
        <f>IF(tblOrdenes[[#This Row],[fecha_inicio]]="","",YEAR(tblOrdenes[[#This Row],[fecha_inicio]]))</f>
        <v/>
      </c>
      <c r="Q473" s="3">
        <f>IF(tblOrdenes[[#This Row],[fecha_inicio]]="","",MONTH(tblOrdenes[[#This Row],[fecha_inicio]]))</f>
        <v/>
      </c>
      <c r="R473" s="3">
        <f>IF(tblOrdenes[[#This Row],[fecha_inicio]]="","",INDEX(lista_dias,WEEKDAY(tblOrdenes[[#This Row],[fecha_inicio]],2)))</f>
        <v/>
      </c>
      <c r="S4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3" s="3">
        <f>IF(tblOrdenes[[#This Row],[tipo_ot]]="","",_xlfn.XLOOKUP(tblOrdenes[[#This Row],[tipo_ot]],tblTiposOT[codigo],tblTiposOT[clasificacion],"sin_clasificar"))</f>
        <v/>
      </c>
      <c r="U473" s="3">
        <f>IF(tblOrdenes[[#This Row],[centro_costo]]="","",_xlfn.XLOOKUP(tblOrdenes[[#This Row],[centro_costo]],tblCECO[codigo],tblCECO[linea],"(sin catálogo)"))</f>
        <v/>
      </c>
      <c r="V473" s="3">
        <f>IF(tblOrdenes[[#This Row],[centro_costo]]="","",_xlfn.XLOOKUP(tblOrdenes[[#This Row],[centro_costo]],tblCECO[codigo],tblCECO[area],"(sin catálogo)"))</f>
        <v/>
      </c>
      <c r="W4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3" s="3">
        <f>IF(tblOrdenes[[#This Row],[centro_costo]]="","",_xlfn.XLOOKUP(tblOrdenes[[#This Row],[centro_costo]],tblCECO[codigo],tblCECO[coordinador],"(sin catálogo)"))</f>
        <v/>
      </c>
      <c r="Y473" s="3">
        <f>IF(tblOrdenes[[#This Row],[puesto_trabajo]]="","",_xlfn.XLOOKUP(tblOrdenes[[#This Row],[puesto_trabajo]],tblPuestos[codigo],tblPuestos[especialidad],"(sin catálogo)"))</f>
        <v/>
      </c>
      <c r="Z473" s="3">
        <f>IF(tblOrdenes[[#This Row],[cod_actividad]]="","",_xlfn.XLOOKUP(tblOrdenes[[#This Row],[cod_actividad]],tblActividades[codigo],tblActividades[descripcion],"(sin catálogo)"))</f>
        <v/>
      </c>
      <c r="AA473" s="13">
        <f>IF(tblOrdenes[[#This Row],[fecha_inicio]]="","",TODAY()-tblOrdenes[[#This Row],[fecha_inicio]])</f>
        <v/>
      </c>
      <c r="AB4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3" s="3">
        <f>IF(tblOrdenes[[#This Row],[backlog_habiles]]="","",IF(tblOrdenes[[#This Row],[backlog_habiles]]&lt;0,"FUTURO",IF(tblOrdenes[[#This Row],[backlog_habiles]]&gt;p_dias_backlog_max,"BACKLOG","MES CORRIENTE")))</f>
        <v/>
      </c>
      <c r="AD473" s="3">
        <f>IF(tblOrdenes[[#This Row],[backlog_habiles]]="",FALSE,AND(tblOrdenes[[#This Row],[backlog_habiles]]&gt;p_dias_backlog_min,tblOrdenes[[#This Row],[backlog_habiles]]&lt;=p_dias_backlog_max))</f>
        <v/>
      </c>
      <c r="AE473" s="6" t="n"/>
      <c r="AF4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3" s="11">
        <f>IF(tblOrdenes[[#This Row],[orden]]="","",_xlfn.XLOOKUP(tblOrdenes[[#This Row],[id_operacion]],tblEjecucion[id_operacion],tblEjecucion[precio],0))</f>
        <v/>
      </c>
      <c r="AJ473" s="11">
        <f>IF(tblOrdenes[[#This Row],[orden]]="","",MAX(0,_xlfn.XLOOKUP(tblOrdenes[[#This Row],[id_operacion]],tblEjecucion[id_operacion],tblEjecucion[costo_plan_total],0)-tblOrdenes[[#This Row],[costo_servicio]]))</f>
        <v/>
      </c>
      <c r="AK473" s="11">
        <f>IF(tblOrdenes[[#This Row],[orden]]="","",tblOrdenes[[#This Row],[costo_servicio]]+tblOrdenes[[#This Row],[costo_materiales]])</f>
        <v/>
      </c>
      <c r="AL473" s="6" t="n"/>
      <c r="AM473" s="6" t="n"/>
      <c r="AN473" s="6" t="n"/>
      <c r="AO473" s="3">
        <f>IF(tblOrdenes[[#This Row],[link_checklist]]="","",HYPERLINK(p_ruta_base_checklists&amp;tblOrdenes[[#This Row],[link_checklist]],"abrir"))</f>
        <v/>
      </c>
      <c r="AP473" s="6" t="n"/>
      <c r="AQ473" s="3">
        <f>IF(tblOrdenes[[#This Row],[orden]]="","",tblOrdenes[[#This Row],[orden]]&amp;IF(tblOrdenes[[#This Row],[operacion]]="","0010",tblOrdenes[[#This Row],[operacion]]))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2" t="n"/>
      <c r="K474" s="3" t="n"/>
      <c r="L474" s="11" t="n"/>
      <c r="M4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4" s="3">
        <f>IF(tblOrdenes[[#This Row],[fecha_inicio]]="","",YEAR(tblOrdenes[[#This Row],[fecha_inicio]]))</f>
        <v/>
      </c>
      <c r="Q474" s="3">
        <f>IF(tblOrdenes[[#This Row],[fecha_inicio]]="","",MONTH(tblOrdenes[[#This Row],[fecha_inicio]]))</f>
        <v/>
      </c>
      <c r="R474" s="3">
        <f>IF(tblOrdenes[[#This Row],[fecha_inicio]]="","",INDEX(lista_dias,WEEKDAY(tblOrdenes[[#This Row],[fecha_inicio]],2)))</f>
        <v/>
      </c>
      <c r="S4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4" s="3">
        <f>IF(tblOrdenes[[#This Row],[tipo_ot]]="","",_xlfn.XLOOKUP(tblOrdenes[[#This Row],[tipo_ot]],tblTiposOT[codigo],tblTiposOT[clasificacion],"sin_clasificar"))</f>
        <v/>
      </c>
      <c r="U474" s="3">
        <f>IF(tblOrdenes[[#This Row],[centro_costo]]="","",_xlfn.XLOOKUP(tblOrdenes[[#This Row],[centro_costo]],tblCECO[codigo],tblCECO[linea],"(sin catálogo)"))</f>
        <v/>
      </c>
      <c r="V474" s="3">
        <f>IF(tblOrdenes[[#This Row],[centro_costo]]="","",_xlfn.XLOOKUP(tblOrdenes[[#This Row],[centro_costo]],tblCECO[codigo],tblCECO[area],"(sin catálogo)"))</f>
        <v/>
      </c>
      <c r="W4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4" s="3">
        <f>IF(tblOrdenes[[#This Row],[centro_costo]]="","",_xlfn.XLOOKUP(tblOrdenes[[#This Row],[centro_costo]],tblCECO[codigo],tblCECO[coordinador],"(sin catálogo)"))</f>
        <v/>
      </c>
      <c r="Y474" s="3">
        <f>IF(tblOrdenes[[#This Row],[puesto_trabajo]]="","",_xlfn.XLOOKUP(tblOrdenes[[#This Row],[puesto_trabajo]],tblPuestos[codigo],tblPuestos[especialidad],"(sin catálogo)"))</f>
        <v/>
      </c>
      <c r="Z474" s="3">
        <f>IF(tblOrdenes[[#This Row],[cod_actividad]]="","",_xlfn.XLOOKUP(tblOrdenes[[#This Row],[cod_actividad]],tblActividades[codigo],tblActividades[descripcion],"(sin catálogo)"))</f>
        <v/>
      </c>
      <c r="AA474" s="13">
        <f>IF(tblOrdenes[[#This Row],[fecha_inicio]]="","",TODAY()-tblOrdenes[[#This Row],[fecha_inicio]])</f>
        <v/>
      </c>
      <c r="AB4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4" s="3">
        <f>IF(tblOrdenes[[#This Row],[backlog_habiles]]="","",IF(tblOrdenes[[#This Row],[backlog_habiles]]&lt;0,"FUTURO",IF(tblOrdenes[[#This Row],[backlog_habiles]]&gt;p_dias_backlog_max,"BACKLOG","MES CORRIENTE")))</f>
        <v/>
      </c>
      <c r="AD474" s="3">
        <f>IF(tblOrdenes[[#This Row],[backlog_habiles]]="",FALSE,AND(tblOrdenes[[#This Row],[backlog_habiles]]&gt;p_dias_backlog_min,tblOrdenes[[#This Row],[backlog_habiles]]&lt;=p_dias_backlog_max))</f>
        <v/>
      </c>
      <c r="AE474" s="6" t="n"/>
      <c r="AF4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4" s="11">
        <f>IF(tblOrdenes[[#This Row],[orden]]="","",_xlfn.XLOOKUP(tblOrdenes[[#This Row],[id_operacion]],tblEjecucion[id_operacion],tblEjecucion[precio],0))</f>
        <v/>
      </c>
      <c r="AJ474" s="11">
        <f>IF(tblOrdenes[[#This Row],[orden]]="","",MAX(0,_xlfn.XLOOKUP(tblOrdenes[[#This Row],[id_operacion]],tblEjecucion[id_operacion],tblEjecucion[costo_plan_total],0)-tblOrdenes[[#This Row],[costo_servicio]]))</f>
        <v/>
      </c>
      <c r="AK474" s="11">
        <f>IF(tblOrdenes[[#This Row],[orden]]="","",tblOrdenes[[#This Row],[costo_servicio]]+tblOrdenes[[#This Row],[costo_materiales]])</f>
        <v/>
      </c>
      <c r="AL474" s="6" t="n"/>
      <c r="AM474" s="6" t="n"/>
      <c r="AN474" s="6" t="n"/>
      <c r="AO474" s="3">
        <f>IF(tblOrdenes[[#This Row],[link_checklist]]="","",HYPERLINK(p_ruta_base_checklists&amp;tblOrdenes[[#This Row],[link_checklist]],"abrir"))</f>
        <v/>
      </c>
      <c r="AP474" s="6" t="n"/>
      <c r="AQ474" s="3">
        <f>IF(tblOrdenes[[#This Row],[orden]]="","",tblOrdenes[[#This Row],[orden]]&amp;IF(tblOrdenes[[#This Row],[operacion]]="","0010",tblOrdenes[[#This Row],[operacion]]))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2" t="n"/>
      <c r="K475" s="3" t="n"/>
      <c r="L475" s="11" t="n"/>
      <c r="M4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5" s="3">
        <f>IF(tblOrdenes[[#This Row],[fecha_inicio]]="","",YEAR(tblOrdenes[[#This Row],[fecha_inicio]]))</f>
        <v/>
      </c>
      <c r="Q475" s="3">
        <f>IF(tblOrdenes[[#This Row],[fecha_inicio]]="","",MONTH(tblOrdenes[[#This Row],[fecha_inicio]]))</f>
        <v/>
      </c>
      <c r="R475" s="3">
        <f>IF(tblOrdenes[[#This Row],[fecha_inicio]]="","",INDEX(lista_dias,WEEKDAY(tblOrdenes[[#This Row],[fecha_inicio]],2)))</f>
        <v/>
      </c>
      <c r="S4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5" s="3">
        <f>IF(tblOrdenes[[#This Row],[tipo_ot]]="","",_xlfn.XLOOKUP(tblOrdenes[[#This Row],[tipo_ot]],tblTiposOT[codigo],tblTiposOT[clasificacion],"sin_clasificar"))</f>
        <v/>
      </c>
      <c r="U475" s="3">
        <f>IF(tblOrdenes[[#This Row],[centro_costo]]="","",_xlfn.XLOOKUP(tblOrdenes[[#This Row],[centro_costo]],tblCECO[codigo],tblCECO[linea],"(sin catálogo)"))</f>
        <v/>
      </c>
      <c r="V475" s="3">
        <f>IF(tblOrdenes[[#This Row],[centro_costo]]="","",_xlfn.XLOOKUP(tblOrdenes[[#This Row],[centro_costo]],tblCECO[codigo],tblCECO[area],"(sin catálogo)"))</f>
        <v/>
      </c>
      <c r="W4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5" s="3">
        <f>IF(tblOrdenes[[#This Row],[centro_costo]]="","",_xlfn.XLOOKUP(tblOrdenes[[#This Row],[centro_costo]],tblCECO[codigo],tblCECO[coordinador],"(sin catálogo)"))</f>
        <v/>
      </c>
      <c r="Y475" s="3">
        <f>IF(tblOrdenes[[#This Row],[puesto_trabajo]]="","",_xlfn.XLOOKUP(tblOrdenes[[#This Row],[puesto_trabajo]],tblPuestos[codigo],tblPuestos[especialidad],"(sin catálogo)"))</f>
        <v/>
      </c>
      <c r="Z475" s="3">
        <f>IF(tblOrdenes[[#This Row],[cod_actividad]]="","",_xlfn.XLOOKUP(tblOrdenes[[#This Row],[cod_actividad]],tblActividades[codigo],tblActividades[descripcion],"(sin catálogo)"))</f>
        <v/>
      </c>
      <c r="AA475" s="13">
        <f>IF(tblOrdenes[[#This Row],[fecha_inicio]]="","",TODAY()-tblOrdenes[[#This Row],[fecha_inicio]])</f>
        <v/>
      </c>
      <c r="AB4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5" s="3">
        <f>IF(tblOrdenes[[#This Row],[backlog_habiles]]="","",IF(tblOrdenes[[#This Row],[backlog_habiles]]&lt;0,"FUTURO",IF(tblOrdenes[[#This Row],[backlog_habiles]]&gt;p_dias_backlog_max,"BACKLOG","MES CORRIENTE")))</f>
        <v/>
      </c>
      <c r="AD475" s="3">
        <f>IF(tblOrdenes[[#This Row],[backlog_habiles]]="",FALSE,AND(tblOrdenes[[#This Row],[backlog_habiles]]&gt;p_dias_backlog_min,tblOrdenes[[#This Row],[backlog_habiles]]&lt;=p_dias_backlog_max))</f>
        <v/>
      </c>
      <c r="AE475" s="6" t="n"/>
      <c r="AF4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5" s="11">
        <f>IF(tblOrdenes[[#This Row],[orden]]="","",_xlfn.XLOOKUP(tblOrdenes[[#This Row],[id_operacion]],tblEjecucion[id_operacion],tblEjecucion[precio],0))</f>
        <v/>
      </c>
      <c r="AJ475" s="11">
        <f>IF(tblOrdenes[[#This Row],[orden]]="","",MAX(0,_xlfn.XLOOKUP(tblOrdenes[[#This Row],[id_operacion]],tblEjecucion[id_operacion],tblEjecucion[costo_plan_total],0)-tblOrdenes[[#This Row],[costo_servicio]]))</f>
        <v/>
      </c>
      <c r="AK475" s="11">
        <f>IF(tblOrdenes[[#This Row],[orden]]="","",tblOrdenes[[#This Row],[costo_servicio]]+tblOrdenes[[#This Row],[costo_materiales]])</f>
        <v/>
      </c>
      <c r="AL475" s="6" t="n"/>
      <c r="AM475" s="6" t="n"/>
      <c r="AN475" s="6" t="n"/>
      <c r="AO475" s="3">
        <f>IF(tblOrdenes[[#This Row],[link_checklist]]="","",HYPERLINK(p_ruta_base_checklists&amp;tblOrdenes[[#This Row],[link_checklist]],"abrir"))</f>
        <v/>
      </c>
      <c r="AP475" s="6" t="n"/>
      <c r="AQ475" s="3">
        <f>IF(tblOrdenes[[#This Row],[orden]]="","",tblOrdenes[[#This Row],[orden]]&amp;IF(tblOrdenes[[#This Row],[operacion]]="","0010",tblOrdenes[[#This Row],[operacion]]))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2" t="n"/>
      <c r="K476" s="3" t="n"/>
      <c r="L476" s="11" t="n"/>
      <c r="M4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6" s="3">
        <f>IF(tblOrdenes[[#This Row],[fecha_inicio]]="","",YEAR(tblOrdenes[[#This Row],[fecha_inicio]]))</f>
        <v/>
      </c>
      <c r="Q476" s="3">
        <f>IF(tblOrdenes[[#This Row],[fecha_inicio]]="","",MONTH(tblOrdenes[[#This Row],[fecha_inicio]]))</f>
        <v/>
      </c>
      <c r="R476" s="3">
        <f>IF(tblOrdenes[[#This Row],[fecha_inicio]]="","",INDEX(lista_dias,WEEKDAY(tblOrdenes[[#This Row],[fecha_inicio]],2)))</f>
        <v/>
      </c>
      <c r="S4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6" s="3">
        <f>IF(tblOrdenes[[#This Row],[tipo_ot]]="","",_xlfn.XLOOKUP(tblOrdenes[[#This Row],[tipo_ot]],tblTiposOT[codigo],tblTiposOT[clasificacion],"sin_clasificar"))</f>
        <v/>
      </c>
      <c r="U476" s="3">
        <f>IF(tblOrdenes[[#This Row],[centro_costo]]="","",_xlfn.XLOOKUP(tblOrdenes[[#This Row],[centro_costo]],tblCECO[codigo],tblCECO[linea],"(sin catálogo)"))</f>
        <v/>
      </c>
      <c r="V476" s="3">
        <f>IF(tblOrdenes[[#This Row],[centro_costo]]="","",_xlfn.XLOOKUP(tblOrdenes[[#This Row],[centro_costo]],tblCECO[codigo],tblCECO[area],"(sin catálogo)"))</f>
        <v/>
      </c>
      <c r="W4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6" s="3">
        <f>IF(tblOrdenes[[#This Row],[centro_costo]]="","",_xlfn.XLOOKUP(tblOrdenes[[#This Row],[centro_costo]],tblCECO[codigo],tblCECO[coordinador],"(sin catálogo)"))</f>
        <v/>
      </c>
      <c r="Y476" s="3">
        <f>IF(tblOrdenes[[#This Row],[puesto_trabajo]]="","",_xlfn.XLOOKUP(tblOrdenes[[#This Row],[puesto_trabajo]],tblPuestos[codigo],tblPuestos[especialidad],"(sin catálogo)"))</f>
        <v/>
      </c>
      <c r="Z476" s="3">
        <f>IF(tblOrdenes[[#This Row],[cod_actividad]]="","",_xlfn.XLOOKUP(tblOrdenes[[#This Row],[cod_actividad]],tblActividades[codigo],tblActividades[descripcion],"(sin catálogo)"))</f>
        <v/>
      </c>
      <c r="AA476" s="13">
        <f>IF(tblOrdenes[[#This Row],[fecha_inicio]]="","",TODAY()-tblOrdenes[[#This Row],[fecha_inicio]])</f>
        <v/>
      </c>
      <c r="AB4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6" s="3">
        <f>IF(tblOrdenes[[#This Row],[backlog_habiles]]="","",IF(tblOrdenes[[#This Row],[backlog_habiles]]&lt;0,"FUTURO",IF(tblOrdenes[[#This Row],[backlog_habiles]]&gt;p_dias_backlog_max,"BACKLOG","MES CORRIENTE")))</f>
        <v/>
      </c>
      <c r="AD476" s="3">
        <f>IF(tblOrdenes[[#This Row],[backlog_habiles]]="",FALSE,AND(tblOrdenes[[#This Row],[backlog_habiles]]&gt;p_dias_backlog_min,tblOrdenes[[#This Row],[backlog_habiles]]&lt;=p_dias_backlog_max))</f>
        <v/>
      </c>
      <c r="AE476" s="6" t="n"/>
      <c r="AF4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6" s="11">
        <f>IF(tblOrdenes[[#This Row],[orden]]="","",_xlfn.XLOOKUP(tblOrdenes[[#This Row],[id_operacion]],tblEjecucion[id_operacion],tblEjecucion[precio],0))</f>
        <v/>
      </c>
      <c r="AJ476" s="11">
        <f>IF(tblOrdenes[[#This Row],[orden]]="","",MAX(0,_xlfn.XLOOKUP(tblOrdenes[[#This Row],[id_operacion]],tblEjecucion[id_operacion],tblEjecucion[costo_plan_total],0)-tblOrdenes[[#This Row],[costo_servicio]]))</f>
        <v/>
      </c>
      <c r="AK476" s="11">
        <f>IF(tblOrdenes[[#This Row],[orden]]="","",tblOrdenes[[#This Row],[costo_servicio]]+tblOrdenes[[#This Row],[costo_materiales]])</f>
        <v/>
      </c>
      <c r="AL476" s="6" t="n"/>
      <c r="AM476" s="6" t="n"/>
      <c r="AN476" s="6" t="n"/>
      <c r="AO476" s="3">
        <f>IF(tblOrdenes[[#This Row],[link_checklist]]="","",HYPERLINK(p_ruta_base_checklists&amp;tblOrdenes[[#This Row],[link_checklist]],"abrir"))</f>
        <v/>
      </c>
      <c r="AP476" s="6" t="n"/>
      <c r="AQ476" s="3">
        <f>IF(tblOrdenes[[#This Row],[orden]]="","",tblOrdenes[[#This Row],[orden]]&amp;IF(tblOrdenes[[#This Row],[operacion]]="","0010",tblOrdenes[[#This Row],[operacion]]))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2" t="n"/>
      <c r="K477" s="3" t="n"/>
      <c r="L477" s="11" t="n"/>
      <c r="M4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7" s="3">
        <f>IF(tblOrdenes[[#This Row],[fecha_inicio]]="","",YEAR(tblOrdenes[[#This Row],[fecha_inicio]]))</f>
        <v/>
      </c>
      <c r="Q477" s="3">
        <f>IF(tblOrdenes[[#This Row],[fecha_inicio]]="","",MONTH(tblOrdenes[[#This Row],[fecha_inicio]]))</f>
        <v/>
      </c>
      <c r="R477" s="3">
        <f>IF(tblOrdenes[[#This Row],[fecha_inicio]]="","",INDEX(lista_dias,WEEKDAY(tblOrdenes[[#This Row],[fecha_inicio]],2)))</f>
        <v/>
      </c>
      <c r="S4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7" s="3">
        <f>IF(tblOrdenes[[#This Row],[tipo_ot]]="","",_xlfn.XLOOKUP(tblOrdenes[[#This Row],[tipo_ot]],tblTiposOT[codigo],tblTiposOT[clasificacion],"sin_clasificar"))</f>
        <v/>
      </c>
      <c r="U477" s="3">
        <f>IF(tblOrdenes[[#This Row],[centro_costo]]="","",_xlfn.XLOOKUP(tblOrdenes[[#This Row],[centro_costo]],tblCECO[codigo],tblCECO[linea],"(sin catálogo)"))</f>
        <v/>
      </c>
      <c r="V477" s="3">
        <f>IF(tblOrdenes[[#This Row],[centro_costo]]="","",_xlfn.XLOOKUP(tblOrdenes[[#This Row],[centro_costo]],tblCECO[codigo],tblCECO[area],"(sin catálogo)"))</f>
        <v/>
      </c>
      <c r="W4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7" s="3">
        <f>IF(tblOrdenes[[#This Row],[centro_costo]]="","",_xlfn.XLOOKUP(tblOrdenes[[#This Row],[centro_costo]],tblCECO[codigo],tblCECO[coordinador],"(sin catálogo)"))</f>
        <v/>
      </c>
      <c r="Y477" s="3">
        <f>IF(tblOrdenes[[#This Row],[puesto_trabajo]]="","",_xlfn.XLOOKUP(tblOrdenes[[#This Row],[puesto_trabajo]],tblPuestos[codigo],tblPuestos[especialidad],"(sin catálogo)"))</f>
        <v/>
      </c>
      <c r="Z477" s="3">
        <f>IF(tblOrdenes[[#This Row],[cod_actividad]]="","",_xlfn.XLOOKUP(tblOrdenes[[#This Row],[cod_actividad]],tblActividades[codigo],tblActividades[descripcion],"(sin catálogo)"))</f>
        <v/>
      </c>
      <c r="AA477" s="13">
        <f>IF(tblOrdenes[[#This Row],[fecha_inicio]]="","",TODAY()-tblOrdenes[[#This Row],[fecha_inicio]])</f>
        <v/>
      </c>
      <c r="AB4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7" s="3">
        <f>IF(tblOrdenes[[#This Row],[backlog_habiles]]="","",IF(tblOrdenes[[#This Row],[backlog_habiles]]&lt;0,"FUTURO",IF(tblOrdenes[[#This Row],[backlog_habiles]]&gt;p_dias_backlog_max,"BACKLOG","MES CORRIENTE")))</f>
        <v/>
      </c>
      <c r="AD477" s="3">
        <f>IF(tblOrdenes[[#This Row],[backlog_habiles]]="",FALSE,AND(tblOrdenes[[#This Row],[backlog_habiles]]&gt;p_dias_backlog_min,tblOrdenes[[#This Row],[backlog_habiles]]&lt;=p_dias_backlog_max))</f>
        <v/>
      </c>
      <c r="AE477" s="6" t="n"/>
      <c r="AF4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7" s="11">
        <f>IF(tblOrdenes[[#This Row],[orden]]="","",_xlfn.XLOOKUP(tblOrdenes[[#This Row],[id_operacion]],tblEjecucion[id_operacion],tblEjecucion[precio],0))</f>
        <v/>
      </c>
      <c r="AJ477" s="11">
        <f>IF(tblOrdenes[[#This Row],[orden]]="","",MAX(0,_xlfn.XLOOKUP(tblOrdenes[[#This Row],[id_operacion]],tblEjecucion[id_operacion],tblEjecucion[costo_plan_total],0)-tblOrdenes[[#This Row],[costo_servicio]]))</f>
        <v/>
      </c>
      <c r="AK477" s="11">
        <f>IF(tblOrdenes[[#This Row],[orden]]="","",tblOrdenes[[#This Row],[costo_servicio]]+tblOrdenes[[#This Row],[costo_materiales]])</f>
        <v/>
      </c>
      <c r="AL477" s="6" t="n"/>
      <c r="AM477" s="6" t="n"/>
      <c r="AN477" s="6" t="n"/>
      <c r="AO477" s="3">
        <f>IF(tblOrdenes[[#This Row],[link_checklist]]="","",HYPERLINK(p_ruta_base_checklists&amp;tblOrdenes[[#This Row],[link_checklist]],"abrir"))</f>
        <v/>
      </c>
      <c r="AP477" s="6" t="n"/>
      <c r="AQ477" s="3">
        <f>IF(tblOrdenes[[#This Row],[orden]]="","",tblOrdenes[[#This Row],[orden]]&amp;IF(tblOrdenes[[#This Row],[operacion]]="","0010",tblOrdenes[[#This Row],[operacion]]))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2" t="n"/>
      <c r="K478" s="3" t="n"/>
      <c r="L478" s="11" t="n"/>
      <c r="M4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8" s="3">
        <f>IF(tblOrdenes[[#This Row],[fecha_inicio]]="","",YEAR(tblOrdenes[[#This Row],[fecha_inicio]]))</f>
        <v/>
      </c>
      <c r="Q478" s="3">
        <f>IF(tblOrdenes[[#This Row],[fecha_inicio]]="","",MONTH(tblOrdenes[[#This Row],[fecha_inicio]]))</f>
        <v/>
      </c>
      <c r="R478" s="3">
        <f>IF(tblOrdenes[[#This Row],[fecha_inicio]]="","",INDEX(lista_dias,WEEKDAY(tblOrdenes[[#This Row],[fecha_inicio]],2)))</f>
        <v/>
      </c>
      <c r="S4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8" s="3">
        <f>IF(tblOrdenes[[#This Row],[tipo_ot]]="","",_xlfn.XLOOKUP(tblOrdenes[[#This Row],[tipo_ot]],tblTiposOT[codigo],tblTiposOT[clasificacion],"sin_clasificar"))</f>
        <v/>
      </c>
      <c r="U478" s="3">
        <f>IF(tblOrdenes[[#This Row],[centro_costo]]="","",_xlfn.XLOOKUP(tblOrdenes[[#This Row],[centro_costo]],tblCECO[codigo],tblCECO[linea],"(sin catálogo)"))</f>
        <v/>
      </c>
      <c r="V478" s="3">
        <f>IF(tblOrdenes[[#This Row],[centro_costo]]="","",_xlfn.XLOOKUP(tblOrdenes[[#This Row],[centro_costo]],tblCECO[codigo],tblCECO[area],"(sin catálogo)"))</f>
        <v/>
      </c>
      <c r="W4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8" s="3">
        <f>IF(tblOrdenes[[#This Row],[centro_costo]]="","",_xlfn.XLOOKUP(tblOrdenes[[#This Row],[centro_costo]],tblCECO[codigo],tblCECO[coordinador],"(sin catálogo)"))</f>
        <v/>
      </c>
      <c r="Y478" s="3">
        <f>IF(tblOrdenes[[#This Row],[puesto_trabajo]]="","",_xlfn.XLOOKUP(tblOrdenes[[#This Row],[puesto_trabajo]],tblPuestos[codigo],tblPuestos[especialidad],"(sin catálogo)"))</f>
        <v/>
      </c>
      <c r="Z478" s="3">
        <f>IF(tblOrdenes[[#This Row],[cod_actividad]]="","",_xlfn.XLOOKUP(tblOrdenes[[#This Row],[cod_actividad]],tblActividades[codigo],tblActividades[descripcion],"(sin catálogo)"))</f>
        <v/>
      </c>
      <c r="AA478" s="13">
        <f>IF(tblOrdenes[[#This Row],[fecha_inicio]]="","",TODAY()-tblOrdenes[[#This Row],[fecha_inicio]])</f>
        <v/>
      </c>
      <c r="AB4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8" s="3">
        <f>IF(tblOrdenes[[#This Row],[backlog_habiles]]="","",IF(tblOrdenes[[#This Row],[backlog_habiles]]&lt;0,"FUTURO",IF(tblOrdenes[[#This Row],[backlog_habiles]]&gt;p_dias_backlog_max,"BACKLOG","MES CORRIENTE")))</f>
        <v/>
      </c>
      <c r="AD478" s="3">
        <f>IF(tblOrdenes[[#This Row],[backlog_habiles]]="",FALSE,AND(tblOrdenes[[#This Row],[backlog_habiles]]&gt;p_dias_backlog_min,tblOrdenes[[#This Row],[backlog_habiles]]&lt;=p_dias_backlog_max))</f>
        <v/>
      </c>
      <c r="AE478" s="6" t="n"/>
      <c r="AF4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8" s="11">
        <f>IF(tblOrdenes[[#This Row],[orden]]="","",_xlfn.XLOOKUP(tblOrdenes[[#This Row],[id_operacion]],tblEjecucion[id_operacion],tblEjecucion[precio],0))</f>
        <v/>
      </c>
      <c r="AJ478" s="11">
        <f>IF(tblOrdenes[[#This Row],[orden]]="","",MAX(0,_xlfn.XLOOKUP(tblOrdenes[[#This Row],[id_operacion]],tblEjecucion[id_operacion],tblEjecucion[costo_plan_total],0)-tblOrdenes[[#This Row],[costo_servicio]]))</f>
        <v/>
      </c>
      <c r="AK478" s="11">
        <f>IF(tblOrdenes[[#This Row],[orden]]="","",tblOrdenes[[#This Row],[costo_servicio]]+tblOrdenes[[#This Row],[costo_materiales]])</f>
        <v/>
      </c>
      <c r="AL478" s="6" t="n"/>
      <c r="AM478" s="6" t="n"/>
      <c r="AN478" s="6" t="n"/>
      <c r="AO478" s="3">
        <f>IF(tblOrdenes[[#This Row],[link_checklist]]="","",HYPERLINK(p_ruta_base_checklists&amp;tblOrdenes[[#This Row],[link_checklist]],"abrir"))</f>
        <v/>
      </c>
      <c r="AP478" s="6" t="n"/>
      <c r="AQ478" s="3">
        <f>IF(tblOrdenes[[#This Row],[orden]]="","",tblOrdenes[[#This Row],[orden]]&amp;IF(tblOrdenes[[#This Row],[operacion]]="","0010",tblOrdenes[[#This Row],[operacion]]))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2" t="n"/>
      <c r="K479" s="3" t="n"/>
      <c r="L479" s="11" t="n"/>
      <c r="M4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9" s="3">
        <f>IF(tblOrdenes[[#This Row],[fecha_inicio]]="","",YEAR(tblOrdenes[[#This Row],[fecha_inicio]]))</f>
        <v/>
      </c>
      <c r="Q479" s="3">
        <f>IF(tblOrdenes[[#This Row],[fecha_inicio]]="","",MONTH(tblOrdenes[[#This Row],[fecha_inicio]]))</f>
        <v/>
      </c>
      <c r="R479" s="3">
        <f>IF(tblOrdenes[[#This Row],[fecha_inicio]]="","",INDEX(lista_dias,WEEKDAY(tblOrdenes[[#This Row],[fecha_inicio]],2)))</f>
        <v/>
      </c>
      <c r="S4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9" s="3">
        <f>IF(tblOrdenes[[#This Row],[tipo_ot]]="","",_xlfn.XLOOKUP(tblOrdenes[[#This Row],[tipo_ot]],tblTiposOT[codigo],tblTiposOT[clasificacion],"sin_clasificar"))</f>
        <v/>
      </c>
      <c r="U479" s="3">
        <f>IF(tblOrdenes[[#This Row],[centro_costo]]="","",_xlfn.XLOOKUP(tblOrdenes[[#This Row],[centro_costo]],tblCECO[codigo],tblCECO[linea],"(sin catálogo)"))</f>
        <v/>
      </c>
      <c r="V479" s="3">
        <f>IF(tblOrdenes[[#This Row],[centro_costo]]="","",_xlfn.XLOOKUP(tblOrdenes[[#This Row],[centro_costo]],tblCECO[codigo],tblCECO[area],"(sin catálogo)"))</f>
        <v/>
      </c>
      <c r="W4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9" s="3">
        <f>IF(tblOrdenes[[#This Row],[centro_costo]]="","",_xlfn.XLOOKUP(tblOrdenes[[#This Row],[centro_costo]],tblCECO[codigo],tblCECO[coordinador],"(sin catálogo)"))</f>
        <v/>
      </c>
      <c r="Y479" s="3">
        <f>IF(tblOrdenes[[#This Row],[puesto_trabajo]]="","",_xlfn.XLOOKUP(tblOrdenes[[#This Row],[puesto_trabajo]],tblPuestos[codigo],tblPuestos[especialidad],"(sin catálogo)"))</f>
        <v/>
      </c>
      <c r="Z479" s="3">
        <f>IF(tblOrdenes[[#This Row],[cod_actividad]]="","",_xlfn.XLOOKUP(tblOrdenes[[#This Row],[cod_actividad]],tblActividades[codigo],tblActividades[descripcion],"(sin catálogo)"))</f>
        <v/>
      </c>
      <c r="AA479" s="13">
        <f>IF(tblOrdenes[[#This Row],[fecha_inicio]]="","",TODAY()-tblOrdenes[[#This Row],[fecha_inicio]])</f>
        <v/>
      </c>
      <c r="AB4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9" s="3">
        <f>IF(tblOrdenes[[#This Row],[backlog_habiles]]="","",IF(tblOrdenes[[#This Row],[backlog_habiles]]&lt;0,"FUTURO",IF(tblOrdenes[[#This Row],[backlog_habiles]]&gt;p_dias_backlog_max,"BACKLOG","MES CORRIENTE")))</f>
        <v/>
      </c>
      <c r="AD479" s="3">
        <f>IF(tblOrdenes[[#This Row],[backlog_habiles]]="",FALSE,AND(tblOrdenes[[#This Row],[backlog_habiles]]&gt;p_dias_backlog_min,tblOrdenes[[#This Row],[backlog_habiles]]&lt;=p_dias_backlog_max))</f>
        <v/>
      </c>
      <c r="AE479" s="6" t="n"/>
      <c r="AF4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9" s="11">
        <f>IF(tblOrdenes[[#This Row],[orden]]="","",_xlfn.XLOOKUP(tblOrdenes[[#This Row],[id_operacion]],tblEjecucion[id_operacion],tblEjecucion[precio],0))</f>
        <v/>
      </c>
      <c r="AJ479" s="11">
        <f>IF(tblOrdenes[[#This Row],[orden]]="","",MAX(0,_xlfn.XLOOKUP(tblOrdenes[[#This Row],[id_operacion]],tblEjecucion[id_operacion],tblEjecucion[costo_plan_total],0)-tblOrdenes[[#This Row],[costo_servicio]]))</f>
        <v/>
      </c>
      <c r="AK479" s="11">
        <f>IF(tblOrdenes[[#This Row],[orden]]="","",tblOrdenes[[#This Row],[costo_servicio]]+tblOrdenes[[#This Row],[costo_materiales]])</f>
        <v/>
      </c>
      <c r="AL479" s="6" t="n"/>
      <c r="AM479" s="6" t="n"/>
      <c r="AN479" s="6" t="n"/>
      <c r="AO479" s="3">
        <f>IF(tblOrdenes[[#This Row],[link_checklist]]="","",HYPERLINK(p_ruta_base_checklists&amp;tblOrdenes[[#This Row],[link_checklist]],"abrir"))</f>
        <v/>
      </c>
      <c r="AP479" s="6" t="n"/>
      <c r="AQ479" s="3">
        <f>IF(tblOrdenes[[#This Row],[orden]]="","",tblOrdenes[[#This Row],[orden]]&amp;IF(tblOrdenes[[#This Row],[operacion]]="","0010",tblOrdenes[[#This Row],[operacion]]))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2" t="n"/>
      <c r="K480" s="3" t="n"/>
      <c r="L480" s="11" t="n"/>
      <c r="M4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0" s="3">
        <f>IF(tblOrdenes[[#This Row],[fecha_inicio]]="","",YEAR(tblOrdenes[[#This Row],[fecha_inicio]]))</f>
        <v/>
      </c>
      <c r="Q480" s="3">
        <f>IF(tblOrdenes[[#This Row],[fecha_inicio]]="","",MONTH(tblOrdenes[[#This Row],[fecha_inicio]]))</f>
        <v/>
      </c>
      <c r="R480" s="3">
        <f>IF(tblOrdenes[[#This Row],[fecha_inicio]]="","",INDEX(lista_dias,WEEKDAY(tblOrdenes[[#This Row],[fecha_inicio]],2)))</f>
        <v/>
      </c>
      <c r="S4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0" s="3">
        <f>IF(tblOrdenes[[#This Row],[tipo_ot]]="","",_xlfn.XLOOKUP(tblOrdenes[[#This Row],[tipo_ot]],tblTiposOT[codigo],tblTiposOT[clasificacion],"sin_clasificar"))</f>
        <v/>
      </c>
      <c r="U480" s="3">
        <f>IF(tblOrdenes[[#This Row],[centro_costo]]="","",_xlfn.XLOOKUP(tblOrdenes[[#This Row],[centro_costo]],tblCECO[codigo],tblCECO[linea],"(sin catálogo)"))</f>
        <v/>
      </c>
      <c r="V480" s="3">
        <f>IF(tblOrdenes[[#This Row],[centro_costo]]="","",_xlfn.XLOOKUP(tblOrdenes[[#This Row],[centro_costo]],tblCECO[codigo],tblCECO[area],"(sin catálogo)"))</f>
        <v/>
      </c>
      <c r="W4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0" s="3">
        <f>IF(tblOrdenes[[#This Row],[centro_costo]]="","",_xlfn.XLOOKUP(tblOrdenes[[#This Row],[centro_costo]],tblCECO[codigo],tblCECO[coordinador],"(sin catálogo)"))</f>
        <v/>
      </c>
      <c r="Y480" s="3">
        <f>IF(tblOrdenes[[#This Row],[puesto_trabajo]]="","",_xlfn.XLOOKUP(tblOrdenes[[#This Row],[puesto_trabajo]],tblPuestos[codigo],tblPuestos[especialidad],"(sin catálogo)"))</f>
        <v/>
      </c>
      <c r="Z480" s="3">
        <f>IF(tblOrdenes[[#This Row],[cod_actividad]]="","",_xlfn.XLOOKUP(tblOrdenes[[#This Row],[cod_actividad]],tblActividades[codigo],tblActividades[descripcion],"(sin catálogo)"))</f>
        <v/>
      </c>
      <c r="AA480" s="13">
        <f>IF(tblOrdenes[[#This Row],[fecha_inicio]]="","",TODAY()-tblOrdenes[[#This Row],[fecha_inicio]])</f>
        <v/>
      </c>
      <c r="AB4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0" s="3">
        <f>IF(tblOrdenes[[#This Row],[backlog_habiles]]="","",IF(tblOrdenes[[#This Row],[backlog_habiles]]&lt;0,"FUTURO",IF(tblOrdenes[[#This Row],[backlog_habiles]]&gt;p_dias_backlog_max,"BACKLOG","MES CORRIENTE")))</f>
        <v/>
      </c>
      <c r="AD480" s="3">
        <f>IF(tblOrdenes[[#This Row],[backlog_habiles]]="",FALSE,AND(tblOrdenes[[#This Row],[backlog_habiles]]&gt;p_dias_backlog_min,tblOrdenes[[#This Row],[backlog_habiles]]&lt;=p_dias_backlog_max))</f>
        <v/>
      </c>
      <c r="AE480" s="6" t="n"/>
      <c r="AF4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0" s="11">
        <f>IF(tblOrdenes[[#This Row],[orden]]="","",_xlfn.XLOOKUP(tblOrdenes[[#This Row],[id_operacion]],tblEjecucion[id_operacion],tblEjecucion[precio],0))</f>
        <v/>
      </c>
      <c r="AJ480" s="11">
        <f>IF(tblOrdenes[[#This Row],[orden]]="","",MAX(0,_xlfn.XLOOKUP(tblOrdenes[[#This Row],[id_operacion]],tblEjecucion[id_operacion],tblEjecucion[costo_plan_total],0)-tblOrdenes[[#This Row],[costo_servicio]]))</f>
        <v/>
      </c>
      <c r="AK480" s="11">
        <f>IF(tblOrdenes[[#This Row],[orden]]="","",tblOrdenes[[#This Row],[costo_servicio]]+tblOrdenes[[#This Row],[costo_materiales]])</f>
        <v/>
      </c>
      <c r="AL480" s="6" t="n"/>
      <c r="AM480" s="6" t="n"/>
      <c r="AN480" s="6" t="n"/>
      <c r="AO480" s="3">
        <f>IF(tblOrdenes[[#This Row],[link_checklist]]="","",HYPERLINK(p_ruta_base_checklists&amp;tblOrdenes[[#This Row],[link_checklist]],"abrir"))</f>
        <v/>
      </c>
      <c r="AP480" s="6" t="n"/>
      <c r="AQ480" s="3">
        <f>IF(tblOrdenes[[#This Row],[orden]]="","",tblOrdenes[[#This Row],[orden]]&amp;IF(tblOrdenes[[#This Row],[operacion]]="","0010",tblOrdenes[[#This Row],[operacion]]))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2" t="n"/>
      <c r="K481" s="3" t="n"/>
      <c r="L481" s="11" t="n"/>
      <c r="M4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1" s="3">
        <f>IF(tblOrdenes[[#This Row],[fecha_inicio]]="","",YEAR(tblOrdenes[[#This Row],[fecha_inicio]]))</f>
        <v/>
      </c>
      <c r="Q481" s="3">
        <f>IF(tblOrdenes[[#This Row],[fecha_inicio]]="","",MONTH(tblOrdenes[[#This Row],[fecha_inicio]]))</f>
        <v/>
      </c>
      <c r="R481" s="3">
        <f>IF(tblOrdenes[[#This Row],[fecha_inicio]]="","",INDEX(lista_dias,WEEKDAY(tblOrdenes[[#This Row],[fecha_inicio]],2)))</f>
        <v/>
      </c>
      <c r="S4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1" s="3">
        <f>IF(tblOrdenes[[#This Row],[tipo_ot]]="","",_xlfn.XLOOKUP(tblOrdenes[[#This Row],[tipo_ot]],tblTiposOT[codigo],tblTiposOT[clasificacion],"sin_clasificar"))</f>
        <v/>
      </c>
      <c r="U481" s="3">
        <f>IF(tblOrdenes[[#This Row],[centro_costo]]="","",_xlfn.XLOOKUP(tblOrdenes[[#This Row],[centro_costo]],tblCECO[codigo],tblCECO[linea],"(sin catálogo)"))</f>
        <v/>
      </c>
      <c r="V481" s="3">
        <f>IF(tblOrdenes[[#This Row],[centro_costo]]="","",_xlfn.XLOOKUP(tblOrdenes[[#This Row],[centro_costo]],tblCECO[codigo],tblCECO[area],"(sin catálogo)"))</f>
        <v/>
      </c>
      <c r="W4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1" s="3">
        <f>IF(tblOrdenes[[#This Row],[centro_costo]]="","",_xlfn.XLOOKUP(tblOrdenes[[#This Row],[centro_costo]],tblCECO[codigo],tblCECO[coordinador],"(sin catálogo)"))</f>
        <v/>
      </c>
      <c r="Y481" s="3">
        <f>IF(tblOrdenes[[#This Row],[puesto_trabajo]]="","",_xlfn.XLOOKUP(tblOrdenes[[#This Row],[puesto_trabajo]],tblPuestos[codigo],tblPuestos[especialidad],"(sin catálogo)"))</f>
        <v/>
      </c>
      <c r="Z481" s="3">
        <f>IF(tblOrdenes[[#This Row],[cod_actividad]]="","",_xlfn.XLOOKUP(tblOrdenes[[#This Row],[cod_actividad]],tblActividades[codigo],tblActividades[descripcion],"(sin catálogo)"))</f>
        <v/>
      </c>
      <c r="AA481" s="13">
        <f>IF(tblOrdenes[[#This Row],[fecha_inicio]]="","",TODAY()-tblOrdenes[[#This Row],[fecha_inicio]])</f>
        <v/>
      </c>
      <c r="AB4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1" s="3">
        <f>IF(tblOrdenes[[#This Row],[backlog_habiles]]="","",IF(tblOrdenes[[#This Row],[backlog_habiles]]&lt;0,"FUTURO",IF(tblOrdenes[[#This Row],[backlog_habiles]]&gt;p_dias_backlog_max,"BACKLOG","MES CORRIENTE")))</f>
        <v/>
      </c>
      <c r="AD481" s="3">
        <f>IF(tblOrdenes[[#This Row],[backlog_habiles]]="",FALSE,AND(tblOrdenes[[#This Row],[backlog_habiles]]&gt;p_dias_backlog_min,tblOrdenes[[#This Row],[backlog_habiles]]&lt;=p_dias_backlog_max))</f>
        <v/>
      </c>
      <c r="AE481" s="6" t="n"/>
      <c r="AF4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1" s="11">
        <f>IF(tblOrdenes[[#This Row],[orden]]="","",_xlfn.XLOOKUP(tblOrdenes[[#This Row],[id_operacion]],tblEjecucion[id_operacion],tblEjecucion[precio],0))</f>
        <v/>
      </c>
      <c r="AJ481" s="11">
        <f>IF(tblOrdenes[[#This Row],[orden]]="","",MAX(0,_xlfn.XLOOKUP(tblOrdenes[[#This Row],[id_operacion]],tblEjecucion[id_operacion],tblEjecucion[costo_plan_total],0)-tblOrdenes[[#This Row],[costo_servicio]]))</f>
        <v/>
      </c>
      <c r="AK481" s="11">
        <f>IF(tblOrdenes[[#This Row],[orden]]="","",tblOrdenes[[#This Row],[costo_servicio]]+tblOrdenes[[#This Row],[costo_materiales]])</f>
        <v/>
      </c>
      <c r="AL481" s="6" t="n"/>
      <c r="AM481" s="6" t="n"/>
      <c r="AN481" s="6" t="n"/>
      <c r="AO481" s="3">
        <f>IF(tblOrdenes[[#This Row],[link_checklist]]="","",HYPERLINK(p_ruta_base_checklists&amp;tblOrdenes[[#This Row],[link_checklist]],"abrir"))</f>
        <v/>
      </c>
      <c r="AP481" s="6" t="n"/>
      <c r="AQ481" s="3">
        <f>IF(tblOrdenes[[#This Row],[orden]]="","",tblOrdenes[[#This Row],[orden]]&amp;IF(tblOrdenes[[#This Row],[operacion]]="","0010",tblOrdenes[[#This Row],[operacion]]))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2" t="n"/>
      <c r="K482" s="3" t="n"/>
      <c r="L482" s="11" t="n"/>
      <c r="M4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2" s="3">
        <f>IF(tblOrdenes[[#This Row],[fecha_inicio]]="","",YEAR(tblOrdenes[[#This Row],[fecha_inicio]]))</f>
        <v/>
      </c>
      <c r="Q482" s="3">
        <f>IF(tblOrdenes[[#This Row],[fecha_inicio]]="","",MONTH(tblOrdenes[[#This Row],[fecha_inicio]]))</f>
        <v/>
      </c>
      <c r="R482" s="3">
        <f>IF(tblOrdenes[[#This Row],[fecha_inicio]]="","",INDEX(lista_dias,WEEKDAY(tblOrdenes[[#This Row],[fecha_inicio]],2)))</f>
        <v/>
      </c>
      <c r="S4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2" s="3">
        <f>IF(tblOrdenes[[#This Row],[tipo_ot]]="","",_xlfn.XLOOKUP(tblOrdenes[[#This Row],[tipo_ot]],tblTiposOT[codigo],tblTiposOT[clasificacion],"sin_clasificar"))</f>
        <v/>
      </c>
      <c r="U482" s="3">
        <f>IF(tblOrdenes[[#This Row],[centro_costo]]="","",_xlfn.XLOOKUP(tblOrdenes[[#This Row],[centro_costo]],tblCECO[codigo],tblCECO[linea],"(sin catálogo)"))</f>
        <v/>
      </c>
      <c r="V482" s="3">
        <f>IF(tblOrdenes[[#This Row],[centro_costo]]="","",_xlfn.XLOOKUP(tblOrdenes[[#This Row],[centro_costo]],tblCECO[codigo],tblCECO[area],"(sin catálogo)"))</f>
        <v/>
      </c>
      <c r="W4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2" s="3">
        <f>IF(tblOrdenes[[#This Row],[centro_costo]]="","",_xlfn.XLOOKUP(tblOrdenes[[#This Row],[centro_costo]],tblCECO[codigo],tblCECO[coordinador],"(sin catálogo)"))</f>
        <v/>
      </c>
      <c r="Y482" s="3">
        <f>IF(tblOrdenes[[#This Row],[puesto_trabajo]]="","",_xlfn.XLOOKUP(tblOrdenes[[#This Row],[puesto_trabajo]],tblPuestos[codigo],tblPuestos[especialidad],"(sin catálogo)"))</f>
        <v/>
      </c>
      <c r="Z482" s="3">
        <f>IF(tblOrdenes[[#This Row],[cod_actividad]]="","",_xlfn.XLOOKUP(tblOrdenes[[#This Row],[cod_actividad]],tblActividades[codigo],tblActividades[descripcion],"(sin catálogo)"))</f>
        <v/>
      </c>
      <c r="AA482" s="13">
        <f>IF(tblOrdenes[[#This Row],[fecha_inicio]]="","",TODAY()-tblOrdenes[[#This Row],[fecha_inicio]])</f>
        <v/>
      </c>
      <c r="AB4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2" s="3">
        <f>IF(tblOrdenes[[#This Row],[backlog_habiles]]="","",IF(tblOrdenes[[#This Row],[backlog_habiles]]&lt;0,"FUTURO",IF(tblOrdenes[[#This Row],[backlog_habiles]]&gt;p_dias_backlog_max,"BACKLOG","MES CORRIENTE")))</f>
        <v/>
      </c>
      <c r="AD482" s="3">
        <f>IF(tblOrdenes[[#This Row],[backlog_habiles]]="",FALSE,AND(tblOrdenes[[#This Row],[backlog_habiles]]&gt;p_dias_backlog_min,tblOrdenes[[#This Row],[backlog_habiles]]&lt;=p_dias_backlog_max))</f>
        <v/>
      </c>
      <c r="AE482" s="6" t="n"/>
      <c r="AF4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2" s="11">
        <f>IF(tblOrdenes[[#This Row],[orden]]="","",_xlfn.XLOOKUP(tblOrdenes[[#This Row],[id_operacion]],tblEjecucion[id_operacion],tblEjecucion[precio],0))</f>
        <v/>
      </c>
      <c r="AJ482" s="11">
        <f>IF(tblOrdenes[[#This Row],[orden]]="","",MAX(0,_xlfn.XLOOKUP(tblOrdenes[[#This Row],[id_operacion]],tblEjecucion[id_operacion],tblEjecucion[costo_plan_total],0)-tblOrdenes[[#This Row],[costo_servicio]]))</f>
        <v/>
      </c>
      <c r="AK482" s="11">
        <f>IF(tblOrdenes[[#This Row],[orden]]="","",tblOrdenes[[#This Row],[costo_servicio]]+tblOrdenes[[#This Row],[costo_materiales]])</f>
        <v/>
      </c>
      <c r="AL482" s="6" t="n"/>
      <c r="AM482" s="6" t="n"/>
      <c r="AN482" s="6" t="n"/>
      <c r="AO482" s="3">
        <f>IF(tblOrdenes[[#This Row],[link_checklist]]="","",HYPERLINK(p_ruta_base_checklists&amp;tblOrdenes[[#This Row],[link_checklist]],"abrir"))</f>
        <v/>
      </c>
      <c r="AP482" s="6" t="n"/>
      <c r="AQ482" s="3">
        <f>IF(tblOrdenes[[#This Row],[orden]]="","",tblOrdenes[[#This Row],[orden]]&amp;IF(tblOrdenes[[#This Row],[operacion]]="","0010",tblOrdenes[[#This Row],[operacion]]))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2" t="n"/>
      <c r="K483" s="3" t="n"/>
      <c r="L483" s="11" t="n"/>
      <c r="M4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3" s="3">
        <f>IF(tblOrdenes[[#This Row],[fecha_inicio]]="","",YEAR(tblOrdenes[[#This Row],[fecha_inicio]]))</f>
        <v/>
      </c>
      <c r="Q483" s="3">
        <f>IF(tblOrdenes[[#This Row],[fecha_inicio]]="","",MONTH(tblOrdenes[[#This Row],[fecha_inicio]]))</f>
        <v/>
      </c>
      <c r="R483" s="3">
        <f>IF(tblOrdenes[[#This Row],[fecha_inicio]]="","",INDEX(lista_dias,WEEKDAY(tblOrdenes[[#This Row],[fecha_inicio]],2)))</f>
        <v/>
      </c>
      <c r="S4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3" s="3">
        <f>IF(tblOrdenes[[#This Row],[tipo_ot]]="","",_xlfn.XLOOKUP(tblOrdenes[[#This Row],[tipo_ot]],tblTiposOT[codigo],tblTiposOT[clasificacion],"sin_clasificar"))</f>
        <v/>
      </c>
      <c r="U483" s="3">
        <f>IF(tblOrdenes[[#This Row],[centro_costo]]="","",_xlfn.XLOOKUP(tblOrdenes[[#This Row],[centro_costo]],tblCECO[codigo],tblCECO[linea],"(sin catálogo)"))</f>
        <v/>
      </c>
      <c r="V483" s="3">
        <f>IF(tblOrdenes[[#This Row],[centro_costo]]="","",_xlfn.XLOOKUP(tblOrdenes[[#This Row],[centro_costo]],tblCECO[codigo],tblCECO[area],"(sin catálogo)"))</f>
        <v/>
      </c>
      <c r="W4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3" s="3">
        <f>IF(tblOrdenes[[#This Row],[centro_costo]]="","",_xlfn.XLOOKUP(tblOrdenes[[#This Row],[centro_costo]],tblCECO[codigo],tblCECO[coordinador],"(sin catálogo)"))</f>
        <v/>
      </c>
      <c r="Y483" s="3">
        <f>IF(tblOrdenes[[#This Row],[puesto_trabajo]]="","",_xlfn.XLOOKUP(tblOrdenes[[#This Row],[puesto_trabajo]],tblPuestos[codigo],tblPuestos[especialidad],"(sin catálogo)"))</f>
        <v/>
      </c>
      <c r="Z483" s="3">
        <f>IF(tblOrdenes[[#This Row],[cod_actividad]]="","",_xlfn.XLOOKUP(tblOrdenes[[#This Row],[cod_actividad]],tblActividades[codigo],tblActividades[descripcion],"(sin catálogo)"))</f>
        <v/>
      </c>
      <c r="AA483" s="13">
        <f>IF(tblOrdenes[[#This Row],[fecha_inicio]]="","",TODAY()-tblOrdenes[[#This Row],[fecha_inicio]])</f>
        <v/>
      </c>
      <c r="AB4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3" s="3">
        <f>IF(tblOrdenes[[#This Row],[backlog_habiles]]="","",IF(tblOrdenes[[#This Row],[backlog_habiles]]&lt;0,"FUTURO",IF(tblOrdenes[[#This Row],[backlog_habiles]]&gt;p_dias_backlog_max,"BACKLOG","MES CORRIENTE")))</f>
        <v/>
      </c>
      <c r="AD483" s="3">
        <f>IF(tblOrdenes[[#This Row],[backlog_habiles]]="",FALSE,AND(tblOrdenes[[#This Row],[backlog_habiles]]&gt;p_dias_backlog_min,tblOrdenes[[#This Row],[backlog_habiles]]&lt;=p_dias_backlog_max))</f>
        <v/>
      </c>
      <c r="AE483" s="6" t="n"/>
      <c r="AF4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3" s="11">
        <f>IF(tblOrdenes[[#This Row],[orden]]="","",_xlfn.XLOOKUP(tblOrdenes[[#This Row],[id_operacion]],tblEjecucion[id_operacion],tblEjecucion[precio],0))</f>
        <v/>
      </c>
      <c r="AJ483" s="11">
        <f>IF(tblOrdenes[[#This Row],[orden]]="","",MAX(0,_xlfn.XLOOKUP(tblOrdenes[[#This Row],[id_operacion]],tblEjecucion[id_operacion],tblEjecucion[costo_plan_total],0)-tblOrdenes[[#This Row],[costo_servicio]]))</f>
        <v/>
      </c>
      <c r="AK483" s="11">
        <f>IF(tblOrdenes[[#This Row],[orden]]="","",tblOrdenes[[#This Row],[costo_servicio]]+tblOrdenes[[#This Row],[costo_materiales]])</f>
        <v/>
      </c>
      <c r="AL483" s="6" t="n"/>
      <c r="AM483" s="6" t="n"/>
      <c r="AN483" s="6" t="n"/>
      <c r="AO483" s="3">
        <f>IF(tblOrdenes[[#This Row],[link_checklist]]="","",HYPERLINK(p_ruta_base_checklists&amp;tblOrdenes[[#This Row],[link_checklist]],"abrir"))</f>
        <v/>
      </c>
      <c r="AP483" s="6" t="n"/>
      <c r="AQ483" s="3">
        <f>IF(tblOrdenes[[#This Row],[orden]]="","",tblOrdenes[[#This Row],[orden]]&amp;IF(tblOrdenes[[#This Row],[operacion]]="","0010",tblOrdenes[[#This Row],[operacion]]))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2" t="n"/>
      <c r="K484" s="3" t="n"/>
      <c r="L484" s="11" t="n"/>
      <c r="M4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4" s="3">
        <f>IF(tblOrdenes[[#This Row],[fecha_inicio]]="","",YEAR(tblOrdenes[[#This Row],[fecha_inicio]]))</f>
        <v/>
      </c>
      <c r="Q484" s="3">
        <f>IF(tblOrdenes[[#This Row],[fecha_inicio]]="","",MONTH(tblOrdenes[[#This Row],[fecha_inicio]]))</f>
        <v/>
      </c>
      <c r="R484" s="3">
        <f>IF(tblOrdenes[[#This Row],[fecha_inicio]]="","",INDEX(lista_dias,WEEKDAY(tblOrdenes[[#This Row],[fecha_inicio]],2)))</f>
        <v/>
      </c>
      <c r="S4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4" s="3">
        <f>IF(tblOrdenes[[#This Row],[tipo_ot]]="","",_xlfn.XLOOKUP(tblOrdenes[[#This Row],[tipo_ot]],tblTiposOT[codigo],tblTiposOT[clasificacion],"sin_clasificar"))</f>
        <v/>
      </c>
      <c r="U484" s="3">
        <f>IF(tblOrdenes[[#This Row],[centro_costo]]="","",_xlfn.XLOOKUP(tblOrdenes[[#This Row],[centro_costo]],tblCECO[codigo],tblCECO[linea],"(sin catálogo)"))</f>
        <v/>
      </c>
      <c r="V484" s="3">
        <f>IF(tblOrdenes[[#This Row],[centro_costo]]="","",_xlfn.XLOOKUP(tblOrdenes[[#This Row],[centro_costo]],tblCECO[codigo],tblCECO[area],"(sin catálogo)"))</f>
        <v/>
      </c>
      <c r="W4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4" s="3">
        <f>IF(tblOrdenes[[#This Row],[centro_costo]]="","",_xlfn.XLOOKUP(tblOrdenes[[#This Row],[centro_costo]],tblCECO[codigo],tblCECO[coordinador],"(sin catálogo)"))</f>
        <v/>
      </c>
      <c r="Y484" s="3">
        <f>IF(tblOrdenes[[#This Row],[puesto_trabajo]]="","",_xlfn.XLOOKUP(tblOrdenes[[#This Row],[puesto_trabajo]],tblPuestos[codigo],tblPuestos[especialidad],"(sin catálogo)"))</f>
        <v/>
      </c>
      <c r="Z484" s="3">
        <f>IF(tblOrdenes[[#This Row],[cod_actividad]]="","",_xlfn.XLOOKUP(tblOrdenes[[#This Row],[cod_actividad]],tblActividades[codigo],tblActividades[descripcion],"(sin catálogo)"))</f>
        <v/>
      </c>
      <c r="AA484" s="13">
        <f>IF(tblOrdenes[[#This Row],[fecha_inicio]]="","",TODAY()-tblOrdenes[[#This Row],[fecha_inicio]])</f>
        <v/>
      </c>
      <c r="AB4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4" s="3">
        <f>IF(tblOrdenes[[#This Row],[backlog_habiles]]="","",IF(tblOrdenes[[#This Row],[backlog_habiles]]&lt;0,"FUTURO",IF(tblOrdenes[[#This Row],[backlog_habiles]]&gt;p_dias_backlog_max,"BACKLOG","MES CORRIENTE")))</f>
        <v/>
      </c>
      <c r="AD484" s="3">
        <f>IF(tblOrdenes[[#This Row],[backlog_habiles]]="",FALSE,AND(tblOrdenes[[#This Row],[backlog_habiles]]&gt;p_dias_backlog_min,tblOrdenes[[#This Row],[backlog_habiles]]&lt;=p_dias_backlog_max))</f>
        <v/>
      </c>
      <c r="AE484" s="6" t="n"/>
      <c r="AF4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4" s="11">
        <f>IF(tblOrdenes[[#This Row],[orden]]="","",_xlfn.XLOOKUP(tblOrdenes[[#This Row],[id_operacion]],tblEjecucion[id_operacion],tblEjecucion[precio],0))</f>
        <v/>
      </c>
      <c r="AJ484" s="11">
        <f>IF(tblOrdenes[[#This Row],[orden]]="","",MAX(0,_xlfn.XLOOKUP(tblOrdenes[[#This Row],[id_operacion]],tblEjecucion[id_operacion],tblEjecucion[costo_plan_total],0)-tblOrdenes[[#This Row],[costo_servicio]]))</f>
        <v/>
      </c>
      <c r="AK484" s="11">
        <f>IF(tblOrdenes[[#This Row],[orden]]="","",tblOrdenes[[#This Row],[costo_servicio]]+tblOrdenes[[#This Row],[costo_materiales]])</f>
        <v/>
      </c>
      <c r="AL484" s="6" t="n"/>
      <c r="AM484" s="6" t="n"/>
      <c r="AN484" s="6" t="n"/>
      <c r="AO484" s="3">
        <f>IF(tblOrdenes[[#This Row],[link_checklist]]="","",HYPERLINK(p_ruta_base_checklists&amp;tblOrdenes[[#This Row],[link_checklist]],"abrir"))</f>
        <v/>
      </c>
      <c r="AP484" s="6" t="n"/>
      <c r="AQ484" s="3">
        <f>IF(tblOrdenes[[#This Row],[orden]]="","",tblOrdenes[[#This Row],[orden]]&amp;IF(tblOrdenes[[#This Row],[operacion]]="","0010",tblOrdenes[[#This Row],[operacion]]))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2" t="n"/>
      <c r="K485" s="3" t="n"/>
      <c r="L485" s="11" t="n"/>
      <c r="M4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5" s="3">
        <f>IF(tblOrdenes[[#This Row],[fecha_inicio]]="","",YEAR(tblOrdenes[[#This Row],[fecha_inicio]]))</f>
        <v/>
      </c>
      <c r="Q485" s="3">
        <f>IF(tblOrdenes[[#This Row],[fecha_inicio]]="","",MONTH(tblOrdenes[[#This Row],[fecha_inicio]]))</f>
        <v/>
      </c>
      <c r="R485" s="3">
        <f>IF(tblOrdenes[[#This Row],[fecha_inicio]]="","",INDEX(lista_dias,WEEKDAY(tblOrdenes[[#This Row],[fecha_inicio]],2)))</f>
        <v/>
      </c>
      <c r="S4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5" s="3">
        <f>IF(tblOrdenes[[#This Row],[tipo_ot]]="","",_xlfn.XLOOKUP(tblOrdenes[[#This Row],[tipo_ot]],tblTiposOT[codigo],tblTiposOT[clasificacion],"sin_clasificar"))</f>
        <v/>
      </c>
      <c r="U485" s="3">
        <f>IF(tblOrdenes[[#This Row],[centro_costo]]="","",_xlfn.XLOOKUP(tblOrdenes[[#This Row],[centro_costo]],tblCECO[codigo],tblCECO[linea],"(sin catálogo)"))</f>
        <v/>
      </c>
      <c r="V485" s="3">
        <f>IF(tblOrdenes[[#This Row],[centro_costo]]="","",_xlfn.XLOOKUP(tblOrdenes[[#This Row],[centro_costo]],tblCECO[codigo],tblCECO[area],"(sin catálogo)"))</f>
        <v/>
      </c>
      <c r="W4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5" s="3">
        <f>IF(tblOrdenes[[#This Row],[centro_costo]]="","",_xlfn.XLOOKUP(tblOrdenes[[#This Row],[centro_costo]],tblCECO[codigo],tblCECO[coordinador],"(sin catálogo)"))</f>
        <v/>
      </c>
      <c r="Y485" s="3">
        <f>IF(tblOrdenes[[#This Row],[puesto_trabajo]]="","",_xlfn.XLOOKUP(tblOrdenes[[#This Row],[puesto_trabajo]],tblPuestos[codigo],tblPuestos[especialidad],"(sin catálogo)"))</f>
        <v/>
      </c>
      <c r="Z485" s="3">
        <f>IF(tblOrdenes[[#This Row],[cod_actividad]]="","",_xlfn.XLOOKUP(tblOrdenes[[#This Row],[cod_actividad]],tblActividades[codigo],tblActividades[descripcion],"(sin catálogo)"))</f>
        <v/>
      </c>
      <c r="AA485" s="13">
        <f>IF(tblOrdenes[[#This Row],[fecha_inicio]]="","",TODAY()-tblOrdenes[[#This Row],[fecha_inicio]])</f>
        <v/>
      </c>
      <c r="AB4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5" s="3">
        <f>IF(tblOrdenes[[#This Row],[backlog_habiles]]="","",IF(tblOrdenes[[#This Row],[backlog_habiles]]&lt;0,"FUTURO",IF(tblOrdenes[[#This Row],[backlog_habiles]]&gt;p_dias_backlog_max,"BACKLOG","MES CORRIENTE")))</f>
        <v/>
      </c>
      <c r="AD485" s="3">
        <f>IF(tblOrdenes[[#This Row],[backlog_habiles]]="",FALSE,AND(tblOrdenes[[#This Row],[backlog_habiles]]&gt;p_dias_backlog_min,tblOrdenes[[#This Row],[backlog_habiles]]&lt;=p_dias_backlog_max))</f>
        <v/>
      </c>
      <c r="AE485" s="6" t="n"/>
      <c r="AF4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5" s="11">
        <f>IF(tblOrdenes[[#This Row],[orden]]="","",_xlfn.XLOOKUP(tblOrdenes[[#This Row],[id_operacion]],tblEjecucion[id_operacion],tblEjecucion[precio],0))</f>
        <v/>
      </c>
      <c r="AJ485" s="11">
        <f>IF(tblOrdenes[[#This Row],[orden]]="","",MAX(0,_xlfn.XLOOKUP(tblOrdenes[[#This Row],[id_operacion]],tblEjecucion[id_operacion],tblEjecucion[costo_plan_total],0)-tblOrdenes[[#This Row],[costo_servicio]]))</f>
        <v/>
      </c>
      <c r="AK485" s="11">
        <f>IF(tblOrdenes[[#This Row],[orden]]="","",tblOrdenes[[#This Row],[costo_servicio]]+tblOrdenes[[#This Row],[costo_materiales]])</f>
        <v/>
      </c>
      <c r="AL485" s="6" t="n"/>
      <c r="AM485" s="6" t="n"/>
      <c r="AN485" s="6" t="n"/>
      <c r="AO485" s="3">
        <f>IF(tblOrdenes[[#This Row],[link_checklist]]="","",HYPERLINK(p_ruta_base_checklists&amp;tblOrdenes[[#This Row],[link_checklist]],"abrir"))</f>
        <v/>
      </c>
      <c r="AP485" s="6" t="n"/>
      <c r="AQ485" s="3">
        <f>IF(tblOrdenes[[#This Row],[orden]]="","",tblOrdenes[[#This Row],[orden]]&amp;IF(tblOrdenes[[#This Row],[operacion]]="","0010",tblOrdenes[[#This Row],[operacion]]))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2" t="n"/>
      <c r="K486" s="3" t="n"/>
      <c r="L486" s="11" t="n"/>
      <c r="M4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6" s="3">
        <f>IF(tblOrdenes[[#This Row],[fecha_inicio]]="","",YEAR(tblOrdenes[[#This Row],[fecha_inicio]]))</f>
        <v/>
      </c>
      <c r="Q486" s="3">
        <f>IF(tblOrdenes[[#This Row],[fecha_inicio]]="","",MONTH(tblOrdenes[[#This Row],[fecha_inicio]]))</f>
        <v/>
      </c>
      <c r="R486" s="3">
        <f>IF(tblOrdenes[[#This Row],[fecha_inicio]]="","",INDEX(lista_dias,WEEKDAY(tblOrdenes[[#This Row],[fecha_inicio]],2)))</f>
        <v/>
      </c>
      <c r="S4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6" s="3">
        <f>IF(tblOrdenes[[#This Row],[tipo_ot]]="","",_xlfn.XLOOKUP(tblOrdenes[[#This Row],[tipo_ot]],tblTiposOT[codigo],tblTiposOT[clasificacion],"sin_clasificar"))</f>
        <v/>
      </c>
      <c r="U486" s="3">
        <f>IF(tblOrdenes[[#This Row],[centro_costo]]="","",_xlfn.XLOOKUP(tblOrdenes[[#This Row],[centro_costo]],tblCECO[codigo],tblCECO[linea],"(sin catálogo)"))</f>
        <v/>
      </c>
      <c r="V486" s="3">
        <f>IF(tblOrdenes[[#This Row],[centro_costo]]="","",_xlfn.XLOOKUP(tblOrdenes[[#This Row],[centro_costo]],tblCECO[codigo],tblCECO[area],"(sin catálogo)"))</f>
        <v/>
      </c>
      <c r="W4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6" s="3">
        <f>IF(tblOrdenes[[#This Row],[centro_costo]]="","",_xlfn.XLOOKUP(tblOrdenes[[#This Row],[centro_costo]],tblCECO[codigo],tblCECO[coordinador],"(sin catálogo)"))</f>
        <v/>
      </c>
      <c r="Y486" s="3">
        <f>IF(tblOrdenes[[#This Row],[puesto_trabajo]]="","",_xlfn.XLOOKUP(tblOrdenes[[#This Row],[puesto_trabajo]],tblPuestos[codigo],tblPuestos[especialidad],"(sin catálogo)"))</f>
        <v/>
      </c>
      <c r="Z486" s="3">
        <f>IF(tblOrdenes[[#This Row],[cod_actividad]]="","",_xlfn.XLOOKUP(tblOrdenes[[#This Row],[cod_actividad]],tblActividades[codigo],tblActividades[descripcion],"(sin catálogo)"))</f>
        <v/>
      </c>
      <c r="AA486" s="13">
        <f>IF(tblOrdenes[[#This Row],[fecha_inicio]]="","",TODAY()-tblOrdenes[[#This Row],[fecha_inicio]])</f>
        <v/>
      </c>
      <c r="AB4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6" s="3">
        <f>IF(tblOrdenes[[#This Row],[backlog_habiles]]="","",IF(tblOrdenes[[#This Row],[backlog_habiles]]&lt;0,"FUTURO",IF(tblOrdenes[[#This Row],[backlog_habiles]]&gt;p_dias_backlog_max,"BACKLOG","MES CORRIENTE")))</f>
        <v/>
      </c>
      <c r="AD486" s="3">
        <f>IF(tblOrdenes[[#This Row],[backlog_habiles]]="",FALSE,AND(tblOrdenes[[#This Row],[backlog_habiles]]&gt;p_dias_backlog_min,tblOrdenes[[#This Row],[backlog_habiles]]&lt;=p_dias_backlog_max))</f>
        <v/>
      </c>
      <c r="AE486" s="6" t="n"/>
      <c r="AF4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6" s="11">
        <f>IF(tblOrdenes[[#This Row],[orden]]="","",_xlfn.XLOOKUP(tblOrdenes[[#This Row],[id_operacion]],tblEjecucion[id_operacion],tblEjecucion[precio],0))</f>
        <v/>
      </c>
      <c r="AJ486" s="11">
        <f>IF(tblOrdenes[[#This Row],[orden]]="","",MAX(0,_xlfn.XLOOKUP(tblOrdenes[[#This Row],[id_operacion]],tblEjecucion[id_operacion],tblEjecucion[costo_plan_total],0)-tblOrdenes[[#This Row],[costo_servicio]]))</f>
        <v/>
      </c>
      <c r="AK486" s="11">
        <f>IF(tblOrdenes[[#This Row],[orden]]="","",tblOrdenes[[#This Row],[costo_servicio]]+tblOrdenes[[#This Row],[costo_materiales]])</f>
        <v/>
      </c>
      <c r="AL486" s="6" t="n"/>
      <c r="AM486" s="6" t="n"/>
      <c r="AN486" s="6" t="n"/>
      <c r="AO486" s="3">
        <f>IF(tblOrdenes[[#This Row],[link_checklist]]="","",HYPERLINK(p_ruta_base_checklists&amp;tblOrdenes[[#This Row],[link_checklist]],"abrir"))</f>
        <v/>
      </c>
      <c r="AP486" s="6" t="n"/>
      <c r="AQ486" s="3">
        <f>IF(tblOrdenes[[#This Row],[orden]]="","",tblOrdenes[[#This Row],[orden]]&amp;IF(tblOrdenes[[#This Row],[operacion]]="","0010",tblOrdenes[[#This Row],[operacion]]))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2" t="n"/>
      <c r="K487" s="3" t="n"/>
      <c r="L487" s="11" t="n"/>
      <c r="M4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7" s="3">
        <f>IF(tblOrdenes[[#This Row],[fecha_inicio]]="","",YEAR(tblOrdenes[[#This Row],[fecha_inicio]]))</f>
        <v/>
      </c>
      <c r="Q487" s="3">
        <f>IF(tblOrdenes[[#This Row],[fecha_inicio]]="","",MONTH(tblOrdenes[[#This Row],[fecha_inicio]]))</f>
        <v/>
      </c>
      <c r="R487" s="3">
        <f>IF(tblOrdenes[[#This Row],[fecha_inicio]]="","",INDEX(lista_dias,WEEKDAY(tblOrdenes[[#This Row],[fecha_inicio]],2)))</f>
        <v/>
      </c>
      <c r="S4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7" s="3">
        <f>IF(tblOrdenes[[#This Row],[tipo_ot]]="","",_xlfn.XLOOKUP(tblOrdenes[[#This Row],[tipo_ot]],tblTiposOT[codigo],tblTiposOT[clasificacion],"sin_clasificar"))</f>
        <v/>
      </c>
      <c r="U487" s="3">
        <f>IF(tblOrdenes[[#This Row],[centro_costo]]="","",_xlfn.XLOOKUP(tblOrdenes[[#This Row],[centro_costo]],tblCECO[codigo],tblCECO[linea],"(sin catálogo)"))</f>
        <v/>
      </c>
      <c r="V487" s="3">
        <f>IF(tblOrdenes[[#This Row],[centro_costo]]="","",_xlfn.XLOOKUP(tblOrdenes[[#This Row],[centro_costo]],tblCECO[codigo],tblCECO[area],"(sin catálogo)"))</f>
        <v/>
      </c>
      <c r="W4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7" s="3">
        <f>IF(tblOrdenes[[#This Row],[centro_costo]]="","",_xlfn.XLOOKUP(tblOrdenes[[#This Row],[centro_costo]],tblCECO[codigo],tblCECO[coordinador],"(sin catálogo)"))</f>
        <v/>
      </c>
      <c r="Y487" s="3">
        <f>IF(tblOrdenes[[#This Row],[puesto_trabajo]]="","",_xlfn.XLOOKUP(tblOrdenes[[#This Row],[puesto_trabajo]],tblPuestos[codigo],tblPuestos[especialidad],"(sin catálogo)"))</f>
        <v/>
      </c>
      <c r="Z487" s="3">
        <f>IF(tblOrdenes[[#This Row],[cod_actividad]]="","",_xlfn.XLOOKUP(tblOrdenes[[#This Row],[cod_actividad]],tblActividades[codigo],tblActividades[descripcion],"(sin catálogo)"))</f>
        <v/>
      </c>
      <c r="AA487" s="13">
        <f>IF(tblOrdenes[[#This Row],[fecha_inicio]]="","",TODAY()-tblOrdenes[[#This Row],[fecha_inicio]])</f>
        <v/>
      </c>
      <c r="AB4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7" s="3">
        <f>IF(tblOrdenes[[#This Row],[backlog_habiles]]="","",IF(tblOrdenes[[#This Row],[backlog_habiles]]&lt;0,"FUTURO",IF(tblOrdenes[[#This Row],[backlog_habiles]]&gt;p_dias_backlog_max,"BACKLOG","MES CORRIENTE")))</f>
        <v/>
      </c>
      <c r="AD487" s="3">
        <f>IF(tblOrdenes[[#This Row],[backlog_habiles]]="",FALSE,AND(tblOrdenes[[#This Row],[backlog_habiles]]&gt;p_dias_backlog_min,tblOrdenes[[#This Row],[backlog_habiles]]&lt;=p_dias_backlog_max))</f>
        <v/>
      </c>
      <c r="AE487" s="6" t="n"/>
      <c r="AF4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7" s="11">
        <f>IF(tblOrdenes[[#This Row],[orden]]="","",_xlfn.XLOOKUP(tblOrdenes[[#This Row],[id_operacion]],tblEjecucion[id_operacion],tblEjecucion[precio],0))</f>
        <v/>
      </c>
      <c r="AJ487" s="11">
        <f>IF(tblOrdenes[[#This Row],[orden]]="","",MAX(0,_xlfn.XLOOKUP(tblOrdenes[[#This Row],[id_operacion]],tblEjecucion[id_operacion],tblEjecucion[costo_plan_total],0)-tblOrdenes[[#This Row],[costo_servicio]]))</f>
        <v/>
      </c>
      <c r="AK487" s="11">
        <f>IF(tblOrdenes[[#This Row],[orden]]="","",tblOrdenes[[#This Row],[costo_servicio]]+tblOrdenes[[#This Row],[costo_materiales]])</f>
        <v/>
      </c>
      <c r="AL487" s="6" t="n"/>
      <c r="AM487" s="6" t="n"/>
      <c r="AN487" s="6" t="n"/>
      <c r="AO487" s="3">
        <f>IF(tblOrdenes[[#This Row],[link_checklist]]="","",HYPERLINK(p_ruta_base_checklists&amp;tblOrdenes[[#This Row],[link_checklist]],"abrir"))</f>
        <v/>
      </c>
      <c r="AP487" s="6" t="n"/>
      <c r="AQ487" s="3">
        <f>IF(tblOrdenes[[#This Row],[orden]]="","",tblOrdenes[[#This Row],[orden]]&amp;IF(tblOrdenes[[#This Row],[operacion]]="","0010",tblOrdenes[[#This Row],[operacion]]))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2" t="n"/>
      <c r="K488" s="3" t="n"/>
      <c r="L488" s="11" t="n"/>
      <c r="M4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8" s="3">
        <f>IF(tblOrdenes[[#This Row],[fecha_inicio]]="","",YEAR(tblOrdenes[[#This Row],[fecha_inicio]]))</f>
        <v/>
      </c>
      <c r="Q488" s="3">
        <f>IF(tblOrdenes[[#This Row],[fecha_inicio]]="","",MONTH(tblOrdenes[[#This Row],[fecha_inicio]]))</f>
        <v/>
      </c>
      <c r="R488" s="3">
        <f>IF(tblOrdenes[[#This Row],[fecha_inicio]]="","",INDEX(lista_dias,WEEKDAY(tblOrdenes[[#This Row],[fecha_inicio]],2)))</f>
        <v/>
      </c>
      <c r="S4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8" s="3">
        <f>IF(tblOrdenes[[#This Row],[tipo_ot]]="","",_xlfn.XLOOKUP(tblOrdenes[[#This Row],[tipo_ot]],tblTiposOT[codigo],tblTiposOT[clasificacion],"sin_clasificar"))</f>
        <v/>
      </c>
      <c r="U488" s="3">
        <f>IF(tblOrdenes[[#This Row],[centro_costo]]="","",_xlfn.XLOOKUP(tblOrdenes[[#This Row],[centro_costo]],tblCECO[codigo],tblCECO[linea],"(sin catálogo)"))</f>
        <v/>
      </c>
      <c r="V488" s="3">
        <f>IF(tblOrdenes[[#This Row],[centro_costo]]="","",_xlfn.XLOOKUP(tblOrdenes[[#This Row],[centro_costo]],tblCECO[codigo],tblCECO[area],"(sin catálogo)"))</f>
        <v/>
      </c>
      <c r="W4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8" s="3">
        <f>IF(tblOrdenes[[#This Row],[centro_costo]]="","",_xlfn.XLOOKUP(tblOrdenes[[#This Row],[centro_costo]],tblCECO[codigo],tblCECO[coordinador],"(sin catálogo)"))</f>
        <v/>
      </c>
      <c r="Y488" s="3">
        <f>IF(tblOrdenes[[#This Row],[puesto_trabajo]]="","",_xlfn.XLOOKUP(tblOrdenes[[#This Row],[puesto_trabajo]],tblPuestos[codigo],tblPuestos[especialidad],"(sin catálogo)"))</f>
        <v/>
      </c>
      <c r="Z488" s="3">
        <f>IF(tblOrdenes[[#This Row],[cod_actividad]]="","",_xlfn.XLOOKUP(tblOrdenes[[#This Row],[cod_actividad]],tblActividades[codigo],tblActividades[descripcion],"(sin catálogo)"))</f>
        <v/>
      </c>
      <c r="AA488" s="13">
        <f>IF(tblOrdenes[[#This Row],[fecha_inicio]]="","",TODAY()-tblOrdenes[[#This Row],[fecha_inicio]])</f>
        <v/>
      </c>
      <c r="AB4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8" s="3">
        <f>IF(tblOrdenes[[#This Row],[backlog_habiles]]="","",IF(tblOrdenes[[#This Row],[backlog_habiles]]&lt;0,"FUTURO",IF(tblOrdenes[[#This Row],[backlog_habiles]]&gt;p_dias_backlog_max,"BACKLOG","MES CORRIENTE")))</f>
        <v/>
      </c>
      <c r="AD488" s="3">
        <f>IF(tblOrdenes[[#This Row],[backlog_habiles]]="",FALSE,AND(tblOrdenes[[#This Row],[backlog_habiles]]&gt;p_dias_backlog_min,tblOrdenes[[#This Row],[backlog_habiles]]&lt;=p_dias_backlog_max))</f>
        <v/>
      </c>
      <c r="AE488" s="6" t="n"/>
      <c r="AF4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8" s="11">
        <f>IF(tblOrdenes[[#This Row],[orden]]="","",_xlfn.XLOOKUP(tblOrdenes[[#This Row],[id_operacion]],tblEjecucion[id_operacion],tblEjecucion[precio],0))</f>
        <v/>
      </c>
      <c r="AJ488" s="11">
        <f>IF(tblOrdenes[[#This Row],[orden]]="","",MAX(0,_xlfn.XLOOKUP(tblOrdenes[[#This Row],[id_operacion]],tblEjecucion[id_operacion],tblEjecucion[costo_plan_total],0)-tblOrdenes[[#This Row],[costo_servicio]]))</f>
        <v/>
      </c>
      <c r="AK488" s="11">
        <f>IF(tblOrdenes[[#This Row],[orden]]="","",tblOrdenes[[#This Row],[costo_servicio]]+tblOrdenes[[#This Row],[costo_materiales]])</f>
        <v/>
      </c>
      <c r="AL488" s="6" t="n"/>
      <c r="AM488" s="6" t="n"/>
      <c r="AN488" s="6" t="n"/>
      <c r="AO488" s="3">
        <f>IF(tblOrdenes[[#This Row],[link_checklist]]="","",HYPERLINK(p_ruta_base_checklists&amp;tblOrdenes[[#This Row],[link_checklist]],"abrir"))</f>
        <v/>
      </c>
      <c r="AP488" s="6" t="n"/>
      <c r="AQ488" s="3">
        <f>IF(tblOrdenes[[#This Row],[orden]]="","",tblOrdenes[[#This Row],[orden]]&amp;IF(tblOrdenes[[#This Row],[operacion]]="","0010",tblOrdenes[[#This Row],[operacion]]))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2" t="n"/>
      <c r="K489" s="3" t="n"/>
      <c r="L489" s="11" t="n"/>
      <c r="M4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9" s="3">
        <f>IF(tblOrdenes[[#This Row],[fecha_inicio]]="","",YEAR(tblOrdenes[[#This Row],[fecha_inicio]]))</f>
        <v/>
      </c>
      <c r="Q489" s="3">
        <f>IF(tblOrdenes[[#This Row],[fecha_inicio]]="","",MONTH(tblOrdenes[[#This Row],[fecha_inicio]]))</f>
        <v/>
      </c>
      <c r="R489" s="3">
        <f>IF(tblOrdenes[[#This Row],[fecha_inicio]]="","",INDEX(lista_dias,WEEKDAY(tblOrdenes[[#This Row],[fecha_inicio]],2)))</f>
        <v/>
      </c>
      <c r="S4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9" s="3">
        <f>IF(tblOrdenes[[#This Row],[tipo_ot]]="","",_xlfn.XLOOKUP(tblOrdenes[[#This Row],[tipo_ot]],tblTiposOT[codigo],tblTiposOT[clasificacion],"sin_clasificar"))</f>
        <v/>
      </c>
      <c r="U489" s="3">
        <f>IF(tblOrdenes[[#This Row],[centro_costo]]="","",_xlfn.XLOOKUP(tblOrdenes[[#This Row],[centro_costo]],tblCECO[codigo],tblCECO[linea],"(sin catálogo)"))</f>
        <v/>
      </c>
      <c r="V489" s="3">
        <f>IF(tblOrdenes[[#This Row],[centro_costo]]="","",_xlfn.XLOOKUP(tblOrdenes[[#This Row],[centro_costo]],tblCECO[codigo],tblCECO[area],"(sin catálogo)"))</f>
        <v/>
      </c>
      <c r="W4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9" s="3">
        <f>IF(tblOrdenes[[#This Row],[centro_costo]]="","",_xlfn.XLOOKUP(tblOrdenes[[#This Row],[centro_costo]],tblCECO[codigo],tblCECO[coordinador],"(sin catálogo)"))</f>
        <v/>
      </c>
      <c r="Y489" s="3">
        <f>IF(tblOrdenes[[#This Row],[puesto_trabajo]]="","",_xlfn.XLOOKUP(tblOrdenes[[#This Row],[puesto_trabajo]],tblPuestos[codigo],tblPuestos[especialidad],"(sin catálogo)"))</f>
        <v/>
      </c>
      <c r="Z489" s="3">
        <f>IF(tblOrdenes[[#This Row],[cod_actividad]]="","",_xlfn.XLOOKUP(tblOrdenes[[#This Row],[cod_actividad]],tblActividades[codigo],tblActividades[descripcion],"(sin catálogo)"))</f>
        <v/>
      </c>
      <c r="AA489" s="13">
        <f>IF(tblOrdenes[[#This Row],[fecha_inicio]]="","",TODAY()-tblOrdenes[[#This Row],[fecha_inicio]])</f>
        <v/>
      </c>
      <c r="AB4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9" s="3">
        <f>IF(tblOrdenes[[#This Row],[backlog_habiles]]="","",IF(tblOrdenes[[#This Row],[backlog_habiles]]&lt;0,"FUTURO",IF(tblOrdenes[[#This Row],[backlog_habiles]]&gt;p_dias_backlog_max,"BACKLOG","MES CORRIENTE")))</f>
        <v/>
      </c>
      <c r="AD489" s="3">
        <f>IF(tblOrdenes[[#This Row],[backlog_habiles]]="",FALSE,AND(tblOrdenes[[#This Row],[backlog_habiles]]&gt;p_dias_backlog_min,tblOrdenes[[#This Row],[backlog_habiles]]&lt;=p_dias_backlog_max))</f>
        <v/>
      </c>
      <c r="AE489" s="6" t="n"/>
      <c r="AF4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9" s="11">
        <f>IF(tblOrdenes[[#This Row],[orden]]="","",_xlfn.XLOOKUP(tblOrdenes[[#This Row],[id_operacion]],tblEjecucion[id_operacion],tblEjecucion[precio],0))</f>
        <v/>
      </c>
      <c r="AJ489" s="11">
        <f>IF(tblOrdenes[[#This Row],[orden]]="","",MAX(0,_xlfn.XLOOKUP(tblOrdenes[[#This Row],[id_operacion]],tblEjecucion[id_operacion],tblEjecucion[costo_plan_total],0)-tblOrdenes[[#This Row],[costo_servicio]]))</f>
        <v/>
      </c>
      <c r="AK489" s="11">
        <f>IF(tblOrdenes[[#This Row],[orden]]="","",tblOrdenes[[#This Row],[costo_servicio]]+tblOrdenes[[#This Row],[costo_materiales]])</f>
        <v/>
      </c>
      <c r="AL489" s="6" t="n"/>
      <c r="AM489" s="6" t="n"/>
      <c r="AN489" s="6" t="n"/>
      <c r="AO489" s="3">
        <f>IF(tblOrdenes[[#This Row],[link_checklist]]="","",HYPERLINK(p_ruta_base_checklists&amp;tblOrdenes[[#This Row],[link_checklist]],"abrir"))</f>
        <v/>
      </c>
      <c r="AP489" s="6" t="n"/>
      <c r="AQ489" s="3">
        <f>IF(tblOrdenes[[#This Row],[orden]]="","",tblOrdenes[[#This Row],[orden]]&amp;IF(tblOrdenes[[#This Row],[operacion]]="","0010",tblOrdenes[[#This Row],[operacion]]))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2" t="n"/>
      <c r="K490" s="3" t="n"/>
      <c r="L490" s="11" t="n"/>
      <c r="M4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0" s="3">
        <f>IF(tblOrdenes[[#This Row],[fecha_inicio]]="","",YEAR(tblOrdenes[[#This Row],[fecha_inicio]]))</f>
        <v/>
      </c>
      <c r="Q490" s="3">
        <f>IF(tblOrdenes[[#This Row],[fecha_inicio]]="","",MONTH(tblOrdenes[[#This Row],[fecha_inicio]]))</f>
        <v/>
      </c>
      <c r="R490" s="3">
        <f>IF(tblOrdenes[[#This Row],[fecha_inicio]]="","",INDEX(lista_dias,WEEKDAY(tblOrdenes[[#This Row],[fecha_inicio]],2)))</f>
        <v/>
      </c>
      <c r="S4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0" s="3">
        <f>IF(tblOrdenes[[#This Row],[tipo_ot]]="","",_xlfn.XLOOKUP(tblOrdenes[[#This Row],[tipo_ot]],tblTiposOT[codigo],tblTiposOT[clasificacion],"sin_clasificar"))</f>
        <v/>
      </c>
      <c r="U490" s="3">
        <f>IF(tblOrdenes[[#This Row],[centro_costo]]="","",_xlfn.XLOOKUP(tblOrdenes[[#This Row],[centro_costo]],tblCECO[codigo],tblCECO[linea],"(sin catálogo)"))</f>
        <v/>
      </c>
      <c r="V490" s="3">
        <f>IF(tblOrdenes[[#This Row],[centro_costo]]="","",_xlfn.XLOOKUP(tblOrdenes[[#This Row],[centro_costo]],tblCECO[codigo],tblCECO[area],"(sin catálogo)"))</f>
        <v/>
      </c>
      <c r="W4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0" s="3">
        <f>IF(tblOrdenes[[#This Row],[centro_costo]]="","",_xlfn.XLOOKUP(tblOrdenes[[#This Row],[centro_costo]],tblCECO[codigo],tblCECO[coordinador],"(sin catálogo)"))</f>
        <v/>
      </c>
      <c r="Y490" s="3">
        <f>IF(tblOrdenes[[#This Row],[puesto_trabajo]]="","",_xlfn.XLOOKUP(tblOrdenes[[#This Row],[puesto_trabajo]],tblPuestos[codigo],tblPuestos[especialidad],"(sin catálogo)"))</f>
        <v/>
      </c>
      <c r="Z490" s="3">
        <f>IF(tblOrdenes[[#This Row],[cod_actividad]]="","",_xlfn.XLOOKUP(tblOrdenes[[#This Row],[cod_actividad]],tblActividades[codigo],tblActividades[descripcion],"(sin catálogo)"))</f>
        <v/>
      </c>
      <c r="AA490" s="13">
        <f>IF(tblOrdenes[[#This Row],[fecha_inicio]]="","",TODAY()-tblOrdenes[[#This Row],[fecha_inicio]])</f>
        <v/>
      </c>
      <c r="AB4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0" s="3">
        <f>IF(tblOrdenes[[#This Row],[backlog_habiles]]="","",IF(tblOrdenes[[#This Row],[backlog_habiles]]&lt;0,"FUTURO",IF(tblOrdenes[[#This Row],[backlog_habiles]]&gt;p_dias_backlog_max,"BACKLOG","MES CORRIENTE")))</f>
        <v/>
      </c>
      <c r="AD490" s="3">
        <f>IF(tblOrdenes[[#This Row],[backlog_habiles]]="",FALSE,AND(tblOrdenes[[#This Row],[backlog_habiles]]&gt;p_dias_backlog_min,tblOrdenes[[#This Row],[backlog_habiles]]&lt;=p_dias_backlog_max))</f>
        <v/>
      </c>
      <c r="AE490" s="6" t="n"/>
      <c r="AF4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0" s="11">
        <f>IF(tblOrdenes[[#This Row],[orden]]="","",_xlfn.XLOOKUP(tblOrdenes[[#This Row],[id_operacion]],tblEjecucion[id_operacion],tblEjecucion[precio],0))</f>
        <v/>
      </c>
      <c r="AJ490" s="11">
        <f>IF(tblOrdenes[[#This Row],[orden]]="","",MAX(0,_xlfn.XLOOKUP(tblOrdenes[[#This Row],[id_operacion]],tblEjecucion[id_operacion],tblEjecucion[costo_plan_total],0)-tblOrdenes[[#This Row],[costo_servicio]]))</f>
        <v/>
      </c>
      <c r="AK490" s="11">
        <f>IF(tblOrdenes[[#This Row],[orden]]="","",tblOrdenes[[#This Row],[costo_servicio]]+tblOrdenes[[#This Row],[costo_materiales]])</f>
        <v/>
      </c>
      <c r="AL490" s="6" t="n"/>
      <c r="AM490" s="6" t="n"/>
      <c r="AN490" s="6" t="n"/>
      <c r="AO490" s="3">
        <f>IF(tblOrdenes[[#This Row],[link_checklist]]="","",HYPERLINK(p_ruta_base_checklists&amp;tblOrdenes[[#This Row],[link_checklist]],"abrir"))</f>
        <v/>
      </c>
      <c r="AP490" s="6" t="n"/>
      <c r="AQ490" s="3">
        <f>IF(tblOrdenes[[#This Row],[orden]]="","",tblOrdenes[[#This Row],[orden]]&amp;IF(tblOrdenes[[#This Row],[operacion]]="","0010",tblOrdenes[[#This Row],[operacion]]))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2" t="n"/>
      <c r="K491" s="3" t="n"/>
      <c r="L491" s="11" t="n"/>
      <c r="M4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1" s="3">
        <f>IF(tblOrdenes[[#This Row],[fecha_inicio]]="","",YEAR(tblOrdenes[[#This Row],[fecha_inicio]]))</f>
        <v/>
      </c>
      <c r="Q491" s="3">
        <f>IF(tblOrdenes[[#This Row],[fecha_inicio]]="","",MONTH(tblOrdenes[[#This Row],[fecha_inicio]]))</f>
        <v/>
      </c>
      <c r="R491" s="3">
        <f>IF(tblOrdenes[[#This Row],[fecha_inicio]]="","",INDEX(lista_dias,WEEKDAY(tblOrdenes[[#This Row],[fecha_inicio]],2)))</f>
        <v/>
      </c>
      <c r="S4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1" s="3">
        <f>IF(tblOrdenes[[#This Row],[tipo_ot]]="","",_xlfn.XLOOKUP(tblOrdenes[[#This Row],[tipo_ot]],tblTiposOT[codigo],tblTiposOT[clasificacion],"sin_clasificar"))</f>
        <v/>
      </c>
      <c r="U491" s="3">
        <f>IF(tblOrdenes[[#This Row],[centro_costo]]="","",_xlfn.XLOOKUP(tblOrdenes[[#This Row],[centro_costo]],tblCECO[codigo],tblCECO[linea],"(sin catálogo)"))</f>
        <v/>
      </c>
      <c r="V491" s="3">
        <f>IF(tblOrdenes[[#This Row],[centro_costo]]="","",_xlfn.XLOOKUP(tblOrdenes[[#This Row],[centro_costo]],tblCECO[codigo],tblCECO[area],"(sin catálogo)"))</f>
        <v/>
      </c>
      <c r="W4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1" s="3">
        <f>IF(tblOrdenes[[#This Row],[centro_costo]]="","",_xlfn.XLOOKUP(tblOrdenes[[#This Row],[centro_costo]],tblCECO[codigo],tblCECO[coordinador],"(sin catálogo)"))</f>
        <v/>
      </c>
      <c r="Y491" s="3">
        <f>IF(tblOrdenes[[#This Row],[puesto_trabajo]]="","",_xlfn.XLOOKUP(tblOrdenes[[#This Row],[puesto_trabajo]],tblPuestos[codigo],tblPuestos[especialidad],"(sin catálogo)"))</f>
        <v/>
      </c>
      <c r="Z491" s="3">
        <f>IF(tblOrdenes[[#This Row],[cod_actividad]]="","",_xlfn.XLOOKUP(tblOrdenes[[#This Row],[cod_actividad]],tblActividades[codigo],tblActividades[descripcion],"(sin catálogo)"))</f>
        <v/>
      </c>
      <c r="AA491" s="13">
        <f>IF(tblOrdenes[[#This Row],[fecha_inicio]]="","",TODAY()-tblOrdenes[[#This Row],[fecha_inicio]])</f>
        <v/>
      </c>
      <c r="AB4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1" s="3">
        <f>IF(tblOrdenes[[#This Row],[backlog_habiles]]="","",IF(tblOrdenes[[#This Row],[backlog_habiles]]&lt;0,"FUTURO",IF(tblOrdenes[[#This Row],[backlog_habiles]]&gt;p_dias_backlog_max,"BACKLOG","MES CORRIENTE")))</f>
        <v/>
      </c>
      <c r="AD491" s="3">
        <f>IF(tblOrdenes[[#This Row],[backlog_habiles]]="",FALSE,AND(tblOrdenes[[#This Row],[backlog_habiles]]&gt;p_dias_backlog_min,tblOrdenes[[#This Row],[backlog_habiles]]&lt;=p_dias_backlog_max))</f>
        <v/>
      </c>
      <c r="AE491" s="6" t="n"/>
      <c r="AF4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1" s="11">
        <f>IF(tblOrdenes[[#This Row],[orden]]="","",_xlfn.XLOOKUP(tblOrdenes[[#This Row],[id_operacion]],tblEjecucion[id_operacion],tblEjecucion[precio],0))</f>
        <v/>
      </c>
      <c r="AJ491" s="11">
        <f>IF(tblOrdenes[[#This Row],[orden]]="","",MAX(0,_xlfn.XLOOKUP(tblOrdenes[[#This Row],[id_operacion]],tblEjecucion[id_operacion],tblEjecucion[costo_plan_total],0)-tblOrdenes[[#This Row],[costo_servicio]]))</f>
        <v/>
      </c>
      <c r="AK491" s="11">
        <f>IF(tblOrdenes[[#This Row],[orden]]="","",tblOrdenes[[#This Row],[costo_servicio]]+tblOrdenes[[#This Row],[costo_materiales]])</f>
        <v/>
      </c>
      <c r="AL491" s="6" t="n"/>
      <c r="AM491" s="6" t="n"/>
      <c r="AN491" s="6" t="n"/>
      <c r="AO491" s="3">
        <f>IF(tblOrdenes[[#This Row],[link_checklist]]="","",HYPERLINK(p_ruta_base_checklists&amp;tblOrdenes[[#This Row],[link_checklist]],"abrir"))</f>
        <v/>
      </c>
      <c r="AP491" s="6" t="n"/>
      <c r="AQ491" s="3">
        <f>IF(tblOrdenes[[#This Row],[orden]]="","",tblOrdenes[[#This Row],[orden]]&amp;IF(tblOrdenes[[#This Row],[operacion]]="","0010",tblOrdenes[[#This Row],[operacion]]))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2" t="n"/>
      <c r="K492" s="3" t="n"/>
      <c r="L492" s="11" t="n"/>
      <c r="M4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2" s="3">
        <f>IF(tblOrdenes[[#This Row],[fecha_inicio]]="","",YEAR(tblOrdenes[[#This Row],[fecha_inicio]]))</f>
        <v/>
      </c>
      <c r="Q492" s="3">
        <f>IF(tblOrdenes[[#This Row],[fecha_inicio]]="","",MONTH(tblOrdenes[[#This Row],[fecha_inicio]]))</f>
        <v/>
      </c>
      <c r="R492" s="3">
        <f>IF(tblOrdenes[[#This Row],[fecha_inicio]]="","",INDEX(lista_dias,WEEKDAY(tblOrdenes[[#This Row],[fecha_inicio]],2)))</f>
        <v/>
      </c>
      <c r="S4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2" s="3">
        <f>IF(tblOrdenes[[#This Row],[tipo_ot]]="","",_xlfn.XLOOKUP(tblOrdenes[[#This Row],[tipo_ot]],tblTiposOT[codigo],tblTiposOT[clasificacion],"sin_clasificar"))</f>
        <v/>
      </c>
      <c r="U492" s="3">
        <f>IF(tblOrdenes[[#This Row],[centro_costo]]="","",_xlfn.XLOOKUP(tblOrdenes[[#This Row],[centro_costo]],tblCECO[codigo],tblCECO[linea],"(sin catálogo)"))</f>
        <v/>
      </c>
      <c r="V492" s="3">
        <f>IF(tblOrdenes[[#This Row],[centro_costo]]="","",_xlfn.XLOOKUP(tblOrdenes[[#This Row],[centro_costo]],tblCECO[codigo],tblCECO[area],"(sin catálogo)"))</f>
        <v/>
      </c>
      <c r="W4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2" s="3">
        <f>IF(tblOrdenes[[#This Row],[centro_costo]]="","",_xlfn.XLOOKUP(tblOrdenes[[#This Row],[centro_costo]],tblCECO[codigo],tblCECO[coordinador],"(sin catálogo)"))</f>
        <v/>
      </c>
      <c r="Y492" s="3">
        <f>IF(tblOrdenes[[#This Row],[puesto_trabajo]]="","",_xlfn.XLOOKUP(tblOrdenes[[#This Row],[puesto_trabajo]],tblPuestos[codigo],tblPuestos[especialidad],"(sin catálogo)"))</f>
        <v/>
      </c>
      <c r="Z492" s="3">
        <f>IF(tblOrdenes[[#This Row],[cod_actividad]]="","",_xlfn.XLOOKUP(tblOrdenes[[#This Row],[cod_actividad]],tblActividades[codigo],tblActividades[descripcion],"(sin catálogo)"))</f>
        <v/>
      </c>
      <c r="AA492" s="13">
        <f>IF(tblOrdenes[[#This Row],[fecha_inicio]]="","",TODAY()-tblOrdenes[[#This Row],[fecha_inicio]])</f>
        <v/>
      </c>
      <c r="AB4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2" s="3">
        <f>IF(tblOrdenes[[#This Row],[backlog_habiles]]="","",IF(tblOrdenes[[#This Row],[backlog_habiles]]&lt;0,"FUTURO",IF(tblOrdenes[[#This Row],[backlog_habiles]]&gt;p_dias_backlog_max,"BACKLOG","MES CORRIENTE")))</f>
        <v/>
      </c>
      <c r="AD492" s="3">
        <f>IF(tblOrdenes[[#This Row],[backlog_habiles]]="",FALSE,AND(tblOrdenes[[#This Row],[backlog_habiles]]&gt;p_dias_backlog_min,tblOrdenes[[#This Row],[backlog_habiles]]&lt;=p_dias_backlog_max))</f>
        <v/>
      </c>
      <c r="AE492" s="6" t="n"/>
      <c r="AF4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2" s="11">
        <f>IF(tblOrdenes[[#This Row],[orden]]="","",_xlfn.XLOOKUP(tblOrdenes[[#This Row],[id_operacion]],tblEjecucion[id_operacion],tblEjecucion[precio],0))</f>
        <v/>
      </c>
      <c r="AJ492" s="11">
        <f>IF(tblOrdenes[[#This Row],[orden]]="","",MAX(0,_xlfn.XLOOKUP(tblOrdenes[[#This Row],[id_operacion]],tblEjecucion[id_operacion],tblEjecucion[costo_plan_total],0)-tblOrdenes[[#This Row],[costo_servicio]]))</f>
        <v/>
      </c>
      <c r="AK492" s="11">
        <f>IF(tblOrdenes[[#This Row],[orden]]="","",tblOrdenes[[#This Row],[costo_servicio]]+tblOrdenes[[#This Row],[costo_materiales]])</f>
        <v/>
      </c>
      <c r="AL492" s="6" t="n"/>
      <c r="AM492" s="6" t="n"/>
      <c r="AN492" s="6" t="n"/>
      <c r="AO492" s="3">
        <f>IF(tblOrdenes[[#This Row],[link_checklist]]="","",HYPERLINK(p_ruta_base_checklists&amp;tblOrdenes[[#This Row],[link_checklist]],"abrir"))</f>
        <v/>
      </c>
      <c r="AP492" s="6" t="n"/>
      <c r="AQ492" s="3">
        <f>IF(tblOrdenes[[#This Row],[orden]]="","",tblOrdenes[[#This Row],[orden]]&amp;IF(tblOrdenes[[#This Row],[operacion]]="","0010",tblOrdenes[[#This Row],[operacion]]))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2" t="n"/>
      <c r="K493" s="3" t="n"/>
      <c r="L493" s="11" t="n"/>
      <c r="M4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3" s="3">
        <f>IF(tblOrdenes[[#This Row],[fecha_inicio]]="","",YEAR(tblOrdenes[[#This Row],[fecha_inicio]]))</f>
        <v/>
      </c>
      <c r="Q493" s="3">
        <f>IF(tblOrdenes[[#This Row],[fecha_inicio]]="","",MONTH(tblOrdenes[[#This Row],[fecha_inicio]]))</f>
        <v/>
      </c>
      <c r="R493" s="3">
        <f>IF(tblOrdenes[[#This Row],[fecha_inicio]]="","",INDEX(lista_dias,WEEKDAY(tblOrdenes[[#This Row],[fecha_inicio]],2)))</f>
        <v/>
      </c>
      <c r="S4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3" s="3">
        <f>IF(tblOrdenes[[#This Row],[tipo_ot]]="","",_xlfn.XLOOKUP(tblOrdenes[[#This Row],[tipo_ot]],tblTiposOT[codigo],tblTiposOT[clasificacion],"sin_clasificar"))</f>
        <v/>
      </c>
      <c r="U493" s="3">
        <f>IF(tblOrdenes[[#This Row],[centro_costo]]="","",_xlfn.XLOOKUP(tblOrdenes[[#This Row],[centro_costo]],tblCECO[codigo],tblCECO[linea],"(sin catálogo)"))</f>
        <v/>
      </c>
      <c r="V493" s="3">
        <f>IF(tblOrdenes[[#This Row],[centro_costo]]="","",_xlfn.XLOOKUP(tblOrdenes[[#This Row],[centro_costo]],tblCECO[codigo],tblCECO[area],"(sin catálogo)"))</f>
        <v/>
      </c>
      <c r="W4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3" s="3">
        <f>IF(tblOrdenes[[#This Row],[centro_costo]]="","",_xlfn.XLOOKUP(tblOrdenes[[#This Row],[centro_costo]],tblCECO[codigo],tblCECO[coordinador],"(sin catálogo)"))</f>
        <v/>
      </c>
      <c r="Y493" s="3">
        <f>IF(tblOrdenes[[#This Row],[puesto_trabajo]]="","",_xlfn.XLOOKUP(tblOrdenes[[#This Row],[puesto_trabajo]],tblPuestos[codigo],tblPuestos[especialidad],"(sin catálogo)"))</f>
        <v/>
      </c>
      <c r="Z493" s="3">
        <f>IF(tblOrdenes[[#This Row],[cod_actividad]]="","",_xlfn.XLOOKUP(tblOrdenes[[#This Row],[cod_actividad]],tblActividades[codigo],tblActividades[descripcion],"(sin catálogo)"))</f>
        <v/>
      </c>
      <c r="AA493" s="13">
        <f>IF(tblOrdenes[[#This Row],[fecha_inicio]]="","",TODAY()-tblOrdenes[[#This Row],[fecha_inicio]])</f>
        <v/>
      </c>
      <c r="AB4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3" s="3">
        <f>IF(tblOrdenes[[#This Row],[backlog_habiles]]="","",IF(tblOrdenes[[#This Row],[backlog_habiles]]&lt;0,"FUTURO",IF(tblOrdenes[[#This Row],[backlog_habiles]]&gt;p_dias_backlog_max,"BACKLOG","MES CORRIENTE")))</f>
        <v/>
      </c>
      <c r="AD493" s="3">
        <f>IF(tblOrdenes[[#This Row],[backlog_habiles]]="",FALSE,AND(tblOrdenes[[#This Row],[backlog_habiles]]&gt;p_dias_backlog_min,tblOrdenes[[#This Row],[backlog_habiles]]&lt;=p_dias_backlog_max))</f>
        <v/>
      </c>
      <c r="AE493" s="6" t="n"/>
      <c r="AF4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3" s="11">
        <f>IF(tblOrdenes[[#This Row],[orden]]="","",_xlfn.XLOOKUP(tblOrdenes[[#This Row],[id_operacion]],tblEjecucion[id_operacion],tblEjecucion[precio],0))</f>
        <v/>
      </c>
      <c r="AJ493" s="11">
        <f>IF(tblOrdenes[[#This Row],[orden]]="","",MAX(0,_xlfn.XLOOKUP(tblOrdenes[[#This Row],[id_operacion]],tblEjecucion[id_operacion],tblEjecucion[costo_plan_total],0)-tblOrdenes[[#This Row],[costo_servicio]]))</f>
        <v/>
      </c>
      <c r="AK493" s="11">
        <f>IF(tblOrdenes[[#This Row],[orden]]="","",tblOrdenes[[#This Row],[costo_servicio]]+tblOrdenes[[#This Row],[costo_materiales]])</f>
        <v/>
      </c>
      <c r="AL493" s="6" t="n"/>
      <c r="AM493" s="6" t="n"/>
      <c r="AN493" s="6" t="n"/>
      <c r="AO493" s="3">
        <f>IF(tblOrdenes[[#This Row],[link_checklist]]="","",HYPERLINK(p_ruta_base_checklists&amp;tblOrdenes[[#This Row],[link_checklist]],"abrir"))</f>
        <v/>
      </c>
      <c r="AP493" s="6" t="n"/>
      <c r="AQ493" s="3">
        <f>IF(tblOrdenes[[#This Row],[orden]]="","",tblOrdenes[[#This Row],[orden]]&amp;IF(tblOrdenes[[#This Row],[operacion]]="","0010",tblOrdenes[[#This Row],[operacion]]))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2" t="n"/>
      <c r="K494" s="3" t="n"/>
      <c r="L494" s="11" t="n"/>
      <c r="M4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4" s="3">
        <f>IF(tblOrdenes[[#This Row],[fecha_inicio]]="","",YEAR(tblOrdenes[[#This Row],[fecha_inicio]]))</f>
        <v/>
      </c>
      <c r="Q494" s="3">
        <f>IF(tblOrdenes[[#This Row],[fecha_inicio]]="","",MONTH(tblOrdenes[[#This Row],[fecha_inicio]]))</f>
        <v/>
      </c>
      <c r="R494" s="3">
        <f>IF(tblOrdenes[[#This Row],[fecha_inicio]]="","",INDEX(lista_dias,WEEKDAY(tblOrdenes[[#This Row],[fecha_inicio]],2)))</f>
        <v/>
      </c>
      <c r="S4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4" s="3">
        <f>IF(tblOrdenes[[#This Row],[tipo_ot]]="","",_xlfn.XLOOKUP(tblOrdenes[[#This Row],[tipo_ot]],tblTiposOT[codigo],tblTiposOT[clasificacion],"sin_clasificar"))</f>
        <v/>
      </c>
      <c r="U494" s="3">
        <f>IF(tblOrdenes[[#This Row],[centro_costo]]="","",_xlfn.XLOOKUP(tblOrdenes[[#This Row],[centro_costo]],tblCECO[codigo],tblCECO[linea],"(sin catálogo)"))</f>
        <v/>
      </c>
      <c r="V494" s="3">
        <f>IF(tblOrdenes[[#This Row],[centro_costo]]="","",_xlfn.XLOOKUP(tblOrdenes[[#This Row],[centro_costo]],tblCECO[codigo],tblCECO[area],"(sin catálogo)"))</f>
        <v/>
      </c>
      <c r="W4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4" s="3">
        <f>IF(tblOrdenes[[#This Row],[centro_costo]]="","",_xlfn.XLOOKUP(tblOrdenes[[#This Row],[centro_costo]],tblCECO[codigo],tblCECO[coordinador],"(sin catálogo)"))</f>
        <v/>
      </c>
      <c r="Y494" s="3">
        <f>IF(tblOrdenes[[#This Row],[puesto_trabajo]]="","",_xlfn.XLOOKUP(tblOrdenes[[#This Row],[puesto_trabajo]],tblPuestos[codigo],tblPuestos[especialidad],"(sin catálogo)"))</f>
        <v/>
      </c>
      <c r="Z494" s="3">
        <f>IF(tblOrdenes[[#This Row],[cod_actividad]]="","",_xlfn.XLOOKUP(tblOrdenes[[#This Row],[cod_actividad]],tblActividades[codigo],tblActividades[descripcion],"(sin catálogo)"))</f>
        <v/>
      </c>
      <c r="AA494" s="13">
        <f>IF(tblOrdenes[[#This Row],[fecha_inicio]]="","",TODAY()-tblOrdenes[[#This Row],[fecha_inicio]])</f>
        <v/>
      </c>
      <c r="AB4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4" s="3">
        <f>IF(tblOrdenes[[#This Row],[backlog_habiles]]="","",IF(tblOrdenes[[#This Row],[backlog_habiles]]&lt;0,"FUTURO",IF(tblOrdenes[[#This Row],[backlog_habiles]]&gt;p_dias_backlog_max,"BACKLOG","MES CORRIENTE")))</f>
        <v/>
      </c>
      <c r="AD494" s="3">
        <f>IF(tblOrdenes[[#This Row],[backlog_habiles]]="",FALSE,AND(tblOrdenes[[#This Row],[backlog_habiles]]&gt;p_dias_backlog_min,tblOrdenes[[#This Row],[backlog_habiles]]&lt;=p_dias_backlog_max))</f>
        <v/>
      </c>
      <c r="AE494" s="6" t="n"/>
      <c r="AF4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4" s="11">
        <f>IF(tblOrdenes[[#This Row],[orden]]="","",_xlfn.XLOOKUP(tblOrdenes[[#This Row],[id_operacion]],tblEjecucion[id_operacion],tblEjecucion[precio],0))</f>
        <v/>
      </c>
      <c r="AJ494" s="11">
        <f>IF(tblOrdenes[[#This Row],[orden]]="","",MAX(0,_xlfn.XLOOKUP(tblOrdenes[[#This Row],[id_operacion]],tblEjecucion[id_operacion],tblEjecucion[costo_plan_total],0)-tblOrdenes[[#This Row],[costo_servicio]]))</f>
        <v/>
      </c>
      <c r="AK494" s="11">
        <f>IF(tblOrdenes[[#This Row],[orden]]="","",tblOrdenes[[#This Row],[costo_servicio]]+tblOrdenes[[#This Row],[costo_materiales]])</f>
        <v/>
      </c>
      <c r="AL494" s="6" t="n"/>
      <c r="AM494" s="6" t="n"/>
      <c r="AN494" s="6" t="n"/>
      <c r="AO494" s="3">
        <f>IF(tblOrdenes[[#This Row],[link_checklist]]="","",HYPERLINK(p_ruta_base_checklists&amp;tblOrdenes[[#This Row],[link_checklist]],"abrir"))</f>
        <v/>
      </c>
      <c r="AP494" s="6" t="n"/>
      <c r="AQ494" s="3">
        <f>IF(tblOrdenes[[#This Row],[orden]]="","",tblOrdenes[[#This Row],[orden]]&amp;IF(tblOrdenes[[#This Row],[operacion]]="","0010",tblOrdenes[[#This Row],[operacion]]))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2" t="n"/>
      <c r="K495" s="3" t="n"/>
      <c r="L495" s="11" t="n"/>
      <c r="M4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5" s="3">
        <f>IF(tblOrdenes[[#This Row],[fecha_inicio]]="","",YEAR(tblOrdenes[[#This Row],[fecha_inicio]]))</f>
        <v/>
      </c>
      <c r="Q495" s="3">
        <f>IF(tblOrdenes[[#This Row],[fecha_inicio]]="","",MONTH(tblOrdenes[[#This Row],[fecha_inicio]]))</f>
        <v/>
      </c>
      <c r="R495" s="3">
        <f>IF(tblOrdenes[[#This Row],[fecha_inicio]]="","",INDEX(lista_dias,WEEKDAY(tblOrdenes[[#This Row],[fecha_inicio]],2)))</f>
        <v/>
      </c>
      <c r="S4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5" s="3">
        <f>IF(tblOrdenes[[#This Row],[tipo_ot]]="","",_xlfn.XLOOKUP(tblOrdenes[[#This Row],[tipo_ot]],tblTiposOT[codigo],tblTiposOT[clasificacion],"sin_clasificar"))</f>
        <v/>
      </c>
      <c r="U495" s="3">
        <f>IF(tblOrdenes[[#This Row],[centro_costo]]="","",_xlfn.XLOOKUP(tblOrdenes[[#This Row],[centro_costo]],tblCECO[codigo],tblCECO[linea],"(sin catálogo)"))</f>
        <v/>
      </c>
      <c r="V495" s="3">
        <f>IF(tblOrdenes[[#This Row],[centro_costo]]="","",_xlfn.XLOOKUP(tblOrdenes[[#This Row],[centro_costo]],tblCECO[codigo],tblCECO[area],"(sin catálogo)"))</f>
        <v/>
      </c>
      <c r="W4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5" s="3">
        <f>IF(tblOrdenes[[#This Row],[centro_costo]]="","",_xlfn.XLOOKUP(tblOrdenes[[#This Row],[centro_costo]],tblCECO[codigo],tblCECO[coordinador],"(sin catálogo)"))</f>
        <v/>
      </c>
      <c r="Y495" s="3">
        <f>IF(tblOrdenes[[#This Row],[puesto_trabajo]]="","",_xlfn.XLOOKUP(tblOrdenes[[#This Row],[puesto_trabajo]],tblPuestos[codigo],tblPuestos[especialidad],"(sin catálogo)"))</f>
        <v/>
      </c>
      <c r="Z495" s="3">
        <f>IF(tblOrdenes[[#This Row],[cod_actividad]]="","",_xlfn.XLOOKUP(tblOrdenes[[#This Row],[cod_actividad]],tblActividades[codigo],tblActividades[descripcion],"(sin catálogo)"))</f>
        <v/>
      </c>
      <c r="AA495" s="13">
        <f>IF(tblOrdenes[[#This Row],[fecha_inicio]]="","",TODAY()-tblOrdenes[[#This Row],[fecha_inicio]])</f>
        <v/>
      </c>
      <c r="AB4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5" s="3">
        <f>IF(tblOrdenes[[#This Row],[backlog_habiles]]="","",IF(tblOrdenes[[#This Row],[backlog_habiles]]&lt;0,"FUTURO",IF(tblOrdenes[[#This Row],[backlog_habiles]]&gt;p_dias_backlog_max,"BACKLOG","MES CORRIENTE")))</f>
        <v/>
      </c>
      <c r="AD495" s="3">
        <f>IF(tblOrdenes[[#This Row],[backlog_habiles]]="",FALSE,AND(tblOrdenes[[#This Row],[backlog_habiles]]&gt;p_dias_backlog_min,tblOrdenes[[#This Row],[backlog_habiles]]&lt;=p_dias_backlog_max))</f>
        <v/>
      </c>
      <c r="AE495" s="6" t="n"/>
      <c r="AF4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5" s="11">
        <f>IF(tblOrdenes[[#This Row],[orden]]="","",_xlfn.XLOOKUP(tblOrdenes[[#This Row],[id_operacion]],tblEjecucion[id_operacion],tblEjecucion[precio],0))</f>
        <v/>
      </c>
      <c r="AJ495" s="11">
        <f>IF(tblOrdenes[[#This Row],[orden]]="","",MAX(0,_xlfn.XLOOKUP(tblOrdenes[[#This Row],[id_operacion]],tblEjecucion[id_operacion],tblEjecucion[costo_plan_total],0)-tblOrdenes[[#This Row],[costo_servicio]]))</f>
        <v/>
      </c>
      <c r="AK495" s="11">
        <f>IF(tblOrdenes[[#This Row],[orden]]="","",tblOrdenes[[#This Row],[costo_servicio]]+tblOrdenes[[#This Row],[costo_materiales]])</f>
        <v/>
      </c>
      <c r="AL495" s="6" t="n"/>
      <c r="AM495" s="6" t="n"/>
      <c r="AN495" s="6" t="n"/>
      <c r="AO495" s="3">
        <f>IF(tblOrdenes[[#This Row],[link_checklist]]="","",HYPERLINK(p_ruta_base_checklists&amp;tblOrdenes[[#This Row],[link_checklist]],"abrir"))</f>
        <v/>
      </c>
      <c r="AP495" s="6" t="n"/>
      <c r="AQ495" s="3">
        <f>IF(tblOrdenes[[#This Row],[orden]]="","",tblOrdenes[[#This Row],[orden]]&amp;IF(tblOrdenes[[#This Row],[operacion]]="","0010",tblOrdenes[[#This Row],[operacion]]))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2" t="n"/>
      <c r="K496" s="3" t="n"/>
      <c r="L496" s="11" t="n"/>
      <c r="M4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6" s="3">
        <f>IF(tblOrdenes[[#This Row],[fecha_inicio]]="","",YEAR(tblOrdenes[[#This Row],[fecha_inicio]]))</f>
        <v/>
      </c>
      <c r="Q496" s="3">
        <f>IF(tblOrdenes[[#This Row],[fecha_inicio]]="","",MONTH(tblOrdenes[[#This Row],[fecha_inicio]]))</f>
        <v/>
      </c>
      <c r="R496" s="3">
        <f>IF(tblOrdenes[[#This Row],[fecha_inicio]]="","",INDEX(lista_dias,WEEKDAY(tblOrdenes[[#This Row],[fecha_inicio]],2)))</f>
        <v/>
      </c>
      <c r="S4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6" s="3">
        <f>IF(tblOrdenes[[#This Row],[tipo_ot]]="","",_xlfn.XLOOKUP(tblOrdenes[[#This Row],[tipo_ot]],tblTiposOT[codigo],tblTiposOT[clasificacion],"sin_clasificar"))</f>
        <v/>
      </c>
      <c r="U496" s="3">
        <f>IF(tblOrdenes[[#This Row],[centro_costo]]="","",_xlfn.XLOOKUP(tblOrdenes[[#This Row],[centro_costo]],tblCECO[codigo],tblCECO[linea],"(sin catálogo)"))</f>
        <v/>
      </c>
      <c r="V496" s="3">
        <f>IF(tblOrdenes[[#This Row],[centro_costo]]="","",_xlfn.XLOOKUP(tblOrdenes[[#This Row],[centro_costo]],tblCECO[codigo],tblCECO[area],"(sin catálogo)"))</f>
        <v/>
      </c>
      <c r="W4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6" s="3">
        <f>IF(tblOrdenes[[#This Row],[centro_costo]]="","",_xlfn.XLOOKUP(tblOrdenes[[#This Row],[centro_costo]],tblCECO[codigo],tblCECO[coordinador],"(sin catálogo)"))</f>
        <v/>
      </c>
      <c r="Y496" s="3">
        <f>IF(tblOrdenes[[#This Row],[puesto_trabajo]]="","",_xlfn.XLOOKUP(tblOrdenes[[#This Row],[puesto_trabajo]],tblPuestos[codigo],tblPuestos[especialidad],"(sin catálogo)"))</f>
        <v/>
      </c>
      <c r="Z496" s="3">
        <f>IF(tblOrdenes[[#This Row],[cod_actividad]]="","",_xlfn.XLOOKUP(tblOrdenes[[#This Row],[cod_actividad]],tblActividades[codigo],tblActividades[descripcion],"(sin catálogo)"))</f>
        <v/>
      </c>
      <c r="AA496" s="13">
        <f>IF(tblOrdenes[[#This Row],[fecha_inicio]]="","",TODAY()-tblOrdenes[[#This Row],[fecha_inicio]])</f>
        <v/>
      </c>
      <c r="AB4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6" s="3">
        <f>IF(tblOrdenes[[#This Row],[backlog_habiles]]="","",IF(tblOrdenes[[#This Row],[backlog_habiles]]&lt;0,"FUTURO",IF(tblOrdenes[[#This Row],[backlog_habiles]]&gt;p_dias_backlog_max,"BACKLOG","MES CORRIENTE")))</f>
        <v/>
      </c>
      <c r="AD496" s="3">
        <f>IF(tblOrdenes[[#This Row],[backlog_habiles]]="",FALSE,AND(tblOrdenes[[#This Row],[backlog_habiles]]&gt;p_dias_backlog_min,tblOrdenes[[#This Row],[backlog_habiles]]&lt;=p_dias_backlog_max))</f>
        <v/>
      </c>
      <c r="AE496" s="6" t="n"/>
      <c r="AF4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6" s="11">
        <f>IF(tblOrdenes[[#This Row],[orden]]="","",_xlfn.XLOOKUP(tblOrdenes[[#This Row],[id_operacion]],tblEjecucion[id_operacion],tblEjecucion[precio],0))</f>
        <v/>
      </c>
      <c r="AJ496" s="11">
        <f>IF(tblOrdenes[[#This Row],[orden]]="","",MAX(0,_xlfn.XLOOKUP(tblOrdenes[[#This Row],[id_operacion]],tblEjecucion[id_operacion],tblEjecucion[costo_plan_total],0)-tblOrdenes[[#This Row],[costo_servicio]]))</f>
        <v/>
      </c>
      <c r="AK496" s="11">
        <f>IF(tblOrdenes[[#This Row],[orden]]="","",tblOrdenes[[#This Row],[costo_servicio]]+tblOrdenes[[#This Row],[costo_materiales]])</f>
        <v/>
      </c>
      <c r="AL496" s="6" t="n"/>
      <c r="AM496" s="6" t="n"/>
      <c r="AN496" s="6" t="n"/>
      <c r="AO496" s="3">
        <f>IF(tblOrdenes[[#This Row],[link_checklist]]="","",HYPERLINK(p_ruta_base_checklists&amp;tblOrdenes[[#This Row],[link_checklist]],"abrir"))</f>
        <v/>
      </c>
      <c r="AP496" s="6" t="n"/>
      <c r="AQ496" s="3">
        <f>IF(tblOrdenes[[#This Row],[orden]]="","",tblOrdenes[[#This Row],[orden]]&amp;IF(tblOrdenes[[#This Row],[operacion]]="","0010",tblOrdenes[[#This Row],[operacion]]))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2" t="n"/>
      <c r="K497" s="3" t="n"/>
      <c r="L497" s="11" t="n"/>
      <c r="M4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7" s="3">
        <f>IF(tblOrdenes[[#This Row],[fecha_inicio]]="","",YEAR(tblOrdenes[[#This Row],[fecha_inicio]]))</f>
        <v/>
      </c>
      <c r="Q497" s="3">
        <f>IF(tblOrdenes[[#This Row],[fecha_inicio]]="","",MONTH(tblOrdenes[[#This Row],[fecha_inicio]]))</f>
        <v/>
      </c>
      <c r="R497" s="3">
        <f>IF(tblOrdenes[[#This Row],[fecha_inicio]]="","",INDEX(lista_dias,WEEKDAY(tblOrdenes[[#This Row],[fecha_inicio]],2)))</f>
        <v/>
      </c>
      <c r="S4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7" s="3">
        <f>IF(tblOrdenes[[#This Row],[tipo_ot]]="","",_xlfn.XLOOKUP(tblOrdenes[[#This Row],[tipo_ot]],tblTiposOT[codigo],tblTiposOT[clasificacion],"sin_clasificar"))</f>
        <v/>
      </c>
      <c r="U497" s="3">
        <f>IF(tblOrdenes[[#This Row],[centro_costo]]="","",_xlfn.XLOOKUP(tblOrdenes[[#This Row],[centro_costo]],tblCECO[codigo],tblCECO[linea],"(sin catálogo)"))</f>
        <v/>
      </c>
      <c r="V497" s="3">
        <f>IF(tblOrdenes[[#This Row],[centro_costo]]="","",_xlfn.XLOOKUP(tblOrdenes[[#This Row],[centro_costo]],tblCECO[codigo],tblCECO[area],"(sin catálogo)"))</f>
        <v/>
      </c>
      <c r="W4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7" s="3">
        <f>IF(tblOrdenes[[#This Row],[centro_costo]]="","",_xlfn.XLOOKUP(tblOrdenes[[#This Row],[centro_costo]],tblCECO[codigo],tblCECO[coordinador],"(sin catálogo)"))</f>
        <v/>
      </c>
      <c r="Y497" s="3">
        <f>IF(tblOrdenes[[#This Row],[puesto_trabajo]]="","",_xlfn.XLOOKUP(tblOrdenes[[#This Row],[puesto_trabajo]],tblPuestos[codigo],tblPuestos[especialidad],"(sin catálogo)"))</f>
        <v/>
      </c>
      <c r="Z497" s="3">
        <f>IF(tblOrdenes[[#This Row],[cod_actividad]]="","",_xlfn.XLOOKUP(tblOrdenes[[#This Row],[cod_actividad]],tblActividades[codigo],tblActividades[descripcion],"(sin catálogo)"))</f>
        <v/>
      </c>
      <c r="AA497" s="13">
        <f>IF(tblOrdenes[[#This Row],[fecha_inicio]]="","",TODAY()-tblOrdenes[[#This Row],[fecha_inicio]])</f>
        <v/>
      </c>
      <c r="AB4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7" s="3">
        <f>IF(tblOrdenes[[#This Row],[backlog_habiles]]="","",IF(tblOrdenes[[#This Row],[backlog_habiles]]&lt;0,"FUTURO",IF(tblOrdenes[[#This Row],[backlog_habiles]]&gt;p_dias_backlog_max,"BACKLOG","MES CORRIENTE")))</f>
        <v/>
      </c>
      <c r="AD497" s="3">
        <f>IF(tblOrdenes[[#This Row],[backlog_habiles]]="",FALSE,AND(tblOrdenes[[#This Row],[backlog_habiles]]&gt;p_dias_backlog_min,tblOrdenes[[#This Row],[backlog_habiles]]&lt;=p_dias_backlog_max))</f>
        <v/>
      </c>
      <c r="AE497" s="6" t="n"/>
      <c r="AF4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7" s="11">
        <f>IF(tblOrdenes[[#This Row],[orden]]="","",_xlfn.XLOOKUP(tblOrdenes[[#This Row],[id_operacion]],tblEjecucion[id_operacion],tblEjecucion[precio],0))</f>
        <v/>
      </c>
      <c r="AJ497" s="11">
        <f>IF(tblOrdenes[[#This Row],[orden]]="","",MAX(0,_xlfn.XLOOKUP(tblOrdenes[[#This Row],[id_operacion]],tblEjecucion[id_operacion],tblEjecucion[costo_plan_total],0)-tblOrdenes[[#This Row],[costo_servicio]]))</f>
        <v/>
      </c>
      <c r="AK497" s="11">
        <f>IF(tblOrdenes[[#This Row],[orden]]="","",tblOrdenes[[#This Row],[costo_servicio]]+tblOrdenes[[#This Row],[costo_materiales]])</f>
        <v/>
      </c>
      <c r="AL497" s="6" t="n"/>
      <c r="AM497" s="6" t="n"/>
      <c r="AN497" s="6" t="n"/>
      <c r="AO497" s="3">
        <f>IF(tblOrdenes[[#This Row],[link_checklist]]="","",HYPERLINK(p_ruta_base_checklists&amp;tblOrdenes[[#This Row],[link_checklist]],"abrir"))</f>
        <v/>
      </c>
      <c r="AP497" s="6" t="n"/>
      <c r="AQ497" s="3">
        <f>IF(tblOrdenes[[#This Row],[orden]]="","",tblOrdenes[[#This Row],[orden]]&amp;IF(tblOrdenes[[#This Row],[operacion]]="","0010",tblOrdenes[[#This Row],[operacion]]))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2" t="n"/>
      <c r="K498" s="3" t="n"/>
      <c r="L498" s="11" t="n"/>
      <c r="M4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8" s="3">
        <f>IF(tblOrdenes[[#This Row],[fecha_inicio]]="","",YEAR(tblOrdenes[[#This Row],[fecha_inicio]]))</f>
        <v/>
      </c>
      <c r="Q498" s="3">
        <f>IF(tblOrdenes[[#This Row],[fecha_inicio]]="","",MONTH(tblOrdenes[[#This Row],[fecha_inicio]]))</f>
        <v/>
      </c>
      <c r="R498" s="3">
        <f>IF(tblOrdenes[[#This Row],[fecha_inicio]]="","",INDEX(lista_dias,WEEKDAY(tblOrdenes[[#This Row],[fecha_inicio]],2)))</f>
        <v/>
      </c>
      <c r="S4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8" s="3">
        <f>IF(tblOrdenes[[#This Row],[tipo_ot]]="","",_xlfn.XLOOKUP(tblOrdenes[[#This Row],[tipo_ot]],tblTiposOT[codigo],tblTiposOT[clasificacion],"sin_clasificar"))</f>
        <v/>
      </c>
      <c r="U498" s="3">
        <f>IF(tblOrdenes[[#This Row],[centro_costo]]="","",_xlfn.XLOOKUP(tblOrdenes[[#This Row],[centro_costo]],tblCECO[codigo],tblCECO[linea],"(sin catálogo)"))</f>
        <v/>
      </c>
      <c r="V498" s="3">
        <f>IF(tblOrdenes[[#This Row],[centro_costo]]="","",_xlfn.XLOOKUP(tblOrdenes[[#This Row],[centro_costo]],tblCECO[codigo],tblCECO[area],"(sin catálogo)"))</f>
        <v/>
      </c>
      <c r="W4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8" s="3">
        <f>IF(tblOrdenes[[#This Row],[centro_costo]]="","",_xlfn.XLOOKUP(tblOrdenes[[#This Row],[centro_costo]],tblCECO[codigo],tblCECO[coordinador],"(sin catálogo)"))</f>
        <v/>
      </c>
      <c r="Y498" s="3">
        <f>IF(tblOrdenes[[#This Row],[puesto_trabajo]]="","",_xlfn.XLOOKUP(tblOrdenes[[#This Row],[puesto_trabajo]],tblPuestos[codigo],tblPuestos[especialidad],"(sin catálogo)"))</f>
        <v/>
      </c>
      <c r="Z498" s="3">
        <f>IF(tblOrdenes[[#This Row],[cod_actividad]]="","",_xlfn.XLOOKUP(tblOrdenes[[#This Row],[cod_actividad]],tblActividades[codigo],tblActividades[descripcion],"(sin catálogo)"))</f>
        <v/>
      </c>
      <c r="AA498" s="13">
        <f>IF(tblOrdenes[[#This Row],[fecha_inicio]]="","",TODAY()-tblOrdenes[[#This Row],[fecha_inicio]])</f>
        <v/>
      </c>
      <c r="AB4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8" s="3">
        <f>IF(tblOrdenes[[#This Row],[backlog_habiles]]="","",IF(tblOrdenes[[#This Row],[backlog_habiles]]&lt;0,"FUTURO",IF(tblOrdenes[[#This Row],[backlog_habiles]]&gt;p_dias_backlog_max,"BACKLOG","MES CORRIENTE")))</f>
        <v/>
      </c>
      <c r="AD498" s="3">
        <f>IF(tblOrdenes[[#This Row],[backlog_habiles]]="",FALSE,AND(tblOrdenes[[#This Row],[backlog_habiles]]&gt;p_dias_backlog_min,tblOrdenes[[#This Row],[backlog_habiles]]&lt;=p_dias_backlog_max))</f>
        <v/>
      </c>
      <c r="AE498" s="6" t="n"/>
      <c r="AF4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8" s="11">
        <f>IF(tblOrdenes[[#This Row],[orden]]="","",_xlfn.XLOOKUP(tblOrdenes[[#This Row],[id_operacion]],tblEjecucion[id_operacion],tblEjecucion[precio],0))</f>
        <v/>
      </c>
      <c r="AJ498" s="11">
        <f>IF(tblOrdenes[[#This Row],[orden]]="","",MAX(0,_xlfn.XLOOKUP(tblOrdenes[[#This Row],[id_operacion]],tblEjecucion[id_operacion],tblEjecucion[costo_plan_total],0)-tblOrdenes[[#This Row],[costo_servicio]]))</f>
        <v/>
      </c>
      <c r="AK498" s="11">
        <f>IF(tblOrdenes[[#This Row],[orden]]="","",tblOrdenes[[#This Row],[costo_servicio]]+tblOrdenes[[#This Row],[costo_materiales]])</f>
        <v/>
      </c>
      <c r="AL498" s="6" t="n"/>
      <c r="AM498" s="6" t="n"/>
      <c r="AN498" s="6" t="n"/>
      <c r="AO498" s="3">
        <f>IF(tblOrdenes[[#This Row],[link_checklist]]="","",HYPERLINK(p_ruta_base_checklists&amp;tblOrdenes[[#This Row],[link_checklist]],"abrir"))</f>
        <v/>
      </c>
      <c r="AP498" s="6" t="n"/>
      <c r="AQ498" s="3">
        <f>IF(tblOrdenes[[#This Row],[orden]]="","",tblOrdenes[[#This Row],[orden]]&amp;IF(tblOrdenes[[#This Row],[operacion]]="","0010",tblOrdenes[[#This Row],[operacion]]))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2" t="n"/>
      <c r="K499" s="3" t="n"/>
      <c r="L499" s="11" t="n"/>
      <c r="M4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9" s="3">
        <f>IF(tblOrdenes[[#This Row],[fecha_inicio]]="","",YEAR(tblOrdenes[[#This Row],[fecha_inicio]]))</f>
        <v/>
      </c>
      <c r="Q499" s="3">
        <f>IF(tblOrdenes[[#This Row],[fecha_inicio]]="","",MONTH(tblOrdenes[[#This Row],[fecha_inicio]]))</f>
        <v/>
      </c>
      <c r="R499" s="3">
        <f>IF(tblOrdenes[[#This Row],[fecha_inicio]]="","",INDEX(lista_dias,WEEKDAY(tblOrdenes[[#This Row],[fecha_inicio]],2)))</f>
        <v/>
      </c>
      <c r="S4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9" s="3">
        <f>IF(tblOrdenes[[#This Row],[tipo_ot]]="","",_xlfn.XLOOKUP(tblOrdenes[[#This Row],[tipo_ot]],tblTiposOT[codigo],tblTiposOT[clasificacion],"sin_clasificar"))</f>
        <v/>
      </c>
      <c r="U499" s="3">
        <f>IF(tblOrdenes[[#This Row],[centro_costo]]="","",_xlfn.XLOOKUP(tblOrdenes[[#This Row],[centro_costo]],tblCECO[codigo],tblCECO[linea],"(sin catálogo)"))</f>
        <v/>
      </c>
      <c r="V499" s="3">
        <f>IF(tblOrdenes[[#This Row],[centro_costo]]="","",_xlfn.XLOOKUP(tblOrdenes[[#This Row],[centro_costo]],tblCECO[codigo],tblCECO[area],"(sin catálogo)"))</f>
        <v/>
      </c>
      <c r="W4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9" s="3">
        <f>IF(tblOrdenes[[#This Row],[centro_costo]]="","",_xlfn.XLOOKUP(tblOrdenes[[#This Row],[centro_costo]],tblCECO[codigo],tblCECO[coordinador],"(sin catálogo)"))</f>
        <v/>
      </c>
      <c r="Y499" s="3">
        <f>IF(tblOrdenes[[#This Row],[puesto_trabajo]]="","",_xlfn.XLOOKUP(tblOrdenes[[#This Row],[puesto_trabajo]],tblPuestos[codigo],tblPuestos[especialidad],"(sin catálogo)"))</f>
        <v/>
      </c>
      <c r="Z499" s="3">
        <f>IF(tblOrdenes[[#This Row],[cod_actividad]]="","",_xlfn.XLOOKUP(tblOrdenes[[#This Row],[cod_actividad]],tblActividades[codigo],tblActividades[descripcion],"(sin catálogo)"))</f>
        <v/>
      </c>
      <c r="AA499" s="13">
        <f>IF(tblOrdenes[[#This Row],[fecha_inicio]]="","",TODAY()-tblOrdenes[[#This Row],[fecha_inicio]])</f>
        <v/>
      </c>
      <c r="AB4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9" s="3">
        <f>IF(tblOrdenes[[#This Row],[backlog_habiles]]="","",IF(tblOrdenes[[#This Row],[backlog_habiles]]&lt;0,"FUTURO",IF(tblOrdenes[[#This Row],[backlog_habiles]]&gt;p_dias_backlog_max,"BACKLOG","MES CORRIENTE")))</f>
        <v/>
      </c>
      <c r="AD499" s="3">
        <f>IF(tblOrdenes[[#This Row],[backlog_habiles]]="",FALSE,AND(tblOrdenes[[#This Row],[backlog_habiles]]&gt;p_dias_backlog_min,tblOrdenes[[#This Row],[backlog_habiles]]&lt;=p_dias_backlog_max))</f>
        <v/>
      </c>
      <c r="AE499" s="6" t="n"/>
      <c r="AF4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9" s="11">
        <f>IF(tblOrdenes[[#This Row],[orden]]="","",_xlfn.XLOOKUP(tblOrdenes[[#This Row],[id_operacion]],tblEjecucion[id_operacion],tblEjecucion[precio],0))</f>
        <v/>
      </c>
      <c r="AJ499" s="11">
        <f>IF(tblOrdenes[[#This Row],[orden]]="","",MAX(0,_xlfn.XLOOKUP(tblOrdenes[[#This Row],[id_operacion]],tblEjecucion[id_operacion],tblEjecucion[costo_plan_total],0)-tblOrdenes[[#This Row],[costo_servicio]]))</f>
        <v/>
      </c>
      <c r="AK499" s="11">
        <f>IF(tblOrdenes[[#This Row],[orden]]="","",tblOrdenes[[#This Row],[costo_servicio]]+tblOrdenes[[#This Row],[costo_materiales]])</f>
        <v/>
      </c>
      <c r="AL499" s="6" t="n"/>
      <c r="AM499" s="6" t="n"/>
      <c r="AN499" s="6" t="n"/>
      <c r="AO499" s="3">
        <f>IF(tblOrdenes[[#This Row],[link_checklist]]="","",HYPERLINK(p_ruta_base_checklists&amp;tblOrdenes[[#This Row],[link_checklist]],"abrir"))</f>
        <v/>
      </c>
      <c r="AP499" s="6" t="n"/>
      <c r="AQ499" s="3">
        <f>IF(tblOrdenes[[#This Row],[orden]]="","",tblOrdenes[[#This Row],[orden]]&amp;IF(tblOrdenes[[#This Row],[operacion]]="","0010",tblOrdenes[[#This Row],[operacion]]))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2" t="n"/>
      <c r="K500" s="3" t="n"/>
      <c r="L500" s="11" t="n"/>
      <c r="M5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0" s="3">
        <f>IF(tblOrdenes[[#This Row],[fecha_inicio]]="","",YEAR(tblOrdenes[[#This Row],[fecha_inicio]]))</f>
        <v/>
      </c>
      <c r="Q500" s="3">
        <f>IF(tblOrdenes[[#This Row],[fecha_inicio]]="","",MONTH(tblOrdenes[[#This Row],[fecha_inicio]]))</f>
        <v/>
      </c>
      <c r="R500" s="3">
        <f>IF(tblOrdenes[[#This Row],[fecha_inicio]]="","",INDEX(lista_dias,WEEKDAY(tblOrdenes[[#This Row],[fecha_inicio]],2)))</f>
        <v/>
      </c>
      <c r="S5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0" s="3">
        <f>IF(tblOrdenes[[#This Row],[tipo_ot]]="","",_xlfn.XLOOKUP(tblOrdenes[[#This Row],[tipo_ot]],tblTiposOT[codigo],tblTiposOT[clasificacion],"sin_clasificar"))</f>
        <v/>
      </c>
      <c r="U500" s="3">
        <f>IF(tblOrdenes[[#This Row],[centro_costo]]="","",_xlfn.XLOOKUP(tblOrdenes[[#This Row],[centro_costo]],tblCECO[codigo],tblCECO[linea],"(sin catálogo)"))</f>
        <v/>
      </c>
      <c r="V500" s="3">
        <f>IF(tblOrdenes[[#This Row],[centro_costo]]="","",_xlfn.XLOOKUP(tblOrdenes[[#This Row],[centro_costo]],tblCECO[codigo],tblCECO[area],"(sin catálogo)"))</f>
        <v/>
      </c>
      <c r="W5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0" s="3">
        <f>IF(tblOrdenes[[#This Row],[centro_costo]]="","",_xlfn.XLOOKUP(tblOrdenes[[#This Row],[centro_costo]],tblCECO[codigo],tblCECO[coordinador],"(sin catálogo)"))</f>
        <v/>
      </c>
      <c r="Y500" s="3">
        <f>IF(tblOrdenes[[#This Row],[puesto_trabajo]]="","",_xlfn.XLOOKUP(tblOrdenes[[#This Row],[puesto_trabajo]],tblPuestos[codigo],tblPuestos[especialidad],"(sin catálogo)"))</f>
        <v/>
      </c>
      <c r="Z500" s="3">
        <f>IF(tblOrdenes[[#This Row],[cod_actividad]]="","",_xlfn.XLOOKUP(tblOrdenes[[#This Row],[cod_actividad]],tblActividades[codigo],tblActividades[descripcion],"(sin catálogo)"))</f>
        <v/>
      </c>
      <c r="AA500" s="13">
        <f>IF(tblOrdenes[[#This Row],[fecha_inicio]]="","",TODAY()-tblOrdenes[[#This Row],[fecha_inicio]])</f>
        <v/>
      </c>
      <c r="AB5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0" s="3">
        <f>IF(tblOrdenes[[#This Row],[backlog_habiles]]="","",IF(tblOrdenes[[#This Row],[backlog_habiles]]&lt;0,"FUTURO",IF(tblOrdenes[[#This Row],[backlog_habiles]]&gt;p_dias_backlog_max,"BACKLOG","MES CORRIENTE")))</f>
        <v/>
      </c>
      <c r="AD500" s="3">
        <f>IF(tblOrdenes[[#This Row],[backlog_habiles]]="",FALSE,AND(tblOrdenes[[#This Row],[backlog_habiles]]&gt;p_dias_backlog_min,tblOrdenes[[#This Row],[backlog_habiles]]&lt;=p_dias_backlog_max))</f>
        <v/>
      </c>
      <c r="AE500" s="6" t="n"/>
      <c r="AF5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0" s="11">
        <f>IF(tblOrdenes[[#This Row],[orden]]="","",_xlfn.XLOOKUP(tblOrdenes[[#This Row],[id_operacion]],tblEjecucion[id_operacion],tblEjecucion[precio],0))</f>
        <v/>
      </c>
      <c r="AJ500" s="11">
        <f>IF(tblOrdenes[[#This Row],[orden]]="","",MAX(0,_xlfn.XLOOKUP(tblOrdenes[[#This Row],[id_operacion]],tblEjecucion[id_operacion],tblEjecucion[costo_plan_total],0)-tblOrdenes[[#This Row],[costo_servicio]]))</f>
        <v/>
      </c>
      <c r="AK500" s="11">
        <f>IF(tblOrdenes[[#This Row],[orden]]="","",tblOrdenes[[#This Row],[costo_servicio]]+tblOrdenes[[#This Row],[costo_materiales]])</f>
        <v/>
      </c>
      <c r="AL500" s="6" t="n"/>
      <c r="AM500" s="6" t="n"/>
      <c r="AN500" s="6" t="n"/>
      <c r="AO500" s="3">
        <f>IF(tblOrdenes[[#This Row],[link_checklist]]="","",HYPERLINK(p_ruta_base_checklists&amp;tblOrdenes[[#This Row],[link_checklist]],"abrir"))</f>
        <v/>
      </c>
      <c r="AP500" s="6" t="n"/>
      <c r="AQ500" s="3">
        <f>IF(tblOrdenes[[#This Row],[orden]]="","",tblOrdenes[[#This Row],[orden]]&amp;IF(tblOrdenes[[#This Row],[operacion]]="","0010",tblOrdenes[[#This Row],[operacion]]))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2" t="n"/>
      <c r="K501" s="3" t="n"/>
      <c r="L501" s="11" t="n"/>
      <c r="M5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1" s="3">
        <f>IF(tblOrdenes[[#This Row],[fecha_inicio]]="","",YEAR(tblOrdenes[[#This Row],[fecha_inicio]]))</f>
        <v/>
      </c>
      <c r="Q501" s="3">
        <f>IF(tblOrdenes[[#This Row],[fecha_inicio]]="","",MONTH(tblOrdenes[[#This Row],[fecha_inicio]]))</f>
        <v/>
      </c>
      <c r="R501" s="3">
        <f>IF(tblOrdenes[[#This Row],[fecha_inicio]]="","",INDEX(lista_dias,WEEKDAY(tblOrdenes[[#This Row],[fecha_inicio]],2)))</f>
        <v/>
      </c>
      <c r="S5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1" s="3">
        <f>IF(tblOrdenes[[#This Row],[tipo_ot]]="","",_xlfn.XLOOKUP(tblOrdenes[[#This Row],[tipo_ot]],tblTiposOT[codigo],tblTiposOT[clasificacion],"sin_clasificar"))</f>
        <v/>
      </c>
      <c r="U501" s="3">
        <f>IF(tblOrdenes[[#This Row],[centro_costo]]="","",_xlfn.XLOOKUP(tblOrdenes[[#This Row],[centro_costo]],tblCECO[codigo],tblCECO[linea],"(sin catálogo)"))</f>
        <v/>
      </c>
      <c r="V501" s="3">
        <f>IF(tblOrdenes[[#This Row],[centro_costo]]="","",_xlfn.XLOOKUP(tblOrdenes[[#This Row],[centro_costo]],tblCECO[codigo],tblCECO[area],"(sin catálogo)"))</f>
        <v/>
      </c>
      <c r="W5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1" s="3">
        <f>IF(tblOrdenes[[#This Row],[centro_costo]]="","",_xlfn.XLOOKUP(tblOrdenes[[#This Row],[centro_costo]],tblCECO[codigo],tblCECO[coordinador],"(sin catálogo)"))</f>
        <v/>
      </c>
      <c r="Y501" s="3">
        <f>IF(tblOrdenes[[#This Row],[puesto_trabajo]]="","",_xlfn.XLOOKUP(tblOrdenes[[#This Row],[puesto_trabajo]],tblPuestos[codigo],tblPuestos[especialidad],"(sin catálogo)"))</f>
        <v/>
      </c>
      <c r="Z501" s="3">
        <f>IF(tblOrdenes[[#This Row],[cod_actividad]]="","",_xlfn.XLOOKUP(tblOrdenes[[#This Row],[cod_actividad]],tblActividades[codigo],tblActividades[descripcion],"(sin catálogo)"))</f>
        <v/>
      </c>
      <c r="AA501" s="13">
        <f>IF(tblOrdenes[[#This Row],[fecha_inicio]]="","",TODAY()-tblOrdenes[[#This Row],[fecha_inicio]])</f>
        <v/>
      </c>
      <c r="AB5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1" s="3">
        <f>IF(tblOrdenes[[#This Row],[backlog_habiles]]="","",IF(tblOrdenes[[#This Row],[backlog_habiles]]&lt;0,"FUTURO",IF(tblOrdenes[[#This Row],[backlog_habiles]]&gt;p_dias_backlog_max,"BACKLOG","MES CORRIENTE")))</f>
        <v/>
      </c>
      <c r="AD501" s="3">
        <f>IF(tblOrdenes[[#This Row],[backlog_habiles]]="",FALSE,AND(tblOrdenes[[#This Row],[backlog_habiles]]&gt;p_dias_backlog_min,tblOrdenes[[#This Row],[backlog_habiles]]&lt;=p_dias_backlog_max))</f>
        <v/>
      </c>
      <c r="AE501" s="6" t="n"/>
      <c r="AF5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1" s="11">
        <f>IF(tblOrdenes[[#This Row],[orden]]="","",_xlfn.XLOOKUP(tblOrdenes[[#This Row],[id_operacion]],tblEjecucion[id_operacion],tblEjecucion[precio],0))</f>
        <v/>
      </c>
      <c r="AJ501" s="11">
        <f>IF(tblOrdenes[[#This Row],[orden]]="","",MAX(0,_xlfn.XLOOKUP(tblOrdenes[[#This Row],[id_operacion]],tblEjecucion[id_operacion],tblEjecucion[costo_plan_total],0)-tblOrdenes[[#This Row],[costo_servicio]]))</f>
        <v/>
      </c>
      <c r="AK501" s="11">
        <f>IF(tblOrdenes[[#This Row],[orden]]="","",tblOrdenes[[#This Row],[costo_servicio]]+tblOrdenes[[#This Row],[costo_materiales]])</f>
        <v/>
      </c>
      <c r="AL501" s="6" t="n"/>
      <c r="AM501" s="6" t="n"/>
      <c r="AN501" s="6" t="n"/>
      <c r="AO501" s="3">
        <f>IF(tblOrdenes[[#This Row],[link_checklist]]="","",HYPERLINK(p_ruta_base_checklists&amp;tblOrdenes[[#This Row],[link_checklist]],"abrir"))</f>
        <v/>
      </c>
      <c r="AP501" s="6" t="n"/>
      <c r="AQ501" s="3">
        <f>IF(tblOrdenes[[#This Row],[orden]]="","",tblOrdenes[[#This Row],[orden]]&amp;IF(tblOrdenes[[#This Row],[operacion]]="","0010",tblOrdenes[[#This Row],[operacion]]))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2" t="n"/>
      <c r="K502" s="3" t="n"/>
      <c r="L502" s="11" t="n"/>
      <c r="M5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2" s="3">
        <f>IF(tblOrdenes[[#This Row],[fecha_inicio]]="","",YEAR(tblOrdenes[[#This Row],[fecha_inicio]]))</f>
        <v/>
      </c>
      <c r="Q502" s="3">
        <f>IF(tblOrdenes[[#This Row],[fecha_inicio]]="","",MONTH(tblOrdenes[[#This Row],[fecha_inicio]]))</f>
        <v/>
      </c>
      <c r="R502" s="3">
        <f>IF(tblOrdenes[[#This Row],[fecha_inicio]]="","",INDEX(lista_dias,WEEKDAY(tblOrdenes[[#This Row],[fecha_inicio]],2)))</f>
        <v/>
      </c>
      <c r="S5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2" s="3">
        <f>IF(tblOrdenes[[#This Row],[tipo_ot]]="","",_xlfn.XLOOKUP(tblOrdenes[[#This Row],[tipo_ot]],tblTiposOT[codigo],tblTiposOT[clasificacion],"sin_clasificar"))</f>
        <v/>
      </c>
      <c r="U502" s="3">
        <f>IF(tblOrdenes[[#This Row],[centro_costo]]="","",_xlfn.XLOOKUP(tblOrdenes[[#This Row],[centro_costo]],tblCECO[codigo],tblCECO[linea],"(sin catálogo)"))</f>
        <v/>
      </c>
      <c r="V502" s="3">
        <f>IF(tblOrdenes[[#This Row],[centro_costo]]="","",_xlfn.XLOOKUP(tblOrdenes[[#This Row],[centro_costo]],tblCECO[codigo],tblCECO[area],"(sin catálogo)"))</f>
        <v/>
      </c>
      <c r="W5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2" s="3">
        <f>IF(tblOrdenes[[#This Row],[centro_costo]]="","",_xlfn.XLOOKUP(tblOrdenes[[#This Row],[centro_costo]],tblCECO[codigo],tblCECO[coordinador],"(sin catálogo)"))</f>
        <v/>
      </c>
      <c r="Y502" s="3">
        <f>IF(tblOrdenes[[#This Row],[puesto_trabajo]]="","",_xlfn.XLOOKUP(tblOrdenes[[#This Row],[puesto_trabajo]],tblPuestos[codigo],tblPuestos[especialidad],"(sin catálogo)"))</f>
        <v/>
      </c>
      <c r="Z502" s="3">
        <f>IF(tblOrdenes[[#This Row],[cod_actividad]]="","",_xlfn.XLOOKUP(tblOrdenes[[#This Row],[cod_actividad]],tblActividades[codigo],tblActividades[descripcion],"(sin catálogo)"))</f>
        <v/>
      </c>
      <c r="AA502" s="13">
        <f>IF(tblOrdenes[[#This Row],[fecha_inicio]]="","",TODAY()-tblOrdenes[[#This Row],[fecha_inicio]])</f>
        <v/>
      </c>
      <c r="AB5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2" s="3">
        <f>IF(tblOrdenes[[#This Row],[backlog_habiles]]="","",IF(tblOrdenes[[#This Row],[backlog_habiles]]&lt;0,"FUTURO",IF(tblOrdenes[[#This Row],[backlog_habiles]]&gt;p_dias_backlog_max,"BACKLOG","MES CORRIENTE")))</f>
        <v/>
      </c>
      <c r="AD502" s="3">
        <f>IF(tblOrdenes[[#This Row],[backlog_habiles]]="",FALSE,AND(tblOrdenes[[#This Row],[backlog_habiles]]&gt;p_dias_backlog_min,tblOrdenes[[#This Row],[backlog_habiles]]&lt;=p_dias_backlog_max))</f>
        <v/>
      </c>
      <c r="AE502" s="6" t="n"/>
      <c r="AF5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2" s="11">
        <f>IF(tblOrdenes[[#This Row],[orden]]="","",_xlfn.XLOOKUP(tblOrdenes[[#This Row],[id_operacion]],tblEjecucion[id_operacion],tblEjecucion[precio],0))</f>
        <v/>
      </c>
      <c r="AJ502" s="11">
        <f>IF(tblOrdenes[[#This Row],[orden]]="","",MAX(0,_xlfn.XLOOKUP(tblOrdenes[[#This Row],[id_operacion]],tblEjecucion[id_operacion],tblEjecucion[costo_plan_total],0)-tblOrdenes[[#This Row],[costo_servicio]]))</f>
        <v/>
      </c>
      <c r="AK502" s="11">
        <f>IF(tblOrdenes[[#This Row],[orden]]="","",tblOrdenes[[#This Row],[costo_servicio]]+tblOrdenes[[#This Row],[costo_materiales]])</f>
        <v/>
      </c>
      <c r="AL502" s="6" t="n"/>
      <c r="AM502" s="6" t="n"/>
      <c r="AN502" s="6" t="n"/>
      <c r="AO502" s="3">
        <f>IF(tblOrdenes[[#This Row],[link_checklist]]="","",HYPERLINK(p_ruta_base_checklists&amp;tblOrdenes[[#This Row],[link_checklist]],"abrir"))</f>
        <v/>
      </c>
      <c r="AP502" s="6" t="n"/>
      <c r="AQ502" s="3">
        <f>IF(tblOrdenes[[#This Row],[orden]]="","",tblOrdenes[[#This Row],[orden]]&amp;IF(tblOrdenes[[#This Row],[operacion]]="","0010",tblOrdenes[[#This Row],[operacion]]))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2" t="n"/>
      <c r="K503" s="3" t="n"/>
      <c r="L503" s="11" t="n"/>
      <c r="M5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3" s="3">
        <f>IF(tblOrdenes[[#This Row],[fecha_inicio]]="","",YEAR(tblOrdenes[[#This Row],[fecha_inicio]]))</f>
        <v/>
      </c>
      <c r="Q503" s="3">
        <f>IF(tblOrdenes[[#This Row],[fecha_inicio]]="","",MONTH(tblOrdenes[[#This Row],[fecha_inicio]]))</f>
        <v/>
      </c>
      <c r="R503" s="3">
        <f>IF(tblOrdenes[[#This Row],[fecha_inicio]]="","",INDEX(lista_dias,WEEKDAY(tblOrdenes[[#This Row],[fecha_inicio]],2)))</f>
        <v/>
      </c>
      <c r="S5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3" s="3">
        <f>IF(tblOrdenes[[#This Row],[tipo_ot]]="","",_xlfn.XLOOKUP(tblOrdenes[[#This Row],[tipo_ot]],tblTiposOT[codigo],tblTiposOT[clasificacion],"sin_clasificar"))</f>
        <v/>
      </c>
      <c r="U503" s="3">
        <f>IF(tblOrdenes[[#This Row],[centro_costo]]="","",_xlfn.XLOOKUP(tblOrdenes[[#This Row],[centro_costo]],tblCECO[codigo],tblCECO[linea],"(sin catálogo)"))</f>
        <v/>
      </c>
      <c r="V503" s="3">
        <f>IF(tblOrdenes[[#This Row],[centro_costo]]="","",_xlfn.XLOOKUP(tblOrdenes[[#This Row],[centro_costo]],tblCECO[codigo],tblCECO[area],"(sin catálogo)"))</f>
        <v/>
      </c>
      <c r="W5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3" s="3">
        <f>IF(tblOrdenes[[#This Row],[centro_costo]]="","",_xlfn.XLOOKUP(tblOrdenes[[#This Row],[centro_costo]],tblCECO[codigo],tblCECO[coordinador],"(sin catálogo)"))</f>
        <v/>
      </c>
      <c r="Y503" s="3">
        <f>IF(tblOrdenes[[#This Row],[puesto_trabajo]]="","",_xlfn.XLOOKUP(tblOrdenes[[#This Row],[puesto_trabajo]],tblPuestos[codigo],tblPuestos[especialidad],"(sin catálogo)"))</f>
        <v/>
      </c>
      <c r="Z503" s="3">
        <f>IF(tblOrdenes[[#This Row],[cod_actividad]]="","",_xlfn.XLOOKUP(tblOrdenes[[#This Row],[cod_actividad]],tblActividades[codigo],tblActividades[descripcion],"(sin catálogo)"))</f>
        <v/>
      </c>
      <c r="AA503" s="13">
        <f>IF(tblOrdenes[[#This Row],[fecha_inicio]]="","",TODAY()-tblOrdenes[[#This Row],[fecha_inicio]])</f>
        <v/>
      </c>
      <c r="AB5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3" s="3">
        <f>IF(tblOrdenes[[#This Row],[backlog_habiles]]="","",IF(tblOrdenes[[#This Row],[backlog_habiles]]&lt;0,"FUTURO",IF(tblOrdenes[[#This Row],[backlog_habiles]]&gt;p_dias_backlog_max,"BACKLOG","MES CORRIENTE")))</f>
        <v/>
      </c>
      <c r="AD503" s="3">
        <f>IF(tblOrdenes[[#This Row],[backlog_habiles]]="",FALSE,AND(tblOrdenes[[#This Row],[backlog_habiles]]&gt;p_dias_backlog_min,tblOrdenes[[#This Row],[backlog_habiles]]&lt;=p_dias_backlog_max))</f>
        <v/>
      </c>
      <c r="AE503" s="6" t="n"/>
      <c r="AF5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3" s="11">
        <f>IF(tblOrdenes[[#This Row],[orden]]="","",_xlfn.XLOOKUP(tblOrdenes[[#This Row],[id_operacion]],tblEjecucion[id_operacion],tblEjecucion[precio],0))</f>
        <v/>
      </c>
      <c r="AJ503" s="11">
        <f>IF(tblOrdenes[[#This Row],[orden]]="","",MAX(0,_xlfn.XLOOKUP(tblOrdenes[[#This Row],[id_operacion]],tblEjecucion[id_operacion],tblEjecucion[costo_plan_total],0)-tblOrdenes[[#This Row],[costo_servicio]]))</f>
        <v/>
      </c>
      <c r="AK503" s="11">
        <f>IF(tblOrdenes[[#This Row],[orden]]="","",tblOrdenes[[#This Row],[costo_servicio]]+tblOrdenes[[#This Row],[costo_materiales]])</f>
        <v/>
      </c>
      <c r="AL503" s="6" t="n"/>
      <c r="AM503" s="6" t="n"/>
      <c r="AN503" s="6" t="n"/>
      <c r="AO503" s="3">
        <f>IF(tblOrdenes[[#This Row],[link_checklist]]="","",HYPERLINK(p_ruta_base_checklists&amp;tblOrdenes[[#This Row],[link_checklist]],"abrir"))</f>
        <v/>
      </c>
      <c r="AP503" s="6" t="n"/>
      <c r="AQ503" s="3">
        <f>IF(tblOrdenes[[#This Row],[orden]]="","",tblOrdenes[[#This Row],[orden]]&amp;IF(tblOrdenes[[#This Row],[operacion]]="","0010",tblOrdenes[[#This Row],[operacion]]))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2" t="n"/>
      <c r="K504" s="3" t="n"/>
      <c r="L504" s="11" t="n"/>
      <c r="M5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4" s="3">
        <f>IF(tblOrdenes[[#This Row],[fecha_inicio]]="","",YEAR(tblOrdenes[[#This Row],[fecha_inicio]]))</f>
        <v/>
      </c>
      <c r="Q504" s="3">
        <f>IF(tblOrdenes[[#This Row],[fecha_inicio]]="","",MONTH(tblOrdenes[[#This Row],[fecha_inicio]]))</f>
        <v/>
      </c>
      <c r="R504" s="3">
        <f>IF(tblOrdenes[[#This Row],[fecha_inicio]]="","",INDEX(lista_dias,WEEKDAY(tblOrdenes[[#This Row],[fecha_inicio]],2)))</f>
        <v/>
      </c>
      <c r="S5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4" s="3">
        <f>IF(tblOrdenes[[#This Row],[tipo_ot]]="","",_xlfn.XLOOKUP(tblOrdenes[[#This Row],[tipo_ot]],tblTiposOT[codigo],tblTiposOT[clasificacion],"sin_clasificar"))</f>
        <v/>
      </c>
      <c r="U504" s="3">
        <f>IF(tblOrdenes[[#This Row],[centro_costo]]="","",_xlfn.XLOOKUP(tblOrdenes[[#This Row],[centro_costo]],tblCECO[codigo],tblCECO[linea],"(sin catálogo)"))</f>
        <v/>
      </c>
      <c r="V504" s="3">
        <f>IF(tblOrdenes[[#This Row],[centro_costo]]="","",_xlfn.XLOOKUP(tblOrdenes[[#This Row],[centro_costo]],tblCECO[codigo],tblCECO[area],"(sin catálogo)"))</f>
        <v/>
      </c>
      <c r="W5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4" s="3">
        <f>IF(tblOrdenes[[#This Row],[centro_costo]]="","",_xlfn.XLOOKUP(tblOrdenes[[#This Row],[centro_costo]],tblCECO[codigo],tblCECO[coordinador],"(sin catálogo)"))</f>
        <v/>
      </c>
      <c r="Y504" s="3">
        <f>IF(tblOrdenes[[#This Row],[puesto_trabajo]]="","",_xlfn.XLOOKUP(tblOrdenes[[#This Row],[puesto_trabajo]],tblPuestos[codigo],tblPuestos[especialidad],"(sin catálogo)"))</f>
        <v/>
      </c>
      <c r="Z504" s="3">
        <f>IF(tblOrdenes[[#This Row],[cod_actividad]]="","",_xlfn.XLOOKUP(tblOrdenes[[#This Row],[cod_actividad]],tblActividades[codigo],tblActividades[descripcion],"(sin catálogo)"))</f>
        <v/>
      </c>
      <c r="AA504" s="13">
        <f>IF(tblOrdenes[[#This Row],[fecha_inicio]]="","",TODAY()-tblOrdenes[[#This Row],[fecha_inicio]])</f>
        <v/>
      </c>
      <c r="AB5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4" s="3">
        <f>IF(tblOrdenes[[#This Row],[backlog_habiles]]="","",IF(tblOrdenes[[#This Row],[backlog_habiles]]&lt;0,"FUTURO",IF(tblOrdenes[[#This Row],[backlog_habiles]]&gt;p_dias_backlog_max,"BACKLOG","MES CORRIENTE")))</f>
        <v/>
      </c>
      <c r="AD504" s="3">
        <f>IF(tblOrdenes[[#This Row],[backlog_habiles]]="",FALSE,AND(tblOrdenes[[#This Row],[backlog_habiles]]&gt;p_dias_backlog_min,tblOrdenes[[#This Row],[backlog_habiles]]&lt;=p_dias_backlog_max))</f>
        <v/>
      </c>
      <c r="AE504" s="6" t="n"/>
      <c r="AF5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4" s="11">
        <f>IF(tblOrdenes[[#This Row],[orden]]="","",_xlfn.XLOOKUP(tblOrdenes[[#This Row],[id_operacion]],tblEjecucion[id_operacion],tblEjecucion[precio],0))</f>
        <v/>
      </c>
      <c r="AJ504" s="11">
        <f>IF(tblOrdenes[[#This Row],[orden]]="","",MAX(0,_xlfn.XLOOKUP(tblOrdenes[[#This Row],[id_operacion]],tblEjecucion[id_operacion],tblEjecucion[costo_plan_total],0)-tblOrdenes[[#This Row],[costo_servicio]]))</f>
        <v/>
      </c>
      <c r="AK504" s="11">
        <f>IF(tblOrdenes[[#This Row],[orden]]="","",tblOrdenes[[#This Row],[costo_servicio]]+tblOrdenes[[#This Row],[costo_materiales]])</f>
        <v/>
      </c>
      <c r="AL504" s="6" t="n"/>
      <c r="AM504" s="6" t="n"/>
      <c r="AN504" s="6" t="n"/>
      <c r="AO504" s="3">
        <f>IF(tblOrdenes[[#This Row],[link_checklist]]="","",HYPERLINK(p_ruta_base_checklists&amp;tblOrdenes[[#This Row],[link_checklist]],"abrir"))</f>
        <v/>
      </c>
      <c r="AP504" s="6" t="n"/>
      <c r="AQ504" s="3">
        <f>IF(tblOrdenes[[#This Row],[orden]]="","",tblOrdenes[[#This Row],[orden]]&amp;IF(tblOrdenes[[#This Row],[operacion]]="","0010",tblOrdenes[[#This Row],[operacion]]))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2" t="n"/>
      <c r="K505" s="3" t="n"/>
      <c r="L505" s="11" t="n"/>
      <c r="M5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5" s="3">
        <f>IF(tblOrdenes[[#This Row],[fecha_inicio]]="","",YEAR(tblOrdenes[[#This Row],[fecha_inicio]]))</f>
        <v/>
      </c>
      <c r="Q505" s="3">
        <f>IF(tblOrdenes[[#This Row],[fecha_inicio]]="","",MONTH(tblOrdenes[[#This Row],[fecha_inicio]]))</f>
        <v/>
      </c>
      <c r="R505" s="3">
        <f>IF(tblOrdenes[[#This Row],[fecha_inicio]]="","",INDEX(lista_dias,WEEKDAY(tblOrdenes[[#This Row],[fecha_inicio]],2)))</f>
        <v/>
      </c>
      <c r="S5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5" s="3">
        <f>IF(tblOrdenes[[#This Row],[tipo_ot]]="","",_xlfn.XLOOKUP(tblOrdenes[[#This Row],[tipo_ot]],tblTiposOT[codigo],tblTiposOT[clasificacion],"sin_clasificar"))</f>
        <v/>
      </c>
      <c r="U505" s="3">
        <f>IF(tblOrdenes[[#This Row],[centro_costo]]="","",_xlfn.XLOOKUP(tblOrdenes[[#This Row],[centro_costo]],tblCECO[codigo],tblCECO[linea],"(sin catálogo)"))</f>
        <v/>
      </c>
      <c r="V505" s="3">
        <f>IF(tblOrdenes[[#This Row],[centro_costo]]="","",_xlfn.XLOOKUP(tblOrdenes[[#This Row],[centro_costo]],tblCECO[codigo],tblCECO[area],"(sin catálogo)"))</f>
        <v/>
      </c>
      <c r="W5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5" s="3">
        <f>IF(tblOrdenes[[#This Row],[centro_costo]]="","",_xlfn.XLOOKUP(tblOrdenes[[#This Row],[centro_costo]],tblCECO[codigo],tblCECO[coordinador],"(sin catálogo)"))</f>
        <v/>
      </c>
      <c r="Y505" s="3">
        <f>IF(tblOrdenes[[#This Row],[puesto_trabajo]]="","",_xlfn.XLOOKUP(tblOrdenes[[#This Row],[puesto_trabajo]],tblPuestos[codigo],tblPuestos[especialidad],"(sin catálogo)"))</f>
        <v/>
      </c>
      <c r="Z505" s="3">
        <f>IF(tblOrdenes[[#This Row],[cod_actividad]]="","",_xlfn.XLOOKUP(tblOrdenes[[#This Row],[cod_actividad]],tblActividades[codigo],tblActividades[descripcion],"(sin catálogo)"))</f>
        <v/>
      </c>
      <c r="AA505" s="13">
        <f>IF(tblOrdenes[[#This Row],[fecha_inicio]]="","",TODAY()-tblOrdenes[[#This Row],[fecha_inicio]])</f>
        <v/>
      </c>
      <c r="AB5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5" s="3">
        <f>IF(tblOrdenes[[#This Row],[backlog_habiles]]="","",IF(tblOrdenes[[#This Row],[backlog_habiles]]&lt;0,"FUTURO",IF(tblOrdenes[[#This Row],[backlog_habiles]]&gt;p_dias_backlog_max,"BACKLOG","MES CORRIENTE")))</f>
        <v/>
      </c>
      <c r="AD505" s="3">
        <f>IF(tblOrdenes[[#This Row],[backlog_habiles]]="",FALSE,AND(tblOrdenes[[#This Row],[backlog_habiles]]&gt;p_dias_backlog_min,tblOrdenes[[#This Row],[backlog_habiles]]&lt;=p_dias_backlog_max))</f>
        <v/>
      </c>
      <c r="AE505" s="6" t="n"/>
      <c r="AF5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5" s="11">
        <f>IF(tblOrdenes[[#This Row],[orden]]="","",_xlfn.XLOOKUP(tblOrdenes[[#This Row],[id_operacion]],tblEjecucion[id_operacion],tblEjecucion[precio],0))</f>
        <v/>
      </c>
      <c r="AJ505" s="11">
        <f>IF(tblOrdenes[[#This Row],[orden]]="","",MAX(0,_xlfn.XLOOKUP(tblOrdenes[[#This Row],[id_operacion]],tblEjecucion[id_operacion],tblEjecucion[costo_plan_total],0)-tblOrdenes[[#This Row],[costo_servicio]]))</f>
        <v/>
      </c>
      <c r="AK505" s="11">
        <f>IF(tblOrdenes[[#This Row],[orden]]="","",tblOrdenes[[#This Row],[costo_servicio]]+tblOrdenes[[#This Row],[costo_materiales]])</f>
        <v/>
      </c>
      <c r="AL505" s="6" t="n"/>
      <c r="AM505" s="6" t="n"/>
      <c r="AN505" s="6" t="n"/>
      <c r="AO505" s="3">
        <f>IF(tblOrdenes[[#This Row],[link_checklist]]="","",HYPERLINK(p_ruta_base_checklists&amp;tblOrdenes[[#This Row],[link_checklist]],"abrir"))</f>
        <v/>
      </c>
      <c r="AP505" s="6" t="n"/>
      <c r="AQ505" s="3">
        <f>IF(tblOrdenes[[#This Row],[orden]]="","",tblOrdenes[[#This Row],[orden]]&amp;IF(tblOrdenes[[#This Row],[operacion]]="","0010",tblOrdenes[[#This Row],[operacion]]))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2" t="n"/>
      <c r="K506" s="3" t="n"/>
      <c r="L506" s="11" t="n"/>
      <c r="M5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6" s="3">
        <f>IF(tblOrdenes[[#This Row],[fecha_inicio]]="","",YEAR(tblOrdenes[[#This Row],[fecha_inicio]]))</f>
        <v/>
      </c>
      <c r="Q506" s="3">
        <f>IF(tblOrdenes[[#This Row],[fecha_inicio]]="","",MONTH(tblOrdenes[[#This Row],[fecha_inicio]]))</f>
        <v/>
      </c>
      <c r="R506" s="3">
        <f>IF(tblOrdenes[[#This Row],[fecha_inicio]]="","",INDEX(lista_dias,WEEKDAY(tblOrdenes[[#This Row],[fecha_inicio]],2)))</f>
        <v/>
      </c>
      <c r="S5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6" s="3">
        <f>IF(tblOrdenes[[#This Row],[tipo_ot]]="","",_xlfn.XLOOKUP(tblOrdenes[[#This Row],[tipo_ot]],tblTiposOT[codigo],tblTiposOT[clasificacion],"sin_clasificar"))</f>
        <v/>
      </c>
      <c r="U506" s="3">
        <f>IF(tblOrdenes[[#This Row],[centro_costo]]="","",_xlfn.XLOOKUP(tblOrdenes[[#This Row],[centro_costo]],tblCECO[codigo],tblCECO[linea],"(sin catálogo)"))</f>
        <v/>
      </c>
      <c r="V506" s="3">
        <f>IF(tblOrdenes[[#This Row],[centro_costo]]="","",_xlfn.XLOOKUP(tblOrdenes[[#This Row],[centro_costo]],tblCECO[codigo],tblCECO[area],"(sin catálogo)"))</f>
        <v/>
      </c>
      <c r="W5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6" s="3">
        <f>IF(tblOrdenes[[#This Row],[centro_costo]]="","",_xlfn.XLOOKUP(tblOrdenes[[#This Row],[centro_costo]],tblCECO[codigo],tblCECO[coordinador],"(sin catálogo)"))</f>
        <v/>
      </c>
      <c r="Y506" s="3">
        <f>IF(tblOrdenes[[#This Row],[puesto_trabajo]]="","",_xlfn.XLOOKUP(tblOrdenes[[#This Row],[puesto_trabajo]],tblPuestos[codigo],tblPuestos[especialidad],"(sin catálogo)"))</f>
        <v/>
      </c>
      <c r="Z506" s="3">
        <f>IF(tblOrdenes[[#This Row],[cod_actividad]]="","",_xlfn.XLOOKUP(tblOrdenes[[#This Row],[cod_actividad]],tblActividades[codigo],tblActividades[descripcion],"(sin catálogo)"))</f>
        <v/>
      </c>
      <c r="AA506" s="13">
        <f>IF(tblOrdenes[[#This Row],[fecha_inicio]]="","",TODAY()-tblOrdenes[[#This Row],[fecha_inicio]])</f>
        <v/>
      </c>
      <c r="AB5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6" s="3">
        <f>IF(tblOrdenes[[#This Row],[backlog_habiles]]="","",IF(tblOrdenes[[#This Row],[backlog_habiles]]&lt;0,"FUTURO",IF(tblOrdenes[[#This Row],[backlog_habiles]]&gt;p_dias_backlog_max,"BACKLOG","MES CORRIENTE")))</f>
        <v/>
      </c>
      <c r="AD506" s="3">
        <f>IF(tblOrdenes[[#This Row],[backlog_habiles]]="",FALSE,AND(tblOrdenes[[#This Row],[backlog_habiles]]&gt;p_dias_backlog_min,tblOrdenes[[#This Row],[backlog_habiles]]&lt;=p_dias_backlog_max))</f>
        <v/>
      </c>
      <c r="AE506" s="6" t="n"/>
      <c r="AF5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6" s="11">
        <f>IF(tblOrdenes[[#This Row],[orden]]="","",_xlfn.XLOOKUP(tblOrdenes[[#This Row],[id_operacion]],tblEjecucion[id_operacion],tblEjecucion[precio],0))</f>
        <v/>
      </c>
      <c r="AJ506" s="11">
        <f>IF(tblOrdenes[[#This Row],[orden]]="","",MAX(0,_xlfn.XLOOKUP(tblOrdenes[[#This Row],[id_operacion]],tblEjecucion[id_operacion],tblEjecucion[costo_plan_total],0)-tblOrdenes[[#This Row],[costo_servicio]]))</f>
        <v/>
      </c>
      <c r="AK506" s="11">
        <f>IF(tblOrdenes[[#This Row],[orden]]="","",tblOrdenes[[#This Row],[costo_servicio]]+tblOrdenes[[#This Row],[costo_materiales]])</f>
        <v/>
      </c>
      <c r="AL506" s="6" t="n"/>
      <c r="AM506" s="6" t="n"/>
      <c r="AN506" s="6" t="n"/>
      <c r="AO506" s="3">
        <f>IF(tblOrdenes[[#This Row],[link_checklist]]="","",HYPERLINK(p_ruta_base_checklists&amp;tblOrdenes[[#This Row],[link_checklist]],"abrir"))</f>
        <v/>
      </c>
      <c r="AP506" s="6" t="n"/>
      <c r="AQ506" s="3">
        <f>IF(tblOrdenes[[#This Row],[orden]]="","",tblOrdenes[[#This Row],[orden]]&amp;IF(tblOrdenes[[#This Row],[operacion]]="","0010",tblOrdenes[[#This Row],[operacion]]))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2" t="n"/>
      <c r="K507" s="3" t="n"/>
      <c r="L507" s="11" t="n"/>
      <c r="M5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7" s="3">
        <f>IF(tblOrdenes[[#This Row],[fecha_inicio]]="","",YEAR(tblOrdenes[[#This Row],[fecha_inicio]]))</f>
        <v/>
      </c>
      <c r="Q507" s="3">
        <f>IF(tblOrdenes[[#This Row],[fecha_inicio]]="","",MONTH(tblOrdenes[[#This Row],[fecha_inicio]]))</f>
        <v/>
      </c>
      <c r="R507" s="3">
        <f>IF(tblOrdenes[[#This Row],[fecha_inicio]]="","",INDEX(lista_dias,WEEKDAY(tblOrdenes[[#This Row],[fecha_inicio]],2)))</f>
        <v/>
      </c>
      <c r="S5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7" s="3">
        <f>IF(tblOrdenes[[#This Row],[tipo_ot]]="","",_xlfn.XLOOKUP(tblOrdenes[[#This Row],[tipo_ot]],tblTiposOT[codigo],tblTiposOT[clasificacion],"sin_clasificar"))</f>
        <v/>
      </c>
      <c r="U507" s="3">
        <f>IF(tblOrdenes[[#This Row],[centro_costo]]="","",_xlfn.XLOOKUP(tblOrdenes[[#This Row],[centro_costo]],tblCECO[codigo],tblCECO[linea],"(sin catálogo)"))</f>
        <v/>
      </c>
      <c r="V507" s="3">
        <f>IF(tblOrdenes[[#This Row],[centro_costo]]="","",_xlfn.XLOOKUP(tblOrdenes[[#This Row],[centro_costo]],tblCECO[codigo],tblCECO[area],"(sin catálogo)"))</f>
        <v/>
      </c>
      <c r="W5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7" s="3">
        <f>IF(tblOrdenes[[#This Row],[centro_costo]]="","",_xlfn.XLOOKUP(tblOrdenes[[#This Row],[centro_costo]],tblCECO[codigo],tblCECO[coordinador],"(sin catálogo)"))</f>
        <v/>
      </c>
      <c r="Y507" s="3">
        <f>IF(tblOrdenes[[#This Row],[puesto_trabajo]]="","",_xlfn.XLOOKUP(tblOrdenes[[#This Row],[puesto_trabajo]],tblPuestos[codigo],tblPuestos[especialidad],"(sin catálogo)"))</f>
        <v/>
      </c>
      <c r="Z507" s="3">
        <f>IF(tblOrdenes[[#This Row],[cod_actividad]]="","",_xlfn.XLOOKUP(tblOrdenes[[#This Row],[cod_actividad]],tblActividades[codigo],tblActividades[descripcion],"(sin catálogo)"))</f>
        <v/>
      </c>
      <c r="AA507" s="13">
        <f>IF(tblOrdenes[[#This Row],[fecha_inicio]]="","",TODAY()-tblOrdenes[[#This Row],[fecha_inicio]])</f>
        <v/>
      </c>
      <c r="AB5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7" s="3">
        <f>IF(tblOrdenes[[#This Row],[backlog_habiles]]="","",IF(tblOrdenes[[#This Row],[backlog_habiles]]&lt;0,"FUTURO",IF(tblOrdenes[[#This Row],[backlog_habiles]]&gt;p_dias_backlog_max,"BACKLOG","MES CORRIENTE")))</f>
        <v/>
      </c>
      <c r="AD507" s="3">
        <f>IF(tblOrdenes[[#This Row],[backlog_habiles]]="",FALSE,AND(tblOrdenes[[#This Row],[backlog_habiles]]&gt;p_dias_backlog_min,tblOrdenes[[#This Row],[backlog_habiles]]&lt;=p_dias_backlog_max))</f>
        <v/>
      </c>
      <c r="AE507" s="6" t="n"/>
      <c r="AF5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7" s="11">
        <f>IF(tblOrdenes[[#This Row],[orden]]="","",_xlfn.XLOOKUP(tblOrdenes[[#This Row],[id_operacion]],tblEjecucion[id_operacion],tblEjecucion[precio],0))</f>
        <v/>
      </c>
      <c r="AJ507" s="11">
        <f>IF(tblOrdenes[[#This Row],[orden]]="","",MAX(0,_xlfn.XLOOKUP(tblOrdenes[[#This Row],[id_operacion]],tblEjecucion[id_operacion],tblEjecucion[costo_plan_total],0)-tblOrdenes[[#This Row],[costo_servicio]]))</f>
        <v/>
      </c>
      <c r="AK507" s="11">
        <f>IF(tblOrdenes[[#This Row],[orden]]="","",tblOrdenes[[#This Row],[costo_servicio]]+tblOrdenes[[#This Row],[costo_materiales]])</f>
        <v/>
      </c>
      <c r="AL507" s="6" t="n"/>
      <c r="AM507" s="6" t="n"/>
      <c r="AN507" s="6" t="n"/>
      <c r="AO507" s="3">
        <f>IF(tblOrdenes[[#This Row],[link_checklist]]="","",HYPERLINK(p_ruta_base_checklists&amp;tblOrdenes[[#This Row],[link_checklist]],"abrir"))</f>
        <v/>
      </c>
      <c r="AP507" s="6" t="n"/>
      <c r="AQ507" s="3">
        <f>IF(tblOrdenes[[#This Row],[orden]]="","",tblOrdenes[[#This Row],[orden]]&amp;IF(tblOrdenes[[#This Row],[operacion]]="","0010",tblOrdenes[[#This Row],[operacion]]))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2" t="n"/>
      <c r="K508" s="3" t="n"/>
      <c r="L508" s="11" t="n"/>
      <c r="M5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8" s="3">
        <f>IF(tblOrdenes[[#This Row],[fecha_inicio]]="","",YEAR(tblOrdenes[[#This Row],[fecha_inicio]]))</f>
        <v/>
      </c>
      <c r="Q508" s="3">
        <f>IF(tblOrdenes[[#This Row],[fecha_inicio]]="","",MONTH(tblOrdenes[[#This Row],[fecha_inicio]]))</f>
        <v/>
      </c>
      <c r="R508" s="3">
        <f>IF(tblOrdenes[[#This Row],[fecha_inicio]]="","",INDEX(lista_dias,WEEKDAY(tblOrdenes[[#This Row],[fecha_inicio]],2)))</f>
        <v/>
      </c>
      <c r="S5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8" s="3">
        <f>IF(tblOrdenes[[#This Row],[tipo_ot]]="","",_xlfn.XLOOKUP(tblOrdenes[[#This Row],[tipo_ot]],tblTiposOT[codigo],tblTiposOT[clasificacion],"sin_clasificar"))</f>
        <v/>
      </c>
      <c r="U508" s="3">
        <f>IF(tblOrdenes[[#This Row],[centro_costo]]="","",_xlfn.XLOOKUP(tblOrdenes[[#This Row],[centro_costo]],tblCECO[codigo],tblCECO[linea],"(sin catálogo)"))</f>
        <v/>
      </c>
      <c r="V508" s="3">
        <f>IF(tblOrdenes[[#This Row],[centro_costo]]="","",_xlfn.XLOOKUP(tblOrdenes[[#This Row],[centro_costo]],tblCECO[codigo],tblCECO[area],"(sin catálogo)"))</f>
        <v/>
      </c>
      <c r="W5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8" s="3">
        <f>IF(tblOrdenes[[#This Row],[centro_costo]]="","",_xlfn.XLOOKUP(tblOrdenes[[#This Row],[centro_costo]],tblCECO[codigo],tblCECO[coordinador],"(sin catálogo)"))</f>
        <v/>
      </c>
      <c r="Y508" s="3">
        <f>IF(tblOrdenes[[#This Row],[puesto_trabajo]]="","",_xlfn.XLOOKUP(tblOrdenes[[#This Row],[puesto_trabajo]],tblPuestos[codigo],tblPuestos[especialidad],"(sin catálogo)"))</f>
        <v/>
      </c>
      <c r="Z508" s="3">
        <f>IF(tblOrdenes[[#This Row],[cod_actividad]]="","",_xlfn.XLOOKUP(tblOrdenes[[#This Row],[cod_actividad]],tblActividades[codigo],tblActividades[descripcion],"(sin catálogo)"))</f>
        <v/>
      </c>
      <c r="AA508" s="13">
        <f>IF(tblOrdenes[[#This Row],[fecha_inicio]]="","",TODAY()-tblOrdenes[[#This Row],[fecha_inicio]])</f>
        <v/>
      </c>
      <c r="AB5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8" s="3">
        <f>IF(tblOrdenes[[#This Row],[backlog_habiles]]="","",IF(tblOrdenes[[#This Row],[backlog_habiles]]&lt;0,"FUTURO",IF(tblOrdenes[[#This Row],[backlog_habiles]]&gt;p_dias_backlog_max,"BACKLOG","MES CORRIENTE")))</f>
        <v/>
      </c>
      <c r="AD508" s="3">
        <f>IF(tblOrdenes[[#This Row],[backlog_habiles]]="",FALSE,AND(tblOrdenes[[#This Row],[backlog_habiles]]&gt;p_dias_backlog_min,tblOrdenes[[#This Row],[backlog_habiles]]&lt;=p_dias_backlog_max))</f>
        <v/>
      </c>
      <c r="AE508" s="6" t="n"/>
      <c r="AF5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8" s="11">
        <f>IF(tblOrdenes[[#This Row],[orden]]="","",_xlfn.XLOOKUP(tblOrdenes[[#This Row],[id_operacion]],tblEjecucion[id_operacion],tblEjecucion[precio],0))</f>
        <v/>
      </c>
      <c r="AJ508" s="11">
        <f>IF(tblOrdenes[[#This Row],[orden]]="","",MAX(0,_xlfn.XLOOKUP(tblOrdenes[[#This Row],[id_operacion]],tblEjecucion[id_operacion],tblEjecucion[costo_plan_total],0)-tblOrdenes[[#This Row],[costo_servicio]]))</f>
        <v/>
      </c>
      <c r="AK508" s="11">
        <f>IF(tblOrdenes[[#This Row],[orden]]="","",tblOrdenes[[#This Row],[costo_servicio]]+tblOrdenes[[#This Row],[costo_materiales]])</f>
        <v/>
      </c>
      <c r="AL508" s="6" t="n"/>
      <c r="AM508" s="6" t="n"/>
      <c r="AN508" s="6" t="n"/>
      <c r="AO508" s="3">
        <f>IF(tblOrdenes[[#This Row],[link_checklist]]="","",HYPERLINK(p_ruta_base_checklists&amp;tblOrdenes[[#This Row],[link_checklist]],"abrir"))</f>
        <v/>
      </c>
      <c r="AP508" s="6" t="n"/>
      <c r="AQ508" s="3">
        <f>IF(tblOrdenes[[#This Row],[orden]]="","",tblOrdenes[[#This Row],[orden]]&amp;IF(tblOrdenes[[#This Row],[operacion]]="","0010",tblOrdenes[[#This Row],[operacion]]))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2" t="n"/>
      <c r="K509" s="3" t="n"/>
      <c r="L509" s="11" t="n"/>
      <c r="M5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9" s="3">
        <f>IF(tblOrdenes[[#This Row],[fecha_inicio]]="","",YEAR(tblOrdenes[[#This Row],[fecha_inicio]]))</f>
        <v/>
      </c>
      <c r="Q509" s="3">
        <f>IF(tblOrdenes[[#This Row],[fecha_inicio]]="","",MONTH(tblOrdenes[[#This Row],[fecha_inicio]]))</f>
        <v/>
      </c>
      <c r="R509" s="3">
        <f>IF(tblOrdenes[[#This Row],[fecha_inicio]]="","",INDEX(lista_dias,WEEKDAY(tblOrdenes[[#This Row],[fecha_inicio]],2)))</f>
        <v/>
      </c>
      <c r="S5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9" s="3">
        <f>IF(tblOrdenes[[#This Row],[tipo_ot]]="","",_xlfn.XLOOKUP(tblOrdenes[[#This Row],[tipo_ot]],tblTiposOT[codigo],tblTiposOT[clasificacion],"sin_clasificar"))</f>
        <v/>
      </c>
      <c r="U509" s="3">
        <f>IF(tblOrdenes[[#This Row],[centro_costo]]="","",_xlfn.XLOOKUP(tblOrdenes[[#This Row],[centro_costo]],tblCECO[codigo],tblCECO[linea],"(sin catálogo)"))</f>
        <v/>
      </c>
      <c r="V509" s="3">
        <f>IF(tblOrdenes[[#This Row],[centro_costo]]="","",_xlfn.XLOOKUP(tblOrdenes[[#This Row],[centro_costo]],tblCECO[codigo],tblCECO[area],"(sin catálogo)"))</f>
        <v/>
      </c>
      <c r="W5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9" s="3">
        <f>IF(tblOrdenes[[#This Row],[centro_costo]]="","",_xlfn.XLOOKUP(tblOrdenes[[#This Row],[centro_costo]],tblCECO[codigo],tblCECO[coordinador],"(sin catálogo)"))</f>
        <v/>
      </c>
      <c r="Y509" s="3">
        <f>IF(tblOrdenes[[#This Row],[puesto_trabajo]]="","",_xlfn.XLOOKUP(tblOrdenes[[#This Row],[puesto_trabajo]],tblPuestos[codigo],tblPuestos[especialidad],"(sin catálogo)"))</f>
        <v/>
      </c>
      <c r="Z509" s="3">
        <f>IF(tblOrdenes[[#This Row],[cod_actividad]]="","",_xlfn.XLOOKUP(tblOrdenes[[#This Row],[cod_actividad]],tblActividades[codigo],tblActividades[descripcion],"(sin catálogo)"))</f>
        <v/>
      </c>
      <c r="AA509" s="13">
        <f>IF(tblOrdenes[[#This Row],[fecha_inicio]]="","",TODAY()-tblOrdenes[[#This Row],[fecha_inicio]])</f>
        <v/>
      </c>
      <c r="AB5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9" s="3">
        <f>IF(tblOrdenes[[#This Row],[backlog_habiles]]="","",IF(tblOrdenes[[#This Row],[backlog_habiles]]&lt;0,"FUTURO",IF(tblOrdenes[[#This Row],[backlog_habiles]]&gt;p_dias_backlog_max,"BACKLOG","MES CORRIENTE")))</f>
        <v/>
      </c>
      <c r="AD509" s="3">
        <f>IF(tblOrdenes[[#This Row],[backlog_habiles]]="",FALSE,AND(tblOrdenes[[#This Row],[backlog_habiles]]&gt;p_dias_backlog_min,tblOrdenes[[#This Row],[backlog_habiles]]&lt;=p_dias_backlog_max))</f>
        <v/>
      </c>
      <c r="AE509" s="6" t="n"/>
      <c r="AF5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9" s="11">
        <f>IF(tblOrdenes[[#This Row],[orden]]="","",_xlfn.XLOOKUP(tblOrdenes[[#This Row],[id_operacion]],tblEjecucion[id_operacion],tblEjecucion[precio],0))</f>
        <v/>
      </c>
      <c r="AJ509" s="11">
        <f>IF(tblOrdenes[[#This Row],[orden]]="","",MAX(0,_xlfn.XLOOKUP(tblOrdenes[[#This Row],[id_operacion]],tblEjecucion[id_operacion],tblEjecucion[costo_plan_total],0)-tblOrdenes[[#This Row],[costo_servicio]]))</f>
        <v/>
      </c>
      <c r="AK509" s="11">
        <f>IF(tblOrdenes[[#This Row],[orden]]="","",tblOrdenes[[#This Row],[costo_servicio]]+tblOrdenes[[#This Row],[costo_materiales]])</f>
        <v/>
      </c>
      <c r="AL509" s="6" t="n"/>
      <c r="AM509" s="6" t="n"/>
      <c r="AN509" s="6" t="n"/>
      <c r="AO509" s="3">
        <f>IF(tblOrdenes[[#This Row],[link_checklist]]="","",HYPERLINK(p_ruta_base_checklists&amp;tblOrdenes[[#This Row],[link_checklist]],"abrir"))</f>
        <v/>
      </c>
      <c r="AP509" s="6" t="n"/>
      <c r="AQ509" s="3">
        <f>IF(tblOrdenes[[#This Row],[orden]]="","",tblOrdenes[[#This Row],[orden]]&amp;IF(tblOrdenes[[#This Row],[operacion]]="","0010",tblOrdenes[[#This Row],[operacion]]))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2" t="n"/>
      <c r="K510" s="3" t="n"/>
      <c r="L510" s="11" t="n"/>
      <c r="M5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0" s="3">
        <f>IF(tblOrdenes[[#This Row],[fecha_inicio]]="","",YEAR(tblOrdenes[[#This Row],[fecha_inicio]]))</f>
        <v/>
      </c>
      <c r="Q510" s="3">
        <f>IF(tblOrdenes[[#This Row],[fecha_inicio]]="","",MONTH(tblOrdenes[[#This Row],[fecha_inicio]]))</f>
        <v/>
      </c>
      <c r="R510" s="3">
        <f>IF(tblOrdenes[[#This Row],[fecha_inicio]]="","",INDEX(lista_dias,WEEKDAY(tblOrdenes[[#This Row],[fecha_inicio]],2)))</f>
        <v/>
      </c>
      <c r="S5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0" s="3">
        <f>IF(tblOrdenes[[#This Row],[tipo_ot]]="","",_xlfn.XLOOKUP(tblOrdenes[[#This Row],[tipo_ot]],tblTiposOT[codigo],tblTiposOT[clasificacion],"sin_clasificar"))</f>
        <v/>
      </c>
      <c r="U510" s="3">
        <f>IF(tblOrdenes[[#This Row],[centro_costo]]="","",_xlfn.XLOOKUP(tblOrdenes[[#This Row],[centro_costo]],tblCECO[codigo],tblCECO[linea],"(sin catálogo)"))</f>
        <v/>
      </c>
      <c r="V510" s="3">
        <f>IF(tblOrdenes[[#This Row],[centro_costo]]="","",_xlfn.XLOOKUP(tblOrdenes[[#This Row],[centro_costo]],tblCECO[codigo],tblCECO[area],"(sin catálogo)"))</f>
        <v/>
      </c>
      <c r="W5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0" s="3">
        <f>IF(tblOrdenes[[#This Row],[centro_costo]]="","",_xlfn.XLOOKUP(tblOrdenes[[#This Row],[centro_costo]],tblCECO[codigo],tblCECO[coordinador],"(sin catálogo)"))</f>
        <v/>
      </c>
      <c r="Y510" s="3">
        <f>IF(tblOrdenes[[#This Row],[puesto_trabajo]]="","",_xlfn.XLOOKUP(tblOrdenes[[#This Row],[puesto_trabajo]],tblPuestos[codigo],tblPuestos[especialidad],"(sin catálogo)"))</f>
        <v/>
      </c>
      <c r="Z510" s="3">
        <f>IF(tblOrdenes[[#This Row],[cod_actividad]]="","",_xlfn.XLOOKUP(tblOrdenes[[#This Row],[cod_actividad]],tblActividades[codigo],tblActividades[descripcion],"(sin catálogo)"))</f>
        <v/>
      </c>
      <c r="AA510" s="13">
        <f>IF(tblOrdenes[[#This Row],[fecha_inicio]]="","",TODAY()-tblOrdenes[[#This Row],[fecha_inicio]])</f>
        <v/>
      </c>
      <c r="AB5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0" s="3">
        <f>IF(tblOrdenes[[#This Row],[backlog_habiles]]="","",IF(tblOrdenes[[#This Row],[backlog_habiles]]&lt;0,"FUTURO",IF(tblOrdenes[[#This Row],[backlog_habiles]]&gt;p_dias_backlog_max,"BACKLOG","MES CORRIENTE")))</f>
        <v/>
      </c>
      <c r="AD510" s="3">
        <f>IF(tblOrdenes[[#This Row],[backlog_habiles]]="",FALSE,AND(tblOrdenes[[#This Row],[backlog_habiles]]&gt;p_dias_backlog_min,tblOrdenes[[#This Row],[backlog_habiles]]&lt;=p_dias_backlog_max))</f>
        <v/>
      </c>
      <c r="AE510" s="6" t="n"/>
      <c r="AF5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0" s="11">
        <f>IF(tblOrdenes[[#This Row],[orden]]="","",_xlfn.XLOOKUP(tblOrdenes[[#This Row],[id_operacion]],tblEjecucion[id_operacion],tblEjecucion[precio],0))</f>
        <v/>
      </c>
      <c r="AJ510" s="11">
        <f>IF(tblOrdenes[[#This Row],[orden]]="","",MAX(0,_xlfn.XLOOKUP(tblOrdenes[[#This Row],[id_operacion]],tblEjecucion[id_operacion],tblEjecucion[costo_plan_total],0)-tblOrdenes[[#This Row],[costo_servicio]]))</f>
        <v/>
      </c>
      <c r="AK510" s="11">
        <f>IF(tblOrdenes[[#This Row],[orden]]="","",tblOrdenes[[#This Row],[costo_servicio]]+tblOrdenes[[#This Row],[costo_materiales]])</f>
        <v/>
      </c>
      <c r="AL510" s="6" t="n"/>
      <c r="AM510" s="6" t="n"/>
      <c r="AN510" s="6" t="n"/>
      <c r="AO510" s="3">
        <f>IF(tblOrdenes[[#This Row],[link_checklist]]="","",HYPERLINK(p_ruta_base_checklists&amp;tblOrdenes[[#This Row],[link_checklist]],"abrir"))</f>
        <v/>
      </c>
      <c r="AP510" s="6" t="n"/>
      <c r="AQ510" s="3">
        <f>IF(tblOrdenes[[#This Row],[orden]]="","",tblOrdenes[[#This Row],[orden]]&amp;IF(tblOrdenes[[#This Row],[operacion]]="","0010",tblOrdenes[[#This Row],[operacion]]))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2" t="n"/>
      <c r="K511" s="3" t="n"/>
      <c r="L511" s="11" t="n"/>
      <c r="M5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1" s="3">
        <f>IF(tblOrdenes[[#This Row],[fecha_inicio]]="","",YEAR(tblOrdenes[[#This Row],[fecha_inicio]]))</f>
        <v/>
      </c>
      <c r="Q511" s="3">
        <f>IF(tblOrdenes[[#This Row],[fecha_inicio]]="","",MONTH(tblOrdenes[[#This Row],[fecha_inicio]]))</f>
        <v/>
      </c>
      <c r="R511" s="3">
        <f>IF(tblOrdenes[[#This Row],[fecha_inicio]]="","",INDEX(lista_dias,WEEKDAY(tblOrdenes[[#This Row],[fecha_inicio]],2)))</f>
        <v/>
      </c>
      <c r="S5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1" s="3">
        <f>IF(tblOrdenes[[#This Row],[tipo_ot]]="","",_xlfn.XLOOKUP(tblOrdenes[[#This Row],[tipo_ot]],tblTiposOT[codigo],tblTiposOT[clasificacion],"sin_clasificar"))</f>
        <v/>
      </c>
      <c r="U511" s="3">
        <f>IF(tblOrdenes[[#This Row],[centro_costo]]="","",_xlfn.XLOOKUP(tblOrdenes[[#This Row],[centro_costo]],tblCECO[codigo],tblCECO[linea],"(sin catálogo)"))</f>
        <v/>
      </c>
      <c r="V511" s="3">
        <f>IF(tblOrdenes[[#This Row],[centro_costo]]="","",_xlfn.XLOOKUP(tblOrdenes[[#This Row],[centro_costo]],tblCECO[codigo],tblCECO[area],"(sin catálogo)"))</f>
        <v/>
      </c>
      <c r="W5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1" s="3">
        <f>IF(tblOrdenes[[#This Row],[centro_costo]]="","",_xlfn.XLOOKUP(tblOrdenes[[#This Row],[centro_costo]],tblCECO[codigo],tblCECO[coordinador],"(sin catálogo)"))</f>
        <v/>
      </c>
      <c r="Y511" s="3">
        <f>IF(tblOrdenes[[#This Row],[puesto_trabajo]]="","",_xlfn.XLOOKUP(tblOrdenes[[#This Row],[puesto_trabajo]],tblPuestos[codigo],tblPuestos[especialidad],"(sin catálogo)"))</f>
        <v/>
      </c>
      <c r="Z511" s="3">
        <f>IF(tblOrdenes[[#This Row],[cod_actividad]]="","",_xlfn.XLOOKUP(tblOrdenes[[#This Row],[cod_actividad]],tblActividades[codigo],tblActividades[descripcion],"(sin catálogo)"))</f>
        <v/>
      </c>
      <c r="AA511" s="13">
        <f>IF(tblOrdenes[[#This Row],[fecha_inicio]]="","",TODAY()-tblOrdenes[[#This Row],[fecha_inicio]])</f>
        <v/>
      </c>
      <c r="AB5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1" s="3">
        <f>IF(tblOrdenes[[#This Row],[backlog_habiles]]="","",IF(tblOrdenes[[#This Row],[backlog_habiles]]&lt;0,"FUTURO",IF(tblOrdenes[[#This Row],[backlog_habiles]]&gt;p_dias_backlog_max,"BACKLOG","MES CORRIENTE")))</f>
        <v/>
      </c>
      <c r="AD511" s="3">
        <f>IF(tblOrdenes[[#This Row],[backlog_habiles]]="",FALSE,AND(tblOrdenes[[#This Row],[backlog_habiles]]&gt;p_dias_backlog_min,tblOrdenes[[#This Row],[backlog_habiles]]&lt;=p_dias_backlog_max))</f>
        <v/>
      </c>
      <c r="AE511" s="6" t="n"/>
      <c r="AF5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1" s="11">
        <f>IF(tblOrdenes[[#This Row],[orden]]="","",_xlfn.XLOOKUP(tblOrdenes[[#This Row],[id_operacion]],tblEjecucion[id_operacion],tblEjecucion[precio],0))</f>
        <v/>
      </c>
      <c r="AJ511" s="11">
        <f>IF(tblOrdenes[[#This Row],[orden]]="","",MAX(0,_xlfn.XLOOKUP(tblOrdenes[[#This Row],[id_operacion]],tblEjecucion[id_operacion],tblEjecucion[costo_plan_total],0)-tblOrdenes[[#This Row],[costo_servicio]]))</f>
        <v/>
      </c>
      <c r="AK511" s="11">
        <f>IF(tblOrdenes[[#This Row],[orden]]="","",tblOrdenes[[#This Row],[costo_servicio]]+tblOrdenes[[#This Row],[costo_materiales]])</f>
        <v/>
      </c>
      <c r="AL511" s="6" t="n"/>
      <c r="AM511" s="6" t="n"/>
      <c r="AN511" s="6" t="n"/>
      <c r="AO511" s="3">
        <f>IF(tblOrdenes[[#This Row],[link_checklist]]="","",HYPERLINK(p_ruta_base_checklists&amp;tblOrdenes[[#This Row],[link_checklist]],"abrir"))</f>
        <v/>
      </c>
      <c r="AP511" s="6" t="n"/>
      <c r="AQ511" s="3">
        <f>IF(tblOrdenes[[#This Row],[orden]]="","",tblOrdenes[[#This Row],[orden]]&amp;IF(tblOrdenes[[#This Row],[operacion]]="","0010",tblOrdenes[[#This Row],[operacion]]))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2" t="n"/>
      <c r="K512" s="3" t="n"/>
      <c r="L512" s="11" t="n"/>
      <c r="M5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2" s="3">
        <f>IF(tblOrdenes[[#This Row],[fecha_inicio]]="","",YEAR(tblOrdenes[[#This Row],[fecha_inicio]]))</f>
        <v/>
      </c>
      <c r="Q512" s="3">
        <f>IF(tblOrdenes[[#This Row],[fecha_inicio]]="","",MONTH(tblOrdenes[[#This Row],[fecha_inicio]]))</f>
        <v/>
      </c>
      <c r="R512" s="3">
        <f>IF(tblOrdenes[[#This Row],[fecha_inicio]]="","",INDEX(lista_dias,WEEKDAY(tblOrdenes[[#This Row],[fecha_inicio]],2)))</f>
        <v/>
      </c>
      <c r="S5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2" s="3">
        <f>IF(tblOrdenes[[#This Row],[tipo_ot]]="","",_xlfn.XLOOKUP(tblOrdenes[[#This Row],[tipo_ot]],tblTiposOT[codigo],tblTiposOT[clasificacion],"sin_clasificar"))</f>
        <v/>
      </c>
      <c r="U512" s="3">
        <f>IF(tblOrdenes[[#This Row],[centro_costo]]="","",_xlfn.XLOOKUP(tblOrdenes[[#This Row],[centro_costo]],tblCECO[codigo],tblCECO[linea],"(sin catálogo)"))</f>
        <v/>
      </c>
      <c r="V512" s="3">
        <f>IF(tblOrdenes[[#This Row],[centro_costo]]="","",_xlfn.XLOOKUP(tblOrdenes[[#This Row],[centro_costo]],tblCECO[codigo],tblCECO[area],"(sin catálogo)"))</f>
        <v/>
      </c>
      <c r="W5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2" s="3">
        <f>IF(tblOrdenes[[#This Row],[centro_costo]]="","",_xlfn.XLOOKUP(tblOrdenes[[#This Row],[centro_costo]],tblCECO[codigo],tblCECO[coordinador],"(sin catálogo)"))</f>
        <v/>
      </c>
      <c r="Y512" s="3">
        <f>IF(tblOrdenes[[#This Row],[puesto_trabajo]]="","",_xlfn.XLOOKUP(tblOrdenes[[#This Row],[puesto_trabajo]],tblPuestos[codigo],tblPuestos[especialidad],"(sin catálogo)"))</f>
        <v/>
      </c>
      <c r="Z512" s="3">
        <f>IF(tblOrdenes[[#This Row],[cod_actividad]]="","",_xlfn.XLOOKUP(tblOrdenes[[#This Row],[cod_actividad]],tblActividades[codigo],tblActividades[descripcion],"(sin catálogo)"))</f>
        <v/>
      </c>
      <c r="AA512" s="13">
        <f>IF(tblOrdenes[[#This Row],[fecha_inicio]]="","",TODAY()-tblOrdenes[[#This Row],[fecha_inicio]])</f>
        <v/>
      </c>
      <c r="AB5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2" s="3">
        <f>IF(tblOrdenes[[#This Row],[backlog_habiles]]="","",IF(tblOrdenes[[#This Row],[backlog_habiles]]&lt;0,"FUTURO",IF(tblOrdenes[[#This Row],[backlog_habiles]]&gt;p_dias_backlog_max,"BACKLOG","MES CORRIENTE")))</f>
        <v/>
      </c>
      <c r="AD512" s="3">
        <f>IF(tblOrdenes[[#This Row],[backlog_habiles]]="",FALSE,AND(tblOrdenes[[#This Row],[backlog_habiles]]&gt;p_dias_backlog_min,tblOrdenes[[#This Row],[backlog_habiles]]&lt;=p_dias_backlog_max))</f>
        <v/>
      </c>
      <c r="AE512" s="6" t="n"/>
      <c r="AF5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2" s="11">
        <f>IF(tblOrdenes[[#This Row],[orden]]="","",_xlfn.XLOOKUP(tblOrdenes[[#This Row],[id_operacion]],tblEjecucion[id_operacion],tblEjecucion[precio],0))</f>
        <v/>
      </c>
      <c r="AJ512" s="11">
        <f>IF(tblOrdenes[[#This Row],[orden]]="","",MAX(0,_xlfn.XLOOKUP(tblOrdenes[[#This Row],[id_operacion]],tblEjecucion[id_operacion],tblEjecucion[costo_plan_total],0)-tblOrdenes[[#This Row],[costo_servicio]]))</f>
        <v/>
      </c>
      <c r="AK512" s="11">
        <f>IF(tblOrdenes[[#This Row],[orden]]="","",tblOrdenes[[#This Row],[costo_servicio]]+tblOrdenes[[#This Row],[costo_materiales]])</f>
        <v/>
      </c>
      <c r="AL512" s="6" t="n"/>
      <c r="AM512" s="6" t="n"/>
      <c r="AN512" s="6" t="n"/>
      <c r="AO512" s="3">
        <f>IF(tblOrdenes[[#This Row],[link_checklist]]="","",HYPERLINK(p_ruta_base_checklists&amp;tblOrdenes[[#This Row],[link_checklist]],"abrir"))</f>
        <v/>
      </c>
      <c r="AP512" s="6" t="n"/>
      <c r="AQ512" s="3">
        <f>IF(tblOrdenes[[#This Row],[orden]]="","",tblOrdenes[[#This Row],[orden]]&amp;IF(tblOrdenes[[#This Row],[operacion]]="","0010",tblOrdenes[[#This Row],[operacion]]))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2" t="n"/>
      <c r="K513" s="3" t="n"/>
      <c r="L513" s="11" t="n"/>
      <c r="M5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3" s="3">
        <f>IF(tblOrdenes[[#This Row],[fecha_inicio]]="","",YEAR(tblOrdenes[[#This Row],[fecha_inicio]]))</f>
        <v/>
      </c>
      <c r="Q513" s="3">
        <f>IF(tblOrdenes[[#This Row],[fecha_inicio]]="","",MONTH(tblOrdenes[[#This Row],[fecha_inicio]]))</f>
        <v/>
      </c>
      <c r="R513" s="3">
        <f>IF(tblOrdenes[[#This Row],[fecha_inicio]]="","",INDEX(lista_dias,WEEKDAY(tblOrdenes[[#This Row],[fecha_inicio]],2)))</f>
        <v/>
      </c>
      <c r="S5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3" s="3">
        <f>IF(tblOrdenes[[#This Row],[tipo_ot]]="","",_xlfn.XLOOKUP(tblOrdenes[[#This Row],[tipo_ot]],tblTiposOT[codigo],tblTiposOT[clasificacion],"sin_clasificar"))</f>
        <v/>
      </c>
      <c r="U513" s="3">
        <f>IF(tblOrdenes[[#This Row],[centro_costo]]="","",_xlfn.XLOOKUP(tblOrdenes[[#This Row],[centro_costo]],tblCECO[codigo],tblCECO[linea],"(sin catálogo)"))</f>
        <v/>
      </c>
      <c r="V513" s="3">
        <f>IF(tblOrdenes[[#This Row],[centro_costo]]="","",_xlfn.XLOOKUP(tblOrdenes[[#This Row],[centro_costo]],tblCECO[codigo],tblCECO[area],"(sin catálogo)"))</f>
        <v/>
      </c>
      <c r="W5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3" s="3">
        <f>IF(tblOrdenes[[#This Row],[centro_costo]]="","",_xlfn.XLOOKUP(tblOrdenes[[#This Row],[centro_costo]],tblCECO[codigo],tblCECO[coordinador],"(sin catálogo)"))</f>
        <v/>
      </c>
      <c r="Y513" s="3">
        <f>IF(tblOrdenes[[#This Row],[puesto_trabajo]]="","",_xlfn.XLOOKUP(tblOrdenes[[#This Row],[puesto_trabajo]],tblPuestos[codigo],tblPuestos[especialidad],"(sin catálogo)"))</f>
        <v/>
      </c>
      <c r="Z513" s="3">
        <f>IF(tblOrdenes[[#This Row],[cod_actividad]]="","",_xlfn.XLOOKUP(tblOrdenes[[#This Row],[cod_actividad]],tblActividades[codigo],tblActividades[descripcion],"(sin catálogo)"))</f>
        <v/>
      </c>
      <c r="AA513" s="13">
        <f>IF(tblOrdenes[[#This Row],[fecha_inicio]]="","",TODAY()-tblOrdenes[[#This Row],[fecha_inicio]])</f>
        <v/>
      </c>
      <c r="AB5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3" s="3">
        <f>IF(tblOrdenes[[#This Row],[backlog_habiles]]="","",IF(tblOrdenes[[#This Row],[backlog_habiles]]&lt;0,"FUTURO",IF(tblOrdenes[[#This Row],[backlog_habiles]]&gt;p_dias_backlog_max,"BACKLOG","MES CORRIENTE")))</f>
        <v/>
      </c>
      <c r="AD513" s="3">
        <f>IF(tblOrdenes[[#This Row],[backlog_habiles]]="",FALSE,AND(tblOrdenes[[#This Row],[backlog_habiles]]&gt;p_dias_backlog_min,tblOrdenes[[#This Row],[backlog_habiles]]&lt;=p_dias_backlog_max))</f>
        <v/>
      </c>
      <c r="AE513" s="6" t="n"/>
      <c r="AF5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3" s="11">
        <f>IF(tblOrdenes[[#This Row],[orden]]="","",_xlfn.XLOOKUP(tblOrdenes[[#This Row],[id_operacion]],tblEjecucion[id_operacion],tblEjecucion[precio],0))</f>
        <v/>
      </c>
      <c r="AJ513" s="11">
        <f>IF(tblOrdenes[[#This Row],[orden]]="","",MAX(0,_xlfn.XLOOKUP(tblOrdenes[[#This Row],[id_operacion]],tblEjecucion[id_operacion],tblEjecucion[costo_plan_total],0)-tblOrdenes[[#This Row],[costo_servicio]]))</f>
        <v/>
      </c>
      <c r="AK513" s="11">
        <f>IF(tblOrdenes[[#This Row],[orden]]="","",tblOrdenes[[#This Row],[costo_servicio]]+tblOrdenes[[#This Row],[costo_materiales]])</f>
        <v/>
      </c>
      <c r="AL513" s="6" t="n"/>
      <c r="AM513" s="6" t="n"/>
      <c r="AN513" s="6" t="n"/>
      <c r="AO513" s="3">
        <f>IF(tblOrdenes[[#This Row],[link_checklist]]="","",HYPERLINK(p_ruta_base_checklists&amp;tblOrdenes[[#This Row],[link_checklist]],"abrir"))</f>
        <v/>
      </c>
      <c r="AP513" s="6" t="n"/>
      <c r="AQ513" s="3">
        <f>IF(tblOrdenes[[#This Row],[orden]]="","",tblOrdenes[[#This Row],[orden]]&amp;IF(tblOrdenes[[#This Row],[operacion]]="","0010",tblOrdenes[[#This Row],[operacion]]))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2" t="n"/>
      <c r="K514" s="3" t="n"/>
      <c r="L514" s="11" t="n"/>
      <c r="M5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4" s="3">
        <f>IF(tblOrdenes[[#This Row],[fecha_inicio]]="","",YEAR(tblOrdenes[[#This Row],[fecha_inicio]]))</f>
        <v/>
      </c>
      <c r="Q514" s="3">
        <f>IF(tblOrdenes[[#This Row],[fecha_inicio]]="","",MONTH(tblOrdenes[[#This Row],[fecha_inicio]]))</f>
        <v/>
      </c>
      <c r="R514" s="3">
        <f>IF(tblOrdenes[[#This Row],[fecha_inicio]]="","",INDEX(lista_dias,WEEKDAY(tblOrdenes[[#This Row],[fecha_inicio]],2)))</f>
        <v/>
      </c>
      <c r="S5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4" s="3">
        <f>IF(tblOrdenes[[#This Row],[tipo_ot]]="","",_xlfn.XLOOKUP(tblOrdenes[[#This Row],[tipo_ot]],tblTiposOT[codigo],tblTiposOT[clasificacion],"sin_clasificar"))</f>
        <v/>
      </c>
      <c r="U514" s="3">
        <f>IF(tblOrdenes[[#This Row],[centro_costo]]="","",_xlfn.XLOOKUP(tblOrdenes[[#This Row],[centro_costo]],tblCECO[codigo],tblCECO[linea],"(sin catálogo)"))</f>
        <v/>
      </c>
      <c r="V514" s="3">
        <f>IF(tblOrdenes[[#This Row],[centro_costo]]="","",_xlfn.XLOOKUP(tblOrdenes[[#This Row],[centro_costo]],tblCECO[codigo],tblCECO[area],"(sin catálogo)"))</f>
        <v/>
      </c>
      <c r="W5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4" s="3">
        <f>IF(tblOrdenes[[#This Row],[centro_costo]]="","",_xlfn.XLOOKUP(tblOrdenes[[#This Row],[centro_costo]],tblCECO[codigo],tblCECO[coordinador],"(sin catálogo)"))</f>
        <v/>
      </c>
      <c r="Y514" s="3">
        <f>IF(tblOrdenes[[#This Row],[puesto_trabajo]]="","",_xlfn.XLOOKUP(tblOrdenes[[#This Row],[puesto_trabajo]],tblPuestos[codigo],tblPuestos[especialidad],"(sin catálogo)"))</f>
        <v/>
      </c>
      <c r="Z514" s="3">
        <f>IF(tblOrdenes[[#This Row],[cod_actividad]]="","",_xlfn.XLOOKUP(tblOrdenes[[#This Row],[cod_actividad]],tblActividades[codigo],tblActividades[descripcion],"(sin catálogo)"))</f>
        <v/>
      </c>
      <c r="AA514" s="13">
        <f>IF(tblOrdenes[[#This Row],[fecha_inicio]]="","",TODAY()-tblOrdenes[[#This Row],[fecha_inicio]])</f>
        <v/>
      </c>
      <c r="AB5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4" s="3">
        <f>IF(tblOrdenes[[#This Row],[backlog_habiles]]="","",IF(tblOrdenes[[#This Row],[backlog_habiles]]&lt;0,"FUTURO",IF(tblOrdenes[[#This Row],[backlog_habiles]]&gt;p_dias_backlog_max,"BACKLOG","MES CORRIENTE")))</f>
        <v/>
      </c>
      <c r="AD514" s="3">
        <f>IF(tblOrdenes[[#This Row],[backlog_habiles]]="",FALSE,AND(tblOrdenes[[#This Row],[backlog_habiles]]&gt;p_dias_backlog_min,tblOrdenes[[#This Row],[backlog_habiles]]&lt;=p_dias_backlog_max))</f>
        <v/>
      </c>
      <c r="AE514" s="6" t="n"/>
      <c r="AF5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4" s="11">
        <f>IF(tblOrdenes[[#This Row],[orden]]="","",_xlfn.XLOOKUP(tblOrdenes[[#This Row],[id_operacion]],tblEjecucion[id_operacion],tblEjecucion[precio],0))</f>
        <v/>
      </c>
      <c r="AJ514" s="11">
        <f>IF(tblOrdenes[[#This Row],[orden]]="","",MAX(0,_xlfn.XLOOKUP(tblOrdenes[[#This Row],[id_operacion]],tblEjecucion[id_operacion],tblEjecucion[costo_plan_total],0)-tblOrdenes[[#This Row],[costo_servicio]]))</f>
        <v/>
      </c>
      <c r="AK514" s="11">
        <f>IF(tblOrdenes[[#This Row],[orden]]="","",tblOrdenes[[#This Row],[costo_servicio]]+tblOrdenes[[#This Row],[costo_materiales]])</f>
        <v/>
      </c>
      <c r="AL514" s="6" t="n"/>
      <c r="AM514" s="6" t="n"/>
      <c r="AN514" s="6" t="n"/>
      <c r="AO514" s="3">
        <f>IF(tblOrdenes[[#This Row],[link_checklist]]="","",HYPERLINK(p_ruta_base_checklists&amp;tblOrdenes[[#This Row],[link_checklist]],"abrir"))</f>
        <v/>
      </c>
      <c r="AP514" s="6" t="n"/>
      <c r="AQ514" s="3">
        <f>IF(tblOrdenes[[#This Row],[orden]]="","",tblOrdenes[[#This Row],[orden]]&amp;IF(tblOrdenes[[#This Row],[operacion]]="","0010",tblOrdenes[[#This Row],[operacion]]))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2" t="n"/>
      <c r="K515" s="3" t="n"/>
      <c r="L515" s="11" t="n"/>
      <c r="M5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5" s="3">
        <f>IF(tblOrdenes[[#This Row],[fecha_inicio]]="","",YEAR(tblOrdenes[[#This Row],[fecha_inicio]]))</f>
        <v/>
      </c>
      <c r="Q515" s="3">
        <f>IF(tblOrdenes[[#This Row],[fecha_inicio]]="","",MONTH(tblOrdenes[[#This Row],[fecha_inicio]]))</f>
        <v/>
      </c>
      <c r="R515" s="3">
        <f>IF(tblOrdenes[[#This Row],[fecha_inicio]]="","",INDEX(lista_dias,WEEKDAY(tblOrdenes[[#This Row],[fecha_inicio]],2)))</f>
        <v/>
      </c>
      <c r="S5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5" s="3">
        <f>IF(tblOrdenes[[#This Row],[tipo_ot]]="","",_xlfn.XLOOKUP(tblOrdenes[[#This Row],[tipo_ot]],tblTiposOT[codigo],tblTiposOT[clasificacion],"sin_clasificar"))</f>
        <v/>
      </c>
      <c r="U515" s="3">
        <f>IF(tblOrdenes[[#This Row],[centro_costo]]="","",_xlfn.XLOOKUP(tblOrdenes[[#This Row],[centro_costo]],tblCECO[codigo],tblCECO[linea],"(sin catálogo)"))</f>
        <v/>
      </c>
      <c r="V515" s="3">
        <f>IF(tblOrdenes[[#This Row],[centro_costo]]="","",_xlfn.XLOOKUP(tblOrdenes[[#This Row],[centro_costo]],tblCECO[codigo],tblCECO[area],"(sin catálogo)"))</f>
        <v/>
      </c>
      <c r="W5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5" s="3">
        <f>IF(tblOrdenes[[#This Row],[centro_costo]]="","",_xlfn.XLOOKUP(tblOrdenes[[#This Row],[centro_costo]],tblCECO[codigo],tblCECO[coordinador],"(sin catálogo)"))</f>
        <v/>
      </c>
      <c r="Y515" s="3">
        <f>IF(tblOrdenes[[#This Row],[puesto_trabajo]]="","",_xlfn.XLOOKUP(tblOrdenes[[#This Row],[puesto_trabajo]],tblPuestos[codigo],tblPuestos[especialidad],"(sin catálogo)"))</f>
        <v/>
      </c>
      <c r="Z515" s="3">
        <f>IF(tblOrdenes[[#This Row],[cod_actividad]]="","",_xlfn.XLOOKUP(tblOrdenes[[#This Row],[cod_actividad]],tblActividades[codigo],tblActividades[descripcion],"(sin catálogo)"))</f>
        <v/>
      </c>
      <c r="AA515" s="13">
        <f>IF(tblOrdenes[[#This Row],[fecha_inicio]]="","",TODAY()-tblOrdenes[[#This Row],[fecha_inicio]])</f>
        <v/>
      </c>
      <c r="AB5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5" s="3">
        <f>IF(tblOrdenes[[#This Row],[backlog_habiles]]="","",IF(tblOrdenes[[#This Row],[backlog_habiles]]&lt;0,"FUTURO",IF(tblOrdenes[[#This Row],[backlog_habiles]]&gt;p_dias_backlog_max,"BACKLOG","MES CORRIENTE")))</f>
        <v/>
      </c>
      <c r="AD515" s="3">
        <f>IF(tblOrdenes[[#This Row],[backlog_habiles]]="",FALSE,AND(tblOrdenes[[#This Row],[backlog_habiles]]&gt;p_dias_backlog_min,tblOrdenes[[#This Row],[backlog_habiles]]&lt;=p_dias_backlog_max))</f>
        <v/>
      </c>
      <c r="AE515" s="6" t="n"/>
      <c r="AF5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5" s="11">
        <f>IF(tblOrdenes[[#This Row],[orden]]="","",_xlfn.XLOOKUP(tblOrdenes[[#This Row],[id_operacion]],tblEjecucion[id_operacion],tblEjecucion[precio],0))</f>
        <v/>
      </c>
      <c r="AJ515" s="11">
        <f>IF(tblOrdenes[[#This Row],[orden]]="","",MAX(0,_xlfn.XLOOKUP(tblOrdenes[[#This Row],[id_operacion]],tblEjecucion[id_operacion],tblEjecucion[costo_plan_total],0)-tblOrdenes[[#This Row],[costo_servicio]]))</f>
        <v/>
      </c>
      <c r="AK515" s="11">
        <f>IF(tblOrdenes[[#This Row],[orden]]="","",tblOrdenes[[#This Row],[costo_servicio]]+tblOrdenes[[#This Row],[costo_materiales]])</f>
        <v/>
      </c>
      <c r="AL515" s="6" t="n"/>
      <c r="AM515" s="6" t="n"/>
      <c r="AN515" s="6" t="n"/>
      <c r="AO515" s="3">
        <f>IF(tblOrdenes[[#This Row],[link_checklist]]="","",HYPERLINK(p_ruta_base_checklists&amp;tblOrdenes[[#This Row],[link_checklist]],"abrir"))</f>
        <v/>
      </c>
      <c r="AP515" s="6" t="n"/>
      <c r="AQ515" s="3">
        <f>IF(tblOrdenes[[#This Row],[orden]]="","",tblOrdenes[[#This Row],[orden]]&amp;IF(tblOrdenes[[#This Row],[operacion]]="","0010",tblOrdenes[[#This Row],[operacion]]))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2" t="n"/>
      <c r="K516" s="3" t="n"/>
      <c r="L516" s="11" t="n"/>
      <c r="M5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6" s="3">
        <f>IF(tblOrdenes[[#This Row],[fecha_inicio]]="","",YEAR(tblOrdenes[[#This Row],[fecha_inicio]]))</f>
        <v/>
      </c>
      <c r="Q516" s="3">
        <f>IF(tblOrdenes[[#This Row],[fecha_inicio]]="","",MONTH(tblOrdenes[[#This Row],[fecha_inicio]]))</f>
        <v/>
      </c>
      <c r="R516" s="3">
        <f>IF(tblOrdenes[[#This Row],[fecha_inicio]]="","",INDEX(lista_dias,WEEKDAY(tblOrdenes[[#This Row],[fecha_inicio]],2)))</f>
        <v/>
      </c>
      <c r="S5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6" s="3">
        <f>IF(tblOrdenes[[#This Row],[tipo_ot]]="","",_xlfn.XLOOKUP(tblOrdenes[[#This Row],[tipo_ot]],tblTiposOT[codigo],tblTiposOT[clasificacion],"sin_clasificar"))</f>
        <v/>
      </c>
      <c r="U516" s="3">
        <f>IF(tblOrdenes[[#This Row],[centro_costo]]="","",_xlfn.XLOOKUP(tblOrdenes[[#This Row],[centro_costo]],tblCECO[codigo],tblCECO[linea],"(sin catálogo)"))</f>
        <v/>
      </c>
      <c r="V516" s="3">
        <f>IF(tblOrdenes[[#This Row],[centro_costo]]="","",_xlfn.XLOOKUP(tblOrdenes[[#This Row],[centro_costo]],tblCECO[codigo],tblCECO[area],"(sin catálogo)"))</f>
        <v/>
      </c>
      <c r="W5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6" s="3">
        <f>IF(tblOrdenes[[#This Row],[centro_costo]]="","",_xlfn.XLOOKUP(tblOrdenes[[#This Row],[centro_costo]],tblCECO[codigo],tblCECO[coordinador],"(sin catálogo)"))</f>
        <v/>
      </c>
      <c r="Y516" s="3">
        <f>IF(tblOrdenes[[#This Row],[puesto_trabajo]]="","",_xlfn.XLOOKUP(tblOrdenes[[#This Row],[puesto_trabajo]],tblPuestos[codigo],tblPuestos[especialidad],"(sin catálogo)"))</f>
        <v/>
      </c>
      <c r="Z516" s="3">
        <f>IF(tblOrdenes[[#This Row],[cod_actividad]]="","",_xlfn.XLOOKUP(tblOrdenes[[#This Row],[cod_actividad]],tblActividades[codigo],tblActividades[descripcion],"(sin catálogo)"))</f>
        <v/>
      </c>
      <c r="AA516" s="13">
        <f>IF(tblOrdenes[[#This Row],[fecha_inicio]]="","",TODAY()-tblOrdenes[[#This Row],[fecha_inicio]])</f>
        <v/>
      </c>
      <c r="AB5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6" s="3">
        <f>IF(tblOrdenes[[#This Row],[backlog_habiles]]="","",IF(tblOrdenes[[#This Row],[backlog_habiles]]&lt;0,"FUTURO",IF(tblOrdenes[[#This Row],[backlog_habiles]]&gt;p_dias_backlog_max,"BACKLOG","MES CORRIENTE")))</f>
        <v/>
      </c>
      <c r="AD516" s="3">
        <f>IF(tblOrdenes[[#This Row],[backlog_habiles]]="",FALSE,AND(tblOrdenes[[#This Row],[backlog_habiles]]&gt;p_dias_backlog_min,tblOrdenes[[#This Row],[backlog_habiles]]&lt;=p_dias_backlog_max))</f>
        <v/>
      </c>
      <c r="AE516" s="6" t="n"/>
      <c r="AF5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6" s="11">
        <f>IF(tblOrdenes[[#This Row],[orden]]="","",_xlfn.XLOOKUP(tblOrdenes[[#This Row],[id_operacion]],tblEjecucion[id_operacion],tblEjecucion[precio],0))</f>
        <v/>
      </c>
      <c r="AJ516" s="11">
        <f>IF(tblOrdenes[[#This Row],[orden]]="","",MAX(0,_xlfn.XLOOKUP(tblOrdenes[[#This Row],[id_operacion]],tblEjecucion[id_operacion],tblEjecucion[costo_plan_total],0)-tblOrdenes[[#This Row],[costo_servicio]]))</f>
        <v/>
      </c>
      <c r="AK516" s="11">
        <f>IF(tblOrdenes[[#This Row],[orden]]="","",tblOrdenes[[#This Row],[costo_servicio]]+tblOrdenes[[#This Row],[costo_materiales]])</f>
        <v/>
      </c>
      <c r="AL516" s="6" t="n"/>
      <c r="AM516" s="6" t="n"/>
      <c r="AN516" s="6" t="n"/>
      <c r="AO516" s="3">
        <f>IF(tblOrdenes[[#This Row],[link_checklist]]="","",HYPERLINK(p_ruta_base_checklists&amp;tblOrdenes[[#This Row],[link_checklist]],"abrir"))</f>
        <v/>
      </c>
      <c r="AP516" s="6" t="n"/>
      <c r="AQ516" s="3">
        <f>IF(tblOrdenes[[#This Row],[orden]]="","",tblOrdenes[[#This Row],[orden]]&amp;IF(tblOrdenes[[#This Row],[operacion]]="","0010",tblOrdenes[[#This Row],[operacion]]))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2" t="n"/>
      <c r="K517" s="3" t="n"/>
      <c r="L517" s="11" t="n"/>
      <c r="M5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7" s="3">
        <f>IF(tblOrdenes[[#This Row],[fecha_inicio]]="","",YEAR(tblOrdenes[[#This Row],[fecha_inicio]]))</f>
        <v/>
      </c>
      <c r="Q517" s="3">
        <f>IF(tblOrdenes[[#This Row],[fecha_inicio]]="","",MONTH(tblOrdenes[[#This Row],[fecha_inicio]]))</f>
        <v/>
      </c>
      <c r="R517" s="3">
        <f>IF(tblOrdenes[[#This Row],[fecha_inicio]]="","",INDEX(lista_dias,WEEKDAY(tblOrdenes[[#This Row],[fecha_inicio]],2)))</f>
        <v/>
      </c>
      <c r="S5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7" s="3">
        <f>IF(tblOrdenes[[#This Row],[tipo_ot]]="","",_xlfn.XLOOKUP(tblOrdenes[[#This Row],[tipo_ot]],tblTiposOT[codigo],tblTiposOT[clasificacion],"sin_clasificar"))</f>
        <v/>
      </c>
      <c r="U517" s="3">
        <f>IF(tblOrdenes[[#This Row],[centro_costo]]="","",_xlfn.XLOOKUP(tblOrdenes[[#This Row],[centro_costo]],tblCECO[codigo],tblCECO[linea],"(sin catálogo)"))</f>
        <v/>
      </c>
      <c r="V517" s="3">
        <f>IF(tblOrdenes[[#This Row],[centro_costo]]="","",_xlfn.XLOOKUP(tblOrdenes[[#This Row],[centro_costo]],tblCECO[codigo],tblCECO[area],"(sin catálogo)"))</f>
        <v/>
      </c>
      <c r="W5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7" s="3">
        <f>IF(tblOrdenes[[#This Row],[centro_costo]]="","",_xlfn.XLOOKUP(tblOrdenes[[#This Row],[centro_costo]],tblCECO[codigo],tblCECO[coordinador],"(sin catálogo)"))</f>
        <v/>
      </c>
      <c r="Y517" s="3">
        <f>IF(tblOrdenes[[#This Row],[puesto_trabajo]]="","",_xlfn.XLOOKUP(tblOrdenes[[#This Row],[puesto_trabajo]],tblPuestos[codigo],tblPuestos[especialidad],"(sin catálogo)"))</f>
        <v/>
      </c>
      <c r="Z517" s="3">
        <f>IF(tblOrdenes[[#This Row],[cod_actividad]]="","",_xlfn.XLOOKUP(tblOrdenes[[#This Row],[cod_actividad]],tblActividades[codigo],tblActividades[descripcion],"(sin catálogo)"))</f>
        <v/>
      </c>
      <c r="AA517" s="13">
        <f>IF(tblOrdenes[[#This Row],[fecha_inicio]]="","",TODAY()-tblOrdenes[[#This Row],[fecha_inicio]])</f>
        <v/>
      </c>
      <c r="AB5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7" s="3">
        <f>IF(tblOrdenes[[#This Row],[backlog_habiles]]="","",IF(tblOrdenes[[#This Row],[backlog_habiles]]&lt;0,"FUTURO",IF(tblOrdenes[[#This Row],[backlog_habiles]]&gt;p_dias_backlog_max,"BACKLOG","MES CORRIENTE")))</f>
        <v/>
      </c>
      <c r="AD517" s="3">
        <f>IF(tblOrdenes[[#This Row],[backlog_habiles]]="",FALSE,AND(tblOrdenes[[#This Row],[backlog_habiles]]&gt;p_dias_backlog_min,tblOrdenes[[#This Row],[backlog_habiles]]&lt;=p_dias_backlog_max))</f>
        <v/>
      </c>
      <c r="AE517" s="6" t="n"/>
      <c r="AF5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7" s="11">
        <f>IF(tblOrdenes[[#This Row],[orden]]="","",_xlfn.XLOOKUP(tblOrdenes[[#This Row],[id_operacion]],tblEjecucion[id_operacion],tblEjecucion[precio],0))</f>
        <v/>
      </c>
      <c r="AJ517" s="11">
        <f>IF(tblOrdenes[[#This Row],[orden]]="","",MAX(0,_xlfn.XLOOKUP(tblOrdenes[[#This Row],[id_operacion]],tblEjecucion[id_operacion],tblEjecucion[costo_plan_total],0)-tblOrdenes[[#This Row],[costo_servicio]]))</f>
        <v/>
      </c>
      <c r="AK517" s="11">
        <f>IF(tblOrdenes[[#This Row],[orden]]="","",tblOrdenes[[#This Row],[costo_servicio]]+tblOrdenes[[#This Row],[costo_materiales]])</f>
        <v/>
      </c>
      <c r="AL517" s="6" t="n"/>
      <c r="AM517" s="6" t="n"/>
      <c r="AN517" s="6" t="n"/>
      <c r="AO517" s="3">
        <f>IF(tblOrdenes[[#This Row],[link_checklist]]="","",HYPERLINK(p_ruta_base_checklists&amp;tblOrdenes[[#This Row],[link_checklist]],"abrir"))</f>
        <v/>
      </c>
      <c r="AP517" s="6" t="n"/>
      <c r="AQ517" s="3">
        <f>IF(tblOrdenes[[#This Row],[orden]]="","",tblOrdenes[[#This Row],[orden]]&amp;IF(tblOrdenes[[#This Row],[operacion]]="","0010",tblOrdenes[[#This Row],[operacion]]))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2" t="n"/>
      <c r="K518" s="3" t="n"/>
      <c r="L518" s="11" t="n"/>
      <c r="M5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8" s="3">
        <f>IF(tblOrdenes[[#This Row],[fecha_inicio]]="","",YEAR(tblOrdenes[[#This Row],[fecha_inicio]]))</f>
        <v/>
      </c>
      <c r="Q518" s="3">
        <f>IF(tblOrdenes[[#This Row],[fecha_inicio]]="","",MONTH(tblOrdenes[[#This Row],[fecha_inicio]]))</f>
        <v/>
      </c>
      <c r="R518" s="3">
        <f>IF(tblOrdenes[[#This Row],[fecha_inicio]]="","",INDEX(lista_dias,WEEKDAY(tblOrdenes[[#This Row],[fecha_inicio]],2)))</f>
        <v/>
      </c>
      <c r="S5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8" s="3">
        <f>IF(tblOrdenes[[#This Row],[tipo_ot]]="","",_xlfn.XLOOKUP(tblOrdenes[[#This Row],[tipo_ot]],tblTiposOT[codigo],tblTiposOT[clasificacion],"sin_clasificar"))</f>
        <v/>
      </c>
      <c r="U518" s="3">
        <f>IF(tblOrdenes[[#This Row],[centro_costo]]="","",_xlfn.XLOOKUP(tblOrdenes[[#This Row],[centro_costo]],tblCECO[codigo],tblCECO[linea],"(sin catálogo)"))</f>
        <v/>
      </c>
      <c r="V518" s="3">
        <f>IF(tblOrdenes[[#This Row],[centro_costo]]="","",_xlfn.XLOOKUP(tblOrdenes[[#This Row],[centro_costo]],tblCECO[codigo],tblCECO[area],"(sin catálogo)"))</f>
        <v/>
      </c>
      <c r="W5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8" s="3">
        <f>IF(tblOrdenes[[#This Row],[centro_costo]]="","",_xlfn.XLOOKUP(tblOrdenes[[#This Row],[centro_costo]],tblCECO[codigo],tblCECO[coordinador],"(sin catálogo)"))</f>
        <v/>
      </c>
      <c r="Y518" s="3">
        <f>IF(tblOrdenes[[#This Row],[puesto_trabajo]]="","",_xlfn.XLOOKUP(tblOrdenes[[#This Row],[puesto_trabajo]],tblPuestos[codigo],tblPuestos[especialidad],"(sin catálogo)"))</f>
        <v/>
      </c>
      <c r="Z518" s="3">
        <f>IF(tblOrdenes[[#This Row],[cod_actividad]]="","",_xlfn.XLOOKUP(tblOrdenes[[#This Row],[cod_actividad]],tblActividades[codigo],tblActividades[descripcion],"(sin catálogo)"))</f>
        <v/>
      </c>
      <c r="AA518" s="13">
        <f>IF(tblOrdenes[[#This Row],[fecha_inicio]]="","",TODAY()-tblOrdenes[[#This Row],[fecha_inicio]])</f>
        <v/>
      </c>
      <c r="AB5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8" s="3">
        <f>IF(tblOrdenes[[#This Row],[backlog_habiles]]="","",IF(tblOrdenes[[#This Row],[backlog_habiles]]&lt;0,"FUTURO",IF(tblOrdenes[[#This Row],[backlog_habiles]]&gt;p_dias_backlog_max,"BACKLOG","MES CORRIENTE")))</f>
        <v/>
      </c>
      <c r="AD518" s="3">
        <f>IF(tblOrdenes[[#This Row],[backlog_habiles]]="",FALSE,AND(tblOrdenes[[#This Row],[backlog_habiles]]&gt;p_dias_backlog_min,tblOrdenes[[#This Row],[backlog_habiles]]&lt;=p_dias_backlog_max))</f>
        <v/>
      </c>
      <c r="AE518" s="6" t="n"/>
      <c r="AF5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8" s="11">
        <f>IF(tblOrdenes[[#This Row],[orden]]="","",_xlfn.XLOOKUP(tblOrdenes[[#This Row],[id_operacion]],tblEjecucion[id_operacion],tblEjecucion[precio],0))</f>
        <v/>
      </c>
      <c r="AJ518" s="11">
        <f>IF(tblOrdenes[[#This Row],[orden]]="","",MAX(0,_xlfn.XLOOKUP(tblOrdenes[[#This Row],[id_operacion]],tblEjecucion[id_operacion],tblEjecucion[costo_plan_total],0)-tblOrdenes[[#This Row],[costo_servicio]]))</f>
        <v/>
      </c>
      <c r="AK518" s="11">
        <f>IF(tblOrdenes[[#This Row],[orden]]="","",tblOrdenes[[#This Row],[costo_servicio]]+tblOrdenes[[#This Row],[costo_materiales]])</f>
        <v/>
      </c>
      <c r="AL518" s="6" t="n"/>
      <c r="AM518" s="6" t="n"/>
      <c r="AN518" s="6" t="n"/>
      <c r="AO518" s="3">
        <f>IF(tblOrdenes[[#This Row],[link_checklist]]="","",HYPERLINK(p_ruta_base_checklists&amp;tblOrdenes[[#This Row],[link_checklist]],"abrir"))</f>
        <v/>
      </c>
      <c r="AP518" s="6" t="n"/>
      <c r="AQ518" s="3">
        <f>IF(tblOrdenes[[#This Row],[orden]]="","",tblOrdenes[[#This Row],[orden]]&amp;IF(tblOrdenes[[#This Row],[operacion]]="","0010",tblOrdenes[[#This Row],[operacion]]))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2" t="n"/>
      <c r="K519" s="3" t="n"/>
      <c r="L519" s="11" t="n"/>
      <c r="M5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9" s="3">
        <f>IF(tblOrdenes[[#This Row],[fecha_inicio]]="","",YEAR(tblOrdenes[[#This Row],[fecha_inicio]]))</f>
        <v/>
      </c>
      <c r="Q519" s="3">
        <f>IF(tblOrdenes[[#This Row],[fecha_inicio]]="","",MONTH(tblOrdenes[[#This Row],[fecha_inicio]]))</f>
        <v/>
      </c>
      <c r="R519" s="3">
        <f>IF(tblOrdenes[[#This Row],[fecha_inicio]]="","",INDEX(lista_dias,WEEKDAY(tblOrdenes[[#This Row],[fecha_inicio]],2)))</f>
        <v/>
      </c>
      <c r="S5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9" s="3">
        <f>IF(tblOrdenes[[#This Row],[tipo_ot]]="","",_xlfn.XLOOKUP(tblOrdenes[[#This Row],[tipo_ot]],tblTiposOT[codigo],tblTiposOT[clasificacion],"sin_clasificar"))</f>
        <v/>
      </c>
      <c r="U519" s="3">
        <f>IF(tblOrdenes[[#This Row],[centro_costo]]="","",_xlfn.XLOOKUP(tblOrdenes[[#This Row],[centro_costo]],tblCECO[codigo],tblCECO[linea],"(sin catálogo)"))</f>
        <v/>
      </c>
      <c r="V519" s="3">
        <f>IF(tblOrdenes[[#This Row],[centro_costo]]="","",_xlfn.XLOOKUP(tblOrdenes[[#This Row],[centro_costo]],tblCECO[codigo],tblCECO[area],"(sin catálogo)"))</f>
        <v/>
      </c>
      <c r="W5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9" s="3">
        <f>IF(tblOrdenes[[#This Row],[centro_costo]]="","",_xlfn.XLOOKUP(tblOrdenes[[#This Row],[centro_costo]],tblCECO[codigo],tblCECO[coordinador],"(sin catálogo)"))</f>
        <v/>
      </c>
      <c r="Y519" s="3">
        <f>IF(tblOrdenes[[#This Row],[puesto_trabajo]]="","",_xlfn.XLOOKUP(tblOrdenes[[#This Row],[puesto_trabajo]],tblPuestos[codigo],tblPuestos[especialidad],"(sin catálogo)"))</f>
        <v/>
      </c>
      <c r="Z519" s="3">
        <f>IF(tblOrdenes[[#This Row],[cod_actividad]]="","",_xlfn.XLOOKUP(tblOrdenes[[#This Row],[cod_actividad]],tblActividades[codigo],tblActividades[descripcion],"(sin catálogo)"))</f>
        <v/>
      </c>
      <c r="AA519" s="13">
        <f>IF(tblOrdenes[[#This Row],[fecha_inicio]]="","",TODAY()-tblOrdenes[[#This Row],[fecha_inicio]])</f>
        <v/>
      </c>
      <c r="AB5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9" s="3">
        <f>IF(tblOrdenes[[#This Row],[backlog_habiles]]="","",IF(tblOrdenes[[#This Row],[backlog_habiles]]&lt;0,"FUTURO",IF(tblOrdenes[[#This Row],[backlog_habiles]]&gt;p_dias_backlog_max,"BACKLOG","MES CORRIENTE")))</f>
        <v/>
      </c>
      <c r="AD519" s="3">
        <f>IF(tblOrdenes[[#This Row],[backlog_habiles]]="",FALSE,AND(tblOrdenes[[#This Row],[backlog_habiles]]&gt;p_dias_backlog_min,tblOrdenes[[#This Row],[backlog_habiles]]&lt;=p_dias_backlog_max))</f>
        <v/>
      </c>
      <c r="AE519" s="6" t="n"/>
      <c r="AF5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9" s="11">
        <f>IF(tblOrdenes[[#This Row],[orden]]="","",_xlfn.XLOOKUP(tblOrdenes[[#This Row],[id_operacion]],tblEjecucion[id_operacion],tblEjecucion[precio],0))</f>
        <v/>
      </c>
      <c r="AJ519" s="11">
        <f>IF(tblOrdenes[[#This Row],[orden]]="","",MAX(0,_xlfn.XLOOKUP(tblOrdenes[[#This Row],[id_operacion]],tblEjecucion[id_operacion],tblEjecucion[costo_plan_total],0)-tblOrdenes[[#This Row],[costo_servicio]]))</f>
        <v/>
      </c>
      <c r="AK519" s="11">
        <f>IF(tblOrdenes[[#This Row],[orden]]="","",tblOrdenes[[#This Row],[costo_servicio]]+tblOrdenes[[#This Row],[costo_materiales]])</f>
        <v/>
      </c>
      <c r="AL519" s="6" t="n"/>
      <c r="AM519" s="6" t="n"/>
      <c r="AN519" s="6" t="n"/>
      <c r="AO519" s="3">
        <f>IF(tblOrdenes[[#This Row],[link_checklist]]="","",HYPERLINK(p_ruta_base_checklists&amp;tblOrdenes[[#This Row],[link_checklist]],"abrir"))</f>
        <v/>
      </c>
      <c r="AP519" s="6" t="n"/>
      <c r="AQ519" s="3">
        <f>IF(tblOrdenes[[#This Row],[orden]]="","",tblOrdenes[[#This Row],[orden]]&amp;IF(tblOrdenes[[#This Row],[operacion]]="","0010",tblOrdenes[[#This Row],[operacion]]))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2" t="n"/>
      <c r="K520" s="3" t="n"/>
      <c r="L520" s="11" t="n"/>
      <c r="M5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0" s="3">
        <f>IF(tblOrdenes[[#This Row],[fecha_inicio]]="","",YEAR(tblOrdenes[[#This Row],[fecha_inicio]]))</f>
        <v/>
      </c>
      <c r="Q520" s="3">
        <f>IF(tblOrdenes[[#This Row],[fecha_inicio]]="","",MONTH(tblOrdenes[[#This Row],[fecha_inicio]]))</f>
        <v/>
      </c>
      <c r="R520" s="3">
        <f>IF(tblOrdenes[[#This Row],[fecha_inicio]]="","",INDEX(lista_dias,WEEKDAY(tblOrdenes[[#This Row],[fecha_inicio]],2)))</f>
        <v/>
      </c>
      <c r="S5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0" s="3">
        <f>IF(tblOrdenes[[#This Row],[tipo_ot]]="","",_xlfn.XLOOKUP(tblOrdenes[[#This Row],[tipo_ot]],tblTiposOT[codigo],tblTiposOT[clasificacion],"sin_clasificar"))</f>
        <v/>
      </c>
      <c r="U520" s="3">
        <f>IF(tblOrdenes[[#This Row],[centro_costo]]="","",_xlfn.XLOOKUP(tblOrdenes[[#This Row],[centro_costo]],tblCECO[codigo],tblCECO[linea],"(sin catálogo)"))</f>
        <v/>
      </c>
      <c r="V520" s="3">
        <f>IF(tblOrdenes[[#This Row],[centro_costo]]="","",_xlfn.XLOOKUP(tblOrdenes[[#This Row],[centro_costo]],tblCECO[codigo],tblCECO[area],"(sin catálogo)"))</f>
        <v/>
      </c>
      <c r="W5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0" s="3">
        <f>IF(tblOrdenes[[#This Row],[centro_costo]]="","",_xlfn.XLOOKUP(tblOrdenes[[#This Row],[centro_costo]],tblCECO[codigo],tblCECO[coordinador],"(sin catálogo)"))</f>
        <v/>
      </c>
      <c r="Y520" s="3">
        <f>IF(tblOrdenes[[#This Row],[puesto_trabajo]]="","",_xlfn.XLOOKUP(tblOrdenes[[#This Row],[puesto_trabajo]],tblPuestos[codigo],tblPuestos[especialidad],"(sin catálogo)"))</f>
        <v/>
      </c>
      <c r="Z520" s="3">
        <f>IF(tblOrdenes[[#This Row],[cod_actividad]]="","",_xlfn.XLOOKUP(tblOrdenes[[#This Row],[cod_actividad]],tblActividades[codigo],tblActividades[descripcion],"(sin catálogo)"))</f>
        <v/>
      </c>
      <c r="AA520" s="13">
        <f>IF(tblOrdenes[[#This Row],[fecha_inicio]]="","",TODAY()-tblOrdenes[[#This Row],[fecha_inicio]])</f>
        <v/>
      </c>
      <c r="AB5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0" s="3">
        <f>IF(tblOrdenes[[#This Row],[backlog_habiles]]="","",IF(tblOrdenes[[#This Row],[backlog_habiles]]&lt;0,"FUTURO",IF(tblOrdenes[[#This Row],[backlog_habiles]]&gt;p_dias_backlog_max,"BACKLOG","MES CORRIENTE")))</f>
        <v/>
      </c>
      <c r="AD520" s="3">
        <f>IF(tblOrdenes[[#This Row],[backlog_habiles]]="",FALSE,AND(tblOrdenes[[#This Row],[backlog_habiles]]&gt;p_dias_backlog_min,tblOrdenes[[#This Row],[backlog_habiles]]&lt;=p_dias_backlog_max))</f>
        <v/>
      </c>
      <c r="AE520" s="6" t="n"/>
      <c r="AF5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0" s="11">
        <f>IF(tblOrdenes[[#This Row],[orden]]="","",_xlfn.XLOOKUP(tblOrdenes[[#This Row],[id_operacion]],tblEjecucion[id_operacion],tblEjecucion[precio],0))</f>
        <v/>
      </c>
      <c r="AJ520" s="11">
        <f>IF(tblOrdenes[[#This Row],[orden]]="","",MAX(0,_xlfn.XLOOKUP(tblOrdenes[[#This Row],[id_operacion]],tblEjecucion[id_operacion],tblEjecucion[costo_plan_total],0)-tblOrdenes[[#This Row],[costo_servicio]]))</f>
        <v/>
      </c>
      <c r="AK520" s="11">
        <f>IF(tblOrdenes[[#This Row],[orden]]="","",tblOrdenes[[#This Row],[costo_servicio]]+tblOrdenes[[#This Row],[costo_materiales]])</f>
        <v/>
      </c>
      <c r="AL520" s="6" t="n"/>
      <c r="AM520" s="6" t="n"/>
      <c r="AN520" s="6" t="n"/>
      <c r="AO520" s="3">
        <f>IF(tblOrdenes[[#This Row],[link_checklist]]="","",HYPERLINK(p_ruta_base_checklists&amp;tblOrdenes[[#This Row],[link_checklist]],"abrir"))</f>
        <v/>
      </c>
      <c r="AP520" s="6" t="n"/>
      <c r="AQ520" s="3">
        <f>IF(tblOrdenes[[#This Row],[orden]]="","",tblOrdenes[[#This Row],[orden]]&amp;IF(tblOrdenes[[#This Row],[operacion]]="","0010",tblOrdenes[[#This Row],[operacion]]))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2" t="n"/>
      <c r="K521" s="3" t="n"/>
      <c r="L521" s="11" t="n"/>
      <c r="M5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1" s="3">
        <f>IF(tblOrdenes[[#This Row],[fecha_inicio]]="","",YEAR(tblOrdenes[[#This Row],[fecha_inicio]]))</f>
        <v/>
      </c>
      <c r="Q521" s="3">
        <f>IF(tblOrdenes[[#This Row],[fecha_inicio]]="","",MONTH(tblOrdenes[[#This Row],[fecha_inicio]]))</f>
        <v/>
      </c>
      <c r="R521" s="3">
        <f>IF(tblOrdenes[[#This Row],[fecha_inicio]]="","",INDEX(lista_dias,WEEKDAY(tblOrdenes[[#This Row],[fecha_inicio]],2)))</f>
        <v/>
      </c>
      <c r="S5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1" s="3">
        <f>IF(tblOrdenes[[#This Row],[tipo_ot]]="","",_xlfn.XLOOKUP(tblOrdenes[[#This Row],[tipo_ot]],tblTiposOT[codigo],tblTiposOT[clasificacion],"sin_clasificar"))</f>
        <v/>
      </c>
      <c r="U521" s="3">
        <f>IF(tblOrdenes[[#This Row],[centro_costo]]="","",_xlfn.XLOOKUP(tblOrdenes[[#This Row],[centro_costo]],tblCECO[codigo],tblCECO[linea],"(sin catálogo)"))</f>
        <v/>
      </c>
      <c r="V521" s="3">
        <f>IF(tblOrdenes[[#This Row],[centro_costo]]="","",_xlfn.XLOOKUP(tblOrdenes[[#This Row],[centro_costo]],tblCECO[codigo],tblCECO[area],"(sin catálogo)"))</f>
        <v/>
      </c>
      <c r="W5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1" s="3">
        <f>IF(tblOrdenes[[#This Row],[centro_costo]]="","",_xlfn.XLOOKUP(tblOrdenes[[#This Row],[centro_costo]],tblCECO[codigo],tblCECO[coordinador],"(sin catálogo)"))</f>
        <v/>
      </c>
      <c r="Y521" s="3">
        <f>IF(tblOrdenes[[#This Row],[puesto_trabajo]]="","",_xlfn.XLOOKUP(tblOrdenes[[#This Row],[puesto_trabajo]],tblPuestos[codigo],tblPuestos[especialidad],"(sin catálogo)"))</f>
        <v/>
      </c>
      <c r="Z521" s="3">
        <f>IF(tblOrdenes[[#This Row],[cod_actividad]]="","",_xlfn.XLOOKUP(tblOrdenes[[#This Row],[cod_actividad]],tblActividades[codigo],tblActividades[descripcion],"(sin catálogo)"))</f>
        <v/>
      </c>
      <c r="AA521" s="13">
        <f>IF(tblOrdenes[[#This Row],[fecha_inicio]]="","",TODAY()-tblOrdenes[[#This Row],[fecha_inicio]])</f>
        <v/>
      </c>
      <c r="AB5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1" s="3">
        <f>IF(tblOrdenes[[#This Row],[backlog_habiles]]="","",IF(tblOrdenes[[#This Row],[backlog_habiles]]&lt;0,"FUTURO",IF(tblOrdenes[[#This Row],[backlog_habiles]]&gt;p_dias_backlog_max,"BACKLOG","MES CORRIENTE")))</f>
        <v/>
      </c>
      <c r="AD521" s="3">
        <f>IF(tblOrdenes[[#This Row],[backlog_habiles]]="",FALSE,AND(tblOrdenes[[#This Row],[backlog_habiles]]&gt;p_dias_backlog_min,tblOrdenes[[#This Row],[backlog_habiles]]&lt;=p_dias_backlog_max))</f>
        <v/>
      </c>
      <c r="AE521" s="6" t="n"/>
      <c r="AF5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1" s="11">
        <f>IF(tblOrdenes[[#This Row],[orden]]="","",_xlfn.XLOOKUP(tblOrdenes[[#This Row],[id_operacion]],tblEjecucion[id_operacion],tblEjecucion[precio],0))</f>
        <v/>
      </c>
      <c r="AJ521" s="11">
        <f>IF(tblOrdenes[[#This Row],[orden]]="","",MAX(0,_xlfn.XLOOKUP(tblOrdenes[[#This Row],[id_operacion]],tblEjecucion[id_operacion],tblEjecucion[costo_plan_total],0)-tblOrdenes[[#This Row],[costo_servicio]]))</f>
        <v/>
      </c>
      <c r="AK521" s="11">
        <f>IF(tblOrdenes[[#This Row],[orden]]="","",tblOrdenes[[#This Row],[costo_servicio]]+tblOrdenes[[#This Row],[costo_materiales]])</f>
        <v/>
      </c>
      <c r="AL521" s="6" t="n"/>
      <c r="AM521" s="6" t="n"/>
      <c r="AN521" s="6" t="n"/>
      <c r="AO521" s="3">
        <f>IF(tblOrdenes[[#This Row],[link_checklist]]="","",HYPERLINK(p_ruta_base_checklists&amp;tblOrdenes[[#This Row],[link_checklist]],"abrir"))</f>
        <v/>
      </c>
      <c r="AP521" s="6" t="n"/>
      <c r="AQ521" s="3">
        <f>IF(tblOrdenes[[#This Row],[orden]]="","",tblOrdenes[[#This Row],[orden]]&amp;IF(tblOrdenes[[#This Row],[operacion]]="","0010",tblOrdenes[[#This Row],[operacion]]))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2" t="n"/>
      <c r="K522" s="3" t="n"/>
      <c r="L522" s="11" t="n"/>
      <c r="M5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2" s="3">
        <f>IF(tblOrdenes[[#This Row],[fecha_inicio]]="","",YEAR(tblOrdenes[[#This Row],[fecha_inicio]]))</f>
        <v/>
      </c>
      <c r="Q522" s="3">
        <f>IF(tblOrdenes[[#This Row],[fecha_inicio]]="","",MONTH(tblOrdenes[[#This Row],[fecha_inicio]]))</f>
        <v/>
      </c>
      <c r="R522" s="3">
        <f>IF(tblOrdenes[[#This Row],[fecha_inicio]]="","",INDEX(lista_dias,WEEKDAY(tblOrdenes[[#This Row],[fecha_inicio]],2)))</f>
        <v/>
      </c>
      <c r="S5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2" s="3">
        <f>IF(tblOrdenes[[#This Row],[tipo_ot]]="","",_xlfn.XLOOKUP(tblOrdenes[[#This Row],[tipo_ot]],tblTiposOT[codigo],tblTiposOT[clasificacion],"sin_clasificar"))</f>
        <v/>
      </c>
      <c r="U522" s="3">
        <f>IF(tblOrdenes[[#This Row],[centro_costo]]="","",_xlfn.XLOOKUP(tblOrdenes[[#This Row],[centro_costo]],tblCECO[codigo],tblCECO[linea],"(sin catálogo)"))</f>
        <v/>
      </c>
      <c r="V522" s="3">
        <f>IF(tblOrdenes[[#This Row],[centro_costo]]="","",_xlfn.XLOOKUP(tblOrdenes[[#This Row],[centro_costo]],tblCECO[codigo],tblCECO[area],"(sin catálogo)"))</f>
        <v/>
      </c>
      <c r="W5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2" s="3">
        <f>IF(tblOrdenes[[#This Row],[centro_costo]]="","",_xlfn.XLOOKUP(tblOrdenes[[#This Row],[centro_costo]],tblCECO[codigo],tblCECO[coordinador],"(sin catálogo)"))</f>
        <v/>
      </c>
      <c r="Y522" s="3">
        <f>IF(tblOrdenes[[#This Row],[puesto_trabajo]]="","",_xlfn.XLOOKUP(tblOrdenes[[#This Row],[puesto_trabajo]],tblPuestos[codigo],tblPuestos[especialidad],"(sin catálogo)"))</f>
        <v/>
      </c>
      <c r="Z522" s="3">
        <f>IF(tblOrdenes[[#This Row],[cod_actividad]]="","",_xlfn.XLOOKUP(tblOrdenes[[#This Row],[cod_actividad]],tblActividades[codigo],tblActividades[descripcion],"(sin catálogo)"))</f>
        <v/>
      </c>
      <c r="AA522" s="13">
        <f>IF(tblOrdenes[[#This Row],[fecha_inicio]]="","",TODAY()-tblOrdenes[[#This Row],[fecha_inicio]])</f>
        <v/>
      </c>
      <c r="AB5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2" s="3">
        <f>IF(tblOrdenes[[#This Row],[backlog_habiles]]="","",IF(tblOrdenes[[#This Row],[backlog_habiles]]&lt;0,"FUTURO",IF(tblOrdenes[[#This Row],[backlog_habiles]]&gt;p_dias_backlog_max,"BACKLOG","MES CORRIENTE")))</f>
        <v/>
      </c>
      <c r="AD522" s="3">
        <f>IF(tblOrdenes[[#This Row],[backlog_habiles]]="",FALSE,AND(tblOrdenes[[#This Row],[backlog_habiles]]&gt;p_dias_backlog_min,tblOrdenes[[#This Row],[backlog_habiles]]&lt;=p_dias_backlog_max))</f>
        <v/>
      </c>
      <c r="AE522" s="6" t="n"/>
      <c r="AF5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2" s="11">
        <f>IF(tblOrdenes[[#This Row],[orden]]="","",_xlfn.XLOOKUP(tblOrdenes[[#This Row],[id_operacion]],tblEjecucion[id_operacion],tblEjecucion[precio],0))</f>
        <v/>
      </c>
      <c r="AJ522" s="11">
        <f>IF(tblOrdenes[[#This Row],[orden]]="","",MAX(0,_xlfn.XLOOKUP(tblOrdenes[[#This Row],[id_operacion]],tblEjecucion[id_operacion],tblEjecucion[costo_plan_total],0)-tblOrdenes[[#This Row],[costo_servicio]]))</f>
        <v/>
      </c>
      <c r="AK522" s="11">
        <f>IF(tblOrdenes[[#This Row],[orden]]="","",tblOrdenes[[#This Row],[costo_servicio]]+tblOrdenes[[#This Row],[costo_materiales]])</f>
        <v/>
      </c>
      <c r="AL522" s="6" t="n"/>
      <c r="AM522" s="6" t="n"/>
      <c r="AN522" s="6" t="n"/>
      <c r="AO522" s="3">
        <f>IF(tblOrdenes[[#This Row],[link_checklist]]="","",HYPERLINK(p_ruta_base_checklists&amp;tblOrdenes[[#This Row],[link_checklist]],"abrir"))</f>
        <v/>
      </c>
      <c r="AP522" s="6" t="n"/>
      <c r="AQ522" s="3">
        <f>IF(tblOrdenes[[#This Row],[orden]]="","",tblOrdenes[[#This Row],[orden]]&amp;IF(tblOrdenes[[#This Row],[operacion]]="","0010",tblOrdenes[[#This Row],[operacion]]))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2" t="n"/>
      <c r="K523" s="3" t="n"/>
      <c r="L523" s="11" t="n"/>
      <c r="M5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3" s="3">
        <f>IF(tblOrdenes[[#This Row],[fecha_inicio]]="","",YEAR(tblOrdenes[[#This Row],[fecha_inicio]]))</f>
        <v/>
      </c>
      <c r="Q523" s="3">
        <f>IF(tblOrdenes[[#This Row],[fecha_inicio]]="","",MONTH(tblOrdenes[[#This Row],[fecha_inicio]]))</f>
        <v/>
      </c>
      <c r="R523" s="3">
        <f>IF(tblOrdenes[[#This Row],[fecha_inicio]]="","",INDEX(lista_dias,WEEKDAY(tblOrdenes[[#This Row],[fecha_inicio]],2)))</f>
        <v/>
      </c>
      <c r="S5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3" s="3">
        <f>IF(tblOrdenes[[#This Row],[tipo_ot]]="","",_xlfn.XLOOKUP(tblOrdenes[[#This Row],[tipo_ot]],tblTiposOT[codigo],tblTiposOT[clasificacion],"sin_clasificar"))</f>
        <v/>
      </c>
      <c r="U523" s="3">
        <f>IF(tblOrdenes[[#This Row],[centro_costo]]="","",_xlfn.XLOOKUP(tblOrdenes[[#This Row],[centro_costo]],tblCECO[codigo],tblCECO[linea],"(sin catálogo)"))</f>
        <v/>
      </c>
      <c r="V523" s="3">
        <f>IF(tblOrdenes[[#This Row],[centro_costo]]="","",_xlfn.XLOOKUP(tblOrdenes[[#This Row],[centro_costo]],tblCECO[codigo],tblCECO[area],"(sin catálogo)"))</f>
        <v/>
      </c>
      <c r="W5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3" s="3">
        <f>IF(tblOrdenes[[#This Row],[centro_costo]]="","",_xlfn.XLOOKUP(tblOrdenes[[#This Row],[centro_costo]],tblCECO[codigo],tblCECO[coordinador],"(sin catálogo)"))</f>
        <v/>
      </c>
      <c r="Y523" s="3">
        <f>IF(tblOrdenes[[#This Row],[puesto_trabajo]]="","",_xlfn.XLOOKUP(tblOrdenes[[#This Row],[puesto_trabajo]],tblPuestos[codigo],tblPuestos[especialidad],"(sin catálogo)"))</f>
        <v/>
      </c>
      <c r="Z523" s="3">
        <f>IF(tblOrdenes[[#This Row],[cod_actividad]]="","",_xlfn.XLOOKUP(tblOrdenes[[#This Row],[cod_actividad]],tblActividades[codigo],tblActividades[descripcion],"(sin catálogo)"))</f>
        <v/>
      </c>
      <c r="AA523" s="13">
        <f>IF(tblOrdenes[[#This Row],[fecha_inicio]]="","",TODAY()-tblOrdenes[[#This Row],[fecha_inicio]])</f>
        <v/>
      </c>
      <c r="AB5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3" s="3">
        <f>IF(tblOrdenes[[#This Row],[backlog_habiles]]="","",IF(tblOrdenes[[#This Row],[backlog_habiles]]&lt;0,"FUTURO",IF(tblOrdenes[[#This Row],[backlog_habiles]]&gt;p_dias_backlog_max,"BACKLOG","MES CORRIENTE")))</f>
        <v/>
      </c>
      <c r="AD523" s="3">
        <f>IF(tblOrdenes[[#This Row],[backlog_habiles]]="",FALSE,AND(tblOrdenes[[#This Row],[backlog_habiles]]&gt;p_dias_backlog_min,tblOrdenes[[#This Row],[backlog_habiles]]&lt;=p_dias_backlog_max))</f>
        <v/>
      </c>
      <c r="AE523" s="6" t="n"/>
      <c r="AF5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3" s="11">
        <f>IF(tblOrdenes[[#This Row],[orden]]="","",_xlfn.XLOOKUP(tblOrdenes[[#This Row],[id_operacion]],tblEjecucion[id_operacion],tblEjecucion[precio],0))</f>
        <v/>
      </c>
      <c r="AJ523" s="11">
        <f>IF(tblOrdenes[[#This Row],[orden]]="","",MAX(0,_xlfn.XLOOKUP(tblOrdenes[[#This Row],[id_operacion]],tblEjecucion[id_operacion],tblEjecucion[costo_plan_total],0)-tblOrdenes[[#This Row],[costo_servicio]]))</f>
        <v/>
      </c>
      <c r="AK523" s="11">
        <f>IF(tblOrdenes[[#This Row],[orden]]="","",tblOrdenes[[#This Row],[costo_servicio]]+tblOrdenes[[#This Row],[costo_materiales]])</f>
        <v/>
      </c>
      <c r="AL523" s="6" t="n"/>
      <c r="AM523" s="6" t="n"/>
      <c r="AN523" s="6" t="n"/>
      <c r="AO523" s="3">
        <f>IF(tblOrdenes[[#This Row],[link_checklist]]="","",HYPERLINK(p_ruta_base_checklists&amp;tblOrdenes[[#This Row],[link_checklist]],"abrir"))</f>
        <v/>
      </c>
      <c r="AP523" s="6" t="n"/>
      <c r="AQ523" s="3">
        <f>IF(tblOrdenes[[#This Row],[orden]]="","",tblOrdenes[[#This Row],[orden]]&amp;IF(tblOrdenes[[#This Row],[operacion]]="","0010",tblOrdenes[[#This Row],[operacion]]))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2" t="n"/>
      <c r="K524" s="3" t="n"/>
      <c r="L524" s="11" t="n"/>
      <c r="M5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4" s="3">
        <f>IF(tblOrdenes[[#This Row],[fecha_inicio]]="","",YEAR(tblOrdenes[[#This Row],[fecha_inicio]]))</f>
        <v/>
      </c>
      <c r="Q524" s="3">
        <f>IF(tblOrdenes[[#This Row],[fecha_inicio]]="","",MONTH(tblOrdenes[[#This Row],[fecha_inicio]]))</f>
        <v/>
      </c>
      <c r="R524" s="3">
        <f>IF(tblOrdenes[[#This Row],[fecha_inicio]]="","",INDEX(lista_dias,WEEKDAY(tblOrdenes[[#This Row],[fecha_inicio]],2)))</f>
        <v/>
      </c>
      <c r="S5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4" s="3">
        <f>IF(tblOrdenes[[#This Row],[tipo_ot]]="","",_xlfn.XLOOKUP(tblOrdenes[[#This Row],[tipo_ot]],tblTiposOT[codigo],tblTiposOT[clasificacion],"sin_clasificar"))</f>
        <v/>
      </c>
      <c r="U524" s="3">
        <f>IF(tblOrdenes[[#This Row],[centro_costo]]="","",_xlfn.XLOOKUP(tblOrdenes[[#This Row],[centro_costo]],tblCECO[codigo],tblCECO[linea],"(sin catálogo)"))</f>
        <v/>
      </c>
      <c r="V524" s="3">
        <f>IF(tblOrdenes[[#This Row],[centro_costo]]="","",_xlfn.XLOOKUP(tblOrdenes[[#This Row],[centro_costo]],tblCECO[codigo],tblCECO[area],"(sin catálogo)"))</f>
        <v/>
      </c>
      <c r="W5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4" s="3">
        <f>IF(tblOrdenes[[#This Row],[centro_costo]]="","",_xlfn.XLOOKUP(tblOrdenes[[#This Row],[centro_costo]],tblCECO[codigo],tblCECO[coordinador],"(sin catálogo)"))</f>
        <v/>
      </c>
      <c r="Y524" s="3">
        <f>IF(tblOrdenes[[#This Row],[puesto_trabajo]]="","",_xlfn.XLOOKUP(tblOrdenes[[#This Row],[puesto_trabajo]],tblPuestos[codigo],tblPuestos[especialidad],"(sin catálogo)"))</f>
        <v/>
      </c>
      <c r="Z524" s="3">
        <f>IF(tblOrdenes[[#This Row],[cod_actividad]]="","",_xlfn.XLOOKUP(tblOrdenes[[#This Row],[cod_actividad]],tblActividades[codigo],tblActividades[descripcion],"(sin catálogo)"))</f>
        <v/>
      </c>
      <c r="AA524" s="13">
        <f>IF(tblOrdenes[[#This Row],[fecha_inicio]]="","",TODAY()-tblOrdenes[[#This Row],[fecha_inicio]])</f>
        <v/>
      </c>
      <c r="AB5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4" s="3">
        <f>IF(tblOrdenes[[#This Row],[backlog_habiles]]="","",IF(tblOrdenes[[#This Row],[backlog_habiles]]&lt;0,"FUTURO",IF(tblOrdenes[[#This Row],[backlog_habiles]]&gt;p_dias_backlog_max,"BACKLOG","MES CORRIENTE")))</f>
        <v/>
      </c>
      <c r="AD524" s="3">
        <f>IF(tblOrdenes[[#This Row],[backlog_habiles]]="",FALSE,AND(tblOrdenes[[#This Row],[backlog_habiles]]&gt;p_dias_backlog_min,tblOrdenes[[#This Row],[backlog_habiles]]&lt;=p_dias_backlog_max))</f>
        <v/>
      </c>
      <c r="AE524" s="6" t="n"/>
      <c r="AF5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4" s="11">
        <f>IF(tblOrdenes[[#This Row],[orden]]="","",_xlfn.XLOOKUP(tblOrdenes[[#This Row],[id_operacion]],tblEjecucion[id_operacion],tblEjecucion[precio],0))</f>
        <v/>
      </c>
      <c r="AJ524" s="11">
        <f>IF(tblOrdenes[[#This Row],[orden]]="","",MAX(0,_xlfn.XLOOKUP(tblOrdenes[[#This Row],[id_operacion]],tblEjecucion[id_operacion],tblEjecucion[costo_plan_total],0)-tblOrdenes[[#This Row],[costo_servicio]]))</f>
        <v/>
      </c>
      <c r="AK524" s="11">
        <f>IF(tblOrdenes[[#This Row],[orden]]="","",tblOrdenes[[#This Row],[costo_servicio]]+tblOrdenes[[#This Row],[costo_materiales]])</f>
        <v/>
      </c>
      <c r="AL524" s="6" t="n"/>
      <c r="AM524" s="6" t="n"/>
      <c r="AN524" s="6" t="n"/>
      <c r="AO524" s="3">
        <f>IF(tblOrdenes[[#This Row],[link_checklist]]="","",HYPERLINK(p_ruta_base_checklists&amp;tblOrdenes[[#This Row],[link_checklist]],"abrir"))</f>
        <v/>
      </c>
      <c r="AP524" s="6" t="n"/>
      <c r="AQ524" s="3">
        <f>IF(tblOrdenes[[#This Row],[orden]]="","",tblOrdenes[[#This Row],[orden]]&amp;IF(tblOrdenes[[#This Row],[operacion]]="","0010",tblOrdenes[[#This Row],[operacion]]))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2" t="n"/>
      <c r="K525" s="3" t="n"/>
      <c r="L525" s="11" t="n"/>
      <c r="M5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5" s="3">
        <f>IF(tblOrdenes[[#This Row],[fecha_inicio]]="","",YEAR(tblOrdenes[[#This Row],[fecha_inicio]]))</f>
        <v/>
      </c>
      <c r="Q525" s="3">
        <f>IF(tblOrdenes[[#This Row],[fecha_inicio]]="","",MONTH(tblOrdenes[[#This Row],[fecha_inicio]]))</f>
        <v/>
      </c>
      <c r="R525" s="3">
        <f>IF(tblOrdenes[[#This Row],[fecha_inicio]]="","",INDEX(lista_dias,WEEKDAY(tblOrdenes[[#This Row],[fecha_inicio]],2)))</f>
        <v/>
      </c>
      <c r="S5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5" s="3">
        <f>IF(tblOrdenes[[#This Row],[tipo_ot]]="","",_xlfn.XLOOKUP(tblOrdenes[[#This Row],[tipo_ot]],tblTiposOT[codigo],tblTiposOT[clasificacion],"sin_clasificar"))</f>
        <v/>
      </c>
      <c r="U525" s="3">
        <f>IF(tblOrdenes[[#This Row],[centro_costo]]="","",_xlfn.XLOOKUP(tblOrdenes[[#This Row],[centro_costo]],tblCECO[codigo],tblCECO[linea],"(sin catálogo)"))</f>
        <v/>
      </c>
      <c r="V525" s="3">
        <f>IF(tblOrdenes[[#This Row],[centro_costo]]="","",_xlfn.XLOOKUP(tblOrdenes[[#This Row],[centro_costo]],tblCECO[codigo],tblCECO[area],"(sin catálogo)"))</f>
        <v/>
      </c>
      <c r="W5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5" s="3">
        <f>IF(tblOrdenes[[#This Row],[centro_costo]]="","",_xlfn.XLOOKUP(tblOrdenes[[#This Row],[centro_costo]],tblCECO[codigo],tblCECO[coordinador],"(sin catálogo)"))</f>
        <v/>
      </c>
      <c r="Y525" s="3">
        <f>IF(tblOrdenes[[#This Row],[puesto_trabajo]]="","",_xlfn.XLOOKUP(tblOrdenes[[#This Row],[puesto_trabajo]],tblPuestos[codigo],tblPuestos[especialidad],"(sin catálogo)"))</f>
        <v/>
      </c>
      <c r="Z525" s="3">
        <f>IF(tblOrdenes[[#This Row],[cod_actividad]]="","",_xlfn.XLOOKUP(tblOrdenes[[#This Row],[cod_actividad]],tblActividades[codigo],tblActividades[descripcion],"(sin catálogo)"))</f>
        <v/>
      </c>
      <c r="AA525" s="13">
        <f>IF(tblOrdenes[[#This Row],[fecha_inicio]]="","",TODAY()-tblOrdenes[[#This Row],[fecha_inicio]])</f>
        <v/>
      </c>
      <c r="AB5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5" s="3">
        <f>IF(tblOrdenes[[#This Row],[backlog_habiles]]="","",IF(tblOrdenes[[#This Row],[backlog_habiles]]&lt;0,"FUTURO",IF(tblOrdenes[[#This Row],[backlog_habiles]]&gt;p_dias_backlog_max,"BACKLOG","MES CORRIENTE")))</f>
        <v/>
      </c>
      <c r="AD525" s="3">
        <f>IF(tblOrdenes[[#This Row],[backlog_habiles]]="",FALSE,AND(tblOrdenes[[#This Row],[backlog_habiles]]&gt;p_dias_backlog_min,tblOrdenes[[#This Row],[backlog_habiles]]&lt;=p_dias_backlog_max))</f>
        <v/>
      </c>
      <c r="AE525" s="6" t="n"/>
      <c r="AF5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5" s="11">
        <f>IF(tblOrdenes[[#This Row],[orden]]="","",_xlfn.XLOOKUP(tblOrdenes[[#This Row],[id_operacion]],tblEjecucion[id_operacion],tblEjecucion[precio],0))</f>
        <v/>
      </c>
      <c r="AJ525" s="11">
        <f>IF(tblOrdenes[[#This Row],[orden]]="","",MAX(0,_xlfn.XLOOKUP(tblOrdenes[[#This Row],[id_operacion]],tblEjecucion[id_operacion],tblEjecucion[costo_plan_total],0)-tblOrdenes[[#This Row],[costo_servicio]]))</f>
        <v/>
      </c>
      <c r="AK525" s="11">
        <f>IF(tblOrdenes[[#This Row],[orden]]="","",tblOrdenes[[#This Row],[costo_servicio]]+tblOrdenes[[#This Row],[costo_materiales]])</f>
        <v/>
      </c>
      <c r="AL525" s="6" t="n"/>
      <c r="AM525" s="6" t="n"/>
      <c r="AN525" s="6" t="n"/>
      <c r="AO525" s="3">
        <f>IF(tblOrdenes[[#This Row],[link_checklist]]="","",HYPERLINK(p_ruta_base_checklists&amp;tblOrdenes[[#This Row],[link_checklist]],"abrir"))</f>
        <v/>
      </c>
      <c r="AP525" s="6" t="n"/>
      <c r="AQ525" s="3">
        <f>IF(tblOrdenes[[#This Row],[orden]]="","",tblOrdenes[[#This Row],[orden]]&amp;IF(tblOrdenes[[#This Row],[operacion]]="","0010",tblOrdenes[[#This Row],[operacion]]))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2" t="n"/>
      <c r="K526" s="3" t="n"/>
      <c r="L526" s="11" t="n"/>
      <c r="M5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6" s="3">
        <f>IF(tblOrdenes[[#This Row],[fecha_inicio]]="","",YEAR(tblOrdenes[[#This Row],[fecha_inicio]]))</f>
        <v/>
      </c>
      <c r="Q526" s="3">
        <f>IF(tblOrdenes[[#This Row],[fecha_inicio]]="","",MONTH(tblOrdenes[[#This Row],[fecha_inicio]]))</f>
        <v/>
      </c>
      <c r="R526" s="3">
        <f>IF(tblOrdenes[[#This Row],[fecha_inicio]]="","",INDEX(lista_dias,WEEKDAY(tblOrdenes[[#This Row],[fecha_inicio]],2)))</f>
        <v/>
      </c>
      <c r="S5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6" s="3">
        <f>IF(tblOrdenes[[#This Row],[tipo_ot]]="","",_xlfn.XLOOKUP(tblOrdenes[[#This Row],[tipo_ot]],tblTiposOT[codigo],tblTiposOT[clasificacion],"sin_clasificar"))</f>
        <v/>
      </c>
      <c r="U526" s="3">
        <f>IF(tblOrdenes[[#This Row],[centro_costo]]="","",_xlfn.XLOOKUP(tblOrdenes[[#This Row],[centro_costo]],tblCECO[codigo],tblCECO[linea],"(sin catálogo)"))</f>
        <v/>
      </c>
      <c r="V526" s="3">
        <f>IF(tblOrdenes[[#This Row],[centro_costo]]="","",_xlfn.XLOOKUP(tblOrdenes[[#This Row],[centro_costo]],tblCECO[codigo],tblCECO[area],"(sin catálogo)"))</f>
        <v/>
      </c>
      <c r="W5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6" s="3">
        <f>IF(tblOrdenes[[#This Row],[centro_costo]]="","",_xlfn.XLOOKUP(tblOrdenes[[#This Row],[centro_costo]],tblCECO[codigo],tblCECO[coordinador],"(sin catálogo)"))</f>
        <v/>
      </c>
      <c r="Y526" s="3">
        <f>IF(tblOrdenes[[#This Row],[puesto_trabajo]]="","",_xlfn.XLOOKUP(tblOrdenes[[#This Row],[puesto_trabajo]],tblPuestos[codigo],tblPuestos[especialidad],"(sin catálogo)"))</f>
        <v/>
      </c>
      <c r="Z526" s="3">
        <f>IF(tblOrdenes[[#This Row],[cod_actividad]]="","",_xlfn.XLOOKUP(tblOrdenes[[#This Row],[cod_actividad]],tblActividades[codigo],tblActividades[descripcion],"(sin catálogo)"))</f>
        <v/>
      </c>
      <c r="AA526" s="13">
        <f>IF(tblOrdenes[[#This Row],[fecha_inicio]]="","",TODAY()-tblOrdenes[[#This Row],[fecha_inicio]])</f>
        <v/>
      </c>
      <c r="AB5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6" s="3">
        <f>IF(tblOrdenes[[#This Row],[backlog_habiles]]="","",IF(tblOrdenes[[#This Row],[backlog_habiles]]&lt;0,"FUTURO",IF(tblOrdenes[[#This Row],[backlog_habiles]]&gt;p_dias_backlog_max,"BACKLOG","MES CORRIENTE")))</f>
        <v/>
      </c>
      <c r="AD526" s="3">
        <f>IF(tblOrdenes[[#This Row],[backlog_habiles]]="",FALSE,AND(tblOrdenes[[#This Row],[backlog_habiles]]&gt;p_dias_backlog_min,tblOrdenes[[#This Row],[backlog_habiles]]&lt;=p_dias_backlog_max))</f>
        <v/>
      </c>
      <c r="AE526" s="6" t="n"/>
      <c r="AF5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6" s="11">
        <f>IF(tblOrdenes[[#This Row],[orden]]="","",_xlfn.XLOOKUP(tblOrdenes[[#This Row],[id_operacion]],tblEjecucion[id_operacion],tblEjecucion[precio],0))</f>
        <v/>
      </c>
      <c r="AJ526" s="11">
        <f>IF(tblOrdenes[[#This Row],[orden]]="","",MAX(0,_xlfn.XLOOKUP(tblOrdenes[[#This Row],[id_operacion]],tblEjecucion[id_operacion],tblEjecucion[costo_plan_total],0)-tblOrdenes[[#This Row],[costo_servicio]]))</f>
        <v/>
      </c>
      <c r="AK526" s="11">
        <f>IF(tblOrdenes[[#This Row],[orden]]="","",tblOrdenes[[#This Row],[costo_servicio]]+tblOrdenes[[#This Row],[costo_materiales]])</f>
        <v/>
      </c>
      <c r="AL526" s="6" t="n"/>
      <c r="AM526" s="6" t="n"/>
      <c r="AN526" s="6" t="n"/>
      <c r="AO526" s="3">
        <f>IF(tblOrdenes[[#This Row],[link_checklist]]="","",HYPERLINK(p_ruta_base_checklists&amp;tblOrdenes[[#This Row],[link_checklist]],"abrir"))</f>
        <v/>
      </c>
      <c r="AP526" s="6" t="n"/>
      <c r="AQ526" s="3">
        <f>IF(tblOrdenes[[#This Row],[orden]]="","",tblOrdenes[[#This Row],[orden]]&amp;IF(tblOrdenes[[#This Row],[operacion]]="","0010",tblOrdenes[[#This Row],[operacion]]))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2" t="n"/>
      <c r="K527" s="3" t="n"/>
      <c r="L527" s="11" t="n"/>
      <c r="M5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7" s="3">
        <f>IF(tblOrdenes[[#This Row],[fecha_inicio]]="","",YEAR(tblOrdenes[[#This Row],[fecha_inicio]]))</f>
        <v/>
      </c>
      <c r="Q527" s="3">
        <f>IF(tblOrdenes[[#This Row],[fecha_inicio]]="","",MONTH(tblOrdenes[[#This Row],[fecha_inicio]]))</f>
        <v/>
      </c>
      <c r="R527" s="3">
        <f>IF(tblOrdenes[[#This Row],[fecha_inicio]]="","",INDEX(lista_dias,WEEKDAY(tblOrdenes[[#This Row],[fecha_inicio]],2)))</f>
        <v/>
      </c>
      <c r="S5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7" s="3">
        <f>IF(tblOrdenes[[#This Row],[tipo_ot]]="","",_xlfn.XLOOKUP(tblOrdenes[[#This Row],[tipo_ot]],tblTiposOT[codigo],tblTiposOT[clasificacion],"sin_clasificar"))</f>
        <v/>
      </c>
      <c r="U527" s="3">
        <f>IF(tblOrdenes[[#This Row],[centro_costo]]="","",_xlfn.XLOOKUP(tblOrdenes[[#This Row],[centro_costo]],tblCECO[codigo],tblCECO[linea],"(sin catálogo)"))</f>
        <v/>
      </c>
      <c r="V527" s="3">
        <f>IF(tblOrdenes[[#This Row],[centro_costo]]="","",_xlfn.XLOOKUP(tblOrdenes[[#This Row],[centro_costo]],tblCECO[codigo],tblCECO[area],"(sin catálogo)"))</f>
        <v/>
      </c>
      <c r="W5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7" s="3">
        <f>IF(tblOrdenes[[#This Row],[centro_costo]]="","",_xlfn.XLOOKUP(tblOrdenes[[#This Row],[centro_costo]],tblCECO[codigo],tblCECO[coordinador],"(sin catálogo)"))</f>
        <v/>
      </c>
      <c r="Y527" s="3">
        <f>IF(tblOrdenes[[#This Row],[puesto_trabajo]]="","",_xlfn.XLOOKUP(tblOrdenes[[#This Row],[puesto_trabajo]],tblPuestos[codigo],tblPuestos[especialidad],"(sin catálogo)"))</f>
        <v/>
      </c>
      <c r="Z527" s="3">
        <f>IF(tblOrdenes[[#This Row],[cod_actividad]]="","",_xlfn.XLOOKUP(tblOrdenes[[#This Row],[cod_actividad]],tblActividades[codigo],tblActividades[descripcion],"(sin catálogo)"))</f>
        <v/>
      </c>
      <c r="AA527" s="13">
        <f>IF(tblOrdenes[[#This Row],[fecha_inicio]]="","",TODAY()-tblOrdenes[[#This Row],[fecha_inicio]])</f>
        <v/>
      </c>
      <c r="AB5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7" s="3">
        <f>IF(tblOrdenes[[#This Row],[backlog_habiles]]="","",IF(tblOrdenes[[#This Row],[backlog_habiles]]&lt;0,"FUTURO",IF(tblOrdenes[[#This Row],[backlog_habiles]]&gt;p_dias_backlog_max,"BACKLOG","MES CORRIENTE")))</f>
        <v/>
      </c>
      <c r="AD527" s="3">
        <f>IF(tblOrdenes[[#This Row],[backlog_habiles]]="",FALSE,AND(tblOrdenes[[#This Row],[backlog_habiles]]&gt;p_dias_backlog_min,tblOrdenes[[#This Row],[backlog_habiles]]&lt;=p_dias_backlog_max))</f>
        <v/>
      </c>
      <c r="AE527" s="6" t="n"/>
      <c r="AF5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7" s="11">
        <f>IF(tblOrdenes[[#This Row],[orden]]="","",_xlfn.XLOOKUP(tblOrdenes[[#This Row],[id_operacion]],tblEjecucion[id_operacion],tblEjecucion[precio],0))</f>
        <v/>
      </c>
      <c r="AJ527" s="11">
        <f>IF(tblOrdenes[[#This Row],[orden]]="","",MAX(0,_xlfn.XLOOKUP(tblOrdenes[[#This Row],[id_operacion]],tblEjecucion[id_operacion],tblEjecucion[costo_plan_total],0)-tblOrdenes[[#This Row],[costo_servicio]]))</f>
        <v/>
      </c>
      <c r="AK527" s="11">
        <f>IF(tblOrdenes[[#This Row],[orden]]="","",tblOrdenes[[#This Row],[costo_servicio]]+tblOrdenes[[#This Row],[costo_materiales]])</f>
        <v/>
      </c>
      <c r="AL527" s="6" t="n"/>
      <c r="AM527" s="6" t="n"/>
      <c r="AN527" s="6" t="n"/>
      <c r="AO527" s="3">
        <f>IF(tblOrdenes[[#This Row],[link_checklist]]="","",HYPERLINK(p_ruta_base_checklists&amp;tblOrdenes[[#This Row],[link_checklist]],"abrir"))</f>
        <v/>
      </c>
      <c r="AP527" s="6" t="n"/>
      <c r="AQ527" s="3">
        <f>IF(tblOrdenes[[#This Row],[orden]]="","",tblOrdenes[[#This Row],[orden]]&amp;IF(tblOrdenes[[#This Row],[operacion]]="","0010",tblOrdenes[[#This Row],[operacion]]))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2" t="n"/>
      <c r="K528" s="3" t="n"/>
      <c r="L528" s="11" t="n"/>
      <c r="M5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8" s="3">
        <f>IF(tblOrdenes[[#This Row],[fecha_inicio]]="","",YEAR(tblOrdenes[[#This Row],[fecha_inicio]]))</f>
        <v/>
      </c>
      <c r="Q528" s="3">
        <f>IF(tblOrdenes[[#This Row],[fecha_inicio]]="","",MONTH(tblOrdenes[[#This Row],[fecha_inicio]]))</f>
        <v/>
      </c>
      <c r="R528" s="3">
        <f>IF(tblOrdenes[[#This Row],[fecha_inicio]]="","",INDEX(lista_dias,WEEKDAY(tblOrdenes[[#This Row],[fecha_inicio]],2)))</f>
        <v/>
      </c>
      <c r="S5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8" s="3">
        <f>IF(tblOrdenes[[#This Row],[tipo_ot]]="","",_xlfn.XLOOKUP(tblOrdenes[[#This Row],[tipo_ot]],tblTiposOT[codigo],tblTiposOT[clasificacion],"sin_clasificar"))</f>
        <v/>
      </c>
      <c r="U528" s="3">
        <f>IF(tblOrdenes[[#This Row],[centro_costo]]="","",_xlfn.XLOOKUP(tblOrdenes[[#This Row],[centro_costo]],tblCECO[codigo],tblCECO[linea],"(sin catálogo)"))</f>
        <v/>
      </c>
      <c r="V528" s="3">
        <f>IF(tblOrdenes[[#This Row],[centro_costo]]="","",_xlfn.XLOOKUP(tblOrdenes[[#This Row],[centro_costo]],tblCECO[codigo],tblCECO[area],"(sin catálogo)"))</f>
        <v/>
      </c>
      <c r="W5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8" s="3">
        <f>IF(tblOrdenes[[#This Row],[centro_costo]]="","",_xlfn.XLOOKUP(tblOrdenes[[#This Row],[centro_costo]],tblCECO[codigo],tblCECO[coordinador],"(sin catálogo)"))</f>
        <v/>
      </c>
      <c r="Y528" s="3">
        <f>IF(tblOrdenes[[#This Row],[puesto_trabajo]]="","",_xlfn.XLOOKUP(tblOrdenes[[#This Row],[puesto_trabajo]],tblPuestos[codigo],tblPuestos[especialidad],"(sin catálogo)"))</f>
        <v/>
      </c>
      <c r="Z528" s="3">
        <f>IF(tblOrdenes[[#This Row],[cod_actividad]]="","",_xlfn.XLOOKUP(tblOrdenes[[#This Row],[cod_actividad]],tblActividades[codigo],tblActividades[descripcion],"(sin catálogo)"))</f>
        <v/>
      </c>
      <c r="AA528" s="13">
        <f>IF(tblOrdenes[[#This Row],[fecha_inicio]]="","",TODAY()-tblOrdenes[[#This Row],[fecha_inicio]])</f>
        <v/>
      </c>
      <c r="AB5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8" s="3">
        <f>IF(tblOrdenes[[#This Row],[backlog_habiles]]="","",IF(tblOrdenes[[#This Row],[backlog_habiles]]&lt;0,"FUTURO",IF(tblOrdenes[[#This Row],[backlog_habiles]]&gt;p_dias_backlog_max,"BACKLOG","MES CORRIENTE")))</f>
        <v/>
      </c>
      <c r="AD528" s="3">
        <f>IF(tblOrdenes[[#This Row],[backlog_habiles]]="",FALSE,AND(tblOrdenes[[#This Row],[backlog_habiles]]&gt;p_dias_backlog_min,tblOrdenes[[#This Row],[backlog_habiles]]&lt;=p_dias_backlog_max))</f>
        <v/>
      </c>
      <c r="AE528" s="6" t="n"/>
      <c r="AF5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8" s="11">
        <f>IF(tblOrdenes[[#This Row],[orden]]="","",_xlfn.XLOOKUP(tblOrdenes[[#This Row],[id_operacion]],tblEjecucion[id_operacion],tblEjecucion[precio],0))</f>
        <v/>
      </c>
      <c r="AJ528" s="11">
        <f>IF(tblOrdenes[[#This Row],[orden]]="","",MAX(0,_xlfn.XLOOKUP(tblOrdenes[[#This Row],[id_operacion]],tblEjecucion[id_operacion],tblEjecucion[costo_plan_total],0)-tblOrdenes[[#This Row],[costo_servicio]]))</f>
        <v/>
      </c>
      <c r="AK528" s="11">
        <f>IF(tblOrdenes[[#This Row],[orden]]="","",tblOrdenes[[#This Row],[costo_servicio]]+tblOrdenes[[#This Row],[costo_materiales]])</f>
        <v/>
      </c>
      <c r="AL528" s="6" t="n"/>
      <c r="AM528" s="6" t="n"/>
      <c r="AN528" s="6" t="n"/>
      <c r="AO528" s="3">
        <f>IF(tblOrdenes[[#This Row],[link_checklist]]="","",HYPERLINK(p_ruta_base_checklists&amp;tblOrdenes[[#This Row],[link_checklist]],"abrir"))</f>
        <v/>
      </c>
      <c r="AP528" s="6" t="n"/>
      <c r="AQ528" s="3">
        <f>IF(tblOrdenes[[#This Row],[orden]]="","",tblOrdenes[[#This Row],[orden]]&amp;IF(tblOrdenes[[#This Row],[operacion]]="","0010",tblOrdenes[[#This Row],[operacion]]))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2" t="n"/>
      <c r="K529" s="3" t="n"/>
      <c r="L529" s="11" t="n"/>
      <c r="M5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9" s="3">
        <f>IF(tblOrdenes[[#This Row],[fecha_inicio]]="","",YEAR(tblOrdenes[[#This Row],[fecha_inicio]]))</f>
        <v/>
      </c>
      <c r="Q529" s="3">
        <f>IF(tblOrdenes[[#This Row],[fecha_inicio]]="","",MONTH(tblOrdenes[[#This Row],[fecha_inicio]]))</f>
        <v/>
      </c>
      <c r="R529" s="3">
        <f>IF(tblOrdenes[[#This Row],[fecha_inicio]]="","",INDEX(lista_dias,WEEKDAY(tblOrdenes[[#This Row],[fecha_inicio]],2)))</f>
        <v/>
      </c>
      <c r="S5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9" s="3">
        <f>IF(tblOrdenes[[#This Row],[tipo_ot]]="","",_xlfn.XLOOKUP(tblOrdenes[[#This Row],[tipo_ot]],tblTiposOT[codigo],tblTiposOT[clasificacion],"sin_clasificar"))</f>
        <v/>
      </c>
      <c r="U529" s="3">
        <f>IF(tblOrdenes[[#This Row],[centro_costo]]="","",_xlfn.XLOOKUP(tblOrdenes[[#This Row],[centro_costo]],tblCECO[codigo],tblCECO[linea],"(sin catálogo)"))</f>
        <v/>
      </c>
      <c r="V529" s="3">
        <f>IF(tblOrdenes[[#This Row],[centro_costo]]="","",_xlfn.XLOOKUP(tblOrdenes[[#This Row],[centro_costo]],tblCECO[codigo],tblCECO[area],"(sin catálogo)"))</f>
        <v/>
      </c>
      <c r="W5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9" s="3">
        <f>IF(tblOrdenes[[#This Row],[centro_costo]]="","",_xlfn.XLOOKUP(tblOrdenes[[#This Row],[centro_costo]],tblCECO[codigo],tblCECO[coordinador],"(sin catálogo)"))</f>
        <v/>
      </c>
      <c r="Y529" s="3">
        <f>IF(tblOrdenes[[#This Row],[puesto_trabajo]]="","",_xlfn.XLOOKUP(tblOrdenes[[#This Row],[puesto_trabajo]],tblPuestos[codigo],tblPuestos[especialidad],"(sin catálogo)"))</f>
        <v/>
      </c>
      <c r="Z529" s="3">
        <f>IF(tblOrdenes[[#This Row],[cod_actividad]]="","",_xlfn.XLOOKUP(tblOrdenes[[#This Row],[cod_actividad]],tblActividades[codigo],tblActividades[descripcion],"(sin catálogo)"))</f>
        <v/>
      </c>
      <c r="AA529" s="13">
        <f>IF(tblOrdenes[[#This Row],[fecha_inicio]]="","",TODAY()-tblOrdenes[[#This Row],[fecha_inicio]])</f>
        <v/>
      </c>
      <c r="AB5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9" s="3">
        <f>IF(tblOrdenes[[#This Row],[backlog_habiles]]="","",IF(tblOrdenes[[#This Row],[backlog_habiles]]&lt;0,"FUTURO",IF(tblOrdenes[[#This Row],[backlog_habiles]]&gt;p_dias_backlog_max,"BACKLOG","MES CORRIENTE")))</f>
        <v/>
      </c>
      <c r="AD529" s="3">
        <f>IF(tblOrdenes[[#This Row],[backlog_habiles]]="",FALSE,AND(tblOrdenes[[#This Row],[backlog_habiles]]&gt;p_dias_backlog_min,tblOrdenes[[#This Row],[backlog_habiles]]&lt;=p_dias_backlog_max))</f>
        <v/>
      </c>
      <c r="AE529" s="6" t="n"/>
      <c r="AF5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9" s="11">
        <f>IF(tblOrdenes[[#This Row],[orden]]="","",_xlfn.XLOOKUP(tblOrdenes[[#This Row],[id_operacion]],tblEjecucion[id_operacion],tblEjecucion[precio],0))</f>
        <v/>
      </c>
      <c r="AJ529" s="11">
        <f>IF(tblOrdenes[[#This Row],[orden]]="","",MAX(0,_xlfn.XLOOKUP(tblOrdenes[[#This Row],[id_operacion]],tblEjecucion[id_operacion],tblEjecucion[costo_plan_total],0)-tblOrdenes[[#This Row],[costo_servicio]]))</f>
        <v/>
      </c>
      <c r="AK529" s="11">
        <f>IF(tblOrdenes[[#This Row],[orden]]="","",tblOrdenes[[#This Row],[costo_servicio]]+tblOrdenes[[#This Row],[costo_materiales]])</f>
        <v/>
      </c>
      <c r="AL529" s="6" t="n"/>
      <c r="AM529" s="6" t="n"/>
      <c r="AN529" s="6" t="n"/>
      <c r="AO529" s="3">
        <f>IF(tblOrdenes[[#This Row],[link_checklist]]="","",HYPERLINK(p_ruta_base_checklists&amp;tblOrdenes[[#This Row],[link_checklist]],"abrir"))</f>
        <v/>
      </c>
      <c r="AP529" s="6" t="n"/>
      <c r="AQ529" s="3">
        <f>IF(tblOrdenes[[#This Row],[orden]]="","",tblOrdenes[[#This Row],[orden]]&amp;IF(tblOrdenes[[#This Row],[operacion]]="","0010",tblOrdenes[[#This Row],[operacion]]))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2" t="n"/>
      <c r="K530" s="3" t="n"/>
      <c r="L530" s="11" t="n"/>
      <c r="M5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0" s="3">
        <f>IF(tblOrdenes[[#This Row],[fecha_inicio]]="","",YEAR(tblOrdenes[[#This Row],[fecha_inicio]]))</f>
        <v/>
      </c>
      <c r="Q530" s="3">
        <f>IF(tblOrdenes[[#This Row],[fecha_inicio]]="","",MONTH(tblOrdenes[[#This Row],[fecha_inicio]]))</f>
        <v/>
      </c>
      <c r="R530" s="3">
        <f>IF(tblOrdenes[[#This Row],[fecha_inicio]]="","",INDEX(lista_dias,WEEKDAY(tblOrdenes[[#This Row],[fecha_inicio]],2)))</f>
        <v/>
      </c>
      <c r="S5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0" s="3">
        <f>IF(tblOrdenes[[#This Row],[tipo_ot]]="","",_xlfn.XLOOKUP(tblOrdenes[[#This Row],[tipo_ot]],tblTiposOT[codigo],tblTiposOT[clasificacion],"sin_clasificar"))</f>
        <v/>
      </c>
      <c r="U530" s="3">
        <f>IF(tblOrdenes[[#This Row],[centro_costo]]="","",_xlfn.XLOOKUP(tblOrdenes[[#This Row],[centro_costo]],tblCECO[codigo],tblCECO[linea],"(sin catálogo)"))</f>
        <v/>
      </c>
      <c r="V530" s="3">
        <f>IF(tblOrdenes[[#This Row],[centro_costo]]="","",_xlfn.XLOOKUP(tblOrdenes[[#This Row],[centro_costo]],tblCECO[codigo],tblCECO[area],"(sin catálogo)"))</f>
        <v/>
      </c>
      <c r="W5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0" s="3">
        <f>IF(tblOrdenes[[#This Row],[centro_costo]]="","",_xlfn.XLOOKUP(tblOrdenes[[#This Row],[centro_costo]],tblCECO[codigo],tblCECO[coordinador],"(sin catálogo)"))</f>
        <v/>
      </c>
      <c r="Y530" s="3">
        <f>IF(tblOrdenes[[#This Row],[puesto_trabajo]]="","",_xlfn.XLOOKUP(tblOrdenes[[#This Row],[puesto_trabajo]],tblPuestos[codigo],tblPuestos[especialidad],"(sin catálogo)"))</f>
        <v/>
      </c>
      <c r="Z530" s="3">
        <f>IF(tblOrdenes[[#This Row],[cod_actividad]]="","",_xlfn.XLOOKUP(tblOrdenes[[#This Row],[cod_actividad]],tblActividades[codigo],tblActividades[descripcion],"(sin catálogo)"))</f>
        <v/>
      </c>
      <c r="AA530" s="13">
        <f>IF(tblOrdenes[[#This Row],[fecha_inicio]]="","",TODAY()-tblOrdenes[[#This Row],[fecha_inicio]])</f>
        <v/>
      </c>
      <c r="AB5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0" s="3">
        <f>IF(tblOrdenes[[#This Row],[backlog_habiles]]="","",IF(tblOrdenes[[#This Row],[backlog_habiles]]&lt;0,"FUTURO",IF(tblOrdenes[[#This Row],[backlog_habiles]]&gt;p_dias_backlog_max,"BACKLOG","MES CORRIENTE")))</f>
        <v/>
      </c>
      <c r="AD530" s="3">
        <f>IF(tblOrdenes[[#This Row],[backlog_habiles]]="",FALSE,AND(tblOrdenes[[#This Row],[backlog_habiles]]&gt;p_dias_backlog_min,tblOrdenes[[#This Row],[backlog_habiles]]&lt;=p_dias_backlog_max))</f>
        <v/>
      </c>
      <c r="AE530" s="6" t="n"/>
      <c r="AF5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0" s="11">
        <f>IF(tblOrdenes[[#This Row],[orden]]="","",_xlfn.XLOOKUP(tblOrdenes[[#This Row],[id_operacion]],tblEjecucion[id_operacion],tblEjecucion[precio],0))</f>
        <v/>
      </c>
      <c r="AJ530" s="11">
        <f>IF(tblOrdenes[[#This Row],[orden]]="","",MAX(0,_xlfn.XLOOKUP(tblOrdenes[[#This Row],[id_operacion]],tblEjecucion[id_operacion],tblEjecucion[costo_plan_total],0)-tblOrdenes[[#This Row],[costo_servicio]]))</f>
        <v/>
      </c>
      <c r="AK530" s="11">
        <f>IF(tblOrdenes[[#This Row],[orden]]="","",tblOrdenes[[#This Row],[costo_servicio]]+tblOrdenes[[#This Row],[costo_materiales]])</f>
        <v/>
      </c>
      <c r="AL530" s="6" t="n"/>
      <c r="AM530" s="6" t="n"/>
      <c r="AN530" s="6" t="n"/>
      <c r="AO530" s="3">
        <f>IF(tblOrdenes[[#This Row],[link_checklist]]="","",HYPERLINK(p_ruta_base_checklists&amp;tblOrdenes[[#This Row],[link_checklist]],"abrir"))</f>
        <v/>
      </c>
      <c r="AP530" s="6" t="n"/>
      <c r="AQ530" s="3">
        <f>IF(tblOrdenes[[#This Row],[orden]]="","",tblOrdenes[[#This Row],[orden]]&amp;IF(tblOrdenes[[#This Row],[operacion]]="","0010",tblOrdenes[[#This Row],[operacion]]))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2" t="n"/>
      <c r="K531" s="3" t="n"/>
      <c r="L531" s="11" t="n"/>
      <c r="M5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1" s="3">
        <f>IF(tblOrdenes[[#This Row],[fecha_inicio]]="","",YEAR(tblOrdenes[[#This Row],[fecha_inicio]]))</f>
        <v/>
      </c>
      <c r="Q531" s="3">
        <f>IF(tblOrdenes[[#This Row],[fecha_inicio]]="","",MONTH(tblOrdenes[[#This Row],[fecha_inicio]]))</f>
        <v/>
      </c>
      <c r="R531" s="3">
        <f>IF(tblOrdenes[[#This Row],[fecha_inicio]]="","",INDEX(lista_dias,WEEKDAY(tblOrdenes[[#This Row],[fecha_inicio]],2)))</f>
        <v/>
      </c>
      <c r="S5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1" s="3">
        <f>IF(tblOrdenes[[#This Row],[tipo_ot]]="","",_xlfn.XLOOKUP(tblOrdenes[[#This Row],[tipo_ot]],tblTiposOT[codigo],tblTiposOT[clasificacion],"sin_clasificar"))</f>
        <v/>
      </c>
      <c r="U531" s="3">
        <f>IF(tblOrdenes[[#This Row],[centro_costo]]="","",_xlfn.XLOOKUP(tblOrdenes[[#This Row],[centro_costo]],tblCECO[codigo],tblCECO[linea],"(sin catálogo)"))</f>
        <v/>
      </c>
      <c r="V531" s="3">
        <f>IF(tblOrdenes[[#This Row],[centro_costo]]="","",_xlfn.XLOOKUP(tblOrdenes[[#This Row],[centro_costo]],tblCECO[codigo],tblCECO[area],"(sin catálogo)"))</f>
        <v/>
      </c>
      <c r="W5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1" s="3">
        <f>IF(tblOrdenes[[#This Row],[centro_costo]]="","",_xlfn.XLOOKUP(tblOrdenes[[#This Row],[centro_costo]],tblCECO[codigo],tblCECO[coordinador],"(sin catálogo)"))</f>
        <v/>
      </c>
      <c r="Y531" s="3">
        <f>IF(tblOrdenes[[#This Row],[puesto_trabajo]]="","",_xlfn.XLOOKUP(tblOrdenes[[#This Row],[puesto_trabajo]],tblPuestos[codigo],tblPuestos[especialidad],"(sin catálogo)"))</f>
        <v/>
      </c>
      <c r="Z531" s="3">
        <f>IF(tblOrdenes[[#This Row],[cod_actividad]]="","",_xlfn.XLOOKUP(tblOrdenes[[#This Row],[cod_actividad]],tblActividades[codigo],tblActividades[descripcion],"(sin catálogo)"))</f>
        <v/>
      </c>
      <c r="AA531" s="13">
        <f>IF(tblOrdenes[[#This Row],[fecha_inicio]]="","",TODAY()-tblOrdenes[[#This Row],[fecha_inicio]])</f>
        <v/>
      </c>
      <c r="AB5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1" s="3">
        <f>IF(tblOrdenes[[#This Row],[backlog_habiles]]="","",IF(tblOrdenes[[#This Row],[backlog_habiles]]&lt;0,"FUTURO",IF(tblOrdenes[[#This Row],[backlog_habiles]]&gt;p_dias_backlog_max,"BACKLOG","MES CORRIENTE")))</f>
        <v/>
      </c>
      <c r="AD531" s="3">
        <f>IF(tblOrdenes[[#This Row],[backlog_habiles]]="",FALSE,AND(tblOrdenes[[#This Row],[backlog_habiles]]&gt;p_dias_backlog_min,tblOrdenes[[#This Row],[backlog_habiles]]&lt;=p_dias_backlog_max))</f>
        <v/>
      </c>
      <c r="AE531" s="6" t="n"/>
      <c r="AF5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1" s="11">
        <f>IF(tblOrdenes[[#This Row],[orden]]="","",_xlfn.XLOOKUP(tblOrdenes[[#This Row],[id_operacion]],tblEjecucion[id_operacion],tblEjecucion[precio],0))</f>
        <v/>
      </c>
      <c r="AJ531" s="11">
        <f>IF(tblOrdenes[[#This Row],[orden]]="","",MAX(0,_xlfn.XLOOKUP(tblOrdenes[[#This Row],[id_operacion]],tblEjecucion[id_operacion],tblEjecucion[costo_plan_total],0)-tblOrdenes[[#This Row],[costo_servicio]]))</f>
        <v/>
      </c>
      <c r="AK531" s="11">
        <f>IF(tblOrdenes[[#This Row],[orden]]="","",tblOrdenes[[#This Row],[costo_servicio]]+tblOrdenes[[#This Row],[costo_materiales]])</f>
        <v/>
      </c>
      <c r="AL531" s="6" t="n"/>
      <c r="AM531" s="6" t="n"/>
      <c r="AN531" s="6" t="n"/>
      <c r="AO531" s="3">
        <f>IF(tblOrdenes[[#This Row],[link_checklist]]="","",HYPERLINK(p_ruta_base_checklists&amp;tblOrdenes[[#This Row],[link_checklist]],"abrir"))</f>
        <v/>
      </c>
      <c r="AP531" s="6" t="n"/>
      <c r="AQ531" s="3">
        <f>IF(tblOrdenes[[#This Row],[orden]]="","",tblOrdenes[[#This Row],[orden]]&amp;IF(tblOrdenes[[#This Row],[operacion]]="","0010",tblOrdenes[[#This Row],[operacion]]))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2" t="n"/>
      <c r="K532" s="3" t="n"/>
      <c r="L532" s="11" t="n"/>
      <c r="M5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2" s="3">
        <f>IF(tblOrdenes[[#This Row],[fecha_inicio]]="","",YEAR(tblOrdenes[[#This Row],[fecha_inicio]]))</f>
        <v/>
      </c>
      <c r="Q532" s="3">
        <f>IF(tblOrdenes[[#This Row],[fecha_inicio]]="","",MONTH(tblOrdenes[[#This Row],[fecha_inicio]]))</f>
        <v/>
      </c>
      <c r="R532" s="3">
        <f>IF(tblOrdenes[[#This Row],[fecha_inicio]]="","",INDEX(lista_dias,WEEKDAY(tblOrdenes[[#This Row],[fecha_inicio]],2)))</f>
        <v/>
      </c>
      <c r="S5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2" s="3">
        <f>IF(tblOrdenes[[#This Row],[tipo_ot]]="","",_xlfn.XLOOKUP(tblOrdenes[[#This Row],[tipo_ot]],tblTiposOT[codigo],tblTiposOT[clasificacion],"sin_clasificar"))</f>
        <v/>
      </c>
      <c r="U532" s="3">
        <f>IF(tblOrdenes[[#This Row],[centro_costo]]="","",_xlfn.XLOOKUP(tblOrdenes[[#This Row],[centro_costo]],tblCECO[codigo],tblCECO[linea],"(sin catálogo)"))</f>
        <v/>
      </c>
      <c r="V532" s="3">
        <f>IF(tblOrdenes[[#This Row],[centro_costo]]="","",_xlfn.XLOOKUP(tblOrdenes[[#This Row],[centro_costo]],tblCECO[codigo],tblCECO[area],"(sin catálogo)"))</f>
        <v/>
      </c>
      <c r="W5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2" s="3">
        <f>IF(tblOrdenes[[#This Row],[centro_costo]]="","",_xlfn.XLOOKUP(tblOrdenes[[#This Row],[centro_costo]],tblCECO[codigo],tblCECO[coordinador],"(sin catálogo)"))</f>
        <v/>
      </c>
      <c r="Y532" s="3">
        <f>IF(tblOrdenes[[#This Row],[puesto_trabajo]]="","",_xlfn.XLOOKUP(tblOrdenes[[#This Row],[puesto_trabajo]],tblPuestos[codigo],tblPuestos[especialidad],"(sin catálogo)"))</f>
        <v/>
      </c>
      <c r="Z532" s="3">
        <f>IF(tblOrdenes[[#This Row],[cod_actividad]]="","",_xlfn.XLOOKUP(tblOrdenes[[#This Row],[cod_actividad]],tblActividades[codigo],tblActividades[descripcion],"(sin catálogo)"))</f>
        <v/>
      </c>
      <c r="AA532" s="13">
        <f>IF(tblOrdenes[[#This Row],[fecha_inicio]]="","",TODAY()-tblOrdenes[[#This Row],[fecha_inicio]])</f>
        <v/>
      </c>
      <c r="AB5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2" s="3">
        <f>IF(tblOrdenes[[#This Row],[backlog_habiles]]="","",IF(tblOrdenes[[#This Row],[backlog_habiles]]&lt;0,"FUTURO",IF(tblOrdenes[[#This Row],[backlog_habiles]]&gt;p_dias_backlog_max,"BACKLOG","MES CORRIENTE")))</f>
        <v/>
      </c>
      <c r="AD532" s="3">
        <f>IF(tblOrdenes[[#This Row],[backlog_habiles]]="",FALSE,AND(tblOrdenes[[#This Row],[backlog_habiles]]&gt;p_dias_backlog_min,tblOrdenes[[#This Row],[backlog_habiles]]&lt;=p_dias_backlog_max))</f>
        <v/>
      </c>
      <c r="AE532" s="6" t="n"/>
      <c r="AF5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2" s="11">
        <f>IF(tblOrdenes[[#This Row],[orden]]="","",_xlfn.XLOOKUP(tblOrdenes[[#This Row],[id_operacion]],tblEjecucion[id_operacion],tblEjecucion[precio],0))</f>
        <v/>
      </c>
      <c r="AJ532" s="11">
        <f>IF(tblOrdenes[[#This Row],[orden]]="","",MAX(0,_xlfn.XLOOKUP(tblOrdenes[[#This Row],[id_operacion]],tblEjecucion[id_operacion],tblEjecucion[costo_plan_total],0)-tblOrdenes[[#This Row],[costo_servicio]]))</f>
        <v/>
      </c>
      <c r="AK532" s="11">
        <f>IF(tblOrdenes[[#This Row],[orden]]="","",tblOrdenes[[#This Row],[costo_servicio]]+tblOrdenes[[#This Row],[costo_materiales]])</f>
        <v/>
      </c>
      <c r="AL532" s="6" t="n"/>
      <c r="AM532" s="6" t="n"/>
      <c r="AN532" s="6" t="n"/>
      <c r="AO532" s="3">
        <f>IF(tblOrdenes[[#This Row],[link_checklist]]="","",HYPERLINK(p_ruta_base_checklists&amp;tblOrdenes[[#This Row],[link_checklist]],"abrir"))</f>
        <v/>
      </c>
      <c r="AP532" s="6" t="n"/>
      <c r="AQ532" s="3">
        <f>IF(tblOrdenes[[#This Row],[orden]]="","",tblOrdenes[[#This Row],[orden]]&amp;IF(tblOrdenes[[#This Row],[operacion]]="","0010",tblOrdenes[[#This Row],[operacion]]))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2" t="n"/>
      <c r="K533" s="3" t="n"/>
      <c r="L533" s="11" t="n"/>
      <c r="M5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3" s="3">
        <f>IF(tblOrdenes[[#This Row],[fecha_inicio]]="","",YEAR(tblOrdenes[[#This Row],[fecha_inicio]]))</f>
        <v/>
      </c>
      <c r="Q533" s="3">
        <f>IF(tblOrdenes[[#This Row],[fecha_inicio]]="","",MONTH(tblOrdenes[[#This Row],[fecha_inicio]]))</f>
        <v/>
      </c>
      <c r="R533" s="3">
        <f>IF(tblOrdenes[[#This Row],[fecha_inicio]]="","",INDEX(lista_dias,WEEKDAY(tblOrdenes[[#This Row],[fecha_inicio]],2)))</f>
        <v/>
      </c>
      <c r="S5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3" s="3">
        <f>IF(tblOrdenes[[#This Row],[tipo_ot]]="","",_xlfn.XLOOKUP(tblOrdenes[[#This Row],[tipo_ot]],tblTiposOT[codigo],tblTiposOT[clasificacion],"sin_clasificar"))</f>
        <v/>
      </c>
      <c r="U533" s="3">
        <f>IF(tblOrdenes[[#This Row],[centro_costo]]="","",_xlfn.XLOOKUP(tblOrdenes[[#This Row],[centro_costo]],tblCECO[codigo],tblCECO[linea],"(sin catálogo)"))</f>
        <v/>
      </c>
      <c r="V533" s="3">
        <f>IF(tblOrdenes[[#This Row],[centro_costo]]="","",_xlfn.XLOOKUP(tblOrdenes[[#This Row],[centro_costo]],tblCECO[codigo],tblCECO[area],"(sin catálogo)"))</f>
        <v/>
      </c>
      <c r="W5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3" s="3">
        <f>IF(tblOrdenes[[#This Row],[centro_costo]]="","",_xlfn.XLOOKUP(tblOrdenes[[#This Row],[centro_costo]],tblCECO[codigo],tblCECO[coordinador],"(sin catálogo)"))</f>
        <v/>
      </c>
      <c r="Y533" s="3">
        <f>IF(tblOrdenes[[#This Row],[puesto_trabajo]]="","",_xlfn.XLOOKUP(tblOrdenes[[#This Row],[puesto_trabajo]],tblPuestos[codigo],tblPuestos[especialidad],"(sin catálogo)"))</f>
        <v/>
      </c>
      <c r="Z533" s="3">
        <f>IF(tblOrdenes[[#This Row],[cod_actividad]]="","",_xlfn.XLOOKUP(tblOrdenes[[#This Row],[cod_actividad]],tblActividades[codigo],tblActividades[descripcion],"(sin catálogo)"))</f>
        <v/>
      </c>
      <c r="AA533" s="13">
        <f>IF(tblOrdenes[[#This Row],[fecha_inicio]]="","",TODAY()-tblOrdenes[[#This Row],[fecha_inicio]])</f>
        <v/>
      </c>
      <c r="AB5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3" s="3">
        <f>IF(tblOrdenes[[#This Row],[backlog_habiles]]="","",IF(tblOrdenes[[#This Row],[backlog_habiles]]&lt;0,"FUTURO",IF(tblOrdenes[[#This Row],[backlog_habiles]]&gt;p_dias_backlog_max,"BACKLOG","MES CORRIENTE")))</f>
        <v/>
      </c>
      <c r="AD533" s="3">
        <f>IF(tblOrdenes[[#This Row],[backlog_habiles]]="",FALSE,AND(tblOrdenes[[#This Row],[backlog_habiles]]&gt;p_dias_backlog_min,tblOrdenes[[#This Row],[backlog_habiles]]&lt;=p_dias_backlog_max))</f>
        <v/>
      </c>
      <c r="AE533" s="6" t="n"/>
      <c r="AF5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3" s="11">
        <f>IF(tblOrdenes[[#This Row],[orden]]="","",_xlfn.XLOOKUP(tblOrdenes[[#This Row],[id_operacion]],tblEjecucion[id_operacion],tblEjecucion[precio],0))</f>
        <v/>
      </c>
      <c r="AJ533" s="11">
        <f>IF(tblOrdenes[[#This Row],[orden]]="","",MAX(0,_xlfn.XLOOKUP(tblOrdenes[[#This Row],[id_operacion]],tblEjecucion[id_operacion],tblEjecucion[costo_plan_total],0)-tblOrdenes[[#This Row],[costo_servicio]]))</f>
        <v/>
      </c>
      <c r="AK533" s="11">
        <f>IF(tblOrdenes[[#This Row],[orden]]="","",tblOrdenes[[#This Row],[costo_servicio]]+tblOrdenes[[#This Row],[costo_materiales]])</f>
        <v/>
      </c>
      <c r="AL533" s="6" t="n"/>
      <c r="AM533" s="6" t="n"/>
      <c r="AN533" s="6" t="n"/>
      <c r="AO533" s="3">
        <f>IF(tblOrdenes[[#This Row],[link_checklist]]="","",HYPERLINK(p_ruta_base_checklists&amp;tblOrdenes[[#This Row],[link_checklist]],"abrir"))</f>
        <v/>
      </c>
      <c r="AP533" s="6" t="n"/>
      <c r="AQ533" s="3">
        <f>IF(tblOrdenes[[#This Row],[orden]]="","",tblOrdenes[[#This Row],[orden]]&amp;IF(tblOrdenes[[#This Row],[operacion]]="","0010",tblOrdenes[[#This Row],[operacion]]))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2" t="n"/>
      <c r="K534" s="3" t="n"/>
      <c r="L534" s="11" t="n"/>
      <c r="M5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4" s="3">
        <f>IF(tblOrdenes[[#This Row],[fecha_inicio]]="","",YEAR(tblOrdenes[[#This Row],[fecha_inicio]]))</f>
        <v/>
      </c>
      <c r="Q534" s="3">
        <f>IF(tblOrdenes[[#This Row],[fecha_inicio]]="","",MONTH(tblOrdenes[[#This Row],[fecha_inicio]]))</f>
        <v/>
      </c>
      <c r="R534" s="3">
        <f>IF(tblOrdenes[[#This Row],[fecha_inicio]]="","",INDEX(lista_dias,WEEKDAY(tblOrdenes[[#This Row],[fecha_inicio]],2)))</f>
        <v/>
      </c>
      <c r="S5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4" s="3">
        <f>IF(tblOrdenes[[#This Row],[tipo_ot]]="","",_xlfn.XLOOKUP(tblOrdenes[[#This Row],[tipo_ot]],tblTiposOT[codigo],tblTiposOT[clasificacion],"sin_clasificar"))</f>
        <v/>
      </c>
      <c r="U534" s="3">
        <f>IF(tblOrdenes[[#This Row],[centro_costo]]="","",_xlfn.XLOOKUP(tblOrdenes[[#This Row],[centro_costo]],tblCECO[codigo],tblCECO[linea],"(sin catálogo)"))</f>
        <v/>
      </c>
      <c r="V534" s="3">
        <f>IF(tblOrdenes[[#This Row],[centro_costo]]="","",_xlfn.XLOOKUP(tblOrdenes[[#This Row],[centro_costo]],tblCECO[codigo],tblCECO[area],"(sin catálogo)"))</f>
        <v/>
      </c>
      <c r="W5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4" s="3">
        <f>IF(tblOrdenes[[#This Row],[centro_costo]]="","",_xlfn.XLOOKUP(tblOrdenes[[#This Row],[centro_costo]],tblCECO[codigo],tblCECO[coordinador],"(sin catálogo)"))</f>
        <v/>
      </c>
      <c r="Y534" s="3">
        <f>IF(tblOrdenes[[#This Row],[puesto_trabajo]]="","",_xlfn.XLOOKUP(tblOrdenes[[#This Row],[puesto_trabajo]],tblPuestos[codigo],tblPuestos[especialidad],"(sin catálogo)"))</f>
        <v/>
      </c>
      <c r="Z534" s="3">
        <f>IF(tblOrdenes[[#This Row],[cod_actividad]]="","",_xlfn.XLOOKUP(tblOrdenes[[#This Row],[cod_actividad]],tblActividades[codigo],tblActividades[descripcion],"(sin catálogo)"))</f>
        <v/>
      </c>
      <c r="AA534" s="13">
        <f>IF(tblOrdenes[[#This Row],[fecha_inicio]]="","",TODAY()-tblOrdenes[[#This Row],[fecha_inicio]])</f>
        <v/>
      </c>
      <c r="AB5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4" s="3">
        <f>IF(tblOrdenes[[#This Row],[backlog_habiles]]="","",IF(tblOrdenes[[#This Row],[backlog_habiles]]&lt;0,"FUTURO",IF(tblOrdenes[[#This Row],[backlog_habiles]]&gt;p_dias_backlog_max,"BACKLOG","MES CORRIENTE")))</f>
        <v/>
      </c>
      <c r="AD534" s="3">
        <f>IF(tblOrdenes[[#This Row],[backlog_habiles]]="",FALSE,AND(tblOrdenes[[#This Row],[backlog_habiles]]&gt;p_dias_backlog_min,tblOrdenes[[#This Row],[backlog_habiles]]&lt;=p_dias_backlog_max))</f>
        <v/>
      </c>
      <c r="AE534" s="6" t="n"/>
      <c r="AF5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4" s="11">
        <f>IF(tblOrdenes[[#This Row],[orden]]="","",_xlfn.XLOOKUP(tblOrdenes[[#This Row],[id_operacion]],tblEjecucion[id_operacion],tblEjecucion[precio],0))</f>
        <v/>
      </c>
      <c r="AJ534" s="11">
        <f>IF(tblOrdenes[[#This Row],[orden]]="","",MAX(0,_xlfn.XLOOKUP(tblOrdenes[[#This Row],[id_operacion]],tblEjecucion[id_operacion],tblEjecucion[costo_plan_total],0)-tblOrdenes[[#This Row],[costo_servicio]]))</f>
        <v/>
      </c>
      <c r="AK534" s="11">
        <f>IF(tblOrdenes[[#This Row],[orden]]="","",tblOrdenes[[#This Row],[costo_servicio]]+tblOrdenes[[#This Row],[costo_materiales]])</f>
        <v/>
      </c>
      <c r="AL534" s="6" t="n"/>
      <c r="AM534" s="6" t="n"/>
      <c r="AN534" s="6" t="n"/>
      <c r="AO534" s="3">
        <f>IF(tblOrdenes[[#This Row],[link_checklist]]="","",HYPERLINK(p_ruta_base_checklists&amp;tblOrdenes[[#This Row],[link_checklist]],"abrir"))</f>
        <v/>
      </c>
      <c r="AP534" s="6" t="n"/>
      <c r="AQ534" s="3">
        <f>IF(tblOrdenes[[#This Row],[orden]]="","",tblOrdenes[[#This Row],[orden]]&amp;IF(tblOrdenes[[#This Row],[operacion]]="","0010",tblOrdenes[[#This Row],[operacion]]))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2" t="n"/>
      <c r="K535" s="3" t="n"/>
      <c r="L535" s="11" t="n"/>
      <c r="M5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5" s="3">
        <f>IF(tblOrdenes[[#This Row],[fecha_inicio]]="","",YEAR(tblOrdenes[[#This Row],[fecha_inicio]]))</f>
        <v/>
      </c>
      <c r="Q535" s="3">
        <f>IF(tblOrdenes[[#This Row],[fecha_inicio]]="","",MONTH(tblOrdenes[[#This Row],[fecha_inicio]]))</f>
        <v/>
      </c>
      <c r="R535" s="3">
        <f>IF(tblOrdenes[[#This Row],[fecha_inicio]]="","",INDEX(lista_dias,WEEKDAY(tblOrdenes[[#This Row],[fecha_inicio]],2)))</f>
        <v/>
      </c>
      <c r="S5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5" s="3">
        <f>IF(tblOrdenes[[#This Row],[tipo_ot]]="","",_xlfn.XLOOKUP(tblOrdenes[[#This Row],[tipo_ot]],tblTiposOT[codigo],tblTiposOT[clasificacion],"sin_clasificar"))</f>
        <v/>
      </c>
      <c r="U535" s="3">
        <f>IF(tblOrdenes[[#This Row],[centro_costo]]="","",_xlfn.XLOOKUP(tblOrdenes[[#This Row],[centro_costo]],tblCECO[codigo],tblCECO[linea],"(sin catálogo)"))</f>
        <v/>
      </c>
      <c r="V535" s="3">
        <f>IF(tblOrdenes[[#This Row],[centro_costo]]="","",_xlfn.XLOOKUP(tblOrdenes[[#This Row],[centro_costo]],tblCECO[codigo],tblCECO[area],"(sin catálogo)"))</f>
        <v/>
      </c>
      <c r="W5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5" s="3">
        <f>IF(tblOrdenes[[#This Row],[centro_costo]]="","",_xlfn.XLOOKUP(tblOrdenes[[#This Row],[centro_costo]],tblCECO[codigo],tblCECO[coordinador],"(sin catálogo)"))</f>
        <v/>
      </c>
      <c r="Y535" s="3">
        <f>IF(tblOrdenes[[#This Row],[puesto_trabajo]]="","",_xlfn.XLOOKUP(tblOrdenes[[#This Row],[puesto_trabajo]],tblPuestos[codigo],tblPuestos[especialidad],"(sin catálogo)"))</f>
        <v/>
      </c>
      <c r="Z535" s="3">
        <f>IF(tblOrdenes[[#This Row],[cod_actividad]]="","",_xlfn.XLOOKUP(tblOrdenes[[#This Row],[cod_actividad]],tblActividades[codigo],tblActividades[descripcion],"(sin catálogo)"))</f>
        <v/>
      </c>
      <c r="AA535" s="13">
        <f>IF(tblOrdenes[[#This Row],[fecha_inicio]]="","",TODAY()-tblOrdenes[[#This Row],[fecha_inicio]])</f>
        <v/>
      </c>
      <c r="AB5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5" s="3">
        <f>IF(tblOrdenes[[#This Row],[backlog_habiles]]="","",IF(tblOrdenes[[#This Row],[backlog_habiles]]&lt;0,"FUTURO",IF(tblOrdenes[[#This Row],[backlog_habiles]]&gt;p_dias_backlog_max,"BACKLOG","MES CORRIENTE")))</f>
        <v/>
      </c>
      <c r="AD535" s="3">
        <f>IF(tblOrdenes[[#This Row],[backlog_habiles]]="",FALSE,AND(tblOrdenes[[#This Row],[backlog_habiles]]&gt;p_dias_backlog_min,tblOrdenes[[#This Row],[backlog_habiles]]&lt;=p_dias_backlog_max))</f>
        <v/>
      </c>
      <c r="AE535" s="6" t="n"/>
      <c r="AF5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5" s="11">
        <f>IF(tblOrdenes[[#This Row],[orden]]="","",_xlfn.XLOOKUP(tblOrdenes[[#This Row],[id_operacion]],tblEjecucion[id_operacion],tblEjecucion[precio],0))</f>
        <v/>
      </c>
      <c r="AJ535" s="11">
        <f>IF(tblOrdenes[[#This Row],[orden]]="","",MAX(0,_xlfn.XLOOKUP(tblOrdenes[[#This Row],[id_operacion]],tblEjecucion[id_operacion],tblEjecucion[costo_plan_total],0)-tblOrdenes[[#This Row],[costo_servicio]]))</f>
        <v/>
      </c>
      <c r="AK535" s="11">
        <f>IF(tblOrdenes[[#This Row],[orden]]="","",tblOrdenes[[#This Row],[costo_servicio]]+tblOrdenes[[#This Row],[costo_materiales]])</f>
        <v/>
      </c>
      <c r="AL535" s="6" t="n"/>
      <c r="AM535" s="6" t="n"/>
      <c r="AN535" s="6" t="n"/>
      <c r="AO535" s="3">
        <f>IF(tblOrdenes[[#This Row],[link_checklist]]="","",HYPERLINK(p_ruta_base_checklists&amp;tblOrdenes[[#This Row],[link_checklist]],"abrir"))</f>
        <v/>
      </c>
      <c r="AP535" s="6" t="n"/>
      <c r="AQ535" s="3">
        <f>IF(tblOrdenes[[#This Row],[orden]]="","",tblOrdenes[[#This Row],[orden]]&amp;IF(tblOrdenes[[#This Row],[operacion]]="","0010",tblOrdenes[[#This Row],[operacion]]))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2" t="n"/>
      <c r="K536" s="3" t="n"/>
      <c r="L536" s="11" t="n"/>
      <c r="M5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6" s="3">
        <f>IF(tblOrdenes[[#This Row],[fecha_inicio]]="","",YEAR(tblOrdenes[[#This Row],[fecha_inicio]]))</f>
        <v/>
      </c>
      <c r="Q536" s="3">
        <f>IF(tblOrdenes[[#This Row],[fecha_inicio]]="","",MONTH(tblOrdenes[[#This Row],[fecha_inicio]]))</f>
        <v/>
      </c>
      <c r="R536" s="3">
        <f>IF(tblOrdenes[[#This Row],[fecha_inicio]]="","",INDEX(lista_dias,WEEKDAY(tblOrdenes[[#This Row],[fecha_inicio]],2)))</f>
        <v/>
      </c>
      <c r="S5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6" s="3">
        <f>IF(tblOrdenes[[#This Row],[tipo_ot]]="","",_xlfn.XLOOKUP(tblOrdenes[[#This Row],[tipo_ot]],tblTiposOT[codigo],tblTiposOT[clasificacion],"sin_clasificar"))</f>
        <v/>
      </c>
      <c r="U536" s="3">
        <f>IF(tblOrdenes[[#This Row],[centro_costo]]="","",_xlfn.XLOOKUP(tblOrdenes[[#This Row],[centro_costo]],tblCECO[codigo],tblCECO[linea],"(sin catálogo)"))</f>
        <v/>
      </c>
      <c r="V536" s="3">
        <f>IF(tblOrdenes[[#This Row],[centro_costo]]="","",_xlfn.XLOOKUP(tblOrdenes[[#This Row],[centro_costo]],tblCECO[codigo],tblCECO[area],"(sin catálogo)"))</f>
        <v/>
      </c>
      <c r="W5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6" s="3">
        <f>IF(tblOrdenes[[#This Row],[centro_costo]]="","",_xlfn.XLOOKUP(tblOrdenes[[#This Row],[centro_costo]],tblCECO[codigo],tblCECO[coordinador],"(sin catálogo)"))</f>
        <v/>
      </c>
      <c r="Y536" s="3">
        <f>IF(tblOrdenes[[#This Row],[puesto_trabajo]]="","",_xlfn.XLOOKUP(tblOrdenes[[#This Row],[puesto_trabajo]],tblPuestos[codigo],tblPuestos[especialidad],"(sin catálogo)"))</f>
        <v/>
      </c>
      <c r="Z536" s="3">
        <f>IF(tblOrdenes[[#This Row],[cod_actividad]]="","",_xlfn.XLOOKUP(tblOrdenes[[#This Row],[cod_actividad]],tblActividades[codigo],tblActividades[descripcion],"(sin catálogo)"))</f>
        <v/>
      </c>
      <c r="AA536" s="13">
        <f>IF(tblOrdenes[[#This Row],[fecha_inicio]]="","",TODAY()-tblOrdenes[[#This Row],[fecha_inicio]])</f>
        <v/>
      </c>
      <c r="AB5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6" s="3">
        <f>IF(tblOrdenes[[#This Row],[backlog_habiles]]="","",IF(tblOrdenes[[#This Row],[backlog_habiles]]&lt;0,"FUTURO",IF(tblOrdenes[[#This Row],[backlog_habiles]]&gt;p_dias_backlog_max,"BACKLOG","MES CORRIENTE")))</f>
        <v/>
      </c>
      <c r="AD536" s="3">
        <f>IF(tblOrdenes[[#This Row],[backlog_habiles]]="",FALSE,AND(tblOrdenes[[#This Row],[backlog_habiles]]&gt;p_dias_backlog_min,tblOrdenes[[#This Row],[backlog_habiles]]&lt;=p_dias_backlog_max))</f>
        <v/>
      </c>
      <c r="AE536" s="6" t="n"/>
      <c r="AF5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6" s="11">
        <f>IF(tblOrdenes[[#This Row],[orden]]="","",_xlfn.XLOOKUP(tblOrdenes[[#This Row],[id_operacion]],tblEjecucion[id_operacion],tblEjecucion[precio],0))</f>
        <v/>
      </c>
      <c r="AJ536" s="11">
        <f>IF(tblOrdenes[[#This Row],[orden]]="","",MAX(0,_xlfn.XLOOKUP(tblOrdenes[[#This Row],[id_operacion]],tblEjecucion[id_operacion],tblEjecucion[costo_plan_total],0)-tblOrdenes[[#This Row],[costo_servicio]]))</f>
        <v/>
      </c>
      <c r="AK536" s="11">
        <f>IF(tblOrdenes[[#This Row],[orden]]="","",tblOrdenes[[#This Row],[costo_servicio]]+tblOrdenes[[#This Row],[costo_materiales]])</f>
        <v/>
      </c>
      <c r="AL536" s="6" t="n"/>
      <c r="AM536" s="6" t="n"/>
      <c r="AN536" s="6" t="n"/>
      <c r="AO536" s="3">
        <f>IF(tblOrdenes[[#This Row],[link_checklist]]="","",HYPERLINK(p_ruta_base_checklists&amp;tblOrdenes[[#This Row],[link_checklist]],"abrir"))</f>
        <v/>
      </c>
      <c r="AP536" s="6" t="n"/>
      <c r="AQ536" s="3">
        <f>IF(tblOrdenes[[#This Row],[orden]]="","",tblOrdenes[[#This Row],[orden]]&amp;IF(tblOrdenes[[#This Row],[operacion]]="","0010",tblOrdenes[[#This Row],[operacion]]))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2" t="n"/>
      <c r="K537" s="3" t="n"/>
      <c r="L537" s="11" t="n"/>
      <c r="M5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7" s="3">
        <f>IF(tblOrdenes[[#This Row],[fecha_inicio]]="","",YEAR(tblOrdenes[[#This Row],[fecha_inicio]]))</f>
        <v/>
      </c>
      <c r="Q537" s="3">
        <f>IF(tblOrdenes[[#This Row],[fecha_inicio]]="","",MONTH(tblOrdenes[[#This Row],[fecha_inicio]]))</f>
        <v/>
      </c>
      <c r="R537" s="3">
        <f>IF(tblOrdenes[[#This Row],[fecha_inicio]]="","",INDEX(lista_dias,WEEKDAY(tblOrdenes[[#This Row],[fecha_inicio]],2)))</f>
        <v/>
      </c>
      <c r="S5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7" s="3">
        <f>IF(tblOrdenes[[#This Row],[tipo_ot]]="","",_xlfn.XLOOKUP(tblOrdenes[[#This Row],[tipo_ot]],tblTiposOT[codigo],tblTiposOT[clasificacion],"sin_clasificar"))</f>
        <v/>
      </c>
      <c r="U537" s="3">
        <f>IF(tblOrdenes[[#This Row],[centro_costo]]="","",_xlfn.XLOOKUP(tblOrdenes[[#This Row],[centro_costo]],tblCECO[codigo],tblCECO[linea],"(sin catálogo)"))</f>
        <v/>
      </c>
      <c r="V537" s="3">
        <f>IF(tblOrdenes[[#This Row],[centro_costo]]="","",_xlfn.XLOOKUP(tblOrdenes[[#This Row],[centro_costo]],tblCECO[codigo],tblCECO[area],"(sin catálogo)"))</f>
        <v/>
      </c>
      <c r="W5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7" s="3">
        <f>IF(tblOrdenes[[#This Row],[centro_costo]]="","",_xlfn.XLOOKUP(tblOrdenes[[#This Row],[centro_costo]],tblCECO[codigo],tblCECO[coordinador],"(sin catálogo)"))</f>
        <v/>
      </c>
      <c r="Y537" s="3">
        <f>IF(tblOrdenes[[#This Row],[puesto_trabajo]]="","",_xlfn.XLOOKUP(tblOrdenes[[#This Row],[puesto_trabajo]],tblPuestos[codigo],tblPuestos[especialidad],"(sin catálogo)"))</f>
        <v/>
      </c>
      <c r="Z537" s="3">
        <f>IF(tblOrdenes[[#This Row],[cod_actividad]]="","",_xlfn.XLOOKUP(tblOrdenes[[#This Row],[cod_actividad]],tblActividades[codigo],tblActividades[descripcion],"(sin catálogo)"))</f>
        <v/>
      </c>
      <c r="AA537" s="13">
        <f>IF(tblOrdenes[[#This Row],[fecha_inicio]]="","",TODAY()-tblOrdenes[[#This Row],[fecha_inicio]])</f>
        <v/>
      </c>
      <c r="AB5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7" s="3">
        <f>IF(tblOrdenes[[#This Row],[backlog_habiles]]="","",IF(tblOrdenes[[#This Row],[backlog_habiles]]&lt;0,"FUTURO",IF(tblOrdenes[[#This Row],[backlog_habiles]]&gt;p_dias_backlog_max,"BACKLOG","MES CORRIENTE")))</f>
        <v/>
      </c>
      <c r="AD537" s="3">
        <f>IF(tblOrdenes[[#This Row],[backlog_habiles]]="",FALSE,AND(tblOrdenes[[#This Row],[backlog_habiles]]&gt;p_dias_backlog_min,tblOrdenes[[#This Row],[backlog_habiles]]&lt;=p_dias_backlog_max))</f>
        <v/>
      </c>
      <c r="AE537" s="6" t="n"/>
      <c r="AF5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7" s="11">
        <f>IF(tblOrdenes[[#This Row],[orden]]="","",_xlfn.XLOOKUP(tblOrdenes[[#This Row],[id_operacion]],tblEjecucion[id_operacion],tblEjecucion[precio],0))</f>
        <v/>
      </c>
      <c r="AJ537" s="11">
        <f>IF(tblOrdenes[[#This Row],[orden]]="","",MAX(0,_xlfn.XLOOKUP(tblOrdenes[[#This Row],[id_operacion]],tblEjecucion[id_operacion],tblEjecucion[costo_plan_total],0)-tblOrdenes[[#This Row],[costo_servicio]]))</f>
        <v/>
      </c>
      <c r="AK537" s="11">
        <f>IF(tblOrdenes[[#This Row],[orden]]="","",tblOrdenes[[#This Row],[costo_servicio]]+tblOrdenes[[#This Row],[costo_materiales]])</f>
        <v/>
      </c>
      <c r="AL537" s="6" t="n"/>
      <c r="AM537" s="6" t="n"/>
      <c r="AN537" s="6" t="n"/>
      <c r="AO537" s="3">
        <f>IF(tblOrdenes[[#This Row],[link_checklist]]="","",HYPERLINK(p_ruta_base_checklists&amp;tblOrdenes[[#This Row],[link_checklist]],"abrir"))</f>
        <v/>
      </c>
      <c r="AP537" s="6" t="n"/>
      <c r="AQ537" s="3">
        <f>IF(tblOrdenes[[#This Row],[orden]]="","",tblOrdenes[[#This Row],[orden]]&amp;IF(tblOrdenes[[#This Row],[operacion]]="","0010",tblOrdenes[[#This Row],[operacion]]))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2" t="n"/>
      <c r="K538" s="3" t="n"/>
      <c r="L538" s="11" t="n"/>
      <c r="M5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8" s="3">
        <f>IF(tblOrdenes[[#This Row],[fecha_inicio]]="","",YEAR(tblOrdenes[[#This Row],[fecha_inicio]]))</f>
        <v/>
      </c>
      <c r="Q538" s="3">
        <f>IF(tblOrdenes[[#This Row],[fecha_inicio]]="","",MONTH(tblOrdenes[[#This Row],[fecha_inicio]]))</f>
        <v/>
      </c>
      <c r="R538" s="3">
        <f>IF(tblOrdenes[[#This Row],[fecha_inicio]]="","",INDEX(lista_dias,WEEKDAY(tblOrdenes[[#This Row],[fecha_inicio]],2)))</f>
        <v/>
      </c>
      <c r="S5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8" s="3">
        <f>IF(tblOrdenes[[#This Row],[tipo_ot]]="","",_xlfn.XLOOKUP(tblOrdenes[[#This Row],[tipo_ot]],tblTiposOT[codigo],tblTiposOT[clasificacion],"sin_clasificar"))</f>
        <v/>
      </c>
      <c r="U538" s="3">
        <f>IF(tblOrdenes[[#This Row],[centro_costo]]="","",_xlfn.XLOOKUP(tblOrdenes[[#This Row],[centro_costo]],tblCECO[codigo],tblCECO[linea],"(sin catálogo)"))</f>
        <v/>
      </c>
      <c r="V538" s="3">
        <f>IF(tblOrdenes[[#This Row],[centro_costo]]="","",_xlfn.XLOOKUP(tblOrdenes[[#This Row],[centro_costo]],tblCECO[codigo],tblCECO[area],"(sin catálogo)"))</f>
        <v/>
      </c>
      <c r="W5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8" s="3">
        <f>IF(tblOrdenes[[#This Row],[centro_costo]]="","",_xlfn.XLOOKUP(tblOrdenes[[#This Row],[centro_costo]],tblCECO[codigo],tblCECO[coordinador],"(sin catálogo)"))</f>
        <v/>
      </c>
      <c r="Y538" s="3">
        <f>IF(tblOrdenes[[#This Row],[puesto_trabajo]]="","",_xlfn.XLOOKUP(tblOrdenes[[#This Row],[puesto_trabajo]],tblPuestos[codigo],tblPuestos[especialidad],"(sin catálogo)"))</f>
        <v/>
      </c>
      <c r="Z538" s="3">
        <f>IF(tblOrdenes[[#This Row],[cod_actividad]]="","",_xlfn.XLOOKUP(tblOrdenes[[#This Row],[cod_actividad]],tblActividades[codigo],tblActividades[descripcion],"(sin catálogo)"))</f>
        <v/>
      </c>
      <c r="AA538" s="13">
        <f>IF(tblOrdenes[[#This Row],[fecha_inicio]]="","",TODAY()-tblOrdenes[[#This Row],[fecha_inicio]])</f>
        <v/>
      </c>
      <c r="AB5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8" s="3">
        <f>IF(tblOrdenes[[#This Row],[backlog_habiles]]="","",IF(tblOrdenes[[#This Row],[backlog_habiles]]&lt;0,"FUTURO",IF(tblOrdenes[[#This Row],[backlog_habiles]]&gt;p_dias_backlog_max,"BACKLOG","MES CORRIENTE")))</f>
        <v/>
      </c>
      <c r="AD538" s="3">
        <f>IF(tblOrdenes[[#This Row],[backlog_habiles]]="",FALSE,AND(tblOrdenes[[#This Row],[backlog_habiles]]&gt;p_dias_backlog_min,tblOrdenes[[#This Row],[backlog_habiles]]&lt;=p_dias_backlog_max))</f>
        <v/>
      </c>
      <c r="AE538" s="6" t="n"/>
      <c r="AF5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8" s="11">
        <f>IF(tblOrdenes[[#This Row],[orden]]="","",_xlfn.XLOOKUP(tblOrdenes[[#This Row],[id_operacion]],tblEjecucion[id_operacion],tblEjecucion[precio],0))</f>
        <v/>
      </c>
      <c r="AJ538" s="11">
        <f>IF(tblOrdenes[[#This Row],[orden]]="","",MAX(0,_xlfn.XLOOKUP(tblOrdenes[[#This Row],[id_operacion]],tblEjecucion[id_operacion],tblEjecucion[costo_plan_total],0)-tblOrdenes[[#This Row],[costo_servicio]]))</f>
        <v/>
      </c>
      <c r="AK538" s="11">
        <f>IF(tblOrdenes[[#This Row],[orden]]="","",tblOrdenes[[#This Row],[costo_servicio]]+tblOrdenes[[#This Row],[costo_materiales]])</f>
        <v/>
      </c>
      <c r="AL538" s="6" t="n"/>
      <c r="AM538" s="6" t="n"/>
      <c r="AN538" s="6" t="n"/>
      <c r="AO538" s="3">
        <f>IF(tblOrdenes[[#This Row],[link_checklist]]="","",HYPERLINK(p_ruta_base_checklists&amp;tblOrdenes[[#This Row],[link_checklist]],"abrir"))</f>
        <v/>
      </c>
      <c r="AP538" s="6" t="n"/>
      <c r="AQ538" s="3">
        <f>IF(tblOrdenes[[#This Row],[orden]]="","",tblOrdenes[[#This Row],[orden]]&amp;IF(tblOrdenes[[#This Row],[operacion]]="","0010",tblOrdenes[[#This Row],[operacion]]))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2" t="n"/>
      <c r="K539" s="3" t="n"/>
      <c r="L539" s="11" t="n"/>
      <c r="M5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9" s="3">
        <f>IF(tblOrdenes[[#This Row],[fecha_inicio]]="","",YEAR(tblOrdenes[[#This Row],[fecha_inicio]]))</f>
        <v/>
      </c>
      <c r="Q539" s="3">
        <f>IF(tblOrdenes[[#This Row],[fecha_inicio]]="","",MONTH(tblOrdenes[[#This Row],[fecha_inicio]]))</f>
        <v/>
      </c>
      <c r="R539" s="3">
        <f>IF(tblOrdenes[[#This Row],[fecha_inicio]]="","",INDEX(lista_dias,WEEKDAY(tblOrdenes[[#This Row],[fecha_inicio]],2)))</f>
        <v/>
      </c>
      <c r="S5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9" s="3">
        <f>IF(tblOrdenes[[#This Row],[tipo_ot]]="","",_xlfn.XLOOKUP(tblOrdenes[[#This Row],[tipo_ot]],tblTiposOT[codigo],tblTiposOT[clasificacion],"sin_clasificar"))</f>
        <v/>
      </c>
      <c r="U539" s="3">
        <f>IF(tblOrdenes[[#This Row],[centro_costo]]="","",_xlfn.XLOOKUP(tblOrdenes[[#This Row],[centro_costo]],tblCECO[codigo],tblCECO[linea],"(sin catálogo)"))</f>
        <v/>
      </c>
      <c r="V539" s="3">
        <f>IF(tblOrdenes[[#This Row],[centro_costo]]="","",_xlfn.XLOOKUP(tblOrdenes[[#This Row],[centro_costo]],tblCECO[codigo],tblCECO[area],"(sin catálogo)"))</f>
        <v/>
      </c>
      <c r="W5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9" s="3">
        <f>IF(tblOrdenes[[#This Row],[centro_costo]]="","",_xlfn.XLOOKUP(tblOrdenes[[#This Row],[centro_costo]],tblCECO[codigo],tblCECO[coordinador],"(sin catálogo)"))</f>
        <v/>
      </c>
      <c r="Y539" s="3">
        <f>IF(tblOrdenes[[#This Row],[puesto_trabajo]]="","",_xlfn.XLOOKUP(tblOrdenes[[#This Row],[puesto_trabajo]],tblPuestos[codigo],tblPuestos[especialidad],"(sin catálogo)"))</f>
        <v/>
      </c>
      <c r="Z539" s="3">
        <f>IF(tblOrdenes[[#This Row],[cod_actividad]]="","",_xlfn.XLOOKUP(tblOrdenes[[#This Row],[cod_actividad]],tblActividades[codigo],tblActividades[descripcion],"(sin catálogo)"))</f>
        <v/>
      </c>
      <c r="AA539" s="13">
        <f>IF(tblOrdenes[[#This Row],[fecha_inicio]]="","",TODAY()-tblOrdenes[[#This Row],[fecha_inicio]])</f>
        <v/>
      </c>
      <c r="AB5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9" s="3">
        <f>IF(tblOrdenes[[#This Row],[backlog_habiles]]="","",IF(tblOrdenes[[#This Row],[backlog_habiles]]&lt;0,"FUTURO",IF(tblOrdenes[[#This Row],[backlog_habiles]]&gt;p_dias_backlog_max,"BACKLOG","MES CORRIENTE")))</f>
        <v/>
      </c>
      <c r="AD539" s="3">
        <f>IF(tblOrdenes[[#This Row],[backlog_habiles]]="",FALSE,AND(tblOrdenes[[#This Row],[backlog_habiles]]&gt;p_dias_backlog_min,tblOrdenes[[#This Row],[backlog_habiles]]&lt;=p_dias_backlog_max))</f>
        <v/>
      </c>
      <c r="AE539" s="6" t="n"/>
      <c r="AF5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9" s="11">
        <f>IF(tblOrdenes[[#This Row],[orden]]="","",_xlfn.XLOOKUP(tblOrdenes[[#This Row],[id_operacion]],tblEjecucion[id_operacion],tblEjecucion[precio],0))</f>
        <v/>
      </c>
      <c r="AJ539" s="11">
        <f>IF(tblOrdenes[[#This Row],[orden]]="","",MAX(0,_xlfn.XLOOKUP(tblOrdenes[[#This Row],[id_operacion]],tblEjecucion[id_operacion],tblEjecucion[costo_plan_total],0)-tblOrdenes[[#This Row],[costo_servicio]]))</f>
        <v/>
      </c>
      <c r="AK539" s="11">
        <f>IF(tblOrdenes[[#This Row],[orden]]="","",tblOrdenes[[#This Row],[costo_servicio]]+tblOrdenes[[#This Row],[costo_materiales]])</f>
        <v/>
      </c>
      <c r="AL539" s="6" t="n"/>
      <c r="AM539" s="6" t="n"/>
      <c r="AN539" s="6" t="n"/>
      <c r="AO539" s="3">
        <f>IF(tblOrdenes[[#This Row],[link_checklist]]="","",HYPERLINK(p_ruta_base_checklists&amp;tblOrdenes[[#This Row],[link_checklist]],"abrir"))</f>
        <v/>
      </c>
      <c r="AP539" s="6" t="n"/>
      <c r="AQ539" s="3">
        <f>IF(tblOrdenes[[#This Row],[orden]]="","",tblOrdenes[[#This Row],[orden]]&amp;IF(tblOrdenes[[#This Row],[operacion]]="","0010",tblOrdenes[[#This Row],[operacion]]))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2" t="n"/>
      <c r="K540" s="3" t="n"/>
      <c r="L540" s="11" t="n"/>
      <c r="M5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0" s="3">
        <f>IF(tblOrdenes[[#This Row],[fecha_inicio]]="","",YEAR(tblOrdenes[[#This Row],[fecha_inicio]]))</f>
        <v/>
      </c>
      <c r="Q540" s="3">
        <f>IF(tblOrdenes[[#This Row],[fecha_inicio]]="","",MONTH(tblOrdenes[[#This Row],[fecha_inicio]]))</f>
        <v/>
      </c>
      <c r="R540" s="3">
        <f>IF(tblOrdenes[[#This Row],[fecha_inicio]]="","",INDEX(lista_dias,WEEKDAY(tblOrdenes[[#This Row],[fecha_inicio]],2)))</f>
        <v/>
      </c>
      <c r="S5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0" s="3">
        <f>IF(tblOrdenes[[#This Row],[tipo_ot]]="","",_xlfn.XLOOKUP(tblOrdenes[[#This Row],[tipo_ot]],tblTiposOT[codigo],tblTiposOT[clasificacion],"sin_clasificar"))</f>
        <v/>
      </c>
      <c r="U540" s="3">
        <f>IF(tblOrdenes[[#This Row],[centro_costo]]="","",_xlfn.XLOOKUP(tblOrdenes[[#This Row],[centro_costo]],tblCECO[codigo],tblCECO[linea],"(sin catálogo)"))</f>
        <v/>
      </c>
      <c r="V540" s="3">
        <f>IF(tblOrdenes[[#This Row],[centro_costo]]="","",_xlfn.XLOOKUP(tblOrdenes[[#This Row],[centro_costo]],tblCECO[codigo],tblCECO[area],"(sin catálogo)"))</f>
        <v/>
      </c>
      <c r="W5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0" s="3">
        <f>IF(tblOrdenes[[#This Row],[centro_costo]]="","",_xlfn.XLOOKUP(tblOrdenes[[#This Row],[centro_costo]],tblCECO[codigo],tblCECO[coordinador],"(sin catálogo)"))</f>
        <v/>
      </c>
      <c r="Y540" s="3">
        <f>IF(tblOrdenes[[#This Row],[puesto_trabajo]]="","",_xlfn.XLOOKUP(tblOrdenes[[#This Row],[puesto_trabajo]],tblPuestos[codigo],tblPuestos[especialidad],"(sin catálogo)"))</f>
        <v/>
      </c>
      <c r="Z540" s="3">
        <f>IF(tblOrdenes[[#This Row],[cod_actividad]]="","",_xlfn.XLOOKUP(tblOrdenes[[#This Row],[cod_actividad]],tblActividades[codigo],tblActividades[descripcion],"(sin catálogo)"))</f>
        <v/>
      </c>
      <c r="AA540" s="13">
        <f>IF(tblOrdenes[[#This Row],[fecha_inicio]]="","",TODAY()-tblOrdenes[[#This Row],[fecha_inicio]])</f>
        <v/>
      </c>
      <c r="AB5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0" s="3">
        <f>IF(tblOrdenes[[#This Row],[backlog_habiles]]="","",IF(tblOrdenes[[#This Row],[backlog_habiles]]&lt;0,"FUTURO",IF(tblOrdenes[[#This Row],[backlog_habiles]]&gt;p_dias_backlog_max,"BACKLOG","MES CORRIENTE")))</f>
        <v/>
      </c>
      <c r="AD540" s="3">
        <f>IF(tblOrdenes[[#This Row],[backlog_habiles]]="",FALSE,AND(tblOrdenes[[#This Row],[backlog_habiles]]&gt;p_dias_backlog_min,tblOrdenes[[#This Row],[backlog_habiles]]&lt;=p_dias_backlog_max))</f>
        <v/>
      </c>
      <c r="AE540" s="6" t="n"/>
      <c r="AF5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0" s="11">
        <f>IF(tblOrdenes[[#This Row],[orden]]="","",_xlfn.XLOOKUP(tblOrdenes[[#This Row],[id_operacion]],tblEjecucion[id_operacion],tblEjecucion[precio],0))</f>
        <v/>
      </c>
      <c r="AJ540" s="11">
        <f>IF(tblOrdenes[[#This Row],[orden]]="","",MAX(0,_xlfn.XLOOKUP(tblOrdenes[[#This Row],[id_operacion]],tblEjecucion[id_operacion],tblEjecucion[costo_plan_total],0)-tblOrdenes[[#This Row],[costo_servicio]]))</f>
        <v/>
      </c>
      <c r="AK540" s="11">
        <f>IF(tblOrdenes[[#This Row],[orden]]="","",tblOrdenes[[#This Row],[costo_servicio]]+tblOrdenes[[#This Row],[costo_materiales]])</f>
        <v/>
      </c>
      <c r="AL540" s="6" t="n"/>
      <c r="AM540" s="6" t="n"/>
      <c r="AN540" s="6" t="n"/>
      <c r="AO540" s="3">
        <f>IF(tblOrdenes[[#This Row],[link_checklist]]="","",HYPERLINK(p_ruta_base_checklists&amp;tblOrdenes[[#This Row],[link_checklist]],"abrir"))</f>
        <v/>
      </c>
      <c r="AP540" s="6" t="n"/>
      <c r="AQ540" s="3">
        <f>IF(tblOrdenes[[#This Row],[orden]]="","",tblOrdenes[[#This Row],[orden]]&amp;IF(tblOrdenes[[#This Row],[operacion]]="","0010",tblOrdenes[[#This Row],[operacion]]))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2" t="n"/>
      <c r="K541" s="3" t="n"/>
      <c r="L541" s="11" t="n"/>
      <c r="M5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1" s="3">
        <f>IF(tblOrdenes[[#This Row],[fecha_inicio]]="","",YEAR(tblOrdenes[[#This Row],[fecha_inicio]]))</f>
        <v/>
      </c>
      <c r="Q541" s="3">
        <f>IF(tblOrdenes[[#This Row],[fecha_inicio]]="","",MONTH(tblOrdenes[[#This Row],[fecha_inicio]]))</f>
        <v/>
      </c>
      <c r="R541" s="3">
        <f>IF(tblOrdenes[[#This Row],[fecha_inicio]]="","",INDEX(lista_dias,WEEKDAY(tblOrdenes[[#This Row],[fecha_inicio]],2)))</f>
        <v/>
      </c>
      <c r="S5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1" s="3">
        <f>IF(tblOrdenes[[#This Row],[tipo_ot]]="","",_xlfn.XLOOKUP(tblOrdenes[[#This Row],[tipo_ot]],tblTiposOT[codigo],tblTiposOT[clasificacion],"sin_clasificar"))</f>
        <v/>
      </c>
      <c r="U541" s="3">
        <f>IF(tblOrdenes[[#This Row],[centro_costo]]="","",_xlfn.XLOOKUP(tblOrdenes[[#This Row],[centro_costo]],tblCECO[codigo],tblCECO[linea],"(sin catálogo)"))</f>
        <v/>
      </c>
      <c r="V541" s="3">
        <f>IF(tblOrdenes[[#This Row],[centro_costo]]="","",_xlfn.XLOOKUP(tblOrdenes[[#This Row],[centro_costo]],tblCECO[codigo],tblCECO[area],"(sin catálogo)"))</f>
        <v/>
      </c>
      <c r="W5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1" s="3">
        <f>IF(tblOrdenes[[#This Row],[centro_costo]]="","",_xlfn.XLOOKUP(tblOrdenes[[#This Row],[centro_costo]],tblCECO[codigo],tblCECO[coordinador],"(sin catálogo)"))</f>
        <v/>
      </c>
      <c r="Y541" s="3">
        <f>IF(tblOrdenes[[#This Row],[puesto_trabajo]]="","",_xlfn.XLOOKUP(tblOrdenes[[#This Row],[puesto_trabajo]],tblPuestos[codigo],tblPuestos[especialidad],"(sin catálogo)"))</f>
        <v/>
      </c>
      <c r="Z541" s="3">
        <f>IF(tblOrdenes[[#This Row],[cod_actividad]]="","",_xlfn.XLOOKUP(tblOrdenes[[#This Row],[cod_actividad]],tblActividades[codigo],tblActividades[descripcion],"(sin catálogo)"))</f>
        <v/>
      </c>
      <c r="AA541" s="13">
        <f>IF(tblOrdenes[[#This Row],[fecha_inicio]]="","",TODAY()-tblOrdenes[[#This Row],[fecha_inicio]])</f>
        <v/>
      </c>
      <c r="AB5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1" s="3">
        <f>IF(tblOrdenes[[#This Row],[backlog_habiles]]="","",IF(tblOrdenes[[#This Row],[backlog_habiles]]&lt;0,"FUTURO",IF(tblOrdenes[[#This Row],[backlog_habiles]]&gt;p_dias_backlog_max,"BACKLOG","MES CORRIENTE")))</f>
        <v/>
      </c>
      <c r="AD541" s="3">
        <f>IF(tblOrdenes[[#This Row],[backlog_habiles]]="",FALSE,AND(tblOrdenes[[#This Row],[backlog_habiles]]&gt;p_dias_backlog_min,tblOrdenes[[#This Row],[backlog_habiles]]&lt;=p_dias_backlog_max))</f>
        <v/>
      </c>
      <c r="AE541" s="6" t="n"/>
      <c r="AF5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1" s="11">
        <f>IF(tblOrdenes[[#This Row],[orden]]="","",_xlfn.XLOOKUP(tblOrdenes[[#This Row],[id_operacion]],tblEjecucion[id_operacion],tblEjecucion[precio],0))</f>
        <v/>
      </c>
      <c r="AJ541" s="11">
        <f>IF(tblOrdenes[[#This Row],[orden]]="","",MAX(0,_xlfn.XLOOKUP(tblOrdenes[[#This Row],[id_operacion]],tblEjecucion[id_operacion],tblEjecucion[costo_plan_total],0)-tblOrdenes[[#This Row],[costo_servicio]]))</f>
        <v/>
      </c>
      <c r="AK541" s="11">
        <f>IF(tblOrdenes[[#This Row],[orden]]="","",tblOrdenes[[#This Row],[costo_servicio]]+tblOrdenes[[#This Row],[costo_materiales]])</f>
        <v/>
      </c>
      <c r="AL541" s="6" t="n"/>
      <c r="AM541" s="6" t="n"/>
      <c r="AN541" s="6" t="n"/>
      <c r="AO541" s="3">
        <f>IF(tblOrdenes[[#This Row],[link_checklist]]="","",HYPERLINK(p_ruta_base_checklists&amp;tblOrdenes[[#This Row],[link_checklist]],"abrir"))</f>
        <v/>
      </c>
      <c r="AP541" s="6" t="n"/>
      <c r="AQ541" s="3">
        <f>IF(tblOrdenes[[#This Row],[orden]]="","",tblOrdenes[[#This Row],[orden]]&amp;IF(tblOrdenes[[#This Row],[operacion]]="","0010",tblOrdenes[[#This Row],[operacion]]))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2" t="n"/>
      <c r="K542" s="3" t="n"/>
      <c r="L542" s="11" t="n"/>
      <c r="M5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2" s="3">
        <f>IF(tblOrdenes[[#This Row],[fecha_inicio]]="","",YEAR(tblOrdenes[[#This Row],[fecha_inicio]]))</f>
        <v/>
      </c>
      <c r="Q542" s="3">
        <f>IF(tblOrdenes[[#This Row],[fecha_inicio]]="","",MONTH(tblOrdenes[[#This Row],[fecha_inicio]]))</f>
        <v/>
      </c>
      <c r="R542" s="3">
        <f>IF(tblOrdenes[[#This Row],[fecha_inicio]]="","",INDEX(lista_dias,WEEKDAY(tblOrdenes[[#This Row],[fecha_inicio]],2)))</f>
        <v/>
      </c>
      <c r="S5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2" s="3">
        <f>IF(tblOrdenes[[#This Row],[tipo_ot]]="","",_xlfn.XLOOKUP(tblOrdenes[[#This Row],[tipo_ot]],tblTiposOT[codigo],tblTiposOT[clasificacion],"sin_clasificar"))</f>
        <v/>
      </c>
      <c r="U542" s="3">
        <f>IF(tblOrdenes[[#This Row],[centro_costo]]="","",_xlfn.XLOOKUP(tblOrdenes[[#This Row],[centro_costo]],tblCECO[codigo],tblCECO[linea],"(sin catálogo)"))</f>
        <v/>
      </c>
      <c r="V542" s="3">
        <f>IF(tblOrdenes[[#This Row],[centro_costo]]="","",_xlfn.XLOOKUP(tblOrdenes[[#This Row],[centro_costo]],tblCECO[codigo],tblCECO[area],"(sin catálogo)"))</f>
        <v/>
      </c>
      <c r="W5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2" s="3">
        <f>IF(tblOrdenes[[#This Row],[centro_costo]]="","",_xlfn.XLOOKUP(tblOrdenes[[#This Row],[centro_costo]],tblCECO[codigo],tblCECO[coordinador],"(sin catálogo)"))</f>
        <v/>
      </c>
      <c r="Y542" s="3">
        <f>IF(tblOrdenes[[#This Row],[puesto_trabajo]]="","",_xlfn.XLOOKUP(tblOrdenes[[#This Row],[puesto_trabajo]],tblPuestos[codigo],tblPuestos[especialidad],"(sin catálogo)"))</f>
        <v/>
      </c>
      <c r="Z542" s="3">
        <f>IF(tblOrdenes[[#This Row],[cod_actividad]]="","",_xlfn.XLOOKUP(tblOrdenes[[#This Row],[cod_actividad]],tblActividades[codigo],tblActividades[descripcion],"(sin catálogo)"))</f>
        <v/>
      </c>
      <c r="AA542" s="13">
        <f>IF(tblOrdenes[[#This Row],[fecha_inicio]]="","",TODAY()-tblOrdenes[[#This Row],[fecha_inicio]])</f>
        <v/>
      </c>
      <c r="AB5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2" s="3">
        <f>IF(tblOrdenes[[#This Row],[backlog_habiles]]="","",IF(tblOrdenes[[#This Row],[backlog_habiles]]&lt;0,"FUTURO",IF(tblOrdenes[[#This Row],[backlog_habiles]]&gt;p_dias_backlog_max,"BACKLOG","MES CORRIENTE")))</f>
        <v/>
      </c>
      <c r="AD542" s="3">
        <f>IF(tblOrdenes[[#This Row],[backlog_habiles]]="",FALSE,AND(tblOrdenes[[#This Row],[backlog_habiles]]&gt;p_dias_backlog_min,tblOrdenes[[#This Row],[backlog_habiles]]&lt;=p_dias_backlog_max))</f>
        <v/>
      </c>
      <c r="AE542" s="6" t="n"/>
      <c r="AF5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2" s="11">
        <f>IF(tblOrdenes[[#This Row],[orden]]="","",_xlfn.XLOOKUP(tblOrdenes[[#This Row],[id_operacion]],tblEjecucion[id_operacion],tblEjecucion[precio],0))</f>
        <v/>
      </c>
      <c r="AJ542" s="11">
        <f>IF(tblOrdenes[[#This Row],[orden]]="","",MAX(0,_xlfn.XLOOKUP(tblOrdenes[[#This Row],[id_operacion]],tblEjecucion[id_operacion],tblEjecucion[costo_plan_total],0)-tblOrdenes[[#This Row],[costo_servicio]]))</f>
        <v/>
      </c>
      <c r="AK542" s="11">
        <f>IF(tblOrdenes[[#This Row],[orden]]="","",tblOrdenes[[#This Row],[costo_servicio]]+tblOrdenes[[#This Row],[costo_materiales]])</f>
        <v/>
      </c>
      <c r="AL542" s="6" t="n"/>
      <c r="AM542" s="6" t="n"/>
      <c r="AN542" s="6" t="n"/>
      <c r="AO542" s="3">
        <f>IF(tblOrdenes[[#This Row],[link_checklist]]="","",HYPERLINK(p_ruta_base_checklists&amp;tblOrdenes[[#This Row],[link_checklist]],"abrir"))</f>
        <v/>
      </c>
      <c r="AP542" s="6" t="n"/>
      <c r="AQ542" s="3">
        <f>IF(tblOrdenes[[#This Row],[orden]]="","",tblOrdenes[[#This Row],[orden]]&amp;IF(tblOrdenes[[#This Row],[operacion]]="","0010",tblOrdenes[[#This Row],[operacion]]))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2" t="n"/>
      <c r="K543" s="3" t="n"/>
      <c r="L543" s="11" t="n"/>
      <c r="M5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3" s="3">
        <f>IF(tblOrdenes[[#This Row],[fecha_inicio]]="","",YEAR(tblOrdenes[[#This Row],[fecha_inicio]]))</f>
        <v/>
      </c>
      <c r="Q543" s="3">
        <f>IF(tblOrdenes[[#This Row],[fecha_inicio]]="","",MONTH(tblOrdenes[[#This Row],[fecha_inicio]]))</f>
        <v/>
      </c>
      <c r="R543" s="3">
        <f>IF(tblOrdenes[[#This Row],[fecha_inicio]]="","",INDEX(lista_dias,WEEKDAY(tblOrdenes[[#This Row],[fecha_inicio]],2)))</f>
        <v/>
      </c>
      <c r="S5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3" s="3">
        <f>IF(tblOrdenes[[#This Row],[tipo_ot]]="","",_xlfn.XLOOKUP(tblOrdenes[[#This Row],[tipo_ot]],tblTiposOT[codigo],tblTiposOT[clasificacion],"sin_clasificar"))</f>
        <v/>
      </c>
      <c r="U543" s="3">
        <f>IF(tblOrdenes[[#This Row],[centro_costo]]="","",_xlfn.XLOOKUP(tblOrdenes[[#This Row],[centro_costo]],tblCECO[codigo],tblCECO[linea],"(sin catálogo)"))</f>
        <v/>
      </c>
      <c r="V543" s="3">
        <f>IF(tblOrdenes[[#This Row],[centro_costo]]="","",_xlfn.XLOOKUP(tblOrdenes[[#This Row],[centro_costo]],tblCECO[codigo],tblCECO[area],"(sin catálogo)"))</f>
        <v/>
      </c>
      <c r="W5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3" s="3">
        <f>IF(tblOrdenes[[#This Row],[centro_costo]]="","",_xlfn.XLOOKUP(tblOrdenes[[#This Row],[centro_costo]],tblCECO[codigo],tblCECO[coordinador],"(sin catálogo)"))</f>
        <v/>
      </c>
      <c r="Y543" s="3">
        <f>IF(tblOrdenes[[#This Row],[puesto_trabajo]]="","",_xlfn.XLOOKUP(tblOrdenes[[#This Row],[puesto_trabajo]],tblPuestos[codigo],tblPuestos[especialidad],"(sin catálogo)"))</f>
        <v/>
      </c>
      <c r="Z543" s="3">
        <f>IF(tblOrdenes[[#This Row],[cod_actividad]]="","",_xlfn.XLOOKUP(tblOrdenes[[#This Row],[cod_actividad]],tblActividades[codigo],tblActividades[descripcion],"(sin catálogo)"))</f>
        <v/>
      </c>
      <c r="AA543" s="13">
        <f>IF(tblOrdenes[[#This Row],[fecha_inicio]]="","",TODAY()-tblOrdenes[[#This Row],[fecha_inicio]])</f>
        <v/>
      </c>
      <c r="AB5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3" s="3">
        <f>IF(tblOrdenes[[#This Row],[backlog_habiles]]="","",IF(tblOrdenes[[#This Row],[backlog_habiles]]&lt;0,"FUTURO",IF(tblOrdenes[[#This Row],[backlog_habiles]]&gt;p_dias_backlog_max,"BACKLOG","MES CORRIENTE")))</f>
        <v/>
      </c>
      <c r="AD543" s="3">
        <f>IF(tblOrdenes[[#This Row],[backlog_habiles]]="",FALSE,AND(tblOrdenes[[#This Row],[backlog_habiles]]&gt;p_dias_backlog_min,tblOrdenes[[#This Row],[backlog_habiles]]&lt;=p_dias_backlog_max))</f>
        <v/>
      </c>
      <c r="AE543" s="6" t="n"/>
      <c r="AF5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3" s="11">
        <f>IF(tblOrdenes[[#This Row],[orden]]="","",_xlfn.XLOOKUP(tblOrdenes[[#This Row],[id_operacion]],tblEjecucion[id_operacion],tblEjecucion[precio],0))</f>
        <v/>
      </c>
      <c r="AJ543" s="11">
        <f>IF(tblOrdenes[[#This Row],[orden]]="","",MAX(0,_xlfn.XLOOKUP(tblOrdenes[[#This Row],[id_operacion]],tblEjecucion[id_operacion],tblEjecucion[costo_plan_total],0)-tblOrdenes[[#This Row],[costo_servicio]]))</f>
        <v/>
      </c>
      <c r="AK543" s="11">
        <f>IF(tblOrdenes[[#This Row],[orden]]="","",tblOrdenes[[#This Row],[costo_servicio]]+tblOrdenes[[#This Row],[costo_materiales]])</f>
        <v/>
      </c>
      <c r="AL543" s="6" t="n"/>
      <c r="AM543" s="6" t="n"/>
      <c r="AN543" s="6" t="n"/>
      <c r="AO543" s="3">
        <f>IF(tblOrdenes[[#This Row],[link_checklist]]="","",HYPERLINK(p_ruta_base_checklists&amp;tblOrdenes[[#This Row],[link_checklist]],"abrir"))</f>
        <v/>
      </c>
      <c r="AP543" s="6" t="n"/>
      <c r="AQ543" s="3">
        <f>IF(tblOrdenes[[#This Row],[orden]]="","",tblOrdenes[[#This Row],[orden]]&amp;IF(tblOrdenes[[#This Row],[operacion]]="","0010",tblOrdenes[[#This Row],[operacion]]))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2" t="n"/>
      <c r="K544" s="3" t="n"/>
      <c r="L544" s="11" t="n"/>
      <c r="M5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4" s="3">
        <f>IF(tblOrdenes[[#This Row],[fecha_inicio]]="","",YEAR(tblOrdenes[[#This Row],[fecha_inicio]]))</f>
        <v/>
      </c>
      <c r="Q544" s="3">
        <f>IF(tblOrdenes[[#This Row],[fecha_inicio]]="","",MONTH(tblOrdenes[[#This Row],[fecha_inicio]]))</f>
        <v/>
      </c>
      <c r="R544" s="3">
        <f>IF(tblOrdenes[[#This Row],[fecha_inicio]]="","",INDEX(lista_dias,WEEKDAY(tblOrdenes[[#This Row],[fecha_inicio]],2)))</f>
        <v/>
      </c>
      <c r="S5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4" s="3">
        <f>IF(tblOrdenes[[#This Row],[tipo_ot]]="","",_xlfn.XLOOKUP(tblOrdenes[[#This Row],[tipo_ot]],tblTiposOT[codigo],tblTiposOT[clasificacion],"sin_clasificar"))</f>
        <v/>
      </c>
      <c r="U544" s="3">
        <f>IF(tblOrdenes[[#This Row],[centro_costo]]="","",_xlfn.XLOOKUP(tblOrdenes[[#This Row],[centro_costo]],tblCECO[codigo],tblCECO[linea],"(sin catálogo)"))</f>
        <v/>
      </c>
      <c r="V544" s="3">
        <f>IF(tblOrdenes[[#This Row],[centro_costo]]="","",_xlfn.XLOOKUP(tblOrdenes[[#This Row],[centro_costo]],tblCECO[codigo],tblCECO[area],"(sin catálogo)"))</f>
        <v/>
      </c>
      <c r="W5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4" s="3">
        <f>IF(tblOrdenes[[#This Row],[centro_costo]]="","",_xlfn.XLOOKUP(tblOrdenes[[#This Row],[centro_costo]],tblCECO[codigo],tblCECO[coordinador],"(sin catálogo)"))</f>
        <v/>
      </c>
      <c r="Y544" s="3">
        <f>IF(tblOrdenes[[#This Row],[puesto_trabajo]]="","",_xlfn.XLOOKUP(tblOrdenes[[#This Row],[puesto_trabajo]],tblPuestos[codigo],tblPuestos[especialidad],"(sin catálogo)"))</f>
        <v/>
      </c>
      <c r="Z544" s="3">
        <f>IF(tblOrdenes[[#This Row],[cod_actividad]]="","",_xlfn.XLOOKUP(tblOrdenes[[#This Row],[cod_actividad]],tblActividades[codigo],tblActividades[descripcion],"(sin catálogo)"))</f>
        <v/>
      </c>
      <c r="AA544" s="13">
        <f>IF(tblOrdenes[[#This Row],[fecha_inicio]]="","",TODAY()-tblOrdenes[[#This Row],[fecha_inicio]])</f>
        <v/>
      </c>
      <c r="AB5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4" s="3">
        <f>IF(tblOrdenes[[#This Row],[backlog_habiles]]="","",IF(tblOrdenes[[#This Row],[backlog_habiles]]&lt;0,"FUTURO",IF(tblOrdenes[[#This Row],[backlog_habiles]]&gt;p_dias_backlog_max,"BACKLOG","MES CORRIENTE")))</f>
        <v/>
      </c>
      <c r="AD544" s="3">
        <f>IF(tblOrdenes[[#This Row],[backlog_habiles]]="",FALSE,AND(tblOrdenes[[#This Row],[backlog_habiles]]&gt;p_dias_backlog_min,tblOrdenes[[#This Row],[backlog_habiles]]&lt;=p_dias_backlog_max))</f>
        <v/>
      </c>
      <c r="AE544" s="6" t="n"/>
      <c r="AF5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4" s="11">
        <f>IF(tblOrdenes[[#This Row],[orden]]="","",_xlfn.XLOOKUP(tblOrdenes[[#This Row],[id_operacion]],tblEjecucion[id_operacion],tblEjecucion[precio],0))</f>
        <v/>
      </c>
      <c r="AJ544" s="11">
        <f>IF(tblOrdenes[[#This Row],[orden]]="","",MAX(0,_xlfn.XLOOKUP(tblOrdenes[[#This Row],[id_operacion]],tblEjecucion[id_operacion],tblEjecucion[costo_plan_total],0)-tblOrdenes[[#This Row],[costo_servicio]]))</f>
        <v/>
      </c>
      <c r="AK544" s="11">
        <f>IF(tblOrdenes[[#This Row],[orden]]="","",tblOrdenes[[#This Row],[costo_servicio]]+tblOrdenes[[#This Row],[costo_materiales]])</f>
        <v/>
      </c>
      <c r="AL544" s="6" t="n"/>
      <c r="AM544" s="6" t="n"/>
      <c r="AN544" s="6" t="n"/>
      <c r="AO544" s="3">
        <f>IF(tblOrdenes[[#This Row],[link_checklist]]="","",HYPERLINK(p_ruta_base_checklists&amp;tblOrdenes[[#This Row],[link_checklist]],"abrir"))</f>
        <v/>
      </c>
      <c r="AP544" s="6" t="n"/>
      <c r="AQ544" s="3">
        <f>IF(tblOrdenes[[#This Row],[orden]]="","",tblOrdenes[[#This Row],[orden]]&amp;IF(tblOrdenes[[#This Row],[operacion]]="","0010",tblOrdenes[[#This Row],[operacion]]))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2" t="n"/>
      <c r="K545" s="3" t="n"/>
      <c r="L545" s="11" t="n"/>
      <c r="M5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5" s="3">
        <f>IF(tblOrdenes[[#This Row],[fecha_inicio]]="","",YEAR(tblOrdenes[[#This Row],[fecha_inicio]]))</f>
        <v/>
      </c>
      <c r="Q545" s="3">
        <f>IF(tblOrdenes[[#This Row],[fecha_inicio]]="","",MONTH(tblOrdenes[[#This Row],[fecha_inicio]]))</f>
        <v/>
      </c>
      <c r="R545" s="3">
        <f>IF(tblOrdenes[[#This Row],[fecha_inicio]]="","",INDEX(lista_dias,WEEKDAY(tblOrdenes[[#This Row],[fecha_inicio]],2)))</f>
        <v/>
      </c>
      <c r="S5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5" s="3">
        <f>IF(tblOrdenes[[#This Row],[tipo_ot]]="","",_xlfn.XLOOKUP(tblOrdenes[[#This Row],[tipo_ot]],tblTiposOT[codigo],tblTiposOT[clasificacion],"sin_clasificar"))</f>
        <v/>
      </c>
      <c r="U545" s="3">
        <f>IF(tblOrdenes[[#This Row],[centro_costo]]="","",_xlfn.XLOOKUP(tblOrdenes[[#This Row],[centro_costo]],tblCECO[codigo],tblCECO[linea],"(sin catálogo)"))</f>
        <v/>
      </c>
      <c r="V545" s="3">
        <f>IF(tblOrdenes[[#This Row],[centro_costo]]="","",_xlfn.XLOOKUP(tblOrdenes[[#This Row],[centro_costo]],tblCECO[codigo],tblCECO[area],"(sin catálogo)"))</f>
        <v/>
      </c>
      <c r="W5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5" s="3">
        <f>IF(tblOrdenes[[#This Row],[centro_costo]]="","",_xlfn.XLOOKUP(tblOrdenes[[#This Row],[centro_costo]],tblCECO[codigo],tblCECO[coordinador],"(sin catálogo)"))</f>
        <v/>
      </c>
      <c r="Y545" s="3">
        <f>IF(tblOrdenes[[#This Row],[puesto_trabajo]]="","",_xlfn.XLOOKUP(tblOrdenes[[#This Row],[puesto_trabajo]],tblPuestos[codigo],tblPuestos[especialidad],"(sin catálogo)"))</f>
        <v/>
      </c>
      <c r="Z545" s="3">
        <f>IF(tblOrdenes[[#This Row],[cod_actividad]]="","",_xlfn.XLOOKUP(tblOrdenes[[#This Row],[cod_actividad]],tblActividades[codigo],tblActividades[descripcion],"(sin catálogo)"))</f>
        <v/>
      </c>
      <c r="AA545" s="13">
        <f>IF(tblOrdenes[[#This Row],[fecha_inicio]]="","",TODAY()-tblOrdenes[[#This Row],[fecha_inicio]])</f>
        <v/>
      </c>
      <c r="AB5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5" s="3">
        <f>IF(tblOrdenes[[#This Row],[backlog_habiles]]="","",IF(tblOrdenes[[#This Row],[backlog_habiles]]&lt;0,"FUTURO",IF(tblOrdenes[[#This Row],[backlog_habiles]]&gt;p_dias_backlog_max,"BACKLOG","MES CORRIENTE")))</f>
        <v/>
      </c>
      <c r="AD545" s="3">
        <f>IF(tblOrdenes[[#This Row],[backlog_habiles]]="",FALSE,AND(tblOrdenes[[#This Row],[backlog_habiles]]&gt;p_dias_backlog_min,tblOrdenes[[#This Row],[backlog_habiles]]&lt;=p_dias_backlog_max))</f>
        <v/>
      </c>
      <c r="AE545" s="6" t="n"/>
      <c r="AF5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5" s="11">
        <f>IF(tblOrdenes[[#This Row],[orden]]="","",_xlfn.XLOOKUP(tblOrdenes[[#This Row],[id_operacion]],tblEjecucion[id_operacion],tblEjecucion[precio],0))</f>
        <v/>
      </c>
      <c r="AJ545" s="11">
        <f>IF(tblOrdenes[[#This Row],[orden]]="","",MAX(0,_xlfn.XLOOKUP(tblOrdenes[[#This Row],[id_operacion]],tblEjecucion[id_operacion],tblEjecucion[costo_plan_total],0)-tblOrdenes[[#This Row],[costo_servicio]]))</f>
        <v/>
      </c>
      <c r="AK545" s="11">
        <f>IF(tblOrdenes[[#This Row],[orden]]="","",tblOrdenes[[#This Row],[costo_servicio]]+tblOrdenes[[#This Row],[costo_materiales]])</f>
        <v/>
      </c>
      <c r="AL545" s="6" t="n"/>
      <c r="AM545" s="6" t="n"/>
      <c r="AN545" s="6" t="n"/>
      <c r="AO545" s="3">
        <f>IF(tblOrdenes[[#This Row],[link_checklist]]="","",HYPERLINK(p_ruta_base_checklists&amp;tblOrdenes[[#This Row],[link_checklist]],"abrir"))</f>
        <v/>
      </c>
      <c r="AP545" s="6" t="n"/>
      <c r="AQ545" s="3">
        <f>IF(tblOrdenes[[#This Row],[orden]]="","",tblOrdenes[[#This Row],[orden]]&amp;IF(tblOrdenes[[#This Row],[operacion]]="","0010",tblOrdenes[[#This Row],[operacion]]))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2" t="n"/>
      <c r="K546" s="3" t="n"/>
      <c r="L546" s="11" t="n"/>
      <c r="M5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6" s="3">
        <f>IF(tblOrdenes[[#This Row],[fecha_inicio]]="","",YEAR(tblOrdenes[[#This Row],[fecha_inicio]]))</f>
        <v/>
      </c>
      <c r="Q546" s="3">
        <f>IF(tblOrdenes[[#This Row],[fecha_inicio]]="","",MONTH(tblOrdenes[[#This Row],[fecha_inicio]]))</f>
        <v/>
      </c>
      <c r="R546" s="3">
        <f>IF(tblOrdenes[[#This Row],[fecha_inicio]]="","",INDEX(lista_dias,WEEKDAY(tblOrdenes[[#This Row],[fecha_inicio]],2)))</f>
        <v/>
      </c>
      <c r="S5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6" s="3">
        <f>IF(tblOrdenes[[#This Row],[tipo_ot]]="","",_xlfn.XLOOKUP(tblOrdenes[[#This Row],[tipo_ot]],tblTiposOT[codigo],tblTiposOT[clasificacion],"sin_clasificar"))</f>
        <v/>
      </c>
      <c r="U546" s="3">
        <f>IF(tblOrdenes[[#This Row],[centro_costo]]="","",_xlfn.XLOOKUP(tblOrdenes[[#This Row],[centro_costo]],tblCECO[codigo],tblCECO[linea],"(sin catálogo)"))</f>
        <v/>
      </c>
      <c r="V546" s="3">
        <f>IF(tblOrdenes[[#This Row],[centro_costo]]="","",_xlfn.XLOOKUP(tblOrdenes[[#This Row],[centro_costo]],tblCECO[codigo],tblCECO[area],"(sin catálogo)"))</f>
        <v/>
      </c>
      <c r="W5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6" s="3">
        <f>IF(tblOrdenes[[#This Row],[centro_costo]]="","",_xlfn.XLOOKUP(tblOrdenes[[#This Row],[centro_costo]],tblCECO[codigo],tblCECO[coordinador],"(sin catálogo)"))</f>
        <v/>
      </c>
      <c r="Y546" s="3">
        <f>IF(tblOrdenes[[#This Row],[puesto_trabajo]]="","",_xlfn.XLOOKUP(tblOrdenes[[#This Row],[puesto_trabajo]],tblPuestos[codigo],tblPuestos[especialidad],"(sin catálogo)"))</f>
        <v/>
      </c>
      <c r="Z546" s="3">
        <f>IF(tblOrdenes[[#This Row],[cod_actividad]]="","",_xlfn.XLOOKUP(tblOrdenes[[#This Row],[cod_actividad]],tblActividades[codigo],tblActividades[descripcion],"(sin catálogo)"))</f>
        <v/>
      </c>
      <c r="AA546" s="13">
        <f>IF(tblOrdenes[[#This Row],[fecha_inicio]]="","",TODAY()-tblOrdenes[[#This Row],[fecha_inicio]])</f>
        <v/>
      </c>
      <c r="AB5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6" s="3">
        <f>IF(tblOrdenes[[#This Row],[backlog_habiles]]="","",IF(tblOrdenes[[#This Row],[backlog_habiles]]&lt;0,"FUTURO",IF(tblOrdenes[[#This Row],[backlog_habiles]]&gt;p_dias_backlog_max,"BACKLOG","MES CORRIENTE")))</f>
        <v/>
      </c>
      <c r="AD546" s="3">
        <f>IF(tblOrdenes[[#This Row],[backlog_habiles]]="",FALSE,AND(tblOrdenes[[#This Row],[backlog_habiles]]&gt;p_dias_backlog_min,tblOrdenes[[#This Row],[backlog_habiles]]&lt;=p_dias_backlog_max))</f>
        <v/>
      </c>
      <c r="AE546" s="6" t="n"/>
      <c r="AF5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6" s="11">
        <f>IF(tblOrdenes[[#This Row],[orden]]="","",_xlfn.XLOOKUP(tblOrdenes[[#This Row],[id_operacion]],tblEjecucion[id_operacion],tblEjecucion[precio],0))</f>
        <v/>
      </c>
      <c r="AJ546" s="11">
        <f>IF(tblOrdenes[[#This Row],[orden]]="","",MAX(0,_xlfn.XLOOKUP(tblOrdenes[[#This Row],[id_operacion]],tblEjecucion[id_operacion],tblEjecucion[costo_plan_total],0)-tblOrdenes[[#This Row],[costo_servicio]]))</f>
        <v/>
      </c>
      <c r="AK546" s="11">
        <f>IF(tblOrdenes[[#This Row],[orden]]="","",tblOrdenes[[#This Row],[costo_servicio]]+tblOrdenes[[#This Row],[costo_materiales]])</f>
        <v/>
      </c>
      <c r="AL546" s="6" t="n"/>
      <c r="AM546" s="6" t="n"/>
      <c r="AN546" s="6" t="n"/>
      <c r="AO546" s="3">
        <f>IF(tblOrdenes[[#This Row],[link_checklist]]="","",HYPERLINK(p_ruta_base_checklists&amp;tblOrdenes[[#This Row],[link_checklist]],"abrir"))</f>
        <v/>
      </c>
      <c r="AP546" s="6" t="n"/>
      <c r="AQ546" s="3">
        <f>IF(tblOrdenes[[#This Row],[orden]]="","",tblOrdenes[[#This Row],[orden]]&amp;IF(tblOrdenes[[#This Row],[operacion]]="","0010",tblOrdenes[[#This Row],[operacion]]))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2" t="n"/>
      <c r="K547" s="3" t="n"/>
      <c r="L547" s="11" t="n"/>
      <c r="M5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7" s="3">
        <f>IF(tblOrdenes[[#This Row],[fecha_inicio]]="","",YEAR(tblOrdenes[[#This Row],[fecha_inicio]]))</f>
        <v/>
      </c>
      <c r="Q547" s="3">
        <f>IF(tblOrdenes[[#This Row],[fecha_inicio]]="","",MONTH(tblOrdenes[[#This Row],[fecha_inicio]]))</f>
        <v/>
      </c>
      <c r="R547" s="3">
        <f>IF(tblOrdenes[[#This Row],[fecha_inicio]]="","",INDEX(lista_dias,WEEKDAY(tblOrdenes[[#This Row],[fecha_inicio]],2)))</f>
        <v/>
      </c>
      <c r="S5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7" s="3">
        <f>IF(tblOrdenes[[#This Row],[tipo_ot]]="","",_xlfn.XLOOKUP(tblOrdenes[[#This Row],[tipo_ot]],tblTiposOT[codigo],tblTiposOT[clasificacion],"sin_clasificar"))</f>
        <v/>
      </c>
      <c r="U547" s="3">
        <f>IF(tblOrdenes[[#This Row],[centro_costo]]="","",_xlfn.XLOOKUP(tblOrdenes[[#This Row],[centro_costo]],tblCECO[codigo],tblCECO[linea],"(sin catálogo)"))</f>
        <v/>
      </c>
      <c r="V547" s="3">
        <f>IF(tblOrdenes[[#This Row],[centro_costo]]="","",_xlfn.XLOOKUP(tblOrdenes[[#This Row],[centro_costo]],tblCECO[codigo],tblCECO[area],"(sin catálogo)"))</f>
        <v/>
      </c>
      <c r="W5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7" s="3">
        <f>IF(tblOrdenes[[#This Row],[centro_costo]]="","",_xlfn.XLOOKUP(tblOrdenes[[#This Row],[centro_costo]],tblCECO[codigo],tblCECO[coordinador],"(sin catálogo)"))</f>
        <v/>
      </c>
      <c r="Y547" s="3">
        <f>IF(tblOrdenes[[#This Row],[puesto_trabajo]]="","",_xlfn.XLOOKUP(tblOrdenes[[#This Row],[puesto_trabajo]],tblPuestos[codigo],tblPuestos[especialidad],"(sin catálogo)"))</f>
        <v/>
      </c>
      <c r="Z547" s="3">
        <f>IF(tblOrdenes[[#This Row],[cod_actividad]]="","",_xlfn.XLOOKUP(tblOrdenes[[#This Row],[cod_actividad]],tblActividades[codigo],tblActividades[descripcion],"(sin catálogo)"))</f>
        <v/>
      </c>
      <c r="AA547" s="13">
        <f>IF(tblOrdenes[[#This Row],[fecha_inicio]]="","",TODAY()-tblOrdenes[[#This Row],[fecha_inicio]])</f>
        <v/>
      </c>
      <c r="AB5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7" s="3">
        <f>IF(tblOrdenes[[#This Row],[backlog_habiles]]="","",IF(tblOrdenes[[#This Row],[backlog_habiles]]&lt;0,"FUTURO",IF(tblOrdenes[[#This Row],[backlog_habiles]]&gt;p_dias_backlog_max,"BACKLOG","MES CORRIENTE")))</f>
        <v/>
      </c>
      <c r="AD547" s="3">
        <f>IF(tblOrdenes[[#This Row],[backlog_habiles]]="",FALSE,AND(tblOrdenes[[#This Row],[backlog_habiles]]&gt;p_dias_backlog_min,tblOrdenes[[#This Row],[backlog_habiles]]&lt;=p_dias_backlog_max))</f>
        <v/>
      </c>
      <c r="AE547" s="6" t="n"/>
      <c r="AF5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7" s="11">
        <f>IF(tblOrdenes[[#This Row],[orden]]="","",_xlfn.XLOOKUP(tblOrdenes[[#This Row],[id_operacion]],tblEjecucion[id_operacion],tblEjecucion[precio],0))</f>
        <v/>
      </c>
      <c r="AJ547" s="11">
        <f>IF(tblOrdenes[[#This Row],[orden]]="","",MAX(0,_xlfn.XLOOKUP(tblOrdenes[[#This Row],[id_operacion]],tblEjecucion[id_operacion],tblEjecucion[costo_plan_total],0)-tblOrdenes[[#This Row],[costo_servicio]]))</f>
        <v/>
      </c>
      <c r="AK547" s="11">
        <f>IF(tblOrdenes[[#This Row],[orden]]="","",tblOrdenes[[#This Row],[costo_servicio]]+tblOrdenes[[#This Row],[costo_materiales]])</f>
        <v/>
      </c>
      <c r="AL547" s="6" t="n"/>
      <c r="AM547" s="6" t="n"/>
      <c r="AN547" s="6" t="n"/>
      <c r="AO547" s="3">
        <f>IF(tblOrdenes[[#This Row],[link_checklist]]="","",HYPERLINK(p_ruta_base_checklists&amp;tblOrdenes[[#This Row],[link_checklist]],"abrir"))</f>
        <v/>
      </c>
      <c r="AP547" s="6" t="n"/>
      <c r="AQ547" s="3">
        <f>IF(tblOrdenes[[#This Row],[orden]]="","",tblOrdenes[[#This Row],[orden]]&amp;IF(tblOrdenes[[#This Row],[operacion]]="","0010",tblOrdenes[[#This Row],[operacion]]))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2" t="n"/>
      <c r="K548" s="3" t="n"/>
      <c r="L548" s="11" t="n"/>
      <c r="M5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8" s="3">
        <f>IF(tblOrdenes[[#This Row],[fecha_inicio]]="","",YEAR(tblOrdenes[[#This Row],[fecha_inicio]]))</f>
        <v/>
      </c>
      <c r="Q548" s="3">
        <f>IF(tblOrdenes[[#This Row],[fecha_inicio]]="","",MONTH(tblOrdenes[[#This Row],[fecha_inicio]]))</f>
        <v/>
      </c>
      <c r="R548" s="3">
        <f>IF(tblOrdenes[[#This Row],[fecha_inicio]]="","",INDEX(lista_dias,WEEKDAY(tblOrdenes[[#This Row],[fecha_inicio]],2)))</f>
        <v/>
      </c>
      <c r="S5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8" s="3">
        <f>IF(tblOrdenes[[#This Row],[tipo_ot]]="","",_xlfn.XLOOKUP(tblOrdenes[[#This Row],[tipo_ot]],tblTiposOT[codigo],tblTiposOT[clasificacion],"sin_clasificar"))</f>
        <v/>
      </c>
      <c r="U548" s="3">
        <f>IF(tblOrdenes[[#This Row],[centro_costo]]="","",_xlfn.XLOOKUP(tblOrdenes[[#This Row],[centro_costo]],tblCECO[codigo],tblCECO[linea],"(sin catálogo)"))</f>
        <v/>
      </c>
      <c r="V548" s="3">
        <f>IF(tblOrdenes[[#This Row],[centro_costo]]="","",_xlfn.XLOOKUP(tblOrdenes[[#This Row],[centro_costo]],tblCECO[codigo],tblCECO[area],"(sin catálogo)"))</f>
        <v/>
      </c>
      <c r="W5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8" s="3">
        <f>IF(tblOrdenes[[#This Row],[centro_costo]]="","",_xlfn.XLOOKUP(tblOrdenes[[#This Row],[centro_costo]],tblCECO[codigo],tblCECO[coordinador],"(sin catálogo)"))</f>
        <v/>
      </c>
      <c r="Y548" s="3">
        <f>IF(tblOrdenes[[#This Row],[puesto_trabajo]]="","",_xlfn.XLOOKUP(tblOrdenes[[#This Row],[puesto_trabajo]],tblPuestos[codigo],tblPuestos[especialidad],"(sin catálogo)"))</f>
        <v/>
      </c>
      <c r="Z548" s="3">
        <f>IF(tblOrdenes[[#This Row],[cod_actividad]]="","",_xlfn.XLOOKUP(tblOrdenes[[#This Row],[cod_actividad]],tblActividades[codigo],tblActividades[descripcion],"(sin catálogo)"))</f>
        <v/>
      </c>
      <c r="AA548" s="13">
        <f>IF(tblOrdenes[[#This Row],[fecha_inicio]]="","",TODAY()-tblOrdenes[[#This Row],[fecha_inicio]])</f>
        <v/>
      </c>
      <c r="AB5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8" s="3">
        <f>IF(tblOrdenes[[#This Row],[backlog_habiles]]="","",IF(tblOrdenes[[#This Row],[backlog_habiles]]&lt;0,"FUTURO",IF(tblOrdenes[[#This Row],[backlog_habiles]]&gt;p_dias_backlog_max,"BACKLOG","MES CORRIENTE")))</f>
        <v/>
      </c>
      <c r="AD548" s="3">
        <f>IF(tblOrdenes[[#This Row],[backlog_habiles]]="",FALSE,AND(tblOrdenes[[#This Row],[backlog_habiles]]&gt;p_dias_backlog_min,tblOrdenes[[#This Row],[backlog_habiles]]&lt;=p_dias_backlog_max))</f>
        <v/>
      </c>
      <c r="AE548" s="6" t="n"/>
      <c r="AF5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8" s="11">
        <f>IF(tblOrdenes[[#This Row],[orden]]="","",_xlfn.XLOOKUP(tblOrdenes[[#This Row],[id_operacion]],tblEjecucion[id_operacion],tblEjecucion[precio],0))</f>
        <v/>
      </c>
      <c r="AJ548" s="11">
        <f>IF(tblOrdenes[[#This Row],[orden]]="","",MAX(0,_xlfn.XLOOKUP(tblOrdenes[[#This Row],[id_operacion]],tblEjecucion[id_operacion],tblEjecucion[costo_plan_total],0)-tblOrdenes[[#This Row],[costo_servicio]]))</f>
        <v/>
      </c>
      <c r="AK548" s="11">
        <f>IF(tblOrdenes[[#This Row],[orden]]="","",tblOrdenes[[#This Row],[costo_servicio]]+tblOrdenes[[#This Row],[costo_materiales]])</f>
        <v/>
      </c>
      <c r="AL548" s="6" t="n"/>
      <c r="AM548" s="6" t="n"/>
      <c r="AN548" s="6" t="n"/>
      <c r="AO548" s="3">
        <f>IF(tblOrdenes[[#This Row],[link_checklist]]="","",HYPERLINK(p_ruta_base_checklists&amp;tblOrdenes[[#This Row],[link_checklist]],"abrir"))</f>
        <v/>
      </c>
      <c r="AP548" s="6" t="n"/>
      <c r="AQ548" s="3">
        <f>IF(tblOrdenes[[#This Row],[orden]]="","",tblOrdenes[[#This Row],[orden]]&amp;IF(tblOrdenes[[#This Row],[operacion]]="","0010",tblOrdenes[[#This Row],[operacion]]))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2" t="n"/>
      <c r="K549" s="3" t="n"/>
      <c r="L549" s="11" t="n"/>
      <c r="M5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9" s="3">
        <f>IF(tblOrdenes[[#This Row],[fecha_inicio]]="","",YEAR(tblOrdenes[[#This Row],[fecha_inicio]]))</f>
        <v/>
      </c>
      <c r="Q549" s="3">
        <f>IF(tblOrdenes[[#This Row],[fecha_inicio]]="","",MONTH(tblOrdenes[[#This Row],[fecha_inicio]]))</f>
        <v/>
      </c>
      <c r="R549" s="3">
        <f>IF(tblOrdenes[[#This Row],[fecha_inicio]]="","",INDEX(lista_dias,WEEKDAY(tblOrdenes[[#This Row],[fecha_inicio]],2)))</f>
        <v/>
      </c>
      <c r="S5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9" s="3">
        <f>IF(tblOrdenes[[#This Row],[tipo_ot]]="","",_xlfn.XLOOKUP(tblOrdenes[[#This Row],[tipo_ot]],tblTiposOT[codigo],tblTiposOT[clasificacion],"sin_clasificar"))</f>
        <v/>
      </c>
      <c r="U549" s="3">
        <f>IF(tblOrdenes[[#This Row],[centro_costo]]="","",_xlfn.XLOOKUP(tblOrdenes[[#This Row],[centro_costo]],tblCECO[codigo],tblCECO[linea],"(sin catálogo)"))</f>
        <v/>
      </c>
      <c r="V549" s="3">
        <f>IF(tblOrdenes[[#This Row],[centro_costo]]="","",_xlfn.XLOOKUP(tblOrdenes[[#This Row],[centro_costo]],tblCECO[codigo],tblCECO[area],"(sin catálogo)"))</f>
        <v/>
      </c>
      <c r="W5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9" s="3">
        <f>IF(tblOrdenes[[#This Row],[centro_costo]]="","",_xlfn.XLOOKUP(tblOrdenes[[#This Row],[centro_costo]],tblCECO[codigo],tblCECO[coordinador],"(sin catálogo)"))</f>
        <v/>
      </c>
      <c r="Y549" s="3">
        <f>IF(tblOrdenes[[#This Row],[puesto_trabajo]]="","",_xlfn.XLOOKUP(tblOrdenes[[#This Row],[puesto_trabajo]],tblPuestos[codigo],tblPuestos[especialidad],"(sin catálogo)"))</f>
        <v/>
      </c>
      <c r="Z549" s="3">
        <f>IF(tblOrdenes[[#This Row],[cod_actividad]]="","",_xlfn.XLOOKUP(tblOrdenes[[#This Row],[cod_actividad]],tblActividades[codigo],tblActividades[descripcion],"(sin catálogo)"))</f>
        <v/>
      </c>
      <c r="AA549" s="13">
        <f>IF(tblOrdenes[[#This Row],[fecha_inicio]]="","",TODAY()-tblOrdenes[[#This Row],[fecha_inicio]])</f>
        <v/>
      </c>
      <c r="AB5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9" s="3">
        <f>IF(tblOrdenes[[#This Row],[backlog_habiles]]="","",IF(tblOrdenes[[#This Row],[backlog_habiles]]&lt;0,"FUTURO",IF(tblOrdenes[[#This Row],[backlog_habiles]]&gt;p_dias_backlog_max,"BACKLOG","MES CORRIENTE")))</f>
        <v/>
      </c>
      <c r="AD549" s="3">
        <f>IF(tblOrdenes[[#This Row],[backlog_habiles]]="",FALSE,AND(tblOrdenes[[#This Row],[backlog_habiles]]&gt;p_dias_backlog_min,tblOrdenes[[#This Row],[backlog_habiles]]&lt;=p_dias_backlog_max))</f>
        <v/>
      </c>
      <c r="AE549" s="6" t="n"/>
      <c r="AF5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9" s="11">
        <f>IF(tblOrdenes[[#This Row],[orden]]="","",_xlfn.XLOOKUP(tblOrdenes[[#This Row],[id_operacion]],tblEjecucion[id_operacion],tblEjecucion[precio],0))</f>
        <v/>
      </c>
      <c r="AJ549" s="11">
        <f>IF(tblOrdenes[[#This Row],[orden]]="","",MAX(0,_xlfn.XLOOKUP(tblOrdenes[[#This Row],[id_operacion]],tblEjecucion[id_operacion],tblEjecucion[costo_plan_total],0)-tblOrdenes[[#This Row],[costo_servicio]]))</f>
        <v/>
      </c>
      <c r="AK549" s="11">
        <f>IF(tblOrdenes[[#This Row],[orden]]="","",tblOrdenes[[#This Row],[costo_servicio]]+tblOrdenes[[#This Row],[costo_materiales]])</f>
        <v/>
      </c>
      <c r="AL549" s="6" t="n"/>
      <c r="AM549" s="6" t="n"/>
      <c r="AN549" s="6" t="n"/>
      <c r="AO549" s="3">
        <f>IF(tblOrdenes[[#This Row],[link_checklist]]="","",HYPERLINK(p_ruta_base_checklists&amp;tblOrdenes[[#This Row],[link_checklist]],"abrir"))</f>
        <v/>
      </c>
      <c r="AP549" s="6" t="n"/>
      <c r="AQ549" s="3">
        <f>IF(tblOrdenes[[#This Row],[orden]]="","",tblOrdenes[[#This Row],[orden]]&amp;IF(tblOrdenes[[#This Row],[operacion]]="","0010",tblOrdenes[[#This Row],[operacion]]))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2" t="n"/>
      <c r="K550" s="3" t="n"/>
      <c r="L550" s="11" t="n"/>
      <c r="M5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0" s="3">
        <f>IF(tblOrdenes[[#This Row],[fecha_inicio]]="","",YEAR(tblOrdenes[[#This Row],[fecha_inicio]]))</f>
        <v/>
      </c>
      <c r="Q550" s="3">
        <f>IF(tblOrdenes[[#This Row],[fecha_inicio]]="","",MONTH(tblOrdenes[[#This Row],[fecha_inicio]]))</f>
        <v/>
      </c>
      <c r="R550" s="3">
        <f>IF(tblOrdenes[[#This Row],[fecha_inicio]]="","",INDEX(lista_dias,WEEKDAY(tblOrdenes[[#This Row],[fecha_inicio]],2)))</f>
        <v/>
      </c>
      <c r="S5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0" s="3">
        <f>IF(tblOrdenes[[#This Row],[tipo_ot]]="","",_xlfn.XLOOKUP(tblOrdenes[[#This Row],[tipo_ot]],tblTiposOT[codigo],tblTiposOT[clasificacion],"sin_clasificar"))</f>
        <v/>
      </c>
      <c r="U550" s="3">
        <f>IF(tblOrdenes[[#This Row],[centro_costo]]="","",_xlfn.XLOOKUP(tblOrdenes[[#This Row],[centro_costo]],tblCECO[codigo],tblCECO[linea],"(sin catálogo)"))</f>
        <v/>
      </c>
      <c r="V550" s="3">
        <f>IF(tblOrdenes[[#This Row],[centro_costo]]="","",_xlfn.XLOOKUP(tblOrdenes[[#This Row],[centro_costo]],tblCECO[codigo],tblCECO[area],"(sin catálogo)"))</f>
        <v/>
      </c>
      <c r="W5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0" s="3">
        <f>IF(tblOrdenes[[#This Row],[centro_costo]]="","",_xlfn.XLOOKUP(tblOrdenes[[#This Row],[centro_costo]],tblCECO[codigo],tblCECO[coordinador],"(sin catálogo)"))</f>
        <v/>
      </c>
      <c r="Y550" s="3">
        <f>IF(tblOrdenes[[#This Row],[puesto_trabajo]]="","",_xlfn.XLOOKUP(tblOrdenes[[#This Row],[puesto_trabajo]],tblPuestos[codigo],tblPuestos[especialidad],"(sin catálogo)"))</f>
        <v/>
      </c>
      <c r="Z550" s="3">
        <f>IF(tblOrdenes[[#This Row],[cod_actividad]]="","",_xlfn.XLOOKUP(tblOrdenes[[#This Row],[cod_actividad]],tblActividades[codigo],tblActividades[descripcion],"(sin catálogo)"))</f>
        <v/>
      </c>
      <c r="AA550" s="13">
        <f>IF(tblOrdenes[[#This Row],[fecha_inicio]]="","",TODAY()-tblOrdenes[[#This Row],[fecha_inicio]])</f>
        <v/>
      </c>
      <c r="AB5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0" s="3">
        <f>IF(tblOrdenes[[#This Row],[backlog_habiles]]="","",IF(tblOrdenes[[#This Row],[backlog_habiles]]&lt;0,"FUTURO",IF(tblOrdenes[[#This Row],[backlog_habiles]]&gt;p_dias_backlog_max,"BACKLOG","MES CORRIENTE")))</f>
        <v/>
      </c>
      <c r="AD550" s="3">
        <f>IF(tblOrdenes[[#This Row],[backlog_habiles]]="",FALSE,AND(tblOrdenes[[#This Row],[backlog_habiles]]&gt;p_dias_backlog_min,tblOrdenes[[#This Row],[backlog_habiles]]&lt;=p_dias_backlog_max))</f>
        <v/>
      </c>
      <c r="AE550" s="6" t="n"/>
      <c r="AF5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0" s="11">
        <f>IF(tblOrdenes[[#This Row],[orden]]="","",_xlfn.XLOOKUP(tblOrdenes[[#This Row],[id_operacion]],tblEjecucion[id_operacion],tblEjecucion[precio],0))</f>
        <v/>
      </c>
      <c r="AJ550" s="11">
        <f>IF(tblOrdenes[[#This Row],[orden]]="","",MAX(0,_xlfn.XLOOKUP(tblOrdenes[[#This Row],[id_operacion]],tblEjecucion[id_operacion],tblEjecucion[costo_plan_total],0)-tblOrdenes[[#This Row],[costo_servicio]]))</f>
        <v/>
      </c>
      <c r="AK550" s="11">
        <f>IF(tblOrdenes[[#This Row],[orden]]="","",tblOrdenes[[#This Row],[costo_servicio]]+tblOrdenes[[#This Row],[costo_materiales]])</f>
        <v/>
      </c>
      <c r="AL550" s="6" t="n"/>
      <c r="AM550" s="6" t="n"/>
      <c r="AN550" s="6" t="n"/>
      <c r="AO550" s="3">
        <f>IF(tblOrdenes[[#This Row],[link_checklist]]="","",HYPERLINK(p_ruta_base_checklists&amp;tblOrdenes[[#This Row],[link_checklist]],"abrir"))</f>
        <v/>
      </c>
      <c r="AP550" s="6" t="n"/>
      <c r="AQ550" s="3">
        <f>IF(tblOrdenes[[#This Row],[orden]]="","",tblOrdenes[[#This Row],[orden]]&amp;IF(tblOrdenes[[#This Row],[operacion]]="","0010",tblOrdenes[[#This Row],[operacion]]))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2" t="n"/>
      <c r="K551" s="3" t="n"/>
      <c r="L551" s="11" t="n"/>
      <c r="M5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1" s="3">
        <f>IF(tblOrdenes[[#This Row],[fecha_inicio]]="","",YEAR(tblOrdenes[[#This Row],[fecha_inicio]]))</f>
        <v/>
      </c>
      <c r="Q551" s="3">
        <f>IF(tblOrdenes[[#This Row],[fecha_inicio]]="","",MONTH(tblOrdenes[[#This Row],[fecha_inicio]]))</f>
        <v/>
      </c>
      <c r="R551" s="3">
        <f>IF(tblOrdenes[[#This Row],[fecha_inicio]]="","",INDEX(lista_dias,WEEKDAY(tblOrdenes[[#This Row],[fecha_inicio]],2)))</f>
        <v/>
      </c>
      <c r="S5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1" s="3">
        <f>IF(tblOrdenes[[#This Row],[tipo_ot]]="","",_xlfn.XLOOKUP(tblOrdenes[[#This Row],[tipo_ot]],tblTiposOT[codigo],tblTiposOT[clasificacion],"sin_clasificar"))</f>
        <v/>
      </c>
      <c r="U551" s="3">
        <f>IF(tblOrdenes[[#This Row],[centro_costo]]="","",_xlfn.XLOOKUP(tblOrdenes[[#This Row],[centro_costo]],tblCECO[codigo],tblCECO[linea],"(sin catálogo)"))</f>
        <v/>
      </c>
      <c r="V551" s="3">
        <f>IF(tblOrdenes[[#This Row],[centro_costo]]="","",_xlfn.XLOOKUP(tblOrdenes[[#This Row],[centro_costo]],tblCECO[codigo],tblCECO[area],"(sin catálogo)"))</f>
        <v/>
      </c>
      <c r="W5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1" s="3">
        <f>IF(tblOrdenes[[#This Row],[centro_costo]]="","",_xlfn.XLOOKUP(tblOrdenes[[#This Row],[centro_costo]],tblCECO[codigo],tblCECO[coordinador],"(sin catálogo)"))</f>
        <v/>
      </c>
      <c r="Y551" s="3">
        <f>IF(tblOrdenes[[#This Row],[puesto_trabajo]]="","",_xlfn.XLOOKUP(tblOrdenes[[#This Row],[puesto_trabajo]],tblPuestos[codigo],tblPuestos[especialidad],"(sin catálogo)"))</f>
        <v/>
      </c>
      <c r="Z551" s="3">
        <f>IF(tblOrdenes[[#This Row],[cod_actividad]]="","",_xlfn.XLOOKUP(tblOrdenes[[#This Row],[cod_actividad]],tblActividades[codigo],tblActividades[descripcion],"(sin catálogo)"))</f>
        <v/>
      </c>
      <c r="AA551" s="13">
        <f>IF(tblOrdenes[[#This Row],[fecha_inicio]]="","",TODAY()-tblOrdenes[[#This Row],[fecha_inicio]])</f>
        <v/>
      </c>
      <c r="AB5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1" s="3">
        <f>IF(tblOrdenes[[#This Row],[backlog_habiles]]="","",IF(tblOrdenes[[#This Row],[backlog_habiles]]&lt;0,"FUTURO",IF(tblOrdenes[[#This Row],[backlog_habiles]]&gt;p_dias_backlog_max,"BACKLOG","MES CORRIENTE")))</f>
        <v/>
      </c>
      <c r="AD551" s="3">
        <f>IF(tblOrdenes[[#This Row],[backlog_habiles]]="",FALSE,AND(tblOrdenes[[#This Row],[backlog_habiles]]&gt;p_dias_backlog_min,tblOrdenes[[#This Row],[backlog_habiles]]&lt;=p_dias_backlog_max))</f>
        <v/>
      </c>
      <c r="AE551" s="6" t="n"/>
      <c r="AF5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1" s="11">
        <f>IF(tblOrdenes[[#This Row],[orden]]="","",_xlfn.XLOOKUP(tblOrdenes[[#This Row],[id_operacion]],tblEjecucion[id_operacion],tblEjecucion[precio],0))</f>
        <v/>
      </c>
      <c r="AJ551" s="11">
        <f>IF(tblOrdenes[[#This Row],[orden]]="","",MAX(0,_xlfn.XLOOKUP(tblOrdenes[[#This Row],[id_operacion]],tblEjecucion[id_operacion],tblEjecucion[costo_plan_total],0)-tblOrdenes[[#This Row],[costo_servicio]]))</f>
        <v/>
      </c>
      <c r="AK551" s="11">
        <f>IF(tblOrdenes[[#This Row],[orden]]="","",tblOrdenes[[#This Row],[costo_servicio]]+tblOrdenes[[#This Row],[costo_materiales]])</f>
        <v/>
      </c>
      <c r="AL551" s="6" t="n"/>
      <c r="AM551" s="6" t="n"/>
      <c r="AN551" s="6" t="n"/>
      <c r="AO551" s="3">
        <f>IF(tblOrdenes[[#This Row],[link_checklist]]="","",HYPERLINK(p_ruta_base_checklists&amp;tblOrdenes[[#This Row],[link_checklist]],"abrir"))</f>
        <v/>
      </c>
      <c r="AP551" s="6" t="n"/>
      <c r="AQ551" s="3">
        <f>IF(tblOrdenes[[#This Row],[orden]]="","",tblOrdenes[[#This Row],[orden]]&amp;IF(tblOrdenes[[#This Row],[operacion]]="","0010",tblOrdenes[[#This Row],[operacion]]))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2" t="n"/>
      <c r="K552" s="3" t="n"/>
      <c r="L552" s="11" t="n"/>
      <c r="M5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2" s="3">
        <f>IF(tblOrdenes[[#This Row],[fecha_inicio]]="","",YEAR(tblOrdenes[[#This Row],[fecha_inicio]]))</f>
        <v/>
      </c>
      <c r="Q552" s="3">
        <f>IF(tblOrdenes[[#This Row],[fecha_inicio]]="","",MONTH(tblOrdenes[[#This Row],[fecha_inicio]]))</f>
        <v/>
      </c>
      <c r="R552" s="3">
        <f>IF(tblOrdenes[[#This Row],[fecha_inicio]]="","",INDEX(lista_dias,WEEKDAY(tblOrdenes[[#This Row],[fecha_inicio]],2)))</f>
        <v/>
      </c>
      <c r="S5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2" s="3">
        <f>IF(tblOrdenes[[#This Row],[tipo_ot]]="","",_xlfn.XLOOKUP(tblOrdenes[[#This Row],[tipo_ot]],tblTiposOT[codigo],tblTiposOT[clasificacion],"sin_clasificar"))</f>
        <v/>
      </c>
      <c r="U552" s="3">
        <f>IF(tblOrdenes[[#This Row],[centro_costo]]="","",_xlfn.XLOOKUP(tblOrdenes[[#This Row],[centro_costo]],tblCECO[codigo],tblCECO[linea],"(sin catálogo)"))</f>
        <v/>
      </c>
      <c r="V552" s="3">
        <f>IF(tblOrdenes[[#This Row],[centro_costo]]="","",_xlfn.XLOOKUP(tblOrdenes[[#This Row],[centro_costo]],tblCECO[codigo],tblCECO[area],"(sin catálogo)"))</f>
        <v/>
      </c>
      <c r="W5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2" s="3">
        <f>IF(tblOrdenes[[#This Row],[centro_costo]]="","",_xlfn.XLOOKUP(tblOrdenes[[#This Row],[centro_costo]],tblCECO[codigo],tblCECO[coordinador],"(sin catálogo)"))</f>
        <v/>
      </c>
      <c r="Y552" s="3">
        <f>IF(tblOrdenes[[#This Row],[puesto_trabajo]]="","",_xlfn.XLOOKUP(tblOrdenes[[#This Row],[puesto_trabajo]],tblPuestos[codigo],tblPuestos[especialidad],"(sin catálogo)"))</f>
        <v/>
      </c>
      <c r="Z552" s="3">
        <f>IF(tblOrdenes[[#This Row],[cod_actividad]]="","",_xlfn.XLOOKUP(tblOrdenes[[#This Row],[cod_actividad]],tblActividades[codigo],tblActividades[descripcion],"(sin catálogo)"))</f>
        <v/>
      </c>
      <c r="AA552" s="13">
        <f>IF(tblOrdenes[[#This Row],[fecha_inicio]]="","",TODAY()-tblOrdenes[[#This Row],[fecha_inicio]])</f>
        <v/>
      </c>
      <c r="AB5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2" s="3">
        <f>IF(tblOrdenes[[#This Row],[backlog_habiles]]="","",IF(tblOrdenes[[#This Row],[backlog_habiles]]&lt;0,"FUTURO",IF(tblOrdenes[[#This Row],[backlog_habiles]]&gt;p_dias_backlog_max,"BACKLOG","MES CORRIENTE")))</f>
        <v/>
      </c>
      <c r="AD552" s="3">
        <f>IF(tblOrdenes[[#This Row],[backlog_habiles]]="",FALSE,AND(tblOrdenes[[#This Row],[backlog_habiles]]&gt;p_dias_backlog_min,tblOrdenes[[#This Row],[backlog_habiles]]&lt;=p_dias_backlog_max))</f>
        <v/>
      </c>
      <c r="AE552" s="6" t="n"/>
      <c r="AF5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2" s="11">
        <f>IF(tblOrdenes[[#This Row],[orden]]="","",_xlfn.XLOOKUP(tblOrdenes[[#This Row],[id_operacion]],tblEjecucion[id_operacion],tblEjecucion[precio],0))</f>
        <v/>
      </c>
      <c r="AJ552" s="11">
        <f>IF(tblOrdenes[[#This Row],[orden]]="","",MAX(0,_xlfn.XLOOKUP(tblOrdenes[[#This Row],[id_operacion]],tblEjecucion[id_operacion],tblEjecucion[costo_plan_total],0)-tblOrdenes[[#This Row],[costo_servicio]]))</f>
        <v/>
      </c>
      <c r="AK552" s="11">
        <f>IF(tblOrdenes[[#This Row],[orden]]="","",tblOrdenes[[#This Row],[costo_servicio]]+tblOrdenes[[#This Row],[costo_materiales]])</f>
        <v/>
      </c>
      <c r="AL552" s="6" t="n"/>
      <c r="AM552" s="6" t="n"/>
      <c r="AN552" s="6" t="n"/>
      <c r="AO552" s="3">
        <f>IF(tblOrdenes[[#This Row],[link_checklist]]="","",HYPERLINK(p_ruta_base_checklists&amp;tblOrdenes[[#This Row],[link_checklist]],"abrir"))</f>
        <v/>
      </c>
      <c r="AP552" s="6" t="n"/>
      <c r="AQ552" s="3">
        <f>IF(tblOrdenes[[#This Row],[orden]]="","",tblOrdenes[[#This Row],[orden]]&amp;IF(tblOrdenes[[#This Row],[operacion]]="","0010",tblOrdenes[[#This Row],[operacion]]))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2" t="n"/>
      <c r="K553" s="3" t="n"/>
      <c r="L553" s="11" t="n"/>
      <c r="M5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3" s="3">
        <f>IF(tblOrdenes[[#This Row],[fecha_inicio]]="","",YEAR(tblOrdenes[[#This Row],[fecha_inicio]]))</f>
        <v/>
      </c>
      <c r="Q553" s="3">
        <f>IF(tblOrdenes[[#This Row],[fecha_inicio]]="","",MONTH(tblOrdenes[[#This Row],[fecha_inicio]]))</f>
        <v/>
      </c>
      <c r="R553" s="3">
        <f>IF(tblOrdenes[[#This Row],[fecha_inicio]]="","",INDEX(lista_dias,WEEKDAY(tblOrdenes[[#This Row],[fecha_inicio]],2)))</f>
        <v/>
      </c>
      <c r="S5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3" s="3">
        <f>IF(tblOrdenes[[#This Row],[tipo_ot]]="","",_xlfn.XLOOKUP(tblOrdenes[[#This Row],[tipo_ot]],tblTiposOT[codigo],tblTiposOT[clasificacion],"sin_clasificar"))</f>
        <v/>
      </c>
      <c r="U553" s="3">
        <f>IF(tblOrdenes[[#This Row],[centro_costo]]="","",_xlfn.XLOOKUP(tblOrdenes[[#This Row],[centro_costo]],tblCECO[codigo],tblCECO[linea],"(sin catálogo)"))</f>
        <v/>
      </c>
      <c r="V553" s="3">
        <f>IF(tblOrdenes[[#This Row],[centro_costo]]="","",_xlfn.XLOOKUP(tblOrdenes[[#This Row],[centro_costo]],tblCECO[codigo],tblCECO[area],"(sin catálogo)"))</f>
        <v/>
      </c>
      <c r="W5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3" s="3">
        <f>IF(tblOrdenes[[#This Row],[centro_costo]]="","",_xlfn.XLOOKUP(tblOrdenes[[#This Row],[centro_costo]],tblCECO[codigo],tblCECO[coordinador],"(sin catálogo)"))</f>
        <v/>
      </c>
      <c r="Y553" s="3">
        <f>IF(tblOrdenes[[#This Row],[puesto_trabajo]]="","",_xlfn.XLOOKUP(tblOrdenes[[#This Row],[puesto_trabajo]],tblPuestos[codigo],tblPuestos[especialidad],"(sin catálogo)"))</f>
        <v/>
      </c>
      <c r="Z553" s="3">
        <f>IF(tblOrdenes[[#This Row],[cod_actividad]]="","",_xlfn.XLOOKUP(tblOrdenes[[#This Row],[cod_actividad]],tblActividades[codigo],tblActividades[descripcion],"(sin catálogo)"))</f>
        <v/>
      </c>
      <c r="AA553" s="13">
        <f>IF(tblOrdenes[[#This Row],[fecha_inicio]]="","",TODAY()-tblOrdenes[[#This Row],[fecha_inicio]])</f>
        <v/>
      </c>
      <c r="AB5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3" s="3">
        <f>IF(tblOrdenes[[#This Row],[backlog_habiles]]="","",IF(tblOrdenes[[#This Row],[backlog_habiles]]&lt;0,"FUTURO",IF(tblOrdenes[[#This Row],[backlog_habiles]]&gt;p_dias_backlog_max,"BACKLOG","MES CORRIENTE")))</f>
        <v/>
      </c>
      <c r="AD553" s="3">
        <f>IF(tblOrdenes[[#This Row],[backlog_habiles]]="",FALSE,AND(tblOrdenes[[#This Row],[backlog_habiles]]&gt;p_dias_backlog_min,tblOrdenes[[#This Row],[backlog_habiles]]&lt;=p_dias_backlog_max))</f>
        <v/>
      </c>
      <c r="AE553" s="6" t="n"/>
      <c r="AF5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3" s="11">
        <f>IF(tblOrdenes[[#This Row],[orden]]="","",_xlfn.XLOOKUP(tblOrdenes[[#This Row],[id_operacion]],tblEjecucion[id_operacion],tblEjecucion[precio],0))</f>
        <v/>
      </c>
      <c r="AJ553" s="11">
        <f>IF(tblOrdenes[[#This Row],[orden]]="","",MAX(0,_xlfn.XLOOKUP(tblOrdenes[[#This Row],[id_operacion]],tblEjecucion[id_operacion],tblEjecucion[costo_plan_total],0)-tblOrdenes[[#This Row],[costo_servicio]]))</f>
        <v/>
      </c>
      <c r="AK553" s="11">
        <f>IF(tblOrdenes[[#This Row],[orden]]="","",tblOrdenes[[#This Row],[costo_servicio]]+tblOrdenes[[#This Row],[costo_materiales]])</f>
        <v/>
      </c>
      <c r="AL553" s="6" t="n"/>
      <c r="AM553" s="6" t="n"/>
      <c r="AN553" s="6" t="n"/>
      <c r="AO553" s="3">
        <f>IF(tblOrdenes[[#This Row],[link_checklist]]="","",HYPERLINK(p_ruta_base_checklists&amp;tblOrdenes[[#This Row],[link_checklist]],"abrir"))</f>
        <v/>
      </c>
      <c r="AP553" s="6" t="n"/>
      <c r="AQ553" s="3">
        <f>IF(tblOrdenes[[#This Row],[orden]]="","",tblOrdenes[[#This Row],[orden]]&amp;IF(tblOrdenes[[#This Row],[operacion]]="","0010",tblOrdenes[[#This Row],[operacion]]))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2" t="n"/>
      <c r="K554" s="3" t="n"/>
      <c r="L554" s="11" t="n"/>
      <c r="M5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4" s="3">
        <f>IF(tblOrdenes[[#This Row],[fecha_inicio]]="","",YEAR(tblOrdenes[[#This Row],[fecha_inicio]]))</f>
        <v/>
      </c>
      <c r="Q554" s="3">
        <f>IF(tblOrdenes[[#This Row],[fecha_inicio]]="","",MONTH(tblOrdenes[[#This Row],[fecha_inicio]]))</f>
        <v/>
      </c>
      <c r="R554" s="3">
        <f>IF(tblOrdenes[[#This Row],[fecha_inicio]]="","",INDEX(lista_dias,WEEKDAY(tblOrdenes[[#This Row],[fecha_inicio]],2)))</f>
        <v/>
      </c>
      <c r="S5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4" s="3">
        <f>IF(tblOrdenes[[#This Row],[tipo_ot]]="","",_xlfn.XLOOKUP(tblOrdenes[[#This Row],[tipo_ot]],tblTiposOT[codigo],tblTiposOT[clasificacion],"sin_clasificar"))</f>
        <v/>
      </c>
      <c r="U554" s="3">
        <f>IF(tblOrdenes[[#This Row],[centro_costo]]="","",_xlfn.XLOOKUP(tblOrdenes[[#This Row],[centro_costo]],tblCECO[codigo],tblCECO[linea],"(sin catálogo)"))</f>
        <v/>
      </c>
      <c r="V554" s="3">
        <f>IF(tblOrdenes[[#This Row],[centro_costo]]="","",_xlfn.XLOOKUP(tblOrdenes[[#This Row],[centro_costo]],tblCECO[codigo],tblCECO[area],"(sin catálogo)"))</f>
        <v/>
      </c>
      <c r="W5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4" s="3">
        <f>IF(tblOrdenes[[#This Row],[centro_costo]]="","",_xlfn.XLOOKUP(tblOrdenes[[#This Row],[centro_costo]],tblCECO[codigo],tblCECO[coordinador],"(sin catálogo)"))</f>
        <v/>
      </c>
      <c r="Y554" s="3">
        <f>IF(tblOrdenes[[#This Row],[puesto_trabajo]]="","",_xlfn.XLOOKUP(tblOrdenes[[#This Row],[puesto_trabajo]],tblPuestos[codigo],tblPuestos[especialidad],"(sin catálogo)"))</f>
        <v/>
      </c>
      <c r="Z554" s="3">
        <f>IF(tblOrdenes[[#This Row],[cod_actividad]]="","",_xlfn.XLOOKUP(tblOrdenes[[#This Row],[cod_actividad]],tblActividades[codigo],tblActividades[descripcion],"(sin catálogo)"))</f>
        <v/>
      </c>
      <c r="AA554" s="13">
        <f>IF(tblOrdenes[[#This Row],[fecha_inicio]]="","",TODAY()-tblOrdenes[[#This Row],[fecha_inicio]])</f>
        <v/>
      </c>
      <c r="AB5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4" s="3">
        <f>IF(tblOrdenes[[#This Row],[backlog_habiles]]="","",IF(tblOrdenes[[#This Row],[backlog_habiles]]&lt;0,"FUTURO",IF(tblOrdenes[[#This Row],[backlog_habiles]]&gt;p_dias_backlog_max,"BACKLOG","MES CORRIENTE")))</f>
        <v/>
      </c>
      <c r="AD554" s="3">
        <f>IF(tblOrdenes[[#This Row],[backlog_habiles]]="",FALSE,AND(tblOrdenes[[#This Row],[backlog_habiles]]&gt;p_dias_backlog_min,tblOrdenes[[#This Row],[backlog_habiles]]&lt;=p_dias_backlog_max))</f>
        <v/>
      </c>
      <c r="AE554" s="6" t="n"/>
      <c r="AF5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4" s="11">
        <f>IF(tblOrdenes[[#This Row],[orden]]="","",_xlfn.XLOOKUP(tblOrdenes[[#This Row],[id_operacion]],tblEjecucion[id_operacion],tblEjecucion[precio],0))</f>
        <v/>
      </c>
      <c r="AJ554" s="11">
        <f>IF(tblOrdenes[[#This Row],[orden]]="","",MAX(0,_xlfn.XLOOKUP(tblOrdenes[[#This Row],[id_operacion]],tblEjecucion[id_operacion],tblEjecucion[costo_plan_total],0)-tblOrdenes[[#This Row],[costo_servicio]]))</f>
        <v/>
      </c>
      <c r="AK554" s="11">
        <f>IF(tblOrdenes[[#This Row],[orden]]="","",tblOrdenes[[#This Row],[costo_servicio]]+tblOrdenes[[#This Row],[costo_materiales]])</f>
        <v/>
      </c>
      <c r="AL554" s="6" t="n"/>
      <c r="AM554" s="6" t="n"/>
      <c r="AN554" s="6" t="n"/>
      <c r="AO554" s="3">
        <f>IF(tblOrdenes[[#This Row],[link_checklist]]="","",HYPERLINK(p_ruta_base_checklists&amp;tblOrdenes[[#This Row],[link_checklist]],"abrir"))</f>
        <v/>
      </c>
      <c r="AP554" s="6" t="n"/>
      <c r="AQ554" s="3">
        <f>IF(tblOrdenes[[#This Row],[orden]]="","",tblOrdenes[[#This Row],[orden]]&amp;IF(tblOrdenes[[#This Row],[operacion]]="","0010",tblOrdenes[[#This Row],[operacion]]))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2" t="n"/>
      <c r="K555" s="3" t="n"/>
      <c r="L555" s="11" t="n"/>
      <c r="M5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5" s="3">
        <f>IF(tblOrdenes[[#This Row],[fecha_inicio]]="","",YEAR(tblOrdenes[[#This Row],[fecha_inicio]]))</f>
        <v/>
      </c>
      <c r="Q555" s="3">
        <f>IF(tblOrdenes[[#This Row],[fecha_inicio]]="","",MONTH(tblOrdenes[[#This Row],[fecha_inicio]]))</f>
        <v/>
      </c>
      <c r="R555" s="3">
        <f>IF(tblOrdenes[[#This Row],[fecha_inicio]]="","",INDEX(lista_dias,WEEKDAY(tblOrdenes[[#This Row],[fecha_inicio]],2)))</f>
        <v/>
      </c>
      <c r="S5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5" s="3">
        <f>IF(tblOrdenes[[#This Row],[tipo_ot]]="","",_xlfn.XLOOKUP(tblOrdenes[[#This Row],[tipo_ot]],tblTiposOT[codigo],tblTiposOT[clasificacion],"sin_clasificar"))</f>
        <v/>
      </c>
      <c r="U555" s="3">
        <f>IF(tblOrdenes[[#This Row],[centro_costo]]="","",_xlfn.XLOOKUP(tblOrdenes[[#This Row],[centro_costo]],tblCECO[codigo],tblCECO[linea],"(sin catálogo)"))</f>
        <v/>
      </c>
      <c r="V555" s="3">
        <f>IF(tblOrdenes[[#This Row],[centro_costo]]="","",_xlfn.XLOOKUP(tblOrdenes[[#This Row],[centro_costo]],tblCECO[codigo],tblCECO[area],"(sin catálogo)"))</f>
        <v/>
      </c>
      <c r="W5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5" s="3">
        <f>IF(tblOrdenes[[#This Row],[centro_costo]]="","",_xlfn.XLOOKUP(tblOrdenes[[#This Row],[centro_costo]],tblCECO[codigo],tblCECO[coordinador],"(sin catálogo)"))</f>
        <v/>
      </c>
      <c r="Y555" s="3">
        <f>IF(tblOrdenes[[#This Row],[puesto_trabajo]]="","",_xlfn.XLOOKUP(tblOrdenes[[#This Row],[puesto_trabajo]],tblPuestos[codigo],tblPuestos[especialidad],"(sin catálogo)"))</f>
        <v/>
      </c>
      <c r="Z555" s="3">
        <f>IF(tblOrdenes[[#This Row],[cod_actividad]]="","",_xlfn.XLOOKUP(tblOrdenes[[#This Row],[cod_actividad]],tblActividades[codigo],tblActividades[descripcion],"(sin catálogo)"))</f>
        <v/>
      </c>
      <c r="AA555" s="13">
        <f>IF(tblOrdenes[[#This Row],[fecha_inicio]]="","",TODAY()-tblOrdenes[[#This Row],[fecha_inicio]])</f>
        <v/>
      </c>
      <c r="AB5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5" s="3">
        <f>IF(tblOrdenes[[#This Row],[backlog_habiles]]="","",IF(tblOrdenes[[#This Row],[backlog_habiles]]&lt;0,"FUTURO",IF(tblOrdenes[[#This Row],[backlog_habiles]]&gt;p_dias_backlog_max,"BACKLOG","MES CORRIENTE")))</f>
        <v/>
      </c>
      <c r="AD555" s="3">
        <f>IF(tblOrdenes[[#This Row],[backlog_habiles]]="",FALSE,AND(tblOrdenes[[#This Row],[backlog_habiles]]&gt;p_dias_backlog_min,tblOrdenes[[#This Row],[backlog_habiles]]&lt;=p_dias_backlog_max))</f>
        <v/>
      </c>
      <c r="AE555" s="6" t="n"/>
      <c r="AF5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5" s="11">
        <f>IF(tblOrdenes[[#This Row],[orden]]="","",_xlfn.XLOOKUP(tblOrdenes[[#This Row],[id_operacion]],tblEjecucion[id_operacion],tblEjecucion[precio],0))</f>
        <v/>
      </c>
      <c r="AJ555" s="11">
        <f>IF(tblOrdenes[[#This Row],[orden]]="","",MAX(0,_xlfn.XLOOKUP(tblOrdenes[[#This Row],[id_operacion]],tblEjecucion[id_operacion],tblEjecucion[costo_plan_total],0)-tblOrdenes[[#This Row],[costo_servicio]]))</f>
        <v/>
      </c>
      <c r="AK555" s="11">
        <f>IF(tblOrdenes[[#This Row],[orden]]="","",tblOrdenes[[#This Row],[costo_servicio]]+tblOrdenes[[#This Row],[costo_materiales]])</f>
        <v/>
      </c>
      <c r="AL555" s="6" t="n"/>
      <c r="AM555" s="6" t="n"/>
      <c r="AN555" s="6" t="n"/>
      <c r="AO555" s="3">
        <f>IF(tblOrdenes[[#This Row],[link_checklist]]="","",HYPERLINK(p_ruta_base_checklists&amp;tblOrdenes[[#This Row],[link_checklist]],"abrir"))</f>
        <v/>
      </c>
      <c r="AP555" s="6" t="n"/>
      <c r="AQ555" s="3">
        <f>IF(tblOrdenes[[#This Row],[orden]]="","",tblOrdenes[[#This Row],[orden]]&amp;IF(tblOrdenes[[#This Row],[operacion]]="","0010",tblOrdenes[[#This Row],[operacion]]))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2" t="n"/>
      <c r="K556" s="3" t="n"/>
      <c r="L556" s="11" t="n"/>
      <c r="M5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6" s="3">
        <f>IF(tblOrdenes[[#This Row],[fecha_inicio]]="","",YEAR(tblOrdenes[[#This Row],[fecha_inicio]]))</f>
        <v/>
      </c>
      <c r="Q556" s="3">
        <f>IF(tblOrdenes[[#This Row],[fecha_inicio]]="","",MONTH(tblOrdenes[[#This Row],[fecha_inicio]]))</f>
        <v/>
      </c>
      <c r="R556" s="3">
        <f>IF(tblOrdenes[[#This Row],[fecha_inicio]]="","",INDEX(lista_dias,WEEKDAY(tblOrdenes[[#This Row],[fecha_inicio]],2)))</f>
        <v/>
      </c>
      <c r="S5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6" s="3">
        <f>IF(tblOrdenes[[#This Row],[tipo_ot]]="","",_xlfn.XLOOKUP(tblOrdenes[[#This Row],[tipo_ot]],tblTiposOT[codigo],tblTiposOT[clasificacion],"sin_clasificar"))</f>
        <v/>
      </c>
      <c r="U556" s="3">
        <f>IF(tblOrdenes[[#This Row],[centro_costo]]="","",_xlfn.XLOOKUP(tblOrdenes[[#This Row],[centro_costo]],tblCECO[codigo],tblCECO[linea],"(sin catálogo)"))</f>
        <v/>
      </c>
      <c r="V556" s="3">
        <f>IF(tblOrdenes[[#This Row],[centro_costo]]="","",_xlfn.XLOOKUP(tblOrdenes[[#This Row],[centro_costo]],tblCECO[codigo],tblCECO[area],"(sin catálogo)"))</f>
        <v/>
      </c>
      <c r="W5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6" s="3">
        <f>IF(tblOrdenes[[#This Row],[centro_costo]]="","",_xlfn.XLOOKUP(tblOrdenes[[#This Row],[centro_costo]],tblCECO[codigo],tblCECO[coordinador],"(sin catálogo)"))</f>
        <v/>
      </c>
      <c r="Y556" s="3">
        <f>IF(tblOrdenes[[#This Row],[puesto_trabajo]]="","",_xlfn.XLOOKUP(tblOrdenes[[#This Row],[puesto_trabajo]],tblPuestos[codigo],tblPuestos[especialidad],"(sin catálogo)"))</f>
        <v/>
      </c>
      <c r="Z556" s="3">
        <f>IF(tblOrdenes[[#This Row],[cod_actividad]]="","",_xlfn.XLOOKUP(tblOrdenes[[#This Row],[cod_actividad]],tblActividades[codigo],tblActividades[descripcion],"(sin catálogo)"))</f>
        <v/>
      </c>
      <c r="AA556" s="13">
        <f>IF(tblOrdenes[[#This Row],[fecha_inicio]]="","",TODAY()-tblOrdenes[[#This Row],[fecha_inicio]])</f>
        <v/>
      </c>
      <c r="AB5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6" s="3">
        <f>IF(tblOrdenes[[#This Row],[backlog_habiles]]="","",IF(tblOrdenes[[#This Row],[backlog_habiles]]&lt;0,"FUTURO",IF(tblOrdenes[[#This Row],[backlog_habiles]]&gt;p_dias_backlog_max,"BACKLOG","MES CORRIENTE")))</f>
        <v/>
      </c>
      <c r="AD556" s="3">
        <f>IF(tblOrdenes[[#This Row],[backlog_habiles]]="",FALSE,AND(tblOrdenes[[#This Row],[backlog_habiles]]&gt;p_dias_backlog_min,tblOrdenes[[#This Row],[backlog_habiles]]&lt;=p_dias_backlog_max))</f>
        <v/>
      </c>
      <c r="AE556" s="6" t="n"/>
      <c r="AF5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6" s="11">
        <f>IF(tblOrdenes[[#This Row],[orden]]="","",_xlfn.XLOOKUP(tblOrdenes[[#This Row],[id_operacion]],tblEjecucion[id_operacion],tblEjecucion[precio],0))</f>
        <v/>
      </c>
      <c r="AJ556" s="11">
        <f>IF(tblOrdenes[[#This Row],[orden]]="","",MAX(0,_xlfn.XLOOKUP(tblOrdenes[[#This Row],[id_operacion]],tblEjecucion[id_operacion],tblEjecucion[costo_plan_total],0)-tblOrdenes[[#This Row],[costo_servicio]]))</f>
        <v/>
      </c>
      <c r="AK556" s="11">
        <f>IF(tblOrdenes[[#This Row],[orden]]="","",tblOrdenes[[#This Row],[costo_servicio]]+tblOrdenes[[#This Row],[costo_materiales]])</f>
        <v/>
      </c>
      <c r="AL556" s="6" t="n"/>
      <c r="AM556" s="6" t="n"/>
      <c r="AN556" s="6" t="n"/>
      <c r="AO556" s="3">
        <f>IF(tblOrdenes[[#This Row],[link_checklist]]="","",HYPERLINK(p_ruta_base_checklists&amp;tblOrdenes[[#This Row],[link_checklist]],"abrir"))</f>
        <v/>
      </c>
      <c r="AP556" s="6" t="n"/>
      <c r="AQ556" s="3">
        <f>IF(tblOrdenes[[#This Row],[orden]]="","",tblOrdenes[[#This Row],[orden]]&amp;IF(tblOrdenes[[#This Row],[operacion]]="","0010",tblOrdenes[[#This Row],[operacion]]))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2" t="n"/>
      <c r="K557" s="3" t="n"/>
      <c r="L557" s="11" t="n"/>
      <c r="M5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7" s="3">
        <f>IF(tblOrdenes[[#This Row],[fecha_inicio]]="","",YEAR(tblOrdenes[[#This Row],[fecha_inicio]]))</f>
        <v/>
      </c>
      <c r="Q557" s="3">
        <f>IF(tblOrdenes[[#This Row],[fecha_inicio]]="","",MONTH(tblOrdenes[[#This Row],[fecha_inicio]]))</f>
        <v/>
      </c>
      <c r="R557" s="3">
        <f>IF(tblOrdenes[[#This Row],[fecha_inicio]]="","",INDEX(lista_dias,WEEKDAY(tblOrdenes[[#This Row],[fecha_inicio]],2)))</f>
        <v/>
      </c>
      <c r="S5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7" s="3">
        <f>IF(tblOrdenes[[#This Row],[tipo_ot]]="","",_xlfn.XLOOKUP(tblOrdenes[[#This Row],[tipo_ot]],tblTiposOT[codigo],tblTiposOT[clasificacion],"sin_clasificar"))</f>
        <v/>
      </c>
      <c r="U557" s="3">
        <f>IF(tblOrdenes[[#This Row],[centro_costo]]="","",_xlfn.XLOOKUP(tblOrdenes[[#This Row],[centro_costo]],tblCECO[codigo],tblCECO[linea],"(sin catálogo)"))</f>
        <v/>
      </c>
      <c r="V557" s="3">
        <f>IF(tblOrdenes[[#This Row],[centro_costo]]="","",_xlfn.XLOOKUP(tblOrdenes[[#This Row],[centro_costo]],tblCECO[codigo],tblCECO[area],"(sin catálogo)"))</f>
        <v/>
      </c>
      <c r="W5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7" s="3">
        <f>IF(tblOrdenes[[#This Row],[centro_costo]]="","",_xlfn.XLOOKUP(tblOrdenes[[#This Row],[centro_costo]],tblCECO[codigo],tblCECO[coordinador],"(sin catálogo)"))</f>
        <v/>
      </c>
      <c r="Y557" s="3">
        <f>IF(tblOrdenes[[#This Row],[puesto_trabajo]]="","",_xlfn.XLOOKUP(tblOrdenes[[#This Row],[puesto_trabajo]],tblPuestos[codigo],tblPuestos[especialidad],"(sin catálogo)"))</f>
        <v/>
      </c>
      <c r="Z557" s="3">
        <f>IF(tblOrdenes[[#This Row],[cod_actividad]]="","",_xlfn.XLOOKUP(tblOrdenes[[#This Row],[cod_actividad]],tblActividades[codigo],tblActividades[descripcion],"(sin catálogo)"))</f>
        <v/>
      </c>
      <c r="AA557" s="13">
        <f>IF(tblOrdenes[[#This Row],[fecha_inicio]]="","",TODAY()-tblOrdenes[[#This Row],[fecha_inicio]])</f>
        <v/>
      </c>
      <c r="AB5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7" s="3">
        <f>IF(tblOrdenes[[#This Row],[backlog_habiles]]="","",IF(tblOrdenes[[#This Row],[backlog_habiles]]&lt;0,"FUTURO",IF(tblOrdenes[[#This Row],[backlog_habiles]]&gt;p_dias_backlog_max,"BACKLOG","MES CORRIENTE")))</f>
        <v/>
      </c>
      <c r="AD557" s="3">
        <f>IF(tblOrdenes[[#This Row],[backlog_habiles]]="",FALSE,AND(tblOrdenes[[#This Row],[backlog_habiles]]&gt;p_dias_backlog_min,tblOrdenes[[#This Row],[backlog_habiles]]&lt;=p_dias_backlog_max))</f>
        <v/>
      </c>
      <c r="AE557" s="6" t="n"/>
      <c r="AF5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7" s="11">
        <f>IF(tblOrdenes[[#This Row],[orden]]="","",_xlfn.XLOOKUP(tblOrdenes[[#This Row],[id_operacion]],tblEjecucion[id_operacion],tblEjecucion[precio],0))</f>
        <v/>
      </c>
      <c r="AJ557" s="11">
        <f>IF(tblOrdenes[[#This Row],[orden]]="","",MAX(0,_xlfn.XLOOKUP(tblOrdenes[[#This Row],[id_operacion]],tblEjecucion[id_operacion],tblEjecucion[costo_plan_total],0)-tblOrdenes[[#This Row],[costo_servicio]]))</f>
        <v/>
      </c>
      <c r="AK557" s="11">
        <f>IF(tblOrdenes[[#This Row],[orden]]="","",tblOrdenes[[#This Row],[costo_servicio]]+tblOrdenes[[#This Row],[costo_materiales]])</f>
        <v/>
      </c>
      <c r="AL557" s="6" t="n"/>
      <c r="AM557" s="6" t="n"/>
      <c r="AN557" s="6" t="n"/>
      <c r="AO557" s="3">
        <f>IF(tblOrdenes[[#This Row],[link_checklist]]="","",HYPERLINK(p_ruta_base_checklists&amp;tblOrdenes[[#This Row],[link_checklist]],"abrir"))</f>
        <v/>
      </c>
      <c r="AP557" s="6" t="n"/>
      <c r="AQ557" s="3">
        <f>IF(tblOrdenes[[#This Row],[orden]]="","",tblOrdenes[[#This Row],[orden]]&amp;IF(tblOrdenes[[#This Row],[operacion]]="","0010",tblOrdenes[[#This Row],[operacion]]))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2" t="n"/>
      <c r="K558" s="3" t="n"/>
      <c r="L558" s="11" t="n"/>
      <c r="M5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8" s="3">
        <f>IF(tblOrdenes[[#This Row],[fecha_inicio]]="","",YEAR(tblOrdenes[[#This Row],[fecha_inicio]]))</f>
        <v/>
      </c>
      <c r="Q558" s="3">
        <f>IF(tblOrdenes[[#This Row],[fecha_inicio]]="","",MONTH(tblOrdenes[[#This Row],[fecha_inicio]]))</f>
        <v/>
      </c>
      <c r="R558" s="3">
        <f>IF(tblOrdenes[[#This Row],[fecha_inicio]]="","",INDEX(lista_dias,WEEKDAY(tblOrdenes[[#This Row],[fecha_inicio]],2)))</f>
        <v/>
      </c>
      <c r="S5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8" s="3">
        <f>IF(tblOrdenes[[#This Row],[tipo_ot]]="","",_xlfn.XLOOKUP(tblOrdenes[[#This Row],[tipo_ot]],tblTiposOT[codigo],tblTiposOT[clasificacion],"sin_clasificar"))</f>
        <v/>
      </c>
      <c r="U558" s="3">
        <f>IF(tblOrdenes[[#This Row],[centro_costo]]="","",_xlfn.XLOOKUP(tblOrdenes[[#This Row],[centro_costo]],tblCECO[codigo],tblCECO[linea],"(sin catálogo)"))</f>
        <v/>
      </c>
      <c r="V558" s="3">
        <f>IF(tblOrdenes[[#This Row],[centro_costo]]="","",_xlfn.XLOOKUP(tblOrdenes[[#This Row],[centro_costo]],tblCECO[codigo],tblCECO[area],"(sin catálogo)"))</f>
        <v/>
      </c>
      <c r="W5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8" s="3">
        <f>IF(tblOrdenes[[#This Row],[centro_costo]]="","",_xlfn.XLOOKUP(tblOrdenes[[#This Row],[centro_costo]],tblCECO[codigo],tblCECO[coordinador],"(sin catálogo)"))</f>
        <v/>
      </c>
      <c r="Y558" s="3">
        <f>IF(tblOrdenes[[#This Row],[puesto_trabajo]]="","",_xlfn.XLOOKUP(tblOrdenes[[#This Row],[puesto_trabajo]],tblPuestos[codigo],tblPuestos[especialidad],"(sin catálogo)"))</f>
        <v/>
      </c>
      <c r="Z558" s="3">
        <f>IF(tblOrdenes[[#This Row],[cod_actividad]]="","",_xlfn.XLOOKUP(tblOrdenes[[#This Row],[cod_actividad]],tblActividades[codigo],tblActividades[descripcion],"(sin catálogo)"))</f>
        <v/>
      </c>
      <c r="AA558" s="13">
        <f>IF(tblOrdenes[[#This Row],[fecha_inicio]]="","",TODAY()-tblOrdenes[[#This Row],[fecha_inicio]])</f>
        <v/>
      </c>
      <c r="AB5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8" s="3">
        <f>IF(tblOrdenes[[#This Row],[backlog_habiles]]="","",IF(tblOrdenes[[#This Row],[backlog_habiles]]&lt;0,"FUTURO",IF(tblOrdenes[[#This Row],[backlog_habiles]]&gt;p_dias_backlog_max,"BACKLOG","MES CORRIENTE")))</f>
        <v/>
      </c>
      <c r="AD558" s="3">
        <f>IF(tblOrdenes[[#This Row],[backlog_habiles]]="",FALSE,AND(tblOrdenes[[#This Row],[backlog_habiles]]&gt;p_dias_backlog_min,tblOrdenes[[#This Row],[backlog_habiles]]&lt;=p_dias_backlog_max))</f>
        <v/>
      </c>
      <c r="AE558" s="6" t="n"/>
      <c r="AF5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8" s="11">
        <f>IF(tblOrdenes[[#This Row],[orden]]="","",_xlfn.XLOOKUP(tblOrdenes[[#This Row],[id_operacion]],tblEjecucion[id_operacion],tblEjecucion[precio],0))</f>
        <v/>
      </c>
      <c r="AJ558" s="11">
        <f>IF(tblOrdenes[[#This Row],[orden]]="","",MAX(0,_xlfn.XLOOKUP(tblOrdenes[[#This Row],[id_operacion]],tblEjecucion[id_operacion],tblEjecucion[costo_plan_total],0)-tblOrdenes[[#This Row],[costo_servicio]]))</f>
        <v/>
      </c>
      <c r="AK558" s="11">
        <f>IF(tblOrdenes[[#This Row],[orden]]="","",tblOrdenes[[#This Row],[costo_servicio]]+tblOrdenes[[#This Row],[costo_materiales]])</f>
        <v/>
      </c>
      <c r="AL558" s="6" t="n"/>
      <c r="AM558" s="6" t="n"/>
      <c r="AN558" s="6" t="n"/>
      <c r="AO558" s="3">
        <f>IF(tblOrdenes[[#This Row],[link_checklist]]="","",HYPERLINK(p_ruta_base_checklists&amp;tblOrdenes[[#This Row],[link_checklist]],"abrir"))</f>
        <v/>
      </c>
      <c r="AP558" s="6" t="n"/>
      <c r="AQ558" s="3">
        <f>IF(tblOrdenes[[#This Row],[orden]]="","",tblOrdenes[[#This Row],[orden]]&amp;IF(tblOrdenes[[#This Row],[operacion]]="","0010",tblOrdenes[[#This Row],[operacion]]))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2" t="n"/>
      <c r="K559" s="3" t="n"/>
      <c r="L559" s="11" t="n"/>
      <c r="M5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9" s="3">
        <f>IF(tblOrdenes[[#This Row],[fecha_inicio]]="","",YEAR(tblOrdenes[[#This Row],[fecha_inicio]]))</f>
        <v/>
      </c>
      <c r="Q559" s="3">
        <f>IF(tblOrdenes[[#This Row],[fecha_inicio]]="","",MONTH(tblOrdenes[[#This Row],[fecha_inicio]]))</f>
        <v/>
      </c>
      <c r="R559" s="3">
        <f>IF(tblOrdenes[[#This Row],[fecha_inicio]]="","",INDEX(lista_dias,WEEKDAY(tblOrdenes[[#This Row],[fecha_inicio]],2)))</f>
        <v/>
      </c>
      <c r="S5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9" s="3">
        <f>IF(tblOrdenes[[#This Row],[tipo_ot]]="","",_xlfn.XLOOKUP(tblOrdenes[[#This Row],[tipo_ot]],tblTiposOT[codigo],tblTiposOT[clasificacion],"sin_clasificar"))</f>
        <v/>
      </c>
      <c r="U559" s="3">
        <f>IF(tblOrdenes[[#This Row],[centro_costo]]="","",_xlfn.XLOOKUP(tblOrdenes[[#This Row],[centro_costo]],tblCECO[codigo],tblCECO[linea],"(sin catálogo)"))</f>
        <v/>
      </c>
      <c r="V559" s="3">
        <f>IF(tblOrdenes[[#This Row],[centro_costo]]="","",_xlfn.XLOOKUP(tblOrdenes[[#This Row],[centro_costo]],tblCECO[codigo],tblCECO[area],"(sin catálogo)"))</f>
        <v/>
      </c>
      <c r="W5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9" s="3">
        <f>IF(tblOrdenes[[#This Row],[centro_costo]]="","",_xlfn.XLOOKUP(tblOrdenes[[#This Row],[centro_costo]],tblCECO[codigo],tblCECO[coordinador],"(sin catálogo)"))</f>
        <v/>
      </c>
      <c r="Y559" s="3">
        <f>IF(tblOrdenes[[#This Row],[puesto_trabajo]]="","",_xlfn.XLOOKUP(tblOrdenes[[#This Row],[puesto_trabajo]],tblPuestos[codigo],tblPuestos[especialidad],"(sin catálogo)"))</f>
        <v/>
      </c>
      <c r="Z559" s="3">
        <f>IF(tblOrdenes[[#This Row],[cod_actividad]]="","",_xlfn.XLOOKUP(tblOrdenes[[#This Row],[cod_actividad]],tblActividades[codigo],tblActividades[descripcion],"(sin catálogo)"))</f>
        <v/>
      </c>
      <c r="AA559" s="13">
        <f>IF(tblOrdenes[[#This Row],[fecha_inicio]]="","",TODAY()-tblOrdenes[[#This Row],[fecha_inicio]])</f>
        <v/>
      </c>
      <c r="AB5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9" s="3">
        <f>IF(tblOrdenes[[#This Row],[backlog_habiles]]="","",IF(tblOrdenes[[#This Row],[backlog_habiles]]&lt;0,"FUTURO",IF(tblOrdenes[[#This Row],[backlog_habiles]]&gt;p_dias_backlog_max,"BACKLOG","MES CORRIENTE")))</f>
        <v/>
      </c>
      <c r="AD559" s="3">
        <f>IF(tblOrdenes[[#This Row],[backlog_habiles]]="",FALSE,AND(tblOrdenes[[#This Row],[backlog_habiles]]&gt;p_dias_backlog_min,tblOrdenes[[#This Row],[backlog_habiles]]&lt;=p_dias_backlog_max))</f>
        <v/>
      </c>
      <c r="AE559" s="6" t="n"/>
      <c r="AF5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9" s="11">
        <f>IF(tblOrdenes[[#This Row],[orden]]="","",_xlfn.XLOOKUP(tblOrdenes[[#This Row],[id_operacion]],tblEjecucion[id_operacion],tblEjecucion[precio],0))</f>
        <v/>
      </c>
      <c r="AJ559" s="11">
        <f>IF(tblOrdenes[[#This Row],[orden]]="","",MAX(0,_xlfn.XLOOKUP(tblOrdenes[[#This Row],[id_operacion]],tblEjecucion[id_operacion],tblEjecucion[costo_plan_total],0)-tblOrdenes[[#This Row],[costo_servicio]]))</f>
        <v/>
      </c>
      <c r="AK559" s="11">
        <f>IF(tblOrdenes[[#This Row],[orden]]="","",tblOrdenes[[#This Row],[costo_servicio]]+tblOrdenes[[#This Row],[costo_materiales]])</f>
        <v/>
      </c>
      <c r="AL559" s="6" t="n"/>
      <c r="AM559" s="6" t="n"/>
      <c r="AN559" s="6" t="n"/>
      <c r="AO559" s="3">
        <f>IF(tblOrdenes[[#This Row],[link_checklist]]="","",HYPERLINK(p_ruta_base_checklists&amp;tblOrdenes[[#This Row],[link_checklist]],"abrir"))</f>
        <v/>
      </c>
      <c r="AP559" s="6" t="n"/>
      <c r="AQ559" s="3">
        <f>IF(tblOrdenes[[#This Row],[orden]]="","",tblOrdenes[[#This Row],[orden]]&amp;IF(tblOrdenes[[#This Row],[operacion]]="","0010",tblOrdenes[[#This Row],[operacion]]))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2" t="n"/>
      <c r="K560" s="3" t="n"/>
      <c r="L560" s="11" t="n"/>
      <c r="M5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0" s="3">
        <f>IF(tblOrdenes[[#This Row],[fecha_inicio]]="","",YEAR(tblOrdenes[[#This Row],[fecha_inicio]]))</f>
        <v/>
      </c>
      <c r="Q560" s="3">
        <f>IF(tblOrdenes[[#This Row],[fecha_inicio]]="","",MONTH(tblOrdenes[[#This Row],[fecha_inicio]]))</f>
        <v/>
      </c>
      <c r="R560" s="3">
        <f>IF(tblOrdenes[[#This Row],[fecha_inicio]]="","",INDEX(lista_dias,WEEKDAY(tblOrdenes[[#This Row],[fecha_inicio]],2)))</f>
        <v/>
      </c>
      <c r="S5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0" s="3">
        <f>IF(tblOrdenes[[#This Row],[tipo_ot]]="","",_xlfn.XLOOKUP(tblOrdenes[[#This Row],[tipo_ot]],tblTiposOT[codigo],tblTiposOT[clasificacion],"sin_clasificar"))</f>
        <v/>
      </c>
      <c r="U560" s="3">
        <f>IF(tblOrdenes[[#This Row],[centro_costo]]="","",_xlfn.XLOOKUP(tblOrdenes[[#This Row],[centro_costo]],tblCECO[codigo],tblCECO[linea],"(sin catálogo)"))</f>
        <v/>
      </c>
      <c r="V560" s="3">
        <f>IF(tblOrdenes[[#This Row],[centro_costo]]="","",_xlfn.XLOOKUP(tblOrdenes[[#This Row],[centro_costo]],tblCECO[codigo],tblCECO[area],"(sin catálogo)"))</f>
        <v/>
      </c>
      <c r="W5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0" s="3">
        <f>IF(tblOrdenes[[#This Row],[centro_costo]]="","",_xlfn.XLOOKUP(tblOrdenes[[#This Row],[centro_costo]],tblCECO[codigo],tblCECO[coordinador],"(sin catálogo)"))</f>
        <v/>
      </c>
      <c r="Y560" s="3">
        <f>IF(tblOrdenes[[#This Row],[puesto_trabajo]]="","",_xlfn.XLOOKUP(tblOrdenes[[#This Row],[puesto_trabajo]],tblPuestos[codigo],tblPuestos[especialidad],"(sin catálogo)"))</f>
        <v/>
      </c>
      <c r="Z560" s="3">
        <f>IF(tblOrdenes[[#This Row],[cod_actividad]]="","",_xlfn.XLOOKUP(tblOrdenes[[#This Row],[cod_actividad]],tblActividades[codigo],tblActividades[descripcion],"(sin catálogo)"))</f>
        <v/>
      </c>
      <c r="AA560" s="13">
        <f>IF(tblOrdenes[[#This Row],[fecha_inicio]]="","",TODAY()-tblOrdenes[[#This Row],[fecha_inicio]])</f>
        <v/>
      </c>
      <c r="AB5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0" s="3">
        <f>IF(tblOrdenes[[#This Row],[backlog_habiles]]="","",IF(tblOrdenes[[#This Row],[backlog_habiles]]&lt;0,"FUTURO",IF(tblOrdenes[[#This Row],[backlog_habiles]]&gt;p_dias_backlog_max,"BACKLOG","MES CORRIENTE")))</f>
        <v/>
      </c>
      <c r="AD560" s="3">
        <f>IF(tblOrdenes[[#This Row],[backlog_habiles]]="",FALSE,AND(tblOrdenes[[#This Row],[backlog_habiles]]&gt;p_dias_backlog_min,tblOrdenes[[#This Row],[backlog_habiles]]&lt;=p_dias_backlog_max))</f>
        <v/>
      </c>
      <c r="AE560" s="6" t="n"/>
      <c r="AF5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0" s="11">
        <f>IF(tblOrdenes[[#This Row],[orden]]="","",_xlfn.XLOOKUP(tblOrdenes[[#This Row],[id_operacion]],tblEjecucion[id_operacion],tblEjecucion[precio],0))</f>
        <v/>
      </c>
      <c r="AJ560" s="11">
        <f>IF(tblOrdenes[[#This Row],[orden]]="","",MAX(0,_xlfn.XLOOKUP(tblOrdenes[[#This Row],[id_operacion]],tblEjecucion[id_operacion],tblEjecucion[costo_plan_total],0)-tblOrdenes[[#This Row],[costo_servicio]]))</f>
        <v/>
      </c>
      <c r="AK560" s="11">
        <f>IF(tblOrdenes[[#This Row],[orden]]="","",tblOrdenes[[#This Row],[costo_servicio]]+tblOrdenes[[#This Row],[costo_materiales]])</f>
        <v/>
      </c>
      <c r="AL560" s="6" t="n"/>
      <c r="AM560" s="6" t="n"/>
      <c r="AN560" s="6" t="n"/>
      <c r="AO560" s="3">
        <f>IF(tblOrdenes[[#This Row],[link_checklist]]="","",HYPERLINK(p_ruta_base_checklists&amp;tblOrdenes[[#This Row],[link_checklist]],"abrir"))</f>
        <v/>
      </c>
      <c r="AP560" s="6" t="n"/>
      <c r="AQ560" s="3">
        <f>IF(tblOrdenes[[#This Row],[orden]]="","",tblOrdenes[[#This Row],[orden]]&amp;IF(tblOrdenes[[#This Row],[operacion]]="","0010",tblOrdenes[[#This Row],[operacion]]))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2" t="n"/>
      <c r="K561" s="3" t="n"/>
      <c r="L561" s="11" t="n"/>
      <c r="M5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1" s="3">
        <f>IF(tblOrdenes[[#This Row],[fecha_inicio]]="","",YEAR(tblOrdenes[[#This Row],[fecha_inicio]]))</f>
        <v/>
      </c>
      <c r="Q561" s="3">
        <f>IF(tblOrdenes[[#This Row],[fecha_inicio]]="","",MONTH(tblOrdenes[[#This Row],[fecha_inicio]]))</f>
        <v/>
      </c>
      <c r="R561" s="3">
        <f>IF(tblOrdenes[[#This Row],[fecha_inicio]]="","",INDEX(lista_dias,WEEKDAY(tblOrdenes[[#This Row],[fecha_inicio]],2)))</f>
        <v/>
      </c>
      <c r="S5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1" s="3">
        <f>IF(tblOrdenes[[#This Row],[tipo_ot]]="","",_xlfn.XLOOKUP(tblOrdenes[[#This Row],[tipo_ot]],tblTiposOT[codigo],tblTiposOT[clasificacion],"sin_clasificar"))</f>
        <v/>
      </c>
      <c r="U561" s="3">
        <f>IF(tblOrdenes[[#This Row],[centro_costo]]="","",_xlfn.XLOOKUP(tblOrdenes[[#This Row],[centro_costo]],tblCECO[codigo],tblCECO[linea],"(sin catálogo)"))</f>
        <v/>
      </c>
      <c r="V561" s="3">
        <f>IF(tblOrdenes[[#This Row],[centro_costo]]="","",_xlfn.XLOOKUP(tblOrdenes[[#This Row],[centro_costo]],tblCECO[codigo],tblCECO[area],"(sin catálogo)"))</f>
        <v/>
      </c>
      <c r="W5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1" s="3">
        <f>IF(tblOrdenes[[#This Row],[centro_costo]]="","",_xlfn.XLOOKUP(tblOrdenes[[#This Row],[centro_costo]],tblCECO[codigo],tblCECO[coordinador],"(sin catálogo)"))</f>
        <v/>
      </c>
      <c r="Y561" s="3">
        <f>IF(tblOrdenes[[#This Row],[puesto_trabajo]]="","",_xlfn.XLOOKUP(tblOrdenes[[#This Row],[puesto_trabajo]],tblPuestos[codigo],tblPuestos[especialidad],"(sin catálogo)"))</f>
        <v/>
      </c>
      <c r="Z561" s="3">
        <f>IF(tblOrdenes[[#This Row],[cod_actividad]]="","",_xlfn.XLOOKUP(tblOrdenes[[#This Row],[cod_actividad]],tblActividades[codigo],tblActividades[descripcion],"(sin catálogo)"))</f>
        <v/>
      </c>
      <c r="AA561" s="13">
        <f>IF(tblOrdenes[[#This Row],[fecha_inicio]]="","",TODAY()-tblOrdenes[[#This Row],[fecha_inicio]])</f>
        <v/>
      </c>
      <c r="AB5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1" s="3">
        <f>IF(tblOrdenes[[#This Row],[backlog_habiles]]="","",IF(tblOrdenes[[#This Row],[backlog_habiles]]&lt;0,"FUTURO",IF(tblOrdenes[[#This Row],[backlog_habiles]]&gt;p_dias_backlog_max,"BACKLOG","MES CORRIENTE")))</f>
        <v/>
      </c>
      <c r="AD561" s="3">
        <f>IF(tblOrdenes[[#This Row],[backlog_habiles]]="",FALSE,AND(tblOrdenes[[#This Row],[backlog_habiles]]&gt;p_dias_backlog_min,tblOrdenes[[#This Row],[backlog_habiles]]&lt;=p_dias_backlog_max))</f>
        <v/>
      </c>
      <c r="AE561" s="6" t="n"/>
      <c r="AF5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1" s="11">
        <f>IF(tblOrdenes[[#This Row],[orden]]="","",_xlfn.XLOOKUP(tblOrdenes[[#This Row],[id_operacion]],tblEjecucion[id_operacion],tblEjecucion[precio],0))</f>
        <v/>
      </c>
      <c r="AJ561" s="11">
        <f>IF(tblOrdenes[[#This Row],[orden]]="","",MAX(0,_xlfn.XLOOKUP(tblOrdenes[[#This Row],[id_operacion]],tblEjecucion[id_operacion],tblEjecucion[costo_plan_total],0)-tblOrdenes[[#This Row],[costo_servicio]]))</f>
        <v/>
      </c>
      <c r="AK561" s="11">
        <f>IF(tblOrdenes[[#This Row],[orden]]="","",tblOrdenes[[#This Row],[costo_servicio]]+tblOrdenes[[#This Row],[costo_materiales]])</f>
        <v/>
      </c>
      <c r="AL561" s="6" t="n"/>
      <c r="AM561" s="6" t="n"/>
      <c r="AN561" s="6" t="n"/>
      <c r="AO561" s="3">
        <f>IF(tblOrdenes[[#This Row],[link_checklist]]="","",HYPERLINK(p_ruta_base_checklists&amp;tblOrdenes[[#This Row],[link_checklist]],"abrir"))</f>
        <v/>
      </c>
      <c r="AP561" s="6" t="n"/>
      <c r="AQ561" s="3">
        <f>IF(tblOrdenes[[#This Row],[orden]]="","",tblOrdenes[[#This Row],[orden]]&amp;IF(tblOrdenes[[#This Row],[operacion]]="","0010",tblOrdenes[[#This Row],[operacion]]))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2" t="n"/>
      <c r="K562" s="3" t="n"/>
      <c r="L562" s="11" t="n"/>
      <c r="M5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2" s="3">
        <f>IF(tblOrdenes[[#This Row],[fecha_inicio]]="","",YEAR(tblOrdenes[[#This Row],[fecha_inicio]]))</f>
        <v/>
      </c>
      <c r="Q562" s="3">
        <f>IF(tblOrdenes[[#This Row],[fecha_inicio]]="","",MONTH(tblOrdenes[[#This Row],[fecha_inicio]]))</f>
        <v/>
      </c>
      <c r="R562" s="3">
        <f>IF(tblOrdenes[[#This Row],[fecha_inicio]]="","",INDEX(lista_dias,WEEKDAY(tblOrdenes[[#This Row],[fecha_inicio]],2)))</f>
        <v/>
      </c>
      <c r="S5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2" s="3">
        <f>IF(tblOrdenes[[#This Row],[tipo_ot]]="","",_xlfn.XLOOKUP(tblOrdenes[[#This Row],[tipo_ot]],tblTiposOT[codigo],tblTiposOT[clasificacion],"sin_clasificar"))</f>
        <v/>
      </c>
      <c r="U562" s="3">
        <f>IF(tblOrdenes[[#This Row],[centro_costo]]="","",_xlfn.XLOOKUP(tblOrdenes[[#This Row],[centro_costo]],tblCECO[codigo],tblCECO[linea],"(sin catálogo)"))</f>
        <v/>
      </c>
      <c r="V562" s="3">
        <f>IF(tblOrdenes[[#This Row],[centro_costo]]="","",_xlfn.XLOOKUP(tblOrdenes[[#This Row],[centro_costo]],tblCECO[codigo],tblCECO[area],"(sin catálogo)"))</f>
        <v/>
      </c>
      <c r="W5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2" s="3">
        <f>IF(tblOrdenes[[#This Row],[centro_costo]]="","",_xlfn.XLOOKUP(tblOrdenes[[#This Row],[centro_costo]],tblCECO[codigo],tblCECO[coordinador],"(sin catálogo)"))</f>
        <v/>
      </c>
      <c r="Y562" s="3">
        <f>IF(tblOrdenes[[#This Row],[puesto_trabajo]]="","",_xlfn.XLOOKUP(tblOrdenes[[#This Row],[puesto_trabajo]],tblPuestos[codigo],tblPuestos[especialidad],"(sin catálogo)"))</f>
        <v/>
      </c>
      <c r="Z562" s="3">
        <f>IF(tblOrdenes[[#This Row],[cod_actividad]]="","",_xlfn.XLOOKUP(tblOrdenes[[#This Row],[cod_actividad]],tblActividades[codigo],tblActividades[descripcion],"(sin catálogo)"))</f>
        <v/>
      </c>
      <c r="AA562" s="13">
        <f>IF(tblOrdenes[[#This Row],[fecha_inicio]]="","",TODAY()-tblOrdenes[[#This Row],[fecha_inicio]])</f>
        <v/>
      </c>
      <c r="AB5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2" s="3">
        <f>IF(tblOrdenes[[#This Row],[backlog_habiles]]="","",IF(tblOrdenes[[#This Row],[backlog_habiles]]&lt;0,"FUTURO",IF(tblOrdenes[[#This Row],[backlog_habiles]]&gt;p_dias_backlog_max,"BACKLOG","MES CORRIENTE")))</f>
        <v/>
      </c>
      <c r="AD562" s="3">
        <f>IF(tblOrdenes[[#This Row],[backlog_habiles]]="",FALSE,AND(tblOrdenes[[#This Row],[backlog_habiles]]&gt;p_dias_backlog_min,tblOrdenes[[#This Row],[backlog_habiles]]&lt;=p_dias_backlog_max))</f>
        <v/>
      </c>
      <c r="AE562" s="6" t="n"/>
      <c r="AF5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2" s="11">
        <f>IF(tblOrdenes[[#This Row],[orden]]="","",_xlfn.XLOOKUP(tblOrdenes[[#This Row],[id_operacion]],tblEjecucion[id_operacion],tblEjecucion[precio],0))</f>
        <v/>
      </c>
      <c r="AJ562" s="11">
        <f>IF(tblOrdenes[[#This Row],[orden]]="","",MAX(0,_xlfn.XLOOKUP(tblOrdenes[[#This Row],[id_operacion]],tblEjecucion[id_operacion],tblEjecucion[costo_plan_total],0)-tblOrdenes[[#This Row],[costo_servicio]]))</f>
        <v/>
      </c>
      <c r="AK562" s="11">
        <f>IF(tblOrdenes[[#This Row],[orden]]="","",tblOrdenes[[#This Row],[costo_servicio]]+tblOrdenes[[#This Row],[costo_materiales]])</f>
        <v/>
      </c>
      <c r="AL562" s="6" t="n"/>
      <c r="AM562" s="6" t="n"/>
      <c r="AN562" s="6" t="n"/>
      <c r="AO562" s="3">
        <f>IF(tblOrdenes[[#This Row],[link_checklist]]="","",HYPERLINK(p_ruta_base_checklists&amp;tblOrdenes[[#This Row],[link_checklist]],"abrir"))</f>
        <v/>
      </c>
      <c r="AP562" s="6" t="n"/>
      <c r="AQ562" s="3">
        <f>IF(tblOrdenes[[#This Row],[orden]]="","",tblOrdenes[[#This Row],[orden]]&amp;IF(tblOrdenes[[#This Row],[operacion]]="","0010",tblOrdenes[[#This Row],[operacion]]))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2" t="n"/>
      <c r="K563" s="3" t="n"/>
      <c r="L563" s="11" t="n"/>
      <c r="M5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3" s="3">
        <f>IF(tblOrdenes[[#This Row],[fecha_inicio]]="","",YEAR(tblOrdenes[[#This Row],[fecha_inicio]]))</f>
        <v/>
      </c>
      <c r="Q563" s="3">
        <f>IF(tblOrdenes[[#This Row],[fecha_inicio]]="","",MONTH(tblOrdenes[[#This Row],[fecha_inicio]]))</f>
        <v/>
      </c>
      <c r="R563" s="3">
        <f>IF(tblOrdenes[[#This Row],[fecha_inicio]]="","",INDEX(lista_dias,WEEKDAY(tblOrdenes[[#This Row],[fecha_inicio]],2)))</f>
        <v/>
      </c>
      <c r="S5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3" s="3">
        <f>IF(tblOrdenes[[#This Row],[tipo_ot]]="","",_xlfn.XLOOKUP(tblOrdenes[[#This Row],[tipo_ot]],tblTiposOT[codigo],tblTiposOT[clasificacion],"sin_clasificar"))</f>
        <v/>
      </c>
      <c r="U563" s="3">
        <f>IF(tblOrdenes[[#This Row],[centro_costo]]="","",_xlfn.XLOOKUP(tblOrdenes[[#This Row],[centro_costo]],tblCECO[codigo],tblCECO[linea],"(sin catálogo)"))</f>
        <v/>
      </c>
      <c r="V563" s="3">
        <f>IF(tblOrdenes[[#This Row],[centro_costo]]="","",_xlfn.XLOOKUP(tblOrdenes[[#This Row],[centro_costo]],tblCECO[codigo],tblCECO[area],"(sin catálogo)"))</f>
        <v/>
      </c>
      <c r="W5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3" s="3">
        <f>IF(tblOrdenes[[#This Row],[centro_costo]]="","",_xlfn.XLOOKUP(tblOrdenes[[#This Row],[centro_costo]],tblCECO[codigo],tblCECO[coordinador],"(sin catálogo)"))</f>
        <v/>
      </c>
      <c r="Y563" s="3">
        <f>IF(tblOrdenes[[#This Row],[puesto_trabajo]]="","",_xlfn.XLOOKUP(tblOrdenes[[#This Row],[puesto_trabajo]],tblPuestos[codigo],tblPuestos[especialidad],"(sin catálogo)"))</f>
        <v/>
      </c>
      <c r="Z563" s="3">
        <f>IF(tblOrdenes[[#This Row],[cod_actividad]]="","",_xlfn.XLOOKUP(tblOrdenes[[#This Row],[cod_actividad]],tblActividades[codigo],tblActividades[descripcion],"(sin catálogo)"))</f>
        <v/>
      </c>
      <c r="AA563" s="13">
        <f>IF(tblOrdenes[[#This Row],[fecha_inicio]]="","",TODAY()-tblOrdenes[[#This Row],[fecha_inicio]])</f>
        <v/>
      </c>
      <c r="AB5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3" s="3">
        <f>IF(tblOrdenes[[#This Row],[backlog_habiles]]="","",IF(tblOrdenes[[#This Row],[backlog_habiles]]&lt;0,"FUTURO",IF(tblOrdenes[[#This Row],[backlog_habiles]]&gt;p_dias_backlog_max,"BACKLOG","MES CORRIENTE")))</f>
        <v/>
      </c>
      <c r="AD563" s="3">
        <f>IF(tblOrdenes[[#This Row],[backlog_habiles]]="",FALSE,AND(tblOrdenes[[#This Row],[backlog_habiles]]&gt;p_dias_backlog_min,tblOrdenes[[#This Row],[backlog_habiles]]&lt;=p_dias_backlog_max))</f>
        <v/>
      </c>
      <c r="AE563" s="6" t="n"/>
      <c r="AF5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3" s="11">
        <f>IF(tblOrdenes[[#This Row],[orden]]="","",_xlfn.XLOOKUP(tblOrdenes[[#This Row],[id_operacion]],tblEjecucion[id_operacion],tblEjecucion[precio],0))</f>
        <v/>
      </c>
      <c r="AJ563" s="11">
        <f>IF(tblOrdenes[[#This Row],[orden]]="","",MAX(0,_xlfn.XLOOKUP(tblOrdenes[[#This Row],[id_operacion]],tblEjecucion[id_operacion],tblEjecucion[costo_plan_total],0)-tblOrdenes[[#This Row],[costo_servicio]]))</f>
        <v/>
      </c>
      <c r="AK563" s="11">
        <f>IF(tblOrdenes[[#This Row],[orden]]="","",tblOrdenes[[#This Row],[costo_servicio]]+tblOrdenes[[#This Row],[costo_materiales]])</f>
        <v/>
      </c>
      <c r="AL563" s="6" t="n"/>
      <c r="AM563" s="6" t="n"/>
      <c r="AN563" s="6" t="n"/>
      <c r="AO563" s="3">
        <f>IF(tblOrdenes[[#This Row],[link_checklist]]="","",HYPERLINK(p_ruta_base_checklists&amp;tblOrdenes[[#This Row],[link_checklist]],"abrir"))</f>
        <v/>
      </c>
      <c r="AP563" s="6" t="n"/>
      <c r="AQ563" s="3">
        <f>IF(tblOrdenes[[#This Row],[orden]]="","",tblOrdenes[[#This Row],[orden]]&amp;IF(tblOrdenes[[#This Row],[operacion]]="","0010",tblOrdenes[[#This Row],[operacion]]))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2" t="n"/>
      <c r="K564" s="3" t="n"/>
      <c r="L564" s="11" t="n"/>
      <c r="M5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4" s="3">
        <f>IF(tblOrdenes[[#This Row],[fecha_inicio]]="","",YEAR(tblOrdenes[[#This Row],[fecha_inicio]]))</f>
        <v/>
      </c>
      <c r="Q564" s="3">
        <f>IF(tblOrdenes[[#This Row],[fecha_inicio]]="","",MONTH(tblOrdenes[[#This Row],[fecha_inicio]]))</f>
        <v/>
      </c>
      <c r="R564" s="3">
        <f>IF(tblOrdenes[[#This Row],[fecha_inicio]]="","",INDEX(lista_dias,WEEKDAY(tblOrdenes[[#This Row],[fecha_inicio]],2)))</f>
        <v/>
      </c>
      <c r="S5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4" s="3">
        <f>IF(tblOrdenes[[#This Row],[tipo_ot]]="","",_xlfn.XLOOKUP(tblOrdenes[[#This Row],[tipo_ot]],tblTiposOT[codigo],tblTiposOT[clasificacion],"sin_clasificar"))</f>
        <v/>
      </c>
      <c r="U564" s="3">
        <f>IF(tblOrdenes[[#This Row],[centro_costo]]="","",_xlfn.XLOOKUP(tblOrdenes[[#This Row],[centro_costo]],tblCECO[codigo],tblCECO[linea],"(sin catálogo)"))</f>
        <v/>
      </c>
      <c r="V564" s="3">
        <f>IF(tblOrdenes[[#This Row],[centro_costo]]="","",_xlfn.XLOOKUP(tblOrdenes[[#This Row],[centro_costo]],tblCECO[codigo],tblCECO[area],"(sin catálogo)"))</f>
        <v/>
      </c>
      <c r="W5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4" s="3">
        <f>IF(tblOrdenes[[#This Row],[centro_costo]]="","",_xlfn.XLOOKUP(tblOrdenes[[#This Row],[centro_costo]],tblCECO[codigo],tblCECO[coordinador],"(sin catálogo)"))</f>
        <v/>
      </c>
      <c r="Y564" s="3">
        <f>IF(tblOrdenes[[#This Row],[puesto_trabajo]]="","",_xlfn.XLOOKUP(tblOrdenes[[#This Row],[puesto_trabajo]],tblPuestos[codigo],tblPuestos[especialidad],"(sin catálogo)"))</f>
        <v/>
      </c>
      <c r="Z564" s="3">
        <f>IF(tblOrdenes[[#This Row],[cod_actividad]]="","",_xlfn.XLOOKUP(tblOrdenes[[#This Row],[cod_actividad]],tblActividades[codigo],tblActividades[descripcion],"(sin catálogo)"))</f>
        <v/>
      </c>
      <c r="AA564" s="13">
        <f>IF(tblOrdenes[[#This Row],[fecha_inicio]]="","",TODAY()-tblOrdenes[[#This Row],[fecha_inicio]])</f>
        <v/>
      </c>
      <c r="AB5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4" s="3">
        <f>IF(tblOrdenes[[#This Row],[backlog_habiles]]="","",IF(tblOrdenes[[#This Row],[backlog_habiles]]&lt;0,"FUTURO",IF(tblOrdenes[[#This Row],[backlog_habiles]]&gt;p_dias_backlog_max,"BACKLOG","MES CORRIENTE")))</f>
        <v/>
      </c>
      <c r="AD564" s="3">
        <f>IF(tblOrdenes[[#This Row],[backlog_habiles]]="",FALSE,AND(tblOrdenes[[#This Row],[backlog_habiles]]&gt;p_dias_backlog_min,tblOrdenes[[#This Row],[backlog_habiles]]&lt;=p_dias_backlog_max))</f>
        <v/>
      </c>
      <c r="AE564" s="6" t="n"/>
      <c r="AF5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4" s="11">
        <f>IF(tblOrdenes[[#This Row],[orden]]="","",_xlfn.XLOOKUP(tblOrdenes[[#This Row],[id_operacion]],tblEjecucion[id_operacion],tblEjecucion[precio],0))</f>
        <v/>
      </c>
      <c r="AJ564" s="11">
        <f>IF(tblOrdenes[[#This Row],[orden]]="","",MAX(0,_xlfn.XLOOKUP(tblOrdenes[[#This Row],[id_operacion]],tblEjecucion[id_operacion],tblEjecucion[costo_plan_total],0)-tblOrdenes[[#This Row],[costo_servicio]]))</f>
        <v/>
      </c>
      <c r="AK564" s="11">
        <f>IF(tblOrdenes[[#This Row],[orden]]="","",tblOrdenes[[#This Row],[costo_servicio]]+tblOrdenes[[#This Row],[costo_materiales]])</f>
        <v/>
      </c>
      <c r="AL564" s="6" t="n"/>
      <c r="AM564" s="6" t="n"/>
      <c r="AN564" s="6" t="n"/>
      <c r="AO564" s="3">
        <f>IF(tblOrdenes[[#This Row],[link_checklist]]="","",HYPERLINK(p_ruta_base_checklists&amp;tblOrdenes[[#This Row],[link_checklist]],"abrir"))</f>
        <v/>
      </c>
      <c r="AP564" s="6" t="n"/>
      <c r="AQ564" s="3">
        <f>IF(tblOrdenes[[#This Row],[orden]]="","",tblOrdenes[[#This Row],[orden]]&amp;IF(tblOrdenes[[#This Row],[operacion]]="","0010",tblOrdenes[[#This Row],[operacion]]))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2" t="n"/>
      <c r="K565" s="3" t="n"/>
      <c r="L565" s="11" t="n"/>
      <c r="M5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5" s="3">
        <f>IF(tblOrdenes[[#This Row],[fecha_inicio]]="","",YEAR(tblOrdenes[[#This Row],[fecha_inicio]]))</f>
        <v/>
      </c>
      <c r="Q565" s="3">
        <f>IF(tblOrdenes[[#This Row],[fecha_inicio]]="","",MONTH(tblOrdenes[[#This Row],[fecha_inicio]]))</f>
        <v/>
      </c>
      <c r="R565" s="3">
        <f>IF(tblOrdenes[[#This Row],[fecha_inicio]]="","",INDEX(lista_dias,WEEKDAY(tblOrdenes[[#This Row],[fecha_inicio]],2)))</f>
        <v/>
      </c>
      <c r="S5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5" s="3">
        <f>IF(tblOrdenes[[#This Row],[tipo_ot]]="","",_xlfn.XLOOKUP(tblOrdenes[[#This Row],[tipo_ot]],tblTiposOT[codigo],tblTiposOT[clasificacion],"sin_clasificar"))</f>
        <v/>
      </c>
      <c r="U565" s="3">
        <f>IF(tblOrdenes[[#This Row],[centro_costo]]="","",_xlfn.XLOOKUP(tblOrdenes[[#This Row],[centro_costo]],tblCECO[codigo],tblCECO[linea],"(sin catálogo)"))</f>
        <v/>
      </c>
      <c r="V565" s="3">
        <f>IF(tblOrdenes[[#This Row],[centro_costo]]="","",_xlfn.XLOOKUP(tblOrdenes[[#This Row],[centro_costo]],tblCECO[codigo],tblCECO[area],"(sin catálogo)"))</f>
        <v/>
      </c>
      <c r="W5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5" s="3">
        <f>IF(tblOrdenes[[#This Row],[centro_costo]]="","",_xlfn.XLOOKUP(tblOrdenes[[#This Row],[centro_costo]],tblCECO[codigo],tblCECO[coordinador],"(sin catálogo)"))</f>
        <v/>
      </c>
      <c r="Y565" s="3">
        <f>IF(tblOrdenes[[#This Row],[puesto_trabajo]]="","",_xlfn.XLOOKUP(tblOrdenes[[#This Row],[puesto_trabajo]],tblPuestos[codigo],tblPuestos[especialidad],"(sin catálogo)"))</f>
        <v/>
      </c>
      <c r="Z565" s="3">
        <f>IF(tblOrdenes[[#This Row],[cod_actividad]]="","",_xlfn.XLOOKUP(tblOrdenes[[#This Row],[cod_actividad]],tblActividades[codigo],tblActividades[descripcion],"(sin catálogo)"))</f>
        <v/>
      </c>
      <c r="AA565" s="13">
        <f>IF(tblOrdenes[[#This Row],[fecha_inicio]]="","",TODAY()-tblOrdenes[[#This Row],[fecha_inicio]])</f>
        <v/>
      </c>
      <c r="AB5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5" s="3">
        <f>IF(tblOrdenes[[#This Row],[backlog_habiles]]="","",IF(tblOrdenes[[#This Row],[backlog_habiles]]&lt;0,"FUTURO",IF(tblOrdenes[[#This Row],[backlog_habiles]]&gt;p_dias_backlog_max,"BACKLOG","MES CORRIENTE")))</f>
        <v/>
      </c>
      <c r="AD565" s="3">
        <f>IF(tblOrdenes[[#This Row],[backlog_habiles]]="",FALSE,AND(tblOrdenes[[#This Row],[backlog_habiles]]&gt;p_dias_backlog_min,tblOrdenes[[#This Row],[backlog_habiles]]&lt;=p_dias_backlog_max))</f>
        <v/>
      </c>
      <c r="AE565" s="6" t="n"/>
      <c r="AF5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5" s="11">
        <f>IF(tblOrdenes[[#This Row],[orden]]="","",_xlfn.XLOOKUP(tblOrdenes[[#This Row],[id_operacion]],tblEjecucion[id_operacion],tblEjecucion[precio],0))</f>
        <v/>
      </c>
      <c r="AJ565" s="11">
        <f>IF(tblOrdenes[[#This Row],[orden]]="","",MAX(0,_xlfn.XLOOKUP(tblOrdenes[[#This Row],[id_operacion]],tblEjecucion[id_operacion],tblEjecucion[costo_plan_total],0)-tblOrdenes[[#This Row],[costo_servicio]]))</f>
        <v/>
      </c>
      <c r="AK565" s="11">
        <f>IF(tblOrdenes[[#This Row],[orden]]="","",tblOrdenes[[#This Row],[costo_servicio]]+tblOrdenes[[#This Row],[costo_materiales]])</f>
        <v/>
      </c>
      <c r="AL565" s="6" t="n"/>
      <c r="AM565" s="6" t="n"/>
      <c r="AN565" s="6" t="n"/>
      <c r="AO565" s="3">
        <f>IF(tblOrdenes[[#This Row],[link_checklist]]="","",HYPERLINK(p_ruta_base_checklists&amp;tblOrdenes[[#This Row],[link_checklist]],"abrir"))</f>
        <v/>
      </c>
      <c r="AP565" s="6" t="n"/>
      <c r="AQ565" s="3">
        <f>IF(tblOrdenes[[#This Row],[orden]]="","",tblOrdenes[[#This Row],[orden]]&amp;IF(tblOrdenes[[#This Row],[operacion]]="","0010",tblOrdenes[[#This Row],[operacion]]))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2" t="n"/>
      <c r="K566" s="3" t="n"/>
      <c r="L566" s="11" t="n"/>
      <c r="M5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6" s="3">
        <f>IF(tblOrdenes[[#This Row],[fecha_inicio]]="","",YEAR(tblOrdenes[[#This Row],[fecha_inicio]]))</f>
        <v/>
      </c>
      <c r="Q566" s="3">
        <f>IF(tblOrdenes[[#This Row],[fecha_inicio]]="","",MONTH(tblOrdenes[[#This Row],[fecha_inicio]]))</f>
        <v/>
      </c>
      <c r="R566" s="3">
        <f>IF(tblOrdenes[[#This Row],[fecha_inicio]]="","",INDEX(lista_dias,WEEKDAY(tblOrdenes[[#This Row],[fecha_inicio]],2)))</f>
        <v/>
      </c>
      <c r="S5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6" s="3">
        <f>IF(tblOrdenes[[#This Row],[tipo_ot]]="","",_xlfn.XLOOKUP(tblOrdenes[[#This Row],[tipo_ot]],tblTiposOT[codigo],tblTiposOT[clasificacion],"sin_clasificar"))</f>
        <v/>
      </c>
      <c r="U566" s="3">
        <f>IF(tblOrdenes[[#This Row],[centro_costo]]="","",_xlfn.XLOOKUP(tblOrdenes[[#This Row],[centro_costo]],tblCECO[codigo],tblCECO[linea],"(sin catálogo)"))</f>
        <v/>
      </c>
      <c r="V566" s="3">
        <f>IF(tblOrdenes[[#This Row],[centro_costo]]="","",_xlfn.XLOOKUP(tblOrdenes[[#This Row],[centro_costo]],tblCECO[codigo],tblCECO[area],"(sin catálogo)"))</f>
        <v/>
      </c>
      <c r="W5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6" s="3">
        <f>IF(tblOrdenes[[#This Row],[centro_costo]]="","",_xlfn.XLOOKUP(tblOrdenes[[#This Row],[centro_costo]],tblCECO[codigo],tblCECO[coordinador],"(sin catálogo)"))</f>
        <v/>
      </c>
      <c r="Y566" s="3">
        <f>IF(tblOrdenes[[#This Row],[puesto_trabajo]]="","",_xlfn.XLOOKUP(tblOrdenes[[#This Row],[puesto_trabajo]],tblPuestos[codigo],tblPuestos[especialidad],"(sin catálogo)"))</f>
        <v/>
      </c>
      <c r="Z566" s="3">
        <f>IF(tblOrdenes[[#This Row],[cod_actividad]]="","",_xlfn.XLOOKUP(tblOrdenes[[#This Row],[cod_actividad]],tblActividades[codigo],tblActividades[descripcion],"(sin catálogo)"))</f>
        <v/>
      </c>
      <c r="AA566" s="13">
        <f>IF(tblOrdenes[[#This Row],[fecha_inicio]]="","",TODAY()-tblOrdenes[[#This Row],[fecha_inicio]])</f>
        <v/>
      </c>
      <c r="AB5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6" s="3">
        <f>IF(tblOrdenes[[#This Row],[backlog_habiles]]="","",IF(tblOrdenes[[#This Row],[backlog_habiles]]&lt;0,"FUTURO",IF(tblOrdenes[[#This Row],[backlog_habiles]]&gt;p_dias_backlog_max,"BACKLOG","MES CORRIENTE")))</f>
        <v/>
      </c>
      <c r="AD566" s="3">
        <f>IF(tblOrdenes[[#This Row],[backlog_habiles]]="",FALSE,AND(tblOrdenes[[#This Row],[backlog_habiles]]&gt;p_dias_backlog_min,tblOrdenes[[#This Row],[backlog_habiles]]&lt;=p_dias_backlog_max))</f>
        <v/>
      </c>
      <c r="AE566" s="6" t="n"/>
      <c r="AF5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6" s="11">
        <f>IF(tblOrdenes[[#This Row],[orden]]="","",_xlfn.XLOOKUP(tblOrdenes[[#This Row],[id_operacion]],tblEjecucion[id_operacion],tblEjecucion[precio],0))</f>
        <v/>
      </c>
      <c r="AJ566" s="11">
        <f>IF(tblOrdenes[[#This Row],[orden]]="","",MAX(0,_xlfn.XLOOKUP(tblOrdenes[[#This Row],[id_operacion]],tblEjecucion[id_operacion],tblEjecucion[costo_plan_total],0)-tblOrdenes[[#This Row],[costo_servicio]]))</f>
        <v/>
      </c>
      <c r="AK566" s="11">
        <f>IF(tblOrdenes[[#This Row],[orden]]="","",tblOrdenes[[#This Row],[costo_servicio]]+tblOrdenes[[#This Row],[costo_materiales]])</f>
        <v/>
      </c>
      <c r="AL566" s="6" t="n"/>
      <c r="AM566" s="6" t="n"/>
      <c r="AN566" s="6" t="n"/>
      <c r="AO566" s="3">
        <f>IF(tblOrdenes[[#This Row],[link_checklist]]="","",HYPERLINK(p_ruta_base_checklists&amp;tblOrdenes[[#This Row],[link_checklist]],"abrir"))</f>
        <v/>
      </c>
      <c r="AP566" s="6" t="n"/>
      <c r="AQ566" s="3">
        <f>IF(tblOrdenes[[#This Row],[orden]]="","",tblOrdenes[[#This Row],[orden]]&amp;IF(tblOrdenes[[#This Row],[operacion]]="","0010",tblOrdenes[[#This Row],[operacion]]))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2" t="n"/>
      <c r="K567" s="3" t="n"/>
      <c r="L567" s="11" t="n"/>
      <c r="M5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7" s="3">
        <f>IF(tblOrdenes[[#This Row],[fecha_inicio]]="","",YEAR(tblOrdenes[[#This Row],[fecha_inicio]]))</f>
        <v/>
      </c>
      <c r="Q567" s="3">
        <f>IF(tblOrdenes[[#This Row],[fecha_inicio]]="","",MONTH(tblOrdenes[[#This Row],[fecha_inicio]]))</f>
        <v/>
      </c>
      <c r="R567" s="3">
        <f>IF(tblOrdenes[[#This Row],[fecha_inicio]]="","",INDEX(lista_dias,WEEKDAY(tblOrdenes[[#This Row],[fecha_inicio]],2)))</f>
        <v/>
      </c>
      <c r="S5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7" s="3">
        <f>IF(tblOrdenes[[#This Row],[tipo_ot]]="","",_xlfn.XLOOKUP(tblOrdenes[[#This Row],[tipo_ot]],tblTiposOT[codigo],tblTiposOT[clasificacion],"sin_clasificar"))</f>
        <v/>
      </c>
      <c r="U567" s="3">
        <f>IF(tblOrdenes[[#This Row],[centro_costo]]="","",_xlfn.XLOOKUP(tblOrdenes[[#This Row],[centro_costo]],tblCECO[codigo],tblCECO[linea],"(sin catálogo)"))</f>
        <v/>
      </c>
      <c r="V567" s="3">
        <f>IF(tblOrdenes[[#This Row],[centro_costo]]="","",_xlfn.XLOOKUP(tblOrdenes[[#This Row],[centro_costo]],tblCECO[codigo],tblCECO[area],"(sin catálogo)"))</f>
        <v/>
      </c>
      <c r="W5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7" s="3">
        <f>IF(tblOrdenes[[#This Row],[centro_costo]]="","",_xlfn.XLOOKUP(tblOrdenes[[#This Row],[centro_costo]],tblCECO[codigo],tblCECO[coordinador],"(sin catálogo)"))</f>
        <v/>
      </c>
      <c r="Y567" s="3">
        <f>IF(tblOrdenes[[#This Row],[puesto_trabajo]]="","",_xlfn.XLOOKUP(tblOrdenes[[#This Row],[puesto_trabajo]],tblPuestos[codigo],tblPuestos[especialidad],"(sin catálogo)"))</f>
        <v/>
      </c>
      <c r="Z567" s="3">
        <f>IF(tblOrdenes[[#This Row],[cod_actividad]]="","",_xlfn.XLOOKUP(tblOrdenes[[#This Row],[cod_actividad]],tblActividades[codigo],tblActividades[descripcion],"(sin catálogo)"))</f>
        <v/>
      </c>
      <c r="AA567" s="13">
        <f>IF(tblOrdenes[[#This Row],[fecha_inicio]]="","",TODAY()-tblOrdenes[[#This Row],[fecha_inicio]])</f>
        <v/>
      </c>
      <c r="AB5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7" s="3">
        <f>IF(tblOrdenes[[#This Row],[backlog_habiles]]="","",IF(tblOrdenes[[#This Row],[backlog_habiles]]&lt;0,"FUTURO",IF(tblOrdenes[[#This Row],[backlog_habiles]]&gt;p_dias_backlog_max,"BACKLOG","MES CORRIENTE")))</f>
        <v/>
      </c>
      <c r="AD567" s="3">
        <f>IF(tblOrdenes[[#This Row],[backlog_habiles]]="",FALSE,AND(tblOrdenes[[#This Row],[backlog_habiles]]&gt;p_dias_backlog_min,tblOrdenes[[#This Row],[backlog_habiles]]&lt;=p_dias_backlog_max))</f>
        <v/>
      </c>
      <c r="AE567" s="6" t="n"/>
      <c r="AF5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7" s="11">
        <f>IF(tblOrdenes[[#This Row],[orden]]="","",_xlfn.XLOOKUP(tblOrdenes[[#This Row],[id_operacion]],tblEjecucion[id_operacion],tblEjecucion[precio],0))</f>
        <v/>
      </c>
      <c r="AJ567" s="11">
        <f>IF(tblOrdenes[[#This Row],[orden]]="","",MAX(0,_xlfn.XLOOKUP(tblOrdenes[[#This Row],[id_operacion]],tblEjecucion[id_operacion],tblEjecucion[costo_plan_total],0)-tblOrdenes[[#This Row],[costo_servicio]]))</f>
        <v/>
      </c>
      <c r="AK567" s="11">
        <f>IF(tblOrdenes[[#This Row],[orden]]="","",tblOrdenes[[#This Row],[costo_servicio]]+tblOrdenes[[#This Row],[costo_materiales]])</f>
        <v/>
      </c>
      <c r="AL567" s="6" t="n"/>
      <c r="AM567" s="6" t="n"/>
      <c r="AN567" s="6" t="n"/>
      <c r="AO567" s="3">
        <f>IF(tblOrdenes[[#This Row],[link_checklist]]="","",HYPERLINK(p_ruta_base_checklists&amp;tblOrdenes[[#This Row],[link_checklist]],"abrir"))</f>
        <v/>
      </c>
      <c r="AP567" s="6" t="n"/>
      <c r="AQ567" s="3">
        <f>IF(tblOrdenes[[#This Row],[orden]]="","",tblOrdenes[[#This Row],[orden]]&amp;IF(tblOrdenes[[#This Row],[operacion]]="","0010",tblOrdenes[[#This Row],[operacion]]))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2" t="n"/>
      <c r="K568" s="3" t="n"/>
      <c r="L568" s="11" t="n"/>
      <c r="M5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8" s="3">
        <f>IF(tblOrdenes[[#This Row],[fecha_inicio]]="","",YEAR(tblOrdenes[[#This Row],[fecha_inicio]]))</f>
        <v/>
      </c>
      <c r="Q568" s="3">
        <f>IF(tblOrdenes[[#This Row],[fecha_inicio]]="","",MONTH(tblOrdenes[[#This Row],[fecha_inicio]]))</f>
        <v/>
      </c>
      <c r="R568" s="3">
        <f>IF(tblOrdenes[[#This Row],[fecha_inicio]]="","",INDEX(lista_dias,WEEKDAY(tblOrdenes[[#This Row],[fecha_inicio]],2)))</f>
        <v/>
      </c>
      <c r="S5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8" s="3">
        <f>IF(tblOrdenes[[#This Row],[tipo_ot]]="","",_xlfn.XLOOKUP(tblOrdenes[[#This Row],[tipo_ot]],tblTiposOT[codigo],tblTiposOT[clasificacion],"sin_clasificar"))</f>
        <v/>
      </c>
      <c r="U568" s="3">
        <f>IF(tblOrdenes[[#This Row],[centro_costo]]="","",_xlfn.XLOOKUP(tblOrdenes[[#This Row],[centro_costo]],tblCECO[codigo],tblCECO[linea],"(sin catálogo)"))</f>
        <v/>
      </c>
      <c r="V568" s="3">
        <f>IF(tblOrdenes[[#This Row],[centro_costo]]="","",_xlfn.XLOOKUP(tblOrdenes[[#This Row],[centro_costo]],tblCECO[codigo],tblCECO[area],"(sin catálogo)"))</f>
        <v/>
      </c>
      <c r="W5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8" s="3">
        <f>IF(tblOrdenes[[#This Row],[centro_costo]]="","",_xlfn.XLOOKUP(tblOrdenes[[#This Row],[centro_costo]],tblCECO[codigo],tblCECO[coordinador],"(sin catálogo)"))</f>
        <v/>
      </c>
      <c r="Y568" s="3">
        <f>IF(tblOrdenes[[#This Row],[puesto_trabajo]]="","",_xlfn.XLOOKUP(tblOrdenes[[#This Row],[puesto_trabajo]],tblPuestos[codigo],tblPuestos[especialidad],"(sin catálogo)"))</f>
        <v/>
      </c>
      <c r="Z568" s="3">
        <f>IF(tblOrdenes[[#This Row],[cod_actividad]]="","",_xlfn.XLOOKUP(tblOrdenes[[#This Row],[cod_actividad]],tblActividades[codigo],tblActividades[descripcion],"(sin catálogo)"))</f>
        <v/>
      </c>
      <c r="AA568" s="13">
        <f>IF(tblOrdenes[[#This Row],[fecha_inicio]]="","",TODAY()-tblOrdenes[[#This Row],[fecha_inicio]])</f>
        <v/>
      </c>
      <c r="AB5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8" s="3">
        <f>IF(tblOrdenes[[#This Row],[backlog_habiles]]="","",IF(tblOrdenes[[#This Row],[backlog_habiles]]&lt;0,"FUTURO",IF(tblOrdenes[[#This Row],[backlog_habiles]]&gt;p_dias_backlog_max,"BACKLOG","MES CORRIENTE")))</f>
        <v/>
      </c>
      <c r="AD568" s="3">
        <f>IF(tblOrdenes[[#This Row],[backlog_habiles]]="",FALSE,AND(tblOrdenes[[#This Row],[backlog_habiles]]&gt;p_dias_backlog_min,tblOrdenes[[#This Row],[backlog_habiles]]&lt;=p_dias_backlog_max))</f>
        <v/>
      </c>
      <c r="AE568" s="6" t="n"/>
      <c r="AF5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8" s="11">
        <f>IF(tblOrdenes[[#This Row],[orden]]="","",_xlfn.XLOOKUP(tblOrdenes[[#This Row],[id_operacion]],tblEjecucion[id_operacion],tblEjecucion[precio],0))</f>
        <v/>
      </c>
      <c r="AJ568" s="11">
        <f>IF(tblOrdenes[[#This Row],[orden]]="","",MAX(0,_xlfn.XLOOKUP(tblOrdenes[[#This Row],[id_operacion]],tblEjecucion[id_operacion],tblEjecucion[costo_plan_total],0)-tblOrdenes[[#This Row],[costo_servicio]]))</f>
        <v/>
      </c>
      <c r="AK568" s="11">
        <f>IF(tblOrdenes[[#This Row],[orden]]="","",tblOrdenes[[#This Row],[costo_servicio]]+tblOrdenes[[#This Row],[costo_materiales]])</f>
        <v/>
      </c>
      <c r="AL568" s="6" t="n"/>
      <c r="AM568" s="6" t="n"/>
      <c r="AN568" s="6" t="n"/>
      <c r="AO568" s="3">
        <f>IF(tblOrdenes[[#This Row],[link_checklist]]="","",HYPERLINK(p_ruta_base_checklists&amp;tblOrdenes[[#This Row],[link_checklist]],"abrir"))</f>
        <v/>
      </c>
      <c r="AP568" s="6" t="n"/>
      <c r="AQ568" s="3">
        <f>IF(tblOrdenes[[#This Row],[orden]]="","",tblOrdenes[[#This Row],[orden]]&amp;IF(tblOrdenes[[#This Row],[operacion]]="","0010",tblOrdenes[[#This Row],[operacion]]))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2" t="n"/>
      <c r="K569" s="3" t="n"/>
      <c r="L569" s="11" t="n"/>
      <c r="M5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9" s="3">
        <f>IF(tblOrdenes[[#This Row],[fecha_inicio]]="","",YEAR(tblOrdenes[[#This Row],[fecha_inicio]]))</f>
        <v/>
      </c>
      <c r="Q569" s="3">
        <f>IF(tblOrdenes[[#This Row],[fecha_inicio]]="","",MONTH(tblOrdenes[[#This Row],[fecha_inicio]]))</f>
        <v/>
      </c>
      <c r="R569" s="3">
        <f>IF(tblOrdenes[[#This Row],[fecha_inicio]]="","",INDEX(lista_dias,WEEKDAY(tblOrdenes[[#This Row],[fecha_inicio]],2)))</f>
        <v/>
      </c>
      <c r="S5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9" s="3">
        <f>IF(tblOrdenes[[#This Row],[tipo_ot]]="","",_xlfn.XLOOKUP(tblOrdenes[[#This Row],[tipo_ot]],tblTiposOT[codigo],tblTiposOT[clasificacion],"sin_clasificar"))</f>
        <v/>
      </c>
      <c r="U569" s="3">
        <f>IF(tblOrdenes[[#This Row],[centro_costo]]="","",_xlfn.XLOOKUP(tblOrdenes[[#This Row],[centro_costo]],tblCECO[codigo],tblCECO[linea],"(sin catálogo)"))</f>
        <v/>
      </c>
      <c r="V569" s="3">
        <f>IF(tblOrdenes[[#This Row],[centro_costo]]="","",_xlfn.XLOOKUP(tblOrdenes[[#This Row],[centro_costo]],tblCECO[codigo],tblCECO[area],"(sin catálogo)"))</f>
        <v/>
      </c>
      <c r="W5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9" s="3">
        <f>IF(tblOrdenes[[#This Row],[centro_costo]]="","",_xlfn.XLOOKUP(tblOrdenes[[#This Row],[centro_costo]],tblCECO[codigo],tblCECO[coordinador],"(sin catálogo)"))</f>
        <v/>
      </c>
      <c r="Y569" s="3">
        <f>IF(tblOrdenes[[#This Row],[puesto_trabajo]]="","",_xlfn.XLOOKUP(tblOrdenes[[#This Row],[puesto_trabajo]],tblPuestos[codigo],tblPuestos[especialidad],"(sin catálogo)"))</f>
        <v/>
      </c>
      <c r="Z569" s="3">
        <f>IF(tblOrdenes[[#This Row],[cod_actividad]]="","",_xlfn.XLOOKUP(tblOrdenes[[#This Row],[cod_actividad]],tblActividades[codigo],tblActividades[descripcion],"(sin catálogo)"))</f>
        <v/>
      </c>
      <c r="AA569" s="13">
        <f>IF(tblOrdenes[[#This Row],[fecha_inicio]]="","",TODAY()-tblOrdenes[[#This Row],[fecha_inicio]])</f>
        <v/>
      </c>
      <c r="AB5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9" s="3">
        <f>IF(tblOrdenes[[#This Row],[backlog_habiles]]="","",IF(tblOrdenes[[#This Row],[backlog_habiles]]&lt;0,"FUTURO",IF(tblOrdenes[[#This Row],[backlog_habiles]]&gt;p_dias_backlog_max,"BACKLOG","MES CORRIENTE")))</f>
        <v/>
      </c>
      <c r="AD569" s="3">
        <f>IF(tblOrdenes[[#This Row],[backlog_habiles]]="",FALSE,AND(tblOrdenes[[#This Row],[backlog_habiles]]&gt;p_dias_backlog_min,tblOrdenes[[#This Row],[backlog_habiles]]&lt;=p_dias_backlog_max))</f>
        <v/>
      </c>
      <c r="AE569" s="6" t="n"/>
      <c r="AF5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9" s="11">
        <f>IF(tblOrdenes[[#This Row],[orden]]="","",_xlfn.XLOOKUP(tblOrdenes[[#This Row],[id_operacion]],tblEjecucion[id_operacion],tblEjecucion[precio],0))</f>
        <v/>
      </c>
      <c r="AJ569" s="11">
        <f>IF(tblOrdenes[[#This Row],[orden]]="","",MAX(0,_xlfn.XLOOKUP(tblOrdenes[[#This Row],[id_operacion]],tblEjecucion[id_operacion],tblEjecucion[costo_plan_total],0)-tblOrdenes[[#This Row],[costo_servicio]]))</f>
        <v/>
      </c>
      <c r="AK569" s="11">
        <f>IF(tblOrdenes[[#This Row],[orden]]="","",tblOrdenes[[#This Row],[costo_servicio]]+tblOrdenes[[#This Row],[costo_materiales]])</f>
        <v/>
      </c>
      <c r="AL569" s="6" t="n"/>
      <c r="AM569" s="6" t="n"/>
      <c r="AN569" s="6" t="n"/>
      <c r="AO569" s="3">
        <f>IF(tblOrdenes[[#This Row],[link_checklist]]="","",HYPERLINK(p_ruta_base_checklists&amp;tblOrdenes[[#This Row],[link_checklist]],"abrir"))</f>
        <v/>
      </c>
      <c r="AP569" s="6" t="n"/>
      <c r="AQ569" s="3">
        <f>IF(tblOrdenes[[#This Row],[orden]]="","",tblOrdenes[[#This Row],[orden]]&amp;IF(tblOrdenes[[#This Row],[operacion]]="","0010",tblOrdenes[[#This Row],[operacion]]))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2" t="n"/>
      <c r="K570" s="3" t="n"/>
      <c r="L570" s="11" t="n"/>
      <c r="M5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0" s="3">
        <f>IF(tblOrdenes[[#This Row],[fecha_inicio]]="","",YEAR(tblOrdenes[[#This Row],[fecha_inicio]]))</f>
        <v/>
      </c>
      <c r="Q570" s="3">
        <f>IF(tblOrdenes[[#This Row],[fecha_inicio]]="","",MONTH(tblOrdenes[[#This Row],[fecha_inicio]]))</f>
        <v/>
      </c>
      <c r="R570" s="3">
        <f>IF(tblOrdenes[[#This Row],[fecha_inicio]]="","",INDEX(lista_dias,WEEKDAY(tblOrdenes[[#This Row],[fecha_inicio]],2)))</f>
        <v/>
      </c>
      <c r="S5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0" s="3">
        <f>IF(tblOrdenes[[#This Row],[tipo_ot]]="","",_xlfn.XLOOKUP(tblOrdenes[[#This Row],[tipo_ot]],tblTiposOT[codigo],tblTiposOT[clasificacion],"sin_clasificar"))</f>
        <v/>
      </c>
      <c r="U570" s="3">
        <f>IF(tblOrdenes[[#This Row],[centro_costo]]="","",_xlfn.XLOOKUP(tblOrdenes[[#This Row],[centro_costo]],tblCECO[codigo],tblCECO[linea],"(sin catálogo)"))</f>
        <v/>
      </c>
      <c r="V570" s="3">
        <f>IF(tblOrdenes[[#This Row],[centro_costo]]="","",_xlfn.XLOOKUP(tblOrdenes[[#This Row],[centro_costo]],tblCECO[codigo],tblCECO[area],"(sin catálogo)"))</f>
        <v/>
      </c>
      <c r="W5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0" s="3">
        <f>IF(tblOrdenes[[#This Row],[centro_costo]]="","",_xlfn.XLOOKUP(tblOrdenes[[#This Row],[centro_costo]],tblCECO[codigo],tblCECO[coordinador],"(sin catálogo)"))</f>
        <v/>
      </c>
      <c r="Y570" s="3">
        <f>IF(tblOrdenes[[#This Row],[puesto_trabajo]]="","",_xlfn.XLOOKUP(tblOrdenes[[#This Row],[puesto_trabajo]],tblPuestos[codigo],tblPuestos[especialidad],"(sin catálogo)"))</f>
        <v/>
      </c>
      <c r="Z570" s="3">
        <f>IF(tblOrdenes[[#This Row],[cod_actividad]]="","",_xlfn.XLOOKUP(tblOrdenes[[#This Row],[cod_actividad]],tblActividades[codigo],tblActividades[descripcion],"(sin catálogo)"))</f>
        <v/>
      </c>
      <c r="AA570" s="13">
        <f>IF(tblOrdenes[[#This Row],[fecha_inicio]]="","",TODAY()-tblOrdenes[[#This Row],[fecha_inicio]])</f>
        <v/>
      </c>
      <c r="AB5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0" s="3">
        <f>IF(tblOrdenes[[#This Row],[backlog_habiles]]="","",IF(tblOrdenes[[#This Row],[backlog_habiles]]&lt;0,"FUTURO",IF(tblOrdenes[[#This Row],[backlog_habiles]]&gt;p_dias_backlog_max,"BACKLOG","MES CORRIENTE")))</f>
        <v/>
      </c>
      <c r="AD570" s="3">
        <f>IF(tblOrdenes[[#This Row],[backlog_habiles]]="",FALSE,AND(tblOrdenes[[#This Row],[backlog_habiles]]&gt;p_dias_backlog_min,tblOrdenes[[#This Row],[backlog_habiles]]&lt;=p_dias_backlog_max))</f>
        <v/>
      </c>
      <c r="AE570" s="6" t="n"/>
      <c r="AF5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0" s="11">
        <f>IF(tblOrdenes[[#This Row],[orden]]="","",_xlfn.XLOOKUP(tblOrdenes[[#This Row],[id_operacion]],tblEjecucion[id_operacion],tblEjecucion[precio],0))</f>
        <v/>
      </c>
      <c r="AJ570" s="11">
        <f>IF(tblOrdenes[[#This Row],[orden]]="","",MAX(0,_xlfn.XLOOKUP(tblOrdenes[[#This Row],[id_operacion]],tblEjecucion[id_operacion],tblEjecucion[costo_plan_total],0)-tblOrdenes[[#This Row],[costo_servicio]]))</f>
        <v/>
      </c>
      <c r="AK570" s="11">
        <f>IF(tblOrdenes[[#This Row],[orden]]="","",tblOrdenes[[#This Row],[costo_servicio]]+tblOrdenes[[#This Row],[costo_materiales]])</f>
        <v/>
      </c>
      <c r="AL570" s="6" t="n"/>
      <c r="AM570" s="6" t="n"/>
      <c r="AN570" s="6" t="n"/>
      <c r="AO570" s="3">
        <f>IF(tblOrdenes[[#This Row],[link_checklist]]="","",HYPERLINK(p_ruta_base_checklists&amp;tblOrdenes[[#This Row],[link_checklist]],"abrir"))</f>
        <v/>
      </c>
      <c r="AP570" s="6" t="n"/>
      <c r="AQ570" s="3">
        <f>IF(tblOrdenes[[#This Row],[orden]]="","",tblOrdenes[[#This Row],[orden]]&amp;IF(tblOrdenes[[#This Row],[operacion]]="","0010",tblOrdenes[[#This Row],[operacion]]))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2" t="n"/>
      <c r="K571" s="3" t="n"/>
      <c r="L571" s="11" t="n"/>
      <c r="M5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1" s="3">
        <f>IF(tblOrdenes[[#This Row],[fecha_inicio]]="","",YEAR(tblOrdenes[[#This Row],[fecha_inicio]]))</f>
        <v/>
      </c>
      <c r="Q571" s="3">
        <f>IF(tblOrdenes[[#This Row],[fecha_inicio]]="","",MONTH(tblOrdenes[[#This Row],[fecha_inicio]]))</f>
        <v/>
      </c>
      <c r="R571" s="3">
        <f>IF(tblOrdenes[[#This Row],[fecha_inicio]]="","",INDEX(lista_dias,WEEKDAY(tblOrdenes[[#This Row],[fecha_inicio]],2)))</f>
        <v/>
      </c>
      <c r="S5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1" s="3">
        <f>IF(tblOrdenes[[#This Row],[tipo_ot]]="","",_xlfn.XLOOKUP(tblOrdenes[[#This Row],[tipo_ot]],tblTiposOT[codigo],tblTiposOT[clasificacion],"sin_clasificar"))</f>
        <v/>
      </c>
      <c r="U571" s="3">
        <f>IF(tblOrdenes[[#This Row],[centro_costo]]="","",_xlfn.XLOOKUP(tblOrdenes[[#This Row],[centro_costo]],tblCECO[codigo],tblCECO[linea],"(sin catálogo)"))</f>
        <v/>
      </c>
      <c r="V571" s="3">
        <f>IF(tblOrdenes[[#This Row],[centro_costo]]="","",_xlfn.XLOOKUP(tblOrdenes[[#This Row],[centro_costo]],tblCECO[codigo],tblCECO[area],"(sin catálogo)"))</f>
        <v/>
      </c>
      <c r="W5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1" s="3">
        <f>IF(tblOrdenes[[#This Row],[centro_costo]]="","",_xlfn.XLOOKUP(tblOrdenes[[#This Row],[centro_costo]],tblCECO[codigo],tblCECO[coordinador],"(sin catálogo)"))</f>
        <v/>
      </c>
      <c r="Y571" s="3">
        <f>IF(tblOrdenes[[#This Row],[puesto_trabajo]]="","",_xlfn.XLOOKUP(tblOrdenes[[#This Row],[puesto_trabajo]],tblPuestos[codigo],tblPuestos[especialidad],"(sin catálogo)"))</f>
        <v/>
      </c>
      <c r="Z571" s="3">
        <f>IF(tblOrdenes[[#This Row],[cod_actividad]]="","",_xlfn.XLOOKUP(tblOrdenes[[#This Row],[cod_actividad]],tblActividades[codigo],tblActividades[descripcion],"(sin catálogo)"))</f>
        <v/>
      </c>
      <c r="AA571" s="13">
        <f>IF(tblOrdenes[[#This Row],[fecha_inicio]]="","",TODAY()-tblOrdenes[[#This Row],[fecha_inicio]])</f>
        <v/>
      </c>
      <c r="AB5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1" s="3">
        <f>IF(tblOrdenes[[#This Row],[backlog_habiles]]="","",IF(tblOrdenes[[#This Row],[backlog_habiles]]&lt;0,"FUTURO",IF(tblOrdenes[[#This Row],[backlog_habiles]]&gt;p_dias_backlog_max,"BACKLOG","MES CORRIENTE")))</f>
        <v/>
      </c>
      <c r="AD571" s="3">
        <f>IF(tblOrdenes[[#This Row],[backlog_habiles]]="",FALSE,AND(tblOrdenes[[#This Row],[backlog_habiles]]&gt;p_dias_backlog_min,tblOrdenes[[#This Row],[backlog_habiles]]&lt;=p_dias_backlog_max))</f>
        <v/>
      </c>
      <c r="AE571" s="6" t="n"/>
      <c r="AF5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1" s="11">
        <f>IF(tblOrdenes[[#This Row],[orden]]="","",_xlfn.XLOOKUP(tblOrdenes[[#This Row],[id_operacion]],tblEjecucion[id_operacion],tblEjecucion[precio],0))</f>
        <v/>
      </c>
      <c r="AJ571" s="11">
        <f>IF(tblOrdenes[[#This Row],[orden]]="","",MAX(0,_xlfn.XLOOKUP(tblOrdenes[[#This Row],[id_operacion]],tblEjecucion[id_operacion],tblEjecucion[costo_plan_total],0)-tblOrdenes[[#This Row],[costo_servicio]]))</f>
        <v/>
      </c>
      <c r="AK571" s="11">
        <f>IF(tblOrdenes[[#This Row],[orden]]="","",tblOrdenes[[#This Row],[costo_servicio]]+tblOrdenes[[#This Row],[costo_materiales]])</f>
        <v/>
      </c>
      <c r="AL571" s="6" t="n"/>
      <c r="AM571" s="6" t="n"/>
      <c r="AN571" s="6" t="n"/>
      <c r="AO571" s="3">
        <f>IF(tblOrdenes[[#This Row],[link_checklist]]="","",HYPERLINK(p_ruta_base_checklists&amp;tblOrdenes[[#This Row],[link_checklist]],"abrir"))</f>
        <v/>
      </c>
      <c r="AP571" s="6" t="n"/>
      <c r="AQ571" s="3">
        <f>IF(tblOrdenes[[#This Row],[orden]]="","",tblOrdenes[[#This Row],[orden]]&amp;IF(tblOrdenes[[#This Row],[operacion]]="","0010",tblOrdenes[[#This Row],[operacion]]))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2" t="n"/>
      <c r="K572" s="3" t="n"/>
      <c r="L572" s="11" t="n"/>
      <c r="M5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2" s="3">
        <f>IF(tblOrdenes[[#This Row],[fecha_inicio]]="","",YEAR(tblOrdenes[[#This Row],[fecha_inicio]]))</f>
        <v/>
      </c>
      <c r="Q572" s="3">
        <f>IF(tblOrdenes[[#This Row],[fecha_inicio]]="","",MONTH(tblOrdenes[[#This Row],[fecha_inicio]]))</f>
        <v/>
      </c>
      <c r="R572" s="3">
        <f>IF(tblOrdenes[[#This Row],[fecha_inicio]]="","",INDEX(lista_dias,WEEKDAY(tblOrdenes[[#This Row],[fecha_inicio]],2)))</f>
        <v/>
      </c>
      <c r="S5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2" s="3">
        <f>IF(tblOrdenes[[#This Row],[tipo_ot]]="","",_xlfn.XLOOKUP(tblOrdenes[[#This Row],[tipo_ot]],tblTiposOT[codigo],tblTiposOT[clasificacion],"sin_clasificar"))</f>
        <v/>
      </c>
      <c r="U572" s="3">
        <f>IF(tblOrdenes[[#This Row],[centro_costo]]="","",_xlfn.XLOOKUP(tblOrdenes[[#This Row],[centro_costo]],tblCECO[codigo],tblCECO[linea],"(sin catálogo)"))</f>
        <v/>
      </c>
      <c r="V572" s="3">
        <f>IF(tblOrdenes[[#This Row],[centro_costo]]="","",_xlfn.XLOOKUP(tblOrdenes[[#This Row],[centro_costo]],tblCECO[codigo],tblCECO[area],"(sin catálogo)"))</f>
        <v/>
      </c>
      <c r="W5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2" s="3">
        <f>IF(tblOrdenes[[#This Row],[centro_costo]]="","",_xlfn.XLOOKUP(tblOrdenes[[#This Row],[centro_costo]],tblCECO[codigo],tblCECO[coordinador],"(sin catálogo)"))</f>
        <v/>
      </c>
      <c r="Y572" s="3">
        <f>IF(tblOrdenes[[#This Row],[puesto_trabajo]]="","",_xlfn.XLOOKUP(tblOrdenes[[#This Row],[puesto_trabajo]],tblPuestos[codigo],tblPuestos[especialidad],"(sin catálogo)"))</f>
        <v/>
      </c>
      <c r="Z572" s="3">
        <f>IF(tblOrdenes[[#This Row],[cod_actividad]]="","",_xlfn.XLOOKUP(tblOrdenes[[#This Row],[cod_actividad]],tblActividades[codigo],tblActividades[descripcion],"(sin catálogo)"))</f>
        <v/>
      </c>
      <c r="AA572" s="13">
        <f>IF(tblOrdenes[[#This Row],[fecha_inicio]]="","",TODAY()-tblOrdenes[[#This Row],[fecha_inicio]])</f>
        <v/>
      </c>
      <c r="AB5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2" s="3">
        <f>IF(tblOrdenes[[#This Row],[backlog_habiles]]="","",IF(tblOrdenes[[#This Row],[backlog_habiles]]&lt;0,"FUTURO",IF(tblOrdenes[[#This Row],[backlog_habiles]]&gt;p_dias_backlog_max,"BACKLOG","MES CORRIENTE")))</f>
        <v/>
      </c>
      <c r="AD572" s="3">
        <f>IF(tblOrdenes[[#This Row],[backlog_habiles]]="",FALSE,AND(tblOrdenes[[#This Row],[backlog_habiles]]&gt;p_dias_backlog_min,tblOrdenes[[#This Row],[backlog_habiles]]&lt;=p_dias_backlog_max))</f>
        <v/>
      </c>
      <c r="AE572" s="6" t="n"/>
      <c r="AF5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2" s="11">
        <f>IF(tblOrdenes[[#This Row],[orden]]="","",_xlfn.XLOOKUP(tblOrdenes[[#This Row],[id_operacion]],tblEjecucion[id_operacion],tblEjecucion[precio],0))</f>
        <v/>
      </c>
      <c r="AJ572" s="11">
        <f>IF(tblOrdenes[[#This Row],[orden]]="","",MAX(0,_xlfn.XLOOKUP(tblOrdenes[[#This Row],[id_operacion]],tblEjecucion[id_operacion],tblEjecucion[costo_plan_total],0)-tblOrdenes[[#This Row],[costo_servicio]]))</f>
        <v/>
      </c>
      <c r="AK572" s="11">
        <f>IF(tblOrdenes[[#This Row],[orden]]="","",tblOrdenes[[#This Row],[costo_servicio]]+tblOrdenes[[#This Row],[costo_materiales]])</f>
        <v/>
      </c>
      <c r="AL572" s="6" t="n"/>
      <c r="AM572" s="6" t="n"/>
      <c r="AN572" s="6" t="n"/>
      <c r="AO572" s="3">
        <f>IF(tblOrdenes[[#This Row],[link_checklist]]="","",HYPERLINK(p_ruta_base_checklists&amp;tblOrdenes[[#This Row],[link_checklist]],"abrir"))</f>
        <v/>
      </c>
      <c r="AP572" s="6" t="n"/>
      <c r="AQ572" s="3">
        <f>IF(tblOrdenes[[#This Row],[orden]]="","",tblOrdenes[[#This Row],[orden]]&amp;IF(tblOrdenes[[#This Row],[operacion]]="","0010",tblOrdenes[[#This Row],[operacion]]))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2" t="n"/>
      <c r="K573" s="3" t="n"/>
      <c r="L573" s="11" t="n"/>
      <c r="M5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3" s="3">
        <f>IF(tblOrdenes[[#This Row],[fecha_inicio]]="","",YEAR(tblOrdenes[[#This Row],[fecha_inicio]]))</f>
        <v/>
      </c>
      <c r="Q573" s="3">
        <f>IF(tblOrdenes[[#This Row],[fecha_inicio]]="","",MONTH(tblOrdenes[[#This Row],[fecha_inicio]]))</f>
        <v/>
      </c>
      <c r="R573" s="3">
        <f>IF(tblOrdenes[[#This Row],[fecha_inicio]]="","",INDEX(lista_dias,WEEKDAY(tblOrdenes[[#This Row],[fecha_inicio]],2)))</f>
        <v/>
      </c>
      <c r="S5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3" s="3">
        <f>IF(tblOrdenes[[#This Row],[tipo_ot]]="","",_xlfn.XLOOKUP(tblOrdenes[[#This Row],[tipo_ot]],tblTiposOT[codigo],tblTiposOT[clasificacion],"sin_clasificar"))</f>
        <v/>
      </c>
      <c r="U573" s="3">
        <f>IF(tblOrdenes[[#This Row],[centro_costo]]="","",_xlfn.XLOOKUP(tblOrdenes[[#This Row],[centro_costo]],tblCECO[codigo],tblCECO[linea],"(sin catálogo)"))</f>
        <v/>
      </c>
      <c r="V573" s="3">
        <f>IF(tblOrdenes[[#This Row],[centro_costo]]="","",_xlfn.XLOOKUP(tblOrdenes[[#This Row],[centro_costo]],tblCECO[codigo],tblCECO[area],"(sin catálogo)"))</f>
        <v/>
      </c>
      <c r="W5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3" s="3">
        <f>IF(tblOrdenes[[#This Row],[centro_costo]]="","",_xlfn.XLOOKUP(tblOrdenes[[#This Row],[centro_costo]],tblCECO[codigo],tblCECO[coordinador],"(sin catálogo)"))</f>
        <v/>
      </c>
      <c r="Y573" s="3">
        <f>IF(tblOrdenes[[#This Row],[puesto_trabajo]]="","",_xlfn.XLOOKUP(tblOrdenes[[#This Row],[puesto_trabajo]],tblPuestos[codigo],tblPuestos[especialidad],"(sin catálogo)"))</f>
        <v/>
      </c>
      <c r="Z573" s="3">
        <f>IF(tblOrdenes[[#This Row],[cod_actividad]]="","",_xlfn.XLOOKUP(tblOrdenes[[#This Row],[cod_actividad]],tblActividades[codigo],tblActividades[descripcion],"(sin catálogo)"))</f>
        <v/>
      </c>
      <c r="AA573" s="13">
        <f>IF(tblOrdenes[[#This Row],[fecha_inicio]]="","",TODAY()-tblOrdenes[[#This Row],[fecha_inicio]])</f>
        <v/>
      </c>
      <c r="AB5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3" s="3">
        <f>IF(tblOrdenes[[#This Row],[backlog_habiles]]="","",IF(tblOrdenes[[#This Row],[backlog_habiles]]&lt;0,"FUTURO",IF(tblOrdenes[[#This Row],[backlog_habiles]]&gt;p_dias_backlog_max,"BACKLOG","MES CORRIENTE")))</f>
        <v/>
      </c>
      <c r="AD573" s="3">
        <f>IF(tblOrdenes[[#This Row],[backlog_habiles]]="",FALSE,AND(tblOrdenes[[#This Row],[backlog_habiles]]&gt;p_dias_backlog_min,tblOrdenes[[#This Row],[backlog_habiles]]&lt;=p_dias_backlog_max))</f>
        <v/>
      </c>
      <c r="AE573" s="6" t="n"/>
      <c r="AF5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3" s="11">
        <f>IF(tblOrdenes[[#This Row],[orden]]="","",_xlfn.XLOOKUP(tblOrdenes[[#This Row],[id_operacion]],tblEjecucion[id_operacion],tblEjecucion[precio],0))</f>
        <v/>
      </c>
      <c r="AJ573" s="11">
        <f>IF(tblOrdenes[[#This Row],[orden]]="","",MAX(0,_xlfn.XLOOKUP(tblOrdenes[[#This Row],[id_operacion]],tblEjecucion[id_operacion],tblEjecucion[costo_plan_total],0)-tblOrdenes[[#This Row],[costo_servicio]]))</f>
        <v/>
      </c>
      <c r="AK573" s="11">
        <f>IF(tblOrdenes[[#This Row],[orden]]="","",tblOrdenes[[#This Row],[costo_servicio]]+tblOrdenes[[#This Row],[costo_materiales]])</f>
        <v/>
      </c>
      <c r="AL573" s="6" t="n"/>
      <c r="AM573" s="6" t="n"/>
      <c r="AN573" s="6" t="n"/>
      <c r="AO573" s="3">
        <f>IF(tblOrdenes[[#This Row],[link_checklist]]="","",HYPERLINK(p_ruta_base_checklists&amp;tblOrdenes[[#This Row],[link_checklist]],"abrir"))</f>
        <v/>
      </c>
      <c r="AP573" s="6" t="n"/>
      <c r="AQ573" s="3">
        <f>IF(tblOrdenes[[#This Row],[orden]]="","",tblOrdenes[[#This Row],[orden]]&amp;IF(tblOrdenes[[#This Row],[operacion]]="","0010",tblOrdenes[[#This Row],[operacion]]))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2" t="n"/>
      <c r="K574" s="3" t="n"/>
      <c r="L574" s="11" t="n"/>
      <c r="M5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4" s="3">
        <f>IF(tblOrdenes[[#This Row],[fecha_inicio]]="","",YEAR(tblOrdenes[[#This Row],[fecha_inicio]]))</f>
        <v/>
      </c>
      <c r="Q574" s="3">
        <f>IF(tblOrdenes[[#This Row],[fecha_inicio]]="","",MONTH(tblOrdenes[[#This Row],[fecha_inicio]]))</f>
        <v/>
      </c>
      <c r="R574" s="3">
        <f>IF(tblOrdenes[[#This Row],[fecha_inicio]]="","",INDEX(lista_dias,WEEKDAY(tblOrdenes[[#This Row],[fecha_inicio]],2)))</f>
        <v/>
      </c>
      <c r="S5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4" s="3">
        <f>IF(tblOrdenes[[#This Row],[tipo_ot]]="","",_xlfn.XLOOKUP(tblOrdenes[[#This Row],[tipo_ot]],tblTiposOT[codigo],tblTiposOT[clasificacion],"sin_clasificar"))</f>
        <v/>
      </c>
      <c r="U574" s="3">
        <f>IF(tblOrdenes[[#This Row],[centro_costo]]="","",_xlfn.XLOOKUP(tblOrdenes[[#This Row],[centro_costo]],tblCECO[codigo],tblCECO[linea],"(sin catálogo)"))</f>
        <v/>
      </c>
      <c r="V574" s="3">
        <f>IF(tblOrdenes[[#This Row],[centro_costo]]="","",_xlfn.XLOOKUP(tblOrdenes[[#This Row],[centro_costo]],tblCECO[codigo],tblCECO[area],"(sin catálogo)"))</f>
        <v/>
      </c>
      <c r="W5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4" s="3">
        <f>IF(tblOrdenes[[#This Row],[centro_costo]]="","",_xlfn.XLOOKUP(tblOrdenes[[#This Row],[centro_costo]],tblCECO[codigo],tblCECO[coordinador],"(sin catálogo)"))</f>
        <v/>
      </c>
      <c r="Y574" s="3">
        <f>IF(tblOrdenes[[#This Row],[puesto_trabajo]]="","",_xlfn.XLOOKUP(tblOrdenes[[#This Row],[puesto_trabajo]],tblPuestos[codigo],tblPuestos[especialidad],"(sin catálogo)"))</f>
        <v/>
      </c>
      <c r="Z574" s="3">
        <f>IF(tblOrdenes[[#This Row],[cod_actividad]]="","",_xlfn.XLOOKUP(tblOrdenes[[#This Row],[cod_actividad]],tblActividades[codigo],tblActividades[descripcion],"(sin catálogo)"))</f>
        <v/>
      </c>
      <c r="AA574" s="13">
        <f>IF(tblOrdenes[[#This Row],[fecha_inicio]]="","",TODAY()-tblOrdenes[[#This Row],[fecha_inicio]])</f>
        <v/>
      </c>
      <c r="AB5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4" s="3">
        <f>IF(tblOrdenes[[#This Row],[backlog_habiles]]="","",IF(tblOrdenes[[#This Row],[backlog_habiles]]&lt;0,"FUTURO",IF(tblOrdenes[[#This Row],[backlog_habiles]]&gt;p_dias_backlog_max,"BACKLOG","MES CORRIENTE")))</f>
        <v/>
      </c>
      <c r="AD574" s="3">
        <f>IF(tblOrdenes[[#This Row],[backlog_habiles]]="",FALSE,AND(tblOrdenes[[#This Row],[backlog_habiles]]&gt;p_dias_backlog_min,tblOrdenes[[#This Row],[backlog_habiles]]&lt;=p_dias_backlog_max))</f>
        <v/>
      </c>
      <c r="AE574" s="6" t="n"/>
      <c r="AF5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4" s="11">
        <f>IF(tblOrdenes[[#This Row],[orden]]="","",_xlfn.XLOOKUP(tblOrdenes[[#This Row],[id_operacion]],tblEjecucion[id_operacion],tblEjecucion[precio],0))</f>
        <v/>
      </c>
      <c r="AJ574" s="11">
        <f>IF(tblOrdenes[[#This Row],[orden]]="","",MAX(0,_xlfn.XLOOKUP(tblOrdenes[[#This Row],[id_operacion]],tblEjecucion[id_operacion],tblEjecucion[costo_plan_total],0)-tblOrdenes[[#This Row],[costo_servicio]]))</f>
        <v/>
      </c>
      <c r="AK574" s="11">
        <f>IF(tblOrdenes[[#This Row],[orden]]="","",tblOrdenes[[#This Row],[costo_servicio]]+tblOrdenes[[#This Row],[costo_materiales]])</f>
        <v/>
      </c>
      <c r="AL574" s="6" t="n"/>
      <c r="AM574" s="6" t="n"/>
      <c r="AN574" s="6" t="n"/>
      <c r="AO574" s="3">
        <f>IF(tblOrdenes[[#This Row],[link_checklist]]="","",HYPERLINK(p_ruta_base_checklists&amp;tblOrdenes[[#This Row],[link_checklist]],"abrir"))</f>
        <v/>
      </c>
      <c r="AP574" s="6" t="n"/>
      <c r="AQ574" s="3">
        <f>IF(tblOrdenes[[#This Row],[orden]]="","",tblOrdenes[[#This Row],[orden]]&amp;IF(tblOrdenes[[#This Row],[operacion]]="","0010",tblOrdenes[[#This Row],[operacion]]))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2" t="n"/>
      <c r="K575" s="3" t="n"/>
      <c r="L575" s="11" t="n"/>
      <c r="M5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5" s="3">
        <f>IF(tblOrdenes[[#This Row],[fecha_inicio]]="","",YEAR(tblOrdenes[[#This Row],[fecha_inicio]]))</f>
        <v/>
      </c>
      <c r="Q575" s="3">
        <f>IF(tblOrdenes[[#This Row],[fecha_inicio]]="","",MONTH(tblOrdenes[[#This Row],[fecha_inicio]]))</f>
        <v/>
      </c>
      <c r="R575" s="3">
        <f>IF(tblOrdenes[[#This Row],[fecha_inicio]]="","",INDEX(lista_dias,WEEKDAY(tblOrdenes[[#This Row],[fecha_inicio]],2)))</f>
        <v/>
      </c>
      <c r="S5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5" s="3">
        <f>IF(tblOrdenes[[#This Row],[tipo_ot]]="","",_xlfn.XLOOKUP(tblOrdenes[[#This Row],[tipo_ot]],tblTiposOT[codigo],tblTiposOT[clasificacion],"sin_clasificar"))</f>
        <v/>
      </c>
      <c r="U575" s="3">
        <f>IF(tblOrdenes[[#This Row],[centro_costo]]="","",_xlfn.XLOOKUP(tblOrdenes[[#This Row],[centro_costo]],tblCECO[codigo],tblCECO[linea],"(sin catálogo)"))</f>
        <v/>
      </c>
      <c r="V575" s="3">
        <f>IF(tblOrdenes[[#This Row],[centro_costo]]="","",_xlfn.XLOOKUP(tblOrdenes[[#This Row],[centro_costo]],tblCECO[codigo],tblCECO[area],"(sin catálogo)"))</f>
        <v/>
      </c>
      <c r="W5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5" s="3">
        <f>IF(tblOrdenes[[#This Row],[centro_costo]]="","",_xlfn.XLOOKUP(tblOrdenes[[#This Row],[centro_costo]],tblCECO[codigo],tblCECO[coordinador],"(sin catálogo)"))</f>
        <v/>
      </c>
      <c r="Y575" s="3">
        <f>IF(tblOrdenes[[#This Row],[puesto_trabajo]]="","",_xlfn.XLOOKUP(tblOrdenes[[#This Row],[puesto_trabajo]],tblPuestos[codigo],tblPuestos[especialidad],"(sin catálogo)"))</f>
        <v/>
      </c>
      <c r="Z575" s="3">
        <f>IF(tblOrdenes[[#This Row],[cod_actividad]]="","",_xlfn.XLOOKUP(tblOrdenes[[#This Row],[cod_actividad]],tblActividades[codigo],tblActividades[descripcion],"(sin catálogo)"))</f>
        <v/>
      </c>
      <c r="AA575" s="13">
        <f>IF(tblOrdenes[[#This Row],[fecha_inicio]]="","",TODAY()-tblOrdenes[[#This Row],[fecha_inicio]])</f>
        <v/>
      </c>
      <c r="AB5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5" s="3">
        <f>IF(tblOrdenes[[#This Row],[backlog_habiles]]="","",IF(tblOrdenes[[#This Row],[backlog_habiles]]&lt;0,"FUTURO",IF(tblOrdenes[[#This Row],[backlog_habiles]]&gt;p_dias_backlog_max,"BACKLOG","MES CORRIENTE")))</f>
        <v/>
      </c>
      <c r="AD575" s="3">
        <f>IF(tblOrdenes[[#This Row],[backlog_habiles]]="",FALSE,AND(tblOrdenes[[#This Row],[backlog_habiles]]&gt;p_dias_backlog_min,tblOrdenes[[#This Row],[backlog_habiles]]&lt;=p_dias_backlog_max))</f>
        <v/>
      </c>
      <c r="AE575" s="6" t="n"/>
      <c r="AF5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5" s="11">
        <f>IF(tblOrdenes[[#This Row],[orden]]="","",_xlfn.XLOOKUP(tblOrdenes[[#This Row],[id_operacion]],tblEjecucion[id_operacion],tblEjecucion[precio],0))</f>
        <v/>
      </c>
      <c r="AJ575" s="11">
        <f>IF(tblOrdenes[[#This Row],[orden]]="","",MAX(0,_xlfn.XLOOKUP(tblOrdenes[[#This Row],[id_operacion]],tblEjecucion[id_operacion],tblEjecucion[costo_plan_total],0)-tblOrdenes[[#This Row],[costo_servicio]]))</f>
        <v/>
      </c>
      <c r="AK575" s="11">
        <f>IF(tblOrdenes[[#This Row],[orden]]="","",tblOrdenes[[#This Row],[costo_servicio]]+tblOrdenes[[#This Row],[costo_materiales]])</f>
        <v/>
      </c>
      <c r="AL575" s="6" t="n"/>
      <c r="AM575" s="6" t="n"/>
      <c r="AN575" s="6" t="n"/>
      <c r="AO575" s="3">
        <f>IF(tblOrdenes[[#This Row],[link_checklist]]="","",HYPERLINK(p_ruta_base_checklists&amp;tblOrdenes[[#This Row],[link_checklist]],"abrir"))</f>
        <v/>
      </c>
      <c r="AP575" s="6" t="n"/>
      <c r="AQ575" s="3">
        <f>IF(tblOrdenes[[#This Row],[orden]]="","",tblOrdenes[[#This Row],[orden]]&amp;IF(tblOrdenes[[#This Row],[operacion]]="","0010",tblOrdenes[[#This Row],[operacion]]))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2" t="n"/>
      <c r="K576" s="3" t="n"/>
      <c r="L576" s="11" t="n"/>
      <c r="M5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6" s="3">
        <f>IF(tblOrdenes[[#This Row],[fecha_inicio]]="","",YEAR(tblOrdenes[[#This Row],[fecha_inicio]]))</f>
        <v/>
      </c>
      <c r="Q576" s="3">
        <f>IF(tblOrdenes[[#This Row],[fecha_inicio]]="","",MONTH(tblOrdenes[[#This Row],[fecha_inicio]]))</f>
        <v/>
      </c>
      <c r="R576" s="3">
        <f>IF(tblOrdenes[[#This Row],[fecha_inicio]]="","",INDEX(lista_dias,WEEKDAY(tblOrdenes[[#This Row],[fecha_inicio]],2)))</f>
        <v/>
      </c>
      <c r="S5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6" s="3">
        <f>IF(tblOrdenes[[#This Row],[tipo_ot]]="","",_xlfn.XLOOKUP(tblOrdenes[[#This Row],[tipo_ot]],tblTiposOT[codigo],tblTiposOT[clasificacion],"sin_clasificar"))</f>
        <v/>
      </c>
      <c r="U576" s="3">
        <f>IF(tblOrdenes[[#This Row],[centro_costo]]="","",_xlfn.XLOOKUP(tblOrdenes[[#This Row],[centro_costo]],tblCECO[codigo],tblCECO[linea],"(sin catálogo)"))</f>
        <v/>
      </c>
      <c r="V576" s="3">
        <f>IF(tblOrdenes[[#This Row],[centro_costo]]="","",_xlfn.XLOOKUP(tblOrdenes[[#This Row],[centro_costo]],tblCECO[codigo],tblCECO[area],"(sin catálogo)"))</f>
        <v/>
      </c>
      <c r="W5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6" s="3">
        <f>IF(tblOrdenes[[#This Row],[centro_costo]]="","",_xlfn.XLOOKUP(tblOrdenes[[#This Row],[centro_costo]],tblCECO[codigo],tblCECO[coordinador],"(sin catálogo)"))</f>
        <v/>
      </c>
      <c r="Y576" s="3">
        <f>IF(tblOrdenes[[#This Row],[puesto_trabajo]]="","",_xlfn.XLOOKUP(tblOrdenes[[#This Row],[puesto_trabajo]],tblPuestos[codigo],tblPuestos[especialidad],"(sin catálogo)"))</f>
        <v/>
      </c>
      <c r="Z576" s="3">
        <f>IF(tblOrdenes[[#This Row],[cod_actividad]]="","",_xlfn.XLOOKUP(tblOrdenes[[#This Row],[cod_actividad]],tblActividades[codigo],tblActividades[descripcion],"(sin catálogo)"))</f>
        <v/>
      </c>
      <c r="AA576" s="13">
        <f>IF(tblOrdenes[[#This Row],[fecha_inicio]]="","",TODAY()-tblOrdenes[[#This Row],[fecha_inicio]])</f>
        <v/>
      </c>
      <c r="AB5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6" s="3">
        <f>IF(tblOrdenes[[#This Row],[backlog_habiles]]="","",IF(tblOrdenes[[#This Row],[backlog_habiles]]&lt;0,"FUTURO",IF(tblOrdenes[[#This Row],[backlog_habiles]]&gt;p_dias_backlog_max,"BACKLOG","MES CORRIENTE")))</f>
        <v/>
      </c>
      <c r="AD576" s="3">
        <f>IF(tblOrdenes[[#This Row],[backlog_habiles]]="",FALSE,AND(tblOrdenes[[#This Row],[backlog_habiles]]&gt;p_dias_backlog_min,tblOrdenes[[#This Row],[backlog_habiles]]&lt;=p_dias_backlog_max))</f>
        <v/>
      </c>
      <c r="AE576" s="6" t="n"/>
      <c r="AF5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6" s="11">
        <f>IF(tblOrdenes[[#This Row],[orden]]="","",_xlfn.XLOOKUP(tblOrdenes[[#This Row],[id_operacion]],tblEjecucion[id_operacion],tblEjecucion[precio],0))</f>
        <v/>
      </c>
      <c r="AJ576" s="11">
        <f>IF(tblOrdenes[[#This Row],[orden]]="","",MAX(0,_xlfn.XLOOKUP(tblOrdenes[[#This Row],[id_operacion]],tblEjecucion[id_operacion],tblEjecucion[costo_plan_total],0)-tblOrdenes[[#This Row],[costo_servicio]]))</f>
        <v/>
      </c>
      <c r="AK576" s="11">
        <f>IF(tblOrdenes[[#This Row],[orden]]="","",tblOrdenes[[#This Row],[costo_servicio]]+tblOrdenes[[#This Row],[costo_materiales]])</f>
        <v/>
      </c>
      <c r="AL576" s="6" t="n"/>
      <c r="AM576" s="6" t="n"/>
      <c r="AN576" s="6" t="n"/>
      <c r="AO576" s="3">
        <f>IF(tblOrdenes[[#This Row],[link_checklist]]="","",HYPERLINK(p_ruta_base_checklists&amp;tblOrdenes[[#This Row],[link_checklist]],"abrir"))</f>
        <v/>
      </c>
      <c r="AP576" s="6" t="n"/>
      <c r="AQ576" s="3">
        <f>IF(tblOrdenes[[#This Row],[orden]]="","",tblOrdenes[[#This Row],[orden]]&amp;IF(tblOrdenes[[#This Row],[operacion]]="","0010",tblOrdenes[[#This Row],[operacion]]))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2" t="n"/>
      <c r="K577" s="3" t="n"/>
      <c r="L577" s="11" t="n"/>
      <c r="M5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7" s="3">
        <f>IF(tblOrdenes[[#This Row],[fecha_inicio]]="","",YEAR(tblOrdenes[[#This Row],[fecha_inicio]]))</f>
        <v/>
      </c>
      <c r="Q577" s="3">
        <f>IF(tblOrdenes[[#This Row],[fecha_inicio]]="","",MONTH(tblOrdenes[[#This Row],[fecha_inicio]]))</f>
        <v/>
      </c>
      <c r="R577" s="3">
        <f>IF(tblOrdenes[[#This Row],[fecha_inicio]]="","",INDEX(lista_dias,WEEKDAY(tblOrdenes[[#This Row],[fecha_inicio]],2)))</f>
        <v/>
      </c>
      <c r="S5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7" s="3">
        <f>IF(tblOrdenes[[#This Row],[tipo_ot]]="","",_xlfn.XLOOKUP(tblOrdenes[[#This Row],[tipo_ot]],tblTiposOT[codigo],tblTiposOT[clasificacion],"sin_clasificar"))</f>
        <v/>
      </c>
      <c r="U577" s="3">
        <f>IF(tblOrdenes[[#This Row],[centro_costo]]="","",_xlfn.XLOOKUP(tblOrdenes[[#This Row],[centro_costo]],tblCECO[codigo],tblCECO[linea],"(sin catálogo)"))</f>
        <v/>
      </c>
      <c r="V577" s="3">
        <f>IF(tblOrdenes[[#This Row],[centro_costo]]="","",_xlfn.XLOOKUP(tblOrdenes[[#This Row],[centro_costo]],tblCECO[codigo],tblCECO[area],"(sin catálogo)"))</f>
        <v/>
      </c>
      <c r="W5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7" s="3">
        <f>IF(tblOrdenes[[#This Row],[centro_costo]]="","",_xlfn.XLOOKUP(tblOrdenes[[#This Row],[centro_costo]],tblCECO[codigo],tblCECO[coordinador],"(sin catálogo)"))</f>
        <v/>
      </c>
      <c r="Y577" s="3">
        <f>IF(tblOrdenes[[#This Row],[puesto_trabajo]]="","",_xlfn.XLOOKUP(tblOrdenes[[#This Row],[puesto_trabajo]],tblPuestos[codigo],tblPuestos[especialidad],"(sin catálogo)"))</f>
        <v/>
      </c>
      <c r="Z577" s="3">
        <f>IF(tblOrdenes[[#This Row],[cod_actividad]]="","",_xlfn.XLOOKUP(tblOrdenes[[#This Row],[cod_actividad]],tblActividades[codigo],tblActividades[descripcion],"(sin catálogo)"))</f>
        <v/>
      </c>
      <c r="AA577" s="13">
        <f>IF(tblOrdenes[[#This Row],[fecha_inicio]]="","",TODAY()-tblOrdenes[[#This Row],[fecha_inicio]])</f>
        <v/>
      </c>
      <c r="AB5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7" s="3">
        <f>IF(tblOrdenes[[#This Row],[backlog_habiles]]="","",IF(tblOrdenes[[#This Row],[backlog_habiles]]&lt;0,"FUTURO",IF(tblOrdenes[[#This Row],[backlog_habiles]]&gt;p_dias_backlog_max,"BACKLOG","MES CORRIENTE")))</f>
        <v/>
      </c>
      <c r="AD577" s="3">
        <f>IF(tblOrdenes[[#This Row],[backlog_habiles]]="",FALSE,AND(tblOrdenes[[#This Row],[backlog_habiles]]&gt;p_dias_backlog_min,tblOrdenes[[#This Row],[backlog_habiles]]&lt;=p_dias_backlog_max))</f>
        <v/>
      </c>
      <c r="AE577" s="6" t="n"/>
      <c r="AF5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7" s="11">
        <f>IF(tblOrdenes[[#This Row],[orden]]="","",_xlfn.XLOOKUP(tblOrdenes[[#This Row],[id_operacion]],tblEjecucion[id_operacion],tblEjecucion[precio],0))</f>
        <v/>
      </c>
      <c r="AJ577" s="11">
        <f>IF(tblOrdenes[[#This Row],[orden]]="","",MAX(0,_xlfn.XLOOKUP(tblOrdenes[[#This Row],[id_operacion]],tblEjecucion[id_operacion],tblEjecucion[costo_plan_total],0)-tblOrdenes[[#This Row],[costo_servicio]]))</f>
        <v/>
      </c>
      <c r="AK577" s="11">
        <f>IF(tblOrdenes[[#This Row],[orden]]="","",tblOrdenes[[#This Row],[costo_servicio]]+tblOrdenes[[#This Row],[costo_materiales]])</f>
        <v/>
      </c>
      <c r="AL577" s="6" t="n"/>
      <c r="AM577" s="6" t="n"/>
      <c r="AN577" s="6" t="n"/>
      <c r="AO577" s="3">
        <f>IF(tblOrdenes[[#This Row],[link_checklist]]="","",HYPERLINK(p_ruta_base_checklists&amp;tblOrdenes[[#This Row],[link_checklist]],"abrir"))</f>
        <v/>
      </c>
      <c r="AP577" s="6" t="n"/>
      <c r="AQ577" s="3">
        <f>IF(tblOrdenes[[#This Row],[orden]]="","",tblOrdenes[[#This Row],[orden]]&amp;IF(tblOrdenes[[#This Row],[operacion]]="","0010",tblOrdenes[[#This Row],[operacion]]))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2" t="n"/>
      <c r="K578" s="3" t="n"/>
      <c r="L578" s="11" t="n"/>
      <c r="M5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8" s="3">
        <f>IF(tblOrdenes[[#This Row],[fecha_inicio]]="","",YEAR(tblOrdenes[[#This Row],[fecha_inicio]]))</f>
        <v/>
      </c>
      <c r="Q578" s="3">
        <f>IF(tblOrdenes[[#This Row],[fecha_inicio]]="","",MONTH(tblOrdenes[[#This Row],[fecha_inicio]]))</f>
        <v/>
      </c>
      <c r="R578" s="3">
        <f>IF(tblOrdenes[[#This Row],[fecha_inicio]]="","",INDEX(lista_dias,WEEKDAY(tblOrdenes[[#This Row],[fecha_inicio]],2)))</f>
        <v/>
      </c>
      <c r="S5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8" s="3">
        <f>IF(tblOrdenes[[#This Row],[tipo_ot]]="","",_xlfn.XLOOKUP(tblOrdenes[[#This Row],[tipo_ot]],tblTiposOT[codigo],tblTiposOT[clasificacion],"sin_clasificar"))</f>
        <v/>
      </c>
      <c r="U578" s="3">
        <f>IF(tblOrdenes[[#This Row],[centro_costo]]="","",_xlfn.XLOOKUP(tblOrdenes[[#This Row],[centro_costo]],tblCECO[codigo],tblCECO[linea],"(sin catálogo)"))</f>
        <v/>
      </c>
      <c r="V578" s="3">
        <f>IF(tblOrdenes[[#This Row],[centro_costo]]="","",_xlfn.XLOOKUP(tblOrdenes[[#This Row],[centro_costo]],tblCECO[codigo],tblCECO[area],"(sin catálogo)"))</f>
        <v/>
      </c>
      <c r="W5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8" s="3">
        <f>IF(tblOrdenes[[#This Row],[centro_costo]]="","",_xlfn.XLOOKUP(tblOrdenes[[#This Row],[centro_costo]],tblCECO[codigo],tblCECO[coordinador],"(sin catálogo)"))</f>
        <v/>
      </c>
      <c r="Y578" s="3">
        <f>IF(tblOrdenes[[#This Row],[puesto_trabajo]]="","",_xlfn.XLOOKUP(tblOrdenes[[#This Row],[puesto_trabajo]],tblPuestos[codigo],tblPuestos[especialidad],"(sin catálogo)"))</f>
        <v/>
      </c>
      <c r="Z578" s="3">
        <f>IF(tblOrdenes[[#This Row],[cod_actividad]]="","",_xlfn.XLOOKUP(tblOrdenes[[#This Row],[cod_actividad]],tblActividades[codigo],tblActividades[descripcion],"(sin catálogo)"))</f>
        <v/>
      </c>
      <c r="AA578" s="13">
        <f>IF(tblOrdenes[[#This Row],[fecha_inicio]]="","",TODAY()-tblOrdenes[[#This Row],[fecha_inicio]])</f>
        <v/>
      </c>
      <c r="AB5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8" s="3">
        <f>IF(tblOrdenes[[#This Row],[backlog_habiles]]="","",IF(tblOrdenes[[#This Row],[backlog_habiles]]&lt;0,"FUTURO",IF(tblOrdenes[[#This Row],[backlog_habiles]]&gt;p_dias_backlog_max,"BACKLOG","MES CORRIENTE")))</f>
        <v/>
      </c>
      <c r="AD578" s="3">
        <f>IF(tblOrdenes[[#This Row],[backlog_habiles]]="",FALSE,AND(tblOrdenes[[#This Row],[backlog_habiles]]&gt;p_dias_backlog_min,tblOrdenes[[#This Row],[backlog_habiles]]&lt;=p_dias_backlog_max))</f>
        <v/>
      </c>
      <c r="AE578" s="6" t="n"/>
      <c r="AF5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8" s="11">
        <f>IF(tblOrdenes[[#This Row],[orden]]="","",_xlfn.XLOOKUP(tblOrdenes[[#This Row],[id_operacion]],tblEjecucion[id_operacion],tblEjecucion[precio],0))</f>
        <v/>
      </c>
      <c r="AJ578" s="11">
        <f>IF(tblOrdenes[[#This Row],[orden]]="","",MAX(0,_xlfn.XLOOKUP(tblOrdenes[[#This Row],[id_operacion]],tblEjecucion[id_operacion],tblEjecucion[costo_plan_total],0)-tblOrdenes[[#This Row],[costo_servicio]]))</f>
        <v/>
      </c>
      <c r="AK578" s="11">
        <f>IF(tblOrdenes[[#This Row],[orden]]="","",tblOrdenes[[#This Row],[costo_servicio]]+tblOrdenes[[#This Row],[costo_materiales]])</f>
        <v/>
      </c>
      <c r="AL578" s="6" t="n"/>
      <c r="AM578" s="6" t="n"/>
      <c r="AN578" s="6" t="n"/>
      <c r="AO578" s="3">
        <f>IF(tblOrdenes[[#This Row],[link_checklist]]="","",HYPERLINK(p_ruta_base_checklists&amp;tblOrdenes[[#This Row],[link_checklist]],"abrir"))</f>
        <v/>
      </c>
      <c r="AP578" s="6" t="n"/>
      <c r="AQ578" s="3">
        <f>IF(tblOrdenes[[#This Row],[orden]]="","",tblOrdenes[[#This Row],[orden]]&amp;IF(tblOrdenes[[#This Row],[operacion]]="","0010",tblOrdenes[[#This Row],[operacion]]))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2" t="n"/>
      <c r="K579" s="3" t="n"/>
      <c r="L579" s="11" t="n"/>
      <c r="M5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9" s="3">
        <f>IF(tblOrdenes[[#This Row],[fecha_inicio]]="","",YEAR(tblOrdenes[[#This Row],[fecha_inicio]]))</f>
        <v/>
      </c>
      <c r="Q579" s="3">
        <f>IF(tblOrdenes[[#This Row],[fecha_inicio]]="","",MONTH(tblOrdenes[[#This Row],[fecha_inicio]]))</f>
        <v/>
      </c>
      <c r="R579" s="3">
        <f>IF(tblOrdenes[[#This Row],[fecha_inicio]]="","",INDEX(lista_dias,WEEKDAY(tblOrdenes[[#This Row],[fecha_inicio]],2)))</f>
        <v/>
      </c>
      <c r="S5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9" s="3">
        <f>IF(tblOrdenes[[#This Row],[tipo_ot]]="","",_xlfn.XLOOKUP(tblOrdenes[[#This Row],[tipo_ot]],tblTiposOT[codigo],tblTiposOT[clasificacion],"sin_clasificar"))</f>
        <v/>
      </c>
      <c r="U579" s="3">
        <f>IF(tblOrdenes[[#This Row],[centro_costo]]="","",_xlfn.XLOOKUP(tblOrdenes[[#This Row],[centro_costo]],tblCECO[codigo],tblCECO[linea],"(sin catálogo)"))</f>
        <v/>
      </c>
      <c r="V579" s="3">
        <f>IF(tblOrdenes[[#This Row],[centro_costo]]="","",_xlfn.XLOOKUP(tblOrdenes[[#This Row],[centro_costo]],tblCECO[codigo],tblCECO[area],"(sin catálogo)"))</f>
        <v/>
      </c>
      <c r="W5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9" s="3">
        <f>IF(tblOrdenes[[#This Row],[centro_costo]]="","",_xlfn.XLOOKUP(tblOrdenes[[#This Row],[centro_costo]],tblCECO[codigo],tblCECO[coordinador],"(sin catálogo)"))</f>
        <v/>
      </c>
      <c r="Y579" s="3">
        <f>IF(tblOrdenes[[#This Row],[puesto_trabajo]]="","",_xlfn.XLOOKUP(tblOrdenes[[#This Row],[puesto_trabajo]],tblPuestos[codigo],tblPuestos[especialidad],"(sin catálogo)"))</f>
        <v/>
      </c>
      <c r="Z579" s="3">
        <f>IF(tblOrdenes[[#This Row],[cod_actividad]]="","",_xlfn.XLOOKUP(tblOrdenes[[#This Row],[cod_actividad]],tblActividades[codigo],tblActividades[descripcion],"(sin catálogo)"))</f>
        <v/>
      </c>
      <c r="AA579" s="13">
        <f>IF(tblOrdenes[[#This Row],[fecha_inicio]]="","",TODAY()-tblOrdenes[[#This Row],[fecha_inicio]])</f>
        <v/>
      </c>
      <c r="AB5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9" s="3">
        <f>IF(tblOrdenes[[#This Row],[backlog_habiles]]="","",IF(tblOrdenes[[#This Row],[backlog_habiles]]&lt;0,"FUTURO",IF(tblOrdenes[[#This Row],[backlog_habiles]]&gt;p_dias_backlog_max,"BACKLOG","MES CORRIENTE")))</f>
        <v/>
      </c>
      <c r="AD579" s="3">
        <f>IF(tblOrdenes[[#This Row],[backlog_habiles]]="",FALSE,AND(tblOrdenes[[#This Row],[backlog_habiles]]&gt;p_dias_backlog_min,tblOrdenes[[#This Row],[backlog_habiles]]&lt;=p_dias_backlog_max))</f>
        <v/>
      </c>
      <c r="AE579" s="6" t="n"/>
      <c r="AF5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9" s="11">
        <f>IF(tblOrdenes[[#This Row],[orden]]="","",_xlfn.XLOOKUP(tblOrdenes[[#This Row],[id_operacion]],tblEjecucion[id_operacion],tblEjecucion[precio],0))</f>
        <v/>
      </c>
      <c r="AJ579" s="11">
        <f>IF(tblOrdenes[[#This Row],[orden]]="","",MAX(0,_xlfn.XLOOKUP(tblOrdenes[[#This Row],[id_operacion]],tblEjecucion[id_operacion],tblEjecucion[costo_plan_total],0)-tblOrdenes[[#This Row],[costo_servicio]]))</f>
        <v/>
      </c>
      <c r="AK579" s="11">
        <f>IF(tblOrdenes[[#This Row],[orden]]="","",tblOrdenes[[#This Row],[costo_servicio]]+tblOrdenes[[#This Row],[costo_materiales]])</f>
        <v/>
      </c>
      <c r="AL579" s="6" t="n"/>
      <c r="AM579" s="6" t="n"/>
      <c r="AN579" s="6" t="n"/>
      <c r="AO579" s="3">
        <f>IF(tblOrdenes[[#This Row],[link_checklist]]="","",HYPERLINK(p_ruta_base_checklists&amp;tblOrdenes[[#This Row],[link_checklist]],"abrir"))</f>
        <v/>
      </c>
      <c r="AP579" s="6" t="n"/>
      <c r="AQ579" s="3">
        <f>IF(tblOrdenes[[#This Row],[orden]]="","",tblOrdenes[[#This Row],[orden]]&amp;IF(tblOrdenes[[#This Row],[operacion]]="","0010",tblOrdenes[[#This Row],[operacion]]))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2" t="n"/>
      <c r="K580" s="3" t="n"/>
      <c r="L580" s="11" t="n"/>
      <c r="M5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0" s="3">
        <f>IF(tblOrdenes[[#This Row],[fecha_inicio]]="","",YEAR(tblOrdenes[[#This Row],[fecha_inicio]]))</f>
        <v/>
      </c>
      <c r="Q580" s="3">
        <f>IF(tblOrdenes[[#This Row],[fecha_inicio]]="","",MONTH(tblOrdenes[[#This Row],[fecha_inicio]]))</f>
        <v/>
      </c>
      <c r="R580" s="3">
        <f>IF(tblOrdenes[[#This Row],[fecha_inicio]]="","",INDEX(lista_dias,WEEKDAY(tblOrdenes[[#This Row],[fecha_inicio]],2)))</f>
        <v/>
      </c>
      <c r="S5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0" s="3">
        <f>IF(tblOrdenes[[#This Row],[tipo_ot]]="","",_xlfn.XLOOKUP(tblOrdenes[[#This Row],[tipo_ot]],tblTiposOT[codigo],tblTiposOT[clasificacion],"sin_clasificar"))</f>
        <v/>
      </c>
      <c r="U580" s="3">
        <f>IF(tblOrdenes[[#This Row],[centro_costo]]="","",_xlfn.XLOOKUP(tblOrdenes[[#This Row],[centro_costo]],tblCECO[codigo],tblCECO[linea],"(sin catálogo)"))</f>
        <v/>
      </c>
      <c r="V580" s="3">
        <f>IF(tblOrdenes[[#This Row],[centro_costo]]="","",_xlfn.XLOOKUP(tblOrdenes[[#This Row],[centro_costo]],tblCECO[codigo],tblCECO[area],"(sin catálogo)"))</f>
        <v/>
      </c>
      <c r="W5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0" s="3">
        <f>IF(tblOrdenes[[#This Row],[centro_costo]]="","",_xlfn.XLOOKUP(tblOrdenes[[#This Row],[centro_costo]],tblCECO[codigo],tblCECO[coordinador],"(sin catálogo)"))</f>
        <v/>
      </c>
      <c r="Y580" s="3">
        <f>IF(tblOrdenes[[#This Row],[puesto_trabajo]]="","",_xlfn.XLOOKUP(tblOrdenes[[#This Row],[puesto_trabajo]],tblPuestos[codigo],tblPuestos[especialidad],"(sin catálogo)"))</f>
        <v/>
      </c>
      <c r="Z580" s="3">
        <f>IF(tblOrdenes[[#This Row],[cod_actividad]]="","",_xlfn.XLOOKUP(tblOrdenes[[#This Row],[cod_actividad]],tblActividades[codigo],tblActividades[descripcion],"(sin catálogo)"))</f>
        <v/>
      </c>
      <c r="AA580" s="13">
        <f>IF(tblOrdenes[[#This Row],[fecha_inicio]]="","",TODAY()-tblOrdenes[[#This Row],[fecha_inicio]])</f>
        <v/>
      </c>
      <c r="AB5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0" s="3">
        <f>IF(tblOrdenes[[#This Row],[backlog_habiles]]="","",IF(tblOrdenes[[#This Row],[backlog_habiles]]&lt;0,"FUTURO",IF(tblOrdenes[[#This Row],[backlog_habiles]]&gt;p_dias_backlog_max,"BACKLOG","MES CORRIENTE")))</f>
        <v/>
      </c>
      <c r="AD580" s="3">
        <f>IF(tblOrdenes[[#This Row],[backlog_habiles]]="",FALSE,AND(tblOrdenes[[#This Row],[backlog_habiles]]&gt;p_dias_backlog_min,tblOrdenes[[#This Row],[backlog_habiles]]&lt;=p_dias_backlog_max))</f>
        <v/>
      </c>
      <c r="AE580" s="6" t="n"/>
      <c r="AF5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0" s="11">
        <f>IF(tblOrdenes[[#This Row],[orden]]="","",_xlfn.XLOOKUP(tblOrdenes[[#This Row],[id_operacion]],tblEjecucion[id_operacion],tblEjecucion[precio],0))</f>
        <v/>
      </c>
      <c r="AJ580" s="11">
        <f>IF(tblOrdenes[[#This Row],[orden]]="","",MAX(0,_xlfn.XLOOKUP(tblOrdenes[[#This Row],[id_operacion]],tblEjecucion[id_operacion],tblEjecucion[costo_plan_total],0)-tblOrdenes[[#This Row],[costo_servicio]]))</f>
        <v/>
      </c>
      <c r="AK580" s="11">
        <f>IF(tblOrdenes[[#This Row],[orden]]="","",tblOrdenes[[#This Row],[costo_servicio]]+tblOrdenes[[#This Row],[costo_materiales]])</f>
        <v/>
      </c>
      <c r="AL580" s="6" t="n"/>
      <c r="AM580" s="6" t="n"/>
      <c r="AN580" s="6" t="n"/>
      <c r="AO580" s="3">
        <f>IF(tblOrdenes[[#This Row],[link_checklist]]="","",HYPERLINK(p_ruta_base_checklists&amp;tblOrdenes[[#This Row],[link_checklist]],"abrir"))</f>
        <v/>
      </c>
      <c r="AP580" s="6" t="n"/>
      <c r="AQ580" s="3">
        <f>IF(tblOrdenes[[#This Row],[orden]]="","",tblOrdenes[[#This Row],[orden]]&amp;IF(tblOrdenes[[#This Row],[operacion]]="","0010",tblOrdenes[[#This Row],[operacion]]))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2" t="n"/>
      <c r="K581" s="3" t="n"/>
      <c r="L581" s="11" t="n"/>
      <c r="M5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1" s="3">
        <f>IF(tblOrdenes[[#This Row],[fecha_inicio]]="","",YEAR(tblOrdenes[[#This Row],[fecha_inicio]]))</f>
        <v/>
      </c>
      <c r="Q581" s="3">
        <f>IF(tblOrdenes[[#This Row],[fecha_inicio]]="","",MONTH(tblOrdenes[[#This Row],[fecha_inicio]]))</f>
        <v/>
      </c>
      <c r="R581" s="3">
        <f>IF(tblOrdenes[[#This Row],[fecha_inicio]]="","",INDEX(lista_dias,WEEKDAY(tblOrdenes[[#This Row],[fecha_inicio]],2)))</f>
        <v/>
      </c>
      <c r="S5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1" s="3">
        <f>IF(tblOrdenes[[#This Row],[tipo_ot]]="","",_xlfn.XLOOKUP(tblOrdenes[[#This Row],[tipo_ot]],tblTiposOT[codigo],tblTiposOT[clasificacion],"sin_clasificar"))</f>
        <v/>
      </c>
      <c r="U581" s="3">
        <f>IF(tblOrdenes[[#This Row],[centro_costo]]="","",_xlfn.XLOOKUP(tblOrdenes[[#This Row],[centro_costo]],tblCECO[codigo],tblCECO[linea],"(sin catálogo)"))</f>
        <v/>
      </c>
      <c r="V581" s="3">
        <f>IF(tblOrdenes[[#This Row],[centro_costo]]="","",_xlfn.XLOOKUP(tblOrdenes[[#This Row],[centro_costo]],tblCECO[codigo],tblCECO[area],"(sin catálogo)"))</f>
        <v/>
      </c>
      <c r="W5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1" s="3">
        <f>IF(tblOrdenes[[#This Row],[centro_costo]]="","",_xlfn.XLOOKUP(tblOrdenes[[#This Row],[centro_costo]],tblCECO[codigo],tblCECO[coordinador],"(sin catálogo)"))</f>
        <v/>
      </c>
      <c r="Y581" s="3">
        <f>IF(tblOrdenes[[#This Row],[puesto_trabajo]]="","",_xlfn.XLOOKUP(tblOrdenes[[#This Row],[puesto_trabajo]],tblPuestos[codigo],tblPuestos[especialidad],"(sin catálogo)"))</f>
        <v/>
      </c>
      <c r="Z581" s="3">
        <f>IF(tblOrdenes[[#This Row],[cod_actividad]]="","",_xlfn.XLOOKUP(tblOrdenes[[#This Row],[cod_actividad]],tblActividades[codigo],tblActividades[descripcion],"(sin catálogo)"))</f>
        <v/>
      </c>
      <c r="AA581" s="13">
        <f>IF(tblOrdenes[[#This Row],[fecha_inicio]]="","",TODAY()-tblOrdenes[[#This Row],[fecha_inicio]])</f>
        <v/>
      </c>
      <c r="AB5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1" s="3">
        <f>IF(tblOrdenes[[#This Row],[backlog_habiles]]="","",IF(tblOrdenes[[#This Row],[backlog_habiles]]&lt;0,"FUTURO",IF(tblOrdenes[[#This Row],[backlog_habiles]]&gt;p_dias_backlog_max,"BACKLOG","MES CORRIENTE")))</f>
        <v/>
      </c>
      <c r="AD581" s="3">
        <f>IF(tblOrdenes[[#This Row],[backlog_habiles]]="",FALSE,AND(tblOrdenes[[#This Row],[backlog_habiles]]&gt;p_dias_backlog_min,tblOrdenes[[#This Row],[backlog_habiles]]&lt;=p_dias_backlog_max))</f>
        <v/>
      </c>
      <c r="AE581" s="6" t="n"/>
      <c r="AF5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1" s="11">
        <f>IF(tblOrdenes[[#This Row],[orden]]="","",_xlfn.XLOOKUP(tblOrdenes[[#This Row],[id_operacion]],tblEjecucion[id_operacion],tblEjecucion[precio],0))</f>
        <v/>
      </c>
      <c r="AJ581" s="11">
        <f>IF(tblOrdenes[[#This Row],[orden]]="","",MAX(0,_xlfn.XLOOKUP(tblOrdenes[[#This Row],[id_operacion]],tblEjecucion[id_operacion],tblEjecucion[costo_plan_total],0)-tblOrdenes[[#This Row],[costo_servicio]]))</f>
        <v/>
      </c>
      <c r="AK581" s="11">
        <f>IF(tblOrdenes[[#This Row],[orden]]="","",tblOrdenes[[#This Row],[costo_servicio]]+tblOrdenes[[#This Row],[costo_materiales]])</f>
        <v/>
      </c>
      <c r="AL581" s="6" t="n"/>
      <c r="AM581" s="6" t="n"/>
      <c r="AN581" s="6" t="n"/>
      <c r="AO581" s="3">
        <f>IF(tblOrdenes[[#This Row],[link_checklist]]="","",HYPERLINK(p_ruta_base_checklists&amp;tblOrdenes[[#This Row],[link_checklist]],"abrir"))</f>
        <v/>
      </c>
      <c r="AP581" s="6" t="n"/>
      <c r="AQ581" s="3">
        <f>IF(tblOrdenes[[#This Row],[orden]]="","",tblOrdenes[[#This Row],[orden]]&amp;IF(tblOrdenes[[#This Row],[operacion]]="","0010",tblOrdenes[[#This Row],[operacion]]))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2" t="n"/>
      <c r="K582" s="3" t="n"/>
      <c r="L582" s="11" t="n"/>
      <c r="M5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2" s="3">
        <f>IF(tblOrdenes[[#This Row],[fecha_inicio]]="","",YEAR(tblOrdenes[[#This Row],[fecha_inicio]]))</f>
        <v/>
      </c>
      <c r="Q582" s="3">
        <f>IF(tblOrdenes[[#This Row],[fecha_inicio]]="","",MONTH(tblOrdenes[[#This Row],[fecha_inicio]]))</f>
        <v/>
      </c>
      <c r="R582" s="3">
        <f>IF(tblOrdenes[[#This Row],[fecha_inicio]]="","",INDEX(lista_dias,WEEKDAY(tblOrdenes[[#This Row],[fecha_inicio]],2)))</f>
        <v/>
      </c>
      <c r="S5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2" s="3">
        <f>IF(tblOrdenes[[#This Row],[tipo_ot]]="","",_xlfn.XLOOKUP(tblOrdenes[[#This Row],[tipo_ot]],tblTiposOT[codigo],tblTiposOT[clasificacion],"sin_clasificar"))</f>
        <v/>
      </c>
      <c r="U582" s="3">
        <f>IF(tblOrdenes[[#This Row],[centro_costo]]="","",_xlfn.XLOOKUP(tblOrdenes[[#This Row],[centro_costo]],tblCECO[codigo],tblCECO[linea],"(sin catálogo)"))</f>
        <v/>
      </c>
      <c r="V582" s="3">
        <f>IF(tblOrdenes[[#This Row],[centro_costo]]="","",_xlfn.XLOOKUP(tblOrdenes[[#This Row],[centro_costo]],tblCECO[codigo],tblCECO[area],"(sin catálogo)"))</f>
        <v/>
      </c>
      <c r="W5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2" s="3">
        <f>IF(tblOrdenes[[#This Row],[centro_costo]]="","",_xlfn.XLOOKUP(tblOrdenes[[#This Row],[centro_costo]],tblCECO[codigo],tblCECO[coordinador],"(sin catálogo)"))</f>
        <v/>
      </c>
      <c r="Y582" s="3">
        <f>IF(tblOrdenes[[#This Row],[puesto_trabajo]]="","",_xlfn.XLOOKUP(tblOrdenes[[#This Row],[puesto_trabajo]],tblPuestos[codigo],tblPuestos[especialidad],"(sin catálogo)"))</f>
        <v/>
      </c>
      <c r="Z582" s="3">
        <f>IF(tblOrdenes[[#This Row],[cod_actividad]]="","",_xlfn.XLOOKUP(tblOrdenes[[#This Row],[cod_actividad]],tblActividades[codigo],tblActividades[descripcion],"(sin catálogo)"))</f>
        <v/>
      </c>
      <c r="AA582" s="13">
        <f>IF(tblOrdenes[[#This Row],[fecha_inicio]]="","",TODAY()-tblOrdenes[[#This Row],[fecha_inicio]])</f>
        <v/>
      </c>
      <c r="AB5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2" s="3">
        <f>IF(tblOrdenes[[#This Row],[backlog_habiles]]="","",IF(tblOrdenes[[#This Row],[backlog_habiles]]&lt;0,"FUTURO",IF(tblOrdenes[[#This Row],[backlog_habiles]]&gt;p_dias_backlog_max,"BACKLOG","MES CORRIENTE")))</f>
        <v/>
      </c>
      <c r="AD582" s="3">
        <f>IF(tblOrdenes[[#This Row],[backlog_habiles]]="",FALSE,AND(tblOrdenes[[#This Row],[backlog_habiles]]&gt;p_dias_backlog_min,tblOrdenes[[#This Row],[backlog_habiles]]&lt;=p_dias_backlog_max))</f>
        <v/>
      </c>
      <c r="AE582" s="6" t="n"/>
      <c r="AF5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2" s="11">
        <f>IF(tblOrdenes[[#This Row],[orden]]="","",_xlfn.XLOOKUP(tblOrdenes[[#This Row],[id_operacion]],tblEjecucion[id_operacion],tblEjecucion[precio],0))</f>
        <v/>
      </c>
      <c r="AJ582" s="11">
        <f>IF(tblOrdenes[[#This Row],[orden]]="","",MAX(0,_xlfn.XLOOKUP(tblOrdenes[[#This Row],[id_operacion]],tblEjecucion[id_operacion],tblEjecucion[costo_plan_total],0)-tblOrdenes[[#This Row],[costo_servicio]]))</f>
        <v/>
      </c>
      <c r="AK582" s="11">
        <f>IF(tblOrdenes[[#This Row],[orden]]="","",tblOrdenes[[#This Row],[costo_servicio]]+tblOrdenes[[#This Row],[costo_materiales]])</f>
        <v/>
      </c>
      <c r="AL582" s="6" t="n"/>
      <c r="AM582" s="6" t="n"/>
      <c r="AN582" s="6" t="n"/>
      <c r="AO582" s="3">
        <f>IF(tblOrdenes[[#This Row],[link_checklist]]="","",HYPERLINK(p_ruta_base_checklists&amp;tblOrdenes[[#This Row],[link_checklist]],"abrir"))</f>
        <v/>
      </c>
      <c r="AP582" s="6" t="n"/>
      <c r="AQ582" s="3">
        <f>IF(tblOrdenes[[#This Row],[orden]]="","",tblOrdenes[[#This Row],[orden]]&amp;IF(tblOrdenes[[#This Row],[operacion]]="","0010",tblOrdenes[[#This Row],[operacion]]))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2" t="n"/>
      <c r="K583" s="3" t="n"/>
      <c r="L583" s="11" t="n"/>
      <c r="M5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3" s="3">
        <f>IF(tblOrdenes[[#This Row],[fecha_inicio]]="","",YEAR(tblOrdenes[[#This Row],[fecha_inicio]]))</f>
        <v/>
      </c>
      <c r="Q583" s="3">
        <f>IF(tblOrdenes[[#This Row],[fecha_inicio]]="","",MONTH(tblOrdenes[[#This Row],[fecha_inicio]]))</f>
        <v/>
      </c>
      <c r="R583" s="3">
        <f>IF(tblOrdenes[[#This Row],[fecha_inicio]]="","",INDEX(lista_dias,WEEKDAY(tblOrdenes[[#This Row],[fecha_inicio]],2)))</f>
        <v/>
      </c>
      <c r="S5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3" s="3">
        <f>IF(tblOrdenes[[#This Row],[tipo_ot]]="","",_xlfn.XLOOKUP(tblOrdenes[[#This Row],[tipo_ot]],tblTiposOT[codigo],tblTiposOT[clasificacion],"sin_clasificar"))</f>
        <v/>
      </c>
      <c r="U583" s="3">
        <f>IF(tblOrdenes[[#This Row],[centro_costo]]="","",_xlfn.XLOOKUP(tblOrdenes[[#This Row],[centro_costo]],tblCECO[codigo],tblCECO[linea],"(sin catálogo)"))</f>
        <v/>
      </c>
      <c r="V583" s="3">
        <f>IF(tblOrdenes[[#This Row],[centro_costo]]="","",_xlfn.XLOOKUP(tblOrdenes[[#This Row],[centro_costo]],tblCECO[codigo],tblCECO[area],"(sin catálogo)"))</f>
        <v/>
      </c>
      <c r="W5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3" s="3">
        <f>IF(tblOrdenes[[#This Row],[centro_costo]]="","",_xlfn.XLOOKUP(tblOrdenes[[#This Row],[centro_costo]],tblCECO[codigo],tblCECO[coordinador],"(sin catálogo)"))</f>
        <v/>
      </c>
      <c r="Y583" s="3">
        <f>IF(tblOrdenes[[#This Row],[puesto_trabajo]]="","",_xlfn.XLOOKUP(tblOrdenes[[#This Row],[puesto_trabajo]],tblPuestos[codigo],tblPuestos[especialidad],"(sin catálogo)"))</f>
        <v/>
      </c>
      <c r="Z583" s="3">
        <f>IF(tblOrdenes[[#This Row],[cod_actividad]]="","",_xlfn.XLOOKUP(tblOrdenes[[#This Row],[cod_actividad]],tblActividades[codigo],tblActividades[descripcion],"(sin catálogo)"))</f>
        <v/>
      </c>
      <c r="AA583" s="13">
        <f>IF(tblOrdenes[[#This Row],[fecha_inicio]]="","",TODAY()-tblOrdenes[[#This Row],[fecha_inicio]])</f>
        <v/>
      </c>
      <c r="AB5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3" s="3">
        <f>IF(tblOrdenes[[#This Row],[backlog_habiles]]="","",IF(tblOrdenes[[#This Row],[backlog_habiles]]&lt;0,"FUTURO",IF(tblOrdenes[[#This Row],[backlog_habiles]]&gt;p_dias_backlog_max,"BACKLOG","MES CORRIENTE")))</f>
        <v/>
      </c>
      <c r="AD583" s="3">
        <f>IF(tblOrdenes[[#This Row],[backlog_habiles]]="",FALSE,AND(tblOrdenes[[#This Row],[backlog_habiles]]&gt;p_dias_backlog_min,tblOrdenes[[#This Row],[backlog_habiles]]&lt;=p_dias_backlog_max))</f>
        <v/>
      </c>
      <c r="AE583" s="6" t="n"/>
      <c r="AF5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3" s="11">
        <f>IF(tblOrdenes[[#This Row],[orden]]="","",_xlfn.XLOOKUP(tblOrdenes[[#This Row],[id_operacion]],tblEjecucion[id_operacion],tblEjecucion[precio],0))</f>
        <v/>
      </c>
      <c r="AJ583" s="11">
        <f>IF(tblOrdenes[[#This Row],[orden]]="","",MAX(0,_xlfn.XLOOKUP(tblOrdenes[[#This Row],[id_operacion]],tblEjecucion[id_operacion],tblEjecucion[costo_plan_total],0)-tblOrdenes[[#This Row],[costo_servicio]]))</f>
        <v/>
      </c>
      <c r="AK583" s="11">
        <f>IF(tblOrdenes[[#This Row],[orden]]="","",tblOrdenes[[#This Row],[costo_servicio]]+tblOrdenes[[#This Row],[costo_materiales]])</f>
        <v/>
      </c>
      <c r="AL583" s="6" t="n"/>
      <c r="AM583" s="6" t="n"/>
      <c r="AN583" s="6" t="n"/>
      <c r="AO583" s="3">
        <f>IF(tblOrdenes[[#This Row],[link_checklist]]="","",HYPERLINK(p_ruta_base_checklists&amp;tblOrdenes[[#This Row],[link_checklist]],"abrir"))</f>
        <v/>
      </c>
      <c r="AP583" s="6" t="n"/>
      <c r="AQ583" s="3">
        <f>IF(tblOrdenes[[#This Row],[orden]]="","",tblOrdenes[[#This Row],[orden]]&amp;IF(tblOrdenes[[#This Row],[operacion]]="","0010",tblOrdenes[[#This Row],[operacion]]))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2" t="n"/>
      <c r="K584" s="3" t="n"/>
      <c r="L584" s="11" t="n"/>
      <c r="M5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4" s="3">
        <f>IF(tblOrdenes[[#This Row],[fecha_inicio]]="","",YEAR(tblOrdenes[[#This Row],[fecha_inicio]]))</f>
        <v/>
      </c>
      <c r="Q584" s="3">
        <f>IF(tblOrdenes[[#This Row],[fecha_inicio]]="","",MONTH(tblOrdenes[[#This Row],[fecha_inicio]]))</f>
        <v/>
      </c>
      <c r="R584" s="3">
        <f>IF(tblOrdenes[[#This Row],[fecha_inicio]]="","",INDEX(lista_dias,WEEKDAY(tblOrdenes[[#This Row],[fecha_inicio]],2)))</f>
        <v/>
      </c>
      <c r="S5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4" s="3">
        <f>IF(tblOrdenes[[#This Row],[tipo_ot]]="","",_xlfn.XLOOKUP(tblOrdenes[[#This Row],[tipo_ot]],tblTiposOT[codigo],tblTiposOT[clasificacion],"sin_clasificar"))</f>
        <v/>
      </c>
      <c r="U584" s="3">
        <f>IF(tblOrdenes[[#This Row],[centro_costo]]="","",_xlfn.XLOOKUP(tblOrdenes[[#This Row],[centro_costo]],tblCECO[codigo],tblCECO[linea],"(sin catálogo)"))</f>
        <v/>
      </c>
      <c r="V584" s="3">
        <f>IF(tblOrdenes[[#This Row],[centro_costo]]="","",_xlfn.XLOOKUP(tblOrdenes[[#This Row],[centro_costo]],tblCECO[codigo],tblCECO[area],"(sin catálogo)"))</f>
        <v/>
      </c>
      <c r="W5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4" s="3">
        <f>IF(tblOrdenes[[#This Row],[centro_costo]]="","",_xlfn.XLOOKUP(tblOrdenes[[#This Row],[centro_costo]],tblCECO[codigo],tblCECO[coordinador],"(sin catálogo)"))</f>
        <v/>
      </c>
      <c r="Y584" s="3">
        <f>IF(tblOrdenes[[#This Row],[puesto_trabajo]]="","",_xlfn.XLOOKUP(tblOrdenes[[#This Row],[puesto_trabajo]],tblPuestos[codigo],tblPuestos[especialidad],"(sin catálogo)"))</f>
        <v/>
      </c>
      <c r="Z584" s="3">
        <f>IF(tblOrdenes[[#This Row],[cod_actividad]]="","",_xlfn.XLOOKUP(tblOrdenes[[#This Row],[cod_actividad]],tblActividades[codigo],tblActividades[descripcion],"(sin catálogo)"))</f>
        <v/>
      </c>
      <c r="AA584" s="13">
        <f>IF(tblOrdenes[[#This Row],[fecha_inicio]]="","",TODAY()-tblOrdenes[[#This Row],[fecha_inicio]])</f>
        <v/>
      </c>
      <c r="AB5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4" s="3">
        <f>IF(tblOrdenes[[#This Row],[backlog_habiles]]="","",IF(tblOrdenes[[#This Row],[backlog_habiles]]&lt;0,"FUTURO",IF(tblOrdenes[[#This Row],[backlog_habiles]]&gt;p_dias_backlog_max,"BACKLOG","MES CORRIENTE")))</f>
        <v/>
      </c>
      <c r="AD584" s="3">
        <f>IF(tblOrdenes[[#This Row],[backlog_habiles]]="",FALSE,AND(tblOrdenes[[#This Row],[backlog_habiles]]&gt;p_dias_backlog_min,tblOrdenes[[#This Row],[backlog_habiles]]&lt;=p_dias_backlog_max))</f>
        <v/>
      </c>
      <c r="AE584" s="6" t="n"/>
      <c r="AF5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4" s="11">
        <f>IF(tblOrdenes[[#This Row],[orden]]="","",_xlfn.XLOOKUP(tblOrdenes[[#This Row],[id_operacion]],tblEjecucion[id_operacion],tblEjecucion[precio],0))</f>
        <v/>
      </c>
      <c r="AJ584" s="11">
        <f>IF(tblOrdenes[[#This Row],[orden]]="","",MAX(0,_xlfn.XLOOKUP(tblOrdenes[[#This Row],[id_operacion]],tblEjecucion[id_operacion],tblEjecucion[costo_plan_total],0)-tblOrdenes[[#This Row],[costo_servicio]]))</f>
        <v/>
      </c>
      <c r="AK584" s="11">
        <f>IF(tblOrdenes[[#This Row],[orden]]="","",tblOrdenes[[#This Row],[costo_servicio]]+tblOrdenes[[#This Row],[costo_materiales]])</f>
        <v/>
      </c>
      <c r="AL584" s="6" t="n"/>
      <c r="AM584" s="6" t="n"/>
      <c r="AN584" s="6" t="n"/>
      <c r="AO584" s="3">
        <f>IF(tblOrdenes[[#This Row],[link_checklist]]="","",HYPERLINK(p_ruta_base_checklists&amp;tblOrdenes[[#This Row],[link_checklist]],"abrir"))</f>
        <v/>
      </c>
      <c r="AP584" s="6" t="n"/>
      <c r="AQ584" s="3">
        <f>IF(tblOrdenes[[#This Row],[orden]]="","",tblOrdenes[[#This Row],[orden]]&amp;IF(tblOrdenes[[#This Row],[operacion]]="","0010",tblOrdenes[[#This Row],[operacion]]))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2" t="n"/>
      <c r="K585" s="3" t="n"/>
      <c r="L585" s="11" t="n"/>
      <c r="M5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5" s="3">
        <f>IF(tblOrdenes[[#This Row],[fecha_inicio]]="","",YEAR(tblOrdenes[[#This Row],[fecha_inicio]]))</f>
        <v/>
      </c>
      <c r="Q585" s="3">
        <f>IF(tblOrdenes[[#This Row],[fecha_inicio]]="","",MONTH(tblOrdenes[[#This Row],[fecha_inicio]]))</f>
        <v/>
      </c>
      <c r="R585" s="3">
        <f>IF(tblOrdenes[[#This Row],[fecha_inicio]]="","",INDEX(lista_dias,WEEKDAY(tblOrdenes[[#This Row],[fecha_inicio]],2)))</f>
        <v/>
      </c>
      <c r="S5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5" s="3">
        <f>IF(tblOrdenes[[#This Row],[tipo_ot]]="","",_xlfn.XLOOKUP(tblOrdenes[[#This Row],[tipo_ot]],tblTiposOT[codigo],tblTiposOT[clasificacion],"sin_clasificar"))</f>
        <v/>
      </c>
      <c r="U585" s="3">
        <f>IF(tblOrdenes[[#This Row],[centro_costo]]="","",_xlfn.XLOOKUP(tblOrdenes[[#This Row],[centro_costo]],tblCECO[codigo],tblCECO[linea],"(sin catálogo)"))</f>
        <v/>
      </c>
      <c r="V585" s="3">
        <f>IF(tblOrdenes[[#This Row],[centro_costo]]="","",_xlfn.XLOOKUP(tblOrdenes[[#This Row],[centro_costo]],tblCECO[codigo],tblCECO[area],"(sin catálogo)"))</f>
        <v/>
      </c>
      <c r="W5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5" s="3">
        <f>IF(tblOrdenes[[#This Row],[centro_costo]]="","",_xlfn.XLOOKUP(tblOrdenes[[#This Row],[centro_costo]],tblCECO[codigo],tblCECO[coordinador],"(sin catálogo)"))</f>
        <v/>
      </c>
      <c r="Y585" s="3">
        <f>IF(tblOrdenes[[#This Row],[puesto_trabajo]]="","",_xlfn.XLOOKUP(tblOrdenes[[#This Row],[puesto_trabajo]],tblPuestos[codigo],tblPuestos[especialidad],"(sin catálogo)"))</f>
        <v/>
      </c>
      <c r="Z585" s="3">
        <f>IF(tblOrdenes[[#This Row],[cod_actividad]]="","",_xlfn.XLOOKUP(tblOrdenes[[#This Row],[cod_actividad]],tblActividades[codigo],tblActividades[descripcion],"(sin catálogo)"))</f>
        <v/>
      </c>
      <c r="AA585" s="13">
        <f>IF(tblOrdenes[[#This Row],[fecha_inicio]]="","",TODAY()-tblOrdenes[[#This Row],[fecha_inicio]])</f>
        <v/>
      </c>
      <c r="AB5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5" s="3">
        <f>IF(tblOrdenes[[#This Row],[backlog_habiles]]="","",IF(tblOrdenes[[#This Row],[backlog_habiles]]&lt;0,"FUTURO",IF(tblOrdenes[[#This Row],[backlog_habiles]]&gt;p_dias_backlog_max,"BACKLOG","MES CORRIENTE")))</f>
        <v/>
      </c>
      <c r="AD585" s="3">
        <f>IF(tblOrdenes[[#This Row],[backlog_habiles]]="",FALSE,AND(tblOrdenes[[#This Row],[backlog_habiles]]&gt;p_dias_backlog_min,tblOrdenes[[#This Row],[backlog_habiles]]&lt;=p_dias_backlog_max))</f>
        <v/>
      </c>
      <c r="AE585" s="6" t="n"/>
      <c r="AF5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5" s="11">
        <f>IF(tblOrdenes[[#This Row],[orden]]="","",_xlfn.XLOOKUP(tblOrdenes[[#This Row],[id_operacion]],tblEjecucion[id_operacion],tblEjecucion[precio],0))</f>
        <v/>
      </c>
      <c r="AJ585" s="11">
        <f>IF(tblOrdenes[[#This Row],[orden]]="","",MAX(0,_xlfn.XLOOKUP(tblOrdenes[[#This Row],[id_operacion]],tblEjecucion[id_operacion],tblEjecucion[costo_plan_total],0)-tblOrdenes[[#This Row],[costo_servicio]]))</f>
        <v/>
      </c>
      <c r="AK585" s="11">
        <f>IF(tblOrdenes[[#This Row],[orden]]="","",tblOrdenes[[#This Row],[costo_servicio]]+tblOrdenes[[#This Row],[costo_materiales]])</f>
        <v/>
      </c>
      <c r="AL585" s="6" t="n"/>
      <c r="AM585" s="6" t="n"/>
      <c r="AN585" s="6" t="n"/>
      <c r="AO585" s="3">
        <f>IF(tblOrdenes[[#This Row],[link_checklist]]="","",HYPERLINK(p_ruta_base_checklists&amp;tblOrdenes[[#This Row],[link_checklist]],"abrir"))</f>
        <v/>
      </c>
      <c r="AP585" s="6" t="n"/>
      <c r="AQ585" s="3">
        <f>IF(tblOrdenes[[#This Row],[orden]]="","",tblOrdenes[[#This Row],[orden]]&amp;IF(tblOrdenes[[#This Row],[operacion]]="","0010",tblOrdenes[[#This Row],[operacion]]))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2" t="n"/>
      <c r="K586" s="3" t="n"/>
      <c r="L586" s="11" t="n"/>
      <c r="M5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6" s="3">
        <f>IF(tblOrdenes[[#This Row],[fecha_inicio]]="","",YEAR(tblOrdenes[[#This Row],[fecha_inicio]]))</f>
        <v/>
      </c>
      <c r="Q586" s="3">
        <f>IF(tblOrdenes[[#This Row],[fecha_inicio]]="","",MONTH(tblOrdenes[[#This Row],[fecha_inicio]]))</f>
        <v/>
      </c>
      <c r="R586" s="3">
        <f>IF(tblOrdenes[[#This Row],[fecha_inicio]]="","",INDEX(lista_dias,WEEKDAY(tblOrdenes[[#This Row],[fecha_inicio]],2)))</f>
        <v/>
      </c>
      <c r="S5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6" s="3">
        <f>IF(tblOrdenes[[#This Row],[tipo_ot]]="","",_xlfn.XLOOKUP(tblOrdenes[[#This Row],[tipo_ot]],tblTiposOT[codigo],tblTiposOT[clasificacion],"sin_clasificar"))</f>
        <v/>
      </c>
      <c r="U586" s="3">
        <f>IF(tblOrdenes[[#This Row],[centro_costo]]="","",_xlfn.XLOOKUP(tblOrdenes[[#This Row],[centro_costo]],tblCECO[codigo],tblCECO[linea],"(sin catálogo)"))</f>
        <v/>
      </c>
      <c r="V586" s="3">
        <f>IF(tblOrdenes[[#This Row],[centro_costo]]="","",_xlfn.XLOOKUP(tblOrdenes[[#This Row],[centro_costo]],tblCECO[codigo],tblCECO[area],"(sin catálogo)"))</f>
        <v/>
      </c>
      <c r="W5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6" s="3">
        <f>IF(tblOrdenes[[#This Row],[centro_costo]]="","",_xlfn.XLOOKUP(tblOrdenes[[#This Row],[centro_costo]],tblCECO[codigo],tblCECO[coordinador],"(sin catálogo)"))</f>
        <v/>
      </c>
      <c r="Y586" s="3">
        <f>IF(tblOrdenes[[#This Row],[puesto_trabajo]]="","",_xlfn.XLOOKUP(tblOrdenes[[#This Row],[puesto_trabajo]],tblPuestos[codigo],tblPuestos[especialidad],"(sin catálogo)"))</f>
        <v/>
      </c>
      <c r="Z586" s="3">
        <f>IF(tblOrdenes[[#This Row],[cod_actividad]]="","",_xlfn.XLOOKUP(tblOrdenes[[#This Row],[cod_actividad]],tblActividades[codigo],tblActividades[descripcion],"(sin catálogo)"))</f>
        <v/>
      </c>
      <c r="AA586" s="13">
        <f>IF(tblOrdenes[[#This Row],[fecha_inicio]]="","",TODAY()-tblOrdenes[[#This Row],[fecha_inicio]])</f>
        <v/>
      </c>
      <c r="AB5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6" s="3">
        <f>IF(tblOrdenes[[#This Row],[backlog_habiles]]="","",IF(tblOrdenes[[#This Row],[backlog_habiles]]&lt;0,"FUTURO",IF(tblOrdenes[[#This Row],[backlog_habiles]]&gt;p_dias_backlog_max,"BACKLOG","MES CORRIENTE")))</f>
        <v/>
      </c>
      <c r="AD586" s="3">
        <f>IF(tblOrdenes[[#This Row],[backlog_habiles]]="",FALSE,AND(tblOrdenes[[#This Row],[backlog_habiles]]&gt;p_dias_backlog_min,tblOrdenes[[#This Row],[backlog_habiles]]&lt;=p_dias_backlog_max))</f>
        <v/>
      </c>
      <c r="AE586" s="6" t="n"/>
      <c r="AF5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6" s="11">
        <f>IF(tblOrdenes[[#This Row],[orden]]="","",_xlfn.XLOOKUP(tblOrdenes[[#This Row],[id_operacion]],tblEjecucion[id_operacion],tblEjecucion[precio],0))</f>
        <v/>
      </c>
      <c r="AJ586" s="11">
        <f>IF(tblOrdenes[[#This Row],[orden]]="","",MAX(0,_xlfn.XLOOKUP(tblOrdenes[[#This Row],[id_operacion]],tblEjecucion[id_operacion],tblEjecucion[costo_plan_total],0)-tblOrdenes[[#This Row],[costo_servicio]]))</f>
        <v/>
      </c>
      <c r="AK586" s="11">
        <f>IF(tblOrdenes[[#This Row],[orden]]="","",tblOrdenes[[#This Row],[costo_servicio]]+tblOrdenes[[#This Row],[costo_materiales]])</f>
        <v/>
      </c>
      <c r="AL586" s="6" t="n"/>
      <c r="AM586" s="6" t="n"/>
      <c r="AN586" s="6" t="n"/>
      <c r="AO586" s="3">
        <f>IF(tblOrdenes[[#This Row],[link_checklist]]="","",HYPERLINK(p_ruta_base_checklists&amp;tblOrdenes[[#This Row],[link_checklist]],"abrir"))</f>
        <v/>
      </c>
      <c r="AP586" s="6" t="n"/>
      <c r="AQ586" s="3">
        <f>IF(tblOrdenes[[#This Row],[orden]]="","",tblOrdenes[[#This Row],[orden]]&amp;IF(tblOrdenes[[#This Row],[operacion]]="","0010",tblOrdenes[[#This Row],[operacion]]))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2" t="n"/>
      <c r="K587" s="3" t="n"/>
      <c r="L587" s="11" t="n"/>
      <c r="M5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7" s="3">
        <f>IF(tblOrdenes[[#This Row],[fecha_inicio]]="","",YEAR(tblOrdenes[[#This Row],[fecha_inicio]]))</f>
        <v/>
      </c>
      <c r="Q587" s="3">
        <f>IF(tblOrdenes[[#This Row],[fecha_inicio]]="","",MONTH(tblOrdenes[[#This Row],[fecha_inicio]]))</f>
        <v/>
      </c>
      <c r="R587" s="3">
        <f>IF(tblOrdenes[[#This Row],[fecha_inicio]]="","",INDEX(lista_dias,WEEKDAY(tblOrdenes[[#This Row],[fecha_inicio]],2)))</f>
        <v/>
      </c>
      <c r="S5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7" s="3">
        <f>IF(tblOrdenes[[#This Row],[tipo_ot]]="","",_xlfn.XLOOKUP(tblOrdenes[[#This Row],[tipo_ot]],tblTiposOT[codigo],tblTiposOT[clasificacion],"sin_clasificar"))</f>
        <v/>
      </c>
      <c r="U587" s="3">
        <f>IF(tblOrdenes[[#This Row],[centro_costo]]="","",_xlfn.XLOOKUP(tblOrdenes[[#This Row],[centro_costo]],tblCECO[codigo],tblCECO[linea],"(sin catálogo)"))</f>
        <v/>
      </c>
      <c r="V587" s="3">
        <f>IF(tblOrdenes[[#This Row],[centro_costo]]="","",_xlfn.XLOOKUP(tblOrdenes[[#This Row],[centro_costo]],tblCECO[codigo],tblCECO[area],"(sin catálogo)"))</f>
        <v/>
      </c>
      <c r="W5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7" s="3">
        <f>IF(tblOrdenes[[#This Row],[centro_costo]]="","",_xlfn.XLOOKUP(tblOrdenes[[#This Row],[centro_costo]],tblCECO[codigo],tblCECO[coordinador],"(sin catálogo)"))</f>
        <v/>
      </c>
      <c r="Y587" s="3">
        <f>IF(tblOrdenes[[#This Row],[puesto_trabajo]]="","",_xlfn.XLOOKUP(tblOrdenes[[#This Row],[puesto_trabajo]],tblPuestos[codigo],tblPuestos[especialidad],"(sin catálogo)"))</f>
        <v/>
      </c>
      <c r="Z587" s="3">
        <f>IF(tblOrdenes[[#This Row],[cod_actividad]]="","",_xlfn.XLOOKUP(tblOrdenes[[#This Row],[cod_actividad]],tblActividades[codigo],tblActividades[descripcion],"(sin catálogo)"))</f>
        <v/>
      </c>
      <c r="AA587" s="13">
        <f>IF(tblOrdenes[[#This Row],[fecha_inicio]]="","",TODAY()-tblOrdenes[[#This Row],[fecha_inicio]])</f>
        <v/>
      </c>
      <c r="AB5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7" s="3">
        <f>IF(tblOrdenes[[#This Row],[backlog_habiles]]="","",IF(tblOrdenes[[#This Row],[backlog_habiles]]&lt;0,"FUTURO",IF(tblOrdenes[[#This Row],[backlog_habiles]]&gt;p_dias_backlog_max,"BACKLOG","MES CORRIENTE")))</f>
        <v/>
      </c>
      <c r="AD587" s="3">
        <f>IF(tblOrdenes[[#This Row],[backlog_habiles]]="",FALSE,AND(tblOrdenes[[#This Row],[backlog_habiles]]&gt;p_dias_backlog_min,tblOrdenes[[#This Row],[backlog_habiles]]&lt;=p_dias_backlog_max))</f>
        <v/>
      </c>
      <c r="AE587" s="6" t="n"/>
      <c r="AF5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7" s="11">
        <f>IF(tblOrdenes[[#This Row],[orden]]="","",_xlfn.XLOOKUP(tblOrdenes[[#This Row],[id_operacion]],tblEjecucion[id_operacion],tblEjecucion[precio],0))</f>
        <v/>
      </c>
      <c r="AJ587" s="11">
        <f>IF(tblOrdenes[[#This Row],[orden]]="","",MAX(0,_xlfn.XLOOKUP(tblOrdenes[[#This Row],[id_operacion]],tblEjecucion[id_operacion],tblEjecucion[costo_plan_total],0)-tblOrdenes[[#This Row],[costo_servicio]]))</f>
        <v/>
      </c>
      <c r="AK587" s="11">
        <f>IF(tblOrdenes[[#This Row],[orden]]="","",tblOrdenes[[#This Row],[costo_servicio]]+tblOrdenes[[#This Row],[costo_materiales]])</f>
        <v/>
      </c>
      <c r="AL587" s="6" t="n"/>
      <c r="AM587" s="6" t="n"/>
      <c r="AN587" s="6" t="n"/>
      <c r="AO587" s="3">
        <f>IF(tblOrdenes[[#This Row],[link_checklist]]="","",HYPERLINK(p_ruta_base_checklists&amp;tblOrdenes[[#This Row],[link_checklist]],"abrir"))</f>
        <v/>
      </c>
      <c r="AP587" s="6" t="n"/>
      <c r="AQ587" s="3">
        <f>IF(tblOrdenes[[#This Row],[orden]]="","",tblOrdenes[[#This Row],[orden]]&amp;IF(tblOrdenes[[#This Row],[operacion]]="","0010",tblOrdenes[[#This Row],[operacion]]))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2" t="n"/>
      <c r="K588" s="3" t="n"/>
      <c r="L588" s="11" t="n"/>
      <c r="M5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8" s="3">
        <f>IF(tblOrdenes[[#This Row],[fecha_inicio]]="","",YEAR(tblOrdenes[[#This Row],[fecha_inicio]]))</f>
        <v/>
      </c>
      <c r="Q588" s="3">
        <f>IF(tblOrdenes[[#This Row],[fecha_inicio]]="","",MONTH(tblOrdenes[[#This Row],[fecha_inicio]]))</f>
        <v/>
      </c>
      <c r="R588" s="3">
        <f>IF(tblOrdenes[[#This Row],[fecha_inicio]]="","",INDEX(lista_dias,WEEKDAY(tblOrdenes[[#This Row],[fecha_inicio]],2)))</f>
        <v/>
      </c>
      <c r="S5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8" s="3">
        <f>IF(tblOrdenes[[#This Row],[tipo_ot]]="","",_xlfn.XLOOKUP(tblOrdenes[[#This Row],[tipo_ot]],tblTiposOT[codigo],tblTiposOT[clasificacion],"sin_clasificar"))</f>
        <v/>
      </c>
      <c r="U588" s="3">
        <f>IF(tblOrdenes[[#This Row],[centro_costo]]="","",_xlfn.XLOOKUP(tblOrdenes[[#This Row],[centro_costo]],tblCECO[codigo],tblCECO[linea],"(sin catálogo)"))</f>
        <v/>
      </c>
      <c r="V588" s="3">
        <f>IF(tblOrdenes[[#This Row],[centro_costo]]="","",_xlfn.XLOOKUP(tblOrdenes[[#This Row],[centro_costo]],tblCECO[codigo],tblCECO[area],"(sin catálogo)"))</f>
        <v/>
      </c>
      <c r="W5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8" s="3">
        <f>IF(tblOrdenes[[#This Row],[centro_costo]]="","",_xlfn.XLOOKUP(tblOrdenes[[#This Row],[centro_costo]],tblCECO[codigo],tblCECO[coordinador],"(sin catálogo)"))</f>
        <v/>
      </c>
      <c r="Y588" s="3">
        <f>IF(tblOrdenes[[#This Row],[puesto_trabajo]]="","",_xlfn.XLOOKUP(tblOrdenes[[#This Row],[puesto_trabajo]],tblPuestos[codigo],tblPuestos[especialidad],"(sin catálogo)"))</f>
        <v/>
      </c>
      <c r="Z588" s="3">
        <f>IF(tblOrdenes[[#This Row],[cod_actividad]]="","",_xlfn.XLOOKUP(tblOrdenes[[#This Row],[cod_actividad]],tblActividades[codigo],tblActividades[descripcion],"(sin catálogo)"))</f>
        <v/>
      </c>
      <c r="AA588" s="13">
        <f>IF(tblOrdenes[[#This Row],[fecha_inicio]]="","",TODAY()-tblOrdenes[[#This Row],[fecha_inicio]])</f>
        <v/>
      </c>
      <c r="AB5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8" s="3">
        <f>IF(tblOrdenes[[#This Row],[backlog_habiles]]="","",IF(tblOrdenes[[#This Row],[backlog_habiles]]&lt;0,"FUTURO",IF(tblOrdenes[[#This Row],[backlog_habiles]]&gt;p_dias_backlog_max,"BACKLOG","MES CORRIENTE")))</f>
        <v/>
      </c>
      <c r="AD588" s="3">
        <f>IF(tblOrdenes[[#This Row],[backlog_habiles]]="",FALSE,AND(tblOrdenes[[#This Row],[backlog_habiles]]&gt;p_dias_backlog_min,tblOrdenes[[#This Row],[backlog_habiles]]&lt;=p_dias_backlog_max))</f>
        <v/>
      </c>
      <c r="AE588" s="6" t="n"/>
      <c r="AF5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8" s="11">
        <f>IF(tblOrdenes[[#This Row],[orden]]="","",_xlfn.XLOOKUP(tblOrdenes[[#This Row],[id_operacion]],tblEjecucion[id_operacion],tblEjecucion[precio],0))</f>
        <v/>
      </c>
      <c r="AJ588" s="11">
        <f>IF(tblOrdenes[[#This Row],[orden]]="","",MAX(0,_xlfn.XLOOKUP(tblOrdenes[[#This Row],[id_operacion]],tblEjecucion[id_operacion],tblEjecucion[costo_plan_total],0)-tblOrdenes[[#This Row],[costo_servicio]]))</f>
        <v/>
      </c>
      <c r="AK588" s="11">
        <f>IF(tblOrdenes[[#This Row],[orden]]="","",tblOrdenes[[#This Row],[costo_servicio]]+tblOrdenes[[#This Row],[costo_materiales]])</f>
        <v/>
      </c>
      <c r="AL588" s="6" t="n"/>
      <c r="AM588" s="6" t="n"/>
      <c r="AN588" s="6" t="n"/>
      <c r="AO588" s="3">
        <f>IF(tblOrdenes[[#This Row],[link_checklist]]="","",HYPERLINK(p_ruta_base_checklists&amp;tblOrdenes[[#This Row],[link_checklist]],"abrir"))</f>
        <v/>
      </c>
      <c r="AP588" s="6" t="n"/>
      <c r="AQ588" s="3">
        <f>IF(tblOrdenes[[#This Row],[orden]]="","",tblOrdenes[[#This Row],[orden]]&amp;IF(tblOrdenes[[#This Row],[operacion]]="","0010",tblOrdenes[[#This Row],[operacion]]))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2" t="n"/>
      <c r="K589" s="3" t="n"/>
      <c r="L589" s="11" t="n"/>
      <c r="M5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9" s="3">
        <f>IF(tblOrdenes[[#This Row],[fecha_inicio]]="","",YEAR(tblOrdenes[[#This Row],[fecha_inicio]]))</f>
        <v/>
      </c>
      <c r="Q589" s="3">
        <f>IF(tblOrdenes[[#This Row],[fecha_inicio]]="","",MONTH(tblOrdenes[[#This Row],[fecha_inicio]]))</f>
        <v/>
      </c>
      <c r="R589" s="3">
        <f>IF(tblOrdenes[[#This Row],[fecha_inicio]]="","",INDEX(lista_dias,WEEKDAY(tblOrdenes[[#This Row],[fecha_inicio]],2)))</f>
        <v/>
      </c>
      <c r="S5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9" s="3">
        <f>IF(tblOrdenes[[#This Row],[tipo_ot]]="","",_xlfn.XLOOKUP(tblOrdenes[[#This Row],[tipo_ot]],tblTiposOT[codigo],tblTiposOT[clasificacion],"sin_clasificar"))</f>
        <v/>
      </c>
      <c r="U589" s="3">
        <f>IF(tblOrdenes[[#This Row],[centro_costo]]="","",_xlfn.XLOOKUP(tblOrdenes[[#This Row],[centro_costo]],tblCECO[codigo],tblCECO[linea],"(sin catálogo)"))</f>
        <v/>
      </c>
      <c r="V589" s="3">
        <f>IF(tblOrdenes[[#This Row],[centro_costo]]="","",_xlfn.XLOOKUP(tblOrdenes[[#This Row],[centro_costo]],tblCECO[codigo],tblCECO[area],"(sin catálogo)"))</f>
        <v/>
      </c>
      <c r="W5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9" s="3">
        <f>IF(tblOrdenes[[#This Row],[centro_costo]]="","",_xlfn.XLOOKUP(tblOrdenes[[#This Row],[centro_costo]],tblCECO[codigo],tblCECO[coordinador],"(sin catálogo)"))</f>
        <v/>
      </c>
      <c r="Y589" s="3">
        <f>IF(tblOrdenes[[#This Row],[puesto_trabajo]]="","",_xlfn.XLOOKUP(tblOrdenes[[#This Row],[puesto_trabajo]],tblPuestos[codigo],tblPuestos[especialidad],"(sin catálogo)"))</f>
        <v/>
      </c>
      <c r="Z589" s="3">
        <f>IF(tblOrdenes[[#This Row],[cod_actividad]]="","",_xlfn.XLOOKUP(tblOrdenes[[#This Row],[cod_actividad]],tblActividades[codigo],tblActividades[descripcion],"(sin catálogo)"))</f>
        <v/>
      </c>
      <c r="AA589" s="13">
        <f>IF(tblOrdenes[[#This Row],[fecha_inicio]]="","",TODAY()-tblOrdenes[[#This Row],[fecha_inicio]])</f>
        <v/>
      </c>
      <c r="AB5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9" s="3">
        <f>IF(tblOrdenes[[#This Row],[backlog_habiles]]="","",IF(tblOrdenes[[#This Row],[backlog_habiles]]&lt;0,"FUTURO",IF(tblOrdenes[[#This Row],[backlog_habiles]]&gt;p_dias_backlog_max,"BACKLOG","MES CORRIENTE")))</f>
        <v/>
      </c>
      <c r="AD589" s="3">
        <f>IF(tblOrdenes[[#This Row],[backlog_habiles]]="",FALSE,AND(tblOrdenes[[#This Row],[backlog_habiles]]&gt;p_dias_backlog_min,tblOrdenes[[#This Row],[backlog_habiles]]&lt;=p_dias_backlog_max))</f>
        <v/>
      </c>
      <c r="AE589" s="6" t="n"/>
      <c r="AF5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9" s="11">
        <f>IF(tblOrdenes[[#This Row],[orden]]="","",_xlfn.XLOOKUP(tblOrdenes[[#This Row],[id_operacion]],tblEjecucion[id_operacion],tblEjecucion[precio],0))</f>
        <v/>
      </c>
      <c r="AJ589" s="11">
        <f>IF(tblOrdenes[[#This Row],[orden]]="","",MAX(0,_xlfn.XLOOKUP(tblOrdenes[[#This Row],[id_operacion]],tblEjecucion[id_operacion],tblEjecucion[costo_plan_total],0)-tblOrdenes[[#This Row],[costo_servicio]]))</f>
        <v/>
      </c>
      <c r="AK589" s="11">
        <f>IF(tblOrdenes[[#This Row],[orden]]="","",tblOrdenes[[#This Row],[costo_servicio]]+tblOrdenes[[#This Row],[costo_materiales]])</f>
        <v/>
      </c>
      <c r="AL589" s="6" t="n"/>
      <c r="AM589" s="6" t="n"/>
      <c r="AN589" s="6" t="n"/>
      <c r="AO589" s="3">
        <f>IF(tblOrdenes[[#This Row],[link_checklist]]="","",HYPERLINK(p_ruta_base_checklists&amp;tblOrdenes[[#This Row],[link_checklist]],"abrir"))</f>
        <v/>
      </c>
      <c r="AP589" s="6" t="n"/>
      <c r="AQ589" s="3">
        <f>IF(tblOrdenes[[#This Row],[orden]]="","",tblOrdenes[[#This Row],[orden]]&amp;IF(tblOrdenes[[#This Row],[operacion]]="","0010",tblOrdenes[[#This Row],[operacion]]))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2" t="n"/>
      <c r="K590" s="3" t="n"/>
      <c r="L590" s="11" t="n"/>
      <c r="M5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0" s="3">
        <f>IF(tblOrdenes[[#This Row],[fecha_inicio]]="","",YEAR(tblOrdenes[[#This Row],[fecha_inicio]]))</f>
        <v/>
      </c>
      <c r="Q590" s="3">
        <f>IF(tblOrdenes[[#This Row],[fecha_inicio]]="","",MONTH(tblOrdenes[[#This Row],[fecha_inicio]]))</f>
        <v/>
      </c>
      <c r="R590" s="3">
        <f>IF(tblOrdenes[[#This Row],[fecha_inicio]]="","",INDEX(lista_dias,WEEKDAY(tblOrdenes[[#This Row],[fecha_inicio]],2)))</f>
        <v/>
      </c>
      <c r="S5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0" s="3">
        <f>IF(tblOrdenes[[#This Row],[tipo_ot]]="","",_xlfn.XLOOKUP(tblOrdenes[[#This Row],[tipo_ot]],tblTiposOT[codigo],tblTiposOT[clasificacion],"sin_clasificar"))</f>
        <v/>
      </c>
      <c r="U590" s="3">
        <f>IF(tblOrdenes[[#This Row],[centro_costo]]="","",_xlfn.XLOOKUP(tblOrdenes[[#This Row],[centro_costo]],tblCECO[codigo],tblCECO[linea],"(sin catálogo)"))</f>
        <v/>
      </c>
      <c r="V590" s="3">
        <f>IF(tblOrdenes[[#This Row],[centro_costo]]="","",_xlfn.XLOOKUP(tblOrdenes[[#This Row],[centro_costo]],tblCECO[codigo],tblCECO[area],"(sin catálogo)"))</f>
        <v/>
      </c>
      <c r="W5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0" s="3">
        <f>IF(tblOrdenes[[#This Row],[centro_costo]]="","",_xlfn.XLOOKUP(tblOrdenes[[#This Row],[centro_costo]],tblCECO[codigo],tblCECO[coordinador],"(sin catálogo)"))</f>
        <v/>
      </c>
      <c r="Y590" s="3">
        <f>IF(tblOrdenes[[#This Row],[puesto_trabajo]]="","",_xlfn.XLOOKUP(tblOrdenes[[#This Row],[puesto_trabajo]],tblPuestos[codigo],tblPuestos[especialidad],"(sin catálogo)"))</f>
        <v/>
      </c>
      <c r="Z590" s="3">
        <f>IF(tblOrdenes[[#This Row],[cod_actividad]]="","",_xlfn.XLOOKUP(tblOrdenes[[#This Row],[cod_actividad]],tblActividades[codigo],tblActividades[descripcion],"(sin catálogo)"))</f>
        <v/>
      </c>
      <c r="AA590" s="13">
        <f>IF(tblOrdenes[[#This Row],[fecha_inicio]]="","",TODAY()-tblOrdenes[[#This Row],[fecha_inicio]])</f>
        <v/>
      </c>
      <c r="AB5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0" s="3">
        <f>IF(tblOrdenes[[#This Row],[backlog_habiles]]="","",IF(tblOrdenes[[#This Row],[backlog_habiles]]&lt;0,"FUTURO",IF(tblOrdenes[[#This Row],[backlog_habiles]]&gt;p_dias_backlog_max,"BACKLOG","MES CORRIENTE")))</f>
        <v/>
      </c>
      <c r="AD590" s="3">
        <f>IF(tblOrdenes[[#This Row],[backlog_habiles]]="",FALSE,AND(tblOrdenes[[#This Row],[backlog_habiles]]&gt;p_dias_backlog_min,tblOrdenes[[#This Row],[backlog_habiles]]&lt;=p_dias_backlog_max))</f>
        <v/>
      </c>
      <c r="AE590" s="6" t="n"/>
      <c r="AF5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0" s="11">
        <f>IF(tblOrdenes[[#This Row],[orden]]="","",_xlfn.XLOOKUP(tblOrdenes[[#This Row],[id_operacion]],tblEjecucion[id_operacion],tblEjecucion[precio],0))</f>
        <v/>
      </c>
      <c r="AJ590" s="11">
        <f>IF(tblOrdenes[[#This Row],[orden]]="","",MAX(0,_xlfn.XLOOKUP(tblOrdenes[[#This Row],[id_operacion]],tblEjecucion[id_operacion],tblEjecucion[costo_plan_total],0)-tblOrdenes[[#This Row],[costo_servicio]]))</f>
        <v/>
      </c>
      <c r="AK590" s="11">
        <f>IF(tblOrdenes[[#This Row],[orden]]="","",tblOrdenes[[#This Row],[costo_servicio]]+tblOrdenes[[#This Row],[costo_materiales]])</f>
        <v/>
      </c>
      <c r="AL590" s="6" t="n"/>
      <c r="AM590" s="6" t="n"/>
      <c r="AN590" s="6" t="n"/>
      <c r="AO590" s="3">
        <f>IF(tblOrdenes[[#This Row],[link_checklist]]="","",HYPERLINK(p_ruta_base_checklists&amp;tblOrdenes[[#This Row],[link_checklist]],"abrir"))</f>
        <v/>
      </c>
      <c r="AP590" s="6" t="n"/>
      <c r="AQ590" s="3">
        <f>IF(tblOrdenes[[#This Row],[orden]]="","",tblOrdenes[[#This Row],[orden]]&amp;IF(tblOrdenes[[#This Row],[operacion]]="","0010",tblOrdenes[[#This Row],[operacion]]))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2" t="n"/>
      <c r="K591" s="3" t="n"/>
      <c r="L591" s="11" t="n"/>
      <c r="M5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1" s="3">
        <f>IF(tblOrdenes[[#This Row],[fecha_inicio]]="","",YEAR(tblOrdenes[[#This Row],[fecha_inicio]]))</f>
        <v/>
      </c>
      <c r="Q591" s="3">
        <f>IF(tblOrdenes[[#This Row],[fecha_inicio]]="","",MONTH(tblOrdenes[[#This Row],[fecha_inicio]]))</f>
        <v/>
      </c>
      <c r="R591" s="3">
        <f>IF(tblOrdenes[[#This Row],[fecha_inicio]]="","",INDEX(lista_dias,WEEKDAY(tblOrdenes[[#This Row],[fecha_inicio]],2)))</f>
        <v/>
      </c>
      <c r="S5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1" s="3">
        <f>IF(tblOrdenes[[#This Row],[tipo_ot]]="","",_xlfn.XLOOKUP(tblOrdenes[[#This Row],[tipo_ot]],tblTiposOT[codigo],tblTiposOT[clasificacion],"sin_clasificar"))</f>
        <v/>
      </c>
      <c r="U591" s="3">
        <f>IF(tblOrdenes[[#This Row],[centro_costo]]="","",_xlfn.XLOOKUP(tblOrdenes[[#This Row],[centro_costo]],tblCECO[codigo],tblCECO[linea],"(sin catálogo)"))</f>
        <v/>
      </c>
      <c r="V591" s="3">
        <f>IF(tblOrdenes[[#This Row],[centro_costo]]="","",_xlfn.XLOOKUP(tblOrdenes[[#This Row],[centro_costo]],tblCECO[codigo],tblCECO[area],"(sin catálogo)"))</f>
        <v/>
      </c>
      <c r="W5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1" s="3">
        <f>IF(tblOrdenes[[#This Row],[centro_costo]]="","",_xlfn.XLOOKUP(tblOrdenes[[#This Row],[centro_costo]],tblCECO[codigo],tblCECO[coordinador],"(sin catálogo)"))</f>
        <v/>
      </c>
      <c r="Y591" s="3">
        <f>IF(tblOrdenes[[#This Row],[puesto_trabajo]]="","",_xlfn.XLOOKUP(tblOrdenes[[#This Row],[puesto_trabajo]],tblPuestos[codigo],tblPuestos[especialidad],"(sin catálogo)"))</f>
        <v/>
      </c>
      <c r="Z591" s="3">
        <f>IF(tblOrdenes[[#This Row],[cod_actividad]]="","",_xlfn.XLOOKUP(tblOrdenes[[#This Row],[cod_actividad]],tblActividades[codigo],tblActividades[descripcion],"(sin catálogo)"))</f>
        <v/>
      </c>
      <c r="AA591" s="13">
        <f>IF(tblOrdenes[[#This Row],[fecha_inicio]]="","",TODAY()-tblOrdenes[[#This Row],[fecha_inicio]])</f>
        <v/>
      </c>
      <c r="AB5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1" s="3">
        <f>IF(tblOrdenes[[#This Row],[backlog_habiles]]="","",IF(tblOrdenes[[#This Row],[backlog_habiles]]&lt;0,"FUTURO",IF(tblOrdenes[[#This Row],[backlog_habiles]]&gt;p_dias_backlog_max,"BACKLOG","MES CORRIENTE")))</f>
        <v/>
      </c>
      <c r="AD591" s="3">
        <f>IF(tblOrdenes[[#This Row],[backlog_habiles]]="",FALSE,AND(tblOrdenes[[#This Row],[backlog_habiles]]&gt;p_dias_backlog_min,tblOrdenes[[#This Row],[backlog_habiles]]&lt;=p_dias_backlog_max))</f>
        <v/>
      </c>
      <c r="AE591" s="6" t="n"/>
      <c r="AF5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1" s="11">
        <f>IF(tblOrdenes[[#This Row],[orden]]="","",_xlfn.XLOOKUP(tblOrdenes[[#This Row],[id_operacion]],tblEjecucion[id_operacion],tblEjecucion[precio],0))</f>
        <v/>
      </c>
      <c r="AJ591" s="11">
        <f>IF(tblOrdenes[[#This Row],[orden]]="","",MAX(0,_xlfn.XLOOKUP(tblOrdenes[[#This Row],[id_operacion]],tblEjecucion[id_operacion],tblEjecucion[costo_plan_total],0)-tblOrdenes[[#This Row],[costo_servicio]]))</f>
        <v/>
      </c>
      <c r="AK591" s="11">
        <f>IF(tblOrdenes[[#This Row],[orden]]="","",tblOrdenes[[#This Row],[costo_servicio]]+tblOrdenes[[#This Row],[costo_materiales]])</f>
        <v/>
      </c>
      <c r="AL591" s="6" t="n"/>
      <c r="AM591" s="6" t="n"/>
      <c r="AN591" s="6" t="n"/>
      <c r="AO591" s="3">
        <f>IF(tblOrdenes[[#This Row],[link_checklist]]="","",HYPERLINK(p_ruta_base_checklists&amp;tblOrdenes[[#This Row],[link_checklist]],"abrir"))</f>
        <v/>
      </c>
      <c r="AP591" s="6" t="n"/>
      <c r="AQ591" s="3">
        <f>IF(tblOrdenes[[#This Row],[orden]]="","",tblOrdenes[[#This Row],[orden]]&amp;IF(tblOrdenes[[#This Row],[operacion]]="","0010",tblOrdenes[[#This Row],[operacion]]))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2" t="n"/>
      <c r="K592" s="3" t="n"/>
      <c r="L592" s="11" t="n"/>
      <c r="M5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2" s="3">
        <f>IF(tblOrdenes[[#This Row],[fecha_inicio]]="","",YEAR(tblOrdenes[[#This Row],[fecha_inicio]]))</f>
        <v/>
      </c>
      <c r="Q592" s="3">
        <f>IF(tblOrdenes[[#This Row],[fecha_inicio]]="","",MONTH(tblOrdenes[[#This Row],[fecha_inicio]]))</f>
        <v/>
      </c>
      <c r="R592" s="3">
        <f>IF(tblOrdenes[[#This Row],[fecha_inicio]]="","",INDEX(lista_dias,WEEKDAY(tblOrdenes[[#This Row],[fecha_inicio]],2)))</f>
        <v/>
      </c>
      <c r="S5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2" s="3">
        <f>IF(tblOrdenes[[#This Row],[tipo_ot]]="","",_xlfn.XLOOKUP(tblOrdenes[[#This Row],[tipo_ot]],tblTiposOT[codigo],tblTiposOT[clasificacion],"sin_clasificar"))</f>
        <v/>
      </c>
      <c r="U592" s="3">
        <f>IF(tblOrdenes[[#This Row],[centro_costo]]="","",_xlfn.XLOOKUP(tblOrdenes[[#This Row],[centro_costo]],tblCECO[codigo],tblCECO[linea],"(sin catálogo)"))</f>
        <v/>
      </c>
      <c r="V592" s="3">
        <f>IF(tblOrdenes[[#This Row],[centro_costo]]="","",_xlfn.XLOOKUP(tblOrdenes[[#This Row],[centro_costo]],tblCECO[codigo],tblCECO[area],"(sin catálogo)"))</f>
        <v/>
      </c>
      <c r="W5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2" s="3">
        <f>IF(tblOrdenes[[#This Row],[centro_costo]]="","",_xlfn.XLOOKUP(tblOrdenes[[#This Row],[centro_costo]],tblCECO[codigo],tblCECO[coordinador],"(sin catálogo)"))</f>
        <v/>
      </c>
      <c r="Y592" s="3">
        <f>IF(tblOrdenes[[#This Row],[puesto_trabajo]]="","",_xlfn.XLOOKUP(tblOrdenes[[#This Row],[puesto_trabajo]],tblPuestos[codigo],tblPuestos[especialidad],"(sin catálogo)"))</f>
        <v/>
      </c>
      <c r="Z592" s="3">
        <f>IF(tblOrdenes[[#This Row],[cod_actividad]]="","",_xlfn.XLOOKUP(tblOrdenes[[#This Row],[cod_actividad]],tblActividades[codigo],tblActividades[descripcion],"(sin catálogo)"))</f>
        <v/>
      </c>
      <c r="AA592" s="13">
        <f>IF(tblOrdenes[[#This Row],[fecha_inicio]]="","",TODAY()-tblOrdenes[[#This Row],[fecha_inicio]])</f>
        <v/>
      </c>
      <c r="AB5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2" s="3">
        <f>IF(tblOrdenes[[#This Row],[backlog_habiles]]="","",IF(tblOrdenes[[#This Row],[backlog_habiles]]&lt;0,"FUTURO",IF(tblOrdenes[[#This Row],[backlog_habiles]]&gt;p_dias_backlog_max,"BACKLOG","MES CORRIENTE")))</f>
        <v/>
      </c>
      <c r="AD592" s="3">
        <f>IF(tblOrdenes[[#This Row],[backlog_habiles]]="",FALSE,AND(tblOrdenes[[#This Row],[backlog_habiles]]&gt;p_dias_backlog_min,tblOrdenes[[#This Row],[backlog_habiles]]&lt;=p_dias_backlog_max))</f>
        <v/>
      </c>
      <c r="AE592" s="6" t="n"/>
      <c r="AF5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2" s="11">
        <f>IF(tblOrdenes[[#This Row],[orden]]="","",_xlfn.XLOOKUP(tblOrdenes[[#This Row],[id_operacion]],tblEjecucion[id_operacion],tblEjecucion[precio],0))</f>
        <v/>
      </c>
      <c r="AJ592" s="11">
        <f>IF(tblOrdenes[[#This Row],[orden]]="","",MAX(0,_xlfn.XLOOKUP(tblOrdenes[[#This Row],[id_operacion]],tblEjecucion[id_operacion],tblEjecucion[costo_plan_total],0)-tblOrdenes[[#This Row],[costo_servicio]]))</f>
        <v/>
      </c>
      <c r="AK592" s="11">
        <f>IF(tblOrdenes[[#This Row],[orden]]="","",tblOrdenes[[#This Row],[costo_servicio]]+tblOrdenes[[#This Row],[costo_materiales]])</f>
        <v/>
      </c>
      <c r="AL592" s="6" t="n"/>
      <c r="AM592" s="6" t="n"/>
      <c r="AN592" s="6" t="n"/>
      <c r="AO592" s="3">
        <f>IF(tblOrdenes[[#This Row],[link_checklist]]="","",HYPERLINK(p_ruta_base_checklists&amp;tblOrdenes[[#This Row],[link_checklist]],"abrir"))</f>
        <v/>
      </c>
      <c r="AP592" s="6" t="n"/>
      <c r="AQ592" s="3">
        <f>IF(tblOrdenes[[#This Row],[orden]]="","",tblOrdenes[[#This Row],[orden]]&amp;IF(tblOrdenes[[#This Row],[operacion]]="","0010",tblOrdenes[[#This Row],[operacion]]))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2" t="n"/>
      <c r="K593" s="3" t="n"/>
      <c r="L593" s="11" t="n"/>
      <c r="M5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3" s="3">
        <f>IF(tblOrdenes[[#This Row],[fecha_inicio]]="","",YEAR(tblOrdenes[[#This Row],[fecha_inicio]]))</f>
        <v/>
      </c>
      <c r="Q593" s="3">
        <f>IF(tblOrdenes[[#This Row],[fecha_inicio]]="","",MONTH(tblOrdenes[[#This Row],[fecha_inicio]]))</f>
        <v/>
      </c>
      <c r="R593" s="3">
        <f>IF(tblOrdenes[[#This Row],[fecha_inicio]]="","",INDEX(lista_dias,WEEKDAY(tblOrdenes[[#This Row],[fecha_inicio]],2)))</f>
        <v/>
      </c>
      <c r="S5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3" s="3">
        <f>IF(tblOrdenes[[#This Row],[tipo_ot]]="","",_xlfn.XLOOKUP(tblOrdenes[[#This Row],[tipo_ot]],tblTiposOT[codigo],tblTiposOT[clasificacion],"sin_clasificar"))</f>
        <v/>
      </c>
      <c r="U593" s="3">
        <f>IF(tblOrdenes[[#This Row],[centro_costo]]="","",_xlfn.XLOOKUP(tblOrdenes[[#This Row],[centro_costo]],tblCECO[codigo],tblCECO[linea],"(sin catálogo)"))</f>
        <v/>
      </c>
      <c r="V593" s="3">
        <f>IF(tblOrdenes[[#This Row],[centro_costo]]="","",_xlfn.XLOOKUP(tblOrdenes[[#This Row],[centro_costo]],tblCECO[codigo],tblCECO[area],"(sin catálogo)"))</f>
        <v/>
      </c>
      <c r="W5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3" s="3">
        <f>IF(tblOrdenes[[#This Row],[centro_costo]]="","",_xlfn.XLOOKUP(tblOrdenes[[#This Row],[centro_costo]],tblCECO[codigo],tblCECO[coordinador],"(sin catálogo)"))</f>
        <v/>
      </c>
      <c r="Y593" s="3">
        <f>IF(tblOrdenes[[#This Row],[puesto_trabajo]]="","",_xlfn.XLOOKUP(tblOrdenes[[#This Row],[puesto_trabajo]],tblPuestos[codigo],tblPuestos[especialidad],"(sin catálogo)"))</f>
        <v/>
      </c>
      <c r="Z593" s="3">
        <f>IF(tblOrdenes[[#This Row],[cod_actividad]]="","",_xlfn.XLOOKUP(tblOrdenes[[#This Row],[cod_actividad]],tblActividades[codigo],tblActividades[descripcion],"(sin catálogo)"))</f>
        <v/>
      </c>
      <c r="AA593" s="13">
        <f>IF(tblOrdenes[[#This Row],[fecha_inicio]]="","",TODAY()-tblOrdenes[[#This Row],[fecha_inicio]])</f>
        <v/>
      </c>
      <c r="AB5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3" s="3">
        <f>IF(tblOrdenes[[#This Row],[backlog_habiles]]="","",IF(tblOrdenes[[#This Row],[backlog_habiles]]&lt;0,"FUTURO",IF(tblOrdenes[[#This Row],[backlog_habiles]]&gt;p_dias_backlog_max,"BACKLOG","MES CORRIENTE")))</f>
        <v/>
      </c>
      <c r="AD593" s="3">
        <f>IF(tblOrdenes[[#This Row],[backlog_habiles]]="",FALSE,AND(tblOrdenes[[#This Row],[backlog_habiles]]&gt;p_dias_backlog_min,tblOrdenes[[#This Row],[backlog_habiles]]&lt;=p_dias_backlog_max))</f>
        <v/>
      </c>
      <c r="AE593" s="6" t="n"/>
      <c r="AF5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3" s="11">
        <f>IF(tblOrdenes[[#This Row],[orden]]="","",_xlfn.XLOOKUP(tblOrdenes[[#This Row],[id_operacion]],tblEjecucion[id_operacion],tblEjecucion[precio],0))</f>
        <v/>
      </c>
      <c r="AJ593" s="11">
        <f>IF(tblOrdenes[[#This Row],[orden]]="","",MAX(0,_xlfn.XLOOKUP(tblOrdenes[[#This Row],[id_operacion]],tblEjecucion[id_operacion],tblEjecucion[costo_plan_total],0)-tblOrdenes[[#This Row],[costo_servicio]]))</f>
        <v/>
      </c>
      <c r="AK593" s="11">
        <f>IF(tblOrdenes[[#This Row],[orden]]="","",tblOrdenes[[#This Row],[costo_servicio]]+tblOrdenes[[#This Row],[costo_materiales]])</f>
        <v/>
      </c>
      <c r="AL593" s="6" t="n"/>
      <c r="AM593" s="6" t="n"/>
      <c r="AN593" s="6" t="n"/>
      <c r="AO593" s="3">
        <f>IF(tblOrdenes[[#This Row],[link_checklist]]="","",HYPERLINK(p_ruta_base_checklists&amp;tblOrdenes[[#This Row],[link_checklist]],"abrir"))</f>
        <v/>
      </c>
      <c r="AP593" s="6" t="n"/>
      <c r="AQ593" s="3">
        <f>IF(tblOrdenes[[#This Row],[orden]]="","",tblOrdenes[[#This Row],[orden]]&amp;IF(tblOrdenes[[#This Row],[operacion]]="","0010",tblOrdenes[[#This Row],[operacion]]))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2" t="n"/>
      <c r="K594" s="3" t="n"/>
      <c r="L594" s="11" t="n"/>
      <c r="M5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4" s="3">
        <f>IF(tblOrdenes[[#This Row],[fecha_inicio]]="","",YEAR(tblOrdenes[[#This Row],[fecha_inicio]]))</f>
        <v/>
      </c>
      <c r="Q594" s="3">
        <f>IF(tblOrdenes[[#This Row],[fecha_inicio]]="","",MONTH(tblOrdenes[[#This Row],[fecha_inicio]]))</f>
        <v/>
      </c>
      <c r="R594" s="3">
        <f>IF(tblOrdenes[[#This Row],[fecha_inicio]]="","",INDEX(lista_dias,WEEKDAY(tblOrdenes[[#This Row],[fecha_inicio]],2)))</f>
        <v/>
      </c>
      <c r="S5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4" s="3">
        <f>IF(tblOrdenes[[#This Row],[tipo_ot]]="","",_xlfn.XLOOKUP(tblOrdenes[[#This Row],[tipo_ot]],tblTiposOT[codigo],tblTiposOT[clasificacion],"sin_clasificar"))</f>
        <v/>
      </c>
      <c r="U594" s="3">
        <f>IF(tblOrdenes[[#This Row],[centro_costo]]="","",_xlfn.XLOOKUP(tblOrdenes[[#This Row],[centro_costo]],tblCECO[codigo],tblCECO[linea],"(sin catálogo)"))</f>
        <v/>
      </c>
      <c r="V594" s="3">
        <f>IF(tblOrdenes[[#This Row],[centro_costo]]="","",_xlfn.XLOOKUP(tblOrdenes[[#This Row],[centro_costo]],tblCECO[codigo],tblCECO[area],"(sin catálogo)"))</f>
        <v/>
      </c>
      <c r="W5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4" s="3">
        <f>IF(tblOrdenes[[#This Row],[centro_costo]]="","",_xlfn.XLOOKUP(tblOrdenes[[#This Row],[centro_costo]],tblCECO[codigo],tblCECO[coordinador],"(sin catálogo)"))</f>
        <v/>
      </c>
      <c r="Y594" s="3">
        <f>IF(tblOrdenes[[#This Row],[puesto_trabajo]]="","",_xlfn.XLOOKUP(tblOrdenes[[#This Row],[puesto_trabajo]],tblPuestos[codigo],tblPuestos[especialidad],"(sin catálogo)"))</f>
        <v/>
      </c>
      <c r="Z594" s="3">
        <f>IF(tblOrdenes[[#This Row],[cod_actividad]]="","",_xlfn.XLOOKUP(tblOrdenes[[#This Row],[cod_actividad]],tblActividades[codigo],tblActividades[descripcion],"(sin catálogo)"))</f>
        <v/>
      </c>
      <c r="AA594" s="13">
        <f>IF(tblOrdenes[[#This Row],[fecha_inicio]]="","",TODAY()-tblOrdenes[[#This Row],[fecha_inicio]])</f>
        <v/>
      </c>
      <c r="AB5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4" s="3">
        <f>IF(tblOrdenes[[#This Row],[backlog_habiles]]="","",IF(tblOrdenes[[#This Row],[backlog_habiles]]&lt;0,"FUTURO",IF(tblOrdenes[[#This Row],[backlog_habiles]]&gt;p_dias_backlog_max,"BACKLOG","MES CORRIENTE")))</f>
        <v/>
      </c>
      <c r="AD594" s="3">
        <f>IF(tblOrdenes[[#This Row],[backlog_habiles]]="",FALSE,AND(tblOrdenes[[#This Row],[backlog_habiles]]&gt;p_dias_backlog_min,tblOrdenes[[#This Row],[backlog_habiles]]&lt;=p_dias_backlog_max))</f>
        <v/>
      </c>
      <c r="AE594" s="6" t="n"/>
      <c r="AF5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4" s="11">
        <f>IF(tblOrdenes[[#This Row],[orden]]="","",_xlfn.XLOOKUP(tblOrdenes[[#This Row],[id_operacion]],tblEjecucion[id_operacion],tblEjecucion[precio],0))</f>
        <v/>
      </c>
      <c r="AJ594" s="11">
        <f>IF(tblOrdenes[[#This Row],[orden]]="","",MAX(0,_xlfn.XLOOKUP(tblOrdenes[[#This Row],[id_operacion]],tblEjecucion[id_operacion],tblEjecucion[costo_plan_total],0)-tblOrdenes[[#This Row],[costo_servicio]]))</f>
        <v/>
      </c>
      <c r="AK594" s="11">
        <f>IF(tblOrdenes[[#This Row],[orden]]="","",tblOrdenes[[#This Row],[costo_servicio]]+tblOrdenes[[#This Row],[costo_materiales]])</f>
        <v/>
      </c>
      <c r="AL594" s="6" t="n"/>
      <c r="AM594" s="6" t="n"/>
      <c r="AN594" s="6" t="n"/>
      <c r="AO594" s="3">
        <f>IF(tblOrdenes[[#This Row],[link_checklist]]="","",HYPERLINK(p_ruta_base_checklists&amp;tblOrdenes[[#This Row],[link_checklist]],"abrir"))</f>
        <v/>
      </c>
      <c r="AP594" s="6" t="n"/>
      <c r="AQ594" s="3">
        <f>IF(tblOrdenes[[#This Row],[orden]]="","",tblOrdenes[[#This Row],[orden]]&amp;IF(tblOrdenes[[#This Row],[operacion]]="","0010",tblOrdenes[[#This Row],[operacion]]))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2" t="n"/>
      <c r="K595" s="3" t="n"/>
      <c r="L595" s="11" t="n"/>
      <c r="M5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5" s="3">
        <f>IF(tblOrdenes[[#This Row],[fecha_inicio]]="","",YEAR(tblOrdenes[[#This Row],[fecha_inicio]]))</f>
        <v/>
      </c>
      <c r="Q595" s="3">
        <f>IF(tblOrdenes[[#This Row],[fecha_inicio]]="","",MONTH(tblOrdenes[[#This Row],[fecha_inicio]]))</f>
        <v/>
      </c>
      <c r="R595" s="3">
        <f>IF(tblOrdenes[[#This Row],[fecha_inicio]]="","",INDEX(lista_dias,WEEKDAY(tblOrdenes[[#This Row],[fecha_inicio]],2)))</f>
        <v/>
      </c>
      <c r="S5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5" s="3">
        <f>IF(tblOrdenes[[#This Row],[tipo_ot]]="","",_xlfn.XLOOKUP(tblOrdenes[[#This Row],[tipo_ot]],tblTiposOT[codigo],tblTiposOT[clasificacion],"sin_clasificar"))</f>
        <v/>
      </c>
      <c r="U595" s="3">
        <f>IF(tblOrdenes[[#This Row],[centro_costo]]="","",_xlfn.XLOOKUP(tblOrdenes[[#This Row],[centro_costo]],tblCECO[codigo],tblCECO[linea],"(sin catálogo)"))</f>
        <v/>
      </c>
      <c r="V595" s="3">
        <f>IF(tblOrdenes[[#This Row],[centro_costo]]="","",_xlfn.XLOOKUP(tblOrdenes[[#This Row],[centro_costo]],tblCECO[codigo],tblCECO[area],"(sin catálogo)"))</f>
        <v/>
      </c>
      <c r="W5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5" s="3">
        <f>IF(tblOrdenes[[#This Row],[centro_costo]]="","",_xlfn.XLOOKUP(tblOrdenes[[#This Row],[centro_costo]],tblCECO[codigo],tblCECO[coordinador],"(sin catálogo)"))</f>
        <v/>
      </c>
      <c r="Y595" s="3">
        <f>IF(tblOrdenes[[#This Row],[puesto_trabajo]]="","",_xlfn.XLOOKUP(tblOrdenes[[#This Row],[puesto_trabajo]],tblPuestos[codigo],tblPuestos[especialidad],"(sin catálogo)"))</f>
        <v/>
      </c>
      <c r="Z595" s="3">
        <f>IF(tblOrdenes[[#This Row],[cod_actividad]]="","",_xlfn.XLOOKUP(tblOrdenes[[#This Row],[cod_actividad]],tblActividades[codigo],tblActividades[descripcion],"(sin catálogo)"))</f>
        <v/>
      </c>
      <c r="AA595" s="13">
        <f>IF(tblOrdenes[[#This Row],[fecha_inicio]]="","",TODAY()-tblOrdenes[[#This Row],[fecha_inicio]])</f>
        <v/>
      </c>
      <c r="AB5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5" s="3">
        <f>IF(tblOrdenes[[#This Row],[backlog_habiles]]="","",IF(tblOrdenes[[#This Row],[backlog_habiles]]&lt;0,"FUTURO",IF(tblOrdenes[[#This Row],[backlog_habiles]]&gt;p_dias_backlog_max,"BACKLOG","MES CORRIENTE")))</f>
        <v/>
      </c>
      <c r="AD595" s="3">
        <f>IF(tblOrdenes[[#This Row],[backlog_habiles]]="",FALSE,AND(tblOrdenes[[#This Row],[backlog_habiles]]&gt;p_dias_backlog_min,tblOrdenes[[#This Row],[backlog_habiles]]&lt;=p_dias_backlog_max))</f>
        <v/>
      </c>
      <c r="AE595" s="6" t="n"/>
      <c r="AF5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5" s="11">
        <f>IF(tblOrdenes[[#This Row],[orden]]="","",_xlfn.XLOOKUP(tblOrdenes[[#This Row],[id_operacion]],tblEjecucion[id_operacion],tblEjecucion[precio],0))</f>
        <v/>
      </c>
      <c r="AJ595" s="11">
        <f>IF(tblOrdenes[[#This Row],[orden]]="","",MAX(0,_xlfn.XLOOKUP(tblOrdenes[[#This Row],[id_operacion]],tblEjecucion[id_operacion],tblEjecucion[costo_plan_total],0)-tblOrdenes[[#This Row],[costo_servicio]]))</f>
        <v/>
      </c>
      <c r="AK595" s="11">
        <f>IF(tblOrdenes[[#This Row],[orden]]="","",tblOrdenes[[#This Row],[costo_servicio]]+tblOrdenes[[#This Row],[costo_materiales]])</f>
        <v/>
      </c>
      <c r="AL595" s="6" t="n"/>
      <c r="AM595" s="6" t="n"/>
      <c r="AN595" s="6" t="n"/>
      <c r="AO595" s="3">
        <f>IF(tblOrdenes[[#This Row],[link_checklist]]="","",HYPERLINK(p_ruta_base_checklists&amp;tblOrdenes[[#This Row],[link_checklist]],"abrir"))</f>
        <v/>
      </c>
      <c r="AP595" s="6" t="n"/>
      <c r="AQ595" s="3">
        <f>IF(tblOrdenes[[#This Row],[orden]]="","",tblOrdenes[[#This Row],[orden]]&amp;IF(tblOrdenes[[#This Row],[operacion]]="","0010",tblOrdenes[[#This Row],[operacion]]))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2" t="n"/>
      <c r="K596" s="3" t="n"/>
      <c r="L596" s="11" t="n"/>
      <c r="M5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6" s="3">
        <f>IF(tblOrdenes[[#This Row],[fecha_inicio]]="","",YEAR(tblOrdenes[[#This Row],[fecha_inicio]]))</f>
        <v/>
      </c>
      <c r="Q596" s="3">
        <f>IF(tblOrdenes[[#This Row],[fecha_inicio]]="","",MONTH(tblOrdenes[[#This Row],[fecha_inicio]]))</f>
        <v/>
      </c>
      <c r="R596" s="3">
        <f>IF(tblOrdenes[[#This Row],[fecha_inicio]]="","",INDEX(lista_dias,WEEKDAY(tblOrdenes[[#This Row],[fecha_inicio]],2)))</f>
        <v/>
      </c>
      <c r="S5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6" s="3">
        <f>IF(tblOrdenes[[#This Row],[tipo_ot]]="","",_xlfn.XLOOKUP(tblOrdenes[[#This Row],[tipo_ot]],tblTiposOT[codigo],tblTiposOT[clasificacion],"sin_clasificar"))</f>
        <v/>
      </c>
      <c r="U596" s="3">
        <f>IF(tblOrdenes[[#This Row],[centro_costo]]="","",_xlfn.XLOOKUP(tblOrdenes[[#This Row],[centro_costo]],tblCECO[codigo],tblCECO[linea],"(sin catálogo)"))</f>
        <v/>
      </c>
      <c r="V596" s="3">
        <f>IF(tblOrdenes[[#This Row],[centro_costo]]="","",_xlfn.XLOOKUP(tblOrdenes[[#This Row],[centro_costo]],tblCECO[codigo],tblCECO[area],"(sin catálogo)"))</f>
        <v/>
      </c>
      <c r="W5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6" s="3">
        <f>IF(tblOrdenes[[#This Row],[centro_costo]]="","",_xlfn.XLOOKUP(tblOrdenes[[#This Row],[centro_costo]],tblCECO[codigo],tblCECO[coordinador],"(sin catálogo)"))</f>
        <v/>
      </c>
      <c r="Y596" s="3">
        <f>IF(tblOrdenes[[#This Row],[puesto_trabajo]]="","",_xlfn.XLOOKUP(tblOrdenes[[#This Row],[puesto_trabajo]],tblPuestos[codigo],tblPuestos[especialidad],"(sin catálogo)"))</f>
        <v/>
      </c>
      <c r="Z596" s="3">
        <f>IF(tblOrdenes[[#This Row],[cod_actividad]]="","",_xlfn.XLOOKUP(tblOrdenes[[#This Row],[cod_actividad]],tblActividades[codigo],tblActividades[descripcion],"(sin catálogo)"))</f>
        <v/>
      </c>
      <c r="AA596" s="13">
        <f>IF(tblOrdenes[[#This Row],[fecha_inicio]]="","",TODAY()-tblOrdenes[[#This Row],[fecha_inicio]])</f>
        <v/>
      </c>
      <c r="AB5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6" s="3">
        <f>IF(tblOrdenes[[#This Row],[backlog_habiles]]="","",IF(tblOrdenes[[#This Row],[backlog_habiles]]&lt;0,"FUTURO",IF(tblOrdenes[[#This Row],[backlog_habiles]]&gt;p_dias_backlog_max,"BACKLOG","MES CORRIENTE")))</f>
        <v/>
      </c>
      <c r="AD596" s="3">
        <f>IF(tblOrdenes[[#This Row],[backlog_habiles]]="",FALSE,AND(tblOrdenes[[#This Row],[backlog_habiles]]&gt;p_dias_backlog_min,tblOrdenes[[#This Row],[backlog_habiles]]&lt;=p_dias_backlog_max))</f>
        <v/>
      </c>
      <c r="AE596" s="6" t="n"/>
      <c r="AF5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6" s="11">
        <f>IF(tblOrdenes[[#This Row],[orden]]="","",_xlfn.XLOOKUP(tblOrdenes[[#This Row],[id_operacion]],tblEjecucion[id_operacion],tblEjecucion[precio],0))</f>
        <v/>
      </c>
      <c r="AJ596" s="11">
        <f>IF(tblOrdenes[[#This Row],[orden]]="","",MAX(0,_xlfn.XLOOKUP(tblOrdenes[[#This Row],[id_operacion]],tblEjecucion[id_operacion],tblEjecucion[costo_plan_total],0)-tblOrdenes[[#This Row],[costo_servicio]]))</f>
        <v/>
      </c>
      <c r="AK596" s="11">
        <f>IF(tblOrdenes[[#This Row],[orden]]="","",tblOrdenes[[#This Row],[costo_servicio]]+tblOrdenes[[#This Row],[costo_materiales]])</f>
        <v/>
      </c>
      <c r="AL596" s="6" t="n"/>
      <c r="AM596" s="6" t="n"/>
      <c r="AN596" s="6" t="n"/>
      <c r="AO596" s="3">
        <f>IF(tblOrdenes[[#This Row],[link_checklist]]="","",HYPERLINK(p_ruta_base_checklists&amp;tblOrdenes[[#This Row],[link_checklist]],"abrir"))</f>
        <v/>
      </c>
      <c r="AP596" s="6" t="n"/>
      <c r="AQ596" s="3">
        <f>IF(tblOrdenes[[#This Row],[orden]]="","",tblOrdenes[[#This Row],[orden]]&amp;IF(tblOrdenes[[#This Row],[operacion]]="","0010",tblOrdenes[[#This Row],[operacion]]))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2" t="n"/>
      <c r="K597" s="3" t="n"/>
      <c r="L597" s="11" t="n"/>
      <c r="M5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7" s="3">
        <f>IF(tblOrdenes[[#This Row],[fecha_inicio]]="","",YEAR(tblOrdenes[[#This Row],[fecha_inicio]]))</f>
        <v/>
      </c>
      <c r="Q597" s="3">
        <f>IF(tblOrdenes[[#This Row],[fecha_inicio]]="","",MONTH(tblOrdenes[[#This Row],[fecha_inicio]]))</f>
        <v/>
      </c>
      <c r="R597" s="3">
        <f>IF(tblOrdenes[[#This Row],[fecha_inicio]]="","",INDEX(lista_dias,WEEKDAY(tblOrdenes[[#This Row],[fecha_inicio]],2)))</f>
        <v/>
      </c>
      <c r="S5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7" s="3">
        <f>IF(tblOrdenes[[#This Row],[tipo_ot]]="","",_xlfn.XLOOKUP(tblOrdenes[[#This Row],[tipo_ot]],tblTiposOT[codigo],tblTiposOT[clasificacion],"sin_clasificar"))</f>
        <v/>
      </c>
      <c r="U597" s="3">
        <f>IF(tblOrdenes[[#This Row],[centro_costo]]="","",_xlfn.XLOOKUP(tblOrdenes[[#This Row],[centro_costo]],tblCECO[codigo],tblCECO[linea],"(sin catálogo)"))</f>
        <v/>
      </c>
      <c r="V597" s="3">
        <f>IF(tblOrdenes[[#This Row],[centro_costo]]="","",_xlfn.XLOOKUP(tblOrdenes[[#This Row],[centro_costo]],tblCECO[codigo],tblCECO[area],"(sin catálogo)"))</f>
        <v/>
      </c>
      <c r="W5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7" s="3">
        <f>IF(tblOrdenes[[#This Row],[centro_costo]]="","",_xlfn.XLOOKUP(tblOrdenes[[#This Row],[centro_costo]],tblCECO[codigo],tblCECO[coordinador],"(sin catálogo)"))</f>
        <v/>
      </c>
      <c r="Y597" s="3">
        <f>IF(tblOrdenes[[#This Row],[puesto_trabajo]]="","",_xlfn.XLOOKUP(tblOrdenes[[#This Row],[puesto_trabajo]],tblPuestos[codigo],tblPuestos[especialidad],"(sin catálogo)"))</f>
        <v/>
      </c>
      <c r="Z597" s="3">
        <f>IF(tblOrdenes[[#This Row],[cod_actividad]]="","",_xlfn.XLOOKUP(tblOrdenes[[#This Row],[cod_actividad]],tblActividades[codigo],tblActividades[descripcion],"(sin catálogo)"))</f>
        <v/>
      </c>
      <c r="AA597" s="13">
        <f>IF(tblOrdenes[[#This Row],[fecha_inicio]]="","",TODAY()-tblOrdenes[[#This Row],[fecha_inicio]])</f>
        <v/>
      </c>
      <c r="AB5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7" s="3">
        <f>IF(tblOrdenes[[#This Row],[backlog_habiles]]="","",IF(tblOrdenes[[#This Row],[backlog_habiles]]&lt;0,"FUTURO",IF(tblOrdenes[[#This Row],[backlog_habiles]]&gt;p_dias_backlog_max,"BACKLOG","MES CORRIENTE")))</f>
        <v/>
      </c>
      <c r="AD597" s="3">
        <f>IF(tblOrdenes[[#This Row],[backlog_habiles]]="",FALSE,AND(tblOrdenes[[#This Row],[backlog_habiles]]&gt;p_dias_backlog_min,tblOrdenes[[#This Row],[backlog_habiles]]&lt;=p_dias_backlog_max))</f>
        <v/>
      </c>
      <c r="AE597" s="6" t="n"/>
      <c r="AF5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7" s="11">
        <f>IF(tblOrdenes[[#This Row],[orden]]="","",_xlfn.XLOOKUP(tblOrdenes[[#This Row],[id_operacion]],tblEjecucion[id_operacion],tblEjecucion[precio],0))</f>
        <v/>
      </c>
      <c r="AJ597" s="11">
        <f>IF(tblOrdenes[[#This Row],[orden]]="","",MAX(0,_xlfn.XLOOKUP(tblOrdenes[[#This Row],[id_operacion]],tblEjecucion[id_operacion],tblEjecucion[costo_plan_total],0)-tblOrdenes[[#This Row],[costo_servicio]]))</f>
        <v/>
      </c>
      <c r="AK597" s="11">
        <f>IF(tblOrdenes[[#This Row],[orden]]="","",tblOrdenes[[#This Row],[costo_servicio]]+tblOrdenes[[#This Row],[costo_materiales]])</f>
        <v/>
      </c>
      <c r="AL597" s="6" t="n"/>
      <c r="AM597" s="6" t="n"/>
      <c r="AN597" s="6" t="n"/>
      <c r="AO597" s="3">
        <f>IF(tblOrdenes[[#This Row],[link_checklist]]="","",HYPERLINK(p_ruta_base_checklists&amp;tblOrdenes[[#This Row],[link_checklist]],"abrir"))</f>
        <v/>
      </c>
      <c r="AP597" s="6" t="n"/>
      <c r="AQ597" s="3">
        <f>IF(tblOrdenes[[#This Row],[orden]]="","",tblOrdenes[[#This Row],[orden]]&amp;IF(tblOrdenes[[#This Row],[operacion]]="","0010",tblOrdenes[[#This Row],[operacion]]))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2" t="n"/>
      <c r="K598" s="3" t="n"/>
      <c r="L598" s="11" t="n"/>
      <c r="M5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8" s="3">
        <f>IF(tblOrdenes[[#This Row],[fecha_inicio]]="","",YEAR(tblOrdenes[[#This Row],[fecha_inicio]]))</f>
        <v/>
      </c>
      <c r="Q598" s="3">
        <f>IF(tblOrdenes[[#This Row],[fecha_inicio]]="","",MONTH(tblOrdenes[[#This Row],[fecha_inicio]]))</f>
        <v/>
      </c>
      <c r="R598" s="3">
        <f>IF(tblOrdenes[[#This Row],[fecha_inicio]]="","",INDEX(lista_dias,WEEKDAY(tblOrdenes[[#This Row],[fecha_inicio]],2)))</f>
        <v/>
      </c>
      <c r="S5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8" s="3">
        <f>IF(tblOrdenes[[#This Row],[tipo_ot]]="","",_xlfn.XLOOKUP(tblOrdenes[[#This Row],[tipo_ot]],tblTiposOT[codigo],tblTiposOT[clasificacion],"sin_clasificar"))</f>
        <v/>
      </c>
      <c r="U598" s="3">
        <f>IF(tblOrdenes[[#This Row],[centro_costo]]="","",_xlfn.XLOOKUP(tblOrdenes[[#This Row],[centro_costo]],tblCECO[codigo],tblCECO[linea],"(sin catálogo)"))</f>
        <v/>
      </c>
      <c r="V598" s="3">
        <f>IF(tblOrdenes[[#This Row],[centro_costo]]="","",_xlfn.XLOOKUP(tblOrdenes[[#This Row],[centro_costo]],tblCECO[codigo],tblCECO[area],"(sin catálogo)"))</f>
        <v/>
      </c>
      <c r="W5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8" s="3">
        <f>IF(tblOrdenes[[#This Row],[centro_costo]]="","",_xlfn.XLOOKUP(tblOrdenes[[#This Row],[centro_costo]],tblCECO[codigo],tblCECO[coordinador],"(sin catálogo)"))</f>
        <v/>
      </c>
      <c r="Y598" s="3">
        <f>IF(tblOrdenes[[#This Row],[puesto_trabajo]]="","",_xlfn.XLOOKUP(tblOrdenes[[#This Row],[puesto_trabajo]],tblPuestos[codigo],tblPuestos[especialidad],"(sin catálogo)"))</f>
        <v/>
      </c>
      <c r="Z598" s="3">
        <f>IF(tblOrdenes[[#This Row],[cod_actividad]]="","",_xlfn.XLOOKUP(tblOrdenes[[#This Row],[cod_actividad]],tblActividades[codigo],tblActividades[descripcion],"(sin catálogo)"))</f>
        <v/>
      </c>
      <c r="AA598" s="13">
        <f>IF(tblOrdenes[[#This Row],[fecha_inicio]]="","",TODAY()-tblOrdenes[[#This Row],[fecha_inicio]])</f>
        <v/>
      </c>
      <c r="AB5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8" s="3">
        <f>IF(tblOrdenes[[#This Row],[backlog_habiles]]="","",IF(tblOrdenes[[#This Row],[backlog_habiles]]&lt;0,"FUTURO",IF(tblOrdenes[[#This Row],[backlog_habiles]]&gt;p_dias_backlog_max,"BACKLOG","MES CORRIENTE")))</f>
        <v/>
      </c>
      <c r="AD598" s="3">
        <f>IF(tblOrdenes[[#This Row],[backlog_habiles]]="",FALSE,AND(tblOrdenes[[#This Row],[backlog_habiles]]&gt;p_dias_backlog_min,tblOrdenes[[#This Row],[backlog_habiles]]&lt;=p_dias_backlog_max))</f>
        <v/>
      </c>
      <c r="AE598" s="6" t="n"/>
      <c r="AF5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8" s="11">
        <f>IF(tblOrdenes[[#This Row],[orden]]="","",_xlfn.XLOOKUP(tblOrdenes[[#This Row],[id_operacion]],tblEjecucion[id_operacion],tblEjecucion[precio],0))</f>
        <v/>
      </c>
      <c r="AJ598" s="11">
        <f>IF(tblOrdenes[[#This Row],[orden]]="","",MAX(0,_xlfn.XLOOKUP(tblOrdenes[[#This Row],[id_operacion]],tblEjecucion[id_operacion],tblEjecucion[costo_plan_total],0)-tblOrdenes[[#This Row],[costo_servicio]]))</f>
        <v/>
      </c>
      <c r="AK598" s="11">
        <f>IF(tblOrdenes[[#This Row],[orden]]="","",tblOrdenes[[#This Row],[costo_servicio]]+tblOrdenes[[#This Row],[costo_materiales]])</f>
        <v/>
      </c>
      <c r="AL598" s="6" t="n"/>
      <c r="AM598" s="6" t="n"/>
      <c r="AN598" s="6" t="n"/>
      <c r="AO598" s="3">
        <f>IF(tblOrdenes[[#This Row],[link_checklist]]="","",HYPERLINK(p_ruta_base_checklists&amp;tblOrdenes[[#This Row],[link_checklist]],"abrir"))</f>
        <v/>
      </c>
      <c r="AP598" s="6" t="n"/>
      <c r="AQ598" s="3">
        <f>IF(tblOrdenes[[#This Row],[orden]]="","",tblOrdenes[[#This Row],[orden]]&amp;IF(tblOrdenes[[#This Row],[operacion]]="","0010",tblOrdenes[[#This Row],[operacion]]))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2" t="n"/>
      <c r="K599" s="3" t="n"/>
      <c r="L599" s="11" t="n"/>
      <c r="M5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9" s="3">
        <f>IF(tblOrdenes[[#This Row],[fecha_inicio]]="","",YEAR(tblOrdenes[[#This Row],[fecha_inicio]]))</f>
        <v/>
      </c>
      <c r="Q599" s="3">
        <f>IF(tblOrdenes[[#This Row],[fecha_inicio]]="","",MONTH(tblOrdenes[[#This Row],[fecha_inicio]]))</f>
        <v/>
      </c>
      <c r="R599" s="3">
        <f>IF(tblOrdenes[[#This Row],[fecha_inicio]]="","",INDEX(lista_dias,WEEKDAY(tblOrdenes[[#This Row],[fecha_inicio]],2)))</f>
        <v/>
      </c>
      <c r="S5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9" s="3">
        <f>IF(tblOrdenes[[#This Row],[tipo_ot]]="","",_xlfn.XLOOKUP(tblOrdenes[[#This Row],[tipo_ot]],tblTiposOT[codigo],tblTiposOT[clasificacion],"sin_clasificar"))</f>
        <v/>
      </c>
      <c r="U599" s="3">
        <f>IF(tblOrdenes[[#This Row],[centro_costo]]="","",_xlfn.XLOOKUP(tblOrdenes[[#This Row],[centro_costo]],tblCECO[codigo],tblCECO[linea],"(sin catálogo)"))</f>
        <v/>
      </c>
      <c r="V599" s="3">
        <f>IF(tblOrdenes[[#This Row],[centro_costo]]="","",_xlfn.XLOOKUP(tblOrdenes[[#This Row],[centro_costo]],tblCECO[codigo],tblCECO[area],"(sin catálogo)"))</f>
        <v/>
      </c>
      <c r="W5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9" s="3">
        <f>IF(tblOrdenes[[#This Row],[centro_costo]]="","",_xlfn.XLOOKUP(tblOrdenes[[#This Row],[centro_costo]],tblCECO[codigo],tblCECO[coordinador],"(sin catálogo)"))</f>
        <v/>
      </c>
      <c r="Y599" s="3">
        <f>IF(tblOrdenes[[#This Row],[puesto_trabajo]]="","",_xlfn.XLOOKUP(tblOrdenes[[#This Row],[puesto_trabajo]],tblPuestos[codigo],tblPuestos[especialidad],"(sin catálogo)"))</f>
        <v/>
      </c>
      <c r="Z599" s="3">
        <f>IF(tblOrdenes[[#This Row],[cod_actividad]]="","",_xlfn.XLOOKUP(tblOrdenes[[#This Row],[cod_actividad]],tblActividades[codigo],tblActividades[descripcion],"(sin catálogo)"))</f>
        <v/>
      </c>
      <c r="AA599" s="13">
        <f>IF(tblOrdenes[[#This Row],[fecha_inicio]]="","",TODAY()-tblOrdenes[[#This Row],[fecha_inicio]])</f>
        <v/>
      </c>
      <c r="AB5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9" s="3">
        <f>IF(tblOrdenes[[#This Row],[backlog_habiles]]="","",IF(tblOrdenes[[#This Row],[backlog_habiles]]&lt;0,"FUTURO",IF(tblOrdenes[[#This Row],[backlog_habiles]]&gt;p_dias_backlog_max,"BACKLOG","MES CORRIENTE")))</f>
        <v/>
      </c>
      <c r="AD599" s="3">
        <f>IF(tblOrdenes[[#This Row],[backlog_habiles]]="",FALSE,AND(tblOrdenes[[#This Row],[backlog_habiles]]&gt;p_dias_backlog_min,tblOrdenes[[#This Row],[backlog_habiles]]&lt;=p_dias_backlog_max))</f>
        <v/>
      </c>
      <c r="AE599" s="6" t="n"/>
      <c r="AF5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9" s="11">
        <f>IF(tblOrdenes[[#This Row],[orden]]="","",_xlfn.XLOOKUP(tblOrdenes[[#This Row],[id_operacion]],tblEjecucion[id_operacion],tblEjecucion[precio],0))</f>
        <v/>
      </c>
      <c r="AJ599" s="11">
        <f>IF(tblOrdenes[[#This Row],[orden]]="","",MAX(0,_xlfn.XLOOKUP(tblOrdenes[[#This Row],[id_operacion]],tblEjecucion[id_operacion],tblEjecucion[costo_plan_total],0)-tblOrdenes[[#This Row],[costo_servicio]]))</f>
        <v/>
      </c>
      <c r="AK599" s="11">
        <f>IF(tblOrdenes[[#This Row],[orden]]="","",tblOrdenes[[#This Row],[costo_servicio]]+tblOrdenes[[#This Row],[costo_materiales]])</f>
        <v/>
      </c>
      <c r="AL599" s="6" t="n"/>
      <c r="AM599" s="6" t="n"/>
      <c r="AN599" s="6" t="n"/>
      <c r="AO599" s="3">
        <f>IF(tblOrdenes[[#This Row],[link_checklist]]="","",HYPERLINK(p_ruta_base_checklists&amp;tblOrdenes[[#This Row],[link_checklist]],"abrir"))</f>
        <v/>
      </c>
      <c r="AP599" s="6" t="n"/>
      <c r="AQ599" s="3">
        <f>IF(tblOrdenes[[#This Row],[orden]]="","",tblOrdenes[[#This Row],[orden]]&amp;IF(tblOrdenes[[#This Row],[operacion]]="","0010",tblOrdenes[[#This Row],[operacion]]))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2" t="n"/>
      <c r="K600" s="3" t="n"/>
      <c r="L600" s="11" t="n"/>
      <c r="M6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0" s="3">
        <f>IF(tblOrdenes[[#This Row],[fecha_inicio]]="","",YEAR(tblOrdenes[[#This Row],[fecha_inicio]]))</f>
        <v/>
      </c>
      <c r="Q600" s="3">
        <f>IF(tblOrdenes[[#This Row],[fecha_inicio]]="","",MONTH(tblOrdenes[[#This Row],[fecha_inicio]]))</f>
        <v/>
      </c>
      <c r="R600" s="3">
        <f>IF(tblOrdenes[[#This Row],[fecha_inicio]]="","",INDEX(lista_dias,WEEKDAY(tblOrdenes[[#This Row],[fecha_inicio]],2)))</f>
        <v/>
      </c>
      <c r="S6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0" s="3">
        <f>IF(tblOrdenes[[#This Row],[tipo_ot]]="","",_xlfn.XLOOKUP(tblOrdenes[[#This Row],[tipo_ot]],tblTiposOT[codigo],tblTiposOT[clasificacion],"sin_clasificar"))</f>
        <v/>
      </c>
      <c r="U600" s="3">
        <f>IF(tblOrdenes[[#This Row],[centro_costo]]="","",_xlfn.XLOOKUP(tblOrdenes[[#This Row],[centro_costo]],tblCECO[codigo],tblCECO[linea],"(sin catálogo)"))</f>
        <v/>
      </c>
      <c r="V600" s="3">
        <f>IF(tblOrdenes[[#This Row],[centro_costo]]="","",_xlfn.XLOOKUP(tblOrdenes[[#This Row],[centro_costo]],tblCECO[codigo],tblCECO[area],"(sin catálogo)"))</f>
        <v/>
      </c>
      <c r="W6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0" s="3">
        <f>IF(tblOrdenes[[#This Row],[centro_costo]]="","",_xlfn.XLOOKUP(tblOrdenes[[#This Row],[centro_costo]],tblCECO[codigo],tblCECO[coordinador],"(sin catálogo)"))</f>
        <v/>
      </c>
      <c r="Y600" s="3">
        <f>IF(tblOrdenes[[#This Row],[puesto_trabajo]]="","",_xlfn.XLOOKUP(tblOrdenes[[#This Row],[puesto_trabajo]],tblPuestos[codigo],tblPuestos[especialidad],"(sin catálogo)"))</f>
        <v/>
      </c>
      <c r="Z600" s="3">
        <f>IF(tblOrdenes[[#This Row],[cod_actividad]]="","",_xlfn.XLOOKUP(tblOrdenes[[#This Row],[cod_actividad]],tblActividades[codigo],tblActividades[descripcion],"(sin catálogo)"))</f>
        <v/>
      </c>
      <c r="AA600" s="13">
        <f>IF(tblOrdenes[[#This Row],[fecha_inicio]]="","",TODAY()-tblOrdenes[[#This Row],[fecha_inicio]])</f>
        <v/>
      </c>
      <c r="AB6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0" s="3">
        <f>IF(tblOrdenes[[#This Row],[backlog_habiles]]="","",IF(tblOrdenes[[#This Row],[backlog_habiles]]&lt;0,"FUTURO",IF(tblOrdenes[[#This Row],[backlog_habiles]]&gt;p_dias_backlog_max,"BACKLOG","MES CORRIENTE")))</f>
        <v/>
      </c>
      <c r="AD600" s="3">
        <f>IF(tblOrdenes[[#This Row],[backlog_habiles]]="",FALSE,AND(tblOrdenes[[#This Row],[backlog_habiles]]&gt;p_dias_backlog_min,tblOrdenes[[#This Row],[backlog_habiles]]&lt;=p_dias_backlog_max))</f>
        <v/>
      </c>
      <c r="AE600" s="6" t="n"/>
      <c r="AF6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0" s="11">
        <f>IF(tblOrdenes[[#This Row],[orden]]="","",_xlfn.XLOOKUP(tblOrdenes[[#This Row],[id_operacion]],tblEjecucion[id_operacion],tblEjecucion[precio],0))</f>
        <v/>
      </c>
      <c r="AJ600" s="11">
        <f>IF(tblOrdenes[[#This Row],[orden]]="","",MAX(0,_xlfn.XLOOKUP(tblOrdenes[[#This Row],[id_operacion]],tblEjecucion[id_operacion],tblEjecucion[costo_plan_total],0)-tblOrdenes[[#This Row],[costo_servicio]]))</f>
        <v/>
      </c>
      <c r="AK600" s="11">
        <f>IF(tblOrdenes[[#This Row],[orden]]="","",tblOrdenes[[#This Row],[costo_servicio]]+tblOrdenes[[#This Row],[costo_materiales]])</f>
        <v/>
      </c>
      <c r="AL600" s="6" t="n"/>
      <c r="AM600" s="6" t="n"/>
      <c r="AN600" s="6" t="n"/>
      <c r="AO600" s="3">
        <f>IF(tblOrdenes[[#This Row],[link_checklist]]="","",HYPERLINK(p_ruta_base_checklists&amp;tblOrdenes[[#This Row],[link_checklist]],"abrir"))</f>
        <v/>
      </c>
      <c r="AP600" s="6" t="n"/>
      <c r="AQ600" s="3">
        <f>IF(tblOrdenes[[#This Row],[orden]]="","",tblOrdenes[[#This Row],[orden]]&amp;IF(tblOrdenes[[#This Row],[operacion]]="","0010",tblOrdenes[[#This Row],[operacion]]))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2" t="n"/>
      <c r="K601" s="3" t="n"/>
      <c r="L601" s="11" t="n"/>
      <c r="M6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1" s="3">
        <f>IF(tblOrdenes[[#This Row],[fecha_inicio]]="","",YEAR(tblOrdenes[[#This Row],[fecha_inicio]]))</f>
        <v/>
      </c>
      <c r="Q601" s="3">
        <f>IF(tblOrdenes[[#This Row],[fecha_inicio]]="","",MONTH(tblOrdenes[[#This Row],[fecha_inicio]]))</f>
        <v/>
      </c>
      <c r="R601" s="3">
        <f>IF(tblOrdenes[[#This Row],[fecha_inicio]]="","",INDEX(lista_dias,WEEKDAY(tblOrdenes[[#This Row],[fecha_inicio]],2)))</f>
        <v/>
      </c>
      <c r="S6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1" s="3">
        <f>IF(tblOrdenes[[#This Row],[tipo_ot]]="","",_xlfn.XLOOKUP(tblOrdenes[[#This Row],[tipo_ot]],tblTiposOT[codigo],tblTiposOT[clasificacion],"sin_clasificar"))</f>
        <v/>
      </c>
      <c r="U601" s="3">
        <f>IF(tblOrdenes[[#This Row],[centro_costo]]="","",_xlfn.XLOOKUP(tblOrdenes[[#This Row],[centro_costo]],tblCECO[codigo],tblCECO[linea],"(sin catálogo)"))</f>
        <v/>
      </c>
      <c r="V601" s="3">
        <f>IF(tblOrdenes[[#This Row],[centro_costo]]="","",_xlfn.XLOOKUP(tblOrdenes[[#This Row],[centro_costo]],tblCECO[codigo],tblCECO[area],"(sin catálogo)"))</f>
        <v/>
      </c>
      <c r="W6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1" s="3">
        <f>IF(tblOrdenes[[#This Row],[centro_costo]]="","",_xlfn.XLOOKUP(tblOrdenes[[#This Row],[centro_costo]],tblCECO[codigo],tblCECO[coordinador],"(sin catálogo)"))</f>
        <v/>
      </c>
      <c r="Y601" s="3">
        <f>IF(tblOrdenes[[#This Row],[puesto_trabajo]]="","",_xlfn.XLOOKUP(tblOrdenes[[#This Row],[puesto_trabajo]],tblPuestos[codigo],tblPuestos[especialidad],"(sin catálogo)"))</f>
        <v/>
      </c>
      <c r="Z601" s="3">
        <f>IF(tblOrdenes[[#This Row],[cod_actividad]]="","",_xlfn.XLOOKUP(tblOrdenes[[#This Row],[cod_actividad]],tblActividades[codigo],tblActividades[descripcion],"(sin catálogo)"))</f>
        <v/>
      </c>
      <c r="AA601" s="13">
        <f>IF(tblOrdenes[[#This Row],[fecha_inicio]]="","",TODAY()-tblOrdenes[[#This Row],[fecha_inicio]])</f>
        <v/>
      </c>
      <c r="AB6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1" s="3">
        <f>IF(tblOrdenes[[#This Row],[backlog_habiles]]="","",IF(tblOrdenes[[#This Row],[backlog_habiles]]&lt;0,"FUTURO",IF(tblOrdenes[[#This Row],[backlog_habiles]]&gt;p_dias_backlog_max,"BACKLOG","MES CORRIENTE")))</f>
        <v/>
      </c>
      <c r="AD601" s="3">
        <f>IF(tblOrdenes[[#This Row],[backlog_habiles]]="",FALSE,AND(tblOrdenes[[#This Row],[backlog_habiles]]&gt;p_dias_backlog_min,tblOrdenes[[#This Row],[backlog_habiles]]&lt;=p_dias_backlog_max))</f>
        <v/>
      </c>
      <c r="AE601" s="6" t="n"/>
      <c r="AF6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1" s="11">
        <f>IF(tblOrdenes[[#This Row],[orden]]="","",_xlfn.XLOOKUP(tblOrdenes[[#This Row],[id_operacion]],tblEjecucion[id_operacion],tblEjecucion[precio],0))</f>
        <v/>
      </c>
      <c r="AJ601" s="11">
        <f>IF(tblOrdenes[[#This Row],[orden]]="","",MAX(0,_xlfn.XLOOKUP(tblOrdenes[[#This Row],[id_operacion]],tblEjecucion[id_operacion],tblEjecucion[costo_plan_total],0)-tblOrdenes[[#This Row],[costo_servicio]]))</f>
        <v/>
      </c>
      <c r="AK601" s="11">
        <f>IF(tblOrdenes[[#This Row],[orden]]="","",tblOrdenes[[#This Row],[costo_servicio]]+tblOrdenes[[#This Row],[costo_materiales]])</f>
        <v/>
      </c>
      <c r="AL601" s="6" t="n"/>
      <c r="AM601" s="6" t="n"/>
      <c r="AN601" s="6" t="n"/>
      <c r="AO601" s="3">
        <f>IF(tblOrdenes[[#This Row],[link_checklist]]="","",HYPERLINK(p_ruta_base_checklists&amp;tblOrdenes[[#This Row],[link_checklist]],"abrir"))</f>
        <v/>
      </c>
      <c r="AP601" s="6" t="n"/>
      <c r="AQ601" s="3">
        <f>IF(tblOrdenes[[#This Row],[orden]]="","",tblOrdenes[[#This Row],[orden]]&amp;IF(tblOrdenes[[#This Row],[operacion]]="","0010",tblOrdenes[[#This Row],[operacion]]))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2" t="n"/>
      <c r="K602" s="3" t="n"/>
      <c r="L602" s="11" t="n"/>
      <c r="M6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2" s="3">
        <f>IF(tblOrdenes[[#This Row],[fecha_inicio]]="","",YEAR(tblOrdenes[[#This Row],[fecha_inicio]]))</f>
        <v/>
      </c>
      <c r="Q602" s="3">
        <f>IF(tblOrdenes[[#This Row],[fecha_inicio]]="","",MONTH(tblOrdenes[[#This Row],[fecha_inicio]]))</f>
        <v/>
      </c>
      <c r="R602" s="3">
        <f>IF(tblOrdenes[[#This Row],[fecha_inicio]]="","",INDEX(lista_dias,WEEKDAY(tblOrdenes[[#This Row],[fecha_inicio]],2)))</f>
        <v/>
      </c>
      <c r="S6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2" s="3">
        <f>IF(tblOrdenes[[#This Row],[tipo_ot]]="","",_xlfn.XLOOKUP(tblOrdenes[[#This Row],[tipo_ot]],tblTiposOT[codigo],tblTiposOT[clasificacion],"sin_clasificar"))</f>
        <v/>
      </c>
      <c r="U602" s="3">
        <f>IF(tblOrdenes[[#This Row],[centro_costo]]="","",_xlfn.XLOOKUP(tblOrdenes[[#This Row],[centro_costo]],tblCECO[codigo],tblCECO[linea],"(sin catálogo)"))</f>
        <v/>
      </c>
      <c r="V602" s="3">
        <f>IF(tblOrdenes[[#This Row],[centro_costo]]="","",_xlfn.XLOOKUP(tblOrdenes[[#This Row],[centro_costo]],tblCECO[codigo],tblCECO[area],"(sin catálogo)"))</f>
        <v/>
      </c>
      <c r="W6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2" s="3">
        <f>IF(tblOrdenes[[#This Row],[centro_costo]]="","",_xlfn.XLOOKUP(tblOrdenes[[#This Row],[centro_costo]],tblCECO[codigo],tblCECO[coordinador],"(sin catálogo)"))</f>
        <v/>
      </c>
      <c r="Y602" s="3">
        <f>IF(tblOrdenes[[#This Row],[puesto_trabajo]]="","",_xlfn.XLOOKUP(tblOrdenes[[#This Row],[puesto_trabajo]],tblPuestos[codigo],tblPuestos[especialidad],"(sin catálogo)"))</f>
        <v/>
      </c>
      <c r="Z602" s="3">
        <f>IF(tblOrdenes[[#This Row],[cod_actividad]]="","",_xlfn.XLOOKUP(tblOrdenes[[#This Row],[cod_actividad]],tblActividades[codigo],tblActividades[descripcion],"(sin catálogo)"))</f>
        <v/>
      </c>
      <c r="AA602" s="13">
        <f>IF(tblOrdenes[[#This Row],[fecha_inicio]]="","",TODAY()-tblOrdenes[[#This Row],[fecha_inicio]])</f>
        <v/>
      </c>
      <c r="AB6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2" s="3">
        <f>IF(tblOrdenes[[#This Row],[backlog_habiles]]="","",IF(tblOrdenes[[#This Row],[backlog_habiles]]&lt;0,"FUTURO",IF(tblOrdenes[[#This Row],[backlog_habiles]]&gt;p_dias_backlog_max,"BACKLOG","MES CORRIENTE")))</f>
        <v/>
      </c>
      <c r="AD602" s="3">
        <f>IF(tblOrdenes[[#This Row],[backlog_habiles]]="",FALSE,AND(tblOrdenes[[#This Row],[backlog_habiles]]&gt;p_dias_backlog_min,tblOrdenes[[#This Row],[backlog_habiles]]&lt;=p_dias_backlog_max))</f>
        <v/>
      </c>
      <c r="AE602" s="6" t="n"/>
      <c r="AF6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2" s="11">
        <f>IF(tblOrdenes[[#This Row],[orden]]="","",_xlfn.XLOOKUP(tblOrdenes[[#This Row],[id_operacion]],tblEjecucion[id_operacion],tblEjecucion[precio],0))</f>
        <v/>
      </c>
      <c r="AJ602" s="11">
        <f>IF(tblOrdenes[[#This Row],[orden]]="","",MAX(0,_xlfn.XLOOKUP(tblOrdenes[[#This Row],[id_operacion]],tblEjecucion[id_operacion],tblEjecucion[costo_plan_total],0)-tblOrdenes[[#This Row],[costo_servicio]]))</f>
        <v/>
      </c>
      <c r="AK602" s="11">
        <f>IF(tblOrdenes[[#This Row],[orden]]="","",tblOrdenes[[#This Row],[costo_servicio]]+tblOrdenes[[#This Row],[costo_materiales]])</f>
        <v/>
      </c>
      <c r="AL602" s="6" t="n"/>
      <c r="AM602" s="6" t="n"/>
      <c r="AN602" s="6" t="n"/>
      <c r="AO602" s="3">
        <f>IF(tblOrdenes[[#This Row],[link_checklist]]="","",HYPERLINK(p_ruta_base_checklists&amp;tblOrdenes[[#This Row],[link_checklist]],"abrir"))</f>
        <v/>
      </c>
      <c r="AP602" s="6" t="n"/>
      <c r="AQ602" s="3">
        <f>IF(tblOrdenes[[#This Row],[orden]]="","",tblOrdenes[[#This Row],[orden]]&amp;IF(tblOrdenes[[#This Row],[operacion]]="","0010",tblOrdenes[[#This Row],[operacion]]))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2" t="n"/>
      <c r="K603" s="3" t="n"/>
      <c r="L603" s="11" t="n"/>
      <c r="M6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3" s="3">
        <f>IF(tblOrdenes[[#This Row],[fecha_inicio]]="","",YEAR(tblOrdenes[[#This Row],[fecha_inicio]]))</f>
        <v/>
      </c>
      <c r="Q603" s="3">
        <f>IF(tblOrdenes[[#This Row],[fecha_inicio]]="","",MONTH(tblOrdenes[[#This Row],[fecha_inicio]]))</f>
        <v/>
      </c>
      <c r="R603" s="3">
        <f>IF(tblOrdenes[[#This Row],[fecha_inicio]]="","",INDEX(lista_dias,WEEKDAY(tblOrdenes[[#This Row],[fecha_inicio]],2)))</f>
        <v/>
      </c>
      <c r="S6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3" s="3">
        <f>IF(tblOrdenes[[#This Row],[tipo_ot]]="","",_xlfn.XLOOKUP(tblOrdenes[[#This Row],[tipo_ot]],tblTiposOT[codigo],tblTiposOT[clasificacion],"sin_clasificar"))</f>
        <v/>
      </c>
      <c r="U603" s="3">
        <f>IF(tblOrdenes[[#This Row],[centro_costo]]="","",_xlfn.XLOOKUP(tblOrdenes[[#This Row],[centro_costo]],tblCECO[codigo],tblCECO[linea],"(sin catálogo)"))</f>
        <v/>
      </c>
      <c r="V603" s="3">
        <f>IF(tblOrdenes[[#This Row],[centro_costo]]="","",_xlfn.XLOOKUP(tblOrdenes[[#This Row],[centro_costo]],tblCECO[codigo],tblCECO[area],"(sin catálogo)"))</f>
        <v/>
      </c>
      <c r="W6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3" s="3">
        <f>IF(tblOrdenes[[#This Row],[centro_costo]]="","",_xlfn.XLOOKUP(tblOrdenes[[#This Row],[centro_costo]],tblCECO[codigo],tblCECO[coordinador],"(sin catálogo)"))</f>
        <v/>
      </c>
      <c r="Y603" s="3">
        <f>IF(tblOrdenes[[#This Row],[puesto_trabajo]]="","",_xlfn.XLOOKUP(tblOrdenes[[#This Row],[puesto_trabajo]],tblPuestos[codigo],tblPuestos[especialidad],"(sin catálogo)"))</f>
        <v/>
      </c>
      <c r="Z603" s="3">
        <f>IF(tblOrdenes[[#This Row],[cod_actividad]]="","",_xlfn.XLOOKUP(tblOrdenes[[#This Row],[cod_actividad]],tblActividades[codigo],tblActividades[descripcion],"(sin catálogo)"))</f>
        <v/>
      </c>
      <c r="AA603" s="13">
        <f>IF(tblOrdenes[[#This Row],[fecha_inicio]]="","",TODAY()-tblOrdenes[[#This Row],[fecha_inicio]])</f>
        <v/>
      </c>
      <c r="AB6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3" s="3">
        <f>IF(tblOrdenes[[#This Row],[backlog_habiles]]="","",IF(tblOrdenes[[#This Row],[backlog_habiles]]&lt;0,"FUTURO",IF(tblOrdenes[[#This Row],[backlog_habiles]]&gt;p_dias_backlog_max,"BACKLOG","MES CORRIENTE")))</f>
        <v/>
      </c>
      <c r="AD603" s="3">
        <f>IF(tblOrdenes[[#This Row],[backlog_habiles]]="",FALSE,AND(tblOrdenes[[#This Row],[backlog_habiles]]&gt;p_dias_backlog_min,tblOrdenes[[#This Row],[backlog_habiles]]&lt;=p_dias_backlog_max))</f>
        <v/>
      </c>
      <c r="AE603" s="6" t="n"/>
      <c r="AF6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3" s="11">
        <f>IF(tblOrdenes[[#This Row],[orden]]="","",_xlfn.XLOOKUP(tblOrdenes[[#This Row],[id_operacion]],tblEjecucion[id_operacion],tblEjecucion[precio],0))</f>
        <v/>
      </c>
      <c r="AJ603" s="11">
        <f>IF(tblOrdenes[[#This Row],[orden]]="","",MAX(0,_xlfn.XLOOKUP(tblOrdenes[[#This Row],[id_operacion]],tblEjecucion[id_operacion],tblEjecucion[costo_plan_total],0)-tblOrdenes[[#This Row],[costo_servicio]]))</f>
        <v/>
      </c>
      <c r="AK603" s="11">
        <f>IF(tblOrdenes[[#This Row],[orden]]="","",tblOrdenes[[#This Row],[costo_servicio]]+tblOrdenes[[#This Row],[costo_materiales]])</f>
        <v/>
      </c>
      <c r="AL603" s="6" t="n"/>
      <c r="AM603" s="6" t="n"/>
      <c r="AN603" s="6" t="n"/>
      <c r="AO603" s="3">
        <f>IF(tblOrdenes[[#This Row],[link_checklist]]="","",HYPERLINK(p_ruta_base_checklists&amp;tblOrdenes[[#This Row],[link_checklist]],"abrir"))</f>
        <v/>
      </c>
      <c r="AP603" s="6" t="n"/>
      <c r="AQ603" s="3">
        <f>IF(tblOrdenes[[#This Row],[orden]]="","",tblOrdenes[[#This Row],[orden]]&amp;IF(tblOrdenes[[#This Row],[operacion]]="","0010",tblOrdenes[[#This Row],[operacion]]))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2" t="n"/>
      <c r="K604" s="3" t="n"/>
      <c r="L604" s="11" t="n"/>
      <c r="M6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4" s="3">
        <f>IF(tblOrdenes[[#This Row],[fecha_inicio]]="","",YEAR(tblOrdenes[[#This Row],[fecha_inicio]]))</f>
        <v/>
      </c>
      <c r="Q604" s="3">
        <f>IF(tblOrdenes[[#This Row],[fecha_inicio]]="","",MONTH(tblOrdenes[[#This Row],[fecha_inicio]]))</f>
        <v/>
      </c>
      <c r="R604" s="3">
        <f>IF(tblOrdenes[[#This Row],[fecha_inicio]]="","",INDEX(lista_dias,WEEKDAY(tblOrdenes[[#This Row],[fecha_inicio]],2)))</f>
        <v/>
      </c>
      <c r="S6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4" s="3">
        <f>IF(tblOrdenes[[#This Row],[tipo_ot]]="","",_xlfn.XLOOKUP(tblOrdenes[[#This Row],[tipo_ot]],tblTiposOT[codigo],tblTiposOT[clasificacion],"sin_clasificar"))</f>
        <v/>
      </c>
      <c r="U604" s="3">
        <f>IF(tblOrdenes[[#This Row],[centro_costo]]="","",_xlfn.XLOOKUP(tblOrdenes[[#This Row],[centro_costo]],tblCECO[codigo],tblCECO[linea],"(sin catálogo)"))</f>
        <v/>
      </c>
      <c r="V604" s="3">
        <f>IF(tblOrdenes[[#This Row],[centro_costo]]="","",_xlfn.XLOOKUP(tblOrdenes[[#This Row],[centro_costo]],tblCECO[codigo],tblCECO[area],"(sin catálogo)"))</f>
        <v/>
      </c>
      <c r="W6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4" s="3">
        <f>IF(tblOrdenes[[#This Row],[centro_costo]]="","",_xlfn.XLOOKUP(tblOrdenes[[#This Row],[centro_costo]],tblCECO[codigo],tblCECO[coordinador],"(sin catálogo)"))</f>
        <v/>
      </c>
      <c r="Y604" s="3">
        <f>IF(tblOrdenes[[#This Row],[puesto_trabajo]]="","",_xlfn.XLOOKUP(tblOrdenes[[#This Row],[puesto_trabajo]],tblPuestos[codigo],tblPuestos[especialidad],"(sin catálogo)"))</f>
        <v/>
      </c>
      <c r="Z604" s="3">
        <f>IF(tblOrdenes[[#This Row],[cod_actividad]]="","",_xlfn.XLOOKUP(tblOrdenes[[#This Row],[cod_actividad]],tblActividades[codigo],tblActividades[descripcion],"(sin catálogo)"))</f>
        <v/>
      </c>
      <c r="AA604" s="13">
        <f>IF(tblOrdenes[[#This Row],[fecha_inicio]]="","",TODAY()-tblOrdenes[[#This Row],[fecha_inicio]])</f>
        <v/>
      </c>
      <c r="AB6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4" s="3">
        <f>IF(tblOrdenes[[#This Row],[backlog_habiles]]="","",IF(tblOrdenes[[#This Row],[backlog_habiles]]&lt;0,"FUTURO",IF(tblOrdenes[[#This Row],[backlog_habiles]]&gt;p_dias_backlog_max,"BACKLOG","MES CORRIENTE")))</f>
        <v/>
      </c>
      <c r="AD604" s="3">
        <f>IF(tblOrdenes[[#This Row],[backlog_habiles]]="",FALSE,AND(tblOrdenes[[#This Row],[backlog_habiles]]&gt;p_dias_backlog_min,tblOrdenes[[#This Row],[backlog_habiles]]&lt;=p_dias_backlog_max))</f>
        <v/>
      </c>
      <c r="AE604" s="6" t="n"/>
      <c r="AF6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4" s="11">
        <f>IF(tblOrdenes[[#This Row],[orden]]="","",_xlfn.XLOOKUP(tblOrdenes[[#This Row],[id_operacion]],tblEjecucion[id_operacion],tblEjecucion[precio],0))</f>
        <v/>
      </c>
      <c r="AJ604" s="11">
        <f>IF(tblOrdenes[[#This Row],[orden]]="","",MAX(0,_xlfn.XLOOKUP(tblOrdenes[[#This Row],[id_operacion]],tblEjecucion[id_operacion],tblEjecucion[costo_plan_total],0)-tblOrdenes[[#This Row],[costo_servicio]]))</f>
        <v/>
      </c>
      <c r="AK604" s="11">
        <f>IF(tblOrdenes[[#This Row],[orden]]="","",tblOrdenes[[#This Row],[costo_servicio]]+tblOrdenes[[#This Row],[costo_materiales]])</f>
        <v/>
      </c>
      <c r="AL604" s="6" t="n"/>
      <c r="AM604" s="6" t="n"/>
      <c r="AN604" s="6" t="n"/>
      <c r="AO604" s="3">
        <f>IF(tblOrdenes[[#This Row],[link_checklist]]="","",HYPERLINK(p_ruta_base_checklists&amp;tblOrdenes[[#This Row],[link_checklist]],"abrir"))</f>
        <v/>
      </c>
      <c r="AP604" s="6" t="n"/>
      <c r="AQ604" s="3">
        <f>IF(tblOrdenes[[#This Row],[orden]]="","",tblOrdenes[[#This Row],[orden]]&amp;IF(tblOrdenes[[#This Row],[operacion]]="","0010",tblOrdenes[[#This Row],[operacion]]))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2" t="n"/>
      <c r="K605" s="3" t="n"/>
      <c r="L605" s="11" t="n"/>
      <c r="M6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5" s="3">
        <f>IF(tblOrdenes[[#This Row],[fecha_inicio]]="","",YEAR(tblOrdenes[[#This Row],[fecha_inicio]]))</f>
        <v/>
      </c>
      <c r="Q605" s="3">
        <f>IF(tblOrdenes[[#This Row],[fecha_inicio]]="","",MONTH(tblOrdenes[[#This Row],[fecha_inicio]]))</f>
        <v/>
      </c>
      <c r="R605" s="3">
        <f>IF(tblOrdenes[[#This Row],[fecha_inicio]]="","",INDEX(lista_dias,WEEKDAY(tblOrdenes[[#This Row],[fecha_inicio]],2)))</f>
        <v/>
      </c>
      <c r="S6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5" s="3">
        <f>IF(tblOrdenes[[#This Row],[tipo_ot]]="","",_xlfn.XLOOKUP(tblOrdenes[[#This Row],[tipo_ot]],tblTiposOT[codigo],tblTiposOT[clasificacion],"sin_clasificar"))</f>
        <v/>
      </c>
      <c r="U605" s="3">
        <f>IF(tblOrdenes[[#This Row],[centro_costo]]="","",_xlfn.XLOOKUP(tblOrdenes[[#This Row],[centro_costo]],tblCECO[codigo],tblCECO[linea],"(sin catálogo)"))</f>
        <v/>
      </c>
      <c r="V605" s="3">
        <f>IF(tblOrdenes[[#This Row],[centro_costo]]="","",_xlfn.XLOOKUP(tblOrdenes[[#This Row],[centro_costo]],tblCECO[codigo],tblCECO[area],"(sin catálogo)"))</f>
        <v/>
      </c>
      <c r="W6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5" s="3">
        <f>IF(tblOrdenes[[#This Row],[centro_costo]]="","",_xlfn.XLOOKUP(tblOrdenes[[#This Row],[centro_costo]],tblCECO[codigo],tblCECO[coordinador],"(sin catálogo)"))</f>
        <v/>
      </c>
      <c r="Y605" s="3">
        <f>IF(tblOrdenes[[#This Row],[puesto_trabajo]]="","",_xlfn.XLOOKUP(tblOrdenes[[#This Row],[puesto_trabajo]],tblPuestos[codigo],tblPuestos[especialidad],"(sin catálogo)"))</f>
        <v/>
      </c>
      <c r="Z605" s="3">
        <f>IF(tblOrdenes[[#This Row],[cod_actividad]]="","",_xlfn.XLOOKUP(tblOrdenes[[#This Row],[cod_actividad]],tblActividades[codigo],tblActividades[descripcion],"(sin catálogo)"))</f>
        <v/>
      </c>
      <c r="AA605" s="13">
        <f>IF(tblOrdenes[[#This Row],[fecha_inicio]]="","",TODAY()-tblOrdenes[[#This Row],[fecha_inicio]])</f>
        <v/>
      </c>
      <c r="AB6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5" s="3">
        <f>IF(tblOrdenes[[#This Row],[backlog_habiles]]="","",IF(tblOrdenes[[#This Row],[backlog_habiles]]&lt;0,"FUTURO",IF(tblOrdenes[[#This Row],[backlog_habiles]]&gt;p_dias_backlog_max,"BACKLOG","MES CORRIENTE")))</f>
        <v/>
      </c>
      <c r="AD605" s="3">
        <f>IF(tblOrdenes[[#This Row],[backlog_habiles]]="",FALSE,AND(tblOrdenes[[#This Row],[backlog_habiles]]&gt;p_dias_backlog_min,tblOrdenes[[#This Row],[backlog_habiles]]&lt;=p_dias_backlog_max))</f>
        <v/>
      </c>
      <c r="AE605" s="6" t="n"/>
      <c r="AF6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5" s="11">
        <f>IF(tblOrdenes[[#This Row],[orden]]="","",_xlfn.XLOOKUP(tblOrdenes[[#This Row],[id_operacion]],tblEjecucion[id_operacion],tblEjecucion[precio],0))</f>
        <v/>
      </c>
      <c r="AJ605" s="11">
        <f>IF(tblOrdenes[[#This Row],[orden]]="","",MAX(0,_xlfn.XLOOKUP(tblOrdenes[[#This Row],[id_operacion]],tblEjecucion[id_operacion],tblEjecucion[costo_plan_total],0)-tblOrdenes[[#This Row],[costo_servicio]]))</f>
        <v/>
      </c>
      <c r="AK605" s="11">
        <f>IF(tblOrdenes[[#This Row],[orden]]="","",tblOrdenes[[#This Row],[costo_servicio]]+tblOrdenes[[#This Row],[costo_materiales]])</f>
        <v/>
      </c>
      <c r="AL605" s="6" t="n"/>
      <c r="AM605" s="6" t="n"/>
      <c r="AN605" s="6" t="n"/>
      <c r="AO605" s="3">
        <f>IF(tblOrdenes[[#This Row],[link_checklist]]="","",HYPERLINK(p_ruta_base_checklists&amp;tblOrdenes[[#This Row],[link_checklist]],"abrir"))</f>
        <v/>
      </c>
      <c r="AP605" s="6" t="n"/>
      <c r="AQ605" s="3">
        <f>IF(tblOrdenes[[#This Row],[orden]]="","",tblOrdenes[[#This Row],[orden]]&amp;IF(tblOrdenes[[#This Row],[operacion]]="","0010",tblOrdenes[[#This Row],[operacion]]))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2" t="n"/>
      <c r="K606" s="3" t="n"/>
      <c r="L606" s="11" t="n"/>
      <c r="M6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6" s="3">
        <f>IF(tblOrdenes[[#This Row],[fecha_inicio]]="","",YEAR(tblOrdenes[[#This Row],[fecha_inicio]]))</f>
        <v/>
      </c>
      <c r="Q606" s="3">
        <f>IF(tblOrdenes[[#This Row],[fecha_inicio]]="","",MONTH(tblOrdenes[[#This Row],[fecha_inicio]]))</f>
        <v/>
      </c>
      <c r="R606" s="3">
        <f>IF(tblOrdenes[[#This Row],[fecha_inicio]]="","",INDEX(lista_dias,WEEKDAY(tblOrdenes[[#This Row],[fecha_inicio]],2)))</f>
        <v/>
      </c>
      <c r="S6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6" s="3">
        <f>IF(tblOrdenes[[#This Row],[tipo_ot]]="","",_xlfn.XLOOKUP(tblOrdenes[[#This Row],[tipo_ot]],tblTiposOT[codigo],tblTiposOT[clasificacion],"sin_clasificar"))</f>
        <v/>
      </c>
      <c r="U606" s="3">
        <f>IF(tblOrdenes[[#This Row],[centro_costo]]="","",_xlfn.XLOOKUP(tblOrdenes[[#This Row],[centro_costo]],tblCECO[codigo],tblCECO[linea],"(sin catálogo)"))</f>
        <v/>
      </c>
      <c r="V606" s="3">
        <f>IF(tblOrdenes[[#This Row],[centro_costo]]="","",_xlfn.XLOOKUP(tblOrdenes[[#This Row],[centro_costo]],tblCECO[codigo],tblCECO[area],"(sin catálogo)"))</f>
        <v/>
      </c>
      <c r="W6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6" s="3">
        <f>IF(tblOrdenes[[#This Row],[centro_costo]]="","",_xlfn.XLOOKUP(tblOrdenes[[#This Row],[centro_costo]],tblCECO[codigo],tblCECO[coordinador],"(sin catálogo)"))</f>
        <v/>
      </c>
      <c r="Y606" s="3">
        <f>IF(tblOrdenes[[#This Row],[puesto_trabajo]]="","",_xlfn.XLOOKUP(tblOrdenes[[#This Row],[puesto_trabajo]],tblPuestos[codigo],tblPuestos[especialidad],"(sin catálogo)"))</f>
        <v/>
      </c>
      <c r="Z606" s="3">
        <f>IF(tblOrdenes[[#This Row],[cod_actividad]]="","",_xlfn.XLOOKUP(tblOrdenes[[#This Row],[cod_actividad]],tblActividades[codigo],tblActividades[descripcion],"(sin catálogo)"))</f>
        <v/>
      </c>
      <c r="AA606" s="13">
        <f>IF(tblOrdenes[[#This Row],[fecha_inicio]]="","",TODAY()-tblOrdenes[[#This Row],[fecha_inicio]])</f>
        <v/>
      </c>
      <c r="AB6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6" s="3">
        <f>IF(tblOrdenes[[#This Row],[backlog_habiles]]="","",IF(tblOrdenes[[#This Row],[backlog_habiles]]&lt;0,"FUTURO",IF(tblOrdenes[[#This Row],[backlog_habiles]]&gt;p_dias_backlog_max,"BACKLOG","MES CORRIENTE")))</f>
        <v/>
      </c>
      <c r="AD606" s="3">
        <f>IF(tblOrdenes[[#This Row],[backlog_habiles]]="",FALSE,AND(tblOrdenes[[#This Row],[backlog_habiles]]&gt;p_dias_backlog_min,tblOrdenes[[#This Row],[backlog_habiles]]&lt;=p_dias_backlog_max))</f>
        <v/>
      </c>
      <c r="AE606" s="6" t="n"/>
      <c r="AF6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6" s="11">
        <f>IF(tblOrdenes[[#This Row],[orden]]="","",_xlfn.XLOOKUP(tblOrdenes[[#This Row],[id_operacion]],tblEjecucion[id_operacion],tblEjecucion[precio],0))</f>
        <v/>
      </c>
      <c r="AJ606" s="11">
        <f>IF(tblOrdenes[[#This Row],[orden]]="","",MAX(0,_xlfn.XLOOKUP(tblOrdenes[[#This Row],[id_operacion]],tblEjecucion[id_operacion],tblEjecucion[costo_plan_total],0)-tblOrdenes[[#This Row],[costo_servicio]]))</f>
        <v/>
      </c>
      <c r="AK606" s="11">
        <f>IF(tblOrdenes[[#This Row],[orden]]="","",tblOrdenes[[#This Row],[costo_servicio]]+tblOrdenes[[#This Row],[costo_materiales]])</f>
        <v/>
      </c>
      <c r="AL606" s="6" t="n"/>
      <c r="AM606" s="6" t="n"/>
      <c r="AN606" s="6" t="n"/>
      <c r="AO606" s="3">
        <f>IF(tblOrdenes[[#This Row],[link_checklist]]="","",HYPERLINK(p_ruta_base_checklists&amp;tblOrdenes[[#This Row],[link_checklist]],"abrir"))</f>
        <v/>
      </c>
      <c r="AP606" s="6" t="n"/>
      <c r="AQ606" s="3">
        <f>IF(tblOrdenes[[#This Row],[orden]]="","",tblOrdenes[[#This Row],[orden]]&amp;IF(tblOrdenes[[#This Row],[operacion]]="","0010",tblOrdenes[[#This Row],[operacion]]))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2" t="n"/>
      <c r="K607" s="3" t="n"/>
      <c r="L607" s="11" t="n"/>
      <c r="M6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7" s="3">
        <f>IF(tblOrdenes[[#This Row],[fecha_inicio]]="","",YEAR(tblOrdenes[[#This Row],[fecha_inicio]]))</f>
        <v/>
      </c>
      <c r="Q607" s="3">
        <f>IF(tblOrdenes[[#This Row],[fecha_inicio]]="","",MONTH(tblOrdenes[[#This Row],[fecha_inicio]]))</f>
        <v/>
      </c>
      <c r="R607" s="3">
        <f>IF(tblOrdenes[[#This Row],[fecha_inicio]]="","",INDEX(lista_dias,WEEKDAY(tblOrdenes[[#This Row],[fecha_inicio]],2)))</f>
        <v/>
      </c>
      <c r="S6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7" s="3">
        <f>IF(tblOrdenes[[#This Row],[tipo_ot]]="","",_xlfn.XLOOKUP(tblOrdenes[[#This Row],[tipo_ot]],tblTiposOT[codigo],tblTiposOT[clasificacion],"sin_clasificar"))</f>
        <v/>
      </c>
      <c r="U607" s="3">
        <f>IF(tblOrdenes[[#This Row],[centro_costo]]="","",_xlfn.XLOOKUP(tblOrdenes[[#This Row],[centro_costo]],tblCECO[codigo],tblCECO[linea],"(sin catálogo)"))</f>
        <v/>
      </c>
      <c r="V607" s="3">
        <f>IF(tblOrdenes[[#This Row],[centro_costo]]="","",_xlfn.XLOOKUP(tblOrdenes[[#This Row],[centro_costo]],tblCECO[codigo],tblCECO[area],"(sin catálogo)"))</f>
        <v/>
      </c>
      <c r="W6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7" s="3">
        <f>IF(tblOrdenes[[#This Row],[centro_costo]]="","",_xlfn.XLOOKUP(tblOrdenes[[#This Row],[centro_costo]],tblCECO[codigo],tblCECO[coordinador],"(sin catálogo)"))</f>
        <v/>
      </c>
      <c r="Y607" s="3">
        <f>IF(tblOrdenes[[#This Row],[puesto_trabajo]]="","",_xlfn.XLOOKUP(tblOrdenes[[#This Row],[puesto_trabajo]],tblPuestos[codigo],tblPuestos[especialidad],"(sin catálogo)"))</f>
        <v/>
      </c>
      <c r="Z607" s="3">
        <f>IF(tblOrdenes[[#This Row],[cod_actividad]]="","",_xlfn.XLOOKUP(tblOrdenes[[#This Row],[cod_actividad]],tblActividades[codigo],tblActividades[descripcion],"(sin catálogo)"))</f>
        <v/>
      </c>
      <c r="AA607" s="13">
        <f>IF(tblOrdenes[[#This Row],[fecha_inicio]]="","",TODAY()-tblOrdenes[[#This Row],[fecha_inicio]])</f>
        <v/>
      </c>
      <c r="AB6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7" s="3">
        <f>IF(tblOrdenes[[#This Row],[backlog_habiles]]="","",IF(tblOrdenes[[#This Row],[backlog_habiles]]&lt;0,"FUTURO",IF(tblOrdenes[[#This Row],[backlog_habiles]]&gt;p_dias_backlog_max,"BACKLOG","MES CORRIENTE")))</f>
        <v/>
      </c>
      <c r="AD607" s="3">
        <f>IF(tblOrdenes[[#This Row],[backlog_habiles]]="",FALSE,AND(tblOrdenes[[#This Row],[backlog_habiles]]&gt;p_dias_backlog_min,tblOrdenes[[#This Row],[backlog_habiles]]&lt;=p_dias_backlog_max))</f>
        <v/>
      </c>
      <c r="AE607" s="6" t="n"/>
      <c r="AF6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7" s="11">
        <f>IF(tblOrdenes[[#This Row],[orden]]="","",_xlfn.XLOOKUP(tblOrdenes[[#This Row],[id_operacion]],tblEjecucion[id_operacion],tblEjecucion[precio],0))</f>
        <v/>
      </c>
      <c r="AJ607" s="11">
        <f>IF(tblOrdenes[[#This Row],[orden]]="","",MAX(0,_xlfn.XLOOKUP(tblOrdenes[[#This Row],[id_operacion]],tblEjecucion[id_operacion],tblEjecucion[costo_plan_total],0)-tblOrdenes[[#This Row],[costo_servicio]]))</f>
        <v/>
      </c>
      <c r="AK607" s="11">
        <f>IF(tblOrdenes[[#This Row],[orden]]="","",tblOrdenes[[#This Row],[costo_servicio]]+tblOrdenes[[#This Row],[costo_materiales]])</f>
        <v/>
      </c>
      <c r="AL607" s="6" t="n"/>
      <c r="AM607" s="6" t="n"/>
      <c r="AN607" s="6" t="n"/>
      <c r="AO607" s="3">
        <f>IF(tblOrdenes[[#This Row],[link_checklist]]="","",HYPERLINK(p_ruta_base_checklists&amp;tblOrdenes[[#This Row],[link_checklist]],"abrir"))</f>
        <v/>
      </c>
      <c r="AP607" s="6" t="n"/>
      <c r="AQ607" s="3">
        <f>IF(tblOrdenes[[#This Row],[orden]]="","",tblOrdenes[[#This Row],[orden]]&amp;IF(tblOrdenes[[#This Row],[operacion]]="","0010",tblOrdenes[[#This Row],[operacion]]))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2" t="n"/>
      <c r="K608" s="3" t="n"/>
      <c r="L608" s="11" t="n"/>
      <c r="M6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8" s="3">
        <f>IF(tblOrdenes[[#This Row],[fecha_inicio]]="","",YEAR(tblOrdenes[[#This Row],[fecha_inicio]]))</f>
        <v/>
      </c>
      <c r="Q608" s="3">
        <f>IF(tblOrdenes[[#This Row],[fecha_inicio]]="","",MONTH(tblOrdenes[[#This Row],[fecha_inicio]]))</f>
        <v/>
      </c>
      <c r="R608" s="3">
        <f>IF(tblOrdenes[[#This Row],[fecha_inicio]]="","",INDEX(lista_dias,WEEKDAY(tblOrdenes[[#This Row],[fecha_inicio]],2)))</f>
        <v/>
      </c>
      <c r="S6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8" s="3">
        <f>IF(tblOrdenes[[#This Row],[tipo_ot]]="","",_xlfn.XLOOKUP(tblOrdenes[[#This Row],[tipo_ot]],tblTiposOT[codigo],tblTiposOT[clasificacion],"sin_clasificar"))</f>
        <v/>
      </c>
      <c r="U608" s="3">
        <f>IF(tblOrdenes[[#This Row],[centro_costo]]="","",_xlfn.XLOOKUP(tblOrdenes[[#This Row],[centro_costo]],tblCECO[codigo],tblCECO[linea],"(sin catálogo)"))</f>
        <v/>
      </c>
      <c r="V608" s="3">
        <f>IF(tblOrdenes[[#This Row],[centro_costo]]="","",_xlfn.XLOOKUP(tblOrdenes[[#This Row],[centro_costo]],tblCECO[codigo],tblCECO[area],"(sin catálogo)"))</f>
        <v/>
      </c>
      <c r="W6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8" s="3">
        <f>IF(tblOrdenes[[#This Row],[centro_costo]]="","",_xlfn.XLOOKUP(tblOrdenes[[#This Row],[centro_costo]],tblCECO[codigo],tblCECO[coordinador],"(sin catálogo)"))</f>
        <v/>
      </c>
      <c r="Y608" s="3">
        <f>IF(tblOrdenes[[#This Row],[puesto_trabajo]]="","",_xlfn.XLOOKUP(tblOrdenes[[#This Row],[puesto_trabajo]],tblPuestos[codigo],tblPuestos[especialidad],"(sin catálogo)"))</f>
        <v/>
      </c>
      <c r="Z608" s="3">
        <f>IF(tblOrdenes[[#This Row],[cod_actividad]]="","",_xlfn.XLOOKUP(tblOrdenes[[#This Row],[cod_actividad]],tblActividades[codigo],tblActividades[descripcion],"(sin catálogo)"))</f>
        <v/>
      </c>
      <c r="AA608" s="13">
        <f>IF(tblOrdenes[[#This Row],[fecha_inicio]]="","",TODAY()-tblOrdenes[[#This Row],[fecha_inicio]])</f>
        <v/>
      </c>
      <c r="AB6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8" s="3">
        <f>IF(tblOrdenes[[#This Row],[backlog_habiles]]="","",IF(tblOrdenes[[#This Row],[backlog_habiles]]&lt;0,"FUTURO",IF(tblOrdenes[[#This Row],[backlog_habiles]]&gt;p_dias_backlog_max,"BACKLOG","MES CORRIENTE")))</f>
        <v/>
      </c>
      <c r="AD608" s="3">
        <f>IF(tblOrdenes[[#This Row],[backlog_habiles]]="",FALSE,AND(tblOrdenes[[#This Row],[backlog_habiles]]&gt;p_dias_backlog_min,tblOrdenes[[#This Row],[backlog_habiles]]&lt;=p_dias_backlog_max))</f>
        <v/>
      </c>
      <c r="AE608" s="6" t="n"/>
      <c r="AF6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8" s="11">
        <f>IF(tblOrdenes[[#This Row],[orden]]="","",_xlfn.XLOOKUP(tblOrdenes[[#This Row],[id_operacion]],tblEjecucion[id_operacion],tblEjecucion[precio],0))</f>
        <v/>
      </c>
      <c r="AJ608" s="11">
        <f>IF(tblOrdenes[[#This Row],[orden]]="","",MAX(0,_xlfn.XLOOKUP(tblOrdenes[[#This Row],[id_operacion]],tblEjecucion[id_operacion],tblEjecucion[costo_plan_total],0)-tblOrdenes[[#This Row],[costo_servicio]]))</f>
        <v/>
      </c>
      <c r="AK608" s="11">
        <f>IF(tblOrdenes[[#This Row],[orden]]="","",tblOrdenes[[#This Row],[costo_servicio]]+tblOrdenes[[#This Row],[costo_materiales]])</f>
        <v/>
      </c>
      <c r="AL608" s="6" t="n"/>
      <c r="AM608" s="6" t="n"/>
      <c r="AN608" s="6" t="n"/>
      <c r="AO608" s="3">
        <f>IF(tblOrdenes[[#This Row],[link_checklist]]="","",HYPERLINK(p_ruta_base_checklists&amp;tblOrdenes[[#This Row],[link_checklist]],"abrir"))</f>
        <v/>
      </c>
      <c r="AP608" s="6" t="n"/>
      <c r="AQ608" s="3">
        <f>IF(tblOrdenes[[#This Row],[orden]]="","",tblOrdenes[[#This Row],[orden]]&amp;IF(tblOrdenes[[#This Row],[operacion]]="","0010",tblOrdenes[[#This Row],[operacion]]))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2" t="n"/>
      <c r="K609" s="3" t="n"/>
      <c r="L609" s="11" t="n"/>
      <c r="M6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9" s="3">
        <f>IF(tblOrdenes[[#This Row],[fecha_inicio]]="","",YEAR(tblOrdenes[[#This Row],[fecha_inicio]]))</f>
        <v/>
      </c>
      <c r="Q609" s="3">
        <f>IF(tblOrdenes[[#This Row],[fecha_inicio]]="","",MONTH(tblOrdenes[[#This Row],[fecha_inicio]]))</f>
        <v/>
      </c>
      <c r="R609" s="3">
        <f>IF(tblOrdenes[[#This Row],[fecha_inicio]]="","",INDEX(lista_dias,WEEKDAY(tblOrdenes[[#This Row],[fecha_inicio]],2)))</f>
        <v/>
      </c>
      <c r="S6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9" s="3">
        <f>IF(tblOrdenes[[#This Row],[tipo_ot]]="","",_xlfn.XLOOKUP(tblOrdenes[[#This Row],[tipo_ot]],tblTiposOT[codigo],tblTiposOT[clasificacion],"sin_clasificar"))</f>
        <v/>
      </c>
      <c r="U609" s="3">
        <f>IF(tblOrdenes[[#This Row],[centro_costo]]="","",_xlfn.XLOOKUP(tblOrdenes[[#This Row],[centro_costo]],tblCECO[codigo],tblCECO[linea],"(sin catálogo)"))</f>
        <v/>
      </c>
      <c r="V609" s="3">
        <f>IF(tblOrdenes[[#This Row],[centro_costo]]="","",_xlfn.XLOOKUP(tblOrdenes[[#This Row],[centro_costo]],tblCECO[codigo],tblCECO[area],"(sin catálogo)"))</f>
        <v/>
      </c>
      <c r="W6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9" s="3">
        <f>IF(tblOrdenes[[#This Row],[centro_costo]]="","",_xlfn.XLOOKUP(tblOrdenes[[#This Row],[centro_costo]],tblCECO[codigo],tblCECO[coordinador],"(sin catálogo)"))</f>
        <v/>
      </c>
      <c r="Y609" s="3">
        <f>IF(tblOrdenes[[#This Row],[puesto_trabajo]]="","",_xlfn.XLOOKUP(tblOrdenes[[#This Row],[puesto_trabajo]],tblPuestos[codigo],tblPuestos[especialidad],"(sin catálogo)"))</f>
        <v/>
      </c>
      <c r="Z609" s="3">
        <f>IF(tblOrdenes[[#This Row],[cod_actividad]]="","",_xlfn.XLOOKUP(tblOrdenes[[#This Row],[cod_actividad]],tblActividades[codigo],tblActividades[descripcion],"(sin catálogo)"))</f>
        <v/>
      </c>
      <c r="AA609" s="13">
        <f>IF(tblOrdenes[[#This Row],[fecha_inicio]]="","",TODAY()-tblOrdenes[[#This Row],[fecha_inicio]])</f>
        <v/>
      </c>
      <c r="AB6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9" s="3">
        <f>IF(tblOrdenes[[#This Row],[backlog_habiles]]="","",IF(tblOrdenes[[#This Row],[backlog_habiles]]&lt;0,"FUTURO",IF(tblOrdenes[[#This Row],[backlog_habiles]]&gt;p_dias_backlog_max,"BACKLOG","MES CORRIENTE")))</f>
        <v/>
      </c>
      <c r="AD609" s="3">
        <f>IF(tblOrdenes[[#This Row],[backlog_habiles]]="",FALSE,AND(tblOrdenes[[#This Row],[backlog_habiles]]&gt;p_dias_backlog_min,tblOrdenes[[#This Row],[backlog_habiles]]&lt;=p_dias_backlog_max))</f>
        <v/>
      </c>
      <c r="AE609" s="6" t="n"/>
      <c r="AF6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9" s="11">
        <f>IF(tblOrdenes[[#This Row],[orden]]="","",_xlfn.XLOOKUP(tblOrdenes[[#This Row],[id_operacion]],tblEjecucion[id_operacion],tblEjecucion[precio],0))</f>
        <v/>
      </c>
      <c r="AJ609" s="11">
        <f>IF(tblOrdenes[[#This Row],[orden]]="","",MAX(0,_xlfn.XLOOKUP(tblOrdenes[[#This Row],[id_operacion]],tblEjecucion[id_operacion],tblEjecucion[costo_plan_total],0)-tblOrdenes[[#This Row],[costo_servicio]]))</f>
        <v/>
      </c>
      <c r="AK609" s="11">
        <f>IF(tblOrdenes[[#This Row],[orden]]="","",tblOrdenes[[#This Row],[costo_servicio]]+tblOrdenes[[#This Row],[costo_materiales]])</f>
        <v/>
      </c>
      <c r="AL609" s="6" t="n"/>
      <c r="AM609" s="6" t="n"/>
      <c r="AN609" s="6" t="n"/>
      <c r="AO609" s="3">
        <f>IF(tblOrdenes[[#This Row],[link_checklist]]="","",HYPERLINK(p_ruta_base_checklists&amp;tblOrdenes[[#This Row],[link_checklist]],"abrir"))</f>
        <v/>
      </c>
      <c r="AP609" s="6" t="n"/>
      <c r="AQ609" s="3">
        <f>IF(tblOrdenes[[#This Row],[orden]]="","",tblOrdenes[[#This Row],[orden]]&amp;IF(tblOrdenes[[#This Row],[operacion]]="","0010",tblOrdenes[[#This Row],[operacion]]))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2" t="n"/>
      <c r="K610" s="3" t="n"/>
      <c r="L610" s="11" t="n"/>
      <c r="M6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0" s="3">
        <f>IF(tblOrdenes[[#This Row],[fecha_inicio]]="","",YEAR(tblOrdenes[[#This Row],[fecha_inicio]]))</f>
        <v/>
      </c>
      <c r="Q610" s="3">
        <f>IF(tblOrdenes[[#This Row],[fecha_inicio]]="","",MONTH(tblOrdenes[[#This Row],[fecha_inicio]]))</f>
        <v/>
      </c>
      <c r="R610" s="3">
        <f>IF(tblOrdenes[[#This Row],[fecha_inicio]]="","",INDEX(lista_dias,WEEKDAY(tblOrdenes[[#This Row],[fecha_inicio]],2)))</f>
        <v/>
      </c>
      <c r="S6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0" s="3">
        <f>IF(tblOrdenes[[#This Row],[tipo_ot]]="","",_xlfn.XLOOKUP(tblOrdenes[[#This Row],[tipo_ot]],tblTiposOT[codigo],tblTiposOT[clasificacion],"sin_clasificar"))</f>
        <v/>
      </c>
      <c r="U610" s="3">
        <f>IF(tblOrdenes[[#This Row],[centro_costo]]="","",_xlfn.XLOOKUP(tblOrdenes[[#This Row],[centro_costo]],tblCECO[codigo],tblCECO[linea],"(sin catálogo)"))</f>
        <v/>
      </c>
      <c r="V610" s="3">
        <f>IF(tblOrdenes[[#This Row],[centro_costo]]="","",_xlfn.XLOOKUP(tblOrdenes[[#This Row],[centro_costo]],tblCECO[codigo],tblCECO[area],"(sin catálogo)"))</f>
        <v/>
      </c>
      <c r="W6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0" s="3">
        <f>IF(tblOrdenes[[#This Row],[centro_costo]]="","",_xlfn.XLOOKUP(tblOrdenes[[#This Row],[centro_costo]],tblCECO[codigo],tblCECO[coordinador],"(sin catálogo)"))</f>
        <v/>
      </c>
      <c r="Y610" s="3">
        <f>IF(tblOrdenes[[#This Row],[puesto_trabajo]]="","",_xlfn.XLOOKUP(tblOrdenes[[#This Row],[puesto_trabajo]],tblPuestos[codigo],tblPuestos[especialidad],"(sin catálogo)"))</f>
        <v/>
      </c>
      <c r="Z610" s="3">
        <f>IF(tblOrdenes[[#This Row],[cod_actividad]]="","",_xlfn.XLOOKUP(tblOrdenes[[#This Row],[cod_actividad]],tblActividades[codigo],tblActividades[descripcion],"(sin catálogo)"))</f>
        <v/>
      </c>
      <c r="AA610" s="13">
        <f>IF(tblOrdenes[[#This Row],[fecha_inicio]]="","",TODAY()-tblOrdenes[[#This Row],[fecha_inicio]])</f>
        <v/>
      </c>
      <c r="AB6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0" s="3">
        <f>IF(tblOrdenes[[#This Row],[backlog_habiles]]="","",IF(tblOrdenes[[#This Row],[backlog_habiles]]&lt;0,"FUTURO",IF(tblOrdenes[[#This Row],[backlog_habiles]]&gt;p_dias_backlog_max,"BACKLOG","MES CORRIENTE")))</f>
        <v/>
      </c>
      <c r="AD610" s="3">
        <f>IF(tblOrdenes[[#This Row],[backlog_habiles]]="",FALSE,AND(tblOrdenes[[#This Row],[backlog_habiles]]&gt;p_dias_backlog_min,tblOrdenes[[#This Row],[backlog_habiles]]&lt;=p_dias_backlog_max))</f>
        <v/>
      </c>
      <c r="AE610" s="6" t="n"/>
      <c r="AF6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0" s="11">
        <f>IF(tblOrdenes[[#This Row],[orden]]="","",_xlfn.XLOOKUP(tblOrdenes[[#This Row],[id_operacion]],tblEjecucion[id_operacion],tblEjecucion[precio],0))</f>
        <v/>
      </c>
      <c r="AJ610" s="11">
        <f>IF(tblOrdenes[[#This Row],[orden]]="","",MAX(0,_xlfn.XLOOKUP(tblOrdenes[[#This Row],[id_operacion]],tblEjecucion[id_operacion],tblEjecucion[costo_plan_total],0)-tblOrdenes[[#This Row],[costo_servicio]]))</f>
        <v/>
      </c>
      <c r="AK610" s="11">
        <f>IF(tblOrdenes[[#This Row],[orden]]="","",tblOrdenes[[#This Row],[costo_servicio]]+tblOrdenes[[#This Row],[costo_materiales]])</f>
        <v/>
      </c>
      <c r="AL610" s="6" t="n"/>
      <c r="AM610" s="6" t="n"/>
      <c r="AN610" s="6" t="n"/>
      <c r="AO610" s="3">
        <f>IF(tblOrdenes[[#This Row],[link_checklist]]="","",HYPERLINK(p_ruta_base_checklists&amp;tblOrdenes[[#This Row],[link_checklist]],"abrir"))</f>
        <v/>
      </c>
      <c r="AP610" s="6" t="n"/>
      <c r="AQ610" s="3">
        <f>IF(tblOrdenes[[#This Row],[orden]]="","",tblOrdenes[[#This Row],[orden]]&amp;IF(tblOrdenes[[#This Row],[operacion]]="","0010",tblOrdenes[[#This Row],[operacion]]))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2" t="n"/>
      <c r="K611" s="3" t="n"/>
      <c r="L611" s="11" t="n"/>
      <c r="M6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1" s="3">
        <f>IF(tblOrdenes[[#This Row],[fecha_inicio]]="","",YEAR(tblOrdenes[[#This Row],[fecha_inicio]]))</f>
        <v/>
      </c>
      <c r="Q611" s="3">
        <f>IF(tblOrdenes[[#This Row],[fecha_inicio]]="","",MONTH(tblOrdenes[[#This Row],[fecha_inicio]]))</f>
        <v/>
      </c>
      <c r="R611" s="3">
        <f>IF(tblOrdenes[[#This Row],[fecha_inicio]]="","",INDEX(lista_dias,WEEKDAY(tblOrdenes[[#This Row],[fecha_inicio]],2)))</f>
        <v/>
      </c>
      <c r="S6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1" s="3">
        <f>IF(tblOrdenes[[#This Row],[tipo_ot]]="","",_xlfn.XLOOKUP(tblOrdenes[[#This Row],[tipo_ot]],tblTiposOT[codigo],tblTiposOT[clasificacion],"sin_clasificar"))</f>
        <v/>
      </c>
      <c r="U611" s="3">
        <f>IF(tblOrdenes[[#This Row],[centro_costo]]="","",_xlfn.XLOOKUP(tblOrdenes[[#This Row],[centro_costo]],tblCECO[codigo],tblCECO[linea],"(sin catálogo)"))</f>
        <v/>
      </c>
      <c r="V611" s="3">
        <f>IF(tblOrdenes[[#This Row],[centro_costo]]="","",_xlfn.XLOOKUP(tblOrdenes[[#This Row],[centro_costo]],tblCECO[codigo],tblCECO[area],"(sin catálogo)"))</f>
        <v/>
      </c>
      <c r="W6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1" s="3">
        <f>IF(tblOrdenes[[#This Row],[centro_costo]]="","",_xlfn.XLOOKUP(tblOrdenes[[#This Row],[centro_costo]],tblCECO[codigo],tblCECO[coordinador],"(sin catálogo)"))</f>
        <v/>
      </c>
      <c r="Y611" s="3">
        <f>IF(tblOrdenes[[#This Row],[puesto_trabajo]]="","",_xlfn.XLOOKUP(tblOrdenes[[#This Row],[puesto_trabajo]],tblPuestos[codigo],tblPuestos[especialidad],"(sin catálogo)"))</f>
        <v/>
      </c>
      <c r="Z611" s="3">
        <f>IF(tblOrdenes[[#This Row],[cod_actividad]]="","",_xlfn.XLOOKUP(tblOrdenes[[#This Row],[cod_actividad]],tblActividades[codigo],tblActividades[descripcion],"(sin catálogo)"))</f>
        <v/>
      </c>
      <c r="AA611" s="13">
        <f>IF(tblOrdenes[[#This Row],[fecha_inicio]]="","",TODAY()-tblOrdenes[[#This Row],[fecha_inicio]])</f>
        <v/>
      </c>
      <c r="AB6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1" s="3">
        <f>IF(tblOrdenes[[#This Row],[backlog_habiles]]="","",IF(tblOrdenes[[#This Row],[backlog_habiles]]&lt;0,"FUTURO",IF(tblOrdenes[[#This Row],[backlog_habiles]]&gt;p_dias_backlog_max,"BACKLOG","MES CORRIENTE")))</f>
        <v/>
      </c>
      <c r="AD611" s="3">
        <f>IF(tblOrdenes[[#This Row],[backlog_habiles]]="",FALSE,AND(tblOrdenes[[#This Row],[backlog_habiles]]&gt;p_dias_backlog_min,tblOrdenes[[#This Row],[backlog_habiles]]&lt;=p_dias_backlog_max))</f>
        <v/>
      </c>
      <c r="AE611" s="6" t="n"/>
      <c r="AF6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1" s="11">
        <f>IF(tblOrdenes[[#This Row],[orden]]="","",_xlfn.XLOOKUP(tblOrdenes[[#This Row],[id_operacion]],tblEjecucion[id_operacion],tblEjecucion[precio],0))</f>
        <v/>
      </c>
      <c r="AJ611" s="11">
        <f>IF(tblOrdenes[[#This Row],[orden]]="","",MAX(0,_xlfn.XLOOKUP(tblOrdenes[[#This Row],[id_operacion]],tblEjecucion[id_operacion],tblEjecucion[costo_plan_total],0)-tblOrdenes[[#This Row],[costo_servicio]]))</f>
        <v/>
      </c>
      <c r="AK611" s="11">
        <f>IF(tblOrdenes[[#This Row],[orden]]="","",tblOrdenes[[#This Row],[costo_servicio]]+tblOrdenes[[#This Row],[costo_materiales]])</f>
        <v/>
      </c>
      <c r="AL611" s="6" t="n"/>
      <c r="AM611" s="6" t="n"/>
      <c r="AN611" s="6" t="n"/>
      <c r="AO611" s="3">
        <f>IF(tblOrdenes[[#This Row],[link_checklist]]="","",HYPERLINK(p_ruta_base_checklists&amp;tblOrdenes[[#This Row],[link_checklist]],"abrir"))</f>
        <v/>
      </c>
      <c r="AP611" s="6" t="n"/>
      <c r="AQ611" s="3">
        <f>IF(tblOrdenes[[#This Row],[orden]]="","",tblOrdenes[[#This Row],[orden]]&amp;IF(tblOrdenes[[#This Row],[operacion]]="","0010",tblOrdenes[[#This Row],[operacion]]))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2" t="n"/>
      <c r="K612" s="3" t="n"/>
      <c r="L612" s="11" t="n"/>
      <c r="M6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2" s="3">
        <f>IF(tblOrdenes[[#This Row],[fecha_inicio]]="","",YEAR(tblOrdenes[[#This Row],[fecha_inicio]]))</f>
        <v/>
      </c>
      <c r="Q612" s="3">
        <f>IF(tblOrdenes[[#This Row],[fecha_inicio]]="","",MONTH(tblOrdenes[[#This Row],[fecha_inicio]]))</f>
        <v/>
      </c>
      <c r="R612" s="3">
        <f>IF(tblOrdenes[[#This Row],[fecha_inicio]]="","",INDEX(lista_dias,WEEKDAY(tblOrdenes[[#This Row],[fecha_inicio]],2)))</f>
        <v/>
      </c>
      <c r="S6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2" s="3">
        <f>IF(tblOrdenes[[#This Row],[tipo_ot]]="","",_xlfn.XLOOKUP(tblOrdenes[[#This Row],[tipo_ot]],tblTiposOT[codigo],tblTiposOT[clasificacion],"sin_clasificar"))</f>
        <v/>
      </c>
      <c r="U612" s="3">
        <f>IF(tblOrdenes[[#This Row],[centro_costo]]="","",_xlfn.XLOOKUP(tblOrdenes[[#This Row],[centro_costo]],tblCECO[codigo],tblCECO[linea],"(sin catálogo)"))</f>
        <v/>
      </c>
      <c r="V612" s="3">
        <f>IF(tblOrdenes[[#This Row],[centro_costo]]="","",_xlfn.XLOOKUP(tblOrdenes[[#This Row],[centro_costo]],tblCECO[codigo],tblCECO[area],"(sin catálogo)"))</f>
        <v/>
      </c>
      <c r="W6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2" s="3">
        <f>IF(tblOrdenes[[#This Row],[centro_costo]]="","",_xlfn.XLOOKUP(tblOrdenes[[#This Row],[centro_costo]],tblCECO[codigo],tblCECO[coordinador],"(sin catálogo)"))</f>
        <v/>
      </c>
      <c r="Y612" s="3">
        <f>IF(tblOrdenes[[#This Row],[puesto_trabajo]]="","",_xlfn.XLOOKUP(tblOrdenes[[#This Row],[puesto_trabajo]],tblPuestos[codigo],tblPuestos[especialidad],"(sin catálogo)"))</f>
        <v/>
      </c>
      <c r="Z612" s="3">
        <f>IF(tblOrdenes[[#This Row],[cod_actividad]]="","",_xlfn.XLOOKUP(tblOrdenes[[#This Row],[cod_actividad]],tblActividades[codigo],tblActividades[descripcion],"(sin catálogo)"))</f>
        <v/>
      </c>
      <c r="AA612" s="13">
        <f>IF(tblOrdenes[[#This Row],[fecha_inicio]]="","",TODAY()-tblOrdenes[[#This Row],[fecha_inicio]])</f>
        <v/>
      </c>
      <c r="AB6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2" s="3">
        <f>IF(tblOrdenes[[#This Row],[backlog_habiles]]="","",IF(tblOrdenes[[#This Row],[backlog_habiles]]&lt;0,"FUTURO",IF(tblOrdenes[[#This Row],[backlog_habiles]]&gt;p_dias_backlog_max,"BACKLOG","MES CORRIENTE")))</f>
        <v/>
      </c>
      <c r="AD612" s="3">
        <f>IF(tblOrdenes[[#This Row],[backlog_habiles]]="",FALSE,AND(tblOrdenes[[#This Row],[backlog_habiles]]&gt;p_dias_backlog_min,tblOrdenes[[#This Row],[backlog_habiles]]&lt;=p_dias_backlog_max))</f>
        <v/>
      </c>
      <c r="AE612" s="6" t="n"/>
      <c r="AF6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2" s="11">
        <f>IF(tblOrdenes[[#This Row],[orden]]="","",_xlfn.XLOOKUP(tblOrdenes[[#This Row],[id_operacion]],tblEjecucion[id_operacion],tblEjecucion[precio],0))</f>
        <v/>
      </c>
      <c r="AJ612" s="11">
        <f>IF(tblOrdenes[[#This Row],[orden]]="","",MAX(0,_xlfn.XLOOKUP(tblOrdenes[[#This Row],[id_operacion]],tblEjecucion[id_operacion],tblEjecucion[costo_plan_total],0)-tblOrdenes[[#This Row],[costo_servicio]]))</f>
        <v/>
      </c>
      <c r="AK612" s="11">
        <f>IF(tblOrdenes[[#This Row],[orden]]="","",tblOrdenes[[#This Row],[costo_servicio]]+tblOrdenes[[#This Row],[costo_materiales]])</f>
        <v/>
      </c>
      <c r="AL612" s="6" t="n"/>
      <c r="AM612" s="6" t="n"/>
      <c r="AN612" s="6" t="n"/>
      <c r="AO612" s="3">
        <f>IF(tblOrdenes[[#This Row],[link_checklist]]="","",HYPERLINK(p_ruta_base_checklists&amp;tblOrdenes[[#This Row],[link_checklist]],"abrir"))</f>
        <v/>
      </c>
      <c r="AP612" s="6" t="n"/>
      <c r="AQ612" s="3">
        <f>IF(tblOrdenes[[#This Row],[orden]]="","",tblOrdenes[[#This Row],[orden]]&amp;IF(tblOrdenes[[#This Row],[operacion]]="","0010",tblOrdenes[[#This Row],[operacion]]))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2" t="n"/>
      <c r="K613" s="3" t="n"/>
      <c r="L613" s="11" t="n"/>
      <c r="M6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3" s="3">
        <f>IF(tblOrdenes[[#This Row],[fecha_inicio]]="","",YEAR(tblOrdenes[[#This Row],[fecha_inicio]]))</f>
        <v/>
      </c>
      <c r="Q613" s="3">
        <f>IF(tblOrdenes[[#This Row],[fecha_inicio]]="","",MONTH(tblOrdenes[[#This Row],[fecha_inicio]]))</f>
        <v/>
      </c>
      <c r="R613" s="3">
        <f>IF(tblOrdenes[[#This Row],[fecha_inicio]]="","",INDEX(lista_dias,WEEKDAY(tblOrdenes[[#This Row],[fecha_inicio]],2)))</f>
        <v/>
      </c>
      <c r="S6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3" s="3">
        <f>IF(tblOrdenes[[#This Row],[tipo_ot]]="","",_xlfn.XLOOKUP(tblOrdenes[[#This Row],[tipo_ot]],tblTiposOT[codigo],tblTiposOT[clasificacion],"sin_clasificar"))</f>
        <v/>
      </c>
      <c r="U613" s="3">
        <f>IF(tblOrdenes[[#This Row],[centro_costo]]="","",_xlfn.XLOOKUP(tblOrdenes[[#This Row],[centro_costo]],tblCECO[codigo],tblCECO[linea],"(sin catálogo)"))</f>
        <v/>
      </c>
      <c r="V613" s="3">
        <f>IF(tblOrdenes[[#This Row],[centro_costo]]="","",_xlfn.XLOOKUP(tblOrdenes[[#This Row],[centro_costo]],tblCECO[codigo],tblCECO[area],"(sin catálogo)"))</f>
        <v/>
      </c>
      <c r="W6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3" s="3">
        <f>IF(tblOrdenes[[#This Row],[centro_costo]]="","",_xlfn.XLOOKUP(tblOrdenes[[#This Row],[centro_costo]],tblCECO[codigo],tblCECO[coordinador],"(sin catálogo)"))</f>
        <v/>
      </c>
      <c r="Y613" s="3">
        <f>IF(tblOrdenes[[#This Row],[puesto_trabajo]]="","",_xlfn.XLOOKUP(tblOrdenes[[#This Row],[puesto_trabajo]],tblPuestos[codigo],tblPuestos[especialidad],"(sin catálogo)"))</f>
        <v/>
      </c>
      <c r="Z613" s="3">
        <f>IF(tblOrdenes[[#This Row],[cod_actividad]]="","",_xlfn.XLOOKUP(tblOrdenes[[#This Row],[cod_actividad]],tblActividades[codigo],tblActividades[descripcion],"(sin catálogo)"))</f>
        <v/>
      </c>
      <c r="AA613" s="13">
        <f>IF(tblOrdenes[[#This Row],[fecha_inicio]]="","",TODAY()-tblOrdenes[[#This Row],[fecha_inicio]])</f>
        <v/>
      </c>
      <c r="AB6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3" s="3">
        <f>IF(tblOrdenes[[#This Row],[backlog_habiles]]="","",IF(tblOrdenes[[#This Row],[backlog_habiles]]&lt;0,"FUTURO",IF(tblOrdenes[[#This Row],[backlog_habiles]]&gt;p_dias_backlog_max,"BACKLOG","MES CORRIENTE")))</f>
        <v/>
      </c>
      <c r="AD613" s="3">
        <f>IF(tblOrdenes[[#This Row],[backlog_habiles]]="",FALSE,AND(tblOrdenes[[#This Row],[backlog_habiles]]&gt;p_dias_backlog_min,tblOrdenes[[#This Row],[backlog_habiles]]&lt;=p_dias_backlog_max))</f>
        <v/>
      </c>
      <c r="AE613" s="6" t="n"/>
      <c r="AF6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3" s="11">
        <f>IF(tblOrdenes[[#This Row],[orden]]="","",_xlfn.XLOOKUP(tblOrdenes[[#This Row],[id_operacion]],tblEjecucion[id_operacion],tblEjecucion[precio],0))</f>
        <v/>
      </c>
      <c r="AJ613" s="11">
        <f>IF(tblOrdenes[[#This Row],[orden]]="","",MAX(0,_xlfn.XLOOKUP(tblOrdenes[[#This Row],[id_operacion]],tblEjecucion[id_operacion],tblEjecucion[costo_plan_total],0)-tblOrdenes[[#This Row],[costo_servicio]]))</f>
        <v/>
      </c>
      <c r="AK613" s="11">
        <f>IF(tblOrdenes[[#This Row],[orden]]="","",tblOrdenes[[#This Row],[costo_servicio]]+tblOrdenes[[#This Row],[costo_materiales]])</f>
        <v/>
      </c>
      <c r="AL613" s="6" t="n"/>
      <c r="AM613" s="6" t="n"/>
      <c r="AN613" s="6" t="n"/>
      <c r="AO613" s="3">
        <f>IF(tblOrdenes[[#This Row],[link_checklist]]="","",HYPERLINK(p_ruta_base_checklists&amp;tblOrdenes[[#This Row],[link_checklist]],"abrir"))</f>
        <v/>
      </c>
      <c r="AP613" s="6" t="n"/>
      <c r="AQ613" s="3">
        <f>IF(tblOrdenes[[#This Row],[orden]]="","",tblOrdenes[[#This Row],[orden]]&amp;IF(tblOrdenes[[#This Row],[operacion]]="","0010",tblOrdenes[[#This Row],[operacion]]))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2" t="n"/>
      <c r="K614" s="3" t="n"/>
      <c r="L614" s="11" t="n"/>
      <c r="M6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4" s="3">
        <f>IF(tblOrdenes[[#This Row],[fecha_inicio]]="","",YEAR(tblOrdenes[[#This Row],[fecha_inicio]]))</f>
        <v/>
      </c>
      <c r="Q614" s="3">
        <f>IF(tblOrdenes[[#This Row],[fecha_inicio]]="","",MONTH(tblOrdenes[[#This Row],[fecha_inicio]]))</f>
        <v/>
      </c>
      <c r="R614" s="3">
        <f>IF(tblOrdenes[[#This Row],[fecha_inicio]]="","",INDEX(lista_dias,WEEKDAY(tblOrdenes[[#This Row],[fecha_inicio]],2)))</f>
        <v/>
      </c>
      <c r="S6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4" s="3">
        <f>IF(tblOrdenes[[#This Row],[tipo_ot]]="","",_xlfn.XLOOKUP(tblOrdenes[[#This Row],[tipo_ot]],tblTiposOT[codigo],tblTiposOT[clasificacion],"sin_clasificar"))</f>
        <v/>
      </c>
      <c r="U614" s="3">
        <f>IF(tblOrdenes[[#This Row],[centro_costo]]="","",_xlfn.XLOOKUP(tblOrdenes[[#This Row],[centro_costo]],tblCECO[codigo],tblCECO[linea],"(sin catálogo)"))</f>
        <v/>
      </c>
      <c r="V614" s="3">
        <f>IF(tblOrdenes[[#This Row],[centro_costo]]="","",_xlfn.XLOOKUP(tblOrdenes[[#This Row],[centro_costo]],tblCECO[codigo],tblCECO[area],"(sin catálogo)"))</f>
        <v/>
      </c>
      <c r="W6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4" s="3">
        <f>IF(tblOrdenes[[#This Row],[centro_costo]]="","",_xlfn.XLOOKUP(tblOrdenes[[#This Row],[centro_costo]],tblCECO[codigo],tblCECO[coordinador],"(sin catálogo)"))</f>
        <v/>
      </c>
      <c r="Y614" s="3">
        <f>IF(tblOrdenes[[#This Row],[puesto_trabajo]]="","",_xlfn.XLOOKUP(tblOrdenes[[#This Row],[puesto_trabajo]],tblPuestos[codigo],tblPuestos[especialidad],"(sin catálogo)"))</f>
        <v/>
      </c>
      <c r="Z614" s="3">
        <f>IF(tblOrdenes[[#This Row],[cod_actividad]]="","",_xlfn.XLOOKUP(tblOrdenes[[#This Row],[cod_actividad]],tblActividades[codigo],tblActividades[descripcion],"(sin catálogo)"))</f>
        <v/>
      </c>
      <c r="AA614" s="13">
        <f>IF(tblOrdenes[[#This Row],[fecha_inicio]]="","",TODAY()-tblOrdenes[[#This Row],[fecha_inicio]])</f>
        <v/>
      </c>
      <c r="AB6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4" s="3">
        <f>IF(tblOrdenes[[#This Row],[backlog_habiles]]="","",IF(tblOrdenes[[#This Row],[backlog_habiles]]&lt;0,"FUTURO",IF(tblOrdenes[[#This Row],[backlog_habiles]]&gt;p_dias_backlog_max,"BACKLOG","MES CORRIENTE")))</f>
        <v/>
      </c>
      <c r="AD614" s="3">
        <f>IF(tblOrdenes[[#This Row],[backlog_habiles]]="",FALSE,AND(tblOrdenes[[#This Row],[backlog_habiles]]&gt;p_dias_backlog_min,tblOrdenes[[#This Row],[backlog_habiles]]&lt;=p_dias_backlog_max))</f>
        <v/>
      </c>
      <c r="AE614" s="6" t="n"/>
      <c r="AF6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4" s="11">
        <f>IF(tblOrdenes[[#This Row],[orden]]="","",_xlfn.XLOOKUP(tblOrdenes[[#This Row],[id_operacion]],tblEjecucion[id_operacion],tblEjecucion[precio],0))</f>
        <v/>
      </c>
      <c r="AJ614" s="11">
        <f>IF(tblOrdenes[[#This Row],[orden]]="","",MAX(0,_xlfn.XLOOKUP(tblOrdenes[[#This Row],[id_operacion]],tblEjecucion[id_operacion],tblEjecucion[costo_plan_total],0)-tblOrdenes[[#This Row],[costo_servicio]]))</f>
        <v/>
      </c>
      <c r="AK614" s="11">
        <f>IF(tblOrdenes[[#This Row],[orden]]="","",tblOrdenes[[#This Row],[costo_servicio]]+tblOrdenes[[#This Row],[costo_materiales]])</f>
        <v/>
      </c>
      <c r="AL614" s="6" t="n"/>
      <c r="AM614" s="6" t="n"/>
      <c r="AN614" s="6" t="n"/>
      <c r="AO614" s="3">
        <f>IF(tblOrdenes[[#This Row],[link_checklist]]="","",HYPERLINK(p_ruta_base_checklists&amp;tblOrdenes[[#This Row],[link_checklist]],"abrir"))</f>
        <v/>
      </c>
      <c r="AP614" s="6" t="n"/>
      <c r="AQ614" s="3">
        <f>IF(tblOrdenes[[#This Row],[orden]]="","",tblOrdenes[[#This Row],[orden]]&amp;IF(tblOrdenes[[#This Row],[operacion]]="","0010",tblOrdenes[[#This Row],[operacion]]))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2" t="n"/>
      <c r="K615" s="3" t="n"/>
      <c r="L615" s="11" t="n"/>
      <c r="M6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5" s="3">
        <f>IF(tblOrdenes[[#This Row],[fecha_inicio]]="","",YEAR(tblOrdenes[[#This Row],[fecha_inicio]]))</f>
        <v/>
      </c>
      <c r="Q615" s="3">
        <f>IF(tblOrdenes[[#This Row],[fecha_inicio]]="","",MONTH(tblOrdenes[[#This Row],[fecha_inicio]]))</f>
        <v/>
      </c>
      <c r="R615" s="3">
        <f>IF(tblOrdenes[[#This Row],[fecha_inicio]]="","",INDEX(lista_dias,WEEKDAY(tblOrdenes[[#This Row],[fecha_inicio]],2)))</f>
        <v/>
      </c>
      <c r="S6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5" s="3">
        <f>IF(tblOrdenes[[#This Row],[tipo_ot]]="","",_xlfn.XLOOKUP(tblOrdenes[[#This Row],[tipo_ot]],tblTiposOT[codigo],tblTiposOT[clasificacion],"sin_clasificar"))</f>
        <v/>
      </c>
      <c r="U615" s="3">
        <f>IF(tblOrdenes[[#This Row],[centro_costo]]="","",_xlfn.XLOOKUP(tblOrdenes[[#This Row],[centro_costo]],tblCECO[codigo],tblCECO[linea],"(sin catálogo)"))</f>
        <v/>
      </c>
      <c r="V615" s="3">
        <f>IF(tblOrdenes[[#This Row],[centro_costo]]="","",_xlfn.XLOOKUP(tblOrdenes[[#This Row],[centro_costo]],tblCECO[codigo],tblCECO[area],"(sin catálogo)"))</f>
        <v/>
      </c>
      <c r="W6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5" s="3">
        <f>IF(tblOrdenes[[#This Row],[centro_costo]]="","",_xlfn.XLOOKUP(tblOrdenes[[#This Row],[centro_costo]],tblCECO[codigo],tblCECO[coordinador],"(sin catálogo)"))</f>
        <v/>
      </c>
      <c r="Y615" s="3">
        <f>IF(tblOrdenes[[#This Row],[puesto_trabajo]]="","",_xlfn.XLOOKUP(tblOrdenes[[#This Row],[puesto_trabajo]],tblPuestos[codigo],tblPuestos[especialidad],"(sin catálogo)"))</f>
        <v/>
      </c>
      <c r="Z615" s="3">
        <f>IF(tblOrdenes[[#This Row],[cod_actividad]]="","",_xlfn.XLOOKUP(tblOrdenes[[#This Row],[cod_actividad]],tblActividades[codigo],tblActividades[descripcion],"(sin catálogo)"))</f>
        <v/>
      </c>
      <c r="AA615" s="13">
        <f>IF(tblOrdenes[[#This Row],[fecha_inicio]]="","",TODAY()-tblOrdenes[[#This Row],[fecha_inicio]])</f>
        <v/>
      </c>
      <c r="AB6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5" s="3">
        <f>IF(tblOrdenes[[#This Row],[backlog_habiles]]="","",IF(tblOrdenes[[#This Row],[backlog_habiles]]&lt;0,"FUTURO",IF(tblOrdenes[[#This Row],[backlog_habiles]]&gt;p_dias_backlog_max,"BACKLOG","MES CORRIENTE")))</f>
        <v/>
      </c>
      <c r="AD615" s="3">
        <f>IF(tblOrdenes[[#This Row],[backlog_habiles]]="",FALSE,AND(tblOrdenes[[#This Row],[backlog_habiles]]&gt;p_dias_backlog_min,tblOrdenes[[#This Row],[backlog_habiles]]&lt;=p_dias_backlog_max))</f>
        <v/>
      </c>
      <c r="AE615" s="6" t="n"/>
      <c r="AF6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5" s="11">
        <f>IF(tblOrdenes[[#This Row],[orden]]="","",_xlfn.XLOOKUP(tblOrdenes[[#This Row],[id_operacion]],tblEjecucion[id_operacion],tblEjecucion[precio],0))</f>
        <v/>
      </c>
      <c r="AJ615" s="11">
        <f>IF(tblOrdenes[[#This Row],[orden]]="","",MAX(0,_xlfn.XLOOKUP(tblOrdenes[[#This Row],[id_operacion]],tblEjecucion[id_operacion],tblEjecucion[costo_plan_total],0)-tblOrdenes[[#This Row],[costo_servicio]]))</f>
        <v/>
      </c>
      <c r="AK615" s="11">
        <f>IF(tblOrdenes[[#This Row],[orden]]="","",tblOrdenes[[#This Row],[costo_servicio]]+tblOrdenes[[#This Row],[costo_materiales]])</f>
        <v/>
      </c>
      <c r="AL615" s="6" t="n"/>
      <c r="AM615" s="6" t="n"/>
      <c r="AN615" s="6" t="n"/>
      <c r="AO615" s="3">
        <f>IF(tblOrdenes[[#This Row],[link_checklist]]="","",HYPERLINK(p_ruta_base_checklists&amp;tblOrdenes[[#This Row],[link_checklist]],"abrir"))</f>
        <v/>
      </c>
      <c r="AP615" s="6" t="n"/>
      <c r="AQ615" s="3">
        <f>IF(tblOrdenes[[#This Row],[orden]]="","",tblOrdenes[[#This Row],[orden]]&amp;IF(tblOrdenes[[#This Row],[operacion]]="","0010",tblOrdenes[[#This Row],[operacion]]))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2" t="n"/>
      <c r="K616" s="3" t="n"/>
      <c r="L616" s="11" t="n"/>
      <c r="M6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6" s="3">
        <f>IF(tblOrdenes[[#This Row],[fecha_inicio]]="","",YEAR(tblOrdenes[[#This Row],[fecha_inicio]]))</f>
        <v/>
      </c>
      <c r="Q616" s="3">
        <f>IF(tblOrdenes[[#This Row],[fecha_inicio]]="","",MONTH(tblOrdenes[[#This Row],[fecha_inicio]]))</f>
        <v/>
      </c>
      <c r="R616" s="3">
        <f>IF(tblOrdenes[[#This Row],[fecha_inicio]]="","",INDEX(lista_dias,WEEKDAY(tblOrdenes[[#This Row],[fecha_inicio]],2)))</f>
        <v/>
      </c>
      <c r="S6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6" s="3">
        <f>IF(tblOrdenes[[#This Row],[tipo_ot]]="","",_xlfn.XLOOKUP(tblOrdenes[[#This Row],[tipo_ot]],tblTiposOT[codigo],tblTiposOT[clasificacion],"sin_clasificar"))</f>
        <v/>
      </c>
      <c r="U616" s="3">
        <f>IF(tblOrdenes[[#This Row],[centro_costo]]="","",_xlfn.XLOOKUP(tblOrdenes[[#This Row],[centro_costo]],tblCECO[codigo],tblCECO[linea],"(sin catálogo)"))</f>
        <v/>
      </c>
      <c r="V616" s="3">
        <f>IF(tblOrdenes[[#This Row],[centro_costo]]="","",_xlfn.XLOOKUP(tblOrdenes[[#This Row],[centro_costo]],tblCECO[codigo],tblCECO[area],"(sin catálogo)"))</f>
        <v/>
      </c>
      <c r="W6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6" s="3">
        <f>IF(tblOrdenes[[#This Row],[centro_costo]]="","",_xlfn.XLOOKUP(tblOrdenes[[#This Row],[centro_costo]],tblCECO[codigo],tblCECO[coordinador],"(sin catálogo)"))</f>
        <v/>
      </c>
      <c r="Y616" s="3">
        <f>IF(tblOrdenes[[#This Row],[puesto_trabajo]]="","",_xlfn.XLOOKUP(tblOrdenes[[#This Row],[puesto_trabajo]],tblPuestos[codigo],tblPuestos[especialidad],"(sin catálogo)"))</f>
        <v/>
      </c>
      <c r="Z616" s="3">
        <f>IF(tblOrdenes[[#This Row],[cod_actividad]]="","",_xlfn.XLOOKUP(tblOrdenes[[#This Row],[cod_actividad]],tblActividades[codigo],tblActividades[descripcion],"(sin catálogo)"))</f>
        <v/>
      </c>
      <c r="AA616" s="13">
        <f>IF(tblOrdenes[[#This Row],[fecha_inicio]]="","",TODAY()-tblOrdenes[[#This Row],[fecha_inicio]])</f>
        <v/>
      </c>
      <c r="AB6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6" s="3">
        <f>IF(tblOrdenes[[#This Row],[backlog_habiles]]="","",IF(tblOrdenes[[#This Row],[backlog_habiles]]&lt;0,"FUTURO",IF(tblOrdenes[[#This Row],[backlog_habiles]]&gt;p_dias_backlog_max,"BACKLOG","MES CORRIENTE")))</f>
        <v/>
      </c>
      <c r="AD616" s="3">
        <f>IF(tblOrdenes[[#This Row],[backlog_habiles]]="",FALSE,AND(tblOrdenes[[#This Row],[backlog_habiles]]&gt;p_dias_backlog_min,tblOrdenes[[#This Row],[backlog_habiles]]&lt;=p_dias_backlog_max))</f>
        <v/>
      </c>
      <c r="AE616" s="6" t="n"/>
      <c r="AF6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6" s="11">
        <f>IF(tblOrdenes[[#This Row],[orden]]="","",_xlfn.XLOOKUP(tblOrdenes[[#This Row],[id_operacion]],tblEjecucion[id_operacion],tblEjecucion[precio],0))</f>
        <v/>
      </c>
      <c r="AJ616" s="11">
        <f>IF(tblOrdenes[[#This Row],[orden]]="","",MAX(0,_xlfn.XLOOKUP(tblOrdenes[[#This Row],[id_operacion]],tblEjecucion[id_operacion],tblEjecucion[costo_plan_total],0)-tblOrdenes[[#This Row],[costo_servicio]]))</f>
        <v/>
      </c>
      <c r="AK616" s="11">
        <f>IF(tblOrdenes[[#This Row],[orden]]="","",tblOrdenes[[#This Row],[costo_servicio]]+tblOrdenes[[#This Row],[costo_materiales]])</f>
        <v/>
      </c>
      <c r="AL616" s="6" t="n"/>
      <c r="AM616" s="6" t="n"/>
      <c r="AN616" s="6" t="n"/>
      <c r="AO616" s="3">
        <f>IF(tblOrdenes[[#This Row],[link_checklist]]="","",HYPERLINK(p_ruta_base_checklists&amp;tblOrdenes[[#This Row],[link_checklist]],"abrir"))</f>
        <v/>
      </c>
      <c r="AP616" s="6" t="n"/>
      <c r="AQ616" s="3">
        <f>IF(tblOrdenes[[#This Row],[orden]]="","",tblOrdenes[[#This Row],[orden]]&amp;IF(tblOrdenes[[#This Row],[operacion]]="","0010",tblOrdenes[[#This Row],[operacion]]))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2" t="n"/>
      <c r="K617" s="3" t="n"/>
      <c r="L617" s="11" t="n"/>
      <c r="M6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7" s="3">
        <f>IF(tblOrdenes[[#This Row],[fecha_inicio]]="","",YEAR(tblOrdenes[[#This Row],[fecha_inicio]]))</f>
        <v/>
      </c>
      <c r="Q617" s="3">
        <f>IF(tblOrdenes[[#This Row],[fecha_inicio]]="","",MONTH(tblOrdenes[[#This Row],[fecha_inicio]]))</f>
        <v/>
      </c>
      <c r="R617" s="3">
        <f>IF(tblOrdenes[[#This Row],[fecha_inicio]]="","",INDEX(lista_dias,WEEKDAY(tblOrdenes[[#This Row],[fecha_inicio]],2)))</f>
        <v/>
      </c>
      <c r="S6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7" s="3">
        <f>IF(tblOrdenes[[#This Row],[tipo_ot]]="","",_xlfn.XLOOKUP(tblOrdenes[[#This Row],[tipo_ot]],tblTiposOT[codigo],tblTiposOT[clasificacion],"sin_clasificar"))</f>
        <v/>
      </c>
      <c r="U617" s="3">
        <f>IF(tblOrdenes[[#This Row],[centro_costo]]="","",_xlfn.XLOOKUP(tblOrdenes[[#This Row],[centro_costo]],tblCECO[codigo],tblCECO[linea],"(sin catálogo)"))</f>
        <v/>
      </c>
      <c r="V617" s="3">
        <f>IF(tblOrdenes[[#This Row],[centro_costo]]="","",_xlfn.XLOOKUP(tblOrdenes[[#This Row],[centro_costo]],tblCECO[codigo],tblCECO[area],"(sin catálogo)"))</f>
        <v/>
      </c>
      <c r="W6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7" s="3">
        <f>IF(tblOrdenes[[#This Row],[centro_costo]]="","",_xlfn.XLOOKUP(tblOrdenes[[#This Row],[centro_costo]],tblCECO[codigo],tblCECO[coordinador],"(sin catálogo)"))</f>
        <v/>
      </c>
      <c r="Y617" s="3">
        <f>IF(tblOrdenes[[#This Row],[puesto_trabajo]]="","",_xlfn.XLOOKUP(tblOrdenes[[#This Row],[puesto_trabajo]],tblPuestos[codigo],tblPuestos[especialidad],"(sin catálogo)"))</f>
        <v/>
      </c>
      <c r="Z617" s="3">
        <f>IF(tblOrdenes[[#This Row],[cod_actividad]]="","",_xlfn.XLOOKUP(tblOrdenes[[#This Row],[cod_actividad]],tblActividades[codigo],tblActividades[descripcion],"(sin catálogo)"))</f>
        <v/>
      </c>
      <c r="AA617" s="13">
        <f>IF(tblOrdenes[[#This Row],[fecha_inicio]]="","",TODAY()-tblOrdenes[[#This Row],[fecha_inicio]])</f>
        <v/>
      </c>
      <c r="AB6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7" s="3">
        <f>IF(tblOrdenes[[#This Row],[backlog_habiles]]="","",IF(tblOrdenes[[#This Row],[backlog_habiles]]&lt;0,"FUTURO",IF(tblOrdenes[[#This Row],[backlog_habiles]]&gt;p_dias_backlog_max,"BACKLOG","MES CORRIENTE")))</f>
        <v/>
      </c>
      <c r="AD617" s="3">
        <f>IF(tblOrdenes[[#This Row],[backlog_habiles]]="",FALSE,AND(tblOrdenes[[#This Row],[backlog_habiles]]&gt;p_dias_backlog_min,tblOrdenes[[#This Row],[backlog_habiles]]&lt;=p_dias_backlog_max))</f>
        <v/>
      </c>
      <c r="AE617" s="6" t="n"/>
      <c r="AF6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7" s="11">
        <f>IF(tblOrdenes[[#This Row],[orden]]="","",_xlfn.XLOOKUP(tblOrdenes[[#This Row],[id_operacion]],tblEjecucion[id_operacion],tblEjecucion[precio],0))</f>
        <v/>
      </c>
      <c r="AJ617" s="11">
        <f>IF(tblOrdenes[[#This Row],[orden]]="","",MAX(0,_xlfn.XLOOKUP(tblOrdenes[[#This Row],[id_operacion]],tblEjecucion[id_operacion],tblEjecucion[costo_plan_total],0)-tblOrdenes[[#This Row],[costo_servicio]]))</f>
        <v/>
      </c>
      <c r="AK617" s="11">
        <f>IF(tblOrdenes[[#This Row],[orden]]="","",tblOrdenes[[#This Row],[costo_servicio]]+tblOrdenes[[#This Row],[costo_materiales]])</f>
        <v/>
      </c>
      <c r="AL617" s="6" t="n"/>
      <c r="AM617" s="6" t="n"/>
      <c r="AN617" s="6" t="n"/>
      <c r="AO617" s="3">
        <f>IF(tblOrdenes[[#This Row],[link_checklist]]="","",HYPERLINK(p_ruta_base_checklists&amp;tblOrdenes[[#This Row],[link_checklist]],"abrir"))</f>
        <v/>
      </c>
      <c r="AP617" s="6" t="n"/>
      <c r="AQ617" s="3">
        <f>IF(tblOrdenes[[#This Row],[orden]]="","",tblOrdenes[[#This Row],[orden]]&amp;IF(tblOrdenes[[#This Row],[operacion]]="","0010",tblOrdenes[[#This Row],[operacion]]))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2" t="n"/>
      <c r="K618" s="3" t="n"/>
      <c r="L618" s="11" t="n"/>
      <c r="M6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8" s="3">
        <f>IF(tblOrdenes[[#This Row],[fecha_inicio]]="","",YEAR(tblOrdenes[[#This Row],[fecha_inicio]]))</f>
        <v/>
      </c>
      <c r="Q618" s="3">
        <f>IF(tblOrdenes[[#This Row],[fecha_inicio]]="","",MONTH(tblOrdenes[[#This Row],[fecha_inicio]]))</f>
        <v/>
      </c>
      <c r="R618" s="3">
        <f>IF(tblOrdenes[[#This Row],[fecha_inicio]]="","",INDEX(lista_dias,WEEKDAY(tblOrdenes[[#This Row],[fecha_inicio]],2)))</f>
        <v/>
      </c>
      <c r="S6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8" s="3">
        <f>IF(tblOrdenes[[#This Row],[tipo_ot]]="","",_xlfn.XLOOKUP(tblOrdenes[[#This Row],[tipo_ot]],tblTiposOT[codigo],tblTiposOT[clasificacion],"sin_clasificar"))</f>
        <v/>
      </c>
      <c r="U618" s="3">
        <f>IF(tblOrdenes[[#This Row],[centro_costo]]="","",_xlfn.XLOOKUP(tblOrdenes[[#This Row],[centro_costo]],tblCECO[codigo],tblCECO[linea],"(sin catálogo)"))</f>
        <v/>
      </c>
      <c r="V618" s="3">
        <f>IF(tblOrdenes[[#This Row],[centro_costo]]="","",_xlfn.XLOOKUP(tblOrdenes[[#This Row],[centro_costo]],tblCECO[codigo],tblCECO[area],"(sin catálogo)"))</f>
        <v/>
      </c>
      <c r="W6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8" s="3">
        <f>IF(tblOrdenes[[#This Row],[centro_costo]]="","",_xlfn.XLOOKUP(tblOrdenes[[#This Row],[centro_costo]],tblCECO[codigo],tblCECO[coordinador],"(sin catálogo)"))</f>
        <v/>
      </c>
      <c r="Y618" s="3">
        <f>IF(tblOrdenes[[#This Row],[puesto_trabajo]]="","",_xlfn.XLOOKUP(tblOrdenes[[#This Row],[puesto_trabajo]],tblPuestos[codigo],tblPuestos[especialidad],"(sin catálogo)"))</f>
        <v/>
      </c>
      <c r="Z618" s="3">
        <f>IF(tblOrdenes[[#This Row],[cod_actividad]]="","",_xlfn.XLOOKUP(tblOrdenes[[#This Row],[cod_actividad]],tblActividades[codigo],tblActividades[descripcion],"(sin catálogo)"))</f>
        <v/>
      </c>
      <c r="AA618" s="13">
        <f>IF(tblOrdenes[[#This Row],[fecha_inicio]]="","",TODAY()-tblOrdenes[[#This Row],[fecha_inicio]])</f>
        <v/>
      </c>
      <c r="AB6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8" s="3">
        <f>IF(tblOrdenes[[#This Row],[backlog_habiles]]="","",IF(tblOrdenes[[#This Row],[backlog_habiles]]&lt;0,"FUTURO",IF(tblOrdenes[[#This Row],[backlog_habiles]]&gt;p_dias_backlog_max,"BACKLOG","MES CORRIENTE")))</f>
        <v/>
      </c>
      <c r="AD618" s="3">
        <f>IF(tblOrdenes[[#This Row],[backlog_habiles]]="",FALSE,AND(tblOrdenes[[#This Row],[backlog_habiles]]&gt;p_dias_backlog_min,tblOrdenes[[#This Row],[backlog_habiles]]&lt;=p_dias_backlog_max))</f>
        <v/>
      </c>
      <c r="AE618" s="6" t="n"/>
      <c r="AF6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8" s="11">
        <f>IF(tblOrdenes[[#This Row],[orden]]="","",_xlfn.XLOOKUP(tblOrdenes[[#This Row],[id_operacion]],tblEjecucion[id_operacion],tblEjecucion[precio],0))</f>
        <v/>
      </c>
      <c r="AJ618" s="11">
        <f>IF(tblOrdenes[[#This Row],[orden]]="","",MAX(0,_xlfn.XLOOKUP(tblOrdenes[[#This Row],[id_operacion]],tblEjecucion[id_operacion],tblEjecucion[costo_plan_total],0)-tblOrdenes[[#This Row],[costo_servicio]]))</f>
        <v/>
      </c>
      <c r="AK618" s="11">
        <f>IF(tblOrdenes[[#This Row],[orden]]="","",tblOrdenes[[#This Row],[costo_servicio]]+tblOrdenes[[#This Row],[costo_materiales]])</f>
        <v/>
      </c>
      <c r="AL618" s="6" t="n"/>
      <c r="AM618" s="6" t="n"/>
      <c r="AN618" s="6" t="n"/>
      <c r="AO618" s="3">
        <f>IF(tblOrdenes[[#This Row],[link_checklist]]="","",HYPERLINK(p_ruta_base_checklists&amp;tblOrdenes[[#This Row],[link_checklist]],"abrir"))</f>
        <v/>
      </c>
      <c r="AP618" s="6" t="n"/>
      <c r="AQ618" s="3">
        <f>IF(tblOrdenes[[#This Row],[orden]]="","",tblOrdenes[[#This Row],[orden]]&amp;IF(tblOrdenes[[#This Row],[operacion]]="","0010",tblOrdenes[[#This Row],[operacion]]))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2" t="n"/>
      <c r="K619" s="3" t="n"/>
      <c r="L619" s="11" t="n"/>
      <c r="M6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9" s="3">
        <f>IF(tblOrdenes[[#This Row],[fecha_inicio]]="","",YEAR(tblOrdenes[[#This Row],[fecha_inicio]]))</f>
        <v/>
      </c>
      <c r="Q619" s="3">
        <f>IF(tblOrdenes[[#This Row],[fecha_inicio]]="","",MONTH(tblOrdenes[[#This Row],[fecha_inicio]]))</f>
        <v/>
      </c>
      <c r="R619" s="3">
        <f>IF(tblOrdenes[[#This Row],[fecha_inicio]]="","",INDEX(lista_dias,WEEKDAY(tblOrdenes[[#This Row],[fecha_inicio]],2)))</f>
        <v/>
      </c>
      <c r="S6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9" s="3">
        <f>IF(tblOrdenes[[#This Row],[tipo_ot]]="","",_xlfn.XLOOKUP(tblOrdenes[[#This Row],[tipo_ot]],tblTiposOT[codigo],tblTiposOT[clasificacion],"sin_clasificar"))</f>
        <v/>
      </c>
      <c r="U619" s="3">
        <f>IF(tblOrdenes[[#This Row],[centro_costo]]="","",_xlfn.XLOOKUP(tblOrdenes[[#This Row],[centro_costo]],tblCECO[codigo],tblCECO[linea],"(sin catálogo)"))</f>
        <v/>
      </c>
      <c r="V619" s="3">
        <f>IF(tblOrdenes[[#This Row],[centro_costo]]="","",_xlfn.XLOOKUP(tblOrdenes[[#This Row],[centro_costo]],tblCECO[codigo],tblCECO[area],"(sin catálogo)"))</f>
        <v/>
      </c>
      <c r="W6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9" s="3">
        <f>IF(tblOrdenes[[#This Row],[centro_costo]]="","",_xlfn.XLOOKUP(tblOrdenes[[#This Row],[centro_costo]],tblCECO[codigo],tblCECO[coordinador],"(sin catálogo)"))</f>
        <v/>
      </c>
      <c r="Y619" s="3">
        <f>IF(tblOrdenes[[#This Row],[puesto_trabajo]]="","",_xlfn.XLOOKUP(tblOrdenes[[#This Row],[puesto_trabajo]],tblPuestos[codigo],tblPuestos[especialidad],"(sin catálogo)"))</f>
        <v/>
      </c>
      <c r="Z619" s="3">
        <f>IF(tblOrdenes[[#This Row],[cod_actividad]]="","",_xlfn.XLOOKUP(tblOrdenes[[#This Row],[cod_actividad]],tblActividades[codigo],tblActividades[descripcion],"(sin catálogo)"))</f>
        <v/>
      </c>
      <c r="AA619" s="13">
        <f>IF(tblOrdenes[[#This Row],[fecha_inicio]]="","",TODAY()-tblOrdenes[[#This Row],[fecha_inicio]])</f>
        <v/>
      </c>
      <c r="AB6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9" s="3">
        <f>IF(tblOrdenes[[#This Row],[backlog_habiles]]="","",IF(tblOrdenes[[#This Row],[backlog_habiles]]&lt;0,"FUTURO",IF(tblOrdenes[[#This Row],[backlog_habiles]]&gt;p_dias_backlog_max,"BACKLOG","MES CORRIENTE")))</f>
        <v/>
      </c>
      <c r="AD619" s="3">
        <f>IF(tblOrdenes[[#This Row],[backlog_habiles]]="",FALSE,AND(tblOrdenes[[#This Row],[backlog_habiles]]&gt;p_dias_backlog_min,tblOrdenes[[#This Row],[backlog_habiles]]&lt;=p_dias_backlog_max))</f>
        <v/>
      </c>
      <c r="AE619" s="6" t="n"/>
      <c r="AF6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9" s="11">
        <f>IF(tblOrdenes[[#This Row],[orden]]="","",_xlfn.XLOOKUP(tblOrdenes[[#This Row],[id_operacion]],tblEjecucion[id_operacion],tblEjecucion[precio],0))</f>
        <v/>
      </c>
      <c r="AJ619" s="11">
        <f>IF(tblOrdenes[[#This Row],[orden]]="","",MAX(0,_xlfn.XLOOKUP(tblOrdenes[[#This Row],[id_operacion]],tblEjecucion[id_operacion],tblEjecucion[costo_plan_total],0)-tblOrdenes[[#This Row],[costo_servicio]]))</f>
        <v/>
      </c>
      <c r="AK619" s="11">
        <f>IF(tblOrdenes[[#This Row],[orden]]="","",tblOrdenes[[#This Row],[costo_servicio]]+tblOrdenes[[#This Row],[costo_materiales]])</f>
        <v/>
      </c>
      <c r="AL619" s="6" t="n"/>
      <c r="AM619" s="6" t="n"/>
      <c r="AN619" s="6" t="n"/>
      <c r="AO619" s="3">
        <f>IF(tblOrdenes[[#This Row],[link_checklist]]="","",HYPERLINK(p_ruta_base_checklists&amp;tblOrdenes[[#This Row],[link_checklist]],"abrir"))</f>
        <v/>
      </c>
      <c r="AP619" s="6" t="n"/>
      <c r="AQ619" s="3">
        <f>IF(tblOrdenes[[#This Row],[orden]]="","",tblOrdenes[[#This Row],[orden]]&amp;IF(tblOrdenes[[#This Row],[operacion]]="","0010",tblOrdenes[[#This Row],[operacion]]))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2" t="n"/>
      <c r="K620" s="3" t="n"/>
      <c r="L620" s="11" t="n"/>
      <c r="M6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0" s="3">
        <f>IF(tblOrdenes[[#This Row],[fecha_inicio]]="","",YEAR(tblOrdenes[[#This Row],[fecha_inicio]]))</f>
        <v/>
      </c>
      <c r="Q620" s="3">
        <f>IF(tblOrdenes[[#This Row],[fecha_inicio]]="","",MONTH(tblOrdenes[[#This Row],[fecha_inicio]]))</f>
        <v/>
      </c>
      <c r="R620" s="3">
        <f>IF(tblOrdenes[[#This Row],[fecha_inicio]]="","",INDEX(lista_dias,WEEKDAY(tblOrdenes[[#This Row],[fecha_inicio]],2)))</f>
        <v/>
      </c>
      <c r="S6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0" s="3">
        <f>IF(tblOrdenes[[#This Row],[tipo_ot]]="","",_xlfn.XLOOKUP(tblOrdenes[[#This Row],[tipo_ot]],tblTiposOT[codigo],tblTiposOT[clasificacion],"sin_clasificar"))</f>
        <v/>
      </c>
      <c r="U620" s="3">
        <f>IF(tblOrdenes[[#This Row],[centro_costo]]="","",_xlfn.XLOOKUP(tblOrdenes[[#This Row],[centro_costo]],tblCECO[codigo],tblCECO[linea],"(sin catálogo)"))</f>
        <v/>
      </c>
      <c r="V620" s="3">
        <f>IF(tblOrdenes[[#This Row],[centro_costo]]="","",_xlfn.XLOOKUP(tblOrdenes[[#This Row],[centro_costo]],tblCECO[codigo],tblCECO[area],"(sin catálogo)"))</f>
        <v/>
      </c>
      <c r="W6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0" s="3">
        <f>IF(tblOrdenes[[#This Row],[centro_costo]]="","",_xlfn.XLOOKUP(tblOrdenes[[#This Row],[centro_costo]],tblCECO[codigo],tblCECO[coordinador],"(sin catálogo)"))</f>
        <v/>
      </c>
      <c r="Y620" s="3">
        <f>IF(tblOrdenes[[#This Row],[puesto_trabajo]]="","",_xlfn.XLOOKUP(tblOrdenes[[#This Row],[puesto_trabajo]],tblPuestos[codigo],tblPuestos[especialidad],"(sin catálogo)"))</f>
        <v/>
      </c>
      <c r="Z620" s="3">
        <f>IF(tblOrdenes[[#This Row],[cod_actividad]]="","",_xlfn.XLOOKUP(tblOrdenes[[#This Row],[cod_actividad]],tblActividades[codigo],tblActividades[descripcion],"(sin catálogo)"))</f>
        <v/>
      </c>
      <c r="AA620" s="13">
        <f>IF(tblOrdenes[[#This Row],[fecha_inicio]]="","",TODAY()-tblOrdenes[[#This Row],[fecha_inicio]])</f>
        <v/>
      </c>
      <c r="AB6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0" s="3">
        <f>IF(tblOrdenes[[#This Row],[backlog_habiles]]="","",IF(tblOrdenes[[#This Row],[backlog_habiles]]&lt;0,"FUTURO",IF(tblOrdenes[[#This Row],[backlog_habiles]]&gt;p_dias_backlog_max,"BACKLOG","MES CORRIENTE")))</f>
        <v/>
      </c>
      <c r="AD620" s="3">
        <f>IF(tblOrdenes[[#This Row],[backlog_habiles]]="",FALSE,AND(tblOrdenes[[#This Row],[backlog_habiles]]&gt;p_dias_backlog_min,tblOrdenes[[#This Row],[backlog_habiles]]&lt;=p_dias_backlog_max))</f>
        <v/>
      </c>
      <c r="AE620" s="6" t="n"/>
      <c r="AF6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0" s="11">
        <f>IF(tblOrdenes[[#This Row],[orden]]="","",_xlfn.XLOOKUP(tblOrdenes[[#This Row],[id_operacion]],tblEjecucion[id_operacion],tblEjecucion[precio],0))</f>
        <v/>
      </c>
      <c r="AJ620" s="11">
        <f>IF(tblOrdenes[[#This Row],[orden]]="","",MAX(0,_xlfn.XLOOKUP(tblOrdenes[[#This Row],[id_operacion]],tblEjecucion[id_operacion],tblEjecucion[costo_plan_total],0)-tblOrdenes[[#This Row],[costo_servicio]]))</f>
        <v/>
      </c>
      <c r="AK620" s="11">
        <f>IF(tblOrdenes[[#This Row],[orden]]="","",tblOrdenes[[#This Row],[costo_servicio]]+tblOrdenes[[#This Row],[costo_materiales]])</f>
        <v/>
      </c>
      <c r="AL620" s="6" t="n"/>
      <c r="AM620" s="6" t="n"/>
      <c r="AN620" s="6" t="n"/>
      <c r="AO620" s="3">
        <f>IF(tblOrdenes[[#This Row],[link_checklist]]="","",HYPERLINK(p_ruta_base_checklists&amp;tblOrdenes[[#This Row],[link_checklist]],"abrir"))</f>
        <v/>
      </c>
      <c r="AP620" s="6" t="n"/>
      <c r="AQ620" s="3">
        <f>IF(tblOrdenes[[#This Row],[orden]]="","",tblOrdenes[[#This Row],[orden]]&amp;IF(tblOrdenes[[#This Row],[operacion]]="","0010",tblOrdenes[[#This Row],[operacion]]))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2" t="n"/>
      <c r="K621" s="3" t="n"/>
      <c r="L621" s="11" t="n"/>
      <c r="M6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1" s="3">
        <f>IF(tblOrdenes[[#This Row],[fecha_inicio]]="","",YEAR(tblOrdenes[[#This Row],[fecha_inicio]]))</f>
        <v/>
      </c>
      <c r="Q621" s="3">
        <f>IF(tblOrdenes[[#This Row],[fecha_inicio]]="","",MONTH(tblOrdenes[[#This Row],[fecha_inicio]]))</f>
        <v/>
      </c>
      <c r="R621" s="3">
        <f>IF(tblOrdenes[[#This Row],[fecha_inicio]]="","",INDEX(lista_dias,WEEKDAY(tblOrdenes[[#This Row],[fecha_inicio]],2)))</f>
        <v/>
      </c>
      <c r="S6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1" s="3">
        <f>IF(tblOrdenes[[#This Row],[tipo_ot]]="","",_xlfn.XLOOKUP(tblOrdenes[[#This Row],[tipo_ot]],tblTiposOT[codigo],tblTiposOT[clasificacion],"sin_clasificar"))</f>
        <v/>
      </c>
      <c r="U621" s="3">
        <f>IF(tblOrdenes[[#This Row],[centro_costo]]="","",_xlfn.XLOOKUP(tblOrdenes[[#This Row],[centro_costo]],tblCECO[codigo],tblCECO[linea],"(sin catálogo)"))</f>
        <v/>
      </c>
      <c r="V621" s="3">
        <f>IF(tblOrdenes[[#This Row],[centro_costo]]="","",_xlfn.XLOOKUP(tblOrdenes[[#This Row],[centro_costo]],tblCECO[codigo],tblCECO[area],"(sin catálogo)"))</f>
        <v/>
      </c>
      <c r="W6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1" s="3">
        <f>IF(tblOrdenes[[#This Row],[centro_costo]]="","",_xlfn.XLOOKUP(tblOrdenes[[#This Row],[centro_costo]],tblCECO[codigo],tblCECO[coordinador],"(sin catálogo)"))</f>
        <v/>
      </c>
      <c r="Y621" s="3">
        <f>IF(tblOrdenes[[#This Row],[puesto_trabajo]]="","",_xlfn.XLOOKUP(tblOrdenes[[#This Row],[puesto_trabajo]],tblPuestos[codigo],tblPuestos[especialidad],"(sin catálogo)"))</f>
        <v/>
      </c>
      <c r="Z621" s="3">
        <f>IF(tblOrdenes[[#This Row],[cod_actividad]]="","",_xlfn.XLOOKUP(tblOrdenes[[#This Row],[cod_actividad]],tblActividades[codigo],tblActividades[descripcion],"(sin catálogo)"))</f>
        <v/>
      </c>
      <c r="AA621" s="13">
        <f>IF(tblOrdenes[[#This Row],[fecha_inicio]]="","",TODAY()-tblOrdenes[[#This Row],[fecha_inicio]])</f>
        <v/>
      </c>
      <c r="AB6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1" s="3">
        <f>IF(tblOrdenes[[#This Row],[backlog_habiles]]="","",IF(tblOrdenes[[#This Row],[backlog_habiles]]&lt;0,"FUTURO",IF(tblOrdenes[[#This Row],[backlog_habiles]]&gt;p_dias_backlog_max,"BACKLOG","MES CORRIENTE")))</f>
        <v/>
      </c>
      <c r="AD621" s="3">
        <f>IF(tblOrdenes[[#This Row],[backlog_habiles]]="",FALSE,AND(tblOrdenes[[#This Row],[backlog_habiles]]&gt;p_dias_backlog_min,tblOrdenes[[#This Row],[backlog_habiles]]&lt;=p_dias_backlog_max))</f>
        <v/>
      </c>
      <c r="AE621" s="6" t="n"/>
      <c r="AF6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1" s="11">
        <f>IF(tblOrdenes[[#This Row],[orden]]="","",_xlfn.XLOOKUP(tblOrdenes[[#This Row],[id_operacion]],tblEjecucion[id_operacion],tblEjecucion[precio],0))</f>
        <v/>
      </c>
      <c r="AJ621" s="11">
        <f>IF(tblOrdenes[[#This Row],[orden]]="","",MAX(0,_xlfn.XLOOKUP(tblOrdenes[[#This Row],[id_operacion]],tblEjecucion[id_operacion],tblEjecucion[costo_plan_total],0)-tblOrdenes[[#This Row],[costo_servicio]]))</f>
        <v/>
      </c>
      <c r="AK621" s="11">
        <f>IF(tblOrdenes[[#This Row],[orden]]="","",tblOrdenes[[#This Row],[costo_servicio]]+tblOrdenes[[#This Row],[costo_materiales]])</f>
        <v/>
      </c>
      <c r="AL621" s="6" t="n"/>
      <c r="AM621" s="6" t="n"/>
      <c r="AN621" s="6" t="n"/>
      <c r="AO621" s="3">
        <f>IF(tblOrdenes[[#This Row],[link_checklist]]="","",HYPERLINK(p_ruta_base_checklists&amp;tblOrdenes[[#This Row],[link_checklist]],"abrir"))</f>
        <v/>
      </c>
      <c r="AP621" s="6" t="n"/>
      <c r="AQ621" s="3">
        <f>IF(tblOrdenes[[#This Row],[orden]]="","",tblOrdenes[[#This Row],[orden]]&amp;IF(tblOrdenes[[#This Row],[operacion]]="","0010",tblOrdenes[[#This Row],[operacion]]))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2" t="n"/>
      <c r="K622" s="3" t="n"/>
      <c r="L622" s="11" t="n"/>
      <c r="M6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2" s="3">
        <f>IF(tblOrdenes[[#This Row],[fecha_inicio]]="","",YEAR(tblOrdenes[[#This Row],[fecha_inicio]]))</f>
        <v/>
      </c>
      <c r="Q622" s="3">
        <f>IF(tblOrdenes[[#This Row],[fecha_inicio]]="","",MONTH(tblOrdenes[[#This Row],[fecha_inicio]]))</f>
        <v/>
      </c>
      <c r="R622" s="3">
        <f>IF(tblOrdenes[[#This Row],[fecha_inicio]]="","",INDEX(lista_dias,WEEKDAY(tblOrdenes[[#This Row],[fecha_inicio]],2)))</f>
        <v/>
      </c>
      <c r="S6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2" s="3">
        <f>IF(tblOrdenes[[#This Row],[tipo_ot]]="","",_xlfn.XLOOKUP(tblOrdenes[[#This Row],[tipo_ot]],tblTiposOT[codigo],tblTiposOT[clasificacion],"sin_clasificar"))</f>
        <v/>
      </c>
      <c r="U622" s="3">
        <f>IF(tblOrdenes[[#This Row],[centro_costo]]="","",_xlfn.XLOOKUP(tblOrdenes[[#This Row],[centro_costo]],tblCECO[codigo],tblCECO[linea],"(sin catálogo)"))</f>
        <v/>
      </c>
      <c r="V622" s="3">
        <f>IF(tblOrdenes[[#This Row],[centro_costo]]="","",_xlfn.XLOOKUP(tblOrdenes[[#This Row],[centro_costo]],tblCECO[codigo],tblCECO[area],"(sin catálogo)"))</f>
        <v/>
      </c>
      <c r="W6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2" s="3">
        <f>IF(tblOrdenes[[#This Row],[centro_costo]]="","",_xlfn.XLOOKUP(tblOrdenes[[#This Row],[centro_costo]],tblCECO[codigo],tblCECO[coordinador],"(sin catálogo)"))</f>
        <v/>
      </c>
      <c r="Y622" s="3">
        <f>IF(tblOrdenes[[#This Row],[puesto_trabajo]]="","",_xlfn.XLOOKUP(tblOrdenes[[#This Row],[puesto_trabajo]],tblPuestos[codigo],tblPuestos[especialidad],"(sin catálogo)"))</f>
        <v/>
      </c>
      <c r="Z622" s="3">
        <f>IF(tblOrdenes[[#This Row],[cod_actividad]]="","",_xlfn.XLOOKUP(tblOrdenes[[#This Row],[cod_actividad]],tblActividades[codigo],tblActividades[descripcion],"(sin catálogo)"))</f>
        <v/>
      </c>
      <c r="AA622" s="13">
        <f>IF(tblOrdenes[[#This Row],[fecha_inicio]]="","",TODAY()-tblOrdenes[[#This Row],[fecha_inicio]])</f>
        <v/>
      </c>
      <c r="AB6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2" s="3">
        <f>IF(tblOrdenes[[#This Row],[backlog_habiles]]="","",IF(tblOrdenes[[#This Row],[backlog_habiles]]&lt;0,"FUTURO",IF(tblOrdenes[[#This Row],[backlog_habiles]]&gt;p_dias_backlog_max,"BACKLOG","MES CORRIENTE")))</f>
        <v/>
      </c>
      <c r="AD622" s="3">
        <f>IF(tblOrdenes[[#This Row],[backlog_habiles]]="",FALSE,AND(tblOrdenes[[#This Row],[backlog_habiles]]&gt;p_dias_backlog_min,tblOrdenes[[#This Row],[backlog_habiles]]&lt;=p_dias_backlog_max))</f>
        <v/>
      </c>
      <c r="AE622" s="6" t="n"/>
      <c r="AF6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2" s="11">
        <f>IF(tblOrdenes[[#This Row],[orden]]="","",_xlfn.XLOOKUP(tblOrdenes[[#This Row],[id_operacion]],tblEjecucion[id_operacion],tblEjecucion[precio],0))</f>
        <v/>
      </c>
      <c r="AJ622" s="11">
        <f>IF(tblOrdenes[[#This Row],[orden]]="","",MAX(0,_xlfn.XLOOKUP(tblOrdenes[[#This Row],[id_operacion]],tblEjecucion[id_operacion],tblEjecucion[costo_plan_total],0)-tblOrdenes[[#This Row],[costo_servicio]]))</f>
        <v/>
      </c>
      <c r="AK622" s="11">
        <f>IF(tblOrdenes[[#This Row],[orden]]="","",tblOrdenes[[#This Row],[costo_servicio]]+tblOrdenes[[#This Row],[costo_materiales]])</f>
        <v/>
      </c>
      <c r="AL622" s="6" t="n"/>
      <c r="AM622" s="6" t="n"/>
      <c r="AN622" s="6" t="n"/>
      <c r="AO622" s="3">
        <f>IF(tblOrdenes[[#This Row],[link_checklist]]="","",HYPERLINK(p_ruta_base_checklists&amp;tblOrdenes[[#This Row],[link_checklist]],"abrir"))</f>
        <v/>
      </c>
      <c r="AP622" s="6" t="n"/>
      <c r="AQ622" s="3">
        <f>IF(tblOrdenes[[#This Row],[orden]]="","",tblOrdenes[[#This Row],[orden]]&amp;IF(tblOrdenes[[#This Row],[operacion]]="","0010",tblOrdenes[[#This Row],[operacion]]))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2" t="n"/>
      <c r="K623" s="3" t="n"/>
      <c r="L623" s="11" t="n"/>
      <c r="M6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3" s="3">
        <f>IF(tblOrdenes[[#This Row],[fecha_inicio]]="","",YEAR(tblOrdenes[[#This Row],[fecha_inicio]]))</f>
        <v/>
      </c>
      <c r="Q623" s="3">
        <f>IF(tblOrdenes[[#This Row],[fecha_inicio]]="","",MONTH(tblOrdenes[[#This Row],[fecha_inicio]]))</f>
        <v/>
      </c>
      <c r="R623" s="3">
        <f>IF(tblOrdenes[[#This Row],[fecha_inicio]]="","",INDEX(lista_dias,WEEKDAY(tblOrdenes[[#This Row],[fecha_inicio]],2)))</f>
        <v/>
      </c>
      <c r="S6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3" s="3">
        <f>IF(tblOrdenes[[#This Row],[tipo_ot]]="","",_xlfn.XLOOKUP(tblOrdenes[[#This Row],[tipo_ot]],tblTiposOT[codigo],tblTiposOT[clasificacion],"sin_clasificar"))</f>
        <v/>
      </c>
      <c r="U623" s="3">
        <f>IF(tblOrdenes[[#This Row],[centro_costo]]="","",_xlfn.XLOOKUP(tblOrdenes[[#This Row],[centro_costo]],tblCECO[codigo],tblCECO[linea],"(sin catálogo)"))</f>
        <v/>
      </c>
      <c r="V623" s="3">
        <f>IF(tblOrdenes[[#This Row],[centro_costo]]="","",_xlfn.XLOOKUP(tblOrdenes[[#This Row],[centro_costo]],tblCECO[codigo],tblCECO[area],"(sin catálogo)"))</f>
        <v/>
      </c>
      <c r="W6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3" s="3">
        <f>IF(tblOrdenes[[#This Row],[centro_costo]]="","",_xlfn.XLOOKUP(tblOrdenes[[#This Row],[centro_costo]],tblCECO[codigo],tblCECO[coordinador],"(sin catálogo)"))</f>
        <v/>
      </c>
      <c r="Y623" s="3">
        <f>IF(tblOrdenes[[#This Row],[puesto_trabajo]]="","",_xlfn.XLOOKUP(tblOrdenes[[#This Row],[puesto_trabajo]],tblPuestos[codigo],tblPuestos[especialidad],"(sin catálogo)"))</f>
        <v/>
      </c>
      <c r="Z623" s="3">
        <f>IF(tblOrdenes[[#This Row],[cod_actividad]]="","",_xlfn.XLOOKUP(tblOrdenes[[#This Row],[cod_actividad]],tblActividades[codigo],tblActividades[descripcion],"(sin catálogo)"))</f>
        <v/>
      </c>
      <c r="AA623" s="13">
        <f>IF(tblOrdenes[[#This Row],[fecha_inicio]]="","",TODAY()-tblOrdenes[[#This Row],[fecha_inicio]])</f>
        <v/>
      </c>
      <c r="AB6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3" s="3">
        <f>IF(tblOrdenes[[#This Row],[backlog_habiles]]="","",IF(tblOrdenes[[#This Row],[backlog_habiles]]&lt;0,"FUTURO",IF(tblOrdenes[[#This Row],[backlog_habiles]]&gt;p_dias_backlog_max,"BACKLOG","MES CORRIENTE")))</f>
        <v/>
      </c>
      <c r="AD623" s="3">
        <f>IF(tblOrdenes[[#This Row],[backlog_habiles]]="",FALSE,AND(tblOrdenes[[#This Row],[backlog_habiles]]&gt;p_dias_backlog_min,tblOrdenes[[#This Row],[backlog_habiles]]&lt;=p_dias_backlog_max))</f>
        <v/>
      </c>
      <c r="AE623" s="6" t="n"/>
      <c r="AF6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3" s="11">
        <f>IF(tblOrdenes[[#This Row],[orden]]="","",_xlfn.XLOOKUP(tblOrdenes[[#This Row],[id_operacion]],tblEjecucion[id_operacion],tblEjecucion[precio],0))</f>
        <v/>
      </c>
      <c r="AJ623" s="11">
        <f>IF(tblOrdenes[[#This Row],[orden]]="","",MAX(0,_xlfn.XLOOKUP(tblOrdenes[[#This Row],[id_operacion]],tblEjecucion[id_operacion],tblEjecucion[costo_plan_total],0)-tblOrdenes[[#This Row],[costo_servicio]]))</f>
        <v/>
      </c>
      <c r="AK623" s="11">
        <f>IF(tblOrdenes[[#This Row],[orden]]="","",tblOrdenes[[#This Row],[costo_servicio]]+tblOrdenes[[#This Row],[costo_materiales]])</f>
        <v/>
      </c>
      <c r="AL623" s="6" t="n"/>
      <c r="AM623" s="6" t="n"/>
      <c r="AN623" s="6" t="n"/>
      <c r="AO623" s="3">
        <f>IF(tblOrdenes[[#This Row],[link_checklist]]="","",HYPERLINK(p_ruta_base_checklists&amp;tblOrdenes[[#This Row],[link_checklist]],"abrir"))</f>
        <v/>
      </c>
      <c r="AP623" s="6" t="n"/>
      <c r="AQ623" s="3">
        <f>IF(tblOrdenes[[#This Row],[orden]]="","",tblOrdenes[[#This Row],[orden]]&amp;IF(tblOrdenes[[#This Row],[operacion]]="","0010",tblOrdenes[[#This Row],[operacion]]))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2" t="n"/>
      <c r="K624" s="3" t="n"/>
      <c r="L624" s="11" t="n"/>
      <c r="M6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4" s="3">
        <f>IF(tblOrdenes[[#This Row],[fecha_inicio]]="","",YEAR(tblOrdenes[[#This Row],[fecha_inicio]]))</f>
        <v/>
      </c>
      <c r="Q624" s="3">
        <f>IF(tblOrdenes[[#This Row],[fecha_inicio]]="","",MONTH(tblOrdenes[[#This Row],[fecha_inicio]]))</f>
        <v/>
      </c>
      <c r="R624" s="3">
        <f>IF(tblOrdenes[[#This Row],[fecha_inicio]]="","",INDEX(lista_dias,WEEKDAY(tblOrdenes[[#This Row],[fecha_inicio]],2)))</f>
        <v/>
      </c>
      <c r="S6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4" s="3">
        <f>IF(tblOrdenes[[#This Row],[tipo_ot]]="","",_xlfn.XLOOKUP(tblOrdenes[[#This Row],[tipo_ot]],tblTiposOT[codigo],tblTiposOT[clasificacion],"sin_clasificar"))</f>
        <v/>
      </c>
      <c r="U624" s="3">
        <f>IF(tblOrdenes[[#This Row],[centro_costo]]="","",_xlfn.XLOOKUP(tblOrdenes[[#This Row],[centro_costo]],tblCECO[codigo],tblCECO[linea],"(sin catálogo)"))</f>
        <v/>
      </c>
      <c r="V624" s="3">
        <f>IF(tblOrdenes[[#This Row],[centro_costo]]="","",_xlfn.XLOOKUP(tblOrdenes[[#This Row],[centro_costo]],tblCECO[codigo],tblCECO[area],"(sin catálogo)"))</f>
        <v/>
      </c>
      <c r="W6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4" s="3">
        <f>IF(tblOrdenes[[#This Row],[centro_costo]]="","",_xlfn.XLOOKUP(tblOrdenes[[#This Row],[centro_costo]],tblCECO[codigo],tblCECO[coordinador],"(sin catálogo)"))</f>
        <v/>
      </c>
      <c r="Y624" s="3">
        <f>IF(tblOrdenes[[#This Row],[puesto_trabajo]]="","",_xlfn.XLOOKUP(tblOrdenes[[#This Row],[puesto_trabajo]],tblPuestos[codigo],tblPuestos[especialidad],"(sin catálogo)"))</f>
        <v/>
      </c>
      <c r="Z624" s="3">
        <f>IF(tblOrdenes[[#This Row],[cod_actividad]]="","",_xlfn.XLOOKUP(tblOrdenes[[#This Row],[cod_actividad]],tblActividades[codigo],tblActividades[descripcion],"(sin catálogo)"))</f>
        <v/>
      </c>
      <c r="AA624" s="13">
        <f>IF(tblOrdenes[[#This Row],[fecha_inicio]]="","",TODAY()-tblOrdenes[[#This Row],[fecha_inicio]])</f>
        <v/>
      </c>
      <c r="AB6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4" s="3">
        <f>IF(tblOrdenes[[#This Row],[backlog_habiles]]="","",IF(tblOrdenes[[#This Row],[backlog_habiles]]&lt;0,"FUTURO",IF(tblOrdenes[[#This Row],[backlog_habiles]]&gt;p_dias_backlog_max,"BACKLOG","MES CORRIENTE")))</f>
        <v/>
      </c>
      <c r="AD624" s="3">
        <f>IF(tblOrdenes[[#This Row],[backlog_habiles]]="",FALSE,AND(tblOrdenes[[#This Row],[backlog_habiles]]&gt;p_dias_backlog_min,tblOrdenes[[#This Row],[backlog_habiles]]&lt;=p_dias_backlog_max))</f>
        <v/>
      </c>
      <c r="AE624" s="6" t="n"/>
      <c r="AF6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4" s="11">
        <f>IF(tblOrdenes[[#This Row],[orden]]="","",_xlfn.XLOOKUP(tblOrdenes[[#This Row],[id_operacion]],tblEjecucion[id_operacion],tblEjecucion[precio],0))</f>
        <v/>
      </c>
      <c r="AJ624" s="11">
        <f>IF(tblOrdenes[[#This Row],[orden]]="","",MAX(0,_xlfn.XLOOKUP(tblOrdenes[[#This Row],[id_operacion]],tblEjecucion[id_operacion],tblEjecucion[costo_plan_total],0)-tblOrdenes[[#This Row],[costo_servicio]]))</f>
        <v/>
      </c>
      <c r="AK624" s="11">
        <f>IF(tblOrdenes[[#This Row],[orden]]="","",tblOrdenes[[#This Row],[costo_servicio]]+tblOrdenes[[#This Row],[costo_materiales]])</f>
        <v/>
      </c>
      <c r="AL624" s="6" t="n"/>
      <c r="AM624" s="6" t="n"/>
      <c r="AN624" s="6" t="n"/>
      <c r="AO624" s="3">
        <f>IF(tblOrdenes[[#This Row],[link_checklist]]="","",HYPERLINK(p_ruta_base_checklists&amp;tblOrdenes[[#This Row],[link_checklist]],"abrir"))</f>
        <v/>
      </c>
      <c r="AP624" s="6" t="n"/>
      <c r="AQ624" s="3">
        <f>IF(tblOrdenes[[#This Row],[orden]]="","",tblOrdenes[[#This Row],[orden]]&amp;IF(tblOrdenes[[#This Row],[operacion]]="","0010",tblOrdenes[[#This Row],[operacion]]))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2" t="n"/>
      <c r="K625" s="3" t="n"/>
      <c r="L625" s="11" t="n"/>
      <c r="M6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5" s="3">
        <f>IF(tblOrdenes[[#This Row],[fecha_inicio]]="","",YEAR(tblOrdenes[[#This Row],[fecha_inicio]]))</f>
        <v/>
      </c>
      <c r="Q625" s="3">
        <f>IF(tblOrdenes[[#This Row],[fecha_inicio]]="","",MONTH(tblOrdenes[[#This Row],[fecha_inicio]]))</f>
        <v/>
      </c>
      <c r="R625" s="3">
        <f>IF(tblOrdenes[[#This Row],[fecha_inicio]]="","",INDEX(lista_dias,WEEKDAY(tblOrdenes[[#This Row],[fecha_inicio]],2)))</f>
        <v/>
      </c>
      <c r="S6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5" s="3">
        <f>IF(tblOrdenes[[#This Row],[tipo_ot]]="","",_xlfn.XLOOKUP(tblOrdenes[[#This Row],[tipo_ot]],tblTiposOT[codigo],tblTiposOT[clasificacion],"sin_clasificar"))</f>
        <v/>
      </c>
      <c r="U625" s="3">
        <f>IF(tblOrdenes[[#This Row],[centro_costo]]="","",_xlfn.XLOOKUP(tblOrdenes[[#This Row],[centro_costo]],tblCECO[codigo],tblCECO[linea],"(sin catálogo)"))</f>
        <v/>
      </c>
      <c r="V625" s="3">
        <f>IF(tblOrdenes[[#This Row],[centro_costo]]="","",_xlfn.XLOOKUP(tblOrdenes[[#This Row],[centro_costo]],tblCECO[codigo],tblCECO[area],"(sin catálogo)"))</f>
        <v/>
      </c>
      <c r="W6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5" s="3">
        <f>IF(tblOrdenes[[#This Row],[centro_costo]]="","",_xlfn.XLOOKUP(tblOrdenes[[#This Row],[centro_costo]],tblCECO[codigo],tblCECO[coordinador],"(sin catálogo)"))</f>
        <v/>
      </c>
      <c r="Y625" s="3">
        <f>IF(tblOrdenes[[#This Row],[puesto_trabajo]]="","",_xlfn.XLOOKUP(tblOrdenes[[#This Row],[puesto_trabajo]],tblPuestos[codigo],tblPuestos[especialidad],"(sin catálogo)"))</f>
        <v/>
      </c>
      <c r="Z625" s="3">
        <f>IF(tblOrdenes[[#This Row],[cod_actividad]]="","",_xlfn.XLOOKUP(tblOrdenes[[#This Row],[cod_actividad]],tblActividades[codigo],tblActividades[descripcion],"(sin catálogo)"))</f>
        <v/>
      </c>
      <c r="AA625" s="13">
        <f>IF(tblOrdenes[[#This Row],[fecha_inicio]]="","",TODAY()-tblOrdenes[[#This Row],[fecha_inicio]])</f>
        <v/>
      </c>
      <c r="AB6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5" s="3">
        <f>IF(tblOrdenes[[#This Row],[backlog_habiles]]="","",IF(tblOrdenes[[#This Row],[backlog_habiles]]&lt;0,"FUTURO",IF(tblOrdenes[[#This Row],[backlog_habiles]]&gt;p_dias_backlog_max,"BACKLOG","MES CORRIENTE")))</f>
        <v/>
      </c>
      <c r="AD625" s="3">
        <f>IF(tblOrdenes[[#This Row],[backlog_habiles]]="",FALSE,AND(tblOrdenes[[#This Row],[backlog_habiles]]&gt;p_dias_backlog_min,tblOrdenes[[#This Row],[backlog_habiles]]&lt;=p_dias_backlog_max))</f>
        <v/>
      </c>
      <c r="AE625" s="6" t="n"/>
      <c r="AF6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5" s="11">
        <f>IF(tblOrdenes[[#This Row],[orden]]="","",_xlfn.XLOOKUP(tblOrdenes[[#This Row],[id_operacion]],tblEjecucion[id_operacion],tblEjecucion[precio],0))</f>
        <v/>
      </c>
      <c r="AJ625" s="11">
        <f>IF(tblOrdenes[[#This Row],[orden]]="","",MAX(0,_xlfn.XLOOKUP(tblOrdenes[[#This Row],[id_operacion]],tblEjecucion[id_operacion],tblEjecucion[costo_plan_total],0)-tblOrdenes[[#This Row],[costo_servicio]]))</f>
        <v/>
      </c>
      <c r="AK625" s="11">
        <f>IF(tblOrdenes[[#This Row],[orden]]="","",tblOrdenes[[#This Row],[costo_servicio]]+tblOrdenes[[#This Row],[costo_materiales]])</f>
        <v/>
      </c>
      <c r="AL625" s="6" t="n"/>
      <c r="AM625" s="6" t="n"/>
      <c r="AN625" s="6" t="n"/>
      <c r="AO625" s="3">
        <f>IF(tblOrdenes[[#This Row],[link_checklist]]="","",HYPERLINK(p_ruta_base_checklists&amp;tblOrdenes[[#This Row],[link_checklist]],"abrir"))</f>
        <v/>
      </c>
      <c r="AP625" s="6" t="n"/>
      <c r="AQ625" s="3">
        <f>IF(tblOrdenes[[#This Row],[orden]]="","",tblOrdenes[[#This Row],[orden]]&amp;IF(tblOrdenes[[#This Row],[operacion]]="","0010",tblOrdenes[[#This Row],[operacion]]))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2" t="n"/>
      <c r="K626" s="3" t="n"/>
      <c r="L626" s="11" t="n"/>
      <c r="M6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6" s="3">
        <f>IF(tblOrdenes[[#This Row],[fecha_inicio]]="","",YEAR(tblOrdenes[[#This Row],[fecha_inicio]]))</f>
        <v/>
      </c>
      <c r="Q626" s="3">
        <f>IF(tblOrdenes[[#This Row],[fecha_inicio]]="","",MONTH(tblOrdenes[[#This Row],[fecha_inicio]]))</f>
        <v/>
      </c>
      <c r="R626" s="3">
        <f>IF(tblOrdenes[[#This Row],[fecha_inicio]]="","",INDEX(lista_dias,WEEKDAY(tblOrdenes[[#This Row],[fecha_inicio]],2)))</f>
        <v/>
      </c>
      <c r="S6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6" s="3">
        <f>IF(tblOrdenes[[#This Row],[tipo_ot]]="","",_xlfn.XLOOKUP(tblOrdenes[[#This Row],[tipo_ot]],tblTiposOT[codigo],tblTiposOT[clasificacion],"sin_clasificar"))</f>
        <v/>
      </c>
      <c r="U626" s="3">
        <f>IF(tblOrdenes[[#This Row],[centro_costo]]="","",_xlfn.XLOOKUP(tblOrdenes[[#This Row],[centro_costo]],tblCECO[codigo],tblCECO[linea],"(sin catálogo)"))</f>
        <v/>
      </c>
      <c r="V626" s="3">
        <f>IF(tblOrdenes[[#This Row],[centro_costo]]="","",_xlfn.XLOOKUP(tblOrdenes[[#This Row],[centro_costo]],tblCECO[codigo],tblCECO[area],"(sin catálogo)"))</f>
        <v/>
      </c>
      <c r="W6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6" s="3">
        <f>IF(tblOrdenes[[#This Row],[centro_costo]]="","",_xlfn.XLOOKUP(tblOrdenes[[#This Row],[centro_costo]],tblCECO[codigo],tblCECO[coordinador],"(sin catálogo)"))</f>
        <v/>
      </c>
      <c r="Y626" s="3">
        <f>IF(tblOrdenes[[#This Row],[puesto_trabajo]]="","",_xlfn.XLOOKUP(tblOrdenes[[#This Row],[puesto_trabajo]],tblPuestos[codigo],tblPuestos[especialidad],"(sin catálogo)"))</f>
        <v/>
      </c>
      <c r="Z626" s="3">
        <f>IF(tblOrdenes[[#This Row],[cod_actividad]]="","",_xlfn.XLOOKUP(tblOrdenes[[#This Row],[cod_actividad]],tblActividades[codigo],tblActividades[descripcion],"(sin catálogo)"))</f>
        <v/>
      </c>
      <c r="AA626" s="13">
        <f>IF(tblOrdenes[[#This Row],[fecha_inicio]]="","",TODAY()-tblOrdenes[[#This Row],[fecha_inicio]])</f>
        <v/>
      </c>
      <c r="AB6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6" s="3">
        <f>IF(tblOrdenes[[#This Row],[backlog_habiles]]="","",IF(tblOrdenes[[#This Row],[backlog_habiles]]&lt;0,"FUTURO",IF(tblOrdenes[[#This Row],[backlog_habiles]]&gt;p_dias_backlog_max,"BACKLOG","MES CORRIENTE")))</f>
        <v/>
      </c>
      <c r="AD626" s="3">
        <f>IF(tblOrdenes[[#This Row],[backlog_habiles]]="",FALSE,AND(tblOrdenes[[#This Row],[backlog_habiles]]&gt;p_dias_backlog_min,tblOrdenes[[#This Row],[backlog_habiles]]&lt;=p_dias_backlog_max))</f>
        <v/>
      </c>
      <c r="AE626" s="6" t="n"/>
      <c r="AF6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6" s="11">
        <f>IF(tblOrdenes[[#This Row],[orden]]="","",_xlfn.XLOOKUP(tblOrdenes[[#This Row],[id_operacion]],tblEjecucion[id_operacion],tblEjecucion[precio],0))</f>
        <v/>
      </c>
      <c r="AJ626" s="11">
        <f>IF(tblOrdenes[[#This Row],[orden]]="","",MAX(0,_xlfn.XLOOKUP(tblOrdenes[[#This Row],[id_operacion]],tblEjecucion[id_operacion],tblEjecucion[costo_plan_total],0)-tblOrdenes[[#This Row],[costo_servicio]]))</f>
        <v/>
      </c>
      <c r="AK626" s="11">
        <f>IF(tblOrdenes[[#This Row],[orden]]="","",tblOrdenes[[#This Row],[costo_servicio]]+tblOrdenes[[#This Row],[costo_materiales]])</f>
        <v/>
      </c>
      <c r="AL626" s="6" t="n"/>
      <c r="AM626" s="6" t="n"/>
      <c r="AN626" s="6" t="n"/>
      <c r="AO626" s="3">
        <f>IF(tblOrdenes[[#This Row],[link_checklist]]="","",HYPERLINK(p_ruta_base_checklists&amp;tblOrdenes[[#This Row],[link_checklist]],"abrir"))</f>
        <v/>
      </c>
      <c r="AP626" s="6" t="n"/>
      <c r="AQ626" s="3">
        <f>IF(tblOrdenes[[#This Row],[orden]]="","",tblOrdenes[[#This Row],[orden]]&amp;IF(tblOrdenes[[#This Row],[operacion]]="","0010",tblOrdenes[[#This Row],[operacion]]))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2" t="n"/>
      <c r="K627" s="3" t="n"/>
      <c r="L627" s="11" t="n"/>
      <c r="M6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7" s="3">
        <f>IF(tblOrdenes[[#This Row],[fecha_inicio]]="","",YEAR(tblOrdenes[[#This Row],[fecha_inicio]]))</f>
        <v/>
      </c>
      <c r="Q627" s="3">
        <f>IF(tblOrdenes[[#This Row],[fecha_inicio]]="","",MONTH(tblOrdenes[[#This Row],[fecha_inicio]]))</f>
        <v/>
      </c>
      <c r="R627" s="3">
        <f>IF(tblOrdenes[[#This Row],[fecha_inicio]]="","",INDEX(lista_dias,WEEKDAY(tblOrdenes[[#This Row],[fecha_inicio]],2)))</f>
        <v/>
      </c>
      <c r="S6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7" s="3">
        <f>IF(tblOrdenes[[#This Row],[tipo_ot]]="","",_xlfn.XLOOKUP(tblOrdenes[[#This Row],[tipo_ot]],tblTiposOT[codigo],tblTiposOT[clasificacion],"sin_clasificar"))</f>
        <v/>
      </c>
      <c r="U627" s="3">
        <f>IF(tblOrdenes[[#This Row],[centro_costo]]="","",_xlfn.XLOOKUP(tblOrdenes[[#This Row],[centro_costo]],tblCECO[codigo],tblCECO[linea],"(sin catálogo)"))</f>
        <v/>
      </c>
      <c r="V627" s="3">
        <f>IF(tblOrdenes[[#This Row],[centro_costo]]="","",_xlfn.XLOOKUP(tblOrdenes[[#This Row],[centro_costo]],tblCECO[codigo],tblCECO[area],"(sin catálogo)"))</f>
        <v/>
      </c>
      <c r="W6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7" s="3">
        <f>IF(tblOrdenes[[#This Row],[centro_costo]]="","",_xlfn.XLOOKUP(tblOrdenes[[#This Row],[centro_costo]],tblCECO[codigo],tblCECO[coordinador],"(sin catálogo)"))</f>
        <v/>
      </c>
      <c r="Y627" s="3">
        <f>IF(tblOrdenes[[#This Row],[puesto_trabajo]]="","",_xlfn.XLOOKUP(tblOrdenes[[#This Row],[puesto_trabajo]],tblPuestos[codigo],tblPuestos[especialidad],"(sin catálogo)"))</f>
        <v/>
      </c>
      <c r="Z627" s="3">
        <f>IF(tblOrdenes[[#This Row],[cod_actividad]]="","",_xlfn.XLOOKUP(tblOrdenes[[#This Row],[cod_actividad]],tblActividades[codigo],tblActividades[descripcion],"(sin catálogo)"))</f>
        <v/>
      </c>
      <c r="AA627" s="13">
        <f>IF(tblOrdenes[[#This Row],[fecha_inicio]]="","",TODAY()-tblOrdenes[[#This Row],[fecha_inicio]])</f>
        <v/>
      </c>
      <c r="AB6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7" s="3">
        <f>IF(tblOrdenes[[#This Row],[backlog_habiles]]="","",IF(tblOrdenes[[#This Row],[backlog_habiles]]&lt;0,"FUTURO",IF(tblOrdenes[[#This Row],[backlog_habiles]]&gt;p_dias_backlog_max,"BACKLOG","MES CORRIENTE")))</f>
        <v/>
      </c>
      <c r="AD627" s="3">
        <f>IF(tblOrdenes[[#This Row],[backlog_habiles]]="",FALSE,AND(tblOrdenes[[#This Row],[backlog_habiles]]&gt;p_dias_backlog_min,tblOrdenes[[#This Row],[backlog_habiles]]&lt;=p_dias_backlog_max))</f>
        <v/>
      </c>
      <c r="AE627" s="6" t="n"/>
      <c r="AF6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7" s="11">
        <f>IF(tblOrdenes[[#This Row],[orden]]="","",_xlfn.XLOOKUP(tblOrdenes[[#This Row],[id_operacion]],tblEjecucion[id_operacion],tblEjecucion[precio],0))</f>
        <v/>
      </c>
      <c r="AJ627" s="11">
        <f>IF(tblOrdenes[[#This Row],[orden]]="","",MAX(0,_xlfn.XLOOKUP(tblOrdenes[[#This Row],[id_operacion]],tblEjecucion[id_operacion],tblEjecucion[costo_plan_total],0)-tblOrdenes[[#This Row],[costo_servicio]]))</f>
        <v/>
      </c>
      <c r="AK627" s="11">
        <f>IF(tblOrdenes[[#This Row],[orden]]="","",tblOrdenes[[#This Row],[costo_servicio]]+tblOrdenes[[#This Row],[costo_materiales]])</f>
        <v/>
      </c>
      <c r="AL627" s="6" t="n"/>
      <c r="AM627" s="6" t="n"/>
      <c r="AN627" s="6" t="n"/>
      <c r="AO627" s="3">
        <f>IF(tblOrdenes[[#This Row],[link_checklist]]="","",HYPERLINK(p_ruta_base_checklists&amp;tblOrdenes[[#This Row],[link_checklist]],"abrir"))</f>
        <v/>
      </c>
      <c r="AP627" s="6" t="n"/>
      <c r="AQ627" s="3">
        <f>IF(tblOrdenes[[#This Row],[orden]]="","",tblOrdenes[[#This Row],[orden]]&amp;IF(tblOrdenes[[#This Row],[operacion]]="","0010",tblOrdenes[[#This Row],[operacion]]))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2" t="n"/>
      <c r="K628" s="3" t="n"/>
      <c r="L628" s="11" t="n"/>
      <c r="M6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8" s="3">
        <f>IF(tblOrdenes[[#This Row],[fecha_inicio]]="","",YEAR(tblOrdenes[[#This Row],[fecha_inicio]]))</f>
        <v/>
      </c>
      <c r="Q628" s="3">
        <f>IF(tblOrdenes[[#This Row],[fecha_inicio]]="","",MONTH(tblOrdenes[[#This Row],[fecha_inicio]]))</f>
        <v/>
      </c>
      <c r="R628" s="3">
        <f>IF(tblOrdenes[[#This Row],[fecha_inicio]]="","",INDEX(lista_dias,WEEKDAY(tblOrdenes[[#This Row],[fecha_inicio]],2)))</f>
        <v/>
      </c>
      <c r="S6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8" s="3">
        <f>IF(tblOrdenes[[#This Row],[tipo_ot]]="","",_xlfn.XLOOKUP(tblOrdenes[[#This Row],[tipo_ot]],tblTiposOT[codigo],tblTiposOT[clasificacion],"sin_clasificar"))</f>
        <v/>
      </c>
      <c r="U628" s="3">
        <f>IF(tblOrdenes[[#This Row],[centro_costo]]="","",_xlfn.XLOOKUP(tblOrdenes[[#This Row],[centro_costo]],tblCECO[codigo],tblCECO[linea],"(sin catálogo)"))</f>
        <v/>
      </c>
      <c r="V628" s="3">
        <f>IF(tblOrdenes[[#This Row],[centro_costo]]="","",_xlfn.XLOOKUP(tblOrdenes[[#This Row],[centro_costo]],tblCECO[codigo],tblCECO[area],"(sin catálogo)"))</f>
        <v/>
      </c>
      <c r="W6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8" s="3">
        <f>IF(tblOrdenes[[#This Row],[centro_costo]]="","",_xlfn.XLOOKUP(tblOrdenes[[#This Row],[centro_costo]],tblCECO[codigo],tblCECO[coordinador],"(sin catálogo)"))</f>
        <v/>
      </c>
      <c r="Y628" s="3">
        <f>IF(tblOrdenes[[#This Row],[puesto_trabajo]]="","",_xlfn.XLOOKUP(tblOrdenes[[#This Row],[puesto_trabajo]],tblPuestos[codigo],tblPuestos[especialidad],"(sin catálogo)"))</f>
        <v/>
      </c>
      <c r="Z628" s="3">
        <f>IF(tblOrdenes[[#This Row],[cod_actividad]]="","",_xlfn.XLOOKUP(tblOrdenes[[#This Row],[cod_actividad]],tblActividades[codigo],tblActividades[descripcion],"(sin catálogo)"))</f>
        <v/>
      </c>
      <c r="AA628" s="13">
        <f>IF(tblOrdenes[[#This Row],[fecha_inicio]]="","",TODAY()-tblOrdenes[[#This Row],[fecha_inicio]])</f>
        <v/>
      </c>
      <c r="AB6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8" s="3">
        <f>IF(tblOrdenes[[#This Row],[backlog_habiles]]="","",IF(tblOrdenes[[#This Row],[backlog_habiles]]&lt;0,"FUTURO",IF(tblOrdenes[[#This Row],[backlog_habiles]]&gt;p_dias_backlog_max,"BACKLOG","MES CORRIENTE")))</f>
        <v/>
      </c>
      <c r="AD628" s="3">
        <f>IF(tblOrdenes[[#This Row],[backlog_habiles]]="",FALSE,AND(tblOrdenes[[#This Row],[backlog_habiles]]&gt;p_dias_backlog_min,tblOrdenes[[#This Row],[backlog_habiles]]&lt;=p_dias_backlog_max))</f>
        <v/>
      </c>
      <c r="AE628" s="6" t="n"/>
      <c r="AF6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8" s="11">
        <f>IF(tblOrdenes[[#This Row],[orden]]="","",_xlfn.XLOOKUP(tblOrdenes[[#This Row],[id_operacion]],tblEjecucion[id_operacion],tblEjecucion[precio],0))</f>
        <v/>
      </c>
      <c r="AJ628" s="11">
        <f>IF(tblOrdenes[[#This Row],[orden]]="","",MAX(0,_xlfn.XLOOKUP(tblOrdenes[[#This Row],[id_operacion]],tblEjecucion[id_operacion],tblEjecucion[costo_plan_total],0)-tblOrdenes[[#This Row],[costo_servicio]]))</f>
        <v/>
      </c>
      <c r="AK628" s="11">
        <f>IF(tblOrdenes[[#This Row],[orden]]="","",tblOrdenes[[#This Row],[costo_servicio]]+tblOrdenes[[#This Row],[costo_materiales]])</f>
        <v/>
      </c>
      <c r="AL628" s="6" t="n"/>
      <c r="AM628" s="6" t="n"/>
      <c r="AN628" s="6" t="n"/>
      <c r="AO628" s="3">
        <f>IF(tblOrdenes[[#This Row],[link_checklist]]="","",HYPERLINK(p_ruta_base_checklists&amp;tblOrdenes[[#This Row],[link_checklist]],"abrir"))</f>
        <v/>
      </c>
      <c r="AP628" s="6" t="n"/>
      <c r="AQ628" s="3">
        <f>IF(tblOrdenes[[#This Row],[orden]]="","",tblOrdenes[[#This Row],[orden]]&amp;IF(tblOrdenes[[#This Row],[operacion]]="","0010",tblOrdenes[[#This Row],[operacion]]))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2" t="n"/>
      <c r="K629" s="3" t="n"/>
      <c r="L629" s="11" t="n"/>
      <c r="M6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9" s="3">
        <f>IF(tblOrdenes[[#This Row],[fecha_inicio]]="","",YEAR(tblOrdenes[[#This Row],[fecha_inicio]]))</f>
        <v/>
      </c>
      <c r="Q629" s="3">
        <f>IF(tblOrdenes[[#This Row],[fecha_inicio]]="","",MONTH(tblOrdenes[[#This Row],[fecha_inicio]]))</f>
        <v/>
      </c>
      <c r="R629" s="3">
        <f>IF(tblOrdenes[[#This Row],[fecha_inicio]]="","",INDEX(lista_dias,WEEKDAY(tblOrdenes[[#This Row],[fecha_inicio]],2)))</f>
        <v/>
      </c>
      <c r="S6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9" s="3">
        <f>IF(tblOrdenes[[#This Row],[tipo_ot]]="","",_xlfn.XLOOKUP(tblOrdenes[[#This Row],[tipo_ot]],tblTiposOT[codigo],tblTiposOT[clasificacion],"sin_clasificar"))</f>
        <v/>
      </c>
      <c r="U629" s="3">
        <f>IF(tblOrdenes[[#This Row],[centro_costo]]="","",_xlfn.XLOOKUP(tblOrdenes[[#This Row],[centro_costo]],tblCECO[codigo],tblCECO[linea],"(sin catálogo)"))</f>
        <v/>
      </c>
      <c r="V629" s="3">
        <f>IF(tblOrdenes[[#This Row],[centro_costo]]="","",_xlfn.XLOOKUP(tblOrdenes[[#This Row],[centro_costo]],tblCECO[codigo],tblCECO[area],"(sin catálogo)"))</f>
        <v/>
      </c>
      <c r="W6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9" s="3">
        <f>IF(tblOrdenes[[#This Row],[centro_costo]]="","",_xlfn.XLOOKUP(tblOrdenes[[#This Row],[centro_costo]],tblCECO[codigo],tblCECO[coordinador],"(sin catálogo)"))</f>
        <v/>
      </c>
      <c r="Y629" s="3">
        <f>IF(tblOrdenes[[#This Row],[puesto_trabajo]]="","",_xlfn.XLOOKUP(tblOrdenes[[#This Row],[puesto_trabajo]],tblPuestos[codigo],tblPuestos[especialidad],"(sin catálogo)"))</f>
        <v/>
      </c>
      <c r="Z629" s="3">
        <f>IF(tblOrdenes[[#This Row],[cod_actividad]]="","",_xlfn.XLOOKUP(tblOrdenes[[#This Row],[cod_actividad]],tblActividades[codigo],tblActividades[descripcion],"(sin catálogo)"))</f>
        <v/>
      </c>
      <c r="AA629" s="13">
        <f>IF(tblOrdenes[[#This Row],[fecha_inicio]]="","",TODAY()-tblOrdenes[[#This Row],[fecha_inicio]])</f>
        <v/>
      </c>
      <c r="AB6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9" s="3">
        <f>IF(tblOrdenes[[#This Row],[backlog_habiles]]="","",IF(tblOrdenes[[#This Row],[backlog_habiles]]&lt;0,"FUTURO",IF(tblOrdenes[[#This Row],[backlog_habiles]]&gt;p_dias_backlog_max,"BACKLOG","MES CORRIENTE")))</f>
        <v/>
      </c>
      <c r="AD629" s="3">
        <f>IF(tblOrdenes[[#This Row],[backlog_habiles]]="",FALSE,AND(tblOrdenes[[#This Row],[backlog_habiles]]&gt;p_dias_backlog_min,tblOrdenes[[#This Row],[backlog_habiles]]&lt;=p_dias_backlog_max))</f>
        <v/>
      </c>
      <c r="AE629" s="6" t="n"/>
      <c r="AF6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9" s="11">
        <f>IF(tblOrdenes[[#This Row],[orden]]="","",_xlfn.XLOOKUP(tblOrdenes[[#This Row],[id_operacion]],tblEjecucion[id_operacion],tblEjecucion[precio],0))</f>
        <v/>
      </c>
      <c r="AJ629" s="11">
        <f>IF(tblOrdenes[[#This Row],[orden]]="","",MAX(0,_xlfn.XLOOKUP(tblOrdenes[[#This Row],[id_operacion]],tblEjecucion[id_operacion],tblEjecucion[costo_plan_total],0)-tblOrdenes[[#This Row],[costo_servicio]]))</f>
        <v/>
      </c>
      <c r="AK629" s="11">
        <f>IF(tblOrdenes[[#This Row],[orden]]="","",tblOrdenes[[#This Row],[costo_servicio]]+tblOrdenes[[#This Row],[costo_materiales]])</f>
        <v/>
      </c>
      <c r="AL629" s="6" t="n"/>
      <c r="AM629" s="6" t="n"/>
      <c r="AN629" s="6" t="n"/>
      <c r="AO629" s="3">
        <f>IF(tblOrdenes[[#This Row],[link_checklist]]="","",HYPERLINK(p_ruta_base_checklists&amp;tblOrdenes[[#This Row],[link_checklist]],"abrir"))</f>
        <v/>
      </c>
      <c r="AP629" s="6" t="n"/>
      <c r="AQ629" s="3">
        <f>IF(tblOrdenes[[#This Row],[orden]]="","",tblOrdenes[[#This Row],[orden]]&amp;IF(tblOrdenes[[#This Row],[operacion]]="","0010",tblOrdenes[[#This Row],[operacion]]))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2" t="n"/>
      <c r="K630" s="3" t="n"/>
      <c r="L630" s="11" t="n"/>
      <c r="M6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0" s="3">
        <f>IF(tblOrdenes[[#This Row],[fecha_inicio]]="","",YEAR(tblOrdenes[[#This Row],[fecha_inicio]]))</f>
        <v/>
      </c>
      <c r="Q630" s="3">
        <f>IF(tblOrdenes[[#This Row],[fecha_inicio]]="","",MONTH(tblOrdenes[[#This Row],[fecha_inicio]]))</f>
        <v/>
      </c>
      <c r="R630" s="3">
        <f>IF(tblOrdenes[[#This Row],[fecha_inicio]]="","",INDEX(lista_dias,WEEKDAY(tblOrdenes[[#This Row],[fecha_inicio]],2)))</f>
        <v/>
      </c>
      <c r="S6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0" s="3">
        <f>IF(tblOrdenes[[#This Row],[tipo_ot]]="","",_xlfn.XLOOKUP(tblOrdenes[[#This Row],[tipo_ot]],tblTiposOT[codigo],tblTiposOT[clasificacion],"sin_clasificar"))</f>
        <v/>
      </c>
      <c r="U630" s="3">
        <f>IF(tblOrdenes[[#This Row],[centro_costo]]="","",_xlfn.XLOOKUP(tblOrdenes[[#This Row],[centro_costo]],tblCECO[codigo],tblCECO[linea],"(sin catálogo)"))</f>
        <v/>
      </c>
      <c r="V630" s="3">
        <f>IF(tblOrdenes[[#This Row],[centro_costo]]="","",_xlfn.XLOOKUP(tblOrdenes[[#This Row],[centro_costo]],tblCECO[codigo],tblCECO[area],"(sin catálogo)"))</f>
        <v/>
      </c>
      <c r="W6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0" s="3">
        <f>IF(tblOrdenes[[#This Row],[centro_costo]]="","",_xlfn.XLOOKUP(tblOrdenes[[#This Row],[centro_costo]],tblCECO[codigo],tblCECO[coordinador],"(sin catálogo)"))</f>
        <v/>
      </c>
      <c r="Y630" s="3">
        <f>IF(tblOrdenes[[#This Row],[puesto_trabajo]]="","",_xlfn.XLOOKUP(tblOrdenes[[#This Row],[puesto_trabajo]],tblPuestos[codigo],tblPuestos[especialidad],"(sin catálogo)"))</f>
        <v/>
      </c>
      <c r="Z630" s="3">
        <f>IF(tblOrdenes[[#This Row],[cod_actividad]]="","",_xlfn.XLOOKUP(tblOrdenes[[#This Row],[cod_actividad]],tblActividades[codigo],tblActividades[descripcion],"(sin catálogo)"))</f>
        <v/>
      </c>
      <c r="AA630" s="13">
        <f>IF(tblOrdenes[[#This Row],[fecha_inicio]]="","",TODAY()-tblOrdenes[[#This Row],[fecha_inicio]])</f>
        <v/>
      </c>
      <c r="AB6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0" s="3">
        <f>IF(tblOrdenes[[#This Row],[backlog_habiles]]="","",IF(tblOrdenes[[#This Row],[backlog_habiles]]&lt;0,"FUTURO",IF(tblOrdenes[[#This Row],[backlog_habiles]]&gt;p_dias_backlog_max,"BACKLOG","MES CORRIENTE")))</f>
        <v/>
      </c>
      <c r="AD630" s="3">
        <f>IF(tblOrdenes[[#This Row],[backlog_habiles]]="",FALSE,AND(tblOrdenes[[#This Row],[backlog_habiles]]&gt;p_dias_backlog_min,tblOrdenes[[#This Row],[backlog_habiles]]&lt;=p_dias_backlog_max))</f>
        <v/>
      </c>
      <c r="AE630" s="6" t="n"/>
      <c r="AF6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0" s="11">
        <f>IF(tblOrdenes[[#This Row],[orden]]="","",_xlfn.XLOOKUP(tblOrdenes[[#This Row],[id_operacion]],tblEjecucion[id_operacion],tblEjecucion[precio],0))</f>
        <v/>
      </c>
      <c r="AJ630" s="11">
        <f>IF(tblOrdenes[[#This Row],[orden]]="","",MAX(0,_xlfn.XLOOKUP(tblOrdenes[[#This Row],[id_operacion]],tblEjecucion[id_operacion],tblEjecucion[costo_plan_total],0)-tblOrdenes[[#This Row],[costo_servicio]]))</f>
        <v/>
      </c>
      <c r="AK630" s="11">
        <f>IF(tblOrdenes[[#This Row],[orden]]="","",tblOrdenes[[#This Row],[costo_servicio]]+tblOrdenes[[#This Row],[costo_materiales]])</f>
        <v/>
      </c>
      <c r="AL630" s="6" t="n"/>
      <c r="AM630" s="6" t="n"/>
      <c r="AN630" s="6" t="n"/>
      <c r="AO630" s="3">
        <f>IF(tblOrdenes[[#This Row],[link_checklist]]="","",HYPERLINK(p_ruta_base_checklists&amp;tblOrdenes[[#This Row],[link_checklist]],"abrir"))</f>
        <v/>
      </c>
      <c r="AP630" s="6" t="n"/>
      <c r="AQ630" s="3">
        <f>IF(tblOrdenes[[#This Row],[orden]]="","",tblOrdenes[[#This Row],[orden]]&amp;IF(tblOrdenes[[#This Row],[operacion]]="","0010",tblOrdenes[[#This Row],[operacion]]))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2" t="n"/>
      <c r="K631" s="3" t="n"/>
      <c r="L631" s="11" t="n"/>
      <c r="M6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1" s="3">
        <f>IF(tblOrdenes[[#This Row],[fecha_inicio]]="","",YEAR(tblOrdenes[[#This Row],[fecha_inicio]]))</f>
        <v/>
      </c>
      <c r="Q631" s="3">
        <f>IF(tblOrdenes[[#This Row],[fecha_inicio]]="","",MONTH(tblOrdenes[[#This Row],[fecha_inicio]]))</f>
        <v/>
      </c>
      <c r="R631" s="3">
        <f>IF(tblOrdenes[[#This Row],[fecha_inicio]]="","",INDEX(lista_dias,WEEKDAY(tblOrdenes[[#This Row],[fecha_inicio]],2)))</f>
        <v/>
      </c>
      <c r="S6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1" s="3">
        <f>IF(tblOrdenes[[#This Row],[tipo_ot]]="","",_xlfn.XLOOKUP(tblOrdenes[[#This Row],[tipo_ot]],tblTiposOT[codigo],tblTiposOT[clasificacion],"sin_clasificar"))</f>
        <v/>
      </c>
      <c r="U631" s="3">
        <f>IF(tblOrdenes[[#This Row],[centro_costo]]="","",_xlfn.XLOOKUP(tblOrdenes[[#This Row],[centro_costo]],tblCECO[codigo],tblCECO[linea],"(sin catálogo)"))</f>
        <v/>
      </c>
      <c r="V631" s="3">
        <f>IF(tblOrdenes[[#This Row],[centro_costo]]="","",_xlfn.XLOOKUP(tblOrdenes[[#This Row],[centro_costo]],tblCECO[codigo],tblCECO[area],"(sin catálogo)"))</f>
        <v/>
      </c>
      <c r="W6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1" s="3">
        <f>IF(tblOrdenes[[#This Row],[centro_costo]]="","",_xlfn.XLOOKUP(tblOrdenes[[#This Row],[centro_costo]],tblCECO[codigo],tblCECO[coordinador],"(sin catálogo)"))</f>
        <v/>
      </c>
      <c r="Y631" s="3">
        <f>IF(tblOrdenes[[#This Row],[puesto_trabajo]]="","",_xlfn.XLOOKUP(tblOrdenes[[#This Row],[puesto_trabajo]],tblPuestos[codigo],tblPuestos[especialidad],"(sin catálogo)"))</f>
        <v/>
      </c>
      <c r="Z631" s="3">
        <f>IF(tblOrdenes[[#This Row],[cod_actividad]]="","",_xlfn.XLOOKUP(tblOrdenes[[#This Row],[cod_actividad]],tblActividades[codigo],tblActividades[descripcion],"(sin catálogo)"))</f>
        <v/>
      </c>
      <c r="AA631" s="13">
        <f>IF(tblOrdenes[[#This Row],[fecha_inicio]]="","",TODAY()-tblOrdenes[[#This Row],[fecha_inicio]])</f>
        <v/>
      </c>
      <c r="AB6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1" s="3">
        <f>IF(tblOrdenes[[#This Row],[backlog_habiles]]="","",IF(tblOrdenes[[#This Row],[backlog_habiles]]&lt;0,"FUTURO",IF(tblOrdenes[[#This Row],[backlog_habiles]]&gt;p_dias_backlog_max,"BACKLOG","MES CORRIENTE")))</f>
        <v/>
      </c>
      <c r="AD631" s="3">
        <f>IF(tblOrdenes[[#This Row],[backlog_habiles]]="",FALSE,AND(tblOrdenes[[#This Row],[backlog_habiles]]&gt;p_dias_backlog_min,tblOrdenes[[#This Row],[backlog_habiles]]&lt;=p_dias_backlog_max))</f>
        <v/>
      </c>
      <c r="AE631" s="6" t="n"/>
      <c r="AF6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1" s="11">
        <f>IF(tblOrdenes[[#This Row],[orden]]="","",_xlfn.XLOOKUP(tblOrdenes[[#This Row],[id_operacion]],tblEjecucion[id_operacion],tblEjecucion[precio],0))</f>
        <v/>
      </c>
      <c r="AJ631" s="11">
        <f>IF(tblOrdenes[[#This Row],[orden]]="","",MAX(0,_xlfn.XLOOKUP(tblOrdenes[[#This Row],[id_operacion]],tblEjecucion[id_operacion],tblEjecucion[costo_plan_total],0)-tblOrdenes[[#This Row],[costo_servicio]]))</f>
        <v/>
      </c>
      <c r="AK631" s="11">
        <f>IF(tblOrdenes[[#This Row],[orden]]="","",tblOrdenes[[#This Row],[costo_servicio]]+tblOrdenes[[#This Row],[costo_materiales]])</f>
        <v/>
      </c>
      <c r="AL631" s="6" t="n"/>
      <c r="AM631" s="6" t="n"/>
      <c r="AN631" s="6" t="n"/>
      <c r="AO631" s="3">
        <f>IF(tblOrdenes[[#This Row],[link_checklist]]="","",HYPERLINK(p_ruta_base_checklists&amp;tblOrdenes[[#This Row],[link_checklist]],"abrir"))</f>
        <v/>
      </c>
      <c r="AP631" s="6" t="n"/>
      <c r="AQ631" s="3">
        <f>IF(tblOrdenes[[#This Row],[orden]]="","",tblOrdenes[[#This Row],[orden]]&amp;IF(tblOrdenes[[#This Row],[operacion]]="","0010",tblOrdenes[[#This Row],[operacion]]))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2" t="n"/>
      <c r="K632" s="3" t="n"/>
      <c r="L632" s="11" t="n"/>
      <c r="M6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2" s="3">
        <f>IF(tblOrdenes[[#This Row],[fecha_inicio]]="","",YEAR(tblOrdenes[[#This Row],[fecha_inicio]]))</f>
        <v/>
      </c>
      <c r="Q632" s="3">
        <f>IF(tblOrdenes[[#This Row],[fecha_inicio]]="","",MONTH(tblOrdenes[[#This Row],[fecha_inicio]]))</f>
        <v/>
      </c>
      <c r="R632" s="3">
        <f>IF(tblOrdenes[[#This Row],[fecha_inicio]]="","",INDEX(lista_dias,WEEKDAY(tblOrdenes[[#This Row],[fecha_inicio]],2)))</f>
        <v/>
      </c>
      <c r="S6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2" s="3">
        <f>IF(tblOrdenes[[#This Row],[tipo_ot]]="","",_xlfn.XLOOKUP(tblOrdenes[[#This Row],[tipo_ot]],tblTiposOT[codigo],tblTiposOT[clasificacion],"sin_clasificar"))</f>
        <v/>
      </c>
      <c r="U632" s="3">
        <f>IF(tblOrdenes[[#This Row],[centro_costo]]="","",_xlfn.XLOOKUP(tblOrdenes[[#This Row],[centro_costo]],tblCECO[codigo],tblCECO[linea],"(sin catálogo)"))</f>
        <v/>
      </c>
      <c r="V632" s="3">
        <f>IF(tblOrdenes[[#This Row],[centro_costo]]="","",_xlfn.XLOOKUP(tblOrdenes[[#This Row],[centro_costo]],tblCECO[codigo],tblCECO[area],"(sin catálogo)"))</f>
        <v/>
      </c>
      <c r="W6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2" s="3">
        <f>IF(tblOrdenes[[#This Row],[centro_costo]]="","",_xlfn.XLOOKUP(tblOrdenes[[#This Row],[centro_costo]],tblCECO[codigo],tblCECO[coordinador],"(sin catálogo)"))</f>
        <v/>
      </c>
      <c r="Y632" s="3">
        <f>IF(tblOrdenes[[#This Row],[puesto_trabajo]]="","",_xlfn.XLOOKUP(tblOrdenes[[#This Row],[puesto_trabajo]],tblPuestos[codigo],tblPuestos[especialidad],"(sin catálogo)"))</f>
        <v/>
      </c>
      <c r="Z632" s="3">
        <f>IF(tblOrdenes[[#This Row],[cod_actividad]]="","",_xlfn.XLOOKUP(tblOrdenes[[#This Row],[cod_actividad]],tblActividades[codigo],tblActividades[descripcion],"(sin catálogo)"))</f>
        <v/>
      </c>
      <c r="AA632" s="13">
        <f>IF(tblOrdenes[[#This Row],[fecha_inicio]]="","",TODAY()-tblOrdenes[[#This Row],[fecha_inicio]])</f>
        <v/>
      </c>
      <c r="AB6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2" s="3">
        <f>IF(tblOrdenes[[#This Row],[backlog_habiles]]="","",IF(tblOrdenes[[#This Row],[backlog_habiles]]&lt;0,"FUTURO",IF(tblOrdenes[[#This Row],[backlog_habiles]]&gt;p_dias_backlog_max,"BACKLOG","MES CORRIENTE")))</f>
        <v/>
      </c>
      <c r="AD632" s="3">
        <f>IF(tblOrdenes[[#This Row],[backlog_habiles]]="",FALSE,AND(tblOrdenes[[#This Row],[backlog_habiles]]&gt;p_dias_backlog_min,tblOrdenes[[#This Row],[backlog_habiles]]&lt;=p_dias_backlog_max))</f>
        <v/>
      </c>
      <c r="AE632" s="6" t="n"/>
      <c r="AF6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2" s="11">
        <f>IF(tblOrdenes[[#This Row],[orden]]="","",_xlfn.XLOOKUP(tblOrdenes[[#This Row],[id_operacion]],tblEjecucion[id_operacion],tblEjecucion[precio],0))</f>
        <v/>
      </c>
      <c r="AJ632" s="11">
        <f>IF(tblOrdenes[[#This Row],[orden]]="","",MAX(0,_xlfn.XLOOKUP(tblOrdenes[[#This Row],[id_operacion]],tblEjecucion[id_operacion],tblEjecucion[costo_plan_total],0)-tblOrdenes[[#This Row],[costo_servicio]]))</f>
        <v/>
      </c>
      <c r="AK632" s="11">
        <f>IF(tblOrdenes[[#This Row],[orden]]="","",tblOrdenes[[#This Row],[costo_servicio]]+tblOrdenes[[#This Row],[costo_materiales]])</f>
        <v/>
      </c>
      <c r="AL632" s="6" t="n"/>
      <c r="AM632" s="6" t="n"/>
      <c r="AN632" s="6" t="n"/>
      <c r="AO632" s="3">
        <f>IF(tblOrdenes[[#This Row],[link_checklist]]="","",HYPERLINK(p_ruta_base_checklists&amp;tblOrdenes[[#This Row],[link_checklist]],"abrir"))</f>
        <v/>
      </c>
      <c r="AP632" s="6" t="n"/>
      <c r="AQ632" s="3">
        <f>IF(tblOrdenes[[#This Row],[orden]]="","",tblOrdenes[[#This Row],[orden]]&amp;IF(tblOrdenes[[#This Row],[operacion]]="","0010",tblOrdenes[[#This Row],[operacion]]))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2" t="n"/>
      <c r="K633" s="3" t="n"/>
      <c r="L633" s="11" t="n"/>
      <c r="M6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3" s="3">
        <f>IF(tblOrdenes[[#This Row],[fecha_inicio]]="","",YEAR(tblOrdenes[[#This Row],[fecha_inicio]]))</f>
        <v/>
      </c>
      <c r="Q633" s="3">
        <f>IF(tblOrdenes[[#This Row],[fecha_inicio]]="","",MONTH(tblOrdenes[[#This Row],[fecha_inicio]]))</f>
        <v/>
      </c>
      <c r="R633" s="3">
        <f>IF(tblOrdenes[[#This Row],[fecha_inicio]]="","",INDEX(lista_dias,WEEKDAY(tblOrdenes[[#This Row],[fecha_inicio]],2)))</f>
        <v/>
      </c>
      <c r="S6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3" s="3">
        <f>IF(tblOrdenes[[#This Row],[tipo_ot]]="","",_xlfn.XLOOKUP(tblOrdenes[[#This Row],[tipo_ot]],tblTiposOT[codigo],tblTiposOT[clasificacion],"sin_clasificar"))</f>
        <v/>
      </c>
      <c r="U633" s="3">
        <f>IF(tblOrdenes[[#This Row],[centro_costo]]="","",_xlfn.XLOOKUP(tblOrdenes[[#This Row],[centro_costo]],tblCECO[codigo],tblCECO[linea],"(sin catálogo)"))</f>
        <v/>
      </c>
      <c r="V633" s="3">
        <f>IF(tblOrdenes[[#This Row],[centro_costo]]="","",_xlfn.XLOOKUP(tblOrdenes[[#This Row],[centro_costo]],tblCECO[codigo],tblCECO[area],"(sin catálogo)"))</f>
        <v/>
      </c>
      <c r="W6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3" s="3">
        <f>IF(tblOrdenes[[#This Row],[centro_costo]]="","",_xlfn.XLOOKUP(tblOrdenes[[#This Row],[centro_costo]],tblCECO[codigo],tblCECO[coordinador],"(sin catálogo)"))</f>
        <v/>
      </c>
      <c r="Y633" s="3">
        <f>IF(tblOrdenes[[#This Row],[puesto_trabajo]]="","",_xlfn.XLOOKUP(tblOrdenes[[#This Row],[puesto_trabajo]],tblPuestos[codigo],tblPuestos[especialidad],"(sin catálogo)"))</f>
        <v/>
      </c>
      <c r="Z633" s="3">
        <f>IF(tblOrdenes[[#This Row],[cod_actividad]]="","",_xlfn.XLOOKUP(tblOrdenes[[#This Row],[cod_actividad]],tblActividades[codigo],tblActividades[descripcion],"(sin catálogo)"))</f>
        <v/>
      </c>
      <c r="AA633" s="13">
        <f>IF(tblOrdenes[[#This Row],[fecha_inicio]]="","",TODAY()-tblOrdenes[[#This Row],[fecha_inicio]])</f>
        <v/>
      </c>
      <c r="AB6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3" s="3">
        <f>IF(tblOrdenes[[#This Row],[backlog_habiles]]="","",IF(tblOrdenes[[#This Row],[backlog_habiles]]&lt;0,"FUTURO",IF(tblOrdenes[[#This Row],[backlog_habiles]]&gt;p_dias_backlog_max,"BACKLOG","MES CORRIENTE")))</f>
        <v/>
      </c>
      <c r="AD633" s="3">
        <f>IF(tblOrdenes[[#This Row],[backlog_habiles]]="",FALSE,AND(tblOrdenes[[#This Row],[backlog_habiles]]&gt;p_dias_backlog_min,tblOrdenes[[#This Row],[backlog_habiles]]&lt;=p_dias_backlog_max))</f>
        <v/>
      </c>
      <c r="AE633" s="6" t="n"/>
      <c r="AF6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3" s="11">
        <f>IF(tblOrdenes[[#This Row],[orden]]="","",_xlfn.XLOOKUP(tblOrdenes[[#This Row],[id_operacion]],tblEjecucion[id_operacion],tblEjecucion[precio],0))</f>
        <v/>
      </c>
      <c r="AJ633" s="11">
        <f>IF(tblOrdenes[[#This Row],[orden]]="","",MAX(0,_xlfn.XLOOKUP(tblOrdenes[[#This Row],[id_operacion]],tblEjecucion[id_operacion],tblEjecucion[costo_plan_total],0)-tblOrdenes[[#This Row],[costo_servicio]]))</f>
        <v/>
      </c>
      <c r="AK633" s="11">
        <f>IF(tblOrdenes[[#This Row],[orden]]="","",tblOrdenes[[#This Row],[costo_servicio]]+tblOrdenes[[#This Row],[costo_materiales]])</f>
        <v/>
      </c>
      <c r="AL633" s="6" t="n"/>
      <c r="AM633" s="6" t="n"/>
      <c r="AN633" s="6" t="n"/>
      <c r="AO633" s="3">
        <f>IF(tblOrdenes[[#This Row],[link_checklist]]="","",HYPERLINK(p_ruta_base_checklists&amp;tblOrdenes[[#This Row],[link_checklist]],"abrir"))</f>
        <v/>
      </c>
      <c r="AP633" s="6" t="n"/>
      <c r="AQ633" s="3">
        <f>IF(tblOrdenes[[#This Row],[orden]]="","",tblOrdenes[[#This Row],[orden]]&amp;IF(tblOrdenes[[#This Row],[operacion]]="","0010",tblOrdenes[[#This Row],[operacion]]))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2" t="n"/>
      <c r="K634" s="3" t="n"/>
      <c r="L634" s="11" t="n"/>
      <c r="M6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4" s="3">
        <f>IF(tblOrdenes[[#This Row],[fecha_inicio]]="","",YEAR(tblOrdenes[[#This Row],[fecha_inicio]]))</f>
        <v/>
      </c>
      <c r="Q634" s="3">
        <f>IF(tblOrdenes[[#This Row],[fecha_inicio]]="","",MONTH(tblOrdenes[[#This Row],[fecha_inicio]]))</f>
        <v/>
      </c>
      <c r="R634" s="3">
        <f>IF(tblOrdenes[[#This Row],[fecha_inicio]]="","",INDEX(lista_dias,WEEKDAY(tblOrdenes[[#This Row],[fecha_inicio]],2)))</f>
        <v/>
      </c>
      <c r="S6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4" s="3">
        <f>IF(tblOrdenes[[#This Row],[tipo_ot]]="","",_xlfn.XLOOKUP(tblOrdenes[[#This Row],[tipo_ot]],tblTiposOT[codigo],tblTiposOT[clasificacion],"sin_clasificar"))</f>
        <v/>
      </c>
      <c r="U634" s="3">
        <f>IF(tblOrdenes[[#This Row],[centro_costo]]="","",_xlfn.XLOOKUP(tblOrdenes[[#This Row],[centro_costo]],tblCECO[codigo],tblCECO[linea],"(sin catálogo)"))</f>
        <v/>
      </c>
      <c r="V634" s="3">
        <f>IF(tblOrdenes[[#This Row],[centro_costo]]="","",_xlfn.XLOOKUP(tblOrdenes[[#This Row],[centro_costo]],tblCECO[codigo],tblCECO[area],"(sin catálogo)"))</f>
        <v/>
      </c>
      <c r="W6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4" s="3">
        <f>IF(tblOrdenes[[#This Row],[centro_costo]]="","",_xlfn.XLOOKUP(tblOrdenes[[#This Row],[centro_costo]],tblCECO[codigo],tblCECO[coordinador],"(sin catálogo)"))</f>
        <v/>
      </c>
      <c r="Y634" s="3">
        <f>IF(tblOrdenes[[#This Row],[puesto_trabajo]]="","",_xlfn.XLOOKUP(tblOrdenes[[#This Row],[puesto_trabajo]],tblPuestos[codigo],tblPuestos[especialidad],"(sin catálogo)"))</f>
        <v/>
      </c>
      <c r="Z634" s="3">
        <f>IF(tblOrdenes[[#This Row],[cod_actividad]]="","",_xlfn.XLOOKUP(tblOrdenes[[#This Row],[cod_actividad]],tblActividades[codigo],tblActividades[descripcion],"(sin catálogo)"))</f>
        <v/>
      </c>
      <c r="AA634" s="13">
        <f>IF(tblOrdenes[[#This Row],[fecha_inicio]]="","",TODAY()-tblOrdenes[[#This Row],[fecha_inicio]])</f>
        <v/>
      </c>
      <c r="AB6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4" s="3">
        <f>IF(tblOrdenes[[#This Row],[backlog_habiles]]="","",IF(tblOrdenes[[#This Row],[backlog_habiles]]&lt;0,"FUTURO",IF(tblOrdenes[[#This Row],[backlog_habiles]]&gt;p_dias_backlog_max,"BACKLOG","MES CORRIENTE")))</f>
        <v/>
      </c>
      <c r="AD634" s="3">
        <f>IF(tblOrdenes[[#This Row],[backlog_habiles]]="",FALSE,AND(tblOrdenes[[#This Row],[backlog_habiles]]&gt;p_dias_backlog_min,tblOrdenes[[#This Row],[backlog_habiles]]&lt;=p_dias_backlog_max))</f>
        <v/>
      </c>
      <c r="AE634" s="6" t="n"/>
      <c r="AF6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4" s="11">
        <f>IF(tblOrdenes[[#This Row],[orden]]="","",_xlfn.XLOOKUP(tblOrdenes[[#This Row],[id_operacion]],tblEjecucion[id_operacion],tblEjecucion[precio],0))</f>
        <v/>
      </c>
      <c r="AJ634" s="11">
        <f>IF(tblOrdenes[[#This Row],[orden]]="","",MAX(0,_xlfn.XLOOKUP(tblOrdenes[[#This Row],[id_operacion]],tblEjecucion[id_operacion],tblEjecucion[costo_plan_total],0)-tblOrdenes[[#This Row],[costo_servicio]]))</f>
        <v/>
      </c>
      <c r="AK634" s="11">
        <f>IF(tblOrdenes[[#This Row],[orden]]="","",tblOrdenes[[#This Row],[costo_servicio]]+tblOrdenes[[#This Row],[costo_materiales]])</f>
        <v/>
      </c>
      <c r="AL634" s="6" t="n"/>
      <c r="AM634" s="6" t="n"/>
      <c r="AN634" s="6" t="n"/>
      <c r="AO634" s="3">
        <f>IF(tblOrdenes[[#This Row],[link_checklist]]="","",HYPERLINK(p_ruta_base_checklists&amp;tblOrdenes[[#This Row],[link_checklist]],"abrir"))</f>
        <v/>
      </c>
      <c r="AP634" s="6" t="n"/>
      <c r="AQ634" s="3">
        <f>IF(tblOrdenes[[#This Row],[orden]]="","",tblOrdenes[[#This Row],[orden]]&amp;IF(tblOrdenes[[#This Row],[operacion]]="","0010",tblOrdenes[[#This Row],[operacion]]))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2" t="n"/>
      <c r="K635" s="3" t="n"/>
      <c r="L635" s="11" t="n"/>
      <c r="M6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5" s="3">
        <f>IF(tblOrdenes[[#This Row],[fecha_inicio]]="","",YEAR(tblOrdenes[[#This Row],[fecha_inicio]]))</f>
        <v/>
      </c>
      <c r="Q635" s="3">
        <f>IF(tblOrdenes[[#This Row],[fecha_inicio]]="","",MONTH(tblOrdenes[[#This Row],[fecha_inicio]]))</f>
        <v/>
      </c>
      <c r="R635" s="3">
        <f>IF(tblOrdenes[[#This Row],[fecha_inicio]]="","",INDEX(lista_dias,WEEKDAY(tblOrdenes[[#This Row],[fecha_inicio]],2)))</f>
        <v/>
      </c>
      <c r="S6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5" s="3">
        <f>IF(tblOrdenes[[#This Row],[tipo_ot]]="","",_xlfn.XLOOKUP(tblOrdenes[[#This Row],[tipo_ot]],tblTiposOT[codigo],tblTiposOT[clasificacion],"sin_clasificar"))</f>
        <v/>
      </c>
      <c r="U635" s="3">
        <f>IF(tblOrdenes[[#This Row],[centro_costo]]="","",_xlfn.XLOOKUP(tblOrdenes[[#This Row],[centro_costo]],tblCECO[codigo],tblCECO[linea],"(sin catálogo)"))</f>
        <v/>
      </c>
      <c r="V635" s="3">
        <f>IF(tblOrdenes[[#This Row],[centro_costo]]="","",_xlfn.XLOOKUP(tblOrdenes[[#This Row],[centro_costo]],tblCECO[codigo],tblCECO[area],"(sin catálogo)"))</f>
        <v/>
      </c>
      <c r="W6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5" s="3">
        <f>IF(tblOrdenes[[#This Row],[centro_costo]]="","",_xlfn.XLOOKUP(tblOrdenes[[#This Row],[centro_costo]],tblCECO[codigo],tblCECO[coordinador],"(sin catálogo)"))</f>
        <v/>
      </c>
      <c r="Y635" s="3">
        <f>IF(tblOrdenes[[#This Row],[puesto_trabajo]]="","",_xlfn.XLOOKUP(tblOrdenes[[#This Row],[puesto_trabajo]],tblPuestos[codigo],tblPuestos[especialidad],"(sin catálogo)"))</f>
        <v/>
      </c>
      <c r="Z635" s="3">
        <f>IF(tblOrdenes[[#This Row],[cod_actividad]]="","",_xlfn.XLOOKUP(tblOrdenes[[#This Row],[cod_actividad]],tblActividades[codigo],tblActividades[descripcion],"(sin catálogo)"))</f>
        <v/>
      </c>
      <c r="AA635" s="13">
        <f>IF(tblOrdenes[[#This Row],[fecha_inicio]]="","",TODAY()-tblOrdenes[[#This Row],[fecha_inicio]])</f>
        <v/>
      </c>
      <c r="AB6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5" s="3">
        <f>IF(tblOrdenes[[#This Row],[backlog_habiles]]="","",IF(tblOrdenes[[#This Row],[backlog_habiles]]&lt;0,"FUTURO",IF(tblOrdenes[[#This Row],[backlog_habiles]]&gt;p_dias_backlog_max,"BACKLOG","MES CORRIENTE")))</f>
        <v/>
      </c>
      <c r="AD635" s="3">
        <f>IF(tblOrdenes[[#This Row],[backlog_habiles]]="",FALSE,AND(tblOrdenes[[#This Row],[backlog_habiles]]&gt;p_dias_backlog_min,tblOrdenes[[#This Row],[backlog_habiles]]&lt;=p_dias_backlog_max))</f>
        <v/>
      </c>
      <c r="AE635" s="6" t="n"/>
      <c r="AF6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5" s="11">
        <f>IF(tblOrdenes[[#This Row],[orden]]="","",_xlfn.XLOOKUP(tblOrdenes[[#This Row],[id_operacion]],tblEjecucion[id_operacion],tblEjecucion[precio],0))</f>
        <v/>
      </c>
      <c r="AJ635" s="11">
        <f>IF(tblOrdenes[[#This Row],[orden]]="","",MAX(0,_xlfn.XLOOKUP(tblOrdenes[[#This Row],[id_operacion]],tblEjecucion[id_operacion],tblEjecucion[costo_plan_total],0)-tblOrdenes[[#This Row],[costo_servicio]]))</f>
        <v/>
      </c>
      <c r="AK635" s="11">
        <f>IF(tblOrdenes[[#This Row],[orden]]="","",tblOrdenes[[#This Row],[costo_servicio]]+tblOrdenes[[#This Row],[costo_materiales]])</f>
        <v/>
      </c>
      <c r="AL635" s="6" t="n"/>
      <c r="AM635" s="6" t="n"/>
      <c r="AN635" s="6" t="n"/>
      <c r="AO635" s="3">
        <f>IF(tblOrdenes[[#This Row],[link_checklist]]="","",HYPERLINK(p_ruta_base_checklists&amp;tblOrdenes[[#This Row],[link_checklist]],"abrir"))</f>
        <v/>
      </c>
      <c r="AP635" s="6" t="n"/>
      <c r="AQ635" s="3">
        <f>IF(tblOrdenes[[#This Row],[orden]]="","",tblOrdenes[[#This Row],[orden]]&amp;IF(tblOrdenes[[#This Row],[operacion]]="","0010",tblOrdenes[[#This Row],[operacion]]))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2" t="n"/>
      <c r="K636" s="3" t="n"/>
      <c r="L636" s="11" t="n"/>
      <c r="M6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6" s="3">
        <f>IF(tblOrdenes[[#This Row],[fecha_inicio]]="","",YEAR(tblOrdenes[[#This Row],[fecha_inicio]]))</f>
        <v/>
      </c>
      <c r="Q636" s="3">
        <f>IF(tblOrdenes[[#This Row],[fecha_inicio]]="","",MONTH(tblOrdenes[[#This Row],[fecha_inicio]]))</f>
        <v/>
      </c>
      <c r="R636" s="3">
        <f>IF(tblOrdenes[[#This Row],[fecha_inicio]]="","",INDEX(lista_dias,WEEKDAY(tblOrdenes[[#This Row],[fecha_inicio]],2)))</f>
        <v/>
      </c>
      <c r="S6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6" s="3">
        <f>IF(tblOrdenes[[#This Row],[tipo_ot]]="","",_xlfn.XLOOKUP(tblOrdenes[[#This Row],[tipo_ot]],tblTiposOT[codigo],tblTiposOT[clasificacion],"sin_clasificar"))</f>
        <v/>
      </c>
      <c r="U636" s="3">
        <f>IF(tblOrdenes[[#This Row],[centro_costo]]="","",_xlfn.XLOOKUP(tblOrdenes[[#This Row],[centro_costo]],tblCECO[codigo],tblCECO[linea],"(sin catálogo)"))</f>
        <v/>
      </c>
      <c r="V636" s="3">
        <f>IF(tblOrdenes[[#This Row],[centro_costo]]="","",_xlfn.XLOOKUP(tblOrdenes[[#This Row],[centro_costo]],tblCECO[codigo],tblCECO[area],"(sin catálogo)"))</f>
        <v/>
      </c>
      <c r="W6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6" s="3">
        <f>IF(tblOrdenes[[#This Row],[centro_costo]]="","",_xlfn.XLOOKUP(tblOrdenes[[#This Row],[centro_costo]],tblCECO[codigo],tblCECO[coordinador],"(sin catálogo)"))</f>
        <v/>
      </c>
      <c r="Y636" s="3">
        <f>IF(tblOrdenes[[#This Row],[puesto_trabajo]]="","",_xlfn.XLOOKUP(tblOrdenes[[#This Row],[puesto_trabajo]],tblPuestos[codigo],tblPuestos[especialidad],"(sin catálogo)"))</f>
        <v/>
      </c>
      <c r="Z636" s="3">
        <f>IF(tblOrdenes[[#This Row],[cod_actividad]]="","",_xlfn.XLOOKUP(tblOrdenes[[#This Row],[cod_actividad]],tblActividades[codigo],tblActividades[descripcion],"(sin catálogo)"))</f>
        <v/>
      </c>
      <c r="AA636" s="13">
        <f>IF(tblOrdenes[[#This Row],[fecha_inicio]]="","",TODAY()-tblOrdenes[[#This Row],[fecha_inicio]])</f>
        <v/>
      </c>
      <c r="AB6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6" s="3">
        <f>IF(tblOrdenes[[#This Row],[backlog_habiles]]="","",IF(tblOrdenes[[#This Row],[backlog_habiles]]&lt;0,"FUTURO",IF(tblOrdenes[[#This Row],[backlog_habiles]]&gt;p_dias_backlog_max,"BACKLOG","MES CORRIENTE")))</f>
        <v/>
      </c>
      <c r="AD636" s="3">
        <f>IF(tblOrdenes[[#This Row],[backlog_habiles]]="",FALSE,AND(tblOrdenes[[#This Row],[backlog_habiles]]&gt;p_dias_backlog_min,tblOrdenes[[#This Row],[backlog_habiles]]&lt;=p_dias_backlog_max))</f>
        <v/>
      </c>
      <c r="AE636" s="6" t="n"/>
      <c r="AF6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6" s="11">
        <f>IF(tblOrdenes[[#This Row],[orden]]="","",_xlfn.XLOOKUP(tblOrdenes[[#This Row],[id_operacion]],tblEjecucion[id_operacion],tblEjecucion[precio],0))</f>
        <v/>
      </c>
      <c r="AJ636" s="11">
        <f>IF(tblOrdenes[[#This Row],[orden]]="","",MAX(0,_xlfn.XLOOKUP(tblOrdenes[[#This Row],[id_operacion]],tblEjecucion[id_operacion],tblEjecucion[costo_plan_total],0)-tblOrdenes[[#This Row],[costo_servicio]]))</f>
        <v/>
      </c>
      <c r="AK636" s="11">
        <f>IF(tblOrdenes[[#This Row],[orden]]="","",tblOrdenes[[#This Row],[costo_servicio]]+tblOrdenes[[#This Row],[costo_materiales]])</f>
        <v/>
      </c>
      <c r="AL636" s="6" t="n"/>
      <c r="AM636" s="6" t="n"/>
      <c r="AN636" s="6" t="n"/>
      <c r="AO636" s="3">
        <f>IF(tblOrdenes[[#This Row],[link_checklist]]="","",HYPERLINK(p_ruta_base_checklists&amp;tblOrdenes[[#This Row],[link_checklist]],"abrir"))</f>
        <v/>
      </c>
      <c r="AP636" s="6" t="n"/>
      <c r="AQ636" s="3">
        <f>IF(tblOrdenes[[#This Row],[orden]]="","",tblOrdenes[[#This Row],[orden]]&amp;IF(tblOrdenes[[#This Row],[operacion]]="","0010",tblOrdenes[[#This Row],[operacion]]))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2" t="n"/>
      <c r="K637" s="3" t="n"/>
      <c r="L637" s="11" t="n"/>
      <c r="M6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7" s="3">
        <f>IF(tblOrdenes[[#This Row],[fecha_inicio]]="","",YEAR(tblOrdenes[[#This Row],[fecha_inicio]]))</f>
        <v/>
      </c>
      <c r="Q637" s="3">
        <f>IF(tblOrdenes[[#This Row],[fecha_inicio]]="","",MONTH(tblOrdenes[[#This Row],[fecha_inicio]]))</f>
        <v/>
      </c>
      <c r="R637" s="3">
        <f>IF(tblOrdenes[[#This Row],[fecha_inicio]]="","",INDEX(lista_dias,WEEKDAY(tblOrdenes[[#This Row],[fecha_inicio]],2)))</f>
        <v/>
      </c>
      <c r="S6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7" s="3">
        <f>IF(tblOrdenes[[#This Row],[tipo_ot]]="","",_xlfn.XLOOKUP(tblOrdenes[[#This Row],[tipo_ot]],tblTiposOT[codigo],tblTiposOT[clasificacion],"sin_clasificar"))</f>
        <v/>
      </c>
      <c r="U637" s="3">
        <f>IF(tblOrdenes[[#This Row],[centro_costo]]="","",_xlfn.XLOOKUP(tblOrdenes[[#This Row],[centro_costo]],tblCECO[codigo],tblCECO[linea],"(sin catálogo)"))</f>
        <v/>
      </c>
      <c r="V637" s="3">
        <f>IF(tblOrdenes[[#This Row],[centro_costo]]="","",_xlfn.XLOOKUP(tblOrdenes[[#This Row],[centro_costo]],tblCECO[codigo],tblCECO[area],"(sin catálogo)"))</f>
        <v/>
      </c>
      <c r="W6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7" s="3">
        <f>IF(tblOrdenes[[#This Row],[centro_costo]]="","",_xlfn.XLOOKUP(tblOrdenes[[#This Row],[centro_costo]],tblCECO[codigo],tblCECO[coordinador],"(sin catálogo)"))</f>
        <v/>
      </c>
      <c r="Y637" s="3">
        <f>IF(tblOrdenes[[#This Row],[puesto_trabajo]]="","",_xlfn.XLOOKUP(tblOrdenes[[#This Row],[puesto_trabajo]],tblPuestos[codigo],tblPuestos[especialidad],"(sin catálogo)"))</f>
        <v/>
      </c>
      <c r="Z637" s="3">
        <f>IF(tblOrdenes[[#This Row],[cod_actividad]]="","",_xlfn.XLOOKUP(tblOrdenes[[#This Row],[cod_actividad]],tblActividades[codigo],tblActividades[descripcion],"(sin catálogo)"))</f>
        <v/>
      </c>
      <c r="AA637" s="13">
        <f>IF(tblOrdenes[[#This Row],[fecha_inicio]]="","",TODAY()-tblOrdenes[[#This Row],[fecha_inicio]])</f>
        <v/>
      </c>
      <c r="AB6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7" s="3">
        <f>IF(tblOrdenes[[#This Row],[backlog_habiles]]="","",IF(tblOrdenes[[#This Row],[backlog_habiles]]&lt;0,"FUTURO",IF(tblOrdenes[[#This Row],[backlog_habiles]]&gt;p_dias_backlog_max,"BACKLOG","MES CORRIENTE")))</f>
        <v/>
      </c>
      <c r="AD637" s="3">
        <f>IF(tblOrdenes[[#This Row],[backlog_habiles]]="",FALSE,AND(tblOrdenes[[#This Row],[backlog_habiles]]&gt;p_dias_backlog_min,tblOrdenes[[#This Row],[backlog_habiles]]&lt;=p_dias_backlog_max))</f>
        <v/>
      </c>
      <c r="AE637" s="6" t="n"/>
      <c r="AF6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7" s="11">
        <f>IF(tblOrdenes[[#This Row],[orden]]="","",_xlfn.XLOOKUP(tblOrdenes[[#This Row],[id_operacion]],tblEjecucion[id_operacion],tblEjecucion[precio],0))</f>
        <v/>
      </c>
      <c r="AJ637" s="11">
        <f>IF(tblOrdenes[[#This Row],[orden]]="","",MAX(0,_xlfn.XLOOKUP(tblOrdenes[[#This Row],[id_operacion]],tblEjecucion[id_operacion],tblEjecucion[costo_plan_total],0)-tblOrdenes[[#This Row],[costo_servicio]]))</f>
        <v/>
      </c>
      <c r="AK637" s="11">
        <f>IF(tblOrdenes[[#This Row],[orden]]="","",tblOrdenes[[#This Row],[costo_servicio]]+tblOrdenes[[#This Row],[costo_materiales]])</f>
        <v/>
      </c>
      <c r="AL637" s="6" t="n"/>
      <c r="AM637" s="6" t="n"/>
      <c r="AN637" s="6" t="n"/>
      <c r="AO637" s="3">
        <f>IF(tblOrdenes[[#This Row],[link_checklist]]="","",HYPERLINK(p_ruta_base_checklists&amp;tblOrdenes[[#This Row],[link_checklist]],"abrir"))</f>
        <v/>
      </c>
      <c r="AP637" s="6" t="n"/>
      <c r="AQ637" s="3">
        <f>IF(tblOrdenes[[#This Row],[orden]]="","",tblOrdenes[[#This Row],[orden]]&amp;IF(tblOrdenes[[#This Row],[operacion]]="","0010",tblOrdenes[[#This Row],[operacion]]))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2" t="n"/>
      <c r="K638" s="3" t="n"/>
      <c r="L638" s="11" t="n"/>
      <c r="M6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8" s="3">
        <f>IF(tblOrdenes[[#This Row],[fecha_inicio]]="","",YEAR(tblOrdenes[[#This Row],[fecha_inicio]]))</f>
        <v/>
      </c>
      <c r="Q638" s="3">
        <f>IF(tblOrdenes[[#This Row],[fecha_inicio]]="","",MONTH(tblOrdenes[[#This Row],[fecha_inicio]]))</f>
        <v/>
      </c>
      <c r="R638" s="3">
        <f>IF(tblOrdenes[[#This Row],[fecha_inicio]]="","",INDEX(lista_dias,WEEKDAY(tblOrdenes[[#This Row],[fecha_inicio]],2)))</f>
        <v/>
      </c>
      <c r="S6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8" s="3">
        <f>IF(tblOrdenes[[#This Row],[tipo_ot]]="","",_xlfn.XLOOKUP(tblOrdenes[[#This Row],[tipo_ot]],tblTiposOT[codigo],tblTiposOT[clasificacion],"sin_clasificar"))</f>
        <v/>
      </c>
      <c r="U638" s="3">
        <f>IF(tblOrdenes[[#This Row],[centro_costo]]="","",_xlfn.XLOOKUP(tblOrdenes[[#This Row],[centro_costo]],tblCECO[codigo],tblCECO[linea],"(sin catálogo)"))</f>
        <v/>
      </c>
      <c r="V638" s="3">
        <f>IF(tblOrdenes[[#This Row],[centro_costo]]="","",_xlfn.XLOOKUP(tblOrdenes[[#This Row],[centro_costo]],tblCECO[codigo],tblCECO[area],"(sin catálogo)"))</f>
        <v/>
      </c>
      <c r="W6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8" s="3">
        <f>IF(tblOrdenes[[#This Row],[centro_costo]]="","",_xlfn.XLOOKUP(tblOrdenes[[#This Row],[centro_costo]],tblCECO[codigo],tblCECO[coordinador],"(sin catálogo)"))</f>
        <v/>
      </c>
      <c r="Y638" s="3">
        <f>IF(tblOrdenes[[#This Row],[puesto_trabajo]]="","",_xlfn.XLOOKUP(tblOrdenes[[#This Row],[puesto_trabajo]],tblPuestos[codigo],tblPuestos[especialidad],"(sin catálogo)"))</f>
        <v/>
      </c>
      <c r="Z638" s="3">
        <f>IF(tblOrdenes[[#This Row],[cod_actividad]]="","",_xlfn.XLOOKUP(tblOrdenes[[#This Row],[cod_actividad]],tblActividades[codigo],tblActividades[descripcion],"(sin catálogo)"))</f>
        <v/>
      </c>
      <c r="AA638" s="13">
        <f>IF(tblOrdenes[[#This Row],[fecha_inicio]]="","",TODAY()-tblOrdenes[[#This Row],[fecha_inicio]])</f>
        <v/>
      </c>
      <c r="AB6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8" s="3">
        <f>IF(tblOrdenes[[#This Row],[backlog_habiles]]="","",IF(tblOrdenes[[#This Row],[backlog_habiles]]&lt;0,"FUTURO",IF(tblOrdenes[[#This Row],[backlog_habiles]]&gt;p_dias_backlog_max,"BACKLOG","MES CORRIENTE")))</f>
        <v/>
      </c>
      <c r="AD638" s="3">
        <f>IF(tblOrdenes[[#This Row],[backlog_habiles]]="",FALSE,AND(tblOrdenes[[#This Row],[backlog_habiles]]&gt;p_dias_backlog_min,tblOrdenes[[#This Row],[backlog_habiles]]&lt;=p_dias_backlog_max))</f>
        <v/>
      </c>
      <c r="AE638" s="6" t="n"/>
      <c r="AF6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8" s="11">
        <f>IF(tblOrdenes[[#This Row],[orden]]="","",_xlfn.XLOOKUP(tblOrdenes[[#This Row],[id_operacion]],tblEjecucion[id_operacion],tblEjecucion[precio],0))</f>
        <v/>
      </c>
      <c r="AJ638" s="11">
        <f>IF(tblOrdenes[[#This Row],[orden]]="","",MAX(0,_xlfn.XLOOKUP(tblOrdenes[[#This Row],[id_operacion]],tblEjecucion[id_operacion],tblEjecucion[costo_plan_total],0)-tblOrdenes[[#This Row],[costo_servicio]]))</f>
        <v/>
      </c>
      <c r="AK638" s="11">
        <f>IF(tblOrdenes[[#This Row],[orden]]="","",tblOrdenes[[#This Row],[costo_servicio]]+tblOrdenes[[#This Row],[costo_materiales]])</f>
        <v/>
      </c>
      <c r="AL638" s="6" t="n"/>
      <c r="AM638" s="6" t="n"/>
      <c r="AN638" s="6" t="n"/>
      <c r="AO638" s="3">
        <f>IF(tblOrdenes[[#This Row],[link_checklist]]="","",HYPERLINK(p_ruta_base_checklists&amp;tblOrdenes[[#This Row],[link_checklist]],"abrir"))</f>
        <v/>
      </c>
      <c r="AP638" s="6" t="n"/>
      <c r="AQ638" s="3">
        <f>IF(tblOrdenes[[#This Row],[orden]]="","",tblOrdenes[[#This Row],[orden]]&amp;IF(tblOrdenes[[#This Row],[operacion]]="","0010",tblOrdenes[[#This Row],[operacion]]))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2" t="n"/>
      <c r="K639" s="3" t="n"/>
      <c r="L639" s="11" t="n"/>
      <c r="M6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9" s="3">
        <f>IF(tblOrdenes[[#This Row],[fecha_inicio]]="","",YEAR(tblOrdenes[[#This Row],[fecha_inicio]]))</f>
        <v/>
      </c>
      <c r="Q639" s="3">
        <f>IF(tblOrdenes[[#This Row],[fecha_inicio]]="","",MONTH(tblOrdenes[[#This Row],[fecha_inicio]]))</f>
        <v/>
      </c>
      <c r="R639" s="3">
        <f>IF(tblOrdenes[[#This Row],[fecha_inicio]]="","",INDEX(lista_dias,WEEKDAY(tblOrdenes[[#This Row],[fecha_inicio]],2)))</f>
        <v/>
      </c>
      <c r="S6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9" s="3">
        <f>IF(tblOrdenes[[#This Row],[tipo_ot]]="","",_xlfn.XLOOKUP(tblOrdenes[[#This Row],[tipo_ot]],tblTiposOT[codigo],tblTiposOT[clasificacion],"sin_clasificar"))</f>
        <v/>
      </c>
      <c r="U639" s="3">
        <f>IF(tblOrdenes[[#This Row],[centro_costo]]="","",_xlfn.XLOOKUP(tblOrdenes[[#This Row],[centro_costo]],tblCECO[codigo],tblCECO[linea],"(sin catálogo)"))</f>
        <v/>
      </c>
      <c r="V639" s="3">
        <f>IF(tblOrdenes[[#This Row],[centro_costo]]="","",_xlfn.XLOOKUP(tblOrdenes[[#This Row],[centro_costo]],tblCECO[codigo],tblCECO[area],"(sin catálogo)"))</f>
        <v/>
      </c>
      <c r="W6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9" s="3">
        <f>IF(tblOrdenes[[#This Row],[centro_costo]]="","",_xlfn.XLOOKUP(tblOrdenes[[#This Row],[centro_costo]],tblCECO[codigo],tblCECO[coordinador],"(sin catálogo)"))</f>
        <v/>
      </c>
      <c r="Y639" s="3">
        <f>IF(tblOrdenes[[#This Row],[puesto_trabajo]]="","",_xlfn.XLOOKUP(tblOrdenes[[#This Row],[puesto_trabajo]],tblPuestos[codigo],tblPuestos[especialidad],"(sin catálogo)"))</f>
        <v/>
      </c>
      <c r="Z639" s="3">
        <f>IF(tblOrdenes[[#This Row],[cod_actividad]]="","",_xlfn.XLOOKUP(tblOrdenes[[#This Row],[cod_actividad]],tblActividades[codigo],tblActividades[descripcion],"(sin catálogo)"))</f>
        <v/>
      </c>
      <c r="AA639" s="13">
        <f>IF(tblOrdenes[[#This Row],[fecha_inicio]]="","",TODAY()-tblOrdenes[[#This Row],[fecha_inicio]])</f>
        <v/>
      </c>
      <c r="AB6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9" s="3">
        <f>IF(tblOrdenes[[#This Row],[backlog_habiles]]="","",IF(tblOrdenes[[#This Row],[backlog_habiles]]&lt;0,"FUTURO",IF(tblOrdenes[[#This Row],[backlog_habiles]]&gt;p_dias_backlog_max,"BACKLOG","MES CORRIENTE")))</f>
        <v/>
      </c>
      <c r="AD639" s="3">
        <f>IF(tblOrdenes[[#This Row],[backlog_habiles]]="",FALSE,AND(tblOrdenes[[#This Row],[backlog_habiles]]&gt;p_dias_backlog_min,tblOrdenes[[#This Row],[backlog_habiles]]&lt;=p_dias_backlog_max))</f>
        <v/>
      </c>
      <c r="AE639" s="6" t="n"/>
      <c r="AF6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9" s="11">
        <f>IF(tblOrdenes[[#This Row],[orden]]="","",_xlfn.XLOOKUP(tblOrdenes[[#This Row],[id_operacion]],tblEjecucion[id_operacion],tblEjecucion[precio],0))</f>
        <v/>
      </c>
      <c r="AJ639" s="11">
        <f>IF(tblOrdenes[[#This Row],[orden]]="","",MAX(0,_xlfn.XLOOKUP(tblOrdenes[[#This Row],[id_operacion]],tblEjecucion[id_operacion],tblEjecucion[costo_plan_total],0)-tblOrdenes[[#This Row],[costo_servicio]]))</f>
        <v/>
      </c>
      <c r="AK639" s="11">
        <f>IF(tblOrdenes[[#This Row],[orden]]="","",tblOrdenes[[#This Row],[costo_servicio]]+tblOrdenes[[#This Row],[costo_materiales]])</f>
        <v/>
      </c>
      <c r="AL639" s="6" t="n"/>
      <c r="AM639" s="6" t="n"/>
      <c r="AN639" s="6" t="n"/>
      <c r="AO639" s="3">
        <f>IF(tblOrdenes[[#This Row],[link_checklist]]="","",HYPERLINK(p_ruta_base_checklists&amp;tblOrdenes[[#This Row],[link_checklist]],"abrir"))</f>
        <v/>
      </c>
      <c r="AP639" s="6" t="n"/>
      <c r="AQ639" s="3">
        <f>IF(tblOrdenes[[#This Row],[orden]]="","",tblOrdenes[[#This Row],[orden]]&amp;IF(tblOrdenes[[#This Row],[operacion]]="","0010",tblOrdenes[[#This Row],[operacion]]))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2" t="n"/>
      <c r="K640" s="3" t="n"/>
      <c r="L640" s="11" t="n"/>
      <c r="M6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0" s="3">
        <f>IF(tblOrdenes[[#This Row],[fecha_inicio]]="","",YEAR(tblOrdenes[[#This Row],[fecha_inicio]]))</f>
        <v/>
      </c>
      <c r="Q640" s="3">
        <f>IF(tblOrdenes[[#This Row],[fecha_inicio]]="","",MONTH(tblOrdenes[[#This Row],[fecha_inicio]]))</f>
        <v/>
      </c>
      <c r="R640" s="3">
        <f>IF(tblOrdenes[[#This Row],[fecha_inicio]]="","",INDEX(lista_dias,WEEKDAY(tblOrdenes[[#This Row],[fecha_inicio]],2)))</f>
        <v/>
      </c>
      <c r="S6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0" s="3">
        <f>IF(tblOrdenes[[#This Row],[tipo_ot]]="","",_xlfn.XLOOKUP(tblOrdenes[[#This Row],[tipo_ot]],tblTiposOT[codigo],tblTiposOT[clasificacion],"sin_clasificar"))</f>
        <v/>
      </c>
      <c r="U640" s="3">
        <f>IF(tblOrdenes[[#This Row],[centro_costo]]="","",_xlfn.XLOOKUP(tblOrdenes[[#This Row],[centro_costo]],tblCECO[codigo],tblCECO[linea],"(sin catálogo)"))</f>
        <v/>
      </c>
      <c r="V640" s="3">
        <f>IF(tblOrdenes[[#This Row],[centro_costo]]="","",_xlfn.XLOOKUP(tblOrdenes[[#This Row],[centro_costo]],tblCECO[codigo],tblCECO[area],"(sin catálogo)"))</f>
        <v/>
      </c>
      <c r="W6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0" s="3">
        <f>IF(tblOrdenes[[#This Row],[centro_costo]]="","",_xlfn.XLOOKUP(tblOrdenes[[#This Row],[centro_costo]],tblCECO[codigo],tblCECO[coordinador],"(sin catálogo)"))</f>
        <v/>
      </c>
      <c r="Y640" s="3">
        <f>IF(tblOrdenes[[#This Row],[puesto_trabajo]]="","",_xlfn.XLOOKUP(tblOrdenes[[#This Row],[puesto_trabajo]],tblPuestos[codigo],tblPuestos[especialidad],"(sin catálogo)"))</f>
        <v/>
      </c>
      <c r="Z640" s="3">
        <f>IF(tblOrdenes[[#This Row],[cod_actividad]]="","",_xlfn.XLOOKUP(tblOrdenes[[#This Row],[cod_actividad]],tblActividades[codigo],tblActividades[descripcion],"(sin catálogo)"))</f>
        <v/>
      </c>
      <c r="AA640" s="13">
        <f>IF(tblOrdenes[[#This Row],[fecha_inicio]]="","",TODAY()-tblOrdenes[[#This Row],[fecha_inicio]])</f>
        <v/>
      </c>
      <c r="AB6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0" s="3">
        <f>IF(tblOrdenes[[#This Row],[backlog_habiles]]="","",IF(tblOrdenes[[#This Row],[backlog_habiles]]&lt;0,"FUTURO",IF(tblOrdenes[[#This Row],[backlog_habiles]]&gt;p_dias_backlog_max,"BACKLOG","MES CORRIENTE")))</f>
        <v/>
      </c>
      <c r="AD640" s="3">
        <f>IF(tblOrdenes[[#This Row],[backlog_habiles]]="",FALSE,AND(tblOrdenes[[#This Row],[backlog_habiles]]&gt;p_dias_backlog_min,tblOrdenes[[#This Row],[backlog_habiles]]&lt;=p_dias_backlog_max))</f>
        <v/>
      </c>
      <c r="AE640" s="6" t="n"/>
      <c r="AF6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0" s="11">
        <f>IF(tblOrdenes[[#This Row],[orden]]="","",_xlfn.XLOOKUP(tblOrdenes[[#This Row],[id_operacion]],tblEjecucion[id_operacion],tblEjecucion[precio],0))</f>
        <v/>
      </c>
      <c r="AJ640" s="11">
        <f>IF(tblOrdenes[[#This Row],[orden]]="","",MAX(0,_xlfn.XLOOKUP(tblOrdenes[[#This Row],[id_operacion]],tblEjecucion[id_operacion],tblEjecucion[costo_plan_total],0)-tblOrdenes[[#This Row],[costo_servicio]]))</f>
        <v/>
      </c>
      <c r="AK640" s="11">
        <f>IF(tblOrdenes[[#This Row],[orden]]="","",tblOrdenes[[#This Row],[costo_servicio]]+tblOrdenes[[#This Row],[costo_materiales]])</f>
        <v/>
      </c>
      <c r="AL640" s="6" t="n"/>
      <c r="AM640" s="6" t="n"/>
      <c r="AN640" s="6" t="n"/>
      <c r="AO640" s="3">
        <f>IF(tblOrdenes[[#This Row],[link_checklist]]="","",HYPERLINK(p_ruta_base_checklists&amp;tblOrdenes[[#This Row],[link_checklist]],"abrir"))</f>
        <v/>
      </c>
      <c r="AP640" s="6" t="n"/>
      <c r="AQ640" s="3">
        <f>IF(tblOrdenes[[#This Row],[orden]]="","",tblOrdenes[[#This Row],[orden]]&amp;IF(tblOrdenes[[#This Row],[operacion]]="","0010",tblOrdenes[[#This Row],[operacion]]))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2" t="n"/>
      <c r="K641" s="3" t="n"/>
      <c r="L641" s="11" t="n"/>
      <c r="M6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1" s="3">
        <f>IF(tblOrdenes[[#This Row],[fecha_inicio]]="","",YEAR(tblOrdenes[[#This Row],[fecha_inicio]]))</f>
        <v/>
      </c>
      <c r="Q641" s="3">
        <f>IF(tblOrdenes[[#This Row],[fecha_inicio]]="","",MONTH(tblOrdenes[[#This Row],[fecha_inicio]]))</f>
        <v/>
      </c>
      <c r="R641" s="3">
        <f>IF(tblOrdenes[[#This Row],[fecha_inicio]]="","",INDEX(lista_dias,WEEKDAY(tblOrdenes[[#This Row],[fecha_inicio]],2)))</f>
        <v/>
      </c>
      <c r="S6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1" s="3">
        <f>IF(tblOrdenes[[#This Row],[tipo_ot]]="","",_xlfn.XLOOKUP(tblOrdenes[[#This Row],[tipo_ot]],tblTiposOT[codigo],tblTiposOT[clasificacion],"sin_clasificar"))</f>
        <v/>
      </c>
      <c r="U641" s="3">
        <f>IF(tblOrdenes[[#This Row],[centro_costo]]="","",_xlfn.XLOOKUP(tblOrdenes[[#This Row],[centro_costo]],tblCECO[codigo],tblCECO[linea],"(sin catálogo)"))</f>
        <v/>
      </c>
      <c r="V641" s="3">
        <f>IF(tblOrdenes[[#This Row],[centro_costo]]="","",_xlfn.XLOOKUP(tblOrdenes[[#This Row],[centro_costo]],tblCECO[codigo],tblCECO[area],"(sin catálogo)"))</f>
        <v/>
      </c>
      <c r="W6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1" s="3">
        <f>IF(tblOrdenes[[#This Row],[centro_costo]]="","",_xlfn.XLOOKUP(tblOrdenes[[#This Row],[centro_costo]],tblCECO[codigo],tblCECO[coordinador],"(sin catálogo)"))</f>
        <v/>
      </c>
      <c r="Y641" s="3">
        <f>IF(tblOrdenes[[#This Row],[puesto_trabajo]]="","",_xlfn.XLOOKUP(tblOrdenes[[#This Row],[puesto_trabajo]],tblPuestos[codigo],tblPuestos[especialidad],"(sin catálogo)"))</f>
        <v/>
      </c>
      <c r="Z641" s="3">
        <f>IF(tblOrdenes[[#This Row],[cod_actividad]]="","",_xlfn.XLOOKUP(tblOrdenes[[#This Row],[cod_actividad]],tblActividades[codigo],tblActividades[descripcion],"(sin catálogo)"))</f>
        <v/>
      </c>
      <c r="AA641" s="13">
        <f>IF(tblOrdenes[[#This Row],[fecha_inicio]]="","",TODAY()-tblOrdenes[[#This Row],[fecha_inicio]])</f>
        <v/>
      </c>
      <c r="AB6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1" s="3">
        <f>IF(tblOrdenes[[#This Row],[backlog_habiles]]="","",IF(tblOrdenes[[#This Row],[backlog_habiles]]&lt;0,"FUTURO",IF(tblOrdenes[[#This Row],[backlog_habiles]]&gt;p_dias_backlog_max,"BACKLOG","MES CORRIENTE")))</f>
        <v/>
      </c>
      <c r="AD641" s="3">
        <f>IF(tblOrdenes[[#This Row],[backlog_habiles]]="",FALSE,AND(tblOrdenes[[#This Row],[backlog_habiles]]&gt;p_dias_backlog_min,tblOrdenes[[#This Row],[backlog_habiles]]&lt;=p_dias_backlog_max))</f>
        <v/>
      </c>
      <c r="AE641" s="6" t="n"/>
      <c r="AF6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1" s="11">
        <f>IF(tblOrdenes[[#This Row],[orden]]="","",_xlfn.XLOOKUP(tblOrdenes[[#This Row],[id_operacion]],tblEjecucion[id_operacion],tblEjecucion[precio],0))</f>
        <v/>
      </c>
      <c r="AJ641" s="11">
        <f>IF(tblOrdenes[[#This Row],[orden]]="","",MAX(0,_xlfn.XLOOKUP(tblOrdenes[[#This Row],[id_operacion]],tblEjecucion[id_operacion],tblEjecucion[costo_plan_total],0)-tblOrdenes[[#This Row],[costo_servicio]]))</f>
        <v/>
      </c>
      <c r="AK641" s="11">
        <f>IF(tblOrdenes[[#This Row],[orden]]="","",tblOrdenes[[#This Row],[costo_servicio]]+tblOrdenes[[#This Row],[costo_materiales]])</f>
        <v/>
      </c>
      <c r="AL641" s="6" t="n"/>
      <c r="AM641" s="6" t="n"/>
      <c r="AN641" s="6" t="n"/>
      <c r="AO641" s="3">
        <f>IF(tblOrdenes[[#This Row],[link_checklist]]="","",HYPERLINK(p_ruta_base_checklists&amp;tblOrdenes[[#This Row],[link_checklist]],"abrir"))</f>
        <v/>
      </c>
      <c r="AP641" s="6" t="n"/>
      <c r="AQ641" s="3">
        <f>IF(tblOrdenes[[#This Row],[orden]]="","",tblOrdenes[[#This Row],[orden]]&amp;IF(tblOrdenes[[#This Row],[operacion]]="","0010",tblOrdenes[[#This Row],[operacion]]))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2" t="n"/>
      <c r="K642" s="3" t="n"/>
      <c r="L642" s="11" t="n"/>
      <c r="M6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2" s="3">
        <f>IF(tblOrdenes[[#This Row],[fecha_inicio]]="","",YEAR(tblOrdenes[[#This Row],[fecha_inicio]]))</f>
        <v/>
      </c>
      <c r="Q642" s="3">
        <f>IF(tblOrdenes[[#This Row],[fecha_inicio]]="","",MONTH(tblOrdenes[[#This Row],[fecha_inicio]]))</f>
        <v/>
      </c>
      <c r="R642" s="3">
        <f>IF(tblOrdenes[[#This Row],[fecha_inicio]]="","",INDEX(lista_dias,WEEKDAY(tblOrdenes[[#This Row],[fecha_inicio]],2)))</f>
        <v/>
      </c>
      <c r="S6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2" s="3">
        <f>IF(tblOrdenes[[#This Row],[tipo_ot]]="","",_xlfn.XLOOKUP(tblOrdenes[[#This Row],[tipo_ot]],tblTiposOT[codigo],tblTiposOT[clasificacion],"sin_clasificar"))</f>
        <v/>
      </c>
      <c r="U642" s="3">
        <f>IF(tblOrdenes[[#This Row],[centro_costo]]="","",_xlfn.XLOOKUP(tblOrdenes[[#This Row],[centro_costo]],tblCECO[codigo],tblCECO[linea],"(sin catálogo)"))</f>
        <v/>
      </c>
      <c r="V642" s="3">
        <f>IF(tblOrdenes[[#This Row],[centro_costo]]="","",_xlfn.XLOOKUP(tblOrdenes[[#This Row],[centro_costo]],tblCECO[codigo],tblCECO[area],"(sin catálogo)"))</f>
        <v/>
      </c>
      <c r="W6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2" s="3">
        <f>IF(tblOrdenes[[#This Row],[centro_costo]]="","",_xlfn.XLOOKUP(tblOrdenes[[#This Row],[centro_costo]],tblCECO[codigo],tblCECO[coordinador],"(sin catálogo)"))</f>
        <v/>
      </c>
      <c r="Y642" s="3">
        <f>IF(tblOrdenes[[#This Row],[puesto_trabajo]]="","",_xlfn.XLOOKUP(tblOrdenes[[#This Row],[puesto_trabajo]],tblPuestos[codigo],tblPuestos[especialidad],"(sin catálogo)"))</f>
        <v/>
      </c>
      <c r="Z642" s="3">
        <f>IF(tblOrdenes[[#This Row],[cod_actividad]]="","",_xlfn.XLOOKUP(tblOrdenes[[#This Row],[cod_actividad]],tblActividades[codigo],tblActividades[descripcion],"(sin catálogo)"))</f>
        <v/>
      </c>
      <c r="AA642" s="13">
        <f>IF(tblOrdenes[[#This Row],[fecha_inicio]]="","",TODAY()-tblOrdenes[[#This Row],[fecha_inicio]])</f>
        <v/>
      </c>
      <c r="AB6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2" s="3">
        <f>IF(tblOrdenes[[#This Row],[backlog_habiles]]="","",IF(tblOrdenes[[#This Row],[backlog_habiles]]&lt;0,"FUTURO",IF(tblOrdenes[[#This Row],[backlog_habiles]]&gt;p_dias_backlog_max,"BACKLOG","MES CORRIENTE")))</f>
        <v/>
      </c>
      <c r="AD642" s="3">
        <f>IF(tblOrdenes[[#This Row],[backlog_habiles]]="",FALSE,AND(tblOrdenes[[#This Row],[backlog_habiles]]&gt;p_dias_backlog_min,tblOrdenes[[#This Row],[backlog_habiles]]&lt;=p_dias_backlog_max))</f>
        <v/>
      </c>
      <c r="AE642" s="6" t="n"/>
      <c r="AF6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2" s="11">
        <f>IF(tblOrdenes[[#This Row],[orden]]="","",_xlfn.XLOOKUP(tblOrdenes[[#This Row],[id_operacion]],tblEjecucion[id_operacion],tblEjecucion[precio],0))</f>
        <v/>
      </c>
      <c r="AJ642" s="11">
        <f>IF(tblOrdenes[[#This Row],[orden]]="","",MAX(0,_xlfn.XLOOKUP(tblOrdenes[[#This Row],[id_operacion]],tblEjecucion[id_operacion],tblEjecucion[costo_plan_total],0)-tblOrdenes[[#This Row],[costo_servicio]]))</f>
        <v/>
      </c>
      <c r="AK642" s="11">
        <f>IF(tblOrdenes[[#This Row],[orden]]="","",tblOrdenes[[#This Row],[costo_servicio]]+tblOrdenes[[#This Row],[costo_materiales]])</f>
        <v/>
      </c>
      <c r="AL642" s="6" t="n"/>
      <c r="AM642" s="6" t="n"/>
      <c r="AN642" s="6" t="n"/>
      <c r="AO642" s="3">
        <f>IF(tblOrdenes[[#This Row],[link_checklist]]="","",HYPERLINK(p_ruta_base_checklists&amp;tblOrdenes[[#This Row],[link_checklist]],"abrir"))</f>
        <v/>
      </c>
      <c r="AP642" s="6" t="n"/>
      <c r="AQ642" s="3">
        <f>IF(tblOrdenes[[#This Row],[orden]]="","",tblOrdenes[[#This Row],[orden]]&amp;IF(tblOrdenes[[#This Row],[operacion]]="","0010",tblOrdenes[[#This Row],[operacion]]))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2" t="n"/>
      <c r="K643" s="3" t="n"/>
      <c r="L643" s="11" t="n"/>
      <c r="M6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3" s="3">
        <f>IF(tblOrdenes[[#This Row],[fecha_inicio]]="","",YEAR(tblOrdenes[[#This Row],[fecha_inicio]]))</f>
        <v/>
      </c>
      <c r="Q643" s="3">
        <f>IF(tblOrdenes[[#This Row],[fecha_inicio]]="","",MONTH(tblOrdenes[[#This Row],[fecha_inicio]]))</f>
        <v/>
      </c>
      <c r="R643" s="3">
        <f>IF(tblOrdenes[[#This Row],[fecha_inicio]]="","",INDEX(lista_dias,WEEKDAY(tblOrdenes[[#This Row],[fecha_inicio]],2)))</f>
        <v/>
      </c>
      <c r="S6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3" s="3">
        <f>IF(tblOrdenes[[#This Row],[tipo_ot]]="","",_xlfn.XLOOKUP(tblOrdenes[[#This Row],[tipo_ot]],tblTiposOT[codigo],tblTiposOT[clasificacion],"sin_clasificar"))</f>
        <v/>
      </c>
      <c r="U643" s="3">
        <f>IF(tblOrdenes[[#This Row],[centro_costo]]="","",_xlfn.XLOOKUP(tblOrdenes[[#This Row],[centro_costo]],tblCECO[codigo],tblCECO[linea],"(sin catálogo)"))</f>
        <v/>
      </c>
      <c r="V643" s="3">
        <f>IF(tblOrdenes[[#This Row],[centro_costo]]="","",_xlfn.XLOOKUP(tblOrdenes[[#This Row],[centro_costo]],tblCECO[codigo],tblCECO[area],"(sin catálogo)"))</f>
        <v/>
      </c>
      <c r="W6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3" s="3">
        <f>IF(tblOrdenes[[#This Row],[centro_costo]]="","",_xlfn.XLOOKUP(tblOrdenes[[#This Row],[centro_costo]],tblCECO[codigo],tblCECO[coordinador],"(sin catálogo)"))</f>
        <v/>
      </c>
      <c r="Y643" s="3">
        <f>IF(tblOrdenes[[#This Row],[puesto_trabajo]]="","",_xlfn.XLOOKUP(tblOrdenes[[#This Row],[puesto_trabajo]],tblPuestos[codigo],tblPuestos[especialidad],"(sin catálogo)"))</f>
        <v/>
      </c>
      <c r="Z643" s="3">
        <f>IF(tblOrdenes[[#This Row],[cod_actividad]]="","",_xlfn.XLOOKUP(tblOrdenes[[#This Row],[cod_actividad]],tblActividades[codigo],tblActividades[descripcion],"(sin catálogo)"))</f>
        <v/>
      </c>
      <c r="AA643" s="13">
        <f>IF(tblOrdenes[[#This Row],[fecha_inicio]]="","",TODAY()-tblOrdenes[[#This Row],[fecha_inicio]])</f>
        <v/>
      </c>
      <c r="AB6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3" s="3">
        <f>IF(tblOrdenes[[#This Row],[backlog_habiles]]="","",IF(tblOrdenes[[#This Row],[backlog_habiles]]&lt;0,"FUTURO",IF(tblOrdenes[[#This Row],[backlog_habiles]]&gt;p_dias_backlog_max,"BACKLOG","MES CORRIENTE")))</f>
        <v/>
      </c>
      <c r="AD643" s="3">
        <f>IF(tblOrdenes[[#This Row],[backlog_habiles]]="",FALSE,AND(tblOrdenes[[#This Row],[backlog_habiles]]&gt;p_dias_backlog_min,tblOrdenes[[#This Row],[backlog_habiles]]&lt;=p_dias_backlog_max))</f>
        <v/>
      </c>
      <c r="AE643" s="6" t="n"/>
      <c r="AF6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3" s="11">
        <f>IF(tblOrdenes[[#This Row],[orden]]="","",_xlfn.XLOOKUP(tblOrdenes[[#This Row],[id_operacion]],tblEjecucion[id_operacion],tblEjecucion[precio],0))</f>
        <v/>
      </c>
      <c r="AJ643" s="11">
        <f>IF(tblOrdenes[[#This Row],[orden]]="","",MAX(0,_xlfn.XLOOKUP(tblOrdenes[[#This Row],[id_operacion]],tblEjecucion[id_operacion],tblEjecucion[costo_plan_total],0)-tblOrdenes[[#This Row],[costo_servicio]]))</f>
        <v/>
      </c>
      <c r="AK643" s="11">
        <f>IF(tblOrdenes[[#This Row],[orden]]="","",tblOrdenes[[#This Row],[costo_servicio]]+tblOrdenes[[#This Row],[costo_materiales]])</f>
        <v/>
      </c>
      <c r="AL643" s="6" t="n"/>
      <c r="AM643" s="6" t="n"/>
      <c r="AN643" s="6" t="n"/>
      <c r="AO643" s="3">
        <f>IF(tblOrdenes[[#This Row],[link_checklist]]="","",HYPERLINK(p_ruta_base_checklists&amp;tblOrdenes[[#This Row],[link_checklist]],"abrir"))</f>
        <v/>
      </c>
      <c r="AP643" s="6" t="n"/>
      <c r="AQ643" s="3">
        <f>IF(tblOrdenes[[#This Row],[orden]]="","",tblOrdenes[[#This Row],[orden]]&amp;IF(tblOrdenes[[#This Row],[operacion]]="","0010",tblOrdenes[[#This Row],[operacion]]))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2" t="n"/>
      <c r="K644" s="3" t="n"/>
      <c r="L644" s="11" t="n"/>
      <c r="M6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4" s="3">
        <f>IF(tblOrdenes[[#This Row],[fecha_inicio]]="","",YEAR(tblOrdenes[[#This Row],[fecha_inicio]]))</f>
        <v/>
      </c>
      <c r="Q644" s="3">
        <f>IF(tblOrdenes[[#This Row],[fecha_inicio]]="","",MONTH(tblOrdenes[[#This Row],[fecha_inicio]]))</f>
        <v/>
      </c>
      <c r="R644" s="3">
        <f>IF(tblOrdenes[[#This Row],[fecha_inicio]]="","",INDEX(lista_dias,WEEKDAY(tblOrdenes[[#This Row],[fecha_inicio]],2)))</f>
        <v/>
      </c>
      <c r="S6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4" s="3">
        <f>IF(tblOrdenes[[#This Row],[tipo_ot]]="","",_xlfn.XLOOKUP(tblOrdenes[[#This Row],[tipo_ot]],tblTiposOT[codigo],tblTiposOT[clasificacion],"sin_clasificar"))</f>
        <v/>
      </c>
      <c r="U644" s="3">
        <f>IF(tblOrdenes[[#This Row],[centro_costo]]="","",_xlfn.XLOOKUP(tblOrdenes[[#This Row],[centro_costo]],tblCECO[codigo],tblCECO[linea],"(sin catálogo)"))</f>
        <v/>
      </c>
      <c r="V644" s="3">
        <f>IF(tblOrdenes[[#This Row],[centro_costo]]="","",_xlfn.XLOOKUP(tblOrdenes[[#This Row],[centro_costo]],tblCECO[codigo],tblCECO[area],"(sin catálogo)"))</f>
        <v/>
      </c>
      <c r="W6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4" s="3">
        <f>IF(tblOrdenes[[#This Row],[centro_costo]]="","",_xlfn.XLOOKUP(tblOrdenes[[#This Row],[centro_costo]],tblCECO[codigo],tblCECO[coordinador],"(sin catálogo)"))</f>
        <v/>
      </c>
      <c r="Y644" s="3">
        <f>IF(tblOrdenes[[#This Row],[puesto_trabajo]]="","",_xlfn.XLOOKUP(tblOrdenes[[#This Row],[puesto_trabajo]],tblPuestos[codigo],tblPuestos[especialidad],"(sin catálogo)"))</f>
        <v/>
      </c>
      <c r="Z644" s="3">
        <f>IF(tblOrdenes[[#This Row],[cod_actividad]]="","",_xlfn.XLOOKUP(tblOrdenes[[#This Row],[cod_actividad]],tblActividades[codigo],tblActividades[descripcion],"(sin catálogo)"))</f>
        <v/>
      </c>
      <c r="AA644" s="13">
        <f>IF(tblOrdenes[[#This Row],[fecha_inicio]]="","",TODAY()-tblOrdenes[[#This Row],[fecha_inicio]])</f>
        <v/>
      </c>
      <c r="AB6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4" s="3">
        <f>IF(tblOrdenes[[#This Row],[backlog_habiles]]="","",IF(tblOrdenes[[#This Row],[backlog_habiles]]&lt;0,"FUTURO",IF(tblOrdenes[[#This Row],[backlog_habiles]]&gt;p_dias_backlog_max,"BACKLOG","MES CORRIENTE")))</f>
        <v/>
      </c>
      <c r="AD644" s="3">
        <f>IF(tblOrdenes[[#This Row],[backlog_habiles]]="",FALSE,AND(tblOrdenes[[#This Row],[backlog_habiles]]&gt;p_dias_backlog_min,tblOrdenes[[#This Row],[backlog_habiles]]&lt;=p_dias_backlog_max))</f>
        <v/>
      </c>
      <c r="AE644" s="6" t="n"/>
      <c r="AF6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4" s="11">
        <f>IF(tblOrdenes[[#This Row],[orden]]="","",_xlfn.XLOOKUP(tblOrdenes[[#This Row],[id_operacion]],tblEjecucion[id_operacion],tblEjecucion[precio],0))</f>
        <v/>
      </c>
      <c r="AJ644" s="11">
        <f>IF(tblOrdenes[[#This Row],[orden]]="","",MAX(0,_xlfn.XLOOKUP(tblOrdenes[[#This Row],[id_operacion]],tblEjecucion[id_operacion],tblEjecucion[costo_plan_total],0)-tblOrdenes[[#This Row],[costo_servicio]]))</f>
        <v/>
      </c>
      <c r="AK644" s="11">
        <f>IF(tblOrdenes[[#This Row],[orden]]="","",tblOrdenes[[#This Row],[costo_servicio]]+tblOrdenes[[#This Row],[costo_materiales]])</f>
        <v/>
      </c>
      <c r="AL644" s="6" t="n"/>
      <c r="AM644" s="6" t="n"/>
      <c r="AN644" s="6" t="n"/>
      <c r="AO644" s="3">
        <f>IF(tblOrdenes[[#This Row],[link_checklist]]="","",HYPERLINK(p_ruta_base_checklists&amp;tblOrdenes[[#This Row],[link_checklist]],"abrir"))</f>
        <v/>
      </c>
      <c r="AP644" s="6" t="n"/>
      <c r="AQ644" s="3">
        <f>IF(tblOrdenes[[#This Row],[orden]]="","",tblOrdenes[[#This Row],[orden]]&amp;IF(tblOrdenes[[#This Row],[operacion]]="","0010",tblOrdenes[[#This Row],[operacion]]))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2" t="n"/>
      <c r="K645" s="3" t="n"/>
      <c r="L645" s="11" t="n"/>
      <c r="M6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5" s="3">
        <f>IF(tblOrdenes[[#This Row],[fecha_inicio]]="","",YEAR(tblOrdenes[[#This Row],[fecha_inicio]]))</f>
        <v/>
      </c>
      <c r="Q645" s="3">
        <f>IF(tblOrdenes[[#This Row],[fecha_inicio]]="","",MONTH(tblOrdenes[[#This Row],[fecha_inicio]]))</f>
        <v/>
      </c>
      <c r="R645" s="3">
        <f>IF(tblOrdenes[[#This Row],[fecha_inicio]]="","",INDEX(lista_dias,WEEKDAY(tblOrdenes[[#This Row],[fecha_inicio]],2)))</f>
        <v/>
      </c>
      <c r="S6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5" s="3">
        <f>IF(tblOrdenes[[#This Row],[tipo_ot]]="","",_xlfn.XLOOKUP(tblOrdenes[[#This Row],[tipo_ot]],tblTiposOT[codigo],tblTiposOT[clasificacion],"sin_clasificar"))</f>
        <v/>
      </c>
      <c r="U645" s="3">
        <f>IF(tblOrdenes[[#This Row],[centro_costo]]="","",_xlfn.XLOOKUP(tblOrdenes[[#This Row],[centro_costo]],tblCECO[codigo],tblCECO[linea],"(sin catálogo)"))</f>
        <v/>
      </c>
      <c r="V645" s="3">
        <f>IF(tblOrdenes[[#This Row],[centro_costo]]="","",_xlfn.XLOOKUP(tblOrdenes[[#This Row],[centro_costo]],tblCECO[codigo],tblCECO[area],"(sin catálogo)"))</f>
        <v/>
      </c>
      <c r="W6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5" s="3">
        <f>IF(tblOrdenes[[#This Row],[centro_costo]]="","",_xlfn.XLOOKUP(tblOrdenes[[#This Row],[centro_costo]],tblCECO[codigo],tblCECO[coordinador],"(sin catálogo)"))</f>
        <v/>
      </c>
      <c r="Y645" s="3">
        <f>IF(tblOrdenes[[#This Row],[puesto_trabajo]]="","",_xlfn.XLOOKUP(tblOrdenes[[#This Row],[puesto_trabajo]],tblPuestos[codigo],tblPuestos[especialidad],"(sin catálogo)"))</f>
        <v/>
      </c>
      <c r="Z645" s="3">
        <f>IF(tblOrdenes[[#This Row],[cod_actividad]]="","",_xlfn.XLOOKUP(tblOrdenes[[#This Row],[cod_actividad]],tblActividades[codigo],tblActividades[descripcion],"(sin catálogo)"))</f>
        <v/>
      </c>
      <c r="AA645" s="13">
        <f>IF(tblOrdenes[[#This Row],[fecha_inicio]]="","",TODAY()-tblOrdenes[[#This Row],[fecha_inicio]])</f>
        <v/>
      </c>
      <c r="AB6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5" s="3">
        <f>IF(tblOrdenes[[#This Row],[backlog_habiles]]="","",IF(tblOrdenes[[#This Row],[backlog_habiles]]&lt;0,"FUTURO",IF(tblOrdenes[[#This Row],[backlog_habiles]]&gt;p_dias_backlog_max,"BACKLOG","MES CORRIENTE")))</f>
        <v/>
      </c>
      <c r="AD645" s="3">
        <f>IF(tblOrdenes[[#This Row],[backlog_habiles]]="",FALSE,AND(tblOrdenes[[#This Row],[backlog_habiles]]&gt;p_dias_backlog_min,tblOrdenes[[#This Row],[backlog_habiles]]&lt;=p_dias_backlog_max))</f>
        <v/>
      </c>
      <c r="AE645" s="6" t="n"/>
      <c r="AF6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5" s="11">
        <f>IF(tblOrdenes[[#This Row],[orden]]="","",_xlfn.XLOOKUP(tblOrdenes[[#This Row],[id_operacion]],tblEjecucion[id_operacion],tblEjecucion[precio],0))</f>
        <v/>
      </c>
      <c r="AJ645" s="11">
        <f>IF(tblOrdenes[[#This Row],[orden]]="","",MAX(0,_xlfn.XLOOKUP(tblOrdenes[[#This Row],[id_operacion]],tblEjecucion[id_operacion],tblEjecucion[costo_plan_total],0)-tblOrdenes[[#This Row],[costo_servicio]]))</f>
        <v/>
      </c>
      <c r="AK645" s="11">
        <f>IF(tblOrdenes[[#This Row],[orden]]="","",tblOrdenes[[#This Row],[costo_servicio]]+tblOrdenes[[#This Row],[costo_materiales]])</f>
        <v/>
      </c>
      <c r="AL645" s="6" t="n"/>
      <c r="AM645" s="6" t="n"/>
      <c r="AN645" s="6" t="n"/>
      <c r="AO645" s="3">
        <f>IF(tblOrdenes[[#This Row],[link_checklist]]="","",HYPERLINK(p_ruta_base_checklists&amp;tblOrdenes[[#This Row],[link_checklist]],"abrir"))</f>
        <v/>
      </c>
      <c r="AP645" s="6" t="n"/>
      <c r="AQ645" s="3">
        <f>IF(tblOrdenes[[#This Row],[orden]]="","",tblOrdenes[[#This Row],[orden]]&amp;IF(tblOrdenes[[#This Row],[operacion]]="","0010",tblOrdenes[[#This Row],[operacion]]))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2" t="n"/>
      <c r="K646" s="3" t="n"/>
      <c r="L646" s="11" t="n"/>
      <c r="M6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6" s="3">
        <f>IF(tblOrdenes[[#This Row],[fecha_inicio]]="","",YEAR(tblOrdenes[[#This Row],[fecha_inicio]]))</f>
        <v/>
      </c>
      <c r="Q646" s="3">
        <f>IF(tblOrdenes[[#This Row],[fecha_inicio]]="","",MONTH(tblOrdenes[[#This Row],[fecha_inicio]]))</f>
        <v/>
      </c>
      <c r="R646" s="3">
        <f>IF(tblOrdenes[[#This Row],[fecha_inicio]]="","",INDEX(lista_dias,WEEKDAY(tblOrdenes[[#This Row],[fecha_inicio]],2)))</f>
        <v/>
      </c>
      <c r="S6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6" s="3">
        <f>IF(tblOrdenes[[#This Row],[tipo_ot]]="","",_xlfn.XLOOKUP(tblOrdenes[[#This Row],[tipo_ot]],tblTiposOT[codigo],tblTiposOT[clasificacion],"sin_clasificar"))</f>
        <v/>
      </c>
      <c r="U646" s="3">
        <f>IF(tblOrdenes[[#This Row],[centro_costo]]="","",_xlfn.XLOOKUP(tblOrdenes[[#This Row],[centro_costo]],tblCECO[codigo],tblCECO[linea],"(sin catálogo)"))</f>
        <v/>
      </c>
      <c r="V646" s="3">
        <f>IF(tblOrdenes[[#This Row],[centro_costo]]="","",_xlfn.XLOOKUP(tblOrdenes[[#This Row],[centro_costo]],tblCECO[codigo],tblCECO[area],"(sin catálogo)"))</f>
        <v/>
      </c>
      <c r="W6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6" s="3">
        <f>IF(tblOrdenes[[#This Row],[centro_costo]]="","",_xlfn.XLOOKUP(tblOrdenes[[#This Row],[centro_costo]],tblCECO[codigo],tblCECO[coordinador],"(sin catálogo)"))</f>
        <v/>
      </c>
      <c r="Y646" s="3">
        <f>IF(tblOrdenes[[#This Row],[puesto_trabajo]]="","",_xlfn.XLOOKUP(tblOrdenes[[#This Row],[puesto_trabajo]],tblPuestos[codigo],tblPuestos[especialidad],"(sin catálogo)"))</f>
        <v/>
      </c>
      <c r="Z646" s="3">
        <f>IF(tblOrdenes[[#This Row],[cod_actividad]]="","",_xlfn.XLOOKUP(tblOrdenes[[#This Row],[cod_actividad]],tblActividades[codigo],tblActividades[descripcion],"(sin catálogo)"))</f>
        <v/>
      </c>
      <c r="AA646" s="13">
        <f>IF(tblOrdenes[[#This Row],[fecha_inicio]]="","",TODAY()-tblOrdenes[[#This Row],[fecha_inicio]])</f>
        <v/>
      </c>
      <c r="AB6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6" s="3">
        <f>IF(tblOrdenes[[#This Row],[backlog_habiles]]="","",IF(tblOrdenes[[#This Row],[backlog_habiles]]&lt;0,"FUTURO",IF(tblOrdenes[[#This Row],[backlog_habiles]]&gt;p_dias_backlog_max,"BACKLOG","MES CORRIENTE")))</f>
        <v/>
      </c>
      <c r="AD646" s="3">
        <f>IF(tblOrdenes[[#This Row],[backlog_habiles]]="",FALSE,AND(tblOrdenes[[#This Row],[backlog_habiles]]&gt;p_dias_backlog_min,tblOrdenes[[#This Row],[backlog_habiles]]&lt;=p_dias_backlog_max))</f>
        <v/>
      </c>
      <c r="AE646" s="6" t="n"/>
      <c r="AF6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6" s="11">
        <f>IF(tblOrdenes[[#This Row],[orden]]="","",_xlfn.XLOOKUP(tblOrdenes[[#This Row],[id_operacion]],tblEjecucion[id_operacion],tblEjecucion[precio],0))</f>
        <v/>
      </c>
      <c r="AJ646" s="11">
        <f>IF(tblOrdenes[[#This Row],[orden]]="","",MAX(0,_xlfn.XLOOKUP(tblOrdenes[[#This Row],[id_operacion]],tblEjecucion[id_operacion],tblEjecucion[costo_plan_total],0)-tblOrdenes[[#This Row],[costo_servicio]]))</f>
        <v/>
      </c>
      <c r="AK646" s="11">
        <f>IF(tblOrdenes[[#This Row],[orden]]="","",tblOrdenes[[#This Row],[costo_servicio]]+tblOrdenes[[#This Row],[costo_materiales]])</f>
        <v/>
      </c>
      <c r="AL646" s="6" t="n"/>
      <c r="AM646" s="6" t="n"/>
      <c r="AN646" s="6" t="n"/>
      <c r="AO646" s="3">
        <f>IF(tblOrdenes[[#This Row],[link_checklist]]="","",HYPERLINK(p_ruta_base_checklists&amp;tblOrdenes[[#This Row],[link_checklist]],"abrir"))</f>
        <v/>
      </c>
      <c r="AP646" s="6" t="n"/>
      <c r="AQ646" s="3">
        <f>IF(tblOrdenes[[#This Row],[orden]]="","",tblOrdenes[[#This Row],[orden]]&amp;IF(tblOrdenes[[#This Row],[operacion]]="","0010",tblOrdenes[[#This Row],[operacion]]))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2" t="n"/>
      <c r="K647" s="3" t="n"/>
      <c r="L647" s="11" t="n"/>
      <c r="M6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7" s="3">
        <f>IF(tblOrdenes[[#This Row],[fecha_inicio]]="","",YEAR(tblOrdenes[[#This Row],[fecha_inicio]]))</f>
        <v/>
      </c>
      <c r="Q647" s="3">
        <f>IF(tblOrdenes[[#This Row],[fecha_inicio]]="","",MONTH(tblOrdenes[[#This Row],[fecha_inicio]]))</f>
        <v/>
      </c>
      <c r="R647" s="3">
        <f>IF(tblOrdenes[[#This Row],[fecha_inicio]]="","",INDEX(lista_dias,WEEKDAY(tblOrdenes[[#This Row],[fecha_inicio]],2)))</f>
        <v/>
      </c>
      <c r="S6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7" s="3">
        <f>IF(tblOrdenes[[#This Row],[tipo_ot]]="","",_xlfn.XLOOKUP(tblOrdenes[[#This Row],[tipo_ot]],tblTiposOT[codigo],tblTiposOT[clasificacion],"sin_clasificar"))</f>
        <v/>
      </c>
      <c r="U647" s="3">
        <f>IF(tblOrdenes[[#This Row],[centro_costo]]="","",_xlfn.XLOOKUP(tblOrdenes[[#This Row],[centro_costo]],tblCECO[codigo],tblCECO[linea],"(sin catálogo)"))</f>
        <v/>
      </c>
      <c r="V647" s="3">
        <f>IF(tblOrdenes[[#This Row],[centro_costo]]="","",_xlfn.XLOOKUP(tblOrdenes[[#This Row],[centro_costo]],tblCECO[codigo],tblCECO[area],"(sin catálogo)"))</f>
        <v/>
      </c>
      <c r="W6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7" s="3">
        <f>IF(tblOrdenes[[#This Row],[centro_costo]]="","",_xlfn.XLOOKUP(tblOrdenes[[#This Row],[centro_costo]],tblCECO[codigo],tblCECO[coordinador],"(sin catálogo)"))</f>
        <v/>
      </c>
      <c r="Y647" s="3">
        <f>IF(tblOrdenes[[#This Row],[puesto_trabajo]]="","",_xlfn.XLOOKUP(tblOrdenes[[#This Row],[puesto_trabajo]],tblPuestos[codigo],tblPuestos[especialidad],"(sin catálogo)"))</f>
        <v/>
      </c>
      <c r="Z647" s="3">
        <f>IF(tblOrdenes[[#This Row],[cod_actividad]]="","",_xlfn.XLOOKUP(tblOrdenes[[#This Row],[cod_actividad]],tblActividades[codigo],tblActividades[descripcion],"(sin catálogo)"))</f>
        <v/>
      </c>
      <c r="AA647" s="13">
        <f>IF(tblOrdenes[[#This Row],[fecha_inicio]]="","",TODAY()-tblOrdenes[[#This Row],[fecha_inicio]])</f>
        <v/>
      </c>
      <c r="AB6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7" s="3">
        <f>IF(tblOrdenes[[#This Row],[backlog_habiles]]="","",IF(tblOrdenes[[#This Row],[backlog_habiles]]&lt;0,"FUTURO",IF(tblOrdenes[[#This Row],[backlog_habiles]]&gt;p_dias_backlog_max,"BACKLOG","MES CORRIENTE")))</f>
        <v/>
      </c>
      <c r="AD647" s="3">
        <f>IF(tblOrdenes[[#This Row],[backlog_habiles]]="",FALSE,AND(tblOrdenes[[#This Row],[backlog_habiles]]&gt;p_dias_backlog_min,tblOrdenes[[#This Row],[backlog_habiles]]&lt;=p_dias_backlog_max))</f>
        <v/>
      </c>
      <c r="AE647" s="6" t="n"/>
      <c r="AF6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7" s="11">
        <f>IF(tblOrdenes[[#This Row],[orden]]="","",_xlfn.XLOOKUP(tblOrdenes[[#This Row],[id_operacion]],tblEjecucion[id_operacion],tblEjecucion[precio],0))</f>
        <v/>
      </c>
      <c r="AJ647" s="11">
        <f>IF(tblOrdenes[[#This Row],[orden]]="","",MAX(0,_xlfn.XLOOKUP(tblOrdenes[[#This Row],[id_operacion]],tblEjecucion[id_operacion],tblEjecucion[costo_plan_total],0)-tblOrdenes[[#This Row],[costo_servicio]]))</f>
        <v/>
      </c>
      <c r="AK647" s="11">
        <f>IF(tblOrdenes[[#This Row],[orden]]="","",tblOrdenes[[#This Row],[costo_servicio]]+tblOrdenes[[#This Row],[costo_materiales]])</f>
        <v/>
      </c>
      <c r="AL647" s="6" t="n"/>
      <c r="AM647" s="6" t="n"/>
      <c r="AN647" s="6" t="n"/>
      <c r="AO647" s="3">
        <f>IF(tblOrdenes[[#This Row],[link_checklist]]="","",HYPERLINK(p_ruta_base_checklists&amp;tblOrdenes[[#This Row],[link_checklist]],"abrir"))</f>
        <v/>
      </c>
      <c r="AP647" s="6" t="n"/>
      <c r="AQ647" s="3">
        <f>IF(tblOrdenes[[#This Row],[orden]]="","",tblOrdenes[[#This Row],[orden]]&amp;IF(tblOrdenes[[#This Row],[operacion]]="","0010",tblOrdenes[[#This Row],[operacion]]))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2" t="n"/>
      <c r="K648" s="3" t="n"/>
      <c r="L648" s="11" t="n"/>
      <c r="M6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8" s="3">
        <f>IF(tblOrdenes[[#This Row],[fecha_inicio]]="","",YEAR(tblOrdenes[[#This Row],[fecha_inicio]]))</f>
        <v/>
      </c>
      <c r="Q648" s="3">
        <f>IF(tblOrdenes[[#This Row],[fecha_inicio]]="","",MONTH(tblOrdenes[[#This Row],[fecha_inicio]]))</f>
        <v/>
      </c>
      <c r="R648" s="3">
        <f>IF(tblOrdenes[[#This Row],[fecha_inicio]]="","",INDEX(lista_dias,WEEKDAY(tblOrdenes[[#This Row],[fecha_inicio]],2)))</f>
        <v/>
      </c>
      <c r="S6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8" s="3">
        <f>IF(tblOrdenes[[#This Row],[tipo_ot]]="","",_xlfn.XLOOKUP(tblOrdenes[[#This Row],[tipo_ot]],tblTiposOT[codigo],tblTiposOT[clasificacion],"sin_clasificar"))</f>
        <v/>
      </c>
      <c r="U648" s="3">
        <f>IF(tblOrdenes[[#This Row],[centro_costo]]="","",_xlfn.XLOOKUP(tblOrdenes[[#This Row],[centro_costo]],tblCECO[codigo],tblCECO[linea],"(sin catálogo)"))</f>
        <v/>
      </c>
      <c r="V648" s="3">
        <f>IF(tblOrdenes[[#This Row],[centro_costo]]="","",_xlfn.XLOOKUP(tblOrdenes[[#This Row],[centro_costo]],tblCECO[codigo],tblCECO[area],"(sin catálogo)"))</f>
        <v/>
      </c>
      <c r="W6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8" s="3">
        <f>IF(tblOrdenes[[#This Row],[centro_costo]]="","",_xlfn.XLOOKUP(tblOrdenes[[#This Row],[centro_costo]],tblCECO[codigo],tblCECO[coordinador],"(sin catálogo)"))</f>
        <v/>
      </c>
      <c r="Y648" s="3">
        <f>IF(tblOrdenes[[#This Row],[puesto_trabajo]]="","",_xlfn.XLOOKUP(tblOrdenes[[#This Row],[puesto_trabajo]],tblPuestos[codigo],tblPuestos[especialidad],"(sin catálogo)"))</f>
        <v/>
      </c>
      <c r="Z648" s="3">
        <f>IF(tblOrdenes[[#This Row],[cod_actividad]]="","",_xlfn.XLOOKUP(tblOrdenes[[#This Row],[cod_actividad]],tblActividades[codigo],tblActividades[descripcion],"(sin catálogo)"))</f>
        <v/>
      </c>
      <c r="AA648" s="13">
        <f>IF(tblOrdenes[[#This Row],[fecha_inicio]]="","",TODAY()-tblOrdenes[[#This Row],[fecha_inicio]])</f>
        <v/>
      </c>
      <c r="AB6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8" s="3">
        <f>IF(tblOrdenes[[#This Row],[backlog_habiles]]="","",IF(tblOrdenes[[#This Row],[backlog_habiles]]&lt;0,"FUTURO",IF(tblOrdenes[[#This Row],[backlog_habiles]]&gt;p_dias_backlog_max,"BACKLOG","MES CORRIENTE")))</f>
        <v/>
      </c>
      <c r="AD648" s="3">
        <f>IF(tblOrdenes[[#This Row],[backlog_habiles]]="",FALSE,AND(tblOrdenes[[#This Row],[backlog_habiles]]&gt;p_dias_backlog_min,tblOrdenes[[#This Row],[backlog_habiles]]&lt;=p_dias_backlog_max))</f>
        <v/>
      </c>
      <c r="AE648" s="6" t="n"/>
      <c r="AF6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8" s="11">
        <f>IF(tblOrdenes[[#This Row],[orden]]="","",_xlfn.XLOOKUP(tblOrdenes[[#This Row],[id_operacion]],tblEjecucion[id_operacion],tblEjecucion[precio],0))</f>
        <v/>
      </c>
      <c r="AJ648" s="11">
        <f>IF(tblOrdenes[[#This Row],[orden]]="","",MAX(0,_xlfn.XLOOKUP(tblOrdenes[[#This Row],[id_operacion]],tblEjecucion[id_operacion],tblEjecucion[costo_plan_total],0)-tblOrdenes[[#This Row],[costo_servicio]]))</f>
        <v/>
      </c>
      <c r="AK648" s="11">
        <f>IF(tblOrdenes[[#This Row],[orden]]="","",tblOrdenes[[#This Row],[costo_servicio]]+tblOrdenes[[#This Row],[costo_materiales]])</f>
        <v/>
      </c>
      <c r="AL648" s="6" t="n"/>
      <c r="AM648" s="6" t="n"/>
      <c r="AN648" s="6" t="n"/>
      <c r="AO648" s="3">
        <f>IF(tblOrdenes[[#This Row],[link_checklist]]="","",HYPERLINK(p_ruta_base_checklists&amp;tblOrdenes[[#This Row],[link_checklist]],"abrir"))</f>
        <v/>
      </c>
      <c r="AP648" s="6" t="n"/>
      <c r="AQ648" s="3">
        <f>IF(tblOrdenes[[#This Row],[orden]]="","",tblOrdenes[[#This Row],[orden]]&amp;IF(tblOrdenes[[#This Row],[operacion]]="","0010",tblOrdenes[[#This Row],[operacion]]))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2" t="n"/>
      <c r="K649" s="3" t="n"/>
      <c r="L649" s="11" t="n"/>
      <c r="M6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9" s="3">
        <f>IF(tblOrdenes[[#This Row],[fecha_inicio]]="","",YEAR(tblOrdenes[[#This Row],[fecha_inicio]]))</f>
        <v/>
      </c>
      <c r="Q649" s="3">
        <f>IF(tblOrdenes[[#This Row],[fecha_inicio]]="","",MONTH(tblOrdenes[[#This Row],[fecha_inicio]]))</f>
        <v/>
      </c>
      <c r="R649" s="3">
        <f>IF(tblOrdenes[[#This Row],[fecha_inicio]]="","",INDEX(lista_dias,WEEKDAY(tblOrdenes[[#This Row],[fecha_inicio]],2)))</f>
        <v/>
      </c>
      <c r="S6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9" s="3">
        <f>IF(tblOrdenes[[#This Row],[tipo_ot]]="","",_xlfn.XLOOKUP(tblOrdenes[[#This Row],[tipo_ot]],tblTiposOT[codigo],tblTiposOT[clasificacion],"sin_clasificar"))</f>
        <v/>
      </c>
      <c r="U649" s="3">
        <f>IF(tblOrdenes[[#This Row],[centro_costo]]="","",_xlfn.XLOOKUP(tblOrdenes[[#This Row],[centro_costo]],tblCECO[codigo],tblCECO[linea],"(sin catálogo)"))</f>
        <v/>
      </c>
      <c r="V649" s="3">
        <f>IF(tblOrdenes[[#This Row],[centro_costo]]="","",_xlfn.XLOOKUP(tblOrdenes[[#This Row],[centro_costo]],tblCECO[codigo],tblCECO[area],"(sin catálogo)"))</f>
        <v/>
      </c>
      <c r="W6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9" s="3">
        <f>IF(tblOrdenes[[#This Row],[centro_costo]]="","",_xlfn.XLOOKUP(tblOrdenes[[#This Row],[centro_costo]],tblCECO[codigo],tblCECO[coordinador],"(sin catálogo)"))</f>
        <v/>
      </c>
      <c r="Y649" s="3">
        <f>IF(tblOrdenes[[#This Row],[puesto_trabajo]]="","",_xlfn.XLOOKUP(tblOrdenes[[#This Row],[puesto_trabajo]],tblPuestos[codigo],tblPuestos[especialidad],"(sin catálogo)"))</f>
        <v/>
      </c>
      <c r="Z649" s="3">
        <f>IF(tblOrdenes[[#This Row],[cod_actividad]]="","",_xlfn.XLOOKUP(tblOrdenes[[#This Row],[cod_actividad]],tblActividades[codigo],tblActividades[descripcion],"(sin catálogo)"))</f>
        <v/>
      </c>
      <c r="AA649" s="13">
        <f>IF(tblOrdenes[[#This Row],[fecha_inicio]]="","",TODAY()-tblOrdenes[[#This Row],[fecha_inicio]])</f>
        <v/>
      </c>
      <c r="AB6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9" s="3">
        <f>IF(tblOrdenes[[#This Row],[backlog_habiles]]="","",IF(tblOrdenes[[#This Row],[backlog_habiles]]&lt;0,"FUTURO",IF(tblOrdenes[[#This Row],[backlog_habiles]]&gt;p_dias_backlog_max,"BACKLOG","MES CORRIENTE")))</f>
        <v/>
      </c>
      <c r="AD649" s="3">
        <f>IF(tblOrdenes[[#This Row],[backlog_habiles]]="",FALSE,AND(tblOrdenes[[#This Row],[backlog_habiles]]&gt;p_dias_backlog_min,tblOrdenes[[#This Row],[backlog_habiles]]&lt;=p_dias_backlog_max))</f>
        <v/>
      </c>
      <c r="AE649" s="6" t="n"/>
      <c r="AF6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9" s="11">
        <f>IF(tblOrdenes[[#This Row],[orden]]="","",_xlfn.XLOOKUP(tblOrdenes[[#This Row],[id_operacion]],tblEjecucion[id_operacion],tblEjecucion[precio],0))</f>
        <v/>
      </c>
      <c r="AJ649" s="11">
        <f>IF(tblOrdenes[[#This Row],[orden]]="","",MAX(0,_xlfn.XLOOKUP(tblOrdenes[[#This Row],[id_operacion]],tblEjecucion[id_operacion],tblEjecucion[costo_plan_total],0)-tblOrdenes[[#This Row],[costo_servicio]]))</f>
        <v/>
      </c>
      <c r="AK649" s="11">
        <f>IF(tblOrdenes[[#This Row],[orden]]="","",tblOrdenes[[#This Row],[costo_servicio]]+tblOrdenes[[#This Row],[costo_materiales]])</f>
        <v/>
      </c>
      <c r="AL649" s="6" t="n"/>
      <c r="AM649" s="6" t="n"/>
      <c r="AN649" s="6" t="n"/>
      <c r="AO649" s="3">
        <f>IF(tblOrdenes[[#This Row],[link_checklist]]="","",HYPERLINK(p_ruta_base_checklists&amp;tblOrdenes[[#This Row],[link_checklist]],"abrir"))</f>
        <v/>
      </c>
      <c r="AP649" s="6" t="n"/>
      <c r="AQ649" s="3">
        <f>IF(tblOrdenes[[#This Row],[orden]]="","",tblOrdenes[[#This Row],[orden]]&amp;IF(tblOrdenes[[#This Row],[operacion]]="","0010",tblOrdenes[[#This Row],[operacion]]))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2" t="n"/>
      <c r="K650" s="3" t="n"/>
      <c r="L650" s="11" t="n"/>
      <c r="M6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0" s="3">
        <f>IF(tblOrdenes[[#This Row],[fecha_inicio]]="","",YEAR(tblOrdenes[[#This Row],[fecha_inicio]]))</f>
        <v/>
      </c>
      <c r="Q650" s="3">
        <f>IF(tblOrdenes[[#This Row],[fecha_inicio]]="","",MONTH(tblOrdenes[[#This Row],[fecha_inicio]]))</f>
        <v/>
      </c>
      <c r="R650" s="3">
        <f>IF(tblOrdenes[[#This Row],[fecha_inicio]]="","",INDEX(lista_dias,WEEKDAY(tblOrdenes[[#This Row],[fecha_inicio]],2)))</f>
        <v/>
      </c>
      <c r="S6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0" s="3">
        <f>IF(tblOrdenes[[#This Row],[tipo_ot]]="","",_xlfn.XLOOKUP(tblOrdenes[[#This Row],[tipo_ot]],tblTiposOT[codigo],tblTiposOT[clasificacion],"sin_clasificar"))</f>
        <v/>
      </c>
      <c r="U650" s="3">
        <f>IF(tblOrdenes[[#This Row],[centro_costo]]="","",_xlfn.XLOOKUP(tblOrdenes[[#This Row],[centro_costo]],tblCECO[codigo],tblCECO[linea],"(sin catálogo)"))</f>
        <v/>
      </c>
      <c r="V650" s="3">
        <f>IF(tblOrdenes[[#This Row],[centro_costo]]="","",_xlfn.XLOOKUP(tblOrdenes[[#This Row],[centro_costo]],tblCECO[codigo],tblCECO[area],"(sin catálogo)"))</f>
        <v/>
      </c>
      <c r="W6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0" s="3">
        <f>IF(tblOrdenes[[#This Row],[centro_costo]]="","",_xlfn.XLOOKUP(tblOrdenes[[#This Row],[centro_costo]],tblCECO[codigo],tblCECO[coordinador],"(sin catálogo)"))</f>
        <v/>
      </c>
      <c r="Y650" s="3">
        <f>IF(tblOrdenes[[#This Row],[puesto_trabajo]]="","",_xlfn.XLOOKUP(tblOrdenes[[#This Row],[puesto_trabajo]],tblPuestos[codigo],tblPuestos[especialidad],"(sin catálogo)"))</f>
        <v/>
      </c>
      <c r="Z650" s="3">
        <f>IF(tblOrdenes[[#This Row],[cod_actividad]]="","",_xlfn.XLOOKUP(tblOrdenes[[#This Row],[cod_actividad]],tblActividades[codigo],tblActividades[descripcion],"(sin catálogo)"))</f>
        <v/>
      </c>
      <c r="AA650" s="13">
        <f>IF(tblOrdenes[[#This Row],[fecha_inicio]]="","",TODAY()-tblOrdenes[[#This Row],[fecha_inicio]])</f>
        <v/>
      </c>
      <c r="AB6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0" s="3">
        <f>IF(tblOrdenes[[#This Row],[backlog_habiles]]="","",IF(tblOrdenes[[#This Row],[backlog_habiles]]&lt;0,"FUTURO",IF(tblOrdenes[[#This Row],[backlog_habiles]]&gt;p_dias_backlog_max,"BACKLOG","MES CORRIENTE")))</f>
        <v/>
      </c>
      <c r="AD650" s="3">
        <f>IF(tblOrdenes[[#This Row],[backlog_habiles]]="",FALSE,AND(tblOrdenes[[#This Row],[backlog_habiles]]&gt;p_dias_backlog_min,tblOrdenes[[#This Row],[backlog_habiles]]&lt;=p_dias_backlog_max))</f>
        <v/>
      </c>
      <c r="AE650" s="6" t="n"/>
      <c r="AF6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0" s="11">
        <f>IF(tblOrdenes[[#This Row],[orden]]="","",_xlfn.XLOOKUP(tblOrdenes[[#This Row],[id_operacion]],tblEjecucion[id_operacion],tblEjecucion[precio],0))</f>
        <v/>
      </c>
      <c r="AJ650" s="11">
        <f>IF(tblOrdenes[[#This Row],[orden]]="","",MAX(0,_xlfn.XLOOKUP(tblOrdenes[[#This Row],[id_operacion]],tblEjecucion[id_operacion],tblEjecucion[costo_plan_total],0)-tblOrdenes[[#This Row],[costo_servicio]]))</f>
        <v/>
      </c>
      <c r="AK650" s="11">
        <f>IF(tblOrdenes[[#This Row],[orden]]="","",tblOrdenes[[#This Row],[costo_servicio]]+tblOrdenes[[#This Row],[costo_materiales]])</f>
        <v/>
      </c>
      <c r="AL650" s="6" t="n"/>
      <c r="AM650" s="6" t="n"/>
      <c r="AN650" s="6" t="n"/>
      <c r="AO650" s="3">
        <f>IF(tblOrdenes[[#This Row],[link_checklist]]="","",HYPERLINK(p_ruta_base_checklists&amp;tblOrdenes[[#This Row],[link_checklist]],"abrir"))</f>
        <v/>
      </c>
      <c r="AP650" s="6" t="n"/>
      <c r="AQ650" s="3">
        <f>IF(tblOrdenes[[#This Row],[orden]]="","",tblOrdenes[[#This Row],[orden]]&amp;IF(tblOrdenes[[#This Row],[operacion]]="","0010",tblOrdenes[[#This Row],[operacion]]))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2" t="n"/>
      <c r="K651" s="3" t="n"/>
      <c r="L651" s="11" t="n"/>
      <c r="M6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1" s="3">
        <f>IF(tblOrdenes[[#This Row],[fecha_inicio]]="","",YEAR(tblOrdenes[[#This Row],[fecha_inicio]]))</f>
        <v/>
      </c>
      <c r="Q651" s="3">
        <f>IF(tblOrdenes[[#This Row],[fecha_inicio]]="","",MONTH(tblOrdenes[[#This Row],[fecha_inicio]]))</f>
        <v/>
      </c>
      <c r="R651" s="3">
        <f>IF(tblOrdenes[[#This Row],[fecha_inicio]]="","",INDEX(lista_dias,WEEKDAY(tblOrdenes[[#This Row],[fecha_inicio]],2)))</f>
        <v/>
      </c>
      <c r="S6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1" s="3">
        <f>IF(tblOrdenes[[#This Row],[tipo_ot]]="","",_xlfn.XLOOKUP(tblOrdenes[[#This Row],[tipo_ot]],tblTiposOT[codigo],tblTiposOT[clasificacion],"sin_clasificar"))</f>
        <v/>
      </c>
      <c r="U651" s="3">
        <f>IF(tblOrdenes[[#This Row],[centro_costo]]="","",_xlfn.XLOOKUP(tblOrdenes[[#This Row],[centro_costo]],tblCECO[codigo],tblCECO[linea],"(sin catálogo)"))</f>
        <v/>
      </c>
      <c r="V651" s="3">
        <f>IF(tblOrdenes[[#This Row],[centro_costo]]="","",_xlfn.XLOOKUP(tblOrdenes[[#This Row],[centro_costo]],tblCECO[codigo],tblCECO[area],"(sin catálogo)"))</f>
        <v/>
      </c>
      <c r="W6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1" s="3">
        <f>IF(tblOrdenes[[#This Row],[centro_costo]]="","",_xlfn.XLOOKUP(tblOrdenes[[#This Row],[centro_costo]],tblCECO[codigo],tblCECO[coordinador],"(sin catálogo)"))</f>
        <v/>
      </c>
      <c r="Y651" s="3">
        <f>IF(tblOrdenes[[#This Row],[puesto_trabajo]]="","",_xlfn.XLOOKUP(tblOrdenes[[#This Row],[puesto_trabajo]],tblPuestos[codigo],tblPuestos[especialidad],"(sin catálogo)"))</f>
        <v/>
      </c>
      <c r="Z651" s="3">
        <f>IF(tblOrdenes[[#This Row],[cod_actividad]]="","",_xlfn.XLOOKUP(tblOrdenes[[#This Row],[cod_actividad]],tblActividades[codigo],tblActividades[descripcion],"(sin catálogo)"))</f>
        <v/>
      </c>
      <c r="AA651" s="13">
        <f>IF(tblOrdenes[[#This Row],[fecha_inicio]]="","",TODAY()-tblOrdenes[[#This Row],[fecha_inicio]])</f>
        <v/>
      </c>
      <c r="AB6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1" s="3">
        <f>IF(tblOrdenes[[#This Row],[backlog_habiles]]="","",IF(tblOrdenes[[#This Row],[backlog_habiles]]&lt;0,"FUTURO",IF(tblOrdenes[[#This Row],[backlog_habiles]]&gt;p_dias_backlog_max,"BACKLOG","MES CORRIENTE")))</f>
        <v/>
      </c>
      <c r="AD651" s="3">
        <f>IF(tblOrdenes[[#This Row],[backlog_habiles]]="",FALSE,AND(tblOrdenes[[#This Row],[backlog_habiles]]&gt;p_dias_backlog_min,tblOrdenes[[#This Row],[backlog_habiles]]&lt;=p_dias_backlog_max))</f>
        <v/>
      </c>
      <c r="AE651" s="6" t="n"/>
      <c r="AF6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1" s="11">
        <f>IF(tblOrdenes[[#This Row],[orden]]="","",_xlfn.XLOOKUP(tblOrdenes[[#This Row],[id_operacion]],tblEjecucion[id_operacion],tblEjecucion[precio],0))</f>
        <v/>
      </c>
      <c r="AJ651" s="11">
        <f>IF(tblOrdenes[[#This Row],[orden]]="","",MAX(0,_xlfn.XLOOKUP(tblOrdenes[[#This Row],[id_operacion]],tblEjecucion[id_operacion],tblEjecucion[costo_plan_total],0)-tblOrdenes[[#This Row],[costo_servicio]]))</f>
        <v/>
      </c>
      <c r="AK651" s="11">
        <f>IF(tblOrdenes[[#This Row],[orden]]="","",tblOrdenes[[#This Row],[costo_servicio]]+tblOrdenes[[#This Row],[costo_materiales]])</f>
        <v/>
      </c>
      <c r="AL651" s="6" t="n"/>
      <c r="AM651" s="6" t="n"/>
      <c r="AN651" s="6" t="n"/>
      <c r="AO651" s="3">
        <f>IF(tblOrdenes[[#This Row],[link_checklist]]="","",HYPERLINK(p_ruta_base_checklists&amp;tblOrdenes[[#This Row],[link_checklist]],"abrir"))</f>
        <v/>
      </c>
      <c r="AP651" s="6" t="n"/>
      <c r="AQ651" s="3">
        <f>IF(tblOrdenes[[#This Row],[orden]]="","",tblOrdenes[[#This Row],[orden]]&amp;IF(tblOrdenes[[#This Row],[operacion]]="","0010",tblOrdenes[[#This Row],[operacion]]))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2" t="n"/>
      <c r="K652" s="3" t="n"/>
      <c r="L652" s="11" t="n"/>
      <c r="M6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2" s="3">
        <f>IF(tblOrdenes[[#This Row],[fecha_inicio]]="","",YEAR(tblOrdenes[[#This Row],[fecha_inicio]]))</f>
        <v/>
      </c>
      <c r="Q652" s="3">
        <f>IF(tblOrdenes[[#This Row],[fecha_inicio]]="","",MONTH(tblOrdenes[[#This Row],[fecha_inicio]]))</f>
        <v/>
      </c>
      <c r="R652" s="3">
        <f>IF(tblOrdenes[[#This Row],[fecha_inicio]]="","",INDEX(lista_dias,WEEKDAY(tblOrdenes[[#This Row],[fecha_inicio]],2)))</f>
        <v/>
      </c>
      <c r="S6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2" s="3">
        <f>IF(tblOrdenes[[#This Row],[tipo_ot]]="","",_xlfn.XLOOKUP(tblOrdenes[[#This Row],[tipo_ot]],tblTiposOT[codigo],tblTiposOT[clasificacion],"sin_clasificar"))</f>
        <v/>
      </c>
      <c r="U652" s="3">
        <f>IF(tblOrdenes[[#This Row],[centro_costo]]="","",_xlfn.XLOOKUP(tblOrdenes[[#This Row],[centro_costo]],tblCECO[codigo],tblCECO[linea],"(sin catálogo)"))</f>
        <v/>
      </c>
      <c r="V652" s="3">
        <f>IF(tblOrdenes[[#This Row],[centro_costo]]="","",_xlfn.XLOOKUP(tblOrdenes[[#This Row],[centro_costo]],tblCECO[codigo],tblCECO[area],"(sin catálogo)"))</f>
        <v/>
      </c>
      <c r="W6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2" s="3">
        <f>IF(tblOrdenes[[#This Row],[centro_costo]]="","",_xlfn.XLOOKUP(tblOrdenes[[#This Row],[centro_costo]],tblCECO[codigo],tblCECO[coordinador],"(sin catálogo)"))</f>
        <v/>
      </c>
      <c r="Y652" s="3">
        <f>IF(tblOrdenes[[#This Row],[puesto_trabajo]]="","",_xlfn.XLOOKUP(tblOrdenes[[#This Row],[puesto_trabajo]],tblPuestos[codigo],tblPuestos[especialidad],"(sin catálogo)"))</f>
        <v/>
      </c>
      <c r="Z652" s="3">
        <f>IF(tblOrdenes[[#This Row],[cod_actividad]]="","",_xlfn.XLOOKUP(tblOrdenes[[#This Row],[cod_actividad]],tblActividades[codigo],tblActividades[descripcion],"(sin catálogo)"))</f>
        <v/>
      </c>
      <c r="AA652" s="13">
        <f>IF(tblOrdenes[[#This Row],[fecha_inicio]]="","",TODAY()-tblOrdenes[[#This Row],[fecha_inicio]])</f>
        <v/>
      </c>
      <c r="AB6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2" s="3">
        <f>IF(tblOrdenes[[#This Row],[backlog_habiles]]="","",IF(tblOrdenes[[#This Row],[backlog_habiles]]&lt;0,"FUTURO",IF(tblOrdenes[[#This Row],[backlog_habiles]]&gt;p_dias_backlog_max,"BACKLOG","MES CORRIENTE")))</f>
        <v/>
      </c>
      <c r="AD652" s="3">
        <f>IF(tblOrdenes[[#This Row],[backlog_habiles]]="",FALSE,AND(tblOrdenes[[#This Row],[backlog_habiles]]&gt;p_dias_backlog_min,tblOrdenes[[#This Row],[backlog_habiles]]&lt;=p_dias_backlog_max))</f>
        <v/>
      </c>
      <c r="AE652" s="6" t="n"/>
      <c r="AF6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2" s="11">
        <f>IF(tblOrdenes[[#This Row],[orden]]="","",_xlfn.XLOOKUP(tblOrdenes[[#This Row],[id_operacion]],tblEjecucion[id_operacion],tblEjecucion[precio],0))</f>
        <v/>
      </c>
      <c r="AJ652" s="11">
        <f>IF(tblOrdenes[[#This Row],[orden]]="","",MAX(0,_xlfn.XLOOKUP(tblOrdenes[[#This Row],[id_operacion]],tblEjecucion[id_operacion],tblEjecucion[costo_plan_total],0)-tblOrdenes[[#This Row],[costo_servicio]]))</f>
        <v/>
      </c>
      <c r="AK652" s="11">
        <f>IF(tblOrdenes[[#This Row],[orden]]="","",tblOrdenes[[#This Row],[costo_servicio]]+tblOrdenes[[#This Row],[costo_materiales]])</f>
        <v/>
      </c>
      <c r="AL652" s="6" t="n"/>
      <c r="AM652" s="6" t="n"/>
      <c r="AN652" s="6" t="n"/>
      <c r="AO652" s="3">
        <f>IF(tblOrdenes[[#This Row],[link_checklist]]="","",HYPERLINK(p_ruta_base_checklists&amp;tblOrdenes[[#This Row],[link_checklist]],"abrir"))</f>
        <v/>
      </c>
      <c r="AP652" s="6" t="n"/>
      <c r="AQ652" s="3">
        <f>IF(tblOrdenes[[#This Row],[orden]]="","",tblOrdenes[[#This Row],[orden]]&amp;IF(tblOrdenes[[#This Row],[operacion]]="","0010",tblOrdenes[[#This Row],[operacion]]))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2" t="n"/>
      <c r="K653" s="3" t="n"/>
      <c r="L653" s="11" t="n"/>
      <c r="M6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3" s="3">
        <f>IF(tblOrdenes[[#This Row],[fecha_inicio]]="","",YEAR(tblOrdenes[[#This Row],[fecha_inicio]]))</f>
        <v/>
      </c>
      <c r="Q653" s="3">
        <f>IF(tblOrdenes[[#This Row],[fecha_inicio]]="","",MONTH(tblOrdenes[[#This Row],[fecha_inicio]]))</f>
        <v/>
      </c>
      <c r="R653" s="3">
        <f>IF(tblOrdenes[[#This Row],[fecha_inicio]]="","",INDEX(lista_dias,WEEKDAY(tblOrdenes[[#This Row],[fecha_inicio]],2)))</f>
        <v/>
      </c>
      <c r="S6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3" s="3">
        <f>IF(tblOrdenes[[#This Row],[tipo_ot]]="","",_xlfn.XLOOKUP(tblOrdenes[[#This Row],[tipo_ot]],tblTiposOT[codigo],tblTiposOT[clasificacion],"sin_clasificar"))</f>
        <v/>
      </c>
      <c r="U653" s="3">
        <f>IF(tblOrdenes[[#This Row],[centro_costo]]="","",_xlfn.XLOOKUP(tblOrdenes[[#This Row],[centro_costo]],tblCECO[codigo],tblCECO[linea],"(sin catálogo)"))</f>
        <v/>
      </c>
      <c r="V653" s="3">
        <f>IF(tblOrdenes[[#This Row],[centro_costo]]="","",_xlfn.XLOOKUP(tblOrdenes[[#This Row],[centro_costo]],tblCECO[codigo],tblCECO[area],"(sin catálogo)"))</f>
        <v/>
      </c>
      <c r="W6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3" s="3">
        <f>IF(tblOrdenes[[#This Row],[centro_costo]]="","",_xlfn.XLOOKUP(tblOrdenes[[#This Row],[centro_costo]],tblCECO[codigo],tblCECO[coordinador],"(sin catálogo)"))</f>
        <v/>
      </c>
      <c r="Y653" s="3">
        <f>IF(tblOrdenes[[#This Row],[puesto_trabajo]]="","",_xlfn.XLOOKUP(tblOrdenes[[#This Row],[puesto_trabajo]],tblPuestos[codigo],tblPuestos[especialidad],"(sin catálogo)"))</f>
        <v/>
      </c>
      <c r="Z653" s="3">
        <f>IF(tblOrdenes[[#This Row],[cod_actividad]]="","",_xlfn.XLOOKUP(tblOrdenes[[#This Row],[cod_actividad]],tblActividades[codigo],tblActividades[descripcion],"(sin catálogo)"))</f>
        <v/>
      </c>
      <c r="AA653" s="13">
        <f>IF(tblOrdenes[[#This Row],[fecha_inicio]]="","",TODAY()-tblOrdenes[[#This Row],[fecha_inicio]])</f>
        <v/>
      </c>
      <c r="AB6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3" s="3">
        <f>IF(tblOrdenes[[#This Row],[backlog_habiles]]="","",IF(tblOrdenes[[#This Row],[backlog_habiles]]&lt;0,"FUTURO",IF(tblOrdenes[[#This Row],[backlog_habiles]]&gt;p_dias_backlog_max,"BACKLOG","MES CORRIENTE")))</f>
        <v/>
      </c>
      <c r="AD653" s="3">
        <f>IF(tblOrdenes[[#This Row],[backlog_habiles]]="",FALSE,AND(tblOrdenes[[#This Row],[backlog_habiles]]&gt;p_dias_backlog_min,tblOrdenes[[#This Row],[backlog_habiles]]&lt;=p_dias_backlog_max))</f>
        <v/>
      </c>
      <c r="AE653" s="6" t="n"/>
      <c r="AF6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3" s="11">
        <f>IF(tblOrdenes[[#This Row],[orden]]="","",_xlfn.XLOOKUP(tblOrdenes[[#This Row],[id_operacion]],tblEjecucion[id_operacion],tblEjecucion[precio],0))</f>
        <v/>
      </c>
      <c r="AJ653" s="11">
        <f>IF(tblOrdenes[[#This Row],[orden]]="","",MAX(0,_xlfn.XLOOKUP(tblOrdenes[[#This Row],[id_operacion]],tblEjecucion[id_operacion],tblEjecucion[costo_plan_total],0)-tblOrdenes[[#This Row],[costo_servicio]]))</f>
        <v/>
      </c>
      <c r="AK653" s="11">
        <f>IF(tblOrdenes[[#This Row],[orden]]="","",tblOrdenes[[#This Row],[costo_servicio]]+tblOrdenes[[#This Row],[costo_materiales]])</f>
        <v/>
      </c>
      <c r="AL653" s="6" t="n"/>
      <c r="AM653" s="6" t="n"/>
      <c r="AN653" s="6" t="n"/>
      <c r="AO653" s="3">
        <f>IF(tblOrdenes[[#This Row],[link_checklist]]="","",HYPERLINK(p_ruta_base_checklists&amp;tblOrdenes[[#This Row],[link_checklist]],"abrir"))</f>
        <v/>
      </c>
      <c r="AP653" s="6" t="n"/>
      <c r="AQ653" s="3">
        <f>IF(tblOrdenes[[#This Row],[orden]]="","",tblOrdenes[[#This Row],[orden]]&amp;IF(tblOrdenes[[#This Row],[operacion]]="","0010",tblOrdenes[[#This Row],[operacion]]))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2" t="n"/>
      <c r="K654" s="3" t="n"/>
      <c r="L654" s="11" t="n"/>
      <c r="M6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4" s="3">
        <f>IF(tblOrdenes[[#This Row],[fecha_inicio]]="","",YEAR(tblOrdenes[[#This Row],[fecha_inicio]]))</f>
        <v/>
      </c>
      <c r="Q654" s="3">
        <f>IF(tblOrdenes[[#This Row],[fecha_inicio]]="","",MONTH(tblOrdenes[[#This Row],[fecha_inicio]]))</f>
        <v/>
      </c>
      <c r="R654" s="3">
        <f>IF(tblOrdenes[[#This Row],[fecha_inicio]]="","",INDEX(lista_dias,WEEKDAY(tblOrdenes[[#This Row],[fecha_inicio]],2)))</f>
        <v/>
      </c>
      <c r="S6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4" s="3">
        <f>IF(tblOrdenes[[#This Row],[tipo_ot]]="","",_xlfn.XLOOKUP(tblOrdenes[[#This Row],[tipo_ot]],tblTiposOT[codigo],tblTiposOT[clasificacion],"sin_clasificar"))</f>
        <v/>
      </c>
      <c r="U654" s="3">
        <f>IF(tblOrdenes[[#This Row],[centro_costo]]="","",_xlfn.XLOOKUP(tblOrdenes[[#This Row],[centro_costo]],tblCECO[codigo],tblCECO[linea],"(sin catálogo)"))</f>
        <v/>
      </c>
      <c r="V654" s="3">
        <f>IF(tblOrdenes[[#This Row],[centro_costo]]="","",_xlfn.XLOOKUP(tblOrdenes[[#This Row],[centro_costo]],tblCECO[codigo],tblCECO[area],"(sin catálogo)"))</f>
        <v/>
      </c>
      <c r="W6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4" s="3">
        <f>IF(tblOrdenes[[#This Row],[centro_costo]]="","",_xlfn.XLOOKUP(tblOrdenes[[#This Row],[centro_costo]],tblCECO[codigo],tblCECO[coordinador],"(sin catálogo)"))</f>
        <v/>
      </c>
      <c r="Y654" s="3">
        <f>IF(tblOrdenes[[#This Row],[puesto_trabajo]]="","",_xlfn.XLOOKUP(tblOrdenes[[#This Row],[puesto_trabajo]],tblPuestos[codigo],tblPuestos[especialidad],"(sin catálogo)"))</f>
        <v/>
      </c>
      <c r="Z654" s="3">
        <f>IF(tblOrdenes[[#This Row],[cod_actividad]]="","",_xlfn.XLOOKUP(tblOrdenes[[#This Row],[cod_actividad]],tblActividades[codigo],tblActividades[descripcion],"(sin catálogo)"))</f>
        <v/>
      </c>
      <c r="AA654" s="13">
        <f>IF(tblOrdenes[[#This Row],[fecha_inicio]]="","",TODAY()-tblOrdenes[[#This Row],[fecha_inicio]])</f>
        <v/>
      </c>
      <c r="AB6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4" s="3">
        <f>IF(tblOrdenes[[#This Row],[backlog_habiles]]="","",IF(tblOrdenes[[#This Row],[backlog_habiles]]&lt;0,"FUTURO",IF(tblOrdenes[[#This Row],[backlog_habiles]]&gt;p_dias_backlog_max,"BACKLOG","MES CORRIENTE")))</f>
        <v/>
      </c>
      <c r="AD654" s="3">
        <f>IF(tblOrdenes[[#This Row],[backlog_habiles]]="",FALSE,AND(tblOrdenes[[#This Row],[backlog_habiles]]&gt;p_dias_backlog_min,tblOrdenes[[#This Row],[backlog_habiles]]&lt;=p_dias_backlog_max))</f>
        <v/>
      </c>
      <c r="AE654" s="6" t="n"/>
      <c r="AF6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4" s="11">
        <f>IF(tblOrdenes[[#This Row],[orden]]="","",_xlfn.XLOOKUP(tblOrdenes[[#This Row],[id_operacion]],tblEjecucion[id_operacion],tblEjecucion[precio],0))</f>
        <v/>
      </c>
      <c r="AJ654" s="11">
        <f>IF(tblOrdenes[[#This Row],[orden]]="","",MAX(0,_xlfn.XLOOKUP(tblOrdenes[[#This Row],[id_operacion]],tblEjecucion[id_operacion],tblEjecucion[costo_plan_total],0)-tblOrdenes[[#This Row],[costo_servicio]]))</f>
        <v/>
      </c>
      <c r="AK654" s="11">
        <f>IF(tblOrdenes[[#This Row],[orden]]="","",tblOrdenes[[#This Row],[costo_servicio]]+tblOrdenes[[#This Row],[costo_materiales]])</f>
        <v/>
      </c>
      <c r="AL654" s="6" t="n"/>
      <c r="AM654" s="6" t="n"/>
      <c r="AN654" s="6" t="n"/>
      <c r="AO654" s="3">
        <f>IF(tblOrdenes[[#This Row],[link_checklist]]="","",HYPERLINK(p_ruta_base_checklists&amp;tblOrdenes[[#This Row],[link_checklist]],"abrir"))</f>
        <v/>
      </c>
      <c r="AP654" s="6" t="n"/>
      <c r="AQ654" s="3">
        <f>IF(tblOrdenes[[#This Row],[orden]]="","",tblOrdenes[[#This Row],[orden]]&amp;IF(tblOrdenes[[#This Row],[operacion]]="","0010",tblOrdenes[[#This Row],[operacion]]))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2" t="n"/>
      <c r="K655" s="3" t="n"/>
      <c r="L655" s="11" t="n"/>
      <c r="M6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5" s="3">
        <f>IF(tblOrdenes[[#This Row],[fecha_inicio]]="","",YEAR(tblOrdenes[[#This Row],[fecha_inicio]]))</f>
        <v/>
      </c>
      <c r="Q655" s="3">
        <f>IF(tblOrdenes[[#This Row],[fecha_inicio]]="","",MONTH(tblOrdenes[[#This Row],[fecha_inicio]]))</f>
        <v/>
      </c>
      <c r="R655" s="3">
        <f>IF(tblOrdenes[[#This Row],[fecha_inicio]]="","",INDEX(lista_dias,WEEKDAY(tblOrdenes[[#This Row],[fecha_inicio]],2)))</f>
        <v/>
      </c>
      <c r="S6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5" s="3">
        <f>IF(tblOrdenes[[#This Row],[tipo_ot]]="","",_xlfn.XLOOKUP(tblOrdenes[[#This Row],[tipo_ot]],tblTiposOT[codigo],tblTiposOT[clasificacion],"sin_clasificar"))</f>
        <v/>
      </c>
      <c r="U655" s="3">
        <f>IF(tblOrdenes[[#This Row],[centro_costo]]="","",_xlfn.XLOOKUP(tblOrdenes[[#This Row],[centro_costo]],tblCECO[codigo],tblCECO[linea],"(sin catálogo)"))</f>
        <v/>
      </c>
      <c r="V655" s="3">
        <f>IF(tblOrdenes[[#This Row],[centro_costo]]="","",_xlfn.XLOOKUP(tblOrdenes[[#This Row],[centro_costo]],tblCECO[codigo],tblCECO[area],"(sin catálogo)"))</f>
        <v/>
      </c>
      <c r="W6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5" s="3">
        <f>IF(tblOrdenes[[#This Row],[centro_costo]]="","",_xlfn.XLOOKUP(tblOrdenes[[#This Row],[centro_costo]],tblCECO[codigo],tblCECO[coordinador],"(sin catálogo)"))</f>
        <v/>
      </c>
      <c r="Y655" s="3">
        <f>IF(tblOrdenes[[#This Row],[puesto_trabajo]]="","",_xlfn.XLOOKUP(tblOrdenes[[#This Row],[puesto_trabajo]],tblPuestos[codigo],tblPuestos[especialidad],"(sin catálogo)"))</f>
        <v/>
      </c>
      <c r="Z655" s="3">
        <f>IF(tblOrdenes[[#This Row],[cod_actividad]]="","",_xlfn.XLOOKUP(tblOrdenes[[#This Row],[cod_actividad]],tblActividades[codigo],tblActividades[descripcion],"(sin catálogo)"))</f>
        <v/>
      </c>
      <c r="AA655" s="13">
        <f>IF(tblOrdenes[[#This Row],[fecha_inicio]]="","",TODAY()-tblOrdenes[[#This Row],[fecha_inicio]])</f>
        <v/>
      </c>
      <c r="AB6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5" s="3">
        <f>IF(tblOrdenes[[#This Row],[backlog_habiles]]="","",IF(tblOrdenes[[#This Row],[backlog_habiles]]&lt;0,"FUTURO",IF(tblOrdenes[[#This Row],[backlog_habiles]]&gt;p_dias_backlog_max,"BACKLOG","MES CORRIENTE")))</f>
        <v/>
      </c>
      <c r="AD655" s="3">
        <f>IF(tblOrdenes[[#This Row],[backlog_habiles]]="",FALSE,AND(tblOrdenes[[#This Row],[backlog_habiles]]&gt;p_dias_backlog_min,tblOrdenes[[#This Row],[backlog_habiles]]&lt;=p_dias_backlog_max))</f>
        <v/>
      </c>
      <c r="AE655" s="6" t="n"/>
      <c r="AF6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5" s="11">
        <f>IF(tblOrdenes[[#This Row],[orden]]="","",_xlfn.XLOOKUP(tblOrdenes[[#This Row],[id_operacion]],tblEjecucion[id_operacion],tblEjecucion[precio],0))</f>
        <v/>
      </c>
      <c r="AJ655" s="11">
        <f>IF(tblOrdenes[[#This Row],[orden]]="","",MAX(0,_xlfn.XLOOKUP(tblOrdenes[[#This Row],[id_operacion]],tblEjecucion[id_operacion],tblEjecucion[costo_plan_total],0)-tblOrdenes[[#This Row],[costo_servicio]]))</f>
        <v/>
      </c>
      <c r="AK655" s="11">
        <f>IF(tblOrdenes[[#This Row],[orden]]="","",tblOrdenes[[#This Row],[costo_servicio]]+tblOrdenes[[#This Row],[costo_materiales]])</f>
        <v/>
      </c>
      <c r="AL655" s="6" t="n"/>
      <c r="AM655" s="6" t="n"/>
      <c r="AN655" s="6" t="n"/>
      <c r="AO655" s="3">
        <f>IF(tblOrdenes[[#This Row],[link_checklist]]="","",HYPERLINK(p_ruta_base_checklists&amp;tblOrdenes[[#This Row],[link_checklist]],"abrir"))</f>
        <v/>
      </c>
      <c r="AP655" s="6" t="n"/>
      <c r="AQ655" s="3">
        <f>IF(tblOrdenes[[#This Row],[orden]]="","",tblOrdenes[[#This Row],[orden]]&amp;IF(tblOrdenes[[#This Row],[operacion]]="","0010",tblOrdenes[[#This Row],[operacion]]))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2" t="n"/>
      <c r="K656" s="3" t="n"/>
      <c r="L656" s="11" t="n"/>
      <c r="M6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6" s="3">
        <f>IF(tblOrdenes[[#This Row],[fecha_inicio]]="","",YEAR(tblOrdenes[[#This Row],[fecha_inicio]]))</f>
        <v/>
      </c>
      <c r="Q656" s="3">
        <f>IF(tblOrdenes[[#This Row],[fecha_inicio]]="","",MONTH(tblOrdenes[[#This Row],[fecha_inicio]]))</f>
        <v/>
      </c>
      <c r="R656" s="3">
        <f>IF(tblOrdenes[[#This Row],[fecha_inicio]]="","",INDEX(lista_dias,WEEKDAY(tblOrdenes[[#This Row],[fecha_inicio]],2)))</f>
        <v/>
      </c>
      <c r="S6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6" s="3">
        <f>IF(tblOrdenes[[#This Row],[tipo_ot]]="","",_xlfn.XLOOKUP(tblOrdenes[[#This Row],[tipo_ot]],tblTiposOT[codigo],tblTiposOT[clasificacion],"sin_clasificar"))</f>
        <v/>
      </c>
      <c r="U656" s="3">
        <f>IF(tblOrdenes[[#This Row],[centro_costo]]="","",_xlfn.XLOOKUP(tblOrdenes[[#This Row],[centro_costo]],tblCECO[codigo],tblCECO[linea],"(sin catálogo)"))</f>
        <v/>
      </c>
      <c r="V656" s="3">
        <f>IF(tblOrdenes[[#This Row],[centro_costo]]="","",_xlfn.XLOOKUP(tblOrdenes[[#This Row],[centro_costo]],tblCECO[codigo],tblCECO[area],"(sin catálogo)"))</f>
        <v/>
      </c>
      <c r="W6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6" s="3">
        <f>IF(tblOrdenes[[#This Row],[centro_costo]]="","",_xlfn.XLOOKUP(tblOrdenes[[#This Row],[centro_costo]],tblCECO[codigo],tblCECO[coordinador],"(sin catálogo)"))</f>
        <v/>
      </c>
      <c r="Y656" s="3">
        <f>IF(tblOrdenes[[#This Row],[puesto_trabajo]]="","",_xlfn.XLOOKUP(tblOrdenes[[#This Row],[puesto_trabajo]],tblPuestos[codigo],tblPuestos[especialidad],"(sin catálogo)"))</f>
        <v/>
      </c>
      <c r="Z656" s="3">
        <f>IF(tblOrdenes[[#This Row],[cod_actividad]]="","",_xlfn.XLOOKUP(tblOrdenes[[#This Row],[cod_actividad]],tblActividades[codigo],tblActividades[descripcion],"(sin catálogo)"))</f>
        <v/>
      </c>
      <c r="AA656" s="13">
        <f>IF(tblOrdenes[[#This Row],[fecha_inicio]]="","",TODAY()-tblOrdenes[[#This Row],[fecha_inicio]])</f>
        <v/>
      </c>
      <c r="AB6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6" s="3">
        <f>IF(tblOrdenes[[#This Row],[backlog_habiles]]="","",IF(tblOrdenes[[#This Row],[backlog_habiles]]&lt;0,"FUTURO",IF(tblOrdenes[[#This Row],[backlog_habiles]]&gt;p_dias_backlog_max,"BACKLOG","MES CORRIENTE")))</f>
        <v/>
      </c>
      <c r="AD656" s="3">
        <f>IF(tblOrdenes[[#This Row],[backlog_habiles]]="",FALSE,AND(tblOrdenes[[#This Row],[backlog_habiles]]&gt;p_dias_backlog_min,tblOrdenes[[#This Row],[backlog_habiles]]&lt;=p_dias_backlog_max))</f>
        <v/>
      </c>
      <c r="AE656" s="6" t="n"/>
      <c r="AF6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6" s="11">
        <f>IF(tblOrdenes[[#This Row],[orden]]="","",_xlfn.XLOOKUP(tblOrdenes[[#This Row],[id_operacion]],tblEjecucion[id_operacion],tblEjecucion[precio],0))</f>
        <v/>
      </c>
      <c r="AJ656" s="11">
        <f>IF(tblOrdenes[[#This Row],[orden]]="","",MAX(0,_xlfn.XLOOKUP(tblOrdenes[[#This Row],[id_operacion]],tblEjecucion[id_operacion],tblEjecucion[costo_plan_total],0)-tblOrdenes[[#This Row],[costo_servicio]]))</f>
        <v/>
      </c>
      <c r="AK656" s="11">
        <f>IF(tblOrdenes[[#This Row],[orden]]="","",tblOrdenes[[#This Row],[costo_servicio]]+tblOrdenes[[#This Row],[costo_materiales]])</f>
        <v/>
      </c>
      <c r="AL656" s="6" t="n"/>
      <c r="AM656" s="6" t="n"/>
      <c r="AN656" s="6" t="n"/>
      <c r="AO656" s="3">
        <f>IF(tblOrdenes[[#This Row],[link_checklist]]="","",HYPERLINK(p_ruta_base_checklists&amp;tblOrdenes[[#This Row],[link_checklist]],"abrir"))</f>
        <v/>
      </c>
      <c r="AP656" s="6" t="n"/>
      <c r="AQ656" s="3">
        <f>IF(tblOrdenes[[#This Row],[orden]]="","",tblOrdenes[[#This Row],[orden]]&amp;IF(tblOrdenes[[#This Row],[operacion]]="","0010",tblOrdenes[[#This Row],[operacion]]))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2" t="n"/>
      <c r="K657" s="3" t="n"/>
      <c r="L657" s="11" t="n"/>
      <c r="M6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7" s="3">
        <f>IF(tblOrdenes[[#This Row],[fecha_inicio]]="","",YEAR(tblOrdenes[[#This Row],[fecha_inicio]]))</f>
        <v/>
      </c>
      <c r="Q657" s="3">
        <f>IF(tblOrdenes[[#This Row],[fecha_inicio]]="","",MONTH(tblOrdenes[[#This Row],[fecha_inicio]]))</f>
        <v/>
      </c>
      <c r="R657" s="3">
        <f>IF(tblOrdenes[[#This Row],[fecha_inicio]]="","",INDEX(lista_dias,WEEKDAY(tblOrdenes[[#This Row],[fecha_inicio]],2)))</f>
        <v/>
      </c>
      <c r="S6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7" s="3">
        <f>IF(tblOrdenes[[#This Row],[tipo_ot]]="","",_xlfn.XLOOKUP(tblOrdenes[[#This Row],[tipo_ot]],tblTiposOT[codigo],tblTiposOT[clasificacion],"sin_clasificar"))</f>
        <v/>
      </c>
      <c r="U657" s="3">
        <f>IF(tblOrdenes[[#This Row],[centro_costo]]="","",_xlfn.XLOOKUP(tblOrdenes[[#This Row],[centro_costo]],tblCECO[codigo],tblCECO[linea],"(sin catálogo)"))</f>
        <v/>
      </c>
      <c r="V657" s="3">
        <f>IF(tblOrdenes[[#This Row],[centro_costo]]="","",_xlfn.XLOOKUP(tblOrdenes[[#This Row],[centro_costo]],tblCECO[codigo],tblCECO[area],"(sin catálogo)"))</f>
        <v/>
      </c>
      <c r="W6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7" s="3">
        <f>IF(tblOrdenes[[#This Row],[centro_costo]]="","",_xlfn.XLOOKUP(tblOrdenes[[#This Row],[centro_costo]],tblCECO[codigo],tblCECO[coordinador],"(sin catálogo)"))</f>
        <v/>
      </c>
      <c r="Y657" s="3">
        <f>IF(tblOrdenes[[#This Row],[puesto_trabajo]]="","",_xlfn.XLOOKUP(tblOrdenes[[#This Row],[puesto_trabajo]],tblPuestos[codigo],tblPuestos[especialidad],"(sin catálogo)"))</f>
        <v/>
      </c>
      <c r="Z657" s="3">
        <f>IF(tblOrdenes[[#This Row],[cod_actividad]]="","",_xlfn.XLOOKUP(tblOrdenes[[#This Row],[cod_actividad]],tblActividades[codigo],tblActividades[descripcion],"(sin catálogo)"))</f>
        <v/>
      </c>
      <c r="AA657" s="13">
        <f>IF(tblOrdenes[[#This Row],[fecha_inicio]]="","",TODAY()-tblOrdenes[[#This Row],[fecha_inicio]])</f>
        <v/>
      </c>
      <c r="AB6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7" s="3">
        <f>IF(tblOrdenes[[#This Row],[backlog_habiles]]="","",IF(tblOrdenes[[#This Row],[backlog_habiles]]&lt;0,"FUTURO",IF(tblOrdenes[[#This Row],[backlog_habiles]]&gt;p_dias_backlog_max,"BACKLOG","MES CORRIENTE")))</f>
        <v/>
      </c>
      <c r="AD657" s="3">
        <f>IF(tblOrdenes[[#This Row],[backlog_habiles]]="",FALSE,AND(tblOrdenes[[#This Row],[backlog_habiles]]&gt;p_dias_backlog_min,tblOrdenes[[#This Row],[backlog_habiles]]&lt;=p_dias_backlog_max))</f>
        <v/>
      </c>
      <c r="AE657" s="6" t="n"/>
      <c r="AF6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7" s="11">
        <f>IF(tblOrdenes[[#This Row],[orden]]="","",_xlfn.XLOOKUP(tblOrdenes[[#This Row],[id_operacion]],tblEjecucion[id_operacion],tblEjecucion[precio],0))</f>
        <v/>
      </c>
      <c r="AJ657" s="11">
        <f>IF(tblOrdenes[[#This Row],[orden]]="","",MAX(0,_xlfn.XLOOKUP(tblOrdenes[[#This Row],[id_operacion]],tblEjecucion[id_operacion],tblEjecucion[costo_plan_total],0)-tblOrdenes[[#This Row],[costo_servicio]]))</f>
        <v/>
      </c>
      <c r="AK657" s="11">
        <f>IF(tblOrdenes[[#This Row],[orden]]="","",tblOrdenes[[#This Row],[costo_servicio]]+tblOrdenes[[#This Row],[costo_materiales]])</f>
        <v/>
      </c>
      <c r="AL657" s="6" t="n"/>
      <c r="AM657" s="6" t="n"/>
      <c r="AN657" s="6" t="n"/>
      <c r="AO657" s="3">
        <f>IF(tblOrdenes[[#This Row],[link_checklist]]="","",HYPERLINK(p_ruta_base_checklists&amp;tblOrdenes[[#This Row],[link_checklist]],"abrir"))</f>
        <v/>
      </c>
      <c r="AP657" s="6" t="n"/>
      <c r="AQ657" s="3">
        <f>IF(tblOrdenes[[#This Row],[orden]]="","",tblOrdenes[[#This Row],[orden]]&amp;IF(tblOrdenes[[#This Row],[operacion]]="","0010",tblOrdenes[[#This Row],[operacion]]))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2" t="n"/>
      <c r="K658" s="3" t="n"/>
      <c r="L658" s="11" t="n"/>
      <c r="M6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8" s="3">
        <f>IF(tblOrdenes[[#This Row],[fecha_inicio]]="","",YEAR(tblOrdenes[[#This Row],[fecha_inicio]]))</f>
        <v/>
      </c>
      <c r="Q658" s="3">
        <f>IF(tblOrdenes[[#This Row],[fecha_inicio]]="","",MONTH(tblOrdenes[[#This Row],[fecha_inicio]]))</f>
        <v/>
      </c>
      <c r="R658" s="3">
        <f>IF(tblOrdenes[[#This Row],[fecha_inicio]]="","",INDEX(lista_dias,WEEKDAY(tblOrdenes[[#This Row],[fecha_inicio]],2)))</f>
        <v/>
      </c>
      <c r="S6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8" s="3">
        <f>IF(tblOrdenes[[#This Row],[tipo_ot]]="","",_xlfn.XLOOKUP(tblOrdenes[[#This Row],[tipo_ot]],tblTiposOT[codigo],tblTiposOT[clasificacion],"sin_clasificar"))</f>
        <v/>
      </c>
      <c r="U658" s="3">
        <f>IF(tblOrdenes[[#This Row],[centro_costo]]="","",_xlfn.XLOOKUP(tblOrdenes[[#This Row],[centro_costo]],tblCECO[codigo],tblCECO[linea],"(sin catálogo)"))</f>
        <v/>
      </c>
      <c r="V658" s="3">
        <f>IF(tblOrdenes[[#This Row],[centro_costo]]="","",_xlfn.XLOOKUP(tblOrdenes[[#This Row],[centro_costo]],tblCECO[codigo],tblCECO[area],"(sin catálogo)"))</f>
        <v/>
      </c>
      <c r="W6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8" s="3">
        <f>IF(tblOrdenes[[#This Row],[centro_costo]]="","",_xlfn.XLOOKUP(tblOrdenes[[#This Row],[centro_costo]],tblCECO[codigo],tblCECO[coordinador],"(sin catálogo)"))</f>
        <v/>
      </c>
      <c r="Y658" s="3">
        <f>IF(tblOrdenes[[#This Row],[puesto_trabajo]]="","",_xlfn.XLOOKUP(tblOrdenes[[#This Row],[puesto_trabajo]],tblPuestos[codigo],tblPuestos[especialidad],"(sin catálogo)"))</f>
        <v/>
      </c>
      <c r="Z658" s="3">
        <f>IF(tblOrdenes[[#This Row],[cod_actividad]]="","",_xlfn.XLOOKUP(tblOrdenes[[#This Row],[cod_actividad]],tblActividades[codigo],tblActividades[descripcion],"(sin catálogo)"))</f>
        <v/>
      </c>
      <c r="AA658" s="13">
        <f>IF(tblOrdenes[[#This Row],[fecha_inicio]]="","",TODAY()-tblOrdenes[[#This Row],[fecha_inicio]])</f>
        <v/>
      </c>
      <c r="AB6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8" s="3">
        <f>IF(tblOrdenes[[#This Row],[backlog_habiles]]="","",IF(tblOrdenes[[#This Row],[backlog_habiles]]&lt;0,"FUTURO",IF(tblOrdenes[[#This Row],[backlog_habiles]]&gt;p_dias_backlog_max,"BACKLOG","MES CORRIENTE")))</f>
        <v/>
      </c>
      <c r="AD658" s="3">
        <f>IF(tblOrdenes[[#This Row],[backlog_habiles]]="",FALSE,AND(tblOrdenes[[#This Row],[backlog_habiles]]&gt;p_dias_backlog_min,tblOrdenes[[#This Row],[backlog_habiles]]&lt;=p_dias_backlog_max))</f>
        <v/>
      </c>
      <c r="AE658" s="6" t="n"/>
      <c r="AF6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8" s="11">
        <f>IF(tblOrdenes[[#This Row],[orden]]="","",_xlfn.XLOOKUP(tblOrdenes[[#This Row],[id_operacion]],tblEjecucion[id_operacion],tblEjecucion[precio],0))</f>
        <v/>
      </c>
      <c r="AJ658" s="11">
        <f>IF(tblOrdenes[[#This Row],[orden]]="","",MAX(0,_xlfn.XLOOKUP(tblOrdenes[[#This Row],[id_operacion]],tblEjecucion[id_operacion],tblEjecucion[costo_plan_total],0)-tblOrdenes[[#This Row],[costo_servicio]]))</f>
        <v/>
      </c>
      <c r="AK658" s="11">
        <f>IF(tblOrdenes[[#This Row],[orden]]="","",tblOrdenes[[#This Row],[costo_servicio]]+tblOrdenes[[#This Row],[costo_materiales]])</f>
        <v/>
      </c>
      <c r="AL658" s="6" t="n"/>
      <c r="AM658" s="6" t="n"/>
      <c r="AN658" s="6" t="n"/>
      <c r="AO658" s="3">
        <f>IF(tblOrdenes[[#This Row],[link_checklist]]="","",HYPERLINK(p_ruta_base_checklists&amp;tblOrdenes[[#This Row],[link_checklist]],"abrir"))</f>
        <v/>
      </c>
      <c r="AP658" s="6" t="n"/>
      <c r="AQ658" s="3">
        <f>IF(tblOrdenes[[#This Row],[orden]]="","",tblOrdenes[[#This Row],[orden]]&amp;IF(tblOrdenes[[#This Row],[operacion]]="","0010",tblOrdenes[[#This Row],[operacion]]))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2" t="n"/>
      <c r="K659" s="3" t="n"/>
      <c r="L659" s="11" t="n"/>
      <c r="M6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9" s="3">
        <f>IF(tblOrdenes[[#This Row],[fecha_inicio]]="","",YEAR(tblOrdenes[[#This Row],[fecha_inicio]]))</f>
        <v/>
      </c>
      <c r="Q659" s="3">
        <f>IF(tblOrdenes[[#This Row],[fecha_inicio]]="","",MONTH(tblOrdenes[[#This Row],[fecha_inicio]]))</f>
        <v/>
      </c>
      <c r="R659" s="3">
        <f>IF(tblOrdenes[[#This Row],[fecha_inicio]]="","",INDEX(lista_dias,WEEKDAY(tblOrdenes[[#This Row],[fecha_inicio]],2)))</f>
        <v/>
      </c>
      <c r="S6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9" s="3">
        <f>IF(tblOrdenes[[#This Row],[tipo_ot]]="","",_xlfn.XLOOKUP(tblOrdenes[[#This Row],[tipo_ot]],tblTiposOT[codigo],tblTiposOT[clasificacion],"sin_clasificar"))</f>
        <v/>
      </c>
      <c r="U659" s="3">
        <f>IF(tblOrdenes[[#This Row],[centro_costo]]="","",_xlfn.XLOOKUP(tblOrdenes[[#This Row],[centro_costo]],tblCECO[codigo],tblCECO[linea],"(sin catálogo)"))</f>
        <v/>
      </c>
      <c r="V659" s="3">
        <f>IF(tblOrdenes[[#This Row],[centro_costo]]="","",_xlfn.XLOOKUP(tblOrdenes[[#This Row],[centro_costo]],tblCECO[codigo],tblCECO[area],"(sin catálogo)"))</f>
        <v/>
      </c>
      <c r="W6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9" s="3">
        <f>IF(tblOrdenes[[#This Row],[centro_costo]]="","",_xlfn.XLOOKUP(tblOrdenes[[#This Row],[centro_costo]],tblCECO[codigo],tblCECO[coordinador],"(sin catálogo)"))</f>
        <v/>
      </c>
      <c r="Y659" s="3">
        <f>IF(tblOrdenes[[#This Row],[puesto_trabajo]]="","",_xlfn.XLOOKUP(tblOrdenes[[#This Row],[puesto_trabajo]],tblPuestos[codigo],tblPuestos[especialidad],"(sin catálogo)"))</f>
        <v/>
      </c>
      <c r="Z659" s="3">
        <f>IF(tblOrdenes[[#This Row],[cod_actividad]]="","",_xlfn.XLOOKUP(tblOrdenes[[#This Row],[cod_actividad]],tblActividades[codigo],tblActividades[descripcion],"(sin catálogo)"))</f>
        <v/>
      </c>
      <c r="AA659" s="13">
        <f>IF(tblOrdenes[[#This Row],[fecha_inicio]]="","",TODAY()-tblOrdenes[[#This Row],[fecha_inicio]])</f>
        <v/>
      </c>
      <c r="AB6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9" s="3">
        <f>IF(tblOrdenes[[#This Row],[backlog_habiles]]="","",IF(tblOrdenes[[#This Row],[backlog_habiles]]&lt;0,"FUTURO",IF(tblOrdenes[[#This Row],[backlog_habiles]]&gt;p_dias_backlog_max,"BACKLOG","MES CORRIENTE")))</f>
        <v/>
      </c>
      <c r="AD659" s="3">
        <f>IF(tblOrdenes[[#This Row],[backlog_habiles]]="",FALSE,AND(tblOrdenes[[#This Row],[backlog_habiles]]&gt;p_dias_backlog_min,tblOrdenes[[#This Row],[backlog_habiles]]&lt;=p_dias_backlog_max))</f>
        <v/>
      </c>
      <c r="AE659" s="6" t="n"/>
      <c r="AF6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9" s="11">
        <f>IF(tblOrdenes[[#This Row],[orden]]="","",_xlfn.XLOOKUP(tblOrdenes[[#This Row],[id_operacion]],tblEjecucion[id_operacion],tblEjecucion[precio],0))</f>
        <v/>
      </c>
      <c r="AJ659" s="11">
        <f>IF(tblOrdenes[[#This Row],[orden]]="","",MAX(0,_xlfn.XLOOKUP(tblOrdenes[[#This Row],[id_operacion]],tblEjecucion[id_operacion],tblEjecucion[costo_plan_total],0)-tblOrdenes[[#This Row],[costo_servicio]]))</f>
        <v/>
      </c>
      <c r="AK659" s="11">
        <f>IF(tblOrdenes[[#This Row],[orden]]="","",tblOrdenes[[#This Row],[costo_servicio]]+tblOrdenes[[#This Row],[costo_materiales]])</f>
        <v/>
      </c>
      <c r="AL659" s="6" t="n"/>
      <c r="AM659" s="6" t="n"/>
      <c r="AN659" s="6" t="n"/>
      <c r="AO659" s="3">
        <f>IF(tblOrdenes[[#This Row],[link_checklist]]="","",HYPERLINK(p_ruta_base_checklists&amp;tblOrdenes[[#This Row],[link_checklist]],"abrir"))</f>
        <v/>
      </c>
      <c r="AP659" s="6" t="n"/>
      <c r="AQ659" s="3">
        <f>IF(tblOrdenes[[#This Row],[orden]]="","",tblOrdenes[[#This Row],[orden]]&amp;IF(tblOrdenes[[#This Row],[operacion]]="","0010",tblOrdenes[[#This Row],[operacion]]))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2" t="n"/>
      <c r="K660" s="3" t="n"/>
      <c r="L660" s="11" t="n"/>
      <c r="M6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0" s="3">
        <f>IF(tblOrdenes[[#This Row],[fecha_inicio]]="","",YEAR(tblOrdenes[[#This Row],[fecha_inicio]]))</f>
        <v/>
      </c>
      <c r="Q660" s="3">
        <f>IF(tblOrdenes[[#This Row],[fecha_inicio]]="","",MONTH(tblOrdenes[[#This Row],[fecha_inicio]]))</f>
        <v/>
      </c>
      <c r="R660" s="3">
        <f>IF(tblOrdenes[[#This Row],[fecha_inicio]]="","",INDEX(lista_dias,WEEKDAY(tblOrdenes[[#This Row],[fecha_inicio]],2)))</f>
        <v/>
      </c>
      <c r="S6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0" s="3">
        <f>IF(tblOrdenes[[#This Row],[tipo_ot]]="","",_xlfn.XLOOKUP(tblOrdenes[[#This Row],[tipo_ot]],tblTiposOT[codigo],tblTiposOT[clasificacion],"sin_clasificar"))</f>
        <v/>
      </c>
      <c r="U660" s="3">
        <f>IF(tblOrdenes[[#This Row],[centro_costo]]="","",_xlfn.XLOOKUP(tblOrdenes[[#This Row],[centro_costo]],tblCECO[codigo],tblCECO[linea],"(sin catálogo)"))</f>
        <v/>
      </c>
      <c r="V660" s="3">
        <f>IF(tblOrdenes[[#This Row],[centro_costo]]="","",_xlfn.XLOOKUP(tblOrdenes[[#This Row],[centro_costo]],tblCECO[codigo],tblCECO[area],"(sin catálogo)"))</f>
        <v/>
      </c>
      <c r="W6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0" s="3">
        <f>IF(tblOrdenes[[#This Row],[centro_costo]]="","",_xlfn.XLOOKUP(tblOrdenes[[#This Row],[centro_costo]],tblCECO[codigo],tblCECO[coordinador],"(sin catálogo)"))</f>
        <v/>
      </c>
      <c r="Y660" s="3">
        <f>IF(tblOrdenes[[#This Row],[puesto_trabajo]]="","",_xlfn.XLOOKUP(tblOrdenes[[#This Row],[puesto_trabajo]],tblPuestos[codigo],tblPuestos[especialidad],"(sin catálogo)"))</f>
        <v/>
      </c>
      <c r="Z660" s="3">
        <f>IF(tblOrdenes[[#This Row],[cod_actividad]]="","",_xlfn.XLOOKUP(tblOrdenes[[#This Row],[cod_actividad]],tblActividades[codigo],tblActividades[descripcion],"(sin catálogo)"))</f>
        <v/>
      </c>
      <c r="AA660" s="13">
        <f>IF(tblOrdenes[[#This Row],[fecha_inicio]]="","",TODAY()-tblOrdenes[[#This Row],[fecha_inicio]])</f>
        <v/>
      </c>
      <c r="AB6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0" s="3">
        <f>IF(tblOrdenes[[#This Row],[backlog_habiles]]="","",IF(tblOrdenes[[#This Row],[backlog_habiles]]&lt;0,"FUTURO",IF(tblOrdenes[[#This Row],[backlog_habiles]]&gt;p_dias_backlog_max,"BACKLOG","MES CORRIENTE")))</f>
        <v/>
      </c>
      <c r="AD660" s="3">
        <f>IF(tblOrdenes[[#This Row],[backlog_habiles]]="",FALSE,AND(tblOrdenes[[#This Row],[backlog_habiles]]&gt;p_dias_backlog_min,tblOrdenes[[#This Row],[backlog_habiles]]&lt;=p_dias_backlog_max))</f>
        <v/>
      </c>
      <c r="AE660" s="6" t="n"/>
      <c r="AF6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0" s="11">
        <f>IF(tblOrdenes[[#This Row],[orden]]="","",_xlfn.XLOOKUP(tblOrdenes[[#This Row],[id_operacion]],tblEjecucion[id_operacion],tblEjecucion[precio],0))</f>
        <v/>
      </c>
      <c r="AJ660" s="11">
        <f>IF(tblOrdenes[[#This Row],[orden]]="","",MAX(0,_xlfn.XLOOKUP(tblOrdenes[[#This Row],[id_operacion]],tblEjecucion[id_operacion],tblEjecucion[costo_plan_total],0)-tblOrdenes[[#This Row],[costo_servicio]]))</f>
        <v/>
      </c>
      <c r="AK660" s="11">
        <f>IF(tblOrdenes[[#This Row],[orden]]="","",tblOrdenes[[#This Row],[costo_servicio]]+tblOrdenes[[#This Row],[costo_materiales]])</f>
        <v/>
      </c>
      <c r="AL660" s="6" t="n"/>
      <c r="AM660" s="6" t="n"/>
      <c r="AN660" s="6" t="n"/>
      <c r="AO660" s="3">
        <f>IF(tblOrdenes[[#This Row],[link_checklist]]="","",HYPERLINK(p_ruta_base_checklists&amp;tblOrdenes[[#This Row],[link_checklist]],"abrir"))</f>
        <v/>
      </c>
      <c r="AP660" s="6" t="n"/>
      <c r="AQ660" s="3">
        <f>IF(tblOrdenes[[#This Row],[orden]]="","",tblOrdenes[[#This Row],[orden]]&amp;IF(tblOrdenes[[#This Row],[operacion]]="","0010",tblOrdenes[[#This Row],[operacion]]))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2" t="n"/>
      <c r="K661" s="3" t="n"/>
      <c r="L661" s="11" t="n"/>
      <c r="M6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1" s="3">
        <f>IF(tblOrdenes[[#This Row],[fecha_inicio]]="","",YEAR(tblOrdenes[[#This Row],[fecha_inicio]]))</f>
        <v/>
      </c>
      <c r="Q661" s="3">
        <f>IF(tblOrdenes[[#This Row],[fecha_inicio]]="","",MONTH(tblOrdenes[[#This Row],[fecha_inicio]]))</f>
        <v/>
      </c>
      <c r="R661" s="3">
        <f>IF(tblOrdenes[[#This Row],[fecha_inicio]]="","",INDEX(lista_dias,WEEKDAY(tblOrdenes[[#This Row],[fecha_inicio]],2)))</f>
        <v/>
      </c>
      <c r="S6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1" s="3">
        <f>IF(tblOrdenes[[#This Row],[tipo_ot]]="","",_xlfn.XLOOKUP(tblOrdenes[[#This Row],[tipo_ot]],tblTiposOT[codigo],tblTiposOT[clasificacion],"sin_clasificar"))</f>
        <v/>
      </c>
      <c r="U661" s="3">
        <f>IF(tblOrdenes[[#This Row],[centro_costo]]="","",_xlfn.XLOOKUP(tblOrdenes[[#This Row],[centro_costo]],tblCECO[codigo],tblCECO[linea],"(sin catálogo)"))</f>
        <v/>
      </c>
      <c r="V661" s="3">
        <f>IF(tblOrdenes[[#This Row],[centro_costo]]="","",_xlfn.XLOOKUP(tblOrdenes[[#This Row],[centro_costo]],tblCECO[codigo],tblCECO[area],"(sin catálogo)"))</f>
        <v/>
      </c>
      <c r="W6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1" s="3">
        <f>IF(tblOrdenes[[#This Row],[centro_costo]]="","",_xlfn.XLOOKUP(tblOrdenes[[#This Row],[centro_costo]],tblCECO[codigo],tblCECO[coordinador],"(sin catálogo)"))</f>
        <v/>
      </c>
      <c r="Y661" s="3">
        <f>IF(tblOrdenes[[#This Row],[puesto_trabajo]]="","",_xlfn.XLOOKUP(tblOrdenes[[#This Row],[puesto_trabajo]],tblPuestos[codigo],tblPuestos[especialidad],"(sin catálogo)"))</f>
        <v/>
      </c>
      <c r="Z661" s="3">
        <f>IF(tblOrdenes[[#This Row],[cod_actividad]]="","",_xlfn.XLOOKUP(tblOrdenes[[#This Row],[cod_actividad]],tblActividades[codigo],tblActividades[descripcion],"(sin catálogo)"))</f>
        <v/>
      </c>
      <c r="AA661" s="13">
        <f>IF(tblOrdenes[[#This Row],[fecha_inicio]]="","",TODAY()-tblOrdenes[[#This Row],[fecha_inicio]])</f>
        <v/>
      </c>
      <c r="AB6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1" s="3">
        <f>IF(tblOrdenes[[#This Row],[backlog_habiles]]="","",IF(tblOrdenes[[#This Row],[backlog_habiles]]&lt;0,"FUTURO",IF(tblOrdenes[[#This Row],[backlog_habiles]]&gt;p_dias_backlog_max,"BACKLOG","MES CORRIENTE")))</f>
        <v/>
      </c>
      <c r="AD661" s="3">
        <f>IF(tblOrdenes[[#This Row],[backlog_habiles]]="",FALSE,AND(tblOrdenes[[#This Row],[backlog_habiles]]&gt;p_dias_backlog_min,tblOrdenes[[#This Row],[backlog_habiles]]&lt;=p_dias_backlog_max))</f>
        <v/>
      </c>
      <c r="AE661" s="6" t="n"/>
      <c r="AF6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1" s="11">
        <f>IF(tblOrdenes[[#This Row],[orden]]="","",_xlfn.XLOOKUP(tblOrdenes[[#This Row],[id_operacion]],tblEjecucion[id_operacion],tblEjecucion[precio],0))</f>
        <v/>
      </c>
      <c r="AJ661" s="11">
        <f>IF(tblOrdenes[[#This Row],[orden]]="","",MAX(0,_xlfn.XLOOKUP(tblOrdenes[[#This Row],[id_operacion]],tblEjecucion[id_operacion],tblEjecucion[costo_plan_total],0)-tblOrdenes[[#This Row],[costo_servicio]]))</f>
        <v/>
      </c>
      <c r="AK661" s="11">
        <f>IF(tblOrdenes[[#This Row],[orden]]="","",tblOrdenes[[#This Row],[costo_servicio]]+tblOrdenes[[#This Row],[costo_materiales]])</f>
        <v/>
      </c>
      <c r="AL661" s="6" t="n"/>
      <c r="AM661" s="6" t="n"/>
      <c r="AN661" s="6" t="n"/>
      <c r="AO661" s="3">
        <f>IF(tblOrdenes[[#This Row],[link_checklist]]="","",HYPERLINK(p_ruta_base_checklists&amp;tblOrdenes[[#This Row],[link_checklist]],"abrir"))</f>
        <v/>
      </c>
      <c r="AP661" s="6" t="n"/>
      <c r="AQ661" s="3">
        <f>IF(tblOrdenes[[#This Row],[orden]]="","",tblOrdenes[[#This Row],[orden]]&amp;IF(tblOrdenes[[#This Row],[operacion]]="","0010",tblOrdenes[[#This Row],[operacion]]))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2" t="n"/>
      <c r="K662" s="3" t="n"/>
      <c r="L662" s="11" t="n"/>
      <c r="M6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2" s="3">
        <f>IF(tblOrdenes[[#This Row],[fecha_inicio]]="","",YEAR(tblOrdenes[[#This Row],[fecha_inicio]]))</f>
        <v/>
      </c>
      <c r="Q662" s="3">
        <f>IF(tblOrdenes[[#This Row],[fecha_inicio]]="","",MONTH(tblOrdenes[[#This Row],[fecha_inicio]]))</f>
        <v/>
      </c>
      <c r="R662" s="3">
        <f>IF(tblOrdenes[[#This Row],[fecha_inicio]]="","",INDEX(lista_dias,WEEKDAY(tblOrdenes[[#This Row],[fecha_inicio]],2)))</f>
        <v/>
      </c>
      <c r="S6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2" s="3">
        <f>IF(tblOrdenes[[#This Row],[tipo_ot]]="","",_xlfn.XLOOKUP(tblOrdenes[[#This Row],[tipo_ot]],tblTiposOT[codigo],tblTiposOT[clasificacion],"sin_clasificar"))</f>
        <v/>
      </c>
      <c r="U662" s="3">
        <f>IF(tblOrdenes[[#This Row],[centro_costo]]="","",_xlfn.XLOOKUP(tblOrdenes[[#This Row],[centro_costo]],tblCECO[codigo],tblCECO[linea],"(sin catálogo)"))</f>
        <v/>
      </c>
      <c r="V662" s="3">
        <f>IF(tblOrdenes[[#This Row],[centro_costo]]="","",_xlfn.XLOOKUP(tblOrdenes[[#This Row],[centro_costo]],tblCECO[codigo],tblCECO[area],"(sin catálogo)"))</f>
        <v/>
      </c>
      <c r="W6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2" s="3">
        <f>IF(tblOrdenes[[#This Row],[centro_costo]]="","",_xlfn.XLOOKUP(tblOrdenes[[#This Row],[centro_costo]],tblCECO[codigo],tblCECO[coordinador],"(sin catálogo)"))</f>
        <v/>
      </c>
      <c r="Y662" s="3">
        <f>IF(tblOrdenes[[#This Row],[puesto_trabajo]]="","",_xlfn.XLOOKUP(tblOrdenes[[#This Row],[puesto_trabajo]],tblPuestos[codigo],tblPuestos[especialidad],"(sin catálogo)"))</f>
        <v/>
      </c>
      <c r="Z662" s="3">
        <f>IF(tblOrdenes[[#This Row],[cod_actividad]]="","",_xlfn.XLOOKUP(tblOrdenes[[#This Row],[cod_actividad]],tblActividades[codigo],tblActividades[descripcion],"(sin catálogo)"))</f>
        <v/>
      </c>
      <c r="AA662" s="13">
        <f>IF(tblOrdenes[[#This Row],[fecha_inicio]]="","",TODAY()-tblOrdenes[[#This Row],[fecha_inicio]])</f>
        <v/>
      </c>
      <c r="AB6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2" s="3">
        <f>IF(tblOrdenes[[#This Row],[backlog_habiles]]="","",IF(tblOrdenes[[#This Row],[backlog_habiles]]&lt;0,"FUTURO",IF(tblOrdenes[[#This Row],[backlog_habiles]]&gt;p_dias_backlog_max,"BACKLOG","MES CORRIENTE")))</f>
        <v/>
      </c>
      <c r="AD662" s="3">
        <f>IF(tblOrdenes[[#This Row],[backlog_habiles]]="",FALSE,AND(tblOrdenes[[#This Row],[backlog_habiles]]&gt;p_dias_backlog_min,tblOrdenes[[#This Row],[backlog_habiles]]&lt;=p_dias_backlog_max))</f>
        <v/>
      </c>
      <c r="AE662" s="6" t="n"/>
      <c r="AF6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2" s="11">
        <f>IF(tblOrdenes[[#This Row],[orden]]="","",_xlfn.XLOOKUP(tblOrdenes[[#This Row],[id_operacion]],tblEjecucion[id_operacion],tblEjecucion[precio],0))</f>
        <v/>
      </c>
      <c r="AJ662" s="11">
        <f>IF(tblOrdenes[[#This Row],[orden]]="","",MAX(0,_xlfn.XLOOKUP(tblOrdenes[[#This Row],[id_operacion]],tblEjecucion[id_operacion],tblEjecucion[costo_plan_total],0)-tblOrdenes[[#This Row],[costo_servicio]]))</f>
        <v/>
      </c>
      <c r="AK662" s="11">
        <f>IF(tblOrdenes[[#This Row],[orden]]="","",tblOrdenes[[#This Row],[costo_servicio]]+tblOrdenes[[#This Row],[costo_materiales]])</f>
        <v/>
      </c>
      <c r="AL662" s="6" t="n"/>
      <c r="AM662" s="6" t="n"/>
      <c r="AN662" s="6" t="n"/>
      <c r="AO662" s="3">
        <f>IF(tblOrdenes[[#This Row],[link_checklist]]="","",HYPERLINK(p_ruta_base_checklists&amp;tblOrdenes[[#This Row],[link_checklist]],"abrir"))</f>
        <v/>
      </c>
      <c r="AP662" s="6" t="n"/>
      <c r="AQ662" s="3">
        <f>IF(tblOrdenes[[#This Row],[orden]]="","",tblOrdenes[[#This Row],[orden]]&amp;IF(tblOrdenes[[#This Row],[operacion]]="","0010",tblOrdenes[[#This Row],[operacion]]))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2" t="n"/>
      <c r="K663" s="3" t="n"/>
      <c r="L663" s="11" t="n"/>
      <c r="M6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3" s="3">
        <f>IF(tblOrdenes[[#This Row],[fecha_inicio]]="","",YEAR(tblOrdenes[[#This Row],[fecha_inicio]]))</f>
        <v/>
      </c>
      <c r="Q663" s="3">
        <f>IF(tblOrdenes[[#This Row],[fecha_inicio]]="","",MONTH(tblOrdenes[[#This Row],[fecha_inicio]]))</f>
        <v/>
      </c>
      <c r="R663" s="3">
        <f>IF(tblOrdenes[[#This Row],[fecha_inicio]]="","",INDEX(lista_dias,WEEKDAY(tblOrdenes[[#This Row],[fecha_inicio]],2)))</f>
        <v/>
      </c>
      <c r="S6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3" s="3">
        <f>IF(tblOrdenes[[#This Row],[tipo_ot]]="","",_xlfn.XLOOKUP(tblOrdenes[[#This Row],[tipo_ot]],tblTiposOT[codigo],tblTiposOT[clasificacion],"sin_clasificar"))</f>
        <v/>
      </c>
      <c r="U663" s="3">
        <f>IF(tblOrdenes[[#This Row],[centro_costo]]="","",_xlfn.XLOOKUP(tblOrdenes[[#This Row],[centro_costo]],tblCECO[codigo],tblCECO[linea],"(sin catálogo)"))</f>
        <v/>
      </c>
      <c r="V663" s="3">
        <f>IF(tblOrdenes[[#This Row],[centro_costo]]="","",_xlfn.XLOOKUP(tblOrdenes[[#This Row],[centro_costo]],tblCECO[codigo],tblCECO[area],"(sin catálogo)"))</f>
        <v/>
      </c>
      <c r="W6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3" s="3">
        <f>IF(tblOrdenes[[#This Row],[centro_costo]]="","",_xlfn.XLOOKUP(tblOrdenes[[#This Row],[centro_costo]],tblCECO[codigo],tblCECO[coordinador],"(sin catálogo)"))</f>
        <v/>
      </c>
      <c r="Y663" s="3">
        <f>IF(tblOrdenes[[#This Row],[puesto_trabajo]]="","",_xlfn.XLOOKUP(tblOrdenes[[#This Row],[puesto_trabajo]],tblPuestos[codigo],tblPuestos[especialidad],"(sin catálogo)"))</f>
        <v/>
      </c>
      <c r="Z663" s="3">
        <f>IF(tblOrdenes[[#This Row],[cod_actividad]]="","",_xlfn.XLOOKUP(tblOrdenes[[#This Row],[cod_actividad]],tblActividades[codigo],tblActividades[descripcion],"(sin catálogo)"))</f>
        <v/>
      </c>
      <c r="AA663" s="13">
        <f>IF(tblOrdenes[[#This Row],[fecha_inicio]]="","",TODAY()-tblOrdenes[[#This Row],[fecha_inicio]])</f>
        <v/>
      </c>
      <c r="AB6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3" s="3">
        <f>IF(tblOrdenes[[#This Row],[backlog_habiles]]="","",IF(tblOrdenes[[#This Row],[backlog_habiles]]&lt;0,"FUTURO",IF(tblOrdenes[[#This Row],[backlog_habiles]]&gt;p_dias_backlog_max,"BACKLOG","MES CORRIENTE")))</f>
        <v/>
      </c>
      <c r="AD663" s="3">
        <f>IF(tblOrdenes[[#This Row],[backlog_habiles]]="",FALSE,AND(tblOrdenes[[#This Row],[backlog_habiles]]&gt;p_dias_backlog_min,tblOrdenes[[#This Row],[backlog_habiles]]&lt;=p_dias_backlog_max))</f>
        <v/>
      </c>
      <c r="AE663" s="6" t="n"/>
      <c r="AF6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3" s="11">
        <f>IF(tblOrdenes[[#This Row],[orden]]="","",_xlfn.XLOOKUP(tblOrdenes[[#This Row],[id_operacion]],tblEjecucion[id_operacion],tblEjecucion[precio],0))</f>
        <v/>
      </c>
      <c r="AJ663" s="11">
        <f>IF(tblOrdenes[[#This Row],[orden]]="","",MAX(0,_xlfn.XLOOKUP(tblOrdenes[[#This Row],[id_operacion]],tblEjecucion[id_operacion],tblEjecucion[costo_plan_total],0)-tblOrdenes[[#This Row],[costo_servicio]]))</f>
        <v/>
      </c>
      <c r="AK663" s="11">
        <f>IF(tblOrdenes[[#This Row],[orden]]="","",tblOrdenes[[#This Row],[costo_servicio]]+tblOrdenes[[#This Row],[costo_materiales]])</f>
        <v/>
      </c>
      <c r="AL663" s="6" t="n"/>
      <c r="AM663" s="6" t="n"/>
      <c r="AN663" s="6" t="n"/>
      <c r="AO663" s="3">
        <f>IF(tblOrdenes[[#This Row],[link_checklist]]="","",HYPERLINK(p_ruta_base_checklists&amp;tblOrdenes[[#This Row],[link_checklist]],"abrir"))</f>
        <v/>
      </c>
      <c r="AP663" s="6" t="n"/>
      <c r="AQ663" s="3">
        <f>IF(tblOrdenes[[#This Row],[orden]]="","",tblOrdenes[[#This Row],[orden]]&amp;IF(tblOrdenes[[#This Row],[operacion]]="","0010",tblOrdenes[[#This Row],[operacion]]))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2" t="n"/>
      <c r="K664" s="3" t="n"/>
      <c r="L664" s="11" t="n"/>
      <c r="M6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4" s="3">
        <f>IF(tblOrdenes[[#This Row],[fecha_inicio]]="","",YEAR(tblOrdenes[[#This Row],[fecha_inicio]]))</f>
        <v/>
      </c>
      <c r="Q664" s="3">
        <f>IF(tblOrdenes[[#This Row],[fecha_inicio]]="","",MONTH(tblOrdenes[[#This Row],[fecha_inicio]]))</f>
        <v/>
      </c>
      <c r="R664" s="3">
        <f>IF(tblOrdenes[[#This Row],[fecha_inicio]]="","",INDEX(lista_dias,WEEKDAY(tblOrdenes[[#This Row],[fecha_inicio]],2)))</f>
        <v/>
      </c>
      <c r="S6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4" s="3">
        <f>IF(tblOrdenes[[#This Row],[tipo_ot]]="","",_xlfn.XLOOKUP(tblOrdenes[[#This Row],[tipo_ot]],tblTiposOT[codigo],tblTiposOT[clasificacion],"sin_clasificar"))</f>
        <v/>
      </c>
      <c r="U664" s="3">
        <f>IF(tblOrdenes[[#This Row],[centro_costo]]="","",_xlfn.XLOOKUP(tblOrdenes[[#This Row],[centro_costo]],tblCECO[codigo],tblCECO[linea],"(sin catálogo)"))</f>
        <v/>
      </c>
      <c r="V664" s="3">
        <f>IF(tblOrdenes[[#This Row],[centro_costo]]="","",_xlfn.XLOOKUP(tblOrdenes[[#This Row],[centro_costo]],tblCECO[codigo],tblCECO[area],"(sin catálogo)"))</f>
        <v/>
      </c>
      <c r="W6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4" s="3">
        <f>IF(tblOrdenes[[#This Row],[centro_costo]]="","",_xlfn.XLOOKUP(tblOrdenes[[#This Row],[centro_costo]],tblCECO[codigo],tblCECO[coordinador],"(sin catálogo)"))</f>
        <v/>
      </c>
      <c r="Y664" s="3">
        <f>IF(tblOrdenes[[#This Row],[puesto_trabajo]]="","",_xlfn.XLOOKUP(tblOrdenes[[#This Row],[puesto_trabajo]],tblPuestos[codigo],tblPuestos[especialidad],"(sin catálogo)"))</f>
        <v/>
      </c>
      <c r="Z664" s="3">
        <f>IF(tblOrdenes[[#This Row],[cod_actividad]]="","",_xlfn.XLOOKUP(tblOrdenes[[#This Row],[cod_actividad]],tblActividades[codigo],tblActividades[descripcion],"(sin catálogo)"))</f>
        <v/>
      </c>
      <c r="AA664" s="13">
        <f>IF(tblOrdenes[[#This Row],[fecha_inicio]]="","",TODAY()-tblOrdenes[[#This Row],[fecha_inicio]])</f>
        <v/>
      </c>
      <c r="AB6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4" s="3">
        <f>IF(tblOrdenes[[#This Row],[backlog_habiles]]="","",IF(tblOrdenes[[#This Row],[backlog_habiles]]&lt;0,"FUTURO",IF(tblOrdenes[[#This Row],[backlog_habiles]]&gt;p_dias_backlog_max,"BACKLOG","MES CORRIENTE")))</f>
        <v/>
      </c>
      <c r="AD664" s="3">
        <f>IF(tblOrdenes[[#This Row],[backlog_habiles]]="",FALSE,AND(tblOrdenes[[#This Row],[backlog_habiles]]&gt;p_dias_backlog_min,tblOrdenes[[#This Row],[backlog_habiles]]&lt;=p_dias_backlog_max))</f>
        <v/>
      </c>
      <c r="AE664" s="6" t="n"/>
      <c r="AF6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4" s="11">
        <f>IF(tblOrdenes[[#This Row],[orden]]="","",_xlfn.XLOOKUP(tblOrdenes[[#This Row],[id_operacion]],tblEjecucion[id_operacion],tblEjecucion[precio],0))</f>
        <v/>
      </c>
      <c r="AJ664" s="11">
        <f>IF(tblOrdenes[[#This Row],[orden]]="","",MAX(0,_xlfn.XLOOKUP(tblOrdenes[[#This Row],[id_operacion]],tblEjecucion[id_operacion],tblEjecucion[costo_plan_total],0)-tblOrdenes[[#This Row],[costo_servicio]]))</f>
        <v/>
      </c>
      <c r="AK664" s="11">
        <f>IF(tblOrdenes[[#This Row],[orden]]="","",tblOrdenes[[#This Row],[costo_servicio]]+tblOrdenes[[#This Row],[costo_materiales]])</f>
        <v/>
      </c>
      <c r="AL664" s="6" t="n"/>
      <c r="AM664" s="6" t="n"/>
      <c r="AN664" s="6" t="n"/>
      <c r="AO664" s="3">
        <f>IF(tblOrdenes[[#This Row],[link_checklist]]="","",HYPERLINK(p_ruta_base_checklists&amp;tblOrdenes[[#This Row],[link_checklist]],"abrir"))</f>
        <v/>
      </c>
      <c r="AP664" s="6" t="n"/>
      <c r="AQ664" s="3">
        <f>IF(tblOrdenes[[#This Row],[orden]]="","",tblOrdenes[[#This Row],[orden]]&amp;IF(tblOrdenes[[#This Row],[operacion]]="","0010",tblOrdenes[[#This Row],[operacion]]))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2" t="n"/>
      <c r="K665" s="3" t="n"/>
      <c r="L665" s="11" t="n"/>
      <c r="M6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5" s="3">
        <f>IF(tblOrdenes[[#This Row],[fecha_inicio]]="","",YEAR(tblOrdenes[[#This Row],[fecha_inicio]]))</f>
        <v/>
      </c>
      <c r="Q665" s="3">
        <f>IF(tblOrdenes[[#This Row],[fecha_inicio]]="","",MONTH(tblOrdenes[[#This Row],[fecha_inicio]]))</f>
        <v/>
      </c>
      <c r="R665" s="3">
        <f>IF(tblOrdenes[[#This Row],[fecha_inicio]]="","",INDEX(lista_dias,WEEKDAY(tblOrdenes[[#This Row],[fecha_inicio]],2)))</f>
        <v/>
      </c>
      <c r="S6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5" s="3">
        <f>IF(tblOrdenes[[#This Row],[tipo_ot]]="","",_xlfn.XLOOKUP(tblOrdenes[[#This Row],[tipo_ot]],tblTiposOT[codigo],tblTiposOT[clasificacion],"sin_clasificar"))</f>
        <v/>
      </c>
      <c r="U665" s="3">
        <f>IF(tblOrdenes[[#This Row],[centro_costo]]="","",_xlfn.XLOOKUP(tblOrdenes[[#This Row],[centro_costo]],tblCECO[codigo],tblCECO[linea],"(sin catálogo)"))</f>
        <v/>
      </c>
      <c r="V665" s="3">
        <f>IF(tblOrdenes[[#This Row],[centro_costo]]="","",_xlfn.XLOOKUP(tblOrdenes[[#This Row],[centro_costo]],tblCECO[codigo],tblCECO[area],"(sin catálogo)"))</f>
        <v/>
      </c>
      <c r="W6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5" s="3">
        <f>IF(tblOrdenes[[#This Row],[centro_costo]]="","",_xlfn.XLOOKUP(tblOrdenes[[#This Row],[centro_costo]],tblCECO[codigo],tblCECO[coordinador],"(sin catálogo)"))</f>
        <v/>
      </c>
      <c r="Y665" s="3">
        <f>IF(tblOrdenes[[#This Row],[puesto_trabajo]]="","",_xlfn.XLOOKUP(tblOrdenes[[#This Row],[puesto_trabajo]],tblPuestos[codigo],tblPuestos[especialidad],"(sin catálogo)"))</f>
        <v/>
      </c>
      <c r="Z665" s="3">
        <f>IF(tblOrdenes[[#This Row],[cod_actividad]]="","",_xlfn.XLOOKUP(tblOrdenes[[#This Row],[cod_actividad]],tblActividades[codigo],tblActividades[descripcion],"(sin catálogo)"))</f>
        <v/>
      </c>
      <c r="AA665" s="13">
        <f>IF(tblOrdenes[[#This Row],[fecha_inicio]]="","",TODAY()-tblOrdenes[[#This Row],[fecha_inicio]])</f>
        <v/>
      </c>
      <c r="AB6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5" s="3">
        <f>IF(tblOrdenes[[#This Row],[backlog_habiles]]="","",IF(tblOrdenes[[#This Row],[backlog_habiles]]&lt;0,"FUTURO",IF(tblOrdenes[[#This Row],[backlog_habiles]]&gt;p_dias_backlog_max,"BACKLOG","MES CORRIENTE")))</f>
        <v/>
      </c>
      <c r="AD665" s="3">
        <f>IF(tblOrdenes[[#This Row],[backlog_habiles]]="",FALSE,AND(tblOrdenes[[#This Row],[backlog_habiles]]&gt;p_dias_backlog_min,tblOrdenes[[#This Row],[backlog_habiles]]&lt;=p_dias_backlog_max))</f>
        <v/>
      </c>
      <c r="AE665" s="6" t="n"/>
      <c r="AF6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5" s="11">
        <f>IF(tblOrdenes[[#This Row],[orden]]="","",_xlfn.XLOOKUP(tblOrdenes[[#This Row],[id_operacion]],tblEjecucion[id_operacion],tblEjecucion[precio],0))</f>
        <v/>
      </c>
      <c r="AJ665" s="11">
        <f>IF(tblOrdenes[[#This Row],[orden]]="","",MAX(0,_xlfn.XLOOKUP(tblOrdenes[[#This Row],[id_operacion]],tblEjecucion[id_operacion],tblEjecucion[costo_plan_total],0)-tblOrdenes[[#This Row],[costo_servicio]]))</f>
        <v/>
      </c>
      <c r="AK665" s="11">
        <f>IF(tblOrdenes[[#This Row],[orden]]="","",tblOrdenes[[#This Row],[costo_servicio]]+tblOrdenes[[#This Row],[costo_materiales]])</f>
        <v/>
      </c>
      <c r="AL665" s="6" t="n"/>
      <c r="AM665" s="6" t="n"/>
      <c r="AN665" s="6" t="n"/>
      <c r="AO665" s="3">
        <f>IF(tblOrdenes[[#This Row],[link_checklist]]="","",HYPERLINK(p_ruta_base_checklists&amp;tblOrdenes[[#This Row],[link_checklist]],"abrir"))</f>
        <v/>
      </c>
      <c r="AP665" s="6" t="n"/>
      <c r="AQ665" s="3">
        <f>IF(tblOrdenes[[#This Row],[orden]]="","",tblOrdenes[[#This Row],[orden]]&amp;IF(tblOrdenes[[#This Row],[operacion]]="","0010",tblOrdenes[[#This Row],[operacion]]))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2" t="n"/>
      <c r="K666" s="3" t="n"/>
      <c r="L666" s="11" t="n"/>
      <c r="M6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6" s="3">
        <f>IF(tblOrdenes[[#This Row],[fecha_inicio]]="","",YEAR(tblOrdenes[[#This Row],[fecha_inicio]]))</f>
        <v/>
      </c>
      <c r="Q666" s="3">
        <f>IF(tblOrdenes[[#This Row],[fecha_inicio]]="","",MONTH(tblOrdenes[[#This Row],[fecha_inicio]]))</f>
        <v/>
      </c>
      <c r="R666" s="3">
        <f>IF(tblOrdenes[[#This Row],[fecha_inicio]]="","",INDEX(lista_dias,WEEKDAY(tblOrdenes[[#This Row],[fecha_inicio]],2)))</f>
        <v/>
      </c>
      <c r="S6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6" s="3">
        <f>IF(tblOrdenes[[#This Row],[tipo_ot]]="","",_xlfn.XLOOKUP(tblOrdenes[[#This Row],[tipo_ot]],tblTiposOT[codigo],tblTiposOT[clasificacion],"sin_clasificar"))</f>
        <v/>
      </c>
      <c r="U666" s="3">
        <f>IF(tblOrdenes[[#This Row],[centro_costo]]="","",_xlfn.XLOOKUP(tblOrdenes[[#This Row],[centro_costo]],tblCECO[codigo],tblCECO[linea],"(sin catálogo)"))</f>
        <v/>
      </c>
      <c r="V666" s="3">
        <f>IF(tblOrdenes[[#This Row],[centro_costo]]="","",_xlfn.XLOOKUP(tblOrdenes[[#This Row],[centro_costo]],tblCECO[codigo],tblCECO[area],"(sin catálogo)"))</f>
        <v/>
      </c>
      <c r="W6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6" s="3">
        <f>IF(tblOrdenes[[#This Row],[centro_costo]]="","",_xlfn.XLOOKUP(tblOrdenes[[#This Row],[centro_costo]],tblCECO[codigo],tblCECO[coordinador],"(sin catálogo)"))</f>
        <v/>
      </c>
      <c r="Y666" s="3">
        <f>IF(tblOrdenes[[#This Row],[puesto_trabajo]]="","",_xlfn.XLOOKUP(tblOrdenes[[#This Row],[puesto_trabajo]],tblPuestos[codigo],tblPuestos[especialidad],"(sin catálogo)"))</f>
        <v/>
      </c>
      <c r="Z666" s="3">
        <f>IF(tblOrdenes[[#This Row],[cod_actividad]]="","",_xlfn.XLOOKUP(tblOrdenes[[#This Row],[cod_actividad]],tblActividades[codigo],tblActividades[descripcion],"(sin catálogo)"))</f>
        <v/>
      </c>
      <c r="AA666" s="13">
        <f>IF(tblOrdenes[[#This Row],[fecha_inicio]]="","",TODAY()-tblOrdenes[[#This Row],[fecha_inicio]])</f>
        <v/>
      </c>
      <c r="AB6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6" s="3">
        <f>IF(tblOrdenes[[#This Row],[backlog_habiles]]="","",IF(tblOrdenes[[#This Row],[backlog_habiles]]&lt;0,"FUTURO",IF(tblOrdenes[[#This Row],[backlog_habiles]]&gt;p_dias_backlog_max,"BACKLOG","MES CORRIENTE")))</f>
        <v/>
      </c>
      <c r="AD666" s="3">
        <f>IF(tblOrdenes[[#This Row],[backlog_habiles]]="",FALSE,AND(tblOrdenes[[#This Row],[backlog_habiles]]&gt;p_dias_backlog_min,tblOrdenes[[#This Row],[backlog_habiles]]&lt;=p_dias_backlog_max))</f>
        <v/>
      </c>
      <c r="AE666" s="6" t="n"/>
      <c r="AF6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6" s="11">
        <f>IF(tblOrdenes[[#This Row],[orden]]="","",_xlfn.XLOOKUP(tblOrdenes[[#This Row],[id_operacion]],tblEjecucion[id_operacion],tblEjecucion[precio],0))</f>
        <v/>
      </c>
      <c r="AJ666" s="11">
        <f>IF(tblOrdenes[[#This Row],[orden]]="","",MAX(0,_xlfn.XLOOKUP(tblOrdenes[[#This Row],[id_operacion]],tblEjecucion[id_operacion],tblEjecucion[costo_plan_total],0)-tblOrdenes[[#This Row],[costo_servicio]]))</f>
        <v/>
      </c>
      <c r="AK666" s="11">
        <f>IF(tblOrdenes[[#This Row],[orden]]="","",tblOrdenes[[#This Row],[costo_servicio]]+tblOrdenes[[#This Row],[costo_materiales]])</f>
        <v/>
      </c>
      <c r="AL666" s="6" t="n"/>
      <c r="AM666" s="6" t="n"/>
      <c r="AN666" s="6" t="n"/>
      <c r="AO666" s="3">
        <f>IF(tblOrdenes[[#This Row],[link_checklist]]="","",HYPERLINK(p_ruta_base_checklists&amp;tblOrdenes[[#This Row],[link_checklist]],"abrir"))</f>
        <v/>
      </c>
      <c r="AP666" s="6" t="n"/>
      <c r="AQ666" s="3">
        <f>IF(tblOrdenes[[#This Row],[orden]]="","",tblOrdenes[[#This Row],[orden]]&amp;IF(tblOrdenes[[#This Row],[operacion]]="","0010",tblOrdenes[[#This Row],[operacion]]))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2" t="n"/>
      <c r="K667" s="3" t="n"/>
      <c r="L667" s="11" t="n"/>
      <c r="M6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7" s="3">
        <f>IF(tblOrdenes[[#This Row],[fecha_inicio]]="","",YEAR(tblOrdenes[[#This Row],[fecha_inicio]]))</f>
        <v/>
      </c>
      <c r="Q667" s="3">
        <f>IF(tblOrdenes[[#This Row],[fecha_inicio]]="","",MONTH(tblOrdenes[[#This Row],[fecha_inicio]]))</f>
        <v/>
      </c>
      <c r="R667" s="3">
        <f>IF(tblOrdenes[[#This Row],[fecha_inicio]]="","",INDEX(lista_dias,WEEKDAY(tblOrdenes[[#This Row],[fecha_inicio]],2)))</f>
        <v/>
      </c>
      <c r="S6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7" s="3">
        <f>IF(tblOrdenes[[#This Row],[tipo_ot]]="","",_xlfn.XLOOKUP(tblOrdenes[[#This Row],[tipo_ot]],tblTiposOT[codigo],tblTiposOT[clasificacion],"sin_clasificar"))</f>
        <v/>
      </c>
      <c r="U667" s="3">
        <f>IF(tblOrdenes[[#This Row],[centro_costo]]="","",_xlfn.XLOOKUP(tblOrdenes[[#This Row],[centro_costo]],tblCECO[codigo],tblCECO[linea],"(sin catálogo)"))</f>
        <v/>
      </c>
      <c r="V667" s="3">
        <f>IF(tblOrdenes[[#This Row],[centro_costo]]="","",_xlfn.XLOOKUP(tblOrdenes[[#This Row],[centro_costo]],tblCECO[codigo],tblCECO[area],"(sin catálogo)"))</f>
        <v/>
      </c>
      <c r="W6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7" s="3">
        <f>IF(tblOrdenes[[#This Row],[centro_costo]]="","",_xlfn.XLOOKUP(tblOrdenes[[#This Row],[centro_costo]],tblCECO[codigo],tblCECO[coordinador],"(sin catálogo)"))</f>
        <v/>
      </c>
      <c r="Y667" s="3">
        <f>IF(tblOrdenes[[#This Row],[puesto_trabajo]]="","",_xlfn.XLOOKUP(tblOrdenes[[#This Row],[puesto_trabajo]],tblPuestos[codigo],tblPuestos[especialidad],"(sin catálogo)"))</f>
        <v/>
      </c>
      <c r="Z667" s="3">
        <f>IF(tblOrdenes[[#This Row],[cod_actividad]]="","",_xlfn.XLOOKUP(tblOrdenes[[#This Row],[cod_actividad]],tblActividades[codigo],tblActividades[descripcion],"(sin catálogo)"))</f>
        <v/>
      </c>
      <c r="AA667" s="13">
        <f>IF(tblOrdenes[[#This Row],[fecha_inicio]]="","",TODAY()-tblOrdenes[[#This Row],[fecha_inicio]])</f>
        <v/>
      </c>
      <c r="AB6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7" s="3">
        <f>IF(tblOrdenes[[#This Row],[backlog_habiles]]="","",IF(tblOrdenes[[#This Row],[backlog_habiles]]&lt;0,"FUTURO",IF(tblOrdenes[[#This Row],[backlog_habiles]]&gt;p_dias_backlog_max,"BACKLOG","MES CORRIENTE")))</f>
        <v/>
      </c>
      <c r="AD667" s="3">
        <f>IF(tblOrdenes[[#This Row],[backlog_habiles]]="",FALSE,AND(tblOrdenes[[#This Row],[backlog_habiles]]&gt;p_dias_backlog_min,tblOrdenes[[#This Row],[backlog_habiles]]&lt;=p_dias_backlog_max))</f>
        <v/>
      </c>
      <c r="AE667" s="6" t="n"/>
      <c r="AF6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7" s="11">
        <f>IF(tblOrdenes[[#This Row],[orden]]="","",_xlfn.XLOOKUP(tblOrdenes[[#This Row],[id_operacion]],tblEjecucion[id_operacion],tblEjecucion[precio],0))</f>
        <v/>
      </c>
      <c r="AJ667" s="11">
        <f>IF(tblOrdenes[[#This Row],[orden]]="","",MAX(0,_xlfn.XLOOKUP(tblOrdenes[[#This Row],[id_operacion]],tblEjecucion[id_operacion],tblEjecucion[costo_plan_total],0)-tblOrdenes[[#This Row],[costo_servicio]]))</f>
        <v/>
      </c>
      <c r="AK667" s="11">
        <f>IF(tblOrdenes[[#This Row],[orden]]="","",tblOrdenes[[#This Row],[costo_servicio]]+tblOrdenes[[#This Row],[costo_materiales]])</f>
        <v/>
      </c>
      <c r="AL667" s="6" t="n"/>
      <c r="AM667" s="6" t="n"/>
      <c r="AN667" s="6" t="n"/>
      <c r="AO667" s="3">
        <f>IF(tblOrdenes[[#This Row],[link_checklist]]="","",HYPERLINK(p_ruta_base_checklists&amp;tblOrdenes[[#This Row],[link_checklist]],"abrir"))</f>
        <v/>
      </c>
      <c r="AP667" s="6" t="n"/>
      <c r="AQ667" s="3">
        <f>IF(tblOrdenes[[#This Row],[orden]]="","",tblOrdenes[[#This Row],[orden]]&amp;IF(tblOrdenes[[#This Row],[operacion]]="","0010",tblOrdenes[[#This Row],[operacion]]))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2" t="n"/>
      <c r="K668" s="3" t="n"/>
      <c r="L668" s="11" t="n"/>
      <c r="M6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8" s="3">
        <f>IF(tblOrdenes[[#This Row],[fecha_inicio]]="","",YEAR(tblOrdenes[[#This Row],[fecha_inicio]]))</f>
        <v/>
      </c>
      <c r="Q668" s="3">
        <f>IF(tblOrdenes[[#This Row],[fecha_inicio]]="","",MONTH(tblOrdenes[[#This Row],[fecha_inicio]]))</f>
        <v/>
      </c>
      <c r="R668" s="3">
        <f>IF(tblOrdenes[[#This Row],[fecha_inicio]]="","",INDEX(lista_dias,WEEKDAY(tblOrdenes[[#This Row],[fecha_inicio]],2)))</f>
        <v/>
      </c>
      <c r="S6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8" s="3">
        <f>IF(tblOrdenes[[#This Row],[tipo_ot]]="","",_xlfn.XLOOKUP(tblOrdenes[[#This Row],[tipo_ot]],tblTiposOT[codigo],tblTiposOT[clasificacion],"sin_clasificar"))</f>
        <v/>
      </c>
      <c r="U668" s="3">
        <f>IF(tblOrdenes[[#This Row],[centro_costo]]="","",_xlfn.XLOOKUP(tblOrdenes[[#This Row],[centro_costo]],tblCECO[codigo],tblCECO[linea],"(sin catálogo)"))</f>
        <v/>
      </c>
      <c r="V668" s="3">
        <f>IF(tblOrdenes[[#This Row],[centro_costo]]="","",_xlfn.XLOOKUP(tblOrdenes[[#This Row],[centro_costo]],tblCECO[codigo],tblCECO[area],"(sin catálogo)"))</f>
        <v/>
      </c>
      <c r="W6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8" s="3">
        <f>IF(tblOrdenes[[#This Row],[centro_costo]]="","",_xlfn.XLOOKUP(tblOrdenes[[#This Row],[centro_costo]],tblCECO[codigo],tblCECO[coordinador],"(sin catálogo)"))</f>
        <v/>
      </c>
      <c r="Y668" s="3">
        <f>IF(tblOrdenes[[#This Row],[puesto_trabajo]]="","",_xlfn.XLOOKUP(tblOrdenes[[#This Row],[puesto_trabajo]],tblPuestos[codigo],tblPuestos[especialidad],"(sin catálogo)"))</f>
        <v/>
      </c>
      <c r="Z668" s="3">
        <f>IF(tblOrdenes[[#This Row],[cod_actividad]]="","",_xlfn.XLOOKUP(tblOrdenes[[#This Row],[cod_actividad]],tblActividades[codigo],tblActividades[descripcion],"(sin catálogo)"))</f>
        <v/>
      </c>
      <c r="AA668" s="13">
        <f>IF(tblOrdenes[[#This Row],[fecha_inicio]]="","",TODAY()-tblOrdenes[[#This Row],[fecha_inicio]])</f>
        <v/>
      </c>
      <c r="AB6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8" s="3">
        <f>IF(tblOrdenes[[#This Row],[backlog_habiles]]="","",IF(tblOrdenes[[#This Row],[backlog_habiles]]&lt;0,"FUTURO",IF(tblOrdenes[[#This Row],[backlog_habiles]]&gt;p_dias_backlog_max,"BACKLOG","MES CORRIENTE")))</f>
        <v/>
      </c>
      <c r="AD668" s="3">
        <f>IF(tblOrdenes[[#This Row],[backlog_habiles]]="",FALSE,AND(tblOrdenes[[#This Row],[backlog_habiles]]&gt;p_dias_backlog_min,tblOrdenes[[#This Row],[backlog_habiles]]&lt;=p_dias_backlog_max))</f>
        <v/>
      </c>
      <c r="AE668" s="6" t="n"/>
      <c r="AF6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8" s="11">
        <f>IF(tblOrdenes[[#This Row],[orden]]="","",_xlfn.XLOOKUP(tblOrdenes[[#This Row],[id_operacion]],tblEjecucion[id_operacion],tblEjecucion[precio],0))</f>
        <v/>
      </c>
      <c r="AJ668" s="11">
        <f>IF(tblOrdenes[[#This Row],[orden]]="","",MAX(0,_xlfn.XLOOKUP(tblOrdenes[[#This Row],[id_operacion]],tblEjecucion[id_operacion],tblEjecucion[costo_plan_total],0)-tblOrdenes[[#This Row],[costo_servicio]]))</f>
        <v/>
      </c>
      <c r="AK668" s="11">
        <f>IF(tblOrdenes[[#This Row],[orden]]="","",tblOrdenes[[#This Row],[costo_servicio]]+tblOrdenes[[#This Row],[costo_materiales]])</f>
        <v/>
      </c>
      <c r="AL668" s="6" t="n"/>
      <c r="AM668" s="6" t="n"/>
      <c r="AN668" s="6" t="n"/>
      <c r="AO668" s="3">
        <f>IF(tblOrdenes[[#This Row],[link_checklist]]="","",HYPERLINK(p_ruta_base_checklists&amp;tblOrdenes[[#This Row],[link_checklist]],"abrir"))</f>
        <v/>
      </c>
      <c r="AP668" s="6" t="n"/>
      <c r="AQ668" s="3">
        <f>IF(tblOrdenes[[#This Row],[orden]]="","",tblOrdenes[[#This Row],[orden]]&amp;IF(tblOrdenes[[#This Row],[operacion]]="","0010",tblOrdenes[[#This Row],[operacion]]))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2" t="n"/>
      <c r="K669" s="3" t="n"/>
      <c r="L669" s="11" t="n"/>
      <c r="M6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9" s="3">
        <f>IF(tblOrdenes[[#This Row],[fecha_inicio]]="","",YEAR(tblOrdenes[[#This Row],[fecha_inicio]]))</f>
        <v/>
      </c>
      <c r="Q669" s="3">
        <f>IF(tblOrdenes[[#This Row],[fecha_inicio]]="","",MONTH(tblOrdenes[[#This Row],[fecha_inicio]]))</f>
        <v/>
      </c>
      <c r="R669" s="3">
        <f>IF(tblOrdenes[[#This Row],[fecha_inicio]]="","",INDEX(lista_dias,WEEKDAY(tblOrdenes[[#This Row],[fecha_inicio]],2)))</f>
        <v/>
      </c>
      <c r="S6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9" s="3">
        <f>IF(tblOrdenes[[#This Row],[tipo_ot]]="","",_xlfn.XLOOKUP(tblOrdenes[[#This Row],[tipo_ot]],tblTiposOT[codigo],tblTiposOT[clasificacion],"sin_clasificar"))</f>
        <v/>
      </c>
      <c r="U669" s="3">
        <f>IF(tblOrdenes[[#This Row],[centro_costo]]="","",_xlfn.XLOOKUP(tblOrdenes[[#This Row],[centro_costo]],tblCECO[codigo],tblCECO[linea],"(sin catálogo)"))</f>
        <v/>
      </c>
      <c r="V669" s="3">
        <f>IF(tblOrdenes[[#This Row],[centro_costo]]="","",_xlfn.XLOOKUP(tblOrdenes[[#This Row],[centro_costo]],tblCECO[codigo],tblCECO[area],"(sin catálogo)"))</f>
        <v/>
      </c>
      <c r="W6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9" s="3">
        <f>IF(tblOrdenes[[#This Row],[centro_costo]]="","",_xlfn.XLOOKUP(tblOrdenes[[#This Row],[centro_costo]],tblCECO[codigo],tblCECO[coordinador],"(sin catálogo)"))</f>
        <v/>
      </c>
      <c r="Y669" s="3">
        <f>IF(tblOrdenes[[#This Row],[puesto_trabajo]]="","",_xlfn.XLOOKUP(tblOrdenes[[#This Row],[puesto_trabajo]],tblPuestos[codigo],tblPuestos[especialidad],"(sin catálogo)"))</f>
        <v/>
      </c>
      <c r="Z669" s="3">
        <f>IF(tblOrdenes[[#This Row],[cod_actividad]]="","",_xlfn.XLOOKUP(tblOrdenes[[#This Row],[cod_actividad]],tblActividades[codigo],tblActividades[descripcion],"(sin catálogo)"))</f>
        <v/>
      </c>
      <c r="AA669" s="13">
        <f>IF(tblOrdenes[[#This Row],[fecha_inicio]]="","",TODAY()-tblOrdenes[[#This Row],[fecha_inicio]])</f>
        <v/>
      </c>
      <c r="AB6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9" s="3">
        <f>IF(tblOrdenes[[#This Row],[backlog_habiles]]="","",IF(tblOrdenes[[#This Row],[backlog_habiles]]&lt;0,"FUTURO",IF(tblOrdenes[[#This Row],[backlog_habiles]]&gt;p_dias_backlog_max,"BACKLOG","MES CORRIENTE")))</f>
        <v/>
      </c>
      <c r="AD669" s="3">
        <f>IF(tblOrdenes[[#This Row],[backlog_habiles]]="",FALSE,AND(tblOrdenes[[#This Row],[backlog_habiles]]&gt;p_dias_backlog_min,tblOrdenes[[#This Row],[backlog_habiles]]&lt;=p_dias_backlog_max))</f>
        <v/>
      </c>
      <c r="AE669" s="6" t="n"/>
      <c r="AF6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9" s="11">
        <f>IF(tblOrdenes[[#This Row],[orden]]="","",_xlfn.XLOOKUP(tblOrdenes[[#This Row],[id_operacion]],tblEjecucion[id_operacion],tblEjecucion[precio],0))</f>
        <v/>
      </c>
      <c r="AJ669" s="11">
        <f>IF(tblOrdenes[[#This Row],[orden]]="","",MAX(0,_xlfn.XLOOKUP(tblOrdenes[[#This Row],[id_operacion]],tblEjecucion[id_operacion],tblEjecucion[costo_plan_total],0)-tblOrdenes[[#This Row],[costo_servicio]]))</f>
        <v/>
      </c>
      <c r="AK669" s="11">
        <f>IF(tblOrdenes[[#This Row],[orden]]="","",tblOrdenes[[#This Row],[costo_servicio]]+tblOrdenes[[#This Row],[costo_materiales]])</f>
        <v/>
      </c>
      <c r="AL669" s="6" t="n"/>
      <c r="AM669" s="6" t="n"/>
      <c r="AN669" s="6" t="n"/>
      <c r="AO669" s="3">
        <f>IF(tblOrdenes[[#This Row],[link_checklist]]="","",HYPERLINK(p_ruta_base_checklists&amp;tblOrdenes[[#This Row],[link_checklist]],"abrir"))</f>
        <v/>
      </c>
      <c r="AP669" s="6" t="n"/>
      <c r="AQ669" s="3">
        <f>IF(tblOrdenes[[#This Row],[orden]]="","",tblOrdenes[[#This Row],[orden]]&amp;IF(tblOrdenes[[#This Row],[operacion]]="","0010",tblOrdenes[[#This Row],[operacion]]))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2" t="n"/>
      <c r="K670" s="3" t="n"/>
      <c r="L670" s="11" t="n"/>
      <c r="M6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0" s="3">
        <f>IF(tblOrdenes[[#This Row],[fecha_inicio]]="","",YEAR(tblOrdenes[[#This Row],[fecha_inicio]]))</f>
        <v/>
      </c>
      <c r="Q670" s="3">
        <f>IF(tblOrdenes[[#This Row],[fecha_inicio]]="","",MONTH(tblOrdenes[[#This Row],[fecha_inicio]]))</f>
        <v/>
      </c>
      <c r="R670" s="3">
        <f>IF(tblOrdenes[[#This Row],[fecha_inicio]]="","",INDEX(lista_dias,WEEKDAY(tblOrdenes[[#This Row],[fecha_inicio]],2)))</f>
        <v/>
      </c>
      <c r="S6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0" s="3">
        <f>IF(tblOrdenes[[#This Row],[tipo_ot]]="","",_xlfn.XLOOKUP(tblOrdenes[[#This Row],[tipo_ot]],tblTiposOT[codigo],tblTiposOT[clasificacion],"sin_clasificar"))</f>
        <v/>
      </c>
      <c r="U670" s="3">
        <f>IF(tblOrdenes[[#This Row],[centro_costo]]="","",_xlfn.XLOOKUP(tblOrdenes[[#This Row],[centro_costo]],tblCECO[codigo],tblCECO[linea],"(sin catálogo)"))</f>
        <v/>
      </c>
      <c r="V670" s="3">
        <f>IF(tblOrdenes[[#This Row],[centro_costo]]="","",_xlfn.XLOOKUP(tblOrdenes[[#This Row],[centro_costo]],tblCECO[codigo],tblCECO[area],"(sin catálogo)"))</f>
        <v/>
      </c>
      <c r="W6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0" s="3">
        <f>IF(tblOrdenes[[#This Row],[centro_costo]]="","",_xlfn.XLOOKUP(tblOrdenes[[#This Row],[centro_costo]],tblCECO[codigo],tblCECO[coordinador],"(sin catálogo)"))</f>
        <v/>
      </c>
      <c r="Y670" s="3">
        <f>IF(tblOrdenes[[#This Row],[puesto_trabajo]]="","",_xlfn.XLOOKUP(tblOrdenes[[#This Row],[puesto_trabajo]],tblPuestos[codigo],tblPuestos[especialidad],"(sin catálogo)"))</f>
        <v/>
      </c>
      <c r="Z670" s="3">
        <f>IF(tblOrdenes[[#This Row],[cod_actividad]]="","",_xlfn.XLOOKUP(tblOrdenes[[#This Row],[cod_actividad]],tblActividades[codigo],tblActividades[descripcion],"(sin catálogo)"))</f>
        <v/>
      </c>
      <c r="AA670" s="13">
        <f>IF(tblOrdenes[[#This Row],[fecha_inicio]]="","",TODAY()-tblOrdenes[[#This Row],[fecha_inicio]])</f>
        <v/>
      </c>
      <c r="AB6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0" s="3">
        <f>IF(tblOrdenes[[#This Row],[backlog_habiles]]="","",IF(tblOrdenes[[#This Row],[backlog_habiles]]&lt;0,"FUTURO",IF(tblOrdenes[[#This Row],[backlog_habiles]]&gt;p_dias_backlog_max,"BACKLOG","MES CORRIENTE")))</f>
        <v/>
      </c>
      <c r="AD670" s="3">
        <f>IF(tblOrdenes[[#This Row],[backlog_habiles]]="",FALSE,AND(tblOrdenes[[#This Row],[backlog_habiles]]&gt;p_dias_backlog_min,tblOrdenes[[#This Row],[backlog_habiles]]&lt;=p_dias_backlog_max))</f>
        <v/>
      </c>
      <c r="AE670" s="6" t="n"/>
      <c r="AF6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0" s="11">
        <f>IF(tblOrdenes[[#This Row],[orden]]="","",_xlfn.XLOOKUP(tblOrdenes[[#This Row],[id_operacion]],tblEjecucion[id_operacion],tblEjecucion[precio],0))</f>
        <v/>
      </c>
      <c r="AJ670" s="11">
        <f>IF(tblOrdenes[[#This Row],[orden]]="","",MAX(0,_xlfn.XLOOKUP(tblOrdenes[[#This Row],[id_operacion]],tblEjecucion[id_operacion],tblEjecucion[costo_plan_total],0)-tblOrdenes[[#This Row],[costo_servicio]]))</f>
        <v/>
      </c>
      <c r="AK670" s="11">
        <f>IF(tblOrdenes[[#This Row],[orden]]="","",tblOrdenes[[#This Row],[costo_servicio]]+tblOrdenes[[#This Row],[costo_materiales]])</f>
        <v/>
      </c>
      <c r="AL670" s="6" t="n"/>
      <c r="AM670" s="6" t="n"/>
      <c r="AN670" s="6" t="n"/>
      <c r="AO670" s="3">
        <f>IF(tblOrdenes[[#This Row],[link_checklist]]="","",HYPERLINK(p_ruta_base_checklists&amp;tblOrdenes[[#This Row],[link_checklist]],"abrir"))</f>
        <v/>
      </c>
      <c r="AP670" s="6" t="n"/>
      <c r="AQ670" s="3">
        <f>IF(tblOrdenes[[#This Row],[orden]]="","",tblOrdenes[[#This Row],[orden]]&amp;IF(tblOrdenes[[#This Row],[operacion]]="","0010",tblOrdenes[[#This Row],[operacion]]))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2" t="n"/>
      <c r="K671" s="3" t="n"/>
      <c r="L671" s="11" t="n"/>
      <c r="M6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1" s="3">
        <f>IF(tblOrdenes[[#This Row],[fecha_inicio]]="","",YEAR(tblOrdenes[[#This Row],[fecha_inicio]]))</f>
        <v/>
      </c>
      <c r="Q671" s="3">
        <f>IF(tblOrdenes[[#This Row],[fecha_inicio]]="","",MONTH(tblOrdenes[[#This Row],[fecha_inicio]]))</f>
        <v/>
      </c>
      <c r="R671" s="3">
        <f>IF(tblOrdenes[[#This Row],[fecha_inicio]]="","",INDEX(lista_dias,WEEKDAY(tblOrdenes[[#This Row],[fecha_inicio]],2)))</f>
        <v/>
      </c>
      <c r="S6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1" s="3">
        <f>IF(tblOrdenes[[#This Row],[tipo_ot]]="","",_xlfn.XLOOKUP(tblOrdenes[[#This Row],[tipo_ot]],tblTiposOT[codigo],tblTiposOT[clasificacion],"sin_clasificar"))</f>
        <v/>
      </c>
      <c r="U671" s="3">
        <f>IF(tblOrdenes[[#This Row],[centro_costo]]="","",_xlfn.XLOOKUP(tblOrdenes[[#This Row],[centro_costo]],tblCECO[codigo],tblCECO[linea],"(sin catálogo)"))</f>
        <v/>
      </c>
      <c r="V671" s="3">
        <f>IF(tblOrdenes[[#This Row],[centro_costo]]="","",_xlfn.XLOOKUP(tblOrdenes[[#This Row],[centro_costo]],tblCECO[codigo],tblCECO[area],"(sin catálogo)"))</f>
        <v/>
      </c>
      <c r="W6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1" s="3">
        <f>IF(tblOrdenes[[#This Row],[centro_costo]]="","",_xlfn.XLOOKUP(tblOrdenes[[#This Row],[centro_costo]],tblCECO[codigo],tblCECO[coordinador],"(sin catálogo)"))</f>
        <v/>
      </c>
      <c r="Y671" s="3">
        <f>IF(tblOrdenes[[#This Row],[puesto_trabajo]]="","",_xlfn.XLOOKUP(tblOrdenes[[#This Row],[puesto_trabajo]],tblPuestos[codigo],tblPuestos[especialidad],"(sin catálogo)"))</f>
        <v/>
      </c>
      <c r="Z671" s="3">
        <f>IF(tblOrdenes[[#This Row],[cod_actividad]]="","",_xlfn.XLOOKUP(tblOrdenes[[#This Row],[cod_actividad]],tblActividades[codigo],tblActividades[descripcion],"(sin catálogo)"))</f>
        <v/>
      </c>
      <c r="AA671" s="13">
        <f>IF(tblOrdenes[[#This Row],[fecha_inicio]]="","",TODAY()-tblOrdenes[[#This Row],[fecha_inicio]])</f>
        <v/>
      </c>
      <c r="AB6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1" s="3">
        <f>IF(tblOrdenes[[#This Row],[backlog_habiles]]="","",IF(tblOrdenes[[#This Row],[backlog_habiles]]&lt;0,"FUTURO",IF(tblOrdenes[[#This Row],[backlog_habiles]]&gt;p_dias_backlog_max,"BACKLOG","MES CORRIENTE")))</f>
        <v/>
      </c>
      <c r="AD671" s="3">
        <f>IF(tblOrdenes[[#This Row],[backlog_habiles]]="",FALSE,AND(tblOrdenes[[#This Row],[backlog_habiles]]&gt;p_dias_backlog_min,tblOrdenes[[#This Row],[backlog_habiles]]&lt;=p_dias_backlog_max))</f>
        <v/>
      </c>
      <c r="AE671" s="6" t="n"/>
      <c r="AF6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1" s="11">
        <f>IF(tblOrdenes[[#This Row],[orden]]="","",_xlfn.XLOOKUP(tblOrdenes[[#This Row],[id_operacion]],tblEjecucion[id_operacion],tblEjecucion[precio],0))</f>
        <v/>
      </c>
      <c r="AJ671" s="11">
        <f>IF(tblOrdenes[[#This Row],[orden]]="","",MAX(0,_xlfn.XLOOKUP(tblOrdenes[[#This Row],[id_operacion]],tblEjecucion[id_operacion],tblEjecucion[costo_plan_total],0)-tblOrdenes[[#This Row],[costo_servicio]]))</f>
        <v/>
      </c>
      <c r="AK671" s="11">
        <f>IF(tblOrdenes[[#This Row],[orden]]="","",tblOrdenes[[#This Row],[costo_servicio]]+tblOrdenes[[#This Row],[costo_materiales]])</f>
        <v/>
      </c>
      <c r="AL671" s="6" t="n"/>
      <c r="AM671" s="6" t="n"/>
      <c r="AN671" s="6" t="n"/>
      <c r="AO671" s="3">
        <f>IF(tblOrdenes[[#This Row],[link_checklist]]="","",HYPERLINK(p_ruta_base_checklists&amp;tblOrdenes[[#This Row],[link_checklist]],"abrir"))</f>
        <v/>
      </c>
      <c r="AP671" s="6" t="n"/>
      <c r="AQ671" s="3">
        <f>IF(tblOrdenes[[#This Row],[orden]]="","",tblOrdenes[[#This Row],[orden]]&amp;IF(tblOrdenes[[#This Row],[operacion]]="","0010",tblOrdenes[[#This Row],[operacion]]))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2" t="n"/>
      <c r="K672" s="3" t="n"/>
      <c r="L672" s="11" t="n"/>
      <c r="M6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2" s="3">
        <f>IF(tblOrdenes[[#This Row],[fecha_inicio]]="","",YEAR(tblOrdenes[[#This Row],[fecha_inicio]]))</f>
        <v/>
      </c>
      <c r="Q672" s="3">
        <f>IF(tblOrdenes[[#This Row],[fecha_inicio]]="","",MONTH(tblOrdenes[[#This Row],[fecha_inicio]]))</f>
        <v/>
      </c>
      <c r="R672" s="3">
        <f>IF(tblOrdenes[[#This Row],[fecha_inicio]]="","",INDEX(lista_dias,WEEKDAY(tblOrdenes[[#This Row],[fecha_inicio]],2)))</f>
        <v/>
      </c>
      <c r="S6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2" s="3">
        <f>IF(tblOrdenes[[#This Row],[tipo_ot]]="","",_xlfn.XLOOKUP(tblOrdenes[[#This Row],[tipo_ot]],tblTiposOT[codigo],tblTiposOT[clasificacion],"sin_clasificar"))</f>
        <v/>
      </c>
      <c r="U672" s="3">
        <f>IF(tblOrdenes[[#This Row],[centro_costo]]="","",_xlfn.XLOOKUP(tblOrdenes[[#This Row],[centro_costo]],tblCECO[codigo],tblCECO[linea],"(sin catálogo)"))</f>
        <v/>
      </c>
      <c r="V672" s="3">
        <f>IF(tblOrdenes[[#This Row],[centro_costo]]="","",_xlfn.XLOOKUP(tblOrdenes[[#This Row],[centro_costo]],tblCECO[codigo],tblCECO[area],"(sin catálogo)"))</f>
        <v/>
      </c>
      <c r="W6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2" s="3">
        <f>IF(tblOrdenes[[#This Row],[centro_costo]]="","",_xlfn.XLOOKUP(tblOrdenes[[#This Row],[centro_costo]],tblCECO[codigo],tblCECO[coordinador],"(sin catálogo)"))</f>
        <v/>
      </c>
      <c r="Y672" s="3">
        <f>IF(tblOrdenes[[#This Row],[puesto_trabajo]]="","",_xlfn.XLOOKUP(tblOrdenes[[#This Row],[puesto_trabajo]],tblPuestos[codigo],tblPuestos[especialidad],"(sin catálogo)"))</f>
        <v/>
      </c>
      <c r="Z672" s="3">
        <f>IF(tblOrdenes[[#This Row],[cod_actividad]]="","",_xlfn.XLOOKUP(tblOrdenes[[#This Row],[cod_actividad]],tblActividades[codigo],tblActividades[descripcion],"(sin catálogo)"))</f>
        <v/>
      </c>
      <c r="AA672" s="13">
        <f>IF(tblOrdenes[[#This Row],[fecha_inicio]]="","",TODAY()-tblOrdenes[[#This Row],[fecha_inicio]])</f>
        <v/>
      </c>
      <c r="AB6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2" s="3">
        <f>IF(tblOrdenes[[#This Row],[backlog_habiles]]="","",IF(tblOrdenes[[#This Row],[backlog_habiles]]&lt;0,"FUTURO",IF(tblOrdenes[[#This Row],[backlog_habiles]]&gt;p_dias_backlog_max,"BACKLOG","MES CORRIENTE")))</f>
        <v/>
      </c>
      <c r="AD672" s="3">
        <f>IF(tblOrdenes[[#This Row],[backlog_habiles]]="",FALSE,AND(tblOrdenes[[#This Row],[backlog_habiles]]&gt;p_dias_backlog_min,tblOrdenes[[#This Row],[backlog_habiles]]&lt;=p_dias_backlog_max))</f>
        <v/>
      </c>
      <c r="AE672" s="6" t="n"/>
      <c r="AF6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2" s="11">
        <f>IF(tblOrdenes[[#This Row],[orden]]="","",_xlfn.XLOOKUP(tblOrdenes[[#This Row],[id_operacion]],tblEjecucion[id_operacion],tblEjecucion[precio],0))</f>
        <v/>
      </c>
      <c r="AJ672" s="11">
        <f>IF(tblOrdenes[[#This Row],[orden]]="","",MAX(0,_xlfn.XLOOKUP(tblOrdenes[[#This Row],[id_operacion]],tblEjecucion[id_operacion],tblEjecucion[costo_plan_total],0)-tblOrdenes[[#This Row],[costo_servicio]]))</f>
        <v/>
      </c>
      <c r="AK672" s="11">
        <f>IF(tblOrdenes[[#This Row],[orden]]="","",tblOrdenes[[#This Row],[costo_servicio]]+tblOrdenes[[#This Row],[costo_materiales]])</f>
        <v/>
      </c>
      <c r="AL672" s="6" t="n"/>
      <c r="AM672" s="6" t="n"/>
      <c r="AN672" s="6" t="n"/>
      <c r="AO672" s="3">
        <f>IF(tblOrdenes[[#This Row],[link_checklist]]="","",HYPERLINK(p_ruta_base_checklists&amp;tblOrdenes[[#This Row],[link_checklist]],"abrir"))</f>
        <v/>
      </c>
      <c r="AP672" s="6" t="n"/>
      <c r="AQ672" s="3">
        <f>IF(tblOrdenes[[#This Row],[orden]]="","",tblOrdenes[[#This Row],[orden]]&amp;IF(tblOrdenes[[#This Row],[operacion]]="","0010",tblOrdenes[[#This Row],[operacion]]))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2" t="n"/>
      <c r="K673" s="3" t="n"/>
      <c r="L673" s="11" t="n"/>
      <c r="M6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3" s="3">
        <f>IF(tblOrdenes[[#This Row],[fecha_inicio]]="","",YEAR(tblOrdenes[[#This Row],[fecha_inicio]]))</f>
        <v/>
      </c>
      <c r="Q673" s="3">
        <f>IF(tblOrdenes[[#This Row],[fecha_inicio]]="","",MONTH(tblOrdenes[[#This Row],[fecha_inicio]]))</f>
        <v/>
      </c>
      <c r="R673" s="3">
        <f>IF(tblOrdenes[[#This Row],[fecha_inicio]]="","",INDEX(lista_dias,WEEKDAY(tblOrdenes[[#This Row],[fecha_inicio]],2)))</f>
        <v/>
      </c>
      <c r="S6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3" s="3">
        <f>IF(tblOrdenes[[#This Row],[tipo_ot]]="","",_xlfn.XLOOKUP(tblOrdenes[[#This Row],[tipo_ot]],tblTiposOT[codigo],tblTiposOT[clasificacion],"sin_clasificar"))</f>
        <v/>
      </c>
      <c r="U673" s="3">
        <f>IF(tblOrdenes[[#This Row],[centro_costo]]="","",_xlfn.XLOOKUP(tblOrdenes[[#This Row],[centro_costo]],tblCECO[codigo],tblCECO[linea],"(sin catálogo)"))</f>
        <v/>
      </c>
      <c r="V673" s="3">
        <f>IF(tblOrdenes[[#This Row],[centro_costo]]="","",_xlfn.XLOOKUP(tblOrdenes[[#This Row],[centro_costo]],tblCECO[codigo],tblCECO[area],"(sin catálogo)"))</f>
        <v/>
      </c>
      <c r="W6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3" s="3">
        <f>IF(tblOrdenes[[#This Row],[centro_costo]]="","",_xlfn.XLOOKUP(tblOrdenes[[#This Row],[centro_costo]],tblCECO[codigo],tblCECO[coordinador],"(sin catálogo)"))</f>
        <v/>
      </c>
      <c r="Y673" s="3">
        <f>IF(tblOrdenes[[#This Row],[puesto_trabajo]]="","",_xlfn.XLOOKUP(tblOrdenes[[#This Row],[puesto_trabajo]],tblPuestos[codigo],tblPuestos[especialidad],"(sin catálogo)"))</f>
        <v/>
      </c>
      <c r="Z673" s="3">
        <f>IF(tblOrdenes[[#This Row],[cod_actividad]]="","",_xlfn.XLOOKUP(tblOrdenes[[#This Row],[cod_actividad]],tblActividades[codigo],tblActividades[descripcion],"(sin catálogo)"))</f>
        <v/>
      </c>
      <c r="AA673" s="13">
        <f>IF(tblOrdenes[[#This Row],[fecha_inicio]]="","",TODAY()-tblOrdenes[[#This Row],[fecha_inicio]])</f>
        <v/>
      </c>
      <c r="AB6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3" s="3">
        <f>IF(tblOrdenes[[#This Row],[backlog_habiles]]="","",IF(tblOrdenes[[#This Row],[backlog_habiles]]&lt;0,"FUTURO",IF(tblOrdenes[[#This Row],[backlog_habiles]]&gt;p_dias_backlog_max,"BACKLOG","MES CORRIENTE")))</f>
        <v/>
      </c>
      <c r="AD673" s="3">
        <f>IF(tblOrdenes[[#This Row],[backlog_habiles]]="",FALSE,AND(tblOrdenes[[#This Row],[backlog_habiles]]&gt;p_dias_backlog_min,tblOrdenes[[#This Row],[backlog_habiles]]&lt;=p_dias_backlog_max))</f>
        <v/>
      </c>
      <c r="AE673" s="6" t="n"/>
      <c r="AF6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3" s="11">
        <f>IF(tblOrdenes[[#This Row],[orden]]="","",_xlfn.XLOOKUP(tblOrdenes[[#This Row],[id_operacion]],tblEjecucion[id_operacion],tblEjecucion[precio],0))</f>
        <v/>
      </c>
      <c r="AJ673" s="11">
        <f>IF(tblOrdenes[[#This Row],[orden]]="","",MAX(0,_xlfn.XLOOKUP(tblOrdenes[[#This Row],[id_operacion]],tblEjecucion[id_operacion],tblEjecucion[costo_plan_total],0)-tblOrdenes[[#This Row],[costo_servicio]]))</f>
        <v/>
      </c>
      <c r="AK673" s="11">
        <f>IF(tblOrdenes[[#This Row],[orden]]="","",tblOrdenes[[#This Row],[costo_servicio]]+tblOrdenes[[#This Row],[costo_materiales]])</f>
        <v/>
      </c>
      <c r="AL673" s="6" t="n"/>
      <c r="AM673" s="6" t="n"/>
      <c r="AN673" s="6" t="n"/>
      <c r="AO673" s="3">
        <f>IF(tblOrdenes[[#This Row],[link_checklist]]="","",HYPERLINK(p_ruta_base_checklists&amp;tblOrdenes[[#This Row],[link_checklist]],"abrir"))</f>
        <v/>
      </c>
      <c r="AP673" s="6" t="n"/>
      <c r="AQ673" s="3">
        <f>IF(tblOrdenes[[#This Row],[orden]]="","",tblOrdenes[[#This Row],[orden]]&amp;IF(tblOrdenes[[#This Row],[operacion]]="","0010",tblOrdenes[[#This Row],[operacion]]))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2" t="n"/>
      <c r="K674" s="3" t="n"/>
      <c r="L674" s="11" t="n"/>
      <c r="M6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4" s="3">
        <f>IF(tblOrdenes[[#This Row],[fecha_inicio]]="","",YEAR(tblOrdenes[[#This Row],[fecha_inicio]]))</f>
        <v/>
      </c>
      <c r="Q674" s="3">
        <f>IF(tblOrdenes[[#This Row],[fecha_inicio]]="","",MONTH(tblOrdenes[[#This Row],[fecha_inicio]]))</f>
        <v/>
      </c>
      <c r="R674" s="3">
        <f>IF(tblOrdenes[[#This Row],[fecha_inicio]]="","",INDEX(lista_dias,WEEKDAY(tblOrdenes[[#This Row],[fecha_inicio]],2)))</f>
        <v/>
      </c>
      <c r="S6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4" s="3">
        <f>IF(tblOrdenes[[#This Row],[tipo_ot]]="","",_xlfn.XLOOKUP(tblOrdenes[[#This Row],[tipo_ot]],tblTiposOT[codigo],tblTiposOT[clasificacion],"sin_clasificar"))</f>
        <v/>
      </c>
      <c r="U674" s="3">
        <f>IF(tblOrdenes[[#This Row],[centro_costo]]="","",_xlfn.XLOOKUP(tblOrdenes[[#This Row],[centro_costo]],tblCECO[codigo],tblCECO[linea],"(sin catálogo)"))</f>
        <v/>
      </c>
      <c r="V674" s="3">
        <f>IF(tblOrdenes[[#This Row],[centro_costo]]="","",_xlfn.XLOOKUP(tblOrdenes[[#This Row],[centro_costo]],tblCECO[codigo],tblCECO[area],"(sin catálogo)"))</f>
        <v/>
      </c>
      <c r="W6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4" s="3">
        <f>IF(tblOrdenes[[#This Row],[centro_costo]]="","",_xlfn.XLOOKUP(tblOrdenes[[#This Row],[centro_costo]],tblCECO[codigo],tblCECO[coordinador],"(sin catálogo)"))</f>
        <v/>
      </c>
      <c r="Y674" s="3">
        <f>IF(tblOrdenes[[#This Row],[puesto_trabajo]]="","",_xlfn.XLOOKUP(tblOrdenes[[#This Row],[puesto_trabajo]],tblPuestos[codigo],tblPuestos[especialidad],"(sin catálogo)"))</f>
        <v/>
      </c>
      <c r="Z674" s="3">
        <f>IF(tblOrdenes[[#This Row],[cod_actividad]]="","",_xlfn.XLOOKUP(tblOrdenes[[#This Row],[cod_actividad]],tblActividades[codigo],tblActividades[descripcion],"(sin catálogo)"))</f>
        <v/>
      </c>
      <c r="AA674" s="13">
        <f>IF(tblOrdenes[[#This Row],[fecha_inicio]]="","",TODAY()-tblOrdenes[[#This Row],[fecha_inicio]])</f>
        <v/>
      </c>
      <c r="AB6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4" s="3">
        <f>IF(tblOrdenes[[#This Row],[backlog_habiles]]="","",IF(tblOrdenes[[#This Row],[backlog_habiles]]&lt;0,"FUTURO",IF(tblOrdenes[[#This Row],[backlog_habiles]]&gt;p_dias_backlog_max,"BACKLOG","MES CORRIENTE")))</f>
        <v/>
      </c>
      <c r="AD674" s="3">
        <f>IF(tblOrdenes[[#This Row],[backlog_habiles]]="",FALSE,AND(tblOrdenes[[#This Row],[backlog_habiles]]&gt;p_dias_backlog_min,tblOrdenes[[#This Row],[backlog_habiles]]&lt;=p_dias_backlog_max))</f>
        <v/>
      </c>
      <c r="AE674" s="6" t="n"/>
      <c r="AF6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4" s="11">
        <f>IF(tblOrdenes[[#This Row],[orden]]="","",_xlfn.XLOOKUP(tblOrdenes[[#This Row],[id_operacion]],tblEjecucion[id_operacion],tblEjecucion[precio],0))</f>
        <v/>
      </c>
      <c r="AJ674" s="11">
        <f>IF(tblOrdenes[[#This Row],[orden]]="","",MAX(0,_xlfn.XLOOKUP(tblOrdenes[[#This Row],[id_operacion]],tblEjecucion[id_operacion],tblEjecucion[costo_plan_total],0)-tblOrdenes[[#This Row],[costo_servicio]]))</f>
        <v/>
      </c>
      <c r="AK674" s="11">
        <f>IF(tblOrdenes[[#This Row],[orden]]="","",tblOrdenes[[#This Row],[costo_servicio]]+tblOrdenes[[#This Row],[costo_materiales]])</f>
        <v/>
      </c>
      <c r="AL674" s="6" t="n"/>
      <c r="AM674" s="6" t="n"/>
      <c r="AN674" s="6" t="n"/>
      <c r="AO674" s="3">
        <f>IF(tblOrdenes[[#This Row],[link_checklist]]="","",HYPERLINK(p_ruta_base_checklists&amp;tblOrdenes[[#This Row],[link_checklist]],"abrir"))</f>
        <v/>
      </c>
      <c r="AP674" s="6" t="n"/>
      <c r="AQ674" s="3">
        <f>IF(tblOrdenes[[#This Row],[orden]]="","",tblOrdenes[[#This Row],[orden]]&amp;IF(tblOrdenes[[#This Row],[operacion]]="","0010",tblOrdenes[[#This Row],[operacion]]))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2" t="n"/>
      <c r="K675" s="3" t="n"/>
      <c r="L675" s="11" t="n"/>
      <c r="M6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5" s="3">
        <f>IF(tblOrdenes[[#This Row],[fecha_inicio]]="","",YEAR(tblOrdenes[[#This Row],[fecha_inicio]]))</f>
        <v/>
      </c>
      <c r="Q675" s="3">
        <f>IF(tblOrdenes[[#This Row],[fecha_inicio]]="","",MONTH(tblOrdenes[[#This Row],[fecha_inicio]]))</f>
        <v/>
      </c>
      <c r="R675" s="3">
        <f>IF(tblOrdenes[[#This Row],[fecha_inicio]]="","",INDEX(lista_dias,WEEKDAY(tblOrdenes[[#This Row],[fecha_inicio]],2)))</f>
        <v/>
      </c>
      <c r="S6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5" s="3">
        <f>IF(tblOrdenes[[#This Row],[tipo_ot]]="","",_xlfn.XLOOKUP(tblOrdenes[[#This Row],[tipo_ot]],tblTiposOT[codigo],tblTiposOT[clasificacion],"sin_clasificar"))</f>
        <v/>
      </c>
      <c r="U675" s="3">
        <f>IF(tblOrdenes[[#This Row],[centro_costo]]="","",_xlfn.XLOOKUP(tblOrdenes[[#This Row],[centro_costo]],tblCECO[codigo],tblCECO[linea],"(sin catálogo)"))</f>
        <v/>
      </c>
      <c r="V675" s="3">
        <f>IF(tblOrdenes[[#This Row],[centro_costo]]="","",_xlfn.XLOOKUP(tblOrdenes[[#This Row],[centro_costo]],tblCECO[codigo],tblCECO[area],"(sin catálogo)"))</f>
        <v/>
      </c>
      <c r="W6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5" s="3">
        <f>IF(tblOrdenes[[#This Row],[centro_costo]]="","",_xlfn.XLOOKUP(tblOrdenes[[#This Row],[centro_costo]],tblCECO[codigo],tblCECO[coordinador],"(sin catálogo)"))</f>
        <v/>
      </c>
      <c r="Y675" s="3">
        <f>IF(tblOrdenes[[#This Row],[puesto_trabajo]]="","",_xlfn.XLOOKUP(tblOrdenes[[#This Row],[puesto_trabajo]],tblPuestos[codigo],tblPuestos[especialidad],"(sin catálogo)"))</f>
        <v/>
      </c>
      <c r="Z675" s="3">
        <f>IF(tblOrdenes[[#This Row],[cod_actividad]]="","",_xlfn.XLOOKUP(tblOrdenes[[#This Row],[cod_actividad]],tblActividades[codigo],tblActividades[descripcion],"(sin catálogo)"))</f>
        <v/>
      </c>
      <c r="AA675" s="13">
        <f>IF(tblOrdenes[[#This Row],[fecha_inicio]]="","",TODAY()-tblOrdenes[[#This Row],[fecha_inicio]])</f>
        <v/>
      </c>
      <c r="AB6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5" s="3">
        <f>IF(tblOrdenes[[#This Row],[backlog_habiles]]="","",IF(tblOrdenes[[#This Row],[backlog_habiles]]&lt;0,"FUTURO",IF(tblOrdenes[[#This Row],[backlog_habiles]]&gt;p_dias_backlog_max,"BACKLOG","MES CORRIENTE")))</f>
        <v/>
      </c>
      <c r="AD675" s="3">
        <f>IF(tblOrdenes[[#This Row],[backlog_habiles]]="",FALSE,AND(tblOrdenes[[#This Row],[backlog_habiles]]&gt;p_dias_backlog_min,tblOrdenes[[#This Row],[backlog_habiles]]&lt;=p_dias_backlog_max))</f>
        <v/>
      </c>
      <c r="AE675" s="6" t="n"/>
      <c r="AF6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5" s="11">
        <f>IF(tblOrdenes[[#This Row],[orden]]="","",_xlfn.XLOOKUP(tblOrdenes[[#This Row],[id_operacion]],tblEjecucion[id_operacion],tblEjecucion[precio],0))</f>
        <v/>
      </c>
      <c r="AJ675" s="11">
        <f>IF(tblOrdenes[[#This Row],[orden]]="","",MAX(0,_xlfn.XLOOKUP(tblOrdenes[[#This Row],[id_operacion]],tblEjecucion[id_operacion],tblEjecucion[costo_plan_total],0)-tblOrdenes[[#This Row],[costo_servicio]]))</f>
        <v/>
      </c>
      <c r="AK675" s="11">
        <f>IF(tblOrdenes[[#This Row],[orden]]="","",tblOrdenes[[#This Row],[costo_servicio]]+tblOrdenes[[#This Row],[costo_materiales]])</f>
        <v/>
      </c>
      <c r="AL675" s="6" t="n"/>
      <c r="AM675" s="6" t="n"/>
      <c r="AN675" s="6" t="n"/>
      <c r="AO675" s="3">
        <f>IF(tblOrdenes[[#This Row],[link_checklist]]="","",HYPERLINK(p_ruta_base_checklists&amp;tblOrdenes[[#This Row],[link_checklist]],"abrir"))</f>
        <v/>
      </c>
      <c r="AP675" s="6" t="n"/>
      <c r="AQ675" s="3">
        <f>IF(tblOrdenes[[#This Row],[orden]]="","",tblOrdenes[[#This Row],[orden]]&amp;IF(tblOrdenes[[#This Row],[operacion]]="","0010",tblOrdenes[[#This Row],[operacion]]))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2" t="n"/>
      <c r="K676" s="3" t="n"/>
      <c r="L676" s="11" t="n"/>
      <c r="M6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6" s="3">
        <f>IF(tblOrdenes[[#This Row],[fecha_inicio]]="","",YEAR(tblOrdenes[[#This Row],[fecha_inicio]]))</f>
        <v/>
      </c>
      <c r="Q676" s="3">
        <f>IF(tblOrdenes[[#This Row],[fecha_inicio]]="","",MONTH(tblOrdenes[[#This Row],[fecha_inicio]]))</f>
        <v/>
      </c>
      <c r="R676" s="3">
        <f>IF(tblOrdenes[[#This Row],[fecha_inicio]]="","",INDEX(lista_dias,WEEKDAY(tblOrdenes[[#This Row],[fecha_inicio]],2)))</f>
        <v/>
      </c>
      <c r="S6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6" s="3">
        <f>IF(tblOrdenes[[#This Row],[tipo_ot]]="","",_xlfn.XLOOKUP(tblOrdenes[[#This Row],[tipo_ot]],tblTiposOT[codigo],tblTiposOT[clasificacion],"sin_clasificar"))</f>
        <v/>
      </c>
      <c r="U676" s="3">
        <f>IF(tblOrdenes[[#This Row],[centro_costo]]="","",_xlfn.XLOOKUP(tblOrdenes[[#This Row],[centro_costo]],tblCECO[codigo],tblCECO[linea],"(sin catálogo)"))</f>
        <v/>
      </c>
      <c r="V676" s="3">
        <f>IF(tblOrdenes[[#This Row],[centro_costo]]="","",_xlfn.XLOOKUP(tblOrdenes[[#This Row],[centro_costo]],tblCECO[codigo],tblCECO[area],"(sin catálogo)"))</f>
        <v/>
      </c>
      <c r="W6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6" s="3">
        <f>IF(tblOrdenes[[#This Row],[centro_costo]]="","",_xlfn.XLOOKUP(tblOrdenes[[#This Row],[centro_costo]],tblCECO[codigo],tblCECO[coordinador],"(sin catálogo)"))</f>
        <v/>
      </c>
      <c r="Y676" s="3">
        <f>IF(tblOrdenes[[#This Row],[puesto_trabajo]]="","",_xlfn.XLOOKUP(tblOrdenes[[#This Row],[puesto_trabajo]],tblPuestos[codigo],tblPuestos[especialidad],"(sin catálogo)"))</f>
        <v/>
      </c>
      <c r="Z676" s="3">
        <f>IF(tblOrdenes[[#This Row],[cod_actividad]]="","",_xlfn.XLOOKUP(tblOrdenes[[#This Row],[cod_actividad]],tblActividades[codigo],tblActividades[descripcion],"(sin catálogo)"))</f>
        <v/>
      </c>
      <c r="AA676" s="13">
        <f>IF(tblOrdenes[[#This Row],[fecha_inicio]]="","",TODAY()-tblOrdenes[[#This Row],[fecha_inicio]])</f>
        <v/>
      </c>
      <c r="AB6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6" s="3">
        <f>IF(tblOrdenes[[#This Row],[backlog_habiles]]="","",IF(tblOrdenes[[#This Row],[backlog_habiles]]&lt;0,"FUTURO",IF(tblOrdenes[[#This Row],[backlog_habiles]]&gt;p_dias_backlog_max,"BACKLOG","MES CORRIENTE")))</f>
        <v/>
      </c>
      <c r="AD676" s="3">
        <f>IF(tblOrdenes[[#This Row],[backlog_habiles]]="",FALSE,AND(tblOrdenes[[#This Row],[backlog_habiles]]&gt;p_dias_backlog_min,tblOrdenes[[#This Row],[backlog_habiles]]&lt;=p_dias_backlog_max))</f>
        <v/>
      </c>
      <c r="AE676" s="6" t="n"/>
      <c r="AF6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6" s="11">
        <f>IF(tblOrdenes[[#This Row],[orden]]="","",_xlfn.XLOOKUP(tblOrdenes[[#This Row],[id_operacion]],tblEjecucion[id_operacion],tblEjecucion[precio],0))</f>
        <v/>
      </c>
      <c r="AJ676" s="11">
        <f>IF(tblOrdenes[[#This Row],[orden]]="","",MAX(0,_xlfn.XLOOKUP(tblOrdenes[[#This Row],[id_operacion]],tblEjecucion[id_operacion],tblEjecucion[costo_plan_total],0)-tblOrdenes[[#This Row],[costo_servicio]]))</f>
        <v/>
      </c>
      <c r="AK676" s="11">
        <f>IF(tblOrdenes[[#This Row],[orden]]="","",tblOrdenes[[#This Row],[costo_servicio]]+tblOrdenes[[#This Row],[costo_materiales]])</f>
        <v/>
      </c>
      <c r="AL676" s="6" t="n"/>
      <c r="AM676" s="6" t="n"/>
      <c r="AN676" s="6" t="n"/>
      <c r="AO676" s="3">
        <f>IF(tblOrdenes[[#This Row],[link_checklist]]="","",HYPERLINK(p_ruta_base_checklists&amp;tblOrdenes[[#This Row],[link_checklist]],"abrir"))</f>
        <v/>
      </c>
      <c r="AP676" s="6" t="n"/>
      <c r="AQ676" s="3">
        <f>IF(tblOrdenes[[#This Row],[orden]]="","",tblOrdenes[[#This Row],[orden]]&amp;IF(tblOrdenes[[#This Row],[operacion]]="","0010",tblOrdenes[[#This Row],[operacion]]))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2" t="n"/>
      <c r="K677" s="3" t="n"/>
      <c r="L677" s="11" t="n"/>
      <c r="M6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7" s="3">
        <f>IF(tblOrdenes[[#This Row],[fecha_inicio]]="","",YEAR(tblOrdenes[[#This Row],[fecha_inicio]]))</f>
        <v/>
      </c>
      <c r="Q677" s="3">
        <f>IF(tblOrdenes[[#This Row],[fecha_inicio]]="","",MONTH(tblOrdenes[[#This Row],[fecha_inicio]]))</f>
        <v/>
      </c>
      <c r="R677" s="3">
        <f>IF(tblOrdenes[[#This Row],[fecha_inicio]]="","",INDEX(lista_dias,WEEKDAY(tblOrdenes[[#This Row],[fecha_inicio]],2)))</f>
        <v/>
      </c>
      <c r="S6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7" s="3">
        <f>IF(tblOrdenes[[#This Row],[tipo_ot]]="","",_xlfn.XLOOKUP(tblOrdenes[[#This Row],[tipo_ot]],tblTiposOT[codigo],tblTiposOT[clasificacion],"sin_clasificar"))</f>
        <v/>
      </c>
      <c r="U677" s="3">
        <f>IF(tblOrdenes[[#This Row],[centro_costo]]="","",_xlfn.XLOOKUP(tblOrdenes[[#This Row],[centro_costo]],tblCECO[codigo],tblCECO[linea],"(sin catálogo)"))</f>
        <v/>
      </c>
      <c r="V677" s="3">
        <f>IF(tblOrdenes[[#This Row],[centro_costo]]="","",_xlfn.XLOOKUP(tblOrdenes[[#This Row],[centro_costo]],tblCECO[codigo],tblCECO[area],"(sin catálogo)"))</f>
        <v/>
      </c>
      <c r="W6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7" s="3">
        <f>IF(tblOrdenes[[#This Row],[centro_costo]]="","",_xlfn.XLOOKUP(tblOrdenes[[#This Row],[centro_costo]],tblCECO[codigo],tblCECO[coordinador],"(sin catálogo)"))</f>
        <v/>
      </c>
      <c r="Y677" s="3">
        <f>IF(tblOrdenes[[#This Row],[puesto_trabajo]]="","",_xlfn.XLOOKUP(tblOrdenes[[#This Row],[puesto_trabajo]],tblPuestos[codigo],tblPuestos[especialidad],"(sin catálogo)"))</f>
        <v/>
      </c>
      <c r="Z677" s="3">
        <f>IF(tblOrdenes[[#This Row],[cod_actividad]]="","",_xlfn.XLOOKUP(tblOrdenes[[#This Row],[cod_actividad]],tblActividades[codigo],tblActividades[descripcion],"(sin catálogo)"))</f>
        <v/>
      </c>
      <c r="AA677" s="13">
        <f>IF(tblOrdenes[[#This Row],[fecha_inicio]]="","",TODAY()-tblOrdenes[[#This Row],[fecha_inicio]])</f>
        <v/>
      </c>
      <c r="AB6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7" s="3">
        <f>IF(tblOrdenes[[#This Row],[backlog_habiles]]="","",IF(tblOrdenes[[#This Row],[backlog_habiles]]&lt;0,"FUTURO",IF(tblOrdenes[[#This Row],[backlog_habiles]]&gt;p_dias_backlog_max,"BACKLOG","MES CORRIENTE")))</f>
        <v/>
      </c>
      <c r="AD677" s="3">
        <f>IF(tblOrdenes[[#This Row],[backlog_habiles]]="",FALSE,AND(tblOrdenes[[#This Row],[backlog_habiles]]&gt;p_dias_backlog_min,tblOrdenes[[#This Row],[backlog_habiles]]&lt;=p_dias_backlog_max))</f>
        <v/>
      </c>
      <c r="AE677" s="6" t="n"/>
      <c r="AF6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7" s="11">
        <f>IF(tblOrdenes[[#This Row],[orden]]="","",_xlfn.XLOOKUP(tblOrdenes[[#This Row],[id_operacion]],tblEjecucion[id_operacion],tblEjecucion[precio],0))</f>
        <v/>
      </c>
      <c r="AJ677" s="11">
        <f>IF(tblOrdenes[[#This Row],[orden]]="","",MAX(0,_xlfn.XLOOKUP(tblOrdenes[[#This Row],[id_operacion]],tblEjecucion[id_operacion],tblEjecucion[costo_plan_total],0)-tblOrdenes[[#This Row],[costo_servicio]]))</f>
        <v/>
      </c>
      <c r="AK677" s="11">
        <f>IF(tblOrdenes[[#This Row],[orden]]="","",tblOrdenes[[#This Row],[costo_servicio]]+tblOrdenes[[#This Row],[costo_materiales]])</f>
        <v/>
      </c>
      <c r="AL677" s="6" t="n"/>
      <c r="AM677" s="6" t="n"/>
      <c r="AN677" s="6" t="n"/>
      <c r="AO677" s="3">
        <f>IF(tblOrdenes[[#This Row],[link_checklist]]="","",HYPERLINK(p_ruta_base_checklists&amp;tblOrdenes[[#This Row],[link_checklist]],"abrir"))</f>
        <v/>
      </c>
      <c r="AP677" s="6" t="n"/>
      <c r="AQ677" s="3">
        <f>IF(tblOrdenes[[#This Row],[orden]]="","",tblOrdenes[[#This Row],[orden]]&amp;IF(tblOrdenes[[#This Row],[operacion]]="","0010",tblOrdenes[[#This Row],[operacion]]))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2" t="n"/>
      <c r="K678" s="3" t="n"/>
      <c r="L678" s="11" t="n"/>
      <c r="M6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8" s="3">
        <f>IF(tblOrdenes[[#This Row],[fecha_inicio]]="","",YEAR(tblOrdenes[[#This Row],[fecha_inicio]]))</f>
        <v/>
      </c>
      <c r="Q678" s="3">
        <f>IF(tblOrdenes[[#This Row],[fecha_inicio]]="","",MONTH(tblOrdenes[[#This Row],[fecha_inicio]]))</f>
        <v/>
      </c>
      <c r="R678" s="3">
        <f>IF(tblOrdenes[[#This Row],[fecha_inicio]]="","",INDEX(lista_dias,WEEKDAY(tblOrdenes[[#This Row],[fecha_inicio]],2)))</f>
        <v/>
      </c>
      <c r="S6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8" s="3">
        <f>IF(tblOrdenes[[#This Row],[tipo_ot]]="","",_xlfn.XLOOKUP(tblOrdenes[[#This Row],[tipo_ot]],tblTiposOT[codigo],tblTiposOT[clasificacion],"sin_clasificar"))</f>
        <v/>
      </c>
      <c r="U678" s="3">
        <f>IF(tblOrdenes[[#This Row],[centro_costo]]="","",_xlfn.XLOOKUP(tblOrdenes[[#This Row],[centro_costo]],tblCECO[codigo],tblCECO[linea],"(sin catálogo)"))</f>
        <v/>
      </c>
      <c r="V678" s="3">
        <f>IF(tblOrdenes[[#This Row],[centro_costo]]="","",_xlfn.XLOOKUP(tblOrdenes[[#This Row],[centro_costo]],tblCECO[codigo],tblCECO[area],"(sin catálogo)"))</f>
        <v/>
      </c>
      <c r="W6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8" s="3">
        <f>IF(tblOrdenes[[#This Row],[centro_costo]]="","",_xlfn.XLOOKUP(tblOrdenes[[#This Row],[centro_costo]],tblCECO[codigo],tblCECO[coordinador],"(sin catálogo)"))</f>
        <v/>
      </c>
      <c r="Y678" s="3">
        <f>IF(tblOrdenes[[#This Row],[puesto_trabajo]]="","",_xlfn.XLOOKUP(tblOrdenes[[#This Row],[puesto_trabajo]],tblPuestos[codigo],tblPuestos[especialidad],"(sin catálogo)"))</f>
        <v/>
      </c>
      <c r="Z678" s="3">
        <f>IF(tblOrdenes[[#This Row],[cod_actividad]]="","",_xlfn.XLOOKUP(tblOrdenes[[#This Row],[cod_actividad]],tblActividades[codigo],tblActividades[descripcion],"(sin catálogo)"))</f>
        <v/>
      </c>
      <c r="AA678" s="13">
        <f>IF(tblOrdenes[[#This Row],[fecha_inicio]]="","",TODAY()-tblOrdenes[[#This Row],[fecha_inicio]])</f>
        <v/>
      </c>
      <c r="AB6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8" s="3">
        <f>IF(tblOrdenes[[#This Row],[backlog_habiles]]="","",IF(tblOrdenes[[#This Row],[backlog_habiles]]&lt;0,"FUTURO",IF(tblOrdenes[[#This Row],[backlog_habiles]]&gt;p_dias_backlog_max,"BACKLOG","MES CORRIENTE")))</f>
        <v/>
      </c>
      <c r="AD678" s="3">
        <f>IF(tblOrdenes[[#This Row],[backlog_habiles]]="",FALSE,AND(tblOrdenes[[#This Row],[backlog_habiles]]&gt;p_dias_backlog_min,tblOrdenes[[#This Row],[backlog_habiles]]&lt;=p_dias_backlog_max))</f>
        <v/>
      </c>
      <c r="AE678" s="6" t="n"/>
      <c r="AF6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8" s="11">
        <f>IF(tblOrdenes[[#This Row],[orden]]="","",_xlfn.XLOOKUP(tblOrdenes[[#This Row],[id_operacion]],tblEjecucion[id_operacion],tblEjecucion[precio],0))</f>
        <v/>
      </c>
      <c r="AJ678" s="11">
        <f>IF(tblOrdenes[[#This Row],[orden]]="","",MAX(0,_xlfn.XLOOKUP(tblOrdenes[[#This Row],[id_operacion]],tblEjecucion[id_operacion],tblEjecucion[costo_plan_total],0)-tblOrdenes[[#This Row],[costo_servicio]]))</f>
        <v/>
      </c>
      <c r="AK678" s="11">
        <f>IF(tblOrdenes[[#This Row],[orden]]="","",tblOrdenes[[#This Row],[costo_servicio]]+tblOrdenes[[#This Row],[costo_materiales]])</f>
        <v/>
      </c>
      <c r="AL678" s="6" t="n"/>
      <c r="AM678" s="6" t="n"/>
      <c r="AN678" s="6" t="n"/>
      <c r="AO678" s="3">
        <f>IF(tblOrdenes[[#This Row],[link_checklist]]="","",HYPERLINK(p_ruta_base_checklists&amp;tblOrdenes[[#This Row],[link_checklist]],"abrir"))</f>
        <v/>
      </c>
      <c r="AP678" s="6" t="n"/>
      <c r="AQ678" s="3">
        <f>IF(tblOrdenes[[#This Row],[orden]]="","",tblOrdenes[[#This Row],[orden]]&amp;IF(tblOrdenes[[#This Row],[operacion]]="","0010",tblOrdenes[[#This Row],[operacion]]))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2" t="n"/>
      <c r="K679" s="3" t="n"/>
      <c r="L679" s="11" t="n"/>
      <c r="M6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9" s="3">
        <f>IF(tblOrdenes[[#This Row],[fecha_inicio]]="","",YEAR(tblOrdenes[[#This Row],[fecha_inicio]]))</f>
        <v/>
      </c>
      <c r="Q679" s="3">
        <f>IF(tblOrdenes[[#This Row],[fecha_inicio]]="","",MONTH(tblOrdenes[[#This Row],[fecha_inicio]]))</f>
        <v/>
      </c>
      <c r="R679" s="3">
        <f>IF(tblOrdenes[[#This Row],[fecha_inicio]]="","",INDEX(lista_dias,WEEKDAY(tblOrdenes[[#This Row],[fecha_inicio]],2)))</f>
        <v/>
      </c>
      <c r="S6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9" s="3">
        <f>IF(tblOrdenes[[#This Row],[tipo_ot]]="","",_xlfn.XLOOKUP(tblOrdenes[[#This Row],[tipo_ot]],tblTiposOT[codigo],tblTiposOT[clasificacion],"sin_clasificar"))</f>
        <v/>
      </c>
      <c r="U679" s="3">
        <f>IF(tblOrdenes[[#This Row],[centro_costo]]="","",_xlfn.XLOOKUP(tblOrdenes[[#This Row],[centro_costo]],tblCECO[codigo],tblCECO[linea],"(sin catálogo)"))</f>
        <v/>
      </c>
      <c r="V679" s="3">
        <f>IF(tblOrdenes[[#This Row],[centro_costo]]="","",_xlfn.XLOOKUP(tblOrdenes[[#This Row],[centro_costo]],tblCECO[codigo],tblCECO[area],"(sin catálogo)"))</f>
        <v/>
      </c>
      <c r="W6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9" s="3">
        <f>IF(tblOrdenes[[#This Row],[centro_costo]]="","",_xlfn.XLOOKUP(tblOrdenes[[#This Row],[centro_costo]],tblCECO[codigo],tblCECO[coordinador],"(sin catálogo)"))</f>
        <v/>
      </c>
      <c r="Y679" s="3">
        <f>IF(tblOrdenes[[#This Row],[puesto_trabajo]]="","",_xlfn.XLOOKUP(tblOrdenes[[#This Row],[puesto_trabajo]],tblPuestos[codigo],tblPuestos[especialidad],"(sin catálogo)"))</f>
        <v/>
      </c>
      <c r="Z679" s="3">
        <f>IF(tblOrdenes[[#This Row],[cod_actividad]]="","",_xlfn.XLOOKUP(tblOrdenes[[#This Row],[cod_actividad]],tblActividades[codigo],tblActividades[descripcion],"(sin catálogo)"))</f>
        <v/>
      </c>
      <c r="AA679" s="13">
        <f>IF(tblOrdenes[[#This Row],[fecha_inicio]]="","",TODAY()-tblOrdenes[[#This Row],[fecha_inicio]])</f>
        <v/>
      </c>
      <c r="AB6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9" s="3">
        <f>IF(tblOrdenes[[#This Row],[backlog_habiles]]="","",IF(tblOrdenes[[#This Row],[backlog_habiles]]&lt;0,"FUTURO",IF(tblOrdenes[[#This Row],[backlog_habiles]]&gt;p_dias_backlog_max,"BACKLOG","MES CORRIENTE")))</f>
        <v/>
      </c>
      <c r="AD679" s="3">
        <f>IF(tblOrdenes[[#This Row],[backlog_habiles]]="",FALSE,AND(tblOrdenes[[#This Row],[backlog_habiles]]&gt;p_dias_backlog_min,tblOrdenes[[#This Row],[backlog_habiles]]&lt;=p_dias_backlog_max))</f>
        <v/>
      </c>
      <c r="AE679" s="6" t="n"/>
      <c r="AF6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9" s="11">
        <f>IF(tblOrdenes[[#This Row],[orden]]="","",_xlfn.XLOOKUP(tblOrdenes[[#This Row],[id_operacion]],tblEjecucion[id_operacion],tblEjecucion[precio],0))</f>
        <v/>
      </c>
      <c r="AJ679" s="11">
        <f>IF(tblOrdenes[[#This Row],[orden]]="","",MAX(0,_xlfn.XLOOKUP(tblOrdenes[[#This Row],[id_operacion]],tblEjecucion[id_operacion],tblEjecucion[costo_plan_total],0)-tblOrdenes[[#This Row],[costo_servicio]]))</f>
        <v/>
      </c>
      <c r="AK679" s="11">
        <f>IF(tblOrdenes[[#This Row],[orden]]="","",tblOrdenes[[#This Row],[costo_servicio]]+tblOrdenes[[#This Row],[costo_materiales]])</f>
        <v/>
      </c>
      <c r="AL679" s="6" t="n"/>
      <c r="AM679" s="6" t="n"/>
      <c r="AN679" s="6" t="n"/>
      <c r="AO679" s="3">
        <f>IF(tblOrdenes[[#This Row],[link_checklist]]="","",HYPERLINK(p_ruta_base_checklists&amp;tblOrdenes[[#This Row],[link_checklist]],"abrir"))</f>
        <v/>
      </c>
      <c r="AP679" s="6" t="n"/>
      <c r="AQ679" s="3">
        <f>IF(tblOrdenes[[#This Row],[orden]]="","",tblOrdenes[[#This Row],[orden]]&amp;IF(tblOrdenes[[#This Row],[operacion]]="","0010",tblOrdenes[[#This Row],[operacion]]))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2" t="n"/>
      <c r="K680" s="3" t="n"/>
      <c r="L680" s="11" t="n"/>
      <c r="M6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0" s="3">
        <f>IF(tblOrdenes[[#This Row],[fecha_inicio]]="","",YEAR(tblOrdenes[[#This Row],[fecha_inicio]]))</f>
        <v/>
      </c>
      <c r="Q680" s="3">
        <f>IF(tblOrdenes[[#This Row],[fecha_inicio]]="","",MONTH(tblOrdenes[[#This Row],[fecha_inicio]]))</f>
        <v/>
      </c>
      <c r="R680" s="3">
        <f>IF(tblOrdenes[[#This Row],[fecha_inicio]]="","",INDEX(lista_dias,WEEKDAY(tblOrdenes[[#This Row],[fecha_inicio]],2)))</f>
        <v/>
      </c>
      <c r="S6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0" s="3">
        <f>IF(tblOrdenes[[#This Row],[tipo_ot]]="","",_xlfn.XLOOKUP(tblOrdenes[[#This Row],[tipo_ot]],tblTiposOT[codigo],tblTiposOT[clasificacion],"sin_clasificar"))</f>
        <v/>
      </c>
      <c r="U680" s="3">
        <f>IF(tblOrdenes[[#This Row],[centro_costo]]="","",_xlfn.XLOOKUP(tblOrdenes[[#This Row],[centro_costo]],tblCECO[codigo],tblCECO[linea],"(sin catálogo)"))</f>
        <v/>
      </c>
      <c r="V680" s="3">
        <f>IF(tblOrdenes[[#This Row],[centro_costo]]="","",_xlfn.XLOOKUP(tblOrdenes[[#This Row],[centro_costo]],tblCECO[codigo],tblCECO[area],"(sin catálogo)"))</f>
        <v/>
      </c>
      <c r="W6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0" s="3">
        <f>IF(tblOrdenes[[#This Row],[centro_costo]]="","",_xlfn.XLOOKUP(tblOrdenes[[#This Row],[centro_costo]],tblCECO[codigo],tblCECO[coordinador],"(sin catálogo)"))</f>
        <v/>
      </c>
      <c r="Y680" s="3">
        <f>IF(tblOrdenes[[#This Row],[puesto_trabajo]]="","",_xlfn.XLOOKUP(tblOrdenes[[#This Row],[puesto_trabajo]],tblPuestos[codigo],tblPuestos[especialidad],"(sin catálogo)"))</f>
        <v/>
      </c>
      <c r="Z680" s="3">
        <f>IF(tblOrdenes[[#This Row],[cod_actividad]]="","",_xlfn.XLOOKUP(tblOrdenes[[#This Row],[cod_actividad]],tblActividades[codigo],tblActividades[descripcion],"(sin catálogo)"))</f>
        <v/>
      </c>
      <c r="AA680" s="13">
        <f>IF(tblOrdenes[[#This Row],[fecha_inicio]]="","",TODAY()-tblOrdenes[[#This Row],[fecha_inicio]])</f>
        <v/>
      </c>
      <c r="AB6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0" s="3">
        <f>IF(tblOrdenes[[#This Row],[backlog_habiles]]="","",IF(tblOrdenes[[#This Row],[backlog_habiles]]&lt;0,"FUTURO",IF(tblOrdenes[[#This Row],[backlog_habiles]]&gt;p_dias_backlog_max,"BACKLOG","MES CORRIENTE")))</f>
        <v/>
      </c>
      <c r="AD680" s="3">
        <f>IF(tblOrdenes[[#This Row],[backlog_habiles]]="",FALSE,AND(tblOrdenes[[#This Row],[backlog_habiles]]&gt;p_dias_backlog_min,tblOrdenes[[#This Row],[backlog_habiles]]&lt;=p_dias_backlog_max))</f>
        <v/>
      </c>
      <c r="AE680" s="6" t="n"/>
      <c r="AF6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0" s="11">
        <f>IF(tblOrdenes[[#This Row],[orden]]="","",_xlfn.XLOOKUP(tblOrdenes[[#This Row],[id_operacion]],tblEjecucion[id_operacion],tblEjecucion[precio],0))</f>
        <v/>
      </c>
      <c r="AJ680" s="11">
        <f>IF(tblOrdenes[[#This Row],[orden]]="","",MAX(0,_xlfn.XLOOKUP(tblOrdenes[[#This Row],[id_operacion]],tblEjecucion[id_operacion],tblEjecucion[costo_plan_total],0)-tblOrdenes[[#This Row],[costo_servicio]]))</f>
        <v/>
      </c>
      <c r="AK680" s="11">
        <f>IF(tblOrdenes[[#This Row],[orden]]="","",tblOrdenes[[#This Row],[costo_servicio]]+tblOrdenes[[#This Row],[costo_materiales]])</f>
        <v/>
      </c>
      <c r="AL680" s="6" t="n"/>
      <c r="AM680" s="6" t="n"/>
      <c r="AN680" s="6" t="n"/>
      <c r="AO680" s="3">
        <f>IF(tblOrdenes[[#This Row],[link_checklist]]="","",HYPERLINK(p_ruta_base_checklists&amp;tblOrdenes[[#This Row],[link_checklist]],"abrir"))</f>
        <v/>
      </c>
      <c r="AP680" s="6" t="n"/>
      <c r="AQ680" s="3">
        <f>IF(tblOrdenes[[#This Row],[orden]]="","",tblOrdenes[[#This Row],[orden]]&amp;IF(tblOrdenes[[#This Row],[operacion]]="","0010",tblOrdenes[[#This Row],[operacion]]))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2" t="n"/>
      <c r="K681" s="3" t="n"/>
      <c r="L681" s="11" t="n"/>
      <c r="M6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1" s="3">
        <f>IF(tblOrdenes[[#This Row],[fecha_inicio]]="","",YEAR(tblOrdenes[[#This Row],[fecha_inicio]]))</f>
        <v/>
      </c>
      <c r="Q681" s="3">
        <f>IF(tblOrdenes[[#This Row],[fecha_inicio]]="","",MONTH(tblOrdenes[[#This Row],[fecha_inicio]]))</f>
        <v/>
      </c>
      <c r="R681" s="3">
        <f>IF(tblOrdenes[[#This Row],[fecha_inicio]]="","",INDEX(lista_dias,WEEKDAY(tblOrdenes[[#This Row],[fecha_inicio]],2)))</f>
        <v/>
      </c>
      <c r="S6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1" s="3">
        <f>IF(tblOrdenes[[#This Row],[tipo_ot]]="","",_xlfn.XLOOKUP(tblOrdenes[[#This Row],[tipo_ot]],tblTiposOT[codigo],tblTiposOT[clasificacion],"sin_clasificar"))</f>
        <v/>
      </c>
      <c r="U681" s="3">
        <f>IF(tblOrdenes[[#This Row],[centro_costo]]="","",_xlfn.XLOOKUP(tblOrdenes[[#This Row],[centro_costo]],tblCECO[codigo],tblCECO[linea],"(sin catálogo)"))</f>
        <v/>
      </c>
      <c r="V681" s="3">
        <f>IF(tblOrdenes[[#This Row],[centro_costo]]="","",_xlfn.XLOOKUP(tblOrdenes[[#This Row],[centro_costo]],tblCECO[codigo],tblCECO[area],"(sin catálogo)"))</f>
        <v/>
      </c>
      <c r="W6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1" s="3">
        <f>IF(tblOrdenes[[#This Row],[centro_costo]]="","",_xlfn.XLOOKUP(tblOrdenes[[#This Row],[centro_costo]],tblCECO[codigo],tblCECO[coordinador],"(sin catálogo)"))</f>
        <v/>
      </c>
      <c r="Y681" s="3">
        <f>IF(tblOrdenes[[#This Row],[puesto_trabajo]]="","",_xlfn.XLOOKUP(tblOrdenes[[#This Row],[puesto_trabajo]],tblPuestos[codigo],tblPuestos[especialidad],"(sin catálogo)"))</f>
        <v/>
      </c>
      <c r="Z681" s="3">
        <f>IF(tblOrdenes[[#This Row],[cod_actividad]]="","",_xlfn.XLOOKUP(tblOrdenes[[#This Row],[cod_actividad]],tblActividades[codigo],tblActividades[descripcion],"(sin catálogo)"))</f>
        <v/>
      </c>
      <c r="AA681" s="13">
        <f>IF(tblOrdenes[[#This Row],[fecha_inicio]]="","",TODAY()-tblOrdenes[[#This Row],[fecha_inicio]])</f>
        <v/>
      </c>
      <c r="AB6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1" s="3">
        <f>IF(tblOrdenes[[#This Row],[backlog_habiles]]="","",IF(tblOrdenes[[#This Row],[backlog_habiles]]&lt;0,"FUTURO",IF(tblOrdenes[[#This Row],[backlog_habiles]]&gt;p_dias_backlog_max,"BACKLOG","MES CORRIENTE")))</f>
        <v/>
      </c>
      <c r="AD681" s="3">
        <f>IF(tblOrdenes[[#This Row],[backlog_habiles]]="",FALSE,AND(tblOrdenes[[#This Row],[backlog_habiles]]&gt;p_dias_backlog_min,tblOrdenes[[#This Row],[backlog_habiles]]&lt;=p_dias_backlog_max))</f>
        <v/>
      </c>
      <c r="AE681" s="6" t="n"/>
      <c r="AF6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1" s="11">
        <f>IF(tblOrdenes[[#This Row],[orden]]="","",_xlfn.XLOOKUP(tblOrdenes[[#This Row],[id_operacion]],tblEjecucion[id_operacion],tblEjecucion[precio],0))</f>
        <v/>
      </c>
      <c r="AJ681" s="11">
        <f>IF(tblOrdenes[[#This Row],[orden]]="","",MAX(0,_xlfn.XLOOKUP(tblOrdenes[[#This Row],[id_operacion]],tblEjecucion[id_operacion],tblEjecucion[costo_plan_total],0)-tblOrdenes[[#This Row],[costo_servicio]]))</f>
        <v/>
      </c>
      <c r="AK681" s="11">
        <f>IF(tblOrdenes[[#This Row],[orden]]="","",tblOrdenes[[#This Row],[costo_servicio]]+tblOrdenes[[#This Row],[costo_materiales]])</f>
        <v/>
      </c>
      <c r="AL681" s="6" t="n"/>
      <c r="AM681" s="6" t="n"/>
      <c r="AN681" s="6" t="n"/>
      <c r="AO681" s="3">
        <f>IF(tblOrdenes[[#This Row],[link_checklist]]="","",HYPERLINK(p_ruta_base_checklists&amp;tblOrdenes[[#This Row],[link_checklist]],"abrir"))</f>
        <v/>
      </c>
      <c r="AP681" s="6" t="n"/>
      <c r="AQ681" s="3">
        <f>IF(tblOrdenes[[#This Row],[orden]]="","",tblOrdenes[[#This Row],[orden]]&amp;IF(tblOrdenes[[#This Row],[operacion]]="","0010",tblOrdenes[[#This Row],[operacion]]))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2" t="n"/>
      <c r="K682" s="3" t="n"/>
      <c r="L682" s="11" t="n"/>
      <c r="M6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2" s="3">
        <f>IF(tblOrdenes[[#This Row],[fecha_inicio]]="","",YEAR(tblOrdenes[[#This Row],[fecha_inicio]]))</f>
        <v/>
      </c>
      <c r="Q682" s="3">
        <f>IF(tblOrdenes[[#This Row],[fecha_inicio]]="","",MONTH(tblOrdenes[[#This Row],[fecha_inicio]]))</f>
        <v/>
      </c>
      <c r="R682" s="3">
        <f>IF(tblOrdenes[[#This Row],[fecha_inicio]]="","",INDEX(lista_dias,WEEKDAY(tblOrdenes[[#This Row],[fecha_inicio]],2)))</f>
        <v/>
      </c>
      <c r="S6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2" s="3">
        <f>IF(tblOrdenes[[#This Row],[tipo_ot]]="","",_xlfn.XLOOKUP(tblOrdenes[[#This Row],[tipo_ot]],tblTiposOT[codigo],tblTiposOT[clasificacion],"sin_clasificar"))</f>
        <v/>
      </c>
      <c r="U682" s="3">
        <f>IF(tblOrdenes[[#This Row],[centro_costo]]="","",_xlfn.XLOOKUP(tblOrdenes[[#This Row],[centro_costo]],tblCECO[codigo],tblCECO[linea],"(sin catálogo)"))</f>
        <v/>
      </c>
      <c r="V682" s="3">
        <f>IF(tblOrdenes[[#This Row],[centro_costo]]="","",_xlfn.XLOOKUP(tblOrdenes[[#This Row],[centro_costo]],tblCECO[codigo],tblCECO[area],"(sin catálogo)"))</f>
        <v/>
      </c>
      <c r="W6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2" s="3">
        <f>IF(tblOrdenes[[#This Row],[centro_costo]]="","",_xlfn.XLOOKUP(tblOrdenes[[#This Row],[centro_costo]],tblCECO[codigo],tblCECO[coordinador],"(sin catálogo)"))</f>
        <v/>
      </c>
      <c r="Y682" s="3">
        <f>IF(tblOrdenes[[#This Row],[puesto_trabajo]]="","",_xlfn.XLOOKUP(tblOrdenes[[#This Row],[puesto_trabajo]],tblPuestos[codigo],tblPuestos[especialidad],"(sin catálogo)"))</f>
        <v/>
      </c>
      <c r="Z682" s="3">
        <f>IF(tblOrdenes[[#This Row],[cod_actividad]]="","",_xlfn.XLOOKUP(tblOrdenes[[#This Row],[cod_actividad]],tblActividades[codigo],tblActividades[descripcion],"(sin catálogo)"))</f>
        <v/>
      </c>
      <c r="AA682" s="13">
        <f>IF(tblOrdenes[[#This Row],[fecha_inicio]]="","",TODAY()-tblOrdenes[[#This Row],[fecha_inicio]])</f>
        <v/>
      </c>
      <c r="AB6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2" s="3">
        <f>IF(tblOrdenes[[#This Row],[backlog_habiles]]="","",IF(tblOrdenes[[#This Row],[backlog_habiles]]&lt;0,"FUTURO",IF(tblOrdenes[[#This Row],[backlog_habiles]]&gt;p_dias_backlog_max,"BACKLOG","MES CORRIENTE")))</f>
        <v/>
      </c>
      <c r="AD682" s="3">
        <f>IF(tblOrdenes[[#This Row],[backlog_habiles]]="",FALSE,AND(tblOrdenes[[#This Row],[backlog_habiles]]&gt;p_dias_backlog_min,tblOrdenes[[#This Row],[backlog_habiles]]&lt;=p_dias_backlog_max))</f>
        <v/>
      </c>
      <c r="AE682" s="6" t="n"/>
      <c r="AF6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2" s="11">
        <f>IF(tblOrdenes[[#This Row],[orden]]="","",_xlfn.XLOOKUP(tblOrdenes[[#This Row],[id_operacion]],tblEjecucion[id_operacion],tblEjecucion[precio],0))</f>
        <v/>
      </c>
      <c r="AJ682" s="11">
        <f>IF(tblOrdenes[[#This Row],[orden]]="","",MAX(0,_xlfn.XLOOKUP(tblOrdenes[[#This Row],[id_operacion]],tblEjecucion[id_operacion],tblEjecucion[costo_plan_total],0)-tblOrdenes[[#This Row],[costo_servicio]]))</f>
        <v/>
      </c>
      <c r="AK682" s="11">
        <f>IF(tblOrdenes[[#This Row],[orden]]="","",tblOrdenes[[#This Row],[costo_servicio]]+tblOrdenes[[#This Row],[costo_materiales]])</f>
        <v/>
      </c>
      <c r="AL682" s="6" t="n"/>
      <c r="AM682" s="6" t="n"/>
      <c r="AN682" s="6" t="n"/>
      <c r="AO682" s="3">
        <f>IF(tblOrdenes[[#This Row],[link_checklist]]="","",HYPERLINK(p_ruta_base_checklists&amp;tblOrdenes[[#This Row],[link_checklist]],"abrir"))</f>
        <v/>
      </c>
      <c r="AP682" s="6" t="n"/>
      <c r="AQ682" s="3">
        <f>IF(tblOrdenes[[#This Row],[orden]]="","",tblOrdenes[[#This Row],[orden]]&amp;IF(tblOrdenes[[#This Row],[operacion]]="","0010",tblOrdenes[[#This Row],[operacion]]))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2" t="n"/>
      <c r="K683" s="3" t="n"/>
      <c r="L683" s="11" t="n"/>
      <c r="M6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3" s="3">
        <f>IF(tblOrdenes[[#This Row],[fecha_inicio]]="","",YEAR(tblOrdenes[[#This Row],[fecha_inicio]]))</f>
        <v/>
      </c>
      <c r="Q683" s="3">
        <f>IF(tblOrdenes[[#This Row],[fecha_inicio]]="","",MONTH(tblOrdenes[[#This Row],[fecha_inicio]]))</f>
        <v/>
      </c>
      <c r="R683" s="3">
        <f>IF(tblOrdenes[[#This Row],[fecha_inicio]]="","",INDEX(lista_dias,WEEKDAY(tblOrdenes[[#This Row],[fecha_inicio]],2)))</f>
        <v/>
      </c>
      <c r="S6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3" s="3">
        <f>IF(tblOrdenes[[#This Row],[tipo_ot]]="","",_xlfn.XLOOKUP(tblOrdenes[[#This Row],[tipo_ot]],tblTiposOT[codigo],tblTiposOT[clasificacion],"sin_clasificar"))</f>
        <v/>
      </c>
      <c r="U683" s="3">
        <f>IF(tblOrdenes[[#This Row],[centro_costo]]="","",_xlfn.XLOOKUP(tblOrdenes[[#This Row],[centro_costo]],tblCECO[codigo],tblCECO[linea],"(sin catálogo)"))</f>
        <v/>
      </c>
      <c r="V683" s="3">
        <f>IF(tblOrdenes[[#This Row],[centro_costo]]="","",_xlfn.XLOOKUP(tblOrdenes[[#This Row],[centro_costo]],tblCECO[codigo],tblCECO[area],"(sin catálogo)"))</f>
        <v/>
      </c>
      <c r="W6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3" s="3">
        <f>IF(tblOrdenes[[#This Row],[centro_costo]]="","",_xlfn.XLOOKUP(tblOrdenes[[#This Row],[centro_costo]],tblCECO[codigo],tblCECO[coordinador],"(sin catálogo)"))</f>
        <v/>
      </c>
      <c r="Y683" s="3">
        <f>IF(tblOrdenes[[#This Row],[puesto_trabajo]]="","",_xlfn.XLOOKUP(tblOrdenes[[#This Row],[puesto_trabajo]],tblPuestos[codigo],tblPuestos[especialidad],"(sin catálogo)"))</f>
        <v/>
      </c>
      <c r="Z683" s="3">
        <f>IF(tblOrdenes[[#This Row],[cod_actividad]]="","",_xlfn.XLOOKUP(tblOrdenes[[#This Row],[cod_actividad]],tblActividades[codigo],tblActividades[descripcion],"(sin catálogo)"))</f>
        <v/>
      </c>
      <c r="AA683" s="13">
        <f>IF(tblOrdenes[[#This Row],[fecha_inicio]]="","",TODAY()-tblOrdenes[[#This Row],[fecha_inicio]])</f>
        <v/>
      </c>
      <c r="AB6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3" s="3">
        <f>IF(tblOrdenes[[#This Row],[backlog_habiles]]="","",IF(tblOrdenes[[#This Row],[backlog_habiles]]&lt;0,"FUTURO",IF(tblOrdenes[[#This Row],[backlog_habiles]]&gt;p_dias_backlog_max,"BACKLOG","MES CORRIENTE")))</f>
        <v/>
      </c>
      <c r="AD683" s="3">
        <f>IF(tblOrdenes[[#This Row],[backlog_habiles]]="",FALSE,AND(tblOrdenes[[#This Row],[backlog_habiles]]&gt;p_dias_backlog_min,tblOrdenes[[#This Row],[backlog_habiles]]&lt;=p_dias_backlog_max))</f>
        <v/>
      </c>
      <c r="AE683" s="6" t="n"/>
      <c r="AF6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3" s="11">
        <f>IF(tblOrdenes[[#This Row],[orden]]="","",_xlfn.XLOOKUP(tblOrdenes[[#This Row],[id_operacion]],tblEjecucion[id_operacion],tblEjecucion[precio],0))</f>
        <v/>
      </c>
      <c r="AJ683" s="11">
        <f>IF(tblOrdenes[[#This Row],[orden]]="","",MAX(0,_xlfn.XLOOKUP(tblOrdenes[[#This Row],[id_operacion]],tblEjecucion[id_operacion],tblEjecucion[costo_plan_total],0)-tblOrdenes[[#This Row],[costo_servicio]]))</f>
        <v/>
      </c>
      <c r="AK683" s="11">
        <f>IF(tblOrdenes[[#This Row],[orden]]="","",tblOrdenes[[#This Row],[costo_servicio]]+tblOrdenes[[#This Row],[costo_materiales]])</f>
        <v/>
      </c>
      <c r="AL683" s="6" t="n"/>
      <c r="AM683" s="6" t="n"/>
      <c r="AN683" s="6" t="n"/>
      <c r="AO683" s="3">
        <f>IF(tblOrdenes[[#This Row],[link_checklist]]="","",HYPERLINK(p_ruta_base_checklists&amp;tblOrdenes[[#This Row],[link_checklist]],"abrir"))</f>
        <v/>
      </c>
      <c r="AP683" s="6" t="n"/>
      <c r="AQ683" s="3">
        <f>IF(tblOrdenes[[#This Row],[orden]]="","",tblOrdenes[[#This Row],[orden]]&amp;IF(tblOrdenes[[#This Row],[operacion]]="","0010",tblOrdenes[[#This Row],[operacion]]))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2" t="n"/>
      <c r="K684" s="3" t="n"/>
      <c r="L684" s="11" t="n"/>
      <c r="M6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4" s="3">
        <f>IF(tblOrdenes[[#This Row],[fecha_inicio]]="","",YEAR(tblOrdenes[[#This Row],[fecha_inicio]]))</f>
        <v/>
      </c>
      <c r="Q684" s="3">
        <f>IF(tblOrdenes[[#This Row],[fecha_inicio]]="","",MONTH(tblOrdenes[[#This Row],[fecha_inicio]]))</f>
        <v/>
      </c>
      <c r="R684" s="3">
        <f>IF(tblOrdenes[[#This Row],[fecha_inicio]]="","",INDEX(lista_dias,WEEKDAY(tblOrdenes[[#This Row],[fecha_inicio]],2)))</f>
        <v/>
      </c>
      <c r="S6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4" s="3">
        <f>IF(tblOrdenes[[#This Row],[tipo_ot]]="","",_xlfn.XLOOKUP(tblOrdenes[[#This Row],[tipo_ot]],tblTiposOT[codigo],tblTiposOT[clasificacion],"sin_clasificar"))</f>
        <v/>
      </c>
      <c r="U684" s="3">
        <f>IF(tblOrdenes[[#This Row],[centro_costo]]="","",_xlfn.XLOOKUP(tblOrdenes[[#This Row],[centro_costo]],tblCECO[codigo],tblCECO[linea],"(sin catálogo)"))</f>
        <v/>
      </c>
      <c r="V684" s="3">
        <f>IF(tblOrdenes[[#This Row],[centro_costo]]="","",_xlfn.XLOOKUP(tblOrdenes[[#This Row],[centro_costo]],tblCECO[codigo],tblCECO[area],"(sin catálogo)"))</f>
        <v/>
      </c>
      <c r="W6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4" s="3">
        <f>IF(tblOrdenes[[#This Row],[centro_costo]]="","",_xlfn.XLOOKUP(tblOrdenes[[#This Row],[centro_costo]],tblCECO[codigo],tblCECO[coordinador],"(sin catálogo)"))</f>
        <v/>
      </c>
      <c r="Y684" s="3">
        <f>IF(tblOrdenes[[#This Row],[puesto_trabajo]]="","",_xlfn.XLOOKUP(tblOrdenes[[#This Row],[puesto_trabajo]],tblPuestos[codigo],tblPuestos[especialidad],"(sin catálogo)"))</f>
        <v/>
      </c>
      <c r="Z684" s="3">
        <f>IF(tblOrdenes[[#This Row],[cod_actividad]]="","",_xlfn.XLOOKUP(tblOrdenes[[#This Row],[cod_actividad]],tblActividades[codigo],tblActividades[descripcion],"(sin catálogo)"))</f>
        <v/>
      </c>
      <c r="AA684" s="13">
        <f>IF(tblOrdenes[[#This Row],[fecha_inicio]]="","",TODAY()-tblOrdenes[[#This Row],[fecha_inicio]])</f>
        <v/>
      </c>
      <c r="AB6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4" s="3">
        <f>IF(tblOrdenes[[#This Row],[backlog_habiles]]="","",IF(tblOrdenes[[#This Row],[backlog_habiles]]&lt;0,"FUTURO",IF(tblOrdenes[[#This Row],[backlog_habiles]]&gt;p_dias_backlog_max,"BACKLOG","MES CORRIENTE")))</f>
        <v/>
      </c>
      <c r="AD684" s="3">
        <f>IF(tblOrdenes[[#This Row],[backlog_habiles]]="",FALSE,AND(tblOrdenes[[#This Row],[backlog_habiles]]&gt;p_dias_backlog_min,tblOrdenes[[#This Row],[backlog_habiles]]&lt;=p_dias_backlog_max))</f>
        <v/>
      </c>
      <c r="AE684" s="6" t="n"/>
      <c r="AF6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4" s="11">
        <f>IF(tblOrdenes[[#This Row],[orden]]="","",_xlfn.XLOOKUP(tblOrdenes[[#This Row],[id_operacion]],tblEjecucion[id_operacion],tblEjecucion[precio],0))</f>
        <v/>
      </c>
      <c r="AJ684" s="11">
        <f>IF(tblOrdenes[[#This Row],[orden]]="","",MAX(0,_xlfn.XLOOKUP(tblOrdenes[[#This Row],[id_operacion]],tblEjecucion[id_operacion],tblEjecucion[costo_plan_total],0)-tblOrdenes[[#This Row],[costo_servicio]]))</f>
        <v/>
      </c>
      <c r="AK684" s="11">
        <f>IF(tblOrdenes[[#This Row],[orden]]="","",tblOrdenes[[#This Row],[costo_servicio]]+tblOrdenes[[#This Row],[costo_materiales]])</f>
        <v/>
      </c>
      <c r="AL684" s="6" t="n"/>
      <c r="AM684" s="6" t="n"/>
      <c r="AN684" s="6" t="n"/>
      <c r="AO684" s="3">
        <f>IF(tblOrdenes[[#This Row],[link_checklist]]="","",HYPERLINK(p_ruta_base_checklists&amp;tblOrdenes[[#This Row],[link_checklist]],"abrir"))</f>
        <v/>
      </c>
      <c r="AP684" s="6" t="n"/>
      <c r="AQ684" s="3">
        <f>IF(tblOrdenes[[#This Row],[orden]]="","",tblOrdenes[[#This Row],[orden]]&amp;IF(tblOrdenes[[#This Row],[operacion]]="","0010",tblOrdenes[[#This Row],[operacion]]))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2" t="n"/>
      <c r="K685" s="3" t="n"/>
      <c r="L685" s="11" t="n"/>
      <c r="M6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5" s="3">
        <f>IF(tblOrdenes[[#This Row],[fecha_inicio]]="","",YEAR(tblOrdenes[[#This Row],[fecha_inicio]]))</f>
        <v/>
      </c>
      <c r="Q685" s="3">
        <f>IF(tblOrdenes[[#This Row],[fecha_inicio]]="","",MONTH(tblOrdenes[[#This Row],[fecha_inicio]]))</f>
        <v/>
      </c>
      <c r="R685" s="3">
        <f>IF(tblOrdenes[[#This Row],[fecha_inicio]]="","",INDEX(lista_dias,WEEKDAY(tblOrdenes[[#This Row],[fecha_inicio]],2)))</f>
        <v/>
      </c>
      <c r="S6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5" s="3">
        <f>IF(tblOrdenes[[#This Row],[tipo_ot]]="","",_xlfn.XLOOKUP(tblOrdenes[[#This Row],[tipo_ot]],tblTiposOT[codigo],tblTiposOT[clasificacion],"sin_clasificar"))</f>
        <v/>
      </c>
      <c r="U685" s="3">
        <f>IF(tblOrdenes[[#This Row],[centro_costo]]="","",_xlfn.XLOOKUP(tblOrdenes[[#This Row],[centro_costo]],tblCECO[codigo],tblCECO[linea],"(sin catálogo)"))</f>
        <v/>
      </c>
      <c r="V685" s="3">
        <f>IF(tblOrdenes[[#This Row],[centro_costo]]="","",_xlfn.XLOOKUP(tblOrdenes[[#This Row],[centro_costo]],tblCECO[codigo],tblCECO[area],"(sin catálogo)"))</f>
        <v/>
      </c>
      <c r="W6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5" s="3">
        <f>IF(tblOrdenes[[#This Row],[centro_costo]]="","",_xlfn.XLOOKUP(tblOrdenes[[#This Row],[centro_costo]],tblCECO[codigo],tblCECO[coordinador],"(sin catálogo)"))</f>
        <v/>
      </c>
      <c r="Y685" s="3">
        <f>IF(tblOrdenes[[#This Row],[puesto_trabajo]]="","",_xlfn.XLOOKUP(tblOrdenes[[#This Row],[puesto_trabajo]],tblPuestos[codigo],tblPuestos[especialidad],"(sin catálogo)"))</f>
        <v/>
      </c>
      <c r="Z685" s="3">
        <f>IF(tblOrdenes[[#This Row],[cod_actividad]]="","",_xlfn.XLOOKUP(tblOrdenes[[#This Row],[cod_actividad]],tblActividades[codigo],tblActividades[descripcion],"(sin catálogo)"))</f>
        <v/>
      </c>
      <c r="AA685" s="13">
        <f>IF(tblOrdenes[[#This Row],[fecha_inicio]]="","",TODAY()-tblOrdenes[[#This Row],[fecha_inicio]])</f>
        <v/>
      </c>
      <c r="AB6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5" s="3">
        <f>IF(tblOrdenes[[#This Row],[backlog_habiles]]="","",IF(tblOrdenes[[#This Row],[backlog_habiles]]&lt;0,"FUTURO",IF(tblOrdenes[[#This Row],[backlog_habiles]]&gt;p_dias_backlog_max,"BACKLOG","MES CORRIENTE")))</f>
        <v/>
      </c>
      <c r="AD685" s="3">
        <f>IF(tblOrdenes[[#This Row],[backlog_habiles]]="",FALSE,AND(tblOrdenes[[#This Row],[backlog_habiles]]&gt;p_dias_backlog_min,tblOrdenes[[#This Row],[backlog_habiles]]&lt;=p_dias_backlog_max))</f>
        <v/>
      </c>
      <c r="AE685" s="6" t="n"/>
      <c r="AF6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5" s="11">
        <f>IF(tblOrdenes[[#This Row],[orden]]="","",_xlfn.XLOOKUP(tblOrdenes[[#This Row],[id_operacion]],tblEjecucion[id_operacion],tblEjecucion[precio],0))</f>
        <v/>
      </c>
      <c r="AJ685" s="11">
        <f>IF(tblOrdenes[[#This Row],[orden]]="","",MAX(0,_xlfn.XLOOKUP(tblOrdenes[[#This Row],[id_operacion]],tblEjecucion[id_operacion],tblEjecucion[costo_plan_total],0)-tblOrdenes[[#This Row],[costo_servicio]]))</f>
        <v/>
      </c>
      <c r="AK685" s="11">
        <f>IF(tblOrdenes[[#This Row],[orden]]="","",tblOrdenes[[#This Row],[costo_servicio]]+tblOrdenes[[#This Row],[costo_materiales]])</f>
        <v/>
      </c>
      <c r="AL685" s="6" t="n"/>
      <c r="AM685" s="6" t="n"/>
      <c r="AN685" s="6" t="n"/>
      <c r="AO685" s="3">
        <f>IF(tblOrdenes[[#This Row],[link_checklist]]="","",HYPERLINK(p_ruta_base_checklists&amp;tblOrdenes[[#This Row],[link_checklist]],"abrir"))</f>
        <v/>
      </c>
      <c r="AP685" s="6" t="n"/>
      <c r="AQ685" s="3">
        <f>IF(tblOrdenes[[#This Row],[orden]]="","",tblOrdenes[[#This Row],[orden]]&amp;IF(tblOrdenes[[#This Row],[operacion]]="","0010",tblOrdenes[[#This Row],[operacion]]))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2" t="n"/>
      <c r="K686" s="3" t="n"/>
      <c r="L686" s="11" t="n"/>
      <c r="M6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6" s="3">
        <f>IF(tblOrdenes[[#This Row],[fecha_inicio]]="","",YEAR(tblOrdenes[[#This Row],[fecha_inicio]]))</f>
        <v/>
      </c>
      <c r="Q686" s="3">
        <f>IF(tblOrdenes[[#This Row],[fecha_inicio]]="","",MONTH(tblOrdenes[[#This Row],[fecha_inicio]]))</f>
        <v/>
      </c>
      <c r="R686" s="3">
        <f>IF(tblOrdenes[[#This Row],[fecha_inicio]]="","",INDEX(lista_dias,WEEKDAY(tblOrdenes[[#This Row],[fecha_inicio]],2)))</f>
        <v/>
      </c>
      <c r="S6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6" s="3">
        <f>IF(tblOrdenes[[#This Row],[tipo_ot]]="","",_xlfn.XLOOKUP(tblOrdenes[[#This Row],[tipo_ot]],tblTiposOT[codigo],tblTiposOT[clasificacion],"sin_clasificar"))</f>
        <v/>
      </c>
      <c r="U686" s="3">
        <f>IF(tblOrdenes[[#This Row],[centro_costo]]="","",_xlfn.XLOOKUP(tblOrdenes[[#This Row],[centro_costo]],tblCECO[codigo],tblCECO[linea],"(sin catálogo)"))</f>
        <v/>
      </c>
      <c r="V686" s="3">
        <f>IF(tblOrdenes[[#This Row],[centro_costo]]="","",_xlfn.XLOOKUP(tblOrdenes[[#This Row],[centro_costo]],tblCECO[codigo],tblCECO[area],"(sin catálogo)"))</f>
        <v/>
      </c>
      <c r="W6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6" s="3">
        <f>IF(tblOrdenes[[#This Row],[centro_costo]]="","",_xlfn.XLOOKUP(tblOrdenes[[#This Row],[centro_costo]],tblCECO[codigo],tblCECO[coordinador],"(sin catálogo)"))</f>
        <v/>
      </c>
      <c r="Y686" s="3">
        <f>IF(tblOrdenes[[#This Row],[puesto_trabajo]]="","",_xlfn.XLOOKUP(tblOrdenes[[#This Row],[puesto_trabajo]],tblPuestos[codigo],tblPuestos[especialidad],"(sin catálogo)"))</f>
        <v/>
      </c>
      <c r="Z686" s="3">
        <f>IF(tblOrdenes[[#This Row],[cod_actividad]]="","",_xlfn.XLOOKUP(tblOrdenes[[#This Row],[cod_actividad]],tblActividades[codigo],tblActividades[descripcion],"(sin catálogo)"))</f>
        <v/>
      </c>
      <c r="AA686" s="13">
        <f>IF(tblOrdenes[[#This Row],[fecha_inicio]]="","",TODAY()-tblOrdenes[[#This Row],[fecha_inicio]])</f>
        <v/>
      </c>
      <c r="AB6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6" s="3">
        <f>IF(tblOrdenes[[#This Row],[backlog_habiles]]="","",IF(tblOrdenes[[#This Row],[backlog_habiles]]&lt;0,"FUTURO",IF(tblOrdenes[[#This Row],[backlog_habiles]]&gt;p_dias_backlog_max,"BACKLOG","MES CORRIENTE")))</f>
        <v/>
      </c>
      <c r="AD686" s="3">
        <f>IF(tblOrdenes[[#This Row],[backlog_habiles]]="",FALSE,AND(tblOrdenes[[#This Row],[backlog_habiles]]&gt;p_dias_backlog_min,tblOrdenes[[#This Row],[backlog_habiles]]&lt;=p_dias_backlog_max))</f>
        <v/>
      </c>
      <c r="AE686" s="6" t="n"/>
      <c r="AF6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6" s="11">
        <f>IF(tblOrdenes[[#This Row],[orden]]="","",_xlfn.XLOOKUP(tblOrdenes[[#This Row],[id_operacion]],tblEjecucion[id_operacion],tblEjecucion[precio],0))</f>
        <v/>
      </c>
      <c r="AJ686" s="11">
        <f>IF(tblOrdenes[[#This Row],[orden]]="","",MAX(0,_xlfn.XLOOKUP(tblOrdenes[[#This Row],[id_operacion]],tblEjecucion[id_operacion],tblEjecucion[costo_plan_total],0)-tblOrdenes[[#This Row],[costo_servicio]]))</f>
        <v/>
      </c>
      <c r="AK686" s="11">
        <f>IF(tblOrdenes[[#This Row],[orden]]="","",tblOrdenes[[#This Row],[costo_servicio]]+tblOrdenes[[#This Row],[costo_materiales]])</f>
        <v/>
      </c>
      <c r="AL686" s="6" t="n"/>
      <c r="AM686" s="6" t="n"/>
      <c r="AN686" s="6" t="n"/>
      <c r="AO686" s="3">
        <f>IF(tblOrdenes[[#This Row],[link_checklist]]="","",HYPERLINK(p_ruta_base_checklists&amp;tblOrdenes[[#This Row],[link_checklist]],"abrir"))</f>
        <v/>
      </c>
      <c r="AP686" s="6" t="n"/>
      <c r="AQ686" s="3">
        <f>IF(tblOrdenes[[#This Row],[orden]]="","",tblOrdenes[[#This Row],[orden]]&amp;IF(tblOrdenes[[#This Row],[operacion]]="","0010",tblOrdenes[[#This Row],[operacion]]))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2" t="n"/>
      <c r="K687" s="3" t="n"/>
      <c r="L687" s="11" t="n"/>
      <c r="M6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7" s="3">
        <f>IF(tblOrdenes[[#This Row],[fecha_inicio]]="","",YEAR(tblOrdenes[[#This Row],[fecha_inicio]]))</f>
        <v/>
      </c>
      <c r="Q687" s="3">
        <f>IF(tblOrdenes[[#This Row],[fecha_inicio]]="","",MONTH(tblOrdenes[[#This Row],[fecha_inicio]]))</f>
        <v/>
      </c>
      <c r="R687" s="3">
        <f>IF(tblOrdenes[[#This Row],[fecha_inicio]]="","",INDEX(lista_dias,WEEKDAY(tblOrdenes[[#This Row],[fecha_inicio]],2)))</f>
        <v/>
      </c>
      <c r="S6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7" s="3">
        <f>IF(tblOrdenes[[#This Row],[tipo_ot]]="","",_xlfn.XLOOKUP(tblOrdenes[[#This Row],[tipo_ot]],tblTiposOT[codigo],tblTiposOT[clasificacion],"sin_clasificar"))</f>
        <v/>
      </c>
      <c r="U687" s="3">
        <f>IF(tblOrdenes[[#This Row],[centro_costo]]="","",_xlfn.XLOOKUP(tblOrdenes[[#This Row],[centro_costo]],tblCECO[codigo],tblCECO[linea],"(sin catálogo)"))</f>
        <v/>
      </c>
      <c r="V687" s="3">
        <f>IF(tblOrdenes[[#This Row],[centro_costo]]="","",_xlfn.XLOOKUP(tblOrdenes[[#This Row],[centro_costo]],tblCECO[codigo],tblCECO[area],"(sin catálogo)"))</f>
        <v/>
      </c>
      <c r="W6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7" s="3">
        <f>IF(tblOrdenes[[#This Row],[centro_costo]]="","",_xlfn.XLOOKUP(tblOrdenes[[#This Row],[centro_costo]],tblCECO[codigo],tblCECO[coordinador],"(sin catálogo)"))</f>
        <v/>
      </c>
      <c r="Y687" s="3">
        <f>IF(tblOrdenes[[#This Row],[puesto_trabajo]]="","",_xlfn.XLOOKUP(tblOrdenes[[#This Row],[puesto_trabajo]],tblPuestos[codigo],tblPuestos[especialidad],"(sin catálogo)"))</f>
        <v/>
      </c>
      <c r="Z687" s="3">
        <f>IF(tblOrdenes[[#This Row],[cod_actividad]]="","",_xlfn.XLOOKUP(tblOrdenes[[#This Row],[cod_actividad]],tblActividades[codigo],tblActividades[descripcion],"(sin catálogo)"))</f>
        <v/>
      </c>
      <c r="AA687" s="13">
        <f>IF(tblOrdenes[[#This Row],[fecha_inicio]]="","",TODAY()-tblOrdenes[[#This Row],[fecha_inicio]])</f>
        <v/>
      </c>
      <c r="AB6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7" s="3">
        <f>IF(tblOrdenes[[#This Row],[backlog_habiles]]="","",IF(tblOrdenes[[#This Row],[backlog_habiles]]&lt;0,"FUTURO",IF(tblOrdenes[[#This Row],[backlog_habiles]]&gt;p_dias_backlog_max,"BACKLOG","MES CORRIENTE")))</f>
        <v/>
      </c>
      <c r="AD687" s="3">
        <f>IF(tblOrdenes[[#This Row],[backlog_habiles]]="",FALSE,AND(tblOrdenes[[#This Row],[backlog_habiles]]&gt;p_dias_backlog_min,tblOrdenes[[#This Row],[backlog_habiles]]&lt;=p_dias_backlog_max))</f>
        <v/>
      </c>
      <c r="AE687" s="6" t="n"/>
      <c r="AF6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7" s="11">
        <f>IF(tblOrdenes[[#This Row],[orden]]="","",_xlfn.XLOOKUP(tblOrdenes[[#This Row],[id_operacion]],tblEjecucion[id_operacion],tblEjecucion[precio],0))</f>
        <v/>
      </c>
      <c r="AJ687" s="11">
        <f>IF(tblOrdenes[[#This Row],[orden]]="","",MAX(0,_xlfn.XLOOKUP(tblOrdenes[[#This Row],[id_operacion]],tblEjecucion[id_operacion],tblEjecucion[costo_plan_total],0)-tblOrdenes[[#This Row],[costo_servicio]]))</f>
        <v/>
      </c>
      <c r="AK687" s="11">
        <f>IF(tblOrdenes[[#This Row],[orden]]="","",tblOrdenes[[#This Row],[costo_servicio]]+tblOrdenes[[#This Row],[costo_materiales]])</f>
        <v/>
      </c>
      <c r="AL687" s="6" t="n"/>
      <c r="AM687" s="6" t="n"/>
      <c r="AN687" s="6" t="n"/>
      <c r="AO687" s="3">
        <f>IF(tblOrdenes[[#This Row],[link_checklist]]="","",HYPERLINK(p_ruta_base_checklists&amp;tblOrdenes[[#This Row],[link_checklist]],"abrir"))</f>
        <v/>
      </c>
      <c r="AP687" s="6" t="n"/>
      <c r="AQ687" s="3">
        <f>IF(tblOrdenes[[#This Row],[orden]]="","",tblOrdenes[[#This Row],[orden]]&amp;IF(tblOrdenes[[#This Row],[operacion]]="","0010",tblOrdenes[[#This Row],[operacion]]))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2" t="n"/>
      <c r="K688" s="3" t="n"/>
      <c r="L688" s="11" t="n"/>
      <c r="M6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8" s="3">
        <f>IF(tblOrdenes[[#This Row],[fecha_inicio]]="","",YEAR(tblOrdenes[[#This Row],[fecha_inicio]]))</f>
        <v/>
      </c>
      <c r="Q688" s="3">
        <f>IF(tblOrdenes[[#This Row],[fecha_inicio]]="","",MONTH(tblOrdenes[[#This Row],[fecha_inicio]]))</f>
        <v/>
      </c>
      <c r="R688" s="3">
        <f>IF(tblOrdenes[[#This Row],[fecha_inicio]]="","",INDEX(lista_dias,WEEKDAY(tblOrdenes[[#This Row],[fecha_inicio]],2)))</f>
        <v/>
      </c>
      <c r="S6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8" s="3">
        <f>IF(tblOrdenes[[#This Row],[tipo_ot]]="","",_xlfn.XLOOKUP(tblOrdenes[[#This Row],[tipo_ot]],tblTiposOT[codigo],tblTiposOT[clasificacion],"sin_clasificar"))</f>
        <v/>
      </c>
      <c r="U688" s="3">
        <f>IF(tblOrdenes[[#This Row],[centro_costo]]="","",_xlfn.XLOOKUP(tblOrdenes[[#This Row],[centro_costo]],tblCECO[codigo],tblCECO[linea],"(sin catálogo)"))</f>
        <v/>
      </c>
      <c r="V688" s="3">
        <f>IF(tblOrdenes[[#This Row],[centro_costo]]="","",_xlfn.XLOOKUP(tblOrdenes[[#This Row],[centro_costo]],tblCECO[codigo],tblCECO[area],"(sin catálogo)"))</f>
        <v/>
      </c>
      <c r="W6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8" s="3">
        <f>IF(tblOrdenes[[#This Row],[centro_costo]]="","",_xlfn.XLOOKUP(tblOrdenes[[#This Row],[centro_costo]],tblCECO[codigo],tblCECO[coordinador],"(sin catálogo)"))</f>
        <v/>
      </c>
      <c r="Y688" s="3">
        <f>IF(tblOrdenes[[#This Row],[puesto_trabajo]]="","",_xlfn.XLOOKUP(tblOrdenes[[#This Row],[puesto_trabajo]],tblPuestos[codigo],tblPuestos[especialidad],"(sin catálogo)"))</f>
        <v/>
      </c>
      <c r="Z688" s="3">
        <f>IF(tblOrdenes[[#This Row],[cod_actividad]]="","",_xlfn.XLOOKUP(tblOrdenes[[#This Row],[cod_actividad]],tblActividades[codigo],tblActividades[descripcion],"(sin catálogo)"))</f>
        <v/>
      </c>
      <c r="AA688" s="13">
        <f>IF(tblOrdenes[[#This Row],[fecha_inicio]]="","",TODAY()-tblOrdenes[[#This Row],[fecha_inicio]])</f>
        <v/>
      </c>
      <c r="AB6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8" s="3">
        <f>IF(tblOrdenes[[#This Row],[backlog_habiles]]="","",IF(tblOrdenes[[#This Row],[backlog_habiles]]&lt;0,"FUTURO",IF(tblOrdenes[[#This Row],[backlog_habiles]]&gt;p_dias_backlog_max,"BACKLOG","MES CORRIENTE")))</f>
        <v/>
      </c>
      <c r="AD688" s="3">
        <f>IF(tblOrdenes[[#This Row],[backlog_habiles]]="",FALSE,AND(tblOrdenes[[#This Row],[backlog_habiles]]&gt;p_dias_backlog_min,tblOrdenes[[#This Row],[backlog_habiles]]&lt;=p_dias_backlog_max))</f>
        <v/>
      </c>
      <c r="AE688" s="6" t="n"/>
      <c r="AF6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8" s="11">
        <f>IF(tblOrdenes[[#This Row],[orden]]="","",_xlfn.XLOOKUP(tblOrdenes[[#This Row],[id_operacion]],tblEjecucion[id_operacion],tblEjecucion[precio],0))</f>
        <v/>
      </c>
      <c r="AJ688" s="11">
        <f>IF(tblOrdenes[[#This Row],[orden]]="","",MAX(0,_xlfn.XLOOKUP(tblOrdenes[[#This Row],[id_operacion]],tblEjecucion[id_operacion],tblEjecucion[costo_plan_total],0)-tblOrdenes[[#This Row],[costo_servicio]]))</f>
        <v/>
      </c>
      <c r="AK688" s="11">
        <f>IF(tblOrdenes[[#This Row],[orden]]="","",tblOrdenes[[#This Row],[costo_servicio]]+tblOrdenes[[#This Row],[costo_materiales]])</f>
        <v/>
      </c>
      <c r="AL688" s="6" t="n"/>
      <c r="AM688" s="6" t="n"/>
      <c r="AN688" s="6" t="n"/>
      <c r="AO688" s="3">
        <f>IF(tblOrdenes[[#This Row],[link_checklist]]="","",HYPERLINK(p_ruta_base_checklists&amp;tblOrdenes[[#This Row],[link_checklist]],"abrir"))</f>
        <v/>
      </c>
      <c r="AP688" s="6" t="n"/>
      <c r="AQ688" s="3">
        <f>IF(tblOrdenes[[#This Row],[orden]]="","",tblOrdenes[[#This Row],[orden]]&amp;IF(tblOrdenes[[#This Row],[operacion]]="","0010",tblOrdenes[[#This Row],[operacion]]))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2" t="n"/>
      <c r="K689" s="3" t="n"/>
      <c r="L689" s="11" t="n"/>
      <c r="M6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9" s="3">
        <f>IF(tblOrdenes[[#This Row],[fecha_inicio]]="","",YEAR(tblOrdenes[[#This Row],[fecha_inicio]]))</f>
        <v/>
      </c>
      <c r="Q689" s="3">
        <f>IF(tblOrdenes[[#This Row],[fecha_inicio]]="","",MONTH(tblOrdenes[[#This Row],[fecha_inicio]]))</f>
        <v/>
      </c>
      <c r="R689" s="3">
        <f>IF(tblOrdenes[[#This Row],[fecha_inicio]]="","",INDEX(lista_dias,WEEKDAY(tblOrdenes[[#This Row],[fecha_inicio]],2)))</f>
        <v/>
      </c>
      <c r="S6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9" s="3">
        <f>IF(tblOrdenes[[#This Row],[tipo_ot]]="","",_xlfn.XLOOKUP(tblOrdenes[[#This Row],[tipo_ot]],tblTiposOT[codigo],tblTiposOT[clasificacion],"sin_clasificar"))</f>
        <v/>
      </c>
      <c r="U689" s="3">
        <f>IF(tblOrdenes[[#This Row],[centro_costo]]="","",_xlfn.XLOOKUP(tblOrdenes[[#This Row],[centro_costo]],tblCECO[codigo],tblCECO[linea],"(sin catálogo)"))</f>
        <v/>
      </c>
      <c r="V689" s="3">
        <f>IF(tblOrdenes[[#This Row],[centro_costo]]="","",_xlfn.XLOOKUP(tblOrdenes[[#This Row],[centro_costo]],tblCECO[codigo],tblCECO[area],"(sin catálogo)"))</f>
        <v/>
      </c>
      <c r="W6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9" s="3">
        <f>IF(tblOrdenes[[#This Row],[centro_costo]]="","",_xlfn.XLOOKUP(tblOrdenes[[#This Row],[centro_costo]],tblCECO[codigo],tblCECO[coordinador],"(sin catálogo)"))</f>
        <v/>
      </c>
      <c r="Y689" s="3">
        <f>IF(tblOrdenes[[#This Row],[puesto_trabajo]]="","",_xlfn.XLOOKUP(tblOrdenes[[#This Row],[puesto_trabajo]],tblPuestos[codigo],tblPuestos[especialidad],"(sin catálogo)"))</f>
        <v/>
      </c>
      <c r="Z689" s="3">
        <f>IF(tblOrdenes[[#This Row],[cod_actividad]]="","",_xlfn.XLOOKUP(tblOrdenes[[#This Row],[cod_actividad]],tblActividades[codigo],tblActividades[descripcion],"(sin catálogo)"))</f>
        <v/>
      </c>
      <c r="AA689" s="13">
        <f>IF(tblOrdenes[[#This Row],[fecha_inicio]]="","",TODAY()-tblOrdenes[[#This Row],[fecha_inicio]])</f>
        <v/>
      </c>
      <c r="AB6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9" s="3">
        <f>IF(tblOrdenes[[#This Row],[backlog_habiles]]="","",IF(tblOrdenes[[#This Row],[backlog_habiles]]&lt;0,"FUTURO",IF(tblOrdenes[[#This Row],[backlog_habiles]]&gt;p_dias_backlog_max,"BACKLOG","MES CORRIENTE")))</f>
        <v/>
      </c>
      <c r="AD689" s="3">
        <f>IF(tblOrdenes[[#This Row],[backlog_habiles]]="",FALSE,AND(tblOrdenes[[#This Row],[backlog_habiles]]&gt;p_dias_backlog_min,tblOrdenes[[#This Row],[backlog_habiles]]&lt;=p_dias_backlog_max))</f>
        <v/>
      </c>
      <c r="AE689" s="6" t="n"/>
      <c r="AF6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9" s="11">
        <f>IF(tblOrdenes[[#This Row],[orden]]="","",_xlfn.XLOOKUP(tblOrdenes[[#This Row],[id_operacion]],tblEjecucion[id_operacion],tblEjecucion[precio],0))</f>
        <v/>
      </c>
      <c r="AJ689" s="11">
        <f>IF(tblOrdenes[[#This Row],[orden]]="","",MAX(0,_xlfn.XLOOKUP(tblOrdenes[[#This Row],[id_operacion]],tblEjecucion[id_operacion],tblEjecucion[costo_plan_total],0)-tblOrdenes[[#This Row],[costo_servicio]]))</f>
        <v/>
      </c>
      <c r="AK689" s="11">
        <f>IF(tblOrdenes[[#This Row],[orden]]="","",tblOrdenes[[#This Row],[costo_servicio]]+tblOrdenes[[#This Row],[costo_materiales]])</f>
        <v/>
      </c>
      <c r="AL689" s="6" t="n"/>
      <c r="AM689" s="6" t="n"/>
      <c r="AN689" s="6" t="n"/>
      <c r="AO689" s="3">
        <f>IF(tblOrdenes[[#This Row],[link_checklist]]="","",HYPERLINK(p_ruta_base_checklists&amp;tblOrdenes[[#This Row],[link_checklist]],"abrir"))</f>
        <v/>
      </c>
      <c r="AP689" s="6" t="n"/>
      <c r="AQ689" s="3">
        <f>IF(tblOrdenes[[#This Row],[orden]]="","",tblOrdenes[[#This Row],[orden]]&amp;IF(tblOrdenes[[#This Row],[operacion]]="","0010",tblOrdenes[[#This Row],[operacion]]))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2" t="n"/>
      <c r="K690" s="3" t="n"/>
      <c r="L690" s="11" t="n"/>
      <c r="M6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0" s="3">
        <f>IF(tblOrdenes[[#This Row],[fecha_inicio]]="","",YEAR(tblOrdenes[[#This Row],[fecha_inicio]]))</f>
        <v/>
      </c>
      <c r="Q690" s="3">
        <f>IF(tblOrdenes[[#This Row],[fecha_inicio]]="","",MONTH(tblOrdenes[[#This Row],[fecha_inicio]]))</f>
        <v/>
      </c>
      <c r="R690" s="3">
        <f>IF(tblOrdenes[[#This Row],[fecha_inicio]]="","",INDEX(lista_dias,WEEKDAY(tblOrdenes[[#This Row],[fecha_inicio]],2)))</f>
        <v/>
      </c>
      <c r="S6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0" s="3">
        <f>IF(tblOrdenes[[#This Row],[tipo_ot]]="","",_xlfn.XLOOKUP(tblOrdenes[[#This Row],[tipo_ot]],tblTiposOT[codigo],tblTiposOT[clasificacion],"sin_clasificar"))</f>
        <v/>
      </c>
      <c r="U690" s="3">
        <f>IF(tblOrdenes[[#This Row],[centro_costo]]="","",_xlfn.XLOOKUP(tblOrdenes[[#This Row],[centro_costo]],tblCECO[codigo],tblCECO[linea],"(sin catálogo)"))</f>
        <v/>
      </c>
      <c r="V690" s="3">
        <f>IF(tblOrdenes[[#This Row],[centro_costo]]="","",_xlfn.XLOOKUP(tblOrdenes[[#This Row],[centro_costo]],tblCECO[codigo],tblCECO[area],"(sin catálogo)"))</f>
        <v/>
      </c>
      <c r="W6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0" s="3">
        <f>IF(tblOrdenes[[#This Row],[centro_costo]]="","",_xlfn.XLOOKUP(tblOrdenes[[#This Row],[centro_costo]],tblCECO[codigo],tblCECO[coordinador],"(sin catálogo)"))</f>
        <v/>
      </c>
      <c r="Y690" s="3">
        <f>IF(tblOrdenes[[#This Row],[puesto_trabajo]]="","",_xlfn.XLOOKUP(tblOrdenes[[#This Row],[puesto_trabajo]],tblPuestos[codigo],tblPuestos[especialidad],"(sin catálogo)"))</f>
        <v/>
      </c>
      <c r="Z690" s="3">
        <f>IF(tblOrdenes[[#This Row],[cod_actividad]]="","",_xlfn.XLOOKUP(tblOrdenes[[#This Row],[cod_actividad]],tblActividades[codigo],tblActividades[descripcion],"(sin catálogo)"))</f>
        <v/>
      </c>
      <c r="AA690" s="13">
        <f>IF(tblOrdenes[[#This Row],[fecha_inicio]]="","",TODAY()-tblOrdenes[[#This Row],[fecha_inicio]])</f>
        <v/>
      </c>
      <c r="AB6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0" s="3">
        <f>IF(tblOrdenes[[#This Row],[backlog_habiles]]="","",IF(tblOrdenes[[#This Row],[backlog_habiles]]&lt;0,"FUTURO",IF(tblOrdenes[[#This Row],[backlog_habiles]]&gt;p_dias_backlog_max,"BACKLOG","MES CORRIENTE")))</f>
        <v/>
      </c>
      <c r="AD690" s="3">
        <f>IF(tblOrdenes[[#This Row],[backlog_habiles]]="",FALSE,AND(tblOrdenes[[#This Row],[backlog_habiles]]&gt;p_dias_backlog_min,tblOrdenes[[#This Row],[backlog_habiles]]&lt;=p_dias_backlog_max))</f>
        <v/>
      </c>
      <c r="AE690" s="6" t="n"/>
      <c r="AF6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0" s="11">
        <f>IF(tblOrdenes[[#This Row],[orden]]="","",_xlfn.XLOOKUP(tblOrdenes[[#This Row],[id_operacion]],tblEjecucion[id_operacion],tblEjecucion[precio],0))</f>
        <v/>
      </c>
      <c r="AJ690" s="11">
        <f>IF(tblOrdenes[[#This Row],[orden]]="","",MAX(0,_xlfn.XLOOKUP(tblOrdenes[[#This Row],[id_operacion]],tblEjecucion[id_operacion],tblEjecucion[costo_plan_total],0)-tblOrdenes[[#This Row],[costo_servicio]]))</f>
        <v/>
      </c>
      <c r="AK690" s="11">
        <f>IF(tblOrdenes[[#This Row],[orden]]="","",tblOrdenes[[#This Row],[costo_servicio]]+tblOrdenes[[#This Row],[costo_materiales]])</f>
        <v/>
      </c>
      <c r="AL690" s="6" t="n"/>
      <c r="AM690" s="6" t="n"/>
      <c r="AN690" s="6" t="n"/>
      <c r="AO690" s="3">
        <f>IF(tblOrdenes[[#This Row],[link_checklist]]="","",HYPERLINK(p_ruta_base_checklists&amp;tblOrdenes[[#This Row],[link_checklist]],"abrir"))</f>
        <v/>
      </c>
      <c r="AP690" s="6" t="n"/>
      <c r="AQ690" s="3">
        <f>IF(tblOrdenes[[#This Row],[orden]]="","",tblOrdenes[[#This Row],[orden]]&amp;IF(tblOrdenes[[#This Row],[operacion]]="","0010",tblOrdenes[[#This Row],[operacion]]))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2" t="n"/>
      <c r="K691" s="3" t="n"/>
      <c r="L691" s="11" t="n"/>
      <c r="M6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1" s="3">
        <f>IF(tblOrdenes[[#This Row],[fecha_inicio]]="","",YEAR(tblOrdenes[[#This Row],[fecha_inicio]]))</f>
        <v/>
      </c>
      <c r="Q691" s="3">
        <f>IF(tblOrdenes[[#This Row],[fecha_inicio]]="","",MONTH(tblOrdenes[[#This Row],[fecha_inicio]]))</f>
        <v/>
      </c>
      <c r="R691" s="3">
        <f>IF(tblOrdenes[[#This Row],[fecha_inicio]]="","",INDEX(lista_dias,WEEKDAY(tblOrdenes[[#This Row],[fecha_inicio]],2)))</f>
        <v/>
      </c>
      <c r="S6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1" s="3">
        <f>IF(tblOrdenes[[#This Row],[tipo_ot]]="","",_xlfn.XLOOKUP(tblOrdenes[[#This Row],[tipo_ot]],tblTiposOT[codigo],tblTiposOT[clasificacion],"sin_clasificar"))</f>
        <v/>
      </c>
      <c r="U691" s="3">
        <f>IF(tblOrdenes[[#This Row],[centro_costo]]="","",_xlfn.XLOOKUP(tblOrdenes[[#This Row],[centro_costo]],tblCECO[codigo],tblCECO[linea],"(sin catálogo)"))</f>
        <v/>
      </c>
      <c r="V691" s="3">
        <f>IF(tblOrdenes[[#This Row],[centro_costo]]="","",_xlfn.XLOOKUP(tblOrdenes[[#This Row],[centro_costo]],tblCECO[codigo],tblCECO[area],"(sin catálogo)"))</f>
        <v/>
      </c>
      <c r="W6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1" s="3">
        <f>IF(tblOrdenes[[#This Row],[centro_costo]]="","",_xlfn.XLOOKUP(tblOrdenes[[#This Row],[centro_costo]],tblCECO[codigo],tblCECO[coordinador],"(sin catálogo)"))</f>
        <v/>
      </c>
      <c r="Y691" s="3">
        <f>IF(tblOrdenes[[#This Row],[puesto_trabajo]]="","",_xlfn.XLOOKUP(tblOrdenes[[#This Row],[puesto_trabajo]],tblPuestos[codigo],tblPuestos[especialidad],"(sin catálogo)"))</f>
        <v/>
      </c>
      <c r="Z691" s="3">
        <f>IF(tblOrdenes[[#This Row],[cod_actividad]]="","",_xlfn.XLOOKUP(tblOrdenes[[#This Row],[cod_actividad]],tblActividades[codigo],tblActividades[descripcion],"(sin catálogo)"))</f>
        <v/>
      </c>
      <c r="AA691" s="13">
        <f>IF(tblOrdenes[[#This Row],[fecha_inicio]]="","",TODAY()-tblOrdenes[[#This Row],[fecha_inicio]])</f>
        <v/>
      </c>
      <c r="AB6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1" s="3">
        <f>IF(tblOrdenes[[#This Row],[backlog_habiles]]="","",IF(tblOrdenes[[#This Row],[backlog_habiles]]&lt;0,"FUTURO",IF(tblOrdenes[[#This Row],[backlog_habiles]]&gt;p_dias_backlog_max,"BACKLOG","MES CORRIENTE")))</f>
        <v/>
      </c>
      <c r="AD691" s="3">
        <f>IF(tblOrdenes[[#This Row],[backlog_habiles]]="",FALSE,AND(tblOrdenes[[#This Row],[backlog_habiles]]&gt;p_dias_backlog_min,tblOrdenes[[#This Row],[backlog_habiles]]&lt;=p_dias_backlog_max))</f>
        <v/>
      </c>
      <c r="AE691" s="6" t="n"/>
      <c r="AF6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1" s="11">
        <f>IF(tblOrdenes[[#This Row],[orden]]="","",_xlfn.XLOOKUP(tblOrdenes[[#This Row],[id_operacion]],tblEjecucion[id_operacion],tblEjecucion[precio],0))</f>
        <v/>
      </c>
      <c r="AJ691" s="11">
        <f>IF(tblOrdenes[[#This Row],[orden]]="","",MAX(0,_xlfn.XLOOKUP(tblOrdenes[[#This Row],[id_operacion]],tblEjecucion[id_operacion],tblEjecucion[costo_plan_total],0)-tblOrdenes[[#This Row],[costo_servicio]]))</f>
        <v/>
      </c>
      <c r="AK691" s="11">
        <f>IF(tblOrdenes[[#This Row],[orden]]="","",tblOrdenes[[#This Row],[costo_servicio]]+tblOrdenes[[#This Row],[costo_materiales]])</f>
        <v/>
      </c>
      <c r="AL691" s="6" t="n"/>
      <c r="AM691" s="6" t="n"/>
      <c r="AN691" s="6" t="n"/>
      <c r="AO691" s="3">
        <f>IF(tblOrdenes[[#This Row],[link_checklist]]="","",HYPERLINK(p_ruta_base_checklists&amp;tblOrdenes[[#This Row],[link_checklist]],"abrir"))</f>
        <v/>
      </c>
      <c r="AP691" s="6" t="n"/>
      <c r="AQ691" s="3">
        <f>IF(tblOrdenes[[#This Row],[orden]]="","",tblOrdenes[[#This Row],[orden]]&amp;IF(tblOrdenes[[#This Row],[operacion]]="","0010",tblOrdenes[[#This Row],[operacion]]))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2" t="n"/>
      <c r="K692" s="3" t="n"/>
      <c r="L692" s="11" t="n"/>
      <c r="M6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2" s="3">
        <f>IF(tblOrdenes[[#This Row],[fecha_inicio]]="","",YEAR(tblOrdenes[[#This Row],[fecha_inicio]]))</f>
        <v/>
      </c>
      <c r="Q692" s="3">
        <f>IF(tblOrdenes[[#This Row],[fecha_inicio]]="","",MONTH(tblOrdenes[[#This Row],[fecha_inicio]]))</f>
        <v/>
      </c>
      <c r="R692" s="3">
        <f>IF(tblOrdenes[[#This Row],[fecha_inicio]]="","",INDEX(lista_dias,WEEKDAY(tblOrdenes[[#This Row],[fecha_inicio]],2)))</f>
        <v/>
      </c>
      <c r="S6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2" s="3">
        <f>IF(tblOrdenes[[#This Row],[tipo_ot]]="","",_xlfn.XLOOKUP(tblOrdenes[[#This Row],[tipo_ot]],tblTiposOT[codigo],tblTiposOT[clasificacion],"sin_clasificar"))</f>
        <v/>
      </c>
      <c r="U692" s="3">
        <f>IF(tblOrdenes[[#This Row],[centro_costo]]="","",_xlfn.XLOOKUP(tblOrdenes[[#This Row],[centro_costo]],tblCECO[codigo],tblCECO[linea],"(sin catálogo)"))</f>
        <v/>
      </c>
      <c r="V692" s="3">
        <f>IF(tblOrdenes[[#This Row],[centro_costo]]="","",_xlfn.XLOOKUP(tblOrdenes[[#This Row],[centro_costo]],tblCECO[codigo],tblCECO[area],"(sin catálogo)"))</f>
        <v/>
      </c>
      <c r="W6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2" s="3">
        <f>IF(tblOrdenes[[#This Row],[centro_costo]]="","",_xlfn.XLOOKUP(tblOrdenes[[#This Row],[centro_costo]],tblCECO[codigo],tblCECO[coordinador],"(sin catálogo)"))</f>
        <v/>
      </c>
      <c r="Y692" s="3">
        <f>IF(tblOrdenes[[#This Row],[puesto_trabajo]]="","",_xlfn.XLOOKUP(tblOrdenes[[#This Row],[puesto_trabajo]],tblPuestos[codigo],tblPuestos[especialidad],"(sin catálogo)"))</f>
        <v/>
      </c>
      <c r="Z692" s="3">
        <f>IF(tblOrdenes[[#This Row],[cod_actividad]]="","",_xlfn.XLOOKUP(tblOrdenes[[#This Row],[cod_actividad]],tblActividades[codigo],tblActividades[descripcion],"(sin catálogo)"))</f>
        <v/>
      </c>
      <c r="AA692" s="13">
        <f>IF(tblOrdenes[[#This Row],[fecha_inicio]]="","",TODAY()-tblOrdenes[[#This Row],[fecha_inicio]])</f>
        <v/>
      </c>
      <c r="AB6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2" s="3">
        <f>IF(tblOrdenes[[#This Row],[backlog_habiles]]="","",IF(tblOrdenes[[#This Row],[backlog_habiles]]&lt;0,"FUTURO",IF(tblOrdenes[[#This Row],[backlog_habiles]]&gt;p_dias_backlog_max,"BACKLOG","MES CORRIENTE")))</f>
        <v/>
      </c>
      <c r="AD692" s="3">
        <f>IF(tblOrdenes[[#This Row],[backlog_habiles]]="",FALSE,AND(tblOrdenes[[#This Row],[backlog_habiles]]&gt;p_dias_backlog_min,tblOrdenes[[#This Row],[backlog_habiles]]&lt;=p_dias_backlog_max))</f>
        <v/>
      </c>
      <c r="AE692" s="6" t="n"/>
      <c r="AF6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2" s="11">
        <f>IF(tblOrdenes[[#This Row],[orden]]="","",_xlfn.XLOOKUP(tblOrdenes[[#This Row],[id_operacion]],tblEjecucion[id_operacion],tblEjecucion[precio],0))</f>
        <v/>
      </c>
      <c r="AJ692" s="11">
        <f>IF(tblOrdenes[[#This Row],[orden]]="","",MAX(0,_xlfn.XLOOKUP(tblOrdenes[[#This Row],[id_operacion]],tblEjecucion[id_operacion],tblEjecucion[costo_plan_total],0)-tblOrdenes[[#This Row],[costo_servicio]]))</f>
        <v/>
      </c>
      <c r="AK692" s="11">
        <f>IF(tblOrdenes[[#This Row],[orden]]="","",tblOrdenes[[#This Row],[costo_servicio]]+tblOrdenes[[#This Row],[costo_materiales]])</f>
        <v/>
      </c>
      <c r="AL692" s="6" t="n"/>
      <c r="AM692" s="6" t="n"/>
      <c r="AN692" s="6" t="n"/>
      <c r="AO692" s="3">
        <f>IF(tblOrdenes[[#This Row],[link_checklist]]="","",HYPERLINK(p_ruta_base_checklists&amp;tblOrdenes[[#This Row],[link_checklist]],"abrir"))</f>
        <v/>
      </c>
      <c r="AP692" s="6" t="n"/>
      <c r="AQ692" s="3">
        <f>IF(tblOrdenes[[#This Row],[orden]]="","",tblOrdenes[[#This Row],[orden]]&amp;IF(tblOrdenes[[#This Row],[operacion]]="","0010",tblOrdenes[[#This Row],[operacion]]))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2" t="n"/>
      <c r="K693" s="3" t="n"/>
      <c r="L693" s="11" t="n"/>
      <c r="M6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3" s="3">
        <f>IF(tblOrdenes[[#This Row],[fecha_inicio]]="","",YEAR(tblOrdenes[[#This Row],[fecha_inicio]]))</f>
        <v/>
      </c>
      <c r="Q693" s="3">
        <f>IF(tblOrdenes[[#This Row],[fecha_inicio]]="","",MONTH(tblOrdenes[[#This Row],[fecha_inicio]]))</f>
        <v/>
      </c>
      <c r="R693" s="3">
        <f>IF(tblOrdenes[[#This Row],[fecha_inicio]]="","",INDEX(lista_dias,WEEKDAY(tblOrdenes[[#This Row],[fecha_inicio]],2)))</f>
        <v/>
      </c>
      <c r="S6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3" s="3">
        <f>IF(tblOrdenes[[#This Row],[tipo_ot]]="","",_xlfn.XLOOKUP(tblOrdenes[[#This Row],[tipo_ot]],tblTiposOT[codigo],tblTiposOT[clasificacion],"sin_clasificar"))</f>
        <v/>
      </c>
      <c r="U693" s="3">
        <f>IF(tblOrdenes[[#This Row],[centro_costo]]="","",_xlfn.XLOOKUP(tblOrdenes[[#This Row],[centro_costo]],tblCECO[codigo],tblCECO[linea],"(sin catálogo)"))</f>
        <v/>
      </c>
      <c r="V693" s="3">
        <f>IF(tblOrdenes[[#This Row],[centro_costo]]="","",_xlfn.XLOOKUP(tblOrdenes[[#This Row],[centro_costo]],tblCECO[codigo],tblCECO[area],"(sin catálogo)"))</f>
        <v/>
      </c>
      <c r="W6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3" s="3">
        <f>IF(tblOrdenes[[#This Row],[centro_costo]]="","",_xlfn.XLOOKUP(tblOrdenes[[#This Row],[centro_costo]],tblCECO[codigo],tblCECO[coordinador],"(sin catálogo)"))</f>
        <v/>
      </c>
      <c r="Y693" s="3">
        <f>IF(tblOrdenes[[#This Row],[puesto_trabajo]]="","",_xlfn.XLOOKUP(tblOrdenes[[#This Row],[puesto_trabajo]],tblPuestos[codigo],tblPuestos[especialidad],"(sin catálogo)"))</f>
        <v/>
      </c>
      <c r="Z693" s="3">
        <f>IF(tblOrdenes[[#This Row],[cod_actividad]]="","",_xlfn.XLOOKUP(tblOrdenes[[#This Row],[cod_actividad]],tblActividades[codigo],tblActividades[descripcion],"(sin catálogo)"))</f>
        <v/>
      </c>
      <c r="AA693" s="13">
        <f>IF(tblOrdenes[[#This Row],[fecha_inicio]]="","",TODAY()-tblOrdenes[[#This Row],[fecha_inicio]])</f>
        <v/>
      </c>
      <c r="AB6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3" s="3">
        <f>IF(tblOrdenes[[#This Row],[backlog_habiles]]="","",IF(tblOrdenes[[#This Row],[backlog_habiles]]&lt;0,"FUTURO",IF(tblOrdenes[[#This Row],[backlog_habiles]]&gt;p_dias_backlog_max,"BACKLOG","MES CORRIENTE")))</f>
        <v/>
      </c>
      <c r="AD693" s="3">
        <f>IF(tblOrdenes[[#This Row],[backlog_habiles]]="",FALSE,AND(tblOrdenes[[#This Row],[backlog_habiles]]&gt;p_dias_backlog_min,tblOrdenes[[#This Row],[backlog_habiles]]&lt;=p_dias_backlog_max))</f>
        <v/>
      </c>
      <c r="AE693" s="6" t="n"/>
      <c r="AF6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3" s="11">
        <f>IF(tblOrdenes[[#This Row],[orden]]="","",_xlfn.XLOOKUP(tblOrdenes[[#This Row],[id_operacion]],tblEjecucion[id_operacion],tblEjecucion[precio],0))</f>
        <v/>
      </c>
      <c r="AJ693" s="11">
        <f>IF(tblOrdenes[[#This Row],[orden]]="","",MAX(0,_xlfn.XLOOKUP(tblOrdenes[[#This Row],[id_operacion]],tblEjecucion[id_operacion],tblEjecucion[costo_plan_total],0)-tblOrdenes[[#This Row],[costo_servicio]]))</f>
        <v/>
      </c>
      <c r="AK693" s="11">
        <f>IF(tblOrdenes[[#This Row],[orden]]="","",tblOrdenes[[#This Row],[costo_servicio]]+tblOrdenes[[#This Row],[costo_materiales]])</f>
        <v/>
      </c>
      <c r="AL693" s="6" t="n"/>
      <c r="AM693" s="6" t="n"/>
      <c r="AN693" s="6" t="n"/>
      <c r="AO693" s="3">
        <f>IF(tblOrdenes[[#This Row],[link_checklist]]="","",HYPERLINK(p_ruta_base_checklists&amp;tblOrdenes[[#This Row],[link_checklist]],"abrir"))</f>
        <v/>
      </c>
      <c r="AP693" s="6" t="n"/>
      <c r="AQ693" s="3">
        <f>IF(tblOrdenes[[#This Row],[orden]]="","",tblOrdenes[[#This Row],[orden]]&amp;IF(tblOrdenes[[#This Row],[operacion]]="","0010",tblOrdenes[[#This Row],[operacion]]))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2" t="n"/>
      <c r="K694" s="3" t="n"/>
      <c r="L694" s="11" t="n"/>
      <c r="M6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4" s="3">
        <f>IF(tblOrdenes[[#This Row],[fecha_inicio]]="","",YEAR(tblOrdenes[[#This Row],[fecha_inicio]]))</f>
        <v/>
      </c>
      <c r="Q694" s="3">
        <f>IF(tblOrdenes[[#This Row],[fecha_inicio]]="","",MONTH(tblOrdenes[[#This Row],[fecha_inicio]]))</f>
        <v/>
      </c>
      <c r="R694" s="3">
        <f>IF(tblOrdenes[[#This Row],[fecha_inicio]]="","",INDEX(lista_dias,WEEKDAY(tblOrdenes[[#This Row],[fecha_inicio]],2)))</f>
        <v/>
      </c>
      <c r="S6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4" s="3">
        <f>IF(tblOrdenes[[#This Row],[tipo_ot]]="","",_xlfn.XLOOKUP(tblOrdenes[[#This Row],[tipo_ot]],tblTiposOT[codigo],tblTiposOT[clasificacion],"sin_clasificar"))</f>
        <v/>
      </c>
      <c r="U694" s="3">
        <f>IF(tblOrdenes[[#This Row],[centro_costo]]="","",_xlfn.XLOOKUP(tblOrdenes[[#This Row],[centro_costo]],tblCECO[codigo],tblCECO[linea],"(sin catálogo)"))</f>
        <v/>
      </c>
      <c r="V694" s="3">
        <f>IF(tblOrdenes[[#This Row],[centro_costo]]="","",_xlfn.XLOOKUP(tblOrdenes[[#This Row],[centro_costo]],tblCECO[codigo],tblCECO[area],"(sin catálogo)"))</f>
        <v/>
      </c>
      <c r="W6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4" s="3">
        <f>IF(tblOrdenes[[#This Row],[centro_costo]]="","",_xlfn.XLOOKUP(tblOrdenes[[#This Row],[centro_costo]],tblCECO[codigo],tblCECO[coordinador],"(sin catálogo)"))</f>
        <v/>
      </c>
      <c r="Y694" s="3">
        <f>IF(tblOrdenes[[#This Row],[puesto_trabajo]]="","",_xlfn.XLOOKUP(tblOrdenes[[#This Row],[puesto_trabajo]],tblPuestos[codigo],tblPuestos[especialidad],"(sin catálogo)"))</f>
        <v/>
      </c>
      <c r="Z694" s="3">
        <f>IF(tblOrdenes[[#This Row],[cod_actividad]]="","",_xlfn.XLOOKUP(tblOrdenes[[#This Row],[cod_actividad]],tblActividades[codigo],tblActividades[descripcion],"(sin catálogo)"))</f>
        <v/>
      </c>
      <c r="AA694" s="13">
        <f>IF(tblOrdenes[[#This Row],[fecha_inicio]]="","",TODAY()-tblOrdenes[[#This Row],[fecha_inicio]])</f>
        <v/>
      </c>
      <c r="AB6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4" s="3">
        <f>IF(tblOrdenes[[#This Row],[backlog_habiles]]="","",IF(tblOrdenes[[#This Row],[backlog_habiles]]&lt;0,"FUTURO",IF(tblOrdenes[[#This Row],[backlog_habiles]]&gt;p_dias_backlog_max,"BACKLOG","MES CORRIENTE")))</f>
        <v/>
      </c>
      <c r="AD694" s="3">
        <f>IF(tblOrdenes[[#This Row],[backlog_habiles]]="",FALSE,AND(tblOrdenes[[#This Row],[backlog_habiles]]&gt;p_dias_backlog_min,tblOrdenes[[#This Row],[backlog_habiles]]&lt;=p_dias_backlog_max))</f>
        <v/>
      </c>
      <c r="AE694" s="6" t="n"/>
      <c r="AF6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4" s="11">
        <f>IF(tblOrdenes[[#This Row],[orden]]="","",_xlfn.XLOOKUP(tblOrdenes[[#This Row],[id_operacion]],tblEjecucion[id_operacion],tblEjecucion[precio],0))</f>
        <v/>
      </c>
      <c r="AJ694" s="11">
        <f>IF(tblOrdenes[[#This Row],[orden]]="","",MAX(0,_xlfn.XLOOKUP(tblOrdenes[[#This Row],[id_operacion]],tblEjecucion[id_operacion],tblEjecucion[costo_plan_total],0)-tblOrdenes[[#This Row],[costo_servicio]]))</f>
        <v/>
      </c>
      <c r="AK694" s="11">
        <f>IF(tblOrdenes[[#This Row],[orden]]="","",tblOrdenes[[#This Row],[costo_servicio]]+tblOrdenes[[#This Row],[costo_materiales]])</f>
        <v/>
      </c>
      <c r="AL694" s="6" t="n"/>
      <c r="AM694" s="6" t="n"/>
      <c r="AN694" s="6" t="n"/>
      <c r="AO694" s="3">
        <f>IF(tblOrdenes[[#This Row],[link_checklist]]="","",HYPERLINK(p_ruta_base_checklists&amp;tblOrdenes[[#This Row],[link_checklist]],"abrir"))</f>
        <v/>
      </c>
      <c r="AP694" s="6" t="n"/>
      <c r="AQ694" s="3">
        <f>IF(tblOrdenes[[#This Row],[orden]]="","",tblOrdenes[[#This Row],[orden]]&amp;IF(tblOrdenes[[#This Row],[operacion]]="","0010",tblOrdenes[[#This Row],[operacion]]))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2" t="n"/>
      <c r="K695" s="3" t="n"/>
      <c r="L695" s="11" t="n"/>
      <c r="M6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5" s="3">
        <f>IF(tblOrdenes[[#This Row],[fecha_inicio]]="","",YEAR(tblOrdenes[[#This Row],[fecha_inicio]]))</f>
        <v/>
      </c>
      <c r="Q695" s="3">
        <f>IF(tblOrdenes[[#This Row],[fecha_inicio]]="","",MONTH(tblOrdenes[[#This Row],[fecha_inicio]]))</f>
        <v/>
      </c>
      <c r="R695" s="3">
        <f>IF(tblOrdenes[[#This Row],[fecha_inicio]]="","",INDEX(lista_dias,WEEKDAY(tblOrdenes[[#This Row],[fecha_inicio]],2)))</f>
        <v/>
      </c>
      <c r="S6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5" s="3">
        <f>IF(tblOrdenes[[#This Row],[tipo_ot]]="","",_xlfn.XLOOKUP(tblOrdenes[[#This Row],[tipo_ot]],tblTiposOT[codigo],tblTiposOT[clasificacion],"sin_clasificar"))</f>
        <v/>
      </c>
      <c r="U695" s="3">
        <f>IF(tblOrdenes[[#This Row],[centro_costo]]="","",_xlfn.XLOOKUP(tblOrdenes[[#This Row],[centro_costo]],tblCECO[codigo],tblCECO[linea],"(sin catálogo)"))</f>
        <v/>
      </c>
      <c r="V695" s="3">
        <f>IF(tblOrdenes[[#This Row],[centro_costo]]="","",_xlfn.XLOOKUP(tblOrdenes[[#This Row],[centro_costo]],tblCECO[codigo],tblCECO[area],"(sin catálogo)"))</f>
        <v/>
      </c>
      <c r="W6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5" s="3">
        <f>IF(tblOrdenes[[#This Row],[centro_costo]]="","",_xlfn.XLOOKUP(tblOrdenes[[#This Row],[centro_costo]],tblCECO[codigo],tblCECO[coordinador],"(sin catálogo)"))</f>
        <v/>
      </c>
      <c r="Y695" s="3">
        <f>IF(tblOrdenes[[#This Row],[puesto_trabajo]]="","",_xlfn.XLOOKUP(tblOrdenes[[#This Row],[puesto_trabajo]],tblPuestos[codigo],tblPuestos[especialidad],"(sin catálogo)"))</f>
        <v/>
      </c>
      <c r="Z695" s="3">
        <f>IF(tblOrdenes[[#This Row],[cod_actividad]]="","",_xlfn.XLOOKUP(tblOrdenes[[#This Row],[cod_actividad]],tblActividades[codigo],tblActividades[descripcion],"(sin catálogo)"))</f>
        <v/>
      </c>
      <c r="AA695" s="13">
        <f>IF(tblOrdenes[[#This Row],[fecha_inicio]]="","",TODAY()-tblOrdenes[[#This Row],[fecha_inicio]])</f>
        <v/>
      </c>
      <c r="AB6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5" s="3">
        <f>IF(tblOrdenes[[#This Row],[backlog_habiles]]="","",IF(tblOrdenes[[#This Row],[backlog_habiles]]&lt;0,"FUTURO",IF(tblOrdenes[[#This Row],[backlog_habiles]]&gt;p_dias_backlog_max,"BACKLOG","MES CORRIENTE")))</f>
        <v/>
      </c>
      <c r="AD695" s="3">
        <f>IF(tblOrdenes[[#This Row],[backlog_habiles]]="",FALSE,AND(tblOrdenes[[#This Row],[backlog_habiles]]&gt;p_dias_backlog_min,tblOrdenes[[#This Row],[backlog_habiles]]&lt;=p_dias_backlog_max))</f>
        <v/>
      </c>
      <c r="AE695" s="6" t="n"/>
      <c r="AF6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5" s="11">
        <f>IF(tblOrdenes[[#This Row],[orden]]="","",_xlfn.XLOOKUP(tblOrdenes[[#This Row],[id_operacion]],tblEjecucion[id_operacion],tblEjecucion[precio],0))</f>
        <v/>
      </c>
      <c r="AJ695" s="11">
        <f>IF(tblOrdenes[[#This Row],[orden]]="","",MAX(0,_xlfn.XLOOKUP(tblOrdenes[[#This Row],[id_operacion]],tblEjecucion[id_operacion],tblEjecucion[costo_plan_total],0)-tblOrdenes[[#This Row],[costo_servicio]]))</f>
        <v/>
      </c>
      <c r="AK695" s="11">
        <f>IF(tblOrdenes[[#This Row],[orden]]="","",tblOrdenes[[#This Row],[costo_servicio]]+tblOrdenes[[#This Row],[costo_materiales]])</f>
        <v/>
      </c>
      <c r="AL695" s="6" t="n"/>
      <c r="AM695" s="6" t="n"/>
      <c r="AN695" s="6" t="n"/>
      <c r="AO695" s="3">
        <f>IF(tblOrdenes[[#This Row],[link_checklist]]="","",HYPERLINK(p_ruta_base_checklists&amp;tblOrdenes[[#This Row],[link_checklist]],"abrir"))</f>
        <v/>
      </c>
      <c r="AP695" s="6" t="n"/>
      <c r="AQ695" s="3">
        <f>IF(tblOrdenes[[#This Row],[orden]]="","",tblOrdenes[[#This Row],[orden]]&amp;IF(tblOrdenes[[#This Row],[operacion]]="","0010",tblOrdenes[[#This Row],[operacion]]))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2" t="n"/>
      <c r="K696" s="3" t="n"/>
      <c r="L696" s="11" t="n"/>
      <c r="M6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6" s="3">
        <f>IF(tblOrdenes[[#This Row],[fecha_inicio]]="","",YEAR(tblOrdenes[[#This Row],[fecha_inicio]]))</f>
        <v/>
      </c>
      <c r="Q696" s="3">
        <f>IF(tblOrdenes[[#This Row],[fecha_inicio]]="","",MONTH(tblOrdenes[[#This Row],[fecha_inicio]]))</f>
        <v/>
      </c>
      <c r="R696" s="3">
        <f>IF(tblOrdenes[[#This Row],[fecha_inicio]]="","",INDEX(lista_dias,WEEKDAY(tblOrdenes[[#This Row],[fecha_inicio]],2)))</f>
        <v/>
      </c>
      <c r="S6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6" s="3">
        <f>IF(tblOrdenes[[#This Row],[tipo_ot]]="","",_xlfn.XLOOKUP(tblOrdenes[[#This Row],[tipo_ot]],tblTiposOT[codigo],tblTiposOT[clasificacion],"sin_clasificar"))</f>
        <v/>
      </c>
      <c r="U696" s="3">
        <f>IF(tblOrdenes[[#This Row],[centro_costo]]="","",_xlfn.XLOOKUP(tblOrdenes[[#This Row],[centro_costo]],tblCECO[codigo],tblCECO[linea],"(sin catálogo)"))</f>
        <v/>
      </c>
      <c r="V696" s="3">
        <f>IF(tblOrdenes[[#This Row],[centro_costo]]="","",_xlfn.XLOOKUP(tblOrdenes[[#This Row],[centro_costo]],tblCECO[codigo],tblCECO[area],"(sin catálogo)"))</f>
        <v/>
      </c>
      <c r="W6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6" s="3">
        <f>IF(tblOrdenes[[#This Row],[centro_costo]]="","",_xlfn.XLOOKUP(tblOrdenes[[#This Row],[centro_costo]],tblCECO[codigo],tblCECO[coordinador],"(sin catálogo)"))</f>
        <v/>
      </c>
      <c r="Y696" s="3">
        <f>IF(tblOrdenes[[#This Row],[puesto_trabajo]]="","",_xlfn.XLOOKUP(tblOrdenes[[#This Row],[puesto_trabajo]],tblPuestos[codigo],tblPuestos[especialidad],"(sin catálogo)"))</f>
        <v/>
      </c>
      <c r="Z696" s="3">
        <f>IF(tblOrdenes[[#This Row],[cod_actividad]]="","",_xlfn.XLOOKUP(tblOrdenes[[#This Row],[cod_actividad]],tblActividades[codigo],tblActividades[descripcion],"(sin catálogo)"))</f>
        <v/>
      </c>
      <c r="AA696" s="13">
        <f>IF(tblOrdenes[[#This Row],[fecha_inicio]]="","",TODAY()-tblOrdenes[[#This Row],[fecha_inicio]])</f>
        <v/>
      </c>
      <c r="AB6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6" s="3">
        <f>IF(tblOrdenes[[#This Row],[backlog_habiles]]="","",IF(tblOrdenes[[#This Row],[backlog_habiles]]&lt;0,"FUTURO",IF(tblOrdenes[[#This Row],[backlog_habiles]]&gt;p_dias_backlog_max,"BACKLOG","MES CORRIENTE")))</f>
        <v/>
      </c>
      <c r="AD696" s="3">
        <f>IF(tblOrdenes[[#This Row],[backlog_habiles]]="",FALSE,AND(tblOrdenes[[#This Row],[backlog_habiles]]&gt;p_dias_backlog_min,tblOrdenes[[#This Row],[backlog_habiles]]&lt;=p_dias_backlog_max))</f>
        <v/>
      </c>
      <c r="AE696" s="6" t="n"/>
      <c r="AF6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6" s="11">
        <f>IF(tblOrdenes[[#This Row],[orden]]="","",_xlfn.XLOOKUP(tblOrdenes[[#This Row],[id_operacion]],tblEjecucion[id_operacion],tblEjecucion[precio],0))</f>
        <v/>
      </c>
      <c r="AJ696" s="11">
        <f>IF(tblOrdenes[[#This Row],[orden]]="","",MAX(0,_xlfn.XLOOKUP(tblOrdenes[[#This Row],[id_operacion]],tblEjecucion[id_operacion],tblEjecucion[costo_plan_total],0)-tblOrdenes[[#This Row],[costo_servicio]]))</f>
        <v/>
      </c>
      <c r="AK696" s="11">
        <f>IF(tblOrdenes[[#This Row],[orden]]="","",tblOrdenes[[#This Row],[costo_servicio]]+tblOrdenes[[#This Row],[costo_materiales]])</f>
        <v/>
      </c>
      <c r="AL696" s="6" t="n"/>
      <c r="AM696" s="6" t="n"/>
      <c r="AN696" s="6" t="n"/>
      <c r="AO696" s="3">
        <f>IF(tblOrdenes[[#This Row],[link_checklist]]="","",HYPERLINK(p_ruta_base_checklists&amp;tblOrdenes[[#This Row],[link_checklist]],"abrir"))</f>
        <v/>
      </c>
      <c r="AP696" s="6" t="n"/>
      <c r="AQ696" s="3">
        <f>IF(tblOrdenes[[#This Row],[orden]]="","",tblOrdenes[[#This Row],[orden]]&amp;IF(tblOrdenes[[#This Row],[operacion]]="","0010",tblOrdenes[[#This Row],[operacion]]))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2" t="n"/>
      <c r="K697" s="3" t="n"/>
      <c r="L697" s="11" t="n"/>
      <c r="M6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7" s="3">
        <f>IF(tblOrdenes[[#This Row],[fecha_inicio]]="","",YEAR(tblOrdenes[[#This Row],[fecha_inicio]]))</f>
        <v/>
      </c>
      <c r="Q697" s="3">
        <f>IF(tblOrdenes[[#This Row],[fecha_inicio]]="","",MONTH(tblOrdenes[[#This Row],[fecha_inicio]]))</f>
        <v/>
      </c>
      <c r="R697" s="3">
        <f>IF(tblOrdenes[[#This Row],[fecha_inicio]]="","",INDEX(lista_dias,WEEKDAY(tblOrdenes[[#This Row],[fecha_inicio]],2)))</f>
        <v/>
      </c>
      <c r="S6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7" s="3">
        <f>IF(tblOrdenes[[#This Row],[tipo_ot]]="","",_xlfn.XLOOKUP(tblOrdenes[[#This Row],[tipo_ot]],tblTiposOT[codigo],tblTiposOT[clasificacion],"sin_clasificar"))</f>
        <v/>
      </c>
      <c r="U697" s="3">
        <f>IF(tblOrdenes[[#This Row],[centro_costo]]="","",_xlfn.XLOOKUP(tblOrdenes[[#This Row],[centro_costo]],tblCECO[codigo],tblCECO[linea],"(sin catálogo)"))</f>
        <v/>
      </c>
      <c r="V697" s="3">
        <f>IF(tblOrdenes[[#This Row],[centro_costo]]="","",_xlfn.XLOOKUP(tblOrdenes[[#This Row],[centro_costo]],tblCECO[codigo],tblCECO[area],"(sin catálogo)"))</f>
        <v/>
      </c>
      <c r="W6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7" s="3">
        <f>IF(tblOrdenes[[#This Row],[centro_costo]]="","",_xlfn.XLOOKUP(tblOrdenes[[#This Row],[centro_costo]],tblCECO[codigo],tblCECO[coordinador],"(sin catálogo)"))</f>
        <v/>
      </c>
      <c r="Y697" s="3">
        <f>IF(tblOrdenes[[#This Row],[puesto_trabajo]]="","",_xlfn.XLOOKUP(tblOrdenes[[#This Row],[puesto_trabajo]],tblPuestos[codigo],tblPuestos[especialidad],"(sin catálogo)"))</f>
        <v/>
      </c>
      <c r="Z697" s="3">
        <f>IF(tblOrdenes[[#This Row],[cod_actividad]]="","",_xlfn.XLOOKUP(tblOrdenes[[#This Row],[cod_actividad]],tblActividades[codigo],tblActividades[descripcion],"(sin catálogo)"))</f>
        <v/>
      </c>
      <c r="AA697" s="13">
        <f>IF(tblOrdenes[[#This Row],[fecha_inicio]]="","",TODAY()-tblOrdenes[[#This Row],[fecha_inicio]])</f>
        <v/>
      </c>
      <c r="AB6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7" s="3">
        <f>IF(tblOrdenes[[#This Row],[backlog_habiles]]="","",IF(tblOrdenes[[#This Row],[backlog_habiles]]&lt;0,"FUTURO",IF(tblOrdenes[[#This Row],[backlog_habiles]]&gt;p_dias_backlog_max,"BACKLOG","MES CORRIENTE")))</f>
        <v/>
      </c>
      <c r="AD697" s="3">
        <f>IF(tblOrdenes[[#This Row],[backlog_habiles]]="",FALSE,AND(tblOrdenes[[#This Row],[backlog_habiles]]&gt;p_dias_backlog_min,tblOrdenes[[#This Row],[backlog_habiles]]&lt;=p_dias_backlog_max))</f>
        <v/>
      </c>
      <c r="AE697" s="6" t="n"/>
      <c r="AF6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7" s="11">
        <f>IF(tblOrdenes[[#This Row],[orden]]="","",_xlfn.XLOOKUP(tblOrdenes[[#This Row],[id_operacion]],tblEjecucion[id_operacion],tblEjecucion[precio],0))</f>
        <v/>
      </c>
      <c r="AJ697" s="11">
        <f>IF(tblOrdenes[[#This Row],[orden]]="","",MAX(0,_xlfn.XLOOKUP(tblOrdenes[[#This Row],[id_operacion]],tblEjecucion[id_operacion],tblEjecucion[costo_plan_total],0)-tblOrdenes[[#This Row],[costo_servicio]]))</f>
        <v/>
      </c>
      <c r="AK697" s="11">
        <f>IF(tblOrdenes[[#This Row],[orden]]="","",tblOrdenes[[#This Row],[costo_servicio]]+tblOrdenes[[#This Row],[costo_materiales]])</f>
        <v/>
      </c>
      <c r="AL697" s="6" t="n"/>
      <c r="AM697" s="6" t="n"/>
      <c r="AN697" s="6" t="n"/>
      <c r="AO697" s="3">
        <f>IF(tblOrdenes[[#This Row],[link_checklist]]="","",HYPERLINK(p_ruta_base_checklists&amp;tblOrdenes[[#This Row],[link_checklist]],"abrir"))</f>
        <v/>
      </c>
      <c r="AP697" s="6" t="n"/>
      <c r="AQ697" s="3">
        <f>IF(tblOrdenes[[#This Row],[orden]]="","",tblOrdenes[[#This Row],[orden]]&amp;IF(tblOrdenes[[#This Row],[operacion]]="","0010",tblOrdenes[[#This Row],[operacion]]))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2" t="n"/>
      <c r="K698" s="3" t="n"/>
      <c r="L698" s="11" t="n"/>
      <c r="M6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8" s="3">
        <f>IF(tblOrdenes[[#This Row],[fecha_inicio]]="","",YEAR(tblOrdenes[[#This Row],[fecha_inicio]]))</f>
        <v/>
      </c>
      <c r="Q698" s="3">
        <f>IF(tblOrdenes[[#This Row],[fecha_inicio]]="","",MONTH(tblOrdenes[[#This Row],[fecha_inicio]]))</f>
        <v/>
      </c>
      <c r="R698" s="3">
        <f>IF(tblOrdenes[[#This Row],[fecha_inicio]]="","",INDEX(lista_dias,WEEKDAY(tblOrdenes[[#This Row],[fecha_inicio]],2)))</f>
        <v/>
      </c>
      <c r="S6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8" s="3">
        <f>IF(tblOrdenes[[#This Row],[tipo_ot]]="","",_xlfn.XLOOKUP(tblOrdenes[[#This Row],[tipo_ot]],tblTiposOT[codigo],tblTiposOT[clasificacion],"sin_clasificar"))</f>
        <v/>
      </c>
      <c r="U698" s="3">
        <f>IF(tblOrdenes[[#This Row],[centro_costo]]="","",_xlfn.XLOOKUP(tblOrdenes[[#This Row],[centro_costo]],tblCECO[codigo],tblCECO[linea],"(sin catálogo)"))</f>
        <v/>
      </c>
      <c r="V698" s="3">
        <f>IF(tblOrdenes[[#This Row],[centro_costo]]="","",_xlfn.XLOOKUP(tblOrdenes[[#This Row],[centro_costo]],tblCECO[codigo],tblCECO[area],"(sin catálogo)"))</f>
        <v/>
      </c>
      <c r="W6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8" s="3">
        <f>IF(tblOrdenes[[#This Row],[centro_costo]]="","",_xlfn.XLOOKUP(tblOrdenes[[#This Row],[centro_costo]],tblCECO[codigo],tblCECO[coordinador],"(sin catálogo)"))</f>
        <v/>
      </c>
      <c r="Y698" s="3">
        <f>IF(tblOrdenes[[#This Row],[puesto_trabajo]]="","",_xlfn.XLOOKUP(tblOrdenes[[#This Row],[puesto_trabajo]],tblPuestos[codigo],tblPuestos[especialidad],"(sin catálogo)"))</f>
        <v/>
      </c>
      <c r="Z698" s="3">
        <f>IF(tblOrdenes[[#This Row],[cod_actividad]]="","",_xlfn.XLOOKUP(tblOrdenes[[#This Row],[cod_actividad]],tblActividades[codigo],tblActividades[descripcion],"(sin catálogo)"))</f>
        <v/>
      </c>
      <c r="AA698" s="13">
        <f>IF(tblOrdenes[[#This Row],[fecha_inicio]]="","",TODAY()-tblOrdenes[[#This Row],[fecha_inicio]])</f>
        <v/>
      </c>
      <c r="AB6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8" s="3">
        <f>IF(tblOrdenes[[#This Row],[backlog_habiles]]="","",IF(tblOrdenes[[#This Row],[backlog_habiles]]&lt;0,"FUTURO",IF(tblOrdenes[[#This Row],[backlog_habiles]]&gt;p_dias_backlog_max,"BACKLOG","MES CORRIENTE")))</f>
        <v/>
      </c>
      <c r="AD698" s="3">
        <f>IF(tblOrdenes[[#This Row],[backlog_habiles]]="",FALSE,AND(tblOrdenes[[#This Row],[backlog_habiles]]&gt;p_dias_backlog_min,tblOrdenes[[#This Row],[backlog_habiles]]&lt;=p_dias_backlog_max))</f>
        <v/>
      </c>
      <c r="AE698" s="6" t="n"/>
      <c r="AF6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8" s="11">
        <f>IF(tblOrdenes[[#This Row],[orden]]="","",_xlfn.XLOOKUP(tblOrdenes[[#This Row],[id_operacion]],tblEjecucion[id_operacion],tblEjecucion[precio],0))</f>
        <v/>
      </c>
      <c r="AJ698" s="11">
        <f>IF(tblOrdenes[[#This Row],[orden]]="","",MAX(0,_xlfn.XLOOKUP(tblOrdenes[[#This Row],[id_operacion]],tblEjecucion[id_operacion],tblEjecucion[costo_plan_total],0)-tblOrdenes[[#This Row],[costo_servicio]]))</f>
        <v/>
      </c>
      <c r="AK698" s="11">
        <f>IF(tblOrdenes[[#This Row],[orden]]="","",tblOrdenes[[#This Row],[costo_servicio]]+tblOrdenes[[#This Row],[costo_materiales]])</f>
        <v/>
      </c>
      <c r="AL698" s="6" t="n"/>
      <c r="AM698" s="6" t="n"/>
      <c r="AN698" s="6" t="n"/>
      <c r="AO698" s="3">
        <f>IF(tblOrdenes[[#This Row],[link_checklist]]="","",HYPERLINK(p_ruta_base_checklists&amp;tblOrdenes[[#This Row],[link_checklist]],"abrir"))</f>
        <v/>
      </c>
      <c r="AP698" s="6" t="n"/>
      <c r="AQ698" s="3">
        <f>IF(tblOrdenes[[#This Row],[orden]]="","",tblOrdenes[[#This Row],[orden]]&amp;IF(tblOrdenes[[#This Row],[operacion]]="","0010",tblOrdenes[[#This Row],[operacion]]))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2" t="n"/>
      <c r="K699" s="3" t="n"/>
      <c r="L699" s="11" t="n"/>
      <c r="M6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9" s="3">
        <f>IF(tblOrdenes[[#This Row],[fecha_inicio]]="","",YEAR(tblOrdenes[[#This Row],[fecha_inicio]]))</f>
        <v/>
      </c>
      <c r="Q699" s="3">
        <f>IF(tblOrdenes[[#This Row],[fecha_inicio]]="","",MONTH(tblOrdenes[[#This Row],[fecha_inicio]]))</f>
        <v/>
      </c>
      <c r="R699" s="3">
        <f>IF(tblOrdenes[[#This Row],[fecha_inicio]]="","",INDEX(lista_dias,WEEKDAY(tblOrdenes[[#This Row],[fecha_inicio]],2)))</f>
        <v/>
      </c>
      <c r="S6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9" s="3">
        <f>IF(tblOrdenes[[#This Row],[tipo_ot]]="","",_xlfn.XLOOKUP(tblOrdenes[[#This Row],[tipo_ot]],tblTiposOT[codigo],tblTiposOT[clasificacion],"sin_clasificar"))</f>
        <v/>
      </c>
      <c r="U699" s="3">
        <f>IF(tblOrdenes[[#This Row],[centro_costo]]="","",_xlfn.XLOOKUP(tblOrdenes[[#This Row],[centro_costo]],tblCECO[codigo],tblCECO[linea],"(sin catálogo)"))</f>
        <v/>
      </c>
      <c r="V699" s="3">
        <f>IF(tblOrdenes[[#This Row],[centro_costo]]="","",_xlfn.XLOOKUP(tblOrdenes[[#This Row],[centro_costo]],tblCECO[codigo],tblCECO[area],"(sin catálogo)"))</f>
        <v/>
      </c>
      <c r="W6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9" s="3">
        <f>IF(tblOrdenes[[#This Row],[centro_costo]]="","",_xlfn.XLOOKUP(tblOrdenes[[#This Row],[centro_costo]],tblCECO[codigo],tblCECO[coordinador],"(sin catálogo)"))</f>
        <v/>
      </c>
      <c r="Y699" s="3">
        <f>IF(tblOrdenes[[#This Row],[puesto_trabajo]]="","",_xlfn.XLOOKUP(tblOrdenes[[#This Row],[puesto_trabajo]],tblPuestos[codigo],tblPuestos[especialidad],"(sin catálogo)"))</f>
        <v/>
      </c>
      <c r="Z699" s="3">
        <f>IF(tblOrdenes[[#This Row],[cod_actividad]]="","",_xlfn.XLOOKUP(tblOrdenes[[#This Row],[cod_actividad]],tblActividades[codigo],tblActividades[descripcion],"(sin catálogo)"))</f>
        <v/>
      </c>
      <c r="AA699" s="13">
        <f>IF(tblOrdenes[[#This Row],[fecha_inicio]]="","",TODAY()-tblOrdenes[[#This Row],[fecha_inicio]])</f>
        <v/>
      </c>
      <c r="AB6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9" s="3">
        <f>IF(tblOrdenes[[#This Row],[backlog_habiles]]="","",IF(tblOrdenes[[#This Row],[backlog_habiles]]&lt;0,"FUTURO",IF(tblOrdenes[[#This Row],[backlog_habiles]]&gt;p_dias_backlog_max,"BACKLOG","MES CORRIENTE")))</f>
        <v/>
      </c>
      <c r="AD699" s="3">
        <f>IF(tblOrdenes[[#This Row],[backlog_habiles]]="",FALSE,AND(tblOrdenes[[#This Row],[backlog_habiles]]&gt;p_dias_backlog_min,tblOrdenes[[#This Row],[backlog_habiles]]&lt;=p_dias_backlog_max))</f>
        <v/>
      </c>
      <c r="AE699" s="6" t="n"/>
      <c r="AF6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9" s="11">
        <f>IF(tblOrdenes[[#This Row],[orden]]="","",_xlfn.XLOOKUP(tblOrdenes[[#This Row],[id_operacion]],tblEjecucion[id_operacion],tblEjecucion[precio],0))</f>
        <v/>
      </c>
      <c r="AJ699" s="11">
        <f>IF(tblOrdenes[[#This Row],[orden]]="","",MAX(0,_xlfn.XLOOKUP(tblOrdenes[[#This Row],[id_operacion]],tblEjecucion[id_operacion],tblEjecucion[costo_plan_total],0)-tblOrdenes[[#This Row],[costo_servicio]]))</f>
        <v/>
      </c>
      <c r="AK699" s="11">
        <f>IF(tblOrdenes[[#This Row],[orden]]="","",tblOrdenes[[#This Row],[costo_servicio]]+tblOrdenes[[#This Row],[costo_materiales]])</f>
        <v/>
      </c>
      <c r="AL699" s="6" t="n"/>
      <c r="AM699" s="6" t="n"/>
      <c r="AN699" s="6" t="n"/>
      <c r="AO699" s="3">
        <f>IF(tblOrdenes[[#This Row],[link_checklist]]="","",HYPERLINK(p_ruta_base_checklists&amp;tblOrdenes[[#This Row],[link_checklist]],"abrir"))</f>
        <v/>
      </c>
      <c r="AP699" s="6" t="n"/>
      <c r="AQ699" s="3">
        <f>IF(tblOrdenes[[#This Row],[orden]]="","",tblOrdenes[[#This Row],[orden]]&amp;IF(tblOrdenes[[#This Row],[operacion]]="","0010",tblOrdenes[[#This Row],[operacion]]))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2" t="n"/>
      <c r="K700" s="3" t="n"/>
      <c r="L700" s="11" t="n"/>
      <c r="M7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0" s="3">
        <f>IF(tblOrdenes[[#This Row],[fecha_inicio]]="","",YEAR(tblOrdenes[[#This Row],[fecha_inicio]]))</f>
        <v/>
      </c>
      <c r="Q700" s="3">
        <f>IF(tblOrdenes[[#This Row],[fecha_inicio]]="","",MONTH(tblOrdenes[[#This Row],[fecha_inicio]]))</f>
        <v/>
      </c>
      <c r="R700" s="3">
        <f>IF(tblOrdenes[[#This Row],[fecha_inicio]]="","",INDEX(lista_dias,WEEKDAY(tblOrdenes[[#This Row],[fecha_inicio]],2)))</f>
        <v/>
      </c>
      <c r="S7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0" s="3">
        <f>IF(tblOrdenes[[#This Row],[tipo_ot]]="","",_xlfn.XLOOKUP(tblOrdenes[[#This Row],[tipo_ot]],tblTiposOT[codigo],tblTiposOT[clasificacion],"sin_clasificar"))</f>
        <v/>
      </c>
      <c r="U700" s="3">
        <f>IF(tblOrdenes[[#This Row],[centro_costo]]="","",_xlfn.XLOOKUP(tblOrdenes[[#This Row],[centro_costo]],tblCECO[codigo],tblCECO[linea],"(sin catálogo)"))</f>
        <v/>
      </c>
      <c r="V700" s="3">
        <f>IF(tblOrdenes[[#This Row],[centro_costo]]="","",_xlfn.XLOOKUP(tblOrdenes[[#This Row],[centro_costo]],tblCECO[codigo],tblCECO[area],"(sin catálogo)"))</f>
        <v/>
      </c>
      <c r="W7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0" s="3">
        <f>IF(tblOrdenes[[#This Row],[centro_costo]]="","",_xlfn.XLOOKUP(tblOrdenes[[#This Row],[centro_costo]],tblCECO[codigo],tblCECO[coordinador],"(sin catálogo)"))</f>
        <v/>
      </c>
      <c r="Y700" s="3">
        <f>IF(tblOrdenes[[#This Row],[puesto_trabajo]]="","",_xlfn.XLOOKUP(tblOrdenes[[#This Row],[puesto_trabajo]],tblPuestos[codigo],tblPuestos[especialidad],"(sin catálogo)"))</f>
        <v/>
      </c>
      <c r="Z700" s="3">
        <f>IF(tblOrdenes[[#This Row],[cod_actividad]]="","",_xlfn.XLOOKUP(tblOrdenes[[#This Row],[cod_actividad]],tblActividades[codigo],tblActividades[descripcion],"(sin catálogo)"))</f>
        <v/>
      </c>
      <c r="AA700" s="13">
        <f>IF(tblOrdenes[[#This Row],[fecha_inicio]]="","",TODAY()-tblOrdenes[[#This Row],[fecha_inicio]])</f>
        <v/>
      </c>
      <c r="AB7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0" s="3">
        <f>IF(tblOrdenes[[#This Row],[backlog_habiles]]="","",IF(tblOrdenes[[#This Row],[backlog_habiles]]&lt;0,"FUTURO",IF(tblOrdenes[[#This Row],[backlog_habiles]]&gt;p_dias_backlog_max,"BACKLOG","MES CORRIENTE")))</f>
        <v/>
      </c>
      <c r="AD700" s="3">
        <f>IF(tblOrdenes[[#This Row],[backlog_habiles]]="",FALSE,AND(tblOrdenes[[#This Row],[backlog_habiles]]&gt;p_dias_backlog_min,tblOrdenes[[#This Row],[backlog_habiles]]&lt;=p_dias_backlog_max))</f>
        <v/>
      </c>
      <c r="AE700" s="6" t="n"/>
      <c r="AF7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0" s="11">
        <f>IF(tblOrdenes[[#This Row],[orden]]="","",_xlfn.XLOOKUP(tblOrdenes[[#This Row],[id_operacion]],tblEjecucion[id_operacion],tblEjecucion[precio],0))</f>
        <v/>
      </c>
      <c r="AJ700" s="11">
        <f>IF(tblOrdenes[[#This Row],[orden]]="","",MAX(0,_xlfn.XLOOKUP(tblOrdenes[[#This Row],[id_operacion]],tblEjecucion[id_operacion],tblEjecucion[costo_plan_total],0)-tblOrdenes[[#This Row],[costo_servicio]]))</f>
        <v/>
      </c>
      <c r="AK700" s="11">
        <f>IF(tblOrdenes[[#This Row],[orden]]="","",tblOrdenes[[#This Row],[costo_servicio]]+tblOrdenes[[#This Row],[costo_materiales]])</f>
        <v/>
      </c>
      <c r="AL700" s="6" t="n"/>
      <c r="AM700" s="6" t="n"/>
      <c r="AN700" s="6" t="n"/>
      <c r="AO700" s="3">
        <f>IF(tblOrdenes[[#This Row],[link_checklist]]="","",HYPERLINK(p_ruta_base_checklists&amp;tblOrdenes[[#This Row],[link_checklist]],"abrir"))</f>
        <v/>
      </c>
      <c r="AP700" s="6" t="n"/>
      <c r="AQ700" s="3">
        <f>IF(tblOrdenes[[#This Row],[orden]]="","",tblOrdenes[[#This Row],[orden]]&amp;IF(tblOrdenes[[#This Row],[operacion]]="","0010",tblOrdenes[[#This Row],[operacion]]))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2" t="n"/>
      <c r="K701" s="3" t="n"/>
      <c r="L701" s="11" t="n"/>
      <c r="M7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1" s="3">
        <f>IF(tblOrdenes[[#This Row],[fecha_inicio]]="","",YEAR(tblOrdenes[[#This Row],[fecha_inicio]]))</f>
        <v/>
      </c>
      <c r="Q701" s="3">
        <f>IF(tblOrdenes[[#This Row],[fecha_inicio]]="","",MONTH(tblOrdenes[[#This Row],[fecha_inicio]]))</f>
        <v/>
      </c>
      <c r="R701" s="3">
        <f>IF(tblOrdenes[[#This Row],[fecha_inicio]]="","",INDEX(lista_dias,WEEKDAY(tblOrdenes[[#This Row],[fecha_inicio]],2)))</f>
        <v/>
      </c>
      <c r="S7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1" s="3">
        <f>IF(tblOrdenes[[#This Row],[tipo_ot]]="","",_xlfn.XLOOKUP(tblOrdenes[[#This Row],[tipo_ot]],tblTiposOT[codigo],tblTiposOT[clasificacion],"sin_clasificar"))</f>
        <v/>
      </c>
      <c r="U701" s="3">
        <f>IF(tblOrdenes[[#This Row],[centro_costo]]="","",_xlfn.XLOOKUP(tblOrdenes[[#This Row],[centro_costo]],tblCECO[codigo],tblCECO[linea],"(sin catálogo)"))</f>
        <v/>
      </c>
      <c r="V701" s="3">
        <f>IF(tblOrdenes[[#This Row],[centro_costo]]="","",_xlfn.XLOOKUP(tblOrdenes[[#This Row],[centro_costo]],tblCECO[codigo],tblCECO[area],"(sin catálogo)"))</f>
        <v/>
      </c>
      <c r="W7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1" s="3">
        <f>IF(tblOrdenes[[#This Row],[centro_costo]]="","",_xlfn.XLOOKUP(tblOrdenes[[#This Row],[centro_costo]],tblCECO[codigo],tblCECO[coordinador],"(sin catálogo)"))</f>
        <v/>
      </c>
      <c r="Y701" s="3">
        <f>IF(tblOrdenes[[#This Row],[puesto_trabajo]]="","",_xlfn.XLOOKUP(tblOrdenes[[#This Row],[puesto_trabajo]],tblPuestos[codigo],tblPuestos[especialidad],"(sin catálogo)"))</f>
        <v/>
      </c>
      <c r="Z701" s="3">
        <f>IF(tblOrdenes[[#This Row],[cod_actividad]]="","",_xlfn.XLOOKUP(tblOrdenes[[#This Row],[cod_actividad]],tblActividades[codigo],tblActividades[descripcion],"(sin catálogo)"))</f>
        <v/>
      </c>
      <c r="AA701" s="13">
        <f>IF(tblOrdenes[[#This Row],[fecha_inicio]]="","",TODAY()-tblOrdenes[[#This Row],[fecha_inicio]])</f>
        <v/>
      </c>
      <c r="AB7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1" s="3">
        <f>IF(tblOrdenes[[#This Row],[backlog_habiles]]="","",IF(tblOrdenes[[#This Row],[backlog_habiles]]&lt;0,"FUTURO",IF(tblOrdenes[[#This Row],[backlog_habiles]]&gt;p_dias_backlog_max,"BACKLOG","MES CORRIENTE")))</f>
        <v/>
      </c>
      <c r="AD701" s="3">
        <f>IF(tblOrdenes[[#This Row],[backlog_habiles]]="",FALSE,AND(tblOrdenes[[#This Row],[backlog_habiles]]&gt;p_dias_backlog_min,tblOrdenes[[#This Row],[backlog_habiles]]&lt;=p_dias_backlog_max))</f>
        <v/>
      </c>
      <c r="AE701" s="6" t="n"/>
      <c r="AF7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1" s="11">
        <f>IF(tblOrdenes[[#This Row],[orden]]="","",_xlfn.XLOOKUP(tblOrdenes[[#This Row],[id_operacion]],tblEjecucion[id_operacion],tblEjecucion[precio],0))</f>
        <v/>
      </c>
      <c r="AJ701" s="11">
        <f>IF(tblOrdenes[[#This Row],[orden]]="","",MAX(0,_xlfn.XLOOKUP(tblOrdenes[[#This Row],[id_operacion]],tblEjecucion[id_operacion],tblEjecucion[costo_plan_total],0)-tblOrdenes[[#This Row],[costo_servicio]]))</f>
        <v/>
      </c>
      <c r="AK701" s="11">
        <f>IF(tblOrdenes[[#This Row],[orden]]="","",tblOrdenes[[#This Row],[costo_servicio]]+tblOrdenes[[#This Row],[costo_materiales]])</f>
        <v/>
      </c>
      <c r="AL701" s="6" t="n"/>
      <c r="AM701" s="6" t="n"/>
      <c r="AN701" s="6" t="n"/>
      <c r="AO701" s="3">
        <f>IF(tblOrdenes[[#This Row],[link_checklist]]="","",HYPERLINK(p_ruta_base_checklists&amp;tblOrdenes[[#This Row],[link_checklist]],"abrir"))</f>
        <v/>
      </c>
      <c r="AP701" s="6" t="n"/>
      <c r="AQ701" s="3">
        <f>IF(tblOrdenes[[#This Row],[orden]]="","",tblOrdenes[[#This Row],[orden]]&amp;IF(tblOrdenes[[#This Row],[operacion]]="","0010",tblOrdenes[[#This Row],[operacion]]))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2" t="n"/>
      <c r="K702" s="3" t="n"/>
      <c r="L702" s="11" t="n"/>
      <c r="M7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2" s="3">
        <f>IF(tblOrdenes[[#This Row],[fecha_inicio]]="","",YEAR(tblOrdenes[[#This Row],[fecha_inicio]]))</f>
        <v/>
      </c>
      <c r="Q702" s="3">
        <f>IF(tblOrdenes[[#This Row],[fecha_inicio]]="","",MONTH(tblOrdenes[[#This Row],[fecha_inicio]]))</f>
        <v/>
      </c>
      <c r="R702" s="3">
        <f>IF(tblOrdenes[[#This Row],[fecha_inicio]]="","",INDEX(lista_dias,WEEKDAY(tblOrdenes[[#This Row],[fecha_inicio]],2)))</f>
        <v/>
      </c>
      <c r="S7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2" s="3">
        <f>IF(tblOrdenes[[#This Row],[tipo_ot]]="","",_xlfn.XLOOKUP(tblOrdenes[[#This Row],[tipo_ot]],tblTiposOT[codigo],tblTiposOT[clasificacion],"sin_clasificar"))</f>
        <v/>
      </c>
      <c r="U702" s="3">
        <f>IF(tblOrdenes[[#This Row],[centro_costo]]="","",_xlfn.XLOOKUP(tblOrdenes[[#This Row],[centro_costo]],tblCECO[codigo],tblCECO[linea],"(sin catálogo)"))</f>
        <v/>
      </c>
      <c r="V702" s="3">
        <f>IF(tblOrdenes[[#This Row],[centro_costo]]="","",_xlfn.XLOOKUP(tblOrdenes[[#This Row],[centro_costo]],tblCECO[codigo],tblCECO[area],"(sin catálogo)"))</f>
        <v/>
      </c>
      <c r="W7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2" s="3">
        <f>IF(tblOrdenes[[#This Row],[centro_costo]]="","",_xlfn.XLOOKUP(tblOrdenes[[#This Row],[centro_costo]],tblCECO[codigo],tblCECO[coordinador],"(sin catálogo)"))</f>
        <v/>
      </c>
      <c r="Y702" s="3">
        <f>IF(tblOrdenes[[#This Row],[puesto_trabajo]]="","",_xlfn.XLOOKUP(tblOrdenes[[#This Row],[puesto_trabajo]],tblPuestos[codigo],tblPuestos[especialidad],"(sin catálogo)"))</f>
        <v/>
      </c>
      <c r="Z702" s="3">
        <f>IF(tblOrdenes[[#This Row],[cod_actividad]]="","",_xlfn.XLOOKUP(tblOrdenes[[#This Row],[cod_actividad]],tblActividades[codigo],tblActividades[descripcion],"(sin catálogo)"))</f>
        <v/>
      </c>
      <c r="AA702" s="13">
        <f>IF(tblOrdenes[[#This Row],[fecha_inicio]]="","",TODAY()-tblOrdenes[[#This Row],[fecha_inicio]])</f>
        <v/>
      </c>
      <c r="AB7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2" s="3">
        <f>IF(tblOrdenes[[#This Row],[backlog_habiles]]="","",IF(tblOrdenes[[#This Row],[backlog_habiles]]&lt;0,"FUTURO",IF(tblOrdenes[[#This Row],[backlog_habiles]]&gt;p_dias_backlog_max,"BACKLOG","MES CORRIENTE")))</f>
        <v/>
      </c>
      <c r="AD702" s="3">
        <f>IF(tblOrdenes[[#This Row],[backlog_habiles]]="",FALSE,AND(tblOrdenes[[#This Row],[backlog_habiles]]&gt;p_dias_backlog_min,tblOrdenes[[#This Row],[backlog_habiles]]&lt;=p_dias_backlog_max))</f>
        <v/>
      </c>
      <c r="AE702" s="6" t="n"/>
      <c r="AF7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2" s="11">
        <f>IF(tblOrdenes[[#This Row],[orden]]="","",_xlfn.XLOOKUP(tblOrdenes[[#This Row],[id_operacion]],tblEjecucion[id_operacion],tblEjecucion[precio],0))</f>
        <v/>
      </c>
      <c r="AJ702" s="11">
        <f>IF(tblOrdenes[[#This Row],[orden]]="","",MAX(0,_xlfn.XLOOKUP(tblOrdenes[[#This Row],[id_operacion]],tblEjecucion[id_operacion],tblEjecucion[costo_plan_total],0)-tblOrdenes[[#This Row],[costo_servicio]]))</f>
        <v/>
      </c>
      <c r="AK702" s="11">
        <f>IF(tblOrdenes[[#This Row],[orden]]="","",tblOrdenes[[#This Row],[costo_servicio]]+tblOrdenes[[#This Row],[costo_materiales]])</f>
        <v/>
      </c>
      <c r="AL702" s="6" t="n"/>
      <c r="AM702" s="6" t="n"/>
      <c r="AN702" s="6" t="n"/>
      <c r="AO702" s="3">
        <f>IF(tblOrdenes[[#This Row],[link_checklist]]="","",HYPERLINK(p_ruta_base_checklists&amp;tblOrdenes[[#This Row],[link_checklist]],"abrir"))</f>
        <v/>
      </c>
      <c r="AP702" s="6" t="n"/>
      <c r="AQ702" s="3">
        <f>IF(tblOrdenes[[#This Row],[orden]]="","",tblOrdenes[[#This Row],[orden]]&amp;IF(tblOrdenes[[#This Row],[operacion]]="","0010",tblOrdenes[[#This Row],[operacion]]))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2" t="n"/>
      <c r="K703" s="3" t="n"/>
      <c r="L703" s="11" t="n"/>
      <c r="M7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3" s="3">
        <f>IF(tblOrdenes[[#This Row],[fecha_inicio]]="","",YEAR(tblOrdenes[[#This Row],[fecha_inicio]]))</f>
        <v/>
      </c>
      <c r="Q703" s="3">
        <f>IF(tblOrdenes[[#This Row],[fecha_inicio]]="","",MONTH(tblOrdenes[[#This Row],[fecha_inicio]]))</f>
        <v/>
      </c>
      <c r="R703" s="3">
        <f>IF(tblOrdenes[[#This Row],[fecha_inicio]]="","",INDEX(lista_dias,WEEKDAY(tblOrdenes[[#This Row],[fecha_inicio]],2)))</f>
        <v/>
      </c>
      <c r="S7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3" s="3">
        <f>IF(tblOrdenes[[#This Row],[tipo_ot]]="","",_xlfn.XLOOKUP(tblOrdenes[[#This Row],[tipo_ot]],tblTiposOT[codigo],tblTiposOT[clasificacion],"sin_clasificar"))</f>
        <v/>
      </c>
      <c r="U703" s="3">
        <f>IF(tblOrdenes[[#This Row],[centro_costo]]="","",_xlfn.XLOOKUP(tblOrdenes[[#This Row],[centro_costo]],tblCECO[codigo],tblCECO[linea],"(sin catálogo)"))</f>
        <v/>
      </c>
      <c r="V703" s="3">
        <f>IF(tblOrdenes[[#This Row],[centro_costo]]="","",_xlfn.XLOOKUP(tblOrdenes[[#This Row],[centro_costo]],tblCECO[codigo],tblCECO[area],"(sin catálogo)"))</f>
        <v/>
      </c>
      <c r="W7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3" s="3">
        <f>IF(tblOrdenes[[#This Row],[centro_costo]]="","",_xlfn.XLOOKUP(tblOrdenes[[#This Row],[centro_costo]],tblCECO[codigo],tblCECO[coordinador],"(sin catálogo)"))</f>
        <v/>
      </c>
      <c r="Y703" s="3">
        <f>IF(tblOrdenes[[#This Row],[puesto_trabajo]]="","",_xlfn.XLOOKUP(tblOrdenes[[#This Row],[puesto_trabajo]],tblPuestos[codigo],tblPuestos[especialidad],"(sin catálogo)"))</f>
        <v/>
      </c>
      <c r="Z703" s="3">
        <f>IF(tblOrdenes[[#This Row],[cod_actividad]]="","",_xlfn.XLOOKUP(tblOrdenes[[#This Row],[cod_actividad]],tblActividades[codigo],tblActividades[descripcion],"(sin catálogo)"))</f>
        <v/>
      </c>
      <c r="AA703" s="13">
        <f>IF(tblOrdenes[[#This Row],[fecha_inicio]]="","",TODAY()-tblOrdenes[[#This Row],[fecha_inicio]])</f>
        <v/>
      </c>
      <c r="AB7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3" s="3">
        <f>IF(tblOrdenes[[#This Row],[backlog_habiles]]="","",IF(tblOrdenes[[#This Row],[backlog_habiles]]&lt;0,"FUTURO",IF(tblOrdenes[[#This Row],[backlog_habiles]]&gt;p_dias_backlog_max,"BACKLOG","MES CORRIENTE")))</f>
        <v/>
      </c>
      <c r="AD703" s="3">
        <f>IF(tblOrdenes[[#This Row],[backlog_habiles]]="",FALSE,AND(tblOrdenes[[#This Row],[backlog_habiles]]&gt;p_dias_backlog_min,tblOrdenes[[#This Row],[backlog_habiles]]&lt;=p_dias_backlog_max))</f>
        <v/>
      </c>
      <c r="AE703" s="6" t="n"/>
      <c r="AF7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3" s="11">
        <f>IF(tblOrdenes[[#This Row],[orden]]="","",_xlfn.XLOOKUP(tblOrdenes[[#This Row],[id_operacion]],tblEjecucion[id_operacion],tblEjecucion[precio],0))</f>
        <v/>
      </c>
      <c r="AJ703" s="11">
        <f>IF(tblOrdenes[[#This Row],[orden]]="","",MAX(0,_xlfn.XLOOKUP(tblOrdenes[[#This Row],[id_operacion]],tblEjecucion[id_operacion],tblEjecucion[costo_plan_total],0)-tblOrdenes[[#This Row],[costo_servicio]]))</f>
        <v/>
      </c>
      <c r="AK703" s="11">
        <f>IF(tblOrdenes[[#This Row],[orden]]="","",tblOrdenes[[#This Row],[costo_servicio]]+tblOrdenes[[#This Row],[costo_materiales]])</f>
        <v/>
      </c>
      <c r="AL703" s="6" t="n"/>
      <c r="AM703" s="6" t="n"/>
      <c r="AN703" s="6" t="n"/>
      <c r="AO703" s="3">
        <f>IF(tblOrdenes[[#This Row],[link_checklist]]="","",HYPERLINK(p_ruta_base_checklists&amp;tblOrdenes[[#This Row],[link_checklist]],"abrir"))</f>
        <v/>
      </c>
      <c r="AP703" s="6" t="n"/>
      <c r="AQ703" s="3">
        <f>IF(tblOrdenes[[#This Row],[orden]]="","",tblOrdenes[[#This Row],[orden]]&amp;IF(tblOrdenes[[#This Row],[operacion]]="","0010",tblOrdenes[[#This Row],[operacion]]))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2" t="n"/>
      <c r="K704" s="3" t="n"/>
      <c r="L704" s="11" t="n"/>
      <c r="M7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4" s="3">
        <f>IF(tblOrdenes[[#This Row],[fecha_inicio]]="","",YEAR(tblOrdenes[[#This Row],[fecha_inicio]]))</f>
        <v/>
      </c>
      <c r="Q704" s="3">
        <f>IF(tblOrdenes[[#This Row],[fecha_inicio]]="","",MONTH(tblOrdenes[[#This Row],[fecha_inicio]]))</f>
        <v/>
      </c>
      <c r="R704" s="3">
        <f>IF(tblOrdenes[[#This Row],[fecha_inicio]]="","",INDEX(lista_dias,WEEKDAY(tblOrdenes[[#This Row],[fecha_inicio]],2)))</f>
        <v/>
      </c>
      <c r="S7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4" s="3">
        <f>IF(tblOrdenes[[#This Row],[tipo_ot]]="","",_xlfn.XLOOKUP(tblOrdenes[[#This Row],[tipo_ot]],tblTiposOT[codigo],tblTiposOT[clasificacion],"sin_clasificar"))</f>
        <v/>
      </c>
      <c r="U704" s="3">
        <f>IF(tblOrdenes[[#This Row],[centro_costo]]="","",_xlfn.XLOOKUP(tblOrdenes[[#This Row],[centro_costo]],tblCECO[codigo],tblCECO[linea],"(sin catálogo)"))</f>
        <v/>
      </c>
      <c r="V704" s="3">
        <f>IF(tblOrdenes[[#This Row],[centro_costo]]="","",_xlfn.XLOOKUP(tblOrdenes[[#This Row],[centro_costo]],tblCECO[codigo],tblCECO[area],"(sin catálogo)"))</f>
        <v/>
      </c>
      <c r="W7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4" s="3">
        <f>IF(tblOrdenes[[#This Row],[centro_costo]]="","",_xlfn.XLOOKUP(tblOrdenes[[#This Row],[centro_costo]],tblCECO[codigo],tblCECO[coordinador],"(sin catálogo)"))</f>
        <v/>
      </c>
      <c r="Y704" s="3">
        <f>IF(tblOrdenes[[#This Row],[puesto_trabajo]]="","",_xlfn.XLOOKUP(tblOrdenes[[#This Row],[puesto_trabajo]],tblPuestos[codigo],tblPuestos[especialidad],"(sin catálogo)"))</f>
        <v/>
      </c>
      <c r="Z704" s="3">
        <f>IF(tblOrdenes[[#This Row],[cod_actividad]]="","",_xlfn.XLOOKUP(tblOrdenes[[#This Row],[cod_actividad]],tblActividades[codigo],tblActividades[descripcion],"(sin catálogo)"))</f>
        <v/>
      </c>
      <c r="AA704" s="13">
        <f>IF(tblOrdenes[[#This Row],[fecha_inicio]]="","",TODAY()-tblOrdenes[[#This Row],[fecha_inicio]])</f>
        <v/>
      </c>
      <c r="AB7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4" s="3">
        <f>IF(tblOrdenes[[#This Row],[backlog_habiles]]="","",IF(tblOrdenes[[#This Row],[backlog_habiles]]&lt;0,"FUTURO",IF(tblOrdenes[[#This Row],[backlog_habiles]]&gt;p_dias_backlog_max,"BACKLOG","MES CORRIENTE")))</f>
        <v/>
      </c>
      <c r="AD704" s="3">
        <f>IF(tblOrdenes[[#This Row],[backlog_habiles]]="",FALSE,AND(tblOrdenes[[#This Row],[backlog_habiles]]&gt;p_dias_backlog_min,tblOrdenes[[#This Row],[backlog_habiles]]&lt;=p_dias_backlog_max))</f>
        <v/>
      </c>
      <c r="AE704" s="6" t="n"/>
      <c r="AF7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4" s="11">
        <f>IF(tblOrdenes[[#This Row],[orden]]="","",_xlfn.XLOOKUP(tblOrdenes[[#This Row],[id_operacion]],tblEjecucion[id_operacion],tblEjecucion[precio],0))</f>
        <v/>
      </c>
      <c r="AJ704" s="11">
        <f>IF(tblOrdenes[[#This Row],[orden]]="","",MAX(0,_xlfn.XLOOKUP(tblOrdenes[[#This Row],[id_operacion]],tblEjecucion[id_operacion],tblEjecucion[costo_plan_total],0)-tblOrdenes[[#This Row],[costo_servicio]]))</f>
        <v/>
      </c>
      <c r="AK704" s="11">
        <f>IF(tblOrdenes[[#This Row],[orden]]="","",tblOrdenes[[#This Row],[costo_servicio]]+tblOrdenes[[#This Row],[costo_materiales]])</f>
        <v/>
      </c>
      <c r="AL704" s="6" t="n"/>
      <c r="AM704" s="6" t="n"/>
      <c r="AN704" s="6" t="n"/>
      <c r="AO704" s="3">
        <f>IF(tblOrdenes[[#This Row],[link_checklist]]="","",HYPERLINK(p_ruta_base_checklists&amp;tblOrdenes[[#This Row],[link_checklist]],"abrir"))</f>
        <v/>
      </c>
      <c r="AP704" s="6" t="n"/>
      <c r="AQ704" s="3">
        <f>IF(tblOrdenes[[#This Row],[orden]]="","",tblOrdenes[[#This Row],[orden]]&amp;IF(tblOrdenes[[#This Row],[operacion]]="","0010",tblOrdenes[[#This Row],[operacion]]))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2" t="n"/>
      <c r="K705" s="3" t="n"/>
      <c r="L705" s="11" t="n"/>
      <c r="M7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5" s="3">
        <f>IF(tblOrdenes[[#This Row],[fecha_inicio]]="","",YEAR(tblOrdenes[[#This Row],[fecha_inicio]]))</f>
        <v/>
      </c>
      <c r="Q705" s="3">
        <f>IF(tblOrdenes[[#This Row],[fecha_inicio]]="","",MONTH(tblOrdenes[[#This Row],[fecha_inicio]]))</f>
        <v/>
      </c>
      <c r="R705" s="3">
        <f>IF(tblOrdenes[[#This Row],[fecha_inicio]]="","",INDEX(lista_dias,WEEKDAY(tblOrdenes[[#This Row],[fecha_inicio]],2)))</f>
        <v/>
      </c>
      <c r="S7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5" s="3">
        <f>IF(tblOrdenes[[#This Row],[tipo_ot]]="","",_xlfn.XLOOKUP(tblOrdenes[[#This Row],[tipo_ot]],tblTiposOT[codigo],tblTiposOT[clasificacion],"sin_clasificar"))</f>
        <v/>
      </c>
      <c r="U705" s="3">
        <f>IF(tblOrdenes[[#This Row],[centro_costo]]="","",_xlfn.XLOOKUP(tblOrdenes[[#This Row],[centro_costo]],tblCECO[codigo],tblCECO[linea],"(sin catálogo)"))</f>
        <v/>
      </c>
      <c r="V705" s="3">
        <f>IF(tblOrdenes[[#This Row],[centro_costo]]="","",_xlfn.XLOOKUP(tblOrdenes[[#This Row],[centro_costo]],tblCECO[codigo],tblCECO[area],"(sin catálogo)"))</f>
        <v/>
      </c>
      <c r="W7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5" s="3">
        <f>IF(tblOrdenes[[#This Row],[centro_costo]]="","",_xlfn.XLOOKUP(tblOrdenes[[#This Row],[centro_costo]],tblCECO[codigo],tblCECO[coordinador],"(sin catálogo)"))</f>
        <v/>
      </c>
      <c r="Y705" s="3">
        <f>IF(tblOrdenes[[#This Row],[puesto_trabajo]]="","",_xlfn.XLOOKUP(tblOrdenes[[#This Row],[puesto_trabajo]],tblPuestos[codigo],tblPuestos[especialidad],"(sin catálogo)"))</f>
        <v/>
      </c>
      <c r="Z705" s="3">
        <f>IF(tblOrdenes[[#This Row],[cod_actividad]]="","",_xlfn.XLOOKUP(tblOrdenes[[#This Row],[cod_actividad]],tblActividades[codigo],tblActividades[descripcion],"(sin catálogo)"))</f>
        <v/>
      </c>
      <c r="AA705" s="13">
        <f>IF(tblOrdenes[[#This Row],[fecha_inicio]]="","",TODAY()-tblOrdenes[[#This Row],[fecha_inicio]])</f>
        <v/>
      </c>
      <c r="AB7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5" s="3">
        <f>IF(tblOrdenes[[#This Row],[backlog_habiles]]="","",IF(tblOrdenes[[#This Row],[backlog_habiles]]&lt;0,"FUTURO",IF(tblOrdenes[[#This Row],[backlog_habiles]]&gt;p_dias_backlog_max,"BACKLOG","MES CORRIENTE")))</f>
        <v/>
      </c>
      <c r="AD705" s="3">
        <f>IF(tblOrdenes[[#This Row],[backlog_habiles]]="",FALSE,AND(tblOrdenes[[#This Row],[backlog_habiles]]&gt;p_dias_backlog_min,tblOrdenes[[#This Row],[backlog_habiles]]&lt;=p_dias_backlog_max))</f>
        <v/>
      </c>
      <c r="AE705" s="6" t="n"/>
      <c r="AF7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5" s="11">
        <f>IF(tblOrdenes[[#This Row],[orden]]="","",_xlfn.XLOOKUP(tblOrdenes[[#This Row],[id_operacion]],tblEjecucion[id_operacion],tblEjecucion[precio],0))</f>
        <v/>
      </c>
      <c r="AJ705" s="11">
        <f>IF(tblOrdenes[[#This Row],[orden]]="","",MAX(0,_xlfn.XLOOKUP(tblOrdenes[[#This Row],[id_operacion]],tblEjecucion[id_operacion],tblEjecucion[costo_plan_total],0)-tblOrdenes[[#This Row],[costo_servicio]]))</f>
        <v/>
      </c>
      <c r="AK705" s="11">
        <f>IF(tblOrdenes[[#This Row],[orden]]="","",tblOrdenes[[#This Row],[costo_servicio]]+tblOrdenes[[#This Row],[costo_materiales]])</f>
        <v/>
      </c>
      <c r="AL705" s="6" t="n"/>
      <c r="AM705" s="6" t="n"/>
      <c r="AN705" s="6" t="n"/>
      <c r="AO705" s="3">
        <f>IF(tblOrdenes[[#This Row],[link_checklist]]="","",HYPERLINK(p_ruta_base_checklists&amp;tblOrdenes[[#This Row],[link_checklist]],"abrir"))</f>
        <v/>
      </c>
      <c r="AP705" s="6" t="n"/>
      <c r="AQ705" s="3">
        <f>IF(tblOrdenes[[#This Row],[orden]]="","",tblOrdenes[[#This Row],[orden]]&amp;IF(tblOrdenes[[#This Row],[operacion]]="","0010",tblOrdenes[[#This Row],[operacion]]))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2" t="n"/>
      <c r="K706" s="3" t="n"/>
      <c r="L706" s="11" t="n"/>
      <c r="M7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6" s="3">
        <f>IF(tblOrdenes[[#This Row],[fecha_inicio]]="","",YEAR(tblOrdenes[[#This Row],[fecha_inicio]]))</f>
        <v/>
      </c>
      <c r="Q706" s="3">
        <f>IF(tblOrdenes[[#This Row],[fecha_inicio]]="","",MONTH(tblOrdenes[[#This Row],[fecha_inicio]]))</f>
        <v/>
      </c>
      <c r="R706" s="3">
        <f>IF(tblOrdenes[[#This Row],[fecha_inicio]]="","",INDEX(lista_dias,WEEKDAY(tblOrdenes[[#This Row],[fecha_inicio]],2)))</f>
        <v/>
      </c>
      <c r="S7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6" s="3">
        <f>IF(tblOrdenes[[#This Row],[tipo_ot]]="","",_xlfn.XLOOKUP(tblOrdenes[[#This Row],[tipo_ot]],tblTiposOT[codigo],tblTiposOT[clasificacion],"sin_clasificar"))</f>
        <v/>
      </c>
      <c r="U706" s="3">
        <f>IF(tblOrdenes[[#This Row],[centro_costo]]="","",_xlfn.XLOOKUP(tblOrdenes[[#This Row],[centro_costo]],tblCECO[codigo],tblCECO[linea],"(sin catálogo)"))</f>
        <v/>
      </c>
      <c r="V706" s="3">
        <f>IF(tblOrdenes[[#This Row],[centro_costo]]="","",_xlfn.XLOOKUP(tblOrdenes[[#This Row],[centro_costo]],tblCECO[codigo],tblCECO[area],"(sin catálogo)"))</f>
        <v/>
      </c>
      <c r="W7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6" s="3">
        <f>IF(tblOrdenes[[#This Row],[centro_costo]]="","",_xlfn.XLOOKUP(tblOrdenes[[#This Row],[centro_costo]],tblCECO[codigo],tblCECO[coordinador],"(sin catálogo)"))</f>
        <v/>
      </c>
      <c r="Y706" s="3">
        <f>IF(tblOrdenes[[#This Row],[puesto_trabajo]]="","",_xlfn.XLOOKUP(tblOrdenes[[#This Row],[puesto_trabajo]],tblPuestos[codigo],tblPuestos[especialidad],"(sin catálogo)"))</f>
        <v/>
      </c>
      <c r="Z706" s="3">
        <f>IF(tblOrdenes[[#This Row],[cod_actividad]]="","",_xlfn.XLOOKUP(tblOrdenes[[#This Row],[cod_actividad]],tblActividades[codigo],tblActividades[descripcion],"(sin catálogo)"))</f>
        <v/>
      </c>
      <c r="AA706" s="13">
        <f>IF(tblOrdenes[[#This Row],[fecha_inicio]]="","",TODAY()-tblOrdenes[[#This Row],[fecha_inicio]])</f>
        <v/>
      </c>
      <c r="AB7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6" s="3">
        <f>IF(tblOrdenes[[#This Row],[backlog_habiles]]="","",IF(tblOrdenes[[#This Row],[backlog_habiles]]&lt;0,"FUTURO",IF(tblOrdenes[[#This Row],[backlog_habiles]]&gt;p_dias_backlog_max,"BACKLOG","MES CORRIENTE")))</f>
        <v/>
      </c>
      <c r="AD706" s="3">
        <f>IF(tblOrdenes[[#This Row],[backlog_habiles]]="",FALSE,AND(tblOrdenes[[#This Row],[backlog_habiles]]&gt;p_dias_backlog_min,tblOrdenes[[#This Row],[backlog_habiles]]&lt;=p_dias_backlog_max))</f>
        <v/>
      </c>
      <c r="AE706" s="6" t="n"/>
      <c r="AF7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6" s="11">
        <f>IF(tblOrdenes[[#This Row],[orden]]="","",_xlfn.XLOOKUP(tblOrdenes[[#This Row],[id_operacion]],tblEjecucion[id_operacion],tblEjecucion[precio],0))</f>
        <v/>
      </c>
      <c r="AJ706" s="11">
        <f>IF(tblOrdenes[[#This Row],[orden]]="","",MAX(0,_xlfn.XLOOKUP(tblOrdenes[[#This Row],[id_operacion]],tblEjecucion[id_operacion],tblEjecucion[costo_plan_total],0)-tblOrdenes[[#This Row],[costo_servicio]]))</f>
        <v/>
      </c>
      <c r="AK706" s="11">
        <f>IF(tblOrdenes[[#This Row],[orden]]="","",tblOrdenes[[#This Row],[costo_servicio]]+tblOrdenes[[#This Row],[costo_materiales]])</f>
        <v/>
      </c>
      <c r="AL706" s="6" t="n"/>
      <c r="AM706" s="6" t="n"/>
      <c r="AN706" s="6" t="n"/>
      <c r="AO706" s="3">
        <f>IF(tblOrdenes[[#This Row],[link_checklist]]="","",HYPERLINK(p_ruta_base_checklists&amp;tblOrdenes[[#This Row],[link_checklist]],"abrir"))</f>
        <v/>
      </c>
      <c r="AP706" s="6" t="n"/>
      <c r="AQ706" s="3">
        <f>IF(tblOrdenes[[#This Row],[orden]]="","",tblOrdenes[[#This Row],[orden]]&amp;IF(tblOrdenes[[#This Row],[operacion]]="","0010",tblOrdenes[[#This Row],[operacion]]))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2" t="n"/>
      <c r="K707" s="3" t="n"/>
      <c r="L707" s="11" t="n"/>
      <c r="M7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7" s="3">
        <f>IF(tblOrdenes[[#This Row],[fecha_inicio]]="","",YEAR(tblOrdenes[[#This Row],[fecha_inicio]]))</f>
        <v/>
      </c>
      <c r="Q707" s="3">
        <f>IF(tblOrdenes[[#This Row],[fecha_inicio]]="","",MONTH(tblOrdenes[[#This Row],[fecha_inicio]]))</f>
        <v/>
      </c>
      <c r="R707" s="3">
        <f>IF(tblOrdenes[[#This Row],[fecha_inicio]]="","",INDEX(lista_dias,WEEKDAY(tblOrdenes[[#This Row],[fecha_inicio]],2)))</f>
        <v/>
      </c>
      <c r="S7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7" s="3">
        <f>IF(tblOrdenes[[#This Row],[tipo_ot]]="","",_xlfn.XLOOKUP(tblOrdenes[[#This Row],[tipo_ot]],tblTiposOT[codigo],tblTiposOT[clasificacion],"sin_clasificar"))</f>
        <v/>
      </c>
      <c r="U707" s="3">
        <f>IF(tblOrdenes[[#This Row],[centro_costo]]="","",_xlfn.XLOOKUP(tblOrdenes[[#This Row],[centro_costo]],tblCECO[codigo],tblCECO[linea],"(sin catálogo)"))</f>
        <v/>
      </c>
      <c r="V707" s="3">
        <f>IF(tblOrdenes[[#This Row],[centro_costo]]="","",_xlfn.XLOOKUP(tblOrdenes[[#This Row],[centro_costo]],tblCECO[codigo],tblCECO[area],"(sin catálogo)"))</f>
        <v/>
      </c>
      <c r="W7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7" s="3">
        <f>IF(tblOrdenes[[#This Row],[centro_costo]]="","",_xlfn.XLOOKUP(tblOrdenes[[#This Row],[centro_costo]],tblCECO[codigo],tblCECO[coordinador],"(sin catálogo)"))</f>
        <v/>
      </c>
      <c r="Y707" s="3">
        <f>IF(tblOrdenes[[#This Row],[puesto_trabajo]]="","",_xlfn.XLOOKUP(tblOrdenes[[#This Row],[puesto_trabajo]],tblPuestos[codigo],tblPuestos[especialidad],"(sin catálogo)"))</f>
        <v/>
      </c>
      <c r="Z707" s="3">
        <f>IF(tblOrdenes[[#This Row],[cod_actividad]]="","",_xlfn.XLOOKUP(tblOrdenes[[#This Row],[cod_actividad]],tblActividades[codigo],tblActividades[descripcion],"(sin catálogo)"))</f>
        <v/>
      </c>
      <c r="AA707" s="13">
        <f>IF(tblOrdenes[[#This Row],[fecha_inicio]]="","",TODAY()-tblOrdenes[[#This Row],[fecha_inicio]])</f>
        <v/>
      </c>
      <c r="AB7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7" s="3">
        <f>IF(tblOrdenes[[#This Row],[backlog_habiles]]="","",IF(tblOrdenes[[#This Row],[backlog_habiles]]&lt;0,"FUTURO",IF(tblOrdenes[[#This Row],[backlog_habiles]]&gt;p_dias_backlog_max,"BACKLOG","MES CORRIENTE")))</f>
        <v/>
      </c>
      <c r="AD707" s="3">
        <f>IF(tblOrdenes[[#This Row],[backlog_habiles]]="",FALSE,AND(tblOrdenes[[#This Row],[backlog_habiles]]&gt;p_dias_backlog_min,tblOrdenes[[#This Row],[backlog_habiles]]&lt;=p_dias_backlog_max))</f>
        <v/>
      </c>
      <c r="AE707" s="6" t="n"/>
      <c r="AF7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7" s="11">
        <f>IF(tblOrdenes[[#This Row],[orden]]="","",_xlfn.XLOOKUP(tblOrdenes[[#This Row],[id_operacion]],tblEjecucion[id_operacion],tblEjecucion[precio],0))</f>
        <v/>
      </c>
      <c r="AJ707" s="11">
        <f>IF(tblOrdenes[[#This Row],[orden]]="","",MAX(0,_xlfn.XLOOKUP(tblOrdenes[[#This Row],[id_operacion]],tblEjecucion[id_operacion],tblEjecucion[costo_plan_total],0)-tblOrdenes[[#This Row],[costo_servicio]]))</f>
        <v/>
      </c>
      <c r="AK707" s="11">
        <f>IF(tblOrdenes[[#This Row],[orden]]="","",tblOrdenes[[#This Row],[costo_servicio]]+tblOrdenes[[#This Row],[costo_materiales]])</f>
        <v/>
      </c>
      <c r="AL707" s="6" t="n"/>
      <c r="AM707" s="6" t="n"/>
      <c r="AN707" s="6" t="n"/>
      <c r="AO707" s="3">
        <f>IF(tblOrdenes[[#This Row],[link_checklist]]="","",HYPERLINK(p_ruta_base_checklists&amp;tblOrdenes[[#This Row],[link_checklist]],"abrir"))</f>
        <v/>
      </c>
      <c r="AP707" s="6" t="n"/>
      <c r="AQ707" s="3">
        <f>IF(tblOrdenes[[#This Row],[orden]]="","",tblOrdenes[[#This Row],[orden]]&amp;IF(tblOrdenes[[#This Row],[operacion]]="","0010",tblOrdenes[[#This Row],[operacion]]))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2" t="n"/>
      <c r="K708" s="3" t="n"/>
      <c r="L708" s="11" t="n"/>
      <c r="M7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8" s="3">
        <f>IF(tblOrdenes[[#This Row],[fecha_inicio]]="","",YEAR(tblOrdenes[[#This Row],[fecha_inicio]]))</f>
        <v/>
      </c>
      <c r="Q708" s="3">
        <f>IF(tblOrdenes[[#This Row],[fecha_inicio]]="","",MONTH(tblOrdenes[[#This Row],[fecha_inicio]]))</f>
        <v/>
      </c>
      <c r="R708" s="3">
        <f>IF(tblOrdenes[[#This Row],[fecha_inicio]]="","",INDEX(lista_dias,WEEKDAY(tblOrdenes[[#This Row],[fecha_inicio]],2)))</f>
        <v/>
      </c>
      <c r="S7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8" s="3">
        <f>IF(tblOrdenes[[#This Row],[tipo_ot]]="","",_xlfn.XLOOKUP(tblOrdenes[[#This Row],[tipo_ot]],tblTiposOT[codigo],tblTiposOT[clasificacion],"sin_clasificar"))</f>
        <v/>
      </c>
      <c r="U708" s="3">
        <f>IF(tblOrdenes[[#This Row],[centro_costo]]="","",_xlfn.XLOOKUP(tblOrdenes[[#This Row],[centro_costo]],tblCECO[codigo],tblCECO[linea],"(sin catálogo)"))</f>
        <v/>
      </c>
      <c r="V708" s="3">
        <f>IF(tblOrdenes[[#This Row],[centro_costo]]="","",_xlfn.XLOOKUP(tblOrdenes[[#This Row],[centro_costo]],tblCECO[codigo],tblCECO[area],"(sin catálogo)"))</f>
        <v/>
      </c>
      <c r="W7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8" s="3">
        <f>IF(tblOrdenes[[#This Row],[centro_costo]]="","",_xlfn.XLOOKUP(tblOrdenes[[#This Row],[centro_costo]],tblCECO[codigo],tblCECO[coordinador],"(sin catálogo)"))</f>
        <v/>
      </c>
      <c r="Y708" s="3">
        <f>IF(tblOrdenes[[#This Row],[puesto_trabajo]]="","",_xlfn.XLOOKUP(tblOrdenes[[#This Row],[puesto_trabajo]],tblPuestos[codigo],tblPuestos[especialidad],"(sin catálogo)"))</f>
        <v/>
      </c>
      <c r="Z708" s="3">
        <f>IF(tblOrdenes[[#This Row],[cod_actividad]]="","",_xlfn.XLOOKUP(tblOrdenes[[#This Row],[cod_actividad]],tblActividades[codigo],tblActividades[descripcion],"(sin catálogo)"))</f>
        <v/>
      </c>
      <c r="AA708" s="13">
        <f>IF(tblOrdenes[[#This Row],[fecha_inicio]]="","",TODAY()-tblOrdenes[[#This Row],[fecha_inicio]])</f>
        <v/>
      </c>
      <c r="AB7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8" s="3">
        <f>IF(tblOrdenes[[#This Row],[backlog_habiles]]="","",IF(tblOrdenes[[#This Row],[backlog_habiles]]&lt;0,"FUTURO",IF(tblOrdenes[[#This Row],[backlog_habiles]]&gt;p_dias_backlog_max,"BACKLOG","MES CORRIENTE")))</f>
        <v/>
      </c>
      <c r="AD708" s="3">
        <f>IF(tblOrdenes[[#This Row],[backlog_habiles]]="",FALSE,AND(tblOrdenes[[#This Row],[backlog_habiles]]&gt;p_dias_backlog_min,tblOrdenes[[#This Row],[backlog_habiles]]&lt;=p_dias_backlog_max))</f>
        <v/>
      </c>
      <c r="AE708" s="6" t="n"/>
      <c r="AF7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8" s="11">
        <f>IF(tblOrdenes[[#This Row],[orden]]="","",_xlfn.XLOOKUP(tblOrdenes[[#This Row],[id_operacion]],tblEjecucion[id_operacion],tblEjecucion[precio],0))</f>
        <v/>
      </c>
      <c r="AJ708" s="11">
        <f>IF(tblOrdenes[[#This Row],[orden]]="","",MAX(0,_xlfn.XLOOKUP(tblOrdenes[[#This Row],[id_operacion]],tblEjecucion[id_operacion],tblEjecucion[costo_plan_total],0)-tblOrdenes[[#This Row],[costo_servicio]]))</f>
        <v/>
      </c>
      <c r="AK708" s="11">
        <f>IF(tblOrdenes[[#This Row],[orden]]="","",tblOrdenes[[#This Row],[costo_servicio]]+tblOrdenes[[#This Row],[costo_materiales]])</f>
        <v/>
      </c>
      <c r="AL708" s="6" t="n"/>
      <c r="AM708" s="6" t="n"/>
      <c r="AN708" s="6" t="n"/>
      <c r="AO708" s="3">
        <f>IF(tblOrdenes[[#This Row],[link_checklist]]="","",HYPERLINK(p_ruta_base_checklists&amp;tblOrdenes[[#This Row],[link_checklist]],"abrir"))</f>
        <v/>
      </c>
      <c r="AP708" s="6" t="n"/>
      <c r="AQ708" s="3">
        <f>IF(tblOrdenes[[#This Row],[orden]]="","",tblOrdenes[[#This Row],[orden]]&amp;IF(tblOrdenes[[#This Row],[operacion]]="","0010",tblOrdenes[[#This Row],[operacion]]))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2" t="n"/>
      <c r="K709" s="3" t="n"/>
      <c r="L709" s="11" t="n"/>
      <c r="M7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9" s="3">
        <f>IF(tblOrdenes[[#This Row],[fecha_inicio]]="","",YEAR(tblOrdenes[[#This Row],[fecha_inicio]]))</f>
        <v/>
      </c>
      <c r="Q709" s="3">
        <f>IF(tblOrdenes[[#This Row],[fecha_inicio]]="","",MONTH(tblOrdenes[[#This Row],[fecha_inicio]]))</f>
        <v/>
      </c>
      <c r="R709" s="3">
        <f>IF(tblOrdenes[[#This Row],[fecha_inicio]]="","",INDEX(lista_dias,WEEKDAY(tblOrdenes[[#This Row],[fecha_inicio]],2)))</f>
        <v/>
      </c>
      <c r="S7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9" s="3">
        <f>IF(tblOrdenes[[#This Row],[tipo_ot]]="","",_xlfn.XLOOKUP(tblOrdenes[[#This Row],[tipo_ot]],tblTiposOT[codigo],tblTiposOT[clasificacion],"sin_clasificar"))</f>
        <v/>
      </c>
      <c r="U709" s="3">
        <f>IF(tblOrdenes[[#This Row],[centro_costo]]="","",_xlfn.XLOOKUP(tblOrdenes[[#This Row],[centro_costo]],tblCECO[codigo],tblCECO[linea],"(sin catálogo)"))</f>
        <v/>
      </c>
      <c r="V709" s="3">
        <f>IF(tblOrdenes[[#This Row],[centro_costo]]="","",_xlfn.XLOOKUP(tblOrdenes[[#This Row],[centro_costo]],tblCECO[codigo],tblCECO[area],"(sin catálogo)"))</f>
        <v/>
      </c>
      <c r="W7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9" s="3">
        <f>IF(tblOrdenes[[#This Row],[centro_costo]]="","",_xlfn.XLOOKUP(tblOrdenes[[#This Row],[centro_costo]],tblCECO[codigo],tblCECO[coordinador],"(sin catálogo)"))</f>
        <v/>
      </c>
      <c r="Y709" s="3">
        <f>IF(tblOrdenes[[#This Row],[puesto_trabajo]]="","",_xlfn.XLOOKUP(tblOrdenes[[#This Row],[puesto_trabajo]],tblPuestos[codigo],tblPuestos[especialidad],"(sin catálogo)"))</f>
        <v/>
      </c>
      <c r="Z709" s="3">
        <f>IF(tblOrdenes[[#This Row],[cod_actividad]]="","",_xlfn.XLOOKUP(tblOrdenes[[#This Row],[cod_actividad]],tblActividades[codigo],tblActividades[descripcion],"(sin catálogo)"))</f>
        <v/>
      </c>
      <c r="AA709" s="13">
        <f>IF(tblOrdenes[[#This Row],[fecha_inicio]]="","",TODAY()-tblOrdenes[[#This Row],[fecha_inicio]])</f>
        <v/>
      </c>
      <c r="AB7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9" s="3">
        <f>IF(tblOrdenes[[#This Row],[backlog_habiles]]="","",IF(tblOrdenes[[#This Row],[backlog_habiles]]&lt;0,"FUTURO",IF(tblOrdenes[[#This Row],[backlog_habiles]]&gt;p_dias_backlog_max,"BACKLOG","MES CORRIENTE")))</f>
        <v/>
      </c>
      <c r="AD709" s="3">
        <f>IF(tblOrdenes[[#This Row],[backlog_habiles]]="",FALSE,AND(tblOrdenes[[#This Row],[backlog_habiles]]&gt;p_dias_backlog_min,tblOrdenes[[#This Row],[backlog_habiles]]&lt;=p_dias_backlog_max))</f>
        <v/>
      </c>
      <c r="AE709" s="6" t="n"/>
      <c r="AF7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9" s="11">
        <f>IF(tblOrdenes[[#This Row],[orden]]="","",_xlfn.XLOOKUP(tblOrdenes[[#This Row],[id_operacion]],tblEjecucion[id_operacion],tblEjecucion[precio],0))</f>
        <v/>
      </c>
      <c r="AJ709" s="11">
        <f>IF(tblOrdenes[[#This Row],[orden]]="","",MAX(0,_xlfn.XLOOKUP(tblOrdenes[[#This Row],[id_operacion]],tblEjecucion[id_operacion],tblEjecucion[costo_plan_total],0)-tblOrdenes[[#This Row],[costo_servicio]]))</f>
        <v/>
      </c>
      <c r="AK709" s="11">
        <f>IF(tblOrdenes[[#This Row],[orden]]="","",tblOrdenes[[#This Row],[costo_servicio]]+tblOrdenes[[#This Row],[costo_materiales]])</f>
        <v/>
      </c>
      <c r="AL709" s="6" t="n"/>
      <c r="AM709" s="6" t="n"/>
      <c r="AN709" s="6" t="n"/>
      <c r="AO709" s="3">
        <f>IF(tblOrdenes[[#This Row],[link_checklist]]="","",HYPERLINK(p_ruta_base_checklists&amp;tblOrdenes[[#This Row],[link_checklist]],"abrir"))</f>
        <v/>
      </c>
      <c r="AP709" s="6" t="n"/>
      <c r="AQ709" s="3">
        <f>IF(tblOrdenes[[#This Row],[orden]]="","",tblOrdenes[[#This Row],[orden]]&amp;IF(tblOrdenes[[#This Row],[operacion]]="","0010",tblOrdenes[[#This Row],[operacion]]))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2" t="n"/>
      <c r="K710" s="3" t="n"/>
      <c r="L710" s="11" t="n"/>
      <c r="M7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0" s="3">
        <f>IF(tblOrdenes[[#This Row],[fecha_inicio]]="","",YEAR(tblOrdenes[[#This Row],[fecha_inicio]]))</f>
        <v/>
      </c>
      <c r="Q710" s="3">
        <f>IF(tblOrdenes[[#This Row],[fecha_inicio]]="","",MONTH(tblOrdenes[[#This Row],[fecha_inicio]]))</f>
        <v/>
      </c>
      <c r="R710" s="3">
        <f>IF(tblOrdenes[[#This Row],[fecha_inicio]]="","",INDEX(lista_dias,WEEKDAY(tblOrdenes[[#This Row],[fecha_inicio]],2)))</f>
        <v/>
      </c>
      <c r="S7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0" s="3">
        <f>IF(tblOrdenes[[#This Row],[tipo_ot]]="","",_xlfn.XLOOKUP(tblOrdenes[[#This Row],[tipo_ot]],tblTiposOT[codigo],tblTiposOT[clasificacion],"sin_clasificar"))</f>
        <v/>
      </c>
      <c r="U710" s="3">
        <f>IF(tblOrdenes[[#This Row],[centro_costo]]="","",_xlfn.XLOOKUP(tblOrdenes[[#This Row],[centro_costo]],tblCECO[codigo],tblCECO[linea],"(sin catálogo)"))</f>
        <v/>
      </c>
      <c r="V710" s="3">
        <f>IF(tblOrdenes[[#This Row],[centro_costo]]="","",_xlfn.XLOOKUP(tblOrdenes[[#This Row],[centro_costo]],tblCECO[codigo],tblCECO[area],"(sin catálogo)"))</f>
        <v/>
      </c>
      <c r="W7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0" s="3">
        <f>IF(tblOrdenes[[#This Row],[centro_costo]]="","",_xlfn.XLOOKUP(tblOrdenes[[#This Row],[centro_costo]],tblCECO[codigo],tblCECO[coordinador],"(sin catálogo)"))</f>
        <v/>
      </c>
      <c r="Y710" s="3">
        <f>IF(tblOrdenes[[#This Row],[puesto_trabajo]]="","",_xlfn.XLOOKUP(tblOrdenes[[#This Row],[puesto_trabajo]],tblPuestos[codigo],tblPuestos[especialidad],"(sin catálogo)"))</f>
        <v/>
      </c>
      <c r="Z710" s="3">
        <f>IF(tblOrdenes[[#This Row],[cod_actividad]]="","",_xlfn.XLOOKUP(tblOrdenes[[#This Row],[cod_actividad]],tblActividades[codigo],tblActividades[descripcion],"(sin catálogo)"))</f>
        <v/>
      </c>
      <c r="AA710" s="13">
        <f>IF(tblOrdenes[[#This Row],[fecha_inicio]]="","",TODAY()-tblOrdenes[[#This Row],[fecha_inicio]])</f>
        <v/>
      </c>
      <c r="AB7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0" s="3">
        <f>IF(tblOrdenes[[#This Row],[backlog_habiles]]="","",IF(tblOrdenes[[#This Row],[backlog_habiles]]&lt;0,"FUTURO",IF(tblOrdenes[[#This Row],[backlog_habiles]]&gt;p_dias_backlog_max,"BACKLOG","MES CORRIENTE")))</f>
        <v/>
      </c>
      <c r="AD710" s="3">
        <f>IF(tblOrdenes[[#This Row],[backlog_habiles]]="",FALSE,AND(tblOrdenes[[#This Row],[backlog_habiles]]&gt;p_dias_backlog_min,tblOrdenes[[#This Row],[backlog_habiles]]&lt;=p_dias_backlog_max))</f>
        <v/>
      </c>
      <c r="AE710" s="6" t="n"/>
      <c r="AF7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0" s="11">
        <f>IF(tblOrdenes[[#This Row],[orden]]="","",_xlfn.XLOOKUP(tblOrdenes[[#This Row],[id_operacion]],tblEjecucion[id_operacion],tblEjecucion[precio],0))</f>
        <v/>
      </c>
      <c r="AJ710" s="11">
        <f>IF(tblOrdenes[[#This Row],[orden]]="","",MAX(0,_xlfn.XLOOKUP(tblOrdenes[[#This Row],[id_operacion]],tblEjecucion[id_operacion],tblEjecucion[costo_plan_total],0)-tblOrdenes[[#This Row],[costo_servicio]]))</f>
        <v/>
      </c>
      <c r="AK710" s="11">
        <f>IF(tblOrdenes[[#This Row],[orden]]="","",tblOrdenes[[#This Row],[costo_servicio]]+tblOrdenes[[#This Row],[costo_materiales]])</f>
        <v/>
      </c>
      <c r="AL710" s="6" t="n"/>
      <c r="AM710" s="6" t="n"/>
      <c r="AN710" s="6" t="n"/>
      <c r="AO710" s="3">
        <f>IF(tblOrdenes[[#This Row],[link_checklist]]="","",HYPERLINK(p_ruta_base_checklists&amp;tblOrdenes[[#This Row],[link_checklist]],"abrir"))</f>
        <v/>
      </c>
      <c r="AP710" s="6" t="n"/>
      <c r="AQ710" s="3">
        <f>IF(tblOrdenes[[#This Row],[orden]]="","",tblOrdenes[[#This Row],[orden]]&amp;IF(tblOrdenes[[#This Row],[operacion]]="","0010",tblOrdenes[[#This Row],[operacion]]))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2" t="n"/>
      <c r="K711" s="3" t="n"/>
      <c r="L711" s="11" t="n"/>
      <c r="M7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1" s="3">
        <f>IF(tblOrdenes[[#This Row],[fecha_inicio]]="","",YEAR(tblOrdenes[[#This Row],[fecha_inicio]]))</f>
        <v/>
      </c>
      <c r="Q711" s="3">
        <f>IF(tblOrdenes[[#This Row],[fecha_inicio]]="","",MONTH(tblOrdenes[[#This Row],[fecha_inicio]]))</f>
        <v/>
      </c>
      <c r="R711" s="3">
        <f>IF(tblOrdenes[[#This Row],[fecha_inicio]]="","",INDEX(lista_dias,WEEKDAY(tblOrdenes[[#This Row],[fecha_inicio]],2)))</f>
        <v/>
      </c>
      <c r="S7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1" s="3">
        <f>IF(tblOrdenes[[#This Row],[tipo_ot]]="","",_xlfn.XLOOKUP(tblOrdenes[[#This Row],[tipo_ot]],tblTiposOT[codigo],tblTiposOT[clasificacion],"sin_clasificar"))</f>
        <v/>
      </c>
      <c r="U711" s="3">
        <f>IF(tblOrdenes[[#This Row],[centro_costo]]="","",_xlfn.XLOOKUP(tblOrdenes[[#This Row],[centro_costo]],tblCECO[codigo],tblCECO[linea],"(sin catálogo)"))</f>
        <v/>
      </c>
      <c r="V711" s="3">
        <f>IF(tblOrdenes[[#This Row],[centro_costo]]="","",_xlfn.XLOOKUP(tblOrdenes[[#This Row],[centro_costo]],tblCECO[codigo],tblCECO[area],"(sin catálogo)"))</f>
        <v/>
      </c>
      <c r="W7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1" s="3">
        <f>IF(tblOrdenes[[#This Row],[centro_costo]]="","",_xlfn.XLOOKUP(tblOrdenes[[#This Row],[centro_costo]],tblCECO[codigo],tblCECO[coordinador],"(sin catálogo)"))</f>
        <v/>
      </c>
      <c r="Y711" s="3">
        <f>IF(tblOrdenes[[#This Row],[puesto_trabajo]]="","",_xlfn.XLOOKUP(tblOrdenes[[#This Row],[puesto_trabajo]],tblPuestos[codigo],tblPuestos[especialidad],"(sin catálogo)"))</f>
        <v/>
      </c>
      <c r="Z711" s="3">
        <f>IF(tblOrdenes[[#This Row],[cod_actividad]]="","",_xlfn.XLOOKUP(tblOrdenes[[#This Row],[cod_actividad]],tblActividades[codigo],tblActividades[descripcion],"(sin catálogo)"))</f>
        <v/>
      </c>
      <c r="AA711" s="13">
        <f>IF(tblOrdenes[[#This Row],[fecha_inicio]]="","",TODAY()-tblOrdenes[[#This Row],[fecha_inicio]])</f>
        <v/>
      </c>
      <c r="AB7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1" s="3">
        <f>IF(tblOrdenes[[#This Row],[backlog_habiles]]="","",IF(tblOrdenes[[#This Row],[backlog_habiles]]&lt;0,"FUTURO",IF(tblOrdenes[[#This Row],[backlog_habiles]]&gt;p_dias_backlog_max,"BACKLOG","MES CORRIENTE")))</f>
        <v/>
      </c>
      <c r="AD711" s="3">
        <f>IF(tblOrdenes[[#This Row],[backlog_habiles]]="",FALSE,AND(tblOrdenes[[#This Row],[backlog_habiles]]&gt;p_dias_backlog_min,tblOrdenes[[#This Row],[backlog_habiles]]&lt;=p_dias_backlog_max))</f>
        <v/>
      </c>
      <c r="AE711" s="6" t="n"/>
      <c r="AF7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1" s="11">
        <f>IF(tblOrdenes[[#This Row],[orden]]="","",_xlfn.XLOOKUP(tblOrdenes[[#This Row],[id_operacion]],tblEjecucion[id_operacion],tblEjecucion[precio],0))</f>
        <v/>
      </c>
      <c r="AJ711" s="11">
        <f>IF(tblOrdenes[[#This Row],[orden]]="","",MAX(0,_xlfn.XLOOKUP(tblOrdenes[[#This Row],[id_operacion]],tblEjecucion[id_operacion],tblEjecucion[costo_plan_total],0)-tblOrdenes[[#This Row],[costo_servicio]]))</f>
        <v/>
      </c>
      <c r="AK711" s="11">
        <f>IF(tblOrdenes[[#This Row],[orden]]="","",tblOrdenes[[#This Row],[costo_servicio]]+tblOrdenes[[#This Row],[costo_materiales]])</f>
        <v/>
      </c>
      <c r="AL711" s="6" t="n"/>
      <c r="AM711" s="6" t="n"/>
      <c r="AN711" s="6" t="n"/>
      <c r="AO711" s="3">
        <f>IF(tblOrdenes[[#This Row],[link_checklist]]="","",HYPERLINK(p_ruta_base_checklists&amp;tblOrdenes[[#This Row],[link_checklist]],"abrir"))</f>
        <v/>
      </c>
      <c r="AP711" s="6" t="n"/>
      <c r="AQ711" s="3">
        <f>IF(tblOrdenes[[#This Row],[orden]]="","",tblOrdenes[[#This Row],[orden]]&amp;IF(tblOrdenes[[#This Row],[operacion]]="","0010",tblOrdenes[[#This Row],[operacion]]))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2" t="n"/>
      <c r="K712" s="3" t="n"/>
      <c r="L712" s="11" t="n"/>
      <c r="M7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2" s="3">
        <f>IF(tblOrdenes[[#This Row],[fecha_inicio]]="","",YEAR(tblOrdenes[[#This Row],[fecha_inicio]]))</f>
        <v/>
      </c>
      <c r="Q712" s="3">
        <f>IF(tblOrdenes[[#This Row],[fecha_inicio]]="","",MONTH(tblOrdenes[[#This Row],[fecha_inicio]]))</f>
        <v/>
      </c>
      <c r="R712" s="3">
        <f>IF(tblOrdenes[[#This Row],[fecha_inicio]]="","",INDEX(lista_dias,WEEKDAY(tblOrdenes[[#This Row],[fecha_inicio]],2)))</f>
        <v/>
      </c>
      <c r="S7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2" s="3">
        <f>IF(tblOrdenes[[#This Row],[tipo_ot]]="","",_xlfn.XLOOKUP(tblOrdenes[[#This Row],[tipo_ot]],tblTiposOT[codigo],tblTiposOT[clasificacion],"sin_clasificar"))</f>
        <v/>
      </c>
      <c r="U712" s="3">
        <f>IF(tblOrdenes[[#This Row],[centro_costo]]="","",_xlfn.XLOOKUP(tblOrdenes[[#This Row],[centro_costo]],tblCECO[codigo],tblCECO[linea],"(sin catálogo)"))</f>
        <v/>
      </c>
      <c r="V712" s="3">
        <f>IF(tblOrdenes[[#This Row],[centro_costo]]="","",_xlfn.XLOOKUP(tblOrdenes[[#This Row],[centro_costo]],tblCECO[codigo],tblCECO[area],"(sin catálogo)"))</f>
        <v/>
      </c>
      <c r="W7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2" s="3">
        <f>IF(tblOrdenes[[#This Row],[centro_costo]]="","",_xlfn.XLOOKUP(tblOrdenes[[#This Row],[centro_costo]],tblCECO[codigo],tblCECO[coordinador],"(sin catálogo)"))</f>
        <v/>
      </c>
      <c r="Y712" s="3">
        <f>IF(tblOrdenes[[#This Row],[puesto_trabajo]]="","",_xlfn.XLOOKUP(tblOrdenes[[#This Row],[puesto_trabajo]],tblPuestos[codigo],tblPuestos[especialidad],"(sin catálogo)"))</f>
        <v/>
      </c>
      <c r="Z712" s="3">
        <f>IF(tblOrdenes[[#This Row],[cod_actividad]]="","",_xlfn.XLOOKUP(tblOrdenes[[#This Row],[cod_actividad]],tblActividades[codigo],tblActividades[descripcion],"(sin catálogo)"))</f>
        <v/>
      </c>
      <c r="AA712" s="13">
        <f>IF(tblOrdenes[[#This Row],[fecha_inicio]]="","",TODAY()-tblOrdenes[[#This Row],[fecha_inicio]])</f>
        <v/>
      </c>
      <c r="AB7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2" s="3">
        <f>IF(tblOrdenes[[#This Row],[backlog_habiles]]="","",IF(tblOrdenes[[#This Row],[backlog_habiles]]&lt;0,"FUTURO",IF(tblOrdenes[[#This Row],[backlog_habiles]]&gt;p_dias_backlog_max,"BACKLOG","MES CORRIENTE")))</f>
        <v/>
      </c>
      <c r="AD712" s="3">
        <f>IF(tblOrdenes[[#This Row],[backlog_habiles]]="",FALSE,AND(tblOrdenes[[#This Row],[backlog_habiles]]&gt;p_dias_backlog_min,tblOrdenes[[#This Row],[backlog_habiles]]&lt;=p_dias_backlog_max))</f>
        <v/>
      </c>
      <c r="AE712" s="6" t="n"/>
      <c r="AF7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2" s="11">
        <f>IF(tblOrdenes[[#This Row],[orden]]="","",_xlfn.XLOOKUP(tblOrdenes[[#This Row],[id_operacion]],tblEjecucion[id_operacion],tblEjecucion[precio],0))</f>
        <v/>
      </c>
      <c r="AJ712" s="11">
        <f>IF(tblOrdenes[[#This Row],[orden]]="","",MAX(0,_xlfn.XLOOKUP(tblOrdenes[[#This Row],[id_operacion]],tblEjecucion[id_operacion],tblEjecucion[costo_plan_total],0)-tblOrdenes[[#This Row],[costo_servicio]]))</f>
        <v/>
      </c>
      <c r="AK712" s="11">
        <f>IF(tblOrdenes[[#This Row],[orden]]="","",tblOrdenes[[#This Row],[costo_servicio]]+tblOrdenes[[#This Row],[costo_materiales]])</f>
        <v/>
      </c>
      <c r="AL712" s="6" t="n"/>
      <c r="AM712" s="6" t="n"/>
      <c r="AN712" s="6" t="n"/>
      <c r="AO712" s="3">
        <f>IF(tblOrdenes[[#This Row],[link_checklist]]="","",HYPERLINK(p_ruta_base_checklists&amp;tblOrdenes[[#This Row],[link_checklist]],"abrir"))</f>
        <v/>
      </c>
      <c r="AP712" s="6" t="n"/>
      <c r="AQ712" s="3">
        <f>IF(tblOrdenes[[#This Row],[orden]]="","",tblOrdenes[[#This Row],[orden]]&amp;IF(tblOrdenes[[#This Row],[operacion]]="","0010",tblOrdenes[[#This Row],[operacion]]))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2" t="n"/>
      <c r="K713" s="3" t="n"/>
      <c r="L713" s="11" t="n"/>
      <c r="M7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3" s="3">
        <f>IF(tblOrdenes[[#This Row],[fecha_inicio]]="","",YEAR(tblOrdenes[[#This Row],[fecha_inicio]]))</f>
        <v/>
      </c>
      <c r="Q713" s="3">
        <f>IF(tblOrdenes[[#This Row],[fecha_inicio]]="","",MONTH(tblOrdenes[[#This Row],[fecha_inicio]]))</f>
        <v/>
      </c>
      <c r="R713" s="3">
        <f>IF(tblOrdenes[[#This Row],[fecha_inicio]]="","",INDEX(lista_dias,WEEKDAY(tblOrdenes[[#This Row],[fecha_inicio]],2)))</f>
        <v/>
      </c>
      <c r="S7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3" s="3">
        <f>IF(tblOrdenes[[#This Row],[tipo_ot]]="","",_xlfn.XLOOKUP(tblOrdenes[[#This Row],[tipo_ot]],tblTiposOT[codigo],tblTiposOT[clasificacion],"sin_clasificar"))</f>
        <v/>
      </c>
      <c r="U713" s="3">
        <f>IF(tblOrdenes[[#This Row],[centro_costo]]="","",_xlfn.XLOOKUP(tblOrdenes[[#This Row],[centro_costo]],tblCECO[codigo],tblCECO[linea],"(sin catálogo)"))</f>
        <v/>
      </c>
      <c r="V713" s="3">
        <f>IF(tblOrdenes[[#This Row],[centro_costo]]="","",_xlfn.XLOOKUP(tblOrdenes[[#This Row],[centro_costo]],tblCECO[codigo],tblCECO[area],"(sin catálogo)"))</f>
        <v/>
      </c>
      <c r="W7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3" s="3">
        <f>IF(tblOrdenes[[#This Row],[centro_costo]]="","",_xlfn.XLOOKUP(tblOrdenes[[#This Row],[centro_costo]],tblCECO[codigo],tblCECO[coordinador],"(sin catálogo)"))</f>
        <v/>
      </c>
      <c r="Y713" s="3">
        <f>IF(tblOrdenes[[#This Row],[puesto_trabajo]]="","",_xlfn.XLOOKUP(tblOrdenes[[#This Row],[puesto_trabajo]],tblPuestos[codigo],tblPuestos[especialidad],"(sin catálogo)"))</f>
        <v/>
      </c>
      <c r="Z713" s="3">
        <f>IF(tblOrdenes[[#This Row],[cod_actividad]]="","",_xlfn.XLOOKUP(tblOrdenes[[#This Row],[cod_actividad]],tblActividades[codigo],tblActividades[descripcion],"(sin catálogo)"))</f>
        <v/>
      </c>
      <c r="AA713" s="13">
        <f>IF(tblOrdenes[[#This Row],[fecha_inicio]]="","",TODAY()-tblOrdenes[[#This Row],[fecha_inicio]])</f>
        <v/>
      </c>
      <c r="AB7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3" s="3">
        <f>IF(tblOrdenes[[#This Row],[backlog_habiles]]="","",IF(tblOrdenes[[#This Row],[backlog_habiles]]&lt;0,"FUTURO",IF(tblOrdenes[[#This Row],[backlog_habiles]]&gt;p_dias_backlog_max,"BACKLOG","MES CORRIENTE")))</f>
        <v/>
      </c>
      <c r="AD713" s="3">
        <f>IF(tblOrdenes[[#This Row],[backlog_habiles]]="",FALSE,AND(tblOrdenes[[#This Row],[backlog_habiles]]&gt;p_dias_backlog_min,tblOrdenes[[#This Row],[backlog_habiles]]&lt;=p_dias_backlog_max))</f>
        <v/>
      </c>
      <c r="AE713" s="6" t="n"/>
      <c r="AF7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3" s="11">
        <f>IF(tblOrdenes[[#This Row],[orden]]="","",_xlfn.XLOOKUP(tblOrdenes[[#This Row],[id_operacion]],tblEjecucion[id_operacion],tblEjecucion[precio],0))</f>
        <v/>
      </c>
      <c r="AJ713" s="11">
        <f>IF(tblOrdenes[[#This Row],[orden]]="","",MAX(0,_xlfn.XLOOKUP(tblOrdenes[[#This Row],[id_operacion]],tblEjecucion[id_operacion],tblEjecucion[costo_plan_total],0)-tblOrdenes[[#This Row],[costo_servicio]]))</f>
        <v/>
      </c>
      <c r="AK713" s="11">
        <f>IF(tblOrdenes[[#This Row],[orden]]="","",tblOrdenes[[#This Row],[costo_servicio]]+tblOrdenes[[#This Row],[costo_materiales]])</f>
        <v/>
      </c>
      <c r="AL713" s="6" t="n"/>
      <c r="AM713" s="6" t="n"/>
      <c r="AN713" s="6" t="n"/>
      <c r="AO713" s="3">
        <f>IF(tblOrdenes[[#This Row],[link_checklist]]="","",HYPERLINK(p_ruta_base_checklists&amp;tblOrdenes[[#This Row],[link_checklist]],"abrir"))</f>
        <v/>
      </c>
      <c r="AP713" s="6" t="n"/>
      <c r="AQ713" s="3">
        <f>IF(tblOrdenes[[#This Row],[orden]]="","",tblOrdenes[[#This Row],[orden]]&amp;IF(tblOrdenes[[#This Row],[operacion]]="","0010",tblOrdenes[[#This Row],[operacion]]))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2" t="n"/>
      <c r="K714" s="3" t="n"/>
      <c r="L714" s="11" t="n"/>
      <c r="M7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4" s="3">
        <f>IF(tblOrdenes[[#This Row],[fecha_inicio]]="","",YEAR(tblOrdenes[[#This Row],[fecha_inicio]]))</f>
        <v/>
      </c>
      <c r="Q714" s="3">
        <f>IF(tblOrdenes[[#This Row],[fecha_inicio]]="","",MONTH(tblOrdenes[[#This Row],[fecha_inicio]]))</f>
        <v/>
      </c>
      <c r="R714" s="3">
        <f>IF(tblOrdenes[[#This Row],[fecha_inicio]]="","",INDEX(lista_dias,WEEKDAY(tblOrdenes[[#This Row],[fecha_inicio]],2)))</f>
        <v/>
      </c>
      <c r="S7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4" s="3">
        <f>IF(tblOrdenes[[#This Row],[tipo_ot]]="","",_xlfn.XLOOKUP(tblOrdenes[[#This Row],[tipo_ot]],tblTiposOT[codigo],tblTiposOT[clasificacion],"sin_clasificar"))</f>
        <v/>
      </c>
      <c r="U714" s="3">
        <f>IF(tblOrdenes[[#This Row],[centro_costo]]="","",_xlfn.XLOOKUP(tblOrdenes[[#This Row],[centro_costo]],tblCECO[codigo],tblCECO[linea],"(sin catálogo)"))</f>
        <v/>
      </c>
      <c r="V714" s="3">
        <f>IF(tblOrdenes[[#This Row],[centro_costo]]="","",_xlfn.XLOOKUP(tblOrdenes[[#This Row],[centro_costo]],tblCECO[codigo],tblCECO[area],"(sin catálogo)"))</f>
        <v/>
      </c>
      <c r="W7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4" s="3">
        <f>IF(tblOrdenes[[#This Row],[centro_costo]]="","",_xlfn.XLOOKUP(tblOrdenes[[#This Row],[centro_costo]],tblCECO[codigo],tblCECO[coordinador],"(sin catálogo)"))</f>
        <v/>
      </c>
      <c r="Y714" s="3">
        <f>IF(tblOrdenes[[#This Row],[puesto_trabajo]]="","",_xlfn.XLOOKUP(tblOrdenes[[#This Row],[puesto_trabajo]],tblPuestos[codigo],tblPuestos[especialidad],"(sin catálogo)"))</f>
        <v/>
      </c>
      <c r="Z714" s="3">
        <f>IF(tblOrdenes[[#This Row],[cod_actividad]]="","",_xlfn.XLOOKUP(tblOrdenes[[#This Row],[cod_actividad]],tblActividades[codigo],tblActividades[descripcion],"(sin catálogo)"))</f>
        <v/>
      </c>
      <c r="AA714" s="13">
        <f>IF(tblOrdenes[[#This Row],[fecha_inicio]]="","",TODAY()-tblOrdenes[[#This Row],[fecha_inicio]])</f>
        <v/>
      </c>
      <c r="AB7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4" s="3">
        <f>IF(tblOrdenes[[#This Row],[backlog_habiles]]="","",IF(tblOrdenes[[#This Row],[backlog_habiles]]&lt;0,"FUTURO",IF(tblOrdenes[[#This Row],[backlog_habiles]]&gt;p_dias_backlog_max,"BACKLOG","MES CORRIENTE")))</f>
        <v/>
      </c>
      <c r="AD714" s="3">
        <f>IF(tblOrdenes[[#This Row],[backlog_habiles]]="",FALSE,AND(tblOrdenes[[#This Row],[backlog_habiles]]&gt;p_dias_backlog_min,tblOrdenes[[#This Row],[backlog_habiles]]&lt;=p_dias_backlog_max))</f>
        <v/>
      </c>
      <c r="AE714" s="6" t="n"/>
      <c r="AF7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4" s="11">
        <f>IF(tblOrdenes[[#This Row],[orden]]="","",_xlfn.XLOOKUP(tblOrdenes[[#This Row],[id_operacion]],tblEjecucion[id_operacion],tblEjecucion[precio],0))</f>
        <v/>
      </c>
      <c r="AJ714" s="11">
        <f>IF(tblOrdenes[[#This Row],[orden]]="","",MAX(0,_xlfn.XLOOKUP(tblOrdenes[[#This Row],[id_operacion]],tblEjecucion[id_operacion],tblEjecucion[costo_plan_total],0)-tblOrdenes[[#This Row],[costo_servicio]]))</f>
        <v/>
      </c>
      <c r="AK714" s="11">
        <f>IF(tblOrdenes[[#This Row],[orden]]="","",tblOrdenes[[#This Row],[costo_servicio]]+tblOrdenes[[#This Row],[costo_materiales]])</f>
        <v/>
      </c>
      <c r="AL714" s="6" t="n"/>
      <c r="AM714" s="6" t="n"/>
      <c r="AN714" s="6" t="n"/>
      <c r="AO714" s="3">
        <f>IF(tblOrdenes[[#This Row],[link_checklist]]="","",HYPERLINK(p_ruta_base_checklists&amp;tblOrdenes[[#This Row],[link_checklist]],"abrir"))</f>
        <v/>
      </c>
      <c r="AP714" s="6" t="n"/>
      <c r="AQ714" s="3">
        <f>IF(tblOrdenes[[#This Row],[orden]]="","",tblOrdenes[[#This Row],[orden]]&amp;IF(tblOrdenes[[#This Row],[operacion]]="","0010",tblOrdenes[[#This Row],[operacion]]))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2" t="n"/>
      <c r="K715" s="3" t="n"/>
      <c r="L715" s="11" t="n"/>
      <c r="M7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5" s="3">
        <f>IF(tblOrdenes[[#This Row],[fecha_inicio]]="","",YEAR(tblOrdenes[[#This Row],[fecha_inicio]]))</f>
        <v/>
      </c>
      <c r="Q715" s="3">
        <f>IF(tblOrdenes[[#This Row],[fecha_inicio]]="","",MONTH(tblOrdenes[[#This Row],[fecha_inicio]]))</f>
        <v/>
      </c>
      <c r="R715" s="3">
        <f>IF(tblOrdenes[[#This Row],[fecha_inicio]]="","",INDEX(lista_dias,WEEKDAY(tblOrdenes[[#This Row],[fecha_inicio]],2)))</f>
        <v/>
      </c>
      <c r="S7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5" s="3">
        <f>IF(tblOrdenes[[#This Row],[tipo_ot]]="","",_xlfn.XLOOKUP(tblOrdenes[[#This Row],[tipo_ot]],tblTiposOT[codigo],tblTiposOT[clasificacion],"sin_clasificar"))</f>
        <v/>
      </c>
      <c r="U715" s="3">
        <f>IF(tblOrdenes[[#This Row],[centro_costo]]="","",_xlfn.XLOOKUP(tblOrdenes[[#This Row],[centro_costo]],tblCECO[codigo],tblCECO[linea],"(sin catálogo)"))</f>
        <v/>
      </c>
      <c r="V715" s="3">
        <f>IF(tblOrdenes[[#This Row],[centro_costo]]="","",_xlfn.XLOOKUP(tblOrdenes[[#This Row],[centro_costo]],tblCECO[codigo],tblCECO[area],"(sin catálogo)"))</f>
        <v/>
      </c>
      <c r="W7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5" s="3">
        <f>IF(tblOrdenes[[#This Row],[centro_costo]]="","",_xlfn.XLOOKUP(tblOrdenes[[#This Row],[centro_costo]],tblCECO[codigo],tblCECO[coordinador],"(sin catálogo)"))</f>
        <v/>
      </c>
      <c r="Y715" s="3">
        <f>IF(tblOrdenes[[#This Row],[puesto_trabajo]]="","",_xlfn.XLOOKUP(tblOrdenes[[#This Row],[puesto_trabajo]],tblPuestos[codigo],tblPuestos[especialidad],"(sin catálogo)"))</f>
        <v/>
      </c>
      <c r="Z715" s="3">
        <f>IF(tblOrdenes[[#This Row],[cod_actividad]]="","",_xlfn.XLOOKUP(tblOrdenes[[#This Row],[cod_actividad]],tblActividades[codigo],tblActividades[descripcion],"(sin catálogo)"))</f>
        <v/>
      </c>
      <c r="AA715" s="13">
        <f>IF(tblOrdenes[[#This Row],[fecha_inicio]]="","",TODAY()-tblOrdenes[[#This Row],[fecha_inicio]])</f>
        <v/>
      </c>
      <c r="AB7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5" s="3">
        <f>IF(tblOrdenes[[#This Row],[backlog_habiles]]="","",IF(tblOrdenes[[#This Row],[backlog_habiles]]&lt;0,"FUTURO",IF(tblOrdenes[[#This Row],[backlog_habiles]]&gt;p_dias_backlog_max,"BACKLOG","MES CORRIENTE")))</f>
        <v/>
      </c>
      <c r="AD715" s="3">
        <f>IF(tblOrdenes[[#This Row],[backlog_habiles]]="",FALSE,AND(tblOrdenes[[#This Row],[backlog_habiles]]&gt;p_dias_backlog_min,tblOrdenes[[#This Row],[backlog_habiles]]&lt;=p_dias_backlog_max))</f>
        <v/>
      </c>
      <c r="AE715" s="6" t="n"/>
      <c r="AF7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5" s="11">
        <f>IF(tblOrdenes[[#This Row],[orden]]="","",_xlfn.XLOOKUP(tblOrdenes[[#This Row],[id_operacion]],tblEjecucion[id_operacion],tblEjecucion[precio],0))</f>
        <v/>
      </c>
      <c r="AJ715" s="11">
        <f>IF(tblOrdenes[[#This Row],[orden]]="","",MAX(0,_xlfn.XLOOKUP(tblOrdenes[[#This Row],[id_operacion]],tblEjecucion[id_operacion],tblEjecucion[costo_plan_total],0)-tblOrdenes[[#This Row],[costo_servicio]]))</f>
        <v/>
      </c>
      <c r="AK715" s="11">
        <f>IF(tblOrdenes[[#This Row],[orden]]="","",tblOrdenes[[#This Row],[costo_servicio]]+tblOrdenes[[#This Row],[costo_materiales]])</f>
        <v/>
      </c>
      <c r="AL715" s="6" t="n"/>
      <c r="AM715" s="6" t="n"/>
      <c r="AN715" s="6" t="n"/>
      <c r="AO715" s="3">
        <f>IF(tblOrdenes[[#This Row],[link_checklist]]="","",HYPERLINK(p_ruta_base_checklists&amp;tblOrdenes[[#This Row],[link_checklist]],"abrir"))</f>
        <v/>
      </c>
      <c r="AP715" s="6" t="n"/>
      <c r="AQ715" s="3">
        <f>IF(tblOrdenes[[#This Row],[orden]]="","",tblOrdenes[[#This Row],[orden]]&amp;IF(tblOrdenes[[#This Row],[operacion]]="","0010",tblOrdenes[[#This Row],[operacion]]))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2" t="n"/>
      <c r="K716" s="3" t="n"/>
      <c r="L716" s="11" t="n"/>
      <c r="M7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6" s="3">
        <f>IF(tblOrdenes[[#This Row],[fecha_inicio]]="","",YEAR(tblOrdenes[[#This Row],[fecha_inicio]]))</f>
        <v/>
      </c>
      <c r="Q716" s="3">
        <f>IF(tblOrdenes[[#This Row],[fecha_inicio]]="","",MONTH(tblOrdenes[[#This Row],[fecha_inicio]]))</f>
        <v/>
      </c>
      <c r="R716" s="3">
        <f>IF(tblOrdenes[[#This Row],[fecha_inicio]]="","",INDEX(lista_dias,WEEKDAY(tblOrdenes[[#This Row],[fecha_inicio]],2)))</f>
        <v/>
      </c>
      <c r="S7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6" s="3">
        <f>IF(tblOrdenes[[#This Row],[tipo_ot]]="","",_xlfn.XLOOKUP(tblOrdenes[[#This Row],[tipo_ot]],tblTiposOT[codigo],tblTiposOT[clasificacion],"sin_clasificar"))</f>
        <v/>
      </c>
      <c r="U716" s="3">
        <f>IF(tblOrdenes[[#This Row],[centro_costo]]="","",_xlfn.XLOOKUP(tblOrdenes[[#This Row],[centro_costo]],tblCECO[codigo],tblCECO[linea],"(sin catálogo)"))</f>
        <v/>
      </c>
      <c r="V716" s="3">
        <f>IF(tblOrdenes[[#This Row],[centro_costo]]="","",_xlfn.XLOOKUP(tblOrdenes[[#This Row],[centro_costo]],tblCECO[codigo],tblCECO[area],"(sin catálogo)"))</f>
        <v/>
      </c>
      <c r="W7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6" s="3">
        <f>IF(tblOrdenes[[#This Row],[centro_costo]]="","",_xlfn.XLOOKUP(tblOrdenes[[#This Row],[centro_costo]],tblCECO[codigo],tblCECO[coordinador],"(sin catálogo)"))</f>
        <v/>
      </c>
      <c r="Y716" s="3">
        <f>IF(tblOrdenes[[#This Row],[puesto_trabajo]]="","",_xlfn.XLOOKUP(tblOrdenes[[#This Row],[puesto_trabajo]],tblPuestos[codigo],tblPuestos[especialidad],"(sin catálogo)"))</f>
        <v/>
      </c>
      <c r="Z716" s="3">
        <f>IF(tblOrdenes[[#This Row],[cod_actividad]]="","",_xlfn.XLOOKUP(tblOrdenes[[#This Row],[cod_actividad]],tblActividades[codigo],tblActividades[descripcion],"(sin catálogo)"))</f>
        <v/>
      </c>
      <c r="AA716" s="13">
        <f>IF(tblOrdenes[[#This Row],[fecha_inicio]]="","",TODAY()-tblOrdenes[[#This Row],[fecha_inicio]])</f>
        <v/>
      </c>
      <c r="AB7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6" s="3">
        <f>IF(tblOrdenes[[#This Row],[backlog_habiles]]="","",IF(tblOrdenes[[#This Row],[backlog_habiles]]&lt;0,"FUTURO",IF(tblOrdenes[[#This Row],[backlog_habiles]]&gt;p_dias_backlog_max,"BACKLOG","MES CORRIENTE")))</f>
        <v/>
      </c>
      <c r="AD716" s="3">
        <f>IF(tblOrdenes[[#This Row],[backlog_habiles]]="",FALSE,AND(tblOrdenes[[#This Row],[backlog_habiles]]&gt;p_dias_backlog_min,tblOrdenes[[#This Row],[backlog_habiles]]&lt;=p_dias_backlog_max))</f>
        <v/>
      </c>
      <c r="AE716" s="6" t="n"/>
      <c r="AF7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6" s="11">
        <f>IF(tblOrdenes[[#This Row],[orden]]="","",_xlfn.XLOOKUP(tblOrdenes[[#This Row],[id_operacion]],tblEjecucion[id_operacion],tblEjecucion[precio],0))</f>
        <v/>
      </c>
      <c r="AJ716" s="11">
        <f>IF(tblOrdenes[[#This Row],[orden]]="","",MAX(0,_xlfn.XLOOKUP(tblOrdenes[[#This Row],[id_operacion]],tblEjecucion[id_operacion],tblEjecucion[costo_plan_total],0)-tblOrdenes[[#This Row],[costo_servicio]]))</f>
        <v/>
      </c>
      <c r="AK716" s="11">
        <f>IF(tblOrdenes[[#This Row],[orden]]="","",tblOrdenes[[#This Row],[costo_servicio]]+tblOrdenes[[#This Row],[costo_materiales]])</f>
        <v/>
      </c>
      <c r="AL716" s="6" t="n"/>
      <c r="AM716" s="6" t="n"/>
      <c r="AN716" s="6" t="n"/>
      <c r="AO716" s="3">
        <f>IF(tblOrdenes[[#This Row],[link_checklist]]="","",HYPERLINK(p_ruta_base_checklists&amp;tblOrdenes[[#This Row],[link_checklist]],"abrir"))</f>
        <v/>
      </c>
      <c r="AP716" s="6" t="n"/>
      <c r="AQ716" s="3">
        <f>IF(tblOrdenes[[#This Row],[orden]]="","",tblOrdenes[[#This Row],[orden]]&amp;IF(tblOrdenes[[#This Row],[operacion]]="","0010",tblOrdenes[[#This Row],[operacion]]))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2" t="n"/>
      <c r="K717" s="3" t="n"/>
      <c r="L717" s="11" t="n"/>
      <c r="M7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7" s="3">
        <f>IF(tblOrdenes[[#This Row],[fecha_inicio]]="","",YEAR(tblOrdenes[[#This Row],[fecha_inicio]]))</f>
        <v/>
      </c>
      <c r="Q717" s="3">
        <f>IF(tblOrdenes[[#This Row],[fecha_inicio]]="","",MONTH(tblOrdenes[[#This Row],[fecha_inicio]]))</f>
        <v/>
      </c>
      <c r="R717" s="3">
        <f>IF(tblOrdenes[[#This Row],[fecha_inicio]]="","",INDEX(lista_dias,WEEKDAY(tblOrdenes[[#This Row],[fecha_inicio]],2)))</f>
        <v/>
      </c>
      <c r="S7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7" s="3">
        <f>IF(tblOrdenes[[#This Row],[tipo_ot]]="","",_xlfn.XLOOKUP(tblOrdenes[[#This Row],[tipo_ot]],tblTiposOT[codigo],tblTiposOT[clasificacion],"sin_clasificar"))</f>
        <v/>
      </c>
      <c r="U717" s="3">
        <f>IF(tblOrdenes[[#This Row],[centro_costo]]="","",_xlfn.XLOOKUP(tblOrdenes[[#This Row],[centro_costo]],tblCECO[codigo],tblCECO[linea],"(sin catálogo)"))</f>
        <v/>
      </c>
      <c r="V717" s="3">
        <f>IF(tblOrdenes[[#This Row],[centro_costo]]="","",_xlfn.XLOOKUP(tblOrdenes[[#This Row],[centro_costo]],tblCECO[codigo],tblCECO[area],"(sin catálogo)"))</f>
        <v/>
      </c>
      <c r="W7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7" s="3">
        <f>IF(tblOrdenes[[#This Row],[centro_costo]]="","",_xlfn.XLOOKUP(tblOrdenes[[#This Row],[centro_costo]],tblCECO[codigo],tblCECO[coordinador],"(sin catálogo)"))</f>
        <v/>
      </c>
      <c r="Y717" s="3">
        <f>IF(tblOrdenes[[#This Row],[puesto_trabajo]]="","",_xlfn.XLOOKUP(tblOrdenes[[#This Row],[puesto_trabajo]],tblPuestos[codigo],tblPuestos[especialidad],"(sin catálogo)"))</f>
        <v/>
      </c>
      <c r="Z717" s="3">
        <f>IF(tblOrdenes[[#This Row],[cod_actividad]]="","",_xlfn.XLOOKUP(tblOrdenes[[#This Row],[cod_actividad]],tblActividades[codigo],tblActividades[descripcion],"(sin catálogo)"))</f>
        <v/>
      </c>
      <c r="AA717" s="13">
        <f>IF(tblOrdenes[[#This Row],[fecha_inicio]]="","",TODAY()-tblOrdenes[[#This Row],[fecha_inicio]])</f>
        <v/>
      </c>
      <c r="AB7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7" s="3">
        <f>IF(tblOrdenes[[#This Row],[backlog_habiles]]="","",IF(tblOrdenes[[#This Row],[backlog_habiles]]&lt;0,"FUTURO",IF(tblOrdenes[[#This Row],[backlog_habiles]]&gt;p_dias_backlog_max,"BACKLOG","MES CORRIENTE")))</f>
        <v/>
      </c>
      <c r="AD717" s="3">
        <f>IF(tblOrdenes[[#This Row],[backlog_habiles]]="",FALSE,AND(tblOrdenes[[#This Row],[backlog_habiles]]&gt;p_dias_backlog_min,tblOrdenes[[#This Row],[backlog_habiles]]&lt;=p_dias_backlog_max))</f>
        <v/>
      </c>
      <c r="AE717" s="6" t="n"/>
      <c r="AF7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7" s="11">
        <f>IF(tblOrdenes[[#This Row],[orden]]="","",_xlfn.XLOOKUP(tblOrdenes[[#This Row],[id_operacion]],tblEjecucion[id_operacion],tblEjecucion[precio],0))</f>
        <v/>
      </c>
      <c r="AJ717" s="11">
        <f>IF(tblOrdenes[[#This Row],[orden]]="","",MAX(0,_xlfn.XLOOKUP(tblOrdenes[[#This Row],[id_operacion]],tblEjecucion[id_operacion],tblEjecucion[costo_plan_total],0)-tblOrdenes[[#This Row],[costo_servicio]]))</f>
        <v/>
      </c>
      <c r="AK717" s="11">
        <f>IF(tblOrdenes[[#This Row],[orden]]="","",tblOrdenes[[#This Row],[costo_servicio]]+tblOrdenes[[#This Row],[costo_materiales]])</f>
        <v/>
      </c>
      <c r="AL717" s="6" t="n"/>
      <c r="AM717" s="6" t="n"/>
      <c r="AN717" s="6" t="n"/>
      <c r="AO717" s="3">
        <f>IF(tblOrdenes[[#This Row],[link_checklist]]="","",HYPERLINK(p_ruta_base_checklists&amp;tblOrdenes[[#This Row],[link_checklist]],"abrir"))</f>
        <v/>
      </c>
      <c r="AP717" s="6" t="n"/>
      <c r="AQ717" s="3">
        <f>IF(tblOrdenes[[#This Row],[orden]]="","",tblOrdenes[[#This Row],[orden]]&amp;IF(tblOrdenes[[#This Row],[operacion]]="","0010",tblOrdenes[[#This Row],[operacion]]))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2" t="n"/>
      <c r="K718" s="3" t="n"/>
      <c r="L718" s="11" t="n"/>
      <c r="M7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8" s="3">
        <f>IF(tblOrdenes[[#This Row],[fecha_inicio]]="","",YEAR(tblOrdenes[[#This Row],[fecha_inicio]]))</f>
        <v/>
      </c>
      <c r="Q718" s="3">
        <f>IF(tblOrdenes[[#This Row],[fecha_inicio]]="","",MONTH(tblOrdenes[[#This Row],[fecha_inicio]]))</f>
        <v/>
      </c>
      <c r="R718" s="3">
        <f>IF(tblOrdenes[[#This Row],[fecha_inicio]]="","",INDEX(lista_dias,WEEKDAY(tblOrdenes[[#This Row],[fecha_inicio]],2)))</f>
        <v/>
      </c>
      <c r="S7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8" s="3">
        <f>IF(tblOrdenes[[#This Row],[tipo_ot]]="","",_xlfn.XLOOKUP(tblOrdenes[[#This Row],[tipo_ot]],tblTiposOT[codigo],tblTiposOT[clasificacion],"sin_clasificar"))</f>
        <v/>
      </c>
      <c r="U718" s="3">
        <f>IF(tblOrdenes[[#This Row],[centro_costo]]="","",_xlfn.XLOOKUP(tblOrdenes[[#This Row],[centro_costo]],tblCECO[codigo],tblCECO[linea],"(sin catálogo)"))</f>
        <v/>
      </c>
      <c r="V718" s="3">
        <f>IF(tblOrdenes[[#This Row],[centro_costo]]="","",_xlfn.XLOOKUP(tblOrdenes[[#This Row],[centro_costo]],tblCECO[codigo],tblCECO[area],"(sin catálogo)"))</f>
        <v/>
      </c>
      <c r="W7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8" s="3">
        <f>IF(tblOrdenes[[#This Row],[centro_costo]]="","",_xlfn.XLOOKUP(tblOrdenes[[#This Row],[centro_costo]],tblCECO[codigo],tblCECO[coordinador],"(sin catálogo)"))</f>
        <v/>
      </c>
      <c r="Y718" s="3">
        <f>IF(tblOrdenes[[#This Row],[puesto_trabajo]]="","",_xlfn.XLOOKUP(tblOrdenes[[#This Row],[puesto_trabajo]],tblPuestos[codigo],tblPuestos[especialidad],"(sin catálogo)"))</f>
        <v/>
      </c>
      <c r="Z718" s="3">
        <f>IF(tblOrdenes[[#This Row],[cod_actividad]]="","",_xlfn.XLOOKUP(tblOrdenes[[#This Row],[cod_actividad]],tblActividades[codigo],tblActividades[descripcion],"(sin catálogo)"))</f>
        <v/>
      </c>
      <c r="AA718" s="13">
        <f>IF(tblOrdenes[[#This Row],[fecha_inicio]]="","",TODAY()-tblOrdenes[[#This Row],[fecha_inicio]])</f>
        <v/>
      </c>
      <c r="AB7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8" s="3">
        <f>IF(tblOrdenes[[#This Row],[backlog_habiles]]="","",IF(tblOrdenes[[#This Row],[backlog_habiles]]&lt;0,"FUTURO",IF(tblOrdenes[[#This Row],[backlog_habiles]]&gt;p_dias_backlog_max,"BACKLOG","MES CORRIENTE")))</f>
        <v/>
      </c>
      <c r="AD718" s="3">
        <f>IF(tblOrdenes[[#This Row],[backlog_habiles]]="",FALSE,AND(tblOrdenes[[#This Row],[backlog_habiles]]&gt;p_dias_backlog_min,tblOrdenes[[#This Row],[backlog_habiles]]&lt;=p_dias_backlog_max))</f>
        <v/>
      </c>
      <c r="AE718" s="6" t="n"/>
      <c r="AF7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8" s="11">
        <f>IF(tblOrdenes[[#This Row],[orden]]="","",_xlfn.XLOOKUP(tblOrdenes[[#This Row],[id_operacion]],tblEjecucion[id_operacion],tblEjecucion[precio],0))</f>
        <v/>
      </c>
      <c r="AJ718" s="11">
        <f>IF(tblOrdenes[[#This Row],[orden]]="","",MAX(0,_xlfn.XLOOKUP(tblOrdenes[[#This Row],[id_operacion]],tblEjecucion[id_operacion],tblEjecucion[costo_plan_total],0)-tblOrdenes[[#This Row],[costo_servicio]]))</f>
        <v/>
      </c>
      <c r="AK718" s="11">
        <f>IF(tblOrdenes[[#This Row],[orden]]="","",tblOrdenes[[#This Row],[costo_servicio]]+tblOrdenes[[#This Row],[costo_materiales]])</f>
        <v/>
      </c>
      <c r="AL718" s="6" t="n"/>
      <c r="AM718" s="6" t="n"/>
      <c r="AN718" s="6" t="n"/>
      <c r="AO718" s="3">
        <f>IF(tblOrdenes[[#This Row],[link_checklist]]="","",HYPERLINK(p_ruta_base_checklists&amp;tblOrdenes[[#This Row],[link_checklist]],"abrir"))</f>
        <v/>
      </c>
      <c r="AP718" s="6" t="n"/>
      <c r="AQ718" s="3">
        <f>IF(tblOrdenes[[#This Row],[orden]]="","",tblOrdenes[[#This Row],[orden]]&amp;IF(tblOrdenes[[#This Row],[operacion]]="","0010",tblOrdenes[[#This Row],[operacion]]))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2" t="n"/>
      <c r="K719" s="3" t="n"/>
      <c r="L719" s="11" t="n"/>
      <c r="M7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9" s="3">
        <f>IF(tblOrdenes[[#This Row],[fecha_inicio]]="","",YEAR(tblOrdenes[[#This Row],[fecha_inicio]]))</f>
        <v/>
      </c>
      <c r="Q719" s="3">
        <f>IF(tblOrdenes[[#This Row],[fecha_inicio]]="","",MONTH(tblOrdenes[[#This Row],[fecha_inicio]]))</f>
        <v/>
      </c>
      <c r="R719" s="3">
        <f>IF(tblOrdenes[[#This Row],[fecha_inicio]]="","",INDEX(lista_dias,WEEKDAY(tblOrdenes[[#This Row],[fecha_inicio]],2)))</f>
        <v/>
      </c>
      <c r="S7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9" s="3">
        <f>IF(tblOrdenes[[#This Row],[tipo_ot]]="","",_xlfn.XLOOKUP(tblOrdenes[[#This Row],[tipo_ot]],tblTiposOT[codigo],tblTiposOT[clasificacion],"sin_clasificar"))</f>
        <v/>
      </c>
      <c r="U719" s="3">
        <f>IF(tblOrdenes[[#This Row],[centro_costo]]="","",_xlfn.XLOOKUP(tblOrdenes[[#This Row],[centro_costo]],tblCECO[codigo],tblCECO[linea],"(sin catálogo)"))</f>
        <v/>
      </c>
      <c r="V719" s="3">
        <f>IF(tblOrdenes[[#This Row],[centro_costo]]="","",_xlfn.XLOOKUP(tblOrdenes[[#This Row],[centro_costo]],tblCECO[codigo],tblCECO[area],"(sin catálogo)"))</f>
        <v/>
      </c>
      <c r="W7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9" s="3">
        <f>IF(tblOrdenes[[#This Row],[centro_costo]]="","",_xlfn.XLOOKUP(tblOrdenes[[#This Row],[centro_costo]],tblCECO[codigo],tblCECO[coordinador],"(sin catálogo)"))</f>
        <v/>
      </c>
      <c r="Y719" s="3">
        <f>IF(tblOrdenes[[#This Row],[puesto_trabajo]]="","",_xlfn.XLOOKUP(tblOrdenes[[#This Row],[puesto_trabajo]],tblPuestos[codigo],tblPuestos[especialidad],"(sin catálogo)"))</f>
        <v/>
      </c>
      <c r="Z719" s="3">
        <f>IF(tblOrdenes[[#This Row],[cod_actividad]]="","",_xlfn.XLOOKUP(tblOrdenes[[#This Row],[cod_actividad]],tblActividades[codigo],tblActividades[descripcion],"(sin catálogo)"))</f>
        <v/>
      </c>
      <c r="AA719" s="13">
        <f>IF(tblOrdenes[[#This Row],[fecha_inicio]]="","",TODAY()-tblOrdenes[[#This Row],[fecha_inicio]])</f>
        <v/>
      </c>
      <c r="AB7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9" s="3">
        <f>IF(tblOrdenes[[#This Row],[backlog_habiles]]="","",IF(tblOrdenes[[#This Row],[backlog_habiles]]&lt;0,"FUTURO",IF(tblOrdenes[[#This Row],[backlog_habiles]]&gt;p_dias_backlog_max,"BACKLOG","MES CORRIENTE")))</f>
        <v/>
      </c>
      <c r="AD719" s="3">
        <f>IF(tblOrdenes[[#This Row],[backlog_habiles]]="",FALSE,AND(tblOrdenes[[#This Row],[backlog_habiles]]&gt;p_dias_backlog_min,tblOrdenes[[#This Row],[backlog_habiles]]&lt;=p_dias_backlog_max))</f>
        <v/>
      </c>
      <c r="AE719" s="6" t="n"/>
      <c r="AF7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9" s="11">
        <f>IF(tblOrdenes[[#This Row],[orden]]="","",_xlfn.XLOOKUP(tblOrdenes[[#This Row],[id_operacion]],tblEjecucion[id_operacion],tblEjecucion[precio],0))</f>
        <v/>
      </c>
      <c r="AJ719" s="11">
        <f>IF(tblOrdenes[[#This Row],[orden]]="","",MAX(0,_xlfn.XLOOKUP(tblOrdenes[[#This Row],[id_operacion]],tblEjecucion[id_operacion],tblEjecucion[costo_plan_total],0)-tblOrdenes[[#This Row],[costo_servicio]]))</f>
        <v/>
      </c>
      <c r="AK719" s="11">
        <f>IF(tblOrdenes[[#This Row],[orden]]="","",tblOrdenes[[#This Row],[costo_servicio]]+tblOrdenes[[#This Row],[costo_materiales]])</f>
        <v/>
      </c>
      <c r="AL719" s="6" t="n"/>
      <c r="AM719" s="6" t="n"/>
      <c r="AN719" s="6" t="n"/>
      <c r="AO719" s="3">
        <f>IF(tblOrdenes[[#This Row],[link_checklist]]="","",HYPERLINK(p_ruta_base_checklists&amp;tblOrdenes[[#This Row],[link_checklist]],"abrir"))</f>
        <v/>
      </c>
      <c r="AP719" s="6" t="n"/>
      <c r="AQ719" s="3">
        <f>IF(tblOrdenes[[#This Row],[orden]]="","",tblOrdenes[[#This Row],[orden]]&amp;IF(tblOrdenes[[#This Row],[operacion]]="","0010",tblOrdenes[[#This Row],[operacion]]))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2" t="n"/>
      <c r="K720" s="3" t="n"/>
      <c r="L720" s="11" t="n"/>
      <c r="M7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0" s="3">
        <f>IF(tblOrdenes[[#This Row],[fecha_inicio]]="","",YEAR(tblOrdenes[[#This Row],[fecha_inicio]]))</f>
        <v/>
      </c>
      <c r="Q720" s="3">
        <f>IF(tblOrdenes[[#This Row],[fecha_inicio]]="","",MONTH(tblOrdenes[[#This Row],[fecha_inicio]]))</f>
        <v/>
      </c>
      <c r="R720" s="3">
        <f>IF(tblOrdenes[[#This Row],[fecha_inicio]]="","",INDEX(lista_dias,WEEKDAY(tblOrdenes[[#This Row],[fecha_inicio]],2)))</f>
        <v/>
      </c>
      <c r="S7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0" s="3">
        <f>IF(tblOrdenes[[#This Row],[tipo_ot]]="","",_xlfn.XLOOKUP(tblOrdenes[[#This Row],[tipo_ot]],tblTiposOT[codigo],tblTiposOT[clasificacion],"sin_clasificar"))</f>
        <v/>
      </c>
      <c r="U720" s="3">
        <f>IF(tblOrdenes[[#This Row],[centro_costo]]="","",_xlfn.XLOOKUP(tblOrdenes[[#This Row],[centro_costo]],tblCECO[codigo],tblCECO[linea],"(sin catálogo)"))</f>
        <v/>
      </c>
      <c r="V720" s="3">
        <f>IF(tblOrdenes[[#This Row],[centro_costo]]="","",_xlfn.XLOOKUP(tblOrdenes[[#This Row],[centro_costo]],tblCECO[codigo],tblCECO[area],"(sin catálogo)"))</f>
        <v/>
      </c>
      <c r="W7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0" s="3">
        <f>IF(tblOrdenes[[#This Row],[centro_costo]]="","",_xlfn.XLOOKUP(tblOrdenes[[#This Row],[centro_costo]],tblCECO[codigo],tblCECO[coordinador],"(sin catálogo)"))</f>
        <v/>
      </c>
      <c r="Y720" s="3">
        <f>IF(tblOrdenes[[#This Row],[puesto_trabajo]]="","",_xlfn.XLOOKUP(tblOrdenes[[#This Row],[puesto_trabajo]],tblPuestos[codigo],tblPuestos[especialidad],"(sin catálogo)"))</f>
        <v/>
      </c>
      <c r="Z720" s="3">
        <f>IF(tblOrdenes[[#This Row],[cod_actividad]]="","",_xlfn.XLOOKUP(tblOrdenes[[#This Row],[cod_actividad]],tblActividades[codigo],tblActividades[descripcion],"(sin catálogo)"))</f>
        <v/>
      </c>
      <c r="AA720" s="13">
        <f>IF(tblOrdenes[[#This Row],[fecha_inicio]]="","",TODAY()-tblOrdenes[[#This Row],[fecha_inicio]])</f>
        <v/>
      </c>
      <c r="AB7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0" s="3">
        <f>IF(tblOrdenes[[#This Row],[backlog_habiles]]="","",IF(tblOrdenes[[#This Row],[backlog_habiles]]&lt;0,"FUTURO",IF(tblOrdenes[[#This Row],[backlog_habiles]]&gt;p_dias_backlog_max,"BACKLOG","MES CORRIENTE")))</f>
        <v/>
      </c>
      <c r="AD720" s="3">
        <f>IF(tblOrdenes[[#This Row],[backlog_habiles]]="",FALSE,AND(tblOrdenes[[#This Row],[backlog_habiles]]&gt;p_dias_backlog_min,tblOrdenes[[#This Row],[backlog_habiles]]&lt;=p_dias_backlog_max))</f>
        <v/>
      </c>
      <c r="AE720" s="6" t="n"/>
      <c r="AF7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0" s="11">
        <f>IF(tblOrdenes[[#This Row],[orden]]="","",_xlfn.XLOOKUP(tblOrdenes[[#This Row],[id_operacion]],tblEjecucion[id_operacion],tblEjecucion[precio],0))</f>
        <v/>
      </c>
      <c r="AJ720" s="11">
        <f>IF(tblOrdenes[[#This Row],[orden]]="","",MAX(0,_xlfn.XLOOKUP(tblOrdenes[[#This Row],[id_operacion]],tblEjecucion[id_operacion],tblEjecucion[costo_plan_total],0)-tblOrdenes[[#This Row],[costo_servicio]]))</f>
        <v/>
      </c>
      <c r="AK720" s="11">
        <f>IF(tblOrdenes[[#This Row],[orden]]="","",tblOrdenes[[#This Row],[costo_servicio]]+tblOrdenes[[#This Row],[costo_materiales]])</f>
        <v/>
      </c>
      <c r="AL720" s="6" t="n"/>
      <c r="AM720" s="6" t="n"/>
      <c r="AN720" s="6" t="n"/>
      <c r="AO720" s="3">
        <f>IF(tblOrdenes[[#This Row],[link_checklist]]="","",HYPERLINK(p_ruta_base_checklists&amp;tblOrdenes[[#This Row],[link_checklist]],"abrir"))</f>
        <v/>
      </c>
      <c r="AP720" s="6" t="n"/>
      <c r="AQ720" s="3">
        <f>IF(tblOrdenes[[#This Row],[orden]]="","",tblOrdenes[[#This Row],[orden]]&amp;IF(tblOrdenes[[#This Row],[operacion]]="","0010",tblOrdenes[[#This Row],[operacion]]))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2" t="n"/>
      <c r="K721" s="3" t="n"/>
      <c r="L721" s="11" t="n"/>
      <c r="M7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1" s="3">
        <f>IF(tblOrdenes[[#This Row],[fecha_inicio]]="","",YEAR(tblOrdenes[[#This Row],[fecha_inicio]]))</f>
        <v/>
      </c>
      <c r="Q721" s="3">
        <f>IF(tblOrdenes[[#This Row],[fecha_inicio]]="","",MONTH(tblOrdenes[[#This Row],[fecha_inicio]]))</f>
        <v/>
      </c>
      <c r="R721" s="3">
        <f>IF(tblOrdenes[[#This Row],[fecha_inicio]]="","",INDEX(lista_dias,WEEKDAY(tblOrdenes[[#This Row],[fecha_inicio]],2)))</f>
        <v/>
      </c>
      <c r="S7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1" s="3">
        <f>IF(tblOrdenes[[#This Row],[tipo_ot]]="","",_xlfn.XLOOKUP(tblOrdenes[[#This Row],[tipo_ot]],tblTiposOT[codigo],tblTiposOT[clasificacion],"sin_clasificar"))</f>
        <v/>
      </c>
      <c r="U721" s="3">
        <f>IF(tblOrdenes[[#This Row],[centro_costo]]="","",_xlfn.XLOOKUP(tblOrdenes[[#This Row],[centro_costo]],tblCECO[codigo],tblCECO[linea],"(sin catálogo)"))</f>
        <v/>
      </c>
      <c r="V721" s="3">
        <f>IF(tblOrdenes[[#This Row],[centro_costo]]="","",_xlfn.XLOOKUP(tblOrdenes[[#This Row],[centro_costo]],tblCECO[codigo],tblCECO[area],"(sin catálogo)"))</f>
        <v/>
      </c>
      <c r="W7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1" s="3">
        <f>IF(tblOrdenes[[#This Row],[centro_costo]]="","",_xlfn.XLOOKUP(tblOrdenes[[#This Row],[centro_costo]],tblCECO[codigo],tblCECO[coordinador],"(sin catálogo)"))</f>
        <v/>
      </c>
      <c r="Y721" s="3">
        <f>IF(tblOrdenes[[#This Row],[puesto_trabajo]]="","",_xlfn.XLOOKUP(tblOrdenes[[#This Row],[puesto_trabajo]],tblPuestos[codigo],tblPuestos[especialidad],"(sin catálogo)"))</f>
        <v/>
      </c>
      <c r="Z721" s="3">
        <f>IF(tblOrdenes[[#This Row],[cod_actividad]]="","",_xlfn.XLOOKUP(tblOrdenes[[#This Row],[cod_actividad]],tblActividades[codigo],tblActividades[descripcion],"(sin catálogo)"))</f>
        <v/>
      </c>
      <c r="AA721" s="13">
        <f>IF(tblOrdenes[[#This Row],[fecha_inicio]]="","",TODAY()-tblOrdenes[[#This Row],[fecha_inicio]])</f>
        <v/>
      </c>
      <c r="AB7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1" s="3">
        <f>IF(tblOrdenes[[#This Row],[backlog_habiles]]="","",IF(tblOrdenes[[#This Row],[backlog_habiles]]&lt;0,"FUTURO",IF(tblOrdenes[[#This Row],[backlog_habiles]]&gt;p_dias_backlog_max,"BACKLOG","MES CORRIENTE")))</f>
        <v/>
      </c>
      <c r="AD721" s="3">
        <f>IF(tblOrdenes[[#This Row],[backlog_habiles]]="",FALSE,AND(tblOrdenes[[#This Row],[backlog_habiles]]&gt;p_dias_backlog_min,tblOrdenes[[#This Row],[backlog_habiles]]&lt;=p_dias_backlog_max))</f>
        <v/>
      </c>
      <c r="AE721" s="6" t="n"/>
      <c r="AF7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1" s="11">
        <f>IF(tblOrdenes[[#This Row],[orden]]="","",_xlfn.XLOOKUP(tblOrdenes[[#This Row],[id_operacion]],tblEjecucion[id_operacion],tblEjecucion[precio],0))</f>
        <v/>
      </c>
      <c r="AJ721" s="11">
        <f>IF(tblOrdenes[[#This Row],[orden]]="","",MAX(0,_xlfn.XLOOKUP(tblOrdenes[[#This Row],[id_operacion]],tblEjecucion[id_operacion],tblEjecucion[costo_plan_total],0)-tblOrdenes[[#This Row],[costo_servicio]]))</f>
        <v/>
      </c>
      <c r="AK721" s="11">
        <f>IF(tblOrdenes[[#This Row],[orden]]="","",tblOrdenes[[#This Row],[costo_servicio]]+tblOrdenes[[#This Row],[costo_materiales]])</f>
        <v/>
      </c>
      <c r="AL721" s="6" t="n"/>
      <c r="AM721" s="6" t="n"/>
      <c r="AN721" s="6" t="n"/>
      <c r="AO721" s="3">
        <f>IF(tblOrdenes[[#This Row],[link_checklist]]="","",HYPERLINK(p_ruta_base_checklists&amp;tblOrdenes[[#This Row],[link_checklist]],"abrir"))</f>
        <v/>
      </c>
      <c r="AP721" s="6" t="n"/>
      <c r="AQ721" s="3">
        <f>IF(tblOrdenes[[#This Row],[orden]]="","",tblOrdenes[[#This Row],[orden]]&amp;IF(tblOrdenes[[#This Row],[operacion]]="","0010",tblOrdenes[[#This Row],[operacion]]))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2" t="n"/>
      <c r="K722" s="3" t="n"/>
      <c r="L722" s="11" t="n"/>
      <c r="M7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2" s="3">
        <f>IF(tblOrdenes[[#This Row],[fecha_inicio]]="","",YEAR(tblOrdenes[[#This Row],[fecha_inicio]]))</f>
        <v/>
      </c>
      <c r="Q722" s="3">
        <f>IF(tblOrdenes[[#This Row],[fecha_inicio]]="","",MONTH(tblOrdenes[[#This Row],[fecha_inicio]]))</f>
        <v/>
      </c>
      <c r="R722" s="3">
        <f>IF(tblOrdenes[[#This Row],[fecha_inicio]]="","",INDEX(lista_dias,WEEKDAY(tblOrdenes[[#This Row],[fecha_inicio]],2)))</f>
        <v/>
      </c>
      <c r="S7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2" s="3">
        <f>IF(tblOrdenes[[#This Row],[tipo_ot]]="","",_xlfn.XLOOKUP(tblOrdenes[[#This Row],[tipo_ot]],tblTiposOT[codigo],tblTiposOT[clasificacion],"sin_clasificar"))</f>
        <v/>
      </c>
      <c r="U722" s="3">
        <f>IF(tblOrdenes[[#This Row],[centro_costo]]="","",_xlfn.XLOOKUP(tblOrdenes[[#This Row],[centro_costo]],tblCECO[codigo],tblCECO[linea],"(sin catálogo)"))</f>
        <v/>
      </c>
      <c r="V722" s="3">
        <f>IF(tblOrdenes[[#This Row],[centro_costo]]="","",_xlfn.XLOOKUP(tblOrdenes[[#This Row],[centro_costo]],tblCECO[codigo],tblCECO[area],"(sin catálogo)"))</f>
        <v/>
      </c>
      <c r="W7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2" s="3">
        <f>IF(tblOrdenes[[#This Row],[centro_costo]]="","",_xlfn.XLOOKUP(tblOrdenes[[#This Row],[centro_costo]],tblCECO[codigo],tblCECO[coordinador],"(sin catálogo)"))</f>
        <v/>
      </c>
      <c r="Y722" s="3">
        <f>IF(tblOrdenes[[#This Row],[puesto_trabajo]]="","",_xlfn.XLOOKUP(tblOrdenes[[#This Row],[puesto_trabajo]],tblPuestos[codigo],tblPuestos[especialidad],"(sin catálogo)"))</f>
        <v/>
      </c>
      <c r="Z722" s="3">
        <f>IF(tblOrdenes[[#This Row],[cod_actividad]]="","",_xlfn.XLOOKUP(tblOrdenes[[#This Row],[cod_actividad]],tblActividades[codigo],tblActividades[descripcion],"(sin catálogo)"))</f>
        <v/>
      </c>
      <c r="AA722" s="13">
        <f>IF(tblOrdenes[[#This Row],[fecha_inicio]]="","",TODAY()-tblOrdenes[[#This Row],[fecha_inicio]])</f>
        <v/>
      </c>
      <c r="AB7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2" s="3">
        <f>IF(tblOrdenes[[#This Row],[backlog_habiles]]="","",IF(tblOrdenes[[#This Row],[backlog_habiles]]&lt;0,"FUTURO",IF(tblOrdenes[[#This Row],[backlog_habiles]]&gt;p_dias_backlog_max,"BACKLOG","MES CORRIENTE")))</f>
        <v/>
      </c>
      <c r="AD722" s="3">
        <f>IF(tblOrdenes[[#This Row],[backlog_habiles]]="",FALSE,AND(tblOrdenes[[#This Row],[backlog_habiles]]&gt;p_dias_backlog_min,tblOrdenes[[#This Row],[backlog_habiles]]&lt;=p_dias_backlog_max))</f>
        <v/>
      </c>
      <c r="AE722" s="6" t="n"/>
      <c r="AF7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2" s="11">
        <f>IF(tblOrdenes[[#This Row],[orden]]="","",_xlfn.XLOOKUP(tblOrdenes[[#This Row],[id_operacion]],tblEjecucion[id_operacion],tblEjecucion[precio],0))</f>
        <v/>
      </c>
      <c r="AJ722" s="11">
        <f>IF(tblOrdenes[[#This Row],[orden]]="","",MAX(0,_xlfn.XLOOKUP(tblOrdenes[[#This Row],[id_operacion]],tblEjecucion[id_operacion],tblEjecucion[costo_plan_total],0)-tblOrdenes[[#This Row],[costo_servicio]]))</f>
        <v/>
      </c>
      <c r="AK722" s="11">
        <f>IF(tblOrdenes[[#This Row],[orden]]="","",tblOrdenes[[#This Row],[costo_servicio]]+tblOrdenes[[#This Row],[costo_materiales]])</f>
        <v/>
      </c>
      <c r="AL722" s="6" t="n"/>
      <c r="AM722" s="6" t="n"/>
      <c r="AN722" s="6" t="n"/>
      <c r="AO722" s="3">
        <f>IF(tblOrdenes[[#This Row],[link_checklist]]="","",HYPERLINK(p_ruta_base_checklists&amp;tblOrdenes[[#This Row],[link_checklist]],"abrir"))</f>
        <v/>
      </c>
      <c r="AP722" s="6" t="n"/>
      <c r="AQ722" s="3">
        <f>IF(tblOrdenes[[#This Row],[orden]]="","",tblOrdenes[[#This Row],[orden]]&amp;IF(tblOrdenes[[#This Row],[operacion]]="","0010",tblOrdenes[[#This Row],[operacion]]))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2" t="n"/>
      <c r="K723" s="3" t="n"/>
      <c r="L723" s="11" t="n"/>
      <c r="M7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3" s="3">
        <f>IF(tblOrdenes[[#This Row],[fecha_inicio]]="","",YEAR(tblOrdenes[[#This Row],[fecha_inicio]]))</f>
        <v/>
      </c>
      <c r="Q723" s="3">
        <f>IF(tblOrdenes[[#This Row],[fecha_inicio]]="","",MONTH(tblOrdenes[[#This Row],[fecha_inicio]]))</f>
        <v/>
      </c>
      <c r="R723" s="3">
        <f>IF(tblOrdenes[[#This Row],[fecha_inicio]]="","",INDEX(lista_dias,WEEKDAY(tblOrdenes[[#This Row],[fecha_inicio]],2)))</f>
        <v/>
      </c>
      <c r="S7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3" s="3">
        <f>IF(tblOrdenes[[#This Row],[tipo_ot]]="","",_xlfn.XLOOKUP(tblOrdenes[[#This Row],[tipo_ot]],tblTiposOT[codigo],tblTiposOT[clasificacion],"sin_clasificar"))</f>
        <v/>
      </c>
      <c r="U723" s="3">
        <f>IF(tblOrdenes[[#This Row],[centro_costo]]="","",_xlfn.XLOOKUP(tblOrdenes[[#This Row],[centro_costo]],tblCECO[codigo],tblCECO[linea],"(sin catálogo)"))</f>
        <v/>
      </c>
      <c r="V723" s="3">
        <f>IF(tblOrdenes[[#This Row],[centro_costo]]="","",_xlfn.XLOOKUP(tblOrdenes[[#This Row],[centro_costo]],tblCECO[codigo],tblCECO[area],"(sin catálogo)"))</f>
        <v/>
      </c>
      <c r="W7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3" s="3">
        <f>IF(tblOrdenes[[#This Row],[centro_costo]]="","",_xlfn.XLOOKUP(tblOrdenes[[#This Row],[centro_costo]],tblCECO[codigo],tblCECO[coordinador],"(sin catálogo)"))</f>
        <v/>
      </c>
      <c r="Y723" s="3">
        <f>IF(tblOrdenes[[#This Row],[puesto_trabajo]]="","",_xlfn.XLOOKUP(tblOrdenes[[#This Row],[puesto_trabajo]],tblPuestos[codigo],tblPuestos[especialidad],"(sin catálogo)"))</f>
        <v/>
      </c>
      <c r="Z723" s="3">
        <f>IF(tblOrdenes[[#This Row],[cod_actividad]]="","",_xlfn.XLOOKUP(tblOrdenes[[#This Row],[cod_actividad]],tblActividades[codigo],tblActividades[descripcion],"(sin catálogo)"))</f>
        <v/>
      </c>
      <c r="AA723" s="13">
        <f>IF(tblOrdenes[[#This Row],[fecha_inicio]]="","",TODAY()-tblOrdenes[[#This Row],[fecha_inicio]])</f>
        <v/>
      </c>
      <c r="AB7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3" s="3">
        <f>IF(tblOrdenes[[#This Row],[backlog_habiles]]="","",IF(tblOrdenes[[#This Row],[backlog_habiles]]&lt;0,"FUTURO",IF(tblOrdenes[[#This Row],[backlog_habiles]]&gt;p_dias_backlog_max,"BACKLOG","MES CORRIENTE")))</f>
        <v/>
      </c>
      <c r="AD723" s="3">
        <f>IF(tblOrdenes[[#This Row],[backlog_habiles]]="",FALSE,AND(tblOrdenes[[#This Row],[backlog_habiles]]&gt;p_dias_backlog_min,tblOrdenes[[#This Row],[backlog_habiles]]&lt;=p_dias_backlog_max))</f>
        <v/>
      </c>
      <c r="AE723" s="6" t="n"/>
      <c r="AF7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3" s="11">
        <f>IF(tblOrdenes[[#This Row],[orden]]="","",_xlfn.XLOOKUP(tblOrdenes[[#This Row],[id_operacion]],tblEjecucion[id_operacion],tblEjecucion[precio],0))</f>
        <v/>
      </c>
      <c r="AJ723" s="11">
        <f>IF(tblOrdenes[[#This Row],[orden]]="","",MAX(0,_xlfn.XLOOKUP(tblOrdenes[[#This Row],[id_operacion]],tblEjecucion[id_operacion],tblEjecucion[costo_plan_total],0)-tblOrdenes[[#This Row],[costo_servicio]]))</f>
        <v/>
      </c>
      <c r="AK723" s="11">
        <f>IF(tblOrdenes[[#This Row],[orden]]="","",tblOrdenes[[#This Row],[costo_servicio]]+tblOrdenes[[#This Row],[costo_materiales]])</f>
        <v/>
      </c>
      <c r="AL723" s="6" t="n"/>
      <c r="AM723" s="6" t="n"/>
      <c r="AN723" s="6" t="n"/>
      <c r="AO723" s="3">
        <f>IF(tblOrdenes[[#This Row],[link_checklist]]="","",HYPERLINK(p_ruta_base_checklists&amp;tblOrdenes[[#This Row],[link_checklist]],"abrir"))</f>
        <v/>
      </c>
      <c r="AP723" s="6" t="n"/>
      <c r="AQ723" s="3">
        <f>IF(tblOrdenes[[#This Row],[orden]]="","",tblOrdenes[[#This Row],[orden]]&amp;IF(tblOrdenes[[#This Row],[operacion]]="","0010",tblOrdenes[[#This Row],[operacion]]))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2" t="n"/>
      <c r="K724" s="3" t="n"/>
      <c r="L724" s="11" t="n"/>
      <c r="M7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4" s="3">
        <f>IF(tblOrdenes[[#This Row],[fecha_inicio]]="","",YEAR(tblOrdenes[[#This Row],[fecha_inicio]]))</f>
        <v/>
      </c>
      <c r="Q724" s="3">
        <f>IF(tblOrdenes[[#This Row],[fecha_inicio]]="","",MONTH(tblOrdenes[[#This Row],[fecha_inicio]]))</f>
        <v/>
      </c>
      <c r="R724" s="3">
        <f>IF(tblOrdenes[[#This Row],[fecha_inicio]]="","",INDEX(lista_dias,WEEKDAY(tblOrdenes[[#This Row],[fecha_inicio]],2)))</f>
        <v/>
      </c>
      <c r="S7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4" s="3">
        <f>IF(tblOrdenes[[#This Row],[tipo_ot]]="","",_xlfn.XLOOKUP(tblOrdenes[[#This Row],[tipo_ot]],tblTiposOT[codigo],tblTiposOT[clasificacion],"sin_clasificar"))</f>
        <v/>
      </c>
      <c r="U724" s="3">
        <f>IF(tblOrdenes[[#This Row],[centro_costo]]="","",_xlfn.XLOOKUP(tblOrdenes[[#This Row],[centro_costo]],tblCECO[codigo],tblCECO[linea],"(sin catálogo)"))</f>
        <v/>
      </c>
      <c r="V724" s="3">
        <f>IF(tblOrdenes[[#This Row],[centro_costo]]="","",_xlfn.XLOOKUP(tblOrdenes[[#This Row],[centro_costo]],tblCECO[codigo],tblCECO[area],"(sin catálogo)"))</f>
        <v/>
      </c>
      <c r="W7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4" s="3">
        <f>IF(tblOrdenes[[#This Row],[centro_costo]]="","",_xlfn.XLOOKUP(tblOrdenes[[#This Row],[centro_costo]],tblCECO[codigo],tblCECO[coordinador],"(sin catálogo)"))</f>
        <v/>
      </c>
      <c r="Y724" s="3">
        <f>IF(tblOrdenes[[#This Row],[puesto_trabajo]]="","",_xlfn.XLOOKUP(tblOrdenes[[#This Row],[puesto_trabajo]],tblPuestos[codigo],tblPuestos[especialidad],"(sin catálogo)"))</f>
        <v/>
      </c>
      <c r="Z724" s="3">
        <f>IF(tblOrdenes[[#This Row],[cod_actividad]]="","",_xlfn.XLOOKUP(tblOrdenes[[#This Row],[cod_actividad]],tblActividades[codigo],tblActividades[descripcion],"(sin catálogo)"))</f>
        <v/>
      </c>
      <c r="AA724" s="13">
        <f>IF(tblOrdenes[[#This Row],[fecha_inicio]]="","",TODAY()-tblOrdenes[[#This Row],[fecha_inicio]])</f>
        <v/>
      </c>
      <c r="AB7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4" s="3">
        <f>IF(tblOrdenes[[#This Row],[backlog_habiles]]="","",IF(tblOrdenes[[#This Row],[backlog_habiles]]&lt;0,"FUTURO",IF(tblOrdenes[[#This Row],[backlog_habiles]]&gt;p_dias_backlog_max,"BACKLOG","MES CORRIENTE")))</f>
        <v/>
      </c>
      <c r="AD724" s="3">
        <f>IF(tblOrdenes[[#This Row],[backlog_habiles]]="",FALSE,AND(tblOrdenes[[#This Row],[backlog_habiles]]&gt;p_dias_backlog_min,tblOrdenes[[#This Row],[backlog_habiles]]&lt;=p_dias_backlog_max))</f>
        <v/>
      </c>
      <c r="AE724" s="6" t="n"/>
      <c r="AF7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4" s="11">
        <f>IF(tblOrdenes[[#This Row],[orden]]="","",_xlfn.XLOOKUP(tblOrdenes[[#This Row],[id_operacion]],tblEjecucion[id_operacion],tblEjecucion[precio],0))</f>
        <v/>
      </c>
      <c r="AJ724" s="11">
        <f>IF(tblOrdenes[[#This Row],[orden]]="","",MAX(0,_xlfn.XLOOKUP(tblOrdenes[[#This Row],[id_operacion]],tblEjecucion[id_operacion],tblEjecucion[costo_plan_total],0)-tblOrdenes[[#This Row],[costo_servicio]]))</f>
        <v/>
      </c>
      <c r="AK724" s="11">
        <f>IF(tblOrdenes[[#This Row],[orden]]="","",tblOrdenes[[#This Row],[costo_servicio]]+tblOrdenes[[#This Row],[costo_materiales]])</f>
        <v/>
      </c>
      <c r="AL724" s="6" t="n"/>
      <c r="AM724" s="6" t="n"/>
      <c r="AN724" s="6" t="n"/>
      <c r="AO724" s="3">
        <f>IF(tblOrdenes[[#This Row],[link_checklist]]="","",HYPERLINK(p_ruta_base_checklists&amp;tblOrdenes[[#This Row],[link_checklist]],"abrir"))</f>
        <v/>
      </c>
      <c r="AP724" s="6" t="n"/>
      <c r="AQ724" s="3">
        <f>IF(tblOrdenes[[#This Row],[orden]]="","",tblOrdenes[[#This Row],[orden]]&amp;IF(tblOrdenes[[#This Row],[operacion]]="","0010",tblOrdenes[[#This Row],[operacion]]))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2" t="n"/>
      <c r="K725" s="3" t="n"/>
      <c r="L725" s="11" t="n"/>
      <c r="M7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5" s="3">
        <f>IF(tblOrdenes[[#This Row],[fecha_inicio]]="","",YEAR(tblOrdenes[[#This Row],[fecha_inicio]]))</f>
        <v/>
      </c>
      <c r="Q725" s="3">
        <f>IF(tblOrdenes[[#This Row],[fecha_inicio]]="","",MONTH(tblOrdenes[[#This Row],[fecha_inicio]]))</f>
        <v/>
      </c>
      <c r="R725" s="3">
        <f>IF(tblOrdenes[[#This Row],[fecha_inicio]]="","",INDEX(lista_dias,WEEKDAY(tblOrdenes[[#This Row],[fecha_inicio]],2)))</f>
        <v/>
      </c>
      <c r="S7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5" s="3">
        <f>IF(tblOrdenes[[#This Row],[tipo_ot]]="","",_xlfn.XLOOKUP(tblOrdenes[[#This Row],[tipo_ot]],tblTiposOT[codigo],tblTiposOT[clasificacion],"sin_clasificar"))</f>
        <v/>
      </c>
      <c r="U725" s="3">
        <f>IF(tblOrdenes[[#This Row],[centro_costo]]="","",_xlfn.XLOOKUP(tblOrdenes[[#This Row],[centro_costo]],tblCECO[codigo],tblCECO[linea],"(sin catálogo)"))</f>
        <v/>
      </c>
      <c r="V725" s="3">
        <f>IF(tblOrdenes[[#This Row],[centro_costo]]="","",_xlfn.XLOOKUP(tblOrdenes[[#This Row],[centro_costo]],tblCECO[codigo],tblCECO[area],"(sin catálogo)"))</f>
        <v/>
      </c>
      <c r="W7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5" s="3">
        <f>IF(tblOrdenes[[#This Row],[centro_costo]]="","",_xlfn.XLOOKUP(tblOrdenes[[#This Row],[centro_costo]],tblCECO[codigo],tblCECO[coordinador],"(sin catálogo)"))</f>
        <v/>
      </c>
      <c r="Y725" s="3">
        <f>IF(tblOrdenes[[#This Row],[puesto_trabajo]]="","",_xlfn.XLOOKUP(tblOrdenes[[#This Row],[puesto_trabajo]],tblPuestos[codigo],tblPuestos[especialidad],"(sin catálogo)"))</f>
        <v/>
      </c>
      <c r="Z725" s="3">
        <f>IF(tblOrdenes[[#This Row],[cod_actividad]]="","",_xlfn.XLOOKUP(tblOrdenes[[#This Row],[cod_actividad]],tblActividades[codigo],tblActividades[descripcion],"(sin catálogo)"))</f>
        <v/>
      </c>
      <c r="AA725" s="13">
        <f>IF(tblOrdenes[[#This Row],[fecha_inicio]]="","",TODAY()-tblOrdenes[[#This Row],[fecha_inicio]])</f>
        <v/>
      </c>
      <c r="AB7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5" s="3">
        <f>IF(tblOrdenes[[#This Row],[backlog_habiles]]="","",IF(tblOrdenes[[#This Row],[backlog_habiles]]&lt;0,"FUTURO",IF(tblOrdenes[[#This Row],[backlog_habiles]]&gt;p_dias_backlog_max,"BACKLOG","MES CORRIENTE")))</f>
        <v/>
      </c>
      <c r="AD725" s="3">
        <f>IF(tblOrdenes[[#This Row],[backlog_habiles]]="",FALSE,AND(tblOrdenes[[#This Row],[backlog_habiles]]&gt;p_dias_backlog_min,tblOrdenes[[#This Row],[backlog_habiles]]&lt;=p_dias_backlog_max))</f>
        <v/>
      </c>
      <c r="AE725" s="6" t="n"/>
      <c r="AF7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5" s="11">
        <f>IF(tblOrdenes[[#This Row],[orden]]="","",_xlfn.XLOOKUP(tblOrdenes[[#This Row],[id_operacion]],tblEjecucion[id_operacion],tblEjecucion[precio],0))</f>
        <v/>
      </c>
      <c r="AJ725" s="11">
        <f>IF(tblOrdenes[[#This Row],[orden]]="","",MAX(0,_xlfn.XLOOKUP(tblOrdenes[[#This Row],[id_operacion]],tblEjecucion[id_operacion],tblEjecucion[costo_plan_total],0)-tblOrdenes[[#This Row],[costo_servicio]]))</f>
        <v/>
      </c>
      <c r="AK725" s="11">
        <f>IF(tblOrdenes[[#This Row],[orden]]="","",tblOrdenes[[#This Row],[costo_servicio]]+tblOrdenes[[#This Row],[costo_materiales]])</f>
        <v/>
      </c>
      <c r="AL725" s="6" t="n"/>
      <c r="AM725" s="6" t="n"/>
      <c r="AN725" s="6" t="n"/>
      <c r="AO725" s="3">
        <f>IF(tblOrdenes[[#This Row],[link_checklist]]="","",HYPERLINK(p_ruta_base_checklists&amp;tblOrdenes[[#This Row],[link_checklist]],"abrir"))</f>
        <v/>
      </c>
      <c r="AP725" s="6" t="n"/>
      <c r="AQ725" s="3">
        <f>IF(tblOrdenes[[#This Row],[orden]]="","",tblOrdenes[[#This Row],[orden]]&amp;IF(tblOrdenes[[#This Row],[operacion]]="","0010",tblOrdenes[[#This Row],[operacion]]))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2" t="n"/>
      <c r="K726" s="3" t="n"/>
      <c r="L726" s="11" t="n"/>
      <c r="M7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6" s="3">
        <f>IF(tblOrdenes[[#This Row],[fecha_inicio]]="","",YEAR(tblOrdenes[[#This Row],[fecha_inicio]]))</f>
        <v/>
      </c>
      <c r="Q726" s="3">
        <f>IF(tblOrdenes[[#This Row],[fecha_inicio]]="","",MONTH(tblOrdenes[[#This Row],[fecha_inicio]]))</f>
        <v/>
      </c>
      <c r="R726" s="3">
        <f>IF(tblOrdenes[[#This Row],[fecha_inicio]]="","",INDEX(lista_dias,WEEKDAY(tblOrdenes[[#This Row],[fecha_inicio]],2)))</f>
        <v/>
      </c>
      <c r="S7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6" s="3">
        <f>IF(tblOrdenes[[#This Row],[tipo_ot]]="","",_xlfn.XLOOKUP(tblOrdenes[[#This Row],[tipo_ot]],tblTiposOT[codigo],tblTiposOT[clasificacion],"sin_clasificar"))</f>
        <v/>
      </c>
      <c r="U726" s="3">
        <f>IF(tblOrdenes[[#This Row],[centro_costo]]="","",_xlfn.XLOOKUP(tblOrdenes[[#This Row],[centro_costo]],tblCECO[codigo],tblCECO[linea],"(sin catálogo)"))</f>
        <v/>
      </c>
      <c r="V726" s="3">
        <f>IF(tblOrdenes[[#This Row],[centro_costo]]="","",_xlfn.XLOOKUP(tblOrdenes[[#This Row],[centro_costo]],tblCECO[codigo],tblCECO[area],"(sin catálogo)"))</f>
        <v/>
      </c>
      <c r="W7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6" s="3">
        <f>IF(tblOrdenes[[#This Row],[centro_costo]]="","",_xlfn.XLOOKUP(tblOrdenes[[#This Row],[centro_costo]],tblCECO[codigo],tblCECO[coordinador],"(sin catálogo)"))</f>
        <v/>
      </c>
      <c r="Y726" s="3">
        <f>IF(tblOrdenes[[#This Row],[puesto_trabajo]]="","",_xlfn.XLOOKUP(tblOrdenes[[#This Row],[puesto_trabajo]],tblPuestos[codigo],tblPuestos[especialidad],"(sin catálogo)"))</f>
        <v/>
      </c>
      <c r="Z726" s="3">
        <f>IF(tblOrdenes[[#This Row],[cod_actividad]]="","",_xlfn.XLOOKUP(tblOrdenes[[#This Row],[cod_actividad]],tblActividades[codigo],tblActividades[descripcion],"(sin catálogo)"))</f>
        <v/>
      </c>
      <c r="AA726" s="13">
        <f>IF(tblOrdenes[[#This Row],[fecha_inicio]]="","",TODAY()-tblOrdenes[[#This Row],[fecha_inicio]])</f>
        <v/>
      </c>
      <c r="AB7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6" s="3">
        <f>IF(tblOrdenes[[#This Row],[backlog_habiles]]="","",IF(tblOrdenes[[#This Row],[backlog_habiles]]&lt;0,"FUTURO",IF(tblOrdenes[[#This Row],[backlog_habiles]]&gt;p_dias_backlog_max,"BACKLOG","MES CORRIENTE")))</f>
        <v/>
      </c>
      <c r="AD726" s="3">
        <f>IF(tblOrdenes[[#This Row],[backlog_habiles]]="",FALSE,AND(tblOrdenes[[#This Row],[backlog_habiles]]&gt;p_dias_backlog_min,tblOrdenes[[#This Row],[backlog_habiles]]&lt;=p_dias_backlog_max))</f>
        <v/>
      </c>
      <c r="AE726" s="6" t="n"/>
      <c r="AF7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6" s="11">
        <f>IF(tblOrdenes[[#This Row],[orden]]="","",_xlfn.XLOOKUP(tblOrdenes[[#This Row],[id_operacion]],tblEjecucion[id_operacion],tblEjecucion[precio],0))</f>
        <v/>
      </c>
      <c r="AJ726" s="11">
        <f>IF(tblOrdenes[[#This Row],[orden]]="","",MAX(0,_xlfn.XLOOKUP(tblOrdenes[[#This Row],[id_operacion]],tblEjecucion[id_operacion],tblEjecucion[costo_plan_total],0)-tblOrdenes[[#This Row],[costo_servicio]]))</f>
        <v/>
      </c>
      <c r="AK726" s="11">
        <f>IF(tblOrdenes[[#This Row],[orden]]="","",tblOrdenes[[#This Row],[costo_servicio]]+tblOrdenes[[#This Row],[costo_materiales]])</f>
        <v/>
      </c>
      <c r="AL726" s="6" t="n"/>
      <c r="AM726" s="6" t="n"/>
      <c r="AN726" s="6" t="n"/>
      <c r="AO726" s="3">
        <f>IF(tblOrdenes[[#This Row],[link_checklist]]="","",HYPERLINK(p_ruta_base_checklists&amp;tblOrdenes[[#This Row],[link_checklist]],"abrir"))</f>
        <v/>
      </c>
      <c r="AP726" s="6" t="n"/>
      <c r="AQ726" s="3">
        <f>IF(tblOrdenes[[#This Row],[orden]]="","",tblOrdenes[[#This Row],[orden]]&amp;IF(tblOrdenes[[#This Row],[operacion]]="","0010",tblOrdenes[[#This Row],[operacion]]))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2" t="n"/>
      <c r="K727" s="3" t="n"/>
      <c r="L727" s="11" t="n"/>
      <c r="M7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7" s="3">
        <f>IF(tblOrdenes[[#This Row],[fecha_inicio]]="","",YEAR(tblOrdenes[[#This Row],[fecha_inicio]]))</f>
        <v/>
      </c>
      <c r="Q727" s="3">
        <f>IF(tblOrdenes[[#This Row],[fecha_inicio]]="","",MONTH(tblOrdenes[[#This Row],[fecha_inicio]]))</f>
        <v/>
      </c>
      <c r="R727" s="3">
        <f>IF(tblOrdenes[[#This Row],[fecha_inicio]]="","",INDEX(lista_dias,WEEKDAY(tblOrdenes[[#This Row],[fecha_inicio]],2)))</f>
        <v/>
      </c>
      <c r="S7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7" s="3">
        <f>IF(tblOrdenes[[#This Row],[tipo_ot]]="","",_xlfn.XLOOKUP(tblOrdenes[[#This Row],[tipo_ot]],tblTiposOT[codigo],tblTiposOT[clasificacion],"sin_clasificar"))</f>
        <v/>
      </c>
      <c r="U727" s="3">
        <f>IF(tblOrdenes[[#This Row],[centro_costo]]="","",_xlfn.XLOOKUP(tblOrdenes[[#This Row],[centro_costo]],tblCECO[codigo],tblCECO[linea],"(sin catálogo)"))</f>
        <v/>
      </c>
      <c r="V727" s="3">
        <f>IF(tblOrdenes[[#This Row],[centro_costo]]="","",_xlfn.XLOOKUP(tblOrdenes[[#This Row],[centro_costo]],tblCECO[codigo],tblCECO[area],"(sin catálogo)"))</f>
        <v/>
      </c>
      <c r="W7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7" s="3">
        <f>IF(tblOrdenes[[#This Row],[centro_costo]]="","",_xlfn.XLOOKUP(tblOrdenes[[#This Row],[centro_costo]],tblCECO[codigo],tblCECO[coordinador],"(sin catálogo)"))</f>
        <v/>
      </c>
      <c r="Y727" s="3">
        <f>IF(tblOrdenes[[#This Row],[puesto_trabajo]]="","",_xlfn.XLOOKUP(tblOrdenes[[#This Row],[puesto_trabajo]],tblPuestos[codigo],tblPuestos[especialidad],"(sin catálogo)"))</f>
        <v/>
      </c>
      <c r="Z727" s="3">
        <f>IF(tblOrdenes[[#This Row],[cod_actividad]]="","",_xlfn.XLOOKUP(tblOrdenes[[#This Row],[cod_actividad]],tblActividades[codigo],tblActividades[descripcion],"(sin catálogo)"))</f>
        <v/>
      </c>
      <c r="AA727" s="13">
        <f>IF(tblOrdenes[[#This Row],[fecha_inicio]]="","",TODAY()-tblOrdenes[[#This Row],[fecha_inicio]])</f>
        <v/>
      </c>
      <c r="AB7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7" s="3">
        <f>IF(tblOrdenes[[#This Row],[backlog_habiles]]="","",IF(tblOrdenes[[#This Row],[backlog_habiles]]&lt;0,"FUTURO",IF(tblOrdenes[[#This Row],[backlog_habiles]]&gt;p_dias_backlog_max,"BACKLOG","MES CORRIENTE")))</f>
        <v/>
      </c>
      <c r="AD727" s="3">
        <f>IF(tblOrdenes[[#This Row],[backlog_habiles]]="",FALSE,AND(tblOrdenes[[#This Row],[backlog_habiles]]&gt;p_dias_backlog_min,tblOrdenes[[#This Row],[backlog_habiles]]&lt;=p_dias_backlog_max))</f>
        <v/>
      </c>
      <c r="AE727" s="6" t="n"/>
      <c r="AF7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7" s="11">
        <f>IF(tblOrdenes[[#This Row],[orden]]="","",_xlfn.XLOOKUP(tblOrdenes[[#This Row],[id_operacion]],tblEjecucion[id_operacion],tblEjecucion[precio],0))</f>
        <v/>
      </c>
      <c r="AJ727" s="11">
        <f>IF(tblOrdenes[[#This Row],[orden]]="","",MAX(0,_xlfn.XLOOKUP(tblOrdenes[[#This Row],[id_operacion]],tblEjecucion[id_operacion],tblEjecucion[costo_plan_total],0)-tblOrdenes[[#This Row],[costo_servicio]]))</f>
        <v/>
      </c>
      <c r="AK727" s="11">
        <f>IF(tblOrdenes[[#This Row],[orden]]="","",tblOrdenes[[#This Row],[costo_servicio]]+tblOrdenes[[#This Row],[costo_materiales]])</f>
        <v/>
      </c>
      <c r="AL727" s="6" t="n"/>
      <c r="AM727" s="6" t="n"/>
      <c r="AN727" s="6" t="n"/>
      <c r="AO727" s="3">
        <f>IF(tblOrdenes[[#This Row],[link_checklist]]="","",HYPERLINK(p_ruta_base_checklists&amp;tblOrdenes[[#This Row],[link_checklist]],"abrir"))</f>
        <v/>
      </c>
      <c r="AP727" s="6" t="n"/>
      <c r="AQ727" s="3">
        <f>IF(tblOrdenes[[#This Row],[orden]]="","",tblOrdenes[[#This Row],[orden]]&amp;IF(tblOrdenes[[#This Row],[operacion]]="","0010",tblOrdenes[[#This Row],[operacion]]))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2" t="n"/>
      <c r="K728" s="3" t="n"/>
      <c r="L728" s="11" t="n"/>
      <c r="M7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8" s="3">
        <f>IF(tblOrdenes[[#This Row],[fecha_inicio]]="","",YEAR(tblOrdenes[[#This Row],[fecha_inicio]]))</f>
        <v/>
      </c>
      <c r="Q728" s="3">
        <f>IF(tblOrdenes[[#This Row],[fecha_inicio]]="","",MONTH(tblOrdenes[[#This Row],[fecha_inicio]]))</f>
        <v/>
      </c>
      <c r="R728" s="3">
        <f>IF(tblOrdenes[[#This Row],[fecha_inicio]]="","",INDEX(lista_dias,WEEKDAY(tblOrdenes[[#This Row],[fecha_inicio]],2)))</f>
        <v/>
      </c>
      <c r="S7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8" s="3">
        <f>IF(tblOrdenes[[#This Row],[tipo_ot]]="","",_xlfn.XLOOKUP(tblOrdenes[[#This Row],[tipo_ot]],tblTiposOT[codigo],tblTiposOT[clasificacion],"sin_clasificar"))</f>
        <v/>
      </c>
      <c r="U728" s="3">
        <f>IF(tblOrdenes[[#This Row],[centro_costo]]="","",_xlfn.XLOOKUP(tblOrdenes[[#This Row],[centro_costo]],tblCECO[codigo],tblCECO[linea],"(sin catálogo)"))</f>
        <v/>
      </c>
      <c r="V728" s="3">
        <f>IF(tblOrdenes[[#This Row],[centro_costo]]="","",_xlfn.XLOOKUP(tblOrdenes[[#This Row],[centro_costo]],tblCECO[codigo],tblCECO[area],"(sin catálogo)"))</f>
        <v/>
      </c>
      <c r="W7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8" s="3">
        <f>IF(tblOrdenes[[#This Row],[centro_costo]]="","",_xlfn.XLOOKUP(tblOrdenes[[#This Row],[centro_costo]],tblCECO[codigo],tblCECO[coordinador],"(sin catálogo)"))</f>
        <v/>
      </c>
      <c r="Y728" s="3">
        <f>IF(tblOrdenes[[#This Row],[puesto_trabajo]]="","",_xlfn.XLOOKUP(tblOrdenes[[#This Row],[puesto_trabajo]],tblPuestos[codigo],tblPuestos[especialidad],"(sin catálogo)"))</f>
        <v/>
      </c>
      <c r="Z728" s="3">
        <f>IF(tblOrdenes[[#This Row],[cod_actividad]]="","",_xlfn.XLOOKUP(tblOrdenes[[#This Row],[cod_actividad]],tblActividades[codigo],tblActividades[descripcion],"(sin catálogo)"))</f>
        <v/>
      </c>
      <c r="AA728" s="13">
        <f>IF(tblOrdenes[[#This Row],[fecha_inicio]]="","",TODAY()-tblOrdenes[[#This Row],[fecha_inicio]])</f>
        <v/>
      </c>
      <c r="AB7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8" s="3">
        <f>IF(tblOrdenes[[#This Row],[backlog_habiles]]="","",IF(tblOrdenes[[#This Row],[backlog_habiles]]&lt;0,"FUTURO",IF(tblOrdenes[[#This Row],[backlog_habiles]]&gt;p_dias_backlog_max,"BACKLOG","MES CORRIENTE")))</f>
        <v/>
      </c>
      <c r="AD728" s="3">
        <f>IF(tblOrdenes[[#This Row],[backlog_habiles]]="",FALSE,AND(tblOrdenes[[#This Row],[backlog_habiles]]&gt;p_dias_backlog_min,tblOrdenes[[#This Row],[backlog_habiles]]&lt;=p_dias_backlog_max))</f>
        <v/>
      </c>
      <c r="AE728" s="6" t="n"/>
      <c r="AF7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8" s="11">
        <f>IF(tblOrdenes[[#This Row],[orden]]="","",_xlfn.XLOOKUP(tblOrdenes[[#This Row],[id_operacion]],tblEjecucion[id_operacion],tblEjecucion[precio],0))</f>
        <v/>
      </c>
      <c r="AJ728" s="11">
        <f>IF(tblOrdenes[[#This Row],[orden]]="","",MAX(0,_xlfn.XLOOKUP(tblOrdenes[[#This Row],[id_operacion]],tblEjecucion[id_operacion],tblEjecucion[costo_plan_total],0)-tblOrdenes[[#This Row],[costo_servicio]]))</f>
        <v/>
      </c>
      <c r="AK728" s="11">
        <f>IF(tblOrdenes[[#This Row],[orden]]="","",tblOrdenes[[#This Row],[costo_servicio]]+tblOrdenes[[#This Row],[costo_materiales]])</f>
        <v/>
      </c>
      <c r="AL728" s="6" t="n"/>
      <c r="AM728" s="6" t="n"/>
      <c r="AN728" s="6" t="n"/>
      <c r="AO728" s="3">
        <f>IF(tblOrdenes[[#This Row],[link_checklist]]="","",HYPERLINK(p_ruta_base_checklists&amp;tblOrdenes[[#This Row],[link_checklist]],"abrir"))</f>
        <v/>
      </c>
      <c r="AP728" s="6" t="n"/>
      <c r="AQ728" s="3">
        <f>IF(tblOrdenes[[#This Row],[orden]]="","",tblOrdenes[[#This Row],[orden]]&amp;IF(tblOrdenes[[#This Row],[operacion]]="","0010",tblOrdenes[[#This Row],[operacion]]))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2" t="n"/>
      <c r="K729" s="3" t="n"/>
      <c r="L729" s="11" t="n"/>
      <c r="M7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9" s="3">
        <f>IF(tblOrdenes[[#This Row],[fecha_inicio]]="","",YEAR(tblOrdenes[[#This Row],[fecha_inicio]]))</f>
        <v/>
      </c>
      <c r="Q729" s="3">
        <f>IF(tblOrdenes[[#This Row],[fecha_inicio]]="","",MONTH(tblOrdenes[[#This Row],[fecha_inicio]]))</f>
        <v/>
      </c>
      <c r="R729" s="3">
        <f>IF(tblOrdenes[[#This Row],[fecha_inicio]]="","",INDEX(lista_dias,WEEKDAY(tblOrdenes[[#This Row],[fecha_inicio]],2)))</f>
        <v/>
      </c>
      <c r="S7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9" s="3">
        <f>IF(tblOrdenes[[#This Row],[tipo_ot]]="","",_xlfn.XLOOKUP(tblOrdenes[[#This Row],[tipo_ot]],tblTiposOT[codigo],tblTiposOT[clasificacion],"sin_clasificar"))</f>
        <v/>
      </c>
      <c r="U729" s="3">
        <f>IF(tblOrdenes[[#This Row],[centro_costo]]="","",_xlfn.XLOOKUP(tblOrdenes[[#This Row],[centro_costo]],tblCECO[codigo],tblCECO[linea],"(sin catálogo)"))</f>
        <v/>
      </c>
      <c r="V729" s="3">
        <f>IF(tblOrdenes[[#This Row],[centro_costo]]="","",_xlfn.XLOOKUP(tblOrdenes[[#This Row],[centro_costo]],tblCECO[codigo],tblCECO[area],"(sin catálogo)"))</f>
        <v/>
      </c>
      <c r="W7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9" s="3">
        <f>IF(tblOrdenes[[#This Row],[centro_costo]]="","",_xlfn.XLOOKUP(tblOrdenes[[#This Row],[centro_costo]],tblCECO[codigo],tblCECO[coordinador],"(sin catálogo)"))</f>
        <v/>
      </c>
      <c r="Y729" s="3">
        <f>IF(tblOrdenes[[#This Row],[puesto_trabajo]]="","",_xlfn.XLOOKUP(tblOrdenes[[#This Row],[puesto_trabajo]],tblPuestos[codigo],tblPuestos[especialidad],"(sin catálogo)"))</f>
        <v/>
      </c>
      <c r="Z729" s="3">
        <f>IF(tblOrdenes[[#This Row],[cod_actividad]]="","",_xlfn.XLOOKUP(tblOrdenes[[#This Row],[cod_actividad]],tblActividades[codigo],tblActividades[descripcion],"(sin catálogo)"))</f>
        <v/>
      </c>
      <c r="AA729" s="13">
        <f>IF(tblOrdenes[[#This Row],[fecha_inicio]]="","",TODAY()-tblOrdenes[[#This Row],[fecha_inicio]])</f>
        <v/>
      </c>
      <c r="AB7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9" s="3">
        <f>IF(tblOrdenes[[#This Row],[backlog_habiles]]="","",IF(tblOrdenes[[#This Row],[backlog_habiles]]&lt;0,"FUTURO",IF(tblOrdenes[[#This Row],[backlog_habiles]]&gt;p_dias_backlog_max,"BACKLOG","MES CORRIENTE")))</f>
        <v/>
      </c>
      <c r="AD729" s="3">
        <f>IF(tblOrdenes[[#This Row],[backlog_habiles]]="",FALSE,AND(tblOrdenes[[#This Row],[backlog_habiles]]&gt;p_dias_backlog_min,tblOrdenes[[#This Row],[backlog_habiles]]&lt;=p_dias_backlog_max))</f>
        <v/>
      </c>
      <c r="AE729" s="6" t="n"/>
      <c r="AF7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9" s="11">
        <f>IF(tblOrdenes[[#This Row],[orden]]="","",_xlfn.XLOOKUP(tblOrdenes[[#This Row],[id_operacion]],tblEjecucion[id_operacion],tblEjecucion[precio],0))</f>
        <v/>
      </c>
      <c r="AJ729" s="11">
        <f>IF(tblOrdenes[[#This Row],[orden]]="","",MAX(0,_xlfn.XLOOKUP(tblOrdenes[[#This Row],[id_operacion]],tblEjecucion[id_operacion],tblEjecucion[costo_plan_total],0)-tblOrdenes[[#This Row],[costo_servicio]]))</f>
        <v/>
      </c>
      <c r="AK729" s="11">
        <f>IF(tblOrdenes[[#This Row],[orden]]="","",tblOrdenes[[#This Row],[costo_servicio]]+tblOrdenes[[#This Row],[costo_materiales]])</f>
        <v/>
      </c>
      <c r="AL729" s="6" t="n"/>
      <c r="AM729" s="6" t="n"/>
      <c r="AN729" s="6" t="n"/>
      <c r="AO729" s="3">
        <f>IF(tblOrdenes[[#This Row],[link_checklist]]="","",HYPERLINK(p_ruta_base_checklists&amp;tblOrdenes[[#This Row],[link_checklist]],"abrir"))</f>
        <v/>
      </c>
      <c r="AP729" s="6" t="n"/>
      <c r="AQ729" s="3">
        <f>IF(tblOrdenes[[#This Row],[orden]]="","",tblOrdenes[[#This Row],[orden]]&amp;IF(tblOrdenes[[#This Row],[operacion]]="","0010",tblOrdenes[[#This Row],[operacion]]))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2" t="n"/>
      <c r="K730" s="3" t="n"/>
      <c r="L730" s="11" t="n"/>
      <c r="M7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0" s="3">
        <f>IF(tblOrdenes[[#This Row],[fecha_inicio]]="","",YEAR(tblOrdenes[[#This Row],[fecha_inicio]]))</f>
        <v/>
      </c>
      <c r="Q730" s="3">
        <f>IF(tblOrdenes[[#This Row],[fecha_inicio]]="","",MONTH(tblOrdenes[[#This Row],[fecha_inicio]]))</f>
        <v/>
      </c>
      <c r="R730" s="3">
        <f>IF(tblOrdenes[[#This Row],[fecha_inicio]]="","",INDEX(lista_dias,WEEKDAY(tblOrdenes[[#This Row],[fecha_inicio]],2)))</f>
        <v/>
      </c>
      <c r="S7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0" s="3">
        <f>IF(tblOrdenes[[#This Row],[tipo_ot]]="","",_xlfn.XLOOKUP(tblOrdenes[[#This Row],[tipo_ot]],tblTiposOT[codigo],tblTiposOT[clasificacion],"sin_clasificar"))</f>
        <v/>
      </c>
      <c r="U730" s="3">
        <f>IF(tblOrdenes[[#This Row],[centro_costo]]="","",_xlfn.XLOOKUP(tblOrdenes[[#This Row],[centro_costo]],tblCECO[codigo],tblCECO[linea],"(sin catálogo)"))</f>
        <v/>
      </c>
      <c r="V730" s="3">
        <f>IF(tblOrdenes[[#This Row],[centro_costo]]="","",_xlfn.XLOOKUP(tblOrdenes[[#This Row],[centro_costo]],tblCECO[codigo],tblCECO[area],"(sin catálogo)"))</f>
        <v/>
      </c>
      <c r="W7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0" s="3">
        <f>IF(tblOrdenes[[#This Row],[centro_costo]]="","",_xlfn.XLOOKUP(tblOrdenes[[#This Row],[centro_costo]],tblCECO[codigo],tblCECO[coordinador],"(sin catálogo)"))</f>
        <v/>
      </c>
      <c r="Y730" s="3">
        <f>IF(tblOrdenes[[#This Row],[puesto_trabajo]]="","",_xlfn.XLOOKUP(tblOrdenes[[#This Row],[puesto_trabajo]],tblPuestos[codigo],tblPuestos[especialidad],"(sin catálogo)"))</f>
        <v/>
      </c>
      <c r="Z730" s="3">
        <f>IF(tblOrdenes[[#This Row],[cod_actividad]]="","",_xlfn.XLOOKUP(tblOrdenes[[#This Row],[cod_actividad]],tblActividades[codigo],tblActividades[descripcion],"(sin catálogo)"))</f>
        <v/>
      </c>
      <c r="AA730" s="13">
        <f>IF(tblOrdenes[[#This Row],[fecha_inicio]]="","",TODAY()-tblOrdenes[[#This Row],[fecha_inicio]])</f>
        <v/>
      </c>
      <c r="AB7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0" s="3">
        <f>IF(tblOrdenes[[#This Row],[backlog_habiles]]="","",IF(tblOrdenes[[#This Row],[backlog_habiles]]&lt;0,"FUTURO",IF(tblOrdenes[[#This Row],[backlog_habiles]]&gt;p_dias_backlog_max,"BACKLOG","MES CORRIENTE")))</f>
        <v/>
      </c>
      <c r="AD730" s="3">
        <f>IF(tblOrdenes[[#This Row],[backlog_habiles]]="",FALSE,AND(tblOrdenes[[#This Row],[backlog_habiles]]&gt;p_dias_backlog_min,tblOrdenes[[#This Row],[backlog_habiles]]&lt;=p_dias_backlog_max))</f>
        <v/>
      </c>
      <c r="AE730" s="6" t="n"/>
      <c r="AF7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0" s="11">
        <f>IF(tblOrdenes[[#This Row],[orden]]="","",_xlfn.XLOOKUP(tblOrdenes[[#This Row],[id_operacion]],tblEjecucion[id_operacion],tblEjecucion[precio],0))</f>
        <v/>
      </c>
      <c r="AJ730" s="11">
        <f>IF(tblOrdenes[[#This Row],[orden]]="","",MAX(0,_xlfn.XLOOKUP(tblOrdenes[[#This Row],[id_operacion]],tblEjecucion[id_operacion],tblEjecucion[costo_plan_total],0)-tblOrdenes[[#This Row],[costo_servicio]]))</f>
        <v/>
      </c>
      <c r="AK730" s="11">
        <f>IF(tblOrdenes[[#This Row],[orden]]="","",tblOrdenes[[#This Row],[costo_servicio]]+tblOrdenes[[#This Row],[costo_materiales]])</f>
        <v/>
      </c>
      <c r="AL730" s="6" t="n"/>
      <c r="AM730" s="6" t="n"/>
      <c r="AN730" s="6" t="n"/>
      <c r="AO730" s="3">
        <f>IF(tblOrdenes[[#This Row],[link_checklist]]="","",HYPERLINK(p_ruta_base_checklists&amp;tblOrdenes[[#This Row],[link_checklist]],"abrir"))</f>
        <v/>
      </c>
      <c r="AP730" s="6" t="n"/>
      <c r="AQ730" s="3">
        <f>IF(tblOrdenes[[#This Row],[orden]]="","",tblOrdenes[[#This Row],[orden]]&amp;IF(tblOrdenes[[#This Row],[operacion]]="","0010",tblOrdenes[[#This Row],[operacion]]))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2" t="n"/>
      <c r="K731" s="3" t="n"/>
      <c r="L731" s="11" t="n"/>
      <c r="M7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1" s="3">
        <f>IF(tblOrdenes[[#This Row],[fecha_inicio]]="","",YEAR(tblOrdenes[[#This Row],[fecha_inicio]]))</f>
        <v/>
      </c>
      <c r="Q731" s="3">
        <f>IF(tblOrdenes[[#This Row],[fecha_inicio]]="","",MONTH(tblOrdenes[[#This Row],[fecha_inicio]]))</f>
        <v/>
      </c>
      <c r="R731" s="3">
        <f>IF(tblOrdenes[[#This Row],[fecha_inicio]]="","",INDEX(lista_dias,WEEKDAY(tblOrdenes[[#This Row],[fecha_inicio]],2)))</f>
        <v/>
      </c>
      <c r="S7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1" s="3">
        <f>IF(tblOrdenes[[#This Row],[tipo_ot]]="","",_xlfn.XLOOKUP(tblOrdenes[[#This Row],[tipo_ot]],tblTiposOT[codigo],tblTiposOT[clasificacion],"sin_clasificar"))</f>
        <v/>
      </c>
      <c r="U731" s="3">
        <f>IF(tblOrdenes[[#This Row],[centro_costo]]="","",_xlfn.XLOOKUP(tblOrdenes[[#This Row],[centro_costo]],tblCECO[codigo],tblCECO[linea],"(sin catálogo)"))</f>
        <v/>
      </c>
      <c r="V731" s="3">
        <f>IF(tblOrdenes[[#This Row],[centro_costo]]="","",_xlfn.XLOOKUP(tblOrdenes[[#This Row],[centro_costo]],tblCECO[codigo],tblCECO[area],"(sin catálogo)"))</f>
        <v/>
      </c>
      <c r="W7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1" s="3">
        <f>IF(tblOrdenes[[#This Row],[centro_costo]]="","",_xlfn.XLOOKUP(tblOrdenes[[#This Row],[centro_costo]],tblCECO[codigo],tblCECO[coordinador],"(sin catálogo)"))</f>
        <v/>
      </c>
      <c r="Y731" s="3">
        <f>IF(tblOrdenes[[#This Row],[puesto_trabajo]]="","",_xlfn.XLOOKUP(tblOrdenes[[#This Row],[puesto_trabajo]],tblPuestos[codigo],tblPuestos[especialidad],"(sin catálogo)"))</f>
        <v/>
      </c>
      <c r="Z731" s="3">
        <f>IF(tblOrdenes[[#This Row],[cod_actividad]]="","",_xlfn.XLOOKUP(tblOrdenes[[#This Row],[cod_actividad]],tblActividades[codigo],tblActividades[descripcion],"(sin catálogo)"))</f>
        <v/>
      </c>
      <c r="AA731" s="13">
        <f>IF(tblOrdenes[[#This Row],[fecha_inicio]]="","",TODAY()-tblOrdenes[[#This Row],[fecha_inicio]])</f>
        <v/>
      </c>
      <c r="AB7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1" s="3">
        <f>IF(tblOrdenes[[#This Row],[backlog_habiles]]="","",IF(tblOrdenes[[#This Row],[backlog_habiles]]&lt;0,"FUTURO",IF(tblOrdenes[[#This Row],[backlog_habiles]]&gt;p_dias_backlog_max,"BACKLOG","MES CORRIENTE")))</f>
        <v/>
      </c>
      <c r="AD731" s="3">
        <f>IF(tblOrdenes[[#This Row],[backlog_habiles]]="",FALSE,AND(tblOrdenes[[#This Row],[backlog_habiles]]&gt;p_dias_backlog_min,tblOrdenes[[#This Row],[backlog_habiles]]&lt;=p_dias_backlog_max))</f>
        <v/>
      </c>
      <c r="AE731" s="6" t="n"/>
      <c r="AF7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1" s="11">
        <f>IF(tblOrdenes[[#This Row],[orden]]="","",_xlfn.XLOOKUP(tblOrdenes[[#This Row],[id_operacion]],tblEjecucion[id_operacion],tblEjecucion[precio],0))</f>
        <v/>
      </c>
      <c r="AJ731" s="11">
        <f>IF(tblOrdenes[[#This Row],[orden]]="","",MAX(0,_xlfn.XLOOKUP(tblOrdenes[[#This Row],[id_operacion]],tblEjecucion[id_operacion],tblEjecucion[costo_plan_total],0)-tblOrdenes[[#This Row],[costo_servicio]]))</f>
        <v/>
      </c>
      <c r="AK731" s="11">
        <f>IF(tblOrdenes[[#This Row],[orden]]="","",tblOrdenes[[#This Row],[costo_servicio]]+tblOrdenes[[#This Row],[costo_materiales]])</f>
        <v/>
      </c>
      <c r="AL731" s="6" t="n"/>
      <c r="AM731" s="6" t="n"/>
      <c r="AN731" s="6" t="n"/>
      <c r="AO731" s="3">
        <f>IF(tblOrdenes[[#This Row],[link_checklist]]="","",HYPERLINK(p_ruta_base_checklists&amp;tblOrdenes[[#This Row],[link_checklist]],"abrir"))</f>
        <v/>
      </c>
      <c r="AP731" s="6" t="n"/>
      <c r="AQ731" s="3">
        <f>IF(tblOrdenes[[#This Row],[orden]]="","",tblOrdenes[[#This Row],[orden]]&amp;IF(tblOrdenes[[#This Row],[operacion]]="","0010",tblOrdenes[[#This Row],[operacion]]))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2" t="n"/>
      <c r="K732" s="3" t="n"/>
      <c r="L732" s="11" t="n"/>
      <c r="M7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2" s="3">
        <f>IF(tblOrdenes[[#This Row],[fecha_inicio]]="","",YEAR(tblOrdenes[[#This Row],[fecha_inicio]]))</f>
        <v/>
      </c>
      <c r="Q732" s="3">
        <f>IF(tblOrdenes[[#This Row],[fecha_inicio]]="","",MONTH(tblOrdenes[[#This Row],[fecha_inicio]]))</f>
        <v/>
      </c>
      <c r="R732" s="3">
        <f>IF(tblOrdenes[[#This Row],[fecha_inicio]]="","",INDEX(lista_dias,WEEKDAY(tblOrdenes[[#This Row],[fecha_inicio]],2)))</f>
        <v/>
      </c>
      <c r="S7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2" s="3">
        <f>IF(tblOrdenes[[#This Row],[tipo_ot]]="","",_xlfn.XLOOKUP(tblOrdenes[[#This Row],[tipo_ot]],tblTiposOT[codigo],tblTiposOT[clasificacion],"sin_clasificar"))</f>
        <v/>
      </c>
      <c r="U732" s="3">
        <f>IF(tblOrdenes[[#This Row],[centro_costo]]="","",_xlfn.XLOOKUP(tblOrdenes[[#This Row],[centro_costo]],tblCECO[codigo],tblCECO[linea],"(sin catálogo)"))</f>
        <v/>
      </c>
      <c r="V732" s="3">
        <f>IF(tblOrdenes[[#This Row],[centro_costo]]="","",_xlfn.XLOOKUP(tblOrdenes[[#This Row],[centro_costo]],tblCECO[codigo],tblCECO[area],"(sin catálogo)"))</f>
        <v/>
      </c>
      <c r="W7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2" s="3">
        <f>IF(tblOrdenes[[#This Row],[centro_costo]]="","",_xlfn.XLOOKUP(tblOrdenes[[#This Row],[centro_costo]],tblCECO[codigo],tblCECO[coordinador],"(sin catálogo)"))</f>
        <v/>
      </c>
      <c r="Y732" s="3">
        <f>IF(tblOrdenes[[#This Row],[puesto_trabajo]]="","",_xlfn.XLOOKUP(tblOrdenes[[#This Row],[puesto_trabajo]],tblPuestos[codigo],tblPuestos[especialidad],"(sin catálogo)"))</f>
        <v/>
      </c>
      <c r="Z732" s="3">
        <f>IF(tblOrdenes[[#This Row],[cod_actividad]]="","",_xlfn.XLOOKUP(tblOrdenes[[#This Row],[cod_actividad]],tblActividades[codigo],tblActividades[descripcion],"(sin catálogo)"))</f>
        <v/>
      </c>
      <c r="AA732" s="13">
        <f>IF(tblOrdenes[[#This Row],[fecha_inicio]]="","",TODAY()-tblOrdenes[[#This Row],[fecha_inicio]])</f>
        <v/>
      </c>
      <c r="AB7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2" s="3">
        <f>IF(tblOrdenes[[#This Row],[backlog_habiles]]="","",IF(tblOrdenes[[#This Row],[backlog_habiles]]&lt;0,"FUTURO",IF(tblOrdenes[[#This Row],[backlog_habiles]]&gt;p_dias_backlog_max,"BACKLOG","MES CORRIENTE")))</f>
        <v/>
      </c>
      <c r="AD732" s="3">
        <f>IF(tblOrdenes[[#This Row],[backlog_habiles]]="",FALSE,AND(tblOrdenes[[#This Row],[backlog_habiles]]&gt;p_dias_backlog_min,tblOrdenes[[#This Row],[backlog_habiles]]&lt;=p_dias_backlog_max))</f>
        <v/>
      </c>
      <c r="AE732" s="6" t="n"/>
      <c r="AF7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2" s="11">
        <f>IF(tblOrdenes[[#This Row],[orden]]="","",_xlfn.XLOOKUP(tblOrdenes[[#This Row],[id_operacion]],tblEjecucion[id_operacion],tblEjecucion[precio],0))</f>
        <v/>
      </c>
      <c r="AJ732" s="11">
        <f>IF(tblOrdenes[[#This Row],[orden]]="","",MAX(0,_xlfn.XLOOKUP(tblOrdenes[[#This Row],[id_operacion]],tblEjecucion[id_operacion],tblEjecucion[costo_plan_total],0)-tblOrdenes[[#This Row],[costo_servicio]]))</f>
        <v/>
      </c>
      <c r="AK732" s="11">
        <f>IF(tblOrdenes[[#This Row],[orden]]="","",tblOrdenes[[#This Row],[costo_servicio]]+tblOrdenes[[#This Row],[costo_materiales]])</f>
        <v/>
      </c>
      <c r="AL732" s="6" t="n"/>
      <c r="AM732" s="6" t="n"/>
      <c r="AN732" s="6" t="n"/>
      <c r="AO732" s="3">
        <f>IF(tblOrdenes[[#This Row],[link_checklist]]="","",HYPERLINK(p_ruta_base_checklists&amp;tblOrdenes[[#This Row],[link_checklist]],"abrir"))</f>
        <v/>
      </c>
      <c r="AP732" s="6" t="n"/>
      <c r="AQ732" s="3">
        <f>IF(tblOrdenes[[#This Row],[orden]]="","",tblOrdenes[[#This Row],[orden]]&amp;IF(tblOrdenes[[#This Row],[operacion]]="","0010",tblOrdenes[[#This Row],[operacion]]))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2" t="n"/>
      <c r="K733" s="3" t="n"/>
      <c r="L733" s="11" t="n"/>
      <c r="M7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3" s="3">
        <f>IF(tblOrdenes[[#This Row],[fecha_inicio]]="","",YEAR(tblOrdenes[[#This Row],[fecha_inicio]]))</f>
        <v/>
      </c>
      <c r="Q733" s="3">
        <f>IF(tblOrdenes[[#This Row],[fecha_inicio]]="","",MONTH(tblOrdenes[[#This Row],[fecha_inicio]]))</f>
        <v/>
      </c>
      <c r="R733" s="3">
        <f>IF(tblOrdenes[[#This Row],[fecha_inicio]]="","",INDEX(lista_dias,WEEKDAY(tblOrdenes[[#This Row],[fecha_inicio]],2)))</f>
        <v/>
      </c>
      <c r="S7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3" s="3">
        <f>IF(tblOrdenes[[#This Row],[tipo_ot]]="","",_xlfn.XLOOKUP(tblOrdenes[[#This Row],[tipo_ot]],tblTiposOT[codigo],tblTiposOT[clasificacion],"sin_clasificar"))</f>
        <v/>
      </c>
      <c r="U733" s="3">
        <f>IF(tblOrdenes[[#This Row],[centro_costo]]="","",_xlfn.XLOOKUP(tblOrdenes[[#This Row],[centro_costo]],tblCECO[codigo],tblCECO[linea],"(sin catálogo)"))</f>
        <v/>
      </c>
      <c r="V733" s="3">
        <f>IF(tblOrdenes[[#This Row],[centro_costo]]="","",_xlfn.XLOOKUP(tblOrdenes[[#This Row],[centro_costo]],tblCECO[codigo],tblCECO[area],"(sin catálogo)"))</f>
        <v/>
      </c>
      <c r="W7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3" s="3">
        <f>IF(tblOrdenes[[#This Row],[centro_costo]]="","",_xlfn.XLOOKUP(tblOrdenes[[#This Row],[centro_costo]],tblCECO[codigo],tblCECO[coordinador],"(sin catálogo)"))</f>
        <v/>
      </c>
      <c r="Y733" s="3">
        <f>IF(tblOrdenes[[#This Row],[puesto_trabajo]]="","",_xlfn.XLOOKUP(tblOrdenes[[#This Row],[puesto_trabajo]],tblPuestos[codigo],tblPuestos[especialidad],"(sin catálogo)"))</f>
        <v/>
      </c>
      <c r="Z733" s="3">
        <f>IF(tblOrdenes[[#This Row],[cod_actividad]]="","",_xlfn.XLOOKUP(tblOrdenes[[#This Row],[cod_actividad]],tblActividades[codigo],tblActividades[descripcion],"(sin catálogo)"))</f>
        <v/>
      </c>
      <c r="AA733" s="13">
        <f>IF(tblOrdenes[[#This Row],[fecha_inicio]]="","",TODAY()-tblOrdenes[[#This Row],[fecha_inicio]])</f>
        <v/>
      </c>
      <c r="AB7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3" s="3">
        <f>IF(tblOrdenes[[#This Row],[backlog_habiles]]="","",IF(tblOrdenes[[#This Row],[backlog_habiles]]&lt;0,"FUTURO",IF(tblOrdenes[[#This Row],[backlog_habiles]]&gt;p_dias_backlog_max,"BACKLOG","MES CORRIENTE")))</f>
        <v/>
      </c>
      <c r="AD733" s="3">
        <f>IF(tblOrdenes[[#This Row],[backlog_habiles]]="",FALSE,AND(tblOrdenes[[#This Row],[backlog_habiles]]&gt;p_dias_backlog_min,tblOrdenes[[#This Row],[backlog_habiles]]&lt;=p_dias_backlog_max))</f>
        <v/>
      </c>
      <c r="AE733" s="6" t="n"/>
      <c r="AF7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3" s="11">
        <f>IF(tblOrdenes[[#This Row],[orden]]="","",_xlfn.XLOOKUP(tblOrdenes[[#This Row],[id_operacion]],tblEjecucion[id_operacion],tblEjecucion[precio],0))</f>
        <v/>
      </c>
      <c r="AJ733" s="11">
        <f>IF(tblOrdenes[[#This Row],[orden]]="","",MAX(0,_xlfn.XLOOKUP(tblOrdenes[[#This Row],[id_operacion]],tblEjecucion[id_operacion],tblEjecucion[costo_plan_total],0)-tblOrdenes[[#This Row],[costo_servicio]]))</f>
        <v/>
      </c>
      <c r="AK733" s="11">
        <f>IF(tblOrdenes[[#This Row],[orden]]="","",tblOrdenes[[#This Row],[costo_servicio]]+tblOrdenes[[#This Row],[costo_materiales]])</f>
        <v/>
      </c>
      <c r="AL733" s="6" t="n"/>
      <c r="AM733" s="6" t="n"/>
      <c r="AN733" s="6" t="n"/>
      <c r="AO733" s="3">
        <f>IF(tblOrdenes[[#This Row],[link_checklist]]="","",HYPERLINK(p_ruta_base_checklists&amp;tblOrdenes[[#This Row],[link_checklist]],"abrir"))</f>
        <v/>
      </c>
      <c r="AP733" s="6" t="n"/>
      <c r="AQ733" s="3">
        <f>IF(tblOrdenes[[#This Row],[orden]]="","",tblOrdenes[[#This Row],[orden]]&amp;IF(tblOrdenes[[#This Row],[operacion]]="","0010",tblOrdenes[[#This Row],[operacion]]))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2" t="n"/>
      <c r="K734" s="3" t="n"/>
      <c r="L734" s="11" t="n"/>
      <c r="M7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4" s="3">
        <f>IF(tblOrdenes[[#This Row],[fecha_inicio]]="","",YEAR(tblOrdenes[[#This Row],[fecha_inicio]]))</f>
        <v/>
      </c>
      <c r="Q734" s="3">
        <f>IF(tblOrdenes[[#This Row],[fecha_inicio]]="","",MONTH(tblOrdenes[[#This Row],[fecha_inicio]]))</f>
        <v/>
      </c>
      <c r="R734" s="3">
        <f>IF(tblOrdenes[[#This Row],[fecha_inicio]]="","",INDEX(lista_dias,WEEKDAY(tblOrdenes[[#This Row],[fecha_inicio]],2)))</f>
        <v/>
      </c>
      <c r="S7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4" s="3">
        <f>IF(tblOrdenes[[#This Row],[tipo_ot]]="","",_xlfn.XLOOKUP(tblOrdenes[[#This Row],[tipo_ot]],tblTiposOT[codigo],tblTiposOT[clasificacion],"sin_clasificar"))</f>
        <v/>
      </c>
      <c r="U734" s="3">
        <f>IF(tblOrdenes[[#This Row],[centro_costo]]="","",_xlfn.XLOOKUP(tblOrdenes[[#This Row],[centro_costo]],tblCECO[codigo],tblCECO[linea],"(sin catálogo)"))</f>
        <v/>
      </c>
      <c r="V734" s="3">
        <f>IF(tblOrdenes[[#This Row],[centro_costo]]="","",_xlfn.XLOOKUP(tblOrdenes[[#This Row],[centro_costo]],tblCECO[codigo],tblCECO[area],"(sin catálogo)"))</f>
        <v/>
      </c>
      <c r="W7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4" s="3">
        <f>IF(tblOrdenes[[#This Row],[centro_costo]]="","",_xlfn.XLOOKUP(tblOrdenes[[#This Row],[centro_costo]],tblCECO[codigo],tblCECO[coordinador],"(sin catálogo)"))</f>
        <v/>
      </c>
      <c r="Y734" s="3">
        <f>IF(tblOrdenes[[#This Row],[puesto_trabajo]]="","",_xlfn.XLOOKUP(tblOrdenes[[#This Row],[puesto_trabajo]],tblPuestos[codigo],tblPuestos[especialidad],"(sin catálogo)"))</f>
        <v/>
      </c>
      <c r="Z734" s="3">
        <f>IF(tblOrdenes[[#This Row],[cod_actividad]]="","",_xlfn.XLOOKUP(tblOrdenes[[#This Row],[cod_actividad]],tblActividades[codigo],tblActividades[descripcion],"(sin catálogo)"))</f>
        <v/>
      </c>
      <c r="AA734" s="13">
        <f>IF(tblOrdenes[[#This Row],[fecha_inicio]]="","",TODAY()-tblOrdenes[[#This Row],[fecha_inicio]])</f>
        <v/>
      </c>
      <c r="AB7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4" s="3">
        <f>IF(tblOrdenes[[#This Row],[backlog_habiles]]="","",IF(tblOrdenes[[#This Row],[backlog_habiles]]&lt;0,"FUTURO",IF(tblOrdenes[[#This Row],[backlog_habiles]]&gt;p_dias_backlog_max,"BACKLOG","MES CORRIENTE")))</f>
        <v/>
      </c>
      <c r="AD734" s="3">
        <f>IF(tblOrdenes[[#This Row],[backlog_habiles]]="",FALSE,AND(tblOrdenes[[#This Row],[backlog_habiles]]&gt;p_dias_backlog_min,tblOrdenes[[#This Row],[backlog_habiles]]&lt;=p_dias_backlog_max))</f>
        <v/>
      </c>
      <c r="AE734" s="6" t="n"/>
      <c r="AF7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4" s="11">
        <f>IF(tblOrdenes[[#This Row],[orden]]="","",_xlfn.XLOOKUP(tblOrdenes[[#This Row],[id_operacion]],tblEjecucion[id_operacion],tblEjecucion[precio],0))</f>
        <v/>
      </c>
      <c r="AJ734" s="11">
        <f>IF(tblOrdenes[[#This Row],[orden]]="","",MAX(0,_xlfn.XLOOKUP(tblOrdenes[[#This Row],[id_operacion]],tblEjecucion[id_operacion],tblEjecucion[costo_plan_total],0)-tblOrdenes[[#This Row],[costo_servicio]]))</f>
        <v/>
      </c>
      <c r="AK734" s="11">
        <f>IF(tblOrdenes[[#This Row],[orden]]="","",tblOrdenes[[#This Row],[costo_servicio]]+tblOrdenes[[#This Row],[costo_materiales]])</f>
        <v/>
      </c>
      <c r="AL734" s="6" t="n"/>
      <c r="AM734" s="6" t="n"/>
      <c r="AN734" s="6" t="n"/>
      <c r="AO734" s="3">
        <f>IF(tblOrdenes[[#This Row],[link_checklist]]="","",HYPERLINK(p_ruta_base_checklists&amp;tblOrdenes[[#This Row],[link_checklist]],"abrir"))</f>
        <v/>
      </c>
      <c r="AP734" s="6" t="n"/>
      <c r="AQ734" s="3">
        <f>IF(tblOrdenes[[#This Row],[orden]]="","",tblOrdenes[[#This Row],[orden]]&amp;IF(tblOrdenes[[#This Row],[operacion]]="","0010",tblOrdenes[[#This Row],[operacion]]))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2" t="n"/>
      <c r="K735" s="3" t="n"/>
      <c r="L735" s="11" t="n"/>
      <c r="M7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5" s="3">
        <f>IF(tblOrdenes[[#This Row],[fecha_inicio]]="","",YEAR(tblOrdenes[[#This Row],[fecha_inicio]]))</f>
        <v/>
      </c>
      <c r="Q735" s="3">
        <f>IF(tblOrdenes[[#This Row],[fecha_inicio]]="","",MONTH(tblOrdenes[[#This Row],[fecha_inicio]]))</f>
        <v/>
      </c>
      <c r="R735" s="3">
        <f>IF(tblOrdenes[[#This Row],[fecha_inicio]]="","",INDEX(lista_dias,WEEKDAY(tblOrdenes[[#This Row],[fecha_inicio]],2)))</f>
        <v/>
      </c>
      <c r="S7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5" s="3">
        <f>IF(tblOrdenes[[#This Row],[tipo_ot]]="","",_xlfn.XLOOKUP(tblOrdenes[[#This Row],[tipo_ot]],tblTiposOT[codigo],tblTiposOT[clasificacion],"sin_clasificar"))</f>
        <v/>
      </c>
      <c r="U735" s="3">
        <f>IF(tblOrdenes[[#This Row],[centro_costo]]="","",_xlfn.XLOOKUP(tblOrdenes[[#This Row],[centro_costo]],tblCECO[codigo],tblCECO[linea],"(sin catálogo)"))</f>
        <v/>
      </c>
      <c r="V735" s="3">
        <f>IF(tblOrdenes[[#This Row],[centro_costo]]="","",_xlfn.XLOOKUP(tblOrdenes[[#This Row],[centro_costo]],tblCECO[codigo],tblCECO[area],"(sin catálogo)"))</f>
        <v/>
      </c>
      <c r="W7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5" s="3">
        <f>IF(tblOrdenes[[#This Row],[centro_costo]]="","",_xlfn.XLOOKUP(tblOrdenes[[#This Row],[centro_costo]],tblCECO[codigo],tblCECO[coordinador],"(sin catálogo)"))</f>
        <v/>
      </c>
      <c r="Y735" s="3">
        <f>IF(tblOrdenes[[#This Row],[puesto_trabajo]]="","",_xlfn.XLOOKUP(tblOrdenes[[#This Row],[puesto_trabajo]],tblPuestos[codigo],tblPuestos[especialidad],"(sin catálogo)"))</f>
        <v/>
      </c>
      <c r="Z735" s="3">
        <f>IF(tblOrdenes[[#This Row],[cod_actividad]]="","",_xlfn.XLOOKUP(tblOrdenes[[#This Row],[cod_actividad]],tblActividades[codigo],tblActividades[descripcion],"(sin catálogo)"))</f>
        <v/>
      </c>
      <c r="AA735" s="13">
        <f>IF(tblOrdenes[[#This Row],[fecha_inicio]]="","",TODAY()-tblOrdenes[[#This Row],[fecha_inicio]])</f>
        <v/>
      </c>
      <c r="AB7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5" s="3">
        <f>IF(tblOrdenes[[#This Row],[backlog_habiles]]="","",IF(tblOrdenes[[#This Row],[backlog_habiles]]&lt;0,"FUTURO",IF(tblOrdenes[[#This Row],[backlog_habiles]]&gt;p_dias_backlog_max,"BACKLOG","MES CORRIENTE")))</f>
        <v/>
      </c>
      <c r="AD735" s="3">
        <f>IF(tblOrdenes[[#This Row],[backlog_habiles]]="",FALSE,AND(tblOrdenes[[#This Row],[backlog_habiles]]&gt;p_dias_backlog_min,tblOrdenes[[#This Row],[backlog_habiles]]&lt;=p_dias_backlog_max))</f>
        <v/>
      </c>
      <c r="AE735" s="6" t="n"/>
      <c r="AF7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5" s="11">
        <f>IF(tblOrdenes[[#This Row],[orden]]="","",_xlfn.XLOOKUP(tblOrdenes[[#This Row],[id_operacion]],tblEjecucion[id_operacion],tblEjecucion[precio],0))</f>
        <v/>
      </c>
      <c r="AJ735" s="11">
        <f>IF(tblOrdenes[[#This Row],[orden]]="","",MAX(0,_xlfn.XLOOKUP(tblOrdenes[[#This Row],[id_operacion]],tblEjecucion[id_operacion],tblEjecucion[costo_plan_total],0)-tblOrdenes[[#This Row],[costo_servicio]]))</f>
        <v/>
      </c>
      <c r="AK735" s="11">
        <f>IF(tblOrdenes[[#This Row],[orden]]="","",tblOrdenes[[#This Row],[costo_servicio]]+tblOrdenes[[#This Row],[costo_materiales]])</f>
        <v/>
      </c>
      <c r="AL735" s="6" t="n"/>
      <c r="AM735" s="6" t="n"/>
      <c r="AN735" s="6" t="n"/>
      <c r="AO735" s="3">
        <f>IF(tblOrdenes[[#This Row],[link_checklist]]="","",HYPERLINK(p_ruta_base_checklists&amp;tblOrdenes[[#This Row],[link_checklist]],"abrir"))</f>
        <v/>
      </c>
      <c r="AP735" s="6" t="n"/>
      <c r="AQ735" s="3">
        <f>IF(tblOrdenes[[#This Row],[orden]]="","",tblOrdenes[[#This Row],[orden]]&amp;IF(tblOrdenes[[#This Row],[operacion]]="","0010",tblOrdenes[[#This Row],[operacion]]))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2" t="n"/>
      <c r="K736" s="3" t="n"/>
      <c r="L736" s="11" t="n"/>
      <c r="M7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6" s="3">
        <f>IF(tblOrdenes[[#This Row],[fecha_inicio]]="","",YEAR(tblOrdenes[[#This Row],[fecha_inicio]]))</f>
        <v/>
      </c>
      <c r="Q736" s="3">
        <f>IF(tblOrdenes[[#This Row],[fecha_inicio]]="","",MONTH(tblOrdenes[[#This Row],[fecha_inicio]]))</f>
        <v/>
      </c>
      <c r="R736" s="3">
        <f>IF(tblOrdenes[[#This Row],[fecha_inicio]]="","",INDEX(lista_dias,WEEKDAY(tblOrdenes[[#This Row],[fecha_inicio]],2)))</f>
        <v/>
      </c>
      <c r="S7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6" s="3">
        <f>IF(tblOrdenes[[#This Row],[tipo_ot]]="","",_xlfn.XLOOKUP(tblOrdenes[[#This Row],[tipo_ot]],tblTiposOT[codigo],tblTiposOT[clasificacion],"sin_clasificar"))</f>
        <v/>
      </c>
      <c r="U736" s="3">
        <f>IF(tblOrdenes[[#This Row],[centro_costo]]="","",_xlfn.XLOOKUP(tblOrdenes[[#This Row],[centro_costo]],tblCECO[codigo],tblCECO[linea],"(sin catálogo)"))</f>
        <v/>
      </c>
      <c r="V736" s="3">
        <f>IF(tblOrdenes[[#This Row],[centro_costo]]="","",_xlfn.XLOOKUP(tblOrdenes[[#This Row],[centro_costo]],tblCECO[codigo],tblCECO[area],"(sin catálogo)"))</f>
        <v/>
      </c>
      <c r="W7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6" s="3">
        <f>IF(tblOrdenes[[#This Row],[centro_costo]]="","",_xlfn.XLOOKUP(tblOrdenes[[#This Row],[centro_costo]],tblCECO[codigo],tblCECO[coordinador],"(sin catálogo)"))</f>
        <v/>
      </c>
      <c r="Y736" s="3">
        <f>IF(tblOrdenes[[#This Row],[puesto_trabajo]]="","",_xlfn.XLOOKUP(tblOrdenes[[#This Row],[puesto_trabajo]],tblPuestos[codigo],tblPuestos[especialidad],"(sin catálogo)"))</f>
        <v/>
      </c>
      <c r="Z736" s="3">
        <f>IF(tblOrdenes[[#This Row],[cod_actividad]]="","",_xlfn.XLOOKUP(tblOrdenes[[#This Row],[cod_actividad]],tblActividades[codigo],tblActividades[descripcion],"(sin catálogo)"))</f>
        <v/>
      </c>
      <c r="AA736" s="13">
        <f>IF(tblOrdenes[[#This Row],[fecha_inicio]]="","",TODAY()-tblOrdenes[[#This Row],[fecha_inicio]])</f>
        <v/>
      </c>
      <c r="AB7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6" s="3">
        <f>IF(tblOrdenes[[#This Row],[backlog_habiles]]="","",IF(tblOrdenes[[#This Row],[backlog_habiles]]&lt;0,"FUTURO",IF(tblOrdenes[[#This Row],[backlog_habiles]]&gt;p_dias_backlog_max,"BACKLOG","MES CORRIENTE")))</f>
        <v/>
      </c>
      <c r="AD736" s="3">
        <f>IF(tblOrdenes[[#This Row],[backlog_habiles]]="",FALSE,AND(tblOrdenes[[#This Row],[backlog_habiles]]&gt;p_dias_backlog_min,tblOrdenes[[#This Row],[backlog_habiles]]&lt;=p_dias_backlog_max))</f>
        <v/>
      </c>
      <c r="AE736" s="6" t="n"/>
      <c r="AF7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6" s="11">
        <f>IF(tblOrdenes[[#This Row],[orden]]="","",_xlfn.XLOOKUP(tblOrdenes[[#This Row],[id_operacion]],tblEjecucion[id_operacion],tblEjecucion[precio],0))</f>
        <v/>
      </c>
      <c r="AJ736" s="11">
        <f>IF(tblOrdenes[[#This Row],[orden]]="","",MAX(0,_xlfn.XLOOKUP(tblOrdenes[[#This Row],[id_operacion]],tblEjecucion[id_operacion],tblEjecucion[costo_plan_total],0)-tblOrdenes[[#This Row],[costo_servicio]]))</f>
        <v/>
      </c>
      <c r="AK736" s="11">
        <f>IF(tblOrdenes[[#This Row],[orden]]="","",tblOrdenes[[#This Row],[costo_servicio]]+tblOrdenes[[#This Row],[costo_materiales]])</f>
        <v/>
      </c>
      <c r="AL736" s="6" t="n"/>
      <c r="AM736" s="6" t="n"/>
      <c r="AN736" s="6" t="n"/>
      <c r="AO736" s="3">
        <f>IF(tblOrdenes[[#This Row],[link_checklist]]="","",HYPERLINK(p_ruta_base_checklists&amp;tblOrdenes[[#This Row],[link_checklist]],"abrir"))</f>
        <v/>
      </c>
      <c r="AP736" s="6" t="n"/>
      <c r="AQ736" s="3">
        <f>IF(tblOrdenes[[#This Row],[orden]]="","",tblOrdenes[[#This Row],[orden]]&amp;IF(tblOrdenes[[#This Row],[operacion]]="","0010",tblOrdenes[[#This Row],[operacion]]))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2" t="n"/>
      <c r="K737" s="3" t="n"/>
      <c r="L737" s="11" t="n"/>
      <c r="M7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7" s="3">
        <f>IF(tblOrdenes[[#This Row],[fecha_inicio]]="","",YEAR(tblOrdenes[[#This Row],[fecha_inicio]]))</f>
        <v/>
      </c>
      <c r="Q737" s="3">
        <f>IF(tblOrdenes[[#This Row],[fecha_inicio]]="","",MONTH(tblOrdenes[[#This Row],[fecha_inicio]]))</f>
        <v/>
      </c>
      <c r="R737" s="3">
        <f>IF(tblOrdenes[[#This Row],[fecha_inicio]]="","",INDEX(lista_dias,WEEKDAY(tblOrdenes[[#This Row],[fecha_inicio]],2)))</f>
        <v/>
      </c>
      <c r="S7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7" s="3">
        <f>IF(tblOrdenes[[#This Row],[tipo_ot]]="","",_xlfn.XLOOKUP(tblOrdenes[[#This Row],[tipo_ot]],tblTiposOT[codigo],tblTiposOT[clasificacion],"sin_clasificar"))</f>
        <v/>
      </c>
      <c r="U737" s="3">
        <f>IF(tblOrdenes[[#This Row],[centro_costo]]="","",_xlfn.XLOOKUP(tblOrdenes[[#This Row],[centro_costo]],tblCECO[codigo],tblCECO[linea],"(sin catálogo)"))</f>
        <v/>
      </c>
      <c r="V737" s="3">
        <f>IF(tblOrdenes[[#This Row],[centro_costo]]="","",_xlfn.XLOOKUP(tblOrdenes[[#This Row],[centro_costo]],tblCECO[codigo],tblCECO[area],"(sin catálogo)"))</f>
        <v/>
      </c>
      <c r="W7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7" s="3">
        <f>IF(tblOrdenes[[#This Row],[centro_costo]]="","",_xlfn.XLOOKUP(tblOrdenes[[#This Row],[centro_costo]],tblCECO[codigo],tblCECO[coordinador],"(sin catálogo)"))</f>
        <v/>
      </c>
      <c r="Y737" s="3">
        <f>IF(tblOrdenes[[#This Row],[puesto_trabajo]]="","",_xlfn.XLOOKUP(tblOrdenes[[#This Row],[puesto_trabajo]],tblPuestos[codigo],tblPuestos[especialidad],"(sin catálogo)"))</f>
        <v/>
      </c>
      <c r="Z737" s="3">
        <f>IF(tblOrdenes[[#This Row],[cod_actividad]]="","",_xlfn.XLOOKUP(tblOrdenes[[#This Row],[cod_actividad]],tblActividades[codigo],tblActividades[descripcion],"(sin catálogo)"))</f>
        <v/>
      </c>
      <c r="AA737" s="13">
        <f>IF(tblOrdenes[[#This Row],[fecha_inicio]]="","",TODAY()-tblOrdenes[[#This Row],[fecha_inicio]])</f>
        <v/>
      </c>
      <c r="AB7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7" s="3">
        <f>IF(tblOrdenes[[#This Row],[backlog_habiles]]="","",IF(tblOrdenes[[#This Row],[backlog_habiles]]&lt;0,"FUTURO",IF(tblOrdenes[[#This Row],[backlog_habiles]]&gt;p_dias_backlog_max,"BACKLOG","MES CORRIENTE")))</f>
        <v/>
      </c>
      <c r="AD737" s="3">
        <f>IF(tblOrdenes[[#This Row],[backlog_habiles]]="",FALSE,AND(tblOrdenes[[#This Row],[backlog_habiles]]&gt;p_dias_backlog_min,tblOrdenes[[#This Row],[backlog_habiles]]&lt;=p_dias_backlog_max))</f>
        <v/>
      </c>
      <c r="AE737" s="6" t="n"/>
      <c r="AF7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7" s="11">
        <f>IF(tblOrdenes[[#This Row],[orden]]="","",_xlfn.XLOOKUP(tblOrdenes[[#This Row],[id_operacion]],tblEjecucion[id_operacion],tblEjecucion[precio],0))</f>
        <v/>
      </c>
      <c r="AJ737" s="11">
        <f>IF(tblOrdenes[[#This Row],[orden]]="","",MAX(0,_xlfn.XLOOKUP(tblOrdenes[[#This Row],[id_operacion]],tblEjecucion[id_operacion],tblEjecucion[costo_plan_total],0)-tblOrdenes[[#This Row],[costo_servicio]]))</f>
        <v/>
      </c>
      <c r="AK737" s="11">
        <f>IF(tblOrdenes[[#This Row],[orden]]="","",tblOrdenes[[#This Row],[costo_servicio]]+tblOrdenes[[#This Row],[costo_materiales]])</f>
        <v/>
      </c>
      <c r="AL737" s="6" t="n"/>
      <c r="AM737" s="6" t="n"/>
      <c r="AN737" s="6" t="n"/>
      <c r="AO737" s="3">
        <f>IF(tblOrdenes[[#This Row],[link_checklist]]="","",HYPERLINK(p_ruta_base_checklists&amp;tblOrdenes[[#This Row],[link_checklist]],"abrir"))</f>
        <v/>
      </c>
      <c r="AP737" s="6" t="n"/>
      <c r="AQ737" s="3">
        <f>IF(tblOrdenes[[#This Row],[orden]]="","",tblOrdenes[[#This Row],[orden]]&amp;IF(tblOrdenes[[#This Row],[operacion]]="","0010",tblOrdenes[[#This Row],[operacion]]))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2" t="n"/>
      <c r="K738" s="3" t="n"/>
      <c r="L738" s="11" t="n"/>
      <c r="M7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8" s="3">
        <f>IF(tblOrdenes[[#This Row],[fecha_inicio]]="","",YEAR(tblOrdenes[[#This Row],[fecha_inicio]]))</f>
        <v/>
      </c>
      <c r="Q738" s="3">
        <f>IF(tblOrdenes[[#This Row],[fecha_inicio]]="","",MONTH(tblOrdenes[[#This Row],[fecha_inicio]]))</f>
        <v/>
      </c>
      <c r="R738" s="3">
        <f>IF(tblOrdenes[[#This Row],[fecha_inicio]]="","",INDEX(lista_dias,WEEKDAY(tblOrdenes[[#This Row],[fecha_inicio]],2)))</f>
        <v/>
      </c>
      <c r="S7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8" s="3">
        <f>IF(tblOrdenes[[#This Row],[tipo_ot]]="","",_xlfn.XLOOKUP(tblOrdenes[[#This Row],[tipo_ot]],tblTiposOT[codigo],tblTiposOT[clasificacion],"sin_clasificar"))</f>
        <v/>
      </c>
      <c r="U738" s="3">
        <f>IF(tblOrdenes[[#This Row],[centro_costo]]="","",_xlfn.XLOOKUP(tblOrdenes[[#This Row],[centro_costo]],tblCECO[codigo],tblCECO[linea],"(sin catálogo)"))</f>
        <v/>
      </c>
      <c r="V738" s="3">
        <f>IF(tblOrdenes[[#This Row],[centro_costo]]="","",_xlfn.XLOOKUP(tblOrdenes[[#This Row],[centro_costo]],tblCECO[codigo],tblCECO[area],"(sin catálogo)"))</f>
        <v/>
      </c>
      <c r="W7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8" s="3">
        <f>IF(tblOrdenes[[#This Row],[centro_costo]]="","",_xlfn.XLOOKUP(tblOrdenes[[#This Row],[centro_costo]],tblCECO[codigo],tblCECO[coordinador],"(sin catálogo)"))</f>
        <v/>
      </c>
      <c r="Y738" s="3">
        <f>IF(tblOrdenes[[#This Row],[puesto_trabajo]]="","",_xlfn.XLOOKUP(tblOrdenes[[#This Row],[puesto_trabajo]],tblPuestos[codigo],tblPuestos[especialidad],"(sin catálogo)"))</f>
        <v/>
      </c>
      <c r="Z738" s="3">
        <f>IF(tblOrdenes[[#This Row],[cod_actividad]]="","",_xlfn.XLOOKUP(tblOrdenes[[#This Row],[cod_actividad]],tblActividades[codigo],tblActividades[descripcion],"(sin catálogo)"))</f>
        <v/>
      </c>
      <c r="AA738" s="13">
        <f>IF(tblOrdenes[[#This Row],[fecha_inicio]]="","",TODAY()-tblOrdenes[[#This Row],[fecha_inicio]])</f>
        <v/>
      </c>
      <c r="AB7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8" s="3">
        <f>IF(tblOrdenes[[#This Row],[backlog_habiles]]="","",IF(tblOrdenes[[#This Row],[backlog_habiles]]&lt;0,"FUTURO",IF(tblOrdenes[[#This Row],[backlog_habiles]]&gt;p_dias_backlog_max,"BACKLOG","MES CORRIENTE")))</f>
        <v/>
      </c>
      <c r="AD738" s="3">
        <f>IF(tblOrdenes[[#This Row],[backlog_habiles]]="",FALSE,AND(tblOrdenes[[#This Row],[backlog_habiles]]&gt;p_dias_backlog_min,tblOrdenes[[#This Row],[backlog_habiles]]&lt;=p_dias_backlog_max))</f>
        <v/>
      </c>
      <c r="AE738" s="6" t="n"/>
      <c r="AF7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8" s="11">
        <f>IF(tblOrdenes[[#This Row],[orden]]="","",_xlfn.XLOOKUP(tblOrdenes[[#This Row],[id_operacion]],tblEjecucion[id_operacion],tblEjecucion[precio],0))</f>
        <v/>
      </c>
      <c r="AJ738" s="11">
        <f>IF(tblOrdenes[[#This Row],[orden]]="","",MAX(0,_xlfn.XLOOKUP(tblOrdenes[[#This Row],[id_operacion]],tblEjecucion[id_operacion],tblEjecucion[costo_plan_total],0)-tblOrdenes[[#This Row],[costo_servicio]]))</f>
        <v/>
      </c>
      <c r="AK738" s="11">
        <f>IF(tblOrdenes[[#This Row],[orden]]="","",tblOrdenes[[#This Row],[costo_servicio]]+tblOrdenes[[#This Row],[costo_materiales]])</f>
        <v/>
      </c>
      <c r="AL738" s="6" t="n"/>
      <c r="AM738" s="6" t="n"/>
      <c r="AN738" s="6" t="n"/>
      <c r="AO738" s="3">
        <f>IF(tblOrdenes[[#This Row],[link_checklist]]="","",HYPERLINK(p_ruta_base_checklists&amp;tblOrdenes[[#This Row],[link_checklist]],"abrir"))</f>
        <v/>
      </c>
      <c r="AP738" s="6" t="n"/>
      <c r="AQ738" s="3">
        <f>IF(tblOrdenes[[#This Row],[orden]]="","",tblOrdenes[[#This Row],[orden]]&amp;IF(tblOrdenes[[#This Row],[operacion]]="","0010",tblOrdenes[[#This Row],[operacion]]))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2" t="n"/>
      <c r="K739" s="3" t="n"/>
      <c r="L739" s="11" t="n"/>
      <c r="M7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9" s="3">
        <f>IF(tblOrdenes[[#This Row],[fecha_inicio]]="","",YEAR(tblOrdenes[[#This Row],[fecha_inicio]]))</f>
        <v/>
      </c>
      <c r="Q739" s="3">
        <f>IF(tblOrdenes[[#This Row],[fecha_inicio]]="","",MONTH(tblOrdenes[[#This Row],[fecha_inicio]]))</f>
        <v/>
      </c>
      <c r="R739" s="3">
        <f>IF(tblOrdenes[[#This Row],[fecha_inicio]]="","",INDEX(lista_dias,WEEKDAY(tblOrdenes[[#This Row],[fecha_inicio]],2)))</f>
        <v/>
      </c>
      <c r="S7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9" s="3">
        <f>IF(tblOrdenes[[#This Row],[tipo_ot]]="","",_xlfn.XLOOKUP(tblOrdenes[[#This Row],[tipo_ot]],tblTiposOT[codigo],tblTiposOT[clasificacion],"sin_clasificar"))</f>
        <v/>
      </c>
      <c r="U739" s="3">
        <f>IF(tblOrdenes[[#This Row],[centro_costo]]="","",_xlfn.XLOOKUP(tblOrdenes[[#This Row],[centro_costo]],tblCECO[codigo],tblCECO[linea],"(sin catálogo)"))</f>
        <v/>
      </c>
      <c r="V739" s="3">
        <f>IF(tblOrdenes[[#This Row],[centro_costo]]="","",_xlfn.XLOOKUP(tblOrdenes[[#This Row],[centro_costo]],tblCECO[codigo],tblCECO[area],"(sin catálogo)"))</f>
        <v/>
      </c>
      <c r="W7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9" s="3">
        <f>IF(tblOrdenes[[#This Row],[centro_costo]]="","",_xlfn.XLOOKUP(tblOrdenes[[#This Row],[centro_costo]],tblCECO[codigo],tblCECO[coordinador],"(sin catálogo)"))</f>
        <v/>
      </c>
      <c r="Y739" s="3">
        <f>IF(tblOrdenes[[#This Row],[puesto_trabajo]]="","",_xlfn.XLOOKUP(tblOrdenes[[#This Row],[puesto_trabajo]],tblPuestos[codigo],tblPuestos[especialidad],"(sin catálogo)"))</f>
        <v/>
      </c>
      <c r="Z739" s="3">
        <f>IF(tblOrdenes[[#This Row],[cod_actividad]]="","",_xlfn.XLOOKUP(tblOrdenes[[#This Row],[cod_actividad]],tblActividades[codigo],tblActividades[descripcion],"(sin catálogo)"))</f>
        <v/>
      </c>
      <c r="AA739" s="13">
        <f>IF(tblOrdenes[[#This Row],[fecha_inicio]]="","",TODAY()-tblOrdenes[[#This Row],[fecha_inicio]])</f>
        <v/>
      </c>
      <c r="AB7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9" s="3">
        <f>IF(tblOrdenes[[#This Row],[backlog_habiles]]="","",IF(tblOrdenes[[#This Row],[backlog_habiles]]&lt;0,"FUTURO",IF(tblOrdenes[[#This Row],[backlog_habiles]]&gt;p_dias_backlog_max,"BACKLOG","MES CORRIENTE")))</f>
        <v/>
      </c>
      <c r="AD739" s="3">
        <f>IF(tblOrdenes[[#This Row],[backlog_habiles]]="",FALSE,AND(tblOrdenes[[#This Row],[backlog_habiles]]&gt;p_dias_backlog_min,tblOrdenes[[#This Row],[backlog_habiles]]&lt;=p_dias_backlog_max))</f>
        <v/>
      </c>
      <c r="AE739" s="6" t="n"/>
      <c r="AF7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9" s="11">
        <f>IF(tblOrdenes[[#This Row],[orden]]="","",_xlfn.XLOOKUP(tblOrdenes[[#This Row],[id_operacion]],tblEjecucion[id_operacion],tblEjecucion[precio],0))</f>
        <v/>
      </c>
      <c r="AJ739" s="11">
        <f>IF(tblOrdenes[[#This Row],[orden]]="","",MAX(0,_xlfn.XLOOKUP(tblOrdenes[[#This Row],[id_operacion]],tblEjecucion[id_operacion],tblEjecucion[costo_plan_total],0)-tblOrdenes[[#This Row],[costo_servicio]]))</f>
        <v/>
      </c>
      <c r="AK739" s="11">
        <f>IF(tblOrdenes[[#This Row],[orden]]="","",tblOrdenes[[#This Row],[costo_servicio]]+tblOrdenes[[#This Row],[costo_materiales]])</f>
        <v/>
      </c>
      <c r="AL739" s="6" t="n"/>
      <c r="AM739" s="6" t="n"/>
      <c r="AN739" s="6" t="n"/>
      <c r="AO739" s="3">
        <f>IF(tblOrdenes[[#This Row],[link_checklist]]="","",HYPERLINK(p_ruta_base_checklists&amp;tblOrdenes[[#This Row],[link_checklist]],"abrir"))</f>
        <v/>
      </c>
      <c r="AP739" s="6" t="n"/>
      <c r="AQ739" s="3">
        <f>IF(tblOrdenes[[#This Row],[orden]]="","",tblOrdenes[[#This Row],[orden]]&amp;IF(tblOrdenes[[#This Row],[operacion]]="","0010",tblOrdenes[[#This Row],[operacion]]))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2" t="n"/>
      <c r="K740" s="3" t="n"/>
      <c r="L740" s="11" t="n"/>
      <c r="M7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0" s="3">
        <f>IF(tblOrdenes[[#This Row],[fecha_inicio]]="","",YEAR(tblOrdenes[[#This Row],[fecha_inicio]]))</f>
        <v/>
      </c>
      <c r="Q740" s="3">
        <f>IF(tblOrdenes[[#This Row],[fecha_inicio]]="","",MONTH(tblOrdenes[[#This Row],[fecha_inicio]]))</f>
        <v/>
      </c>
      <c r="R740" s="3">
        <f>IF(tblOrdenes[[#This Row],[fecha_inicio]]="","",INDEX(lista_dias,WEEKDAY(tblOrdenes[[#This Row],[fecha_inicio]],2)))</f>
        <v/>
      </c>
      <c r="S7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0" s="3">
        <f>IF(tblOrdenes[[#This Row],[tipo_ot]]="","",_xlfn.XLOOKUP(tblOrdenes[[#This Row],[tipo_ot]],tblTiposOT[codigo],tblTiposOT[clasificacion],"sin_clasificar"))</f>
        <v/>
      </c>
      <c r="U740" s="3">
        <f>IF(tblOrdenes[[#This Row],[centro_costo]]="","",_xlfn.XLOOKUP(tblOrdenes[[#This Row],[centro_costo]],tblCECO[codigo],tblCECO[linea],"(sin catálogo)"))</f>
        <v/>
      </c>
      <c r="V740" s="3">
        <f>IF(tblOrdenes[[#This Row],[centro_costo]]="","",_xlfn.XLOOKUP(tblOrdenes[[#This Row],[centro_costo]],tblCECO[codigo],tblCECO[area],"(sin catálogo)"))</f>
        <v/>
      </c>
      <c r="W7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0" s="3">
        <f>IF(tblOrdenes[[#This Row],[centro_costo]]="","",_xlfn.XLOOKUP(tblOrdenes[[#This Row],[centro_costo]],tblCECO[codigo],tblCECO[coordinador],"(sin catálogo)"))</f>
        <v/>
      </c>
      <c r="Y740" s="3">
        <f>IF(tblOrdenes[[#This Row],[puesto_trabajo]]="","",_xlfn.XLOOKUP(tblOrdenes[[#This Row],[puesto_trabajo]],tblPuestos[codigo],tblPuestos[especialidad],"(sin catálogo)"))</f>
        <v/>
      </c>
      <c r="Z740" s="3">
        <f>IF(tblOrdenes[[#This Row],[cod_actividad]]="","",_xlfn.XLOOKUP(tblOrdenes[[#This Row],[cod_actividad]],tblActividades[codigo],tblActividades[descripcion],"(sin catálogo)"))</f>
        <v/>
      </c>
      <c r="AA740" s="13">
        <f>IF(tblOrdenes[[#This Row],[fecha_inicio]]="","",TODAY()-tblOrdenes[[#This Row],[fecha_inicio]])</f>
        <v/>
      </c>
      <c r="AB7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0" s="3">
        <f>IF(tblOrdenes[[#This Row],[backlog_habiles]]="","",IF(tblOrdenes[[#This Row],[backlog_habiles]]&lt;0,"FUTURO",IF(tblOrdenes[[#This Row],[backlog_habiles]]&gt;p_dias_backlog_max,"BACKLOG","MES CORRIENTE")))</f>
        <v/>
      </c>
      <c r="AD740" s="3">
        <f>IF(tblOrdenes[[#This Row],[backlog_habiles]]="",FALSE,AND(tblOrdenes[[#This Row],[backlog_habiles]]&gt;p_dias_backlog_min,tblOrdenes[[#This Row],[backlog_habiles]]&lt;=p_dias_backlog_max))</f>
        <v/>
      </c>
      <c r="AE740" s="6" t="n"/>
      <c r="AF7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0" s="11">
        <f>IF(tblOrdenes[[#This Row],[orden]]="","",_xlfn.XLOOKUP(tblOrdenes[[#This Row],[id_operacion]],tblEjecucion[id_operacion],tblEjecucion[precio],0))</f>
        <v/>
      </c>
      <c r="AJ740" s="11">
        <f>IF(tblOrdenes[[#This Row],[orden]]="","",MAX(0,_xlfn.XLOOKUP(tblOrdenes[[#This Row],[id_operacion]],tblEjecucion[id_operacion],tblEjecucion[costo_plan_total],0)-tblOrdenes[[#This Row],[costo_servicio]]))</f>
        <v/>
      </c>
      <c r="AK740" s="11">
        <f>IF(tblOrdenes[[#This Row],[orden]]="","",tblOrdenes[[#This Row],[costo_servicio]]+tblOrdenes[[#This Row],[costo_materiales]])</f>
        <v/>
      </c>
      <c r="AL740" s="6" t="n"/>
      <c r="AM740" s="6" t="n"/>
      <c r="AN740" s="6" t="n"/>
      <c r="AO740" s="3">
        <f>IF(tblOrdenes[[#This Row],[link_checklist]]="","",HYPERLINK(p_ruta_base_checklists&amp;tblOrdenes[[#This Row],[link_checklist]],"abrir"))</f>
        <v/>
      </c>
      <c r="AP740" s="6" t="n"/>
      <c r="AQ740" s="3">
        <f>IF(tblOrdenes[[#This Row],[orden]]="","",tblOrdenes[[#This Row],[orden]]&amp;IF(tblOrdenes[[#This Row],[operacion]]="","0010",tblOrdenes[[#This Row],[operacion]]))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2" t="n"/>
      <c r="K741" s="3" t="n"/>
      <c r="L741" s="11" t="n"/>
      <c r="M7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1" s="3">
        <f>IF(tblOrdenes[[#This Row],[fecha_inicio]]="","",YEAR(tblOrdenes[[#This Row],[fecha_inicio]]))</f>
        <v/>
      </c>
      <c r="Q741" s="3">
        <f>IF(tblOrdenes[[#This Row],[fecha_inicio]]="","",MONTH(tblOrdenes[[#This Row],[fecha_inicio]]))</f>
        <v/>
      </c>
      <c r="R741" s="3">
        <f>IF(tblOrdenes[[#This Row],[fecha_inicio]]="","",INDEX(lista_dias,WEEKDAY(tblOrdenes[[#This Row],[fecha_inicio]],2)))</f>
        <v/>
      </c>
      <c r="S7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1" s="3">
        <f>IF(tblOrdenes[[#This Row],[tipo_ot]]="","",_xlfn.XLOOKUP(tblOrdenes[[#This Row],[tipo_ot]],tblTiposOT[codigo],tblTiposOT[clasificacion],"sin_clasificar"))</f>
        <v/>
      </c>
      <c r="U741" s="3">
        <f>IF(tblOrdenes[[#This Row],[centro_costo]]="","",_xlfn.XLOOKUP(tblOrdenes[[#This Row],[centro_costo]],tblCECO[codigo],tblCECO[linea],"(sin catálogo)"))</f>
        <v/>
      </c>
      <c r="V741" s="3">
        <f>IF(tblOrdenes[[#This Row],[centro_costo]]="","",_xlfn.XLOOKUP(tblOrdenes[[#This Row],[centro_costo]],tblCECO[codigo],tblCECO[area],"(sin catálogo)"))</f>
        <v/>
      </c>
      <c r="W7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1" s="3">
        <f>IF(tblOrdenes[[#This Row],[centro_costo]]="","",_xlfn.XLOOKUP(tblOrdenes[[#This Row],[centro_costo]],tblCECO[codigo],tblCECO[coordinador],"(sin catálogo)"))</f>
        <v/>
      </c>
      <c r="Y741" s="3">
        <f>IF(tblOrdenes[[#This Row],[puesto_trabajo]]="","",_xlfn.XLOOKUP(tblOrdenes[[#This Row],[puesto_trabajo]],tblPuestos[codigo],tblPuestos[especialidad],"(sin catálogo)"))</f>
        <v/>
      </c>
      <c r="Z741" s="3">
        <f>IF(tblOrdenes[[#This Row],[cod_actividad]]="","",_xlfn.XLOOKUP(tblOrdenes[[#This Row],[cod_actividad]],tblActividades[codigo],tblActividades[descripcion],"(sin catálogo)"))</f>
        <v/>
      </c>
      <c r="AA741" s="13">
        <f>IF(tblOrdenes[[#This Row],[fecha_inicio]]="","",TODAY()-tblOrdenes[[#This Row],[fecha_inicio]])</f>
        <v/>
      </c>
      <c r="AB7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1" s="3">
        <f>IF(tblOrdenes[[#This Row],[backlog_habiles]]="","",IF(tblOrdenes[[#This Row],[backlog_habiles]]&lt;0,"FUTURO",IF(tblOrdenes[[#This Row],[backlog_habiles]]&gt;p_dias_backlog_max,"BACKLOG","MES CORRIENTE")))</f>
        <v/>
      </c>
      <c r="AD741" s="3">
        <f>IF(tblOrdenes[[#This Row],[backlog_habiles]]="",FALSE,AND(tblOrdenes[[#This Row],[backlog_habiles]]&gt;p_dias_backlog_min,tblOrdenes[[#This Row],[backlog_habiles]]&lt;=p_dias_backlog_max))</f>
        <v/>
      </c>
      <c r="AE741" s="6" t="n"/>
      <c r="AF7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1" s="11">
        <f>IF(tblOrdenes[[#This Row],[orden]]="","",_xlfn.XLOOKUP(tblOrdenes[[#This Row],[id_operacion]],tblEjecucion[id_operacion],tblEjecucion[precio],0))</f>
        <v/>
      </c>
      <c r="AJ741" s="11">
        <f>IF(tblOrdenes[[#This Row],[orden]]="","",MAX(0,_xlfn.XLOOKUP(tblOrdenes[[#This Row],[id_operacion]],tblEjecucion[id_operacion],tblEjecucion[costo_plan_total],0)-tblOrdenes[[#This Row],[costo_servicio]]))</f>
        <v/>
      </c>
      <c r="AK741" s="11">
        <f>IF(tblOrdenes[[#This Row],[orden]]="","",tblOrdenes[[#This Row],[costo_servicio]]+tblOrdenes[[#This Row],[costo_materiales]])</f>
        <v/>
      </c>
      <c r="AL741" s="6" t="n"/>
      <c r="AM741" s="6" t="n"/>
      <c r="AN741" s="6" t="n"/>
      <c r="AO741" s="3">
        <f>IF(tblOrdenes[[#This Row],[link_checklist]]="","",HYPERLINK(p_ruta_base_checklists&amp;tblOrdenes[[#This Row],[link_checklist]],"abrir"))</f>
        <v/>
      </c>
      <c r="AP741" s="6" t="n"/>
      <c r="AQ741" s="3">
        <f>IF(tblOrdenes[[#This Row],[orden]]="","",tblOrdenes[[#This Row],[orden]]&amp;IF(tblOrdenes[[#This Row],[operacion]]="","0010",tblOrdenes[[#This Row],[operacion]]))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2" t="n"/>
      <c r="K742" s="3" t="n"/>
      <c r="L742" s="11" t="n"/>
      <c r="M7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2" s="3">
        <f>IF(tblOrdenes[[#This Row],[fecha_inicio]]="","",YEAR(tblOrdenes[[#This Row],[fecha_inicio]]))</f>
        <v/>
      </c>
      <c r="Q742" s="3">
        <f>IF(tblOrdenes[[#This Row],[fecha_inicio]]="","",MONTH(tblOrdenes[[#This Row],[fecha_inicio]]))</f>
        <v/>
      </c>
      <c r="R742" s="3">
        <f>IF(tblOrdenes[[#This Row],[fecha_inicio]]="","",INDEX(lista_dias,WEEKDAY(tblOrdenes[[#This Row],[fecha_inicio]],2)))</f>
        <v/>
      </c>
      <c r="S7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2" s="3">
        <f>IF(tblOrdenes[[#This Row],[tipo_ot]]="","",_xlfn.XLOOKUP(tblOrdenes[[#This Row],[tipo_ot]],tblTiposOT[codigo],tblTiposOT[clasificacion],"sin_clasificar"))</f>
        <v/>
      </c>
      <c r="U742" s="3">
        <f>IF(tblOrdenes[[#This Row],[centro_costo]]="","",_xlfn.XLOOKUP(tblOrdenes[[#This Row],[centro_costo]],tblCECO[codigo],tblCECO[linea],"(sin catálogo)"))</f>
        <v/>
      </c>
      <c r="V742" s="3">
        <f>IF(tblOrdenes[[#This Row],[centro_costo]]="","",_xlfn.XLOOKUP(tblOrdenes[[#This Row],[centro_costo]],tblCECO[codigo],tblCECO[area],"(sin catálogo)"))</f>
        <v/>
      </c>
      <c r="W7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2" s="3">
        <f>IF(tblOrdenes[[#This Row],[centro_costo]]="","",_xlfn.XLOOKUP(tblOrdenes[[#This Row],[centro_costo]],tblCECO[codigo],tblCECO[coordinador],"(sin catálogo)"))</f>
        <v/>
      </c>
      <c r="Y742" s="3">
        <f>IF(tblOrdenes[[#This Row],[puesto_trabajo]]="","",_xlfn.XLOOKUP(tblOrdenes[[#This Row],[puesto_trabajo]],tblPuestos[codigo],tblPuestos[especialidad],"(sin catálogo)"))</f>
        <v/>
      </c>
      <c r="Z742" s="3">
        <f>IF(tblOrdenes[[#This Row],[cod_actividad]]="","",_xlfn.XLOOKUP(tblOrdenes[[#This Row],[cod_actividad]],tblActividades[codigo],tblActividades[descripcion],"(sin catálogo)"))</f>
        <v/>
      </c>
      <c r="AA742" s="13">
        <f>IF(tblOrdenes[[#This Row],[fecha_inicio]]="","",TODAY()-tblOrdenes[[#This Row],[fecha_inicio]])</f>
        <v/>
      </c>
      <c r="AB7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2" s="3">
        <f>IF(tblOrdenes[[#This Row],[backlog_habiles]]="","",IF(tblOrdenes[[#This Row],[backlog_habiles]]&lt;0,"FUTURO",IF(tblOrdenes[[#This Row],[backlog_habiles]]&gt;p_dias_backlog_max,"BACKLOG","MES CORRIENTE")))</f>
        <v/>
      </c>
      <c r="AD742" s="3">
        <f>IF(tblOrdenes[[#This Row],[backlog_habiles]]="",FALSE,AND(tblOrdenes[[#This Row],[backlog_habiles]]&gt;p_dias_backlog_min,tblOrdenes[[#This Row],[backlog_habiles]]&lt;=p_dias_backlog_max))</f>
        <v/>
      </c>
      <c r="AE742" s="6" t="n"/>
      <c r="AF7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2" s="11">
        <f>IF(tblOrdenes[[#This Row],[orden]]="","",_xlfn.XLOOKUP(tblOrdenes[[#This Row],[id_operacion]],tblEjecucion[id_operacion],tblEjecucion[precio],0))</f>
        <v/>
      </c>
      <c r="AJ742" s="11">
        <f>IF(tblOrdenes[[#This Row],[orden]]="","",MAX(0,_xlfn.XLOOKUP(tblOrdenes[[#This Row],[id_operacion]],tblEjecucion[id_operacion],tblEjecucion[costo_plan_total],0)-tblOrdenes[[#This Row],[costo_servicio]]))</f>
        <v/>
      </c>
      <c r="AK742" s="11">
        <f>IF(tblOrdenes[[#This Row],[orden]]="","",tblOrdenes[[#This Row],[costo_servicio]]+tblOrdenes[[#This Row],[costo_materiales]])</f>
        <v/>
      </c>
      <c r="AL742" s="6" t="n"/>
      <c r="AM742" s="6" t="n"/>
      <c r="AN742" s="6" t="n"/>
      <c r="AO742" s="3">
        <f>IF(tblOrdenes[[#This Row],[link_checklist]]="","",HYPERLINK(p_ruta_base_checklists&amp;tblOrdenes[[#This Row],[link_checklist]],"abrir"))</f>
        <v/>
      </c>
      <c r="AP742" s="6" t="n"/>
      <c r="AQ742" s="3">
        <f>IF(tblOrdenes[[#This Row],[orden]]="","",tblOrdenes[[#This Row],[orden]]&amp;IF(tblOrdenes[[#This Row],[operacion]]="","0010",tblOrdenes[[#This Row],[operacion]]))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2" t="n"/>
      <c r="K743" s="3" t="n"/>
      <c r="L743" s="11" t="n"/>
      <c r="M7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3" s="3">
        <f>IF(tblOrdenes[[#This Row],[fecha_inicio]]="","",YEAR(tblOrdenes[[#This Row],[fecha_inicio]]))</f>
        <v/>
      </c>
      <c r="Q743" s="3">
        <f>IF(tblOrdenes[[#This Row],[fecha_inicio]]="","",MONTH(tblOrdenes[[#This Row],[fecha_inicio]]))</f>
        <v/>
      </c>
      <c r="R743" s="3">
        <f>IF(tblOrdenes[[#This Row],[fecha_inicio]]="","",INDEX(lista_dias,WEEKDAY(tblOrdenes[[#This Row],[fecha_inicio]],2)))</f>
        <v/>
      </c>
      <c r="S7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3" s="3">
        <f>IF(tblOrdenes[[#This Row],[tipo_ot]]="","",_xlfn.XLOOKUP(tblOrdenes[[#This Row],[tipo_ot]],tblTiposOT[codigo],tblTiposOT[clasificacion],"sin_clasificar"))</f>
        <v/>
      </c>
      <c r="U743" s="3">
        <f>IF(tblOrdenes[[#This Row],[centro_costo]]="","",_xlfn.XLOOKUP(tblOrdenes[[#This Row],[centro_costo]],tblCECO[codigo],tblCECO[linea],"(sin catálogo)"))</f>
        <v/>
      </c>
      <c r="V743" s="3">
        <f>IF(tblOrdenes[[#This Row],[centro_costo]]="","",_xlfn.XLOOKUP(tblOrdenes[[#This Row],[centro_costo]],tblCECO[codigo],tblCECO[area],"(sin catálogo)"))</f>
        <v/>
      </c>
      <c r="W7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3" s="3">
        <f>IF(tblOrdenes[[#This Row],[centro_costo]]="","",_xlfn.XLOOKUP(tblOrdenes[[#This Row],[centro_costo]],tblCECO[codigo],tblCECO[coordinador],"(sin catálogo)"))</f>
        <v/>
      </c>
      <c r="Y743" s="3">
        <f>IF(tblOrdenes[[#This Row],[puesto_trabajo]]="","",_xlfn.XLOOKUP(tblOrdenes[[#This Row],[puesto_trabajo]],tblPuestos[codigo],tblPuestos[especialidad],"(sin catálogo)"))</f>
        <v/>
      </c>
      <c r="Z743" s="3">
        <f>IF(tblOrdenes[[#This Row],[cod_actividad]]="","",_xlfn.XLOOKUP(tblOrdenes[[#This Row],[cod_actividad]],tblActividades[codigo],tblActividades[descripcion],"(sin catálogo)"))</f>
        <v/>
      </c>
      <c r="AA743" s="13">
        <f>IF(tblOrdenes[[#This Row],[fecha_inicio]]="","",TODAY()-tblOrdenes[[#This Row],[fecha_inicio]])</f>
        <v/>
      </c>
      <c r="AB7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3" s="3">
        <f>IF(tblOrdenes[[#This Row],[backlog_habiles]]="","",IF(tblOrdenes[[#This Row],[backlog_habiles]]&lt;0,"FUTURO",IF(tblOrdenes[[#This Row],[backlog_habiles]]&gt;p_dias_backlog_max,"BACKLOG","MES CORRIENTE")))</f>
        <v/>
      </c>
      <c r="AD743" s="3">
        <f>IF(tblOrdenes[[#This Row],[backlog_habiles]]="",FALSE,AND(tblOrdenes[[#This Row],[backlog_habiles]]&gt;p_dias_backlog_min,tblOrdenes[[#This Row],[backlog_habiles]]&lt;=p_dias_backlog_max))</f>
        <v/>
      </c>
      <c r="AE743" s="6" t="n"/>
      <c r="AF7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3" s="11">
        <f>IF(tblOrdenes[[#This Row],[orden]]="","",_xlfn.XLOOKUP(tblOrdenes[[#This Row],[id_operacion]],tblEjecucion[id_operacion],tblEjecucion[precio],0))</f>
        <v/>
      </c>
      <c r="AJ743" s="11">
        <f>IF(tblOrdenes[[#This Row],[orden]]="","",MAX(0,_xlfn.XLOOKUP(tblOrdenes[[#This Row],[id_operacion]],tblEjecucion[id_operacion],tblEjecucion[costo_plan_total],0)-tblOrdenes[[#This Row],[costo_servicio]]))</f>
        <v/>
      </c>
      <c r="AK743" s="11">
        <f>IF(tblOrdenes[[#This Row],[orden]]="","",tblOrdenes[[#This Row],[costo_servicio]]+tblOrdenes[[#This Row],[costo_materiales]])</f>
        <v/>
      </c>
      <c r="AL743" s="6" t="n"/>
      <c r="AM743" s="6" t="n"/>
      <c r="AN743" s="6" t="n"/>
      <c r="AO743" s="3">
        <f>IF(tblOrdenes[[#This Row],[link_checklist]]="","",HYPERLINK(p_ruta_base_checklists&amp;tblOrdenes[[#This Row],[link_checklist]],"abrir"))</f>
        <v/>
      </c>
      <c r="AP743" s="6" t="n"/>
      <c r="AQ743" s="3">
        <f>IF(tblOrdenes[[#This Row],[orden]]="","",tblOrdenes[[#This Row],[orden]]&amp;IF(tblOrdenes[[#This Row],[operacion]]="","0010",tblOrdenes[[#This Row],[operacion]]))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2" t="n"/>
      <c r="K744" s="3" t="n"/>
      <c r="L744" s="11" t="n"/>
      <c r="M7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4" s="3">
        <f>IF(tblOrdenes[[#This Row],[fecha_inicio]]="","",YEAR(tblOrdenes[[#This Row],[fecha_inicio]]))</f>
        <v/>
      </c>
      <c r="Q744" s="3">
        <f>IF(tblOrdenes[[#This Row],[fecha_inicio]]="","",MONTH(tblOrdenes[[#This Row],[fecha_inicio]]))</f>
        <v/>
      </c>
      <c r="R744" s="3">
        <f>IF(tblOrdenes[[#This Row],[fecha_inicio]]="","",INDEX(lista_dias,WEEKDAY(tblOrdenes[[#This Row],[fecha_inicio]],2)))</f>
        <v/>
      </c>
      <c r="S7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4" s="3">
        <f>IF(tblOrdenes[[#This Row],[tipo_ot]]="","",_xlfn.XLOOKUP(tblOrdenes[[#This Row],[tipo_ot]],tblTiposOT[codigo],tblTiposOT[clasificacion],"sin_clasificar"))</f>
        <v/>
      </c>
      <c r="U744" s="3">
        <f>IF(tblOrdenes[[#This Row],[centro_costo]]="","",_xlfn.XLOOKUP(tblOrdenes[[#This Row],[centro_costo]],tblCECO[codigo],tblCECO[linea],"(sin catálogo)"))</f>
        <v/>
      </c>
      <c r="V744" s="3">
        <f>IF(tblOrdenes[[#This Row],[centro_costo]]="","",_xlfn.XLOOKUP(tblOrdenes[[#This Row],[centro_costo]],tblCECO[codigo],tblCECO[area],"(sin catálogo)"))</f>
        <v/>
      </c>
      <c r="W7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4" s="3">
        <f>IF(tblOrdenes[[#This Row],[centro_costo]]="","",_xlfn.XLOOKUP(tblOrdenes[[#This Row],[centro_costo]],tblCECO[codigo],tblCECO[coordinador],"(sin catálogo)"))</f>
        <v/>
      </c>
      <c r="Y744" s="3">
        <f>IF(tblOrdenes[[#This Row],[puesto_trabajo]]="","",_xlfn.XLOOKUP(tblOrdenes[[#This Row],[puesto_trabajo]],tblPuestos[codigo],tblPuestos[especialidad],"(sin catálogo)"))</f>
        <v/>
      </c>
      <c r="Z744" s="3">
        <f>IF(tblOrdenes[[#This Row],[cod_actividad]]="","",_xlfn.XLOOKUP(tblOrdenes[[#This Row],[cod_actividad]],tblActividades[codigo],tblActividades[descripcion],"(sin catálogo)"))</f>
        <v/>
      </c>
      <c r="AA744" s="13">
        <f>IF(tblOrdenes[[#This Row],[fecha_inicio]]="","",TODAY()-tblOrdenes[[#This Row],[fecha_inicio]])</f>
        <v/>
      </c>
      <c r="AB7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4" s="3">
        <f>IF(tblOrdenes[[#This Row],[backlog_habiles]]="","",IF(tblOrdenes[[#This Row],[backlog_habiles]]&lt;0,"FUTURO",IF(tblOrdenes[[#This Row],[backlog_habiles]]&gt;p_dias_backlog_max,"BACKLOG","MES CORRIENTE")))</f>
        <v/>
      </c>
      <c r="AD744" s="3">
        <f>IF(tblOrdenes[[#This Row],[backlog_habiles]]="",FALSE,AND(tblOrdenes[[#This Row],[backlog_habiles]]&gt;p_dias_backlog_min,tblOrdenes[[#This Row],[backlog_habiles]]&lt;=p_dias_backlog_max))</f>
        <v/>
      </c>
      <c r="AE744" s="6" t="n"/>
      <c r="AF7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4" s="11">
        <f>IF(tblOrdenes[[#This Row],[orden]]="","",_xlfn.XLOOKUP(tblOrdenes[[#This Row],[id_operacion]],tblEjecucion[id_operacion],tblEjecucion[precio],0))</f>
        <v/>
      </c>
      <c r="AJ744" s="11">
        <f>IF(tblOrdenes[[#This Row],[orden]]="","",MAX(0,_xlfn.XLOOKUP(tblOrdenes[[#This Row],[id_operacion]],tblEjecucion[id_operacion],tblEjecucion[costo_plan_total],0)-tblOrdenes[[#This Row],[costo_servicio]]))</f>
        <v/>
      </c>
      <c r="AK744" s="11">
        <f>IF(tblOrdenes[[#This Row],[orden]]="","",tblOrdenes[[#This Row],[costo_servicio]]+tblOrdenes[[#This Row],[costo_materiales]])</f>
        <v/>
      </c>
      <c r="AL744" s="6" t="n"/>
      <c r="AM744" s="6" t="n"/>
      <c r="AN744" s="6" t="n"/>
      <c r="AO744" s="3">
        <f>IF(tblOrdenes[[#This Row],[link_checklist]]="","",HYPERLINK(p_ruta_base_checklists&amp;tblOrdenes[[#This Row],[link_checklist]],"abrir"))</f>
        <v/>
      </c>
      <c r="AP744" s="6" t="n"/>
      <c r="AQ744" s="3">
        <f>IF(tblOrdenes[[#This Row],[orden]]="","",tblOrdenes[[#This Row],[orden]]&amp;IF(tblOrdenes[[#This Row],[operacion]]="","0010",tblOrdenes[[#This Row],[operacion]]))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2" t="n"/>
      <c r="K745" s="3" t="n"/>
      <c r="L745" s="11" t="n"/>
      <c r="M7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5" s="3">
        <f>IF(tblOrdenes[[#This Row],[fecha_inicio]]="","",YEAR(tblOrdenes[[#This Row],[fecha_inicio]]))</f>
        <v/>
      </c>
      <c r="Q745" s="3">
        <f>IF(tblOrdenes[[#This Row],[fecha_inicio]]="","",MONTH(tblOrdenes[[#This Row],[fecha_inicio]]))</f>
        <v/>
      </c>
      <c r="R745" s="3">
        <f>IF(tblOrdenes[[#This Row],[fecha_inicio]]="","",INDEX(lista_dias,WEEKDAY(tblOrdenes[[#This Row],[fecha_inicio]],2)))</f>
        <v/>
      </c>
      <c r="S7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5" s="3">
        <f>IF(tblOrdenes[[#This Row],[tipo_ot]]="","",_xlfn.XLOOKUP(tblOrdenes[[#This Row],[tipo_ot]],tblTiposOT[codigo],tblTiposOT[clasificacion],"sin_clasificar"))</f>
        <v/>
      </c>
      <c r="U745" s="3">
        <f>IF(tblOrdenes[[#This Row],[centro_costo]]="","",_xlfn.XLOOKUP(tblOrdenes[[#This Row],[centro_costo]],tblCECO[codigo],tblCECO[linea],"(sin catálogo)"))</f>
        <v/>
      </c>
      <c r="V745" s="3">
        <f>IF(tblOrdenes[[#This Row],[centro_costo]]="","",_xlfn.XLOOKUP(tblOrdenes[[#This Row],[centro_costo]],tblCECO[codigo],tblCECO[area],"(sin catálogo)"))</f>
        <v/>
      </c>
      <c r="W7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5" s="3">
        <f>IF(tblOrdenes[[#This Row],[centro_costo]]="","",_xlfn.XLOOKUP(tblOrdenes[[#This Row],[centro_costo]],tblCECO[codigo],tblCECO[coordinador],"(sin catálogo)"))</f>
        <v/>
      </c>
      <c r="Y745" s="3">
        <f>IF(tblOrdenes[[#This Row],[puesto_trabajo]]="","",_xlfn.XLOOKUP(tblOrdenes[[#This Row],[puesto_trabajo]],tblPuestos[codigo],tblPuestos[especialidad],"(sin catálogo)"))</f>
        <v/>
      </c>
      <c r="Z745" s="3">
        <f>IF(tblOrdenes[[#This Row],[cod_actividad]]="","",_xlfn.XLOOKUP(tblOrdenes[[#This Row],[cod_actividad]],tblActividades[codigo],tblActividades[descripcion],"(sin catálogo)"))</f>
        <v/>
      </c>
      <c r="AA745" s="13">
        <f>IF(tblOrdenes[[#This Row],[fecha_inicio]]="","",TODAY()-tblOrdenes[[#This Row],[fecha_inicio]])</f>
        <v/>
      </c>
      <c r="AB7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5" s="3">
        <f>IF(tblOrdenes[[#This Row],[backlog_habiles]]="","",IF(tblOrdenes[[#This Row],[backlog_habiles]]&lt;0,"FUTURO",IF(tblOrdenes[[#This Row],[backlog_habiles]]&gt;p_dias_backlog_max,"BACKLOG","MES CORRIENTE")))</f>
        <v/>
      </c>
      <c r="AD745" s="3">
        <f>IF(tblOrdenes[[#This Row],[backlog_habiles]]="",FALSE,AND(tblOrdenes[[#This Row],[backlog_habiles]]&gt;p_dias_backlog_min,tblOrdenes[[#This Row],[backlog_habiles]]&lt;=p_dias_backlog_max))</f>
        <v/>
      </c>
      <c r="AE745" s="6" t="n"/>
      <c r="AF7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5" s="11">
        <f>IF(tblOrdenes[[#This Row],[orden]]="","",_xlfn.XLOOKUP(tblOrdenes[[#This Row],[id_operacion]],tblEjecucion[id_operacion],tblEjecucion[precio],0))</f>
        <v/>
      </c>
      <c r="AJ745" s="11">
        <f>IF(tblOrdenes[[#This Row],[orden]]="","",MAX(0,_xlfn.XLOOKUP(tblOrdenes[[#This Row],[id_operacion]],tblEjecucion[id_operacion],tblEjecucion[costo_plan_total],0)-tblOrdenes[[#This Row],[costo_servicio]]))</f>
        <v/>
      </c>
      <c r="AK745" s="11">
        <f>IF(tblOrdenes[[#This Row],[orden]]="","",tblOrdenes[[#This Row],[costo_servicio]]+tblOrdenes[[#This Row],[costo_materiales]])</f>
        <v/>
      </c>
      <c r="AL745" s="6" t="n"/>
      <c r="AM745" s="6" t="n"/>
      <c r="AN745" s="6" t="n"/>
      <c r="AO745" s="3">
        <f>IF(tblOrdenes[[#This Row],[link_checklist]]="","",HYPERLINK(p_ruta_base_checklists&amp;tblOrdenes[[#This Row],[link_checklist]],"abrir"))</f>
        <v/>
      </c>
      <c r="AP745" s="6" t="n"/>
      <c r="AQ745" s="3">
        <f>IF(tblOrdenes[[#This Row],[orden]]="","",tblOrdenes[[#This Row],[orden]]&amp;IF(tblOrdenes[[#This Row],[operacion]]="","0010",tblOrdenes[[#This Row],[operacion]]))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2" t="n"/>
      <c r="K746" s="3" t="n"/>
      <c r="L746" s="11" t="n"/>
      <c r="M7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6" s="3">
        <f>IF(tblOrdenes[[#This Row],[fecha_inicio]]="","",YEAR(tblOrdenes[[#This Row],[fecha_inicio]]))</f>
        <v/>
      </c>
      <c r="Q746" s="3">
        <f>IF(tblOrdenes[[#This Row],[fecha_inicio]]="","",MONTH(tblOrdenes[[#This Row],[fecha_inicio]]))</f>
        <v/>
      </c>
      <c r="R746" s="3">
        <f>IF(tblOrdenes[[#This Row],[fecha_inicio]]="","",INDEX(lista_dias,WEEKDAY(tblOrdenes[[#This Row],[fecha_inicio]],2)))</f>
        <v/>
      </c>
      <c r="S7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6" s="3">
        <f>IF(tblOrdenes[[#This Row],[tipo_ot]]="","",_xlfn.XLOOKUP(tblOrdenes[[#This Row],[tipo_ot]],tblTiposOT[codigo],tblTiposOT[clasificacion],"sin_clasificar"))</f>
        <v/>
      </c>
      <c r="U746" s="3">
        <f>IF(tblOrdenes[[#This Row],[centro_costo]]="","",_xlfn.XLOOKUP(tblOrdenes[[#This Row],[centro_costo]],tblCECO[codigo],tblCECO[linea],"(sin catálogo)"))</f>
        <v/>
      </c>
      <c r="V746" s="3">
        <f>IF(tblOrdenes[[#This Row],[centro_costo]]="","",_xlfn.XLOOKUP(tblOrdenes[[#This Row],[centro_costo]],tblCECO[codigo],tblCECO[area],"(sin catálogo)"))</f>
        <v/>
      </c>
      <c r="W7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6" s="3">
        <f>IF(tblOrdenes[[#This Row],[centro_costo]]="","",_xlfn.XLOOKUP(tblOrdenes[[#This Row],[centro_costo]],tblCECO[codigo],tblCECO[coordinador],"(sin catálogo)"))</f>
        <v/>
      </c>
      <c r="Y746" s="3">
        <f>IF(tblOrdenes[[#This Row],[puesto_trabajo]]="","",_xlfn.XLOOKUP(tblOrdenes[[#This Row],[puesto_trabajo]],tblPuestos[codigo],tblPuestos[especialidad],"(sin catálogo)"))</f>
        <v/>
      </c>
      <c r="Z746" s="3">
        <f>IF(tblOrdenes[[#This Row],[cod_actividad]]="","",_xlfn.XLOOKUP(tblOrdenes[[#This Row],[cod_actividad]],tblActividades[codigo],tblActividades[descripcion],"(sin catálogo)"))</f>
        <v/>
      </c>
      <c r="AA746" s="13">
        <f>IF(tblOrdenes[[#This Row],[fecha_inicio]]="","",TODAY()-tblOrdenes[[#This Row],[fecha_inicio]])</f>
        <v/>
      </c>
      <c r="AB7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6" s="3">
        <f>IF(tblOrdenes[[#This Row],[backlog_habiles]]="","",IF(tblOrdenes[[#This Row],[backlog_habiles]]&lt;0,"FUTURO",IF(tblOrdenes[[#This Row],[backlog_habiles]]&gt;p_dias_backlog_max,"BACKLOG","MES CORRIENTE")))</f>
        <v/>
      </c>
      <c r="AD746" s="3">
        <f>IF(tblOrdenes[[#This Row],[backlog_habiles]]="",FALSE,AND(tblOrdenes[[#This Row],[backlog_habiles]]&gt;p_dias_backlog_min,tblOrdenes[[#This Row],[backlog_habiles]]&lt;=p_dias_backlog_max))</f>
        <v/>
      </c>
      <c r="AE746" s="6" t="n"/>
      <c r="AF7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6" s="11">
        <f>IF(tblOrdenes[[#This Row],[orden]]="","",_xlfn.XLOOKUP(tblOrdenes[[#This Row],[id_operacion]],tblEjecucion[id_operacion],tblEjecucion[precio],0))</f>
        <v/>
      </c>
      <c r="AJ746" s="11">
        <f>IF(tblOrdenes[[#This Row],[orden]]="","",MAX(0,_xlfn.XLOOKUP(tblOrdenes[[#This Row],[id_operacion]],tblEjecucion[id_operacion],tblEjecucion[costo_plan_total],0)-tblOrdenes[[#This Row],[costo_servicio]]))</f>
        <v/>
      </c>
      <c r="AK746" s="11">
        <f>IF(tblOrdenes[[#This Row],[orden]]="","",tblOrdenes[[#This Row],[costo_servicio]]+tblOrdenes[[#This Row],[costo_materiales]])</f>
        <v/>
      </c>
      <c r="AL746" s="6" t="n"/>
      <c r="AM746" s="6" t="n"/>
      <c r="AN746" s="6" t="n"/>
      <c r="AO746" s="3">
        <f>IF(tblOrdenes[[#This Row],[link_checklist]]="","",HYPERLINK(p_ruta_base_checklists&amp;tblOrdenes[[#This Row],[link_checklist]],"abrir"))</f>
        <v/>
      </c>
      <c r="AP746" s="6" t="n"/>
      <c r="AQ746" s="3">
        <f>IF(tblOrdenes[[#This Row],[orden]]="","",tblOrdenes[[#This Row],[orden]]&amp;IF(tblOrdenes[[#This Row],[operacion]]="","0010",tblOrdenes[[#This Row],[operacion]]))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2" t="n"/>
      <c r="K747" s="3" t="n"/>
      <c r="L747" s="11" t="n"/>
      <c r="M7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7" s="3">
        <f>IF(tblOrdenes[[#This Row],[fecha_inicio]]="","",YEAR(tblOrdenes[[#This Row],[fecha_inicio]]))</f>
        <v/>
      </c>
      <c r="Q747" s="3">
        <f>IF(tblOrdenes[[#This Row],[fecha_inicio]]="","",MONTH(tblOrdenes[[#This Row],[fecha_inicio]]))</f>
        <v/>
      </c>
      <c r="R747" s="3">
        <f>IF(tblOrdenes[[#This Row],[fecha_inicio]]="","",INDEX(lista_dias,WEEKDAY(tblOrdenes[[#This Row],[fecha_inicio]],2)))</f>
        <v/>
      </c>
      <c r="S7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7" s="3">
        <f>IF(tblOrdenes[[#This Row],[tipo_ot]]="","",_xlfn.XLOOKUP(tblOrdenes[[#This Row],[tipo_ot]],tblTiposOT[codigo],tblTiposOT[clasificacion],"sin_clasificar"))</f>
        <v/>
      </c>
      <c r="U747" s="3">
        <f>IF(tblOrdenes[[#This Row],[centro_costo]]="","",_xlfn.XLOOKUP(tblOrdenes[[#This Row],[centro_costo]],tblCECO[codigo],tblCECO[linea],"(sin catálogo)"))</f>
        <v/>
      </c>
      <c r="V747" s="3">
        <f>IF(tblOrdenes[[#This Row],[centro_costo]]="","",_xlfn.XLOOKUP(tblOrdenes[[#This Row],[centro_costo]],tblCECO[codigo],tblCECO[area],"(sin catálogo)"))</f>
        <v/>
      </c>
      <c r="W7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7" s="3">
        <f>IF(tblOrdenes[[#This Row],[centro_costo]]="","",_xlfn.XLOOKUP(tblOrdenes[[#This Row],[centro_costo]],tblCECO[codigo],tblCECO[coordinador],"(sin catálogo)"))</f>
        <v/>
      </c>
      <c r="Y747" s="3">
        <f>IF(tblOrdenes[[#This Row],[puesto_trabajo]]="","",_xlfn.XLOOKUP(tblOrdenes[[#This Row],[puesto_trabajo]],tblPuestos[codigo],tblPuestos[especialidad],"(sin catálogo)"))</f>
        <v/>
      </c>
      <c r="Z747" s="3">
        <f>IF(tblOrdenes[[#This Row],[cod_actividad]]="","",_xlfn.XLOOKUP(tblOrdenes[[#This Row],[cod_actividad]],tblActividades[codigo],tblActividades[descripcion],"(sin catálogo)"))</f>
        <v/>
      </c>
      <c r="AA747" s="13">
        <f>IF(tblOrdenes[[#This Row],[fecha_inicio]]="","",TODAY()-tblOrdenes[[#This Row],[fecha_inicio]])</f>
        <v/>
      </c>
      <c r="AB7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7" s="3">
        <f>IF(tblOrdenes[[#This Row],[backlog_habiles]]="","",IF(tblOrdenes[[#This Row],[backlog_habiles]]&lt;0,"FUTURO",IF(tblOrdenes[[#This Row],[backlog_habiles]]&gt;p_dias_backlog_max,"BACKLOG","MES CORRIENTE")))</f>
        <v/>
      </c>
      <c r="AD747" s="3">
        <f>IF(tblOrdenes[[#This Row],[backlog_habiles]]="",FALSE,AND(tblOrdenes[[#This Row],[backlog_habiles]]&gt;p_dias_backlog_min,tblOrdenes[[#This Row],[backlog_habiles]]&lt;=p_dias_backlog_max))</f>
        <v/>
      </c>
      <c r="AE747" s="6" t="n"/>
      <c r="AF7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7" s="11">
        <f>IF(tblOrdenes[[#This Row],[orden]]="","",_xlfn.XLOOKUP(tblOrdenes[[#This Row],[id_operacion]],tblEjecucion[id_operacion],tblEjecucion[precio],0))</f>
        <v/>
      </c>
      <c r="AJ747" s="11">
        <f>IF(tblOrdenes[[#This Row],[orden]]="","",MAX(0,_xlfn.XLOOKUP(tblOrdenes[[#This Row],[id_operacion]],tblEjecucion[id_operacion],tblEjecucion[costo_plan_total],0)-tblOrdenes[[#This Row],[costo_servicio]]))</f>
        <v/>
      </c>
      <c r="AK747" s="11">
        <f>IF(tblOrdenes[[#This Row],[orden]]="","",tblOrdenes[[#This Row],[costo_servicio]]+tblOrdenes[[#This Row],[costo_materiales]])</f>
        <v/>
      </c>
      <c r="AL747" s="6" t="n"/>
      <c r="AM747" s="6" t="n"/>
      <c r="AN747" s="6" t="n"/>
      <c r="AO747" s="3">
        <f>IF(tblOrdenes[[#This Row],[link_checklist]]="","",HYPERLINK(p_ruta_base_checklists&amp;tblOrdenes[[#This Row],[link_checklist]],"abrir"))</f>
        <v/>
      </c>
      <c r="AP747" s="6" t="n"/>
      <c r="AQ747" s="3">
        <f>IF(tblOrdenes[[#This Row],[orden]]="","",tblOrdenes[[#This Row],[orden]]&amp;IF(tblOrdenes[[#This Row],[operacion]]="","0010",tblOrdenes[[#This Row],[operacion]]))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2" t="n"/>
      <c r="K748" s="3" t="n"/>
      <c r="L748" s="11" t="n"/>
      <c r="M7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8" s="3">
        <f>IF(tblOrdenes[[#This Row],[fecha_inicio]]="","",YEAR(tblOrdenes[[#This Row],[fecha_inicio]]))</f>
        <v/>
      </c>
      <c r="Q748" s="3">
        <f>IF(tblOrdenes[[#This Row],[fecha_inicio]]="","",MONTH(tblOrdenes[[#This Row],[fecha_inicio]]))</f>
        <v/>
      </c>
      <c r="R748" s="3">
        <f>IF(tblOrdenes[[#This Row],[fecha_inicio]]="","",INDEX(lista_dias,WEEKDAY(tblOrdenes[[#This Row],[fecha_inicio]],2)))</f>
        <v/>
      </c>
      <c r="S7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8" s="3">
        <f>IF(tblOrdenes[[#This Row],[tipo_ot]]="","",_xlfn.XLOOKUP(tblOrdenes[[#This Row],[tipo_ot]],tblTiposOT[codigo],tblTiposOT[clasificacion],"sin_clasificar"))</f>
        <v/>
      </c>
      <c r="U748" s="3">
        <f>IF(tblOrdenes[[#This Row],[centro_costo]]="","",_xlfn.XLOOKUP(tblOrdenes[[#This Row],[centro_costo]],tblCECO[codigo],tblCECO[linea],"(sin catálogo)"))</f>
        <v/>
      </c>
      <c r="V748" s="3">
        <f>IF(tblOrdenes[[#This Row],[centro_costo]]="","",_xlfn.XLOOKUP(tblOrdenes[[#This Row],[centro_costo]],tblCECO[codigo],tblCECO[area],"(sin catálogo)"))</f>
        <v/>
      </c>
      <c r="W7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8" s="3">
        <f>IF(tblOrdenes[[#This Row],[centro_costo]]="","",_xlfn.XLOOKUP(tblOrdenes[[#This Row],[centro_costo]],tblCECO[codigo],tblCECO[coordinador],"(sin catálogo)"))</f>
        <v/>
      </c>
      <c r="Y748" s="3">
        <f>IF(tblOrdenes[[#This Row],[puesto_trabajo]]="","",_xlfn.XLOOKUP(tblOrdenes[[#This Row],[puesto_trabajo]],tblPuestos[codigo],tblPuestos[especialidad],"(sin catálogo)"))</f>
        <v/>
      </c>
      <c r="Z748" s="3">
        <f>IF(tblOrdenes[[#This Row],[cod_actividad]]="","",_xlfn.XLOOKUP(tblOrdenes[[#This Row],[cod_actividad]],tblActividades[codigo],tblActividades[descripcion],"(sin catálogo)"))</f>
        <v/>
      </c>
      <c r="AA748" s="13">
        <f>IF(tblOrdenes[[#This Row],[fecha_inicio]]="","",TODAY()-tblOrdenes[[#This Row],[fecha_inicio]])</f>
        <v/>
      </c>
      <c r="AB7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8" s="3">
        <f>IF(tblOrdenes[[#This Row],[backlog_habiles]]="","",IF(tblOrdenes[[#This Row],[backlog_habiles]]&lt;0,"FUTURO",IF(tblOrdenes[[#This Row],[backlog_habiles]]&gt;p_dias_backlog_max,"BACKLOG","MES CORRIENTE")))</f>
        <v/>
      </c>
      <c r="AD748" s="3">
        <f>IF(tblOrdenes[[#This Row],[backlog_habiles]]="",FALSE,AND(tblOrdenes[[#This Row],[backlog_habiles]]&gt;p_dias_backlog_min,tblOrdenes[[#This Row],[backlog_habiles]]&lt;=p_dias_backlog_max))</f>
        <v/>
      </c>
      <c r="AE748" s="6" t="n"/>
      <c r="AF7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8" s="11">
        <f>IF(tblOrdenes[[#This Row],[orden]]="","",_xlfn.XLOOKUP(tblOrdenes[[#This Row],[id_operacion]],tblEjecucion[id_operacion],tblEjecucion[precio],0))</f>
        <v/>
      </c>
      <c r="AJ748" s="11">
        <f>IF(tblOrdenes[[#This Row],[orden]]="","",MAX(0,_xlfn.XLOOKUP(tblOrdenes[[#This Row],[id_operacion]],tblEjecucion[id_operacion],tblEjecucion[costo_plan_total],0)-tblOrdenes[[#This Row],[costo_servicio]]))</f>
        <v/>
      </c>
      <c r="AK748" s="11">
        <f>IF(tblOrdenes[[#This Row],[orden]]="","",tblOrdenes[[#This Row],[costo_servicio]]+tblOrdenes[[#This Row],[costo_materiales]])</f>
        <v/>
      </c>
      <c r="AL748" s="6" t="n"/>
      <c r="AM748" s="6" t="n"/>
      <c r="AN748" s="6" t="n"/>
      <c r="AO748" s="3">
        <f>IF(tblOrdenes[[#This Row],[link_checklist]]="","",HYPERLINK(p_ruta_base_checklists&amp;tblOrdenes[[#This Row],[link_checklist]],"abrir"))</f>
        <v/>
      </c>
      <c r="AP748" s="6" t="n"/>
      <c r="AQ748" s="3">
        <f>IF(tblOrdenes[[#This Row],[orden]]="","",tblOrdenes[[#This Row],[orden]]&amp;IF(tblOrdenes[[#This Row],[operacion]]="","0010",tblOrdenes[[#This Row],[operacion]]))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2" t="n"/>
      <c r="K749" s="3" t="n"/>
      <c r="L749" s="11" t="n"/>
      <c r="M7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9" s="3">
        <f>IF(tblOrdenes[[#This Row],[fecha_inicio]]="","",YEAR(tblOrdenes[[#This Row],[fecha_inicio]]))</f>
        <v/>
      </c>
      <c r="Q749" s="3">
        <f>IF(tblOrdenes[[#This Row],[fecha_inicio]]="","",MONTH(tblOrdenes[[#This Row],[fecha_inicio]]))</f>
        <v/>
      </c>
      <c r="R749" s="3">
        <f>IF(tblOrdenes[[#This Row],[fecha_inicio]]="","",INDEX(lista_dias,WEEKDAY(tblOrdenes[[#This Row],[fecha_inicio]],2)))</f>
        <v/>
      </c>
      <c r="S7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9" s="3">
        <f>IF(tblOrdenes[[#This Row],[tipo_ot]]="","",_xlfn.XLOOKUP(tblOrdenes[[#This Row],[tipo_ot]],tblTiposOT[codigo],tblTiposOT[clasificacion],"sin_clasificar"))</f>
        <v/>
      </c>
      <c r="U749" s="3">
        <f>IF(tblOrdenes[[#This Row],[centro_costo]]="","",_xlfn.XLOOKUP(tblOrdenes[[#This Row],[centro_costo]],tblCECO[codigo],tblCECO[linea],"(sin catálogo)"))</f>
        <v/>
      </c>
      <c r="V749" s="3">
        <f>IF(tblOrdenes[[#This Row],[centro_costo]]="","",_xlfn.XLOOKUP(tblOrdenes[[#This Row],[centro_costo]],tblCECO[codigo],tblCECO[area],"(sin catálogo)"))</f>
        <v/>
      </c>
      <c r="W7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9" s="3">
        <f>IF(tblOrdenes[[#This Row],[centro_costo]]="","",_xlfn.XLOOKUP(tblOrdenes[[#This Row],[centro_costo]],tblCECO[codigo],tblCECO[coordinador],"(sin catálogo)"))</f>
        <v/>
      </c>
      <c r="Y749" s="3">
        <f>IF(tblOrdenes[[#This Row],[puesto_trabajo]]="","",_xlfn.XLOOKUP(tblOrdenes[[#This Row],[puesto_trabajo]],tblPuestos[codigo],tblPuestos[especialidad],"(sin catálogo)"))</f>
        <v/>
      </c>
      <c r="Z749" s="3">
        <f>IF(tblOrdenes[[#This Row],[cod_actividad]]="","",_xlfn.XLOOKUP(tblOrdenes[[#This Row],[cod_actividad]],tblActividades[codigo],tblActividades[descripcion],"(sin catálogo)"))</f>
        <v/>
      </c>
      <c r="AA749" s="13">
        <f>IF(tblOrdenes[[#This Row],[fecha_inicio]]="","",TODAY()-tblOrdenes[[#This Row],[fecha_inicio]])</f>
        <v/>
      </c>
      <c r="AB7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9" s="3">
        <f>IF(tblOrdenes[[#This Row],[backlog_habiles]]="","",IF(tblOrdenes[[#This Row],[backlog_habiles]]&lt;0,"FUTURO",IF(tblOrdenes[[#This Row],[backlog_habiles]]&gt;p_dias_backlog_max,"BACKLOG","MES CORRIENTE")))</f>
        <v/>
      </c>
      <c r="AD749" s="3">
        <f>IF(tblOrdenes[[#This Row],[backlog_habiles]]="",FALSE,AND(tblOrdenes[[#This Row],[backlog_habiles]]&gt;p_dias_backlog_min,tblOrdenes[[#This Row],[backlog_habiles]]&lt;=p_dias_backlog_max))</f>
        <v/>
      </c>
      <c r="AE749" s="6" t="n"/>
      <c r="AF7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9" s="11">
        <f>IF(tblOrdenes[[#This Row],[orden]]="","",_xlfn.XLOOKUP(tblOrdenes[[#This Row],[id_operacion]],tblEjecucion[id_operacion],tblEjecucion[precio],0))</f>
        <v/>
      </c>
      <c r="AJ749" s="11">
        <f>IF(tblOrdenes[[#This Row],[orden]]="","",MAX(0,_xlfn.XLOOKUP(tblOrdenes[[#This Row],[id_operacion]],tblEjecucion[id_operacion],tblEjecucion[costo_plan_total],0)-tblOrdenes[[#This Row],[costo_servicio]]))</f>
        <v/>
      </c>
      <c r="AK749" s="11">
        <f>IF(tblOrdenes[[#This Row],[orden]]="","",tblOrdenes[[#This Row],[costo_servicio]]+tblOrdenes[[#This Row],[costo_materiales]])</f>
        <v/>
      </c>
      <c r="AL749" s="6" t="n"/>
      <c r="AM749" s="6" t="n"/>
      <c r="AN749" s="6" t="n"/>
      <c r="AO749" s="3">
        <f>IF(tblOrdenes[[#This Row],[link_checklist]]="","",HYPERLINK(p_ruta_base_checklists&amp;tblOrdenes[[#This Row],[link_checklist]],"abrir"))</f>
        <v/>
      </c>
      <c r="AP749" s="6" t="n"/>
      <c r="AQ749" s="3">
        <f>IF(tblOrdenes[[#This Row],[orden]]="","",tblOrdenes[[#This Row],[orden]]&amp;IF(tblOrdenes[[#This Row],[operacion]]="","0010",tblOrdenes[[#This Row],[operacion]]))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2" t="n"/>
      <c r="K750" s="3" t="n"/>
      <c r="L750" s="11" t="n"/>
      <c r="M7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0" s="3">
        <f>IF(tblOrdenes[[#This Row],[fecha_inicio]]="","",YEAR(tblOrdenes[[#This Row],[fecha_inicio]]))</f>
        <v/>
      </c>
      <c r="Q750" s="3">
        <f>IF(tblOrdenes[[#This Row],[fecha_inicio]]="","",MONTH(tblOrdenes[[#This Row],[fecha_inicio]]))</f>
        <v/>
      </c>
      <c r="R750" s="3">
        <f>IF(tblOrdenes[[#This Row],[fecha_inicio]]="","",INDEX(lista_dias,WEEKDAY(tblOrdenes[[#This Row],[fecha_inicio]],2)))</f>
        <v/>
      </c>
      <c r="S7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0" s="3">
        <f>IF(tblOrdenes[[#This Row],[tipo_ot]]="","",_xlfn.XLOOKUP(tblOrdenes[[#This Row],[tipo_ot]],tblTiposOT[codigo],tblTiposOT[clasificacion],"sin_clasificar"))</f>
        <v/>
      </c>
      <c r="U750" s="3">
        <f>IF(tblOrdenes[[#This Row],[centro_costo]]="","",_xlfn.XLOOKUP(tblOrdenes[[#This Row],[centro_costo]],tblCECO[codigo],tblCECO[linea],"(sin catálogo)"))</f>
        <v/>
      </c>
      <c r="V750" s="3">
        <f>IF(tblOrdenes[[#This Row],[centro_costo]]="","",_xlfn.XLOOKUP(tblOrdenes[[#This Row],[centro_costo]],tblCECO[codigo],tblCECO[area],"(sin catálogo)"))</f>
        <v/>
      </c>
      <c r="W7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0" s="3">
        <f>IF(tblOrdenes[[#This Row],[centro_costo]]="","",_xlfn.XLOOKUP(tblOrdenes[[#This Row],[centro_costo]],tblCECO[codigo],tblCECO[coordinador],"(sin catálogo)"))</f>
        <v/>
      </c>
      <c r="Y750" s="3">
        <f>IF(tblOrdenes[[#This Row],[puesto_trabajo]]="","",_xlfn.XLOOKUP(tblOrdenes[[#This Row],[puesto_trabajo]],tblPuestos[codigo],tblPuestos[especialidad],"(sin catálogo)"))</f>
        <v/>
      </c>
      <c r="Z750" s="3">
        <f>IF(tblOrdenes[[#This Row],[cod_actividad]]="","",_xlfn.XLOOKUP(tblOrdenes[[#This Row],[cod_actividad]],tblActividades[codigo],tblActividades[descripcion],"(sin catálogo)"))</f>
        <v/>
      </c>
      <c r="AA750" s="13">
        <f>IF(tblOrdenes[[#This Row],[fecha_inicio]]="","",TODAY()-tblOrdenes[[#This Row],[fecha_inicio]])</f>
        <v/>
      </c>
      <c r="AB7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0" s="3">
        <f>IF(tblOrdenes[[#This Row],[backlog_habiles]]="","",IF(tblOrdenes[[#This Row],[backlog_habiles]]&lt;0,"FUTURO",IF(tblOrdenes[[#This Row],[backlog_habiles]]&gt;p_dias_backlog_max,"BACKLOG","MES CORRIENTE")))</f>
        <v/>
      </c>
      <c r="AD750" s="3">
        <f>IF(tblOrdenes[[#This Row],[backlog_habiles]]="",FALSE,AND(tblOrdenes[[#This Row],[backlog_habiles]]&gt;p_dias_backlog_min,tblOrdenes[[#This Row],[backlog_habiles]]&lt;=p_dias_backlog_max))</f>
        <v/>
      </c>
      <c r="AE750" s="6" t="n"/>
      <c r="AF7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0" s="11">
        <f>IF(tblOrdenes[[#This Row],[orden]]="","",_xlfn.XLOOKUP(tblOrdenes[[#This Row],[id_operacion]],tblEjecucion[id_operacion],tblEjecucion[precio],0))</f>
        <v/>
      </c>
      <c r="AJ750" s="11">
        <f>IF(tblOrdenes[[#This Row],[orden]]="","",MAX(0,_xlfn.XLOOKUP(tblOrdenes[[#This Row],[id_operacion]],tblEjecucion[id_operacion],tblEjecucion[costo_plan_total],0)-tblOrdenes[[#This Row],[costo_servicio]]))</f>
        <v/>
      </c>
      <c r="AK750" s="11">
        <f>IF(tblOrdenes[[#This Row],[orden]]="","",tblOrdenes[[#This Row],[costo_servicio]]+tblOrdenes[[#This Row],[costo_materiales]])</f>
        <v/>
      </c>
      <c r="AL750" s="6" t="n"/>
      <c r="AM750" s="6" t="n"/>
      <c r="AN750" s="6" t="n"/>
      <c r="AO750" s="3">
        <f>IF(tblOrdenes[[#This Row],[link_checklist]]="","",HYPERLINK(p_ruta_base_checklists&amp;tblOrdenes[[#This Row],[link_checklist]],"abrir"))</f>
        <v/>
      </c>
      <c r="AP750" s="6" t="n"/>
      <c r="AQ750" s="3">
        <f>IF(tblOrdenes[[#This Row],[orden]]="","",tblOrdenes[[#This Row],[orden]]&amp;IF(tblOrdenes[[#This Row],[operacion]]="","0010",tblOrdenes[[#This Row],[operacion]]))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2" t="n"/>
      <c r="K751" s="3" t="n"/>
      <c r="L751" s="11" t="n"/>
      <c r="M7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1" s="3">
        <f>IF(tblOrdenes[[#This Row],[fecha_inicio]]="","",YEAR(tblOrdenes[[#This Row],[fecha_inicio]]))</f>
        <v/>
      </c>
      <c r="Q751" s="3">
        <f>IF(tblOrdenes[[#This Row],[fecha_inicio]]="","",MONTH(tblOrdenes[[#This Row],[fecha_inicio]]))</f>
        <v/>
      </c>
      <c r="R751" s="3">
        <f>IF(tblOrdenes[[#This Row],[fecha_inicio]]="","",INDEX(lista_dias,WEEKDAY(tblOrdenes[[#This Row],[fecha_inicio]],2)))</f>
        <v/>
      </c>
      <c r="S7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1" s="3">
        <f>IF(tblOrdenes[[#This Row],[tipo_ot]]="","",_xlfn.XLOOKUP(tblOrdenes[[#This Row],[tipo_ot]],tblTiposOT[codigo],tblTiposOT[clasificacion],"sin_clasificar"))</f>
        <v/>
      </c>
      <c r="U751" s="3">
        <f>IF(tblOrdenes[[#This Row],[centro_costo]]="","",_xlfn.XLOOKUP(tblOrdenes[[#This Row],[centro_costo]],tblCECO[codigo],tblCECO[linea],"(sin catálogo)"))</f>
        <v/>
      </c>
      <c r="V751" s="3">
        <f>IF(tblOrdenes[[#This Row],[centro_costo]]="","",_xlfn.XLOOKUP(tblOrdenes[[#This Row],[centro_costo]],tblCECO[codigo],tblCECO[area],"(sin catálogo)"))</f>
        <v/>
      </c>
      <c r="W7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1" s="3">
        <f>IF(tblOrdenes[[#This Row],[centro_costo]]="","",_xlfn.XLOOKUP(tblOrdenes[[#This Row],[centro_costo]],tblCECO[codigo],tblCECO[coordinador],"(sin catálogo)"))</f>
        <v/>
      </c>
      <c r="Y751" s="3">
        <f>IF(tblOrdenes[[#This Row],[puesto_trabajo]]="","",_xlfn.XLOOKUP(tblOrdenes[[#This Row],[puesto_trabajo]],tblPuestos[codigo],tblPuestos[especialidad],"(sin catálogo)"))</f>
        <v/>
      </c>
      <c r="Z751" s="3">
        <f>IF(tblOrdenes[[#This Row],[cod_actividad]]="","",_xlfn.XLOOKUP(tblOrdenes[[#This Row],[cod_actividad]],tblActividades[codigo],tblActividades[descripcion],"(sin catálogo)"))</f>
        <v/>
      </c>
      <c r="AA751" s="13">
        <f>IF(tblOrdenes[[#This Row],[fecha_inicio]]="","",TODAY()-tblOrdenes[[#This Row],[fecha_inicio]])</f>
        <v/>
      </c>
      <c r="AB7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1" s="3">
        <f>IF(tblOrdenes[[#This Row],[backlog_habiles]]="","",IF(tblOrdenes[[#This Row],[backlog_habiles]]&lt;0,"FUTURO",IF(tblOrdenes[[#This Row],[backlog_habiles]]&gt;p_dias_backlog_max,"BACKLOG","MES CORRIENTE")))</f>
        <v/>
      </c>
      <c r="AD751" s="3">
        <f>IF(tblOrdenes[[#This Row],[backlog_habiles]]="",FALSE,AND(tblOrdenes[[#This Row],[backlog_habiles]]&gt;p_dias_backlog_min,tblOrdenes[[#This Row],[backlog_habiles]]&lt;=p_dias_backlog_max))</f>
        <v/>
      </c>
      <c r="AE751" s="6" t="n"/>
      <c r="AF7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1" s="11">
        <f>IF(tblOrdenes[[#This Row],[orden]]="","",_xlfn.XLOOKUP(tblOrdenes[[#This Row],[id_operacion]],tblEjecucion[id_operacion],tblEjecucion[precio],0))</f>
        <v/>
      </c>
      <c r="AJ751" s="11">
        <f>IF(tblOrdenes[[#This Row],[orden]]="","",MAX(0,_xlfn.XLOOKUP(tblOrdenes[[#This Row],[id_operacion]],tblEjecucion[id_operacion],tblEjecucion[costo_plan_total],0)-tblOrdenes[[#This Row],[costo_servicio]]))</f>
        <v/>
      </c>
      <c r="AK751" s="11">
        <f>IF(tblOrdenes[[#This Row],[orden]]="","",tblOrdenes[[#This Row],[costo_servicio]]+tblOrdenes[[#This Row],[costo_materiales]])</f>
        <v/>
      </c>
      <c r="AL751" s="6" t="n"/>
      <c r="AM751" s="6" t="n"/>
      <c r="AN751" s="6" t="n"/>
      <c r="AO751" s="3">
        <f>IF(tblOrdenes[[#This Row],[link_checklist]]="","",HYPERLINK(p_ruta_base_checklists&amp;tblOrdenes[[#This Row],[link_checklist]],"abrir"))</f>
        <v/>
      </c>
      <c r="AP751" s="6" t="n"/>
      <c r="AQ751" s="3">
        <f>IF(tblOrdenes[[#This Row],[orden]]="","",tblOrdenes[[#This Row],[orden]]&amp;IF(tblOrdenes[[#This Row],[operacion]]="","0010",tblOrdenes[[#This Row],[operacion]]))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2" t="n"/>
      <c r="K752" s="3" t="n"/>
      <c r="L752" s="11" t="n"/>
      <c r="M7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2" s="3">
        <f>IF(tblOrdenes[[#This Row],[fecha_inicio]]="","",YEAR(tblOrdenes[[#This Row],[fecha_inicio]]))</f>
        <v/>
      </c>
      <c r="Q752" s="3">
        <f>IF(tblOrdenes[[#This Row],[fecha_inicio]]="","",MONTH(tblOrdenes[[#This Row],[fecha_inicio]]))</f>
        <v/>
      </c>
      <c r="R752" s="3">
        <f>IF(tblOrdenes[[#This Row],[fecha_inicio]]="","",INDEX(lista_dias,WEEKDAY(tblOrdenes[[#This Row],[fecha_inicio]],2)))</f>
        <v/>
      </c>
      <c r="S7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2" s="3">
        <f>IF(tblOrdenes[[#This Row],[tipo_ot]]="","",_xlfn.XLOOKUP(tblOrdenes[[#This Row],[tipo_ot]],tblTiposOT[codigo],tblTiposOT[clasificacion],"sin_clasificar"))</f>
        <v/>
      </c>
      <c r="U752" s="3">
        <f>IF(tblOrdenes[[#This Row],[centro_costo]]="","",_xlfn.XLOOKUP(tblOrdenes[[#This Row],[centro_costo]],tblCECO[codigo],tblCECO[linea],"(sin catálogo)"))</f>
        <v/>
      </c>
      <c r="V752" s="3">
        <f>IF(tblOrdenes[[#This Row],[centro_costo]]="","",_xlfn.XLOOKUP(tblOrdenes[[#This Row],[centro_costo]],tblCECO[codigo],tblCECO[area],"(sin catálogo)"))</f>
        <v/>
      </c>
      <c r="W7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2" s="3">
        <f>IF(tblOrdenes[[#This Row],[centro_costo]]="","",_xlfn.XLOOKUP(tblOrdenes[[#This Row],[centro_costo]],tblCECO[codigo],tblCECO[coordinador],"(sin catálogo)"))</f>
        <v/>
      </c>
      <c r="Y752" s="3">
        <f>IF(tblOrdenes[[#This Row],[puesto_trabajo]]="","",_xlfn.XLOOKUP(tblOrdenes[[#This Row],[puesto_trabajo]],tblPuestos[codigo],tblPuestos[especialidad],"(sin catálogo)"))</f>
        <v/>
      </c>
      <c r="Z752" s="3">
        <f>IF(tblOrdenes[[#This Row],[cod_actividad]]="","",_xlfn.XLOOKUP(tblOrdenes[[#This Row],[cod_actividad]],tblActividades[codigo],tblActividades[descripcion],"(sin catálogo)"))</f>
        <v/>
      </c>
      <c r="AA752" s="13">
        <f>IF(tblOrdenes[[#This Row],[fecha_inicio]]="","",TODAY()-tblOrdenes[[#This Row],[fecha_inicio]])</f>
        <v/>
      </c>
      <c r="AB7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2" s="3">
        <f>IF(tblOrdenes[[#This Row],[backlog_habiles]]="","",IF(tblOrdenes[[#This Row],[backlog_habiles]]&lt;0,"FUTURO",IF(tblOrdenes[[#This Row],[backlog_habiles]]&gt;p_dias_backlog_max,"BACKLOG","MES CORRIENTE")))</f>
        <v/>
      </c>
      <c r="AD752" s="3">
        <f>IF(tblOrdenes[[#This Row],[backlog_habiles]]="",FALSE,AND(tblOrdenes[[#This Row],[backlog_habiles]]&gt;p_dias_backlog_min,tblOrdenes[[#This Row],[backlog_habiles]]&lt;=p_dias_backlog_max))</f>
        <v/>
      </c>
      <c r="AE752" s="6" t="n"/>
      <c r="AF7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2" s="11">
        <f>IF(tblOrdenes[[#This Row],[orden]]="","",_xlfn.XLOOKUP(tblOrdenes[[#This Row],[id_operacion]],tblEjecucion[id_operacion],tblEjecucion[precio],0))</f>
        <v/>
      </c>
      <c r="AJ752" s="11">
        <f>IF(tblOrdenes[[#This Row],[orden]]="","",MAX(0,_xlfn.XLOOKUP(tblOrdenes[[#This Row],[id_operacion]],tblEjecucion[id_operacion],tblEjecucion[costo_plan_total],0)-tblOrdenes[[#This Row],[costo_servicio]]))</f>
        <v/>
      </c>
      <c r="AK752" s="11">
        <f>IF(tblOrdenes[[#This Row],[orden]]="","",tblOrdenes[[#This Row],[costo_servicio]]+tblOrdenes[[#This Row],[costo_materiales]])</f>
        <v/>
      </c>
      <c r="AL752" s="6" t="n"/>
      <c r="AM752" s="6" t="n"/>
      <c r="AN752" s="6" t="n"/>
      <c r="AO752" s="3">
        <f>IF(tblOrdenes[[#This Row],[link_checklist]]="","",HYPERLINK(p_ruta_base_checklists&amp;tblOrdenes[[#This Row],[link_checklist]],"abrir"))</f>
        <v/>
      </c>
      <c r="AP752" s="6" t="n"/>
      <c r="AQ752" s="3">
        <f>IF(tblOrdenes[[#This Row],[orden]]="","",tblOrdenes[[#This Row],[orden]]&amp;IF(tblOrdenes[[#This Row],[operacion]]="","0010",tblOrdenes[[#This Row],[operacion]]))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2" t="n"/>
      <c r="K753" s="3" t="n"/>
      <c r="L753" s="11" t="n"/>
      <c r="M7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3" s="3">
        <f>IF(tblOrdenes[[#This Row],[fecha_inicio]]="","",YEAR(tblOrdenes[[#This Row],[fecha_inicio]]))</f>
        <v/>
      </c>
      <c r="Q753" s="3">
        <f>IF(tblOrdenes[[#This Row],[fecha_inicio]]="","",MONTH(tblOrdenes[[#This Row],[fecha_inicio]]))</f>
        <v/>
      </c>
      <c r="R753" s="3">
        <f>IF(tblOrdenes[[#This Row],[fecha_inicio]]="","",INDEX(lista_dias,WEEKDAY(tblOrdenes[[#This Row],[fecha_inicio]],2)))</f>
        <v/>
      </c>
      <c r="S7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3" s="3">
        <f>IF(tblOrdenes[[#This Row],[tipo_ot]]="","",_xlfn.XLOOKUP(tblOrdenes[[#This Row],[tipo_ot]],tblTiposOT[codigo],tblTiposOT[clasificacion],"sin_clasificar"))</f>
        <v/>
      </c>
      <c r="U753" s="3">
        <f>IF(tblOrdenes[[#This Row],[centro_costo]]="","",_xlfn.XLOOKUP(tblOrdenes[[#This Row],[centro_costo]],tblCECO[codigo],tblCECO[linea],"(sin catálogo)"))</f>
        <v/>
      </c>
      <c r="V753" s="3">
        <f>IF(tblOrdenes[[#This Row],[centro_costo]]="","",_xlfn.XLOOKUP(tblOrdenes[[#This Row],[centro_costo]],tblCECO[codigo],tblCECO[area],"(sin catálogo)"))</f>
        <v/>
      </c>
      <c r="W7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3" s="3">
        <f>IF(tblOrdenes[[#This Row],[centro_costo]]="","",_xlfn.XLOOKUP(tblOrdenes[[#This Row],[centro_costo]],tblCECO[codigo],tblCECO[coordinador],"(sin catálogo)"))</f>
        <v/>
      </c>
      <c r="Y753" s="3">
        <f>IF(tblOrdenes[[#This Row],[puesto_trabajo]]="","",_xlfn.XLOOKUP(tblOrdenes[[#This Row],[puesto_trabajo]],tblPuestos[codigo],tblPuestos[especialidad],"(sin catálogo)"))</f>
        <v/>
      </c>
      <c r="Z753" s="3">
        <f>IF(tblOrdenes[[#This Row],[cod_actividad]]="","",_xlfn.XLOOKUP(tblOrdenes[[#This Row],[cod_actividad]],tblActividades[codigo],tblActividades[descripcion],"(sin catálogo)"))</f>
        <v/>
      </c>
      <c r="AA753" s="13">
        <f>IF(tblOrdenes[[#This Row],[fecha_inicio]]="","",TODAY()-tblOrdenes[[#This Row],[fecha_inicio]])</f>
        <v/>
      </c>
      <c r="AB7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3" s="3">
        <f>IF(tblOrdenes[[#This Row],[backlog_habiles]]="","",IF(tblOrdenes[[#This Row],[backlog_habiles]]&lt;0,"FUTURO",IF(tblOrdenes[[#This Row],[backlog_habiles]]&gt;p_dias_backlog_max,"BACKLOG","MES CORRIENTE")))</f>
        <v/>
      </c>
      <c r="AD753" s="3">
        <f>IF(tblOrdenes[[#This Row],[backlog_habiles]]="",FALSE,AND(tblOrdenes[[#This Row],[backlog_habiles]]&gt;p_dias_backlog_min,tblOrdenes[[#This Row],[backlog_habiles]]&lt;=p_dias_backlog_max))</f>
        <v/>
      </c>
      <c r="AE753" s="6" t="n"/>
      <c r="AF7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3" s="11">
        <f>IF(tblOrdenes[[#This Row],[orden]]="","",_xlfn.XLOOKUP(tblOrdenes[[#This Row],[id_operacion]],tblEjecucion[id_operacion],tblEjecucion[precio],0))</f>
        <v/>
      </c>
      <c r="AJ753" s="11">
        <f>IF(tblOrdenes[[#This Row],[orden]]="","",MAX(0,_xlfn.XLOOKUP(tblOrdenes[[#This Row],[id_operacion]],tblEjecucion[id_operacion],tblEjecucion[costo_plan_total],0)-tblOrdenes[[#This Row],[costo_servicio]]))</f>
        <v/>
      </c>
      <c r="AK753" s="11">
        <f>IF(tblOrdenes[[#This Row],[orden]]="","",tblOrdenes[[#This Row],[costo_servicio]]+tblOrdenes[[#This Row],[costo_materiales]])</f>
        <v/>
      </c>
      <c r="AL753" s="6" t="n"/>
      <c r="AM753" s="6" t="n"/>
      <c r="AN753" s="6" t="n"/>
      <c r="AO753" s="3">
        <f>IF(tblOrdenes[[#This Row],[link_checklist]]="","",HYPERLINK(p_ruta_base_checklists&amp;tblOrdenes[[#This Row],[link_checklist]],"abrir"))</f>
        <v/>
      </c>
      <c r="AP753" s="6" t="n"/>
      <c r="AQ753" s="3">
        <f>IF(tblOrdenes[[#This Row],[orden]]="","",tblOrdenes[[#This Row],[orden]]&amp;IF(tblOrdenes[[#This Row],[operacion]]="","0010",tblOrdenes[[#This Row],[operacion]]))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2" t="n"/>
      <c r="K754" s="3" t="n"/>
      <c r="L754" s="11" t="n"/>
      <c r="M7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4" s="3">
        <f>IF(tblOrdenes[[#This Row],[fecha_inicio]]="","",YEAR(tblOrdenes[[#This Row],[fecha_inicio]]))</f>
        <v/>
      </c>
      <c r="Q754" s="3">
        <f>IF(tblOrdenes[[#This Row],[fecha_inicio]]="","",MONTH(tblOrdenes[[#This Row],[fecha_inicio]]))</f>
        <v/>
      </c>
      <c r="R754" s="3">
        <f>IF(tblOrdenes[[#This Row],[fecha_inicio]]="","",INDEX(lista_dias,WEEKDAY(tblOrdenes[[#This Row],[fecha_inicio]],2)))</f>
        <v/>
      </c>
      <c r="S7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4" s="3">
        <f>IF(tblOrdenes[[#This Row],[tipo_ot]]="","",_xlfn.XLOOKUP(tblOrdenes[[#This Row],[tipo_ot]],tblTiposOT[codigo],tblTiposOT[clasificacion],"sin_clasificar"))</f>
        <v/>
      </c>
      <c r="U754" s="3">
        <f>IF(tblOrdenes[[#This Row],[centro_costo]]="","",_xlfn.XLOOKUP(tblOrdenes[[#This Row],[centro_costo]],tblCECO[codigo],tblCECO[linea],"(sin catálogo)"))</f>
        <v/>
      </c>
      <c r="V754" s="3">
        <f>IF(tblOrdenes[[#This Row],[centro_costo]]="","",_xlfn.XLOOKUP(tblOrdenes[[#This Row],[centro_costo]],tblCECO[codigo],tblCECO[area],"(sin catálogo)"))</f>
        <v/>
      </c>
      <c r="W7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4" s="3">
        <f>IF(tblOrdenes[[#This Row],[centro_costo]]="","",_xlfn.XLOOKUP(tblOrdenes[[#This Row],[centro_costo]],tblCECO[codigo],tblCECO[coordinador],"(sin catálogo)"))</f>
        <v/>
      </c>
      <c r="Y754" s="3">
        <f>IF(tblOrdenes[[#This Row],[puesto_trabajo]]="","",_xlfn.XLOOKUP(tblOrdenes[[#This Row],[puesto_trabajo]],tblPuestos[codigo],tblPuestos[especialidad],"(sin catálogo)"))</f>
        <v/>
      </c>
      <c r="Z754" s="3">
        <f>IF(tblOrdenes[[#This Row],[cod_actividad]]="","",_xlfn.XLOOKUP(tblOrdenes[[#This Row],[cod_actividad]],tblActividades[codigo],tblActividades[descripcion],"(sin catálogo)"))</f>
        <v/>
      </c>
      <c r="AA754" s="13">
        <f>IF(tblOrdenes[[#This Row],[fecha_inicio]]="","",TODAY()-tblOrdenes[[#This Row],[fecha_inicio]])</f>
        <v/>
      </c>
      <c r="AB7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4" s="3">
        <f>IF(tblOrdenes[[#This Row],[backlog_habiles]]="","",IF(tblOrdenes[[#This Row],[backlog_habiles]]&lt;0,"FUTURO",IF(tblOrdenes[[#This Row],[backlog_habiles]]&gt;p_dias_backlog_max,"BACKLOG","MES CORRIENTE")))</f>
        <v/>
      </c>
      <c r="AD754" s="3">
        <f>IF(tblOrdenes[[#This Row],[backlog_habiles]]="",FALSE,AND(tblOrdenes[[#This Row],[backlog_habiles]]&gt;p_dias_backlog_min,tblOrdenes[[#This Row],[backlog_habiles]]&lt;=p_dias_backlog_max))</f>
        <v/>
      </c>
      <c r="AE754" s="6" t="n"/>
      <c r="AF7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4" s="11">
        <f>IF(tblOrdenes[[#This Row],[orden]]="","",_xlfn.XLOOKUP(tblOrdenes[[#This Row],[id_operacion]],tblEjecucion[id_operacion],tblEjecucion[precio],0))</f>
        <v/>
      </c>
      <c r="AJ754" s="11">
        <f>IF(tblOrdenes[[#This Row],[orden]]="","",MAX(0,_xlfn.XLOOKUP(tblOrdenes[[#This Row],[id_operacion]],tblEjecucion[id_operacion],tblEjecucion[costo_plan_total],0)-tblOrdenes[[#This Row],[costo_servicio]]))</f>
        <v/>
      </c>
      <c r="AK754" s="11">
        <f>IF(tblOrdenes[[#This Row],[orden]]="","",tblOrdenes[[#This Row],[costo_servicio]]+tblOrdenes[[#This Row],[costo_materiales]])</f>
        <v/>
      </c>
      <c r="AL754" s="6" t="n"/>
      <c r="AM754" s="6" t="n"/>
      <c r="AN754" s="6" t="n"/>
      <c r="AO754" s="3">
        <f>IF(tblOrdenes[[#This Row],[link_checklist]]="","",HYPERLINK(p_ruta_base_checklists&amp;tblOrdenes[[#This Row],[link_checklist]],"abrir"))</f>
        <v/>
      </c>
      <c r="AP754" s="6" t="n"/>
      <c r="AQ754" s="3">
        <f>IF(tblOrdenes[[#This Row],[orden]]="","",tblOrdenes[[#This Row],[orden]]&amp;IF(tblOrdenes[[#This Row],[operacion]]="","0010",tblOrdenes[[#This Row],[operacion]]))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2" t="n"/>
      <c r="K755" s="3" t="n"/>
      <c r="L755" s="11" t="n"/>
      <c r="M7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5" s="3">
        <f>IF(tblOrdenes[[#This Row],[fecha_inicio]]="","",YEAR(tblOrdenes[[#This Row],[fecha_inicio]]))</f>
        <v/>
      </c>
      <c r="Q755" s="3">
        <f>IF(tblOrdenes[[#This Row],[fecha_inicio]]="","",MONTH(tblOrdenes[[#This Row],[fecha_inicio]]))</f>
        <v/>
      </c>
      <c r="R755" s="3">
        <f>IF(tblOrdenes[[#This Row],[fecha_inicio]]="","",INDEX(lista_dias,WEEKDAY(tblOrdenes[[#This Row],[fecha_inicio]],2)))</f>
        <v/>
      </c>
      <c r="S7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5" s="3">
        <f>IF(tblOrdenes[[#This Row],[tipo_ot]]="","",_xlfn.XLOOKUP(tblOrdenes[[#This Row],[tipo_ot]],tblTiposOT[codigo],tblTiposOT[clasificacion],"sin_clasificar"))</f>
        <v/>
      </c>
      <c r="U755" s="3">
        <f>IF(tblOrdenes[[#This Row],[centro_costo]]="","",_xlfn.XLOOKUP(tblOrdenes[[#This Row],[centro_costo]],tblCECO[codigo],tblCECO[linea],"(sin catálogo)"))</f>
        <v/>
      </c>
      <c r="V755" s="3">
        <f>IF(tblOrdenes[[#This Row],[centro_costo]]="","",_xlfn.XLOOKUP(tblOrdenes[[#This Row],[centro_costo]],tblCECO[codigo],tblCECO[area],"(sin catálogo)"))</f>
        <v/>
      </c>
      <c r="W7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5" s="3">
        <f>IF(tblOrdenes[[#This Row],[centro_costo]]="","",_xlfn.XLOOKUP(tblOrdenes[[#This Row],[centro_costo]],tblCECO[codigo],tblCECO[coordinador],"(sin catálogo)"))</f>
        <v/>
      </c>
      <c r="Y755" s="3">
        <f>IF(tblOrdenes[[#This Row],[puesto_trabajo]]="","",_xlfn.XLOOKUP(tblOrdenes[[#This Row],[puesto_trabajo]],tblPuestos[codigo],tblPuestos[especialidad],"(sin catálogo)"))</f>
        <v/>
      </c>
      <c r="Z755" s="3">
        <f>IF(tblOrdenes[[#This Row],[cod_actividad]]="","",_xlfn.XLOOKUP(tblOrdenes[[#This Row],[cod_actividad]],tblActividades[codigo],tblActividades[descripcion],"(sin catálogo)"))</f>
        <v/>
      </c>
      <c r="AA755" s="13">
        <f>IF(tblOrdenes[[#This Row],[fecha_inicio]]="","",TODAY()-tblOrdenes[[#This Row],[fecha_inicio]])</f>
        <v/>
      </c>
      <c r="AB7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5" s="3">
        <f>IF(tblOrdenes[[#This Row],[backlog_habiles]]="","",IF(tblOrdenes[[#This Row],[backlog_habiles]]&lt;0,"FUTURO",IF(tblOrdenes[[#This Row],[backlog_habiles]]&gt;p_dias_backlog_max,"BACKLOG","MES CORRIENTE")))</f>
        <v/>
      </c>
      <c r="AD755" s="3">
        <f>IF(tblOrdenes[[#This Row],[backlog_habiles]]="",FALSE,AND(tblOrdenes[[#This Row],[backlog_habiles]]&gt;p_dias_backlog_min,tblOrdenes[[#This Row],[backlog_habiles]]&lt;=p_dias_backlog_max))</f>
        <v/>
      </c>
      <c r="AE755" s="6" t="n"/>
      <c r="AF7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5" s="11">
        <f>IF(tblOrdenes[[#This Row],[orden]]="","",_xlfn.XLOOKUP(tblOrdenes[[#This Row],[id_operacion]],tblEjecucion[id_operacion],tblEjecucion[precio],0))</f>
        <v/>
      </c>
      <c r="AJ755" s="11">
        <f>IF(tblOrdenes[[#This Row],[orden]]="","",MAX(0,_xlfn.XLOOKUP(tblOrdenes[[#This Row],[id_operacion]],tblEjecucion[id_operacion],tblEjecucion[costo_plan_total],0)-tblOrdenes[[#This Row],[costo_servicio]]))</f>
        <v/>
      </c>
      <c r="AK755" s="11">
        <f>IF(tblOrdenes[[#This Row],[orden]]="","",tblOrdenes[[#This Row],[costo_servicio]]+tblOrdenes[[#This Row],[costo_materiales]])</f>
        <v/>
      </c>
      <c r="AL755" s="6" t="n"/>
      <c r="AM755" s="6" t="n"/>
      <c r="AN755" s="6" t="n"/>
      <c r="AO755" s="3">
        <f>IF(tblOrdenes[[#This Row],[link_checklist]]="","",HYPERLINK(p_ruta_base_checklists&amp;tblOrdenes[[#This Row],[link_checklist]],"abrir"))</f>
        <v/>
      </c>
      <c r="AP755" s="6" t="n"/>
      <c r="AQ755" s="3">
        <f>IF(tblOrdenes[[#This Row],[orden]]="","",tblOrdenes[[#This Row],[orden]]&amp;IF(tblOrdenes[[#This Row],[operacion]]="","0010",tblOrdenes[[#This Row],[operacion]]))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2" t="n"/>
      <c r="K756" s="3" t="n"/>
      <c r="L756" s="11" t="n"/>
      <c r="M7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6" s="3">
        <f>IF(tblOrdenes[[#This Row],[fecha_inicio]]="","",YEAR(tblOrdenes[[#This Row],[fecha_inicio]]))</f>
        <v/>
      </c>
      <c r="Q756" s="3">
        <f>IF(tblOrdenes[[#This Row],[fecha_inicio]]="","",MONTH(tblOrdenes[[#This Row],[fecha_inicio]]))</f>
        <v/>
      </c>
      <c r="R756" s="3">
        <f>IF(tblOrdenes[[#This Row],[fecha_inicio]]="","",INDEX(lista_dias,WEEKDAY(tblOrdenes[[#This Row],[fecha_inicio]],2)))</f>
        <v/>
      </c>
      <c r="S7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6" s="3">
        <f>IF(tblOrdenes[[#This Row],[tipo_ot]]="","",_xlfn.XLOOKUP(tblOrdenes[[#This Row],[tipo_ot]],tblTiposOT[codigo],tblTiposOT[clasificacion],"sin_clasificar"))</f>
        <v/>
      </c>
      <c r="U756" s="3">
        <f>IF(tblOrdenes[[#This Row],[centro_costo]]="","",_xlfn.XLOOKUP(tblOrdenes[[#This Row],[centro_costo]],tblCECO[codigo],tblCECO[linea],"(sin catálogo)"))</f>
        <v/>
      </c>
      <c r="V756" s="3">
        <f>IF(tblOrdenes[[#This Row],[centro_costo]]="","",_xlfn.XLOOKUP(tblOrdenes[[#This Row],[centro_costo]],tblCECO[codigo],tblCECO[area],"(sin catálogo)"))</f>
        <v/>
      </c>
      <c r="W7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6" s="3">
        <f>IF(tblOrdenes[[#This Row],[centro_costo]]="","",_xlfn.XLOOKUP(tblOrdenes[[#This Row],[centro_costo]],tblCECO[codigo],tblCECO[coordinador],"(sin catálogo)"))</f>
        <v/>
      </c>
      <c r="Y756" s="3">
        <f>IF(tblOrdenes[[#This Row],[puesto_trabajo]]="","",_xlfn.XLOOKUP(tblOrdenes[[#This Row],[puesto_trabajo]],tblPuestos[codigo],tblPuestos[especialidad],"(sin catálogo)"))</f>
        <v/>
      </c>
      <c r="Z756" s="3">
        <f>IF(tblOrdenes[[#This Row],[cod_actividad]]="","",_xlfn.XLOOKUP(tblOrdenes[[#This Row],[cod_actividad]],tblActividades[codigo],tblActividades[descripcion],"(sin catálogo)"))</f>
        <v/>
      </c>
      <c r="AA756" s="13">
        <f>IF(tblOrdenes[[#This Row],[fecha_inicio]]="","",TODAY()-tblOrdenes[[#This Row],[fecha_inicio]])</f>
        <v/>
      </c>
      <c r="AB7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6" s="3">
        <f>IF(tblOrdenes[[#This Row],[backlog_habiles]]="","",IF(tblOrdenes[[#This Row],[backlog_habiles]]&lt;0,"FUTURO",IF(tblOrdenes[[#This Row],[backlog_habiles]]&gt;p_dias_backlog_max,"BACKLOG","MES CORRIENTE")))</f>
        <v/>
      </c>
      <c r="AD756" s="3">
        <f>IF(tblOrdenes[[#This Row],[backlog_habiles]]="",FALSE,AND(tblOrdenes[[#This Row],[backlog_habiles]]&gt;p_dias_backlog_min,tblOrdenes[[#This Row],[backlog_habiles]]&lt;=p_dias_backlog_max))</f>
        <v/>
      </c>
      <c r="AE756" s="6" t="n"/>
      <c r="AF7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6" s="11">
        <f>IF(tblOrdenes[[#This Row],[orden]]="","",_xlfn.XLOOKUP(tblOrdenes[[#This Row],[id_operacion]],tblEjecucion[id_operacion],tblEjecucion[precio],0))</f>
        <v/>
      </c>
      <c r="AJ756" s="11">
        <f>IF(tblOrdenes[[#This Row],[orden]]="","",MAX(0,_xlfn.XLOOKUP(tblOrdenes[[#This Row],[id_operacion]],tblEjecucion[id_operacion],tblEjecucion[costo_plan_total],0)-tblOrdenes[[#This Row],[costo_servicio]]))</f>
        <v/>
      </c>
      <c r="AK756" s="11">
        <f>IF(tblOrdenes[[#This Row],[orden]]="","",tblOrdenes[[#This Row],[costo_servicio]]+tblOrdenes[[#This Row],[costo_materiales]])</f>
        <v/>
      </c>
      <c r="AL756" s="6" t="n"/>
      <c r="AM756" s="6" t="n"/>
      <c r="AN756" s="6" t="n"/>
      <c r="AO756" s="3">
        <f>IF(tblOrdenes[[#This Row],[link_checklist]]="","",HYPERLINK(p_ruta_base_checklists&amp;tblOrdenes[[#This Row],[link_checklist]],"abrir"))</f>
        <v/>
      </c>
      <c r="AP756" s="6" t="n"/>
      <c r="AQ756" s="3">
        <f>IF(tblOrdenes[[#This Row],[orden]]="","",tblOrdenes[[#This Row],[orden]]&amp;IF(tblOrdenes[[#This Row],[operacion]]="","0010",tblOrdenes[[#This Row],[operacion]]))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2" t="n"/>
      <c r="K757" s="3" t="n"/>
      <c r="L757" s="11" t="n"/>
      <c r="M7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7" s="3">
        <f>IF(tblOrdenes[[#This Row],[fecha_inicio]]="","",YEAR(tblOrdenes[[#This Row],[fecha_inicio]]))</f>
        <v/>
      </c>
      <c r="Q757" s="3">
        <f>IF(tblOrdenes[[#This Row],[fecha_inicio]]="","",MONTH(tblOrdenes[[#This Row],[fecha_inicio]]))</f>
        <v/>
      </c>
      <c r="R757" s="3">
        <f>IF(tblOrdenes[[#This Row],[fecha_inicio]]="","",INDEX(lista_dias,WEEKDAY(tblOrdenes[[#This Row],[fecha_inicio]],2)))</f>
        <v/>
      </c>
      <c r="S7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7" s="3">
        <f>IF(tblOrdenes[[#This Row],[tipo_ot]]="","",_xlfn.XLOOKUP(tblOrdenes[[#This Row],[tipo_ot]],tblTiposOT[codigo],tblTiposOT[clasificacion],"sin_clasificar"))</f>
        <v/>
      </c>
      <c r="U757" s="3">
        <f>IF(tblOrdenes[[#This Row],[centro_costo]]="","",_xlfn.XLOOKUP(tblOrdenes[[#This Row],[centro_costo]],tblCECO[codigo],tblCECO[linea],"(sin catálogo)"))</f>
        <v/>
      </c>
      <c r="V757" s="3">
        <f>IF(tblOrdenes[[#This Row],[centro_costo]]="","",_xlfn.XLOOKUP(tblOrdenes[[#This Row],[centro_costo]],tblCECO[codigo],tblCECO[area],"(sin catálogo)"))</f>
        <v/>
      </c>
      <c r="W7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7" s="3">
        <f>IF(tblOrdenes[[#This Row],[centro_costo]]="","",_xlfn.XLOOKUP(tblOrdenes[[#This Row],[centro_costo]],tblCECO[codigo],tblCECO[coordinador],"(sin catálogo)"))</f>
        <v/>
      </c>
      <c r="Y757" s="3">
        <f>IF(tblOrdenes[[#This Row],[puesto_trabajo]]="","",_xlfn.XLOOKUP(tblOrdenes[[#This Row],[puesto_trabajo]],tblPuestos[codigo],tblPuestos[especialidad],"(sin catálogo)"))</f>
        <v/>
      </c>
      <c r="Z757" s="3">
        <f>IF(tblOrdenes[[#This Row],[cod_actividad]]="","",_xlfn.XLOOKUP(tblOrdenes[[#This Row],[cod_actividad]],tblActividades[codigo],tblActividades[descripcion],"(sin catálogo)"))</f>
        <v/>
      </c>
      <c r="AA757" s="13">
        <f>IF(tblOrdenes[[#This Row],[fecha_inicio]]="","",TODAY()-tblOrdenes[[#This Row],[fecha_inicio]])</f>
        <v/>
      </c>
      <c r="AB7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7" s="3">
        <f>IF(tblOrdenes[[#This Row],[backlog_habiles]]="","",IF(tblOrdenes[[#This Row],[backlog_habiles]]&lt;0,"FUTURO",IF(tblOrdenes[[#This Row],[backlog_habiles]]&gt;p_dias_backlog_max,"BACKLOG","MES CORRIENTE")))</f>
        <v/>
      </c>
      <c r="AD757" s="3">
        <f>IF(tblOrdenes[[#This Row],[backlog_habiles]]="",FALSE,AND(tblOrdenes[[#This Row],[backlog_habiles]]&gt;p_dias_backlog_min,tblOrdenes[[#This Row],[backlog_habiles]]&lt;=p_dias_backlog_max))</f>
        <v/>
      </c>
      <c r="AE757" s="6" t="n"/>
      <c r="AF7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7" s="11">
        <f>IF(tblOrdenes[[#This Row],[orden]]="","",_xlfn.XLOOKUP(tblOrdenes[[#This Row],[id_operacion]],tblEjecucion[id_operacion],tblEjecucion[precio],0))</f>
        <v/>
      </c>
      <c r="AJ757" s="11">
        <f>IF(tblOrdenes[[#This Row],[orden]]="","",MAX(0,_xlfn.XLOOKUP(tblOrdenes[[#This Row],[id_operacion]],tblEjecucion[id_operacion],tblEjecucion[costo_plan_total],0)-tblOrdenes[[#This Row],[costo_servicio]]))</f>
        <v/>
      </c>
      <c r="AK757" s="11">
        <f>IF(tblOrdenes[[#This Row],[orden]]="","",tblOrdenes[[#This Row],[costo_servicio]]+tblOrdenes[[#This Row],[costo_materiales]])</f>
        <v/>
      </c>
      <c r="AL757" s="6" t="n"/>
      <c r="AM757" s="6" t="n"/>
      <c r="AN757" s="6" t="n"/>
      <c r="AO757" s="3">
        <f>IF(tblOrdenes[[#This Row],[link_checklist]]="","",HYPERLINK(p_ruta_base_checklists&amp;tblOrdenes[[#This Row],[link_checklist]],"abrir"))</f>
        <v/>
      </c>
      <c r="AP757" s="6" t="n"/>
      <c r="AQ757" s="3">
        <f>IF(tblOrdenes[[#This Row],[orden]]="","",tblOrdenes[[#This Row],[orden]]&amp;IF(tblOrdenes[[#This Row],[operacion]]="","0010",tblOrdenes[[#This Row],[operacion]]))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2" t="n"/>
      <c r="K758" s="3" t="n"/>
      <c r="L758" s="11" t="n"/>
      <c r="M7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8" s="3">
        <f>IF(tblOrdenes[[#This Row],[fecha_inicio]]="","",YEAR(tblOrdenes[[#This Row],[fecha_inicio]]))</f>
        <v/>
      </c>
      <c r="Q758" s="3">
        <f>IF(tblOrdenes[[#This Row],[fecha_inicio]]="","",MONTH(tblOrdenes[[#This Row],[fecha_inicio]]))</f>
        <v/>
      </c>
      <c r="R758" s="3">
        <f>IF(tblOrdenes[[#This Row],[fecha_inicio]]="","",INDEX(lista_dias,WEEKDAY(tblOrdenes[[#This Row],[fecha_inicio]],2)))</f>
        <v/>
      </c>
      <c r="S7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8" s="3">
        <f>IF(tblOrdenes[[#This Row],[tipo_ot]]="","",_xlfn.XLOOKUP(tblOrdenes[[#This Row],[tipo_ot]],tblTiposOT[codigo],tblTiposOT[clasificacion],"sin_clasificar"))</f>
        <v/>
      </c>
      <c r="U758" s="3">
        <f>IF(tblOrdenes[[#This Row],[centro_costo]]="","",_xlfn.XLOOKUP(tblOrdenes[[#This Row],[centro_costo]],tblCECO[codigo],tblCECO[linea],"(sin catálogo)"))</f>
        <v/>
      </c>
      <c r="V758" s="3">
        <f>IF(tblOrdenes[[#This Row],[centro_costo]]="","",_xlfn.XLOOKUP(tblOrdenes[[#This Row],[centro_costo]],tblCECO[codigo],tblCECO[area],"(sin catálogo)"))</f>
        <v/>
      </c>
      <c r="W7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8" s="3">
        <f>IF(tblOrdenes[[#This Row],[centro_costo]]="","",_xlfn.XLOOKUP(tblOrdenes[[#This Row],[centro_costo]],tblCECO[codigo],tblCECO[coordinador],"(sin catálogo)"))</f>
        <v/>
      </c>
      <c r="Y758" s="3">
        <f>IF(tblOrdenes[[#This Row],[puesto_trabajo]]="","",_xlfn.XLOOKUP(tblOrdenes[[#This Row],[puesto_trabajo]],tblPuestos[codigo],tblPuestos[especialidad],"(sin catálogo)"))</f>
        <v/>
      </c>
      <c r="Z758" s="3">
        <f>IF(tblOrdenes[[#This Row],[cod_actividad]]="","",_xlfn.XLOOKUP(tblOrdenes[[#This Row],[cod_actividad]],tblActividades[codigo],tblActividades[descripcion],"(sin catálogo)"))</f>
        <v/>
      </c>
      <c r="AA758" s="13">
        <f>IF(tblOrdenes[[#This Row],[fecha_inicio]]="","",TODAY()-tblOrdenes[[#This Row],[fecha_inicio]])</f>
        <v/>
      </c>
      <c r="AB7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8" s="3">
        <f>IF(tblOrdenes[[#This Row],[backlog_habiles]]="","",IF(tblOrdenes[[#This Row],[backlog_habiles]]&lt;0,"FUTURO",IF(tblOrdenes[[#This Row],[backlog_habiles]]&gt;p_dias_backlog_max,"BACKLOG","MES CORRIENTE")))</f>
        <v/>
      </c>
      <c r="AD758" s="3">
        <f>IF(tblOrdenes[[#This Row],[backlog_habiles]]="",FALSE,AND(tblOrdenes[[#This Row],[backlog_habiles]]&gt;p_dias_backlog_min,tblOrdenes[[#This Row],[backlog_habiles]]&lt;=p_dias_backlog_max))</f>
        <v/>
      </c>
      <c r="AE758" s="6" t="n"/>
      <c r="AF7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8" s="11">
        <f>IF(tblOrdenes[[#This Row],[orden]]="","",_xlfn.XLOOKUP(tblOrdenes[[#This Row],[id_operacion]],tblEjecucion[id_operacion],tblEjecucion[precio],0))</f>
        <v/>
      </c>
      <c r="AJ758" s="11">
        <f>IF(tblOrdenes[[#This Row],[orden]]="","",MAX(0,_xlfn.XLOOKUP(tblOrdenes[[#This Row],[id_operacion]],tblEjecucion[id_operacion],tblEjecucion[costo_plan_total],0)-tblOrdenes[[#This Row],[costo_servicio]]))</f>
        <v/>
      </c>
      <c r="AK758" s="11">
        <f>IF(tblOrdenes[[#This Row],[orden]]="","",tblOrdenes[[#This Row],[costo_servicio]]+tblOrdenes[[#This Row],[costo_materiales]])</f>
        <v/>
      </c>
      <c r="AL758" s="6" t="n"/>
      <c r="AM758" s="6" t="n"/>
      <c r="AN758" s="6" t="n"/>
      <c r="AO758" s="3">
        <f>IF(tblOrdenes[[#This Row],[link_checklist]]="","",HYPERLINK(p_ruta_base_checklists&amp;tblOrdenes[[#This Row],[link_checklist]],"abrir"))</f>
        <v/>
      </c>
      <c r="AP758" s="6" t="n"/>
      <c r="AQ758" s="3">
        <f>IF(tblOrdenes[[#This Row],[orden]]="","",tblOrdenes[[#This Row],[orden]]&amp;IF(tblOrdenes[[#This Row],[operacion]]="","0010",tblOrdenes[[#This Row],[operacion]]))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2" t="n"/>
      <c r="K759" s="3" t="n"/>
      <c r="L759" s="11" t="n"/>
      <c r="M7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9" s="3">
        <f>IF(tblOrdenes[[#This Row],[fecha_inicio]]="","",YEAR(tblOrdenes[[#This Row],[fecha_inicio]]))</f>
        <v/>
      </c>
      <c r="Q759" s="3">
        <f>IF(tblOrdenes[[#This Row],[fecha_inicio]]="","",MONTH(tblOrdenes[[#This Row],[fecha_inicio]]))</f>
        <v/>
      </c>
      <c r="R759" s="3">
        <f>IF(tblOrdenes[[#This Row],[fecha_inicio]]="","",INDEX(lista_dias,WEEKDAY(tblOrdenes[[#This Row],[fecha_inicio]],2)))</f>
        <v/>
      </c>
      <c r="S7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9" s="3">
        <f>IF(tblOrdenes[[#This Row],[tipo_ot]]="","",_xlfn.XLOOKUP(tblOrdenes[[#This Row],[tipo_ot]],tblTiposOT[codigo],tblTiposOT[clasificacion],"sin_clasificar"))</f>
        <v/>
      </c>
      <c r="U759" s="3">
        <f>IF(tblOrdenes[[#This Row],[centro_costo]]="","",_xlfn.XLOOKUP(tblOrdenes[[#This Row],[centro_costo]],tblCECO[codigo],tblCECO[linea],"(sin catálogo)"))</f>
        <v/>
      </c>
      <c r="V759" s="3">
        <f>IF(tblOrdenes[[#This Row],[centro_costo]]="","",_xlfn.XLOOKUP(tblOrdenes[[#This Row],[centro_costo]],tblCECO[codigo],tblCECO[area],"(sin catálogo)"))</f>
        <v/>
      </c>
      <c r="W7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9" s="3">
        <f>IF(tblOrdenes[[#This Row],[centro_costo]]="","",_xlfn.XLOOKUP(tblOrdenes[[#This Row],[centro_costo]],tblCECO[codigo],tblCECO[coordinador],"(sin catálogo)"))</f>
        <v/>
      </c>
      <c r="Y759" s="3">
        <f>IF(tblOrdenes[[#This Row],[puesto_trabajo]]="","",_xlfn.XLOOKUP(tblOrdenes[[#This Row],[puesto_trabajo]],tblPuestos[codigo],tblPuestos[especialidad],"(sin catálogo)"))</f>
        <v/>
      </c>
      <c r="Z759" s="3">
        <f>IF(tblOrdenes[[#This Row],[cod_actividad]]="","",_xlfn.XLOOKUP(tblOrdenes[[#This Row],[cod_actividad]],tblActividades[codigo],tblActividades[descripcion],"(sin catálogo)"))</f>
        <v/>
      </c>
      <c r="AA759" s="13">
        <f>IF(tblOrdenes[[#This Row],[fecha_inicio]]="","",TODAY()-tblOrdenes[[#This Row],[fecha_inicio]])</f>
        <v/>
      </c>
      <c r="AB7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9" s="3">
        <f>IF(tblOrdenes[[#This Row],[backlog_habiles]]="","",IF(tblOrdenes[[#This Row],[backlog_habiles]]&lt;0,"FUTURO",IF(tblOrdenes[[#This Row],[backlog_habiles]]&gt;p_dias_backlog_max,"BACKLOG","MES CORRIENTE")))</f>
        <v/>
      </c>
      <c r="AD759" s="3">
        <f>IF(tblOrdenes[[#This Row],[backlog_habiles]]="",FALSE,AND(tblOrdenes[[#This Row],[backlog_habiles]]&gt;p_dias_backlog_min,tblOrdenes[[#This Row],[backlog_habiles]]&lt;=p_dias_backlog_max))</f>
        <v/>
      </c>
      <c r="AE759" s="6" t="n"/>
      <c r="AF7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9" s="11">
        <f>IF(tblOrdenes[[#This Row],[orden]]="","",_xlfn.XLOOKUP(tblOrdenes[[#This Row],[id_operacion]],tblEjecucion[id_operacion],tblEjecucion[precio],0))</f>
        <v/>
      </c>
      <c r="AJ759" s="11">
        <f>IF(tblOrdenes[[#This Row],[orden]]="","",MAX(0,_xlfn.XLOOKUP(tblOrdenes[[#This Row],[id_operacion]],tblEjecucion[id_operacion],tblEjecucion[costo_plan_total],0)-tblOrdenes[[#This Row],[costo_servicio]]))</f>
        <v/>
      </c>
      <c r="AK759" s="11">
        <f>IF(tblOrdenes[[#This Row],[orden]]="","",tblOrdenes[[#This Row],[costo_servicio]]+tblOrdenes[[#This Row],[costo_materiales]])</f>
        <v/>
      </c>
      <c r="AL759" s="6" t="n"/>
      <c r="AM759" s="6" t="n"/>
      <c r="AN759" s="6" t="n"/>
      <c r="AO759" s="3">
        <f>IF(tblOrdenes[[#This Row],[link_checklist]]="","",HYPERLINK(p_ruta_base_checklists&amp;tblOrdenes[[#This Row],[link_checklist]],"abrir"))</f>
        <v/>
      </c>
      <c r="AP759" s="6" t="n"/>
      <c r="AQ759" s="3">
        <f>IF(tblOrdenes[[#This Row],[orden]]="","",tblOrdenes[[#This Row],[orden]]&amp;IF(tblOrdenes[[#This Row],[operacion]]="","0010",tblOrdenes[[#This Row],[operacion]]))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2" t="n"/>
      <c r="K760" s="3" t="n"/>
      <c r="L760" s="11" t="n"/>
      <c r="M7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0" s="3">
        <f>IF(tblOrdenes[[#This Row],[fecha_inicio]]="","",YEAR(tblOrdenes[[#This Row],[fecha_inicio]]))</f>
        <v/>
      </c>
      <c r="Q760" s="3">
        <f>IF(tblOrdenes[[#This Row],[fecha_inicio]]="","",MONTH(tblOrdenes[[#This Row],[fecha_inicio]]))</f>
        <v/>
      </c>
      <c r="R760" s="3">
        <f>IF(tblOrdenes[[#This Row],[fecha_inicio]]="","",INDEX(lista_dias,WEEKDAY(tblOrdenes[[#This Row],[fecha_inicio]],2)))</f>
        <v/>
      </c>
      <c r="S7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0" s="3">
        <f>IF(tblOrdenes[[#This Row],[tipo_ot]]="","",_xlfn.XLOOKUP(tblOrdenes[[#This Row],[tipo_ot]],tblTiposOT[codigo],tblTiposOT[clasificacion],"sin_clasificar"))</f>
        <v/>
      </c>
      <c r="U760" s="3">
        <f>IF(tblOrdenes[[#This Row],[centro_costo]]="","",_xlfn.XLOOKUP(tblOrdenes[[#This Row],[centro_costo]],tblCECO[codigo],tblCECO[linea],"(sin catálogo)"))</f>
        <v/>
      </c>
      <c r="V760" s="3">
        <f>IF(tblOrdenes[[#This Row],[centro_costo]]="","",_xlfn.XLOOKUP(tblOrdenes[[#This Row],[centro_costo]],tblCECO[codigo],tblCECO[area],"(sin catálogo)"))</f>
        <v/>
      </c>
      <c r="W7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0" s="3">
        <f>IF(tblOrdenes[[#This Row],[centro_costo]]="","",_xlfn.XLOOKUP(tblOrdenes[[#This Row],[centro_costo]],tblCECO[codigo],tblCECO[coordinador],"(sin catálogo)"))</f>
        <v/>
      </c>
      <c r="Y760" s="3">
        <f>IF(tblOrdenes[[#This Row],[puesto_trabajo]]="","",_xlfn.XLOOKUP(tblOrdenes[[#This Row],[puesto_trabajo]],tblPuestos[codigo],tblPuestos[especialidad],"(sin catálogo)"))</f>
        <v/>
      </c>
      <c r="Z760" s="3">
        <f>IF(tblOrdenes[[#This Row],[cod_actividad]]="","",_xlfn.XLOOKUP(tblOrdenes[[#This Row],[cod_actividad]],tblActividades[codigo],tblActividades[descripcion],"(sin catálogo)"))</f>
        <v/>
      </c>
      <c r="AA760" s="13">
        <f>IF(tblOrdenes[[#This Row],[fecha_inicio]]="","",TODAY()-tblOrdenes[[#This Row],[fecha_inicio]])</f>
        <v/>
      </c>
      <c r="AB7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0" s="3">
        <f>IF(tblOrdenes[[#This Row],[backlog_habiles]]="","",IF(tblOrdenes[[#This Row],[backlog_habiles]]&lt;0,"FUTURO",IF(tblOrdenes[[#This Row],[backlog_habiles]]&gt;p_dias_backlog_max,"BACKLOG","MES CORRIENTE")))</f>
        <v/>
      </c>
      <c r="AD760" s="3">
        <f>IF(tblOrdenes[[#This Row],[backlog_habiles]]="",FALSE,AND(tblOrdenes[[#This Row],[backlog_habiles]]&gt;p_dias_backlog_min,tblOrdenes[[#This Row],[backlog_habiles]]&lt;=p_dias_backlog_max))</f>
        <v/>
      </c>
      <c r="AE760" s="6" t="n"/>
      <c r="AF7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0" s="11">
        <f>IF(tblOrdenes[[#This Row],[orden]]="","",_xlfn.XLOOKUP(tblOrdenes[[#This Row],[id_operacion]],tblEjecucion[id_operacion],tblEjecucion[precio],0))</f>
        <v/>
      </c>
      <c r="AJ760" s="11">
        <f>IF(tblOrdenes[[#This Row],[orden]]="","",MAX(0,_xlfn.XLOOKUP(tblOrdenes[[#This Row],[id_operacion]],tblEjecucion[id_operacion],tblEjecucion[costo_plan_total],0)-tblOrdenes[[#This Row],[costo_servicio]]))</f>
        <v/>
      </c>
      <c r="AK760" s="11">
        <f>IF(tblOrdenes[[#This Row],[orden]]="","",tblOrdenes[[#This Row],[costo_servicio]]+tblOrdenes[[#This Row],[costo_materiales]])</f>
        <v/>
      </c>
      <c r="AL760" s="6" t="n"/>
      <c r="AM760" s="6" t="n"/>
      <c r="AN760" s="6" t="n"/>
      <c r="AO760" s="3">
        <f>IF(tblOrdenes[[#This Row],[link_checklist]]="","",HYPERLINK(p_ruta_base_checklists&amp;tblOrdenes[[#This Row],[link_checklist]],"abrir"))</f>
        <v/>
      </c>
      <c r="AP760" s="6" t="n"/>
      <c r="AQ760" s="3">
        <f>IF(tblOrdenes[[#This Row],[orden]]="","",tblOrdenes[[#This Row],[orden]]&amp;IF(tblOrdenes[[#This Row],[operacion]]="","0010",tblOrdenes[[#This Row],[operacion]]))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2" t="n"/>
      <c r="K761" s="3" t="n"/>
      <c r="L761" s="11" t="n"/>
      <c r="M7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1" s="3">
        <f>IF(tblOrdenes[[#This Row],[fecha_inicio]]="","",YEAR(tblOrdenes[[#This Row],[fecha_inicio]]))</f>
        <v/>
      </c>
      <c r="Q761" s="3">
        <f>IF(tblOrdenes[[#This Row],[fecha_inicio]]="","",MONTH(tblOrdenes[[#This Row],[fecha_inicio]]))</f>
        <v/>
      </c>
      <c r="R761" s="3">
        <f>IF(tblOrdenes[[#This Row],[fecha_inicio]]="","",INDEX(lista_dias,WEEKDAY(tblOrdenes[[#This Row],[fecha_inicio]],2)))</f>
        <v/>
      </c>
      <c r="S7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1" s="3">
        <f>IF(tblOrdenes[[#This Row],[tipo_ot]]="","",_xlfn.XLOOKUP(tblOrdenes[[#This Row],[tipo_ot]],tblTiposOT[codigo],tblTiposOT[clasificacion],"sin_clasificar"))</f>
        <v/>
      </c>
      <c r="U761" s="3">
        <f>IF(tblOrdenes[[#This Row],[centro_costo]]="","",_xlfn.XLOOKUP(tblOrdenes[[#This Row],[centro_costo]],tblCECO[codigo],tblCECO[linea],"(sin catálogo)"))</f>
        <v/>
      </c>
      <c r="V761" s="3">
        <f>IF(tblOrdenes[[#This Row],[centro_costo]]="","",_xlfn.XLOOKUP(tblOrdenes[[#This Row],[centro_costo]],tblCECO[codigo],tblCECO[area],"(sin catálogo)"))</f>
        <v/>
      </c>
      <c r="W7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1" s="3">
        <f>IF(tblOrdenes[[#This Row],[centro_costo]]="","",_xlfn.XLOOKUP(tblOrdenes[[#This Row],[centro_costo]],tblCECO[codigo],tblCECO[coordinador],"(sin catálogo)"))</f>
        <v/>
      </c>
      <c r="Y761" s="3">
        <f>IF(tblOrdenes[[#This Row],[puesto_trabajo]]="","",_xlfn.XLOOKUP(tblOrdenes[[#This Row],[puesto_trabajo]],tblPuestos[codigo],tblPuestos[especialidad],"(sin catálogo)"))</f>
        <v/>
      </c>
      <c r="Z761" s="3">
        <f>IF(tblOrdenes[[#This Row],[cod_actividad]]="","",_xlfn.XLOOKUP(tblOrdenes[[#This Row],[cod_actividad]],tblActividades[codigo],tblActividades[descripcion],"(sin catálogo)"))</f>
        <v/>
      </c>
      <c r="AA761" s="13">
        <f>IF(tblOrdenes[[#This Row],[fecha_inicio]]="","",TODAY()-tblOrdenes[[#This Row],[fecha_inicio]])</f>
        <v/>
      </c>
      <c r="AB7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1" s="3">
        <f>IF(tblOrdenes[[#This Row],[backlog_habiles]]="","",IF(tblOrdenes[[#This Row],[backlog_habiles]]&lt;0,"FUTURO",IF(tblOrdenes[[#This Row],[backlog_habiles]]&gt;p_dias_backlog_max,"BACKLOG","MES CORRIENTE")))</f>
        <v/>
      </c>
      <c r="AD761" s="3">
        <f>IF(tblOrdenes[[#This Row],[backlog_habiles]]="",FALSE,AND(tblOrdenes[[#This Row],[backlog_habiles]]&gt;p_dias_backlog_min,tblOrdenes[[#This Row],[backlog_habiles]]&lt;=p_dias_backlog_max))</f>
        <v/>
      </c>
      <c r="AE761" s="6" t="n"/>
      <c r="AF7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1" s="11">
        <f>IF(tblOrdenes[[#This Row],[orden]]="","",_xlfn.XLOOKUP(tblOrdenes[[#This Row],[id_operacion]],tblEjecucion[id_operacion],tblEjecucion[precio],0))</f>
        <v/>
      </c>
      <c r="AJ761" s="11">
        <f>IF(tblOrdenes[[#This Row],[orden]]="","",MAX(0,_xlfn.XLOOKUP(tblOrdenes[[#This Row],[id_operacion]],tblEjecucion[id_operacion],tblEjecucion[costo_plan_total],0)-tblOrdenes[[#This Row],[costo_servicio]]))</f>
        <v/>
      </c>
      <c r="AK761" s="11">
        <f>IF(tblOrdenes[[#This Row],[orden]]="","",tblOrdenes[[#This Row],[costo_servicio]]+tblOrdenes[[#This Row],[costo_materiales]])</f>
        <v/>
      </c>
      <c r="AL761" s="6" t="n"/>
      <c r="AM761" s="6" t="n"/>
      <c r="AN761" s="6" t="n"/>
      <c r="AO761" s="3">
        <f>IF(tblOrdenes[[#This Row],[link_checklist]]="","",HYPERLINK(p_ruta_base_checklists&amp;tblOrdenes[[#This Row],[link_checklist]],"abrir"))</f>
        <v/>
      </c>
      <c r="AP761" s="6" t="n"/>
      <c r="AQ761" s="3">
        <f>IF(tblOrdenes[[#This Row],[orden]]="","",tblOrdenes[[#This Row],[orden]]&amp;IF(tblOrdenes[[#This Row],[operacion]]="","0010",tblOrdenes[[#This Row],[operacion]]))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2" t="n"/>
      <c r="K762" s="3" t="n"/>
      <c r="L762" s="11" t="n"/>
      <c r="M7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2" s="3">
        <f>IF(tblOrdenes[[#This Row],[fecha_inicio]]="","",YEAR(tblOrdenes[[#This Row],[fecha_inicio]]))</f>
        <v/>
      </c>
      <c r="Q762" s="3">
        <f>IF(tblOrdenes[[#This Row],[fecha_inicio]]="","",MONTH(tblOrdenes[[#This Row],[fecha_inicio]]))</f>
        <v/>
      </c>
      <c r="R762" s="3">
        <f>IF(tblOrdenes[[#This Row],[fecha_inicio]]="","",INDEX(lista_dias,WEEKDAY(tblOrdenes[[#This Row],[fecha_inicio]],2)))</f>
        <v/>
      </c>
      <c r="S7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2" s="3">
        <f>IF(tblOrdenes[[#This Row],[tipo_ot]]="","",_xlfn.XLOOKUP(tblOrdenes[[#This Row],[tipo_ot]],tblTiposOT[codigo],tblTiposOT[clasificacion],"sin_clasificar"))</f>
        <v/>
      </c>
      <c r="U762" s="3">
        <f>IF(tblOrdenes[[#This Row],[centro_costo]]="","",_xlfn.XLOOKUP(tblOrdenes[[#This Row],[centro_costo]],tblCECO[codigo],tblCECO[linea],"(sin catálogo)"))</f>
        <v/>
      </c>
      <c r="V762" s="3">
        <f>IF(tblOrdenes[[#This Row],[centro_costo]]="","",_xlfn.XLOOKUP(tblOrdenes[[#This Row],[centro_costo]],tblCECO[codigo],tblCECO[area],"(sin catálogo)"))</f>
        <v/>
      </c>
      <c r="W7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2" s="3">
        <f>IF(tblOrdenes[[#This Row],[centro_costo]]="","",_xlfn.XLOOKUP(tblOrdenes[[#This Row],[centro_costo]],tblCECO[codigo],tblCECO[coordinador],"(sin catálogo)"))</f>
        <v/>
      </c>
      <c r="Y762" s="3">
        <f>IF(tblOrdenes[[#This Row],[puesto_trabajo]]="","",_xlfn.XLOOKUP(tblOrdenes[[#This Row],[puesto_trabajo]],tblPuestos[codigo],tblPuestos[especialidad],"(sin catálogo)"))</f>
        <v/>
      </c>
      <c r="Z762" s="3">
        <f>IF(tblOrdenes[[#This Row],[cod_actividad]]="","",_xlfn.XLOOKUP(tblOrdenes[[#This Row],[cod_actividad]],tblActividades[codigo],tblActividades[descripcion],"(sin catálogo)"))</f>
        <v/>
      </c>
      <c r="AA762" s="13">
        <f>IF(tblOrdenes[[#This Row],[fecha_inicio]]="","",TODAY()-tblOrdenes[[#This Row],[fecha_inicio]])</f>
        <v/>
      </c>
      <c r="AB7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2" s="3">
        <f>IF(tblOrdenes[[#This Row],[backlog_habiles]]="","",IF(tblOrdenes[[#This Row],[backlog_habiles]]&lt;0,"FUTURO",IF(tblOrdenes[[#This Row],[backlog_habiles]]&gt;p_dias_backlog_max,"BACKLOG","MES CORRIENTE")))</f>
        <v/>
      </c>
      <c r="AD762" s="3">
        <f>IF(tblOrdenes[[#This Row],[backlog_habiles]]="",FALSE,AND(tblOrdenes[[#This Row],[backlog_habiles]]&gt;p_dias_backlog_min,tblOrdenes[[#This Row],[backlog_habiles]]&lt;=p_dias_backlog_max))</f>
        <v/>
      </c>
      <c r="AE762" s="6" t="n"/>
      <c r="AF7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2" s="11">
        <f>IF(tblOrdenes[[#This Row],[orden]]="","",_xlfn.XLOOKUP(tblOrdenes[[#This Row],[id_operacion]],tblEjecucion[id_operacion],tblEjecucion[precio],0))</f>
        <v/>
      </c>
      <c r="AJ762" s="11">
        <f>IF(tblOrdenes[[#This Row],[orden]]="","",MAX(0,_xlfn.XLOOKUP(tblOrdenes[[#This Row],[id_operacion]],tblEjecucion[id_operacion],tblEjecucion[costo_plan_total],0)-tblOrdenes[[#This Row],[costo_servicio]]))</f>
        <v/>
      </c>
      <c r="AK762" s="11">
        <f>IF(tblOrdenes[[#This Row],[orden]]="","",tblOrdenes[[#This Row],[costo_servicio]]+tblOrdenes[[#This Row],[costo_materiales]])</f>
        <v/>
      </c>
      <c r="AL762" s="6" t="n"/>
      <c r="AM762" s="6" t="n"/>
      <c r="AN762" s="6" t="n"/>
      <c r="AO762" s="3">
        <f>IF(tblOrdenes[[#This Row],[link_checklist]]="","",HYPERLINK(p_ruta_base_checklists&amp;tblOrdenes[[#This Row],[link_checklist]],"abrir"))</f>
        <v/>
      </c>
      <c r="AP762" s="6" t="n"/>
      <c r="AQ762" s="3">
        <f>IF(tblOrdenes[[#This Row],[orden]]="","",tblOrdenes[[#This Row],[orden]]&amp;IF(tblOrdenes[[#This Row],[operacion]]="","0010",tblOrdenes[[#This Row],[operacion]]))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2" t="n"/>
      <c r="K763" s="3" t="n"/>
      <c r="L763" s="11" t="n"/>
      <c r="M7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3" s="3">
        <f>IF(tblOrdenes[[#This Row],[fecha_inicio]]="","",YEAR(tblOrdenes[[#This Row],[fecha_inicio]]))</f>
        <v/>
      </c>
      <c r="Q763" s="3">
        <f>IF(tblOrdenes[[#This Row],[fecha_inicio]]="","",MONTH(tblOrdenes[[#This Row],[fecha_inicio]]))</f>
        <v/>
      </c>
      <c r="R763" s="3">
        <f>IF(tblOrdenes[[#This Row],[fecha_inicio]]="","",INDEX(lista_dias,WEEKDAY(tblOrdenes[[#This Row],[fecha_inicio]],2)))</f>
        <v/>
      </c>
      <c r="S7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3" s="3">
        <f>IF(tblOrdenes[[#This Row],[tipo_ot]]="","",_xlfn.XLOOKUP(tblOrdenes[[#This Row],[tipo_ot]],tblTiposOT[codigo],tblTiposOT[clasificacion],"sin_clasificar"))</f>
        <v/>
      </c>
      <c r="U763" s="3">
        <f>IF(tblOrdenes[[#This Row],[centro_costo]]="","",_xlfn.XLOOKUP(tblOrdenes[[#This Row],[centro_costo]],tblCECO[codigo],tblCECO[linea],"(sin catálogo)"))</f>
        <v/>
      </c>
      <c r="V763" s="3">
        <f>IF(tblOrdenes[[#This Row],[centro_costo]]="","",_xlfn.XLOOKUP(tblOrdenes[[#This Row],[centro_costo]],tblCECO[codigo],tblCECO[area],"(sin catálogo)"))</f>
        <v/>
      </c>
      <c r="W7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3" s="3">
        <f>IF(tblOrdenes[[#This Row],[centro_costo]]="","",_xlfn.XLOOKUP(tblOrdenes[[#This Row],[centro_costo]],tblCECO[codigo],tblCECO[coordinador],"(sin catálogo)"))</f>
        <v/>
      </c>
      <c r="Y763" s="3">
        <f>IF(tblOrdenes[[#This Row],[puesto_trabajo]]="","",_xlfn.XLOOKUP(tblOrdenes[[#This Row],[puesto_trabajo]],tblPuestos[codigo],tblPuestos[especialidad],"(sin catálogo)"))</f>
        <v/>
      </c>
      <c r="Z763" s="3">
        <f>IF(tblOrdenes[[#This Row],[cod_actividad]]="","",_xlfn.XLOOKUP(tblOrdenes[[#This Row],[cod_actividad]],tblActividades[codigo],tblActividades[descripcion],"(sin catálogo)"))</f>
        <v/>
      </c>
      <c r="AA763" s="13">
        <f>IF(tblOrdenes[[#This Row],[fecha_inicio]]="","",TODAY()-tblOrdenes[[#This Row],[fecha_inicio]])</f>
        <v/>
      </c>
      <c r="AB7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3" s="3">
        <f>IF(tblOrdenes[[#This Row],[backlog_habiles]]="","",IF(tblOrdenes[[#This Row],[backlog_habiles]]&lt;0,"FUTURO",IF(tblOrdenes[[#This Row],[backlog_habiles]]&gt;p_dias_backlog_max,"BACKLOG","MES CORRIENTE")))</f>
        <v/>
      </c>
      <c r="AD763" s="3">
        <f>IF(tblOrdenes[[#This Row],[backlog_habiles]]="",FALSE,AND(tblOrdenes[[#This Row],[backlog_habiles]]&gt;p_dias_backlog_min,tblOrdenes[[#This Row],[backlog_habiles]]&lt;=p_dias_backlog_max))</f>
        <v/>
      </c>
      <c r="AE763" s="6" t="n"/>
      <c r="AF7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3" s="11">
        <f>IF(tblOrdenes[[#This Row],[orden]]="","",_xlfn.XLOOKUP(tblOrdenes[[#This Row],[id_operacion]],tblEjecucion[id_operacion],tblEjecucion[precio],0))</f>
        <v/>
      </c>
      <c r="AJ763" s="11">
        <f>IF(tblOrdenes[[#This Row],[orden]]="","",MAX(0,_xlfn.XLOOKUP(tblOrdenes[[#This Row],[id_operacion]],tblEjecucion[id_operacion],tblEjecucion[costo_plan_total],0)-tblOrdenes[[#This Row],[costo_servicio]]))</f>
        <v/>
      </c>
      <c r="AK763" s="11">
        <f>IF(tblOrdenes[[#This Row],[orden]]="","",tblOrdenes[[#This Row],[costo_servicio]]+tblOrdenes[[#This Row],[costo_materiales]])</f>
        <v/>
      </c>
      <c r="AL763" s="6" t="n"/>
      <c r="AM763" s="6" t="n"/>
      <c r="AN763" s="6" t="n"/>
      <c r="AO763" s="3">
        <f>IF(tblOrdenes[[#This Row],[link_checklist]]="","",HYPERLINK(p_ruta_base_checklists&amp;tblOrdenes[[#This Row],[link_checklist]],"abrir"))</f>
        <v/>
      </c>
      <c r="AP763" s="6" t="n"/>
      <c r="AQ763" s="3">
        <f>IF(tblOrdenes[[#This Row],[orden]]="","",tblOrdenes[[#This Row],[orden]]&amp;IF(tblOrdenes[[#This Row],[operacion]]="","0010",tblOrdenes[[#This Row],[operacion]]))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2" t="n"/>
      <c r="K764" s="3" t="n"/>
      <c r="L764" s="11" t="n"/>
      <c r="M7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4" s="3">
        <f>IF(tblOrdenes[[#This Row],[fecha_inicio]]="","",YEAR(tblOrdenes[[#This Row],[fecha_inicio]]))</f>
        <v/>
      </c>
      <c r="Q764" s="3">
        <f>IF(tblOrdenes[[#This Row],[fecha_inicio]]="","",MONTH(tblOrdenes[[#This Row],[fecha_inicio]]))</f>
        <v/>
      </c>
      <c r="R764" s="3">
        <f>IF(tblOrdenes[[#This Row],[fecha_inicio]]="","",INDEX(lista_dias,WEEKDAY(tblOrdenes[[#This Row],[fecha_inicio]],2)))</f>
        <v/>
      </c>
      <c r="S7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4" s="3">
        <f>IF(tblOrdenes[[#This Row],[tipo_ot]]="","",_xlfn.XLOOKUP(tblOrdenes[[#This Row],[tipo_ot]],tblTiposOT[codigo],tblTiposOT[clasificacion],"sin_clasificar"))</f>
        <v/>
      </c>
      <c r="U764" s="3">
        <f>IF(tblOrdenes[[#This Row],[centro_costo]]="","",_xlfn.XLOOKUP(tblOrdenes[[#This Row],[centro_costo]],tblCECO[codigo],tblCECO[linea],"(sin catálogo)"))</f>
        <v/>
      </c>
      <c r="V764" s="3">
        <f>IF(tblOrdenes[[#This Row],[centro_costo]]="","",_xlfn.XLOOKUP(tblOrdenes[[#This Row],[centro_costo]],tblCECO[codigo],tblCECO[area],"(sin catálogo)"))</f>
        <v/>
      </c>
      <c r="W7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4" s="3">
        <f>IF(tblOrdenes[[#This Row],[centro_costo]]="","",_xlfn.XLOOKUP(tblOrdenes[[#This Row],[centro_costo]],tblCECO[codigo],tblCECO[coordinador],"(sin catálogo)"))</f>
        <v/>
      </c>
      <c r="Y764" s="3">
        <f>IF(tblOrdenes[[#This Row],[puesto_trabajo]]="","",_xlfn.XLOOKUP(tblOrdenes[[#This Row],[puesto_trabajo]],tblPuestos[codigo],tblPuestos[especialidad],"(sin catálogo)"))</f>
        <v/>
      </c>
      <c r="Z764" s="3">
        <f>IF(tblOrdenes[[#This Row],[cod_actividad]]="","",_xlfn.XLOOKUP(tblOrdenes[[#This Row],[cod_actividad]],tblActividades[codigo],tblActividades[descripcion],"(sin catálogo)"))</f>
        <v/>
      </c>
      <c r="AA764" s="13">
        <f>IF(tblOrdenes[[#This Row],[fecha_inicio]]="","",TODAY()-tblOrdenes[[#This Row],[fecha_inicio]])</f>
        <v/>
      </c>
      <c r="AB7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4" s="3">
        <f>IF(tblOrdenes[[#This Row],[backlog_habiles]]="","",IF(tblOrdenes[[#This Row],[backlog_habiles]]&lt;0,"FUTURO",IF(tblOrdenes[[#This Row],[backlog_habiles]]&gt;p_dias_backlog_max,"BACKLOG","MES CORRIENTE")))</f>
        <v/>
      </c>
      <c r="AD764" s="3">
        <f>IF(tblOrdenes[[#This Row],[backlog_habiles]]="",FALSE,AND(tblOrdenes[[#This Row],[backlog_habiles]]&gt;p_dias_backlog_min,tblOrdenes[[#This Row],[backlog_habiles]]&lt;=p_dias_backlog_max))</f>
        <v/>
      </c>
      <c r="AE764" s="6" t="n"/>
      <c r="AF7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4" s="11">
        <f>IF(tblOrdenes[[#This Row],[orden]]="","",_xlfn.XLOOKUP(tblOrdenes[[#This Row],[id_operacion]],tblEjecucion[id_operacion],tblEjecucion[precio],0))</f>
        <v/>
      </c>
      <c r="AJ764" s="11">
        <f>IF(tblOrdenes[[#This Row],[orden]]="","",MAX(0,_xlfn.XLOOKUP(tblOrdenes[[#This Row],[id_operacion]],tblEjecucion[id_operacion],tblEjecucion[costo_plan_total],0)-tblOrdenes[[#This Row],[costo_servicio]]))</f>
        <v/>
      </c>
      <c r="AK764" s="11">
        <f>IF(tblOrdenes[[#This Row],[orden]]="","",tblOrdenes[[#This Row],[costo_servicio]]+tblOrdenes[[#This Row],[costo_materiales]])</f>
        <v/>
      </c>
      <c r="AL764" s="6" t="n"/>
      <c r="AM764" s="6" t="n"/>
      <c r="AN764" s="6" t="n"/>
      <c r="AO764" s="3">
        <f>IF(tblOrdenes[[#This Row],[link_checklist]]="","",HYPERLINK(p_ruta_base_checklists&amp;tblOrdenes[[#This Row],[link_checklist]],"abrir"))</f>
        <v/>
      </c>
      <c r="AP764" s="6" t="n"/>
      <c r="AQ764" s="3">
        <f>IF(tblOrdenes[[#This Row],[orden]]="","",tblOrdenes[[#This Row],[orden]]&amp;IF(tblOrdenes[[#This Row],[operacion]]="","0010",tblOrdenes[[#This Row],[operacion]]))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2" t="n"/>
      <c r="K765" s="3" t="n"/>
      <c r="L765" s="11" t="n"/>
      <c r="M7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5" s="3">
        <f>IF(tblOrdenes[[#This Row],[fecha_inicio]]="","",YEAR(tblOrdenes[[#This Row],[fecha_inicio]]))</f>
        <v/>
      </c>
      <c r="Q765" s="3">
        <f>IF(tblOrdenes[[#This Row],[fecha_inicio]]="","",MONTH(tblOrdenes[[#This Row],[fecha_inicio]]))</f>
        <v/>
      </c>
      <c r="R765" s="3">
        <f>IF(tblOrdenes[[#This Row],[fecha_inicio]]="","",INDEX(lista_dias,WEEKDAY(tblOrdenes[[#This Row],[fecha_inicio]],2)))</f>
        <v/>
      </c>
      <c r="S7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5" s="3">
        <f>IF(tblOrdenes[[#This Row],[tipo_ot]]="","",_xlfn.XLOOKUP(tblOrdenes[[#This Row],[tipo_ot]],tblTiposOT[codigo],tblTiposOT[clasificacion],"sin_clasificar"))</f>
        <v/>
      </c>
      <c r="U765" s="3">
        <f>IF(tblOrdenes[[#This Row],[centro_costo]]="","",_xlfn.XLOOKUP(tblOrdenes[[#This Row],[centro_costo]],tblCECO[codigo],tblCECO[linea],"(sin catálogo)"))</f>
        <v/>
      </c>
      <c r="V765" s="3">
        <f>IF(tblOrdenes[[#This Row],[centro_costo]]="","",_xlfn.XLOOKUP(tblOrdenes[[#This Row],[centro_costo]],tblCECO[codigo],tblCECO[area],"(sin catálogo)"))</f>
        <v/>
      </c>
      <c r="W7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5" s="3">
        <f>IF(tblOrdenes[[#This Row],[centro_costo]]="","",_xlfn.XLOOKUP(tblOrdenes[[#This Row],[centro_costo]],tblCECO[codigo],tblCECO[coordinador],"(sin catálogo)"))</f>
        <v/>
      </c>
      <c r="Y765" s="3">
        <f>IF(tblOrdenes[[#This Row],[puesto_trabajo]]="","",_xlfn.XLOOKUP(tblOrdenes[[#This Row],[puesto_trabajo]],tblPuestos[codigo],tblPuestos[especialidad],"(sin catálogo)"))</f>
        <v/>
      </c>
      <c r="Z765" s="3">
        <f>IF(tblOrdenes[[#This Row],[cod_actividad]]="","",_xlfn.XLOOKUP(tblOrdenes[[#This Row],[cod_actividad]],tblActividades[codigo],tblActividades[descripcion],"(sin catálogo)"))</f>
        <v/>
      </c>
      <c r="AA765" s="13">
        <f>IF(tblOrdenes[[#This Row],[fecha_inicio]]="","",TODAY()-tblOrdenes[[#This Row],[fecha_inicio]])</f>
        <v/>
      </c>
      <c r="AB7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5" s="3">
        <f>IF(tblOrdenes[[#This Row],[backlog_habiles]]="","",IF(tblOrdenes[[#This Row],[backlog_habiles]]&lt;0,"FUTURO",IF(tblOrdenes[[#This Row],[backlog_habiles]]&gt;p_dias_backlog_max,"BACKLOG","MES CORRIENTE")))</f>
        <v/>
      </c>
      <c r="AD765" s="3">
        <f>IF(tblOrdenes[[#This Row],[backlog_habiles]]="",FALSE,AND(tblOrdenes[[#This Row],[backlog_habiles]]&gt;p_dias_backlog_min,tblOrdenes[[#This Row],[backlog_habiles]]&lt;=p_dias_backlog_max))</f>
        <v/>
      </c>
      <c r="AE765" s="6" t="n"/>
      <c r="AF7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5" s="11">
        <f>IF(tblOrdenes[[#This Row],[orden]]="","",_xlfn.XLOOKUP(tblOrdenes[[#This Row],[id_operacion]],tblEjecucion[id_operacion],tblEjecucion[precio],0))</f>
        <v/>
      </c>
      <c r="AJ765" s="11">
        <f>IF(tblOrdenes[[#This Row],[orden]]="","",MAX(0,_xlfn.XLOOKUP(tblOrdenes[[#This Row],[id_operacion]],tblEjecucion[id_operacion],tblEjecucion[costo_plan_total],0)-tblOrdenes[[#This Row],[costo_servicio]]))</f>
        <v/>
      </c>
      <c r="AK765" s="11">
        <f>IF(tblOrdenes[[#This Row],[orden]]="","",tblOrdenes[[#This Row],[costo_servicio]]+tblOrdenes[[#This Row],[costo_materiales]])</f>
        <v/>
      </c>
      <c r="AL765" s="6" t="n"/>
      <c r="AM765" s="6" t="n"/>
      <c r="AN765" s="6" t="n"/>
      <c r="AO765" s="3">
        <f>IF(tblOrdenes[[#This Row],[link_checklist]]="","",HYPERLINK(p_ruta_base_checklists&amp;tblOrdenes[[#This Row],[link_checklist]],"abrir"))</f>
        <v/>
      </c>
      <c r="AP765" s="6" t="n"/>
      <c r="AQ765" s="3">
        <f>IF(tblOrdenes[[#This Row],[orden]]="","",tblOrdenes[[#This Row],[orden]]&amp;IF(tblOrdenes[[#This Row],[operacion]]="","0010",tblOrdenes[[#This Row],[operacion]]))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2" t="n"/>
      <c r="K766" s="3" t="n"/>
      <c r="L766" s="11" t="n"/>
      <c r="M7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6" s="3">
        <f>IF(tblOrdenes[[#This Row],[fecha_inicio]]="","",YEAR(tblOrdenes[[#This Row],[fecha_inicio]]))</f>
        <v/>
      </c>
      <c r="Q766" s="3">
        <f>IF(tblOrdenes[[#This Row],[fecha_inicio]]="","",MONTH(tblOrdenes[[#This Row],[fecha_inicio]]))</f>
        <v/>
      </c>
      <c r="R766" s="3">
        <f>IF(tblOrdenes[[#This Row],[fecha_inicio]]="","",INDEX(lista_dias,WEEKDAY(tblOrdenes[[#This Row],[fecha_inicio]],2)))</f>
        <v/>
      </c>
      <c r="S7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6" s="3">
        <f>IF(tblOrdenes[[#This Row],[tipo_ot]]="","",_xlfn.XLOOKUP(tblOrdenes[[#This Row],[tipo_ot]],tblTiposOT[codigo],tblTiposOT[clasificacion],"sin_clasificar"))</f>
        <v/>
      </c>
      <c r="U766" s="3">
        <f>IF(tblOrdenes[[#This Row],[centro_costo]]="","",_xlfn.XLOOKUP(tblOrdenes[[#This Row],[centro_costo]],tblCECO[codigo],tblCECO[linea],"(sin catálogo)"))</f>
        <v/>
      </c>
      <c r="V766" s="3">
        <f>IF(tblOrdenes[[#This Row],[centro_costo]]="","",_xlfn.XLOOKUP(tblOrdenes[[#This Row],[centro_costo]],tblCECO[codigo],tblCECO[area],"(sin catálogo)"))</f>
        <v/>
      </c>
      <c r="W7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6" s="3">
        <f>IF(tblOrdenes[[#This Row],[centro_costo]]="","",_xlfn.XLOOKUP(tblOrdenes[[#This Row],[centro_costo]],tblCECO[codigo],tblCECO[coordinador],"(sin catálogo)"))</f>
        <v/>
      </c>
      <c r="Y766" s="3">
        <f>IF(tblOrdenes[[#This Row],[puesto_trabajo]]="","",_xlfn.XLOOKUP(tblOrdenes[[#This Row],[puesto_trabajo]],tblPuestos[codigo],tblPuestos[especialidad],"(sin catálogo)"))</f>
        <v/>
      </c>
      <c r="Z766" s="3">
        <f>IF(tblOrdenes[[#This Row],[cod_actividad]]="","",_xlfn.XLOOKUP(tblOrdenes[[#This Row],[cod_actividad]],tblActividades[codigo],tblActividades[descripcion],"(sin catálogo)"))</f>
        <v/>
      </c>
      <c r="AA766" s="13">
        <f>IF(tblOrdenes[[#This Row],[fecha_inicio]]="","",TODAY()-tblOrdenes[[#This Row],[fecha_inicio]])</f>
        <v/>
      </c>
      <c r="AB7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6" s="3">
        <f>IF(tblOrdenes[[#This Row],[backlog_habiles]]="","",IF(tblOrdenes[[#This Row],[backlog_habiles]]&lt;0,"FUTURO",IF(tblOrdenes[[#This Row],[backlog_habiles]]&gt;p_dias_backlog_max,"BACKLOG","MES CORRIENTE")))</f>
        <v/>
      </c>
      <c r="AD766" s="3">
        <f>IF(tblOrdenes[[#This Row],[backlog_habiles]]="",FALSE,AND(tblOrdenes[[#This Row],[backlog_habiles]]&gt;p_dias_backlog_min,tblOrdenes[[#This Row],[backlog_habiles]]&lt;=p_dias_backlog_max))</f>
        <v/>
      </c>
      <c r="AE766" s="6" t="n"/>
      <c r="AF7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6" s="11">
        <f>IF(tblOrdenes[[#This Row],[orden]]="","",_xlfn.XLOOKUP(tblOrdenes[[#This Row],[id_operacion]],tblEjecucion[id_operacion],tblEjecucion[precio],0))</f>
        <v/>
      </c>
      <c r="AJ766" s="11">
        <f>IF(tblOrdenes[[#This Row],[orden]]="","",MAX(0,_xlfn.XLOOKUP(tblOrdenes[[#This Row],[id_operacion]],tblEjecucion[id_operacion],tblEjecucion[costo_plan_total],0)-tblOrdenes[[#This Row],[costo_servicio]]))</f>
        <v/>
      </c>
      <c r="AK766" s="11">
        <f>IF(tblOrdenes[[#This Row],[orden]]="","",tblOrdenes[[#This Row],[costo_servicio]]+tblOrdenes[[#This Row],[costo_materiales]])</f>
        <v/>
      </c>
      <c r="AL766" s="6" t="n"/>
      <c r="AM766" s="6" t="n"/>
      <c r="AN766" s="6" t="n"/>
      <c r="AO766" s="3">
        <f>IF(tblOrdenes[[#This Row],[link_checklist]]="","",HYPERLINK(p_ruta_base_checklists&amp;tblOrdenes[[#This Row],[link_checklist]],"abrir"))</f>
        <v/>
      </c>
      <c r="AP766" s="6" t="n"/>
      <c r="AQ766" s="3">
        <f>IF(tblOrdenes[[#This Row],[orden]]="","",tblOrdenes[[#This Row],[orden]]&amp;IF(tblOrdenes[[#This Row],[operacion]]="","0010",tblOrdenes[[#This Row],[operacion]]))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2" t="n"/>
      <c r="K767" s="3" t="n"/>
      <c r="L767" s="11" t="n"/>
      <c r="M7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7" s="3">
        <f>IF(tblOrdenes[[#This Row],[fecha_inicio]]="","",YEAR(tblOrdenes[[#This Row],[fecha_inicio]]))</f>
        <v/>
      </c>
      <c r="Q767" s="3">
        <f>IF(tblOrdenes[[#This Row],[fecha_inicio]]="","",MONTH(tblOrdenes[[#This Row],[fecha_inicio]]))</f>
        <v/>
      </c>
      <c r="R767" s="3">
        <f>IF(tblOrdenes[[#This Row],[fecha_inicio]]="","",INDEX(lista_dias,WEEKDAY(tblOrdenes[[#This Row],[fecha_inicio]],2)))</f>
        <v/>
      </c>
      <c r="S7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7" s="3">
        <f>IF(tblOrdenes[[#This Row],[tipo_ot]]="","",_xlfn.XLOOKUP(tblOrdenes[[#This Row],[tipo_ot]],tblTiposOT[codigo],tblTiposOT[clasificacion],"sin_clasificar"))</f>
        <v/>
      </c>
      <c r="U767" s="3">
        <f>IF(tblOrdenes[[#This Row],[centro_costo]]="","",_xlfn.XLOOKUP(tblOrdenes[[#This Row],[centro_costo]],tblCECO[codigo],tblCECO[linea],"(sin catálogo)"))</f>
        <v/>
      </c>
      <c r="V767" s="3">
        <f>IF(tblOrdenes[[#This Row],[centro_costo]]="","",_xlfn.XLOOKUP(tblOrdenes[[#This Row],[centro_costo]],tblCECO[codigo],tblCECO[area],"(sin catálogo)"))</f>
        <v/>
      </c>
      <c r="W7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7" s="3">
        <f>IF(tblOrdenes[[#This Row],[centro_costo]]="","",_xlfn.XLOOKUP(tblOrdenes[[#This Row],[centro_costo]],tblCECO[codigo],tblCECO[coordinador],"(sin catálogo)"))</f>
        <v/>
      </c>
      <c r="Y767" s="3">
        <f>IF(tblOrdenes[[#This Row],[puesto_trabajo]]="","",_xlfn.XLOOKUP(tblOrdenes[[#This Row],[puesto_trabajo]],tblPuestos[codigo],tblPuestos[especialidad],"(sin catálogo)"))</f>
        <v/>
      </c>
      <c r="Z767" s="3">
        <f>IF(tblOrdenes[[#This Row],[cod_actividad]]="","",_xlfn.XLOOKUP(tblOrdenes[[#This Row],[cod_actividad]],tblActividades[codigo],tblActividades[descripcion],"(sin catálogo)"))</f>
        <v/>
      </c>
      <c r="AA767" s="13">
        <f>IF(tblOrdenes[[#This Row],[fecha_inicio]]="","",TODAY()-tblOrdenes[[#This Row],[fecha_inicio]])</f>
        <v/>
      </c>
      <c r="AB7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7" s="3">
        <f>IF(tblOrdenes[[#This Row],[backlog_habiles]]="","",IF(tblOrdenes[[#This Row],[backlog_habiles]]&lt;0,"FUTURO",IF(tblOrdenes[[#This Row],[backlog_habiles]]&gt;p_dias_backlog_max,"BACKLOG","MES CORRIENTE")))</f>
        <v/>
      </c>
      <c r="AD767" s="3">
        <f>IF(tblOrdenes[[#This Row],[backlog_habiles]]="",FALSE,AND(tblOrdenes[[#This Row],[backlog_habiles]]&gt;p_dias_backlog_min,tblOrdenes[[#This Row],[backlog_habiles]]&lt;=p_dias_backlog_max))</f>
        <v/>
      </c>
      <c r="AE767" s="6" t="n"/>
      <c r="AF7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7" s="11">
        <f>IF(tblOrdenes[[#This Row],[orden]]="","",_xlfn.XLOOKUP(tblOrdenes[[#This Row],[id_operacion]],tblEjecucion[id_operacion],tblEjecucion[precio],0))</f>
        <v/>
      </c>
      <c r="AJ767" s="11">
        <f>IF(tblOrdenes[[#This Row],[orden]]="","",MAX(0,_xlfn.XLOOKUP(tblOrdenes[[#This Row],[id_operacion]],tblEjecucion[id_operacion],tblEjecucion[costo_plan_total],0)-tblOrdenes[[#This Row],[costo_servicio]]))</f>
        <v/>
      </c>
      <c r="AK767" s="11">
        <f>IF(tblOrdenes[[#This Row],[orden]]="","",tblOrdenes[[#This Row],[costo_servicio]]+tblOrdenes[[#This Row],[costo_materiales]])</f>
        <v/>
      </c>
      <c r="AL767" s="6" t="n"/>
      <c r="AM767" s="6" t="n"/>
      <c r="AN767" s="6" t="n"/>
      <c r="AO767" s="3">
        <f>IF(tblOrdenes[[#This Row],[link_checklist]]="","",HYPERLINK(p_ruta_base_checklists&amp;tblOrdenes[[#This Row],[link_checklist]],"abrir"))</f>
        <v/>
      </c>
      <c r="AP767" s="6" t="n"/>
      <c r="AQ767" s="3">
        <f>IF(tblOrdenes[[#This Row],[orden]]="","",tblOrdenes[[#This Row],[orden]]&amp;IF(tblOrdenes[[#This Row],[operacion]]="","0010",tblOrdenes[[#This Row],[operacion]]))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2" t="n"/>
      <c r="K768" s="3" t="n"/>
      <c r="L768" s="11" t="n"/>
      <c r="M7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8" s="3">
        <f>IF(tblOrdenes[[#This Row],[fecha_inicio]]="","",YEAR(tblOrdenes[[#This Row],[fecha_inicio]]))</f>
        <v/>
      </c>
      <c r="Q768" s="3">
        <f>IF(tblOrdenes[[#This Row],[fecha_inicio]]="","",MONTH(tblOrdenes[[#This Row],[fecha_inicio]]))</f>
        <v/>
      </c>
      <c r="R768" s="3">
        <f>IF(tblOrdenes[[#This Row],[fecha_inicio]]="","",INDEX(lista_dias,WEEKDAY(tblOrdenes[[#This Row],[fecha_inicio]],2)))</f>
        <v/>
      </c>
      <c r="S7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8" s="3">
        <f>IF(tblOrdenes[[#This Row],[tipo_ot]]="","",_xlfn.XLOOKUP(tblOrdenes[[#This Row],[tipo_ot]],tblTiposOT[codigo],tblTiposOT[clasificacion],"sin_clasificar"))</f>
        <v/>
      </c>
      <c r="U768" s="3">
        <f>IF(tblOrdenes[[#This Row],[centro_costo]]="","",_xlfn.XLOOKUP(tblOrdenes[[#This Row],[centro_costo]],tblCECO[codigo],tblCECO[linea],"(sin catálogo)"))</f>
        <v/>
      </c>
      <c r="V768" s="3">
        <f>IF(tblOrdenes[[#This Row],[centro_costo]]="","",_xlfn.XLOOKUP(tblOrdenes[[#This Row],[centro_costo]],tblCECO[codigo],tblCECO[area],"(sin catálogo)"))</f>
        <v/>
      </c>
      <c r="W7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8" s="3">
        <f>IF(tblOrdenes[[#This Row],[centro_costo]]="","",_xlfn.XLOOKUP(tblOrdenes[[#This Row],[centro_costo]],tblCECO[codigo],tblCECO[coordinador],"(sin catálogo)"))</f>
        <v/>
      </c>
      <c r="Y768" s="3">
        <f>IF(tblOrdenes[[#This Row],[puesto_trabajo]]="","",_xlfn.XLOOKUP(tblOrdenes[[#This Row],[puesto_trabajo]],tblPuestos[codigo],tblPuestos[especialidad],"(sin catálogo)"))</f>
        <v/>
      </c>
      <c r="Z768" s="3">
        <f>IF(tblOrdenes[[#This Row],[cod_actividad]]="","",_xlfn.XLOOKUP(tblOrdenes[[#This Row],[cod_actividad]],tblActividades[codigo],tblActividades[descripcion],"(sin catálogo)"))</f>
        <v/>
      </c>
      <c r="AA768" s="13">
        <f>IF(tblOrdenes[[#This Row],[fecha_inicio]]="","",TODAY()-tblOrdenes[[#This Row],[fecha_inicio]])</f>
        <v/>
      </c>
      <c r="AB7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8" s="3">
        <f>IF(tblOrdenes[[#This Row],[backlog_habiles]]="","",IF(tblOrdenes[[#This Row],[backlog_habiles]]&lt;0,"FUTURO",IF(tblOrdenes[[#This Row],[backlog_habiles]]&gt;p_dias_backlog_max,"BACKLOG","MES CORRIENTE")))</f>
        <v/>
      </c>
      <c r="AD768" s="3">
        <f>IF(tblOrdenes[[#This Row],[backlog_habiles]]="",FALSE,AND(tblOrdenes[[#This Row],[backlog_habiles]]&gt;p_dias_backlog_min,tblOrdenes[[#This Row],[backlog_habiles]]&lt;=p_dias_backlog_max))</f>
        <v/>
      </c>
      <c r="AE768" s="6" t="n"/>
      <c r="AF7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8" s="11">
        <f>IF(tblOrdenes[[#This Row],[orden]]="","",_xlfn.XLOOKUP(tblOrdenes[[#This Row],[id_operacion]],tblEjecucion[id_operacion],tblEjecucion[precio],0))</f>
        <v/>
      </c>
      <c r="AJ768" s="11">
        <f>IF(tblOrdenes[[#This Row],[orden]]="","",MAX(0,_xlfn.XLOOKUP(tblOrdenes[[#This Row],[id_operacion]],tblEjecucion[id_operacion],tblEjecucion[costo_plan_total],0)-tblOrdenes[[#This Row],[costo_servicio]]))</f>
        <v/>
      </c>
      <c r="AK768" s="11">
        <f>IF(tblOrdenes[[#This Row],[orden]]="","",tblOrdenes[[#This Row],[costo_servicio]]+tblOrdenes[[#This Row],[costo_materiales]])</f>
        <v/>
      </c>
      <c r="AL768" s="6" t="n"/>
      <c r="AM768" s="6" t="n"/>
      <c r="AN768" s="6" t="n"/>
      <c r="AO768" s="3">
        <f>IF(tblOrdenes[[#This Row],[link_checklist]]="","",HYPERLINK(p_ruta_base_checklists&amp;tblOrdenes[[#This Row],[link_checklist]],"abrir"))</f>
        <v/>
      </c>
      <c r="AP768" s="6" t="n"/>
      <c r="AQ768" s="3">
        <f>IF(tblOrdenes[[#This Row],[orden]]="","",tblOrdenes[[#This Row],[orden]]&amp;IF(tblOrdenes[[#This Row],[operacion]]="","0010",tblOrdenes[[#This Row],[operacion]]))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2" t="n"/>
      <c r="K769" s="3" t="n"/>
      <c r="L769" s="11" t="n"/>
      <c r="M7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9" s="3">
        <f>IF(tblOrdenes[[#This Row],[fecha_inicio]]="","",YEAR(tblOrdenes[[#This Row],[fecha_inicio]]))</f>
        <v/>
      </c>
      <c r="Q769" s="3">
        <f>IF(tblOrdenes[[#This Row],[fecha_inicio]]="","",MONTH(tblOrdenes[[#This Row],[fecha_inicio]]))</f>
        <v/>
      </c>
      <c r="R769" s="3">
        <f>IF(tblOrdenes[[#This Row],[fecha_inicio]]="","",INDEX(lista_dias,WEEKDAY(tblOrdenes[[#This Row],[fecha_inicio]],2)))</f>
        <v/>
      </c>
      <c r="S7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9" s="3">
        <f>IF(tblOrdenes[[#This Row],[tipo_ot]]="","",_xlfn.XLOOKUP(tblOrdenes[[#This Row],[tipo_ot]],tblTiposOT[codigo],tblTiposOT[clasificacion],"sin_clasificar"))</f>
        <v/>
      </c>
      <c r="U769" s="3">
        <f>IF(tblOrdenes[[#This Row],[centro_costo]]="","",_xlfn.XLOOKUP(tblOrdenes[[#This Row],[centro_costo]],tblCECO[codigo],tblCECO[linea],"(sin catálogo)"))</f>
        <v/>
      </c>
      <c r="V769" s="3">
        <f>IF(tblOrdenes[[#This Row],[centro_costo]]="","",_xlfn.XLOOKUP(tblOrdenes[[#This Row],[centro_costo]],tblCECO[codigo],tblCECO[area],"(sin catálogo)"))</f>
        <v/>
      </c>
      <c r="W7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9" s="3">
        <f>IF(tblOrdenes[[#This Row],[centro_costo]]="","",_xlfn.XLOOKUP(tblOrdenes[[#This Row],[centro_costo]],tblCECO[codigo],tblCECO[coordinador],"(sin catálogo)"))</f>
        <v/>
      </c>
      <c r="Y769" s="3">
        <f>IF(tblOrdenes[[#This Row],[puesto_trabajo]]="","",_xlfn.XLOOKUP(tblOrdenes[[#This Row],[puesto_trabajo]],tblPuestos[codigo],tblPuestos[especialidad],"(sin catálogo)"))</f>
        <v/>
      </c>
      <c r="Z769" s="3">
        <f>IF(tblOrdenes[[#This Row],[cod_actividad]]="","",_xlfn.XLOOKUP(tblOrdenes[[#This Row],[cod_actividad]],tblActividades[codigo],tblActividades[descripcion],"(sin catálogo)"))</f>
        <v/>
      </c>
      <c r="AA769" s="13">
        <f>IF(tblOrdenes[[#This Row],[fecha_inicio]]="","",TODAY()-tblOrdenes[[#This Row],[fecha_inicio]])</f>
        <v/>
      </c>
      <c r="AB7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9" s="3">
        <f>IF(tblOrdenes[[#This Row],[backlog_habiles]]="","",IF(tblOrdenes[[#This Row],[backlog_habiles]]&lt;0,"FUTURO",IF(tblOrdenes[[#This Row],[backlog_habiles]]&gt;p_dias_backlog_max,"BACKLOG","MES CORRIENTE")))</f>
        <v/>
      </c>
      <c r="AD769" s="3">
        <f>IF(tblOrdenes[[#This Row],[backlog_habiles]]="",FALSE,AND(tblOrdenes[[#This Row],[backlog_habiles]]&gt;p_dias_backlog_min,tblOrdenes[[#This Row],[backlog_habiles]]&lt;=p_dias_backlog_max))</f>
        <v/>
      </c>
      <c r="AE769" s="6" t="n"/>
      <c r="AF7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9" s="11">
        <f>IF(tblOrdenes[[#This Row],[orden]]="","",_xlfn.XLOOKUP(tblOrdenes[[#This Row],[id_operacion]],tblEjecucion[id_operacion],tblEjecucion[precio],0))</f>
        <v/>
      </c>
      <c r="AJ769" s="11">
        <f>IF(tblOrdenes[[#This Row],[orden]]="","",MAX(0,_xlfn.XLOOKUP(tblOrdenes[[#This Row],[id_operacion]],tblEjecucion[id_operacion],tblEjecucion[costo_plan_total],0)-tblOrdenes[[#This Row],[costo_servicio]]))</f>
        <v/>
      </c>
      <c r="AK769" s="11">
        <f>IF(tblOrdenes[[#This Row],[orden]]="","",tblOrdenes[[#This Row],[costo_servicio]]+tblOrdenes[[#This Row],[costo_materiales]])</f>
        <v/>
      </c>
      <c r="AL769" s="6" t="n"/>
      <c r="AM769" s="6" t="n"/>
      <c r="AN769" s="6" t="n"/>
      <c r="AO769" s="3">
        <f>IF(tblOrdenes[[#This Row],[link_checklist]]="","",HYPERLINK(p_ruta_base_checklists&amp;tblOrdenes[[#This Row],[link_checklist]],"abrir"))</f>
        <v/>
      </c>
      <c r="AP769" s="6" t="n"/>
      <c r="AQ769" s="3">
        <f>IF(tblOrdenes[[#This Row],[orden]]="","",tblOrdenes[[#This Row],[orden]]&amp;IF(tblOrdenes[[#This Row],[operacion]]="","0010",tblOrdenes[[#This Row],[operacion]]))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2" t="n"/>
      <c r="K770" s="3" t="n"/>
      <c r="L770" s="11" t="n"/>
      <c r="M7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0" s="3">
        <f>IF(tblOrdenes[[#This Row],[fecha_inicio]]="","",YEAR(tblOrdenes[[#This Row],[fecha_inicio]]))</f>
        <v/>
      </c>
      <c r="Q770" s="3">
        <f>IF(tblOrdenes[[#This Row],[fecha_inicio]]="","",MONTH(tblOrdenes[[#This Row],[fecha_inicio]]))</f>
        <v/>
      </c>
      <c r="R770" s="3">
        <f>IF(tblOrdenes[[#This Row],[fecha_inicio]]="","",INDEX(lista_dias,WEEKDAY(tblOrdenes[[#This Row],[fecha_inicio]],2)))</f>
        <v/>
      </c>
      <c r="S7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0" s="3">
        <f>IF(tblOrdenes[[#This Row],[tipo_ot]]="","",_xlfn.XLOOKUP(tblOrdenes[[#This Row],[tipo_ot]],tblTiposOT[codigo],tblTiposOT[clasificacion],"sin_clasificar"))</f>
        <v/>
      </c>
      <c r="U770" s="3">
        <f>IF(tblOrdenes[[#This Row],[centro_costo]]="","",_xlfn.XLOOKUP(tblOrdenes[[#This Row],[centro_costo]],tblCECO[codigo],tblCECO[linea],"(sin catálogo)"))</f>
        <v/>
      </c>
      <c r="V770" s="3">
        <f>IF(tblOrdenes[[#This Row],[centro_costo]]="","",_xlfn.XLOOKUP(tblOrdenes[[#This Row],[centro_costo]],tblCECO[codigo],tblCECO[area],"(sin catálogo)"))</f>
        <v/>
      </c>
      <c r="W7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0" s="3">
        <f>IF(tblOrdenes[[#This Row],[centro_costo]]="","",_xlfn.XLOOKUP(tblOrdenes[[#This Row],[centro_costo]],tblCECO[codigo],tblCECO[coordinador],"(sin catálogo)"))</f>
        <v/>
      </c>
      <c r="Y770" s="3">
        <f>IF(tblOrdenes[[#This Row],[puesto_trabajo]]="","",_xlfn.XLOOKUP(tblOrdenes[[#This Row],[puesto_trabajo]],tblPuestos[codigo],tblPuestos[especialidad],"(sin catálogo)"))</f>
        <v/>
      </c>
      <c r="Z770" s="3">
        <f>IF(tblOrdenes[[#This Row],[cod_actividad]]="","",_xlfn.XLOOKUP(tblOrdenes[[#This Row],[cod_actividad]],tblActividades[codigo],tblActividades[descripcion],"(sin catálogo)"))</f>
        <v/>
      </c>
      <c r="AA770" s="13">
        <f>IF(tblOrdenes[[#This Row],[fecha_inicio]]="","",TODAY()-tblOrdenes[[#This Row],[fecha_inicio]])</f>
        <v/>
      </c>
      <c r="AB7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0" s="3">
        <f>IF(tblOrdenes[[#This Row],[backlog_habiles]]="","",IF(tblOrdenes[[#This Row],[backlog_habiles]]&lt;0,"FUTURO",IF(tblOrdenes[[#This Row],[backlog_habiles]]&gt;p_dias_backlog_max,"BACKLOG","MES CORRIENTE")))</f>
        <v/>
      </c>
      <c r="AD770" s="3">
        <f>IF(tblOrdenes[[#This Row],[backlog_habiles]]="",FALSE,AND(tblOrdenes[[#This Row],[backlog_habiles]]&gt;p_dias_backlog_min,tblOrdenes[[#This Row],[backlog_habiles]]&lt;=p_dias_backlog_max))</f>
        <v/>
      </c>
      <c r="AE770" s="6" t="n"/>
      <c r="AF7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0" s="11">
        <f>IF(tblOrdenes[[#This Row],[orden]]="","",_xlfn.XLOOKUP(tblOrdenes[[#This Row],[id_operacion]],tblEjecucion[id_operacion],tblEjecucion[precio],0))</f>
        <v/>
      </c>
      <c r="AJ770" s="11">
        <f>IF(tblOrdenes[[#This Row],[orden]]="","",MAX(0,_xlfn.XLOOKUP(tblOrdenes[[#This Row],[id_operacion]],tblEjecucion[id_operacion],tblEjecucion[costo_plan_total],0)-tblOrdenes[[#This Row],[costo_servicio]]))</f>
        <v/>
      </c>
      <c r="AK770" s="11">
        <f>IF(tblOrdenes[[#This Row],[orden]]="","",tblOrdenes[[#This Row],[costo_servicio]]+tblOrdenes[[#This Row],[costo_materiales]])</f>
        <v/>
      </c>
      <c r="AL770" s="6" t="n"/>
      <c r="AM770" s="6" t="n"/>
      <c r="AN770" s="6" t="n"/>
      <c r="AO770" s="3">
        <f>IF(tblOrdenes[[#This Row],[link_checklist]]="","",HYPERLINK(p_ruta_base_checklists&amp;tblOrdenes[[#This Row],[link_checklist]],"abrir"))</f>
        <v/>
      </c>
      <c r="AP770" s="6" t="n"/>
      <c r="AQ770" s="3">
        <f>IF(tblOrdenes[[#This Row],[orden]]="","",tblOrdenes[[#This Row],[orden]]&amp;IF(tblOrdenes[[#This Row],[operacion]]="","0010",tblOrdenes[[#This Row],[operacion]]))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2" t="n"/>
      <c r="K771" s="3" t="n"/>
      <c r="L771" s="11" t="n"/>
      <c r="M7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1" s="3">
        <f>IF(tblOrdenes[[#This Row],[fecha_inicio]]="","",YEAR(tblOrdenes[[#This Row],[fecha_inicio]]))</f>
        <v/>
      </c>
      <c r="Q771" s="3">
        <f>IF(tblOrdenes[[#This Row],[fecha_inicio]]="","",MONTH(tblOrdenes[[#This Row],[fecha_inicio]]))</f>
        <v/>
      </c>
      <c r="R771" s="3">
        <f>IF(tblOrdenes[[#This Row],[fecha_inicio]]="","",INDEX(lista_dias,WEEKDAY(tblOrdenes[[#This Row],[fecha_inicio]],2)))</f>
        <v/>
      </c>
      <c r="S7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1" s="3">
        <f>IF(tblOrdenes[[#This Row],[tipo_ot]]="","",_xlfn.XLOOKUP(tblOrdenes[[#This Row],[tipo_ot]],tblTiposOT[codigo],tblTiposOT[clasificacion],"sin_clasificar"))</f>
        <v/>
      </c>
      <c r="U771" s="3">
        <f>IF(tblOrdenes[[#This Row],[centro_costo]]="","",_xlfn.XLOOKUP(tblOrdenes[[#This Row],[centro_costo]],tblCECO[codigo],tblCECO[linea],"(sin catálogo)"))</f>
        <v/>
      </c>
      <c r="V771" s="3">
        <f>IF(tblOrdenes[[#This Row],[centro_costo]]="","",_xlfn.XLOOKUP(tblOrdenes[[#This Row],[centro_costo]],tblCECO[codigo],tblCECO[area],"(sin catálogo)"))</f>
        <v/>
      </c>
      <c r="W7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1" s="3">
        <f>IF(tblOrdenes[[#This Row],[centro_costo]]="","",_xlfn.XLOOKUP(tblOrdenes[[#This Row],[centro_costo]],tblCECO[codigo],tblCECO[coordinador],"(sin catálogo)"))</f>
        <v/>
      </c>
      <c r="Y771" s="3">
        <f>IF(tblOrdenes[[#This Row],[puesto_trabajo]]="","",_xlfn.XLOOKUP(tblOrdenes[[#This Row],[puesto_trabajo]],tblPuestos[codigo],tblPuestos[especialidad],"(sin catálogo)"))</f>
        <v/>
      </c>
      <c r="Z771" s="3">
        <f>IF(tblOrdenes[[#This Row],[cod_actividad]]="","",_xlfn.XLOOKUP(tblOrdenes[[#This Row],[cod_actividad]],tblActividades[codigo],tblActividades[descripcion],"(sin catálogo)"))</f>
        <v/>
      </c>
      <c r="AA771" s="13">
        <f>IF(tblOrdenes[[#This Row],[fecha_inicio]]="","",TODAY()-tblOrdenes[[#This Row],[fecha_inicio]])</f>
        <v/>
      </c>
      <c r="AB7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1" s="3">
        <f>IF(tblOrdenes[[#This Row],[backlog_habiles]]="","",IF(tblOrdenes[[#This Row],[backlog_habiles]]&lt;0,"FUTURO",IF(tblOrdenes[[#This Row],[backlog_habiles]]&gt;p_dias_backlog_max,"BACKLOG","MES CORRIENTE")))</f>
        <v/>
      </c>
      <c r="AD771" s="3">
        <f>IF(tblOrdenes[[#This Row],[backlog_habiles]]="",FALSE,AND(tblOrdenes[[#This Row],[backlog_habiles]]&gt;p_dias_backlog_min,tblOrdenes[[#This Row],[backlog_habiles]]&lt;=p_dias_backlog_max))</f>
        <v/>
      </c>
      <c r="AE771" s="6" t="n"/>
      <c r="AF7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1" s="11">
        <f>IF(tblOrdenes[[#This Row],[orden]]="","",_xlfn.XLOOKUP(tblOrdenes[[#This Row],[id_operacion]],tblEjecucion[id_operacion],tblEjecucion[precio],0))</f>
        <v/>
      </c>
      <c r="AJ771" s="11">
        <f>IF(tblOrdenes[[#This Row],[orden]]="","",MAX(0,_xlfn.XLOOKUP(tblOrdenes[[#This Row],[id_operacion]],tblEjecucion[id_operacion],tblEjecucion[costo_plan_total],0)-tblOrdenes[[#This Row],[costo_servicio]]))</f>
        <v/>
      </c>
      <c r="AK771" s="11">
        <f>IF(tblOrdenes[[#This Row],[orden]]="","",tblOrdenes[[#This Row],[costo_servicio]]+tblOrdenes[[#This Row],[costo_materiales]])</f>
        <v/>
      </c>
      <c r="AL771" s="6" t="n"/>
      <c r="AM771" s="6" t="n"/>
      <c r="AN771" s="6" t="n"/>
      <c r="AO771" s="3">
        <f>IF(tblOrdenes[[#This Row],[link_checklist]]="","",HYPERLINK(p_ruta_base_checklists&amp;tblOrdenes[[#This Row],[link_checklist]],"abrir"))</f>
        <v/>
      </c>
      <c r="AP771" s="6" t="n"/>
      <c r="AQ771" s="3">
        <f>IF(tblOrdenes[[#This Row],[orden]]="","",tblOrdenes[[#This Row],[orden]]&amp;IF(tblOrdenes[[#This Row],[operacion]]="","0010",tblOrdenes[[#This Row],[operacion]]))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2" t="n"/>
      <c r="K772" s="3" t="n"/>
      <c r="L772" s="11" t="n"/>
      <c r="M7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2" s="3">
        <f>IF(tblOrdenes[[#This Row],[fecha_inicio]]="","",YEAR(tblOrdenes[[#This Row],[fecha_inicio]]))</f>
        <v/>
      </c>
      <c r="Q772" s="3">
        <f>IF(tblOrdenes[[#This Row],[fecha_inicio]]="","",MONTH(tblOrdenes[[#This Row],[fecha_inicio]]))</f>
        <v/>
      </c>
      <c r="R772" s="3">
        <f>IF(tblOrdenes[[#This Row],[fecha_inicio]]="","",INDEX(lista_dias,WEEKDAY(tblOrdenes[[#This Row],[fecha_inicio]],2)))</f>
        <v/>
      </c>
      <c r="S7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2" s="3">
        <f>IF(tblOrdenes[[#This Row],[tipo_ot]]="","",_xlfn.XLOOKUP(tblOrdenes[[#This Row],[tipo_ot]],tblTiposOT[codigo],tblTiposOT[clasificacion],"sin_clasificar"))</f>
        <v/>
      </c>
      <c r="U772" s="3">
        <f>IF(tblOrdenes[[#This Row],[centro_costo]]="","",_xlfn.XLOOKUP(tblOrdenes[[#This Row],[centro_costo]],tblCECO[codigo],tblCECO[linea],"(sin catálogo)"))</f>
        <v/>
      </c>
      <c r="V772" s="3">
        <f>IF(tblOrdenes[[#This Row],[centro_costo]]="","",_xlfn.XLOOKUP(tblOrdenes[[#This Row],[centro_costo]],tblCECO[codigo],tblCECO[area],"(sin catálogo)"))</f>
        <v/>
      </c>
      <c r="W7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2" s="3">
        <f>IF(tblOrdenes[[#This Row],[centro_costo]]="","",_xlfn.XLOOKUP(tblOrdenes[[#This Row],[centro_costo]],tblCECO[codigo],tblCECO[coordinador],"(sin catálogo)"))</f>
        <v/>
      </c>
      <c r="Y772" s="3">
        <f>IF(tblOrdenes[[#This Row],[puesto_trabajo]]="","",_xlfn.XLOOKUP(tblOrdenes[[#This Row],[puesto_trabajo]],tblPuestos[codigo],tblPuestos[especialidad],"(sin catálogo)"))</f>
        <v/>
      </c>
      <c r="Z772" s="3">
        <f>IF(tblOrdenes[[#This Row],[cod_actividad]]="","",_xlfn.XLOOKUP(tblOrdenes[[#This Row],[cod_actividad]],tblActividades[codigo],tblActividades[descripcion],"(sin catálogo)"))</f>
        <v/>
      </c>
      <c r="AA772" s="13">
        <f>IF(tblOrdenes[[#This Row],[fecha_inicio]]="","",TODAY()-tblOrdenes[[#This Row],[fecha_inicio]])</f>
        <v/>
      </c>
      <c r="AB7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2" s="3">
        <f>IF(tblOrdenes[[#This Row],[backlog_habiles]]="","",IF(tblOrdenes[[#This Row],[backlog_habiles]]&lt;0,"FUTURO",IF(tblOrdenes[[#This Row],[backlog_habiles]]&gt;p_dias_backlog_max,"BACKLOG","MES CORRIENTE")))</f>
        <v/>
      </c>
      <c r="AD772" s="3">
        <f>IF(tblOrdenes[[#This Row],[backlog_habiles]]="",FALSE,AND(tblOrdenes[[#This Row],[backlog_habiles]]&gt;p_dias_backlog_min,tblOrdenes[[#This Row],[backlog_habiles]]&lt;=p_dias_backlog_max))</f>
        <v/>
      </c>
      <c r="AE772" s="6" t="n"/>
      <c r="AF7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2" s="11">
        <f>IF(tblOrdenes[[#This Row],[orden]]="","",_xlfn.XLOOKUP(tblOrdenes[[#This Row],[id_operacion]],tblEjecucion[id_operacion],tblEjecucion[precio],0))</f>
        <v/>
      </c>
      <c r="AJ772" s="11">
        <f>IF(tblOrdenes[[#This Row],[orden]]="","",MAX(0,_xlfn.XLOOKUP(tblOrdenes[[#This Row],[id_operacion]],tblEjecucion[id_operacion],tblEjecucion[costo_plan_total],0)-tblOrdenes[[#This Row],[costo_servicio]]))</f>
        <v/>
      </c>
      <c r="AK772" s="11">
        <f>IF(tblOrdenes[[#This Row],[orden]]="","",tblOrdenes[[#This Row],[costo_servicio]]+tblOrdenes[[#This Row],[costo_materiales]])</f>
        <v/>
      </c>
      <c r="AL772" s="6" t="n"/>
      <c r="AM772" s="6" t="n"/>
      <c r="AN772" s="6" t="n"/>
      <c r="AO772" s="3">
        <f>IF(tblOrdenes[[#This Row],[link_checklist]]="","",HYPERLINK(p_ruta_base_checklists&amp;tblOrdenes[[#This Row],[link_checklist]],"abrir"))</f>
        <v/>
      </c>
      <c r="AP772" s="6" t="n"/>
      <c r="AQ772" s="3">
        <f>IF(tblOrdenes[[#This Row],[orden]]="","",tblOrdenes[[#This Row],[orden]]&amp;IF(tblOrdenes[[#This Row],[operacion]]="","0010",tblOrdenes[[#This Row],[operacion]]))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2" t="n"/>
      <c r="K773" s="3" t="n"/>
      <c r="L773" s="11" t="n"/>
      <c r="M7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3" s="3">
        <f>IF(tblOrdenes[[#This Row],[fecha_inicio]]="","",YEAR(tblOrdenes[[#This Row],[fecha_inicio]]))</f>
        <v/>
      </c>
      <c r="Q773" s="3">
        <f>IF(tblOrdenes[[#This Row],[fecha_inicio]]="","",MONTH(tblOrdenes[[#This Row],[fecha_inicio]]))</f>
        <v/>
      </c>
      <c r="R773" s="3">
        <f>IF(tblOrdenes[[#This Row],[fecha_inicio]]="","",INDEX(lista_dias,WEEKDAY(tblOrdenes[[#This Row],[fecha_inicio]],2)))</f>
        <v/>
      </c>
      <c r="S7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3" s="3">
        <f>IF(tblOrdenes[[#This Row],[tipo_ot]]="","",_xlfn.XLOOKUP(tblOrdenes[[#This Row],[tipo_ot]],tblTiposOT[codigo],tblTiposOT[clasificacion],"sin_clasificar"))</f>
        <v/>
      </c>
      <c r="U773" s="3">
        <f>IF(tblOrdenes[[#This Row],[centro_costo]]="","",_xlfn.XLOOKUP(tblOrdenes[[#This Row],[centro_costo]],tblCECO[codigo],tblCECO[linea],"(sin catálogo)"))</f>
        <v/>
      </c>
      <c r="V773" s="3">
        <f>IF(tblOrdenes[[#This Row],[centro_costo]]="","",_xlfn.XLOOKUP(tblOrdenes[[#This Row],[centro_costo]],tblCECO[codigo],tblCECO[area],"(sin catálogo)"))</f>
        <v/>
      </c>
      <c r="W7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3" s="3">
        <f>IF(tblOrdenes[[#This Row],[centro_costo]]="","",_xlfn.XLOOKUP(tblOrdenes[[#This Row],[centro_costo]],tblCECO[codigo],tblCECO[coordinador],"(sin catálogo)"))</f>
        <v/>
      </c>
      <c r="Y773" s="3">
        <f>IF(tblOrdenes[[#This Row],[puesto_trabajo]]="","",_xlfn.XLOOKUP(tblOrdenes[[#This Row],[puesto_trabajo]],tblPuestos[codigo],tblPuestos[especialidad],"(sin catálogo)"))</f>
        <v/>
      </c>
      <c r="Z773" s="3">
        <f>IF(tblOrdenes[[#This Row],[cod_actividad]]="","",_xlfn.XLOOKUP(tblOrdenes[[#This Row],[cod_actividad]],tblActividades[codigo],tblActividades[descripcion],"(sin catálogo)"))</f>
        <v/>
      </c>
      <c r="AA773" s="13">
        <f>IF(tblOrdenes[[#This Row],[fecha_inicio]]="","",TODAY()-tblOrdenes[[#This Row],[fecha_inicio]])</f>
        <v/>
      </c>
      <c r="AB7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3" s="3">
        <f>IF(tblOrdenes[[#This Row],[backlog_habiles]]="","",IF(tblOrdenes[[#This Row],[backlog_habiles]]&lt;0,"FUTURO",IF(tblOrdenes[[#This Row],[backlog_habiles]]&gt;p_dias_backlog_max,"BACKLOG","MES CORRIENTE")))</f>
        <v/>
      </c>
      <c r="AD773" s="3">
        <f>IF(tblOrdenes[[#This Row],[backlog_habiles]]="",FALSE,AND(tblOrdenes[[#This Row],[backlog_habiles]]&gt;p_dias_backlog_min,tblOrdenes[[#This Row],[backlog_habiles]]&lt;=p_dias_backlog_max))</f>
        <v/>
      </c>
      <c r="AE773" s="6" t="n"/>
      <c r="AF7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3" s="11">
        <f>IF(tblOrdenes[[#This Row],[orden]]="","",_xlfn.XLOOKUP(tblOrdenes[[#This Row],[id_operacion]],tblEjecucion[id_operacion],tblEjecucion[precio],0))</f>
        <v/>
      </c>
      <c r="AJ773" s="11">
        <f>IF(tblOrdenes[[#This Row],[orden]]="","",MAX(0,_xlfn.XLOOKUP(tblOrdenes[[#This Row],[id_operacion]],tblEjecucion[id_operacion],tblEjecucion[costo_plan_total],0)-tblOrdenes[[#This Row],[costo_servicio]]))</f>
        <v/>
      </c>
      <c r="AK773" s="11">
        <f>IF(tblOrdenes[[#This Row],[orden]]="","",tblOrdenes[[#This Row],[costo_servicio]]+tblOrdenes[[#This Row],[costo_materiales]])</f>
        <v/>
      </c>
      <c r="AL773" s="6" t="n"/>
      <c r="AM773" s="6" t="n"/>
      <c r="AN773" s="6" t="n"/>
      <c r="AO773" s="3">
        <f>IF(tblOrdenes[[#This Row],[link_checklist]]="","",HYPERLINK(p_ruta_base_checklists&amp;tblOrdenes[[#This Row],[link_checklist]],"abrir"))</f>
        <v/>
      </c>
      <c r="AP773" s="6" t="n"/>
      <c r="AQ773" s="3">
        <f>IF(tblOrdenes[[#This Row],[orden]]="","",tblOrdenes[[#This Row],[orden]]&amp;IF(tblOrdenes[[#This Row],[operacion]]="","0010",tblOrdenes[[#This Row],[operacion]]))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2" t="n"/>
      <c r="K774" s="3" t="n"/>
      <c r="L774" s="11" t="n"/>
      <c r="M7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4" s="3">
        <f>IF(tblOrdenes[[#This Row],[fecha_inicio]]="","",YEAR(tblOrdenes[[#This Row],[fecha_inicio]]))</f>
        <v/>
      </c>
      <c r="Q774" s="3">
        <f>IF(tblOrdenes[[#This Row],[fecha_inicio]]="","",MONTH(tblOrdenes[[#This Row],[fecha_inicio]]))</f>
        <v/>
      </c>
      <c r="R774" s="3">
        <f>IF(tblOrdenes[[#This Row],[fecha_inicio]]="","",INDEX(lista_dias,WEEKDAY(tblOrdenes[[#This Row],[fecha_inicio]],2)))</f>
        <v/>
      </c>
      <c r="S7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4" s="3">
        <f>IF(tblOrdenes[[#This Row],[tipo_ot]]="","",_xlfn.XLOOKUP(tblOrdenes[[#This Row],[tipo_ot]],tblTiposOT[codigo],tblTiposOT[clasificacion],"sin_clasificar"))</f>
        <v/>
      </c>
      <c r="U774" s="3">
        <f>IF(tblOrdenes[[#This Row],[centro_costo]]="","",_xlfn.XLOOKUP(tblOrdenes[[#This Row],[centro_costo]],tblCECO[codigo],tblCECO[linea],"(sin catálogo)"))</f>
        <v/>
      </c>
      <c r="V774" s="3">
        <f>IF(tblOrdenes[[#This Row],[centro_costo]]="","",_xlfn.XLOOKUP(tblOrdenes[[#This Row],[centro_costo]],tblCECO[codigo],tblCECO[area],"(sin catálogo)"))</f>
        <v/>
      </c>
      <c r="W7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4" s="3">
        <f>IF(tblOrdenes[[#This Row],[centro_costo]]="","",_xlfn.XLOOKUP(tblOrdenes[[#This Row],[centro_costo]],tblCECO[codigo],tblCECO[coordinador],"(sin catálogo)"))</f>
        <v/>
      </c>
      <c r="Y774" s="3">
        <f>IF(tblOrdenes[[#This Row],[puesto_trabajo]]="","",_xlfn.XLOOKUP(tblOrdenes[[#This Row],[puesto_trabajo]],tblPuestos[codigo],tblPuestos[especialidad],"(sin catálogo)"))</f>
        <v/>
      </c>
      <c r="Z774" s="3">
        <f>IF(tblOrdenes[[#This Row],[cod_actividad]]="","",_xlfn.XLOOKUP(tblOrdenes[[#This Row],[cod_actividad]],tblActividades[codigo],tblActividades[descripcion],"(sin catálogo)"))</f>
        <v/>
      </c>
      <c r="AA774" s="13">
        <f>IF(tblOrdenes[[#This Row],[fecha_inicio]]="","",TODAY()-tblOrdenes[[#This Row],[fecha_inicio]])</f>
        <v/>
      </c>
      <c r="AB7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4" s="3">
        <f>IF(tblOrdenes[[#This Row],[backlog_habiles]]="","",IF(tblOrdenes[[#This Row],[backlog_habiles]]&lt;0,"FUTURO",IF(tblOrdenes[[#This Row],[backlog_habiles]]&gt;p_dias_backlog_max,"BACKLOG","MES CORRIENTE")))</f>
        <v/>
      </c>
      <c r="AD774" s="3">
        <f>IF(tblOrdenes[[#This Row],[backlog_habiles]]="",FALSE,AND(tblOrdenes[[#This Row],[backlog_habiles]]&gt;p_dias_backlog_min,tblOrdenes[[#This Row],[backlog_habiles]]&lt;=p_dias_backlog_max))</f>
        <v/>
      </c>
      <c r="AE774" s="6" t="n"/>
      <c r="AF7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4" s="11">
        <f>IF(tblOrdenes[[#This Row],[orden]]="","",_xlfn.XLOOKUP(tblOrdenes[[#This Row],[id_operacion]],tblEjecucion[id_operacion],tblEjecucion[precio],0))</f>
        <v/>
      </c>
      <c r="AJ774" s="11">
        <f>IF(tblOrdenes[[#This Row],[orden]]="","",MAX(0,_xlfn.XLOOKUP(tblOrdenes[[#This Row],[id_operacion]],tblEjecucion[id_operacion],tblEjecucion[costo_plan_total],0)-tblOrdenes[[#This Row],[costo_servicio]]))</f>
        <v/>
      </c>
      <c r="AK774" s="11">
        <f>IF(tblOrdenes[[#This Row],[orden]]="","",tblOrdenes[[#This Row],[costo_servicio]]+tblOrdenes[[#This Row],[costo_materiales]])</f>
        <v/>
      </c>
      <c r="AL774" s="6" t="n"/>
      <c r="AM774" s="6" t="n"/>
      <c r="AN774" s="6" t="n"/>
      <c r="AO774" s="3">
        <f>IF(tblOrdenes[[#This Row],[link_checklist]]="","",HYPERLINK(p_ruta_base_checklists&amp;tblOrdenes[[#This Row],[link_checklist]],"abrir"))</f>
        <v/>
      </c>
      <c r="AP774" s="6" t="n"/>
      <c r="AQ774" s="3">
        <f>IF(tblOrdenes[[#This Row],[orden]]="","",tblOrdenes[[#This Row],[orden]]&amp;IF(tblOrdenes[[#This Row],[operacion]]="","0010",tblOrdenes[[#This Row],[operacion]]))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2" t="n"/>
      <c r="K775" s="3" t="n"/>
      <c r="L775" s="11" t="n"/>
      <c r="M7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5" s="3">
        <f>IF(tblOrdenes[[#This Row],[fecha_inicio]]="","",YEAR(tblOrdenes[[#This Row],[fecha_inicio]]))</f>
        <v/>
      </c>
      <c r="Q775" s="3">
        <f>IF(tblOrdenes[[#This Row],[fecha_inicio]]="","",MONTH(tblOrdenes[[#This Row],[fecha_inicio]]))</f>
        <v/>
      </c>
      <c r="R775" s="3">
        <f>IF(tblOrdenes[[#This Row],[fecha_inicio]]="","",INDEX(lista_dias,WEEKDAY(tblOrdenes[[#This Row],[fecha_inicio]],2)))</f>
        <v/>
      </c>
      <c r="S7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5" s="3">
        <f>IF(tblOrdenes[[#This Row],[tipo_ot]]="","",_xlfn.XLOOKUP(tblOrdenes[[#This Row],[tipo_ot]],tblTiposOT[codigo],tblTiposOT[clasificacion],"sin_clasificar"))</f>
        <v/>
      </c>
      <c r="U775" s="3">
        <f>IF(tblOrdenes[[#This Row],[centro_costo]]="","",_xlfn.XLOOKUP(tblOrdenes[[#This Row],[centro_costo]],tblCECO[codigo],tblCECO[linea],"(sin catálogo)"))</f>
        <v/>
      </c>
      <c r="V775" s="3">
        <f>IF(tblOrdenes[[#This Row],[centro_costo]]="","",_xlfn.XLOOKUP(tblOrdenes[[#This Row],[centro_costo]],tblCECO[codigo],tblCECO[area],"(sin catálogo)"))</f>
        <v/>
      </c>
      <c r="W7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5" s="3">
        <f>IF(tblOrdenes[[#This Row],[centro_costo]]="","",_xlfn.XLOOKUP(tblOrdenes[[#This Row],[centro_costo]],tblCECO[codigo],tblCECO[coordinador],"(sin catálogo)"))</f>
        <v/>
      </c>
      <c r="Y775" s="3">
        <f>IF(tblOrdenes[[#This Row],[puesto_trabajo]]="","",_xlfn.XLOOKUP(tblOrdenes[[#This Row],[puesto_trabajo]],tblPuestos[codigo],tblPuestos[especialidad],"(sin catálogo)"))</f>
        <v/>
      </c>
      <c r="Z775" s="3">
        <f>IF(tblOrdenes[[#This Row],[cod_actividad]]="","",_xlfn.XLOOKUP(tblOrdenes[[#This Row],[cod_actividad]],tblActividades[codigo],tblActividades[descripcion],"(sin catálogo)"))</f>
        <v/>
      </c>
      <c r="AA775" s="13">
        <f>IF(tblOrdenes[[#This Row],[fecha_inicio]]="","",TODAY()-tblOrdenes[[#This Row],[fecha_inicio]])</f>
        <v/>
      </c>
      <c r="AB7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5" s="3">
        <f>IF(tblOrdenes[[#This Row],[backlog_habiles]]="","",IF(tblOrdenes[[#This Row],[backlog_habiles]]&lt;0,"FUTURO",IF(tblOrdenes[[#This Row],[backlog_habiles]]&gt;p_dias_backlog_max,"BACKLOG","MES CORRIENTE")))</f>
        <v/>
      </c>
      <c r="AD775" s="3">
        <f>IF(tblOrdenes[[#This Row],[backlog_habiles]]="",FALSE,AND(tblOrdenes[[#This Row],[backlog_habiles]]&gt;p_dias_backlog_min,tblOrdenes[[#This Row],[backlog_habiles]]&lt;=p_dias_backlog_max))</f>
        <v/>
      </c>
      <c r="AE775" s="6" t="n"/>
      <c r="AF7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5" s="11">
        <f>IF(tblOrdenes[[#This Row],[orden]]="","",_xlfn.XLOOKUP(tblOrdenes[[#This Row],[id_operacion]],tblEjecucion[id_operacion],tblEjecucion[precio],0))</f>
        <v/>
      </c>
      <c r="AJ775" s="11">
        <f>IF(tblOrdenes[[#This Row],[orden]]="","",MAX(0,_xlfn.XLOOKUP(tblOrdenes[[#This Row],[id_operacion]],tblEjecucion[id_operacion],tblEjecucion[costo_plan_total],0)-tblOrdenes[[#This Row],[costo_servicio]]))</f>
        <v/>
      </c>
      <c r="AK775" s="11">
        <f>IF(tblOrdenes[[#This Row],[orden]]="","",tblOrdenes[[#This Row],[costo_servicio]]+tblOrdenes[[#This Row],[costo_materiales]])</f>
        <v/>
      </c>
      <c r="AL775" s="6" t="n"/>
      <c r="AM775" s="6" t="n"/>
      <c r="AN775" s="6" t="n"/>
      <c r="AO775" s="3">
        <f>IF(tblOrdenes[[#This Row],[link_checklist]]="","",HYPERLINK(p_ruta_base_checklists&amp;tblOrdenes[[#This Row],[link_checklist]],"abrir"))</f>
        <v/>
      </c>
      <c r="AP775" s="6" t="n"/>
      <c r="AQ775" s="3">
        <f>IF(tblOrdenes[[#This Row],[orden]]="","",tblOrdenes[[#This Row],[orden]]&amp;IF(tblOrdenes[[#This Row],[operacion]]="","0010",tblOrdenes[[#This Row],[operacion]]))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2" t="n"/>
      <c r="K776" s="3" t="n"/>
      <c r="L776" s="11" t="n"/>
      <c r="M7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6" s="3">
        <f>IF(tblOrdenes[[#This Row],[fecha_inicio]]="","",YEAR(tblOrdenes[[#This Row],[fecha_inicio]]))</f>
        <v/>
      </c>
      <c r="Q776" s="3">
        <f>IF(tblOrdenes[[#This Row],[fecha_inicio]]="","",MONTH(tblOrdenes[[#This Row],[fecha_inicio]]))</f>
        <v/>
      </c>
      <c r="R776" s="3">
        <f>IF(tblOrdenes[[#This Row],[fecha_inicio]]="","",INDEX(lista_dias,WEEKDAY(tblOrdenes[[#This Row],[fecha_inicio]],2)))</f>
        <v/>
      </c>
      <c r="S7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6" s="3">
        <f>IF(tblOrdenes[[#This Row],[tipo_ot]]="","",_xlfn.XLOOKUP(tblOrdenes[[#This Row],[tipo_ot]],tblTiposOT[codigo],tblTiposOT[clasificacion],"sin_clasificar"))</f>
        <v/>
      </c>
      <c r="U776" s="3">
        <f>IF(tblOrdenes[[#This Row],[centro_costo]]="","",_xlfn.XLOOKUP(tblOrdenes[[#This Row],[centro_costo]],tblCECO[codigo],tblCECO[linea],"(sin catálogo)"))</f>
        <v/>
      </c>
      <c r="V776" s="3">
        <f>IF(tblOrdenes[[#This Row],[centro_costo]]="","",_xlfn.XLOOKUP(tblOrdenes[[#This Row],[centro_costo]],tblCECO[codigo],tblCECO[area],"(sin catálogo)"))</f>
        <v/>
      </c>
      <c r="W7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6" s="3">
        <f>IF(tblOrdenes[[#This Row],[centro_costo]]="","",_xlfn.XLOOKUP(tblOrdenes[[#This Row],[centro_costo]],tblCECO[codigo],tblCECO[coordinador],"(sin catálogo)"))</f>
        <v/>
      </c>
      <c r="Y776" s="3">
        <f>IF(tblOrdenes[[#This Row],[puesto_trabajo]]="","",_xlfn.XLOOKUP(tblOrdenes[[#This Row],[puesto_trabajo]],tblPuestos[codigo],tblPuestos[especialidad],"(sin catálogo)"))</f>
        <v/>
      </c>
      <c r="Z776" s="3">
        <f>IF(tblOrdenes[[#This Row],[cod_actividad]]="","",_xlfn.XLOOKUP(tblOrdenes[[#This Row],[cod_actividad]],tblActividades[codigo],tblActividades[descripcion],"(sin catálogo)"))</f>
        <v/>
      </c>
      <c r="AA776" s="13">
        <f>IF(tblOrdenes[[#This Row],[fecha_inicio]]="","",TODAY()-tblOrdenes[[#This Row],[fecha_inicio]])</f>
        <v/>
      </c>
      <c r="AB7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6" s="3">
        <f>IF(tblOrdenes[[#This Row],[backlog_habiles]]="","",IF(tblOrdenes[[#This Row],[backlog_habiles]]&lt;0,"FUTURO",IF(tblOrdenes[[#This Row],[backlog_habiles]]&gt;p_dias_backlog_max,"BACKLOG","MES CORRIENTE")))</f>
        <v/>
      </c>
      <c r="AD776" s="3">
        <f>IF(tblOrdenes[[#This Row],[backlog_habiles]]="",FALSE,AND(tblOrdenes[[#This Row],[backlog_habiles]]&gt;p_dias_backlog_min,tblOrdenes[[#This Row],[backlog_habiles]]&lt;=p_dias_backlog_max))</f>
        <v/>
      </c>
      <c r="AE776" s="6" t="n"/>
      <c r="AF7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6" s="11">
        <f>IF(tblOrdenes[[#This Row],[orden]]="","",_xlfn.XLOOKUP(tblOrdenes[[#This Row],[id_operacion]],tblEjecucion[id_operacion],tblEjecucion[precio],0))</f>
        <v/>
      </c>
      <c r="AJ776" s="11">
        <f>IF(tblOrdenes[[#This Row],[orden]]="","",MAX(0,_xlfn.XLOOKUP(tblOrdenes[[#This Row],[id_operacion]],tblEjecucion[id_operacion],tblEjecucion[costo_plan_total],0)-tblOrdenes[[#This Row],[costo_servicio]]))</f>
        <v/>
      </c>
      <c r="AK776" s="11">
        <f>IF(tblOrdenes[[#This Row],[orden]]="","",tblOrdenes[[#This Row],[costo_servicio]]+tblOrdenes[[#This Row],[costo_materiales]])</f>
        <v/>
      </c>
      <c r="AL776" s="6" t="n"/>
      <c r="AM776" s="6" t="n"/>
      <c r="AN776" s="6" t="n"/>
      <c r="AO776" s="3">
        <f>IF(tblOrdenes[[#This Row],[link_checklist]]="","",HYPERLINK(p_ruta_base_checklists&amp;tblOrdenes[[#This Row],[link_checklist]],"abrir"))</f>
        <v/>
      </c>
      <c r="AP776" s="6" t="n"/>
      <c r="AQ776" s="3">
        <f>IF(tblOrdenes[[#This Row],[orden]]="","",tblOrdenes[[#This Row],[orden]]&amp;IF(tblOrdenes[[#This Row],[operacion]]="","0010",tblOrdenes[[#This Row],[operacion]]))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2" t="n"/>
      <c r="K777" s="3" t="n"/>
      <c r="L777" s="11" t="n"/>
      <c r="M7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7" s="3">
        <f>IF(tblOrdenes[[#This Row],[fecha_inicio]]="","",YEAR(tblOrdenes[[#This Row],[fecha_inicio]]))</f>
        <v/>
      </c>
      <c r="Q777" s="3">
        <f>IF(tblOrdenes[[#This Row],[fecha_inicio]]="","",MONTH(tblOrdenes[[#This Row],[fecha_inicio]]))</f>
        <v/>
      </c>
      <c r="R777" s="3">
        <f>IF(tblOrdenes[[#This Row],[fecha_inicio]]="","",INDEX(lista_dias,WEEKDAY(tblOrdenes[[#This Row],[fecha_inicio]],2)))</f>
        <v/>
      </c>
      <c r="S7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7" s="3">
        <f>IF(tblOrdenes[[#This Row],[tipo_ot]]="","",_xlfn.XLOOKUP(tblOrdenes[[#This Row],[tipo_ot]],tblTiposOT[codigo],tblTiposOT[clasificacion],"sin_clasificar"))</f>
        <v/>
      </c>
      <c r="U777" s="3">
        <f>IF(tblOrdenes[[#This Row],[centro_costo]]="","",_xlfn.XLOOKUP(tblOrdenes[[#This Row],[centro_costo]],tblCECO[codigo],tblCECO[linea],"(sin catálogo)"))</f>
        <v/>
      </c>
      <c r="V777" s="3">
        <f>IF(tblOrdenes[[#This Row],[centro_costo]]="","",_xlfn.XLOOKUP(tblOrdenes[[#This Row],[centro_costo]],tblCECO[codigo],tblCECO[area],"(sin catálogo)"))</f>
        <v/>
      </c>
      <c r="W7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7" s="3">
        <f>IF(tblOrdenes[[#This Row],[centro_costo]]="","",_xlfn.XLOOKUP(tblOrdenes[[#This Row],[centro_costo]],tblCECO[codigo],tblCECO[coordinador],"(sin catálogo)"))</f>
        <v/>
      </c>
      <c r="Y777" s="3">
        <f>IF(tblOrdenes[[#This Row],[puesto_trabajo]]="","",_xlfn.XLOOKUP(tblOrdenes[[#This Row],[puesto_trabajo]],tblPuestos[codigo],tblPuestos[especialidad],"(sin catálogo)"))</f>
        <v/>
      </c>
      <c r="Z777" s="3">
        <f>IF(tblOrdenes[[#This Row],[cod_actividad]]="","",_xlfn.XLOOKUP(tblOrdenes[[#This Row],[cod_actividad]],tblActividades[codigo],tblActividades[descripcion],"(sin catálogo)"))</f>
        <v/>
      </c>
      <c r="AA777" s="13">
        <f>IF(tblOrdenes[[#This Row],[fecha_inicio]]="","",TODAY()-tblOrdenes[[#This Row],[fecha_inicio]])</f>
        <v/>
      </c>
      <c r="AB7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7" s="3">
        <f>IF(tblOrdenes[[#This Row],[backlog_habiles]]="","",IF(tblOrdenes[[#This Row],[backlog_habiles]]&lt;0,"FUTURO",IF(tblOrdenes[[#This Row],[backlog_habiles]]&gt;p_dias_backlog_max,"BACKLOG","MES CORRIENTE")))</f>
        <v/>
      </c>
      <c r="AD777" s="3">
        <f>IF(tblOrdenes[[#This Row],[backlog_habiles]]="",FALSE,AND(tblOrdenes[[#This Row],[backlog_habiles]]&gt;p_dias_backlog_min,tblOrdenes[[#This Row],[backlog_habiles]]&lt;=p_dias_backlog_max))</f>
        <v/>
      </c>
      <c r="AE777" s="6" t="n"/>
      <c r="AF7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7" s="11">
        <f>IF(tblOrdenes[[#This Row],[orden]]="","",_xlfn.XLOOKUP(tblOrdenes[[#This Row],[id_operacion]],tblEjecucion[id_operacion],tblEjecucion[precio],0))</f>
        <v/>
      </c>
      <c r="AJ777" s="11">
        <f>IF(tblOrdenes[[#This Row],[orden]]="","",MAX(0,_xlfn.XLOOKUP(tblOrdenes[[#This Row],[id_operacion]],tblEjecucion[id_operacion],tblEjecucion[costo_plan_total],0)-tblOrdenes[[#This Row],[costo_servicio]]))</f>
        <v/>
      </c>
      <c r="AK777" s="11">
        <f>IF(tblOrdenes[[#This Row],[orden]]="","",tblOrdenes[[#This Row],[costo_servicio]]+tblOrdenes[[#This Row],[costo_materiales]])</f>
        <v/>
      </c>
      <c r="AL777" s="6" t="n"/>
      <c r="AM777" s="6" t="n"/>
      <c r="AN777" s="6" t="n"/>
      <c r="AO777" s="3">
        <f>IF(tblOrdenes[[#This Row],[link_checklist]]="","",HYPERLINK(p_ruta_base_checklists&amp;tblOrdenes[[#This Row],[link_checklist]],"abrir"))</f>
        <v/>
      </c>
      <c r="AP777" s="6" t="n"/>
      <c r="AQ777" s="3">
        <f>IF(tblOrdenes[[#This Row],[orden]]="","",tblOrdenes[[#This Row],[orden]]&amp;IF(tblOrdenes[[#This Row],[operacion]]="","0010",tblOrdenes[[#This Row],[operacion]]))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2" t="n"/>
      <c r="K778" s="3" t="n"/>
      <c r="L778" s="11" t="n"/>
      <c r="M7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8" s="3">
        <f>IF(tblOrdenes[[#This Row],[fecha_inicio]]="","",YEAR(tblOrdenes[[#This Row],[fecha_inicio]]))</f>
        <v/>
      </c>
      <c r="Q778" s="3">
        <f>IF(tblOrdenes[[#This Row],[fecha_inicio]]="","",MONTH(tblOrdenes[[#This Row],[fecha_inicio]]))</f>
        <v/>
      </c>
      <c r="R778" s="3">
        <f>IF(tblOrdenes[[#This Row],[fecha_inicio]]="","",INDEX(lista_dias,WEEKDAY(tblOrdenes[[#This Row],[fecha_inicio]],2)))</f>
        <v/>
      </c>
      <c r="S7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8" s="3">
        <f>IF(tblOrdenes[[#This Row],[tipo_ot]]="","",_xlfn.XLOOKUP(tblOrdenes[[#This Row],[tipo_ot]],tblTiposOT[codigo],tblTiposOT[clasificacion],"sin_clasificar"))</f>
        <v/>
      </c>
      <c r="U778" s="3">
        <f>IF(tblOrdenes[[#This Row],[centro_costo]]="","",_xlfn.XLOOKUP(tblOrdenes[[#This Row],[centro_costo]],tblCECO[codigo],tblCECO[linea],"(sin catálogo)"))</f>
        <v/>
      </c>
      <c r="V778" s="3">
        <f>IF(tblOrdenes[[#This Row],[centro_costo]]="","",_xlfn.XLOOKUP(tblOrdenes[[#This Row],[centro_costo]],tblCECO[codigo],tblCECO[area],"(sin catálogo)"))</f>
        <v/>
      </c>
      <c r="W7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8" s="3">
        <f>IF(tblOrdenes[[#This Row],[centro_costo]]="","",_xlfn.XLOOKUP(tblOrdenes[[#This Row],[centro_costo]],tblCECO[codigo],tblCECO[coordinador],"(sin catálogo)"))</f>
        <v/>
      </c>
      <c r="Y778" s="3">
        <f>IF(tblOrdenes[[#This Row],[puesto_trabajo]]="","",_xlfn.XLOOKUP(tblOrdenes[[#This Row],[puesto_trabajo]],tblPuestos[codigo],tblPuestos[especialidad],"(sin catálogo)"))</f>
        <v/>
      </c>
      <c r="Z778" s="3">
        <f>IF(tblOrdenes[[#This Row],[cod_actividad]]="","",_xlfn.XLOOKUP(tblOrdenes[[#This Row],[cod_actividad]],tblActividades[codigo],tblActividades[descripcion],"(sin catálogo)"))</f>
        <v/>
      </c>
      <c r="AA778" s="13">
        <f>IF(tblOrdenes[[#This Row],[fecha_inicio]]="","",TODAY()-tblOrdenes[[#This Row],[fecha_inicio]])</f>
        <v/>
      </c>
      <c r="AB7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8" s="3">
        <f>IF(tblOrdenes[[#This Row],[backlog_habiles]]="","",IF(tblOrdenes[[#This Row],[backlog_habiles]]&lt;0,"FUTURO",IF(tblOrdenes[[#This Row],[backlog_habiles]]&gt;p_dias_backlog_max,"BACKLOG","MES CORRIENTE")))</f>
        <v/>
      </c>
      <c r="AD778" s="3">
        <f>IF(tblOrdenes[[#This Row],[backlog_habiles]]="",FALSE,AND(tblOrdenes[[#This Row],[backlog_habiles]]&gt;p_dias_backlog_min,tblOrdenes[[#This Row],[backlog_habiles]]&lt;=p_dias_backlog_max))</f>
        <v/>
      </c>
      <c r="AE778" s="6" t="n"/>
      <c r="AF7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8" s="11">
        <f>IF(tblOrdenes[[#This Row],[orden]]="","",_xlfn.XLOOKUP(tblOrdenes[[#This Row],[id_operacion]],tblEjecucion[id_operacion],tblEjecucion[precio],0))</f>
        <v/>
      </c>
      <c r="AJ778" s="11">
        <f>IF(tblOrdenes[[#This Row],[orden]]="","",MAX(0,_xlfn.XLOOKUP(tblOrdenes[[#This Row],[id_operacion]],tblEjecucion[id_operacion],tblEjecucion[costo_plan_total],0)-tblOrdenes[[#This Row],[costo_servicio]]))</f>
        <v/>
      </c>
      <c r="AK778" s="11">
        <f>IF(tblOrdenes[[#This Row],[orden]]="","",tblOrdenes[[#This Row],[costo_servicio]]+tblOrdenes[[#This Row],[costo_materiales]])</f>
        <v/>
      </c>
      <c r="AL778" s="6" t="n"/>
      <c r="AM778" s="6" t="n"/>
      <c r="AN778" s="6" t="n"/>
      <c r="AO778" s="3">
        <f>IF(tblOrdenes[[#This Row],[link_checklist]]="","",HYPERLINK(p_ruta_base_checklists&amp;tblOrdenes[[#This Row],[link_checklist]],"abrir"))</f>
        <v/>
      </c>
      <c r="AP778" s="6" t="n"/>
      <c r="AQ778" s="3">
        <f>IF(tblOrdenes[[#This Row],[orden]]="","",tblOrdenes[[#This Row],[orden]]&amp;IF(tblOrdenes[[#This Row],[operacion]]="","0010",tblOrdenes[[#This Row],[operacion]]))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2" t="n"/>
      <c r="K779" s="3" t="n"/>
      <c r="L779" s="11" t="n"/>
      <c r="M7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9" s="3">
        <f>IF(tblOrdenes[[#This Row],[fecha_inicio]]="","",YEAR(tblOrdenes[[#This Row],[fecha_inicio]]))</f>
        <v/>
      </c>
      <c r="Q779" s="3">
        <f>IF(tblOrdenes[[#This Row],[fecha_inicio]]="","",MONTH(tblOrdenes[[#This Row],[fecha_inicio]]))</f>
        <v/>
      </c>
      <c r="R779" s="3">
        <f>IF(tblOrdenes[[#This Row],[fecha_inicio]]="","",INDEX(lista_dias,WEEKDAY(tblOrdenes[[#This Row],[fecha_inicio]],2)))</f>
        <v/>
      </c>
      <c r="S7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9" s="3">
        <f>IF(tblOrdenes[[#This Row],[tipo_ot]]="","",_xlfn.XLOOKUP(tblOrdenes[[#This Row],[tipo_ot]],tblTiposOT[codigo],tblTiposOT[clasificacion],"sin_clasificar"))</f>
        <v/>
      </c>
      <c r="U779" s="3">
        <f>IF(tblOrdenes[[#This Row],[centro_costo]]="","",_xlfn.XLOOKUP(tblOrdenes[[#This Row],[centro_costo]],tblCECO[codigo],tblCECO[linea],"(sin catálogo)"))</f>
        <v/>
      </c>
      <c r="V779" s="3">
        <f>IF(tblOrdenes[[#This Row],[centro_costo]]="","",_xlfn.XLOOKUP(tblOrdenes[[#This Row],[centro_costo]],tblCECO[codigo],tblCECO[area],"(sin catálogo)"))</f>
        <v/>
      </c>
      <c r="W7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9" s="3">
        <f>IF(tblOrdenes[[#This Row],[centro_costo]]="","",_xlfn.XLOOKUP(tblOrdenes[[#This Row],[centro_costo]],tblCECO[codigo],tblCECO[coordinador],"(sin catálogo)"))</f>
        <v/>
      </c>
      <c r="Y779" s="3">
        <f>IF(tblOrdenes[[#This Row],[puesto_trabajo]]="","",_xlfn.XLOOKUP(tblOrdenes[[#This Row],[puesto_trabajo]],tblPuestos[codigo],tblPuestos[especialidad],"(sin catálogo)"))</f>
        <v/>
      </c>
      <c r="Z779" s="3">
        <f>IF(tblOrdenes[[#This Row],[cod_actividad]]="","",_xlfn.XLOOKUP(tblOrdenes[[#This Row],[cod_actividad]],tblActividades[codigo],tblActividades[descripcion],"(sin catálogo)"))</f>
        <v/>
      </c>
      <c r="AA779" s="13">
        <f>IF(tblOrdenes[[#This Row],[fecha_inicio]]="","",TODAY()-tblOrdenes[[#This Row],[fecha_inicio]])</f>
        <v/>
      </c>
      <c r="AB7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9" s="3">
        <f>IF(tblOrdenes[[#This Row],[backlog_habiles]]="","",IF(tblOrdenes[[#This Row],[backlog_habiles]]&lt;0,"FUTURO",IF(tblOrdenes[[#This Row],[backlog_habiles]]&gt;p_dias_backlog_max,"BACKLOG","MES CORRIENTE")))</f>
        <v/>
      </c>
      <c r="AD779" s="3">
        <f>IF(tblOrdenes[[#This Row],[backlog_habiles]]="",FALSE,AND(tblOrdenes[[#This Row],[backlog_habiles]]&gt;p_dias_backlog_min,tblOrdenes[[#This Row],[backlog_habiles]]&lt;=p_dias_backlog_max))</f>
        <v/>
      </c>
      <c r="AE779" s="6" t="n"/>
      <c r="AF7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9" s="11">
        <f>IF(tblOrdenes[[#This Row],[orden]]="","",_xlfn.XLOOKUP(tblOrdenes[[#This Row],[id_operacion]],tblEjecucion[id_operacion],tblEjecucion[precio],0))</f>
        <v/>
      </c>
      <c r="AJ779" s="11">
        <f>IF(tblOrdenes[[#This Row],[orden]]="","",MAX(0,_xlfn.XLOOKUP(tblOrdenes[[#This Row],[id_operacion]],tblEjecucion[id_operacion],tblEjecucion[costo_plan_total],0)-tblOrdenes[[#This Row],[costo_servicio]]))</f>
        <v/>
      </c>
      <c r="AK779" s="11">
        <f>IF(tblOrdenes[[#This Row],[orden]]="","",tblOrdenes[[#This Row],[costo_servicio]]+tblOrdenes[[#This Row],[costo_materiales]])</f>
        <v/>
      </c>
      <c r="AL779" s="6" t="n"/>
      <c r="AM779" s="6" t="n"/>
      <c r="AN779" s="6" t="n"/>
      <c r="AO779" s="3">
        <f>IF(tblOrdenes[[#This Row],[link_checklist]]="","",HYPERLINK(p_ruta_base_checklists&amp;tblOrdenes[[#This Row],[link_checklist]],"abrir"))</f>
        <v/>
      </c>
      <c r="AP779" s="6" t="n"/>
      <c r="AQ779" s="3">
        <f>IF(tblOrdenes[[#This Row],[orden]]="","",tblOrdenes[[#This Row],[orden]]&amp;IF(tblOrdenes[[#This Row],[operacion]]="","0010",tblOrdenes[[#This Row],[operacion]]))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2" t="n"/>
      <c r="K780" s="3" t="n"/>
      <c r="L780" s="11" t="n"/>
      <c r="M7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0" s="3">
        <f>IF(tblOrdenes[[#This Row],[fecha_inicio]]="","",YEAR(tblOrdenes[[#This Row],[fecha_inicio]]))</f>
        <v/>
      </c>
      <c r="Q780" s="3">
        <f>IF(tblOrdenes[[#This Row],[fecha_inicio]]="","",MONTH(tblOrdenes[[#This Row],[fecha_inicio]]))</f>
        <v/>
      </c>
      <c r="R780" s="3">
        <f>IF(tblOrdenes[[#This Row],[fecha_inicio]]="","",INDEX(lista_dias,WEEKDAY(tblOrdenes[[#This Row],[fecha_inicio]],2)))</f>
        <v/>
      </c>
      <c r="S7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0" s="3">
        <f>IF(tblOrdenes[[#This Row],[tipo_ot]]="","",_xlfn.XLOOKUP(tblOrdenes[[#This Row],[tipo_ot]],tblTiposOT[codigo],tblTiposOT[clasificacion],"sin_clasificar"))</f>
        <v/>
      </c>
      <c r="U780" s="3">
        <f>IF(tblOrdenes[[#This Row],[centro_costo]]="","",_xlfn.XLOOKUP(tblOrdenes[[#This Row],[centro_costo]],tblCECO[codigo],tblCECO[linea],"(sin catálogo)"))</f>
        <v/>
      </c>
      <c r="V780" s="3">
        <f>IF(tblOrdenes[[#This Row],[centro_costo]]="","",_xlfn.XLOOKUP(tblOrdenes[[#This Row],[centro_costo]],tblCECO[codigo],tblCECO[area],"(sin catálogo)"))</f>
        <v/>
      </c>
      <c r="W7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0" s="3">
        <f>IF(tblOrdenes[[#This Row],[centro_costo]]="","",_xlfn.XLOOKUP(tblOrdenes[[#This Row],[centro_costo]],tblCECO[codigo],tblCECO[coordinador],"(sin catálogo)"))</f>
        <v/>
      </c>
      <c r="Y780" s="3">
        <f>IF(tblOrdenes[[#This Row],[puesto_trabajo]]="","",_xlfn.XLOOKUP(tblOrdenes[[#This Row],[puesto_trabajo]],tblPuestos[codigo],tblPuestos[especialidad],"(sin catálogo)"))</f>
        <v/>
      </c>
      <c r="Z780" s="3">
        <f>IF(tblOrdenes[[#This Row],[cod_actividad]]="","",_xlfn.XLOOKUP(tblOrdenes[[#This Row],[cod_actividad]],tblActividades[codigo],tblActividades[descripcion],"(sin catálogo)"))</f>
        <v/>
      </c>
      <c r="AA780" s="13">
        <f>IF(tblOrdenes[[#This Row],[fecha_inicio]]="","",TODAY()-tblOrdenes[[#This Row],[fecha_inicio]])</f>
        <v/>
      </c>
      <c r="AB7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0" s="3">
        <f>IF(tblOrdenes[[#This Row],[backlog_habiles]]="","",IF(tblOrdenes[[#This Row],[backlog_habiles]]&lt;0,"FUTURO",IF(tblOrdenes[[#This Row],[backlog_habiles]]&gt;p_dias_backlog_max,"BACKLOG","MES CORRIENTE")))</f>
        <v/>
      </c>
      <c r="AD780" s="3">
        <f>IF(tblOrdenes[[#This Row],[backlog_habiles]]="",FALSE,AND(tblOrdenes[[#This Row],[backlog_habiles]]&gt;p_dias_backlog_min,tblOrdenes[[#This Row],[backlog_habiles]]&lt;=p_dias_backlog_max))</f>
        <v/>
      </c>
      <c r="AE780" s="6" t="n"/>
      <c r="AF7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0" s="11">
        <f>IF(tblOrdenes[[#This Row],[orden]]="","",_xlfn.XLOOKUP(tblOrdenes[[#This Row],[id_operacion]],tblEjecucion[id_operacion],tblEjecucion[precio],0))</f>
        <v/>
      </c>
      <c r="AJ780" s="11">
        <f>IF(tblOrdenes[[#This Row],[orden]]="","",MAX(0,_xlfn.XLOOKUP(tblOrdenes[[#This Row],[id_operacion]],tblEjecucion[id_operacion],tblEjecucion[costo_plan_total],0)-tblOrdenes[[#This Row],[costo_servicio]]))</f>
        <v/>
      </c>
      <c r="AK780" s="11">
        <f>IF(tblOrdenes[[#This Row],[orden]]="","",tblOrdenes[[#This Row],[costo_servicio]]+tblOrdenes[[#This Row],[costo_materiales]])</f>
        <v/>
      </c>
      <c r="AL780" s="6" t="n"/>
      <c r="AM780" s="6" t="n"/>
      <c r="AN780" s="6" t="n"/>
      <c r="AO780" s="3">
        <f>IF(tblOrdenes[[#This Row],[link_checklist]]="","",HYPERLINK(p_ruta_base_checklists&amp;tblOrdenes[[#This Row],[link_checklist]],"abrir"))</f>
        <v/>
      </c>
      <c r="AP780" s="6" t="n"/>
      <c r="AQ780" s="3">
        <f>IF(tblOrdenes[[#This Row],[orden]]="","",tblOrdenes[[#This Row],[orden]]&amp;IF(tblOrdenes[[#This Row],[operacion]]="","0010",tblOrdenes[[#This Row],[operacion]]))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2" t="n"/>
      <c r="K781" s="3" t="n"/>
      <c r="L781" s="11" t="n"/>
      <c r="M7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1" s="3">
        <f>IF(tblOrdenes[[#This Row],[fecha_inicio]]="","",YEAR(tblOrdenes[[#This Row],[fecha_inicio]]))</f>
        <v/>
      </c>
      <c r="Q781" s="3">
        <f>IF(tblOrdenes[[#This Row],[fecha_inicio]]="","",MONTH(tblOrdenes[[#This Row],[fecha_inicio]]))</f>
        <v/>
      </c>
      <c r="R781" s="3">
        <f>IF(tblOrdenes[[#This Row],[fecha_inicio]]="","",INDEX(lista_dias,WEEKDAY(tblOrdenes[[#This Row],[fecha_inicio]],2)))</f>
        <v/>
      </c>
      <c r="S7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1" s="3">
        <f>IF(tblOrdenes[[#This Row],[tipo_ot]]="","",_xlfn.XLOOKUP(tblOrdenes[[#This Row],[tipo_ot]],tblTiposOT[codigo],tblTiposOT[clasificacion],"sin_clasificar"))</f>
        <v/>
      </c>
      <c r="U781" s="3">
        <f>IF(tblOrdenes[[#This Row],[centro_costo]]="","",_xlfn.XLOOKUP(tblOrdenes[[#This Row],[centro_costo]],tblCECO[codigo],tblCECO[linea],"(sin catálogo)"))</f>
        <v/>
      </c>
      <c r="V781" s="3">
        <f>IF(tblOrdenes[[#This Row],[centro_costo]]="","",_xlfn.XLOOKUP(tblOrdenes[[#This Row],[centro_costo]],tblCECO[codigo],tblCECO[area],"(sin catálogo)"))</f>
        <v/>
      </c>
      <c r="W7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1" s="3">
        <f>IF(tblOrdenes[[#This Row],[centro_costo]]="","",_xlfn.XLOOKUP(tblOrdenes[[#This Row],[centro_costo]],tblCECO[codigo],tblCECO[coordinador],"(sin catálogo)"))</f>
        <v/>
      </c>
      <c r="Y781" s="3">
        <f>IF(tblOrdenes[[#This Row],[puesto_trabajo]]="","",_xlfn.XLOOKUP(tblOrdenes[[#This Row],[puesto_trabajo]],tblPuestos[codigo],tblPuestos[especialidad],"(sin catálogo)"))</f>
        <v/>
      </c>
      <c r="Z781" s="3">
        <f>IF(tblOrdenes[[#This Row],[cod_actividad]]="","",_xlfn.XLOOKUP(tblOrdenes[[#This Row],[cod_actividad]],tblActividades[codigo],tblActividades[descripcion],"(sin catálogo)"))</f>
        <v/>
      </c>
      <c r="AA781" s="13">
        <f>IF(tblOrdenes[[#This Row],[fecha_inicio]]="","",TODAY()-tblOrdenes[[#This Row],[fecha_inicio]])</f>
        <v/>
      </c>
      <c r="AB7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1" s="3">
        <f>IF(tblOrdenes[[#This Row],[backlog_habiles]]="","",IF(tblOrdenes[[#This Row],[backlog_habiles]]&lt;0,"FUTURO",IF(tblOrdenes[[#This Row],[backlog_habiles]]&gt;p_dias_backlog_max,"BACKLOG","MES CORRIENTE")))</f>
        <v/>
      </c>
      <c r="AD781" s="3">
        <f>IF(tblOrdenes[[#This Row],[backlog_habiles]]="",FALSE,AND(tblOrdenes[[#This Row],[backlog_habiles]]&gt;p_dias_backlog_min,tblOrdenes[[#This Row],[backlog_habiles]]&lt;=p_dias_backlog_max))</f>
        <v/>
      </c>
      <c r="AE781" s="6" t="n"/>
      <c r="AF7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1" s="11">
        <f>IF(tblOrdenes[[#This Row],[orden]]="","",_xlfn.XLOOKUP(tblOrdenes[[#This Row],[id_operacion]],tblEjecucion[id_operacion],tblEjecucion[precio],0))</f>
        <v/>
      </c>
      <c r="AJ781" s="11">
        <f>IF(tblOrdenes[[#This Row],[orden]]="","",MAX(0,_xlfn.XLOOKUP(tblOrdenes[[#This Row],[id_operacion]],tblEjecucion[id_operacion],tblEjecucion[costo_plan_total],0)-tblOrdenes[[#This Row],[costo_servicio]]))</f>
        <v/>
      </c>
      <c r="AK781" s="11">
        <f>IF(tblOrdenes[[#This Row],[orden]]="","",tblOrdenes[[#This Row],[costo_servicio]]+tblOrdenes[[#This Row],[costo_materiales]])</f>
        <v/>
      </c>
      <c r="AL781" s="6" t="n"/>
      <c r="AM781" s="6" t="n"/>
      <c r="AN781" s="6" t="n"/>
      <c r="AO781" s="3">
        <f>IF(tblOrdenes[[#This Row],[link_checklist]]="","",HYPERLINK(p_ruta_base_checklists&amp;tblOrdenes[[#This Row],[link_checklist]],"abrir"))</f>
        <v/>
      </c>
      <c r="AP781" s="6" t="n"/>
      <c r="AQ781" s="3">
        <f>IF(tblOrdenes[[#This Row],[orden]]="","",tblOrdenes[[#This Row],[orden]]&amp;IF(tblOrdenes[[#This Row],[operacion]]="","0010",tblOrdenes[[#This Row],[operacion]]))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2" t="n"/>
      <c r="K782" s="3" t="n"/>
      <c r="L782" s="11" t="n"/>
      <c r="M7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2" s="3">
        <f>IF(tblOrdenes[[#This Row],[fecha_inicio]]="","",YEAR(tblOrdenes[[#This Row],[fecha_inicio]]))</f>
        <v/>
      </c>
      <c r="Q782" s="3">
        <f>IF(tblOrdenes[[#This Row],[fecha_inicio]]="","",MONTH(tblOrdenes[[#This Row],[fecha_inicio]]))</f>
        <v/>
      </c>
      <c r="R782" s="3">
        <f>IF(tblOrdenes[[#This Row],[fecha_inicio]]="","",INDEX(lista_dias,WEEKDAY(tblOrdenes[[#This Row],[fecha_inicio]],2)))</f>
        <v/>
      </c>
      <c r="S7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2" s="3">
        <f>IF(tblOrdenes[[#This Row],[tipo_ot]]="","",_xlfn.XLOOKUP(tblOrdenes[[#This Row],[tipo_ot]],tblTiposOT[codigo],tblTiposOT[clasificacion],"sin_clasificar"))</f>
        <v/>
      </c>
      <c r="U782" s="3">
        <f>IF(tblOrdenes[[#This Row],[centro_costo]]="","",_xlfn.XLOOKUP(tblOrdenes[[#This Row],[centro_costo]],tblCECO[codigo],tblCECO[linea],"(sin catálogo)"))</f>
        <v/>
      </c>
      <c r="V782" s="3">
        <f>IF(tblOrdenes[[#This Row],[centro_costo]]="","",_xlfn.XLOOKUP(tblOrdenes[[#This Row],[centro_costo]],tblCECO[codigo],tblCECO[area],"(sin catálogo)"))</f>
        <v/>
      </c>
      <c r="W7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2" s="3">
        <f>IF(tblOrdenes[[#This Row],[centro_costo]]="","",_xlfn.XLOOKUP(tblOrdenes[[#This Row],[centro_costo]],tblCECO[codigo],tblCECO[coordinador],"(sin catálogo)"))</f>
        <v/>
      </c>
      <c r="Y782" s="3">
        <f>IF(tblOrdenes[[#This Row],[puesto_trabajo]]="","",_xlfn.XLOOKUP(tblOrdenes[[#This Row],[puesto_trabajo]],tblPuestos[codigo],tblPuestos[especialidad],"(sin catálogo)"))</f>
        <v/>
      </c>
      <c r="Z782" s="3">
        <f>IF(tblOrdenes[[#This Row],[cod_actividad]]="","",_xlfn.XLOOKUP(tblOrdenes[[#This Row],[cod_actividad]],tblActividades[codigo],tblActividades[descripcion],"(sin catálogo)"))</f>
        <v/>
      </c>
      <c r="AA782" s="13">
        <f>IF(tblOrdenes[[#This Row],[fecha_inicio]]="","",TODAY()-tblOrdenes[[#This Row],[fecha_inicio]])</f>
        <v/>
      </c>
      <c r="AB7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2" s="3">
        <f>IF(tblOrdenes[[#This Row],[backlog_habiles]]="","",IF(tblOrdenes[[#This Row],[backlog_habiles]]&lt;0,"FUTURO",IF(tblOrdenes[[#This Row],[backlog_habiles]]&gt;p_dias_backlog_max,"BACKLOG","MES CORRIENTE")))</f>
        <v/>
      </c>
      <c r="AD782" s="3">
        <f>IF(tblOrdenes[[#This Row],[backlog_habiles]]="",FALSE,AND(tblOrdenes[[#This Row],[backlog_habiles]]&gt;p_dias_backlog_min,tblOrdenes[[#This Row],[backlog_habiles]]&lt;=p_dias_backlog_max))</f>
        <v/>
      </c>
      <c r="AE782" s="6" t="n"/>
      <c r="AF7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2" s="11">
        <f>IF(tblOrdenes[[#This Row],[orden]]="","",_xlfn.XLOOKUP(tblOrdenes[[#This Row],[id_operacion]],tblEjecucion[id_operacion],tblEjecucion[precio],0))</f>
        <v/>
      </c>
      <c r="AJ782" s="11">
        <f>IF(tblOrdenes[[#This Row],[orden]]="","",MAX(0,_xlfn.XLOOKUP(tblOrdenes[[#This Row],[id_operacion]],tblEjecucion[id_operacion],tblEjecucion[costo_plan_total],0)-tblOrdenes[[#This Row],[costo_servicio]]))</f>
        <v/>
      </c>
      <c r="AK782" s="11">
        <f>IF(tblOrdenes[[#This Row],[orden]]="","",tblOrdenes[[#This Row],[costo_servicio]]+tblOrdenes[[#This Row],[costo_materiales]])</f>
        <v/>
      </c>
      <c r="AL782" s="6" t="n"/>
      <c r="AM782" s="6" t="n"/>
      <c r="AN782" s="6" t="n"/>
      <c r="AO782" s="3">
        <f>IF(tblOrdenes[[#This Row],[link_checklist]]="","",HYPERLINK(p_ruta_base_checklists&amp;tblOrdenes[[#This Row],[link_checklist]],"abrir"))</f>
        <v/>
      </c>
      <c r="AP782" s="6" t="n"/>
      <c r="AQ782" s="3">
        <f>IF(tblOrdenes[[#This Row],[orden]]="","",tblOrdenes[[#This Row],[orden]]&amp;IF(tblOrdenes[[#This Row],[operacion]]="","0010",tblOrdenes[[#This Row],[operacion]]))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2" t="n"/>
      <c r="K783" s="3" t="n"/>
      <c r="L783" s="11" t="n"/>
      <c r="M7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3" s="3">
        <f>IF(tblOrdenes[[#This Row],[fecha_inicio]]="","",YEAR(tblOrdenes[[#This Row],[fecha_inicio]]))</f>
        <v/>
      </c>
      <c r="Q783" s="3">
        <f>IF(tblOrdenes[[#This Row],[fecha_inicio]]="","",MONTH(tblOrdenes[[#This Row],[fecha_inicio]]))</f>
        <v/>
      </c>
      <c r="R783" s="3">
        <f>IF(tblOrdenes[[#This Row],[fecha_inicio]]="","",INDEX(lista_dias,WEEKDAY(tblOrdenes[[#This Row],[fecha_inicio]],2)))</f>
        <v/>
      </c>
      <c r="S7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3" s="3">
        <f>IF(tblOrdenes[[#This Row],[tipo_ot]]="","",_xlfn.XLOOKUP(tblOrdenes[[#This Row],[tipo_ot]],tblTiposOT[codigo],tblTiposOT[clasificacion],"sin_clasificar"))</f>
        <v/>
      </c>
      <c r="U783" s="3">
        <f>IF(tblOrdenes[[#This Row],[centro_costo]]="","",_xlfn.XLOOKUP(tblOrdenes[[#This Row],[centro_costo]],tblCECO[codigo],tblCECO[linea],"(sin catálogo)"))</f>
        <v/>
      </c>
      <c r="V783" s="3">
        <f>IF(tblOrdenes[[#This Row],[centro_costo]]="","",_xlfn.XLOOKUP(tblOrdenes[[#This Row],[centro_costo]],tblCECO[codigo],tblCECO[area],"(sin catálogo)"))</f>
        <v/>
      </c>
      <c r="W7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3" s="3">
        <f>IF(tblOrdenes[[#This Row],[centro_costo]]="","",_xlfn.XLOOKUP(tblOrdenes[[#This Row],[centro_costo]],tblCECO[codigo],tblCECO[coordinador],"(sin catálogo)"))</f>
        <v/>
      </c>
      <c r="Y783" s="3">
        <f>IF(tblOrdenes[[#This Row],[puesto_trabajo]]="","",_xlfn.XLOOKUP(tblOrdenes[[#This Row],[puesto_trabajo]],tblPuestos[codigo],tblPuestos[especialidad],"(sin catálogo)"))</f>
        <v/>
      </c>
      <c r="Z783" s="3">
        <f>IF(tblOrdenes[[#This Row],[cod_actividad]]="","",_xlfn.XLOOKUP(tblOrdenes[[#This Row],[cod_actividad]],tblActividades[codigo],tblActividades[descripcion],"(sin catálogo)"))</f>
        <v/>
      </c>
      <c r="AA783" s="13">
        <f>IF(tblOrdenes[[#This Row],[fecha_inicio]]="","",TODAY()-tblOrdenes[[#This Row],[fecha_inicio]])</f>
        <v/>
      </c>
      <c r="AB7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3" s="3">
        <f>IF(tblOrdenes[[#This Row],[backlog_habiles]]="","",IF(tblOrdenes[[#This Row],[backlog_habiles]]&lt;0,"FUTURO",IF(tblOrdenes[[#This Row],[backlog_habiles]]&gt;p_dias_backlog_max,"BACKLOG","MES CORRIENTE")))</f>
        <v/>
      </c>
      <c r="AD783" s="3">
        <f>IF(tblOrdenes[[#This Row],[backlog_habiles]]="",FALSE,AND(tblOrdenes[[#This Row],[backlog_habiles]]&gt;p_dias_backlog_min,tblOrdenes[[#This Row],[backlog_habiles]]&lt;=p_dias_backlog_max))</f>
        <v/>
      </c>
      <c r="AE783" s="6" t="n"/>
      <c r="AF7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3" s="11">
        <f>IF(tblOrdenes[[#This Row],[orden]]="","",_xlfn.XLOOKUP(tblOrdenes[[#This Row],[id_operacion]],tblEjecucion[id_operacion],tblEjecucion[precio],0))</f>
        <v/>
      </c>
      <c r="AJ783" s="11">
        <f>IF(tblOrdenes[[#This Row],[orden]]="","",MAX(0,_xlfn.XLOOKUP(tblOrdenes[[#This Row],[id_operacion]],tblEjecucion[id_operacion],tblEjecucion[costo_plan_total],0)-tblOrdenes[[#This Row],[costo_servicio]]))</f>
        <v/>
      </c>
      <c r="AK783" s="11">
        <f>IF(tblOrdenes[[#This Row],[orden]]="","",tblOrdenes[[#This Row],[costo_servicio]]+tblOrdenes[[#This Row],[costo_materiales]])</f>
        <v/>
      </c>
      <c r="AL783" s="6" t="n"/>
      <c r="AM783" s="6" t="n"/>
      <c r="AN783" s="6" t="n"/>
      <c r="AO783" s="3">
        <f>IF(tblOrdenes[[#This Row],[link_checklist]]="","",HYPERLINK(p_ruta_base_checklists&amp;tblOrdenes[[#This Row],[link_checklist]],"abrir"))</f>
        <v/>
      </c>
      <c r="AP783" s="6" t="n"/>
      <c r="AQ783" s="3">
        <f>IF(tblOrdenes[[#This Row],[orden]]="","",tblOrdenes[[#This Row],[orden]]&amp;IF(tblOrdenes[[#This Row],[operacion]]="","0010",tblOrdenes[[#This Row],[operacion]]))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2" t="n"/>
      <c r="K784" s="3" t="n"/>
      <c r="L784" s="11" t="n"/>
      <c r="M7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4" s="3">
        <f>IF(tblOrdenes[[#This Row],[fecha_inicio]]="","",YEAR(tblOrdenes[[#This Row],[fecha_inicio]]))</f>
        <v/>
      </c>
      <c r="Q784" s="3">
        <f>IF(tblOrdenes[[#This Row],[fecha_inicio]]="","",MONTH(tblOrdenes[[#This Row],[fecha_inicio]]))</f>
        <v/>
      </c>
      <c r="R784" s="3">
        <f>IF(tblOrdenes[[#This Row],[fecha_inicio]]="","",INDEX(lista_dias,WEEKDAY(tblOrdenes[[#This Row],[fecha_inicio]],2)))</f>
        <v/>
      </c>
      <c r="S7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4" s="3">
        <f>IF(tblOrdenes[[#This Row],[tipo_ot]]="","",_xlfn.XLOOKUP(tblOrdenes[[#This Row],[tipo_ot]],tblTiposOT[codigo],tblTiposOT[clasificacion],"sin_clasificar"))</f>
        <v/>
      </c>
      <c r="U784" s="3">
        <f>IF(tblOrdenes[[#This Row],[centro_costo]]="","",_xlfn.XLOOKUP(tblOrdenes[[#This Row],[centro_costo]],tblCECO[codigo],tblCECO[linea],"(sin catálogo)"))</f>
        <v/>
      </c>
      <c r="V784" s="3">
        <f>IF(tblOrdenes[[#This Row],[centro_costo]]="","",_xlfn.XLOOKUP(tblOrdenes[[#This Row],[centro_costo]],tblCECO[codigo],tblCECO[area],"(sin catálogo)"))</f>
        <v/>
      </c>
      <c r="W7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4" s="3">
        <f>IF(tblOrdenes[[#This Row],[centro_costo]]="","",_xlfn.XLOOKUP(tblOrdenes[[#This Row],[centro_costo]],tblCECO[codigo],tblCECO[coordinador],"(sin catálogo)"))</f>
        <v/>
      </c>
      <c r="Y784" s="3">
        <f>IF(tblOrdenes[[#This Row],[puesto_trabajo]]="","",_xlfn.XLOOKUP(tblOrdenes[[#This Row],[puesto_trabajo]],tblPuestos[codigo],tblPuestos[especialidad],"(sin catálogo)"))</f>
        <v/>
      </c>
      <c r="Z784" s="3">
        <f>IF(tblOrdenes[[#This Row],[cod_actividad]]="","",_xlfn.XLOOKUP(tblOrdenes[[#This Row],[cod_actividad]],tblActividades[codigo],tblActividades[descripcion],"(sin catálogo)"))</f>
        <v/>
      </c>
      <c r="AA784" s="13">
        <f>IF(tblOrdenes[[#This Row],[fecha_inicio]]="","",TODAY()-tblOrdenes[[#This Row],[fecha_inicio]])</f>
        <v/>
      </c>
      <c r="AB7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4" s="3">
        <f>IF(tblOrdenes[[#This Row],[backlog_habiles]]="","",IF(tblOrdenes[[#This Row],[backlog_habiles]]&lt;0,"FUTURO",IF(tblOrdenes[[#This Row],[backlog_habiles]]&gt;p_dias_backlog_max,"BACKLOG","MES CORRIENTE")))</f>
        <v/>
      </c>
      <c r="AD784" s="3">
        <f>IF(tblOrdenes[[#This Row],[backlog_habiles]]="",FALSE,AND(tblOrdenes[[#This Row],[backlog_habiles]]&gt;p_dias_backlog_min,tblOrdenes[[#This Row],[backlog_habiles]]&lt;=p_dias_backlog_max))</f>
        <v/>
      </c>
      <c r="AE784" s="6" t="n"/>
      <c r="AF7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4" s="11">
        <f>IF(tblOrdenes[[#This Row],[orden]]="","",_xlfn.XLOOKUP(tblOrdenes[[#This Row],[id_operacion]],tblEjecucion[id_operacion],tblEjecucion[precio],0))</f>
        <v/>
      </c>
      <c r="AJ784" s="11">
        <f>IF(tblOrdenes[[#This Row],[orden]]="","",MAX(0,_xlfn.XLOOKUP(tblOrdenes[[#This Row],[id_operacion]],tblEjecucion[id_operacion],tblEjecucion[costo_plan_total],0)-tblOrdenes[[#This Row],[costo_servicio]]))</f>
        <v/>
      </c>
      <c r="AK784" s="11">
        <f>IF(tblOrdenes[[#This Row],[orden]]="","",tblOrdenes[[#This Row],[costo_servicio]]+tblOrdenes[[#This Row],[costo_materiales]])</f>
        <v/>
      </c>
      <c r="AL784" s="6" t="n"/>
      <c r="AM784" s="6" t="n"/>
      <c r="AN784" s="6" t="n"/>
      <c r="AO784" s="3">
        <f>IF(tblOrdenes[[#This Row],[link_checklist]]="","",HYPERLINK(p_ruta_base_checklists&amp;tblOrdenes[[#This Row],[link_checklist]],"abrir"))</f>
        <v/>
      </c>
      <c r="AP784" s="6" t="n"/>
      <c r="AQ784" s="3">
        <f>IF(tblOrdenes[[#This Row],[orden]]="","",tblOrdenes[[#This Row],[orden]]&amp;IF(tblOrdenes[[#This Row],[operacion]]="","0010",tblOrdenes[[#This Row],[operacion]]))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2" t="n"/>
      <c r="K785" s="3" t="n"/>
      <c r="L785" s="11" t="n"/>
      <c r="M7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5" s="3">
        <f>IF(tblOrdenes[[#This Row],[fecha_inicio]]="","",YEAR(tblOrdenes[[#This Row],[fecha_inicio]]))</f>
        <v/>
      </c>
      <c r="Q785" s="3">
        <f>IF(tblOrdenes[[#This Row],[fecha_inicio]]="","",MONTH(tblOrdenes[[#This Row],[fecha_inicio]]))</f>
        <v/>
      </c>
      <c r="R785" s="3">
        <f>IF(tblOrdenes[[#This Row],[fecha_inicio]]="","",INDEX(lista_dias,WEEKDAY(tblOrdenes[[#This Row],[fecha_inicio]],2)))</f>
        <v/>
      </c>
      <c r="S7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5" s="3">
        <f>IF(tblOrdenes[[#This Row],[tipo_ot]]="","",_xlfn.XLOOKUP(tblOrdenes[[#This Row],[tipo_ot]],tblTiposOT[codigo],tblTiposOT[clasificacion],"sin_clasificar"))</f>
        <v/>
      </c>
      <c r="U785" s="3">
        <f>IF(tblOrdenes[[#This Row],[centro_costo]]="","",_xlfn.XLOOKUP(tblOrdenes[[#This Row],[centro_costo]],tblCECO[codigo],tblCECO[linea],"(sin catálogo)"))</f>
        <v/>
      </c>
      <c r="V785" s="3">
        <f>IF(tblOrdenes[[#This Row],[centro_costo]]="","",_xlfn.XLOOKUP(tblOrdenes[[#This Row],[centro_costo]],tblCECO[codigo],tblCECO[area],"(sin catálogo)"))</f>
        <v/>
      </c>
      <c r="W7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5" s="3">
        <f>IF(tblOrdenes[[#This Row],[centro_costo]]="","",_xlfn.XLOOKUP(tblOrdenes[[#This Row],[centro_costo]],tblCECO[codigo],tblCECO[coordinador],"(sin catálogo)"))</f>
        <v/>
      </c>
      <c r="Y785" s="3">
        <f>IF(tblOrdenes[[#This Row],[puesto_trabajo]]="","",_xlfn.XLOOKUP(tblOrdenes[[#This Row],[puesto_trabajo]],tblPuestos[codigo],tblPuestos[especialidad],"(sin catálogo)"))</f>
        <v/>
      </c>
      <c r="Z785" s="3">
        <f>IF(tblOrdenes[[#This Row],[cod_actividad]]="","",_xlfn.XLOOKUP(tblOrdenes[[#This Row],[cod_actividad]],tblActividades[codigo],tblActividades[descripcion],"(sin catálogo)"))</f>
        <v/>
      </c>
      <c r="AA785" s="13">
        <f>IF(tblOrdenes[[#This Row],[fecha_inicio]]="","",TODAY()-tblOrdenes[[#This Row],[fecha_inicio]])</f>
        <v/>
      </c>
      <c r="AB7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5" s="3">
        <f>IF(tblOrdenes[[#This Row],[backlog_habiles]]="","",IF(tblOrdenes[[#This Row],[backlog_habiles]]&lt;0,"FUTURO",IF(tblOrdenes[[#This Row],[backlog_habiles]]&gt;p_dias_backlog_max,"BACKLOG","MES CORRIENTE")))</f>
        <v/>
      </c>
      <c r="AD785" s="3">
        <f>IF(tblOrdenes[[#This Row],[backlog_habiles]]="",FALSE,AND(tblOrdenes[[#This Row],[backlog_habiles]]&gt;p_dias_backlog_min,tblOrdenes[[#This Row],[backlog_habiles]]&lt;=p_dias_backlog_max))</f>
        <v/>
      </c>
      <c r="AE785" s="6" t="n"/>
      <c r="AF7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5" s="11">
        <f>IF(tblOrdenes[[#This Row],[orden]]="","",_xlfn.XLOOKUP(tblOrdenes[[#This Row],[id_operacion]],tblEjecucion[id_operacion],tblEjecucion[precio],0))</f>
        <v/>
      </c>
      <c r="AJ785" s="11">
        <f>IF(tblOrdenes[[#This Row],[orden]]="","",MAX(0,_xlfn.XLOOKUP(tblOrdenes[[#This Row],[id_operacion]],tblEjecucion[id_operacion],tblEjecucion[costo_plan_total],0)-tblOrdenes[[#This Row],[costo_servicio]]))</f>
        <v/>
      </c>
      <c r="AK785" s="11">
        <f>IF(tblOrdenes[[#This Row],[orden]]="","",tblOrdenes[[#This Row],[costo_servicio]]+tblOrdenes[[#This Row],[costo_materiales]])</f>
        <v/>
      </c>
      <c r="AL785" s="6" t="n"/>
      <c r="AM785" s="6" t="n"/>
      <c r="AN785" s="6" t="n"/>
      <c r="AO785" s="3">
        <f>IF(tblOrdenes[[#This Row],[link_checklist]]="","",HYPERLINK(p_ruta_base_checklists&amp;tblOrdenes[[#This Row],[link_checklist]],"abrir"))</f>
        <v/>
      </c>
      <c r="AP785" s="6" t="n"/>
      <c r="AQ785" s="3">
        <f>IF(tblOrdenes[[#This Row],[orden]]="","",tblOrdenes[[#This Row],[orden]]&amp;IF(tblOrdenes[[#This Row],[operacion]]="","0010",tblOrdenes[[#This Row],[operacion]]))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2" t="n"/>
      <c r="K786" s="3" t="n"/>
      <c r="L786" s="11" t="n"/>
      <c r="M7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6" s="3">
        <f>IF(tblOrdenes[[#This Row],[fecha_inicio]]="","",YEAR(tblOrdenes[[#This Row],[fecha_inicio]]))</f>
        <v/>
      </c>
      <c r="Q786" s="3">
        <f>IF(tblOrdenes[[#This Row],[fecha_inicio]]="","",MONTH(tblOrdenes[[#This Row],[fecha_inicio]]))</f>
        <v/>
      </c>
      <c r="R786" s="3">
        <f>IF(tblOrdenes[[#This Row],[fecha_inicio]]="","",INDEX(lista_dias,WEEKDAY(tblOrdenes[[#This Row],[fecha_inicio]],2)))</f>
        <v/>
      </c>
      <c r="S7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6" s="3">
        <f>IF(tblOrdenes[[#This Row],[tipo_ot]]="","",_xlfn.XLOOKUP(tblOrdenes[[#This Row],[tipo_ot]],tblTiposOT[codigo],tblTiposOT[clasificacion],"sin_clasificar"))</f>
        <v/>
      </c>
      <c r="U786" s="3">
        <f>IF(tblOrdenes[[#This Row],[centro_costo]]="","",_xlfn.XLOOKUP(tblOrdenes[[#This Row],[centro_costo]],tblCECO[codigo],tblCECO[linea],"(sin catálogo)"))</f>
        <v/>
      </c>
      <c r="V786" s="3">
        <f>IF(tblOrdenes[[#This Row],[centro_costo]]="","",_xlfn.XLOOKUP(tblOrdenes[[#This Row],[centro_costo]],tblCECO[codigo],tblCECO[area],"(sin catálogo)"))</f>
        <v/>
      </c>
      <c r="W7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6" s="3">
        <f>IF(tblOrdenes[[#This Row],[centro_costo]]="","",_xlfn.XLOOKUP(tblOrdenes[[#This Row],[centro_costo]],tblCECO[codigo],tblCECO[coordinador],"(sin catálogo)"))</f>
        <v/>
      </c>
      <c r="Y786" s="3">
        <f>IF(tblOrdenes[[#This Row],[puesto_trabajo]]="","",_xlfn.XLOOKUP(tblOrdenes[[#This Row],[puesto_trabajo]],tblPuestos[codigo],tblPuestos[especialidad],"(sin catálogo)"))</f>
        <v/>
      </c>
      <c r="Z786" s="3">
        <f>IF(tblOrdenes[[#This Row],[cod_actividad]]="","",_xlfn.XLOOKUP(tblOrdenes[[#This Row],[cod_actividad]],tblActividades[codigo],tblActividades[descripcion],"(sin catálogo)"))</f>
        <v/>
      </c>
      <c r="AA786" s="13">
        <f>IF(tblOrdenes[[#This Row],[fecha_inicio]]="","",TODAY()-tblOrdenes[[#This Row],[fecha_inicio]])</f>
        <v/>
      </c>
      <c r="AB7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6" s="3">
        <f>IF(tblOrdenes[[#This Row],[backlog_habiles]]="","",IF(tblOrdenes[[#This Row],[backlog_habiles]]&lt;0,"FUTURO",IF(tblOrdenes[[#This Row],[backlog_habiles]]&gt;p_dias_backlog_max,"BACKLOG","MES CORRIENTE")))</f>
        <v/>
      </c>
      <c r="AD786" s="3">
        <f>IF(tblOrdenes[[#This Row],[backlog_habiles]]="",FALSE,AND(tblOrdenes[[#This Row],[backlog_habiles]]&gt;p_dias_backlog_min,tblOrdenes[[#This Row],[backlog_habiles]]&lt;=p_dias_backlog_max))</f>
        <v/>
      </c>
      <c r="AE786" s="6" t="n"/>
      <c r="AF7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6" s="11">
        <f>IF(tblOrdenes[[#This Row],[orden]]="","",_xlfn.XLOOKUP(tblOrdenes[[#This Row],[id_operacion]],tblEjecucion[id_operacion],tblEjecucion[precio],0))</f>
        <v/>
      </c>
      <c r="AJ786" s="11">
        <f>IF(tblOrdenes[[#This Row],[orden]]="","",MAX(0,_xlfn.XLOOKUP(tblOrdenes[[#This Row],[id_operacion]],tblEjecucion[id_operacion],tblEjecucion[costo_plan_total],0)-tblOrdenes[[#This Row],[costo_servicio]]))</f>
        <v/>
      </c>
      <c r="AK786" s="11">
        <f>IF(tblOrdenes[[#This Row],[orden]]="","",tblOrdenes[[#This Row],[costo_servicio]]+tblOrdenes[[#This Row],[costo_materiales]])</f>
        <v/>
      </c>
      <c r="AL786" s="6" t="n"/>
      <c r="AM786" s="6" t="n"/>
      <c r="AN786" s="6" t="n"/>
      <c r="AO786" s="3">
        <f>IF(tblOrdenes[[#This Row],[link_checklist]]="","",HYPERLINK(p_ruta_base_checklists&amp;tblOrdenes[[#This Row],[link_checklist]],"abrir"))</f>
        <v/>
      </c>
      <c r="AP786" s="6" t="n"/>
      <c r="AQ786" s="3">
        <f>IF(tblOrdenes[[#This Row],[orden]]="","",tblOrdenes[[#This Row],[orden]]&amp;IF(tblOrdenes[[#This Row],[operacion]]="","0010",tblOrdenes[[#This Row],[operacion]]))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2" t="n"/>
      <c r="K787" s="3" t="n"/>
      <c r="L787" s="11" t="n"/>
      <c r="M7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7" s="3">
        <f>IF(tblOrdenes[[#This Row],[fecha_inicio]]="","",YEAR(tblOrdenes[[#This Row],[fecha_inicio]]))</f>
        <v/>
      </c>
      <c r="Q787" s="3">
        <f>IF(tblOrdenes[[#This Row],[fecha_inicio]]="","",MONTH(tblOrdenes[[#This Row],[fecha_inicio]]))</f>
        <v/>
      </c>
      <c r="R787" s="3">
        <f>IF(tblOrdenes[[#This Row],[fecha_inicio]]="","",INDEX(lista_dias,WEEKDAY(tblOrdenes[[#This Row],[fecha_inicio]],2)))</f>
        <v/>
      </c>
      <c r="S7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7" s="3">
        <f>IF(tblOrdenes[[#This Row],[tipo_ot]]="","",_xlfn.XLOOKUP(tblOrdenes[[#This Row],[tipo_ot]],tblTiposOT[codigo],tblTiposOT[clasificacion],"sin_clasificar"))</f>
        <v/>
      </c>
      <c r="U787" s="3">
        <f>IF(tblOrdenes[[#This Row],[centro_costo]]="","",_xlfn.XLOOKUP(tblOrdenes[[#This Row],[centro_costo]],tblCECO[codigo],tblCECO[linea],"(sin catálogo)"))</f>
        <v/>
      </c>
      <c r="V787" s="3">
        <f>IF(tblOrdenes[[#This Row],[centro_costo]]="","",_xlfn.XLOOKUP(tblOrdenes[[#This Row],[centro_costo]],tblCECO[codigo],tblCECO[area],"(sin catálogo)"))</f>
        <v/>
      </c>
      <c r="W7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7" s="3">
        <f>IF(tblOrdenes[[#This Row],[centro_costo]]="","",_xlfn.XLOOKUP(tblOrdenes[[#This Row],[centro_costo]],tblCECO[codigo],tblCECO[coordinador],"(sin catálogo)"))</f>
        <v/>
      </c>
      <c r="Y787" s="3">
        <f>IF(tblOrdenes[[#This Row],[puesto_trabajo]]="","",_xlfn.XLOOKUP(tblOrdenes[[#This Row],[puesto_trabajo]],tblPuestos[codigo],tblPuestos[especialidad],"(sin catálogo)"))</f>
        <v/>
      </c>
      <c r="Z787" s="3">
        <f>IF(tblOrdenes[[#This Row],[cod_actividad]]="","",_xlfn.XLOOKUP(tblOrdenes[[#This Row],[cod_actividad]],tblActividades[codigo],tblActividades[descripcion],"(sin catálogo)"))</f>
        <v/>
      </c>
      <c r="AA787" s="13">
        <f>IF(tblOrdenes[[#This Row],[fecha_inicio]]="","",TODAY()-tblOrdenes[[#This Row],[fecha_inicio]])</f>
        <v/>
      </c>
      <c r="AB7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7" s="3">
        <f>IF(tblOrdenes[[#This Row],[backlog_habiles]]="","",IF(tblOrdenes[[#This Row],[backlog_habiles]]&lt;0,"FUTURO",IF(tblOrdenes[[#This Row],[backlog_habiles]]&gt;p_dias_backlog_max,"BACKLOG","MES CORRIENTE")))</f>
        <v/>
      </c>
      <c r="AD787" s="3">
        <f>IF(tblOrdenes[[#This Row],[backlog_habiles]]="",FALSE,AND(tblOrdenes[[#This Row],[backlog_habiles]]&gt;p_dias_backlog_min,tblOrdenes[[#This Row],[backlog_habiles]]&lt;=p_dias_backlog_max))</f>
        <v/>
      </c>
      <c r="AE787" s="6" t="n"/>
      <c r="AF7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7" s="11">
        <f>IF(tblOrdenes[[#This Row],[orden]]="","",_xlfn.XLOOKUP(tblOrdenes[[#This Row],[id_operacion]],tblEjecucion[id_operacion],tblEjecucion[precio],0))</f>
        <v/>
      </c>
      <c r="AJ787" s="11">
        <f>IF(tblOrdenes[[#This Row],[orden]]="","",MAX(0,_xlfn.XLOOKUP(tblOrdenes[[#This Row],[id_operacion]],tblEjecucion[id_operacion],tblEjecucion[costo_plan_total],0)-tblOrdenes[[#This Row],[costo_servicio]]))</f>
        <v/>
      </c>
      <c r="AK787" s="11">
        <f>IF(tblOrdenes[[#This Row],[orden]]="","",tblOrdenes[[#This Row],[costo_servicio]]+tblOrdenes[[#This Row],[costo_materiales]])</f>
        <v/>
      </c>
      <c r="AL787" s="6" t="n"/>
      <c r="AM787" s="6" t="n"/>
      <c r="AN787" s="6" t="n"/>
      <c r="AO787" s="3">
        <f>IF(tblOrdenes[[#This Row],[link_checklist]]="","",HYPERLINK(p_ruta_base_checklists&amp;tblOrdenes[[#This Row],[link_checklist]],"abrir"))</f>
        <v/>
      </c>
      <c r="AP787" s="6" t="n"/>
      <c r="AQ787" s="3">
        <f>IF(tblOrdenes[[#This Row],[orden]]="","",tblOrdenes[[#This Row],[orden]]&amp;IF(tblOrdenes[[#This Row],[operacion]]="","0010",tblOrdenes[[#This Row],[operacion]]))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2" t="n"/>
      <c r="K788" s="3" t="n"/>
      <c r="L788" s="11" t="n"/>
      <c r="M7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8" s="3">
        <f>IF(tblOrdenes[[#This Row],[fecha_inicio]]="","",YEAR(tblOrdenes[[#This Row],[fecha_inicio]]))</f>
        <v/>
      </c>
      <c r="Q788" s="3">
        <f>IF(tblOrdenes[[#This Row],[fecha_inicio]]="","",MONTH(tblOrdenes[[#This Row],[fecha_inicio]]))</f>
        <v/>
      </c>
      <c r="R788" s="3">
        <f>IF(tblOrdenes[[#This Row],[fecha_inicio]]="","",INDEX(lista_dias,WEEKDAY(tblOrdenes[[#This Row],[fecha_inicio]],2)))</f>
        <v/>
      </c>
      <c r="S7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8" s="3">
        <f>IF(tblOrdenes[[#This Row],[tipo_ot]]="","",_xlfn.XLOOKUP(tblOrdenes[[#This Row],[tipo_ot]],tblTiposOT[codigo],tblTiposOT[clasificacion],"sin_clasificar"))</f>
        <v/>
      </c>
      <c r="U788" s="3">
        <f>IF(tblOrdenes[[#This Row],[centro_costo]]="","",_xlfn.XLOOKUP(tblOrdenes[[#This Row],[centro_costo]],tblCECO[codigo],tblCECO[linea],"(sin catálogo)"))</f>
        <v/>
      </c>
      <c r="V788" s="3">
        <f>IF(tblOrdenes[[#This Row],[centro_costo]]="","",_xlfn.XLOOKUP(tblOrdenes[[#This Row],[centro_costo]],tblCECO[codigo],tblCECO[area],"(sin catálogo)"))</f>
        <v/>
      </c>
      <c r="W7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8" s="3">
        <f>IF(tblOrdenes[[#This Row],[centro_costo]]="","",_xlfn.XLOOKUP(tblOrdenes[[#This Row],[centro_costo]],tblCECO[codigo],tblCECO[coordinador],"(sin catálogo)"))</f>
        <v/>
      </c>
      <c r="Y788" s="3">
        <f>IF(tblOrdenes[[#This Row],[puesto_trabajo]]="","",_xlfn.XLOOKUP(tblOrdenes[[#This Row],[puesto_trabajo]],tblPuestos[codigo],tblPuestos[especialidad],"(sin catálogo)"))</f>
        <v/>
      </c>
      <c r="Z788" s="3">
        <f>IF(tblOrdenes[[#This Row],[cod_actividad]]="","",_xlfn.XLOOKUP(tblOrdenes[[#This Row],[cod_actividad]],tblActividades[codigo],tblActividades[descripcion],"(sin catálogo)"))</f>
        <v/>
      </c>
      <c r="AA788" s="13">
        <f>IF(tblOrdenes[[#This Row],[fecha_inicio]]="","",TODAY()-tblOrdenes[[#This Row],[fecha_inicio]])</f>
        <v/>
      </c>
      <c r="AB7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8" s="3">
        <f>IF(tblOrdenes[[#This Row],[backlog_habiles]]="","",IF(tblOrdenes[[#This Row],[backlog_habiles]]&lt;0,"FUTURO",IF(tblOrdenes[[#This Row],[backlog_habiles]]&gt;p_dias_backlog_max,"BACKLOG","MES CORRIENTE")))</f>
        <v/>
      </c>
      <c r="AD788" s="3">
        <f>IF(tblOrdenes[[#This Row],[backlog_habiles]]="",FALSE,AND(tblOrdenes[[#This Row],[backlog_habiles]]&gt;p_dias_backlog_min,tblOrdenes[[#This Row],[backlog_habiles]]&lt;=p_dias_backlog_max))</f>
        <v/>
      </c>
      <c r="AE788" s="6" t="n"/>
      <c r="AF7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8" s="11">
        <f>IF(tblOrdenes[[#This Row],[orden]]="","",_xlfn.XLOOKUP(tblOrdenes[[#This Row],[id_operacion]],tblEjecucion[id_operacion],tblEjecucion[precio],0))</f>
        <v/>
      </c>
      <c r="AJ788" s="11">
        <f>IF(tblOrdenes[[#This Row],[orden]]="","",MAX(0,_xlfn.XLOOKUP(tblOrdenes[[#This Row],[id_operacion]],tblEjecucion[id_operacion],tblEjecucion[costo_plan_total],0)-tblOrdenes[[#This Row],[costo_servicio]]))</f>
        <v/>
      </c>
      <c r="AK788" s="11">
        <f>IF(tblOrdenes[[#This Row],[orden]]="","",tblOrdenes[[#This Row],[costo_servicio]]+tblOrdenes[[#This Row],[costo_materiales]])</f>
        <v/>
      </c>
      <c r="AL788" s="6" t="n"/>
      <c r="AM788" s="6" t="n"/>
      <c r="AN788" s="6" t="n"/>
      <c r="AO788" s="3">
        <f>IF(tblOrdenes[[#This Row],[link_checklist]]="","",HYPERLINK(p_ruta_base_checklists&amp;tblOrdenes[[#This Row],[link_checklist]],"abrir"))</f>
        <v/>
      </c>
      <c r="AP788" s="6" t="n"/>
      <c r="AQ788" s="3">
        <f>IF(tblOrdenes[[#This Row],[orden]]="","",tblOrdenes[[#This Row],[orden]]&amp;IF(tblOrdenes[[#This Row],[operacion]]="","0010",tblOrdenes[[#This Row],[operacion]]))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2" t="n"/>
      <c r="K789" s="3" t="n"/>
      <c r="L789" s="11" t="n"/>
      <c r="M7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9" s="3">
        <f>IF(tblOrdenes[[#This Row],[fecha_inicio]]="","",YEAR(tblOrdenes[[#This Row],[fecha_inicio]]))</f>
        <v/>
      </c>
      <c r="Q789" s="3">
        <f>IF(tblOrdenes[[#This Row],[fecha_inicio]]="","",MONTH(tblOrdenes[[#This Row],[fecha_inicio]]))</f>
        <v/>
      </c>
      <c r="R789" s="3">
        <f>IF(tblOrdenes[[#This Row],[fecha_inicio]]="","",INDEX(lista_dias,WEEKDAY(tblOrdenes[[#This Row],[fecha_inicio]],2)))</f>
        <v/>
      </c>
      <c r="S7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9" s="3">
        <f>IF(tblOrdenes[[#This Row],[tipo_ot]]="","",_xlfn.XLOOKUP(tblOrdenes[[#This Row],[tipo_ot]],tblTiposOT[codigo],tblTiposOT[clasificacion],"sin_clasificar"))</f>
        <v/>
      </c>
      <c r="U789" s="3">
        <f>IF(tblOrdenes[[#This Row],[centro_costo]]="","",_xlfn.XLOOKUP(tblOrdenes[[#This Row],[centro_costo]],tblCECO[codigo],tblCECO[linea],"(sin catálogo)"))</f>
        <v/>
      </c>
      <c r="V789" s="3">
        <f>IF(tblOrdenes[[#This Row],[centro_costo]]="","",_xlfn.XLOOKUP(tblOrdenes[[#This Row],[centro_costo]],tblCECO[codigo],tblCECO[area],"(sin catálogo)"))</f>
        <v/>
      </c>
      <c r="W7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9" s="3">
        <f>IF(tblOrdenes[[#This Row],[centro_costo]]="","",_xlfn.XLOOKUP(tblOrdenes[[#This Row],[centro_costo]],tblCECO[codigo],tblCECO[coordinador],"(sin catálogo)"))</f>
        <v/>
      </c>
      <c r="Y789" s="3">
        <f>IF(tblOrdenes[[#This Row],[puesto_trabajo]]="","",_xlfn.XLOOKUP(tblOrdenes[[#This Row],[puesto_trabajo]],tblPuestos[codigo],tblPuestos[especialidad],"(sin catálogo)"))</f>
        <v/>
      </c>
      <c r="Z789" s="3">
        <f>IF(tblOrdenes[[#This Row],[cod_actividad]]="","",_xlfn.XLOOKUP(tblOrdenes[[#This Row],[cod_actividad]],tblActividades[codigo],tblActividades[descripcion],"(sin catálogo)"))</f>
        <v/>
      </c>
      <c r="AA789" s="13">
        <f>IF(tblOrdenes[[#This Row],[fecha_inicio]]="","",TODAY()-tblOrdenes[[#This Row],[fecha_inicio]])</f>
        <v/>
      </c>
      <c r="AB7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9" s="3">
        <f>IF(tblOrdenes[[#This Row],[backlog_habiles]]="","",IF(tblOrdenes[[#This Row],[backlog_habiles]]&lt;0,"FUTURO",IF(tblOrdenes[[#This Row],[backlog_habiles]]&gt;p_dias_backlog_max,"BACKLOG","MES CORRIENTE")))</f>
        <v/>
      </c>
      <c r="AD789" s="3">
        <f>IF(tblOrdenes[[#This Row],[backlog_habiles]]="",FALSE,AND(tblOrdenes[[#This Row],[backlog_habiles]]&gt;p_dias_backlog_min,tblOrdenes[[#This Row],[backlog_habiles]]&lt;=p_dias_backlog_max))</f>
        <v/>
      </c>
      <c r="AE789" s="6" t="n"/>
      <c r="AF7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9" s="11">
        <f>IF(tblOrdenes[[#This Row],[orden]]="","",_xlfn.XLOOKUP(tblOrdenes[[#This Row],[id_operacion]],tblEjecucion[id_operacion],tblEjecucion[precio],0))</f>
        <v/>
      </c>
      <c r="AJ789" s="11">
        <f>IF(tblOrdenes[[#This Row],[orden]]="","",MAX(0,_xlfn.XLOOKUP(tblOrdenes[[#This Row],[id_operacion]],tblEjecucion[id_operacion],tblEjecucion[costo_plan_total],0)-tblOrdenes[[#This Row],[costo_servicio]]))</f>
        <v/>
      </c>
      <c r="AK789" s="11">
        <f>IF(tblOrdenes[[#This Row],[orden]]="","",tblOrdenes[[#This Row],[costo_servicio]]+tblOrdenes[[#This Row],[costo_materiales]])</f>
        <v/>
      </c>
      <c r="AL789" s="6" t="n"/>
      <c r="AM789" s="6" t="n"/>
      <c r="AN789" s="6" t="n"/>
      <c r="AO789" s="3">
        <f>IF(tblOrdenes[[#This Row],[link_checklist]]="","",HYPERLINK(p_ruta_base_checklists&amp;tblOrdenes[[#This Row],[link_checklist]],"abrir"))</f>
        <v/>
      </c>
      <c r="AP789" s="6" t="n"/>
      <c r="AQ789" s="3">
        <f>IF(tblOrdenes[[#This Row],[orden]]="","",tblOrdenes[[#This Row],[orden]]&amp;IF(tblOrdenes[[#This Row],[operacion]]="","0010",tblOrdenes[[#This Row],[operacion]]))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2" t="n"/>
      <c r="K790" s="3" t="n"/>
      <c r="L790" s="11" t="n"/>
      <c r="M7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0" s="3">
        <f>IF(tblOrdenes[[#This Row],[fecha_inicio]]="","",YEAR(tblOrdenes[[#This Row],[fecha_inicio]]))</f>
        <v/>
      </c>
      <c r="Q790" s="3">
        <f>IF(tblOrdenes[[#This Row],[fecha_inicio]]="","",MONTH(tblOrdenes[[#This Row],[fecha_inicio]]))</f>
        <v/>
      </c>
      <c r="R790" s="3">
        <f>IF(tblOrdenes[[#This Row],[fecha_inicio]]="","",INDEX(lista_dias,WEEKDAY(tblOrdenes[[#This Row],[fecha_inicio]],2)))</f>
        <v/>
      </c>
      <c r="S7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0" s="3">
        <f>IF(tblOrdenes[[#This Row],[tipo_ot]]="","",_xlfn.XLOOKUP(tblOrdenes[[#This Row],[tipo_ot]],tblTiposOT[codigo],tblTiposOT[clasificacion],"sin_clasificar"))</f>
        <v/>
      </c>
      <c r="U790" s="3">
        <f>IF(tblOrdenes[[#This Row],[centro_costo]]="","",_xlfn.XLOOKUP(tblOrdenes[[#This Row],[centro_costo]],tblCECO[codigo],tblCECO[linea],"(sin catálogo)"))</f>
        <v/>
      </c>
      <c r="V790" s="3">
        <f>IF(tblOrdenes[[#This Row],[centro_costo]]="","",_xlfn.XLOOKUP(tblOrdenes[[#This Row],[centro_costo]],tblCECO[codigo],tblCECO[area],"(sin catálogo)"))</f>
        <v/>
      </c>
      <c r="W7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0" s="3">
        <f>IF(tblOrdenes[[#This Row],[centro_costo]]="","",_xlfn.XLOOKUP(tblOrdenes[[#This Row],[centro_costo]],tblCECO[codigo],tblCECO[coordinador],"(sin catálogo)"))</f>
        <v/>
      </c>
      <c r="Y790" s="3">
        <f>IF(tblOrdenes[[#This Row],[puesto_trabajo]]="","",_xlfn.XLOOKUP(tblOrdenes[[#This Row],[puesto_trabajo]],tblPuestos[codigo],tblPuestos[especialidad],"(sin catálogo)"))</f>
        <v/>
      </c>
      <c r="Z790" s="3">
        <f>IF(tblOrdenes[[#This Row],[cod_actividad]]="","",_xlfn.XLOOKUP(tblOrdenes[[#This Row],[cod_actividad]],tblActividades[codigo],tblActividades[descripcion],"(sin catálogo)"))</f>
        <v/>
      </c>
      <c r="AA790" s="13">
        <f>IF(tblOrdenes[[#This Row],[fecha_inicio]]="","",TODAY()-tblOrdenes[[#This Row],[fecha_inicio]])</f>
        <v/>
      </c>
      <c r="AB7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0" s="3">
        <f>IF(tblOrdenes[[#This Row],[backlog_habiles]]="","",IF(tblOrdenes[[#This Row],[backlog_habiles]]&lt;0,"FUTURO",IF(tblOrdenes[[#This Row],[backlog_habiles]]&gt;p_dias_backlog_max,"BACKLOG","MES CORRIENTE")))</f>
        <v/>
      </c>
      <c r="AD790" s="3">
        <f>IF(tblOrdenes[[#This Row],[backlog_habiles]]="",FALSE,AND(tblOrdenes[[#This Row],[backlog_habiles]]&gt;p_dias_backlog_min,tblOrdenes[[#This Row],[backlog_habiles]]&lt;=p_dias_backlog_max))</f>
        <v/>
      </c>
      <c r="AE790" s="6" t="n"/>
      <c r="AF7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0" s="11">
        <f>IF(tblOrdenes[[#This Row],[orden]]="","",_xlfn.XLOOKUP(tblOrdenes[[#This Row],[id_operacion]],tblEjecucion[id_operacion],tblEjecucion[precio],0))</f>
        <v/>
      </c>
      <c r="AJ790" s="11">
        <f>IF(tblOrdenes[[#This Row],[orden]]="","",MAX(0,_xlfn.XLOOKUP(tblOrdenes[[#This Row],[id_operacion]],tblEjecucion[id_operacion],tblEjecucion[costo_plan_total],0)-tblOrdenes[[#This Row],[costo_servicio]]))</f>
        <v/>
      </c>
      <c r="AK790" s="11">
        <f>IF(tblOrdenes[[#This Row],[orden]]="","",tblOrdenes[[#This Row],[costo_servicio]]+tblOrdenes[[#This Row],[costo_materiales]])</f>
        <v/>
      </c>
      <c r="AL790" s="6" t="n"/>
      <c r="AM790" s="6" t="n"/>
      <c r="AN790" s="6" t="n"/>
      <c r="AO790" s="3">
        <f>IF(tblOrdenes[[#This Row],[link_checklist]]="","",HYPERLINK(p_ruta_base_checklists&amp;tblOrdenes[[#This Row],[link_checklist]],"abrir"))</f>
        <v/>
      </c>
      <c r="AP790" s="6" t="n"/>
      <c r="AQ790" s="3">
        <f>IF(tblOrdenes[[#This Row],[orden]]="","",tblOrdenes[[#This Row],[orden]]&amp;IF(tblOrdenes[[#This Row],[operacion]]="","0010",tblOrdenes[[#This Row],[operacion]]))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2" t="n"/>
      <c r="K791" s="3" t="n"/>
      <c r="L791" s="11" t="n"/>
      <c r="M7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1" s="3">
        <f>IF(tblOrdenes[[#This Row],[fecha_inicio]]="","",YEAR(tblOrdenes[[#This Row],[fecha_inicio]]))</f>
        <v/>
      </c>
      <c r="Q791" s="3">
        <f>IF(tblOrdenes[[#This Row],[fecha_inicio]]="","",MONTH(tblOrdenes[[#This Row],[fecha_inicio]]))</f>
        <v/>
      </c>
      <c r="R791" s="3">
        <f>IF(tblOrdenes[[#This Row],[fecha_inicio]]="","",INDEX(lista_dias,WEEKDAY(tblOrdenes[[#This Row],[fecha_inicio]],2)))</f>
        <v/>
      </c>
      <c r="S7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1" s="3">
        <f>IF(tblOrdenes[[#This Row],[tipo_ot]]="","",_xlfn.XLOOKUP(tblOrdenes[[#This Row],[tipo_ot]],tblTiposOT[codigo],tblTiposOT[clasificacion],"sin_clasificar"))</f>
        <v/>
      </c>
      <c r="U791" s="3">
        <f>IF(tblOrdenes[[#This Row],[centro_costo]]="","",_xlfn.XLOOKUP(tblOrdenes[[#This Row],[centro_costo]],tblCECO[codigo],tblCECO[linea],"(sin catálogo)"))</f>
        <v/>
      </c>
      <c r="V791" s="3">
        <f>IF(tblOrdenes[[#This Row],[centro_costo]]="","",_xlfn.XLOOKUP(tblOrdenes[[#This Row],[centro_costo]],tblCECO[codigo],tblCECO[area],"(sin catálogo)"))</f>
        <v/>
      </c>
      <c r="W7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1" s="3">
        <f>IF(tblOrdenes[[#This Row],[centro_costo]]="","",_xlfn.XLOOKUP(tblOrdenes[[#This Row],[centro_costo]],tblCECO[codigo],tblCECO[coordinador],"(sin catálogo)"))</f>
        <v/>
      </c>
      <c r="Y791" s="3">
        <f>IF(tblOrdenes[[#This Row],[puesto_trabajo]]="","",_xlfn.XLOOKUP(tblOrdenes[[#This Row],[puesto_trabajo]],tblPuestos[codigo],tblPuestos[especialidad],"(sin catálogo)"))</f>
        <v/>
      </c>
      <c r="Z791" s="3">
        <f>IF(tblOrdenes[[#This Row],[cod_actividad]]="","",_xlfn.XLOOKUP(tblOrdenes[[#This Row],[cod_actividad]],tblActividades[codigo],tblActividades[descripcion],"(sin catálogo)"))</f>
        <v/>
      </c>
      <c r="AA791" s="13">
        <f>IF(tblOrdenes[[#This Row],[fecha_inicio]]="","",TODAY()-tblOrdenes[[#This Row],[fecha_inicio]])</f>
        <v/>
      </c>
      <c r="AB7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1" s="3">
        <f>IF(tblOrdenes[[#This Row],[backlog_habiles]]="","",IF(tblOrdenes[[#This Row],[backlog_habiles]]&lt;0,"FUTURO",IF(tblOrdenes[[#This Row],[backlog_habiles]]&gt;p_dias_backlog_max,"BACKLOG","MES CORRIENTE")))</f>
        <v/>
      </c>
      <c r="AD791" s="3">
        <f>IF(tblOrdenes[[#This Row],[backlog_habiles]]="",FALSE,AND(tblOrdenes[[#This Row],[backlog_habiles]]&gt;p_dias_backlog_min,tblOrdenes[[#This Row],[backlog_habiles]]&lt;=p_dias_backlog_max))</f>
        <v/>
      </c>
      <c r="AE791" s="6" t="n"/>
      <c r="AF7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1" s="11">
        <f>IF(tblOrdenes[[#This Row],[orden]]="","",_xlfn.XLOOKUP(tblOrdenes[[#This Row],[id_operacion]],tblEjecucion[id_operacion],tblEjecucion[precio],0))</f>
        <v/>
      </c>
      <c r="AJ791" s="11">
        <f>IF(tblOrdenes[[#This Row],[orden]]="","",MAX(0,_xlfn.XLOOKUP(tblOrdenes[[#This Row],[id_operacion]],tblEjecucion[id_operacion],tblEjecucion[costo_plan_total],0)-tblOrdenes[[#This Row],[costo_servicio]]))</f>
        <v/>
      </c>
      <c r="AK791" s="11">
        <f>IF(tblOrdenes[[#This Row],[orden]]="","",tblOrdenes[[#This Row],[costo_servicio]]+tblOrdenes[[#This Row],[costo_materiales]])</f>
        <v/>
      </c>
      <c r="AL791" s="6" t="n"/>
      <c r="AM791" s="6" t="n"/>
      <c r="AN791" s="6" t="n"/>
      <c r="AO791" s="3">
        <f>IF(tblOrdenes[[#This Row],[link_checklist]]="","",HYPERLINK(p_ruta_base_checklists&amp;tblOrdenes[[#This Row],[link_checklist]],"abrir"))</f>
        <v/>
      </c>
      <c r="AP791" s="6" t="n"/>
      <c r="AQ791" s="3">
        <f>IF(tblOrdenes[[#This Row],[orden]]="","",tblOrdenes[[#This Row],[orden]]&amp;IF(tblOrdenes[[#This Row],[operacion]]="","0010",tblOrdenes[[#This Row],[operacion]]))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2" t="n"/>
      <c r="K792" s="3" t="n"/>
      <c r="L792" s="11" t="n"/>
      <c r="M7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2" s="3">
        <f>IF(tblOrdenes[[#This Row],[fecha_inicio]]="","",YEAR(tblOrdenes[[#This Row],[fecha_inicio]]))</f>
        <v/>
      </c>
      <c r="Q792" s="3">
        <f>IF(tblOrdenes[[#This Row],[fecha_inicio]]="","",MONTH(tblOrdenes[[#This Row],[fecha_inicio]]))</f>
        <v/>
      </c>
      <c r="R792" s="3">
        <f>IF(tblOrdenes[[#This Row],[fecha_inicio]]="","",INDEX(lista_dias,WEEKDAY(tblOrdenes[[#This Row],[fecha_inicio]],2)))</f>
        <v/>
      </c>
      <c r="S7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2" s="3">
        <f>IF(tblOrdenes[[#This Row],[tipo_ot]]="","",_xlfn.XLOOKUP(tblOrdenes[[#This Row],[tipo_ot]],tblTiposOT[codigo],tblTiposOT[clasificacion],"sin_clasificar"))</f>
        <v/>
      </c>
      <c r="U792" s="3">
        <f>IF(tblOrdenes[[#This Row],[centro_costo]]="","",_xlfn.XLOOKUP(tblOrdenes[[#This Row],[centro_costo]],tblCECO[codigo],tblCECO[linea],"(sin catálogo)"))</f>
        <v/>
      </c>
      <c r="V792" s="3">
        <f>IF(tblOrdenes[[#This Row],[centro_costo]]="","",_xlfn.XLOOKUP(tblOrdenes[[#This Row],[centro_costo]],tblCECO[codigo],tblCECO[area],"(sin catálogo)"))</f>
        <v/>
      </c>
      <c r="W7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2" s="3">
        <f>IF(tblOrdenes[[#This Row],[centro_costo]]="","",_xlfn.XLOOKUP(tblOrdenes[[#This Row],[centro_costo]],tblCECO[codigo],tblCECO[coordinador],"(sin catálogo)"))</f>
        <v/>
      </c>
      <c r="Y792" s="3">
        <f>IF(tblOrdenes[[#This Row],[puesto_trabajo]]="","",_xlfn.XLOOKUP(tblOrdenes[[#This Row],[puesto_trabajo]],tblPuestos[codigo],tblPuestos[especialidad],"(sin catálogo)"))</f>
        <v/>
      </c>
      <c r="Z792" s="3">
        <f>IF(tblOrdenes[[#This Row],[cod_actividad]]="","",_xlfn.XLOOKUP(tblOrdenes[[#This Row],[cod_actividad]],tblActividades[codigo],tblActividades[descripcion],"(sin catálogo)"))</f>
        <v/>
      </c>
      <c r="AA792" s="13">
        <f>IF(tblOrdenes[[#This Row],[fecha_inicio]]="","",TODAY()-tblOrdenes[[#This Row],[fecha_inicio]])</f>
        <v/>
      </c>
      <c r="AB7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2" s="3">
        <f>IF(tblOrdenes[[#This Row],[backlog_habiles]]="","",IF(tblOrdenes[[#This Row],[backlog_habiles]]&lt;0,"FUTURO",IF(tblOrdenes[[#This Row],[backlog_habiles]]&gt;p_dias_backlog_max,"BACKLOG","MES CORRIENTE")))</f>
        <v/>
      </c>
      <c r="AD792" s="3">
        <f>IF(tblOrdenes[[#This Row],[backlog_habiles]]="",FALSE,AND(tblOrdenes[[#This Row],[backlog_habiles]]&gt;p_dias_backlog_min,tblOrdenes[[#This Row],[backlog_habiles]]&lt;=p_dias_backlog_max))</f>
        <v/>
      </c>
      <c r="AE792" s="6" t="n"/>
      <c r="AF7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2" s="11">
        <f>IF(tblOrdenes[[#This Row],[orden]]="","",_xlfn.XLOOKUP(tblOrdenes[[#This Row],[id_operacion]],tblEjecucion[id_operacion],tblEjecucion[precio],0))</f>
        <v/>
      </c>
      <c r="AJ792" s="11">
        <f>IF(tblOrdenes[[#This Row],[orden]]="","",MAX(0,_xlfn.XLOOKUP(tblOrdenes[[#This Row],[id_operacion]],tblEjecucion[id_operacion],tblEjecucion[costo_plan_total],0)-tblOrdenes[[#This Row],[costo_servicio]]))</f>
        <v/>
      </c>
      <c r="AK792" s="11">
        <f>IF(tblOrdenes[[#This Row],[orden]]="","",tblOrdenes[[#This Row],[costo_servicio]]+tblOrdenes[[#This Row],[costo_materiales]])</f>
        <v/>
      </c>
      <c r="AL792" s="6" t="n"/>
      <c r="AM792" s="6" t="n"/>
      <c r="AN792" s="6" t="n"/>
      <c r="AO792" s="3">
        <f>IF(tblOrdenes[[#This Row],[link_checklist]]="","",HYPERLINK(p_ruta_base_checklists&amp;tblOrdenes[[#This Row],[link_checklist]],"abrir"))</f>
        <v/>
      </c>
      <c r="AP792" s="6" t="n"/>
      <c r="AQ792" s="3">
        <f>IF(tblOrdenes[[#This Row],[orden]]="","",tblOrdenes[[#This Row],[orden]]&amp;IF(tblOrdenes[[#This Row],[operacion]]="","0010",tblOrdenes[[#This Row],[operacion]]))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2" t="n"/>
      <c r="K793" s="3" t="n"/>
      <c r="L793" s="11" t="n"/>
      <c r="M7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3" s="3">
        <f>IF(tblOrdenes[[#This Row],[fecha_inicio]]="","",YEAR(tblOrdenes[[#This Row],[fecha_inicio]]))</f>
        <v/>
      </c>
      <c r="Q793" s="3">
        <f>IF(tblOrdenes[[#This Row],[fecha_inicio]]="","",MONTH(tblOrdenes[[#This Row],[fecha_inicio]]))</f>
        <v/>
      </c>
      <c r="R793" s="3">
        <f>IF(tblOrdenes[[#This Row],[fecha_inicio]]="","",INDEX(lista_dias,WEEKDAY(tblOrdenes[[#This Row],[fecha_inicio]],2)))</f>
        <v/>
      </c>
      <c r="S7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3" s="3">
        <f>IF(tblOrdenes[[#This Row],[tipo_ot]]="","",_xlfn.XLOOKUP(tblOrdenes[[#This Row],[tipo_ot]],tblTiposOT[codigo],tblTiposOT[clasificacion],"sin_clasificar"))</f>
        <v/>
      </c>
      <c r="U793" s="3">
        <f>IF(tblOrdenes[[#This Row],[centro_costo]]="","",_xlfn.XLOOKUP(tblOrdenes[[#This Row],[centro_costo]],tblCECO[codigo],tblCECO[linea],"(sin catálogo)"))</f>
        <v/>
      </c>
      <c r="V793" s="3">
        <f>IF(tblOrdenes[[#This Row],[centro_costo]]="","",_xlfn.XLOOKUP(tblOrdenes[[#This Row],[centro_costo]],tblCECO[codigo],tblCECO[area],"(sin catálogo)"))</f>
        <v/>
      </c>
      <c r="W7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3" s="3">
        <f>IF(tblOrdenes[[#This Row],[centro_costo]]="","",_xlfn.XLOOKUP(tblOrdenes[[#This Row],[centro_costo]],tblCECO[codigo],tblCECO[coordinador],"(sin catálogo)"))</f>
        <v/>
      </c>
      <c r="Y793" s="3">
        <f>IF(tblOrdenes[[#This Row],[puesto_trabajo]]="","",_xlfn.XLOOKUP(tblOrdenes[[#This Row],[puesto_trabajo]],tblPuestos[codigo],tblPuestos[especialidad],"(sin catálogo)"))</f>
        <v/>
      </c>
      <c r="Z793" s="3">
        <f>IF(tblOrdenes[[#This Row],[cod_actividad]]="","",_xlfn.XLOOKUP(tblOrdenes[[#This Row],[cod_actividad]],tblActividades[codigo],tblActividades[descripcion],"(sin catálogo)"))</f>
        <v/>
      </c>
      <c r="AA793" s="13">
        <f>IF(tblOrdenes[[#This Row],[fecha_inicio]]="","",TODAY()-tblOrdenes[[#This Row],[fecha_inicio]])</f>
        <v/>
      </c>
      <c r="AB7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3" s="3">
        <f>IF(tblOrdenes[[#This Row],[backlog_habiles]]="","",IF(tblOrdenes[[#This Row],[backlog_habiles]]&lt;0,"FUTURO",IF(tblOrdenes[[#This Row],[backlog_habiles]]&gt;p_dias_backlog_max,"BACKLOG","MES CORRIENTE")))</f>
        <v/>
      </c>
      <c r="AD793" s="3">
        <f>IF(tblOrdenes[[#This Row],[backlog_habiles]]="",FALSE,AND(tblOrdenes[[#This Row],[backlog_habiles]]&gt;p_dias_backlog_min,tblOrdenes[[#This Row],[backlog_habiles]]&lt;=p_dias_backlog_max))</f>
        <v/>
      </c>
      <c r="AE793" s="6" t="n"/>
      <c r="AF7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3" s="11">
        <f>IF(tblOrdenes[[#This Row],[orden]]="","",_xlfn.XLOOKUP(tblOrdenes[[#This Row],[id_operacion]],tblEjecucion[id_operacion],tblEjecucion[precio],0))</f>
        <v/>
      </c>
      <c r="AJ793" s="11">
        <f>IF(tblOrdenes[[#This Row],[orden]]="","",MAX(0,_xlfn.XLOOKUP(tblOrdenes[[#This Row],[id_operacion]],tblEjecucion[id_operacion],tblEjecucion[costo_plan_total],0)-tblOrdenes[[#This Row],[costo_servicio]]))</f>
        <v/>
      </c>
      <c r="AK793" s="11">
        <f>IF(tblOrdenes[[#This Row],[orden]]="","",tblOrdenes[[#This Row],[costo_servicio]]+tblOrdenes[[#This Row],[costo_materiales]])</f>
        <v/>
      </c>
      <c r="AL793" s="6" t="n"/>
      <c r="AM793" s="6" t="n"/>
      <c r="AN793" s="6" t="n"/>
      <c r="AO793" s="3">
        <f>IF(tblOrdenes[[#This Row],[link_checklist]]="","",HYPERLINK(p_ruta_base_checklists&amp;tblOrdenes[[#This Row],[link_checklist]],"abrir"))</f>
        <v/>
      </c>
      <c r="AP793" s="6" t="n"/>
      <c r="AQ793" s="3">
        <f>IF(tblOrdenes[[#This Row],[orden]]="","",tblOrdenes[[#This Row],[orden]]&amp;IF(tblOrdenes[[#This Row],[operacion]]="","0010",tblOrdenes[[#This Row],[operacion]]))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2" t="n"/>
      <c r="K794" s="3" t="n"/>
      <c r="L794" s="11" t="n"/>
      <c r="M7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4" s="3">
        <f>IF(tblOrdenes[[#This Row],[fecha_inicio]]="","",YEAR(tblOrdenes[[#This Row],[fecha_inicio]]))</f>
        <v/>
      </c>
      <c r="Q794" s="3">
        <f>IF(tblOrdenes[[#This Row],[fecha_inicio]]="","",MONTH(tblOrdenes[[#This Row],[fecha_inicio]]))</f>
        <v/>
      </c>
      <c r="R794" s="3">
        <f>IF(tblOrdenes[[#This Row],[fecha_inicio]]="","",INDEX(lista_dias,WEEKDAY(tblOrdenes[[#This Row],[fecha_inicio]],2)))</f>
        <v/>
      </c>
      <c r="S7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4" s="3">
        <f>IF(tblOrdenes[[#This Row],[tipo_ot]]="","",_xlfn.XLOOKUP(tblOrdenes[[#This Row],[tipo_ot]],tblTiposOT[codigo],tblTiposOT[clasificacion],"sin_clasificar"))</f>
        <v/>
      </c>
      <c r="U794" s="3">
        <f>IF(tblOrdenes[[#This Row],[centro_costo]]="","",_xlfn.XLOOKUP(tblOrdenes[[#This Row],[centro_costo]],tblCECO[codigo],tblCECO[linea],"(sin catálogo)"))</f>
        <v/>
      </c>
      <c r="V794" s="3">
        <f>IF(tblOrdenes[[#This Row],[centro_costo]]="","",_xlfn.XLOOKUP(tblOrdenes[[#This Row],[centro_costo]],tblCECO[codigo],tblCECO[area],"(sin catálogo)"))</f>
        <v/>
      </c>
      <c r="W7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4" s="3">
        <f>IF(tblOrdenes[[#This Row],[centro_costo]]="","",_xlfn.XLOOKUP(tblOrdenes[[#This Row],[centro_costo]],tblCECO[codigo],tblCECO[coordinador],"(sin catálogo)"))</f>
        <v/>
      </c>
      <c r="Y794" s="3">
        <f>IF(tblOrdenes[[#This Row],[puesto_trabajo]]="","",_xlfn.XLOOKUP(tblOrdenes[[#This Row],[puesto_trabajo]],tblPuestos[codigo],tblPuestos[especialidad],"(sin catálogo)"))</f>
        <v/>
      </c>
      <c r="Z794" s="3">
        <f>IF(tblOrdenes[[#This Row],[cod_actividad]]="","",_xlfn.XLOOKUP(tblOrdenes[[#This Row],[cod_actividad]],tblActividades[codigo],tblActividades[descripcion],"(sin catálogo)"))</f>
        <v/>
      </c>
      <c r="AA794" s="13">
        <f>IF(tblOrdenes[[#This Row],[fecha_inicio]]="","",TODAY()-tblOrdenes[[#This Row],[fecha_inicio]])</f>
        <v/>
      </c>
      <c r="AB7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4" s="3">
        <f>IF(tblOrdenes[[#This Row],[backlog_habiles]]="","",IF(tblOrdenes[[#This Row],[backlog_habiles]]&lt;0,"FUTURO",IF(tblOrdenes[[#This Row],[backlog_habiles]]&gt;p_dias_backlog_max,"BACKLOG","MES CORRIENTE")))</f>
        <v/>
      </c>
      <c r="AD794" s="3">
        <f>IF(tblOrdenes[[#This Row],[backlog_habiles]]="",FALSE,AND(tblOrdenes[[#This Row],[backlog_habiles]]&gt;p_dias_backlog_min,tblOrdenes[[#This Row],[backlog_habiles]]&lt;=p_dias_backlog_max))</f>
        <v/>
      </c>
      <c r="AE794" s="6" t="n"/>
      <c r="AF7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4" s="11">
        <f>IF(tblOrdenes[[#This Row],[orden]]="","",_xlfn.XLOOKUP(tblOrdenes[[#This Row],[id_operacion]],tblEjecucion[id_operacion],tblEjecucion[precio],0))</f>
        <v/>
      </c>
      <c r="AJ794" s="11">
        <f>IF(tblOrdenes[[#This Row],[orden]]="","",MAX(0,_xlfn.XLOOKUP(tblOrdenes[[#This Row],[id_operacion]],tblEjecucion[id_operacion],tblEjecucion[costo_plan_total],0)-tblOrdenes[[#This Row],[costo_servicio]]))</f>
        <v/>
      </c>
      <c r="AK794" s="11">
        <f>IF(tblOrdenes[[#This Row],[orden]]="","",tblOrdenes[[#This Row],[costo_servicio]]+tblOrdenes[[#This Row],[costo_materiales]])</f>
        <v/>
      </c>
      <c r="AL794" s="6" t="n"/>
      <c r="AM794" s="6" t="n"/>
      <c r="AN794" s="6" t="n"/>
      <c r="AO794" s="3">
        <f>IF(tblOrdenes[[#This Row],[link_checklist]]="","",HYPERLINK(p_ruta_base_checklists&amp;tblOrdenes[[#This Row],[link_checklist]],"abrir"))</f>
        <v/>
      </c>
      <c r="AP794" s="6" t="n"/>
      <c r="AQ794" s="3">
        <f>IF(tblOrdenes[[#This Row],[orden]]="","",tblOrdenes[[#This Row],[orden]]&amp;IF(tblOrdenes[[#This Row],[operacion]]="","0010",tblOrdenes[[#This Row],[operacion]]))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2" t="n"/>
      <c r="K795" s="3" t="n"/>
      <c r="L795" s="11" t="n"/>
      <c r="M7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5" s="3">
        <f>IF(tblOrdenes[[#This Row],[fecha_inicio]]="","",YEAR(tblOrdenes[[#This Row],[fecha_inicio]]))</f>
        <v/>
      </c>
      <c r="Q795" s="3">
        <f>IF(tblOrdenes[[#This Row],[fecha_inicio]]="","",MONTH(tblOrdenes[[#This Row],[fecha_inicio]]))</f>
        <v/>
      </c>
      <c r="R795" s="3">
        <f>IF(tblOrdenes[[#This Row],[fecha_inicio]]="","",INDEX(lista_dias,WEEKDAY(tblOrdenes[[#This Row],[fecha_inicio]],2)))</f>
        <v/>
      </c>
      <c r="S7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5" s="3">
        <f>IF(tblOrdenes[[#This Row],[tipo_ot]]="","",_xlfn.XLOOKUP(tblOrdenes[[#This Row],[tipo_ot]],tblTiposOT[codigo],tblTiposOT[clasificacion],"sin_clasificar"))</f>
        <v/>
      </c>
      <c r="U795" s="3">
        <f>IF(tblOrdenes[[#This Row],[centro_costo]]="","",_xlfn.XLOOKUP(tblOrdenes[[#This Row],[centro_costo]],tblCECO[codigo],tblCECO[linea],"(sin catálogo)"))</f>
        <v/>
      </c>
      <c r="V795" s="3">
        <f>IF(tblOrdenes[[#This Row],[centro_costo]]="","",_xlfn.XLOOKUP(tblOrdenes[[#This Row],[centro_costo]],tblCECO[codigo],tblCECO[area],"(sin catálogo)"))</f>
        <v/>
      </c>
      <c r="W7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5" s="3">
        <f>IF(tblOrdenes[[#This Row],[centro_costo]]="","",_xlfn.XLOOKUP(tblOrdenes[[#This Row],[centro_costo]],tblCECO[codigo],tblCECO[coordinador],"(sin catálogo)"))</f>
        <v/>
      </c>
      <c r="Y795" s="3">
        <f>IF(tblOrdenes[[#This Row],[puesto_trabajo]]="","",_xlfn.XLOOKUP(tblOrdenes[[#This Row],[puesto_trabajo]],tblPuestos[codigo],tblPuestos[especialidad],"(sin catálogo)"))</f>
        <v/>
      </c>
      <c r="Z795" s="3">
        <f>IF(tblOrdenes[[#This Row],[cod_actividad]]="","",_xlfn.XLOOKUP(tblOrdenes[[#This Row],[cod_actividad]],tblActividades[codigo],tblActividades[descripcion],"(sin catálogo)"))</f>
        <v/>
      </c>
      <c r="AA795" s="13">
        <f>IF(tblOrdenes[[#This Row],[fecha_inicio]]="","",TODAY()-tblOrdenes[[#This Row],[fecha_inicio]])</f>
        <v/>
      </c>
      <c r="AB7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5" s="3">
        <f>IF(tblOrdenes[[#This Row],[backlog_habiles]]="","",IF(tblOrdenes[[#This Row],[backlog_habiles]]&lt;0,"FUTURO",IF(tblOrdenes[[#This Row],[backlog_habiles]]&gt;p_dias_backlog_max,"BACKLOG","MES CORRIENTE")))</f>
        <v/>
      </c>
      <c r="AD795" s="3">
        <f>IF(tblOrdenes[[#This Row],[backlog_habiles]]="",FALSE,AND(tblOrdenes[[#This Row],[backlog_habiles]]&gt;p_dias_backlog_min,tblOrdenes[[#This Row],[backlog_habiles]]&lt;=p_dias_backlog_max))</f>
        <v/>
      </c>
      <c r="AE795" s="6" t="n"/>
      <c r="AF7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5" s="11">
        <f>IF(tblOrdenes[[#This Row],[orden]]="","",_xlfn.XLOOKUP(tblOrdenes[[#This Row],[id_operacion]],tblEjecucion[id_operacion],tblEjecucion[precio],0))</f>
        <v/>
      </c>
      <c r="AJ795" s="11">
        <f>IF(tblOrdenes[[#This Row],[orden]]="","",MAX(0,_xlfn.XLOOKUP(tblOrdenes[[#This Row],[id_operacion]],tblEjecucion[id_operacion],tblEjecucion[costo_plan_total],0)-tblOrdenes[[#This Row],[costo_servicio]]))</f>
        <v/>
      </c>
      <c r="AK795" s="11">
        <f>IF(tblOrdenes[[#This Row],[orden]]="","",tblOrdenes[[#This Row],[costo_servicio]]+tblOrdenes[[#This Row],[costo_materiales]])</f>
        <v/>
      </c>
      <c r="AL795" s="6" t="n"/>
      <c r="AM795" s="6" t="n"/>
      <c r="AN795" s="6" t="n"/>
      <c r="AO795" s="3">
        <f>IF(tblOrdenes[[#This Row],[link_checklist]]="","",HYPERLINK(p_ruta_base_checklists&amp;tblOrdenes[[#This Row],[link_checklist]],"abrir"))</f>
        <v/>
      </c>
      <c r="AP795" s="6" t="n"/>
      <c r="AQ795" s="3">
        <f>IF(tblOrdenes[[#This Row],[orden]]="","",tblOrdenes[[#This Row],[orden]]&amp;IF(tblOrdenes[[#This Row],[operacion]]="","0010",tblOrdenes[[#This Row],[operacion]]))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2" t="n"/>
      <c r="K796" s="3" t="n"/>
      <c r="L796" s="11" t="n"/>
      <c r="M7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6" s="3">
        <f>IF(tblOrdenes[[#This Row],[fecha_inicio]]="","",YEAR(tblOrdenes[[#This Row],[fecha_inicio]]))</f>
        <v/>
      </c>
      <c r="Q796" s="3">
        <f>IF(tblOrdenes[[#This Row],[fecha_inicio]]="","",MONTH(tblOrdenes[[#This Row],[fecha_inicio]]))</f>
        <v/>
      </c>
      <c r="R796" s="3">
        <f>IF(tblOrdenes[[#This Row],[fecha_inicio]]="","",INDEX(lista_dias,WEEKDAY(tblOrdenes[[#This Row],[fecha_inicio]],2)))</f>
        <v/>
      </c>
      <c r="S7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6" s="3">
        <f>IF(tblOrdenes[[#This Row],[tipo_ot]]="","",_xlfn.XLOOKUP(tblOrdenes[[#This Row],[tipo_ot]],tblTiposOT[codigo],tblTiposOT[clasificacion],"sin_clasificar"))</f>
        <v/>
      </c>
      <c r="U796" s="3">
        <f>IF(tblOrdenes[[#This Row],[centro_costo]]="","",_xlfn.XLOOKUP(tblOrdenes[[#This Row],[centro_costo]],tblCECO[codigo],tblCECO[linea],"(sin catálogo)"))</f>
        <v/>
      </c>
      <c r="V796" s="3">
        <f>IF(tblOrdenes[[#This Row],[centro_costo]]="","",_xlfn.XLOOKUP(tblOrdenes[[#This Row],[centro_costo]],tblCECO[codigo],tblCECO[area],"(sin catálogo)"))</f>
        <v/>
      </c>
      <c r="W7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6" s="3">
        <f>IF(tblOrdenes[[#This Row],[centro_costo]]="","",_xlfn.XLOOKUP(tblOrdenes[[#This Row],[centro_costo]],tblCECO[codigo],tblCECO[coordinador],"(sin catálogo)"))</f>
        <v/>
      </c>
      <c r="Y796" s="3">
        <f>IF(tblOrdenes[[#This Row],[puesto_trabajo]]="","",_xlfn.XLOOKUP(tblOrdenes[[#This Row],[puesto_trabajo]],tblPuestos[codigo],tblPuestos[especialidad],"(sin catálogo)"))</f>
        <v/>
      </c>
      <c r="Z796" s="3">
        <f>IF(tblOrdenes[[#This Row],[cod_actividad]]="","",_xlfn.XLOOKUP(tblOrdenes[[#This Row],[cod_actividad]],tblActividades[codigo],tblActividades[descripcion],"(sin catálogo)"))</f>
        <v/>
      </c>
      <c r="AA796" s="13">
        <f>IF(tblOrdenes[[#This Row],[fecha_inicio]]="","",TODAY()-tblOrdenes[[#This Row],[fecha_inicio]])</f>
        <v/>
      </c>
      <c r="AB7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6" s="3">
        <f>IF(tblOrdenes[[#This Row],[backlog_habiles]]="","",IF(tblOrdenes[[#This Row],[backlog_habiles]]&lt;0,"FUTURO",IF(tblOrdenes[[#This Row],[backlog_habiles]]&gt;p_dias_backlog_max,"BACKLOG","MES CORRIENTE")))</f>
        <v/>
      </c>
      <c r="AD796" s="3">
        <f>IF(tblOrdenes[[#This Row],[backlog_habiles]]="",FALSE,AND(tblOrdenes[[#This Row],[backlog_habiles]]&gt;p_dias_backlog_min,tblOrdenes[[#This Row],[backlog_habiles]]&lt;=p_dias_backlog_max))</f>
        <v/>
      </c>
      <c r="AE796" s="6" t="n"/>
      <c r="AF7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6" s="11">
        <f>IF(tblOrdenes[[#This Row],[orden]]="","",_xlfn.XLOOKUP(tblOrdenes[[#This Row],[id_operacion]],tblEjecucion[id_operacion],tblEjecucion[precio],0))</f>
        <v/>
      </c>
      <c r="AJ796" s="11">
        <f>IF(tblOrdenes[[#This Row],[orden]]="","",MAX(0,_xlfn.XLOOKUP(tblOrdenes[[#This Row],[id_operacion]],tblEjecucion[id_operacion],tblEjecucion[costo_plan_total],0)-tblOrdenes[[#This Row],[costo_servicio]]))</f>
        <v/>
      </c>
      <c r="AK796" s="11">
        <f>IF(tblOrdenes[[#This Row],[orden]]="","",tblOrdenes[[#This Row],[costo_servicio]]+tblOrdenes[[#This Row],[costo_materiales]])</f>
        <v/>
      </c>
      <c r="AL796" s="6" t="n"/>
      <c r="AM796" s="6" t="n"/>
      <c r="AN796" s="6" t="n"/>
      <c r="AO796" s="3">
        <f>IF(tblOrdenes[[#This Row],[link_checklist]]="","",HYPERLINK(p_ruta_base_checklists&amp;tblOrdenes[[#This Row],[link_checklist]],"abrir"))</f>
        <v/>
      </c>
      <c r="AP796" s="6" t="n"/>
      <c r="AQ796" s="3">
        <f>IF(tblOrdenes[[#This Row],[orden]]="","",tblOrdenes[[#This Row],[orden]]&amp;IF(tblOrdenes[[#This Row],[operacion]]="","0010",tblOrdenes[[#This Row],[operacion]]))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2" t="n"/>
      <c r="K797" s="3" t="n"/>
      <c r="L797" s="11" t="n"/>
      <c r="M7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7" s="3">
        <f>IF(tblOrdenes[[#This Row],[fecha_inicio]]="","",YEAR(tblOrdenes[[#This Row],[fecha_inicio]]))</f>
        <v/>
      </c>
      <c r="Q797" s="3">
        <f>IF(tblOrdenes[[#This Row],[fecha_inicio]]="","",MONTH(tblOrdenes[[#This Row],[fecha_inicio]]))</f>
        <v/>
      </c>
      <c r="R797" s="3">
        <f>IF(tblOrdenes[[#This Row],[fecha_inicio]]="","",INDEX(lista_dias,WEEKDAY(tblOrdenes[[#This Row],[fecha_inicio]],2)))</f>
        <v/>
      </c>
      <c r="S7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7" s="3">
        <f>IF(tblOrdenes[[#This Row],[tipo_ot]]="","",_xlfn.XLOOKUP(tblOrdenes[[#This Row],[tipo_ot]],tblTiposOT[codigo],tblTiposOT[clasificacion],"sin_clasificar"))</f>
        <v/>
      </c>
      <c r="U797" s="3">
        <f>IF(tblOrdenes[[#This Row],[centro_costo]]="","",_xlfn.XLOOKUP(tblOrdenes[[#This Row],[centro_costo]],tblCECO[codigo],tblCECO[linea],"(sin catálogo)"))</f>
        <v/>
      </c>
      <c r="V797" s="3">
        <f>IF(tblOrdenes[[#This Row],[centro_costo]]="","",_xlfn.XLOOKUP(tblOrdenes[[#This Row],[centro_costo]],tblCECO[codigo],tblCECO[area],"(sin catálogo)"))</f>
        <v/>
      </c>
      <c r="W7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7" s="3">
        <f>IF(tblOrdenes[[#This Row],[centro_costo]]="","",_xlfn.XLOOKUP(tblOrdenes[[#This Row],[centro_costo]],tblCECO[codigo],tblCECO[coordinador],"(sin catálogo)"))</f>
        <v/>
      </c>
      <c r="Y797" s="3">
        <f>IF(tblOrdenes[[#This Row],[puesto_trabajo]]="","",_xlfn.XLOOKUP(tblOrdenes[[#This Row],[puesto_trabajo]],tblPuestos[codigo],tblPuestos[especialidad],"(sin catálogo)"))</f>
        <v/>
      </c>
      <c r="Z797" s="3">
        <f>IF(tblOrdenes[[#This Row],[cod_actividad]]="","",_xlfn.XLOOKUP(tblOrdenes[[#This Row],[cod_actividad]],tblActividades[codigo],tblActividades[descripcion],"(sin catálogo)"))</f>
        <v/>
      </c>
      <c r="AA797" s="13">
        <f>IF(tblOrdenes[[#This Row],[fecha_inicio]]="","",TODAY()-tblOrdenes[[#This Row],[fecha_inicio]])</f>
        <v/>
      </c>
      <c r="AB7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7" s="3">
        <f>IF(tblOrdenes[[#This Row],[backlog_habiles]]="","",IF(tblOrdenes[[#This Row],[backlog_habiles]]&lt;0,"FUTURO",IF(tblOrdenes[[#This Row],[backlog_habiles]]&gt;p_dias_backlog_max,"BACKLOG","MES CORRIENTE")))</f>
        <v/>
      </c>
      <c r="AD797" s="3">
        <f>IF(tblOrdenes[[#This Row],[backlog_habiles]]="",FALSE,AND(tblOrdenes[[#This Row],[backlog_habiles]]&gt;p_dias_backlog_min,tblOrdenes[[#This Row],[backlog_habiles]]&lt;=p_dias_backlog_max))</f>
        <v/>
      </c>
      <c r="AE797" s="6" t="n"/>
      <c r="AF7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7" s="11">
        <f>IF(tblOrdenes[[#This Row],[orden]]="","",_xlfn.XLOOKUP(tblOrdenes[[#This Row],[id_operacion]],tblEjecucion[id_operacion],tblEjecucion[precio],0))</f>
        <v/>
      </c>
      <c r="AJ797" s="11">
        <f>IF(tblOrdenes[[#This Row],[orden]]="","",MAX(0,_xlfn.XLOOKUP(tblOrdenes[[#This Row],[id_operacion]],tblEjecucion[id_operacion],tblEjecucion[costo_plan_total],0)-tblOrdenes[[#This Row],[costo_servicio]]))</f>
        <v/>
      </c>
      <c r="AK797" s="11">
        <f>IF(tblOrdenes[[#This Row],[orden]]="","",tblOrdenes[[#This Row],[costo_servicio]]+tblOrdenes[[#This Row],[costo_materiales]])</f>
        <v/>
      </c>
      <c r="AL797" s="6" t="n"/>
      <c r="AM797" s="6" t="n"/>
      <c r="AN797" s="6" t="n"/>
      <c r="AO797" s="3">
        <f>IF(tblOrdenes[[#This Row],[link_checklist]]="","",HYPERLINK(p_ruta_base_checklists&amp;tblOrdenes[[#This Row],[link_checklist]],"abrir"))</f>
        <v/>
      </c>
      <c r="AP797" s="6" t="n"/>
      <c r="AQ797" s="3">
        <f>IF(tblOrdenes[[#This Row],[orden]]="","",tblOrdenes[[#This Row],[orden]]&amp;IF(tblOrdenes[[#This Row],[operacion]]="","0010",tblOrdenes[[#This Row],[operacion]]))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2" t="n"/>
      <c r="K798" s="3" t="n"/>
      <c r="L798" s="11" t="n"/>
      <c r="M7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8" s="3">
        <f>IF(tblOrdenes[[#This Row],[fecha_inicio]]="","",YEAR(tblOrdenes[[#This Row],[fecha_inicio]]))</f>
        <v/>
      </c>
      <c r="Q798" s="3">
        <f>IF(tblOrdenes[[#This Row],[fecha_inicio]]="","",MONTH(tblOrdenes[[#This Row],[fecha_inicio]]))</f>
        <v/>
      </c>
      <c r="R798" s="3">
        <f>IF(tblOrdenes[[#This Row],[fecha_inicio]]="","",INDEX(lista_dias,WEEKDAY(tblOrdenes[[#This Row],[fecha_inicio]],2)))</f>
        <v/>
      </c>
      <c r="S7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8" s="3">
        <f>IF(tblOrdenes[[#This Row],[tipo_ot]]="","",_xlfn.XLOOKUP(tblOrdenes[[#This Row],[tipo_ot]],tblTiposOT[codigo],tblTiposOT[clasificacion],"sin_clasificar"))</f>
        <v/>
      </c>
      <c r="U798" s="3">
        <f>IF(tblOrdenes[[#This Row],[centro_costo]]="","",_xlfn.XLOOKUP(tblOrdenes[[#This Row],[centro_costo]],tblCECO[codigo],tblCECO[linea],"(sin catálogo)"))</f>
        <v/>
      </c>
      <c r="V798" s="3">
        <f>IF(tblOrdenes[[#This Row],[centro_costo]]="","",_xlfn.XLOOKUP(tblOrdenes[[#This Row],[centro_costo]],tblCECO[codigo],tblCECO[area],"(sin catálogo)"))</f>
        <v/>
      </c>
      <c r="W7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8" s="3">
        <f>IF(tblOrdenes[[#This Row],[centro_costo]]="","",_xlfn.XLOOKUP(tblOrdenes[[#This Row],[centro_costo]],tblCECO[codigo],tblCECO[coordinador],"(sin catálogo)"))</f>
        <v/>
      </c>
      <c r="Y798" s="3">
        <f>IF(tblOrdenes[[#This Row],[puesto_trabajo]]="","",_xlfn.XLOOKUP(tblOrdenes[[#This Row],[puesto_trabajo]],tblPuestos[codigo],tblPuestos[especialidad],"(sin catálogo)"))</f>
        <v/>
      </c>
      <c r="Z798" s="3">
        <f>IF(tblOrdenes[[#This Row],[cod_actividad]]="","",_xlfn.XLOOKUP(tblOrdenes[[#This Row],[cod_actividad]],tblActividades[codigo],tblActividades[descripcion],"(sin catálogo)"))</f>
        <v/>
      </c>
      <c r="AA798" s="13">
        <f>IF(tblOrdenes[[#This Row],[fecha_inicio]]="","",TODAY()-tblOrdenes[[#This Row],[fecha_inicio]])</f>
        <v/>
      </c>
      <c r="AB7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8" s="3">
        <f>IF(tblOrdenes[[#This Row],[backlog_habiles]]="","",IF(tblOrdenes[[#This Row],[backlog_habiles]]&lt;0,"FUTURO",IF(tblOrdenes[[#This Row],[backlog_habiles]]&gt;p_dias_backlog_max,"BACKLOG","MES CORRIENTE")))</f>
        <v/>
      </c>
      <c r="AD798" s="3">
        <f>IF(tblOrdenes[[#This Row],[backlog_habiles]]="",FALSE,AND(tblOrdenes[[#This Row],[backlog_habiles]]&gt;p_dias_backlog_min,tblOrdenes[[#This Row],[backlog_habiles]]&lt;=p_dias_backlog_max))</f>
        <v/>
      </c>
      <c r="AE798" s="6" t="n"/>
      <c r="AF7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8" s="11">
        <f>IF(tblOrdenes[[#This Row],[orden]]="","",_xlfn.XLOOKUP(tblOrdenes[[#This Row],[id_operacion]],tblEjecucion[id_operacion],tblEjecucion[precio],0))</f>
        <v/>
      </c>
      <c r="AJ798" s="11">
        <f>IF(tblOrdenes[[#This Row],[orden]]="","",MAX(0,_xlfn.XLOOKUP(tblOrdenes[[#This Row],[id_operacion]],tblEjecucion[id_operacion],tblEjecucion[costo_plan_total],0)-tblOrdenes[[#This Row],[costo_servicio]]))</f>
        <v/>
      </c>
      <c r="AK798" s="11">
        <f>IF(tblOrdenes[[#This Row],[orden]]="","",tblOrdenes[[#This Row],[costo_servicio]]+tblOrdenes[[#This Row],[costo_materiales]])</f>
        <v/>
      </c>
      <c r="AL798" s="6" t="n"/>
      <c r="AM798" s="6" t="n"/>
      <c r="AN798" s="6" t="n"/>
      <c r="AO798" s="3">
        <f>IF(tblOrdenes[[#This Row],[link_checklist]]="","",HYPERLINK(p_ruta_base_checklists&amp;tblOrdenes[[#This Row],[link_checklist]],"abrir"))</f>
        <v/>
      </c>
      <c r="AP798" s="6" t="n"/>
      <c r="AQ798" s="3">
        <f>IF(tblOrdenes[[#This Row],[orden]]="","",tblOrdenes[[#This Row],[orden]]&amp;IF(tblOrdenes[[#This Row],[operacion]]="","0010",tblOrdenes[[#This Row],[operacion]]))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2" t="n"/>
      <c r="K799" s="3" t="n"/>
      <c r="L799" s="11" t="n"/>
      <c r="M7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9" s="3">
        <f>IF(tblOrdenes[[#This Row],[fecha_inicio]]="","",YEAR(tblOrdenes[[#This Row],[fecha_inicio]]))</f>
        <v/>
      </c>
      <c r="Q799" s="3">
        <f>IF(tblOrdenes[[#This Row],[fecha_inicio]]="","",MONTH(tblOrdenes[[#This Row],[fecha_inicio]]))</f>
        <v/>
      </c>
      <c r="R799" s="3">
        <f>IF(tblOrdenes[[#This Row],[fecha_inicio]]="","",INDEX(lista_dias,WEEKDAY(tblOrdenes[[#This Row],[fecha_inicio]],2)))</f>
        <v/>
      </c>
      <c r="S7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9" s="3">
        <f>IF(tblOrdenes[[#This Row],[tipo_ot]]="","",_xlfn.XLOOKUP(tblOrdenes[[#This Row],[tipo_ot]],tblTiposOT[codigo],tblTiposOT[clasificacion],"sin_clasificar"))</f>
        <v/>
      </c>
      <c r="U799" s="3">
        <f>IF(tblOrdenes[[#This Row],[centro_costo]]="","",_xlfn.XLOOKUP(tblOrdenes[[#This Row],[centro_costo]],tblCECO[codigo],tblCECO[linea],"(sin catálogo)"))</f>
        <v/>
      </c>
      <c r="V799" s="3">
        <f>IF(tblOrdenes[[#This Row],[centro_costo]]="","",_xlfn.XLOOKUP(tblOrdenes[[#This Row],[centro_costo]],tblCECO[codigo],tblCECO[area],"(sin catálogo)"))</f>
        <v/>
      </c>
      <c r="W7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9" s="3">
        <f>IF(tblOrdenes[[#This Row],[centro_costo]]="","",_xlfn.XLOOKUP(tblOrdenes[[#This Row],[centro_costo]],tblCECO[codigo],tblCECO[coordinador],"(sin catálogo)"))</f>
        <v/>
      </c>
      <c r="Y799" s="3">
        <f>IF(tblOrdenes[[#This Row],[puesto_trabajo]]="","",_xlfn.XLOOKUP(tblOrdenes[[#This Row],[puesto_trabajo]],tblPuestos[codigo],tblPuestos[especialidad],"(sin catálogo)"))</f>
        <v/>
      </c>
      <c r="Z799" s="3">
        <f>IF(tblOrdenes[[#This Row],[cod_actividad]]="","",_xlfn.XLOOKUP(tblOrdenes[[#This Row],[cod_actividad]],tblActividades[codigo],tblActividades[descripcion],"(sin catálogo)"))</f>
        <v/>
      </c>
      <c r="AA799" s="13">
        <f>IF(tblOrdenes[[#This Row],[fecha_inicio]]="","",TODAY()-tblOrdenes[[#This Row],[fecha_inicio]])</f>
        <v/>
      </c>
      <c r="AB7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9" s="3">
        <f>IF(tblOrdenes[[#This Row],[backlog_habiles]]="","",IF(tblOrdenes[[#This Row],[backlog_habiles]]&lt;0,"FUTURO",IF(tblOrdenes[[#This Row],[backlog_habiles]]&gt;p_dias_backlog_max,"BACKLOG","MES CORRIENTE")))</f>
        <v/>
      </c>
      <c r="AD799" s="3">
        <f>IF(tblOrdenes[[#This Row],[backlog_habiles]]="",FALSE,AND(tblOrdenes[[#This Row],[backlog_habiles]]&gt;p_dias_backlog_min,tblOrdenes[[#This Row],[backlog_habiles]]&lt;=p_dias_backlog_max))</f>
        <v/>
      </c>
      <c r="AE799" s="6" t="n"/>
      <c r="AF7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9" s="11">
        <f>IF(tblOrdenes[[#This Row],[orden]]="","",_xlfn.XLOOKUP(tblOrdenes[[#This Row],[id_operacion]],tblEjecucion[id_operacion],tblEjecucion[precio],0))</f>
        <v/>
      </c>
      <c r="AJ799" s="11">
        <f>IF(tblOrdenes[[#This Row],[orden]]="","",MAX(0,_xlfn.XLOOKUP(tblOrdenes[[#This Row],[id_operacion]],tblEjecucion[id_operacion],tblEjecucion[costo_plan_total],0)-tblOrdenes[[#This Row],[costo_servicio]]))</f>
        <v/>
      </c>
      <c r="AK799" s="11">
        <f>IF(tblOrdenes[[#This Row],[orden]]="","",tblOrdenes[[#This Row],[costo_servicio]]+tblOrdenes[[#This Row],[costo_materiales]])</f>
        <v/>
      </c>
      <c r="AL799" s="6" t="n"/>
      <c r="AM799" s="6" t="n"/>
      <c r="AN799" s="6" t="n"/>
      <c r="AO799" s="3">
        <f>IF(tblOrdenes[[#This Row],[link_checklist]]="","",HYPERLINK(p_ruta_base_checklists&amp;tblOrdenes[[#This Row],[link_checklist]],"abrir"))</f>
        <v/>
      </c>
      <c r="AP799" s="6" t="n"/>
      <c r="AQ799" s="3">
        <f>IF(tblOrdenes[[#This Row],[orden]]="","",tblOrdenes[[#This Row],[orden]]&amp;IF(tblOrdenes[[#This Row],[operacion]]="","0010",tblOrdenes[[#This Row],[operacion]]))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2" t="n"/>
      <c r="K800" s="3" t="n"/>
      <c r="L800" s="11" t="n"/>
      <c r="M8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0" s="3">
        <f>IF(tblOrdenes[[#This Row],[fecha_inicio]]="","",YEAR(tblOrdenes[[#This Row],[fecha_inicio]]))</f>
        <v/>
      </c>
      <c r="Q800" s="3">
        <f>IF(tblOrdenes[[#This Row],[fecha_inicio]]="","",MONTH(tblOrdenes[[#This Row],[fecha_inicio]]))</f>
        <v/>
      </c>
      <c r="R800" s="3">
        <f>IF(tblOrdenes[[#This Row],[fecha_inicio]]="","",INDEX(lista_dias,WEEKDAY(tblOrdenes[[#This Row],[fecha_inicio]],2)))</f>
        <v/>
      </c>
      <c r="S8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0" s="3">
        <f>IF(tblOrdenes[[#This Row],[tipo_ot]]="","",_xlfn.XLOOKUP(tblOrdenes[[#This Row],[tipo_ot]],tblTiposOT[codigo],tblTiposOT[clasificacion],"sin_clasificar"))</f>
        <v/>
      </c>
      <c r="U800" s="3">
        <f>IF(tblOrdenes[[#This Row],[centro_costo]]="","",_xlfn.XLOOKUP(tblOrdenes[[#This Row],[centro_costo]],tblCECO[codigo],tblCECO[linea],"(sin catálogo)"))</f>
        <v/>
      </c>
      <c r="V800" s="3">
        <f>IF(tblOrdenes[[#This Row],[centro_costo]]="","",_xlfn.XLOOKUP(tblOrdenes[[#This Row],[centro_costo]],tblCECO[codigo],tblCECO[area],"(sin catálogo)"))</f>
        <v/>
      </c>
      <c r="W8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0" s="3">
        <f>IF(tblOrdenes[[#This Row],[centro_costo]]="","",_xlfn.XLOOKUP(tblOrdenes[[#This Row],[centro_costo]],tblCECO[codigo],tblCECO[coordinador],"(sin catálogo)"))</f>
        <v/>
      </c>
      <c r="Y800" s="3">
        <f>IF(tblOrdenes[[#This Row],[puesto_trabajo]]="","",_xlfn.XLOOKUP(tblOrdenes[[#This Row],[puesto_trabajo]],tblPuestos[codigo],tblPuestos[especialidad],"(sin catálogo)"))</f>
        <v/>
      </c>
      <c r="Z800" s="3">
        <f>IF(tblOrdenes[[#This Row],[cod_actividad]]="","",_xlfn.XLOOKUP(tblOrdenes[[#This Row],[cod_actividad]],tblActividades[codigo],tblActividades[descripcion],"(sin catálogo)"))</f>
        <v/>
      </c>
      <c r="AA800" s="13">
        <f>IF(tblOrdenes[[#This Row],[fecha_inicio]]="","",TODAY()-tblOrdenes[[#This Row],[fecha_inicio]])</f>
        <v/>
      </c>
      <c r="AB8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0" s="3">
        <f>IF(tblOrdenes[[#This Row],[backlog_habiles]]="","",IF(tblOrdenes[[#This Row],[backlog_habiles]]&lt;0,"FUTURO",IF(tblOrdenes[[#This Row],[backlog_habiles]]&gt;p_dias_backlog_max,"BACKLOG","MES CORRIENTE")))</f>
        <v/>
      </c>
      <c r="AD800" s="3">
        <f>IF(tblOrdenes[[#This Row],[backlog_habiles]]="",FALSE,AND(tblOrdenes[[#This Row],[backlog_habiles]]&gt;p_dias_backlog_min,tblOrdenes[[#This Row],[backlog_habiles]]&lt;=p_dias_backlog_max))</f>
        <v/>
      </c>
      <c r="AE800" s="6" t="n"/>
      <c r="AF8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0" s="11">
        <f>IF(tblOrdenes[[#This Row],[orden]]="","",_xlfn.XLOOKUP(tblOrdenes[[#This Row],[id_operacion]],tblEjecucion[id_operacion],tblEjecucion[precio],0))</f>
        <v/>
      </c>
      <c r="AJ800" s="11">
        <f>IF(tblOrdenes[[#This Row],[orden]]="","",MAX(0,_xlfn.XLOOKUP(tblOrdenes[[#This Row],[id_operacion]],tblEjecucion[id_operacion],tblEjecucion[costo_plan_total],0)-tblOrdenes[[#This Row],[costo_servicio]]))</f>
        <v/>
      </c>
      <c r="AK800" s="11">
        <f>IF(tblOrdenes[[#This Row],[orden]]="","",tblOrdenes[[#This Row],[costo_servicio]]+tblOrdenes[[#This Row],[costo_materiales]])</f>
        <v/>
      </c>
      <c r="AL800" s="6" t="n"/>
      <c r="AM800" s="6" t="n"/>
      <c r="AN800" s="6" t="n"/>
      <c r="AO800" s="3">
        <f>IF(tblOrdenes[[#This Row],[link_checklist]]="","",HYPERLINK(p_ruta_base_checklists&amp;tblOrdenes[[#This Row],[link_checklist]],"abrir"))</f>
        <v/>
      </c>
      <c r="AP800" s="6" t="n"/>
      <c r="AQ800" s="3">
        <f>IF(tblOrdenes[[#This Row],[orden]]="","",tblOrdenes[[#This Row],[orden]]&amp;IF(tblOrdenes[[#This Row],[operacion]]="","0010",tblOrdenes[[#This Row],[operacion]]))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2" t="n"/>
      <c r="K801" s="3" t="n"/>
      <c r="L801" s="11" t="n"/>
      <c r="M8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1" s="3">
        <f>IF(tblOrdenes[[#This Row],[fecha_inicio]]="","",YEAR(tblOrdenes[[#This Row],[fecha_inicio]]))</f>
        <v/>
      </c>
      <c r="Q801" s="3">
        <f>IF(tblOrdenes[[#This Row],[fecha_inicio]]="","",MONTH(tblOrdenes[[#This Row],[fecha_inicio]]))</f>
        <v/>
      </c>
      <c r="R801" s="3">
        <f>IF(tblOrdenes[[#This Row],[fecha_inicio]]="","",INDEX(lista_dias,WEEKDAY(tblOrdenes[[#This Row],[fecha_inicio]],2)))</f>
        <v/>
      </c>
      <c r="S8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1" s="3">
        <f>IF(tblOrdenes[[#This Row],[tipo_ot]]="","",_xlfn.XLOOKUP(tblOrdenes[[#This Row],[tipo_ot]],tblTiposOT[codigo],tblTiposOT[clasificacion],"sin_clasificar"))</f>
        <v/>
      </c>
      <c r="U801" s="3">
        <f>IF(tblOrdenes[[#This Row],[centro_costo]]="","",_xlfn.XLOOKUP(tblOrdenes[[#This Row],[centro_costo]],tblCECO[codigo],tblCECO[linea],"(sin catálogo)"))</f>
        <v/>
      </c>
      <c r="V801" s="3">
        <f>IF(tblOrdenes[[#This Row],[centro_costo]]="","",_xlfn.XLOOKUP(tblOrdenes[[#This Row],[centro_costo]],tblCECO[codigo],tblCECO[area],"(sin catálogo)"))</f>
        <v/>
      </c>
      <c r="W8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1" s="3">
        <f>IF(tblOrdenes[[#This Row],[centro_costo]]="","",_xlfn.XLOOKUP(tblOrdenes[[#This Row],[centro_costo]],tblCECO[codigo],tblCECO[coordinador],"(sin catálogo)"))</f>
        <v/>
      </c>
      <c r="Y801" s="3">
        <f>IF(tblOrdenes[[#This Row],[puesto_trabajo]]="","",_xlfn.XLOOKUP(tblOrdenes[[#This Row],[puesto_trabajo]],tblPuestos[codigo],tblPuestos[especialidad],"(sin catálogo)"))</f>
        <v/>
      </c>
      <c r="Z801" s="3">
        <f>IF(tblOrdenes[[#This Row],[cod_actividad]]="","",_xlfn.XLOOKUP(tblOrdenes[[#This Row],[cod_actividad]],tblActividades[codigo],tblActividades[descripcion],"(sin catálogo)"))</f>
        <v/>
      </c>
      <c r="AA801" s="13">
        <f>IF(tblOrdenes[[#This Row],[fecha_inicio]]="","",TODAY()-tblOrdenes[[#This Row],[fecha_inicio]])</f>
        <v/>
      </c>
      <c r="AB8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1" s="3">
        <f>IF(tblOrdenes[[#This Row],[backlog_habiles]]="","",IF(tblOrdenes[[#This Row],[backlog_habiles]]&lt;0,"FUTURO",IF(tblOrdenes[[#This Row],[backlog_habiles]]&gt;p_dias_backlog_max,"BACKLOG","MES CORRIENTE")))</f>
        <v/>
      </c>
      <c r="AD801" s="3">
        <f>IF(tblOrdenes[[#This Row],[backlog_habiles]]="",FALSE,AND(tblOrdenes[[#This Row],[backlog_habiles]]&gt;p_dias_backlog_min,tblOrdenes[[#This Row],[backlog_habiles]]&lt;=p_dias_backlog_max))</f>
        <v/>
      </c>
      <c r="AE801" s="6" t="n"/>
      <c r="AF8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1" s="11">
        <f>IF(tblOrdenes[[#This Row],[orden]]="","",_xlfn.XLOOKUP(tblOrdenes[[#This Row],[id_operacion]],tblEjecucion[id_operacion],tblEjecucion[precio],0))</f>
        <v/>
      </c>
      <c r="AJ801" s="11">
        <f>IF(tblOrdenes[[#This Row],[orden]]="","",MAX(0,_xlfn.XLOOKUP(tblOrdenes[[#This Row],[id_operacion]],tblEjecucion[id_operacion],tblEjecucion[costo_plan_total],0)-tblOrdenes[[#This Row],[costo_servicio]]))</f>
        <v/>
      </c>
      <c r="AK801" s="11">
        <f>IF(tblOrdenes[[#This Row],[orden]]="","",tblOrdenes[[#This Row],[costo_servicio]]+tblOrdenes[[#This Row],[costo_materiales]])</f>
        <v/>
      </c>
      <c r="AL801" s="6" t="n"/>
      <c r="AM801" s="6" t="n"/>
      <c r="AN801" s="6" t="n"/>
      <c r="AO801" s="3">
        <f>IF(tblOrdenes[[#This Row],[link_checklist]]="","",HYPERLINK(p_ruta_base_checklists&amp;tblOrdenes[[#This Row],[link_checklist]],"abrir"))</f>
        <v/>
      </c>
      <c r="AP801" s="6" t="n"/>
      <c r="AQ801" s="3">
        <f>IF(tblOrdenes[[#This Row],[orden]]="","",tblOrdenes[[#This Row],[orden]]&amp;IF(tblOrdenes[[#This Row],[operacion]]="","0010",tblOrdenes[[#This Row],[operacion]]))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2" t="n"/>
      <c r="K802" s="3" t="n"/>
      <c r="L802" s="11" t="n"/>
      <c r="M8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2" s="3">
        <f>IF(tblOrdenes[[#This Row],[fecha_inicio]]="","",YEAR(tblOrdenes[[#This Row],[fecha_inicio]]))</f>
        <v/>
      </c>
      <c r="Q802" s="3">
        <f>IF(tblOrdenes[[#This Row],[fecha_inicio]]="","",MONTH(tblOrdenes[[#This Row],[fecha_inicio]]))</f>
        <v/>
      </c>
      <c r="R802" s="3">
        <f>IF(tblOrdenes[[#This Row],[fecha_inicio]]="","",INDEX(lista_dias,WEEKDAY(tblOrdenes[[#This Row],[fecha_inicio]],2)))</f>
        <v/>
      </c>
      <c r="S8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2" s="3">
        <f>IF(tblOrdenes[[#This Row],[tipo_ot]]="","",_xlfn.XLOOKUP(tblOrdenes[[#This Row],[tipo_ot]],tblTiposOT[codigo],tblTiposOT[clasificacion],"sin_clasificar"))</f>
        <v/>
      </c>
      <c r="U802" s="3">
        <f>IF(tblOrdenes[[#This Row],[centro_costo]]="","",_xlfn.XLOOKUP(tblOrdenes[[#This Row],[centro_costo]],tblCECO[codigo],tblCECO[linea],"(sin catálogo)"))</f>
        <v/>
      </c>
      <c r="V802" s="3">
        <f>IF(tblOrdenes[[#This Row],[centro_costo]]="","",_xlfn.XLOOKUP(tblOrdenes[[#This Row],[centro_costo]],tblCECO[codigo],tblCECO[area],"(sin catálogo)"))</f>
        <v/>
      </c>
      <c r="W8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2" s="3">
        <f>IF(tblOrdenes[[#This Row],[centro_costo]]="","",_xlfn.XLOOKUP(tblOrdenes[[#This Row],[centro_costo]],tblCECO[codigo],tblCECO[coordinador],"(sin catálogo)"))</f>
        <v/>
      </c>
      <c r="Y802" s="3">
        <f>IF(tblOrdenes[[#This Row],[puesto_trabajo]]="","",_xlfn.XLOOKUP(tblOrdenes[[#This Row],[puesto_trabajo]],tblPuestos[codigo],tblPuestos[especialidad],"(sin catálogo)"))</f>
        <v/>
      </c>
      <c r="Z802" s="3">
        <f>IF(tblOrdenes[[#This Row],[cod_actividad]]="","",_xlfn.XLOOKUP(tblOrdenes[[#This Row],[cod_actividad]],tblActividades[codigo],tblActividades[descripcion],"(sin catálogo)"))</f>
        <v/>
      </c>
      <c r="AA802" s="13">
        <f>IF(tblOrdenes[[#This Row],[fecha_inicio]]="","",TODAY()-tblOrdenes[[#This Row],[fecha_inicio]])</f>
        <v/>
      </c>
      <c r="AB8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2" s="3">
        <f>IF(tblOrdenes[[#This Row],[backlog_habiles]]="","",IF(tblOrdenes[[#This Row],[backlog_habiles]]&lt;0,"FUTURO",IF(tblOrdenes[[#This Row],[backlog_habiles]]&gt;p_dias_backlog_max,"BACKLOG","MES CORRIENTE")))</f>
        <v/>
      </c>
      <c r="AD802" s="3">
        <f>IF(tblOrdenes[[#This Row],[backlog_habiles]]="",FALSE,AND(tblOrdenes[[#This Row],[backlog_habiles]]&gt;p_dias_backlog_min,tblOrdenes[[#This Row],[backlog_habiles]]&lt;=p_dias_backlog_max))</f>
        <v/>
      </c>
      <c r="AE802" s="6" t="n"/>
      <c r="AF8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2" s="11">
        <f>IF(tblOrdenes[[#This Row],[orden]]="","",_xlfn.XLOOKUP(tblOrdenes[[#This Row],[id_operacion]],tblEjecucion[id_operacion],tblEjecucion[precio],0))</f>
        <v/>
      </c>
      <c r="AJ802" s="11">
        <f>IF(tblOrdenes[[#This Row],[orden]]="","",MAX(0,_xlfn.XLOOKUP(tblOrdenes[[#This Row],[id_operacion]],tblEjecucion[id_operacion],tblEjecucion[costo_plan_total],0)-tblOrdenes[[#This Row],[costo_servicio]]))</f>
        <v/>
      </c>
      <c r="AK802" s="11">
        <f>IF(tblOrdenes[[#This Row],[orden]]="","",tblOrdenes[[#This Row],[costo_servicio]]+tblOrdenes[[#This Row],[costo_materiales]])</f>
        <v/>
      </c>
      <c r="AL802" s="6" t="n"/>
      <c r="AM802" s="6" t="n"/>
      <c r="AN802" s="6" t="n"/>
      <c r="AO802" s="3">
        <f>IF(tblOrdenes[[#This Row],[link_checklist]]="","",HYPERLINK(p_ruta_base_checklists&amp;tblOrdenes[[#This Row],[link_checklist]],"abrir"))</f>
        <v/>
      </c>
      <c r="AP802" s="6" t="n"/>
      <c r="AQ802" s="3">
        <f>IF(tblOrdenes[[#This Row],[orden]]="","",tblOrdenes[[#This Row],[orden]]&amp;IF(tblOrdenes[[#This Row],[operacion]]="","0010",tblOrdenes[[#This Row],[operacion]]))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2" t="n"/>
      <c r="K803" s="3" t="n"/>
      <c r="L803" s="11" t="n"/>
      <c r="M8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3" s="3">
        <f>IF(tblOrdenes[[#This Row],[fecha_inicio]]="","",YEAR(tblOrdenes[[#This Row],[fecha_inicio]]))</f>
        <v/>
      </c>
      <c r="Q803" s="3">
        <f>IF(tblOrdenes[[#This Row],[fecha_inicio]]="","",MONTH(tblOrdenes[[#This Row],[fecha_inicio]]))</f>
        <v/>
      </c>
      <c r="R803" s="3">
        <f>IF(tblOrdenes[[#This Row],[fecha_inicio]]="","",INDEX(lista_dias,WEEKDAY(tblOrdenes[[#This Row],[fecha_inicio]],2)))</f>
        <v/>
      </c>
      <c r="S8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3" s="3">
        <f>IF(tblOrdenes[[#This Row],[tipo_ot]]="","",_xlfn.XLOOKUP(tblOrdenes[[#This Row],[tipo_ot]],tblTiposOT[codigo],tblTiposOT[clasificacion],"sin_clasificar"))</f>
        <v/>
      </c>
      <c r="U803" s="3">
        <f>IF(tblOrdenes[[#This Row],[centro_costo]]="","",_xlfn.XLOOKUP(tblOrdenes[[#This Row],[centro_costo]],tblCECO[codigo],tblCECO[linea],"(sin catálogo)"))</f>
        <v/>
      </c>
      <c r="V803" s="3">
        <f>IF(tblOrdenes[[#This Row],[centro_costo]]="","",_xlfn.XLOOKUP(tblOrdenes[[#This Row],[centro_costo]],tblCECO[codigo],tblCECO[area],"(sin catálogo)"))</f>
        <v/>
      </c>
      <c r="W8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3" s="3">
        <f>IF(tblOrdenes[[#This Row],[centro_costo]]="","",_xlfn.XLOOKUP(tblOrdenes[[#This Row],[centro_costo]],tblCECO[codigo],tblCECO[coordinador],"(sin catálogo)"))</f>
        <v/>
      </c>
      <c r="Y803" s="3">
        <f>IF(tblOrdenes[[#This Row],[puesto_trabajo]]="","",_xlfn.XLOOKUP(tblOrdenes[[#This Row],[puesto_trabajo]],tblPuestos[codigo],tblPuestos[especialidad],"(sin catálogo)"))</f>
        <v/>
      </c>
      <c r="Z803" s="3">
        <f>IF(tblOrdenes[[#This Row],[cod_actividad]]="","",_xlfn.XLOOKUP(tblOrdenes[[#This Row],[cod_actividad]],tblActividades[codigo],tblActividades[descripcion],"(sin catálogo)"))</f>
        <v/>
      </c>
      <c r="AA803" s="13">
        <f>IF(tblOrdenes[[#This Row],[fecha_inicio]]="","",TODAY()-tblOrdenes[[#This Row],[fecha_inicio]])</f>
        <v/>
      </c>
      <c r="AB8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3" s="3">
        <f>IF(tblOrdenes[[#This Row],[backlog_habiles]]="","",IF(tblOrdenes[[#This Row],[backlog_habiles]]&lt;0,"FUTURO",IF(tblOrdenes[[#This Row],[backlog_habiles]]&gt;p_dias_backlog_max,"BACKLOG","MES CORRIENTE")))</f>
        <v/>
      </c>
      <c r="AD803" s="3">
        <f>IF(tblOrdenes[[#This Row],[backlog_habiles]]="",FALSE,AND(tblOrdenes[[#This Row],[backlog_habiles]]&gt;p_dias_backlog_min,tblOrdenes[[#This Row],[backlog_habiles]]&lt;=p_dias_backlog_max))</f>
        <v/>
      </c>
      <c r="AE803" s="6" t="n"/>
      <c r="AF8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3" s="11">
        <f>IF(tblOrdenes[[#This Row],[orden]]="","",_xlfn.XLOOKUP(tblOrdenes[[#This Row],[id_operacion]],tblEjecucion[id_operacion],tblEjecucion[precio],0))</f>
        <v/>
      </c>
      <c r="AJ803" s="11">
        <f>IF(tblOrdenes[[#This Row],[orden]]="","",MAX(0,_xlfn.XLOOKUP(tblOrdenes[[#This Row],[id_operacion]],tblEjecucion[id_operacion],tblEjecucion[costo_plan_total],0)-tblOrdenes[[#This Row],[costo_servicio]]))</f>
        <v/>
      </c>
      <c r="AK803" s="11">
        <f>IF(tblOrdenes[[#This Row],[orden]]="","",tblOrdenes[[#This Row],[costo_servicio]]+tblOrdenes[[#This Row],[costo_materiales]])</f>
        <v/>
      </c>
      <c r="AL803" s="6" t="n"/>
      <c r="AM803" s="6" t="n"/>
      <c r="AN803" s="6" t="n"/>
      <c r="AO803" s="3">
        <f>IF(tblOrdenes[[#This Row],[link_checklist]]="","",HYPERLINK(p_ruta_base_checklists&amp;tblOrdenes[[#This Row],[link_checklist]],"abrir"))</f>
        <v/>
      </c>
      <c r="AP803" s="6" t="n"/>
      <c r="AQ803" s="3">
        <f>IF(tblOrdenes[[#This Row],[orden]]="","",tblOrdenes[[#This Row],[orden]]&amp;IF(tblOrdenes[[#This Row],[operacion]]="","0010",tblOrdenes[[#This Row],[operacion]]))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2" t="n"/>
      <c r="K804" s="3" t="n"/>
      <c r="L804" s="11" t="n"/>
      <c r="M8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4" s="3">
        <f>IF(tblOrdenes[[#This Row],[fecha_inicio]]="","",YEAR(tblOrdenes[[#This Row],[fecha_inicio]]))</f>
        <v/>
      </c>
      <c r="Q804" s="3">
        <f>IF(tblOrdenes[[#This Row],[fecha_inicio]]="","",MONTH(tblOrdenes[[#This Row],[fecha_inicio]]))</f>
        <v/>
      </c>
      <c r="R804" s="3">
        <f>IF(tblOrdenes[[#This Row],[fecha_inicio]]="","",INDEX(lista_dias,WEEKDAY(tblOrdenes[[#This Row],[fecha_inicio]],2)))</f>
        <v/>
      </c>
      <c r="S8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4" s="3">
        <f>IF(tblOrdenes[[#This Row],[tipo_ot]]="","",_xlfn.XLOOKUP(tblOrdenes[[#This Row],[tipo_ot]],tblTiposOT[codigo],tblTiposOT[clasificacion],"sin_clasificar"))</f>
        <v/>
      </c>
      <c r="U804" s="3">
        <f>IF(tblOrdenes[[#This Row],[centro_costo]]="","",_xlfn.XLOOKUP(tblOrdenes[[#This Row],[centro_costo]],tblCECO[codigo],tblCECO[linea],"(sin catálogo)"))</f>
        <v/>
      </c>
      <c r="V804" s="3">
        <f>IF(tblOrdenes[[#This Row],[centro_costo]]="","",_xlfn.XLOOKUP(tblOrdenes[[#This Row],[centro_costo]],tblCECO[codigo],tblCECO[area],"(sin catálogo)"))</f>
        <v/>
      </c>
      <c r="W8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4" s="3">
        <f>IF(tblOrdenes[[#This Row],[centro_costo]]="","",_xlfn.XLOOKUP(tblOrdenes[[#This Row],[centro_costo]],tblCECO[codigo],tblCECO[coordinador],"(sin catálogo)"))</f>
        <v/>
      </c>
      <c r="Y804" s="3">
        <f>IF(tblOrdenes[[#This Row],[puesto_trabajo]]="","",_xlfn.XLOOKUP(tblOrdenes[[#This Row],[puesto_trabajo]],tblPuestos[codigo],tblPuestos[especialidad],"(sin catálogo)"))</f>
        <v/>
      </c>
      <c r="Z804" s="3">
        <f>IF(tblOrdenes[[#This Row],[cod_actividad]]="","",_xlfn.XLOOKUP(tblOrdenes[[#This Row],[cod_actividad]],tblActividades[codigo],tblActividades[descripcion],"(sin catálogo)"))</f>
        <v/>
      </c>
      <c r="AA804" s="13">
        <f>IF(tblOrdenes[[#This Row],[fecha_inicio]]="","",TODAY()-tblOrdenes[[#This Row],[fecha_inicio]])</f>
        <v/>
      </c>
      <c r="AB8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4" s="3">
        <f>IF(tblOrdenes[[#This Row],[backlog_habiles]]="","",IF(tblOrdenes[[#This Row],[backlog_habiles]]&lt;0,"FUTURO",IF(tblOrdenes[[#This Row],[backlog_habiles]]&gt;p_dias_backlog_max,"BACKLOG","MES CORRIENTE")))</f>
        <v/>
      </c>
      <c r="AD804" s="3">
        <f>IF(tblOrdenes[[#This Row],[backlog_habiles]]="",FALSE,AND(tblOrdenes[[#This Row],[backlog_habiles]]&gt;p_dias_backlog_min,tblOrdenes[[#This Row],[backlog_habiles]]&lt;=p_dias_backlog_max))</f>
        <v/>
      </c>
      <c r="AE804" s="6" t="n"/>
      <c r="AF8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4" s="11">
        <f>IF(tblOrdenes[[#This Row],[orden]]="","",_xlfn.XLOOKUP(tblOrdenes[[#This Row],[id_operacion]],tblEjecucion[id_operacion],tblEjecucion[precio],0))</f>
        <v/>
      </c>
      <c r="AJ804" s="11">
        <f>IF(tblOrdenes[[#This Row],[orden]]="","",MAX(0,_xlfn.XLOOKUP(tblOrdenes[[#This Row],[id_operacion]],tblEjecucion[id_operacion],tblEjecucion[costo_plan_total],0)-tblOrdenes[[#This Row],[costo_servicio]]))</f>
        <v/>
      </c>
      <c r="AK804" s="11">
        <f>IF(tblOrdenes[[#This Row],[orden]]="","",tblOrdenes[[#This Row],[costo_servicio]]+tblOrdenes[[#This Row],[costo_materiales]])</f>
        <v/>
      </c>
      <c r="AL804" s="6" t="n"/>
      <c r="AM804" s="6" t="n"/>
      <c r="AN804" s="6" t="n"/>
      <c r="AO804" s="3">
        <f>IF(tblOrdenes[[#This Row],[link_checklist]]="","",HYPERLINK(p_ruta_base_checklists&amp;tblOrdenes[[#This Row],[link_checklist]],"abrir"))</f>
        <v/>
      </c>
      <c r="AP804" s="6" t="n"/>
      <c r="AQ804" s="3">
        <f>IF(tblOrdenes[[#This Row],[orden]]="","",tblOrdenes[[#This Row],[orden]]&amp;IF(tblOrdenes[[#This Row],[operacion]]="","0010",tblOrdenes[[#This Row],[operacion]]))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2" t="n"/>
      <c r="K805" s="3" t="n"/>
      <c r="L805" s="11" t="n"/>
      <c r="M8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5" s="3">
        <f>IF(tblOrdenes[[#This Row],[fecha_inicio]]="","",YEAR(tblOrdenes[[#This Row],[fecha_inicio]]))</f>
        <v/>
      </c>
      <c r="Q805" s="3">
        <f>IF(tblOrdenes[[#This Row],[fecha_inicio]]="","",MONTH(tblOrdenes[[#This Row],[fecha_inicio]]))</f>
        <v/>
      </c>
      <c r="R805" s="3">
        <f>IF(tblOrdenes[[#This Row],[fecha_inicio]]="","",INDEX(lista_dias,WEEKDAY(tblOrdenes[[#This Row],[fecha_inicio]],2)))</f>
        <v/>
      </c>
      <c r="S8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5" s="3">
        <f>IF(tblOrdenes[[#This Row],[tipo_ot]]="","",_xlfn.XLOOKUP(tblOrdenes[[#This Row],[tipo_ot]],tblTiposOT[codigo],tblTiposOT[clasificacion],"sin_clasificar"))</f>
        <v/>
      </c>
      <c r="U805" s="3">
        <f>IF(tblOrdenes[[#This Row],[centro_costo]]="","",_xlfn.XLOOKUP(tblOrdenes[[#This Row],[centro_costo]],tblCECO[codigo],tblCECO[linea],"(sin catálogo)"))</f>
        <v/>
      </c>
      <c r="V805" s="3">
        <f>IF(tblOrdenes[[#This Row],[centro_costo]]="","",_xlfn.XLOOKUP(tblOrdenes[[#This Row],[centro_costo]],tblCECO[codigo],tblCECO[area],"(sin catálogo)"))</f>
        <v/>
      </c>
      <c r="W8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5" s="3">
        <f>IF(tblOrdenes[[#This Row],[centro_costo]]="","",_xlfn.XLOOKUP(tblOrdenes[[#This Row],[centro_costo]],tblCECO[codigo],tblCECO[coordinador],"(sin catálogo)"))</f>
        <v/>
      </c>
      <c r="Y805" s="3">
        <f>IF(tblOrdenes[[#This Row],[puesto_trabajo]]="","",_xlfn.XLOOKUP(tblOrdenes[[#This Row],[puesto_trabajo]],tblPuestos[codigo],tblPuestos[especialidad],"(sin catálogo)"))</f>
        <v/>
      </c>
      <c r="Z805" s="3">
        <f>IF(tblOrdenes[[#This Row],[cod_actividad]]="","",_xlfn.XLOOKUP(tblOrdenes[[#This Row],[cod_actividad]],tblActividades[codigo],tblActividades[descripcion],"(sin catálogo)"))</f>
        <v/>
      </c>
      <c r="AA805" s="13">
        <f>IF(tblOrdenes[[#This Row],[fecha_inicio]]="","",TODAY()-tblOrdenes[[#This Row],[fecha_inicio]])</f>
        <v/>
      </c>
      <c r="AB8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5" s="3">
        <f>IF(tblOrdenes[[#This Row],[backlog_habiles]]="","",IF(tblOrdenes[[#This Row],[backlog_habiles]]&lt;0,"FUTURO",IF(tblOrdenes[[#This Row],[backlog_habiles]]&gt;p_dias_backlog_max,"BACKLOG","MES CORRIENTE")))</f>
        <v/>
      </c>
      <c r="AD805" s="3">
        <f>IF(tblOrdenes[[#This Row],[backlog_habiles]]="",FALSE,AND(tblOrdenes[[#This Row],[backlog_habiles]]&gt;p_dias_backlog_min,tblOrdenes[[#This Row],[backlog_habiles]]&lt;=p_dias_backlog_max))</f>
        <v/>
      </c>
      <c r="AE805" s="6" t="n"/>
      <c r="AF8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5" s="11">
        <f>IF(tblOrdenes[[#This Row],[orden]]="","",_xlfn.XLOOKUP(tblOrdenes[[#This Row],[id_operacion]],tblEjecucion[id_operacion],tblEjecucion[precio],0))</f>
        <v/>
      </c>
      <c r="AJ805" s="11">
        <f>IF(tblOrdenes[[#This Row],[orden]]="","",MAX(0,_xlfn.XLOOKUP(tblOrdenes[[#This Row],[id_operacion]],tblEjecucion[id_operacion],tblEjecucion[costo_plan_total],0)-tblOrdenes[[#This Row],[costo_servicio]]))</f>
        <v/>
      </c>
      <c r="AK805" s="11">
        <f>IF(tblOrdenes[[#This Row],[orden]]="","",tblOrdenes[[#This Row],[costo_servicio]]+tblOrdenes[[#This Row],[costo_materiales]])</f>
        <v/>
      </c>
      <c r="AL805" s="6" t="n"/>
      <c r="AM805" s="6" t="n"/>
      <c r="AN805" s="6" t="n"/>
      <c r="AO805" s="3">
        <f>IF(tblOrdenes[[#This Row],[link_checklist]]="","",HYPERLINK(p_ruta_base_checklists&amp;tblOrdenes[[#This Row],[link_checklist]],"abrir"))</f>
        <v/>
      </c>
      <c r="AP805" s="6" t="n"/>
      <c r="AQ805" s="3">
        <f>IF(tblOrdenes[[#This Row],[orden]]="","",tblOrdenes[[#This Row],[orden]]&amp;IF(tblOrdenes[[#This Row],[operacion]]="","0010",tblOrdenes[[#This Row],[operacion]]))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2" t="n"/>
      <c r="K806" s="3" t="n"/>
      <c r="L806" s="11" t="n"/>
      <c r="M8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6" s="3">
        <f>IF(tblOrdenes[[#This Row],[fecha_inicio]]="","",YEAR(tblOrdenes[[#This Row],[fecha_inicio]]))</f>
        <v/>
      </c>
      <c r="Q806" s="3">
        <f>IF(tblOrdenes[[#This Row],[fecha_inicio]]="","",MONTH(tblOrdenes[[#This Row],[fecha_inicio]]))</f>
        <v/>
      </c>
      <c r="R806" s="3">
        <f>IF(tblOrdenes[[#This Row],[fecha_inicio]]="","",INDEX(lista_dias,WEEKDAY(tblOrdenes[[#This Row],[fecha_inicio]],2)))</f>
        <v/>
      </c>
      <c r="S8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6" s="3">
        <f>IF(tblOrdenes[[#This Row],[tipo_ot]]="","",_xlfn.XLOOKUP(tblOrdenes[[#This Row],[tipo_ot]],tblTiposOT[codigo],tblTiposOT[clasificacion],"sin_clasificar"))</f>
        <v/>
      </c>
      <c r="U806" s="3">
        <f>IF(tblOrdenes[[#This Row],[centro_costo]]="","",_xlfn.XLOOKUP(tblOrdenes[[#This Row],[centro_costo]],tblCECO[codigo],tblCECO[linea],"(sin catálogo)"))</f>
        <v/>
      </c>
      <c r="V806" s="3">
        <f>IF(tblOrdenes[[#This Row],[centro_costo]]="","",_xlfn.XLOOKUP(tblOrdenes[[#This Row],[centro_costo]],tblCECO[codigo],tblCECO[area],"(sin catálogo)"))</f>
        <v/>
      </c>
      <c r="W8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6" s="3">
        <f>IF(tblOrdenes[[#This Row],[centro_costo]]="","",_xlfn.XLOOKUP(tblOrdenes[[#This Row],[centro_costo]],tblCECO[codigo],tblCECO[coordinador],"(sin catálogo)"))</f>
        <v/>
      </c>
      <c r="Y806" s="3">
        <f>IF(tblOrdenes[[#This Row],[puesto_trabajo]]="","",_xlfn.XLOOKUP(tblOrdenes[[#This Row],[puesto_trabajo]],tblPuestos[codigo],tblPuestos[especialidad],"(sin catálogo)"))</f>
        <v/>
      </c>
      <c r="Z806" s="3">
        <f>IF(tblOrdenes[[#This Row],[cod_actividad]]="","",_xlfn.XLOOKUP(tblOrdenes[[#This Row],[cod_actividad]],tblActividades[codigo],tblActividades[descripcion],"(sin catálogo)"))</f>
        <v/>
      </c>
      <c r="AA806" s="13">
        <f>IF(tblOrdenes[[#This Row],[fecha_inicio]]="","",TODAY()-tblOrdenes[[#This Row],[fecha_inicio]])</f>
        <v/>
      </c>
      <c r="AB8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6" s="3">
        <f>IF(tblOrdenes[[#This Row],[backlog_habiles]]="","",IF(tblOrdenes[[#This Row],[backlog_habiles]]&lt;0,"FUTURO",IF(tblOrdenes[[#This Row],[backlog_habiles]]&gt;p_dias_backlog_max,"BACKLOG","MES CORRIENTE")))</f>
        <v/>
      </c>
      <c r="AD806" s="3">
        <f>IF(tblOrdenes[[#This Row],[backlog_habiles]]="",FALSE,AND(tblOrdenes[[#This Row],[backlog_habiles]]&gt;p_dias_backlog_min,tblOrdenes[[#This Row],[backlog_habiles]]&lt;=p_dias_backlog_max))</f>
        <v/>
      </c>
      <c r="AE806" s="6" t="n"/>
      <c r="AF8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6" s="11">
        <f>IF(tblOrdenes[[#This Row],[orden]]="","",_xlfn.XLOOKUP(tblOrdenes[[#This Row],[id_operacion]],tblEjecucion[id_operacion],tblEjecucion[precio],0))</f>
        <v/>
      </c>
      <c r="AJ806" s="11">
        <f>IF(tblOrdenes[[#This Row],[orden]]="","",MAX(0,_xlfn.XLOOKUP(tblOrdenes[[#This Row],[id_operacion]],tblEjecucion[id_operacion],tblEjecucion[costo_plan_total],0)-tblOrdenes[[#This Row],[costo_servicio]]))</f>
        <v/>
      </c>
      <c r="AK806" s="11">
        <f>IF(tblOrdenes[[#This Row],[orden]]="","",tblOrdenes[[#This Row],[costo_servicio]]+tblOrdenes[[#This Row],[costo_materiales]])</f>
        <v/>
      </c>
      <c r="AL806" s="6" t="n"/>
      <c r="AM806" s="6" t="n"/>
      <c r="AN806" s="6" t="n"/>
      <c r="AO806" s="3">
        <f>IF(tblOrdenes[[#This Row],[link_checklist]]="","",HYPERLINK(p_ruta_base_checklists&amp;tblOrdenes[[#This Row],[link_checklist]],"abrir"))</f>
        <v/>
      </c>
      <c r="AP806" s="6" t="n"/>
      <c r="AQ806" s="3">
        <f>IF(tblOrdenes[[#This Row],[orden]]="","",tblOrdenes[[#This Row],[orden]]&amp;IF(tblOrdenes[[#This Row],[operacion]]="","0010",tblOrdenes[[#This Row],[operacion]]))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2" t="n"/>
      <c r="K807" s="3" t="n"/>
      <c r="L807" s="11" t="n"/>
      <c r="M8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7" s="3">
        <f>IF(tblOrdenes[[#This Row],[fecha_inicio]]="","",YEAR(tblOrdenes[[#This Row],[fecha_inicio]]))</f>
        <v/>
      </c>
      <c r="Q807" s="3">
        <f>IF(tblOrdenes[[#This Row],[fecha_inicio]]="","",MONTH(tblOrdenes[[#This Row],[fecha_inicio]]))</f>
        <v/>
      </c>
      <c r="R807" s="3">
        <f>IF(tblOrdenes[[#This Row],[fecha_inicio]]="","",INDEX(lista_dias,WEEKDAY(tblOrdenes[[#This Row],[fecha_inicio]],2)))</f>
        <v/>
      </c>
      <c r="S8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7" s="3">
        <f>IF(tblOrdenes[[#This Row],[tipo_ot]]="","",_xlfn.XLOOKUP(tblOrdenes[[#This Row],[tipo_ot]],tblTiposOT[codigo],tblTiposOT[clasificacion],"sin_clasificar"))</f>
        <v/>
      </c>
      <c r="U807" s="3">
        <f>IF(tblOrdenes[[#This Row],[centro_costo]]="","",_xlfn.XLOOKUP(tblOrdenes[[#This Row],[centro_costo]],tblCECO[codigo],tblCECO[linea],"(sin catálogo)"))</f>
        <v/>
      </c>
      <c r="V807" s="3">
        <f>IF(tblOrdenes[[#This Row],[centro_costo]]="","",_xlfn.XLOOKUP(tblOrdenes[[#This Row],[centro_costo]],tblCECO[codigo],tblCECO[area],"(sin catálogo)"))</f>
        <v/>
      </c>
      <c r="W8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7" s="3">
        <f>IF(tblOrdenes[[#This Row],[centro_costo]]="","",_xlfn.XLOOKUP(tblOrdenes[[#This Row],[centro_costo]],tblCECO[codigo],tblCECO[coordinador],"(sin catálogo)"))</f>
        <v/>
      </c>
      <c r="Y807" s="3">
        <f>IF(tblOrdenes[[#This Row],[puesto_trabajo]]="","",_xlfn.XLOOKUP(tblOrdenes[[#This Row],[puesto_trabajo]],tblPuestos[codigo],tblPuestos[especialidad],"(sin catálogo)"))</f>
        <v/>
      </c>
      <c r="Z807" s="3">
        <f>IF(tblOrdenes[[#This Row],[cod_actividad]]="","",_xlfn.XLOOKUP(tblOrdenes[[#This Row],[cod_actividad]],tblActividades[codigo],tblActividades[descripcion],"(sin catálogo)"))</f>
        <v/>
      </c>
      <c r="AA807" s="13">
        <f>IF(tblOrdenes[[#This Row],[fecha_inicio]]="","",TODAY()-tblOrdenes[[#This Row],[fecha_inicio]])</f>
        <v/>
      </c>
      <c r="AB8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7" s="3">
        <f>IF(tblOrdenes[[#This Row],[backlog_habiles]]="","",IF(tblOrdenes[[#This Row],[backlog_habiles]]&lt;0,"FUTURO",IF(tblOrdenes[[#This Row],[backlog_habiles]]&gt;p_dias_backlog_max,"BACKLOG","MES CORRIENTE")))</f>
        <v/>
      </c>
      <c r="AD807" s="3">
        <f>IF(tblOrdenes[[#This Row],[backlog_habiles]]="",FALSE,AND(tblOrdenes[[#This Row],[backlog_habiles]]&gt;p_dias_backlog_min,tblOrdenes[[#This Row],[backlog_habiles]]&lt;=p_dias_backlog_max))</f>
        <v/>
      </c>
      <c r="AE807" s="6" t="n"/>
      <c r="AF8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7" s="11">
        <f>IF(tblOrdenes[[#This Row],[orden]]="","",_xlfn.XLOOKUP(tblOrdenes[[#This Row],[id_operacion]],tblEjecucion[id_operacion],tblEjecucion[precio],0))</f>
        <v/>
      </c>
      <c r="AJ807" s="11">
        <f>IF(tblOrdenes[[#This Row],[orden]]="","",MAX(0,_xlfn.XLOOKUP(tblOrdenes[[#This Row],[id_operacion]],tblEjecucion[id_operacion],tblEjecucion[costo_plan_total],0)-tblOrdenes[[#This Row],[costo_servicio]]))</f>
        <v/>
      </c>
      <c r="AK807" s="11">
        <f>IF(tblOrdenes[[#This Row],[orden]]="","",tblOrdenes[[#This Row],[costo_servicio]]+tblOrdenes[[#This Row],[costo_materiales]])</f>
        <v/>
      </c>
      <c r="AL807" s="6" t="n"/>
      <c r="AM807" s="6" t="n"/>
      <c r="AN807" s="6" t="n"/>
      <c r="AO807" s="3">
        <f>IF(tblOrdenes[[#This Row],[link_checklist]]="","",HYPERLINK(p_ruta_base_checklists&amp;tblOrdenes[[#This Row],[link_checklist]],"abrir"))</f>
        <v/>
      </c>
      <c r="AP807" s="6" t="n"/>
      <c r="AQ807" s="3">
        <f>IF(tblOrdenes[[#This Row],[orden]]="","",tblOrdenes[[#This Row],[orden]]&amp;IF(tblOrdenes[[#This Row],[operacion]]="","0010",tblOrdenes[[#This Row],[operacion]]))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2" t="n"/>
      <c r="K808" s="3" t="n"/>
      <c r="L808" s="11" t="n"/>
      <c r="M8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8" s="3">
        <f>IF(tblOrdenes[[#This Row],[fecha_inicio]]="","",YEAR(tblOrdenes[[#This Row],[fecha_inicio]]))</f>
        <v/>
      </c>
      <c r="Q808" s="3">
        <f>IF(tblOrdenes[[#This Row],[fecha_inicio]]="","",MONTH(tblOrdenes[[#This Row],[fecha_inicio]]))</f>
        <v/>
      </c>
      <c r="R808" s="3">
        <f>IF(tblOrdenes[[#This Row],[fecha_inicio]]="","",INDEX(lista_dias,WEEKDAY(tblOrdenes[[#This Row],[fecha_inicio]],2)))</f>
        <v/>
      </c>
      <c r="S8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8" s="3">
        <f>IF(tblOrdenes[[#This Row],[tipo_ot]]="","",_xlfn.XLOOKUP(tblOrdenes[[#This Row],[tipo_ot]],tblTiposOT[codigo],tblTiposOT[clasificacion],"sin_clasificar"))</f>
        <v/>
      </c>
      <c r="U808" s="3">
        <f>IF(tblOrdenes[[#This Row],[centro_costo]]="","",_xlfn.XLOOKUP(tblOrdenes[[#This Row],[centro_costo]],tblCECO[codigo],tblCECO[linea],"(sin catálogo)"))</f>
        <v/>
      </c>
      <c r="V808" s="3">
        <f>IF(tblOrdenes[[#This Row],[centro_costo]]="","",_xlfn.XLOOKUP(tblOrdenes[[#This Row],[centro_costo]],tblCECO[codigo],tblCECO[area],"(sin catálogo)"))</f>
        <v/>
      </c>
      <c r="W8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8" s="3">
        <f>IF(tblOrdenes[[#This Row],[centro_costo]]="","",_xlfn.XLOOKUP(tblOrdenes[[#This Row],[centro_costo]],tblCECO[codigo],tblCECO[coordinador],"(sin catálogo)"))</f>
        <v/>
      </c>
      <c r="Y808" s="3">
        <f>IF(tblOrdenes[[#This Row],[puesto_trabajo]]="","",_xlfn.XLOOKUP(tblOrdenes[[#This Row],[puesto_trabajo]],tblPuestos[codigo],tblPuestos[especialidad],"(sin catálogo)"))</f>
        <v/>
      </c>
      <c r="Z808" s="3">
        <f>IF(tblOrdenes[[#This Row],[cod_actividad]]="","",_xlfn.XLOOKUP(tblOrdenes[[#This Row],[cod_actividad]],tblActividades[codigo],tblActividades[descripcion],"(sin catálogo)"))</f>
        <v/>
      </c>
      <c r="AA808" s="13">
        <f>IF(tblOrdenes[[#This Row],[fecha_inicio]]="","",TODAY()-tblOrdenes[[#This Row],[fecha_inicio]])</f>
        <v/>
      </c>
      <c r="AB8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8" s="3">
        <f>IF(tblOrdenes[[#This Row],[backlog_habiles]]="","",IF(tblOrdenes[[#This Row],[backlog_habiles]]&lt;0,"FUTURO",IF(tblOrdenes[[#This Row],[backlog_habiles]]&gt;p_dias_backlog_max,"BACKLOG","MES CORRIENTE")))</f>
        <v/>
      </c>
      <c r="AD808" s="3">
        <f>IF(tblOrdenes[[#This Row],[backlog_habiles]]="",FALSE,AND(tblOrdenes[[#This Row],[backlog_habiles]]&gt;p_dias_backlog_min,tblOrdenes[[#This Row],[backlog_habiles]]&lt;=p_dias_backlog_max))</f>
        <v/>
      </c>
      <c r="AE808" s="6" t="n"/>
      <c r="AF8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8" s="11">
        <f>IF(tblOrdenes[[#This Row],[orden]]="","",_xlfn.XLOOKUP(tblOrdenes[[#This Row],[id_operacion]],tblEjecucion[id_operacion],tblEjecucion[precio],0))</f>
        <v/>
      </c>
      <c r="AJ808" s="11">
        <f>IF(tblOrdenes[[#This Row],[orden]]="","",MAX(0,_xlfn.XLOOKUP(tblOrdenes[[#This Row],[id_operacion]],tblEjecucion[id_operacion],tblEjecucion[costo_plan_total],0)-tblOrdenes[[#This Row],[costo_servicio]]))</f>
        <v/>
      </c>
      <c r="AK808" s="11">
        <f>IF(tblOrdenes[[#This Row],[orden]]="","",tblOrdenes[[#This Row],[costo_servicio]]+tblOrdenes[[#This Row],[costo_materiales]])</f>
        <v/>
      </c>
      <c r="AL808" s="6" t="n"/>
      <c r="AM808" s="6" t="n"/>
      <c r="AN808" s="6" t="n"/>
      <c r="AO808" s="3">
        <f>IF(tblOrdenes[[#This Row],[link_checklist]]="","",HYPERLINK(p_ruta_base_checklists&amp;tblOrdenes[[#This Row],[link_checklist]],"abrir"))</f>
        <v/>
      </c>
      <c r="AP808" s="6" t="n"/>
      <c r="AQ808" s="3">
        <f>IF(tblOrdenes[[#This Row],[orden]]="","",tblOrdenes[[#This Row],[orden]]&amp;IF(tblOrdenes[[#This Row],[operacion]]="","0010",tblOrdenes[[#This Row],[operacion]]))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2" t="n"/>
      <c r="K809" s="3" t="n"/>
      <c r="L809" s="11" t="n"/>
      <c r="M8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9" s="3">
        <f>IF(tblOrdenes[[#This Row],[fecha_inicio]]="","",YEAR(tblOrdenes[[#This Row],[fecha_inicio]]))</f>
        <v/>
      </c>
      <c r="Q809" s="3">
        <f>IF(tblOrdenes[[#This Row],[fecha_inicio]]="","",MONTH(tblOrdenes[[#This Row],[fecha_inicio]]))</f>
        <v/>
      </c>
      <c r="R809" s="3">
        <f>IF(tblOrdenes[[#This Row],[fecha_inicio]]="","",INDEX(lista_dias,WEEKDAY(tblOrdenes[[#This Row],[fecha_inicio]],2)))</f>
        <v/>
      </c>
      <c r="S8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9" s="3">
        <f>IF(tblOrdenes[[#This Row],[tipo_ot]]="","",_xlfn.XLOOKUP(tblOrdenes[[#This Row],[tipo_ot]],tblTiposOT[codigo],tblTiposOT[clasificacion],"sin_clasificar"))</f>
        <v/>
      </c>
      <c r="U809" s="3">
        <f>IF(tblOrdenes[[#This Row],[centro_costo]]="","",_xlfn.XLOOKUP(tblOrdenes[[#This Row],[centro_costo]],tblCECO[codigo],tblCECO[linea],"(sin catálogo)"))</f>
        <v/>
      </c>
      <c r="V809" s="3">
        <f>IF(tblOrdenes[[#This Row],[centro_costo]]="","",_xlfn.XLOOKUP(tblOrdenes[[#This Row],[centro_costo]],tblCECO[codigo],tblCECO[area],"(sin catálogo)"))</f>
        <v/>
      </c>
      <c r="W8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9" s="3">
        <f>IF(tblOrdenes[[#This Row],[centro_costo]]="","",_xlfn.XLOOKUP(tblOrdenes[[#This Row],[centro_costo]],tblCECO[codigo],tblCECO[coordinador],"(sin catálogo)"))</f>
        <v/>
      </c>
      <c r="Y809" s="3">
        <f>IF(tblOrdenes[[#This Row],[puesto_trabajo]]="","",_xlfn.XLOOKUP(tblOrdenes[[#This Row],[puesto_trabajo]],tblPuestos[codigo],tblPuestos[especialidad],"(sin catálogo)"))</f>
        <v/>
      </c>
      <c r="Z809" s="3">
        <f>IF(tblOrdenes[[#This Row],[cod_actividad]]="","",_xlfn.XLOOKUP(tblOrdenes[[#This Row],[cod_actividad]],tblActividades[codigo],tblActividades[descripcion],"(sin catálogo)"))</f>
        <v/>
      </c>
      <c r="AA809" s="13">
        <f>IF(tblOrdenes[[#This Row],[fecha_inicio]]="","",TODAY()-tblOrdenes[[#This Row],[fecha_inicio]])</f>
        <v/>
      </c>
      <c r="AB8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9" s="3">
        <f>IF(tblOrdenes[[#This Row],[backlog_habiles]]="","",IF(tblOrdenes[[#This Row],[backlog_habiles]]&lt;0,"FUTURO",IF(tblOrdenes[[#This Row],[backlog_habiles]]&gt;p_dias_backlog_max,"BACKLOG","MES CORRIENTE")))</f>
        <v/>
      </c>
      <c r="AD809" s="3">
        <f>IF(tblOrdenes[[#This Row],[backlog_habiles]]="",FALSE,AND(tblOrdenes[[#This Row],[backlog_habiles]]&gt;p_dias_backlog_min,tblOrdenes[[#This Row],[backlog_habiles]]&lt;=p_dias_backlog_max))</f>
        <v/>
      </c>
      <c r="AE809" s="6" t="n"/>
      <c r="AF8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9" s="11">
        <f>IF(tblOrdenes[[#This Row],[orden]]="","",_xlfn.XLOOKUP(tblOrdenes[[#This Row],[id_operacion]],tblEjecucion[id_operacion],tblEjecucion[precio],0))</f>
        <v/>
      </c>
      <c r="AJ809" s="11">
        <f>IF(tblOrdenes[[#This Row],[orden]]="","",MAX(0,_xlfn.XLOOKUP(tblOrdenes[[#This Row],[id_operacion]],tblEjecucion[id_operacion],tblEjecucion[costo_plan_total],0)-tblOrdenes[[#This Row],[costo_servicio]]))</f>
        <v/>
      </c>
      <c r="AK809" s="11">
        <f>IF(tblOrdenes[[#This Row],[orden]]="","",tblOrdenes[[#This Row],[costo_servicio]]+tblOrdenes[[#This Row],[costo_materiales]])</f>
        <v/>
      </c>
      <c r="AL809" s="6" t="n"/>
      <c r="AM809" s="6" t="n"/>
      <c r="AN809" s="6" t="n"/>
      <c r="AO809" s="3">
        <f>IF(tblOrdenes[[#This Row],[link_checklist]]="","",HYPERLINK(p_ruta_base_checklists&amp;tblOrdenes[[#This Row],[link_checklist]],"abrir"))</f>
        <v/>
      </c>
      <c r="AP809" s="6" t="n"/>
      <c r="AQ809" s="3">
        <f>IF(tblOrdenes[[#This Row],[orden]]="","",tblOrdenes[[#This Row],[orden]]&amp;IF(tblOrdenes[[#This Row],[operacion]]="","0010",tblOrdenes[[#This Row],[operacion]]))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2" t="n"/>
      <c r="K810" s="3" t="n"/>
      <c r="L810" s="11" t="n"/>
      <c r="M8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0" s="3">
        <f>IF(tblOrdenes[[#This Row],[fecha_inicio]]="","",YEAR(tblOrdenes[[#This Row],[fecha_inicio]]))</f>
        <v/>
      </c>
      <c r="Q810" s="3">
        <f>IF(tblOrdenes[[#This Row],[fecha_inicio]]="","",MONTH(tblOrdenes[[#This Row],[fecha_inicio]]))</f>
        <v/>
      </c>
      <c r="R810" s="3">
        <f>IF(tblOrdenes[[#This Row],[fecha_inicio]]="","",INDEX(lista_dias,WEEKDAY(tblOrdenes[[#This Row],[fecha_inicio]],2)))</f>
        <v/>
      </c>
      <c r="S8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0" s="3">
        <f>IF(tblOrdenes[[#This Row],[tipo_ot]]="","",_xlfn.XLOOKUP(tblOrdenes[[#This Row],[tipo_ot]],tblTiposOT[codigo],tblTiposOT[clasificacion],"sin_clasificar"))</f>
        <v/>
      </c>
      <c r="U810" s="3">
        <f>IF(tblOrdenes[[#This Row],[centro_costo]]="","",_xlfn.XLOOKUP(tblOrdenes[[#This Row],[centro_costo]],tblCECO[codigo],tblCECO[linea],"(sin catálogo)"))</f>
        <v/>
      </c>
      <c r="V810" s="3">
        <f>IF(tblOrdenes[[#This Row],[centro_costo]]="","",_xlfn.XLOOKUP(tblOrdenes[[#This Row],[centro_costo]],tblCECO[codigo],tblCECO[area],"(sin catálogo)"))</f>
        <v/>
      </c>
      <c r="W8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0" s="3">
        <f>IF(tblOrdenes[[#This Row],[centro_costo]]="","",_xlfn.XLOOKUP(tblOrdenes[[#This Row],[centro_costo]],tblCECO[codigo],tblCECO[coordinador],"(sin catálogo)"))</f>
        <v/>
      </c>
      <c r="Y810" s="3">
        <f>IF(tblOrdenes[[#This Row],[puesto_trabajo]]="","",_xlfn.XLOOKUP(tblOrdenes[[#This Row],[puesto_trabajo]],tblPuestos[codigo],tblPuestos[especialidad],"(sin catálogo)"))</f>
        <v/>
      </c>
      <c r="Z810" s="3">
        <f>IF(tblOrdenes[[#This Row],[cod_actividad]]="","",_xlfn.XLOOKUP(tblOrdenes[[#This Row],[cod_actividad]],tblActividades[codigo],tblActividades[descripcion],"(sin catálogo)"))</f>
        <v/>
      </c>
      <c r="AA810" s="13">
        <f>IF(tblOrdenes[[#This Row],[fecha_inicio]]="","",TODAY()-tblOrdenes[[#This Row],[fecha_inicio]])</f>
        <v/>
      </c>
      <c r="AB8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0" s="3">
        <f>IF(tblOrdenes[[#This Row],[backlog_habiles]]="","",IF(tblOrdenes[[#This Row],[backlog_habiles]]&lt;0,"FUTURO",IF(tblOrdenes[[#This Row],[backlog_habiles]]&gt;p_dias_backlog_max,"BACKLOG","MES CORRIENTE")))</f>
        <v/>
      </c>
      <c r="AD810" s="3">
        <f>IF(tblOrdenes[[#This Row],[backlog_habiles]]="",FALSE,AND(tblOrdenes[[#This Row],[backlog_habiles]]&gt;p_dias_backlog_min,tblOrdenes[[#This Row],[backlog_habiles]]&lt;=p_dias_backlog_max))</f>
        <v/>
      </c>
      <c r="AE810" s="6" t="n"/>
      <c r="AF8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0" s="11">
        <f>IF(tblOrdenes[[#This Row],[orden]]="","",_xlfn.XLOOKUP(tblOrdenes[[#This Row],[id_operacion]],tblEjecucion[id_operacion],tblEjecucion[precio],0))</f>
        <v/>
      </c>
      <c r="AJ810" s="11">
        <f>IF(tblOrdenes[[#This Row],[orden]]="","",MAX(0,_xlfn.XLOOKUP(tblOrdenes[[#This Row],[id_operacion]],tblEjecucion[id_operacion],tblEjecucion[costo_plan_total],0)-tblOrdenes[[#This Row],[costo_servicio]]))</f>
        <v/>
      </c>
      <c r="AK810" s="11">
        <f>IF(tblOrdenes[[#This Row],[orden]]="","",tblOrdenes[[#This Row],[costo_servicio]]+tblOrdenes[[#This Row],[costo_materiales]])</f>
        <v/>
      </c>
      <c r="AL810" s="6" t="n"/>
      <c r="AM810" s="6" t="n"/>
      <c r="AN810" s="6" t="n"/>
      <c r="AO810" s="3">
        <f>IF(tblOrdenes[[#This Row],[link_checklist]]="","",HYPERLINK(p_ruta_base_checklists&amp;tblOrdenes[[#This Row],[link_checklist]],"abrir"))</f>
        <v/>
      </c>
      <c r="AP810" s="6" t="n"/>
      <c r="AQ810" s="3">
        <f>IF(tblOrdenes[[#This Row],[orden]]="","",tblOrdenes[[#This Row],[orden]]&amp;IF(tblOrdenes[[#This Row],[operacion]]="","0010",tblOrdenes[[#This Row],[operacion]]))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2" t="n"/>
      <c r="K811" s="3" t="n"/>
      <c r="L811" s="11" t="n"/>
      <c r="M8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1" s="3">
        <f>IF(tblOrdenes[[#This Row],[fecha_inicio]]="","",YEAR(tblOrdenes[[#This Row],[fecha_inicio]]))</f>
        <v/>
      </c>
      <c r="Q811" s="3">
        <f>IF(tblOrdenes[[#This Row],[fecha_inicio]]="","",MONTH(tblOrdenes[[#This Row],[fecha_inicio]]))</f>
        <v/>
      </c>
      <c r="R811" s="3">
        <f>IF(tblOrdenes[[#This Row],[fecha_inicio]]="","",INDEX(lista_dias,WEEKDAY(tblOrdenes[[#This Row],[fecha_inicio]],2)))</f>
        <v/>
      </c>
      <c r="S8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1" s="3">
        <f>IF(tblOrdenes[[#This Row],[tipo_ot]]="","",_xlfn.XLOOKUP(tblOrdenes[[#This Row],[tipo_ot]],tblTiposOT[codigo],tblTiposOT[clasificacion],"sin_clasificar"))</f>
        <v/>
      </c>
      <c r="U811" s="3">
        <f>IF(tblOrdenes[[#This Row],[centro_costo]]="","",_xlfn.XLOOKUP(tblOrdenes[[#This Row],[centro_costo]],tblCECO[codigo],tblCECO[linea],"(sin catálogo)"))</f>
        <v/>
      </c>
      <c r="V811" s="3">
        <f>IF(tblOrdenes[[#This Row],[centro_costo]]="","",_xlfn.XLOOKUP(tblOrdenes[[#This Row],[centro_costo]],tblCECO[codigo],tblCECO[area],"(sin catálogo)"))</f>
        <v/>
      </c>
      <c r="W8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1" s="3">
        <f>IF(tblOrdenes[[#This Row],[centro_costo]]="","",_xlfn.XLOOKUP(tblOrdenes[[#This Row],[centro_costo]],tblCECO[codigo],tblCECO[coordinador],"(sin catálogo)"))</f>
        <v/>
      </c>
      <c r="Y811" s="3">
        <f>IF(tblOrdenes[[#This Row],[puesto_trabajo]]="","",_xlfn.XLOOKUP(tblOrdenes[[#This Row],[puesto_trabajo]],tblPuestos[codigo],tblPuestos[especialidad],"(sin catálogo)"))</f>
        <v/>
      </c>
      <c r="Z811" s="3">
        <f>IF(tblOrdenes[[#This Row],[cod_actividad]]="","",_xlfn.XLOOKUP(tblOrdenes[[#This Row],[cod_actividad]],tblActividades[codigo],tblActividades[descripcion],"(sin catálogo)"))</f>
        <v/>
      </c>
      <c r="AA811" s="13">
        <f>IF(tblOrdenes[[#This Row],[fecha_inicio]]="","",TODAY()-tblOrdenes[[#This Row],[fecha_inicio]])</f>
        <v/>
      </c>
      <c r="AB8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1" s="3">
        <f>IF(tblOrdenes[[#This Row],[backlog_habiles]]="","",IF(tblOrdenes[[#This Row],[backlog_habiles]]&lt;0,"FUTURO",IF(tblOrdenes[[#This Row],[backlog_habiles]]&gt;p_dias_backlog_max,"BACKLOG","MES CORRIENTE")))</f>
        <v/>
      </c>
      <c r="AD811" s="3">
        <f>IF(tblOrdenes[[#This Row],[backlog_habiles]]="",FALSE,AND(tblOrdenes[[#This Row],[backlog_habiles]]&gt;p_dias_backlog_min,tblOrdenes[[#This Row],[backlog_habiles]]&lt;=p_dias_backlog_max))</f>
        <v/>
      </c>
      <c r="AE811" s="6" t="n"/>
      <c r="AF8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1" s="11">
        <f>IF(tblOrdenes[[#This Row],[orden]]="","",_xlfn.XLOOKUP(tblOrdenes[[#This Row],[id_operacion]],tblEjecucion[id_operacion],tblEjecucion[precio],0))</f>
        <v/>
      </c>
      <c r="AJ811" s="11">
        <f>IF(tblOrdenes[[#This Row],[orden]]="","",MAX(0,_xlfn.XLOOKUP(tblOrdenes[[#This Row],[id_operacion]],tblEjecucion[id_operacion],tblEjecucion[costo_plan_total],0)-tblOrdenes[[#This Row],[costo_servicio]]))</f>
        <v/>
      </c>
      <c r="AK811" s="11">
        <f>IF(tblOrdenes[[#This Row],[orden]]="","",tblOrdenes[[#This Row],[costo_servicio]]+tblOrdenes[[#This Row],[costo_materiales]])</f>
        <v/>
      </c>
      <c r="AL811" s="6" t="n"/>
      <c r="AM811" s="6" t="n"/>
      <c r="AN811" s="6" t="n"/>
      <c r="AO811" s="3">
        <f>IF(tblOrdenes[[#This Row],[link_checklist]]="","",HYPERLINK(p_ruta_base_checklists&amp;tblOrdenes[[#This Row],[link_checklist]],"abrir"))</f>
        <v/>
      </c>
      <c r="AP811" s="6" t="n"/>
      <c r="AQ811" s="3">
        <f>IF(tblOrdenes[[#This Row],[orden]]="","",tblOrdenes[[#This Row],[orden]]&amp;IF(tblOrdenes[[#This Row],[operacion]]="","0010",tblOrdenes[[#This Row],[operacion]]))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2" t="n"/>
      <c r="K812" s="3" t="n"/>
      <c r="L812" s="11" t="n"/>
      <c r="M8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2" s="3">
        <f>IF(tblOrdenes[[#This Row],[fecha_inicio]]="","",YEAR(tblOrdenes[[#This Row],[fecha_inicio]]))</f>
        <v/>
      </c>
      <c r="Q812" s="3">
        <f>IF(tblOrdenes[[#This Row],[fecha_inicio]]="","",MONTH(tblOrdenes[[#This Row],[fecha_inicio]]))</f>
        <v/>
      </c>
      <c r="R812" s="3">
        <f>IF(tblOrdenes[[#This Row],[fecha_inicio]]="","",INDEX(lista_dias,WEEKDAY(tblOrdenes[[#This Row],[fecha_inicio]],2)))</f>
        <v/>
      </c>
      <c r="S8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2" s="3">
        <f>IF(tblOrdenes[[#This Row],[tipo_ot]]="","",_xlfn.XLOOKUP(tblOrdenes[[#This Row],[tipo_ot]],tblTiposOT[codigo],tblTiposOT[clasificacion],"sin_clasificar"))</f>
        <v/>
      </c>
      <c r="U812" s="3">
        <f>IF(tblOrdenes[[#This Row],[centro_costo]]="","",_xlfn.XLOOKUP(tblOrdenes[[#This Row],[centro_costo]],tblCECO[codigo],tblCECO[linea],"(sin catálogo)"))</f>
        <v/>
      </c>
      <c r="V812" s="3">
        <f>IF(tblOrdenes[[#This Row],[centro_costo]]="","",_xlfn.XLOOKUP(tblOrdenes[[#This Row],[centro_costo]],tblCECO[codigo],tblCECO[area],"(sin catálogo)"))</f>
        <v/>
      </c>
      <c r="W8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2" s="3">
        <f>IF(tblOrdenes[[#This Row],[centro_costo]]="","",_xlfn.XLOOKUP(tblOrdenes[[#This Row],[centro_costo]],tblCECO[codigo],tblCECO[coordinador],"(sin catálogo)"))</f>
        <v/>
      </c>
      <c r="Y812" s="3">
        <f>IF(tblOrdenes[[#This Row],[puesto_trabajo]]="","",_xlfn.XLOOKUP(tblOrdenes[[#This Row],[puesto_trabajo]],tblPuestos[codigo],tblPuestos[especialidad],"(sin catálogo)"))</f>
        <v/>
      </c>
      <c r="Z812" s="3">
        <f>IF(tblOrdenes[[#This Row],[cod_actividad]]="","",_xlfn.XLOOKUP(tblOrdenes[[#This Row],[cod_actividad]],tblActividades[codigo],tblActividades[descripcion],"(sin catálogo)"))</f>
        <v/>
      </c>
      <c r="AA812" s="13">
        <f>IF(tblOrdenes[[#This Row],[fecha_inicio]]="","",TODAY()-tblOrdenes[[#This Row],[fecha_inicio]])</f>
        <v/>
      </c>
      <c r="AB8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2" s="3">
        <f>IF(tblOrdenes[[#This Row],[backlog_habiles]]="","",IF(tblOrdenes[[#This Row],[backlog_habiles]]&lt;0,"FUTURO",IF(tblOrdenes[[#This Row],[backlog_habiles]]&gt;p_dias_backlog_max,"BACKLOG","MES CORRIENTE")))</f>
        <v/>
      </c>
      <c r="AD812" s="3">
        <f>IF(tblOrdenes[[#This Row],[backlog_habiles]]="",FALSE,AND(tblOrdenes[[#This Row],[backlog_habiles]]&gt;p_dias_backlog_min,tblOrdenes[[#This Row],[backlog_habiles]]&lt;=p_dias_backlog_max))</f>
        <v/>
      </c>
      <c r="AE812" s="6" t="n"/>
      <c r="AF8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2" s="11">
        <f>IF(tblOrdenes[[#This Row],[orden]]="","",_xlfn.XLOOKUP(tblOrdenes[[#This Row],[id_operacion]],tblEjecucion[id_operacion],tblEjecucion[precio],0))</f>
        <v/>
      </c>
      <c r="AJ812" s="11">
        <f>IF(tblOrdenes[[#This Row],[orden]]="","",MAX(0,_xlfn.XLOOKUP(tblOrdenes[[#This Row],[id_operacion]],tblEjecucion[id_operacion],tblEjecucion[costo_plan_total],0)-tblOrdenes[[#This Row],[costo_servicio]]))</f>
        <v/>
      </c>
      <c r="AK812" s="11">
        <f>IF(tblOrdenes[[#This Row],[orden]]="","",tblOrdenes[[#This Row],[costo_servicio]]+tblOrdenes[[#This Row],[costo_materiales]])</f>
        <v/>
      </c>
      <c r="AL812" s="6" t="n"/>
      <c r="AM812" s="6" t="n"/>
      <c r="AN812" s="6" t="n"/>
      <c r="AO812" s="3">
        <f>IF(tblOrdenes[[#This Row],[link_checklist]]="","",HYPERLINK(p_ruta_base_checklists&amp;tblOrdenes[[#This Row],[link_checklist]],"abrir"))</f>
        <v/>
      </c>
      <c r="AP812" s="6" t="n"/>
      <c r="AQ812" s="3">
        <f>IF(tblOrdenes[[#This Row],[orden]]="","",tblOrdenes[[#This Row],[orden]]&amp;IF(tblOrdenes[[#This Row],[operacion]]="","0010",tblOrdenes[[#This Row],[operacion]]))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2" t="n"/>
      <c r="K813" s="3" t="n"/>
      <c r="L813" s="11" t="n"/>
      <c r="M8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3" s="3">
        <f>IF(tblOrdenes[[#This Row],[fecha_inicio]]="","",YEAR(tblOrdenes[[#This Row],[fecha_inicio]]))</f>
        <v/>
      </c>
      <c r="Q813" s="3">
        <f>IF(tblOrdenes[[#This Row],[fecha_inicio]]="","",MONTH(tblOrdenes[[#This Row],[fecha_inicio]]))</f>
        <v/>
      </c>
      <c r="R813" s="3">
        <f>IF(tblOrdenes[[#This Row],[fecha_inicio]]="","",INDEX(lista_dias,WEEKDAY(tblOrdenes[[#This Row],[fecha_inicio]],2)))</f>
        <v/>
      </c>
      <c r="S8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3" s="3">
        <f>IF(tblOrdenes[[#This Row],[tipo_ot]]="","",_xlfn.XLOOKUP(tblOrdenes[[#This Row],[tipo_ot]],tblTiposOT[codigo],tblTiposOT[clasificacion],"sin_clasificar"))</f>
        <v/>
      </c>
      <c r="U813" s="3">
        <f>IF(tblOrdenes[[#This Row],[centro_costo]]="","",_xlfn.XLOOKUP(tblOrdenes[[#This Row],[centro_costo]],tblCECO[codigo],tblCECO[linea],"(sin catálogo)"))</f>
        <v/>
      </c>
      <c r="V813" s="3">
        <f>IF(tblOrdenes[[#This Row],[centro_costo]]="","",_xlfn.XLOOKUP(tblOrdenes[[#This Row],[centro_costo]],tblCECO[codigo],tblCECO[area],"(sin catálogo)"))</f>
        <v/>
      </c>
      <c r="W8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3" s="3">
        <f>IF(tblOrdenes[[#This Row],[centro_costo]]="","",_xlfn.XLOOKUP(tblOrdenes[[#This Row],[centro_costo]],tblCECO[codigo],tblCECO[coordinador],"(sin catálogo)"))</f>
        <v/>
      </c>
      <c r="Y813" s="3">
        <f>IF(tblOrdenes[[#This Row],[puesto_trabajo]]="","",_xlfn.XLOOKUP(tblOrdenes[[#This Row],[puesto_trabajo]],tblPuestos[codigo],tblPuestos[especialidad],"(sin catálogo)"))</f>
        <v/>
      </c>
      <c r="Z813" s="3">
        <f>IF(tblOrdenes[[#This Row],[cod_actividad]]="","",_xlfn.XLOOKUP(tblOrdenes[[#This Row],[cod_actividad]],tblActividades[codigo],tblActividades[descripcion],"(sin catálogo)"))</f>
        <v/>
      </c>
      <c r="AA813" s="13">
        <f>IF(tblOrdenes[[#This Row],[fecha_inicio]]="","",TODAY()-tblOrdenes[[#This Row],[fecha_inicio]])</f>
        <v/>
      </c>
      <c r="AB8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3" s="3">
        <f>IF(tblOrdenes[[#This Row],[backlog_habiles]]="","",IF(tblOrdenes[[#This Row],[backlog_habiles]]&lt;0,"FUTURO",IF(tblOrdenes[[#This Row],[backlog_habiles]]&gt;p_dias_backlog_max,"BACKLOG","MES CORRIENTE")))</f>
        <v/>
      </c>
      <c r="AD813" s="3">
        <f>IF(tblOrdenes[[#This Row],[backlog_habiles]]="",FALSE,AND(tblOrdenes[[#This Row],[backlog_habiles]]&gt;p_dias_backlog_min,tblOrdenes[[#This Row],[backlog_habiles]]&lt;=p_dias_backlog_max))</f>
        <v/>
      </c>
      <c r="AE813" s="6" t="n"/>
      <c r="AF8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3" s="11">
        <f>IF(tblOrdenes[[#This Row],[orden]]="","",_xlfn.XLOOKUP(tblOrdenes[[#This Row],[id_operacion]],tblEjecucion[id_operacion],tblEjecucion[precio],0))</f>
        <v/>
      </c>
      <c r="AJ813" s="11">
        <f>IF(tblOrdenes[[#This Row],[orden]]="","",MAX(0,_xlfn.XLOOKUP(tblOrdenes[[#This Row],[id_operacion]],tblEjecucion[id_operacion],tblEjecucion[costo_plan_total],0)-tblOrdenes[[#This Row],[costo_servicio]]))</f>
        <v/>
      </c>
      <c r="AK813" s="11">
        <f>IF(tblOrdenes[[#This Row],[orden]]="","",tblOrdenes[[#This Row],[costo_servicio]]+tblOrdenes[[#This Row],[costo_materiales]])</f>
        <v/>
      </c>
      <c r="AL813" s="6" t="n"/>
      <c r="AM813" s="6" t="n"/>
      <c r="AN813" s="6" t="n"/>
      <c r="AO813" s="3">
        <f>IF(tblOrdenes[[#This Row],[link_checklist]]="","",HYPERLINK(p_ruta_base_checklists&amp;tblOrdenes[[#This Row],[link_checklist]],"abrir"))</f>
        <v/>
      </c>
      <c r="AP813" s="6" t="n"/>
      <c r="AQ813" s="3">
        <f>IF(tblOrdenes[[#This Row],[orden]]="","",tblOrdenes[[#This Row],[orden]]&amp;IF(tblOrdenes[[#This Row],[operacion]]="","0010",tblOrdenes[[#This Row],[operacion]]))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2" t="n"/>
      <c r="K814" s="3" t="n"/>
      <c r="L814" s="11" t="n"/>
      <c r="M8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4" s="3">
        <f>IF(tblOrdenes[[#This Row],[fecha_inicio]]="","",YEAR(tblOrdenes[[#This Row],[fecha_inicio]]))</f>
        <v/>
      </c>
      <c r="Q814" s="3">
        <f>IF(tblOrdenes[[#This Row],[fecha_inicio]]="","",MONTH(tblOrdenes[[#This Row],[fecha_inicio]]))</f>
        <v/>
      </c>
      <c r="R814" s="3">
        <f>IF(tblOrdenes[[#This Row],[fecha_inicio]]="","",INDEX(lista_dias,WEEKDAY(tblOrdenes[[#This Row],[fecha_inicio]],2)))</f>
        <v/>
      </c>
      <c r="S8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4" s="3">
        <f>IF(tblOrdenes[[#This Row],[tipo_ot]]="","",_xlfn.XLOOKUP(tblOrdenes[[#This Row],[tipo_ot]],tblTiposOT[codigo],tblTiposOT[clasificacion],"sin_clasificar"))</f>
        <v/>
      </c>
      <c r="U814" s="3">
        <f>IF(tblOrdenes[[#This Row],[centro_costo]]="","",_xlfn.XLOOKUP(tblOrdenes[[#This Row],[centro_costo]],tblCECO[codigo],tblCECO[linea],"(sin catálogo)"))</f>
        <v/>
      </c>
      <c r="V814" s="3">
        <f>IF(tblOrdenes[[#This Row],[centro_costo]]="","",_xlfn.XLOOKUP(tblOrdenes[[#This Row],[centro_costo]],tblCECO[codigo],tblCECO[area],"(sin catálogo)"))</f>
        <v/>
      </c>
      <c r="W8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4" s="3">
        <f>IF(tblOrdenes[[#This Row],[centro_costo]]="","",_xlfn.XLOOKUP(tblOrdenes[[#This Row],[centro_costo]],tblCECO[codigo],tblCECO[coordinador],"(sin catálogo)"))</f>
        <v/>
      </c>
      <c r="Y814" s="3">
        <f>IF(tblOrdenes[[#This Row],[puesto_trabajo]]="","",_xlfn.XLOOKUP(tblOrdenes[[#This Row],[puesto_trabajo]],tblPuestos[codigo],tblPuestos[especialidad],"(sin catálogo)"))</f>
        <v/>
      </c>
      <c r="Z814" s="3">
        <f>IF(tblOrdenes[[#This Row],[cod_actividad]]="","",_xlfn.XLOOKUP(tblOrdenes[[#This Row],[cod_actividad]],tblActividades[codigo],tblActividades[descripcion],"(sin catálogo)"))</f>
        <v/>
      </c>
      <c r="AA814" s="13">
        <f>IF(tblOrdenes[[#This Row],[fecha_inicio]]="","",TODAY()-tblOrdenes[[#This Row],[fecha_inicio]])</f>
        <v/>
      </c>
      <c r="AB8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4" s="3">
        <f>IF(tblOrdenes[[#This Row],[backlog_habiles]]="","",IF(tblOrdenes[[#This Row],[backlog_habiles]]&lt;0,"FUTURO",IF(tblOrdenes[[#This Row],[backlog_habiles]]&gt;p_dias_backlog_max,"BACKLOG","MES CORRIENTE")))</f>
        <v/>
      </c>
      <c r="AD814" s="3">
        <f>IF(tblOrdenes[[#This Row],[backlog_habiles]]="",FALSE,AND(tblOrdenes[[#This Row],[backlog_habiles]]&gt;p_dias_backlog_min,tblOrdenes[[#This Row],[backlog_habiles]]&lt;=p_dias_backlog_max))</f>
        <v/>
      </c>
      <c r="AE814" s="6" t="n"/>
      <c r="AF8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4" s="11">
        <f>IF(tblOrdenes[[#This Row],[orden]]="","",_xlfn.XLOOKUP(tblOrdenes[[#This Row],[id_operacion]],tblEjecucion[id_operacion],tblEjecucion[precio],0))</f>
        <v/>
      </c>
      <c r="AJ814" s="11">
        <f>IF(tblOrdenes[[#This Row],[orden]]="","",MAX(0,_xlfn.XLOOKUP(tblOrdenes[[#This Row],[id_operacion]],tblEjecucion[id_operacion],tblEjecucion[costo_plan_total],0)-tblOrdenes[[#This Row],[costo_servicio]]))</f>
        <v/>
      </c>
      <c r="AK814" s="11">
        <f>IF(tblOrdenes[[#This Row],[orden]]="","",tblOrdenes[[#This Row],[costo_servicio]]+tblOrdenes[[#This Row],[costo_materiales]])</f>
        <v/>
      </c>
      <c r="AL814" s="6" t="n"/>
      <c r="AM814" s="6" t="n"/>
      <c r="AN814" s="6" t="n"/>
      <c r="AO814" s="3">
        <f>IF(tblOrdenes[[#This Row],[link_checklist]]="","",HYPERLINK(p_ruta_base_checklists&amp;tblOrdenes[[#This Row],[link_checklist]],"abrir"))</f>
        <v/>
      </c>
      <c r="AP814" s="6" t="n"/>
      <c r="AQ814" s="3">
        <f>IF(tblOrdenes[[#This Row],[orden]]="","",tblOrdenes[[#This Row],[orden]]&amp;IF(tblOrdenes[[#This Row],[operacion]]="","0010",tblOrdenes[[#This Row],[operacion]]))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2" t="n"/>
      <c r="K815" s="3" t="n"/>
      <c r="L815" s="11" t="n"/>
      <c r="M8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5" s="3">
        <f>IF(tblOrdenes[[#This Row],[fecha_inicio]]="","",YEAR(tblOrdenes[[#This Row],[fecha_inicio]]))</f>
        <v/>
      </c>
      <c r="Q815" s="3">
        <f>IF(tblOrdenes[[#This Row],[fecha_inicio]]="","",MONTH(tblOrdenes[[#This Row],[fecha_inicio]]))</f>
        <v/>
      </c>
      <c r="R815" s="3">
        <f>IF(tblOrdenes[[#This Row],[fecha_inicio]]="","",INDEX(lista_dias,WEEKDAY(tblOrdenes[[#This Row],[fecha_inicio]],2)))</f>
        <v/>
      </c>
      <c r="S8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5" s="3">
        <f>IF(tblOrdenes[[#This Row],[tipo_ot]]="","",_xlfn.XLOOKUP(tblOrdenes[[#This Row],[tipo_ot]],tblTiposOT[codigo],tblTiposOT[clasificacion],"sin_clasificar"))</f>
        <v/>
      </c>
      <c r="U815" s="3">
        <f>IF(tblOrdenes[[#This Row],[centro_costo]]="","",_xlfn.XLOOKUP(tblOrdenes[[#This Row],[centro_costo]],tblCECO[codigo],tblCECO[linea],"(sin catálogo)"))</f>
        <v/>
      </c>
      <c r="V815" s="3">
        <f>IF(tblOrdenes[[#This Row],[centro_costo]]="","",_xlfn.XLOOKUP(tblOrdenes[[#This Row],[centro_costo]],tblCECO[codigo],tblCECO[area],"(sin catálogo)"))</f>
        <v/>
      </c>
      <c r="W8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5" s="3">
        <f>IF(tblOrdenes[[#This Row],[centro_costo]]="","",_xlfn.XLOOKUP(tblOrdenes[[#This Row],[centro_costo]],tblCECO[codigo],tblCECO[coordinador],"(sin catálogo)"))</f>
        <v/>
      </c>
      <c r="Y815" s="3">
        <f>IF(tblOrdenes[[#This Row],[puesto_trabajo]]="","",_xlfn.XLOOKUP(tblOrdenes[[#This Row],[puesto_trabajo]],tblPuestos[codigo],tblPuestos[especialidad],"(sin catálogo)"))</f>
        <v/>
      </c>
      <c r="Z815" s="3">
        <f>IF(tblOrdenes[[#This Row],[cod_actividad]]="","",_xlfn.XLOOKUP(tblOrdenes[[#This Row],[cod_actividad]],tblActividades[codigo],tblActividades[descripcion],"(sin catálogo)"))</f>
        <v/>
      </c>
      <c r="AA815" s="13">
        <f>IF(tblOrdenes[[#This Row],[fecha_inicio]]="","",TODAY()-tblOrdenes[[#This Row],[fecha_inicio]])</f>
        <v/>
      </c>
      <c r="AB8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5" s="3">
        <f>IF(tblOrdenes[[#This Row],[backlog_habiles]]="","",IF(tblOrdenes[[#This Row],[backlog_habiles]]&lt;0,"FUTURO",IF(tblOrdenes[[#This Row],[backlog_habiles]]&gt;p_dias_backlog_max,"BACKLOG","MES CORRIENTE")))</f>
        <v/>
      </c>
      <c r="AD815" s="3">
        <f>IF(tblOrdenes[[#This Row],[backlog_habiles]]="",FALSE,AND(tblOrdenes[[#This Row],[backlog_habiles]]&gt;p_dias_backlog_min,tblOrdenes[[#This Row],[backlog_habiles]]&lt;=p_dias_backlog_max))</f>
        <v/>
      </c>
      <c r="AE815" s="6" t="n"/>
      <c r="AF8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5" s="11">
        <f>IF(tblOrdenes[[#This Row],[orden]]="","",_xlfn.XLOOKUP(tblOrdenes[[#This Row],[id_operacion]],tblEjecucion[id_operacion],tblEjecucion[precio],0))</f>
        <v/>
      </c>
      <c r="AJ815" s="11">
        <f>IF(tblOrdenes[[#This Row],[orden]]="","",MAX(0,_xlfn.XLOOKUP(tblOrdenes[[#This Row],[id_operacion]],tblEjecucion[id_operacion],tblEjecucion[costo_plan_total],0)-tblOrdenes[[#This Row],[costo_servicio]]))</f>
        <v/>
      </c>
      <c r="AK815" s="11">
        <f>IF(tblOrdenes[[#This Row],[orden]]="","",tblOrdenes[[#This Row],[costo_servicio]]+tblOrdenes[[#This Row],[costo_materiales]])</f>
        <v/>
      </c>
      <c r="AL815" s="6" t="n"/>
      <c r="AM815" s="6" t="n"/>
      <c r="AN815" s="6" t="n"/>
      <c r="AO815" s="3">
        <f>IF(tblOrdenes[[#This Row],[link_checklist]]="","",HYPERLINK(p_ruta_base_checklists&amp;tblOrdenes[[#This Row],[link_checklist]],"abrir"))</f>
        <v/>
      </c>
      <c r="AP815" s="6" t="n"/>
      <c r="AQ815" s="3">
        <f>IF(tblOrdenes[[#This Row],[orden]]="","",tblOrdenes[[#This Row],[orden]]&amp;IF(tblOrdenes[[#This Row],[operacion]]="","0010",tblOrdenes[[#This Row],[operacion]]))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2" t="n"/>
      <c r="K816" s="3" t="n"/>
      <c r="L816" s="11" t="n"/>
      <c r="M8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6" s="3">
        <f>IF(tblOrdenes[[#This Row],[fecha_inicio]]="","",YEAR(tblOrdenes[[#This Row],[fecha_inicio]]))</f>
        <v/>
      </c>
      <c r="Q816" s="3">
        <f>IF(tblOrdenes[[#This Row],[fecha_inicio]]="","",MONTH(tblOrdenes[[#This Row],[fecha_inicio]]))</f>
        <v/>
      </c>
      <c r="R816" s="3">
        <f>IF(tblOrdenes[[#This Row],[fecha_inicio]]="","",INDEX(lista_dias,WEEKDAY(tblOrdenes[[#This Row],[fecha_inicio]],2)))</f>
        <v/>
      </c>
      <c r="S8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6" s="3">
        <f>IF(tblOrdenes[[#This Row],[tipo_ot]]="","",_xlfn.XLOOKUP(tblOrdenes[[#This Row],[tipo_ot]],tblTiposOT[codigo],tblTiposOT[clasificacion],"sin_clasificar"))</f>
        <v/>
      </c>
      <c r="U816" s="3">
        <f>IF(tblOrdenes[[#This Row],[centro_costo]]="","",_xlfn.XLOOKUP(tblOrdenes[[#This Row],[centro_costo]],tblCECO[codigo],tblCECO[linea],"(sin catálogo)"))</f>
        <v/>
      </c>
      <c r="V816" s="3">
        <f>IF(tblOrdenes[[#This Row],[centro_costo]]="","",_xlfn.XLOOKUP(tblOrdenes[[#This Row],[centro_costo]],tblCECO[codigo],tblCECO[area],"(sin catálogo)"))</f>
        <v/>
      </c>
      <c r="W8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6" s="3">
        <f>IF(tblOrdenes[[#This Row],[centro_costo]]="","",_xlfn.XLOOKUP(tblOrdenes[[#This Row],[centro_costo]],tblCECO[codigo],tblCECO[coordinador],"(sin catálogo)"))</f>
        <v/>
      </c>
      <c r="Y816" s="3">
        <f>IF(tblOrdenes[[#This Row],[puesto_trabajo]]="","",_xlfn.XLOOKUP(tblOrdenes[[#This Row],[puesto_trabajo]],tblPuestos[codigo],tblPuestos[especialidad],"(sin catálogo)"))</f>
        <v/>
      </c>
      <c r="Z816" s="3">
        <f>IF(tblOrdenes[[#This Row],[cod_actividad]]="","",_xlfn.XLOOKUP(tblOrdenes[[#This Row],[cod_actividad]],tblActividades[codigo],tblActividades[descripcion],"(sin catálogo)"))</f>
        <v/>
      </c>
      <c r="AA816" s="13">
        <f>IF(tblOrdenes[[#This Row],[fecha_inicio]]="","",TODAY()-tblOrdenes[[#This Row],[fecha_inicio]])</f>
        <v/>
      </c>
      <c r="AB8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6" s="3">
        <f>IF(tblOrdenes[[#This Row],[backlog_habiles]]="","",IF(tblOrdenes[[#This Row],[backlog_habiles]]&lt;0,"FUTURO",IF(tblOrdenes[[#This Row],[backlog_habiles]]&gt;p_dias_backlog_max,"BACKLOG","MES CORRIENTE")))</f>
        <v/>
      </c>
      <c r="AD816" s="3">
        <f>IF(tblOrdenes[[#This Row],[backlog_habiles]]="",FALSE,AND(tblOrdenes[[#This Row],[backlog_habiles]]&gt;p_dias_backlog_min,tblOrdenes[[#This Row],[backlog_habiles]]&lt;=p_dias_backlog_max))</f>
        <v/>
      </c>
      <c r="AE816" s="6" t="n"/>
      <c r="AF8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6" s="11">
        <f>IF(tblOrdenes[[#This Row],[orden]]="","",_xlfn.XLOOKUP(tblOrdenes[[#This Row],[id_operacion]],tblEjecucion[id_operacion],tblEjecucion[precio],0))</f>
        <v/>
      </c>
      <c r="AJ816" s="11">
        <f>IF(tblOrdenes[[#This Row],[orden]]="","",MAX(0,_xlfn.XLOOKUP(tblOrdenes[[#This Row],[id_operacion]],tblEjecucion[id_operacion],tblEjecucion[costo_plan_total],0)-tblOrdenes[[#This Row],[costo_servicio]]))</f>
        <v/>
      </c>
      <c r="AK816" s="11">
        <f>IF(tblOrdenes[[#This Row],[orden]]="","",tblOrdenes[[#This Row],[costo_servicio]]+tblOrdenes[[#This Row],[costo_materiales]])</f>
        <v/>
      </c>
      <c r="AL816" s="6" t="n"/>
      <c r="AM816" s="6" t="n"/>
      <c r="AN816" s="6" t="n"/>
      <c r="AO816" s="3">
        <f>IF(tblOrdenes[[#This Row],[link_checklist]]="","",HYPERLINK(p_ruta_base_checklists&amp;tblOrdenes[[#This Row],[link_checklist]],"abrir"))</f>
        <v/>
      </c>
      <c r="AP816" s="6" t="n"/>
      <c r="AQ816" s="3">
        <f>IF(tblOrdenes[[#This Row],[orden]]="","",tblOrdenes[[#This Row],[orden]]&amp;IF(tblOrdenes[[#This Row],[operacion]]="","0010",tblOrdenes[[#This Row],[operacion]]))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2" t="n"/>
      <c r="K817" s="3" t="n"/>
      <c r="L817" s="11" t="n"/>
      <c r="M8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7" s="3">
        <f>IF(tblOrdenes[[#This Row],[fecha_inicio]]="","",YEAR(tblOrdenes[[#This Row],[fecha_inicio]]))</f>
        <v/>
      </c>
      <c r="Q817" s="3">
        <f>IF(tblOrdenes[[#This Row],[fecha_inicio]]="","",MONTH(tblOrdenes[[#This Row],[fecha_inicio]]))</f>
        <v/>
      </c>
      <c r="R817" s="3">
        <f>IF(tblOrdenes[[#This Row],[fecha_inicio]]="","",INDEX(lista_dias,WEEKDAY(tblOrdenes[[#This Row],[fecha_inicio]],2)))</f>
        <v/>
      </c>
      <c r="S8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7" s="3">
        <f>IF(tblOrdenes[[#This Row],[tipo_ot]]="","",_xlfn.XLOOKUP(tblOrdenes[[#This Row],[tipo_ot]],tblTiposOT[codigo],tblTiposOT[clasificacion],"sin_clasificar"))</f>
        <v/>
      </c>
      <c r="U817" s="3">
        <f>IF(tblOrdenes[[#This Row],[centro_costo]]="","",_xlfn.XLOOKUP(tblOrdenes[[#This Row],[centro_costo]],tblCECO[codigo],tblCECO[linea],"(sin catálogo)"))</f>
        <v/>
      </c>
      <c r="V817" s="3">
        <f>IF(tblOrdenes[[#This Row],[centro_costo]]="","",_xlfn.XLOOKUP(tblOrdenes[[#This Row],[centro_costo]],tblCECO[codigo],tblCECO[area],"(sin catálogo)"))</f>
        <v/>
      </c>
      <c r="W8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7" s="3">
        <f>IF(tblOrdenes[[#This Row],[centro_costo]]="","",_xlfn.XLOOKUP(tblOrdenes[[#This Row],[centro_costo]],tblCECO[codigo],tblCECO[coordinador],"(sin catálogo)"))</f>
        <v/>
      </c>
      <c r="Y817" s="3">
        <f>IF(tblOrdenes[[#This Row],[puesto_trabajo]]="","",_xlfn.XLOOKUP(tblOrdenes[[#This Row],[puesto_trabajo]],tblPuestos[codigo],tblPuestos[especialidad],"(sin catálogo)"))</f>
        <v/>
      </c>
      <c r="Z817" s="3">
        <f>IF(tblOrdenes[[#This Row],[cod_actividad]]="","",_xlfn.XLOOKUP(tblOrdenes[[#This Row],[cod_actividad]],tblActividades[codigo],tblActividades[descripcion],"(sin catálogo)"))</f>
        <v/>
      </c>
      <c r="AA817" s="13">
        <f>IF(tblOrdenes[[#This Row],[fecha_inicio]]="","",TODAY()-tblOrdenes[[#This Row],[fecha_inicio]])</f>
        <v/>
      </c>
      <c r="AB8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7" s="3">
        <f>IF(tblOrdenes[[#This Row],[backlog_habiles]]="","",IF(tblOrdenes[[#This Row],[backlog_habiles]]&lt;0,"FUTURO",IF(tblOrdenes[[#This Row],[backlog_habiles]]&gt;p_dias_backlog_max,"BACKLOG","MES CORRIENTE")))</f>
        <v/>
      </c>
      <c r="AD817" s="3">
        <f>IF(tblOrdenes[[#This Row],[backlog_habiles]]="",FALSE,AND(tblOrdenes[[#This Row],[backlog_habiles]]&gt;p_dias_backlog_min,tblOrdenes[[#This Row],[backlog_habiles]]&lt;=p_dias_backlog_max))</f>
        <v/>
      </c>
      <c r="AE817" s="6" t="n"/>
      <c r="AF8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7" s="11">
        <f>IF(tblOrdenes[[#This Row],[orden]]="","",_xlfn.XLOOKUP(tblOrdenes[[#This Row],[id_operacion]],tblEjecucion[id_operacion],tblEjecucion[precio],0))</f>
        <v/>
      </c>
      <c r="AJ817" s="11">
        <f>IF(tblOrdenes[[#This Row],[orden]]="","",MAX(0,_xlfn.XLOOKUP(tblOrdenes[[#This Row],[id_operacion]],tblEjecucion[id_operacion],tblEjecucion[costo_plan_total],0)-tblOrdenes[[#This Row],[costo_servicio]]))</f>
        <v/>
      </c>
      <c r="AK817" s="11">
        <f>IF(tblOrdenes[[#This Row],[orden]]="","",tblOrdenes[[#This Row],[costo_servicio]]+tblOrdenes[[#This Row],[costo_materiales]])</f>
        <v/>
      </c>
      <c r="AL817" s="6" t="n"/>
      <c r="AM817" s="6" t="n"/>
      <c r="AN817" s="6" t="n"/>
      <c r="AO817" s="3">
        <f>IF(tblOrdenes[[#This Row],[link_checklist]]="","",HYPERLINK(p_ruta_base_checklists&amp;tblOrdenes[[#This Row],[link_checklist]],"abrir"))</f>
        <v/>
      </c>
      <c r="AP817" s="6" t="n"/>
      <c r="AQ817" s="3">
        <f>IF(tblOrdenes[[#This Row],[orden]]="","",tblOrdenes[[#This Row],[orden]]&amp;IF(tblOrdenes[[#This Row],[operacion]]="","0010",tblOrdenes[[#This Row],[operacion]]))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2" t="n"/>
      <c r="K818" s="3" t="n"/>
      <c r="L818" s="11" t="n"/>
      <c r="M8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8" s="3">
        <f>IF(tblOrdenes[[#This Row],[fecha_inicio]]="","",YEAR(tblOrdenes[[#This Row],[fecha_inicio]]))</f>
        <v/>
      </c>
      <c r="Q818" s="3">
        <f>IF(tblOrdenes[[#This Row],[fecha_inicio]]="","",MONTH(tblOrdenes[[#This Row],[fecha_inicio]]))</f>
        <v/>
      </c>
      <c r="R818" s="3">
        <f>IF(tblOrdenes[[#This Row],[fecha_inicio]]="","",INDEX(lista_dias,WEEKDAY(tblOrdenes[[#This Row],[fecha_inicio]],2)))</f>
        <v/>
      </c>
      <c r="S8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8" s="3">
        <f>IF(tblOrdenes[[#This Row],[tipo_ot]]="","",_xlfn.XLOOKUP(tblOrdenes[[#This Row],[tipo_ot]],tblTiposOT[codigo],tblTiposOT[clasificacion],"sin_clasificar"))</f>
        <v/>
      </c>
      <c r="U818" s="3">
        <f>IF(tblOrdenes[[#This Row],[centro_costo]]="","",_xlfn.XLOOKUP(tblOrdenes[[#This Row],[centro_costo]],tblCECO[codigo],tblCECO[linea],"(sin catálogo)"))</f>
        <v/>
      </c>
      <c r="V818" s="3">
        <f>IF(tblOrdenes[[#This Row],[centro_costo]]="","",_xlfn.XLOOKUP(tblOrdenes[[#This Row],[centro_costo]],tblCECO[codigo],tblCECO[area],"(sin catálogo)"))</f>
        <v/>
      </c>
      <c r="W8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8" s="3">
        <f>IF(tblOrdenes[[#This Row],[centro_costo]]="","",_xlfn.XLOOKUP(tblOrdenes[[#This Row],[centro_costo]],tblCECO[codigo],tblCECO[coordinador],"(sin catálogo)"))</f>
        <v/>
      </c>
      <c r="Y818" s="3">
        <f>IF(tblOrdenes[[#This Row],[puesto_trabajo]]="","",_xlfn.XLOOKUP(tblOrdenes[[#This Row],[puesto_trabajo]],tblPuestos[codigo],tblPuestos[especialidad],"(sin catálogo)"))</f>
        <v/>
      </c>
      <c r="Z818" s="3">
        <f>IF(tblOrdenes[[#This Row],[cod_actividad]]="","",_xlfn.XLOOKUP(tblOrdenes[[#This Row],[cod_actividad]],tblActividades[codigo],tblActividades[descripcion],"(sin catálogo)"))</f>
        <v/>
      </c>
      <c r="AA818" s="13">
        <f>IF(tblOrdenes[[#This Row],[fecha_inicio]]="","",TODAY()-tblOrdenes[[#This Row],[fecha_inicio]])</f>
        <v/>
      </c>
      <c r="AB8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8" s="3">
        <f>IF(tblOrdenes[[#This Row],[backlog_habiles]]="","",IF(tblOrdenes[[#This Row],[backlog_habiles]]&lt;0,"FUTURO",IF(tblOrdenes[[#This Row],[backlog_habiles]]&gt;p_dias_backlog_max,"BACKLOG","MES CORRIENTE")))</f>
        <v/>
      </c>
      <c r="AD818" s="3">
        <f>IF(tblOrdenes[[#This Row],[backlog_habiles]]="",FALSE,AND(tblOrdenes[[#This Row],[backlog_habiles]]&gt;p_dias_backlog_min,tblOrdenes[[#This Row],[backlog_habiles]]&lt;=p_dias_backlog_max))</f>
        <v/>
      </c>
      <c r="AE818" s="6" t="n"/>
      <c r="AF8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8" s="11">
        <f>IF(tblOrdenes[[#This Row],[orden]]="","",_xlfn.XLOOKUP(tblOrdenes[[#This Row],[id_operacion]],tblEjecucion[id_operacion],tblEjecucion[precio],0))</f>
        <v/>
      </c>
      <c r="AJ818" s="11">
        <f>IF(tblOrdenes[[#This Row],[orden]]="","",MAX(0,_xlfn.XLOOKUP(tblOrdenes[[#This Row],[id_operacion]],tblEjecucion[id_operacion],tblEjecucion[costo_plan_total],0)-tblOrdenes[[#This Row],[costo_servicio]]))</f>
        <v/>
      </c>
      <c r="AK818" s="11">
        <f>IF(tblOrdenes[[#This Row],[orden]]="","",tblOrdenes[[#This Row],[costo_servicio]]+tblOrdenes[[#This Row],[costo_materiales]])</f>
        <v/>
      </c>
      <c r="AL818" s="6" t="n"/>
      <c r="AM818" s="6" t="n"/>
      <c r="AN818" s="6" t="n"/>
      <c r="AO818" s="3">
        <f>IF(tblOrdenes[[#This Row],[link_checklist]]="","",HYPERLINK(p_ruta_base_checklists&amp;tblOrdenes[[#This Row],[link_checklist]],"abrir"))</f>
        <v/>
      </c>
      <c r="AP818" s="6" t="n"/>
      <c r="AQ818" s="3">
        <f>IF(tblOrdenes[[#This Row],[orden]]="","",tblOrdenes[[#This Row],[orden]]&amp;IF(tblOrdenes[[#This Row],[operacion]]="","0010",tblOrdenes[[#This Row],[operacion]]))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2" t="n"/>
      <c r="K819" s="3" t="n"/>
      <c r="L819" s="11" t="n"/>
      <c r="M8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9" s="3">
        <f>IF(tblOrdenes[[#This Row],[fecha_inicio]]="","",YEAR(tblOrdenes[[#This Row],[fecha_inicio]]))</f>
        <v/>
      </c>
      <c r="Q819" s="3">
        <f>IF(tblOrdenes[[#This Row],[fecha_inicio]]="","",MONTH(tblOrdenes[[#This Row],[fecha_inicio]]))</f>
        <v/>
      </c>
      <c r="R819" s="3">
        <f>IF(tblOrdenes[[#This Row],[fecha_inicio]]="","",INDEX(lista_dias,WEEKDAY(tblOrdenes[[#This Row],[fecha_inicio]],2)))</f>
        <v/>
      </c>
      <c r="S8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9" s="3">
        <f>IF(tblOrdenes[[#This Row],[tipo_ot]]="","",_xlfn.XLOOKUP(tblOrdenes[[#This Row],[tipo_ot]],tblTiposOT[codigo],tblTiposOT[clasificacion],"sin_clasificar"))</f>
        <v/>
      </c>
      <c r="U819" s="3">
        <f>IF(tblOrdenes[[#This Row],[centro_costo]]="","",_xlfn.XLOOKUP(tblOrdenes[[#This Row],[centro_costo]],tblCECO[codigo],tblCECO[linea],"(sin catálogo)"))</f>
        <v/>
      </c>
      <c r="V819" s="3">
        <f>IF(tblOrdenes[[#This Row],[centro_costo]]="","",_xlfn.XLOOKUP(tblOrdenes[[#This Row],[centro_costo]],tblCECO[codigo],tblCECO[area],"(sin catálogo)"))</f>
        <v/>
      </c>
      <c r="W8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9" s="3">
        <f>IF(tblOrdenes[[#This Row],[centro_costo]]="","",_xlfn.XLOOKUP(tblOrdenes[[#This Row],[centro_costo]],tblCECO[codigo],tblCECO[coordinador],"(sin catálogo)"))</f>
        <v/>
      </c>
      <c r="Y819" s="3">
        <f>IF(tblOrdenes[[#This Row],[puesto_trabajo]]="","",_xlfn.XLOOKUP(tblOrdenes[[#This Row],[puesto_trabajo]],tblPuestos[codigo],tblPuestos[especialidad],"(sin catálogo)"))</f>
        <v/>
      </c>
      <c r="Z819" s="3">
        <f>IF(tblOrdenes[[#This Row],[cod_actividad]]="","",_xlfn.XLOOKUP(tblOrdenes[[#This Row],[cod_actividad]],tblActividades[codigo],tblActividades[descripcion],"(sin catálogo)"))</f>
        <v/>
      </c>
      <c r="AA819" s="13">
        <f>IF(tblOrdenes[[#This Row],[fecha_inicio]]="","",TODAY()-tblOrdenes[[#This Row],[fecha_inicio]])</f>
        <v/>
      </c>
      <c r="AB8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9" s="3">
        <f>IF(tblOrdenes[[#This Row],[backlog_habiles]]="","",IF(tblOrdenes[[#This Row],[backlog_habiles]]&lt;0,"FUTURO",IF(tblOrdenes[[#This Row],[backlog_habiles]]&gt;p_dias_backlog_max,"BACKLOG","MES CORRIENTE")))</f>
        <v/>
      </c>
      <c r="AD819" s="3">
        <f>IF(tblOrdenes[[#This Row],[backlog_habiles]]="",FALSE,AND(tblOrdenes[[#This Row],[backlog_habiles]]&gt;p_dias_backlog_min,tblOrdenes[[#This Row],[backlog_habiles]]&lt;=p_dias_backlog_max))</f>
        <v/>
      </c>
      <c r="AE819" s="6" t="n"/>
      <c r="AF8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9" s="11">
        <f>IF(tblOrdenes[[#This Row],[orden]]="","",_xlfn.XLOOKUP(tblOrdenes[[#This Row],[id_operacion]],tblEjecucion[id_operacion],tblEjecucion[precio],0))</f>
        <v/>
      </c>
      <c r="AJ819" s="11">
        <f>IF(tblOrdenes[[#This Row],[orden]]="","",MAX(0,_xlfn.XLOOKUP(tblOrdenes[[#This Row],[id_operacion]],tblEjecucion[id_operacion],tblEjecucion[costo_plan_total],0)-tblOrdenes[[#This Row],[costo_servicio]]))</f>
        <v/>
      </c>
      <c r="AK819" s="11">
        <f>IF(tblOrdenes[[#This Row],[orden]]="","",tblOrdenes[[#This Row],[costo_servicio]]+tblOrdenes[[#This Row],[costo_materiales]])</f>
        <v/>
      </c>
      <c r="AL819" s="6" t="n"/>
      <c r="AM819" s="6" t="n"/>
      <c r="AN819" s="6" t="n"/>
      <c r="AO819" s="3">
        <f>IF(tblOrdenes[[#This Row],[link_checklist]]="","",HYPERLINK(p_ruta_base_checklists&amp;tblOrdenes[[#This Row],[link_checklist]],"abrir"))</f>
        <v/>
      </c>
      <c r="AP819" s="6" t="n"/>
      <c r="AQ819" s="3">
        <f>IF(tblOrdenes[[#This Row],[orden]]="","",tblOrdenes[[#This Row],[orden]]&amp;IF(tblOrdenes[[#This Row],[operacion]]="","0010",tblOrdenes[[#This Row],[operacion]]))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2" t="n"/>
      <c r="K820" s="3" t="n"/>
      <c r="L820" s="11" t="n"/>
      <c r="M8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0" s="3">
        <f>IF(tblOrdenes[[#This Row],[fecha_inicio]]="","",YEAR(tblOrdenes[[#This Row],[fecha_inicio]]))</f>
        <v/>
      </c>
      <c r="Q820" s="3">
        <f>IF(tblOrdenes[[#This Row],[fecha_inicio]]="","",MONTH(tblOrdenes[[#This Row],[fecha_inicio]]))</f>
        <v/>
      </c>
      <c r="R820" s="3">
        <f>IF(tblOrdenes[[#This Row],[fecha_inicio]]="","",INDEX(lista_dias,WEEKDAY(tblOrdenes[[#This Row],[fecha_inicio]],2)))</f>
        <v/>
      </c>
      <c r="S8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0" s="3">
        <f>IF(tblOrdenes[[#This Row],[tipo_ot]]="","",_xlfn.XLOOKUP(tblOrdenes[[#This Row],[tipo_ot]],tblTiposOT[codigo],tblTiposOT[clasificacion],"sin_clasificar"))</f>
        <v/>
      </c>
      <c r="U820" s="3">
        <f>IF(tblOrdenes[[#This Row],[centro_costo]]="","",_xlfn.XLOOKUP(tblOrdenes[[#This Row],[centro_costo]],tblCECO[codigo],tblCECO[linea],"(sin catálogo)"))</f>
        <v/>
      </c>
      <c r="V820" s="3">
        <f>IF(tblOrdenes[[#This Row],[centro_costo]]="","",_xlfn.XLOOKUP(tblOrdenes[[#This Row],[centro_costo]],tblCECO[codigo],tblCECO[area],"(sin catálogo)"))</f>
        <v/>
      </c>
      <c r="W8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0" s="3">
        <f>IF(tblOrdenes[[#This Row],[centro_costo]]="","",_xlfn.XLOOKUP(tblOrdenes[[#This Row],[centro_costo]],tblCECO[codigo],tblCECO[coordinador],"(sin catálogo)"))</f>
        <v/>
      </c>
      <c r="Y820" s="3">
        <f>IF(tblOrdenes[[#This Row],[puesto_trabajo]]="","",_xlfn.XLOOKUP(tblOrdenes[[#This Row],[puesto_trabajo]],tblPuestos[codigo],tblPuestos[especialidad],"(sin catálogo)"))</f>
        <v/>
      </c>
      <c r="Z820" s="3">
        <f>IF(tblOrdenes[[#This Row],[cod_actividad]]="","",_xlfn.XLOOKUP(tblOrdenes[[#This Row],[cod_actividad]],tblActividades[codigo],tblActividades[descripcion],"(sin catálogo)"))</f>
        <v/>
      </c>
      <c r="AA820" s="13">
        <f>IF(tblOrdenes[[#This Row],[fecha_inicio]]="","",TODAY()-tblOrdenes[[#This Row],[fecha_inicio]])</f>
        <v/>
      </c>
      <c r="AB8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0" s="3">
        <f>IF(tblOrdenes[[#This Row],[backlog_habiles]]="","",IF(tblOrdenes[[#This Row],[backlog_habiles]]&lt;0,"FUTURO",IF(tblOrdenes[[#This Row],[backlog_habiles]]&gt;p_dias_backlog_max,"BACKLOG","MES CORRIENTE")))</f>
        <v/>
      </c>
      <c r="AD820" s="3">
        <f>IF(tblOrdenes[[#This Row],[backlog_habiles]]="",FALSE,AND(tblOrdenes[[#This Row],[backlog_habiles]]&gt;p_dias_backlog_min,tblOrdenes[[#This Row],[backlog_habiles]]&lt;=p_dias_backlog_max))</f>
        <v/>
      </c>
      <c r="AE820" s="6" t="n"/>
      <c r="AF8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0" s="11">
        <f>IF(tblOrdenes[[#This Row],[orden]]="","",_xlfn.XLOOKUP(tblOrdenes[[#This Row],[id_operacion]],tblEjecucion[id_operacion],tblEjecucion[precio],0))</f>
        <v/>
      </c>
      <c r="AJ820" s="11">
        <f>IF(tblOrdenes[[#This Row],[orden]]="","",MAX(0,_xlfn.XLOOKUP(tblOrdenes[[#This Row],[id_operacion]],tblEjecucion[id_operacion],tblEjecucion[costo_plan_total],0)-tblOrdenes[[#This Row],[costo_servicio]]))</f>
        <v/>
      </c>
      <c r="AK820" s="11">
        <f>IF(tblOrdenes[[#This Row],[orden]]="","",tblOrdenes[[#This Row],[costo_servicio]]+tblOrdenes[[#This Row],[costo_materiales]])</f>
        <v/>
      </c>
      <c r="AL820" s="6" t="n"/>
      <c r="AM820" s="6" t="n"/>
      <c r="AN820" s="6" t="n"/>
      <c r="AO820" s="3">
        <f>IF(tblOrdenes[[#This Row],[link_checklist]]="","",HYPERLINK(p_ruta_base_checklists&amp;tblOrdenes[[#This Row],[link_checklist]],"abrir"))</f>
        <v/>
      </c>
      <c r="AP820" s="6" t="n"/>
      <c r="AQ820" s="3">
        <f>IF(tblOrdenes[[#This Row],[orden]]="","",tblOrdenes[[#This Row],[orden]]&amp;IF(tblOrdenes[[#This Row],[operacion]]="","0010",tblOrdenes[[#This Row],[operacion]]))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2" t="n"/>
      <c r="K821" s="3" t="n"/>
      <c r="L821" s="11" t="n"/>
      <c r="M8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1" s="3">
        <f>IF(tblOrdenes[[#This Row],[fecha_inicio]]="","",YEAR(tblOrdenes[[#This Row],[fecha_inicio]]))</f>
        <v/>
      </c>
      <c r="Q821" s="3">
        <f>IF(tblOrdenes[[#This Row],[fecha_inicio]]="","",MONTH(tblOrdenes[[#This Row],[fecha_inicio]]))</f>
        <v/>
      </c>
      <c r="R821" s="3">
        <f>IF(tblOrdenes[[#This Row],[fecha_inicio]]="","",INDEX(lista_dias,WEEKDAY(tblOrdenes[[#This Row],[fecha_inicio]],2)))</f>
        <v/>
      </c>
      <c r="S8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1" s="3">
        <f>IF(tblOrdenes[[#This Row],[tipo_ot]]="","",_xlfn.XLOOKUP(tblOrdenes[[#This Row],[tipo_ot]],tblTiposOT[codigo],tblTiposOT[clasificacion],"sin_clasificar"))</f>
        <v/>
      </c>
      <c r="U821" s="3">
        <f>IF(tblOrdenes[[#This Row],[centro_costo]]="","",_xlfn.XLOOKUP(tblOrdenes[[#This Row],[centro_costo]],tblCECO[codigo],tblCECO[linea],"(sin catálogo)"))</f>
        <v/>
      </c>
      <c r="V821" s="3">
        <f>IF(tblOrdenes[[#This Row],[centro_costo]]="","",_xlfn.XLOOKUP(tblOrdenes[[#This Row],[centro_costo]],tblCECO[codigo],tblCECO[area],"(sin catálogo)"))</f>
        <v/>
      </c>
      <c r="W8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1" s="3">
        <f>IF(tblOrdenes[[#This Row],[centro_costo]]="","",_xlfn.XLOOKUP(tblOrdenes[[#This Row],[centro_costo]],tblCECO[codigo],tblCECO[coordinador],"(sin catálogo)"))</f>
        <v/>
      </c>
      <c r="Y821" s="3">
        <f>IF(tblOrdenes[[#This Row],[puesto_trabajo]]="","",_xlfn.XLOOKUP(tblOrdenes[[#This Row],[puesto_trabajo]],tblPuestos[codigo],tblPuestos[especialidad],"(sin catálogo)"))</f>
        <v/>
      </c>
      <c r="Z821" s="3">
        <f>IF(tblOrdenes[[#This Row],[cod_actividad]]="","",_xlfn.XLOOKUP(tblOrdenes[[#This Row],[cod_actividad]],tblActividades[codigo],tblActividades[descripcion],"(sin catálogo)"))</f>
        <v/>
      </c>
      <c r="AA821" s="13">
        <f>IF(tblOrdenes[[#This Row],[fecha_inicio]]="","",TODAY()-tblOrdenes[[#This Row],[fecha_inicio]])</f>
        <v/>
      </c>
      <c r="AB8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1" s="3">
        <f>IF(tblOrdenes[[#This Row],[backlog_habiles]]="","",IF(tblOrdenes[[#This Row],[backlog_habiles]]&lt;0,"FUTURO",IF(tblOrdenes[[#This Row],[backlog_habiles]]&gt;p_dias_backlog_max,"BACKLOG","MES CORRIENTE")))</f>
        <v/>
      </c>
      <c r="AD821" s="3">
        <f>IF(tblOrdenes[[#This Row],[backlog_habiles]]="",FALSE,AND(tblOrdenes[[#This Row],[backlog_habiles]]&gt;p_dias_backlog_min,tblOrdenes[[#This Row],[backlog_habiles]]&lt;=p_dias_backlog_max))</f>
        <v/>
      </c>
      <c r="AE821" s="6" t="n"/>
      <c r="AF8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1" s="11">
        <f>IF(tblOrdenes[[#This Row],[orden]]="","",_xlfn.XLOOKUP(tblOrdenes[[#This Row],[id_operacion]],tblEjecucion[id_operacion],tblEjecucion[precio],0))</f>
        <v/>
      </c>
      <c r="AJ821" s="11">
        <f>IF(tblOrdenes[[#This Row],[orden]]="","",MAX(0,_xlfn.XLOOKUP(tblOrdenes[[#This Row],[id_operacion]],tblEjecucion[id_operacion],tblEjecucion[costo_plan_total],0)-tblOrdenes[[#This Row],[costo_servicio]]))</f>
        <v/>
      </c>
      <c r="AK821" s="11">
        <f>IF(tblOrdenes[[#This Row],[orden]]="","",tblOrdenes[[#This Row],[costo_servicio]]+tblOrdenes[[#This Row],[costo_materiales]])</f>
        <v/>
      </c>
      <c r="AL821" s="6" t="n"/>
      <c r="AM821" s="6" t="n"/>
      <c r="AN821" s="6" t="n"/>
      <c r="AO821" s="3">
        <f>IF(tblOrdenes[[#This Row],[link_checklist]]="","",HYPERLINK(p_ruta_base_checklists&amp;tblOrdenes[[#This Row],[link_checklist]],"abrir"))</f>
        <v/>
      </c>
      <c r="AP821" s="6" t="n"/>
      <c r="AQ821" s="3">
        <f>IF(tblOrdenes[[#This Row],[orden]]="","",tblOrdenes[[#This Row],[orden]]&amp;IF(tblOrdenes[[#This Row],[operacion]]="","0010",tblOrdenes[[#This Row],[operacion]]))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2" t="n"/>
      <c r="K822" s="3" t="n"/>
      <c r="L822" s="11" t="n"/>
      <c r="M8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2" s="3">
        <f>IF(tblOrdenes[[#This Row],[fecha_inicio]]="","",YEAR(tblOrdenes[[#This Row],[fecha_inicio]]))</f>
        <v/>
      </c>
      <c r="Q822" s="3">
        <f>IF(tblOrdenes[[#This Row],[fecha_inicio]]="","",MONTH(tblOrdenes[[#This Row],[fecha_inicio]]))</f>
        <v/>
      </c>
      <c r="R822" s="3">
        <f>IF(tblOrdenes[[#This Row],[fecha_inicio]]="","",INDEX(lista_dias,WEEKDAY(tblOrdenes[[#This Row],[fecha_inicio]],2)))</f>
        <v/>
      </c>
      <c r="S8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2" s="3">
        <f>IF(tblOrdenes[[#This Row],[tipo_ot]]="","",_xlfn.XLOOKUP(tblOrdenes[[#This Row],[tipo_ot]],tblTiposOT[codigo],tblTiposOT[clasificacion],"sin_clasificar"))</f>
        <v/>
      </c>
      <c r="U822" s="3">
        <f>IF(tblOrdenes[[#This Row],[centro_costo]]="","",_xlfn.XLOOKUP(tblOrdenes[[#This Row],[centro_costo]],tblCECO[codigo],tblCECO[linea],"(sin catálogo)"))</f>
        <v/>
      </c>
      <c r="V822" s="3">
        <f>IF(tblOrdenes[[#This Row],[centro_costo]]="","",_xlfn.XLOOKUP(tblOrdenes[[#This Row],[centro_costo]],tblCECO[codigo],tblCECO[area],"(sin catálogo)"))</f>
        <v/>
      </c>
      <c r="W8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2" s="3">
        <f>IF(tblOrdenes[[#This Row],[centro_costo]]="","",_xlfn.XLOOKUP(tblOrdenes[[#This Row],[centro_costo]],tblCECO[codigo],tblCECO[coordinador],"(sin catálogo)"))</f>
        <v/>
      </c>
      <c r="Y822" s="3">
        <f>IF(tblOrdenes[[#This Row],[puesto_trabajo]]="","",_xlfn.XLOOKUP(tblOrdenes[[#This Row],[puesto_trabajo]],tblPuestos[codigo],tblPuestos[especialidad],"(sin catálogo)"))</f>
        <v/>
      </c>
      <c r="Z822" s="3">
        <f>IF(tblOrdenes[[#This Row],[cod_actividad]]="","",_xlfn.XLOOKUP(tblOrdenes[[#This Row],[cod_actividad]],tblActividades[codigo],tblActividades[descripcion],"(sin catálogo)"))</f>
        <v/>
      </c>
      <c r="AA822" s="13">
        <f>IF(tblOrdenes[[#This Row],[fecha_inicio]]="","",TODAY()-tblOrdenes[[#This Row],[fecha_inicio]])</f>
        <v/>
      </c>
      <c r="AB8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2" s="3">
        <f>IF(tblOrdenes[[#This Row],[backlog_habiles]]="","",IF(tblOrdenes[[#This Row],[backlog_habiles]]&lt;0,"FUTURO",IF(tblOrdenes[[#This Row],[backlog_habiles]]&gt;p_dias_backlog_max,"BACKLOG","MES CORRIENTE")))</f>
        <v/>
      </c>
      <c r="AD822" s="3">
        <f>IF(tblOrdenes[[#This Row],[backlog_habiles]]="",FALSE,AND(tblOrdenes[[#This Row],[backlog_habiles]]&gt;p_dias_backlog_min,tblOrdenes[[#This Row],[backlog_habiles]]&lt;=p_dias_backlog_max))</f>
        <v/>
      </c>
      <c r="AE822" s="6" t="n"/>
      <c r="AF8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2" s="11">
        <f>IF(tblOrdenes[[#This Row],[orden]]="","",_xlfn.XLOOKUP(tblOrdenes[[#This Row],[id_operacion]],tblEjecucion[id_operacion],tblEjecucion[precio],0))</f>
        <v/>
      </c>
      <c r="AJ822" s="11">
        <f>IF(tblOrdenes[[#This Row],[orden]]="","",MAX(0,_xlfn.XLOOKUP(tblOrdenes[[#This Row],[id_operacion]],tblEjecucion[id_operacion],tblEjecucion[costo_plan_total],0)-tblOrdenes[[#This Row],[costo_servicio]]))</f>
        <v/>
      </c>
      <c r="AK822" s="11">
        <f>IF(tblOrdenes[[#This Row],[orden]]="","",tblOrdenes[[#This Row],[costo_servicio]]+tblOrdenes[[#This Row],[costo_materiales]])</f>
        <v/>
      </c>
      <c r="AL822" s="6" t="n"/>
      <c r="AM822" s="6" t="n"/>
      <c r="AN822" s="6" t="n"/>
      <c r="AO822" s="3">
        <f>IF(tblOrdenes[[#This Row],[link_checklist]]="","",HYPERLINK(p_ruta_base_checklists&amp;tblOrdenes[[#This Row],[link_checklist]],"abrir"))</f>
        <v/>
      </c>
      <c r="AP822" s="6" t="n"/>
      <c r="AQ822" s="3">
        <f>IF(tblOrdenes[[#This Row],[orden]]="","",tblOrdenes[[#This Row],[orden]]&amp;IF(tblOrdenes[[#This Row],[operacion]]="","0010",tblOrdenes[[#This Row],[operacion]]))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2" t="n"/>
      <c r="K823" s="3" t="n"/>
      <c r="L823" s="11" t="n"/>
      <c r="M8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3" s="3">
        <f>IF(tblOrdenes[[#This Row],[fecha_inicio]]="","",YEAR(tblOrdenes[[#This Row],[fecha_inicio]]))</f>
        <v/>
      </c>
      <c r="Q823" s="3">
        <f>IF(tblOrdenes[[#This Row],[fecha_inicio]]="","",MONTH(tblOrdenes[[#This Row],[fecha_inicio]]))</f>
        <v/>
      </c>
      <c r="R823" s="3">
        <f>IF(tblOrdenes[[#This Row],[fecha_inicio]]="","",INDEX(lista_dias,WEEKDAY(tblOrdenes[[#This Row],[fecha_inicio]],2)))</f>
        <v/>
      </c>
      <c r="S8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3" s="3">
        <f>IF(tblOrdenes[[#This Row],[tipo_ot]]="","",_xlfn.XLOOKUP(tblOrdenes[[#This Row],[tipo_ot]],tblTiposOT[codigo],tblTiposOT[clasificacion],"sin_clasificar"))</f>
        <v/>
      </c>
      <c r="U823" s="3">
        <f>IF(tblOrdenes[[#This Row],[centro_costo]]="","",_xlfn.XLOOKUP(tblOrdenes[[#This Row],[centro_costo]],tblCECO[codigo],tblCECO[linea],"(sin catálogo)"))</f>
        <v/>
      </c>
      <c r="V823" s="3">
        <f>IF(tblOrdenes[[#This Row],[centro_costo]]="","",_xlfn.XLOOKUP(tblOrdenes[[#This Row],[centro_costo]],tblCECO[codigo],tblCECO[area],"(sin catálogo)"))</f>
        <v/>
      </c>
      <c r="W8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3" s="3">
        <f>IF(tblOrdenes[[#This Row],[centro_costo]]="","",_xlfn.XLOOKUP(tblOrdenes[[#This Row],[centro_costo]],tblCECO[codigo],tblCECO[coordinador],"(sin catálogo)"))</f>
        <v/>
      </c>
      <c r="Y823" s="3">
        <f>IF(tblOrdenes[[#This Row],[puesto_trabajo]]="","",_xlfn.XLOOKUP(tblOrdenes[[#This Row],[puesto_trabajo]],tblPuestos[codigo],tblPuestos[especialidad],"(sin catálogo)"))</f>
        <v/>
      </c>
      <c r="Z823" s="3">
        <f>IF(tblOrdenes[[#This Row],[cod_actividad]]="","",_xlfn.XLOOKUP(tblOrdenes[[#This Row],[cod_actividad]],tblActividades[codigo],tblActividades[descripcion],"(sin catálogo)"))</f>
        <v/>
      </c>
      <c r="AA823" s="13">
        <f>IF(tblOrdenes[[#This Row],[fecha_inicio]]="","",TODAY()-tblOrdenes[[#This Row],[fecha_inicio]])</f>
        <v/>
      </c>
      <c r="AB8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3" s="3">
        <f>IF(tblOrdenes[[#This Row],[backlog_habiles]]="","",IF(tblOrdenes[[#This Row],[backlog_habiles]]&lt;0,"FUTURO",IF(tblOrdenes[[#This Row],[backlog_habiles]]&gt;p_dias_backlog_max,"BACKLOG","MES CORRIENTE")))</f>
        <v/>
      </c>
      <c r="AD823" s="3">
        <f>IF(tblOrdenes[[#This Row],[backlog_habiles]]="",FALSE,AND(tblOrdenes[[#This Row],[backlog_habiles]]&gt;p_dias_backlog_min,tblOrdenes[[#This Row],[backlog_habiles]]&lt;=p_dias_backlog_max))</f>
        <v/>
      </c>
      <c r="AE823" s="6" t="n"/>
      <c r="AF8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3" s="11">
        <f>IF(tblOrdenes[[#This Row],[orden]]="","",_xlfn.XLOOKUP(tblOrdenes[[#This Row],[id_operacion]],tblEjecucion[id_operacion],tblEjecucion[precio],0))</f>
        <v/>
      </c>
      <c r="AJ823" s="11">
        <f>IF(tblOrdenes[[#This Row],[orden]]="","",MAX(0,_xlfn.XLOOKUP(tblOrdenes[[#This Row],[id_operacion]],tblEjecucion[id_operacion],tblEjecucion[costo_plan_total],0)-tblOrdenes[[#This Row],[costo_servicio]]))</f>
        <v/>
      </c>
      <c r="AK823" s="11">
        <f>IF(tblOrdenes[[#This Row],[orden]]="","",tblOrdenes[[#This Row],[costo_servicio]]+tblOrdenes[[#This Row],[costo_materiales]])</f>
        <v/>
      </c>
      <c r="AL823" s="6" t="n"/>
      <c r="AM823" s="6" t="n"/>
      <c r="AN823" s="6" t="n"/>
      <c r="AO823" s="3">
        <f>IF(tblOrdenes[[#This Row],[link_checklist]]="","",HYPERLINK(p_ruta_base_checklists&amp;tblOrdenes[[#This Row],[link_checklist]],"abrir"))</f>
        <v/>
      </c>
      <c r="AP823" s="6" t="n"/>
      <c r="AQ823" s="3">
        <f>IF(tblOrdenes[[#This Row],[orden]]="","",tblOrdenes[[#This Row],[orden]]&amp;IF(tblOrdenes[[#This Row],[operacion]]="","0010",tblOrdenes[[#This Row],[operacion]]))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2" t="n"/>
      <c r="K824" s="3" t="n"/>
      <c r="L824" s="11" t="n"/>
      <c r="M8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4" s="3">
        <f>IF(tblOrdenes[[#This Row],[fecha_inicio]]="","",YEAR(tblOrdenes[[#This Row],[fecha_inicio]]))</f>
        <v/>
      </c>
      <c r="Q824" s="3">
        <f>IF(tblOrdenes[[#This Row],[fecha_inicio]]="","",MONTH(tblOrdenes[[#This Row],[fecha_inicio]]))</f>
        <v/>
      </c>
      <c r="R824" s="3">
        <f>IF(tblOrdenes[[#This Row],[fecha_inicio]]="","",INDEX(lista_dias,WEEKDAY(tblOrdenes[[#This Row],[fecha_inicio]],2)))</f>
        <v/>
      </c>
      <c r="S8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4" s="3">
        <f>IF(tblOrdenes[[#This Row],[tipo_ot]]="","",_xlfn.XLOOKUP(tblOrdenes[[#This Row],[tipo_ot]],tblTiposOT[codigo],tblTiposOT[clasificacion],"sin_clasificar"))</f>
        <v/>
      </c>
      <c r="U824" s="3">
        <f>IF(tblOrdenes[[#This Row],[centro_costo]]="","",_xlfn.XLOOKUP(tblOrdenes[[#This Row],[centro_costo]],tblCECO[codigo],tblCECO[linea],"(sin catálogo)"))</f>
        <v/>
      </c>
      <c r="V824" s="3">
        <f>IF(tblOrdenes[[#This Row],[centro_costo]]="","",_xlfn.XLOOKUP(tblOrdenes[[#This Row],[centro_costo]],tblCECO[codigo],tblCECO[area],"(sin catálogo)"))</f>
        <v/>
      </c>
      <c r="W8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4" s="3">
        <f>IF(tblOrdenes[[#This Row],[centro_costo]]="","",_xlfn.XLOOKUP(tblOrdenes[[#This Row],[centro_costo]],tblCECO[codigo],tblCECO[coordinador],"(sin catálogo)"))</f>
        <v/>
      </c>
      <c r="Y824" s="3">
        <f>IF(tblOrdenes[[#This Row],[puesto_trabajo]]="","",_xlfn.XLOOKUP(tblOrdenes[[#This Row],[puesto_trabajo]],tblPuestos[codigo],tblPuestos[especialidad],"(sin catálogo)"))</f>
        <v/>
      </c>
      <c r="Z824" s="3">
        <f>IF(tblOrdenes[[#This Row],[cod_actividad]]="","",_xlfn.XLOOKUP(tblOrdenes[[#This Row],[cod_actividad]],tblActividades[codigo],tblActividades[descripcion],"(sin catálogo)"))</f>
        <v/>
      </c>
      <c r="AA824" s="13">
        <f>IF(tblOrdenes[[#This Row],[fecha_inicio]]="","",TODAY()-tblOrdenes[[#This Row],[fecha_inicio]])</f>
        <v/>
      </c>
      <c r="AB8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4" s="3">
        <f>IF(tblOrdenes[[#This Row],[backlog_habiles]]="","",IF(tblOrdenes[[#This Row],[backlog_habiles]]&lt;0,"FUTURO",IF(tblOrdenes[[#This Row],[backlog_habiles]]&gt;p_dias_backlog_max,"BACKLOG","MES CORRIENTE")))</f>
        <v/>
      </c>
      <c r="AD824" s="3">
        <f>IF(tblOrdenes[[#This Row],[backlog_habiles]]="",FALSE,AND(tblOrdenes[[#This Row],[backlog_habiles]]&gt;p_dias_backlog_min,tblOrdenes[[#This Row],[backlog_habiles]]&lt;=p_dias_backlog_max))</f>
        <v/>
      </c>
      <c r="AE824" s="6" t="n"/>
      <c r="AF8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4" s="11">
        <f>IF(tblOrdenes[[#This Row],[orden]]="","",_xlfn.XLOOKUP(tblOrdenes[[#This Row],[id_operacion]],tblEjecucion[id_operacion],tblEjecucion[precio],0))</f>
        <v/>
      </c>
      <c r="AJ824" s="11">
        <f>IF(tblOrdenes[[#This Row],[orden]]="","",MAX(0,_xlfn.XLOOKUP(tblOrdenes[[#This Row],[id_operacion]],tblEjecucion[id_operacion],tblEjecucion[costo_plan_total],0)-tblOrdenes[[#This Row],[costo_servicio]]))</f>
        <v/>
      </c>
      <c r="AK824" s="11">
        <f>IF(tblOrdenes[[#This Row],[orden]]="","",tblOrdenes[[#This Row],[costo_servicio]]+tblOrdenes[[#This Row],[costo_materiales]])</f>
        <v/>
      </c>
      <c r="AL824" s="6" t="n"/>
      <c r="AM824" s="6" t="n"/>
      <c r="AN824" s="6" t="n"/>
      <c r="AO824" s="3">
        <f>IF(tblOrdenes[[#This Row],[link_checklist]]="","",HYPERLINK(p_ruta_base_checklists&amp;tblOrdenes[[#This Row],[link_checklist]],"abrir"))</f>
        <v/>
      </c>
      <c r="AP824" s="6" t="n"/>
      <c r="AQ824" s="3">
        <f>IF(tblOrdenes[[#This Row],[orden]]="","",tblOrdenes[[#This Row],[orden]]&amp;IF(tblOrdenes[[#This Row],[operacion]]="","0010",tblOrdenes[[#This Row],[operacion]]))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2" t="n"/>
      <c r="K825" s="3" t="n"/>
      <c r="L825" s="11" t="n"/>
      <c r="M8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5" s="3">
        <f>IF(tblOrdenes[[#This Row],[fecha_inicio]]="","",YEAR(tblOrdenes[[#This Row],[fecha_inicio]]))</f>
        <v/>
      </c>
      <c r="Q825" s="3">
        <f>IF(tblOrdenes[[#This Row],[fecha_inicio]]="","",MONTH(tblOrdenes[[#This Row],[fecha_inicio]]))</f>
        <v/>
      </c>
      <c r="R825" s="3">
        <f>IF(tblOrdenes[[#This Row],[fecha_inicio]]="","",INDEX(lista_dias,WEEKDAY(tblOrdenes[[#This Row],[fecha_inicio]],2)))</f>
        <v/>
      </c>
      <c r="S8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5" s="3">
        <f>IF(tblOrdenes[[#This Row],[tipo_ot]]="","",_xlfn.XLOOKUP(tblOrdenes[[#This Row],[tipo_ot]],tblTiposOT[codigo],tblTiposOT[clasificacion],"sin_clasificar"))</f>
        <v/>
      </c>
      <c r="U825" s="3">
        <f>IF(tblOrdenes[[#This Row],[centro_costo]]="","",_xlfn.XLOOKUP(tblOrdenes[[#This Row],[centro_costo]],tblCECO[codigo],tblCECO[linea],"(sin catálogo)"))</f>
        <v/>
      </c>
      <c r="V825" s="3">
        <f>IF(tblOrdenes[[#This Row],[centro_costo]]="","",_xlfn.XLOOKUP(tblOrdenes[[#This Row],[centro_costo]],tblCECO[codigo],tblCECO[area],"(sin catálogo)"))</f>
        <v/>
      </c>
      <c r="W8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5" s="3">
        <f>IF(tblOrdenes[[#This Row],[centro_costo]]="","",_xlfn.XLOOKUP(tblOrdenes[[#This Row],[centro_costo]],tblCECO[codigo],tblCECO[coordinador],"(sin catálogo)"))</f>
        <v/>
      </c>
      <c r="Y825" s="3">
        <f>IF(tblOrdenes[[#This Row],[puesto_trabajo]]="","",_xlfn.XLOOKUP(tblOrdenes[[#This Row],[puesto_trabajo]],tblPuestos[codigo],tblPuestos[especialidad],"(sin catálogo)"))</f>
        <v/>
      </c>
      <c r="Z825" s="3">
        <f>IF(tblOrdenes[[#This Row],[cod_actividad]]="","",_xlfn.XLOOKUP(tblOrdenes[[#This Row],[cod_actividad]],tblActividades[codigo],tblActividades[descripcion],"(sin catálogo)"))</f>
        <v/>
      </c>
      <c r="AA825" s="13">
        <f>IF(tblOrdenes[[#This Row],[fecha_inicio]]="","",TODAY()-tblOrdenes[[#This Row],[fecha_inicio]])</f>
        <v/>
      </c>
      <c r="AB8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5" s="3">
        <f>IF(tblOrdenes[[#This Row],[backlog_habiles]]="","",IF(tblOrdenes[[#This Row],[backlog_habiles]]&lt;0,"FUTURO",IF(tblOrdenes[[#This Row],[backlog_habiles]]&gt;p_dias_backlog_max,"BACKLOG","MES CORRIENTE")))</f>
        <v/>
      </c>
      <c r="AD825" s="3">
        <f>IF(tblOrdenes[[#This Row],[backlog_habiles]]="",FALSE,AND(tblOrdenes[[#This Row],[backlog_habiles]]&gt;p_dias_backlog_min,tblOrdenes[[#This Row],[backlog_habiles]]&lt;=p_dias_backlog_max))</f>
        <v/>
      </c>
      <c r="AE825" s="6" t="n"/>
      <c r="AF8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5" s="11">
        <f>IF(tblOrdenes[[#This Row],[orden]]="","",_xlfn.XLOOKUP(tblOrdenes[[#This Row],[id_operacion]],tblEjecucion[id_operacion],tblEjecucion[precio],0))</f>
        <v/>
      </c>
      <c r="AJ825" s="11">
        <f>IF(tblOrdenes[[#This Row],[orden]]="","",MAX(0,_xlfn.XLOOKUP(tblOrdenes[[#This Row],[id_operacion]],tblEjecucion[id_operacion],tblEjecucion[costo_plan_total],0)-tblOrdenes[[#This Row],[costo_servicio]]))</f>
        <v/>
      </c>
      <c r="AK825" s="11">
        <f>IF(tblOrdenes[[#This Row],[orden]]="","",tblOrdenes[[#This Row],[costo_servicio]]+tblOrdenes[[#This Row],[costo_materiales]])</f>
        <v/>
      </c>
      <c r="AL825" s="6" t="n"/>
      <c r="AM825" s="6" t="n"/>
      <c r="AN825" s="6" t="n"/>
      <c r="AO825" s="3">
        <f>IF(tblOrdenes[[#This Row],[link_checklist]]="","",HYPERLINK(p_ruta_base_checklists&amp;tblOrdenes[[#This Row],[link_checklist]],"abrir"))</f>
        <v/>
      </c>
      <c r="AP825" s="6" t="n"/>
      <c r="AQ825" s="3">
        <f>IF(tblOrdenes[[#This Row],[orden]]="","",tblOrdenes[[#This Row],[orden]]&amp;IF(tblOrdenes[[#This Row],[operacion]]="","0010",tblOrdenes[[#This Row],[operacion]]))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2" t="n"/>
      <c r="K826" s="3" t="n"/>
      <c r="L826" s="11" t="n"/>
      <c r="M8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6" s="3">
        <f>IF(tblOrdenes[[#This Row],[fecha_inicio]]="","",YEAR(tblOrdenes[[#This Row],[fecha_inicio]]))</f>
        <v/>
      </c>
      <c r="Q826" s="3">
        <f>IF(tblOrdenes[[#This Row],[fecha_inicio]]="","",MONTH(tblOrdenes[[#This Row],[fecha_inicio]]))</f>
        <v/>
      </c>
      <c r="R826" s="3">
        <f>IF(tblOrdenes[[#This Row],[fecha_inicio]]="","",INDEX(lista_dias,WEEKDAY(tblOrdenes[[#This Row],[fecha_inicio]],2)))</f>
        <v/>
      </c>
      <c r="S8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6" s="3">
        <f>IF(tblOrdenes[[#This Row],[tipo_ot]]="","",_xlfn.XLOOKUP(tblOrdenes[[#This Row],[tipo_ot]],tblTiposOT[codigo],tblTiposOT[clasificacion],"sin_clasificar"))</f>
        <v/>
      </c>
      <c r="U826" s="3">
        <f>IF(tblOrdenes[[#This Row],[centro_costo]]="","",_xlfn.XLOOKUP(tblOrdenes[[#This Row],[centro_costo]],tblCECO[codigo],tblCECO[linea],"(sin catálogo)"))</f>
        <v/>
      </c>
      <c r="V826" s="3">
        <f>IF(tblOrdenes[[#This Row],[centro_costo]]="","",_xlfn.XLOOKUP(tblOrdenes[[#This Row],[centro_costo]],tblCECO[codigo],tblCECO[area],"(sin catálogo)"))</f>
        <v/>
      </c>
      <c r="W8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6" s="3">
        <f>IF(tblOrdenes[[#This Row],[centro_costo]]="","",_xlfn.XLOOKUP(tblOrdenes[[#This Row],[centro_costo]],tblCECO[codigo],tblCECO[coordinador],"(sin catálogo)"))</f>
        <v/>
      </c>
      <c r="Y826" s="3">
        <f>IF(tblOrdenes[[#This Row],[puesto_trabajo]]="","",_xlfn.XLOOKUP(tblOrdenes[[#This Row],[puesto_trabajo]],tblPuestos[codigo],tblPuestos[especialidad],"(sin catálogo)"))</f>
        <v/>
      </c>
      <c r="Z826" s="3">
        <f>IF(tblOrdenes[[#This Row],[cod_actividad]]="","",_xlfn.XLOOKUP(tblOrdenes[[#This Row],[cod_actividad]],tblActividades[codigo],tblActividades[descripcion],"(sin catálogo)"))</f>
        <v/>
      </c>
      <c r="AA826" s="13">
        <f>IF(tblOrdenes[[#This Row],[fecha_inicio]]="","",TODAY()-tblOrdenes[[#This Row],[fecha_inicio]])</f>
        <v/>
      </c>
      <c r="AB8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6" s="3">
        <f>IF(tblOrdenes[[#This Row],[backlog_habiles]]="","",IF(tblOrdenes[[#This Row],[backlog_habiles]]&lt;0,"FUTURO",IF(tblOrdenes[[#This Row],[backlog_habiles]]&gt;p_dias_backlog_max,"BACKLOG","MES CORRIENTE")))</f>
        <v/>
      </c>
      <c r="AD826" s="3">
        <f>IF(tblOrdenes[[#This Row],[backlog_habiles]]="",FALSE,AND(tblOrdenes[[#This Row],[backlog_habiles]]&gt;p_dias_backlog_min,tblOrdenes[[#This Row],[backlog_habiles]]&lt;=p_dias_backlog_max))</f>
        <v/>
      </c>
      <c r="AE826" s="6" t="n"/>
      <c r="AF8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6" s="11">
        <f>IF(tblOrdenes[[#This Row],[orden]]="","",_xlfn.XLOOKUP(tblOrdenes[[#This Row],[id_operacion]],tblEjecucion[id_operacion],tblEjecucion[precio],0))</f>
        <v/>
      </c>
      <c r="AJ826" s="11">
        <f>IF(tblOrdenes[[#This Row],[orden]]="","",MAX(0,_xlfn.XLOOKUP(tblOrdenes[[#This Row],[id_operacion]],tblEjecucion[id_operacion],tblEjecucion[costo_plan_total],0)-tblOrdenes[[#This Row],[costo_servicio]]))</f>
        <v/>
      </c>
      <c r="AK826" s="11">
        <f>IF(tblOrdenes[[#This Row],[orden]]="","",tblOrdenes[[#This Row],[costo_servicio]]+tblOrdenes[[#This Row],[costo_materiales]])</f>
        <v/>
      </c>
      <c r="AL826" s="6" t="n"/>
      <c r="AM826" s="6" t="n"/>
      <c r="AN826" s="6" t="n"/>
      <c r="AO826" s="3">
        <f>IF(tblOrdenes[[#This Row],[link_checklist]]="","",HYPERLINK(p_ruta_base_checklists&amp;tblOrdenes[[#This Row],[link_checklist]],"abrir"))</f>
        <v/>
      </c>
      <c r="AP826" s="6" t="n"/>
      <c r="AQ826" s="3">
        <f>IF(tblOrdenes[[#This Row],[orden]]="","",tblOrdenes[[#This Row],[orden]]&amp;IF(tblOrdenes[[#This Row],[operacion]]="","0010",tblOrdenes[[#This Row],[operacion]]))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2" t="n"/>
      <c r="K827" s="3" t="n"/>
      <c r="L827" s="11" t="n"/>
      <c r="M8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7" s="3">
        <f>IF(tblOrdenes[[#This Row],[fecha_inicio]]="","",YEAR(tblOrdenes[[#This Row],[fecha_inicio]]))</f>
        <v/>
      </c>
      <c r="Q827" s="3">
        <f>IF(tblOrdenes[[#This Row],[fecha_inicio]]="","",MONTH(tblOrdenes[[#This Row],[fecha_inicio]]))</f>
        <v/>
      </c>
      <c r="R827" s="3">
        <f>IF(tblOrdenes[[#This Row],[fecha_inicio]]="","",INDEX(lista_dias,WEEKDAY(tblOrdenes[[#This Row],[fecha_inicio]],2)))</f>
        <v/>
      </c>
      <c r="S8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7" s="3">
        <f>IF(tblOrdenes[[#This Row],[tipo_ot]]="","",_xlfn.XLOOKUP(tblOrdenes[[#This Row],[tipo_ot]],tblTiposOT[codigo],tblTiposOT[clasificacion],"sin_clasificar"))</f>
        <v/>
      </c>
      <c r="U827" s="3">
        <f>IF(tblOrdenes[[#This Row],[centro_costo]]="","",_xlfn.XLOOKUP(tblOrdenes[[#This Row],[centro_costo]],tblCECO[codigo],tblCECO[linea],"(sin catálogo)"))</f>
        <v/>
      </c>
      <c r="V827" s="3">
        <f>IF(tblOrdenes[[#This Row],[centro_costo]]="","",_xlfn.XLOOKUP(tblOrdenes[[#This Row],[centro_costo]],tblCECO[codigo],tblCECO[area],"(sin catálogo)"))</f>
        <v/>
      </c>
      <c r="W8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7" s="3">
        <f>IF(tblOrdenes[[#This Row],[centro_costo]]="","",_xlfn.XLOOKUP(tblOrdenes[[#This Row],[centro_costo]],tblCECO[codigo],tblCECO[coordinador],"(sin catálogo)"))</f>
        <v/>
      </c>
      <c r="Y827" s="3">
        <f>IF(tblOrdenes[[#This Row],[puesto_trabajo]]="","",_xlfn.XLOOKUP(tblOrdenes[[#This Row],[puesto_trabajo]],tblPuestos[codigo],tblPuestos[especialidad],"(sin catálogo)"))</f>
        <v/>
      </c>
      <c r="Z827" s="3">
        <f>IF(tblOrdenes[[#This Row],[cod_actividad]]="","",_xlfn.XLOOKUP(tblOrdenes[[#This Row],[cod_actividad]],tblActividades[codigo],tblActividades[descripcion],"(sin catálogo)"))</f>
        <v/>
      </c>
      <c r="AA827" s="13">
        <f>IF(tblOrdenes[[#This Row],[fecha_inicio]]="","",TODAY()-tblOrdenes[[#This Row],[fecha_inicio]])</f>
        <v/>
      </c>
      <c r="AB8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7" s="3">
        <f>IF(tblOrdenes[[#This Row],[backlog_habiles]]="","",IF(tblOrdenes[[#This Row],[backlog_habiles]]&lt;0,"FUTURO",IF(tblOrdenes[[#This Row],[backlog_habiles]]&gt;p_dias_backlog_max,"BACKLOG","MES CORRIENTE")))</f>
        <v/>
      </c>
      <c r="AD827" s="3">
        <f>IF(tblOrdenes[[#This Row],[backlog_habiles]]="",FALSE,AND(tblOrdenes[[#This Row],[backlog_habiles]]&gt;p_dias_backlog_min,tblOrdenes[[#This Row],[backlog_habiles]]&lt;=p_dias_backlog_max))</f>
        <v/>
      </c>
      <c r="AE827" s="6" t="n"/>
      <c r="AF8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7" s="11">
        <f>IF(tblOrdenes[[#This Row],[orden]]="","",_xlfn.XLOOKUP(tblOrdenes[[#This Row],[id_operacion]],tblEjecucion[id_operacion],tblEjecucion[precio],0))</f>
        <v/>
      </c>
      <c r="AJ827" s="11">
        <f>IF(tblOrdenes[[#This Row],[orden]]="","",MAX(0,_xlfn.XLOOKUP(tblOrdenes[[#This Row],[id_operacion]],tblEjecucion[id_operacion],tblEjecucion[costo_plan_total],0)-tblOrdenes[[#This Row],[costo_servicio]]))</f>
        <v/>
      </c>
      <c r="AK827" s="11">
        <f>IF(tblOrdenes[[#This Row],[orden]]="","",tblOrdenes[[#This Row],[costo_servicio]]+tblOrdenes[[#This Row],[costo_materiales]])</f>
        <v/>
      </c>
      <c r="AL827" s="6" t="n"/>
      <c r="AM827" s="6" t="n"/>
      <c r="AN827" s="6" t="n"/>
      <c r="AO827" s="3">
        <f>IF(tblOrdenes[[#This Row],[link_checklist]]="","",HYPERLINK(p_ruta_base_checklists&amp;tblOrdenes[[#This Row],[link_checklist]],"abrir"))</f>
        <v/>
      </c>
      <c r="AP827" s="6" t="n"/>
      <c r="AQ827" s="3">
        <f>IF(tblOrdenes[[#This Row],[orden]]="","",tblOrdenes[[#This Row],[orden]]&amp;IF(tblOrdenes[[#This Row],[operacion]]="","0010",tblOrdenes[[#This Row],[operacion]]))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2" t="n"/>
      <c r="K828" s="3" t="n"/>
      <c r="L828" s="11" t="n"/>
      <c r="M8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8" s="3">
        <f>IF(tblOrdenes[[#This Row],[fecha_inicio]]="","",YEAR(tblOrdenes[[#This Row],[fecha_inicio]]))</f>
        <v/>
      </c>
      <c r="Q828" s="3">
        <f>IF(tblOrdenes[[#This Row],[fecha_inicio]]="","",MONTH(tblOrdenes[[#This Row],[fecha_inicio]]))</f>
        <v/>
      </c>
      <c r="R828" s="3">
        <f>IF(tblOrdenes[[#This Row],[fecha_inicio]]="","",INDEX(lista_dias,WEEKDAY(tblOrdenes[[#This Row],[fecha_inicio]],2)))</f>
        <v/>
      </c>
      <c r="S8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8" s="3">
        <f>IF(tblOrdenes[[#This Row],[tipo_ot]]="","",_xlfn.XLOOKUP(tblOrdenes[[#This Row],[tipo_ot]],tblTiposOT[codigo],tblTiposOT[clasificacion],"sin_clasificar"))</f>
        <v/>
      </c>
      <c r="U828" s="3">
        <f>IF(tblOrdenes[[#This Row],[centro_costo]]="","",_xlfn.XLOOKUP(tblOrdenes[[#This Row],[centro_costo]],tblCECO[codigo],tblCECO[linea],"(sin catálogo)"))</f>
        <v/>
      </c>
      <c r="V828" s="3">
        <f>IF(tblOrdenes[[#This Row],[centro_costo]]="","",_xlfn.XLOOKUP(tblOrdenes[[#This Row],[centro_costo]],tblCECO[codigo],tblCECO[area],"(sin catálogo)"))</f>
        <v/>
      </c>
      <c r="W8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8" s="3">
        <f>IF(tblOrdenes[[#This Row],[centro_costo]]="","",_xlfn.XLOOKUP(tblOrdenes[[#This Row],[centro_costo]],tblCECO[codigo],tblCECO[coordinador],"(sin catálogo)"))</f>
        <v/>
      </c>
      <c r="Y828" s="3">
        <f>IF(tblOrdenes[[#This Row],[puesto_trabajo]]="","",_xlfn.XLOOKUP(tblOrdenes[[#This Row],[puesto_trabajo]],tblPuestos[codigo],tblPuestos[especialidad],"(sin catálogo)"))</f>
        <v/>
      </c>
      <c r="Z828" s="3">
        <f>IF(tblOrdenes[[#This Row],[cod_actividad]]="","",_xlfn.XLOOKUP(tblOrdenes[[#This Row],[cod_actividad]],tblActividades[codigo],tblActividades[descripcion],"(sin catálogo)"))</f>
        <v/>
      </c>
      <c r="AA828" s="13">
        <f>IF(tblOrdenes[[#This Row],[fecha_inicio]]="","",TODAY()-tblOrdenes[[#This Row],[fecha_inicio]])</f>
        <v/>
      </c>
      <c r="AB8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8" s="3">
        <f>IF(tblOrdenes[[#This Row],[backlog_habiles]]="","",IF(tblOrdenes[[#This Row],[backlog_habiles]]&lt;0,"FUTURO",IF(tblOrdenes[[#This Row],[backlog_habiles]]&gt;p_dias_backlog_max,"BACKLOG","MES CORRIENTE")))</f>
        <v/>
      </c>
      <c r="AD828" s="3">
        <f>IF(tblOrdenes[[#This Row],[backlog_habiles]]="",FALSE,AND(tblOrdenes[[#This Row],[backlog_habiles]]&gt;p_dias_backlog_min,tblOrdenes[[#This Row],[backlog_habiles]]&lt;=p_dias_backlog_max))</f>
        <v/>
      </c>
      <c r="AE828" s="6" t="n"/>
      <c r="AF8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8" s="11">
        <f>IF(tblOrdenes[[#This Row],[orden]]="","",_xlfn.XLOOKUP(tblOrdenes[[#This Row],[id_operacion]],tblEjecucion[id_operacion],tblEjecucion[precio],0))</f>
        <v/>
      </c>
      <c r="AJ828" s="11">
        <f>IF(tblOrdenes[[#This Row],[orden]]="","",MAX(0,_xlfn.XLOOKUP(tblOrdenes[[#This Row],[id_operacion]],tblEjecucion[id_operacion],tblEjecucion[costo_plan_total],0)-tblOrdenes[[#This Row],[costo_servicio]]))</f>
        <v/>
      </c>
      <c r="AK828" s="11">
        <f>IF(tblOrdenes[[#This Row],[orden]]="","",tblOrdenes[[#This Row],[costo_servicio]]+tblOrdenes[[#This Row],[costo_materiales]])</f>
        <v/>
      </c>
      <c r="AL828" s="6" t="n"/>
      <c r="AM828" s="6" t="n"/>
      <c r="AN828" s="6" t="n"/>
      <c r="AO828" s="3">
        <f>IF(tblOrdenes[[#This Row],[link_checklist]]="","",HYPERLINK(p_ruta_base_checklists&amp;tblOrdenes[[#This Row],[link_checklist]],"abrir"))</f>
        <v/>
      </c>
      <c r="AP828" s="6" t="n"/>
      <c r="AQ828" s="3">
        <f>IF(tblOrdenes[[#This Row],[orden]]="","",tblOrdenes[[#This Row],[orden]]&amp;IF(tblOrdenes[[#This Row],[operacion]]="","0010",tblOrdenes[[#This Row],[operacion]]))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2" t="n"/>
      <c r="K829" s="3" t="n"/>
      <c r="L829" s="11" t="n"/>
      <c r="M8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9" s="3">
        <f>IF(tblOrdenes[[#This Row],[fecha_inicio]]="","",YEAR(tblOrdenes[[#This Row],[fecha_inicio]]))</f>
        <v/>
      </c>
      <c r="Q829" s="3">
        <f>IF(tblOrdenes[[#This Row],[fecha_inicio]]="","",MONTH(tblOrdenes[[#This Row],[fecha_inicio]]))</f>
        <v/>
      </c>
      <c r="R829" s="3">
        <f>IF(tblOrdenes[[#This Row],[fecha_inicio]]="","",INDEX(lista_dias,WEEKDAY(tblOrdenes[[#This Row],[fecha_inicio]],2)))</f>
        <v/>
      </c>
      <c r="S8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9" s="3">
        <f>IF(tblOrdenes[[#This Row],[tipo_ot]]="","",_xlfn.XLOOKUP(tblOrdenes[[#This Row],[tipo_ot]],tblTiposOT[codigo],tblTiposOT[clasificacion],"sin_clasificar"))</f>
        <v/>
      </c>
      <c r="U829" s="3">
        <f>IF(tblOrdenes[[#This Row],[centro_costo]]="","",_xlfn.XLOOKUP(tblOrdenes[[#This Row],[centro_costo]],tblCECO[codigo],tblCECO[linea],"(sin catálogo)"))</f>
        <v/>
      </c>
      <c r="V829" s="3">
        <f>IF(tblOrdenes[[#This Row],[centro_costo]]="","",_xlfn.XLOOKUP(tblOrdenes[[#This Row],[centro_costo]],tblCECO[codigo],tblCECO[area],"(sin catálogo)"))</f>
        <v/>
      </c>
      <c r="W8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9" s="3">
        <f>IF(tblOrdenes[[#This Row],[centro_costo]]="","",_xlfn.XLOOKUP(tblOrdenes[[#This Row],[centro_costo]],tblCECO[codigo],tblCECO[coordinador],"(sin catálogo)"))</f>
        <v/>
      </c>
      <c r="Y829" s="3">
        <f>IF(tblOrdenes[[#This Row],[puesto_trabajo]]="","",_xlfn.XLOOKUP(tblOrdenes[[#This Row],[puesto_trabajo]],tblPuestos[codigo],tblPuestos[especialidad],"(sin catálogo)"))</f>
        <v/>
      </c>
      <c r="Z829" s="3">
        <f>IF(tblOrdenes[[#This Row],[cod_actividad]]="","",_xlfn.XLOOKUP(tblOrdenes[[#This Row],[cod_actividad]],tblActividades[codigo],tblActividades[descripcion],"(sin catálogo)"))</f>
        <v/>
      </c>
      <c r="AA829" s="13">
        <f>IF(tblOrdenes[[#This Row],[fecha_inicio]]="","",TODAY()-tblOrdenes[[#This Row],[fecha_inicio]])</f>
        <v/>
      </c>
      <c r="AB8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9" s="3">
        <f>IF(tblOrdenes[[#This Row],[backlog_habiles]]="","",IF(tblOrdenes[[#This Row],[backlog_habiles]]&lt;0,"FUTURO",IF(tblOrdenes[[#This Row],[backlog_habiles]]&gt;p_dias_backlog_max,"BACKLOG","MES CORRIENTE")))</f>
        <v/>
      </c>
      <c r="AD829" s="3">
        <f>IF(tblOrdenes[[#This Row],[backlog_habiles]]="",FALSE,AND(tblOrdenes[[#This Row],[backlog_habiles]]&gt;p_dias_backlog_min,tblOrdenes[[#This Row],[backlog_habiles]]&lt;=p_dias_backlog_max))</f>
        <v/>
      </c>
      <c r="AE829" s="6" t="n"/>
      <c r="AF8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9" s="11">
        <f>IF(tblOrdenes[[#This Row],[orden]]="","",_xlfn.XLOOKUP(tblOrdenes[[#This Row],[id_operacion]],tblEjecucion[id_operacion],tblEjecucion[precio],0))</f>
        <v/>
      </c>
      <c r="AJ829" s="11">
        <f>IF(tblOrdenes[[#This Row],[orden]]="","",MAX(0,_xlfn.XLOOKUP(tblOrdenes[[#This Row],[id_operacion]],tblEjecucion[id_operacion],tblEjecucion[costo_plan_total],0)-tblOrdenes[[#This Row],[costo_servicio]]))</f>
        <v/>
      </c>
      <c r="AK829" s="11">
        <f>IF(tblOrdenes[[#This Row],[orden]]="","",tblOrdenes[[#This Row],[costo_servicio]]+tblOrdenes[[#This Row],[costo_materiales]])</f>
        <v/>
      </c>
      <c r="AL829" s="6" t="n"/>
      <c r="AM829" s="6" t="n"/>
      <c r="AN829" s="6" t="n"/>
      <c r="AO829" s="3">
        <f>IF(tblOrdenes[[#This Row],[link_checklist]]="","",HYPERLINK(p_ruta_base_checklists&amp;tblOrdenes[[#This Row],[link_checklist]],"abrir"))</f>
        <v/>
      </c>
      <c r="AP829" s="6" t="n"/>
      <c r="AQ829" s="3">
        <f>IF(tblOrdenes[[#This Row],[orden]]="","",tblOrdenes[[#This Row],[orden]]&amp;IF(tblOrdenes[[#This Row],[operacion]]="","0010",tblOrdenes[[#This Row],[operacion]]))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2" t="n"/>
      <c r="K830" s="3" t="n"/>
      <c r="L830" s="11" t="n"/>
      <c r="M8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0" s="3">
        <f>IF(tblOrdenes[[#This Row],[fecha_inicio]]="","",YEAR(tblOrdenes[[#This Row],[fecha_inicio]]))</f>
        <v/>
      </c>
      <c r="Q830" s="3">
        <f>IF(tblOrdenes[[#This Row],[fecha_inicio]]="","",MONTH(tblOrdenes[[#This Row],[fecha_inicio]]))</f>
        <v/>
      </c>
      <c r="R830" s="3">
        <f>IF(tblOrdenes[[#This Row],[fecha_inicio]]="","",INDEX(lista_dias,WEEKDAY(tblOrdenes[[#This Row],[fecha_inicio]],2)))</f>
        <v/>
      </c>
      <c r="S8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0" s="3">
        <f>IF(tblOrdenes[[#This Row],[tipo_ot]]="","",_xlfn.XLOOKUP(tblOrdenes[[#This Row],[tipo_ot]],tblTiposOT[codigo],tblTiposOT[clasificacion],"sin_clasificar"))</f>
        <v/>
      </c>
      <c r="U830" s="3">
        <f>IF(tblOrdenes[[#This Row],[centro_costo]]="","",_xlfn.XLOOKUP(tblOrdenes[[#This Row],[centro_costo]],tblCECO[codigo],tblCECO[linea],"(sin catálogo)"))</f>
        <v/>
      </c>
      <c r="V830" s="3">
        <f>IF(tblOrdenes[[#This Row],[centro_costo]]="","",_xlfn.XLOOKUP(tblOrdenes[[#This Row],[centro_costo]],tblCECO[codigo],tblCECO[area],"(sin catálogo)"))</f>
        <v/>
      </c>
      <c r="W8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0" s="3">
        <f>IF(tblOrdenes[[#This Row],[centro_costo]]="","",_xlfn.XLOOKUP(tblOrdenes[[#This Row],[centro_costo]],tblCECO[codigo],tblCECO[coordinador],"(sin catálogo)"))</f>
        <v/>
      </c>
      <c r="Y830" s="3">
        <f>IF(tblOrdenes[[#This Row],[puesto_trabajo]]="","",_xlfn.XLOOKUP(tblOrdenes[[#This Row],[puesto_trabajo]],tblPuestos[codigo],tblPuestos[especialidad],"(sin catálogo)"))</f>
        <v/>
      </c>
      <c r="Z830" s="3">
        <f>IF(tblOrdenes[[#This Row],[cod_actividad]]="","",_xlfn.XLOOKUP(tblOrdenes[[#This Row],[cod_actividad]],tblActividades[codigo],tblActividades[descripcion],"(sin catálogo)"))</f>
        <v/>
      </c>
      <c r="AA830" s="13">
        <f>IF(tblOrdenes[[#This Row],[fecha_inicio]]="","",TODAY()-tblOrdenes[[#This Row],[fecha_inicio]])</f>
        <v/>
      </c>
      <c r="AB8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0" s="3">
        <f>IF(tblOrdenes[[#This Row],[backlog_habiles]]="","",IF(tblOrdenes[[#This Row],[backlog_habiles]]&lt;0,"FUTURO",IF(tblOrdenes[[#This Row],[backlog_habiles]]&gt;p_dias_backlog_max,"BACKLOG","MES CORRIENTE")))</f>
        <v/>
      </c>
      <c r="AD830" s="3">
        <f>IF(tblOrdenes[[#This Row],[backlog_habiles]]="",FALSE,AND(tblOrdenes[[#This Row],[backlog_habiles]]&gt;p_dias_backlog_min,tblOrdenes[[#This Row],[backlog_habiles]]&lt;=p_dias_backlog_max))</f>
        <v/>
      </c>
      <c r="AE830" s="6" t="n"/>
      <c r="AF8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0" s="11">
        <f>IF(tblOrdenes[[#This Row],[orden]]="","",_xlfn.XLOOKUP(tblOrdenes[[#This Row],[id_operacion]],tblEjecucion[id_operacion],tblEjecucion[precio],0))</f>
        <v/>
      </c>
      <c r="AJ830" s="11">
        <f>IF(tblOrdenes[[#This Row],[orden]]="","",MAX(0,_xlfn.XLOOKUP(tblOrdenes[[#This Row],[id_operacion]],tblEjecucion[id_operacion],tblEjecucion[costo_plan_total],0)-tblOrdenes[[#This Row],[costo_servicio]]))</f>
        <v/>
      </c>
      <c r="AK830" s="11">
        <f>IF(tblOrdenes[[#This Row],[orden]]="","",tblOrdenes[[#This Row],[costo_servicio]]+tblOrdenes[[#This Row],[costo_materiales]])</f>
        <v/>
      </c>
      <c r="AL830" s="6" t="n"/>
      <c r="AM830" s="6" t="n"/>
      <c r="AN830" s="6" t="n"/>
      <c r="AO830" s="3">
        <f>IF(tblOrdenes[[#This Row],[link_checklist]]="","",HYPERLINK(p_ruta_base_checklists&amp;tblOrdenes[[#This Row],[link_checklist]],"abrir"))</f>
        <v/>
      </c>
      <c r="AP830" s="6" t="n"/>
      <c r="AQ830" s="3">
        <f>IF(tblOrdenes[[#This Row],[orden]]="","",tblOrdenes[[#This Row],[orden]]&amp;IF(tblOrdenes[[#This Row],[operacion]]="","0010",tblOrdenes[[#This Row],[operacion]]))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2" t="n"/>
      <c r="K831" s="3" t="n"/>
      <c r="L831" s="11" t="n"/>
      <c r="M8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1" s="3">
        <f>IF(tblOrdenes[[#This Row],[fecha_inicio]]="","",YEAR(tblOrdenes[[#This Row],[fecha_inicio]]))</f>
        <v/>
      </c>
      <c r="Q831" s="3">
        <f>IF(tblOrdenes[[#This Row],[fecha_inicio]]="","",MONTH(tblOrdenes[[#This Row],[fecha_inicio]]))</f>
        <v/>
      </c>
      <c r="R831" s="3">
        <f>IF(tblOrdenes[[#This Row],[fecha_inicio]]="","",INDEX(lista_dias,WEEKDAY(tblOrdenes[[#This Row],[fecha_inicio]],2)))</f>
        <v/>
      </c>
      <c r="S8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1" s="3">
        <f>IF(tblOrdenes[[#This Row],[tipo_ot]]="","",_xlfn.XLOOKUP(tblOrdenes[[#This Row],[tipo_ot]],tblTiposOT[codigo],tblTiposOT[clasificacion],"sin_clasificar"))</f>
        <v/>
      </c>
      <c r="U831" s="3">
        <f>IF(tblOrdenes[[#This Row],[centro_costo]]="","",_xlfn.XLOOKUP(tblOrdenes[[#This Row],[centro_costo]],tblCECO[codigo],tblCECO[linea],"(sin catálogo)"))</f>
        <v/>
      </c>
      <c r="V831" s="3">
        <f>IF(tblOrdenes[[#This Row],[centro_costo]]="","",_xlfn.XLOOKUP(tblOrdenes[[#This Row],[centro_costo]],tblCECO[codigo],tblCECO[area],"(sin catálogo)"))</f>
        <v/>
      </c>
      <c r="W8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1" s="3">
        <f>IF(tblOrdenes[[#This Row],[centro_costo]]="","",_xlfn.XLOOKUP(tblOrdenes[[#This Row],[centro_costo]],tblCECO[codigo],tblCECO[coordinador],"(sin catálogo)"))</f>
        <v/>
      </c>
      <c r="Y831" s="3">
        <f>IF(tblOrdenes[[#This Row],[puesto_trabajo]]="","",_xlfn.XLOOKUP(tblOrdenes[[#This Row],[puesto_trabajo]],tblPuestos[codigo],tblPuestos[especialidad],"(sin catálogo)"))</f>
        <v/>
      </c>
      <c r="Z831" s="3">
        <f>IF(tblOrdenes[[#This Row],[cod_actividad]]="","",_xlfn.XLOOKUP(tblOrdenes[[#This Row],[cod_actividad]],tblActividades[codigo],tblActividades[descripcion],"(sin catálogo)"))</f>
        <v/>
      </c>
      <c r="AA831" s="13">
        <f>IF(tblOrdenes[[#This Row],[fecha_inicio]]="","",TODAY()-tblOrdenes[[#This Row],[fecha_inicio]])</f>
        <v/>
      </c>
      <c r="AB8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1" s="3">
        <f>IF(tblOrdenes[[#This Row],[backlog_habiles]]="","",IF(tblOrdenes[[#This Row],[backlog_habiles]]&lt;0,"FUTURO",IF(tblOrdenes[[#This Row],[backlog_habiles]]&gt;p_dias_backlog_max,"BACKLOG","MES CORRIENTE")))</f>
        <v/>
      </c>
      <c r="AD831" s="3">
        <f>IF(tblOrdenes[[#This Row],[backlog_habiles]]="",FALSE,AND(tblOrdenes[[#This Row],[backlog_habiles]]&gt;p_dias_backlog_min,tblOrdenes[[#This Row],[backlog_habiles]]&lt;=p_dias_backlog_max))</f>
        <v/>
      </c>
      <c r="AE831" s="6" t="n"/>
      <c r="AF8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1" s="11">
        <f>IF(tblOrdenes[[#This Row],[orden]]="","",_xlfn.XLOOKUP(tblOrdenes[[#This Row],[id_operacion]],tblEjecucion[id_operacion],tblEjecucion[precio],0))</f>
        <v/>
      </c>
      <c r="AJ831" s="11">
        <f>IF(tblOrdenes[[#This Row],[orden]]="","",MAX(0,_xlfn.XLOOKUP(tblOrdenes[[#This Row],[id_operacion]],tblEjecucion[id_operacion],tblEjecucion[costo_plan_total],0)-tblOrdenes[[#This Row],[costo_servicio]]))</f>
        <v/>
      </c>
      <c r="AK831" s="11">
        <f>IF(tblOrdenes[[#This Row],[orden]]="","",tblOrdenes[[#This Row],[costo_servicio]]+tblOrdenes[[#This Row],[costo_materiales]])</f>
        <v/>
      </c>
      <c r="AL831" s="6" t="n"/>
      <c r="AM831" s="6" t="n"/>
      <c r="AN831" s="6" t="n"/>
      <c r="AO831" s="3">
        <f>IF(tblOrdenes[[#This Row],[link_checklist]]="","",HYPERLINK(p_ruta_base_checklists&amp;tblOrdenes[[#This Row],[link_checklist]],"abrir"))</f>
        <v/>
      </c>
      <c r="AP831" s="6" t="n"/>
      <c r="AQ831" s="3">
        <f>IF(tblOrdenes[[#This Row],[orden]]="","",tblOrdenes[[#This Row],[orden]]&amp;IF(tblOrdenes[[#This Row],[operacion]]="","0010",tblOrdenes[[#This Row],[operacion]]))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2" t="n"/>
      <c r="K832" s="3" t="n"/>
      <c r="L832" s="11" t="n"/>
      <c r="M8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2" s="3">
        <f>IF(tblOrdenes[[#This Row],[fecha_inicio]]="","",YEAR(tblOrdenes[[#This Row],[fecha_inicio]]))</f>
        <v/>
      </c>
      <c r="Q832" s="3">
        <f>IF(tblOrdenes[[#This Row],[fecha_inicio]]="","",MONTH(tblOrdenes[[#This Row],[fecha_inicio]]))</f>
        <v/>
      </c>
      <c r="R832" s="3">
        <f>IF(tblOrdenes[[#This Row],[fecha_inicio]]="","",INDEX(lista_dias,WEEKDAY(tblOrdenes[[#This Row],[fecha_inicio]],2)))</f>
        <v/>
      </c>
      <c r="S8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2" s="3">
        <f>IF(tblOrdenes[[#This Row],[tipo_ot]]="","",_xlfn.XLOOKUP(tblOrdenes[[#This Row],[tipo_ot]],tblTiposOT[codigo],tblTiposOT[clasificacion],"sin_clasificar"))</f>
        <v/>
      </c>
      <c r="U832" s="3">
        <f>IF(tblOrdenes[[#This Row],[centro_costo]]="","",_xlfn.XLOOKUP(tblOrdenes[[#This Row],[centro_costo]],tblCECO[codigo],tblCECO[linea],"(sin catálogo)"))</f>
        <v/>
      </c>
      <c r="V832" s="3">
        <f>IF(tblOrdenes[[#This Row],[centro_costo]]="","",_xlfn.XLOOKUP(tblOrdenes[[#This Row],[centro_costo]],tblCECO[codigo],tblCECO[area],"(sin catálogo)"))</f>
        <v/>
      </c>
      <c r="W8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2" s="3">
        <f>IF(tblOrdenes[[#This Row],[centro_costo]]="","",_xlfn.XLOOKUP(tblOrdenes[[#This Row],[centro_costo]],tblCECO[codigo],tblCECO[coordinador],"(sin catálogo)"))</f>
        <v/>
      </c>
      <c r="Y832" s="3">
        <f>IF(tblOrdenes[[#This Row],[puesto_trabajo]]="","",_xlfn.XLOOKUP(tblOrdenes[[#This Row],[puesto_trabajo]],tblPuestos[codigo],tblPuestos[especialidad],"(sin catálogo)"))</f>
        <v/>
      </c>
      <c r="Z832" s="3">
        <f>IF(tblOrdenes[[#This Row],[cod_actividad]]="","",_xlfn.XLOOKUP(tblOrdenes[[#This Row],[cod_actividad]],tblActividades[codigo],tblActividades[descripcion],"(sin catálogo)"))</f>
        <v/>
      </c>
      <c r="AA832" s="13">
        <f>IF(tblOrdenes[[#This Row],[fecha_inicio]]="","",TODAY()-tblOrdenes[[#This Row],[fecha_inicio]])</f>
        <v/>
      </c>
      <c r="AB8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2" s="3">
        <f>IF(tblOrdenes[[#This Row],[backlog_habiles]]="","",IF(tblOrdenes[[#This Row],[backlog_habiles]]&lt;0,"FUTURO",IF(tblOrdenes[[#This Row],[backlog_habiles]]&gt;p_dias_backlog_max,"BACKLOG","MES CORRIENTE")))</f>
        <v/>
      </c>
      <c r="AD832" s="3">
        <f>IF(tblOrdenes[[#This Row],[backlog_habiles]]="",FALSE,AND(tblOrdenes[[#This Row],[backlog_habiles]]&gt;p_dias_backlog_min,tblOrdenes[[#This Row],[backlog_habiles]]&lt;=p_dias_backlog_max))</f>
        <v/>
      </c>
      <c r="AE832" s="6" t="n"/>
      <c r="AF8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2" s="11">
        <f>IF(tblOrdenes[[#This Row],[orden]]="","",_xlfn.XLOOKUP(tblOrdenes[[#This Row],[id_operacion]],tblEjecucion[id_operacion],tblEjecucion[precio],0))</f>
        <v/>
      </c>
      <c r="AJ832" s="11">
        <f>IF(tblOrdenes[[#This Row],[orden]]="","",MAX(0,_xlfn.XLOOKUP(tblOrdenes[[#This Row],[id_operacion]],tblEjecucion[id_operacion],tblEjecucion[costo_plan_total],0)-tblOrdenes[[#This Row],[costo_servicio]]))</f>
        <v/>
      </c>
      <c r="AK832" s="11">
        <f>IF(tblOrdenes[[#This Row],[orden]]="","",tblOrdenes[[#This Row],[costo_servicio]]+tblOrdenes[[#This Row],[costo_materiales]])</f>
        <v/>
      </c>
      <c r="AL832" s="6" t="n"/>
      <c r="AM832" s="6" t="n"/>
      <c r="AN832" s="6" t="n"/>
      <c r="AO832" s="3">
        <f>IF(tblOrdenes[[#This Row],[link_checklist]]="","",HYPERLINK(p_ruta_base_checklists&amp;tblOrdenes[[#This Row],[link_checklist]],"abrir"))</f>
        <v/>
      </c>
      <c r="AP832" s="6" t="n"/>
      <c r="AQ832" s="3">
        <f>IF(tblOrdenes[[#This Row],[orden]]="","",tblOrdenes[[#This Row],[orden]]&amp;IF(tblOrdenes[[#This Row],[operacion]]="","0010",tblOrdenes[[#This Row],[operacion]]))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2" t="n"/>
      <c r="K833" s="3" t="n"/>
      <c r="L833" s="11" t="n"/>
      <c r="M8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3" s="3">
        <f>IF(tblOrdenes[[#This Row],[fecha_inicio]]="","",YEAR(tblOrdenes[[#This Row],[fecha_inicio]]))</f>
        <v/>
      </c>
      <c r="Q833" s="3">
        <f>IF(tblOrdenes[[#This Row],[fecha_inicio]]="","",MONTH(tblOrdenes[[#This Row],[fecha_inicio]]))</f>
        <v/>
      </c>
      <c r="R833" s="3">
        <f>IF(tblOrdenes[[#This Row],[fecha_inicio]]="","",INDEX(lista_dias,WEEKDAY(tblOrdenes[[#This Row],[fecha_inicio]],2)))</f>
        <v/>
      </c>
      <c r="S8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3" s="3">
        <f>IF(tblOrdenes[[#This Row],[tipo_ot]]="","",_xlfn.XLOOKUP(tblOrdenes[[#This Row],[tipo_ot]],tblTiposOT[codigo],tblTiposOT[clasificacion],"sin_clasificar"))</f>
        <v/>
      </c>
      <c r="U833" s="3">
        <f>IF(tblOrdenes[[#This Row],[centro_costo]]="","",_xlfn.XLOOKUP(tblOrdenes[[#This Row],[centro_costo]],tblCECO[codigo],tblCECO[linea],"(sin catálogo)"))</f>
        <v/>
      </c>
      <c r="V833" s="3">
        <f>IF(tblOrdenes[[#This Row],[centro_costo]]="","",_xlfn.XLOOKUP(tblOrdenes[[#This Row],[centro_costo]],tblCECO[codigo],tblCECO[area],"(sin catálogo)"))</f>
        <v/>
      </c>
      <c r="W8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3" s="3">
        <f>IF(tblOrdenes[[#This Row],[centro_costo]]="","",_xlfn.XLOOKUP(tblOrdenes[[#This Row],[centro_costo]],tblCECO[codigo],tblCECO[coordinador],"(sin catálogo)"))</f>
        <v/>
      </c>
      <c r="Y833" s="3">
        <f>IF(tblOrdenes[[#This Row],[puesto_trabajo]]="","",_xlfn.XLOOKUP(tblOrdenes[[#This Row],[puesto_trabajo]],tblPuestos[codigo],tblPuestos[especialidad],"(sin catálogo)"))</f>
        <v/>
      </c>
      <c r="Z833" s="3">
        <f>IF(tblOrdenes[[#This Row],[cod_actividad]]="","",_xlfn.XLOOKUP(tblOrdenes[[#This Row],[cod_actividad]],tblActividades[codigo],tblActividades[descripcion],"(sin catálogo)"))</f>
        <v/>
      </c>
      <c r="AA833" s="13">
        <f>IF(tblOrdenes[[#This Row],[fecha_inicio]]="","",TODAY()-tblOrdenes[[#This Row],[fecha_inicio]])</f>
        <v/>
      </c>
      <c r="AB8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3" s="3">
        <f>IF(tblOrdenes[[#This Row],[backlog_habiles]]="","",IF(tblOrdenes[[#This Row],[backlog_habiles]]&lt;0,"FUTURO",IF(tblOrdenes[[#This Row],[backlog_habiles]]&gt;p_dias_backlog_max,"BACKLOG","MES CORRIENTE")))</f>
        <v/>
      </c>
      <c r="AD833" s="3">
        <f>IF(tblOrdenes[[#This Row],[backlog_habiles]]="",FALSE,AND(tblOrdenes[[#This Row],[backlog_habiles]]&gt;p_dias_backlog_min,tblOrdenes[[#This Row],[backlog_habiles]]&lt;=p_dias_backlog_max))</f>
        <v/>
      </c>
      <c r="AE833" s="6" t="n"/>
      <c r="AF8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3" s="11">
        <f>IF(tblOrdenes[[#This Row],[orden]]="","",_xlfn.XLOOKUP(tblOrdenes[[#This Row],[id_operacion]],tblEjecucion[id_operacion],tblEjecucion[precio],0))</f>
        <v/>
      </c>
      <c r="AJ833" s="11">
        <f>IF(tblOrdenes[[#This Row],[orden]]="","",MAX(0,_xlfn.XLOOKUP(tblOrdenes[[#This Row],[id_operacion]],tblEjecucion[id_operacion],tblEjecucion[costo_plan_total],0)-tblOrdenes[[#This Row],[costo_servicio]]))</f>
        <v/>
      </c>
      <c r="AK833" s="11">
        <f>IF(tblOrdenes[[#This Row],[orden]]="","",tblOrdenes[[#This Row],[costo_servicio]]+tblOrdenes[[#This Row],[costo_materiales]])</f>
        <v/>
      </c>
      <c r="AL833" s="6" t="n"/>
      <c r="AM833" s="6" t="n"/>
      <c r="AN833" s="6" t="n"/>
      <c r="AO833" s="3">
        <f>IF(tblOrdenes[[#This Row],[link_checklist]]="","",HYPERLINK(p_ruta_base_checklists&amp;tblOrdenes[[#This Row],[link_checklist]],"abrir"))</f>
        <v/>
      </c>
      <c r="AP833" s="6" t="n"/>
      <c r="AQ833" s="3">
        <f>IF(tblOrdenes[[#This Row],[orden]]="","",tblOrdenes[[#This Row],[orden]]&amp;IF(tblOrdenes[[#This Row],[operacion]]="","0010",tblOrdenes[[#This Row],[operacion]]))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2" t="n"/>
      <c r="K834" s="3" t="n"/>
      <c r="L834" s="11" t="n"/>
      <c r="M8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4" s="3">
        <f>IF(tblOrdenes[[#This Row],[fecha_inicio]]="","",YEAR(tblOrdenes[[#This Row],[fecha_inicio]]))</f>
        <v/>
      </c>
      <c r="Q834" s="3">
        <f>IF(tblOrdenes[[#This Row],[fecha_inicio]]="","",MONTH(tblOrdenes[[#This Row],[fecha_inicio]]))</f>
        <v/>
      </c>
      <c r="R834" s="3">
        <f>IF(tblOrdenes[[#This Row],[fecha_inicio]]="","",INDEX(lista_dias,WEEKDAY(tblOrdenes[[#This Row],[fecha_inicio]],2)))</f>
        <v/>
      </c>
      <c r="S8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4" s="3">
        <f>IF(tblOrdenes[[#This Row],[tipo_ot]]="","",_xlfn.XLOOKUP(tblOrdenes[[#This Row],[tipo_ot]],tblTiposOT[codigo],tblTiposOT[clasificacion],"sin_clasificar"))</f>
        <v/>
      </c>
      <c r="U834" s="3">
        <f>IF(tblOrdenes[[#This Row],[centro_costo]]="","",_xlfn.XLOOKUP(tblOrdenes[[#This Row],[centro_costo]],tblCECO[codigo],tblCECO[linea],"(sin catálogo)"))</f>
        <v/>
      </c>
      <c r="V834" s="3">
        <f>IF(tblOrdenes[[#This Row],[centro_costo]]="","",_xlfn.XLOOKUP(tblOrdenes[[#This Row],[centro_costo]],tblCECO[codigo],tblCECO[area],"(sin catálogo)"))</f>
        <v/>
      </c>
      <c r="W8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4" s="3">
        <f>IF(tblOrdenes[[#This Row],[centro_costo]]="","",_xlfn.XLOOKUP(tblOrdenes[[#This Row],[centro_costo]],tblCECO[codigo],tblCECO[coordinador],"(sin catálogo)"))</f>
        <v/>
      </c>
      <c r="Y834" s="3">
        <f>IF(tblOrdenes[[#This Row],[puesto_trabajo]]="","",_xlfn.XLOOKUP(tblOrdenes[[#This Row],[puesto_trabajo]],tblPuestos[codigo],tblPuestos[especialidad],"(sin catálogo)"))</f>
        <v/>
      </c>
      <c r="Z834" s="3">
        <f>IF(tblOrdenes[[#This Row],[cod_actividad]]="","",_xlfn.XLOOKUP(tblOrdenes[[#This Row],[cod_actividad]],tblActividades[codigo],tblActividades[descripcion],"(sin catálogo)"))</f>
        <v/>
      </c>
      <c r="AA834" s="13">
        <f>IF(tblOrdenes[[#This Row],[fecha_inicio]]="","",TODAY()-tblOrdenes[[#This Row],[fecha_inicio]])</f>
        <v/>
      </c>
      <c r="AB8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4" s="3">
        <f>IF(tblOrdenes[[#This Row],[backlog_habiles]]="","",IF(tblOrdenes[[#This Row],[backlog_habiles]]&lt;0,"FUTURO",IF(tblOrdenes[[#This Row],[backlog_habiles]]&gt;p_dias_backlog_max,"BACKLOG","MES CORRIENTE")))</f>
        <v/>
      </c>
      <c r="AD834" s="3">
        <f>IF(tblOrdenes[[#This Row],[backlog_habiles]]="",FALSE,AND(tblOrdenes[[#This Row],[backlog_habiles]]&gt;p_dias_backlog_min,tblOrdenes[[#This Row],[backlog_habiles]]&lt;=p_dias_backlog_max))</f>
        <v/>
      </c>
      <c r="AE834" s="6" t="n"/>
      <c r="AF8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4" s="11">
        <f>IF(tblOrdenes[[#This Row],[orden]]="","",_xlfn.XLOOKUP(tblOrdenes[[#This Row],[id_operacion]],tblEjecucion[id_operacion],tblEjecucion[precio],0))</f>
        <v/>
      </c>
      <c r="AJ834" s="11">
        <f>IF(tblOrdenes[[#This Row],[orden]]="","",MAX(0,_xlfn.XLOOKUP(tblOrdenes[[#This Row],[id_operacion]],tblEjecucion[id_operacion],tblEjecucion[costo_plan_total],0)-tblOrdenes[[#This Row],[costo_servicio]]))</f>
        <v/>
      </c>
      <c r="AK834" s="11">
        <f>IF(tblOrdenes[[#This Row],[orden]]="","",tblOrdenes[[#This Row],[costo_servicio]]+tblOrdenes[[#This Row],[costo_materiales]])</f>
        <v/>
      </c>
      <c r="AL834" s="6" t="n"/>
      <c r="AM834" s="6" t="n"/>
      <c r="AN834" s="6" t="n"/>
      <c r="AO834" s="3">
        <f>IF(tblOrdenes[[#This Row],[link_checklist]]="","",HYPERLINK(p_ruta_base_checklists&amp;tblOrdenes[[#This Row],[link_checklist]],"abrir"))</f>
        <v/>
      </c>
      <c r="AP834" s="6" t="n"/>
      <c r="AQ834" s="3">
        <f>IF(tblOrdenes[[#This Row],[orden]]="","",tblOrdenes[[#This Row],[orden]]&amp;IF(tblOrdenes[[#This Row],[operacion]]="","0010",tblOrdenes[[#This Row],[operacion]]))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2" t="n"/>
      <c r="K835" s="3" t="n"/>
      <c r="L835" s="11" t="n"/>
      <c r="M8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5" s="3">
        <f>IF(tblOrdenes[[#This Row],[fecha_inicio]]="","",YEAR(tblOrdenes[[#This Row],[fecha_inicio]]))</f>
        <v/>
      </c>
      <c r="Q835" s="3">
        <f>IF(tblOrdenes[[#This Row],[fecha_inicio]]="","",MONTH(tblOrdenes[[#This Row],[fecha_inicio]]))</f>
        <v/>
      </c>
      <c r="R835" s="3">
        <f>IF(tblOrdenes[[#This Row],[fecha_inicio]]="","",INDEX(lista_dias,WEEKDAY(tblOrdenes[[#This Row],[fecha_inicio]],2)))</f>
        <v/>
      </c>
      <c r="S8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5" s="3">
        <f>IF(tblOrdenes[[#This Row],[tipo_ot]]="","",_xlfn.XLOOKUP(tblOrdenes[[#This Row],[tipo_ot]],tblTiposOT[codigo],tblTiposOT[clasificacion],"sin_clasificar"))</f>
        <v/>
      </c>
      <c r="U835" s="3">
        <f>IF(tblOrdenes[[#This Row],[centro_costo]]="","",_xlfn.XLOOKUP(tblOrdenes[[#This Row],[centro_costo]],tblCECO[codigo],tblCECO[linea],"(sin catálogo)"))</f>
        <v/>
      </c>
      <c r="V835" s="3">
        <f>IF(tblOrdenes[[#This Row],[centro_costo]]="","",_xlfn.XLOOKUP(tblOrdenes[[#This Row],[centro_costo]],tblCECO[codigo],tblCECO[area],"(sin catálogo)"))</f>
        <v/>
      </c>
      <c r="W8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5" s="3">
        <f>IF(tblOrdenes[[#This Row],[centro_costo]]="","",_xlfn.XLOOKUP(tblOrdenes[[#This Row],[centro_costo]],tblCECO[codigo],tblCECO[coordinador],"(sin catálogo)"))</f>
        <v/>
      </c>
      <c r="Y835" s="3">
        <f>IF(tblOrdenes[[#This Row],[puesto_trabajo]]="","",_xlfn.XLOOKUP(tblOrdenes[[#This Row],[puesto_trabajo]],tblPuestos[codigo],tblPuestos[especialidad],"(sin catálogo)"))</f>
        <v/>
      </c>
      <c r="Z835" s="3">
        <f>IF(tblOrdenes[[#This Row],[cod_actividad]]="","",_xlfn.XLOOKUP(tblOrdenes[[#This Row],[cod_actividad]],tblActividades[codigo],tblActividades[descripcion],"(sin catálogo)"))</f>
        <v/>
      </c>
      <c r="AA835" s="13">
        <f>IF(tblOrdenes[[#This Row],[fecha_inicio]]="","",TODAY()-tblOrdenes[[#This Row],[fecha_inicio]])</f>
        <v/>
      </c>
      <c r="AB8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5" s="3">
        <f>IF(tblOrdenes[[#This Row],[backlog_habiles]]="","",IF(tblOrdenes[[#This Row],[backlog_habiles]]&lt;0,"FUTURO",IF(tblOrdenes[[#This Row],[backlog_habiles]]&gt;p_dias_backlog_max,"BACKLOG","MES CORRIENTE")))</f>
        <v/>
      </c>
      <c r="AD835" s="3">
        <f>IF(tblOrdenes[[#This Row],[backlog_habiles]]="",FALSE,AND(tblOrdenes[[#This Row],[backlog_habiles]]&gt;p_dias_backlog_min,tblOrdenes[[#This Row],[backlog_habiles]]&lt;=p_dias_backlog_max))</f>
        <v/>
      </c>
      <c r="AE835" s="6" t="n"/>
      <c r="AF8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5" s="11">
        <f>IF(tblOrdenes[[#This Row],[orden]]="","",_xlfn.XLOOKUP(tblOrdenes[[#This Row],[id_operacion]],tblEjecucion[id_operacion],tblEjecucion[precio],0))</f>
        <v/>
      </c>
      <c r="AJ835" s="11">
        <f>IF(tblOrdenes[[#This Row],[orden]]="","",MAX(0,_xlfn.XLOOKUP(tblOrdenes[[#This Row],[id_operacion]],tblEjecucion[id_operacion],tblEjecucion[costo_plan_total],0)-tblOrdenes[[#This Row],[costo_servicio]]))</f>
        <v/>
      </c>
      <c r="AK835" s="11">
        <f>IF(tblOrdenes[[#This Row],[orden]]="","",tblOrdenes[[#This Row],[costo_servicio]]+tblOrdenes[[#This Row],[costo_materiales]])</f>
        <v/>
      </c>
      <c r="AL835" s="6" t="n"/>
      <c r="AM835" s="6" t="n"/>
      <c r="AN835" s="6" t="n"/>
      <c r="AO835" s="3">
        <f>IF(tblOrdenes[[#This Row],[link_checklist]]="","",HYPERLINK(p_ruta_base_checklists&amp;tblOrdenes[[#This Row],[link_checklist]],"abrir"))</f>
        <v/>
      </c>
      <c r="AP835" s="6" t="n"/>
      <c r="AQ835" s="3">
        <f>IF(tblOrdenes[[#This Row],[orden]]="","",tblOrdenes[[#This Row],[orden]]&amp;IF(tblOrdenes[[#This Row],[operacion]]="","0010",tblOrdenes[[#This Row],[operacion]]))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2" t="n"/>
      <c r="K836" s="3" t="n"/>
      <c r="L836" s="11" t="n"/>
      <c r="M8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6" s="3">
        <f>IF(tblOrdenes[[#This Row],[fecha_inicio]]="","",YEAR(tblOrdenes[[#This Row],[fecha_inicio]]))</f>
        <v/>
      </c>
      <c r="Q836" s="3">
        <f>IF(tblOrdenes[[#This Row],[fecha_inicio]]="","",MONTH(tblOrdenes[[#This Row],[fecha_inicio]]))</f>
        <v/>
      </c>
      <c r="R836" s="3">
        <f>IF(tblOrdenes[[#This Row],[fecha_inicio]]="","",INDEX(lista_dias,WEEKDAY(tblOrdenes[[#This Row],[fecha_inicio]],2)))</f>
        <v/>
      </c>
      <c r="S8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6" s="3">
        <f>IF(tblOrdenes[[#This Row],[tipo_ot]]="","",_xlfn.XLOOKUP(tblOrdenes[[#This Row],[tipo_ot]],tblTiposOT[codigo],tblTiposOT[clasificacion],"sin_clasificar"))</f>
        <v/>
      </c>
      <c r="U836" s="3">
        <f>IF(tblOrdenes[[#This Row],[centro_costo]]="","",_xlfn.XLOOKUP(tblOrdenes[[#This Row],[centro_costo]],tblCECO[codigo],tblCECO[linea],"(sin catálogo)"))</f>
        <v/>
      </c>
      <c r="V836" s="3">
        <f>IF(tblOrdenes[[#This Row],[centro_costo]]="","",_xlfn.XLOOKUP(tblOrdenes[[#This Row],[centro_costo]],tblCECO[codigo],tblCECO[area],"(sin catálogo)"))</f>
        <v/>
      </c>
      <c r="W8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6" s="3">
        <f>IF(tblOrdenes[[#This Row],[centro_costo]]="","",_xlfn.XLOOKUP(tblOrdenes[[#This Row],[centro_costo]],tblCECO[codigo],tblCECO[coordinador],"(sin catálogo)"))</f>
        <v/>
      </c>
      <c r="Y836" s="3">
        <f>IF(tblOrdenes[[#This Row],[puesto_trabajo]]="","",_xlfn.XLOOKUP(tblOrdenes[[#This Row],[puesto_trabajo]],tblPuestos[codigo],tblPuestos[especialidad],"(sin catálogo)"))</f>
        <v/>
      </c>
      <c r="Z836" s="3">
        <f>IF(tblOrdenes[[#This Row],[cod_actividad]]="","",_xlfn.XLOOKUP(tblOrdenes[[#This Row],[cod_actividad]],tblActividades[codigo],tblActividades[descripcion],"(sin catálogo)"))</f>
        <v/>
      </c>
      <c r="AA836" s="13">
        <f>IF(tblOrdenes[[#This Row],[fecha_inicio]]="","",TODAY()-tblOrdenes[[#This Row],[fecha_inicio]])</f>
        <v/>
      </c>
      <c r="AB8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6" s="3">
        <f>IF(tblOrdenes[[#This Row],[backlog_habiles]]="","",IF(tblOrdenes[[#This Row],[backlog_habiles]]&lt;0,"FUTURO",IF(tblOrdenes[[#This Row],[backlog_habiles]]&gt;p_dias_backlog_max,"BACKLOG","MES CORRIENTE")))</f>
        <v/>
      </c>
      <c r="AD836" s="3">
        <f>IF(tblOrdenes[[#This Row],[backlog_habiles]]="",FALSE,AND(tblOrdenes[[#This Row],[backlog_habiles]]&gt;p_dias_backlog_min,tblOrdenes[[#This Row],[backlog_habiles]]&lt;=p_dias_backlog_max))</f>
        <v/>
      </c>
      <c r="AE836" s="6" t="n"/>
      <c r="AF8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6" s="11">
        <f>IF(tblOrdenes[[#This Row],[orden]]="","",_xlfn.XLOOKUP(tblOrdenes[[#This Row],[id_operacion]],tblEjecucion[id_operacion],tblEjecucion[precio],0))</f>
        <v/>
      </c>
      <c r="AJ836" s="11">
        <f>IF(tblOrdenes[[#This Row],[orden]]="","",MAX(0,_xlfn.XLOOKUP(tblOrdenes[[#This Row],[id_operacion]],tblEjecucion[id_operacion],tblEjecucion[costo_plan_total],0)-tblOrdenes[[#This Row],[costo_servicio]]))</f>
        <v/>
      </c>
      <c r="AK836" s="11">
        <f>IF(tblOrdenes[[#This Row],[orden]]="","",tblOrdenes[[#This Row],[costo_servicio]]+tblOrdenes[[#This Row],[costo_materiales]])</f>
        <v/>
      </c>
      <c r="AL836" s="6" t="n"/>
      <c r="AM836" s="6" t="n"/>
      <c r="AN836" s="6" t="n"/>
      <c r="AO836" s="3">
        <f>IF(tblOrdenes[[#This Row],[link_checklist]]="","",HYPERLINK(p_ruta_base_checklists&amp;tblOrdenes[[#This Row],[link_checklist]],"abrir"))</f>
        <v/>
      </c>
      <c r="AP836" s="6" t="n"/>
      <c r="AQ836" s="3">
        <f>IF(tblOrdenes[[#This Row],[orden]]="","",tblOrdenes[[#This Row],[orden]]&amp;IF(tblOrdenes[[#This Row],[operacion]]="","0010",tblOrdenes[[#This Row],[operacion]]))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2" t="n"/>
      <c r="K837" s="3" t="n"/>
      <c r="L837" s="11" t="n"/>
      <c r="M8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7" s="3">
        <f>IF(tblOrdenes[[#This Row],[fecha_inicio]]="","",YEAR(tblOrdenes[[#This Row],[fecha_inicio]]))</f>
        <v/>
      </c>
      <c r="Q837" s="3">
        <f>IF(tblOrdenes[[#This Row],[fecha_inicio]]="","",MONTH(tblOrdenes[[#This Row],[fecha_inicio]]))</f>
        <v/>
      </c>
      <c r="R837" s="3">
        <f>IF(tblOrdenes[[#This Row],[fecha_inicio]]="","",INDEX(lista_dias,WEEKDAY(tblOrdenes[[#This Row],[fecha_inicio]],2)))</f>
        <v/>
      </c>
      <c r="S8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7" s="3">
        <f>IF(tblOrdenes[[#This Row],[tipo_ot]]="","",_xlfn.XLOOKUP(tblOrdenes[[#This Row],[tipo_ot]],tblTiposOT[codigo],tblTiposOT[clasificacion],"sin_clasificar"))</f>
        <v/>
      </c>
      <c r="U837" s="3">
        <f>IF(tblOrdenes[[#This Row],[centro_costo]]="","",_xlfn.XLOOKUP(tblOrdenes[[#This Row],[centro_costo]],tblCECO[codigo],tblCECO[linea],"(sin catálogo)"))</f>
        <v/>
      </c>
      <c r="V837" s="3">
        <f>IF(tblOrdenes[[#This Row],[centro_costo]]="","",_xlfn.XLOOKUP(tblOrdenes[[#This Row],[centro_costo]],tblCECO[codigo],tblCECO[area],"(sin catálogo)"))</f>
        <v/>
      </c>
      <c r="W8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7" s="3">
        <f>IF(tblOrdenes[[#This Row],[centro_costo]]="","",_xlfn.XLOOKUP(tblOrdenes[[#This Row],[centro_costo]],tblCECO[codigo],tblCECO[coordinador],"(sin catálogo)"))</f>
        <v/>
      </c>
      <c r="Y837" s="3">
        <f>IF(tblOrdenes[[#This Row],[puesto_trabajo]]="","",_xlfn.XLOOKUP(tblOrdenes[[#This Row],[puesto_trabajo]],tblPuestos[codigo],tblPuestos[especialidad],"(sin catálogo)"))</f>
        <v/>
      </c>
      <c r="Z837" s="3">
        <f>IF(tblOrdenes[[#This Row],[cod_actividad]]="","",_xlfn.XLOOKUP(tblOrdenes[[#This Row],[cod_actividad]],tblActividades[codigo],tblActividades[descripcion],"(sin catálogo)"))</f>
        <v/>
      </c>
      <c r="AA837" s="13">
        <f>IF(tblOrdenes[[#This Row],[fecha_inicio]]="","",TODAY()-tblOrdenes[[#This Row],[fecha_inicio]])</f>
        <v/>
      </c>
      <c r="AB8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7" s="3">
        <f>IF(tblOrdenes[[#This Row],[backlog_habiles]]="","",IF(tblOrdenes[[#This Row],[backlog_habiles]]&lt;0,"FUTURO",IF(tblOrdenes[[#This Row],[backlog_habiles]]&gt;p_dias_backlog_max,"BACKLOG","MES CORRIENTE")))</f>
        <v/>
      </c>
      <c r="AD837" s="3">
        <f>IF(tblOrdenes[[#This Row],[backlog_habiles]]="",FALSE,AND(tblOrdenes[[#This Row],[backlog_habiles]]&gt;p_dias_backlog_min,tblOrdenes[[#This Row],[backlog_habiles]]&lt;=p_dias_backlog_max))</f>
        <v/>
      </c>
      <c r="AE837" s="6" t="n"/>
      <c r="AF8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7" s="11">
        <f>IF(tblOrdenes[[#This Row],[orden]]="","",_xlfn.XLOOKUP(tblOrdenes[[#This Row],[id_operacion]],tblEjecucion[id_operacion],tblEjecucion[precio],0))</f>
        <v/>
      </c>
      <c r="AJ837" s="11">
        <f>IF(tblOrdenes[[#This Row],[orden]]="","",MAX(0,_xlfn.XLOOKUP(tblOrdenes[[#This Row],[id_operacion]],tblEjecucion[id_operacion],tblEjecucion[costo_plan_total],0)-tblOrdenes[[#This Row],[costo_servicio]]))</f>
        <v/>
      </c>
      <c r="AK837" s="11">
        <f>IF(tblOrdenes[[#This Row],[orden]]="","",tblOrdenes[[#This Row],[costo_servicio]]+tblOrdenes[[#This Row],[costo_materiales]])</f>
        <v/>
      </c>
      <c r="AL837" s="6" t="n"/>
      <c r="AM837" s="6" t="n"/>
      <c r="AN837" s="6" t="n"/>
      <c r="AO837" s="3">
        <f>IF(tblOrdenes[[#This Row],[link_checklist]]="","",HYPERLINK(p_ruta_base_checklists&amp;tblOrdenes[[#This Row],[link_checklist]],"abrir"))</f>
        <v/>
      </c>
      <c r="AP837" s="6" t="n"/>
      <c r="AQ837" s="3">
        <f>IF(tblOrdenes[[#This Row],[orden]]="","",tblOrdenes[[#This Row],[orden]]&amp;IF(tblOrdenes[[#This Row],[operacion]]="","0010",tblOrdenes[[#This Row],[operacion]]))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2" t="n"/>
      <c r="K838" s="3" t="n"/>
      <c r="L838" s="11" t="n"/>
      <c r="M8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8" s="3">
        <f>IF(tblOrdenes[[#This Row],[fecha_inicio]]="","",YEAR(tblOrdenes[[#This Row],[fecha_inicio]]))</f>
        <v/>
      </c>
      <c r="Q838" s="3">
        <f>IF(tblOrdenes[[#This Row],[fecha_inicio]]="","",MONTH(tblOrdenes[[#This Row],[fecha_inicio]]))</f>
        <v/>
      </c>
      <c r="R838" s="3">
        <f>IF(tblOrdenes[[#This Row],[fecha_inicio]]="","",INDEX(lista_dias,WEEKDAY(tblOrdenes[[#This Row],[fecha_inicio]],2)))</f>
        <v/>
      </c>
      <c r="S8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8" s="3">
        <f>IF(tblOrdenes[[#This Row],[tipo_ot]]="","",_xlfn.XLOOKUP(tblOrdenes[[#This Row],[tipo_ot]],tblTiposOT[codigo],tblTiposOT[clasificacion],"sin_clasificar"))</f>
        <v/>
      </c>
      <c r="U838" s="3">
        <f>IF(tblOrdenes[[#This Row],[centro_costo]]="","",_xlfn.XLOOKUP(tblOrdenes[[#This Row],[centro_costo]],tblCECO[codigo],tblCECO[linea],"(sin catálogo)"))</f>
        <v/>
      </c>
      <c r="V838" s="3">
        <f>IF(tblOrdenes[[#This Row],[centro_costo]]="","",_xlfn.XLOOKUP(tblOrdenes[[#This Row],[centro_costo]],tblCECO[codigo],tblCECO[area],"(sin catálogo)"))</f>
        <v/>
      </c>
      <c r="W8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8" s="3">
        <f>IF(tblOrdenes[[#This Row],[centro_costo]]="","",_xlfn.XLOOKUP(tblOrdenes[[#This Row],[centro_costo]],tblCECO[codigo],tblCECO[coordinador],"(sin catálogo)"))</f>
        <v/>
      </c>
      <c r="Y838" s="3">
        <f>IF(tblOrdenes[[#This Row],[puesto_trabajo]]="","",_xlfn.XLOOKUP(tblOrdenes[[#This Row],[puesto_trabajo]],tblPuestos[codigo],tblPuestos[especialidad],"(sin catálogo)"))</f>
        <v/>
      </c>
      <c r="Z838" s="3">
        <f>IF(tblOrdenes[[#This Row],[cod_actividad]]="","",_xlfn.XLOOKUP(tblOrdenes[[#This Row],[cod_actividad]],tblActividades[codigo],tblActividades[descripcion],"(sin catálogo)"))</f>
        <v/>
      </c>
      <c r="AA838" s="13">
        <f>IF(tblOrdenes[[#This Row],[fecha_inicio]]="","",TODAY()-tblOrdenes[[#This Row],[fecha_inicio]])</f>
        <v/>
      </c>
      <c r="AB8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8" s="3">
        <f>IF(tblOrdenes[[#This Row],[backlog_habiles]]="","",IF(tblOrdenes[[#This Row],[backlog_habiles]]&lt;0,"FUTURO",IF(tblOrdenes[[#This Row],[backlog_habiles]]&gt;p_dias_backlog_max,"BACKLOG","MES CORRIENTE")))</f>
        <v/>
      </c>
      <c r="AD838" s="3">
        <f>IF(tblOrdenes[[#This Row],[backlog_habiles]]="",FALSE,AND(tblOrdenes[[#This Row],[backlog_habiles]]&gt;p_dias_backlog_min,tblOrdenes[[#This Row],[backlog_habiles]]&lt;=p_dias_backlog_max))</f>
        <v/>
      </c>
      <c r="AE838" s="6" t="n"/>
      <c r="AF8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8" s="11">
        <f>IF(tblOrdenes[[#This Row],[orden]]="","",_xlfn.XLOOKUP(tblOrdenes[[#This Row],[id_operacion]],tblEjecucion[id_operacion],tblEjecucion[precio],0))</f>
        <v/>
      </c>
      <c r="AJ838" s="11">
        <f>IF(tblOrdenes[[#This Row],[orden]]="","",MAX(0,_xlfn.XLOOKUP(tblOrdenes[[#This Row],[id_operacion]],tblEjecucion[id_operacion],tblEjecucion[costo_plan_total],0)-tblOrdenes[[#This Row],[costo_servicio]]))</f>
        <v/>
      </c>
      <c r="AK838" s="11">
        <f>IF(tblOrdenes[[#This Row],[orden]]="","",tblOrdenes[[#This Row],[costo_servicio]]+tblOrdenes[[#This Row],[costo_materiales]])</f>
        <v/>
      </c>
      <c r="AL838" s="6" t="n"/>
      <c r="AM838" s="6" t="n"/>
      <c r="AN838" s="6" t="n"/>
      <c r="AO838" s="3">
        <f>IF(tblOrdenes[[#This Row],[link_checklist]]="","",HYPERLINK(p_ruta_base_checklists&amp;tblOrdenes[[#This Row],[link_checklist]],"abrir"))</f>
        <v/>
      </c>
      <c r="AP838" s="6" t="n"/>
      <c r="AQ838" s="3">
        <f>IF(tblOrdenes[[#This Row],[orden]]="","",tblOrdenes[[#This Row],[orden]]&amp;IF(tblOrdenes[[#This Row],[operacion]]="","0010",tblOrdenes[[#This Row],[operacion]]))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2" t="n"/>
      <c r="K839" s="3" t="n"/>
      <c r="L839" s="11" t="n"/>
      <c r="M8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9" s="3">
        <f>IF(tblOrdenes[[#This Row],[fecha_inicio]]="","",YEAR(tblOrdenes[[#This Row],[fecha_inicio]]))</f>
        <v/>
      </c>
      <c r="Q839" s="3">
        <f>IF(tblOrdenes[[#This Row],[fecha_inicio]]="","",MONTH(tblOrdenes[[#This Row],[fecha_inicio]]))</f>
        <v/>
      </c>
      <c r="R839" s="3">
        <f>IF(tblOrdenes[[#This Row],[fecha_inicio]]="","",INDEX(lista_dias,WEEKDAY(tblOrdenes[[#This Row],[fecha_inicio]],2)))</f>
        <v/>
      </c>
      <c r="S8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9" s="3">
        <f>IF(tblOrdenes[[#This Row],[tipo_ot]]="","",_xlfn.XLOOKUP(tblOrdenes[[#This Row],[tipo_ot]],tblTiposOT[codigo],tblTiposOT[clasificacion],"sin_clasificar"))</f>
        <v/>
      </c>
      <c r="U839" s="3">
        <f>IF(tblOrdenes[[#This Row],[centro_costo]]="","",_xlfn.XLOOKUP(tblOrdenes[[#This Row],[centro_costo]],tblCECO[codigo],tblCECO[linea],"(sin catálogo)"))</f>
        <v/>
      </c>
      <c r="V839" s="3">
        <f>IF(tblOrdenes[[#This Row],[centro_costo]]="","",_xlfn.XLOOKUP(tblOrdenes[[#This Row],[centro_costo]],tblCECO[codigo],tblCECO[area],"(sin catálogo)"))</f>
        <v/>
      </c>
      <c r="W8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9" s="3">
        <f>IF(tblOrdenes[[#This Row],[centro_costo]]="","",_xlfn.XLOOKUP(tblOrdenes[[#This Row],[centro_costo]],tblCECO[codigo],tblCECO[coordinador],"(sin catálogo)"))</f>
        <v/>
      </c>
      <c r="Y839" s="3">
        <f>IF(tblOrdenes[[#This Row],[puesto_trabajo]]="","",_xlfn.XLOOKUP(tblOrdenes[[#This Row],[puesto_trabajo]],tblPuestos[codigo],tblPuestos[especialidad],"(sin catálogo)"))</f>
        <v/>
      </c>
      <c r="Z839" s="3">
        <f>IF(tblOrdenes[[#This Row],[cod_actividad]]="","",_xlfn.XLOOKUP(tblOrdenes[[#This Row],[cod_actividad]],tblActividades[codigo],tblActividades[descripcion],"(sin catálogo)"))</f>
        <v/>
      </c>
      <c r="AA839" s="13">
        <f>IF(tblOrdenes[[#This Row],[fecha_inicio]]="","",TODAY()-tblOrdenes[[#This Row],[fecha_inicio]])</f>
        <v/>
      </c>
      <c r="AB8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9" s="3">
        <f>IF(tblOrdenes[[#This Row],[backlog_habiles]]="","",IF(tblOrdenes[[#This Row],[backlog_habiles]]&lt;0,"FUTURO",IF(tblOrdenes[[#This Row],[backlog_habiles]]&gt;p_dias_backlog_max,"BACKLOG","MES CORRIENTE")))</f>
        <v/>
      </c>
      <c r="AD839" s="3">
        <f>IF(tblOrdenes[[#This Row],[backlog_habiles]]="",FALSE,AND(tblOrdenes[[#This Row],[backlog_habiles]]&gt;p_dias_backlog_min,tblOrdenes[[#This Row],[backlog_habiles]]&lt;=p_dias_backlog_max))</f>
        <v/>
      </c>
      <c r="AE839" s="6" t="n"/>
      <c r="AF8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9" s="11">
        <f>IF(tblOrdenes[[#This Row],[orden]]="","",_xlfn.XLOOKUP(tblOrdenes[[#This Row],[id_operacion]],tblEjecucion[id_operacion],tblEjecucion[precio],0))</f>
        <v/>
      </c>
      <c r="AJ839" s="11">
        <f>IF(tblOrdenes[[#This Row],[orden]]="","",MAX(0,_xlfn.XLOOKUP(tblOrdenes[[#This Row],[id_operacion]],tblEjecucion[id_operacion],tblEjecucion[costo_plan_total],0)-tblOrdenes[[#This Row],[costo_servicio]]))</f>
        <v/>
      </c>
      <c r="AK839" s="11">
        <f>IF(tblOrdenes[[#This Row],[orden]]="","",tblOrdenes[[#This Row],[costo_servicio]]+tblOrdenes[[#This Row],[costo_materiales]])</f>
        <v/>
      </c>
      <c r="AL839" s="6" t="n"/>
      <c r="AM839" s="6" t="n"/>
      <c r="AN839" s="6" t="n"/>
      <c r="AO839" s="3">
        <f>IF(tblOrdenes[[#This Row],[link_checklist]]="","",HYPERLINK(p_ruta_base_checklists&amp;tblOrdenes[[#This Row],[link_checklist]],"abrir"))</f>
        <v/>
      </c>
      <c r="AP839" s="6" t="n"/>
      <c r="AQ839" s="3">
        <f>IF(tblOrdenes[[#This Row],[orden]]="","",tblOrdenes[[#This Row],[orden]]&amp;IF(tblOrdenes[[#This Row],[operacion]]="","0010",tblOrdenes[[#This Row],[operacion]]))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2" t="n"/>
      <c r="K840" s="3" t="n"/>
      <c r="L840" s="11" t="n"/>
      <c r="M8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0" s="3">
        <f>IF(tblOrdenes[[#This Row],[fecha_inicio]]="","",YEAR(tblOrdenes[[#This Row],[fecha_inicio]]))</f>
        <v/>
      </c>
      <c r="Q840" s="3">
        <f>IF(tblOrdenes[[#This Row],[fecha_inicio]]="","",MONTH(tblOrdenes[[#This Row],[fecha_inicio]]))</f>
        <v/>
      </c>
      <c r="R840" s="3">
        <f>IF(tblOrdenes[[#This Row],[fecha_inicio]]="","",INDEX(lista_dias,WEEKDAY(tblOrdenes[[#This Row],[fecha_inicio]],2)))</f>
        <v/>
      </c>
      <c r="S8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0" s="3">
        <f>IF(tblOrdenes[[#This Row],[tipo_ot]]="","",_xlfn.XLOOKUP(tblOrdenes[[#This Row],[tipo_ot]],tblTiposOT[codigo],tblTiposOT[clasificacion],"sin_clasificar"))</f>
        <v/>
      </c>
      <c r="U840" s="3">
        <f>IF(tblOrdenes[[#This Row],[centro_costo]]="","",_xlfn.XLOOKUP(tblOrdenes[[#This Row],[centro_costo]],tblCECO[codigo],tblCECO[linea],"(sin catálogo)"))</f>
        <v/>
      </c>
      <c r="V840" s="3">
        <f>IF(tblOrdenes[[#This Row],[centro_costo]]="","",_xlfn.XLOOKUP(tblOrdenes[[#This Row],[centro_costo]],tblCECO[codigo],tblCECO[area],"(sin catálogo)"))</f>
        <v/>
      </c>
      <c r="W8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0" s="3">
        <f>IF(tblOrdenes[[#This Row],[centro_costo]]="","",_xlfn.XLOOKUP(tblOrdenes[[#This Row],[centro_costo]],tblCECO[codigo],tblCECO[coordinador],"(sin catálogo)"))</f>
        <v/>
      </c>
      <c r="Y840" s="3">
        <f>IF(tblOrdenes[[#This Row],[puesto_trabajo]]="","",_xlfn.XLOOKUP(tblOrdenes[[#This Row],[puesto_trabajo]],tblPuestos[codigo],tblPuestos[especialidad],"(sin catálogo)"))</f>
        <v/>
      </c>
      <c r="Z840" s="3">
        <f>IF(tblOrdenes[[#This Row],[cod_actividad]]="","",_xlfn.XLOOKUP(tblOrdenes[[#This Row],[cod_actividad]],tblActividades[codigo],tblActividades[descripcion],"(sin catálogo)"))</f>
        <v/>
      </c>
      <c r="AA840" s="13">
        <f>IF(tblOrdenes[[#This Row],[fecha_inicio]]="","",TODAY()-tblOrdenes[[#This Row],[fecha_inicio]])</f>
        <v/>
      </c>
      <c r="AB8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0" s="3">
        <f>IF(tblOrdenes[[#This Row],[backlog_habiles]]="","",IF(tblOrdenes[[#This Row],[backlog_habiles]]&lt;0,"FUTURO",IF(tblOrdenes[[#This Row],[backlog_habiles]]&gt;p_dias_backlog_max,"BACKLOG","MES CORRIENTE")))</f>
        <v/>
      </c>
      <c r="AD840" s="3">
        <f>IF(tblOrdenes[[#This Row],[backlog_habiles]]="",FALSE,AND(tblOrdenes[[#This Row],[backlog_habiles]]&gt;p_dias_backlog_min,tblOrdenes[[#This Row],[backlog_habiles]]&lt;=p_dias_backlog_max))</f>
        <v/>
      </c>
      <c r="AE840" s="6" t="n"/>
      <c r="AF8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0" s="11">
        <f>IF(tblOrdenes[[#This Row],[orden]]="","",_xlfn.XLOOKUP(tblOrdenes[[#This Row],[id_operacion]],tblEjecucion[id_operacion],tblEjecucion[precio],0))</f>
        <v/>
      </c>
      <c r="AJ840" s="11">
        <f>IF(tblOrdenes[[#This Row],[orden]]="","",MAX(0,_xlfn.XLOOKUP(tblOrdenes[[#This Row],[id_operacion]],tblEjecucion[id_operacion],tblEjecucion[costo_plan_total],0)-tblOrdenes[[#This Row],[costo_servicio]]))</f>
        <v/>
      </c>
      <c r="AK840" s="11">
        <f>IF(tblOrdenes[[#This Row],[orden]]="","",tblOrdenes[[#This Row],[costo_servicio]]+tblOrdenes[[#This Row],[costo_materiales]])</f>
        <v/>
      </c>
      <c r="AL840" s="6" t="n"/>
      <c r="AM840" s="6" t="n"/>
      <c r="AN840" s="6" t="n"/>
      <c r="AO840" s="3">
        <f>IF(tblOrdenes[[#This Row],[link_checklist]]="","",HYPERLINK(p_ruta_base_checklists&amp;tblOrdenes[[#This Row],[link_checklist]],"abrir"))</f>
        <v/>
      </c>
      <c r="AP840" s="6" t="n"/>
      <c r="AQ840" s="3">
        <f>IF(tblOrdenes[[#This Row],[orden]]="","",tblOrdenes[[#This Row],[orden]]&amp;IF(tblOrdenes[[#This Row],[operacion]]="","0010",tblOrdenes[[#This Row],[operacion]]))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2" t="n"/>
      <c r="K841" s="3" t="n"/>
      <c r="L841" s="11" t="n"/>
      <c r="M8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1" s="3">
        <f>IF(tblOrdenes[[#This Row],[fecha_inicio]]="","",YEAR(tblOrdenes[[#This Row],[fecha_inicio]]))</f>
        <v/>
      </c>
      <c r="Q841" s="3">
        <f>IF(tblOrdenes[[#This Row],[fecha_inicio]]="","",MONTH(tblOrdenes[[#This Row],[fecha_inicio]]))</f>
        <v/>
      </c>
      <c r="R841" s="3">
        <f>IF(tblOrdenes[[#This Row],[fecha_inicio]]="","",INDEX(lista_dias,WEEKDAY(tblOrdenes[[#This Row],[fecha_inicio]],2)))</f>
        <v/>
      </c>
      <c r="S8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1" s="3">
        <f>IF(tblOrdenes[[#This Row],[tipo_ot]]="","",_xlfn.XLOOKUP(tblOrdenes[[#This Row],[tipo_ot]],tblTiposOT[codigo],tblTiposOT[clasificacion],"sin_clasificar"))</f>
        <v/>
      </c>
      <c r="U841" s="3">
        <f>IF(tblOrdenes[[#This Row],[centro_costo]]="","",_xlfn.XLOOKUP(tblOrdenes[[#This Row],[centro_costo]],tblCECO[codigo],tblCECO[linea],"(sin catálogo)"))</f>
        <v/>
      </c>
      <c r="V841" s="3">
        <f>IF(tblOrdenes[[#This Row],[centro_costo]]="","",_xlfn.XLOOKUP(tblOrdenes[[#This Row],[centro_costo]],tblCECO[codigo],tblCECO[area],"(sin catálogo)"))</f>
        <v/>
      </c>
      <c r="W8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1" s="3">
        <f>IF(tblOrdenes[[#This Row],[centro_costo]]="","",_xlfn.XLOOKUP(tblOrdenes[[#This Row],[centro_costo]],tblCECO[codigo],tblCECO[coordinador],"(sin catálogo)"))</f>
        <v/>
      </c>
      <c r="Y841" s="3">
        <f>IF(tblOrdenes[[#This Row],[puesto_trabajo]]="","",_xlfn.XLOOKUP(tblOrdenes[[#This Row],[puesto_trabajo]],tblPuestos[codigo],tblPuestos[especialidad],"(sin catálogo)"))</f>
        <v/>
      </c>
      <c r="Z841" s="3">
        <f>IF(tblOrdenes[[#This Row],[cod_actividad]]="","",_xlfn.XLOOKUP(tblOrdenes[[#This Row],[cod_actividad]],tblActividades[codigo],tblActividades[descripcion],"(sin catálogo)"))</f>
        <v/>
      </c>
      <c r="AA841" s="13">
        <f>IF(tblOrdenes[[#This Row],[fecha_inicio]]="","",TODAY()-tblOrdenes[[#This Row],[fecha_inicio]])</f>
        <v/>
      </c>
      <c r="AB8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1" s="3">
        <f>IF(tblOrdenes[[#This Row],[backlog_habiles]]="","",IF(tblOrdenes[[#This Row],[backlog_habiles]]&lt;0,"FUTURO",IF(tblOrdenes[[#This Row],[backlog_habiles]]&gt;p_dias_backlog_max,"BACKLOG","MES CORRIENTE")))</f>
        <v/>
      </c>
      <c r="AD841" s="3">
        <f>IF(tblOrdenes[[#This Row],[backlog_habiles]]="",FALSE,AND(tblOrdenes[[#This Row],[backlog_habiles]]&gt;p_dias_backlog_min,tblOrdenes[[#This Row],[backlog_habiles]]&lt;=p_dias_backlog_max))</f>
        <v/>
      </c>
      <c r="AE841" s="6" t="n"/>
      <c r="AF8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1" s="11">
        <f>IF(tblOrdenes[[#This Row],[orden]]="","",_xlfn.XLOOKUP(tblOrdenes[[#This Row],[id_operacion]],tblEjecucion[id_operacion],tblEjecucion[precio],0))</f>
        <v/>
      </c>
      <c r="AJ841" s="11">
        <f>IF(tblOrdenes[[#This Row],[orden]]="","",MAX(0,_xlfn.XLOOKUP(tblOrdenes[[#This Row],[id_operacion]],tblEjecucion[id_operacion],tblEjecucion[costo_plan_total],0)-tblOrdenes[[#This Row],[costo_servicio]]))</f>
        <v/>
      </c>
      <c r="AK841" s="11">
        <f>IF(tblOrdenes[[#This Row],[orden]]="","",tblOrdenes[[#This Row],[costo_servicio]]+tblOrdenes[[#This Row],[costo_materiales]])</f>
        <v/>
      </c>
      <c r="AL841" s="6" t="n"/>
      <c r="AM841" s="6" t="n"/>
      <c r="AN841" s="6" t="n"/>
      <c r="AO841" s="3">
        <f>IF(tblOrdenes[[#This Row],[link_checklist]]="","",HYPERLINK(p_ruta_base_checklists&amp;tblOrdenes[[#This Row],[link_checklist]],"abrir"))</f>
        <v/>
      </c>
      <c r="AP841" s="6" t="n"/>
      <c r="AQ841" s="3">
        <f>IF(tblOrdenes[[#This Row],[orden]]="","",tblOrdenes[[#This Row],[orden]]&amp;IF(tblOrdenes[[#This Row],[operacion]]="","0010",tblOrdenes[[#This Row],[operacion]]))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2" t="n"/>
      <c r="K842" s="3" t="n"/>
      <c r="L842" s="11" t="n"/>
      <c r="M8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2" s="3">
        <f>IF(tblOrdenes[[#This Row],[fecha_inicio]]="","",YEAR(tblOrdenes[[#This Row],[fecha_inicio]]))</f>
        <v/>
      </c>
      <c r="Q842" s="3">
        <f>IF(tblOrdenes[[#This Row],[fecha_inicio]]="","",MONTH(tblOrdenes[[#This Row],[fecha_inicio]]))</f>
        <v/>
      </c>
      <c r="R842" s="3">
        <f>IF(tblOrdenes[[#This Row],[fecha_inicio]]="","",INDEX(lista_dias,WEEKDAY(tblOrdenes[[#This Row],[fecha_inicio]],2)))</f>
        <v/>
      </c>
      <c r="S8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2" s="3">
        <f>IF(tblOrdenes[[#This Row],[tipo_ot]]="","",_xlfn.XLOOKUP(tblOrdenes[[#This Row],[tipo_ot]],tblTiposOT[codigo],tblTiposOT[clasificacion],"sin_clasificar"))</f>
        <v/>
      </c>
      <c r="U842" s="3">
        <f>IF(tblOrdenes[[#This Row],[centro_costo]]="","",_xlfn.XLOOKUP(tblOrdenes[[#This Row],[centro_costo]],tblCECO[codigo],tblCECO[linea],"(sin catálogo)"))</f>
        <v/>
      </c>
      <c r="V842" s="3">
        <f>IF(tblOrdenes[[#This Row],[centro_costo]]="","",_xlfn.XLOOKUP(tblOrdenes[[#This Row],[centro_costo]],tblCECO[codigo],tblCECO[area],"(sin catálogo)"))</f>
        <v/>
      </c>
      <c r="W8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2" s="3">
        <f>IF(tblOrdenes[[#This Row],[centro_costo]]="","",_xlfn.XLOOKUP(tblOrdenes[[#This Row],[centro_costo]],tblCECO[codigo],tblCECO[coordinador],"(sin catálogo)"))</f>
        <v/>
      </c>
      <c r="Y842" s="3">
        <f>IF(tblOrdenes[[#This Row],[puesto_trabajo]]="","",_xlfn.XLOOKUP(tblOrdenes[[#This Row],[puesto_trabajo]],tblPuestos[codigo],tblPuestos[especialidad],"(sin catálogo)"))</f>
        <v/>
      </c>
      <c r="Z842" s="3">
        <f>IF(tblOrdenes[[#This Row],[cod_actividad]]="","",_xlfn.XLOOKUP(tblOrdenes[[#This Row],[cod_actividad]],tblActividades[codigo],tblActividades[descripcion],"(sin catálogo)"))</f>
        <v/>
      </c>
      <c r="AA842" s="13">
        <f>IF(tblOrdenes[[#This Row],[fecha_inicio]]="","",TODAY()-tblOrdenes[[#This Row],[fecha_inicio]])</f>
        <v/>
      </c>
      <c r="AB8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2" s="3">
        <f>IF(tblOrdenes[[#This Row],[backlog_habiles]]="","",IF(tblOrdenes[[#This Row],[backlog_habiles]]&lt;0,"FUTURO",IF(tblOrdenes[[#This Row],[backlog_habiles]]&gt;p_dias_backlog_max,"BACKLOG","MES CORRIENTE")))</f>
        <v/>
      </c>
      <c r="AD842" s="3">
        <f>IF(tblOrdenes[[#This Row],[backlog_habiles]]="",FALSE,AND(tblOrdenes[[#This Row],[backlog_habiles]]&gt;p_dias_backlog_min,tblOrdenes[[#This Row],[backlog_habiles]]&lt;=p_dias_backlog_max))</f>
        <v/>
      </c>
      <c r="AE842" s="6" t="n"/>
      <c r="AF8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2" s="11">
        <f>IF(tblOrdenes[[#This Row],[orden]]="","",_xlfn.XLOOKUP(tblOrdenes[[#This Row],[id_operacion]],tblEjecucion[id_operacion],tblEjecucion[precio],0))</f>
        <v/>
      </c>
      <c r="AJ842" s="11">
        <f>IF(tblOrdenes[[#This Row],[orden]]="","",MAX(0,_xlfn.XLOOKUP(tblOrdenes[[#This Row],[id_operacion]],tblEjecucion[id_operacion],tblEjecucion[costo_plan_total],0)-tblOrdenes[[#This Row],[costo_servicio]]))</f>
        <v/>
      </c>
      <c r="AK842" s="11">
        <f>IF(tblOrdenes[[#This Row],[orden]]="","",tblOrdenes[[#This Row],[costo_servicio]]+tblOrdenes[[#This Row],[costo_materiales]])</f>
        <v/>
      </c>
      <c r="AL842" s="6" t="n"/>
      <c r="AM842" s="6" t="n"/>
      <c r="AN842" s="6" t="n"/>
      <c r="AO842" s="3">
        <f>IF(tblOrdenes[[#This Row],[link_checklist]]="","",HYPERLINK(p_ruta_base_checklists&amp;tblOrdenes[[#This Row],[link_checklist]],"abrir"))</f>
        <v/>
      </c>
      <c r="AP842" s="6" t="n"/>
      <c r="AQ842" s="3">
        <f>IF(tblOrdenes[[#This Row],[orden]]="","",tblOrdenes[[#This Row],[orden]]&amp;IF(tblOrdenes[[#This Row],[operacion]]="","0010",tblOrdenes[[#This Row],[operacion]]))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2" t="n"/>
      <c r="K843" s="3" t="n"/>
      <c r="L843" s="11" t="n"/>
      <c r="M8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3" s="3">
        <f>IF(tblOrdenes[[#This Row],[fecha_inicio]]="","",YEAR(tblOrdenes[[#This Row],[fecha_inicio]]))</f>
        <v/>
      </c>
      <c r="Q843" s="3">
        <f>IF(tblOrdenes[[#This Row],[fecha_inicio]]="","",MONTH(tblOrdenes[[#This Row],[fecha_inicio]]))</f>
        <v/>
      </c>
      <c r="R843" s="3">
        <f>IF(tblOrdenes[[#This Row],[fecha_inicio]]="","",INDEX(lista_dias,WEEKDAY(tblOrdenes[[#This Row],[fecha_inicio]],2)))</f>
        <v/>
      </c>
      <c r="S8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3" s="3">
        <f>IF(tblOrdenes[[#This Row],[tipo_ot]]="","",_xlfn.XLOOKUP(tblOrdenes[[#This Row],[tipo_ot]],tblTiposOT[codigo],tblTiposOT[clasificacion],"sin_clasificar"))</f>
        <v/>
      </c>
      <c r="U843" s="3">
        <f>IF(tblOrdenes[[#This Row],[centro_costo]]="","",_xlfn.XLOOKUP(tblOrdenes[[#This Row],[centro_costo]],tblCECO[codigo],tblCECO[linea],"(sin catálogo)"))</f>
        <v/>
      </c>
      <c r="V843" s="3">
        <f>IF(tblOrdenes[[#This Row],[centro_costo]]="","",_xlfn.XLOOKUP(tblOrdenes[[#This Row],[centro_costo]],tblCECO[codigo],tblCECO[area],"(sin catálogo)"))</f>
        <v/>
      </c>
      <c r="W8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3" s="3">
        <f>IF(tblOrdenes[[#This Row],[centro_costo]]="","",_xlfn.XLOOKUP(tblOrdenes[[#This Row],[centro_costo]],tblCECO[codigo],tblCECO[coordinador],"(sin catálogo)"))</f>
        <v/>
      </c>
      <c r="Y843" s="3">
        <f>IF(tblOrdenes[[#This Row],[puesto_trabajo]]="","",_xlfn.XLOOKUP(tblOrdenes[[#This Row],[puesto_trabajo]],tblPuestos[codigo],tblPuestos[especialidad],"(sin catálogo)"))</f>
        <v/>
      </c>
      <c r="Z843" s="3">
        <f>IF(tblOrdenes[[#This Row],[cod_actividad]]="","",_xlfn.XLOOKUP(tblOrdenes[[#This Row],[cod_actividad]],tblActividades[codigo],tblActividades[descripcion],"(sin catálogo)"))</f>
        <v/>
      </c>
      <c r="AA843" s="13">
        <f>IF(tblOrdenes[[#This Row],[fecha_inicio]]="","",TODAY()-tblOrdenes[[#This Row],[fecha_inicio]])</f>
        <v/>
      </c>
      <c r="AB8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3" s="3">
        <f>IF(tblOrdenes[[#This Row],[backlog_habiles]]="","",IF(tblOrdenes[[#This Row],[backlog_habiles]]&lt;0,"FUTURO",IF(tblOrdenes[[#This Row],[backlog_habiles]]&gt;p_dias_backlog_max,"BACKLOG","MES CORRIENTE")))</f>
        <v/>
      </c>
      <c r="AD843" s="3">
        <f>IF(tblOrdenes[[#This Row],[backlog_habiles]]="",FALSE,AND(tblOrdenes[[#This Row],[backlog_habiles]]&gt;p_dias_backlog_min,tblOrdenes[[#This Row],[backlog_habiles]]&lt;=p_dias_backlog_max))</f>
        <v/>
      </c>
      <c r="AE843" s="6" t="n"/>
      <c r="AF8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3" s="11">
        <f>IF(tblOrdenes[[#This Row],[orden]]="","",_xlfn.XLOOKUP(tblOrdenes[[#This Row],[id_operacion]],tblEjecucion[id_operacion],tblEjecucion[precio],0))</f>
        <v/>
      </c>
      <c r="AJ843" s="11">
        <f>IF(tblOrdenes[[#This Row],[orden]]="","",MAX(0,_xlfn.XLOOKUP(tblOrdenes[[#This Row],[id_operacion]],tblEjecucion[id_operacion],tblEjecucion[costo_plan_total],0)-tblOrdenes[[#This Row],[costo_servicio]]))</f>
        <v/>
      </c>
      <c r="AK843" s="11">
        <f>IF(tblOrdenes[[#This Row],[orden]]="","",tblOrdenes[[#This Row],[costo_servicio]]+tblOrdenes[[#This Row],[costo_materiales]])</f>
        <v/>
      </c>
      <c r="AL843" s="6" t="n"/>
      <c r="AM843" s="6" t="n"/>
      <c r="AN843" s="6" t="n"/>
      <c r="AO843" s="3">
        <f>IF(tblOrdenes[[#This Row],[link_checklist]]="","",HYPERLINK(p_ruta_base_checklists&amp;tblOrdenes[[#This Row],[link_checklist]],"abrir"))</f>
        <v/>
      </c>
      <c r="AP843" s="6" t="n"/>
      <c r="AQ843" s="3">
        <f>IF(tblOrdenes[[#This Row],[orden]]="","",tblOrdenes[[#This Row],[orden]]&amp;IF(tblOrdenes[[#This Row],[operacion]]="","0010",tblOrdenes[[#This Row],[operacion]]))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2" t="n"/>
      <c r="K844" s="3" t="n"/>
      <c r="L844" s="11" t="n"/>
      <c r="M8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4" s="3">
        <f>IF(tblOrdenes[[#This Row],[fecha_inicio]]="","",YEAR(tblOrdenes[[#This Row],[fecha_inicio]]))</f>
        <v/>
      </c>
      <c r="Q844" s="3">
        <f>IF(tblOrdenes[[#This Row],[fecha_inicio]]="","",MONTH(tblOrdenes[[#This Row],[fecha_inicio]]))</f>
        <v/>
      </c>
      <c r="R844" s="3">
        <f>IF(tblOrdenes[[#This Row],[fecha_inicio]]="","",INDEX(lista_dias,WEEKDAY(tblOrdenes[[#This Row],[fecha_inicio]],2)))</f>
        <v/>
      </c>
      <c r="S8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4" s="3">
        <f>IF(tblOrdenes[[#This Row],[tipo_ot]]="","",_xlfn.XLOOKUP(tblOrdenes[[#This Row],[tipo_ot]],tblTiposOT[codigo],tblTiposOT[clasificacion],"sin_clasificar"))</f>
        <v/>
      </c>
      <c r="U844" s="3">
        <f>IF(tblOrdenes[[#This Row],[centro_costo]]="","",_xlfn.XLOOKUP(tblOrdenes[[#This Row],[centro_costo]],tblCECO[codigo],tblCECO[linea],"(sin catálogo)"))</f>
        <v/>
      </c>
      <c r="V844" s="3">
        <f>IF(tblOrdenes[[#This Row],[centro_costo]]="","",_xlfn.XLOOKUP(tblOrdenes[[#This Row],[centro_costo]],tblCECO[codigo],tblCECO[area],"(sin catálogo)"))</f>
        <v/>
      </c>
      <c r="W8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4" s="3">
        <f>IF(tblOrdenes[[#This Row],[centro_costo]]="","",_xlfn.XLOOKUP(tblOrdenes[[#This Row],[centro_costo]],tblCECO[codigo],tblCECO[coordinador],"(sin catálogo)"))</f>
        <v/>
      </c>
      <c r="Y844" s="3">
        <f>IF(tblOrdenes[[#This Row],[puesto_trabajo]]="","",_xlfn.XLOOKUP(tblOrdenes[[#This Row],[puesto_trabajo]],tblPuestos[codigo],tblPuestos[especialidad],"(sin catálogo)"))</f>
        <v/>
      </c>
      <c r="Z844" s="3">
        <f>IF(tblOrdenes[[#This Row],[cod_actividad]]="","",_xlfn.XLOOKUP(tblOrdenes[[#This Row],[cod_actividad]],tblActividades[codigo],tblActividades[descripcion],"(sin catálogo)"))</f>
        <v/>
      </c>
      <c r="AA844" s="13">
        <f>IF(tblOrdenes[[#This Row],[fecha_inicio]]="","",TODAY()-tblOrdenes[[#This Row],[fecha_inicio]])</f>
        <v/>
      </c>
      <c r="AB8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4" s="3">
        <f>IF(tblOrdenes[[#This Row],[backlog_habiles]]="","",IF(tblOrdenes[[#This Row],[backlog_habiles]]&lt;0,"FUTURO",IF(tblOrdenes[[#This Row],[backlog_habiles]]&gt;p_dias_backlog_max,"BACKLOG","MES CORRIENTE")))</f>
        <v/>
      </c>
      <c r="AD844" s="3">
        <f>IF(tblOrdenes[[#This Row],[backlog_habiles]]="",FALSE,AND(tblOrdenes[[#This Row],[backlog_habiles]]&gt;p_dias_backlog_min,tblOrdenes[[#This Row],[backlog_habiles]]&lt;=p_dias_backlog_max))</f>
        <v/>
      </c>
      <c r="AE844" s="6" t="n"/>
      <c r="AF8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4" s="11">
        <f>IF(tblOrdenes[[#This Row],[orden]]="","",_xlfn.XLOOKUP(tblOrdenes[[#This Row],[id_operacion]],tblEjecucion[id_operacion],tblEjecucion[precio],0))</f>
        <v/>
      </c>
      <c r="AJ844" s="11">
        <f>IF(tblOrdenes[[#This Row],[orden]]="","",MAX(0,_xlfn.XLOOKUP(tblOrdenes[[#This Row],[id_operacion]],tblEjecucion[id_operacion],tblEjecucion[costo_plan_total],0)-tblOrdenes[[#This Row],[costo_servicio]]))</f>
        <v/>
      </c>
      <c r="AK844" s="11">
        <f>IF(tblOrdenes[[#This Row],[orden]]="","",tblOrdenes[[#This Row],[costo_servicio]]+tblOrdenes[[#This Row],[costo_materiales]])</f>
        <v/>
      </c>
      <c r="AL844" s="6" t="n"/>
      <c r="AM844" s="6" t="n"/>
      <c r="AN844" s="6" t="n"/>
      <c r="AO844" s="3">
        <f>IF(tblOrdenes[[#This Row],[link_checklist]]="","",HYPERLINK(p_ruta_base_checklists&amp;tblOrdenes[[#This Row],[link_checklist]],"abrir"))</f>
        <v/>
      </c>
      <c r="AP844" s="6" t="n"/>
      <c r="AQ844" s="3">
        <f>IF(tblOrdenes[[#This Row],[orden]]="","",tblOrdenes[[#This Row],[orden]]&amp;IF(tblOrdenes[[#This Row],[operacion]]="","0010",tblOrdenes[[#This Row],[operacion]]))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2" t="n"/>
      <c r="K845" s="3" t="n"/>
      <c r="L845" s="11" t="n"/>
      <c r="M8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5" s="3">
        <f>IF(tblOrdenes[[#This Row],[fecha_inicio]]="","",YEAR(tblOrdenes[[#This Row],[fecha_inicio]]))</f>
        <v/>
      </c>
      <c r="Q845" s="3">
        <f>IF(tblOrdenes[[#This Row],[fecha_inicio]]="","",MONTH(tblOrdenes[[#This Row],[fecha_inicio]]))</f>
        <v/>
      </c>
      <c r="R845" s="3">
        <f>IF(tblOrdenes[[#This Row],[fecha_inicio]]="","",INDEX(lista_dias,WEEKDAY(tblOrdenes[[#This Row],[fecha_inicio]],2)))</f>
        <v/>
      </c>
      <c r="S8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5" s="3">
        <f>IF(tblOrdenes[[#This Row],[tipo_ot]]="","",_xlfn.XLOOKUP(tblOrdenes[[#This Row],[tipo_ot]],tblTiposOT[codigo],tblTiposOT[clasificacion],"sin_clasificar"))</f>
        <v/>
      </c>
      <c r="U845" s="3">
        <f>IF(tblOrdenes[[#This Row],[centro_costo]]="","",_xlfn.XLOOKUP(tblOrdenes[[#This Row],[centro_costo]],tblCECO[codigo],tblCECO[linea],"(sin catálogo)"))</f>
        <v/>
      </c>
      <c r="V845" s="3">
        <f>IF(tblOrdenes[[#This Row],[centro_costo]]="","",_xlfn.XLOOKUP(tblOrdenes[[#This Row],[centro_costo]],tblCECO[codigo],tblCECO[area],"(sin catálogo)"))</f>
        <v/>
      </c>
      <c r="W8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5" s="3">
        <f>IF(tblOrdenes[[#This Row],[centro_costo]]="","",_xlfn.XLOOKUP(tblOrdenes[[#This Row],[centro_costo]],tblCECO[codigo],tblCECO[coordinador],"(sin catálogo)"))</f>
        <v/>
      </c>
      <c r="Y845" s="3">
        <f>IF(tblOrdenes[[#This Row],[puesto_trabajo]]="","",_xlfn.XLOOKUP(tblOrdenes[[#This Row],[puesto_trabajo]],tblPuestos[codigo],tblPuestos[especialidad],"(sin catálogo)"))</f>
        <v/>
      </c>
      <c r="Z845" s="3">
        <f>IF(tblOrdenes[[#This Row],[cod_actividad]]="","",_xlfn.XLOOKUP(tblOrdenes[[#This Row],[cod_actividad]],tblActividades[codigo],tblActividades[descripcion],"(sin catálogo)"))</f>
        <v/>
      </c>
      <c r="AA845" s="13">
        <f>IF(tblOrdenes[[#This Row],[fecha_inicio]]="","",TODAY()-tblOrdenes[[#This Row],[fecha_inicio]])</f>
        <v/>
      </c>
      <c r="AB8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5" s="3">
        <f>IF(tblOrdenes[[#This Row],[backlog_habiles]]="","",IF(tblOrdenes[[#This Row],[backlog_habiles]]&lt;0,"FUTURO",IF(tblOrdenes[[#This Row],[backlog_habiles]]&gt;p_dias_backlog_max,"BACKLOG","MES CORRIENTE")))</f>
        <v/>
      </c>
      <c r="AD845" s="3">
        <f>IF(tblOrdenes[[#This Row],[backlog_habiles]]="",FALSE,AND(tblOrdenes[[#This Row],[backlog_habiles]]&gt;p_dias_backlog_min,tblOrdenes[[#This Row],[backlog_habiles]]&lt;=p_dias_backlog_max))</f>
        <v/>
      </c>
      <c r="AE845" s="6" t="n"/>
      <c r="AF8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5" s="11">
        <f>IF(tblOrdenes[[#This Row],[orden]]="","",_xlfn.XLOOKUP(tblOrdenes[[#This Row],[id_operacion]],tblEjecucion[id_operacion],tblEjecucion[precio],0))</f>
        <v/>
      </c>
      <c r="AJ845" s="11">
        <f>IF(tblOrdenes[[#This Row],[orden]]="","",MAX(0,_xlfn.XLOOKUP(tblOrdenes[[#This Row],[id_operacion]],tblEjecucion[id_operacion],tblEjecucion[costo_plan_total],0)-tblOrdenes[[#This Row],[costo_servicio]]))</f>
        <v/>
      </c>
      <c r="AK845" s="11">
        <f>IF(tblOrdenes[[#This Row],[orden]]="","",tblOrdenes[[#This Row],[costo_servicio]]+tblOrdenes[[#This Row],[costo_materiales]])</f>
        <v/>
      </c>
      <c r="AL845" s="6" t="n"/>
      <c r="AM845" s="6" t="n"/>
      <c r="AN845" s="6" t="n"/>
      <c r="AO845" s="3">
        <f>IF(tblOrdenes[[#This Row],[link_checklist]]="","",HYPERLINK(p_ruta_base_checklists&amp;tblOrdenes[[#This Row],[link_checklist]],"abrir"))</f>
        <v/>
      </c>
      <c r="AP845" s="6" t="n"/>
      <c r="AQ845" s="3">
        <f>IF(tblOrdenes[[#This Row],[orden]]="","",tblOrdenes[[#This Row],[orden]]&amp;IF(tblOrdenes[[#This Row],[operacion]]="","0010",tblOrdenes[[#This Row],[operacion]]))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2" t="n"/>
      <c r="K846" s="3" t="n"/>
      <c r="L846" s="11" t="n"/>
      <c r="M8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6" s="3">
        <f>IF(tblOrdenes[[#This Row],[fecha_inicio]]="","",YEAR(tblOrdenes[[#This Row],[fecha_inicio]]))</f>
        <v/>
      </c>
      <c r="Q846" s="3">
        <f>IF(tblOrdenes[[#This Row],[fecha_inicio]]="","",MONTH(tblOrdenes[[#This Row],[fecha_inicio]]))</f>
        <v/>
      </c>
      <c r="R846" s="3">
        <f>IF(tblOrdenes[[#This Row],[fecha_inicio]]="","",INDEX(lista_dias,WEEKDAY(tblOrdenes[[#This Row],[fecha_inicio]],2)))</f>
        <v/>
      </c>
      <c r="S8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6" s="3">
        <f>IF(tblOrdenes[[#This Row],[tipo_ot]]="","",_xlfn.XLOOKUP(tblOrdenes[[#This Row],[tipo_ot]],tblTiposOT[codigo],tblTiposOT[clasificacion],"sin_clasificar"))</f>
        <v/>
      </c>
      <c r="U846" s="3">
        <f>IF(tblOrdenes[[#This Row],[centro_costo]]="","",_xlfn.XLOOKUP(tblOrdenes[[#This Row],[centro_costo]],tblCECO[codigo],tblCECO[linea],"(sin catálogo)"))</f>
        <v/>
      </c>
      <c r="V846" s="3">
        <f>IF(tblOrdenes[[#This Row],[centro_costo]]="","",_xlfn.XLOOKUP(tblOrdenes[[#This Row],[centro_costo]],tblCECO[codigo],tblCECO[area],"(sin catálogo)"))</f>
        <v/>
      </c>
      <c r="W8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6" s="3">
        <f>IF(tblOrdenes[[#This Row],[centro_costo]]="","",_xlfn.XLOOKUP(tblOrdenes[[#This Row],[centro_costo]],tblCECO[codigo],tblCECO[coordinador],"(sin catálogo)"))</f>
        <v/>
      </c>
      <c r="Y846" s="3">
        <f>IF(tblOrdenes[[#This Row],[puesto_trabajo]]="","",_xlfn.XLOOKUP(tblOrdenes[[#This Row],[puesto_trabajo]],tblPuestos[codigo],tblPuestos[especialidad],"(sin catálogo)"))</f>
        <v/>
      </c>
      <c r="Z846" s="3">
        <f>IF(tblOrdenes[[#This Row],[cod_actividad]]="","",_xlfn.XLOOKUP(tblOrdenes[[#This Row],[cod_actividad]],tblActividades[codigo],tblActividades[descripcion],"(sin catálogo)"))</f>
        <v/>
      </c>
      <c r="AA846" s="13">
        <f>IF(tblOrdenes[[#This Row],[fecha_inicio]]="","",TODAY()-tblOrdenes[[#This Row],[fecha_inicio]])</f>
        <v/>
      </c>
      <c r="AB8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6" s="3">
        <f>IF(tblOrdenes[[#This Row],[backlog_habiles]]="","",IF(tblOrdenes[[#This Row],[backlog_habiles]]&lt;0,"FUTURO",IF(tblOrdenes[[#This Row],[backlog_habiles]]&gt;p_dias_backlog_max,"BACKLOG","MES CORRIENTE")))</f>
        <v/>
      </c>
      <c r="AD846" s="3">
        <f>IF(tblOrdenes[[#This Row],[backlog_habiles]]="",FALSE,AND(tblOrdenes[[#This Row],[backlog_habiles]]&gt;p_dias_backlog_min,tblOrdenes[[#This Row],[backlog_habiles]]&lt;=p_dias_backlog_max))</f>
        <v/>
      </c>
      <c r="AE846" s="6" t="n"/>
      <c r="AF8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6" s="11">
        <f>IF(tblOrdenes[[#This Row],[orden]]="","",_xlfn.XLOOKUP(tblOrdenes[[#This Row],[id_operacion]],tblEjecucion[id_operacion],tblEjecucion[precio],0))</f>
        <v/>
      </c>
      <c r="AJ846" s="11">
        <f>IF(tblOrdenes[[#This Row],[orden]]="","",MAX(0,_xlfn.XLOOKUP(tblOrdenes[[#This Row],[id_operacion]],tblEjecucion[id_operacion],tblEjecucion[costo_plan_total],0)-tblOrdenes[[#This Row],[costo_servicio]]))</f>
        <v/>
      </c>
      <c r="AK846" s="11">
        <f>IF(tblOrdenes[[#This Row],[orden]]="","",tblOrdenes[[#This Row],[costo_servicio]]+tblOrdenes[[#This Row],[costo_materiales]])</f>
        <v/>
      </c>
      <c r="AL846" s="6" t="n"/>
      <c r="AM846" s="6" t="n"/>
      <c r="AN846" s="6" t="n"/>
      <c r="AO846" s="3">
        <f>IF(tblOrdenes[[#This Row],[link_checklist]]="","",HYPERLINK(p_ruta_base_checklists&amp;tblOrdenes[[#This Row],[link_checklist]],"abrir"))</f>
        <v/>
      </c>
      <c r="AP846" s="6" t="n"/>
      <c r="AQ846" s="3">
        <f>IF(tblOrdenes[[#This Row],[orden]]="","",tblOrdenes[[#This Row],[orden]]&amp;IF(tblOrdenes[[#This Row],[operacion]]="","0010",tblOrdenes[[#This Row],[operacion]]))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2" t="n"/>
      <c r="K847" s="3" t="n"/>
      <c r="L847" s="11" t="n"/>
      <c r="M8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7" s="3">
        <f>IF(tblOrdenes[[#This Row],[fecha_inicio]]="","",YEAR(tblOrdenes[[#This Row],[fecha_inicio]]))</f>
        <v/>
      </c>
      <c r="Q847" s="3">
        <f>IF(tblOrdenes[[#This Row],[fecha_inicio]]="","",MONTH(tblOrdenes[[#This Row],[fecha_inicio]]))</f>
        <v/>
      </c>
      <c r="R847" s="3">
        <f>IF(tblOrdenes[[#This Row],[fecha_inicio]]="","",INDEX(lista_dias,WEEKDAY(tblOrdenes[[#This Row],[fecha_inicio]],2)))</f>
        <v/>
      </c>
      <c r="S8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7" s="3">
        <f>IF(tblOrdenes[[#This Row],[tipo_ot]]="","",_xlfn.XLOOKUP(tblOrdenes[[#This Row],[tipo_ot]],tblTiposOT[codigo],tblTiposOT[clasificacion],"sin_clasificar"))</f>
        <v/>
      </c>
      <c r="U847" s="3">
        <f>IF(tblOrdenes[[#This Row],[centro_costo]]="","",_xlfn.XLOOKUP(tblOrdenes[[#This Row],[centro_costo]],tblCECO[codigo],tblCECO[linea],"(sin catálogo)"))</f>
        <v/>
      </c>
      <c r="V847" s="3">
        <f>IF(tblOrdenes[[#This Row],[centro_costo]]="","",_xlfn.XLOOKUP(tblOrdenes[[#This Row],[centro_costo]],tblCECO[codigo],tblCECO[area],"(sin catálogo)"))</f>
        <v/>
      </c>
      <c r="W8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7" s="3">
        <f>IF(tblOrdenes[[#This Row],[centro_costo]]="","",_xlfn.XLOOKUP(tblOrdenes[[#This Row],[centro_costo]],tblCECO[codigo],tblCECO[coordinador],"(sin catálogo)"))</f>
        <v/>
      </c>
      <c r="Y847" s="3">
        <f>IF(tblOrdenes[[#This Row],[puesto_trabajo]]="","",_xlfn.XLOOKUP(tblOrdenes[[#This Row],[puesto_trabajo]],tblPuestos[codigo],tblPuestos[especialidad],"(sin catálogo)"))</f>
        <v/>
      </c>
      <c r="Z847" s="3">
        <f>IF(tblOrdenes[[#This Row],[cod_actividad]]="","",_xlfn.XLOOKUP(tblOrdenes[[#This Row],[cod_actividad]],tblActividades[codigo],tblActividades[descripcion],"(sin catálogo)"))</f>
        <v/>
      </c>
      <c r="AA847" s="13">
        <f>IF(tblOrdenes[[#This Row],[fecha_inicio]]="","",TODAY()-tblOrdenes[[#This Row],[fecha_inicio]])</f>
        <v/>
      </c>
      <c r="AB8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7" s="3">
        <f>IF(tblOrdenes[[#This Row],[backlog_habiles]]="","",IF(tblOrdenes[[#This Row],[backlog_habiles]]&lt;0,"FUTURO",IF(tblOrdenes[[#This Row],[backlog_habiles]]&gt;p_dias_backlog_max,"BACKLOG","MES CORRIENTE")))</f>
        <v/>
      </c>
      <c r="AD847" s="3">
        <f>IF(tblOrdenes[[#This Row],[backlog_habiles]]="",FALSE,AND(tblOrdenes[[#This Row],[backlog_habiles]]&gt;p_dias_backlog_min,tblOrdenes[[#This Row],[backlog_habiles]]&lt;=p_dias_backlog_max))</f>
        <v/>
      </c>
      <c r="AE847" s="6" t="n"/>
      <c r="AF8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7" s="11">
        <f>IF(tblOrdenes[[#This Row],[orden]]="","",_xlfn.XLOOKUP(tblOrdenes[[#This Row],[id_operacion]],tblEjecucion[id_operacion],tblEjecucion[precio],0))</f>
        <v/>
      </c>
      <c r="AJ847" s="11">
        <f>IF(tblOrdenes[[#This Row],[orden]]="","",MAX(0,_xlfn.XLOOKUP(tblOrdenes[[#This Row],[id_operacion]],tblEjecucion[id_operacion],tblEjecucion[costo_plan_total],0)-tblOrdenes[[#This Row],[costo_servicio]]))</f>
        <v/>
      </c>
      <c r="AK847" s="11">
        <f>IF(tblOrdenes[[#This Row],[orden]]="","",tblOrdenes[[#This Row],[costo_servicio]]+tblOrdenes[[#This Row],[costo_materiales]])</f>
        <v/>
      </c>
      <c r="AL847" s="6" t="n"/>
      <c r="AM847" s="6" t="n"/>
      <c r="AN847" s="6" t="n"/>
      <c r="AO847" s="3">
        <f>IF(tblOrdenes[[#This Row],[link_checklist]]="","",HYPERLINK(p_ruta_base_checklists&amp;tblOrdenes[[#This Row],[link_checklist]],"abrir"))</f>
        <v/>
      </c>
      <c r="AP847" s="6" t="n"/>
      <c r="AQ847" s="3">
        <f>IF(tblOrdenes[[#This Row],[orden]]="","",tblOrdenes[[#This Row],[orden]]&amp;IF(tblOrdenes[[#This Row],[operacion]]="","0010",tblOrdenes[[#This Row],[operacion]]))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2" t="n"/>
      <c r="K848" s="3" t="n"/>
      <c r="L848" s="11" t="n"/>
      <c r="M8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8" s="3">
        <f>IF(tblOrdenes[[#This Row],[fecha_inicio]]="","",YEAR(tblOrdenes[[#This Row],[fecha_inicio]]))</f>
        <v/>
      </c>
      <c r="Q848" s="3">
        <f>IF(tblOrdenes[[#This Row],[fecha_inicio]]="","",MONTH(tblOrdenes[[#This Row],[fecha_inicio]]))</f>
        <v/>
      </c>
      <c r="R848" s="3">
        <f>IF(tblOrdenes[[#This Row],[fecha_inicio]]="","",INDEX(lista_dias,WEEKDAY(tblOrdenes[[#This Row],[fecha_inicio]],2)))</f>
        <v/>
      </c>
      <c r="S8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8" s="3">
        <f>IF(tblOrdenes[[#This Row],[tipo_ot]]="","",_xlfn.XLOOKUP(tblOrdenes[[#This Row],[tipo_ot]],tblTiposOT[codigo],tblTiposOT[clasificacion],"sin_clasificar"))</f>
        <v/>
      </c>
      <c r="U848" s="3">
        <f>IF(tblOrdenes[[#This Row],[centro_costo]]="","",_xlfn.XLOOKUP(tblOrdenes[[#This Row],[centro_costo]],tblCECO[codigo],tblCECO[linea],"(sin catálogo)"))</f>
        <v/>
      </c>
      <c r="V848" s="3">
        <f>IF(tblOrdenes[[#This Row],[centro_costo]]="","",_xlfn.XLOOKUP(tblOrdenes[[#This Row],[centro_costo]],tblCECO[codigo],tblCECO[area],"(sin catálogo)"))</f>
        <v/>
      </c>
      <c r="W8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8" s="3">
        <f>IF(tblOrdenes[[#This Row],[centro_costo]]="","",_xlfn.XLOOKUP(tblOrdenes[[#This Row],[centro_costo]],tblCECO[codigo],tblCECO[coordinador],"(sin catálogo)"))</f>
        <v/>
      </c>
      <c r="Y848" s="3">
        <f>IF(tblOrdenes[[#This Row],[puesto_trabajo]]="","",_xlfn.XLOOKUP(tblOrdenes[[#This Row],[puesto_trabajo]],tblPuestos[codigo],tblPuestos[especialidad],"(sin catálogo)"))</f>
        <v/>
      </c>
      <c r="Z848" s="3">
        <f>IF(tblOrdenes[[#This Row],[cod_actividad]]="","",_xlfn.XLOOKUP(tblOrdenes[[#This Row],[cod_actividad]],tblActividades[codigo],tblActividades[descripcion],"(sin catálogo)"))</f>
        <v/>
      </c>
      <c r="AA848" s="13">
        <f>IF(tblOrdenes[[#This Row],[fecha_inicio]]="","",TODAY()-tblOrdenes[[#This Row],[fecha_inicio]])</f>
        <v/>
      </c>
      <c r="AB8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8" s="3">
        <f>IF(tblOrdenes[[#This Row],[backlog_habiles]]="","",IF(tblOrdenes[[#This Row],[backlog_habiles]]&lt;0,"FUTURO",IF(tblOrdenes[[#This Row],[backlog_habiles]]&gt;p_dias_backlog_max,"BACKLOG","MES CORRIENTE")))</f>
        <v/>
      </c>
      <c r="AD848" s="3">
        <f>IF(tblOrdenes[[#This Row],[backlog_habiles]]="",FALSE,AND(tblOrdenes[[#This Row],[backlog_habiles]]&gt;p_dias_backlog_min,tblOrdenes[[#This Row],[backlog_habiles]]&lt;=p_dias_backlog_max))</f>
        <v/>
      </c>
      <c r="AE848" s="6" t="n"/>
      <c r="AF8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8" s="11">
        <f>IF(tblOrdenes[[#This Row],[orden]]="","",_xlfn.XLOOKUP(tblOrdenes[[#This Row],[id_operacion]],tblEjecucion[id_operacion],tblEjecucion[precio],0))</f>
        <v/>
      </c>
      <c r="AJ848" s="11">
        <f>IF(tblOrdenes[[#This Row],[orden]]="","",MAX(0,_xlfn.XLOOKUP(tblOrdenes[[#This Row],[id_operacion]],tblEjecucion[id_operacion],tblEjecucion[costo_plan_total],0)-tblOrdenes[[#This Row],[costo_servicio]]))</f>
        <v/>
      </c>
      <c r="AK848" s="11">
        <f>IF(tblOrdenes[[#This Row],[orden]]="","",tblOrdenes[[#This Row],[costo_servicio]]+tblOrdenes[[#This Row],[costo_materiales]])</f>
        <v/>
      </c>
      <c r="AL848" s="6" t="n"/>
      <c r="AM848" s="6" t="n"/>
      <c r="AN848" s="6" t="n"/>
      <c r="AO848" s="3">
        <f>IF(tblOrdenes[[#This Row],[link_checklist]]="","",HYPERLINK(p_ruta_base_checklists&amp;tblOrdenes[[#This Row],[link_checklist]],"abrir"))</f>
        <v/>
      </c>
      <c r="AP848" s="6" t="n"/>
      <c r="AQ848" s="3">
        <f>IF(tblOrdenes[[#This Row],[orden]]="","",tblOrdenes[[#This Row],[orden]]&amp;IF(tblOrdenes[[#This Row],[operacion]]="","0010",tblOrdenes[[#This Row],[operacion]]))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2" t="n"/>
      <c r="K849" s="3" t="n"/>
      <c r="L849" s="11" t="n"/>
      <c r="M8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9" s="3">
        <f>IF(tblOrdenes[[#This Row],[fecha_inicio]]="","",YEAR(tblOrdenes[[#This Row],[fecha_inicio]]))</f>
        <v/>
      </c>
      <c r="Q849" s="3">
        <f>IF(tblOrdenes[[#This Row],[fecha_inicio]]="","",MONTH(tblOrdenes[[#This Row],[fecha_inicio]]))</f>
        <v/>
      </c>
      <c r="R849" s="3">
        <f>IF(tblOrdenes[[#This Row],[fecha_inicio]]="","",INDEX(lista_dias,WEEKDAY(tblOrdenes[[#This Row],[fecha_inicio]],2)))</f>
        <v/>
      </c>
      <c r="S8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9" s="3">
        <f>IF(tblOrdenes[[#This Row],[tipo_ot]]="","",_xlfn.XLOOKUP(tblOrdenes[[#This Row],[tipo_ot]],tblTiposOT[codigo],tblTiposOT[clasificacion],"sin_clasificar"))</f>
        <v/>
      </c>
      <c r="U849" s="3">
        <f>IF(tblOrdenes[[#This Row],[centro_costo]]="","",_xlfn.XLOOKUP(tblOrdenes[[#This Row],[centro_costo]],tblCECO[codigo],tblCECO[linea],"(sin catálogo)"))</f>
        <v/>
      </c>
      <c r="V849" s="3">
        <f>IF(tblOrdenes[[#This Row],[centro_costo]]="","",_xlfn.XLOOKUP(tblOrdenes[[#This Row],[centro_costo]],tblCECO[codigo],tblCECO[area],"(sin catálogo)"))</f>
        <v/>
      </c>
      <c r="W8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9" s="3">
        <f>IF(tblOrdenes[[#This Row],[centro_costo]]="","",_xlfn.XLOOKUP(tblOrdenes[[#This Row],[centro_costo]],tblCECO[codigo],tblCECO[coordinador],"(sin catálogo)"))</f>
        <v/>
      </c>
      <c r="Y849" s="3">
        <f>IF(tblOrdenes[[#This Row],[puesto_trabajo]]="","",_xlfn.XLOOKUP(tblOrdenes[[#This Row],[puesto_trabajo]],tblPuestos[codigo],tblPuestos[especialidad],"(sin catálogo)"))</f>
        <v/>
      </c>
      <c r="Z849" s="3">
        <f>IF(tblOrdenes[[#This Row],[cod_actividad]]="","",_xlfn.XLOOKUP(tblOrdenes[[#This Row],[cod_actividad]],tblActividades[codigo],tblActividades[descripcion],"(sin catálogo)"))</f>
        <v/>
      </c>
      <c r="AA849" s="13">
        <f>IF(tblOrdenes[[#This Row],[fecha_inicio]]="","",TODAY()-tblOrdenes[[#This Row],[fecha_inicio]])</f>
        <v/>
      </c>
      <c r="AB8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9" s="3">
        <f>IF(tblOrdenes[[#This Row],[backlog_habiles]]="","",IF(tblOrdenes[[#This Row],[backlog_habiles]]&lt;0,"FUTURO",IF(tblOrdenes[[#This Row],[backlog_habiles]]&gt;p_dias_backlog_max,"BACKLOG","MES CORRIENTE")))</f>
        <v/>
      </c>
      <c r="AD849" s="3">
        <f>IF(tblOrdenes[[#This Row],[backlog_habiles]]="",FALSE,AND(tblOrdenes[[#This Row],[backlog_habiles]]&gt;p_dias_backlog_min,tblOrdenes[[#This Row],[backlog_habiles]]&lt;=p_dias_backlog_max))</f>
        <v/>
      </c>
      <c r="AE849" s="6" t="n"/>
      <c r="AF8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9" s="11">
        <f>IF(tblOrdenes[[#This Row],[orden]]="","",_xlfn.XLOOKUP(tblOrdenes[[#This Row],[id_operacion]],tblEjecucion[id_operacion],tblEjecucion[precio],0))</f>
        <v/>
      </c>
      <c r="AJ849" s="11">
        <f>IF(tblOrdenes[[#This Row],[orden]]="","",MAX(0,_xlfn.XLOOKUP(tblOrdenes[[#This Row],[id_operacion]],tblEjecucion[id_operacion],tblEjecucion[costo_plan_total],0)-tblOrdenes[[#This Row],[costo_servicio]]))</f>
        <v/>
      </c>
      <c r="AK849" s="11">
        <f>IF(tblOrdenes[[#This Row],[orden]]="","",tblOrdenes[[#This Row],[costo_servicio]]+tblOrdenes[[#This Row],[costo_materiales]])</f>
        <v/>
      </c>
      <c r="AL849" s="6" t="n"/>
      <c r="AM849" s="6" t="n"/>
      <c r="AN849" s="6" t="n"/>
      <c r="AO849" s="3">
        <f>IF(tblOrdenes[[#This Row],[link_checklist]]="","",HYPERLINK(p_ruta_base_checklists&amp;tblOrdenes[[#This Row],[link_checklist]],"abrir"))</f>
        <v/>
      </c>
      <c r="AP849" s="6" t="n"/>
      <c r="AQ849" s="3">
        <f>IF(tblOrdenes[[#This Row],[orden]]="","",tblOrdenes[[#This Row],[orden]]&amp;IF(tblOrdenes[[#This Row],[operacion]]="","0010",tblOrdenes[[#This Row],[operacion]]))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2" t="n"/>
      <c r="K850" s="3" t="n"/>
      <c r="L850" s="11" t="n"/>
      <c r="M8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0" s="3">
        <f>IF(tblOrdenes[[#This Row],[fecha_inicio]]="","",YEAR(tblOrdenes[[#This Row],[fecha_inicio]]))</f>
        <v/>
      </c>
      <c r="Q850" s="3">
        <f>IF(tblOrdenes[[#This Row],[fecha_inicio]]="","",MONTH(tblOrdenes[[#This Row],[fecha_inicio]]))</f>
        <v/>
      </c>
      <c r="R850" s="3">
        <f>IF(tblOrdenes[[#This Row],[fecha_inicio]]="","",INDEX(lista_dias,WEEKDAY(tblOrdenes[[#This Row],[fecha_inicio]],2)))</f>
        <v/>
      </c>
      <c r="S8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0" s="3">
        <f>IF(tblOrdenes[[#This Row],[tipo_ot]]="","",_xlfn.XLOOKUP(tblOrdenes[[#This Row],[tipo_ot]],tblTiposOT[codigo],tblTiposOT[clasificacion],"sin_clasificar"))</f>
        <v/>
      </c>
      <c r="U850" s="3">
        <f>IF(tblOrdenes[[#This Row],[centro_costo]]="","",_xlfn.XLOOKUP(tblOrdenes[[#This Row],[centro_costo]],tblCECO[codigo],tblCECO[linea],"(sin catálogo)"))</f>
        <v/>
      </c>
      <c r="V850" s="3">
        <f>IF(tblOrdenes[[#This Row],[centro_costo]]="","",_xlfn.XLOOKUP(tblOrdenes[[#This Row],[centro_costo]],tblCECO[codigo],tblCECO[area],"(sin catálogo)"))</f>
        <v/>
      </c>
      <c r="W8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0" s="3">
        <f>IF(tblOrdenes[[#This Row],[centro_costo]]="","",_xlfn.XLOOKUP(tblOrdenes[[#This Row],[centro_costo]],tblCECO[codigo],tblCECO[coordinador],"(sin catálogo)"))</f>
        <v/>
      </c>
      <c r="Y850" s="3">
        <f>IF(tblOrdenes[[#This Row],[puesto_trabajo]]="","",_xlfn.XLOOKUP(tblOrdenes[[#This Row],[puesto_trabajo]],tblPuestos[codigo],tblPuestos[especialidad],"(sin catálogo)"))</f>
        <v/>
      </c>
      <c r="Z850" s="3">
        <f>IF(tblOrdenes[[#This Row],[cod_actividad]]="","",_xlfn.XLOOKUP(tblOrdenes[[#This Row],[cod_actividad]],tblActividades[codigo],tblActividades[descripcion],"(sin catálogo)"))</f>
        <v/>
      </c>
      <c r="AA850" s="13">
        <f>IF(tblOrdenes[[#This Row],[fecha_inicio]]="","",TODAY()-tblOrdenes[[#This Row],[fecha_inicio]])</f>
        <v/>
      </c>
      <c r="AB8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0" s="3">
        <f>IF(tblOrdenes[[#This Row],[backlog_habiles]]="","",IF(tblOrdenes[[#This Row],[backlog_habiles]]&lt;0,"FUTURO",IF(tblOrdenes[[#This Row],[backlog_habiles]]&gt;p_dias_backlog_max,"BACKLOG","MES CORRIENTE")))</f>
        <v/>
      </c>
      <c r="AD850" s="3">
        <f>IF(tblOrdenes[[#This Row],[backlog_habiles]]="",FALSE,AND(tblOrdenes[[#This Row],[backlog_habiles]]&gt;p_dias_backlog_min,tblOrdenes[[#This Row],[backlog_habiles]]&lt;=p_dias_backlog_max))</f>
        <v/>
      </c>
      <c r="AE850" s="6" t="n"/>
      <c r="AF8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0" s="11">
        <f>IF(tblOrdenes[[#This Row],[orden]]="","",_xlfn.XLOOKUP(tblOrdenes[[#This Row],[id_operacion]],tblEjecucion[id_operacion],tblEjecucion[precio],0))</f>
        <v/>
      </c>
      <c r="AJ850" s="11">
        <f>IF(tblOrdenes[[#This Row],[orden]]="","",MAX(0,_xlfn.XLOOKUP(tblOrdenes[[#This Row],[id_operacion]],tblEjecucion[id_operacion],tblEjecucion[costo_plan_total],0)-tblOrdenes[[#This Row],[costo_servicio]]))</f>
        <v/>
      </c>
      <c r="AK850" s="11">
        <f>IF(tblOrdenes[[#This Row],[orden]]="","",tblOrdenes[[#This Row],[costo_servicio]]+tblOrdenes[[#This Row],[costo_materiales]])</f>
        <v/>
      </c>
      <c r="AL850" s="6" t="n"/>
      <c r="AM850" s="6" t="n"/>
      <c r="AN850" s="6" t="n"/>
      <c r="AO850" s="3">
        <f>IF(tblOrdenes[[#This Row],[link_checklist]]="","",HYPERLINK(p_ruta_base_checklists&amp;tblOrdenes[[#This Row],[link_checklist]],"abrir"))</f>
        <v/>
      </c>
      <c r="AP850" s="6" t="n"/>
      <c r="AQ850" s="3">
        <f>IF(tblOrdenes[[#This Row],[orden]]="","",tblOrdenes[[#This Row],[orden]]&amp;IF(tblOrdenes[[#This Row],[operacion]]="","0010",tblOrdenes[[#This Row],[operacion]]))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2" t="n"/>
      <c r="K851" s="3" t="n"/>
      <c r="L851" s="11" t="n"/>
      <c r="M8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1" s="3">
        <f>IF(tblOrdenes[[#This Row],[fecha_inicio]]="","",YEAR(tblOrdenes[[#This Row],[fecha_inicio]]))</f>
        <v/>
      </c>
      <c r="Q851" s="3">
        <f>IF(tblOrdenes[[#This Row],[fecha_inicio]]="","",MONTH(tblOrdenes[[#This Row],[fecha_inicio]]))</f>
        <v/>
      </c>
      <c r="R851" s="3">
        <f>IF(tblOrdenes[[#This Row],[fecha_inicio]]="","",INDEX(lista_dias,WEEKDAY(tblOrdenes[[#This Row],[fecha_inicio]],2)))</f>
        <v/>
      </c>
      <c r="S8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1" s="3">
        <f>IF(tblOrdenes[[#This Row],[tipo_ot]]="","",_xlfn.XLOOKUP(tblOrdenes[[#This Row],[tipo_ot]],tblTiposOT[codigo],tblTiposOT[clasificacion],"sin_clasificar"))</f>
        <v/>
      </c>
      <c r="U851" s="3">
        <f>IF(tblOrdenes[[#This Row],[centro_costo]]="","",_xlfn.XLOOKUP(tblOrdenes[[#This Row],[centro_costo]],tblCECO[codigo],tblCECO[linea],"(sin catálogo)"))</f>
        <v/>
      </c>
      <c r="V851" s="3">
        <f>IF(tblOrdenes[[#This Row],[centro_costo]]="","",_xlfn.XLOOKUP(tblOrdenes[[#This Row],[centro_costo]],tblCECO[codigo],tblCECO[area],"(sin catálogo)"))</f>
        <v/>
      </c>
      <c r="W8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1" s="3">
        <f>IF(tblOrdenes[[#This Row],[centro_costo]]="","",_xlfn.XLOOKUP(tblOrdenes[[#This Row],[centro_costo]],tblCECO[codigo],tblCECO[coordinador],"(sin catálogo)"))</f>
        <v/>
      </c>
      <c r="Y851" s="3">
        <f>IF(tblOrdenes[[#This Row],[puesto_trabajo]]="","",_xlfn.XLOOKUP(tblOrdenes[[#This Row],[puesto_trabajo]],tblPuestos[codigo],tblPuestos[especialidad],"(sin catálogo)"))</f>
        <v/>
      </c>
      <c r="Z851" s="3">
        <f>IF(tblOrdenes[[#This Row],[cod_actividad]]="","",_xlfn.XLOOKUP(tblOrdenes[[#This Row],[cod_actividad]],tblActividades[codigo],tblActividades[descripcion],"(sin catálogo)"))</f>
        <v/>
      </c>
      <c r="AA851" s="13">
        <f>IF(tblOrdenes[[#This Row],[fecha_inicio]]="","",TODAY()-tblOrdenes[[#This Row],[fecha_inicio]])</f>
        <v/>
      </c>
      <c r="AB8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1" s="3">
        <f>IF(tblOrdenes[[#This Row],[backlog_habiles]]="","",IF(tblOrdenes[[#This Row],[backlog_habiles]]&lt;0,"FUTURO",IF(tblOrdenes[[#This Row],[backlog_habiles]]&gt;p_dias_backlog_max,"BACKLOG","MES CORRIENTE")))</f>
        <v/>
      </c>
      <c r="AD851" s="3">
        <f>IF(tblOrdenes[[#This Row],[backlog_habiles]]="",FALSE,AND(tblOrdenes[[#This Row],[backlog_habiles]]&gt;p_dias_backlog_min,tblOrdenes[[#This Row],[backlog_habiles]]&lt;=p_dias_backlog_max))</f>
        <v/>
      </c>
      <c r="AE851" s="6" t="n"/>
      <c r="AF8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1" s="11">
        <f>IF(tblOrdenes[[#This Row],[orden]]="","",_xlfn.XLOOKUP(tblOrdenes[[#This Row],[id_operacion]],tblEjecucion[id_operacion],tblEjecucion[precio],0))</f>
        <v/>
      </c>
      <c r="AJ851" s="11">
        <f>IF(tblOrdenes[[#This Row],[orden]]="","",MAX(0,_xlfn.XLOOKUP(tblOrdenes[[#This Row],[id_operacion]],tblEjecucion[id_operacion],tblEjecucion[costo_plan_total],0)-tblOrdenes[[#This Row],[costo_servicio]]))</f>
        <v/>
      </c>
      <c r="AK851" s="11">
        <f>IF(tblOrdenes[[#This Row],[orden]]="","",tblOrdenes[[#This Row],[costo_servicio]]+tblOrdenes[[#This Row],[costo_materiales]])</f>
        <v/>
      </c>
      <c r="AL851" s="6" t="n"/>
      <c r="AM851" s="6" t="n"/>
      <c r="AN851" s="6" t="n"/>
      <c r="AO851" s="3">
        <f>IF(tblOrdenes[[#This Row],[link_checklist]]="","",HYPERLINK(p_ruta_base_checklists&amp;tblOrdenes[[#This Row],[link_checklist]],"abrir"))</f>
        <v/>
      </c>
      <c r="AP851" s="6" t="n"/>
      <c r="AQ851" s="3">
        <f>IF(tblOrdenes[[#This Row],[orden]]="","",tblOrdenes[[#This Row],[orden]]&amp;IF(tblOrdenes[[#This Row],[operacion]]="","0010",tblOrdenes[[#This Row],[operacion]]))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2" t="n"/>
      <c r="K852" s="3" t="n"/>
      <c r="L852" s="11" t="n"/>
      <c r="M8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2" s="3">
        <f>IF(tblOrdenes[[#This Row],[fecha_inicio]]="","",YEAR(tblOrdenes[[#This Row],[fecha_inicio]]))</f>
        <v/>
      </c>
      <c r="Q852" s="3">
        <f>IF(tblOrdenes[[#This Row],[fecha_inicio]]="","",MONTH(tblOrdenes[[#This Row],[fecha_inicio]]))</f>
        <v/>
      </c>
      <c r="R852" s="3">
        <f>IF(tblOrdenes[[#This Row],[fecha_inicio]]="","",INDEX(lista_dias,WEEKDAY(tblOrdenes[[#This Row],[fecha_inicio]],2)))</f>
        <v/>
      </c>
      <c r="S8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2" s="3">
        <f>IF(tblOrdenes[[#This Row],[tipo_ot]]="","",_xlfn.XLOOKUP(tblOrdenes[[#This Row],[tipo_ot]],tblTiposOT[codigo],tblTiposOT[clasificacion],"sin_clasificar"))</f>
        <v/>
      </c>
      <c r="U852" s="3">
        <f>IF(tblOrdenes[[#This Row],[centro_costo]]="","",_xlfn.XLOOKUP(tblOrdenes[[#This Row],[centro_costo]],tblCECO[codigo],tblCECO[linea],"(sin catálogo)"))</f>
        <v/>
      </c>
      <c r="V852" s="3">
        <f>IF(tblOrdenes[[#This Row],[centro_costo]]="","",_xlfn.XLOOKUP(tblOrdenes[[#This Row],[centro_costo]],tblCECO[codigo],tblCECO[area],"(sin catálogo)"))</f>
        <v/>
      </c>
      <c r="W8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2" s="3">
        <f>IF(tblOrdenes[[#This Row],[centro_costo]]="","",_xlfn.XLOOKUP(tblOrdenes[[#This Row],[centro_costo]],tblCECO[codigo],tblCECO[coordinador],"(sin catálogo)"))</f>
        <v/>
      </c>
      <c r="Y852" s="3">
        <f>IF(tblOrdenes[[#This Row],[puesto_trabajo]]="","",_xlfn.XLOOKUP(tblOrdenes[[#This Row],[puesto_trabajo]],tblPuestos[codigo],tblPuestos[especialidad],"(sin catálogo)"))</f>
        <v/>
      </c>
      <c r="Z852" s="3">
        <f>IF(tblOrdenes[[#This Row],[cod_actividad]]="","",_xlfn.XLOOKUP(tblOrdenes[[#This Row],[cod_actividad]],tblActividades[codigo],tblActividades[descripcion],"(sin catálogo)"))</f>
        <v/>
      </c>
      <c r="AA852" s="13">
        <f>IF(tblOrdenes[[#This Row],[fecha_inicio]]="","",TODAY()-tblOrdenes[[#This Row],[fecha_inicio]])</f>
        <v/>
      </c>
      <c r="AB8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2" s="3">
        <f>IF(tblOrdenes[[#This Row],[backlog_habiles]]="","",IF(tblOrdenes[[#This Row],[backlog_habiles]]&lt;0,"FUTURO",IF(tblOrdenes[[#This Row],[backlog_habiles]]&gt;p_dias_backlog_max,"BACKLOG","MES CORRIENTE")))</f>
        <v/>
      </c>
      <c r="AD852" s="3">
        <f>IF(tblOrdenes[[#This Row],[backlog_habiles]]="",FALSE,AND(tblOrdenes[[#This Row],[backlog_habiles]]&gt;p_dias_backlog_min,tblOrdenes[[#This Row],[backlog_habiles]]&lt;=p_dias_backlog_max))</f>
        <v/>
      </c>
      <c r="AE852" s="6" t="n"/>
      <c r="AF8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2" s="11">
        <f>IF(tblOrdenes[[#This Row],[orden]]="","",_xlfn.XLOOKUP(tblOrdenes[[#This Row],[id_operacion]],tblEjecucion[id_operacion],tblEjecucion[precio],0))</f>
        <v/>
      </c>
      <c r="AJ852" s="11">
        <f>IF(tblOrdenes[[#This Row],[orden]]="","",MAX(0,_xlfn.XLOOKUP(tblOrdenes[[#This Row],[id_operacion]],tblEjecucion[id_operacion],tblEjecucion[costo_plan_total],0)-tblOrdenes[[#This Row],[costo_servicio]]))</f>
        <v/>
      </c>
      <c r="AK852" s="11">
        <f>IF(tblOrdenes[[#This Row],[orden]]="","",tblOrdenes[[#This Row],[costo_servicio]]+tblOrdenes[[#This Row],[costo_materiales]])</f>
        <v/>
      </c>
      <c r="AL852" s="6" t="n"/>
      <c r="AM852" s="6" t="n"/>
      <c r="AN852" s="6" t="n"/>
      <c r="AO852" s="3">
        <f>IF(tblOrdenes[[#This Row],[link_checklist]]="","",HYPERLINK(p_ruta_base_checklists&amp;tblOrdenes[[#This Row],[link_checklist]],"abrir"))</f>
        <v/>
      </c>
      <c r="AP852" s="6" t="n"/>
      <c r="AQ852" s="3">
        <f>IF(tblOrdenes[[#This Row],[orden]]="","",tblOrdenes[[#This Row],[orden]]&amp;IF(tblOrdenes[[#This Row],[operacion]]="","0010",tblOrdenes[[#This Row],[operacion]]))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2" t="n"/>
      <c r="K853" s="3" t="n"/>
      <c r="L853" s="11" t="n"/>
      <c r="M8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3" s="3">
        <f>IF(tblOrdenes[[#This Row],[fecha_inicio]]="","",YEAR(tblOrdenes[[#This Row],[fecha_inicio]]))</f>
        <v/>
      </c>
      <c r="Q853" s="3">
        <f>IF(tblOrdenes[[#This Row],[fecha_inicio]]="","",MONTH(tblOrdenes[[#This Row],[fecha_inicio]]))</f>
        <v/>
      </c>
      <c r="R853" s="3">
        <f>IF(tblOrdenes[[#This Row],[fecha_inicio]]="","",INDEX(lista_dias,WEEKDAY(tblOrdenes[[#This Row],[fecha_inicio]],2)))</f>
        <v/>
      </c>
      <c r="S8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3" s="3">
        <f>IF(tblOrdenes[[#This Row],[tipo_ot]]="","",_xlfn.XLOOKUP(tblOrdenes[[#This Row],[tipo_ot]],tblTiposOT[codigo],tblTiposOT[clasificacion],"sin_clasificar"))</f>
        <v/>
      </c>
      <c r="U853" s="3">
        <f>IF(tblOrdenes[[#This Row],[centro_costo]]="","",_xlfn.XLOOKUP(tblOrdenes[[#This Row],[centro_costo]],tblCECO[codigo],tblCECO[linea],"(sin catálogo)"))</f>
        <v/>
      </c>
      <c r="V853" s="3">
        <f>IF(tblOrdenes[[#This Row],[centro_costo]]="","",_xlfn.XLOOKUP(tblOrdenes[[#This Row],[centro_costo]],tblCECO[codigo],tblCECO[area],"(sin catálogo)"))</f>
        <v/>
      </c>
      <c r="W8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3" s="3">
        <f>IF(tblOrdenes[[#This Row],[centro_costo]]="","",_xlfn.XLOOKUP(tblOrdenes[[#This Row],[centro_costo]],tblCECO[codigo],tblCECO[coordinador],"(sin catálogo)"))</f>
        <v/>
      </c>
      <c r="Y853" s="3">
        <f>IF(tblOrdenes[[#This Row],[puesto_trabajo]]="","",_xlfn.XLOOKUP(tblOrdenes[[#This Row],[puesto_trabajo]],tblPuestos[codigo],tblPuestos[especialidad],"(sin catálogo)"))</f>
        <v/>
      </c>
      <c r="Z853" s="3">
        <f>IF(tblOrdenes[[#This Row],[cod_actividad]]="","",_xlfn.XLOOKUP(tblOrdenes[[#This Row],[cod_actividad]],tblActividades[codigo],tblActividades[descripcion],"(sin catálogo)"))</f>
        <v/>
      </c>
      <c r="AA853" s="13">
        <f>IF(tblOrdenes[[#This Row],[fecha_inicio]]="","",TODAY()-tblOrdenes[[#This Row],[fecha_inicio]])</f>
        <v/>
      </c>
      <c r="AB8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3" s="3">
        <f>IF(tblOrdenes[[#This Row],[backlog_habiles]]="","",IF(tblOrdenes[[#This Row],[backlog_habiles]]&lt;0,"FUTURO",IF(tblOrdenes[[#This Row],[backlog_habiles]]&gt;p_dias_backlog_max,"BACKLOG","MES CORRIENTE")))</f>
        <v/>
      </c>
      <c r="AD853" s="3">
        <f>IF(tblOrdenes[[#This Row],[backlog_habiles]]="",FALSE,AND(tblOrdenes[[#This Row],[backlog_habiles]]&gt;p_dias_backlog_min,tblOrdenes[[#This Row],[backlog_habiles]]&lt;=p_dias_backlog_max))</f>
        <v/>
      </c>
      <c r="AE853" s="6" t="n"/>
      <c r="AF8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3" s="11">
        <f>IF(tblOrdenes[[#This Row],[orden]]="","",_xlfn.XLOOKUP(tblOrdenes[[#This Row],[id_operacion]],tblEjecucion[id_operacion],tblEjecucion[precio],0))</f>
        <v/>
      </c>
      <c r="AJ853" s="11">
        <f>IF(tblOrdenes[[#This Row],[orden]]="","",MAX(0,_xlfn.XLOOKUP(tblOrdenes[[#This Row],[id_operacion]],tblEjecucion[id_operacion],tblEjecucion[costo_plan_total],0)-tblOrdenes[[#This Row],[costo_servicio]]))</f>
        <v/>
      </c>
      <c r="AK853" s="11">
        <f>IF(tblOrdenes[[#This Row],[orden]]="","",tblOrdenes[[#This Row],[costo_servicio]]+tblOrdenes[[#This Row],[costo_materiales]])</f>
        <v/>
      </c>
      <c r="AL853" s="6" t="n"/>
      <c r="AM853" s="6" t="n"/>
      <c r="AN853" s="6" t="n"/>
      <c r="AO853" s="3">
        <f>IF(tblOrdenes[[#This Row],[link_checklist]]="","",HYPERLINK(p_ruta_base_checklists&amp;tblOrdenes[[#This Row],[link_checklist]],"abrir"))</f>
        <v/>
      </c>
      <c r="AP853" s="6" t="n"/>
      <c r="AQ853" s="3">
        <f>IF(tblOrdenes[[#This Row],[orden]]="","",tblOrdenes[[#This Row],[orden]]&amp;IF(tblOrdenes[[#This Row],[operacion]]="","0010",tblOrdenes[[#This Row],[operacion]]))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2" t="n"/>
      <c r="K854" s="3" t="n"/>
      <c r="L854" s="11" t="n"/>
      <c r="M8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4" s="3">
        <f>IF(tblOrdenes[[#This Row],[fecha_inicio]]="","",YEAR(tblOrdenes[[#This Row],[fecha_inicio]]))</f>
        <v/>
      </c>
      <c r="Q854" s="3">
        <f>IF(tblOrdenes[[#This Row],[fecha_inicio]]="","",MONTH(tblOrdenes[[#This Row],[fecha_inicio]]))</f>
        <v/>
      </c>
      <c r="R854" s="3">
        <f>IF(tblOrdenes[[#This Row],[fecha_inicio]]="","",INDEX(lista_dias,WEEKDAY(tblOrdenes[[#This Row],[fecha_inicio]],2)))</f>
        <v/>
      </c>
      <c r="S8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4" s="3">
        <f>IF(tblOrdenes[[#This Row],[tipo_ot]]="","",_xlfn.XLOOKUP(tblOrdenes[[#This Row],[tipo_ot]],tblTiposOT[codigo],tblTiposOT[clasificacion],"sin_clasificar"))</f>
        <v/>
      </c>
      <c r="U854" s="3">
        <f>IF(tblOrdenes[[#This Row],[centro_costo]]="","",_xlfn.XLOOKUP(tblOrdenes[[#This Row],[centro_costo]],tblCECO[codigo],tblCECO[linea],"(sin catálogo)"))</f>
        <v/>
      </c>
      <c r="V854" s="3">
        <f>IF(tblOrdenes[[#This Row],[centro_costo]]="","",_xlfn.XLOOKUP(tblOrdenes[[#This Row],[centro_costo]],tblCECO[codigo],tblCECO[area],"(sin catálogo)"))</f>
        <v/>
      </c>
      <c r="W8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4" s="3">
        <f>IF(tblOrdenes[[#This Row],[centro_costo]]="","",_xlfn.XLOOKUP(tblOrdenes[[#This Row],[centro_costo]],tblCECO[codigo],tblCECO[coordinador],"(sin catálogo)"))</f>
        <v/>
      </c>
      <c r="Y854" s="3">
        <f>IF(tblOrdenes[[#This Row],[puesto_trabajo]]="","",_xlfn.XLOOKUP(tblOrdenes[[#This Row],[puesto_trabajo]],tblPuestos[codigo],tblPuestos[especialidad],"(sin catálogo)"))</f>
        <v/>
      </c>
      <c r="Z854" s="3">
        <f>IF(tblOrdenes[[#This Row],[cod_actividad]]="","",_xlfn.XLOOKUP(tblOrdenes[[#This Row],[cod_actividad]],tblActividades[codigo],tblActividades[descripcion],"(sin catálogo)"))</f>
        <v/>
      </c>
      <c r="AA854" s="13">
        <f>IF(tblOrdenes[[#This Row],[fecha_inicio]]="","",TODAY()-tblOrdenes[[#This Row],[fecha_inicio]])</f>
        <v/>
      </c>
      <c r="AB8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4" s="3">
        <f>IF(tblOrdenes[[#This Row],[backlog_habiles]]="","",IF(tblOrdenes[[#This Row],[backlog_habiles]]&lt;0,"FUTURO",IF(tblOrdenes[[#This Row],[backlog_habiles]]&gt;p_dias_backlog_max,"BACKLOG","MES CORRIENTE")))</f>
        <v/>
      </c>
      <c r="AD854" s="3">
        <f>IF(tblOrdenes[[#This Row],[backlog_habiles]]="",FALSE,AND(tblOrdenes[[#This Row],[backlog_habiles]]&gt;p_dias_backlog_min,tblOrdenes[[#This Row],[backlog_habiles]]&lt;=p_dias_backlog_max))</f>
        <v/>
      </c>
      <c r="AE854" s="6" t="n"/>
      <c r="AF8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4" s="11">
        <f>IF(tblOrdenes[[#This Row],[orden]]="","",_xlfn.XLOOKUP(tblOrdenes[[#This Row],[id_operacion]],tblEjecucion[id_operacion],tblEjecucion[precio],0))</f>
        <v/>
      </c>
      <c r="AJ854" s="11">
        <f>IF(tblOrdenes[[#This Row],[orden]]="","",MAX(0,_xlfn.XLOOKUP(tblOrdenes[[#This Row],[id_operacion]],tblEjecucion[id_operacion],tblEjecucion[costo_plan_total],0)-tblOrdenes[[#This Row],[costo_servicio]]))</f>
        <v/>
      </c>
      <c r="AK854" s="11">
        <f>IF(tblOrdenes[[#This Row],[orden]]="","",tblOrdenes[[#This Row],[costo_servicio]]+tblOrdenes[[#This Row],[costo_materiales]])</f>
        <v/>
      </c>
      <c r="AL854" s="6" t="n"/>
      <c r="AM854" s="6" t="n"/>
      <c r="AN854" s="6" t="n"/>
      <c r="AO854" s="3">
        <f>IF(tblOrdenes[[#This Row],[link_checklist]]="","",HYPERLINK(p_ruta_base_checklists&amp;tblOrdenes[[#This Row],[link_checklist]],"abrir"))</f>
        <v/>
      </c>
      <c r="AP854" s="6" t="n"/>
      <c r="AQ854" s="3">
        <f>IF(tblOrdenes[[#This Row],[orden]]="","",tblOrdenes[[#This Row],[orden]]&amp;IF(tblOrdenes[[#This Row],[operacion]]="","0010",tblOrdenes[[#This Row],[operacion]]))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2" t="n"/>
      <c r="K855" s="3" t="n"/>
      <c r="L855" s="11" t="n"/>
      <c r="M8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5" s="3">
        <f>IF(tblOrdenes[[#This Row],[fecha_inicio]]="","",YEAR(tblOrdenes[[#This Row],[fecha_inicio]]))</f>
        <v/>
      </c>
      <c r="Q855" s="3">
        <f>IF(tblOrdenes[[#This Row],[fecha_inicio]]="","",MONTH(tblOrdenes[[#This Row],[fecha_inicio]]))</f>
        <v/>
      </c>
      <c r="R855" s="3">
        <f>IF(tblOrdenes[[#This Row],[fecha_inicio]]="","",INDEX(lista_dias,WEEKDAY(tblOrdenes[[#This Row],[fecha_inicio]],2)))</f>
        <v/>
      </c>
      <c r="S8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5" s="3">
        <f>IF(tblOrdenes[[#This Row],[tipo_ot]]="","",_xlfn.XLOOKUP(tblOrdenes[[#This Row],[tipo_ot]],tblTiposOT[codigo],tblTiposOT[clasificacion],"sin_clasificar"))</f>
        <v/>
      </c>
      <c r="U855" s="3">
        <f>IF(tblOrdenes[[#This Row],[centro_costo]]="","",_xlfn.XLOOKUP(tblOrdenes[[#This Row],[centro_costo]],tblCECO[codigo],tblCECO[linea],"(sin catálogo)"))</f>
        <v/>
      </c>
      <c r="V855" s="3">
        <f>IF(tblOrdenes[[#This Row],[centro_costo]]="","",_xlfn.XLOOKUP(tblOrdenes[[#This Row],[centro_costo]],tblCECO[codigo],tblCECO[area],"(sin catálogo)"))</f>
        <v/>
      </c>
      <c r="W8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5" s="3">
        <f>IF(tblOrdenes[[#This Row],[centro_costo]]="","",_xlfn.XLOOKUP(tblOrdenes[[#This Row],[centro_costo]],tblCECO[codigo],tblCECO[coordinador],"(sin catálogo)"))</f>
        <v/>
      </c>
      <c r="Y855" s="3">
        <f>IF(tblOrdenes[[#This Row],[puesto_trabajo]]="","",_xlfn.XLOOKUP(tblOrdenes[[#This Row],[puesto_trabajo]],tblPuestos[codigo],tblPuestos[especialidad],"(sin catálogo)"))</f>
        <v/>
      </c>
      <c r="Z855" s="3">
        <f>IF(tblOrdenes[[#This Row],[cod_actividad]]="","",_xlfn.XLOOKUP(tblOrdenes[[#This Row],[cod_actividad]],tblActividades[codigo],tblActividades[descripcion],"(sin catálogo)"))</f>
        <v/>
      </c>
      <c r="AA855" s="13">
        <f>IF(tblOrdenes[[#This Row],[fecha_inicio]]="","",TODAY()-tblOrdenes[[#This Row],[fecha_inicio]])</f>
        <v/>
      </c>
      <c r="AB8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5" s="3">
        <f>IF(tblOrdenes[[#This Row],[backlog_habiles]]="","",IF(tblOrdenes[[#This Row],[backlog_habiles]]&lt;0,"FUTURO",IF(tblOrdenes[[#This Row],[backlog_habiles]]&gt;p_dias_backlog_max,"BACKLOG","MES CORRIENTE")))</f>
        <v/>
      </c>
      <c r="AD855" s="3">
        <f>IF(tblOrdenes[[#This Row],[backlog_habiles]]="",FALSE,AND(tblOrdenes[[#This Row],[backlog_habiles]]&gt;p_dias_backlog_min,tblOrdenes[[#This Row],[backlog_habiles]]&lt;=p_dias_backlog_max))</f>
        <v/>
      </c>
      <c r="AE855" s="6" t="n"/>
      <c r="AF8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5" s="11">
        <f>IF(tblOrdenes[[#This Row],[orden]]="","",_xlfn.XLOOKUP(tblOrdenes[[#This Row],[id_operacion]],tblEjecucion[id_operacion],tblEjecucion[precio],0))</f>
        <v/>
      </c>
      <c r="AJ855" s="11">
        <f>IF(tblOrdenes[[#This Row],[orden]]="","",MAX(0,_xlfn.XLOOKUP(tblOrdenes[[#This Row],[id_operacion]],tblEjecucion[id_operacion],tblEjecucion[costo_plan_total],0)-tblOrdenes[[#This Row],[costo_servicio]]))</f>
        <v/>
      </c>
      <c r="AK855" s="11">
        <f>IF(tblOrdenes[[#This Row],[orden]]="","",tblOrdenes[[#This Row],[costo_servicio]]+tblOrdenes[[#This Row],[costo_materiales]])</f>
        <v/>
      </c>
      <c r="AL855" s="6" t="n"/>
      <c r="AM855" s="6" t="n"/>
      <c r="AN855" s="6" t="n"/>
      <c r="AO855" s="3">
        <f>IF(tblOrdenes[[#This Row],[link_checklist]]="","",HYPERLINK(p_ruta_base_checklists&amp;tblOrdenes[[#This Row],[link_checklist]],"abrir"))</f>
        <v/>
      </c>
      <c r="AP855" s="6" t="n"/>
      <c r="AQ855" s="3">
        <f>IF(tblOrdenes[[#This Row],[orden]]="","",tblOrdenes[[#This Row],[orden]]&amp;IF(tblOrdenes[[#This Row],[operacion]]="","0010",tblOrdenes[[#This Row],[operacion]]))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2" t="n"/>
      <c r="K856" s="3" t="n"/>
      <c r="L856" s="11" t="n"/>
      <c r="M8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6" s="3">
        <f>IF(tblOrdenes[[#This Row],[fecha_inicio]]="","",YEAR(tblOrdenes[[#This Row],[fecha_inicio]]))</f>
        <v/>
      </c>
      <c r="Q856" s="3">
        <f>IF(tblOrdenes[[#This Row],[fecha_inicio]]="","",MONTH(tblOrdenes[[#This Row],[fecha_inicio]]))</f>
        <v/>
      </c>
      <c r="R856" s="3">
        <f>IF(tblOrdenes[[#This Row],[fecha_inicio]]="","",INDEX(lista_dias,WEEKDAY(tblOrdenes[[#This Row],[fecha_inicio]],2)))</f>
        <v/>
      </c>
      <c r="S8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6" s="3">
        <f>IF(tblOrdenes[[#This Row],[tipo_ot]]="","",_xlfn.XLOOKUP(tblOrdenes[[#This Row],[tipo_ot]],tblTiposOT[codigo],tblTiposOT[clasificacion],"sin_clasificar"))</f>
        <v/>
      </c>
      <c r="U856" s="3">
        <f>IF(tblOrdenes[[#This Row],[centro_costo]]="","",_xlfn.XLOOKUP(tblOrdenes[[#This Row],[centro_costo]],tblCECO[codigo],tblCECO[linea],"(sin catálogo)"))</f>
        <v/>
      </c>
      <c r="V856" s="3">
        <f>IF(tblOrdenes[[#This Row],[centro_costo]]="","",_xlfn.XLOOKUP(tblOrdenes[[#This Row],[centro_costo]],tblCECO[codigo],tblCECO[area],"(sin catálogo)"))</f>
        <v/>
      </c>
      <c r="W8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6" s="3">
        <f>IF(tblOrdenes[[#This Row],[centro_costo]]="","",_xlfn.XLOOKUP(tblOrdenes[[#This Row],[centro_costo]],tblCECO[codigo],tblCECO[coordinador],"(sin catálogo)"))</f>
        <v/>
      </c>
      <c r="Y856" s="3">
        <f>IF(tblOrdenes[[#This Row],[puesto_trabajo]]="","",_xlfn.XLOOKUP(tblOrdenes[[#This Row],[puesto_trabajo]],tblPuestos[codigo],tblPuestos[especialidad],"(sin catálogo)"))</f>
        <v/>
      </c>
      <c r="Z856" s="3">
        <f>IF(tblOrdenes[[#This Row],[cod_actividad]]="","",_xlfn.XLOOKUP(tblOrdenes[[#This Row],[cod_actividad]],tblActividades[codigo],tblActividades[descripcion],"(sin catálogo)"))</f>
        <v/>
      </c>
      <c r="AA856" s="13">
        <f>IF(tblOrdenes[[#This Row],[fecha_inicio]]="","",TODAY()-tblOrdenes[[#This Row],[fecha_inicio]])</f>
        <v/>
      </c>
      <c r="AB8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6" s="3">
        <f>IF(tblOrdenes[[#This Row],[backlog_habiles]]="","",IF(tblOrdenes[[#This Row],[backlog_habiles]]&lt;0,"FUTURO",IF(tblOrdenes[[#This Row],[backlog_habiles]]&gt;p_dias_backlog_max,"BACKLOG","MES CORRIENTE")))</f>
        <v/>
      </c>
      <c r="AD856" s="3">
        <f>IF(tblOrdenes[[#This Row],[backlog_habiles]]="",FALSE,AND(tblOrdenes[[#This Row],[backlog_habiles]]&gt;p_dias_backlog_min,tblOrdenes[[#This Row],[backlog_habiles]]&lt;=p_dias_backlog_max))</f>
        <v/>
      </c>
      <c r="AE856" s="6" t="n"/>
      <c r="AF8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6" s="11">
        <f>IF(tblOrdenes[[#This Row],[orden]]="","",_xlfn.XLOOKUP(tblOrdenes[[#This Row],[id_operacion]],tblEjecucion[id_operacion],tblEjecucion[precio],0))</f>
        <v/>
      </c>
      <c r="AJ856" s="11">
        <f>IF(tblOrdenes[[#This Row],[orden]]="","",MAX(0,_xlfn.XLOOKUP(tblOrdenes[[#This Row],[id_operacion]],tblEjecucion[id_operacion],tblEjecucion[costo_plan_total],0)-tblOrdenes[[#This Row],[costo_servicio]]))</f>
        <v/>
      </c>
      <c r="AK856" s="11">
        <f>IF(tblOrdenes[[#This Row],[orden]]="","",tblOrdenes[[#This Row],[costo_servicio]]+tblOrdenes[[#This Row],[costo_materiales]])</f>
        <v/>
      </c>
      <c r="AL856" s="6" t="n"/>
      <c r="AM856" s="6" t="n"/>
      <c r="AN856" s="6" t="n"/>
      <c r="AO856" s="3">
        <f>IF(tblOrdenes[[#This Row],[link_checklist]]="","",HYPERLINK(p_ruta_base_checklists&amp;tblOrdenes[[#This Row],[link_checklist]],"abrir"))</f>
        <v/>
      </c>
      <c r="AP856" s="6" t="n"/>
      <c r="AQ856" s="3">
        <f>IF(tblOrdenes[[#This Row],[orden]]="","",tblOrdenes[[#This Row],[orden]]&amp;IF(tblOrdenes[[#This Row],[operacion]]="","0010",tblOrdenes[[#This Row],[operacion]]))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2" t="n"/>
      <c r="K857" s="3" t="n"/>
      <c r="L857" s="11" t="n"/>
      <c r="M8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7" s="3">
        <f>IF(tblOrdenes[[#This Row],[fecha_inicio]]="","",YEAR(tblOrdenes[[#This Row],[fecha_inicio]]))</f>
        <v/>
      </c>
      <c r="Q857" s="3">
        <f>IF(tblOrdenes[[#This Row],[fecha_inicio]]="","",MONTH(tblOrdenes[[#This Row],[fecha_inicio]]))</f>
        <v/>
      </c>
      <c r="R857" s="3">
        <f>IF(tblOrdenes[[#This Row],[fecha_inicio]]="","",INDEX(lista_dias,WEEKDAY(tblOrdenes[[#This Row],[fecha_inicio]],2)))</f>
        <v/>
      </c>
      <c r="S8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7" s="3">
        <f>IF(tblOrdenes[[#This Row],[tipo_ot]]="","",_xlfn.XLOOKUP(tblOrdenes[[#This Row],[tipo_ot]],tblTiposOT[codigo],tblTiposOT[clasificacion],"sin_clasificar"))</f>
        <v/>
      </c>
      <c r="U857" s="3">
        <f>IF(tblOrdenes[[#This Row],[centro_costo]]="","",_xlfn.XLOOKUP(tblOrdenes[[#This Row],[centro_costo]],tblCECO[codigo],tblCECO[linea],"(sin catálogo)"))</f>
        <v/>
      </c>
      <c r="V857" s="3">
        <f>IF(tblOrdenes[[#This Row],[centro_costo]]="","",_xlfn.XLOOKUP(tblOrdenes[[#This Row],[centro_costo]],tblCECO[codigo],tblCECO[area],"(sin catálogo)"))</f>
        <v/>
      </c>
      <c r="W8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7" s="3">
        <f>IF(tblOrdenes[[#This Row],[centro_costo]]="","",_xlfn.XLOOKUP(tblOrdenes[[#This Row],[centro_costo]],tblCECO[codigo],tblCECO[coordinador],"(sin catálogo)"))</f>
        <v/>
      </c>
      <c r="Y857" s="3">
        <f>IF(tblOrdenes[[#This Row],[puesto_trabajo]]="","",_xlfn.XLOOKUP(tblOrdenes[[#This Row],[puesto_trabajo]],tblPuestos[codigo],tblPuestos[especialidad],"(sin catálogo)"))</f>
        <v/>
      </c>
      <c r="Z857" s="3">
        <f>IF(tblOrdenes[[#This Row],[cod_actividad]]="","",_xlfn.XLOOKUP(tblOrdenes[[#This Row],[cod_actividad]],tblActividades[codigo],tblActividades[descripcion],"(sin catálogo)"))</f>
        <v/>
      </c>
      <c r="AA857" s="13">
        <f>IF(tblOrdenes[[#This Row],[fecha_inicio]]="","",TODAY()-tblOrdenes[[#This Row],[fecha_inicio]])</f>
        <v/>
      </c>
      <c r="AB8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7" s="3">
        <f>IF(tblOrdenes[[#This Row],[backlog_habiles]]="","",IF(tblOrdenes[[#This Row],[backlog_habiles]]&lt;0,"FUTURO",IF(tblOrdenes[[#This Row],[backlog_habiles]]&gt;p_dias_backlog_max,"BACKLOG","MES CORRIENTE")))</f>
        <v/>
      </c>
      <c r="AD857" s="3">
        <f>IF(tblOrdenes[[#This Row],[backlog_habiles]]="",FALSE,AND(tblOrdenes[[#This Row],[backlog_habiles]]&gt;p_dias_backlog_min,tblOrdenes[[#This Row],[backlog_habiles]]&lt;=p_dias_backlog_max))</f>
        <v/>
      </c>
      <c r="AE857" s="6" t="n"/>
      <c r="AF8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7" s="11">
        <f>IF(tblOrdenes[[#This Row],[orden]]="","",_xlfn.XLOOKUP(tblOrdenes[[#This Row],[id_operacion]],tblEjecucion[id_operacion],tblEjecucion[precio],0))</f>
        <v/>
      </c>
      <c r="AJ857" s="11">
        <f>IF(tblOrdenes[[#This Row],[orden]]="","",MAX(0,_xlfn.XLOOKUP(tblOrdenes[[#This Row],[id_operacion]],tblEjecucion[id_operacion],tblEjecucion[costo_plan_total],0)-tblOrdenes[[#This Row],[costo_servicio]]))</f>
        <v/>
      </c>
      <c r="AK857" s="11">
        <f>IF(tblOrdenes[[#This Row],[orden]]="","",tblOrdenes[[#This Row],[costo_servicio]]+tblOrdenes[[#This Row],[costo_materiales]])</f>
        <v/>
      </c>
      <c r="AL857" s="6" t="n"/>
      <c r="AM857" s="6" t="n"/>
      <c r="AN857" s="6" t="n"/>
      <c r="AO857" s="3">
        <f>IF(tblOrdenes[[#This Row],[link_checklist]]="","",HYPERLINK(p_ruta_base_checklists&amp;tblOrdenes[[#This Row],[link_checklist]],"abrir"))</f>
        <v/>
      </c>
      <c r="AP857" s="6" t="n"/>
      <c r="AQ857" s="3">
        <f>IF(tblOrdenes[[#This Row],[orden]]="","",tblOrdenes[[#This Row],[orden]]&amp;IF(tblOrdenes[[#This Row],[operacion]]="","0010",tblOrdenes[[#This Row],[operacion]]))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2" t="n"/>
      <c r="K858" s="3" t="n"/>
      <c r="L858" s="11" t="n"/>
      <c r="M8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8" s="3">
        <f>IF(tblOrdenes[[#This Row],[fecha_inicio]]="","",YEAR(tblOrdenes[[#This Row],[fecha_inicio]]))</f>
        <v/>
      </c>
      <c r="Q858" s="3">
        <f>IF(tblOrdenes[[#This Row],[fecha_inicio]]="","",MONTH(tblOrdenes[[#This Row],[fecha_inicio]]))</f>
        <v/>
      </c>
      <c r="R858" s="3">
        <f>IF(tblOrdenes[[#This Row],[fecha_inicio]]="","",INDEX(lista_dias,WEEKDAY(tblOrdenes[[#This Row],[fecha_inicio]],2)))</f>
        <v/>
      </c>
      <c r="S8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8" s="3">
        <f>IF(tblOrdenes[[#This Row],[tipo_ot]]="","",_xlfn.XLOOKUP(tblOrdenes[[#This Row],[tipo_ot]],tblTiposOT[codigo],tblTiposOT[clasificacion],"sin_clasificar"))</f>
        <v/>
      </c>
      <c r="U858" s="3">
        <f>IF(tblOrdenes[[#This Row],[centro_costo]]="","",_xlfn.XLOOKUP(tblOrdenes[[#This Row],[centro_costo]],tblCECO[codigo],tblCECO[linea],"(sin catálogo)"))</f>
        <v/>
      </c>
      <c r="V858" s="3">
        <f>IF(tblOrdenes[[#This Row],[centro_costo]]="","",_xlfn.XLOOKUP(tblOrdenes[[#This Row],[centro_costo]],tblCECO[codigo],tblCECO[area],"(sin catálogo)"))</f>
        <v/>
      </c>
      <c r="W8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8" s="3">
        <f>IF(tblOrdenes[[#This Row],[centro_costo]]="","",_xlfn.XLOOKUP(tblOrdenes[[#This Row],[centro_costo]],tblCECO[codigo],tblCECO[coordinador],"(sin catálogo)"))</f>
        <v/>
      </c>
      <c r="Y858" s="3">
        <f>IF(tblOrdenes[[#This Row],[puesto_trabajo]]="","",_xlfn.XLOOKUP(tblOrdenes[[#This Row],[puesto_trabajo]],tblPuestos[codigo],tblPuestos[especialidad],"(sin catálogo)"))</f>
        <v/>
      </c>
      <c r="Z858" s="3">
        <f>IF(tblOrdenes[[#This Row],[cod_actividad]]="","",_xlfn.XLOOKUP(tblOrdenes[[#This Row],[cod_actividad]],tblActividades[codigo],tblActividades[descripcion],"(sin catálogo)"))</f>
        <v/>
      </c>
      <c r="AA858" s="13">
        <f>IF(tblOrdenes[[#This Row],[fecha_inicio]]="","",TODAY()-tblOrdenes[[#This Row],[fecha_inicio]])</f>
        <v/>
      </c>
      <c r="AB8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8" s="3">
        <f>IF(tblOrdenes[[#This Row],[backlog_habiles]]="","",IF(tblOrdenes[[#This Row],[backlog_habiles]]&lt;0,"FUTURO",IF(tblOrdenes[[#This Row],[backlog_habiles]]&gt;p_dias_backlog_max,"BACKLOG","MES CORRIENTE")))</f>
        <v/>
      </c>
      <c r="AD858" s="3">
        <f>IF(tblOrdenes[[#This Row],[backlog_habiles]]="",FALSE,AND(tblOrdenes[[#This Row],[backlog_habiles]]&gt;p_dias_backlog_min,tblOrdenes[[#This Row],[backlog_habiles]]&lt;=p_dias_backlog_max))</f>
        <v/>
      </c>
      <c r="AE858" s="6" t="n"/>
      <c r="AF8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8" s="11">
        <f>IF(tblOrdenes[[#This Row],[orden]]="","",_xlfn.XLOOKUP(tblOrdenes[[#This Row],[id_operacion]],tblEjecucion[id_operacion],tblEjecucion[precio],0))</f>
        <v/>
      </c>
      <c r="AJ858" s="11">
        <f>IF(tblOrdenes[[#This Row],[orden]]="","",MAX(0,_xlfn.XLOOKUP(tblOrdenes[[#This Row],[id_operacion]],tblEjecucion[id_operacion],tblEjecucion[costo_plan_total],0)-tblOrdenes[[#This Row],[costo_servicio]]))</f>
        <v/>
      </c>
      <c r="AK858" s="11">
        <f>IF(tblOrdenes[[#This Row],[orden]]="","",tblOrdenes[[#This Row],[costo_servicio]]+tblOrdenes[[#This Row],[costo_materiales]])</f>
        <v/>
      </c>
      <c r="AL858" s="6" t="n"/>
      <c r="AM858" s="6" t="n"/>
      <c r="AN858" s="6" t="n"/>
      <c r="AO858" s="3">
        <f>IF(tblOrdenes[[#This Row],[link_checklist]]="","",HYPERLINK(p_ruta_base_checklists&amp;tblOrdenes[[#This Row],[link_checklist]],"abrir"))</f>
        <v/>
      </c>
      <c r="AP858" s="6" t="n"/>
      <c r="AQ858" s="3">
        <f>IF(tblOrdenes[[#This Row],[orden]]="","",tblOrdenes[[#This Row],[orden]]&amp;IF(tblOrdenes[[#This Row],[operacion]]="","0010",tblOrdenes[[#This Row],[operacion]]))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2" t="n"/>
      <c r="K859" s="3" t="n"/>
      <c r="L859" s="11" t="n"/>
      <c r="M8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9" s="3">
        <f>IF(tblOrdenes[[#This Row],[fecha_inicio]]="","",YEAR(tblOrdenes[[#This Row],[fecha_inicio]]))</f>
        <v/>
      </c>
      <c r="Q859" s="3">
        <f>IF(tblOrdenes[[#This Row],[fecha_inicio]]="","",MONTH(tblOrdenes[[#This Row],[fecha_inicio]]))</f>
        <v/>
      </c>
      <c r="R859" s="3">
        <f>IF(tblOrdenes[[#This Row],[fecha_inicio]]="","",INDEX(lista_dias,WEEKDAY(tblOrdenes[[#This Row],[fecha_inicio]],2)))</f>
        <v/>
      </c>
      <c r="S8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9" s="3">
        <f>IF(tblOrdenes[[#This Row],[tipo_ot]]="","",_xlfn.XLOOKUP(tblOrdenes[[#This Row],[tipo_ot]],tblTiposOT[codigo],tblTiposOT[clasificacion],"sin_clasificar"))</f>
        <v/>
      </c>
      <c r="U859" s="3">
        <f>IF(tblOrdenes[[#This Row],[centro_costo]]="","",_xlfn.XLOOKUP(tblOrdenes[[#This Row],[centro_costo]],tblCECO[codigo],tblCECO[linea],"(sin catálogo)"))</f>
        <v/>
      </c>
      <c r="V859" s="3">
        <f>IF(tblOrdenes[[#This Row],[centro_costo]]="","",_xlfn.XLOOKUP(tblOrdenes[[#This Row],[centro_costo]],tblCECO[codigo],tblCECO[area],"(sin catálogo)"))</f>
        <v/>
      </c>
      <c r="W8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9" s="3">
        <f>IF(tblOrdenes[[#This Row],[centro_costo]]="","",_xlfn.XLOOKUP(tblOrdenes[[#This Row],[centro_costo]],tblCECO[codigo],tblCECO[coordinador],"(sin catálogo)"))</f>
        <v/>
      </c>
      <c r="Y859" s="3">
        <f>IF(tblOrdenes[[#This Row],[puesto_trabajo]]="","",_xlfn.XLOOKUP(tblOrdenes[[#This Row],[puesto_trabajo]],tblPuestos[codigo],tblPuestos[especialidad],"(sin catálogo)"))</f>
        <v/>
      </c>
      <c r="Z859" s="3">
        <f>IF(tblOrdenes[[#This Row],[cod_actividad]]="","",_xlfn.XLOOKUP(tblOrdenes[[#This Row],[cod_actividad]],tblActividades[codigo],tblActividades[descripcion],"(sin catálogo)"))</f>
        <v/>
      </c>
      <c r="AA859" s="13">
        <f>IF(tblOrdenes[[#This Row],[fecha_inicio]]="","",TODAY()-tblOrdenes[[#This Row],[fecha_inicio]])</f>
        <v/>
      </c>
      <c r="AB8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9" s="3">
        <f>IF(tblOrdenes[[#This Row],[backlog_habiles]]="","",IF(tblOrdenes[[#This Row],[backlog_habiles]]&lt;0,"FUTURO",IF(tblOrdenes[[#This Row],[backlog_habiles]]&gt;p_dias_backlog_max,"BACKLOG","MES CORRIENTE")))</f>
        <v/>
      </c>
      <c r="AD859" s="3">
        <f>IF(tblOrdenes[[#This Row],[backlog_habiles]]="",FALSE,AND(tblOrdenes[[#This Row],[backlog_habiles]]&gt;p_dias_backlog_min,tblOrdenes[[#This Row],[backlog_habiles]]&lt;=p_dias_backlog_max))</f>
        <v/>
      </c>
      <c r="AE859" s="6" t="n"/>
      <c r="AF8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9" s="11">
        <f>IF(tblOrdenes[[#This Row],[orden]]="","",_xlfn.XLOOKUP(tblOrdenes[[#This Row],[id_operacion]],tblEjecucion[id_operacion],tblEjecucion[precio],0))</f>
        <v/>
      </c>
      <c r="AJ859" s="11">
        <f>IF(tblOrdenes[[#This Row],[orden]]="","",MAX(0,_xlfn.XLOOKUP(tblOrdenes[[#This Row],[id_operacion]],tblEjecucion[id_operacion],tblEjecucion[costo_plan_total],0)-tblOrdenes[[#This Row],[costo_servicio]]))</f>
        <v/>
      </c>
      <c r="AK859" s="11">
        <f>IF(tblOrdenes[[#This Row],[orden]]="","",tblOrdenes[[#This Row],[costo_servicio]]+tblOrdenes[[#This Row],[costo_materiales]])</f>
        <v/>
      </c>
      <c r="AL859" s="6" t="n"/>
      <c r="AM859" s="6" t="n"/>
      <c r="AN859" s="6" t="n"/>
      <c r="AO859" s="3">
        <f>IF(tblOrdenes[[#This Row],[link_checklist]]="","",HYPERLINK(p_ruta_base_checklists&amp;tblOrdenes[[#This Row],[link_checklist]],"abrir"))</f>
        <v/>
      </c>
      <c r="AP859" s="6" t="n"/>
      <c r="AQ859" s="3">
        <f>IF(tblOrdenes[[#This Row],[orden]]="","",tblOrdenes[[#This Row],[orden]]&amp;IF(tblOrdenes[[#This Row],[operacion]]="","0010",tblOrdenes[[#This Row],[operacion]]))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2" t="n"/>
      <c r="K860" s="3" t="n"/>
      <c r="L860" s="11" t="n"/>
      <c r="M8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0" s="3">
        <f>IF(tblOrdenes[[#This Row],[fecha_inicio]]="","",YEAR(tblOrdenes[[#This Row],[fecha_inicio]]))</f>
        <v/>
      </c>
      <c r="Q860" s="3">
        <f>IF(tblOrdenes[[#This Row],[fecha_inicio]]="","",MONTH(tblOrdenes[[#This Row],[fecha_inicio]]))</f>
        <v/>
      </c>
      <c r="R860" s="3">
        <f>IF(tblOrdenes[[#This Row],[fecha_inicio]]="","",INDEX(lista_dias,WEEKDAY(tblOrdenes[[#This Row],[fecha_inicio]],2)))</f>
        <v/>
      </c>
      <c r="S8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0" s="3">
        <f>IF(tblOrdenes[[#This Row],[tipo_ot]]="","",_xlfn.XLOOKUP(tblOrdenes[[#This Row],[tipo_ot]],tblTiposOT[codigo],tblTiposOT[clasificacion],"sin_clasificar"))</f>
        <v/>
      </c>
      <c r="U860" s="3">
        <f>IF(tblOrdenes[[#This Row],[centro_costo]]="","",_xlfn.XLOOKUP(tblOrdenes[[#This Row],[centro_costo]],tblCECO[codigo],tblCECO[linea],"(sin catálogo)"))</f>
        <v/>
      </c>
      <c r="V860" s="3">
        <f>IF(tblOrdenes[[#This Row],[centro_costo]]="","",_xlfn.XLOOKUP(tblOrdenes[[#This Row],[centro_costo]],tblCECO[codigo],tblCECO[area],"(sin catálogo)"))</f>
        <v/>
      </c>
      <c r="W8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0" s="3">
        <f>IF(tblOrdenes[[#This Row],[centro_costo]]="","",_xlfn.XLOOKUP(tblOrdenes[[#This Row],[centro_costo]],tblCECO[codigo],tblCECO[coordinador],"(sin catálogo)"))</f>
        <v/>
      </c>
      <c r="Y860" s="3">
        <f>IF(tblOrdenes[[#This Row],[puesto_trabajo]]="","",_xlfn.XLOOKUP(tblOrdenes[[#This Row],[puesto_trabajo]],tblPuestos[codigo],tblPuestos[especialidad],"(sin catálogo)"))</f>
        <v/>
      </c>
      <c r="Z860" s="3">
        <f>IF(tblOrdenes[[#This Row],[cod_actividad]]="","",_xlfn.XLOOKUP(tblOrdenes[[#This Row],[cod_actividad]],tblActividades[codigo],tblActividades[descripcion],"(sin catálogo)"))</f>
        <v/>
      </c>
      <c r="AA860" s="13">
        <f>IF(tblOrdenes[[#This Row],[fecha_inicio]]="","",TODAY()-tblOrdenes[[#This Row],[fecha_inicio]])</f>
        <v/>
      </c>
      <c r="AB8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0" s="3">
        <f>IF(tblOrdenes[[#This Row],[backlog_habiles]]="","",IF(tblOrdenes[[#This Row],[backlog_habiles]]&lt;0,"FUTURO",IF(tblOrdenes[[#This Row],[backlog_habiles]]&gt;p_dias_backlog_max,"BACKLOG","MES CORRIENTE")))</f>
        <v/>
      </c>
      <c r="AD860" s="3">
        <f>IF(tblOrdenes[[#This Row],[backlog_habiles]]="",FALSE,AND(tblOrdenes[[#This Row],[backlog_habiles]]&gt;p_dias_backlog_min,tblOrdenes[[#This Row],[backlog_habiles]]&lt;=p_dias_backlog_max))</f>
        <v/>
      </c>
      <c r="AE860" s="6" t="n"/>
      <c r="AF8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0" s="11">
        <f>IF(tblOrdenes[[#This Row],[orden]]="","",_xlfn.XLOOKUP(tblOrdenes[[#This Row],[id_operacion]],tblEjecucion[id_operacion],tblEjecucion[precio],0))</f>
        <v/>
      </c>
      <c r="AJ860" s="11">
        <f>IF(tblOrdenes[[#This Row],[orden]]="","",MAX(0,_xlfn.XLOOKUP(tblOrdenes[[#This Row],[id_operacion]],tblEjecucion[id_operacion],tblEjecucion[costo_plan_total],0)-tblOrdenes[[#This Row],[costo_servicio]]))</f>
        <v/>
      </c>
      <c r="AK860" s="11">
        <f>IF(tblOrdenes[[#This Row],[orden]]="","",tblOrdenes[[#This Row],[costo_servicio]]+tblOrdenes[[#This Row],[costo_materiales]])</f>
        <v/>
      </c>
      <c r="AL860" s="6" t="n"/>
      <c r="AM860" s="6" t="n"/>
      <c r="AN860" s="6" t="n"/>
      <c r="AO860" s="3">
        <f>IF(tblOrdenes[[#This Row],[link_checklist]]="","",HYPERLINK(p_ruta_base_checklists&amp;tblOrdenes[[#This Row],[link_checklist]],"abrir"))</f>
        <v/>
      </c>
      <c r="AP860" s="6" t="n"/>
      <c r="AQ860" s="3">
        <f>IF(tblOrdenes[[#This Row],[orden]]="","",tblOrdenes[[#This Row],[orden]]&amp;IF(tblOrdenes[[#This Row],[operacion]]="","0010",tblOrdenes[[#This Row],[operacion]]))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2" t="n"/>
      <c r="K861" s="3" t="n"/>
      <c r="L861" s="11" t="n"/>
      <c r="M8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1" s="3">
        <f>IF(tblOrdenes[[#This Row],[fecha_inicio]]="","",YEAR(tblOrdenes[[#This Row],[fecha_inicio]]))</f>
        <v/>
      </c>
      <c r="Q861" s="3">
        <f>IF(tblOrdenes[[#This Row],[fecha_inicio]]="","",MONTH(tblOrdenes[[#This Row],[fecha_inicio]]))</f>
        <v/>
      </c>
      <c r="R861" s="3">
        <f>IF(tblOrdenes[[#This Row],[fecha_inicio]]="","",INDEX(lista_dias,WEEKDAY(tblOrdenes[[#This Row],[fecha_inicio]],2)))</f>
        <v/>
      </c>
      <c r="S8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1" s="3">
        <f>IF(tblOrdenes[[#This Row],[tipo_ot]]="","",_xlfn.XLOOKUP(tblOrdenes[[#This Row],[tipo_ot]],tblTiposOT[codigo],tblTiposOT[clasificacion],"sin_clasificar"))</f>
        <v/>
      </c>
      <c r="U861" s="3">
        <f>IF(tblOrdenes[[#This Row],[centro_costo]]="","",_xlfn.XLOOKUP(tblOrdenes[[#This Row],[centro_costo]],tblCECO[codigo],tblCECO[linea],"(sin catálogo)"))</f>
        <v/>
      </c>
      <c r="V861" s="3">
        <f>IF(tblOrdenes[[#This Row],[centro_costo]]="","",_xlfn.XLOOKUP(tblOrdenes[[#This Row],[centro_costo]],tblCECO[codigo],tblCECO[area],"(sin catálogo)"))</f>
        <v/>
      </c>
      <c r="W8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1" s="3">
        <f>IF(tblOrdenes[[#This Row],[centro_costo]]="","",_xlfn.XLOOKUP(tblOrdenes[[#This Row],[centro_costo]],tblCECO[codigo],tblCECO[coordinador],"(sin catálogo)"))</f>
        <v/>
      </c>
      <c r="Y861" s="3">
        <f>IF(tblOrdenes[[#This Row],[puesto_trabajo]]="","",_xlfn.XLOOKUP(tblOrdenes[[#This Row],[puesto_trabajo]],tblPuestos[codigo],tblPuestos[especialidad],"(sin catálogo)"))</f>
        <v/>
      </c>
      <c r="Z861" s="3">
        <f>IF(tblOrdenes[[#This Row],[cod_actividad]]="","",_xlfn.XLOOKUP(tblOrdenes[[#This Row],[cod_actividad]],tblActividades[codigo],tblActividades[descripcion],"(sin catálogo)"))</f>
        <v/>
      </c>
      <c r="AA861" s="13">
        <f>IF(tblOrdenes[[#This Row],[fecha_inicio]]="","",TODAY()-tblOrdenes[[#This Row],[fecha_inicio]])</f>
        <v/>
      </c>
      <c r="AB8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1" s="3">
        <f>IF(tblOrdenes[[#This Row],[backlog_habiles]]="","",IF(tblOrdenes[[#This Row],[backlog_habiles]]&lt;0,"FUTURO",IF(tblOrdenes[[#This Row],[backlog_habiles]]&gt;p_dias_backlog_max,"BACKLOG","MES CORRIENTE")))</f>
        <v/>
      </c>
      <c r="AD861" s="3">
        <f>IF(tblOrdenes[[#This Row],[backlog_habiles]]="",FALSE,AND(tblOrdenes[[#This Row],[backlog_habiles]]&gt;p_dias_backlog_min,tblOrdenes[[#This Row],[backlog_habiles]]&lt;=p_dias_backlog_max))</f>
        <v/>
      </c>
      <c r="AE861" s="6" t="n"/>
      <c r="AF8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1" s="11">
        <f>IF(tblOrdenes[[#This Row],[orden]]="","",_xlfn.XLOOKUP(tblOrdenes[[#This Row],[id_operacion]],tblEjecucion[id_operacion],tblEjecucion[precio],0))</f>
        <v/>
      </c>
      <c r="AJ861" s="11">
        <f>IF(tblOrdenes[[#This Row],[orden]]="","",MAX(0,_xlfn.XLOOKUP(tblOrdenes[[#This Row],[id_operacion]],tblEjecucion[id_operacion],tblEjecucion[costo_plan_total],0)-tblOrdenes[[#This Row],[costo_servicio]]))</f>
        <v/>
      </c>
      <c r="AK861" s="11">
        <f>IF(tblOrdenes[[#This Row],[orden]]="","",tblOrdenes[[#This Row],[costo_servicio]]+tblOrdenes[[#This Row],[costo_materiales]])</f>
        <v/>
      </c>
      <c r="AL861" s="6" t="n"/>
      <c r="AM861" s="6" t="n"/>
      <c r="AN861" s="6" t="n"/>
      <c r="AO861" s="3">
        <f>IF(tblOrdenes[[#This Row],[link_checklist]]="","",HYPERLINK(p_ruta_base_checklists&amp;tblOrdenes[[#This Row],[link_checklist]],"abrir"))</f>
        <v/>
      </c>
      <c r="AP861" s="6" t="n"/>
      <c r="AQ861" s="3">
        <f>IF(tblOrdenes[[#This Row],[orden]]="","",tblOrdenes[[#This Row],[orden]]&amp;IF(tblOrdenes[[#This Row],[operacion]]="","0010",tblOrdenes[[#This Row],[operacion]]))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2" t="n"/>
      <c r="K862" s="3" t="n"/>
      <c r="L862" s="11" t="n"/>
      <c r="M8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2" s="3">
        <f>IF(tblOrdenes[[#This Row],[fecha_inicio]]="","",YEAR(tblOrdenes[[#This Row],[fecha_inicio]]))</f>
        <v/>
      </c>
      <c r="Q862" s="3">
        <f>IF(tblOrdenes[[#This Row],[fecha_inicio]]="","",MONTH(tblOrdenes[[#This Row],[fecha_inicio]]))</f>
        <v/>
      </c>
      <c r="R862" s="3">
        <f>IF(tblOrdenes[[#This Row],[fecha_inicio]]="","",INDEX(lista_dias,WEEKDAY(tblOrdenes[[#This Row],[fecha_inicio]],2)))</f>
        <v/>
      </c>
      <c r="S8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2" s="3">
        <f>IF(tblOrdenes[[#This Row],[tipo_ot]]="","",_xlfn.XLOOKUP(tblOrdenes[[#This Row],[tipo_ot]],tblTiposOT[codigo],tblTiposOT[clasificacion],"sin_clasificar"))</f>
        <v/>
      </c>
      <c r="U862" s="3">
        <f>IF(tblOrdenes[[#This Row],[centro_costo]]="","",_xlfn.XLOOKUP(tblOrdenes[[#This Row],[centro_costo]],tblCECO[codigo],tblCECO[linea],"(sin catálogo)"))</f>
        <v/>
      </c>
      <c r="V862" s="3">
        <f>IF(tblOrdenes[[#This Row],[centro_costo]]="","",_xlfn.XLOOKUP(tblOrdenes[[#This Row],[centro_costo]],tblCECO[codigo],tblCECO[area],"(sin catálogo)"))</f>
        <v/>
      </c>
      <c r="W8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2" s="3">
        <f>IF(tblOrdenes[[#This Row],[centro_costo]]="","",_xlfn.XLOOKUP(tblOrdenes[[#This Row],[centro_costo]],tblCECO[codigo],tblCECO[coordinador],"(sin catálogo)"))</f>
        <v/>
      </c>
      <c r="Y862" s="3">
        <f>IF(tblOrdenes[[#This Row],[puesto_trabajo]]="","",_xlfn.XLOOKUP(tblOrdenes[[#This Row],[puesto_trabajo]],tblPuestos[codigo],tblPuestos[especialidad],"(sin catálogo)"))</f>
        <v/>
      </c>
      <c r="Z862" s="3">
        <f>IF(tblOrdenes[[#This Row],[cod_actividad]]="","",_xlfn.XLOOKUP(tblOrdenes[[#This Row],[cod_actividad]],tblActividades[codigo],tblActividades[descripcion],"(sin catálogo)"))</f>
        <v/>
      </c>
      <c r="AA862" s="13">
        <f>IF(tblOrdenes[[#This Row],[fecha_inicio]]="","",TODAY()-tblOrdenes[[#This Row],[fecha_inicio]])</f>
        <v/>
      </c>
      <c r="AB8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2" s="3">
        <f>IF(tblOrdenes[[#This Row],[backlog_habiles]]="","",IF(tblOrdenes[[#This Row],[backlog_habiles]]&lt;0,"FUTURO",IF(tblOrdenes[[#This Row],[backlog_habiles]]&gt;p_dias_backlog_max,"BACKLOG","MES CORRIENTE")))</f>
        <v/>
      </c>
      <c r="AD862" s="3">
        <f>IF(tblOrdenes[[#This Row],[backlog_habiles]]="",FALSE,AND(tblOrdenes[[#This Row],[backlog_habiles]]&gt;p_dias_backlog_min,tblOrdenes[[#This Row],[backlog_habiles]]&lt;=p_dias_backlog_max))</f>
        <v/>
      </c>
      <c r="AE862" s="6" t="n"/>
      <c r="AF8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2" s="11">
        <f>IF(tblOrdenes[[#This Row],[orden]]="","",_xlfn.XLOOKUP(tblOrdenes[[#This Row],[id_operacion]],tblEjecucion[id_operacion],tblEjecucion[precio],0))</f>
        <v/>
      </c>
      <c r="AJ862" s="11">
        <f>IF(tblOrdenes[[#This Row],[orden]]="","",MAX(0,_xlfn.XLOOKUP(tblOrdenes[[#This Row],[id_operacion]],tblEjecucion[id_operacion],tblEjecucion[costo_plan_total],0)-tblOrdenes[[#This Row],[costo_servicio]]))</f>
        <v/>
      </c>
      <c r="AK862" s="11">
        <f>IF(tblOrdenes[[#This Row],[orden]]="","",tblOrdenes[[#This Row],[costo_servicio]]+tblOrdenes[[#This Row],[costo_materiales]])</f>
        <v/>
      </c>
      <c r="AL862" s="6" t="n"/>
      <c r="AM862" s="6" t="n"/>
      <c r="AN862" s="6" t="n"/>
      <c r="AO862" s="3">
        <f>IF(tblOrdenes[[#This Row],[link_checklist]]="","",HYPERLINK(p_ruta_base_checklists&amp;tblOrdenes[[#This Row],[link_checklist]],"abrir"))</f>
        <v/>
      </c>
      <c r="AP862" s="6" t="n"/>
      <c r="AQ862" s="3">
        <f>IF(tblOrdenes[[#This Row],[orden]]="","",tblOrdenes[[#This Row],[orden]]&amp;IF(tblOrdenes[[#This Row],[operacion]]="","0010",tblOrdenes[[#This Row],[operacion]]))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2" t="n"/>
      <c r="K863" s="3" t="n"/>
      <c r="L863" s="11" t="n"/>
      <c r="M8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3" s="3">
        <f>IF(tblOrdenes[[#This Row],[fecha_inicio]]="","",YEAR(tblOrdenes[[#This Row],[fecha_inicio]]))</f>
        <v/>
      </c>
      <c r="Q863" s="3">
        <f>IF(tblOrdenes[[#This Row],[fecha_inicio]]="","",MONTH(tblOrdenes[[#This Row],[fecha_inicio]]))</f>
        <v/>
      </c>
      <c r="R863" s="3">
        <f>IF(tblOrdenes[[#This Row],[fecha_inicio]]="","",INDEX(lista_dias,WEEKDAY(tblOrdenes[[#This Row],[fecha_inicio]],2)))</f>
        <v/>
      </c>
      <c r="S8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3" s="3">
        <f>IF(tblOrdenes[[#This Row],[tipo_ot]]="","",_xlfn.XLOOKUP(tblOrdenes[[#This Row],[tipo_ot]],tblTiposOT[codigo],tblTiposOT[clasificacion],"sin_clasificar"))</f>
        <v/>
      </c>
      <c r="U863" s="3">
        <f>IF(tblOrdenes[[#This Row],[centro_costo]]="","",_xlfn.XLOOKUP(tblOrdenes[[#This Row],[centro_costo]],tblCECO[codigo],tblCECO[linea],"(sin catálogo)"))</f>
        <v/>
      </c>
      <c r="V863" s="3">
        <f>IF(tblOrdenes[[#This Row],[centro_costo]]="","",_xlfn.XLOOKUP(tblOrdenes[[#This Row],[centro_costo]],tblCECO[codigo],tblCECO[area],"(sin catálogo)"))</f>
        <v/>
      </c>
      <c r="W8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3" s="3">
        <f>IF(tblOrdenes[[#This Row],[centro_costo]]="","",_xlfn.XLOOKUP(tblOrdenes[[#This Row],[centro_costo]],tblCECO[codigo],tblCECO[coordinador],"(sin catálogo)"))</f>
        <v/>
      </c>
      <c r="Y863" s="3">
        <f>IF(tblOrdenes[[#This Row],[puesto_trabajo]]="","",_xlfn.XLOOKUP(tblOrdenes[[#This Row],[puesto_trabajo]],tblPuestos[codigo],tblPuestos[especialidad],"(sin catálogo)"))</f>
        <v/>
      </c>
      <c r="Z863" s="3">
        <f>IF(tblOrdenes[[#This Row],[cod_actividad]]="","",_xlfn.XLOOKUP(tblOrdenes[[#This Row],[cod_actividad]],tblActividades[codigo],tblActividades[descripcion],"(sin catálogo)"))</f>
        <v/>
      </c>
      <c r="AA863" s="13">
        <f>IF(tblOrdenes[[#This Row],[fecha_inicio]]="","",TODAY()-tblOrdenes[[#This Row],[fecha_inicio]])</f>
        <v/>
      </c>
      <c r="AB8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3" s="3">
        <f>IF(tblOrdenes[[#This Row],[backlog_habiles]]="","",IF(tblOrdenes[[#This Row],[backlog_habiles]]&lt;0,"FUTURO",IF(tblOrdenes[[#This Row],[backlog_habiles]]&gt;p_dias_backlog_max,"BACKLOG","MES CORRIENTE")))</f>
        <v/>
      </c>
      <c r="AD863" s="3">
        <f>IF(tblOrdenes[[#This Row],[backlog_habiles]]="",FALSE,AND(tblOrdenes[[#This Row],[backlog_habiles]]&gt;p_dias_backlog_min,tblOrdenes[[#This Row],[backlog_habiles]]&lt;=p_dias_backlog_max))</f>
        <v/>
      </c>
      <c r="AE863" s="6" t="n"/>
      <c r="AF8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3" s="11">
        <f>IF(tblOrdenes[[#This Row],[orden]]="","",_xlfn.XLOOKUP(tblOrdenes[[#This Row],[id_operacion]],tblEjecucion[id_operacion],tblEjecucion[precio],0))</f>
        <v/>
      </c>
      <c r="AJ863" s="11">
        <f>IF(tblOrdenes[[#This Row],[orden]]="","",MAX(0,_xlfn.XLOOKUP(tblOrdenes[[#This Row],[id_operacion]],tblEjecucion[id_operacion],tblEjecucion[costo_plan_total],0)-tblOrdenes[[#This Row],[costo_servicio]]))</f>
        <v/>
      </c>
      <c r="AK863" s="11">
        <f>IF(tblOrdenes[[#This Row],[orden]]="","",tblOrdenes[[#This Row],[costo_servicio]]+tblOrdenes[[#This Row],[costo_materiales]])</f>
        <v/>
      </c>
      <c r="AL863" s="6" t="n"/>
      <c r="AM863" s="6" t="n"/>
      <c r="AN863" s="6" t="n"/>
      <c r="AO863" s="3">
        <f>IF(tblOrdenes[[#This Row],[link_checklist]]="","",HYPERLINK(p_ruta_base_checklists&amp;tblOrdenes[[#This Row],[link_checklist]],"abrir"))</f>
        <v/>
      </c>
      <c r="AP863" s="6" t="n"/>
      <c r="AQ863" s="3">
        <f>IF(tblOrdenes[[#This Row],[orden]]="","",tblOrdenes[[#This Row],[orden]]&amp;IF(tblOrdenes[[#This Row],[operacion]]="","0010",tblOrdenes[[#This Row],[operacion]]))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2" t="n"/>
      <c r="K864" s="3" t="n"/>
      <c r="L864" s="11" t="n"/>
      <c r="M8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4" s="3">
        <f>IF(tblOrdenes[[#This Row],[fecha_inicio]]="","",YEAR(tblOrdenes[[#This Row],[fecha_inicio]]))</f>
        <v/>
      </c>
      <c r="Q864" s="3">
        <f>IF(tblOrdenes[[#This Row],[fecha_inicio]]="","",MONTH(tblOrdenes[[#This Row],[fecha_inicio]]))</f>
        <v/>
      </c>
      <c r="R864" s="3">
        <f>IF(tblOrdenes[[#This Row],[fecha_inicio]]="","",INDEX(lista_dias,WEEKDAY(tblOrdenes[[#This Row],[fecha_inicio]],2)))</f>
        <v/>
      </c>
      <c r="S8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4" s="3">
        <f>IF(tblOrdenes[[#This Row],[tipo_ot]]="","",_xlfn.XLOOKUP(tblOrdenes[[#This Row],[tipo_ot]],tblTiposOT[codigo],tblTiposOT[clasificacion],"sin_clasificar"))</f>
        <v/>
      </c>
      <c r="U864" s="3">
        <f>IF(tblOrdenes[[#This Row],[centro_costo]]="","",_xlfn.XLOOKUP(tblOrdenes[[#This Row],[centro_costo]],tblCECO[codigo],tblCECO[linea],"(sin catálogo)"))</f>
        <v/>
      </c>
      <c r="V864" s="3">
        <f>IF(tblOrdenes[[#This Row],[centro_costo]]="","",_xlfn.XLOOKUP(tblOrdenes[[#This Row],[centro_costo]],tblCECO[codigo],tblCECO[area],"(sin catálogo)"))</f>
        <v/>
      </c>
      <c r="W8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4" s="3">
        <f>IF(tblOrdenes[[#This Row],[centro_costo]]="","",_xlfn.XLOOKUP(tblOrdenes[[#This Row],[centro_costo]],tblCECO[codigo],tblCECO[coordinador],"(sin catálogo)"))</f>
        <v/>
      </c>
      <c r="Y864" s="3">
        <f>IF(tblOrdenes[[#This Row],[puesto_trabajo]]="","",_xlfn.XLOOKUP(tblOrdenes[[#This Row],[puesto_trabajo]],tblPuestos[codigo],tblPuestos[especialidad],"(sin catálogo)"))</f>
        <v/>
      </c>
      <c r="Z864" s="3">
        <f>IF(tblOrdenes[[#This Row],[cod_actividad]]="","",_xlfn.XLOOKUP(tblOrdenes[[#This Row],[cod_actividad]],tblActividades[codigo],tblActividades[descripcion],"(sin catálogo)"))</f>
        <v/>
      </c>
      <c r="AA864" s="13">
        <f>IF(tblOrdenes[[#This Row],[fecha_inicio]]="","",TODAY()-tblOrdenes[[#This Row],[fecha_inicio]])</f>
        <v/>
      </c>
      <c r="AB8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4" s="3">
        <f>IF(tblOrdenes[[#This Row],[backlog_habiles]]="","",IF(tblOrdenes[[#This Row],[backlog_habiles]]&lt;0,"FUTURO",IF(tblOrdenes[[#This Row],[backlog_habiles]]&gt;p_dias_backlog_max,"BACKLOG","MES CORRIENTE")))</f>
        <v/>
      </c>
      <c r="AD864" s="3">
        <f>IF(tblOrdenes[[#This Row],[backlog_habiles]]="",FALSE,AND(tblOrdenes[[#This Row],[backlog_habiles]]&gt;p_dias_backlog_min,tblOrdenes[[#This Row],[backlog_habiles]]&lt;=p_dias_backlog_max))</f>
        <v/>
      </c>
      <c r="AE864" s="6" t="n"/>
      <c r="AF8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4" s="11">
        <f>IF(tblOrdenes[[#This Row],[orden]]="","",_xlfn.XLOOKUP(tblOrdenes[[#This Row],[id_operacion]],tblEjecucion[id_operacion],tblEjecucion[precio],0))</f>
        <v/>
      </c>
      <c r="AJ864" s="11">
        <f>IF(tblOrdenes[[#This Row],[orden]]="","",MAX(0,_xlfn.XLOOKUP(tblOrdenes[[#This Row],[id_operacion]],tblEjecucion[id_operacion],tblEjecucion[costo_plan_total],0)-tblOrdenes[[#This Row],[costo_servicio]]))</f>
        <v/>
      </c>
      <c r="AK864" s="11">
        <f>IF(tblOrdenes[[#This Row],[orden]]="","",tblOrdenes[[#This Row],[costo_servicio]]+tblOrdenes[[#This Row],[costo_materiales]])</f>
        <v/>
      </c>
      <c r="AL864" s="6" t="n"/>
      <c r="AM864" s="6" t="n"/>
      <c r="AN864" s="6" t="n"/>
      <c r="AO864" s="3">
        <f>IF(tblOrdenes[[#This Row],[link_checklist]]="","",HYPERLINK(p_ruta_base_checklists&amp;tblOrdenes[[#This Row],[link_checklist]],"abrir"))</f>
        <v/>
      </c>
      <c r="AP864" s="6" t="n"/>
      <c r="AQ864" s="3">
        <f>IF(tblOrdenes[[#This Row],[orden]]="","",tblOrdenes[[#This Row],[orden]]&amp;IF(tblOrdenes[[#This Row],[operacion]]="","0010",tblOrdenes[[#This Row],[operacion]]))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2" t="n"/>
      <c r="K865" s="3" t="n"/>
      <c r="L865" s="11" t="n"/>
      <c r="M8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5" s="3">
        <f>IF(tblOrdenes[[#This Row],[fecha_inicio]]="","",YEAR(tblOrdenes[[#This Row],[fecha_inicio]]))</f>
        <v/>
      </c>
      <c r="Q865" s="3">
        <f>IF(tblOrdenes[[#This Row],[fecha_inicio]]="","",MONTH(tblOrdenes[[#This Row],[fecha_inicio]]))</f>
        <v/>
      </c>
      <c r="R865" s="3">
        <f>IF(tblOrdenes[[#This Row],[fecha_inicio]]="","",INDEX(lista_dias,WEEKDAY(tblOrdenes[[#This Row],[fecha_inicio]],2)))</f>
        <v/>
      </c>
      <c r="S8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5" s="3">
        <f>IF(tblOrdenes[[#This Row],[tipo_ot]]="","",_xlfn.XLOOKUP(tblOrdenes[[#This Row],[tipo_ot]],tblTiposOT[codigo],tblTiposOT[clasificacion],"sin_clasificar"))</f>
        <v/>
      </c>
      <c r="U865" s="3">
        <f>IF(tblOrdenes[[#This Row],[centro_costo]]="","",_xlfn.XLOOKUP(tblOrdenes[[#This Row],[centro_costo]],tblCECO[codigo],tblCECO[linea],"(sin catálogo)"))</f>
        <v/>
      </c>
      <c r="V865" s="3">
        <f>IF(tblOrdenes[[#This Row],[centro_costo]]="","",_xlfn.XLOOKUP(tblOrdenes[[#This Row],[centro_costo]],tblCECO[codigo],tblCECO[area],"(sin catálogo)"))</f>
        <v/>
      </c>
      <c r="W8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5" s="3">
        <f>IF(tblOrdenes[[#This Row],[centro_costo]]="","",_xlfn.XLOOKUP(tblOrdenes[[#This Row],[centro_costo]],tblCECO[codigo],tblCECO[coordinador],"(sin catálogo)"))</f>
        <v/>
      </c>
      <c r="Y865" s="3">
        <f>IF(tblOrdenes[[#This Row],[puesto_trabajo]]="","",_xlfn.XLOOKUP(tblOrdenes[[#This Row],[puesto_trabajo]],tblPuestos[codigo],tblPuestos[especialidad],"(sin catálogo)"))</f>
        <v/>
      </c>
      <c r="Z865" s="3">
        <f>IF(tblOrdenes[[#This Row],[cod_actividad]]="","",_xlfn.XLOOKUP(tblOrdenes[[#This Row],[cod_actividad]],tblActividades[codigo],tblActividades[descripcion],"(sin catálogo)"))</f>
        <v/>
      </c>
      <c r="AA865" s="13">
        <f>IF(tblOrdenes[[#This Row],[fecha_inicio]]="","",TODAY()-tblOrdenes[[#This Row],[fecha_inicio]])</f>
        <v/>
      </c>
      <c r="AB8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5" s="3">
        <f>IF(tblOrdenes[[#This Row],[backlog_habiles]]="","",IF(tblOrdenes[[#This Row],[backlog_habiles]]&lt;0,"FUTURO",IF(tblOrdenes[[#This Row],[backlog_habiles]]&gt;p_dias_backlog_max,"BACKLOG","MES CORRIENTE")))</f>
        <v/>
      </c>
      <c r="AD865" s="3">
        <f>IF(tblOrdenes[[#This Row],[backlog_habiles]]="",FALSE,AND(tblOrdenes[[#This Row],[backlog_habiles]]&gt;p_dias_backlog_min,tblOrdenes[[#This Row],[backlog_habiles]]&lt;=p_dias_backlog_max))</f>
        <v/>
      </c>
      <c r="AE865" s="6" t="n"/>
      <c r="AF8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5" s="11">
        <f>IF(tblOrdenes[[#This Row],[orden]]="","",_xlfn.XLOOKUP(tblOrdenes[[#This Row],[id_operacion]],tblEjecucion[id_operacion],tblEjecucion[precio],0))</f>
        <v/>
      </c>
      <c r="AJ865" s="11">
        <f>IF(tblOrdenes[[#This Row],[orden]]="","",MAX(0,_xlfn.XLOOKUP(tblOrdenes[[#This Row],[id_operacion]],tblEjecucion[id_operacion],tblEjecucion[costo_plan_total],0)-tblOrdenes[[#This Row],[costo_servicio]]))</f>
        <v/>
      </c>
      <c r="AK865" s="11">
        <f>IF(tblOrdenes[[#This Row],[orden]]="","",tblOrdenes[[#This Row],[costo_servicio]]+tblOrdenes[[#This Row],[costo_materiales]])</f>
        <v/>
      </c>
      <c r="AL865" s="6" t="n"/>
      <c r="AM865" s="6" t="n"/>
      <c r="AN865" s="6" t="n"/>
      <c r="AO865" s="3">
        <f>IF(tblOrdenes[[#This Row],[link_checklist]]="","",HYPERLINK(p_ruta_base_checklists&amp;tblOrdenes[[#This Row],[link_checklist]],"abrir"))</f>
        <v/>
      </c>
      <c r="AP865" s="6" t="n"/>
      <c r="AQ865" s="3">
        <f>IF(tblOrdenes[[#This Row],[orden]]="","",tblOrdenes[[#This Row],[orden]]&amp;IF(tblOrdenes[[#This Row],[operacion]]="","0010",tblOrdenes[[#This Row],[operacion]]))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2" t="n"/>
      <c r="K866" s="3" t="n"/>
      <c r="L866" s="11" t="n"/>
      <c r="M8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6" s="3">
        <f>IF(tblOrdenes[[#This Row],[fecha_inicio]]="","",YEAR(tblOrdenes[[#This Row],[fecha_inicio]]))</f>
        <v/>
      </c>
      <c r="Q866" s="3">
        <f>IF(tblOrdenes[[#This Row],[fecha_inicio]]="","",MONTH(tblOrdenes[[#This Row],[fecha_inicio]]))</f>
        <v/>
      </c>
      <c r="R866" s="3">
        <f>IF(tblOrdenes[[#This Row],[fecha_inicio]]="","",INDEX(lista_dias,WEEKDAY(tblOrdenes[[#This Row],[fecha_inicio]],2)))</f>
        <v/>
      </c>
      <c r="S8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6" s="3">
        <f>IF(tblOrdenes[[#This Row],[tipo_ot]]="","",_xlfn.XLOOKUP(tblOrdenes[[#This Row],[tipo_ot]],tblTiposOT[codigo],tblTiposOT[clasificacion],"sin_clasificar"))</f>
        <v/>
      </c>
      <c r="U866" s="3">
        <f>IF(tblOrdenes[[#This Row],[centro_costo]]="","",_xlfn.XLOOKUP(tblOrdenes[[#This Row],[centro_costo]],tblCECO[codigo],tblCECO[linea],"(sin catálogo)"))</f>
        <v/>
      </c>
      <c r="V866" s="3">
        <f>IF(tblOrdenes[[#This Row],[centro_costo]]="","",_xlfn.XLOOKUP(tblOrdenes[[#This Row],[centro_costo]],tblCECO[codigo],tblCECO[area],"(sin catálogo)"))</f>
        <v/>
      </c>
      <c r="W8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6" s="3">
        <f>IF(tblOrdenes[[#This Row],[centro_costo]]="","",_xlfn.XLOOKUP(tblOrdenes[[#This Row],[centro_costo]],tblCECO[codigo],tblCECO[coordinador],"(sin catálogo)"))</f>
        <v/>
      </c>
      <c r="Y866" s="3">
        <f>IF(tblOrdenes[[#This Row],[puesto_trabajo]]="","",_xlfn.XLOOKUP(tblOrdenes[[#This Row],[puesto_trabajo]],tblPuestos[codigo],tblPuestos[especialidad],"(sin catálogo)"))</f>
        <v/>
      </c>
      <c r="Z866" s="3">
        <f>IF(tblOrdenes[[#This Row],[cod_actividad]]="","",_xlfn.XLOOKUP(tblOrdenes[[#This Row],[cod_actividad]],tblActividades[codigo],tblActividades[descripcion],"(sin catálogo)"))</f>
        <v/>
      </c>
      <c r="AA866" s="13">
        <f>IF(tblOrdenes[[#This Row],[fecha_inicio]]="","",TODAY()-tblOrdenes[[#This Row],[fecha_inicio]])</f>
        <v/>
      </c>
      <c r="AB8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6" s="3">
        <f>IF(tblOrdenes[[#This Row],[backlog_habiles]]="","",IF(tblOrdenes[[#This Row],[backlog_habiles]]&lt;0,"FUTURO",IF(tblOrdenes[[#This Row],[backlog_habiles]]&gt;p_dias_backlog_max,"BACKLOG","MES CORRIENTE")))</f>
        <v/>
      </c>
      <c r="AD866" s="3">
        <f>IF(tblOrdenes[[#This Row],[backlog_habiles]]="",FALSE,AND(tblOrdenes[[#This Row],[backlog_habiles]]&gt;p_dias_backlog_min,tblOrdenes[[#This Row],[backlog_habiles]]&lt;=p_dias_backlog_max))</f>
        <v/>
      </c>
      <c r="AE866" s="6" t="n"/>
      <c r="AF8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6" s="11">
        <f>IF(tblOrdenes[[#This Row],[orden]]="","",_xlfn.XLOOKUP(tblOrdenes[[#This Row],[id_operacion]],tblEjecucion[id_operacion],tblEjecucion[precio],0))</f>
        <v/>
      </c>
      <c r="AJ866" s="11">
        <f>IF(tblOrdenes[[#This Row],[orden]]="","",MAX(0,_xlfn.XLOOKUP(tblOrdenes[[#This Row],[id_operacion]],tblEjecucion[id_operacion],tblEjecucion[costo_plan_total],0)-tblOrdenes[[#This Row],[costo_servicio]]))</f>
        <v/>
      </c>
      <c r="AK866" s="11">
        <f>IF(tblOrdenes[[#This Row],[orden]]="","",tblOrdenes[[#This Row],[costo_servicio]]+tblOrdenes[[#This Row],[costo_materiales]])</f>
        <v/>
      </c>
      <c r="AL866" s="6" t="n"/>
      <c r="AM866" s="6" t="n"/>
      <c r="AN866" s="6" t="n"/>
      <c r="AO866" s="3">
        <f>IF(tblOrdenes[[#This Row],[link_checklist]]="","",HYPERLINK(p_ruta_base_checklists&amp;tblOrdenes[[#This Row],[link_checklist]],"abrir"))</f>
        <v/>
      </c>
      <c r="AP866" s="6" t="n"/>
      <c r="AQ866" s="3">
        <f>IF(tblOrdenes[[#This Row],[orden]]="","",tblOrdenes[[#This Row],[orden]]&amp;IF(tblOrdenes[[#This Row],[operacion]]="","0010",tblOrdenes[[#This Row],[operacion]]))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2" t="n"/>
      <c r="K867" s="3" t="n"/>
      <c r="L867" s="11" t="n"/>
      <c r="M8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7" s="3">
        <f>IF(tblOrdenes[[#This Row],[fecha_inicio]]="","",YEAR(tblOrdenes[[#This Row],[fecha_inicio]]))</f>
        <v/>
      </c>
      <c r="Q867" s="3">
        <f>IF(tblOrdenes[[#This Row],[fecha_inicio]]="","",MONTH(tblOrdenes[[#This Row],[fecha_inicio]]))</f>
        <v/>
      </c>
      <c r="R867" s="3">
        <f>IF(tblOrdenes[[#This Row],[fecha_inicio]]="","",INDEX(lista_dias,WEEKDAY(tblOrdenes[[#This Row],[fecha_inicio]],2)))</f>
        <v/>
      </c>
      <c r="S8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7" s="3">
        <f>IF(tblOrdenes[[#This Row],[tipo_ot]]="","",_xlfn.XLOOKUP(tblOrdenes[[#This Row],[tipo_ot]],tblTiposOT[codigo],tblTiposOT[clasificacion],"sin_clasificar"))</f>
        <v/>
      </c>
      <c r="U867" s="3">
        <f>IF(tblOrdenes[[#This Row],[centro_costo]]="","",_xlfn.XLOOKUP(tblOrdenes[[#This Row],[centro_costo]],tblCECO[codigo],tblCECO[linea],"(sin catálogo)"))</f>
        <v/>
      </c>
      <c r="V867" s="3">
        <f>IF(tblOrdenes[[#This Row],[centro_costo]]="","",_xlfn.XLOOKUP(tblOrdenes[[#This Row],[centro_costo]],tblCECO[codigo],tblCECO[area],"(sin catálogo)"))</f>
        <v/>
      </c>
      <c r="W8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7" s="3">
        <f>IF(tblOrdenes[[#This Row],[centro_costo]]="","",_xlfn.XLOOKUP(tblOrdenes[[#This Row],[centro_costo]],tblCECO[codigo],tblCECO[coordinador],"(sin catálogo)"))</f>
        <v/>
      </c>
      <c r="Y867" s="3">
        <f>IF(tblOrdenes[[#This Row],[puesto_trabajo]]="","",_xlfn.XLOOKUP(tblOrdenes[[#This Row],[puesto_trabajo]],tblPuestos[codigo],tblPuestos[especialidad],"(sin catálogo)"))</f>
        <v/>
      </c>
      <c r="Z867" s="3">
        <f>IF(tblOrdenes[[#This Row],[cod_actividad]]="","",_xlfn.XLOOKUP(tblOrdenes[[#This Row],[cod_actividad]],tblActividades[codigo],tblActividades[descripcion],"(sin catálogo)"))</f>
        <v/>
      </c>
      <c r="AA867" s="13">
        <f>IF(tblOrdenes[[#This Row],[fecha_inicio]]="","",TODAY()-tblOrdenes[[#This Row],[fecha_inicio]])</f>
        <v/>
      </c>
      <c r="AB8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7" s="3">
        <f>IF(tblOrdenes[[#This Row],[backlog_habiles]]="","",IF(tblOrdenes[[#This Row],[backlog_habiles]]&lt;0,"FUTURO",IF(tblOrdenes[[#This Row],[backlog_habiles]]&gt;p_dias_backlog_max,"BACKLOG","MES CORRIENTE")))</f>
        <v/>
      </c>
      <c r="AD867" s="3">
        <f>IF(tblOrdenes[[#This Row],[backlog_habiles]]="",FALSE,AND(tblOrdenes[[#This Row],[backlog_habiles]]&gt;p_dias_backlog_min,tblOrdenes[[#This Row],[backlog_habiles]]&lt;=p_dias_backlog_max))</f>
        <v/>
      </c>
      <c r="AE867" s="6" t="n"/>
      <c r="AF8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7" s="11">
        <f>IF(tblOrdenes[[#This Row],[orden]]="","",_xlfn.XLOOKUP(tblOrdenes[[#This Row],[id_operacion]],tblEjecucion[id_operacion],tblEjecucion[precio],0))</f>
        <v/>
      </c>
      <c r="AJ867" s="11">
        <f>IF(tblOrdenes[[#This Row],[orden]]="","",MAX(0,_xlfn.XLOOKUP(tblOrdenes[[#This Row],[id_operacion]],tblEjecucion[id_operacion],tblEjecucion[costo_plan_total],0)-tblOrdenes[[#This Row],[costo_servicio]]))</f>
        <v/>
      </c>
      <c r="AK867" s="11">
        <f>IF(tblOrdenes[[#This Row],[orden]]="","",tblOrdenes[[#This Row],[costo_servicio]]+tblOrdenes[[#This Row],[costo_materiales]])</f>
        <v/>
      </c>
      <c r="AL867" s="6" t="n"/>
      <c r="AM867" s="6" t="n"/>
      <c r="AN867" s="6" t="n"/>
      <c r="AO867" s="3">
        <f>IF(tblOrdenes[[#This Row],[link_checklist]]="","",HYPERLINK(p_ruta_base_checklists&amp;tblOrdenes[[#This Row],[link_checklist]],"abrir"))</f>
        <v/>
      </c>
      <c r="AP867" s="6" t="n"/>
      <c r="AQ867" s="3">
        <f>IF(tblOrdenes[[#This Row],[orden]]="","",tblOrdenes[[#This Row],[orden]]&amp;IF(tblOrdenes[[#This Row],[operacion]]="","0010",tblOrdenes[[#This Row],[operacion]]))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2" t="n"/>
      <c r="K868" s="3" t="n"/>
      <c r="L868" s="11" t="n"/>
      <c r="M8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8" s="3">
        <f>IF(tblOrdenes[[#This Row],[fecha_inicio]]="","",YEAR(tblOrdenes[[#This Row],[fecha_inicio]]))</f>
        <v/>
      </c>
      <c r="Q868" s="3">
        <f>IF(tblOrdenes[[#This Row],[fecha_inicio]]="","",MONTH(tblOrdenes[[#This Row],[fecha_inicio]]))</f>
        <v/>
      </c>
      <c r="R868" s="3">
        <f>IF(tblOrdenes[[#This Row],[fecha_inicio]]="","",INDEX(lista_dias,WEEKDAY(tblOrdenes[[#This Row],[fecha_inicio]],2)))</f>
        <v/>
      </c>
      <c r="S8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8" s="3">
        <f>IF(tblOrdenes[[#This Row],[tipo_ot]]="","",_xlfn.XLOOKUP(tblOrdenes[[#This Row],[tipo_ot]],tblTiposOT[codigo],tblTiposOT[clasificacion],"sin_clasificar"))</f>
        <v/>
      </c>
      <c r="U868" s="3">
        <f>IF(tblOrdenes[[#This Row],[centro_costo]]="","",_xlfn.XLOOKUP(tblOrdenes[[#This Row],[centro_costo]],tblCECO[codigo],tblCECO[linea],"(sin catálogo)"))</f>
        <v/>
      </c>
      <c r="V868" s="3">
        <f>IF(tblOrdenes[[#This Row],[centro_costo]]="","",_xlfn.XLOOKUP(tblOrdenes[[#This Row],[centro_costo]],tblCECO[codigo],tblCECO[area],"(sin catálogo)"))</f>
        <v/>
      </c>
      <c r="W8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8" s="3">
        <f>IF(tblOrdenes[[#This Row],[centro_costo]]="","",_xlfn.XLOOKUP(tblOrdenes[[#This Row],[centro_costo]],tblCECO[codigo],tblCECO[coordinador],"(sin catálogo)"))</f>
        <v/>
      </c>
      <c r="Y868" s="3">
        <f>IF(tblOrdenes[[#This Row],[puesto_trabajo]]="","",_xlfn.XLOOKUP(tblOrdenes[[#This Row],[puesto_trabajo]],tblPuestos[codigo],tblPuestos[especialidad],"(sin catálogo)"))</f>
        <v/>
      </c>
      <c r="Z868" s="3">
        <f>IF(tblOrdenes[[#This Row],[cod_actividad]]="","",_xlfn.XLOOKUP(tblOrdenes[[#This Row],[cod_actividad]],tblActividades[codigo],tblActividades[descripcion],"(sin catálogo)"))</f>
        <v/>
      </c>
      <c r="AA868" s="13">
        <f>IF(tblOrdenes[[#This Row],[fecha_inicio]]="","",TODAY()-tblOrdenes[[#This Row],[fecha_inicio]])</f>
        <v/>
      </c>
      <c r="AB8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8" s="3">
        <f>IF(tblOrdenes[[#This Row],[backlog_habiles]]="","",IF(tblOrdenes[[#This Row],[backlog_habiles]]&lt;0,"FUTURO",IF(tblOrdenes[[#This Row],[backlog_habiles]]&gt;p_dias_backlog_max,"BACKLOG","MES CORRIENTE")))</f>
        <v/>
      </c>
      <c r="AD868" s="3">
        <f>IF(tblOrdenes[[#This Row],[backlog_habiles]]="",FALSE,AND(tblOrdenes[[#This Row],[backlog_habiles]]&gt;p_dias_backlog_min,tblOrdenes[[#This Row],[backlog_habiles]]&lt;=p_dias_backlog_max))</f>
        <v/>
      </c>
      <c r="AE868" s="6" t="n"/>
      <c r="AF8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8" s="11">
        <f>IF(tblOrdenes[[#This Row],[orden]]="","",_xlfn.XLOOKUP(tblOrdenes[[#This Row],[id_operacion]],tblEjecucion[id_operacion],tblEjecucion[precio],0))</f>
        <v/>
      </c>
      <c r="AJ868" s="11">
        <f>IF(tblOrdenes[[#This Row],[orden]]="","",MAX(0,_xlfn.XLOOKUP(tblOrdenes[[#This Row],[id_operacion]],tblEjecucion[id_operacion],tblEjecucion[costo_plan_total],0)-tblOrdenes[[#This Row],[costo_servicio]]))</f>
        <v/>
      </c>
      <c r="AK868" s="11">
        <f>IF(tblOrdenes[[#This Row],[orden]]="","",tblOrdenes[[#This Row],[costo_servicio]]+tblOrdenes[[#This Row],[costo_materiales]])</f>
        <v/>
      </c>
      <c r="AL868" s="6" t="n"/>
      <c r="AM868" s="6" t="n"/>
      <c r="AN868" s="6" t="n"/>
      <c r="AO868" s="3">
        <f>IF(tblOrdenes[[#This Row],[link_checklist]]="","",HYPERLINK(p_ruta_base_checklists&amp;tblOrdenes[[#This Row],[link_checklist]],"abrir"))</f>
        <v/>
      </c>
      <c r="AP868" s="6" t="n"/>
      <c r="AQ868" s="3">
        <f>IF(tblOrdenes[[#This Row],[orden]]="","",tblOrdenes[[#This Row],[orden]]&amp;IF(tblOrdenes[[#This Row],[operacion]]="","0010",tblOrdenes[[#This Row],[operacion]]))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2" t="n"/>
      <c r="K869" s="3" t="n"/>
      <c r="L869" s="11" t="n"/>
      <c r="M8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9" s="3">
        <f>IF(tblOrdenes[[#This Row],[fecha_inicio]]="","",YEAR(tblOrdenes[[#This Row],[fecha_inicio]]))</f>
        <v/>
      </c>
      <c r="Q869" s="3">
        <f>IF(tblOrdenes[[#This Row],[fecha_inicio]]="","",MONTH(tblOrdenes[[#This Row],[fecha_inicio]]))</f>
        <v/>
      </c>
      <c r="R869" s="3">
        <f>IF(tblOrdenes[[#This Row],[fecha_inicio]]="","",INDEX(lista_dias,WEEKDAY(tblOrdenes[[#This Row],[fecha_inicio]],2)))</f>
        <v/>
      </c>
      <c r="S8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9" s="3">
        <f>IF(tblOrdenes[[#This Row],[tipo_ot]]="","",_xlfn.XLOOKUP(tblOrdenes[[#This Row],[tipo_ot]],tblTiposOT[codigo],tblTiposOT[clasificacion],"sin_clasificar"))</f>
        <v/>
      </c>
      <c r="U869" s="3">
        <f>IF(tblOrdenes[[#This Row],[centro_costo]]="","",_xlfn.XLOOKUP(tblOrdenes[[#This Row],[centro_costo]],tblCECO[codigo],tblCECO[linea],"(sin catálogo)"))</f>
        <v/>
      </c>
      <c r="V869" s="3">
        <f>IF(tblOrdenes[[#This Row],[centro_costo]]="","",_xlfn.XLOOKUP(tblOrdenes[[#This Row],[centro_costo]],tblCECO[codigo],tblCECO[area],"(sin catálogo)"))</f>
        <v/>
      </c>
      <c r="W8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9" s="3">
        <f>IF(tblOrdenes[[#This Row],[centro_costo]]="","",_xlfn.XLOOKUP(tblOrdenes[[#This Row],[centro_costo]],tblCECO[codigo],tblCECO[coordinador],"(sin catálogo)"))</f>
        <v/>
      </c>
      <c r="Y869" s="3">
        <f>IF(tblOrdenes[[#This Row],[puesto_trabajo]]="","",_xlfn.XLOOKUP(tblOrdenes[[#This Row],[puesto_trabajo]],tblPuestos[codigo],tblPuestos[especialidad],"(sin catálogo)"))</f>
        <v/>
      </c>
      <c r="Z869" s="3">
        <f>IF(tblOrdenes[[#This Row],[cod_actividad]]="","",_xlfn.XLOOKUP(tblOrdenes[[#This Row],[cod_actividad]],tblActividades[codigo],tblActividades[descripcion],"(sin catálogo)"))</f>
        <v/>
      </c>
      <c r="AA869" s="13">
        <f>IF(tblOrdenes[[#This Row],[fecha_inicio]]="","",TODAY()-tblOrdenes[[#This Row],[fecha_inicio]])</f>
        <v/>
      </c>
      <c r="AB8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9" s="3">
        <f>IF(tblOrdenes[[#This Row],[backlog_habiles]]="","",IF(tblOrdenes[[#This Row],[backlog_habiles]]&lt;0,"FUTURO",IF(tblOrdenes[[#This Row],[backlog_habiles]]&gt;p_dias_backlog_max,"BACKLOG","MES CORRIENTE")))</f>
        <v/>
      </c>
      <c r="AD869" s="3">
        <f>IF(tblOrdenes[[#This Row],[backlog_habiles]]="",FALSE,AND(tblOrdenes[[#This Row],[backlog_habiles]]&gt;p_dias_backlog_min,tblOrdenes[[#This Row],[backlog_habiles]]&lt;=p_dias_backlog_max))</f>
        <v/>
      </c>
      <c r="AE869" s="6" t="n"/>
      <c r="AF8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9" s="11">
        <f>IF(tblOrdenes[[#This Row],[orden]]="","",_xlfn.XLOOKUP(tblOrdenes[[#This Row],[id_operacion]],tblEjecucion[id_operacion],tblEjecucion[precio],0))</f>
        <v/>
      </c>
      <c r="AJ869" s="11">
        <f>IF(tblOrdenes[[#This Row],[orden]]="","",MAX(0,_xlfn.XLOOKUP(tblOrdenes[[#This Row],[id_operacion]],tblEjecucion[id_operacion],tblEjecucion[costo_plan_total],0)-tblOrdenes[[#This Row],[costo_servicio]]))</f>
        <v/>
      </c>
      <c r="AK869" s="11">
        <f>IF(tblOrdenes[[#This Row],[orden]]="","",tblOrdenes[[#This Row],[costo_servicio]]+tblOrdenes[[#This Row],[costo_materiales]])</f>
        <v/>
      </c>
      <c r="AL869" s="6" t="n"/>
      <c r="AM869" s="6" t="n"/>
      <c r="AN869" s="6" t="n"/>
      <c r="AO869" s="3">
        <f>IF(tblOrdenes[[#This Row],[link_checklist]]="","",HYPERLINK(p_ruta_base_checklists&amp;tblOrdenes[[#This Row],[link_checklist]],"abrir"))</f>
        <v/>
      </c>
      <c r="AP869" s="6" t="n"/>
      <c r="AQ869" s="3">
        <f>IF(tblOrdenes[[#This Row],[orden]]="","",tblOrdenes[[#This Row],[orden]]&amp;IF(tblOrdenes[[#This Row],[operacion]]="","0010",tblOrdenes[[#This Row],[operacion]]))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2" t="n"/>
      <c r="K870" s="3" t="n"/>
      <c r="L870" s="11" t="n"/>
      <c r="M8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0" s="3">
        <f>IF(tblOrdenes[[#This Row],[fecha_inicio]]="","",YEAR(tblOrdenes[[#This Row],[fecha_inicio]]))</f>
        <v/>
      </c>
      <c r="Q870" s="3">
        <f>IF(tblOrdenes[[#This Row],[fecha_inicio]]="","",MONTH(tblOrdenes[[#This Row],[fecha_inicio]]))</f>
        <v/>
      </c>
      <c r="R870" s="3">
        <f>IF(tblOrdenes[[#This Row],[fecha_inicio]]="","",INDEX(lista_dias,WEEKDAY(tblOrdenes[[#This Row],[fecha_inicio]],2)))</f>
        <v/>
      </c>
      <c r="S8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0" s="3">
        <f>IF(tblOrdenes[[#This Row],[tipo_ot]]="","",_xlfn.XLOOKUP(tblOrdenes[[#This Row],[tipo_ot]],tblTiposOT[codigo],tblTiposOT[clasificacion],"sin_clasificar"))</f>
        <v/>
      </c>
      <c r="U870" s="3">
        <f>IF(tblOrdenes[[#This Row],[centro_costo]]="","",_xlfn.XLOOKUP(tblOrdenes[[#This Row],[centro_costo]],tblCECO[codigo],tblCECO[linea],"(sin catálogo)"))</f>
        <v/>
      </c>
      <c r="V870" s="3">
        <f>IF(tblOrdenes[[#This Row],[centro_costo]]="","",_xlfn.XLOOKUP(tblOrdenes[[#This Row],[centro_costo]],tblCECO[codigo],tblCECO[area],"(sin catálogo)"))</f>
        <v/>
      </c>
      <c r="W8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0" s="3">
        <f>IF(tblOrdenes[[#This Row],[centro_costo]]="","",_xlfn.XLOOKUP(tblOrdenes[[#This Row],[centro_costo]],tblCECO[codigo],tblCECO[coordinador],"(sin catálogo)"))</f>
        <v/>
      </c>
      <c r="Y870" s="3">
        <f>IF(tblOrdenes[[#This Row],[puesto_trabajo]]="","",_xlfn.XLOOKUP(tblOrdenes[[#This Row],[puesto_trabajo]],tblPuestos[codigo],tblPuestos[especialidad],"(sin catálogo)"))</f>
        <v/>
      </c>
      <c r="Z870" s="3">
        <f>IF(tblOrdenes[[#This Row],[cod_actividad]]="","",_xlfn.XLOOKUP(tblOrdenes[[#This Row],[cod_actividad]],tblActividades[codigo],tblActividades[descripcion],"(sin catálogo)"))</f>
        <v/>
      </c>
      <c r="AA870" s="13">
        <f>IF(tblOrdenes[[#This Row],[fecha_inicio]]="","",TODAY()-tblOrdenes[[#This Row],[fecha_inicio]])</f>
        <v/>
      </c>
      <c r="AB8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0" s="3">
        <f>IF(tblOrdenes[[#This Row],[backlog_habiles]]="","",IF(tblOrdenes[[#This Row],[backlog_habiles]]&lt;0,"FUTURO",IF(tblOrdenes[[#This Row],[backlog_habiles]]&gt;p_dias_backlog_max,"BACKLOG","MES CORRIENTE")))</f>
        <v/>
      </c>
      <c r="AD870" s="3">
        <f>IF(tblOrdenes[[#This Row],[backlog_habiles]]="",FALSE,AND(tblOrdenes[[#This Row],[backlog_habiles]]&gt;p_dias_backlog_min,tblOrdenes[[#This Row],[backlog_habiles]]&lt;=p_dias_backlog_max))</f>
        <v/>
      </c>
      <c r="AE870" s="6" t="n"/>
      <c r="AF8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0" s="11">
        <f>IF(tblOrdenes[[#This Row],[orden]]="","",_xlfn.XLOOKUP(tblOrdenes[[#This Row],[id_operacion]],tblEjecucion[id_operacion],tblEjecucion[precio],0))</f>
        <v/>
      </c>
      <c r="AJ870" s="11">
        <f>IF(tblOrdenes[[#This Row],[orden]]="","",MAX(0,_xlfn.XLOOKUP(tblOrdenes[[#This Row],[id_operacion]],tblEjecucion[id_operacion],tblEjecucion[costo_plan_total],0)-tblOrdenes[[#This Row],[costo_servicio]]))</f>
        <v/>
      </c>
      <c r="AK870" s="11">
        <f>IF(tblOrdenes[[#This Row],[orden]]="","",tblOrdenes[[#This Row],[costo_servicio]]+tblOrdenes[[#This Row],[costo_materiales]])</f>
        <v/>
      </c>
      <c r="AL870" s="6" t="n"/>
      <c r="AM870" s="6" t="n"/>
      <c r="AN870" s="6" t="n"/>
      <c r="AO870" s="3">
        <f>IF(tblOrdenes[[#This Row],[link_checklist]]="","",HYPERLINK(p_ruta_base_checklists&amp;tblOrdenes[[#This Row],[link_checklist]],"abrir"))</f>
        <v/>
      </c>
      <c r="AP870" s="6" t="n"/>
      <c r="AQ870" s="3">
        <f>IF(tblOrdenes[[#This Row],[orden]]="","",tblOrdenes[[#This Row],[orden]]&amp;IF(tblOrdenes[[#This Row],[operacion]]="","0010",tblOrdenes[[#This Row],[operacion]]))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2" t="n"/>
      <c r="K871" s="3" t="n"/>
      <c r="L871" s="11" t="n"/>
      <c r="M8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1" s="3">
        <f>IF(tblOrdenes[[#This Row],[fecha_inicio]]="","",YEAR(tblOrdenes[[#This Row],[fecha_inicio]]))</f>
        <v/>
      </c>
      <c r="Q871" s="3">
        <f>IF(tblOrdenes[[#This Row],[fecha_inicio]]="","",MONTH(tblOrdenes[[#This Row],[fecha_inicio]]))</f>
        <v/>
      </c>
      <c r="R871" s="3">
        <f>IF(tblOrdenes[[#This Row],[fecha_inicio]]="","",INDEX(lista_dias,WEEKDAY(tblOrdenes[[#This Row],[fecha_inicio]],2)))</f>
        <v/>
      </c>
      <c r="S8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1" s="3">
        <f>IF(tblOrdenes[[#This Row],[tipo_ot]]="","",_xlfn.XLOOKUP(tblOrdenes[[#This Row],[tipo_ot]],tblTiposOT[codigo],tblTiposOT[clasificacion],"sin_clasificar"))</f>
        <v/>
      </c>
      <c r="U871" s="3">
        <f>IF(tblOrdenes[[#This Row],[centro_costo]]="","",_xlfn.XLOOKUP(tblOrdenes[[#This Row],[centro_costo]],tblCECO[codigo],tblCECO[linea],"(sin catálogo)"))</f>
        <v/>
      </c>
      <c r="V871" s="3">
        <f>IF(tblOrdenes[[#This Row],[centro_costo]]="","",_xlfn.XLOOKUP(tblOrdenes[[#This Row],[centro_costo]],tblCECO[codigo],tblCECO[area],"(sin catálogo)"))</f>
        <v/>
      </c>
      <c r="W8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1" s="3">
        <f>IF(tblOrdenes[[#This Row],[centro_costo]]="","",_xlfn.XLOOKUP(tblOrdenes[[#This Row],[centro_costo]],tblCECO[codigo],tblCECO[coordinador],"(sin catálogo)"))</f>
        <v/>
      </c>
      <c r="Y871" s="3">
        <f>IF(tblOrdenes[[#This Row],[puesto_trabajo]]="","",_xlfn.XLOOKUP(tblOrdenes[[#This Row],[puesto_trabajo]],tblPuestos[codigo],tblPuestos[especialidad],"(sin catálogo)"))</f>
        <v/>
      </c>
      <c r="Z871" s="3">
        <f>IF(tblOrdenes[[#This Row],[cod_actividad]]="","",_xlfn.XLOOKUP(tblOrdenes[[#This Row],[cod_actividad]],tblActividades[codigo],tblActividades[descripcion],"(sin catálogo)"))</f>
        <v/>
      </c>
      <c r="AA871" s="13">
        <f>IF(tblOrdenes[[#This Row],[fecha_inicio]]="","",TODAY()-tblOrdenes[[#This Row],[fecha_inicio]])</f>
        <v/>
      </c>
      <c r="AB8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1" s="3">
        <f>IF(tblOrdenes[[#This Row],[backlog_habiles]]="","",IF(tblOrdenes[[#This Row],[backlog_habiles]]&lt;0,"FUTURO",IF(tblOrdenes[[#This Row],[backlog_habiles]]&gt;p_dias_backlog_max,"BACKLOG","MES CORRIENTE")))</f>
        <v/>
      </c>
      <c r="AD871" s="3">
        <f>IF(tblOrdenes[[#This Row],[backlog_habiles]]="",FALSE,AND(tblOrdenes[[#This Row],[backlog_habiles]]&gt;p_dias_backlog_min,tblOrdenes[[#This Row],[backlog_habiles]]&lt;=p_dias_backlog_max))</f>
        <v/>
      </c>
      <c r="AE871" s="6" t="n"/>
      <c r="AF8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1" s="11">
        <f>IF(tblOrdenes[[#This Row],[orden]]="","",_xlfn.XLOOKUP(tblOrdenes[[#This Row],[id_operacion]],tblEjecucion[id_operacion],tblEjecucion[precio],0))</f>
        <v/>
      </c>
      <c r="AJ871" s="11">
        <f>IF(tblOrdenes[[#This Row],[orden]]="","",MAX(0,_xlfn.XLOOKUP(tblOrdenes[[#This Row],[id_operacion]],tblEjecucion[id_operacion],tblEjecucion[costo_plan_total],0)-tblOrdenes[[#This Row],[costo_servicio]]))</f>
        <v/>
      </c>
      <c r="AK871" s="11">
        <f>IF(tblOrdenes[[#This Row],[orden]]="","",tblOrdenes[[#This Row],[costo_servicio]]+tblOrdenes[[#This Row],[costo_materiales]])</f>
        <v/>
      </c>
      <c r="AL871" s="6" t="n"/>
      <c r="AM871" s="6" t="n"/>
      <c r="AN871" s="6" t="n"/>
      <c r="AO871" s="3">
        <f>IF(tblOrdenes[[#This Row],[link_checklist]]="","",HYPERLINK(p_ruta_base_checklists&amp;tblOrdenes[[#This Row],[link_checklist]],"abrir"))</f>
        <v/>
      </c>
      <c r="AP871" s="6" t="n"/>
      <c r="AQ871" s="3">
        <f>IF(tblOrdenes[[#This Row],[orden]]="","",tblOrdenes[[#This Row],[orden]]&amp;IF(tblOrdenes[[#This Row],[operacion]]="","0010",tblOrdenes[[#This Row],[operacion]]))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2" t="n"/>
      <c r="K872" s="3" t="n"/>
      <c r="L872" s="11" t="n"/>
      <c r="M8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2" s="3">
        <f>IF(tblOrdenes[[#This Row],[fecha_inicio]]="","",YEAR(tblOrdenes[[#This Row],[fecha_inicio]]))</f>
        <v/>
      </c>
      <c r="Q872" s="3">
        <f>IF(tblOrdenes[[#This Row],[fecha_inicio]]="","",MONTH(tblOrdenes[[#This Row],[fecha_inicio]]))</f>
        <v/>
      </c>
      <c r="R872" s="3">
        <f>IF(tblOrdenes[[#This Row],[fecha_inicio]]="","",INDEX(lista_dias,WEEKDAY(tblOrdenes[[#This Row],[fecha_inicio]],2)))</f>
        <v/>
      </c>
      <c r="S8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2" s="3">
        <f>IF(tblOrdenes[[#This Row],[tipo_ot]]="","",_xlfn.XLOOKUP(tblOrdenes[[#This Row],[tipo_ot]],tblTiposOT[codigo],tblTiposOT[clasificacion],"sin_clasificar"))</f>
        <v/>
      </c>
      <c r="U872" s="3">
        <f>IF(tblOrdenes[[#This Row],[centro_costo]]="","",_xlfn.XLOOKUP(tblOrdenes[[#This Row],[centro_costo]],tblCECO[codigo],tblCECO[linea],"(sin catálogo)"))</f>
        <v/>
      </c>
      <c r="V872" s="3">
        <f>IF(tblOrdenes[[#This Row],[centro_costo]]="","",_xlfn.XLOOKUP(tblOrdenes[[#This Row],[centro_costo]],tblCECO[codigo],tblCECO[area],"(sin catálogo)"))</f>
        <v/>
      </c>
      <c r="W8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2" s="3">
        <f>IF(tblOrdenes[[#This Row],[centro_costo]]="","",_xlfn.XLOOKUP(tblOrdenes[[#This Row],[centro_costo]],tblCECO[codigo],tblCECO[coordinador],"(sin catálogo)"))</f>
        <v/>
      </c>
      <c r="Y872" s="3">
        <f>IF(tblOrdenes[[#This Row],[puesto_trabajo]]="","",_xlfn.XLOOKUP(tblOrdenes[[#This Row],[puesto_trabajo]],tblPuestos[codigo],tblPuestos[especialidad],"(sin catálogo)"))</f>
        <v/>
      </c>
      <c r="Z872" s="3">
        <f>IF(tblOrdenes[[#This Row],[cod_actividad]]="","",_xlfn.XLOOKUP(tblOrdenes[[#This Row],[cod_actividad]],tblActividades[codigo],tblActividades[descripcion],"(sin catálogo)"))</f>
        <v/>
      </c>
      <c r="AA872" s="13">
        <f>IF(tblOrdenes[[#This Row],[fecha_inicio]]="","",TODAY()-tblOrdenes[[#This Row],[fecha_inicio]])</f>
        <v/>
      </c>
      <c r="AB8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2" s="3">
        <f>IF(tblOrdenes[[#This Row],[backlog_habiles]]="","",IF(tblOrdenes[[#This Row],[backlog_habiles]]&lt;0,"FUTURO",IF(tblOrdenes[[#This Row],[backlog_habiles]]&gt;p_dias_backlog_max,"BACKLOG","MES CORRIENTE")))</f>
        <v/>
      </c>
      <c r="AD872" s="3">
        <f>IF(tblOrdenes[[#This Row],[backlog_habiles]]="",FALSE,AND(tblOrdenes[[#This Row],[backlog_habiles]]&gt;p_dias_backlog_min,tblOrdenes[[#This Row],[backlog_habiles]]&lt;=p_dias_backlog_max))</f>
        <v/>
      </c>
      <c r="AE872" s="6" t="n"/>
      <c r="AF8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2" s="11">
        <f>IF(tblOrdenes[[#This Row],[orden]]="","",_xlfn.XLOOKUP(tblOrdenes[[#This Row],[id_operacion]],tblEjecucion[id_operacion],tblEjecucion[precio],0))</f>
        <v/>
      </c>
      <c r="AJ872" s="11">
        <f>IF(tblOrdenes[[#This Row],[orden]]="","",MAX(0,_xlfn.XLOOKUP(tblOrdenes[[#This Row],[id_operacion]],tblEjecucion[id_operacion],tblEjecucion[costo_plan_total],0)-tblOrdenes[[#This Row],[costo_servicio]]))</f>
        <v/>
      </c>
      <c r="AK872" s="11">
        <f>IF(tblOrdenes[[#This Row],[orden]]="","",tblOrdenes[[#This Row],[costo_servicio]]+tblOrdenes[[#This Row],[costo_materiales]])</f>
        <v/>
      </c>
      <c r="AL872" s="6" t="n"/>
      <c r="AM872" s="6" t="n"/>
      <c r="AN872" s="6" t="n"/>
      <c r="AO872" s="3">
        <f>IF(tblOrdenes[[#This Row],[link_checklist]]="","",HYPERLINK(p_ruta_base_checklists&amp;tblOrdenes[[#This Row],[link_checklist]],"abrir"))</f>
        <v/>
      </c>
      <c r="AP872" s="6" t="n"/>
      <c r="AQ872" s="3">
        <f>IF(tblOrdenes[[#This Row],[orden]]="","",tblOrdenes[[#This Row],[orden]]&amp;IF(tblOrdenes[[#This Row],[operacion]]="","0010",tblOrdenes[[#This Row],[operacion]]))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2" t="n"/>
      <c r="K873" s="3" t="n"/>
      <c r="L873" s="11" t="n"/>
      <c r="M8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3" s="3">
        <f>IF(tblOrdenes[[#This Row],[fecha_inicio]]="","",YEAR(tblOrdenes[[#This Row],[fecha_inicio]]))</f>
        <v/>
      </c>
      <c r="Q873" s="3">
        <f>IF(tblOrdenes[[#This Row],[fecha_inicio]]="","",MONTH(tblOrdenes[[#This Row],[fecha_inicio]]))</f>
        <v/>
      </c>
      <c r="R873" s="3">
        <f>IF(tblOrdenes[[#This Row],[fecha_inicio]]="","",INDEX(lista_dias,WEEKDAY(tblOrdenes[[#This Row],[fecha_inicio]],2)))</f>
        <v/>
      </c>
      <c r="S8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3" s="3">
        <f>IF(tblOrdenes[[#This Row],[tipo_ot]]="","",_xlfn.XLOOKUP(tblOrdenes[[#This Row],[tipo_ot]],tblTiposOT[codigo],tblTiposOT[clasificacion],"sin_clasificar"))</f>
        <v/>
      </c>
      <c r="U873" s="3">
        <f>IF(tblOrdenes[[#This Row],[centro_costo]]="","",_xlfn.XLOOKUP(tblOrdenes[[#This Row],[centro_costo]],tblCECO[codigo],tblCECO[linea],"(sin catálogo)"))</f>
        <v/>
      </c>
      <c r="V873" s="3">
        <f>IF(tblOrdenes[[#This Row],[centro_costo]]="","",_xlfn.XLOOKUP(tblOrdenes[[#This Row],[centro_costo]],tblCECO[codigo],tblCECO[area],"(sin catálogo)"))</f>
        <v/>
      </c>
      <c r="W8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3" s="3">
        <f>IF(tblOrdenes[[#This Row],[centro_costo]]="","",_xlfn.XLOOKUP(tblOrdenes[[#This Row],[centro_costo]],tblCECO[codigo],tblCECO[coordinador],"(sin catálogo)"))</f>
        <v/>
      </c>
      <c r="Y873" s="3">
        <f>IF(tblOrdenes[[#This Row],[puesto_trabajo]]="","",_xlfn.XLOOKUP(tblOrdenes[[#This Row],[puesto_trabajo]],tblPuestos[codigo],tblPuestos[especialidad],"(sin catálogo)"))</f>
        <v/>
      </c>
      <c r="Z873" s="3">
        <f>IF(tblOrdenes[[#This Row],[cod_actividad]]="","",_xlfn.XLOOKUP(tblOrdenes[[#This Row],[cod_actividad]],tblActividades[codigo],tblActividades[descripcion],"(sin catálogo)"))</f>
        <v/>
      </c>
      <c r="AA873" s="13">
        <f>IF(tblOrdenes[[#This Row],[fecha_inicio]]="","",TODAY()-tblOrdenes[[#This Row],[fecha_inicio]])</f>
        <v/>
      </c>
      <c r="AB8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3" s="3">
        <f>IF(tblOrdenes[[#This Row],[backlog_habiles]]="","",IF(tblOrdenes[[#This Row],[backlog_habiles]]&lt;0,"FUTURO",IF(tblOrdenes[[#This Row],[backlog_habiles]]&gt;p_dias_backlog_max,"BACKLOG","MES CORRIENTE")))</f>
        <v/>
      </c>
      <c r="AD873" s="3">
        <f>IF(tblOrdenes[[#This Row],[backlog_habiles]]="",FALSE,AND(tblOrdenes[[#This Row],[backlog_habiles]]&gt;p_dias_backlog_min,tblOrdenes[[#This Row],[backlog_habiles]]&lt;=p_dias_backlog_max))</f>
        <v/>
      </c>
      <c r="AE873" s="6" t="n"/>
      <c r="AF8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3" s="11">
        <f>IF(tblOrdenes[[#This Row],[orden]]="","",_xlfn.XLOOKUP(tblOrdenes[[#This Row],[id_operacion]],tblEjecucion[id_operacion],tblEjecucion[precio],0))</f>
        <v/>
      </c>
      <c r="AJ873" s="11">
        <f>IF(tblOrdenes[[#This Row],[orden]]="","",MAX(0,_xlfn.XLOOKUP(tblOrdenes[[#This Row],[id_operacion]],tblEjecucion[id_operacion],tblEjecucion[costo_plan_total],0)-tblOrdenes[[#This Row],[costo_servicio]]))</f>
        <v/>
      </c>
      <c r="AK873" s="11">
        <f>IF(tblOrdenes[[#This Row],[orden]]="","",tblOrdenes[[#This Row],[costo_servicio]]+tblOrdenes[[#This Row],[costo_materiales]])</f>
        <v/>
      </c>
      <c r="AL873" s="6" t="n"/>
      <c r="AM873" s="6" t="n"/>
      <c r="AN873" s="6" t="n"/>
      <c r="AO873" s="3">
        <f>IF(tblOrdenes[[#This Row],[link_checklist]]="","",HYPERLINK(p_ruta_base_checklists&amp;tblOrdenes[[#This Row],[link_checklist]],"abrir"))</f>
        <v/>
      </c>
      <c r="AP873" s="6" t="n"/>
      <c r="AQ873" s="3">
        <f>IF(tblOrdenes[[#This Row],[orden]]="","",tblOrdenes[[#This Row],[orden]]&amp;IF(tblOrdenes[[#This Row],[operacion]]="","0010",tblOrdenes[[#This Row],[operacion]]))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2" t="n"/>
      <c r="K874" s="3" t="n"/>
      <c r="L874" s="11" t="n"/>
      <c r="M8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4" s="3">
        <f>IF(tblOrdenes[[#This Row],[fecha_inicio]]="","",YEAR(tblOrdenes[[#This Row],[fecha_inicio]]))</f>
        <v/>
      </c>
      <c r="Q874" s="3">
        <f>IF(tblOrdenes[[#This Row],[fecha_inicio]]="","",MONTH(tblOrdenes[[#This Row],[fecha_inicio]]))</f>
        <v/>
      </c>
      <c r="R874" s="3">
        <f>IF(tblOrdenes[[#This Row],[fecha_inicio]]="","",INDEX(lista_dias,WEEKDAY(tblOrdenes[[#This Row],[fecha_inicio]],2)))</f>
        <v/>
      </c>
      <c r="S8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4" s="3">
        <f>IF(tblOrdenes[[#This Row],[tipo_ot]]="","",_xlfn.XLOOKUP(tblOrdenes[[#This Row],[tipo_ot]],tblTiposOT[codigo],tblTiposOT[clasificacion],"sin_clasificar"))</f>
        <v/>
      </c>
      <c r="U874" s="3">
        <f>IF(tblOrdenes[[#This Row],[centro_costo]]="","",_xlfn.XLOOKUP(tblOrdenes[[#This Row],[centro_costo]],tblCECO[codigo],tblCECO[linea],"(sin catálogo)"))</f>
        <v/>
      </c>
      <c r="V874" s="3">
        <f>IF(tblOrdenes[[#This Row],[centro_costo]]="","",_xlfn.XLOOKUP(tblOrdenes[[#This Row],[centro_costo]],tblCECO[codigo],tblCECO[area],"(sin catálogo)"))</f>
        <v/>
      </c>
      <c r="W8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4" s="3">
        <f>IF(tblOrdenes[[#This Row],[centro_costo]]="","",_xlfn.XLOOKUP(tblOrdenes[[#This Row],[centro_costo]],tblCECO[codigo],tblCECO[coordinador],"(sin catálogo)"))</f>
        <v/>
      </c>
      <c r="Y874" s="3">
        <f>IF(tblOrdenes[[#This Row],[puesto_trabajo]]="","",_xlfn.XLOOKUP(tblOrdenes[[#This Row],[puesto_trabajo]],tblPuestos[codigo],tblPuestos[especialidad],"(sin catálogo)"))</f>
        <v/>
      </c>
      <c r="Z874" s="3">
        <f>IF(tblOrdenes[[#This Row],[cod_actividad]]="","",_xlfn.XLOOKUP(tblOrdenes[[#This Row],[cod_actividad]],tblActividades[codigo],tblActividades[descripcion],"(sin catálogo)"))</f>
        <v/>
      </c>
      <c r="AA874" s="13">
        <f>IF(tblOrdenes[[#This Row],[fecha_inicio]]="","",TODAY()-tblOrdenes[[#This Row],[fecha_inicio]])</f>
        <v/>
      </c>
      <c r="AB8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4" s="3">
        <f>IF(tblOrdenes[[#This Row],[backlog_habiles]]="","",IF(tblOrdenes[[#This Row],[backlog_habiles]]&lt;0,"FUTURO",IF(tblOrdenes[[#This Row],[backlog_habiles]]&gt;p_dias_backlog_max,"BACKLOG","MES CORRIENTE")))</f>
        <v/>
      </c>
      <c r="AD874" s="3">
        <f>IF(tblOrdenes[[#This Row],[backlog_habiles]]="",FALSE,AND(tblOrdenes[[#This Row],[backlog_habiles]]&gt;p_dias_backlog_min,tblOrdenes[[#This Row],[backlog_habiles]]&lt;=p_dias_backlog_max))</f>
        <v/>
      </c>
      <c r="AE874" s="6" t="n"/>
      <c r="AF8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4" s="11">
        <f>IF(tblOrdenes[[#This Row],[orden]]="","",_xlfn.XLOOKUP(tblOrdenes[[#This Row],[id_operacion]],tblEjecucion[id_operacion],tblEjecucion[precio],0))</f>
        <v/>
      </c>
      <c r="AJ874" s="11">
        <f>IF(tblOrdenes[[#This Row],[orden]]="","",MAX(0,_xlfn.XLOOKUP(tblOrdenes[[#This Row],[id_operacion]],tblEjecucion[id_operacion],tblEjecucion[costo_plan_total],0)-tblOrdenes[[#This Row],[costo_servicio]]))</f>
        <v/>
      </c>
      <c r="AK874" s="11">
        <f>IF(tblOrdenes[[#This Row],[orden]]="","",tblOrdenes[[#This Row],[costo_servicio]]+tblOrdenes[[#This Row],[costo_materiales]])</f>
        <v/>
      </c>
      <c r="AL874" s="6" t="n"/>
      <c r="AM874" s="6" t="n"/>
      <c r="AN874" s="6" t="n"/>
      <c r="AO874" s="3">
        <f>IF(tblOrdenes[[#This Row],[link_checklist]]="","",HYPERLINK(p_ruta_base_checklists&amp;tblOrdenes[[#This Row],[link_checklist]],"abrir"))</f>
        <v/>
      </c>
      <c r="AP874" s="6" t="n"/>
      <c r="AQ874" s="3">
        <f>IF(tblOrdenes[[#This Row],[orden]]="","",tblOrdenes[[#This Row],[orden]]&amp;IF(tblOrdenes[[#This Row],[operacion]]="","0010",tblOrdenes[[#This Row],[operacion]]))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2" t="n"/>
      <c r="K875" s="3" t="n"/>
      <c r="L875" s="11" t="n"/>
      <c r="M8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5" s="3">
        <f>IF(tblOrdenes[[#This Row],[fecha_inicio]]="","",YEAR(tblOrdenes[[#This Row],[fecha_inicio]]))</f>
        <v/>
      </c>
      <c r="Q875" s="3">
        <f>IF(tblOrdenes[[#This Row],[fecha_inicio]]="","",MONTH(tblOrdenes[[#This Row],[fecha_inicio]]))</f>
        <v/>
      </c>
      <c r="R875" s="3">
        <f>IF(tblOrdenes[[#This Row],[fecha_inicio]]="","",INDEX(lista_dias,WEEKDAY(tblOrdenes[[#This Row],[fecha_inicio]],2)))</f>
        <v/>
      </c>
      <c r="S8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5" s="3">
        <f>IF(tblOrdenes[[#This Row],[tipo_ot]]="","",_xlfn.XLOOKUP(tblOrdenes[[#This Row],[tipo_ot]],tblTiposOT[codigo],tblTiposOT[clasificacion],"sin_clasificar"))</f>
        <v/>
      </c>
      <c r="U875" s="3">
        <f>IF(tblOrdenes[[#This Row],[centro_costo]]="","",_xlfn.XLOOKUP(tblOrdenes[[#This Row],[centro_costo]],tblCECO[codigo],tblCECO[linea],"(sin catálogo)"))</f>
        <v/>
      </c>
      <c r="V875" s="3">
        <f>IF(tblOrdenes[[#This Row],[centro_costo]]="","",_xlfn.XLOOKUP(tblOrdenes[[#This Row],[centro_costo]],tblCECO[codigo],tblCECO[area],"(sin catálogo)"))</f>
        <v/>
      </c>
      <c r="W8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5" s="3">
        <f>IF(tblOrdenes[[#This Row],[centro_costo]]="","",_xlfn.XLOOKUP(tblOrdenes[[#This Row],[centro_costo]],tblCECO[codigo],tblCECO[coordinador],"(sin catálogo)"))</f>
        <v/>
      </c>
      <c r="Y875" s="3">
        <f>IF(tblOrdenes[[#This Row],[puesto_trabajo]]="","",_xlfn.XLOOKUP(tblOrdenes[[#This Row],[puesto_trabajo]],tblPuestos[codigo],tblPuestos[especialidad],"(sin catálogo)"))</f>
        <v/>
      </c>
      <c r="Z875" s="3">
        <f>IF(tblOrdenes[[#This Row],[cod_actividad]]="","",_xlfn.XLOOKUP(tblOrdenes[[#This Row],[cod_actividad]],tblActividades[codigo],tblActividades[descripcion],"(sin catálogo)"))</f>
        <v/>
      </c>
      <c r="AA875" s="13">
        <f>IF(tblOrdenes[[#This Row],[fecha_inicio]]="","",TODAY()-tblOrdenes[[#This Row],[fecha_inicio]])</f>
        <v/>
      </c>
      <c r="AB8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5" s="3">
        <f>IF(tblOrdenes[[#This Row],[backlog_habiles]]="","",IF(tblOrdenes[[#This Row],[backlog_habiles]]&lt;0,"FUTURO",IF(tblOrdenes[[#This Row],[backlog_habiles]]&gt;p_dias_backlog_max,"BACKLOG","MES CORRIENTE")))</f>
        <v/>
      </c>
      <c r="AD875" s="3">
        <f>IF(tblOrdenes[[#This Row],[backlog_habiles]]="",FALSE,AND(tblOrdenes[[#This Row],[backlog_habiles]]&gt;p_dias_backlog_min,tblOrdenes[[#This Row],[backlog_habiles]]&lt;=p_dias_backlog_max))</f>
        <v/>
      </c>
      <c r="AE875" s="6" t="n"/>
      <c r="AF8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5" s="11">
        <f>IF(tblOrdenes[[#This Row],[orden]]="","",_xlfn.XLOOKUP(tblOrdenes[[#This Row],[id_operacion]],tblEjecucion[id_operacion],tblEjecucion[precio],0))</f>
        <v/>
      </c>
      <c r="AJ875" s="11">
        <f>IF(tblOrdenes[[#This Row],[orden]]="","",MAX(0,_xlfn.XLOOKUP(tblOrdenes[[#This Row],[id_operacion]],tblEjecucion[id_operacion],tblEjecucion[costo_plan_total],0)-tblOrdenes[[#This Row],[costo_servicio]]))</f>
        <v/>
      </c>
      <c r="AK875" s="11">
        <f>IF(tblOrdenes[[#This Row],[orden]]="","",tblOrdenes[[#This Row],[costo_servicio]]+tblOrdenes[[#This Row],[costo_materiales]])</f>
        <v/>
      </c>
      <c r="AL875" s="6" t="n"/>
      <c r="AM875" s="6" t="n"/>
      <c r="AN875" s="6" t="n"/>
      <c r="AO875" s="3">
        <f>IF(tblOrdenes[[#This Row],[link_checklist]]="","",HYPERLINK(p_ruta_base_checklists&amp;tblOrdenes[[#This Row],[link_checklist]],"abrir"))</f>
        <v/>
      </c>
      <c r="AP875" s="6" t="n"/>
      <c r="AQ875" s="3">
        <f>IF(tblOrdenes[[#This Row],[orden]]="","",tblOrdenes[[#This Row],[orden]]&amp;IF(tblOrdenes[[#This Row],[operacion]]="","0010",tblOrdenes[[#This Row],[operacion]]))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2" t="n"/>
      <c r="K876" s="3" t="n"/>
      <c r="L876" s="11" t="n"/>
      <c r="M8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6" s="3">
        <f>IF(tblOrdenes[[#This Row],[fecha_inicio]]="","",YEAR(tblOrdenes[[#This Row],[fecha_inicio]]))</f>
        <v/>
      </c>
      <c r="Q876" s="3">
        <f>IF(tblOrdenes[[#This Row],[fecha_inicio]]="","",MONTH(tblOrdenes[[#This Row],[fecha_inicio]]))</f>
        <v/>
      </c>
      <c r="R876" s="3">
        <f>IF(tblOrdenes[[#This Row],[fecha_inicio]]="","",INDEX(lista_dias,WEEKDAY(tblOrdenes[[#This Row],[fecha_inicio]],2)))</f>
        <v/>
      </c>
      <c r="S8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6" s="3">
        <f>IF(tblOrdenes[[#This Row],[tipo_ot]]="","",_xlfn.XLOOKUP(tblOrdenes[[#This Row],[tipo_ot]],tblTiposOT[codigo],tblTiposOT[clasificacion],"sin_clasificar"))</f>
        <v/>
      </c>
      <c r="U876" s="3">
        <f>IF(tblOrdenes[[#This Row],[centro_costo]]="","",_xlfn.XLOOKUP(tblOrdenes[[#This Row],[centro_costo]],tblCECO[codigo],tblCECO[linea],"(sin catálogo)"))</f>
        <v/>
      </c>
      <c r="V876" s="3">
        <f>IF(tblOrdenes[[#This Row],[centro_costo]]="","",_xlfn.XLOOKUP(tblOrdenes[[#This Row],[centro_costo]],tblCECO[codigo],tblCECO[area],"(sin catálogo)"))</f>
        <v/>
      </c>
      <c r="W8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6" s="3">
        <f>IF(tblOrdenes[[#This Row],[centro_costo]]="","",_xlfn.XLOOKUP(tblOrdenes[[#This Row],[centro_costo]],tblCECO[codigo],tblCECO[coordinador],"(sin catálogo)"))</f>
        <v/>
      </c>
      <c r="Y876" s="3">
        <f>IF(tblOrdenes[[#This Row],[puesto_trabajo]]="","",_xlfn.XLOOKUP(tblOrdenes[[#This Row],[puesto_trabajo]],tblPuestos[codigo],tblPuestos[especialidad],"(sin catálogo)"))</f>
        <v/>
      </c>
      <c r="Z876" s="3">
        <f>IF(tblOrdenes[[#This Row],[cod_actividad]]="","",_xlfn.XLOOKUP(tblOrdenes[[#This Row],[cod_actividad]],tblActividades[codigo],tblActividades[descripcion],"(sin catálogo)"))</f>
        <v/>
      </c>
      <c r="AA876" s="13">
        <f>IF(tblOrdenes[[#This Row],[fecha_inicio]]="","",TODAY()-tblOrdenes[[#This Row],[fecha_inicio]])</f>
        <v/>
      </c>
      <c r="AB8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6" s="3">
        <f>IF(tblOrdenes[[#This Row],[backlog_habiles]]="","",IF(tblOrdenes[[#This Row],[backlog_habiles]]&lt;0,"FUTURO",IF(tblOrdenes[[#This Row],[backlog_habiles]]&gt;p_dias_backlog_max,"BACKLOG","MES CORRIENTE")))</f>
        <v/>
      </c>
      <c r="AD876" s="3">
        <f>IF(tblOrdenes[[#This Row],[backlog_habiles]]="",FALSE,AND(tblOrdenes[[#This Row],[backlog_habiles]]&gt;p_dias_backlog_min,tblOrdenes[[#This Row],[backlog_habiles]]&lt;=p_dias_backlog_max))</f>
        <v/>
      </c>
      <c r="AE876" s="6" t="n"/>
      <c r="AF8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6" s="11">
        <f>IF(tblOrdenes[[#This Row],[orden]]="","",_xlfn.XLOOKUP(tblOrdenes[[#This Row],[id_operacion]],tblEjecucion[id_operacion],tblEjecucion[precio],0))</f>
        <v/>
      </c>
      <c r="AJ876" s="11">
        <f>IF(tblOrdenes[[#This Row],[orden]]="","",MAX(0,_xlfn.XLOOKUP(tblOrdenes[[#This Row],[id_operacion]],tblEjecucion[id_operacion],tblEjecucion[costo_plan_total],0)-tblOrdenes[[#This Row],[costo_servicio]]))</f>
        <v/>
      </c>
      <c r="AK876" s="11">
        <f>IF(tblOrdenes[[#This Row],[orden]]="","",tblOrdenes[[#This Row],[costo_servicio]]+tblOrdenes[[#This Row],[costo_materiales]])</f>
        <v/>
      </c>
      <c r="AL876" s="6" t="n"/>
      <c r="AM876" s="6" t="n"/>
      <c r="AN876" s="6" t="n"/>
      <c r="AO876" s="3">
        <f>IF(tblOrdenes[[#This Row],[link_checklist]]="","",HYPERLINK(p_ruta_base_checklists&amp;tblOrdenes[[#This Row],[link_checklist]],"abrir"))</f>
        <v/>
      </c>
      <c r="AP876" s="6" t="n"/>
      <c r="AQ876" s="3">
        <f>IF(tblOrdenes[[#This Row],[orden]]="","",tblOrdenes[[#This Row],[orden]]&amp;IF(tblOrdenes[[#This Row],[operacion]]="","0010",tblOrdenes[[#This Row],[operacion]]))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2" t="n"/>
      <c r="K877" s="3" t="n"/>
      <c r="L877" s="11" t="n"/>
      <c r="M8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7" s="3">
        <f>IF(tblOrdenes[[#This Row],[fecha_inicio]]="","",YEAR(tblOrdenes[[#This Row],[fecha_inicio]]))</f>
        <v/>
      </c>
      <c r="Q877" s="3">
        <f>IF(tblOrdenes[[#This Row],[fecha_inicio]]="","",MONTH(tblOrdenes[[#This Row],[fecha_inicio]]))</f>
        <v/>
      </c>
      <c r="R877" s="3">
        <f>IF(tblOrdenes[[#This Row],[fecha_inicio]]="","",INDEX(lista_dias,WEEKDAY(tblOrdenes[[#This Row],[fecha_inicio]],2)))</f>
        <v/>
      </c>
      <c r="S8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7" s="3">
        <f>IF(tblOrdenes[[#This Row],[tipo_ot]]="","",_xlfn.XLOOKUP(tblOrdenes[[#This Row],[tipo_ot]],tblTiposOT[codigo],tblTiposOT[clasificacion],"sin_clasificar"))</f>
        <v/>
      </c>
      <c r="U877" s="3">
        <f>IF(tblOrdenes[[#This Row],[centro_costo]]="","",_xlfn.XLOOKUP(tblOrdenes[[#This Row],[centro_costo]],tblCECO[codigo],tblCECO[linea],"(sin catálogo)"))</f>
        <v/>
      </c>
      <c r="V877" s="3">
        <f>IF(tblOrdenes[[#This Row],[centro_costo]]="","",_xlfn.XLOOKUP(tblOrdenes[[#This Row],[centro_costo]],tblCECO[codigo],tblCECO[area],"(sin catálogo)"))</f>
        <v/>
      </c>
      <c r="W8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7" s="3">
        <f>IF(tblOrdenes[[#This Row],[centro_costo]]="","",_xlfn.XLOOKUP(tblOrdenes[[#This Row],[centro_costo]],tblCECO[codigo],tblCECO[coordinador],"(sin catálogo)"))</f>
        <v/>
      </c>
      <c r="Y877" s="3">
        <f>IF(tblOrdenes[[#This Row],[puesto_trabajo]]="","",_xlfn.XLOOKUP(tblOrdenes[[#This Row],[puesto_trabajo]],tblPuestos[codigo],tblPuestos[especialidad],"(sin catálogo)"))</f>
        <v/>
      </c>
      <c r="Z877" s="3">
        <f>IF(tblOrdenes[[#This Row],[cod_actividad]]="","",_xlfn.XLOOKUP(tblOrdenes[[#This Row],[cod_actividad]],tblActividades[codigo],tblActividades[descripcion],"(sin catálogo)"))</f>
        <v/>
      </c>
      <c r="AA877" s="13">
        <f>IF(tblOrdenes[[#This Row],[fecha_inicio]]="","",TODAY()-tblOrdenes[[#This Row],[fecha_inicio]])</f>
        <v/>
      </c>
      <c r="AB8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7" s="3">
        <f>IF(tblOrdenes[[#This Row],[backlog_habiles]]="","",IF(tblOrdenes[[#This Row],[backlog_habiles]]&lt;0,"FUTURO",IF(tblOrdenes[[#This Row],[backlog_habiles]]&gt;p_dias_backlog_max,"BACKLOG","MES CORRIENTE")))</f>
        <v/>
      </c>
      <c r="AD877" s="3">
        <f>IF(tblOrdenes[[#This Row],[backlog_habiles]]="",FALSE,AND(tblOrdenes[[#This Row],[backlog_habiles]]&gt;p_dias_backlog_min,tblOrdenes[[#This Row],[backlog_habiles]]&lt;=p_dias_backlog_max))</f>
        <v/>
      </c>
      <c r="AE877" s="6" t="n"/>
      <c r="AF8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7" s="11">
        <f>IF(tblOrdenes[[#This Row],[orden]]="","",_xlfn.XLOOKUP(tblOrdenes[[#This Row],[id_operacion]],tblEjecucion[id_operacion],tblEjecucion[precio],0))</f>
        <v/>
      </c>
      <c r="AJ877" s="11">
        <f>IF(tblOrdenes[[#This Row],[orden]]="","",MAX(0,_xlfn.XLOOKUP(tblOrdenes[[#This Row],[id_operacion]],tblEjecucion[id_operacion],tblEjecucion[costo_plan_total],0)-tblOrdenes[[#This Row],[costo_servicio]]))</f>
        <v/>
      </c>
      <c r="AK877" s="11">
        <f>IF(tblOrdenes[[#This Row],[orden]]="","",tblOrdenes[[#This Row],[costo_servicio]]+tblOrdenes[[#This Row],[costo_materiales]])</f>
        <v/>
      </c>
      <c r="AL877" s="6" t="n"/>
      <c r="AM877" s="6" t="n"/>
      <c r="AN877" s="6" t="n"/>
      <c r="AO877" s="3">
        <f>IF(tblOrdenes[[#This Row],[link_checklist]]="","",HYPERLINK(p_ruta_base_checklists&amp;tblOrdenes[[#This Row],[link_checklist]],"abrir"))</f>
        <v/>
      </c>
      <c r="AP877" s="6" t="n"/>
      <c r="AQ877" s="3">
        <f>IF(tblOrdenes[[#This Row],[orden]]="","",tblOrdenes[[#This Row],[orden]]&amp;IF(tblOrdenes[[#This Row],[operacion]]="","0010",tblOrdenes[[#This Row],[operacion]]))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2" t="n"/>
      <c r="K878" s="3" t="n"/>
      <c r="L878" s="11" t="n"/>
      <c r="M8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8" s="3">
        <f>IF(tblOrdenes[[#This Row],[fecha_inicio]]="","",YEAR(tblOrdenes[[#This Row],[fecha_inicio]]))</f>
        <v/>
      </c>
      <c r="Q878" s="3">
        <f>IF(tblOrdenes[[#This Row],[fecha_inicio]]="","",MONTH(tblOrdenes[[#This Row],[fecha_inicio]]))</f>
        <v/>
      </c>
      <c r="R878" s="3">
        <f>IF(tblOrdenes[[#This Row],[fecha_inicio]]="","",INDEX(lista_dias,WEEKDAY(tblOrdenes[[#This Row],[fecha_inicio]],2)))</f>
        <v/>
      </c>
      <c r="S8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8" s="3">
        <f>IF(tblOrdenes[[#This Row],[tipo_ot]]="","",_xlfn.XLOOKUP(tblOrdenes[[#This Row],[tipo_ot]],tblTiposOT[codigo],tblTiposOT[clasificacion],"sin_clasificar"))</f>
        <v/>
      </c>
      <c r="U878" s="3">
        <f>IF(tblOrdenes[[#This Row],[centro_costo]]="","",_xlfn.XLOOKUP(tblOrdenes[[#This Row],[centro_costo]],tblCECO[codigo],tblCECO[linea],"(sin catálogo)"))</f>
        <v/>
      </c>
      <c r="V878" s="3">
        <f>IF(tblOrdenes[[#This Row],[centro_costo]]="","",_xlfn.XLOOKUP(tblOrdenes[[#This Row],[centro_costo]],tblCECO[codigo],tblCECO[area],"(sin catálogo)"))</f>
        <v/>
      </c>
      <c r="W8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8" s="3">
        <f>IF(tblOrdenes[[#This Row],[centro_costo]]="","",_xlfn.XLOOKUP(tblOrdenes[[#This Row],[centro_costo]],tblCECO[codigo],tblCECO[coordinador],"(sin catálogo)"))</f>
        <v/>
      </c>
      <c r="Y878" s="3">
        <f>IF(tblOrdenes[[#This Row],[puesto_trabajo]]="","",_xlfn.XLOOKUP(tblOrdenes[[#This Row],[puesto_trabajo]],tblPuestos[codigo],tblPuestos[especialidad],"(sin catálogo)"))</f>
        <v/>
      </c>
      <c r="Z878" s="3">
        <f>IF(tblOrdenes[[#This Row],[cod_actividad]]="","",_xlfn.XLOOKUP(tblOrdenes[[#This Row],[cod_actividad]],tblActividades[codigo],tblActividades[descripcion],"(sin catálogo)"))</f>
        <v/>
      </c>
      <c r="AA878" s="13">
        <f>IF(tblOrdenes[[#This Row],[fecha_inicio]]="","",TODAY()-tblOrdenes[[#This Row],[fecha_inicio]])</f>
        <v/>
      </c>
      <c r="AB8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8" s="3">
        <f>IF(tblOrdenes[[#This Row],[backlog_habiles]]="","",IF(tblOrdenes[[#This Row],[backlog_habiles]]&lt;0,"FUTURO",IF(tblOrdenes[[#This Row],[backlog_habiles]]&gt;p_dias_backlog_max,"BACKLOG","MES CORRIENTE")))</f>
        <v/>
      </c>
      <c r="AD878" s="3">
        <f>IF(tblOrdenes[[#This Row],[backlog_habiles]]="",FALSE,AND(tblOrdenes[[#This Row],[backlog_habiles]]&gt;p_dias_backlog_min,tblOrdenes[[#This Row],[backlog_habiles]]&lt;=p_dias_backlog_max))</f>
        <v/>
      </c>
      <c r="AE878" s="6" t="n"/>
      <c r="AF8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8" s="11">
        <f>IF(tblOrdenes[[#This Row],[orden]]="","",_xlfn.XLOOKUP(tblOrdenes[[#This Row],[id_operacion]],tblEjecucion[id_operacion],tblEjecucion[precio],0))</f>
        <v/>
      </c>
      <c r="AJ878" s="11">
        <f>IF(tblOrdenes[[#This Row],[orden]]="","",MAX(0,_xlfn.XLOOKUP(tblOrdenes[[#This Row],[id_operacion]],tblEjecucion[id_operacion],tblEjecucion[costo_plan_total],0)-tblOrdenes[[#This Row],[costo_servicio]]))</f>
        <v/>
      </c>
      <c r="AK878" s="11">
        <f>IF(tblOrdenes[[#This Row],[orden]]="","",tblOrdenes[[#This Row],[costo_servicio]]+tblOrdenes[[#This Row],[costo_materiales]])</f>
        <v/>
      </c>
      <c r="AL878" s="6" t="n"/>
      <c r="AM878" s="6" t="n"/>
      <c r="AN878" s="6" t="n"/>
      <c r="AO878" s="3">
        <f>IF(tblOrdenes[[#This Row],[link_checklist]]="","",HYPERLINK(p_ruta_base_checklists&amp;tblOrdenes[[#This Row],[link_checklist]],"abrir"))</f>
        <v/>
      </c>
      <c r="AP878" s="6" t="n"/>
      <c r="AQ878" s="3">
        <f>IF(tblOrdenes[[#This Row],[orden]]="","",tblOrdenes[[#This Row],[orden]]&amp;IF(tblOrdenes[[#This Row],[operacion]]="","0010",tblOrdenes[[#This Row],[operacion]]))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2" t="n"/>
      <c r="K879" s="3" t="n"/>
      <c r="L879" s="11" t="n"/>
      <c r="M8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9" s="3">
        <f>IF(tblOrdenes[[#This Row],[fecha_inicio]]="","",YEAR(tblOrdenes[[#This Row],[fecha_inicio]]))</f>
        <v/>
      </c>
      <c r="Q879" s="3">
        <f>IF(tblOrdenes[[#This Row],[fecha_inicio]]="","",MONTH(tblOrdenes[[#This Row],[fecha_inicio]]))</f>
        <v/>
      </c>
      <c r="R879" s="3">
        <f>IF(tblOrdenes[[#This Row],[fecha_inicio]]="","",INDEX(lista_dias,WEEKDAY(tblOrdenes[[#This Row],[fecha_inicio]],2)))</f>
        <v/>
      </c>
      <c r="S8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9" s="3">
        <f>IF(tblOrdenes[[#This Row],[tipo_ot]]="","",_xlfn.XLOOKUP(tblOrdenes[[#This Row],[tipo_ot]],tblTiposOT[codigo],tblTiposOT[clasificacion],"sin_clasificar"))</f>
        <v/>
      </c>
      <c r="U879" s="3">
        <f>IF(tblOrdenes[[#This Row],[centro_costo]]="","",_xlfn.XLOOKUP(tblOrdenes[[#This Row],[centro_costo]],tblCECO[codigo],tblCECO[linea],"(sin catálogo)"))</f>
        <v/>
      </c>
      <c r="V879" s="3">
        <f>IF(tblOrdenes[[#This Row],[centro_costo]]="","",_xlfn.XLOOKUP(tblOrdenes[[#This Row],[centro_costo]],tblCECO[codigo],tblCECO[area],"(sin catálogo)"))</f>
        <v/>
      </c>
      <c r="W8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9" s="3">
        <f>IF(tblOrdenes[[#This Row],[centro_costo]]="","",_xlfn.XLOOKUP(tblOrdenes[[#This Row],[centro_costo]],tblCECO[codigo],tblCECO[coordinador],"(sin catálogo)"))</f>
        <v/>
      </c>
      <c r="Y879" s="3">
        <f>IF(tblOrdenes[[#This Row],[puesto_trabajo]]="","",_xlfn.XLOOKUP(tblOrdenes[[#This Row],[puesto_trabajo]],tblPuestos[codigo],tblPuestos[especialidad],"(sin catálogo)"))</f>
        <v/>
      </c>
      <c r="Z879" s="3">
        <f>IF(tblOrdenes[[#This Row],[cod_actividad]]="","",_xlfn.XLOOKUP(tblOrdenes[[#This Row],[cod_actividad]],tblActividades[codigo],tblActividades[descripcion],"(sin catálogo)"))</f>
        <v/>
      </c>
      <c r="AA879" s="13">
        <f>IF(tblOrdenes[[#This Row],[fecha_inicio]]="","",TODAY()-tblOrdenes[[#This Row],[fecha_inicio]])</f>
        <v/>
      </c>
      <c r="AB8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9" s="3">
        <f>IF(tblOrdenes[[#This Row],[backlog_habiles]]="","",IF(tblOrdenes[[#This Row],[backlog_habiles]]&lt;0,"FUTURO",IF(tblOrdenes[[#This Row],[backlog_habiles]]&gt;p_dias_backlog_max,"BACKLOG","MES CORRIENTE")))</f>
        <v/>
      </c>
      <c r="AD879" s="3">
        <f>IF(tblOrdenes[[#This Row],[backlog_habiles]]="",FALSE,AND(tblOrdenes[[#This Row],[backlog_habiles]]&gt;p_dias_backlog_min,tblOrdenes[[#This Row],[backlog_habiles]]&lt;=p_dias_backlog_max))</f>
        <v/>
      </c>
      <c r="AE879" s="6" t="n"/>
      <c r="AF8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9" s="11">
        <f>IF(tblOrdenes[[#This Row],[orden]]="","",_xlfn.XLOOKUP(tblOrdenes[[#This Row],[id_operacion]],tblEjecucion[id_operacion],tblEjecucion[precio],0))</f>
        <v/>
      </c>
      <c r="AJ879" s="11">
        <f>IF(tblOrdenes[[#This Row],[orden]]="","",MAX(0,_xlfn.XLOOKUP(tblOrdenes[[#This Row],[id_operacion]],tblEjecucion[id_operacion],tblEjecucion[costo_plan_total],0)-tblOrdenes[[#This Row],[costo_servicio]]))</f>
        <v/>
      </c>
      <c r="AK879" s="11">
        <f>IF(tblOrdenes[[#This Row],[orden]]="","",tblOrdenes[[#This Row],[costo_servicio]]+tblOrdenes[[#This Row],[costo_materiales]])</f>
        <v/>
      </c>
      <c r="AL879" s="6" t="n"/>
      <c r="AM879" s="6" t="n"/>
      <c r="AN879" s="6" t="n"/>
      <c r="AO879" s="3">
        <f>IF(tblOrdenes[[#This Row],[link_checklist]]="","",HYPERLINK(p_ruta_base_checklists&amp;tblOrdenes[[#This Row],[link_checklist]],"abrir"))</f>
        <v/>
      </c>
      <c r="AP879" s="6" t="n"/>
      <c r="AQ879" s="3">
        <f>IF(tblOrdenes[[#This Row],[orden]]="","",tblOrdenes[[#This Row],[orden]]&amp;IF(tblOrdenes[[#This Row],[operacion]]="","0010",tblOrdenes[[#This Row],[operacion]]))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2" t="n"/>
      <c r="K880" s="3" t="n"/>
      <c r="L880" s="11" t="n"/>
      <c r="M8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0" s="3">
        <f>IF(tblOrdenes[[#This Row],[fecha_inicio]]="","",YEAR(tblOrdenes[[#This Row],[fecha_inicio]]))</f>
        <v/>
      </c>
      <c r="Q880" s="3">
        <f>IF(tblOrdenes[[#This Row],[fecha_inicio]]="","",MONTH(tblOrdenes[[#This Row],[fecha_inicio]]))</f>
        <v/>
      </c>
      <c r="R880" s="3">
        <f>IF(tblOrdenes[[#This Row],[fecha_inicio]]="","",INDEX(lista_dias,WEEKDAY(tblOrdenes[[#This Row],[fecha_inicio]],2)))</f>
        <v/>
      </c>
      <c r="S8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0" s="3">
        <f>IF(tblOrdenes[[#This Row],[tipo_ot]]="","",_xlfn.XLOOKUP(tblOrdenes[[#This Row],[tipo_ot]],tblTiposOT[codigo],tblTiposOT[clasificacion],"sin_clasificar"))</f>
        <v/>
      </c>
      <c r="U880" s="3">
        <f>IF(tblOrdenes[[#This Row],[centro_costo]]="","",_xlfn.XLOOKUP(tblOrdenes[[#This Row],[centro_costo]],tblCECO[codigo],tblCECO[linea],"(sin catálogo)"))</f>
        <v/>
      </c>
      <c r="V880" s="3">
        <f>IF(tblOrdenes[[#This Row],[centro_costo]]="","",_xlfn.XLOOKUP(tblOrdenes[[#This Row],[centro_costo]],tblCECO[codigo],tblCECO[area],"(sin catálogo)"))</f>
        <v/>
      </c>
      <c r="W8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0" s="3">
        <f>IF(tblOrdenes[[#This Row],[centro_costo]]="","",_xlfn.XLOOKUP(tblOrdenes[[#This Row],[centro_costo]],tblCECO[codigo],tblCECO[coordinador],"(sin catálogo)"))</f>
        <v/>
      </c>
      <c r="Y880" s="3">
        <f>IF(tblOrdenes[[#This Row],[puesto_trabajo]]="","",_xlfn.XLOOKUP(tblOrdenes[[#This Row],[puesto_trabajo]],tblPuestos[codigo],tblPuestos[especialidad],"(sin catálogo)"))</f>
        <v/>
      </c>
      <c r="Z880" s="3">
        <f>IF(tblOrdenes[[#This Row],[cod_actividad]]="","",_xlfn.XLOOKUP(tblOrdenes[[#This Row],[cod_actividad]],tblActividades[codigo],tblActividades[descripcion],"(sin catálogo)"))</f>
        <v/>
      </c>
      <c r="AA880" s="13">
        <f>IF(tblOrdenes[[#This Row],[fecha_inicio]]="","",TODAY()-tblOrdenes[[#This Row],[fecha_inicio]])</f>
        <v/>
      </c>
      <c r="AB8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0" s="3">
        <f>IF(tblOrdenes[[#This Row],[backlog_habiles]]="","",IF(tblOrdenes[[#This Row],[backlog_habiles]]&lt;0,"FUTURO",IF(tblOrdenes[[#This Row],[backlog_habiles]]&gt;p_dias_backlog_max,"BACKLOG","MES CORRIENTE")))</f>
        <v/>
      </c>
      <c r="AD880" s="3">
        <f>IF(tblOrdenes[[#This Row],[backlog_habiles]]="",FALSE,AND(tblOrdenes[[#This Row],[backlog_habiles]]&gt;p_dias_backlog_min,tblOrdenes[[#This Row],[backlog_habiles]]&lt;=p_dias_backlog_max))</f>
        <v/>
      </c>
      <c r="AE880" s="6" t="n"/>
      <c r="AF8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0" s="11">
        <f>IF(tblOrdenes[[#This Row],[orden]]="","",_xlfn.XLOOKUP(tblOrdenes[[#This Row],[id_operacion]],tblEjecucion[id_operacion],tblEjecucion[precio],0))</f>
        <v/>
      </c>
      <c r="AJ880" s="11">
        <f>IF(tblOrdenes[[#This Row],[orden]]="","",MAX(0,_xlfn.XLOOKUP(tblOrdenes[[#This Row],[id_operacion]],tblEjecucion[id_operacion],tblEjecucion[costo_plan_total],0)-tblOrdenes[[#This Row],[costo_servicio]]))</f>
        <v/>
      </c>
      <c r="AK880" s="11">
        <f>IF(tblOrdenes[[#This Row],[orden]]="","",tblOrdenes[[#This Row],[costo_servicio]]+tblOrdenes[[#This Row],[costo_materiales]])</f>
        <v/>
      </c>
      <c r="AL880" s="6" t="n"/>
      <c r="AM880" s="6" t="n"/>
      <c r="AN880" s="6" t="n"/>
      <c r="AO880" s="3">
        <f>IF(tblOrdenes[[#This Row],[link_checklist]]="","",HYPERLINK(p_ruta_base_checklists&amp;tblOrdenes[[#This Row],[link_checklist]],"abrir"))</f>
        <v/>
      </c>
      <c r="AP880" s="6" t="n"/>
      <c r="AQ880" s="3">
        <f>IF(tblOrdenes[[#This Row],[orden]]="","",tblOrdenes[[#This Row],[orden]]&amp;IF(tblOrdenes[[#This Row],[operacion]]="","0010",tblOrdenes[[#This Row],[operacion]]))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2" t="n"/>
      <c r="K881" s="3" t="n"/>
      <c r="L881" s="11" t="n"/>
      <c r="M8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1" s="3">
        <f>IF(tblOrdenes[[#This Row],[fecha_inicio]]="","",YEAR(tblOrdenes[[#This Row],[fecha_inicio]]))</f>
        <v/>
      </c>
      <c r="Q881" s="3">
        <f>IF(tblOrdenes[[#This Row],[fecha_inicio]]="","",MONTH(tblOrdenes[[#This Row],[fecha_inicio]]))</f>
        <v/>
      </c>
      <c r="R881" s="3">
        <f>IF(tblOrdenes[[#This Row],[fecha_inicio]]="","",INDEX(lista_dias,WEEKDAY(tblOrdenes[[#This Row],[fecha_inicio]],2)))</f>
        <v/>
      </c>
      <c r="S8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1" s="3">
        <f>IF(tblOrdenes[[#This Row],[tipo_ot]]="","",_xlfn.XLOOKUP(tblOrdenes[[#This Row],[tipo_ot]],tblTiposOT[codigo],tblTiposOT[clasificacion],"sin_clasificar"))</f>
        <v/>
      </c>
      <c r="U881" s="3">
        <f>IF(tblOrdenes[[#This Row],[centro_costo]]="","",_xlfn.XLOOKUP(tblOrdenes[[#This Row],[centro_costo]],tblCECO[codigo],tblCECO[linea],"(sin catálogo)"))</f>
        <v/>
      </c>
      <c r="V881" s="3">
        <f>IF(tblOrdenes[[#This Row],[centro_costo]]="","",_xlfn.XLOOKUP(tblOrdenes[[#This Row],[centro_costo]],tblCECO[codigo],tblCECO[area],"(sin catálogo)"))</f>
        <v/>
      </c>
      <c r="W8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1" s="3">
        <f>IF(tblOrdenes[[#This Row],[centro_costo]]="","",_xlfn.XLOOKUP(tblOrdenes[[#This Row],[centro_costo]],tblCECO[codigo],tblCECO[coordinador],"(sin catálogo)"))</f>
        <v/>
      </c>
      <c r="Y881" s="3">
        <f>IF(tblOrdenes[[#This Row],[puesto_trabajo]]="","",_xlfn.XLOOKUP(tblOrdenes[[#This Row],[puesto_trabajo]],tblPuestos[codigo],tblPuestos[especialidad],"(sin catálogo)"))</f>
        <v/>
      </c>
      <c r="Z881" s="3">
        <f>IF(tblOrdenes[[#This Row],[cod_actividad]]="","",_xlfn.XLOOKUP(tblOrdenes[[#This Row],[cod_actividad]],tblActividades[codigo],tblActividades[descripcion],"(sin catálogo)"))</f>
        <v/>
      </c>
      <c r="AA881" s="13">
        <f>IF(tblOrdenes[[#This Row],[fecha_inicio]]="","",TODAY()-tblOrdenes[[#This Row],[fecha_inicio]])</f>
        <v/>
      </c>
      <c r="AB8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1" s="3">
        <f>IF(tblOrdenes[[#This Row],[backlog_habiles]]="","",IF(tblOrdenes[[#This Row],[backlog_habiles]]&lt;0,"FUTURO",IF(tblOrdenes[[#This Row],[backlog_habiles]]&gt;p_dias_backlog_max,"BACKLOG","MES CORRIENTE")))</f>
        <v/>
      </c>
      <c r="AD881" s="3">
        <f>IF(tblOrdenes[[#This Row],[backlog_habiles]]="",FALSE,AND(tblOrdenes[[#This Row],[backlog_habiles]]&gt;p_dias_backlog_min,tblOrdenes[[#This Row],[backlog_habiles]]&lt;=p_dias_backlog_max))</f>
        <v/>
      </c>
      <c r="AE881" s="6" t="n"/>
      <c r="AF8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1" s="11">
        <f>IF(tblOrdenes[[#This Row],[orden]]="","",_xlfn.XLOOKUP(tblOrdenes[[#This Row],[id_operacion]],tblEjecucion[id_operacion],tblEjecucion[precio],0))</f>
        <v/>
      </c>
      <c r="AJ881" s="11">
        <f>IF(tblOrdenes[[#This Row],[orden]]="","",MAX(0,_xlfn.XLOOKUP(tblOrdenes[[#This Row],[id_operacion]],tblEjecucion[id_operacion],tblEjecucion[costo_plan_total],0)-tblOrdenes[[#This Row],[costo_servicio]]))</f>
        <v/>
      </c>
      <c r="AK881" s="11">
        <f>IF(tblOrdenes[[#This Row],[orden]]="","",tblOrdenes[[#This Row],[costo_servicio]]+tblOrdenes[[#This Row],[costo_materiales]])</f>
        <v/>
      </c>
      <c r="AL881" s="6" t="n"/>
      <c r="AM881" s="6" t="n"/>
      <c r="AN881" s="6" t="n"/>
      <c r="AO881" s="3">
        <f>IF(tblOrdenes[[#This Row],[link_checklist]]="","",HYPERLINK(p_ruta_base_checklists&amp;tblOrdenes[[#This Row],[link_checklist]],"abrir"))</f>
        <v/>
      </c>
      <c r="AP881" s="6" t="n"/>
      <c r="AQ881" s="3">
        <f>IF(tblOrdenes[[#This Row],[orden]]="","",tblOrdenes[[#This Row],[orden]]&amp;IF(tblOrdenes[[#This Row],[operacion]]="","0010",tblOrdenes[[#This Row],[operacion]]))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2" t="n"/>
      <c r="K882" s="3" t="n"/>
      <c r="L882" s="11" t="n"/>
      <c r="M8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2" s="3">
        <f>IF(tblOrdenes[[#This Row],[fecha_inicio]]="","",YEAR(tblOrdenes[[#This Row],[fecha_inicio]]))</f>
        <v/>
      </c>
      <c r="Q882" s="3">
        <f>IF(tblOrdenes[[#This Row],[fecha_inicio]]="","",MONTH(tblOrdenes[[#This Row],[fecha_inicio]]))</f>
        <v/>
      </c>
      <c r="R882" s="3">
        <f>IF(tblOrdenes[[#This Row],[fecha_inicio]]="","",INDEX(lista_dias,WEEKDAY(tblOrdenes[[#This Row],[fecha_inicio]],2)))</f>
        <v/>
      </c>
      <c r="S8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2" s="3">
        <f>IF(tblOrdenes[[#This Row],[tipo_ot]]="","",_xlfn.XLOOKUP(tblOrdenes[[#This Row],[tipo_ot]],tblTiposOT[codigo],tblTiposOT[clasificacion],"sin_clasificar"))</f>
        <v/>
      </c>
      <c r="U882" s="3">
        <f>IF(tblOrdenes[[#This Row],[centro_costo]]="","",_xlfn.XLOOKUP(tblOrdenes[[#This Row],[centro_costo]],tblCECO[codigo],tblCECO[linea],"(sin catálogo)"))</f>
        <v/>
      </c>
      <c r="V882" s="3">
        <f>IF(tblOrdenes[[#This Row],[centro_costo]]="","",_xlfn.XLOOKUP(tblOrdenes[[#This Row],[centro_costo]],tblCECO[codigo],tblCECO[area],"(sin catálogo)"))</f>
        <v/>
      </c>
      <c r="W8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2" s="3">
        <f>IF(tblOrdenes[[#This Row],[centro_costo]]="","",_xlfn.XLOOKUP(tblOrdenes[[#This Row],[centro_costo]],tblCECO[codigo],tblCECO[coordinador],"(sin catálogo)"))</f>
        <v/>
      </c>
      <c r="Y882" s="3">
        <f>IF(tblOrdenes[[#This Row],[puesto_trabajo]]="","",_xlfn.XLOOKUP(tblOrdenes[[#This Row],[puesto_trabajo]],tblPuestos[codigo],tblPuestos[especialidad],"(sin catálogo)"))</f>
        <v/>
      </c>
      <c r="Z882" s="3">
        <f>IF(tblOrdenes[[#This Row],[cod_actividad]]="","",_xlfn.XLOOKUP(tblOrdenes[[#This Row],[cod_actividad]],tblActividades[codigo],tblActividades[descripcion],"(sin catálogo)"))</f>
        <v/>
      </c>
      <c r="AA882" s="13">
        <f>IF(tblOrdenes[[#This Row],[fecha_inicio]]="","",TODAY()-tblOrdenes[[#This Row],[fecha_inicio]])</f>
        <v/>
      </c>
      <c r="AB8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2" s="3">
        <f>IF(tblOrdenes[[#This Row],[backlog_habiles]]="","",IF(tblOrdenes[[#This Row],[backlog_habiles]]&lt;0,"FUTURO",IF(tblOrdenes[[#This Row],[backlog_habiles]]&gt;p_dias_backlog_max,"BACKLOG","MES CORRIENTE")))</f>
        <v/>
      </c>
      <c r="AD882" s="3">
        <f>IF(tblOrdenes[[#This Row],[backlog_habiles]]="",FALSE,AND(tblOrdenes[[#This Row],[backlog_habiles]]&gt;p_dias_backlog_min,tblOrdenes[[#This Row],[backlog_habiles]]&lt;=p_dias_backlog_max))</f>
        <v/>
      </c>
      <c r="AE882" s="6" t="n"/>
      <c r="AF8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2" s="11">
        <f>IF(tblOrdenes[[#This Row],[orden]]="","",_xlfn.XLOOKUP(tblOrdenes[[#This Row],[id_operacion]],tblEjecucion[id_operacion],tblEjecucion[precio],0))</f>
        <v/>
      </c>
      <c r="AJ882" s="11">
        <f>IF(tblOrdenes[[#This Row],[orden]]="","",MAX(0,_xlfn.XLOOKUP(tblOrdenes[[#This Row],[id_operacion]],tblEjecucion[id_operacion],tblEjecucion[costo_plan_total],0)-tblOrdenes[[#This Row],[costo_servicio]]))</f>
        <v/>
      </c>
      <c r="AK882" s="11">
        <f>IF(tblOrdenes[[#This Row],[orden]]="","",tblOrdenes[[#This Row],[costo_servicio]]+tblOrdenes[[#This Row],[costo_materiales]])</f>
        <v/>
      </c>
      <c r="AL882" s="6" t="n"/>
      <c r="AM882" s="6" t="n"/>
      <c r="AN882" s="6" t="n"/>
      <c r="AO882" s="3">
        <f>IF(tblOrdenes[[#This Row],[link_checklist]]="","",HYPERLINK(p_ruta_base_checklists&amp;tblOrdenes[[#This Row],[link_checklist]],"abrir"))</f>
        <v/>
      </c>
      <c r="AP882" s="6" t="n"/>
      <c r="AQ882" s="3">
        <f>IF(tblOrdenes[[#This Row],[orden]]="","",tblOrdenes[[#This Row],[orden]]&amp;IF(tblOrdenes[[#This Row],[operacion]]="","0010",tblOrdenes[[#This Row],[operacion]]))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2" t="n"/>
      <c r="K883" s="3" t="n"/>
      <c r="L883" s="11" t="n"/>
      <c r="M8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3" s="3">
        <f>IF(tblOrdenes[[#This Row],[fecha_inicio]]="","",YEAR(tblOrdenes[[#This Row],[fecha_inicio]]))</f>
        <v/>
      </c>
      <c r="Q883" s="3">
        <f>IF(tblOrdenes[[#This Row],[fecha_inicio]]="","",MONTH(tblOrdenes[[#This Row],[fecha_inicio]]))</f>
        <v/>
      </c>
      <c r="R883" s="3">
        <f>IF(tblOrdenes[[#This Row],[fecha_inicio]]="","",INDEX(lista_dias,WEEKDAY(tblOrdenes[[#This Row],[fecha_inicio]],2)))</f>
        <v/>
      </c>
      <c r="S8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3" s="3">
        <f>IF(tblOrdenes[[#This Row],[tipo_ot]]="","",_xlfn.XLOOKUP(tblOrdenes[[#This Row],[tipo_ot]],tblTiposOT[codigo],tblTiposOT[clasificacion],"sin_clasificar"))</f>
        <v/>
      </c>
      <c r="U883" s="3">
        <f>IF(tblOrdenes[[#This Row],[centro_costo]]="","",_xlfn.XLOOKUP(tblOrdenes[[#This Row],[centro_costo]],tblCECO[codigo],tblCECO[linea],"(sin catálogo)"))</f>
        <v/>
      </c>
      <c r="V883" s="3">
        <f>IF(tblOrdenes[[#This Row],[centro_costo]]="","",_xlfn.XLOOKUP(tblOrdenes[[#This Row],[centro_costo]],tblCECO[codigo],tblCECO[area],"(sin catálogo)"))</f>
        <v/>
      </c>
      <c r="W8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3" s="3">
        <f>IF(tblOrdenes[[#This Row],[centro_costo]]="","",_xlfn.XLOOKUP(tblOrdenes[[#This Row],[centro_costo]],tblCECO[codigo],tblCECO[coordinador],"(sin catálogo)"))</f>
        <v/>
      </c>
      <c r="Y883" s="3">
        <f>IF(tblOrdenes[[#This Row],[puesto_trabajo]]="","",_xlfn.XLOOKUP(tblOrdenes[[#This Row],[puesto_trabajo]],tblPuestos[codigo],tblPuestos[especialidad],"(sin catálogo)"))</f>
        <v/>
      </c>
      <c r="Z883" s="3">
        <f>IF(tblOrdenes[[#This Row],[cod_actividad]]="","",_xlfn.XLOOKUP(tblOrdenes[[#This Row],[cod_actividad]],tblActividades[codigo],tblActividades[descripcion],"(sin catálogo)"))</f>
        <v/>
      </c>
      <c r="AA883" s="13">
        <f>IF(tblOrdenes[[#This Row],[fecha_inicio]]="","",TODAY()-tblOrdenes[[#This Row],[fecha_inicio]])</f>
        <v/>
      </c>
      <c r="AB8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3" s="3">
        <f>IF(tblOrdenes[[#This Row],[backlog_habiles]]="","",IF(tblOrdenes[[#This Row],[backlog_habiles]]&lt;0,"FUTURO",IF(tblOrdenes[[#This Row],[backlog_habiles]]&gt;p_dias_backlog_max,"BACKLOG","MES CORRIENTE")))</f>
        <v/>
      </c>
      <c r="AD883" s="3">
        <f>IF(tblOrdenes[[#This Row],[backlog_habiles]]="",FALSE,AND(tblOrdenes[[#This Row],[backlog_habiles]]&gt;p_dias_backlog_min,tblOrdenes[[#This Row],[backlog_habiles]]&lt;=p_dias_backlog_max))</f>
        <v/>
      </c>
      <c r="AE883" s="6" t="n"/>
      <c r="AF8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3" s="11">
        <f>IF(tblOrdenes[[#This Row],[orden]]="","",_xlfn.XLOOKUP(tblOrdenes[[#This Row],[id_operacion]],tblEjecucion[id_operacion],tblEjecucion[precio],0))</f>
        <v/>
      </c>
      <c r="AJ883" s="11">
        <f>IF(tblOrdenes[[#This Row],[orden]]="","",MAX(0,_xlfn.XLOOKUP(tblOrdenes[[#This Row],[id_operacion]],tblEjecucion[id_operacion],tblEjecucion[costo_plan_total],0)-tblOrdenes[[#This Row],[costo_servicio]]))</f>
        <v/>
      </c>
      <c r="AK883" s="11">
        <f>IF(tblOrdenes[[#This Row],[orden]]="","",tblOrdenes[[#This Row],[costo_servicio]]+tblOrdenes[[#This Row],[costo_materiales]])</f>
        <v/>
      </c>
      <c r="AL883" s="6" t="n"/>
      <c r="AM883" s="6" t="n"/>
      <c r="AN883" s="6" t="n"/>
      <c r="AO883" s="3">
        <f>IF(tblOrdenes[[#This Row],[link_checklist]]="","",HYPERLINK(p_ruta_base_checklists&amp;tblOrdenes[[#This Row],[link_checklist]],"abrir"))</f>
        <v/>
      </c>
      <c r="AP883" s="6" t="n"/>
      <c r="AQ883" s="3">
        <f>IF(tblOrdenes[[#This Row],[orden]]="","",tblOrdenes[[#This Row],[orden]]&amp;IF(tblOrdenes[[#This Row],[operacion]]="","0010",tblOrdenes[[#This Row],[operacion]]))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2" t="n"/>
      <c r="K884" s="3" t="n"/>
      <c r="L884" s="11" t="n"/>
      <c r="M8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4" s="3">
        <f>IF(tblOrdenes[[#This Row],[fecha_inicio]]="","",YEAR(tblOrdenes[[#This Row],[fecha_inicio]]))</f>
        <v/>
      </c>
      <c r="Q884" s="3">
        <f>IF(tblOrdenes[[#This Row],[fecha_inicio]]="","",MONTH(tblOrdenes[[#This Row],[fecha_inicio]]))</f>
        <v/>
      </c>
      <c r="R884" s="3">
        <f>IF(tblOrdenes[[#This Row],[fecha_inicio]]="","",INDEX(lista_dias,WEEKDAY(tblOrdenes[[#This Row],[fecha_inicio]],2)))</f>
        <v/>
      </c>
      <c r="S8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4" s="3">
        <f>IF(tblOrdenes[[#This Row],[tipo_ot]]="","",_xlfn.XLOOKUP(tblOrdenes[[#This Row],[tipo_ot]],tblTiposOT[codigo],tblTiposOT[clasificacion],"sin_clasificar"))</f>
        <v/>
      </c>
      <c r="U884" s="3">
        <f>IF(tblOrdenes[[#This Row],[centro_costo]]="","",_xlfn.XLOOKUP(tblOrdenes[[#This Row],[centro_costo]],tblCECO[codigo],tblCECO[linea],"(sin catálogo)"))</f>
        <v/>
      </c>
      <c r="V884" s="3">
        <f>IF(tblOrdenes[[#This Row],[centro_costo]]="","",_xlfn.XLOOKUP(tblOrdenes[[#This Row],[centro_costo]],tblCECO[codigo],tblCECO[area],"(sin catálogo)"))</f>
        <v/>
      </c>
      <c r="W8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4" s="3">
        <f>IF(tblOrdenes[[#This Row],[centro_costo]]="","",_xlfn.XLOOKUP(tblOrdenes[[#This Row],[centro_costo]],tblCECO[codigo],tblCECO[coordinador],"(sin catálogo)"))</f>
        <v/>
      </c>
      <c r="Y884" s="3">
        <f>IF(tblOrdenes[[#This Row],[puesto_trabajo]]="","",_xlfn.XLOOKUP(tblOrdenes[[#This Row],[puesto_trabajo]],tblPuestos[codigo],tblPuestos[especialidad],"(sin catálogo)"))</f>
        <v/>
      </c>
      <c r="Z884" s="3">
        <f>IF(tblOrdenes[[#This Row],[cod_actividad]]="","",_xlfn.XLOOKUP(tblOrdenes[[#This Row],[cod_actividad]],tblActividades[codigo],tblActividades[descripcion],"(sin catálogo)"))</f>
        <v/>
      </c>
      <c r="AA884" s="13">
        <f>IF(tblOrdenes[[#This Row],[fecha_inicio]]="","",TODAY()-tblOrdenes[[#This Row],[fecha_inicio]])</f>
        <v/>
      </c>
      <c r="AB8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4" s="3">
        <f>IF(tblOrdenes[[#This Row],[backlog_habiles]]="","",IF(tblOrdenes[[#This Row],[backlog_habiles]]&lt;0,"FUTURO",IF(tblOrdenes[[#This Row],[backlog_habiles]]&gt;p_dias_backlog_max,"BACKLOG","MES CORRIENTE")))</f>
        <v/>
      </c>
      <c r="AD884" s="3">
        <f>IF(tblOrdenes[[#This Row],[backlog_habiles]]="",FALSE,AND(tblOrdenes[[#This Row],[backlog_habiles]]&gt;p_dias_backlog_min,tblOrdenes[[#This Row],[backlog_habiles]]&lt;=p_dias_backlog_max))</f>
        <v/>
      </c>
      <c r="AE884" s="6" t="n"/>
      <c r="AF8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4" s="11">
        <f>IF(tblOrdenes[[#This Row],[orden]]="","",_xlfn.XLOOKUP(tblOrdenes[[#This Row],[id_operacion]],tblEjecucion[id_operacion],tblEjecucion[precio],0))</f>
        <v/>
      </c>
      <c r="AJ884" s="11">
        <f>IF(tblOrdenes[[#This Row],[orden]]="","",MAX(0,_xlfn.XLOOKUP(tblOrdenes[[#This Row],[id_operacion]],tblEjecucion[id_operacion],tblEjecucion[costo_plan_total],0)-tblOrdenes[[#This Row],[costo_servicio]]))</f>
        <v/>
      </c>
      <c r="AK884" s="11">
        <f>IF(tblOrdenes[[#This Row],[orden]]="","",tblOrdenes[[#This Row],[costo_servicio]]+tblOrdenes[[#This Row],[costo_materiales]])</f>
        <v/>
      </c>
      <c r="AL884" s="6" t="n"/>
      <c r="AM884" s="6" t="n"/>
      <c r="AN884" s="6" t="n"/>
      <c r="AO884" s="3">
        <f>IF(tblOrdenes[[#This Row],[link_checklist]]="","",HYPERLINK(p_ruta_base_checklists&amp;tblOrdenes[[#This Row],[link_checklist]],"abrir"))</f>
        <v/>
      </c>
      <c r="AP884" s="6" t="n"/>
      <c r="AQ884" s="3">
        <f>IF(tblOrdenes[[#This Row],[orden]]="","",tblOrdenes[[#This Row],[orden]]&amp;IF(tblOrdenes[[#This Row],[operacion]]="","0010",tblOrdenes[[#This Row],[operacion]]))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2" t="n"/>
      <c r="K885" s="3" t="n"/>
      <c r="L885" s="11" t="n"/>
      <c r="M8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5" s="3">
        <f>IF(tblOrdenes[[#This Row],[fecha_inicio]]="","",YEAR(tblOrdenes[[#This Row],[fecha_inicio]]))</f>
        <v/>
      </c>
      <c r="Q885" s="3">
        <f>IF(tblOrdenes[[#This Row],[fecha_inicio]]="","",MONTH(tblOrdenes[[#This Row],[fecha_inicio]]))</f>
        <v/>
      </c>
      <c r="R885" s="3">
        <f>IF(tblOrdenes[[#This Row],[fecha_inicio]]="","",INDEX(lista_dias,WEEKDAY(tblOrdenes[[#This Row],[fecha_inicio]],2)))</f>
        <v/>
      </c>
      <c r="S8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5" s="3">
        <f>IF(tblOrdenes[[#This Row],[tipo_ot]]="","",_xlfn.XLOOKUP(tblOrdenes[[#This Row],[tipo_ot]],tblTiposOT[codigo],tblTiposOT[clasificacion],"sin_clasificar"))</f>
        <v/>
      </c>
      <c r="U885" s="3">
        <f>IF(tblOrdenes[[#This Row],[centro_costo]]="","",_xlfn.XLOOKUP(tblOrdenes[[#This Row],[centro_costo]],tblCECO[codigo],tblCECO[linea],"(sin catálogo)"))</f>
        <v/>
      </c>
      <c r="V885" s="3">
        <f>IF(tblOrdenes[[#This Row],[centro_costo]]="","",_xlfn.XLOOKUP(tblOrdenes[[#This Row],[centro_costo]],tblCECO[codigo],tblCECO[area],"(sin catálogo)"))</f>
        <v/>
      </c>
      <c r="W8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5" s="3">
        <f>IF(tblOrdenes[[#This Row],[centro_costo]]="","",_xlfn.XLOOKUP(tblOrdenes[[#This Row],[centro_costo]],tblCECO[codigo],tblCECO[coordinador],"(sin catálogo)"))</f>
        <v/>
      </c>
      <c r="Y885" s="3">
        <f>IF(tblOrdenes[[#This Row],[puesto_trabajo]]="","",_xlfn.XLOOKUP(tblOrdenes[[#This Row],[puesto_trabajo]],tblPuestos[codigo],tblPuestos[especialidad],"(sin catálogo)"))</f>
        <v/>
      </c>
      <c r="Z885" s="3">
        <f>IF(tblOrdenes[[#This Row],[cod_actividad]]="","",_xlfn.XLOOKUP(tblOrdenes[[#This Row],[cod_actividad]],tblActividades[codigo],tblActividades[descripcion],"(sin catálogo)"))</f>
        <v/>
      </c>
      <c r="AA885" s="13">
        <f>IF(tblOrdenes[[#This Row],[fecha_inicio]]="","",TODAY()-tblOrdenes[[#This Row],[fecha_inicio]])</f>
        <v/>
      </c>
      <c r="AB8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5" s="3">
        <f>IF(tblOrdenes[[#This Row],[backlog_habiles]]="","",IF(tblOrdenes[[#This Row],[backlog_habiles]]&lt;0,"FUTURO",IF(tblOrdenes[[#This Row],[backlog_habiles]]&gt;p_dias_backlog_max,"BACKLOG","MES CORRIENTE")))</f>
        <v/>
      </c>
      <c r="AD885" s="3">
        <f>IF(tblOrdenes[[#This Row],[backlog_habiles]]="",FALSE,AND(tblOrdenes[[#This Row],[backlog_habiles]]&gt;p_dias_backlog_min,tblOrdenes[[#This Row],[backlog_habiles]]&lt;=p_dias_backlog_max))</f>
        <v/>
      </c>
      <c r="AE885" s="6" t="n"/>
      <c r="AF8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5" s="11">
        <f>IF(tblOrdenes[[#This Row],[orden]]="","",_xlfn.XLOOKUP(tblOrdenes[[#This Row],[id_operacion]],tblEjecucion[id_operacion],tblEjecucion[precio],0))</f>
        <v/>
      </c>
      <c r="AJ885" s="11">
        <f>IF(tblOrdenes[[#This Row],[orden]]="","",MAX(0,_xlfn.XLOOKUP(tblOrdenes[[#This Row],[id_operacion]],tblEjecucion[id_operacion],tblEjecucion[costo_plan_total],0)-tblOrdenes[[#This Row],[costo_servicio]]))</f>
        <v/>
      </c>
      <c r="AK885" s="11">
        <f>IF(tblOrdenes[[#This Row],[orden]]="","",tblOrdenes[[#This Row],[costo_servicio]]+tblOrdenes[[#This Row],[costo_materiales]])</f>
        <v/>
      </c>
      <c r="AL885" s="6" t="n"/>
      <c r="AM885" s="6" t="n"/>
      <c r="AN885" s="6" t="n"/>
      <c r="AO885" s="3">
        <f>IF(tblOrdenes[[#This Row],[link_checklist]]="","",HYPERLINK(p_ruta_base_checklists&amp;tblOrdenes[[#This Row],[link_checklist]],"abrir"))</f>
        <v/>
      </c>
      <c r="AP885" s="6" t="n"/>
      <c r="AQ885" s="3">
        <f>IF(tblOrdenes[[#This Row],[orden]]="","",tblOrdenes[[#This Row],[orden]]&amp;IF(tblOrdenes[[#This Row],[operacion]]="","0010",tblOrdenes[[#This Row],[operacion]]))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2" t="n"/>
      <c r="K886" s="3" t="n"/>
      <c r="L886" s="11" t="n"/>
      <c r="M8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6" s="3">
        <f>IF(tblOrdenes[[#This Row],[fecha_inicio]]="","",YEAR(tblOrdenes[[#This Row],[fecha_inicio]]))</f>
        <v/>
      </c>
      <c r="Q886" s="3">
        <f>IF(tblOrdenes[[#This Row],[fecha_inicio]]="","",MONTH(tblOrdenes[[#This Row],[fecha_inicio]]))</f>
        <v/>
      </c>
      <c r="R886" s="3">
        <f>IF(tblOrdenes[[#This Row],[fecha_inicio]]="","",INDEX(lista_dias,WEEKDAY(tblOrdenes[[#This Row],[fecha_inicio]],2)))</f>
        <v/>
      </c>
      <c r="S8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6" s="3">
        <f>IF(tblOrdenes[[#This Row],[tipo_ot]]="","",_xlfn.XLOOKUP(tblOrdenes[[#This Row],[tipo_ot]],tblTiposOT[codigo],tblTiposOT[clasificacion],"sin_clasificar"))</f>
        <v/>
      </c>
      <c r="U886" s="3">
        <f>IF(tblOrdenes[[#This Row],[centro_costo]]="","",_xlfn.XLOOKUP(tblOrdenes[[#This Row],[centro_costo]],tblCECO[codigo],tblCECO[linea],"(sin catálogo)"))</f>
        <v/>
      </c>
      <c r="V886" s="3">
        <f>IF(tblOrdenes[[#This Row],[centro_costo]]="","",_xlfn.XLOOKUP(tblOrdenes[[#This Row],[centro_costo]],tblCECO[codigo],tblCECO[area],"(sin catálogo)"))</f>
        <v/>
      </c>
      <c r="W8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6" s="3">
        <f>IF(tblOrdenes[[#This Row],[centro_costo]]="","",_xlfn.XLOOKUP(tblOrdenes[[#This Row],[centro_costo]],tblCECO[codigo],tblCECO[coordinador],"(sin catálogo)"))</f>
        <v/>
      </c>
      <c r="Y886" s="3">
        <f>IF(tblOrdenes[[#This Row],[puesto_trabajo]]="","",_xlfn.XLOOKUP(tblOrdenes[[#This Row],[puesto_trabajo]],tblPuestos[codigo],tblPuestos[especialidad],"(sin catálogo)"))</f>
        <v/>
      </c>
      <c r="Z886" s="3">
        <f>IF(tblOrdenes[[#This Row],[cod_actividad]]="","",_xlfn.XLOOKUP(tblOrdenes[[#This Row],[cod_actividad]],tblActividades[codigo],tblActividades[descripcion],"(sin catálogo)"))</f>
        <v/>
      </c>
      <c r="AA886" s="13">
        <f>IF(tblOrdenes[[#This Row],[fecha_inicio]]="","",TODAY()-tblOrdenes[[#This Row],[fecha_inicio]])</f>
        <v/>
      </c>
      <c r="AB8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6" s="3">
        <f>IF(tblOrdenes[[#This Row],[backlog_habiles]]="","",IF(tblOrdenes[[#This Row],[backlog_habiles]]&lt;0,"FUTURO",IF(tblOrdenes[[#This Row],[backlog_habiles]]&gt;p_dias_backlog_max,"BACKLOG","MES CORRIENTE")))</f>
        <v/>
      </c>
      <c r="AD886" s="3">
        <f>IF(tblOrdenes[[#This Row],[backlog_habiles]]="",FALSE,AND(tblOrdenes[[#This Row],[backlog_habiles]]&gt;p_dias_backlog_min,tblOrdenes[[#This Row],[backlog_habiles]]&lt;=p_dias_backlog_max))</f>
        <v/>
      </c>
      <c r="AE886" s="6" t="n"/>
      <c r="AF8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6" s="11">
        <f>IF(tblOrdenes[[#This Row],[orden]]="","",_xlfn.XLOOKUP(tblOrdenes[[#This Row],[id_operacion]],tblEjecucion[id_operacion],tblEjecucion[precio],0))</f>
        <v/>
      </c>
      <c r="AJ886" s="11">
        <f>IF(tblOrdenes[[#This Row],[orden]]="","",MAX(0,_xlfn.XLOOKUP(tblOrdenes[[#This Row],[id_operacion]],tblEjecucion[id_operacion],tblEjecucion[costo_plan_total],0)-tblOrdenes[[#This Row],[costo_servicio]]))</f>
        <v/>
      </c>
      <c r="AK886" s="11">
        <f>IF(tblOrdenes[[#This Row],[orden]]="","",tblOrdenes[[#This Row],[costo_servicio]]+tblOrdenes[[#This Row],[costo_materiales]])</f>
        <v/>
      </c>
      <c r="AL886" s="6" t="n"/>
      <c r="AM886" s="6" t="n"/>
      <c r="AN886" s="6" t="n"/>
      <c r="AO886" s="3">
        <f>IF(tblOrdenes[[#This Row],[link_checklist]]="","",HYPERLINK(p_ruta_base_checklists&amp;tblOrdenes[[#This Row],[link_checklist]],"abrir"))</f>
        <v/>
      </c>
      <c r="AP886" s="6" t="n"/>
      <c r="AQ886" s="3">
        <f>IF(tblOrdenes[[#This Row],[orden]]="","",tblOrdenes[[#This Row],[orden]]&amp;IF(tblOrdenes[[#This Row],[operacion]]="","0010",tblOrdenes[[#This Row],[operacion]]))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2" t="n"/>
      <c r="K887" s="3" t="n"/>
      <c r="L887" s="11" t="n"/>
      <c r="M8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7" s="3">
        <f>IF(tblOrdenes[[#This Row],[fecha_inicio]]="","",YEAR(tblOrdenes[[#This Row],[fecha_inicio]]))</f>
        <v/>
      </c>
      <c r="Q887" s="3">
        <f>IF(tblOrdenes[[#This Row],[fecha_inicio]]="","",MONTH(tblOrdenes[[#This Row],[fecha_inicio]]))</f>
        <v/>
      </c>
      <c r="R887" s="3">
        <f>IF(tblOrdenes[[#This Row],[fecha_inicio]]="","",INDEX(lista_dias,WEEKDAY(tblOrdenes[[#This Row],[fecha_inicio]],2)))</f>
        <v/>
      </c>
      <c r="S8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7" s="3">
        <f>IF(tblOrdenes[[#This Row],[tipo_ot]]="","",_xlfn.XLOOKUP(tblOrdenes[[#This Row],[tipo_ot]],tblTiposOT[codigo],tblTiposOT[clasificacion],"sin_clasificar"))</f>
        <v/>
      </c>
      <c r="U887" s="3">
        <f>IF(tblOrdenes[[#This Row],[centro_costo]]="","",_xlfn.XLOOKUP(tblOrdenes[[#This Row],[centro_costo]],tblCECO[codigo],tblCECO[linea],"(sin catálogo)"))</f>
        <v/>
      </c>
      <c r="V887" s="3">
        <f>IF(tblOrdenes[[#This Row],[centro_costo]]="","",_xlfn.XLOOKUP(tblOrdenes[[#This Row],[centro_costo]],tblCECO[codigo],tblCECO[area],"(sin catálogo)"))</f>
        <v/>
      </c>
      <c r="W8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7" s="3">
        <f>IF(tblOrdenes[[#This Row],[centro_costo]]="","",_xlfn.XLOOKUP(tblOrdenes[[#This Row],[centro_costo]],tblCECO[codigo],tblCECO[coordinador],"(sin catálogo)"))</f>
        <v/>
      </c>
      <c r="Y887" s="3">
        <f>IF(tblOrdenes[[#This Row],[puesto_trabajo]]="","",_xlfn.XLOOKUP(tblOrdenes[[#This Row],[puesto_trabajo]],tblPuestos[codigo],tblPuestos[especialidad],"(sin catálogo)"))</f>
        <v/>
      </c>
      <c r="Z887" s="3">
        <f>IF(tblOrdenes[[#This Row],[cod_actividad]]="","",_xlfn.XLOOKUP(tblOrdenes[[#This Row],[cod_actividad]],tblActividades[codigo],tblActividades[descripcion],"(sin catálogo)"))</f>
        <v/>
      </c>
      <c r="AA887" s="13">
        <f>IF(tblOrdenes[[#This Row],[fecha_inicio]]="","",TODAY()-tblOrdenes[[#This Row],[fecha_inicio]])</f>
        <v/>
      </c>
      <c r="AB8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7" s="3">
        <f>IF(tblOrdenes[[#This Row],[backlog_habiles]]="","",IF(tblOrdenes[[#This Row],[backlog_habiles]]&lt;0,"FUTURO",IF(tblOrdenes[[#This Row],[backlog_habiles]]&gt;p_dias_backlog_max,"BACKLOG","MES CORRIENTE")))</f>
        <v/>
      </c>
      <c r="AD887" s="3">
        <f>IF(tblOrdenes[[#This Row],[backlog_habiles]]="",FALSE,AND(tblOrdenes[[#This Row],[backlog_habiles]]&gt;p_dias_backlog_min,tblOrdenes[[#This Row],[backlog_habiles]]&lt;=p_dias_backlog_max))</f>
        <v/>
      </c>
      <c r="AE887" s="6" t="n"/>
      <c r="AF8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7" s="11">
        <f>IF(tblOrdenes[[#This Row],[orden]]="","",_xlfn.XLOOKUP(tblOrdenes[[#This Row],[id_operacion]],tblEjecucion[id_operacion],tblEjecucion[precio],0))</f>
        <v/>
      </c>
      <c r="AJ887" s="11">
        <f>IF(tblOrdenes[[#This Row],[orden]]="","",MAX(0,_xlfn.XLOOKUP(tblOrdenes[[#This Row],[id_operacion]],tblEjecucion[id_operacion],tblEjecucion[costo_plan_total],0)-tblOrdenes[[#This Row],[costo_servicio]]))</f>
        <v/>
      </c>
      <c r="AK887" s="11">
        <f>IF(tblOrdenes[[#This Row],[orden]]="","",tblOrdenes[[#This Row],[costo_servicio]]+tblOrdenes[[#This Row],[costo_materiales]])</f>
        <v/>
      </c>
      <c r="AL887" s="6" t="n"/>
      <c r="AM887" s="6" t="n"/>
      <c r="AN887" s="6" t="n"/>
      <c r="AO887" s="3">
        <f>IF(tblOrdenes[[#This Row],[link_checklist]]="","",HYPERLINK(p_ruta_base_checklists&amp;tblOrdenes[[#This Row],[link_checklist]],"abrir"))</f>
        <v/>
      </c>
      <c r="AP887" s="6" t="n"/>
      <c r="AQ887" s="3">
        <f>IF(tblOrdenes[[#This Row],[orden]]="","",tblOrdenes[[#This Row],[orden]]&amp;IF(tblOrdenes[[#This Row],[operacion]]="","0010",tblOrdenes[[#This Row],[operacion]]))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2" t="n"/>
      <c r="K888" s="3" t="n"/>
      <c r="L888" s="11" t="n"/>
      <c r="M8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8" s="3">
        <f>IF(tblOrdenes[[#This Row],[fecha_inicio]]="","",YEAR(tblOrdenes[[#This Row],[fecha_inicio]]))</f>
        <v/>
      </c>
      <c r="Q888" s="3">
        <f>IF(tblOrdenes[[#This Row],[fecha_inicio]]="","",MONTH(tblOrdenes[[#This Row],[fecha_inicio]]))</f>
        <v/>
      </c>
      <c r="R888" s="3">
        <f>IF(tblOrdenes[[#This Row],[fecha_inicio]]="","",INDEX(lista_dias,WEEKDAY(tblOrdenes[[#This Row],[fecha_inicio]],2)))</f>
        <v/>
      </c>
      <c r="S8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8" s="3">
        <f>IF(tblOrdenes[[#This Row],[tipo_ot]]="","",_xlfn.XLOOKUP(tblOrdenes[[#This Row],[tipo_ot]],tblTiposOT[codigo],tblTiposOT[clasificacion],"sin_clasificar"))</f>
        <v/>
      </c>
      <c r="U888" s="3">
        <f>IF(tblOrdenes[[#This Row],[centro_costo]]="","",_xlfn.XLOOKUP(tblOrdenes[[#This Row],[centro_costo]],tblCECO[codigo],tblCECO[linea],"(sin catálogo)"))</f>
        <v/>
      </c>
      <c r="V888" s="3">
        <f>IF(tblOrdenes[[#This Row],[centro_costo]]="","",_xlfn.XLOOKUP(tblOrdenes[[#This Row],[centro_costo]],tblCECO[codigo],tblCECO[area],"(sin catálogo)"))</f>
        <v/>
      </c>
      <c r="W8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8" s="3">
        <f>IF(tblOrdenes[[#This Row],[centro_costo]]="","",_xlfn.XLOOKUP(tblOrdenes[[#This Row],[centro_costo]],tblCECO[codigo],tblCECO[coordinador],"(sin catálogo)"))</f>
        <v/>
      </c>
      <c r="Y888" s="3">
        <f>IF(tblOrdenes[[#This Row],[puesto_trabajo]]="","",_xlfn.XLOOKUP(tblOrdenes[[#This Row],[puesto_trabajo]],tblPuestos[codigo],tblPuestos[especialidad],"(sin catálogo)"))</f>
        <v/>
      </c>
      <c r="Z888" s="3">
        <f>IF(tblOrdenes[[#This Row],[cod_actividad]]="","",_xlfn.XLOOKUP(tblOrdenes[[#This Row],[cod_actividad]],tblActividades[codigo],tblActividades[descripcion],"(sin catálogo)"))</f>
        <v/>
      </c>
      <c r="AA888" s="13">
        <f>IF(tblOrdenes[[#This Row],[fecha_inicio]]="","",TODAY()-tblOrdenes[[#This Row],[fecha_inicio]])</f>
        <v/>
      </c>
      <c r="AB8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8" s="3">
        <f>IF(tblOrdenes[[#This Row],[backlog_habiles]]="","",IF(tblOrdenes[[#This Row],[backlog_habiles]]&lt;0,"FUTURO",IF(tblOrdenes[[#This Row],[backlog_habiles]]&gt;p_dias_backlog_max,"BACKLOG","MES CORRIENTE")))</f>
        <v/>
      </c>
      <c r="AD888" s="3">
        <f>IF(tblOrdenes[[#This Row],[backlog_habiles]]="",FALSE,AND(tblOrdenes[[#This Row],[backlog_habiles]]&gt;p_dias_backlog_min,tblOrdenes[[#This Row],[backlog_habiles]]&lt;=p_dias_backlog_max))</f>
        <v/>
      </c>
      <c r="AE888" s="6" t="n"/>
      <c r="AF8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8" s="11">
        <f>IF(tblOrdenes[[#This Row],[orden]]="","",_xlfn.XLOOKUP(tblOrdenes[[#This Row],[id_operacion]],tblEjecucion[id_operacion],tblEjecucion[precio],0))</f>
        <v/>
      </c>
      <c r="AJ888" s="11">
        <f>IF(tblOrdenes[[#This Row],[orden]]="","",MAX(0,_xlfn.XLOOKUP(tblOrdenes[[#This Row],[id_operacion]],tblEjecucion[id_operacion],tblEjecucion[costo_plan_total],0)-tblOrdenes[[#This Row],[costo_servicio]]))</f>
        <v/>
      </c>
      <c r="AK888" s="11">
        <f>IF(tblOrdenes[[#This Row],[orden]]="","",tblOrdenes[[#This Row],[costo_servicio]]+tblOrdenes[[#This Row],[costo_materiales]])</f>
        <v/>
      </c>
      <c r="AL888" s="6" t="n"/>
      <c r="AM888" s="6" t="n"/>
      <c r="AN888" s="6" t="n"/>
      <c r="AO888" s="3">
        <f>IF(tblOrdenes[[#This Row],[link_checklist]]="","",HYPERLINK(p_ruta_base_checklists&amp;tblOrdenes[[#This Row],[link_checklist]],"abrir"))</f>
        <v/>
      </c>
      <c r="AP888" s="6" t="n"/>
      <c r="AQ888" s="3">
        <f>IF(tblOrdenes[[#This Row],[orden]]="","",tblOrdenes[[#This Row],[orden]]&amp;IF(tblOrdenes[[#This Row],[operacion]]="","0010",tblOrdenes[[#This Row],[operacion]]))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2" t="n"/>
      <c r="K889" s="3" t="n"/>
      <c r="L889" s="11" t="n"/>
      <c r="M8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9" s="3">
        <f>IF(tblOrdenes[[#This Row],[fecha_inicio]]="","",YEAR(tblOrdenes[[#This Row],[fecha_inicio]]))</f>
        <v/>
      </c>
      <c r="Q889" s="3">
        <f>IF(tblOrdenes[[#This Row],[fecha_inicio]]="","",MONTH(tblOrdenes[[#This Row],[fecha_inicio]]))</f>
        <v/>
      </c>
      <c r="R889" s="3">
        <f>IF(tblOrdenes[[#This Row],[fecha_inicio]]="","",INDEX(lista_dias,WEEKDAY(tblOrdenes[[#This Row],[fecha_inicio]],2)))</f>
        <v/>
      </c>
      <c r="S8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9" s="3">
        <f>IF(tblOrdenes[[#This Row],[tipo_ot]]="","",_xlfn.XLOOKUP(tblOrdenes[[#This Row],[tipo_ot]],tblTiposOT[codigo],tblTiposOT[clasificacion],"sin_clasificar"))</f>
        <v/>
      </c>
      <c r="U889" s="3">
        <f>IF(tblOrdenes[[#This Row],[centro_costo]]="","",_xlfn.XLOOKUP(tblOrdenes[[#This Row],[centro_costo]],tblCECO[codigo],tblCECO[linea],"(sin catálogo)"))</f>
        <v/>
      </c>
      <c r="V889" s="3">
        <f>IF(tblOrdenes[[#This Row],[centro_costo]]="","",_xlfn.XLOOKUP(tblOrdenes[[#This Row],[centro_costo]],tblCECO[codigo],tblCECO[area],"(sin catálogo)"))</f>
        <v/>
      </c>
      <c r="W8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9" s="3">
        <f>IF(tblOrdenes[[#This Row],[centro_costo]]="","",_xlfn.XLOOKUP(tblOrdenes[[#This Row],[centro_costo]],tblCECO[codigo],tblCECO[coordinador],"(sin catálogo)"))</f>
        <v/>
      </c>
      <c r="Y889" s="3">
        <f>IF(tblOrdenes[[#This Row],[puesto_trabajo]]="","",_xlfn.XLOOKUP(tblOrdenes[[#This Row],[puesto_trabajo]],tblPuestos[codigo],tblPuestos[especialidad],"(sin catálogo)"))</f>
        <v/>
      </c>
      <c r="Z889" s="3">
        <f>IF(tblOrdenes[[#This Row],[cod_actividad]]="","",_xlfn.XLOOKUP(tblOrdenes[[#This Row],[cod_actividad]],tblActividades[codigo],tblActividades[descripcion],"(sin catálogo)"))</f>
        <v/>
      </c>
      <c r="AA889" s="13">
        <f>IF(tblOrdenes[[#This Row],[fecha_inicio]]="","",TODAY()-tblOrdenes[[#This Row],[fecha_inicio]])</f>
        <v/>
      </c>
      <c r="AB8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9" s="3">
        <f>IF(tblOrdenes[[#This Row],[backlog_habiles]]="","",IF(tblOrdenes[[#This Row],[backlog_habiles]]&lt;0,"FUTURO",IF(tblOrdenes[[#This Row],[backlog_habiles]]&gt;p_dias_backlog_max,"BACKLOG","MES CORRIENTE")))</f>
        <v/>
      </c>
      <c r="AD889" s="3">
        <f>IF(tblOrdenes[[#This Row],[backlog_habiles]]="",FALSE,AND(tblOrdenes[[#This Row],[backlog_habiles]]&gt;p_dias_backlog_min,tblOrdenes[[#This Row],[backlog_habiles]]&lt;=p_dias_backlog_max))</f>
        <v/>
      </c>
      <c r="AE889" s="6" t="n"/>
      <c r="AF8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9" s="11">
        <f>IF(tblOrdenes[[#This Row],[orden]]="","",_xlfn.XLOOKUP(tblOrdenes[[#This Row],[id_operacion]],tblEjecucion[id_operacion],tblEjecucion[precio],0))</f>
        <v/>
      </c>
      <c r="AJ889" s="11">
        <f>IF(tblOrdenes[[#This Row],[orden]]="","",MAX(0,_xlfn.XLOOKUP(tblOrdenes[[#This Row],[id_operacion]],tblEjecucion[id_operacion],tblEjecucion[costo_plan_total],0)-tblOrdenes[[#This Row],[costo_servicio]]))</f>
        <v/>
      </c>
      <c r="AK889" s="11">
        <f>IF(tblOrdenes[[#This Row],[orden]]="","",tblOrdenes[[#This Row],[costo_servicio]]+tblOrdenes[[#This Row],[costo_materiales]])</f>
        <v/>
      </c>
      <c r="AL889" s="6" t="n"/>
      <c r="AM889" s="6" t="n"/>
      <c r="AN889" s="6" t="n"/>
      <c r="AO889" s="3">
        <f>IF(tblOrdenes[[#This Row],[link_checklist]]="","",HYPERLINK(p_ruta_base_checklists&amp;tblOrdenes[[#This Row],[link_checklist]],"abrir"))</f>
        <v/>
      </c>
      <c r="AP889" s="6" t="n"/>
      <c r="AQ889" s="3">
        <f>IF(tblOrdenes[[#This Row],[orden]]="","",tblOrdenes[[#This Row],[orden]]&amp;IF(tblOrdenes[[#This Row],[operacion]]="","0010",tblOrdenes[[#This Row],[operacion]]))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2" t="n"/>
      <c r="K890" s="3" t="n"/>
      <c r="L890" s="11" t="n"/>
      <c r="M8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0" s="3">
        <f>IF(tblOrdenes[[#This Row],[fecha_inicio]]="","",YEAR(tblOrdenes[[#This Row],[fecha_inicio]]))</f>
        <v/>
      </c>
      <c r="Q890" s="3">
        <f>IF(tblOrdenes[[#This Row],[fecha_inicio]]="","",MONTH(tblOrdenes[[#This Row],[fecha_inicio]]))</f>
        <v/>
      </c>
      <c r="R890" s="3">
        <f>IF(tblOrdenes[[#This Row],[fecha_inicio]]="","",INDEX(lista_dias,WEEKDAY(tblOrdenes[[#This Row],[fecha_inicio]],2)))</f>
        <v/>
      </c>
      <c r="S8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0" s="3">
        <f>IF(tblOrdenes[[#This Row],[tipo_ot]]="","",_xlfn.XLOOKUP(tblOrdenes[[#This Row],[tipo_ot]],tblTiposOT[codigo],tblTiposOT[clasificacion],"sin_clasificar"))</f>
        <v/>
      </c>
      <c r="U890" s="3">
        <f>IF(tblOrdenes[[#This Row],[centro_costo]]="","",_xlfn.XLOOKUP(tblOrdenes[[#This Row],[centro_costo]],tblCECO[codigo],tblCECO[linea],"(sin catálogo)"))</f>
        <v/>
      </c>
      <c r="V890" s="3">
        <f>IF(tblOrdenes[[#This Row],[centro_costo]]="","",_xlfn.XLOOKUP(tblOrdenes[[#This Row],[centro_costo]],tblCECO[codigo],tblCECO[area],"(sin catálogo)"))</f>
        <v/>
      </c>
      <c r="W8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0" s="3">
        <f>IF(tblOrdenes[[#This Row],[centro_costo]]="","",_xlfn.XLOOKUP(tblOrdenes[[#This Row],[centro_costo]],tblCECO[codigo],tblCECO[coordinador],"(sin catálogo)"))</f>
        <v/>
      </c>
      <c r="Y890" s="3">
        <f>IF(tblOrdenes[[#This Row],[puesto_trabajo]]="","",_xlfn.XLOOKUP(tblOrdenes[[#This Row],[puesto_trabajo]],tblPuestos[codigo],tblPuestos[especialidad],"(sin catálogo)"))</f>
        <v/>
      </c>
      <c r="Z890" s="3">
        <f>IF(tblOrdenes[[#This Row],[cod_actividad]]="","",_xlfn.XLOOKUP(tblOrdenes[[#This Row],[cod_actividad]],tblActividades[codigo],tblActividades[descripcion],"(sin catálogo)"))</f>
        <v/>
      </c>
      <c r="AA890" s="13">
        <f>IF(tblOrdenes[[#This Row],[fecha_inicio]]="","",TODAY()-tblOrdenes[[#This Row],[fecha_inicio]])</f>
        <v/>
      </c>
      <c r="AB8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0" s="3">
        <f>IF(tblOrdenes[[#This Row],[backlog_habiles]]="","",IF(tblOrdenes[[#This Row],[backlog_habiles]]&lt;0,"FUTURO",IF(tblOrdenes[[#This Row],[backlog_habiles]]&gt;p_dias_backlog_max,"BACKLOG","MES CORRIENTE")))</f>
        <v/>
      </c>
      <c r="AD890" s="3">
        <f>IF(tblOrdenes[[#This Row],[backlog_habiles]]="",FALSE,AND(tblOrdenes[[#This Row],[backlog_habiles]]&gt;p_dias_backlog_min,tblOrdenes[[#This Row],[backlog_habiles]]&lt;=p_dias_backlog_max))</f>
        <v/>
      </c>
      <c r="AE890" s="6" t="n"/>
      <c r="AF8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0" s="11">
        <f>IF(tblOrdenes[[#This Row],[orden]]="","",_xlfn.XLOOKUP(tblOrdenes[[#This Row],[id_operacion]],tblEjecucion[id_operacion],tblEjecucion[precio],0))</f>
        <v/>
      </c>
      <c r="AJ890" s="11">
        <f>IF(tblOrdenes[[#This Row],[orden]]="","",MAX(0,_xlfn.XLOOKUP(tblOrdenes[[#This Row],[id_operacion]],tblEjecucion[id_operacion],tblEjecucion[costo_plan_total],0)-tblOrdenes[[#This Row],[costo_servicio]]))</f>
        <v/>
      </c>
      <c r="AK890" s="11">
        <f>IF(tblOrdenes[[#This Row],[orden]]="","",tblOrdenes[[#This Row],[costo_servicio]]+tblOrdenes[[#This Row],[costo_materiales]])</f>
        <v/>
      </c>
      <c r="AL890" s="6" t="n"/>
      <c r="AM890" s="6" t="n"/>
      <c r="AN890" s="6" t="n"/>
      <c r="AO890" s="3">
        <f>IF(tblOrdenes[[#This Row],[link_checklist]]="","",HYPERLINK(p_ruta_base_checklists&amp;tblOrdenes[[#This Row],[link_checklist]],"abrir"))</f>
        <v/>
      </c>
      <c r="AP890" s="6" t="n"/>
      <c r="AQ890" s="3">
        <f>IF(tblOrdenes[[#This Row],[orden]]="","",tblOrdenes[[#This Row],[orden]]&amp;IF(tblOrdenes[[#This Row],[operacion]]="","0010",tblOrdenes[[#This Row],[operacion]]))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2" t="n"/>
      <c r="K891" s="3" t="n"/>
      <c r="L891" s="11" t="n"/>
      <c r="M8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1" s="3">
        <f>IF(tblOrdenes[[#This Row],[fecha_inicio]]="","",YEAR(tblOrdenes[[#This Row],[fecha_inicio]]))</f>
        <v/>
      </c>
      <c r="Q891" s="3">
        <f>IF(tblOrdenes[[#This Row],[fecha_inicio]]="","",MONTH(tblOrdenes[[#This Row],[fecha_inicio]]))</f>
        <v/>
      </c>
      <c r="R891" s="3">
        <f>IF(tblOrdenes[[#This Row],[fecha_inicio]]="","",INDEX(lista_dias,WEEKDAY(tblOrdenes[[#This Row],[fecha_inicio]],2)))</f>
        <v/>
      </c>
      <c r="S8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1" s="3">
        <f>IF(tblOrdenes[[#This Row],[tipo_ot]]="","",_xlfn.XLOOKUP(tblOrdenes[[#This Row],[tipo_ot]],tblTiposOT[codigo],tblTiposOT[clasificacion],"sin_clasificar"))</f>
        <v/>
      </c>
      <c r="U891" s="3">
        <f>IF(tblOrdenes[[#This Row],[centro_costo]]="","",_xlfn.XLOOKUP(tblOrdenes[[#This Row],[centro_costo]],tblCECO[codigo],tblCECO[linea],"(sin catálogo)"))</f>
        <v/>
      </c>
      <c r="V891" s="3">
        <f>IF(tblOrdenes[[#This Row],[centro_costo]]="","",_xlfn.XLOOKUP(tblOrdenes[[#This Row],[centro_costo]],tblCECO[codigo],tblCECO[area],"(sin catálogo)"))</f>
        <v/>
      </c>
      <c r="W8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1" s="3">
        <f>IF(tblOrdenes[[#This Row],[centro_costo]]="","",_xlfn.XLOOKUP(tblOrdenes[[#This Row],[centro_costo]],tblCECO[codigo],tblCECO[coordinador],"(sin catálogo)"))</f>
        <v/>
      </c>
      <c r="Y891" s="3">
        <f>IF(tblOrdenes[[#This Row],[puesto_trabajo]]="","",_xlfn.XLOOKUP(tblOrdenes[[#This Row],[puesto_trabajo]],tblPuestos[codigo],tblPuestos[especialidad],"(sin catálogo)"))</f>
        <v/>
      </c>
      <c r="Z891" s="3">
        <f>IF(tblOrdenes[[#This Row],[cod_actividad]]="","",_xlfn.XLOOKUP(tblOrdenes[[#This Row],[cod_actividad]],tblActividades[codigo],tblActividades[descripcion],"(sin catálogo)"))</f>
        <v/>
      </c>
      <c r="AA891" s="13">
        <f>IF(tblOrdenes[[#This Row],[fecha_inicio]]="","",TODAY()-tblOrdenes[[#This Row],[fecha_inicio]])</f>
        <v/>
      </c>
      <c r="AB8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1" s="3">
        <f>IF(tblOrdenes[[#This Row],[backlog_habiles]]="","",IF(tblOrdenes[[#This Row],[backlog_habiles]]&lt;0,"FUTURO",IF(tblOrdenes[[#This Row],[backlog_habiles]]&gt;p_dias_backlog_max,"BACKLOG","MES CORRIENTE")))</f>
        <v/>
      </c>
      <c r="AD891" s="3">
        <f>IF(tblOrdenes[[#This Row],[backlog_habiles]]="",FALSE,AND(tblOrdenes[[#This Row],[backlog_habiles]]&gt;p_dias_backlog_min,tblOrdenes[[#This Row],[backlog_habiles]]&lt;=p_dias_backlog_max))</f>
        <v/>
      </c>
      <c r="AE891" s="6" t="n"/>
      <c r="AF8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1" s="11">
        <f>IF(tblOrdenes[[#This Row],[orden]]="","",_xlfn.XLOOKUP(tblOrdenes[[#This Row],[id_operacion]],tblEjecucion[id_operacion],tblEjecucion[precio],0))</f>
        <v/>
      </c>
      <c r="AJ891" s="11">
        <f>IF(tblOrdenes[[#This Row],[orden]]="","",MAX(0,_xlfn.XLOOKUP(tblOrdenes[[#This Row],[id_operacion]],tblEjecucion[id_operacion],tblEjecucion[costo_plan_total],0)-tblOrdenes[[#This Row],[costo_servicio]]))</f>
        <v/>
      </c>
      <c r="AK891" s="11">
        <f>IF(tblOrdenes[[#This Row],[orden]]="","",tblOrdenes[[#This Row],[costo_servicio]]+tblOrdenes[[#This Row],[costo_materiales]])</f>
        <v/>
      </c>
      <c r="AL891" s="6" t="n"/>
      <c r="AM891" s="6" t="n"/>
      <c r="AN891" s="6" t="n"/>
      <c r="AO891" s="3">
        <f>IF(tblOrdenes[[#This Row],[link_checklist]]="","",HYPERLINK(p_ruta_base_checklists&amp;tblOrdenes[[#This Row],[link_checklist]],"abrir"))</f>
        <v/>
      </c>
      <c r="AP891" s="6" t="n"/>
      <c r="AQ891" s="3">
        <f>IF(tblOrdenes[[#This Row],[orden]]="","",tblOrdenes[[#This Row],[orden]]&amp;IF(tblOrdenes[[#This Row],[operacion]]="","0010",tblOrdenes[[#This Row],[operacion]]))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2" t="n"/>
      <c r="K892" s="3" t="n"/>
      <c r="L892" s="11" t="n"/>
      <c r="M8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2" s="3">
        <f>IF(tblOrdenes[[#This Row],[fecha_inicio]]="","",YEAR(tblOrdenes[[#This Row],[fecha_inicio]]))</f>
        <v/>
      </c>
      <c r="Q892" s="3">
        <f>IF(tblOrdenes[[#This Row],[fecha_inicio]]="","",MONTH(tblOrdenes[[#This Row],[fecha_inicio]]))</f>
        <v/>
      </c>
      <c r="R892" s="3">
        <f>IF(tblOrdenes[[#This Row],[fecha_inicio]]="","",INDEX(lista_dias,WEEKDAY(tblOrdenes[[#This Row],[fecha_inicio]],2)))</f>
        <v/>
      </c>
      <c r="S8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2" s="3">
        <f>IF(tblOrdenes[[#This Row],[tipo_ot]]="","",_xlfn.XLOOKUP(tblOrdenes[[#This Row],[tipo_ot]],tblTiposOT[codigo],tblTiposOT[clasificacion],"sin_clasificar"))</f>
        <v/>
      </c>
      <c r="U892" s="3">
        <f>IF(tblOrdenes[[#This Row],[centro_costo]]="","",_xlfn.XLOOKUP(tblOrdenes[[#This Row],[centro_costo]],tblCECO[codigo],tblCECO[linea],"(sin catálogo)"))</f>
        <v/>
      </c>
      <c r="V892" s="3">
        <f>IF(tblOrdenes[[#This Row],[centro_costo]]="","",_xlfn.XLOOKUP(tblOrdenes[[#This Row],[centro_costo]],tblCECO[codigo],tblCECO[area],"(sin catálogo)"))</f>
        <v/>
      </c>
      <c r="W8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2" s="3">
        <f>IF(tblOrdenes[[#This Row],[centro_costo]]="","",_xlfn.XLOOKUP(tblOrdenes[[#This Row],[centro_costo]],tblCECO[codigo],tblCECO[coordinador],"(sin catálogo)"))</f>
        <v/>
      </c>
      <c r="Y892" s="3">
        <f>IF(tblOrdenes[[#This Row],[puesto_trabajo]]="","",_xlfn.XLOOKUP(tblOrdenes[[#This Row],[puesto_trabajo]],tblPuestos[codigo],tblPuestos[especialidad],"(sin catálogo)"))</f>
        <v/>
      </c>
      <c r="Z892" s="3">
        <f>IF(tblOrdenes[[#This Row],[cod_actividad]]="","",_xlfn.XLOOKUP(tblOrdenes[[#This Row],[cod_actividad]],tblActividades[codigo],tblActividades[descripcion],"(sin catálogo)"))</f>
        <v/>
      </c>
      <c r="AA892" s="13">
        <f>IF(tblOrdenes[[#This Row],[fecha_inicio]]="","",TODAY()-tblOrdenes[[#This Row],[fecha_inicio]])</f>
        <v/>
      </c>
      <c r="AB8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2" s="3">
        <f>IF(tblOrdenes[[#This Row],[backlog_habiles]]="","",IF(tblOrdenes[[#This Row],[backlog_habiles]]&lt;0,"FUTURO",IF(tblOrdenes[[#This Row],[backlog_habiles]]&gt;p_dias_backlog_max,"BACKLOG","MES CORRIENTE")))</f>
        <v/>
      </c>
      <c r="AD892" s="3">
        <f>IF(tblOrdenes[[#This Row],[backlog_habiles]]="",FALSE,AND(tblOrdenes[[#This Row],[backlog_habiles]]&gt;p_dias_backlog_min,tblOrdenes[[#This Row],[backlog_habiles]]&lt;=p_dias_backlog_max))</f>
        <v/>
      </c>
      <c r="AE892" s="6" t="n"/>
      <c r="AF8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2" s="11">
        <f>IF(tblOrdenes[[#This Row],[orden]]="","",_xlfn.XLOOKUP(tblOrdenes[[#This Row],[id_operacion]],tblEjecucion[id_operacion],tblEjecucion[precio],0))</f>
        <v/>
      </c>
      <c r="AJ892" s="11">
        <f>IF(tblOrdenes[[#This Row],[orden]]="","",MAX(0,_xlfn.XLOOKUP(tblOrdenes[[#This Row],[id_operacion]],tblEjecucion[id_operacion],tblEjecucion[costo_plan_total],0)-tblOrdenes[[#This Row],[costo_servicio]]))</f>
        <v/>
      </c>
      <c r="AK892" s="11">
        <f>IF(tblOrdenes[[#This Row],[orden]]="","",tblOrdenes[[#This Row],[costo_servicio]]+tblOrdenes[[#This Row],[costo_materiales]])</f>
        <v/>
      </c>
      <c r="AL892" s="6" t="n"/>
      <c r="AM892" s="6" t="n"/>
      <c r="AN892" s="6" t="n"/>
      <c r="AO892" s="3">
        <f>IF(tblOrdenes[[#This Row],[link_checklist]]="","",HYPERLINK(p_ruta_base_checklists&amp;tblOrdenes[[#This Row],[link_checklist]],"abrir"))</f>
        <v/>
      </c>
      <c r="AP892" s="6" t="n"/>
      <c r="AQ892" s="3">
        <f>IF(tblOrdenes[[#This Row],[orden]]="","",tblOrdenes[[#This Row],[orden]]&amp;IF(tblOrdenes[[#This Row],[operacion]]="","0010",tblOrdenes[[#This Row],[operacion]]))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2" t="n"/>
      <c r="K893" s="3" t="n"/>
      <c r="L893" s="11" t="n"/>
      <c r="M8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3" s="3">
        <f>IF(tblOrdenes[[#This Row],[fecha_inicio]]="","",YEAR(tblOrdenes[[#This Row],[fecha_inicio]]))</f>
        <v/>
      </c>
      <c r="Q893" s="3">
        <f>IF(tblOrdenes[[#This Row],[fecha_inicio]]="","",MONTH(tblOrdenes[[#This Row],[fecha_inicio]]))</f>
        <v/>
      </c>
      <c r="R893" s="3">
        <f>IF(tblOrdenes[[#This Row],[fecha_inicio]]="","",INDEX(lista_dias,WEEKDAY(tblOrdenes[[#This Row],[fecha_inicio]],2)))</f>
        <v/>
      </c>
      <c r="S8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3" s="3">
        <f>IF(tblOrdenes[[#This Row],[tipo_ot]]="","",_xlfn.XLOOKUP(tblOrdenes[[#This Row],[tipo_ot]],tblTiposOT[codigo],tblTiposOT[clasificacion],"sin_clasificar"))</f>
        <v/>
      </c>
      <c r="U893" s="3">
        <f>IF(tblOrdenes[[#This Row],[centro_costo]]="","",_xlfn.XLOOKUP(tblOrdenes[[#This Row],[centro_costo]],tblCECO[codigo],tblCECO[linea],"(sin catálogo)"))</f>
        <v/>
      </c>
      <c r="V893" s="3">
        <f>IF(tblOrdenes[[#This Row],[centro_costo]]="","",_xlfn.XLOOKUP(tblOrdenes[[#This Row],[centro_costo]],tblCECO[codigo],tblCECO[area],"(sin catálogo)"))</f>
        <v/>
      </c>
      <c r="W8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3" s="3">
        <f>IF(tblOrdenes[[#This Row],[centro_costo]]="","",_xlfn.XLOOKUP(tblOrdenes[[#This Row],[centro_costo]],tblCECO[codigo],tblCECO[coordinador],"(sin catálogo)"))</f>
        <v/>
      </c>
      <c r="Y893" s="3">
        <f>IF(tblOrdenes[[#This Row],[puesto_trabajo]]="","",_xlfn.XLOOKUP(tblOrdenes[[#This Row],[puesto_trabajo]],tblPuestos[codigo],tblPuestos[especialidad],"(sin catálogo)"))</f>
        <v/>
      </c>
      <c r="Z893" s="3">
        <f>IF(tblOrdenes[[#This Row],[cod_actividad]]="","",_xlfn.XLOOKUP(tblOrdenes[[#This Row],[cod_actividad]],tblActividades[codigo],tblActividades[descripcion],"(sin catálogo)"))</f>
        <v/>
      </c>
      <c r="AA893" s="13">
        <f>IF(tblOrdenes[[#This Row],[fecha_inicio]]="","",TODAY()-tblOrdenes[[#This Row],[fecha_inicio]])</f>
        <v/>
      </c>
      <c r="AB8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3" s="3">
        <f>IF(tblOrdenes[[#This Row],[backlog_habiles]]="","",IF(tblOrdenes[[#This Row],[backlog_habiles]]&lt;0,"FUTURO",IF(tblOrdenes[[#This Row],[backlog_habiles]]&gt;p_dias_backlog_max,"BACKLOG","MES CORRIENTE")))</f>
        <v/>
      </c>
      <c r="AD893" s="3">
        <f>IF(tblOrdenes[[#This Row],[backlog_habiles]]="",FALSE,AND(tblOrdenes[[#This Row],[backlog_habiles]]&gt;p_dias_backlog_min,tblOrdenes[[#This Row],[backlog_habiles]]&lt;=p_dias_backlog_max))</f>
        <v/>
      </c>
      <c r="AE893" s="6" t="n"/>
      <c r="AF8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3" s="11">
        <f>IF(tblOrdenes[[#This Row],[orden]]="","",_xlfn.XLOOKUP(tblOrdenes[[#This Row],[id_operacion]],tblEjecucion[id_operacion],tblEjecucion[precio],0))</f>
        <v/>
      </c>
      <c r="AJ893" s="11">
        <f>IF(tblOrdenes[[#This Row],[orden]]="","",MAX(0,_xlfn.XLOOKUP(tblOrdenes[[#This Row],[id_operacion]],tblEjecucion[id_operacion],tblEjecucion[costo_plan_total],0)-tblOrdenes[[#This Row],[costo_servicio]]))</f>
        <v/>
      </c>
      <c r="AK893" s="11">
        <f>IF(tblOrdenes[[#This Row],[orden]]="","",tblOrdenes[[#This Row],[costo_servicio]]+tblOrdenes[[#This Row],[costo_materiales]])</f>
        <v/>
      </c>
      <c r="AL893" s="6" t="n"/>
      <c r="AM893" s="6" t="n"/>
      <c r="AN893" s="6" t="n"/>
      <c r="AO893" s="3">
        <f>IF(tblOrdenes[[#This Row],[link_checklist]]="","",HYPERLINK(p_ruta_base_checklists&amp;tblOrdenes[[#This Row],[link_checklist]],"abrir"))</f>
        <v/>
      </c>
      <c r="AP893" s="6" t="n"/>
      <c r="AQ893" s="3">
        <f>IF(tblOrdenes[[#This Row],[orden]]="","",tblOrdenes[[#This Row],[orden]]&amp;IF(tblOrdenes[[#This Row],[operacion]]="","0010",tblOrdenes[[#This Row],[operacion]]))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2" t="n"/>
      <c r="K894" s="3" t="n"/>
      <c r="L894" s="11" t="n"/>
      <c r="M8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4" s="3">
        <f>IF(tblOrdenes[[#This Row],[fecha_inicio]]="","",YEAR(tblOrdenes[[#This Row],[fecha_inicio]]))</f>
        <v/>
      </c>
      <c r="Q894" s="3">
        <f>IF(tblOrdenes[[#This Row],[fecha_inicio]]="","",MONTH(tblOrdenes[[#This Row],[fecha_inicio]]))</f>
        <v/>
      </c>
      <c r="R894" s="3">
        <f>IF(tblOrdenes[[#This Row],[fecha_inicio]]="","",INDEX(lista_dias,WEEKDAY(tblOrdenes[[#This Row],[fecha_inicio]],2)))</f>
        <v/>
      </c>
      <c r="S8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4" s="3">
        <f>IF(tblOrdenes[[#This Row],[tipo_ot]]="","",_xlfn.XLOOKUP(tblOrdenes[[#This Row],[tipo_ot]],tblTiposOT[codigo],tblTiposOT[clasificacion],"sin_clasificar"))</f>
        <v/>
      </c>
      <c r="U894" s="3">
        <f>IF(tblOrdenes[[#This Row],[centro_costo]]="","",_xlfn.XLOOKUP(tblOrdenes[[#This Row],[centro_costo]],tblCECO[codigo],tblCECO[linea],"(sin catálogo)"))</f>
        <v/>
      </c>
      <c r="V894" s="3">
        <f>IF(tblOrdenes[[#This Row],[centro_costo]]="","",_xlfn.XLOOKUP(tblOrdenes[[#This Row],[centro_costo]],tblCECO[codigo],tblCECO[area],"(sin catálogo)"))</f>
        <v/>
      </c>
      <c r="W8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4" s="3">
        <f>IF(tblOrdenes[[#This Row],[centro_costo]]="","",_xlfn.XLOOKUP(tblOrdenes[[#This Row],[centro_costo]],tblCECO[codigo],tblCECO[coordinador],"(sin catálogo)"))</f>
        <v/>
      </c>
      <c r="Y894" s="3">
        <f>IF(tblOrdenes[[#This Row],[puesto_trabajo]]="","",_xlfn.XLOOKUP(tblOrdenes[[#This Row],[puesto_trabajo]],tblPuestos[codigo],tblPuestos[especialidad],"(sin catálogo)"))</f>
        <v/>
      </c>
      <c r="Z894" s="3">
        <f>IF(tblOrdenes[[#This Row],[cod_actividad]]="","",_xlfn.XLOOKUP(tblOrdenes[[#This Row],[cod_actividad]],tblActividades[codigo],tblActividades[descripcion],"(sin catálogo)"))</f>
        <v/>
      </c>
      <c r="AA894" s="13">
        <f>IF(tblOrdenes[[#This Row],[fecha_inicio]]="","",TODAY()-tblOrdenes[[#This Row],[fecha_inicio]])</f>
        <v/>
      </c>
      <c r="AB8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4" s="3">
        <f>IF(tblOrdenes[[#This Row],[backlog_habiles]]="","",IF(tblOrdenes[[#This Row],[backlog_habiles]]&lt;0,"FUTURO",IF(tblOrdenes[[#This Row],[backlog_habiles]]&gt;p_dias_backlog_max,"BACKLOG","MES CORRIENTE")))</f>
        <v/>
      </c>
      <c r="AD894" s="3">
        <f>IF(tblOrdenes[[#This Row],[backlog_habiles]]="",FALSE,AND(tblOrdenes[[#This Row],[backlog_habiles]]&gt;p_dias_backlog_min,tblOrdenes[[#This Row],[backlog_habiles]]&lt;=p_dias_backlog_max))</f>
        <v/>
      </c>
      <c r="AE894" s="6" t="n"/>
      <c r="AF8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4" s="11">
        <f>IF(tblOrdenes[[#This Row],[orden]]="","",_xlfn.XLOOKUP(tblOrdenes[[#This Row],[id_operacion]],tblEjecucion[id_operacion],tblEjecucion[precio],0))</f>
        <v/>
      </c>
      <c r="AJ894" s="11">
        <f>IF(tblOrdenes[[#This Row],[orden]]="","",MAX(0,_xlfn.XLOOKUP(tblOrdenes[[#This Row],[id_operacion]],tblEjecucion[id_operacion],tblEjecucion[costo_plan_total],0)-tblOrdenes[[#This Row],[costo_servicio]]))</f>
        <v/>
      </c>
      <c r="AK894" s="11">
        <f>IF(tblOrdenes[[#This Row],[orden]]="","",tblOrdenes[[#This Row],[costo_servicio]]+tblOrdenes[[#This Row],[costo_materiales]])</f>
        <v/>
      </c>
      <c r="AL894" s="6" t="n"/>
      <c r="AM894" s="6" t="n"/>
      <c r="AN894" s="6" t="n"/>
      <c r="AO894" s="3">
        <f>IF(tblOrdenes[[#This Row],[link_checklist]]="","",HYPERLINK(p_ruta_base_checklists&amp;tblOrdenes[[#This Row],[link_checklist]],"abrir"))</f>
        <v/>
      </c>
      <c r="AP894" s="6" t="n"/>
      <c r="AQ894" s="3">
        <f>IF(tblOrdenes[[#This Row],[orden]]="","",tblOrdenes[[#This Row],[orden]]&amp;IF(tblOrdenes[[#This Row],[operacion]]="","0010",tblOrdenes[[#This Row],[operacion]]))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2" t="n"/>
      <c r="K895" s="3" t="n"/>
      <c r="L895" s="11" t="n"/>
      <c r="M8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5" s="3">
        <f>IF(tblOrdenes[[#This Row],[fecha_inicio]]="","",YEAR(tblOrdenes[[#This Row],[fecha_inicio]]))</f>
        <v/>
      </c>
      <c r="Q895" s="3">
        <f>IF(tblOrdenes[[#This Row],[fecha_inicio]]="","",MONTH(tblOrdenes[[#This Row],[fecha_inicio]]))</f>
        <v/>
      </c>
      <c r="R895" s="3">
        <f>IF(tblOrdenes[[#This Row],[fecha_inicio]]="","",INDEX(lista_dias,WEEKDAY(tblOrdenes[[#This Row],[fecha_inicio]],2)))</f>
        <v/>
      </c>
      <c r="S8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5" s="3">
        <f>IF(tblOrdenes[[#This Row],[tipo_ot]]="","",_xlfn.XLOOKUP(tblOrdenes[[#This Row],[tipo_ot]],tblTiposOT[codigo],tblTiposOT[clasificacion],"sin_clasificar"))</f>
        <v/>
      </c>
      <c r="U895" s="3">
        <f>IF(tblOrdenes[[#This Row],[centro_costo]]="","",_xlfn.XLOOKUP(tblOrdenes[[#This Row],[centro_costo]],tblCECO[codigo],tblCECO[linea],"(sin catálogo)"))</f>
        <v/>
      </c>
      <c r="V895" s="3">
        <f>IF(tblOrdenes[[#This Row],[centro_costo]]="","",_xlfn.XLOOKUP(tblOrdenes[[#This Row],[centro_costo]],tblCECO[codigo],tblCECO[area],"(sin catálogo)"))</f>
        <v/>
      </c>
      <c r="W8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5" s="3">
        <f>IF(tblOrdenes[[#This Row],[centro_costo]]="","",_xlfn.XLOOKUP(tblOrdenes[[#This Row],[centro_costo]],tblCECO[codigo],tblCECO[coordinador],"(sin catálogo)"))</f>
        <v/>
      </c>
      <c r="Y895" s="3">
        <f>IF(tblOrdenes[[#This Row],[puesto_trabajo]]="","",_xlfn.XLOOKUP(tblOrdenes[[#This Row],[puesto_trabajo]],tblPuestos[codigo],tblPuestos[especialidad],"(sin catálogo)"))</f>
        <v/>
      </c>
      <c r="Z895" s="3">
        <f>IF(tblOrdenes[[#This Row],[cod_actividad]]="","",_xlfn.XLOOKUP(tblOrdenes[[#This Row],[cod_actividad]],tblActividades[codigo],tblActividades[descripcion],"(sin catálogo)"))</f>
        <v/>
      </c>
      <c r="AA895" s="13">
        <f>IF(tblOrdenes[[#This Row],[fecha_inicio]]="","",TODAY()-tblOrdenes[[#This Row],[fecha_inicio]])</f>
        <v/>
      </c>
      <c r="AB8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5" s="3">
        <f>IF(tblOrdenes[[#This Row],[backlog_habiles]]="","",IF(tblOrdenes[[#This Row],[backlog_habiles]]&lt;0,"FUTURO",IF(tblOrdenes[[#This Row],[backlog_habiles]]&gt;p_dias_backlog_max,"BACKLOG","MES CORRIENTE")))</f>
        <v/>
      </c>
      <c r="AD895" s="3">
        <f>IF(tblOrdenes[[#This Row],[backlog_habiles]]="",FALSE,AND(tblOrdenes[[#This Row],[backlog_habiles]]&gt;p_dias_backlog_min,tblOrdenes[[#This Row],[backlog_habiles]]&lt;=p_dias_backlog_max))</f>
        <v/>
      </c>
      <c r="AE895" s="6" t="n"/>
      <c r="AF8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5" s="11">
        <f>IF(tblOrdenes[[#This Row],[orden]]="","",_xlfn.XLOOKUP(tblOrdenes[[#This Row],[id_operacion]],tblEjecucion[id_operacion],tblEjecucion[precio],0))</f>
        <v/>
      </c>
      <c r="AJ895" s="11">
        <f>IF(tblOrdenes[[#This Row],[orden]]="","",MAX(0,_xlfn.XLOOKUP(tblOrdenes[[#This Row],[id_operacion]],tblEjecucion[id_operacion],tblEjecucion[costo_plan_total],0)-tblOrdenes[[#This Row],[costo_servicio]]))</f>
        <v/>
      </c>
      <c r="AK895" s="11">
        <f>IF(tblOrdenes[[#This Row],[orden]]="","",tblOrdenes[[#This Row],[costo_servicio]]+tblOrdenes[[#This Row],[costo_materiales]])</f>
        <v/>
      </c>
      <c r="AL895" s="6" t="n"/>
      <c r="AM895" s="6" t="n"/>
      <c r="AN895" s="6" t="n"/>
      <c r="AO895" s="3">
        <f>IF(tblOrdenes[[#This Row],[link_checklist]]="","",HYPERLINK(p_ruta_base_checklists&amp;tblOrdenes[[#This Row],[link_checklist]],"abrir"))</f>
        <v/>
      </c>
      <c r="AP895" s="6" t="n"/>
      <c r="AQ895" s="3">
        <f>IF(tblOrdenes[[#This Row],[orden]]="","",tblOrdenes[[#This Row],[orden]]&amp;IF(tblOrdenes[[#This Row],[operacion]]="","0010",tblOrdenes[[#This Row],[operacion]]))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2" t="n"/>
      <c r="K896" s="3" t="n"/>
      <c r="L896" s="11" t="n"/>
      <c r="M8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6" s="3">
        <f>IF(tblOrdenes[[#This Row],[fecha_inicio]]="","",YEAR(tblOrdenes[[#This Row],[fecha_inicio]]))</f>
        <v/>
      </c>
      <c r="Q896" s="3">
        <f>IF(tblOrdenes[[#This Row],[fecha_inicio]]="","",MONTH(tblOrdenes[[#This Row],[fecha_inicio]]))</f>
        <v/>
      </c>
      <c r="R896" s="3">
        <f>IF(tblOrdenes[[#This Row],[fecha_inicio]]="","",INDEX(lista_dias,WEEKDAY(tblOrdenes[[#This Row],[fecha_inicio]],2)))</f>
        <v/>
      </c>
      <c r="S8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6" s="3">
        <f>IF(tblOrdenes[[#This Row],[tipo_ot]]="","",_xlfn.XLOOKUP(tblOrdenes[[#This Row],[tipo_ot]],tblTiposOT[codigo],tblTiposOT[clasificacion],"sin_clasificar"))</f>
        <v/>
      </c>
      <c r="U896" s="3">
        <f>IF(tblOrdenes[[#This Row],[centro_costo]]="","",_xlfn.XLOOKUP(tblOrdenes[[#This Row],[centro_costo]],tblCECO[codigo],tblCECO[linea],"(sin catálogo)"))</f>
        <v/>
      </c>
      <c r="V896" s="3">
        <f>IF(tblOrdenes[[#This Row],[centro_costo]]="","",_xlfn.XLOOKUP(tblOrdenes[[#This Row],[centro_costo]],tblCECO[codigo],tblCECO[area],"(sin catálogo)"))</f>
        <v/>
      </c>
      <c r="W8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6" s="3">
        <f>IF(tblOrdenes[[#This Row],[centro_costo]]="","",_xlfn.XLOOKUP(tblOrdenes[[#This Row],[centro_costo]],tblCECO[codigo],tblCECO[coordinador],"(sin catálogo)"))</f>
        <v/>
      </c>
      <c r="Y896" s="3">
        <f>IF(tblOrdenes[[#This Row],[puesto_trabajo]]="","",_xlfn.XLOOKUP(tblOrdenes[[#This Row],[puesto_trabajo]],tblPuestos[codigo],tblPuestos[especialidad],"(sin catálogo)"))</f>
        <v/>
      </c>
      <c r="Z896" s="3">
        <f>IF(tblOrdenes[[#This Row],[cod_actividad]]="","",_xlfn.XLOOKUP(tblOrdenes[[#This Row],[cod_actividad]],tblActividades[codigo],tblActividades[descripcion],"(sin catálogo)"))</f>
        <v/>
      </c>
      <c r="AA896" s="13">
        <f>IF(tblOrdenes[[#This Row],[fecha_inicio]]="","",TODAY()-tblOrdenes[[#This Row],[fecha_inicio]])</f>
        <v/>
      </c>
      <c r="AB8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6" s="3">
        <f>IF(tblOrdenes[[#This Row],[backlog_habiles]]="","",IF(tblOrdenes[[#This Row],[backlog_habiles]]&lt;0,"FUTURO",IF(tblOrdenes[[#This Row],[backlog_habiles]]&gt;p_dias_backlog_max,"BACKLOG","MES CORRIENTE")))</f>
        <v/>
      </c>
      <c r="AD896" s="3">
        <f>IF(tblOrdenes[[#This Row],[backlog_habiles]]="",FALSE,AND(tblOrdenes[[#This Row],[backlog_habiles]]&gt;p_dias_backlog_min,tblOrdenes[[#This Row],[backlog_habiles]]&lt;=p_dias_backlog_max))</f>
        <v/>
      </c>
      <c r="AE896" s="6" t="n"/>
      <c r="AF8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6" s="11">
        <f>IF(tblOrdenes[[#This Row],[orden]]="","",_xlfn.XLOOKUP(tblOrdenes[[#This Row],[id_operacion]],tblEjecucion[id_operacion],tblEjecucion[precio],0))</f>
        <v/>
      </c>
      <c r="AJ896" s="11">
        <f>IF(tblOrdenes[[#This Row],[orden]]="","",MAX(0,_xlfn.XLOOKUP(tblOrdenes[[#This Row],[id_operacion]],tblEjecucion[id_operacion],tblEjecucion[costo_plan_total],0)-tblOrdenes[[#This Row],[costo_servicio]]))</f>
        <v/>
      </c>
      <c r="AK896" s="11">
        <f>IF(tblOrdenes[[#This Row],[orden]]="","",tblOrdenes[[#This Row],[costo_servicio]]+tblOrdenes[[#This Row],[costo_materiales]])</f>
        <v/>
      </c>
      <c r="AL896" s="6" t="n"/>
      <c r="AM896" s="6" t="n"/>
      <c r="AN896" s="6" t="n"/>
      <c r="AO896" s="3">
        <f>IF(tblOrdenes[[#This Row],[link_checklist]]="","",HYPERLINK(p_ruta_base_checklists&amp;tblOrdenes[[#This Row],[link_checklist]],"abrir"))</f>
        <v/>
      </c>
      <c r="AP896" s="6" t="n"/>
      <c r="AQ896" s="3">
        <f>IF(tblOrdenes[[#This Row],[orden]]="","",tblOrdenes[[#This Row],[orden]]&amp;IF(tblOrdenes[[#This Row],[operacion]]="","0010",tblOrdenes[[#This Row],[operacion]]))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2" t="n"/>
      <c r="K897" s="3" t="n"/>
      <c r="L897" s="11" t="n"/>
      <c r="M8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7" s="3">
        <f>IF(tblOrdenes[[#This Row],[fecha_inicio]]="","",YEAR(tblOrdenes[[#This Row],[fecha_inicio]]))</f>
        <v/>
      </c>
      <c r="Q897" s="3">
        <f>IF(tblOrdenes[[#This Row],[fecha_inicio]]="","",MONTH(tblOrdenes[[#This Row],[fecha_inicio]]))</f>
        <v/>
      </c>
      <c r="R897" s="3">
        <f>IF(tblOrdenes[[#This Row],[fecha_inicio]]="","",INDEX(lista_dias,WEEKDAY(tblOrdenes[[#This Row],[fecha_inicio]],2)))</f>
        <v/>
      </c>
      <c r="S8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7" s="3">
        <f>IF(tblOrdenes[[#This Row],[tipo_ot]]="","",_xlfn.XLOOKUP(tblOrdenes[[#This Row],[tipo_ot]],tblTiposOT[codigo],tblTiposOT[clasificacion],"sin_clasificar"))</f>
        <v/>
      </c>
      <c r="U897" s="3">
        <f>IF(tblOrdenes[[#This Row],[centro_costo]]="","",_xlfn.XLOOKUP(tblOrdenes[[#This Row],[centro_costo]],tblCECO[codigo],tblCECO[linea],"(sin catálogo)"))</f>
        <v/>
      </c>
      <c r="V897" s="3">
        <f>IF(tblOrdenes[[#This Row],[centro_costo]]="","",_xlfn.XLOOKUP(tblOrdenes[[#This Row],[centro_costo]],tblCECO[codigo],tblCECO[area],"(sin catálogo)"))</f>
        <v/>
      </c>
      <c r="W8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7" s="3">
        <f>IF(tblOrdenes[[#This Row],[centro_costo]]="","",_xlfn.XLOOKUP(tblOrdenes[[#This Row],[centro_costo]],tblCECO[codigo],tblCECO[coordinador],"(sin catálogo)"))</f>
        <v/>
      </c>
      <c r="Y897" s="3">
        <f>IF(tblOrdenes[[#This Row],[puesto_trabajo]]="","",_xlfn.XLOOKUP(tblOrdenes[[#This Row],[puesto_trabajo]],tblPuestos[codigo],tblPuestos[especialidad],"(sin catálogo)"))</f>
        <v/>
      </c>
      <c r="Z897" s="3">
        <f>IF(tblOrdenes[[#This Row],[cod_actividad]]="","",_xlfn.XLOOKUP(tblOrdenes[[#This Row],[cod_actividad]],tblActividades[codigo],tblActividades[descripcion],"(sin catálogo)"))</f>
        <v/>
      </c>
      <c r="AA897" s="13">
        <f>IF(tblOrdenes[[#This Row],[fecha_inicio]]="","",TODAY()-tblOrdenes[[#This Row],[fecha_inicio]])</f>
        <v/>
      </c>
      <c r="AB8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7" s="3">
        <f>IF(tblOrdenes[[#This Row],[backlog_habiles]]="","",IF(tblOrdenes[[#This Row],[backlog_habiles]]&lt;0,"FUTURO",IF(tblOrdenes[[#This Row],[backlog_habiles]]&gt;p_dias_backlog_max,"BACKLOG","MES CORRIENTE")))</f>
        <v/>
      </c>
      <c r="AD897" s="3">
        <f>IF(tblOrdenes[[#This Row],[backlog_habiles]]="",FALSE,AND(tblOrdenes[[#This Row],[backlog_habiles]]&gt;p_dias_backlog_min,tblOrdenes[[#This Row],[backlog_habiles]]&lt;=p_dias_backlog_max))</f>
        <v/>
      </c>
      <c r="AE897" s="6" t="n"/>
      <c r="AF8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7" s="11">
        <f>IF(tblOrdenes[[#This Row],[orden]]="","",_xlfn.XLOOKUP(tblOrdenes[[#This Row],[id_operacion]],tblEjecucion[id_operacion],tblEjecucion[precio],0))</f>
        <v/>
      </c>
      <c r="AJ897" s="11">
        <f>IF(tblOrdenes[[#This Row],[orden]]="","",MAX(0,_xlfn.XLOOKUP(tblOrdenes[[#This Row],[id_operacion]],tblEjecucion[id_operacion],tblEjecucion[costo_plan_total],0)-tblOrdenes[[#This Row],[costo_servicio]]))</f>
        <v/>
      </c>
      <c r="AK897" s="11">
        <f>IF(tblOrdenes[[#This Row],[orden]]="","",tblOrdenes[[#This Row],[costo_servicio]]+tblOrdenes[[#This Row],[costo_materiales]])</f>
        <v/>
      </c>
      <c r="AL897" s="6" t="n"/>
      <c r="AM897" s="6" t="n"/>
      <c r="AN897" s="6" t="n"/>
      <c r="AO897" s="3">
        <f>IF(tblOrdenes[[#This Row],[link_checklist]]="","",HYPERLINK(p_ruta_base_checklists&amp;tblOrdenes[[#This Row],[link_checklist]],"abrir"))</f>
        <v/>
      </c>
      <c r="AP897" s="6" t="n"/>
      <c r="AQ897" s="3">
        <f>IF(tblOrdenes[[#This Row],[orden]]="","",tblOrdenes[[#This Row],[orden]]&amp;IF(tblOrdenes[[#This Row],[operacion]]="","0010",tblOrdenes[[#This Row],[operacion]]))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2" t="n"/>
      <c r="K898" s="3" t="n"/>
      <c r="L898" s="11" t="n"/>
      <c r="M8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8" s="3">
        <f>IF(tblOrdenes[[#This Row],[fecha_inicio]]="","",YEAR(tblOrdenes[[#This Row],[fecha_inicio]]))</f>
        <v/>
      </c>
      <c r="Q898" s="3">
        <f>IF(tblOrdenes[[#This Row],[fecha_inicio]]="","",MONTH(tblOrdenes[[#This Row],[fecha_inicio]]))</f>
        <v/>
      </c>
      <c r="R898" s="3">
        <f>IF(tblOrdenes[[#This Row],[fecha_inicio]]="","",INDEX(lista_dias,WEEKDAY(tblOrdenes[[#This Row],[fecha_inicio]],2)))</f>
        <v/>
      </c>
      <c r="S8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8" s="3">
        <f>IF(tblOrdenes[[#This Row],[tipo_ot]]="","",_xlfn.XLOOKUP(tblOrdenes[[#This Row],[tipo_ot]],tblTiposOT[codigo],tblTiposOT[clasificacion],"sin_clasificar"))</f>
        <v/>
      </c>
      <c r="U898" s="3">
        <f>IF(tblOrdenes[[#This Row],[centro_costo]]="","",_xlfn.XLOOKUP(tblOrdenes[[#This Row],[centro_costo]],tblCECO[codigo],tblCECO[linea],"(sin catálogo)"))</f>
        <v/>
      </c>
      <c r="V898" s="3">
        <f>IF(tblOrdenes[[#This Row],[centro_costo]]="","",_xlfn.XLOOKUP(tblOrdenes[[#This Row],[centro_costo]],tblCECO[codigo],tblCECO[area],"(sin catálogo)"))</f>
        <v/>
      </c>
      <c r="W8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8" s="3">
        <f>IF(tblOrdenes[[#This Row],[centro_costo]]="","",_xlfn.XLOOKUP(tblOrdenes[[#This Row],[centro_costo]],tblCECO[codigo],tblCECO[coordinador],"(sin catálogo)"))</f>
        <v/>
      </c>
      <c r="Y898" s="3">
        <f>IF(tblOrdenes[[#This Row],[puesto_trabajo]]="","",_xlfn.XLOOKUP(tblOrdenes[[#This Row],[puesto_trabajo]],tblPuestos[codigo],tblPuestos[especialidad],"(sin catálogo)"))</f>
        <v/>
      </c>
      <c r="Z898" s="3">
        <f>IF(tblOrdenes[[#This Row],[cod_actividad]]="","",_xlfn.XLOOKUP(tblOrdenes[[#This Row],[cod_actividad]],tblActividades[codigo],tblActividades[descripcion],"(sin catálogo)"))</f>
        <v/>
      </c>
      <c r="AA898" s="13">
        <f>IF(tblOrdenes[[#This Row],[fecha_inicio]]="","",TODAY()-tblOrdenes[[#This Row],[fecha_inicio]])</f>
        <v/>
      </c>
      <c r="AB8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8" s="3">
        <f>IF(tblOrdenes[[#This Row],[backlog_habiles]]="","",IF(tblOrdenes[[#This Row],[backlog_habiles]]&lt;0,"FUTURO",IF(tblOrdenes[[#This Row],[backlog_habiles]]&gt;p_dias_backlog_max,"BACKLOG","MES CORRIENTE")))</f>
        <v/>
      </c>
      <c r="AD898" s="3">
        <f>IF(tblOrdenes[[#This Row],[backlog_habiles]]="",FALSE,AND(tblOrdenes[[#This Row],[backlog_habiles]]&gt;p_dias_backlog_min,tblOrdenes[[#This Row],[backlog_habiles]]&lt;=p_dias_backlog_max))</f>
        <v/>
      </c>
      <c r="AE898" s="6" t="n"/>
      <c r="AF8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8" s="11">
        <f>IF(tblOrdenes[[#This Row],[orden]]="","",_xlfn.XLOOKUP(tblOrdenes[[#This Row],[id_operacion]],tblEjecucion[id_operacion],tblEjecucion[precio],0))</f>
        <v/>
      </c>
      <c r="AJ898" s="11">
        <f>IF(tblOrdenes[[#This Row],[orden]]="","",MAX(0,_xlfn.XLOOKUP(tblOrdenes[[#This Row],[id_operacion]],tblEjecucion[id_operacion],tblEjecucion[costo_plan_total],0)-tblOrdenes[[#This Row],[costo_servicio]]))</f>
        <v/>
      </c>
      <c r="AK898" s="11">
        <f>IF(tblOrdenes[[#This Row],[orden]]="","",tblOrdenes[[#This Row],[costo_servicio]]+tblOrdenes[[#This Row],[costo_materiales]])</f>
        <v/>
      </c>
      <c r="AL898" s="6" t="n"/>
      <c r="AM898" s="6" t="n"/>
      <c r="AN898" s="6" t="n"/>
      <c r="AO898" s="3">
        <f>IF(tblOrdenes[[#This Row],[link_checklist]]="","",HYPERLINK(p_ruta_base_checklists&amp;tblOrdenes[[#This Row],[link_checklist]],"abrir"))</f>
        <v/>
      </c>
      <c r="AP898" s="6" t="n"/>
      <c r="AQ898" s="3">
        <f>IF(tblOrdenes[[#This Row],[orden]]="","",tblOrdenes[[#This Row],[orden]]&amp;IF(tblOrdenes[[#This Row],[operacion]]="","0010",tblOrdenes[[#This Row],[operacion]]))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2" t="n"/>
      <c r="K899" s="3" t="n"/>
      <c r="L899" s="11" t="n"/>
      <c r="M8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9" s="3">
        <f>IF(tblOrdenes[[#This Row],[fecha_inicio]]="","",YEAR(tblOrdenes[[#This Row],[fecha_inicio]]))</f>
        <v/>
      </c>
      <c r="Q899" s="3">
        <f>IF(tblOrdenes[[#This Row],[fecha_inicio]]="","",MONTH(tblOrdenes[[#This Row],[fecha_inicio]]))</f>
        <v/>
      </c>
      <c r="R899" s="3">
        <f>IF(tblOrdenes[[#This Row],[fecha_inicio]]="","",INDEX(lista_dias,WEEKDAY(tblOrdenes[[#This Row],[fecha_inicio]],2)))</f>
        <v/>
      </c>
      <c r="S8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9" s="3">
        <f>IF(tblOrdenes[[#This Row],[tipo_ot]]="","",_xlfn.XLOOKUP(tblOrdenes[[#This Row],[tipo_ot]],tblTiposOT[codigo],tblTiposOT[clasificacion],"sin_clasificar"))</f>
        <v/>
      </c>
      <c r="U899" s="3">
        <f>IF(tblOrdenes[[#This Row],[centro_costo]]="","",_xlfn.XLOOKUP(tblOrdenes[[#This Row],[centro_costo]],tblCECO[codigo],tblCECO[linea],"(sin catálogo)"))</f>
        <v/>
      </c>
      <c r="V899" s="3">
        <f>IF(tblOrdenes[[#This Row],[centro_costo]]="","",_xlfn.XLOOKUP(tblOrdenes[[#This Row],[centro_costo]],tblCECO[codigo],tblCECO[area],"(sin catálogo)"))</f>
        <v/>
      </c>
      <c r="W8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9" s="3">
        <f>IF(tblOrdenes[[#This Row],[centro_costo]]="","",_xlfn.XLOOKUP(tblOrdenes[[#This Row],[centro_costo]],tblCECO[codigo],tblCECO[coordinador],"(sin catálogo)"))</f>
        <v/>
      </c>
      <c r="Y899" s="3">
        <f>IF(tblOrdenes[[#This Row],[puesto_trabajo]]="","",_xlfn.XLOOKUP(tblOrdenes[[#This Row],[puesto_trabajo]],tblPuestos[codigo],tblPuestos[especialidad],"(sin catálogo)"))</f>
        <v/>
      </c>
      <c r="Z899" s="3">
        <f>IF(tblOrdenes[[#This Row],[cod_actividad]]="","",_xlfn.XLOOKUP(tblOrdenes[[#This Row],[cod_actividad]],tblActividades[codigo],tblActividades[descripcion],"(sin catálogo)"))</f>
        <v/>
      </c>
      <c r="AA899" s="13">
        <f>IF(tblOrdenes[[#This Row],[fecha_inicio]]="","",TODAY()-tblOrdenes[[#This Row],[fecha_inicio]])</f>
        <v/>
      </c>
      <c r="AB8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9" s="3">
        <f>IF(tblOrdenes[[#This Row],[backlog_habiles]]="","",IF(tblOrdenes[[#This Row],[backlog_habiles]]&lt;0,"FUTURO",IF(tblOrdenes[[#This Row],[backlog_habiles]]&gt;p_dias_backlog_max,"BACKLOG","MES CORRIENTE")))</f>
        <v/>
      </c>
      <c r="AD899" s="3">
        <f>IF(tblOrdenes[[#This Row],[backlog_habiles]]="",FALSE,AND(tblOrdenes[[#This Row],[backlog_habiles]]&gt;p_dias_backlog_min,tblOrdenes[[#This Row],[backlog_habiles]]&lt;=p_dias_backlog_max))</f>
        <v/>
      </c>
      <c r="AE899" s="6" t="n"/>
      <c r="AF8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9" s="11">
        <f>IF(tblOrdenes[[#This Row],[orden]]="","",_xlfn.XLOOKUP(tblOrdenes[[#This Row],[id_operacion]],tblEjecucion[id_operacion],tblEjecucion[precio],0))</f>
        <v/>
      </c>
      <c r="AJ899" s="11">
        <f>IF(tblOrdenes[[#This Row],[orden]]="","",MAX(0,_xlfn.XLOOKUP(tblOrdenes[[#This Row],[id_operacion]],tblEjecucion[id_operacion],tblEjecucion[costo_plan_total],0)-tblOrdenes[[#This Row],[costo_servicio]]))</f>
        <v/>
      </c>
      <c r="AK899" s="11">
        <f>IF(tblOrdenes[[#This Row],[orden]]="","",tblOrdenes[[#This Row],[costo_servicio]]+tblOrdenes[[#This Row],[costo_materiales]])</f>
        <v/>
      </c>
      <c r="AL899" s="6" t="n"/>
      <c r="AM899" s="6" t="n"/>
      <c r="AN899" s="6" t="n"/>
      <c r="AO899" s="3">
        <f>IF(tblOrdenes[[#This Row],[link_checklist]]="","",HYPERLINK(p_ruta_base_checklists&amp;tblOrdenes[[#This Row],[link_checklist]],"abrir"))</f>
        <v/>
      </c>
      <c r="AP899" s="6" t="n"/>
      <c r="AQ899" s="3">
        <f>IF(tblOrdenes[[#This Row],[orden]]="","",tblOrdenes[[#This Row],[orden]]&amp;IF(tblOrdenes[[#This Row],[operacion]]="","0010",tblOrdenes[[#This Row],[operacion]]))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2" t="n"/>
      <c r="K900" s="3" t="n"/>
      <c r="L900" s="11" t="n"/>
      <c r="M9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0" s="3">
        <f>IF(tblOrdenes[[#This Row],[fecha_inicio]]="","",YEAR(tblOrdenes[[#This Row],[fecha_inicio]]))</f>
        <v/>
      </c>
      <c r="Q900" s="3">
        <f>IF(tblOrdenes[[#This Row],[fecha_inicio]]="","",MONTH(tblOrdenes[[#This Row],[fecha_inicio]]))</f>
        <v/>
      </c>
      <c r="R900" s="3">
        <f>IF(tblOrdenes[[#This Row],[fecha_inicio]]="","",INDEX(lista_dias,WEEKDAY(tblOrdenes[[#This Row],[fecha_inicio]],2)))</f>
        <v/>
      </c>
      <c r="S9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0" s="3">
        <f>IF(tblOrdenes[[#This Row],[tipo_ot]]="","",_xlfn.XLOOKUP(tblOrdenes[[#This Row],[tipo_ot]],tblTiposOT[codigo],tblTiposOT[clasificacion],"sin_clasificar"))</f>
        <v/>
      </c>
      <c r="U900" s="3">
        <f>IF(tblOrdenes[[#This Row],[centro_costo]]="","",_xlfn.XLOOKUP(tblOrdenes[[#This Row],[centro_costo]],tblCECO[codigo],tblCECO[linea],"(sin catálogo)"))</f>
        <v/>
      </c>
      <c r="V900" s="3">
        <f>IF(tblOrdenes[[#This Row],[centro_costo]]="","",_xlfn.XLOOKUP(tblOrdenes[[#This Row],[centro_costo]],tblCECO[codigo],tblCECO[area],"(sin catálogo)"))</f>
        <v/>
      </c>
      <c r="W9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0" s="3">
        <f>IF(tblOrdenes[[#This Row],[centro_costo]]="","",_xlfn.XLOOKUP(tblOrdenes[[#This Row],[centro_costo]],tblCECO[codigo],tblCECO[coordinador],"(sin catálogo)"))</f>
        <v/>
      </c>
      <c r="Y900" s="3">
        <f>IF(tblOrdenes[[#This Row],[puesto_trabajo]]="","",_xlfn.XLOOKUP(tblOrdenes[[#This Row],[puesto_trabajo]],tblPuestos[codigo],tblPuestos[especialidad],"(sin catálogo)"))</f>
        <v/>
      </c>
      <c r="Z900" s="3">
        <f>IF(tblOrdenes[[#This Row],[cod_actividad]]="","",_xlfn.XLOOKUP(tblOrdenes[[#This Row],[cod_actividad]],tblActividades[codigo],tblActividades[descripcion],"(sin catálogo)"))</f>
        <v/>
      </c>
      <c r="AA900" s="13">
        <f>IF(tblOrdenes[[#This Row],[fecha_inicio]]="","",TODAY()-tblOrdenes[[#This Row],[fecha_inicio]])</f>
        <v/>
      </c>
      <c r="AB9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0" s="3">
        <f>IF(tblOrdenes[[#This Row],[backlog_habiles]]="","",IF(tblOrdenes[[#This Row],[backlog_habiles]]&lt;0,"FUTURO",IF(tblOrdenes[[#This Row],[backlog_habiles]]&gt;p_dias_backlog_max,"BACKLOG","MES CORRIENTE")))</f>
        <v/>
      </c>
      <c r="AD900" s="3">
        <f>IF(tblOrdenes[[#This Row],[backlog_habiles]]="",FALSE,AND(tblOrdenes[[#This Row],[backlog_habiles]]&gt;p_dias_backlog_min,tblOrdenes[[#This Row],[backlog_habiles]]&lt;=p_dias_backlog_max))</f>
        <v/>
      </c>
      <c r="AE900" s="6" t="n"/>
      <c r="AF9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0" s="11">
        <f>IF(tblOrdenes[[#This Row],[orden]]="","",_xlfn.XLOOKUP(tblOrdenes[[#This Row],[id_operacion]],tblEjecucion[id_operacion],tblEjecucion[precio],0))</f>
        <v/>
      </c>
      <c r="AJ900" s="11">
        <f>IF(tblOrdenes[[#This Row],[orden]]="","",MAX(0,_xlfn.XLOOKUP(tblOrdenes[[#This Row],[id_operacion]],tblEjecucion[id_operacion],tblEjecucion[costo_plan_total],0)-tblOrdenes[[#This Row],[costo_servicio]]))</f>
        <v/>
      </c>
      <c r="AK900" s="11">
        <f>IF(tblOrdenes[[#This Row],[orden]]="","",tblOrdenes[[#This Row],[costo_servicio]]+tblOrdenes[[#This Row],[costo_materiales]])</f>
        <v/>
      </c>
      <c r="AL900" s="6" t="n"/>
      <c r="AM900" s="6" t="n"/>
      <c r="AN900" s="6" t="n"/>
      <c r="AO900" s="3">
        <f>IF(tblOrdenes[[#This Row],[link_checklist]]="","",HYPERLINK(p_ruta_base_checklists&amp;tblOrdenes[[#This Row],[link_checklist]],"abrir"))</f>
        <v/>
      </c>
      <c r="AP900" s="6" t="n"/>
      <c r="AQ900" s="3">
        <f>IF(tblOrdenes[[#This Row],[orden]]="","",tblOrdenes[[#This Row],[orden]]&amp;IF(tblOrdenes[[#This Row],[operacion]]="","0010",tblOrdenes[[#This Row],[operacion]]))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2" t="n"/>
      <c r="K901" s="3" t="n"/>
      <c r="L901" s="11" t="n"/>
      <c r="M9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1" s="3">
        <f>IF(tblOrdenes[[#This Row],[fecha_inicio]]="","",YEAR(tblOrdenes[[#This Row],[fecha_inicio]]))</f>
        <v/>
      </c>
      <c r="Q901" s="3">
        <f>IF(tblOrdenes[[#This Row],[fecha_inicio]]="","",MONTH(tblOrdenes[[#This Row],[fecha_inicio]]))</f>
        <v/>
      </c>
      <c r="R901" s="3">
        <f>IF(tblOrdenes[[#This Row],[fecha_inicio]]="","",INDEX(lista_dias,WEEKDAY(tblOrdenes[[#This Row],[fecha_inicio]],2)))</f>
        <v/>
      </c>
      <c r="S9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1" s="3">
        <f>IF(tblOrdenes[[#This Row],[tipo_ot]]="","",_xlfn.XLOOKUP(tblOrdenes[[#This Row],[tipo_ot]],tblTiposOT[codigo],tblTiposOT[clasificacion],"sin_clasificar"))</f>
        <v/>
      </c>
      <c r="U901" s="3">
        <f>IF(tblOrdenes[[#This Row],[centro_costo]]="","",_xlfn.XLOOKUP(tblOrdenes[[#This Row],[centro_costo]],tblCECO[codigo],tblCECO[linea],"(sin catálogo)"))</f>
        <v/>
      </c>
      <c r="V901" s="3">
        <f>IF(tblOrdenes[[#This Row],[centro_costo]]="","",_xlfn.XLOOKUP(tblOrdenes[[#This Row],[centro_costo]],tblCECO[codigo],tblCECO[area],"(sin catálogo)"))</f>
        <v/>
      </c>
      <c r="W9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1" s="3">
        <f>IF(tblOrdenes[[#This Row],[centro_costo]]="","",_xlfn.XLOOKUP(tblOrdenes[[#This Row],[centro_costo]],tblCECO[codigo],tblCECO[coordinador],"(sin catálogo)"))</f>
        <v/>
      </c>
      <c r="Y901" s="3">
        <f>IF(tblOrdenes[[#This Row],[puesto_trabajo]]="","",_xlfn.XLOOKUP(tblOrdenes[[#This Row],[puesto_trabajo]],tblPuestos[codigo],tblPuestos[especialidad],"(sin catálogo)"))</f>
        <v/>
      </c>
      <c r="Z901" s="3">
        <f>IF(tblOrdenes[[#This Row],[cod_actividad]]="","",_xlfn.XLOOKUP(tblOrdenes[[#This Row],[cod_actividad]],tblActividades[codigo],tblActividades[descripcion],"(sin catálogo)"))</f>
        <v/>
      </c>
      <c r="AA901" s="13">
        <f>IF(tblOrdenes[[#This Row],[fecha_inicio]]="","",TODAY()-tblOrdenes[[#This Row],[fecha_inicio]])</f>
        <v/>
      </c>
      <c r="AB9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1" s="3">
        <f>IF(tblOrdenes[[#This Row],[backlog_habiles]]="","",IF(tblOrdenes[[#This Row],[backlog_habiles]]&lt;0,"FUTURO",IF(tblOrdenes[[#This Row],[backlog_habiles]]&gt;p_dias_backlog_max,"BACKLOG","MES CORRIENTE")))</f>
        <v/>
      </c>
      <c r="AD901" s="3">
        <f>IF(tblOrdenes[[#This Row],[backlog_habiles]]="",FALSE,AND(tblOrdenes[[#This Row],[backlog_habiles]]&gt;p_dias_backlog_min,tblOrdenes[[#This Row],[backlog_habiles]]&lt;=p_dias_backlog_max))</f>
        <v/>
      </c>
      <c r="AE901" s="6" t="n"/>
      <c r="AF9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1" s="11">
        <f>IF(tblOrdenes[[#This Row],[orden]]="","",_xlfn.XLOOKUP(tblOrdenes[[#This Row],[id_operacion]],tblEjecucion[id_operacion],tblEjecucion[precio],0))</f>
        <v/>
      </c>
      <c r="AJ901" s="11">
        <f>IF(tblOrdenes[[#This Row],[orden]]="","",MAX(0,_xlfn.XLOOKUP(tblOrdenes[[#This Row],[id_operacion]],tblEjecucion[id_operacion],tblEjecucion[costo_plan_total],0)-tblOrdenes[[#This Row],[costo_servicio]]))</f>
        <v/>
      </c>
      <c r="AK901" s="11">
        <f>IF(tblOrdenes[[#This Row],[orden]]="","",tblOrdenes[[#This Row],[costo_servicio]]+tblOrdenes[[#This Row],[costo_materiales]])</f>
        <v/>
      </c>
      <c r="AL901" s="6" t="n"/>
      <c r="AM901" s="6" t="n"/>
      <c r="AN901" s="6" t="n"/>
      <c r="AO901" s="3">
        <f>IF(tblOrdenes[[#This Row],[link_checklist]]="","",HYPERLINK(p_ruta_base_checklists&amp;tblOrdenes[[#This Row],[link_checklist]],"abrir"))</f>
        <v/>
      </c>
      <c r="AP901" s="6" t="n"/>
      <c r="AQ901" s="3">
        <f>IF(tblOrdenes[[#This Row],[orden]]="","",tblOrdenes[[#This Row],[orden]]&amp;IF(tblOrdenes[[#This Row],[operacion]]="","0010",tblOrdenes[[#This Row],[operacion]]))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2" t="n"/>
      <c r="K902" s="3" t="n"/>
      <c r="L902" s="11" t="n"/>
      <c r="M9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2" s="3">
        <f>IF(tblOrdenes[[#This Row],[fecha_inicio]]="","",YEAR(tblOrdenes[[#This Row],[fecha_inicio]]))</f>
        <v/>
      </c>
      <c r="Q902" s="3">
        <f>IF(tblOrdenes[[#This Row],[fecha_inicio]]="","",MONTH(tblOrdenes[[#This Row],[fecha_inicio]]))</f>
        <v/>
      </c>
      <c r="R902" s="3">
        <f>IF(tblOrdenes[[#This Row],[fecha_inicio]]="","",INDEX(lista_dias,WEEKDAY(tblOrdenes[[#This Row],[fecha_inicio]],2)))</f>
        <v/>
      </c>
      <c r="S9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2" s="3">
        <f>IF(tblOrdenes[[#This Row],[tipo_ot]]="","",_xlfn.XLOOKUP(tblOrdenes[[#This Row],[tipo_ot]],tblTiposOT[codigo],tblTiposOT[clasificacion],"sin_clasificar"))</f>
        <v/>
      </c>
      <c r="U902" s="3">
        <f>IF(tblOrdenes[[#This Row],[centro_costo]]="","",_xlfn.XLOOKUP(tblOrdenes[[#This Row],[centro_costo]],tblCECO[codigo],tblCECO[linea],"(sin catálogo)"))</f>
        <v/>
      </c>
      <c r="V902" s="3">
        <f>IF(tblOrdenes[[#This Row],[centro_costo]]="","",_xlfn.XLOOKUP(tblOrdenes[[#This Row],[centro_costo]],tblCECO[codigo],tblCECO[area],"(sin catálogo)"))</f>
        <v/>
      </c>
      <c r="W9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2" s="3">
        <f>IF(tblOrdenes[[#This Row],[centro_costo]]="","",_xlfn.XLOOKUP(tblOrdenes[[#This Row],[centro_costo]],tblCECO[codigo],tblCECO[coordinador],"(sin catálogo)"))</f>
        <v/>
      </c>
      <c r="Y902" s="3">
        <f>IF(tblOrdenes[[#This Row],[puesto_trabajo]]="","",_xlfn.XLOOKUP(tblOrdenes[[#This Row],[puesto_trabajo]],tblPuestos[codigo],tblPuestos[especialidad],"(sin catálogo)"))</f>
        <v/>
      </c>
      <c r="Z902" s="3">
        <f>IF(tblOrdenes[[#This Row],[cod_actividad]]="","",_xlfn.XLOOKUP(tblOrdenes[[#This Row],[cod_actividad]],tblActividades[codigo],tblActividades[descripcion],"(sin catálogo)"))</f>
        <v/>
      </c>
      <c r="AA902" s="13">
        <f>IF(tblOrdenes[[#This Row],[fecha_inicio]]="","",TODAY()-tblOrdenes[[#This Row],[fecha_inicio]])</f>
        <v/>
      </c>
      <c r="AB9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2" s="3">
        <f>IF(tblOrdenes[[#This Row],[backlog_habiles]]="","",IF(tblOrdenes[[#This Row],[backlog_habiles]]&lt;0,"FUTURO",IF(tblOrdenes[[#This Row],[backlog_habiles]]&gt;p_dias_backlog_max,"BACKLOG","MES CORRIENTE")))</f>
        <v/>
      </c>
      <c r="AD902" s="3">
        <f>IF(tblOrdenes[[#This Row],[backlog_habiles]]="",FALSE,AND(tblOrdenes[[#This Row],[backlog_habiles]]&gt;p_dias_backlog_min,tblOrdenes[[#This Row],[backlog_habiles]]&lt;=p_dias_backlog_max))</f>
        <v/>
      </c>
      <c r="AE902" s="6" t="n"/>
      <c r="AF9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2" s="11">
        <f>IF(tblOrdenes[[#This Row],[orden]]="","",_xlfn.XLOOKUP(tblOrdenes[[#This Row],[id_operacion]],tblEjecucion[id_operacion],tblEjecucion[precio],0))</f>
        <v/>
      </c>
      <c r="AJ902" s="11">
        <f>IF(tblOrdenes[[#This Row],[orden]]="","",MAX(0,_xlfn.XLOOKUP(tblOrdenes[[#This Row],[id_operacion]],tblEjecucion[id_operacion],tblEjecucion[costo_plan_total],0)-tblOrdenes[[#This Row],[costo_servicio]]))</f>
        <v/>
      </c>
      <c r="AK902" s="11">
        <f>IF(tblOrdenes[[#This Row],[orden]]="","",tblOrdenes[[#This Row],[costo_servicio]]+tblOrdenes[[#This Row],[costo_materiales]])</f>
        <v/>
      </c>
      <c r="AL902" s="6" t="n"/>
      <c r="AM902" s="6" t="n"/>
      <c r="AN902" s="6" t="n"/>
      <c r="AO902" s="3">
        <f>IF(tblOrdenes[[#This Row],[link_checklist]]="","",HYPERLINK(p_ruta_base_checklists&amp;tblOrdenes[[#This Row],[link_checklist]],"abrir"))</f>
        <v/>
      </c>
      <c r="AP902" s="6" t="n"/>
      <c r="AQ902" s="3">
        <f>IF(tblOrdenes[[#This Row],[orden]]="","",tblOrdenes[[#This Row],[orden]]&amp;IF(tblOrdenes[[#This Row],[operacion]]="","0010",tblOrdenes[[#This Row],[operacion]]))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2" t="n"/>
      <c r="K903" s="3" t="n"/>
      <c r="L903" s="11" t="n"/>
      <c r="M9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3" s="3">
        <f>IF(tblOrdenes[[#This Row],[fecha_inicio]]="","",YEAR(tblOrdenes[[#This Row],[fecha_inicio]]))</f>
        <v/>
      </c>
      <c r="Q903" s="3">
        <f>IF(tblOrdenes[[#This Row],[fecha_inicio]]="","",MONTH(tblOrdenes[[#This Row],[fecha_inicio]]))</f>
        <v/>
      </c>
      <c r="R903" s="3">
        <f>IF(tblOrdenes[[#This Row],[fecha_inicio]]="","",INDEX(lista_dias,WEEKDAY(tblOrdenes[[#This Row],[fecha_inicio]],2)))</f>
        <v/>
      </c>
      <c r="S9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3" s="3">
        <f>IF(tblOrdenes[[#This Row],[tipo_ot]]="","",_xlfn.XLOOKUP(tblOrdenes[[#This Row],[tipo_ot]],tblTiposOT[codigo],tblTiposOT[clasificacion],"sin_clasificar"))</f>
        <v/>
      </c>
      <c r="U903" s="3">
        <f>IF(tblOrdenes[[#This Row],[centro_costo]]="","",_xlfn.XLOOKUP(tblOrdenes[[#This Row],[centro_costo]],tblCECO[codigo],tblCECO[linea],"(sin catálogo)"))</f>
        <v/>
      </c>
      <c r="V903" s="3">
        <f>IF(tblOrdenes[[#This Row],[centro_costo]]="","",_xlfn.XLOOKUP(tblOrdenes[[#This Row],[centro_costo]],tblCECO[codigo],tblCECO[area],"(sin catálogo)"))</f>
        <v/>
      </c>
      <c r="W9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3" s="3">
        <f>IF(tblOrdenes[[#This Row],[centro_costo]]="","",_xlfn.XLOOKUP(tblOrdenes[[#This Row],[centro_costo]],tblCECO[codigo],tblCECO[coordinador],"(sin catálogo)"))</f>
        <v/>
      </c>
      <c r="Y903" s="3">
        <f>IF(tblOrdenes[[#This Row],[puesto_trabajo]]="","",_xlfn.XLOOKUP(tblOrdenes[[#This Row],[puesto_trabajo]],tblPuestos[codigo],tblPuestos[especialidad],"(sin catálogo)"))</f>
        <v/>
      </c>
      <c r="Z903" s="3">
        <f>IF(tblOrdenes[[#This Row],[cod_actividad]]="","",_xlfn.XLOOKUP(tblOrdenes[[#This Row],[cod_actividad]],tblActividades[codigo],tblActividades[descripcion],"(sin catálogo)"))</f>
        <v/>
      </c>
      <c r="AA903" s="13">
        <f>IF(tblOrdenes[[#This Row],[fecha_inicio]]="","",TODAY()-tblOrdenes[[#This Row],[fecha_inicio]])</f>
        <v/>
      </c>
      <c r="AB9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3" s="3">
        <f>IF(tblOrdenes[[#This Row],[backlog_habiles]]="","",IF(tblOrdenes[[#This Row],[backlog_habiles]]&lt;0,"FUTURO",IF(tblOrdenes[[#This Row],[backlog_habiles]]&gt;p_dias_backlog_max,"BACKLOG","MES CORRIENTE")))</f>
        <v/>
      </c>
      <c r="AD903" s="3">
        <f>IF(tblOrdenes[[#This Row],[backlog_habiles]]="",FALSE,AND(tblOrdenes[[#This Row],[backlog_habiles]]&gt;p_dias_backlog_min,tblOrdenes[[#This Row],[backlog_habiles]]&lt;=p_dias_backlog_max))</f>
        <v/>
      </c>
      <c r="AE903" s="6" t="n"/>
      <c r="AF9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3" s="11">
        <f>IF(tblOrdenes[[#This Row],[orden]]="","",_xlfn.XLOOKUP(tblOrdenes[[#This Row],[id_operacion]],tblEjecucion[id_operacion],tblEjecucion[precio],0))</f>
        <v/>
      </c>
      <c r="AJ903" s="11">
        <f>IF(tblOrdenes[[#This Row],[orden]]="","",MAX(0,_xlfn.XLOOKUP(tblOrdenes[[#This Row],[id_operacion]],tblEjecucion[id_operacion],tblEjecucion[costo_plan_total],0)-tblOrdenes[[#This Row],[costo_servicio]]))</f>
        <v/>
      </c>
      <c r="AK903" s="11">
        <f>IF(tblOrdenes[[#This Row],[orden]]="","",tblOrdenes[[#This Row],[costo_servicio]]+tblOrdenes[[#This Row],[costo_materiales]])</f>
        <v/>
      </c>
      <c r="AL903" s="6" t="n"/>
      <c r="AM903" s="6" t="n"/>
      <c r="AN903" s="6" t="n"/>
      <c r="AO903" s="3">
        <f>IF(tblOrdenes[[#This Row],[link_checklist]]="","",HYPERLINK(p_ruta_base_checklists&amp;tblOrdenes[[#This Row],[link_checklist]],"abrir"))</f>
        <v/>
      </c>
      <c r="AP903" s="6" t="n"/>
      <c r="AQ903" s="3">
        <f>IF(tblOrdenes[[#This Row],[orden]]="","",tblOrdenes[[#This Row],[orden]]&amp;IF(tblOrdenes[[#This Row],[operacion]]="","0010",tblOrdenes[[#This Row],[operacion]]))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2" t="n"/>
      <c r="K904" s="3" t="n"/>
      <c r="L904" s="11" t="n"/>
      <c r="M9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4" s="3">
        <f>IF(tblOrdenes[[#This Row],[fecha_inicio]]="","",YEAR(tblOrdenes[[#This Row],[fecha_inicio]]))</f>
        <v/>
      </c>
      <c r="Q904" s="3">
        <f>IF(tblOrdenes[[#This Row],[fecha_inicio]]="","",MONTH(tblOrdenes[[#This Row],[fecha_inicio]]))</f>
        <v/>
      </c>
      <c r="R904" s="3">
        <f>IF(tblOrdenes[[#This Row],[fecha_inicio]]="","",INDEX(lista_dias,WEEKDAY(tblOrdenes[[#This Row],[fecha_inicio]],2)))</f>
        <v/>
      </c>
      <c r="S9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4" s="3">
        <f>IF(tblOrdenes[[#This Row],[tipo_ot]]="","",_xlfn.XLOOKUP(tblOrdenes[[#This Row],[tipo_ot]],tblTiposOT[codigo],tblTiposOT[clasificacion],"sin_clasificar"))</f>
        <v/>
      </c>
      <c r="U904" s="3">
        <f>IF(tblOrdenes[[#This Row],[centro_costo]]="","",_xlfn.XLOOKUP(tblOrdenes[[#This Row],[centro_costo]],tblCECO[codigo],tblCECO[linea],"(sin catálogo)"))</f>
        <v/>
      </c>
      <c r="V904" s="3">
        <f>IF(tblOrdenes[[#This Row],[centro_costo]]="","",_xlfn.XLOOKUP(tblOrdenes[[#This Row],[centro_costo]],tblCECO[codigo],tblCECO[area],"(sin catálogo)"))</f>
        <v/>
      </c>
      <c r="W9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4" s="3">
        <f>IF(tblOrdenes[[#This Row],[centro_costo]]="","",_xlfn.XLOOKUP(tblOrdenes[[#This Row],[centro_costo]],tblCECO[codigo],tblCECO[coordinador],"(sin catálogo)"))</f>
        <v/>
      </c>
      <c r="Y904" s="3">
        <f>IF(tblOrdenes[[#This Row],[puesto_trabajo]]="","",_xlfn.XLOOKUP(tblOrdenes[[#This Row],[puesto_trabajo]],tblPuestos[codigo],tblPuestos[especialidad],"(sin catálogo)"))</f>
        <v/>
      </c>
      <c r="Z904" s="3">
        <f>IF(tblOrdenes[[#This Row],[cod_actividad]]="","",_xlfn.XLOOKUP(tblOrdenes[[#This Row],[cod_actividad]],tblActividades[codigo],tblActividades[descripcion],"(sin catálogo)"))</f>
        <v/>
      </c>
      <c r="AA904" s="13">
        <f>IF(tblOrdenes[[#This Row],[fecha_inicio]]="","",TODAY()-tblOrdenes[[#This Row],[fecha_inicio]])</f>
        <v/>
      </c>
      <c r="AB9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4" s="3">
        <f>IF(tblOrdenes[[#This Row],[backlog_habiles]]="","",IF(tblOrdenes[[#This Row],[backlog_habiles]]&lt;0,"FUTURO",IF(tblOrdenes[[#This Row],[backlog_habiles]]&gt;p_dias_backlog_max,"BACKLOG","MES CORRIENTE")))</f>
        <v/>
      </c>
      <c r="AD904" s="3">
        <f>IF(tblOrdenes[[#This Row],[backlog_habiles]]="",FALSE,AND(tblOrdenes[[#This Row],[backlog_habiles]]&gt;p_dias_backlog_min,tblOrdenes[[#This Row],[backlog_habiles]]&lt;=p_dias_backlog_max))</f>
        <v/>
      </c>
      <c r="AE904" s="6" t="n"/>
      <c r="AF9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4" s="11">
        <f>IF(tblOrdenes[[#This Row],[orden]]="","",_xlfn.XLOOKUP(tblOrdenes[[#This Row],[id_operacion]],tblEjecucion[id_operacion],tblEjecucion[precio],0))</f>
        <v/>
      </c>
      <c r="AJ904" s="11">
        <f>IF(tblOrdenes[[#This Row],[orden]]="","",MAX(0,_xlfn.XLOOKUP(tblOrdenes[[#This Row],[id_operacion]],tblEjecucion[id_operacion],tblEjecucion[costo_plan_total],0)-tblOrdenes[[#This Row],[costo_servicio]]))</f>
        <v/>
      </c>
      <c r="AK904" s="11">
        <f>IF(tblOrdenes[[#This Row],[orden]]="","",tblOrdenes[[#This Row],[costo_servicio]]+tblOrdenes[[#This Row],[costo_materiales]])</f>
        <v/>
      </c>
      <c r="AL904" s="6" t="n"/>
      <c r="AM904" s="6" t="n"/>
      <c r="AN904" s="6" t="n"/>
      <c r="AO904" s="3">
        <f>IF(tblOrdenes[[#This Row],[link_checklist]]="","",HYPERLINK(p_ruta_base_checklists&amp;tblOrdenes[[#This Row],[link_checklist]],"abrir"))</f>
        <v/>
      </c>
      <c r="AP904" s="6" t="n"/>
      <c r="AQ904" s="3">
        <f>IF(tblOrdenes[[#This Row],[orden]]="","",tblOrdenes[[#This Row],[orden]]&amp;IF(tblOrdenes[[#This Row],[operacion]]="","0010",tblOrdenes[[#This Row],[operacion]]))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2" t="n"/>
      <c r="K905" s="3" t="n"/>
      <c r="L905" s="11" t="n"/>
      <c r="M9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5" s="3">
        <f>IF(tblOrdenes[[#This Row],[fecha_inicio]]="","",YEAR(tblOrdenes[[#This Row],[fecha_inicio]]))</f>
        <v/>
      </c>
      <c r="Q905" s="3">
        <f>IF(tblOrdenes[[#This Row],[fecha_inicio]]="","",MONTH(tblOrdenes[[#This Row],[fecha_inicio]]))</f>
        <v/>
      </c>
      <c r="R905" s="3">
        <f>IF(tblOrdenes[[#This Row],[fecha_inicio]]="","",INDEX(lista_dias,WEEKDAY(tblOrdenes[[#This Row],[fecha_inicio]],2)))</f>
        <v/>
      </c>
      <c r="S9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5" s="3">
        <f>IF(tblOrdenes[[#This Row],[tipo_ot]]="","",_xlfn.XLOOKUP(tblOrdenes[[#This Row],[tipo_ot]],tblTiposOT[codigo],tblTiposOT[clasificacion],"sin_clasificar"))</f>
        <v/>
      </c>
      <c r="U905" s="3">
        <f>IF(tblOrdenes[[#This Row],[centro_costo]]="","",_xlfn.XLOOKUP(tblOrdenes[[#This Row],[centro_costo]],tblCECO[codigo],tblCECO[linea],"(sin catálogo)"))</f>
        <v/>
      </c>
      <c r="V905" s="3">
        <f>IF(tblOrdenes[[#This Row],[centro_costo]]="","",_xlfn.XLOOKUP(tblOrdenes[[#This Row],[centro_costo]],tblCECO[codigo],tblCECO[area],"(sin catálogo)"))</f>
        <v/>
      </c>
      <c r="W9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5" s="3">
        <f>IF(tblOrdenes[[#This Row],[centro_costo]]="","",_xlfn.XLOOKUP(tblOrdenes[[#This Row],[centro_costo]],tblCECO[codigo],tblCECO[coordinador],"(sin catálogo)"))</f>
        <v/>
      </c>
      <c r="Y905" s="3">
        <f>IF(tblOrdenes[[#This Row],[puesto_trabajo]]="","",_xlfn.XLOOKUP(tblOrdenes[[#This Row],[puesto_trabajo]],tblPuestos[codigo],tblPuestos[especialidad],"(sin catálogo)"))</f>
        <v/>
      </c>
      <c r="Z905" s="3">
        <f>IF(tblOrdenes[[#This Row],[cod_actividad]]="","",_xlfn.XLOOKUP(tblOrdenes[[#This Row],[cod_actividad]],tblActividades[codigo],tblActividades[descripcion],"(sin catálogo)"))</f>
        <v/>
      </c>
      <c r="AA905" s="13">
        <f>IF(tblOrdenes[[#This Row],[fecha_inicio]]="","",TODAY()-tblOrdenes[[#This Row],[fecha_inicio]])</f>
        <v/>
      </c>
      <c r="AB9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5" s="3">
        <f>IF(tblOrdenes[[#This Row],[backlog_habiles]]="","",IF(tblOrdenes[[#This Row],[backlog_habiles]]&lt;0,"FUTURO",IF(tblOrdenes[[#This Row],[backlog_habiles]]&gt;p_dias_backlog_max,"BACKLOG","MES CORRIENTE")))</f>
        <v/>
      </c>
      <c r="AD905" s="3">
        <f>IF(tblOrdenes[[#This Row],[backlog_habiles]]="",FALSE,AND(tblOrdenes[[#This Row],[backlog_habiles]]&gt;p_dias_backlog_min,tblOrdenes[[#This Row],[backlog_habiles]]&lt;=p_dias_backlog_max))</f>
        <v/>
      </c>
      <c r="AE905" s="6" t="n"/>
      <c r="AF9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5" s="11">
        <f>IF(tblOrdenes[[#This Row],[orden]]="","",_xlfn.XLOOKUP(tblOrdenes[[#This Row],[id_operacion]],tblEjecucion[id_operacion],tblEjecucion[precio],0))</f>
        <v/>
      </c>
      <c r="AJ905" s="11">
        <f>IF(tblOrdenes[[#This Row],[orden]]="","",MAX(0,_xlfn.XLOOKUP(tblOrdenes[[#This Row],[id_operacion]],tblEjecucion[id_operacion],tblEjecucion[costo_plan_total],0)-tblOrdenes[[#This Row],[costo_servicio]]))</f>
        <v/>
      </c>
      <c r="AK905" s="11">
        <f>IF(tblOrdenes[[#This Row],[orden]]="","",tblOrdenes[[#This Row],[costo_servicio]]+tblOrdenes[[#This Row],[costo_materiales]])</f>
        <v/>
      </c>
      <c r="AL905" s="6" t="n"/>
      <c r="AM905" s="6" t="n"/>
      <c r="AN905" s="6" t="n"/>
      <c r="AO905" s="3">
        <f>IF(tblOrdenes[[#This Row],[link_checklist]]="","",HYPERLINK(p_ruta_base_checklists&amp;tblOrdenes[[#This Row],[link_checklist]],"abrir"))</f>
        <v/>
      </c>
      <c r="AP905" s="6" t="n"/>
      <c r="AQ905" s="3">
        <f>IF(tblOrdenes[[#This Row],[orden]]="","",tblOrdenes[[#This Row],[orden]]&amp;IF(tblOrdenes[[#This Row],[operacion]]="","0010",tblOrdenes[[#This Row],[operacion]]))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2" t="n"/>
      <c r="K906" s="3" t="n"/>
      <c r="L906" s="11" t="n"/>
      <c r="M9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6" s="3">
        <f>IF(tblOrdenes[[#This Row],[fecha_inicio]]="","",YEAR(tblOrdenes[[#This Row],[fecha_inicio]]))</f>
        <v/>
      </c>
      <c r="Q906" s="3">
        <f>IF(tblOrdenes[[#This Row],[fecha_inicio]]="","",MONTH(tblOrdenes[[#This Row],[fecha_inicio]]))</f>
        <v/>
      </c>
      <c r="R906" s="3">
        <f>IF(tblOrdenes[[#This Row],[fecha_inicio]]="","",INDEX(lista_dias,WEEKDAY(tblOrdenes[[#This Row],[fecha_inicio]],2)))</f>
        <v/>
      </c>
      <c r="S9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6" s="3">
        <f>IF(tblOrdenes[[#This Row],[tipo_ot]]="","",_xlfn.XLOOKUP(tblOrdenes[[#This Row],[tipo_ot]],tblTiposOT[codigo],tblTiposOT[clasificacion],"sin_clasificar"))</f>
        <v/>
      </c>
      <c r="U906" s="3">
        <f>IF(tblOrdenes[[#This Row],[centro_costo]]="","",_xlfn.XLOOKUP(tblOrdenes[[#This Row],[centro_costo]],tblCECO[codigo],tblCECO[linea],"(sin catálogo)"))</f>
        <v/>
      </c>
      <c r="V906" s="3">
        <f>IF(tblOrdenes[[#This Row],[centro_costo]]="","",_xlfn.XLOOKUP(tblOrdenes[[#This Row],[centro_costo]],tblCECO[codigo],tblCECO[area],"(sin catálogo)"))</f>
        <v/>
      </c>
      <c r="W9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6" s="3">
        <f>IF(tblOrdenes[[#This Row],[centro_costo]]="","",_xlfn.XLOOKUP(tblOrdenes[[#This Row],[centro_costo]],tblCECO[codigo],tblCECO[coordinador],"(sin catálogo)"))</f>
        <v/>
      </c>
      <c r="Y906" s="3">
        <f>IF(tblOrdenes[[#This Row],[puesto_trabajo]]="","",_xlfn.XLOOKUP(tblOrdenes[[#This Row],[puesto_trabajo]],tblPuestos[codigo],tblPuestos[especialidad],"(sin catálogo)"))</f>
        <v/>
      </c>
      <c r="Z906" s="3">
        <f>IF(tblOrdenes[[#This Row],[cod_actividad]]="","",_xlfn.XLOOKUP(tblOrdenes[[#This Row],[cod_actividad]],tblActividades[codigo],tblActividades[descripcion],"(sin catálogo)"))</f>
        <v/>
      </c>
      <c r="AA906" s="13">
        <f>IF(tblOrdenes[[#This Row],[fecha_inicio]]="","",TODAY()-tblOrdenes[[#This Row],[fecha_inicio]])</f>
        <v/>
      </c>
      <c r="AB9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6" s="3">
        <f>IF(tblOrdenes[[#This Row],[backlog_habiles]]="","",IF(tblOrdenes[[#This Row],[backlog_habiles]]&lt;0,"FUTURO",IF(tblOrdenes[[#This Row],[backlog_habiles]]&gt;p_dias_backlog_max,"BACKLOG","MES CORRIENTE")))</f>
        <v/>
      </c>
      <c r="AD906" s="3">
        <f>IF(tblOrdenes[[#This Row],[backlog_habiles]]="",FALSE,AND(tblOrdenes[[#This Row],[backlog_habiles]]&gt;p_dias_backlog_min,tblOrdenes[[#This Row],[backlog_habiles]]&lt;=p_dias_backlog_max))</f>
        <v/>
      </c>
      <c r="AE906" s="6" t="n"/>
      <c r="AF9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6" s="11">
        <f>IF(tblOrdenes[[#This Row],[orden]]="","",_xlfn.XLOOKUP(tblOrdenes[[#This Row],[id_operacion]],tblEjecucion[id_operacion],tblEjecucion[precio],0))</f>
        <v/>
      </c>
      <c r="AJ906" s="11">
        <f>IF(tblOrdenes[[#This Row],[orden]]="","",MAX(0,_xlfn.XLOOKUP(tblOrdenes[[#This Row],[id_operacion]],tblEjecucion[id_operacion],tblEjecucion[costo_plan_total],0)-tblOrdenes[[#This Row],[costo_servicio]]))</f>
        <v/>
      </c>
      <c r="AK906" s="11">
        <f>IF(tblOrdenes[[#This Row],[orden]]="","",tblOrdenes[[#This Row],[costo_servicio]]+tblOrdenes[[#This Row],[costo_materiales]])</f>
        <v/>
      </c>
      <c r="AL906" s="6" t="n"/>
      <c r="AM906" s="6" t="n"/>
      <c r="AN906" s="6" t="n"/>
      <c r="AO906" s="3">
        <f>IF(tblOrdenes[[#This Row],[link_checklist]]="","",HYPERLINK(p_ruta_base_checklists&amp;tblOrdenes[[#This Row],[link_checklist]],"abrir"))</f>
        <v/>
      </c>
      <c r="AP906" s="6" t="n"/>
      <c r="AQ906" s="3">
        <f>IF(tblOrdenes[[#This Row],[orden]]="","",tblOrdenes[[#This Row],[orden]]&amp;IF(tblOrdenes[[#This Row],[operacion]]="","0010",tblOrdenes[[#This Row],[operacion]]))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2" t="n"/>
      <c r="K907" s="3" t="n"/>
      <c r="L907" s="11" t="n"/>
      <c r="M9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7" s="3">
        <f>IF(tblOrdenes[[#This Row],[fecha_inicio]]="","",YEAR(tblOrdenes[[#This Row],[fecha_inicio]]))</f>
        <v/>
      </c>
      <c r="Q907" s="3">
        <f>IF(tblOrdenes[[#This Row],[fecha_inicio]]="","",MONTH(tblOrdenes[[#This Row],[fecha_inicio]]))</f>
        <v/>
      </c>
      <c r="R907" s="3">
        <f>IF(tblOrdenes[[#This Row],[fecha_inicio]]="","",INDEX(lista_dias,WEEKDAY(tblOrdenes[[#This Row],[fecha_inicio]],2)))</f>
        <v/>
      </c>
      <c r="S9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7" s="3">
        <f>IF(tblOrdenes[[#This Row],[tipo_ot]]="","",_xlfn.XLOOKUP(tblOrdenes[[#This Row],[tipo_ot]],tblTiposOT[codigo],tblTiposOT[clasificacion],"sin_clasificar"))</f>
        <v/>
      </c>
      <c r="U907" s="3">
        <f>IF(tblOrdenes[[#This Row],[centro_costo]]="","",_xlfn.XLOOKUP(tblOrdenes[[#This Row],[centro_costo]],tblCECO[codigo],tblCECO[linea],"(sin catálogo)"))</f>
        <v/>
      </c>
      <c r="V907" s="3">
        <f>IF(tblOrdenes[[#This Row],[centro_costo]]="","",_xlfn.XLOOKUP(tblOrdenes[[#This Row],[centro_costo]],tblCECO[codigo],tblCECO[area],"(sin catálogo)"))</f>
        <v/>
      </c>
      <c r="W9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7" s="3">
        <f>IF(tblOrdenes[[#This Row],[centro_costo]]="","",_xlfn.XLOOKUP(tblOrdenes[[#This Row],[centro_costo]],tblCECO[codigo],tblCECO[coordinador],"(sin catálogo)"))</f>
        <v/>
      </c>
      <c r="Y907" s="3">
        <f>IF(tblOrdenes[[#This Row],[puesto_trabajo]]="","",_xlfn.XLOOKUP(tblOrdenes[[#This Row],[puesto_trabajo]],tblPuestos[codigo],tblPuestos[especialidad],"(sin catálogo)"))</f>
        <v/>
      </c>
      <c r="Z907" s="3">
        <f>IF(tblOrdenes[[#This Row],[cod_actividad]]="","",_xlfn.XLOOKUP(tblOrdenes[[#This Row],[cod_actividad]],tblActividades[codigo],tblActividades[descripcion],"(sin catálogo)"))</f>
        <v/>
      </c>
      <c r="AA907" s="13">
        <f>IF(tblOrdenes[[#This Row],[fecha_inicio]]="","",TODAY()-tblOrdenes[[#This Row],[fecha_inicio]])</f>
        <v/>
      </c>
      <c r="AB9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7" s="3">
        <f>IF(tblOrdenes[[#This Row],[backlog_habiles]]="","",IF(tblOrdenes[[#This Row],[backlog_habiles]]&lt;0,"FUTURO",IF(tblOrdenes[[#This Row],[backlog_habiles]]&gt;p_dias_backlog_max,"BACKLOG","MES CORRIENTE")))</f>
        <v/>
      </c>
      <c r="AD907" s="3">
        <f>IF(tblOrdenes[[#This Row],[backlog_habiles]]="",FALSE,AND(tblOrdenes[[#This Row],[backlog_habiles]]&gt;p_dias_backlog_min,tblOrdenes[[#This Row],[backlog_habiles]]&lt;=p_dias_backlog_max))</f>
        <v/>
      </c>
      <c r="AE907" s="6" t="n"/>
      <c r="AF9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7" s="11">
        <f>IF(tblOrdenes[[#This Row],[orden]]="","",_xlfn.XLOOKUP(tblOrdenes[[#This Row],[id_operacion]],tblEjecucion[id_operacion],tblEjecucion[precio],0))</f>
        <v/>
      </c>
      <c r="AJ907" s="11">
        <f>IF(tblOrdenes[[#This Row],[orden]]="","",MAX(0,_xlfn.XLOOKUP(tblOrdenes[[#This Row],[id_operacion]],tblEjecucion[id_operacion],tblEjecucion[costo_plan_total],0)-tblOrdenes[[#This Row],[costo_servicio]]))</f>
        <v/>
      </c>
      <c r="AK907" s="11">
        <f>IF(tblOrdenes[[#This Row],[orden]]="","",tblOrdenes[[#This Row],[costo_servicio]]+tblOrdenes[[#This Row],[costo_materiales]])</f>
        <v/>
      </c>
      <c r="AL907" s="6" t="n"/>
      <c r="AM907" s="6" t="n"/>
      <c r="AN907" s="6" t="n"/>
      <c r="AO907" s="3">
        <f>IF(tblOrdenes[[#This Row],[link_checklist]]="","",HYPERLINK(p_ruta_base_checklists&amp;tblOrdenes[[#This Row],[link_checklist]],"abrir"))</f>
        <v/>
      </c>
      <c r="AP907" s="6" t="n"/>
      <c r="AQ907" s="3">
        <f>IF(tblOrdenes[[#This Row],[orden]]="","",tblOrdenes[[#This Row],[orden]]&amp;IF(tblOrdenes[[#This Row],[operacion]]="","0010",tblOrdenes[[#This Row],[operacion]]))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2" t="n"/>
      <c r="K908" s="3" t="n"/>
      <c r="L908" s="11" t="n"/>
      <c r="M9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8" s="3">
        <f>IF(tblOrdenes[[#This Row],[fecha_inicio]]="","",YEAR(tblOrdenes[[#This Row],[fecha_inicio]]))</f>
        <v/>
      </c>
      <c r="Q908" s="3">
        <f>IF(tblOrdenes[[#This Row],[fecha_inicio]]="","",MONTH(tblOrdenes[[#This Row],[fecha_inicio]]))</f>
        <v/>
      </c>
      <c r="R908" s="3">
        <f>IF(tblOrdenes[[#This Row],[fecha_inicio]]="","",INDEX(lista_dias,WEEKDAY(tblOrdenes[[#This Row],[fecha_inicio]],2)))</f>
        <v/>
      </c>
      <c r="S9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8" s="3">
        <f>IF(tblOrdenes[[#This Row],[tipo_ot]]="","",_xlfn.XLOOKUP(tblOrdenes[[#This Row],[tipo_ot]],tblTiposOT[codigo],tblTiposOT[clasificacion],"sin_clasificar"))</f>
        <v/>
      </c>
      <c r="U908" s="3">
        <f>IF(tblOrdenes[[#This Row],[centro_costo]]="","",_xlfn.XLOOKUP(tblOrdenes[[#This Row],[centro_costo]],tblCECO[codigo],tblCECO[linea],"(sin catálogo)"))</f>
        <v/>
      </c>
      <c r="V908" s="3">
        <f>IF(tblOrdenes[[#This Row],[centro_costo]]="","",_xlfn.XLOOKUP(tblOrdenes[[#This Row],[centro_costo]],tblCECO[codigo],tblCECO[area],"(sin catálogo)"))</f>
        <v/>
      </c>
      <c r="W9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8" s="3">
        <f>IF(tblOrdenes[[#This Row],[centro_costo]]="","",_xlfn.XLOOKUP(tblOrdenes[[#This Row],[centro_costo]],tblCECO[codigo],tblCECO[coordinador],"(sin catálogo)"))</f>
        <v/>
      </c>
      <c r="Y908" s="3">
        <f>IF(tblOrdenes[[#This Row],[puesto_trabajo]]="","",_xlfn.XLOOKUP(tblOrdenes[[#This Row],[puesto_trabajo]],tblPuestos[codigo],tblPuestos[especialidad],"(sin catálogo)"))</f>
        <v/>
      </c>
      <c r="Z908" s="3">
        <f>IF(tblOrdenes[[#This Row],[cod_actividad]]="","",_xlfn.XLOOKUP(tblOrdenes[[#This Row],[cod_actividad]],tblActividades[codigo],tblActividades[descripcion],"(sin catálogo)"))</f>
        <v/>
      </c>
      <c r="AA908" s="13">
        <f>IF(tblOrdenes[[#This Row],[fecha_inicio]]="","",TODAY()-tblOrdenes[[#This Row],[fecha_inicio]])</f>
        <v/>
      </c>
      <c r="AB9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8" s="3">
        <f>IF(tblOrdenes[[#This Row],[backlog_habiles]]="","",IF(tblOrdenes[[#This Row],[backlog_habiles]]&lt;0,"FUTURO",IF(tblOrdenes[[#This Row],[backlog_habiles]]&gt;p_dias_backlog_max,"BACKLOG","MES CORRIENTE")))</f>
        <v/>
      </c>
      <c r="AD908" s="3">
        <f>IF(tblOrdenes[[#This Row],[backlog_habiles]]="",FALSE,AND(tblOrdenes[[#This Row],[backlog_habiles]]&gt;p_dias_backlog_min,tblOrdenes[[#This Row],[backlog_habiles]]&lt;=p_dias_backlog_max))</f>
        <v/>
      </c>
      <c r="AE908" s="6" t="n"/>
      <c r="AF9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8" s="11">
        <f>IF(tblOrdenes[[#This Row],[orden]]="","",_xlfn.XLOOKUP(tblOrdenes[[#This Row],[id_operacion]],tblEjecucion[id_operacion],tblEjecucion[precio],0))</f>
        <v/>
      </c>
      <c r="AJ908" s="11">
        <f>IF(tblOrdenes[[#This Row],[orden]]="","",MAX(0,_xlfn.XLOOKUP(tblOrdenes[[#This Row],[id_operacion]],tblEjecucion[id_operacion],tblEjecucion[costo_plan_total],0)-tblOrdenes[[#This Row],[costo_servicio]]))</f>
        <v/>
      </c>
      <c r="AK908" s="11">
        <f>IF(tblOrdenes[[#This Row],[orden]]="","",tblOrdenes[[#This Row],[costo_servicio]]+tblOrdenes[[#This Row],[costo_materiales]])</f>
        <v/>
      </c>
      <c r="AL908" s="6" t="n"/>
      <c r="AM908" s="6" t="n"/>
      <c r="AN908" s="6" t="n"/>
      <c r="AO908" s="3">
        <f>IF(tblOrdenes[[#This Row],[link_checklist]]="","",HYPERLINK(p_ruta_base_checklists&amp;tblOrdenes[[#This Row],[link_checklist]],"abrir"))</f>
        <v/>
      </c>
      <c r="AP908" s="6" t="n"/>
      <c r="AQ908" s="3">
        <f>IF(tblOrdenes[[#This Row],[orden]]="","",tblOrdenes[[#This Row],[orden]]&amp;IF(tblOrdenes[[#This Row],[operacion]]="","0010",tblOrdenes[[#This Row],[operacion]]))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2" t="n"/>
      <c r="K909" s="3" t="n"/>
      <c r="L909" s="11" t="n"/>
      <c r="M9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9" s="3">
        <f>IF(tblOrdenes[[#This Row],[fecha_inicio]]="","",YEAR(tblOrdenes[[#This Row],[fecha_inicio]]))</f>
        <v/>
      </c>
      <c r="Q909" s="3">
        <f>IF(tblOrdenes[[#This Row],[fecha_inicio]]="","",MONTH(tblOrdenes[[#This Row],[fecha_inicio]]))</f>
        <v/>
      </c>
      <c r="R909" s="3">
        <f>IF(tblOrdenes[[#This Row],[fecha_inicio]]="","",INDEX(lista_dias,WEEKDAY(tblOrdenes[[#This Row],[fecha_inicio]],2)))</f>
        <v/>
      </c>
      <c r="S9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9" s="3">
        <f>IF(tblOrdenes[[#This Row],[tipo_ot]]="","",_xlfn.XLOOKUP(tblOrdenes[[#This Row],[tipo_ot]],tblTiposOT[codigo],tblTiposOT[clasificacion],"sin_clasificar"))</f>
        <v/>
      </c>
      <c r="U909" s="3">
        <f>IF(tblOrdenes[[#This Row],[centro_costo]]="","",_xlfn.XLOOKUP(tblOrdenes[[#This Row],[centro_costo]],tblCECO[codigo],tblCECO[linea],"(sin catálogo)"))</f>
        <v/>
      </c>
      <c r="V909" s="3">
        <f>IF(tblOrdenes[[#This Row],[centro_costo]]="","",_xlfn.XLOOKUP(tblOrdenes[[#This Row],[centro_costo]],tblCECO[codigo],tblCECO[area],"(sin catálogo)"))</f>
        <v/>
      </c>
      <c r="W9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9" s="3">
        <f>IF(tblOrdenes[[#This Row],[centro_costo]]="","",_xlfn.XLOOKUP(tblOrdenes[[#This Row],[centro_costo]],tblCECO[codigo],tblCECO[coordinador],"(sin catálogo)"))</f>
        <v/>
      </c>
      <c r="Y909" s="3">
        <f>IF(tblOrdenes[[#This Row],[puesto_trabajo]]="","",_xlfn.XLOOKUP(tblOrdenes[[#This Row],[puesto_trabajo]],tblPuestos[codigo],tblPuestos[especialidad],"(sin catálogo)"))</f>
        <v/>
      </c>
      <c r="Z909" s="3">
        <f>IF(tblOrdenes[[#This Row],[cod_actividad]]="","",_xlfn.XLOOKUP(tblOrdenes[[#This Row],[cod_actividad]],tblActividades[codigo],tblActividades[descripcion],"(sin catálogo)"))</f>
        <v/>
      </c>
      <c r="AA909" s="13">
        <f>IF(tblOrdenes[[#This Row],[fecha_inicio]]="","",TODAY()-tblOrdenes[[#This Row],[fecha_inicio]])</f>
        <v/>
      </c>
      <c r="AB9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9" s="3">
        <f>IF(tblOrdenes[[#This Row],[backlog_habiles]]="","",IF(tblOrdenes[[#This Row],[backlog_habiles]]&lt;0,"FUTURO",IF(tblOrdenes[[#This Row],[backlog_habiles]]&gt;p_dias_backlog_max,"BACKLOG","MES CORRIENTE")))</f>
        <v/>
      </c>
      <c r="AD909" s="3">
        <f>IF(tblOrdenes[[#This Row],[backlog_habiles]]="",FALSE,AND(tblOrdenes[[#This Row],[backlog_habiles]]&gt;p_dias_backlog_min,tblOrdenes[[#This Row],[backlog_habiles]]&lt;=p_dias_backlog_max))</f>
        <v/>
      </c>
      <c r="AE909" s="6" t="n"/>
      <c r="AF9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9" s="11">
        <f>IF(tblOrdenes[[#This Row],[orden]]="","",_xlfn.XLOOKUP(tblOrdenes[[#This Row],[id_operacion]],tblEjecucion[id_operacion],tblEjecucion[precio],0))</f>
        <v/>
      </c>
      <c r="AJ909" s="11">
        <f>IF(tblOrdenes[[#This Row],[orden]]="","",MAX(0,_xlfn.XLOOKUP(tblOrdenes[[#This Row],[id_operacion]],tblEjecucion[id_operacion],tblEjecucion[costo_plan_total],0)-tblOrdenes[[#This Row],[costo_servicio]]))</f>
        <v/>
      </c>
      <c r="AK909" s="11">
        <f>IF(tblOrdenes[[#This Row],[orden]]="","",tblOrdenes[[#This Row],[costo_servicio]]+tblOrdenes[[#This Row],[costo_materiales]])</f>
        <v/>
      </c>
      <c r="AL909" s="6" t="n"/>
      <c r="AM909" s="6" t="n"/>
      <c r="AN909" s="6" t="n"/>
      <c r="AO909" s="3">
        <f>IF(tblOrdenes[[#This Row],[link_checklist]]="","",HYPERLINK(p_ruta_base_checklists&amp;tblOrdenes[[#This Row],[link_checklist]],"abrir"))</f>
        <v/>
      </c>
      <c r="AP909" s="6" t="n"/>
      <c r="AQ909" s="3">
        <f>IF(tblOrdenes[[#This Row],[orden]]="","",tblOrdenes[[#This Row],[orden]]&amp;IF(tblOrdenes[[#This Row],[operacion]]="","0010",tblOrdenes[[#This Row],[operacion]]))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2" t="n"/>
      <c r="K910" s="3" t="n"/>
      <c r="L910" s="11" t="n"/>
      <c r="M9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0" s="3">
        <f>IF(tblOrdenes[[#This Row],[fecha_inicio]]="","",YEAR(tblOrdenes[[#This Row],[fecha_inicio]]))</f>
        <v/>
      </c>
      <c r="Q910" s="3">
        <f>IF(tblOrdenes[[#This Row],[fecha_inicio]]="","",MONTH(tblOrdenes[[#This Row],[fecha_inicio]]))</f>
        <v/>
      </c>
      <c r="R910" s="3">
        <f>IF(tblOrdenes[[#This Row],[fecha_inicio]]="","",INDEX(lista_dias,WEEKDAY(tblOrdenes[[#This Row],[fecha_inicio]],2)))</f>
        <v/>
      </c>
      <c r="S9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0" s="3">
        <f>IF(tblOrdenes[[#This Row],[tipo_ot]]="","",_xlfn.XLOOKUP(tblOrdenes[[#This Row],[tipo_ot]],tblTiposOT[codigo],tblTiposOT[clasificacion],"sin_clasificar"))</f>
        <v/>
      </c>
      <c r="U910" s="3">
        <f>IF(tblOrdenes[[#This Row],[centro_costo]]="","",_xlfn.XLOOKUP(tblOrdenes[[#This Row],[centro_costo]],tblCECO[codigo],tblCECO[linea],"(sin catálogo)"))</f>
        <v/>
      </c>
      <c r="V910" s="3">
        <f>IF(tblOrdenes[[#This Row],[centro_costo]]="","",_xlfn.XLOOKUP(tblOrdenes[[#This Row],[centro_costo]],tblCECO[codigo],tblCECO[area],"(sin catálogo)"))</f>
        <v/>
      </c>
      <c r="W9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0" s="3">
        <f>IF(tblOrdenes[[#This Row],[centro_costo]]="","",_xlfn.XLOOKUP(tblOrdenes[[#This Row],[centro_costo]],tblCECO[codigo],tblCECO[coordinador],"(sin catálogo)"))</f>
        <v/>
      </c>
      <c r="Y910" s="3">
        <f>IF(tblOrdenes[[#This Row],[puesto_trabajo]]="","",_xlfn.XLOOKUP(tblOrdenes[[#This Row],[puesto_trabajo]],tblPuestos[codigo],tblPuestos[especialidad],"(sin catálogo)"))</f>
        <v/>
      </c>
      <c r="Z910" s="3">
        <f>IF(tblOrdenes[[#This Row],[cod_actividad]]="","",_xlfn.XLOOKUP(tblOrdenes[[#This Row],[cod_actividad]],tblActividades[codigo],tblActividades[descripcion],"(sin catálogo)"))</f>
        <v/>
      </c>
      <c r="AA910" s="13">
        <f>IF(tblOrdenes[[#This Row],[fecha_inicio]]="","",TODAY()-tblOrdenes[[#This Row],[fecha_inicio]])</f>
        <v/>
      </c>
      <c r="AB9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0" s="3">
        <f>IF(tblOrdenes[[#This Row],[backlog_habiles]]="","",IF(tblOrdenes[[#This Row],[backlog_habiles]]&lt;0,"FUTURO",IF(tblOrdenes[[#This Row],[backlog_habiles]]&gt;p_dias_backlog_max,"BACKLOG","MES CORRIENTE")))</f>
        <v/>
      </c>
      <c r="AD910" s="3">
        <f>IF(tblOrdenes[[#This Row],[backlog_habiles]]="",FALSE,AND(tblOrdenes[[#This Row],[backlog_habiles]]&gt;p_dias_backlog_min,tblOrdenes[[#This Row],[backlog_habiles]]&lt;=p_dias_backlog_max))</f>
        <v/>
      </c>
      <c r="AE910" s="6" t="n"/>
      <c r="AF9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0" s="11">
        <f>IF(tblOrdenes[[#This Row],[orden]]="","",_xlfn.XLOOKUP(tblOrdenes[[#This Row],[id_operacion]],tblEjecucion[id_operacion],tblEjecucion[precio],0))</f>
        <v/>
      </c>
      <c r="AJ910" s="11">
        <f>IF(tblOrdenes[[#This Row],[orden]]="","",MAX(0,_xlfn.XLOOKUP(tblOrdenes[[#This Row],[id_operacion]],tblEjecucion[id_operacion],tblEjecucion[costo_plan_total],0)-tblOrdenes[[#This Row],[costo_servicio]]))</f>
        <v/>
      </c>
      <c r="AK910" s="11">
        <f>IF(tblOrdenes[[#This Row],[orden]]="","",tblOrdenes[[#This Row],[costo_servicio]]+tblOrdenes[[#This Row],[costo_materiales]])</f>
        <v/>
      </c>
      <c r="AL910" s="6" t="n"/>
      <c r="AM910" s="6" t="n"/>
      <c r="AN910" s="6" t="n"/>
      <c r="AO910" s="3">
        <f>IF(tblOrdenes[[#This Row],[link_checklist]]="","",HYPERLINK(p_ruta_base_checklists&amp;tblOrdenes[[#This Row],[link_checklist]],"abrir"))</f>
        <v/>
      </c>
      <c r="AP910" s="6" t="n"/>
      <c r="AQ910" s="3">
        <f>IF(tblOrdenes[[#This Row],[orden]]="","",tblOrdenes[[#This Row],[orden]]&amp;IF(tblOrdenes[[#This Row],[operacion]]="","0010",tblOrdenes[[#This Row],[operacion]]))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2" t="n"/>
      <c r="K911" s="3" t="n"/>
      <c r="L911" s="11" t="n"/>
      <c r="M9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1" s="3">
        <f>IF(tblOrdenes[[#This Row],[fecha_inicio]]="","",YEAR(tblOrdenes[[#This Row],[fecha_inicio]]))</f>
        <v/>
      </c>
      <c r="Q911" s="3">
        <f>IF(tblOrdenes[[#This Row],[fecha_inicio]]="","",MONTH(tblOrdenes[[#This Row],[fecha_inicio]]))</f>
        <v/>
      </c>
      <c r="R911" s="3">
        <f>IF(tblOrdenes[[#This Row],[fecha_inicio]]="","",INDEX(lista_dias,WEEKDAY(tblOrdenes[[#This Row],[fecha_inicio]],2)))</f>
        <v/>
      </c>
      <c r="S9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1" s="3">
        <f>IF(tblOrdenes[[#This Row],[tipo_ot]]="","",_xlfn.XLOOKUP(tblOrdenes[[#This Row],[tipo_ot]],tblTiposOT[codigo],tblTiposOT[clasificacion],"sin_clasificar"))</f>
        <v/>
      </c>
      <c r="U911" s="3">
        <f>IF(tblOrdenes[[#This Row],[centro_costo]]="","",_xlfn.XLOOKUP(tblOrdenes[[#This Row],[centro_costo]],tblCECO[codigo],tblCECO[linea],"(sin catálogo)"))</f>
        <v/>
      </c>
      <c r="V911" s="3">
        <f>IF(tblOrdenes[[#This Row],[centro_costo]]="","",_xlfn.XLOOKUP(tblOrdenes[[#This Row],[centro_costo]],tblCECO[codigo],tblCECO[area],"(sin catálogo)"))</f>
        <v/>
      </c>
      <c r="W9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1" s="3">
        <f>IF(tblOrdenes[[#This Row],[centro_costo]]="","",_xlfn.XLOOKUP(tblOrdenes[[#This Row],[centro_costo]],tblCECO[codigo],tblCECO[coordinador],"(sin catálogo)"))</f>
        <v/>
      </c>
      <c r="Y911" s="3">
        <f>IF(tblOrdenes[[#This Row],[puesto_trabajo]]="","",_xlfn.XLOOKUP(tblOrdenes[[#This Row],[puesto_trabajo]],tblPuestos[codigo],tblPuestos[especialidad],"(sin catálogo)"))</f>
        <v/>
      </c>
      <c r="Z911" s="3">
        <f>IF(tblOrdenes[[#This Row],[cod_actividad]]="","",_xlfn.XLOOKUP(tblOrdenes[[#This Row],[cod_actividad]],tblActividades[codigo],tblActividades[descripcion],"(sin catálogo)"))</f>
        <v/>
      </c>
      <c r="AA911" s="13">
        <f>IF(tblOrdenes[[#This Row],[fecha_inicio]]="","",TODAY()-tblOrdenes[[#This Row],[fecha_inicio]])</f>
        <v/>
      </c>
      <c r="AB9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1" s="3">
        <f>IF(tblOrdenes[[#This Row],[backlog_habiles]]="","",IF(tblOrdenes[[#This Row],[backlog_habiles]]&lt;0,"FUTURO",IF(tblOrdenes[[#This Row],[backlog_habiles]]&gt;p_dias_backlog_max,"BACKLOG","MES CORRIENTE")))</f>
        <v/>
      </c>
      <c r="AD911" s="3">
        <f>IF(tblOrdenes[[#This Row],[backlog_habiles]]="",FALSE,AND(tblOrdenes[[#This Row],[backlog_habiles]]&gt;p_dias_backlog_min,tblOrdenes[[#This Row],[backlog_habiles]]&lt;=p_dias_backlog_max))</f>
        <v/>
      </c>
      <c r="AE911" s="6" t="n"/>
      <c r="AF9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1" s="11">
        <f>IF(tblOrdenes[[#This Row],[orden]]="","",_xlfn.XLOOKUP(tblOrdenes[[#This Row],[id_operacion]],tblEjecucion[id_operacion],tblEjecucion[precio],0))</f>
        <v/>
      </c>
      <c r="AJ911" s="11">
        <f>IF(tblOrdenes[[#This Row],[orden]]="","",MAX(0,_xlfn.XLOOKUP(tblOrdenes[[#This Row],[id_operacion]],tblEjecucion[id_operacion],tblEjecucion[costo_plan_total],0)-tblOrdenes[[#This Row],[costo_servicio]]))</f>
        <v/>
      </c>
      <c r="AK911" s="11">
        <f>IF(tblOrdenes[[#This Row],[orden]]="","",tblOrdenes[[#This Row],[costo_servicio]]+tblOrdenes[[#This Row],[costo_materiales]])</f>
        <v/>
      </c>
      <c r="AL911" s="6" t="n"/>
      <c r="AM911" s="6" t="n"/>
      <c r="AN911" s="6" t="n"/>
      <c r="AO911" s="3">
        <f>IF(tblOrdenes[[#This Row],[link_checklist]]="","",HYPERLINK(p_ruta_base_checklists&amp;tblOrdenes[[#This Row],[link_checklist]],"abrir"))</f>
        <v/>
      </c>
      <c r="AP911" s="6" t="n"/>
      <c r="AQ911" s="3">
        <f>IF(tblOrdenes[[#This Row],[orden]]="","",tblOrdenes[[#This Row],[orden]]&amp;IF(tblOrdenes[[#This Row],[operacion]]="","0010",tblOrdenes[[#This Row],[operacion]]))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2" t="n"/>
      <c r="K912" s="3" t="n"/>
      <c r="L912" s="11" t="n"/>
      <c r="M9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2" s="3">
        <f>IF(tblOrdenes[[#This Row],[fecha_inicio]]="","",YEAR(tblOrdenes[[#This Row],[fecha_inicio]]))</f>
        <v/>
      </c>
      <c r="Q912" s="3">
        <f>IF(tblOrdenes[[#This Row],[fecha_inicio]]="","",MONTH(tblOrdenes[[#This Row],[fecha_inicio]]))</f>
        <v/>
      </c>
      <c r="R912" s="3">
        <f>IF(tblOrdenes[[#This Row],[fecha_inicio]]="","",INDEX(lista_dias,WEEKDAY(tblOrdenes[[#This Row],[fecha_inicio]],2)))</f>
        <v/>
      </c>
      <c r="S9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2" s="3">
        <f>IF(tblOrdenes[[#This Row],[tipo_ot]]="","",_xlfn.XLOOKUP(tblOrdenes[[#This Row],[tipo_ot]],tblTiposOT[codigo],tblTiposOT[clasificacion],"sin_clasificar"))</f>
        <v/>
      </c>
      <c r="U912" s="3">
        <f>IF(tblOrdenes[[#This Row],[centro_costo]]="","",_xlfn.XLOOKUP(tblOrdenes[[#This Row],[centro_costo]],tblCECO[codigo],tblCECO[linea],"(sin catálogo)"))</f>
        <v/>
      </c>
      <c r="V912" s="3">
        <f>IF(tblOrdenes[[#This Row],[centro_costo]]="","",_xlfn.XLOOKUP(tblOrdenes[[#This Row],[centro_costo]],tblCECO[codigo],tblCECO[area],"(sin catálogo)"))</f>
        <v/>
      </c>
      <c r="W9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2" s="3">
        <f>IF(tblOrdenes[[#This Row],[centro_costo]]="","",_xlfn.XLOOKUP(tblOrdenes[[#This Row],[centro_costo]],tblCECO[codigo],tblCECO[coordinador],"(sin catálogo)"))</f>
        <v/>
      </c>
      <c r="Y912" s="3">
        <f>IF(tblOrdenes[[#This Row],[puesto_trabajo]]="","",_xlfn.XLOOKUP(tblOrdenes[[#This Row],[puesto_trabajo]],tblPuestos[codigo],tblPuestos[especialidad],"(sin catálogo)"))</f>
        <v/>
      </c>
      <c r="Z912" s="3">
        <f>IF(tblOrdenes[[#This Row],[cod_actividad]]="","",_xlfn.XLOOKUP(tblOrdenes[[#This Row],[cod_actividad]],tblActividades[codigo],tblActividades[descripcion],"(sin catálogo)"))</f>
        <v/>
      </c>
      <c r="AA912" s="13">
        <f>IF(tblOrdenes[[#This Row],[fecha_inicio]]="","",TODAY()-tblOrdenes[[#This Row],[fecha_inicio]])</f>
        <v/>
      </c>
      <c r="AB9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2" s="3">
        <f>IF(tblOrdenes[[#This Row],[backlog_habiles]]="","",IF(tblOrdenes[[#This Row],[backlog_habiles]]&lt;0,"FUTURO",IF(tblOrdenes[[#This Row],[backlog_habiles]]&gt;p_dias_backlog_max,"BACKLOG","MES CORRIENTE")))</f>
        <v/>
      </c>
      <c r="AD912" s="3">
        <f>IF(tblOrdenes[[#This Row],[backlog_habiles]]="",FALSE,AND(tblOrdenes[[#This Row],[backlog_habiles]]&gt;p_dias_backlog_min,tblOrdenes[[#This Row],[backlog_habiles]]&lt;=p_dias_backlog_max))</f>
        <v/>
      </c>
      <c r="AE912" s="6" t="n"/>
      <c r="AF9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2" s="11">
        <f>IF(tblOrdenes[[#This Row],[orden]]="","",_xlfn.XLOOKUP(tblOrdenes[[#This Row],[id_operacion]],tblEjecucion[id_operacion],tblEjecucion[precio],0))</f>
        <v/>
      </c>
      <c r="AJ912" s="11">
        <f>IF(tblOrdenes[[#This Row],[orden]]="","",MAX(0,_xlfn.XLOOKUP(tblOrdenes[[#This Row],[id_operacion]],tblEjecucion[id_operacion],tblEjecucion[costo_plan_total],0)-tblOrdenes[[#This Row],[costo_servicio]]))</f>
        <v/>
      </c>
      <c r="AK912" s="11">
        <f>IF(tblOrdenes[[#This Row],[orden]]="","",tblOrdenes[[#This Row],[costo_servicio]]+tblOrdenes[[#This Row],[costo_materiales]])</f>
        <v/>
      </c>
      <c r="AL912" s="6" t="n"/>
      <c r="AM912" s="6" t="n"/>
      <c r="AN912" s="6" t="n"/>
      <c r="AO912" s="3">
        <f>IF(tblOrdenes[[#This Row],[link_checklist]]="","",HYPERLINK(p_ruta_base_checklists&amp;tblOrdenes[[#This Row],[link_checklist]],"abrir"))</f>
        <v/>
      </c>
      <c r="AP912" s="6" t="n"/>
      <c r="AQ912" s="3">
        <f>IF(tblOrdenes[[#This Row],[orden]]="","",tblOrdenes[[#This Row],[orden]]&amp;IF(tblOrdenes[[#This Row],[operacion]]="","0010",tblOrdenes[[#This Row],[operacion]]))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2" t="n"/>
      <c r="K913" s="3" t="n"/>
      <c r="L913" s="11" t="n"/>
      <c r="M9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3" s="3">
        <f>IF(tblOrdenes[[#This Row],[fecha_inicio]]="","",YEAR(tblOrdenes[[#This Row],[fecha_inicio]]))</f>
        <v/>
      </c>
      <c r="Q913" s="3">
        <f>IF(tblOrdenes[[#This Row],[fecha_inicio]]="","",MONTH(tblOrdenes[[#This Row],[fecha_inicio]]))</f>
        <v/>
      </c>
      <c r="R913" s="3">
        <f>IF(tblOrdenes[[#This Row],[fecha_inicio]]="","",INDEX(lista_dias,WEEKDAY(tblOrdenes[[#This Row],[fecha_inicio]],2)))</f>
        <v/>
      </c>
      <c r="S9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3" s="3">
        <f>IF(tblOrdenes[[#This Row],[tipo_ot]]="","",_xlfn.XLOOKUP(tblOrdenes[[#This Row],[tipo_ot]],tblTiposOT[codigo],tblTiposOT[clasificacion],"sin_clasificar"))</f>
        <v/>
      </c>
      <c r="U913" s="3">
        <f>IF(tblOrdenes[[#This Row],[centro_costo]]="","",_xlfn.XLOOKUP(tblOrdenes[[#This Row],[centro_costo]],tblCECO[codigo],tblCECO[linea],"(sin catálogo)"))</f>
        <v/>
      </c>
      <c r="V913" s="3">
        <f>IF(tblOrdenes[[#This Row],[centro_costo]]="","",_xlfn.XLOOKUP(tblOrdenes[[#This Row],[centro_costo]],tblCECO[codigo],tblCECO[area],"(sin catálogo)"))</f>
        <v/>
      </c>
      <c r="W9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3" s="3">
        <f>IF(tblOrdenes[[#This Row],[centro_costo]]="","",_xlfn.XLOOKUP(tblOrdenes[[#This Row],[centro_costo]],tblCECO[codigo],tblCECO[coordinador],"(sin catálogo)"))</f>
        <v/>
      </c>
      <c r="Y913" s="3">
        <f>IF(tblOrdenes[[#This Row],[puesto_trabajo]]="","",_xlfn.XLOOKUP(tblOrdenes[[#This Row],[puesto_trabajo]],tblPuestos[codigo],tblPuestos[especialidad],"(sin catálogo)"))</f>
        <v/>
      </c>
      <c r="Z913" s="3">
        <f>IF(tblOrdenes[[#This Row],[cod_actividad]]="","",_xlfn.XLOOKUP(tblOrdenes[[#This Row],[cod_actividad]],tblActividades[codigo],tblActividades[descripcion],"(sin catálogo)"))</f>
        <v/>
      </c>
      <c r="AA913" s="13">
        <f>IF(tblOrdenes[[#This Row],[fecha_inicio]]="","",TODAY()-tblOrdenes[[#This Row],[fecha_inicio]])</f>
        <v/>
      </c>
      <c r="AB9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3" s="3">
        <f>IF(tblOrdenes[[#This Row],[backlog_habiles]]="","",IF(tblOrdenes[[#This Row],[backlog_habiles]]&lt;0,"FUTURO",IF(tblOrdenes[[#This Row],[backlog_habiles]]&gt;p_dias_backlog_max,"BACKLOG","MES CORRIENTE")))</f>
        <v/>
      </c>
      <c r="AD913" s="3">
        <f>IF(tblOrdenes[[#This Row],[backlog_habiles]]="",FALSE,AND(tblOrdenes[[#This Row],[backlog_habiles]]&gt;p_dias_backlog_min,tblOrdenes[[#This Row],[backlog_habiles]]&lt;=p_dias_backlog_max))</f>
        <v/>
      </c>
      <c r="AE913" s="6" t="n"/>
      <c r="AF9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3" s="11">
        <f>IF(tblOrdenes[[#This Row],[orden]]="","",_xlfn.XLOOKUP(tblOrdenes[[#This Row],[id_operacion]],tblEjecucion[id_operacion],tblEjecucion[precio],0))</f>
        <v/>
      </c>
      <c r="AJ913" s="11">
        <f>IF(tblOrdenes[[#This Row],[orden]]="","",MAX(0,_xlfn.XLOOKUP(tblOrdenes[[#This Row],[id_operacion]],tblEjecucion[id_operacion],tblEjecucion[costo_plan_total],0)-tblOrdenes[[#This Row],[costo_servicio]]))</f>
        <v/>
      </c>
      <c r="AK913" s="11">
        <f>IF(tblOrdenes[[#This Row],[orden]]="","",tblOrdenes[[#This Row],[costo_servicio]]+tblOrdenes[[#This Row],[costo_materiales]])</f>
        <v/>
      </c>
      <c r="AL913" s="6" t="n"/>
      <c r="AM913" s="6" t="n"/>
      <c r="AN913" s="6" t="n"/>
      <c r="AO913" s="3">
        <f>IF(tblOrdenes[[#This Row],[link_checklist]]="","",HYPERLINK(p_ruta_base_checklists&amp;tblOrdenes[[#This Row],[link_checklist]],"abrir"))</f>
        <v/>
      </c>
      <c r="AP913" s="6" t="n"/>
      <c r="AQ913" s="3">
        <f>IF(tblOrdenes[[#This Row],[orden]]="","",tblOrdenes[[#This Row],[orden]]&amp;IF(tblOrdenes[[#This Row],[operacion]]="","0010",tblOrdenes[[#This Row],[operacion]]))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2" t="n"/>
      <c r="K914" s="3" t="n"/>
      <c r="L914" s="11" t="n"/>
      <c r="M9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4" s="3">
        <f>IF(tblOrdenes[[#This Row],[fecha_inicio]]="","",YEAR(tblOrdenes[[#This Row],[fecha_inicio]]))</f>
        <v/>
      </c>
      <c r="Q914" s="3">
        <f>IF(tblOrdenes[[#This Row],[fecha_inicio]]="","",MONTH(tblOrdenes[[#This Row],[fecha_inicio]]))</f>
        <v/>
      </c>
      <c r="R914" s="3">
        <f>IF(tblOrdenes[[#This Row],[fecha_inicio]]="","",INDEX(lista_dias,WEEKDAY(tblOrdenes[[#This Row],[fecha_inicio]],2)))</f>
        <v/>
      </c>
      <c r="S9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4" s="3">
        <f>IF(tblOrdenes[[#This Row],[tipo_ot]]="","",_xlfn.XLOOKUP(tblOrdenes[[#This Row],[tipo_ot]],tblTiposOT[codigo],tblTiposOT[clasificacion],"sin_clasificar"))</f>
        <v/>
      </c>
      <c r="U914" s="3">
        <f>IF(tblOrdenes[[#This Row],[centro_costo]]="","",_xlfn.XLOOKUP(tblOrdenes[[#This Row],[centro_costo]],tblCECO[codigo],tblCECO[linea],"(sin catálogo)"))</f>
        <v/>
      </c>
      <c r="V914" s="3">
        <f>IF(tblOrdenes[[#This Row],[centro_costo]]="","",_xlfn.XLOOKUP(tblOrdenes[[#This Row],[centro_costo]],tblCECO[codigo],tblCECO[area],"(sin catálogo)"))</f>
        <v/>
      </c>
      <c r="W9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4" s="3">
        <f>IF(tblOrdenes[[#This Row],[centro_costo]]="","",_xlfn.XLOOKUP(tblOrdenes[[#This Row],[centro_costo]],tblCECO[codigo],tblCECO[coordinador],"(sin catálogo)"))</f>
        <v/>
      </c>
      <c r="Y914" s="3">
        <f>IF(tblOrdenes[[#This Row],[puesto_trabajo]]="","",_xlfn.XLOOKUP(tblOrdenes[[#This Row],[puesto_trabajo]],tblPuestos[codigo],tblPuestos[especialidad],"(sin catálogo)"))</f>
        <v/>
      </c>
      <c r="Z914" s="3">
        <f>IF(tblOrdenes[[#This Row],[cod_actividad]]="","",_xlfn.XLOOKUP(tblOrdenes[[#This Row],[cod_actividad]],tblActividades[codigo],tblActividades[descripcion],"(sin catálogo)"))</f>
        <v/>
      </c>
      <c r="AA914" s="13">
        <f>IF(tblOrdenes[[#This Row],[fecha_inicio]]="","",TODAY()-tblOrdenes[[#This Row],[fecha_inicio]])</f>
        <v/>
      </c>
      <c r="AB9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4" s="3">
        <f>IF(tblOrdenes[[#This Row],[backlog_habiles]]="","",IF(tblOrdenes[[#This Row],[backlog_habiles]]&lt;0,"FUTURO",IF(tblOrdenes[[#This Row],[backlog_habiles]]&gt;p_dias_backlog_max,"BACKLOG","MES CORRIENTE")))</f>
        <v/>
      </c>
      <c r="AD914" s="3">
        <f>IF(tblOrdenes[[#This Row],[backlog_habiles]]="",FALSE,AND(tblOrdenes[[#This Row],[backlog_habiles]]&gt;p_dias_backlog_min,tblOrdenes[[#This Row],[backlog_habiles]]&lt;=p_dias_backlog_max))</f>
        <v/>
      </c>
      <c r="AE914" s="6" t="n"/>
      <c r="AF9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4" s="11">
        <f>IF(tblOrdenes[[#This Row],[orden]]="","",_xlfn.XLOOKUP(tblOrdenes[[#This Row],[id_operacion]],tblEjecucion[id_operacion],tblEjecucion[precio],0))</f>
        <v/>
      </c>
      <c r="AJ914" s="11">
        <f>IF(tblOrdenes[[#This Row],[orden]]="","",MAX(0,_xlfn.XLOOKUP(tblOrdenes[[#This Row],[id_operacion]],tblEjecucion[id_operacion],tblEjecucion[costo_plan_total],0)-tblOrdenes[[#This Row],[costo_servicio]]))</f>
        <v/>
      </c>
      <c r="AK914" s="11">
        <f>IF(tblOrdenes[[#This Row],[orden]]="","",tblOrdenes[[#This Row],[costo_servicio]]+tblOrdenes[[#This Row],[costo_materiales]])</f>
        <v/>
      </c>
      <c r="AL914" s="6" t="n"/>
      <c r="AM914" s="6" t="n"/>
      <c r="AN914" s="6" t="n"/>
      <c r="AO914" s="3">
        <f>IF(tblOrdenes[[#This Row],[link_checklist]]="","",HYPERLINK(p_ruta_base_checklists&amp;tblOrdenes[[#This Row],[link_checklist]],"abrir"))</f>
        <v/>
      </c>
      <c r="AP914" s="6" t="n"/>
      <c r="AQ914" s="3">
        <f>IF(tblOrdenes[[#This Row],[orden]]="","",tblOrdenes[[#This Row],[orden]]&amp;IF(tblOrdenes[[#This Row],[operacion]]="","0010",tblOrdenes[[#This Row],[operacion]]))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2" t="n"/>
      <c r="K915" s="3" t="n"/>
      <c r="L915" s="11" t="n"/>
      <c r="M9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5" s="3">
        <f>IF(tblOrdenes[[#This Row],[fecha_inicio]]="","",YEAR(tblOrdenes[[#This Row],[fecha_inicio]]))</f>
        <v/>
      </c>
      <c r="Q915" s="3">
        <f>IF(tblOrdenes[[#This Row],[fecha_inicio]]="","",MONTH(tblOrdenes[[#This Row],[fecha_inicio]]))</f>
        <v/>
      </c>
      <c r="R915" s="3">
        <f>IF(tblOrdenes[[#This Row],[fecha_inicio]]="","",INDEX(lista_dias,WEEKDAY(tblOrdenes[[#This Row],[fecha_inicio]],2)))</f>
        <v/>
      </c>
      <c r="S9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5" s="3">
        <f>IF(tblOrdenes[[#This Row],[tipo_ot]]="","",_xlfn.XLOOKUP(tblOrdenes[[#This Row],[tipo_ot]],tblTiposOT[codigo],tblTiposOT[clasificacion],"sin_clasificar"))</f>
        <v/>
      </c>
      <c r="U915" s="3">
        <f>IF(tblOrdenes[[#This Row],[centro_costo]]="","",_xlfn.XLOOKUP(tblOrdenes[[#This Row],[centro_costo]],tblCECO[codigo],tblCECO[linea],"(sin catálogo)"))</f>
        <v/>
      </c>
      <c r="V915" s="3">
        <f>IF(tblOrdenes[[#This Row],[centro_costo]]="","",_xlfn.XLOOKUP(tblOrdenes[[#This Row],[centro_costo]],tblCECO[codigo],tblCECO[area],"(sin catálogo)"))</f>
        <v/>
      </c>
      <c r="W9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5" s="3">
        <f>IF(tblOrdenes[[#This Row],[centro_costo]]="","",_xlfn.XLOOKUP(tblOrdenes[[#This Row],[centro_costo]],tblCECO[codigo],tblCECO[coordinador],"(sin catálogo)"))</f>
        <v/>
      </c>
      <c r="Y915" s="3">
        <f>IF(tblOrdenes[[#This Row],[puesto_trabajo]]="","",_xlfn.XLOOKUP(tblOrdenes[[#This Row],[puesto_trabajo]],tblPuestos[codigo],tblPuestos[especialidad],"(sin catálogo)"))</f>
        <v/>
      </c>
      <c r="Z915" s="3">
        <f>IF(tblOrdenes[[#This Row],[cod_actividad]]="","",_xlfn.XLOOKUP(tblOrdenes[[#This Row],[cod_actividad]],tblActividades[codigo],tblActividades[descripcion],"(sin catálogo)"))</f>
        <v/>
      </c>
      <c r="AA915" s="13">
        <f>IF(tblOrdenes[[#This Row],[fecha_inicio]]="","",TODAY()-tblOrdenes[[#This Row],[fecha_inicio]])</f>
        <v/>
      </c>
      <c r="AB9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5" s="3">
        <f>IF(tblOrdenes[[#This Row],[backlog_habiles]]="","",IF(tblOrdenes[[#This Row],[backlog_habiles]]&lt;0,"FUTURO",IF(tblOrdenes[[#This Row],[backlog_habiles]]&gt;p_dias_backlog_max,"BACKLOG","MES CORRIENTE")))</f>
        <v/>
      </c>
      <c r="AD915" s="3">
        <f>IF(tblOrdenes[[#This Row],[backlog_habiles]]="",FALSE,AND(tblOrdenes[[#This Row],[backlog_habiles]]&gt;p_dias_backlog_min,tblOrdenes[[#This Row],[backlog_habiles]]&lt;=p_dias_backlog_max))</f>
        <v/>
      </c>
      <c r="AE915" s="6" t="n"/>
      <c r="AF9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5" s="11">
        <f>IF(tblOrdenes[[#This Row],[orden]]="","",_xlfn.XLOOKUP(tblOrdenes[[#This Row],[id_operacion]],tblEjecucion[id_operacion],tblEjecucion[precio],0))</f>
        <v/>
      </c>
      <c r="AJ915" s="11">
        <f>IF(tblOrdenes[[#This Row],[orden]]="","",MAX(0,_xlfn.XLOOKUP(tblOrdenes[[#This Row],[id_operacion]],tblEjecucion[id_operacion],tblEjecucion[costo_plan_total],0)-tblOrdenes[[#This Row],[costo_servicio]]))</f>
        <v/>
      </c>
      <c r="AK915" s="11">
        <f>IF(tblOrdenes[[#This Row],[orden]]="","",tblOrdenes[[#This Row],[costo_servicio]]+tblOrdenes[[#This Row],[costo_materiales]])</f>
        <v/>
      </c>
      <c r="AL915" s="6" t="n"/>
      <c r="AM915" s="6" t="n"/>
      <c r="AN915" s="6" t="n"/>
      <c r="AO915" s="3">
        <f>IF(tblOrdenes[[#This Row],[link_checklist]]="","",HYPERLINK(p_ruta_base_checklists&amp;tblOrdenes[[#This Row],[link_checklist]],"abrir"))</f>
        <v/>
      </c>
      <c r="AP915" s="6" t="n"/>
      <c r="AQ915" s="3">
        <f>IF(tblOrdenes[[#This Row],[orden]]="","",tblOrdenes[[#This Row],[orden]]&amp;IF(tblOrdenes[[#This Row],[operacion]]="","0010",tblOrdenes[[#This Row],[operacion]]))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2" t="n"/>
      <c r="K916" s="3" t="n"/>
      <c r="L916" s="11" t="n"/>
      <c r="M9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6" s="3">
        <f>IF(tblOrdenes[[#This Row],[fecha_inicio]]="","",YEAR(tblOrdenes[[#This Row],[fecha_inicio]]))</f>
        <v/>
      </c>
      <c r="Q916" s="3">
        <f>IF(tblOrdenes[[#This Row],[fecha_inicio]]="","",MONTH(tblOrdenes[[#This Row],[fecha_inicio]]))</f>
        <v/>
      </c>
      <c r="R916" s="3">
        <f>IF(tblOrdenes[[#This Row],[fecha_inicio]]="","",INDEX(lista_dias,WEEKDAY(tblOrdenes[[#This Row],[fecha_inicio]],2)))</f>
        <v/>
      </c>
      <c r="S9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6" s="3">
        <f>IF(tblOrdenes[[#This Row],[tipo_ot]]="","",_xlfn.XLOOKUP(tblOrdenes[[#This Row],[tipo_ot]],tblTiposOT[codigo],tblTiposOT[clasificacion],"sin_clasificar"))</f>
        <v/>
      </c>
      <c r="U916" s="3">
        <f>IF(tblOrdenes[[#This Row],[centro_costo]]="","",_xlfn.XLOOKUP(tblOrdenes[[#This Row],[centro_costo]],tblCECO[codigo],tblCECO[linea],"(sin catálogo)"))</f>
        <v/>
      </c>
      <c r="V916" s="3">
        <f>IF(tblOrdenes[[#This Row],[centro_costo]]="","",_xlfn.XLOOKUP(tblOrdenes[[#This Row],[centro_costo]],tblCECO[codigo],tblCECO[area],"(sin catálogo)"))</f>
        <v/>
      </c>
      <c r="W9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6" s="3">
        <f>IF(tblOrdenes[[#This Row],[centro_costo]]="","",_xlfn.XLOOKUP(tblOrdenes[[#This Row],[centro_costo]],tblCECO[codigo],tblCECO[coordinador],"(sin catálogo)"))</f>
        <v/>
      </c>
      <c r="Y916" s="3">
        <f>IF(tblOrdenes[[#This Row],[puesto_trabajo]]="","",_xlfn.XLOOKUP(tblOrdenes[[#This Row],[puesto_trabajo]],tblPuestos[codigo],tblPuestos[especialidad],"(sin catálogo)"))</f>
        <v/>
      </c>
      <c r="Z916" s="3">
        <f>IF(tblOrdenes[[#This Row],[cod_actividad]]="","",_xlfn.XLOOKUP(tblOrdenes[[#This Row],[cod_actividad]],tblActividades[codigo],tblActividades[descripcion],"(sin catálogo)"))</f>
        <v/>
      </c>
      <c r="AA916" s="13">
        <f>IF(tblOrdenes[[#This Row],[fecha_inicio]]="","",TODAY()-tblOrdenes[[#This Row],[fecha_inicio]])</f>
        <v/>
      </c>
      <c r="AB9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6" s="3">
        <f>IF(tblOrdenes[[#This Row],[backlog_habiles]]="","",IF(tblOrdenes[[#This Row],[backlog_habiles]]&lt;0,"FUTURO",IF(tblOrdenes[[#This Row],[backlog_habiles]]&gt;p_dias_backlog_max,"BACKLOG","MES CORRIENTE")))</f>
        <v/>
      </c>
      <c r="AD916" s="3">
        <f>IF(tblOrdenes[[#This Row],[backlog_habiles]]="",FALSE,AND(tblOrdenes[[#This Row],[backlog_habiles]]&gt;p_dias_backlog_min,tblOrdenes[[#This Row],[backlog_habiles]]&lt;=p_dias_backlog_max))</f>
        <v/>
      </c>
      <c r="AE916" s="6" t="n"/>
      <c r="AF9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6" s="11">
        <f>IF(tblOrdenes[[#This Row],[orden]]="","",_xlfn.XLOOKUP(tblOrdenes[[#This Row],[id_operacion]],tblEjecucion[id_operacion],tblEjecucion[precio],0))</f>
        <v/>
      </c>
      <c r="AJ916" s="11">
        <f>IF(tblOrdenes[[#This Row],[orden]]="","",MAX(0,_xlfn.XLOOKUP(tblOrdenes[[#This Row],[id_operacion]],tblEjecucion[id_operacion],tblEjecucion[costo_plan_total],0)-tblOrdenes[[#This Row],[costo_servicio]]))</f>
        <v/>
      </c>
      <c r="AK916" s="11">
        <f>IF(tblOrdenes[[#This Row],[orden]]="","",tblOrdenes[[#This Row],[costo_servicio]]+tblOrdenes[[#This Row],[costo_materiales]])</f>
        <v/>
      </c>
      <c r="AL916" s="6" t="n"/>
      <c r="AM916" s="6" t="n"/>
      <c r="AN916" s="6" t="n"/>
      <c r="AO916" s="3">
        <f>IF(tblOrdenes[[#This Row],[link_checklist]]="","",HYPERLINK(p_ruta_base_checklists&amp;tblOrdenes[[#This Row],[link_checklist]],"abrir"))</f>
        <v/>
      </c>
      <c r="AP916" s="6" t="n"/>
      <c r="AQ916" s="3">
        <f>IF(tblOrdenes[[#This Row],[orden]]="","",tblOrdenes[[#This Row],[orden]]&amp;IF(tblOrdenes[[#This Row],[operacion]]="","0010",tblOrdenes[[#This Row],[operacion]]))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2" t="n"/>
      <c r="K917" s="3" t="n"/>
      <c r="L917" s="11" t="n"/>
      <c r="M9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7" s="3">
        <f>IF(tblOrdenes[[#This Row],[fecha_inicio]]="","",YEAR(tblOrdenes[[#This Row],[fecha_inicio]]))</f>
        <v/>
      </c>
      <c r="Q917" s="3">
        <f>IF(tblOrdenes[[#This Row],[fecha_inicio]]="","",MONTH(tblOrdenes[[#This Row],[fecha_inicio]]))</f>
        <v/>
      </c>
      <c r="R917" s="3">
        <f>IF(tblOrdenes[[#This Row],[fecha_inicio]]="","",INDEX(lista_dias,WEEKDAY(tblOrdenes[[#This Row],[fecha_inicio]],2)))</f>
        <v/>
      </c>
      <c r="S9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7" s="3">
        <f>IF(tblOrdenes[[#This Row],[tipo_ot]]="","",_xlfn.XLOOKUP(tblOrdenes[[#This Row],[tipo_ot]],tblTiposOT[codigo],tblTiposOT[clasificacion],"sin_clasificar"))</f>
        <v/>
      </c>
      <c r="U917" s="3">
        <f>IF(tblOrdenes[[#This Row],[centro_costo]]="","",_xlfn.XLOOKUP(tblOrdenes[[#This Row],[centro_costo]],tblCECO[codigo],tblCECO[linea],"(sin catálogo)"))</f>
        <v/>
      </c>
      <c r="V917" s="3">
        <f>IF(tblOrdenes[[#This Row],[centro_costo]]="","",_xlfn.XLOOKUP(tblOrdenes[[#This Row],[centro_costo]],tblCECO[codigo],tblCECO[area],"(sin catálogo)"))</f>
        <v/>
      </c>
      <c r="W9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7" s="3">
        <f>IF(tblOrdenes[[#This Row],[centro_costo]]="","",_xlfn.XLOOKUP(tblOrdenes[[#This Row],[centro_costo]],tblCECO[codigo],tblCECO[coordinador],"(sin catálogo)"))</f>
        <v/>
      </c>
      <c r="Y917" s="3">
        <f>IF(tblOrdenes[[#This Row],[puesto_trabajo]]="","",_xlfn.XLOOKUP(tblOrdenes[[#This Row],[puesto_trabajo]],tblPuestos[codigo],tblPuestos[especialidad],"(sin catálogo)"))</f>
        <v/>
      </c>
      <c r="Z917" s="3">
        <f>IF(tblOrdenes[[#This Row],[cod_actividad]]="","",_xlfn.XLOOKUP(tblOrdenes[[#This Row],[cod_actividad]],tblActividades[codigo],tblActividades[descripcion],"(sin catálogo)"))</f>
        <v/>
      </c>
      <c r="AA917" s="13">
        <f>IF(tblOrdenes[[#This Row],[fecha_inicio]]="","",TODAY()-tblOrdenes[[#This Row],[fecha_inicio]])</f>
        <v/>
      </c>
      <c r="AB9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7" s="3">
        <f>IF(tblOrdenes[[#This Row],[backlog_habiles]]="","",IF(tblOrdenes[[#This Row],[backlog_habiles]]&lt;0,"FUTURO",IF(tblOrdenes[[#This Row],[backlog_habiles]]&gt;p_dias_backlog_max,"BACKLOG","MES CORRIENTE")))</f>
        <v/>
      </c>
      <c r="AD917" s="3">
        <f>IF(tblOrdenes[[#This Row],[backlog_habiles]]="",FALSE,AND(tblOrdenes[[#This Row],[backlog_habiles]]&gt;p_dias_backlog_min,tblOrdenes[[#This Row],[backlog_habiles]]&lt;=p_dias_backlog_max))</f>
        <v/>
      </c>
      <c r="AE917" s="6" t="n"/>
      <c r="AF9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7" s="11">
        <f>IF(tblOrdenes[[#This Row],[orden]]="","",_xlfn.XLOOKUP(tblOrdenes[[#This Row],[id_operacion]],tblEjecucion[id_operacion],tblEjecucion[precio],0))</f>
        <v/>
      </c>
      <c r="AJ917" s="11">
        <f>IF(tblOrdenes[[#This Row],[orden]]="","",MAX(0,_xlfn.XLOOKUP(tblOrdenes[[#This Row],[id_operacion]],tblEjecucion[id_operacion],tblEjecucion[costo_plan_total],0)-tblOrdenes[[#This Row],[costo_servicio]]))</f>
        <v/>
      </c>
      <c r="AK917" s="11">
        <f>IF(tblOrdenes[[#This Row],[orden]]="","",tblOrdenes[[#This Row],[costo_servicio]]+tblOrdenes[[#This Row],[costo_materiales]])</f>
        <v/>
      </c>
      <c r="AL917" s="6" t="n"/>
      <c r="AM917" s="6" t="n"/>
      <c r="AN917" s="6" t="n"/>
      <c r="AO917" s="3">
        <f>IF(tblOrdenes[[#This Row],[link_checklist]]="","",HYPERLINK(p_ruta_base_checklists&amp;tblOrdenes[[#This Row],[link_checklist]],"abrir"))</f>
        <v/>
      </c>
      <c r="AP917" s="6" t="n"/>
      <c r="AQ917" s="3">
        <f>IF(tblOrdenes[[#This Row],[orden]]="","",tblOrdenes[[#This Row],[orden]]&amp;IF(tblOrdenes[[#This Row],[operacion]]="","0010",tblOrdenes[[#This Row],[operacion]]))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2" t="n"/>
      <c r="K918" s="3" t="n"/>
      <c r="L918" s="11" t="n"/>
      <c r="M9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8" s="3">
        <f>IF(tblOrdenes[[#This Row],[fecha_inicio]]="","",YEAR(tblOrdenes[[#This Row],[fecha_inicio]]))</f>
        <v/>
      </c>
      <c r="Q918" s="3">
        <f>IF(tblOrdenes[[#This Row],[fecha_inicio]]="","",MONTH(tblOrdenes[[#This Row],[fecha_inicio]]))</f>
        <v/>
      </c>
      <c r="R918" s="3">
        <f>IF(tblOrdenes[[#This Row],[fecha_inicio]]="","",INDEX(lista_dias,WEEKDAY(tblOrdenes[[#This Row],[fecha_inicio]],2)))</f>
        <v/>
      </c>
      <c r="S9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8" s="3">
        <f>IF(tblOrdenes[[#This Row],[tipo_ot]]="","",_xlfn.XLOOKUP(tblOrdenes[[#This Row],[tipo_ot]],tblTiposOT[codigo],tblTiposOT[clasificacion],"sin_clasificar"))</f>
        <v/>
      </c>
      <c r="U918" s="3">
        <f>IF(tblOrdenes[[#This Row],[centro_costo]]="","",_xlfn.XLOOKUP(tblOrdenes[[#This Row],[centro_costo]],tblCECO[codigo],tblCECO[linea],"(sin catálogo)"))</f>
        <v/>
      </c>
      <c r="V918" s="3">
        <f>IF(tblOrdenes[[#This Row],[centro_costo]]="","",_xlfn.XLOOKUP(tblOrdenes[[#This Row],[centro_costo]],tblCECO[codigo],tblCECO[area],"(sin catálogo)"))</f>
        <v/>
      </c>
      <c r="W9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8" s="3">
        <f>IF(tblOrdenes[[#This Row],[centro_costo]]="","",_xlfn.XLOOKUP(tblOrdenes[[#This Row],[centro_costo]],tblCECO[codigo],tblCECO[coordinador],"(sin catálogo)"))</f>
        <v/>
      </c>
      <c r="Y918" s="3">
        <f>IF(tblOrdenes[[#This Row],[puesto_trabajo]]="","",_xlfn.XLOOKUP(tblOrdenes[[#This Row],[puesto_trabajo]],tblPuestos[codigo],tblPuestos[especialidad],"(sin catálogo)"))</f>
        <v/>
      </c>
      <c r="Z918" s="3">
        <f>IF(tblOrdenes[[#This Row],[cod_actividad]]="","",_xlfn.XLOOKUP(tblOrdenes[[#This Row],[cod_actividad]],tblActividades[codigo],tblActividades[descripcion],"(sin catálogo)"))</f>
        <v/>
      </c>
      <c r="AA918" s="13">
        <f>IF(tblOrdenes[[#This Row],[fecha_inicio]]="","",TODAY()-tblOrdenes[[#This Row],[fecha_inicio]])</f>
        <v/>
      </c>
      <c r="AB9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8" s="3">
        <f>IF(tblOrdenes[[#This Row],[backlog_habiles]]="","",IF(tblOrdenes[[#This Row],[backlog_habiles]]&lt;0,"FUTURO",IF(tblOrdenes[[#This Row],[backlog_habiles]]&gt;p_dias_backlog_max,"BACKLOG","MES CORRIENTE")))</f>
        <v/>
      </c>
      <c r="AD918" s="3">
        <f>IF(tblOrdenes[[#This Row],[backlog_habiles]]="",FALSE,AND(tblOrdenes[[#This Row],[backlog_habiles]]&gt;p_dias_backlog_min,tblOrdenes[[#This Row],[backlog_habiles]]&lt;=p_dias_backlog_max))</f>
        <v/>
      </c>
      <c r="AE918" s="6" t="n"/>
      <c r="AF9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8" s="11">
        <f>IF(tblOrdenes[[#This Row],[orden]]="","",_xlfn.XLOOKUP(tblOrdenes[[#This Row],[id_operacion]],tblEjecucion[id_operacion],tblEjecucion[precio],0))</f>
        <v/>
      </c>
      <c r="AJ918" s="11">
        <f>IF(tblOrdenes[[#This Row],[orden]]="","",MAX(0,_xlfn.XLOOKUP(tblOrdenes[[#This Row],[id_operacion]],tblEjecucion[id_operacion],tblEjecucion[costo_plan_total],0)-tblOrdenes[[#This Row],[costo_servicio]]))</f>
        <v/>
      </c>
      <c r="AK918" s="11">
        <f>IF(tblOrdenes[[#This Row],[orden]]="","",tblOrdenes[[#This Row],[costo_servicio]]+tblOrdenes[[#This Row],[costo_materiales]])</f>
        <v/>
      </c>
      <c r="AL918" s="6" t="n"/>
      <c r="AM918" s="6" t="n"/>
      <c r="AN918" s="6" t="n"/>
      <c r="AO918" s="3">
        <f>IF(tblOrdenes[[#This Row],[link_checklist]]="","",HYPERLINK(p_ruta_base_checklists&amp;tblOrdenes[[#This Row],[link_checklist]],"abrir"))</f>
        <v/>
      </c>
      <c r="AP918" s="6" t="n"/>
      <c r="AQ918" s="3">
        <f>IF(tblOrdenes[[#This Row],[orden]]="","",tblOrdenes[[#This Row],[orden]]&amp;IF(tblOrdenes[[#This Row],[operacion]]="","0010",tblOrdenes[[#This Row],[operacion]]))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2" t="n"/>
      <c r="K919" s="3" t="n"/>
      <c r="L919" s="11" t="n"/>
      <c r="M9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9" s="3">
        <f>IF(tblOrdenes[[#This Row],[fecha_inicio]]="","",YEAR(tblOrdenes[[#This Row],[fecha_inicio]]))</f>
        <v/>
      </c>
      <c r="Q919" s="3">
        <f>IF(tblOrdenes[[#This Row],[fecha_inicio]]="","",MONTH(tblOrdenes[[#This Row],[fecha_inicio]]))</f>
        <v/>
      </c>
      <c r="R919" s="3">
        <f>IF(tblOrdenes[[#This Row],[fecha_inicio]]="","",INDEX(lista_dias,WEEKDAY(tblOrdenes[[#This Row],[fecha_inicio]],2)))</f>
        <v/>
      </c>
      <c r="S9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9" s="3">
        <f>IF(tblOrdenes[[#This Row],[tipo_ot]]="","",_xlfn.XLOOKUP(tblOrdenes[[#This Row],[tipo_ot]],tblTiposOT[codigo],tblTiposOT[clasificacion],"sin_clasificar"))</f>
        <v/>
      </c>
      <c r="U919" s="3">
        <f>IF(tblOrdenes[[#This Row],[centro_costo]]="","",_xlfn.XLOOKUP(tblOrdenes[[#This Row],[centro_costo]],tblCECO[codigo],tblCECO[linea],"(sin catálogo)"))</f>
        <v/>
      </c>
      <c r="V919" s="3">
        <f>IF(tblOrdenes[[#This Row],[centro_costo]]="","",_xlfn.XLOOKUP(tblOrdenes[[#This Row],[centro_costo]],tblCECO[codigo],tblCECO[area],"(sin catálogo)"))</f>
        <v/>
      </c>
      <c r="W9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9" s="3">
        <f>IF(tblOrdenes[[#This Row],[centro_costo]]="","",_xlfn.XLOOKUP(tblOrdenes[[#This Row],[centro_costo]],tblCECO[codigo],tblCECO[coordinador],"(sin catálogo)"))</f>
        <v/>
      </c>
      <c r="Y919" s="3">
        <f>IF(tblOrdenes[[#This Row],[puesto_trabajo]]="","",_xlfn.XLOOKUP(tblOrdenes[[#This Row],[puesto_trabajo]],tblPuestos[codigo],tblPuestos[especialidad],"(sin catálogo)"))</f>
        <v/>
      </c>
      <c r="Z919" s="3">
        <f>IF(tblOrdenes[[#This Row],[cod_actividad]]="","",_xlfn.XLOOKUP(tblOrdenes[[#This Row],[cod_actividad]],tblActividades[codigo],tblActividades[descripcion],"(sin catálogo)"))</f>
        <v/>
      </c>
      <c r="AA919" s="13">
        <f>IF(tblOrdenes[[#This Row],[fecha_inicio]]="","",TODAY()-tblOrdenes[[#This Row],[fecha_inicio]])</f>
        <v/>
      </c>
      <c r="AB9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9" s="3">
        <f>IF(tblOrdenes[[#This Row],[backlog_habiles]]="","",IF(tblOrdenes[[#This Row],[backlog_habiles]]&lt;0,"FUTURO",IF(tblOrdenes[[#This Row],[backlog_habiles]]&gt;p_dias_backlog_max,"BACKLOG","MES CORRIENTE")))</f>
        <v/>
      </c>
      <c r="AD919" s="3">
        <f>IF(tblOrdenes[[#This Row],[backlog_habiles]]="",FALSE,AND(tblOrdenes[[#This Row],[backlog_habiles]]&gt;p_dias_backlog_min,tblOrdenes[[#This Row],[backlog_habiles]]&lt;=p_dias_backlog_max))</f>
        <v/>
      </c>
      <c r="AE919" s="6" t="n"/>
      <c r="AF9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9" s="11">
        <f>IF(tblOrdenes[[#This Row],[orden]]="","",_xlfn.XLOOKUP(tblOrdenes[[#This Row],[id_operacion]],tblEjecucion[id_operacion],tblEjecucion[precio],0))</f>
        <v/>
      </c>
      <c r="AJ919" s="11">
        <f>IF(tblOrdenes[[#This Row],[orden]]="","",MAX(0,_xlfn.XLOOKUP(tblOrdenes[[#This Row],[id_operacion]],tblEjecucion[id_operacion],tblEjecucion[costo_plan_total],0)-tblOrdenes[[#This Row],[costo_servicio]]))</f>
        <v/>
      </c>
      <c r="AK919" s="11">
        <f>IF(tblOrdenes[[#This Row],[orden]]="","",tblOrdenes[[#This Row],[costo_servicio]]+tblOrdenes[[#This Row],[costo_materiales]])</f>
        <v/>
      </c>
      <c r="AL919" s="6" t="n"/>
      <c r="AM919" s="6" t="n"/>
      <c r="AN919" s="6" t="n"/>
      <c r="AO919" s="3">
        <f>IF(tblOrdenes[[#This Row],[link_checklist]]="","",HYPERLINK(p_ruta_base_checklists&amp;tblOrdenes[[#This Row],[link_checklist]],"abrir"))</f>
        <v/>
      </c>
      <c r="AP919" s="6" t="n"/>
      <c r="AQ919" s="3">
        <f>IF(tblOrdenes[[#This Row],[orden]]="","",tblOrdenes[[#This Row],[orden]]&amp;IF(tblOrdenes[[#This Row],[operacion]]="","0010",tblOrdenes[[#This Row],[operacion]]))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2" t="n"/>
      <c r="K920" s="3" t="n"/>
      <c r="L920" s="11" t="n"/>
      <c r="M9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0" s="3">
        <f>IF(tblOrdenes[[#This Row],[fecha_inicio]]="","",YEAR(tblOrdenes[[#This Row],[fecha_inicio]]))</f>
        <v/>
      </c>
      <c r="Q920" s="3">
        <f>IF(tblOrdenes[[#This Row],[fecha_inicio]]="","",MONTH(tblOrdenes[[#This Row],[fecha_inicio]]))</f>
        <v/>
      </c>
      <c r="R920" s="3">
        <f>IF(tblOrdenes[[#This Row],[fecha_inicio]]="","",INDEX(lista_dias,WEEKDAY(tblOrdenes[[#This Row],[fecha_inicio]],2)))</f>
        <v/>
      </c>
      <c r="S9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0" s="3">
        <f>IF(tblOrdenes[[#This Row],[tipo_ot]]="","",_xlfn.XLOOKUP(tblOrdenes[[#This Row],[tipo_ot]],tblTiposOT[codigo],tblTiposOT[clasificacion],"sin_clasificar"))</f>
        <v/>
      </c>
      <c r="U920" s="3">
        <f>IF(tblOrdenes[[#This Row],[centro_costo]]="","",_xlfn.XLOOKUP(tblOrdenes[[#This Row],[centro_costo]],tblCECO[codigo],tblCECO[linea],"(sin catálogo)"))</f>
        <v/>
      </c>
      <c r="V920" s="3">
        <f>IF(tblOrdenes[[#This Row],[centro_costo]]="","",_xlfn.XLOOKUP(tblOrdenes[[#This Row],[centro_costo]],tblCECO[codigo],tblCECO[area],"(sin catálogo)"))</f>
        <v/>
      </c>
      <c r="W9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0" s="3">
        <f>IF(tblOrdenes[[#This Row],[centro_costo]]="","",_xlfn.XLOOKUP(tblOrdenes[[#This Row],[centro_costo]],tblCECO[codigo],tblCECO[coordinador],"(sin catálogo)"))</f>
        <v/>
      </c>
      <c r="Y920" s="3">
        <f>IF(tblOrdenes[[#This Row],[puesto_trabajo]]="","",_xlfn.XLOOKUP(tblOrdenes[[#This Row],[puesto_trabajo]],tblPuestos[codigo],tblPuestos[especialidad],"(sin catálogo)"))</f>
        <v/>
      </c>
      <c r="Z920" s="3">
        <f>IF(tblOrdenes[[#This Row],[cod_actividad]]="","",_xlfn.XLOOKUP(tblOrdenes[[#This Row],[cod_actividad]],tblActividades[codigo],tblActividades[descripcion],"(sin catálogo)"))</f>
        <v/>
      </c>
      <c r="AA920" s="13">
        <f>IF(tblOrdenes[[#This Row],[fecha_inicio]]="","",TODAY()-tblOrdenes[[#This Row],[fecha_inicio]])</f>
        <v/>
      </c>
      <c r="AB9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0" s="3">
        <f>IF(tblOrdenes[[#This Row],[backlog_habiles]]="","",IF(tblOrdenes[[#This Row],[backlog_habiles]]&lt;0,"FUTURO",IF(tblOrdenes[[#This Row],[backlog_habiles]]&gt;p_dias_backlog_max,"BACKLOG","MES CORRIENTE")))</f>
        <v/>
      </c>
      <c r="AD920" s="3">
        <f>IF(tblOrdenes[[#This Row],[backlog_habiles]]="",FALSE,AND(tblOrdenes[[#This Row],[backlog_habiles]]&gt;p_dias_backlog_min,tblOrdenes[[#This Row],[backlog_habiles]]&lt;=p_dias_backlog_max))</f>
        <v/>
      </c>
      <c r="AE920" s="6" t="n"/>
      <c r="AF9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0" s="11">
        <f>IF(tblOrdenes[[#This Row],[orden]]="","",_xlfn.XLOOKUP(tblOrdenes[[#This Row],[id_operacion]],tblEjecucion[id_operacion],tblEjecucion[precio],0))</f>
        <v/>
      </c>
      <c r="AJ920" s="11">
        <f>IF(tblOrdenes[[#This Row],[orden]]="","",MAX(0,_xlfn.XLOOKUP(tblOrdenes[[#This Row],[id_operacion]],tblEjecucion[id_operacion],tblEjecucion[costo_plan_total],0)-tblOrdenes[[#This Row],[costo_servicio]]))</f>
        <v/>
      </c>
      <c r="AK920" s="11">
        <f>IF(tblOrdenes[[#This Row],[orden]]="","",tblOrdenes[[#This Row],[costo_servicio]]+tblOrdenes[[#This Row],[costo_materiales]])</f>
        <v/>
      </c>
      <c r="AL920" s="6" t="n"/>
      <c r="AM920" s="6" t="n"/>
      <c r="AN920" s="6" t="n"/>
      <c r="AO920" s="3">
        <f>IF(tblOrdenes[[#This Row],[link_checklist]]="","",HYPERLINK(p_ruta_base_checklists&amp;tblOrdenes[[#This Row],[link_checklist]],"abrir"))</f>
        <v/>
      </c>
      <c r="AP920" s="6" t="n"/>
      <c r="AQ920" s="3">
        <f>IF(tblOrdenes[[#This Row],[orden]]="","",tblOrdenes[[#This Row],[orden]]&amp;IF(tblOrdenes[[#This Row],[operacion]]="","0010",tblOrdenes[[#This Row],[operacion]]))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2" t="n"/>
      <c r="K921" s="3" t="n"/>
      <c r="L921" s="11" t="n"/>
      <c r="M9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1" s="3">
        <f>IF(tblOrdenes[[#This Row],[fecha_inicio]]="","",YEAR(tblOrdenes[[#This Row],[fecha_inicio]]))</f>
        <v/>
      </c>
      <c r="Q921" s="3">
        <f>IF(tblOrdenes[[#This Row],[fecha_inicio]]="","",MONTH(tblOrdenes[[#This Row],[fecha_inicio]]))</f>
        <v/>
      </c>
      <c r="R921" s="3">
        <f>IF(tblOrdenes[[#This Row],[fecha_inicio]]="","",INDEX(lista_dias,WEEKDAY(tblOrdenes[[#This Row],[fecha_inicio]],2)))</f>
        <v/>
      </c>
      <c r="S9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1" s="3">
        <f>IF(tblOrdenes[[#This Row],[tipo_ot]]="","",_xlfn.XLOOKUP(tblOrdenes[[#This Row],[tipo_ot]],tblTiposOT[codigo],tblTiposOT[clasificacion],"sin_clasificar"))</f>
        <v/>
      </c>
      <c r="U921" s="3">
        <f>IF(tblOrdenes[[#This Row],[centro_costo]]="","",_xlfn.XLOOKUP(tblOrdenes[[#This Row],[centro_costo]],tblCECO[codigo],tblCECO[linea],"(sin catálogo)"))</f>
        <v/>
      </c>
      <c r="V921" s="3">
        <f>IF(tblOrdenes[[#This Row],[centro_costo]]="","",_xlfn.XLOOKUP(tblOrdenes[[#This Row],[centro_costo]],tblCECO[codigo],tblCECO[area],"(sin catálogo)"))</f>
        <v/>
      </c>
      <c r="W9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1" s="3">
        <f>IF(tblOrdenes[[#This Row],[centro_costo]]="","",_xlfn.XLOOKUP(tblOrdenes[[#This Row],[centro_costo]],tblCECO[codigo],tblCECO[coordinador],"(sin catálogo)"))</f>
        <v/>
      </c>
      <c r="Y921" s="3">
        <f>IF(tblOrdenes[[#This Row],[puesto_trabajo]]="","",_xlfn.XLOOKUP(tblOrdenes[[#This Row],[puesto_trabajo]],tblPuestos[codigo],tblPuestos[especialidad],"(sin catálogo)"))</f>
        <v/>
      </c>
      <c r="Z921" s="3">
        <f>IF(tblOrdenes[[#This Row],[cod_actividad]]="","",_xlfn.XLOOKUP(tblOrdenes[[#This Row],[cod_actividad]],tblActividades[codigo],tblActividades[descripcion],"(sin catálogo)"))</f>
        <v/>
      </c>
      <c r="AA921" s="13">
        <f>IF(tblOrdenes[[#This Row],[fecha_inicio]]="","",TODAY()-tblOrdenes[[#This Row],[fecha_inicio]])</f>
        <v/>
      </c>
      <c r="AB9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1" s="3">
        <f>IF(tblOrdenes[[#This Row],[backlog_habiles]]="","",IF(tblOrdenes[[#This Row],[backlog_habiles]]&lt;0,"FUTURO",IF(tblOrdenes[[#This Row],[backlog_habiles]]&gt;p_dias_backlog_max,"BACKLOG","MES CORRIENTE")))</f>
        <v/>
      </c>
      <c r="AD921" s="3">
        <f>IF(tblOrdenes[[#This Row],[backlog_habiles]]="",FALSE,AND(tblOrdenes[[#This Row],[backlog_habiles]]&gt;p_dias_backlog_min,tblOrdenes[[#This Row],[backlog_habiles]]&lt;=p_dias_backlog_max))</f>
        <v/>
      </c>
      <c r="AE921" s="6" t="n"/>
      <c r="AF9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1" s="11">
        <f>IF(tblOrdenes[[#This Row],[orden]]="","",_xlfn.XLOOKUP(tblOrdenes[[#This Row],[id_operacion]],tblEjecucion[id_operacion],tblEjecucion[precio],0))</f>
        <v/>
      </c>
      <c r="AJ921" s="11">
        <f>IF(tblOrdenes[[#This Row],[orden]]="","",MAX(0,_xlfn.XLOOKUP(tblOrdenes[[#This Row],[id_operacion]],tblEjecucion[id_operacion],tblEjecucion[costo_plan_total],0)-tblOrdenes[[#This Row],[costo_servicio]]))</f>
        <v/>
      </c>
      <c r="AK921" s="11">
        <f>IF(tblOrdenes[[#This Row],[orden]]="","",tblOrdenes[[#This Row],[costo_servicio]]+tblOrdenes[[#This Row],[costo_materiales]])</f>
        <v/>
      </c>
      <c r="AL921" s="6" t="n"/>
      <c r="AM921" s="6" t="n"/>
      <c r="AN921" s="6" t="n"/>
      <c r="AO921" s="3">
        <f>IF(tblOrdenes[[#This Row],[link_checklist]]="","",HYPERLINK(p_ruta_base_checklists&amp;tblOrdenes[[#This Row],[link_checklist]],"abrir"))</f>
        <v/>
      </c>
      <c r="AP921" s="6" t="n"/>
      <c r="AQ921" s="3">
        <f>IF(tblOrdenes[[#This Row],[orden]]="","",tblOrdenes[[#This Row],[orden]]&amp;IF(tblOrdenes[[#This Row],[operacion]]="","0010",tblOrdenes[[#This Row],[operacion]]))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2" t="n"/>
      <c r="K922" s="3" t="n"/>
      <c r="L922" s="11" t="n"/>
      <c r="M9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2" s="3">
        <f>IF(tblOrdenes[[#This Row],[fecha_inicio]]="","",YEAR(tblOrdenes[[#This Row],[fecha_inicio]]))</f>
        <v/>
      </c>
      <c r="Q922" s="3">
        <f>IF(tblOrdenes[[#This Row],[fecha_inicio]]="","",MONTH(tblOrdenes[[#This Row],[fecha_inicio]]))</f>
        <v/>
      </c>
      <c r="R922" s="3">
        <f>IF(tblOrdenes[[#This Row],[fecha_inicio]]="","",INDEX(lista_dias,WEEKDAY(tblOrdenes[[#This Row],[fecha_inicio]],2)))</f>
        <v/>
      </c>
      <c r="S9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2" s="3">
        <f>IF(tblOrdenes[[#This Row],[tipo_ot]]="","",_xlfn.XLOOKUP(tblOrdenes[[#This Row],[tipo_ot]],tblTiposOT[codigo],tblTiposOT[clasificacion],"sin_clasificar"))</f>
        <v/>
      </c>
      <c r="U922" s="3">
        <f>IF(tblOrdenes[[#This Row],[centro_costo]]="","",_xlfn.XLOOKUP(tblOrdenes[[#This Row],[centro_costo]],tblCECO[codigo],tblCECO[linea],"(sin catálogo)"))</f>
        <v/>
      </c>
      <c r="V922" s="3">
        <f>IF(tblOrdenes[[#This Row],[centro_costo]]="","",_xlfn.XLOOKUP(tblOrdenes[[#This Row],[centro_costo]],tblCECO[codigo],tblCECO[area],"(sin catálogo)"))</f>
        <v/>
      </c>
      <c r="W9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2" s="3">
        <f>IF(tblOrdenes[[#This Row],[centro_costo]]="","",_xlfn.XLOOKUP(tblOrdenes[[#This Row],[centro_costo]],tblCECO[codigo],tblCECO[coordinador],"(sin catálogo)"))</f>
        <v/>
      </c>
      <c r="Y922" s="3">
        <f>IF(tblOrdenes[[#This Row],[puesto_trabajo]]="","",_xlfn.XLOOKUP(tblOrdenes[[#This Row],[puesto_trabajo]],tblPuestos[codigo],tblPuestos[especialidad],"(sin catálogo)"))</f>
        <v/>
      </c>
      <c r="Z922" s="3">
        <f>IF(tblOrdenes[[#This Row],[cod_actividad]]="","",_xlfn.XLOOKUP(tblOrdenes[[#This Row],[cod_actividad]],tblActividades[codigo],tblActividades[descripcion],"(sin catálogo)"))</f>
        <v/>
      </c>
      <c r="AA922" s="13">
        <f>IF(tblOrdenes[[#This Row],[fecha_inicio]]="","",TODAY()-tblOrdenes[[#This Row],[fecha_inicio]])</f>
        <v/>
      </c>
      <c r="AB9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2" s="3">
        <f>IF(tblOrdenes[[#This Row],[backlog_habiles]]="","",IF(tblOrdenes[[#This Row],[backlog_habiles]]&lt;0,"FUTURO",IF(tblOrdenes[[#This Row],[backlog_habiles]]&gt;p_dias_backlog_max,"BACKLOG","MES CORRIENTE")))</f>
        <v/>
      </c>
      <c r="AD922" s="3">
        <f>IF(tblOrdenes[[#This Row],[backlog_habiles]]="",FALSE,AND(tblOrdenes[[#This Row],[backlog_habiles]]&gt;p_dias_backlog_min,tblOrdenes[[#This Row],[backlog_habiles]]&lt;=p_dias_backlog_max))</f>
        <v/>
      </c>
      <c r="AE922" s="6" t="n"/>
      <c r="AF9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2" s="11">
        <f>IF(tblOrdenes[[#This Row],[orden]]="","",_xlfn.XLOOKUP(tblOrdenes[[#This Row],[id_operacion]],tblEjecucion[id_operacion],tblEjecucion[precio],0))</f>
        <v/>
      </c>
      <c r="AJ922" s="11">
        <f>IF(tblOrdenes[[#This Row],[orden]]="","",MAX(0,_xlfn.XLOOKUP(tblOrdenes[[#This Row],[id_operacion]],tblEjecucion[id_operacion],tblEjecucion[costo_plan_total],0)-tblOrdenes[[#This Row],[costo_servicio]]))</f>
        <v/>
      </c>
      <c r="AK922" s="11">
        <f>IF(tblOrdenes[[#This Row],[orden]]="","",tblOrdenes[[#This Row],[costo_servicio]]+tblOrdenes[[#This Row],[costo_materiales]])</f>
        <v/>
      </c>
      <c r="AL922" s="6" t="n"/>
      <c r="AM922" s="6" t="n"/>
      <c r="AN922" s="6" t="n"/>
      <c r="AO922" s="3">
        <f>IF(tblOrdenes[[#This Row],[link_checklist]]="","",HYPERLINK(p_ruta_base_checklists&amp;tblOrdenes[[#This Row],[link_checklist]],"abrir"))</f>
        <v/>
      </c>
      <c r="AP922" s="6" t="n"/>
      <c r="AQ922" s="3">
        <f>IF(tblOrdenes[[#This Row],[orden]]="","",tblOrdenes[[#This Row],[orden]]&amp;IF(tblOrdenes[[#This Row],[operacion]]="","0010",tblOrdenes[[#This Row],[operacion]]))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2" t="n"/>
      <c r="K923" s="3" t="n"/>
      <c r="L923" s="11" t="n"/>
      <c r="M9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3" s="3">
        <f>IF(tblOrdenes[[#This Row],[fecha_inicio]]="","",YEAR(tblOrdenes[[#This Row],[fecha_inicio]]))</f>
        <v/>
      </c>
      <c r="Q923" s="3">
        <f>IF(tblOrdenes[[#This Row],[fecha_inicio]]="","",MONTH(tblOrdenes[[#This Row],[fecha_inicio]]))</f>
        <v/>
      </c>
      <c r="R923" s="3">
        <f>IF(tblOrdenes[[#This Row],[fecha_inicio]]="","",INDEX(lista_dias,WEEKDAY(tblOrdenes[[#This Row],[fecha_inicio]],2)))</f>
        <v/>
      </c>
      <c r="S9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3" s="3">
        <f>IF(tblOrdenes[[#This Row],[tipo_ot]]="","",_xlfn.XLOOKUP(tblOrdenes[[#This Row],[tipo_ot]],tblTiposOT[codigo],tblTiposOT[clasificacion],"sin_clasificar"))</f>
        <v/>
      </c>
      <c r="U923" s="3">
        <f>IF(tblOrdenes[[#This Row],[centro_costo]]="","",_xlfn.XLOOKUP(tblOrdenes[[#This Row],[centro_costo]],tblCECO[codigo],tblCECO[linea],"(sin catálogo)"))</f>
        <v/>
      </c>
      <c r="V923" s="3">
        <f>IF(tblOrdenes[[#This Row],[centro_costo]]="","",_xlfn.XLOOKUP(tblOrdenes[[#This Row],[centro_costo]],tblCECO[codigo],tblCECO[area],"(sin catálogo)"))</f>
        <v/>
      </c>
      <c r="W9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3" s="3">
        <f>IF(tblOrdenes[[#This Row],[centro_costo]]="","",_xlfn.XLOOKUP(tblOrdenes[[#This Row],[centro_costo]],tblCECO[codigo],tblCECO[coordinador],"(sin catálogo)"))</f>
        <v/>
      </c>
      <c r="Y923" s="3">
        <f>IF(tblOrdenes[[#This Row],[puesto_trabajo]]="","",_xlfn.XLOOKUP(tblOrdenes[[#This Row],[puesto_trabajo]],tblPuestos[codigo],tblPuestos[especialidad],"(sin catálogo)"))</f>
        <v/>
      </c>
      <c r="Z923" s="3">
        <f>IF(tblOrdenes[[#This Row],[cod_actividad]]="","",_xlfn.XLOOKUP(tblOrdenes[[#This Row],[cod_actividad]],tblActividades[codigo],tblActividades[descripcion],"(sin catálogo)"))</f>
        <v/>
      </c>
      <c r="AA923" s="13">
        <f>IF(tblOrdenes[[#This Row],[fecha_inicio]]="","",TODAY()-tblOrdenes[[#This Row],[fecha_inicio]])</f>
        <v/>
      </c>
      <c r="AB9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3" s="3">
        <f>IF(tblOrdenes[[#This Row],[backlog_habiles]]="","",IF(tblOrdenes[[#This Row],[backlog_habiles]]&lt;0,"FUTURO",IF(tblOrdenes[[#This Row],[backlog_habiles]]&gt;p_dias_backlog_max,"BACKLOG","MES CORRIENTE")))</f>
        <v/>
      </c>
      <c r="AD923" s="3">
        <f>IF(tblOrdenes[[#This Row],[backlog_habiles]]="",FALSE,AND(tblOrdenes[[#This Row],[backlog_habiles]]&gt;p_dias_backlog_min,tblOrdenes[[#This Row],[backlog_habiles]]&lt;=p_dias_backlog_max))</f>
        <v/>
      </c>
      <c r="AE923" s="6" t="n"/>
      <c r="AF9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3" s="11">
        <f>IF(tblOrdenes[[#This Row],[orden]]="","",_xlfn.XLOOKUP(tblOrdenes[[#This Row],[id_operacion]],tblEjecucion[id_operacion],tblEjecucion[precio],0))</f>
        <v/>
      </c>
      <c r="AJ923" s="11">
        <f>IF(tblOrdenes[[#This Row],[orden]]="","",MAX(0,_xlfn.XLOOKUP(tblOrdenes[[#This Row],[id_operacion]],tblEjecucion[id_operacion],tblEjecucion[costo_plan_total],0)-tblOrdenes[[#This Row],[costo_servicio]]))</f>
        <v/>
      </c>
      <c r="AK923" s="11">
        <f>IF(tblOrdenes[[#This Row],[orden]]="","",tblOrdenes[[#This Row],[costo_servicio]]+tblOrdenes[[#This Row],[costo_materiales]])</f>
        <v/>
      </c>
      <c r="AL923" s="6" t="n"/>
      <c r="AM923" s="6" t="n"/>
      <c r="AN923" s="6" t="n"/>
      <c r="AO923" s="3">
        <f>IF(tblOrdenes[[#This Row],[link_checklist]]="","",HYPERLINK(p_ruta_base_checklists&amp;tblOrdenes[[#This Row],[link_checklist]],"abrir"))</f>
        <v/>
      </c>
      <c r="AP923" s="6" t="n"/>
      <c r="AQ923" s="3">
        <f>IF(tblOrdenes[[#This Row],[orden]]="","",tblOrdenes[[#This Row],[orden]]&amp;IF(tblOrdenes[[#This Row],[operacion]]="","0010",tblOrdenes[[#This Row],[operacion]]))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2" t="n"/>
      <c r="K924" s="3" t="n"/>
      <c r="L924" s="11" t="n"/>
      <c r="M9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4" s="3">
        <f>IF(tblOrdenes[[#This Row],[fecha_inicio]]="","",YEAR(tblOrdenes[[#This Row],[fecha_inicio]]))</f>
        <v/>
      </c>
      <c r="Q924" s="3">
        <f>IF(tblOrdenes[[#This Row],[fecha_inicio]]="","",MONTH(tblOrdenes[[#This Row],[fecha_inicio]]))</f>
        <v/>
      </c>
      <c r="R924" s="3">
        <f>IF(tblOrdenes[[#This Row],[fecha_inicio]]="","",INDEX(lista_dias,WEEKDAY(tblOrdenes[[#This Row],[fecha_inicio]],2)))</f>
        <v/>
      </c>
      <c r="S9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4" s="3">
        <f>IF(tblOrdenes[[#This Row],[tipo_ot]]="","",_xlfn.XLOOKUP(tblOrdenes[[#This Row],[tipo_ot]],tblTiposOT[codigo],tblTiposOT[clasificacion],"sin_clasificar"))</f>
        <v/>
      </c>
      <c r="U924" s="3">
        <f>IF(tblOrdenes[[#This Row],[centro_costo]]="","",_xlfn.XLOOKUP(tblOrdenes[[#This Row],[centro_costo]],tblCECO[codigo],tblCECO[linea],"(sin catálogo)"))</f>
        <v/>
      </c>
      <c r="V924" s="3">
        <f>IF(tblOrdenes[[#This Row],[centro_costo]]="","",_xlfn.XLOOKUP(tblOrdenes[[#This Row],[centro_costo]],tblCECO[codigo],tblCECO[area],"(sin catálogo)"))</f>
        <v/>
      </c>
      <c r="W9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4" s="3">
        <f>IF(tblOrdenes[[#This Row],[centro_costo]]="","",_xlfn.XLOOKUP(tblOrdenes[[#This Row],[centro_costo]],tblCECO[codigo],tblCECO[coordinador],"(sin catálogo)"))</f>
        <v/>
      </c>
      <c r="Y924" s="3">
        <f>IF(tblOrdenes[[#This Row],[puesto_trabajo]]="","",_xlfn.XLOOKUP(tblOrdenes[[#This Row],[puesto_trabajo]],tblPuestos[codigo],tblPuestos[especialidad],"(sin catálogo)"))</f>
        <v/>
      </c>
      <c r="Z924" s="3">
        <f>IF(tblOrdenes[[#This Row],[cod_actividad]]="","",_xlfn.XLOOKUP(tblOrdenes[[#This Row],[cod_actividad]],tblActividades[codigo],tblActividades[descripcion],"(sin catálogo)"))</f>
        <v/>
      </c>
      <c r="AA924" s="13">
        <f>IF(tblOrdenes[[#This Row],[fecha_inicio]]="","",TODAY()-tblOrdenes[[#This Row],[fecha_inicio]])</f>
        <v/>
      </c>
      <c r="AB9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4" s="3">
        <f>IF(tblOrdenes[[#This Row],[backlog_habiles]]="","",IF(tblOrdenes[[#This Row],[backlog_habiles]]&lt;0,"FUTURO",IF(tblOrdenes[[#This Row],[backlog_habiles]]&gt;p_dias_backlog_max,"BACKLOG","MES CORRIENTE")))</f>
        <v/>
      </c>
      <c r="AD924" s="3">
        <f>IF(tblOrdenes[[#This Row],[backlog_habiles]]="",FALSE,AND(tblOrdenes[[#This Row],[backlog_habiles]]&gt;p_dias_backlog_min,tblOrdenes[[#This Row],[backlog_habiles]]&lt;=p_dias_backlog_max))</f>
        <v/>
      </c>
      <c r="AE924" s="6" t="n"/>
      <c r="AF9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4" s="11">
        <f>IF(tblOrdenes[[#This Row],[orden]]="","",_xlfn.XLOOKUP(tblOrdenes[[#This Row],[id_operacion]],tblEjecucion[id_operacion],tblEjecucion[precio],0))</f>
        <v/>
      </c>
      <c r="AJ924" s="11">
        <f>IF(tblOrdenes[[#This Row],[orden]]="","",MAX(0,_xlfn.XLOOKUP(tblOrdenes[[#This Row],[id_operacion]],tblEjecucion[id_operacion],tblEjecucion[costo_plan_total],0)-tblOrdenes[[#This Row],[costo_servicio]]))</f>
        <v/>
      </c>
      <c r="AK924" s="11">
        <f>IF(tblOrdenes[[#This Row],[orden]]="","",tblOrdenes[[#This Row],[costo_servicio]]+tblOrdenes[[#This Row],[costo_materiales]])</f>
        <v/>
      </c>
      <c r="AL924" s="6" t="n"/>
      <c r="AM924" s="6" t="n"/>
      <c r="AN924" s="6" t="n"/>
      <c r="AO924" s="3">
        <f>IF(tblOrdenes[[#This Row],[link_checklist]]="","",HYPERLINK(p_ruta_base_checklists&amp;tblOrdenes[[#This Row],[link_checklist]],"abrir"))</f>
        <v/>
      </c>
      <c r="AP924" s="6" t="n"/>
      <c r="AQ924" s="3">
        <f>IF(tblOrdenes[[#This Row],[orden]]="","",tblOrdenes[[#This Row],[orden]]&amp;IF(tblOrdenes[[#This Row],[operacion]]="","0010",tblOrdenes[[#This Row],[operacion]]))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2" t="n"/>
      <c r="K925" s="3" t="n"/>
      <c r="L925" s="11" t="n"/>
      <c r="M9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5" s="3">
        <f>IF(tblOrdenes[[#This Row],[fecha_inicio]]="","",YEAR(tblOrdenes[[#This Row],[fecha_inicio]]))</f>
        <v/>
      </c>
      <c r="Q925" s="3">
        <f>IF(tblOrdenes[[#This Row],[fecha_inicio]]="","",MONTH(tblOrdenes[[#This Row],[fecha_inicio]]))</f>
        <v/>
      </c>
      <c r="R925" s="3">
        <f>IF(tblOrdenes[[#This Row],[fecha_inicio]]="","",INDEX(lista_dias,WEEKDAY(tblOrdenes[[#This Row],[fecha_inicio]],2)))</f>
        <v/>
      </c>
      <c r="S9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5" s="3">
        <f>IF(tblOrdenes[[#This Row],[tipo_ot]]="","",_xlfn.XLOOKUP(tblOrdenes[[#This Row],[tipo_ot]],tblTiposOT[codigo],tblTiposOT[clasificacion],"sin_clasificar"))</f>
        <v/>
      </c>
      <c r="U925" s="3">
        <f>IF(tblOrdenes[[#This Row],[centro_costo]]="","",_xlfn.XLOOKUP(tblOrdenes[[#This Row],[centro_costo]],tblCECO[codigo],tblCECO[linea],"(sin catálogo)"))</f>
        <v/>
      </c>
      <c r="V925" s="3">
        <f>IF(tblOrdenes[[#This Row],[centro_costo]]="","",_xlfn.XLOOKUP(tblOrdenes[[#This Row],[centro_costo]],tblCECO[codigo],tblCECO[area],"(sin catálogo)"))</f>
        <v/>
      </c>
      <c r="W9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5" s="3">
        <f>IF(tblOrdenes[[#This Row],[centro_costo]]="","",_xlfn.XLOOKUP(tblOrdenes[[#This Row],[centro_costo]],tblCECO[codigo],tblCECO[coordinador],"(sin catálogo)"))</f>
        <v/>
      </c>
      <c r="Y925" s="3">
        <f>IF(tblOrdenes[[#This Row],[puesto_trabajo]]="","",_xlfn.XLOOKUP(tblOrdenes[[#This Row],[puesto_trabajo]],tblPuestos[codigo],tblPuestos[especialidad],"(sin catálogo)"))</f>
        <v/>
      </c>
      <c r="Z925" s="3">
        <f>IF(tblOrdenes[[#This Row],[cod_actividad]]="","",_xlfn.XLOOKUP(tblOrdenes[[#This Row],[cod_actividad]],tblActividades[codigo],tblActividades[descripcion],"(sin catálogo)"))</f>
        <v/>
      </c>
      <c r="AA925" s="13">
        <f>IF(tblOrdenes[[#This Row],[fecha_inicio]]="","",TODAY()-tblOrdenes[[#This Row],[fecha_inicio]])</f>
        <v/>
      </c>
      <c r="AB9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5" s="3">
        <f>IF(tblOrdenes[[#This Row],[backlog_habiles]]="","",IF(tblOrdenes[[#This Row],[backlog_habiles]]&lt;0,"FUTURO",IF(tblOrdenes[[#This Row],[backlog_habiles]]&gt;p_dias_backlog_max,"BACKLOG","MES CORRIENTE")))</f>
        <v/>
      </c>
      <c r="AD925" s="3">
        <f>IF(tblOrdenes[[#This Row],[backlog_habiles]]="",FALSE,AND(tblOrdenes[[#This Row],[backlog_habiles]]&gt;p_dias_backlog_min,tblOrdenes[[#This Row],[backlog_habiles]]&lt;=p_dias_backlog_max))</f>
        <v/>
      </c>
      <c r="AE925" s="6" t="n"/>
      <c r="AF9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5" s="11">
        <f>IF(tblOrdenes[[#This Row],[orden]]="","",_xlfn.XLOOKUP(tblOrdenes[[#This Row],[id_operacion]],tblEjecucion[id_operacion],tblEjecucion[precio],0))</f>
        <v/>
      </c>
      <c r="AJ925" s="11">
        <f>IF(tblOrdenes[[#This Row],[orden]]="","",MAX(0,_xlfn.XLOOKUP(tblOrdenes[[#This Row],[id_operacion]],tblEjecucion[id_operacion],tblEjecucion[costo_plan_total],0)-tblOrdenes[[#This Row],[costo_servicio]]))</f>
        <v/>
      </c>
      <c r="AK925" s="11">
        <f>IF(tblOrdenes[[#This Row],[orden]]="","",tblOrdenes[[#This Row],[costo_servicio]]+tblOrdenes[[#This Row],[costo_materiales]])</f>
        <v/>
      </c>
      <c r="AL925" s="6" t="n"/>
      <c r="AM925" s="6" t="n"/>
      <c r="AN925" s="6" t="n"/>
      <c r="AO925" s="3">
        <f>IF(tblOrdenes[[#This Row],[link_checklist]]="","",HYPERLINK(p_ruta_base_checklists&amp;tblOrdenes[[#This Row],[link_checklist]],"abrir"))</f>
        <v/>
      </c>
      <c r="AP925" s="6" t="n"/>
      <c r="AQ925" s="3">
        <f>IF(tblOrdenes[[#This Row],[orden]]="","",tblOrdenes[[#This Row],[orden]]&amp;IF(tblOrdenes[[#This Row],[operacion]]="","0010",tblOrdenes[[#This Row],[operacion]]))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2" t="n"/>
      <c r="K926" s="3" t="n"/>
      <c r="L926" s="11" t="n"/>
      <c r="M9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6" s="3">
        <f>IF(tblOrdenes[[#This Row],[fecha_inicio]]="","",YEAR(tblOrdenes[[#This Row],[fecha_inicio]]))</f>
        <v/>
      </c>
      <c r="Q926" s="3">
        <f>IF(tblOrdenes[[#This Row],[fecha_inicio]]="","",MONTH(tblOrdenes[[#This Row],[fecha_inicio]]))</f>
        <v/>
      </c>
      <c r="R926" s="3">
        <f>IF(tblOrdenes[[#This Row],[fecha_inicio]]="","",INDEX(lista_dias,WEEKDAY(tblOrdenes[[#This Row],[fecha_inicio]],2)))</f>
        <v/>
      </c>
      <c r="S9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6" s="3">
        <f>IF(tblOrdenes[[#This Row],[tipo_ot]]="","",_xlfn.XLOOKUP(tblOrdenes[[#This Row],[tipo_ot]],tblTiposOT[codigo],tblTiposOT[clasificacion],"sin_clasificar"))</f>
        <v/>
      </c>
      <c r="U926" s="3">
        <f>IF(tblOrdenes[[#This Row],[centro_costo]]="","",_xlfn.XLOOKUP(tblOrdenes[[#This Row],[centro_costo]],tblCECO[codigo],tblCECO[linea],"(sin catálogo)"))</f>
        <v/>
      </c>
      <c r="V926" s="3">
        <f>IF(tblOrdenes[[#This Row],[centro_costo]]="","",_xlfn.XLOOKUP(tblOrdenes[[#This Row],[centro_costo]],tblCECO[codigo],tblCECO[area],"(sin catálogo)"))</f>
        <v/>
      </c>
      <c r="W9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6" s="3">
        <f>IF(tblOrdenes[[#This Row],[centro_costo]]="","",_xlfn.XLOOKUP(tblOrdenes[[#This Row],[centro_costo]],tblCECO[codigo],tblCECO[coordinador],"(sin catálogo)"))</f>
        <v/>
      </c>
      <c r="Y926" s="3">
        <f>IF(tblOrdenes[[#This Row],[puesto_trabajo]]="","",_xlfn.XLOOKUP(tblOrdenes[[#This Row],[puesto_trabajo]],tblPuestos[codigo],tblPuestos[especialidad],"(sin catálogo)"))</f>
        <v/>
      </c>
      <c r="Z926" s="3">
        <f>IF(tblOrdenes[[#This Row],[cod_actividad]]="","",_xlfn.XLOOKUP(tblOrdenes[[#This Row],[cod_actividad]],tblActividades[codigo],tblActividades[descripcion],"(sin catálogo)"))</f>
        <v/>
      </c>
      <c r="AA926" s="13">
        <f>IF(tblOrdenes[[#This Row],[fecha_inicio]]="","",TODAY()-tblOrdenes[[#This Row],[fecha_inicio]])</f>
        <v/>
      </c>
      <c r="AB9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6" s="3">
        <f>IF(tblOrdenes[[#This Row],[backlog_habiles]]="","",IF(tblOrdenes[[#This Row],[backlog_habiles]]&lt;0,"FUTURO",IF(tblOrdenes[[#This Row],[backlog_habiles]]&gt;p_dias_backlog_max,"BACKLOG","MES CORRIENTE")))</f>
        <v/>
      </c>
      <c r="AD926" s="3">
        <f>IF(tblOrdenes[[#This Row],[backlog_habiles]]="",FALSE,AND(tblOrdenes[[#This Row],[backlog_habiles]]&gt;p_dias_backlog_min,tblOrdenes[[#This Row],[backlog_habiles]]&lt;=p_dias_backlog_max))</f>
        <v/>
      </c>
      <c r="AE926" s="6" t="n"/>
      <c r="AF9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6" s="11">
        <f>IF(tblOrdenes[[#This Row],[orden]]="","",_xlfn.XLOOKUP(tblOrdenes[[#This Row],[id_operacion]],tblEjecucion[id_operacion],tblEjecucion[precio],0))</f>
        <v/>
      </c>
      <c r="AJ926" s="11">
        <f>IF(tblOrdenes[[#This Row],[orden]]="","",MAX(0,_xlfn.XLOOKUP(tblOrdenes[[#This Row],[id_operacion]],tblEjecucion[id_operacion],tblEjecucion[costo_plan_total],0)-tblOrdenes[[#This Row],[costo_servicio]]))</f>
        <v/>
      </c>
      <c r="AK926" s="11">
        <f>IF(tblOrdenes[[#This Row],[orden]]="","",tblOrdenes[[#This Row],[costo_servicio]]+tblOrdenes[[#This Row],[costo_materiales]])</f>
        <v/>
      </c>
      <c r="AL926" s="6" t="n"/>
      <c r="AM926" s="6" t="n"/>
      <c r="AN926" s="6" t="n"/>
      <c r="AO926" s="3">
        <f>IF(tblOrdenes[[#This Row],[link_checklist]]="","",HYPERLINK(p_ruta_base_checklists&amp;tblOrdenes[[#This Row],[link_checklist]],"abrir"))</f>
        <v/>
      </c>
      <c r="AP926" s="6" t="n"/>
      <c r="AQ926" s="3">
        <f>IF(tblOrdenes[[#This Row],[orden]]="","",tblOrdenes[[#This Row],[orden]]&amp;IF(tblOrdenes[[#This Row],[operacion]]="","0010",tblOrdenes[[#This Row],[operacion]]))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2" t="n"/>
      <c r="K927" s="3" t="n"/>
      <c r="L927" s="11" t="n"/>
      <c r="M9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7" s="3">
        <f>IF(tblOrdenes[[#This Row],[fecha_inicio]]="","",YEAR(tblOrdenes[[#This Row],[fecha_inicio]]))</f>
        <v/>
      </c>
      <c r="Q927" s="3">
        <f>IF(tblOrdenes[[#This Row],[fecha_inicio]]="","",MONTH(tblOrdenes[[#This Row],[fecha_inicio]]))</f>
        <v/>
      </c>
      <c r="R927" s="3">
        <f>IF(tblOrdenes[[#This Row],[fecha_inicio]]="","",INDEX(lista_dias,WEEKDAY(tblOrdenes[[#This Row],[fecha_inicio]],2)))</f>
        <v/>
      </c>
      <c r="S9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7" s="3">
        <f>IF(tblOrdenes[[#This Row],[tipo_ot]]="","",_xlfn.XLOOKUP(tblOrdenes[[#This Row],[tipo_ot]],tblTiposOT[codigo],tblTiposOT[clasificacion],"sin_clasificar"))</f>
        <v/>
      </c>
      <c r="U927" s="3">
        <f>IF(tblOrdenes[[#This Row],[centro_costo]]="","",_xlfn.XLOOKUP(tblOrdenes[[#This Row],[centro_costo]],tblCECO[codigo],tblCECO[linea],"(sin catálogo)"))</f>
        <v/>
      </c>
      <c r="V927" s="3">
        <f>IF(tblOrdenes[[#This Row],[centro_costo]]="","",_xlfn.XLOOKUP(tblOrdenes[[#This Row],[centro_costo]],tblCECO[codigo],tblCECO[area],"(sin catálogo)"))</f>
        <v/>
      </c>
      <c r="W9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7" s="3">
        <f>IF(tblOrdenes[[#This Row],[centro_costo]]="","",_xlfn.XLOOKUP(tblOrdenes[[#This Row],[centro_costo]],tblCECO[codigo],tblCECO[coordinador],"(sin catálogo)"))</f>
        <v/>
      </c>
      <c r="Y927" s="3">
        <f>IF(tblOrdenes[[#This Row],[puesto_trabajo]]="","",_xlfn.XLOOKUP(tblOrdenes[[#This Row],[puesto_trabajo]],tblPuestos[codigo],tblPuestos[especialidad],"(sin catálogo)"))</f>
        <v/>
      </c>
      <c r="Z927" s="3">
        <f>IF(tblOrdenes[[#This Row],[cod_actividad]]="","",_xlfn.XLOOKUP(tblOrdenes[[#This Row],[cod_actividad]],tblActividades[codigo],tblActividades[descripcion],"(sin catálogo)"))</f>
        <v/>
      </c>
      <c r="AA927" s="13">
        <f>IF(tblOrdenes[[#This Row],[fecha_inicio]]="","",TODAY()-tblOrdenes[[#This Row],[fecha_inicio]])</f>
        <v/>
      </c>
      <c r="AB9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7" s="3">
        <f>IF(tblOrdenes[[#This Row],[backlog_habiles]]="","",IF(tblOrdenes[[#This Row],[backlog_habiles]]&lt;0,"FUTURO",IF(tblOrdenes[[#This Row],[backlog_habiles]]&gt;p_dias_backlog_max,"BACKLOG","MES CORRIENTE")))</f>
        <v/>
      </c>
      <c r="AD927" s="3">
        <f>IF(tblOrdenes[[#This Row],[backlog_habiles]]="",FALSE,AND(tblOrdenes[[#This Row],[backlog_habiles]]&gt;p_dias_backlog_min,tblOrdenes[[#This Row],[backlog_habiles]]&lt;=p_dias_backlog_max))</f>
        <v/>
      </c>
      <c r="AE927" s="6" t="n"/>
      <c r="AF9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7" s="11">
        <f>IF(tblOrdenes[[#This Row],[orden]]="","",_xlfn.XLOOKUP(tblOrdenes[[#This Row],[id_operacion]],tblEjecucion[id_operacion],tblEjecucion[precio],0))</f>
        <v/>
      </c>
      <c r="AJ927" s="11">
        <f>IF(tblOrdenes[[#This Row],[orden]]="","",MAX(0,_xlfn.XLOOKUP(tblOrdenes[[#This Row],[id_operacion]],tblEjecucion[id_operacion],tblEjecucion[costo_plan_total],0)-tblOrdenes[[#This Row],[costo_servicio]]))</f>
        <v/>
      </c>
      <c r="AK927" s="11">
        <f>IF(tblOrdenes[[#This Row],[orden]]="","",tblOrdenes[[#This Row],[costo_servicio]]+tblOrdenes[[#This Row],[costo_materiales]])</f>
        <v/>
      </c>
      <c r="AL927" s="6" t="n"/>
      <c r="AM927" s="6" t="n"/>
      <c r="AN927" s="6" t="n"/>
      <c r="AO927" s="3">
        <f>IF(tblOrdenes[[#This Row],[link_checklist]]="","",HYPERLINK(p_ruta_base_checklists&amp;tblOrdenes[[#This Row],[link_checklist]],"abrir"))</f>
        <v/>
      </c>
      <c r="AP927" s="6" t="n"/>
      <c r="AQ927" s="3">
        <f>IF(tblOrdenes[[#This Row],[orden]]="","",tblOrdenes[[#This Row],[orden]]&amp;IF(tblOrdenes[[#This Row],[operacion]]="","0010",tblOrdenes[[#This Row],[operacion]]))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2" t="n"/>
      <c r="K928" s="3" t="n"/>
      <c r="L928" s="11" t="n"/>
      <c r="M9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8" s="3">
        <f>IF(tblOrdenes[[#This Row],[fecha_inicio]]="","",YEAR(tblOrdenes[[#This Row],[fecha_inicio]]))</f>
        <v/>
      </c>
      <c r="Q928" s="3">
        <f>IF(tblOrdenes[[#This Row],[fecha_inicio]]="","",MONTH(tblOrdenes[[#This Row],[fecha_inicio]]))</f>
        <v/>
      </c>
      <c r="R928" s="3">
        <f>IF(tblOrdenes[[#This Row],[fecha_inicio]]="","",INDEX(lista_dias,WEEKDAY(tblOrdenes[[#This Row],[fecha_inicio]],2)))</f>
        <v/>
      </c>
      <c r="S9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8" s="3">
        <f>IF(tblOrdenes[[#This Row],[tipo_ot]]="","",_xlfn.XLOOKUP(tblOrdenes[[#This Row],[tipo_ot]],tblTiposOT[codigo],tblTiposOT[clasificacion],"sin_clasificar"))</f>
        <v/>
      </c>
      <c r="U928" s="3">
        <f>IF(tblOrdenes[[#This Row],[centro_costo]]="","",_xlfn.XLOOKUP(tblOrdenes[[#This Row],[centro_costo]],tblCECO[codigo],tblCECO[linea],"(sin catálogo)"))</f>
        <v/>
      </c>
      <c r="V928" s="3">
        <f>IF(tblOrdenes[[#This Row],[centro_costo]]="","",_xlfn.XLOOKUP(tblOrdenes[[#This Row],[centro_costo]],tblCECO[codigo],tblCECO[area],"(sin catálogo)"))</f>
        <v/>
      </c>
      <c r="W9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8" s="3">
        <f>IF(tblOrdenes[[#This Row],[centro_costo]]="","",_xlfn.XLOOKUP(tblOrdenes[[#This Row],[centro_costo]],tblCECO[codigo],tblCECO[coordinador],"(sin catálogo)"))</f>
        <v/>
      </c>
      <c r="Y928" s="3">
        <f>IF(tblOrdenes[[#This Row],[puesto_trabajo]]="","",_xlfn.XLOOKUP(tblOrdenes[[#This Row],[puesto_trabajo]],tblPuestos[codigo],tblPuestos[especialidad],"(sin catálogo)"))</f>
        <v/>
      </c>
      <c r="Z928" s="3">
        <f>IF(tblOrdenes[[#This Row],[cod_actividad]]="","",_xlfn.XLOOKUP(tblOrdenes[[#This Row],[cod_actividad]],tblActividades[codigo],tblActividades[descripcion],"(sin catálogo)"))</f>
        <v/>
      </c>
      <c r="AA928" s="13">
        <f>IF(tblOrdenes[[#This Row],[fecha_inicio]]="","",TODAY()-tblOrdenes[[#This Row],[fecha_inicio]])</f>
        <v/>
      </c>
      <c r="AB9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8" s="3">
        <f>IF(tblOrdenes[[#This Row],[backlog_habiles]]="","",IF(tblOrdenes[[#This Row],[backlog_habiles]]&lt;0,"FUTURO",IF(tblOrdenes[[#This Row],[backlog_habiles]]&gt;p_dias_backlog_max,"BACKLOG","MES CORRIENTE")))</f>
        <v/>
      </c>
      <c r="AD928" s="3">
        <f>IF(tblOrdenes[[#This Row],[backlog_habiles]]="",FALSE,AND(tblOrdenes[[#This Row],[backlog_habiles]]&gt;p_dias_backlog_min,tblOrdenes[[#This Row],[backlog_habiles]]&lt;=p_dias_backlog_max))</f>
        <v/>
      </c>
      <c r="AE928" s="6" t="n"/>
      <c r="AF9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8" s="11">
        <f>IF(tblOrdenes[[#This Row],[orden]]="","",_xlfn.XLOOKUP(tblOrdenes[[#This Row],[id_operacion]],tblEjecucion[id_operacion],tblEjecucion[precio],0))</f>
        <v/>
      </c>
      <c r="AJ928" s="11">
        <f>IF(tblOrdenes[[#This Row],[orden]]="","",MAX(0,_xlfn.XLOOKUP(tblOrdenes[[#This Row],[id_operacion]],tblEjecucion[id_operacion],tblEjecucion[costo_plan_total],0)-tblOrdenes[[#This Row],[costo_servicio]]))</f>
        <v/>
      </c>
      <c r="AK928" s="11">
        <f>IF(tblOrdenes[[#This Row],[orden]]="","",tblOrdenes[[#This Row],[costo_servicio]]+tblOrdenes[[#This Row],[costo_materiales]])</f>
        <v/>
      </c>
      <c r="AL928" s="6" t="n"/>
      <c r="AM928" s="6" t="n"/>
      <c r="AN928" s="6" t="n"/>
      <c r="AO928" s="3">
        <f>IF(tblOrdenes[[#This Row],[link_checklist]]="","",HYPERLINK(p_ruta_base_checklists&amp;tblOrdenes[[#This Row],[link_checklist]],"abrir"))</f>
        <v/>
      </c>
      <c r="AP928" s="6" t="n"/>
      <c r="AQ928" s="3">
        <f>IF(tblOrdenes[[#This Row],[orden]]="","",tblOrdenes[[#This Row],[orden]]&amp;IF(tblOrdenes[[#This Row],[operacion]]="","0010",tblOrdenes[[#This Row],[operacion]]))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2" t="n"/>
      <c r="K929" s="3" t="n"/>
      <c r="L929" s="11" t="n"/>
      <c r="M9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9" s="3">
        <f>IF(tblOrdenes[[#This Row],[fecha_inicio]]="","",YEAR(tblOrdenes[[#This Row],[fecha_inicio]]))</f>
        <v/>
      </c>
      <c r="Q929" s="3">
        <f>IF(tblOrdenes[[#This Row],[fecha_inicio]]="","",MONTH(tblOrdenes[[#This Row],[fecha_inicio]]))</f>
        <v/>
      </c>
      <c r="R929" s="3">
        <f>IF(tblOrdenes[[#This Row],[fecha_inicio]]="","",INDEX(lista_dias,WEEKDAY(tblOrdenes[[#This Row],[fecha_inicio]],2)))</f>
        <v/>
      </c>
      <c r="S9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9" s="3">
        <f>IF(tblOrdenes[[#This Row],[tipo_ot]]="","",_xlfn.XLOOKUP(tblOrdenes[[#This Row],[tipo_ot]],tblTiposOT[codigo],tblTiposOT[clasificacion],"sin_clasificar"))</f>
        <v/>
      </c>
      <c r="U929" s="3">
        <f>IF(tblOrdenes[[#This Row],[centro_costo]]="","",_xlfn.XLOOKUP(tblOrdenes[[#This Row],[centro_costo]],tblCECO[codigo],tblCECO[linea],"(sin catálogo)"))</f>
        <v/>
      </c>
      <c r="V929" s="3">
        <f>IF(tblOrdenes[[#This Row],[centro_costo]]="","",_xlfn.XLOOKUP(tblOrdenes[[#This Row],[centro_costo]],tblCECO[codigo],tblCECO[area],"(sin catálogo)"))</f>
        <v/>
      </c>
      <c r="W9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9" s="3">
        <f>IF(tblOrdenes[[#This Row],[centro_costo]]="","",_xlfn.XLOOKUP(tblOrdenes[[#This Row],[centro_costo]],tblCECO[codigo],tblCECO[coordinador],"(sin catálogo)"))</f>
        <v/>
      </c>
      <c r="Y929" s="3">
        <f>IF(tblOrdenes[[#This Row],[puesto_trabajo]]="","",_xlfn.XLOOKUP(tblOrdenes[[#This Row],[puesto_trabajo]],tblPuestos[codigo],tblPuestos[especialidad],"(sin catálogo)"))</f>
        <v/>
      </c>
      <c r="Z929" s="3">
        <f>IF(tblOrdenes[[#This Row],[cod_actividad]]="","",_xlfn.XLOOKUP(tblOrdenes[[#This Row],[cod_actividad]],tblActividades[codigo],tblActividades[descripcion],"(sin catálogo)"))</f>
        <v/>
      </c>
      <c r="AA929" s="13">
        <f>IF(tblOrdenes[[#This Row],[fecha_inicio]]="","",TODAY()-tblOrdenes[[#This Row],[fecha_inicio]])</f>
        <v/>
      </c>
      <c r="AB9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9" s="3">
        <f>IF(tblOrdenes[[#This Row],[backlog_habiles]]="","",IF(tblOrdenes[[#This Row],[backlog_habiles]]&lt;0,"FUTURO",IF(tblOrdenes[[#This Row],[backlog_habiles]]&gt;p_dias_backlog_max,"BACKLOG","MES CORRIENTE")))</f>
        <v/>
      </c>
      <c r="AD929" s="3">
        <f>IF(tblOrdenes[[#This Row],[backlog_habiles]]="",FALSE,AND(tblOrdenes[[#This Row],[backlog_habiles]]&gt;p_dias_backlog_min,tblOrdenes[[#This Row],[backlog_habiles]]&lt;=p_dias_backlog_max))</f>
        <v/>
      </c>
      <c r="AE929" s="6" t="n"/>
      <c r="AF9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9" s="11">
        <f>IF(tblOrdenes[[#This Row],[orden]]="","",_xlfn.XLOOKUP(tblOrdenes[[#This Row],[id_operacion]],tblEjecucion[id_operacion],tblEjecucion[precio],0))</f>
        <v/>
      </c>
      <c r="AJ929" s="11">
        <f>IF(tblOrdenes[[#This Row],[orden]]="","",MAX(0,_xlfn.XLOOKUP(tblOrdenes[[#This Row],[id_operacion]],tblEjecucion[id_operacion],tblEjecucion[costo_plan_total],0)-tblOrdenes[[#This Row],[costo_servicio]]))</f>
        <v/>
      </c>
      <c r="AK929" s="11">
        <f>IF(tblOrdenes[[#This Row],[orden]]="","",tblOrdenes[[#This Row],[costo_servicio]]+tblOrdenes[[#This Row],[costo_materiales]])</f>
        <v/>
      </c>
      <c r="AL929" s="6" t="n"/>
      <c r="AM929" s="6" t="n"/>
      <c r="AN929" s="6" t="n"/>
      <c r="AO929" s="3">
        <f>IF(tblOrdenes[[#This Row],[link_checklist]]="","",HYPERLINK(p_ruta_base_checklists&amp;tblOrdenes[[#This Row],[link_checklist]],"abrir"))</f>
        <v/>
      </c>
      <c r="AP929" s="6" t="n"/>
      <c r="AQ929" s="3">
        <f>IF(tblOrdenes[[#This Row],[orden]]="","",tblOrdenes[[#This Row],[orden]]&amp;IF(tblOrdenes[[#This Row],[operacion]]="","0010",tblOrdenes[[#This Row],[operacion]]))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2" t="n"/>
      <c r="K930" s="3" t="n"/>
      <c r="L930" s="11" t="n"/>
      <c r="M9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0" s="3">
        <f>IF(tblOrdenes[[#This Row],[fecha_inicio]]="","",YEAR(tblOrdenes[[#This Row],[fecha_inicio]]))</f>
        <v/>
      </c>
      <c r="Q930" s="3">
        <f>IF(tblOrdenes[[#This Row],[fecha_inicio]]="","",MONTH(tblOrdenes[[#This Row],[fecha_inicio]]))</f>
        <v/>
      </c>
      <c r="R930" s="3">
        <f>IF(tblOrdenes[[#This Row],[fecha_inicio]]="","",INDEX(lista_dias,WEEKDAY(tblOrdenes[[#This Row],[fecha_inicio]],2)))</f>
        <v/>
      </c>
      <c r="S9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0" s="3">
        <f>IF(tblOrdenes[[#This Row],[tipo_ot]]="","",_xlfn.XLOOKUP(tblOrdenes[[#This Row],[tipo_ot]],tblTiposOT[codigo],tblTiposOT[clasificacion],"sin_clasificar"))</f>
        <v/>
      </c>
      <c r="U930" s="3">
        <f>IF(tblOrdenes[[#This Row],[centro_costo]]="","",_xlfn.XLOOKUP(tblOrdenes[[#This Row],[centro_costo]],tblCECO[codigo],tblCECO[linea],"(sin catálogo)"))</f>
        <v/>
      </c>
      <c r="V930" s="3">
        <f>IF(tblOrdenes[[#This Row],[centro_costo]]="","",_xlfn.XLOOKUP(tblOrdenes[[#This Row],[centro_costo]],tblCECO[codigo],tblCECO[area],"(sin catálogo)"))</f>
        <v/>
      </c>
      <c r="W9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0" s="3">
        <f>IF(tblOrdenes[[#This Row],[centro_costo]]="","",_xlfn.XLOOKUP(tblOrdenes[[#This Row],[centro_costo]],tblCECO[codigo],tblCECO[coordinador],"(sin catálogo)"))</f>
        <v/>
      </c>
      <c r="Y930" s="3">
        <f>IF(tblOrdenes[[#This Row],[puesto_trabajo]]="","",_xlfn.XLOOKUP(tblOrdenes[[#This Row],[puesto_trabajo]],tblPuestos[codigo],tblPuestos[especialidad],"(sin catálogo)"))</f>
        <v/>
      </c>
      <c r="Z930" s="3">
        <f>IF(tblOrdenes[[#This Row],[cod_actividad]]="","",_xlfn.XLOOKUP(tblOrdenes[[#This Row],[cod_actividad]],tblActividades[codigo],tblActividades[descripcion],"(sin catálogo)"))</f>
        <v/>
      </c>
      <c r="AA930" s="13">
        <f>IF(tblOrdenes[[#This Row],[fecha_inicio]]="","",TODAY()-tblOrdenes[[#This Row],[fecha_inicio]])</f>
        <v/>
      </c>
      <c r="AB9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0" s="3">
        <f>IF(tblOrdenes[[#This Row],[backlog_habiles]]="","",IF(tblOrdenes[[#This Row],[backlog_habiles]]&lt;0,"FUTURO",IF(tblOrdenes[[#This Row],[backlog_habiles]]&gt;p_dias_backlog_max,"BACKLOG","MES CORRIENTE")))</f>
        <v/>
      </c>
      <c r="AD930" s="3">
        <f>IF(tblOrdenes[[#This Row],[backlog_habiles]]="",FALSE,AND(tblOrdenes[[#This Row],[backlog_habiles]]&gt;p_dias_backlog_min,tblOrdenes[[#This Row],[backlog_habiles]]&lt;=p_dias_backlog_max))</f>
        <v/>
      </c>
      <c r="AE930" s="6" t="n"/>
      <c r="AF9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0" s="11">
        <f>IF(tblOrdenes[[#This Row],[orden]]="","",_xlfn.XLOOKUP(tblOrdenes[[#This Row],[id_operacion]],tblEjecucion[id_operacion],tblEjecucion[precio],0))</f>
        <v/>
      </c>
      <c r="AJ930" s="11">
        <f>IF(tblOrdenes[[#This Row],[orden]]="","",MAX(0,_xlfn.XLOOKUP(tblOrdenes[[#This Row],[id_operacion]],tblEjecucion[id_operacion],tblEjecucion[costo_plan_total],0)-tblOrdenes[[#This Row],[costo_servicio]]))</f>
        <v/>
      </c>
      <c r="AK930" s="11">
        <f>IF(tblOrdenes[[#This Row],[orden]]="","",tblOrdenes[[#This Row],[costo_servicio]]+tblOrdenes[[#This Row],[costo_materiales]])</f>
        <v/>
      </c>
      <c r="AL930" s="6" t="n"/>
      <c r="AM930" s="6" t="n"/>
      <c r="AN930" s="6" t="n"/>
      <c r="AO930" s="3">
        <f>IF(tblOrdenes[[#This Row],[link_checklist]]="","",HYPERLINK(p_ruta_base_checklists&amp;tblOrdenes[[#This Row],[link_checklist]],"abrir"))</f>
        <v/>
      </c>
      <c r="AP930" s="6" t="n"/>
      <c r="AQ930" s="3">
        <f>IF(tblOrdenes[[#This Row],[orden]]="","",tblOrdenes[[#This Row],[orden]]&amp;IF(tblOrdenes[[#This Row],[operacion]]="","0010",tblOrdenes[[#This Row],[operacion]]))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2" t="n"/>
      <c r="K931" s="3" t="n"/>
      <c r="L931" s="11" t="n"/>
      <c r="M9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1" s="3">
        <f>IF(tblOrdenes[[#This Row],[fecha_inicio]]="","",YEAR(tblOrdenes[[#This Row],[fecha_inicio]]))</f>
        <v/>
      </c>
      <c r="Q931" s="3">
        <f>IF(tblOrdenes[[#This Row],[fecha_inicio]]="","",MONTH(tblOrdenes[[#This Row],[fecha_inicio]]))</f>
        <v/>
      </c>
      <c r="R931" s="3">
        <f>IF(tblOrdenes[[#This Row],[fecha_inicio]]="","",INDEX(lista_dias,WEEKDAY(tblOrdenes[[#This Row],[fecha_inicio]],2)))</f>
        <v/>
      </c>
      <c r="S9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1" s="3">
        <f>IF(tblOrdenes[[#This Row],[tipo_ot]]="","",_xlfn.XLOOKUP(tblOrdenes[[#This Row],[tipo_ot]],tblTiposOT[codigo],tblTiposOT[clasificacion],"sin_clasificar"))</f>
        <v/>
      </c>
      <c r="U931" s="3">
        <f>IF(tblOrdenes[[#This Row],[centro_costo]]="","",_xlfn.XLOOKUP(tblOrdenes[[#This Row],[centro_costo]],tblCECO[codigo],tblCECO[linea],"(sin catálogo)"))</f>
        <v/>
      </c>
      <c r="V931" s="3">
        <f>IF(tblOrdenes[[#This Row],[centro_costo]]="","",_xlfn.XLOOKUP(tblOrdenes[[#This Row],[centro_costo]],tblCECO[codigo],tblCECO[area],"(sin catálogo)"))</f>
        <v/>
      </c>
      <c r="W9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1" s="3">
        <f>IF(tblOrdenes[[#This Row],[centro_costo]]="","",_xlfn.XLOOKUP(tblOrdenes[[#This Row],[centro_costo]],tblCECO[codigo],tblCECO[coordinador],"(sin catálogo)"))</f>
        <v/>
      </c>
      <c r="Y931" s="3">
        <f>IF(tblOrdenes[[#This Row],[puesto_trabajo]]="","",_xlfn.XLOOKUP(tblOrdenes[[#This Row],[puesto_trabajo]],tblPuestos[codigo],tblPuestos[especialidad],"(sin catálogo)"))</f>
        <v/>
      </c>
      <c r="Z931" s="3">
        <f>IF(tblOrdenes[[#This Row],[cod_actividad]]="","",_xlfn.XLOOKUP(tblOrdenes[[#This Row],[cod_actividad]],tblActividades[codigo],tblActividades[descripcion],"(sin catálogo)"))</f>
        <v/>
      </c>
      <c r="AA931" s="13">
        <f>IF(tblOrdenes[[#This Row],[fecha_inicio]]="","",TODAY()-tblOrdenes[[#This Row],[fecha_inicio]])</f>
        <v/>
      </c>
      <c r="AB9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1" s="3">
        <f>IF(tblOrdenes[[#This Row],[backlog_habiles]]="","",IF(tblOrdenes[[#This Row],[backlog_habiles]]&lt;0,"FUTURO",IF(tblOrdenes[[#This Row],[backlog_habiles]]&gt;p_dias_backlog_max,"BACKLOG","MES CORRIENTE")))</f>
        <v/>
      </c>
      <c r="AD931" s="3">
        <f>IF(tblOrdenes[[#This Row],[backlog_habiles]]="",FALSE,AND(tblOrdenes[[#This Row],[backlog_habiles]]&gt;p_dias_backlog_min,tblOrdenes[[#This Row],[backlog_habiles]]&lt;=p_dias_backlog_max))</f>
        <v/>
      </c>
      <c r="AE931" s="6" t="n"/>
      <c r="AF9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1" s="11">
        <f>IF(tblOrdenes[[#This Row],[orden]]="","",_xlfn.XLOOKUP(tblOrdenes[[#This Row],[id_operacion]],tblEjecucion[id_operacion],tblEjecucion[precio],0))</f>
        <v/>
      </c>
      <c r="AJ931" s="11">
        <f>IF(tblOrdenes[[#This Row],[orden]]="","",MAX(0,_xlfn.XLOOKUP(tblOrdenes[[#This Row],[id_operacion]],tblEjecucion[id_operacion],tblEjecucion[costo_plan_total],0)-tblOrdenes[[#This Row],[costo_servicio]]))</f>
        <v/>
      </c>
      <c r="AK931" s="11">
        <f>IF(tblOrdenes[[#This Row],[orden]]="","",tblOrdenes[[#This Row],[costo_servicio]]+tblOrdenes[[#This Row],[costo_materiales]])</f>
        <v/>
      </c>
      <c r="AL931" s="6" t="n"/>
      <c r="AM931" s="6" t="n"/>
      <c r="AN931" s="6" t="n"/>
      <c r="AO931" s="3">
        <f>IF(tblOrdenes[[#This Row],[link_checklist]]="","",HYPERLINK(p_ruta_base_checklists&amp;tblOrdenes[[#This Row],[link_checklist]],"abrir"))</f>
        <v/>
      </c>
      <c r="AP931" s="6" t="n"/>
      <c r="AQ931" s="3">
        <f>IF(tblOrdenes[[#This Row],[orden]]="","",tblOrdenes[[#This Row],[orden]]&amp;IF(tblOrdenes[[#This Row],[operacion]]="","0010",tblOrdenes[[#This Row],[operacion]]))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2" t="n"/>
      <c r="K932" s="3" t="n"/>
      <c r="L932" s="11" t="n"/>
      <c r="M9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2" s="3">
        <f>IF(tblOrdenes[[#This Row],[fecha_inicio]]="","",YEAR(tblOrdenes[[#This Row],[fecha_inicio]]))</f>
        <v/>
      </c>
      <c r="Q932" s="3">
        <f>IF(tblOrdenes[[#This Row],[fecha_inicio]]="","",MONTH(tblOrdenes[[#This Row],[fecha_inicio]]))</f>
        <v/>
      </c>
      <c r="R932" s="3">
        <f>IF(tblOrdenes[[#This Row],[fecha_inicio]]="","",INDEX(lista_dias,WEEKDAY(tblOrdenes[[#This Row],[fecha_inicio]],2)))</f>
        <v/>
      </c>
      <c r="S9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2" s="3">
        <f>IF(tblOrdenes[[#This Row],[tipo_ot]]="","",_xlfn.XLOOKUP(tblOrdenes[[#This Row],[tipo_ot]],tblTiposOT[codigo],tblTiposOT[clasificacion],"sin_clasificar"))</f>
        <v/>
      </c>
      <c r="U932" s="3">
        <f>IF(tblOrdenes[[#This Row],[centro_costo]]="","",_xlfn.XLOOKUP(tblOrdenes[[#This Row],[centro_costo]],tblCECO[codigo],tblCECO[linea],"(sin catálogo)"))</f>
        <v/>
      </c>
      <c r="V932" s="3">
        <f>IF(tblOrdenes[[#This Row],[centro_costo]]="","",_xlfn.XLOOKUP(tblOrdenes[[#This Row],[centro_costo]],tblCECO[codigo],tblCECO[area],"(sin catálogo)"))</f>
        <v/>
      </c>
      <c r="W9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2" s="3">
        <f>IF(tblOrdenes[[#This Row],[centro_costo]]="","",_xlfn.XLOOKUP(tblOrdenes[[#This Row],[centro_costo]],tblCECO[codigo],tblCECO[coordinador],"(sin catálogo)"))</f>
        <v/>
      </c>
      <c r="Y932" s="3">
        <f>IF(tblOrdenes[[#This Row],[puesto_trabajo]]="","",_xlfn.XLOOKUP(tblOrdenes[[#This Row],[puesto_trabajo]],tblPuestos[codigo],tblPuestos[especialidad],"(sin catálogo)"))</f>
        <v/>
      </c>
      <c r="Z932" s="3">
        <f>IF(tblOrdenes[[#This Row],[cod_actividad]]="","",_xlfn.XLOOKUP(tblOrdenes[[#This Row],[cod_actividad]],tblActividades[codigo],tblActividades[descripcion],"(sin catálogo)"))</f>
        <v/>
      </c>
      <c r="AA932" s="13">
        <f>IF(tblOrdenes[[#This Row],[fecha_inicio]]="","",TODAY()-tblOrdenes[[#This Row],[fecha_inicio]])</f>
        <v/>
      </c>
      <c r="AB9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2" s="3">
        <f>IF(tblOrdenes[[#This Row],[backlog_habiles]]="","",IF(tblOrdenes[[#This Row],[backlog_habiles]]&lt;0,"FUTURO",IF(tblOrdenes[[#This Row],[backlog_habiles]]&gt;p_dias_backlog_max,"BACKLOG","MES CORRIENTE")))</f>
        <v/>
      </c>
      <c r="AD932" s="3">
        <f>IF(tblOrdenes[[#This Row],[backlog_habiles]]="",FALSE,AND(tblOrdenes[[#This Row],[backlog_habiles]]&gt;p_dias_backlog_min,tblOrdenes[[#This Row],[backlog_habiles]]&lt;=p_dias_backlog_max))</f>
        <v/>
      </c>
      <c r="AE932" s="6" t="n"/>
      <c r="AF9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2" s="11">
        <f>IF(tblOrdenes[[#This Row],[orden]]="","",_xlfn.XLOOKUP(tblOrdenes[[#This Row],[id_operacion]],tblEjecucion[id_operacion],tblEjecucion[precio],0))</f>
        <v/>
      </c>
      <c r="AJ932" s="11">
        <f>IF(tblOrdenes[[#This Row],[orden]]="","",MAX(0,_xlfn.XLOOKUP(tblOrdenes[[#This Row],[id_operacion]],tblEjecucion[id_operacion],tblEjecucion[costo_plan_total],0)-tblOrdenes[[#This Row],[costo_servicio]]))</f>
        <v/>
      </c>
      <c r="AK932" s="11">
        <f>IF(tblOrdenes[[#This Row],[orden]]="","",tblOrdenes[[#This Row],[costo_servicio]]+tblOrdenes[[#This Row],[costo_materiales]])</f>
        <v/>
      </c>
      <c r="AL932" s="6" t="n"/>
      <c r="AM932" s="6" t="n"/>
      <c r="AN932" s="6" t="n"/>
      <c r="AO932" s="3">
        <f>IF(tblOrdenes[[#This Row],[link_checklist]]="","",HYPERLINK(p_ruta_base_checklists&amp;tblOrdenes[[#This Row],[link_checklist]],"abrir"))</f>
        <v/>
      </c>
      <c r="AP932" s="6" t="n"/>
      <c r="AQ932" s="3">
        <f>IF(tblOrdenes[[#This Row],[orden]]="","",tblOrdenes[[#This Row],[orden]]&amp;IF(tblOrdenes[[#This Row],[operacion]]="","0010",tblOrdenes[[#This Row],[operacion]]))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2" t="n"/>
      <c r="K933" s="3" t="n"/>
      <c r="L933" s="11" t="n"/>
      <c r="M9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3" s="3">
        <f>IF(tblOrdenes[[#This Row],[fecha_inicio]]="","",YEAR(tblOrdenes[[#This Row],[fecha_inicio]]))</f>
        <v/>
      </c>
      <c r="Q933" s="3">
        <f>IF(tblOrdenes[[#This Row],[fecha_inicio]]="","",MONTH(tblOrdenes[[#This Row],[fecha_inicio]]))</f>
        <v/>
      </c>
      <c r="R933" s="3">
        <f>IF(tblOrdenes[[#This Row],[fecha_inicio]]="","",INDEX(lista_dias,WEEKDAY(tblOrdenes[[#This Row],[fecha_inicio]],2)))</f>
        <v/>
      </c>
      <c r="S9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3" s="3">
        <f>IF(tblOrdenes[[#This Row],[tipo_ot]]="","",_xlfn.XLOOKUP(tblOrdenes[[#This Row],[tipo_ot]],tblTiposOT[codigo],tblTiposOT[clasificacion],"sin_clasificar"))</f>
        <v/>
      </c>
      <c r="U933" s="3">
        <f>IF(tblOrdenes[[#This Row],[centro_costo]]="","",_xlfn.XLOOKUP(tblOrdenes[[#This Row],[centro_costo]],tblCECO[codigo],tblCECO[linea],"(sin catálogo)"))</f>
        <v/>
      </c>
      <c r="V933" s="3">
        <f>IF(tblOrdenes[[#This Row],[centro_costo]]="","",_xlfn.XLOOKUP(tblOrdenes[[#This Row],[centro_costo]],tblCECO[codigo],tblCECO[area],"(sin catálogo)"))</f>
        <v/>
      </c>
      <c r="W9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3" s="3">
        <f>IF(tblOrdenes[[#This Row],[centro_costo]]="","",_xlfn.XLOOKUP(tblOrdenes[[#This Row],[centro_costo]],tblCECO[codigo],tblCECO[coordinador],"(sin catálogo)"))</f>
        <v/>
      </c>
      <c r="Y933" s="3">
        <f>IF(tblOrdenes[[#This Row],[puesto_trabajo]]="","",_xlfn.XLOOKUP(tblOrdenes[[#This Row],[puesto_trabajo]],tblPuestos[codigo],tblPuestos[especialidad],"(sin catálogo)"))</f>
        <v/>
      </c>
      <c r="Z933" s="3">
        <f>IF(tblOrdenes[[#This Row],[cod_actividad]]="","",_xlfn.XLOOKUP(tblOrdenes[[#This Row],[cod_actividad]],tblActividades[codigo],tblActividades[descripcion],"(sin catálogo)"))</f>
        <v/>
      </c>
      <c r="AA933" s="13">
        <f>IF(tblOrdenes[[#This Row],[fecha_inicio]]="","",TODAY()-tblOrdenes[[#This Row],[fecha_inicio]])</f>
        <v/>
      </c>
      <c r="AB9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3" s="3">
        <f>IF(tblOrdenes[[#This Row],[backlog_habiles]]="","",IF(tblOrdenes[[#This Row],[backlog_habiles]]&lt;0,"FUTURO",IF(tblOrdenes[[#This Row],[backlog_habiles]]&gt;p_dias_backlog_max,"BACKLOG","MES CORRIENTE")))</f>
        <v/>
      </c>
      <c r="AD933" s="3">
        <f>IF(tblOrdenes[[#This Row],[backlog_habiles]]="",FALSE,AND(tblOrdenes[[#This Row],[backlog_habiles]]&gt;p_dias_backlog_min,tblOrdenes[[#This Row],[backlog_habiles]]&lt;=p_dias_backlog_max))</f>
        <v/>
      </c>
      <c r="AE933" s="6" t="n"/>
      <c r="AF9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3" s="11">
        <f>IF(tblOrdenes[[#This Row],[orden]]="","",_xlfn.XLOOKUP(tblOrdenes[[#This Row],[id_operacion]],tblEjecucion[id_operacion],tblEjecucion[precio],0))</f>
        <v/>
      </c>
      <c r="AJ933" s="11">
        <f>IF(tblOrdenes[[#This Row],[orden]]="","",MAX(0,_xlfn.XLOOKUP(tblOrdenes[[#This Row],[id_operacion]],tblEjecucion[id_operacion],tblEjecucion[costo_plan_total],0)-tblOrdenes[[#This Row],[costo_servicio]]))</f>
        <v/>
      </c>
      <c r="AK933" s="11">
        <f>IF(tblOrdenes[[#This Row],[orden]]="","",tblOrdenes[[#This Row],[costo_servicio]]+tblOrdenes[[#This Row],[costo_materiales]])</f>
        <v/>
      </c>
      <c r="AL933" s="6" t="n"/>
      <c r="AM933" s="6" t="n"/>
      <c r="AN933" s="6" t="n"/>
      <c r="AO933" s="3">
        <f>IF(tblOrdenes[[#This Row],[link_checklist]]="","",HYPERLINK(p_ruta_base_checklists&amp;tblOrdenes[[#This Row],[link_checklist]],"abrir"))</f>
        <v/>
      </c>
      <c r="AP933" s="6" t="n"/>
      <c r="AQ933" s="3">
        <f>IF(tblOrdenes[[#This Row],[orden]]="","",tblOrdenes[[#This Row],[orden]]&amp;IF(tblOrdenes[[#This Row],[operacion]]="","0010",tblOrdenes[[#This Row],[operacion]]))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2" t="n"/>
      <c r="K934" s="3" t="n"/>
      <c r="L934" s="11" t="n"/>
      <c r="M9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4" s="3">
        <f>IF(tblOrdenes[[#This Row],[fecha_inicio]]="","",YEAR(tblOrdenes[[#This Row],[fecha_inicio]]))</f>
        <v/>
      </c>
      <c r="Q934" s="3">
        <f>IF(tblOrdenes[[#This Row],[fecha_inicio]]="","",MONTH(tblOrdenes[[#This Row],[fecha_inicio]]))</f>
        <v/>
      </c>
      <c r="R934" s="3">
        <f>IF(tblOrdenes[[#This Row],[fecha_inicio]]="","",INDEX(lista_dias,WEEKDAY(tblOrdenes[[#This Row],[fecha_inicio]],2)))</f>
        <v/>
      </c>
      <c r="S9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4" s="3">
        <f>IF(tblOrdenes[[#This Row],[tipo_ot]]="","",_xlfn.XLOOKUP(tblOrdenes[[#This Row],[tipo_ot]],tblTiposOT[codigo],tblTiposOT[clasificacion],"sin_clasificar"))</f>
        <v/>
      </c>
      <c r="U934" s="3">
        <f>IF(tblOrdenes[[#This Row],[centro_costo]]="","",_xlfn.XLOOKUP(tblOrdenes[[#This Row],[centro_costo]],tblCECO[codigo],tblCECO[linea],"(sin catálogo)"))</f>
        <v/>
      </c>
      <c r="V934" s="3">
        <f>IF(tblOrdenes[[#This Row],[centro_costo]]="","",_xlfn.XLOOKUP(tblOrdenes[[#This Row],[centro_costo]],tblCECO[codigo],tblCECO[area],"(sin catálogo)"))</f>
        <v/>
      </c>
      <c r="W9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4" s="3">
        <f>IF(tblOrdenes[[#This Row],[centro_costo]]="","",_xlfn.XLOOKUP(tblOrdenes[[#This Row],[centro_costo]],tblCECO[codigo],tblCECO[coordinador],"(sin catálogo)"))</f>
        <v/>
      </c>
      <c r="Y934" s="3">
        <f>IF(tblOrdenes[[#This Row],[puesto_trabajo]]="","",_xlfn.XLOOKUP(tblOrdenes[[#This Row],[puesto_trabajo]],tblPuestos[codigo],tblPuestos[especialidad],"(sin catálogo)"))</f>
        <v/>
      </c>
      <c r="Z934" s="3">
        <f>IF(tblOrdenes[[#This Row],[cod_actividad]]="","",_xlfn.XLOOKUP(tblOrdenes[[#This Row],[cod_actividad]],tblActividades[codigo],tblActividades[descripcion],"(sin catálogo)"))</f>
        <v/>
      </c>
      <c r="AA934" s="13">
        <f>IF(tblOrdenes[[#This Row],[fecha_inicio]]="","",TODAY()-tblOrdenes[[#This Row],[fecha_inicio]])</f>
        <v/>
      </c>
      <c r="AB9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4" s="3">
        <f>IF(tblOrdenes[[#This Row],[backlog_habiles]]="","",IF(tblOrdenes[[#This Row],[backlog_habiles]]&lt;0,"FUTURO",IF(tblOrdenes[[#This Row],[backlog_habiles]]&gt;p_dias_backlog_max,"BACKLOG","MES CORRIENTE")))</f>
        <v/>
      </c>
      <c r="AD934" s="3">
        <f>IF(tblOrdenes[[#This Row],[backlog_habiles]]="",FALSE,AND(tblOrdenes[[#This Row],[backlog_habiles]]&gt;p_dias_backlog_min,tblOrdenes[[#This Row],[backlog_habiles]]&lt;=p_dias_backlog_max))</f>
        <v/>
      </c>
      <c r="AE934" s="6" t="n"/>
      <c r="AF9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4" s="11">
        <f>IF(tblOrdenes[[#This Row],[orden]]="","",_xlfn.XLOOKUP(tblOrdenes[[#This Row],[id_operacion]],tblEjecucion[id_operacion],tblEjecucion[precio],0))</f>
        <v/>
      </c>
      <c r="AJ934" s="11">
        <f>IF(tblOrdenes[[#This Row],[orden]]="","",MAX(0,_xlfn.XLOOKUP(tblOrdenes[[#This Row],[id_operacion]],tblEjecucion[id_operacion],tblEjecucion[costo_plan_total],0)-tblOrdenes[[#This Row],[costo_servicio]]))</f>
        <v/>
      </c>
      <c r="AK934" s="11">
        <f>IF(tblOrdenes[[#This Row],[orden]]="","",tblOrdenes[[#This Row],[costo_servicio]]+tblOrdenes[[#This Row],[costo_materiales]])</f>
        <v/>
      </c>
      <c r="AL934" s="6" t="n"/>
      <c r="AM934" s="6" t="n"/>
      <c r="AN934" s="6" t="n"/>
      <c r="AO934" s="3">
        <f>IF(tblOrdenes[[#This Row],[link_checklist]]="","",HYPERLINK(p_ruta_base_checklists&amp;tblOrdenes[[#This Row],[link_checklist]],"abrir"))</f>
        <v/>
      </c>
      <c r="AP934" s="6" t="n"/>
      <c r="AQ934" s="3">
        <f>IF(tblOrdenes[[#This Row],[orden]]="","",tblOrdenes[[#This Row],[orden]]&amp;IF(tblOrdenes[[#This Row],[operacion]]="","0010",tblOrdenes[[#This Row],[operacion]]))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2" t="n"/>
      <c r="K935" s="3" t="n"/>
      <c r="L935" s="11" t="n"/>
      <c r="M9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5" s="3">
        <f>IF(tblOrdenes[[#This Row],[fecha_inicio]]="","",YEAR(tblOrdenes[[#This Row],[fecha_inicio]]))</f>
        <v/>
      </c>
      <c r="Q935" s="3">
        <f>IF(tblOrdenes[[#This Row],[fecha_inicio]]="","",MONTH(tblOrdenes[[#This Row],[fecha_inicio]]))</f>
        <v/>
      </c>
      <c r="R935" s="3">
        <f>IF(tblOrdenes[[#This Row],[fecha_inicio]]="","",INDEX(lista_dias,WEEKDAY(tblOrdenes[[#This Row],[fecha_inicio]],2)))</f>
        <v/>
      </c>
      <c r="S9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5" s="3">
        <f>IF(tblOrdenes[[#This Row],[tipo_ot]]="","",_xlfn.XLOOKUP(tblOrdenes[[#This Row],[tipo_ot]],tblTiposOT[codigo],tblTiposOT[clasificacion],"sin_clasificar"))</f>
        <v/>
      </c>
      <c r="U935" s="3">
        <f>IF(tblOrdenes[[#This Row],[centro_costo]]="","",_xlfn.XLOOKUP(tblOrdenes[[#This Row],[centro_costo]],tblCECO[codigo],tblCECO[linea],"(sin catálogo)"))</f>
        <v/>
      </c>
      <c r="V935" s="3">
        <f>IF(tblOrdenes[[#This Row],[centro_costo]]="","",_xlfn.XLOOKUP(tblOrdenes[[#This Row],[centro_costo]],tblCECO[codigo],tblCECO[area],"(sin catálogo)"))</f>
        <v/>
      </c>
      <c r="W9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5" s="3">
        <f>IF(tblOrdenes[[#This Row],[centro_costo]]="","",_xlfn.XLOOKUP(tblOrdenes[[#This Row],[centro_costo]],tblCECO[codigo],tblCECO[coordinador],"(sin catálogo)"))</f>
        <v/>
      </c>
      <c r="Y935" s="3">
        <f>IF(tblOrdenes[[#This Row],[puesto_trabajo]]="","",_xlfn.XLOOKUP(tblOrdenes[[#This Row],[puesto_trabajo]],tblPuestos[codigo],tblPuestos[especialidad],"(sin catálogo)"))</f>
        <v/>
      </c>
      <c r="Z935" s="3">
        <f>IF(tblOrdenes[[#This Row],[cod_actividad]]="","",_xlfn.XLOOKUP(tblOrdenes[[#This Row],[cod_actividad]],tblActividades[codigo],tblActividades[descripcion],"(sin catálogo)"))</f>
        <v/>
      </c>
      <c r="AA935" s="13">
        <f>IF(tblOrdenes[[#This Row],[fecha_inicio]]="","",TODAY()-tblOrdenes[[#This Row],[fecha_inicio]])</f>
        <v/>
      </c>
      <c r="AB9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5" s="3">
        <f>IF(tblOrdenes[[#This Row],[backlog_habiles]]="","",IF(tblOrdenes[[#This Row],[backlog_habiles]]&lt;0,"FUTURO",IF(tblOrdenes[[#This Row],[backlog_habiles]]&gt;p_dias_backlog_max,"BACKLOG","MES CORRIENTE")))</f>
        <v/>
      </c>
      <c r="AD935" s="3">
        <f>IF(tblOrdenes[[#This Row],[backlog_habiles]]="",FALSE,AND(tblOrdenes[[#This Row],[backlog_habiles]]&gt;p_dias_backlog_min,tblOrdenes[[#This Row],[backlog_habiles]]&lt;=p_dias_backlog_max))</f>
        <v/>
      </c>
      <c r="AE935" s="6" t="n"/>
      <c r="AF9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5" s="11">
        <f>IF(tblOrdenes[[#This Row],[orden]]="","",_xlfn.XLOOKUP(tblOrdenes[[#This Row],[id_operacion]],tblEjecucion[id_operacion],tblEjecucion[precio],0))</f>
        <v/>
      </c>
      <c r="AJ935" s="11">
        <f>IF(tblOrdenes[[#This Row],[orden]]="","",MAX(0,_xlfn.XLOOKUP(tblOrdenes[[#This Row],[id_operacion]],tblEjecucion[id_operacion],tblEjecucion[costo_plan_total],0)-tblOrdenes[[#This Row],[costo_servicio]]))</f>
        <v/>
      </c>
      <c r="AK935" s="11">
        <f>IF(tblOrdenes[[#This Row],[orden]]="","",tblOrdenes[[#This Row],[costo_servicio]]+tblOrdenes[[#This Row],[costo_materiales]])</f>
        <v/>
      </c>
      <c r="AL935" s="6" t="n"/>
      <c r="AM935" s="6" t="n"/>
      <c r="AN935" s="6" t="n"/>
      <c r="AO935" s="3">
        <f>IF(tblOrdenes[[#This Row],[link_checklist]]="","",HYPERLINK(p_ruta_base_checklists&amp;tblOrdenes[[#This Row],[link_checklist]],"abrir"))</f>
        <v/>
      </c>
      <c r="AP935" s="6" t="n"/>
      <c r="AQ935" s="3">
        <f>IF(tblOrdenes[[#This Row],[orden]]="","",tblOrdenes[[#This Row],[orden]]&amp;IF(tblOrdenes[[#This Row],[operacion]]="","0010",tblOrdenes[[#This Row],[operacion]]))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2" t="n"/>
      <c r="K936" s="3" t="n"/>
      <c r="L936" s="11" t="n"/>
      <c r="M9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6" s="3">
        <f>IF(tblOrdenes[[#This Row],[fecha_inicio]]="","",YEAR(tblOrdenes[[#This Row],[fecha_inicio]]))</f>
        <v/>
      </c>
      <c r="Q936" s="3">
        <f>IF(tblOrdenes[[#This Row],[fecha_inicio]]="","",MONTH(tblOrdenes[[#This Row],[fecha_inicio]]))</f>
        <v/>
      </c>
      <c r="R936" s="3">
        <f>IF(tblOrdenes[[#This Row],[fecha_inicio]]="","",INDEX(lista_dias,WEEKDAY(tblOrdenes[[#This Row],[fecha_inicio]],2)))</f>
        <v/>
      </c>
      <c r="S9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6" s="3">
        <f>IF(tblOrdenes[[#This Row],[tipo_ot]]="","",_xlfn.XLOOKUP(tblOrdenes[[#This Row],[tipo_ot]],tblTiposOT[codigo],tblTiposOT[clasificacion],"sin_clasificar"))</f>
        <v/>
      </c>
      <c r="U936" s="3">
        <f>IF(tblOrdenes[[#This Row],[centro_costo]]="","",_xlfn.XLOOKUP(tblOrdenes[[#This Row],[centro_costo]],tblCECO[codigo],tblCECO[linea],"(sin catálogo)"))</f>
        <v/>
      </c>
      <c r="V936" s="3">
        <f>IF(tblOrdenes[[#This Row],[centro_costo]]="","",_xlfn.XLOOKUP(tblOrdenes[[#This Row],[centro_costo]],tblCECO[codigo],tblCECO[area],"(sin catálogo)"))</f>
        <v/>
      </c>
      <c r="W9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6" s="3">
        <f>IF(tblOrdenes[[#This Row],[centro_costo]]="","",_xlfn.XLOOKUP(tblOrdenes[[#This Row],[centro_costo]],tblCECO[codigo],tblCECO[coordinador],"(sin catálogo)"))</f>
        <v/>
      </c>
      <c r="Y936" s="3">
        <f>IF(tblOrdenes[[#This Row],[puesto_trabajo]]="","",_xlfn.XLOOKUP(tblOrdenes[[#This Row],[puesto_trabajo]],tblPuestos[codigo],tblPuestos[especialidad],"(sin catálogo)"))</f>
        <v/>
      </c>
      <c r="Z936" s="3">
        <f>IF(tblOrdenes[[#This Row],[cod_actividad]]="","",_xlfn.XLOOKUP(tblOrdenes[[#This Row],[cod_actividad]],tblActividades[codigo],tblActividades[descripcion],"(sin catálogo)"))</f>
        <v/>
      </c>
      <c r="AA936" s="13">
        <f>IF(tblOrdenes[[#This Row],[fecha_inicio]]="","",TODAY()-tblOrdenes[[#This Row],[fecha_inicio]])</f>
        <v/>
      </c>
      <c r="AB9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6" s="3">
        <f>IF(tblOrdenes[[#This Row],[backlog_habiles]]="","",IF(tblOrdenes[[#This Row],[backlog_habiles]]&lt;0,"FUTURO",IF(tblOrdenes[[#This Row],[backlog_habiles]]&gt;p_dias_backlog_max,"BACKLOG","MES CORRIENTE")))</f>
        <v/>
      </c>
      <c r="AD936" s="3">
        <f>IF(tblOrdenes[[#This Row],[backlog_habiles]]="",FALSE,AND(tblOrdenes[[#This Row],[backlog_habiles]]&gt;p_dias_backlog_min,tblOrdenes[[#This Row],[backlog_habiles]]&lt;=p_dias_backlog_max))</f>
        <v/>
      </c>
      <c r="AE936" s="6" t="n"/>
      <c r="AF9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6" s="11">
        <f>IF(tblOrdenes[[#This Row],[orden]]="","",_xlfn.XLOOKUP(tblOrdenes[[#This Row],[id_operacion]],tblEjecucion[id_operacion],tblEjecucion[precio],0))</f>
        <v/>
      </c>
      <c r="AJ936" s="11">
        <f>IF(tblOrdenes[[#This Row],[orden]]="","",MAX(0,_xlfn.XLOOKUP(tblOrdenes[[#This Row],[id_operacion]],tblEjecucion[id_operacion],tblEjecucion[costo_plan_total],0)-tblOrdenes[[#This Row],[costo_servicio]]))</f>
        <v/>
      </c>
      <c r="AK936" s="11">
        <f>IF(tblOrdenes[[#This Row],[orden]]="","",tblOrdenes[[#This Row],[costo_servicio]]+tblOrdenes[[#This Row],[costo_materiales]])</f>
        <v/>
      </c>
      <c r="AL936" s="6" t="n"/>
      <c r="AM936" s="6" t="n"/>
      <c r="AN936" s="6" t="n"/>
      <c r="AO936" s="3">
        <f>IF(tblOrdenes[[#This Row],[link_checklist]]="","",HYPERLINK(p_ruta_base_checklists&amp;tblOrdenes[[#This Row],[link_checklist]],"abrir"))</f>
        <v/>
      </c>
      <c r="AP936" s="6" t="n"/>
      <c r="AQ936" s="3">
        <f>IF(tblOrdenes[[#This Row],[orden]]="","",tblOrdenes[[#This Row],[orden]]&amp;IF(tblOrdenes[[#This Row],[operacion]]="","0010",tblOrdenes[[#This Row],[operacion]]))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2" t="n"/>
      <c r="K937" s="3" t="n"/>
      <c r="L937" s="11" t="n"/>
      <c r="M9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7" s="3">
        <f>IF(tblOrdenes[[#This Row],[fecha_inicio]]="","",YEAR(tblOrdenes[[#This Row],[fecha_inicio]]))</f>
        <v/>
      </c>
      <c r="Q937" s="3">
        <f>IF(tblOrdenes[[#This Row],[fecha_inicio]]="","",MONTH(tblOrdenes[[#This Row],[fecha_inicio]]))</f>
        <v/>
      </c>
      <c r="R937" s="3">
        <f>IF(tblOrdenes[[#This Row],[fecha_inicio]]="","",INDEX(lista_dias,WEEKDAY(tblOrdenes[[#This Row],[fecha_inicio]],2)))</f>
        <v/>
      </c>
      <c r="S9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7" s="3">
        <f>IF(tblOrdenes[[#This Row],[tipo_ot]]="","",_xlfn.XLOOKUP(tblOrdenes[[#This Row],[tipo_ot]],tblTiposOT[codigo],tblTiposOT[clasificacion],"sin_clasificar"))</f>
        <v/>
      </c>
      <c r="U937" s="3">
        <f>IF(tblOrdenes[[#This Row],[centro_costo]]="","",_xlfn.XLOOKUP(tblOrdenes[[#This Row],[centro_costo]],tblCECO[codigo],tblCECO[linea],"(sin catálogo)"))</f>
        <v/>
      </c>
      <c r="V937" s="3">
        <f>IF(tblOrdenes[[#This Row],[centro_costo]]="","",_xlfn.XLOOKUP(tblOrdenes[[#This Row],[centro_costo]],tblCECO[codigo],tblCECO[area],"(sin catálogo)"))</f>
        <v/>
      </c>
      <c r="W9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7" s="3">
        <f>IF(tblOrdenes[[#This Row],[centro_costo]]="","",_xlfn.XLOOKUP(tblOrdenes[[#This Row],[centro_costo]],tblCECO[codigo],tblCECO[coordinador],"(sin catálogo)"))</f>
        <v/>
      </c>
      <c r="Y937" s="3">
        <f>IF(tblOrdenes[[#This Row],[puesto_trabajo]]="","",_xlfn.XLOOKUP(tblOrdenes[[#This Row],[puesto_trabajo]],tblPuestos[codigo],tblPuestos[especialidad],"(sin catálogo)"))</f>
        <v/>
      </c>
      <c r="Z937" s="3">
        <f>IF(tblOrdenes[[#This Row],[cod_actividad]]="","",_xlfn.XLOOKUP(tblOrdenes[[#This Row],[cod_actividad]],tblActividades[codigo],tblActividades[descripcion],"(sin catálogo)"))</f>
        <v/>
      </c>
      <c r="AA937" s="13">
        <f>IF(tblOrdenes[[#This Row],[fecha_inicio]]="","",TODAY()-tblOrdenes[[#This Row],[fecha_inicio]])</f>
        <v/>
      </c>
      <c r="AB9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7" s="3">
        <f>IF(tblOrdenes[[#This Row],[backlog_habiles]]="","",IF(tblOrdenes[[#This Row],[backlog_habiles]]&lt;0,"FUTURO",IF(tblOrdenes[[#This Row],[backlog_habiles]]&gt;p_dias_backlog_max,"BACKLOG","MES CORRIENTE")))</f>
        <v/>
      </c>
      <c r="AD937" s="3">
        <f>IF(tblOrdenes[[#This Row],[backlog_habiles]]="",FALSE,AND(tblOrdenes[[#This Row],[backlog_habiles]]&gt;p_dias_backlog_min,tblOrdenes[[#This Row],[backlog_habiles]]&lt;=p_dias_backlog_max))</f>
        <v/>
      </c>
      <c r="AE937" s="6" t="n"/>
      <c r="AF9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7" s="11">
        <f>IF(tblOrdenes[[#This Row],[orden]]="","",_xlfn.XLOOKUP(tblOrdenes[[#This Row],[id_operacion]],tblEjecucion[id_operacion],tblEjecucion[precio],0))</f>
        <v/>
      </c>
      <c r="AJ937" s="11">
        <f>IF(tblOrdenes[[#This Row],[orden]]="","",MAX(0,_xlfn.XLOOKUP(tblOrdenes[[#This Row],[id_operacion]],tblEjecucion[id_operacion],tblEjecucion[costo_plan_total],0)-tblOrdenes[[#This Row],[costo_servicio]]))</f>
        <v/>
      </c>
      <c r="AK937" s="11">
        <f>IF(tblOrdenes[[#This Row],[orden]]="","",tblOrdenes[[#This Row],[costo_servicio]]+tblOrdenes[[#This Row],[costo_materiales]])</f>
        <v/>
      </c>
      <c r="AL937" s="6" t="n"/>
      <c r="AM937" s="6" t="n"/>
      <c r="AN937" s="6" t="n"/>
      <c r="AO937" s="3">
        <f>IF(tblOrdenes[[#This Row],[link_checklist]]="","",HYPERLINK(p_ruta_base_checklists&amp;tblOrdenes[[#This Row],[link_checklist]],"abrir"))</f>
        <v/>
      </c>
      <c r="AP937" s="6" t="n"/>
      <c r="AQ937" s="3">
        <f>IF(tblOrdenes[[#This Row],[orden]]="","",tblOrdenes[[#This Row],[orden]]&amp;IF(tblOrdenes[[#This Row],[operacion]]="","0010",tblOrdenes[[#This Row],[operacion]]))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2" t="n"/>
      <c r="K938" s="3" t="n"/>
      <c r="L938" s="11" t="n"/>
      <c r="M9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8" s="3">
        <f>IF(tblOrdenes[[#This Row],[fecha_inicio]]="","",YEAR(tblOrdenes[[#This Row],[fecha_inicio]]))</f>
        <v/>
      </c>
      <c r="Q938" s="3">
        <f>IF(tblOrdenes[[#This Row],[fecha_inicio]]="","",MONTH(tblOrdenes[[#This Row],[fecha_inicio]]))</f>
        <v/>
      </c>
      <c r="R938" s="3">
        <f>IF(tblOrdenes[[#This Row],[fecha_inicio]]="","",INDEX(lista_dias,WEEKDAY(tblOrdenes[[#This Row],[fecha_inicio]],2)))</f>
        <v/>
      </c>
      <c r="S9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8" s="3">
        <f>IF(tblOrdenes[[#This Row],[tipo_ot]]="","",_xlfn.XLOOKUP(tblOrdenes[[#This Row],[tipo_ot]],tblTiposOT[codigo],tblTiposOT[clasificacion],"sin_clasificar"))</f>
        <v/>
      </c>
      <c r="U938" s="3">
        <f>IF(tblOrdenes[[#This Row],[centro_costo]]="","",_xlfn.XLOOKUP(tblOrdenes[[#This Row],[centro_costo]],tblCECO[codigo],tblCECO[linea],"(sin catálogo)"))</f>
        <v/>
      </c>
      <c r="V938" s="3">
        <f>IF(tblOrdenes[[#This Row],[centro_costo]]="","",_xlfn.XLOOKUP(tblOrdenes[[#This Row],[centro_costo]],tblCECO[codigo],tblCECO[area],"(sin catálogo)"))</f>
        <v/>
      </c>
      <c r="W9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8" s="3">
        <f>IF(tblOrdenes[[#This Row],[centro_costo]]="","",_xlfn.XLOOKUP(tblOrdenes[[#This Row],[centro_costo]],tblCECO[codigo],tblCECO[coordinador],"(sin catálogo)"))</f>
        <v/>
      </c>
      <c r="Y938" s="3">
        <f>IF(tblOrdenes[[#This Row],[puesto_trabajo]]="","",_xlfn.XLOOKUP(tblOrdenes[[#This Row],[puesto_trabajo]],tblPuestos[codigo],tblPuestos[especialidad],"(sin catálogo)"))</f>
        <v/>
      </c>
      <c r="Z938" s="3">
        <f>IF(tblOrdenes[[#This Row],[cod_actividad]]="","",_xlfn.XLOOKUP(tblOrdenes[[#This Row],[cod_actividad]],tblActividades[codigo],tblActividades[descripcion],"(sin catálogo)"))</f>
        <v/>
      </c>
      <c r="AA938" s="13">
        <f>IF(tblOrdenes[[#This Row],[fecha_inicio]]="","",TODAY()-tblOrdenes[[#This Row],[fecha_inicio]])</f>
        <v/>
      </c>
      <c r="AB9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8" s="3">
        <f>IF(tblOrdenes[[#This Row],[backlog_habiles]]="","",IF(tblOrdenes[[#This Row],[backlog_habiles]]&lt;0,"FUTURO",IF(tblOrdenes[[#This Row],[backlog_habiles]]&gt;p_dias_backlog_max,"BACKLOG","MES CORRIENTE")))</f>
        <v/>
      </c>
      <c r="AD938" s="3">
        <f>IF(tblOrdenes[[#This Row],[backlog_habiles]]="",FALSE,AND(tblOrdenes[[#This Row],[backlog_habiles]]&gt;p_dias_backlog_min,tblOrdenes[[#This Row],[backlog_habiles]]&lt;=p_dias_backlog_max))</f>
        <v/>
      </c>
      <c r="AE938" s="6" t="n"/>
      <c r="AF9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8" s="11">
        <f>IF(tblOrdenes[[#This Row],[orden]]="","",_xlfn.XLOOKUP(tblOrdenes[[#This Row],[id_operacion]],tblEjecucion[id_operacion],tblEjecucion[precio],0))</f>
        <v/>
      </c>
      <c r="AJ938" s="11">
        <f>IF(tblOrdenes[[#This Row],[orden]]="","",MAX(0,_xlfn.XLOOKUP(tblOrdenes[[#This Row],[id_operacion]],tblEjecucion[id_operacion],tblEjecucion[costo_plan_total],0)-tblOrdenes[[#This Row],[costo_servicio]]))</f>
        <v/>
      </c>
      <c r="AK938" s="11">
        <f>IF(tblOrdenes[[#This Row],[orden]]="","",tblOrdenes[[#This Row],[costo_servicio]]+tblOrdenes[[#This Row],[costo_materiales]])</f>
        <v/>
      </c>
      <c r="AL938" s="6" t="n"/>
      <c r="AM938" s="6" t="n"/>
      <c r="AN938" s="6" t="n"/>
      <c r="AO938" s="3">
        <f>IF(tblOrdenes[[#This Row],[link_checklist]]="","",HYPERLINK(p_ruta_base_checklists&amp;tblOrdenes[[#This Row],[link_checklist]],"abrir"))</f>
        <v/>
      </c>
      <c r="AP938" s="6" t="n"/>
      <c r="AQ938" s="3">
        <f>IF(tblOrdenes[[#This Row],[orden]]="","",tblOrdenes[[#This Row],[orden]]&amp;IF(tblOrdenes[[#This Row],[operacion]]="","0010",tblOrdenes[[#This Row],[operacion]]))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2" t="n"/>
      <c r="K939" s="3" t="n"/>
      <c r="L939" s="11" t="n"/>
      <c r="M9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9" s="3">
        <f>IF(tblOrdenes[[#This Row],[fecha_inicio]]="","",YEAR(tblOrdenes[[#This Row],[fecha_inicio]]))</f>
        <v/>
      </c>
      <c r="Q939" s="3">
        <f>IF(tblOrdenes[[#This Row],[fecha_inicio]]="","",MONTH(tblOrdenes[[#This Row],[fecha_inicio]]))</f>
        <v/>
      </c>
      <c r="R939" s="3">
        <f>IF(tblOrdenes[[#This Row],[fecha_inicio]]="","",INDEX(lista_dias,WEEKDAY(tblOrdenes[[#This Row],[fecha_inicio]],2)))</f>
        <v/>
      </c>
      <c r="S9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9" s="3">
        <f>IF(tblOrdenes[[#This Row],[tipo_ot]]="","",_xlfn.XLOOKUP(tblOrdenes[[#This Row],[tipo_ot]],tblTiposOT[codigo],tblTiposOT[clasificacion],"sin_clasificar"))</f>
        <v/>
      </c>
      <c r="U939" s="3">
        <f>IF(tblOrdenes[[#This Row],[centro_costo]]="","",_xlfn.XLOOKUP(tblOrdenes[[#This Row],[centro_costo]],tblCECO[codigo],tblCECO[linea],"(sin catálogo)"))</f>
        <v/>
      </c>
      <c r="V939" s="3">
        <f>IF(tblOrdenes[[#This Row],[centro_costo]]="","",_xlfn.XLOOKUP(tblOrdenes[[#This Row],[centro_costo]],tblCECO[codigo],tblCECO[area],"(sin catálogo)"))</f>
        <v/>
      </c>
      <c r="W9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9" s="3">
        <f>IF(tblOrdenes[[#This Row],[centro_costo]]="","",_xlfn.XLOOKUP(tblOrdenes[[#This Row],[centro_costo]],tblCECO[codigo],tblCECO[coordinador],"(sin catálogo)"))</f>
        <v/>
      </c>
      <c r="Y939" s="3">
        <f>IF(tblOrdenes[[#This Row],[puesto_trabajo]]="","",_xlfn.XLOOKUP(tblOrdenes[[#This Row],[puesto_trabajo]],tblPuestos[codigo],tblPuestos[especialidad],"(sin catálogo)"))</f>
        <v/>
      </c>
      <c r="Z939" s="3">
        <f>IF(tblOrdenes[[#This Row],[cod_actividad]]="","",_xlfn.XLOOKUP(tblOrdenes[[#This Row],[cod_actividad]],tblActividades[codigo],tblActividades[descripcion],"(sin catálogo)"))</f>
        <v/>
      </c>
      <c r="AA939" s="13">
        <f>IF(tblOrdenes[[#This Row],[fecha_inicio]]="","",TODAY()-tblOrdenes[[#This Row],[fecha_inicio]])</f>
        <v/>
      </c>
      <c r="AB9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9" s="3">
        <f>IF(tblOrdenes[[#This Row],[backlog_habiles]]="","",IF(tblOrdenes[[#This Row],[backlog_habiles]]&lt;0,"FUTURO",IF(tblOrdenes[[#This Row],[backlog_habiles]]&gt;p_dias_backlog_max,"BACKLOG","MES CORRIENTE")))</f>
        <v/>
      </c>
      <c r="AD939" s="3">
        <f>IF(tblOrdenes[[#This Row],[backlog_habiles]]="",FALSE,AND(tblOrdenes[[#This Row],[backlog_habiles]]&gt;p_dias_backlog_min,tblOrdenes[[#This Row],[backlog_habiles]]&lt;=p_dias_backlog_max))</f>
        <v/>
      </c>
      <c r="AE939" s="6" t="n"/>
      <c r="AF9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9" s="11">
        <f>IF(tblOrdenes[[#This Row],[orden]]="","",_xlfn.XLOOKUP(tblOrdenes[[#This Row],[id_operacion]],tblEjecucion[id_operacion],tblEjecucion[precio],0))</f>
        <v/>
      </c>
      <c r="AJ939" s="11">
        <f>IF(tblOrdenes[[#This Row],[orden]]="","",MAX(0,_xlfn.XLOOKUP(tblOrdenes[[#This Row],[id_operacion]],tblEjecucion[id_operacion],tblEjecucion[costo_plan_total],0)-tblOrdenes[[#This Row],[costo_servicio]]))</f>
        <v/>
      </c>
      <c r="AK939" s="11">
        <f>IF(tblOrdenes[[#This Row],[orden]]="","",tblOrdenes[[#This Row],[costo_servicio]]+tblOrdenes[[#This Row],[costo_materiales]])</f>
        <v/>
      </c>
      <c r="AL939" s="6" t="n"/>
      <c r="AM939" s="6" t="n"/>
      <c r="AN939" s="6" t="n"/>
      <c r="AO939" s="3">
        <f>IF(tblOrdenes[[#This Row],[link_checklist]]="","",HYPERLINK(p_ruta_base_checklists&amp;tblOrdenes[[#This Row],[link_checklist]],"abrir"))</f>
        <v/>
      </c>
      <c r="AP939" s="6" t="n"/>
      <c r="AQ939" s="3">
        <f>IF(tblOrdenes[[#This Row],[orden]]="","",tblOrdenes[[#This Row],[orden]]&amp;IF(tblOrdenes[[#This Row],[operacion]]="","0010",tblOrdenes[[#This Row],[operacion]]))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2" t="n"/>
      <c r="K940" s="3" t="n"/>
      <c r="L940" s="11" t="n"/>
      <c r="M9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0" s="3">
        <f>IF(tblOrdenes[[#This Row],[fecha_inicio]]="","",YEAR(tblOrdenes[[#This Row],[fecha_inicio]]))</f>
        <v/>
      </c>
      <c r="Q940" s="3">
        <f>IF(tblOrdenes[[#This Row],[fecha_inicio]]="","",MONTH(tblOrdenes[[#This Row],[fecha_inicio]]))</f>
        <v/>
      </c>
      <c r="R940" s="3">
        <f>IF(tblOrdenes[[#This Row],[fecha_inicio]]="","",INDEX(lista_dias,WEEKDAY(tblOrdenes[[#This Row],[fecha_inicio]],2)))</f>
        <v/>
      </c>
      <c r="S9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0" s="3">
        <f>IF(tblOrdenes[[#This Row],[tipo_ot]]="","",_xlfn.XLOOKUP(tblOrdenes[[#This Row],[tipo_ot]],tblTiposOT[codigo],tblTiposOT[clasificacion],"sin_clasificar"))</f>
        <v/>
      </c>
      <c r="U940" s="3">
        <f>IF(tblOrdenes[[#This Row],[centro_costo]]="","",_xlfn.XLOOKUP(tblOrdenes[[#This Row],[centro_costo]],tblCECO[codigo],tblCECO[linea],"(sin catálogo)"))</f>
        <v/>
      </c>
      <c r="V940" s="3">
        <f>IF(tblOrdenes[[#This Row],[centro_costo]]="","",_xlfn.XLOOKUP(tblOrdenes[[#This Row],[centro_costo]],tblCECO[codigo],tblCECO[area],"(sin catálogo)"))</f>
        <v/>
      </c>
      <c r="W9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0" s="3">
        <f>IF(tblOrdenes[[#This Row],[centro_costo]]="","",_xlfn.XLOOKUP(tblOrdenes[[#This Row],[centro_costo]],tblCECO[codigo],tblCECO[coordinador],"(sin catálogo)"))</f>
        <v/>
      </c>
      <c r="Y940" s="3">
        <f>IF(tblOrdenes[[#This Row],[puesto_trabajo]]="","",_xlfn.XLOOKUP(tblOrdenes[[#This Row],[puesto_trabajo]],tblPuestos[codigo],tblPuestos[especialidad],"(sin catálogo)"))</f>
        <v/>
      </c>
      <c r="Z940" s="3">
        <f>IF(tblOrdenes[[#This Row],[cod_actividad]]="","",_xlfn.XLOOKUP(tblOrdenes[[#This Row],[cod_actividad]],tblActividades[codigo],tblActividades[descripcion],"(sin catálogo)"))</f>
        <v/>
      </c>
      <c r="AA940" s="13">
        <f>IF(tblOrdenes[[#This Row],[fecha_inicio]]="","",TODAY()-tblOrdenes[[#This Row],[fecha_inicio]])</f>
        <v/>
      </c>
      <c r="AB9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0" s="3">
        <f>IF(tblOrdenes[[#This Row],[backlog_habiles]]="","",IF(tblOrdenes[[#This Row],[backlog_habiles]]&lt;0,"FUTURO",IF(tblOrdenes[[#This Row],[backlog_habiles]]&gt;p_dias_backlog_max,"BACKLOG","MES CORRIENTE")))</f>
        <v/>
      </c>
      <c r="AD940" s="3">
        <f>IF(tblOrdenes[[#This Row],[backlog_habiles]]="",FALSE,AND(tblOrdenes[[#This Row],[backlog_habiles]]&gt;p_dias_backlog_min,tblOrdenes[[#This Row],[backlog_habiles]]&lt;=p_dias_backlog_max))</f>
        <v/>
      </c>
      <c r="AE940" s="6" t="n"/>
      <c r="AF9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0" s="11">
        <f>IF(tblOrdenes[[#This Row],[orden]]="","",_xlfn.XLOOKUP(tblOrdenes[[#This Row],[id_operacion]],tblEjecucion[id_operacion],tblEjecucion[precio],0))</f>
        <v/>
      </c>
      <c r="AJ940" s="11">
        <f>IF(tblOrdenes[[#This Row],[orden]]="","",MAX(0,_xlfn.XLOOKUP(tblOrdenes[[#This Row],[id_operacion]],tblEjecucion[id_operacion],tblEjecucion[costo_plan_total],0)-tblOrdenes[[#This Row],[costo_servicio]]))</f>
        <v/>
      </c>
      <c r="AK940" s="11">
        <f>IF(tblOrdenes[[#This Row],[orden]]="","",tblOrdenes[[#This Row],[costo_servicio]]+tblOrdenes[[#This Row],[costo_materiales]])</f>
        <v/>
      </c>
      <c r="AL940" s="6" t="n"/>
      <c r="AM940" s="6" t="n"/>
      <c r="AN940" s="6" t="n"/>
      <c r="AO940" s="3">
        <f>IF(tblOrdenes[[#This Row],[link_checklist]]="","",HYPERLINK(p_ruta_base_checklists&amp;tblOrdenes[[#This Row],[link_checklist]],"abrir"))</f>
        <v/>
      </c>
      <c r="AP940" s="6" t="n"/>
      <c r="AQ940" s="3">
        <f>IF(tblOrdenes[[#This Row],[orden]]="","",tblOrdenes[[#This Row],[orden]]&amp;IF(tblOrdenes[[#This Row],[operacion]]="","0010",tblOrdenes[[#This Row],[operacion]]))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2" t="n"/>
      <c r="K941" s="3" t="n"/>
      <c r="L941" s="11" t="n"/>
      <c r="M9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1" s="3">
        <f>IF(tblOrdenes[[#This Row],[fecha_inicio]]="","",YEAR(tblOrdenes[[#This Row],[fecha_inicio]]))</f>
        <v/>
      </c>
      <c r="Q941" s="3">
        <f>IF(tblOrdenes[[#This Row],[fecha_inicio]]="","",MONTH(tblOrdenes[[#This Row],[fecha_inicio]]))</f>
        <v/>
      </c>
      <c r="R941" s="3">
        <f>IF(tblOrdenes[[#This Row],[fecha_inicio]]="","",INDEX(lista_dias,WEEKDAY(tblOrdenes[[#This Row],[fecha_inicio]],2)))</f>
        <v/>
      </c>
      <c r="S9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1" s="3">
        <f>IF(tblOrdenes[[#This Row],[tipo_ot]]="","",_xlfn.XLOOKUP(tblOrdenes[[#This Row],[tipo_ot]],tblTiposOT[codigo],tblTiposOT[clasificacion],"sin_clasificar"))</f>
        <v/>
      </c>
      <c r="U941" s="3">
        <f>IF(tblOrdenes[[#This Row],[centro_costo]]="","",_xlfn.XLOOKUP(tblOrdenes[[#This Row],[centro_costo]],tblCECO[codigo],tblCECO[linea],"(sin catálogo)"))</f>
        <v/>
      </c>
      <c r="V941" s="3">
        <f>IF(tblOrdenes[[#This Row],[centro_costo]]="","",_xlfn.XLOOKUP(tblOrdenes[[#This Row],[centro_costo]],tblCECO[codigo],tblCECO[area],"(sin catálogo)"))</f>
        <v/>
      </c>
      <c r="W9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1" s="3">
        <f>IF(tblOrdenes[[#This Row],[centro_costo]]="","",_xlfn.XLOOKUP(tblOrdenes[[#This Row],[centro_costo]],tblCECO[codigo],tblCECO[coordinador],"(sin catálogo)"))</f>
        <v/>
      </c>
      <c r="Y941" s="3">
        <f>IF(tblOrdenes[[#This Row],[puesto_trabajo]]="","",_xlfn.XLOOKUP(tblOrdenes[[#This Row],[puesto_trabajo]],tblPuestos[codigo],tblPuestos[especialidad],"(sin catálogo)"))</f>
        <v/>
      </c>
      <c r="Z941" s="3">
        <f>IF(tblOrdenes[[#This Row],[cod_actividad]]="","",_xlfn.XLOOKUP(tblOrdenes[[#This Row],[cod_actividad]],tblActividades[codigo],tblActividades[descripcion],"(sin catálogo)"))</f>
        <v/>
      </c>
      <c r="AA941" s="13">
        <f>IF(tblOrdenes[[#This Row],[fecha_inicio]]="","",TODAY()-tblOrdenes[[#This Row],[fecha_inicio]])</f>
        <v/>
      </c>
      <c r="AB9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1" s="3">
        <f>IF(tblOrdenes[[#This Row],[backlog_habiles]]="","",IF(tblOrdenes[[#This Row],[backlog_habiles]]&lt;0,"FUTURO",IF(tblOrdenes[[#This Row],[backlog_habiles]]&gt;p_dias_backlog_max,"BACKLOG","MES CORRIENTE")))</f>
        <v/>
      </c>
      <c r="AD941" s="3">
        <f>IF(tblOrdenes[[#This Row],[backlog_habiles]]="",FALSE,AND(tblOrdenes[[#This Row],[backlog_habiles]]&gt;p_dias_backlog_min,tblOrdenes[[#This Row],[backlog_habiles]]&lt;=p_dias_backlog_max))</f>
        <v/>
      </c>
      <c r="AE941" s="6" t="n"/>
      <c r="AF9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1" s="11">
        <f>IF(tblOrdenes[[#This Row],[orden]]="","",_xlfn.XLOOKUP(tblOrdenes[[#This Row],[id_operacion]],tblEjecucion[id_operacion],tblEjecucion[precio],0))</f>
        <v/>
      </c>
      <c r="AJ941" s="11">
        <f>IF(tblOrdenes[[#This Row],[orden]]="","",MAX(0,_xlfn.XLOOKUP(tblOrdenes[[#This Row],[id_operacion]],tblEjecucion[id_operacion],tblEjecucion[costo_plan_total],0)-tblOrdenes[[#This Row],[costo_servicio]]))</f>
        <v/>
      </c>
      <c r="AK941" s="11">
        <f>IF(tblOrdenes[[#This Row],[orden]]="","",tblOrdenes[[#This Row],[costo_servicio]]+tblOrdenes[[#This Row],[costo_materiales]])</f>
        <v/>
      </c>
      <c r="AL941" s="6" t="n"/>
      <c r="AM941" s="6" t="n"/>
      <c r="AN941" s="6" t="n"/>
      <c r="AO941" s="3">
        <f>IF(tblOrdenes[[#This Row],[link_checklist]]="","",HYPERLINK(p_ruta_base_checklists&amp;tblOrdenes[[#This Row],[link_checklist]],"abrir"))</f>
        <v/>
      </c>
      <c r="AP941" s="6" t="n"/>
      <c r="AQ941" s="3">
        <f>IF(tblOrdenes[[#This Row],[orden]]="","",tblOrdenes[[#This Row],[orden]]&amp;IF(tblOrdenes[[#This Row],[operacion]]="","0010",tblOrdenes[[#This Row],[operacion]]))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2" t="n"/>
      <c r="K942" s="3" t="n"/>
      <c r="L942" s="11" t="n"/>
      <c r="M9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2" s="3">
        <f>IF(tblOrdenes[[#This Row],[fecha_inicio]]="","",YEAR(tblOrdenes[[#This Row],[fecha_inicio]]))</f>
        <v/>
      </c>
      <c r="Q942" s="3">
        <f>IF(tblOrdenes[[#This Row],[fecha_inicio]]="","",MONTH(tblOrdenes[[#This Row],[fecha_inicio]]))</f>
        <v/>
      </c>
      <c r="R942" s="3">
        <f>IF(tblOrdenes[[#This Row],[fecha_inicio]]="","",INDEX(lista_dias,WEEKDAY(tblOrdenes[[#This Row],[fecha_inicio]],2)))</f>
        <v/>
      </c>
      <c r="S9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2" s="3">
        <f>IF(tblOrdenes[[#This Row],[tipo_ot]]="","",_xlfn.XLOOKUP(tblOrdenes[[#This Row],[tipo_ot]],tblTiposOT[codigo],tblTiposOT[clasificacion],"sin_clasificar"))</f>
        <v/>
      </c>
      <c r="U942" s="3">
        <f>IF(tblOrdenes[[#This Row],[centro_costo]]="","",_xlfn.XLOOKUP(tblOrdenes[[#This Row],[centro_costo]],tblCECO[codigo],tblCECO[linea],"(sin catálogo)"))</f>
        <v/>
      </c>
      <c r="V942" s="3">
        <f>IF(tblOrdenes[[#This Row],[centro_costo]]="","",_xlfn.XLOOKUP(tblOrdenes[[#This Row],[centro_costo]],tblCECO[codigo],tblCECO[area],"(sin catálogo)"))</f>
        <v/>
      </c>
      <c r="W9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2" s="3">
        <f>IF(tblOrdenes[[#This Row],[centro_costo]]="","",_xlfn.XLOOKUP(tblOrdenes[[#This Row],[centro_costo]],tblCECO[codigo],tblCECO[coordinador],"(sin catálogo)"))</f>
        <v/>
      </c>
      <c r="Y942" s="3">
        <f>IF(tblOrdenes[[#This Row],[puesto_trabajo]]="","",_xlfn.XLOOKUP(tblOrdenes[[#This Row],[puesto_trabajo]],tblPuestos[codigo],tblPuestos[especialidad],"(sin catálogo)"))</f>
        <v/>
      </c>
      <c r="Z942" s="3">
        <f>IF(tblOrdenes[[#This Row],[cod_actividad]]="","",_xlfn.XLOOKUP(tblOrdenes[[#This Row],[cod_actividad]],tblActividades[codigo],tblActividades[descripcion],"(sin catálogo)"))</f>
        <v/>
      </c>
      <c r="AA942" s="13">
        <f>IF(tblOrdenes[[#This Row],[fecha_inicio]]="","",TODAY()-tblOrdenes[[#This Row],[fecha_inicio]])</f>
        <v/>
      </c>
      <c r="AB9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2" s="3">
        <f>IF(tblOrdenes[[#This Row],[backlog_habiles]]="","",IF(tblOrdenes[[#This Row],[backlog_habiles]]&lt;0,"FUTURO",IF(tblOrdenes[[#This Row],[backlog_habiles]]&gt;p_dias_backlog_max,"BACKLOG","MES CORRIENTE")))</f>
        <v/>
      </c>
      <c r="AD942" s="3">
        <f>IF(tblOrdenes[[#This Row],[backlog_habiles]]="",FALSE,AND(tblOrdenes[[#This Row],[backlog_habiles]]&gt;p_dias_backlog_min,tblOrdenes[[#This Row],[backlog_habiles]]&lt;=p_dias_backlog_max))</f>
        <v/>
      </c>
      <c r="AE942" s="6" t="n"/>
      <c r="AF9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2" s="11">
        <f>IF(tblOrdenes[[#This Row],[orden]]="","",_xlfn.XLOOKUP(tblOrdenes[[#This Row],[id_operacion]],tblEjecucion[id_operacion],tblEjecucion[precio],0))</f>
        <v/>
      </c>
      <c r="AJ942" s="11">
        <f>IF(tblOrdenes[[#This Row],[orden]]="","",MAX(0,_xlfn.XLOOKUP(tblOrdenes[[#This Row],[id_operacion]],tblEjecucion[id_operacion],tblEjecucion[costo_plan_total],0)-tblOrdenes[[#This Row],[costo_servicio]]))</f>
        <v/>
      </c>
      <c r="AK942" s="11">
        <f>IF(tblOrdenes[[#This Row],[orden]]="","",tblOrdenes[[#This Row],[costo_servicio]]+tblOrdenes[[#This Row],[costo_materiales]])</f>
        <v/>
      </c>
      <c r="AL942" s="6" t="n"/>
      <c r="AM942" s="6" t="n"/>
      <c r="AN942" s="6" t="n"/>
      <c r="AO942" s="3">
        <f>IF(tblOrdenes[[#This Row],[link_checklist]]="","",HYPERLINK(p_ruta_base_checklists&amp;tblOrdenes[[#This Row],[link_checklist]],"abrir"))</f>
        <v/>
      </c>
      <c r="AP942" s="6" t="n"/>
      <c r="AQ942" s="3">
        <f>IF(tblOrdenes[[#This Row],[orden]]="","",tblOrdenes[[#This Row],[orden]]&amp;IF(tblOrdenes[[#This Row],[operacion]]="","0010",tblOrdenes[[#This Row],[operacion]]))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2" t="n"/>
      <c r="K943" s="3" t="n"/>
      <c r="L943" s="11" t="n"/>
      <c r="M9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3" s="3">
        <f>IF(tblOrdenes[[#This Row],[fecha_inicio]]="","",YEAR(tblOrdenes[[#This Row],[fecha_inicio]]))</f>
        <v/>
      </c>
      <c r="Q943" s="3">
        <f>IF(tblOrdenes[[#This Row],[fecha_inicio]]="","",MONTH(tblOrdenes[[#This Row],[fecha_inicio]]))</f>
        <v/>
      </c>
      <c r="R943" s="3">
        <f>IF(tblOrdenes[[#This Row],[fecha_inicio]]="","",INDEX(lista_dias,WEEKDAY(tblOrdenes[[#This Row],[fecha_inicio]],2)))</f>
        <v/>
      </c>
      <c r="S9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3" s="3">
        <f>IF(tblOrdenes[[#This Row],[tipo_ot]]="","",_xlfn.XLOOKUP(tblOrdenes[[#This Row],[tipo_ot]],tblTiposOT[codigo],tblTiposOT[clasificacion],"sin_clasificar"))</f>
        <v/>
      </c>
      <c r="U943" s="3">
        <f>IF(tblOrdenes[[#This Row],[centro_costo]]="","",_xlfn.XLOOKUP(tblOrdenes[[#This Row],[centro_costo]],tblCECO[codigo],tblCECO[linea],"(sin catálogo)"))</f>
        <v/>
      </c>
      <c r="V943" s="3">
        <f>IF(tblOrdenes[[#This Row],[centro_costo]]="","",_xlfn.XLOOKUP(tblOrdenes[[#This Row],[centro_costo]],tblCECO[codigo],tblCECO[area],"(sin catálogo)"))</f>
        <v/>
      </c>
      <c r="W9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3" s="3">
        <f>IF(tblOrdenes[[#This Row],[centro_costo]]="","",_xlfn.XLOOKUP(tblOrdenes[[#This Row],[centro_costo]],tblCECO[codigo],tblCECO[coordinador],"(sin catálogo)"))</f>
        <v/>
      </c>
      <c r="Y943" s="3">
        <f>IF(tblOrdenes[[#This Row],[puesto_trabajo]]="","",_xlfn.XLOOKUP(tblOrdenes[[#This Row],[puesto_trabajo]],tblPuestos[codigo],tblPuestos[especialidad],"(sin catálogo)"))</f>
        <v/>
      </c>
      <c r="Z943" s="3">
        <f>IF(tblOrdenes[[#This Row],[cod_actividad]]="","",_xlfn.XLOOKUP(tblOrdenes[[#This Row],[cod_actividad]],tblActividades[codigo],tblActividades[descripcion],"(sin catálogo)"))</f>
        <v/>
      </c>
      <c r="AA943" s="13">
        <f>IF(tblOrdenes[[#This Row],[fecha_inicio]]="","",TODAY()-tblOrdenes[[#This Row],[fecha_inicio]])</f>
        <v/>
      </c>
      <c r="AB9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3" s="3">
        <f>IF(tblOrdenes[[#This Row],[backlog_habiles]]="","",IF(tblOrdenes[[#This Row],[backlog_habiles]]&lt;0,"FUTURO",IF(tblOrdenes[[#This Row],[backlog_habiles]]&gt;p_dias_backlog_max,"BACKLOG","MES CORRIENTE")))</f>
        <v/>
      </c>
      <c r="AD943" s="3">
        <f>IF(tblOrdenes[[#This Row],[backlog_habiles]]="",FALSE,AND(tblOrdenes[[#This Row],[backlog_habiles]]&gt;p_dias_backlog_min,tblOrdenes[[#This Row],[backlog_habiles]]&lt;=p_dias_backlog_max))</f>
        <v/>
      </c>
      <c r="AE943" s="6" t="n"/>
      <c r="AF9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3" s="11">
        <f>IF(tblOrdenes[[#This Row],[orden]]="","",_xlfn.XLOOKUP(tblOrdenes[[#This Row],[id_operacion]],tblEjecucion[id_operacion],tblEjecucion[precio],0))</f>
        <v/>
      </c>
      <c r="AJ943" s="11">
        <f>IF(tblOrdenes[[#This Row],[orden]]="","",MAX(0,_xlfn.XLOOKUP(tblOrdenes[[#This Row],[id_operacion]],tblEjecucion[id_operacion],tblEjecucion[costo_plan_total],0)-tblOrdenes[[#This Row],[costo_servicio]]))</f>
        <v/>
      </c>
      <c r="AK943" s="11">
        <f>IF(tblOrdenes[[#This Row],[orden]]="","",tblOrdenes[[#This Row],[costo_servicio]]+tblOrdenes[[#This Row],[costo_materiales]])</f>
        <v/>
      </c>
      <c r="AL943" s="6" t="n"/>
      <c r="AM943" s="6" t="n"/>
      <c r="AN943" s="6" t="n"/>
      <c r="AO943" s="3">
        <f>IF(tblOrdenes[[#This Row],[link_checklist]]="","",HYPERLINK(p_ruta_base_checklists&amp;tblOrdenes[[#This Row],[link_checklist]],"abrir"))</f>
        <v/>
      </c>
      <c r="AP943" s="6" t="n"/>
      <c r="AQ943" s="3">
        <f>IF(tblOrdenes[[#This Row],[orden]]="","",tblOrdenes[[#This Row],[orden]]&amp;IF(tblOrdenes[[#This Row],[operacion]]="","0010",tblOrdenes[[#This Row],[operacion]]))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2" t="n"/>
      <c r="K944" s="3" t="n"/>
      <c r="L944" s="11" t="n"/>
      <c r="M9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4" s="3">
        <f>IF(tblOrdenes[[#This Row],[fecha_inicio]]="","",YEAR(tblOrdenes[[#This Row],[fecha_inicio]]))</f>
        <v/>
      </c>
      <c r="Q944" s="3">
        <f>IF(tblOrdenes[[#This Row],[fecha_inicio]]="","",MONTH(tblOrdenes[[#This Row],[fecha_inicio]]))</f>
        <v/>
      </c>
      <c r="R944" s="3">
        <f>IF(tblOrdenes[[#This Row],[fecha_inicio]]="","",INDEX(lista_dias,WEEKDAY(tblOrdenes[[#This Row],[fecha_inicio]],2)))</f>
        <v/>
      </c>
      <c r="S9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4" s="3">
        <f>IF(tblOrdenes[[#This Row],[tipo_ot]]="","",_xlfn.XLOOKUP(tblOrdenes[[#This Row],[tipo_ot]],tblTiposOT[codigo],tblTiposOT[clasificacion],"sin_clasificar"))</f>
        <v/>
      </c>
      <c r="U944" s="3">
        <f>IF(tblOrdenes[[#This Row],[centro_costo]]="","",_xlfn.XLOOKUP(tblOrdenes[[#This Row],[centro_costo]],tblCECO[codigo],tblCECO[linea],"(sin catálogo)"))</f>
        <v/>
      </c>
      <c r="V944" s="3">
        <f>IF(tblOrdenes[[#This Row],[centro_costo]]="","",_xlfn.XLOOKUP(tblOrdenes[[#This Row],[centro_costo]],tblCECO[codigo],tblCECO[area],"(sin catálogo)"))</f>
        <v/>
      </c>
      <c r="W9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4" s="3">
        <f>IF(tblOrdenes[[#This Row],[centro_costo]]="","",_xlfn.XLOOKUP(tblOrdenes[[#This Row],[centro_costo]],tblCECO[codigo],tblCECO[coordinador],"(sin catálogo)"))</f>
        <v/>
      </c>
      <c r="Y944" s="3">
        <f>IF(tblOrdenes[[#This Row],[puesto_trabajo]]="","",_xlfn.XLOOKUP(tblOrdenes[[#This Row],[puesto_trabajo]],tblPuestos[codigo],tblPuestos[especialidad],"(sin catálogo)"))</f>
        <v/>
      </c>
      <c r="Z944" s="3">
        <f>IF(tblOrdenes[[#This Row],[cod_actividad]]="","",_xlfn.XLOOKUP(tblOrdenes[[#This Row],[cod_actividad]],tblActividades[codigo],tblActividades[descripcion],"(sin catálogo)"))</f>
        <v/>
      </c>
      <c r="AA944" s="13">
        <f>IF(tblOrdenes[[#This Row],[fecha_inicio]]="","",TODAY()-tblOrdenes[[#This Row],[fecha_inicio]])</f>
        <v/>
      </c>
      <c r="AB9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4" s="3">
        <f>IF(tblOrdenes[[#This Row],[backlog_habiles]]="","",IF(tblOrdenes[[#This Row],[backlog_habiles]]&lt;0,"FUTURO",IF(tblOrdenes[[#This Row],[backlog_habiles]]&gt;p_dias_backlog_max,"BACKLOG","MES CORRIENTE")))</f>
        <v/>
      </c>
      <c r="AD944" s="3">
        <f>IF(tblOrdenes[[#This Row],[backlog_habiles]]="",FALSE,AND(tblOrdenes[[#This Row],[backlog_habiles]]&gt;p_dias_backlog_min,tblOrdenes[[#This Row],[backlog_habiles]]&lt;=p_dias_backlog_max))</f>
        <v/>
      </c>
      <c r="AE944" s="6" t="n"/>
      <c r="AF9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4" s="11">
        <f>IF(tblOrdenes[[#This Row],[orden]]="","",_xlfn.XLOOKUP(tblOrdenes[[#This Row],[id_operacion]],tblEjecucion[id_operacion],tblEjecucion[precio],0))</f>
        <v/>
      </c>
      <c r="AJ944" s="11">
        <f>IF(tblOrdenes[[#This Row],[orden]]="","",MAX(0,_xlfn.XLOOKUP(tblOrdenes[[#This Row],[id_operacion]],tblEjecucion[id_operacion],tblEjecucion[costo_plan_total],0)-tblOrdenes[[#This Row],[costo_servicio]]))</f>
        <v/>
      </c>
      <c r="AK944" s="11">
        <f>IF(tblOrdenes[[#This Row],[orden]]="","",tblOrdenes[[#This Row],[costo_servicio]]+tblOrdenes[[#This Row],[costo_materiales]])</f>
        <v/>
      </c>
      <c r="AL944" s="6" t="n"/>
      <c r="AM944" s="6" t="n"/>
      <c r="AN944" s="6" t="n"/>
      <c r="AO944" s="3">
        <f>IF(tblOrdenes[[#This Row],[link_checklist]]="","",HYPERLINK(p_ruta_base_checklists&amp;tblOrdenes[[#This Row],[link_checklist]],"abrir"))</f>
        <v/>
      </c>
      <c r="AP944" s="6" t="n"/>
      <c r="AQ944" s="3">
        <f>IF(tblOrdenes[[#This Row],[orden]]="","",tblOrdenes[[#This Row],[orden]]&amp;IF(tblOrdenes[[#This Row],[operacion]]="","0010",tblOrdenes[[#This Row],[operacion]]))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2" t="n"/>
      <c r="K945" s="3" t="n"/>
      <c r="L945" s="11" t="n"/>
      <c r="M9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5" s="3">
        <f>IF(tblOrdenes[[#This Row],[fecha_inicio]]="","",YEAR(tblOrdenes[[#This Row],[fecha_inicio]]))</f>
        <v/>
      </c>
      <c r="Q945" s="3">
        <f>IF(tblOrdenes[[#This Row],[fecha_inicio]]="","",MONTH(tblOrdenes[[#This Row],[fecha_inicio]]))</f>
        <v/>
      </c>
      <c r="R945" s="3">
        <f>IF(tblOrdenes[[#This Row],[fecha_inicio]]="","",INDEX(lista_dias,WEEKDAY(tblOrdenes[[#This Row],[fecha_inicio]],2)))</f>
        <v/>
      </c>
      <c r="S9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5" s="3">
        <f>IF(tblOrdenes[[#This Row],[tipo_ot]]="","",_xlfn.XLOOKUP(tblOrdenes[[#This Row],[tipo_ot]],tblTiposOT[codigo],tblTiposOT[clasificacion],"sin_clasificar"))</f>
        <v/>
      </c>
      <c r="U945" s="3">
        <f>IF(tblOrdenes[[#This Row],[centro_costo]]="","",_xlfn.XLOOKUP(tblOrdenes[[#This Row],[centro_costo]],tblCECO[codigo],tblCECO[linea],"(sin catálogo)"))</f>
        <v/>
      </c>
      <c r="V945" s="3">
        <f>IF(tblOrdenes[[#This Row],[centro_costo]]="","",_xlfn.XLOOKUP(tblOrdenes[[#This Row],[centro_costo]],tblCECO[codigo],tblCECO[area],"(sin catálogo)"))</f>
        <v/>
      </c>
      <c r="W9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5" s="3">
        <f>IF(tblOrdenes[[#This Row],[centro_costo]]="","",_xlfn.XLOOKUP(tblOrdenes[[#This Row],[centro_costo]],tblCECO[codigo],tblCECO[coordinador],"(sin catálogo)"))</f>
        <v/>
      </c>
      <c r="Y945" s="3">
        <f>IF(tblOrdenes[[#This Row],[puesto_trabajo]]="","",_xlfn.XLOOKUP(tblOrdenes[[#This Row],[puesto_trabajo]],tblPuestos[codigo],tblPuestos[especialidad],"(sin catálogo)"))</f>
        <v/>
      </c>
      <c r="Z945" s="3">
        <f>IF(tblOrdenes[[#This Row],[cod_actividad]]="","",_xlfn.XLOOKUP(tblOrdenes[[#This Row],[cod_actividad]],tblActividades[codigo],tblActividades[descripcion],"(sin catálogo)"))</f>
        <v/>
      </c>
      <c r="AA945" s="13">
        <f>IF(tblOrdenes[[#This Row],[fecha_inicio]]="","",TODAY()-tblOrdenes[[#This Row],[fecha_inicio]])</f>
        <v/>
      </c>
      <c r="AB9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5" s="3">
        <f>IF(tblOrdenes[[#This Row],[backlog_habiles]]="","",IF(tblOrdenes[[#This Row],[backlog_habiles]]&lt;0,"FUTURO",IF(tblOrdenes[[#This Row],[backlog_habiles]]&gt;p_dias_backlog_max,"BACKLOG","MES CORRIENTE")))</f>
        <v/>
      </c>
      <c r="AD945" s="3">
        <f>IF(tblOrdenes[[#This Row],[backlog_habiles]]="",FALSE,AND(tblOrdenes[[#This Row],[backlog_habiles]]&gt;p_dias_backlog_min,tblOrdenes[[#This Row],[backlog_habiles]]&lt;=p_dias_backlog_max))</f>
        <v/>
      </c>
      <c r="AE945" s="6" t="n"/>
      <c r="AF9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5" s="11">
        <f>IF(tblOrdenes[[#This Row],[orden]]="","",_xlfn.XLOOKUP(tblOrdenes[[#This Row],[id_operacion]],tblEjecucion[id_operacion],tblEjecucion[precio],0))</f>
        <v/>
      </c>
      <c r="AJ945" s="11">
        <f>IF(tblOrdenes[[#This Row],[orden]]="","",MAX(0,_xlfn.XLOOKUP(tblOrdenes[[#This Row],[id_operacion]],tblEjecucion[id_operacion],tblEjecucion[costo_plan_total],0)-tblOrdenes[[#This Row],[costo_servicio]]))</f>
        <v/>
      </c>
      <c r="AK945" s="11">
        <f>IF(tblOrdenes[[#This Row],[orden]]="","",tblOrdenes[[#This Row],[costo_servicio]]+tblOrdenes[[#This Row],[costo_materiales]])</f>
        <v/>
      </c>
      <c r="AL945" s="6" t="n"/>
      <c r="AM945" s="6" t="n"/>
      <c r="AN945" s="6" t="n"/>
      <c r="AO945" s="3">
        <f>IF(tblOrdenes[[#This Row],[link_checklist]]="","",HYPERLINK(p_ruta_base_checklists&amp;tblOrdenes[[#This Row],[link_checklist]],"abrir"))</f>
        <v/>
      </c>
      <c r="AP945" s="6" t="n"/>
      <c r="AQ945" s="3">
        <f>IF(tblOrdenes[[#This Row],[orden]]="","",tblOrdenes[[#This Row],[orden]]&amp;IF(tblOrdenes[[#This Row],[operacion]]="","0010",tblOrdenes[[#This Row],[operacion]]))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2" t="n"/>
      <c r="K946" s="3" t="n"/>
      <c r="L946" s="11" t="n"/>
      <c r="M9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6" s="3">
        <f>IF(tblOrdenes[[#This Row],[fecha_inicio]]="","",YEAR(tblOrdenes[[#This Row],[fecha_inicio]]))</f>
        <v/>
      </c>
      <c r="Q946" s="3">
        <f>IF(tblOrdenes[[#This Row],[fecha_inicio]]="","",MONTH(tblOrdenes[[#This Row],[fecha_inicio]]))</f>
        <v/>
      </c>
      <c r="R946" s="3">
        <f>IF(tblOrdenes[[#This Row],[fecha_inicio]]="","",INDEX(lista_dias,WEEKDAY(tblOrdenes[[#This Row],[fecha_inicio]],2)))</f>
        <v/>
      </c>
      <c r="S9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6" s="3">
        <f>IF(tblOrdenes[[#This Row],[tipo_ot]]="","",_xlfn.XLOOKUP(tblOrdenes[[#This Row],[tipo_ot]],tblTiposOT[codigo],tblTiposOT[clasificacion],"sin_clasificar"))</f>
        <v/>
      </c>
      <c r="U946" s="3">
        <f>IF(tblOrdenes[[#This Row],[centro_costo]]="","",_xlfn.XLOOKUP(tblOrdenes[[#This Row],[centro_costo]],tblCECO[codigo],tblCECO[linea],"(sin catálogo)"))</f>
        <v/>
      </c>
      <c r="V946" s="3">
        <f>IF(tblOrdenes[[#This Row],[centro_costo]]="","",_xlfn.XLOOKUP(tblOrdenes[[#This Row],[centro_costo]],tblCECO[codigo],tblCECO[area],"(sin catálogo)"))</f>
        <v/>
      </c>
      <c r="W9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6" s="3">
        <f>IF(tblOrdenes[[#This Row],[centro_costo]]="","",_xlfn.XLOOKUP(tblOrdenes[[#This Row],[centro_costo]],tblCECO[codigo],tblCECO[coordinador],"(sin catálogo)"))</f>
        <v/>
      </c>
      <c r="Y946" s="3">
        <f>IF(tblOrdenes[[#This Row],[puesto_trabajo]]="","",_xlfn.XLOOKUP(tblOrdenes[[#This Row],[puesto_trabajo]],tblPuestos[codigo],tblPuestos[especialidad],"(sin catálogo)"))</f>
        <v/>
      </c>
      <c r="Z946" s="3">
        <f>IF(tblOrdenes[[#This Row],[cod_actividad]]="","",_xlfn.XLOOKUP(tblOrdenes[[#This Row],[cod_actividad]],tblActividades[codigo],tblActividades[descripcion],"(sin catálogo)"))</f>
        <v/>
      </c>
      <c r="AA946" s="13">
        <f>IF(tblOrdenes[[#This Row],[fecha_inicio]]="","",TODAY()-tblOrdenes[[#This Row],[fecha_inicio]])</f>
        <v/>
      </c>
      <c r="AB9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6" s="3">
        <f>IF(tblOrdenes[[#This Row],[backlog_habiles]]="","",IF(tblOrdenes[[#This Row],[backlog_habiles]]&lt;0,"FUTURO",IF(tblOrdenes[[#This Row],[backlog_habiles]]&gt;p_dias_backlog_max,"BACKLOG","MES CORRIENTE")))</f>
        <v/>
      </c>
      <c r="AD946" s="3">
        <f>IF(tblOrdenes[[#This Row],[backlog_habiles]]="",FALSE,AND(tblOrdenes[[#This Row],[backlog_habiles]]&gt;p_dias_backlog_min,tblOrdenes[[#This Row],[backlog_habiles]]&lt;=p_dias_backlog_max))</f>
        <v/>
      </c>
      <c r="AE946" s="6" t="n"/>
      <c r="AF9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6" s="11">
        <f>IF(tblOrdenes[[#This Row],[orden]]="","",_xlfn.XLOOKUP(tblOrdenes[[#This Row],[id_operacion]],tblEjecucion[id_operacion],tblEjecucion[precio],0))</f>
        <v/>
      </c>
      <c r="AJ946" s="11">
        <f>IF(tblOrdenes[[#This Row],[orden]]="","",MAX(0,_xlfn.XLOOKUP(tblOrdenes[[#This Row],[id_operacion]],tblEjecucion[id_operacion],tblEjecucion[costo_plan_total],0)-tblOrdenes[[#This Row],[costo_servicio]]))</f>
        <v/>
      </c>
      <c r="AK946" s="11">
        <f>IF(tblOrdenes[[#This Row],[orden]]="","",tblOrdenes[[#This Row],[costo_servicio]]+tblOrdenes[[#This Row],[costo_materiales]])</f>
        <v/>
      </c>
      <c r="AL946" s="6" t="n"/>
      <c r="AM946" s="6" t="n"/>
      <c r="AN946" s="6" t="n"/>
      <c r="AO946" s="3">
        <f>IF(tblOrdenes[[#This Row],[link_checklist]]="","",HYPERLINK(p_ruta_base_checklists&amp;tblOrdenes[[#This Row],[link_checklist]],"abrir"))</f>
        <v/>
      </c>
      <c r="AP946" s="6" t="n"/>
      <c r="AQ946" s="3">
        <f>IF(tblOrdenes[[#This Row],[orden]]="","",tblOrdenes[[#This Row],[orden]]&amp;IF(tblOrdenes[[#This Row],[operacion]]="","0010",tblOrdenes[[#This Row],[operacion]]))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2" t="n"/>
      <c r="K947" s="3" t="n"/>
      <c r="L947" s="11" t="n"/>
      <c r="M9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7" s="3">
        <f>IF(tblOrdenes[[#This Row],[fecha_inicio]]="","",YEAR(tblOrdenes[[#This Row],[fecha_inicio]]))</f>
        <v/>
      </c>
      <c r="Q947" s="3">
        <f>IF(tblOrdenes[[#This Row],[fecha_inicio]]="","",MONTH(tblOrdenes[[#This Row],[fecha_inicio]]))</f>
        <v/>
      </c>
      <c r="R947" s="3">
        <f>IF(tblOrdenes[[#This Row],[fecha_inicio]]="","",INDEX(lista_dias,WEEKDAY(tblOrdenes[[#This Row],[fecha_inicio]],2)))</f>
        <v/>
      </c>
      <c r="S9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7" s="3">
        <f>IF(tblOrdenes[[#This Row],[tipo_ot]]="","",_xlfn.XLOOKUP(tblOrdenes[[#This Row],[tipo_ot]],tblTiposOT[codigo],tblTiposOT[clasificacion],"sin_clasificar"))</f>
        <v/>
      </c>
      <c r="U947" s="3">
        <f>IF(tblOrdenes[[#This Row],[centro_costo]]="","",_xlfn.XLOOKUP(tblOrdenes[[#This Row],[centro_costo]],tblCECO[codigo],tblCECO[linea],"(sin catálogo)"))</f>
        <v/>
      </c>
      <c r="V947" s="3">
        <f>IF(tblOrdenes[[#This Row],[centro_costo]]="","",_xlfn.XLOOKUP(tblOrdenes[[#This Row],[centro_costo]],tblCECO[codigo],tblCECO[area],"(sin catálogo)"))</f>
        <v/>
      </c>
      <c r="W9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7" s="3">
        <f>IF(tblOrdenes[[#This Row],[centro_costo]]="","",_xlfn.XLOOKUP(tblOrdenes[[#This Row],[centro_costo]],tblCECO[codigo],tblCECO[coordinador],"(sin catálogo)"))</f>
        <v/>
      </c>
      <c r="Y947" s="3">
        <f>IF(tblOrdenes[[#This Row],[puesto_trabajo]]="","",_xlfn.XLOOKUP(tblOrdenes[[#This Row],[puesto_trabajo]],tblPuestos[codigo],tblPuestos[especialidad],"(sin catálogo)"))</f>
        <v/>
      </c>
      <c r="Z947" s="3">
        <f>IF(tblOrdenes[[#This Row],[cod_actividad]]="","",_xlfn.XLOOKUP(tblOrdenes[[#This Row],[cod_actividad]],tblActividades[codigo],tblActividades[descripcion],"(sin catálogo)"))</f>
        <v/>
      </c>
      <c r="AA947" s="13">
        <f>IF(tblOrdenes[[#This Row],[fecha_inicio]]="","",TODAY()-tblOrdenes[[#This Row],[fecha_inicio]])</f>
        <v/>
      </c>
      <c r="AB9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7" s="3">
        <f>IF(tblOrdenes[[#This Row],[backlog_habiles]]="","",IF(tblOrdenes[[#This Row],[backlog_habiles]]&lt;0,"FUTURO",IF(tblOrdenes[[#This Row],[backlog_habiles]]&gt;p_dias_backlog_max,"BACKLOG","MES CORRIENTE")))</f>
        <v/>
      </c>
      <c r="AD947" s="3">
        <f>IF(tblOrdenes[[#This Row],[backlog_habiles]]="",FALSE,AND(tblOrdenes[[#This Row],[backlog_habiles]]&gt;p_dias_backlog_min,tblOrdenes[[#This Row],[backlog_habiles]]&lt;=p_dias_backlog_max))</f>
        <v/>
      </c>
      <c r="AE947" s="6" t="n"/>
      <c r="AF9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7" s="11">
        <f>IF(tblOrdenes[[#This Row],[orden]]="","",_xlfn.XLOOKUP(tblOrdenes[[#This Row],[id_operacion]],tblEjecucion[id_operacion],tblEjecucion[precio],0))</f>
        <v/>
      </c>
      <c r="AJ947" s="11">
        <f>IF(tblOrdenes[[#This Row],[orden]]="","",MAX(0,_xlfn.XLOOKUP(tblOrdenes[[#This Row],[id_operacion]],tblEjecucion[id_operacion],tblEjecucion[costo_plan_total],0)-tblOrdenes[[#This Row],[costo_servicio]]))</f>
        <v/>
      </c>
      <c r="AK947" s="11">
        <f>IF(tblOrdenes[[#This Row],[orden]]="","",tblOrdenes[[#This Row],[costo_servicio]]+tblOrdenes[[#This Row],[costo_materiales]])</f>
        <v/>
      </c>
      <c r="AL947" s="6" t="n"/>
      <c r="AM947" s="6" t="n"/>
      <c r="AN947" s="6" t="n"/>
      <c r="AO947" s="3">
        <f>IF(tblOrdenes[[#This Row],[link_checklist]]="","",HYPERLINK(p_ruta_base_checklists&amp;tblOrdenes[[#This Row],[link_checklist]],"abrir"))</f>
        <v/>
      </c>
      <c r="AP947" s="6" t="n"/>
      <c r="AQ947" s="3">
        <f>IF(tblOrdenes[[#This Row],[orden]]="","",tblOrdenes[[#This Row],[orden]]&amp;IF(tblOrdenes[[#This Row],[operacion]]="","0010",tblOrdenes[[#This Row],[operacion]]))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2" t="n"/>
      <c r="K948" s="3" t="n"/>
      <c r="L948" s="11" t="n"/>
      <c r="M9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8" s="3">
        <f>IF(tblOrdenes[[#This Row],[fecha_inicio]]="","",YEAR(tblOrdenes[[#This Row],[fecha_inicio]]))</f>
        <v/>
      </c>
      <c r="Q948" s="3">
        <f>IF(tblOrdenes[[#This Row],[fecha_inicio]]="","",MONTH(tblOrdenes[[#This Row],[fecha_inicio]]))</f>
        <v/>
      </c>
      <c r="R948" s="3">
        <f>IF(tblOrdenes[[#This Row],[fecha_inicio]]="","",INDEX(lista_dias,WEEKDAY(tblOrdenes[[#This Row],[fecha_inicio]],2)))</f>
        <v/>
      </c>
      <c r="S9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8" s="3">
        <f>IF(tblOrdenes[[#This Row],[tipo_ot]]="","",_xlfn.XLOOKUP(tblOrdenes[[#This Row],[tipo_ot]],tblTiposOT[codigo],tblTiposOT[clasificacion],"sin_clasificar"))</f>
        <v/>
      </c>
      <c r="U948" s="3">
        <f>IF(tblOrdenes[[#This Row],[centro_costo]]="","",_xlfn.XLOOKUP(tblOrdenes[[#This Row],[centro_costo]],tblCECO[codigo],tblCECO[linea],"(sin catálogo)"))</f>
        <v/>
      </c>
      <c r="V948" s="3">
        <f>IF(tblOrdenes[[#This Row],[centro_costo]]="","",_xlfn.XLOOKUP(tblOrdenes[[#This Row],[centro_costo]],tblCECO[codigo],tblCECO[area],"(sin catálogo)"))</f>
        <v/>
      </c>
      <c r="W9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8" s="3">
        <f>IF(tblOrdenes[[#This Row],[centro_costo]]="","",_xlfn.XLOOKUP(tblOrdenes[[#This Row],[centro_costo]],tblCECO[codigo],tblCECO[coordinador],"(sin catálogo)"))</f>
        <v/>
      </c>
      <c r="Y948" s="3">
        <f>IF(tblOrdenes[[#This Row],[puesto_trabajo]]="","",_xlfn.XLOOKUP(tblOrdenes[[#This Row],[puesto_trabajo]],tblPuestos[codigo],tblPuestos[especialidad],"(sin catálogo)"))</f>
        <v/>
      </c>
      <c r="Z948" s="3">
        <f>IF(tblOrdenes[[#This Row],[cod_actividad]]="","",_xlfn.XLOOKUP(tblOrdenes[[#This Row],[cod_actividad]],tblActividades[codigo],tblActividades[descripcion],"(sin catálogo)"))</f>
        <v/>
      </c>
      <c r="AA948" s="13">
        <f>IF(tblOrdenes[[#This Row],[fecha_inicio]]="","",TODAY()-tblOrdenes[[#This Row],[fecha_inicio]])</f>
        <v/>
      </c>
      <c r="AB9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8" s="3">
        <f>IF(tblOrdenes[[#This Row],[backlog_habiles]]="","",IF(tblOrdenes[[#This Row],[backlog_habiles]]&lt;0,"FUTURO",IF(tblOrdenes[[#This Row],[backlog_habiles]]&gt;p_dias_backlog_max,"BACKLOG","MES CORRIENTE")))</f>
        <v/>
      </c>
      <c r="AD948" s="3">
        <f>IF(tblOrdenes[[#This Row],[backlog_habiles]]="",FALSE,AND(tblOrdenes[[#This Row],[backlog_habiles]]&gt;p_dias_backlog_min,tblOrdenes[[#This Row],[backlog_habiles]]&lt;=p_dias_backlog_max))</f>
        <v/>
      </c>
      <c r="AE948" s="6" t="n"/>
      <c r="AF9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8" s="11">
        <f>IF(tblOrdenes[[#This Row],[orden]]="","",_xlfn.XLOOKUP(tblOrdenes[[#This Row],[id_operacion]],tblEjecucion[id_operacion],tblEjecucion[precio],0))</f>
        <v/>
      </c>
      <c r="AJ948" s="11">
        <f>IF(tblOrdenes[[#This Row],[orden]]="","",MAX(0,_xlfn.XLOOKUP(tblOrdenes[[#This Row],[id_operacion]],tblEjecucion[id_operacion],tblEjecucion[costo_plan_total],0)-tblOrdenes[[#This Row],[costo_servicio]]))</f>
        <v/>
      </c>
      <c r="AK948" s="11">
        <f>IF(tblOrdenes[[#This Row],[orden]]="","",tblOrdenes[[#This Row],[costo_servicio]]+tblOrdenes[[#This Row],[costo_materiales]])</f>
        <v/>
      </c>
      <c r="AL948" s="6" t="n"/>
      <c r="AM948" s="6" t="n"/>
      <c r="AN948" s="6" t="n"/>
      <c r="AO948" s="3">
        <f>IF(tblOrdenes[[#This Row],[link_checklist]]="","",HYPERLINK(p_ruta_base_checklists&amp;tblOrdenes[[#This Row],[link_checklist]],"abrir"))</f>
        <v/>
      </c>
      <c r="AP948" s="6" t="n"/>
      <c r="AQ948" s="3">
        <f>IF(tblOrdenes[[#This Row],[orden]]="","",tblOrdenes[[#This Row],[orden]]&amp;IF(tblOrdenes[[#This Row],[operacion]]="","0010",tblOrdenes[[#This Row],[operacion]]))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2" t="n"/>
      <c r="K949" s="3" t="n"/>
      <c r="L949" s="11" t="n"/>
      <c r="M9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9" s="3">
        <f>IF(tblOrdenes[[#This Row],[fecha_inicio]]="","",YEAR(tblOrdenes[[#This Row],[fecha_inicio]]))</f>
        <v/>
      </c>
      <c r="Q949" s="3">
        <f>IF(tblOrdenes[[#This Row],[fecha_inicio]]="","",MONTH(tblOrdenes[[#This Row],[fecha_inicio]]))</f>
        <v/>
      </c>
      <c r="R949" s="3">
        <f>IF(tblOrdenes[[#This Row],[fecha_inicio]]="","",INDEX(lista_dias,WEEKDAY(tblOrdenes[[#This Row],[fecha_inicio]],2)))</f>
        <v/>
      </c>
      <c r="S9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9" s="3">
        <f>IF(tblOrdenes[[#This Row],[tipo_ot]]="","",_xlfn.XLOOKUP(tblOrdenes[[#This Row],[tipo_ot]],tblTiposOT[codigo],tblTiposOT[clasificacion],"sin_clasificar"))</f>
        <v/>
      </c>
      <c r="U949" s="3">
        <f>IF(tblOrdenes[[#This Row],[centro_costo]]="","",_xlfn.XLOOKUP(tblOrdenes[[#This Row],[centro_costo]],tblCECO[codigo],tblCECO[linea],"(sin catálogo)"))</f>
        <v/>
      </c>
      <c r="V949" s="3">
        <f>IF(tblOrdenes[[#This Row],[centro_costo]]="","",_xlfn.XLOOKUP(tblOrdenes[[#This Row],[centro_costo]],tblCECO[codigo],tblCECO[area],"(sin catálogo)"))</f>
        <v/>
      </c>
      <c r="W9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9" s="3">
        <f>IF(tblOrdenes[[#This Row],[centro_costo]]="","",_xlfn.XLOOKUP(tblOrdenes[[#This Row],[centro_costo]],tblCECO[codigo],tblCECO[coordinador],"(sin catálogo)"))</f>
        <v/>
      </c>
      <c r="Y949" s="3">
        <f>IF(tblOrdenes[[#This Row],[puesto_trabajo]]="","",_xlfn.XLOOKUP(tblOrdenes[[#This Row],[puesto_trabajo]],tblPuestos[codigo],tblPuestos[especialidad],"(sin catálogo)"))</f>
        <v/>
      </c>
      <c r="Z949" s="3">
        <f>IF(tblOrdenes[[#This Row],[cod_actividad]]="","",_xlfn.XLOOKUP(tblOrdenes[[#This Row],[cod_actividad]],tblActividades[codigo],tblActividades[descripcion],"(sin catálogo)"))</f>
        <v/>
      </c>
      <c r="AA949" s="13">
        <f>IF(tblOrdenes[[#This Row],[fecha_inicio]]="","",TODAY()-tblOrdenes[[#This Row],[fecha_inicio]])</f>
        <v/>
      </c>
      <c r="AB9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9" s="3">
        <f>IF(tblOrdenes[[#This Row],[backlog_habiles]]="","",IF(tblOrdenes[[#This Row],[backlog_habiles]]&lt;0,"FUTURO",IF(tblOrdenes[[#This Row],[backlog_habiles]]&gt;p_dias_backlog_max,"BACKLOG","MES CORRIENTE")))</f>
        <v/>
      </c>
      <c r="AD949" s="3">
        <f>IF(tblOrdenes[[#This Row],[backlog_habiles]]="",FALSE,AND(tblOrdenes[[#This Row],[backlog_habiles]]&gt;p_dias_backlog_min,tblOrdenes[[#This Row],[backlog_habiles]]&lt;=p_dias_backlog_max))</f>
        <v/>
      </c>
      <c r="AE949" s="6" t="n"/>
      <c r="AF9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9" s="11">
        <f>IF(tblOrdenes[[#This Row],[orden]]="","",_xlfn.XLOOKUP(tblOrdenes[[#This Row],[id_operacion]],tblEjecucion[id_operacion],tblEjecucion[precio],0))</f>
        <v/>
      </c>
      <c r="AJ949" s="11">
        <f>IF(tblOrdenes[[#This Row],[orden]]="","",MAX(0,_xlfn.XLOOKUP(tblOrdenes[[#This Row],[id_operacion]],tblEjecucion[id_operacion],tblEjecucion[costo_plan_total],0)-tblOrdenes[[#This Row],[costo_servicio]]))</f>
        <v/>
      </c>
      <c r="AK949" s="11">
        <f>IF(tblOrdenes[[#This Row],[orden]]="","",tblOrdenes[[#This Row],[costo_servicio]]+tblOrdenes[[#This Row],[costo_materiales]])</f>
        <v/>
      </c>
      <c r="AL949" s="6" t="n"/>
      <c r="AM949" s="6" t="n"/>
      <c r="AN949" s="6" t="n"/>
      <c r="AO949" s="3">
        <f>IF(tblOrdenes[[#This Row],[link_checklist]]="","",HYPERLINK(p_ruta_base_checklists&amp;tblOrdenes[[#This Row],[link_checklist]],"abrir"))</f>
        <v/>
      </c>
      <c r="AP949" s="6" t="n"/>
      <c r="AQ949" s="3">
        <f>IF(tblOrdenes[[#This Row],[orden]]="","",tblOrdenes[[#This Row],[orden]]&amp;IF(tblOrdenes[[#This Row],[operacion]]="","0010",tblOrdenes[[#This Row],[operacion]]))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2" t="n"/>
      <c r="K950" s="3" t="n"/>
      <c r="L950" s="11" t="n"/>
      <c r="M9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0" s="3">
        <f>IF(tblOrdenes[[#This Row],[fecha_inicio]]="","",YEAR(tblOrdenes[[#This Row],[fecha_inicio]]))</f>
        <v/>
      </c>
      <c r="Q950" s="3">
        <f>IF(tblOrdenes[[#This Row],[fecha_inicio]]="","",MONTH(tblOrdenes[[#This Row],[fecha_inicio]]))</f>
        <v/>
      </c>
      <c r="R950" s="3">
        <f>IF(tblOrdenes[[#This Row],[fecha_inicio]]="","",INDEX(lista_dias,WEEKDAY(tblOrdenes[[#This Row],[fecha_inicio]],2)))</f>
        <v/>
      </c>
      <c r="S9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0" s="3">
        <f>IF(tblOrdenes[[#This Row],[tipo_ot]]="","",_xlfn.XLOOKUP(tblOrdenes[[#This Row],[tipo_ot]],tblTiposOT[codigo],tblTiposOT[clasificacion],"sin_clasificar"))</f>
        <v/>
      </c>
      <c r="U950" s="3">
        <f>IF(tblOrdenes[[#This Row],[centro_costo]]="","",_xlfn.XLOOKUP(tblOrdenes[[#This Row],[centro_costo]],tblCECO[codigo],tblCECO[linea],"(sin catálogo)"))</f>
        <v/>
      </c>
      <c r="V950" s="3">
        <f>IF(tblOrdenes[[#This Row],[centro_costo]]="","",_xlfn.XLOOKUP(tblOrdenes[[#This Row],[centro_costo]],tblCECO[codigo],tblCECO[area],"(sin catálogo)"))</f>
        <v/>
      </c>
      <c r="W9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0" s="3">
        <f>IF(tblOrdenes[[#This Row],[centro_costo]]="","",_xlfn.XLOOKUP(tblOrdenes[[#This Row],[centro_costo]],tblCECO[codigo],tblCECO[coordinador],"(sin catálogo)"))</f>
        <v/>
      </c>
      <c r="Y950" s="3">
        <f>IF(tblOrdenes[[#This Row],[puesto_trabajo]]="","",_xlfn.XLOOKUP(tblOrdenes[[#This Row],[puesto_trabajo]],tblPuestos[codigo],tblPuestos[especialidad],"(sin catálogo)"))</f>
        <v/>
      </c>
      <c r="Z950" s="3">
        <f>IF(tblOrdenes[[#This Row],[cod_actividad]]="","",_xlfn.XLOOKUP(tblOrdenes[[#This Row],[cod_actividad]],tblActividades[codigo],tblActividades[descripcion],"(sin catálogo)"))</f>
        <v/>
      </c>
      <c r="AA950" s="13">
        <f>IF(tblOrdenes[[#This Row],[fecha_inicio]]="","",TODAY()-tblOrdenes[[#This Row],[fecha_inicio]])</f>
        <v/>
      </c>
      <c r="AB9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0" s="3">
        <f>IF(tblOrdenes[[#This Row],[backlog_habiles]]="","",IF(tblOrdenes[[#This Row],[backlog_habiles]]&lt;0,"FUTURO",IF(tblOrdenes[[#This Row],[backlog_habiles]]&gt;p_dias_backlog_max,"BACKLOG","MES CORRIENTE")))</f>
        <v/>
      </c>
      <c r="AD950" s="3">
        <f>IF(tblOrdenes[[#This Row],[backlog_habiles]]="",FALSE,AND(tblOrdenes[[#This Row],[backlog_habiles]]&gt;p_dias_backlog_min,tblOrdenes[[#This Row],[backlog_habiles]]&lt;=p_dias_backlog_max))</f>
        <v/>
      </c>
      <c r="AE950" s="6" t="n"/>
      <c r="AF9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0" s="11">
        <f>IF(tblOrdenes[[#This Row],[orden]]="","",_xlfn.XLOOKUP(tblOrdenes[[#This Row],[id_operacion]],tblEjecucion[id_operacion],tblEjecucion[precio],0))</f>
        <v/>
      </c>
      <c r="AJ950" s="11">
        <f>IF(tblOrdenes[[#This Row],[orden]]="","",MAX(0,_xlfn.XLOOKUP(tblOrdenes[[#This Row],[id_operacion]],tblEjecucion[id_operacion],tblEjecucion[costo_plan_total],0)-tblOrdenes[[#This Row],[costo_servicio]]))</f>
        <v/>
      </c>
      <c r="AK950" s="11">
        <f>IF(tblOrdenes[[#This Row],[orden]]="","",tblOrdenes[[#This Row],[costo_servicio]]+tblOrdenes[[#This Row],[costo_materiales]])</f>
        <v/>
      </c>
      <c r="AL950" s="6" t="n"/>
      <c r="AM950" s="6" t="n"/>
      <c r="AN950" s="6" t="n"/>
      <c r="AO950" s="3">
        <f>IF(tblOrdenes[[#This Row],[link_checklist]]="","",HYPERLINK(p_ruta_base_checklists&amp;tblOrdenes[[#This Row],[link_checklist]],"abrir"))</f>
        <v/>
      </c>
      <c r="AP950" s="6" t="n"/>
      <c r="AQ950" s="3">
        <f>IF(tblOrdenes[[#This Row],[orden]]="","",tblOrdenes[[#This Row],[orden]]&amp;IF(tblOrdenes[[#This Row],[operacion]]="","0010",tblOrdenes[[#This Row],[operacion]]))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2" t="n"/>
      <c r="K951" s="3" t="n"/>
      <c r="L951" s="11" t="n"/>
      <c r="M9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1" s="3">
        <f>IF(tblOrdenes[[#This Row],[fecha_inicio]]="","",YEAR(tblOrdenes[[#This Row],[fecha_inicio]]))</f>
        <v/>
      </c>
      <c r="Q951" s="3">
        <f>IF(tblOrdenes[[#This Row],[fecha_inicio]]="","",MONTH(tblOrdenes[[#This Row],[fecha_inicio]]))</f>
        <v/>
      </c>
      <c r="R951" s="3">
        <f>IF(tblOrdenes[[#This Row],[fecha_inicio]]="","",INDEX(lista_dias,WEEKDAY(tblOrdenes[[#This Row],[fecha_inicio]],2)))</f>
        <v/>
      </c>
      <c r="S9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1" s="3">
        <f>IF(tblOrdenes[[#This Row],[tipo_ot]]="","",_xlfn.XLOOKUP(tblOrdenes[[#This Row],[tipo_ot]],tblTiposOT[codigo],tblTiposOT[clasificacion],"sin_clasificar"))</f>
        <v/>
      </c>
      <c r="U951" s="3">
        <f>IF(tblOrdenes[[#This Row],[centro_costo]]="","",_xlfn.XLOOKUP(tblOrdenes[[#This Row],[centro_costo]],tblCECO[codigo],tblCECO[linea],"(sin catálogo)"))</f>
        <v/>
      </c>
      <c r="V951" s="3">
        <f>IF(tblOrdenes[[#This Row],[centro_costo]]="","",_xlfn.XLOOKUP(tblOrdenes[[#This Row],[centro_costo]],tblCECO[codigo],tblCECO[area],"(sin catálogo)"))</f>
        <v/>
      </c>
      <c r="W9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1" s="3">
        <f>IF(tblOrdenes[[#This Row],[centro_costo]]="","",_xlfn.XLOOKUP(tblOrdenes[[#This Row],[centro_costo]],tblCECO[codigo],tblCECO[coordinador],"(sin catálogo)"))</f>
        <v/>
      </c>
      <c r="Y951" s="3">
        <f>IF(tblOrdenes[[#This Row],[puesto_trabajo]]="","",_xlfn.XLOOKUP(tblOrdenes[[#This Row],[puesto_trabajo]],tblPuestos[codigo],tblPuestos[especialidad],"(sin catálogo)"))</f>
        <v/>
      </c>
      <c r="Z951" s="3">
        <f>IF(tblOrdenes[[#This Row],[cod_actividad]]="","",_xlfn.XLOOKUP(tblOrdenes[[#This Row],[cod_actividad]],tblActividades[codigo],tblActividades[descripcion],"(sin catálogo)"))</f>
        <v/>
      </c>
      <c r="AA951" s="13">
        <f>IF(tblOrdenes[[#This Row],[fecha_inicio]]="","",TODAY()-tblOrdenes[[#This Row],[fecha_inicio]])</f>
        <v/>
      </c>
      <c r="AB9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1" s="3">
        <f>IF(tblOrdenes[[#This Row],[backlog_habiles]]="","",IF(tblOrdenes[[#This Row],[backlog_habiles]]&lt;0,"FUTURO",IF(tblOrdenes[[#This Row],[backlog_habiles]]&gt;p_dias_backlog_max,"BACKLOG","MES CORRIENTE")))</f>
        <v/>
      </c>
      <c r="AD951" s="3">
        <f>IF(tblOrdenes[[#This Row],[backlog_habiles]]="",FALSE,AND(tblOrdenes[[#This Row],[backlog_habiles]]&gt;p_dias_backlog_min,tblOrdenes[[#This Row],[backlog_habiles]]&lt;=p_dias_backlog_max))</f>
        <v/>
      </c>
      <c r="AE951" s="6" t="n"/>
      <c r="AF9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1" s="11">
        <f>IF(tblOrdenes[[#This Row],[orden]]="","",_xlfn.XLOOKUP(tblOrdenes[[#This Row],[id_operacion]],tblEjecucion[id_operacion],tblEjecucion[precio],0))</f>
        <v/>
      </c>
      <c r="AJ951" s="11">
        <f>IF(tblOrdenes[[#This Row],[orden]]="","",MAX(0,_xlfn.XLOOKUP(tblOrdenes[[#This Row],[id_operacion]],tblEjecucion[id_operacion],tblEjecucion[costo_plan_total],0)-tblOrdenes[[#This Row],[costo_servicio]]))</f>
        <v/>
      </c>
      <c r="AK951" s="11">
        <f>IF(tblOrdenes[[#This Row],[orden]]="","",tblOrdenes[[#This Row],[costo_servicio]]+tblOrdenes[[#This Row],[costo_materiales]])</f>
        <v/>
      </c>
      <c r="AL951" s="6" t="n"/>
      <c r="AM951" s="6" t="n"/>
      <c r="AN951" s="6" t="n"/>
      <c r="AO951" s="3">
        <f>IF(tblOrdenes[[#This Row],[link_checklist]]="","",HYPERLINK(p_ruta_base_checklists&amp;tblOrdenes[[#This Row],[link_checklist]],"abrir"))</f>
        <v/>
      </c>
      <c r="AP951" s="6" t="n"/>
      <c r="AQ951" s="3">
        <f>IF(tblOrdenes[[#This Row],[orden]]="","",tblOrdenes[[#This Row],[orden]]&amp;IF(tblOrdenes[[#This Row],[operacion]]="","0010",tblOrdenes[[#This Row],[operacion]]))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2" t="n"/>
      <c r="K952" s="3" t="n"/>
      <c r="L952" s="11" t="n"/>
      <c r="M9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2" s="3">
        <f>IF(tblOrdenes[[#This Row],[fecha_inicio]]="","",YEAR(tblOrdenes[[#This Row],[fecha_inicio]]))</f>
        <v/>
      </c>
      <c r="Q952" s="3">
        <f>IF(tblOrdenes[[#This Row],[fecha_inicio]]="","",MONTH(tblOrdenes[[#This Row],[fecha_inicio]]))</f>
        <v/>
      </c>
      <c r="R952" s="3">
        <f>IF(tblOrdenes[[#This Row],[fecha_inicio]]="","",INDEX(lista_dias,WEEKDAY(tblOrdenes[[#This Row],[fecha_inicio]],2)))</f>
        <v/>
      </c>
      <c r="S9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2" s="3">
        <f>IF(tblOrdenes[[#This Row],[tipo_ot]]="","",_xlfn.XLOOKUP(tblOrdenes[[#This Row],[tipo_ot]],tblTiposOT[codigo],tblTiposOT[clasificacion],"sin_clasificar"))</f>
        <v/>
      </c>
      <c r="U952" s="3">
        <f>IF(tblOrdenes[[#This Row],[centro_costo]]="","",_xlfn.XLOOKUP(tblOrdenes[[#This Row],[centro_costo]],tblCECO[codigo],tblCECO[linea],"(sin catálogo)"))</f>
        <v/>
      </c>
      <c r="V952" s="3">
        <f>IF(tblOrdenes[[#This Row],[centro_costo]]="","",_xlfn.XLOOKUP(tblOrdenes[[#This Row],[centro_costo]],tblCECO[codigo],tblCECO[area],"(sin catálogo)"))</f>
        <v/>
      </c>
      <c r="W9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2" s="3">
        <f>IF(tblOrdenes[[#This Row],[centro_costo]]="","",_xlfn.XLOOKUP(tblOrdenes[[#This Row],[centro_costo]],tblCECO[codigo],tblCECO[coordinador],"(sin catálogo)"))</f>
        <v/>
      </c>
      <c r="Y952" s="3">
        <f>IF(tblOrdenes[[#This Row],[puesto_trabajo]]="","",_xlfn.XLOOKUP(tblOrdenes[[#This Row],[puesto_trabajo]],tblPuestos[codigo],tblPuestos[especialidad],"(sin catálogo)"))</f>
        <v/>
      </c>
      <c r="Z952" s="3">
        <f>IF(tblOrdenes[[#This Row],[cod_actividad]]="","",_xlfn.XLOOKUP(tblOrdenes[[#This Row],[cod_actividad]],tblActividades[codigo],tblActividades[descripcion],"(sin catálogo)"))</f>
        <v/>
      </c>
      <c r="AA952" s="13">
        <f>IF(tblOrdenes[[#This Row],[fecha_inicio]]="","",TODAY()-tblOrdenes[[#This Row],[fecha_inicio]])</f>
        <v/>
      </c>
      <c r="AB9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2" s="3">
        <f>IF(tblOrdenes[[#This Row],[backlog_habiles]]="","",IF(tblOrdenes[[#This Row],[backlog_habiles]]&lt;0,"FUTURO",IF(tblOrdenes[[#This Row],[backlog_habiles]]&gt;p_dias_backlog_max,"BACKLOG","MES CORRIENTE")))</f>
        <v/>
      </c>
      <c r="AD952" s="3">
        <f>IF(tblOrdenes[[#This Row],[backlog_habiles]]="",FALSE,AND(tblOrdenes[[#This Row],[backlog_habiles]]&gt;p_dias_backlog_min,tblOrdenes[[#This Row],[backlog_habiles]]&lt;=p_dias_backlog_max))</f>
        <v/>
      </c>
      <c r="AE952" s="6" t="n"/>
      <c r="AF9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2" s="11">
        <f>IF(tblOrdenes[[#This Row],[orden]]="","",_xlfn.XLOOKUP(tblOrdenes[[#This Row],[id_operacion]],tblEjecucion[id_operacion],tblEjecucion[precio],0))</f>
        <v/>
      </c>
      <c r="AJ952" s="11">
        <f>IF(tblOrdenes[[#This Row],[orden]]="","",MAX(0,_xlfn.XLOOKUP(tblOrdenes[[#This Row],[id_operacion]],tblEjecucion[id_operacion],tblEjecucion[costo_plan_total],0)-tblOrdenes[[#This Row],[costo_servicio]]))</f>
        <v/>
      </c>
      <c r="AK952" s="11">
        <f>IF(tblOrdenes[[#This Row],[orden]]="","",tblOrdenes[[#This Row],[costo_servicio]]+tblOrdenes[[#This Row],[costo_materiales]])</f>
        <v/>
      </c>
      <c r="AL952" s="6" t="n"/>
      <c r="AM952" s="6" t="n"/>
      <c r="AN952" s="6" t="n"/>
      <c r="AO952" s="3">
        <f>IF(tblOrdenes[[#This Row],[link_checklist]]="","",HYPERLINK(p_ruta_base_checklists&amp;tblOrdenes[[#This Row],[link_checklist]],"abrir"))</f>
        <v/>
      </c>
      <c r="AP952" s="6" t="n"/>
      <c r="AQ952" s="3">
        <f>IF(tblOrdenes[[#This Row],[orden]]="","",tblOrdenes[[#This Row],[orden]]&amp;IF(tblOrdenes[[#This Row],[operacion]]="","0010",tblOrdenes[[#This Row],[operacion]]))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2" t="n"/>
      <c r="K953" s="3" t="n"/>
      <c r="L953" s="11" t="n"/>
      <c r="M9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3" s="3">
        <f>IF(tblOrdenes[[#This Row],[fecha_inicio]]="","",YEAR(tblOrdenes[[#This Row],[fecha_inicio]]))</f>
        <v/>
      </c>
      <c r="Q953" s="3">
        <f>IF(tblOrdenes[[#This Row],[fecha_inicio]]="","",MONTH(tblOrdenes[[#This Row],[fecha_inicio]]))</f>
        <v/>
      </c>
      <c r="R953" s="3">
        <f>IF(tblOrdenes[[#This Row],[fecha_inicio]]="","",INDEX(lista_dias,WEEKDAY(tblOrdenes[[#This Row],[fecha_inicio]],2)))</f>
        <v/>
      </c>
      <c r="S9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3" s="3">
        <f>IF(tblOrdenes[[#This Row],[tipo_ot]]="","",_xlfn.XLOOKUP(tblOrdenes[[#This Row],[tipo_ot]],tblTiposOT[codigo],tblTiposOT[clasificacion],"sin_clasificar"))</f>
        <v/>
      </c>
      <c r="U953" s="3">
        <f>IF(tblOrdenes[[#This Row],[centro_costo]]="","",_xlfn.XLOOKUP(tblOrdenes[[#This Row],[centro_costo]],tblCECO[codigo],tblCECO[linea],"(sin catálogo)"))</f>
        <v/>
      </c>
      <c r="V953" s="3">
        <f>IF(tblOrdenes[[#This Row],[centro_costo]]="","",_xlfn.XLOOKUP(tblOrdenes[[#This Row],[centro_costo]],tblCECO[codigo],tblCECO[area],"(sin catálogo)"))</f>
        <v/>
      </c>
      <c r="W9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3" s="3">
        <f>IF(tblOrdenes[[#This Row],[centro_costo]]="","",_xlfn.XLOOKUP(tblOrdenes[[#This Row],[centro_costo]],tblCECO[codigo],tblCECO[coordinador],"(sin catálogo)"))</f>
        <v/>
      </c>
      <c r="Y953" s="3">
        <f>IF(tblOrdenes[[#This Row],[puesto_trabajo]]="","",_xlfn.XLOOKUP(tblOrdenes[[#This Row],[puesto_trabajo]],tblPuestos[codigo],tblPuestos[especialidad],"(sin catálogo)"))</f>
        <v/>
      </c>
      <c r="Z953" s="3">
        <f>IF(tblOrdenes[[#This Row],[cod_actividad]]="","",_xlfn.XLOOKUP(tblOrdenes[[#This Row],[cod_actividad]],tblActividades[codigo],tblActividades[descripcion],"(sin catálogo)"))</f>
        <v/>
      </c>
      <c r="AA953" s="13">
        <f>IF(tblOrdenes[[#This Row],[fecha_inicio]]="","",TODAY()-tblOrdenes[[#This Row],[fecha_inicio]])</f>
        <v/>
      </c>
      <c r="AB9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3" s="3">
        <f>IF(tblOrdenes[[#This Row],[backlog_habiles]]="","",IF(tblOrdenes[[#This Row],[backlog_habiles]]&lt;0,"FUTURO",IF(tblOrdenes[[#This Row],[backlog_habiles]]&gt;p_dias_backlog_max,"BACKLOG","MES CORRIENTE")))</f>
        <v/>
      </c>
      <c r="AD953" s="3">
        <f>IF(tblOrdenes[[#This Row],[backlog_habiles]]="",FALSE,AND(tblOrdenes[[#This Row],[backlog_habiles]]&gt;p_dias_backlog_min,tblOrdenes[[#This Row],[backlog_habiles]]&lt;=p_dias_backlog_max))</f>
        <v/>
      </c>
      <c r="AE953" s="6" t="n"/>
      <c r="AF9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3" s="11">
        <f>IF(tblOrdenes[[#This Row],[orden]]="","",_xlfn.XLOOKUP(tblOrdenes[[#This Row],[id_operacion]],tblEjecucion[id_operacion],tblEjecucion[precio],0))</f>
        <v/>
      </c>
      <c r="AJ953" s="11">
        <f>IF(tblOrdenes[[#This Row],[orden]]="","",MAX(0,_xlfn.XLOOKUP(tblOrdenes[[#This Row],[id_operacion]],tblEjecucion[id_operacion],tblEjecucion[costo_plan_total],0)-tblOrdenes[[#This Row],[costo_servicio]]))</f>
        <v/>
      </c>
      <c r="AK953" s="11">
        <f>IF(tblOrdenes[[#This Row],[orden]]="","",tblOrdenes[[#This Row],[costo_servicio]]+tblOrdenes[[#This Row],[costo_materiales]])</f>
        <v/>
      </c>
      <c r="AL953" s="6" t="n"/>
      <c r="AM953" s="6" t="n"/>
      <c r="AN953" s="6" t="n"/>
      <c r="AO953" s="3">
        <f>IF(tblOrdenes[[#This Row],[link_checklist]]="","",HYPERLINK(p_ruta_base_checklists&amp;tblOrdenes[[#This Row],[link_checklist]],"abrir"))</f>
        <v/>
      </c>
      <c r="AP953" s="6" t="n"/>
      <c r="AQ953" s="3">
        <f>IF(tblOrdenes[[#This Row],[orden]]="","",tblOrdenes[[#This Row],[orden]]&amp;IF(tblOrdenes[[#This Row],[operacion]]="","0010",tblOrdenes[[#This Row],[operacion]]))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2" t="n"/>
      <c r="K954" s="3" t="n"/>
      <c r="L954" s="11" t="n"/>
      <c r="M9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4" s="3">
        <f>IF(tblOrdenes[[#This Row],[fecha_inicio]]="","",YEAR(tblOrdenes[[#This Row],[fecha_inicio]]))</f>
        <v/>
      </c>
      <c r="Q954" s="3">
        <f>IF(tblOrdenes[[#This Row],[fecha_inicio]]="","",MONTH(tblOrdenes[[#This Row],[fecha_inicio]]))</f>
        <v/>
      </c>
      <c r="R954" s="3">
        <f>IF(tblOrdenes[[#This Row],[fecha_inicio]]="","",INDEX(lista_dias,WEEKDAY(tblOrdenes[[#This Row],[fecha_inicio]],2)))</f>
        <v/>
      </c>
      <c r="S9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4" s="3">
        <f>IF(tblOrdenes[[#This Row],[tipo_ot]]="","",_xlfn.XLOOKUP(tblOrdenes[[#This Row],[tipo_ot]],tblTiposOT[codigo],tblTiposOT[clasificacion],"sin_clasificar"))</f>
        <v/>
      </c>
      <c r="U954" s="3">
        <f>IF(tblOrdenes[[#This Row],[centro_costo]]="","",_xlfn.XLOOKUP(tblOrdenes[[#This Row],[centro_costo]],tblCECO[codigo],tblCECO[linea],"(sin catálogo)"))</f>
        <v/>
      </c>
      <c r="V954" s="3">
        <f>IF(tblOrdenes[[#This Row],[centro_costo]]="","",_xlfn.XLOOKUP(tblOrdenes[[#This Row],[centro_costo]],tblCECO[codigo],tblCECO[area],"(sin catálogo)"))</f>
        <v/>
      </c>
      <c r="W9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4" s="3">
        <f>IF(tblOrdenes[[#This Row],[centro_costo]]="","",_xlfn.XLOOKUP(tblOrdenes[[#This Row],[centro_costo]],tblCECO[codigo],tblCECO[coordinador],"(sin catálogo)"))</f>
        <v/>
      </c>
      <c r="Y954" s="3">
        <f>IF(tblOrdenes[[#This Row],[puesto_trabajo]]="","",_xlfn.XLOOKUP(tblOrdenes[[#This Row],[puesto_trabajo]],tblPuestos[codigo],tblPuestos[especialidad],"(sin catálogo)"))</f>
        <v/>
      </c>
      <c r="Z954" s="3">
        <f>IF(tblOrdenes[[#This Row],[cod_actividad]]="","",_xlfn.XLOOKUP(tblOrdenes[[#This Row],[cod_actividad]],tblActividades[codigo],tblActividades[descripcion],"(sin catálogo)"))</f>
        <v/>
      </c>
      <c r="AA954" s="13">
        <f>IF(tblOrdenes[[#This Row],[fecha_inicio]]="","",TODAY()-tblOrdenes[[#This Row],[fecha_inicio]])</f>
        <v/>
      </c>
      <c r="AB9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4" s="3">
        <f>IF(tblOrdenes[[#This Row],[backlog_habiles]]="","",IF(tblOrdenes[[#This Row],[backlog_habiles]]&lt;0,"FUTURO",IF(tblOrdenes[[#This Row],[backlog_habiles]]&gt;p_dias_backlog_max,"BACKLOG","MES CORRIENTE")))</f>
        <v/>
      </c>
      <c r="AD954" s="3">
        <f>IF(tblOrdenes[[#This Row],[backlog_habiles]]="",FALSE,AND(tblOrdenes[[#This Row],[backlog_habiles]]&gt;p_dias_backlog_min,tblOrdenes[[#This Row],[backlog_habiles]]&lt;=p_dias_backlog_max))</f>
        <v/>
      </c>
      <c r="AE954" s="6" t="n"/>
      <c r="AF9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4" s="11">
        <f>IF(tblOrdenes[[#This Row],[orden]]="","",_xlfn.XLOOKUP(tblOrdenes[[#This Row],[id_operacion]],tblEjecucion[id_operacion],tblEjecucion[precio],0))</f>
        <v/>
      </c>
      <c r="AJ954" s="11">
        <f>IF(tblOrdenes[[#This Row],[orden]]="","",MAX(0,_xlfn.XLOOKUP(tblOrdenes[[#This Row],[id_operacion]],tblEjecucion[id_operacion],tblEjecucion[costo_plan_total],0)-tblOrdenes[[#This Row],[costo_servicio]]))</f>
        <v/>
      </c>
      <c r="AK954" s="11">
        <f>IF(tblOrdenes[[#This Row],[orden]]="","",tblOrdenes[[#This Row],[costo_servicio]]+tblOrdenes[[#This Row],[costo_materiales]])</f>
        <v/>
      </c>
      <c r="AL954" s="6" t="n"/>
      <c r="AM954" s="6" t="n"/>
      <c r="AN954" s="6" t="n"/>
      <c r="AO954" s="3">
        <f>IF(tblOrdenes[[#This Row],[link_checklist]]="","",HYPERLINK(p_ruta_base_checklists&amp;tblOrdenes[[#This Row],[link_checklist]],"abrir"))</f>
        <v/>
      </c>
      <c r="AP954" s="6" t="n"/>
      <c r="AQ954" s="3">
        <f>IF(tblOrdenes[[#This Row],[orden]]="","",tblOrdenes[[#This Row],[orden]]&amp;IF(tblOrdenes[[#This Row],[operacion]]="","0010",tblOrdenes[[#This Row],[operacion]]))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2" t="n"/>
      <c r="K955" s="3" t="n"/>
      <c r="L955" s="11" t="n"/>
      <c r="M9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5" s="3">
        <f>IF(tblOrdenes[[#This Row],[fecha_inicio]]="","",YEAR(tblOrdenes[[#This Row],[fecha_inicio]]))</f>
        <v/>
      </c>
      <c r="Q955" s="3">
        <f>IF(tblOrdenes[[#This Row],[fecha_inicio]]="","",MONTH(tblOrdenes[[#This Row],[fecha_inicio]]))</f>
        <v/>
      </c>
      <c r="R955" s="3">
        <f>IF(tblOrdenes[[#This Row],[fecha_inicio]]="","",INDEX(lista_dias,WEEKDAY(tblOrdenes[[#This Row],[fecha_inicio]],2)))</f>
        <v/>
      </c>
      <c r="S9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5" s="3">
        <f>IF(tblOrdenes[[#This Row],[tipo_ot]]="","",_xlfn.XLOOKUP(tblOrdenes[[#This Row],[tipo_ot]],tblTiposOT[codigo],tblTiposOT[clasificacion],"sin_clasificar"))</f>
        <v/>
      </c>
      <c r="U955" s="3">
        <f>IF(tblOrdenes[[#This Row],[centro_costo]]="","",_xlfn.XLOOKUP(tblOrdenes[[#This Row],[centro_costo]],tblCECO[codigo],tblCECO[linea],"(sin catálogo)"))</f>
        <v/>
      </c>
      <c r="V955" s="3">
        <f>IF(tblOrdenes[[#This Row],[centro_costo]]="","",_xlfn.XLOOKUP(tblOrdenes[[#This Row],[centro_costo]],tblCECO[codigo],tblCECO[area],"(sin catálogo)"))</f>
        <v/>
      </c>
      <c r="W9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5" s="3">
        <f>IF(tblOrdenes[[#This Row],[centro_costo]]="","",_xlfn.XLOOKUP(tblOrdenes[[#This Row],[centro_costo]],tblCECO[codigo],tblCECO[coordinador],"(sin catálogo)"))</f>
        <v/>
      </c>
      <c r="Y955" s="3">
        <f>IF(tblOrdenes[[#This Row],[puesto_trabajo]]="","",_xlfn.XLOOKUP(tblOrdenes[[#This Row],[puesto_trabajo]],tblPuestos[codigo],tblPuestos[especialidad],"(sin catálogo)"))</f>
        <v/>
      </c>
      <c r="Z955" s="3">
        <f>IF(tblOrdenes[[#This Row],[cod_actividad]]="","",_xlfn.XLOOKUP(tblOrdenes[[#This Row],[cod_actividad]],tblActividades[codigo],tblActividades[descripcion],"(sin catálogo)"))</f>
        <v/>
      </c>
      <c r="AA955" s="13">
        <f>IF(tblOrdenes[[#This Row],[fecha_inicio]]="","",TODAY()-tblOrdenes[[#This Row],[fecha_inicio]])</f>
        <v/>
      </c>
      <c r="AB9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5" s="3">
        <f>IF(tblOrdenes[[#This Row],[backlog_habiles]]="","",IF(tblOrdenes[[#This Row],[backlog_habiles]]&lt;0,"FUTURO",IF(tblOrdenes[[#This Row],[backlog_habiles]]&gt;p_dias_backlog_max,"BACKLOG","MES CORRIENTE")))</f>
        <v/>
      </c>
      <c r="AD955" s="3">
        <f>IF(tblOrdenes[[#This Row],[backlog_habiles]]="",FALSE,AND(tblOrdenes[[#This Row],[backlog_habiles]]&gt;p_dias_backlog_min,tblOrdenes[[#This Row],[backlog_habiles]]&lt;=p_dias_backlog_max))</f>
        <v/>
      </c>
      <c r="AE955" s="6" t="n"/>
      <c r="AF9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5" s="11">
        <f>IF(tblOrdenes[[#This Row],[orden]]="","",_xlfn.XLOOKUP(tblOrdenes[[#This Row],[id_operacion]],tblEjecucion[id_operacion],tblEjecucion[precio],0))</f>
        <v/>
      </c>
      <c r="AJ955" s="11">
        <f>IF(tblOrdenes[[#This Row],[orden]]="","",MAX(0,_xlfn.XLOOKUP(tblOrdenes[[#This Row],[id_operacion]],tblEjecucion[id_operacion],tblEjecucion[costo_plan_total],0)-tblOrdenes[[#This Row],[costo_servicio]]))</f>
        <v/>
      </c>
      <c r="AK955" s="11">
        <f>IF(tblOrdenes[[#This Row],[orden]]="","",tblOrdenes[[#This Row],[costo_servicio]]+tblOrdenes[[#This Row],[costo_materiales]])</f>
        <v/>
      </c>
      <c r="AL955" s="6" t="n"/>
      <c r="AM955" s="6" t="n"/>
      <c r="AN955" s="6" t="n"/>
      <c r="AO955" s="3">
        <f>IF(tblOrdenes[[#This Row],[link_checklist]]="","",HYPERLINK(p_ruta_base_checklists&amp;tblOrdenes[[#This Row],[link_checklist]],"abrir"))</f>
        <v/>
      </c>
      <c r="AP955" s="6" t="n"/>
      <c r="AQ955" s="3">
        <f>IF(tblOrdenes[[#This Row],[orden]]="","",tblOrdenes[[#This Row],[orden]]&amp;IF(tblOrdenes[[#This Row],[operacion]]="","0010",tblOrdenes[[#This Row],[operacion]]))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2" t="n"/>
      <c r="K956" s="3" t="n"/>
      <c r="L956" s="11" t="n"/>
      <c r="M9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6" s="3">
        <f>IF(tblOrdenes[[#This Row],[fecha_inicio]]="","",YEAR(tblOrdenes[[#This Row],[fecha_inicio]]))</f>
        <v/>
      </c>
      <c r="Q956" s="3">
        <f>IF(tblOrdenes[[#This Row],[fecha_inicio]]="","",MONTH(tblOrdenes[[#This Row],[fecha_inicio]]))</f>
        <v/>
      </c>
      <c r="R956" s="3">
        <f>IF(tblOrdenes[[#This Row],[fecha_inicio]]="","",INDEX(lista_dias,WEEKDAY(tblOrdenes[[#This Row],[fecha_inicio]],2)))</f>
        <v/>
      </c>
      <c r="S9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6" s="3">
        <f>IF(tblOrdenes[[#This Row],[tipo_ot]]="","",_xlfn.XLOOKUP(tblOrdenes[[#This Row],[tipo_ot]],tblTiposOT[codigo],tblTiposOT[clasificacion],"sin_clasificar"))</f>
        <v/>
      </c>
      <c r="U956" s="3">
        <f>IF(tblOrdenes[[#This Row],[centro_costo]]="","",_xlfn.XLOOKUP(tblOrdenes[[#This Row],[centro_costo]],tblCECO[codigo],tblCECO[linea],"(sin catálogo)"))</f>
        <v/>
      </c>
      <c r="V956" s="3">
        <f>IF(tblOrdenes[[#This Row],[centro_costo]]="","",_xlfn.XLOOKUP(tblOrdenes[[#This Row],[centro_costo]],tblCECO[codigo],tblCECO[area],"(sin catálogo)"))</f>
        <v/>
      </c>
      <c r="W9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6" s="3">
        <f>IF(tblOrdenes[[#This Row],[centro_costo]]="","",_xlfn.XLOOKUP(tblOrdenes[[#This Row],[centro_costo]],tblCECO[codigo],tblCECO[coordinador],"(sin catálogo)"))</f>
        <v/>
      </c>
      <c r="Y956" s="3">
        <f>IF(tblOrdenes[[#This Row],[puesto_trabajo]]="","",_xlfn.XLOOKUP(tblOrdenes[[#This Row],[puesto_trabajo]],tblPuestos[codigo],tblPuestos[especialidad],"(sin catálogo)"))</f>
        <v/>
      </c>
      <c r="Z956" s="3">
        <f>IF(tblOrdenes[[#This Row],[cod_actividad]]="","",_xlfn.XLOOKUP(tblOrdenes[[#This Row],[cod_actividad]],tblActividades[codigo],tblActividades[descripcion],"(sin catálogo)"))</f>
        <v/>
      </c>
      <c r="AA956" s="13">
        <f>IF(tblOrdenes[[#This Row],[fecha_inicio]]="","",TODAY()-tblOrdenes[[#This Row],[fecha_inicio]])</f>
        <v/>
      </c>
      <c r="AB9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6" s="3">
        <f>IF(tblOrdenes[[#This Row],[backlog_habiles]]="","",IF(tblOrdenes[[#This Row],[backlog_habiles]]&lt;0,"FUTURO",IF(tblOrdenes[[#This Row],[backlog_habiles]]&gt;p_dias_backlog_max,"BACKLOG","MES CORRIENTE")))</f>
        <v/>
      </c>
      <c r="AD956" s="3">
        <f>IF(tblOrdenes[[#This Row],[backlog_habiles]]="",FALSE,AND(tblOrdenes[[#This Row],[backlog_habiles]]&gt;p_dias_backlog_min,tblOrdenes[[#This Row],[backlog_habiles]]&lt;=p_dias_backlog_max))</f>
        <v/>
      </c>
      <c r="AE956" s="6" t="n"/>
      <c r="AF9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6" s="11">
        <f>IF(tblOrdenes[[#This Row],[orden]]="","",_xlfn.XLOOKUP(tblOrdenes[[#This Row],[id_operacion]],tblEjecucion[id_operacion],tblEjecucion[precio],0))</f>
        <v/>
      </c>
      <c r="AJ956" s="11">
        <f>IF(tblOrdenes[[#This Row],[orden]]="","",MAX(0,_xlfn.XLOOKUP(tblOrdenes[[#This Row],[id_operacion]],tblEjecucion[id_operacion],tblEjecucion[costo_plan_total],0)-tblOrdenes[[#This Row],[costo_servicio]]))</f>
        <v/>
      </c>
      <c r="AK956" s="11">
        <f>IF(tblOrdenes[[#This Row],[orden]]="","",tblOrdenes[[#This Row],[costo_servicio]]+tblOrdenes[[#This Row],[costo_materiales]])</f>
        <v/>
      </c>
      <c r="AL956" s="6" t="n"/>
      <c r="AM956" s="6" t="n"/>
      <c r="AN956" s="6" t="n"/>
      <c r="AO956" s="3">
        <f>IF(tblOrdenes[[#This Row],[link_checklist]]="","",HYPERLINK(p_ruta_base_checklists&amp;tblOrdenes[[#This Row],[link_checklist]],"abrir"))</f>
        <v/>
      </c>
      <c r="AP956" s="6" t="n"/>
      <c r="AQ956" s="3">
        <f>IF(tblOrdenes[[#This Row],[orden]]="","",tblOrdenes[[#This Row],[orden]]&amp;IF(tblOrdenes[[#This Row],[operacion]]="","0010",tblOrdenes[[#This Row],[operacion]]))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2" t="n"/>
      <c r="K957" s="3" t="n"/>
      <c r="L957" s="11" t="n"/>
      <c r="M9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7" s="3">
        <f>IF(tblOrdenes[[#This Row],[fecha_inicio]]="","",YEAR(tblOrdenes[[#This Row],[fecha_inicio]]))</f>
        <v/>
      </c>
      <c r="Q957" s="3">
        <f>IF(tblOrdenes[[#This Row],[fecha_inicio]]="","",MONTH(tblOrdenes[[#This Row],[fecha_inicio]]))</f>
        <v/>
      </c>
      <c r="R957" s="3">
        <f>IF(tblOrdenes[[#This Row],[fecha_inicio]]="","",INDEX(lista_dias,WEEKDAY(tblOrdenes[[#This Row],[fecha_inicio]],2)))</f>
        <v/>
      </c>
      <c r="S9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7" s="3">
        <f>IF(tblOrdenes[[#This Row],[tipo_ot]]="","",_xlfn.XLOOKUP(tblOrdenes[[#This Row],[tipo_ot]],tblTiposOT[codigo],tblTiposOT[clasificacion],"sin_clasificar"))</f>
        <v/>
      </c>
      <c r="U957" s="3">
        <f>IF(tblOrdenes[[#This Row],[centro_costo]]="","",_xlfn.XLOOKUP(tblOrdenes[[#This Row],[centro_costo]],tblCECO[codigo],tblCECO[linea],"(sin catálogo)"))</f>
        <v/>
      </c>
      <c r="V957" s="3">
        <f>IF(tblOrdenes[[#This Row],[centro_costo]]="","",_xlfn.XLOOKUP(tblOrdenes[[#This Row],[centro_costo]],tblCECO[codigo],tblCECO[area],"(sin catálogo)"))</f>
        <v/>
      </c>
      <c r="W9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7" s="3">
        <f>IF(tblOrdenes[[#This Row],[centro_costo]]="","",_xlfn.XLOOKUP(tblOrdenes[[#This Row],[centro_costo]],tblCECO[codigo],tblCECO[coordinador],"(sin catálogo)"))</f>
        <v/>
      </c>
      <c r="Y957" s="3">
        <f>IF(tblOrdenes[[#This Row],[puesto_trabajo]]="","",_xlfn.XLOOKUP(tblOrdenes[[#This Row],[puesto_trabajo]],tblPuestos[codigo],tblPuestos[especialidad],"(sin catálogo)"))</f>
        <v/>
      </c>
      <c r="Z957" s="3">
        <f>IF(tblOrdenes[[#This Row],[cod_actividad]]="","",_xlfn.XLOOKUP(tblOrdenes[[#This Row],[cod_actividad]],tblActividades[codigo],tblActividades[descripcion],"(sin catálogo)"))</f>
        <v/>
      </c>
      <c r="AA957" s="13">
        <f>IF(tblOrdenes[[#This Row],[fecha_inicio]]="","",TODAY()-tblOrdenes[[#This Row],[fecha_inicio]])</f>
        <v/>
      </c>
      <c r="AB9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7" s="3">
        <f>IF(tblOrdenes[[#This Row],[backlog_habiles]]="","",IF(tblOrdenes[[#This Row],[backlog_habiles]]&lt;0,"FUTURO",IF(tblOrdenes[[#This Row],[backlog_habiles]]&gt;p_dias_backlog_max,"BACKLOG","MES CORRIENTE")))</f>
        <v/>
      </c>
      <c r="AD957" s="3">
        <f>IF(tblOrdenes[[#This Row],[backlog_habiles]]="",FALSE,AND(tblOrdenes[[#This Row],[backlog_habiles]]&gt;p_dias_backlog_min,tblOrdenes[[#This Row],[backlog_habiles]]&lt;=p_dias_backlog_max))</f>
        <v/>
      </c>
      <c r="AE957" s="6" t="n"/>
      <c r="AF9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7" s="11">
        <f>IF(tblOrdenes[[#This Row],[orden]]="","",_xlfn.XLOOKUP(tblOrdenes[[#This Row],[id_operacion]],tblEjecucion[id_operacion],tblEjecucion[precio],0))</f>
        <v/>
      </c>
      <c r="AJ957" s="11">
        <f>IF(tblOrdenes[[#This Row],[orden]]="","",MAX(0,_xlfn.XLOOKUP(tblOrdenes[[#This Row],[id_operacion]],tblEjecucion[id_operacion],tblEjecucion[costo_plan_total],0)-tblOrdenes[[#This Row],[costo_servicio]]))</f>
        <v/>
      </c>
      <c r="AK957" s="11">
        <f>IF(tblOrdenes[[#This Row],[orden]]="","",tblOrdenes[[#This Row],[costo_servicio]]+tblOrdenes[[#This Row],[costo_materiales]])</f>
        <v/>
      </c>
      <c r="AL957" s="6" t="n"/>
      <c r="AM957" s="6" t="n"/>
      <c r="AN957" s="6" t="n"/>
      <c r="AO957" s="3">
        <f>IF(tblOrdenes[[#This Row],[link_checklist]]="","",HYPERLINK(p_ruta_base_checklists&amp;tblOrdenes[[#This Row],[link_checklist]],"abrir"))</f>
        <v/>
      </c>
      <c r="AP957" s="6" t="n"/>
      <c r="AQ957" s="3">
        <f>IF(tblOrdenes[[#This Row],[orden]]="","",tblOrdenes[[#This Row],[orden]]&amp;IF(tblOrdenes[[#This Row],[operacion]]="","0010",tblOrdenes[[#This Row],[operacion]]))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2" t="n"/>
      <c r="K958" s="3" t="n"/>
      <c r="L958" s="11" t="n"/>
      <c r="M9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8" s="3">
        <f>IF(tblOrdenes[[#This Row],[fecha_inicio]]="","",YEAR(tblOrdenes[[#This Row],[fecha_inicio]]))</f>
        <v/>
      </c>
      <c r="Q958" s="3">
        <f>IF(tblOrdenes[[#This Row],[fecha_inicio]]="","",MONTH(tblOrdenes[[#This Row],[fecha_inicio]]))</f>
        <v/>
      </c>
      <c r="R958" s="3">
        <f>IF(tblOrdenes[[#This Row],[fecha_inicio]]="","",INDEX(lista_dias,WEEKDAY(tblOrdenes[[#This Row],[fecha_inicio]],2)))</f>
        <v/>
      </c>
      <c r="S9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8" s="3">
        <f>IF(tblOrdenes[[#This Row],[tipo_ot]]="","",_xlfn.XLOOKUP(tblOrdenes[[#This Row],[tipo_ot]],tblTiposOT[codigo],tblTiposOT[clasificacion],"sin_clasificar"))</f>
        <v/>
      </c>
      <c r="U958" s="3">
        <f>IF(tblOrdenes[[#This Row],[centro_costo]]="","",_xlfn.XLOOKUP(tblOrdenes[[#This Row],[centro_costo]],tblCECO[codigo],tblCECO[linea],"(sin catálogo)"))</f>
        <v/>
      </c>
      <c r="V958" s="3">
        <f>IF(tblOrdenes[[#This Row],[centro_costo]]="","",_xlfn.XLOOKUP(tblOrdenes[[#This Row],[centro_costo]],tblCECO[codigo],tblCECO[area],"(sin catálogo)"))</f>
        <v/>
      </c>
      <c r="W9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8" s="3">
        <f>IF(tblOrdenes[[#This Row],[centro_costo]]="","",_xlfn.XLOOKUP(tblOrdenes[[#This Row],[centro_costo]],tblCECO[codigo],tblCECO[coordinador],"(sin catálogo)"))</f>
        <v/>
      </c>
      <c r="Y958" s="3">
        <f>IF(tblOrdenes[[#This Row],[puesto_trabajo]]="","",_xlfn.XLOOKUP(tblOrdenes[[#This Row],[puesto_trabajo]],tblPuestos[codigo],tblPuestos[especialidad],"(sin catálogo)"))</f>
        <v/>
      </c>
      <c r="Z958" s="3">
        <f>IF(tblOrdenes[[#This Row],[cod_actividad]]="","",_xlfn.XLOOKUP(tblOrdenes[[#This Row],[cod_actividad]],tblActividades[codigo],tblActividades[descripcion],"(sin catálogo)"))</f>
        <v/>
      </c>
      <c r="AA958" s="13">
        <f>IF(tblOrdenes[[#This Row],[fecha_inicio]]="","",TODAY()-tblOrdenes[[#This Row],[fecha_inicio]])</f>
        <v/>
      </c>
      <c r="AB9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8" s="3">
        <f>IF(tblOrdenes[[#This Row],[backlog_habiles]]="","",IF(tblOrdenes[[#This Row],[backlog_habiles]]&lt;0,"FUTURO",IF(tblOrdenes[[#This Row],[backlog_habiles]]&gt;p_dias_backlog_max,"BACKLOG","MES CORRIENTE")))</f>
        <v/>
      </c>
      <c r="AD958" s="3">
        <f>IF(tblOrdenes[[#This Row],[backlog_habiles]]="",FALSE,AND(tblOrdenes[[#This Row],[backlog_habiles]]&gt;p_dias_backlog_min,tblOrdenes[[#This Row],[backlog_habiles]]&lt;=p_dias_backlog_max))</f>
        <v/>
      </c>
      <c r="AE958" s="6" t="n"/>
      <c r="AF9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8" s="11">
        <f>IF(tblOrdenes[[#This Row],[orden]]="","",_xlfn.XLOOKUP(tblOrdenes[[#This Row],[id_operacion]],tblEjecucion[id_operacion],tblEjecucion[precio],0))</f>
        <v/>
      </c>
      <c r="AJ958" s="11">
        <f>IF(tblOrdenes[[#This Row],[orden]]="","",MAX(0,_xlfn.XLOOKUP(tblOrdenes[[#This Row],[id_operacion]],tblEjecucion[id_operacion],tblEjecucion[costo_plan_total],0)-tblOrdenes[[#This Row],[costo_servicio]]))</f>
        <v/>
      </c>
      <c r="AK958" s="11">
        <f>IF(tblOrdenes[[#This Row],[orden]]="","",tblOrdenes[[#This Row],[costo_servicio]]+tblOrdenes[[#This Row],[costo_materiales]])</f>
        <v/>
      </c>
      <c r="AL958" s="6" t="n"/>
      <c r="AM958" s="6" t="n"/>
      <c r="AN958" s="6" t="n"/>
      <c r="AO958" s="3">
        <f>IF(tblOrdenes[[#This Row],[link_checklist]]="","",HYPERLINK(p_ruta_base_checklists&amp;tblOrdenes[[#This Row],[link_checklist]],"abrir"))</f>
        <v/>
      </c>
      <c r="AP958" s="6" t="n"/>
      <c r="AQ958" s="3">
        <f>IF(tblOrdenes[[#This Row],[orden]]="","",tblOrdenes[[#This Row],[orden]]&amp;IF(tblOrdenes[[#This Row],[operacion]]="","0010",tblOrdenes[[#This Row],[operacion]]))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2" t="n"/>
      <c r="K959" s="3" t="n"/>
      <c r="L959" s="11" t="n"/>
      <c r="M9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9" s="3">
        <f>IF(tblOrdenes[[#This Row],[fecha_inicio]]="","",YEAR(tblOrdenes[[#This Row],[fecha_inicio]]))</f>
        <v/>
      </c>
      <c r="Q959" s="3">
        <f>IF(tblOrdenes[[#This Row],[fecha_inicio]]="","",MONTH(tblOrdenes[[#This Row],[fecha_inicio]]))</f>
        <v/>
      </c>
      <c r="R959" s="3">
        <f>IF(tblOrdenes[[#This Row],[fecha_inicio]]="","",INDEX(lista_dias,WEEKDAY(tblOrdenes[[#This Row],[fecha_inicio]],2)))</f>
        <v/>
      </c>
      <c r="S9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9" s="3">
        <f>IF(tblOrdenes[[#This Row],[tipo_ot]]="","",_xlfn.XLOOKUP(tblOrdenes[[#This Row],[tipo_ot]],tblTiposOT[codigo],tblTiposOT[clasificacion],"sin_clasificar"))</f>
        <v/>
      </c>
      <c r="U959" s="3">
        <f>IF(tblOrdenes[[#This Row],[centro_costo]]="","",_xlfn.XLOOKUP(tblOrdenes[[#This Row],[centro_costo]],tblCECO[codigo],tblCECO[linea],"(sin catálogo)"))</f>
        <v/>
      </c>
      <c r="V959" s="3">
        <f>IF(tblOrdenes[[#This Row],[centro_costo]]="","",_xlfn.XLOOKUP(tblOrdenes[[#This Row],[centro_costo]],tblCECO[codigo],tblCECO[area],"(sin catálogo)"))</f>
        <v/>
      </c>
      <c r="W9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9" s="3">
        <f>IF(tblOrdenes[[#This Row],[centro_costo]]="","",_xlfn.XLOOKUP(tblOrdenes[[#This Row],[centro_costo]],tblCECO[codigo],tblCECO[coordinador],"(sin catálogo)"))</f>
        <v/>
      </c>
      <c r="Y959" s="3">
        <f>IF(tblOrdenes[[#This Row],[puesto_trabajo]]="","",_xlfn.XLOOKUP(tblOrdenes[[#This Row],[puesto_trabajo]],tblPuestos[codigo],tblPuestos[especialidad],"(sin catálogo)"))</f>
        <v/>
      </c>
      <c r="Z959" s="3">
        <f>IF(tblOrdenes[[#This Row],[cod_actividad]]="","",_xlfn.XLOOKUP(tblOrdenes[[#This Row],[cod_actividad]],tblActividades[codigo],tblActividades[descripcion],"(sin catálogo)"))</f>
        <v/>
      </c>
      <c r="AA959" s="13">
        <f>IF(tblOrdenes[[#This Row],[fecha_inicio]]="","",TODAY()-tblOrdenes[[#This Row],[fecha_inicio]])</f>
        <v/>
      </c>
      <c r="AB9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9" s="3">
        <f>IF(tblOrdenes[[#This Row],[backlog_habiles]]="","",IF(tblOrdenes[[#This Row],[backlog_habiles]]&lt;0,"FUTURO",IF(tblOrdenes[[#This Row],[backlog_habiles]]&gt;p_dias_backlog_max,"BACKLOG","MES CORRIENTE")))</f>
        <v/>
      </c>
      <c r="AD959" s="3">
        <f>IF(tblOrdenes[[#This Row],[backlog_habiles]]="",FALSE,AND(tblOrdenes[[#This Row],[backlog_habiles]]&gt;p_dias_backlog_min,tblOrdenes[[#This Row],[backlog_habiles]]&lt;=p_dias_backlog_max))</f>
        <v/>
      </c>
      <c r="AE959" s="6" t="n"/>
      <c r="AF9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9" s="11">
        <f>IF(tblOrdenes[[#This Row],[orden]]="","",_xlfn.XLOOKUP(tblOrdenes[[#This Row],[id_operacion]],tblEjecucion[id_operacion],tblEjecucion[precio],0))</f>
        <v/>
      </c>
      <c r="AJ959" s="11">
        <f>IF(tblOrdenes[[#This Row],[orden]]="","",MAX(0,_xlfn.XLOOKUP(tblOrdenes[[#This Row],[id_operacion]],tblEjecucion[id_operacion],tblEjecucion[costo_plan_total],0)-tblOrdenes[[#This Row],[costo_servicio]]))</f>
        <v/>
      </c>
      <c r="AK959" s="11">
        <f>IF(tblOrdenes[[#This Row],[orden]]="","",tblOrdenes[[#This Row],[costo_servicio]]+tblOrdenes[[#This Row],[costo_materiales]])</f>
        <v/>
      </c>
      <c r="AL959" s="6" t="n"/>
      <c r="AM959" s="6" t="n"/>
      <c r="AN959" s="6" t="n"/>
      <c r="AO959" s="3">
        <f>IF(tblOrdenes[[#This Row],[link_checklist]]="","",HYPERLINK(p_ruta_base_checklists&amp;tblOrdenes[[#This Row],[link_checklist]],"abrir"))</f>
        <v/>
      </c>
      <c r="AP959" s="6" t="n"/>
      <c r="AQ959" s="3">
        <f>IF(tblOrdenes[[#This Row],[orden]]="","",tblOrdenes[[#This Row],[orden]]&amp;IF(tblOrdenes[[#This Row],[operacion]]="","0010",tblOrdenes[[#This Row],[operacion]]))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2" t="n"/>
      <c r="K960" s="3" t="n"/>
      <c r="L960" s="11" t="n"/>
      <c r="M9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0" s="3">
        <f>IF(tblOrdenes[[#This Row],[fecha_inicio]]="","",YEAR(tblOrdenes[[#This Row],[fecha_inicio]]))</f>
        <v/>
      </c>
      <c r="Q960" s="3">
        <f>IF(tblOrdenes[[#This Row],[fecha_inicio]]="","",MONTH(tblOrdenes[[#This Row],[fecha_inicio]]))</f>
        <v/>
      </c>
      <c r="R960" s="3">
        <f>IF(tblOrdenes[[#This Row],[fecha_inicio]]="","",INDEX(lista_dias,WEEKDAY(tblOrdenes[[#This Row],[fecha_inicio]],2)))</f>
        <v/>
      </c>
      <c r="S9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0" s="3">
        <f>IF(tblOrdenes[[#This Row],[tipo_ot]]="","",_xlfn.XLOOKUP(tblOrdenes[[#This Row],[tipo_ot]],tblTiposOT[codigo],tblTiposOT[clasificacion],"sin_clasificar"))</f>
        <v/>
      </c>
      <c r="U960" s="3">
        <f>IF(tblOrdenes[[#This Row],[centro_costo]]="","",_xlfn.XLOOKUP(tblOrdenes[[#This Row],[centro_costo]],tblCECO[codigo],tblCECO[linea],"(sin catálogo)"))</f>
        <v/>
      </c>
      <c r="V960" s="3">
        <f>IF(tblOrdenes[[#This Row],[centro_costo]]="","",_xlfn.XLOOKUP(tblOrdenes[[#This Row],[centro_costo]],tblCECO[codigo],tblCECO[area],"(sin catálogo)"))</f>
        <v/>
      </c>
      <c r="W9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0" s="3">
        <f>IF(tblOrdenes[[#This Row],[centro_costo]]="","",_xlfn.XLOOKUP(tblOrdenes[[#This Row],[centro_costo]],tblCECO[codigo],tblCECO[coordinador],"(sin catálogo)"))</f>
        <v/>
      </c>
      <c r="Y960" s="3">
        <f>IF(tblOrdenes[[#This Row],[puesto_trabajo]]="","",_xlfn.XLOOKUP(tblOrdenes[[#This Row],[puesto_trabajo]],tblPuestos[codigo],tblPuestos[especialidad],"(sin catálogo)"))</f>
        <v/>
      </c>
      <c r="Z960" s="3">
        <f>IF(tblOrdenes[[#This Row],[cod_actividad]]="","",_xlfn.XLOOKUP(tblOrdenes[[#This Row],[cod_actividad]],tblActividades[codigo],tblActividades[descripcion],"(sin catálogo)"))</f>
        <v/>
      </c>
      <c r="AA960" s="13">
        <f>IF(tblOrdenes[[#This Row],[fecha_inicio]]="","",TODAY()-tblOrdenes[[#This Row],[fecha_inicio]])</f>
        <v/>
      </c>
      <c r="AB9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0" s="3">
        <f>IF(tblOrdenes[[#This Row],[backlog_habiles]]="","",IF(tblOrdenes[[#This Row],[backlog_habiles]]&lt;0,"FUTURO",IF(tblOrdenes[[#This Row],[backlog_habiles]]&gt;p_dias_backlog_max,"BACKLOG","MES CORRIENTE")))</f>
        <v/>
      </c>
      <c r="AD960" s="3">
        <f>IF(tblOrdenes[[#This Row],[backlog_habiles]]="",FALSE,AND(tblOrdenes[[#This Row],[backlog_habiles]]&gt;p_dias_backlog_min,tblOrdenes[[#This Row],[backlog_habiles]]&lt;=p_dias_backlog_max))</f>
        <v/>
      </c>
      <c r="AE960" s="6" t="n"/>
      <c r="AF9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0" s="11">
        <f>IF(tblOrdenes[[#This Row],[orden]]="","",_xlfn.XLOOKUP(tblOrdenes[[#This Row],[id_operacion]],tblEjecucion[id_operacion],tblEjecucion[precio],0))</f>
        <v/>
      </c>
      <c r="AJ960" s="11">
        <f>IF(tblOrdenes[[#This Row],[orden]]="","",MAX(0,_xlfn.XLOOKUP(tblOrdenes[[#This Row],[id_operacion]],tblEjecucion[id_operacion],tblEjecucion[costo_plan_total],0)-tblOrdenes[[#This Row],[costo_servicio]]))</f>
        <v/>
      </c>
      <c r="AK960" s="11">
        <f>IF(tblOrdenes[[#This Row],[orden]]="","",tblOrdenes[[#This Row],[costo_servicio]]+tblOrdenes[[#This Row],[costo_materiales]])</f>
        <v/>
      </c>
      <c r="AL960" s="6" t="n"/>
      <c r="AM960" s="6" t="n"/>
      <c r="AN960" s="6" t="n"/>
      <c r="AO960" s="3">
        <f>IF(tblOrdenes[[#This Row],[link_checklist]]="","",HYPERLINK(p_ruta_base_checklists&amp;tblOrdenes[[#This Row],[link_checklist]],"abrir"))</f>
        <v/>
      </c>
      <c r="AP960" s="6" t="n"/>
      <c r="AQ960" s="3">
        <f>IF(tblOrdenes[[#This Row],[orden]]="","",tblOrdenes[[#This Row],[orden]]&amp;IF(tblOrdenes[[#This Row],[operacion]]="","0010",tblOrdenes[[#This Row],[operacion]]))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2" t="n"/>
      <c r="K961" s="3" t="n"/>
      <c r="L961" s="11" t="n"/>
      <c r="M9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1" s="3">
        <f>IF(tblOrdenes[[#This Row],[fecha_inicio]]="","",YEAR(tblOrdenes[[#This Row],[fecha_inicio]]))</f>
        <v/>
      </c>
      <c r="Q961" s="3">
        <f>IF(tblOrdenes[[#This Row],[fecha_inicio]]="","",MONTH(tblOrdenes[[#This Row],[fecha_inicio]]))</f>
        <v/>
      </c>
      <c r="R961" s="3">
        <f>IF(tblOrdenes[[#This Row],[fecha_inicio]]="","",INDEX(lista_dias,WEEKDAY(tblOrdenes[[#This Row],[fecha_inicio]],2)))</f>
        <v/>
      </c>
      <c r="S9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1" s="3">
        <f>IF(tblOrdenes[[#This Row],[tipo_ot]]="","",_xlfn.XLOOKUP(tblOrdenes[[#This Row],[tipo_ot]],tblTiposOT[codigo],tblTiposOT[clasificacion],"sin_clasificar"))</f>
        <v/>
      </c>
      <c r="U961" s="3">
        <f>IF(tblOrdenes[[#This Row],[centro_costo]]="","",_xlfn.XLOOKUP(tblOrdenes[[#This Row],[centro_costo]],tblCECO[codigo],tblCECO[linea],"(sin catálogo)"))</f>
        <v/>
      </c>
      <c r="V961" s="3">
        <f>IF(tblOrdenes[[#This Row],[centro_costo]]="","",_xlfn.XLOOKUP(tblOrdenes[[#This Row],[centro_costo]],tblCECO[codigo],tblCECO[area],"(sin catálogo)"))</f>
        <v/>
      </c>
      <c r="W9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1" s="3">
        <f>IF(tblOrdenes[[#This Row],[centro_costo]]="","",_xlfn.XLOOKUP(tblOrdenes[[#This Row],[centro_costo]],tblCECO[codigo],tblCECO[coordinador],"(sin catálogo)"))</f>
        <v/>
      </c>
      <c r="Y961" s="3">
        <f>IF(tblOrdenes[[#This Row],[puesto_trabajo]]="","",_xlfn.XLOOKUP(tblOrdenes[[#This Row],[puesto_trabajo]],tblPuestos[codigo],tblPuestos[especialidad],"(sin catálogo)"))</f>
        <v/>
      </c>
      <c r="Z961" s="3">
        <f>IF(tblOrdenes[[#This Row],[cod_actividad]]="","",_xlfn.XLOOKUP(tblOrdenes[[#This Row],[cod_actividad]],tblActividades[codigo],tblActividades[descripcion],"(sin catálogo)"))</f>
        <v/>
      </c>
      <c r="AA961" s="13">
        <f>IF(tblOrdenes[[#This Row],[fecha_inicio]]="","",TODAY()-tblOrdenes[[#This Row],[fecha_inicio]])</f>
        <v/>
      </c>
      <c r="AB9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1" s="3">
        <f>IF(tblOrdenes[[#This Row],[backlog_habiles]]="","",IF(tblOrdenes[[#This Row],[backlog_habiles]]&lt;0,"FUTURO",IF(tblOrdenes[[#This Row],[backlog_habiles]]&gt;p_dias_backlog_max,"BACKLOG","MES CORRIENTE")))</f>
        <v/>
      </c>
      <c r="AD961" s="3">
        <f>IF(tblOrdenes[[#This Row],[backlog_habiles]]="",FALSE,AND(tblOrdenes[[#This Row],[backlog_habiles]]&gt;p_dias_backlog_min,tblOrdenes[[#This Row],[backlog_habiles]]&lt;=p_dias_backlog_max))</f>
        <v/>
      </c>
      <c r="AE961" s="6" t="n"/>
      <c r="AF9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1" s="11">
        <f>IF(tblOrdenes[[#This Row],[orden]]="","",_xlfn.XLOOKUP(tblOrdenes[[#This Row],[id_operacion]],tblEjecucion[id_operacion],tblEjecucion[precio],0))</f>
        <v/>
      </c>
      <c r="AJ961" s="11">
        <f>IF(tblOrdenes[[#This Row],[orden]]="","",MAX(0,_xlfn.XLOOKUP(tblOrdenes[[#This Row],[id_operacion]],tblEjecucion[id_operacion],tblEjecucion[costo_plan_total],0)-tblOrdenes[[#This Row],[costo_servicio]]))</f>
        <v/>
      </c>
      <c r="AK961" s="11">
        <f>IF(tblOrdenes[[#This Row],[orden]]="","",tblOrdenes[[#This Row],[costo_servicio]]+tblOrdenes[[#This Row],[costo_materiales]])</f>
        <v/>
      </c>
      <c r="AL961" s="6" t="n"/>
      <c r="AM961" s="6" t="n"/>
      <c r="AN961" s="6" t="n"/>
      <c r="AO961" s="3">
        <f>IF(tblOrdenes[[#This Row],[link_checklist]]="","",HYPERLINK(p_ruta_base_checklists&amp;tblOrdenes[[#This Row],[link_checklist]],"abrir"))</f>
        <v/>
      </c>
      <c r="AP961" s="6" t="n"/>
      <c r="AQ961" s="3">
        <f>IF(tblOrdenes[[#This Row],[orden]]="","",tblOrdenes[[#This Row],[orden]]&amp;IF(tblOrdenes[[#This Row],[operacion]]="","0010",tblOrdenes[[#This Row],[operacion]]))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2" t="n"/>
      <c r="K962" s="3" t="n"/>
      <c r="L962" s="11" t="n"/>
      <c r="M9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2" s="3">
        <f>IF(tblOrdenes[[#This Row],[fecha_inicio]]="","",YEAR(tblOrdenes[[#This Row],[fecha_inicio]]))</f>
        <v/>
      </c>
      <c r="Q962" s="3">
        <f>IF(tblOrdenes[[#This Row],[fecha_inicio]]="","",MONTH(tblOrdenes[[#This Row],[fecha_inicio]]))</f>
        <v/>
      </c>
      <c r="R962" s="3">
        <f>IF(tblOrdenes[[#This Row],[fecha_inicio]]="","",INDEX(lista_dias,WEEKDAY(tblOrdenes[[#This Row],[fecha_inicio]],2)))</f>
        <v/>
      </c>
      <c r="S9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2" s="3">
        <f>IF(tblOrdenes[[#This Row],[tipo_ot]]="","",_xlfn.XLOOKUP(tblOrdenes[[#This Row],[tipo_ot]],tblTiposOT[codigo],tblTiposOT[clasificacion],"sin_clasificar"))</f>
        <v/>
      </c>
      <c r="U962" s="3">
        <f>IF(tblOrdenes[[#This Row],[centro_costo]]="","",_xlfn.XLOOKUP(tblOrdenes[[#This Row],[centro_costo]],tblCECO[codigo],tblCECO[linea],"(sin catálogo)"))</f>
        <v/>
      </c>
      <c r="V962" s="3">
        <f>IF(tblOrdenes[[#This Row],[centro_costo]]="","",_xlfn.XLOOKUP(tblOrdenes[[#This Row],[centro_costo]],tblCECO[codigo],tblCECO[area],"(sin catálogo)"))</f>
        <v/>
      </c>
      <c r="W9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2" s="3">
        <f>IF(tblOrdenes[[#This Row],[centro_costo]]="","",_xlfn.XLOOKUP(tblOrdenes[[#This Row],[centro_costo]],tblCECO[codigo],tblCECO[coordinador],"(sin catálogo)"))</f>
        <v/>
      </c>
      <c r="Y962" s="3">
        <f>IF(tblOrdenes[[#This Row],[puesto_trabajo]]="","",_xlfn.XLOOKUP(tblOrdenes[[#This Row],[puesto_trabajo]],tblPuestos[codigo],tblPuestos[especialidad],"(sin catálogo)"))</f>
        <v/>
      </c>
      <c r="Z962" s="3">
        <f>IF(tblOrdenes[[#This Row],[cod_actividad]]="","",_xlfn.XLOOKUP(tblOrdenes[[#This Row],[cod_actividad]],tblActividades[codigo],tblActividades[descripcion],"(sin catálogo)"))</f>
        <v/>
      </c>
      <c r="AA962" s="13">
        <f>IF(tblOrdenes[[#This Row],[fecha_inicio]]="","",TODAY()-tblOrdenes[[#This Row],[fecha_inicio]])</f>
        <v/>
      </c>
      <c r="AB9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2" s="3">
        <f>IF(tblOrdenes[[#This Row],[backlog_habiles]]="","",IF(tblOrdenes[[#This Row],[backlog_habiles]]&lt;0,"FUTURO",IF(tblOrdenes[[#This Row],[backlog_habiles]]&gt;p_dias_backlog_max,"BACKLOG","MES CORRIENTE")))</f>
        <v/>
      </c>
      <c r="AD962" s="3">
        <f>IF(tblOrdenes[[#This Row],[backlog_habiles]]="",FALSE,AND(tblOrdenes[[#This Row],[backlog_habiles]]&gt;p_dias_backlog_min,tblOrdenes[[#This Row],[backlog_habiles]]&lt;=p_dias_backlog_max))</f>
        <v/>
      </c>
      <c r="AE962" s="6" t="n"/>
      <c r="AF9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2" s="11">
        <f>IF(tblOrdenes[[#This Row],[orden]]="","",_xlfn.XLOOKUP(tblOrdenes[[#This Row],[id_operacion]],tblEjecucion[id_operacion],tblEjecucion[precio],0))</f>
        <v/>
      </c>
      <c r="AJ962" s="11">
        <f>IF(tblOrdenes[[#This Row],[orden]]="","",MAX(0,_xlfn.XLOOKUP(tblOrdenes[[#This Row],[id_operacion]],tblEjecucion[id_operacion],tblEjecucion[costo_plan_total],0)-tblOrdenes[[#This Row],[costo_servicio]]))</f>
        <v/>
      </c>
      <c r="AK962" s="11">
        <f>IF(tblOrdenes[[#This Row],[orden]]="","",tblOrdenes[[#This Row],[costo_servicio]]+tblOrdenes[[#This Row],[costo_materiales]])</f>
        <v/>
      </c>
      <c r="AL962" s="6" t="n"/>
      <c r="AM962" s="6" t="n"/>
      <c r="AN962" s="6" t="n"/>
      <c r="AO962" s="3">
        <f>IF(tblOrdenes[[#This Row],[link_checklist]]="","",HYPERLINK(p_ruta_base_checklists&amp;tblOrdenes[[#This Row],[link_checklist]],"abrir"))</f>
        <v/>
      </c>
      <c r="AP962" s="6" t="n"/>
      <c r="AQ962" s="3">
        <f>IF(tblOrdenes[[#This Row],[orden]]="","",tblOrdenes[[#This Row],[orden]]&amp;IF(tblOrdenes[[#This Row],[operacion]]="","0010",tblOrdenes[[#This Row],[operacion]]))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2" t="n"/>
      <c r="K963" s="3" t="n"/>
      <c r="L963" s="11" t="n"/>
      <c r="M9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3" s="3">
        <f>IF(tblOrdenes[[#This Row],[fecha_inicio]]="","",YEAR(tblOrdenes[[#This Row],[fecha_inicio]]))</f>
        <v/>
      </c>
      <c r="Q963" s="3">
        <f>IF(tblOrdenes[[#This Row],[fecha_inicio]]="","",MONTH(tblOrdenes[[#This Row],[fecha_inicio]]))</f>
        <v/>
      </c>
      <c r="R963" s="3">
        <f>IF(tblOrdenes[[#This Row],[fecha_inicio]]="","",INDEX(lista_dias,WEEKDAY(tblOrdenes[[#This Row],[fecha_inicio]],2)))</f>
        <v/>
      </c>
      <c r="S9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3" s="3">
        <f>IF(tblOrdenes[[#This Row],[tipo_ot]]="","",_xlfn.XLOOKUP(tblOrdenes[[#This Row],[tipo_ot]],tblTiposOT[codigo],tblTiposOT[clasificacion],"sin_clasificar"))</f>
        <v/>
      </c>
      <c r="U963" s="3">
        <f>IF(tblOrdenes[[#This Row],[centro_costo]]="","",_xlfn.XLOOKUP(tblOrdenes[[#This Row],[centro_costo]],tblCECO[codigo],tblCECO[linea],"(sin catálogo)"))</f>
        <v/>
      </c>
      <c r="V963" s="3">
        <f>IF(tblOrdenes[[#This Row],[centro_costo]]="","",_xlfn.XLOOKUP(tblOrdenes[[#This Row],[centro_costo]],tblCECO[codigo],tblCECO[area],"(sin catálogo)"))</f>
        <v/>
      </c>
      <c r="W9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3" s="3">
        <f>IF(tblOrdenes[[#This Row],[centro_costo]]="","",_xlfn.XLOOKUP(tblOrdenes[[#This Row],[centro_costo]],tblCECO[codigo],tblCECO[coordinador],"(sin catálogo)"))</f>
        <v/>
      </c>
      <c r="Y963" s="3">
        <f>IF(tblOrdenes[[#This Row],[puesto_trabajo]]="","",_xlfn.XLOOKUP(tblOrdenes[[#This Row],[puesto_trabajo]],tblPuestos[codigo],tblPuestos[especialidad],"(sin catálogo)"))</f>
        <v/>
      </c>
      <c r="Z963" s="3">
        <f>IF(tblOrdenes[[#This Row],[cod_actividad]]="","",_xlfn.XLOOKUP(tblOrdenes[[#This Row],[cod_actividad]],tblActividades[codigo],tblActividades[descripcion],"(sin catálogo)"))</f>
        <v/>
      </c>
      <c r="AA963" s="13">
        <f>IF(tblOrdenes[[#This Row],[fecha_inicio]]="","",TODAY()-tblOrdenes[[#This Row],[fecha_inicio]])</f>
        <v/>
      </c>
      <c r="AB9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3" s="3">
        <f>IF(tblOrdenes[[#This Row],[backlog_habiles]]="","",IF(tblOrdenes[[#This Row],[backlog_habiles]]&lt;0,"FUTURO",IF(tblOrdenes[[#This Row],[backlog_habiles]]&gt;p_dias_backlog_max,"BACKLOG","MES CORRIENTE")))</f>
        <v/>
      </c>
      <c r="AD963" s="3">
        <f>IF(tblOrdenes[[#This Row],[backlog_habiles]]="",FALSE,AND(tblOrdenes[[#This Row],[backlog_habiles]]&gt;p_dias_backlog_min,tblOrdenes[[#This Row],[backlog_habiles]]&lt;=p_dias_backlog_max))</f>
        <v/>
      </c>
      <c r="AE963" s="6" t="n"/>
      <c r="AF9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3" s="11">
        <f>IF(tblOrdenes[[#This Row],[orden]]="","",_xlfn.XLOOKUP(tblOrdenes[[#This Row],[id_operacion]],tblEjecucion[id_operacion],tblEjecucion[precio],0))</f>
        <v/>
      </c>
      <c r="AJ963" s="11">
        <f>IF(tblOrdenes[[#This Row],[orden]]="","",MAX(0,_xlfn.XLOOKUP(tblOrdenes[[#This Row],[id_operacion]],tblEjecucion[id_operacion],tblEjecucion[costo_plan_total],0)-tblOrdenes[[#This Row],[costo_servicio]]))</f>
        <v/>
      </c>
      <c r="AK963" s="11">
        <f>IF(tblOrdenes[[#This Row],[orden]]="","",tblOrdenes[[#This Row],[costo_servicio]]+tblOrdenes[[#This Row],[costo_materiales]])</f>
        <v/>
      </c>
      <c r="AL963" s="6" t="n"/>
      <c r="AM963" s="6" t="n"/>
      <c r="AN963" s="6" t="n"/>
      <c r="AO963" s="3">
        <f>IF(tblOrdenes[[#This Row],[link_checklist]]="","",HYPERLINK(p_ruta_base_checklists&amp;tblOrdenes[[#This Row],[link_checklist]],"abrir"))</f>
        <v/>
      </c>
      <c r="AP963" s="6" t="n"/>
      <c r="AQ963" s="3">
        <f>IF(tblOrdenes[[#This Row],[orden]]="","",tblOrdenes[[#This Row],[orden]]&amp;IF(tblOrdenes[[#This Row],[operacion]]="","0010",tblOrdenes[[#This Row],[operacion]]))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2" t="n"/>
      <c r="K964" s="3" t="n"/>
      <c r="L964" s="11" t="n"/>
      <c r="M9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4" s="3">
        <f>IF(tblOrdenes[[#This Row],[fecha_inicio]]="","",YEAR(tblOrdenes[[#This Row],[fecha_inicio]]))</f>
        <v/>
      </c>
      <c r="Q964" s="3">
        <f>IF(tblOrdenes[[#This Row],[fecha_inicio]]="","",MONTH(tblOrdenes[[#This Row],[fecha_inicio]]))</f>
        <v/>
      </c>
      <c r="R964" s="3">
        <f>IF(tblOrdenes[[#This Row],[fecha_inicio]]="","",INDEX(lista_dias,WEEKDAY(tblOrdenes[[#This Row],[fecha_inicio]],2)))</f>
        <v/>
      </c>
      <c r="S9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4" s="3">
        <f>IF(tblOrdenes[[#This Row],[tipo_ot]]="","",_xlfn.XLOOKUP(tblOrdenes[[#This Row],[tipo_ot]],tblTiposOT[codigo],tblTiposOT[clasificacion],"sin_clasificar"))</f>
        <v/>
      </c>
      <c r="U964" s="3">
        <f>IF(tblOrdenes[[#This Row],[centro_costo]]="","",_xlfn.XLOOKUP(tblOrdenes[[#This Row],[centro_costo]],tblCECO[codigo],tblCECO[linea],"(sin catálogo)"))</f>
        <v/>
      </c>
      <c r="V964" s="3">
        <f>IF(tblOrdenes[[#This Row],[centro_costo]]="","",_xlfn.XLOOKUP(tblOrdenes[[#This Row],[centro_costo]],tblCECO[codigo],tblCECO[area],"(sin catálogo)"))</f>
        <v/>
      </c>
      <c r="W9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4" s="3">
        <f>IF(tblOrdenes[[#This Row],[centro_costo]]="","",_xlfn.XLOOKUP(tblOrdenes[[#This Row],[centro_costo]],tblCECO[codigo],tblCECO[coordinador],"(sin catálogo)"))</f>
        <v/>
      </c>
      <c r="Y964" s="3">
        <f>IF(tblOrdenes[[#This Row],[puesto_trabajo]]="","",_xlfn.XLOOKUP(tblOrdenes[[#This Row],[puesto_trabajo]],tblPuestos[codigo],tblPuestos[especialidad],"(sin catálogo)"))</f>
        <v/>
      </c>
      <c r="Z964" s="3">
        <f>IF(tblOrdenes[[#This Row],[cod_actividad]]="","",_xlfn.XLOOKUP(tblOrdenes[[#This Row],[cod_actividad]],tblActividades[codigo],tblActividades[descripcion],"(sin catálogo)"))</f>
        <v/>
      </c>
      <c r="AA964" s="13">
        <f>IF(tblOrdenes[[#This Row],[fecha_inicio]]="","",TODAY()-tblOrdenes[[#This Row],[fecha_inicio]])</f>
        <v/>
      </c>
      <c r="AB9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4" s="3">
        <f>IF(tblOrdenes[[#This Row],[backlog_habiles]]="","",IF(tblOrdenes[[#This Row],[backlog_habiles]]&lt;0,"FUTURO",IF(tblOrdenes[[#This Row],[backlog_habiles]]&gt;p_dias_backlog_max,"BACKLOG","MES CORRIENTE")))</f>
        <v/>
      </c>
      <c r="AD964" s="3">
        <f>IF(tblOrdenes[[#This Row],[backlog_habiles]]="",FALSE,AND(tblOrdenes[[#This Row],[backlog_habiles]]&gt;p_dias_backlog_min,tblOrdenes[[#This Row],[backlog_habiles]]&lt;=p_dias_backlog_max))</f>
        <v/>
      </c>
      <c r="AE964" s="6" t="n"/>
      <c r="AF9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4" s="11">
        <f>IF(tblOrdenes[[#This Row],[orden]]="","",_xlfn.XLOOKUP(tblOrdenes[[#This Row],[id_operacion]],tblEjecucion[id_operacion],tblEjecucion[precio],0))</f>
        <v/>
      </c>
      <c r="AJ964" s="11">
        <f>IF(tblOrdenes[[#This Row],[orden]]="","",MAX(0,_xlfn.XLOOKUP(tblOrdenes[[#This Row],[id_operacion]],tblEjecucion[id_operacion],tblEjecucion[costo_plan_total],0)-tblOrdenes[[#This Row],[costo_servicio]]))</f>
        <v/>
      </c>
      <c r="AK964" s="11">
        <f>IF(tblOrdenes[[#This Row],[orden]]="","",tblOrdenes[[#This Row],[costo_servicio]]+tblOrdenes[[#This Row],[costo_materiales]])</f>
        <v/>
      </c>
      <c r="AL964" s="6" t="n"/>
      <c r="AM964" s="6" t="n"/>
      <c r="AN964" s="6" t="n"/>
      <c r="AO964" s="3">
        <f>IF(tblOrdenes[[#This Row],[link_checklist]]="","",HYPERLINK(p_ruta_base_checklists&amp;tblOrdenes[[#This Row],[link_checklist]],"abrir"))</f>
        <v/>
      </c>
      <c r="AP964" s="6" t="n"/>
      <c r="AQ964" s="3">
        <f>IF(tblOrdenes[[#This Row],[orden]]="","",tblOrdenes[[#This Row],[orden]]&amp;IF(tblOrdenes[[#This Row],[operacion]]="","0010",tblOrdenes[[#This Row],[operacion]]))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2" t="n"/>
      <c r="K965" s="3" t="n"/>
      <c r="L965" s="11" t="n"/>
      <c r="M9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5" s="3">
        <f>IF(tblOrdenes[[#This Row],[fecha_inicio]]="","",YEAR(tblOrdenes[[#This Row],[fecha_inicio]]))</f>
        <v/>
      </c>
      <c r="Q965" s="3">
        <f>IF(tblOrdenes[[#This Row],[fecha_inicio]]="","",MONTH(tblOrdenes[[#This Row],[fecha_inicio]]))</f>
        <v/>
      </c>
      <c r="R965" s="3">
        <f>IF(tblOrdenes[[#This Row],[fecha_inicio]]="","",INDEX(lista_dias,WEEKDAY(tblOrdenes[[#This Row],[fecha_inicio]],2)))</f>
        <v/>
      </c>
      <c r="S9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5" s="3">
        <f>IF(tblOrdenes[[#This Row],[tipo_ot]]="","",_xlfn.XLOOKUP(tblOrdenes[[#This Row],[tipo_ot]],tblTiposOT[codigo],tblTiposOT[clasificacion],"sin_clasificar"))</f>
        <v/>
      </c>
      <c r="U965" s="3">
        <f>IF(tblOrdenes[[#This Row],[centro_costo]]="","",_xlfn.XLOOKUP(tblOrdenes[[#This Row],[centro_costo]],tblCECO[codigo],tblCECO[linea],"(sin catálogo)"))</f>
        <v/>
      </c>
      <c r="V965" s="3">
        <f>IF(tblOrdenes[[#This Row],[centro_costo]]="","",_xlfn.XLOOKUP(tblOrdenes[[#This Row],[centro_costo]],tblCECO[codigo],tblCECO[area],"(sin catálogo)"))</f>
        <v/>
      </c>
      <c r="W9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5" s="3">
        <f>IF(tblOrdenes[[#This Row],[centro_costo]]="","",_xlfn.XLOOKUP(tblOrdenes[[#This Row],[centro_costo]],tblCECO[codigo],tblCECO[coordinador],"(sin catálogo)"))</f>
        <v/>
      </c>
      <c r="Y965" s="3">
        <f>IF(tblOrdenes[[#This Row],[puesto_trabajo]]="","",_xlfn.XLOOKUP(tblOrdenes[[#This Row],[puesto_trabajo]],tblPuestos[codigo],tblPuestos[especialidad],"(sin catálogo)"))</f>
        <v/>
      </c>
      <c r="Z965" s="3">
        <f>IF(tblOrdenes[[#This Row],[cod_actividad]]="","",_xlfn.XLOOKUP(tblOrdenes[[#This Row],[cod_actividad]],tblActividades[codigo],tblActividades[descripcion],"(sin catálogo)"))</f>
        <v/>
      </c>
      <c r="AA965" s="13">
        <f>IF(tblOrdenes[[#This Row],[fecha_inicio]]="","",TODAY()-tblOrdenes[[#This Row],[fecha_inicio]])</f>
        <v/>
      </c>
      <c r="AB9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5" s="3">
        <f>IF(tblOrdenes[[#This Row],[backlog_habiles]]="","",IF(tblOrdenes[[#This Row],[backlog_habiles]]&lt;0,"FUTURO",IF(tblOrdenes[[#This Row],[backlog_habiles]]&gt;p_dias_backlog_max,"BACKLOG","MES CORRIENTE")))</f>
        <v/>
      </c>
      <c r="AD965" s="3">
        <f>IF(tblOrdenes[[#This Row],[backlog_habiles]]="",FALSE,AND(tblOrdenes[[#This Row],[backlog_habiles]]&gt;p_dias_backlog_min,tblOrdenes[[#This Row],[backlog_habiles]]&lt;=p_dias_backlog_max))</f>
        <v/>
      </c>
      <c r="AE965" s="6" t="n"/>
      <c r="AF9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5" s="11">
        <f>IF(tblOrdenes[[#This Row],[orden]]="","",_xlfn.XLOOKUP(tblOrdenes[[#This Row],[id_operacion]],tblEjecucion[id_operacion],tblEjecucion[precio],0))</f>
        <v/>
      </c>
      <c r="AJ965" s="11">
        <f>IF(tblOrdenes[[#This Row],[orden]]="","",MAX(0,_xlfn.XLOOKUP(tblOrdenes[[#This Row],[id_operacion]],tblEjecucion[id_operacion],tblEjecucion[costo_plan_total],0)-tblOrdenes[[#This Row],[costo_servicio]]))</f>
        <v/>
      </c>
      <c r="AK965" s="11">
        <f>IF(tblOrdenes[[#This Row],[orden]]="","",tblOrdenes[[#This Row],[costo_servicio]]+tblOrdenes[[#This Row],[costo_materiales]])</f>
        <v/>
      </c>
      <c r="AL965" s="6" t="n"/>
      <c r="AM965" s="6" t="n"/>
      <c r="AN965" s="6" t="n"/>
      <c r="AO965" s="3">
        <f>IF(tblOrdenes[[#This Row],[link_checklist]]="","",HYPERLINK(p_ruta_base_checklists&amp;tblOrdenes[[#This Row],[link_checklist]],"abrir"))</f>
        <v/>
      </c>
      <c r="AP965" s="6" t="n"/>
      <c r="AQ965" s="3">
        <f>IF(tblOrdenes[[#This Row],[orden]]="","",tblOrdenes[[#This Row],[orden]]&amp;IF(tblOrdenes[[#This Row],[operacion]]="","0010",tblOrdenes[[#This Row],[operacion]]))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2" t="n"/>
      <c r="K966" s="3" t="n"/>
      <c r="L966" s="11" t="n"/>
      <c r="M9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6" s="3">
        <f>IF(tblOrdenes[[#This Row],[fecha_inicio]]="","",YEAR(tblOrdenes[[#This Row],[fecha_inicio]]))</f>
        <v/>
      </c>
      <c r="Q966" s="3">
        <f>IF(tblOrdenes[[#This Row],[fecha_inicio]]="","",MONTH(tblOrdenes[[#This Row],[fecha_inicio]]))</f>
        <v/>
      </c>
      <c r="R966" s="3">
        <f>IF(tblOrdenes[[#This Row],[fecha_inicio]]="","",INDEX(lista_dias,WEEKDAY(tblOrdenes[[#This Row],[fecha_inicio]],2)))</f>
        <v/>
      </c>
      <c r="S9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6" s="3">
        <f>IF(tblOrdenes[[#This Row],[tipo_ot]]="","",_xlfn.XLOOKUP(tblOrdenes[[#This Row],[tipo_ot]],tblTiposOT[codigo],tblTiposOT[clasificacion],"sin_clasificar"))</f>
        <v/>
      </c>
      <c r="U966" s="3">
        <f>IF(tblOrdenes[[#This Row],[centro_costo]]="","",_xlfn.XLOOKUP(tblOrdenes[[#This Row],[centro_costo]],tblCECO[codigo],tblCECO[linea],"(sin catálogo)"))</f>
        <v/>
      </c>
      <c r="V966" s="3">
        <f>IF(tblOrdenes[[#This Row],[centro_costo]]="","",_xlfn.XLOOKUP(tblOrdenes[[#This Row],[centro_costo]],tblCECO[codigo],tblCECO[area],"(sin catálogo)"))</f>
        <v/>
      </c>
      <c r="W9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6" s="3">
        <f>IF(tblOrdenes[[#This Row],[centro_costo]]="","",_xlfn.XLOOKUP(tblOrdenes[[#This Row],[centro_costo]],tblCECO[codigo],tblCECO[coordinador],"(sin catálogo)"))</f>
        <v/>
      </c>
      <c r="Y966" s="3">
        <f>IF(tblOrdenes[[#This Row],[puesto_trabajo]]="","",_xlfn.XLOOKUP(tblOrdenes[[#This Row],[puesto_trabajo]],tblPuestos[codigo],tblPuestos[especialidad],"(sin catálogo)"))</f>
        <v/>
      </c>
      <c r="Z966" s="3">
        <f>IF(tblOrdenes[[#This Row],[cod_actividad]]="","",_xlfn.XLOOKUP(tblOrdenes[[#This Row],[cod_actividad]],tblActividades[codigo],tblActividades[descripcion],"(sin catálogo)"))</f>
        <v/>
      </c>
      <c r="AA966" s="13">
        <f>IF(tblOrdenes[[#This Row],[fecha_inicio]]="","",TODAY()-tblOrdenes[[#This Row],[fecha_inicio]])</f>
        <v/>
      </c>
      <c r="AB9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6" s="3">
        <f>IF(tblOrdenes[[#This Row],[backlog_habiles]]="","",IF(tblOrdenes[[#This Row],[backlog_habiles]]&lt;0,"FUTURO",IF(tblOrdenes[[#This Row],[backlog_habiles]]&gt;p_dias_backlog_max,"BACKLOG","MES CORRIENTE")))</f>
        <v/>
      </c>
      <c r="AD966" s="3">
        <f>IF(tblOrdenes[[#This Row],[backlog_habiles]]="",FALSE,AND(tblOrdenes[[#This Row],[backlog_habiles]]&gt;p_dias_backlog_min,tblOrdenes[[#This Row],[backlog_habiles]]&lt;=p_dias_backlog_max))</f>
        <v/>
      </c>
      <c r="AE966" s="6" t="n"/>
      <c r="AF9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6" s="11">
        <f>IF(tblOrdenes[[#This Row],[orden]]="","",_xlfn.XLOOKUP(tblOrdenes[[#This Row],[id_operacion]],tblEjecucion[id_operacion],tblEjecucion[precio],0))</f>
        <v/>
      </c>
      <c r="AJ966" s="11">
        <f>IF(tblOrdenes[[#This Row],[orden]]="","",MAX(0,_xlfn.XLOOKUP(tblOrdenes[[#This Row],[id_operacion]],tblEjecucion[id_operacion],tblEjecucion[costo_plan_total],0)-tblOrdenes[[#This Row],[costo_servicio]]))</f>
        <v/>
      </c>
      <c r="AK966" s="11">
        <f>IF(tblOrdenes[[#This Row],[orden]]="","",tblOrdenes[[#This Row],[costo_servicio]]+tblOrdenes[[#This Row],[costo_materiales]])</f>
        <v/>
      </c>
      <c r="AL966" s="6" t="n"/>
      <c r="AM966" s="6" t="n"/>
      <c r="AN966" s="6" t="n"/>
      <c r="AO966" s="3">
        <f>IF(tblOrdenes[[#This Row],[link_checklist]]="","",HYPERLINK(p_ruta_base_checklists&amp;tblOrdenes[[#This Row],[link_checklist]],"abrir"))</f>
        <v/>
      </c>
      <c r="AP966" s="6" t="n"/>
      <c r="AQ966" s="3">
        <f>IF(tblOrdenes[[#This Row],[orden]]="","",tblOrdenes[[#This Row],[orden]]&amp;IF(tblOrdenes[[#This Row],[operacion]]="","0010",tblOrdenes[[#This Row],[operacion]]))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2" t="n"/>
      <c r="K967" s="3" t="n"/>
      <c r="L967" s="11" t="n"/>
      <c r="M9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7" s="3">
        <f>IF(tblOrdenes[[#This Row],[fecha_inicio]]="","",YEAR(tblOrdenes[[#This Row],[fecha_inicio]]))</f>
        <v/>
      </c>
      <c r="Q967" s="3">
        <f>IF(tblOrdenes[[#This Row],[fecha_inicio]]="","",MONTH(tblOrdenes[[#This Row],[fecha_inicio]]))</f>
        <v/>
      </c>
      <c r="R967" s="3">
        <f>IF(tblOrdenes[[#This Row],[fecha_inicio]]="","",INDEX(lista_dias,WEEKDAY(tblOrdenes[[#This Row],[fecha_inicio]],2)))</f>
        <v/>
      </c>
      <c r="S9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7" s="3">
        <f>IF(tblOrdenes[[#This Row],[tipo_ot]]="","",_xlfn.XLOOKUP(tblOrdenes[[#This Row],[tipo_ot]],tblTiposOT[codigo],tblTiposOT[clasificacion],"sin_clasificar"))</f>
        <v/>
      </c>
      <c r="U967" s="3">
        <f>IF(tblOrdenes[[#This Row],[centro_costo]]="","",_xlfn.XLOOKUP(tblOrdenes[[#This Row],[centro_costo]],tblCECO[codigo],tblCECO[linea],"(sin catálogo)"))</f>
        <v/>
      </c>
      <c r="V967" s="3">
        <f>IF(tblOrdenes[[#This Row],[centro_costo]]="","",_xlfn.XLOOKUP(tblOrdenes[[#This Row],[centro_costo]],tblCECO[codigo],tblCECO[area],"(sin catálogo)"))</f>
        <v/>
      </c>
      <c r="W9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7" s="3">
        <f>IF(tblOrdenes[[#This Row],[centro_costo]]="","",_xlfn.XLOOKUP(tblOrdenes[[#This Row],[centro_costo]],tblCECO[codigo],tblCECO[coordinador],"(sin catálogo)"))</f>
        <v/>
      </c>
      <c r="Y967" s="3">
        <f>IF(tblOrdenes[[#This Row],[puesto_trabajo]]="","",_xlfn.XLOOKUP(tblOrdenes[[#This Row],[puesto_trabajo]],tblPuestos[codigo],tblPuestos[especialidad],"(sin catálogo)"))</f>
        <v/>
      </c>
      <c r="Z967" s="3">
        <f>IF(tblOrdenes[[#This Row],[cod_actividad]]="","",_xlfn.XLOOKUP(tblOrdenes[[#This Row],[cod_actividad]],tblActividades[codigo],tblActividades[descripcion],"(sin catálogo)"))</f>
        <v/>
      </c>
      <c r="AA967" s="13">
        <f>IF(tblOrdenes[[#This Row],[fecha_inicio]]="","",TODAY()-tblOrdenes[[#This Row],[fecha_inicio]])</f>
        <v/>
      </c>
      <c r="AB9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7" s="3">
        <f>IF(tblOrdenes[[#This Row],[backlog_habiles]]="","",IF(tblOrdenes[[#This Row],[backlog_habiles]]&lt;0,"FUTURO",IF(tblOrdenes[[#This Row],[backlog_habiles]]&gt;p_dias_backlog_max,"BACKLOG","MES CORRIENTE")))</f>
        <v/>
      </c>
      <c r="AD967" s="3">
        <f>IF(tblOrdenes[[#This Row],[backlog_habiles]]="",FALSE,AND(tblOrdenes[[#This Row],[backlog_habiles]]&gt;p_dias_backlog_min,tblOrdenes[[#This Row],[backlog_habiles]]&lt;=p_dias_backlog_max))</f>
        <v/>
      </c>
      <c r="AE967" s="6" t="n"/>
      <c r="AF9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7" s="11">
        <f>IF(tblOrdenes[[#This Row],[orden]]="","",_xlfn.XLOOKUP(tblOrdenes[[#This Row],[id_operacion]],tblEjecucion[id_operacion],tblEjecucion[precio],0))</f>
        <v/>
      </c>
      <c r="AJ967" s="11">
        <f>IF(tblOrdenes[[#This Row],[orden]]="","",MAX(0,_xlfn.XLOOKUP(tblOrdenes[[#This Row],[id_operacion]],tblEjecucion[id_operacion],tblEjecucion[costo_plan_total],0)-tblOrdenes[[#This Row],[costo_servicio]]))</f>
        <v/>
      </c>
      <c r="AK967" s="11">
        <f>IF(tblOrdenes[[#This Row],[orden]]="","",tblOrdenes[[#This Row],[costo_servicio]]+tblOrdenes[[#This Row],[costo_materiales]])</f>
        <v/>
      </c>
      <c r="AL967" s="6" t="n"/>
      <c r="AM967" s="6" t="n"/>
      <c r="AN967" s="6" t="n"/>
      <c r="AO967" s="3">
        <f>IF(tblOrdenes[[#This Row],[link_checklist]]="","",HYPERLINK(p_ruta_base_checklists&amp;tblOrdenes[[#This Row],[link_checklist]],"abrir"))</f>
        <v/>
      </c>
      <c r="AP967" s="6" t="n"/>
      <c r="AQ967" s="3">
        <f>IF(tblOrdenes[[#This Row],[orden]]="","",tblOrdenes[[#This Row],[orden]]&amp;IF(tblOrdenes[[#This Row],[operacion]]="","0010",tblOrdenes[[#This Row],[operacion]]))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2" t="n"/>
      <c r="K968" s="3" t="n"/>
      <c r="L968" s="11" t="n"/>
      <c r="M9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8" s="3">
        <f>IF(tblOrdenes[[#This Row],[fecha_inicio]]="","",YEAR(tblOrdenes[[#This Row],[fecha_inicio]]))</f>
        <v/>
      </c>
      <c r="Q968" s="3">
        <f>IF(tblOrdenes[[#This Row],[fecha_inicio]]="","",MONTH(tblOrdenes[[#This Row],[fecha_inicio]]))</f>
        <v/>
      </c>
      <c r="R968" s="3">
        <f>IF(tblOrdenes[[#This Row],[fecha_inicio]]="","",INDEX(lista_dias,WEEKDAY(tblOrdenes[[#This Row],[fecha_inicio]],2)))</f>
        <v/>
      </c>
      <c r="S9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8" s="3">
        <f>IF(tblOrdenes[[#This Row],[tipo_ot]]="","",_xlfn.XLOOKUP(tblOrdenes[[#This Row],[tipo_ot]],tblTiposOT[codigo],tblTiposOT[clasificacion],"sin_clasificar"))</f>
        <v/>
      </c>
      <c r="U968" s="3">
        <f>IF(tblOrdenes[[#This Row],[centro_costo]]="","",_xlfn.XLOOKUP(tblOrdenes[[#This Row],[centro_costo]],tblCECO[codigo],tblCECO[linea],"(sin catálogo)"))</f>
        <v/>
      </c>
      <c r="V968" s="3">
        <f>IF(tblOrdenes[[#This Row],[centro_costo]]="","",_xlfn.XLOOKUP(tblOrdenes[[#This Row],[centro_costo]],tblCECO[codigo],tblCECO[area],"(sin catálogo)"))</f>
        <v/>
      </c>
      <c r="W9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8" s="3">
        <f>IF(tblOrdenes[[#This Row],[centro_costo]]="","",_xlfn.XLOOKUP(tblOrdenes[[#This Row],[centro_costo]],tblCECO[codigo],tblCECO[coordinador],"(sin catálogo)"))</f>
        <v/>
      </c>
      <c r="Y968" s="3">
        <f>IF(tblOrdenes[[#This Row],[puesto_trabajo]]="","",_xlfn.XLOOKUP(tblOrdenes[[#This Row],[puesto_trabajo]],tblPuestos[codigo],tblPuestos[especialidad],"(sin catálogo)"))</f>
        <v/>
      </c>
      <c r="Z968" s="3">
        <f>IF(tblOrdenes[[#This Row],[cod_actividad]]="","",_xlfn.XLOOKUP(tblOrdenes[[#This Row],[cod_actividad]],tblActividades[codigo],tblActividades[descripcion],"(sin catálogo)"))</f>
        <v/>
      </c>
      <c r="AA968" s="13">
        <f>IF(tblOrdenes[[#This Row],[fecha_inicio]]="","",TODAY()-tblOrdenes[[#This Row],[fecha_inicio]])</f>
        <v/>
      </c>
      <c r="AB9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8" s="3">
        <f>IF(tblOrdenes[[#This Row],[backlog_habiles]]="","",IF(tblOrdenes[[#This Row],[backlog_habiles]]&lt;0,"FUTURO",IF(tblOrdenes[[#This Row],[backlog_habiles]]&gt;p_dias_backlog_max,"BACKLOG","MES CORRIENTE")))</f>
        <v/>
      </c>
      <c r="AD968" s="3">
        <f>IF(tblOrdenes[[#This Row],[backlog_habiles]]="",FALSE,AND(tblOrdenes[[#This Row],[backlog_habiles]]&gt;p_dias_backlog_min,tblOrdenes[[#This Row],[backlog_habiles]]&lt;=p_dias_backlog_max))</f>
        <v/>
      </c>
      <c r="AE968" s="6" t="n"/>
      <c r="AF9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8" s="11">
        <f>IF(tblOrdenes[[#This Row],[orden]]="","",_xlfn.XLOOKUP(tblOrdenes[[#This Row],[id_operacion]],tblEjecucion[id_operacion],tblEjecucion[precio],0))</f>
        <v/>
      </c>
      <c r="AJ968" s="11">
        <f>IF(tblOrdenes[[#This Row],[orden]]="","",MAX(0,_xlfn.XLOOKUP(tblOrdenes[[#This Row],[id_operacion]],tblEjecucion[id_operacion],tblEjecucion[costo_plan_total],0)-tblOrdenes[[#This Row],[costo_servicio]]))</f>
        <v/>
      </c>
      <c r="AK968" s="11">
        <f>IF(tblOrdenes[[#This Row],[orden]]="","",tblOrdenes[[#This Row],[costo_servicio]]+tblOrdenes[[#This Row],[costo_materiales]])</f>
        <v/>
      </c>
      <c r="AL968" s="6" t="n"/>
      <c r="AM968" s="6" t="n"/>
      <c r="AN968" s="6" t="n"/>
      <c r="AO968" s="3">
        <f>IF(tblOrdenes[[#This Row],[link_checklist]]="","",HYPERLINK(p_ruta_base_checklists&amp;tblOrdenes[[#This Row],[link_checklist]],"abrir"))</f>
        <v/>
      </c>
      <c r="AP968" s="6" t="n"/>
      <c r="AQ968" s="3">
        <f>IF(tblOrdenes[[#This Row],[orden]]="","",tblOrdenes[[#This Row],[orden]]&amp;IF(tblOrdenes[[#This Row],[operacion]]="","0010",tblOrdenes[[#This Row],[operacion]]))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2" t="n"/>
      <c r="K969" s="3" t="n"/>
      <c r="L969" s="11" t="n"/>
      <c r="M9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9" s="3">
        <f>IF(tblOrdenes[[#This Row],[fecha_inicio]]="","",YEAR(tblOrdenes[[#This Row],[fecha_inicio]]))</f>
        <v/>
      </c>
      <c r="Q969" s="3">
        <f>IF(tblOrdenes[[#This Row],[fecha_inicio]]="","",MONTH(tblOrdenes[[#This Row],[fecha_inicio]]))</f>
        <v/>
      </c>
      <c r="R969" s="3">
        <f>IF(tblOrdenes[[#This Row],[fecha_inicio]]="","",INDEX(lista_dias,WEEKDAY(tblOrdenes[[#This Row],[fecha_inicio]],2)))</f>
        <v/>
      </c>
      <c r="S9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9" s="3">
        <f>IF(tblOrdenes[[#This Row],[tipo_ot]]="","",_xlfn.XLOOKUP(tblOrdenes[[#This Row],[tipo_ot]],tblTiposOT[codigo],tblTiposOT[clasificacion],"sin_clasificar"))</f>
        <v/>
      </c>
      <c r="U969" s="3">
        <f>IF(tblOrdenes[[#This Row],[centro_costo]]="","",_xlfn.XLOOKUP(tblOrdenes[[#This Row],[centro_costo]],tblCECO[codigo],tblCECO[linea],"(sin catálogo)"))</f>
        <v/>
      </c>
      <c r="V969" s="3">
        <f>IF(tblOrdenes[[#This Row],[centro_costo]]="","",_xlfn.XLOOKUP(tblOrdenes[[#This Row],[centro_costo]],tblCECO[codigo],tblCECO[area],"(sin catálogo)"))</f>
        <v/>
      </c>
      <c r="W9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9" s="3">
        <f>IF(tblOrdenes[[#This Row],[centro_costo]]="","",_xlfn.XLOOKUP(tblOrdenes[[#This Row],[centro_costo]],tblCECO[codigo],tblCECO[coordinador],"(sin catálogo)"))</f>
        <v/>
      </c>
      <c r="Y969" s="3">
        <f>IF(tblOrdenes[[#This Row],[puesto_trabajo]]="","",_xlfn.XLOOKUP(tblOrdenes[[#This Row],[puesto_trabajo]],tblPuestos[codigo],tblPuestos[especialidad],"(sin catálogo)"))</f>
        <v/>
      </c>
      <c r="Z969" s="3">
        <f>IF(tblOrdenes[[#This Row],[cod_actividad]]="","",_xlfn.XLOOKUP(tblOrdenes[[#This Row],[cod_actividad]],tblActividades[codigo],tblActividades[descripcion],"(sin catálogo)"))</f>
        <v/>
      </c>
      <c r="AA969" s="13">
        <f>IF(tblOrdenes[[#This Row],[fecha_inicio]]="","",TODAY()-tblOrdenes[[#This Row],[fecha_inicio]])</f>
        <v/>
      </c>
      <c r="AB9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9" s="3">
        <f>IF(tblOrdenes[[#This Row],[backlog_habiles]]="","",IF(tblOrdenes[[#This Row],[backlog_habiles]]&lt;0,"FUTURO",IF(tblOrdenes[[#This Row],[backlog_habiles]]&gt;p_dias_backlog_max,"BACKLOG","MES CORRIENTE")))</f>
        <v/>
      </c>
      <c r="AD969" s="3">
        <f>IF(tblOrdenes[[#This Row],[backlog_habiles]]="",FALSE,AND(tblOrdenes[[#This Row],[backlog_habiles]]&gt;p_dias_backlog_min,tblOrdenes[[#This Row],[backlog_habiles]]&lt;=p_dias_backlog_max))</f>
        <v/>
      </c>
      <c r="AE969" s="6" t="n"/>
      <c r="AF9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9" s="11">
        <f>IF(tblOrdenes[[#This Row],[orden]]="","",_xlfn.XLOOKUP(tblOrdenes[[#This Row],[id_operacion]],tblEjecucion[id_operacion],tblEjecucion[precio],0))</f>
        <v/>
      </c>
      <c r="AJ969" s="11">
        <f>IF(tblOrdenes[[#This Row],[orden]]="","",MAX(0,_xlfn.XLOOKUP(tblOrdenes[[#This Row],[id_operacion]],tblEjecucion[id_operacion],tblEjecucion[costo_plan_total],0)-tblOrdenes[[#This Row],[costo_servicio]]))</f>
        <v/>
      </c>
      <c r="AK969" s="11">
        <f>IF(tblOrdenes[[#This Row],[orden]]="","",tblOrdenes[[#This Row],[costo_servicio]]+tblOrdenes[[#This Row],[costo_materiales]])</f>
        <v/>
      </c>
      <c r="AL969" s="6" t="n"/>
      <c r="AM969" s="6" t="n"/>
      <c r="AN969" s="6" t="n"/>
      <c r="AO969" s="3">
        <f>IF(tblOrdenes[[#This Row],[link_checklist]]="","",HYPERLINK(p_ruta_base_checklists&amp;tblOrdenes[[#This Row],[link_checklist]],"abrir"))</f>
        <v/>
      </c>
      <c r="AP969" s="6" t="n"/>
      <c r="AQ969" s="3">
        <f>IF(tblOrdenes[[#This Row],[orden]]="","",tblOrdenes[[#This Row],[orden]]&amp;IF(tblOrdenes[[#This Row],[operacion]]="","0010",tblOrdenes[[#This Row],[operacion]]))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2" t="n"/>
      <c r="K970" s="3" t="n"/>
      <c r="L970" s="11" t="n"/>
      <c r="M9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0" s="3">
        <f>IF(tblOrdenes[[#This Row],[fecha_inicio]]="","",YEAR(tblOrdenes[[#This Row],[fecha_inicio]]))</f>
        <v/>
      </c>
      <c r="Q970" s="3">
        <f>IF(tblOrdenes[[#This Row],[fecha_inicio]]="","",MONTH(tblOrdenes[[#This Row],[fecha_inicio]]))</f>
        <v/>
      </c>
      <c r="R970" s="3">
        <f>IF(tblOrdenes[[#This Row],[fecha_inicio]]="","",INDEX(lista_dias,WEEKDAY(tblOrdenes[[#This Row],[fecha_inicio]],2)))</f>
        <v/>
      </c>
      <c r="S9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0" s="3">
        <f>IF(tblOrdenes[[#This Row],[tipo_ot]]="","",_xlfn.XLOOKUP(tblOrdenes[[#This Row],[tipo_ot]],tblTiposOT[codigo],tblTiposOT[clasificacion],"sin_clasificar"))</f>
        <v/>
      </c>
      <c r="U970" s="3">
        <f>IF(tblOrdenes[[#This Row],[centro_costo]]="","",_xlfn.XLOOKUP(tblOrdenes[[#This Row],[centro_costo]],tblCECO[codigo],tblCECO[linea],"(sin catálogo)"))</f>
        <v/>
      </c>
      <c r="V970" s="3">
        <f>IF(tblOrdenes[[#This Row],[centro_costo]]="","",_xlfn.XLOOKUP(tblOrdenes[[#This Row],[centro_costo]],tblCECO[codigo],tblCECO[area],"(sin catálogo)"))</f>
        <v/>
      </c>
      <c r="W9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0" s="3">
        <f>IF(tblOrdenes[[#This Row],[centro_costo]]="","",_xlfn.XLOOKUP(tblOrdenes[[#This Row],[centro_costo]],tblCECO[codigo],tblCECO[coordinador],"(sin catálogo)"))</f>
        <v/>
      </c>
      <c r="Y970" s="3">
        <f>IF(tblOrdenes[[#This Row],[puesto_trabajo]]="","",_xlfn.XLOOKUP(tblOrdenes[[#This Row],[puesto_trabajo]],tblPuestos[codigo],tblPuestos[especialidad],"(sin catálogo)"))</f>
        <v/>
      </c>
      <c r="Z970" s="3">
        <f>IF(tblOrdenes[[#This Row],[cod_actividad]]="","",_xlfn.XLOOKUP(tblOrdenes[[#This Row],[cod_actividad]],tblActividades[codigo],tblActividades[descripcion],"(sin catálogo)"))</f>
        <v/>
      </c>
      <c r="AA970" s="13">
        <f>IF(tblOrdenes[[#This Row],[fecha_inicio]]="","",TODAY()-tblOrdenes[[#This Row],[fecha_inicio]])</f>
        <v/>
      </c>
      <c r="AB9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0" s="3">
        <f>IF(tblOrdenes[[#This Row],[backlog_habiles]]="","",IF(tblOrdenes[[#This Row],[backlog_habiles]]&lt;0,"FUTURO",IF(tblOrdenes[[#This Row],[backlog_habiles]]&gt;p_dias_backlog_max,"BACKLOG","MES CORRIENTE")))</f>
        <v/>
      </c>
      <c r="AD970" s="3">
        <f>IF(tblOrdenes[[#This Row],[backlog_habiles]]="",FALSE,AND(tblOrdenes[[#This Row],[backlog_habiles]]&gt;p_dias_backlog_min,tblOrdenes[[#This Row],[backlog_habiles]]&lt;=p_dias_backlog_max))</f>
        <v/>
      </c>
      <c r="AE970" s="6" t="n"/>
      <c r="AF9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0" s="11">
        <f>IF(tblOrdenes[[#This Row],[orden]]="","",_xlfn.XLOOKUP(tblOrdenes[[#This Row],[id_operacion]],tblEjecucion[id_operacion],tblEjecucion[precio],0))</f>
        <v/>
      </c>
      <c r="AJ970" s="11">
        <f>IF(tblOrdenes[[#This Row],[orden]]="","",MAX(0,_xlfn.XLOOKUP(tblOrdenes[[#This Row],[id_operacion]],tblEjecucion[id_operacion],tblEjecucion[costo_plan_total],0)-tblOrdenes[[#This Row],[costo_servicio]]))</f>
        <v/>
      </c>
      <c r="AK970" s="11">
        <f>IF(tblOrdenes[[#This Row],[orden]]="","",tblOrdenes[[#This Row],[costo_servicio]]+tblOrdenes[[#This Row],[costo_materiales]])</f>
        <v/>
      </c>
      <c r="AL970" s="6" t="n"/>
      <c r="AM970" s="6" t="n"/>
      <c r="AN970" s="6" t="n"/>
      <c r="AO970" s="3">
        <f>IF(tblOrdenes[[#This Row],[link_checklist]]="","",HYPERLINK(p_ruta_base_checklists&amp;tblOrdenes[[#This Row],[link_checklist]],"abrir"))</f>
        <v/>
      </c>
      <c r="AP970" s="6" t="n"/>
      <c r="AQ970" s="3">
        <f>IF(tblOrdenes[[#This Row],[orden]]="","",tblOrdenes[[#This Row],[orden]]&amp;IF(tblOrdenes[[#This Row],[operacion]]="","0010",tblOrdenes[[#This Row],[operacion]]))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2" t="n"/>
      <c r="K971" s="3" t="n"/>
      <c r="L971" s="11" t="n"/>
      <c r="M9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1" s="3">
        <f>IF(tblOrdenes[[#This Row],[fecha_inicio]]="","",YEAR(tblOrdenes[[#This Row],[fecha_inicio]]))</f>
        <v/>
      </c>
      <c r="Q971" s="3">
        <f>IF(tblOrdenes[[#This Row],[fecha_inicio]]="","",MONTH(tblOrdenes[[#This Row],[fecha_inicio]]))</f>
        <v/>
      </c>
      <c r="R971" s="3">
        <f>IF(tblOrdenes[[#This Row],[fecha_inicio]]="","",INDEX(lista_dias,WEEKDAY(tblOrdenes[[#This Row],[fecha_inicio]],2)))</f>
        <v/>
      </c>
      <c r="S9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1" s="3">
        <f>IF(tblOrdenes[[#This Row],[tipo_ot]]="","",_xlfn.XLOOKUP(tblOrdenes[[#This Row],[tipo_ot]],tblTiposOT[codigo],tblTiposOT[clasificacion],"sin_clasificar"))</f>
        <v/>
      </c>
      <c r="U971" s="3">
        <f>IF(tblOrdenes[[#This Row],[centro_costo]]="","",_xlfn.XLOOKUP(tblOrdenes[[#This Row],[centro_costo]],tblCECO[codigo],tblCECO[linea],"(sin catálogo)"))</f>
        <v/>
      </c>
      <c r="V971" s="3">
        <f>IF(tblOrdenes[[#This Row],[centro_costo]]="","",_xlfn.XLOOKUP(tblOrdenes[[#This Row],[centro_costo]],tblCECO[codigo],tblCECO[area],"(sin catálogo)"))</f>
        <v/>
      </c>
      <c r="W9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1" s="3">
        <f>IF(tblOrdenes[[#This Row],[centro_costo]]="","",_xlfn.XLOOKUP(tblOrdenes[[#This Row],[centro_costo]],tblCECO[codigo],tblCECO[coordinador],"(sin catálogo)"))</f>
        <v/>
      </c>
      <c r="Y971" s="3">
        <f>IF(tblOrdenes[[#This Row],[puesto_trabajo]]="","",_xlfn.XLOOKUP(tblOrdenes[[#This Row],[puesto_trabajo]],tblPuestos[codigo],tblPuestos[especialidad],"(sin catálogo)"))</f>
        <v/>
      </c>
      <c r="Z971" s="3">
        <f>IF(tblOrdenes[[#This Row],[cod_actividad]]="","",_xlfn.XLOOKUP(tblOrdenes[[#This Row],[cod_actividad]],tblActividades[codigo],tblActividades[descripcion],"(sin catálogo)"))</f>
        <v/>
      </c>
      <c r="AA971" s="13">
        <f>IF(tblOrdenes[[#This Row],[fecha_inicio]]="","",TODAY()-tblOrdenes[[#This Row],[fecha_inicio]])</f>
        <v/>
      </c>
      <c r="AB9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1" s="3">
        <f>IF(tblOrdenes[[#This Row],[backlog_habiles]]="","",IF(tblOrdenes[[#This Row],[backlog_habiles]]&lt;0,"FUTURO",IF(tblOrdenes[[#This Row],[backlog_habiles]]&gt;p_dias_backlog_max,"BACKLOG","MES CORRIENTE")))</f>
        <v/>
      </c>
      <c r="AD971" s="3">
        <f>IF(tblOrdenes[[#This Row],[backlog_habiles]]="",FALSE,AND(tblOrdenes[[#This Row],[backlog_habiles]]&gt;p_dias_backlog_min,tblOrdenes[[#This Row],[backlog_habiles]]&lt;=p_dias_backlog_max))</f>
        <v/>
      </c>
      <c r="AE971" s="6" t="n"/>
      <c r="AF9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1" s="11">
        <f>IF(tblOrdenes[[#This Row],[orden]]="","",_xlfn.XLOOKUP(tblOrdenes[[#This Row],[id_operacion]],tblEjecucion[id_operacion],tblEjecucion[precio],0))</f>
        <v/>
      </c>
      <c r="AJ971" s="11">
        <f>IF(tblOrdenes[[#This Row],[orden]]="","",MAX(0,_xlfn.XLOOKUP(tblOrdenes[[#This Row],[id_operacion]],tblEjecucion[id_operacion],tblEjecucion[costo_plan_total],0)-tblOrdenes[[#This Row],[costo_servicio]]))</f>
        <v/>
      </c>
      <c r="AK971" s="11">
        <f>IF(tblOrdenes[[#This Row],[orden]]="","",tblOrdenes[[#This Row],[costo_servicio]]+tblOrdenes[[#This Row],[costo_materiales]])</f>
        <v/>
      </c>
      <c r="AL971" s="6" t="n"/>
      <c r="AM971" s="6" t="n"/>
      <c r="AN971" s="6" t="n"/>
      <c r="AO971" s="3">
        <f>IF(tblOrdenes[[#This Row],[link_checklist]]="","",HYPERLINK(p_ruta_base_checklists&amp;tblOrdenes[[#This Row],[link_checklist]],"abrir"))</f>
        <v/>
      </c>
      <c r="AP971" s="6" t="n"/>
      <c r="AQ971" s="3">
        <f>IF(tblOrdenes[[#This Row],[orden]]="","",tblOrdenes[[#This Row],[orden]]&amp;IF(tblOrdenes[[#This Row],[operacion]]="","0010",tblOrdenes[[#This Row],[operacion]]))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2" t="n"/>
      <c r="K972" s="3" t="n"/>
      <c r="L972" s="11" t="n"/>
      <c r="M9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2" s="3">
        <f>IF(tblOrdenes[[#This Row],[fecha_inicio]]="","",YEAR(tblOrdenes[[#This Row],[fecha_inicio]]))</f>
        <v/>
      </c>
      <c r="Q972" s="3">
        <f>IF(tblOrdenes[[#This Row],[fecha_inicio]]="","",MONTH(tblOrdenes[[#This Row],[fecha_inicio]]))</f>
        <v/>
      </c>
      <c r="R972" s="3">
        <f>IF(tblOrdenes[[#This Row],[fecha_inicio]]="","",INDEX(lista_dias,WEEKDAY(tblOrdenes[[#This Row],[fecha_inicio]],2)))</f>
        <v/>
      </c>
      <c r="S9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2" s="3">
        <f>IF(tblOrdenes[[#This Row],[tipo_ot]]="","",_xlfn.XLOOKUP(tblOrdenes[[#This Row],[tipo_ot]],tblTiposOT[codigo],tblTiposOT[clasificacion],"sin_clasificar"))</f>
        <v/>
      </c>
      <c r="U972" s="3">
        <f>IF(tblOrdenes[[#This Row],[centro_costo]]="","",_xlfn.XLOOKUP(tblOrdenes[[#This Row],[centro_costo]],tblCECO[codigo],tblCECO[linea],"(sin catálogo)"))</f>
        <v/>
      </c>
      <c r="V972" s="3">
        <f>IF(tblOrdenes[[#This Row],[centro_costo]]="","",_xlfn.XLOOKUP(tblOrdenes[[#This Row],[centro_costo]],tblCECO[codigo],tblCECO[area],"(sin catálogo)"))</f>
        <v/>
      </c>
      <c r="W9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2" s="3">
        <f>IF(tblOrdenes[[#This Row],[centro_costo]]="","",_xlfn.XLOOKUP(tblOrdenes[[#This Row],[centro_costo]],tblCECO[codigo],tblCECO[coordinador],"(sin catálogo)"))</f>
        <v/>
      </c>
      <c r="Y972" s="3">
        <f>IF(tblOrdenes[[#This Row],[puesto_trabajo]]="","",_xlfn.XLOOKUP(tblOrdenes[[#This Row],[puesto_trabajo]],tblPuestos[codigo],tblPuestos[especialidad],"(sin catálogo)"))</f>
        <v/>
      </c>
      <c r="Z972" s="3">
        <f>IF(tblOrdenes[[#This Row],[cod_actividad]]="","",_xlfn.XLOOKUP(tblOrdenes[[#This Row],[cod_actividad]],tblActividades[codigo],tblActividades[descripcion],"(sin catálogo)"))</f>
        <v/>
      </c>
      <c r="AA972" s="13">
        <f>IF(tblOrdenes[[#This Row],[fecha_inicio]]="","",TODAY()-tblOrdenes[[#This Row],[fecha_inicio]])</f>
        <v/>
      </c>
      <c r="AB9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2" s="3">
        <f>IF(tblOrdenes[[#This Row],[backlog_habiles]]="","",IF(tblOrdenes[[#This Row],[backlog_habiles]]&lt;0,"FUTURO",IF(tblOrdenes[[#This Row],[backlog_habiles]]&gt;p_dias_backlog_max,"BACKLOG","MES CORRIENTE")))</f>
        <v/>
      </c>
      <c r="AD972" s="3">
        <f>IF(tblOrdenes[[#This Row],[backlog_habiles]]="",FALSE,AND(tblOrdenes[[#This Row],[backlog_habiles]]&gt;p_dias_backlog_min,tblOrdenes[[#This Row],[backlog_habiles]]&lt;=p_dias_backlog_max))</f>
        <v/>
      </c>
      <c r="AE972" s="6" t="n"/>
      <c r="AF9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2" s="11">
        <f>IF(tblOrdenes[[#This Row],[orden]]="","",_xlfn.XLOOKUP(tblOrdenes[[#This Row],[id_operacion]],tblEjecucion[id_operacion],tblEjecucion[precio],0))</f>
        <v/>
      </c>
      <c r="AJ972" s="11">
        <f>IF(tblOrdenes[[#This Row],[orden]]="","",MAX(0,_xlfn.XLOOKUP(tblOrdenes[[#This Row],[id_operacion]],tblEjecucion[id_operacion],tblEjecucion[costo_plan_total],0)-tblOrdenes[[#This Row],[costo_servicio]]))</f>
        <v/>
      </c>
      <c r="AK972" s="11">
        <f>IF(tblOrdenes[[#This Row],[orden]]="","",tblOrdenes[[#This Row],[costo_servicio]]+tblOrdenes[[#This Row],[costo_materiales]])</f>
        <v/>
      </c>
      <c r="AL972" s="6" t="n"/>
      <c r="AM972" s="6" t="n"/>
      <c r="AN972" s="6" t="n"/>
      <c r="AO972" s="3">
        <f>IF(tblOrdenes[[#This Row],[link_checklist]]="","",HYPERLINK(p_ruta_base_checklists&amp;tblOrdenes[[#This Row],[link_checklist]],"abrir"))</f>
        <v/>
      </c>
      <c r="AP972" s="6" t="n"/>
      <c r="AQ972" s="3">
        <f>IF(tblOrdenes[[#This Row],[orden]]="","",tblOrdenes[[#This Row],[orden]]&amp;IF(tblOrdenes[[#This Row],[operacion]]="","0010",tblOrdenes[[#This Row],[operacion]]))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2" t="n"/>
      <c r="K973" s="3" t="n"/>
      <c r="L973" s="11" t="n"/>
      <c r="M9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3" s="3">
        <f>IF(tblOrdenes[[#This Row],[fecha_inicio]]="","",YEAR(tblOrdenes[[#This Row],[fecha_inicio]]))</f>
        <v/>
      </c>
      <c r="Q973" s="3">
        <f>IF(tblOrdenes[[#This Row],[fecha_inicio]]="","",MONTH(tblOrdenes[[#This Row],[fecha_inicio]]))</f>
        <v/>
      </c>
      <c r="R973" s="3">
        <f>IF(tblOrdenes[[#This Row],[fecha_inicio]]="","",INDEX(lista_dias,WEEKDAY(tblOrdenes[[#This Row],[fecha_inicio]],2)))</f>
        <v/>
      </c>
      <c r="S9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3" s="3">
        <f>IF(tblOrdenes[[#This Row],[tipo_ot]]="","",_xlfn.XLOOKUP(tblOrdenes[[#This Row],[tipo_ot]],tblTiposOT[codigo],tblTiposOT[clasificacion],"sin_clasificar"))</f>
        <v/>
      </c>
      <c r="U973" s="3">
        <f>IF(tblOrdenes[[#This Row],[centro_costo]]="","",_xlfn.XLOOKUP(tblOrdenes[[#This Row],[centro_costo]],tblCECO[codigo],tblCECO[linea],"(sin catálogo)"))</f>
        <v/>
      </c>
      <c r="V973" s="3">
        <f>IF(tblOrdenes[[#This Row],[centro_costo]]="","",_xlfn.XLOOKUP(tblOrdenes[[#This Row],[centro_costo]],tblCECO[codigo],tblCECO[area],"(sin catálogo)"))</f>
        <v/>
      </c>
      <c r="W9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3" s="3">
        <f>IF(tblOrdenes[[#This Row],[centro_costo]]="","",_xlfn.XLOOKUP(tblOrdenes[[#This Row],[centro_costo]],tblCECO[codigo],tblCECO[coordinador],"(sin catálogo)"))</f>
        <v/>
      </c>
      <c r="Y973" s="3">
        <f>IF(tblOrdenes[[#This Row],[puesto_trabajo]]="","",_xlfn.XLOOKUP(tblOrdenes[[#This Row],[puesto_trabajo]],tblPuestos[codigo],tblPuestos[especialidad],"(sin catálogo)"))</f>
        <v/>
      </c>
      <c r="Z973" s="3">
        <f>IF(tblOrdenes[[#This Row],[cod_actividad]]="","",_xlfn.XLOOKUP(tblOrdenes[[#This Row],[cod_actividad]],tblActividades[codigo],tblActividades[descripcion],"(sin catálogo)"))</f>
        <v/>
      </c>
      <c r="AA973" s="13">
        <f>IF(tblOrdenes[[#This Row],[fecha_inicio]]="","",TODAY()-tblOrdenes[[#This Row],[fecha_inicio]])</f>
        <v/>
      </c>
      <c r="AB9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3" s="3">
        <f>IF(tblOrdenes[[#This Row],[backlog_habiles]]="","",IF(tblOrdenes[[#This Row],[backlog_habiles]]&lt;0,"FUTURO",IF(tblOrdenes[[#This Row],[backlog_habiles]]&gt;p_dias_backlog_max,"BACKLOG","MES CORRIENTE")))</f>
        <v/>
      </c>
      <c r="AD973" s="3">
        <f>IF(tblOrdenes[[#This Row],[backlog_habiles]]="",FALSE,AND(tblOrdenes[[#This Row],[backlog_habiles]]&gt;p_dias_backlog_min,tblOrdenes[[#This Row],[backlog_habiles]]&lt;=p_dias_backlog_max))</f>
        <v/>
      </c>
      <c r="AE973" s="6" t="n"/>
      <c r="AF9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3" s="11">
        <f>IF(tblOrdenes[[#This Row],[orden]]="","",_xlfn.XLOOKUP(tblOrdenes[[#This Row],[id_operacion]],tblEjecucion[id_operacion],tblEjecucion[precio],0))</f>
        <v/>
      </c>
      <c r="AJ973" s="11">
        <f>IF(tblOrdenes[[#This Row],[orden]]="","",MAX(0,_xlfn.XLOOKUP(tblOrdenes[[#This Row],[id_operacion]],tblEjecucion[id_operacion],tblEjecucion[costo_plan_total],0)-tblOrdenes[[#This Row],[costo_servicio]]))</f>
        <v/>
      </c>
      <c r="AK973" s="11">
        <f>IF(tblOrdenes[[#This Row],[orden]]="","",tblOrdenes[[#This Row],[costo_servicio]]+tblOrdenes[[#This Row],[costo_materiales]])</f>
        <v/>
      </c>
      <c r="AL973" s="6" t="n"/>
      <c r="AM973" s="6" t="n"/>
      <c r="AN973" s="6" t="n"/>
      <c r="AO973" s="3">
        <f>IF(tblOrdenes[[#This Row],[link_checklist]]="","",HYPERLINK(p_ruta_base_checklists&amp;tblOrdenes[[#This Row],[link_checklist]],"abrir"))</f>
        <v/>
      </c>
      <c r="AP973" s="6" t="n"/>
      <c r="AQ973" s="3">
        <f>IF(tblOrdenes[[#This Row],[orden]]="","",tblOrdenes[[#This Row],[orden]]&amp;IF(tblOrdenes[[#This Row],[operacion]]="","0010",tblOrdenes[[#This Row],[operacion]]))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2" t="n"/>
      <c r="K974" s="3" t="n"/>
      <c r="L974" s="11" t="n"/>
      <c r="M9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4" s="3">
        <f>IF(tblOrdenes[[#This Row],[fecha_inicio]]="","",YEAR(tblOrdenes[[#This Row],[fecha_inicio]]))</f>
        <v/>
      </c>
      <c r="Q974" s="3">
        <f>IF(tblOrdenes[[#This Row],[fecha_inicio]]="","",MONTH(tblOrdenes[[#This Row],[fecha_inicio]]))</f>
        <v/>
      </c>
      <c r="R974" s="3">
        <f>IF(tblOrdenes[[#This Row],[fecha_inicio]]="","",INDEX(lista_dias,WEEKDAY(tblOrdenes[[#This Row],[fecha_inicio]],2)))</f>
        <v/>
      </c>
      <c r="S9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4" s="3">
        <f>IF(tblOrdenes[[#This Row],[tipo_ot]]="","",_xlfn.XLOOKUP(tblOrdenes[[#This Row],[tipo_ot]],tblTiposOT[codigo],tblTiposOT[clasificacion],"sin_clasificar"))</f>
        <v/>
      </c>
      <c r="U974" s="3">
        <f>IF(tblOrdenes[[#This Row],[centro_costo]]="","",_xlfn.XLOOKUP(tblOrdenes[[#This Row],[centro_costo]],tblCECO[codigo],tblCECO[linea],"(sin catálogo)"))</f>
        <v/>
      </c>
      <c r="V974" s="3">
        <f>IF(tblOrdenes[[#This Row],[centro_costo]]="","",_xlfn.XLOOKUP(tblOrdenes[[#This Row],[centro_costo]],tblCECO[codigo],tblCECO[area],"(sin catálogo)"))</f>
        <v/>
      </c>
      <c r="W9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4" s="3">
        <f>IF(tblOrdenes[[#This Row],[centro_costo]]="","",_xlfn.XLOOKUP(tblOrdenes[[#This Row],[centro_costo]],tblCECO[codigo],tblCECO[coordinador],"(sin catálogo)"))</f>
        <v/>
      </c>
      <c r="Y974" s="3">
        <f>IF(tblOrdenes[[#This Row],[puesto_trabajo]]="","",_xlfn.XLOOKUP(tblOrdenes[[#This Row],[puesto_trabajo]],tblPuestos[codigo],tblPuestos[especialidad],"(sin catálogo)"))</f>
        <v/>
      </c>
      <c r="Z974" s="3">
        <f>IF(tblOrdenes[[#This Row],[cod_actividad]]="","",_xlfn.XLOOKUP(tblOrdenes[[#This Row],[cod_actividad]],tblActividades[codigo],tblActividades[descripcion],"(sin catálogo)"))</f>
        <v/>
      </c>
      <c r="AA974" s="13">
        <f>IF(tblOrdenes[[#This Row],[fecha_inicio]]="","",TODAY()-tblOrdenes[[#This Row],[fecha_inicio]])</f>
        <v/>
      </c>
      <c r="AB9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4" s="3">
        <f>IF(tblOrdenes[[#This Row],[backlog_habiles]]="","",IF(tblOrdenes[[#This Row],[backlog_habiles]]&lt;0,"FUTURO",IF(tblOrdenes[[#This Row],[backlog_habiles]]&gt;p_dias_backlog_max,"BACKLOG","MES CORRIENTE")))</f>
        <v/>
      </c>
      <c r="AD974" s="3">
        <f>IF(tblOrdenes[[#This Row],[backlog_habiles]]="",FALSE,AND(tblOrdenes[[#This Row],[backlog_habiles]]&gt;p_dias_backlog_min,tblOrdenes[[#This Row],[backlog_habiles]]&lt;=p_dias_backlog_max))</f>
        <v/>
      </c>
      <c r="AE974" s="6" t="n"/>
      <c r="AF9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4" s="11">
        <f>IF(tblOrdenes[[#This Row],[orden]]="","",_xlfn.XLOOKUP(tblOrdenes[[#This Row],[id_operacion]],tblEjecucion[id_operacion],tblEjecucion[precio],0))</f>
        <v/>
      </c>
      <c r="AJ974" s="11">
        <f>IF(tblOrdenes[[#This Row],[orden]]="","",MAX(0,_xlfn.XLOOKUP(tblOrdenes[[#This Row],[id_operacion]],tblEjecucion[id_operacion],tblEjecucion[costo_plan_total],0)-tblOrdenes[[#This Row],[costo_servicio]]))</f>
        <v/>
      </c>
      <c r="AK974" s="11">
        <f>IF(tblOrdenes[[#This Row],[orden]]="","",tblOrdenes[[#This Row],[costo_servicio]]+tblOrdenes[[#This Row],[costo_materiales]])</f>
        <v/>
      </c>
      <c r="AL974" s="6" t="n"/>
      <c r="AM974" s="6" t="n"/>
      <c r="AN974" s="6" t="n"/>
      <c r="AO974" s="3">
        <f>IF(tblOrdenes[[#This Row],[link_checklist]]="","",HYPERLINK(p_ruta_base_checklists&amp;tblOrdenes[[#This Row],[link_checklist]],"abrir"))</f>
        <v/>
      </c>
      <c r="AP974" s="6" t="n"/>
      <c r="AQ974" s="3">
        <f>IF(tblOrdenes[[#This Row],[orden]]="","",tblOrdenes[[#This Row],[orden]]&amp;IF(tblOrdenes[[#This Row],[operacion]]="","0010",tblOrdenes[[#This Row],[operacion]]))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2" t="n"/>
      <c r="K975" s="3" t="n"/>
      <c r="L975" s="11" t="n"/>
      <c r="M9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5" s="3">
        <f>IF(tblOrdenes[[#This Row],[fecha_inicio]]="","",YEAR(tblOrdenes[[#This Row],[fecha_inicio]]))</f>
        <v/>
      </c>
      <c r="Q975" s="3">
        <f>IF(tblOrdenes[[#This Row],[fecha_inicio]]="","",MONTH(tblOrdenes[[#This Row],[fecha_inicio]]))</f>
        <v/>
      </c>
      <c r="R975" s="3">
        <f>IF(tblOrdenes[[#This Row],[fecha_inicio]]="","",INDEX(lista_dias,WEEKDAY(tblOrdenes[[#This Row],[fecha_inicio]],2)))</f>
        <v/>
      </c>
      <c r="S9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5" s="3">
        <f>IF(tblOrdenes[[#This Row],[tipo_ot]]="","",_xlfn.XLOOKUP(tblOrdenes[[#This Row],[tipo_ot]],tblTiposOT[codigo],tblTiposOT[clasificacion],"sin_clasificar"))</f>
        <v/>
      </c>
      <c r="U975" s="3">
        <f>IF(tblOrdenes[[#This Row],[centro_costo]]="","",_xlfn.XLOOKUP(tblOrdenes[[#This Row],[centro_costo]],tblCECO[codigo],tblCECO[linea],"(sin catálogo)"))</f>
        <v/>
      </c>
      <c r="V975" s="3">
        <f>IF(tblOrdenes[[#This Row],[centro_costo]]="","",_xlfn.XLOOKUP(tblOrdenes[[#This Row],[centro_costo]],tblCECO[codigo],tblCECO[area],"(sin catálogo)"))</f>
        <v/>
      </c>
      <c r="W9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5" s="3">
        <f>IF(tblOrdenes[[#This Row],[centro_costo]]="","",_xlfn.XLOOKUP(tblOrdenes[[#This Row],[centro_costo]],tblCECO[codigo],tblCECO[coordinador],"(sin catálogo)"))</f>
        <v/>
      </c>
      <c r="Y975" s="3">
        <f>IF(tblOrdenes[[#This Row],[puesto_trabajo]]="","",_xlfn.XLOOKUP(tblOrdenes[[#This Row],[puesto_trabajo]],tblPuestos[codigo],tblPuestos[especialidad],"(sin catálogo)"))</f>
        <v/>
      </c>
      <c r="Z975" s="3">
        <f>IF(tblOrdenes[[#This Row],[cod_actividad]]="","",_xlfn.XLOOKUP(tblOrdenes[[#This Row],[cod_actividad]],tblActividades[codigo],tblActividades[descripcion],"(sin catálogo)"))</f>
        <v/>
      </c>
      <c r="AA975" s="13">
        <f>IF(tblOrdenes[[#This Row],[fecha_inicio]]="","",TODAY()-tblOrdenes[[#This Row],[fecha_inicio]])</f>
        <v/>
      </c>
      <c r="AB9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5" s="3">
        <f>IF(tblOrdenes[[#This Row],[backlog_habiles]]="","",IF(tblOrdenes[[#This Row],[backlog_habiles]]&lt;0,"FUTURO",IF(tblOrdenes[[#This Row],[backlog_habiles]]&gt;p_dias_backlog_max,"BACKLOG","MES CORRIENTE")))</f>
        <v/>
      </c>
      <c r="AD975" s="3">
        <f>IF(tblOrdenes[[#This Row],[backlog_habiles]]="",FALSE,AND(tblOrdenes[[#This Row],[backlog_habiles]]&gt;p_dias_backlog_min,tblOrdenes[[#This Row],[backlog_habiles]]&lt;=p_dias_backlog_max))</f>
        <v/>
      </c>
      <c r="AE975" s="6" t="n"/>
      <c r="AF9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5" s="11">
        <f>IF(tblOrdenes[[#This Row],[orden]]="","",_xlfn.XLOOKUP(tblOrdenes[[#This Row],[id_operacion]],tblEjecucion[id_operacion],tblEjecucion[precio],0))</f>
        <v/>
      </c>
      <c r="AJ975" s="11">
        <f>IF(tblOrdenes[[#This Row],[orden]]="","",MAX(0,_xlfn.XLOOKUP(tblOrdenes[[#This Row],[id_operacion]],tblEjecucion[id_operacion],tblEjecucion[costo_plan_total],0)-tblOrdenes[[#This Row],[costo_servicio]]))</f>
        <v/>
      </c>
      <c r="AK975" s="11">
        <f>IF(tblOrdenes[[#This Row],[orden]]="","",tblOrdenes[[#This Row],[costo_servicio]]+tblOrdenes[[#This Row],[costo_materiales]])</f>
        <v/>
      </c>
      <c r="AL975" s="6" t="n"/>
      <c r="AM975" s="6" t="n"/>
      <c r="AN975" s="6" t="n"/>
      <c r="AO975" s="3">
        <f>IF(tblOrdenes[[#This Row],[link_checklist]]="","",HYPERLINK(p_ruta_base_checklists&amp;tblOrdenes[[#This Row],[link_checklist]],"abrir"))</f>
        <v/>
      </c>
      <c r="AP975" s="6" t="n"/>
      <c r="AQ975" s="3">
        <f>IF(tblOrdenes[[#This Row],[orden]]="","",tblOrdenes[[#This Row],[orden]]&amp;IF(tblOrdenes[[#This Row],[operacion]]="","0010",tblOrdenes[[#This Row],[operacion]]))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2" t="n"/>
      <c r="K976" s="3" t="n"/>
      <c r="L976" s="11" t="n"/>
      <c r="M9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6" s="3">
        <f>IF(tblOrdenes[[#This Row],[fecha_inicio]]="","",YEAR(tblOrdenes[[#This Row],[fecha_inicio]]))</f>
        <v/>
      </c>
      <c r="Q976" s="3">
        <f>IF(tblOrdenes[[#This Row],[fecha_inicio]]="","",MONTH(tblOrdenes[[#This Row],[fecha_inicio]]))</f>
        <v/>
      </c>
      <c r="R976" s="3">
        <f>IF(tblOrdenes[[#This Row],[fecha_inicio]]="","",INDEX(lista_dias,WEEKDAY(tblOrdenes[[#This Row],[fecha_inicio]],2)))</f>
        <v/>
      </c>
      <c r="S9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6" s="3">
        <f>IF(tblOrdenes[[#This Row],[tipo_ot]]="","",_xlfn.XLOOKUP(tblOrdenes[[#This Row],[tipo_ot]],tblTiposOT[codigo],tblTiposOT[clasificacion],"sin_clasificar"))</f>
        <v/>
      </c>
      <c r="U976" s="3">
        <f>IF(tblOrdenes[[#This Row],[centro_costo]]="","",_xlfn.XLOOKUP(tblOrdenes[[#This Row],[centro_costo]],tblCECO[codigo],tblCECO[linea],"(sin catálogo)"))</f>
        <v/>
      </c>
      <c r="V976" s="3">
        <f>IF(tblOrdenes[[#This Row],[centro_costo]]="","",_xlfn.XLOOKUP(tblOrdenes[[#This Row],[centro_costo]],tblCECO[codigo],tblCECO[area],"(sin catálogo)"))</f>
        <v/>
      </c>
      <c r="W9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6" s="3">
        <f>IF(tblOrdenes[[#This Row],[centro_costo]]="","",_xlfn.XLOOKUP(tblOrdenes[[#This Row],[centro_costo]],tblCECO[codigo],tblCECO[coordinador],"(sin catálogo)"))</f>
        <v/>
      </c>
      <c r="Y976" s="3">
        <f>IF(tblOrdenes[[#This Row],[puesto_trabajo]]="","",_xlfn.XLOOKUP(tblOrdenes[[#This Row],[puesto_trabajo]],tblPuestos[codigo],tblPuestos[especialidad],"(sin catálogo)"))</f>
        <v/>
      </c>
      <c r="Z976" s="3">
        <f>IF(tblOrdenes[[#This Row],[cod_actividad]]="","",_xlfn.XLOOKUP(tblOrdenes[[#This Row],[cod_actividad]],tblActividades[codigo],tblActividades[descripcion],"(sin catálogo)"))</f>
        <v/>
      </c>
      <c r="AA976" s="13">
        <f>IF(tblOrdenes[[#This Row],[fecha_inicio]]="","",TODAY()-tblOrdenes[[#This Row],[fecha_inicio]])</f>
        <v/>
      </c>
      <c r="AB9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6" s="3">
        <f>IF(tblOrdenes[[#This Row],[backlog_habiles]]="","",IF(tblOrdenes[[#This Row],[backlog_habiles]]&lt;0,"FUTURO",IF(tblOrdenes[[#This Row],[backlog_habiles]]&gt;p_dias_backlog_max,"BACKLOG","MES CORRIENTE")))</f>
        <v/>
      </c>
      <c r="AD976" s="3">
        <f>IF(tblOrdenes[[#This Row],[backlog_habiles]]="",FALSE,AND(tblOrdenes[[#This Row],[backlog_habiles]]&gt;p_dias_backlog_min,tblOrdenes[[#This Row],[backlog_habiles]]&lt;=p_dias_backlog_max))</f>
        <v/>
      </c>
      <c r="AE976" s="6" t="n"/>
      <c r="AF9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6" s="11">
        <f>IF(tblOrdenes[[#This Row],[orden]]="","",_xlfn.XLOOKUP(tblOrdenes[[#This Row],[id_operacion]],tblEjecucion[id_operacion],tblEjecucion[precio],0))</f>
        <v/>
      </c>
      <c r="AJ976" s="11">
        <f>IF(tblOrdenes[[#This Row],[orden]]="","",MAX(0,_xlfn.XLOOKUP(tblOrdenes[[#This Row],[id_operacion]],tblEjecucion[id_operacion],tblEjecucion[costo_plan_total],0)-tblOrdenes[[#This Row],[costo_servicio]]))</f>
        <v/>
      </c>
      <c r="AK976" s="11">
        <f>IF(tblOrdenes[[#This Row],[orden]]="","",tblOrdenes[[#This Row],[costo_servicio]]+tblOrdenes[[#This Row],[costo_materiales]])</f>
        <v/>
      </c>
      <c r="AL976" s="6" t="n"/>
      <c r="AM976" s="6" t="n"/>
      <c r="AN976" s="6" t="n"/>
      <c r="AO976" s="3">
        <f>IF(tblOrdenes[[#This Row],[link_checklist]]="","",HYPERLINK(p_ruta_base_checklists&amp;tblOrdenes[[#This Row],[link_checklist]],"abrir"))</f>
        <v/>
      </c>
      <c r="AP976" s="6" t="n"/>
      <c r="AQ976" s="3">
        <f>IF(tblOrdenes[[#This Row],[orden]]="","",tblOrdenes[[#This Row],[orden]]&amp;IF(tblOrdenes[[#This Row],[operacion]]="","0010",tblOrdenes[[#This Row],[operacion]]))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2" t="n"/>
      <c r="K977" s="3" t="n"/>
      <c r="L977" s="11" t="n"/>
      <c r="M9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7" s="3">
        <f>IF(tblOrdenes[[#This Row],[fecha_inicio]]="","",YEAR(tblOrdenes[[#This Row],[fecha_inicio]]))</f>
        <v/>
      </c>
      <c r="Q977" s="3">
        <f>IF(tblOrdenes[[#This Row],[fecha_inicio]]="","",MONTH(tblOrdenes[[#This Row],[fecha_inicio]]))</f>
        <v/>
      </c>
      <c r="R977" s="3">
        <f>IF(tblOrdenes[[#This Row],[fecha_inicio]]="","",INDEX(lista_dias,WEEKDAY(tblOrdenes[[#This Row],[fecha_inicio]],2)))</f>
        <v/>
      </c>
      <c r="S9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7" s="3">
        <f>IF(tblOrdenes[[#This Row],[tipo_ot]]="","",_xlfn.XLOOKUP(tblOrdenes[[#This Row],[tipo_ot]],tblTiposOT[codigo],tblTiposOT[clasificacion],"sin_clasificar"))</f>
        <v/>
      </c>
      <c r="U977" s="3">
        <f>IF(tblOrdenes[[#This Row],[centro_costo]]="","",_xlfn.XLOOKUP(tblOrdenes[[#This Row],[centro_costo]],tblCECO[codigo],tblCECO[linea],"(sin catálogo)"))</f>
        <v/>
      </c>
      <c r="V977" s="3">
        <f>IF(tblOrdenes[[#This Row],[centro_costo]]="","",_xlfn.XLOOKUP(tblOrdenes[[#This Row],[centro_costo]],tblCECO[codigo],tblCECO[area],"(sin catálogo)"))</f>
        <v/>
      </c>
      <c r="W9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7" s="3">
        <f>IF(tblOrdenes[[#This Row],[centro_costo]]="","",_xlfn.XLOOKUP(tblOrdenes[[#This Row],[centro_costo]],tblCECO[codigo],tblCECO[coordinador],"(sin catálogo)"))</f>
        <v/>
      </c>
      <c r="Y977" s="3">
        <f>IF(tblOrdenes[[#This Row],[puesto_trabajo]]="","",_xlfn.XLOOKUP(tblOrdenes[[#This Row],[puesto_trabajo]],tblPuestos[codigo],tblPuestos[especialidad],"(sin catálogo)"))</f>
        <v/>
      </c>
      <c r="Z977" s="3">
        <f>IF(tblOrdenes[[#This Row],[cod_actividad]]="","",_xlfn.XLOOKUP(tblOrdenes[[#This Row],[cod_actividad]],tblActividades[codigo],tblActividades[descripcion],"(sin catálogo)"))</f>
        <v/>
      </c>
      <c r="AA977" s="13">
        <f>IF(tblOrdenes[[#This Row],[fecha_inicio]]="","",TODAY()-tblOrdenes[[#This Row],[fecha_inicio]])</f>
        <v/>
      </c>
      <c r="AB9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7" s="3">
        <f>IF(tblOrdenes[[#This Row],[backlog_habiles]]="","",IF(tblOrdenes[[#This Row],[backlog_habiles]]&lt;0,"FUTURO",IF(tblOrdenes[[#This Row],[backlog_habiles]]&gt;p_dias_backlog_max,"BACKLOG","MES CORRIENTE")))</f>
        <v/>
      </c>
      <c r="AD977" s="3">
        <f>IF(tblOrdenes[[#This Row],[backlog_habiles]]="",FALSE,AND(tblOrdenes[[#This Row],[backlog_habiles]]&gt;p_dias_backlog_min,tblOrdenes[[#This Row],[backlog_habiles]]&lt;=p_dias_backlog_max))</f>
        <v/>
      </c>
      <c r="AE977" s="6" t="n"/>
      <c r="AF9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7" s="11">
        <f>IF(tblOrdenes[[#This Row],[orden]]="","",_xlfn.XLOOKUP(tblOrdenes[[#This Row],[id_operacion]],tblEjecucion[id_operacion],tblEjecucion[precio],0))</f>
        <v/>
      </c>
      <c r="AJ977" s="11">
        <f>IF(tblOrdenes[[#This Row],[orden]]="","",MAX(0,_xlfn.XLOOKUP(tblOrdenes[[#This Row],[id_operacion]],tblEjecucion[id_operacion],tblEjecucion[costo_plan_total],0)-tblOrdenes[[#This Row],[costo_servicio]]))</f>
        <v/>
      </c>
      <c r="AK977" s="11">
        <f>IF(tblOrdenes[[#This Row],[orden]]="","",tblOrdenes[[#This Row],[costo_servicio]]+tblOrdenes[[#This Row],[costo_materiales]])</f>
        <v/>
      </c>
      <c r="AL977" s="6" t="n"/>
      <c r="AM977" s="6" t="n"/>
      <c r="AN977" s="6" t="n"/>
      <c r="AO977" s="3">
        <f>IF(tblOrdenes[[#This Row],[link_checklist]]="","",HYPERLINK(p_ruta_base_checklists&amp;tblOrdenes[[#This Row],[link_checklist]],"abrir"))</f>
        <v/>
      </c>
      <c r="AP977" s="6" t="n"/>
      <c r="AQ977" s="3">
        <f>IF(tblOrdenes[[#This Row],[orden]]="","",tblOrdenes[[#This Row],[orden]]&amp;IF(tblOrdenes[[#This Row],[operacion]]="","0010",tblOrdenes[[#This Row],[operacion]]))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2" t="n"/>
      <c r="K978" s="3" t="n"/>
      <c r="L978" s="11" t="n"/>
      <c r="M9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8" s="3">
        <f>IF(tblOrdenes[[#This Row],[fecha_inicio]]="","",YEAR(tblOrdenes[[#This Row],[fecha_inicio]]))</f>
        <v/>
      </c>
      <c r="Q978" s="3">
        <f>IF(tblOrdenes[[#This Row],[fecha_inicio]]="","",MONTH(tblOrdenes[[#This Row],[fecha_inicio]]))</f>
        <v/>
      </c>
      <c r="R978" s="3">
        <f>IF(tblOrdenes[[#This Row],[fecha_inicio]]="","",INDEX(lista_dias,WEEKDAY(tblOrdenes[[#This Row],[fecha_inicio]],2)))</f>
        <v/>
      </c>
      <c r="S9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8" s="3">
        <f>IF(tblOrdenes[[#This Row],[tipo_ot]]="","",_xlfn.XLOOKUP(tblOrdenes[[#This Row],[tipo_ot]],tblTiposOT[codigo],tblTiposOT[clasificacion],"sin_clasificar"))</f>
        <v/>
      </c>
      <c r="U978" s="3">
        <f>IF(tblOrdenes[[#This Row],[centro_costo]]="","",_xlfn.XLOOKUP(tblOrdenes[[#This Row],[centro_costo]],tblCECO[codigo],tblCECO[linea],"(sin catálogo)"))</f>
        <v/>
      </c>
      <c r="V978" s="3">
        <f>IF(tblOrdenes[[#This Row],[centro_costo]]="","",_xlfn.XLOOKUP(tblOrdenes[[#This Row],[centro_costo]],tblCECO[codigo],tblCECO[area],"(sin catálogo)"))</f>
        <v/>
      </c>
      <c r="W9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8" s="3">
        <f>IF(tblOrdenes[[#This Row],[centro_costo]]="","",_xlfn.XLOOKUP(tblOrdenes[[#This Row],[centro_costo]],tblCECO[codigo],tblCECO[coordinador],"(sin catálogo)"))</f>
        <v/>
      </c>
      <c r="Y978" s="3">
        <f>IF(tblOrdenes[[#This Row],[puesto_trabajo]]="","",_xlfn.XLOOKUP(tblOrdenes[[#This Row],[puesto_trabajo]],tblPuestos[codigo],tblPuestos[especialidad],"(sin catálogo)"))</f>
        <v/>
      </c>
      <c r="Z978" s="3">
        <f>IF(tblOrdenes[[#This Row],[cod_actividad]]="","",_xlfn.XLOOKUP(tblOrdenes[[#This Row],[cod_actividad]],tblActividades[codigo],tblActividades[descripcion],"(sin catálogo)"))</f>
        <v/>
      </c>
      <c r="AA978" s="13">
        <f>IF(tblOrdenes[[#This Row],[fecha_inicio]]="","",TODAY()-tblOrdenes[[#This Row],[fecha_inicio]])</f>
        <v/>
      </c>
      <c r="AB9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8" s="3">
        <f>IF(tblOrdenes[[#This Row],[backlog_habiles]]="","",IF(tblOrdenes[[#This Row],[backlog_habiles]]&lt;0,"FUTURO",IF(tblOrdenes[[#This Row],[backlog_habiles]]&gt;p_dias_backlog_max,"BACKLOG","MES CORRIENTE")))</f>
        <v/>
      </c>
      <c r="AD978" s="3">
        <f>IF(tblOrdenes[[#This Row],[backlog_habiles]]="",FALSE,AND(tblOrdenes[[#This Row],[backlog_habiles]]&gt;p_dias_backlog_min,tblOrdenes[[#This Row],[backlog_habiles]]&lt;=p_dias_backlog_max))</f>
        <v/>
      </c>
      <c r="AE978" s="6" t="n"/>
      <c r="AF9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8" s="11">
        <f>IF(tblOrdenes[[#This Row],[orden]]="","",_xlfn.XLOOKUP(tblOrdenes[[#This Row],[id_operacion]],tblEjecucion[id_operacion],tblEjecucion[precio],0))</f>
        <v/>
      </c>
      <c r="AJ978" s="11">
        <f>IF(tblOrdenes[[#This Row],[orden]]="","",MAX(0,_xlfn.XLOOKUP(tblOrdenes[[#This Row],[id_operacion]],tblEjecucion[id_operacion],tblEjecucion[costo_plan_total],0)-tblOrdenes[[#This Row],[costo_servicio]]))</f>
        <v/>
      </c>
      <c r="AK978" s="11">
        <f>IF(tblOrdenes[[#This Row],[orden]]="","",tblOrdenes[[#This Row],[costo_servicio]]+tblOrdenes[[#This Row],[costo_materiales]])</f>
        <v/>
      </c>
      <c r="AL978" s="6" t="n"/>
      <c r="AM978" s="6" t="n"/>
      <c r="AN978" s="6" t="n"/>
      <c r="AO978" s="3">
        <f>IF(tblOrdenes[[#This Row],[link_checklist]]="","",HYPERLINK(p_ruta_base_checklists&amp;tblOrdenes[[#This Row],[link_checklist]],"abrir"))</f>
        <v/>
      </c>
      <c r="AP978" s="6" t="n"/>
      <c r="AQ978" s="3">
        <f>IF(tblOrdenes[[#This Row],[orden]]="","",tblOrdenes[[#This Row],[orden]]&amp;IF(tblOrdenes[[#This Row],[operacion]]="","0010",tblOrdenes[[#This Row],[operacion]]))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2" t="n"/>
      <c r="K979" s="3" t="n"/>
      <c r="L979" s="11" t="n"/>
      <c r="M9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9" s="3">
        <f>IF(tblOrdenes[[#This Row],[fecha_inicio]]="","",YEAR(tblOrdenes[[#This Row],[fecha_inicio]]))</f>
        <v/>
      </c>
      <c r="Q979" s="3">
        <f>IF(tblOrdenes[[#This Row],[fecha_inicio]]="","",MONTH(tblOrdenes[[#This Row],[fecha_inicio]]))</f>
        <v/>
      </c>
      <c r="R979" s="3">
        <f>IF(tblOrdenes[[#This Row],[fecha_inicio]]="","",INDEX(lista_dias,WEEKDAY(tblOrdenes[[#This Row],[fecha_inicio]],2)))</f>
        <v/>
      </c>
      <c r="S9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9" s="3">
        <f>IF(tblOrdenes[[#This Row],[tipo_ot]]="","",_xlfn.XLOOKUP(tblOrdenes[[#This Row],[tipo_ot]],tblTiposOT[codigo],tblTiposOT[clasificacion],"sin_clasificar"))</f>
        <v/>
      </c>
      <c r="U979" s="3">
        <f>IF(tblOrdenes[[#This Row],[centro_costo]]="","",_xlfn.XLOOKUP(tblOrdenes[[#This Row],[centro_costo]],tblCECO[codigo],tblCECO[linea],"(sin catálogo)"))</f>
        <v/>
      </c>
      <c r="V979" s="3">
        <f>IF(tblOrdenes[[#This Row],[centro_costo]]="","",_xlfn.XLOOKUP(tblOrdenes[[#This Row],[centro_costo]],tblCECO[codigo],tblCECO[area],"(sin catálogo)"))</f>
        <v/>
      </c>
      <c r="W9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9" s="3">
        <f>IF(tblOrdenes[[#This Row],[centro_costo]]="","",_xlfn.XLOOKUP(tblOrdenes[[#This Row],[centro_costo]],tblCECO[codigo],tblCECO[coordinador],"(sin catálogo)"))</f>
        <v/>
      </c>
      <c r="Y979" s="3">
        <f>IF(tblOrdenes[[#This Row],[puesto_trabajo]]="","",_xlfn.XLOOKUP(tblOrdenes[[#This Row],[puesto_trabajo]],tblPuestos[codigo],tblPuestos[especialidad],"(sin catálogo)"))</f>
        <v/>
      </c>
      <c r="Z979" s="3">
        <f>IF(tblOrdenes[[#This Row],[cod_actividad]]="","",_xlfn.XLOOKUP(tblOrdenes[[#This Row],[cod_actividad]],tblActividades[codigo],tblActividades[descripcion],"(sin catálogo)"))</f>
        <v/>
      </c>
      <c r="AA979" s="13">
        <f>IF(tblOrdenes[[#This Row],[fecha_inicio]]="","",TODAY()-tblOrdenes[[#This Row],[fecha_inicio]])</f>
        <v/>
      </c>
      <c r="AB9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9" s="3">
        <f>IF(tblOrdenes[[#This Row],[backlog_habiles]]="","",IF(tblOrdenes[[#This Row],[backlog_habiles]]&lt;0,"FUTURO",IF(tblOrdenes[[#This Row],[backlog_habiles]]&gt;p_dias_backlog_max,"BACKLOG","MES CORRIENTE")))</f>
        <v/>
      </c>
      <c r="AD979" s="3">
        <f>IF(tblOrdenes[[#This Row],[backlog_habiles]]="",FALSE,AND(tblOrdenes[[#This Row],[backlog_habiles]]&gt;p_dias_backlog_min,tblOrdenes[[#This Row],[backlog_habiles]]&lt;=p_dias_backlog_max))</f>
        <v/>
      </c>
      <c r="AE979" s="6" t="n"/>
      <c r="AF9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9" s="11">
        <f>IF(tblOrdenes[[#This Row],[orden]]="","",_xlfn.XLOOKUP(tblOrdenes[[#This Row],[id_operacion]],tblEjecucion[id_operacion],tblEjecucion[precio],0))</f>
        <v/>
      </c>
      <c r="AJ979" s="11">
        <f>IF(tblOrdenes[[#This Row],[orden]]="","",MAX(0,_xlfn.XLOOKUP(tblOrdenes[[#This Row],[id_operacion]],tblEjecucion[id_operacion],tblEjecucion[costo_plan_total],0)-tblOrdenes[[#This Row],[costo_servicio]]))</f>
        <v/>
      </c>
      <c r="AK979" s="11">
        <f>IF(tblOrdenes[[#This Row],[orden]]="","",tblOrdenes[[#This Row],[costo_servicio]]+tblOrdenes[[#This Row],[costo_materiales]])</f>
        <v/>
      </c>
      <c r="AL979" s="6" t="n"/>
      <c r="AM979" s="6" t="n"/>
      <c r="AN979" s="6" t="n"/>
      <c r="AO979" s="3">
        <f>IF(tblOrdenes[[#This Row],[link_checklist]]="","",HYPERLINK(p_ruta_base_checklists&amp;tblOrdenes[[#This Row],[link_checklist]],"abrir"))</f>
        <v/>
      </c>
      <c r="AP979" s="6" t="n"/>
      <c r="AQ979" s="3">
        <f>IF(tblOrdenes[[#This Row],[orden]]="","",tblOrdenes[[#This Row],[orden]]&amp;IF(tblOrdenes[[#This Row],[operacion]]="","0010",tblOrdenes[[#This Row],[operacion]]))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2" t="n"/>
      <c r="K980" s="3" t="n"/>
      <c r="L980" s="11" t="n"/>
      <c r="M9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0" s="3">
        <f>IF(tblOrdenes[[#This Row],[fecha_inicio]]="","",YEAR(tblOrdenes[[#This Row],[fecha_inicio]]))</f>
        <v/>
      </c>
      <c r="Q980" s="3">
        <f>IF(tblOrdenes[[#This Row],[fecha_inicio]]="","",MONTH(tblOrdenes[[#This Row],[fecha_inicio]]))</f>
        <v/>
      </c>
      <c r="R980" s="3">
        <f>IF(tblOrdenes[[#This Row],[fecha_inicio]]="","",INDEX(lista_dias,WEEKDAY(tblOrdenes[[#This Row],[fecha_inicio]],2)))</f>
        <v/>
      </c>
      <c r="S9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0" s="3">
        <f>IF(tblOrdenes[[#This Row],[tipo_ot]]="","",_xlfn.XLOOKUP(tblOrdenes[[#This Row],[tipo_ot]],tblTiposOT[codigo],tblTiposOT[clasificacion],"sin_clasificar"))</f>
        <v/>
      </c>
      <c r="U980" s="3">
        <f>IF(tblOrdenes[[#This Row],[centro_costo]]="","",_xlfn.XLOOKUP(tblOrdenes[[#This Row],[centro_costo]],tblCECO[codigo],tblCECO[linea],"(sin catálogo)"))</f>
        <v/>
      </c>
      <c r="V980" s="3">
        <f>IF(tblOrdenes[[#This Row],[centro_costo]]="","",_xlfn.XLOOKUP(tblOrdenes[[#This Row],[centro_costo]],tblCECO[codigo],tblCECO[area],"(sin catálogo)"))</f>
        <v/>
      </c>
      <c r="W9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0" s="3">
        <f>IF(tblOrdenes[[#This Row],[centro_costo]]="","",_xlfn.XLOOKUP(tblOrdenes[[#This Row],[centro_costo]],tblCECO[codigo],tblCECO[coordinador],"(sin catálogo)"))</f>
        <v/>
      </c>
      <c r="Y980" s="3">
        <f>IF(tblOrdenes[[#This Row],[puesto_trabajo]]="","",_xlfn.XLOOKUP(tblOrdenes[[#This Row],[puesto_trabajo]],tblPuestos[codigo],tblPuestos[especialidad],"(sin catálogo)"))</f>
        <v/>
      </c>
      <c r="Z980" s="3">
        <f>IF(tblOrdenes[[#This Row],[cod_actividad]]="","",_xlfn.XLOOKUP(tblOrdenes[[#This Row],[cod_actividad]],tblActividades[codigo],tblActividades[descripcion],"(sin catálogo)"))</f>
        <v/>
      </c>
      <c r="AA980" s="13">
        <f>IF(tblOrdenes[[#This Row],[fecha_inicio]]="","",TODAY()-tblOrdenes[[#This Row],[fecha_inicio]])</f>
        <v/>
      </c>
      <c r="AB9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0" s="3">
        <f>IF(tblOrdenes[[#This Row],[backlog_habiles]]="","",IF(tblOrdenes[[#This Row],[backlog_habiles]]&lt;0,"FUTURO",IF(tblOrdenes[[#This Row],[backlog_habiles]]&gt;p_dias_backlog_max,"BACKLOG","MES CORRIENTE")))</f>
        <v/>
      </c>
      <c r="AD980" s="3">
        <f>IF(tblOrdenes[[#This Row],[backlog_habiles]]="",FALSE,AND(tblOrdenes[[#This Row],[backlog_habiles]]&gt;p_dias_backlog_min,tblOrdenes[[#This Row],[backlog_habiles]]&lt;=p_dias_backlog_max))</f>
        <v/>
      </c>
      <c r="AE980" s="6" t="n"/>
      <c r="AF9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0" s="11">
        <f>IF(tblOrdenes[[#This Row],[orden]]="","",_xlfn.XLOOKUP(tblOrdenes[[#This Row],[id_operacion]],tblEjecucion[id_operacion],tblEjecucion[precio],0))</f>
        <v/>
      </c>
      <c r="AJ980" s="11">
        <f>IF(tblOrdenes[[#This Row],[orden]]="","",MAX(0,_xlfn.XLOOKUP(tblOrdenes[[#This Row],[id_operacion]],tblEjecucion[id_operacion],tblEjecucion[costo_plan_total],0)-tblOrdenes[[#This Row],[costo_servicio]]))</f>
        <v/>
      </c>
      <c r="AK980" s="11">
        <f>IF(tblOrdenes[[#This Row],[orden]]="","",tblOrdenes[[#This Row],[costo_servicio]]+tblOrdenes[[#This Row],[costo_materiales]])</f>
        <v/>
      </c>
      <c r="AL980" s="6" t="n"/>
      <c r="AM980" s="6" t="n"/>
      <c r="AN980" s="6" t="n"/>
      <c r="AO980" s="3">
        <f>IF(tblOrdenes[[#This Row],[link_checklist]]="","",HYPERLINK(p_ruta_base_checklists&amp;tblOrdenes[[#This Row],[link_checklist]],"abrir"))</f>
        <v/>
      </c>
      <c r="AP980" s="6" t="n"/>
      <c r="AQ980" s="3">
        <f>IF(tblOrdenes[[#This Row],[orden]]="","",tblOrdenes[[#This Row],[orden]]&amp;IF(tblOrdenes[[#This Row],[operacion]]="","0010",tblOrdenes[[#This Row],[operacion]]))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2" t="n"/>
      <c r="K981" s="3" t="n"/>
      <c r="L981" s="11" t="n"/>
      <c r="M9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1" s="3">
        <f>IF(tblOrdenes[[#This Row],[fecha_inicio]]="","",YEAR(tblOrdenes[[#This Row],[fecha_inicio]]))</f>
        <v/>
      </c>
      <c r="Q981" s="3">
        <f>IF(tblOrdenes[[#This Row],[fecha_inicio]]="","",MONTH(tblOrdenes[[#This Row],[fecha_inicio]]))</f>
        <v/>
      </c>
      <c r="R981" s="3">
        <f>IF(tblOrdenes[[#This Row],[fecha_inicio]]="","",INDEX(lista_dias,WEEKDAY(tblOrdenes[[#This Row],[fecha_inicio]],2)))</f>
        <v/>
      </c>
      <c r="S9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1" s="3">
        <f>IF(tblOrdenes[[#This Row],[tipo_ot]]="","",_xlfn.XLOOKUP(tblOrdenes[[#This Row],[tipo_ot]],tblTiposOT[codigo],tblTiposOT[clasificacion],"sin_clasificar"))</f>
        <v/>
      </c>
      <c r="U981" s="3">
        <f>IF(tblOrdenes[[#This Row],[centro_costo]]="","",_xlfn.XLOOKUP(tblOrdenes[[#This Row],[centro_costo]],tblCECO[codigo],tblCECO[linea],"(sin catálogo)"))</f>
        <v/>
      </c>
      <c r="V981" s="3">
        <f>IF(tblOrdenes[[#This Row],[centro_costo]]="","",_xlfn.XLOOKUP(tblOrdenes[[#This Row],[centro_costo]],tblCECO[codigo],tblCECO[area],"(sin catálogo)"))</f>
        <v/>
      </c>
      <c r="W9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1" s="3">
        <f>IF(tblOrdenes[[#This Row],[centro_costo]]="","",_xlfn.XLOOKUP(tblOrdenes[[#This Row],[centro_costo]],tblCECO[codigo],tblCECO[coordinador],"(sin catálogo)"))</f>
        <v/>
      </c>
      <c r="Y981" s="3">
        <f>IF(tblOrdenes[[#This Row],[puesto_trabajo]]="","",_xlfn.XLOOKUP(tblOrdenes[[#This Row],[puesto_trabajo]],tblPuestos[codigo],tblPuestos[especialidad],"(sin catálogo)"))</f>
        <v/>
      </c>
      <c r="Z981" s="3">
        <f>IF(tblOrdenes[[#This Row],[cod_actividad]]="","",_xlfn.XLOOKUP(tblOrdenes[[#This Row],[cod_actividad]],tblActividades[codigo],tblActividades[descripcion],"(sin catálogo)"))</f>
        <v/>
      </c>
      <c r="AA981" s="13">
        <f>IF(tblOrdenes[[#This Row],[fecha_inicio]]="","",TODAY()-tblOrdenes[[#This Row],[fecha_inicio]])</f>
        <v/>
      </c>
      <c r="AB9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1" s="3">
        <f>IF(tblOrdenes[[#This Row],[backlog_habiles]]="","",IF(tblOrdenes[[#This Row],[backlog_habiles]]&lt;0,"FUTURO",IF(tblOrdenes[[#This Row],[backlog_habiles]]&gt;p_dias_backlog_max,"BACKLOG","MES CORRIENTE")))</f>
        <v/>
      </c>
      <c r="AD981" s="3">
        <f>IF(tblOrdenes[[#This Row],[backlog_habiles]]="",FALSE,AND(tblOrdenes[[#This Row],[backlog_habiles]]&gt;p_dias_backlog_min,tblOrdenes[[#This Row],[backlog_habiles]]&lt;=p_dias_backlog_max))</f>
        <v/>
      </c>
      <c r="AE981" s="6" t="n"/>
      <c r="AF9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1" s="11">
        <f>IF(tblOrdenes[[#This Row],[orden]]="","",_xlfn.XLOOKUP(tblOrdenes[[#This Row],[id_operacion]],tblEjecucion[id_operacion],tblEjecucion[precio],0))</f>
        <v/>
      </c>
      <c r="AJ981" s="11">
        <f>IF(tblOrdenes[[#This Row],[orden]]="","",MAX(0,_xlfn.XLOOKUP(tblOrdenes[[#This Row],[id_operacion]],tblEjecucion[id_operacion],tblEjecucion[costo_plan_total],0)-tblOrdenes[[#This Row],[costo_servicio]]))</f>
        <v/>
      </c>
      <c r="AK981" s="11">
        <f>IF(tblOrdenes[[#This Row],[orden]]="","",tblOrdenes[[#This Row],[costo_servicio]]+tblOrdenes[[#This Row],[costo_materiales]])</f>
        <v/>
      </c>
      <c r="AL981" s="6" t="n"/>
      <c r="AM981" s="6" t="n"/>
      <c r="AN981" s="6" t="n"/>
      <c r="AO981" s="3">
        <f>IF(tblOrdenes[[#This Row],[link_checklist]]="","",HYPERLINK(p_ruta_base_checklists&amp;tblOrdenes[[#This Row],[link_checklist]],"abrir"))</f>
        <v/>
      </c>
      <c r="AP981" s="6" t="n"/>
      <c r="AQ981" s="3">
        <f>IF(tblOrdenes[[#This Row],[orden]]="","",tblOrdenes[[#This Row],[orden]]&amp;IF(tblOrdenes[[#This Row],[operacion]]="","0010",tblOrdenes[[#This Row],[operacion]]))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2" t="n"/>
      <c r="K982" s="3" t="n"/>
      <c r="L982" s="11" t="n"/>
      <c r="M9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2" s="3">
        <f>IF(tblOrdenes[[#This Row],[fecha_inicio]]="","",YEAR(tblOrdenes[[#This Row],[fecha_inicio]]))</f>
        <v/>
      </c>
      <c r="Q982" s="3">
        <f>IF(tblOrdenes[[#This Row],[fecha_inicio]]="","",MONTH(tblOrdenes[[#This Row],[fecha_inicio]]))</f>
        <v/>
      </c>
      <c r="R982" s="3">
        <f>IF(tblOrdenes[[#This Row],[fecha_inicio]]="","",INDEX(lista_dias,WEEKDAY(tblOrdenes[[#This Row],[fecha_inicio]],2)))</f>
        <v/>
      </c>
      <c r="S9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2" s="3">
        <f>IF(tblOrdenes[[#This Row],[tipo_ot]]="","",_xlfn.XLOOKUP(tblOrdenes[[#This Row],[tipo_ot]],tblTiposOT[codigo],tblTiposOT[clasificacion],"sin_clasificar"))</f>
        <v/>
      </c>
      <c r="U982" s="3">
        <f>IF(tblOrdenes[[#This Row],[centro_costo]]="","",_xlfn.XLOOKUP(tblOrdenes[[#This Row],[centro_costo]],tblCECO[codigo],tblCECO[linea],"(sin catálogo)"))</f>
        <v/>
      </c>
      <c r="V982" s="3">
        <f>IF(tblOrdenes[[#This Row],[centro_costo]]="","",_xlfn.XLOOKUP(tblOrdenes[[#This Row],[centro_costo]],tblCECO[codigo],tblCECO[area],"(sin catálogo)"))</f>
        <v/>
      </c>
      <c r="W9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2" s="3">
        <f>IF(tblOrdenes[[#This Row],[centro_costo]]="","",_xlfn.XLOOKUP(tblOrdenes[[#This Row],[centro_costo]],tblCECO[codigo],tblCECO[coordinador],"(sin catálogo)"))</f>
        <v/>
      </c>
      <c r="Y982" s="3">
        <f>IF(tblOrdenes[[#This Row],[puesto_trabajo]]="","",_xlfn.XLOOKUP(tblOrdenes[[#This Row],[puesto_trabajo]],tblPuestos[codigo],tblPuestos[especialidad],"(sin catálogo)"))</f>
        <v/>
      </c>
      <c r="Z982" s="3">
        <f>IF(tblOrdenes[[#This Row],[cod_actividad]]="","",_xlfn.XLOOKUP(tblOrdenes[[#This Row],[cod_actividad]],tblActividades[codigo],tblActividades[descripcion],"(sin catálogo)"))</f>
        <v/>
      </c>
      <c r="AA982" s="13">
        <f>IF(tblOrdenes[[#This Row],[fecha_inicio]]="","",TODAY()-tblOrdenes[[#This Row],[fecha_inicio]])</f>
        <v/>
      </c>
      <c r="AB9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2" s="3">
        <f>IF(tblOrdenes[[#This Row],[backlog_habiles]]="","",IF(tblOrdenes[[#This Row],[backlog_habiles]]&lt;0,"FUTURO",IF(tblOrdenes[[#This Row],[backlog_habiles]]&gt;p_dias_backlog_max,"BACKLOG","MES CORRIENTE")))</f>
        <v/>
      </c>
      <c r="AD982" s="3">
        <f>IF(tblOrdenes[[#This Row],[backlog_habiles]]="",FALSE,AND(tblOrdenes[[#This Row],[backlog_habiles]]&gt;p_dias_backlog_min,tblOrdenes[[#This Row],[backlog_habiles]]&lt;=p_dias_backlog_max))</f>
        <v/>
      </c>
      <c r="AE982" s="6" t="n"/>
      <c r="AF9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2" s="11">
        <f>IF(tblOrdenes[[#This Row],[orden]]="","",_xlfn.XLOOKUP(tblOrdenes[[#This Row],[id_operacion]],tblEjecucion[id_operacion],tblEjecucion[precio],0))</f>
        <v/>
      </c>
      <c r="AJ982" s="11">
        <f>IF(tblOrdenes[[#This Row],[orden]]="","",MAX(0,_xlfn.XLOOKUP(tblOrdenes[[#This Row],[id_operacion]],tblEjecucion[id_operacion],tblEjecucion[costo_plan_total],0)-tblOrdenes[[#This Row],[costo_servicio]]))</f>
        <v/>
      </c>
      <c r="AK982" s="11">
        <f>IF(tblOrdenes[[#This Row],[orden]]="","",tblOrdenes[[#This Row],[costo_servicio]]+tblOrdenes[[#This Row],[costo_materiales]])</f>
        <v/>
      </c>
      <c r="AL982" s="6" t="n"/>
      <c r="AM982" s="6" t="n"/>
      <c r="AN982" s="6" t="n"/>
      <c r="AO982" s="3">
        <f>IF(tblOrdenes[[#This Row],[link_checklist]]="","",HYPERLINK(p_ruta_base_checklists&amp;tblOrdenes[[#This Row],[link_checklist]],"abrir"))</f>
        <v/>
      </c>
      <c r="AP982" s="6" t="n"/>
      <c r="AQ982" s="3">
        <f>IF(tblOrdenes[[#This Row],[orden]]="","",tblOrdenes[[#This Row],[orden]]&amp;IF(tblOrdenes[[#This Row],[operacion]]="","0010",tblOrdenes[[#This Row],[operacion]]))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2" t="n"/>
      <c r="K983" s="3" t="n"/>
      <c r="L983" s="11" t="n"/>
      <c r="M9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3" s="3">
        <f>IF(tblOrdenes[[#This Row],[fecha_inicio]]="","",YEAR(tblOrdenes[[#This Row],[fecha_inicio]]))</f>
        <v/>
      </c>
      <c r="Q983" s="3">
        <f>IF(tblOrdenes[[#This Row],[fecha_inicio]]="","",MONTH(tblOrdenes[[#This Row],[fecha_inicio]]))</f>
        <v/>
      </c>
      <c r="R983" s="3">
        <f>IF(tblOrdenes[[#This Row],[fecha_inicio]]="","",INDEX(lista_dias,WEEKDAY(tblOrdenes[[#This Row],[fecha_inicio]],2)))</f>
        <v/>
      </c>
      <c r="S9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3" s="3">
        <f>IF(tblOrdenes[[#This Row],[tipo_ot]]="","",_xlfn.XLOOKUP(tblOrdenes[[#This Row],[tipo_ot]],tblTiposOT[codigo],tblTiposOT[clasificacion],"sin_clasificar"))</f>
        <v/>
      </c>
      <c r="U983" s="3">
        <f>IF(tblOrdenes[[#This Row],[centro_costo]]="","",_xlfn.XLOOKUP(tblOrdenes[[#This Row],[centro_costo]],tblCECO[codigo],tblCECO[linea],"(sin catálogo)"))</f>
        <v/>
      </c>
      <c r="V983" s="3">
        <f>IF(tblOrdenes[[#This Row],[centro_costo]]="","",_xlfn.XLOOKUP(tblOrdenes[[#This Row],[centro_costo]],tblCECO[codigo],tblCECO[area],"(sin catálogo)"))</f>
        <v/>
      </c>
      <c r="W9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3" s="3">
        <f>IF(tblOrdenes[[#This Row],[centro_costo]]="","",_xlfn.XLOOKUP(tblOrdenes[[#This Row],[centro_costo]],tblCECO[codigo],tblCECO[coordinador],"(sin catálogo)"))</f>
        <v/>
      </c>
      <c r="Y983" s="3">
        <f>IF(tblOrdenes[[#This Row],[puesto_trabajo]]="","",_xlfn.XLOOKUP(tblOrdenes[[#This Row],[puesto_trabajo]],tblPuestos[codigo],tblPuestos[especialidad],"(sin catálogo)"))</f>
        <v/>
      </c>
      <c r="Z983" s="3">
        <f>IF(tblOrdenes[[#This Row],[cod_actividad]]="","",_xlfn.XLOOKUP(tblOrdenes[[#This Row],[cod_actividad]],tblActividades[codigo],tblActividades[descripcion],"(sin catálogo)"))</f>
        <v/>
      </c>
      <c r="AA983" s="13">
        <f>IF(tblOrdenes[[#This Row],[fecha_inicio]]="","",TODAY()-tblOrdenes[[#This Row],[fecha_inicio]])</f>
        <v/>
      </c>
      <c r="AB9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3" s="3">
        <f>IF(tblOrdenes[[#This Row],[backlog_habiles]]="","",IF(tblOrdenes[[#This Row],[backlog_habiles]]&lt;0,"FUTURO",IF(tblOrdenes[[#This Row],[backlog_habiles]]&gt;p_dias_backlog_max,"BACKLOG","MES CORRIENTE")))</f>
        <v/>
      </c>
      <c r="AD983" s="3">
        <f>IF(tblOrdenes[[#This Row],[backlog_habiles]]="",FALSE,AND(tblOrdenes[[#This Row],[backlog_habiles]]&gt;p_dias_backlog_min,tblOrdenes[[#This Row],[backlog_habiles]]&lt;=p_dias_backlog_max))</f>
        <v/>
      </c>
      <c r="AE983" s="6" t="n"/>
      <c r="AF9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3" s="11">
        <f>IF(tblOrdenes[[#This Row],[orden]]="","",_xlfn.XLOOKUP(tblOrdenes[[#This Row],[id_operacion]],tblEjecucion[id_operacion],tblEjecucion[precio],0))</f>
        <v/>
      </c>
      <c r="AJ983" s="11">
        <f>IF(tblOrdenes[[#This Row],[orden]]="","",MAX(0,_xlfn.XLOOKUP(tblOrdenes[[#This Row],[id_operacion]],tblEjecucion[id_operacion],tblEjecucion[costo_plan_total],0)-tblOrdenes[[#This Row],[costo_servicio]]))</f>
        <v/>
      </c>
      <c r="AK983" s="11">
        <f>IF(tblOrdenes[[#This Row],[orden]]="","",tblOrdenes[[#This Row],[costo_servicio]]+tblOrdenes[[#This Row],[costo_materiales]])</f>
        <v/>
      </c>
      <c r="AL983" s="6" t="n"/>
      <c r="AM983" s="6" t="n"/>
      <c r="AN983" s="6" t="n"/>
      <c r="AO983" s="3">
        <f>IF(tblOrdenes[[#This Row],[link_checklist]]="","",HYPERLINK(p_ruta_base_checklists&amp;tblOrdenes[[#This Row],[link_checklist]],"abrir"))</f>
        <v/>
      </c>
      <c r="AP983" s="6" t="n"/>
      <c r="AQ983" s="3">
        <f>IF(tblOrdenes[[#This Row],[orden]]="","",tblOrdenes[[#This Row],[orden]]&amp;IF(tblOrdenes[[#This Row],[operacion]]="","0010",tblOrdenes[[#This Row],[operacion]]))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2" t="n"/>
      <c r="K984" s="3" t="n"/>
      <c r="L984" s="11" t="n"/>
      <c r="M9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4" s="3">
        <f>IF(tblOrdenes[[#This Row],[fecha_inicio]]="","",YEAR(tblOrdenes[[#This Row],[fecha_inicio]]))</f>
        <v/>
      </c>
      <c r="Q984" s="3">
        <f>IF(tblOrdenes[[#This Row],[fecha_inicio]]="","",MONTH(tblOrdenes[[#This Row],[fecha_inicio]]))</f>
        <v/>
      </c>
      <c r="R984" s="3">
        <f>IF(tblOrdenes[[#This Row],[fecha_inicio]]="","",INDEX(lista_dias,WEEKDAY(tblOrdenes[[#This Row],[fecha_inicio]],2)))</f>
        <v/>
      </c>
      <c r="S9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4" s="3">
        <f>IF(tblOrdenes[[#This Row],[tipo_ot]]="","",_xlfn.XLOOKUP(tblOrdenes[[#This Row],[tipo_ot]],tblTiposOT[codigo],tblTiposOT[clasificacion],"sin_clasificar"))</f>
        <v/>
      </c>
      <c r="U984" s="3">
        <f>IF(tblOrdenes[[#This Row],[centro_costo]]="","",_xlfn.XLOOKUP(tblOrdenes[[#This Row],[centro_costo]],tblCECO[codigo],tblCECO[linea],"(sin catálogo)"))</f>
        <v/>
      </c>
      <c r="V984" s="3">
        <f>IF(tblOrdenes[[#This Row],[centro_costo]]="","",_xlfn.XLOOKUP(tblOrdenes[[#This Row],[centro_costo]],tblCECO[codigo],tblCECO[area],"(sin catálogo)"))</f>
        <v/>
      </c>
      <c r="W9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4" s="3">
        <f>IF(tblOrdenes[[#This Row],[centro_costo]]="","",_xlfn.XLOOKUP(tblOrdenes[[#This Row],[centro_costo]],tblCECO[codigo],tblCECO[coordinador],"(sin catálogo)"))</f>
        <v/>
      </c>
      <c r="Y984" s="3">
        <f>IF(tblOrdenes[[#This Row],[puesto_trabajo]]="","",_xlfn.XLOOKUP(tblOrdenes[[#This Row],[puesto_trabajo]],tblPuestos[codigo],tblPuestos[especialidad],"(sin catálogo)"))</f>
        <v/>
      </c>
      <c r="Z984" s="3">
        <f>IF(tblOrdenes[[#This Row],[cod_actividad]]="","",_xlfn.XLOOKUP(tblOrdenes[[#This Row],[cod_actividad]],tblActividades[codigo],tblActividades[descripcion],"(sin catálogo)"))</f>
        <v/>
      </c>
      <c r="AA984" s="13">
        <f>IF(tblOrdenes[[#This Row],[fecha_inicio]]="","",TODAY()-tblOrdenes[[#This Row],[fecha_inicio]])</f>
        <v/>
      </c>
      <c r="AB9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4" s="3">
        <f>IF(tblOrdenes[[#This Row],[backlog_habiles]]="","",IF(tblOrdenes[[#This Row],[backlog_habiles]]&lt;0,"FUTURO",IF(tblOrdenes[[#This Row],[backlog_habiles]]&gt;p_dias_backlog_max,"BACKLOG","MES CORRIENTE")))</f>
        <v/>
      </c>
      <c r="AD984" s="3">
        <f>IF(tblOrdenes[[#This Row],[backlog_habiles]]="",FALSE,AND(tblOrdenes[[#This Row],[backlog_habiles]]&gt;p_dias_backlog_min,tblOrdenes[[#This Row],[backlog_habiles]]&lt;=p_dias_backlog_max))</f>
        <v/>
      </c>
      <c r="AE984" s="6" t="n"/>
      <c r="AF9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4" s="11">
        <f>IF(tblOrdenes[[#This Row],[orden]]="","",_xlfn.XLOOKUP(tblOrdenes[[#This Row],[id_operacion]],tblEjecucion[id_operacion],tblEjecucion[precio],0))</f>
        <v/>
      </c>
      <c r="AJ984" s="11">
        <f>IF(tblOrdenes[[#This Row],[orden]]="","",MAX(0,_xlfn.XLOOKUP(tblOrdenes[[#This Row],[id_operacion]],tblEjecucion[id_operacion],tblEjecucion[costo_plan_total],0)-tblOrdenes[[#This Row],[costo_servicio]]))</f>
        <v/>
      </c>
      <c r="AK984" s="11">
        <f>IF(tblOrdenes[[#This Row],[orden]]="","",tblOrdenes[[#This Row],[costo_servicio]]+tblOrdenes[[#This Row],[costo_materiales]])</f>
        <v/>
      </c>
      <c r="AL984" s="6" t="n"/>
      <c r="AM984" s="6" t="n"/>
      <c r="AN984" s="6" t="n"/>
      <c r="AO984" s="3">
        <f>IF(tblOrdenes[[#This Row],[link_checklist]]="","",HYPERLINK(p_ruta_base_checklists&amp;tblOrdenes[[#This Row],[link_checklist]],"abrir"))</f>
        <v/>
      </c>
      <c r="AP984" s="6" t="n"/>
      <c r="AQ984" s="3">
        <f>IF(tblOrdenes[[#This Row],[orden]]="","",tblOrdenes[[#This Row],[orden]]&amp;IF(tblOrdenes[[#This Row],[operacion]]="","0010",tblOrdenes[[#This Row],[operacion]]))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2" t="n"/>
      <c r="K985" s="3" t="n"/>
      <c r="L985" s="11" t="n"/>
      <c r="M9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5" s="3">
        <f>IF(tblOrdenes[[#This Row],[fecha_inicio]]="","",YEAR(tblOrdenes[[#This Row],[fecha_inicio]]))</f>
        <v/>
      </c>
      <c r="Q985" s="3">
        <f>IF(tblOrdenes[[#This Row],[fecha_inicio]]="","",MONTH(tblOrdenes[[#This Row],[fecha_inicio]]))</f>
        <v/>
      </c>
      <c r="R985" s="3">
        <f>IF(tblOrdenes[[#This Row],[fecha_inicio]]="","",INDEX(lista_dias,WEEKDAY(tblOrdenes[[#This Row],[fecha_inicio]],2)))</f>
        <v/>
      </c>
      <c r="S9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5" s="3">
        <f>IF(tblOrdenes[[#This Row],[tipo_ot]]="","",_xlfn.XLOOKUP(tblOrdenes[[#This Row],[tipo_ot]],tblTiposOT[codigo],tblTiposOT[clasificacion],"sin_clasificar"))</f>
        <v/>
      </c>
      <c r="U985" s="3">
        <f>IF(tblOrdenes[[#This Row],[centro_costo]]="","",_xlfn.XLOOKUP(tblOrdenes[[#This Row],[centro_costo]],tblCECO[codigo],tblCECO[linea],"(sin catálogo)"))</f>
        <v/>
      </c>
      <c r="V985" s="3">
        <f>IF(tblOrdenes[[#This Row],[centro_costo]]="","",_xlfn.XLOOKUP(tblOrdenes[[#This Row],[centro_costo]],tblCECO[codigo],tblCECO[area],"(sin catálogo)"))</f>
        <v/>
      </c>
      <c r="W9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5" s="3">
        <f>IF(tblOrdenes[[#This Row],[centro_costo]]="","",_xlfn.XLOOKUP(tblOrdenes[[#This Row],[centro_costo]],tblCECO[codigo],tblCECO[coordinador],"(sin catálogo)"))</f>
        <v/>
      </c>
      <c r="Y985" s="3">
        <f>IF(tblOrdenes[[#This Row],[puesto_trabajo]]="","",_xlfn.XLOOKUP(tblOrdenes[[#This Row],[puesto_trabajo]],tblPuestos[codigo],tblPuestos[especialidad],"(sin catálogo)"))</f>
        <v/>
      </c>
      <c r="Z985" s="3">
        <f>IF(tblOrdenes[[#This Row],[cod_actividad]]="","",_xlfn.XLOOKUP(tblOrdenes[[#This Row],[cod_actividad]],tblActividades[codigo],tblActividades[descripcion],"(sin catálogo)"))</f>
        <v/>
      </c>
      <c r="AA985" s="13">
        <f>IF(tblOrdenes[[#This Row],[fecha_inicio]]="","",TODAY()-tblOrdenes[[#This Row],[fecha_inicio]])</f>
        <v/>
      </c>
      <c r="AB9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5" s="3">
        <f>IF(tblOrdenes[[#This Row],[backlog_habiles]]="","",IF(tblOrdenes[[#This Row],[backlog_habiles]]&lt;0,"FUTURO",IF(tblOrdenes[[#This Row],[backlog_habiles]]&gt;p_dias_backlog_max,"BACKLOG","MES CORRIENTE")))</f>
        <v/>
      </c>
      <c r="AD985" s="3">
        <f>IF(tblOrdenes[[#This Row],[backlog_habiles]]="",FALSE,AND(tblOrdenes[[#This Row],[backlog_habiles]]&gt;p_dias_backlog_min,tblOrdenes[[#This Row],[backlog_habiles]]&lt;=p_dias_backlog_max))</f>
        <v/>
      </c>
      <c r="AE985" s="6" t="n"/>
      <c r="AF9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5" s="11">
        <f>IF(tblOrdenes[[#This Row],[orden]]="","",_xlfn.XLOOKUP(tblOrdenes[[#This Row],[id_operacion]],tblEjecucion[id_operacion],tblEjecucion[precio],0))</f>
        <v/>
      </c>
      <c r="AJ985" s="11">
        <f>IF(tblOrdenes[[#This Row],[orden]]="","",MAX(0,_xlfn.XLOOKUP(tblOrdenes[[#This Row],[id_operacion]],tblEjecucion[id_operacion],tblEjecucion[costo_plan_total],0)-tblOrdenes[[#This Row],[costo_servicio]]))</f>
        <v/>
      </c>
      <c r="AK985" s="11">
        <f>IF(tblOrdenes[[#This Row],[orden]]="","",tblOrdenes[[#This Row],[costo_servicio]]+tblOrdenes[[#This Row],[costo_materiales]])</f>
        <v/>
      </c>
      <c r="AL985" s="6" t="n"/>
      <c r="AM985" s="6" t="n"/>
      <c r="AN985" s="6" t="n"/>
      <c r="AO985" s="3">
        <f>IF(tblOrdenes[[#This Row],[link_checklist]]="","",HYPERLINK(p_ruta_base_checklists&amp;tblOrdenes[[#This Row],[link_checklist]],"abrir"))</f>
        <v/>
      </c>
      <c r="AP985" s="6" t="n"/>
      <c r="AQ985" s="3">
        <f>IF(tblOrdenes[[#This Row],[orden]]="","",tblOrdenes[[#This Row],[orden]]&amp;IF(tblOrdenes[[#This Row],[operacion]]="","0010",tblOrdenes[[#This Row],[operacion]]))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2" t="n"/>
      <c r="K986" s="3" t="n"/>
      <c r="L986" s="11" t="n"/>
      <c r="M9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6" s="3">
        <f>IF(tblOrdenes[[#This Row],[fecha_inicio]]="","",YEAR(tblOrdenes[[#This Row],[fecha_inicio]]))</f>
        <v/>
      </c>
      <c r="Q986" s="3">
        <f>IF(tblOrdenes[[#This Row],[fecha_inicio]]="","",MONTH(tblOrdenes[[#This Row],[fecha_inicio]]))</f>
        <v/>
      </c>
      <c r="R986" s="3">
        <f>IF(tblOrdenes[[#This Row],[fecha_inicio]]="","",INDEX(lista_dias,WEEKDAY(tblOrdenes[[#This Row],[fecha_inicio]],2)))</f>
        <v/>
      </c>
      <c r="S9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6" s="3">
        <f>IF(tblOrdenes[[#This Row],[tipo_ot]]="","",_xlfn.XLOOKUP(tblOrdenes[[#This Row],[tipo_ot]],tblTiposOT[codigo],tblTiposOT[clasificacion],"sin_clasificar"))</f>
        <v/>
      </c>
      <c r="U986" s="3">
        <f>IF(tblOrdenes[[#This Row],[centro_costo]]="","",_xlfn.XLOOKUP(tblOrdenes[[#This Row],[centro_costo]],tblCECO[codigo],tblCECO[linea],"(sin catálogo)"))</f>
        <v/>
      </c>
      <c r="V986" s="3">
        <f>IF(tblOrdenes[[#This Row],[centro_costo]]="","",_xlfn.XLOOKUP(tblOrdenes[[#This Row],[centro_costo]],tblCECO[codigo],tblCECO[area],"(sin catálogo)"))</f>
        <v/>
      </c>
      <c r="W9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6" s="3">
        <f>IF(tblOrdenes[[#This Row],[centro_costo]]="","",_xlfn.XLOOKUP(tblOrdenes[[#This Row],[centro_costo]],tblCECO[codigo],tblCECO[coordinador],"(sin catálogo)"))</f>
        <v/>
      </c>
      <c r="Y986" s="3">
        <f>IF(tblOrdenes[[#This Row],[puesto_trabajo]]="","",_xlfn.XLOOKUP(tblOrdenes[[#This Row],[puesto_trabajo]],tblPuestos[codigo],tblPuestos[especialidad],"(sin catálogo)"))</f>
        <v/>
      </c>
      <c r="Z986" s="3">
        <f>IF(tblOrdenes[[#This Row],[cod_actividad]]="","",_xlfn.XLOOKUP(tblOrdenes[[#This Row],[cod_actividad]],tblActividades[codigo],tblActividades[descripcion],"(sin catálogo)"))</f>
        <v/>
      </c>
      <c r="AA986" s="13">
        <f>IF(tblOrdenes[[#This Row],[fecha_inicio]]="","",TODAY()-tblOrdenes[[#This Row],[fecha_inicio]])</f>
        <v/>
      </c>
      <c r="AB9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6" s="3">
        <f>IF(tblOrdenes[[#This Row],[backlog_habiles]]="","",IF(tblOrdenes[[#This Row],[backlog_habiles]]&lt;0,"FUTURO",IF(tblOrdenes[[#This Row],[backlog_habiles]]&gt;p_dias_backlog_max,"BACKLOG","MES CORRIENTE")))</f>
        <v/>
      </c>
      <c r="AD986" s="3">
        <f>IF(tblOrdenes[[#This Row],[backlog_habiles]]="",FALSE,AND(tblOrdenes[[#This Row],[backlog_habiles]]&gt;p_dias_backlog_min,tblOrdenes[[#This Row],[backlog_habiles]]&lt;=p_dias_backlog_max))</f>
        <v/>
      </c>
      <c r="AE986" s="6" t="n"/>
      <c r="AF9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6" s="11">
        <f>IF(tblOrdenes[[#This Row],[orden]]="","",_xlfn.XLOOKUP(tblOrdenes[[#This Row],[id_operacion]],tblEjecucion[id_operacion],tblEjecucion[precio],0))</f>
        <v/>
      </c>
      <c r="AJ986" s="11">
        <f>IF(tblOrdenes[[#This Row],[orden]]="","",MAX(0,_xlfn.XLOOKUP(tblOrdenes[[#This Row],[id_operacion]],tblEjecucion[id_operacion],tblEjecucion[costo_plan_total],0)-tblOrdenes[[#This Row],[costo_servicio]]))</f>
        <v/>
      </c>
      <c r="AK986" s="11">
        <f>IF(tblOrdenes[[#This Row],[orden]]="","",tblOrdenes[[#This Row],[costo_servicio]]+tblOrdenes[[#This Row],[costo_materiales]])</f>
        <v/>
      </c>
      <c r="AL986" s="6" t="n"/>
      <c r="AM986" s="6" t="n"/>
      <c r="AN986" s="6" t="n"/>
      <c r="AO986" s="3">
        <f>IF(tblOrdenes[[#This Row],[link_checklist]]="","",HYPERLINK(p_ruta_base_checklists&amp;tblOrdenes[[#This Row],[link_checklist]],"abrir"))</f>
        <v/>
      </c>
      <c r="AP986" s="6" t="n"/>
      <c r="AQ986" s="3">
        <f>IF(tblOrdenes[[#This Row],[orden]]="","",tblOrdenes[[#This Row],[orden]]&amp;IF(tblOrdenes[[#This Row],[operacion]]="","0010",tblOrdenes[[#This Row],[operacion]]))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2" t="n"/>
      <c r="K987" s="3" t="n"/>
      <c r="L987" s="11" t="n"/>
      <c r="M9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7" s="3">
        <f>IF(tblOrdenes[[#This Row],[fecha_inicio]]="","",YEAR(tblOrdenes[[#This Row],[fecha_inicio]]))</f>
        <v/>
      </c>
      <c r="Q987" s="3">
        <f>IF(tblOrdenes[[#This Row],[fecha_inicio]]="","",MONTH(tblOrdenes[[#This Row],[fecha_inicio]]))</f>
        <v/>
      </c>
      <c r="R987" s="3">
        <f>IF(tblOrdenes[[#This Row],[fecha_inicio]]="","",INDEX(lista_dias,WEEKDAY(tblOrdenes[[#This Row],[fecha_inicio]],2)))</f>
        <v/>
      </c>
      <c r="S9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7" s="3">
        <f>IF(tblOrdenes[[#This Row],[tipo_ot]]="","",_xlfn.XLOOKUP(tblOrdenes[[#This Row],[tipo_ot]],tblTiposOT[codigo],tblTiposOT[clasificacion],"sin_clasificar"))</f>
        <v/>
      </c>
      <c r="U987" s="3">
        <f>IF(tblOrdenes[[#This Row],[centro_costo]]="","",_xlfn.XLOOKUP(tblOrdenes[[#This Row],[centro_costo]],tblCECO[codigo],tblCECO[linea],"(sin catálogo)"))</f>
        <v/>
      </c>
      <c r="V987" s="3">
        <f>IF(tblOrdenes[[#This Row],[centro_costo]]="","",_xlfn.XLOOKUP(tblOrdenes[[#This Row],[centro_costo]],tblCECO[codigo],tblCECO[area],"(sin catálogo)"))</f>
        <v/>
      </c>
      <c r="W9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7" s="3">
        <f>IF(tblOrdenes[[#This Row],[centro_costo]]="","",_xlfn.XLOOKUP(tblOrdenes[[#This Row],[centro_costo]],tblCECO[codigo],tblCECO[coordinador],"(sin catálogo)"))</f>
        <v/>
      </c>
      <c r="Y987" s="3">
        <f>IF(tblOrdenes[[#This Row],[puesto_trabajo]]="","",_xlfn.XLOOKUP(tblOrdenes[[#This Row],[puesto_trabajo]],tblPuestos[codigo],tblPuestos[especialidad],"(sin catálogo)"))</f>
        <v/>
      </c>
      <c r="Z987" s="3">
        <f>IF(tblOrdenes[[#This Row],[cod_actividad]]="","",_xlfn.XLOOKUP(tblOrdenes[[#This Row],[cod_actividad]],tblActividades[codigo],tblActividades[descripcion],"(sin catálogo)"))</f>
        <v/>
      </c>
      <c r="AA987" s="13">
        <f>IF(tblOrdenes[[#This Row],[fecha_inicio]]="","",TODAY()-tblOrdenes[[#This Row],[fecha_inicio]])</f>
        <v/>
      </c>
      <c r="AB9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7" s="3">
        <f>IF(tblOrdenes[[#This Row],[backlog_habiles]]="","",IF(tblOrdenes[[#This Row],[backlog_habiles]]&lt;0,"FUTURO",IF(tblOrdenes[[#This Row],[backlog_habiles]]&gt;p_dias_backlog_max,"BACKLOG","MES CORRIENTE")))</f>
        <v/>
      </c>
      <c r="AD987" s="3">
        <f>IF(tblOrdenes[[#This Row],[backlog_habiles]]="",FALSE,AND(tblOrdenes[[#This Row],[backlog_habiles]]&gt;p_dias_backlog_min,tblOrdenes[[#This Row],[backlog_habiles]]&lt;=p_dias_backlog_max))</f>
        <v/>
      </c>
      <c r="AE987" s="6" t="n"/>
      <c r="AF9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7" s="11">
        <f>IF(tblOrdenes[[#This Row],[orden]]="","",_xlfn.XLOOKUP(tblOrdenes[[#This Row],[id_operacion]],tblEjecucion[id_operacion],tblEjecucion[precio],0))</f>
        <v/>
      </c>
      <c r="AJ987" s="11">
        <f>IF(tblOrdenes[[#This Row],[orden]]="","",MAX(0,_xlfn.XLOOKUP(tblOrdenes[[#This Row],[id_operacion]],tblEjecucion[id_operacion],tblEjecucion[costo_plan_total],0)-tblOrdenes[[#This Row],[costo_servicio]]))</f>
        <v/>
      </c>
      <c r="AK987" s="11">
        <f>IF(tblOrdenes[[#This Row],[orden]]="","",tblOrdenes[[#This Row],[costo_servicio]]+tblOrdenes[[#This Row],[costo_materiales]])</f>
        <v/>
      </c>
      <c r="AL987" s="6" t="n"/>
      <c r="AM987" s="6" t="n"/>
      <c r="AN987" s="6" t="n"/>
      <c r="AO987" s="3">
        <f>IF(tblOrdenes[[#This Row],[link_checklist]]="","",HYPERLINK(p_ruta_base_checklists&amp;tblOrdenes[[#This Row],[link_checklist]],"abrir"))</f>
        <v/>
      </c>
      <c r="AP987" s="6" t="n"/>
      <c r="AQ987" s="3">
        <f>IF(tblOrdenes[[#This Row],[orden]]="","",tblOrdenes[[#This Row],[orden]]&amp;IF(tblOrdenes[[#This Row],[operacion]]="","0010",tblOrdenes[[#This Row],[operacion]]))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2" t="n"/>
      <c r="K988" s="3" t="n"/>
      <c r="L988" s="11" t="n"/>
      <c r="M9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8" s="3">
        <f>IF(tblOrdenes[[#This Row],[fecha_inicio]]="","",YEAR(tblOrdenes[[#This Row],[fecha_inicio]]))</f>
        <v/>
      </c>
      <c r="Q988" s="3">
        <f>IF(tblOrdenes[[#This Row],[fecha_inicio]]="","",MONTH(tblOrdenes[[#This Row],[fecha_inicio]]))</f>
        <v/>
      </c>
      <c r="R988" s="3">
        <f>IF(tblOrdenes[[#This Row],[fecha_inicio]]="","",INDEX(lista_dias,WEEKDAY(tblOrdenes[[#This Row],[fecha_inicio]],2)))</f>
        <v/>
      </c>
      <c r="S9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8" s="3">
        <f>IF(tblOrdenes[[#This Row],[tipo_ot]]="","",_xlfn.XLOOKUP(tblOrdenes[[#This Row],[tipo_ot]],tblTiposOT[codigo],tblTiposOT[clasificacion],"sin_clasificar"))</f>
        <v/>
      </c>
      <c r="U988" s="3">
        <f>IF(tblOrdenes[[#This Row],[centro_costo]]="","",_xlfn.XLOOKUP(tblOrdenes[[#This Row],[centro_costo]],tblCECO[codigo],tblCECO[linea],"(sin catálogo)"))</f>
        <v/>
      </c>
      <c r="V988" s="3">
        <f>IF(tblOrdenes[[#This Row],[centro_costo]]="","",_xlfn.XLOOKUP(tblOrdenes[[#This Row],[centro_costo]],tblCECO[codigo],tblCECO[area],"(sin catálogo)"))</f>
        <v/>
      </c>
      <c r="W9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8" s="3">
        <f>IF(tblOrdenes[[#This Row],[centro_costo]]="","",_xlfn.XLOOKUP(tblOrdenes[[#This Row],[centro_costo]],tblCECO[codigo],tblCECO[coordinador],"(sin catálogo)"))</f>
        <v/>
      </c>
      <c r="Y988" s="3">
        <f>IF(tblOrdenes[[#This Row],[puesto_trabajo]]="","",_xlfn.XLOOKUP(tblOrdenes[[#This Row],[puesto_trabajo]],tblPuestos[codigo],tblPuestos[especialidad],"(sin catálogo)"))</f>
        <v/>
      </c>
      <c r="Z988" s="3">
        <f>IF(tblOrdenes[[#This Row],[cod_actividad]]="","",_xlfn.XLOOKUP(tblOrdenes[[#This Row],[cod_actividad]],tblActividades[codigo],tblActividades[descripcion],"(sin catálogo)"))</f>
        <v/>
      </c>
      <c r="AA988" s="13">
        <f>IF(tblOrdenes[[#This Row],[fecha_inicio]]="","",TODAY()-tblOrdenes[[#This Row],[fecha_inicio]])</f>
        <v/>
      </c>
      <c r="AB9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8" s="3">
        <f>IF(tblOrdenes[[#This Row],[backlog_habiles]]="","",IF(tblOrdenes[[#This Row],[backlog_habiles]]&lt;0,"FUTURO",IF(tblOrdenes[[#This Row],[backlog_habiles]]&gt;p_dias_backlog_max,"BACKLOG","MES CORRIENTE")))</f>
        <v/>
      </c>
      <c r="AD988" s="3">
        <f>IF(tblOrdenes[[#This Row],[backlog_habiles]]="",FALSE,AND(tblOrdenes[[#This Row],[backlog_habiles]]&gt;p_dias_backlog_min,tblOrdenes[[#This Row],[backlog_habiles]]&lt;=p_dias_backlog_max))</f>
        <v/>
      </c>
      <c r="AE988" s="6" t="n"/>
      <c r="AF9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8" s="11">
        <f>IF(tblOrdenes[[#This Row],[orden]]="","",_xlfn.XLOOKUP(tblOrdenes[[#This Row],[id_operacion]],tblEjecucion[id_operacion],tblEjecucion[precio],0))</f>
        <v/>
      </c>
      <c r="AJ988" s="11">
        <f>IF(tblOrdenes[[#This Row],[orden]]="","",MAX(0,_xlfn.XLOOKUP(tblOrdenes[[#This Row],[id_operacion]],tblEjecucion[id_operacion],tblEjecucion[costo_plan_total],0)-tblOrdenes[[#This Row],[costo_servicio]]))</f>
        <v/>
      </c>
      <c r="AK988" s="11">
        <f>IF(tblOrdenes[[#This Row],[orden]]="","",tblOrdenes[[#This Row],[costo_servicio]]+tblOrdenes[[#This Row],[costo_materiales]])</f>
        <v/>
      </c>
      <c r="AL988" s="6" t="n"/>
      <c r="AM988" s="6" t="n"/>
      <c r="AN988" s="6" t="n"/>
      <c r="AO988" s="3">
        <f>IF(tblOrdenes[[#This Row],[link_checklist]]="","",HYPERLINK(p_ruta_base_checklists&amp;tblOrdenes[[#This Row],[link_checklist]],"abrir"))</f>
        <v/>
      </c>
      <c r="AP988" s="6" t="n"/>
      <c r="AQ988" s="3">
        <f>IF(tblOrdenes[[#This Row],[orden]]="","",tblOrdenes[[#This Row],[orden]]&amp;IF(tblOrdenes[[#This Row],[operacion]]="","0010",tblOrdenes[[#This Row],[operacion]]))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2" t="n"/>
      <c r="K989" s="3" t="n"/>
      <c r="L989" s="11" t="n"/>
      <c r="M9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9" s="3">
        <f>IF(tblOrdenes[[#This Row],[fecha_inicio]]="","",YEAR(tblOrdenes[[#This Row],[fecha_inicio]]))</f>
        <v/>
      </c>
      <c r="Q989" s="3">
        <f>IF(tblOrdenes[[#This Row],[fecha_inicio]]="","",MONTH(tblOrdenes[[#This Row],[fecha_inicio]]))</f>
        <v/>
      </c>
      <c r="R989" s="3">
        <f>IF(tblOrdenes[[#This Row],[fecha_inicio]]="","",INDEX(lista_dias,WEEKDAY(tblOrdenes[[#This Row],[fecha_inicio]],2)))</f>
        <v/>
      </c>
      <c r="S9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9" s="3">
        <f>IF(tblOrdenes[[#This Row],[tipo_ot]]="","",_xlfn.XLOOKUP(tblOrdenes[[#This Row],[tipo_ot]],tblTiposOT[codigo],tblTiposOT[clasificacion],"sin_clasificar"))</f>
        <v/>
      </c>
      <c r="U989" s="3">
        <f>IF(tblOrdenes[[#This Row],[centro_costo]]="","",_xlfn.XLOOKUP(tblOrdenes[[#This Row],[centro_costo]],tblCECO[codigo],tblCECO[linea],"(sin catálogo)"))</f>
        <v/>
      </c>
      <c r="V989" s="3">
        <f>IF(tblOrdenes[[#This Row],[centro_costo]]="","",_xlfn.XLOOKUP(tblOrdenes[[#This Row],[centro_costo]],tblCECO[codigo],tblCECO[area],"(sin catálogo)"))</f>
        <v/>
      </c>
      <c r="W9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9" s="3">
        <f>IF(tblOrdenes[[#This Row],[centro_costo]]="","",_xlfn.XLOOKUP(tblOrdenes[[#This Row],[centro_costo]],tblCECO[codigo],tblCECO[coordinador],"(sin catálogo)"))</f>
        <v/>
      </c>
      <c r="Y989" s="3">
        <f>IF(tblOrdenes[[#This Row],[puesto_trabajo]]="","",_xlfn.XLOOKUP(tblOrdenes[[#This Row],[puesto_trabajo]],tblPuestos[codigo],tblPuestos[especialidad],"(sin catálogo)"))</f>
        <v/>
      </c>
      <c r="Z989" s="3">
        <f>IF(tblOrdenes[[#This Row],[cod_actividad]]="","",_xlfn.XLOOKUP(tblOrdenes[[#This Row],[cod_actividad]],tblActividades[codigo],tblActividades[descripcion],"(sin catálogo)"))</f>
        <v/>
      </c>
      <c r="AA989" s="13">
        <f>IF(tblOrdenes[[#This Row],[fecha_inicio]]="","",TODAY()-tblOrdenes[[#This Row],[fecha_inicio]])</f>
        <v/>
      </c>
      <c r="AB9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9" s="3">
        <f>IF(tblOrdenes[[#This Row],[backlog_habiles]]="","",IF(tblOrdenes[[#This Row],[backlog_habiles]]&lt;0,"FUTURO",IF(tblOrdenes[[#This Row],[backlog_habiles]]&gt;p_dias_backlog_max,"BACKLOG","MES CORRIENTE")))</f>
        <v/>
      </c>
      <c r="AD989" s="3">
        <f>IF(tblOrdenes[[#This Row],[backlog_habiles]]="",FALSE,AND(tblOrdenes[[#This Row],[backlog_habiles]]&gt;p_dias_backlog_min,tblOrdenes[[#This Row],[backlog_habiles]]&lt;=p_dias_backlog_max))</f>
        <v/>
      </c>
      <c r="AE989" s="6" t="n"/>
      <c r="AF9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9" s="11">
        <f>IF(tblOrdenes[[#This Row],[orden]]="","",_xlfn.XLOOKUP(tblOrdenes[[#This Row],[id_operacion]],tblEjecucion[id_operacion],tblEjecucion[precio],0))</f>
        <v/>
      </c>
      <c r="AJ989" s="11">
        <f>IF(tblOrdenes[[#This Row],[orden]]="","",MAX(0,_xlfn.XLOOKUP(tblOrdenes[[#This Row],[id_operacion]],tblEjecucion[id_operacion],tblEjecucion[costo_plan_total],0)-tblOrdenes[[#This Row],[costo_servicio]]))</f>
        <v/>
      </c>
      <c r="AK989" s="11">
        <f>IF(tblOrdenes[[#This Row],[orden]]="","",tblOrdenes[[#This Row],[costo_servicio]]+tblOrdenes[[#This Row],[costo_materiales]])</f>
        <v/>
      </c>
      <c r="AL989" s="6" t="n"/>
      <c r="AM989" s="6" t="n"/>
      <c r="AN989" s="6" t="n"/>
      <c r="AO989" s="3">
        <f>IF(tblOrdenes[[#This Row],[link_checklist]]="","",HYPERLINK(p_ruta_base_checklists&amp;tblOrdenes[[#This Row],[link_checklist]],"abrir"))</f>
        <v/>
      </c>
      <c r="AP989" s="6" t="n"/>
      <c r="AQ989" s="3">
        <f>IF(tblOrdenes[[#This Row],[orden]]="","",tblOrdenes[[#This Row],[orden]]&amp;IF(tblOrdenes[[#This Row],[operacion]]="","0010",tblOrdenes[[#This Row],[operacion]]))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2" t="n"/>
      <c r="K990" s="3" t="n"/>
      <c r="L990" s="11" t="n"/>
      <c r="M9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0" s="3">
        <f>IF(tblOrdenes[[#This Row],[fecha_inicio]]="","",YEAR(tblOrdenes[[#This Row],[fecha_inicio]]))</f>
        <v/>
      </c>
      <c r="Q990" s="3">
        <f>IF(tblOrdenes[[#This Row],[fecha_inicio]]="","",MONTH(tblOrdenes[[#This Row],[fecha_inicio]]))</f>
        <v/>
      </c>
      <c r="R990" s="3">
        <f>IF(tblOrdenes[[#This Row],[fecha_inicio]]="","",INDEX(lista_dias,WEEKDAY(tblOrdenes[[#This Row],[fecha_inicio]],2)))</f>
        <v/>
      </c>
      <c r="S9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0" s="3">
        <f>IF(tblOrdenes[[#This Row],[tipo_ot]]="","",_xlfn.XLOOKUP(tblOrdenes[[#This Row],[tipo_ot]],tblTiposOT[codigo],tblTiposOT[clasificacion],"sin_clasificar"))</f>
        <v/>
      </c>
      <c r="U990" s="3">
        <f>IF(tblOrdenes[[#This Row],[centro_costo]]="","",_xlfn.XLOOKUP(tblOrdenes[[#This Row],[centro_costo]],tblCECO[codigo],tblCECO[linea],"(sin catálogo)"))</f>
        <v/>
      </c>
      <c r="V990" s="3">
        <f>IF(tblOrdenes[[#This Row],[centro_costo]]="","",_xlfn.XLOOKUP(tblOrdenes[[#This Row],[centro_costo]],tblCECO[codigo],tblCECO[area],"(sin catálogo)"))</f>
        <v/>
      </c>
      <c r="W9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0" s="3">
        <f>IF(tblOrdenes[[#This Row],[centro_costo]]="","",_xlfn.XLOOKUP(tblOrdenes[[#This Row],[centro_costo]],tblCECO[codigo],tblCECO[coordinador],"(sin catálogo)"))</f>
        <v/>
      </c>
      <c r="Y990" s="3">
        <f>IF(tblOrdenes[[#This Row],[puesto_trabajo]]="","",_xlfn.XLOOKUP(tblOrdenes[[#This Row],[puesto_trabajo]],tblPuestos[codigo],tblPuestos[especialidad],"(sin catálogo)"))</f>
        <v/>
      </c>
      <c r="Z990" s="3">
        <f>IF(tblOrdenes[[#This Row],[cod_actividad]]="","",_xlfn.XLOOKUP(tblOrdenes[[#This Row],[cod_actividad]],tblActividades[codigo],tblActividades[descripcion],"(sin catálogo)"))</f>
        <v/>
      </c>
      <c r="AA990" s="13">
        <f>IF(tblOrdenes[[#This Row],[fecha_inicio]]="","",TODAY()-tblOrdenes[[#This Row],[fecha_inicio]])</f>
        <v/>
      </c>
      <c r="AB9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0" s="3">
        <f>IF(tblOrdenes[[#This Row],[backlog_habiles]]="","",IF(tblOrdenes[[#This Row],[backlog_habiles]]&lt;0,"FUTURO",IF(tblOrdenes[[#This Row],[backlog_habiles]]&gt;p_dias_backlog_max,"BACKLOG","MES CORRIENTE")))</f>
        <v/>
      </c>
      <c r="AD990" s="3">
        <f>IF(tblOrdenes[[#This Row],[backlog_habiles]]="",FALSE,AND(tblOrdenes[[#This Row],[backlog_habiles]]&gt;p_dias_backlog_min,tblOrdenes[[#This Row],[backlog_habiles]]&lt;=p_dias_backlog_max))</f>
        <v/>
      </c>
      <c r="AE990" s="6" t="n"/>
      <c r="AF9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0" s="11">
        <f>IF(tblOrdenes[[#This Row],[orden]]="","",_xlfn.XLOOKUP(tblOrdenes[[#This Row],[id_operacion]],tblEjecucion[id_operacion],tblEjecucion[precio],0))</f>
        <v/>
      </c>
      <c r="AJ990" s="11">
        <f>IF(tblOrdenes[[#This Row],[orden]]="","",MAX(0,_xlfn.XLOOKUP(tblOrdenes[[#This Row],[id_operacion]],tblEjecucion[id_operacion],tblEjecucion[costo_plan_total],0)-tblOrdenes[[#This Row],[costo_servicio]]))</f>
        <v/>
      </c>
      <c r="AK990" s="11">
        <f>IF(tblOrdenes[[#This Row],[orden]]="","",tblOrdenes[[#This Row],[costo_servicio]]+tblOrdenes[[#This Row],[costo_materiales]])</f>
        <v/>
      </c>
      <c r="AL990" s="6" t="n"/>
      <c r="AM990" s="6" t="n"/>
      <c r="AN990" s="6" t="n"/>
      <c r="AO990" s="3">
        <f>IF(tblOrdenes[[#This Row],[link_checklist]]="","",HYPERLINK(p_ruta_base_checklists&amp;tblOrdenes[[#This Row],[link_checklist]],"abrir"))</f>
        <v/>
      </c>
      <c r="AP990" s="6" t="n"/>
      <c r="AQ990" s="3">
        <f>IF(tblOrdenes[[#This Row],[orden]]="","",tblOrdenes[[#This Row],[orden]]&amp;IF(tblOrdenes[[#This Row],[operacion]]="","0010",tblOrdenes[[#This Row],[operacion]]))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2" t="n"/>
      <c r="K991" s="3" t="n"/>
      <c r="L991" s="11" t="n"/>
      <c r="M9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1" s="3">
        <f>IF(tblOrdenes[[#This Row],[fecha_inicio]]="","",YEAR(tblOrdenes[[#This Row],[fecha_inicio]]))</f>
        <v/>
      </c>
      <c r="Q991" s="3">
        <f>IF(tblOrdenes[[#This Row],[fecha_inicio]]="","",MONTH(tblOrdenes[[#This Row],[fecha_inicio]]))</f>
        <v/>
      </c>
      <c r="R991" s="3">
        <f>IF(tblOrdenes[[#This Row],[fecha_inicio]]="","",INDEX(lista_dias,WEEKDAY(tblOrdenes[[#This Row],[fecha_inicio]],2)))</f>
        <v/>
      </c>
      <c r="S9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1" s="3">
        <f>IF(tblOrdenes[[#This Row],[tipo_ot]]="","",_xlfn.XLOOKUP(tblOrdenes[[#This Row],[tipo_ot]],tblTiposOT[codigo],tblTiposOT[clasificacion],"sin_clasificar"))</f>
        <v/>
      </c>
      <c r="U991" s="3">
        <f>IF(tblOrdenes[[#This Row],[centro_costo]]="","",_xlfn.XLOOKUP(tblOrdenes[[#This Row],[centro_costo]],tblCECO[codigo],tblCECO[linea],"(sin catálogo)"))</f>
        <v/>
      </c>
      <c r="V991" s="3">
        <f>IF(tblOrdenes[[#This Row],[centro_costo]]="","",_xlfn.XLOOKUP(tblOrdenes[[#This Row],[centro_costo]],tblCECO[codigo],tblCECO[area],"(sin catálogo)"))</f>
        <v/>
      </c>
      <c r="W9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1" s="3">
        <f>IF(tblOrdenes[[#This Row],[centro_costo]]="","",_xlfn.XLOOKUP(tblOrdenes[[#This Row],[centro_costo]],tblCECO[codigo],tblCECO[coordinador],"(sin catálogo)"))</f>
        <v/>
      </c>
      <c r="Y991" s="3">
        <f>IF(tblOrdenes[[#This Row],[puesto_trabajo]]="","",_xlfn.XLOOKUP(tblOrdenes[[#This Row],[puesto_trabajo]],tblPuestos[codigo],tblPuestos[especialidad],"(sin catálogo)"))</f>
        <v/>
      </c>
      <c r="Z991" s="3">
        <f>IF(tblOrdenes[[#This Row],[cod_actividad]]="","",_xlfn.XLOOKUP(tblOrdenes[[#This Row],[cod_actividad]],tblActividades[codigo],tblActividades[descripcion],"(sin catálogo)"))</f>
        <v/>
      </c>
      <c r="AA991" s="13">
        <f>IF(tblOrdenes[[#This Row],[fecha_inicio]]="","",TODAY()-tblOrdenes[[#This Row],[fecha_inicio]])</f>
        <v/>
      </c>
      <c r="AB9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1" s="3">
        <f>IF(tblOrdenes[[#This Row],[backlog_habiles]]="","",IF(tblOrdenes[[#This Row],[backlog_habiles]]&lt;0,"FUTURO",IF(tblOrdenes[[#This Row],[backlog_habiles]]&gt;p_dias_backlog_max,"BACKLOG","MES CORRIENTE")))</f>
        <v/>
      </c>
      <c r="AD991" s="3">
        <f>IF(tblOrdenes[[#This Row],[backlog_habiles]]="",FALSE,AND(tblOrdenes[[#This Row],[backlog_habiles]]&gt;p_dias_backlog_min,tblOrdenes[[#This Row],[backlog_habiles]]&lt;=p_dias_backlog_max))</f>
        <v/>
      </c>
      <c r="AE991" s="6" t="n"/>
      <c r="AF9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1" s="11">
        <f>IF(tblOrdenes[[#This Row],[orden]]="","",_xlfn.XLOOKUP(tblOrdenes[[#This Row],[id_operacion]],tblEjecucion[id_operacion],tblEjecucion[precio],0))</f>
        <v/>
      </c>
      <c r="AJ991" s="11">
        <f>IF(tblOrdenes[[#This Row],[orden]]="","",MAX(0,_xlfn.XLOOKUP(tblOrdenes[[#This Row],[id_operacion]],tblEjecucion[id_operacion],tblEjecucion[costo_plan_total],0)-tblOrdenes[[#This Row],[costo_servicio]]))</f>
        <v/>
      </c>
      <c r="AK991" s="11">
        <f>IF(tblOrdenes[[#This Row],[orden]]="","",tblOrdenes[[#This Row],[costo_servicio]]+tblOrdenes[[#This Row],[costo_materiales]])</f>
        <v/>
      </c>
      <c r="AL991" s="6" t="n"/>
      <c r="AM991" s="6" t="n"/>
      <c r="AN991" s="6" t="n"/>
      <c r="AO991" s="3">
        <f>IF(tblOrdenes[[#This Row],[link_checklist]]="","",HYPERLINK(p_ruta_base_checklists&amp;tblOrdenes[[#This Row],[link_checklist]],"abrir"))</f>
        <v/>
      </c>
      <c r="AP991" s="6" t="n"/>
      <c r="AQ991" s="3">
        <f>IF(tblOrdenes[[#This Row],[orden]]="","",tblOrdenes[[#This Row],[orden]]&amp;IF(tblOrdenes[[#This Row],[operacion]]="","0010",tblOrdenes[[#This Row],[operacion]]))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2" t="n"/>
      <c r="K992" s="3" t="n"/>
      <c r="L992" s="11" t="n"/>
      <c r="M9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2" s="3">
        <f>IF(tblOrdenes[[#This Row],[fecha_inicio]]="","",YEAR(tblOrdenes[[#This Row],[fecha_inicio]]))</f>
        <v/>
      </c>
      <c r="Q992" s="3">
        <f>IF(tblOrdenes[[#This Row],[fecha_inicio]]="","",MONTH(tblOrdenes[[#This Row],[fecha_inicio]]))</f>
        <v/>
      </c>
      <c r="R992" s="3">
        <f>IF(tblOrdenes[[#This Row],[fecha_inicio]]="","",INDEX(lista_dias,WEEKDAY(tblOrdenes[[#This Row],[fecha_inicio]],2)))</f>
        <v/>
      </c>
      <c r="S9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2" s="3">
        <f>IF(tblOrdenes[[#This Row],[tipo_ot]]="","",_xlfn.XLOOKUP(tblOrdenes[[#This Row],[tipo_ot]],tblTiposOT[codigo],tblTiposOT[clasificacion],"sin_clasificar"))</f>
        <v/>
      </c>
      <c r="U992" s="3">
        <f>IF(tblOrdenes[[#This Row],[centro_costo]]="","",_xlfn.XLOOKUP(tblOrdenes[[#This Row],[centro_costo]],tblCECO[codigo],tblCECO[linea],"(sin catálogo)"))</f>
        <v/>
      </c>
      <c r="V992" s="3">
        <f>IF(tblOrdenes[[#This Row],[centro_costo]]="","",_xlfn.XLOOKUP(tblOrdenes[[#This Row],[centro_costo]],tblCECO[codigo],tblCECO[area],"(sin catálogo)"))</f>
        <v/>
      </c>
      <c r="W9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2" s="3">
        <f>IF(tblOrdenes[[#This Row],[centro_costo]]="","",_xlfn.XLOOKUP(tblOrdenes[[#This Row],[centro_costo]],tblCECO[codigo],tblCECO[coordinador],"(sin catálogo)"))</f>
        <v/>
      </c>
      <c r="Y992" s="3">
        <f>IF(tblOrdenes[[#This Row],[puesto_trabajo]]="","",_xlfn.XLOOKUP(tblOrdenes[[#This Row],[puesto_trabajo]],tblPuestos[codigo],tblPuestos[especialidad],"(sin catálogo)"))</f>
        <v/>
      </c>
      <c r="Z992" s="3">
        <f>IF(tblOrdenes[[#This Row],[cod_actividad]]="","",_xlfn.XLOOKUP(tblOrdenes[[#This Row],[cod_actividad]],tblActividades[codigo],tblActividades[descripcion],"(sin catálogo)"))</f>
        <v/>
      </c>
      <c r="AA992" s="13">
        <f>IF(tblOrdenes[[#This Row],[fecha_inicio]]="","",TODAY()-tblOrdenes[[#This Row],[fecha_inicio]])</f>
        <v/>
      </c>
      <c r="AB9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2" s="3">
        <f>IF(tblOrdenes[[#This Row],[backlog_habiles]]="","",IF(tblOrdenes[[#This Row],[backlog_habiles]]&lt;0,"FUTURO",IF(tblOrdenes[[#This Row],[backlog_habiles]]&gt;p_dias_backlog_max,"BACKLOG","MES CORRIENTE")))</f>
        <v/>
      </c>
      <c r="AD992" s="3">
        <f>IF(tblOrdenes[[#This Row],[backlog_habiles]]="",FALSE,AND(tblOrdenes[[#This Row],[backlog_habiles]]&gt;p_dias_backlog_min,tblOrdenes[[#This Row],[backlog_habiles]]&lt;=p_dias_backlog_max))</f>
        <v/>
      </c>
      <c r="AE992" s="6" t="n"/>
      <c r="AF9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2" s="11">
        <f>IF(tblOrdenes[[#This Row],[orden]]="","",_xlfn.XLOOKUP(tblOrdenes[[#This Row],[id_operacion]],tblEjecucion[id_operacion],tblEjecucion[precio],0))</f>
        <v/>
      </c>
      <c r="AJ992" s="11">
        <f>IF(tblOrdenes[[#This Row],[orden]]="","",MAX(0,_xlfn.XLOOKUP(tblOrdenes[[#This Row],[id_operacion]],tblEjecucion[id_operacion],tblEjecucion[costo_plan_total],0)-tblOrdenes[[#This Row],[costo_servicio]]))</f>
        <v/>
      </c>
      <c r="AK992" s="11">
        <f>IF(tblOrdenes[[#This Row],[orden]]="","",tblOrdenes[[#This Row],[costo_servicio]]+tblOrdenes[[#This Row],[costo_materiales]])</f>
        <v/>
      </c>
      <c r="AL992" s="6" t="n"/>
      <c r="AM992" s="6" t="n"/>
      <c r="AN992" s="6" t="n"/>
      <c r="AO992" s="3">
        <f>IF(tblOrdenes[[#This Row],[link_checklist]]="","",HYPERLINK(p_ruta_base_checklists&amp;tblOrdenes[[#This Row],[link_checklist]],"abrir"))</f>
        <v/>
      </c>
      <c r="AP992" s="6" t="n"/>
      <c r="AQ992" s="3">
        <f>IF(tblOrdenes[[#This Row],[orden]]="","",tblOrdenes[[#This Row],[orden]]&amp;IF(tblOrdenes[[#This Row],[operacion]]="","0010",tblOrdenes[[#This Row],[operacion]]))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2" t="n"/>
      <c r="K993" s="3" t="n"/>
      <c r="L993" s="11" t="n"/>
      <c r="M9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3" s="3">
        <f>IF(tblOrdenes[[#This Row],[fecha_inicio]]="","",YEAR(tblOrdenes[[#This Row],[fecha_inicio]]))</f>
        <v/>
      </c>
      <c r="Q993" s="3">
        <f>IF(tblOrdenes[[#This Row],[fecha_inicio]]="","",MONTH(tblOrdenes[[#This Row],[fecha_inicio]]))</f>
        <v/>
      </c>
      <c r="R993" s="3">
        <f>IF(tblOrdenes[[#This Row],[fecha_inicio]]="","",INDEX(lista_dias,WEEKDAY(tblOrdenes[[#This Row],[fecha_inicio]],2)))</f>
        <v/>
      </c>
      <c r="S9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3" s="3">
        <f>IF(tblOrdenes[[#This Row],[tipo_ot]]="","",_xlfn.XLOOKUP(tblOrdenes[[#This Row],[tipo_ot]],tblTiposOT[codigo],tblTiposOT[clasificacion],"sin_clasificar"))</f>
        <v/>
      </c>
      <c r="U993" s="3">
        <f>IF(tblOrdenes[[#This Row],[centro_costo]]="","",_xlfn.XLOOKUP(tblOrdenes[[#This Row],[centro_costo]],tblCECO[codigo],tblCECO[linea],"(sin catálogo)"))</f>
        <v/>
      </c>
      <c r="V993" s="3">
        <f>IF(tblOrdenes[[#This Row],[centro_costo]]="","",_xlfn.XLOOKUP(tblOrdenes[[#This Row],[centro_costo]],tblCECO[codigo],tblCECO[area],"(sin catálogo)"))</f>
        <v/>
      </c>
      <c r="W9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3" s="3">
        <f>IF(tblOrdenes[[#This Row],[centro_costo]]="","",_xlfn.XLOOKUP(tblOrdenes[[#This Row],[centro_costo]],tblCECO[codigo],tblCECO[coordinador],"(sin catálogo)"))</f>
        <v/>
      </c>
      <c r="Y993" s="3">
        <f>IF(tblOrdenes[[#This Row],[puesto_trabajo]]="","",_xlfn.XLOOKUP(tblOrdenes[[#This Row],[puesto_trabajo]],tblPuestos[codigo],tblPuestos[especialidad],"(sin catálogo)"))</f>
        <v/>
      </c>
      <c r="Z993" s="3">
        <f>IF(tblOrdenes[[#This Row],[cod_actividad]]="","",_xlfn.XLOOKUP(tblOrdenes[[#This Row],[cod_actividad]],tblActividades[codigo],tblActividades[descripcion],"(sin catálogo)"))</f>
        <v/>
      </c>
      <c r="AA993" s="13">
        <f>IF(tblOrdenes[[#This Row],[fecha_inicio]]="","",TODAY()-tblOrdenes[[#This Row],[fecha_inicio]])</f>
        <v/>
      </c>
      <c r="AB9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3" s="3">
        <f>IF(tblOrdenes[[#This Row],[backlog_habiles]]="","",IF(tblOrdenes[[#This Row],[backlog_habiles]]&lt;0,"FUTURO",IF(tblOrdenes[[#This Row],[backlog_habiles]]&gt;p_dias_backlog_max,"BACKLOG","MES CORRIENTE")))</f>
        <v/>
      </c>
      <c r="AD993" s="3">
        <f>IF(tblOrdenes[[#This Row],[backlog_habiles]]="",FALSE,AND(tblOrdenes[[#This Row],[backlog_habiles]]&gt;p_dias_backlog_min,tblOrdenes[[#This Row],[backlog_habiles]]&lt;=p_dias_backlog_max))</f>
        <v/>
      </c>
      <c r="AE993" s="6" t="n"/>
      <c r="AF9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3" s="11">
        <f>IF(tblOrdenes[[#This Row],[orden]]="","",_xlfn.XLOOKUP(tblOrdenes[[#This Row],[id_operacion]],tblEjecucion[id_operacion],tblEjecucion[precio],0))</f>
        <v/>
      </c>
      <c r="AJ993" s="11">
        <f>IF(tblOrdenes[[#This Row],[orden]]="","",MAX(0,_xlfn.XLOOKUP(tblOrdenes[[#This Row],[id_operacion]],tblEjecucion[id_operacion],tblEjecucion[costo_plan_total],0)-tblOrdenes[[#This Row],[costo_servicio]]))</f>
        <v/>
      </c>
      <c r="AK993" s="11">
        <f>IF(tblOrdenes[[#This Row],[orden]]="","",tblOrdenes[[#This Row],[costo_servicio]]+tblOrdenes[[#This Row],[costo_materiales]])</f>
        <v/>
      </c>
      <c r="AL993" s="6" t="n"/>
      <c r="AM993" s="6" t="n"/>
      <c r="AN993" s="6" t="n"/>
      <c r="AO993" s="3">
        <f>IF(tblOrdenes[[#This Row],[link_checklist]]="","",HYPERLINK(p_ruta_base_checklists&amp;tblOrdenes[[#This Row],[link_checklist]],"abrir"))</f>
        <v/>
      </c>
      <c r="AP993" s="6" t="n"/>
      <c r="AQ993" s="3">
        <f>IF(tblOrdenes[[#This Row],[orden]]="","",tblOrdenes[[#This Row],[orden]]&amp;IF(tblOrdenes[[#This Row],[operacion]]="","0010",tblOrdenes[[#This Row],[operacion]]))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2" t="n"/>
      <c r="K994" s="3" t="n"/>
      <c r="L994" s="11" t="n"/>
      <c r="M9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4" s="3">
        <f>IF(tblOrdenes[[#This Row],[fecha_inicio]]="","",YEAR(tblOrdenes[[#This Row],[fecha_inicio]]))</f>
        <v/>
      </c>
      <c r="Q994" s="3">
        <f>IF(tblOrdenes[[#This Row],[fecha_inicio]]="","",MONTH(tblOrdenes[[#This Row],[fecha_inicio]]))</f>
        <v/>
      </c>
      <c r="R994" s="3">
        <f>IF(tblOrdenes[[#This Row],[fecha_inicio]]="","",INDEX(lista_dias,WEEKDAY(tblOrdenes[[#This Row],[fecha_inicio]],2)))</f>
        <v/>
      </c>
      <c r="S9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4" s="3">
        <f>IF(tblOrdenes[[#This Row],[tipo_ot]]="","",_xlfn.XLOOKUP(tblOrdenes[[#This Row],[tipo_ot]],tblTiposOT[codigo],tblTiposOT[clasificacion],"sin_clasificar"))</f>
        <v/>
      </c>
      <c r="U994" s="3">
        <f>IF(tblOrdenes[[#This Row],[centro_costo]]="","",_xlfn.XLOOKUP(tblOrdenes[[#This Row],[centro_costo]],tblCECO[codigo],tblCECO[linea],"(sin catálogo)"))</f>
        <v/>
      </c>
      <c r="V994" s="3">
        <f>IF(tblOrdenes[[#This Row],[centro_costo]]="","",_xlfn.XLOOKUP(tblOrdenes[[#This Row],[centro_costo]],tblCECO[codigo],tblCECO[area],"(sin catálogo)"))</f>
        <v/>
      </c>
      <c r="W9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4" s="3">
        <f>IF(tblOrdenes[[#This Row],[centro_costo]]="","",_xlfn.XLOOKUP(tblOrdenes[[#This Row],[centro_costo]],tblCECO[codigo],tblCECO[coordinador],"(sin catálogo)"))</f>
        <v/>
      </c>
      <c r="Y994" s="3">
        <f>IF(tblOrdenes[[#This Row],[puesto_trabajo]]="","",_xlfn.XLOOKUP(tblOrdenes[[#This Row],[puesto_trabajo]],tblPuestos[codigo],tblPuestos[especialidad],"(sin catálogo)"))</f>
        <v/>
      </c>
      <c r="Z994" s="3">
        <f>IF(tblOrdenes[[#This Row],[cod_actividad]]="","",_xlfn.XLOOKUP(tblOrdenes[[#This Row],[cod_actividad]],tblActividades[codigo],tblActividades[descripcion],"(sin catálogo)"))</f>
        <v/>
      </c>
      <c r="AA994" s="13">
        <f>IF(tblOrdenes[[#This Row],[fecha_inicio]]="","",TODAY()-tblOrdenes[[#This Row],[fecha_inicio]])</f>
        <v/>
      </c>
      <c r="AB9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4" s="3">
        <f>IF(tblOrdenes[[#This Row],[backlog_habiles]]="","",IF(tblOrdenes[[#This Row],[backlog_habiles]]&lt;0,"FUTURO",IF(tblOrdenes[[#This Row],[backlog_habiles]]&gt;p_dias_backlog_max,"BACKLOG","MES CORRIENTE")))</f>
        <v/>
      </c>
      <c r="AD994" s="3">
        <f>IF(tblOrdenes[[#This Row],[backlog_habiles]]="",FALSE,AND(tblOrdenes[[#This Row],[backlog_habiles]]&gt;p_dias_backlog_min,tblOrdenes[[#This Row],[backlog_habiles]]&lt;=p_dias_backlog_max))</f>
        <v/>
      </c>
      <c r="AE994" s="6" t="n"/>
      <c r="AF9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4" s="11">
        <f>IF(tblOrdenes[[#This Row],[orden]]="","",_xlfn.XLOOKUP(tblOrdenes[[#This Row],[id_operacion]],tblEjecucion[id_operacion],tblEjecucion[precio],0))</f>
        <v/>
      </c>
      <c r="AJ994" s="11">
        <f>IF(tblOrdenes[[#This Row],[orden]]="","",MAX(0,_xlfn.XLOOKUP(tblOrdenes[[#This Row],[id_operacion]],tblEjecucion[id_operacion],tblEjecucion[costo_plan_total],0)-tblOrdenes[[#This Row],[costo_servicio]]))</f>
        <v/>
      </c>
      <c r="AK994" s="11">
        <f>IF(tblOrdenes[[#This Row],[orden]]="","",tblOrdenes[[#This Row],[costo_servicio]]+tblOrdenes[[#This Row],[costo_materiales]])</f>
        <v/>
      </c>
      <c r="AL994" s="6" t="n"/>
      <c r="AM994" s="6" t="n"/>
      <c r="AN994" s="6" t="n"/>
      <c r="AO994" s="3">
        <f>IF(tblOrdenes[[#This Row],[link_checklist]]="","",HYPERLINK(p_ruta_base_checklists&amp;tblOrdenes[[#This Row],[link_checklist]],"abrir"))</f>
        <v/>
      </c>
      <c r="AP994" s="6" t="n"/>
      <c r="AQ994" s="3">
        <f>IF(tblOrdenes[[#This Row],[orden]]="","",tblOrdenes[[#This Row],[orden]]&amp;IF(tblOrdenes[[#This Row],[operacion]]="","0010",tblOrdenes[[#This Row],[operacion]]))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2" t="n"/>
      <c r="K995" s="3" t="n"/>
      <c r="L995" s="11" t="n"/>
      <c r="M9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5" s="3">
        <f>IF(tblOrdenes[[#This Row],[fecha_inicio]]="","",YEAR(tblOrdenes[[#This Row],[fecha_inicio]]))</f>
        <v/>
      </c>
      <c r="Q995" s="3">
        <f>IF(tblOrdenes[[#This Row],[fecha_inicio]]="","",MONTH(tblOrdenes[[#This Row],[fecha_inicio]]))</f>
        <v/>
      </c>
      <c r="R995" s="3">
        <f>IF(tblOrdenes[[#This Row],[fecha_inicio]]="","",INDEX(lista_dias,WEEKDAY(tblOrdenes[[#This Row],[fecha_inicio]],2)))</f>
        <v/>
      </c>
      <c r="S9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5" s="3">
        <f>IF(tblOrdenes[[#This Row],[tipo_ot]]="","",_xlfn.XLOOKUP(tblOrdenes[[#This Row],[tipo_ot]],tblTiposOT[codigo],tblTiposOT[clasificacion],"sin_clasificar"))</f>
        <v/>
      </c>
      <c r="U995" s="3">
        <f>IF(tblOrdenes[[#This Row],[centro_costo]]="","",_xlfn.XLOOKUP(tblOrdenes[[#This Row],[centro_costo]],tblCECO[codigo],tblCECO[linea],"(sin catálogo)"))</f>
        <v/>
      </c>
      <c r="V995" s="3">
        <f>IF(tblOrdenes[[#This Row],[centro_costo]]="","",_xlfn.XLOOKUP(tblOrdenes[[#This Row],[centro_costo]],tblCECO[codigo],tblCECO[area],"(sin catálogo)"))</f>
        <v/>
      </c>
      <c r="W9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5" s="3">
        <f>IF(tblOrdenes[[#This Row],[centro_costo]]="","",_xlfn.XLOOKUP(tblOrdenes[[#This Row],[centro_costo]],tblCECO[codigo],tblCECO[coordinador],"(sin catálogo)"))</f>
        <v/>
      </c>
      <c r="Y995" s="3">
        <f>IF(tblOrdenes[[#This Row],[puesto_trabajo]]="","",_xlfn.XLOOKUP(tblOrdenes[[#This Row],[puesto_trabajo]],tblPuestos[codigo],tblPuestos[especialidad],"(sin catálogo)"))</f>
        <v/>
      </c>
      <c r="Z995" s="3">
        <f>IF(tblOrdenes[[#This Row],[cod_actividad]]="","",_xlfn.XLOOKUP(tblOrdenes[[#This Row],[cod_actividad]],tblActividades[codigo],tblActividades[descripcion],"(sin catálogo)"))</f>
        <v/>
      </c>
      <c r="AA995" s="13">
        <f>IF(tblOrdenes[[#This Row],[fecha_inicio]]="","",TODAY()-tblOrdenes[[#This Row],[fecha_inicio]])</f>
        <v/>
      </c>
      <c r="AB9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5" s="3">
        <f>IF(tblOrdenes[[#This Row],[backlog_habiles]]="","",IF(tblOrdenes[[#This Row],[backlog_habiles]]&lt;0,"FUTURO",IF(tblOrdenes[[#This Row],[backlog_habiles]]&gt;p_dias_backlog_max,"BACKLOG","MES CORRIENTE")))</f>
        <v/>
      </c>
      <c r="AD995" s="3">
        <f>IF(tblOrdenes[[#This Row],[backlog_habiles]]="",FALSE,AND(tblOrdenes[[#This Row],[backlog_habiles]]&gt;p_dias_backlog_min,tblOrdenes[[#This Row],[backlog_habiles]]&lt;=p_dias_backlog_max))</f>
        <v/>
      </c>
      <c r="AE995" s="6" t="n"/>
      <c r="AF9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5" s="11">
        <f>IF(tblOrdenes[[#This Row],[orden]]="","",_xlfn.XLOOKUP(tblOrdenes[[#This Row],[id_operacion]],tblEjecucion[id_operacion],tblEjecucion[precio],0))</f>
        <v/>
      </c>
      <c r="AJ995" s="11">
        <f>IF(tblOrdenes[[#This Row],[orden]]="","",MAX(0,_xlfn.XLOOKUP(tblOrdenes[[#This Row],[id_operacion]],tblEjecucion[id_operacion],tblEjecucion[costo_plan_total],0)-tblOrdenes[[#This Row],[costo_servicio]]))</f>
        <v/>
      </c>
      <c r="AK995" s="11">
        <f>IF(tblOrdenes[[#This Row],[orden]]="","",tblOrdenes[[#This Row],[costo_servicio]]+tblOrdenes[[#This Row],[costo_materiales]])</f>
        <v/>
      </c>
      <c r="AL995" s="6" t="n"/>
      <c r="AM995" s="6" t="n"/>
      <c r="AN995" s="6" t="n"/>
      <c r="AO995" s="3">
        <f>IF(tblOrdenes[[#This Row],[link_checklist]]="","",HYPERLINK(p_ruta_base_checklists&amp;tblOrdenes[[#This Row],[link_checklist]],"abrir"))</f>
        <v/>
      </c>
      <c r="AP995" s="6" t="n"/>
      <c r="AQ995" s="3">
        <f>IF(tblOrdenes[[#This Row],[orden]]="","",tblOrdenes[[#This Row],[orden]]&amp;IF(tblOrdenes[[#This Row],[operacion]]="","0010",tblOrdenes[[#This Row],[operacion]]))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2" t="n"/>
      <c r="K996" s="3" t="n"/>
      <c r="L996" s="11" t="n"/>
      <c r="M9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6" s="3">
        <f>IF(tblOrdenes[[#This Row],[fecha_inicio]]="","",YEAR(tblOrdenes[[#This Row],[fecha_inicio]]))</f>
        <v/>
      </c>
      <c r="Q996" s="3">
        <f>IF(tblOrdenes[[#This Row],[fecha_inicio]]="","",MONTH(tblOrdenes[[#This Row],[fecha_inicio]]))</f>
        <v/>
      </c>
      <c r="R996" s="3">
        <f>IF(tblOrdenes[[#This Row],[fecha_inicio]]="","",INDEX(lista_dias,WEEKDAY(tblOrdenes[[#This Row],[fecha_inicio]],2)))</f>
        <v/>
      </c>
      <c r="S9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6" s="3">
        <f>IF(tblOrdenes[[#This Row],[tipo_ot]]="","",_xlfn.XLOOKUP(tblOrdenes[[#This Row],[tipo_ot]],tblTiposOT[codigo],tblTiposOT[clasificacion],"sin_clasificar"))</f>
        <v/>
      </c>
      <c r="U996" s="3">
        <f>IF(tblOrdenes[[#This Row],[centro_costo]]="","",_xlfn.XLOOKUP(tblOrdenes[[#This Row],[centro_costo]],tblCECO[codigo],tblCECO[linea],"(sin catálogo)"))</f>
        <v/>
      </c>
      <c r="V996" s="3">
        <f>IF(tblOrdenes[[#This Row],[centro_costo]]="","",_xlfn.XLOOKUP(tblOrdenes[[#This Row],[centro_costo]],tblCECO[codigo],tblCECO[area],"(sin catálogo)"))</f>
        <v/>
      </c>
      <c r="W9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6" s="3">
        <f>IF(tblOrdenes[[#This Row],[centro_costo]]="","",_xlfn.XLOOKUP(tblOrdenes[[#This Row],[centro_costo]],tblCECO[codigo],tblCECO[coordinador],"(sin catálogo)"))</f>
        <v/>
      </c>
      <c r="Y996" s="3">
        <f>IF(tblOrdenes[[#This Row],[puesto_trabajo]]="","",_xlfn.XLOOKUP(tblOrdenes[[#This Row],[puesto_trabajo]],tblPuestos[codigo],tblPuestos[especialidad],"(sin catálogo)"))</f>
        <v/>
      </c>
      <c r="Z996" s="3">
        <f>IF(tblOrdenes[[#This Row],[cod_actividad]]="","",_xlfn.XLOOKUP(tblOrdenes[[#This Row],[cod_actividad]],tblActividades[codigo],tblActividades[descripcion],"(sin catálogo)"))</f>
        <v/>
      </c>
      <c r="AA996" s="13">
        <f>IF(tblOrdenes[[#This Row],[fecha_inicio]]="","",TODAY()-tblOrdenes[[#This Row],[fecha_inicio]])</f>
        <v/>
      </c>
      <c r="AB9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6" s="3">
        <f>IF(tblOrdenes[[#This Row],[backlog_habiles]]="","",IF(tblOrdenes[[#This Row],[backlog_habiles]]&lt;0,"FUTURO",IF(tblOrdenes[[#This Row],[backlog_habiles]]&gt;p_dias_backlog_max,"BACKLOG","MES CORRIENTE")))</f>
        <v/>
      </c>
      <c r="AD996" s="3">
        <f>IF(tblOrdenes[[#This Row],[backlog_habiles]]="",FALSE,AND(tblOrdenes[[#This Row],[backlog_habiles]]&gt;p_dias_backlog_min,tblOrdenes[[#This Row],[backlog_habiles]]&lt;=p_dias_backlog_max))</f>
        <v/>
      </c>
      <c r="AE996" s="6" t="n"/>
      <c r="AF9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6" s="11">
        <f>IF(tblOrdenes[[#This Row],[orden]]="","",_xlfn.XLOOKUP(tblOrdenes[[#This Row],[id_operacion]],tblEjecucion[id_operacion],tblEjecucion[precio],0))</f>
        <v/>
      </c>
      <c r="AJ996" s="11">
        <f>IF(tblOrdenes[[#This Row],[orden]]="","",MAX(0,_xlfn.XLOOKUP(tblOrdenes[[#This Row],[id_operacion]],tblEjecucion[id_operacion],tblEjecucion[costo_plan_total],0)-tblOrdenes[[#This Row],[costo_servicio]]))</f>
        <v/>
      </c>
      <c r="AK996" s="11">
        <f>IF(tblOrdenes[[#This Row],[orden]]="","",tblOrdenes[[#This Row],[costo_servicio]]+tblOrdenes[[#This Row],[costo_materiales]])</f>
        <v/>
      </c>
      <c r="AL996" s="6" t="n"/>
      <c r="AM996" s="6" t="n"/>
      <c r="AN996" s="6" t="n"/>
      <c r="AO996" s="3">
        <f>IF(tblOrdenes[[#This Row],[link_checklist]]="","",HYPERLINK(p_ruta_base_checklists&amp;tblOrdenes[[#This Row],[link_checklist]],"abrir"))</f>
        <v/>
      </c>
      <c r="AP996" s="6" t="n"/>
      <c r="AQ996" s="3">
        <f>IF(tblOrdenes[[#This Row],[orden]]="","",tblOrdenes[[#This Row],[orden]]&amp;IF(tblOrdenes[[#This Row],[operacion]]="","0010",tblOrdenes[[#This Row],[operacion]]))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2" t="n"/>
      <c r="K997" s="3" t="n"/>
      <c r="L997" s="11" t="n"/>
      <c r="M9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7" s="3">
        <f>IF(tblOrdenes[[#This Row],[fecha_inicio]]="","",YEAR(tblOrdenes[[#This Row],[fecha_inicio]]))</f>
        <v/>
      </c>
      <c r="Q997" s="3">
        <f>IF(tblOrdenes[[#This Row],[fecha_inicio]]="","",MONTH(tblOrdenes[[#This Row],[fecha_inicio]]))</f>
        <v/>
      </c>
      <c r="R997" s="3">
        <f>IF(tblOrdenes[[#This Row],[fecha_inicio]]="","",INDEX(lista_dias,WEEKDAY(tblOrdenes[[#This Row],[fecha_inicio]],2)))</f>
        <v/>
      </c>
      <c r="S9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7" s="3">
        <f>IF(tblOrdenes[[#This Row],[tipo_ot]]="","",_xlfn.XLOOKUP(tblOrdenes[[#This Row],[tipo_ot]],tblTiposOT[codigo],tblTiposOT[clasificacion],"sin_clasificar"))</f>
        <v/>
      </c>
      <c r="U997" s="3">
        <f>IF(tblOrdenes[[#This Row],[centro_costo]]="","",_xlfn.XLOOKUP(tblOrdenes[[#This Row],[centro_costo]],tblCECO[codigo],tblCECO[linea],"(sin catálogo)"))</f>
        <v/>
      </c>
      <c r="V997" s="3">
        <f>IF(tblOrdenes[[#This Row],[centro_costo]]="","",_xlfn.XLOOKUP(tblOrdenes[[#This Row],[centro_costo]],tblCECO[codigo],tblCECO[area],"(sin catálogo)"))</f>
        <v/>
      </c>
      <c r="W9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7" s="3">
        <f>IF(tblOrdenes[[#This Row],[centro_costo]]="","",_xlfn.XLOOKUP(tblOrdenes[[#This Row],[centro_costo]],tblCECO[codigo],tblCECO[coordinador],"(sin catálogo)"))</f>
        <v/>
      </c>
      <c r="Y997" s="3">
        <f>IF(tblOrdenes[[#This Row],[puesto_trabajo]]="","",_xlfn.XLOOKUP(tblOrdenes[[#This Row],[puesto_trabajo]],tblPuestos[codigo],tblPuestos[especialidad],"(sin catálogo)"))</f>
        <v/>
      </c>
      <c r="Z997" s="3">
        <f>IF(tblOrdenes[[#This Row],[cod_actividad]]="","",_xlfn.XLOOKUP(tblOrdenes[[#This Row],[cod_actividad]],tblActividades[codigo],tblActividades[descripcion],"(sin catálogo)"))</f>
        <v/>
      </c>
      <c r="AA997" s="13">
        <f>IF(tblOrdenes[[#This Row],[fecha_inicio]]="","",TODAY()-tblOrdenes[[#This Row],[fecha_inicio]])</f>
        <v/>
      </c>
      <c r="AB9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7" s="3">
        <f>IF(tblOrdenes[[#This Row],[backlog_habiles]]="","",IF(tblOrdenes[[#This Row],[backlog_habiles]]&lt;0,"FUTURO",IF(tblOrdenes[[#This Row],[backlog_habiles]]&gt;p_dias_backlog_max,"BACKLOG","MES CORRIENTE")))</f>
        <v/>
      </c>
      <c r="AD997" s="3">
        <f>IF(tblOrdenes[[#This Row],[backlog_habiles]]="",FALSE,AND(tblOrdenes[[#This Row],[backlog_habiles]]&gt;p_dias_backlog_min,tblOrdenes[[#This Row],[backlog_habiles]]&lt;=p_dias_backlog_max))</f>
        <v/>
      </c>
      <c r="AE997" s="6" t="n"/>
      <c r="AF9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7" s="11">
        <f>IF(tblOrdenes[[#This Row],[orden]]="","",_xlfn.XLOOKUP(tblOrdenes[[#This Row],[id_operacion]],tblEjecucion[id_operacion],tblEjecucion[precio],0))</f>
        <v/>
      </c>
      <c r="AJ997" s="11">
        <f>IF(tblOrdenes[[#This Row],[orden]]="","",MAX(0,_xlfn.XLOOKUP(tblOrdenes[[#This Row],[id_operacion]],tblEjecucion[id_operacion],tblEjecucion[costo_plan_total],0)-tblOrdenes[[#This Row],[costo_servicio]]))</f>
        <v/>
      </c>
      <c r="AK997" s="11">
        <f>IF(tblOrdenes[[#This Row],[orden]]="","",tblOrdenes[[#This Row],[costo_servicio]]+tblOrdenes[[#This Row],[costo_materiales]])</f>
        <v/>
      </c>
      <c r="AL997" s="6" t="n"/>
      <c r="AM997" s="6" t="n"/>
      <c r="AN997" s="6" t="n"/>
      <c r="AO997" s="3">
        <f>IF(tblOrdenes[[#This Row],[link_checklist]]="","",HYPERLINK(p_ruta_base_checklists&amp;tblOrdenes[[#This Row],[link_checklist]],"abrir"))</f>
        <v/>
      </c>
      <c r="AP997" s="6" t="n"/>
      <c r="AQ997" s="3">
        <f>IF(tblOrdenes[[#This Row],[orden]]="","",tblOrdenes[[#This Row],[orden]]&amp;IF(tblOrdenes[[#This Row],[operacion]]="","0010",tblOrdenes[[#This Row],[operacion]]))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2" t="n"/>
      <c r="K998" s="3" t="n"/>
      <c r="L998" s="11" t="n"/>
      <c r="M9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8" s="3">
        <f>IF(tblOrdenes[[#This Row],[fecha_inicio]]="","",YEAR(tblOrdenes[[#This Row],[fecha_inicio]]))</f>
        <v/>
      </c>
      <c r="Q998" s="3">
        <f>IF(tblOrdenes[[#This Row],[fecha_inicio]]="","",MONTH(tblOrdenes[[#This Row],[fecha_inicio]]))</f>
        <v/>
      </c>
      <c r="R998" s="3">
        <f>IF(tblOrdenes[[#This Row],[fecha_inicio]]="","",INDEX(lista_dias,WEEKDAY(tblOrdenes[[#This Row],[fecha_inicio]],2)))</f>
        <v/>
      </c>
      <c r="S9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8" s="3">
        <f>IF(tblOrdenes[[#This Row],[tipo_ot]]="","",_xlfn.XLOOKUP(tblOrdenes[[#This Row],[tipo_ot]],tblTiposOT[codigo],tblTiposOT[clasificacion],"sin_clasificar"))</f>
        <v/>
      </c>
      <c r="U998" s="3">
        <f>IF(tblOrdenes[[#This Row],[centro_costo]]="","",_xlfn.XLOOKUP(tblOrdenes[[#This Row],[centro_costo]],tblCECO[codigo],tblCECO[linea],"(sin catálogo)"))</f>
        <v/>
      </c>
      <c r="V998" s="3">
        <f>IF(tblOrdenes[[#This Row],[centro_costo]]="","",_xlfn.XLOOKUP(tblOrdenes[[#This Row],[centro_costo]],tblCECO[codigo],tblCECO[area],"(sin catálogo)"))</f>
        <v/>
      </c>
      <c r="W9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8" s="3">
        <f>IF(tblOrdenes[[#This Row],[centro_costo]]="","",_xlfn.XLOOKUP(tblOrdenes[[#This Row],[centro_costo]],tblCECO[codigo],tblCECO[coordinador],"(sin catálogo)"))</f>
        <v/>
      </c>
      <c r="Y998" s="3">
        <f>IF(tblOrdenes[[#This Row],[puesto_trabajo]]="","",_xlfn.XLOOKUP(tblOrdenes[[#This Row],[puesto_trabajo]],tblPuestos[codigo],tblPuestos[especialidad],"(sin catálogo)"))</f>
        <v/>
      </c>
      <c r="Z998" s="3">
        <f>IF(tblOrdenes[[#This Row],[cod_actividad]]="","",_xlfn.XLOOKUP(tblOrdenes[[#This Row],[cod_actividad]],tblActividades[codigo],tblActividades[descripcion],"(sin catálogo)"))</f>
        <v/>
      </c>
      <c r="AA998" s="13">
        <f>IF(tblOrdenes[[#This Row],[fecha_inicio]]="","",TODAY()-tblOrdenes[[#This Row],[fecha_inicio]])</f>
        <v/>
      </c>
      <c r="AB9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8" s="3">
        <f>IF(tblOrdenes[[#This Row],[backlog_habiles]]="","",IF(tblOrdenes[[#This Row],[backlog_habiles]]&lt;0,"FUTURO",IF(tblOrdenes[[#This Row],[backlog_habiles]]&gt;p_dias_backlog_max,"BACKLOG","MES CORRIENTE")))</f>
        <v/>
      </c>
      <c r="AD998" s="3">
        <f>IF(tblOrdenes[[#This Row],[backlog_habiles]]="",FALSE,AND(tblOrdenes[[#This Row],[backlog_habiles]]&gt;p_dias_backlog_min,tblOrdenes[[#This Row],[backlog_habiles]]&lt;=p_dias_backlog_max))</f>
        <v/>
      </c>
      <c r="AE998" s="6" t="n"/>
      <c r="AF9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8" s="11">
        <f>IF(tblOrdenes[[#This Row],[orden]]="","",_xlfn.XLOOKUP(tblOrdenes[[#This Row],[id_operacion]],tblEjecucion[id_operacion],tblEjecucion[precio],0))</f>
        <v/>
      </c>
      <c r="AJ998" s="11">
        <f>IF(tblOrdenes[[#This Row],[orden]]="","",MAX(0,_xlfn.XLOOKUP(tblOrdenes[[#This Row],[id_operacion]],tblEjecucion[id_operacion],tblEjecucion[costo_plan_total],0)-tblOrdenes[[#This Row],[costo_servicio]]))</f>
        <v/>
      </c>
      <c r="AK998" s="11">
        <f>IF(tblOrdenes[[#This Row],[orden]]="","",tblOrdenes[[#This Row],[costo_servicio]]+tblOrdenes[[#This Row],[costo_materiales]])</f>
        <v/>
      </c>
      <c r="AL998" s="6" t="n"/>
      <c r="AM998" s="6" t="n"/>
      <c r="AN998" s="6" t="n"/>
      <c r="AO998" s="3">
        <f>IF(tblOrdenes[[#This Row],[link_checklist]]="","",HYPERLINK(p_ruta_base_checklists&amp;tblOrdenes[[#This Row],[link_checklist]],"abrir"))</f>
        <v/>
      </c>
      <c r="AP998" s="6" t="n"/>
      <c r="AQ998" s="3">
        <f>IF(tblOrdenes[[#This Row],[orden]]="","",tblOrdenes[[#This Row],[orden]]&amp;IF(tblOrdenes[[#This Row],[operacion]]="","0010",tblOrdenes[[#This Row],[operacion]]))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2" t="n"/>
      <c r="K999" s="3" t="n"/>
      <c r="L999" s="11" t="n"/>
      <c r="M9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9" s="3">
        <f>IF(tblOrdenes[[#This Row],[fecha_inicio]]="","",YEAR(tblOrdenes[[#This Row],[fecha_inicio]]))</f>
        <v/>
      </c>
      <c r="Q999" s="3">
        <f>IF(tblOrdenes[[#This Row],[fecha_inicio]]="","",MONTH(tblOrdenes[[#This Row],[fecha_inicio]]))</f>
        <v/>
      </c>
      <c r="R999" s="3">
        <f>IF(tblOrdenes[[#This Row],[fecha_inicio]]="","",INDEX(lista_dias,WEEKDAY(tblOrdenes[[#This Row],[fecha_inicio]],2)))</f>
        <v/>
      </c>
      <c r="S9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9" s="3">
        <f>IF(tblOrdenes[[#This Row],[tipo_ot]]="","",_xlfn.XLOOKUP(tblOrdenes[[#This Row],[tipo_ot]],tblTiposOT[codigo],tblTiposOT[clasificacion],"sin_clasificar"))</f>
        <v/>
      </c>
      <c r="U999" s="3">
        <f>IF(tblOrdenes[[#This Row],[centro_costo]]="","",_xlfn.XLOOKUP(tblOrdenes[[#This Row],[centro_costo]],tblCECO[codigo],tblCECO[linea],"(sin catálogo)"))</f>
        <v/>
      </c>
      <c r="V999" s="3">
        <f>IF(tblOrdenes[[#This Row],[centro_costo]]="","",_xlfn.XLOOKUP(tblOrdenes[[#This Row],[centro_costo]],tblCECO[codigo],tblCECO[area],"(sin catálogo)"))</f>
        <v/>
      </c>
      <c r="W9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9" s="3">
        <f>IF(tblOrdenes[[#This Row],[centro_costo]]="","",_xlfn.XLOOKUP(tblOrdenes[[#This Row],[centro_costo]],tblCECO[codigo],tblCECO[coordinador],"(sin catálogo)"))</f>
        <v/>
      </c>
      <c r="Y999" s="3">
        <f>IF(tblOrdenes[[#This Row],[puesto_trabajo]]="","",_xlfn.XLOOKUP(tblOrdenes[[#This Row],[puesto_trabajo]],tblPuestos[codigo],tblPuestos[especialidad],"(sin catálogo)"))</f>
        <v/>
      </c>
      <c r="Z999" s="3">
        <f>IF(tblOrdenes[[#This Row],[cod_actividad]]="","",_xlfn.XLOOKUP(tblOrdenes[[#This Row],[cod_actividad]],tblActividades[codigo],tblActividades[descripcion],"(sin catálogo)"))</f>
        <v/>
      </c>
      <c r="AA999" s="13">
        <f>IF(tblOrdenes[[#This Row],[fecha_inicio]]="","",TODAY()-tblOrdenes[[#This Row],[fecha_inicio]])</f>
        <v/>
      </c>
      <c r="AB9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9" s="3">
        <f>IF(tblOrdenes[[#This Row],[backlog_habiles]]="","",IF(tblOrdenes[[#This Row],[backlog_habiles]]&lt;0,"FUTURO",IF(tblOrdenes[[#This Row],[backlog_habiles]]&gt;p_dias_backlog_max,"BACKLOG","MES CORRIENTE")))</f>
        <v/>
      </c>
      <c r="AD999" s="3">
        <f>IF(tblOrdenes[[#This Row],[backlog_habiles]]="",FALSE,AND(tblOrdenes[[#This Row],[backlog_habiles]]&gt;p_dias_backlog_min,tblOrdenes[[#This Row],[backlog_habiles]]&lt;=p_dias_backlog_max))</f>
        <v/>
      </c>
      <c r="AE999" s="6" t="n"/>
      <c r="AF9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9" s="11">
        <f>IF(tblOrdenes[[#This Row],[orden]]="","",_xlfn.XLOOKUP(tblOrdenes[[#This Row],[id_operacion]],tblEjecucion[id_operacion],tblEjecucion[precio],0))</f>
        <v/>
      </c>
      <c r="AJ999" s="11">
        <f>IF(tblOrdenes[[#This Row],[orden]]="","",MAX(0,_xlfn.XLOOKUP(tblOrdenes[[#This Row],[id_operacion]],tblEjecucion[id_operacion],tblEjecucion[costo_plan_total],0)-tblOrdenes[[#This Row],[costo_servicio]]))</f>
        <v/>
      </c>
      <c r="AK999" s="11">
        <f>IF(tblOrdenes[[#This Row],[orden]]="","",tblOrdenes[[#This Row],[costo_servicio]]+tblOrdenes[[#This Row],[costo_materiales]])</f>
        <v/>
      </c>
      <c r="AL999" s="6" t="n"/>
      <c r="AM999" s="6" t="n"/>
      <c r="AN999" s="6" t="n"/>
      <c r="AO999" s="3">
        <f>IF(tblOrdenes[[#This Row],[link_checklist]]="","",HYPERLINK(p_ruta_base_checklists&amp;tblOrdenes[[#This Row],[link_checklist]],"abrir"))</f>
        <v/>
      </c>
      <c r="AP999" s="6" t="n"/>
      <c r="AQ999" s="3">
        <f>IF(tblOrdenes[[#This Row],[orden]]="","",tblOrdenes[[#This Row],[orden]]&amp;IF(tblOrdenes[[#This Row],[operacion]]="","0010",tblOrdenes[[#This Row],[operacion]]))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2" t="n"/>
      <c r="K1000" s="3" t="n"/>
      <c r="L1000" s="11" t="n"/>
      <c r="M10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0" s="3">
        <f>IF(tblOrdenes[[#This Row],[fecha_inicio]]="","",YEAR(tblOrdenes[[#This Row],[fecha_inicio]]))</f>
        <v/>
      </c>
      <c r="Q1000" s="3">
        <f>IF(tblOrdenes[[#This Row],[fecha_inicio]]="","",MONTH(tblOrdenes[[#This Row],[fecha_inicio]]))</f>
        <v/>
      </c>
      <c r="R1000" s="3">
        <f>IF(tblOrdenes[[#This Row],[fecha_inicio]]="","",INDEX(lista_dias,WEEKDAY(tblOrdenes[[#This Row],[fecha_inicio]],2)))</f>
        <v/>
      </c>
      <c r="S10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0" s="3">
        <f>IF(tblOrdenes[[#This Row],[tipo_ot]]="","",_xlfn.XLOOKUP(tblOrdenes[[#This Row],[tipo_ot]],tblTiposOT[codigo],tblTiposOT[clasificacion],"sin_clasificar"))</f>
        <v/>
      </c>
      <c r="U1000" s="3">
        <f>IF(tblOrdenes[[#This Row],[centro_costo]]="","",_xlfn.XLOOKUP(tblOrdenes[[#This Row],[centro_costo]],tblCECO[codigo],tblCECO[linea],"(sin catálogo)"))</f>
        <v/>
      </c>
      <c r="V1000" s="3">
        <f>IF(tblOrdenes[[#This Row],[centro_costo]]="","",_xlfn.XLOOKUP(tblOrdenes[[#This Row],[centro_costo]],tblCECO[codigo],tblCECO[area],"(sin catálogo)"))</f>
        <v/>
      </c>
      <c r="W10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0" s="3">
        <f>IF(tblOrdenes[[#This Row],[centro_costo]]="","",_xlfn.XLOOKUP(tblOrdenes[[#This Row],[centro_costo]],tblCECO[codigo],tblCECO[coordinador],"(sin catálogo)"))</f>
        <v/>
      </c>
      <c r="Y1000" s="3">
        <f>IF(tblOrdenes[[#This Row],[puesto_trabajo]]="","",_xlfn.XLOOKUP(tblOrdenes[[#This Row],[puesto_trabajo]],tblPuestos[codigo],tblPuestos[especialidad],"(sin catálogo)"))</f>
        <v/>
      </c>
      <c r="Z1000" s="3">
        <f>IF(tblOrdenes[[#This Row],[cod_actividad]]="","",_xlfn.XLOOKUP(tblOrdenes[[#This Row],[cod_actividad]],tblActividades[codigo],tblActividades[descripcion],"(sin catálogo)"))</f>
        <v/>
      </c>
      <c r="AA1000" s="13">
        <f>IF(tblOrdenes[[#This Row],[fecha_inicio]]="","",TODAY()-tblOrdenes[[#This Row],[fecha_inicio]])</f>
        <v/>
      </c>
      <c r="AB10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0" s="3">
        <f>IF(tblOrdenes[[#This Row],[backlog_habiles]]="","",IF(tblOrdenes[[#This Row],[backlog_habiles]]&lt;0,"FUTURO",IF(tblOrdenes[[#This Row],[backlog_habiles]]&gt;p_dias_backlog_max,"BACKLOG","MES CORRIENTE")))</f>
        <v/>
      </c>
      <c r="AD1000" s="3">
        <f>IF(tblOrdenes[[#This Row],[backlog_habiles]]="",FALSE,AND(tblOrdenes[[#This Row],[backlog_habiles]]&gt;p_dias_backlog_min,tblOrdenes[[#This Row],[backlog_habiles]]&lt;=p_dias_backlog_max))</f>
        <v/>
      </c>
      <c r="AE1000" s="6" t="n"/>
      <c r="AF10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0" s="11">
        <f>IF(tblOrdenes[[#This Row],[orden]]="","",_xlfn.XLOOKUP(tblOrdenes[[#This Row],[id_operacion]],tblEjecucion[id_operacion],tblEjecucion[precio],0))</f>
        <v/>
      </c>
      <c r="AJ1000" s="11">
        <f>IF(tblOrdenes[[#This Row],[orden]]="","",MAX(0,_xlfn.XLOOKUP(tblOrdenes[[#This Row],[id_operacion]],tblEjecucion[id_operacion],tblEjecucion[costo_plan_total],0)-tblOrdenes[[#This Row],[costo_servicio]]))</f>
        <v/>
      </c>
      <c r="AK1000" s="11">
        <f>IF(tblOrdenes[[#This Row],[orden]]="","",tblOrdenes[[#This Row],[costo_servicio]]+tblOrdenes[[#This Row],[costo_materiales]])</f>
        <v/>
      </c>
      <c r="AL1000" s="6" t="n"/>
      <c r="AM1000" s="6" t="n"/>
      <c r="AN1000" s="6" t="n"/>
      <c r="AO1000" s="3">
        <f>IF(tblOrdenes[[#This Row],[link_checklist]]="","",HYPERLINK(p_ruta_base_checklists&amp;tblOrdenes[[#This Row],[link_checklist]],"abrir"))</f>
        <v/>
      </c>
      <c r="AP1000" s="6" t="n"/>
      <c r="AQ1000" s="3">
        <f>IF(tblOrdenes[[#This Row],[orden]]="","",tblOrdenes[[#This Row],[orden]]&amp;IF(tblOrdenes[[#This Row],[operacion]]="","0010",tblOrdenes[[#This Row],[operacion]]))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2" t="n"/>
      <c r="K1001" s="3" t="n"/>
      <c r="L1001" s="11" t="n"/>
      <c r="M10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1" s="3">
        <f>IF(tblOrdenes[[#This Row],[fecha_inicio]]="","",YEAR(tblOrdenes[[#This Row],[fecha_inicio]]))</f>
        <v/>
      </c>
      <c r="Q1001" s="3">
        <f>IF(tblOrdenes[[#This Row],[fecha_inicio]]="","",MONTH(tblOrdenes[[#This Row],[fecha_inicio]]))</f>
        <v/>
      </c>
      <c r="R1001" s="3">
        <f>IF(tblOrdenes[[#This Row],[fecha_inicio]]="","",INDEX(lista_dias,WEEKDAY(tblOrdenes[[#This Row],[fecha_inicio]],2)))</f>
        <v/>
      </c>
      <c r="S10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1" s="3">
        <f>IF(tblOrdenes[[#This Row],[tipo_ot]]="","",_xlfn.XLOOKUP(tblOrdenes[[#This Row],[tipo_ot]],tblTiposOT[codigo],tblTiposOT[clasificacion],"sin_clasificar"))</f>
        <v/>
      </c>
      <c r="U1001" s="3">
        <f>IF(tblOrdenes[[#This Row],[centro_costo]]="","",_xlfn.XLOOKUP(tblOrdenes[[#This Row],[centro_costo]],tblCECO[codigo],tblCECO[linea],"(sin catálogo)"))</f>
        <v/>
      </c>
      <c r="V1001" s="3">
        <f>IF(tblOrdenes[[#This Row],[centro_costo]]="","",_xlfn.XLOOKUP(tblOrdenes[[#This Row],[centro_costo]],tblCECO[codigo],tblCECO[area],"(sin catálogo)"))</f>
        <v/>
      </c>
      <c r="W10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1" s="3">
        <f>IF(tblOrdenes[[#This Row],[centro_costo]]="","",_xlfn.XLOOKUP(tblOrdenes[[#This Row],[centro_costo]],tblCECO[codigo],tblCECO[coordinador],"(sin catálogo)"))</f>
        <v/>
      </c>
      <c r="Y1001" s="3">
        <f>IF(tblOrdenes[[#This Row],[puesto_trabajo]]="","",_xlfn.XLOOKUP(tblOrdenes[[#This Row],[puesto_trabajo]],tblPuestos[codigo],tblPuestos[especialidad],"(sin catálogo)"))</f>
        <v/>
      </c>
      <c r="Z1001" s="3">
        <f>IF(tblOrdenes[[#This Row],[cod_actividad]]="","",_xlfn.XLOOKUP(tblOrdenes[[#This Row],[cod_actividad]],tblActividades[codigo],tblActividades[descripcion],"(sin catálogo)"))</f>
        <v/>
      </c>
      <c r="AA1001" s="13">
        <f>IF(tblOrdenes[[#This Row],[fecha_inicio]]="","",TODAY()-tblOrdenes[[#This Row],[fecha_inicio]])</f>
        <v/>
      </c>
      <c r="AB10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1" s="3">
        <f>IF(tblOrdenes[[#This Row],[backlog_habiles]]="","",IF(tblOrdenes[[#This Row],[backlog_habiles]]&lt;0,"FUTURO",IF(tblOrdenes[[#This Row],[backlog_habiles]]&gt;p_dias_backlog_max,"BACKLOG","MES CORRIENTE")))</f>
        <v/>
      </c>
      <c r="AD1001" s="3">
        <f>IF(tblOrdenes[[#This Row],[backlog_habiles]]="",FALSE,AND(tblOrdenes[[#This Row],[backlog_habiles]]&gt;p_dias_backlog_min,tblOrdenes[[#This Row],[backlog_habiles]]&lt;=p_dias_backlog_max))</f>
        <v/>
      </c>
      <c r="AE1001" s="6" t="n"/>
      <c r="AF10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1" s="11">
        <f>IF(tblOrdenes[[#This Row],[orden]]="","",_xlfn.XLOOKUP(tblOrdenes[[#This Row],[id_operacion]],tblEjecucion[id_operacion],tblEjecucion[precio],0))</f>
        <v/>
      </c>
      <c r="AJ1001" s="11">
        <f>IF(tblOrdenes[[#This Row],[orden]]="","",MAX(0,_xlfn.XLOOKUP(tblOrdenes[[#This Row],[id_operacion]],tblEjecucion[id_operacion],tblEjecucion[costo_plan_total],0)-tblOrdenes[[#This Row],[costo_servicio]]))</f>
        <v/>
      </c>
      <c r="AK1001" s="11">
        <f>IF(tblOrdenes[[#This Row],[orden]]="","",tblOrdenes[[#This Row],[costo_servicio]]+tblOrdenes[[#This Row],[costo_materiales]])</f>
        <v/>
      </c>
      <c r="AL1001" s="6" t="n"/>
      <c r="AM1001" s="6" t="n"/>
      <c r="AN1001" s="6" t="n"/>
      <c r="AO1001" s="3">
        <f>IF(tblOrdenes[[#This Row],[link_checklist]]="","",HYPERLINK(p_ruta_base_checklists&amp;tblOrdenes[[#This Row],[link_checklist]],"abrir"))</f>
        <v/>
      </c>
      <c r="AP1001" s="6" t="n"/>
      <c r="AQ1001" s="3">
        <f>IF(tblOrdenes[[#This Row],[orden]]="","",tblOrdenes[[#This Row],[orden]]&amp;IF(tblOrdenes[[#This Row],[operacion]]="","0010",tblOrdenes[[#This Row],[operacion]]))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2" t="n"/>
      <c r="K1002" s="3" t="n"/>
      <c r="L1002" s="11" t="n"/>
      <c r="M10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2" s="3">
        <f>IF(tblOrdenes[[#This Row],[fecha_inicio]]="","",YEAR(tblOrdenes[[#This Row],[fecha_inicio]]))</f>
        <v/>
      </c>
      <c r="Q1002" s="3">
        <f>IF(tblOrdenes[[#This Row],[fecha_inicio]]="","",MONTH(tblOrdenes[[#This Row],[fecha_inicio]]))</f>
        <v/>
      </c>
      <c r="R1002" s="3">
        <f>IF(tblOrdenes[[#This Row],[fecha_inicio]]="","",INDEX(lista_dias,WEEKDAY(tblOrdenes[[#This Row],[fecha_inicio]],2)))</f>
        <v/>
      </c>
      <c r="S10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2" s="3">
        <f>IF(tblOrdenes[[#This Row],[tipo_ot]]="","",_xlfn.XLOOKUP(tblOrdenes[[#This Row],[tipo_ot]],tblTiposOT[codigo],tblTiposOT[clasificacion],"sin_clasificar"))</f>
        <v/>
      </c>
      <c r="U1002" s="3">
        <f>IF(tblOrdenes[[#This Row],[centro_costo]]="","",_xlfn.XLOOKUP(tblOrdenes[[#This Row],[centro_costo]],tblCECO[codigo],tblCECO[linea],"(sin catálogo)"))</f>
        <v/>
      </c>
      <c r="V1002" s="3">
        <f>IF(tblOrdenes[[#This Row],[centro_costo]]="","",_xlfn.XLOOKUP(tblOrdenes[[#This Row],[centro_costo]],tblCECO[codigo],tblCECO[area],"(sin catálogo)"))</f>
        <v/>
      </c>
      <c r="W10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2" s="3">
        <f>IF(tblOrdenes[[#This Row],[centro_costo]]="","",_xlfn.XLOOKUP(tblOrdenes[[#This Row],[centro_costo]],tblCECO[codigo],tblCECO[coordinador],"(sin catálogo)"))</f>
        <v/>
      </c>
      <c r="Y1002" s="3">
        <f>IF(tblOrdenes[[#This Row],[puesto_trabajo]]="","",_xlfn.XLOOKUP(tblOrdenes[[#This Row],[puesto_trabajo]],tblPuestos[codigo],tblPuestos[especialidad],"(sin catálogo)"))</f>
        <v/>
      </c>
      <c r="Z1002" s="3">
        <f>IF(tblOrdenes[[#This Row],[cod_actividad]]="","",_xlfn.XLOOKUP(tblOrdenes[[#This Row],[cod_actividad]],tblActividades[codigo],tblActividades[descripcion],"(sin catálogo)"))</f>
        <v/>
      </c>
      <c r="AA1002" s="13">
        <f>IF(tblOrdenes[[#This Row],[fecha_inicio]]="","",TODAY()-tblOrdenes[[#This Row],[fecha_inicio]])</f>
        <v/>
      </c>
      <c r="AB10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2" s="3">
        <f>IF(tblOrdenes[[#This Row],[backlog_habiles]]="","",IF(tblOrdenes[[#This Row],[backlog_habiles]]&lt;0,"FUTURO",IF(tblOrdenes[[#This Row],[backlog_habiles]]&gt;p_dias_backlog_max,"BACKLOG","MES CORRIENTE")))</f>
        <v/>
      </c>
      <c r="AD1002" s="3">
        <f>IF(tblOrdenes[[#This Row],[backlog_habiles]]="",FALSE,AND(tblOrdenes[[#This Row],[backlog_habiles]]&gt;p_dias_backlog_min,tblOrdenes[[#This Row],[backlog_habiles]]&lt;=p_dias_backlog_max))</f>
        <v/>
      </c>
      <c r="AE1002" s="6" t="n"/>
      <c r="AF10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2" s="11">
        <f>IF(tblOrdenes[[#This Row],[orden]]="","",_xlfn.XLOOKUP(tblOrdenes[[#This Row],[id_operacion]],tblEjecucion[id_operacion],tblEjecucion[precio],0))</f>
        <v/>
      </c>
      <c r="AJ1002" s="11">
        <f>IF(tblOrdenes[[#This Row],[orden]]="","",MAX(0,_xlfn.XLOOKUP(tblOrdenes[[#This Row],[id_operacion]],tblEjecucion[id_operacion],tblEjecucion[costo_plan_total],0)-tblOrdenes[[#This Row],[costo_servicio]]))</f>
        <v/>
      </c>
      <c r="AK1002" s="11">
        <f>IF(tblOrdenes[[#This Row],[orden]]="","",tblOrdenes[[#This Row],[costo_servicio]]+tblOrdenes[[#This Row],[costo_materiales]])</f>
        <v/>
      </c>
      <c r="AL1002" s="6" t="n"/>
      <c r="AM1002" s="6" t="n"/>
      <c r="AN1002" s="6" t="n"/>
      <c r="AO1002" s="3">
        <f>IF(tblOrdenes[[#This Row],[link_checklist]]="","",HYPERLINK(p_ruta_base_checklists&amp;tblOrdenes[[#This Row],[link_checklist]],"abrir"))</f>
        <v/>
      </c>
      <c r="AP1002" s="6" t="n"/>
      <c r="AQ1002" s="3">
        <f>IF(tblOrdenes[[#This Row],[orden]]="","",tblOrdenes[[#This Row],[orden]]&amp;IF(tblOrdenes[[#This Row],[operacion]]="","0010",tblOrdenes[[#This Row],[operacion]]))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2" t="n"/>
      <c r="K1003" s="3" t="n"/>
      <c r="L1003" s="11" t="n"/>
      <c r="M10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3" s="3">
        <f>IF(tblOrdenes[[#This Row],[fecha_inicio]]="","",YEAR(tblOrdenes[[#This Row],[fecha_inicio]]))</f>
        <v/>
      </c>
      <c r="Q1003" s="3">
        <f>IF(tblOrdenes[[#This Row],[fecha_inicio]]="","",MONTH(tblOrdenes[[#This Row],[fecha_inicio]]))</f>
        <v/>
      </c>
      <c r="R1003" s="3">
        <f>IF(tblOrdenes[[#This Row],[fecha_inicio]]="","",INDEX(lista_dias,WEEKDAY(tblOrdenes[[#This Row],[fecha_inicio]],2)))</f>
        <v/>
      </c>
      <c r="S10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3" s="3">
        <f>IF(tblOrdenes[[#This Row],[tipo_ot]]="","",_xlfn.XLOOKUP(tblOrdenes[[#This Row],[tipo_ot]],tblTiposOT[codigo],tblTiposOT[clasificacion],"sin_clasificar"))</f>
        <v/>
      </c>
      <c r="U1003" s="3">
        <f>IF(tblOrdenes[[#This Row],[centro_costo]]="","",_xlfn.XLOOKUP(tblOrdenes[[#This Row],[centro_costo]],tblCECO[codigo],tblCECO[linea],"(sin catálogo)"))</f>
        <v/>
      </c>
      <c r="V1003" s="3">
        <f>IF(tblOrdenes[[#This Row],[centro_costo]]="","",_xlfn.XLOOKUP(tblOrdenes[[#This Row],[centro_costo]],tblCECO[codigo],tblCECO[area],"(sin catálogo)"))</f>
        <v/>
      </c>
      <c r="W10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3" s="3">
        <f>IF(tblOrdenes[[#This Row],[centro_costo]]="","",_xlfn.XLOOKUP(tblOrdenes[[#This Row],[centro_costo]],tblCECO[codigo],tblCECO[coordinador],"(sin catálogo)"))</f>
        <v/>
      </c>
      <c r="Y1003" s="3">
        <f>IF(tblOrdenes[[#This Row],[puesto_trabajo]]="","",_xlfn.XLOOKUP(tblOrdenes[[#This Row],[puesto_trabajo]],tblPuestos[codigo],tblPuestos[especialidad],"(sin catálogo)"))</f>
        <v/>
      </c>
      <c r="Z1003" s="3">
        <f>IF(tblOrdenes[[#This Row],[cod_actividad]]="","",_xlfn.XLOOKUP(tblOrdenes[[#This Row],[cod_actividad]],tblActividades[codigo],tblActividades[descripcion],"(sin catálogo)"))</f>
        <v/>
      </c>
      <c r="AA1003" s="13">
        <f>IF(tblOrdenes[[#This Row],[fecha_inicio]]="","",TODAY()-tblOrdenes[[#This Row],[fecha_inicio]])</f>
        <v/>
      </c>
      <c r="AB10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3" s="3">
        <f>IF(tblOrdenes[[#This Row],[backlog_habiles]]="","",IF(tblOrdenes[[#This Row],[backlog_habiles]]&lt;0,"FUTURO",IF(tblOrdenes[[#This Row],[backlog_habiles]]&gt;p_dias_backlog_max,"BACKLOG","MES CORRIENTE")))</f>
        <v/>
      </c>
      <c r="AD1003" s="3">
        <f>IF(tblOrdenes[[#This Row],[backlog_habiles]]="",FALSE,AND(tblOrdenes[[#This Row],[backlog_habiles]]&gt;p_dias_backlog_min,tblOrdenes[[#This Row],[backlog_habiles]]&lt;=p_dias_backlog_max))</f>
        <v/>
      </c>
      <c r="AE1003" s="6" t="n"/>
      <c r="AF10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3" s="11">
        <f>IF(tblOrdenes[[#This Row],[orden]]="","",_xlfn.XLOOKUP(tblOrdenes[[#This Row],[id_operacion]],tblEjecucion[id_operacion],tblEjecucion[precio],0))</f>
        <v/>
      </c>
      <c r="AJ1003" s="11">
        <f>IF(tblOrdenes[[#This Row],[orden]]="","",MAX(0,_xlfn.XLOOKUP(tblOrdenes[[#This Row],[id_operacion]],tblEjecucion[id_operacion],tblEjecucion[costo_plan_total],0)-tblOrdenes[[#This Row],[costo_servicio]]))</f>
        <v/>
      </c>
      <c r="AK1003" s="11">
        <f>IF(tblOrdenes[[#This Row],[orden]]="","",tblOrdenes[[#This Row],[costo_servicio]]+tblOrdenes[[#This Row],[costo_materiales]])</f>
        <v/>
      </c>
      <c r="AL1003" s="6" t="n"/>
      <c r="AM1003" s="6" t="n"/>
      <c r="AN1003" s="6" t="n"/>
      <c r="AO1003" s="3">
        <f>IF(tblOrdenes[[#This Row],[link_checklist]]="","",HYPERLINK(p_ruta_base_checklists&amp;tblOrdenes[[#This Row],[link_checklist]],"abrir"))</f>
        <v/>
      </c>
      <c r="AP1003" s="6" t="n"/>
      <c r="AQ1003" s="3">
        <f>IF(tblOrdenes[[#This Row],[orden]]="","",tblOrdenes[[#This Row],[orden]]&amp;IF(tblOrdenes[[#This Row],[operacion]]="","0010",tblOrdenes[[#This Row],[operacion]]))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2" t="n"/>
      <c r="K1004" s="3" t="n"/>
      <c r="L1004" s="11" t="n"/>
      <c r="M10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4" s="3">
        <f>IF(tblOrdenes[[#This Row],[fecha_inicio]]="","",YEAR(tblOrdenes[[#This Row],[fecha_inicio]]))</f>
        <v/>
      </c>
      <c r="Q1004" s="3">
        <f>IF(tblOrdenes[[#This Row],[fecha_inicio]]="","",MONTH(tblOrdenes[[#This Row],[fecha_inicio]]))</f>
        <v/>
      </c>
      <c r="R1004" s="3">
        <f>IF(tblOrdenes[[#This Row],[fecha_inicio]]="","",INDEX(lista_dias,WEEKDAY(tblOrdenes[[#This Row],[fecha_inicio]],2)))</f>
        <v/>
      </c>
      <c r="S10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4" s="3">
        <f>IF(tblOrdenes[[#This Row],[tipo_ot]]="","",_xlfn.XLOOKUP(tblOrdenes[[#This Row],[tipo_ot]],tblTiposOT[codigo],tblTiposOT[clasificacion],"sin_clasificar"))</f>
        <v/>
      </c>
      <c r="U1004" s="3">
        <f>IF(tblOrdenes[[#This Row],[centro_costo]]="","",_xlfn.XLOOKUP(tblOrdenes[[#This Row],[centro_costo]],tblCECO[codigo],tblCECO[linea],"(sin catálogo)"))</f>
        <v/>
      </c>
      <c r="V1004" s="3">
        <f>IF(tblOrdenes[[#This Row],[centro_costo]]="","",_xlfn.XLOOKUP(tblOrdenes[[#This Row],[centro_costo]],tblCECO[codigo],tblCECO[area],"(sin catálogo)"))</f>
        <v/>
      </c>
      <c r="W10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4" s="3">
        <f>IF(tblOrdenes[[#This Row],[centro_costo]]="","",_xlfn.XLOOKUP(tblOrdenes[[#This Row],[centro_costo]],tblCECO[codigo],tblCECO[coordinador],"(sin catálogo)"))</f>
        <v/>
      </c>
      <c r="Y1004" s="3">
        <f>IF(tblOrdenes[[#This Row],[puesto_trabajo]]="","",_xlfn.XLOOKUP(tblOrdenes[[#This Row],[puesto_trabajo]],tblPuestos[codigo],tblPuestos[especialidad],"(sin catálogo)"))</f>
        <v/>
      </c>
      <c r="Z1004" s="3">
        <f>IF(tblOrdenes[[#This Row],[cod_actividad]]="","",_xlfn.XLOOKUP(tblOrdenes[[#This Row],[cod_actividad]],tblActividades[codigo],tblActividades[descripcion],"(sin catálogo)"))</f>
        <v/>
      </c>
      <c r="AA1004" s="13">
        <f>IF(tblOrdenes[[#This Row],[fecha_inicio]]="","",TODAY()-tblOrdenes[[#This Row],[fecha_inicio]])</f>
        <v/>
      </c>
      <c r="AB10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4" s="3">
        <f>IF(tblOrdenes[[#This Row],[backlog_habiles]]="","",IF(tblOrdenes[[#This Row],[backlog_habiles]]&lt;0,"FUTURO",IF(tblOrdenes[[#This Row],[backlog_habiles]]&gt;p_dias_backlog_max,"BACKLOG","MES CORRIENTE")))</f>
        <v/>
      </c>
      <c r="AD1004" s="3">
        <f>IF(tblOrdenes[[#This Row],[backlog_habiles]]="",FALSE,AND(tblOrdenes[[#This Row],[backlog_habiles]]&gt;p_dias_backlog_min,tblOrdenes[[#This Row],[backlog_habiles]]&lt;=p_dias_backlog_max))</f>
        <v/>
      </c>
      <c r="AE1004" s="6" t="n"/>
      <c r="AF10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4" s="11">
        <f>IF(tblOrdenes[[#This Row],[orden]]="","",_xlfn.XLOOKUP(tblOrdenes[[#This Row],[id_operacion]],tblEjecucion[id_operacion],tblEjecucion[precio],0))</f>
        <v/>
      </c>
      <c r="AJ1004" s="11">
        <f>IF(tblOrdenes[[#This Row],[orden]]="","",MAX(0,_xlfn.XLOOKUP(tblOrdenes[[#This Row],[id_operacion]],tblEjecucion[id_operacion],tblEjecucion[costo_plan_total],0)-tblOrdenes[[#This Row],[costo_servicio]]))</f>
        <v/>
      </c>
      <c r="AK1004" s="11">
        <f>IF(tblOrdenes[[#This Row],[orden]]="","",tblOrdenes[[#This Row],[costo_servicio]]+tblOrdenes[[#This Row],[costo_materiales]])</f>
        <v/>
      </c>
      <c r="AL1004" s="6" t="n"/>
      <c r="AM1004" s="6" t="n"/>
      <c r="AN1004" s="6" t="n"/>
      <c r="AO1004" s="3">
        <f>IF(tblOrdenes[[#This Row],[link_checklist]]="","",HYPERLINK(p_ruta_base_checklists&amp;tblOrdenes[[#This Row],[link_checklist]],"abrir"))</f>
        <v/>
      </c>
      <c r="AP1004" s="6" t="n"/>
      <c r="AQ1004" s="3">
        <f>IF(tblOrdenes[[#This Row],[orden]]="","",tblOrdenes[[#This Row],[orden]]&amp;IF(tblOrdenes[[#This Row],[operacion]]="","0010",tblOrdenes[[#This Row],[operacion]]))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2" t="n"/>
      <c r="K1005" s="3" t="n"/>
      <c r="L1005" s="11" t="n"/>
      <c r="M10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5" s="3">
        <f>IF(tblOrdenes[[#This Row],[fecha_inicio]]="","",YEAR(tblOrdenes[[#This Row],[fecha_inicio]]))</f>
        <v/>
      </c>
      <c r="Q1005" s="3">
        <f>IF(tblOrdenes[[#This Row],[fecha_inicio]]="","",MONTH(tblOrdenes[[#This Row],[fecha_inicio]]))</f>
        <v/>
      </c>
      <c r="R1005" s="3">
        <f>IF(tblOrdenes[[#This Row],[fecha_inicio]]="","",INDEX(lista_dias,WEEKDAY(tblOrdenes[[#This Row],[fecha_inicio]],2)))</f>
        <v/>
      </c>
      <c r="S10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5" s="3">
        <f>IF(tblOrdenes[[#This Row],[tipo_ot]]="","",_xlfn.XLOOKUP(tblOrdenes[[#This Row],[tipo_ot]],tblTiposOT[codigo],tblTiposOT[clasificacion],"sin_clasificar"))</f>
        <v/>
      </c>
      <c r="U1005" s="3">
        <f>IF(tblOrdenes[[#This Row],[centro_costo]]="","",_xlfn.XLOOKUP(tblOrdenes[[#This Row],[centro_costo]],tblCECO[codigo],tblCECO[linea],"(sin catálogo)"))</f>
        <v/>
      </c>
      <c r="V1005" s="3">
        <f>IF(tblOrdenes[[#This Row],[centro_costo]]="","",_xlfn.XLOOKUP(tblOrdenes[[#This Row],[centro_costo]],tblCECO[codigo],tblCECO[area],"(sin catálogo)"))</f>
        <v/>
      </c>
      <c r="W10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5" s="3">
        <f>IF(tblOrdenes[[#This Row],[centro_costo]]="","",_xlfn.XLOOKUP(tblOrdenes[[#This Row],[centro_costo]],tblCECO[codigo],tblCECO[coordinador],"(sin catálogo)"))</f>
        <v/>
      </c>
      <c r="Y1005" s="3">
        <f>IF(tblOrdenes[[#This Row],[puesto_trabajo]]="","",_xlfn.XLOOKUP(tblOrdenes[[#This Row],[puesto_trabajo]],tblPuestos[codigo],tblPuestos[especialidad],"(sin catálogo)"))</f>
        <v/>
      </c>
      <c r="Z1005" s="3">
        <f>IF(tblOrdenes[[#This Row],[cod_actividad]]="","",_xlfn.XLOOKUP(tblOrdenes[[#This Row],[cod_actividad]],tblActividades[codigo],tblActividades[descripcion],"(sin catálogo)"))</f>
        <v/>
      </c>
      <c r="AA1005" s="13">
        <f>IF(tblOrdenes[[#This Row],[fecha_inicio]]="","",TODAY()-tblOrdenes[[#This Row],[fecha_inicio]])</f>
        <v/>
      </c>
      <c r="AB10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5" s="3">
        <f>IF(tblOrdenes[[#This Row],[backlog_habiles]]="","",IF(tblOrdenes[[#This Row],[backlog_habiles]]&lt;0,"FUTURO",IF(tblOrdenes[[#This Row],[backlog_habiles]]&gt;p_dias_backlog_max,"BACKLOG","MES CORRIENTE")))</f>
        <v/>
      </c>
      <c r="AD1005" s="3">
        <f>IF(tblOrdenes[[#This Row],[backlog_habiles]]="",FALSE,AND(tblOrdenes[[#This Row],[backlog_habiles]]&gt;p_dias_backlog_min,tblOrdenes[[#This Row],[backlog_habiles]]&lt;=p_dias_backlog_max))</f>
        <v/>
      </c>
      <c r="AE1005" s="6" t="n"/>
      <c r="AF10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5" s="11">
        <f>IF(tblOrdenes[[#This Row],[orden]]="","",_xlfn.XLOOKUP(tblOrdenes[[#This Row],[id_operacion]],tblEjecucion[id_operacion],tblEjecucion[precio],0))</f>
        <v/>
      </c>
      <c r="AJ1005" s="11">
        <f>IF(tblOrdenes[[#This Row],[orden]]="","",MAX(0,_xlfn.XLOOKUP(tblOrdenes[[#This Row],[id_operacion]],tblEjecucion[id_operacion],tblEjecucion[costo_plan_total],0)-tblOrdenes[[#This Row],[costo_servicio]]))</f>
        <v/>
      </c>
      <c r="AK1005" s="11">
        <f>IF(tblOrdenes[[#This Row],[orden]]="","",tblOrdenes[[#This Row],[costo_servicio]]+tblOrdenes[[#This Row],[costo_materiales]])</f>
        <v/>
      </c>
      <c r="AL1005" s="6" t="n"/>
      <c r="AM1005" s="6" t="n"/>
      <c r="AN1005" s="6" t="n"/>
      <c r="AO1005" s="3">
        <f>IF(tblOrdenes[[#This Row],[link_checklist]]="","",HYPERLINK(p_ruta_base_checklists&amp;tblOrdenes[[#This Row],[link_checklist]],"abrir"))</f>
        <v/>
      </c>
      <c r="AP1005" s="6" t="n"/>
      <c r="AQ1005" s="3">
        <f>IF(tblOrdenes[[#This Row],[orden]]="","",tblOrdenes[[#This Row],[orden]]&amp;IF(tblOrdenes[[#This Row],[operacion]]="","0010",tblOrdenes[[#This Row],[operacion]]))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2" t="n"/>
      <c r="K1006" s="3" t="n"/>
      <c r="L1006" s="11" t="n"/>
      <c r="M10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6" s="3">
        <f>IF(tblOrdenes[[#This Row],[fecha_inicio]]="","",YEAR(tblOrdenes[[#This Row],[fecha_inicio]]))</f>
        <v/>
      </c>
      <c r="Q1006" s="3">
        <f>IF(tblOrdenes[[#This Row],[fecha_inicio]]="","",MONTH(tblOrdenes[[#This Row],[fecha_inicio]]))</f>
        <v/>
      </c>
      <c r="R1006" s="3">
        <f>IF(tblOrdenes[[#This Row],[fecha_inicio]]="","",INDEX(lista_dias,WEEKDAY(tblOrdenes[[#This Row],[fecha_inicio]],2)))</f>
        <v/>
      </c>
      <c r="S10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6" s="3">
        <f>IF(tblOrdenes[[#This Row],[tipo_ot]]="","",_xlfn.XLOOKUP(tblOrdenes[[#This Row],[tipo_ot]],tblTiposOT[codigo],tblTiposOT[clasificacion],"sin_clasificar"))</f>
        <v/>
      </c>
      <c r="U1006" s="3">
        <f>IF(tblOrdenes[[#This Row],[centro_costo]]="","",_xlfn.XLOOKUP(tblOrdenes[[#This Row],[centro_costo]],tblCECO[codigo],tblCECO[linea],"(sin catálogo)"))</f>
        <v/>
      </c>
      <c r="V1006" s="3">
        <f>IF(tblOrdenes[[#This Row],[centro_costo]]="","",_xlfn.XLOOKUP(tblOrdenes[[#This Row],[centro_costo]],tblCECO[codigo],tblCECO[area],"(sin catálogo)"))</f>
        <v/>
      </c>
      <c r="W10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6" s="3">
        <f>IF(tblOrdenes[[#This Row],[centro_costo]]="","",_xlfn.XLOOKUP(tblOrdenes[[#This Row],[centro_costo]],tblCECO[codigo],tblCECO[coordinador],"(sin catálogo)"))</f>
        <v/>
      </c>
      <c r="Y1006" s="3">
        <f>IF(tblOrdenes[[#This Row],[puesto_trabajo]]="","",_xlfn.XLOOKUP(tblOrdenes[[#This Row],[puesto_trabajo]],tblPuestos[codigo],tblPuestos[especialidad],"(sin catálogo)"))</f>
        <v/>
      </c>
      <c r="Z1006" s="3">
        <f>IF(tblOrdenes[[#This Row],[cod_actividad]]="","",_xlfn.XLOOKUP(tblOrdenes[[#This Row],[cod_actividad]],tblActividades[codigo],tblActividades[descripcion],"(sin catálogo)"))</f>
        <v/>
      </c>
      <c r="AA1006" s="13">
        <f>IF(tblOrdenes[[#This Row],[fecha_inicio]]="","",TODAY()-tblOrdenes[[#This Row],[fecha_inicio]])</f>
        <v/>
      </c>
      <c r="AB10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6" s="3">
        <f>IF(tblOrdenes[[#This Row],[backlog_habiles]]="","",IF(tblOrdenes[[#This Row],[backlog_habiles]]&lt;0,"FUTURO",IF(tblOrdenes[[#This Row],[backlog_habiles]]&gt;p_dias_backlog_max,"BACKLOG","MES CORRIENTE")))</f>
        <v/>
      </c>
      <c r="AD1006" s="3">
        <f>IF(tblOrdenes[[#This Row],[backlog_habiles]]="",FALSE,AND(tblOrdenes[[#This Row],[backlog_habiles]]&gt;p_dias_backlog_min,tblOrdenes[[#This Row],[backlog_habiles]]&lt;=p_dias_backlog_max))</f>
        <v/>
      </c>
      <c r="AE1006" s="6" t="n"/>
      <c r="AF10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6" s="11">
        <f>IF(tblOrdenes[[#This Row],[orden]]="","",_xlfn.XLOOKUP(tblOrdenes[[#This Row],[id_operacion]],tblEjecucion[id_operacion],tblEjecucion[precio],0))</f>
        <v/>
      </c>
      <c r="AJ1006" s="11">
        <f>IF(tblOrdenes[[#This Row],[orden]]="","",MAX(0,_xlfn.XLOOKUP(tblOrdenes[[#This Row],[id_operacion]],tblEjecucion[id_operacion],tblEjecucion[costo_plan_total],0)-tblOrdenes[[#This Row],[costo_servicio]]))</f>
        <v/>
      </c>
      <c r="AK1006" s="11">
        <f>IF(tblOrdenes[[#This Row],[orden]]="","",tblOrdenes[[#This Row],[costo_servicio]]+tblOrdenes[[#This Row],[costo_materiales]])</f>
        <v/>
      </c>
      <c r="AL1006" s="6" t="n"/>
      <c r="AM1006" s="6" t="n"/>
      <c r="AN1006" s="6" t="n"/>
      <c r="AO1006" s="3">
        <f>IF(tblOrdenes[[#This Row],[link_checklist]]="","",HYPERLINK(p_ruta_base_checklists&amp;tblOrdenes[[#This Row],[link_checklist]],"abrir"))</f>
        <v/>
      </c>
      <c r="AP1006" s="6" t="n"/>
      <c r="AQ1006" s="3">
        <f>IF(tblOrdenes[[#This Row],[orden]]="","",tblOrdenes[[#This Row],[orden]]&amp;IF(tblOrdenes[[#This Row],[operacion]]="","0010",tblOrdenes[[#This Row],[operacion]]))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2" t="n"/>
      <c r="K1007" s="3" t="n"/>
      <c r="L1007" s="11" t="n"/>
      <c r="M10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7" s="3">
        <f>IF(tblOrdenes[[#This Row],[fecha_inicio]]="","",YEAR(tblOrdenes[[#This Row],[fecha_inicio]]))</f>
        <v/>
      </c>
      <c r="Q1007" s="3">
        <f>IF(tblOrdenes[[#This Row],[fecha_inicio]]="","",MONTH(tblOrdenes[[#This Row],[fecha_inicio]]))</f>
        <v/>
      </c>
      <c r="R1007" s="3">
        <f>IF(tblOrdenes[[#This Row],[fecha_inicio]]="","",INDEX(lista_dias,WEEKDAY(tblOrdenes[[#This Row],[fecha_inicio]],2)))</f>
        <v/>
      </c>
      <c r="S10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7" s="3">
        <f>IF(tblOrdenes[[#This Row],[tipo_ot]]="","",_xlfn.XLOOKUP(tblOrdenes[[#This Row],[tipo_ot]],tblTiposOT[codigo],tblTiposOT[clasificacion],"sin_clasificar"))</f>
        <v/>
      </c>
      <c r="U1007" s="3">
        <f>IF(tblOrdenes[[#This Row],[centro_costo]]="","",_xlfn.XLOOKUP(tblOrdenes[[#This Row],[centro_costo]],tblCECO[codigo],tblCECO[linea],"(sin catálogo)"))</f>
        <v/>
      </c>
      <c r="V1007" s="3">
        <f>IF(tblOrdenes[[#This Row],[centro_costo]]="","",_xlfn.XLOOKUP(tblOrdenes[[#This Row],[centro_costo]],tblCECO[codigo],tblCECO[area],"(sin catálogo)"))</f>
        <v/>
      </c>
      <c r="W10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7" s="3">
        <f>IF(tblOrdenes[[#This Row],[centro_costo]]="","",_xlfn.XLOOKUP(tblOrdenes[[#This Row],[centro_costo]],tblCECO[codigo],tblCECO[coordinador],"(sin catálogo)"))</f>
        <v/>
      </c>
      <c r="Y1007" s="3">
        <f>IF(tblOrdenes[[#This Row],[puesto_trabajo]]="","",_xlfn.XLOOKUP(tblOrdenes[[#This Row],[puesto_trabajo]],tblPuestos[codigo],tblPuestos[especialidad],"(sin catálogo)"))</f>
        <v/>
      </c>
      <c r="Z1007" s="3">
        <f>IF(tblOrdenes[[#This Row],[cod_actividad]]="","",_xlfn.XLOOKUP(tblOrdenes[[#This Row],[cod_actividad]],tblActividades[codigo],tblActividades[descripcion],"(sin catálogo)"))</f>
        <v/>
      </c>
      <c r="AA1007" s="13">
        <f>IF(tblOrdenes[[#This Row],[fecha_inicio]]="","",TODAY()-tblOrdenes[[#This Row],[fecha_inicio]])</f>
        <v/>
      </c>
      <c r="AB10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7" s="3">
        <f>IF(tblOrdenes[[#This Row],[backlog_habiles]]="","",IF(tblOrdenes[[#This Row],[backlog_habiles]]&lt;0,"FUTURO",IF(tblOrdenes[[#This Row],[backlog_habiles]]&gt;p_dias_backlog_max,"BACKLOG","MES CORRIENTE")))</f>
        <v/>
      </c>
      <c r="AD1007" s="3">
        <f>IF(tblOrdenes[[#This Row],[backlog_habiles]]="",FALSE,AND(tblOrdenes[[#This Row],[backlog_habiles]]&gt;p_dias_backlog_min,tblOrdenes[[#This Row],[backlog_habiles]]&lt;=p_dias_backlog_max))</f>
        <v/>
      </c>
      <c r="AE1007" s="6" t="n"/>
      <c r="AF10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7" s="11">
        <f>IF(tblOrdenes[[#This Row],[orden]]="","",_xlfn.XLOOKUP(tblOrdenes[[#This Row],[id_operacion]],tblEjecucion[id_operacion],tblEjecucion[precio],0))</f>
        <v/>
      </c>
      <c r="AJ1007" s="11">
        <f>IF(tblOrdenes[[#This Row],[orden]]="","",MAX(0,_xlfn.XLOOKUP(tblOrdenes[[#This Row],[id_operacion]],tblEjecucion[id_operacion],tblEjecucion[costo_plan_total],0)-tblOrdenes[[#This Row],[costo_servicio]]))</f>
        <v/>
      </c>
      <c r="AK1007" s="11">
        <f>IF(tblOrdenes[[#This Row],[orden]]="","",tblOrdenes[[#This Row],[costo_servicio]]+tblOrdenes[[#This Row],[costo_materiales]])</f>
        <v/>
      </c>
      <c r="AL1007" s="6" t="n"/>
      <c r="AM1007" s="6" t="n"/>
      <c r="AN1007" s="6" t="n"/>
      <c r="AO1007" s="3">
        <f>IF(tblOrdenes[[#This Row],[link_checklist]]="","",HYPERLINK(p_ruta_base_checklists&amp;tblOrdenes[[#This Row],[link_checklist]],"abrir"))</f>
        <v/>
      </c>
      <c r="AP1007" s="6" t="n"/>
      <c r="AQ1007" s="3">
        <f>IF(tblOrdenes[[#This Row],[orden]]="","",tblOrdenes[[#This Row],[orden]]&amp;IF(tblOrdenes[[#This Row],[operacion]]="","0010",tblOrdenes[[#This Row],[operacion]]))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2" t="n"/>
      <c r="K1008" s="3" t="n"/>
      <c r="L1008" s="11" t="n"/>
      <c r="M10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8" s="3">
        <f>IF(tblOrdenes[[#This Row],[fecha_inicio]]="","",YEAR(tblOrdenes[[#This Row],[fecha_inicio]]))</f>
        <v/>
      </c>
      <c r="Q1008" s="3">
        <f>IF(tblOrdenes[[#This Row],[fecha_inicio]]="","",MONTH(tblOrdenes[[#This Row],[fecha_inicio]]))</f>
        <v/>
      </c>
      <c r="R1008" s="3">
        <f>IF(tblOrdenes[[#This Row],[fecha_inicio]]="","",INDEX(lista_dias,WEEKDAY(tblOrdenes[[#This Row],[fecha_inicio]],2)))</f>
        <v/>
      </c>
      <c r="S10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8" s="3">
        <f>IF(tblOrdenes[[#This Row],[tipo_ot]]="","",_xlfn.XLOOKUP(tblOrdenes[[#This Row],[tipo_ot]],tblTiposOT[codigo],tblTiposOT[clasificacion],"sin_clasificar"))</f>
        <v/>
      </c>
      <c r="U1008" s="3">
        <f>IF(tblOrdenes[[#This Row],[centro_costo]]="","",_xlfn.XLOOKUP(tblOrdenes[[#This Row],[centro_costo]],tblCECO[codigo],tblCECO[linea],"(sin catálogo)"))</f>
        <v/>
      </c>
      <c r="V1008" s="3">
        <f>IF(tblOrdenes[[#This Row],[centro_costo]]="","",_xlfn.XLOOKUP(tblOrdenes[[#This Row],[centro_costo]],tblCECO[codigo],tblCECO[area],"(sin catálogo)"))</f>
        <v/>
      </c>
      <c r="W10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8" s="3">
        <f>IF(tblOrdenes[[#This Row],[centro_costo]]="","",_xlfn.XLOOKUP(tblOrdenes[[#This Row],[centro_costo]],tblCECO[codigo],tblCECO[coordinador],"(sin catálogo)"))</f>
        <v/>
      </c>
      <c r="Y1008" s="3">
        <f>IF(tblOrdenes[[#This Row],[puesto_trabajo]]="","",_xlfn.XLOOKUP(tblOrdenes[[#This Row],[puesto_trabajo]],tblPuestos[codigo],tblPuestos[especialidad],"(sin catálogo)"))</f>
        <v/>
      </c>
      <c r="Z1008" s="3">
        <f>IF(tblOrdenes[[#This Row],[cod_actividad]]="","",_xlfn.XLOOKUP(tblOrdenes[[#This Row],[cod_actividad]],tblActividades[codigo],tblActividades[descripcion],"(sin catálogo)"))</f>
        <v/>
      </c>
      <c r="AA1008" s="13">
        <f>IF(tblOrdenes[[#This Row],[fecha_inicio]]="","",TODAY()-tblOrdenes[[#This Row],[fecha_inicio]])</f>
        <v/>
      </c>
      <c r="AB10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8" s="3">
        <f>IF(tblOrdenes[[#This Row],[backlog_habiles]]="","",IF(tblOrdenes[[#This Row],[backlog_habiles]]&lt;0,"FUTURO",IF(tblOrdenes[[#This Row],[backlog_habiles]]&gt;p_dias_backlog_max,"BACKLOG","MES CORRIENTE")))</f>
        <v/>
      </c>
      <c r="AD1008" s="3">
        <f>IF(tblOrdenes[[#This Row],[backlog_habiles]]="",FALSE,AND(tblOrdenes[[#This Row],[backlog_habiles]]&gt;p_dias_backlog_min,tblOrdenes[[#This Row],[backlog_habiles]]&lt;=p_dias_backlog_max))</f>
        <v/>
      </c>
      <c r="AE1008" s="6" t="n"/>
      <c r="AF10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8" s="11">
        <f>IF(tblOrdenes[[#This Row],[orden]]="","",_xlfn.XLOOKUP(tblOrdenes[[#This Row],[id_operacion]],tblEjecucion[id_operacion],tblEjecucion[precio],0))</f>
        <v/>
      </c>
      <c r="AJ1008" s="11">
        <f>IF(tblOrdenes[[#This Row],[orden]]="","",MAX(0,_xlfn.XLOOKUP(tblOrdenes[[#This Row],[id_operacion]],tblEjecucion[id_operacion],tblEjecucion[costo_plan_total],0)-tblOrdenes[[#This Row],[costo_servicio]]))</f>
        <v/>
      </c>
      <c r="AK1008" s="11">
        <f>IF(tblOrdenes[[#This Row],[orden]]="","",tblOrdenes[[#This Row],[costo_servicio]]+tblOrdenes[[#This Row],[costo_materiales]])</f>
        <v/>
      </c>
      <c r="AL1008" s="6" t="n"/>
      <c r="AM1008" s="6" t="n"/>
      <c r="AN1008" s="6" t="n"/>
      <c r="AO1008" s="3">
        <f>IF(tblOrdenes[[#This Row],[link_checklist]]="","",HYPERLINK(p_ruta_base_checklists&amp;tblOrdenes[[#This Row],[link_checklist]],"abrir"))</f>
        <v/>
      </c>
      <c r="AP1008" s="6" t="n"/>
      <c r="AQ1008" s="3">
        <f>IF(tblOrdenes[[#This Row],[orden]]="","",tblOrdenes[[#This Row],[orden]]&amp;IF(tblOrdenes[[#This Row],[operacion]]="","0010",tblOrdenes[[#This Row],[operacion]]))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2" t="n"/>
      <c r="K1009" s="3" t="n"/>
      <c r="L1009" s="11" t="n"/>
      <c r="M10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9" s="3">
        <f>IF(tblOrdenes[[#This Row],[fecha_inicio]]="","",YEAR(tblOrdenes[[#This Row],[fecha_inicio]]))</f>
        <v/>
      </c>
      <c r="Q1009" s="3">
        <f>IF(tblOrdenes[[#This Row],[fecha_inicio]]="","",MONTH(tblOrdenes[[#This Row],[fecha_inicio]]))</f>
        <v/>
      </c>
      <c r="R1009" s="3">
        <f>IF(tblOrdenes[[#This Row],[fecha_inicio]]="","",INDEX(lista_dias,WEEKDAY(tblOrdenes[[#This Row],[fecha_inicio]],2)))</f>
        <v/>
      </c>
      <c r="S10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9" s="3">
        <f>IF(tblOrdenes[[#This Row],[tipo_ot]]="","",_xlfn.XLOOKUP(tblOrdenes[[#This Row],[tipo_ot]],tblTiposOT[codigo],tblTiposOT[clasificacion],"sin_clasificar"))</f>
        <v/>
      </c>
      <c r="U1009" s="3">
        <f>IF(tblOrdenes[[#This Row],[centro_costo]]="","",_xlfn.XLOOKUP(tblOrdenes[[#This Row],[centro_costo]],tblCECO[codigo],tblCECO[linea],"(sin catálogo)"))</f>
        <v/>
      </c>
      <c r="V1009" s="3">
        <f>IF(tblOrdenes[[#This Row],[centro_costo]]="","",_xlfn.XLOOKUP(tblOrdenes[[#This Row],[centro_costo]],tblCECO[codigo],tblCECO[area],"(sin catálogo)"))</f>
        <v/>
      </c>
      <c r="W10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9" s="3">
        <f>IF(tblOrdenes[[#This Row],[centro_costo]]="","",_xlfn.XLOOKUP(tblOrdenes[[#This Row],[centro_costo]],tblCECO[codigo],tblCECO[coordinador],"(sin catálogo)"))</f>
        <v/>
      </c>
      <c r="Y1009" s="3">
        <f>IF(tblOrdenes[[#This Row],[puesto_trabajo]]="","",_xlfn.XLOOKUP(tblOrdenes[[#This Row],[puesto_trabajo]],tblPuestos[codigo],tblPuestos[especialidad],"(sin catálogo)"))</f>
        <v/>
      </c>
      <c r="Z1009" s="3">
        <f>IF(tblOrdenes[[#This Row],[cod_actividad]]="","",_xlfn.XLOOKUP(tblOrdenes[[#This Row],[cod_actividad]],tblActividades[codigo],tblActividades[descripcion],"(sin catálogo)"))</f>
        <v/>
      </c>
      <c r="AA1009" s="13">
        <f>IF(tblOrdenes[[#This Row],[fecha_inicio]]="","",TODAY()-tblOrdenes[[#This Row],[fecha_inicio]])</f>
        <v/>
      </c>
      <c r="AB10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9" s="3">
        <f>IF(tblOrdenes[[#This Row],[backlog_habiles]]="","",IF(tblOrdenes[[#This Row],[backlog_habiles]]&lt;0,"FUTURO",IF(tblOrdenes[[#This Row],[backlog_habiles]]&gt;p_dias_backlog_max,"BACKLOG","MES CORRIENTE")))</f>
        <v/>
      </c>
      <c r="AD1009" s="3">
        <f>IF(tblOrdenes[[#This Row],[backlog_habiles]]="",FALSE,AND(tblOrdenes[[#This Row],[backlog_habiles]]&gt;p_dias_backlog_min,tblOrdenes[[#This Row],[backlog_habiles]]&lt;=p_dias_backlog_max))</f>
        <v/>
      </c>
      <c r="AE1009" s="6" t="n"/>
      <c r="AF10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9" s="11">
        <f>IF(tblOrdenes[[#This Row],[orden]]="","",_xlfn.XLOOKUP(tblOrdenes[[#This Row],[id_operacion]],tblEjecucion[id_operacion],tblEjecucion[precio],0))</f>
        <v/>
      </c>
      <c r="AJ1009" s="11">
        <f>IF(tblOrdenes[[#This Row],[orden]]="","",MAX(0,_xlfn.XLOOKUP(tblOrdenes[[#This Row],[id_operacion]],tblEjecucion[id_operacion],tblEjecucion[costo_plan_total],0)-tblOrdenes[[#This Row],[costo_servicio]]))</f>
        <v/>
      </c>
      <c r="AK1009" s="11">
        <f>IF(tblOrdenes[[#This Row],[orden]]="","",tblOrdenes[[#This Row],[costo_servicio]]+tblOrdenes[[#This Row],[costo_materiales]])</f>
        <v/>
      </c>
      <c r="AL1009" s="6" t="n"/>
      <c r="AM1009" s="6" t="n"/>
      <c r="AN1009" s="6" t="n"/>
      <c r="AO1009" s="3">
        <f>IF(tblOrdenes[[#This Row],[link_checklist]]="","",HYPERLINK(p_ruta_base_checklists&amp;tblOrdenes[[#This Row],[link_checklist]],"abrir"))</f>
        <v/>
      </c>
      <c r="AP1009" s="6" t="n"/>
      <c r="AQ1009" s="3">
        <f>IF(tblOrdenes[[#This Row],[orden]]="","",tblOrdenes[[#This Row],[orden]]&amp;IF(tblOrdenes[[#This Row],[operacion]]="","0010",tblOrdenes[[#This Row],[operacion]]))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2" t="n"/>
      <c r="K1010" s="3" t="n"/>
      <c r="L1010" s="11" t="n"/>
      <c r="M10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0" s="3">
        <f>IF(tblOrdenes[[#This Row],[fecha_inicio]]="","",YEAR(tblOrdenes[[#This Row],[fecha_inicio]]))</f>
        <v/>
      </c>
      <c r="Q1010" s="3">
        <f>IF(tblOrdenes[[#This Row],[fecha_inicio]]="","",MONTH(tblOrdenes[[#This Row],[fecha_inicio]]))</f>
        <v/>
      </c>
      <c r="R1010" s="3">
        <f>IF(tblOrdenes[[#This Row],[fecha_inicio]]="","",INDEX(lista_dias,WEEKDAY(tblOrdenes[[#This Row],[fecha_inicio]],2)))</f>
        <v/>
      </c>
      <c r="S10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0" s="3">
        <f>IF(tblOrdenes[[#This Row],[tipo_ot]]="","",_xlfn.XLOOKUP(tblOrdenes[[#This Row],[tipo_ot]],tblTiposOT[codigo],tblTiposOT[clasificacion],"sin_clasificar"))</f>
        <v/>
      </c>
      <c r="U1010" s="3">
        <f>IF(tblOrdenes[[#This Row],[centro_costo]]="","",_xlfn.XLOOKUP(tblOrdenes[[#This Row],[centro_costo]],tblCECO[codigo],tblCECO[linea],"(sin catálogo)"))</f>
        <v/>
      </c>
      <c r="V1010" s="3">
        <f>IF(tblOrdenes[[#This Row],[centro_costo]]="","",_xlfn.XLOOKUP(tblOrdenes[[#This Row],[centro_costo]],tblCECO[codigo],tblCECO[area],"(sin catálogo)"))</f>
        <v/>
      </c>
      <c r="W10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0" s="3">
        <f>IF(tblOrdenes[[#This Row],[centro_costo]]="","",_xlfn.XLOOKUP(tblOrdenes[[#This Row],[centro_costo]],tblCECO[codigo],tblCECO[coordinador],"(sin catálogo)"))</f>
        <v/>
      </c>
      <c r="Y1010" s="3">
        <f>IF(tblOrdenes[[#This Row],[puesto_trabajo]]="","",_xlfn.XLOOKUP(tblOrdenes[[#This Row],[puesto_trabajo]],tblPuestos[codigo],tblPuestos[especialidad],"(sin catálogo)"))</f>
        <v/>
      </c>
      <c r="Z1010" s="3">
        <f>IF(tblOrdenes[[#This Row],[cod_actividad]]="","",_xlfn.XLOOKUP(tblOrdenes[[#This Row],[cod_actividad]],tblActividades[codigo],tblActividades[descripcion],"(sin catálogo)"))</f>
        <v/>
      </c>
      <c r="AA1010" s="13">
        <f>IF(tblOrdenes[[#This Row],[fecha_inicio]]="","",TODAY()-tblOrdenes[[#This Row],[fecha_inicio]])</f>
        <v/>
      </c>
      <c r="AB10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0" s="3">
        <f>IF(tblOrdenes[[#This Row],[backlog_habiles]]="","",IF(tblOrdenes[[#This Row],[backlog_habiles]]&lt;0,"FUTURO",IF(tblOrdenes[[#This Row],[backlog_habiles]]&gt;p_dias_backlog_max,"BACKLOG","MES CORRIENTE")))</f>
        <v/>
      </c>
      <c r="AD1010" s="3">
        <f>IF(tblOrdenes[[#This Row],[backlog_habiles]]="",FALSE,AND(tblOrdenes[[#This Row],[backlog_habiles]]&gt;p_dias_backlog_min,tblOrdenes[[#This Row],[backlog_habiles]]&lt;=p_dias_backlog_max))</f>
        <v/>
      </c>
      <c r="AE1010" s="6" t="n"/>
      <c r="AF10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0" s="11">
        <f>IF(tblOrdenes[[#This Row],[orden]]="","",_xlfn.XLOOKUP(tblOrdenes[[#This Row],[id_operacion]],tblEjecucion[id_operacion],tblEjecucion[precio],0))</f>
        <v/>
      </c>
      <c r="AJ1010" s="11">
        <f>IF(tblOrdenes[[#This Row],[orden]]="","",MAX(0,_xlfn.XLOOKUP(tblOrdenes[[#This Row],[id_operacion]],tblEjecucion[id_operacion],tblEjecucion[costo_plan_total],0)-tblOrdenes[[#This Row],[costo_servicio]]))</f>
        <v/>
      </c>
      <c r="AK1010" s="11">
        <f>IF(tblOrdenes[[#This Row],[orden]]="","",tblOrdenes[[#This Row],[costo_servicio]]+tblOrdenes[[#This Row],[costo_materiales]])</f>
        <v/>
      </c>
      <c r="AL1010" s="6" t="n"/>
      <c r="AM1010" s="6" t="n"/>
      <c r="AN1010" s="6" t="n"/>
      <c r="AO1010" s="3">
        <f>IF(tblOrdenes[[#This Row],[link_checklist]]="","",HYPERLINK(p_ruta_base_checklists&amp;tblOrdenes[[#This Row],[link_checklist]],"abrir"))</f>
        <v/>
      </c>
      <c r="AP1010" s="6" t="n"/>
      <c r="AQ1010" s="3">
        <f>IF(tblOrdenes[[#This Row],[orden]]="","",tblOrdenes[[#This Row],[orden]]&amp;IF(tblOrdenes[[#This Row],[operacion]]="","0010",tblOrdenes[[#This Row],[operacion]]))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2" t="n"/>
      <c r="K1011" s="3" t="n"/>
      <c r="L1011" s="11" t="n"/>
      <c r="M10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1" s="3">
        <f>IF(tblOrdenes[[#This Row],[fecha_inicio]]="","",YEAR(tblOrdenes[[#This Row],[fecha_inicio]]))</f>
        <v/>
      </c>
      <c r="Q1011" s="3">
        <f>IF(tblOrdenes[[#This Row],[fecha_inicio]]="","",MONTH(tblOrdenes[[#This Row],[fecha_inicio]]))</f>
        <v/>
      </c>
      <c r="R1011" s="3">
        <f>IF(tblOrdenes[[#This Row],[fecha_inicio]]="","",INDEX(lista_dias,WEEKDAY(tblOrdenes[[#This Row],[fecha_inicio]],2)))</f>
        <v/>
      </c>
      <c r="S10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1" s="3">
        <f>IF(tblOrdenes[[#This Row],[tipo_ot]]="","",_xlfn.XLOOKUP(tblOrdenes[[#This Row],[tipo_ot]],tblTiposOT[codigo],tblTiposOT[clasificacion],"sin_clasificar"))</f>
        <v/>
      </c>
      <c r="U1011" s="3">
        <f>IF(tblOrdenes[[#This Row],[centro_costo]]="","",_xlfn.XLOOKUP(tblOrdenes[[#This Row],[centro_costo]],tblCECO[codigo],tblCECO[linea],"(sin catálogo)"))</f>
        <v/>
      </c>
      <c r="V1011" s="3">
        <f>IF(tblOrdenes[[#This Row],[centro_costo]]="","",_xlfn.XLOOKUP(tblOrdenes[[#This Row],[centro_costo]],tblCECO[codigo],tblCECO[area],"(sin catálogo)"))</f>
        <v/>
      </c>
      <c r="W10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1" s="3">
        <f>IF(tblOrdenes[[#This Row],[centro_costo]]="","",_xlfn.XLOOKUP(tblOrdenes[[#This Row],[centro_costo]],tblCECO[codigo],tblCECO[coordinador],"(sin catálogo)"))</f>
        <v/>
      </c>
      <c r="Y1011" s="3">
        <f>IF(tblOrdenes[[#This Row],[puesto_trabajo]]="","",_xlfn.XLOOKUP(tblOrdenes[[#This Row],[puesto_trabajo]],tblPuestos[codigo],tblPuestos[especialidad],"(sin catálogo)"))</f>
        <v/>
      </c>
      <c r="Z1011" s="3">
        <f>IF(tblOrdenes[[#This Row],[cod_actividad]]="","",_xlfn.XLOOKUP(tblOrdenes[[#This Row],[cod_actividad]],tblActividades[codigo],tblActividades[descripcion],"(sin catálogo)"))</f>
        <v/>
      </c>
      <c r="AA1011" s="13">
        <f>IF(tblOrdenes[[#This Row],[fecha_inicio]]="","",TODAY()-tblOrdenes[[#This Row],[fecha_inicio]])</f>
        <v/>
      </c>
      <c r="AB10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1" s="3">
        <f>IF(tblOrdenes[[#This Row],[backlog_habiles]]="","",IF(tblOrdenes[[#This Row],[backlog_habiles]]&lt;0,"FUTURO",IF(tblOrdenes[[#This Row],[backlog_habiles]]&gt;p_dias_backlog_max,"BACKLOG","MES CORRIENTE")))</f>
        <v/>
      </c>
      <c r="AD1011" s="3">
        <f>IF(tblOrdenes[[#This Row],[backlog_habiles]]="",FALSE,AND(tblOrdenes[[#This Row],[backlog_habiles]]&gt;p_dias_backlog_min,tblOrdenes[[#This Row],[backlog_habiles]]&lt;=p_dias_backlog_max))</f>
        <v/>
      </c>
      <c r="AE1011" s="6" t="n"/>
      <c r="AF10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1" s="11">
        <f>IF(tblOrdenes[[#This Row],[orden]]="","",_xlfn.XLOOKUP(tblOrdenes[[#This Row],[id_operacion]],tblEjecucion[id_operacion],tblEjecucion[precio],0))</f>
        <v/>
      </c>
      <c r="AJ1011" s="11">
        <f>IF(tblOrdenes[[#This Row],[orden]]="","",MAX(0,_xlfn.XLOOKUP(tblOrdenes[[#This Row],[id_operacion]],tblEjecucion[id_operacion],tblEjecucion[costo_plan_total],0)-tblOrdenes[[#This Row],[costo_servicio]]))</f>
        <v/>
      </c>
      <c r="AK1011" s="11">
        <f>IF(tblOrdenes[[#This Row],[orden]]="","",tblOrdenes[[#This Row],[costo_servicio]]+tblOrdenes[[#This Row],[costo_materiales]])</f>
        <v/>
      </c>
      <c r="AL1011" s="6" t="n"/>
      <c r="AM1011" s="6" t="n"/>
      <c r="AN1011" s="6" t="n"/>
      <c r="AO1011" s="3">
        <f>IF(tblOrdenes[[#This Row],[link_checklist]]="","",HYPERLINK(p_ruta_base_checklists&amp;tblOrdenes[[#This Row],[link_checklist]],"abrir"))</f>
        <v/>
      </c>
      <c r="AP1011" s="6" t="n"/>
      <c r="AQ1011" s="3">
        <f>IF(tblOrdenes[[#This Row],[orden]]="","",tblOrdenes[[#This Row],[orden]]&amp;IF(tblOrdenes[[#This Row],[operacion]]="","0010",tblOrdenes[[#This Row],[operacion]]))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2" t="n"/>
      <c r="K1012" s="3" t="n"/>
      <c r="L1012" s="11" t="n"/>
      <c r="M10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2" s="3">
        <f>IF(tblOrdenes[[#This Row],[fecha_inicio]]="","",YEAR(tblOrdenes[[#This Row],[fecha_inicio]]))</f>
        <v/>
      </c>
      <c r="Q1012" s="3">
        <f>IF(tblOrdenes[[#This Row],[fecha_inicio]]="","",MONTH(tblOrdenes[[#This Row],[fecha_inicio]]))</f>
        <v/>
      </c>
      <c r="R1012" s="3">
        <f>IF(tblOrdenes[[#This Row],[fecha_inicio]]="","",INDEX(lista_dias,WEEKDAY(tblOrdenes[[#This Row],[fecha_inicio]],2)))</f>
        <v/>
      </c>
      <c r="S10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2" s="3">
        <f>IF(tblOrdenes[[#This Row],[tipo_ot]]="","",_xlfn.XLOOKUP(tblOrdenes[[#This Row],[tipo_ot]],tblTiposOT[codigo],tblTiposOT[clasificacion],"sin_clasificar"))</f>
        <v/>
      </c>
      <c r="U1012" s="3">
        <f>IF(tblOrdenes[[#This Row],[centro_costo]]="","",_xlfn.XLOOKUP(tblOrdenes[[#This Row],[centro_costo]],tblCECO[codigo],tblCECO[linea],"(sin catálogo)"))</f>
        <v/>
      </c>
      <c r="V1012" s="3">
        <f>IF(tblOrdenes[[#This Row],[centro_costo]]="","",_xlfn.XLOOKUP(tblOrdenes[[#This Row],[centro_costo]],tblCECO[codigo],tblCECO[area],"(sin catálogo)"))</f>
        <v/>
      </c>
      <c r="W10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2" s="3">
        <f>IF(tblOrdenes[[#This Row],[centro_costo]]="","",_xlfn.XLOOKUP(tblOrdenes[[#This Row],[centro_costo]],tblCECO[codigo],tblCECO[coordinador],"(sin catálogo)"))</f>
        <v/>
      </c>
      <c r="Y1012" s="3">
        <f>IF(tblOrdenes[[#This Row],[puesto_trabajo]]="","",_xlfn.XLOOKUP(tblOrdenes[[#This Row],[puesto_trabajo]],tblPuestos[codigo],tblPuestos[especialidad],"(sin catálogo)"))</f>
        <v/>
      </c>
      <c r="Z1012" s="3">
        <f>IF(tblOrdenes[[#This Row],[cod_actividad]]="","",_xlfn.XLOOKUP(tblOrdenes[[#This Row],[cod_actividad]],tblActividades[codigo],tblActividades[descripcion],"(sin catálogo)"))</f>
        <v/>
      </c>
      <c r="AA1012" s="13">
        <f>IF(tblOrdenes[[#This Row],[fecha_inicio]]="","",TODAY()-tblOrdenes[[#This Row],[fecha_inicio]])</f>
        <v/>
      </c>
      <c r="AB10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2" s="3">
        <f>IF(tblOrdenes[[#This Row],[backlog_habiles]]="","",IF(tblOrdenes[[#This Row],[backlog_habiles]]&lt;0,"FUTURO",IF(tblOrdenes[[#This Row],[backlog_habiles]]&gt;p_dias_backlog_max,"BACKLOG","MES CORRIENTE")))</f>
        <v/>
      </c>
      <c r="AD1012" s="3">
        <f>IF(tblOrdenes[[#This Row],[backlog_habiles]]="",FALSE,AND(tblOrdenes[[#This Row],[backlog_habiles]]&gt;p_dias_backlog_min,tblOrdenes[[#This Row],[backlog_habiles]]&lt;=p_dias_backlog_max))</f>
        <v/>
      </c>
      <c r="AE1012" s="6" t="n"/>
      <c r="AF10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2" s="11">
        <f>IF(tblOrdenes[[#This Row],[orden]]="","",_xlfn.XLOOKUP(tblOrdenes[[#This Row],[id_operacion]],tblEjecucion[id_operacion],tblEjecucion[precio],0))</f>
        <v/>
      </c>
      <c r="AJ1012" s="11">
        <f>IF(tblOrdenes[[#This Row],[orden]]="","",MAX(0,_xlfn.XLOOKUP(tblOrdenes[[#This Row],[id_operacion]],tblEjecucion[id_operacion],tblEjecucion[costo_plan_total],0)-tblOrdenes[[#This Row],[costo_servicio]]))</f>
        <v/>
      </c>
      <c r="AK1012" s="11">
        <f>IF(tblOrdenes[[#This Row],[orden]]="","",tblOrdenes[[#This Row],[costo_servicio]]+tblOrdenes[[#This Row],[costo_materiales]])</f>
        <v/>
      </c>
      <c r="AL1012" s="6" t="n"/>
      <c r="AM1012" s="6" t="n"/>
      <c r="AN1012" s="6" t="n"/>
      <c r="AO1012" s="3">
        <f>IF(tblOrdenes[[#This Row],[link_checklist]]="","",HYPERLINK(p_ruta_base_checklists&amp;tblOrdenes[[#This Row],[link_checklist]],"abrir"))</f>
        <v/>
      </c>
      <c r="AP1012" s="6" t="n"/>
      <c r="AQ1012" s="3">
        <f>IF(tblOrdenes[[#This Row],[orden]]="","",tblOrdenes[[#This Row],[orden]]&amp;IF(tblOrdenes[[#This Row],[operacion]]="","0010",tblOrdenes[[#This Row],[operacion]]))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2" t="n"/>
      <c r="K1013" s="3" t="n"/>
      <c r="L1013" s="11" t="n"/>
      <c r="M10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3" s="3">
        <f>IF(tblOrdenes[[#This Row],[fecha_inicio]]="","",YEAR(tblOrdenes[[#This Row],[fecha_inicio]]))</f>
        <v/>
      </c>
      <c r="Q1013" s="3">
        <f>IF(tblOrdenes[[#This Row],[fecha_inicio]]="","",MONTH(tblOrdenes[[#This Row],[fecha_inicio]]))</f>
        <v/>
      </c>
      <c r="R1013" s="3">
        <f>IF(tblOrdenes[[#This Row],[fecha_inicio]]="","",INDEX(lista_dias,WEEKDAY(tblOrdenes[[#This Row],[fecha_inicio]],2)))</f>
        <v/>
      </c>
      <c r="S10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3" s="3">
        <f>IF(tblOrdenes[[#This Row],[tipo_ot]]="","",_xlfn.XLOOKUP(tblOrdenes[[#This Row],[tipo_ot]],tblTiposOT[codigo],tblTiposOT[clasificacion],"sin_clasificar"))</f>
        <v/>
      </c>
      <c r="U1013" s="3">
        <f>IF(tblOrdenes[[#This Row],[centro_costo]]="","",_xlfn.XLOOKUP(tblOrdenes[[#This Row],[centro_costo]],tblCECO[codigo],tblCECO[linea],"(sin catálogo)"))</f>
        <v/>
      </c>
      <c r="V1013" s="3">
        <f>IF(tblOrdenes[[#This Row],[centro_costo]]="","",_xlfn.XLOOKUP(tblOrdenes[[#This Row],[centro_costo]],tblCECO[codigo],tblCECO[area],"(sin catálogo)"))</f>
        <v/>
      </c>
      <c r="W10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3" s="3">
        <f>IF(tblOrdenes[[#This Row],[centro_costo]]="","",_xlfn.XLOOKUP(tblOrdenes[[#This Row],[centro_costo]],tblCECO[codigo],tblCECO[coordinador],"(sin catálogo)"))</f>
        <v/>
      </c>
      <c r="Y1013" s="3">
        <f>IF(tblOrdenes[[#This Row],[puesto_trabajo]]="","",_xlfn.XLOOKUP(tblOrdenes[[#This Row],[puesto_trabajo]],tblPuestos[codigo],tblPuestos[especialidad],"(sin catálogo)"))</f>
        <v/>
      </c>
      <c r="Z1013" s="3">
        <f>IF(tblOrdenes[[#This Row],[cod_actividad]]="","",_xlfn.XLOOKUP(tblOrdenes[[#This Row],[cod_actividad]],tblActividades[codigo],tblActividades[descripcion],"(sin catálogo)"))</f>
        <v/>
      </c>
      <c r="AA1013" s="13">
        <f>IF(tblOrdenes[[#This Row],[fecha_inicio]]="","",TODAY()-tblOrdenes[[#This Row],[fecha_inicio]])</f>
        <v/>
      </c>
      <c r="AB10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3" s="3">
        <f>IF(tblOrdenes[[#This Row],[backlog_habiles]]="","",IF(tblOrdenes[[#This Row],[backlog_habiles]]&lt;0,"FUTURO",IF(tblOrdenes[[#This Row],[backlog_habiles]]&gt;p_dias_backlog_max,"BACKLOG","MES CORRIENTE")))</f>
        <v/>
      </c>
      <c r="AD1013" s="3">
        <f>IF(tblOrdenes[[#This Row],[backlog_habiles]]="",FALSE,AND(tblOrdenes[[#This Row],[backlog_habiles]]&gt;p_dias_backlog_min,tblOrdenes[[#This Row],[backlog_habiles]]&lt;=p_dias_backlog_max))</f>
        <v/>
      </c>
      <c r="AE1013" s="6" t="n"/>
      <c r="AF10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3" s="11">
        <f>IF(tblOrdenes[[#This Row],[orden]]="","",_xlfn.XLOOKUP(tblOrdenes[[#This Row],[id_operacion]],tblEjecucion[id_operacion],tblEjecucion[precio],0))</f>
        <v/>
      </c>
      <c r="AJ1013" s="11">
        <f>IF(tblOrdenes[[#This Row],[orden]]="","",MAX(0,_xlfn.XLOOKUP(tblOrdenes[[#This Row],[id_operacion]],tblEjecucion[id_operacion],tblEjecucion[costo_plan_total],0)-tblOrdenes[[#This Row],[costo_servicio]]))</f>
        <v/>
      </c>
      <c r="AK1013" s="11">
        <f>IF(tblOrdenes[[#This Row],[orden]]="","",tblOrdenes[[#This Row],[costo_servicio]]+tblOrdenes[[#This Row],[costo_materiales]])</f>
        <v/>
      </c>
      <c r="AL1013" s="6" t="n"/>
      <c r="AM1013" s="6" t="n"/>
      <c r="AN1013" s="6" t="n"/>
      <c r="AO1013" s="3">
        <f>IF(tblOrdenes[[#This Row],[link_checklist]]="","",HYPERLINK(p_ruta_base_checklists&amp;tblOrdenes[[#This Row],[link_checklist]],"abrir"))</f>
        <v/>
      </c>
      <c r="AP1013" s="6" t="n"/>
      <c r="AQ1013" s="3">
        <f>IF(tblOrdenes[[#This Row],[orden]]="","",tblOrdenes[[#This Row],[orden]]&amp;IF(tblOrdenes[[#This Row],[operacion]]="","0010",tblOrdenes[[#This Row],[operacion]]))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2" t="n"/>
      <c r="K1014" s="3" t="n"/>
      <c r="L1014" s="11" t="n"/>
      <c r="M10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4" s="3">
        <f>IF(tblOrdenes[[#This Row],[fecha_inicio]]="","",YEAR(tblOrdenes[[#This Row],[fecha_inicio]]))</f>
        <v/>
      </c>
      <c r="Q1014" s="3">
        <f>IF(tblOrdenes[[#This Row],[fecha_inicio]]="","",MONTH(tblOrdenes[[#This Row],[fecha_inicio]]))</f>
        <v/>
      </c>
      <c r="R1014" s="3">
        <f>IF(tblOrdenes[[#This Row],[fecha_inicio]]="","",INDEX(lista_dias,WEEKDAY(tblOrdenes[[#This Row],[fecha_inicio]],2)))</f>
        <v/>
      </c>
      <c r="S10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4" s="3">
        <f>IF(tblOrdenes[[#This Row],[tipo_ot]]="","",_xlfn.XLOOKUP(tblOrdenes[[#This Row],[tipo_ot]],tblTiposOT[codigo],tblTiposOT[clasificacion],"sin_clasificar"))</f>
        <v/>
      </c>
      <c r="U1014" s="3">
        <f>IF(tblOrdenes[[#This Row],[centro_costo]]="","",_xlfn.XLOOKUP(tblOrdenes[[#This Row],[centro_costo]],tblCECO[codigo],tblCECO[linea],"(sin catálogo)"))</f>
        <v/>
      </c>
      <c r="V1014" s="3">
        <f>IF(tblOrdenes[[#This Row],[centro_costo]]="","",_xlfn.XLOOKUP(tblOrdenes[[#This Row],[centro_costo]],tblCECO[codigo],tblCECO[area],"(sin catálogo)"))</f>
        <v/>
      </c>
      <c r="W10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4" s="3">
        <f>IF(tblOrdenes[[#This Row],[centro_costo]]="","",_xlfn.XLOOKUP(tblOrdenes[[#This Row],[centro_costo]],tblCECO[codigo],tblCECO[coordinador],"(sin catálogo)"))</f>
        <v/>
      </c>
      <c r="Y1014" s="3">
        <f>IF(tblOrdenes[[#This Row],[puesto_trabajo]]="","",_xlfn.XLOOKUP(tblOrdenes[[#This Row],[puesto_trabajo]],tblPuestos[codigo],tblPuestos[especialidad],"(sin catálogo)"))</f>
        <v/>
      </c>
      <c r="Z1014" s="3">
        <f>IF(tblOrdenes[[#This Row],[cod_actividad]]="","",_xlfn.XLOOKUP(tblOrdenes[[#This Row],[cod_actividad]],tblActividades[codigo],tblActividades[descripcion],"(sin catálogo)"))</f>
        <v/>
      </c>
      <c r="AA1014" s="13">
        <f>IF(tblOrdenes[[#This Row],[fecha_inicio]]="","",TODAY()-tblOrdenes[[#This Row],[fecha_inicio]])</f>
        <v/>
      </c>
      <c r="AB10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4" s="3">
        <f>IF(tblOrdenes[[#This Row],[backlog_habiles]]="","",IF(tblOrdenes[[#This Row],[backlog_habiles]]&lt;0,"FUTURO",IF(tblOrdenes[[#This Row],[backlog_habiles]]&gt;p_dias_backlog_max,"BACKLOG","MES CORRIENTE")))</f>
        <v/>
      </c>
      <c r="AD1014" s="3">
        <f>IF(tblOrdenes[[#This Row],[backlog_habiles]]="",FALSE,AND(tblOrdenes[[#This Row],[backlog_habiles]]&gt;p_dias_backlog_min,tblOrdenes[[#This Row],[backlog_habiles]]&lt;=p_dias_backlog_max))</f>
        <v/>
      </c>
      <c r="AE1014" s="6" t="n"/>
      <c r="AF10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4" s="11">
        <f>IF(tblOrdenes[[#This Row],[orden]]="","",_xlfn.XLOOKUP(tblOrdenes[[#This Row],[id_operacion]],tblEjecucion[id_operacion],tblEjecucion[precio],0))</f>
        <v/>
      </c>
      <c r="AJ1014" s="11">
        <f>IF(tblOrdenes[[#This Row],[orden]]="","",MAX(0,_xlfn.XLOOKUP(tblOrdenes[[#This Row],[id_operacion]],tblEjecucion[id_operacion],tblEjecucion[costo_plan_total],0)-tblOrdenes[[#This Row],[costo_servicio]]))</f>
        <v/>
      </c>
      <c r="AK1014" s="11">
        <f>IF(tblOrdenes[[#This Row],[orden]]="","",tblOrdenes[[#This Row],[costo_servicio]]+tblOrdenes[[#This Row],[costo_materiales]])</f>
        <v/>
      </c>
      <c r="AL1014" s="6" t="n"/>
      <c r="AM1014" s="6" t="n"/>
      <c r="AN1014" s="6" t="n"/>
      <c r="AO1014" s="3">
        <f>IF(tblOrdenes[[#This Row],[link_checklist]]="","",HYPERLINK(p_ruta_base_checklists&amp;tblOrdenes[[#This Row],[link_checklist]],"abrir"))</f>
        <v/>
      </c>
      <c r="AP1014" s="6" t="n"/>
      <c r="AQ1014" s="3">
        <f>IF(tblOrdenes[[#This Row],[orden]]="","",tblOrdenes[[#This Row],[orden]]&amp;IF(tblOrdenes[[#This Row],[operacion]]="","0010",tblOrdenes[[#This Row],[operacion]]))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2" t="n"/>
      <c r="K1015" s="3" t="n"/>
      <c r="L1015" s="11" t="n"/>
      <c r="M10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5" s="3">
        <f>IF(tblOrdenes[[#This Row],[fecha_inicio]]="","",YEAR(tblOrdenes[[#This Row],[fecha_inicio]]))</f>
        <v/>
      </c>
      <c r="Q1015" s="3">
        <f>IF(tblOrdenes[[#This Row],[fecha_inicio]]="","",MONTH(tblOrdenes[[#This Row],[fecha_inicio]]))</f>
        <v/>
      </c>
      <c r="R1015" s="3">
        <f>IF(tblOrdenes[[#This Row],[fecha_inicio]]="","",INDEX(lista_dias,WEEKDAY(tblOrdenes[[#This Row],[fecha_inicio]],2)))</f>
        <v/>
      </c>
      <c r="S10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5" s="3">
        <f>IF(tblOrdenes[[#This Row],[tipo_ot]]="","",_xlfn.XLOOKUP(tblOrdenes[[#This Row],[tipo_ot]],tblTiposOT[codigo],tblTiposOT[clasificacion],"sin_clasificar"))</f>
        <v/>
      </c>
      <c r="U1015" s="3">
        <f>IF(tblOrdenes[[#This Row],[centro_costo]]="","",_xlfn.XLOOKUP(tblOrdenes[[#This Row],[centro_costo]],tblCECO[codigo],tblCECO[linea],"(sin catálogo)"))</f>
        <v/>
      </c>
      <c r="V1015" s="3">
        <f>IF(tblOrdenes[[#This Row],[centro_costo]]="","",_xlfn.XLOOKUP(tblOrdenes[[#This Row],[centro_costo]],tblCECO[codigo],tblCECO[area],"(sin catálogo)"))</f>
        <v/>
      </c>
      <c r="W10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5" s="3">
        <f>IF(tblOrdenes[[#This Row],[centro_costo]]="","",_xlfn.XLOOKUP(tblOrdenes[[#This Row],[centro_costo]],tblCECO[codigo],tblCECO[coordinador],"(sin catálogo)"))</f>
        <v/>
      </c>
      <c r="Y1015" s="3">
        <f>IF(tblOrdenes[[#This Row],[puesto_trabajo]]="","",_xlfn.XLOOKUP(tblOrdenes[[#This Row],[puesto_trabajo]],tblPuestos[codigo],tblPuestos[especialidad],"(sin catálogo)"))</f>
        <v/>
      </c>
      <c r="Z1015" s="3">
        <f>IF(tblOrdenes[[#This Row],[cod_actividad]]="","",_xlfn.XLOOKUP(tblOrdenes[[#This Row],[cod_actividad]],tblActividades[codigo],tblActividades[descripcion],"(sin catálogo)"))</f>
        <v/>
      </c>
      <c r="AA1015" s="13">
        <f>IF(tblOrdenes[[#This Row],[fecha_inicio]]="","",TODAY()-tblOrdenes[[#This Row],[fecha_inicio]])</f>
        <v/>
      </c>
      <c r="AB10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5" s="3">
        <f>IF(tblOrdenes[[#This Row],[backlog_habiles]]="","",IF(tblOrdenes[[#This Row],[backlog_habiles]]&lt;0,"FUTURO",IF(tblOrdenes[[#This Row],[backlog_habiles]]&gt;p_dias_backlog_max,"BACKLOG","MES CORRIENTE")))</f>
        <v/>
      </c>
      <c r="AD1015" s="3">
        <f>IF(tblOrdenes[[#This Row],[backlog_habiles]]="",FALSE,AND(tblOrdenes[[#This Row],[backlog_habiles]]&gt;p_dias_backlog_min,tblOrdenes[[#This Row],[backlog_habiles]]&lt;=p_dias_backlog_max))</f>
        <v/>
      </c>
      <c r="AE1015" s="6" t="n"/>
      <c r="AF10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5" s="11">
        <f>IF(tblOrdenes[[#This Row],[orden]]="","",_xlfn.XLOOKUP(tblOrdenes[[#This Row],[id_operacion]],tblEjecucion[id_operacion],tblEjecucion[precio],0))</f>
        <v/>
      </c>
      <c r="AJ1015" s="11">
        <f>IF(tblOrdenes[[#This Row],[orden]]="","",MAX(0,_xlfn.XLOOKUP(tblOrdenes[[#This Row],[id_operacion]],tblEjecucion[id_operacion],tblEjecucion[costo_plan_total],0)-tblOrdenes[[#This Row],[costo_servicio]]))</f>
        <v/>
      </c>
      <c r="AK1015" s="11">
        <f>IF(tblOrdenes[[#This Row],[orden]]="","",tblOrdenes[[#This Row],[costo_servicio]]+tblOrdenes[[#This Row],[costo_materiales]])</f>
        <v/>
      </c>
      <c r="AL1015" s="6" t="n"/>
      <c r="AM1015" s="6" t="n"/>
      <c r="AN1015" s="6" t="n"/>
      <c r="AO1015" s="3">
        <f>IF(tblOrdenes[[#This Row],[link_checklist]]="","",HYPERLINK(p_ruta_base_checklists&amp;tblOrdenes[[#This Row],[link_checklist]],"abrir"))</f>
        <v/>
      </c>
      <c r="AP1015" s="6" t="n"/>
      <c r="AQ1015" s="3">
        <f>IF(tblOrdenes[[#This Row],[orden]]="","",tblOrdenes[[#This Row],[orden]]&amp;IF(tblOrdenes[[#This Row],[operacion]]="","0010",tblOrdenes[[#This Row],[operacion]]))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2" t="n"/>
      <c r="K1016" s="3" t="n"/>
      <c r="L1016" s="11" t="n"/>
      <c r="M10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6" s="3">
        <f>IF(tblOrdenes[[#This Row],[fecha_inicio]]="","",YEAR(tblOrdenes[[#This Row],[fecha_inicio]]))</f>
        <v/>
      </c>
      <c r="Q1016" s="3">
        <f>IF(tblOrdenes[[#This Row],[fecha_inicio]]="","",MONTH(tblOrdenes[[#This Row],[fecha_inicio]]))</f>
        <v/>
      </c>
      <c r="R1016" s="3">
        <f>IF(tblOrdenes[[#This Row],[fecha_inicio]]="","",INDEX(lista_dias,WEEKDAY(tblOrdenes[[#This Row],[fecha_inicio]],2)))</f>
        <v/>
      </c>
      <c r="S10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6" s="3">
        <f>IF(tblOrdenes[[#This Row],[tipo_ot]]="","",_xlfn.XLOOKUP(tblOrdenes[[#This Row],[tipo_ot]],tblTiposOT[codigo],tblTiposOT[clasificacion],"sin_clasificar"))</f>
        <v/>
      </c>
      <c r="U1016" s="3">
        <f>IF(tblOrdenes[[#This Row],[centro_costo]]="","",_xlfn.XLOOKUP(tblOrdenes[[#This Row],[centro_costo]],tblCECO[codigo],tblCECO[linea],"(sin catálogo)"))</f>
        <v/>
      </c>
      <c r="V1016" s="3">
        <f>IF(tblOrdenes[[#This Row],[centro_costo]]="","",_xlfn.XLOOKUP(tblOrdenes[[#This Row],[centro_costo]],tblCECO[codigo],tblCECO[area],"(sin catálogo)"))</f>
        <v/>
      </c>
      <c r="W10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6" s="3">
        <f>IF(tblOrdenes[[#This Row],[centro_costo]]="","",_xlfn.XLOOKUP(tblOrdenes[[#This Row],[centro_costo]],tblCECO[codigo],tblCECO[coordinador],"(sin catálogo)"))</f>
        <v/>
      </c>
      <c r="Y1016" s="3">
        <f>IF(tblOrdenes[[#This Row],[puesto_trabajo]]="","",_xlfn.XLOOKUP(tblOrdenes[[#This Row],[puesto_trabajo]],tblPuestos[codigo],tblPuestos[especialidad],"(sin catálogo)"))</f>
        <v/>
      </c>
      <c r="Z1016" s="3">
        <f>IF(tblOrdenes[[#This Row],[cod_actividad]]="","",_xlfn.XLOOKUP(tblOrdenes[[#This Row],[cod_actividad]],tblActividades[codigo],tblActividades[descripcion],"(sin catálogo)"))</f>
        <v/>
      </c>
      <c r="AA1016" s="13">
        <f>IF(tblOrdenes[[#This Row],[fecha_inicio]]="","",TODAY()-tblOrdenes[[#This Row],[fecha_inicio]])</f>
        <v/>
      </c>
      <c r="AB10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6" s="3">
        <f>IF(tblOrdenes[[#This Row],[backlog_habiles]]="","",IF(tblOrdenes[[#This Row],[backlog_habiles]]&lt;0,"FUTURO",IF(tblOrdenes[[#This Row],[backlog_habiles]]&gt;p_dias_backlog_max,"BACKLOG","MES CORRIENTE")))</f>
        <v/>
      </c>
      <c r="AD1016" s="3">
        <f>IF(tblOrdenes[[#This Row],[backlog_habiles]]="",FALSE,AND(tblOrdenes[[#This Row],[backlog_habiles]]&gt;p_dias_backlog_min,tblOrdenes[[#This Row],[backlog_habiles]]&lt;=p_dias_backlog_max))</f>
        <v/>
      </c>
      <c r="AE1016" s="6" t="n"/>
      <c r="AF10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6" s="11">
        <f>IF(tblOrdenes[[#This Row],[orden]]="","",_xlfn.XLOOKUP(tblOrdenes[[#This Row],[id_operacion]],tblEjecucion[id_operacion],tblEjecucion[precio],0))</f>
        <v/>
      </c>
      <c r="AJ1016" s="11">
        <f>IF(tblOrdenes[[#This Row],[orden]]="","",MAX(0,_xlfn.XLOOKUP(tblOrdenes[[#This Row],[id_operacion]],tblEjecucion[id_operacion],tblEjecucion[costo_plan_total],0)-tblOrdenes[[#This Row],[costo_servicio]]))</f>
        <v/>
      </c>
      <c r="AK1016" s="11">
        <f>IF(tblOrdenes[[#This Row],[orden]]="","",tblOrdenes[[#This Row],[costo_servicio]]+tblOrdenes[[#This Row],[costo_materiales]])</f>
        <v/>
      </c>
      <c r="AL1016" s="6" t="n"/>
      <c r="AM1016" s="6" t="n"/>
      <c r="AN1016" s="6" t="n"/>
      <c r="AO1016" s="3">
        <f>IF(tblOrdenes[[#This Row],[link_checklist]]="","",HYPERLINK(p_ruta_base_checklists&amp;tblOrdenes[[#This Row],[link_checklist]],"abrir"))</f>
        <v/>
      </c>
      <c r="AP1016" s="6" t="n"/>
      <c r="AQ1016" s="3">
        <f>IF(tblOrdenes[[#This Row],[orden]]="","",tblOrdenes[[#This Row],[orden]]&amp;IF(tblOrdenes[[#This Row],[operacion]]="","0010",tblOrdenes[[#This Row],[operacion]]))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2" t="n"/>
      <c r="K1017" s="3" t="n"/>
      <c r="L1017" s="11" t="n"/>
      <c r="M10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7" s="3">
        <f>IF(tblOrdenes[[#This Row],[fecha_inicio]]="","",YEAR(tblOrdenes[[#This Row],[fecha_inicio]]))</f>
        <v/>
      </c>
      <c r="Q1017" s="3">
        <f>IF(tblOrdenes[[#This Row],[fecha_inicio]]="","",MONTH(tblOrdenes[[#This Row],[fecha_inicio]]))</f>
        <v/>
      </c>
      <c r="R1017" s="3">
        <f>IF(tblOrdenes[[#This Row],[fecha_inicio]]="","",INDEX(lista_dias,WEEKDAY(tblOrdenes[[#This Row],[fecha_inicio]],2)))</f>
        <v/>
      </c>
      <c r="S10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7" s="3">
        <f>IF(tblOrdenes[[#This Row],[tipo_ot]]="","",_xlfn.XLOOKUP(tblOrdenes[[#This Row],[tipo_ot]],tblTiposOT[codigo],tblTiposOT[clasificacion],"sin_clasificar"))</f>
        <v/>
      </c>
      <c r="U1017" s="3">
        <f>IF(tblOrdenes[[#This Row],[centro_costo]]="","",_xlfn.XLOOKUP(tblOrdenes[[#This Row],[centro_costo]],tblCECO[codigo],tblCECO[linea],"(sin catálogo)"))</f>
        <v/>
      </c>
      <c r="V1017" s="3">
        <f>IF(tblOrdenes[[#This Row],[centro_costo]]="","",_xlfn.XLOOKUP(tblOrdenes[[#This Row],[centro_costo]],tblCECO[codigo],tblCECO[area],"(sin catálogo)"))</f>
        <v/>
      </c>
      <c r="W10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7" s="3">
        <f>IF(tblOrdenes[[#This Row],[centro_costo]]="","",_xlfn.XLOOKUP(tblOrdenes[[#This Row],[centro_costo]],tblCECO[codigo],tblCECO[coordinador],"(sin catálogo)"))</f>
        <v/>
      </c>
      <c r="Y1017" s="3">
        <f>IF(tblOrdenes[[#This Row],[puesto_trabajo]]="","",_xlfn.XLOOKUP(tblOrdenes[[#This Row],[puesto_trabajo]],tblPuestos[codigo],tblPuestos[especialidad],"(sin catálogo)"))</f>
        <v/>
      </c>
      <c r="Z1017" s="3">
        <f>IF(tblOrdenes[[#This Row],[cod_actividad]]="","",_xlfn.XLOOKUP(tblOrdenes[[#This Row],[cod_actividad]],tblActividades[codigo],tblActividades[descripcion],"(sin catálogo)"))</f>
        <v/>
      </c>
      <c r="AA1017" s="13">
        <f>IF(tblOrdenes[[#This Row],[fecha_inicio]]="","",TODAY()-tblOrdenes[[#This Row],[fecha_inicio]])</f>
        <v/>
      </c>
      <c r="AB10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7" s="3">
        <f>IF(tblOrdenes[[#This Row],[backlog_habiles]]="","",IF(tblOrdenes[[#This Row],[backlog_habiles]]&lt;0,"FUTURO",IF(tblOrdenes[[#This Row],[backlog_habiles]]&gt;p_dias_backlog_max,"BACKLOG","MES CORRIENTE")))</f>
        <v/>
      </c>
      <c r="AD1017" s="3">
        <f>IF(tblOrdenes[[#This Row],[backlog_habiles]]="",FALSE,AND(tblOrdenes[[#This Row],[backlog_habiles]]&gt;p_dias_backlog_min,tblOrdenes[[#This Row],[backlog_habiles]]&lt;=p_dias_backlog_max))</f>
        <v/>
      </c>
      <c r="AE1017" s="6" t="n"/>
      <c r="AF10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7" s="11">
        <f>IF(tblOrdenes[[#This Row],[orden]]="","",_xlfn.XLOOKUP(tblOrdenes[[#This Row],[id_operacion]],tblEjecucion[id_operacion],tblEjecucion[precio],0))</f>
        <v/>
      </c>
      <c r="AJ1017" s="11">
        <f>IF(tblOrdenes[[#This Row],[orden]]="","",MAX(0,_xlfn.XLOOKUP(tblOrdenes[[#This Row],[id_operacion]],tblEjecucion[id_operacion],tblEjecucion[costo_plan_total],0)-tblOrdenes[[#This Row],[costo_servicio]]))</f>
        <v/>
      </c>
      <c r="AK1017" s="11">
        <f>IF(tblOrdenes[[#This Row],[orden]]="","",tblOrdenes[[#This Row],[costo_servicio]]+tblOrdenes[[#This Row],[costo_materiales]])</f>
        <v/>
      </c>
      <c r="AL1017" s="6" t="n"/>
      <c r="AM1017" s="6" t="n"/>
      <c r="AN1017" s="6" t="n"/>
      <c r="AO1017" s="3">
        <f>IF(tblOrdenes[[#This Row],[link_checklist]]="","",HYPERLINK(p_ruta_base_checklists&amp;tblOrdenes[[#This Row],[link_checklist]],"abrir"))</f>
        <v/>
      </c>
      <c r="AP1017" s="6" t="n"/>
      <c r="AQ1017" s="3">
        <f>IF(tblOrdenes[[#This Row],[orden]]="","",tblOrdenes[[#This Row],[orden]]&amp;IF(tblOrdenes[[#This Row],[operacion]]="","0010",tblOrdenes[[#This Row],[operacion]]))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2" t="n"/>
      <c r="K1018" s="3" t="n"/>
      <c r="L1018" s="11" t="n"/>
      <c r="M10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8" s="3">
        <f>IF(tblOrdenes[[#This Row],[fecha_inicio]]="","",YEAR(tblOrdenes[[#This Row],[fecha_inicio]]))</f>
        <v/>
      </c>
      <c r="Q1018" s="3">
        <f>IF(tblOrdenes[[#This Row],[fecha_inicio]]="","",MONTH(tblOrdenes[[#This Row],[fecha_inicio]]))</f>
        <v/>
      </c>
      <c r="R1018" s="3">
        <f>IF(tblOrdenes[[#This Row],[fecha_inicio]]="","",INDEX(lista_dias,WEEKDAY(tblOrdenes[[#This Row],[fecha_inicio]],2)))</f>
        <v/>
      </c>
      <c r="S10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8" s="3">
        <f>IF(tblOrdenes[[#This Row],[tipo_ot]]="","",_xlfn.XLOOKUP(tblOrdenes[[#This Row],[tipo_ot]],tblTiposOT[codigo],tblTiposOT[clasificacion],"sin_clasificar"))</f>
        <v/>
      </c>
      <c r="U1018" s="3">
        <f>IF(tblOrdenes[[#This Row],[centro_costo]]="","",_xlfn.XLOOKUP(tblOrdenes[[#This Row],[centro_costo]],tblCECO[codigo],tblCECO[linea],"(sin catálogo)"))</f>
        <v/>
      </c>
      <c r="V1018" s="3">
        <f>IF(tblOrdenes[[#This Row],[centro_costo]]="","",_xlfn.XLOOKUP(tblOrdenes[[#This Row],[centro_costo]],tblCECO[codigo],tblCECO[area],"(sin catálogo)"))</f>
        <v/>
      </c>
      <c r="W10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8" s="3">
        <f>IF(tblOrdenes[[#This Row],[centro_costo]]="","",_xlfn.XLOOKUP(tblOrdenes[[#This Row],[centro_costo]],tblCECO[codigo],tblCECO[coordinador],"(sin catálogo)"))</f>
        <v/>
      </c>
      <c r="Y1018" s="3">
        <f>IF(tblOrdenes[[#This Row],[puesto_trabajo]]="","",_xlfn.XLOOKUP(tblOrdenes[[#This Row],[puesto_trabajo]],tblPuestos[codigo],tblPuestos[especialidad],"(sin catálogo)"))</f>
        <v/>
      </c>
      <c r="Z1018" s="3">
        <f>IF(tblOrdenes[[#This Row],[cod_actividad]]="","",_xlfn.XLOOKUP(tblOrdenes[[#This Row],[cod_actividad]],tblActividades[codigo],tblActividades[descripcion],"(sin catálogo)"))</f>
        <v/>
      </c>
      <c r="AA1018" s="13">
        <f>IF(tblOrdenes[[#This Row],[fecha_inicio]]="","",TODAY()-tblOrdenes[[#This Row],[fecha_inicio]])</f>
        <v/>
      </c>
      <c r="AB10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8" s="3">
        <f>IF(tblOrdenes[[#This Row],[backlog_habiles]]="","",IF(tblOrdenes[[#This Row],[backlog_habiles]]&lt;0,"FUTURO",IF(tblOrdenes[[#This Row],[backlog_habiles]]&gt;p_dias_backlog_max,"BACKLOG","MES CORRIENTE")))</f>
        <v/>
      </c>
      <c r="AD1018" s="3">
        <f>IF(tblOrdenes[[#This Row],[backlog_habiles]]="",FALSE,AND(tblOrdenes[[#This Row],[backlog_habiles]]&gt;p_dias_backlog_min,tblOrdenes[[#This Row],[backlog_habiles]]&lt;=p_dias_backlog_max))</f>
        <v/>
      </c>
      <c r="AE1018" s="6" t="n"/>
      <c r="AF10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8" s="11">
        <f>IF(tblOrdenes[[#This Row],[orden]]="","",_xlfn.XLOOKUP(tblOrdenes[[#This Row],[id_operacion]],tblEjecucion[id_operacion],tblEjecucion[precio],0))</f>
        <v/>
      </c>
      <c r="AJ1018" s="11">
        <f>IF(tblOrdenes[[#This Row],[orden]]="","",MAX(0,_xlfn.XLOOKUP(tblOrdenes[[#This Row],[id_operacion]],tblEjecucion[id_operacion],tblEjecucion[costo_plan_total],0)-tblOrdenes[[#This Row],[costo_servicio]]))</f>
        <v/>
      </c>
      <c r="AK1018" s="11">
        <f>IF(tblOrdenes[[#This Row],[orden]]="","",tblOrdenes[[#This Row],[costo_servicio]]+tblOrdenes[[#This Row],[costo_materiales]])</f>
        <v/>
      </c>
      <c r="AL1018" s="6" t="n"/>
      <c r="AM1018" s="6" t="n"/>
      <c r="AN1018" s="6" t="n"/>
      <c r="AO1018" s="3">
        <f>IF(tblOrdenes[[#This Row],[link_checklist]]="","",HYPERLINK(p_ruta_base_checklists&amp;tblOrdenes[[#This Row],[link_checklist]],"abrir"))</f>
        <v/>
      </c>
      <c r="AP1018" s="6" t="n"/>
      <c r="AQ1018" s="3">
        <f>IF(tblOrdenes[[#This Row],[orden]]="","",tblOrdenes[[#This Row],[orden]]&amp;IF(tblOrdenes[[#This Row],[operacion]]="","0010",tblOrdenes[[#This Row],[operacion]]))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2" t="n"/>
      <c r="K1019" s="3" t="n"/>
      <c r="L1019" s="11" t="n"/>
      <c r="M10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9" s="3">
        <f>IF(tblOrdenes[[#This Row],[fecha_inicio]]="","",YEAR(tblOrdenes[[#This Row],[fecha_inicio]]))</f>
        <v/>
      </c>
      <c r="Q1019" s="3">
        <f>IF(tblOrdenes[[#This Row],[fecha_inicio]]="","",MONTH(tblOrdenes[[#This Row],[fecha_inicio]]))</f>
        <v/>
      </c>
      <c r="R1019" s="3">
        <f>IF(tblOrdenes[[#This Row],[fecha_inicio]]="","",INDEX(lista_dias,WEEKDAY(tblOrdenes[[#This Row],[fecha_inicio]],2)))</f>
        <v/>
      </c>
      <c r="S10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9" s="3">
        <f>IF(tblOrdenes[[#This Row],[tipo_ot]]="","",_xlfn.XLOOKUP(tblOrdenes[[#This Row],[tipo_ot]],tblTiposOT[codigo],tblTiposOT[clasificacion],"sin_clasificar"))</f>
        <v/>
      </c>
      <c r="U1019" s="3">
        <f>IF(tblOrdenes[[#This Row],[centro_costo]]="","",_xlfn.XLOOKUP(tblOrdenes[[#This Row],[centro_costo]],tblCECO[codigo],tblCECO[linea],"(sin catálogo)"))</f>
        <v/>
      </c>
      <c r="V1019" s="3">
        <f>IF(tblOrdenes[[#This Row],[centro_costo]]="","",_xlfn.XLOOKUP(tblOrdenes[[#This Row],[centro_costo]],tblCECO[codigo],tblCECO[area],"(sin catálogo)"))</f>
        <v/>
      </c>
      <c r="W10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9" s="3">
        <f>IF(tblOrdenes[[#This Row],[centro_costo]]="","",_xlfn.XLOOKUP(tblOrdenes[[#This Row],[centro_costo]],tblCECO[codigo],tblCECO[coordinador],"(sin catálogo)"))</f>
        <v/>
      </c>
      <c r="Y1019" s="3">
        <f>IF(tblOrdenes[[#This Row],[puesto_trabajo]]="","",_xlfn.XLOOKUP(tblOrdenes[[#This Row],[puesto_trabajo]],tblPuestos[codigo],tblPuestos[especialidad],"(sin catálogo)"))</f>
        <v/>
      </c>
      <c r="Z1019" s="3">
        <f>IF(tblOrdenes[[#This Row],[cod_actividad]]="","",_xlfn.XLOOKUP(tblOrdenes[[#This Row],[cod_actividad]],tblActividades[codigo],tblActividades[descripcion],"(sin catálogo)"))</f>
        <v/>
      </c>
      <c r="AA1019" s="13">
        <f>IF(tblOrdenes[[#This Row],[fecha_inicio]]="","",TODAY()-tblOrdenes[[#This Row],[fecha_inicio]])</f>
        <v/>
      </c>
      <c r="AB10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9" s="3">
        <f>IF(tblOrdenes[[#This Row],[backlog_habiles]]="","",IF(tblOrdenes[[#This Row],[backlog_habiles]]&lt;0,"FUTURO",IF(tblOrdenes[[#This Row],[backlog_habiles]]&gt;p_dias_backlog_max,"BACKLOG","MES CORRIENTE")))</f>
        <v/>
      </c>
      <c r="AD1019" s="3">
        <f>IF(tblOrdenes[[#This Row],[backlog_habiles]]="",FALSE,AND(tblOrdenes[[#This Row],[backlog_habiles]]&gt;p_dias_backlog_min,tblOrdenes[[#This Row],[backlog_habiles]]&lt;=p_dias_backlog_max))</f>
        <v/>
      </c>
      <c r="AE1019" s="6" t="n"/>
      <c r="AF10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9" s="11">
        <f>IF(tblOrdenes[[#This Row],[orden]]="","",_xlfn.XLOOKUP(tblOrdenes[[#This Row],[id_operacion]],tblEjecucion[id_operacion],tblEjecucion[precio],0))</f>
        <v/>
      </c>
      <c r="AJ1019" s="11">
        <f>IF(tblOrdenes[[#This Row],[orden]]="","",MAX(0,_xlfn.XLOOKUP(tblOrdenes[[#This Row],[id_operacion]],tblEjecucion[id_operacion],tblEjecucion[costo_plan_total],0)-tblOrdenes[[#This Row],[costo_servicio]]))</f>
        <v/>
      </c>
      <c r="AK1019" s="11">
        <f>IF(tblOrdenes[[#This Row],[orden]]="","",tblOrdenes[[#This Row],[costo_servicio]]+tblOrdenes[[#This Row],[costo_materiales]])</f>
        <v/>
      </c>
      <c r="AL1019" s="6" t="n"/>
      <c r="AM1019" s="6" t="n"/>
      <c r="AN1019" s="6" t="n"/>
      <c r="AO1019" s="3">
        <f>IF(tblOrdenes[[#This Row],[link_checklist]]="","",HYPERLINK(p_ruta_base_checklists&amp;tblOrdenes[[#This Row],[link_checklist]],"abrir"))</f>
        <v/>
      </c>
      <c r="AP1019" s="6" t="n"/>
      <c r="AQ1019" s="3">
        <f>IF(tblOrdenes[[#This Row],[orden]]="","",tblOrdenes[[#This Row],[orden]]&amp;IF(tblOrdenes[[#This Row],[operacion]]="","0010",tblOrdenes[[#This Row],[operacion]]))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2" t="n"/>
      <c r="K1020" s="3" t="n"/>
      <c r="L1020" s="11" t="n"/>
      <c r="M10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0" s="3">
        <f>IF(tblOrdenes[[#This Row],[fecha_inicio]]="","",YEAR(tblOrdenes[[#This Row],[fecha_inicio]]))</f>
        <v/>
      </c>
      <c r="Q1020" s="3">
        <f>IF(tblOrdenes[[#This Row],[fecha_inicio]]="","",MONTH(tblOrdenes[[#This Row],[fecha_inicio]]))</f>
        <v/>
      </c>
      <c r="R1020" s="3">
        <f>IF(tblOrdenes[[#This Row],[fecha_inicio]]="","",INDEX(lista_dias,WEEKDAY(tblOrdenes[[#This Row],[fecha_inicio]],2)))</f>
        <v/>
      </c>
      <c r="S10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0" s="3">
        <f>IF(tblOrdenes[[#This Row],[tipo_ot]]="","",_xlfn.XLOOKUP(tblOrdenes[[#This Row],[tipo_ot]],tblTiposOT[codigo],tblTiposOT[clasificacion],"sin_clasificar"))</f>
        <v/>
      </c>
      <c r="U1020" s="3">
        <f>IF(tblOrdenes[[#This Row],[centro_costo]]="","",_xlfn.XLOOKUP(tblOrdenes[[#This Row],[centro_costo]],tblCECO[codigo],tblCECO[linea],"(sin catálogo)"))</f>
        <v/>
      </c>
      <c r="V1020" s="3">
        <f>IF(tblOrdenes[[#This Row],[centro_costo]]="","",_xlfn.XLOOKUP(tblOrdenes[[#This Row],[centro_costo]],tblCECO[codigo],tblCECO[area],"(sin catálogo)"))</f>
        <v/>
      </c>
      <c r="W10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0" s="3">
        <f>IF(tblOrdenes[[#This Row],[centro_costo]]="","",_xlfn.XLOOKUP(tblOrdenes[[#This Row],[centro_costo]],tblCECO[codigo],tblCECO[coordinador],"(sin catálogo)"))</f>
        <v/>
      </c>
      <c r="Y1020" s="3">
        <f>IF(tblOrdenes[[#This Row],[puesto_trabajo]]="","",_xlfn.XLOOKUP(tblOrdenes[[#This Row],[puesto_trabajo]],tblPuestos[codigo],tblPuestos[especialidad],"(sin catálogo)"))</f>
        <v/>
      </c>
      <c r="Z1020" s="3">
        <f>IF(tblOrdenes[[#This Row],[cod_actividad]]="","",_xlfn.XLOOKUP(tblOrdenes[[#This Row],[cod_actividad]],tblActividades[codigo],tblActividades[descripcion],"(sin catálogo)"))</f>
        <v/>
      </c>
      <c r="AA1020" s="13">
        <f>IF(tblOrdenes[[#This Row],[fecha_inicio]]="","",TODAY()-tblOrdenes[[#This Row],[fecha_inicio]])</f>
        <v/>
      </c>
      <c r="AB10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0" s="3">
        <f>IF(tblOrdenes[[#This Row],[backlog_habiles]]="","",IF(tblOrdenes[[#This Row],[backlog_habiles]]&lt;0,"FUTURO",IF(tblOrdenes[[#This Row],[backlog_habiles]]&gt;p_dias_backlog_max,"BACKLOG","MES CORRIENTE")))</f>
        <v/>
      </c>
      <c r="AD1020" s="3">
        <f>IF(tblOrdenes[[#This Row],[backlog_habiles]]="",FALSE,AND(tblOrdenes[[#This Row],[backlog_habiles]]&gt;p_dias_backlog_min,tblOrdenes[[#This Row],[backlog_habiles]]&lt;=p_dias_backlog_max))</f>
        <v/>
      </c>
      <c r="AE1020" s="6" t="n"/>
      <c r="AF10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0" s="11">
        <f>IF(tblOrdenes[[#This Row],[orden]]="","",_xlfn.XLOOKUP(tblOrdenes[[#This Row],[id_operacion]],tblEjecucion[id_operacion],tblEjecucion[precio],0))</f>
        <v/>
      </c>
      <c r="AJ1020" s="11">
        <f>IF(tblOrdenes[[#This Row],[orden]]="","",MAX(0,_xlfn.XLOOKUP(tblOrdenes[[#This Row],[id_operacion]],tblEjecucion[id_operacion],tblEjecucion[costo_plan_total],0)-tblOrdenes[[#This Row],[costo_servicio]]))</f>
        <v/>
      </c>
      <c r="AK1020" s="11">
        <f>IF(tblOrdenes[[#This Row],[orden]]="","",tblOrdenes[[#This Row],[costo_servicio]]+tblOrdenes[[#This Row],[costo_materiales]])</f>
        <v/>
      </c>
      <c r="AL1020" s="6" t="n"/>
      <c r="AM1020" s="6" t="n"/>
      <c r="AN1020" s="6" t="n"/>
      <c r="AO1020" s="3">
        <f>IF(tblOrdenes[[#This Row],[link_checklist]]="","",HYPERLINK(p_ruta_base_checklists&amp;tblOrdenes[[#This Row],[link_checklist]],"abrir"))</f>
        <v/>
      </c>
      <c r="AP1020" s="6" t="n"/>
      <c r="AQ1020" s="3">
        <f>IF(tblOrdenes[[#This Row],[orden]]="","",tblOrdenes[[#This Row],[orden]]&amp;IF(tblOrdenes[[#This Row],[operacion]]="","0010",tblOrdenes[[#This Row],[operacion]]))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2" t="n"/>
      <c r="K1021" s="3" t="n"/>
      <c r="L1021" s="11" t="n"/>
      <c r="M10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1" s="3">
        <f>IF(tblOrdenes[[#This Row],[fecha_inicio]]="","",YEAR(tblOrdenes[[#This Row],[fecha_inicio]]))</f>
        <v/>
      </c>
      <c r="Q1021" s="3">
        <f>IF(tblOrdenes[[#This Row],[fecha_inicio]]="","",MONTH(tblOrdenes[[#This Row],[fecha_inicio]]))</f>
        <v/>
      </c>
      <c r="R1021" s="3">
        <f>IF(tblOrdenes[[#This Row],[fecha_inicio]]="","",INDEX(lista_dias,WEEKDAY(tblOrdenes[[#This Row],[fecha_inicio]],2)))</f>
        <v/>
      </c>
      <c r="S10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1" s="3">
        <f>IF(tblOrdenes[[#This Row],[tipo_ot]]="","",_xlfn.XLOOKUP(tblOrdenes[[#This Row],[tipo_ot]],tblTiposOT[codigo],tblTiposOT[clasificacion],"sin_clasificar"))</f>
        <v/>
      </c>
      <c r="U1021" s="3">
        <f>IF(tblOrdenes[[#This Row],[centro_costo]]="","",_xlfn.XLOOKUP(tblOrdenes[[#This Row],[centro_costo]],tblCECO[codigo],tblCECO[linea],"(sin catálogo)"))</f>
        <v/>
      </c>
      <c r="V1021" s="3">
        <f>IF(tblOrdenes[[#This Row],[centro_costo]]="","",_xlfn.XLOOKUP(tblOrdenes[[#This Row],[centro_costo]],tblCECO[codigo],tblCECO[area],"(sin catálogo)"))</f>
        <v/>
      </c>
      <c r="W10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1" s="3">
        <f>IF(tblOrdenes[[#This Row],[centro_costo]]="","",_xlfn.XLOOKUP(tblOrdenes[[#This Row],[centro_costo]],tblCECO[codigo],tblCECO[coordinador],"(sin catálogo)"))</f>
        <v/>
      </c>
      <c r="Y1021" s="3">
        <f>IF(tblOrdenes[[#This Row],[puesto_trabajo]]="","",_xlfn.XLOOKUP(tblOrdenes[[#This Row],[puesto_trabajo]],tblPuestos[codigo],tblPuestos[especialidad],"(sin catálogo)"))</f>
        <v/>
      </c>
      <c r="Z1021" s="3">
        <f>IF(tblOrdenes[[#This Row],[cod_actividad]]="","",_xlfn.XLOOKUP(tblOrdenes[[#This Row],[cod_actividad]],tblActividades[codigo],tblActividades[descripcion],"(sin catálogo)"))</f>
        <v/>
      </c>
      <c r="AA1021" s="13">
        <f>IF(tblOrdenes[[#This Row],[fecha_inicio]]="","",TODAY()-tblOrdenes[[#This Row],[fecha_inicio]])</f>
        <v/>
      </c>
      <c r="AB10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1" s="3">
        <f>IF(tblOrdenes[[#This Row],[backlog_habiles]]="","",IF(tblOrdenes[[#This Row],[backlog_habiles]]&lt;0,"FUTURO",IF(tblOrdenes[[#This Row],[backlog_habiles]]&gt;p_dias_backlog_max,"BACKLOG","MES CORRIENTE")))</f>
        <v/>
      </c>
      <c r="AD1021" s="3">
        <f>IF(tblOrdenes[[#This Row],[backlog_habiles]]="",FALSE,AND(tblOrdenes[[#This Row],[backlog_habiles]]&gt;p_dias_backlog_min,tblOrdenes[[#This Row],[backlog_habiles]]&lt;=p_dias_backlog_max))</f>
        <v/>
      </c>
      <c r="AE1021" s="6" t="n"/>
      <c r="AF10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1" s="11">
        <f>IF(tblOrdenes[[#This Row],[orden]]="","",_xlfn.XLOOKUP(tblOrdenes[[#This Row],[id_operacion]],tblEjecucion[id_operacion],tblEjecucion[precio],0))</f>
        <v/>
      </c>
      <c r="AJ1021" s="11">
        <f>IF(tblOrdenes[[#This Row],[orden]]="","",MAX(0,_xlfn.XLOOKUP(tblOrdenes[[#This Row],[id_operacion]],tblEjecucion[id_operacion],tblEjecucion[costo_plan_total],0)-tblOrdenes[[#This Row],[costo_servicio]]))</f>
        <v/>
      </c>
      <c r="AK1021" s="11">
        <f>IF(tblOrdenes[[#This Row],[orden]]="","",tblOrdenes[[#This Row],[costo_servicio]]+tblOrdenes[[#This Row],[costo_materiales]])</f>
        <v/>
      </c>
      <c r="AL1021" s="6" t="n"/>
      <c r="AM1021" s="6" t="n"/>
      <c r="AN1021" s="6" t="n"/>
      <c r="AO1021" s="3">
        <f>IF(tblOrdenes[[#This Row],[link_checklist]]="","",HYPERLINK(p_ruta_base_checklists&amp;tblOrdenes[[#This Row],[link_checklist]],"abrir"))</f>
        <v/>
      </c>
      <c r="AP1021" s="6" t="n"/>
      <c r="AQ1021" s="3">
        <f>IF(tblOrdenes[[#This Row],[orden]]="","",tblOrdenes[[#This Row],[orden]]&amp;IF(tblOrdenes[[#This Row],[operacion]]="","0010",tblOrdenes[[#This Row],[operacion]]))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2" t="n"/>
      <c r="K1022" s="3" t="n"/>
      <c r="L1022" s="11" t="n"/>
      <c r="M10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2" s="3">
        <f>IF(tblOrdenes[[#This Row],[fecha_inicio]]="","",YEAR(tblOrdenes[[#This Row],[fecha_inicio]]))</f>
        <v/>
      </c>
      <c r="Q1022" s="3">
        <f>IF(tblOrdenes[[#This Row],[fecha_inicio]]="","",MONTH(tblOrdenes[[#This Row],[fecha_inicio]]))</f>
        <v/>
      </c>
      <c r="R1022" s="3">
        <f>IF(tblOrdenes[[#This Row],[fecha_inicio]]="","",INDEX(lista_dias,WEEKDAY(tblOrdenes[[#This Row],[fecha_inicio]],2)))</f>
        <v/>
      </c>
      <c r="S10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2" s="3">
        <f>IF(tblOrdenes[[#This Row],[tipo_ot]]="","",_xlfn.XLOOKUP(tblOrdenes[[#This Row],[tipo_ot]],tblTiposOT[codigo],tblTiposOT[clasificacion],"sin_clasificar"))</f>
        <v/>
      </c>
      <c r="U1022" s="3">
        <f>IF(tblOrdenes[[#This Row],[centro_costo]]="","",_xlfn.XLOOKUP(tblOrdenes[[#This Row],[centro_costo]],tblCECO[codigo],tblCECO[linea],"(sin catálogo)"))</f>
        <v/>
      </c>
      <c r="V1022" s="3">
        <f>IF(tblOrdenes[[#This Row],[centro_costo]]="","",_xlfn.XLOOKUP(tblOrdenes[[#This Row],[centro_costo]],tblCECO[codigo],tblCECO[area],"(sin catálogo)"))</f>
        <v/>
      </c>
      <c r="W10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2" s="3">
        <f>IF(tblOrdenes[[#This Row],[centro_costo]]="","",_xlfn.XLOOKUP(tblOrdenes[[#This Row],[centro_costo]],tblCECO[codigo],tblCECO[coordinador],"(sin catálogo)"))</f>
        <v/>
      </c>
      <c r="Y1022" s="3">
        <f>IF(tblOrdenes[[#This Row],[puesto_trabajo]]="","",_xlfn.XLOOKUP(tblOrdenes[[#This Row],[puesto_trabajo]],tblPuestos[codigo],tblPuestos[especialidad],"(sin catálogo)"))</f>
        <v/>
      </c>
      <c r="Z1022" s="3">
        <f>IF(tblOrdenes[[#This Row],[cod_actividad]]="","",_xlfn.XLOOKUP(tblOrdenes[[#This Row],[cod_actividad]],tblActividades[codigo],tblActividades[descripcion],"(sin catálogo)"))</f>
        <v/>
      </c>
      <c r="AA1022" s="13">
        <f>IF(tblOrdenes[[#This Row],[fecha_inicio]]="","",TODAY()-tblOrdenes[[#This Row],[fecha_inicio]])</f>
        <v/>
      </c>
      <c r="AB10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2" s="3">
        <f>IF(tblOrdenes[[#This Row],[backlog_habiles]]="","",IF(tblOrdenes[[#This Row],[backlog_habiles]]&lt;0,"FUTURO",IF(tblOrdenes[[#This Row],[backlog_habiles]]&gt;p_dias_backlog_max,"BACKLOG","MES CORRIENTE")))</f>
        <v/>
      </c>
      <c r="AD1022" s="3">
        <f>IF(tblOrdenes[[#This Row],[backlog_habiles]]="",FALSE,AND(tblOrdenes[[#This Row],[backlog_habiles]]&gt;p_dias_backlog_min,tblOrdenes[[#This Row],[backlog_habiles]]&lt;=p_dias_backlog_max))</f>
        <v/>
      </c>
      <c r="AE1022" s="6" t="n"/>
      <c r="AF10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2" s="11">
        <f>IF(tblOrdenes[[#This Row],[orden]]="","",_xlfn.XLOOKUP(tblOrdenes[[#This Row],[id_operacion]],tblEjecucion[id_operacion],tblEjecucion[precio],0))</f>
        <v/>
      </c>
      <c r="AJ1022" s="11">
        <f>IF(tblOrdenes[[#This Row],[orden]]="","",MAX(0,_xlfn.XLOOKUP(tblOrdenes[[#This Row],[id_operacion]],tblEjecucion[id_operacion],tblEjecucion[costo_plan_total],0)-tblOrdenes[[#This Row],[costo_servicio]]))</f>
        <v/>
      </c>
      <c r="AK1022" s="11">
        <f>IF(tblOrdenes[[#This Row],[orden]]="","",tblOrdenes[[#This Row],[costo_servicio]]+tblOrdenes[[#This Row],[costo_materiales]])</f>
        <v/>
      </c>
      <c r="AL1022" s="6" t="n"/>
      <c r="AM1022" s="6" t="n"/>
      <c r="AN1022" s="6" t="n"/>
      <c r="AO1022" s="3">
        <f>IF(tblOrdenes[[#This Row],[link_checklist]]="","",HYPERLINK(p_ruta_base_checklists&amp;tblOrdenes[[#This Row],[link_checklist]],"abrir"))</f>
        <v/>
      </c>
      <c r="AP1022" s="6" t="n"/>
      <c r="AQ1022" s="3">
        <f>IF(tblOrdenes[[#This Row],[orden]]="","",tblOrdenes[[#This Row],[orden]]&amp;IF(tblOrdenes[[#This Row],[operacion]]="","0010",tblOrdenes[[#This Row],[operacion]]))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2" t="n"/>
      <c r="K1023" s="3" t="n"/>
      <c r="L1023" s="11" t="n"/>
      <c r="M10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3" s="3">
        <f>IF(tblOrdenes[[#This Row],[fecha_inicio]]="","",YEAR(tblOrdenes[[#This Row],[fecha_inicio]]))</f>
        <v/>
      </c>
      <c r="Q1023" s="3">
        <f>IF(tblOrdenes[[#This Row],[fecha_inicio]]="","",MONTH(tblOrdenes[[#This Row],[fecha_inicio]]))</f>
        <v/>
      </c>
      <c r="R1023" s="3">
        <f>IF(tblOrdenes[[#This Row],[fecha_inicio]]="","",INDEX(lista_dias,WEEKDAY(tblOrdenes[[#This Row],[fecha_inicio]],2)))</f>
        <v/>
      </c>
      <c r="S10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3" s="3">
        <f>IF(tblOrdenes[[#This Row],[tipo_ot]]="","",_xlfn.XLOOKUP(tblOrdenes[[#This Row],[tipo_ot]],tblTiposOT[codigo],tblTiposOT[clasificacion],"sin_clasificar"))</f>
        <v/>
      </c>
      <c r="U1023" s="3">
        <f>IF(tblOrdenes[[#This Row],[centro_costo]]="","",_xlfn.XLOOKUP(tblOrdenes[[#This Row],[centro_costo]],tblCECO[codigo],tblCECO[linea],"(sin catálogo)"))</f>
        <v/>
      </c>
      <c r="V1023" s="3">
        <f>IF(tblOrdenes[[#This Row],[centro_costo]]="","",_xlfn.XLOOKUP(tblOrdenes[[#This Row],[centro_costo]],tblCECO[codigo],tblCECO[area],"(sin catálogo)"))</f>
        <v/>
      </c>
      <c r="W10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3" s="3">
        <f>IF(tblOrdenes[[#This Row],[centro_costo]]="","",_xlfn.XLOOKUP(tblOrdenes[[#This Row],[centro_costo]],tblCECO[codigo],tblCECO[coordinador],"(sin catálogo)"))</f>
        <v/>
      </c>
      <c r="Y1023" s="3">
        <f>IF(tblOrdenes[[#This Row],[puesto_trabajo]]="","",_xlfn.XLOOKUP(tblOrdenes[[#This Row],[puesto_trabajo]],tblPuestos[codigo],tblPuestos[especialidad],"(sin catálogo)"))</f>
        <v/>
      </c>
      <c r="Z1023" s="3">
        <f>IF(tblOrdenes[[#This Row],[cod_actividad]]="","",_xlfn.XLOOKUP(tblOrdenes[[#This Row],[cod_actividad]],tblActividades[codigo],tblActividades[descripcion],"(sin catálogo)"))</f>
        <v/>
      </c>
      <c r="AA1023" s="13">
        <f>IF(tblOrdenes[[#This Row],[fecha_inicio]]="","",TODAY()-tblOrdenes[[#This Row],[fecha_inicio]])</f>
        <v/>
      </c>
      <c r="AB10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3" s="3">
        <f>IF(tblOrdenes[[#This Row],[backlog_habiles]]="","",IF(tblOrdenes[[#This Row],[backlog_habiles]]&lt;0,"FUTURO",IF(tblOrdenes[[#This Row],[backlog_habiles]]&gt;p_dias_backlog_max,"BACKLOG","MES CORRIENTE")))</f>
        <v/>
      </c>
      <c r="AD1023" s="3">
        <f>IF(tblOrdenes[[#This Row],[backlog_habiles]]="",FALSE,AND(tblOrdenes[[#This Row],[backlog_habiles]]&gt;p_dias_backlog_min,tblOrdenes[[#This Row],[backlog_habiles]]&lt;=p_dias_backlog_max))</f>
        <v/>
      </c>
      <c r="AE1023" s="6" t="n"/>
      <c r="AF10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3" s="11">
        <f>IF(tblOrdenes[[#This Row],[orden]]="","",_xlfn.XLOOKUP(tblOrdenes[[#This Row],[id_operacion]],tblEjecucion[id_operacion],tblEjecucion[precio],0))</f>
        <v/>
      </c>
      <c r="AJ1023" s="11">
        <f>IF(tblOrdenes[[#This Row],[orden]]="","",MAX(0,_xlfn.XLOOKUP(tblOrdenes[[#This Row],[id_operacion]],tblEjecucion[id_operacion],tblEjecucion[costo_plan_total],0)-tblOrdenes[[#This Row],[costo_servicio]]))</f>
        <v/>
      </c>
      <c r="AK1023" s="11">
        <f>IF(tblOrdenes[[#This Row],[orden]]="","",tblOrdenes[[#This Row],[costo_servicio]]+tblOrdenes[[#This Row],[costo_materiales]])</f>
        <v/>
      </c>
      <c r="AL1023" s="6" t="n"/>
      <c r="AM1023" s="6" t="n"/>
      <c r="AN1023" s="6" t="n"/>
      <c r="AO1023" s="3">
        <f>IF(tblOrdenes[[#This Row],[link_checklist]]="","",HYPERLINK(p_ruta_base_checklists&amp;tblOrdenes[[#This Row],[link_checklist]],"abrir"))</f>
        <v/>
      </c>
      <c r="AP1023" s="6" t="n"/>
      <c r="AQ1023" s="3">
        <f>IF(tblOrdenes[[#This Row],[orden]]="","",tblOrdenes[[#This Row],[orden]]&amp;IF(tblOrdenes[[#This Row],[operacion]]="","0010",tblOrdenes[[#This Row],[operacion]]))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2" t="n"/>
      <c r="K1024" s="3" t="n"/>
      <c r="L1024" s="11" t="n"/>
      <c r="M10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4" s="3">
        <f>IF(tblOrdenes[[#This Row],[fecha_inicio]]="","",YEAR(tblOrdenes[[#This Row],[fecha_inicio]]))</f>
        <v/>
      </c>
      <c r="Q1024" s="3">
        <f>IF(tblOrdenes[[#This Row],[fecha_inicio]]="","",MONTH(tblOrdenes[[#This Row],[fecha_inicio]]))</f>
        <v/>
      </c>
      <c r="R1024" s="3">
        <f>IF(tblOrdenes[[#This Row],[fecha_inicio]]="","",INDEX(lista_dias,WEEKDAY(tblOrdenes[[#This Row],[fecha_inicio]],2)))</f>
        <v/>
      </c>
      <c r="S10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4" s="3">
        <f>IF(tblOrdenes[[#This Row],[tipo_ot]]="","",_xlfn.XLOOKUP(tblOrdenes[[#This Row],[tipo_ot]],tblTiposOT[codigo],tblTiposOT[clasificacion],"sin_clasificar"))</f>
        <v/>
      </c>
      <c r="U1024" s="3">
        <f>IF(tblOrdenes[[#This Row],[centro_costo]]="","",_xlfn.XLOOKUP(tblOrdenes[[#This Row],[centro_costo]],tblCECO[codigo],tblCECO[linea],"(sin catálogo)"))</f>
        <v/>
      </c>
      <c r="V1024" s="3">
        <f>IF(tblOrdenes[[#This Row],[centro_costo]]="","",_xlfn.XLOOKUP(tblOrdenes[[#This Row],[centro_costo]],tblCECO[codigo],tblCECO[area],"(sin catálogo)"))</f>
        <v/>
      </c>
      <c r="W10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4" s="3">
        <f>IF(tblOrdenes[[#This Row],[centro_costo]]="","",_xlfn.XLOOKUP(tblOrdenes[[#This Row],[centro_costo]],tblCECO[codigo],tblCECO[coordinador],"(sin catálogo)"))</f>
        <v/>
      </c>
      <c r="Y1024" s="3">
        <f>IF(tblOrdenes[[#This Row],[puesto_trabajo]]="","",_xlfn.XLOOKUP(tblOrdenes[[#This Row],[puesto_trabajo]],tblPuestos[codigo],tblPuestos[especialidad],"(sin catálogo)"))</f>
        <v/>
      </c>
      <c r="Z1024" s="3">
        <f>IF(tblOrdenes[[#This Row],[cod_actividad]]="","",_xlfn.XLOOKUP(tblOrdenes[[#This Row],[cod_actividad]],tblActividades[codigo],tblActividades[descripcion],"(sin catálogo)"))</f>
        <v/>
      </c>
      <c r="AA1024" s="13">
        <f>IF(tblOrdenes[[#This Row],[fecha_inicio]]="","",TODAY()-tblOrdenes[[#This Row],[fecha_inicio]])</f>
        <v/>
      </c>
      <c r="AB10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4" s="3">
        <f>IF(tblOrdenes[[#This Row],[backlog_habiles]]="","",IF(tblOrdenes[[#This Row],[backlog_habiles]]&lt;0,"FUTURO",IF(tblOrdenes[[#This Row],[backlog_habiles]]&gt;p_dias_backlog_max,"BACKLOG","MES CORRIENTE")))</f>
        <v/>
      </c>
      <c r="AD1024" s="3">
        <f>IF(tblOrdenes[[#This Row],[backlog_habiles]]="",FALSE,AND(tblOrdenes[[#This Row],[backlog_habiles]]&gt;p_dias_backlog_min,tblOrdenes[[#This Row],[backlog_habiles]]&lt;=p_dias_backlog_max))</f>
        <v/>
      </c>
      <c r="AE1024" s="6" t="n"/>
      <c r="AF10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4" s="11">
        <f>IF(tblOrdenes[[#This Row],[orden]]="","",_xlfn.XLOOKUP(tblOrdenes[[#This Row],[id_operacion]],tblEjecucion[id_operacion],tblEjecucion[precio],0))</f>
        <v/>
      </c>
      <c r="AJ1024" s="11">
        <f>IF(tblOrdenes[[#This Row],[orden]]="","",MAX(0,_xlfn.XLOOKUP(tblOrdenes[[#This Row],[id_operacion]],tblEjecucion[id_operacion],tblEjecucion[costo_plan_total],0)-tblOrdenes[[#This Row],[costo_servicio]]))</f>
        <v/>
      </c>
      <c r="AK1024" s="11">
        <f>IF(tblOrdenes[[#This Row],[orden]]="","",tblOrdenes[[#This Row],[costo_servicio]]+tblOrdenes[[#This Row],[costo_materiales]])</f>
        <v/>
      </c>
      <c r="AL1024" s="6" t="n"/>
      <c r="AM1024" s="6" t="n"/>
      <c r="AN1024" s="6" t="n"/>
      <c r="AO1024" s="3">
        <f>IF(tblOrdenes[[#This Row],[link_checklist]]="","",HYPERLINK(p_ruta_base_checklists&amp;tblOrdenes[[#This Row],[link_checklist]],"abrir"))</f>
        <v/>
      </c>
      <c r="AP1024" s="6" t="n"/>
      <c r="AQ1024" s="3">
        <f>IF(tblOrdenes[[#This Row],[orden]]="","",tblOrdenes[[#This Row],[orden]]&amp;IF(tblOrdenes[[#This Row],[operacion]]="","0010",tblOrdenes[[#This Row],[operacion]]))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2" t="n"/>
      <c r="K1025" s="3" t="n"/>
      <c r="L1025" s="11" t="n"/>
      <c r="M10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5" s="3">
        <f>IF(tblOrdenes[[#This Row],[fecha_inicio]]="","",YEAR(tblOrdenes[[#This Row],[fecha_inicio]]))</f>
        <v/>
      </c>
      <c r="Q1025" s="3">
        <f>IF(tblOrdenes[[#This Row],[fecha_inicio]]="","",MONTH(tblOrdenes[[#This Row],[fecha_inicio]]))</f>
        <v/>
      </c>
      <c r="R1025" s="3">
        <f>IF(tblOrdenes[[#This Row],[fecha_inicio]]="","",INDEX(lista_dias,WEEKDAY(tblOrdenes[[#This Row],[fecha_inicio]],2)))</f>
        <v/>
      </c>
      <c r="S10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5" s="3">
        <f>IF(tblOrdenes[[#This Row],[tipo_ot]]="","",_xlfn.XLOOKUP(tblOrdenes[[#This Row],[tipo_ot]],tblTiposOT[codigo],tblTiposOT[clasificacion],"sin_clasificar"))</f>
        <v/>
      </c>
      <c r="U1025" s="3">
        <f>IF(tblOrdenes[[#This Row],[centro_costo]]="","",_xlfn.XLOOKUP(tblOrdenes[[#This Row],[centro_costo]],tblCECO[codigo],tblCECO[linea],"(sin catálogo)"))</f>
        <v/>
      </c>
      <c r="V1025" s="3">
        <f>IF(tblOrdenes[[#This Row],[centro_costo]]="","",_xlfn.XLOOKUP(tblOrdenes[[#This Row],[centro_costo]],tblCECO[codigo],tblCECO[area],"(sin catálogo)"))</f>
        <v/>
      </c>
      <c r="W10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5" s="3">
        <f>IF(tblOrdenes[[#This Row],[centro_costo]]="","",_xlfn.XLOOKUP(tblOrdenes[[#This Row],[centro_costo]],tblCECO[codigo],tblCECO[coordinador],"(sin catálogo)"))</f>
        <v/>
      </c>
      <c r="Y1025" s="3">
        <f>IF(tblOrdenes[[#This Row],[puesto_trabajo]]="","",_xlfn.XLOOKUP(tblOrdenes[[#This Row],[puesto_trabajo]],tblPuestos[codigo],tblPuestos[especialidad],"(sin catálogo)"))</f>
        <v/>
      </c>
      <c r="Z1025" s="3">
        <f>IF(tblOrdenes[[#This Row],[cod_actividad]]="","",_xlfn.XLOOKUP(tblOrdenes[[#This Row],[cod_actividad]],tblActividades[codigo],tblActividades[descripcion],"(sin catálogo)"))</f>
        <v/>
      </c>
      <c r="AA1025" s="13">
        <f>IF(tblOrdenes[[#This Row],[fecha_inicio]]="","",TODAY()-tblOrdenes[[#This Row],[fecha_inicio]])</f>
        <v/>
      </c>
      <c r="AB10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5" s="3">
        <f>IF(tblOrdenes[[#This Row],[backlog_habiles]]="","",IF(tblOrdenes[[#This Row],[backlog_habiles]]&lt;0,"FUTURO",IF(tblOrdenes[[#This Row],[backlog_habiles]]&gt;p_dias_backlog_max,"BACKLOG","MES CORRIENTE")))</f>
        <v/>
      </c>
      <c r="AD1025" s="3">
        <f>IF(tblOrdenes[[#This Row],[backlog_habiles]]="",FALSE,AND(tblOrdenes[[#This Row],[backlog_habiles]]&gt;p_dias_backlog_min,tblOrdenes[[#This Row],[backlog_habiles]]&lt;=p_dias_backlog_max))</f>
        <v/>
      </c>
      <c r="AE1025" s="6" t="n"/>
      <c r="AF10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5" s="11">
        <f>IF(tblOrdenes[[#This Row],[orden]]="","",_xlfn.XLOOKUP(tblOrdenes[[#This Row],[id_operacion]],tblEjecucion[id_operacion],tblEjecucion[precio],0))</f>
        <v/>
      </c>
      <c r="AJ1025" s="11">
        <f>IF(tblOrdenes[[#This Row],[orden]]="","",MAX(0,_xlfn.XLOOKUP(tblOrdenes[[#This Row],[id_operacion]],tblEjecucion[id_operacion],tblEjecucion[costo_plan_total],0)-tblOrdenes[[#This Row],[costo_servicio]]))</f>
        <v/>
      </c>
      <c r="AK1025" s="11">
        <f>IF(tblOrdenes[[#This Row],[orden]]="","",tblOrdenes[[#This Row],[costo_servicio]]+tblOrdenes[[#This Row],[costo_materiales]])</f>
        <v/>
      </c>
      <c r="AL1025" s="6" t="n"/>
      <c r="AM1025" s="6" t="n"/>
      <c r="AN1025" s="6" t="n"/>
      <c r="AO1025" s="3">
        <f>IF(tblOrdenes[[#This Row],[link_checklist]]="","",HYPERLINK(p_ruta_base_checklists&amp;tblOrdenes[[#This Row],[link_checklist]],"abrir"))</f>
        <v/>
      </c>
      <c r="AP1025" s="6" t="n"/>
      <c r="AQ1025" s="3">
        <f>IF(tblOrdenes[[#This Row],[orden]]="","",tblOrdenes[[#This Row],[orden]]&amp;IF(tblOrdenes[[#This Row],[operacion]]="","0010",tblOrdenes[[#This Row],[operacion]]))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2" t="n"/>
      <c r="K1026" s="3" t="n"/>
      <c r="L1026" s="11" t="n"/>
      <c r="M10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6" s="3">
        <f>IF(tblOrdenes[[#This Row],[fecha_inicio]]="","",YEAR(tblOrdenes[[#This Row],[fecha_inicio]]))</f>
        <v/>
      </c>
      <c r="Q1026" s="3">
        <f>IF(tblOrdenes[[#This Row],[fecha_inicio]]="","",MONTH(tblOrdenes[[#This Row],[fecha_inicio]]))</f>
        <v/>
      </c>
      <c r="R1026" s="3">
        <f>IF(tblOrdenes[[#This Row],[fecha_inicio]]="","",INDEX(lista_dias,WEEKDAY(tblOrdenes[[#This Row],[fecha_inicio]],2)))</f>
        <v/>
      </c>
      <c r="S10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6" s="3">
        <f>IF(tblOrdenes[[#This Row],[tipo_ot]]="","",_xlfn.XLOOKUP(tblOrdenes[[#This Row],[tipo_ot]],tblTiposOT[codigo],tblTiposOT[clasificacion],"sin_clasificar"))</f>
        <v/>
      </c>
      <c r="U1026" s="3">
        <f>IF(tblOrdenes[[#This Row],[centro_costo]]="","",_xlfn.XLOOKUP(tblOrdenes[[#This Row],[centro_costo]],tblCECO[codigo],tblCECO[linea],"(sin catálogo)"))</f>
        <v/>
      </c>
      <c r="V1026" s="3">
        <f>IF(tblOrdenes[[#This Row],[centro_costo]]="","",_xlfn.XLOOKUP(tblOrdenes[[#This Row],[centro_costo]],tblCECO[codigo],tblCECO[area],"(sin catálogo)"))</f>
        <v/>
      </c>
      <c r="W10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6" s="3">
        <f>IF(tblOrdenes[[#This Row],[centro_costo]]="","",_xlfn.XLOOKUP(tblOrdenes[[#This Row],[centro_costo]],tblCECO[codigo],tblCECO[coordinador],"(sin catálogo)"))</f>
        <v/>
      </c>
      <c r="Y1026" s="3">
        <f>IF(tblOrdenes[[#This Row],[puesto_trabajo]]="","",_xlfn.XLOOKUP(tblOrdenes[[#This Row],[puesto_trabajo]],tblPuestos[codigo],tblPuestos[especialidad],"(sin catálogo)"))</f>
        <v/>
      </c>
      <c r="Z1026" s="3">
        <f>IF(tblOrdenes[[#This Row],[cod_actividad]]="","",_xlfn.XLOOKUP(tblOrdenes[[#This Row],[cod_actividad]],tblActividades[codigo],tblActividades[descripcion],"(sin catálogo)"))</f>
        <v/>
      </c>
      <c r="AA1026" s="13">
        <f>IF(tblOrdenes[[#This Row],[fecha_inicio]]="","",TODAY()-tblOrdenes[[#This Row],[fecha_inicio]])</f>
        <v/>
      </c>
      <c r="AB10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6" s="3">
        <f>IF(tblOrdenes[[#This Row],[backlog_habiles]]="","",IF(tblOrdenes[[#This Row],[backlog_habiles]]&lt;0,"FUTURO",IF(tblOrdenes[[#This Row],[backlog_habiles]]&gt;p_dias_backlog_max,"BACKLOG","MES CORRIENTE")))</f>
        <v/>
      </c>
      <c r="AD1026" s="3">
        <f>IF(tblOrdenes[[#This Row],[backlog_habiles]]="",FALSE,AND(tblOrdenes[[#This Row],[backlog_habiles]]&gt;p_dias_backlog_min,tblOrdenes[[#This Row],[backlog_habiles]]&lt;=p_dias_backlog_max))</f>
        <v/>
      </c>
      <c r="AE1026" s="6" t="n"/>
      <c r="AF10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6" s="11">
        <f>IF(tblOrdenes[[#This Row],[orden]]="","",_xlfn.XLOOKUP(tblOrdenes[[#This Row],[id_operacion]],tblEjecucion[id_operacion],tblEjecucion[precio],0))</f>
        <v/>
      </c>
      <c r="AJ1026" s="11">
        <f>IF(tblOrdenes[[#This Row],[orden]]="","",MAX(0,_xlfn.XLOOKUP(tblOrdenes[[#This Row],[id_operacion]],tblEjecucion[id_operacion],tblEjecucion[costo_plan_total],0)-tblOrdenes[[#This Row],[costo_servicio]]))</f>
        <v/>
      </c>
      <c r="AK1026" s="11">
        <f>IF(tblOrdenes[[#This Row],[orden]]="","",tblOrdenes[[#This Row],[costo_servicio]]+tblOrdenes[[#This Row],[costo_materiales]])</f>
        <v/>
      </c>
      <c r="AL1026" s="6" t="n"/>
      <c r="AM1026" s="6" t="n"/>
      <c r="AN1026" s="6" t="n"/>
      <c r="AO1026" s="3">
        <f>IF(tblOrdenes[[#This Row],[link_checklist]]="","",HYPERLINK(p_ruta_base_checklists&amp;tblOrdenes[[#This Row],[link_checklist]],"abrir"))</f>
        <v/>
      </c>
      <c r="AP1026" s="6" t="n"/>
      <c r="AQ1026" s="3">
        <f>IF(tblOrdenes[[#This Row],[orden]]="","",tblOrdenes[[#This Row],[orden]]&amp;IF(tblOrdenes[[#This Row],[operacion]]="","0010",tblOrdenes[[#This Row],[operacion]]))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2" t="n"/>
      <c r="K1027" s="3" t="n"/>
      <c r="L1027" s="11" t="n"/>
      <c r="M10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7" s="3">
        <f>IF(tblOrdenes[[#This Row],[fecha_inicio]]="","",YEAR(tblOrdenes[[#This Row],[fecha_inicio]]))</f>
        <v/>
      </c>
      <c r="Q1027" s="3">
        <f>IF(tblOrdenes[[#This Row],[fecha_inicio]]="","",MONTH(tblOrdenes[[#This Row],[fecha_inicio]]))</f>
        <v/>
      </c>
      <c r="R1027" s="3">
        <f>IF(tblOrdenes[[#This Row],[fecha_inicio]]="","",INDEX(lista_dias,WEEKDAY(tblOrdenes[[#This Row],[fecha_inicio]],2)))</f>
        <v/>
      </c>
      <c r="S10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7" s="3">
        <f>IF(tblOrdenes[[#This Row],[tipo_ot]]="","",_xlfn.XLOOKUP(tblOrdenes[[#This Row],[tipo_ot]],tblTiposOT[codigo],tblTiposOT[clasificacion],"sin_clasificar"))</f>
        <v/>
      </c>
      <c r="U1027" s="3">
        <f>IF(tblOrdenes[[#This Row],[centro_costo]]="","",_xlfn.XLOOKUP(tblOrdenes[[#This Row],[centro_costo]],tblCECO[codigo],tblCECO[linea],"(sin catálogo)"))</f>
        <v/>
      </c>
      <c r="V1027" s="3">
        <f>IF(tblOrdenes[[#This Row],[centro_costo]]="","",_xlfn.XLOOKUP(tblOrdenes[[#This Row],[centro_costo]],tblCECO[codigo],tblCECO[area],"(sin catálogo)"))</f>
        <v/>
      </c>
      <c r="W10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7" s="3">
        <f>IF(tblOrdenes[[#This Row],[centro_costo]]="","",_xlfn.XLOOKUP(tblOrdenes[[#This Row],[centro_costo]],tblCECO[codigo],tblCECO[coordinador],"(sin catálogo)"))</f>
        <v/>
      </c>
      <c r="Y1027" s="3">
        <f>IF(tblOrdenes[[#This Row],[puesto_trabajo]]="","",_xlfn.XLOOKUP(tblOrdenes[[#This Row],[puesto_trabajo]],tblPuestos[codigo],tblPuestos[especialidad],"(sin catálogo)"))</f>
        <v/>
      </c>
      <c r="Z1027" s="3">
        <f>IF(tblOrdenes[[#This Row],[cod_actividad]]="","",_xlfn.XLOOKUP(tblOrdenes[[#This Row],[cod_actividad]],tblActividades[codigo],tblActividades[descripcion],"(sin catálogo)"))</f>
        <v/>
      </c>
      <c r="AA1027" s="13">
        <f>IF(tblOrdenes[[#This Row],[fecha_inicio]]="","",TODAY()-tblOrdenes[[#This Row],[fecha_inicio]])</f>
        <v/>
      </c>
      <c r="AB10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7" s="3">
        <f>IF(tblOrdenes[[#This Row],[backlog_habiles]]="","",IF(tblOrdenes[[#This Row],[backlog_habiles]]&lt;0,"FUTURO",IF(tblOrdenes[[#This Row],[backlog_habiles]]&gt;p_dias_backlog_max,"BACKLOG","MES CORRIENTE")))</f>
        <v/>
      </c>
      <c r="AD1027" s="3">
        <f>IF(tblOrdenes[[#This Row],[backlog_habiles]]="",FALSE,AND(tblOrdenes[[#This Row],[backlog_habiles]]&gt;p_dias_backlog_min,tblOrdenes[[#This Row],[backlog_habiles]]&lt;=p_dias_backlog_max))</f>
        <v/>
      </c>
      <c r="AE1027" s="6" t="n"/>
      <c r="AF10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7" s="11">
        <f>IF(tblOrdenes[[#This Row],[orden]]="","",_xlfn.XLOOKUP(tblOrdenes[[#This Row],[id_operacion]],tblEjecucion[id_operacion],tblEjecucion[precio],0))</f>
        <v/>
      </c>
      <c r="AJ1027" s="11">
        <f>IF(tblOrdenes[[#This Row],[orden]]="","",MAX(0,_xlfn.XLOOKUP(tblOrdenes[[#This Row],[id_operacion]],tblEjecucion[id_operacion],tblEjecucion[costo_plan_total],0)-tblOrdenes[[#This Row],[costo_servicio]]))</f>
        <v/>
      </c>
      <c r="AK1027" s="11">
        <f>IF(tblOrdenes[[#This Row],[orden]]="","",tblOrdenes[[#This Row],[costo_servicio]]+tblOrdenes[[#This Row],[costo_materiales]])</f>
        <v/>
      </c>
      <c r="AL1027" s="6" t="n"/>
      <c r="AM1027" s="6" t="n"/>
      <c r="AN1027" s="6" t="n"/>
      <c r="AO1027" s="3">
        <f>IF(tblOrdenes[[#This Row],[link_checklist]]="","",HYPERLINK(p_ruta_base_checklists&amp;tblOrdenes[[#This Row],[link_checklist]],"abrir"))</f>
        <v/>
      </c>
      <c r="AP1027" s="6" t="n"/>
      <c r="AQ1027" s="3">
        <f>IF(tblOrdenes[[#This Row],[orden]]="","",tblOrdenes[[#This Row],[orden]]&amp;IF(tblOrdenes[[#This Row],[operacion]]="","0010",tblOrdenes[[#This Row],[operacion]]))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2" t="n"/>
      <c r="K1028" s="3" t="n"/>
      <c r="L1028" s="11" t="n"/>
      <c r="M10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8" s="3">
        <f>IF(tblOrdenes[[#This Row],[fecha_inicio]]="","",YEAR(tblOrdenes[[#This Row],[fecha_inicio]]))</f>
        <v/>
      </c>
      <c r="Q1028" s="3">
        <f>IF(tblOrdenes[[#This Row],[fecha_inicio]]="","",MONTH(tblOrdenes[[#This Row],[fecha_inicio]]))</f>
        <v/>
      </c>
      <c r="R1028" s="3">
        <f>IF(tblOrdenes[[#This Row],[fecha_inicio]]="","",INDEX(lista_dias,WEEKDAY(tblOrdenes[[#This Row],[fecha_inicio]],2)))</f>
        <v/>
      </c>
      <c r="S10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8" s="3">
        <f>IF(tblOrdenes[[#This Row],[tipo_ot]]="","",_xlfn.XLOOKUP(tblOrdenes[[#This Row],[tipo_ot]],tblTiposOT[codigo],tblTiposOT[clasificacion],"sin_clasificar"))</f>
        <v/>
      </c>
      <c r="U1028" s="3">
        <f>IF(tblOrdenes[[#This Row],[centro_costo]]="","",_xlfn.XLOOKUP(tblOrdenes[[#This Row],[centro_costo]],tblCECO[codigo],tblCECO[linea],"(sin catálogo)"))</f>
        <v/>
      </c>
      <c r="V1028" s="3">
        <f>IF(tblOrdenes[[#This Row],[centro_costo]]="","",_xlfn.XLOOKUP(tblOrdenes[[#This Row],[centro_costo]],tblCECO[codigo],tblCECO[area],"(sin catálogo)"))</f>
        <v/>
      </c>
      <c r="W10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8" s="3">
        <f>IF(tblOrdenes[[#This Row],[centro_costo]]="","",_xlfn.XLOOKUP(tblOrdenes[[#This Row],[centro_costo]],tblCECO[codigo],tblCECO[coordinador],"(sin catálogo)"))</f>
        <v/>
      </c>
      <c r="Y1028" s="3">
        <f>IF(tblOrdenes[[#This Row],[puesto_trabajo]]="","",_xlfn.XLOOKUP(tblOrdenes[[#This Row],[puesto_trabajo]],tblPuestos[codigo],tblPuestos[especialidad],"(sin catálogo)"))</f>
        <v/>
      </c>
      <c r="Z1028" s="3">
        <f>IF(tblOrdenes[[#This Row],[cod_actividad]]="","",_xlfn.XLOOKUP(tblOrdenes[[#This Row],[cod_actividad]],tblActividades[codigo],tblActividades[descripcion],"(sin catálogo)"))</f>
        <v/>
      </c>
      <c r="AA1028" s="13">
        <f>IF(tblOrdenes[[#This Row],[fecha_inicio]]="","",TODAY()-tblOrdenes[[#This Row],[fecha_inicio]])</f>
        <v/>
      </c>
      <c r="AB10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8" s="3">
        <f>IF(tblOrdenes[[#This Row],[backlog_habiles]]="","",IF(tblOrdenes[[#This Row],[backlog_habiles]]&lt;0,"FUTURO",IF(tblOrdenes[[#This Row],[backlog_habiles]]&gt;p_dias_backlog_max,"BACKLOG","MES CORRIENTE")))</f>
        <v/>
      </c>
      <c r="AD1028" s="3">
        <f>IF(tblOrdenes[[#This Row],[backlog_habiles]]="",FALSE,AND(tblOrdenes[[#This Row],[backlog_habiles]]&gt;p_dias_backlog_min,tblOrdenes[[#This Row],[backlog_habiles]]&lt;=p_dias_backlog_max))</f>
        <v/>
      </c>
      <c r="AE1028" s="6" t="n"/>
      <c r="AF10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8" s="11">
        <f>IF(tblOrdenes[[#This Row],[orden]]="","",_xlfn.XLOOKUP(tblOrdenes[[#This Row],[id_operacion]],tblEjecucion[id_operacion],tblEjecucion[precio],0))</f>
        <v/>
      </c>
      <c r="AJ1028" s="11">
        <f>IF(tblOrdenes[[#This Row],[orden]]="","",MAX(0,_xlfn.XLOOKUP(tblOrdenes[[#This Row],[id_operacion]],tblEjecucion[id_operacion],tblEjecucion[costo_plan_total],0)-tblOrdenes[[#This Row],[costo_servicio]]))</f>
        <v/>
      </c>
      <c r="AK1028" s="11">
        <f>IF(tblOrdenes[[#This Row],[orden]]="","",tblOrdenes[[#This Row],[costo_servicio]]+tblOrdenes[[#This Row],[costo_materiales]])</f>
        <v/>
      </c>
      <c r="AL1028" s="6" t="n"/>
      <c r="AM1028" s="6" t="n"/>
      <c r="AN1028" s="6" t="n"/>
      <c r="AO1028" s="3">
        <f>IF(tblOrdenes[[#This Row],[link_checklist]]="","",HYPERLINK(p_ruta_base_checklists&amp;tblOrdenes[[#This Row],[link_checklist]],"abrir"))</f>
        <v/>
      </c>
      <c r="AP1028" s="6" t="n"/>
      <c r="AQ1028" s="3">
        <f>IF(tblOrdenes[[#This Row],[orden]]="","",tblOrdenes[[#This Row],[orden]]&amp;IF(tblOrdenes[[#This Row],[operacion]]="","0010",tblOrdenes[[#This Row],[operacion]]))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2" t="n"/>
      <c r="K1029" s="3" t="n"/>
      <c r="L1029" s="11" t="n"/>
      <c r="M10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9" s="3">
        <f>IF(tblOrdenes[[#This Row],[fecha_inicio]]="","",YEAR(tblOrdenes[[#This Row],[fecha_inicio]]))</f>
        <v/>
      </c>
      <c r="Q1029" s="3">
        <f>IF(tblOrdenes[[#This Row],[fecha_inicio]]="","",MONTH(tblOrdenes[[#This Row],[fecha_inicio]]))</f>
        <v/>
      </c>
      <c r="R1029" s="3">
        <f>IF(tblOrdenes[[#This Row],[fecha_inicio]]="","",INDEX(lista_dias,WEEKDAY(tblOrdenes[[#This Row],[fecha_inicio]],2)))</f>
        <v/>
      </c>
      <c r="S10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9" s="3">
        <f>IF(tblOrdenes[[#This Row],[tipo_ot]]="","",_xlfn.XLOOKUP(tblOrdenes[[#This Row],[tipo_ot]],tblTiposOT[codigo],tblTiposOT[clasificacion],"sin_clasificar"))</f>
        <v/>
      </c>
      <c r="U1029" s="3">
        <f>IF(tblOrdenes[[#This Row],[centro_costo]]="","",_xlfn.XLOOKUP(tblOrdenes[[#This Row],[centro_costo]],tblCECO[codigo],tblCECO[linea],"(sin catálogo)"))</f>
        <v/>
      </c>
      <c r="V1029" s="3">
        <f>IF(tblOrdenes[[#This Row],[centro_costo]]="","",_xlfn.XLOOKUP(tblOrdenes[[#This Row],[centro_costo]],tblCECO[codigo],tblCECO[area],"(sin catálogo)"))</f>
        <v/>
      </c>
      <c r="W10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9" s="3">
        <f>IF(tblOrdenes[[#This Row],[centro_costo]]="","",_xlfn.XLOOKUP(tblOrdenes[[#This Row],[centro_costo]],tblCECO[codigo],tblCECO[coordinador],"(sin catálogo)"))</f>
        <v/>
      </c>
      <c r="Y1029" s="3">
        <f>IF(tblOrdenes[[#This Row],[puesto_trabajo]]="","",_xlfn.XLOOKUP(tblOrdenes[[#This Row],[puesto_trabajo]],tblPuestos[codigo],tblPuestos[especialidad],"(sin catálogo)"))</f>
        <v/>
      </c>
      <c r="Z1029" s="3">
        <f>IF(tblOrdenes[[#This Row],[cod_actividad]]="","",_xlfn.XLOOKUP(tblOrdenes[[#This Row],[cod_actividad]],tblActividades[codigo],tblActividades[descripcion],"(sin catálogo)"))</f>
        <v/>
      </c>
      <c r="AA1029" s="13">
        <f>IF(tblOrdenes[[#This Row],[fecha_inicio]]="","",TODAY()-tblOrdenes[[#This Row],[fecha_inicio]])</f>
        <v/>
      </c>
      <c r="AB10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9" s="3">
        <f>IF(tblOrdenes[[#This Row],[backlog_habiles]]="","",IF(tblOrdenes[[#This Row],[backlog_habiles]]&lt;0,"FUTURO",IF(tblOrdenes[[#This Row],[backlog_habiles]]&gt;p_dias_backlog_max,"BACKLOG","MES CORRIENTE")))</f>
        <v/>
      </c>
      <c r="AD1029" s="3">
        <f>IF(tblOrdenes[[#This Row],[backlog_habiles]]="",FALSE,AND(tblOrdenes[[#This Row],[backlog_habiles]]&gt;p_dias_backlog_min,tblOrdenes[[#This Row],[backlog_habiles]]&lt;=p_dias_backlog_max))</f>
        <v/>
      </c>
      <c r="AE1029" s="6" t="n"/>
      <c r="AF10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9" s="11">
        <f>IF(tblOrdenes[[#This Row],[orden]]="","",_xlfn.XLOOKUP(tblOrdenes[[#This Row],[id_operacion]],tblEjecucion[id_operacion],tblEjecucion[precio],0))</f>
        <v/>
      </c>
      <c r="AJ1029" s="11">
        <f>IF(tblOrdenes[[#This Row],[orden]]="","",MAX(0,_xlfn.XLOOKUP(tblOrdenes[[#This Row],[id_operacion]],tblEjecucion[id_operacion],tblEjecucion[costo_plan_total],0)-tblOrdenes[[#This Row],[costo_servicio]]))</f>
        <v/>
      </c>
      <c r="AK1029" s="11">
        <f>IF(tblOrdenes[[#This Row],[orden]]="","",tblOrdenes[[#This Row],[costo_servicio]]+tblOrdenes[[#This Row],[costo_materiales]])</f>
        <v/>
      </c>
      <c r="AL1029" s="6" t="n"/>
      <c r="AM1029" s="6" t="n"/>
      <c r="AN1029" s="6" t="n"/>
      <c r="AO1029" s="3">
        <f>IF(tblOrdenes[[#This Row],[link_checklist]]="","",HYPERLINK(p_ruta_base_checklists&amp;tblOrdenes[[#This Row],[link_checklist]],"abrir"))</f>
        <v/>
      </c>
      <c r="AP1029" s="6" t="n"/>
      <c r="AQ1029" s="3">
        <f>IF(tblOrdenes[[#This Row],[orden]]="","",tblOrdenes[[#This Row],[orden]]&amp;IF(tblOrdenes[[#This Row],[operacion]]="","0010",tblOrdenes[[#This Row],[operacion]]))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2" t="n"/>
      <c r="K1030" s="3" t="n"/>
      <c r="L1030" s="11" t="n"/>
      <c r="M10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0" s="3">
        <f>IF(tblOrdenes[[#This Row],[fecha_inicio]]="","",YEAR(tblOrdenes[[#This Row],[fecha_inicio]]))</f>
        <v/>
      </c>
      <c r="Q1030" s="3">
        <f>IF(tblOrdenes[[#This Row],[fecha_inicio]]="","",MONTH(tblOrdenes[[#This Row],[fecha_inicio]]))</f>
        <v/>
      </c>
      <c r="R1030" s="3">
        <f>IF(tblOrdenes[[#This Row],[fecha_inicio]]="","",INDEX(lista_dias,WEEKDAY(tblOrdenes[[#This Row],[fecha_inicio]],2)))</f>
        <v/>
      </c>
      <c r="S10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0" s="3">
        <f>IF(tblOrdenes[[#This Row],[tipo_ot]]="","",_xlfn.XLOOKUP(tblOrdenes[[#This Row],[tipo_ot]],tblTiposOT[codigo],tblTiposOT[clasificacion],"sin_clasificar"))</f>
        <v/>
      </c>
      <c r="U1030" s="3">
        <f>IF(tblOrdenes[[#This Row],[centro_costo]]="","",_xlfn.XLOOKUP(tblOrdenes[[#This Row],[centro_costo]],tblCECO[codigo],tblCECO[linea],"(sin catálogo)"))</f>
        <v/>
      </c>
      <c r="V1030" s="3">
        <f>IF(tblOrdenes[[#This Row],[centro_costo]]="","",_xlfn.XLOOKUP(tblOrdenes[[#This Row],[centro_costo]],tblCECO[codigo],tblCECO[area],"(sin catálogo)"))</f>
        <v/>
      </c>
      <c r="W10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0" s="3">
        <f>IF(tblOrdenes[[#This Row],[centro_costo]]="","",_xlfn.XLOOKUP(tblOrdenes[[#This Row],[centro_costo]],tblCECO[codigo],tblCECO[coordinador],"(sin catálogo)"))</f>
        <v/>
      </c>
      <c r="Y1030" s="3">
        <f>IF(tblOrdenes[[#This Row],[puesto_trabajo]]="","",_xlfn.XLOOKUP(tblOrdenes[[#This Row],[puesto_trabajo]],tblPuestos[codigo],tblPuestos[especialidad],"(sin catálogo)"))</f>
        <v/>
      </c>
      <c r="Z1030" s="3">
        <f>IF(tblOrdenes[[#This Row],[cod_actividad]]="","",_xlfn.XLOOKUP(tblOrdenes[[#This Row],[cod_actividad]],tblActividades[codigo],tblActividades[descripcion],"(sin catálogo)"))</f>
        <v/>
      </c>
      <c r="AA1030" s="13">
        <f>IF(tblOrdenes[[#This Row],[fecha_inicio]]="","",TODAY()-tblOrdenes[[#This Row],[fecha_inicio]])</f>
        <v/>
      </c>
      <c r="AB10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0" s="3">
        <f>IF(tblOrdenes[[#This Row],[backlog_habiles]]="","",IF(tblOrdenes[[#This Row],[backlog_habiles]]&lt;0,"FUTURO",IF(tblOrdenes[[#This Row],[backlog_habiles]]&gt;p_dias_backlog_max,"BACKLOG","MES CORRIENTE")))</f>
        <v/>
      </c>
      <c r="AD1030" s="3">
        <f>IF(tblOrdenes[[#This Row],[backlog_habiles]]="",FALSE,AND(tblOrdenes[[#This Row],[backlog_habiles]]&gt;p_dias_backlog_min,tblOrdenes[[#This Row],[backlog_habiles]]&lt;=p_dias_backlog_max))</f>
        <v/>
      </c>
      <c r="AE1030" s="6" t="n"/>
      <c r="AF10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0" s="11">
        <f>IF(tblOrdenes[[#This Row],[orden]]="","",_xlfn.XLOOKUP(tblOrdenes[[#This Row],[id_operacion]],tblEjecucion[id_operacion],tblEjecucion[precio],0))</f>
        <v/>
      </c>
      <c r="AJ1030" s="11">
        <f>IF(tblOrdenes[[#This Row],[orden]]="","",MAX(0,_xlfn.XLOOKUP(tblOrdenes[[#This Row],[id_operacion]],tblEjecucion[id_operacion],tblEjecucion[costo_plan_total],0)-tblOrdenes[[#This Row],[costo_servicio]]))</f>
        <v/>
      </c>
      <c r="AK1030" s="11">
        <f>IF(tblOrdenes[[#This Row],[orden]]="","",tblOrdenes[[#This Row],[costo_servicio]]+tblOrdenes[[#This Row],[costo_materiales]])</f>
        <v/>
      </c>
      <c r="AL1030" s="6" t="n"/>
      <c r="AM1030" s="6" t="n"/>
      <c r="AN1030" s="6" t="n"/>
      <c r="AO1030" s="3">
        <f>IF(tblOrdenes[[#This Row],[link_checklist]]="","",HYPERLINK(p_ruta_base_checklists&amp;tblOrdenes[[#This Row],[link_checklist]],"abrir"))</f>
        <v/>
      </c>
      <c r="AP1030" s="6" t="n"/>
      <c r="AQ1030" s="3">
        <f>IF(tblOrdenes[[#This Row],[orden]]="","",tblOrdenes[[#This Row],[orden]]&amp;IF(tblOrdenes[[#This Row],[operacion]]="","0010",tblOrdenes[[#This Row],[operacion]]))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2" t="n"/>
      <c r="K1031" s="3" t="n"/>
      <c r="L1031" s="11" t="n"/>
      <c r="M10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1" s="3">
        <f>IF(tblOrdenes[[#This Row],[fecha_inicio]]="","",YEAR(tblOrdenes[[#This Row],[fecha_inicio]]))</f>
        <v/>
      </c>
      <c r="Q1031" s="3">
        <f>IF(tblOrdenes[[#This Row],[fecha_inicio]]="","",MONTH(tblOrdenes[[#This Row],[fecha_inicio]]))</f>
        <v/>
      </c>
      <c r="R1031" s="3">
        <f>IF(tblOrdenes[[#This Row],[fecha_inicio]]="","",INDEX(lista_dias,WEEKDAY(tblOrdenes[[#This Row],[fecha_inicio]],2)))</f>
        <v/>
      </c>
      <c r="S10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1" s="3">
        <f>IF(tblOrdenes[[#This Row],[tipo_ot]]="","",_xlfn.XLOOKUP(tblOrdenes[[#This Row],[tipo_ot]],tblTiposOT[codigo],tblTiposOT[clasificacion],"sin_clasificar"))</f>
        <v/>
      </c>
      <c r="U1031" s="3">
        <f>IF(tblOrdenes[[#This Row],[centro_costo]]="","",_xlfn.XLOOKUP(tblOrdenes[[#This Row],[centro_costo]],tblCECO[codigo],tblCECO[linea],"(sin catálogo)"))</f>
        <v/>
      </c>
      <c r="V1031" s="3">
        <f>IF(tblOrdenes[[#This Row],[centro_costo]]="","",_xlfn.XLOOKUP(tblOrdenes[[#This Row],[centro_costo]],tblCECO[codigo],tblCECO[area],"(sin catálogo)"))</f>
        <v/>
      </c>
      <c r="W10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1" s="3">
        <f>IF(tblOrdenes[[#This Row],[centro_costo]]="","",_xlfn.XLOOKUP(tblOrdenes[[#This Row],[centro_costo]],tblCECO[codigo],tblCECO[coordinador],"(sin catálogo)"))</f>
        <v/>
      </c>
      <c r="Y1031" s="3">
        <f>IF(tblOrdenes[[#This Row],[puesto_trabajo]]="","",_xlfn.XLOOKUP(tblOrdenes[[#This Row],[puesto_trabajo]],tblPuestos[codigo],tblPuestos[especialidad],"(sin catálogo)"))</f>
        <v/>
      </c>
      <c r="Z1031" s="3">
        <f>IF(tblOrdenes[[#This Row],[cod_actividad]]="","",_xlfn.XLOOKUP(tblOrdenes[[#This Row],[cod_actividad]],tblActividades[codigo],tblActividades[descripcion],"(sin catálogo)"))</f>
        <v/>
      </c>
      <c r="AA1031" s="13">
        <f>IF(tblOrdenes[[#This Row],[fecha_inicio]]="","",TODAY()-tblOrdenes[[#This Row],[fecha_inicio]])</f>
        <v/>
      </c>
      <c r="AB10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1" s="3">
        <f>IF(tblOrdenes[[#This Row],[backlog_habiles]]="","",IF(tblOrdenes[[#This Row],[backlog_habiles]]&lt;0,"FUTURO",IF(tblOrdenes[[#This Row],[backlog_habiles]]&gt;p_dias_backlog_max,"BACKLOG","MES CORRIENTE")))</f>
        <v/>
      </c>
      <c r="AD1031" s="3">
        <f>IF(tblOrdenes[[#This Row],[backlog_habiles]]="",FALSE,AND(tblOrdenes[[#This Row],[backlog_habiles]]&gt;p_dias_backlog_min,tblOrdenes[[#This Row],[backlog_habiles]]&lt;=p_dias_backlog_max))</f>
        <v/>
      </c>
      <c r="AE1031" s="6" t="n"/>
      <c r="AF10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1" s="11">
        <f>IF(tblOrdenes[[#This Row],[orden]]="","",_xlfn.XLOOKUP(tblOrdenes[[#This Row],[id_operacion]],tblEjecucion[id_operacion],tblEjecucion[precio],0))</f>
        <v/>
      </c>
      <c r="AJ1031" s="11">
        <f>IF(tblOrdenes[[#This Row],[orden]]="","",MAX(0,_xlfn.XLOOKUP(tblOrdenes[[#This Row],[id_operacion]],tblEjecucion[id_operacion],tblEjecucion[costo_plan_total],0)-tblOrdenes[[#This Row],[costo_servicio]]))</f>
        <v/>
      </c>
      <c r="AK1031" s="11">
        <f>IF(tblOrdenes[[#This Row],[orden]]="","",tblOrdenes[[#This Row],[costo_servicio]]+tblOrdenes[[#This Row],[costo_materiales]])</f>
        <v/>
      </c>
      <c r="AL1031" s="6" t="n"/>
      <c r="AM1031" s="6" t="n"/>
      <c r="AN1031" s="6" t="n"/>
      <c r="AO1031" s="3">
        <f>IF(tblOrdenes[[#This Row],[link_checklist]]="","",HYPERLINK(p_ruta_base_checklists&amp;tblOrdenes[[#This Row],[link_checklist]],"abrir"))</f>
        <v/>
      </c>
      <c r="AP1031" s="6" t="n"/>
      <c r="AQ1031" s="3">
        <f>IF(tblOrdenes[[#This Row],[orden]]="","",tblOrdenes[[#This Row],[orden]]&amp;IF(tblOrdenes[[#This Row],[operacion]]="","0010",tblOrdenes[[#This Row],[operacion]]))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2" t="n"/>
      <c r="K1032" s="3" t="n"/>
      <c r="L1032" s="11" t="n"/>
      <c r="M10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2" s="3">
        <f>IF(tblOrdenes[[#This Row],[fecha_inicio]]="","",YEAR(tblOrdenes[[#This Row],[fecha_inicio]]))</f>
        <v/>
      </c>
      <c r="Q1032" s="3">
        <f>IF(tblOrdenes[[#This Row],[fecha_inicio]]="","",MONTH(tblOrdenes[[#This Row],[fecha_inicio]]))</f>
        <v/>
      </c>
      <c r="R1032" s="3">
        <f>IF(tblOrdenes[[#This Row],[fecha_inicio]]="","",INDEX(lista_dias,WEEKDAY(tblOrdenes[[#This Row],[fecha_inicio]],2)))</f>
        <v/>
      </c>
      <c r="S10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2" s="3">
        <f>IF(tblOrdenes[[#This Row],[tipo_ot]]="","",_xlfn.XLOOKUP(tblOrdenes[[#This Row],[tipo_ot]],tblTiposOT[codigo],tblTiposOT[clasificacion],"sin_clasificar"))</f>
        <v/>
      </c>
      <c r="U1032" s="3">
        <f>IF(tblOrdenes[[#This Row],[centro_costo]]="","",_xlfn.XLOOKUP(tblOrdenes[[#This Row],[centro_costo]],tblCECO[codigo],tblCECO[linea],"(sin catálogo)"))</f>
        <v/>
      </c>
      <c r="V1032" s="3">
        <f>IF(tblOrdenes[[#This Row],[centro_costo]]="","",_xlfn.XLOOKUP(tblOrdenes[[#This Row],[centro_costo]],tblCECO[codigo],tblCECO[area],"(sin catálogo)"))</f>
        <v/>
      </c>
      <c r="W10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2" s="3">
        <f>IF(tblOrdenes[[#This Row],[centro_costo]]="","",_xlfn.XLOOKUP(tblOrdenes[[#This Row],[centro_costo]],tblCECO[codigo],tblCECO[coordinador],"(sin catálogo)"))</f>
        <v/>
      </c>
      <c r="Y1032" s="3">
        <f>IF(tblOrdenes[[#This Row],[puesto_trabajo]]="","",_xlfn.XLOOKUP(tblOrdenes[[#This Row],[puesto_trabajo]],tblPuestos[codigo],tblPuestos[especialidad],"(sin catálogo)"))</f>
        <v/>
      </c>
      <c r="Z1032" s="3">
        <f>IF(tblOrdenes[[#This Row],[cod_actividad]]="","",_xlfn.XLOOKUP(tblOrdenes[[#This Row],[cod_actividad]],tblActividades[codigo],tblActividades[descripcion],"(sin catálogo)"))</f>
        <v/>
      </c>
      <c r="AA1032" s="13">
        <f>IF(tblOrdenes[[#This Row],[fecha_inicio]]="","",TODAY()-tblOrdenes[[#This Row],[fecha_inicio]])</f>
        <v/>
      </c>
      <c r="AB10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2" s="3">
        <f>IF(tblOrdenes[[#This Row],[backlog_habiles]]="","",IF(tblOrdenes[[#This Row],[backlog_habiles]]&lt;0,"FUTURO",IF(tblOrdenes[[#This Row],[backlog_habiles]]&gt;p_dias_backlog_max,"BACKLOG","MES CORRIENTE")))</f>
        <v/>
      </c>
      <c r="AD1032" s="3">
        <f>IF(tblOrdenes[[#This Row],[backlog_habiles]]="",FALSE,AND(tblOrdenes[[#This Row],[backlog_habiles]]&gt;p_dias_backlog_min,tblOrdenes[[#This Row],[backlog_habiles]]&lt;=p_dias_backlog_max))</f>
        <v/>
      </c>
      <c r="AE1032" s="6" t="n"/>
      <c r="AF10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2" s="11">
        <f>IF(tblOrdenes[[#This Row],[orden]]="","",_xlfn.XLOOKUP(tblOrdenes[[#This Row],[id_operacion]],tblEjecucion[id_operacion],tblEjecucion[precio],0))</f>
        <v/>
      </c>
      <c r="AJ1032" s="11">
        <f>IF(tblOrdenes[[#This Row],[orden]]="","",MAX(0,_xlfn.XLOOKUP(tblOrdenes[[#This Row],[id_operacion]],tblEjecucion[id_operacion],tblEjecucion[costo_plan_total],0)-tblOrdenes[[#This Row],[costo_servicio]]))</f>
        <v/>
      </c>
      <c r="AK1032" s="11">
        <f>IF(tblOrdenes[[#This Row],[orden]]="","",tblOrdenes[[#This Row],[costo_servicio]]+tblOrdenes[[#This Row],[costo_materiales]])</f>
        <v/>
      </c>
      <c r="AL1032" s="6" t="n"/>
      <c r="AM1032" s="6" t="n"/>
      <c r="AN1032" s="6" t="n"/>
      <c r="AO1032" s="3">
        <f>IF(tblOrdenes[[#This Row],[link_checklist]]="","",HYPERLINK(p_ruta_base_checklists&amp;tblOrdenes[[#This Row],[link_checklist]],"abrir"))</f>
        <v/>
      </c>
      <c r="AP1032" s="6" t="n"/>
      <c r="AQ1032" s="3">
        <f>IF(tblOrdenes[[#This Row],[orden]]="","",tblOrdenes[[#This Row],[orden]]&amp;IF(tblOrdenes[[#This Row],[operacion]]="","0010",tblOrdenes[[#This Row],[operacion]]))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2" t="n"/>
      <c r="K1033" s="3" t="n"/>
      <c r="L1033" s="11" t="n"/>
      <c r="M10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3" s="3">
        <f>IF(tblOrdenes[[#This Row],[fecha_inicio]]="","",YEAR(tblOrdenes[[#This Row],[fecha_inicio]]))</f>
        <v/>
      </c>
      <c r="Q1033" s="3">
        <f>IF(tblOrdenes[[#This Row],[fecha_inicio]]="","",MONTH(tblOrdenes[[#This Row],[fecha_inicio]]))</f>
        <v/>
      </c>
      <c r="R1033" s="3">
        <f>IF(tblOrdenes[[#This Row],[fecha_inicio]]="","",INDEX(lista_dias,WEEKDAY(tblOrdenes[[#This Row],[fecha_inicio]],2)))</f>
        <v/>
      </c>
      <c r="S10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3" s="3">
        <f>IF(tblOrdenes[[#This Row],[tipo_ot]]="","",_xlfn.XLOOKUP(tblOrdenes[[#This Row],[tipo_ot]],tblTiposOT[codigo],tblTiposOT[clasificacion],"sin_clasificar"))</f>
        <v/>
      </c>
      <c r="U1033" s="3">
        <f>IF(tblOrdenes[[#This Row],[centro_costo]]="","",_xlfn.XLOOKUP(tblOrdenes[[#This Row],[centro_costo]],tblCECO[codigo],tblCECO[linea],"(sin catálogo)"))</f>
        <v/>
      </c>
      <c r="V1033" s="3">
        <f>IF(tblOrdenes[[#This Row],[centro_costo]]="","",_xlfn.XLOOKUP(tblOrdenes[[#This Row],[centro_costo]],tblCECO[codigo],tblCECO[area],"(sin catálogo)"))</f>
        <v/>
      </c>
      <c r="W10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3" s="3">
        <f>IF(tblOrdenes[[#This Row],[centro_costo]]="","",_xlfn.XLOOKUP(tblOrdenes[[#This Row],[centro_costo]],tblCECO[codigo],tblCECO[coordinador],"(sin catálogo)"))</f>
        <v/>
      </c>
      <c r="Y1033" s="3">
        <f>IF(tblOrdenes[[#This Row],[puesto_trabajo]]="","",_xlfn.XLOOKUP(tblOrdenes[[#This Row],[puesto_trabajo]],tblPuestos[codigo],tblPuestos[especialidad],"(sin catálogo)"))</f>
        <v/>
      </c>
      <c r="Z1033" s="3">
        <f>IF(tblOrdenes[[#This Row],[cod_actividad]]="","",_xlfn.XLOOKUP(tblOrdenes[[#This Row],[cod_actividad]],tblActividades[codigo],tblActividades[descripcion],"(sin catálogo)"))</f>
        <v/>
      </c>
      <c r="AA1033" s="13">
        <f>IF(tblOrdenes[[#This Row],[fecha_inicio]]="","",TODAY()-tblOrdenes[[#This Row],[fecha_inicio]])</f>
        <v/>
      </c>
      <c r="AB10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3" s="3">
        <f>IF(tblOrdenes[[#This Row],[backlog_habiles]]="","",IF(tblOrdenes[[#This Row],[backlog_habiles]]&lt;0,"FUTURO",IF(tblOrdenes[[#This Row],[backlog_habiles]]&gt;p_dias_backlog_max,"BACKLOG","MES CORRIENTE")))</f>
        <v/>
      </c>
      <c r="AD1033" s="3">
        <f>IF(tblOrdenes[[#This Row],[backlog_habiles]]="",FALSE,AND(tblOrdenes[[#This Row],[backlog_habiles]]&gt;p_dias_backlog_min,tblOrdenes[[#This Row],[backlog_habiles]]&lt;=p_dias_backlog_max))</f>
        <v/>
      </c>
      <c r="AE1033" s="6" t="n"/>
      <c r="AF10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3" s="11">
        <f>IF(tblOrdenes[[#This Row],[orden]]="","",_xlfn.XLOOKUP(tblOrdenes[[#This Row],[id_operacion]],tblEjecucion[id_operacion],tblEjecucion[precio],0))</f>
        <v/>
      </c>
      <c r="AJ1033" s="11">
        <f>IF(tblOrdenes[[#This Row],[orden]]="","",MAX(0,_xlfn.XLOOKUP(tblOrdenes[[#This Row],[id_operacion]],tblEjecucion[id_operacion],tblEjecucion[costo_plan_total],0)-tblOrdenes[[#This Row],[costo_servicio]]))</f>
        <v/>
      </c>
      <c r="AK1033" s="11">
        <f>IF(tblOrdenes[[#This Row],[orden]]="","",tblOrdenes[[#This Row],[costo_servicio]]+tblOrdenes[[#This Row],[costo_materiales]])</f>
        <v/>
      </c>
      <c r="AL1033" s="6" t="n"/>
      <c r="AM1033" s="6" t="n"/>
      <c r="AN1033" s="6" t="n"/>
      <c r="AO1033" s="3">
        <f>IF(tblOrdenes[[#This Row],[link_checklist]]="","",HYPERLINK(p_ruta_base_checklists&amp;tblOrdenes[[#This Row],[link_checklist]],"abrir"))</f>
        <v/>
      </c>
      <c r="AP1033" s="6" t="n"/>
      <c r="AQ1033" s="3">
        <f>IF(tblOrdenes[[#This Row],[orden]]="","",tblOrdenes[[#This Row],[orden]]&amp;IF(tblOrdenes[[#This Row],[operacion]]="","0010",tblOrdenes[[#This Row],[operacion]]))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2" t="n"/>
      <c r="K1034" s="3" t="n"/>
      <c r="L1034" s="11" t="n"/>
      <c r="M10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4" s="3">
        <f>IF(tblOrdenes[[#This Row],[fecha_inicio]]="","",YEAR(tblOrdenes[[#This Row],[fecha_inicio]]))</f>
        <v/>
      </c>
      <c r="Q1034" s="3">
        <f>IF(tblOrdenes[[#This Row],[fecha_inicio]]="","",MONTH(tblOrdenes[[#This Row],[fecha_inicio]]))</f>
        <v/>
      </c>
      <c r="R1034" s="3">
        <f>IF(tblOrdenes[[#This Row],[fecha_inicio]]="","",INDEX(lista_dias,WEEKDAY(tblOrdenes[[#This Row],[fecha_inicio]],2)))</f>
        <v/>
      </c>
      <c r="S10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4" s="3">
        <f>IF(tblOrdenes[[#This Row],[tipo_ot]]="","",_xlfn.XLOOKUP(tblOrdenes[[#This Row],[tipo_ot]],tblTiposOT[codigo],tblTiposOT[clasificacion],"sin_clasificar"))</f>
        <v/>
      </c>
      <c r="U1034" s="3">
        <f>IF(tblOrdenes[[#This Row],[centro_costo]]="","",_xlfn.XLOOKUP(tblOrdenes[[#This Row],[centro_costo]],tblCECO[codigo],tblCECO[linea],"(sin catálogo)"))</f>
        <v/>
      </c>
      <c r="V1034" s="3">
        <f>IF(tblOrdenes[[#This Row],[centro_costo]]="","",_xlfn.XLOOKUP(tblOrdenes[[#This Row],[centro_costo]],tblCECO[codigo],tblCECO[area],"(sin catálogo)"))</f>
        <v/>
      </c>
      <c r="W10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4" s="3">
        <f>IF(tblOrdenes[[#This Row],[centro_costo]]="","",_xlfn.XLOOKUP(tblOrdenes[[#This Row],[centro_costo]],tblCECO[codigo],tblCECO[coordinador],"(sin catálogo)"))</f>
        <v/>
      </c>
      <c r="Y1034" s="3">
        <f>IF(tblOrdenes[[#This Row],[puesto_trabajo]]="","",_xlfn.XLOOKUP(tblOrdenes[[#This Row],[puesto_trabajo]],tblPuestos[codigo],tblPuestos[especialidad],"(sin catálogo)"))</f>
        <v/>
      </c>
      <c r="Z1034" s="3">
        <f>IF(tblOrdenes[[#This Row],[cod_actividad]]="","",_xlfn.XLOOKUP(tblOrdenes[[#This Row],[cod_actividad]],tblActividades[codigo],tblActividades[descripcion],"(sin catálogo)"))</f>
        <v/>
      </c>
      <c r="AA1034" s="13">
        <f>IF(tblOrdenes[[#This Row],[fecha_inicio]]="","",TODAY()-tblOrdenes[[#This Row],[fecha_inicio]])</f>
        <v/>
      </c>
      <c r="AB10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4" s="3">
        <f>IF(tblOrdenes[[#This Row],[backlog_habiles]]="","",IF(tblOrdenes[[#This Row],[backlog_habiles]]&lt;0,"FUTURO",IF(tblOrdenes[[#This Row],[backlog_habiles]]&gt;p_dias_backlog_max,"BACKLOG","MES CORRIENTE")))</f>
        <v/>
      </c>
      <c r="AD1034" s="3">
        <f>IF(tblOrdenes[[#This Row],[backlog_habiles]]="",FALSE,AND(tblOrdenes[[#This Row],[backlog_habiles]]&gt;p_dias_backlog_min,tblOrdenes[[#This Row],[backlog_habiles]]&lt;=p_dias_backlog_max))</f>
        <v/>
      </c>
      <c r="AE1034" s="6" t="n"/>
      <c r="AF10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4" s="11">
        <f>IF(tblOrdenes[[#This Row],[orden]]="","",_xlfn.XLOOKUP(tblOrdenes[[#This Row],[id_operacion]],tblEjecucion[id_operacion],tblEjecucion[precio],0))</f>
        <v/>
      </c>
      <c r="AJ1034" s="11">
        <f>IF(tblOrdenes[[#This Row],[orden]]="","",MAX(0,_xlfn.XLOOKUP(tblOrdenes[[#This Row],[id_operacion]],tblEjecucion[id_operacion],tblEjecucion[costo_plan_total],0)-tblOrdenes[[#This Row],[costo_servicio]]))</f>
        <v/>
      </c>
      <c r="AK1034" s="11">
        <f>IF(tblOrdenes[[#This Row],[orden]]="","",tblOrdenes[[#This Row],[costo_servicio]]+tblOrdenes[[#This Row],[costo_materiales]])</f>
        <v/>
      </c>
      <c r="AL1034" s="6" t="n"/>
      <c r="AM1034" s="6" t="n"/>
      <c r="AN1034" s="6" t="n"/>
      <c r="AO1034" s="3">
        <f>IF(tblOrdenes[[#This Row],[link_checklist]]="","",HYPERLINK(p_ruta_base_checklists&amp;tblOrdenes[[#This Row],[link_checklist]],"abrir"))</f>
        <v/>
      </c>
      <c r="AP1034" s="6" t="n"/>
      <c r="AQ1034" s="3">
        <f>IF(tblOrdenes[[#This Row],[orden]]="","",tblOrdenes[[#This Row],[orden]]&amp;IF(tblOrdenes[[#This Row],[operacion]]="","0010",tblOrdenes[[#This Row],[operacion]]))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2" t="n"/>
      <c r="K1035" s="3" t="n"/>
      <c r="L1035" s="11" t="n"/>
      <c r="M10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5" s="3">
        <f>IF(tblOrdenes[[#This Row],[fecha_inicio]]="","",YEAR(tblOrdenes[[#This Row],[fecha_inicio]]))</f>
        <v/>
      </c>
      <c r="Q1035" s="3">
        <f>IF(tblOrdenes[[#This Row],[fecha_inicio]]="","",MONTH(tblOrdenes[[#This Row],[fecha_inicio]]))</f>
        <v/>
      </c>
      <c r="R1035" s="3">
        <f>IF(tblOrdenes[[#This Row],[fecha_inicio]]="","",INDEX(lista_dias,WEEKDAY(tblOrdenes[[#This Row],[fecha_inicio]],2)))</f>
        <v/>
      </c>
      <c r="S10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5" s="3">
        <f>IF(tblOrdenes[[#This Row],[tipo_ot]]="","",_xlfn.XLOOKUP(tblOrdenes[[#This Row],[tipo_ot]],tblTiposOT[codigo],tblTiposOT[clasificacion],"sin_clasificar"))</f>
        <v/>
      </c>
      <c r="U1035" s="3">
        <f>IF(tblOrdenes[[#This Row],[centro_costo]]="","",_xlfn.XLOOKUP(tblOrdenes[[#This Row],[centro_costo]],tblCECO[codigo],tblCECO[linea],"(sin catálogo)"))</f>
        <v/>
      </c>
      <c r="V1035" s="3">
        <f>IF(tblOrdenes[[#This Row],[centro_costo]]="","",_xlfn.XLOOKUP(tblOrdenes[[#This Row],[centro_costo]],tblCECO[codigo],tblCECO[area],"(sin catálogo)"))</f>
        <v/>
      </c>
      <c r="W10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5" s="3">
        <f>IF(tblOrdenes[[#This Row],[centro_costo]]="","",_xlfn.XLOOKUP(tblOrdenes[[#This Row],[centro_costo]],tblCECO[codigo],tblCECO[coordinador],"(sin catálogo)"))</f>
        <v/>
      </c>
      <c r="Y1035" s="3">
        <f>IF(tblOrdenes[[#This Row],[puesto_trabajo]]="","",_xlfn.XLOOKUP(tblOrdenes[[#This Row],[puesto_trabajo]],tblPuestos[codigo],tblPuestos[especialidad],"(sin catálogo)"))</f>
        <v/>
      </c>
      <c r="Z1035" s="3">
        <f>IF(tblOrdenes[[#This Row],[cod_actividad]]="","",_xlfn.XLOOKUP(tblOrdenes[[#This Row],[cod_actividad]],tblActividades[codigo],tblActividades[descripcion],"(sin catálogo)"))</f>
        <v/>
      </c>
      <c r="AA1035" s="13">
        <f>IF(tblOrdenes[[#This Row],[fecha_inicio]]="","",TODAY()-tblOrdenes[[#This Row],[fecha_inicio]])</f>
        <v/>
      </c>
      <c r="AB10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5" s="3">
        <f>IF(tblOrdenes[[#This Row],[backlog_habiles]]="","",IF(tblOrdenes[[#This Row],[backlog_habiles]]&lt;0,"FUTURO",IF(tblOrdenes[[#This Row],[backlog_habiles]]&gt;p_dias_backlog_max,"BACKLOG","MES CORRIENTE")))</f>
        <v/>
      </c>
      <c r="AD1035" s="3">
        <f>IF(tblOrdenes[[#This Row],[backlog_habiles]]="",FALSE,AND(tblOrdenes[[#This Row],[backlog_habiles]]&gt;p_dias_backlog_min,tblOrdenes[[#This Row],[backlog_habiles]]&lt;=p_dias_backlog_max))</f>
        <v/>
      </c>
      <c r="AE1035" s="6" t="n"/>
      <c r="AF10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5" s="11">
        <f>IF(tblOrdenes[[#This Row],[orden]]="","",_xlfn.XLOOKUP(tblOrdenes[[#This Row],[id_operacion]],tblEjecucion[id_operacion],tblEjecucion[precio],0))</f>
        <v/>
      </c>
      <c r="AJ1035" s="11">
        <f>IF(tblOrdenes[[#This Row],[orden]]="","",MAX(0,_xlfn.XLOOKUP(tblOrdenes[[#This Row],[id_operacion]],tblEjecucion[id_operacion],tblEjecucion[costo_plan_total],0)-tblOrdenes[[#This Row],[costo_servicio]]))</f>
        <v/>
      </c>
      <c r="AK1035" s="11">
        <f>IF(tblOrdenes[[#This Row],[orden]]="","",tblOrdenes[[#This Row],[costo_servicio]]+tblOrdenes[[#This Row],[costo_materiales]])</f>
        <v/>
      </c>
      <c r="AL1035" s="6" t="n"/>
      <c r="AM1035" s="6" t="n"/>
      <c r="AN1035" s="6" t="n"/>
      <c r="AO1035" s="3">
        <f>IF(tblOrdenes[[#This Row],[link_checklist]]="","",HYPERLINK(p_ruta_base_checklists&amp;tblOrdenes[[#This Row],[link_checklist]],"abrir"))</f>
        <v/>
      </c>
      <c r="AP1035" s="6" t="n"/>
      <c r="AQ1035" s="3">
        <f>IF(tblOrdenes[[#This Row],[orden]]="","",tblOrdenes[[#This Row],[orden]]&amp;IF(tblOrdenes[[#This Row],[operacion]]="","0010",tblOrdenes[[#This Row],[operacion]]))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2" t="n"/>
      <c r="K1036" s="3" t="n"/>
      <c r="L1036" s="11" t="n"/>
      <c r="M10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6" s="3">
        <f>IF(tblOrdenes[[#This Row],[fecha_inicio]]="","",YEAR(tblOrdenes[[#This Row],[fecha_inicio]]))</f>
        <v/>
      </c>
      <c r="Q1036" s="3">
        <f>IF(tblOrdenes[[#This Row],[fecha_inicio]]="","",MONTH(tblOrdenes[[#This Row],[fecha_inicio]]))</f>
        <v/>
      </c>
      <c r="R1036" s="3">
        <f>IF(tblOrdenes[[#This Row],[fecha_inicio]]="","",INDEX(lista_dias,WEEKDAY(tblOrdenes[[#This Row],[fecha_inicio]],2)))</f>
        <v/>
      </c>
      <c r="S10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6" s="3">
        <f>IF(tblOrdenes[[#This Row],[tipo_ot]]="","",_xlfn.XLOOKUP(tblOrdenes[[#This Row],[tipo_ot]],tblTiposOT[codigo],tblTiposOT[clasificacion],"sin_clasificar"))</f>
        <v/>
      </c>
      <c r="U1036" s="3">
        <f>IF(tblOrdenes[[#This Row],[centro_costo]]="","",_xlfn.XLOOKUP(tblOrdenes[[#This Row],[centro_costo]],tblCECO[codigo],tblCECO[linea],"(sin catálogo)"))</f>
        <v/>
      </c>
      <c r="V1036" s="3">
        <f>IF(tblOrdenes[[#This Row],[centro_costo]]="","",_xlfn.XLOOKUP(tblOrdenes[[#This Row],[centro_costo]],tblCECO[codigo],tblCECO[area],"(sin catálogo)"))</f>
        <v/>
      </c>
      <c r="W10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6" s="3">
        <f>IF(tblOrdenes[[#This Row],[centro_costo]]="","",_xlfn.XLOOKUP(tblOrdenes[[#This Row],[centro_costo]],tblCECO[codigo],tblCECO[coordinador],"(sin catálogo)"))</f>
        <v/>
      </c>
      <c r="Y1036" s="3">
        <f>IF(tblOrdenes[[#This Row],[puesto_trabajo]]="","",_xlfn.XLOOKUP(tblOrdenes[[#This Row],[puesto_trabajo]],tblPuestos[codigo],tblPuestos[especialidad],"(sin catálogo)"))</f>
        <v/>
      </c>
      <c r="Z1036" s="3">
        <f>IF(tblOrdenes[[#This Row],[cod_actividad]]="","",_xlfn.XLOOKUP(tblOrdenes[[#This Row],[cod_actividad]],tblActividades[codigo],tblActividades[descripcion],"(sin catálogo)"))</f>
        <v/>
      </c>
      <c r="AA1036" s="13">
        <f>IF(tblOrdenes[[#This Row],[fecha_inicio]]="","",TODAY()-tblOrdenes[[#This Row],[fecha_inicio]])</f>
        <v/>
      </c>
      <c r="AB10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6" s="3">
        <f>IF(tblOrdenes[[#This Row],[backlog_habiles]]="","",IF(tblOrdenes[[#This Row],[backlog_habiles]]&lt;0,"FUTURO",IF(tblOrdenes[[#This Row],[backlog_habiles]]&gt;p_dias_backlog_max,"BACKLOG","MES CORRIENTE")))</f>
        <v/>
      </c>
      <c r="AD1036" s="3">
        <f>IF(tblOrdenes[[#This Row],[backlog_habiles]]="",FALSE,AND(tblOrdenes[[#This Row],[backlog_habiles]]&gt;p_dias_backlog_min,tblOrdenes[[#This Row],[backlog_habiles]]&lt;=p_dias_backlog_max))</f>
        <v/>
      </c>
      <c r="AE1036" s="6" t="n"/>
      <c r="AF10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6" s="11">
        <f>IF(tblOrdenes[[#This Row],[orden]]="","",_xlfn.XLOOKUP(tblOrdenes[[#This Row],[id_operacion]],tblEjecucion[id_operacion],tblEjecucion[precio],0))</f>
        <v/>
      </c>
      <c r="AJ1036" s="11">
        <f>IF(tblOrdenes[[#This Row],[orden]]="","",MAX(0,_xlfn.XLOOKUP(tblOrdenes[[#This Row],[id_operacion]],tblEjecucion[id_operacion],tblEjecucion[costo_plan_total],0)-tblOrdenes[[#This Row],[costo_servicio]]))</f>
        <v/>
      </c>
      <c r="AK1036" s="11">
        <f>IF(tblOrdenes[[#This Row],[orden]]="","",tblOrdenes[[#This Row],[costo_servicio]]+tblOrdenes[[#This Row],[costo_materiales]])</f>
        <v/>
      </c>
      <c r="AL1036" s="6" t="n"/>
      <c r="AM1036" s="6" t="n"/>
      <c r="AN1036" s="6" t="n"/>
      <c r="AO1036" s="3">
        <f>IF(tblOrdenes[[#This Row],[link_checklist]]="","",HYPERLINK(p_ruta_base_checklists&amp;tblOrdenes[[#This Row],[link_checklist]],"abrir"))</f>
        <v/>
      </c>
      <c r="AP1036" s="6" t="n"/>
      <c r="AQ1036" s="3">
        <f>IF(tblOrdenes[[#This Row],[orden]]="","",tblOrdenes[[#This Row],[orden]]&amp;IF(tblOrdenes[[#This Row],[operacion]]="","0010",tblOrdenes[[#This Row],[operacion]]))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2" t="n"/>
      <c r="K1037" s="3" t="n"/>
      <c r="L1037" s="11" t="n"/>
      <c r="M10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7" s="3">
        <f>IF(tblOrdenes[[#This Row],[fecha_inicio]]="","",YEAR(tblOrdenes[[#This Row],[fecha_inicio]]))</f>
        <v/>
      </c>
      <c r="Q1037" s="3">
        <f>IF(tblOrdenes[[#This Row],[fecha_inicio]]="","",MONTH(tblOrdenes[[#This Row],[fecha_inicio]]))</f>
        <v/>
      </c>
      <c r="R1037" s="3">
        <f>IF(tblOrdenes[[#This Row],[fecha_inicio]]="","",INDEX(lista_dias,WEEKDAY(tblOrdenes[[#This Row],[fecha_inicio]],2)))</f>
        <v/>
      </c>
      <c r="S10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7" s="3">
        <f>IF(tblOrdenes[[#This Row],[tipo_ot]]="","",_xlfn.XLOOKUP(tblOrdenes[[#This Row],[tipo_ot]],tblTiposOT[codigo],tblTiposOT[clasificacion],"sin_clasificar"))</f>
        <v/>
      </c>
      <c r="U1037" s="3">
        <f>IF(tblOrdenes[[#This Row],[centro_costo]]="","",_xlfn.XLOOKUP(tblOrdenes[[#This Row],[centro_costo]],tblCECO[codigo],tblCECO[linea],"(sin catálogo)"))</f>
        <v/>
      </c>
      <c r="V1037" s="3">
        <f>IF(tblOrdenes[[#This Row],[centro_costo]]="","",_xlfn.XLOOKUP(tblOrdenes[[#This Row],[centro_costo]],tblCECO[codigo],tblCECO[area],"(sin catálogo)"))</f>
        <v/>
      </c>
      <c r="W10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7" s="3">
        <f>IF(tblOrdenes[[#This Row],[centro_costo]]="","",_xlfn.XLOOKUP(tblOrdenes[[#This Row],[centro_costo]],tblCECO[codigo],tblCECO[coordinador],"(sin catálogo)"))</f>
        <v/>
      </c>
      <c r="Y1037" s="3">
        <f>IF(tblOrdenes[[#This Row],[puesto_trabajo]]="","",_xlfn.XLOOKUP(tblOrdenes[[#This Row],[puesto_trabajo]],tblPuestos[codigo],tblPuestos[especialidad],"(sin catálogo)"))</f>
        <v/>
      </c>
      <c r="Z1037" s="3">
        <f>IF(tblOrdenes[[#This Row],[cod_actividad]]="","",_xlfn.XLOOKUP(tblOrdenes[[#This Row],[cod_actividad]],tblActividades[codigo],tblActividades[descripcion],"(sin catálogo)"))</f>
        <v/>
      </c>
      <c r="AA1037" s="13">
        <f>IF(tblOrdenes[[#This Row],[fecha_inicio]]="","",TODAY()-tblOrdenes[[#This Row],[fecha_inicio]])</f>
        <v/>
      </c>
      <c r="AB10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7" s="3">
        <f>IF(tblOrdenes[[#This Row],[backlog_habiles]]="","",IF(tblOrdenes[[#This Row],[backlog_habiles]]&lt;0,"FUTURO",IF(tblOrdenes[[#This Row],[backlog_habiles]]&gt;p_dias_backlog_max,"BACKLOG","MES CORRIENTE")))</f>
        <v/>
      </c>
      <c r="AD1037" s="3">
        <f>IF(tblOrdenes[[#This Row],[backlog_habiles]]="",FALSE,AND(tblOrdenes[[#This Row],[backlog_habiles]]&gt;p_dias_backlog_min,tblOrdenes[[#This Row],[backlog_habiles]]&lt;=p_dias_backlog_max))</f>
        <v/>
      </c>
      <c r="AE1037" s="6" t="n"/>
      <c r="AF10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7" s="11">
        <f>IF(tblOrdenes[[#This Row],[orden]]="","",_xlfn.XLOOKUP(tblOrdenes[[#This Row],[id_operacion]],tblEjecucion[id_operacion],tblEjecucion[precio],0))</f>
        <v/>
      </c>
      <c r="AJ1037" s="11">
        <f>IF(tblOrdenes[[#This Row],[orden]]="","",MAX(0,_xlfn.XLOOKUP(tblOrdenes[[#This Row],[id_operacion]],tblEjecucion[id_operacion],tblEjecucion[costo_plan_total],0)-tblOrdenes[[#This Row],[costo_servicio]]))</f>
        <v/>
      </c>
      <c r="AK1037" s="11">
        <f>IF(tblOrdenes[[#This Row],[orden]]="","",tblOrdenes[[#This Row],[costo_servicio]]+tblOrdenes[[#This Row],[costo_materiales]])</f>
        <v/>
      </c>
      <c r="AL1037" s="6" t="n"/>
      <c r="AM1037" s="6" t="n"/>
      <c r="AN1037" s="6" t="n"/>
      <c r="AO1037" s="3">
        <f>IF(tblOrdenes[[#This Row],[link_checklist]]="","",HYPERLINK(p_ruta_base_checklists&amp;tblOrdenes[[#This Row],[link_checklist]],"abrir"))</f>
        <v/>
      </c>
      <c r="AP1037" s="6" t="n"/>
      <c r="AQ1037" s="3">
        <f>IF(tblOrdenes[[#This Row],[orden]]="","",tblOrdenes[[#This Row],[orden]]&amp;IF(tblOrdenes[[#This Row],[operacion]]="","0010",tblOrdenes[[#This Row],[operacion]]))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2" t="n"/>
      <c r="K1038" s="3" t="n"/>
      <c r="L1038" s="11" t="n"/>
      <c r="M10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8" s="3">
        <f>IF(tblOrdenes[[#This Row],[fecha_inicio]]="","",YEAR(tblOrdenes[[#This Row],[fecha_inicio]]))</f>
        <v/>
      </c>
      <c r="Q1038" s="3">
        <f>IF(tblOrdenes[[#This Row],[fecha_inicio]]="","",MONTH(tblOrdenes[[#This Row],[fecha_inicio]]))</f>
        <v/>
      </c>
      <c r="R1038" s="3">
        <f>IF(tblOrdenes[[#This Row],[fecha_inicio]]="","",INDEX(lista_dias,WEEKDAY(tblOrdenes[[#This Row],[fecha_inicio]],2)))</f>
        <v/>
      </c>
      <c r="S10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8" s="3">
        <f>IF(tblOrdenes[[#This Row],[tipo_ot]]="","",_xlfn.XLOOKUP(tblOrdenes[[#This Row],[tipo_ot]],tblTiposOT[codigo],tblTiposOT[clasificacion],"sin_clasificar"))</f>
        <v/>
      </c>
      <c r="U1038" s="3">
        <f>IF(tblOrdenes[[#This Row],[centro_costo]]="","",_xlfn.XLOOKUP(tblOrdenes[[#This Row],[centro_costo]],tblCECO[codigo],tblCECO[linea],"(sin catálogo)"))</f>
        <v/>
      </c>
      <c r="V1038" s="3">
        <f>IF(tblOrdenes[[#This Row],[centro_costo]]="","",_xlfn.XLOOKUP(tblOrdenes[[#This Row],[centro_costo]],tblCECO[codigo],tblCECO[area],"(sin catálogo)"))</f>
        <v/>
      </c>
      <c r="W10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8" s="3">
        <f>IF(tblOrdenes[[#This Row],[centro_costo]]="","",_xlfn.XLOOKUP(tblOrdenes[[#This Row],[centro_costo]],tblCECO[codigo],tblCECO[coordinador],"(sin catálogo)"))</f>
        <v/>
      </c>
      <c r="Y1038" s="3">
        <f>IF(tblOrdenes[[#This Row],[puesto_trabajo]]="","",_xlfn.XLOOKUP(tblOrdenes[[#This Row],[puesto_trabajo]],tblPuestos[codigo],tblPuestos[especialidad],"(sin catálogo)"))</f>
        <v/>
      </c>
      <c r="Z1038" s="3">
        <f>IF(tblOrdenes[[#This Row],[cod_actividad]]="","",_xlfn.XLOOKUP(tblOrdenes[[#This Row],[cod_actividad]],tblActividades[codigo],tblActividades[descripcion],"(sin catálogo)"))</f>
        <v/>
      </c>
      <c r="AA1038" s="13">
        <f>IF(tblOrdenes[[#This Row],[fecha_inicio]]="","",TODAY()-tblOrdenes[[#This Row],[fecha_inicio]])</f>
        <v/>
      </c>
      <c r="AB10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8" s="3">
        <f>IF(tblOrdenes[[#This Row],[backlog_habiles]]="","",IF(tblOrdenes[[#This Row],[backlog_habiles]]&lt;0,"FUTURO",IF(tblOrdenes[[#This Row],[backlog_habiles]]&gt;p_dias_backlog_max,"BACKLOG","MES CORRIENTE")))</f>
        <v/>
      </c>
      <c r="AD1038" s="3">
        <f>IF(tblOrdenes[[#This Row],[backlog_habiles]]="",FALSE,AND(tblOrdenes[[#This Row],[backlog_habiles]]&gt;p_dias_backlog_min,tblOrdenes[[#This Row],[backlog_habiles]]&lt;=p_dias_backlog_max))</f>
        <v/>
      </c>
      <c r="AE1038" s="6" t="n"/>
      <c r="AF10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8" s="11">
        <f>IF(tblOrdenes[[#This Row],[orden]]="","",_xlfn.XLOOKUP(tblOrdenes[[#This Row],[id_operacion]],tblEjecucion[id_operacion],tblEjecucion[precio],0))</f>
        <v/>
      </c>
      <c r="AJ1038" s="11">
        <f>IF(tblOrdenes[[#This Row],[orden]]="","",MAX(0,_xlfn.XLOOKUP(tblOrdenes[[#This Row],[id_operacion]],tblEjecucion[id_operacion],tblEjecucion[costo_plan_total],0)-tblOrdenes[[#This Row],[costo_servicio]]))</f>
        <v/>
      </c>
      <c r="AK1038" s="11">
        <f>IF(tblOrdenes[[#This Row],[orden]]="","",tblOrdenes[[#This Row],[costo_servicio]]+tblOrdenes[[#This Row],[costo_materiales]])</f>
        <v/>
      </c>
      <c r="AL1038" s="6" t="n"/>
      <c r="AM1038" s="6" t="n"/>
      <c r="AN1038" s="6" t="n"/>
      <c r="AO1038" s="3">
        <f>IF(tblOrdenes[[#This Row],[link_checklist]]="","",HYPERLINK(p_ruta_base_checklists&amp;tblOrdenes[[#This Row],[link_checklist]],"abrir"))</f>
        <v/>
      </c>
      <c r="AP1038" s="6" t="n"/>
      <c r="AQ1038" s="3">
        <f>IF(tblOrdenes[[#This Row],[orden]]="","",tblOrdenes[[#This Row],[orden]]&amp;IF(tblOrdenes[[#This Row],[operacion]]="","0010",tblOrdenes[[#This Row],[operacion]]))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2" t="n"/>
      <c r="K1039" s="3" t="n"/>
      <c r="L1039" s="11" t="n"/>
      <c r="M10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9" s="3">
        <f>IF(tblOrdenes[[#This Row],[fecha_inicio]]="","",YEAR(tblOrdenes[[#This Row],[fecha_inicio]]))</f>
        <v/>
      </c>
      <c r="Q1039" s="3">
        <f>IF(tblOrdenes[[#This Row],[fecha_inicio]]="","",MONTH(tblOrdenes[[#This Row],[fecha_inicio]]))</f>
        <v/>
      </c>
      <c r="R1039" s="3">
        <f>IF(tblOrdenes[[#This Row],[fecha_inicio]]="","",INDEX(lista_dias,WEEKDAY(tblOrdenes[[#This Row],[fecha_inicio]],2)))</f>
        <v/>
      </c>
      <c r="S10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9" s="3">
        <f>IF(tblOrdenes[[#This Row],[tipo_ot]]="","",_xlfn.XLOOKUP(tblOrdenes[[#This Row],[tipo_ot]],tblTiposOT[codigo],tblTiposOT[clasificacion],"sin_clasificar"))</f>
        <v/>
      </c>
      <c r="U1039" s="3">
        <f>IF(tblOrdenes[[#This Row],[centro_costo]]="","",_xlfn.XLOOKUP(tblOrdenes[[#This Row],[centro_costo]],tblCECO[codigo],tblCECO[linea],"(sin catálogo)"))</f>
        <v/>
      </c>
      <c r="V1039" s="3">
        <f>IF(tblOrdenes[[#This Row],[centro_costo]]="","",_xlfn.XLOOKUP(tblOrdenes[[#This Row],[centro_costo]],tblCECO[codigo],tblCECO[area],"(sin catálogo)"))</f>
        <v/>
      </c>
      <c r="W10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9" s="3">
        <f>IF(tblOrdenes[[#This Row],[centro_costo]]="","",_xlfn.XLOOKUP(tblOrdenes[[#This Row],[centro_costo]],tblCECO[codigo],tblCECO[coordinador],"(sin catálogo)"))</f>
        <v/>
      </c>
      <c r="Y1039" s="3">
        <f>IF(tblOrdenes[[#This Row],[puesto_trabajo]]="","",_xlfn.XLOOKUP(tblOrdenes[[#This Row],[puesto_trabajo]],tblPuestos[codigo],tblPuestos[especialidad],"(sin catálogo)"))</f>
        <v/>
      </c>
      <c r="Z1039" s="3">
        <f>IF(tblOrdenes[[#This Row],[cod_actividad]]="","",_xlfn.XLOOKUP(tblOrdenes[[#This Row],[cod_actividad]],tblActividades[codigo],tblActividades[descripcion],"(sin catálogo)"))</f>
        <v/>
      </c>
      <c r="AA1039" s="13">
        <f>IF(tblOrdenes[[#This Row],[fecha_inicio]]="","",TODAY()-tblOrdenes[[#This Row],[fecha_inicio]])</f>
        <v/>
      </c>
      <c r="AB10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9" s="3">
        <f>IF(tblOrdenes[[#This Row],[backlog_habiles]]="","",IF(tblOrdenes[[#This Row],[backlog_habiles]]&lt;0,"FUTURO",IF(tblOrdenes[[#This Row],[backlog_habiles]]&gt;p_dias_backlog_max,"BACKLOG","MES CORRIENTE")))</f>
        <v/>
      </c>
      <c r="AD1039" s="3">
        <f>IF(tblOrdenes[[#This Row],[backlog_habiles]]="",FALSE,AND(tblOrdenes[[#This Row],[backlog_habiles]]&gt;p_dias_backlog_min,tblOrdenes[[#This Row],[backlog_habiles]]&lt;=p_dias_backlog_max))</f>
        <v/>
      </c>
      <c r="AE1039" s="6" t="n"/>
      <c r="AF10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9" s="11">
        <f>IF(tblOrdenes[[#This Row],[orden]]="","",_xlfn.XLOOKUP(tblOrdenes[[#This Row],[id_operacion]],tblEjecucion[id_operacion],tblEjecucion[precio],0))</f>
        <v/>
      </c>
      <c r="AJ1039" s="11">
        <f>IF(tblOrdenes[[#This Row],[orden]]="","",MAX(0,_xlfn.XLOOKUP(tblOrdenes[[#This Row],[id_operacion]],tblEjecucion[id_operacion],tblEjecucion[costo_plan_total],0)-tblOrdenes[[#This Row],[costo_servicio]]))</f>
        <v/>
      </c>
      <c r="AK1039" s="11">
        <f>IF(tblOrdenes[[#This Row],[orden]]="","",tblOrdenes[[#This Row],[costo_servicio]]+tblOrdenes[[#This Row],[costo_materiales]])</f>
        <v/>
      </c>
      <c r="AL1039" s="6" t="n"/>
      <c r="AM1039" s="6" t="n"/>
      <c r="AN1039" s="6" t="n"/>
      <c r="AO1039" s="3">
        <f>IF(tblOrdenes[[#This Row],[link_checklist]]="","",HYPERLINK(p_ruta_base_checklists&amp;tblOrdenes[[#This Row],[link_checklist]],"abrir"))</f>
        <v/>
      </c>
      <c r="AP1039" s="6" t="n"/>
      <c r="AQ1039" s="3">
        <f>IF(tblOrdenes[[#This Row],[orden]]="","",tblOrdenes[[#This Row],[orden]]&amp;IF(tblOrdenes[[#This Row],[operacion]]="","0010",tblOrdenes[[#This Row],[operacion]]))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2" t="n"/>
      <c r="K1040" s="3" t="n"/>
      <c r="L1040" s="11" t="n"/>
      <c r="M10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0" s="3">
        <f>IF(tblOrdenes[[#This Row],[fecha_inicio]]="","",YEAR(tblOrdenes[[#This Row],[fecha_inicio]]))</f>
        <v/>
      </c>
      <c r="Q1040" s="3">
        <f>IF(tblOrdenes[[#This Row],[fecha_inicio]]="","",MONTH(tblOrdenes[[#This Row],[fecha_inicio]]))</f>
        <v/>
      </c>
      <c r="R1040" s="3">
        <f>IF(tblOrdenes[[#This Row],[fecha_inicio]]="","",INDEX(lista_dias,WEEKDAY(tblOrdenes[[#This Row],[fecha_inicio]],2)))</f>
        <v/>
      </c>
      <c r="S10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0" s="3">
        <f>IF(tblOrdenes[[#This Row],[tipo_ot]]="","",_xlfn.XLOOKUP(tblOrdenes[[#This Row],[tipo_ot]],tblTiposOT[codigo],tblTiposOT[clasificacion],"sin_clasificar"))</f>
        <v/>
      </c>
      <c r="U1040" s="3">
        <f>IF(tblOrdenes[[#This Row],[centro_costo]]="","",_xlfn.XLOOKUP(tblOrdenes[[#This Row],[centro_costo]],tblCECO[codigo],tblCECO[linea],"(sin catálogo)"))</f>
        <v/>
      </c>
      <c r="V1040" s="3">
        <f>IF(tblOrdenes[[#This Row],[centro_costo]]="","",_xlfn.XLOOKUP(tblOrdenes[[#This Row],[centro_costo]],tblCECO[codigo],tblCECO[area],"(sin catálogo)"))</f>
        <v/>
      </c>
      <c r="W10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0" s="3">
        <f>IF(tblOrdenes[[#This Row],[centro_costo]]="","",_xlfn.XLOOKUP(tblOrdenes[[#This Row],[centro_costo]],tblCECO[codigo],tblCECO[coordinador],"(sin catálogo)"))</f>
        <v/>
      </c>
      <c r="Y1040" s="3">
        <f>IF(tblOrdenes[[#This Row],[puesto_trabajo]]="","",_xlfn.XLOOKUP(tblOrdenes[[#This Row],[puesto_trabajo]],tblPuestos[codigo],tblPuestos[especialidad],"(sin catálogo)"))</f>
        <v/>
      </c>
      <c r="Z1040" s="3">
        <f>IF(tblOrdenes[[#This Row],[cod_actividad]]="","",_xlfn.XLOOKUP(tblOrdenes[[#This Row],[cod_actividad]],tblActividades[codigo],tblActividades[descripcion],"(sin catálogo)"))</f>
        <v/>
      </c>
      <c r="AA1040" s="13">
        <f>IF(tblOrdenes[[#This Row],[fecha_inicio]]="","",TODAY()-tblOrdenes[[#This Row],[fecha_inicio]])</f>
        <v/>
      </c>
      <c r="AB10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0" s="3">
        <f>IF(tblOrdenes[[#This Row],[backlog_habiles]]="","",IF(tblOrdenes[[#This Row],[backlog_habiles]]&lt;0,"FUTURO",IF(tblOrdenes[[#This Row],[backlog_habiles]]&gt;p_dias_backlog_max,"BACKLOG","MES CORRIENTE")))</f>
        <v/>
      </c>
      <c r="AD1040" s="3">
        <f>IF(tblOrdenes[[#This Row],[backlog_habiles]]="",FALSE,AND(tblOrdenes[[#This Row],[backlog_habiles]]&gt;p_dias_backlog_min,tblOrdenes[[#This Row],[backlog_habiles]]&lt;=p_dias_backlog_max))</f>
        <v/>
      </c>
      <c r="AE1040" s="6" t="n"/>
      <c r="AF10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0" s="11">
        <f>IF(tblOrdenes[[#This Row],[orden]]="","",_xlfn.XLOOKUP(tblOrdenes[[#This Row],[id_operacion]],tblEjecucion[id_operacion],tblEjecucion[precio],0))</f>
        <v/>
      </c>
      <c r="AJ1040" s="11">
        <f>IF(tblOrdenes[[#This Row],[orden]]="","",MAX(0,_xlfn.XLOOKUP(tblOrdenes[[#This Row],[id_operacion]],tblEjecucion[id_operacion],tblEjecucion[costo_plan_total],0)-tblOrdenes[[#This Row],[costo_servicio]]))</f>
        <v/>
      </c>
      <c r="AK1040" s="11">
        <f>IF(tblOrdenes[[#This Row],[orden]]="","",tblOrdenes[[#This Row],[costo_servicio]]+tblOrdenes[[#This Row],[costo_materiales]])</f>
        <v/>
      </c>
      <c r="AL1040" s="6" t="n"/>
      <c r="AM1040" s="6" t="n"/>
      <c r="AN1040" s="6" t="n"/>
      <c r="AO1040" s="3">
        <f>IF(tblOrdenes[[#This Row],[link_checklist]]="","",HYPERLINK(p_ruta_base_checklists&amp;tblOrdenes[[#This Row],[link_checklist]],"abrir"))</f>
        <v/>
      </c>
      <c r="AP1040" s="6" t="n"/>
      <c r="AQ1040" s="3">
        <f>IF(tblOrdenes[[#This Row],[orden]]="","",tblOrdenes[[#This Row],[orden]]&amp;IF(tblOrdenes[[#This Row],[operacion]]="","0010",tblOrdenes[[#This Row],[operacion]]))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2" t="n"/>
      <c r="K1041" s="3" t="n"/>
      <c r="L1041" s="11" t="n"/>
      <c r="M10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1" s="3">
        <f>IF(tblOrdenes[[#This Row],[fecha_inicio]]="","",YEAR(tblOrdenes[[#This Row],[fecha_inicio]]))</f>
        <v/>
      </c>
      <c r="Q1041" s="3">
        <f>IF(tblOrdenes[[#This Row],[fecha_inicio]]="","",MONTH(tblOrdenes[[#This Row],[fecha_inicio]]))</f>
        <v/>
      </c>
      <c r="R1041" s="3">
        <f>IF(tblOrdenes[[#This Row],[fecha_inicio]]="","",INDEX(lista_dias,WEEKDAY(tblOrdenes[[#This Row],[fecha_inicio]],2)))</f>
        <v/>
      </c>
      <c r="S10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1" s="3">
        <f>IF(tblOrdenes[[#This Row],[tipo_ot]]="","",_xlfn.XLOOKUP(tblOrdenes[[#This Row],[tipo_ot]],tblTiposOT[codigo],tblTiposOT[clasificacion],"sin_clasificar"))</f>
        <v/>
      </c>
      <c r="U1041" s="3">
        <f>IF(tblOrdenes[[#This Row],[centro_costo]]="","",_xlfn.XLOOKUP(tblOrdenes[[#This Row],[centro_costo]],tblCECO[codigo],tblCECO[linea],"(sin catálogo)"))</f>
        <v/>
      </c>
      <c r="V1041" s="3">
        <f>IF(tblOrdenes[[#This Row],[centro_costo]]="","",_xlfn.XLOOKUP(tblOrdenes[[#This Row],[centro_costo]],tblCECO[codigo],tblCECO[area],"(sin catálogo)"))</f>
        <v/>
      </c>
      <c r="W10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1" s="3">
        <f>IF(tblOrdenes[[#This Row],[centro_costo]]="","",_xlfn.XLOOKUP(tblOrdenes[[#This Row],[centro_costo]],tblCECO[codigo],tblCECO[coordinador],"(sin catálogo)"))</f>
        <v/>
      </c>
      <c r="Y1041" s="3">
        <f>IF(tblOrdenes[[#This Row],[puesto_trabajo]]="","",_xlfn.XLOOKUP(tblOrdenes[[#This Row],[puesto_trabajo]],tblPuestos[codigo],tblPuestos[especialidad],"(sin catálogo)"))</f>
        <v/>
      </c>
      <c r="Z1041" s="3">
        <f>IF(tblOrdenes[[#This Row],[cod_actividad]]="","",_xlfn.XLOOKUP(tblOrdenes[[#This Row],[cod_actividad]],tblActividades[codigo],tblActividades[descripcion],"(sin catálogo)"))</f>
        <v/>
      </c>
      <c r="AA1041" s="13">
        <f>IF(tblOrdenes[[#This Row],[fecha_inicio]]="","",TODAY()-tblOrdenes[[#This Row],[fecha_inicio]])</f>
        <v/>
      </c>
      <c r="AB10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1" s="3">
        <f>IF(tblOrdenes[[#This Row],[backlog_habiles]]="","",IF(tblOrdenes[[#This Row],[backlog_habiles]]&lt;0,"FUTURO",IF(tblOrdenes[[#This Row],[backlog_habiles]]&gt;p_dias_backlog_max,"BACKLOG","MES CORRIENTE")))</f>
        <v/>
      </c>
      <c r="AD1041" s="3">
        <f>IF(tblOrdenes[[#This Row],[backlog_habiles]]="",FALSE,AND(tblOrdenes[[#This Row],[backlog_habiles]]&gt;p_dias_backlog_min,tblOrdenes[[#This Row],[backlog_habiles]]&lt;=p_dias_backlog_max))</f>
        <v/>
      </c>
      <c r="AE1041" s="6" t="n"/>
      <c r="AF10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1" s="11">
        <f>IF(tblOrdenes[[#This Row],[orden]]="","",_xlfn.XLOOKUP(tblOrdenes[[#This Row],[id_operacion]],tblEjecucion[id_operacion],tblEjecucion[precio],0))</f>
        <v/>
      </c>
      <c r="AJ1041" s="11">
        <f>IF(tblOrdenes[[#This Row],[orden]]="","",MAX(0,_xlfn.XLOOKUP(tblOrdenes[[#This Row],[id_operacion]],tblEjecucion[id_operacion],tblEjecucion[costo_plan_total],0)-tblOrdenes[[#This Row],[costo_servicio]]))</f>
        <v/>
      </c>
      <c r="AK1041" s="11">
        <f>IF(tblOrdenes[[#This Row],[orden]]="","",tblOrdenes[[#This Row],[costo_servicio]]+tblOrdenes[[#This Row],[costo_materiales]])</f>
        <v/>
      </c>
      <c r="AL1041" s="6" t="n"/>
      <c r="AM1041" s="6" t="n"/>
      <c r="AN1041" s="6" t="n"/>
      <c r="AO1041" s="3">
        <f>IF(tblOrdenes[[#This Row],[link_checklist]]="","",HYPERLINK(p_ruta_base_checklists&amp;tblOrdenes[[#This Row],[link_checklist]],"abrir"))</f>
        <v/>
      </c>
      <c r="AP1041" s="6" t="n"/>
      <c r="AQ1041" s="3">
        <f>IF(tblOrdenes[[#This Row],[orden]]="","",tblOrdenes[[#This Row],[orden]]&amp;IF(tblOrdenes[[#This Row],[operacion]]="","0010",tblOrdenes[[#This Row],[operacion]]))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2" t="n"/>
      <c r="K1042" s="3" t="n"/>
      <c r="L1042" s="11" t="n"/>
      <c r="M10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2" s="3">
        <f>IF(tblOrdenes[[#This Row],[fecha_inicio]]="","",YEAR(tblOrdenes[[#This Row],[fecha_inicio]]))</f>
        <v/>
      </c>
      <c r="Q1042" s="3">
        <f>IF(tblOrdenes[[#This Row],[fecha_inicio]]="","",MONTH(tblOrdenes[[#This Row],[fecha_inicio]]))</f>
        <v/>
      </c>
      <c r="R1042" s="3">
        <f>IF(tblOrdenes[[#This Row],[fecha_inicio]]="","",INDEX(lista_dias,WEEKDAY(tblOrdenes[[#This Row],[fecha_inicio]],2)))</f>
        <v/>
      </c>
      <c r="S10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2" s="3">
        <f>IF(tblOrdenes[[#This Row],[tipo_ot]]="","",_xlfn.XLOOKUP(tblOrdenes[[#This Row],[tipo_ot]],tblTiposOT[codigo],tblTiposOT[clasificacion],"sin_clasificar"))</f>
        <v/>
      </c>
      <c r="U1042" s="3">
        <f>IF(tblOrdenes[[#This Row],[centro_costo]]="","",_xlfn.XLOOKUP(tblOrdenes[[#This Row],[centro_costo]],tblCECO[codigo],tblCECO[linea],"(sin catálogo)"))</f>
        <v/>
      </c>
      <c r="V1042" s="3">
        <f>IF(tblOrdenes[[#This Row],[centro_costo]]="","",_xlfn.XLOOKUP(tblOrdenes[[#This Row],[centro_costo]],tblCECO[codigo],tblCECO[area],"(sin catálogo)"))</f>
        <v/>
      </c>
      <c r="W10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2" s="3">
        <f>IF(tblOrdenes[[#This Row],[centro_costo]]="","",_xlfn.XLOOKUP(tblOrdenes[[#This Row],[centro_costo]],tblCECO[codigo],tblCECO[coordinador],"(sin catálogo)"))</f>
        <v/>
      </c>
      <c r="Y1042" s="3">
        <f>IF(tblOrdenes[[#This Row],[puesto_trabajo]]="","",_xlfn.XLOOKUP(tblOrdenes[[#This Row],[puesto_trabajo]],tblPuestos[codigo],tblPuestos[especialidad],"(sin catálogo)"))</f>
        <v/>
      </c>
      <c r="Z1042" s="3">
        <f>IF(tblOrdenes[[#This Row],[cod_actividad]]="","",_xlfn.XLOOKUP(tblOrdenes[[#This Row],[cod_actividad]],tblActividades[codigo],tblActividades[descripcion],"(sin catálogo)"))</f>
        <v/>
      </c>
      <c r="AA1042" s="13">
        <f>IF(tblOrdenes[[#This Row],[fecha_inicio]]="","",TODAY()-tblOrdenes[[#This Row],[fecha_inicio]])</f>
        <v/>
      </c>
      <c r="AB10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2" s="3">
        <f>IF(tblOrdenes[[#This Row],[backlog_habiles]]="","",IF(tblOrdenes[[#This Row],[backlog_habiles]]&lt;0,"FUTURO",IF(tblOrdenes[[#This Row],[backlog_habiles]]&gt;p_dias_backlog_max,"BACKLOG","MES CORRIENTE")))</f>
        <v/>
      </c>
      <c r="AD1042" s="3">
        <f>IF(tblOrdenes[[#This Row],[backlog_habiles]]="",FALSE,AND(tblOrdenes[[#This Row],[backlog_habiles]]&gt;p_dias_backlog_min,tblOrdenes[[#This Row],[backlog_habiles]]&lt;=p_dias_backlog_max))</f>
        <v/>
      </c>
      <c r="AE1042" s="6" t="n"/>
      <c r="AF10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2" s="11">
        <f>IF(tblOrdenes[[#This Row],[orden]]="","",_xlfn.XLOOKUP(tblOrdenes[[#This Row],[id_operacion]],tblEjecucion[id_operacion],tblEjecucion[precio],0))</f>
        <v/>
      </c>
      <c r="AJ1042" s="11">
        <f>IF(tblOrdenes[[#This Row],[orden]]="","",MAX(0,_xlfn.XLOOKUP(tblOrdenes[[#This Row],[id_operacion]],tblEjecucion[id_operacion],tblEjecucion[costo_plan_total],0)-tblOrdenes[[#This Row],[costo_servicio]]))</f>
        <v/>
      </c>
      <c r="AK1042" s="11">
        <f>IF(tblOrdenes[[#This Row],[orden]]="","",tblOrdenes[[#This Row],[costo_servicio]]+tblOrdenes[[#This Row],[costo_materiales]])</f>
        <v/>
      </c>
      <c r="AL1042" s="6" t="n"/>
      <c r="AM1042" s="6" t="n"/>
      <c r="AN1042" s="6" t="n"/>
      <c r="AO1042" s="3">
        <f>IF(tblOrdenes[[#This Row],[link_checklist]]="","",HYPERLINK(p_ruta_base_checklists&amp;tblOrdenes[[#This Row],[link_checklist]],"abrir"))</f>
        <v/>
      </c>
      <c r="AP1042" s="6" t="n"/>
      <c r="AQ1042" s="3">
        <f>IF(tblOrdenes[[#This Row],[orden]]="","",tblOrdenes[[#This Row],[orden]]&amp;IF(tblOrdenes[[#This Row],[operacion]]="","0010",tblOrdenes[[#This Row],[operacion]]))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2" t="n"/>
      <c r="K1043" s="3" t="n"/>
      <c r="L1043" s="11" t="n"/>
      <c r="M10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3" s="3">
        <f>IF(tblOrdenes[[#This Row],[fecha_inicio]]="","",YEAR(tblOrdenes[[#This Row],[fecha_inicio]]))</f>
        <v/>
      </c>
      <c r="Q1043" s="3">
        <f>IF(tblOrdenes[[#This Row],[fecha_inicio]]="","",MONTH(tblOrdenes[[#This Row],[fecha_inicio]]))</f>
        <v/>
      </c>
      <c r="R1043" s="3">
        <f>IF(tblOrdenes[[#This Row],[fecha_inicio]]="","",INDEX(lista_dias,WEEKDAY(tblOrdenes[[#This Row],[fecha_inicio]],2)))</f>
        <v/>
      </c>
      <c r="S10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3" s="3">
        <f>IF(tblOrdenes[[#This Row],[tipo_ot]]="","",_xlfn.XLOOKUP(tblOrdenes[[#This Row],[tipo_ot]],tblTiposOT[codigo],tblTiposOT[clasificacion],"sin_clasificar"))</f>
        <v/>
      </c>
      <c r="U1043" s="3">
        <f>IF(tblOrdenes[[#This Row],[centro_costo]]="","",_xlfn.XLOOKUP(tblOrdenes[[#This Row],[centro_costo]],tblCECO[codigo],tblCECO[linea],"(sin catálogo)"))</f>
        <v/>
      </c>
      <c r="V1043" s="3">
        <f>IF(tblOrdenes[[#This Row],[centro_costo]]="","",_xlfn.XLOOKUP(tblOrdenes[[#This Row],[centro_costo]],tblCECO[codigo],tblCECO[area],"(sin catálogo)"))</f>
        <v/>
      </c>
      <c r="W10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3" s="3">
        <f>IF(tblOrdenes[[#This Row],[centro_costo]]="","",_xlfn.XLOOKUP(tblOrdenes[[#This Row],[centro_costo]],tblCECO[codigo],tblCECO[coordinador],"(sin catálogo)"))</f>
        <v/>
      </c>
      <c r="Y1043" s="3">
        <f>IF(tblOrdenes[[#This Row],[puesto_trabajo]]="","",_xlfn.XLOOKUP(tblOrdenes[[#This Row],[puesto_trabajo]],tblPuestos[codigo],tblPuestos[especialidad],"(sin catálogo)"))</f>
        <v/>
      </c>
      <c r="Z1043" s="3">
        <f>IF(tblOrdenes[[#This Row],[cod_actividad]]="","",_xlfn.XLOOKUP(tblOrdenes[[#This Row],[cod_actividad]],tblActividades[codigo],tblActividades[descripcion],"(sin catálogo)"))</f>
        <v/>
      </c>
      <c r="AA1043" s="13">
        <f>IF(tblOrdenes[[#This Row],[fecha_inicio]]="","",TODAY()-tblOrdenes[[#This Row],[fecha_inicio]])</f>
        <v/>
      </c>
      <c r="AB10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3" s="3">
        <f>IF(tblOrdenes[[#This Row],[backlog_habiles]]="","",IF(tblOrdenes[[#This Row],[backlog_habiles]]&lt;0,"FUTURO",IF(tblOrdenes[[#This Row],[backlog_habiles]]&gt;p_dias_backlog_max,"BACKLOG","MES CORRIENTE")))</f>
        <v/>
      </c>
      <c r="AD1043" s="3">
        <f>IF(tblOrdenes[[#This Row],[backlog_habiles]]="",FALSE,AND(tblOrdenes[[#This Row],[backlog_habiles]]&gt;p_dias_backlog_min,tblOrdenes[[#This Row],[backlog_habiles]]&lt;=p_dias_backlog_max))</f>
        <v/>
      </c>
      <c r="AE1043" s="6" t="n"/>
      <c r="AF10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3" s="11">
        <f>IF(tblOrdenes[[#This Row],[orden]]="","",_xlfn.XLOOKUP(tblOrdenes[[#This Row],[id_operacion]],tblEjecucion[id_operacion],tblEjecucion[precio],0))</f>
        <v/>
      </c>
      <c r="AJ1043" s="11">
        <f>IF(tblOrdenes[[#This Row],[orden]]="","",MAX(0,_xlfn.XLOOKUP(tblOrdenes[[#This Row],[id_operacion]],tblEjecucion[id_operacion],tblEjecucion[costo_plan_total],0)-tblOrdenes[[#This Row],[costo_servicio]]))</f>
        <v/>
      </c>
      <c r="AK1043" s="11">
        <f>IF(tblOrdenes[[#This Row],[orden]]="","",tblOrdenes[[#This Row],[costo_servicio]]+tblOrdenes[[#This Row],[costo_materiales]])</f>
        <v/>
      </c>
      <c r="AL1043" s="6" t="n"/>
      <c r="AM1043" s="6" t="n"/>
      <c r="AN1043" s="6" t="n"/>
      <c r="AO1043" s="3">
        <f>IF(tblOrdenes[[#This Row],[link_checklist]]="","",HYPERLINK(p_ruta_base_checklists&amp;tblOrdenes[[#This Row],[link_checklist]],"abrir"))</f>
        <v/>
      </c>
      <c r="AP1043" s="6" t="n"/>
      <c r="AQ1043" s="3">
        <f>IF(tblOrdenes[[#This Row],[orden]]="","",tblOrdenes[[#This Row],[orden]]&amp;IF(tblOrdenes[[#This Row],[operacion]]="","0010",tblOrdenes[[#This Row],[operacion]]))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2" t="n"/>
      <c r="K1044" s="3" t="n"/>
      <c r="L1044" s="11" t="n"/>
      <c r="M10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4" s="3">
        <f>IF(tblOrdenes[[#This Row],[fecha_inicio]]="","",YEAR(tblOrdenes[[#This Row],[fecha_inicio]]))</f>
        <v/>
      </c>
      <c r="Q1044" s="3">
        <f>IF(tblOrdenes[[#This Row],[fecha_inicio]]="","",MONTH(tblOrdenes[[#This Row],[fecha_inicio]]))</f>
        <v/>
      </c>
      <c r="R1044" s="3">
        <f>IF(tblOrdenes[[#This Row],[fecha_inicio]]="","",INDEX(lista_dias,WEEKDAY(tblOrdenes[[#This Row],[fecha_inicio]],2)))</f>
        <v/>
      </c>
      <c r="S10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4" s="3">
        <f>IF(tblOrdenes[[#This Row],[tipo_ot]]="","",_xlfn.XLOOKUP(tblOrdenes[[#This Row],[tipo_ot]],tblTiposOT[codigo],tblTiposOT[clasificacion],"sin_clasificar"))</f>
        <v/>
      </c>
      <c r="U1044" s="3">
        <f>IF(tblOrdenes[[#This Row],[centro_costo]]="","",_xlfn.XLOOKUP(tblOrdenes[[#This Row],[centro_costo]],tblCECO[codigo],tblCECO[linea],"(sin catálogo)"))</f>
        <v/>
      </c>
      <c r="V1044" s="3">
        <f>IF(tblOrdenes[[#This Row],[centro_costo]]="","",_xlfn.XLOOKUP(tblOrdenes[[#This Row],[centro_costo]],tblCECO[codigo],tblCECO[area],"(sin catálogo)"))</f>
        <v/>
      </c>
      <c r="W10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4" s="3">
        <f>IF(tblOrdenes[[#This Row],[centro_costo]]="","",_xlfn.XLOOKUP(tblOrdenes[[#This Row],[centro_costo]],tblCECO[codigo],tblCECO[coordinador],"(sin catálogo)"))</f>
        <v/>
      </c>
      <c r="Y1044" s="3">
        <f>IF(tblOrdenes[[#This Row],[puesto_trabajo]]="","",_xlfn.XLOOKUP(tblOrdenes[[#This Row],[puesto_trabajo]],tblPuestos[codigo],tblPuestos[especialidad],"(sin catálogo)"))</f>
        <v/>
      </c>
      <c r="Z1044" s="3">
        <f>IF(tblOrdenes[[#This Row],[cod_actividad]]="","",_xlfn.XLOOKUP(tblOrdenes[[#This Row],[cod_actividad]],tblActividades[codigo],tblActividades[descripcion],"(sin catálogo)"))</f>
        <v/>
      </c>
      <c r="AA1044" s="13">
        <f>IF(tblOrdenes[[#This Row],[fecha_inicio]]="","",TODAY()-tblOrdenes[[#This Row],[fecha_inicio]])</f>
        <v/>
      </c>
      <c r="AB10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4" s="3">
        <f>IF(tblOrdenes[[#This Row],[backlog_habiles]]="","",IF(tblOrdenes[[#This Row],[backlog_habiles]]&lt;0,"FUTURO",IF(tblOrdenes[[#This Row],[backlog_habiles]]&gt;p_dias_backlog_max,"BACKLOG","MES CORRIENTE")))</f>
        <v/>
      </c>
      <c r="AD1044" s="3">
        <f>IF(tblOrdenes[[#This Row],[backlog_habiles]]="",FALSE,AND(tblOrdenes[[#This Row],[backlog_habiles]]&gt;p_dias_backlog_min,tblOrdenes[[#This Row],[backlog_habiles]]&lt;=p_dias_backlog_max))</f>
        <v/>
      </c>
      <c r="AE1044" s="6" t="n"/>
      <c r="AF10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4" s="11">
        <f>IF(tblOrdenes[[#This Row],[orden]]="","",_xlfn.XLOOKUP(tblOrdenes[[#This Row],[id_operacion]],tblEjecucion[id_operacion],tblEjecucion[precio],0))</f>
        <v/>
      </c>
      <c r="AJ1044" s="11">
        <f>IF(tblOrdenes[[#This Row],[orden]]="","",MAX(0,_xlfn.XLOOKUP(tblOrdenes[[#This Row],[id_operacion]],tblEjecucion[id_operacion],tblEjecucion[costo_plan_total],0)-tblOrdenes[[#This Row],[costo_servicio]]))</f>
        <v/>
      </c>
      <c r="AK1044" s="11">
        <f>IF(tblOrdenes[[#This Row],[orden]]="","",tblOrdenes[[#This Row],[costo_servicio]]+tblOrdenes[[#This Row],[costo_materiales]])</f>
        <v/>
      </c>
      <c r="AL1044" s="6" t="n"/>
      <c r="AM1044" s="6" t="n"/>
      <c r="AN1044" s="6" t="n"/>
      <c r="AO1044" s="3">
        <f>IF(tblOrdenes[[#This Row],[link_checklist]]="","",HYPERLINK(p_ruta_base_checklists&amp;tblOrdenes[[#This Row],[link_checklist]],"abrir"))</f>
        <v/>
      </c>
      <c r="AP1044" s="6" t="n"/>
      <c r="AQ1044" s="3">
        <f>IF(tblOrdenes[[#This Row],[orden]]="","",tblOrdenes[[#This Row],[orden]]&amp;IF(tblOrdenes[[#This Row],[operacion]]="","0010",tblOrdenes[[#This Row],[operacion]]))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2" t="n"/>
      <c r="K1045" s="3" t="n"/>
      <c r="L1045" s="11" t="n"/>
      <c r="M10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5" s="3">
        <f>IF(tblOrdenes[[#This Row],[fecha_inicio]]="","",YEAR(tblOrdenes[[#This Row],[fecha_inicio]]))</f>
        <v/>
      </c>
      <c r="Q1045" s="3">
        <f>IF(tblOrdenes[[#This Row],[fecha_inicio]]="","",MONTH(tblOrdenes[[#This Row],[fecha_inicio]]))</f>
        <v/>
      </c>
      <c r="R1045" s="3">
        <f>IF(tblOrdenes[[#This Row],[fecha_inicio]]="","",INDEX(lista_dias,WEEKDAY(tblOrdenes[[#This Row],[fecha_inicio]],2)))</f>
        <v/>
      </c>
      <c r="S10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5" s="3">
        <f>IF(tblOrdenes[[#This Row],[tipo_ot]]="","",_xlfn.XLOOKUP(tblOrdenes[[#This Row],[tipo_ot]],tblTiposOT[codigo],tblTiposOT[clasificacion],"sin_clasificar"))</f>
        <v/>
      </c>
      <c r="U1045" s="3">
        <f>IF(tblOrdenes[[#This Row],[centro_costo]]="","",_xlfn.XLOOKUP(tblOrdenes[[#This Row],[centro_costo]],tblCECO[codigo],tblCECO[linea],"(sin catálogo)"))</f>
        <v/>
      </c>
      <c r="V1045" s="3">
        <f>IF(tblOrdenes[[#This Row],[centro_costo]]="","",_xlfn.XLOOKUP(tblOrdenes[[#This Row],[centro_costo]],tblCECO[codigo],tblCECO[area],"(sin catálogo)"))</f>
        <v/>
      </c>
      <c r="W10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5" s="3">
        <f>IF(tblOrdenes[[#This Row],[centro_costo]]="","",_xlfn.XLOOKUP(tblOrdenes[[#This Row],[centro_costo]],tblCECO[codigo],tblCECO[coordinador],"(sin catálogo)"))</f>
        <v/>
      </c>
      <c r="Y1045" s="3">
        <f>IF(tblOrdenes[[#This Row],[puesto_trabajo]]="","",_xlfn.XLOOKUP(tblOrdenes[[#This Row],[puesto_trabajo]],tblPuestos[codigo],tblPuestos[especialidad],"(sin catálogo)"))</f>
        <v/>
      </c>
      <c r="Z1045" s="3">
        <f>IF(tblOrdenes[[#This Row],[cod_actividad]]="","",_xlfn.XLOOKUP(tblOrdenes[[#This Row],[cod_actividad]],tblActividades[codigo],tblActividades[descripcion],"(sin catálogo)"))</f>
        <v/>
      </c>
      <c r="AA1045" s="13">
        <f>IF(tblOrdenes[[#This Row],[fecha_inicio]]="","",TODAY()-tblOrdenes[[#This Row],[fecha_inicio]])</f>
        <v/>
      </c>
      <c r="AB10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5" s="3">
        <f>IF(tblOrdenes[[#This Row],[backlog_habiles]]="","",IF(tblOrdenes[[#This Row],[backlog_habiles]]&lt;0,"FUTURO",IF(tblOrdenes[[#This Row],[backlog_habiles]]&gt;p_dias_backlog_max,"BACKLOG","MES CORRIENTE")))</f>
        <v/>
      </c>
      <c r="AD1045" s="3">
        <f>IF(tblOrdenes[[#This Row],[backlog_habiles]]="",FALSE,AND(tblOrdenes[[#This Row],[backlog_habiles]]&gt;p_dias_backlog_min,tblOrdenes[[#This Row],[backlog_habiles]]&lt;=p_dias_backlog_max))</f>
        <v/>
      </c>
      <c r="AE1045" s="6" t="n"/>
      <c r="AF10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5" s="11">
        <f>IF(tblOrdenes[[#This Row],[orden]]="","",_xlfn.XLOOKUP(tblOrdenes[[#This Row],[id_operacion]],tblEjecucion[id_operacion],tblEjecucion[precio],0))</f>
        <v/>
      </c>
      <c r="AJ1045" s="11">
        <f>IF(tblOrdenes[[#This Row],[orden]]="","",MAX(0,_xlfn.XLOOKUP(tblOrdenes[[#This Row],[id_operacion]],tblEjecucion[id_operacion],tblEjecucion[costo_plan_total],0)-tblOrdenes[[#This Row],[costo_servicio]]))</f>
        <v/>
      </c>
      <c r="AK1045" s="11">
        <f>IF(tblOrdenes[[#This Row],[orden]]="","",tblOrdenes[[#This Row],[costo_servicio]]+tblOrdenes[[#This Row],[costo_materiales]])</f>
        <v/>
      </c>
      <c r="AL1045" s="6" t="n"/>
      <c r="AM1045" s="6" t="n"/>
      <c r="AN1045" s="6" t="n"/>
      <c r="AO1045" s="3">
        <f>IF(tblOrdenes[[#This Row],[link_checklist]]="","",HYPERLINK(p_ruta_base_checklists&amp;tblOrdenes[[#This Row],[link_checklist]],"abrir"))</f>
        <v/>
      </c>
      <c r="AP1045" s="6" t="n"/>
      <c r="AQ1045" s="3">
        <f>IF(tblOrdenes[[#This Row],[orden]]="","",tblOrdenes[[#This Row],[orden]]&amp;IF(tblOrdenes[[#This Row],[operacion]]="","0010",tblOrdenes[[#This Row],[operacion]]))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2" t="n"/>
      <c r="K1046" s="3" t="n"/>
      <c r="L1046" s="11" t="n"/>
      <c r="M10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6" s="3">
        <f>IF(tblOrdenes[[#This Row],[fecha_inicio]]="","",YEAR(tblOrdenes[[#This Row],[fecha_inicio]]))</f>
        <v/>
      </c>
      <c r="Q1046" s="3">
        <f>IF(tblOrdenes[[#This Row],[fecha_inicio]]="","",MONTH(tblOrdenes[[#This Row],[fecha_inicio]]))</f>
        <v/>
      </c>
      <c r="R1046" s="3">
        <f>IF(tblOrdenes[[#This Row],[fecha_inicio]]="","",INDEX(lista_dias,WEEKDAY(tblOrdenes[[#This Row],[fecha_inicio]],2)))</f>
        <v/>
      </c>
      <c r="S10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6" s="3">
        <f>IF(tblOrdenes[[#This Row],[tipo_ot]]="","",_xlfn.XLOOKUP(tblOrdenes[[#This Row],[tipo_ot]],tblTiposOT[codigo],tblTiposOT[clasificacion],"sin_clasificar"))</f>
        <v/>
      </c>
      <c r="U1046" s="3">
        <f>IF(tblOrdenes[[#This Row],[centro_costo]]="","",_xlfn.XLOOKUP(tblOrdenes[[#This Row],[centro_costo]],tblCECO[codigo],tblCECO[linea],"(sin catálogo)"))</f>
        <v/>
      </c>
      <c r="V1046" s="3">
        <f>IF(tblOrdenes[[#This Row],[centro_costo]]="","",_xlfn.XLOOKUP(tblOrdenes[[#This Row],[centro_costo]],tblCECO[codigo],tblCECO[area],"(sin catálogo)"))</f>
        <v/>
      </c>
      <c r="W10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6" s="3">
        <f>IF(tblOrdenes[[#This Row],[centro_costo]]="","",_xlfn.XLOOKUP(tblOrdenes[[#This Row],[centro_costo]],tblCECO[codigo],tblCECO[coordinador],"(sin catálogo)"))</f>
        <v/>
      </c>
      <c r="Y1046" s="3">
        <f>IF(tblOrdenes[[#This Row],[puesto_trabajo]]="","",_xlfn.XLOOKUP(tblOrdenes[[#This Row],[puesto_trabajo]],tblPuestos[codigo],tblPuestos[especialidad],"(sin catálogo)"))</f>
        <v/>
      </c>
      <c r="Z1046" s="3">
        <f>IF(tblOrdenes[[#This Row],[cod_actividad]]="","",_xlfn.XLOOKUP(tblOrdenes[[#This Row],[cod_actividad]],tblActividades[codigo],tblActividades[descripcion],"(sin catálogo)"))</f>
        <v/>
      </c>
      <c r="AA1046" s="13">
        <f>IF(tblOrdenes[[#This Row],[fecha_inicio]]="","",TODAY()-tblOrdenes[[#This Row],[fecha_inicio]])</f>
        <v/>
      </c>
      <c r="AB10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6" s="3">
        <f>IF(tblOrdenes[[#This Row],[backlog_habiles]]="","",IF(tblOrdenes[[#This Row],[backlog_habiles]]&lt;0,"FUTURO",IF(tblOrdenes[[#This Row],[backlog_habiles]]&gt;p_dias_backlog_max,"BACKLOG","MES CORRIENTE")))</f>
        <v/>
      </c>
      <c r="AD1046" s="3">
        <f>IF(tblOrdenes[[#This Row],[backlog_habiles]]="",FALSE,AND(tblOrdenes[[#This Row],[backlog_habiles]]&gt;p_dias_backlog_min,tblOrdenes[[#This Row],[backlog_habiles]]&lt;=p_dias_backlog_max))</f>
        <v/>
      </c>
      <c r="AE1046" s="6" t="n"/>
      <c r="AF10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6" s="11">
        <f>IF(tblOrdenes[[#This Row],[orden]]="","",_xlfn.XLOOKUP(tblOrdenes[[#This Row],[id_operacion]],tblEjecucion[id_operacion],tblEjecucion[precio],0))</f>
        <v/>
      </c>
      <c r="AJ1046" s="11">
        <f>IF(tblOrdenes[[#This Row],[orden]]="","",MAX(0,_xlfn.XLOOKUP(tblOrdenes[[#This Row],[id_operacion]],tblEjecucion[id_operacion],tblEjecucion[costo_plan_total],0)-tblOrdenes[[#This Row],[costo_servicio]]))</f>
        <v/>
      </c>
      <c r="AK1046" s="11">
        <f>IF(tblOrdenes[[#This Row],[orden]]="","",tblOrdenes[[#This Row],[costo_servicio]]+tblOrdenes[[#This Row],[costo_materiales]])</f>
        <v/>
      </c>
      <c r="AL1046" s="6" t="n"/>
      <c r="AM1046" s="6" t="n"/>
      <c r="AN1046" s="6" t="n"/>
      <c r="AO1046" s="3">
        <f>IF(tblOrdenes[[#This Row],[link_checklist]]="","",HYPERLINK(p_ruta_base_checklists&amp;tblOrdenes[[#This Row],[link_checklist]],"abrir"))</f>
        <v/>
      </c>
      <c r="AP1046" s="6" t="n"/>
      <c r="AQ1046" s="3">
        <f>IF(tblOrdenes[[#This Row],[orden]]="","",tblOrdenes[[#This Row],[orden]]&amp;IF(tblOrdenes[[#This Row],[operacion]]="","0010",tblOrdenes[[#This Row],[operacion]]))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2" t="n"/>
      <c r="K1047" s="3" t="n"/>
      <c r="L1047" s="11" t="n"/>
      <c r="M10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7" s="3">
        <f>IF(tblOrdenes[[#This Row],[fecha_inicio]]="","",YEAR(tblOrdenes[[#This Row],[fecha_inicio]]))</f>
        <v/>
      </c>
      <c r="Q1047" s="3">
        <f>IF(tblOrdenes[[#This Row],[fecha_inicio]]="","",MONTH(tblOrdenes[[#This Row],[fecha_inicio]]))</f>
        <v/>
      </c>
      <c r="R1047" s="3">
        <f>IF(tblOrdenes[[#This Row],[fecha_inicio]]="","",INDEX(lista_dias,WEEKDAY(tblOrdenes[[#This Row],[fecha_inicio]],2)))</f>
        <v/>
      </c>
      <c r="S10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7" s="3">
        <f>IF(tblOrdenes[[#This Row],[tipo_ot]]="","",_xlfn.XLOOKUP(tblOrdenes[[#This Row],[tipo_ot]],tblTiposOT[codigo],tblTiposOT[clasificacion],"sin_clasificar"))</f>
        <v/>
      </c>
      <c r="U1047" s="3">
        <f>IF(tblOrdenes[[#This Row],[centro_costo]]="","",_xlfn.XLOOKUP(tblOrdenes[[#This Row],[centro_costo]],tblCECO[codigo],tblCECO[linea],"(sin catálogo)"))</f>
        <v/>
      </c>
      <c r="V1047" s="3">
        <f>IF(tblOrdenes[[#This Row],[centro_costo]]="","",_xlfn.XLOOKUP(tblOrdenes[[#This Row],[centro_costo]],tblCECO[codigo],tblCECO[area],"(sin catálogo)"))</f>
        <v/>
      </c>
      <c r="W10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7" s="3">
        <f>IF(tblOrdenes[[#This Row],[centro_costo]]="","",_xlfn.XLOOKUP(tblOrdenes[[#This Row],[centro_costo]],tblCECO[codigo],tblCECO[coordinador],"(sin catálogo)"))</f>
        <v/>
      </c>
      <c r="Y1047" s="3">
        <f>IF(tblOrdenes[[#This Row],[puesto_trabajo]]="","",_xlfn.XLOOKUP(tblOrdenes[[#This Row],[puesto_trabajo]],tblPuestos[codigo],tblPuestos[especialidad],"(sin catálogo)"))</f>
        <v/>
      </c>
      <c r="Z1047" s="3">
        <f>IF(tblOrdenes[[#This Row],[cod_actividad]]="","",_xlfn.XLOOKUP(tblOrdenes[[#This Row],[cod_actividad]],tblActividades[codigo],tblActividades[descripcion],"(sin catálogo)"))</f>
        <v/>
      </c>
      <c r="AA1047" s="13">
        <f>IF(tblOrdenes[[#This Row],[fecha_inicio]]="","",TODAY()-tblOrdenes[[#This Row],[fecha_inicio]])</f>
        <v/>
      </c>
      <c r="AB10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7" s="3">
        <f>IF(tblOrdenes[[#This Row],[backlog_habiles]]="","",IF(tblOrdenes[[#This Row],[backlog_habiles]]&lt;0,"FUTURO",IF(tblOrdenes[[#This Row],[backlog_habiles]]&gt;p_dias_backlog_max,"BACKLOG","MES CORRIENTE")))</f>
        <v/>
      </c>
      <c r="AD1047" s="3">
        <f>IF(tblOrdenes[[#This Row],[backlog_habiles]]="",FALSE,AND(tblOrdenes[[#This Row],[backlog_habiles]]&gt;p_dias_backlog_min,tblOrdenes[[#This Row],[backlog_habiles]]&lt;=p_dias_backlog_max))</f>
        <v/>
      </c>
      <c r="AE1047" s="6" t="n"/>
      <c r="AF10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7" s="11">
        <f>IF(tblOrdenes[[#This Row],[orden]]="","",_xlfn.XLOOKUP(tblOrdenes[[#This Row],[id_operacion]],tblEjecucion[id_operacion],tblEjecucion[precio],0))</f>
        <v/>
      </c>
      <c r="AJ1047" s="11">
        <f>IF(tblOrdenes[[#This Row],[orden]]="","",MAX(0,_xlfn.XLOOKUP(tblOrdenes[[#This Row],[id_operacion]],tblEjecucion[id_operacion],tblEjecucion[costo_plan_total],0)-tblOrdenes[[#This Row],[costo_servicio]]))</f>
        <v/>
      </c>
      <c r="AK1047" s="11">
        <f>IF(tblOrdenes[[#This Row],[orden]]="","",tblOrdenes[[#This Row],[costo_servicio]]+tblOrdenes[[#This Row],[costo_materiales]])</f>
        <v/>
      </c>
      <c r="AL1047" s="6" t="n"/>
      <c r="AM1047" s="6" t="n"/>
      <c r="AN1047" s="6" t="n"/>
      <c r="AO1047" s="3">
        <f>IF(tblOrdenes[[#This Row],[link_checklist]]="","",HYPERLINK(p_ruta_base_checklists&amp;tblOrdenes[[#This Row],[link_checklist]],"abrir"))</f>
        <v/>
      </c>
      <c r="AP1047" s="6" t="n"/>
      <c r="AQ1047" s="3">
        <f>IF(tblOrdenes[[#This Row],[orden]]="","",tblOrdenes[[#This Row],[orden]]&amp;IF(tblOrdenes[[#This Row],[operacion]]="","0010",tblOrdenes[[#This Row],[operacion]]))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2" t="n"/>
      <c r="K1048" s="3" t="n"/>
      <c r="L1048" s="11" t="n"/>
      <c r="M10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8" s="3">
        <f>IF(tblOrdenes[[#This Row],[fecha_inicio]]="","",YEAR(tblOrdenes[[#This Row],[fecha_inicio]]))</f>
        <v/>
      </c>
      <c r="Q1048" s="3">
        <f>IF(tblOrdenes[[#This Row],[fecha_inicio]]="","",MONTH(tblOrdenes[[#This Row],[fecha_inicio]]))</f>
        <v/>
      </c>
      <c r="R1048" s="3">
        <f>IF(tblOrdenes[[#This Row],[fecha_inicio]]="","",INDEX(lista_dias,WEEKDAY(tblOrdenes[[#This Row],[fecha_inicio]],2)))</f>
        <v/>
      </c>
      <c r="S10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8" s="3">
        <f>IF(tblOrdenes[[#This Row],[tipo_ot]]="","",_xlfn.XLOOKUP(tblOrdenes[[#This Row],[tipo_ot]],tblTiposOT[codigo],tblTiposOT[clasificacion],"sin_clasificar"))</f>
        <v/>
      </c>
      <c r="U1048" s="3">
        <f>IF(tblOrdenes[[#This Row],[centro_costo]]="","",_xlfn.XLOOKUP(tblOrdenes[[#This Row],[centro_costo]],tblCECO[codigo],tblCECO[linea],"(sin catálogo)"))</f>
        <v/>
      </c>
      <c r="V1048" s="3">
        <f>IF(tblOrdenes[[#This Row],[centro_costo]]="","",_xlfn.XLOOKUP(tblOrdenes[[#This Row],[centro_costo]],tblCECO[codigo],tblCECO[area],"(sin catálogo)"))</f>
        <v/>
      </c>
      <c r="W10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8" s="3">
        <f>IF(tblOrdenes[[#This Row],[centro_costo]]="","",_xlfn.XLOOKUP(tblOrdenes[[#This Row],[centro_costo]],tblCECO[codigo],tblCECO[coordinador],"(sin catálogo)"))</f>
        <v/>
      </c>
      <c r="Y1048" s="3">
        <f>IF(tblOrdenes[[#This Row],[puesto_trabajo]]="","",_xlfn.XLOOKUP(tblOrdenes[[#This Row],[puesto_trabajo]],tblPuestos[codigo],tblPuestos[especialidad],"(sin catálogo)"))</f>
        <v/>
      </c>
      <c r="Z1048" s="3">
        <f>IF(tblOrdenes[[#This Row],[cod_actividad]]="","",_xlfn.XLOOKUP(tblOrdenes[[#This Row],[cod_actividad]],tblActividades[codigo],tblActividades[descripcion],"(sin catálogo)"))</f>
        <v/>
      </c>
      <c r="AA1048" s="13">
        <f>IF(tblOrdenes[[#This Row],[fecha_inicio]]="","",TODAY()-tblOrdenes[[#This Row],[fecha_inicio]])</f>
        <v/>
      </c>
      <c r="AB10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8" s="3">
        <f>IF(tblOrdenes[[#This Row],[backlog_habiles]]="","",IF(tblOrdenes[[#This Row],[backlog_habiles]]&lt;0,"FUTURO",IF(tblOrdenes[[#This Row],[backlog_habiles]]&gt;p_dias_backlog_max,"BACKLOG","MES CORRIENTE")))</f>
        <v/>
      </c>
      <c r="AD1048" s="3">
        <f>IF(tblOrdenes[[#This Row],[backlog_habiles]]="",FALSE,AND(tblOrdenes[[#This Row],[backlog_habiles]]&gt;p_dias_backlog_min,tblOrdenes[[#This Row],[backlog_habiles]]&lt;=p_dias_backlog_max))</f>
        <v/>
      </c>
      <c r="AE1048" s="6" t="n"/>
      <c r="AF10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8" s="11">
        <f>IF(tblOrdenes[[#This Row],[orden]]="","",_xlfn.XLOOKUP(tblOrdenes[[#This Row],[id_operacion]],tblEjecucion[id_operacion],tblEjecucion[precio],0))</f>
        <v/>
      </c>
      <c r="AJ1048" s="11">
        <f>IF(tblOrdenes[[#This Row],[orden]]="","",MAX(0,_xlfn.XLOOKUP(tblOrdenes[[#This Row],[id_operacion]],tblEjecucion[id_operacion],tblEjecucion[costo_plan_total],0)-tblOrdenes[[#This Row],[costo_servicio]]))</f>
        <v/>
      </c>
      <c r="AK1048" s="11">
        <f>IF(tblOrdenes[[#This Row],[orden]]="","",tblOrdenes[[#This Row],[costo_servicio]]+tblOrdenes[[#This Row],[costo_materiales]])</f>
        <v/>
      </c>
      <c r="AL1048" s="6" t="n"/>
      <c r="AM1048" s="6" t="n"/>
      <c r="AN1048" s="6" t="n"/>
      <c r="AO1048" s="3">
        <f>IF(tblOrdenes[[#This Row],[link_checklist]]="","",HYPERLINK(p_ruta_base_checklists&amp;tblOrdenes[[#This Row],[link_checklist]],"abrir"))</f>
        <v/>
      </c>
      <c r="AP1048" s="6" t="n"/>
      <c r="AQ1048" s="3">
        <f>IF(tblOrdenes[[#This Row],[orden]]="","",tblOrdenes[[#This Row],[orden]]&amp;IF(tblOrdenes[[#This Row],[operacion]]="","0010",tblOrdenes[[#This Row],[operacion]]))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2" t="n"/>
      <c r="K1049" s="3" t="n"/>
      <c r="L1049" s="11" t="n"/>
      <c r="M10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9" s="3">
        <f>IF(tblOrdenes[[#This Row],[fecha_inicio]]="","",YEAR(tblOrdenes[[#This Row],[fecha_inicio]]))</f>
        <v/>
      </c>
      <c r="Q1049" s="3">
        <f>IF(tblOrdenes[[#This Row],[fecha_inicio]]="","",MONTH(tblOrdenes[[#This Row],[fecha_inicio]]))</f>
        <v/>
      </c>
      <c r="R1049" s="3">
        <f>IF(tblOrdenes[[#This Row],[fecha_inicio]]="","",INDEX(lista_dias,WEEKDAY(tblOrdenes[[#This Row],[fecha_inicio]],2)))</f>
        <v/>
      </c>
      <c r="S10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9" s="3">
        <f>IF(tblOrdenes[[#This Row],[tipo_ot]]="","",_xlfn.XLOOKUP(tblOrdenes[[#This Row],[tipo_ot]],tblTiposOT[codigo],tblTiposOT[clasificacion],"sin_clasificar"))</f>
        <v/>
      </c>
      <c r="U1049" s="3">
        <f>IF(tblOrdenes[[#This Row],[centro_costo]]="","",_xlfn.XLOOKUP(tblOrdenes[[#This Row],[centro_costo]],tblCECO[codigo],tblCECO[linea],"(sin catálogo)"))</f>
        <v/>
      </c>
      <c r="V1049" s="3">
        <f>IF(tblOrdenes[[#This Row],[centro_costo]]="","",_xlfn.XLOOKUP(tblOrdenes[[#This Row],[centro_costo]],tblCECO[codigo],tblCECO[area],"(sin catálogo)"))</f>
        <v/>
      </c>
      <c r="W10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9" s="3">
        <f>IF(tblOrdenes[[#This Row],[centro_costo]]="","",_xlfn.XLOOKUP(tblOrdenes[[#This Row],[centro_costo]],tblCECO[codigo],tblCECO[coordinador],"(sin catálogo)"))</f>
        <v/>
      </c>
      <c r="Y1049" s="3">
        <f>IF(tblOrdenes[[#This Row],[puesto_trabajo]]="","",_xlfn.XLOOKUP(tblOrdenes[[#This Row],[puesto_trabajo]],tblPuestos[codigo],tblPuestos[especialidad],"(sin catálogo)"))</f>
        <v/>
      </c>
      <c r="Z1049" s="3">
        <f>IF(tblOrdenes[[#This Row],[cod_actividad]]="","",_xlfn.XLOOKUP(tblOrdenes[[#This Row],[cod_actividad]],tblActividades[codigo],tblActividades[descripcion],"(sin catálogo)"))</f>
        <v/>
      </c>
      <c r="AA1049" s="13">
        <f>IF(tblOrdenes[[#This Row],[fecha_inicio]]="","",TODAY()-tblOrdenes[[#This Row],[fecha_inicio]])</f>
        <v/>
      </c>
      <c r="AB10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9" s="3">
        <f>IF(tblOrdenes[[#This Row],[backlog_habiles]]="","",IF(tblOrdenes[[#This Row],[backlog_habiles]]&lt;0,"FUTURO",IF(tblOrdenes[[#This Row],[backlog_habiles]]&gt;p_dias_backlog_max,"BACKLOG","MES CORRIENTE")))</f>
        <v/>
      </c>
      <c r="AD1049" s="3">
        <f>IF(tblOrdenes[[#This Row],[backlog_habiles]]="",FALSE,AND(tblOrdenes[[#This Row],[backlog_habiles]]&gt;p_dias_backlog_min,tblOrdenes[[#This Row],[backlog_habiles]]&lt;=p_dias_backlog_max))</f>
        <v/>
      </c>
      <c r="AE1049" s="6" t="n"/>
      <c r="AF10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9" s="11">
        <f>IF(tblOrdenes[[#This Row],[orden]]="","",_xlfn.XLOOKUP(tblOrdenes[[#This Row],[id_operacion]],tblEjecucion[id_operacion],tblEjecucion[precio],0))</f>
        <v/>
      </c>
      <c r="AJ1049" s="11">
        <f>IF(tblOrdenes[[#This Row],[orden]]="","",MAX(0,_xlfn.XLOOKUP(tblOrdenes[[#This Row],[id_operacion]],tblEjecucion[id_operacion],tblEjecucion[costo_plan_total],0)-tblOrdenes[[#This Row],[costo_servicio]]))</f>
        <v/>
      </c>
      <c r="AK1049" s="11">
        <f>IF(tblOrdenes[[#This Row],[orden]]="","",tblOrdenes[[#This Row],[costo_servicio]]+tblOrdenes[[#This Row],[costo_materiales]])</f>
        <v/>
      </c>
      <c r="AL1049" s="6" t="n"/>
      <c r="AM1049" s="6" t="n"/>
      <c r="AN1049" s="6" t="n"/>
      <c r="AO1049" s="3">
        <f>IF(tblOrdenes[[#This Row],[link_checklist]]="","",HYPERLINK(p_ruta_base_checklists&amp;tblOrdenes[[#This Row],[link_checklist]],"abrir"))</f>
        <v/>
      </c>
      <c r="AP1049" s="6" t="n"/>
      <c r="AQ1049" s="3">
        <f>IF(tblOrdenes[[#This Row],[orden]]="","",tblOrdenes[[#This Row],[orden]]&amp;IF(tblOrdenes[[#This Row],[operacion]]="","0010",tblOrdenes[[#This Row],[operacion]]))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2" t="n"/>
      <c r="K1050" s="3" t="n"/>
      <c r="L1050" s="11" t="n"/>
      <c r="M10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0" s="3">
        <f>IF(tblOrdenes[[#This Row],[fecha_inicio]]="","",YEAR(tblOrdenes[[#This Row],[fecha_inicio]]))</f>
        <v/>
      </c>
      <c r="Q1050" s="3">
        <f>IF(tblOrdenes[[#This Row],[fecha_inicio]]="","",MONTH(tblOrdenes[[#This Row],[fecha_inicio]]))</f>
        <v/>
      </c>
      <c r="R1050" s="3">
        <f>IF(tblOrdenes[[#This Row],[fecha_inicio]]="","",INDEX(lista_dias,WEEKDAY(tblOrdenes[[#This Row],[fecha_inicio]],2)))</f>
        <v/>
      </c>
      <c r="S10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0" s="3">
        <f>IF(tblOrdenes[[#This Row],[tipo_ot]]="","",_xlfn.XLOOKUP(tblOrdenes[[#This Row],[tipo_ot]],tblTiposOT[codigo],tblTiposOT[clasificacion],"sin_clasificar"))</f>
        <v/>
      </c>
      <c r="U1050" s="3">
        <f>IF(tblOrdenes[[#This Row],[centro_costo]]="","",_xlfn.XLOOKUP(tblOrdenes[[#This Row],[centro_costo]],tblCECO[codigo],tblCECO[linea],"(sin catálogo)"))</f>
        <v/>
      </c>
      <c r="V1050" s="3">
        <f>IF(tblOrdenes[[#This Row],[centro_costo]]="","",_xlfn.XLOOKUP(tblOrdenes[[#This Row],[centro_costo]],tblCECO[codigo],tblCECO[area],"(sin catálogo)"))</f>
        <v/>
      </c>
      <c r="W10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0" s="3">
        <f>IF(tblOrdenes[[#This Row],[centro_costo]]="","",_xlfn.XLOOKUP(tblOrdenes[[#This Row],[centro_costo]],tblCECO[codigo],tblCECO[coordinador],"(sin catálogo)"))</f>
        <v/>
      </c>
      <c r="Y1050" s="3">
        <f>IF(tblOrdenes[[#This Row],[puesto_trabajo]]="","",_xlfn.XLOOKUP(tblOrdenes[[#This Row],[puesto_trabajo]],tblPuestos[codigo],tblPuestos[especialidad],"(sin catálogo)"))</f>
        <v/>
      </c>
      <c r="Z1050" s="3">
        <f>IF(tblOrdenes[[#This Row],[cod_actividad]]="","",_xlfn.XLOOKUP(tblOrdenes[[#This Row],[cod_actividad]],tblActividades[codigo],tblActividades[descripcion],"(sin catálogo)"))</f>
        <v/>
      </c>
      <c r="AA1050" s="13">
        <f>IF(tblOrdenes[[#This Row],[fecha_inicio]]="","",TODAY()-tblOrdenes[[#This Row],[fecha_inicio]])</f>
        <v/>
      </c>
      <c r="AB10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0" s="3">
        <f>IF(tblOrdenes[[#This Row],[backlog_habiles]]="","",IF(tblOrdenes[[#This Row],[backlog_habiles]]&lt;0,"FUTURO",IF(tblOrdenes[[#This Row],[backlog_habiles]]&gt;p_dias_backlog_max,"BACKLOG","MES CORRIENTE")))</f>
        <v/>
      </c>
      <c r="AD1050" s="3">
        <f>IF(tblOrdenes[[#This Row],[backlog_habiles]]="",FALSE,AND(tblOrdenes[[#This Row],[backlog_habiles]]&gt;p_dias_backlog_min,tblOrdenes[[#This Row],[backlog_habiles]]&lt;=p_dias_backlog_max))</f>
        <v/>
      </c>
      <c r="AE1050" s="6" t="n"/>
      <c r="AF10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0" s="11">
        <f>IF(tblOrdenes[[#This Row],[orden]]="","",_xlfn.XLOOKUP(tblOrdenes[[#This Row],[id_operacion]],tblEjecucion[id_operacion],tblEjecucion[precio],0))</f>
        <v/>
      </c>
      <c r="AJ1050" s="11">
        <f>IF(tblOrdenes[[#This Row],[orden]]="","",MAX(0,_xlfn.XLOOKUP(tblOrdenes[[#This Row],[id_operacion]],tblEjecucion[id_operacion],tblEjecucion[costo_plan_total],0)-tblOrdenes[[#This Row],[costo_servicio]]))</f>
        <v/>
      </c>
      <c r="AK1050" s="11">
        <f>IF(tblOrdenes[[#This Row],[orden]]="","",tblOrdenes[[#This Row],[costo_servicio]]+tblOrdenes[[#This Row],[costo_materiales]])</f>
        <v/>
      </c>
      <c r="AL1050" s="6" t="n"/>
      <c r="AM1050" s="6" t="n"/>
      <c r="AN1050" s="6" t="n"/>
      <c r="AO1050" s="3">
        <f>IF(tblOrdenes[[#This Row],[link_checklist]]="","",HYPERLINK(p_ruta_base_checklists&amp;tblOrdenes[[#This Row],[link_checklist]],"abrir"))</f>
        <v/>
      </c>
      <c r="AP1050" s="6" t="n"/>
      <c r="AQ1050" s="3">
        <f>IF(tblOrdenes[[#This Row],[orden]]="","",tblOrdenes[[#This Row],[orden]]&amp;IF(tblOrdenes[[#This Row],[operacion]]="","0010",tblOrdenes[[#This Row],[operacion]]))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2" t="n"/>
      <c r="K1051" s="3" t="n"/>
      <c r="L1051" s="11" t="n"/>
      <c r="M10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1" s="3">
        <f>IF(tblOrdenes[[#This Row],[fecha_inicio]]="","",YEAR(tblOrdenes[[#This Row],[fecha_inicio]]))</f>
        <v/>
      </c>
      <c r="Q1051" s="3">
        <f>IF(tblOrdenes[[#This Row],[fecha_inicio]]="","",MONTH(tblOrdenes[[#This Row],[fecha_inicio]]))</f>
        <v/>
      </c>
      <c r="R1051" s="3">
        <f>IF(tblOrdenes[[#This Row],[fecha_inicio]]="","",INDEX(lista_dias,WEEKDAY(tblOrdenes[[#This Row],[fecha_inicio]],2)))</f>
        <v/>
      </c>
      <c r="S10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1" s="3">
        <f>IF(tblOrdenes[[#This Row],[tipo_ot]]="","",_xlfn.XLOOKUP(tblOrdenes[[#This Row],[tipo_ot]],tblTiposOT[codigo],tblTiposOT[clasificacion],"sin_clasificar"))</f>
        <v/>
      </c>
      <c r="U1051" s="3">
        <f>IF(tblOrdenes[[#This Row],[centro_costo]]="","",_xlfn.XLOOKUP(tblOrdenes[[#This Row],[centro_costo]],tblCECO[codigo],tblCECO[linea],"(sin catálogo)"))</f>
        <v/>
      </c>
      <c r="V1051" s="3">
        <f>IF(tblOrdenes[[#This Row],[centro_costo]]="","",_xlfn.XLOOKUP(tblOrdenes[[#This Row],[centro_costo]],tblCECO[codigo],tblCECO[area],"(sin catálogo)"))</f>
        <v/>
      </c>
      <c r="W10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1" s="3">
        <f>IF(tblOrdenes[[#This Row],[centro_costo]]="","",_xlfn.XLOOKUP(tblOrdenes[[#This Row],[centro_costo]],tblCECO[codigo],tblCECO[coordinador],"(sin catálogo)"))</f>
        <v/>
      </c>
      <c r="Y1051" s="3">
        <f>IF(tblOrdenes[[#This Row],[puesto_trabajo]]="","",_xlfn.XLOOKUP(tblOrdenes[[#This Row],[puesto_trabajo]],tblPuestos[codigo],tblPuestos[especialidad],"(sin catálogo)"))</f>
        <v/>
      </c>
      <c r="Z1051" s="3">
        <f>IF(tblOrdenes[[#This Row],[cod_actividad]]="","",_xlfn.XLOOKUP(tblOrdenes[[#This Row],[cod_actividad]],tblActividades[codigo],tblActividades[descripcion],"(sin catálogo)"))</f>
        <v/>
      </c>
      <c r="AA1051" s="13">
        <f>IF(tblOrdenes[[#This Row],[fecha_inicio]]="","",TODAY()-tblOrdenes[[#This Row],[fecha_inicio]])</f>
        <v/>
      </c>
      <c r="AB10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1" s="3">
        <f>IF(tblOrdenes[[#This Row],[backlog_habiles]]="","",IF(tblOrdenes[[#This Row],[backlog_habiles]]&lt;0,"FUTURO",IF(tblOrdenes[[#This Row],[backlog_habiles]]&gt;p_dias_backlog_max,"BACKLOG","MES CORRIENTE")))</f>
        <v/>
      </c>
      <c r="AD1051" s="3">
        <f>IF(tblOrdenes[[#This Row],[backlog_habiles]]="",FALSE,AND(tblOrdenes[[#This Row],[backlog_habiles]]&gt;p_dias_backlog_min,tblOrdenes[[#This Row],[backlog_habiles]]&lt;=p_dias_backlog_max))</f>
        <v/>
      </c>
      <c r="AE1051" s="6" t="n"/>
      <c r="AF10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1" s="11">
        <f>IF(tblOrdenes[[#This Row],[orden]]="","",_xlfn.XLOOKUP(tblOrdenes[[#This Row],[id_operacion]],tblEjecucion[id_operacion],tblEjecucion[precio],0))</f>
        <v/>
      </c>
      <c r="AJ1051" s="11">
        <f>IF(tblOrdenes[[#This Row],[orden]]="","",MAX(0,_xlfn.XLOOKUP(tblOrdenes[[#This Row],[id_operacion]],tblEjecucion[id_operacion],tblEjecucion[costo_plan_total],0)-tblOrdenes[[#This Row],[costo_servicio]]))</f>
        <v/>
      </c>
      <c r="AK1051" s="11">
        <f>IF(tblOrdenes[[#This Row],[orden]]="","",tblOrdenes[[#This Row],[costo_servicio]]+tblOrdenes[[#This Row],[costo_materiales]])</f>
        <v/>
      </c>
      <c r="AL1051" s="6" t="n"/>
      <c r="AM1051" s="6" t="n"/>
      <c r="AN1051" s="6" t="n"/>
      <c r="AO1051" s="3">
        <f>IF(tblOrdenes[[#This Row],[link_checklist]]="","",HYPERLINK(p_ruta_base_checklists&amp;tblOrdenes[[#This Row],[link_checklist]],"abrir"))</f>
        <v/>
      </c>
      <c r="AP1051" s="6" t="n"/>
      <c r="AQ1051" s="3">
        <f>IF(tblOrdenes[[#This Row],[orden]]="","",tblOrdenes[[#This Row],[orden]]&amp;IF(tblOrdenes[[#This Row],[operacion]]="","0010",tblOrdenes[[#This Row],[operacion]]))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2" t="n"/>
      <c r="K1052" s="3" t="n"/>
      <c r="L1052" s="11" t="n"/>
      <c r="M10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2" s="3">
        <f>IF(tblOrdenes[[#This Row],[fecha_inicio]]="","",YEAR(tblOrdenes[[#This Row],[fecha_inicio]]))</f>
        <v/>
      </c>
      <c r="Q1052" s="3">
        <f>IF(tblOrdenes[[#This Row],[fecha_inicio]]="","",MONTH(tblOrdenes[[#This Row],[fecha_inicio]]))</f>
        <v/>
      </c>
      <c r="R1052" s="3">
        <f>IF(tblOrdenes[[#This Row],[fecha_inicio]]="","",INDEX(lista_dias,WEEKDAY(tblOrdenes[[#This Row],[fecha_inicio]],2)))</f>
        <v/>
      </c>
      <c r="S10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2" s="3">
        <f>IF(tblOrdenes[[#This Row],[tipo_ot]]="","",_xlfn.XLOOKUP(tblOrdenes[[#This Row],[tipo_ot]],tblTiposOT[codigo],tblTiposOT[clasificacion],"sin_clasificar"))</f>
        <v/>
      </c>
      <c r="U1052" s="3">
        <f>IF(tblOrdenes[[#This Row],[centro_costo]]="","",_xlfn.XLOOKUP(tblOrdenes[[#This Row],[centro_costo]],tblCECO[codigo],tblCECO[linea],"(sin catálogo)"))</f>
        <v/>
      </c>
      <c r="V1052" s="3">
        <f>IF(tblOrdenes[[#This Row],[centro_costo]]="","",_xlfn.XLOOKUP(tblOrdenes[[#This Row],[centro_costo]],tblCECO[codigo],tblCECO[area],"(sin catálogo)"))</f>
        <v/>
      </c>
      <c r="W10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2" s="3">
        <f>IF(tblOrdenes[[#This Row],[centro_costo]]="","",_xlfn.XLOOKUP(tblOrdenes[[#This Row],[centro_costo]],tblCECO[codigo],tblCECO[coordinador],"(sin catálogo)"))</f>
        <v/>
      </c>
      <c r="Y1052" s="3">
        <f>IF(tblOrdenes[[#This Row],[puesto_trabajo]]="","",_xlfn.XLOOKUP(tblOrdenes[[#This Row],[puesto_trabajo]],tblPuestos[codigo],tblPuestos[especialidad],"(sin catálogo)"))</f>
        <v/>
      </c>
      <c r="Z1052" s="3">
        <f>IF(tblOrdenes[[#This Row],[cod_actividad]]="","",_xlfn.XLOOKUP(tblOrdenes[[#This Row],[cod_actividad]],tblActividades[codigo],tblActividades[descripcion],"(sin catálogo)"))</f>
        <v/>
      </c>
      <c r="AA1052" s="13">
        <f>IF(tblOrdenes[[#This Row],[fecha_inicio]]="","",TODAY()-tblOrdenes[[#This Row],[fecha_inicio]])</f>
        <v/>
      </c>
      <c r="AB10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2" s="3">
        <f>IF(tblOrdenes[[#This Row],[backlog_habiles]]="","",IF(tblOrdenes[[#This Row],[backlog_habiles]]&lt;0,"FUTURO",IF(tblOrdenes[[#This Row],[backlog_habiles]]&gt;p_dias_backlog_max,"BACKLOG","MES CORRIENTE")))</f>
        <v/>
      </c>
      <c r="AD1052" s="3">
        <f>IF(tblOrdenes[[#This Row],[backlog_habiles]]="",FALSE,AND(tblOrdenes[[#This Row],[backlog_habiles]]&gt;p_dias_backlog_min,tblOrdenes[[#This Row],[backlog_habiles]]&lt;=p_dias_backlog_max))</f>
        <v/>
      </c>
      <c r="AE1052" s="6" t="n"/>
      <c r="AF10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2" s="11">
        <f>IF(tblOrdenes[[#This Row],[orden]]="","",_xlfn.XLOOKUP(tblOrdenes[[#This Row],[id_operacion]],tblEjecucion[id_operacion],tblEjecucion[precio],0))</f>
        <v/>
      </c>
      <c r="AJ1052" s="11">
        <f>IF(tblOrdenes[[#This Row],[orden]]="","",MAX(0,_xlfn.XLOOKUP(tblOrdenes[[#This Row],[id_operacion]],tblEjecucion[id_operacion],tblEjecucion[costo_plan_total],0)-tblOrdenes[[#This Row],[costo_servicio]]))</f>
        <v/>
      </c>
      <c r="AK1052" s="11">
        <f>IF(tblOrdenes[[#This Row],[orden]]="","",tblOrdenes[[#This Row],[costo_servicio]]+tblOrdenes[[#This Row],[costo_materiales]])</f>
        <v/>
      </c>
      <c r="AL1052" s="6" t="n"/>
      <c r="AM1052" s="6" t="n"/>
      <c r="AN1052" s="6" t="n"/>
      <c r="AO1052" s="3">
        <f>IF(tblOrdenes[[#This Row],[link_checklist]]="","",HYPERLINK(p_ruta_base_checklists&amp;tblOrdenes[[#This Row],[link_checklist]],"abrir"))</f>
        <v/>
      </c>
      <c r="AP1052" s="6" t="n"/>
      <c r="AQ1052" s="3">
        <f>IF(tblOrdenes[[#This Row],[orden]]="","",tblOrdenes[[#This Row],[orden]]&amp;IF(tblOrdenes[[#This Row],[operacion]]="","0010",tblOrdenes[[#This Row],[operacion]]))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2" t="n"/>
      <c r="K1053" s="3" t="n"/>
      <c r="L1053" s="11" t="n"/>
      <c r="M10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3" s="3">
        <f>IF(tblOrdenes[[#This Row],[fecha_inicio]]="","",YEAR(tblOrdenes[[#This Row],[fecha_inicio]]))</f>
        <v/>
      </c>
      <c r="Q1053" s="3">
        <f>IF(tblOrdenes[[#This Row],[fecha_inicio]]="","",MONTH(tblOrdenes[[#This Row],[fecha_inicio]]))</f>
        <v/>
      </c>
      <c r="R1053" s="3">
        <f>IF(tblOrdenes[[#This Row],[fecha_inicio]]="","",INDEX(lista_dias,WEEKDAY(tblOrdenes[[#This Row],[fecha_inicio]],2)))</f>
        <v/>
      </c>
      <c r="S10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3" s="3">
        <f>IF(tblOrdenes[[#This Row],[tipo_ot]]="","",_xlfn.XLOOKUP(tblOrdenes[[#This Row],[tipo_ot]],tblTiposOT[codigo],tblTiposOT[clasificacion],"sin_clasificar"))</f>
        <v/>
      </c>
      <c r="U1053" s="3">
        <f>IF(tblOrdenes[[#This Row],[centro_costo]]="","",_xlfn.XLOOKUP(tblOrdenes[[#This Row],[centro_costo]],tblCECO[codigo],tblCECO[linea],"(sin catálogo)"))</f>
        <v/>
      </c>
      <c r="V1053" s="3">
        <f>IF(tblOrdenes[[#This Row],[centro_costo]]="","",_xlfn.XLOOKUP(tblOrdenes[[#This Row],[centro_costo]],tblCECO[codigo],tblCECO[area],"(sin catálogo)"))</f>
        <v/>
      </c>
      <c r="W10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3" s="3">
        <f>IF(tblOrdenes[[#This Row],[centro_costo]]="","",_xlfn.XLOOKUP(tblOrdenes[[#This Row],[centro_costo]],tblCECO[codigo],tblCECO[coordinador],"(sin catálogo)"))</f>
        <v/>
      </c>
      <c r="Y1053" s="3">
        <f>IF(tblOrdenes[[#This Row],[puesto_trabajo]]="","",_xlfn.XLOOKUP(tblOrdenes[[#This Row],[puesto_trabajo]],tblPuestos[codigo],tblPuestos[especialidad],"(sin catálogo)"))</f>
        <v/>
      </c>
      <c r="Z1053" s="3">
        <f>IF(tblOrdenes[[#This Row],[cod_actividad]]="","",_xlfn.XLOOKUP(tblOrdenes[[#This Row],[cod_actividad]],tblActividades[codigo],tblActividades[descripcion],"(sin catálogo)"))</f>
        <v/>
      </c>
      <c r="AA1053" s="13">
        <f>IF(tblOrdenes[[#This Row],[fecha_inicio]]="","",TODAY()-tblOrdenes[[#This Row],[fecha_inicio]])</f>
        <v/>
      </c>
      <c r="AB10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3" s="3">
        <f>IF(tblOrdenes[[#This Row],[backlog_habiles]]="","",IF(tblOrdenes[[#This Row],[backlog_habiles]]&lt;0,"FUTURO",IF(tblOrdenes[[#This Row],[backlog_habiles]]&gt;p_dias_backlog_max,"BACKLOG","MES CORRIENTE")))</f>
        <v/>
      </c>
      <c r="AD1053" s="3">
        <f>IF(tblOrdenes[[#This Row],[backlog_habiles]]="",FALSE,AND(tblOrdenes[[#This Row],[backlog_habiles]]&gt;p_dias_backlog_min,tblOrdenes[[#This Row],[backlog_habiles]]&lt;=p_dias_backlog_max))</f>
        <v/>
      </c>
      <c r="AE1053" s="6" t="n"/>
      <c r="AF10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3" s="11">
        <f>IF(tblOrdenes[[#This Row],[orden]]="","",_xlfn.XLOOKUP(tblOrdenes[[#This Row],[id_operacion]],tblEjecucion[id_operacion],tblEjecucion[precio],0))</f>
        <v/>
      </c>
      <c r="AJ1053" s="11">
        <f>IF(tblOrdenes[[#This Row],[orden]]="","",MAX(0,_xlfn.XLOOKUP(tblOrdenes[[#This Row],[id_operacion]],tblEjecucion[id_operacion],tblEjecucion[costo_plan_total],0)-tblOrdenes[[#This Row],[costo_servicio]]))</f>
        <v/>
      </c>
      <c r="AK1053" s="11">
        <f>IF(tblOrdenes[[#This Row],[orden]]="","",tblOrdenes[[#This Row],[costo_servicio]]+tblOrdenes[[#This Row],[costo_materiales]])</f>
        <v/>
      </c>
      <c r="AL1053" s="6" t="n"/>
      <c r="AM1053" s="6" t="n"/>
      <c r="AN1053" s="6" t="n"/>
      <c r="AO1053" s="3">
        <f>IF(tblOrdenes[[#This Row],[link_checklist]]="","",HYPERLINK(p_ruta_base_checklists&amp;tblOrdenes[[#This Row],[link_checklist]],"abrir"))</f>
        <v/>
      </c>
      <c r="AP1053" s="6" t="n"/>
      <c r="AQ1053" s="3">
        <f>IF(tblOrdenes[[#This Row],[orden]]="","",tblOrdenes[[#This Row],[orden]]&amp;IF(tblOrdenes[[#This Row],[operacion]]="","0010",tblOrdenes[[#This Row],[operacion]]))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2" t="n"/>
      <c r="K1054" s="3" t="n"/>
      <c r="L1054" s="11" t="n"/>
      <c r="M10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4" s="3">
        <f>IF(tblOrdenes[[#This Row],[fecha_inicio]]="","",YEAR(tblOrdenes[[#This Row],[fecha_inicio]]))</f>
        <v/>
      </c>
      <c r="Q1054" s="3">
        <f>IF(tblOrdenes[[#This Row],[fecha_inicio]]="","",MONTH(tblOrdenes[[#This Row],[fecha_inicio]]))</f>
        <v/>
      </c>
      <c r="R1054" s="3">
        <f>IF(tblOrdenes[[#This Row],[fecha_inicio]]="","",INDEX(lista_dias,WEEKDAY(tblOrdenes[[#This Row],[fecha_inicio]],2)))</f>
        <v/>
      </c>
      <c r="S10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4" s="3">
        <f>IF(tblOrdenes[[#This Row],[tipo_ot]]="","",_xlfn.XLOOKUP(tblOrdenes[[#This Row],[tipo_ot]],tblTiposOT[codigo],tblTiposOT[clasificacion],"sin_clasificar"))</f>
        <v/>
      </c>
      <c r="U1054" s="3">
        <f>IF(tblOrdenes[[#This Row],[centro_costo]]="","",_xlfn.XLOOKUP(tblOrdenes[[#This Row],[centro_costo]],tblCECO[codigo],tblCECO[linea],"(sin catálogo)"))</f>
        <v/>
      </c>
      <c r="V1054" s="3">
        <f>IF(tblOrdenes[[#This Row],[centro_costo]]="","",_xlfn.XLOOKUP(tblOrdenes[[#This Row],[centro_costo]],tblCECO[codigo],tblCECO[area],"(sin catálogo)"))</f>
        <v/>
      </c>
      <c r="W10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4" s="3">
        <f>IF(tblOrdenes[[#This Row],[centro_costo]]="","",_xlfn.XLOOKUP(tblOrdenes[[#This Row],[centro_costo]],tblCECO[codigo],tblCECO[coordinador],"(sin catálogo)"))</f>
        <v/>
      </c>
      <c r="Y1054" s="3">
        <f>IF(tblOrdenes[[#This Row],[puesto_trabajo]]="","",_xlfn.XLOOKUP(tblOrdenes[[#This Row],[puesto_trabajo]],tblPuestos[codigo],tblPuestos[especialidad],"(sin catálogo)"))</f>
        <v/>
      </c>
      <c r="Z1054" s="3">
        <f>IF(tblOrdenes[[#This Row],[cod_actividad]]="","",_xlfn.XLOOKUP(tblOrdenes[[#This Row],[cod_actividad]],tblActividades[codigo],tblActividades[descripcion],"(sin catálogo)"))</f>
        <v/>
      </c>
      <c r="AA1054" s="13">
        <f>IF(tblOrdenes[[#This Row],[fecha_inicio]]="","",TODAY()-tblOrdenes[[#This Row],[fecha_inicio]])</f>
        <v/>
      </c>
      <c r="AB10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4" s="3">
        <f>IF(tblOrdenes[[#This Row],[backlog_habiles]]="","",IF(tblOrdenes[[#This Row],[backlog_habiles]]&lt;0,"FUTURO",IF(tblOrdenes[[#This Row],[backlog_habiles]]&gt;p_dias_backlog_max,"BACKLOG","MES CORRIENTE")))</f>
        <v/>
      </c>
      <c r="AD1054" s="3">
        <f>IF(tblOrdenes[[#This Row],[backlog_habiles]]="",FALSE,AND(tblOrdenes[[#This Row],[backlog_habiles]]&gt;p_dias_backlog_min,tblOrdenes[[#This Row],[backlog_habiles]]&lt;=p_dias_backlog_max))</f>
        <v/>
      </c>
      <c r="AE1054" s="6" t="n"/>
      <c r="AF10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4" s="11">
        <f>IF(tblOrdenes[[#This Row],[orden]]="","",_xlfn.XLOOKUP(tblOrdenes[[#This Row],[id_operacion]],tblEjecucion[id_operacion],tblEjecucion[precio],0))</f>
        <v/>
      </c>
      <c r="AJ1054" s="11">
        <f>IF(tblOrdenes[[#This Row],[orden]]="","",MAX(0,_xlfn.XLOOKUP(tblOrdenes[[#This Row],[id_operacion]],tblEjecucion[id_operacion],tblEjecucion[costo_plan_total],0)-tblOrdenes[[#This Row],[costo_servicio]]))</f>
        <v/>
      </c>
      <c r="AK1054" s="11">
        <f>IF(tblOrdenes[[#This Row],[orden]]="","",tblOrdenes[[#This Row],[costo_servicio]]+tblOrdenes[[#This Row],[costo_materiales]])</f>
        <v/>
      </c>
      <c r="AL1054" s="6" t="n"/>
      <c r="AM1054" s="6" t="n"/>
      <c r="AN1054" s="6" t="n"/>
      <c r="AO1054" s="3">
        <f>IF(tblOrdenes[[#This Row],[link_checklist]]="","",HYPERLINK(p_ruta_base_checklists&amp;tblOrdenes[[#This Row],[link_checklist]],"abrir"))</f>
        <v/>
      </c>
      <c r="AP1054" s="6" t="n"/>
      <c r="AQ1054" s="3">
        <f>IF(tblOrdenes[[#This Row],[orden]]="","",tblOrdenes[[#This Row],[orden]]&amp;IF(tblOrdenes[[#This Row],[operacion]]="","0010",tblOrdenes[[#This Row],[operacion]]))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2" t="n"/>
      <c r="K1055" s="3" t="n"/>
      <c r="L1055" s="11" t="n"/>
      <c r="M10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5" s="3">
        <f>IF(tblOrdenes[[#This Row],[fecha_inicio]]="","",YEAR(tblOrdenes[[#This Row],[fecha_inicio]]))</f>
        <v/>
      </c>
      <c r="Q1055" s="3">
        <f>IF(tblOrdenes[[#This Row],[fecha_inicio]]="","",MONTH(tblOrdenes[[#This Row],[fecha_inicio]]))</f>
        <v/>
      </c>
      <c r="R1055" s="3">
        <f>IF(tblOrdenes[[#This Row],[fecha_inicio]]="","",INDEX(lista_dias,WEEKDAY(tblOrdenes[[#This Row],[fecha_inicio]],2)))</f>
        <v/>
      </c>
      <c r="S10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5" s="3">
        <f>IF(tblOrdenes[[#This Row],[tipo_ot]]="","",_xlfn.XLOOKUP(tblOrdenes[[#This Row],[tipo_ot]],tblTiposOT[codigo],tblTiposOT[clasificacion],"sin_clasificar"))</f>
        <v/>
      </c>
      <c r="U1055" s="3">
        <f>IF(tblOrdenes[[#This Row],[centro_costo]]="","",_xlfn.XLOOKUP(tblOrdenes[[#This Row],[centro_costo]],tblCECO[codigo],tblCECO[linea],"(sin catálogo)"))</f>
        <v/>
      </c>
      <c r="V1055" s="3">
        <f>IF(tblOrdenes[[#This Row],[centro_costo]]="","",_xlfn.XLOOKUP(tblOrdenes[[#This Row],[centro_costo]],tblCECO[codigo],tblCECO[area],"(sin catálogo)"))</f>
        <v/>
      </c>
      <c r="W10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5" s="3">
        <f>IF(tblOrdenes[[#This Row],[centro_costo]]="","",_xlfn.XLOOKUP(tblOrdenes[[#This Row],[centro_costo]],tblCECO[codigo],tblCECO[coordinador],"(sin catálogo)"))</f>
        <v/>
      </c>
      <c r="Y1055" s="3">
        <f>IF(tblOrdenes[[#This Row],[puesto_trabajo]]="","",_xlfn.XLOOKUP(tblOrdenes[[#This Row],[puesto_trabajo]],tblPuestos[codigo],tblPuestos[especialidad],"(sin catálogo)"))</f>
        <v/>
      </c>
      <c r="Z1055" s="3">
        <f>IF(tblOrdenes[[#This Row],[cod_actividad]]="","",_xlfn.XLOOKUP(tblOrdenes[[#This Row],[cod_actividad]],tblActividades[codigo],tblActividades[descripcion],"(sin catálogo)"))</f>
        <v/>
      </c>
      <c r="AA1055" s="13">
        <f>IF(tblOrdenes[[#This Row],[fecha_inicio]]="","",TODAY()-tblOrdenes[[#This Row],[fecha_inicio]])</f>
        <v/>
      </c>
      <c r="AB10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5" s="3">
        <f>IF(tblOrdenes[[#This Row],[backlog_habiles]]="","",IF(tblOrdenes[[#This Row],[backlog_habiles]]&lt;0,"FUTURO",IF(tblOrdenes[[#This Row],[backlog_habiles]]&gt;p_dias_backlog_max,"BACKLOG","MES CORRIENTE")))</f>
        <v/>
      </c>
      <c r="AD1055" s="3">
        <f>IF(tblOrdenes[[#This Row],[backlog_habiles]]="",FALSE,AND(tblOrdenes[[#This Row],[backlog_habiles]]&gt;p_dias_backlog_min,tblOrdenes[[#This Row],[backlog_habiles]]&lt;=p_dias_backlog_max))</f>
        <v/>
      </c>
      <c r="AE1055" s="6" t="n"/>
      <c r="AF10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5" s="11">
        <f>IF(tblOrdenes[[#This Row],[orden]]="","",_xlfn.XLOOKUP(tblOrdenes[[#This Row],[id_operacion]],tblEjecucion[id_operacion],tblEjecucion[precio],0))</f>
        <v/>
      </c>
      <c r="AJ1055" s="11">
        <f>IF(tblOrdenes[[#This Row],[orden]]="","",MAX(0,_xlfn.XLOOKUP(tblOrdenes[[#This Row],[id_operacion]],tblEjecucion[id_operacion],tblEjecucion[costo_plan_total],0)-tblOrdenes[[#This Row],[costo_servicio]]))</f>
        <v/>
      </c>
      <c r="AK1055" s="11">
        <f>IF(tblOrdenes[[#This Row],[orden]]="","",tblOrdenes[[#This Row],[costo_servicio]]+tblOrdenes[[#This Row],[costo_materiales]])</f>
        <v/>
      </c>
      <c r="AL1055" s="6" t="n"/>
      <c r="AM1055" s="6" t="n"/>
      <c r="AN1055" s="6" t="n"/>
      <c r="AO1055" s="3">
        <f>IF(tblOrdenes[[#This Row],[link_checklist]]="","",HYPERLINK(p_ruta_base_checklists&amp;tblOrdenes[[#This Row],[link_checklist]],"abrir"))</f>
        <v/>
      </c>
      <c r="AP1055" s="6" t="n"/>
      <c r="AQ1055" s="3">
        <f>IF(tblOrdenes[[#This Row],[orden]]="","",tblOrdenes[[#This Row],[orden]]&amp;IF(tblOrdenes[[#This Row],[operacion]]="","0010",tblOrdenes[[#This Row],[operacion]]))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2" t="n"/>
      <c r="K1056" s="3" t="n"/>
      <c r="L1056" s="11" t="n"/>
      <c r="M10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6" s="3">
        <f>IF(tblOrdenes[[#This Row],[fecha_inicio]]="","",YEAR(tblOrdenes[[#This Row],[fecha_inicio]]))</f>
        <v/>
      </c>
      <c r="Q1056" s="3">
        <f>IF(tblOrdenes[[#This Row],[fecha_inicio]]="","",MONTH(tblOrdenes[[#This Row],[fecha_inicio]]))</f>
        <v/>
      </c>
      <c r="R1056" s="3">
        <f>IF(tblOrdenes[[#This Row],[fecha_inicio]]="","",INDEX(lista_dias,WEEKDAY(tblOrdenes[[#This Row],[fecha_inicio]],2)))</f>
        <v/>
      </c>
      <c r="S10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6" s="3">
        <f>IF(tblOrdenes[[#This Row],[tipo_ot]]="","",_xlfn.XLOOKUP(tblOrdenes[[#This Row],[tipo_ot]],tblTiposOT[codigo],tblTiposOT[clasificacion],"sin_clasificar"))</f>
        <v/>
      </c>
      <c r="U1056" s="3">
        <f>IF(tblOrdenes[[#This Row],[centro_costo]]="","",_xlfn.XLOOKUP(tblOrdenes[[#This Row],[centro_costo]],tblCECO[codigo],tblCECO[linea],"(sin catálogo)"))</f>
        <v/>
      </c>
      <c r="V1056" s="3">
        <f>IF(tblOrdenes[[#This Row],[centro_costo]]="","",_xlfn.XLOOKUP(tblOrdenes[[#This Row],[centro_costo]],tblCECO[codigo],tblCECO[area],"(sin catálogo)"))</f>
        <v/>
      </c>
      <c r="W10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6" s="3">
        <f>IF(tblOrdenes[[#This Row],[centro_costo]]="","",_xlfn.XLOOKUP(tblOrdenes[[#This Row],[centro_costo]],tblCECO[codigo],tblCECO[coordinador],"(sin catálogo)"))</f>
        <v/>
      </c>
      <c r="Y1056" s="3">
        <f>IF(tblOrdenes[[#This Row],[puesto_trabajo]]="","",_xlfn.XLOOKUP(tblOrdenes[[#This Row],[puesto_trabajo]],tblPuestos[codigo],tblPuestos[especialidad],"(sin catálogo)"))</f>
        <v/>
      </c>
      <c r="Z1056" s="3">
        <f>IF(tblOrdenes[[#This Row],[cod_actividad]]="","",_xlfn.XLOOKUP(tblOrdenes[[#This Row],[cod_actividad]],tblActividades[codigo],tblActividades[descripcion],"(sin catálogo)"))</f>
        <v/>
      </c>
      <c r="AA1056" s="13">
        <f>IF(tblOrdenes[[#This Row],[fecha_inicio]]="","",TODAY()-tblOrdenes[[#This Row],[fecha_inicio]])</f>
        <v/>
      </c>
      <c r="AB10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6" s="3">
        <f>IF(tblOrdenes[[#This Row],[backlog_habiles]]="","",IF(tblOrdenes[[#This Row],[backlog_habiles]]&lt;0,"FUTURO",IF(tblOrdenes[[#This Row],[backlog_habiles]]&gt;p_dias_backlog_max,"BACKLOG","MES CORRIENTE")))</f>
        <v/>
      </c>
      <c r="AD1056" s="3">
        <f>IF(tblOrdenes[[#This Row],[backlog_habiles]]="",FALSE,AND(tblOrdenes[[#This Row],[backlog_habiles]]&gt;p_dias_backlog_min,tblOrdenes[[#This Row],[backlog_habiles]]&lt;=p_dias_backlog_max))</f>
        <v/>
      </c>
      <c r="AE1056" s="6" t="n"/>
      <c r="AF10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6" s="11">
        <f>IF(tblOrdenes[[#This Row],[orden]]="","",_xlfn.XLOOKUP(tblOrdenes[[#This Row],[id_operacion]],tblEjecucion[id_operacion],tblEjecucion[precio],0))</f>
        <v/>
      </c>
      <c r="AJ1056" s="11">
        <f>IF(tblOrdenes[[#This Row],[orden]]="","",MAX(0,_xlfn.XLOOKUP(tblOrdenes[[#This Row],[id_operacion]],tblEjecucion[id_operacion],tblEjecucion[costo_plan_total],0)-tblOrdenes[[#This Row],[costo_servicio]]))</f>
        <v/>
      </c>
      <c r="AK1056" s="11">
        <f>IF(tblOrdenes[[#This Row],[orden]]="","",tblOrdenes[[#This Row],[costo_servicio]]+tblOrdenes[[#This Row],[costo_materiales]])</f>
        <v/>
      </c>
      <c r="AL1056" s="6" t="n"/>
      <c r="AM1056" s="6" t="n"/>
      <c r="AN1056" s="6" t="n"/>
      <c r="AO1056" s="3">
        <f>IF(tblOrdenes[[#This Row],[link_checklist]]="","",HYPERLINK(p_ruta_base_checklists&amp;tblOrdenes[[#This Row],[link_checklist]],"abrir"))</f>
        <v/>
      </c>
      <c r="AP1056" s="6" t="n"/>
      <c r="AQ1056" s="3">
        <f>IF(tblOrdenes[[#This Row],[orden]]="","",tblOrdenes[[#This Row],[orden]]&amp;IF(tblOrdenes[[#This Row],[operacion]]="","0010",tblOrdenes[[#This Row],[operacion]]))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2" t="n"/>
      <c r="K1057" s="3" t="n"/>
      <c r="L1057" s="11" t="n"/>
      <c r="M10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7" s="3">
        <f>IF(tblOrdenes[[#This Row],[fecha_inicio]]="","",YEAR(tblOrdenes[[#This Row],[fecha_inicio]]))</f>
        <v/>
      </c>
      <c r="Q1057" s="3">
        <f>IF(tblOrdenes[[#This Row],[fecha_inicio]]="","",MONTH(tblOrdenes[[#This Row],[fecha_inicio]]))</f>
        <v/>
      </c>
      <c r="R1057" s="3">
        <f>IF(tblOrdenes[[#This Row],[fecha_inicio]]="","",INDEX(lista_dias,WEEKDAY(tblOrdenes[[#This Row],[fecha_inicio]],2)))</f>
        <v/>
      </c>
      <c r="S10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7" s="3">
        <f>IF(tblOrdenes[[#This Row],[tipo_ot]]="","",_xlfn.XLOOKUP(tblOrdenes[[#This Row],[tipo_ot]],tblTiposOT[codigo],tblTiposOT[clasificacion],"sin_clasificar"))</f>
        <v/>
      </c>
      <c r="U1057" s="3">
        <f>IF(tblOrdenes[[#This Row],[centro_costo]]="","",_xlfn.XLOOKUP(tblOrdenes[[#This Row],[centro_costo]],tblCECO[codigo],tblCECO[linea],"(sin catálogo)"))</f>
        <v/>
      </c>
      <c r="V1057" s="3">
        <f>IF(tblOrdenes[[#This Row],[centro_costo]]="","",_xlfn.XLOOKUP(tblOrdenes[[#This Row],[centro_costo]],tblCECO[codigo],tblCECO[area],"(sin catálogo)"))</f>
        <v/>
      </c>
      <c r="W10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7" s="3">
        <f>IF(tblOrdenes[[#This Row],[centro_costo]]="","",_xlfn.XLOOKUP(tblOrdenes[[#This Row],[centro_costo]],tblCECO[codigo],tblCECO[coordinador],"(sin catálogo)"))</f>
        <v/>
      </c>
      <c r="Y1057" s="3">
        <f>IF(tblOrdenes[[#This Row],[puesto_trabajo]]="","",_xlfn.XLOOKUP(tblOrdenes[[#This Row],[puesto_trabajo]],tblPuestos[codigo],tblPuestos[especialidad],"(sin catálogo)"))</f>
        <v/>
      </c>
      <c r="Z1057" s="3">
        <f>IF(tblOrdenes[[#This Row],[cod_actividad]]="","",_xlfn.XLOOKUP(tblOrdenes[[#This Row],[cod_actividad]],tblActividades[codigo],tblActividades[descripcion],"(sin catálogo)"))</f>
        <v/>
      </c>
      <c r="AA1057" s="13">
        <f>IF(tblOrdenes[[#This Row],[fecha_inicio]]="","",TODAY()-tblOrdenes[[#This Row],[fecha_inicio]])</f>
        <v/>
      </c>
      <c r="AB10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7" s="3">
        <f>IF(tblOrdenes[[#This Row],[backlog_habiles]]="","",IF(tblOrdenes[[#This Row],[backlog_habiles]]&lt;0,"FUTURO",IF(tblOrdenes[[#This Row],[backlog_habiles]]&gt;p_dias_backlog_max,"BACKLOG","MES CORRIENTE")))</f>
        <v/>
      </c>
      <c r="AD1057" s="3">
        <f>IF(tblOrdenes[[#This Row],[backlog_habiles]]="",FALSE,AND(tblOrdenes[[#This Row],[backlog_habiles]]&gt;p_dias_backlog_min,tblOrdenes[[#This Row],[backlog_habiles]]&lt;=p_dias_backlog_max))</f>
        <v/>
      </c>
      <c r="AE1057" s="6" t="n"/>
      <c r="AF10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7" s="11">
        <f>IF(tblOrdenes[[#This Row],[orden]]="","",_xlfn.XLOOKUP(tblOrdenes[[#This Row],[id_operacion]],tblEjecucion[id_operacion],tblEjecucion[precio],0))</f>
        <v/>
      </c>
      <c r="AJ1057" s="11">
        <f>IF(tblOrdenes[[#This Row],[orden]]="","",MAX(0,_xlfn.XLOOKUP(tblOrdenes[[#This Row],[id_operacion]],tblEjecucion[id_operacion],tblEjecucion[costo_plan_total],0)-tblOrdenes[[#This Row],[costo_servicio]]))</f>
        <v/>
      </c>
      <c r="AK1057" s="11">
        <f>IF(tblOrdenes[[#This Row],[orden]]="","",tblOrdenes[[#This Row],[costo_servicio]]+tblOrdenes[[#This Row],[costo_materiales]])</f>
        <v/>
      </c>
      <c r="AL1057" s="6" t="n"/>
      <c r="AM1057" s="6" t="n"/>
      <c r="AN1057" s="6" t="n"/>
      <c r="AO1057" s="3">
        <f>IF(tblOrdenes[[#This Row],[link_checklist]]="","",HYPERLINK(p_ruta_base_checklists&amp;tblOrdenes[[#This Row],[link_checklist]],"abrir"))</f>
        <v/>
      </c>
      <c r="AP1057" s="6" t="n"/>
      <c r="AQ1057" s="3">
        <f>IF(tblOrdenes[[#This Row],[orden]]="","",tblOrdenes[[#This Row],[orden]]&amp;IF(tblOrdenes[[#This Row],[operacion]]="","0010",tblOrdenes[[#This Row],[operacion]]))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2" t="n"/>
      <c r="K1058" s="3" t="n"/>
      <c r="L1058" s="11" t="n"/>
      <c r="M10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8" s="3">
        <f>IF(tblOrdenes[[#This Row],[fecha_inicio]]="","",YEAR(tblOrdenes[[#This Row],[fecha_inicio]]))</f>
        <v/>
      </c>
      <c r="Q1058" s="3">
        <f>IF(tblOrdenes[[#This Row],[fecha_inicio]]="","",MONTH(tblOrdenes[[#This Row],[fecha_inicio]]))</f>
        <v/>
      </c>
      <c r="R1058" s="3">
        <f>IF(tblOrdenes[[#This Row],[fecha_inicio]]="","",INDEX(lista_dias,WEEKDAY(tblOrdenes[[#This Row],[fecha_inicio]],2)))</f>
        <v/>
      </c>
      <c r="S10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8" s="3">
        <f>IF(tblOrdenes[[#This Row],[tipo_ot]]="","",_xlfn.XLOOKUP(tblOrdenes[[#This Row],[tipo_ot]],tblTiposOT[codigo],tblTiposOT[clasificacion],"sin_clasificar"))</f>
        <v/>
      </c>
      <c r="U1058" s="3">
        <f>IF(tblOrdenes[[#This Row],[centro_costo]]="","",_xlfn.XLOOKUP(tblOrdenes[[#This Row],[centro_costo]],tblCECO[codigo],tblCECO[linea],"(sin catálogo)"))</f>
        <v/>
      </c>
      <c r="V1058" s="3">
        <f>IF(tblOrdenes[[#This Row],[centro_costo]]="","",_xlfn.XLOOKUP(tblOrdenes[[#This Row],[centro_costo]],tblCECO[codigo],tblCECO[area],"(sin catálogo)"))</f>
        <v/>
      </c>
      <c r="W10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8" s="3">
        <f>IF(tblOrdenes[[#This Row],[centro_costo]]="","",_xlfn.XLOOKUP(tblOrdenes[[#This Row],[centro_costo]],tblCECO[codigo],tblCECO[coordinador],"(sin catálogo)"))</f>
        <v/>
      </c>
      <c r="Y1058" s="3">
        <f>IF(tblOrdenes[[#This Row],[puesto_trabajo]]="","",_xlfn.XLOOKUP(tblOrdenes[[#This Row],[puesto_trabajo]],tblPuestos[codigo],tblPuestos[especialidad],"(sin catálogo)"))</f>
        <v/>
      </c>
      <c r="Z1058" s="3">
        <f>IF(tblOrdenes[[#This Row],[cod_actividad]]="","",_xlfn.XLOOKUP(tblOrdenes[[#This Row],[cod_actividad]],tblActividades[codigo],tblActividades[descripcion],"(sin catálogo)"))</f>
        <v/>
      </c>
      <c r="AA1058" s="13">
        <f>IF(tblOrdenes[[#This Row],[fecha_inicio]]="","",TODAY()-tblOrdenes[[#This Row],[fecha_inicio]])</f>
        <v/>
      </c>
      <c r="AB10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8" s="3">
        <f>IF(tblOrdenes[[#This Row],[backlog_habiles]]="","",IF(tblOrdenes[[#This Row],[backlog_habiles]]&lt;0,"FUTURO",IF(tblOrdenes[[#This Row],[backlog_habiles]]&gt;p_dias_backlog_max,"BACKLOG","MES CORRIENTE")))</f>
        <v/>
      </c>
      <c r="AD1058" s="3">
        <f>IF(tblOrdenes[[#This Row],[backlog_habiles]]="",FALSE,AND(tblOrdenes[[#This Row],[backlog_habiles]]&gt;p_dias_backlog_min,tblOrdenes[[#This Row],[backlog_habiles]]&lt;=p_dias_backlog_max))</f>
        <v/>
      </c>
      <c r="AE1058" s="6" t="n"/>
      <c r="AF10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8" s="11">
        <f>IF(tblOrdenes[[#This Row],[orden]]="","",_xlfn.XLOOKUP(tblOrdenes[[#This Row],[id_operacion]],tblEjecucion[id_operacion],tblEjecucion[precio],0))</f>
        <v/>
      </c>
      <c r="AJ1058" s="11">
        <f>IF(tblOrdenes[[#This Row],[orden]]="","",MAX(0,_xlfn.XLOOKUP(tblOrdenes[[#This Row],[id_operacion]],tblEjecucion[id_operacion],tblEjecucion[costo_plan_total],0)-tblOrdenes[[#This Row],[costo_servicio]]))</f>
        <v/>
      </c>
      <c r="AK1058" s="11">
        <f>IF(tblOrdenes[[#This Row],[orden]]="","",tblOrdenes[[#This Row],[costo_servicio]]+tblOrdenes[[#This Row],[costo_materiales]])</f>
        <v/>
      </c>
      <c r="AL1058" s="6" t="n"/>
      <c r="AM1058" s="6" t="n"/>
      <c r="AN1058" s="6" t="n"/>
      <c r="AO1058" s="3">
        <f>IF(tblOrdenes[[#This Row],[link_checklist]]="","",HYPERLINK(p_ruta_base_checklists&amp;tblOrdenes[[#This Row],[link_checklist]],"abrir"))</f>
        <v/>
      </c>
      <c r="AP1058" s="6" t="n"/>
      <c r="AQ1058" s="3">
        <f>IF(tblOrdenes[[#This Row],[orden]]="","",tblOrdenes[[#This Row],[orden]]&amp;IF(tblOrdenes[[#This Row],[operacion]]="","0010",tblOrdenes[[#This Row],[operacion]]))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2" t="n"/>
      <c r="K1059" s="3" t="n"/>
      <c r="L1059" s="11" t="n"/>
      <c r="M10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9" s="3">
        <f>IF(tblOrdenes[[#This Row],[fecha_inicio]]="","",YEAR(tblOrdenes[[#This Row],[fecha_inicio]]))</f>
        <v/>
      </c>
      <c r="Q1059" s="3">
        <f>IF(tblOrdenes[[#This Row],[fecha_inicio]]="","",MONTH(tblOrdenes[[#This Row],[fecha_inicio]]))</f>
        <v/>
      </c>
      <c r="R1059" s="3">
        <f>IF(tblOrdenes[[#This Row],[fecha_inicio]]="","",INDEX(lista_dias,WEEKDAY(tblOrdenes[[#This Row],[fecha_inicio]],2)))</f>
        <v/>
      </c>
      <c r="S10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9" s="3">
        <f>IF(tblOrdenes[[#This Row],[tipo_ot]]="","",_xlfn.XLOOKUP(tblOrdenes[[#This Row],[tipo_ot]],tblTiposOT[codigo],tblTiposOT[clasificacion],"sin_clasificar"))</f>
        <v/>
      </c>
      <c r="U1059" s="3">
        <f>IF(tblOrdenes[[#This Row],[centro_costo]]="","",_xlfn.XLOOKUP(tblOrdenes[[#This Row],[centro_costo]],tblCECO[codigo],tblCECO[linea],"(sin catálogo)"))</f>
        <v/>
      </c>
      <c r="V1059" s="3">
        <f>IF(tblOrdenes[[#This Row],[centro_costo]]="","",_xlfn.XLOOKUP(tblOrdenes[[#This Row],[centro_costo]],tblCECO[codigo],tblCECO[area],"(sin catálogo)"))</f>
        <v/>
      </c>
      <c r="W10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9" s="3">
        <f>IF(tblOrdenes[[#This Row],[centro_costo]]="","",_xlfn.XLOOKUP(tblOrdenes[[#This Row],[centro_costo]],tblCECO[codigo],tblCECO[coordinador],"(sin catálogo)"))</f>
        <v/>
      </c>
      <c r="Y1059" s="3">
        <f>IF(tblOrdenes[[#This Row],[puesto_trabajo]]="","",_xlfn.XLOOKUP(tblOrdenes[[#This Row],[puesto_trabajo]],tblPuestos[codigo],tblPuestos[especialidad],"(sin catálogo)"))</f>
        <v/>
      </c>
      <c r="Z1059" s="3">
        <f>IF(tblOrdenes[[#This Row],[cod_actividad]]="","",_xlfn.XLOOKUP(tblOrdenes[[#This Row],[cod_actividad]],tblActividades[codigo],tblActividades[descripcion],"(sin catálogo)"))</f>
        <v/>
      </c>
      <c r="AA1059" s="13">
        <f>IF(tblOrdenes[[#This Row],[fecha_inicio]]="","",TODAY()-tblOrdenes[[#This Row],[fecha_inicio]])</f>
        <v/>
      </c>
      <c r="AB10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9" s="3">
        <f>IF(tblOrdenes[[#This Row],[backlog_habiles]]="","",IF(tblOrdenes[[#This Row],[backlog_habiles]]&lt;0,"FUTURO",IF(tblOrdenes[[#This Row],[backlog_habiles]]&gt;p_dias_backlog_max,"BACKLOG","MES CORRIENTE")))</f>
        <v/>
      </c>
      <c r="AD1059" s="3">
        <f>IF(tblOrdenes[[#This Row],[backlog_habiles]]="",FALSE,AND(tblOrdenes[[#This Row],[backlog_habiles]]&gt;p_dias_backlog_min,tblOrdenes[[#This Row],[backlog_habiles]]&lt;=p_dias_backlog_max))</f>
        <v/>
      </c>
      <c r="AE1059" s="6" t="n"/>
      <c r="AF10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9" s="11">
        <f>IF(tblOrdenes[[#This Row],[orden]]="","",_xlfn.XLOOKUP(tblOrdenes[[#This Row],[id_operacion]],tblEjecucion[id_operacion],tblEjecucion[precio],0))</f>
        <v/>
      </c>
      <c r="AJ1059" s="11">
        <f>IF(tblOrdenes[[#This Row],[orden]]="","",MAX(0,_xlfn.XLOOKUP(tblOrdenes[[#This Row],[id_operacion]],tblEjecucion[id_operacion],tblEjecucion[costo_plan_total],0)-tblOrdenes[[#This Row],[costo_servicio]]))</f>
        <v/>
      </c>
      <c r="AK1059" s="11">
        <f>IF(tblOrdenes[[#This Row],[orden]]="","",tblOrdenes[[#This Row],[costo_servicio]]+tblOrdenes[[#This Row],[costo_materiales]])</f>
        <v/>
      </c>
      <c r="AL1059" s="6" t="n"/>
      <c r="AM1059" s="6" t="n"/>
      <c r="AN1059" s="6" t="n"/>
      <c r="AO1059" s="3">
        <f>IF(tblOrdenes[[#This Row],[link_checklist]]="","",HYPERLINK(p_ruta_base_checklists&amp;tblOrdenes[[#This Row],[link_checklist]],"abrir"))</f>
        <v/>
      </c>
      <c r="AP1059" s="6" t="n"/>
      <c r="AQ1059" s="3">
        <f>IF(tblOrdenes[[#This Row],[orden]]="","",tblOrdenes[[#This Row],[orden]]&amp;IF(tblOrdenes[[#This Row],[operacion]]="","0010",tblOrdenes[[#This Row],[operacion]]))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2" t="n"/>
      <c r="K1060" s="3" t="n"/>
      <c r="L1060" s="11" t="n"/>
      <c r="M10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0" s="3">
        <f>IF(tblOrdenes[[#This Row],[fecha_inicio]]="","",YEAR(tblOrdenes[[#This Row],[fecha_inicio]]))</f>
        <v/>
      </c>
      <c r="Q1060" s="3">
        <f>IF(tblOrdenes[[#This Row],[fecha_inicio]]="","",MONTH(tblOrdenes[[#This Row],[fecha_inicio]]))</f>
        <v/>
      </c>
      <c r="R1060" s="3">
        <f>IF(tblOrdenes[[#This Row],[fecha_inicio]]="","",INDEX(lista_dias,WEEKDAY(tblOrdenes[[#This Row],[fecha_inicio]],2)))</f>
        <v/>
      </c>
      <c r="S10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0" s="3">
        <f>IF(tblOrdenes[[#This Row],[tipo_ot]]="","",_xlfn.XLOOKUP(tblOrdenes[[#This Row],[tipo_ot]],tblTiposOT[codigo],tblTiposOT[clasificacion],"sin_clasificar"))</f>
        <v/>
      </c>
      <c r="U1060" s="3">
        <f>IF(tblOrdenes[[#This Row],[centro_costo]]="","",_xlfn.XLOOKUP(tblOrdenes[[#This Row],[centro_costo]],tblCECO[codigo],tblCECO[linea],"(sin catálogo)"))</f>
        <v/>
      </c>
      <c r="V1060" s="3">
        <f>IF(tblOrdenes[[#This Row],[centro_costo]]="","",_xlfn.XLOOKUP(tblOrdenes[[#This Row],[centro_costo]],tblCECO[codigo],tblCECO[area],"(sin catálogo)"))</f>
        <v/>
      </c>
      <c r="W10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0" s="3">
        <f>IF(tblOrdenes[[#This Row],[centro_costo]]="","",_xlfn.XLOOKUP(tblOrdenes[[#This Row],[centro_costo]],tblCECO[codigo],tblCECO[coordinador],"(sin catálogo)"))</f>
        <v/>
      </c>
      <c r="Y1060" s="3">
        <f>IF(tblOrdenes[[#This Row],[puesto_trabajo]]="","",_xlfn.XLOOKUP(tblOrdenes[[#This Row],[puesto_trabajo]],tblPuestos[codigo],tblPuestos[especialidad],"(sin catálogo)"))</f>
        <v/>
      </c>
      <c r="Z1060" s="3">
        <f>IF(tblOrdenes[[#This Row],[cod_actividad]]="","",_xlfn.XLOOKUP(tblOrdenes[[#This Row],[cod_actividad]],tblActividades[codigo],tblActividades[descripcion],"(sin catálogo)"))</f>
        <v/>
      </c>
      <c r="AA1060" s="13">
        <f>IF(tblOrdenes[[#This Row],[fecha_inicio]]="","",TODAY()-tblOrdenes[[#This Row],[fecha_inicio]])</f>
        <v/>
      </c>
      <c r="AB10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0" s="3">
        <f>IF(tblOrdenes[[#This Row],[backlog_habiles]]="","",IF(tblOrdenes[[#This Row],[backlog_habiles]]&lt;0,"FUTURO",IF(tblOrdenes[[#This Row],[backlog_habiles]]&gt;p_dias_backlog_max,"BACKLOG","MES CORRIENTE")))</f>
        <v/>
      </c>
      <c r="AD1060" s="3">
        <f>IF(tblOrdenes[[#This Row],[backlog_habiles]]="",FALSE,AND(tblOrdenes[[#This Row],[backlog_habiles]]&gt;p_dias_backlog_min,tblOrdenes[[#This Row],[backlog_habiles]]&lt;=p_dias_backlog_max))</f>
        <v/>
      </c>
      <c r="AE1060" s="6" t="n"/>
      <c r="AF10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0" s="11">
        <f>IF(tblOrdenes[[#This Row],[orden]]="","",_xlfn.XLOOKUP(tblOrdenes[[#This Row],[id_operacion]],tblEjecucion[id_operacion],tblEjecucion[precio],0))</f>
        <v/>
      </c>
      <c r="AJ1060" s="11">
        <f>IF(tblOrdenes[[#This Row],[orden]]="","",MAX(0,_xlfn.XLOOKUP(tblOrdenes[[#This Row],[id_operacion]],tblEjecucion[id_operacion],tblEjecucion[costo_plan_total],0)-tblOrdenes[[#This Row],[costo_servicio]]))</f>
        <v/>
      </c>
      <c r="AK1060" s="11">
        <f>IF(tblOrdenes[[#This Row],[orden]]="","",tblOrdenes[[#This Row],[costo_servicio]]+tblOrdenes[[#This Row],[costo_materiales]])</f>
        <v/>
      </c>
      <c r="AL1060" s="6" t="n"/>
      <c r="AM1060" s="6" t="n"/>
      <c r="AN1060" s="6" t="n"/>
      <c r="AO1060" s="3">
        <f>IF(tblOrdenes[[#This Row],[link_checklist]]="","",HYPERLINK(p_ruta_base_checklists&amp;tblOrdenes[[#This Row],[link_checklist]],"abrir"))</f>
        <v/>
      </c>
      <c r="AP1060" s="6" t="n"/>
      <c r="AQ1060" s="3">
        <f>IF(tblOrdenes[[#This Row],[orden]]="","",tblOrdenes[[#This Row],[orden]]&amp;IF(tblOrdenes[[#This Row],[operacion]]="","0010",tblOrdenes[[#This Row],[operacion]]))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2" t="n"/>
      <c r="K1061" s="3" t="n"/>
      <c r="L1061" s="11" t="n"/>
      <c r="M10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1" s="3">
        <f>IF(tblOrdenes[[#This Row],[fecha_inicio]]="","",YEAR(tblOrdenes[[#This Row],[fecha_inicio]]))</f>
        <v/>
      </c>
      <c r="Q1061" s="3">
        <f>IF(tblOrdenes[[#This Row],[fecha_inicio]]="","",MONTH(tblOrdenes[[#This Row],[fecha_inicio]]))</f>
        <v/>
      </c>
      <c r="R1061" s="3">
        <f>IF(tblOrdenes[[#This Row],[fecha_inicio]]="","",INDEX(lista_dias,WEEKDAY(tblOrdenes[[#This Row],[fecha_inicio]],2)))</f>
        <v/>
      </c>
      <c r="S10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1" s="3">
        <f>IF(tblOrdenes[[#This Row],[tipo_ot]]="","",_xlfn.XLOOKUP(tblOrdenes[[#This Row],[tipo_ot]],tblTiposOT[codigo],tblTiposOT[clasificacion],"sin_clasificar"))</f>
        <v/>
      </c>
      <c r="U1061" s="3">
        <f>IF(tblOrdenes[[#This Row],[centro_costo]]="","",_xlfn.XLOOKUP(tblOrdenes[[#This Row],[centro_costo]],tblCECO[codigo],tblCECO[linea],"(sin catálogo)"))</f>
        <v/>
      </c>
      <c r="V1061" s="3">
        <f>IF(tblOrdenes[[#This Row],[centro_costo]]="","",_xlfn.XLOOKUP(tblOrdenes[[#This Row],[centro_costo]],tblCECO[codigo],tblCECO[area],"(sin catálogo)"))</f>
        <v/>
      </c>
      <c r="W10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1" s="3">
        <f>IF(tblOrdenes[[#This Row],[centro_costo]]="","",_xlfn.XLOOKUP(tblOrdenes[[#This Row],[centro_costo]],tblCECO[codigo],tblCECO[coordinador],"(sin catálogo)"))</f>
        <v/>
      </c>
      <c r="Y1061" s="3">
        <f>IF(tblOrdenes[[#This Row],[puesto_trabajo]]="","",_xlfn.XLOOKUP(tblOrdenes[[#This Row],[puesto_trabajo]],tblPuestos[codigo],tblPuestos[especialidad],"(sin catálogo)"))</f>
        <v/>
      </c>
      <c r="Z1061" s="3">
        <f>IF(tblOrdenes[[#This Row],[cod_actividad]]="","",_xlfn.XLOOKUP(tblOrdenes[[#This Row],[cod_actividad]],tblActividades[codigo],tblActividades[descripcion],"(sin catálogo)"))</f>
        <v/>
      </c>
      <c r="AA1061" s="13">
        <f>IF(tblOrdenes[[#This Row],[fecha_inicio]]="","",TODAY()-tblOrdenes[[#This Row],[fecha_inicio]])</f>
        <v/>
      </c>
      <c r="AB10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1" s="3">
        <f>IF(tblOrdenes[[#This Row],[backlog_habiles]]="","",IF(tblOrdenes[[#This Row],[backlog_habiles]]&lt;0,"FUTURO",IF(tblOrdenes[[#This Row],[backlog_habiles]]&gt;p_dias_backlog_max,"BACKLOG","MES CORRIENTE")))</f>
        <v/>
      </c>
      <c r="AD1061" s="3">
        <f>IF(tblOrdenes[[#This Row],[backlog_habiles]]="",FALSE,AND(tblOrdenes[[#This Row],[backlog_habiles]]&gt;p_dias_backlog_min,tblOrdenes[[#This Row],[backlog_habiles]]&lt;=p_dias_backlog_max))</f>
        <v/>
      </c>
      <c r="AE1061" s="6" t="n"/>
      <c r="AF10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1" s="11">
        <f>IF(tblOrdenes[[#This Row],[orden]]="","",_xlfn.XLOOKUP(tblOrdenes[[#This Row],[id_operacion]],tblEjecucion[id_operacion],tblEjecucion[precio],0))</f>
        <v/>
      </c>
      <c r="AJ1061" s="11">
        <f>IF(tblOrdenes[[#This Row],[orden]]="","",MAX(0,_xlfn.XLOOKUP(tblOrdenes[[#This Row],[id_operacion]],tblEjecucion[id_operacion],tblEjecucion[costo_plan_total],0)-tblOrdenes[[#This Row],[costo_servicio]]))</f>
        <v/>
      </c>
      <c r="AK1061" s="11">
        <f>IF(tblOrdenes[[#This Row],[orden]]="","",tblOrdenes[[#This Row],[costo_servicio]]+tblOrdenes[[#This Row],[costo_materiales]])</f>
        <v/>
      </c>
      <c r="AL1061" s="6" t="n"/>
      <c r="AM1061" s="6" t="n"/>
      <c r="AN1061" s="6" t="n"/>
      <c r="AO1061" s="3">
        <f>IF(tblOrdenes[[#This Row],[link_checklist]]="","",HYPERLINK(p_ruta_base_checklists&amp;tblOrdenes[[#This Row],[link_checklist]],"abrir"))</f>
        <v/>
      </c>
      <c r="AP1061" s="6" t="n"/>
      <c r="AQ1061" s="3">
        <f>IF(tblOrdenes[[#This Row],[orden]]="","",tblOrdenes[[#This Row],[orden]]&amp;IF(tblOrdenes[[#This Row],[operacion]]="","0010",tblOrdenes[[#This Row],[operacion]]))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2" t="n"/>
      <c r="K1062" s="3" t="n"/>
      <c r="L1062" s="11" t="n"/>
      <c r="M10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2" s="3">
        <f>IF(tblOrdenes[[#This Row],[fecha_inicio]]="","",YEAR(tblOrdenes[[#This Row],[fecha_inicio]]))</f>
        <v/>
      </c>
      <c r="Q1062" s="3">
        <f>IF(tblOrdenes[[#This Row],[fecha_inicio]]="","",MONTH(tblOrdenes[[#This Row],[fecha_inicio]]))</f>
        <v/>
      </c>
      <c r="R1062" s="3">
        <f>IF(tblOrdenes[[#This Row],[fecha_inicio]]="","",INDEX(lista_dias,WEEKDAY(tblOrdenes[[#This Row],[fecha_inicio]],2)))</f>
        <v/>
      </c>
      <c r="S10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2" s="3">
        <f>IF(tblOrdenes[[#This Row],[tipo_ot]]="","",_xlfn.XLOOKUP(tblOrdenes[[#This Row],[tipo_ot]],tblTiposOT[codigo],tblTiposOT[clasificacion],"sin_clasificar"))</f>
        <v/>
      </c>
      <c r="U1062" s="3">
        <f>IF(tblOrdenes[[#This Row],[centro_costo]]="","",_xlfn.XLOOKUP(tblOrdenes[[#This Row],[centro_costo]],tblCECO[codigo],tblCECO[linea],"(sin catálogo)"))</f>
        <v/>
      </c>
      <c r="V1062" s="3">
        <f>IF(tblOrdenes[[#This Row],[centro_costo]]="","",_xlfn.XLOOKUP(tblOrdenes[[#This Row],[centro_costo]],tblCECO[codigo],tblCECO[area],"(sin catálogo)"))</f>
        <v/>
      </c>
      <c r="W10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2" s="3">
        <f>IF(tblOrdenes[[#This Row],[centro_costo]]="","",_xlfn.XLOOKUP(tblOrdenes[[#This Row],[centro_costo]],tblCECO[codigo],tblCECO[coordinador],"(sin catálogo)"))</f>
        <v/>
      </c>
      <c r="Y1062" s="3">
        <f>IF(tblOrdenes[[#This Row],[puesto_trabajo]]="","",_xlfn.XLOOKUP(tblOrdenes[[#This Row],[puesto_trabajo]],tblPuestos[codigo],tblPuestos[especialidad],"(sin catálogo)"))</f>
        <v/>
      </c>
      <c r="Z1062" s="3">
        <f>IF(tblOrdenes[[#This Row],[cod_actividad]]="","",_xlfn.XLOOKUP(tblOrdenes[[#This Row],[cod_actividad]],tblActividades[codigo],tblActividades[descripcion],"(sin catálogo)"))</f>
        <v/>
      </c>
      <c r="AA1062" s="13">
        <f>IF(tblOrdenes[[#This Row],[fecha_inicio]]="","",TODAY()-tblOrdenes[[#This Row],[fecha_inicio]])</f>
        <v/>
      </c>
      <c r="AB10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2" s="3">
        <f>IF(tblOrdenes[[#This Row],[backlog_habiles]]="","",IF(tblOrdenes[[#This Row],[backlog_habiles]]&lt;0,"FUTURO",IF(tblOrdenes[[#This Row],[backlog_habiles]]&gt;p_dias_backlog_max,"BACKLOG","MES CORRIENTE")))</f>
        <v/>
      </c>
      <c r="AD1062" s="3">
        <f>IF(tblOrdenes[[#This Row],[backlog_habiles]]="",FALSE,AND(tblOrdenes[[#This Row],[backlog_habiles]]&gt;p_dias_backlog_min,tblOrdenes[[#This Row],[backlog_habiles]]&lt;=p_dias_backlog_max))</f>
        <v/>
      </c>
      <c r="AE1062" s="6" t="n"/>
      <c r="AF10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2" s="11">
        <f>IF(tblOrdenes[[#This Row],[orden]]="","",_xlfn.XLOOKUP(tblOrdenes[[#This Row],[id_operacion]],tblEjecucion[id_operacion],tblEjecucion[precio],0))</f>
        <v/>
      </c>
      <c r="AJ1062" s="11">
        <f>IF(tblOrdenes[[#This Row],[orden]]="","",MAX(0,_xlfn.XLOOKUP(tblOrdenes[[#This Row],[id_operacion]],tblEjecucion[id_operacion],tblEjecucion[costo_plan_total],0)-tblOrdenes[[#This Row],[costo_servicio]]))</f>
        <v/>
      </c>
      <c r="AK1062" s="11">
        <f>IF(tblOrdenes[[#This Row],[orden]]="","",tblOrdenes[[#This Row],[costo_servicio]]+tblOrdenes[[#This Row],[costo_materiales]])</f>
        <v/>
      </c>
      <c r="AL1062" s="6" t="n"/>
      <c r="AM1062" s="6" t="n"/>
      <c r="AN1062" s="6" t="n"/>
      <c r="AO1062" s="3">
        <f>IF(tblOrdenes[[#This Row],[link_checklist]]="","",HYPERLINK(p_ruta_base_checklists&amp;tblOrdenes[[#This Row],[link_checklist]],"abrir"))</f>
        <v/>
      </c>
      <c r="AP1062" s="6" t="n"/>
      <c r="AQ1062" s="3">
        <f>IF(tblOrdenes[[#This Row],[orden]]="","",tblOrdenes[[#This Row],[orden]]&amp;IF(tblOrdenes[[#This Row],[operacion]]="","0010",tblOrdenes[[#This Row],[operacion]]))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2" t="n"/>
      <c r="K1063" s="3" t="n"/>
      <c r="L1063" s="11" t="n"/>
      <c r="M10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3" s="3">
        <f>IF(tblOrdenes[[#This Row],[fecha_inicio]]="","",YEAR(tblOrdenes[[#This Row],[fecha_inicio]]))</f>
        <v/>
      </c>
      <c r="Q1063" s="3">
        <f>IF(tblOrdenes[[#This Row],[fecha_inicio]]="","",MONTH(tblOrdenes[[#This Row],[fecha_inicio]]))</f>
        <v/>
      </c>
      <c r="R1063" s="3">
        <f>IF(tblOrdenes[[#This Row],[fecha_inicio]]="","",INDEX(lista_dias,WEEKDAY(tblOrdenes[[#This Row],[fecha_inicio]],2)))</f>
        <v/>
      </c>
      <c r="S10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3" s="3">
        <f>IF(tblOrdenes[[#This Row],[tipo_ot]]="","",_xlfn.XLOOKUP(tblOrdenes[[#This Row],[tipo_ot]],tblTiposOT[codigo],tblTiposOT[clasificacion],"sin_clasificar"))</f>
        <v/>
      </c>
      <c r="U1063" s="3">
        <f>IF(tblOrdenes[[#This Row],[centro_costo]]="","",_xlfn.XLOOKUP(tblOrdenes[[#This Row],[centro_costo]],tblCECO[codigo],tblCECO[linea],"(sin catálogo)"))</f>
        <v/>
      </c>
      <c r="V1063" s="3">
        <f>IF(tblOrdenes[[#This Row],[centro_costo]]="","",_xlfn.XLOOKUP(tblOrdenes[[#This Row],[centro_costo]],tblCECO[codigo],tblCECO[area],"(sin catálogo)"))</f>
        <v/>
      </c>
      <c r="W10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3" s="3">
        <f>IF(tblOrdenes[[#This Row],[centro_costo]]="","",_xlfn.XLOOKUP(tblOrdenes[[#This Row],[centro_costo]],tblCECO[codigo],tblCECO[coordinador],"(sin catálogo)"))</f>
        <v/>
      </c>
      <c r="Y1063" s="3">
        <f>IF(tblOrdenes[[#This Row],[puesto_trabajo]]="","",_xlfn.XLOOKUP(tblOrdenes[[#This Row],[puesto_trabajo]],tblPuestos[codigo],tblPuestos[especialidad],"(sin catálogo)"))</f>
        <v/>
      </c>
      <c r="Z1063" s="3">
        <f>IF(tblOrdenes[[#This Row],[cod_actividad]]="","",_xlfn.XLOOKUP(tblOrdenes[[#This Row],[cod_actividad]],tblActividades[codigo],tblActividades[descripcion],"(sin catálogo)"))</f>
        <v/>
      </c>
      <c r="AA1063" s="13">
        <f>IF(tblOrdenes[[#This Row],[fecha_inicio]]="","",TODAY()-tblOrdenes[[#This Row],[fecha_inicio]])</f>
        <v/>
      </c>
      <c r="AB10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3" s="3">
        <f>IF(tblOrdenes[[#This Row],[backlog_habiles]]="","",IF(tblOrdenes[[#This Row],[backlog_habiles]]&lt;0,"FUTURO",IF(tblOrdenes[[#This Row],[backlog_habiles]]&gt;p_dias_backlog_max,"BACKLOG","MES CORRIENTE")))</f>
        <v/>
      </c>
      <c r="AD1063" s="3">
        <f>IF(tblOrdenes[[#This Row],[backlog_habiles]]="",FALSE,AND(tblOrdenes[[#This Row],[backlog_habiles]]&gt;p_dias_backlog_min,tblOrdenes[[#This Row],[backlog_habiles]]&lt;=p_dias_backlog_max))</f>
        <v/>
      </c>
      <c r="AE1063" s="6" t="n"/>
      <c r="AF10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3" s="11">
        <f>IF(tblOrdenes[[#This Row],[orden]]="","",_xlfn.XLOOKUP(tblOrdenes[[#This Row],[id_operacion]],tblEjecucion[id_operacion],tblEjecucion[precio],0))</f>
        <v/>
      </c>
      <c r="AJ1063" s="11">
        <f>IF(tblOrdenes[[#This Row],[orden]]="","",MAX(0,_xlfn.XLOOKUP(tblOrdenes[[#This Row],[id_operacion]],tblEjecucion[id_operacion],tblEjecucion[costo_plan_total],0)-tblOrdenes[[#This Row],[costo_servicio]]))</f>
        <v/>
      </c>
      <c r="AK1063" s="11">
        <f>IF(tblOrdenes[[#This Row],[orden]]="","",tblOrdenes[[#This Row],[costo_servicio]]+tblOrdenes[[#This Row],[costo_materiales]])</f>
        <v/>
      </c>
      <c r="AL1063" s="6" t="n"/>
      <c r="AM1063" s="6" t="n"/>
      <c r="AN1063" s="6" t="n"/>
      <c r="AO1063" s="3">
        <f>IF(tblOrdenes[[#This Row],[link_checklist]]="","",HYPERLINK(p_ruta_base_checklists&amp;tblOrdenes[[#This Row],[link_checklist]],"abrir"))</f>
        <v/>
      </c>
      <c r="AP1063" s="6" t="n"/>
      <c r="AQ1063" s="3">
        <f>IF(tblOrdenes[[#This Row],[orden]]="","",tblOrdenes[[#This Row],[orden]]&amp;IF(tblOrdenes[[#This Row],[operacion]]="","0010",tblOrdenes[[#This Row],[operacion]]))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2" t="n"/>
      <c r="K1064" s="3" t="n"/>
      <c r="L1064" s="11" t="n"/>
      <c r="M10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4" s="3">
        <f>IF(tblOrdenes[[#This Row],[fecha_inicio]]="","",YEAR(tblOrdenes[[#This Row],[fecha_inicio]]))</f>
        <v/>
      </c>
      <c r="Q1064" s="3">
        <f>IF(tblOrdenes[[#This Row],[fecha_inicio]]="","",MONTH(tblOrdenes[[#This Row],[fecha_inicio]]))</f>
        <v/>
      </c>
      <c r="R1064" s="3">
        <f>IF(tblOrdenes[[#This Row],[fecha_inicio]]="","",INDEX(lista_dias,WEEKDAY(tblOrdenes[[#This Row],[fecha_inicio]],2)))</f>
        <v/>
      </c>
      <c r="S10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4" s="3">
        <f>IF(tblOrdenes[[#This Row],[tipo_ot]]="","",_xlfn.XLOOKUP(tblOrdenes[[#This Row],[tipo_ot]],tblTiposOT[codigo],tblTiposOT[clasificacion],"sin_clasificar"))</f>
        <v/>
      </c>
      <c r="U1064" s="3">
        <f>IF(tblOrdenes[[#This Row],[centro_costo]]="","",_xlfn.XLOOKUP(tblOrdenes[[#This Row],[centro_costo]],tblCECO[codigo],tblCECO[linea],"(sin catálogo)"))</f>
        <v/>
      </c>
      <c r="V1064" s="3">
        <f>IF(tblOrdenes[[#This Row],[centro_costo]]="","",_xlfn.XLOOKUP(tblOrdenes[[#This Row],[centro_costo]],tblCECO[codigo],tblCECO[area],"(sin catálogo)"))</f>
        <v/>
      </c>
      <c r="W10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4" s="3">
        <f>IF(tblOrdenes[[#This Row],[centro_costo]]="","",_xlfn.XLOOKUP(tblOrdenes[[#This Row],[centro_costo]],tblCECO[codigo],tblCECO[coordinador],"(sin catálogo)"))</f>
        <v/>
      </c>
      <c r="Y1064" s="3">
        <f>IF(tblOrdenes[[#This Row],[puesto_trabajo]]="","",_xlfn.XLOOKUP(tblOrdenes[[#This Row],[puesto_trabajo]],tblPuestos[codigo],tblPuestos[especialidad],"(sin catálogo)"))</f>
        <v/>
      </c>
      <c r="Z1064" s="3">
        <f>IF(tblOrdenes[[#This Row],[cod_actividad]]="","",_xlfn.XLOOKUP(tblOrdenes[[#This Row],[cod_actividad]],tblActividades[codigo],tblActividades[descripcion],"(sin catálogo)"))</f>
        <v/>
      </c>
      <c r="AA1064" s="13">
        <f>IF(tblOrdenes[[#This Row],[fecha_inicio]]="","",TODAY()-tblOrdenes[[#This Row],[fecha_inicio]])</f>
        <v/>
      </c>
      <c r="AB10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4" s="3">
        <f>IF(tblOrdenes[[#This Row],[backlog_habiles]]="","",IF(tblOrdenes[[#This Row],[backlog_habiles]]&lt;0,"FUTURO",IF(tblOrdenes[[#This Row],[backlog_habiles]]&gt;p_dias_backlog_max,"BACKLOG","MES CORRIENTE")))</f>
        <v/>
      </c>
      <c r="AD1064" s="3">
        <f>IF(tblOrdenes[[#This Row],[backlog_habiles]]="",FALSE,AND(tblOrdenes[[#This Row],[backlog_habiles]]&gt;p_dias_backlog_min,tblOrdenes[[#This Row],[backlog_habiles]]&lt;=p_dias_backlog_max))</f>
        <v/>
      </c>
      <c r="AE1064" s="6" t="n"/>
      <c r="AF10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4" s="11">
        <f>IF(tblOrdenes[[#This Row],[orden]]="","",_xlfn.XLOOKUP(tblOrdenes[[#This Row],[id_operacion]],tblEjecucion[id_operacion],tblEjecucion[precio],0))</f>
        <v/>
      </c>
      <c r="AJ1064" s="11">
        <f>IF(tblOrdenes[[#This Row],[orden]]="","",MAX(0,_xlfn.XLOOKUP(tblOrdenes[[#This Row],[id_operacion]],tblEjecucion[id_operacion],tblEjecucion[costo_plan_total],0)-tblOrdenes[[#This Row],[costo_servicio]]))</f>
        <v/>
      </c>
      <c r="AK1064" s="11">
        <f>IF(tblOrdenes[[#This Row],[orden]]="","",tblOrdenes[[#This Row],[costo_servicio]]+tblOrdenes[[#This Row],[costo_materiales]])</f>
        <v/>
      </c>
      <c r="AL1064" s="6" t="n"/>
      <c r="AM1064" s="6" t="n"/>
      <c r="AN1064" s="6" t="n"/>
      <c r="AO1064" s="3">
        <f>IF(tblOrdenes[[#This Row],[link_checklist]]="","",HYPERLINK(p_ruta_base_checklists&amp;tblOrdenes[[#This Row],[link_checklist]],"abrir"))</f>
        <v/>
      </c>
      <c r="AP1064" s="6" t="n"/>
      <c r="AQ1064" s="3">
        <f>IF(tblOrdenes[[#This Row],[orden]]="","",tblOrdenes[[#This Row],[orden]]&amp;IF(tblOrdenes[[#This Row],[operacion]]="","0010",tblOrdenes[[#This Row],[operacion]]))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2" t="n"/>
      <c r="K1065" s="3" t="n"/>
      <c r="L1065" s="11" t="n"/>
      <c r="M10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5" s="3">
        <f>IF(tblOrdenes[[#This Row],[fecha_inicio]]="","",YEAR(tblOrdenes[[#This Row],[fecha_inicio]]))</f>
        <v/>
      </c>
      <c r="Q1065" s="3">
        <f>IF(tblOrdenes[[#This Row],[fecha_inicio]]="","",MONTH(tblOrdenes[[#This Row],[fecha_inicio]]))</f>
        <v/>
      </c>
      <c r="R1065" s="3">
        <f>IF(tblOrdenes[[#This Row],[fecha_inicio]]="","",INDEX(lista_dias,WEEKDAY(tblOrdenes[[#This Row],[fecha_inicio]],2)))</f>
        <v/>
      </c>
      <c r="S10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5" s="3">
        <f>IF(tblOrdenes[[#This Row],[tipo_ot]]="","",_xlfn.XLOOKUP(tblOrdenes[[#This Row],[tipo_ot]],tblTiposOT[codigo],tblTiposOT[clasificacion],"sin_clasificar"))</f>
        <v/>
      </c>
      <c r="U1065" s="3">
        <f>IF(tblOrdenes[[#This Row],[centro_costo]]="","",_xlfn.XLOOKUP(tblOrdenes[[#This Row],[centro_costo]],tblCECO[codigo],tblCECO[linea],"(sin catálogo)"))</f>
        <v/>
      </c>
      <c r="V1065" s="3">
        <f>IF(tblOrdenes[[#This Row],[centro_costo]]="","",_xlfn.XLOOKUP(tblOrdenes[[#This Row],[centro_costo]],tblCECO[codigo],tblCECO[area],"(sin catálogo)"))</f>
        <v/>
      </c>
      <c r="W10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5" s="3">
        <f>IF(tblOrdenes[[#This Row],[centro_costo]]="","",_xlfn.XLOOKUP(tblOrdenes[[#This Row],[centro_costo]],tblCECO[codigo],tblCECO[coordinador],"(sin catálogo)"))</f>
        <v/>
      </c>
      <c r="Y1065" s="3">
        <f>IF(tblOrdenes[[#This Row],[puesto_trabajo]]="","",_xlfn.XLOOKUP(tblOrdenes[[#This Row],[puesto_trabajo]],tblPuestos[codigo],tblPuestos[especialidad],"(sin catálogo)"))</f>
        <v/>
      </c>
      <c r="Z1065" s="3">
        <f>IF(tblOrdenes[[#This Row],[cod_actividad]]="","",_xlfn.XLOOKUP(tblOrdenes[[#This Row],[cod_actividad]],tblActividades[codigo],tblActividades[descripcion],"(sin catálogo)"))</f>
        <v/>
      </c>
      <c r="AA1065" s="13">
        <f>IF(tblOrdenes[[#This Row],[fecha_inicio]]="","",TODAY()-tblOrdenes[[#This Row],[fecha_inicio]])</f>
        <v/>
      </c>
      <c r="AB10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5" s="3">
        <f>IF(tblOrdenes[[#This Row],[backlog_habiles]]="","",IF(tblOrdenes[[#This Row],[backlog_habiles]]&lt;0,"FUTURO",IF(tblOrdenes[[#This Row],[backlog_habiles]]&gt;p_dias_backlog_max,"BACKLOG","MES CORRIENTE")))</f>
        <v/>
      </c>
      <c r="AD1065" s="3">
        <f>IF(tblOrdenes[[#This Row],[backlog_habiles]]="",FALSE,AND(tblOrdenes[[#This Row],[backlog_habiles]]&gt;p_dias_backlog_min,tblOrdenes[[#This Row],[backlog_habiles]]&lt;=p_dias_backlog_max))</f>
        <v/>
      </c>
      <c r="AE1065" s="6" t="n"/>
      <c r="AF10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5" s="11">
        <f>IF(tblOrdenes[[#This Row],[orden]]="","",_xlfn.XLOOKUP(tblOrdenes[[#This Row],[id_operacion]],tblEjecucion[id_operacion],tblEjecucion[precio],0))</f>
        <v/>
      </c>
      <c r="AJ1065" s="11">
        <f>IF(tblOrdenes[[#This Row],[orden]]="","",MAX(0,_xlfn.XLOOKUP(tblOrdenes[[#This Row],[id_operacion]],tblEjecucion[id_operacion],tblEjecucion[costo_plan_total],0)-tblOrdenes[[#This Row],[costo_servicio]]))</f>
        <v/>
      </c>
      <c r="AK1065" s="11">
        <f>IF(tblOrdenes[[#This Row],[orden]]="","",tblOrdenes[[#This Row],[costo_servicio]]+tblOrdenes[[#This Row],[costo_materiales]])</f>
        <v/>
      </c>
      <c r="AL1065" s="6" t="n"/>
      <c r="AM1065" s="6" t="n"/>
      <c r="AN1065" s="6" t="n"/>
      <c r="AO1065" s="3">
        <f>IF(tblOrdenes[[#This Row],[link_checklist]]="","",HYPERLINK(p_ruta_base_checklists&amp;tblOrdenes[[#This Row],[link_checklist]],"abrir"))</f>
        <v/>
      </c>
      <c r="AP1065" s="6" t="n"/>
      <c r="AQ1065" s="3">
        <f>IF(tblOrdenes[[#This Row],[orden]]="","",tblOrdenes[[#This Row],[orden]]&amp;IF(tblOrdenes[[#This Row],[operacion]]="","0010",tblOrdenes[[#This Row],[operacion]]))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2" t="n"/>
      <c r="K1066" s="3" t="n"/>
      <c r="L1066" s="11" t="n"/>
      <c r="M10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6" s="3">
        <f>IF(tblOrdenes[[#This Row],[fecha_inicio]]="","",YEAR(tblOrdenes[[#This Row],[fecha_inicio]]))</f>
        <v/>
      </c>
      <c r="Q1066" s="3">
        <f>IF(tblOrdenes[[#This Row],[fecha_inicio]]="","",MONTH(tblOrdenes[[#This Row],[fecha_inicio]]))</f>
        <v/>
      </c>
      <c r="R1066" s="3">
        <f>IF(tblOrdenes[[#This Row],[fecha_inicio]]="","",INDEX(lista_dias,WEEKDAY(tblOrdenes[[#This Row],[fecha_inicio]],2)))</f>
        <v/>
      </c>
      <c r="S10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6" s="3">
        <f>IF(tblOrdenes[[#This Row],[tipo_ot]]="","",_xlfn.XLOOKUP(tblOrdenes[[#This Row],[tipo_ot]],tblTiposOT[codigo],tblTiposOT[clasificacion],"sin_clasificar"))</f>
        <v/>
      </c>
      <c r="U1066" s="3">
        <f>IF(tblOrdenes[[#This Row],[centro_costo]]="","",_xlfn.XLOOKUP(tblOrdenes[[#This Row],[centro_costo]],tblCECO[codigo],tblCECO[linea],"(sin catálogo)"))</f>
        <v/>
      </c>
      <c r="V1066" s="3">
        <f>IF(tblOrdenes[[#This Row],[centro_costo]]="","",_xlfn.XLOOKUP(tblOrdenes[[#This Row],[centro_costo]],tblCECO[codigo],tblCECO[area],"(sin catálogo)"))</f>
        <v/>
      </c>
      <c r="W10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6" s="3">
        <f>IF(tblOrdenes[[#This Row],[centro_costo]]="","",_xlfn.XLOOKUP(tblOrdenes[[#This Row],[centro_costo]],tblCECO[codigo],tblCECO[coordinador],"(sin catálogo)"))</f>
        <v/>
      </c>
      <c r="Y1066" s="3">
        <f>IF(tblOrdenes[[#This Row],[puesto_trabajo]]="","",_xlfn.XLOOKUP(tblOrdenes[[#This Row],[puesto_trabajo]],tblPuestos[codigo],tblPuestos[especialidad],"(sin catálogo)"))</f>
        <v/>
      </c>
      <c r="Z1066" s="3">
        <f>IF(tblOrdenes[[#This Row],[cod_actividad]]="","",_xlfn.XLOOKUP(tblOrdenes[[#This Row],[cod_actividad]],tblActividades[codigo],tblActividades[descripcion],"(sin catálogo)"))</f>
        <v/>
      </c>
      <c r="AA1066" s="13">
        <f>IF(tblOrdenes[[#This Row],[fecha_inicio]]="","",TODAY()-tblOrdenes[[#This Row],[fecha_inicio]])</f>
        <v/>
      </c>
      <c r="AB10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6" s="3">
        <f>IF(tblOrdenes[[#This Row],[backlog_habiles]]="","",IF(tblOrdenes[[#This Row],[backlog_habiles]]&lt;0,"FUTURO",IF(tblOrdenes[[#This Row],[backlog_habiles]]&gt;p_dias_backlog_max,"BACKLOG","MES CORRIENTE")))</f>
        <v/>
      </c>
      <c r="AD1066" s="3">
        <f>IF(tblOrdenes[[#This Row],[backlog_habiles]]="",FALSE,AND(tblOrdenes[[#This Row],[backlog_habiles]]&gt;p_dias_backlog_min,tblOrdenes[[#This Row],[backlog_habiles]]&lt;=p_dias_backlog_max))</f>
        <v/>
      </c>
      <c r="AE1066" s="6" t="n"/>
      <c r="AF10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6" s="11">
        <f>IF(tblOrdenes[[#This Row],[orden]]="","",_xlfn.XLOOKUP(tblOrdenes[[#This Row],[id_operacion]],tblEjecucion[id_operacion],tblEjecucion[precio],0))</f>
        <v/>
      </c>
      <c r="AJ1066" s="11">
        <f>IF(tblOrdenes[[#This Row],[orden]]="","",MAX(0,_xlfn.XLOOKUP(tblOrdenes[[#This Row],[id_operacion]],tblEjecucion[id_operacion],tblEjecucion[costo_plan_total],0)-tblOrdenes[[#This Row],[costo_servicio]]))</f>
        <v/>
      </c>
      <c r="AK1066" s="11">
        <f>IF(tblOrdenes[[#This Row],[orden]]="","",tblOrdenes[[#This Row],[costo_servicio]]+tblOrdenes[[#This Row],[costo_materiales]])</f>
        <v/>
      </c>
      <c r="AL1066" s="6" t="n"/>
      <c r="AM1066" s="6" t="n"/>
      <c r="AN1066" s="6" t="n"/>
      <c r="AO1066" s="3">
        <f>IF(tblOrdenes[[#This Row],[link_checklist]]="","",HYPERLINK(p_ruta_base_checklists&amp;tblOrdenes[[#This Row],[link_checklist]],"abrir"))</f>
        <v/>
      </c>
      <c r="AP1066" s="6" t="n"/>
      <c r="AQ1066" s="3">
        <f>IF(tblOrdenes[[#This Row],[orden]]="","",tblOrdenes[[#This Row],[orden]]&amp;IF(tblOrdenes[[#This Row],[operacion]]="","0010",tblOrdenes[[#This Row],[operacion]]))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2" t="n"/>
      <c r="K1067" s="3" t="n"/>
      <c r="L1067" s="11" t="n"/>
      <c r="M10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7" s="3">
        <f>IF(tblOrdenes[[#This Row],[fecha_inicio]]="","",YEAR(tblOrdenes[[#This Row],[fecha_inicio]]))</f>
        <v/>
      </c>
      <c r="Q1067" s="3">
        <f>IF(tblOrdenes[[#This Row],[fecha_inicio]]="","",MONTH(tblOrdenes[[#This Row],[fecha_inicio]]))</f>
        <v/>
      </c>
      <c r="R1067" s="3">
        <f>IF(tblOrdenes[[#This Row],[fecha_inicio]]="","",INDEX(lista_dias,WEEKDAY(tblOrdenes[[#This Row],[fecha_inicio]],2)))</f>
        <v/>
      </c>
      <c r="S10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7" s="3">
        <f>IF(tblOrdenes[[#This Row],[tipo_ot]]="","",_xlfn.XLOOKUP(tblOrdenes[[#This Row],[tipo_ot]],tblTiposOT[codigo],tblTiposOT[clasificacion],"sin_clasificar"))</f>
        <v/>
      </c>
      <c r="U1067" s="3">
        <f>IF(tblOrdenes[[#This Row],[centro_costo]]="","",_xlfn.XLOOKUP(tblOrdenes[[#This Row],[centro_costo]],tblCECO[codigo],tblCECO[linea],"(sin catálogo)"))</f>
        <v/>
      </c>
      <c r="V1067" s="3">
        <f>IF(tblOrdenes[[#This Row],[centro_costo]]="","",_xlfn.XLOOKUP(tblOrdenes[[#This Row],[centro_costo]],tblCECO[codigo],tblCECO[area],"(sin catálogo)"))</f>
        <v/>
      </c>
      <c r="W10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7" s="3">
        <f>IF(tblOrdenes[[#This Row],[centro_costo]]="","",_xlfn.XLOOKUP(tblOrdenes[[#This Row],[centro_costo]],tblCECO[codigo],tblCECO[coordinador],"(sin catálogo)"))</f>
        <v/>
      </c>
      <c r="Y1067" s="3">
        <f>IF(tblOrdenes[[#This Row],[puesto_trabajo]]="","",_xlfn.XLOOKUP(tblOrdenes[[#This Row],[puesto_trabajo]],tblPuestos[codigo],tblPuestos[especialidad],"(sin catálogo)"))</f>
        <v/>
      </c>
      <c r="Z1067" s="3">
        <f>IF(tblOrdenes[[#This Row],[cod_actividad]]="","",_xlfn.XLOOKUP(tblOrdenes[[#This Row],[cod_actividad]],tblActividades[codigo],tblActividades[descripcion],"(sin catálogo)"))</f>
        <v/>
      </c>
      <c r="AA1067" s="13">
        <f>IF(tblOrdenes[[#This Row],[fecha_inicio]]="","",TODAY()-tblOrdenes[[#This Row],[fecha_inicio]])</f>
        <v/>
      </c>
      <c r="AB10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7" s="3">
        <f>IF(tblOrdenes[[#This Row],[backlog_habiles]]="","",IF(tblOrdenes[[#This Row],[backlog_habiles]]&lt;0,"FUTURO",IF(tblOrdenes[[#This Row],[backlog_habiles]]&gt;p_dias_backlog_max,"BACKLOG","MES CORRIENTE")))</f>
        <v/>
      </c>
      <c r="AD1067" s="3">
        <f>IF(tblOrdenes[[#This Row],[backlog_habiles]]="",FALSE,AND(tblOrdenes[[#This Row],[backlog_habiles]]&gt;p_dias_backlog_min,tblOrdenes[[#This Row],[backlog_habiles]]&lt;=p_dias_backlog_max))</f>
        <v/>
      </c>
      <c r="AE1067" s="6" t="n"/>
      <c r="AF10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7" s="11">
        <f>IF(tblOrdenes[[#This Row],[orden]]="","",_xlfn.XLOOKUP(tblOrdenes[[#This Row],[id_operacion]],tblEjecucion[id_operacion],tblEjecucion[precio],0))</f>
        <v/>
      </c>
      <c r="AJ1067" s="11">
        <f>IF(tblOrdenes[[#This Row],[orden]]="","",MAX(0,_xlfn.XLOOKUP(tblOrdenes[[#This Row],[id_operacion]],tblEjecucion[id_operacion],tblEjecucion[costo_plan_total],0)-tblOrdenes[[#This Row],[costo_servicio]]))</f>
        <v/>
      </c>
      <c r="AK1067" s="11">
        <f>IF(tblOrdenes[[#This Row],[orden]]="","",tblOrdenes[[#This Row],[costo_servicio]]+tblOrdenes[[#This Row],[costo_materiales]])</f>
        <v/>
      </c>
      <c r="AL1067" s="6" t="n"/>
      <c r="AM1067" s="6" t="n"/>
      <c r="AN1067" s="6" t="n"/>
      <c r="AO1067" s="3">
        <f>IF(tblOrdenes[[#This Row],[link_checklist]]="","",HYPERLINK(p_ruta_base_checklists&amp;tblOrdenes[[#This Row],[link_checklist]],"abrir"))</f>
        <v/>
      </c>
      <c r="AP1067" s="6" t="n"/>
      <c r="AQ1067" s="3">
        <f>IF(tblOrdenes[[#This Row],[orden]]="","",tblOrdenes[[#This Row],[orden]]&amp;IF(tblOrdenes[[#This Row],[operacion]]="","0010",tblOrdenes[[#This Row],[operacion]]))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2" t="n"/>
      <c r="K1068" s="3" t="n"/>
      <c r="L1068" s="11" t="n"/>
      <c r="M10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8" s="3">
        <f>IF(tblOrdenes[[#This Row],[fecha_inicio]]="","",YEAR(tblOrdenes[[#This Row],[fecha_inicio]]))</f>
        <v/>
      </c>
      <c r="Q1068" s="3">
        <f>IF(tblOrdenes[[#This Row],[fecha_inicio]]="","",MONTH(tblOrdenes[[#This Row],[fecha_inicio]]))</f>
        <v/>
      </c>
      <c r="R1068" s="3">
        <f>IF(tblOrdenes[[#This Row],[fecha_inicio]]="","",INDEX(lista_dias,WEEKDAY(tblOrdenes[[#This Row],[fecha_inicio]],2)))</f>
        <v/>
      </c>
      <c r="S10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8" s="3">
        <f>IF(tblOrdenes[[#This Row],[tipo_ot]]="","",_xlfn.XLOOKUP(tblOrdenes[[#This Row],[tipo_ot]],tblTiposOT[codigo],tblTiposOT[clasificacion],"sin_clasificar"))</f>
        <v/>
      </c>
      <c r="U1068" s="3">
        <f>IF(tblOrdenes[[#This Row],[centro_costo]]="","",_xlfn.XLOOKUP(tblOrdenes[[#This Row],[centro_costo]],tblCECO[codigo],tblCECO[linea],"(sin catálogo)"))</f>
        <v/>
      </c>
      <c r="V1068" s="3">
        <f>IF(tblOrdenes[[#This Row],[centro_costo]]="","",_xlfn.XLOOKUP(tblOrdenes[[#This Row],[centro_costo]],tblCECO[codigo],tblCECO[area],"(sin catálogo)"))</f>
        <v/>
      </c>
      <c r="W10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8" s="3">
        <f>IF(tblOrdenes[[#This Row],[centro_costo]]="","",_xlfn.XLOOKUP(tblOrdenes[[#This Row],[centro_costo]],tblCECO[codigo],tblCECO[coordinador],"(sin catálogo)"))</f>
        <v/>
      </c>
      <c r="Y1068" s="3">
        <f>IF(tblOrdenes[[#This Row],[puesto_trabajo]]="","",_xlfn.XLOOKUP(tblOrdenes[[#This Row],[puesto_trabajo]],tblPuestos[codigo],tblPuestos[especialidad],"(sin catálogo)"))</f>
        <v/>
      </c>
      <c r="Z1068" s="3">
        <f>IF(tblOrdenes[[#This Row],[cod_actividad]]="","",_xlfn.XLOOKUP(tblOrdenes[[#This Row],[cod_actividad]],tblActividades[codigo],tblActividades[descripcion],"(sin catálogo)"))</f>
        <v/>
      </c>
      <c r="AA1068" s="13">
        <f>IF(tblOrdenes[[#This Row],[fecha_inicio]]="","",TODAY()-tblOrdenes[[#This Row],[fecha_inicio]])</f>
        <v/>
      </c>
      <c r="AB10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8" s="3">
        <f>IF(tblOrdenes[[#This Row],[backlog_habiles]]="","",IF(tblOrdenes[[#This Row],[backlog_habiles]]&lt;0,"FUTURO",IF(tblOrdenes[[#This Row],[backlog_habiles]]&gt;p_dias_backlog_max,"BACKLOG","MES CORRIENTE")))</f>
        <v/>
      </c>
      <c r="AD1068" s="3">
        <f>IF(tblOrdenes[[#This Row],[backlog_habiles]]="",FALSE,AND(tblOrdenes[[#This Row],[backlog_habiles]]&gt;p_dias_backlog_min,tblOrdenes[[#This Row],[backlog_habiles]]&lt;=p_dias_backlog_max))</f>
        <v/>
      </c>
      <c r="AE1068" s="6" t="n"/>
      <c r="AF10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8" s="11">
        <f>IF(tblOrdenes[[#This Row],[orden]]="","",_xlfn.XLOOKUP(tblOrdenes[[#This Row],[id_operacion]],tblEjecucion[id_operacion],tblEjecucion[precio],0))</f>
        <v/>
      </c>
      <c r="AJ1068" s="11">
        <f>IF(tblOrdenes[[#This Row],[orden]]="","",MAX(0,_xlfn.XLOOKUP(tblOrdenes[[#This Row],[id_operacion]],tblEjecucion[id_operacion],tblEjecucion[costo_plan_total],0)-tblOrdenes[[#This Row],[costo_servicio]]))</f>
        <v/>
      </c>
      <c r="AK1068" s="11">
        <f>IF(tblOrdenes[[#This Row],[orden]]="","",tblOrdenes[[#This Row],[costo_servicio]]+tblOrdenes[[#This Row],[costo_materiales]])</f>
        <v/>
      </c>
      <c r="AL1068" s="6" t="n"/>
      <c r="AM1068" s="6" t="n"/>
      <c r="AN1068" s="6" t="n"/>
      <c r="AO1068" s="3">
        <f>IF(tblOrdenes[[#This Row],[link_checklist]]="","",HYPERLINK(p_ruta_base_checklists&amp;tblOrdenes[[#This Row],[link_checklist]],"abrir"))</f>
        <v/>
      </c>
      <c r="AP1068" s="6" t="n"/>
      <c r="AQ1068" s="3">
        <f>IF(tblOrdenes[[#This Row],[orden]]="","",tblOrdenes[[#This Row],[orden]]&amp;IF(tblOrdenes[[#This Row],[operacion]]="","0010",tblOrdenes[[#This Row],[operacion]]))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2" t="n"/>
      <c r="K1069" s="3" t="n"/>
      <c r="L1069" s="11" t="n"/>
      <c r="M10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9" s="3">
        <f>IF(tblOrdenes[[#This Row],[fecha_inicio]]="","",YEAR(tblOrdenes[[#This Row],[fecha_inicio]]))</f>
        <v/>
      </c>
      <c r="Q1069" s="3">
        <f>IF(tblOrdenes[[#This Row],[fecha_inicio]]="","",MONTH(tblOrdenes[[#This Row],[fecha_inicio]]))</f>
        <v/>
      </c>
      <c r="R1069" s="3">
        <f>IF(tblOrdenes[[#This Row],[fecha_inicio]]="","",INDEX(lista_dias,WEEKDAY(tblOrdenes[[#This Row],[fecha_inicio]],2)))</f>
        <v/>
      </c>
      <c r="S10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9" s="3">
        <f>IF(tblOrdenes[[#This Row],[tipo_ot]]="","",_xlfn.XLOOKUP(tblOrdenes[[#This Row],[tipo_ot]],tblTiposOT[codigo],tblTiposOT[clasificacion],"sin_clasificar"))</f>
        <v/>
      </c>
      <c r="U1069" s="3">
        <f>IF(tblOrdenes[[#This Row],[centro_costo]]="","",_xlfn.XLOOKUP(tblOrdenes[[#This Row],[centro_costo]],tblCECO[codigo],tblCECO[linea],"(sin catálogo)"))</f>
        <v/>
      </c>
      <c r="V1069" s="3">
        <f>IF(tblOrdenes[[#This Row],[centro_costo]]="","",_xlfn.XLOOKUP(tblOrdenes[[#This Row],[centro_costo]],tblCECO[codigo],tblCECO[area],"(sin catálogo)"))</f>
        <v/>
      </c>
      <c r="W10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9" s="3">
        <f>IF(tblOrdenes[[#This Row],[centro_costo]]="","",_xlfn.XLOOKUP(tblOrdenes[[#This Row],[centro_costo]],tblCECO[codigo],tblCECO[coordinador],"(sin catálogo)"))</f>
        <v/>
      </c>
      <c r="Y1069" s="3">
        <f>IF(tblOrdenes[[#This Row],[puesto_trabajo]]="","",_xlfn.XLOOKUP(tblOrdenes[[#This Row],[puesto_trabajo]],tblPuestos[codigo],tblPuestos[especialidad],"(sin catálogo)"))</f>
        <v/>
      </c>
      <c r="Z1069" s="3">
        <f>IF(tblOrdenes[[#This Row],[cod_actividad]]="","",_xlfn.XLOOKUP(tblOrdenes[[#This Row],[cod_actividad]],tblActividades[codigo],tblActividades[descripcion],"(sin catálogo)"))</f>
        <v/>
      </c>
      <c r="AA1069" s="13">
        <f>IF(tblOrdenes[[#This Row],[fecha_inicio]]="","",TODAY()-tblOrdenes[[#This Row],[fecha_inicio]])</f>
        <v/>
      </c>
      <c r="AB10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9" s="3">
        <f>IF(tblOrdenes[[#This Row],[backlog_habiles]]="","",IF(tblOrdenes[[#This Row],[backlog_habiles]]&lt;0,"FUTURO",IF(tblOrdenes[[#This Row],[backlog_habiles]]&gt;p_dias_backlog_max,"BACKLOG","MES CORRIENTE")))</f>
        <v/>
      </c>
      <c r="AD1069" s="3">
        <f>IF(tblOrdenes[[#This Row],[backlog_habiles]]="",FALSE,AND(tblOrdenes[[#This Row],[backlog_habiles]]&gt;p_dias_backlog_min,tblOrdenes[[#This Row],[backlog_habiles]]&lt;=p_dias_backlog_max))</f>
        <v/>
      </c>
      <c r="AE1069" s="6" t="n"/>
      <c r="AF10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9" s="11">
        <f>IF(tblOrdenes[[#This Row],[orden]]="","",_xlfn.XLOOKUP(tblOrdenes[[#This Row],[id_operacion]],tblEjecucion[id_operacion],tblEjecucion[precio],0))</f>
        <v/>
      </c>
      <c r="AJ1069" s="11">
        <f>IF(tblOrdenes[[#This Row],[orden]]="","",MAX(0,_xlfn.XLOOKUP(tblOrdenes[[#This Row],[id_operacion]],tblEjecucion[id_operacion],tblEjecucion[costo_plan_total],0)-tblOrdenes[[#This Row],[costo_servicio]]))</f>
        <v/>
      </c>
      <c r="AK1069" s="11">
        <f>IF(tblOrdenes[[#This Row],[orden]]="","",tblOrdenes[[#This Row],[costo_servicio]]+tblOrdenes[[#This Row],[costo_materiales]])</f>
        <v/>
      </c>
      <c r="AL1069" s="6" t="n"/>
      <c r="AM1069" s="6" t="n"/>
      <c r="AN1069" s="6" t="n"/>
      <c r="AO1069" s="3">
        <f>IF(tblOrdenes[[#This Row],[link_checklist]]="","",HYPERLINK(p_ruta_base_checklists&amp;tblOrdenes[[#This Row],[link_checklist]],"abrir"))</f>
        <v/>
      </c>
      <c r="AP1069" s="6" t="n"/>
      <c r="AQ1069" s="3">
        <f>IF(tblOrdenes[[#This Row],[orden]]="","",tblOrdenes[[#This Row],[orden]]&amp;IF(tblOrdenes[[#This Row],[operacion]]="","0010",tblOrdenes[[#This Row],[operacion]]))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2" t="n"/>
      <c r="K1070" s="3" t="n"/>
      <c r="L1070" s="11" t="n"/>
      <c r="M10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0" s="3">
        <f>IF(tblOrdenes[[#This Row],[fecha_inicio]]="","",YEAR(tblOrdenes[[#This Row],[fecha_inicio]]))</f>
        <v/>
      </c>
      <c r="Q1070" s="3">
        <f>IF(tblOrdenes[[#This Row],[fecha_inicio]]="","",MONTH(tblOrdenes[[#This Row],[fecha_inicio]]))</f>
        <v/>
      </c>
      <c r="R1070" s="3">
        <f>IF(tblOrdenes[[#This Row],[fecha_inicio]]="","",INDEX(lista_dias,WEEKDAY(tblOrdenes[[#This Row],[fecha_inicio]],2)))</f>
        <v/>
      </c>
      <c r="S10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0" s="3">
        <f>IF(tblOrdenes[[#This Row],[tipo_ot]]="","",_xlfn.XLOOKUP(tblOrdenes[[#This Row],[tipo_ot]],tblTiposOT[codigo],tblTiposOT[clasificacion],"sin_clasificar"))</f>
        <v/>
      </c>
      <c r="U1070" s="3">
        <f>IF(tblOrdenes[[#This Row],[centro_costo]]="","",_xlfn.XLOOKUP(tblOrdenes[[#This Row],[centro_costo]],tblCECO[codigo],tblCECO[linea],"(sin catálogo)"))</f>
        <v/>
      </c>
      <c r="V1070" s="3">
        <f>IF(tblOrdenes[[#This Row],[centro_costo]]="","",_xlfn.XLOOKUP(tblOrdenes[[#This Row],[centro_costo]],tblCECO[codigo],tblCECO[area],"(sin catálogo)"))</f>
        <v/>
      </c>
      <c r="W10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0" s="3">
        <f>IF(tblOrdenes[[#This Row],[centro_costo]]="","",_xlfn.XLOOKUP(tblOrdenes[[#This Row],[centro_costo]],tblCECO[codigo],tblCECO[coordinador],"(sin catálogo)"))</f>
        <v/>
      </c>
      <c r="Y1070" s="3">
        <f>IF(tblOrdenes[[#This Row],[puesto_trabajo]]="","",_xlfn.XLOOKUP(tblOrdenes[[#This Row],[puesto_trabajo]],tblPuestos[codigo],tblPuestos[especialidad],"(sin catálogo)"))</f>
        <v/>
      </c>
      <c r="Z1070" s="3">
        <f>IF(tblOrdenes[[#This Row],[cod_actividad]]="","",_xlfn.XLOOKUP(tblOrdenes[[#This Row],[cod_actividad]],tblActividades[codigo],tblActividades[descripcion],"(sin catálogo)"))</f>
        <v/>
      </c>
      <c r="AA1070" s="13">
        <f>IF(tblOrdenes[[#This Row],[fecha_inicio]]="","",TODAY()-tblOrdenes[[#This Row],[fecha_inicio]])</f>
        <v/>
      </c>
      <c r="AB10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0" s="3">
        <f>IF(tblOrdenes[[#This Row],[backlog_habiles]]="","",IF(tblOrdenes[[#This Row],[backlog_habiles]]&lt;0,"FUTURO",IF(tblOrdenes[[#This Row],[backlog_habiles]]&gt;p_dias_backlog_max,"BACKLOG","MES CORRIENTE")))</f>
        <v/>
      </c>
      <c r="AD1070" s="3">
        <f>IF(tblOrdenes[[#This Row],[backlog_habiles]]="",FALSE,AND(tblOrdenes[[#This Row],[backlog_habiles]]&gt;p_dias_backlog_min,tblOrdenes[[#This Row],[backlog_habiles]]&lt;=p_dias_backlog_max))</f>
        <v/>
      </c>
      <c r="AE1070" s="6" t="n"/>
      <c r="AF10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0" s="11">
        <f>IF(tblOrdenes[[#This Row],[orden]]="","",_xlfn.XLOOKUP(tblOrdenes[[#This Row],[id_operacion]],tblEjecucion[id_operacion],tblEjecucion[precio],0))</f>
        <v/>
      </c>
      <c r="AJ1070" s="11">
        <f>IF(tblOrdenes[[#This Row],[orden]]="","",MAX(0,_xlfn.XLOOKUP(tblOrdenes[[#This Row],[id_operacion]],tblEjecucion[id_operacion],tblEjecucion[costo_plan_total],0)-tblOrdenes[[#This Row],[costo_servicio]]))</f>
        <v/>
      </c>
      <c r="AK1070" s="11">
        <f>IF(tblOrdenes[[#This Row],[orden]]="","",tblOrdenes[[#This Row],[costo_servicio]]+tblOrdenes[[#This Row],[costo_materiales]])</f>
        <v/>
      </c>
      <c r="AL1070" s="6" t="n"/>
      <c r="AM1070" s="6" t="n"/>
      <c r="AN1070" s="6" t="n"/>
      <c r="AO1070" s="3">
        <f>IF(tblOrdenes[[#This Row],[link_checklist]]="","",HYPERLINK(p_ruta_base_checklists&amp;tblOrdenes[[#This Row],[link_checklist]],"abrir"))</f>
        <v/>
      </c>
      <c r="AP1070" s="6" t="n"/>
      <c r="AQ1070" s="3">
        <f>IF(tblOrdenes[[#This Row],[orden]]="","",tblOrdenes[[#This Row],[orden]]&amp;IF(tblOrdenes[[#This Row],[operacion]]="","0010",tblOrdenes[[#This Row],[operacion]]))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2" t="n"/>
      <c r="K1071" s="3" t="n"/>
      <c r="L1071" s="11" t="n"/>
      <c r="M10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1" s="3">
        <f>IF(tblOrdenes[[#This Row],[fecha_inicio]]="","",YEAR(tblOrdenes[[#This Row],[fecha_inicio]]))</f>
        <v/>
      </c>
      <c r="Q1071" s="3">
        <f>IF(tblOrdenes[[#This Row],[fecha_inicio]]="","",MONTH(tblOrdenes[[#This Row],[fecha_inicio]]))</f>
        <v/>
      </c>
      <c r="R1071" s="3">
        <f>IF(tblOrdenes[[#This Row],[fecha_inicio]]="","",INDEX(lista_dias,WEEKDAY(tblOrdenes[[#This Row],[fecha_inicio]],2)))</f>
        <v/>
      </c>
      <c r="S10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1" s="3">
        <f>IF(tblOrdenes[[#This Row],[tipo_ot]]="","",_xlfn.XLOOKUP(tblOrdenes[[#This Row],[tipo_ot]],tblTiposOT[codigo],tblTiposOT[clasificacion],"sin_clasificar"))</f>
        <v/>
      </c>
      <c r="U1071" s="3">
        <f>IF(tblOrdenes[[#This Row],[centro_costo]]="","",_xlfn.XLOOKUP(tblOrdenes[[#This Row],[centro_costo]],tblCECO[codigo],tblCECO[linea],"(sin catálogo)"))</f>
        <v/>
      </c>
      <c r="V1071" s="3">
        <f>IF(tblOrdenes[[#This Row],[centro_costo]]="","",_xlfn.XLOOKUP(tblOrdenes[[#This Row],[centro_costo]],tblCECO[codigo],tblCECO[area],"(sin catálogo)"))</f>
        <v/>
      </c>
      <c r="W10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1" s="3">
        <f>IF(tblOrdenes[[#This Row],[centro_costo]]="","",_xlfn.XLOOKUP(tblOrdenes[[#This Row],[centro_costo]],tblCECO[codigo],tblCECO[coordinador],"(sin catálogo)"))</f>
        <v/>
      </c>
      <c r="Y1071" s="3">
        <f>IF(tblOrdenes[[#This Row],[puesto_trabajo]]="","",_xlfn.XLOOKUP(tblOrdenes[[#This Row],[puesto_trabajo]],tblPuestos[codigo],tblPuestos[especialidad],"(sin catálogo)"))</f>
        <v/>
      </c>
      <c r="Z1071" s="3">
        <f>IF(tblOrdenes[[#This Row],[cod_actividad]]="","",_xlfn.XLOOKUP(tblOrdenes[[#This Row],[cod_actividad]],tblActividades[codigo],tblActividades[descripcion],"(sin catálogo)"))</f>
        <v/>
      </c>
      <c r="AA1071" s="13">
        <f>IF(tblOrdenes[[#This Row],[fecha_inicio]]="","",TODAY()-tblOrdenes[[#This Row],[fecha_inicio]])</f>
        <v/>
      </c>
      <c r="AB10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1" s="3">
        <f>IF(tblOrdenes[[#This Row],[backlog_habiles]]="","",IF(tblOrdenes[[#This Row],[backlog_habiles]]&lt;0,"FUTURO",IF(tblOrdenes[[#This Row],[backlog_habiles]]&gt;p_dias_backlog_max,"BACKLOG","MES CORRIENTE")))</f>
        <v/>
      </c>
      <c r="AD1071" s="3">
        <f>IF(tblOrdenes[[#This Row],[backlog_habiles]]="",FALSE,AND(tblOrdenes[[#This Row],[backlog_habiles]]&gt;p_dias_backlog_min,tblOrdenes[[#This Row],[backlog_habiles]]&lt;=p_dias_backlog_max))</f>
        <v/>
      </c>
      <c r="AE1071" s="6" t="n"/>
      <c r="AF10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1" s="11">
        <f>IF(tblOrdenes[[#This Row],[orden]]="","",_xlfn.XLOOKUP(tblOrdenes[[#This Row],[id_operacion]],tblEjecucion[id_operacion],tblEjecucion[precio],0))</f>
        <v/>
      </c>
      <c r="AJ1071" s="11">
        <f>IF(tblOrdenes[[#This Row],[orden]]="","",MAX(0,_xlfn.XLOOKUP(tblOrdenes[[#This Row],[id_operacion]],tblEjecucion[id_operacion],tblEjecucion[costo_plan_total],0)-tblOrdenes[[#This Row],[costo_servicio]]))</f>
        <v/>
      </c>
      <c r="AK1071" s="11">
        <f>IF(tblOrdenes[[#This Row],[orden]]="","",tblOrdenes[[#This Row],[costo_servicio]]+tblOrdenes[[#This Row],[costo_materiales]])</f>
        <v/>
      </c>
      <c r="AL1071" s="6" t="n"/>
      <c r="AM1071" s="6" t="n"/>
      <c r="AN1071" s="6" t="n"/>
      <c r="AO1071" s="3">
        <f>IF(tblOrdenes[[#This Row],[link_checklist]]="","",HYPERLINK(p_ruta_base_checklists&amp;tblOrdenes[[#This Row],[link_checklist]],"abrir"))</f>
        <v/>
      </c>
      <c r="AP1071" s="6" t="n"/>
      <c r="AQ1071" s="3">
        <f>IF(tblOrdenes[[#This Row],[orden]]="","",tblOrdenes[[#This Row],[orden]]&amp;IF(tblOrdenes[[#This Row],[operacion]]="","0010",tblOrdenes[[#This Row],[operacion]]))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2" t="n"/>
      <c r="K1072" s="3" t="n"/>
      <c r="L1072" s="11" t="n"/>
      <c r="M10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2" s="3">
        <f>IF(tblOrdenes[[#This Row],[fecha_inicio]]="","",YEAR(tblOrdenes[[#This Row],[fecha_inicio]]))</f>
        <v/>
      </c>
      <c r="Q1072" s="3">
        <f>IF(tblOrdenes[[#This Row],[fecha_inicio]]="","",MONTH(tblOrdenes[[#This Row],[fecha_inicio]]))</f>
        <v/>
      </c>
      <c r="R1072" s="3">
        <f>IF(tblOrdenes[[#This Row],[fecha_inicio]]="","",INDEX(lista_dias,WEEKDAY(tblOrdenes[[#This Row],[fecha_inicio]],2)))</f>
        <v/>
      </c>
      <c r="S10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2" s="3">
        <f>IF(tblOrdenes[[#This Row],[tipo_ot]]="","",_xlfn.XLOOKUP(tblOrdenes[[#This Row],[tipo_ot]],tblTiposOT[codigo],tblTiposOT[clasificacion],"sin_clasificar"))</f>
        <v/>
      </c>
      <c r="U1072" s="3">
        <f>IF(tblOrdenes[[#This Row],[centro_costo]]="","",_xlfn.XLOOKUP(tblOrdenes[[#This Row],[centro_costo]],tblCECO[codigo],tblCECO[linea],"(sin catálogo)"))</f>
        <v/>
      </c>
      <c r="V1072" s="3">
        <f>IF(tblOrdenes[[#This Row],[centro_costo]]="","",_xlfn.XLOOKUP(tblOrdenes[[#This Row],[centro_costo]],tblCECO[codigo],tblCECO[area],"(sin catálogo)"))</f>
        <v/>
      </c>
      <c r="W10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2" s="3">
        <f>IF(tblOrdenes[[#This Row],[centro_costo]]="","",_xlfn.XLOOKUP(tblOrdenes[[#This Row],[centro_costo]],tblCECO[codigo],tblCECO[coordinador],"(sin catálogo)"))</f>
        <v/>
      </c>
      <c r="Y1072" s="3">
        <f>IF(tblOrdenes[[#This Row],[puesto_trabajo]]="","",_xlfn.XLOOKUP(tblOrdenes[[#This Row],[puesto_trabajo]],tblPuestos[codigo],tblPuestos[especialidad],"(sin catálogo)"))</f>
        <v/>
      </c>
      <c r="Z1072" s="3">
        <f>IF(tblOrdenes[[#This Row],[cod_actividad]]="","",_xlfn.XLOOKUP(tblOrdenes[[#This Row],[cod_actividad]],tblActividades[codigo],tblActividades[descripcion],"(sin catálogo)"))</f>
        <v/>
      </c>
      <c r="AA1072" s="13">
        <f>IF(tblOrdenes[[#This Row],[fecha_inicio]]="","",TODAY()-tblOrdenes[[#This Row],[fecha_inicio]])</f>
        <v/>
      </c>
      <c r="AB10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2" s="3">
        <f>IF(tblOrdenes[[#This Row],[backlog_habiles]]="","",IF(tblOrdenes[[#This Row],[backlog_habiles]]&lt;0,"FUTURO",IF(tblOrdenes[[#This Row],[backlog_habiles]]&gt;p_dias_backlog_max,"BACKLOG","MES CORRIENTE")))</f>
        <v/>
      </c>
      <c r="AD1072" s="3">
        <f>IF(tblOrdenes[[#This Row],[backlog_habiles]]="",FALSE,AND(tblOrdenes[[#This Row],[backlog_habiles]]&gt;p_dias_backlog_min,tblOrdenes[[#This Row],[backlog_habiles]]&lt;=p_dias_backlog_max))</f>
        <v/>
      </c>
      <c r="AE1072" s="6" t="n"/>
      <c r="AF10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2" s="11">
        <f>IF(tblOrdenes[[#This Row],[orden]]="","",_xlfn.XLOOKUP(tblOrdenes[[#This Row],[id_operacion]],tblEjecucion[id_operacion],tblEjecucion[precio],0))</f>
        <v/>
      </c>
      <c r="AJ1072" s="11">
        <f>IF(tblOrdenes[[#This Row],[orden]]="","",MAX(0,_xlfn.XLOOKUP(tblOrdenes[[#This Row],[id_operacion]],tblEjecucion[id_operacion],tblEjecucion[costo_plan_total],0)-tblOrdenes[[#This Row],[costo_servicio]]))</f>
        <v/>
      </c>
      <c r="AK1072" s="11">
        <f>IF(tblOrdenes[[#This Row],[orden]]="","",tblOrdenes[[#This Row],[costo_servicio]]+tblOrdenes[[#This Row],[costo_materiales]])</f>
        <v/>
      </c>
      <c r="AL1072" s="6" t="n"/>
      <c r="AM1072" s="6" t="n"/>
      <c r="AN1072" s="6" t="n"/>
      <c r="AO1072" s="3">
        <f>IF(tblOrdenes[[#This Row],[link_checklist]]="","",HYPERLINK(p_ruta_base_checklists&amp;tblOrdenes[[#This Row],[link_checklist]],"abrir"))</f>
        <v/>
      </c>
      <c r="AP1072" s="6" t="n"/>
      <c r="AQ1072" s="3">
        <f>IF(tblOrdenes[[#This Row],[orden]]="","",tblOrdenes[[#This Row],[orden]]&amp;IF(tblOrdenes[[#This Row],[operacion]]="","0010",tblOrdenes[[#This Row],[operacion]]))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2" t="n"/>
      <c r="K1073" s="3" t="n"/>
      <c r="L1073" s="11" t="n"/>
      <c r="M10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3" s="3">
        <f>IF(tblOrdenes[[#This Row],[fecha_inicio]]="","",YEAR(tblOrdenes[[#This Row],[fecha_inicio]]))</f>
        <v/>
      </c>
      <c r="Q1073" s="3">
        <f>IF(tblOrdenes[[#This Row],[fecha_inicio]]="","",MONTH(tblOrdenes[[#This Row],[fecha_inicio]]))</f>
        <v/>
      </c>
      <c r="R1073" s="3">
        <f>IF(tblOrdenes[[#This Row],[fecha_inicio]]="","",INDEX(lista_dias,WEEKDAY(tblOrdenes[[#This Row],[fecha_inicio]],2)))</f>
        <v/>
      </c>
      <c r="S10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3" s="3">
        <f>IF(tblOrdenes[[#This Row],[tipo_ot]]="","",_xlfn.XLOOKUP(tblOrdenes[[#This Row],[tipo_ot]],tblTiposOT[codigo],tblTiposOT[clasificacion],"sin_clasificar"))</f>
        <v/>
      </c>
      <c r="U1073" s="3">
        <f>IF(tblOrdenes[[#This Row],[centro_costo]]="","",_xlfn.XLOOKUP(tblOrdenes[[#This Row],[centro_costo]],tblCECO[codigo],tblCECO[linea],"(sin catálogo)"))</f>
        <v/>
      </c>
      <c r="V1073" s="3">
        <f>IF(tblOrdenes[[#This Row],[centro_costo]]="","",_xlfn.XLOOKUP(tblOrdenes[[#This Row],[centro_costo]],tblCECO[codigo],tblCECO[area],"(sin catálogo)"))</f>
        <v/>
      </c>
      <c r="W10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3" s="3">
        <f>IF(tblOrdenes[[#This Row],[centro_costo]]="","",_xlfn.XLOOKUP(tblOrdenes[[#This Row],[centro_costo]],tblCECO[codigo],tblCECO[coordinador],"(sin catálogo)"))</f>
        <v/>
      </c>
      <c r="Y1073" s="3">
        <f>IF(tblOrdenes[[#This Row],[puesto_trabajo]]="","",_xlfn.XLOOKUP(tblOrdenes[[#This Row],[puesto_trabajo]],tblPuestos[codigo],tblPuestos[especialidad],"(sin catálogo)"))</f>
        <v/>
      </c>
      <c r="Z1073" s="3">
        <f>IF(tblOrdenes[[#This Row],[cod_actividad]]="","",_xlfn.XLOOKUP(tblOrdenes[[#This Row],[cod_actividad]],tblActividades[codigo],tblActividades[descripcion],"(sin catálogo)"))</f>
        <v/>
      </c>
      <c r="AA1073" s="13">
        <f>IF(tblOrdenes[[#This Row],[fecha_inicio]]="","",TODAY()-tblOrdenes[[#This Row],[fecha_inicio]])</f>
        <v/>
      </c>
      <c r="AB10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3" s="3">
        <f>IF(tblOrdenes[[#This Row],[backlog_habiles]]="","",IF(tblOrdenes[[#This Row],[backlog_habiles]]&lt;0,"FUTURO",IF(tblOrdenes[[#This Row],[backlog_habiles]]&gt;p_dias_backlog_max,"BACKLOG","MES CORRIENTE")))</f>
        <v/>
      </c>
      <c r="AD1073" s="3">
        <f>IF(tblOrdenes[[#This Row],[backlog_habiles]]="",FALSE,AND(tblOrdenes[[#This Row],[backlog_habiles]]&gt;p_dias_backlog_min,tblOrdenes[[#This Row],[backlog_habiles]]&lt;=p_dias_backlog_max))</f>
        <v/>
      </c>
      <c r="AE1073" s="6" t="n"/>
      <c r="AF10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3" s="11">
        <f>IF(tblOrdenes[[#This Row],[orden]]="","",_xlfn.XLOOKUP(tblOrdenes[[#This Row],[id_operacion]],tblEjecucion[id_operacion],tblEjecucion[precio],0))</f>
        <v/>
      </c>
      <c r="AJ1073" s="11">
        <f>IF(tblOrdenes[[#This Row],[orden]]="","",MAX(0,_xlfn.XLOOKUP(tblOrdenes[[#This Row],[id_operacion]],tblEjecucion[id_operacion],tblEjecucion[costo_plan_total],0)-tblOrdenes[[#This Row],[costo_servicio]]))</f>
        <v/>
      </c>
      <c r="AK1073" s="11">
        <f>IF(tblOrdenes[[#This Row],[orden]]="","",tblOrdenes[[#This Row],[costo_servicio]]+tblOrdenes[[#This Row],[costo_materiales]])</f>
        <v/>
      </c>
      <c r="AL1073" s="6" t="n"/>
      <c r="AM1073" s="6" t="n"/>
      <c r="AN1073" s="6" t="n"/>
      <c r="AO1073" s="3">
        <f>IF(tblOrdenes[[#This Row],[link_checklist]]="","",HYPERLINK(p_ruta_base_checklists&amp;tblOrdenes[[#This Row],[link_checklist]],"abrir"))</f>
        <v/>
      </c>
      <c r="AP1073" s="6" t="n"/>
      <c r="AQ1073" s="3">
        <f>IF(tblOrdenes[[#This Row],[orden]]="","",tblOrdenes[[#This Row],[orden]]&amp;IF(tblOrdenes[[#This Row],[operacion]]="","0010",tblOrdenes[[#This Row],[operacion]]))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2" t="n"/>
      <c r="K1074" s="3" t="n"/>
      <c r="L1074" s="11" t="n"/>
      <c r="M10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4" s="3">
        <f>IF(tblOrdenes[[#This Row],[fecha_inicio]]="","",YEAR(tblOrdenes[[#This Row],[fecha_inicio]]))</f>
        <v/>
      </c>
      <c r="Q1074" s="3">
        <f>IF(tblOrdenes[[#This Row],[fecha_inicio]]="","",MONTH(tblOrdenes[[#This Row],[fecha_inicio]]))</f>
        <v/>
      </c>
      <c r="R1074" s="3">
        <f>IF(tblOrdenes[[#This Row],[fecha_inicio]]="","",INDEX(lista_dias,WEEKDAY(tblOrdenes[[#This Row],[fecha_inicio]],2)))</f>
        <v/>
      </c>
      <c r="S10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4" s="3">
        <f>IF(tblOrdenes[[#This Row],[tipo_ot]]="","",_xlfn.XLOOKUP(tblOrdenes[[#This Row],[tipo_ot]],tblTiposOT[codigo],tblTiposOT[clasificacion],"sin_clasificar"))</f>
        <v/>
      </c>
      <c r="U1074" s="3">
        <f>IF(tblOrdenes[[#This Row],[centro_costo]]="","",_xlfn.XLOOKUP(tblOrdenes[[#This Row],[centro_costo]],tblCECO[codigo],tblCECO[linea],"(sin catálogo)"))</f>
        <v/>
      </c>
      <c r="V1074" s="3">
        <f>IF(tblOrdenes[[#This Row],[centro_costo]]="","",_xlfn.XLOOKUP(tblOrdenes[[#This Row],[centro_costo]],tblCECO[codigo],tblCECO[area],"(sin catálogo)"))</f>
        <v/>
      </c>
      <c r="W10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4" s="3">
        <f>IF(tblOrdenes[[#This Row],[centro_costo]]="","",_xlfn.XLOOKUP(tblOrdenes[[#This Row],[centro_costo]],tblCECO[codigo],tblCECO[coordinador],"(sin catálogo)"))</f>
        <v/>
      </c>
      <c r="Y1074" s="3">
        <f>IF(tblOrdenes[[#This Row],[puesto_trabajo]]="","",_xlfn.XLOOKUP(tblOrdenes[[#This Row],[puesto_trabajo]],tblPuestos[codigo],tblPuestos[especialidad],"(sin catálogo)"))</f>
        <v/>
      </c>
      <c r="Z1074" s="3">
        <f>IF(tblOrdenes[[#This Row],[cod_actividad]]="","",_xlfn.XLOOKUP(tblOrdenes[[#This Row],[cod_actividad]],tblActividades[codigo],tblActividades[descripcion],"(sin catálogo)"))</f>
        <v/>
      </c>
      <c r="AA1074" s="13">
        <f>IF(tblOrdenes[[#This Row],[fecha_inicio]]="","",TODAY()-tblOrdenes[[#This Row],[fecha_inicio]])</f>
        <v/>
      </c>
      <c r="AB10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4" s="3">
        <f>IF(tblOrdenes[[#This Row],[backlog_habiles]]="","",IF(tblOrdenes[[#This Row],[backlog_habiles]]&lt;0,"FUTURO",IF(tblOrdenes[[#This Row],[backlog_habiles]]&gt;p_dias_backlog_max,"BACKLOG","MES CORRIENTE")))</f>
        <v/>
      </c>
      <c r="AD1074" s="3">
        <f>IF(tblOrdenes[[#This Row],[backlog_habiles]]="",FALSE,AND(tblOrdenes[[#This Row],[backlog_habiles]]&gt;p_dias_backlog_min,tblOrdenes[[#This Row],[backlog_habiles]]&lt;=p_dias_backlog_max))</f>
        <v/>
      </c>
      <c r="AE1074" s="6" t="n"/>
      <c r="AF10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4" s="11">
        <f>IF(tblOrdenes[[#This Row],[orden]]="","",_xlfn.XLOOKUP(tblOrdenes[[#This Row],[id_operacion]],tblEjecucion[id_operacion],tblEjecucion[precio],0))</f>
        <v/>
      </c>
      <c r="AJ1074" s="11">
        <f>IF(tblOrdenes[[#This Row],[orden]]="","",MAX(0,_xlfn.XLOOKUP(tblOrdenes[[#This Row],[id_operacion]],tblEjecucion[id_operacion],tblEjecucion[costo_plan_total],0)-tblOrdenes[[#This Row],[costo_servicio]]))</f>
        <v/>
      </c>
      <c r="AK1074" s="11">
        <f>IF(tblOrdenes[[#This Row],[orden]]="","",tblOrdenes[[#This Row],[costo_servicio]]+tblOrdenes[[#This Row],[costo_materiales]])</f>
        <v/>
      </c>
      <c r="AL1074" s="6" t="n"/>
      <c r="AM1074" s="6" t="n"/>
      <c r="AN1074" s="6" t="n"/>
      <c r="AO1074" s="3">
        <f>IF(tblOrdenes[[#This Row],[link_checklist]]="","",HYPERLINK(p_ruta_base_checklists&amp;tblOrdenes[[#This Row],[link_checklist]],"abrir"))</f>
        <v/>
      </c>
      <c r="AP1074" s="6" t="n"/>
      <c r="AQ1074" s="3">
        <f>IF(tblOrdenes[[#This Row],[orden]]="","",tblOrdenes[[#This Row],[orden]]&amp;IF(tblOrdenes[[#This Row],[operacion]]="","0010",tblOrdenes[[#This Row],[operacion]]))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2" t="n"/>
      <c r="K1075" s="3" t="n"/>
      <c r="L1075" s="11" t="n"/>
      <c r="M10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5" s="3">
        <f>IF(tblOrdenes[[#This Row],[fecha_inicio]]="","",YEAR(tblOrdenes[[#This Row],[fecha_inicio]]))</f>
        <v/>
      </c>
      <c r="Q1075" s="3">
        <f>IF(tblOrdenes[[#This Row],[fecha_inicio]]="","",MONTH(tblOrdenes[[#This Row],[fecha_inicio]]))</f>
        <v/>
      </c>
      <c r="R1075" s="3">
        <f>IF(tblOrdenes[[#This Row],[fecha_inicio]]="","",INDEX(lista_dias,WEEKDAY(tblOrdenes[[#This Row],[fecha_inicio]],2)))</f>
        <v/>
      </c>
      <c r="S10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5" s="3">
        <f>IF(tblOrdenes[[#This Row],[tipo_ot]]="","",_xlfn.XLOOKUP(tblOrdenes[[#This Row],[tipo_ot]],tblTiposOT[codigo],tblTiposOT[clasificacion],"sin_clasificar"))</f>
        <v/>
      </c>
      <c r="U1075" s="3">
        <f>IF(tblOrdenes[[#This Row],[centro_costo]]="","",_xlfn.XLOOKUP(tblOrdenes[[#This Row],[centro_costo]],tblCECO[codigo],tblCECO[linea],"(sin catálogo)"))</f>
        <v/>
      </c>
      <c r="V1075" s="3">
        <f>IF(tblOrdenes[[#This Row],[centro_costo]]="","",_xlfn.XLOOKUP(tblOrdenes[[#This Row],[centro_costo]],tblCECO[codigo],tblCECO[area],"(sin catálogo)"))</f>
        <v/>
      </c>
      <c r="W10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5" s="3">
        <f>IF(tblOrdenes[[#This Row],[centro_costo]]="","",_xlfn.XLOOKUP(tblOrdenes[[#This Row],[centro_costo]],tblCECO[codigo],tblCECO[coordinador],"(sin catálogo)"))</f>
        <v/>
      </c>
      <c r="Y1075" s="3">
        <f>IF(tblOrdenes[[#This Row],[puesto_trabajo]]="","",_xlfn.XLOOKUP(tblOrdenes[[#This Row],[puesto_trabajo]],tblPuestos[codigo],tblPuestos[especialidad],"(sin catálogo)"))</f>
        <v/>
      </c>
      <c r="Z1075" s="3">
        <f>IF(tblOrdenes[[#This Row],[cod_actividad]]="","",_xlfn.XLOOKUP(tblOrdenes[[#This Row],[cod_actividad]],tblActividades[codigo],tblActividades[descripcion],"(sin catálogo)"))</f>
        <v/>
      </c>
      <c r="AA1075" s="13">
        <f>IF(tblOrdenes[[#This Row],[fecha_inicio]]="","",TODAY()-tblOrdenes[[#This Row],[fecha_inicio]])</f>
        <v/>
      </c>
      <c r="AB10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5" s="3">
        <f>IF(tblOrdenes[[#This Row],[backlog_habiles]]="","",IF(tblOrdenes[[#This Row],[backlog_habiles]]&lt;0,"FUTURO",IF(tblOrdenes[[#This Row],[backlog_habiles]]&gt;p_dias_backlog_max,"BACKLOG","MES CORRIENTE")))</f>
        <v/>
      </c>
      <c r="AD1075" s="3">
        <f>IF(tblOrdenes[[#This Row],[backlog_habiles]]="",FALSE,AND(tblOrdenes[[#This Row],[backlog_habiles]]&gt;p_dias_backlog_min,tblOrdenes[[#This Row],[backlog_habiles]]&lt;=p_dias_backlog_max))</f>
        <v/>
      </c>
      <c r="AE1075" s="6" t="n"/>
      <c r="AF10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5" s="11">
        <f>IF(tblOrdenes[[#This Row],[orden]]="","",_xlfn.XLOOKUP(tblOrdenes[[#This Row],[id_operacion]],tblEjecucion[id_operacion],tblEjecucion[precio],0))</f>
        <v/>
      </c>
      <c r="AJ1075" s="11">
        <f>IF(tblOrdenes[[#This Row],[orden]]="","",MAX(0,_xlfn.XLOOKUP(tblOrdenes[[#This Row],[id_operacion]],tblEjecucion[id_operacion],tblEjecucion[costo_plan_total],0)-tblOrdenes[[#This Row],[costo_servicio]]))</f>
        <v/>
      </c>
      <c r="AK1075" s="11">
        <f>IF(tblOrdenes[[#This Row],[orden]]="","",tblOrdenes[[#This Row],[costo_servicio]]+tblOrdenes[[#This Row],[costo_materiales]])</f>
        <v/>
      </c>
      <c r="AL1075" s="6" t="n"/>
      <c r="AM1075" s="6" t="n"/>
      <c r="AN1075" s="6" t="n"/>
      <c r="AO1075" s="3">
        <f>IF(tblOrdenes[[#This Row],[link_checklist]]="","",HYPERLINK(p_ruta_base_checklists&amp;tblOrdenes[[#This Row],[link_checklist]],"abrir"))</f>
        <v/>
      </c>
      <c r="AP1075" s="6" t="n"/>
      <c r="AQ1075" s="3">
        <f>IF(tblOrdenes[[#This Row],[orden]]="","",tblOrdenes[[#This Row],[orden]]&amp;IF(tblOrdenes[[#This Row],[operacion]]="","0010",tblOrdenes[[#This Row],[operacion]]))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2" t="n"/>
      <c r="K1076" s="3" t="n"/>
      <c r="L1076" s="11" t="n"/>
      <c r="M10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6" s="3">
        <f>IF(tblOrdenes[[#This Row],[fecha_inicio]]="","",YEAR(tblOrdenes[[#This Row],[fecha_inicio]]))</f>
        <v/>
      </c>
      <c r="Q1076" s="3">
        <f>IF(tblOrdenes[[#This Row],[fecha_inicio]]="","",MONTH(tblOrdenes[[#This Row],[fecha_inicio]]))</f>
        <v/>
      </c>
      <c r="R1076" s="3">
        <f>IF(tblOrdenes[[#This Row],[fecha_inicio]]="","",INDEX(lista_dias,WEEKDAY(tblOrdenes[[#This Row],[fecha_inicio]],2)))</f>
        <v/>
      </c>
      <c r="S10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6" s="3">
        <f>IF(tblOrdenes[[#This Row],[tipo_ot]]="","",_xlfn.XLOOKUP(tblOrdenes[[#This Row],[tipo_ot]],tblTiposOT[codigo],tblTiposOT[clasificacion],"sin_clasificar"))</f>
        <v/>
      </c>
      <c r="U1076" s="3">
        <f>IF(tblOrdenes[[#This Row],[centro_costo]]="","",_xlfn.XLOOKUP(tblOrdenes[[#This Row],[centro_costo]],tblCECO[codigo],tblCECO[linea],"(sin catálogo)"))</f>
        <v/>
      </c>
      <c r="V1076" s="3">
        <f>IF(tblOrdenes[[#This Row],[centro_costo]]="","",_xlfn.XLOOKUP(tblOrdenes[[#This Row],[centro_costo]],tblCECO[codigo],tblCECO[area],"(sin catálogo)"))</f>
        <v/>
      </c>
      <c r="W10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6" s="3">
        <f>IF(tblOrdenes[[#This Row],[centro_costo]]="","",_xlfn.XLOOKUP(tblOrdenes[[#This Row],[centro_costo]],tblCECO[codigo],tblCECO[coordinador],"(sin catálogo)"))</f>
        <v/>
      </c>
      <c r="Y1076" s="3">
        <f>IF(tblOrdenes[[#This Row],[puesto_trabajo]]="","",_xlfn.XLOOKUP(tblOrdenes[[#This Row],[puesto_trabajo]],tblPuestos[codigo],tblPuestos[especialidad],"(sin catálogo)"))</f>
        <v/>
      </c>
      <c r="Z1076" s="3">
        <f>IF(tblOrdenes[[#This Row],[cod_actividad]]="","",_xlfn.XLOOKUP(tblOrdenes[[#This Row],[cod_actividad]],tblActividades[codigo],tblActividades[descripcion],"(sin catálogo)"))</f>
        <v/>
      </c>
      <c r="AA1076" s="13">
        <f>IF(tblOrdenes[[#This Row],[fecha_inicio]]="","",TODAY()-tblOrdenes[[#This Row],[fecha_inicio]])</f>
        <v/>
      </c>
      <c r="AB10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6" s="3">
        <f>IF(tblOrdenes[[#This Row],[backlog_habiles]]="","",IF(tblOrdenes[[#This Row],[backlog_habiles]]&lt;0,"FUTURO",IF(tblOrdenes[[#This Row],[backlog_habiles]]&gt;p_dias_backlog_max,"BACKLOG","MES CORRIENTE")))</f>
        <v/>
      </c>
      <c r="AD1076" s="3">
        <f>IF(tblOrdenes[[#This Row],[backlog_habiles]]="",FALSE,AND(tblOrdenes[[#This Row],[backlog_habiles]]&gt;p_dias_backlog_min,tblOrdenes[[#This Row],[backlog_habiles]]&lt;=p_dias_backlog_max))</f>
        <v/>
      </c>
      <c r="AE1076" s="6" t="n"/>
      <c r="AF10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6" s="11">
        <f>IF(tblOrdenes[[#This Row],[orden]]="","",_xlfn.XLOOKUP(tblOrdenes[[#This Row],[id_operacion]],tblEjecucion[id_operacion],tblEjecucion[precio],0))</f>
        <v/>
      </c>
      <c r="AJ1076" s="11">
        <f>IF(tblOrdenes[[#This Row],[orden]]="","",MAX(0,_xlfn.XLOOKUP(tblOrdenes[[#This Row],[id_operacion]],tblEjecucion[id_operacion],tblEjecucion[costo_plan_total],0)-tblOrdenes[[#This Row],[costo_servicio]]))</f>
        <v/>
      </c>
      <c r="AK1076" s="11">
        <f>IF(tblOrdenes[[#This Row],[orden]]="","",tblOrdenes[[#This Row],[costo_servicio]]+tblOrdenes[[#This Row],[costo_materiales]])</f>
        <v/>
      </c>
      <c r="AL1076" s="6" t="n"/>
      <c r="AM1076" s="6" t="n"/>
      <c r="AN1076" s="6" t="n"/>
      <c r="AO1076" s="3">
        <f>IF(tblOrdenes[[#This Row],[link_checklist]]="","",HYPERLINK(p_ruta_base_checklists&amp;tblOrdenes[[#This Row],[link_checklist]],"abrir"))</f>
        <v/>
      </c>
      <c r="AP1076" s="6" t="n"/>
      <c r="AQ1076" s="3">
        <f>IF(tblOrdenes[[#This Row],[orden]]="","",tblOrdenes[[#This Row],[orden]]&amp;IF(tblOrdenes[[#This Row],[operacion]]="","0010",tblOrdenes[[#This Row],[operacion]]))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2" t="n"/>
      <c r="K1077" s="3" t="n"/>
      <c r="L1077" s="11" t="n"/>
      <c r="M10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7" s="3">
        <f>IF(tblOrdenes[[#This Row],[fecha_inicio]]="","",YEAR(tblOrdenes[[#This Row],[fecha_inicio]]))</f>
        <v/>
      </c>
      <c r="Q1077" s="3">
        <f>IF(tblOrdenes[[#This Row],[fecha_inicio]]="","",MONTH(tblOrdenes[[#This Row],[fecha_inicio]]))</f>
        <v/>
      </c>
      <c r="R1077" s="3">
        <f>IF(tblOrdenes[[#This Row],[fecha_inicio]]="","",INDEX(lista_dias,WEEKDAY(tblOrdenes[[#This Row],[fecha_inicio]],2)))</f>
        <v/>
      </c>
      <c r="S10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7" s="3">
        <f>IF(tblOrdenes[[#This Row],[tipo_ot]]="","",_xlfn.XLOOKUP(tblOrdenes[[#This Row],[tipo_ot]],tblTiposOT[codigo],tblTiposOT[clasificacion],"sin_clasificar"))</f>
        <v/>
      </c>
      <c r="U1077" s="3">
        <f>IF(tblOrdenes[[#This Row],[centro_costo]]="","",_xlfn.XLOOKUP(tblOrdenes[[#This Row],[centro_costo]],tblCECO[codigo],tblCECO[linea],"(sin catálogo)"))</f>
        <v/>
      </c>
      <c r="V1077" s="3">
        <f>IF(tblOrdenes[[#This Row],[centro_costo]]="","",_xlfn.XLOOKUP(tblOrdenes[[#This Row],[centro_costo]],tblCECO[codigo],tblCECO[area],"(sin catálogo)"))</f>
        <v/>
      </c>
      <c r="W10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7" s="3">
        <f>IF(tblOrdenes[[#This Row],[centro_costo]]="","",_xlfn.XLOOKUP(tblOrdenes[[#This Row],[centro_costo]],tblCECO[codigo],tblCECO[coordinador],"(sin catálogo)"))</f>
        <v/>
      </c>
      <c r="Y1077" s="3">
        <f>IF(tblOrdenes[[#This Row],[puesto_trabajo]]="","",_xlfn.XLOOKUP(tblOrdenes[[#This Row],[puesto_trabajo]],tblPuestos[codigo],tblPuestos[especialidad],"(sin catálogo)"))</f>
        <v/>
      </c>
      <c r="Z1077" s="3">
        <f>IF(tblOrdenes[[#This Row],[cod_actividad]]="","",_xlfn.XLOOKUP(tblOrdenes[[#This Row],[cod_actividad]],tblActividades[codigo],tblActividades[descripcion],"(sin catálogo)"))</f>
        <v/>
      </c>
      <c r="AA1077" s="13">
        <f>IF(tblOrdenes[[#This Row],[fecha_inicio]]="","",TODAY()-tblOrdenes[[#This Row],[fecha_inicio]])</f>
        <v/>
      </c>
      <c r="AB10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7" s="3">
        <f>IF(tblOrdenes[[#This Row],[backlog_habiles]]="","",IF(tblOrdenes[[#This Row],[backlog_habiles]]&lt;0,"FUTURO",IF(tblOrdenes[[#This Row],[backlog_habiles]]&gt;p_dias_backlog_max,"BACKLOG","MES CORRIENTE")))</f>
        <v/>
      </c>
      <c r="AD1077" s="3">
        <f>IF(tblOrdenes[[#This Row],[backlog_habiles]]="",FALSE,AND(tblOrdenes[[#This Row],[backlog_habiles]]&gt;p_dias_backlog_min,tblOrdenes[[#This Row],[backlog_habiles]]&lt;=p_dias_backlog_max))</f>
        <v/>
      </c>
      <c r="AE1077" s="6" t="n"/>
      <c r="AF10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7" s="11">
        <f>IF(tblOrdenes[[#This Row],[orden]]="","",_xlfn.XLOOKUP(tblOrdenes[[#This Row],[id_operacion]],tblEjecucion[id_operacion],tblEjecucion[precio],0))</f>
        <v/>
      </c>
      <c r="AJ1077" s="11">
        <f>IF(tblOrdenes[[#This Row],[orden]]="","",MAX(0,_xlfn.XLOOKUP(tblOrdenes[[#This Row],[id_operacion]],tblEjecucion[id_operacion],tblEjecucion[costo_plan_total],0)-tblOrdenes[[#This Row],[costo_servicio]]))</f>
        <v/>
      </c>
      <c r="AK1077" s="11">
        <f>IF(tblOrdenes[[#This Row],[orden]]="","",tblOrdenes[[#This Row],[costo_servicio]]+tblOrdenes[[#This Row],[costo_materiales]])</f>
        <v/>
      </c>
      <c r="AL1077" s="6" t="n"/>
      <c r="AM1077" s="6" t="n"/>
      <c r="AN1077" s="6" t="n"/>
      <c r="AO1077" s="3">
        <f>IF(tblOrdenes[[#This Row],[link_checklist]]="","",HYPERLINK(p_ruta_base_checklists&amp;tblOrdenes[[#This Row],[link_checklist]],"abrir"))</f>
        <v/>
      </c>
      <c r="AP1077" s="6" t="n"/>
      <c r="AQ1077" s="3">
        <f>IF(tblOrdenes[[#This Row],[orden]]="","",tblOrdenes[[#This Row],[orden]]&amp;IF(tblOrdenes[[#This Row],[operacion]]="","0010",tblOrdenes[[#This Row],[operacion]]))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2" t="n"/>
      <c r="K1078" s="3" t="n"/>
      <c r="L1078" s="11" t="n"/>
      <c r="M10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8" s="3">
        <f>IF(tblOrdenes[[#This Row],[fecha_inicio]]="","",YEAR(tblOrdenes[[#This Row],[fecha_inicio]]))</f>
        <v/>
      </c>
      <c r="Q1078" s="3">
        <f>IF(tblOrdenes[[#This Row],[fecha_inicio]]="","",MONTH(tblOrdenes[[#This Row],[fecha_inicio]]))</f>
        <v/>
      </c>
      <c r="R1078" s="3">
        <f>IF(tblOrdenes[[#This Row],[fecha_inicio]]="","",INDEX(lista_dias,WEEKDAY(tblOrdenes[[#This Row],[fecha_inicio]],2)))</f>
        <v/>
      </c>
      <c r="S10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8" s="3">
        <f>IF(tblOrdenes[[#This Row],[tipo_ot]]="","",_xlfn.XLOOKUP(tblOrdenes[[#This Row],[tipo_ot]],tblTiposOT[codigo],tblTiposOT[clasificacion],"sin_clasificar"))</f>
        <v/>
      </c>
      <c r="U1078" s="3">
        <f>IF(tblOrdenes[[#This Row],[centro_costo]]="","",_xlfn.XLOOKUP(tblOrdenes[[#This Row],[centro_costo]],tblCECO[codigo],tblCECO[linea],"(sin catálogo)"))</f>
        <v/>
      </c>
      <c r="V1078" s="3">
        <f>IF(tblOrdenes[[#This Row],[centro_costo]]="","",_xlfn.XLOOKUP(tblOrdenes[[#This Row],[centro_costo]],tblCECO[codigo],tblCECO[area],"(sin catálogo)"))</f>
        <v/>
      </c>
      <c r="W10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8" s="3">
        <f>IF(tblOrdenes[[#This Row],[centro_costo]]="","",_xlfn.XLOOKUP(tblOrdenes[[#This Row],[centro_costo]],tblCECO[codigo],tblCECO[coordinador],"(sin catálogo)"))</f>
        <v/>
      </c>
      <c r="Y1078" s="3">
        <f>IF(tblOrdenes[[#This Row],[puesto_trabajo]]="","",_xlfn.XLOOKUP(tblOrdenes[[#This Row],[puesto_trabajo]],tblPuestos[codigo],tblPuestos[especialidad],"(sin catálogo)"))</f>
        <v/>
      </c>
      <c r="Z1078" s="3">
        <f>IF(tblOrdenes[[#This Row],[cod_actividad]]="","",_xlfn.XLOOKUP(tblOrdenes[[#This Row],[cod_actividad]],tblActividades[codigo],tblActividades[descripcion],"(sin catálogo)"))</f>
        <v/>
      </c>
      <c r="AA1078" s="13">
        <f>IF(tblOrdenes[[#This Row],[fecha_inicio]]="","",TODAY()-tblOrdenes[[#This Row],[fecha_inicio]])</f>
        <v/>
      </c>
      <c r="AB10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8" s="3">
        <f>IF(tblOrdenes[[#This Row],[backlog_habiles]]="","",IF(tblOrdenes[[#This Row],[backlog_habiles]]&lt;0,"FUTURO",IF(tblOrdenes[[#This Row],[backlog_habiles]]&gt;p_dias_backlog_max,"BACKLOG","MES CORRIENTE")))</f>
        <v/>
      </c>
      <c r="AD1078" s="3">
        <f>IF(tblOrdenes[[#This Row],[backlog_habiles]]="",FALSE,AND(tblOrdenes[[#This Row],[backlog_habiles]]&gt;p_dias_backlog_min,tblOrdenes[[#This Row],[backlog_habiles]]&lt;=p_dias_backlog_max))</f>
        <v/>
      </c>
      <c r="AE1078" s="6" t="n"/>
      <c r="AF10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8" s="11">
        <f>IF(tblOrdenes[[#This Row],[orden]]="","",_xlfn.XLOOKUP(tblOrdenes[[#This Row],[id_operacion]],tblEjecucion[id_operacion],tblEjecucion[precio],0))</f>
        <v/>
      </c>
      <c r="AJ1078" s="11">
        <f>IF(tblOrdenes[[#This Row],[orden]]="","",MAX(0,_xlfn.XLOOKUP(tblOrdenes[[#This Row],[id_operacion]],tblEjecucion[id_operacion],tblEjecucion[costo_plan_total],0)-tblOrdenes[[#This Row],[costo_servicio]]))</f>
        <v/>
      </c>
      <c r="AK1078" s="11">
        <f>IF(tblOrdenes[[#This Row],[orden]]="","",tblOrdenes[[#This Row],[costo_servicio]]+tblOrdenes[[#This Row],[costo_materiales]])</f>
        <v/>
      </c>
      <c r="AL1078" s="6" t="n"/>
      <c r="AM1078" s="6" t="n"/>
      <c r="AN1078" s="6" t="n"/>
      <c r="AO1078" s="3">
        <f>IF(tblOrdenes[[#This Row],[link_checklist]]="","",HYPERLINK(p_ruta_base_checklists&amp;tblOrdenes[[#This Row],[link_checklist]],"abrir"))</f>
        <v/>
      </c>
      <c r="AP1078" s="6" t="n"/>
      <c r="AQ1078" s="3">
        <f>IF(tblOrdenes[[#This Row],[orden]]="","",tblOrdenes[[#This Row],[orden]]&amp;IF(tblOrdenes[[#This Row],[operacion]]="","0010",tblOrdenes[[#This Row],[operacion]]))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2" t="n"/>
      <c r="K1079" s="3" t="n"/>
      <c r="L1079" s="11" t="n"/>
      <c r="M10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9" s="3">
        <f>IF(tblOrdenes[[#This Row],[fecha_inicio]]="","",YEAR(tblOrdenes[[#This Row],[fecha_inicio]]))</f>
        <v/>
      </c>
      <c r="Q1079" s="3">
        <f>IF(tblOrdenes[[#This Row],[fecha_inicio]]="","",MONTH(tblOrdenes[[#This Row],[fecha_inicio]]))</f>
        <v/>
      </c>
      <c r="R1079" s="3">
        <f>IF(tblOrdenes[[#This Row],[fecha_inicio]]="","",INDEX(lista_dias,WEEKDAY(tblOrdenes[[#This Row],[fecha_inicio]],2)))</f>
        <v/>
      </c>
      <c r="S10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9" s="3">
        <f>IF(tblOrdenes[[#This Row],[tipo_ot]]="","",_xlfn.XLOOKUP(tblOrdenes[[#This Row],[tipo_ot]],tblTiposOT[codigo],tblTiposOT[clasificacion],"sin_clasificar"))</f>
        <v/>
      </c>
      <c r="U1079" s="3">
        <f>IF(tblOrdenes[[#This Row],[centro_costo]]="","",_xlfn.XLOOKUP(tblOrdenes[[#This Row],[centro_costo]],tblCECO[codigo],tblCECO[linea],"(sin catálogo)"))</f>
        <v/>
      </c>
      <c r="V1079" s="3">
        <f>IF(tblOrdenes[[#This Row],[centro_costo]]="","",_xlfn.XLOOKUP(tblOrdenes[[#This Row],[centro_costo]],tblCECO[codigo],tblCECO[area],"(sin catálogo)"))</f>
        <v/>
      </c>
      <c r="W10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9" s="3">
        <f>IF(tblOrdenes[[#This Row],[centro_costo]]="","",_xlfn.XLOOKUP(tblOrdenes[[#This Row],[centro_costo]],tblCECO[codigo],tblCECO[coordinador],"(sin catálogo)"))</f>
        <v/>
      </c>
      <c r="Y1079" s="3">
        <f>IF(tblOrdenes[[#This Row],[puesto_trabajo]]="","",_xlfn.XLOOKUP(tblOrdenes[[#This Row],[puesto_trabajo]],tblPuestos[codigo],tblPuestos[especialidad],"(sin catálogo)"))</f>
        <v/>
      </c>
      <c r="Z1079" s="3">
        <f>IF(tblOrdenes[[#This Row],[cod_actividad]]="","",_xlfn.XLOOKUP(tblOrdenes[[#This Row],[cod_actividad]],tblActividades[codigo],tblActividades[descripcion],"(sin catálogo)"))</f>
        <v/>
      </c>
      <c r="AA1079" s="13">
        <f>IF(tblOrdenes[[#This Row],[fecha_inicio]]="","",TODAY()-tblOrdenes[[#This Row],[fecha_inicio]])</f>
        <v/>
      </c>
      <c r="AB10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9" s="3">
        <f>IF(tblOrdenes[[#This Row],[backlog_habiles]]="","",IF(tblOrdenes[[#This Row],[backlog_habiles]]&lt;0,"FUTURO",IF(tblOrdenes[[#This Row],[backlog_habiles]]&gt;p_dias_backlog_max,"BACKLOG","MES CORRIENTE")))</f>
        <v/>
      </c>
      <c r="AD1079" s="3">
        <f>IF(tblOrdenes[[#This Row],[backlog_habiles]]="",FALSE,AND(tblOrdenes[[#This Row],[backlog_habiles]]&gt;p_dias_backlog_min,tblOrdenes[[#This Row],[backlog_habiles]]&lt;=p_dias_backlog_max))</f>
        <v/>
      </c>
      <c r="AE1079" s="6" t="n"/>
      <c r="AF10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9" s="11">
        <f>IF(tblOrdenes[[#This Row],[orden]]="","",_xlfn.XLOOKUP(tblOrdenes[[#This Row],[id_operacion]],tblEjecucion[id_operacion],tblEjecucion[precio],0))</f>
        <v/>
      </c>
      <c r="AJ1079" s="11">
        <f>IF(tblOrdenes[[#This Row],[orden]]="","",MAX(0,_xlfn.XLOOKUP(tblOrdenes[[#This Row],[id_operacion]],tblEjecucion[id_operacion],tblEjecucion[costo_plan_total],0)-tblOrdenes[[#This Row],[costo_servicio]]))</f>
        <v/>
      </c>
      <c r="AK1079" s="11">
        <f>IF(tblOrdenes[[#This Row],[orden]]="","",tblOrdenes[[#This Row],[costo_servicio]]+tblOrdenes[[#This Row],[costo_materiales]])</f>
        <v/>
      </c>
      <c r="AL1079" s="6" t="n"/>
      <c r="AM1079" s="6" t="n"/>
      <c r="AN1079" s="6" t="n"/>
      <c r="AO1079" s="3">
        <f>IF(tblOrdenes[[#This Row],[link_checklist]]="","",HYPERLINK(p_ruta_base_checklists&amp;tblOrdenes[[#This Row],[link_checklist]],"abrir"))</f>
        <v/>
      </c>
      <c r="AP1079" s="6" t="n"/>
      <c r="AQ1079" s="3">
        <f>IF(tblOrdenes[[#This Row],[orden]]="","",tblOrdenes[[#This Row],[orden]]&amp;IF(tblOrdenes[[#This Row],[operacion]]="","0010",tblOrdenes[[#This Row],[operacion]]))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2" t="n"/>
      <c r="K1080" s="3" t="n"/>
      <c r="L1080" s="11" t="n"/>
      <c r="M10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0" s="3">
        <f>IF(tblOrdenes[[#This Row],[fecha_inicio]]="","",YEAR(tblOrdenes[[#This Row],[fecha_inicio]]))</f>
        <v/>
      </c>
      <c r="Q1080" s="3">
        <f>IF(tblOrdenes[[#This Row],[fecha_inicio]]="","",MONTH(tblOrdenes[[#This Row],[fecha_inicio]]))</f>
        <v/>
      </c>
      <c r="R1080" s="3">
        <f>IF(tblOrdenes[[#This Row],[fecha_inicio]]="","",INDEX(lista_dias,WEEKDAY(tblOrdenes[[#This Row],[fecha_inicio]],2)))</f>
        <v/>
      </c>
      <c r="S10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0" s="3">
        <f>IF(tblOrdenes[[#This Row],[tipo_ot]]="","",_xlfn.XLOOKUP(tblOrdenes[[#This Row],[tipo_ot]],tblTiposOT[codigo],tblTiposOT[clasificacion],"sin_clasificar"))</f>
        <v/>
      </c>
      <c r="U1080" s="3">
        <f>IF(tblOrdenes[[#This Row],[centro_costo]]="","",_xlfn.XLOOKUP(tblOrdenes[[#This Row],[centro_costo]],tblCECO[codigo],tblCECO[linea],"(sin catálogo)"))</f>
        <v/>
      </c>
      <c r="V1080" s="3">
        <f>IF(tblOrdenes[[#This Row],[centro_costo]]="","",_xlfn.XLOOKUP(tblOrdenes[[#This Row],[centro_costo]],tblCECO[codigo],tblCECO[area],"(sin catálogo)"))</f>
        <v/>
      </c>
      <c r="W10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0" s="3">
        <f>IF(tblOrdenes[[#This Row],[centro_costo]]="","",_xlfn.XLOOKUP(tblOrdenes[[#This Row],[centro_costo]],tblCECO[codigo],tblCECO[coordinador],"(sin catálogo)"))</f>
        <v/>
      </c>
      <c r="Y1080" s="3">
        <f>IF(tblOrdenes[[#This Row],[puesto_trabajo]]="","",_xlfn.XLOOKUP(tblOrdenes[[#This Row],[puesto_trabajo]],tblPuestos[codigo],tblPuestos[especialidad],"(sin catálogo)"))</f>
        <v/>
      </c>
      <c r="Z1080" s="3">
        <f>IF(tblOrdenes[[#This Row],[cod_actividad]]="","",_xlfn.XLOOKUP(tblOrdenes[[#This Row],[cod_actividad]],tblActividades[codigo],tblActividades[descripcion],"(sin catálogo)"))</f>
        <v/>
      </c>
      <c r="AA1080" s="13">
        <f>IF(tblOrdenes[[#This Row],[fecha_inicio]]="","",TODAY()-tblOrdenes[[#This Row],[fecha_inicio]])</f>
        <v/>
      </c>
      <c r="AB10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0" s="3">
        <f>IF(tblOrdenes[[#This Row],[backlog_habiles]]="","",IF(tblOrdenes[[#This Row],[backlog_habiles]]&lt;0,"FUTURO",IF(tblOrdenes[[#This Row],[backlog_habiles]]&gt;p_dias_backlog_max,"BACKLOG","MES CORRIENTE")))</f>
        <v/>
      </c>
      <c r="AD1080" s="3">
        <f>IF(tblOrdenes[[#This Row],[backlog_habiles]]="",FALSE,AND(tblOrdenes[[#This Row],[backlog_habiles]]&gt;p_dias_backlog_min,tblOrdenes[[#This Row],[backlog_habiles]]&lt;=p_dias_backlog_max))</f>
        <v/>
      </c>
      <c r="AE1080" s="6" t="n"/>
      <c r="AF10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0" s="11">
        <f>IF(tblOrdenes[[#This Row],[orden]]="","",_xlfn.XLOOKUP(tblOrdenes[[#This Row],[id_operacion]],tblEjecucion[id_operacion],tblEjecucion[precio],0))</f>
        <v/>
      </c>
      <c r="AJ1080" s="11">
        <f>IF(tblOrdenes[[#This Row],[orden]]="","",MAX(0,_xlfn.XLOOKUP(tblOrdenes[[#This Row],[id_operacion]],tblEjecucion[id_operacion],tblEjecucion[costo_plan_total],0)-tblOrdenes[[#This Row],[costo_servicio]]))</f>
        <v/>
      </c>
      <c r="AK1080" s="11">
        <f>IF(tblOrdenes[[#This Row],[orden]]="","",tblOrdenes[[#This Row],[costo_servicio]]+tblOrdenes[[#This Row],[costo_materiales]])</f>
        <v/>
      </c>
      <c r="AL1080" s="6" t="n"/>
      <c r="AM1080" s="6" t="n"/>
      <c r="AN1080" s="6" t="n"/>
      <c r="AO1080" s="3">
        <f>IF(tblOrdenes[[#This Row],[link_checklist]]="","",HYPERLINK(p_ruta_base_checklists&amp;tblOrdenes[[#This Row],[link_checklist]],"abrir"))</f>
        <v/>
      </c>
      <c r="AP1080" s="6" t="n"/>
      <c r="AQ1080" s="3">
        <f>IF(tblOrdenes[[#This Row],[orden]]="","",tblOrdenes[[#This Row],[orden]]&amp;IF(tblOrdenes[[#This Row],[operacion]]="","0010",tblOrdenes[[#This Row],[operacion]]))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2" t="n"/>
      <c r="K1081" s="3" t="n"/>
      <c r="L1081" s="11" t="n"/>
      <c r="M10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1" s="3">
        <f>IF(tblOrdenes[[#This Row],[fecha_inicio]]="","",YEAR(tblOrdenes[[#This Row],[fecha_inicio]]))</f>
        <v/>
      </c>
      <c r="Q1081" s="3">
        <f>IF(tblOrdenes[[#This Row],[fecha_inicio]]="","",MONTH(tblOrdenes[[#This Row],[fecha_inicio]]))</f>
        <v/>
      </c>
      <c r="R1081" s="3">
        <f>IF(tblOrdenes[[#This Row],[fecha_inicio]]="","",INDEX(lista_dias,WEEKDAY(tblOrdenes[[#This Row],[fecha_inicio]],2)))</f>
        <v/>
      </c>
      <c r="S10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1" s="3">
        <f>IF(tblOrdenes[[#This Row],[tipo_ot]]="","",_xlfn.XLOOKUP(tblOrdenes[[#This Row],[tipo_ot]],tblTiposOT[codigo],tblTiposOT[clasificacion],"sin_clasificar"))</f>
        <v/>
      </c>
      <c r="U1081" s="3">
        <f>IF(tblOrdenes[[#This Row],[centro_costo]]="","",_xlfn.XLOOKUP(tblOrdenes[[#This Row],[centro_costo]],tblCECO[codigo],tblCECO[linea],"(sin catálogo)"))</f>
        <v/>
      </c>
      <c r="V1081" s="3">
        <f>IF(tblOrdenes[[#This Row],[centro_costo]]="","",_xlfn.XLOOKUP(tblOrdenes[[#This Row],[centro_costo]],tblCECO[codigo],tblCECO[area],"(sin catálogo)"))</f>
        <v/>
      </c>
      <c r="W10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1" s="3">
        <f>IF(tblOrdenes[[#This Row],[centro_costo]]="","",_xlfn.XLOOKUP(tblOrdenes[[#This Row],[centro_costo]],tblCECO[codigo],tblCECO[coordinador],"(sin catálogo)"))</f>
        <v/>
      </c>
      <c r="Y1081" s="3">
        <f>IF(tblOrdenes[[#This Row],[puesto_trabajo]]="","",_xlfn.XLOOKUP(tblOrdenes[[#This Row],[puesto_trabajo]],tblPuestos[codigo],tblPuestos[especialidad],"(sin catálogo)"))</f>
        <v/>
      </c>
      <c r="Z1081" s="3">
        <f>IF(tblOrdenes[[#This Row],[cod_actividad]]="","",_xlfn.XLOOKUP(tblOrdenes[[#This Row],[cod_actividad]],tblActividades[codigo],tblActividades[descripcion],"(sin catálogo)"))</f>
        <v/>
      </c>
      <c r="AA1081" s="13">
        <f>IF(tblOrdenes[[#This Row],[fecha_inicio]]="","",TODAY()-tblOrdenes[[#This Row],[fecha_inicio]])</f>
        <v/>
      </c>
      <c r="AB10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1" s="3">
        <f>IF(tblOrdenes[[#This Row],[backlog_habiles]]="","",IF(tblOrdenes[[#This Row],[backlog_habiles]]&lt;0,"FUTURO",IF(tblOrdenes[[#This Row],[backlog_habiles]]&gt;p_dias_backlog_max,"BACKLOG","MES CORRIENTE")))</f>
        <v/>
      </c>
      <c r="AD1081" s="3">
        <f>IF(tblOrdenes[[#This Row],[backlog_habiles]]="",FALSE,AND(tblOrdenes[[#This Row],[backlog_habiles]]&gt;p_dias_backlog_min,tblOrdenes[[#This Row],[backlog_habiles]]&lt;=p_dias_backlog_max))</f>
        <v/>
      </c>
      <c r="AE1081" s="6" t="n"/>
      <c r="AF10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1" s="11">
        <f>IF(tblOrdenes[[#This Row],[orden]]="","",_xlfn.XLOOKUP(tblOrdenes[[#This Row],[id_operacion]],tblEjecucion[id_operacion],tblEjecucion[precio],0))</f>
        <v/>
      </c>
      <c r="AJ1081" s="11">
        <f>IF(tblOrdenes[[#This Row],[orden]]="","",MAX(0,_xlfn.XLOOKUP(tblOrdenes[[#This Row],[id_operacion]],tblEjecucion[id_operacion],tblEjecucion[costo_plan_total],0)-tblOrdenes[[#This Row],[costo_servicio]]))</f>
        <v/>
      </c>
      <c r="AK1081" s="11">
        <f>IF(tblOrdenes[[#This Row],[orden]]="","",tblOrdenes[[#This Row],[costo_servicio]]+tblOrdenes[[#This Row],[costo_materiales]])</f>
        <v/>
      </c>
      <c r="AL1081" s="6" t="n"/>
      <c r="AM1081" s="6" t="n"/>
      <c r="AN1081" s="6" t="n"/>
      <c r="AO1081" s="3">
        <f>IF(tblOrdenes[[#This Row],[link_checklist]]="","",HYPERLINK(p_ruta_base_checklists&amp;tblOrdenes[[#This Row],[link_checklist]],"abrir"))</f>
        <v/>
      </c>
      <c r="AP1081" s="6" t="n"/>
      <c r="AQ1081" s="3">
        <f>IF(tblOrdenes[[#This Row],[orden]]="","",tblOrdenes[[#This Row],[orden]]&amp;IF(tblOrdenes[[#This Row],[operacion]]="","0010",tblOrdenes[[#This Row],[operacion]]))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2" t="n"/>
      <c r="K1082" s="3" t="n"/>
      <c r="L1082" s="11" t="n"/>
      <c r="M10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2" s="3">
        <f>IF(tblOrdenes[[#This Row],[fecha_inicio]]="","",YEAR(tblOrdenes[[#This Row],[fecha_inicio]]))</f>
        <v/>
      </c>
      <c r="Q1082" s="3">
        <f>IF(tblOrdenes[[#This Row],[fecha_inicio]]="","",MONTH(tblOrdenes[[#This Row],[fecha_inicio]]))</f>
        <v/>
      </c>
      <c r="R1082" s="3">
        <f>IF(tblOrdenes[[#This Row],[fecha_inicio]]="","",INDEX(lista_dias,WEEKDAY(tblOrdenes[[#This Row],[fecha_inicio]],2)))</f>
        <v/>
      </c>
      <c r="S10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2" s="3">
        <f>IF(tblOrdenes[[#This Row],[tipo_ot]]="","",_xlfn.XLOOKUP(tblOrdenes[[#This Row],[tipo_ot]],tblTiposOT[codigo],tblTiposOT[clasificacion],"sin_clasificar"))</f>
        <v/>
      </c>
      <c r="U1082" s="3">
        <f>IF(tblOrdenes[[#This Row],[centro_costo]]="","",_xlfn.XLOOKUP(tblOrdenes[[#This Row],[centro_costo]],tblCECO[codigo],tblCECO[linea],"(sin catálogo)"))</f>
        <v/>
      </c>
      <c r="V1082" s="3">
        <f>IF(tblOrdenes[[#This Row],[centro_costo]]="","",_xlfn.XLOOKUP(tblOrdenes[[#This Row],[centro_costo]],tblCECO[codigo],tblCECO[area],"(sin catálogo)"))</f>
        <v/>
      </c>
      <c r="W10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2" s="3">
        <f>IF(tblOrdenes[[#This Row],[centro_costo]]="","",_xlfn.XLOOKUP(tblOrdenes[[#This Row],[centro_costo]],tblCECO[codigo],tblCECO[coordinador],"(sin catálogo)"))</f>
        <v/>
      </c>
      <c r="Y1082" s="3">
        <f>IF(tblOrdenes[[#This Row],[puesto_trabajo]]="","",_xlfn.XLOOKUP(tblOrdenes[[#This Row],[puesto_trabajo]],tblPuestos[codigo],tblPuestos[especialidad],"(sin catálogo)"))</f>
        <v/>
      </c>
      <c r="Z1082" s="3">
        <f>IF(tblOrdenes[[#This Row],[cod_actividad]]="","",_xlfn.XLOOKUP(tblOrdenes[[#This Row],[cod_actividad]],tblActividades[codigo],tblActividades[descripcion],"(sin catálogo)"))</f>
        <v/>
      </c>
      <c r="AA1082" s="13">
        <f>IF(tblOrdenes[[#This Row],[fecha_inicio]]="","",TODAY()-tblOrdenes[[#This Row],[fecha_inicio]])</f>
        <v/>
      </c>
      <c r="AB10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2" s="3">
        <f>IF(tblOrdenes[[#This Row],[backlog_habiles]]="","",IF(tblOrdenes[[#This Row],[backlog_habiles]]&lt;0,"FUTURO",IF(tblOrdenes[[#This Row],[backlog_habiles]]&gt;p_dias_backlog_max,"BACKLOG","MES CORRIENTE")))</f>
        <v/>
      </c>
      <c r="AD1082" s="3">
        <f>IF(tblOrdenes[[#This Row],[backlog_habiles]]="",FALSE,AND(tblOrdenes[[#This Row],[backlog_habiles]]&gt;p_dias_backlog_min,tblOrdenes[[#This Row],[backlog_habiles]]&lt;=p_dias_backlog_max))</f>
        <v/>
      </c>
      <c r="AE1082" s="6" t="n"/>
      <c r="AF10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2" s="11">
        <f>IF(tblOrdenes[[#This Row],[orden]]="","",_xlfn.XLOOKUP(tblOrdenes[[#This Row],[id_operacion]],tblEjecucion[id_operacion],tblEjecucion[precio],0))</f>
        <v/>
      </c>
      <c r="AJ1082" s="11">
        <f>IF(tblOrdenes[[#This Row],[orden]]="","",MAX(0,_xlfn.XLOOKUP(tblOrdenes[[#This Row],[id_operacion]],tblEjecucion[id_operacion],tblEjecucion[costo_plan_total],0)-tblOrdenes[[#This Row],[costo_servicio]]))</f>
        <v/>
      </c>
      <c r="AK1082" s="11">
        <f>IF(tblOrdenes[[#This Row],[orden]]="","",tblOrdenes[[#This Row],[costo_servicio]]+tblOrdenes[[#This Row],[costo_materiales]])</f>
        <v/>
      </c>
      <c r="AL1082" s="6" t="n"/>
      <c r="AM1082" s="6" t="n"/>
      <c r="AN1082" s="6" t="n"/>
      <c r="AO1082" s="3">
        <f>IF(tblOrdenes[[#This Row],[link_checklist]]="","",HYPERLINK(p_ruta_base_checklists&amp;tblOrdenes[[#This Row],[link_checklist]],"abrir"))</f>
        <v/>
      </c>
      <c r="AP1082" s="6" t="n"/>
      <c r="AQ1082" s="3">
        <f>IF(tblOrdenes[[#This Row],[orden]]="","",tblOrdenes[[#This Row],[orden]]&amp;IF(tblOrdenes[[#This Row],[operacion]]="","0010",tblOrdenes[[#This Row],[operacion]]))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2" t="n"/>
      <c r="K1083" s="3" t="n"/>
      <c r="L1083" s="11" t="n"/>
      <c r="M10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3" s="3">
        <f>IF(tblOrdenes[[#This Row],[fecha_inicio]]="","",YEAR(tblOrdenes[[#This Row],[fecha_inicio]]))</f>
        <v/>
      </c>
      <c r="Q1083" s="3">
        <f>IF(tblOrdenes[[#This Row],[fecha_inicio]]="","",MONTH(tblOrdenes[[#This Row],[fecha_inicio]]))</f>
        <v/>
      </c>
      <c r="R1083" s="3">
        <f>IF(tblOrdenes[[#This Row],[fecha_inicio]]="","",INDEX(lista_dias,WEEKDAY(tblOrdenes[[#This Row],[fecha_inicio]],2)))</f>
        <v/>
      </c>
      <c r="S10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3" s="3">
        <f>IF(tblOrdenes[[#This Row],[tipo_ot]]="","",_xlfn.XLOOKUP(tblOrdenes[[#This Row],[tipo_ot]],tblTiposOT[codigo],tblTiposOT[clasificacion],"sin_clasificar"))</f>
        <v/>
      </c>
      <c r="U1083" s="3">
        <f>IF(tblOrdenes[[#This Row],[centro_costo]]="","",_xlfn.XLOOKUP(tblOrdenes[[#This Row],[centro_costo]],tblCECO[codigo],tblCECO[linea],"(sin catálogo)"))</f>
        <v/>
      </c>
      <c r="V1083" s="3">
        <f>IF(tblOrdenes[[#This Row],[centro_costo]]="","",_xlfn.XLOOKUP(tblOrdenes[[#This Row],[centro_costo]],tblCECO[codigo],tblCECO[area],"(sin catálogo)"))</f>
        <v/>
      </c>
      <c r="W10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3" s="3">
        <f>IF(tblOrdenes[[#This Row],[centro_costo]]="","",_xlfn.XLOOKUP(tblOrdenes[[#This Row],[centro_costo]],tblCECO[codigo],tblCECO[coordinador],"(sin catálogo)"))</f>
        <v/>
      </c>
      <c r="Y1083" s="3">
        <f>IF(tblOrdenes[[#This Row],[puesto_trabajo]]="","",_xlfn.XLOOKUP(tblOrdenes[[#This Row],[puesto_trabajo]],tblPuestos[codigo],tblPuestos[especialidad],"(sin catálogo)"))</f>
        <v/>
      </c>
      <c r="Z1083" s="3">
        <f>IF(tblOrdenes[[#This Row],[cod_actividad]]="","",_xlfn.XLOOKUP(tblOrdenes[[#This Row],[cod_actividad]],tblActividades[codigo],tblActividades[descripcion],"(sin catálogo)"))</f>
        <v/>
      </c>
      <c r="AA1083" s="13">
        <f>IF(tblOrdenes[[#This Row],[fecha_inicio]]="","",TODAY()-tblOrdenes[[#This Row],[fecha_inicio]])</f>
        <v/>
      </c>
      <c r="AB10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3" s="3">
        <f>IF(tblOrdenes[[#This Row],[backlog_habiles]]="","",IF(tblOrdenes[[#This Row],[backlog_habiles]]&lt;0,"FUTURO",IF(tblOrdenes[[#This Row],[backlog_habiles]]&gt;p_dias_backlog_max,"BACKLOG","MES CORRIENTE")))</f>
        <v/>
      </c>
      <c r="AD1083" s="3">
        <f>IF(tblOrdenes[[#This Row],[backlog_habiles]]="",FALSE,AND(tblOrdenes[[#This Row],[backlog_habiles]]&gt;p_dias_backlog_min,tblOrdenes[[#This Row],[backlog_habiles]]&lt;=p_dias_backlog_max))</f>
        <v/>
      </c>
      <c r="AE1083" s="6" t="n"/>
      <c r="AF10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3" s="11">
        <f>IF(tblOrdenes[[#This Row],[orden]]="","",_xlfn.XLOOKUP(tblOrdenes[[#This Row],[id_operacion]],tblEjecucion[id_operacion],tblEjecucion[precio],0))</f>
        <v/>
      </c>
      <c r="AJ1083" s="11">
        <f>IF(tblOrdenes[[#This Row],[orden]]="","",MAX(0,_xlfn.XLOOKUP(tblOrdenes[[#This Row],[id_operacion]],tblEjecucion[id_operacion],tblEjecucion[costo_plan_total],0)-tblOrdenes[[#This Row],[costo_servicio]]))</f>
        <v/>
      </c>
      <c r="AK1083" s="11">
        <f>IF(tblOrdenes[[#This Row],[orden]]="","",tblOrdenes[[#This Row],[costo_servicio]]+tblOrdenes[[#This Row],[costo_materiales]])</f>
        <v/>
      </c>
      <c r="AL1083" s="6" t="n"/>
      <c r="AM1083" s="6" t="n"/>
      <c r="AN1083" s="6" t="n"/>
      <c r="AO1083" s="3">
        <f>IF(tblOrdenes[[#This Row],[link_checklist]]="","",HYPERLINK(p_ruta_base_checklists&amp;tblOrdenes[[#This Row],[link_checklist]],"abrir"))</f>
        <v/>
      </c>
      <c r="AP1083" s="6" t="n"/>
      <c r="AQ1083" s="3">
        <f>IF(tblOrdenes[[#This Row],[orden]]="","",tblOrdenes[[#This Row],[orden]]&amp;IF(tblOrdenes[[#This Row],[operacion]]="","0010",tblOrdenes[[#This Row],[operacion]]))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2" t="n"/>
      <c r="K1084" s="3" t="n"/>
      <c r="L1084" s="11" t="n"/>
      <c r="M10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4" s="3">
        <f>IF(tblOrdenes[[#This Row],[fecha_inicio]]="","",YEAR(tblOrdenes[[#This Row],[fecha_inicio]]))</f>
        <v/>
      </c>
      <c r="Q1084" s="3">
        <f>IF(tblOrdenes[[#This Row],[fecha_inicio]]="","",MONTH(tblOrdenes[[#This Row],[fecha_inicio]]))</f>
        <v/>
      </c>
      <c r="R1084" s="3">
        <f>IF(tblOrdenes[[#This Row],[fecha_inicio]]="","",INDEX(lista_dias,WEEKDAY(tblOrdenes[[#This Row],[fecha_inicio]],2)))</f>
        <v/>
      </c>
      <c r="S10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4" s="3">
        <f>IF(tblOrdenes[[#This Row],[tipo_ot]]="","",_xlfn.XLOOKUP(tblOrdenes[[#This Row],[tipo_ot]],tblTiposOT[codigo],tblTiposOT[clasificacion],"sin_clasificar"))</f>
        <v/>
      </c>
      <c r="U1084" s="3">
        <f>IF(tblOrdenes[[#This Row],[centro_costo]]="","",_xlfn.XLOOKUP(tblOrdenes[[#This Row],[centro_costo]],tblCECO[codigo],tblCECO[linea],"(sin catálogo)"))</f>
        <v/>
      </c>
      <c r="V1084" s="3">
        <f>IF(tblOrdenes[[#This Row],[centro_costo]]="","",_xlfn.XLOOKUP(tblOrdenes[[#This Row],[centro_costo]],tblCECO[codigo],tblCECO[area],"(sin catálogo)"))</f>
        <v/>
      </c>
      <c r="W10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4" s="3">
        <f>IF(tblOrdenes[[#This Row],[centro_costo]]="","",_xlfn.XLOOKUP(tblOrdenes[[#This Row],[centro_costo]],tblCECO[codigo],tblCECO[coordinador],"(sin catálogo)"))</f>
        <v/>
      </c>
      <c r="Y1084" s="3">
        <f>IF(tblOrdenes[[#This Row],[puesto_trabajo]]="","",_xlfn.XLOOKUP(tblOrdenes[[#This Row],[puesto_trabajo]],tblPuestos[codigo],tblPuestos[especialidad],"(sin catálogo)"))</f>
        <v/>
      </c>
      <c r="Z1084" s="3">
        <f>IF(tblOrdenes[[#This Row],[cod_actividad]]="","",_xlfn.XLOOKUP(tblOrdenes[[#This Row],[cod_actividad]],tblActividades[codigo],tblActividades[descripcion],"(sin catálogo)"))</f>
        <v/>
      </c>
      <c r="AA1084" s="13">
        <f>IF(tblOrdenes[[#This Row],[fecha_inicio]]="","",TODAY()-tblOrdenes[[#This Row],[fecha_inicio]])</f>
        <v/>
      </c>
      <c r="AB10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4" s="3">
        <f>IF(tblOrdenes[[#This Row],[backlog_habiles]]="","",IF(tblOrdenes[[#This Row],[backlog_habiles]]&lt;0,"FUTURO",IF(tblOrdenes[[#This Row],[backlog_habiles]]&gt;p_dias_backlog_max,"BACKLOG","MES CORRIENTE")))</f>
        <v/>
      </c>
      <c r="AD1084" s="3">
        <f>IF(tblOrdenes[[#This Row],[backlog_habiles]]="",FALSE,AND(tblOrdenes[[#This Row],[backlog_habiles]]&gt;p_dias_backlog_min,tblOrdenes[[#This Row],[backlog_habiles]]&lt;=p_dias_backlog_max))</f>
        <v/>
      </c>
      <c r="AE1084" s="6" t="n"/>
      <c r="AF10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4" s="11">
        <f>IF(tblOrdenes[[#This Row],[orden]]="","",_xlfn.XLOOKUP(tblOrdenes[[#This Row],[id_operacion]],tblEjecucion[id_operacion],tblEjecucion[precio],0))</f>
        <v/>
      </c>
      <c r="AJ1084" s="11">
        <f>IF(tblOrdenes[[#This Row],[orden]]="","",MAX(0,_xlfn.XLOOKUP(tblOrdenes[[#This Row],[id_operacion]],tblEjecucion[id_operacion],tblEjecucion[costo_plan_total],0)-tblOrdenes[[#This Row],[costo_servicio]]))</f>
        <v/>
      </c>
      <c r="AK1084" s="11">
        <f>IF(tblOrdenes[[#This Row],[orden]]="","",tblOrdenes[[#This Row],[costo_servicio]]+tblOrdenes[[#This Row],[costo_materiales]])</f>
        <v/>
      </c>
      <c r="AL1084" s="6" t="n"/>
      <c r="AM1084" s="6" t="n"/>
      <c r="AN1084" s="6" t="n"/>
      <c r="AO1084" s="3">
        <f>IF(tblOrdenes[[#This Row],[link_checklist]]="","",HYPERLINK(p_ruta_base_checklists&amp;tblOrdenes[[#This Row],[link_checklist]],"abrir"))</f>
        <v/>
      </c>
      <c r="AP1084" s="6" t="n"/>
      <c r="AQ1084" s="3">
        <f>IF(tblOrdenes[[#This Row],[orden]]="","",tblOrdenes[[#This Row],[orden]]&amp;IF(tblOrdenes[[#This Row],[operacion]]="","0010",tblOrdenes[[#This Row],[operacion]]))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2" t="n"/>
      <c r="K1085" s="3" t="n"/>
      <c r="L1085" s="11" t="n"/>
      <c r="M10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5" s="3">
        <f>IF(tblOrdenes[[#This Row],[fecha_inicio]]="","",YEAR(tblOrdenes[[#This Row],[fecha_inicio]]))</f>
        <v/>
      </c>
      <c r="Q1085" s="3">
        <f>IF(tblOrdenes[[#This Row],[fecha_inicio]]="","",MONTH(tblOrdenes[[#This Row],[fecha_inicio]]))</f>
        <v/>
      </c>
      <c r="R1085" s="3">
        <f>IF(tblOrdenes[[#This Row],[fecha_inicio]]="","",INDEX(lista_dias,WEEKDAY(tblOrdenes[[#This Row],[fecha_inicio]],2)))</f>
        <v/>
      </c>
      <c r="S10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5" s="3">
        <f>IF(tblOrdenes[[#This Row],[tipo_ot]]="","",_xlfn.XLOOKUP(tblOrdenes[[#This Row],[tipo_ot]],tblTiposOT[codigo],tblTiposOT[clasificacion],"sin_clasificar"))</f>
        <v/>
      </c>
      <c r="U1085" s="3">
        <f>IF(tblOrdenes[[#This Row],[centro_costo]]="","",_xlfn.XLOOKUP(tblOrdenes[[#This Row],[centro_costo]],tblCECO[codigo],tblCECO[linea],"(sin catálogo)"))</f>
        <v/>
      </c>
      <c r="V1085" s="3">
        <f>IF(tblOrdenes[[#This Row],[centro_costo]]="","",_xlfn.XLOOKUP(tblOrdenes[[#This Row],[centro_costo]],tblCECO[codigo],tblCECO[area],"(sin catálogo)"))</f>
        <v/>
      </c>
      <c r="W10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5" s="3">
        <f>IF(tblOrdenes[[#This Row],[centro_costo]]="","",_xlfn.XLOOKUP(tblOrdenes[[#This Row],[centro_costo]],tblCECO[codigo],tblCECO[coordinador],"(sin catálogo)"))</f>
        <v/>
      </c>
      <c r="Y1085" s="3">
        <f>IF(tblOrdenes[[#This Row],[puesto_trabajo]]="","",_xlfn.XLOOKUP(tblOrdenes[[#This Row],[puesto_trabajo]],tblPuestos[codigo],tblPuestos[especialidad],"(sin catálogo)"))</f>
        <v/>
      </c>
      <c r="Z1085" s="3">
        <f>IF(tblOrdenes[[#This Row],[cod_actividad]]="","",_xlfn.XLOOKUP(tblOrdenes[[#This Row],[cod_actividad]],tblActividades[codigo],tblActividades[descripcion],"(sin catálogo)"))</f>
        <v/>
      </c>
      <c r="AA1085" s="13">
        <f>IF(tblOrdenes[[#This Row],[fecha_inicio]]="","",TODAY()-tblOrdenes[[#This Row],[fecha_inicio]])</f>
        <v/>
      </c>
      <c r="AB10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5" s="3">
        <f>IF(tblOrdenes[[#This Row],[backlog_habiles]]="","",IF(tblOrdenes[[#This Row],[backlog_habiles]]&lt;0,"FUTURO",IF(tblOrdenes[[#This Row],[backlog_habiles]]&gt;p_dias_backlog_max,"BACKLOG","MES CORRIENTE")))</f>
        <v/>
      </c>
      <c r="AD1085" s="3">
        <f>IF(tblOrdenes[[#This Row],[backlog_habiles]]="",FALSE,AND(tblOrdenes[[#This Row],[backlog_habiles]]&gt;p_dias_backlog_min,tblOrdenes[[#This Row],[backlog_habiles]]&lt;=p_dias_backlog_max))</f>
        <v/>
      </c>
      <c r="AE1085" s="6" t="n"/>
      <c r="AF10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5" s="11">
        <f>IF(tblOrdenes[[#This Row],[orden]]="","",_xlfn.XLOOKUP(tblOrdenes[[#This Row],[id_operacion]],tblEjecucion[id_operacion],tblEjecucion[precio],0))</f>
        <v/>
      </c>
      <c r="AJ1085" s="11">
        <f>IF(tblOrdenes[[#This Row],[orden]]="","",MAX(0,_xlfn.XLOOKUP(tblOrdenes[[#This Row],[id_operacion]],tblEjecucion[id_operacion],tblEjecucion[costo_plan_total],0)-tblOrdenes[[#This Row],[costo_servicio]]))</f>
        <v/>
      </c>
      <c r="AK1085" s="11">
        <f>IF(tblOrdenes[[#This Row],[orden]]="","",tblOrdenes[[#This Row],[costo_servicio]]+tblOrdenes[[#This Row],[costo_materiales]])</f>
        <v/>
      </c>
      <c r="AL1085" s="6" t="n"/>
      <c r="AM1085" s="6" t="n"/>
      <c r="AN1085" s="6" t="n"/>
      <c r="AO1085" s="3">
        <f>IF(tblOrdenes[[#This Row],[link_checklist]]="","",HYPERLINK(p_ruta_base_checklists&amp;tblOrdenes[[#This Row],[link_checklist]],"abrir"))</f>
        <v/>
      </c>
      <c r="AP1085" s="6" t="n"/>
      <c r="AQ1085" s="3">
        <f>IF(tblOrdenes[[#This Row],[orden]]="","",tblOrdenes[[#This Row],[orden]]&amp;IF(tblOrdenes[[#This Row],[operacion]]="","0010",tblOrdenes[[#This Row],[operacion]]))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2" t="n"/>
      <c r="K1086" s="3" t="n"/>
      <c r="L1086" s="11" t="n"/>
      <c r="M10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6" s="3">
        <f>IF(tblOrdenes[[#This Row],[fecha_inicio]]="","",YEAR(tblOrdenes[[#This Row],[fecha_inicio]]))</f>
        <v/>
      </c>
      <c r="Q1086" s="3">
        <f>IF(tblOrdenes[[#This Row],[fecha_inicio]]="","",MONTH(tblOrdenes[[#This Row],[fecha_inicio]]))</f>
        <v/>
      </c>
      <c r="R1086" s="3">
        <f>IF(tblOrdenes[[#This Row],[fecha_inicio]]="","",INDEX(lista_dias,WEEKDAY(tblOrdenes[[#This Row],[fecha_inicio]],2)))</f>
        <v/>
      </c>
      <c r="S10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6" s="3">
        <f>IF(tblOrdenes[[#This Row],[tipo_ot]]="","",_xlfn.XLOOKUP(tblOrdenes[[#This Row],[tipo_ot]],tblTiposOT[codigo],tblTiposOT[clasificacion],"sin_clasificar"))</f>
        <v/>
      </c>
      <c r="U1086" s="3">
        <f>IF(tblOrdenes[[#This Row],[centro_costo]]="","",_xlfn.XLOOKUP(tblOrdenes[[#This Row],[centro_costo]],tblCECO[codigo],tblCECO[linea],"(sin catálogo)"))</f>
        <v/>
      </c>
      <c r="V1086" s="3">
        <f>IF(tblOrdenes[[#This Row],[centro_costo]]="","",_xlfn.XLOOKUP(tblOrdenes[[#This Row],[centro_costo]],tblCECO[codigo],tblCECO[area],"(sin catálogo)"))</f>
        <v/>
      </c>
      <c r="W10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6" s="3">
        <f>IF(tblOrdenes[[#This Row],[centro_costo]]="","",_xlfn.XLOOKUP(tblOrdenes[[#This Row],[centro_costo]],tblCECO[codigo],tblCECO[coordinador],"(sin catálogo)"))</f>
        <v/>
      </c>
      <c r="Y1086" s="3">
        <f>IF(tblOrdenes[[#This Row],[puesto_trabajo]]="","",_xlfn.XLOOKUP(tblOrdenes[[#This Row],[puesto_trabajo]],tblPuestos[codigo],tblPuestos[especialidad],"(sin catálogo)"))</f>
        <v/>
      </c>
      <c r="Z1086" s="3">
        <f>IF(tblOrdenes[[#This Row],[cod_actividad]]="","",_xlfn.XLOOKUP(tblOrdenes[[#This Row],[cod_actividad]],tblActividades[codigo],tblActividades[descripcion],"(sin catálogo)"))</f>
        <v/>
      </c>
      <c r="AA1086" s="13">
        <f>IF(tblOrdenes[[#This Row],[fecha_inicio]]="","",TODAY()-tblOrdenes[[#This Row],[fecha_inicio]])</f>
        <v/>
      </c>
      <c r="AB10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6" s="3">
        <f>IF(tblOrdenes[[#This Row],[backlog_habiles]]="","",IF(tblOrdenes[[#This Row],[backlog_habiles]]&lt;0,"FUTURO",IF(tblOrdenes[[#This Row],[backlog_habiles]]&gt;p_dias_backlog_max,"BACKLOG","MES CORRIENTE")))</f>
        <v/>
      </c>
      <c r="AD1086" s="3">
        <f>IF(tblOrdenes[[#This Row],[backlog_habiles]]="",FALSE,AND(tblOrdenes[[#This Row],[backlog_habiles]]&gt;p_dias_backlog_min,tblOrdenes[[#This Row],[backlog_habiles]]&lt;=p_dias_backlog_max))</f>
        <v/>
      </c>
      <c r="AE1086" s="6" t="n"/>
      <c r="AF10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6" s="11">
        <f>IF(tblOrdenes[[#This Row],[orden]]="","",_xlfn.XLOOKUP(tblOrdenes[[#This Row],[id_operacion]],tblEjecucion[id_operacion],tblEjecucion[precio],0))</f>
        <v/>
      </c>
      <c r="AJ1086" s="11">
        <f>IF(tblOrdenes[[#This Row],[orden]]="","",MAX(0,_xlfn.XLOOKUP(tblOrdenes[[#This Row],[id_operacion]],tblEjecucion[id_operacion],tblEjecucion[costo_plan_total],0)-tblOrdenes[[#This Row],[costo_servicio]]))</f>
        <v/>
      </c>
      <c r="AK1086" s="11">
        <f>IF(tblOrdenes[[#This Row],[orden]]="","",tblOrdenes[[#This Row],[costo_servicio]]+tblOrdenes[[#This Row],[costo_materiales]])</f>
        <v/>
      </c>
      <c r="AL1086" s="6" t="n"/>
      <c r="AM1086" s="6" t="n"/>
      <c r="AN1086" s="6" t="n"/>
      <c r="AO1086" s="3">
        <f>IF(tblOrdenes[[#This Row],[link_checklist]]="","",HYPERLINK(p_ruta_base_checklists&amp;tblOrdenes[[#This Row],[link_checklist]],"abrir"))</f>
        <v/>
      </c>
      <c r="AP1086" s="6" t="n"/>
      <c r="AQ1086" s="3">
        <f>IF(tblOrdenes[[#This Row],[orden]]="","",tblOrdenes[[#This Row],[orden]]&amp;IF(tblOrdenes[[#This Row],[operacion]]="","0010",tblOrdenes[[#This Row],[operacion]]))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2" t="n"/>
      <c r="K1087" s="3" t="n"/>
      <c r="L1087" s="11" t="n"/>
      <c r="M10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7" s="3">
        <f>IF(tblOrdenes[[#This Row],[fecha_inicio]]="","",YEAR(tblOrdenes[[#This Row],[fecha_inicio]]))</f>
        <v/>
      </c>
      <c r="Q1087" s="3">
        <f>IF(tblOrdenes[[#This Row],[fecha_inicio]]="","",MONTH(tblOrdenes[[#This Row],[fecha_inicio]]))</f>
        <v/>
      </c>
      <c r="R1087" s="3">
        <f>IF(tblOrdenes[[#This Row],[fecha_inicio]]="","",INDEX(lista_dias,WEEKDAY(tblOrdenes[[#This Row],[fecha_inicio]],2)))</f>
        <v/>
      </c>
      <c r="S10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7" s="3">
        <f>IF(tblOrdenes[[#This Row],[tipo_ot]]="","",_xlfn.XLOOKUP(tblOrdenes[[#This Row],[tipo_ot]],tblTiposOT[codigo],tblTiposOT[clasificacion],"sin_clasificar"))</f>
        <v/>
      </c>
      <c r="U1087" s="3">
        <f>IF(tblOrdenes[[#This Row],[centro_costo]]="","",_xlfn.XLOOKUP(tblOrdenes[[#This Row],[centro_costo]],tblCECO[codigo],tblCECO[linea],"(sin catálogo)"))</f>
        <v/>
      </c>
      <c r="V1087" s="3">
        <f>IF(tblOrdenes[[#This Row],[centro_costo]]="","",_xlfn.XLOOKUP(tblOrdenes[[#This Row],[centro_costo]],tblCECO[codigo],tblCECO[area],"(sin catálogo)"))</f>
        <v/>
      </c>
      <c r="W10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7" s="3">
        <f>IF(tblOrdenes[[#This Row],[centro_costo]]="","",_xlfn.XLOOKUP(tblOrdenes[[#This Row],[centro_costo]],tblCECO[codigo],tblCECO[coordinador],"(sin catálogo)"))</f>
        <v/>
      </c>
      <c r="Y1087" s="3">
        <f>IF(tblOrdenes[[#This Row],[puesto_trabajo]]="","",_xlfn.XLOOKUP(tblOrdenes[[#This Row],[puesto_trabajo]],tblPuestos[codigo],tblPuestos[especialidad],"(sin catálogo)"))</f>
        <v/>
      </c>
      <c r="Z1087" s="3">
        <f>IF(tblOrdenes[[#This Row],[cod_actividad]]="","",_xlfn.XLOOKUP(tblOrdenes[[#This Row],[cod_actividad]],tblActividades[codigo],tblActividades[descripcion],"(sin catálogo)"))</f>
        <v/>
      </c>
      <c r="AA1087" s="13">
        <f>IF(tblOrdenes[[#This Row],[fecha_inicio]]="","",TODAY()-tblOrdenes[[#This Row],[fecha_inicio]])</f>
        <v/>
      </c>
      <c r="AB10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7" s="3">
        <f>IF(tblOrdenes[[#This Row],[backlog_habiles]]="","",IF(tblOrdenes[[#This Row],[backlog_habiles]]&lt;0,"FUTURO",IF(tblOrdenes[[#This Row],[backlog_habiles]]&gt;p_dias_backlog_max,"BACKLOG","MES CORRIENTE")))</f>
        <v/>
      </c>
      <c r="AD1087" s="3">
        <f>IF(tblOrdenes[[#This Row],[backlog_habiles]]="",FALSE,AND(tblOrdenes[[#This Row],[backlog_habiles]]&gt;p_dias_backlog_min,tblOrdenes[[#This Row],[backlog_habiles]]&lt;=p_dias_backlog_max))</f>
        <v/>
      </c>
      <c r="AE1087" s="6" t="n"/>
      <c r="AF10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7" s="11">
        <f>IF(tblOrdenes[[#This Row],[orden]]="","",_xlfn.XLOOKUP(tblOrdenes[[#This Row],[id_operacion]],tblEjecucion[id_operacion],tblEjecucion[precio],0))</f>
        <v/>
      </c>
      <c r="AJ1087" s="11">
        <f>IF(tblOrdenes[[#This Row],[orden]]="","",MAX(0,_xlfn.XLOOKUP(tblOrdenes[[#This Row],[id_operacion]],tblEjecucion[id_operacion],tblEjecucion[costo_plan_total],0)-tblOrdenes[[#This Row],[costo_servicio]]))</f>
        <v/>
      </c>
      <c r="AK1087" s="11">
        <f>IF(tblOrdenes[[#This Row],[orden]]="","",tblOrdenes[[#This Row],[costo_servicio]]+tblOrdenes[[#This Row],[costo_materiales]])</f>
        <v/>
      </c>
      <c r="AL1087" s="6" t="n"/>
      <c r="AM1087" s="6" t="n"/>
      <c r="AN1087" s="6" t="n"/>
      <c r="AO1087" s="3">
        <f>IF(tblOrdenes[[#This Row],[link_checklist]]="","",HYPERLINK(p_ruta_base_checklists&amp;tblOrdenes[[#This Row],[link_checklist]],"abrir"))</f>
        <v/>
      </c>
      <c r="AP1087" s="6" t="n"/>
      <c r="AQ1087" s="3">
        <f>IF(tblOrdenes[[#This Row],[orden]]="","",tblOrdenes[[#This Row],[orden]]&amp;IF(tblOrdenes[[#This Row],[operacion]]="","0010",tblOrdenes[[#This Row],[operacion]]))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2" t="n"/>
      <c r="K1088" s="3" t="n"/>
      <c r="L1088" s="11" t="n"/>
      <c r="M10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8" s="3">
        <f>IF(tblOrdenes[[#This Row],[fecha_inicio]]="","",YEAR(tblOrdenes[[#This Row],[fecha_inicio]]))</f>
        <v/>
      </c>
      <c r="Q1088" s="3">
        <f>IF(tblOrdenes[[#This Row],[fecha_inicio]]="","",MONTH(tblOrdenes[[#This Row],[fecha_inicio]]))</f>
        <v/>
      </c>
      <c r="R1088" s="3">
        <f>IF(tblOrdenes[[#This Row],[fecha_inicio]]="","",INDEX(lista_dias,WEEKDAY(tblOrdenes[[#This Row],[fecha_inicio]],2)))</f>
        <v/>
      </c>
      <c r="S10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8" s="3">
        <f>IF(tblOrdenes[[#This Row],[tipo_ot]]="","",_xlfn.XLOOKUP(tblOrdenes[[#This Row],[tipo_ot]],tblTiposOT[codigo],tblTiposOT[clasificacion],"sin_clasificar"))</f>
        <v/>
      </c>
      <c r="U1088" s="3">
        <f>IF(tblOrdenes[[#This Row],[centro_costo]]="","",_xlfn.XLOOKUP(tblOrdenes[[#This Row],[centro_costo]],tblCECO[codigo],tblCECO[linea],"(sin catálogo)"))</f>
        <v/>
      </c>
      <c r="V1088" s="3">
        <f>IF(tblOrdenes[[#This Row],[centro_costo]]="","",_xlfn.XLOOKUP(tblOrdenes[[#This Row],[centro_costo]],tblCECO[codigo],tblCECO[area],"(sin catálogo)"))</f>
        <v/>
      </c>
      <c r="W10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8" s="3">
        <f>IF(tblOrdenes[[#This Row],[centro_costo]]="","",_xlfn.XLOOKUP(tblOrdenes[[#This Row],[centro_costo]],tblCECO[codigo],tblCECO[coordinador],"(sin catálogo)"))</f>
        <v/>
      </c>
      <c r="Y1088" s="3">
        <f>IF(tblOrdenes[[#This Row],[puesto_trabajo]]="","",_xlfn.XLOOKUP(tblOrdenes[[#This Row],[puesto_trabajo]],tblPuestos[codigo],tblPuestos[especialidad],"(sin catálogo)"))</f>
        <v/>
      </c>
      <c r="Z1088" s="3">
        <f>IF(tblOrdenes[[#This Row],[cod_actividad]]="","",_xlfn.XLOOKUP(tblOrdenes[[#This Row],[cod_actividad]],tblActividades[codigo],tblActividades[descripcion],"(sin catálogo)"))</f>
        <v/>
      </c>
      <c r="AA1088" s="13">
        <f>IF(tblOrdenes[[#This Row],[fecha_inicio]]="","",TODAY()-tblOrdenes[[#This Row],[fecha_inicio]])</f>
        <v/>
      </c>
      <c r="AB10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8" s="3">
        <f>IF(tblOrdenes[[#This Row],[backlog_habiles]]="","",IF(tblOrdenes[[#This Row],[backlog_habiles]]&lt;0,"FUTURO",IF(tblOrdenes[[#This Row],[backlog_habiles]]&gt;p_dias_backlog_max,"BACKLOG","MES CORRIENTE")))</f>
        <v/>
      </c>
      <c r="AD1088" s="3">
        <f>IF(tblOrdenes[[#This Row],[backlog_habiles]]="",FALSE,AND(tblOrdenes[[#This Row],[backlog_habiles]]&gt;p_dias_backlog_min,tblOrdenes[[#This Row],[backlog_habiles]]&lt;=p_dias_backlog_max))</f>
        <v/>
      </c>
      <c r="AE1088" s="6" t="n"/>
      <c r="AF10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8" s="11">
        <f>IF(tblOrdenes[[#This Row],[orden]]="","",_xlfn.XLOOKUP(tblOrdenes[[#This Row],[id_operacion]],tblEjecucion[id_operacion],tblEjecucion[precio],0))</f>
        <v/>
      </c>
      <c r="AJ1088" s="11">
        <f>IF(tblOrdenes[[#This Row],[orden]]="","",MAX(0,_xlfn.XLOOKUP(tblOrdenes[[#This Row],[id_operacion]],tblEjecucion[id_operacion],tblEjecucion[costo_plan_total],0)-tblOrdenes[[#This Row],[costo_servicio]]))</f>
        <v/>
      </c>
      <c r="AK1088" s="11">
        <f>IF(tblOrdenes[[#This Row],[orden]]="","",tblOrdenes[[#This Row],[costo_servicio]]+tblOrdenes[[#This Row],[costo_materiales]])</f>
        <v/>
      </c>
      <c r="AL1088" s="6" t="n"/>
      <c r="AM1088" s="6" t="n"/>
      <c r="AN1088" s="6" t="n"/>
      <c r="AO1088" s="3">
        <f>IF(tblOrdenes[[#This Row],[link_checklist]]="","",HYPERLINK(p_ruta_base_checklists&amp;tblOrdenes[[#This Row],[link_checklist]],"abrir"))</f>
        <v/>
      </c>
      <c r="AP1088" s="6" t="n"/>
      <c r="AQ1088" s="3">
        <f>IF(tblOrdenes[[#This Row],[orden]]="","",tblOrdenes[[#This Row],[orden]]&amp;IF(tblOrdenes[[#This Row],[operacion]]="","0010",tblOrdenes[[#This Row],[operacion]]))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2" t="n"/>
      <c r="K1089" s="3" t="n"/>
      <c r="L1089" s="11" t="n"/>
      <c r="M10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9" s="3">
        <f>IF(tblOrdenes[[#This Row],[fecha_inicio]]="","",YEAR(tblOrdenes[[#This Row],[fecha_inicio]]))</f>
        <v/>
      </c>
      <c r="Q1089" s="3">
        <f>IF(tblOrdenes[[#This Row],[fecha_inicio]]="","",MONTH(tblOrdenes[[#This Row],[fecha_inicio]]))</f>
        <v/>
      </c>
      <c r="R1089" s="3">
        <f>IF(tblOrdenes[[#This Row],[fecha_inicio]]="","",INDEX(lista_dias,WEEKDAY(tblOrdenes[[#This Row],[fecha_inicio]],2)))</f>
        <v/>
      </c>
      <c r="S10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9" s="3">
        <f>IF(tblOrdenes[[#This Row],[tipo_ot]]="","",_xlfn.XLOOKUP(tblOrdenes[[#This Row],[tipo_ot]],tblTiposOT[codigo],tblTiposOT[clasificacion],"sin_clasificar"))</f>
        <v/>
      </c>
      <c r="U1089" s="3">
        <f>IF(tblOrdenes[[#This Row],[centro_costo]]="","",_xlfn.XLOOKUP(tblOrdenes[[#This Row],[centro_costo]],tblCECO[codigo],tblCECO[linea],"(sin catálogo)"))</f>
        <v/>
      </c>
      <c r="V1089" s="3">
        <f>IF(tblOrdenes[[#This Row],[centro_costo]]="","",_xlfn.XLOOKUP(tblOrdenes[[#This Row],[centro_costo]],tblCECO[codigo],tblCECO[area],"(sin catálogo)"))</f>
        <v/>
      </c>
      <c r="W10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9" s="3">
        <f>IF(tblOrdenes[[#This Row],[centro_costo]]="","",_xlfn.XLOOKUP(tblOrdenes[[#This Row],[centro_costo]],tblCECO[codigo],tblCECO[coordinador],"(sin catálogo)"))</f>
        <v/>
      </c>
      <c r="Y1089" s="3">
        <f>IF(tblOrdenes[[#This Row],[puesto_trabajo]]="","",_xlfn.XLOOKUP(tblOrdenes[[#This Row],[puesto_trabajo]],tblPuestos[codigo],tblPuestos[especialidad],"(sin catálogo)"))</f>
        <v/>
      </c>
      <c r="Z1089" s="3">
        <f>IF(tblOrdenes[[#This Row],[cod_actividad]]="","",_xlfn.XLOOKUP(tblOrdenes[[#This Row],[cod_actividad]],tblActividades[codigo],tblActividades[descripcion],"(sin catálogo)"))</f>
        <v/>
      </c>
      <c r="AA1089" s="13">
        <f>IF(tblOrdenes[[#This Row],[fecha_inicio]]="","",TODAY()-tblOrdenes[[#This Row],[fecha_inicio]])</f>
        <v/>
      </c>
      <c r="AB10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9" s="3">
        <f>IF(tblOrdenes[[#This Row],[backlog_habiles]]="","",IF(tblOrdenes[[#This Row],[backlog_habiles]]&lt;0,"FUTURO",IF(tblOrdenes[[#This Row],[backlog_habiles]]&gt;p_dias_backlog_max,"BACKLOG","MES CORRIENTE")))</f>
        <v/>
      </c>
      <c r="AD1089" s="3">
        <f>IF(tblOrdenes[[#This Row],[backlog_habiles]]="",FALSE,AND(tblOrdenes[[#This Row],[backlog_habiles]]&gt;p_dias_backlog_min,tblOrdenes[[#This Row],[backlog_habiles]]&lt;=p_dias_backlog_max))</f>
        <v/>
      </c>
      <c r="AE1089" s="6" t="n"/>
      <c r="AF10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9" s="11">
        <f>IF(tblOrdenes[[#This Row],[orden]]="","",_xlfn.XLOOKUP(tblOrdenes[[#This Row],[id_operacion]],tblEjecucion[id_operacion],tblEjecucion[precio],0))</f>
        <v/>
      </c>
      <c r="AJ1089" s="11">
        <f>IF(tblOrdenes[[#This Row],[orden]]="","",MAX(0,_xlfn.XLOOKUP(tblOrdenes[[#This Row],[id_operacion]],tblEjecucion[id_operacion],tblEjecucion[costo_plan_total],0)-tblOrdenes[[#This Row],[costo_servicio]]))</f>
        <v/>
      </c>
      <c r="AK1089" s="11">
        <f>IF(tblOrdenes[[#This Row],[orden]]="","",tblOrdenes[[#This Row],[costo_servicio]]+tblOrdenes[[#This Row],[costo_materiales]])</f>
        <v/>
      </c>
      <c r="AL1089" s="6" t="n"/>
      <c r="AM1089" s="6" t="n"/>
      <c r="AN1089" s="6" t="n"/>
      <c r="AO1089" s="3">
        <f>IF(tblOrdenes[[#This Row],[link_checklist]]="","",HYPERLINK(p_ruta_base_checklists&amp;tblOrdenes[[#This Row],[link_checklist]],"abrir"))</f>
        <v/>
      </c>
      <c r="AP1089" s="6" t="n"/>
      <c r="AQ1089" s="3">
        <f>IF(tblOrdenes[[#This Row],[orden]]="","",tblOrdenes[[#This Row],[orden]]&amp;IF(tblOrdenes[[#This Row],[operacion]]="","0010",tblOrdenes[[#This Row],[operacion]]))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2" t="n"/>
      <c r="K1090" s="3" t="n"/>
      <c r="L1090" s="11" t="n"/>
      <c r="M10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0" s="3">
        <f>IF(tblOrdenes[[#This Row],[fecha_inicio]]="","",YEAR(tblOrdenes[[#This Row],[fecha_inicio]]))</f>
        <v/>
      </c>
      <c r="Q1090" s="3">
        <f>IF(tblOrdenes[[#This Row],[fecha_inicio]]="","",MONTH(tblOrdenes[[#This Row],[fecha_inicio]]))</f>
        <v/>
      </c>
      <c r="R1090" s="3">
        <f>IF(tblOrdenes[[#This Row],[fecha_inicio]]="","",INDEX(lista_dias,WEEKDAY(tblOrdenes[[#This Row],[fecha_inicio]],2)))</f>
        <v/>
      </c>
      <c r="S10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0" s="3">
        <f>IF(tblOrdenes[[#This Row],[tipo_ot]]="","",_xlfn.XLOOKUP(tblOrdenes[[#This Row],[tipo_ot]],tblTiposOT[codigo],tblTiposOT[clasificacion],"sin_clasificar"))</f>
        <v/>
      </c>
      <c r="U1090" s="3">
        <f>IF(tblOrdenes[[#This Row],[centro_costo]]="","",_xlfn.XLOOKUP(tblOrdenes[[#This Row],[centro_costo]],tblCECO[codigo],tblCECO[linea],"(sin catálogo)"))</f>
        <v/>
      </c>
      <c r="V1090" s="3">
        <f>IF(tblOrdenes[[#This Row],[centro_costo]]="","",_xlfn.XLOOKUP(tblOrdenes[[#This Row],[centro_costo]],tblCECO[codigo],tblCECO[area],"(sin catálogo)"))</f>
        <v/>
      </c>
      <c r="W10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0" s="3">
        <f>IF(tblOrdenes[[#This Row],[centro_costo]]="","",_xlfn.XLOOKUP(tblOrdenes[[#This Row],[centro_costo]],tblCECO[codigo],tblCECO[coordinador],"(sin catálogo)"))</f>
        <v/>
      </c>
      <c r="Y1090" s="3">
        <f>IF(tblOrdenes[[#This Row],[puesto_trabajo]]="","",_xlfn.XLOOKUP(tblOrdenes[[#This Row],[puesto_trabajo]],tblPuestos[codigo],tblPuestos[especialidad],"(sin catálogo)"))</f>
        <v/>
      </c>
      <c r="Z1090" s="3">
        <f>IF(tblOrdenes[[#This Row],[cod_actividad]]="","",_xlfn.XLOOKUP(tblOrdenes[[#This Row],[cod_actividad]],tblActividades[codigo],tblActividades[descripcion],"(sin catálogo)"))</f>
        <v/>
      </c>
      <c r="AA1090" s="13">
        <f>IF(tblOrdenes[[#This Row],[fecha_inicio]]="","",TODAY()-tblOrdenes[[#This Row],[fecha_inicio]])</f>
        <v/>
      </c>
      <c r="AB10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0" s="3">
        <f>IF(tblOrdenes[[#This Row],[backlog_habiles]]="","",IF(tblOrdenes[[#This Row],[backlog_habiles]]&lt;0,"FUTURO",IF(tblOrdenes[[#This Row],[backlog_habiles]]&gt;p_dias_backlog_max,"BACKLOG","MES CORRIENTE")))</f>
        <v/>
      </c>
      <c r="AD1090" s="3">
        <f>IF(tblOrdenes[[#This Row],[backlog_habiles]]="",FALSE,AND(tblOrdenes[[#This Row],[backlog_habiles]]&gt;p_dias_backlog_min,tblOrdenes[[#This Row],[backlog_habiles]]&lt;=p_dias_backlog_max))</f>
        <v/>
      </c>
      <c r="AE1090" s="6" t="n"/>
      <c r="AF10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0" s="11">
        <f>IF(tblOrdenes[[#This Row],[orden]]="","",_xlfn.XLOOKUP(tblOrdenes[[#This Row],[id_operacion]],tblEjecucion[id_operacion],tblEjecucion[precio],0))</f>
        <v/>
      </c>
      <c r="AJ1090" s="11">
        <f>IF(tblOrdenes[[#This Row],[orden]]="","",MAX(0,_xlfn.XLOOKUP(tblOrdenes[[#This Row],[id_operacion]],tblEjecucion[id_operacion],tblEjecucion[costo_plan_total],0)-tblOrdenes[[#This Row],[costo_servicio]]))</f>
        <v/>
      </c>
      <c r="AK1090" s="11">
        <f>IF(tblOrdenes[[#This Row],[orden]]="","",tblOrdenes[[#This Row],[costo_servicio]]+tblOrdenes[[#This Row],[costo_materiales]])</f>
        <v/>
      </c>
      <c r="AL1090" s="6" t="n"/>
      <c r="AM1090" s="6" t="n"/>
      <c r="AN1090" s="6" t="n"/>
      <c r="AO1090" s="3">
        <f>IF(tblOrdenes[[#This Row],[link_checklist]]="","",HYPERLINK(p_ruta_base_checklists&amp;tblOrdenes[[#This Row],[link_checklist]],"abrir"))</f>
        <v/>
      </c>
      <c r="AP1090" s="6" t="n"/>
      <c r="AQ1090" s="3">
        <f>IF(tblOrdenes[[#This Row],[orden]]="","",tblOrdenes[[#This Row],[orden]]&amp;IF(tblOrdenes[[#This Row],[operacion]]="","0010",tblOrdenes[[#This Row],[operacion]]))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2" t="n"/>
      <c r="K1091" s="3" t="n"/>
      <c r="L1091" s="11" t="n"/>
      <c r="M10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1" s="3">
        <f>IF(tblOrdenes[[#This Row],[fecha_inicio]]="","",YEAR(tblOrdenes[[#This Row],[fecha_inicio]]))</f>
        <v/>
      </c>
      <c r="Q1091" s="3">
        <f>IF(tblOrdenes[[#This Row],[fecha_inicio]]="","",MONTH(tblOrdenes[[#This Row],[fecha_inicio]]))</f>
        <v/>
      </c>
      <c r="R1091" s="3">
        <f>IF(tblOrdenes[[#This Row],[fecha_inicio]]="","",INDEX(lista_dias,WEEKDAY(tblOrdenes[[#This Row],[fecha_inicio]],2)))</f>
        <v/>
      </c>
      <c r="S10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1" s="3">
        <f>IF(tblOrdenes[[#This Row],[tipo_ot]]="","",_xlfn.XLOOKUP(tblOrdenes[[#This Row],[tipo_ot]],tblTiposOT[codigo],tblTiposOT[clasificacion],"sin_clasificar"))</f>
        <v/>
      </c>
      <c r="U1091" s="3">
        <f>IF(tblOrdenes[[#This Row],[centro_costo]]="","",_xlfn.XLOOKUP(tblOrdenes[[#This Row],[centro_costo]],tblCECO[codigo],tblCECO[linea],"(sin catálogo)"))</f>
        <v/>
      </c>
      <c r="V1091" s="3">
        <f>IF(tblOrdenes[[#This Row],[centro_costo]]="","",_xlfn.XLOOKUP(tblOrdenes[[#This Row],[centro_costo]],tblCECO[codigo],tblCECO[area],"(sin catálogo)"))</f>
        <v/>
      </c>
      <c r="W10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1" s="3">
        <f>IF(tblOrdenes[[#This Row],[centro_costo]]="","",_xlfn.XLOOKUP(tblOrdenes[[#This Row],[centro_costo]],tblCECO[codigo],tblCECO[coordinador],"(sin catálogo)"))</f>
        <v/>
      </c>
      <c r="Y1091" s="3">
        <f>IF(tblOrdenes[[#This Row],[puesto_trabajo]]="","",_xlfn.XLOOKUP(tblOrdenes[[#This Row],[puesto_trabajo]],tblPuestos[codigo],tblPuestos[especialidad],"(sin catálogo)"))</f>
        <v/>
      </c>
      <c r="Z1091" s="3">
        <f>IF(tblOrdenes[[#This Row],[cod_actividad]]="","",_xlfn.XLOOKUP(tblOrdenes[[#This Row],[cod_actividad]],tblActividades[codigo],tblActividades[descripcion],"(sin catálogo)"))</f>
        <v/>
      </c>
      <c r="AA1091" s="13">
        <f>IF(tblOrdenes[[#This Row],[fecha_inicio]]="","",TODAY()-tblOrdenes[[#This Row],[fecha_inicio]])</f>
        <v/>
      </c>
      <c r="AB10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1" s="3">
        <f>IF(tblOrdenes[[#This Row],[backlog_habiles]]="","",IF(tblOrdenes[[#This Row],[backlog_habiles]]&lt;0,"FUTURO",IF(tblOrdenes[[#This Row],[backlog_habiles]]&gt;p_dias_backlog_max,"BACKLOG","MES CORRIENTE")))</f>
        <v/>
      </c>
      <c r="AD1091" s="3">
        <f>IF(tblOrdenes[[#This Row],[backlog_habiles]]="",FALSE,AND(tblOrdenes[[#This Row],[backlog_habiles]]&gt;p_dias_backlog_min,tblOrdenes[[#This Row],[backlog_habiles]]&lt;=p_dias_backlog_max))</f>
        <v/>
      </c>
      <c r="AE1091" s="6" t="n"/>
      <c r="AF10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1" s="11">
        <f>IF(tblOrdenes[[#This Row],[orden]]="","",_xlfn.XLOOKUP(tblOrdenes[[#This Row],[id_operacion]],tblEjecucion[id_operacion],tblEjecucion[precio],0))</f>
        <v/>
      </c>
      <c r="AJ1091" s="11">
        <f>IF(tblOrdenes[[#This Row],[orden]]="","",MAX(0,_xlfn.XLOOKUP(tblOrdenes[[#This Row],[id_operacion]],tblEjecucion[id_operacion],tblEjecucion[costo_plan_total],0)-tblOrdenes[[#This Row],[costo_servicio]]))</f>
        <v/>
      </c>
      <c r="AK1091" s="11">
        <f>IF(tblOrdenes[[#This Row],[orden]]="","",tblOrdenes[[#This Row],[costo_servicio]]+tblOrdenes[[#This Row],[costo_materiales]])</f>
        <v/>
      </c>
      <c r="AL1091" s="6" t="n"/>
      <c r="AM1091" s="6" t="n"/>
      <c r="AN1091" s="6" t="n"/>
      <c r="AO1091" s="3">
        <f>IF(tblOrdenes[[#This Row],[link_checklist]]="","",HYPERLINK(p_ruta_base_checklists&amp;tblOrdenes[[#This Row],[link_checklist]],"abrir"))</f>
        <v/>
      </c>
      <c r="AP1091" s="6" t="n"/>
      <c r="AQ1091" s="3">
        <f>IF(tblOrdenes[[#This Row],[orden]]="","",tblOrdenes[[#This Row],[orden]]&amp;IF(tblOrdenes[[#This Row],[operacion]]="","0010",tblOrdenes[[#This Row],[operacion]]))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2" t="n"/>
      <c r="K1092" s="3" t="n"/>
      <c r="L1092" s="11" t="n"/>
      <c r="M10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2" s="3">
        <f>IF(tblOrdenes[[#This Row],[fecha_inicio]]="","",YEAR(tblOrdenes[[#This Row],[fecha_inicio]]))</f>
        <v/>
      </c>
      <c r="Q1092" s="3">
        <f>IF(tblOrdenes[[#This Row],[fecha_inicio]]="","",MONTH(tblOrdenes[[#This Row],[fecha_inicio]]))</f>
        <v/>
      </c>
      <c r="R1092" s="3">
        <f>IF(tblOrdenes[[#This Row],[fecha_inicio]]="","",INDEX(lista_dias,WEEKDAY(tblOrdenes[[#This Row],[fecha_inicio]],2)))</f>
        <v/>
      </c>
      <c r="S10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2" s="3">
        <f>IF(tblOrdenes[[#This Row],[tipo_ot]]="","",_xlfn.XLOOKUP(tblOrdenes[[#This Row],[tipo_ot]],tblTiposOT[codigo],tblTiposOT[clasificacion],"sin_clasificar"))</f>
        <v/>
      </c>
      <c r="U1092" s="3">
        <f>IF(tblOrdenes[[#This Row],[centro_costo]]="","",_xlfn.XLOOKUP(tblOrdenes[[#This Row],[centro_costo]],tblCECO[codigo],tblCECO[linea],"(sin catálogo)"))</f>
        <v/>
      </c>
      <c r="V1092" s="3">
        <f>IF(tblOrdenes[[#This Row],[centro_costo]]="","",_xlfn.XLOOKUP(tblOrdenes[[#This Row],[centro_costo]],tblCECO[codigo],tblCECO[area],"(sin catálogo)"))</f>
        <v/>
      </c>
      <c r="W10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2" s="3">
        <f>IF(tblOrdenes[[#This Row],[centro_costo]]="","",_xlfn.XLOOKUP(tblOrdenes[[#This Row],[centro_costo]],tblCECO[codigo],tblCECO[coordinador],"(sin catálogo)"))</f>
        <v/>
      </c>
      <c r="Y1092" s="3">
        <f>IF(tblOrdenes[[#This Row],[puesto_trabajo]]="","",_xlfn.XLOOKUP(tblOrdenes[[#This Row],[puesto_trabajo]],tblPuestos[codigo],tblPuestos[especialidad],"(sin catálogo)"))</f>
        <v/>
      </c>
      <c r="Z1092" s="3">
        <f>IF(tblOrdenes[[#This Row],[cod_actividad]]="","",_xlfn.XLOOKUP(tblOrdenes[[#This Row],[cod_actividad]],tblActividades[codigo],tblActividades[descripcion],"(sin catálogo)"))</f>
        <v/>
      </c>
      <c r="AA1092" s="13">
        <f>IF(tblOrdenes[[#This Row],[fecha_inicio]]="","",TODAY()-tblOrdenes[[#This Row],[fecha_inicio]])</f>
        <v/>
      </c>
      <c r="AB10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2" s="3">
        <f>IF(tblOrdenes[[#This Row],[backlog_habiles]]="","",IF(tblOrdenes[[#This Row],[backlog_habiles]]&lt;0,"FUTURO",IF(tblOrdenes[[#This Row],[backlog_habiles]]&gt;p_dias_backlog_max,"BACKLOG","MES CORRIENTE")))</f>
        <v/>
      </c>
      <c r="AD1092" s="3">
        <f>IF(tblOrdenes[[#This Row],[backlog_habiles]]="",FALSE,AND(tblOrdenes[[#This Row],[backlog_habiles]]&gt;p_dias_backlog_min,tblOrdenes[[#This Row],[backlog_habiles]]&lt;=p_dias_backlog_max))</f>
        <v/>
      </c>
      <c r="AE1092" s="6" t="n"/>
      <c r="AF10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2" s="11">
        <f>IF(tblOrdenes[[#This Row],[orden]]="","",_xlfn.XLOOKUP(tblOrdenes[[#This Row],[id_operacion]],tblEjecucion[id_operacion],tblEjecucion[precio],0))</f>
        <v/>
      </c>
      <c r="AJ1092" s="11">
        <f>IF(tblOrdenes[[#This Row],[orden]]="","",MAX(0,_xlfn.XLOOKUP(tblOrdenes[[#This Row],[id_operacion]],tblEjecucion[id_operacion],tblEjecucion[costo_plan_total],0)-tblOrdenes[[#This Row],[costo_servicio]]))</f>
        <v/>
      </c>
      <c r="AK1092" s="11">
        <f>IF(tblOrdenes[[#This Row],[orden]]="","",tblOrdenes[[#This Row],[costo_servicio]]+tblOrdenes[[#This Row],[costo_materiales]])</f>
        <v/>
      </c>
      <c r="AL1092" s="6" t="n"/>
      <c r="AM1092" s="6" t="n"/>
      <c r="AN1092" s="6" t="n"/>
      <c r="AO1092" s="3">
        <f>IF(tblOrdenes[[#This Row],[link_checklist]]="","",HYPERLINK(p_ruta_base_checklists&amp;tblOrdenes[[#This Row],[link_checklist]],"abrir"))</f>
        <v/>
      </c>
      <c r="AP1092" s="6" t="n"/>
      <c r="AQ1092" s="3">
        <f>IF(tblOrdenes[[#This Row],[orden]]="","",tblOrdenes[[#This Row],[orden]]&amp;IF(tblOrdenes[[#This Row],[operacion]]="","0010",tblOrdenes[[#This Row],[operacion]]))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2" t="n"/>
      <c r="K1093" s="3" t="n"/>
      <c r="L1093" s="11" t="n"/>
      <c r="M10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3" s="3">
        <f>IF(tblOrdenes[[#This Row],[fecha_inicio]]="","",YEAR(tblOrdenes[[#This Row],[fecha_inicio]]))</f>
        <v/>
      </c>
      <c r="Q1093" s="3">
        <f>IF(tblOrdenes[[#This Row],[fecha_inicio]]="","",MONTH(tblOrdenes[[#This Row],[fecha_inicio]]))</f>
        <v/>
      </c>
      <c r="R1093" s="3">
        <f>IF(tblOrdenes[[#This Row],[fecha_inicio]]="","",INDEX(lista_dias,WEEKDAY(tblOrdenes[[#This Row],[fecha_inicio]],2)))</f>
        <v/>
      </c>
      <c r="S10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3" s="3">
        <f>IF(tblOrdenes[[#This Row],[tipo_ot]]="","",_xlfn.XLOOKUP(tblOrdenes[[#This Row],[tipo_ot]],tblTiposOT[codigo],tblTiposOT[clasificacion],"sin_clasificar"))</f>
        <v/>
      </c>
      <c r="U1093" s="3">
        <f>IF(tblOrdenes[[#This Row],[centro_costo]]="","",_xlfn.XLOOKUP(tblOrdenes[[#This Row],[centro_costo]],tblCECO[codigo],tblCECO[linea],"(sin catálogo)"))</f>
        <v/>
      </c>
      <c r="V1093" s="3">
        <f>IF(tblOrdenes[[#This Row],[centro_costo]]="","",_xlfn.XLOOKUP(tblOrdenes[[#This Row],[centro_costo]],tblCECO[codigo],tblCECO[area],"(sin catálogo)"))</f>
        <v/>
      </c>
      <c r="W10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3" s="3">
        <f>IF(tblOrdenes[[#This Row],[centro_costo]]="","",_xlfn.XLOOKUP(tblOrdenes[[#This Row],[centro_costo]],tblCECO[codigo],tblCECO[coordinador],"(sin catálogo)"))</f>
        <v/>
      </c>
      <c r="Y1093" s="3">
        <f>IF(tblOrdenes[[#This Row],[puesto_trabajo]]="","",_xlfn.XLOOKUP(tblOrdenes[[#This Row],[puesto_trabajo]],tblPuestos[codigo],tblPuestos[especialidad],"(sin catálogo)"))</f>
        <v/>
      </c>
      <c r="Z1093" s="3">
        <f>IF(tblOrdenes[[#This Row],[cod_actividad]]="","",_xlfn.XLOOKUP(tblOrdenes[[#This Row],[cod_actividad]],tblActividades[codigo],tblActividades[descripcion],"(sin catálogo)"))</f>
        <v/>
      </c>
      <c r="AA1093" s="13">
        <f>IF(tblOrdenes[[#This Row],[fecha_inicio]]="","",TODAY()-tblOrdenes[[#This Row],[fecha_inicio]])</f>
        <v/>
      </c>
      <c r="AB10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3" s="3">
        <f>IF(tblOrdenes[[#This Row],[backlog_habiles]]="","",IF(tblOrdenes[[#This Row],[backlog_habiles]]&lt;0,"FUTURO",IF(tblOrdenes[[#This Row],[backlog_habiles]]&gt;p_dias_backlog_max,"BACKLOG","MES CORRIENTE")))</f>
        <v/>
      </c>
      <c r="AD1093" s="3">
        <f>IF(tblOrdenes[[#This Row],[backlog_habiles]]="",FALSE,AND(tblOrdenes[[#This Row],[backlog_habiles]]&gt;p_dias_backlog_min,tblOrdenes[[#This Row],[backlog_habiles]]&lt;=p_dias_backlog_max))</f>
        <v/>
      </c>
      <c r="AE1093" s="6" t="n"/>
      <c r="AF10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3" s="11">
        <f>IF(tblOrdenes[[#This Row],[orden]]="","",_xlfn.XLOOKUP(tblOrdenes[[#This Row],[id_operacion]],tblEjecucion[id_operacion],tblEjecucion[precio],0))</f>
        <v/>
      </c>
      <c r="AJ1093" s="11">
        <f>IF(tblOrdenes[[#This Row],[orden]]="","",MAX(0,_xlfn.XLOOKUP(tblOrdenes[[#This Row],[id_operacion]],tblEjecucion[id_operacion],tblEjecucion[costo_plan_total],0)-tblOrdenes[[#This Row],[costo_servicio]]))</f>
        <v/>
      </c>
      <c r="AK1093" s="11">
        <f>IF(tblOrdenes[[#This Row],[orden]]="","",tblOrdenes[[#This Row],[costo_servicio]]+tblOrdenes[[#This Row],[costo_materiales]])</f>
        <v/>
      </c>
      <c r="AL1093" s="6" t="n"/>
      <c r="AM1093" s="6" t="n"/>
      <c r="AN1093" s="6" t="n"/>
      <c r="AO1093" s="3">
        <f>IF(tblOrdenes[[#This Row],[link_checklist]]="","",HYPERLINK(p_ruta_base_checklists&amp;tblOrdenes[[#This Row],[link_checklist]],"abrir"))</f>
        <v/>
      </c>
      <c r="AP1093" s="6" t="n"/>
      <c r="AQ1093" s="3">
        <f>IF(tblOrdenes[[#This Row],[orden]]="","",tblOrdenes[[#This Row],[orden]]&amp;IF(tblOrdenes[[#This Row],[operacion]]="","0010",tblOrdenes[[#This Row],[operacion]]))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2" t="n"/>
      <c r="K1094" s="3" t="n"/>
      <c r="L1094" s="11" t="n"/>
      <c r="M10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4" s="3">
        <f>IF(tblOrdenes[[#This Row],[fecha_inicio]]="","",YEAR(tblOrdenes[[#This Row],[fecha_inicio]]))</f>
        <v/>
      </c>
      <c r="Q1094" s="3">
        <f>IF(tblOrdenes[[#This Row],[fecha_inicio]]="","",MONTH(tblOrdenes[[#This Row],[fecha_inicio]]))</f>
        <v/>
      </c>
      <c r="R1094" s="3">
        <f>IF(tblOrdenes[[#This Row],[fecha_inicio]]="","",INDEX(lista_dias,WEEKDAY(tblOrdenes[[#This Row],[fecha_inicio]],2)))</f>
        <v/>
      </c>
      <c r="S10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4" s="3">
        <f>IF(tblOrdenes[[#This Row],[tipo_ot]]="","",_xlfn.XLOOKUP(tblOrdenes[[#This Row],[tipo_ot]],tblTiposOT[codigo],tblTiposOT[clasificacion],"sin_clasificar"))</f>
        <v/>
      </c>
      <c r="U1094" s="3">
        <f>IF(tblOrdenes[[#This Row],[centro_costo]]="","",_xlfn.XLOOKUP(tblOrdenes[[#This Row],[centro_costo]],tblCECO[codigo],tblCECO[linea],"(sin catálogo)"))</f>
        <v/>
      </c>
      <c r="V1094" s="3">
        <f>IF(tblOrdenes[[#This Row],[centro_costo]]="","",_xlfn.XLOOKUP(tblOrdenes[[#This Row],[centro_costo]],tblCECO[codigo],tblCECO[area],"(sin catálogo)"))</f>
        <v/>
      </c>
      <c r="W10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4" s="3">
        <f>IF(tblOrdenes[[#This Row],[centro_costo]]="","",_xlfn.XLOOKUP(tblOrdenes[[#This Row],[centro_costo]],tblCECO[codigo],tblCECO[coordinador],"(sin catálogo)"))</f>
        <v/>
      </c>
      <c r="Y1094" s="3">
        <f>IF(tblOrdenes[[#This Row],[puesto_trabajo]]="","",_xlfn.XLOOKUP(tblOrdenes[[#This Row],[puesto_trabajo]],tblPuestos[codigo],tblPuestos[especialidad],"(sin catálogo)"))</f>
        <v/>
      </c>
      <c r="Z1094" s="3">
        <f>IF(tblOrdenes[[#This Row],[cod_actividad]]="","",_xlfn.XLOOKUP(tblOrdenes[[#This Row],[cod_actividad]],tblActividades[codigo],tblActividades[descripcion],"(sin catálogo)"))</f>
        <v/>
      </c>
      <c r="AA1094" s="13">
        <f>IF(tblOrdenes[[#This Row],[fecha_inicio]]="","",TODAY()-tblOrdenes[[#This Row],[fecha_inicio]])</f>
        <v/>
      </c>
      <c r="AB10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4" s="3">
        <f>IF(tblOrdenes[[#This Row],[backlog_habiles]]="","",IF(tblOrdenes[[#This Row],[backlog_habiles]]&lt;0,"FUTURO",IF(tblOrdenes[[#This Row],[backlog_habiles]]&gt;p_dias_backlog_max,"BACKLOG","MES CORRIENTE")))</f>
        <v/>
      </c>
      <c r="AD1094" s="3">
        <f>IF(tblOrdenes[[#This Row],[backlog_habiles]]="",FALSE,AND(tblOrdenes[[#This Row],[backlog_habiles]]&gt;p_dias_backlog_min,tblOrdenes[[#This Row],[backlog_habiles]]&lt;=p_dias_backlog_max))</f>
        <v/>
      </c>
      <c r="AE1094" s="6" t="n"/>
      <c r="AF10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4" s="11">
        <f>IF(tblOrdenes[[#This Row],[orden]]="","",_xlfn.XLOOKUP(tblOrdenes[[#This Row],[id_operacion]],tblEjecucion[id_operacion],tblEjecucion[precio],0))</f>
        <v/>
      </c>
      <c r="AJ1094" s="11">
        <f>IF(tblOrdenes[[#This Row],[orden]]="","",MAX(0,_xlfn.XLOOKUP(tblOrdenes[[#This Row],[id_operacion]],tblEjecucion[id_operacion],tblEjecucion[costo_plan_total],0)-tblOrdenes[[#This Row],[costo_servicio]]))</f>
        <v/>
      </c>
      <c r="AK1094" s="11">
        <f>IF(tblOrdenes[[#This Row],[orden]]="","",tblOrdenes[[#This Row],[costo_servicio]]+tblOrdenes[[#This Row],[costo_materiales]])</f>
        <v/>
      </c>
      <c r="AL1094" s="6" t="n"/>
      <c r="AM1094" s="6" t="n"/>
      <c r="AN1094" s="6" t="n"/>
      <c r="AO1094" s="3">
        <f>IF(tblOrdenes[[#This Row],[link_checklist]]="","",HYPERLINK(p_ruta_base_checklists&amp;tblOrdenes[[#This Row],[link_checklist]],"abrir"))</f>
        <v/>
      </c>
      <c r="AP1094" s="6" t="n"/>
      <c r="AQ1094" s="3">
        <f>IF(tblOrdenes[[#This Row],[orden]]="","",tblOrdenes[[#This Row],[orden]]&amp;IF(tblOrdenes[[#This Row],[operacion]]="","0010",tblOrdenes[[#This Row],[operacion]]))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2" t="n"/>
      <c r="K1095" s="3" t="n"/>
      <c r="L1095" s="11" t="n"/>
      <c r="M10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5" s="3">
        <f>IF(tblOrdenes[[#This Row],[fecha_inicio]]="","",YEAR(tblOrdenes[[#This Row],[fecha_inicio]]))</f>
        <v/>
      </c>
      <c r="Q1095" s="3">
        <f>IF(tblOrdenes[[#This Row],[fecha_inicio]]="","",MONTH(tblOrdenes[[#This Row],[fecha_inicio]]))</f>
        <v/>
      </c>
      <c r="R1095" s="3">
        <f>IF(tblOrdenes[[#This Row],[fecha_inicio]]="","",INDEX(lista_dias,WEEKDAY(tblOrdenes[[#This Row],[fecha_inicio]],2)))</f>
        <v/>
      </c>
      <c r="S10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5" s="3">
        <f>IF(tblOrdenes[[#This Row],[tipo_ot]]="","",_xlfn.XLOOKUP(tblOrdenes[[#This Row],[tipo_ot]],tblTiposOT[codigo],tblTiposOT[clasificacion],"sin_clasificar"))</f>
        <v/>
      </c>
      <c r="U1095" s="3">
        <f>IF(tblOrdenes[[#This Row],[centro_costo]]="","",_xlfn.XLOOKUP(tblOrdenes[[#This Row],[centro_costo]],tblCECO[codigo],tblCECO[linea],"(sin catálogo)"))</f>
        <v/>
      </c>
      <c r="V1095" s="3">
        <f>IF(tblOrdenes[[#This Row],[centro_costo]]="","",_xlfn.XLOOKUP(tblOrdenes[[#This Row],[centro_costo]],tblCECO[codigo],tblCECO[area],"(sin catálogo)"))</f>
        <v/>
      </c>
      <c r="W10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5" s="3">
        <f>IF(tblOrdenes[[#This Row],[centro_costo]]="","",_xlfn.XLOOKUP(tblOrdenes[[#This Row],[centro_costo]],tblCECO[codigo],tblCECO[coordinador],"(sin catálogo)"))</f>
        <v/>
      </c>
      <c r="Y1095" s="3">
        <f>IF(tblOrdenes[[#This Row],[puesto_trabajo]]="","",_xlfn.XLOOKUP(tblOrdenes[[#This Row],[puesto_trabajo]],tblPuestos[codigo],tblPuestos[especialidad],"(sin catálogo)"))</f>
        <v/>
      </c>
      <c r="Z1095" s="3">
        <f>IF(tblOrdenes[[#This Row],[cod_actividad]]="","",_xlfn.XLOOKUP(tblOrdenes[[#This Row],[cod_actividad]],tblActividades[codigo],tblActividades[descripcion],"(sin catálogo)"))</f>
        <v/>
      </c>
      <c r="AA1095" s="13">
        <f>IF(tblOrdenes[[#This Row],[fecha_inicio]]="","",TODAY()-tblOrdenes[[#This Row],[fecha_inicio]])</f>
        <v/>
      </c>
      <c r="AB10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5" s="3">
        <f>IF(tblOrdenes[[#This Row],[backlog_habiles]]="","",IF(tblOrdenes[[#This Row],[backlog_habiles]]&lt;0,"FUTURO",IF(tblOrdenes[[#This Row],[backlog_habiles]]&gt;p_dias_backlog_max,"BACKLOG","MES CORRIENTE")))</f>
        <v/>
      </c>
      <c r="AD1095" s="3">
        <f>IF(tblOrdenes[[#This Row],[backlog_habiles]]="",FALSE,AND(tblOrdenes[[#This Row],[backlog_habiles]]&gt;p_dias_backlog_min,tblOrdenes[[#This Row],[backlog_habiles]]&lt;=p_dias_backlog_max))</f>
        <v/>
      </c>
      <c r="AE1095" s="6" t="n"/>
      <c r="AF10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5" s="11">
        <f>IF(tblOrdenes[[#This Row],[orden]]="","",_xlfn.XLOOKUP(tblOrdenes[[#This Row],[id_operacion]],tblEjecucion[id_operacion],tblEjecucion[precio],0))</f>
        <v/>
      </c>
      <c r="AJ1095" s="11">
        <f>IF(tblOrdenes[[#This Row],[orden]]="","",MAX(0,_xlfn.XLOOKUP(tblOrdenes[[#This Row],[id_operacion]],tblEjecucion[id_operacion],tblEjecucion[costo_plan_total],0)-tblOrdenes[[#This Row],[costo_servicio]]))</f>
        <v/>
      </c>
      <c r="AK1095" s="11">
        <f>IF(tblOrdenes[[#This Row],[orden]]="","",tblOrdenes[[#This Row],[costo_servicio]]+tblOrdenes[[#This Row],[costo_materiales]])</f>
        <v/>
      </c>
      <c r="AL1095" s="6" t="n"/>
      <c r="AM1095" s="6" t="n"/>
      <c r="AN1095" s="6" t="n"/>
      <c r="AO1095" s="3">
        <f>IF(tblOrdenes[[#This Row],[link_checklist]]="","",HYPERLINK(p_ruta_base_checklists&amp;tblOrdenes[[#This Row],[link_checklist]],"abrir"))</f>
        <v/>
      </c>
      <c r="AP1095" s="6" t="n"/>
      <c r="AQ1095" s="3">
        <f>IF(tblOrdenes[[#This Row],[orden]]="","",tblOrdenes[[#This Row],[orden]]&amp;IF(tblOrdenes[[#This Row],[operacion]]="","0010",tblOrdenes[[#This Row],[operacion]]))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2" t="n"/>
      <c r="K1096" s="3" t="n"/>
      <c r="L1096" s="11" t="n"/>
      <c r="M10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6" s="3">
        <f>IF(tblOrdenes[[#This Row],[fecha_inicio]]="","",YEAR(tblOrdenes[[#This Row],[fecha_inicio]]))</f>
        <v/>
      </c>
      <c r="Q1096" s="3">
        <f>IF(tblOrdenes[[#This Row],[fecha_inicio]]="","",MONTH(tblOrdenes[[#This Row],[fecha_inicio]]))</f>
        <v/>
      </c>
      <c r="R1096" s="3">
        <f>IF(tblOrdenes[[#This Row],[fecha_inicio]]="","",INDEX(lista_dias,WEEKDAY(tblOrdenes[[#This Row],[fecha_inicio]],2)))</f>
        <v/>
      </c>
      <c r="S10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6" s="3">
        <f>IF(tblOrdenes[[#This Row],[tipo_ot]]="","",_xlfn.XLOOKUP(tblOrdenes[[#This Row],[tipo_ot]],tblTiposOT[codigo],tblTiposOT[clasificacion],"sin_clasificar"))</f>
        <v/>
      </c>
      <c r="U1096" s="3">
        <f>IF(tblOrdenes[[#This Row],[centro_costo]]="","",_xlfn.XLOOKUP(tblOrdenes[[#This Row],[centro_costo]],tblCECO[codigo],tblCECO[linea],"(sin catálogo)"))</f>
        <v/>
      </c>
      <c r="V1096" s="3">
        <f>IF(tblOrdenes[[#This Row],[centro_costo]]="","",_xlfn.XLOOKUP(tblOrdenes[[#This Row],[centro_costo]],tblCECO[codigo],tblCECO[area],"(sin catálogo)"))</f>
        <v/>
      </c>
      <c r="W10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6" s="3">
        <f>IF(tblOrdenes[[#This Row],[centro_costo]]="","",_xlfn.XLOOKUP(tblOrdenes[[#This Row],[centro_costo]],tblCECO[codigo],tblCECO[coordinador],"(sin catálogo)"))</f>
        <v/>
      </c>
      <c r="Y1096" s="3">
        <f>IF(tblOrdenes[[#This Row],[puesto_trabajo]]="","",_xlfn.XLOOKUP(tblOrdenes[[#This Row],[puesto_trabajo]],tblPuestos[codigo],tblPuestos[especialidad],"(sin catálogo)"))</f>
        <v/>
      </c>
      <c r="Z1096" s="3">
        <f>IF(tblOrdenes[[#This Row],[cod_actividad]]="","",_xlfn.XLOOKUP(tblOrdenes[[#This Row],[cod_actividad]],tblActividades[codigo],tblActividades[descripcion],"(sin catálogo)"))</f>
        <v/>
      </c>
      <c r="AA1096" s="13">
        <f>IF(tblOrdenes[[#This Row],[fecha_inicio]]="","",TODAY()-tblOrdenes[[#This Row],[fecha_inicio]])</f>
        <v/>
      </c>
      <c r="AB10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6" s="3">
        <f>IF(tblOrdenes[[#This Row],[backlog_habiles]]="","",IF(tblOrdenes[[#This Row],[backlog_habiles]]&lt;0,"FUTURO",IF(tblOrdenes[[#This Row],[backlog_habiles]]&gt;p_dias_backlog_max,"BACKLOG","MES CORRIENTE")))</f>
        <v/>
      </c>
      <c r="AD1096" s="3">
        <f>IF(tblOrdenes[[#This Row],[backlog_habiles]]="",FALSE,AND(tblOrdenes[[#This Row],[backlog_habiles]]&gt;p_dias_backlog_min,tblOrdenes[[#This Row],[backlog_habiles]]&lt;=p_dias_backlog_max))</f>
        <v/>
      </c>
      <c r="AE1096" s="6" t="n"/>
      <c r="AF10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6" s="11">
        <f>IF(tblOrdenes[[#This Row],[orden]]="","",_xlfn.XLOOKUP(tblOrdenes[[#This Row],[id_operacion]],tblEjecucion[id_operacion],tblEjecucion[precio],0))</f>
        <v/>
      </c>
      <c r="AJ1096" s="11">
        <f>IF(tblOrdenes[[#This Row],[orden]]="","",MAX(0,_xlfn.XLOOKUP(tblOrdenes[[#This Row],[id_operacion]],tblEjecucion[id_operacion],tblEjecucion[costo_plan_total],0)-tblOrdenes[[#This Row],[costo_servicio]]))</f>
        <v/>
      </c>
      <c r="AK1096" s="11">
        <f>IF(tblOrdenes[[#This Row],[orden]]="","",tblOrdenes[[#This Row],[costo_servicio]]+tblOrdenes[[#This Row],[costo_materiales]])</f>
        <v/>
      </c>
      <c r="AL1096" s="6" t="n"/>
      <c r="AM1096" s="6" t="n"/>
      <c r="AN1096" s="6" t="n"/>
      <c r="AO1096" s="3">
        <f>IF(tblOrdenes[[#This Row],[link_checklist]]="","",HYPERLINK(p_ruta_base_checklists&amp;tblOrdenes[[#This Row],[link_checklist]],"abrir"))</f>
        <v/>
      </c>
      <c r="AP1096" s="6" t="n"/>
      <c r="AQ1096" s="3">
        <f>IF(tblOrdenes[[#This Row],[orden]]="","",tblOrdenes[[#This Row],[orden]]&amp;IF(tblOrdenes[[#This Row],[operacion]]="","0010",tblOrdenes[[#This Row],[operacion]]))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2" t="n"/>
      <c r="K1097" s="3" t="n"/>
      <c r="L1097" s="11" t="n"/>
      <c r="M10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7" s="3">
        <f>IF(tblOrdenes[[#This Row],[fecha_inicio]]="","",YEAR(tblOrdenes[[#This Row],[fecha_inicio]]))</f>
        <v/>
      </c>
      <c r="Q1097" s="3">
        <f>IF(tblOrdenes[[#This Row],[fecha_inicio]]="","",MONTH(tblOrdenes[[#This Row],[fecha_inicio]]))</f>
        <v/>
      </c>
      <c r="R1097" s="3">
        <f>IF(tblOrdenes[[#This Row],[fecha_inicio]]="","",INDEX(lista_dias,WEEKDAY(tblOrdenes[[#This Row],[fecha_inicio]],2)))</f>
        <v/>
      </c>
      <c r="S10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7" s="3">
        <f>IF(tblOrdenes[[#This Row],[tipo_ot]]="","",_xlfn.XLOOKUP(tblOrdenes[[#This Row],[tipo_ot]],tblTiposOT[codigo],tblTiposOT[clasificacion],"sin_clasificar"))</f>
        <v/>
      </c>
      <c r="U1097" s="3">
        <f>IF(tblOrdenes[[#This Row],[centro_costo]]="","",_xlfn.XLOOKUP(tblOrdenes[[#This Row],[centro_costo]],tblCECO[codigo],tblCECO[linea],"(sin catálogo)"))</f>
        <v/>
      </c>
      <c r="V1097" s="3">
        <f>IF(tblOrdenes[[#This Row],[centro_costo]]="","",_xlfn.XLOOKUP(tblOrdenes[[#This Row],[centro_costo]],tblCECO[codigo],tblCECO[area],"(sin catálogo)"))</f>
        <v/>
      </c>
      <c r="W10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7" s="3">
        <f>IF(tblOrdenes[[#This Row],[centro_costo]]="","",_xlfn.XLOOKUP(tblOrdenes[[#This Row],[centro_costo]],tblCECO[codigo],tblCECO[coordinador],"(sin catálogo)"))</f>
        <v/>
      </c>
      <c r="Y1097" s="3">
        <f>IF(tblOrdenes[[#This Row],[puesto_trabajo]]="","",_xlfn.XLOOKUP(tblOrdenes[[#This Row],[puesto_trabajo]],tblPuestos[codigo],tblPuestos[especialidad],"(sin catálogo)"))</f>
        <v/>
      </c>
      <c r="Z1097" s="3">
        <f>IF(tblOrdenes[[#This Row],[cod_actividad]]="","",_xlfn.XLOOKUP(tblOrdenes[[#This Row],[cod_actividad]],tblActividades[codigo],tblActividades[descripcion],"(sin catálogo)"))</f>
        <v/>
      </c>
      <c r="AA1097" s="13">
        <f>IF(tblOrdenes[[#This Row],[fecha_inicio]]="","",TODAY()-tblOrdenes[[#This Row],[fecha_inicio]])</f>
        <v/>
      </c>
      <c r="AB10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7" s="3">
        <f>IF(tblOrdenes[[#This Row],[backlog_habiles]]="","",IF(tblOrdenes[[#This Row],[backlog_habiles]]&lt;0,"FUTURO",IF(tblOrdenes[[#This Row],[backlog_habiles]]&gt;p_dias_backlog_max,"BACKLOG","MES CORRIENTE")))</f>
        <v/>
      </c>
      <c r="AD1097" s="3">
        <f>IF(tblOrdenes[[#This Row],[backlog_habiles]]="",FALSE,AND(tblOrdenes[[#This Row],[backlog_habiles]]&gt;p_dias_backlog_min,tblOrdenes[[#This Row],[backlog_habiles]]&lt;=p_dias_backlog_max))</f>
        <v/>
      </c>
      <c r="AE1097" s="6" t="n"/>
      <c r="AF10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7" s="11">
        <f>IF(tblOrdenes[[#This Row],[orden]]="","",_xlfn.XLOOKUP(tblOrdenes[[#This Row],[id_operacion]],tblEjecucion[id_operacion],tblEjecucion[precio],0))</f>
        <v/>
      </c>
      <c r="AJ1097" s="11">
        <f>IF(tblOrdenes[[#This Row],[orden]]="","",MAX(0,_xlfn.XLOOKUP(tblOrdenes[[#This Row],[id_operacion]],tblEjecucion[id_operacion],tblEjecucion[costo_plan_total],0)-tblOrdenes[[#This Row],[costo_servicio]]))</f>
        <v/>
      </c>
      <c r="AK1097" s="11">
        <f>IF(tblOrdenes[[#This Row],[orden]]="","",tblOrdenes[[#This Row],[costo_servicio]]+tblOrdenes[[#This Row],[costo_materiales]])</f>
        <v/>
      </c>
      <c r="AL1097" s="6" t="n"/>
      <c r="AM1097" s="6" t="n"/>
      <c r="AN1097" s="6" t="n"/>
      <c r="AO1097" s="3">
        <f>IF(tblOrdenes[[#This Row],[link_checklist]]="","",HYPERLINK(p_ruta_base_checklists&amp;tblOrdenes[[#This Row],[link_checklist]],"abrir"))</f>
        <v/>
      </c>
      <c r="AP1097" s="6" t="n"/>
      <c r="AQ1097" s="3">
        <f>IF(tblOrdenes[[#This Row],[orden]]="","",tblOrdenes[[#This Row],[orden]]&amp;IF(tblOrdenes[[#This Row],[operacion]]="","0010",tblOrdenes[[#This Row],[operacion]]))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2" t="n"/>
      <c r="K1098" s="3" t="n"/>
      <c r="L1098" s="11" t="n"/>
      <c r="M10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8" s="3">
        <f>IF(tblOrdenes[[#This Row],[fecha_inicio]]="","",YEAR(tblOrdenes[[#This Row],[fecha_inicio]]))</f>
        <v/>
      </c>
      <c r="Q1098" s="3">
        <f>IF(tblOrdenes[[#This Row],[fecha_inicio]]="","",MONTH(tblOrdenes[[#This Row],[fecha_inicio]]))</f>
        <v/>
      </c>
      <c r="R1098" s="3">
        <f>IF(tblOrdenes[[#This Row],[fecha_inicio]]="","",INDEX(lista_dias,WEEKDAY(tblOrdenes[[#This Row],[fecha_inicio]],2)))</f>
        <v/>
      </c>
      <c r="S10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8" s="3">
        <f>IF(tblOrdenes[[#This Row],[tipo_ot]]="","",_xlfn.XLOOKUP(tblOrdenes[[#This Row],[tipo_ot]],tblTiposOT[codigo],tblTiposOT[clasificacion],"sin_clasificar"))</f>
        <v/>
      </c>
      <c r="U1098" s="3">
        <f>IF(tblOrdenes[[#This Row],[centro_costo]]="","",_xlfn.XLOOKUP(tblOrdenes[[#This Row],[centro_costo]],tblCECO[codigo],tblCECO[linea],"(sin catálogo)"))</f>
        <v/>
      </c>
      <c r="V1098" s="3">
        <f>IF(tblOrdenes[[#This Row],[centro_costo]]="","",_xlfn.XLOOKUP(tblOrdenes[[#This Row],[centro_costo]],tblCECO[codigo],tblCECO[area],"(sin catálogo)"))</f>
        <v/>
      </c>
      <c r="W10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8" s="3">
        <f>IF(tblOrdenes[[#This Row],[centro_costo]]="","",_xlfn.XLOOKUP(tblOrdenes[[#This Row],[centro_costo]],tblCECO[codigo],tblCECO[coordinador],"(sin catálogo)"))</f>
        <v/>
      </c>
      <c r="Y1098" s="3">
        <f>IF(tblOrdenes[[#This Row],[puesto_trabajo]]="","",_xlfn.XLOOKUP(tblOrdenes[[#This Row],[puesto_trabajo]],tblPuestos[codigo],tblPuestos[especialidad],"(sin catálogo)"))</f>
        <v/>
      </c>
      <c r="Z1098" s="3">
        <f>IF(tblOrdenes[[#This Row],[cod_actividad]]="","",_xlfn.XLOOKUP(tblOrdenes[[#This Row],[cod_actividad]],tblActividades[codigo],tblActividades[descripcion],"(sin catálogo)"))</f>
        <v/>
      </c>
      <c r="AA1098" s="13">
        <f>IF(tblOrdenes[[#This Row],[fecha_inicio]]="","",TODAY()-tblOrdenes[[#This Row],[fecha_inicio]])</f>
        <v/>
      </c>
      <c r="AB10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8" s="3">
        <f>IF(tblOrdenes[[#This Row],[backlog_habiles]]="","",IF(tblOrdenes[[#This Row],[backlog_habiles]]&lt;0,"FUTURO",IF(tblOrdenes[[#This Row],[backlog_habiles]]&gt;p_dias_backlog_max,"BACKLOG","MES CORRIENTE")))</f>
        <v/>
      </c>
      <c r="AD1098" s="3">
        <f>IF(tblOrdenes[[#This Row],[backlog_habiles]]="",FALSE,AND(tblOrdenes[[#This Row],[backlog_habiles]]&gt;p_dias_backlog_min,tblOrdenes[[#This Row],[backlog_habiles]]&lt;=p_dias_backlog_max))</f>
        <v/>
      </c>
      <c r="AE1098" s="6" t="n"/>
      <c r="AF10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8" s="11">
        <f>IF(tblOrdenes[[#This Row],[orden]]="","",_xlfn.XLOOKUP(tblOrdenes[[#This Row],[id_operacion]],tblEjecucion[id_operacion],tblEjecucion[precio],0))</f>
        <v/>
      </c>
      <c r="AJ1098" s="11">
        <f>IF(tblOrdenes[[#This Row],[orden]]="","",MAX(0,_xlfn.XLOOKUP(tblOrdenes[[#This Row],[id_operacion]],tblEjecucion[id_operacion],tblEjecucion[costo_plan_total],0)-tblOrdenes[[#This Row],[costo_servicio]]))</f>
        <v/>
      </c>
      <c r="AK1098" s="11">
        <f>IF(tblOrdenes[[#This Row],[orden]]="","",tblOrdenes[[#This Row],[costo_servicio]]+tblOrdenes[[#This Row],[costo_materiales]])</f>
        <v/>
      </c>
      <c r="AL1098" s="6" t="n"/>
      <c r="AM1098" s="6" t="n"/>
      <c r="AN1098" s="6" t="n"/>
      <c r="AO1098" s="3">
        <f>IF(tblOrdenes[[#This Row],[link_checklist]]="","",HYPERLINK(p_ruta_base_checklists&amp;tblOrdenes[[#This Row],[link_checklist]],"abrir"))</f>
        <v/>
      </c>
      <c r="AP1098" s="6" t="n"/>
      <c r="AQ1098" s="3">
        <f>IF(tblOrdenes[[#This Row],[orden]]="","",tblOrdenes[[#This Row],[orden]]&amp;IF(tblOrdenes[[#This Row],[operacion]]="","0010",tblOrdenes[[#This Row],[operacion]]))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2" t="n"/>
      <c r="K1099" s="3" t="n"/>
      <c r="L1099" s="11" t="n"/>
      <c r="M10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9" s="3">
        <f>IF(tblOrdenes[[#This Row],[fecha_inicio]]="","",YEAR(tblOrdenes[[#This Row],[fecha_inicio]]))</f>
        <v/>
      </c>
      <c r="Q1099" s="3">
        <f>IF(tblOrdenes[[#This Row],[fecha_inicio]]="","",MONTH(tblOrdenes[[#This Row],[fecha_inicio]]))</f>
        <v/>
      </c>
      <c r="R1099" s="3">
        <f>IF(tblOrdenes[[#This Row],[fecha_inicio]]="","",INDEX(lista_dias,WEEKDAY(tblOrdenes[[#This Row],[fecha_inicio]],2)))</f>
        <v/>
      </c>
      <c r="S10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9" s="3">
        <f>IF(tblOrdenes[[#This Row],[tipo_ot]]="","",_xlfn.XLOOKUP(tblOrdenes[[#This Row],[tipo_ot]],tblTiposOT[codigo],tblTiposOT[clasificacion],"sin_clasificar"))</f>
        <v/>
      </c>
      <c r="U1099" s="3">
        <f>IF(tblOrdenes[[#This Row],[centro_costo]]="","",_xlfn.XLOOKUP(tblOrdenes[[#This Row],[centro_costo]],tblCECO[codigo],tblCECO[linea],"(sin catálogo)"))</f>
        <v/>
      </c>
      <c r="V1099" s="3">
        <f>IF(tblOrdenes[[#This Row],[centro_costo]]="","",_xlfn.XLOOKUP(tblOrdenes[[#This Row],[centro_costo]],tblCECO[codigo],tblCECO[area],"(sin catálogo)"))</f>
        <v/>
      </c>
      <c r="W10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9" s="3">
        <f>IF(tblOrdenes[[#This Row],[centro_costo]]="","",_xlfn.XLOOKUP(tblOrdenes[[#This Row],[centro_costo]],tblCECO[codigo],tblCECO[coordinador],"(sin catálogo)"))</f>
        <v/>
      </c>
      <c r="Y1099" s="3">
        <f>IF(tblOrdenes[[#This Row],[puesto_trabajo]]="","",_xlfn.XLOOKUP(tblOrdenes[[#This Row],[puesto_trabajo]],tblPuestos[codigo],tblPuestos[especialidad],"(sin catálogo)"))</f>
        <v/>
      </c>
      <c r="Z1099" s="3">
        <f>IF(tblOrdenes[[#This Row],[cod_actividad]]="","",_xlfn.XLOOKUP(tblOrdenes[[#This Row],[cod_actividad]],tblActividades[codigo],tblActividades[descripcion],"(sin catálogo)"))</f>
        <v/>
      </c>
      <c r="AA1099" s="13">
        <f>IF(tblOrdenes[[#This Row],[fecha_inicio]]="","",TODAY()-tblOrdenes[[#This Row],[fecha_inicio]])</f>
        <v/>
      </c>
      <c r="AB10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9" s="3">
        <f>IF(tblOrdenes[[#This Row],[backlog_habiles]]="","",IF(tblOrdenes[[#This Row],[backlog_habiles]]&lt;0,"FUTURO",IF(tblOrdenes[[#This Row],[backlog_habiles]]&gt;p_dias_backlog_max,"BACKLOG","MES CORRIENTE")))</f>
        <v/>
      </c>
      <c r="AD1099" s="3">
        <f>IF(tblOrdenes[[#This Row],[backlog_habiles]]="",FALSE,AND(tblOrdenes[[#This Row],[backlog_habiles]]&gt;p_dias_backlog_min,tblOrdenes[[#This Row],[backlog_habiles]]&lt;=p_dias_backlog_max))</f>
        <v/>
      </c>
      <c r="AE1099" s="6" t="n"/>
      <c r="AF10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9" s="11">
        <f>IF(tblOrdenes[[#This Row],[orden]]="","",_xlfn.XLOOKUP(tblOrdenes[[#This Row],[id_operacion]],tblEjecucion[id_operacion],tblEjecucion[precio],0))</f>
        <v/>
      </c>
      <c r="AJ1099" s="11">
        <f>IF(tblOrdenes[[#This Row],[orden]]="","",MAX(0,_xlfn.XLOOKUP(tblOrdenes[[#This Row],[id_operacion]],tblEjecucion[id_operacion],tblEjecucion[costo_plan_total],0)-tblOrdenes[[#This Row],[costo_servicio]]))</f>
        <v/>
      </c>
      <c r="AK1099" s="11">
        <f>IF(tblOrdenes[[#This Row],[orden]]="","",tblOrdenes[[#This Row],[costo_servicio]]+tblOrdenes[[#This Row],[costo_materiales]])</f>
        <v/>
      </c>
      <c r="AL1099" s="6" t="n"/>
      <c r="AM1099" s="6" t="n"/>
      <c r="AN1099" s="6" t="n"/>
      <c r="AO1099" s="3">
        <f>IF(tblOrdenes[[#This Row],[link_checklist]]="","",HYPERLINK(p_ruta_base_checklists&amp;tblOrdenes[[#This Row],[link_checklist]],"abrir"))</f>
        <v/>
      </c>
      <c r="AP1099" s="6" t="n"/>
      <c r="AQ1099" s="3">
        <f>IF(tblOrdenes[[#This Row],[orden]]="","",tblOrdenes[[#This Row],[orden]]&amp;IF(tblOrdenes[[#This Row],[operacion]]="","0010",tblOrdenes[[#This Row],[operacion]]))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2" t="n"/>
      <c r="K1100" s="3" t="n"/>
      <c r="L1100" s="11" t="n"/>
      <c r="M11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0" s="3">
        <f>IF(tblOrdenes[[#This Row],[fecha_inicio]]="","",YEAR(tblOrdenes[[#This Row],[fecha_inicio]]))</f>
        <v/>
      </c>
      <c r="Q1100" s="3">
        <f>IF(tblOrdenes[[#This Row],[fecha_inicio]]="","",MONTH(tblOrdenes[[#This Row],[fecha_inicio]]))</f>
        <v/>
      </c>
      <c r="R1100" s="3">
        <f>IF(tblOrdenes[[#This Row],[fecha_inicio]]="","",INDEX(lista_dias,WEEKDAY(tblOrdenes[[#This Row],[fecha_inicio]],2)))</f>
        <v/>
      </c>
      <c r="S11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0" s="3">
        <f>IF(tblOrdenes[[#This Row],[tipo_ot]]="","",_xlfn.XLOOKUP(tblOrdenes[[#This Row],[tipo_ot]],tblTiposOT[codigo],tblTiposOT[clasificacion],"sin_clasificar"))</f>
        <v/>
      </c>
      <c r="U1100" s="3">
        <f>IF(tblOrdenes[[#This Row],[centro_costo]]="","",_xlfn.XLOOKUP(tblOrdenes[[#This Row],[centro_costo]],tblCECO[codigo],tblCECO[linea],"(sin catálogo)"))</f>
        <v/>
      </c>
      <c r="V1100" s="3">
        <f>IF(tblOrdenes[[#This Row],[centro_costo]]="","",_xlfn.XLOOKUP(tblOrdenes[[#This Row],[centro_costo]],tblCECO[codigo],tblCECO[area],"(sin catálogo)"))</f>
        <v/>
      </c>
      <c r="W11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0" s="3">
        <f>IF(tblOrdenes[[#This Row],[centro_costo]]="","",_xlfn.XLOOKUP(tblOrdenes[[#This Row],[centro_costo]],tblCECO[codigo],tblCECO[coordinador],"(sin catálogo)"))</f>
        <v/>
      </c>
      <c r="Y1100" s="3">
        <f>IF(tblOrdenes[[#This Row],[puesto_trabajo]]="","",_xlfn.XLOOKUP(tblOrdenes[[#This Row],[puesto_trabajo]],tblPuestos[codigo],tblPuestos[especialidad],"(sin catálogo)"))</f>
        <v/>
      </c>
      <c r="Z1100" s="3">
        <f>IF(tblOrdenes[[#This Row],[cod_actividad]]="","",_xlfn.XLOOKUP(tblOrdenes[[#This Row],[cod_actividad]],tblActividades[codigo],tblActividades[descripcion],"(sin catálogo)"))</f>
        <v/>
      </c>
      <c r="AA1100" s="13">
        <f>IF(tblOrdenes[[#This Row],[fecha_inicio]]="","",TODAY()-tblOrdenes[[#This Row],[fecha_inicio]])</f>
        <v/>
      </c>
      <c r="AB11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0" s="3">
        <f>IF(tblOrdenes[[#This Row],[backlog_habiles]]="","",IF(tblOrdenes[[#This Row],[backlog_habiles]]&lt;0,"FUTURO",IF(tblOrdenes[[#This Row],[backlog_habiles]]&gt;p_dias_backlog_max,"BACKLOG","MES CORRIENTE")))</f>
        <v/>
      </c>
      <c r="AD1100" s="3">
        <f>IF(tblOrdenes[[#This Row],[backlog_habiles]]="",FALSE,AND(tblOrdenes[[#This Row],[backlog_habiles]]&gt;p_dias_backlog_min,tblOrdenes[[#This Row],[backlog_habiles]]&lt;=p_dias_backlog_max))</f>
        <v/>
      </c>
      <c r="AE1100" s="6" t="n"/>
      <c r="AF11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0" s="11">
        <f>IF(tblOrdenes[[#This Row],[orden]]="","",_xlfn.XLOOKUP(tblOrdenes[[#This Row],[id_operacion]],tblEjecucion[id_operacion],tblEjecucion[precio],0))</f>
        <v/>
      </c>
      <c r="AJ1100" s="11">
        <f>IF(tblOrdenes[[#This Row],[orden]]="","",MAX(0,_xlfn.XLOOKUP(tblOrdenes[[#This Row],[id_operacion]],tblEjecucion[id_operacion],tblEjecucion[costo_plan_total],0)-tblOrdenes[[#This Row],[costo_servicio]]))</f>
        <v/>
      </c>
      <c r="AK1100" s="11">
        <f>IF(tblOrdenes[[#This Row],[orden]]="","",tblOrdenes[[#This Row],[costo_servicio]]+tblOrdenes[[#This Row],[costo_materiales]])</f>
        <v/>
      </c>
      <c r="AL1100" s="6" t="n"/>
      <c r="AM1100" s="6" t="n"/>
      <c r="AN1100" s="6" t="n"/>
      <c r="AO1100" s="3">
        <f>IF(tblOrdenes[[#This Row],[link_checklist]]="","",HYPERLINK(p_ruta_base_checklists&amp;tblOrdenes[[#This Row],[link_checklist]],"abrir"))</f>
        <v/>
      </c>
      <c r="AP1100" s="6" t="n"/>
      <c r="AQ1100" s="3">
        <f>IF(tblOrdenes[[#This Row],[orden]]="","",tblOrdenes[[#This Row],[orden]]&amp;IF(tblOrdenes[[#This Row],[operacion]]="","0010",tblOrdenes[[#This Row],[operacion]]))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2" t="n"/>
      <c r="K1101" s="3" t="n"/>
      <c r="L1101" s="11" t="n"/>
      <c r="M11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1" s="3">
        <f>IF(tblOrdenes[[#This Row],[fecha_inicio]]="","",YEAR(tblOrdenes[[#This Row],[fecha_inicio]]))</f>
        <v/>
      </c>
      <c r="Q1101" s="3">
        <f>IF(tblOrdenes[[#This Row],[fecha_inicio]]="","",MONTH(tblOrdenes[[#This Row],[fecha_inicio]]))</f>
        <v/>
      </c>
      <c r="R1101" s="3">
        <f>IF(tblOrdenes[[#This Row],[fecha_inicio]]="","",INDEX(lista_dias,WEEKDAY(tblOrdenes[[#This Row],[fecha_inicio]],2)))</f>
        <v/>
      </c>
      <c r="S11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1" s="3">
        <f>IF(tblOrdenes[[#This Row],[tipo_ot]]="","",_xlfn.XLOOKUP(tblOrdenes[[#This Row],[tipo_ot]],tblTiposOT[codigo],tblTiposOT[clasificacion],"sin_clasificar"))</f>
        <v/>
      </c>
      <c r="U1101" s="3">
        <f>IF(tblOrdenes[[#This Row],[centro_costo]]="","",_xlfn.XLOOKUP(tblOrdenes[[#This Row],[centro_costo]],tblCECO[codigo],tblCECO[linea],"(sin catálogo)"))</f>
        <v/>
      </c>
      <c r="V1101" s="3">
        <f>IF(tblOrdenes[[#This Row],[centro_costo]]="","",_xlfn.XLOOKUP(tblOrdenes[[#This Row],[centro_costo]],tblCECO[codigo],tblCECO[area],"(sin catálogo)"))</f>
        <v/>
      </c>
      <c r="W11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1" s="3">
        <f>IF(tblOrdenes[[#This Row],[centro_costo]]="","",_xlfn.XLOOKUP(tblOrdenes[[#This Row],[centro_costo]],tblCECO[codigo],tblCECO[coordinador],"(sin catálogo)"))</f>
        <v/>
      </c>
      <c r="Y1101" s="3">
        <f>IF(tblOrdenes[[#This Row],[puesto_trabajo]]="","",_xlfn.XLOOKUP(tblOrdenes[[#This Row],[puesto_trabajo]],tblPuestos[codigo],tblPuestos[especialidad],"(sin catálogo)"))</f>
        <v/>
      </c>
      <c r="Z1101" s="3">
        <f>IF(tblOrdenes[[#This Row],[cod_actividad]]="","",_xlfn.XLOOKUP(tblOrdenes[[#This Row],[cod_actividad]],tblActividades[codigo],tblActividades[descripcion],"(sin catálogo)"))</f>
        <v/>
      </c>
      <c r="AA1101" s="13">
        <f>IF(tblOrdenes[[#This Row],[fecha_inicio]]="","",TODAY()-tblOrdenes[[#This Row],[fecha_inicio]])</f>
        <v/>
      </c>
      <c r="AB11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1" s="3">
        <f>IF(tblOrdenes[[#This Row],[backlog_habiles]]="","",IF(tblOrdenes[[#This Row],[backlog_habiles]]&lt;0,"FUTURO",IF(tblOrdenes[[#This Row],[backlog_habiles]]&gt;p_dias_backlog_max,"BACKLOG","MES CORRIENTE")))</f>
        <v/>
      </c>
      <c r="AD1101" s="3">
        <f>IF(tblOrdenes[[#This Row],[backlog_habiles]]="",FALSE,AND(tblOrdenes[[#This Row],[backlog_habiles]]&gt;p_dias_backlog_min,tblOrdenes[[#This Row],[backlog_habiles]]&lt;=p_dias_backlog_max))</f>
        <v/>
      </c>
      <c r="AE1101" s="6" t="n"/>
      <c r="AF11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1" s="11">
        <f>IF(tblOrdenes[[#This Row],[orden]]="","",_xlfn.XLOOKUP(tblOrdenes[[#This Row],[id_operacion]],tblEjecucion[id_operacion],tblEjecucion[precio],0))</f>
        <v/>
      </c>
      <c r="AJ1101" s="11">
        <f>IF(tblOrdenes[[#This Row],[orden]]="","",MAX(0,_xlfn.XLOOKUP(tblOrdenes[[#This Row],[id_operacion]],tblEjecucion[id_operacion],tblEjecucion[costo_plan_total],0)-tblOrdenes[[#This Row],[costo_servicio]]))</f>
        <v/>
      </c>
      <c r="AK1101" s="11">
        <f>IF(tblOrdenes[[#This Row],[orden]]="","",tblOrdenes[[#This Row],[costo_servicio]]+tblOrdenes[[#This Row],[costo_materiales]])</f>
        <v/>
      </c>
      <c r="AL1101" s="6" t="n"/>
      <c r="AM1101" s="6" t="n"/>
      <c r="AN1101" s="6" t="n"/>
      <c r="AO1101" s="3">
        <f>IF(tblOrdenes[[#This Row],[link_checklist]]="","",HYPERLINK(p_ruta_base_checklists&amp;tblOrdenes[[#This Row],[link_checklist]],"abrir"))</f>
        <v/>
      </c>
      <c r="AP1101" s="6" t="n"/>
      <c r="AQ1101" s="3">
        <f>IF(tblOrdenes[[#This Row],[orden]]="","",tblOrdenes[[#This Row],[orden]]&amp;IF(tblOrdenes[[#This Row],[operacion]]="","0010",tblOrdenes[[#This Row],[operacion]]))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2" t="n"/>
      <c r="K1102" s="3" t="n"/>
      <c r="L1102" s="11" t="n"/>
      <c r="M11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2" s="3">
        <f>IF(tblOrdenes[[#This Row],[fecha_inicio]]="","",YEAR(tblOrdenes[[#This Row],[fecha_inicio]]))</f>
        <v/>
      </c>
      <c r="Q1102" s="3">
        <f>IF(tblOrdenes[[#This Row],[fecha_inicio]]="","",MONTH(tblOrdenes[[#This Row],[fecha_inicio]]))</f>
        <v/>
      </c>
      <c r="R1102" s="3">
        <f>IF(tblOrdenes[[#This Row],[fecha_inicio]]="","",INDEX(lista_dias,WEEKDAY(tblOrdenes[[#This Row],[fecha_inicio]],2)))</f>
        <v/>
      </c>
      <c r="S11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2" s="3">
        <f>IF(tblOrdenes[[#This Row],[tipo_ot]]="","",_xlfn.XLOOKUP(tblOrdenes[[#This Row],[tipo_ot]],tblTiposOT[codigo],tblTiposOT[clasificacion],"sin_clasificar"))</f>
        <v/>
      </c>
      <c r="U1102" s="3">
        <f>IF(tblOrdenes[[#This Row],[centro_costo]]="","",_xlfn.XLOOKUP(tblOrdenes[[#This Row],[centro_costo]],tblCECO[codigo],tblCECO[linea],"(sin catálogo)"))</f>
        <v/>
      </c>
      <c r="V1102" s="3">
        <f>IF(tblOrdenes[[#This Row],[centro_costo]]="","",_xlfn.XLOOKUP(tblOrdenes[[#This Row],[centro_costo]],tblCECO[codigo],tblCECO[area],"(sin catálogo)"))</f>
        <v/>
      </c>
      <c r="W11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2" s="3">
        <f>IF(tblOrdenes[[#This Row],[centro_costo]]="","",_xlfn.XLOOKUP(tblOrdenes[[#This Row],[centro_costo]],tblCECO[codigo],tblCECO[coordinador],"(sin catálogo)"))</f>
        <v/>
      </c>
      <c r="Y1102" s="3">
        <f>IF(tblOrdenes[[#This Row],[puesto_trabajo]]="","",_xlfn.XLOOKUP(tblOrdenes[[#This Row],[puesto_trabajo]],tblPuestos[codigo],tblPuestos[especialidad],"(sin catálogo)"))</f>
        <v/>
      </c>
      <c r="Z1102" s="3">
        <f>IF(tblOrdenes[[#This Row],[cod_actividad]]="","",_xlfn.XLOOKUP(tblOrdenes[[#This Row],[cod_actividad]],tblActividades[codigo],tblActividades[descripcion],"(sin catálogo)"))</f>
        <v/>
      </c>
      <c r="AA1102" s="13">
        <f>IF(tblOrdenes[[#This Row],[fecha_inicio]]="","",TODAY()-tblOrdenes[[#This Row],[fecha_inicio]])</f>
        <v/>
      </c>
      <c r="AB11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2" s="3">
        <f>IF(tblOrdenes[[#This Row],[backlog_habiles]]="","",IF(tblOrdenes[[#This Row],[backlog_habiles]]&lt;0,"FUTURO",IF(tblOrdenes[[#This Row],[backlog_habiles]]&gt;p_dias_backlog_max,"BACKLOG","MES CORRIENTE")))</f>
        <v/>
      </c>
      <c r="AD1102" s="3">
        <f>IF(tblOrdenes[[#This Row],[backlog_habiles]]="",FALSE,AND(tblOrdenes[[#This Row],[backlog_habiles]]&gt;p_dias_backlog_min,tblOrdenes[[#This Row],[backlog_habiles]]&lt;=p_dias_backlog_max))</f>
        <v/>
      </c>
      <c r="AE1102" s="6" t="n"/>
      <c r="AF11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2" s="11">
        <f>IF(tblOrdenes[[#This Row],[orden]]="","",_xlfn.XLOOKUP(tblOrdenes[[#This Row],[id_operacion]],tblEjecucion[id_operacion],tblEjecucion[precio],0))</f>
        <v/>
      </c>
      <c r="AJ1102" s="11">
        <f>IF(tblOrdenes[[#This Row],[orden]]="","",MAX(0,_xlfn.XLOOKUP(tblOrdenes[[#This Row],[id_operacion]],tblEjecucion[id_operacion],tblEjecucion[costo_plan_total],0)-tblOrdenes[[#This Row],[costo_servicio]]))</f>
        <v/>
      </c>
      <c r="AK1102" s="11">
        <f>IF(tblOrdenes[[#This Row],[orden]]="","",tblOrdenes[[#This Row],[costo_servicio]]+tblOrdenes[[#This Row],[costo_materiales]])</f>
        <v/>
      </c>
      <c r="AL1102" s="6" t="n"/>
      <c r="AM1102" s="6" t="n"/>
      <c r="AN1102" s="6" t="n"/>
      <c r="AO1102" s="3">
        <f>IF(tblOrdenes[[#This Row],[link_checklist]]="","",HYPERLINK(p_ruta_base_checklists&amp;tblOrdenes[[#This Row],[link_checklist]],"abrir"))</f>
        <v/>
      </c>
      <c r="AP1102" s="6" t="n"/>
      <c r="AQ1102" s="3">
        <f>IF(tblOrdenes[[#This Row],[orden]]="","",tblOrdenes[[#This Row],[orden]]&amp;IF(tblOrdenes[[#This Row],[operacion]]="","0010",tblOrdenes[[#This Row],[operacion]]))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2" t="n"/>
      <c r="K1103" s="3" t="n"/>
      <c r="L1103" s="11" t="n"/>
      <c r="M11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3" s="3">
        <f>IF(tblOrdenes[[#This Row],[fecha_inicio]]="","",YEAR(tblOrdenes[[#This Row],[fecha_inicio]]))</f>
        <v/>
      </c>
      <c r="Q1103" s="3">
        <f>IF(tblOrdenes[[#This Row],[fecha_inicio]]="","",MONTH(tblOrdenes[[#This Row],[fecha_inicio]]))</f>
        <v/>
      </c>
      <c r="R1103" s="3">
        <f>IF(tblOrdenes[[#This Row],[fecha_inicio]]="","",INDEX(lista_dias,WEEKDAY(tblOrdenes[[#This Row],[fecha_inicio]],2)))</f>
        <v/>
      </c>
      <c r="S11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3" s="3">
        <f>IF(tblOrdenes[[#This Row],[tipo_ot]]="","",_xlfn.XLOOKUP(tblOrdenes[[#This Row],[tipo_ot]],tblTiposOT[codigo],tblTiposOT[clasificacion],"sin_clasificar"))</f>
        <v/>
      </c>
      <c r="U1103" s="3">
        <f>IF(tblOrdenes[[#This Row],[centro_costo]]="","",_xlfn.XLOOKUP(tblOrdenes[[#This Row],[centro_costo]],tblCECO[codigo],tblCECO[linea],"(sin catálogo)"))</f>
        <v/>
      </c>
      <c r="V1103" s="3">
        <f>IF(tblOrdenes[[#This Row],[centro_costo]]="","",_xlfn.XLOOKUP(tblOrdenes[[#This Row],[centro_costo]],tblCECO[codigo],tblCECO[area],"(sin catálogo)"))</f>
        <v/>
      </c>
      <c r="W11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3" s="3">
        <f>IF(tblOrdenes[[#This Row],[centro_costo]]="","",_xlfn.XLOOKUP(tblOrdenes[[#This Row],[centro_costo]],tblCECO[codigo],tblCECO[coordinador],"(sin catálogo)"))</f>
        <v/>
      </c>
      <c r="Y1103" s="3">
        <f>IF(tblOrdenes[[#This Row],[puesto_trabajo]]="","",_xlfn.XLOOKUP(tblOrdenes[[#This Row],[puesto_trabajo]],tblPuestos[codigo],tblPuestos[especialidad],"(sin catálogo)"))</f>
        <v/>
      </c>
      <c r="Z1103" s="3">
        <f>IF(tblOrdenes[[#This Row],[cod_actividad]]="","",_xlfn.XLOOKUP(tblOrdenes[[#This Row],[cod_actividad]],tblActividades[codigo],tblActividades[descripcion],"(sin catálogo)"))</f>
        <v/>
      </c>
      <c r="AA1103" s="13">
        <f>IF(tblOrdenes[[#This Row],[fecha_inicio]]="","",TODAY()-tblOrdenes[[#This Row],[fecha_inicio]])</f>
        <v/>
      </c>
      <c r="AB11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3" s="3">
        <f>IF(tblOrdenes[[#This Row],[backlog_habiles]]="","",IF(tblOrdenes[[#This Row],[backlog_habiles]]&lt;0,"FUTURO",IF(tblOrdenes[[#This Row],[backlog_habiles]]&gt;p_dias_backlog_max,"BACKLOG","MES CORRIENTE")))</f>
        <v/>
      </c>
      <c r="AD1103" s="3">
        <f>IF(tblOrdenes[[#This Row],[backlog_habiles]]="",FALSE,AND(tblOrdenes[[#This Row],[backlog_habiles]]&gt;p_dias_backlog_min,tblOrdenes[[#This Row],[backlog_habiles]]&lt;=p_dias_backlog_max))</f>
        <v/>
      </c>
      <c r="AE1103" s="6" t="n"/>
      <c r="AF11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3" s="11">
        <f>IF(tblOrdenes[[#This Row],[orden]]="","",_xlfn.XLOOKUP(tblOrdenes[[#This Row],[id_operacion]],tblEjecucion[id_operacion],tblEjecucion[precio],0))</f>
        <v/>
      </c>
      <c r="AJ1103" s="11">
        <f>IF(tblOrdenes[[#This Row],[orden]]="","",MAX(0,_xlfn.XLOOKUP(tblOrdenes[[#This Row],[id_operacion]],tblEjecucion[id_operacion],tblEjecucion[costo_plan_total],0)-tblOrdenes[[#This Row],[costo_servicio]]))</f>
        <v/>
      </c>
      <c r="AK1103" s="11">
        <f>IF(tblOrdenes[[#This Row],[orden]]="","",tblOrdenes[[#This Row],[costo_servicio]]+tblOrdenes[[#This Row],[costo_materiales]])</f>
        <v/>
      </c>
      <c r="AL1103" s="6" t="n"/>
      <c r="AM1103" s="6" t="n"/>
      <c r="AN1103" s="6" t="n"/>
      <c r="AO1103" s="3">
        <f>IF(tblOrdenes[[#This Row],[link_checklist]]="","",HYPERLINK(p_ruta_base_checklists&amp;tblOrdenes[[#This Row],[link_checklist]],"abrir"))</f>
        <v/>
      </c>
      <c r="AP1103" s="6" t="n"/>
      <c r="AQ1103" s="3">
        <f>IF(tblOrdenes[[#This Row],[orden]]="","",tblOrdenes[[#This Row],[orden]]&amp;IF(tblOrdenes[[#This Row],[operacion]]="","0010",tblOrdenes[[#This Row],[operacion]]))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2" t="n"/>
      <c r="K1104" s="3" t="n"/>
      <c r="L1104" s="11" t="n"/>
      <c r="M11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4" s="3">
        <f>IF(tblOrdenes[[#This Row],[fecha_inicio]]="","",YEAR(tblOrdenes[[#This Row],[fecha_inicio]]))</f>
        <v/>
      </c>
      <c r="Q1104" s="3">
        <f>IF(tblOrdenes[[#This Row],[fecha_inicio]]="","",MONTH(tblOrdenes[[#This Row],[fecha_inicio]]))</f>
        <v/>
      </c>
      <c r="R1104" s="3">
        <f>IF(tblOrdenes[[#This Row],[fecha_inicio]]="","",INDEX(lista_dias,WEEKDAY(tblOrdenes[[#This Row],[fecha_inicio]],2)))</f>
        <v/>
      </c>
      <c r="S11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4" s="3">
        <f>IF(tblOrdenes[[#This Row],[tipo_ot]]="","",_xlfn.XLOOKUP(tblOrdenes[[#This Row],[tipo_ot]],tblTiposOT[codigo],tblTiposOT[clasificacion],"sin_clasificar"))</f>
        <v/>
      </c>
      <c r="U1104" s="3">
        <f>IF(tblOrdenes[[#This Row],[centro_costo]]="","",_xlfn.XLOOKUP(tblOrdenes[[#This Row],[centro_costo]],tblCECO[codigo],tblCECO[linea],"(sin catálogo)"))</f>
        <v/>
      </c>
      <c r="V1104" s="3">
        <f>IF(tblOrdenes[[#This Row],[centro_costo]]="","",_xlfn.XLOOKUP(tblOrdenes[[#This Row],[centro_costo]],tblCECO[codigo],tblCECO[area],"(sin catálogo)"))</f>
        <v/>
      </c>
      <c r="W11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4" s="3">
        <f>IF(tblOrdenes[[#This Row],[centro_costo]]="","",_xlfn.XLOOKUP(tblOrdenes[[#This Row],[centro_costo]],tblCECO[codigo],tblCECO[coordinador],"(sin catálogo)"))</f>
        <v/>
      </c>
      <c r="Y1104" s="3">
        <f>IF(tblOrdenes[[#This Row],[puesto_trabajo]]="","",_xlfn.XLOOKUP(tblOrdenes[[#This Row],[puesto_trabajo]],tblPuestos[codigo],tblPuestos[especialidad],"(sin catálogo)"))</f>
        <v/>
      </c>
      <c r="Z1104" s="3">
        <f>IF(tblOrdenes[[#This Row],[cod_actividad]]="","",_xlfn.XLOOKUP(tblOrdenes[[#This Row],[cod_actividad]],tblActividades[codigo],tblActividades[descripcion],"(sin catálogo)"))</f>
        <v/>
      </c>
      <c r="AA1104" s="13">
        <f>IF(tblOrdenes[[#This Row],[fecha_inicio]]="","",TODAY()-tblOrdenes[[#This Row],[fecha_inicio]])</f>
        <v/>
      </c>
      <c r="AB11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4" s="3">
        <f>IF(tblOrdenes[[#This Row],[backlog_habiles]]="","",IF(tblOrdenes[[#This Row],[backlog_habiles]]&lt;0,"FUTURO",IF(tblOrdenes[[#This Row],[backlog_habiles]]&gt;p_dias_backlog_max,"BACKLOG","MES CORRIENTE")))</f>
        <v/>
      </c>
      <c r="AD1104" s="3">
        <f>IF(tblOrdenes[[#This Row],[backlog_habiles]]="",FALSE,AND(tblOrdenes[[#This Row],[backlog_habiles]]&gt;p_dias_backlog_min,tblOrdenes[[#This Row],[backlog_habiles]]&lt;=p_dias_backlog_max))</f>
        <v/>
      </c>
      <c r="AE1104" s="6" t="n"/>
      <c r="AF11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4" s="11">
        <f>IF(tblOrdenes[[#This Row],[orden]]="","",_xlfn.XLOOKUP(tblOrdenes[[#This Row],[id_operacion]],tblEjecucion[id_operacion],tblEjecucion[precio],0))</f>
        <v/>
      </c>
      <c r="AJ1104" s="11">
        <f>IF(tblOrdenes[[#This Row],[orden]]="","",MAX(0,_xlfn.XLOOKUP(tblOrdenes[[#This Row],[id_operacion]],tblEjecucion[id_operacion],tblEjecucion[costo_plan_total],0)-tblOrdenes[[#This Row],[costo_servicio]]))</f>
        <v/>
      </c>
      <c r="AK1104" s="11">
        <f>IF(tblOrdenes[[#This Row],[orden]]="","",tblOrdenes[[#This Row],[costo_servicio]]+tblOrdenes[[#This Row],[costo_materiales]])</f>
        <v/>
      </c>
      <c r="AL1104" s="6" t="n"/>
      <c r="AM1104" s="6" t="n"/>
      <c r="AN1104" s="6" t="n"/>
      <c r="AO1104" s="3">
        <f>IF(tblOrdenes[[#This Row],[link_checklist]]="","",HYPERLINK(p_ruta_base_checklists&amp;tblOrdenes[[#This Row],[link_checklist]],"abrir"))</f>
        <v/>
      </c>
      <c r="AP1104" s="6" t="n"/>
      <c r="AQ1104" s="3">
        <f>IF(tblOrdenes[[#This Row],[orden]]="","",tblOrdenes[[#This Row],[orden]]&amp;IF(tblOrdenes[[#This Row],[operacion]]="","0010",tblOrdenes[[#This Row],[operacion]]))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2" t="n"/>
      <c r="K1105" s="3" t="n"/>
      <c r="L1105" s="11" t="n"/>
      <c r="M11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5" s="3">
        <f>IF(tblOrdenes[[#This Row],[fecha_inicio]]="","",YEAR(tblOrdenes[[#This Row],[fecha_inicio]]))</f>
        <v/>
      </c>
      <c r="Q1105" s="3">
        <f>IF(tblOrdenes[[#This Row],[fecha_inicio]]="","",MONTH(tblOrdenes[[#This Row],[fecha_inicio]]))</f>
        <v/>
      </c>
      <c r="R1105" s="3">
        <f>IF(tblOrdenes[[#This Row],[fecha_inicio]]="","",INDEX(lista_dias,WEEKDAY(tblOrdenes[[#This Row],[fecha_inicio]],2)))</f>
        <v/>
      </c>
      <c r="S11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5" s="3">
        <f>IF(tblOrdenes[[#This Row],[tipo_ot]]="","",_xlfn.XLOOKUP(tblOrdenes[[#This Row],[tipo_ot]],tblTiposOT[codigo],tblTiposOT[clasificacion],"sin_clasificar"))</f>
        <v/>
      </c>
      <c r="U1105" s="3">
        <f>IF(tblOrdenes[[#This Row],[centro_costo]]="","",_xlfn.XLOOKUP(tblOrdenes[[#This Row],[centro_costo]],tblCECO[codigo],tblCECO[linea],"(sin catálogo)"))</f>
        <v/>
      </c>
      <c r="V1105" s="3">
        <f>IF(tblOrdenes[[#This Row],[centro_costo]]="","",_xlfn.XLOOKUP(tblOrdenes[[#This Row],[centro_costo]],tblCECO[codigo],tblCECO[area],"(sin catálogo)"))</f>
        <v/>
      </c>
      <c r="W11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5" s="3">
        <f>IF(tblOrdenes[[#This Row],[centro_costo]]="","",_xlfn.XLOOKUP(tblOrdenes[[#This Row],[centro_costo]],tblCECO[codigo],tblCECO[coordinador],"(sin catálogo)"))</f>
        <v/>
      </c>
      <c r="Y1105" s="3">
        <f>IF(tblOrdenes[[#This Row],[puesto_trabajo]]="","",_xlfn.XLOOKUP(tblOrdenes[[#This Row],[puesto_trabajo]],tblPuestos[codigo],tblPuestos[especialidad],"(sin catálogo)"))</f>
        <v/>
      </c>
      <c r="Z1105" s="3">
        <f>IF(tblOrdenes[[#This Row],[cod_actividad]]="","",_xlfn.XLOOKUP(tblOrdenes[[#This Row],[cod_actividad]],tblActividades[codigo],tblActividades[descripcion],"(sin catálogo)"))</f>
        <v/>
      </c>
      <c r="AA1105" s="13">
        <f>IF(tblOrdenes[[#This Row],[fecha_inicio]]="","",TODAY()-tblOrdenes[[#This Row],[fecha_inicio]])</f>
        <v/>
      </c>
      <c r="AB11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5" s="3">
        <f>IF(tblOrdenes[[#This Row],[backlog_habiles]]="","",IF(tblOrdenes[[#This Row],[backlog_habiles]]&lt;0,"FUTURO",IF(tblOrdenes[[#This Row],[backlog_habiles]]&gt;p_dias_backlog_max,"BACKLOG","MES CORRIENTE")))</f>
        <v/>
      </c>
      <c r="AD1105" s="3">
        <f>IF(tblOrdenes[[#This Row],[backlog_habiles]]="",FALSE,AND(tblOrdenes[[#This Row],[backlog_habiles]]&gt;p_dias_backlog_min,tblOrdenes[[#This Row],[backlog_habiles]]&lt;=p_dias_backlog_max))</f>
        <v/>
      </c>
      <c r="AE1105" s="6" t="n"/>
      <c r="AF11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5" s="11">
        <f>IF(tblOrdenes[[#This Row],[orden]]="","",_xlfn.XLOOKUP(tblOrdenes[[#This Row],[id_operacion]],tblEjecucion[id_operacion],tblEjecucion[precio],0))</f>
        <v/>
      </c>
      <c r="AJ1105" s="11">
        <f>IF(tblOrdenes[[#This Row],[orden]]="","",MAX(0,_xlfn.XLOOKUP(tblOrdenes[[#This Row],[id_operacion]],tblEjecucion[id_operacion],tblEjecucion[costo_plan_total],0)-tblOrdenes[[#This Row],[costo_servicio]]))</f>
        <v/>
      </c>
      <c r="AK1105" s="11">
        <f>IF(tblOrdenes[[#This Row],[orden]]="","",tblOrdenes[[#This Row],[costo_servicio]]+tblOrdenes[[#This Row],[costo_materiales]])</f>
        <v/>
      </c>
      <c r="AL1105" s="6" t="n"/>
      <c r="AM1105" s="6" t="n"/>
      <c r="AN1105" s="6" t="n"/>
      <c r="AO1105" s="3">
        <f>IF(tblOrdenes[[#This Row],[link_checklist]]="","",HYPERLINK(p_ruta_base_checklists&amp;tblOrdenes[[#This Row],[link_checklist]],"abrir"))</f>
        <v/>
      </c>
      <c r="AP1105" s="6" t="n"/>
      <c r="AQ1105" s="3">
        <f>IF(tblOrdenes[[#This Row],[orden]]="","",tblOrdenes[[#This Row],[orden]]&amp;IF(tblOrdenes[[#This Row],[operacion]]="","0010",tblOrdenes[[#This Row],[operacion]]))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2" t="n"/>
      <c r="K1106" s="3" t="n"/>
      <c r="L1106" s="11" t="n"/>
      <c r="M11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6" s="3">
        <f>IF(tblOrdenes[[#This Row],[fecha_inicio]]="","",YEAR(tblOrdenes[[#This Row],[fecha_inicio]]))</f>
        <v/>
      </c>
      <c r="Q1106" s="3">
        <f>IF(tblOrdenes[[#This Row],[fecha_inicio]]="","",MONTH(tblOrdenes[[#This Row],[fecha_inicio]]))</f>
        <v/>
      </c>
      <c r="R1106" s="3">
        <f>IF(tblOrdenes[[#This Row],[fecha_inicio]]="","",INDEX(lista_dias,WEEKDAY(tblOrdenes[[#This Row],[fecha_inicio]],2)))</f>
        <v/>
      </c>
      <c r="S11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6" s="3">
        <f>IF(tblOrdenes[[#This Row],[tipo_ot]]="","",_xlfn.XLOOKUP(tblOrdenes[[#This Row],[tipo_ot]],tblTiposOT[codigo],tblTiposOT[clasificacion],"sin_clasificar"))</f>
        <v/>
      </c>
      <c r="U1106" s="3">
        <f>IF(tblOrdenes[[#This Row],[centro_costo]]="","",_xlfn.XLOOKUP(tblOrdenes[[#This Row],[centro_costo]],tblCECO[codigo],tblCECO[linea],"(sin catálogo)"))</f>
        <v/>
      </c>
      <c r="V1106" s="3">
        <f>IF(tblOrdenes[[#This Row],[centro_costo]]="","",_xlfn.XLOOKUP(tblOrdenes[[#This Row],[centro_costo]],tblCECO[codigo],tblCECO[area],"(sin catálogo)"))</f>
        <v/>
      </c>
      <c r="W11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6" s="3">
        <f>IF(tblOrdenes[[#This Row],[centro_costo]]="","",_xlfn.XLOOKUP(tblOrdenes[[#This Row],[centro_costo]],tblCECO[codigo],tblCECO[coordinador],"(sin catálogo)"))</f>
        <v/>
      </c>
      <c r="Y1106" s="3">
        <f>IF(tblOrdenes[[#This Row],[puesto_trabajo]]="","",_xlfn.XLOOKUP(tblOrdenes[[#This Row],[puesto_trabajo]],tblPuestos[codigo],tblPuestos[especialidad],"(sin catálogo)"))</f>
        <v/>
      </c>
      <c r="Z1106" s="3">
        <f>IF(tblOrdenes[[#This Row],[cod_actividad]]="","",_xlfn.XLOOKUP(tblOrdenes[[#This Row],[cod_actividad]],tblActividades[codigo],tblActividades[descripcion],"(sin catálogo)"))</f>
        <v/>
      </c>
      <c r="AA1106" s="13">
        <f>IF(tblOrdenes[[#This Row],[fecha_inicio]]="","",TODAY()-tblOrdenes[[#This Row],[fecha_inicio]])</f>
        <v/>
      </c>
      <c r="AB11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6" s="3">
        <f>IF(tblOrdenes[[#This Row],[backlog_habiles]]="","",IF(tblOrdenes[[#This Row],[backlog_habiles]]&lt;0,"FUTURO",IF(tblOrdenes[[#This Row],[backlog_habiles]]&gt;p_dias_backlog_max,"BACKLOG","MES CORRIENTE")))</f>
        <v/>
      </c>
      <c r="AD1106" s="3">
        <f>IF(tblOrdenes[[#This Row],[backlog_habiles]]="",FALSE,AND(tblOrdenes[[#This Row],[backlog_habiles]]&gt;p_dias_backlog_min,tblOrdenes[[#This Row],[backlog_habiles]]&lt;=p_dias_backlog_max))</f>
        <v/>
      </c>
      <c r="AE1106" s="6" t="n"/>
      <c r="AF11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6" s="11">
        <f>IF(tblOrdenes[[#This Row],[orden]]="","",_xlfn.XLOOKUP(tblOrdenes[[#This Row],[id_operacion]],tblEjecucion[id_operacion],tblEjecucion[precio],0))</f>
        <v/>
      </c>
      <c r="AJ1106" s="11">
        <f>IF(tblOrdenes[[#This Row],[orden]]="","",MAX(0,_xlfn.XLOOKUP(tblOrdenes[[#This Row],[id_operacion]],tblEjecucion[id_operacion],tblEjecucion[costo_plan_total],0)-tblOrdenes[[#This Row],[costo_servicio]]))</f>
        <v/>
      </c>
      <c r="AK1106" s="11">
        <f>IF(tblOrdenes[[#This Row],[orden]]="","",tblOrdenes[[#This Row],[costo_servicio]]+tblOrdenes[[#This Row],[costo_materiales]])</f>
        <v/>
      </c>
      <c r="AL1106" s="6" t="n"/>
      <c r="AM1106" s="6" t="n"/>
      <c r="AN1106" s="6" t="n"/>
      <c r="AO1106" s="3">
        <f>IF(tblOrdenes[[#This Row],[link_checklist]]="","",HYPERLINK(p_ruta_base_checklists&amp;tblOrdenes[[#This Row],[link_checklist]],"abrir"))</f>
        <v/>
      </c>
      <c r="AP1106" s="6" t="n"/>
      <c r="AQ1106" s="3">
        <f>IF(tblOrdenes[[#This Row],[orden]]="","",tblOrdenes[[#This Row],[orden]]&amp;IF(tblOrdenes[[#This Row],[operacion]]="","0010",tblOrdenes[[#This Row],[operacion]]))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2" t="n"/>
      <c r="K1107" s="3" t="n"/>
      <c r="L1107" s="11" t="n"/>
      <c r="M11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7" s="3">
        <f>IF(tblOrdenes[[#This Row],[fecha_inicio]]="","",YEAR(tblOrdenes[[#This Row],[fecha_inicio]]))</f>
        <v/>
      </c>
      <c r="Q1107" s="3">
        <f>IF(tblOrdenes[[#This Row],[fecha_inicio]]="","",MONTH(tblOrdenes[[#This Row],[fecha_inicio]]))</f>
        <v/>
      </c>
      <c r="R1107" s="3">
        <f>IF(tblOrdenes[[#This Row],[fecha_inicio]]="","",INDEX(lista_dias,WEEKDAY(tblOrdenes[[#This Row],[fecha_inicio]],2)))</f>
        <v/>
      </c>
      <c r="S11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7" s="3">
        <f>IF(tblOrdenes[[#This Row],[tipo_ot]]="","",_xlfn.XLOOKUP(tblOrdenes[[#This Row],[tipo_ot]],tblTiposOT[codigo],tblTiposOT[clasificacion],"sin_clasificar"))</f>
        <v/>
      </c>
      <c r="U1107" s="3">
        <f>IF(tblOrdenes[[#This Row],[centro_costo]]="","",_xlfn.XLOOKUP(tblOrdenes[[#This Row],[centro_costo]],tblCECO[codigo],tblCECO[linea],"(sin catálogo)"))</f>
        <v/>
      </c>
      <c r="V1107" s="3">
        <f>IF(tblOrdenes[[#This Row],[centro_costo]]="","",_xlfn.XLOOKUP(tblOrdenes[[#This Row],[centro_costo]],tblCECO[codigo],tblCECO[area],"(sin catálogo)"))</f>
        <v/>
      </c>
      <c r="W11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7" s="3">
        <f>IF(tblOrdenes[[#This Row],[centro_costo]]="","",_xlfn.XLOOKUP(tblOrdenes[[#This Row],[centro_costo]],tblCECO[codigo],tblCECO[coordinador],"(sin catálogo)"))</f>
        <v/>
      </c>
      <c r="Y1107" s="3">
        <f>IF(tblOrdenes[[#This Row],[puesto_trabajo]]="","",_xlfn.XLOOKUP(tblOrdenes[[#This Row],[puesto_trabajo]],tblPuestos[codigo],tblPuestos[especialidad],"(sin catálogo)"))</f>
        <v/>
      </c>
      <c r="Z1107" s="3">
        <f>IF(tblOrdenes[[#This Row],[cod_actividad]]="","",_xlfn.XLOOKUP(tblOrdenes[[#This Row],[cod_actividad]],tblActividades[codigo],tblActividades[descripcion],"(sin catálogo)"))</f>
        <v/>
      </c>
      <c r="AA1107" s="13">
        <f>IF(tblOrdenes[[#This Row],[fecha_inicio]]="","",TODAY()-tblOrdenes[[#This Row],[fecha_inicio]])</f>
        <v/>
      </c>
      <c r="AB11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7" s="3">
        <f>IF(tblOrdenes[[#This Row],[backlog_habiles]]="","",IF(tblOrdenes[[#This Row],[backlog_habiles]]&lt;0,"FUTURO",IF(tblOrdenes[[#This Row],[backlog_habiles]]&gt;p_dias_backlog_max,"BACKLOG","MES CORRIENTE")))</f>
        <v/>
      </c>
      <c r="AD1107" s="3">
        <f>IF(tblOrdenes[[#This Row],[backlog_habiles]]="",FALSE,AND(tblOrdenes[[#This Row],[backlog_habiles]]&gt;p_dias_backlog_min,tblOrdenes[[#This Row],[backlog_habiles]]&lt;=p_dias_backlog_max))</f>
        <v/>
      </c>
      <c r="AE1107" s="6" t="n"/>
      <c r="AF11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7" s="11">
        <f>IF(tblOrdenes[[#This Row],[orden]]="","",_xlfn.XLOOKUP(tblOrdenes[[#This Row],[id_operacion]],tblEjecucion[id_operacion],tblEjecucion[precio],0))</f>
        <v/>
      </c>
      <c r="AJ1107" s="11">
        <f>IF(tblOrdenes[[#This Row],[orden]]="","",MAX(0,_xlfn.XLOOKUP(tblOrdenes[[#This Row],[id_operacion]],tblEjecucion[id_operacion],tblEjecucion[costo_plan_total],0)-tblOrdenes[[#This Row],[costo_servicio]]))</f>
        <v/>
      </c>
      <c r="AK1107" s="11">
        <f>IF(tblOrdenes[[#This Row],[orden]]="","",tblOrdenes[[#This Row],[costo_servicio]]+tblOrdenes[[#This Row],[costo_materiales]])</f>
        <v/>
      </c>
      <c r="AL1107" s="6" t="n"/>
      <c r="AM1107" s="6" t="n"/>
      <c r="AN1107" s="6" t="n"/>
      <c r="AO1107" s="3">
        <f>IF(tblOrdenes[[#This Row],[link_checklist]]="","",HYPERLINK(p_ruta_base_checklists&amp;tblOrdenes[[#This Row],[link_checklist]],"abrir"))</f>
        <v/>
      </c>
      <c r="AP1107" s="6" t="n"/>
      <c r="AQ1107" s="3">
        <f>IF(tblOrdenes[[#This Row],[orden]]="","",tblOrdenes[[#This Row],[orden]]&amp;IF(tblOrdenes[[#This Row],[operacion]]="","0010",tblOrdenes[[#This Row],[operacion]]))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2" t="n"/>
      <c r="K1108" s="3" t="n"/>
      <c r="L1108" s="11" t="n"/>
      <c r="M11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8" s="3">
        <f>IF(tblOrdenes[[#This Row],[fecha_inicio]]="","",YEAR(tblOrdenes[[#This Row],[fecha_inicio]]))</f>
        <v/>
      </c>
      <c r="Q1108" s="3">
        <f>IF(tblOrdenes[[#This Row],[fecha_inicio]]="","",MONTH(tblOrdenes[[#This Row],[fecha_inicio]]))</f>
        <v/>
      </c>
      <c r="R1108" s="3">
        <f>IF(tblOrdenes[[#This Row],[fecha_inicio]]="","",INDEX(lista_dias,WEEKDAY(tblOrdenes[[#This Row],[fecha_inicio]],2)))</f>
        <v/>
      </c>
      <c r="S11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8" s="3">
        <f>IF(tblOrdenes[[#This Row],[tipo_ot]]="","",_xlfn.XLOOKUP(tblOrdenes[[#This Row],[tipo_ot]],tblTiposOT[codigo],tblTiposOT[clasificacion],"sin_clasificar"))</f>
        <v/>
      </c>
      <c r="U1108" s="3">
        <f>IF(tblOrdenes[[#This Row],[centro_costo]]="","",_xlfn.XLOOKUP(tblOrdenes[[#This Row],[centro_costo]],tblCECO[codigo],tblCECO[linea],"(sin catálogo)"))</f>
        <v/>
      </c>
      <c r="V1108" s="3">
        <f>IF(tblOrdenes[[#This Row],[centro_costo]]="","",_xlfn.XLOOKUP(tblOrdenes[[#This Row],[centro_costo]],tblCECO[codigo],tblCECO[area],"(sin catálogo)"))</f>
        <v/>
      </c>
      <c r="W11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8" s="3">
        <f>IF(tblOrdenes[[#This Row],[centro_costo]]="","",_xlfn.XLOOKUP(tblOrdenes[[#This Row],[centro_costo]],tblCECO[codigo],tblCECO[coordinador],"(sin catálogo)"))</f>
        <v/>
      </c>
      <c r="Y1108" s="3">
        <f>IF(tblOrdenes[[#This Row],[puesto_trabajo]]="","",_xlfn.XLOOKUP(tblOrdenes[[#This Row],[puesto_trabajo]],tblPuestos[codigo],tblPuestos[especialidad],"(sin catálogo)"))</f>
        <v/>
      </c>
      <c r="Z1108" s="3">
        <f>IF(tblOrdenes[[#This Row],[cod_actividad]]="","",_xlfn.XLOOKUP(tblOrdenes[[#This Row],[cod_actividad]],tblActividades[codigo],tblActividades[descripcion],"(sin catálogo)"))</f>
        <v/>
      </c>
      <c r="AA1108" s="13">
        <f>IF(tblOrdenes[[#This Row],[fecha_inicio]]="","",TODAY()-tblOrdenes[[#This Row],[fecha_inicio]])</f>
        <v/>
      </c>
      <c r="AB11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8" s="3">
        <f>IF(tblOrdenes[[#This Row],[backlog_habiles]]="","",IF(tblOrdenes[[#This Row],[backlog_habiles]]&lt;0,"FUTURO",IF(tblOrdenes[[#This Row],[backlog_habiles]]&gt;p_dias_backlog_max,"BACKLOG","MES CORRIENTE")))</f>
        <v/>
      </c>
      <c r="AD1108" s="3">
        <f>IF(tblOrdenes[[#This Row],[backlog_habiles]]="",FALSE,AND(tblOrdenes[[#This Row],[backlog_habiles]]&gt;p_dias_backlog_min,tblOrdenes[[#This Row],[backlog_habiles]]&lt;=p_dias_backlog_max))</f>
        <v/>
      </c>
      <c r="AE1108" s="6" t="n"/>
      <c r="AF11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8" s="11">
        <f>IF(tblOrdenes[[#This Row],[orden]]="","",_xlfn.XLOOKUP(tblOrdenes[[#This Row],[id_operacion]],tblEjecucion[id_operacion],tblEjecucion[precio],0))</f>
        <v/>
      </c>
      <c r="AJ1108" s="11">
        <f>IF(tblOrdenes[[#This Row],[orden]]="","",MAX(0,_xlfn.XLOOKUP(tblOrdenes[[#This Row],[id_operacion]],tblEjecucion[id_operacion],tblEjecucion[costo_plan_total],0)-tblOrdenes[[#This Row],[costo_servicio]]))</f>
        <v/>
      </c>
      <c r="AK1108" s="11">
        <f>IF(tblOrdenes[[#This Row],[orden]]="","",tblOrdenes[[#This Row],[costo_servicio]]+tblOrdenes[[#This Row],[costo_materiales]])</f>
        <v/>
      </c>
      <c r="AL1108" s="6" t="n"/>
      <c r="AM1108" s="6" t="n"/>
      <c r="AN1108" s="6" t="n"/>
      <c r="AO1108" s="3">
        <f>IF(tblOrdenes[[#This Row],[link_checklist]]="","",HYPERLINK(p_ruta_base_checklists&amp;tblOrdenes[[#This Row],[link_checklist]],"abrir"))</f>
        <v/>
      </c>
      <c r="AP1108" s="6" t="n"/>
      <c r="AQ1108" s="3">
        <f>IF(tblOrdenes[[#This Row],[orden]]="","",tblOrdenes[[#This Row],[orden]]&amp;IF(tblOrdenes[[#This Row],[operacion]]="","0010",tblOrdenes[[#This Row],[operacion]]))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2" t="n"/>
      <c r="K1109" s="3" t="n"/>
      <c r="L1109" s="11" t="n"/>
      <c r="M11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9" s="3">
        <f>IF(tblOrdenes[[#This Row],[fecha_inicio]]="","",YEAR(tblOrdenes[[#This Row],[fecha_inicio]]))</f>
        <v/>
      </c>
      <c r="Q1109" s="3">
        <f>IF(tblOrdenes[[#This Row],[fecha_inicio]]="","",MONTH(tblOrdenes[[#This Row],[fecha_inicio]]))</f>
        <v/>
      </c>
      <c r="R1109" s="3">
        <f>IF(tblOrdenes[[#This Row],[fecha_inicio]]="","",INDEX(lista_dias,WEEKDAY(tblOrdenes[[#This Row],[fecha_inicio]],2)))</f>
        <v/>
      </c>
      <c r="S11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9" s="3">
        <f>IF(tblOrdenes[[#This Row],[tipo_ot]]="","",_xlfn.XLOOKUP(tblOrdenes[[#This Row],[tipo_ot]],tblTiposOT[codigo],tblTiposOT[clasificacion],"sin_clasificar"))</f>
        <v/>
      </c>
      <c r="U1109" s="3">
        <f>IF(tblOrdenes[[#This Row],[centro_costo]]="","",_xlfn.XLOOKUP(tblOrdenes[[#This Row],[centro_costo]],tblCECO[codigo],tblCECO[linea],"(sin catálogo)"))</f>
        <v/>
      </c>
      <c r="V1109" s="3">
        <f>IF(tblOrdenes[[#This Row],[centro_costo]]="","",_xlfn.XLOOKUP(tblOrdenes[[#This Row],[centro_costo]],tblCECO[codigo],tblCECO[area],"(sin catálogo)"))</f>
        <v/>
      </c>
      <c r="W11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9" s="3">
        <f>IF(tblOrdenes[[#This Row],[centro_costo]]="","",_xlfn.XLOOKUP(tblOrdenes[[#This Row],[centro_costo]],tblCECO[codigo],tblCECO[coordinador],"(sin catálogo)"))</f>
        <v/>
      </c>
      <c r="Y1109" s="3">
        <f>IF(tblOrdenes[[#This Row],[puesto_trabajo]]="","",_xlfn.XLOOKUP(tblOrdenes[[#This Row],[puesto_trabajo]],tblPuestos[codigo],tblPuestos[especialidad],"(sin catálogo)"))</f>
        <v/>
      </c>
      <c r="Z1109" s="3">
        <f>IF(tblOrdenes[[#This Row],[cod_actividad]]="","",_xlfn.XLOOKUP(tblOrdenes[[#This Row],[cod_actividad]],tblActividades[codigo],tblActividades[descripcion],"(sin catálogo)"))</f>
        <v/>
      </c>
      <c r="AA1109" s="13">
        <f>IF(tblOrdenes[[#This Row],[fecha_inicio]]="","",TODAY()-tblOrdenes[[#This Row],[fecha_inicio]])</f>
        <v/>
      </c>
      <c r="AB11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9" s="3">
        <f>IF(tblOrdenes[[#This Row],[backlog_habiles]]="","",IF(tblOrdenes[[#This Row],[backlog_habiles]]&lt;0,"FUTURO",IF(tblOrdenes[[#This Row],[backlog_habiles]]&gt;p_dias_backlog_max,"BACKLOG","MES CORRIENTE")))</f>
        <v/>
      </c>
      <c r="AD1109" s="3">
        <f>IF(tblOrdenes[[#This Row],[backlog_habiles]]="",FALSE,AND(tblOrdenes[[#This Row],[backlog_habiles]]&gt;p_dias_backlog_min,tblOrdenes[[#This Row],[backlog_habiles]]&lt;=p_dias_backlog_max))</f>
        <v/>
      </c>
      <c r="AE1109" s="6" t="n"/>
      <c r="AF11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9" s="11">
        <f>IF(tblOrdenes[[#This Row],[orden]]="","",_xlfn.XLOOKUP(tblOrdenes[[#This Row],[id_operacion]],tblEjecucion[id_operacion],tblEjecucion[precio],0))</f>
        <v/>
      </c>
      <c r="AJ1109" s="11">
        <f>IF(tblOrdenes[[#This Row],[orden]]="","",MAX(0,_xlfn.XLOOKUP(tblOrdenes[[#This Row],[id_operacion]],tblEjecucion[id_operacion],tblEjecucion[costo_plan_total],0)-tblOrdenes[[#This Row],[costo_servicio]]))</f>
        <v/>
      </c>
      <c r="AK1109" s="11">
        <f>IF(tblOrdenes[[#This Row],[orden]]="","",tblOrdenes[[#This Row],[costo_servicio]]+tblOrdenes[[#This Row],[costo_materiales]])</f>
        <v/>
      </c>
      <c r="AL1109" s="6" t="n"/>
      <c r="AM1109" s="6" t="n"/>
      <c r="AN1109" s="6" t="n"/>
      <c r="AO1109" s="3">
        <f>IF(tblOrdenes[[#This Row],[link_checklist]]="","",HYPERLINK(p_ruta_base_checklists&amp;tblOrdenes[[#This Row],[link_checklist]],"abrir"))</f>
        <v/>
      </c>
      <c r="AP1109" s="6" t="n"/>
      <c r="AQ1109" s="3">
        <f>IF(tblOrdenes[[#This Row],[orden]]="","",tblOrdenes[[#This Row],[orden]]&amp;IF(tblOrdenes[[#This Row],[operacion]]="","0010",tblOrdenes[[#This Row],[operacion]]))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2" t="n"/>
      <c r="K1110" s="3" t="n"/>
      <c r="L1110" s="11" t="n"/>
      <c r="M11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0" s="3">
        <f>IF(tblOrdenes[[#This Row],[fecha_inicio]]="","",YEAR(tblOrdenes[[#This Row],[fecha_inicio]]))</f>
        <v/>
      </c>
      <c r="Q1110" s="3">
        <f>IF(tblOrdenes[[#This Row],[fecha_inicio]]="","",MONTH(tblOrdenes[[#This Row],[fecha_inicio]]))</f>
        <v/>
      </c>
      <c r="R1110" s="3">
        <f>IF(tblOrdenes[[#This Row],[fecha_inicio]]="","",INDEX(lista_dias,WEEKDAY(tblOrdenes[[#This Row],[fecha_inicio]],2)))</f>
        <v/>
      </c>
      <c r="S11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0" s="3">
        <f>IF(tblOrdenes[[#This Row],[tipo_ot]]="","",_xlfn.XLOOKUP(tblOrdenes[[#This Row],[tipo_ot]],tblTiposOT[codigo],tblTiposOT[clasificacion],"sin_clasificar"))</f>
        <v/>
      </c>
      <c r="U1110" s="3">
        <f>IF(tblOrdenes[[#This Row],[centro_costo]]="","",_xlfn.XLOOKUP(tblOrdenes[[#This Row],[centro_costo]],tblCECO[codigo],tblCECO[linea],"(sin catálogo)"))</f>
        <v/>
      </c>
      <c r="V1110" s="3">
        <f>IF(tblOrdenes[[#This Row],[centro_costo]]="","",_xlfn.XLOOKUP(tblOrdenes[[#This Row],[centro_costo]],tblCECO[codigo],tblCECO[area],"(sin catálogo)"))</f>
        <v/>
      </c>
      <c r="W11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0" s="3">
        <f>IF(tblOrdenes[[#This Row],[centro_costo]]="","",_xlfn.XLOOKUP(tblOrdenes[[#This Row],[centro_costo]],tblCECO[codigo],tblCECO[coordinador],"(sin catálogo)"))</f>
        <v/>
      </c>
      <c r="Y1110" s="3">
        <f>IF(tblOrdenes[[#This Row],[puesto_trabajo]]="","",_xlfn.XLOOKUP(tblOrdenes[[#This Row],[puesto_trabajo]],tblPuestos[codigo],tblPuestos[especialidad],"(sin catálogo)"))</f>
        <v/>
      </c>
      <c r="Z1110" s="3">
        <f>IF(tblOrdenes[[#This Row],[cod_actividad]]="","",_xlfn.XLOOKUP(tblOrdenes[[#This Row],[cod_actividad]],tblActividades[codigo],tblActividades[descripcion],"(sin catálogo)"))</f>
        <v/>
      </c>
      <c r="AA1110" s="13">
        <f>IF(tblOrdenes[[#This Row],[fecha_inicio]]="","",TODAY()-tblOrdenes[[#This Row],[fecha_inicio]])</f>
        <v/>
      </c>
      <c r="AB11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0" s="3">
        <f>IF(tblOrdenes[[#This Row],[backlog_habiles]]="","",IF(tblOrdenes[[#This Row],[backlog_habiles]]&lt;0,"FUTURO",IF(tblOrdenes[[#This Row],[backlog_habiles]]&gt;p_dias_backlog_max,"BACKLOG","MES CORRIENTE")))</f>
        <v/>
      </c>
      <c r="AD1110" s="3">
        <f>IF(tblOrdenes[[#This Row],[backlog_habiles]]="",FALSE,AND(tblOrdenes[[#This Row],[backlog_habiles]]&gt;p_dias_backlog_min,tblOrdenes[[#This Row],[backlog_habiles]]&lt;=p_dias_backlog_max))</f>
        <v/>
      </c>
      <c r="AE1110" s="6" t="n"/>
      <c r="AF11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0" s="11">
        <f>IF(tblOrdenes[[#This Row],[orden]]="","",_xlfn.XLOOKUP(tblOrdenes[[#This Row],[id_operacion]],tblEjecucion[id_operacion],tblEjecucion[precio],0))</f>
        <v/>
      </c>
      <c r="AJ1110" s="11">
        <f>IF(tblOrdenes[[#This Row],[orden]]="","",MAX(0,_xlfn.XLOOKUP(tblOrdenes[[#This Row],[id_operacion]],tblEjecucion[id_operacion],tblEjecucion[costo_plan_total],0)-tblOrdenes[[#This Row],[costo_servicio]]))</f>
        <v/>
      </c>
      <c r="AK1110" s="11">
        <f>IF(tblOrdenes[[#This Row],[orden]]="","",tblOrdenes[[#This Row],[costo_servicio]]+tblOrdenes[[#This Row],[costo_materiales]])</f>
        <v/>
      </c>
      <c r="AL1110" s="6" t="n"/>
      <c r="AM1110" s="6" t="n"/>
      <c r="AN1110" s="6" t="n"/>
      <c r="AO1110" s="3">
        <f>IF(tblOrdenes[[#This Row],[link_checklist]]="","",HYPERLINK(p_ruta_base_checklists&amp;tblOrdenes[[#This Row],[link_checklist]],"abrir"))</f>
        <v/>
      </c>
      <c r="AP1110" s="6" t="n"/>
      <c r="AQ1110" s="3">
        <f>IF(tblOrdenes[[#This Row],[orden]]="","",tblOrdenes[[#This Row],[orden]]&amp;IF(tblOrdenes[[#This Row],[operacion]]="","0010",tblOrdenes[[#This Row],[operacion]]))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2" t="n"/>
      <c r="K1111" s="3" t="n"/>
      <c r="L1111" s="11" t="n"/>
      <c r="M11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1" s="3">
        <f>IF(tblOrdenes[[#This Row],[fecha_inicio]]="","",YEAR(tblOrdenes[[#This Row],[fecha_inicio]]))</f>
        <v/>
      </c>
      <c r="Q1111" s="3">
        <f>IF(tblOrdenes[[#This Row],[fecha_inicio]]="","",MONTH(tblOrdenes[[#This Row],[fecha_inicio]]))</f>
        <v/>
      </c>
      <c r="R1111" s="3">
        <f>IF(tblOrdenes[[#This Row],[fecha_inicio]]="","",INDEX(lista_dias,WEEKDAY(tblOrdenes[[#This Row],[fecha_inicio]],2)))</f>
        <v/>
      </c>
      <c r="S11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1" s="3">
        <f>IF(tblOrdenes[[#This Row],[tipo_ot]]="","",_xlfn.XLOOKUP(tblOrdenes[[#This Row],[tipo_ot]],tblTiposOT[codigo],tblTiposOT[clasificacion],"sin_clasificar"))</f>
        <v/>
      </c>
      <c r="U1111" s="3">
        <f>IF(tblOrdenes[[#This Row],[centro_costo]]="","",_xlfn.XLOOKUP(tblOrdenes[[#This Row],[centro_costo]],tblCECO[codigo],tblCECO[linea],"(sin catálogo)"))</f>
        <v/>
      </c>
      <c r="V1111" s="3">
        <f>IF(tblOrdenes[[#This Row],[centro_costo]]="","",_xlfn.XLOOKUP(tblOrdenes[[#This Row],[centro_costo]],tblCECO[codigo],tblCECO[area],"(sin catálogo)"))</f>
        <v/>
      </c>
      <c r="W11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1" s="3">
        <f>IF(tblOrdenes[[#This Row],[centro_costo]]="","",_xlfn.XLOOKUP(tblOrdenes[[#This Row],[centro_costo]],tblCECO[codigo],tblCECO[coordinador],"(sin catálogo)"))</f>
        <v/>
      </c>
      <c r="Y1111" s="3">
        <f>IF(tblOrdenes[[#This Row],[puesto_trabajo]]="","",_xlfn.XLOOKUP(tblOrdenes[[#This Row],[puesto_trabajo]],tblPuestos[codigo],tblPuestos[especialidad],"(sin catálogo)"))</f>
        <v/>
      </c>
      <c r="Z1111" s="3">
        <f>IF(tblOrdenes[[#This Row],[cod_actividad]]="","",_xlfn.XLOOKUP(tblOrdenes[[#This Row],[cod_actividad]],tblActividades[codigo],tblActividades[descripcion],"(sin catálogo)"))</f>
        <v/>
      </c>
      <c r="AA1111" s="13">
        <f>IF(tblOrdenes[[#This Row],[fecha_inicio]]="","",TODAY()-tblOrdenes[[#This Row],[fecha_inicio]])</f>
        <v/>
      </c>
      <c r="AB11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1" s="3">
        <f>IF(tblOrdenes[[#This Row],[backlog_habiles]]="","",IF(tblOrdenes[[#This Row],[backlog_habiles]]&lt;0,"FUTURO",IF(tblOrdenes[[#This Row],[backlog_habiles]]&gt;p_dias_backlog_max,"BACKLOG","MES CORRIENTE")))</f>
        <v/>
      </c>
      <c r="AD1111" s="3">
        <f>IF(tblOrdenes[[#This Row],[backlog_habiles]]="",FALSE,AND(tblOrdenes[[#This Row],[backlog_habiles]]&gt;p_dias_backlog_min,tblOrdenes[[#This Row],[backlog_habiles]]&lt;=p_dias_backlog_max))</f>
        <v/>
      </c>
      <c r="AE1111" s="6" t="n"/>
      <c r="AF11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1" s="11">
        <f>IF(tblOrdenes[[#This Row],[orden]]="","",_xlfn.XLOOKUP(tblOrdenes[[#This Row],[id_operacion]],tblEjecucion[id_operacion],tblEjecucion[precio],0))</f>
        <v/>
      </c>
      <c r="AJ1111" s="11">
        <f>IF(tblOrdenes[[#This Row],[orden]]="","",MAX(0,_xlfn.XLOOKUP(tblOrdenes[[#This Row],[id_operacion]],tblEjecucion[id_operacion],tblEjecucion[costo_plan_total],0)-tblOrdenes[[#This Row],[costo_servicio]]))</f>
        <v/>
      </c>
      <c r="AK1111" s="11">
        <f>IF(tblOrdenes[[#This Row],[orden]]="","",tblOrdenes[[#This Row],[costo_servicio]]+tblOrdenes[[#This Row],[costo_materiales]])</f>
        <v/>
      </c>
      <c r="AL1111" s="6" t="n"/>
      <c r="AM1111" s="6" t="n"/>
      <c r="AN1111" s="6" t="n"/>
      <c r="AO1111" s="3">
        <f>IF(tblOrdenes[[#This Row],[link_checklist]]="","",HYPERLINK(p_ruta_base_checklists&amp;tblOrdenes[[#This Row],[link_checklist]],"abrir"))</f>
        <v/>
      </c>
      <c r="AP1111" s="6" t="n"/>
      <c r="AQ1111" s="3">
        <f>IF(tblOrdenes[[#This Row],[orden]]="","",tblOrdenes[[#This Row],[orden]]&amp;IF(tblOrdenes[[#This Row],[operacion]]="","0010",tblOrdenes[[#This Row],[operacion]]))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2" t="n"/>
      <c r="K1112" s="3" t="n"/>
      <c r="L1112" s="11" t="n"/>
      <c r="M11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2" s="3">
        <f>IF(tblOrdenes[[#This Row],[fecha_inicio]]="","",YEAR(tblOrdenes[[#This Row],[fecha_inicio]]))</f>
        <v/>
      </c>
      <c r="Q1112" s="3">
        <f>IF(tblOrdenes[[#This Row],[fecha_inicio]]="","",MONTH(tblOrdenes[[#This Row],[fecha_inicio]]))</f>
        <v/>
      </c>
      <c r="R1112" s="3">
        <f>IF(tblOrdenes[[#This Row],[fecha_inicio]]="","",INDEX(lista_dias,WEEKDAY(tblOrdenes[[#This Row],[fecha_inicio]],2)))</f>
        <v/>
      </c>
      <c r="S11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2" s="3">
        <f>IF(tblOrdenes[[#This Row],[tipo_ot]]="","",_xlfn.XLOOKUP(tblOrdenes[[#This Row],[tipo_ot]],tblTiposOT[codigo],tblTiposOT[clasificacion],"sin_clasificar"))</f>
        <v/>
      </c>
      <c r="U1112" s="3">
        <f>IF(tblOrdenes[[#This Row],[centro_costo]]="","",_xlfn.XLOOKUP(tblOrdenes[[#This Row],[centro_costo]],tblCECO[codigo],tblCECO[linea],"(sin catálogo)"))</f>
        <v/>
      </c>
      <c r="V1112" s="3">
        <f>IF(tblOrdenes[[#This Row],[centro_costo]]="","",_xlfn.XLOOKUP(tblOrdenes[[#This Row],[centro_costo]],tblCECO[codigo],tblCECO[area],"(sin catálogo)"))</f>
        <v/>
      </c>
      <c r="W11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2" s="3">
        <f>IF(tblOrdenes[[#This Row],[centro_costo]]="","",_xlfn.XLOOKUP(tblOrdenes[[#This Row],[centro_costo]],tblCECO[codigo],tblCECO[coordinador],"(sin catálogo)"))</f>
        <v/>
      </c>
      <c r="Y1112" s="3">
        <f>IF(tblOrdenes[[#This Row],[puesto_trabajo]]="","",_xlfn.XLOOKUP(tblOrdenes[[#This Row],[puesto_trabajo]],tblPuestos[codigo],tblPuestos[especialidad],"(sin catálogo)"))</f>
        <v/>
      </c>
      <c r="Z1112" s="3">
        <f>IF(tblOrdenes[[#This Row],[cod_actividad]]="","",_xlfn.XLOOKUP(tblOrdenes[[#This Row],[cod_actividad]],tblActividades[codigo],tblActividades[descripcion],"(sin catálogo)"))</f>
        <v/>
      </c>
      <c r="AA1112" s="13">
        <f>IF(tblOrdenes[[#This Row],[fecha_inicio]]="","",TODAY()-tblOrdenes[[#This Row],[fecha_inicio]])</f>
        <v/>
      </c>
      <c r="AB11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2" s="3">
        <f>IF(tblOrdenes[[#This Row],[backlog_habiles]]="","",IF(tblOrdenes[[#This Row],[backlog_habiles]]&lt;0,"FUTURO",IF(tblOrdenes[[#This Row],[backlog_habiles]]&gt;p_dias_backlog_max,"BACKLOG","MES CORRIENTE")))</f>
        <v/>
      </c>
      <c r="AD1112" s="3">
        <f>IF(tblOrdenes[[#This Row],[backlog_habiles]]="",FALSE,AND(tblOrdenes[[#This Row],[backlog_habiles]]&gt;p_dias_backlog_min,tblOrdenes[[#This Row],[backlog_habiles]]&lt;=p_dias_backlog_max))</f>
        <v/>
      </c>
      <c r="AE1112" s="6" t="n"/>
      <c r="AF11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2" s="11">
        <f>IF(tblOrdenes[[#This Row],[orden]]="","",_xlfn.XLOOKUP(tblOrdenes[[#This Row],[id_operacion]],tblEjecucion[id_operacion],tblEjecucion[precio],0))</f>
        <v/>
      </c>
      <c r="AJ1112" s="11">
        <f>IF(tblOrdenes[[#This Row],[orden]]="","",MAX(0,_xlfn.XLOOKUP(tblOrdenes[[#This Row],[id_operacion]],tblEjecucion[id_operacion],tblEjecucion[costo_plan_total],0)-tblOrdenes[[#This Row],[costo_servicio]]))</f>
        <v/>
      </c>
      <c r="AK1112" s="11">
        <f>IF(tblOrdenes[[#This Row],[orden]]="","",tblOrdenes[[#This Row],[costo_servicio]]+tblOrdenes[[#This Row],[costo_materiales]])</f>
        <v/>
      </c>
      <c r="AL1112" s="6" t="n"/>
      <c r="AM1112" s="6" t="n"/>
      <c r="AN1112" s="6" t="n"/>
      <c r="AO1112" s="3">
        <f>IF(tblOrdenes[[#This Row],[link_checklist]]="","",HYPERLINK(p_ruta_base_checklists&amp;tblOrdenes[[#This Row],[link_checklist]],"abrir"))</f>
        <v/>
      </c>
      <c r="AP1112" s="6" t="n"/>
      <c r="AQ1112" s="3">
        <f>IF(tblOrdenes[[#This Row],[orden]]="","",tblOrdenes[[#This Row],[orden]]&amp;IF(tblOrdenes[[#This Row],[operacion]]="","0010",tblOrdenes[[#This Row],[operacion]]))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2" t="n"/>
      <c r="K1113" s="3" t="n"/>
      <c r="L1113" s="11" t="n"/>
      <c r="M11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3" s="3">
        <f>IF(tblOrdenes[[#This Row],[fecha_inicio]]="","",YEAR(tblOrdenes[[#This Row],[fecha_inicio]]))</f>
        <v/>
      </c>
      <c r="Q1113" s="3">
        <f>IF(tblOrdenes[[#This Row],[fecha_inicio]]="","",MONTH(tblOrdenes[[#This Row],[fecha_inicio]]))</f>
        <v/>
      </c>
      <c r="R1113" s="3">
        <f>IF(tblOrdenes[[#This Row],[fecha_inicio]]="","",INDEX(lista_dias,WEEKDAY(tblOrdenes[[#This Row],[fecha_inicio]],2)))</f>
        <v/>
      </c>
      <c r="S11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3" s="3">
        <f>IF(tblOrdenes[[#This Row],[tipo_ot]]="","",_xlfn.XLOOKUP(tblOrdenes[[#This Row],[tipo_ot]],tblTiposOT[codigo],tblTiposOT[clasificacion],"sin_clasificar"))</f>
        <v/>
      </c>
      <c r="U1113" s="3">
        <f>IF(tblOrdenes[[#This Row],[centro_costo]]="","",_xlfn.XLOOKUP(tblOrdenes[[#This Row],[centro_costo]],tblCECO[codigo],tblCECO[linea],"(sin catálogo)"))</f>
        <v/>
      </c>
      <c r="V1113" s="3">
        <f>IF(tblOrdenes[[#This Row],[centro_costo]]="","",_xlfn.XLOOKUP(tblOrdenes[[#This Row],[centro_costo]],tblCECO[codigo],tblCECO[area],"(sin catálogo)"))</f>
        <v/>
      </c>
      <c r="W11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3" s="3">
        <f>IF(tblOrdenes[[#This Row],[centro_costo]]="","",_xlfn.XLOOKUP(tblOrdenes[[#This Row],[centro_costo]],tblCECO[codigo],tblCECO[coordinador],"(sin catálogo)"))</f>
        <v/>
      </c>
      <c r="Y1113" s="3">
        <f>IF(tblOrdenes[[#This Row],[puesto_trabajo]]="","",_xlfn.XLOOKUP(tblOrdenes[[#This Row],[puesto_trabajo]],tblPuestos[codigo],tblPuestos[especialidad],"(sin catálogo)"))</f>
        <v/>
      </c>
      <c r="Z1113" s="3">
        <f>IF(tblOrdenes[[#This Row],[cod_actividad]]="","",_xlfn.XLOOKUP(tblOrdenes[[#This Row],[cod_actividad]],tblActividades[codigo],tblActividades[descripcion],"(sin catálogo)"))</f>
        <v/>
      </c>
      <c r="AA1113" s="13">
        <f>IF(tblOrdenes[[#This Row],[fecha_inicio]]="","",TODAY()-tblOrdenes[[#This Row],[fecha_inicio]])</f>
        <v/>
      </c>
      <c r="AB11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3" s="3">
        <f>IF(tblOrdenes[[#This Row],[backlog_habiles]]="","",IF(tblOrdenes[[#This Row],[backlog_habiles]]&lt;0,"FUTURO",IF(tblOrdenes[[#This Row],[backlog_habiles]]&gt;p_dias_backlog_max,"BACKLOG","MES CORRIENTE")))</f>
        <v/>
      </c>
      <c r="AD1113" s="3">
        <f>IF(tblOrdenes[[#This Row],[backlog_habiles]]="",FALSE,AND(tblOrdenes[[#This Row],[backlog_habiles]]&gt;p_dias_backlog_min,tblOrdenes[[#This Row],[backlog_habiles]]&lt;=p_dias_backlog_max))</f>
        <v/>
      </c>
      <c r="AE1113" s="6" t="n"/>
      <c r="AF11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3" s="11">
        <f>IF(tblOrdenes[[#This Row],[orden]]="","",_xlfn.XLOOKUP(tblOrdenes[[#This Row],[id_operacion]],tblEjecucion[id_operacion],tblEjecucion[precio],0))</f>
        <v/>
      </c>
      <c r="AJ1113" s="11">
        <f>IF(tblOrdenes[[#This Row],[orden]]="","",MAX(0,_xlfn.XLOOKUP(tblOrdenes[[#This Row],[id_operacion]],tblEjecucion[id_operacion],tblEjecucion[costo_plan_total],0)-tblOrdenes[[#This Row],[costo_servicio]]))</f>
        <v/>
      </c>
      <c r="AK1113" s="11">
        <f>IF(tblOrdenes[[#This Row],[orden]]="","",tblOrdenes[[#This Row],[costo_servicio]]+tblOrdenes[[#This Row],[costo_materiales]])</f>
        <v/>
      </c>
      <c r="AL1113" s="6" t="n"/>
      <c r="AM1113" s="6" t="n"/>
      <c r="AN1113" s="6" t="n"/>
      <c r="AO1113" s="3">
        <f>IF(tblOrdenes[[#This Row],[link_checklist]]="","",HYPERLINK(p_ruta_base_checklists&amp;tblOrdenes[[#This Row],[link_checklist]],"abrir"))</f>
        <v/>
      </c>
      <c r="AP1113" s="6" t="n"/>
      <c r="AQ1113" s="3">
        <f>IF(tblOrdenes[[#This Row],[orden]]="","",tblOrdenes[[#This Row],[orden]]&amp;IF(tblOrdenes[[#This Row],[operacion]]="","0010",tblOrdenes[[#This Row],[operacion]]))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2" t="n"/>
      <c r="K1114" s="3" t="n"/>
      <c r="L1114" s="11" t="n"/>
      <c r="M11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4" s="3">
        <f>IF(tblOrdenes[[#This Row],[fecha_inicio]]="","",YEAR(tblOrdenes[[#This Row],[fecha_inicio]]))</f>
        <v/>
      </c>
      <c r="Q1114" s="3">
        <f>IF(tblOrdenes[[#This Row],[fecha_inicio]]="","",MONTH(tblOrdenes[[#This Row],[fecha_inicio]]))</f>
        <v/>
      </c>
      <c r="R1114" s="3">
        <f>IF(tblOrdenes[[#This Row],[fecha_inicio]]="","",INDEX(lista_dias,WEEKDAY(tblOrdenes[[#This Row],[fecha_inicio]],2)))</f>
        <v/>
      </c>
      <c r="S11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4" s="3">
        <f>IF(tblOrdenes[[#This Row],[tipo_ot]]="","",_xlfn.XLOOKUP(tblOrdenes[[#This Row],[tipo_ot]],tblTiposOT[codigo],tblTiposOT[clasificacion],"sin_clasificar"))</f>
        <v/>
      </c>
      <c r="U1114" s="3">
        <f>IF(tblOrdenes[[#This Row],[centro_costo]]="","",_xlfn.XLOOKUP(tblOrdenes[[#This Row],[centro_costo]],tblCECO[codigo],tblCECO[linea],"(sin catálogo)"))</f>
        <v/>
      </c>
      <c r="V1114" s="3">
        <f>IF(tblOrdenes[[#This Row],[centro_costo]]="","",_xlfn.XLOOKUP(tblOrdenes[[#This Row],[centro_costo]],tblCECO[codigo],tblCECO[area],"(sin catálogo)"))</f>
        <v/>
      </c>
      <c r="W11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4" s="3">
        <f>IF(tblOrdenes[[#This Row],[centro_costo]]="","",_xlfn.XLOOKUP(tblOrdenes[[#This Row],[centro_costo]],tblCECO[codigo],tblCECO[coordinador],"(sin catálogo)"))</f>
        <v/>
      </c>
      <c r="Y1114" s="3">
        <f>IF(tblOrdenes[[#This Row],[puesto_trabajo]]="","",_xlfn.XLOOKUP(tblOrdenes[[#This Row],[puesto_trabajo]],tblPuestos[codigo],tblPuestos[especialidad],"(sin catálogo)"))</f>
        <v/>
      </c>
      <c r="Z1114" s="3">
        <f>IF(tblOrdenes[[#This Row],[cod_actividad]]="","",_xlfn.XLOOKUP(tblOrdenes[[#This Row],[cod_actividad]],tblActividades[codigo],tblActividades[descripcion],"(sin catálogo)"))</f>
        <v/>
      </c>
      <c r="AA1114" s="13">
        <f>IF(tblOrdenes[[#This Row],[fecha_inicio]]="","",TODAY()-tblOrdenes[[#This Row],[fecha_inicio]])</f>
        <v/>
      </c>
      <c r="AB11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4" s="3">
        <f>IF(tblOrdenes[[#This Row],[backlog_habiles]]="","",IF(tblOrdenes[[#This Row],[backlog_habiles]]&lt;0,"FUTURO",IF(tblOrdenes[[#This Row],[backlog_habiles]]&gt;p_dias_backlog_max,"BACKLOG","MES CORRIENTE")))</f>
        <v/>
      </c>
      <c r="AD1114" s="3">
        <f>IF(tblOrdenes[[#This Row],[backlog_habiles]]="",FALSE,AND(tblOrdenes[[#This Row],[backlog_habiles]]&gt;p_dias_backlog_min,tblOrdenes[[#This Row],[backlog_habiles]]&lt;=p_dias_backlog_max))</f>
        <v/>
      </c>
      <c r="AE1114" s="6" t="n"/>
      <c r="AF11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4" s="11">
        <f>IF(tblOrdenes[[#This Row],[orden]]="","",_xlfn.XLOOKUP(tblOrdenes[[#This Row],[id_operacion]],tblEjecucion[id_operacion],tblEjecucion[precio],0))</f>
        <v/>
      </c>
      <c r="AJ1114" s="11">
        <f>IF(tblOrdenes[[#This Row],[orden]]="","",MAX(0,_xlfn.XLOOKUP(tblOrdenes[[#This Row],[id_operacion]],tblEjecucion[id_operacion],tblEjecucion[costo_plan_total],0)-tblOrdenes[[#This Row],[costo_servicio]]))</f>
        <v/>
      </c>
      <c r="AK1114" s="11">
        <f>IF(tblOrdenes[[#This Row],[orden]]="","",tblOrdenes[[#This Row],[costo_servicio]]+tblOrdenes[[#This Row],[costo_materiales]])</f>
        <v/>
      </c>
      <c r="AL1114" s="6" t="n"/>
      <c r="AM1114" s="6" t="n"/>
      <c r="AN1114" s="6" t="n"/>
      <c r="AO1114" s="3">
        <f>IF(tblOrdenes[[#This Row],[link_checklist]]="","",HYPERLINK(p_ruta_base_checklists&amp;tblOrdenes[[#This Row],[link_checklist]],"abrir"))</f>
        <v/>
      </c>
      <c r="AP1114" s="6" t="n"/>
      <c r="AQ1114" s="3">
        <f>IF(tblOrdenes[[#This Row],[orden]]="","",tblOrdenes[[#This Row],[orden]]&amp;IF(tblOrdenes[[#This Row],[operacion]]="","0010",tblOrdenes[[#This Row],[operacion]]))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2" t="n"/>
      <c r="K1115" s="3" t="n"/>
      <c r="L1115" s="11" t="n"/>
      <c r="M11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5" s="3">
        <f>IF(tblOrdenes[[#This Row],[fecha_inicio]]="","",YEAR(tblOrdenes[[#This Row],[fecha_inicio]]))</f>
        <v/>
      </c>
      <c r="Q1115" s="3">
        <f>IF(tblOrdenes[[#This Row],[fecha_inicio]]="","",MONTH(tblOrdenes[[#This Row],[fecha_inicio]]))</f>
        <v/>
      </c>
      <c r="R1115" s="3">
        <f>IF(tblOrdenes[[#This Row],[fecha_inicio]]="","",INDEX(lista_dias,WEEKDAY(tblOrdenes[[#This Row],[fecha_inicio]],2)))</f>
        <v/>
      </c>
      <c r="S11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5" s="3">
        <f>IF(tblOrdenes[[#This Row],[tipo_ot]]="","",_xlfn.XLOOKUP(tblOrdenes[[#This Row],[tipo_ot]],tblTiposOT[codigo],tblTiposOT[clasificacion],"sin_clasificar"))</f>
        <v/>
      </c>
      <c r="U1115" s="3">
        <f>IF(tblOrdenes[[#This Row],[centro_costo]]="","",_xlfn.XLOOKUP(tblOrdenes[[#This Row],[centro_costo]],tblCECO[codigo],tblCECO[linea],"(sin catálogo)"))</f>
        <v/>
      </c>
      <c r="V1115" s="3">
        <f>IF(tblOrdenes[[#This Row],[centro_costo]]="","",_xlfn.XLOOKUP(tblOrdenes[[#This Row],[centro_costo]],tblCECO[codigo],tblCECO[area],"(sin catálogo)"))</f>
        <v/>
      </c>
      <c r="W11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5" s="3">
        <f>IF(tblOrdenes[[#This Row],[centro_costo]]="","",_xlfn.XLOOKUP(tblOrdenes[[#This Row],[centro_costo]],tblCECO[codigo],tblCECO[coordinador],"(sin catálogo)"))</f>
        <v/>
      </c>
      <c r="Y1115" s="3">
        <f>IF(tblOrdenes[[#This Row],[puesto_trabajo]]="","",_xlfn.XLOOKUP(tblOrdenes[[#This Row],[puesto_trabajo]],tblPuestos[codigo],tblPuestos[especialidad],"(sin catálogo)"))</f>
        <v/>
      </c>
      <c r="Z1115" s="3">
        <f>IF(tblOrdenes[[#This Row],[cod_actividad]]="","",_xlfn.XLOOKUP(tblOrdenes[[#This Row],[cod_actividad]],tblActividades[codigo],tblActividades[descripcion],"(sin catálogo)"))</f>
        <v/>
      </c>
      <c r="AA1115" s="13">
        <f>IF(tblOrdenes[[#This Row],[fecha_inicio]]="","",TODAY()-tblOrdenes[[#This Row],[fecha_inicio]])</f>
        <v/>
      </c>
      <c r="AB11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5" s="3">
        <f>IF(tblOrdenes[[#This Row],[backlog_habiles]]="","",IF(tblOrdenes[[#This Row],[backlog_habiles]]&lt;0,"FUTURO",IF(tblOrdenes[[#This Row],[backlog_habiles]]&gt;p_dias_backlog_max,"BACKLOG","MES CORRIENTE")))</f>
        <v/>
      </c>
      <c r="AD1115" s="3">
        <f>IF(tblOrdenes[[#This Row],[backlog_habiles]]="",FALSE,AND(tblOrdenes[[#This Row],[backlog_habiles]]&gt;p_dias_backlog_min,tblOrdenes[[#This Row],[backlog_habiles]]&lt;=p_dias_backlog_max))</f>
        <v/>
      </c>
      <c r="AE1115" s="6" t="n"/>
      <c r="AF11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5" s="11">
        <f>IF(tblOrdenes[[#This Row],[orden]]="","",_xlfn.XLOOKUP(tblOrdenes[[#This Row],[id_operacion]],tblEjecucion[id_operacion],tblEjecucion[precio],0))</f>
        <v/>
      </c>
      <c r="AJ1115" s="11">
        <f>IF(tblOrdenes[[#This Row],[orden]]="","",MAX(0,_xlfn.XLOOKUP(tblOrdenes[[#This Row],[id_operacion]],tblEjecucion[id_operacion],tblEjecucion[costo_plan_total],0)-tblOrdenes[[#This Row],[costo_servicio]]))</f>
        <v/>
      </c>
      <c r="AK1115" s="11">
        <f>IF(tblOrdenes[[#This Row],[orden]]="","",tblOrdenes[[#This Row],[costo_servicio]]+tblOrdenes[[#This Row],[costo_materiales]])</f>
        <v/>
      </c>
      <c r="AL1115" s="6" t="n"/>
      <c r="AM1115" s="6" t="n"/>
      <c r="AN1115" s="6" t="n"/>
      <c r="AO1115" s="3">
        <f>IF(tblOrdenes[[#This Row],[link_checklist]]="","",HYPERLINK(p_ruta_base_checklists&amp;tblOrdenes[[#This Row],[link_checklist]],"abrir"))</f>
        <v/>
      </c>
      <c r="AP1115" s="6" t="n"/>
      <c r="AQ1115" s="3">
        <f>IF(tblOrdenes[[#This Row],[orden]]="","",tblOrdenes[[#This Row],[orden]]&amp;IF(tblOrdenes[[#This Row],[operacion]]="","0010",tblOrdenes[[#This Row],[operacion]]))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2" t="n"/>
      <c r="K1116" s="3" t="n"/>
      <c r="L1116" s="11" t="n"/>
      <c r="M11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6" s="3">
        <f>IF(tblOrdenes[[#This Row],[fecha_inicio]]="","",YEAR(tblOrdenes[[#This Row],[fecha_inicio]]))</f>
        <v/>
      </c>
      <c r="Q1116" s="3">
        <f>IF(tblOrdenes[[#This Row],[fecha_inicio]]="","",MONTH(tblOrdenes[[#This Row],[fecha_inicio]]))</f>
        <v/>
      </c>
      <c r="R1116" s="3">
        <f>IF(tblOrdenes[[#This Row],[fecha_inicio]]="","",INDEX(lista_dias,WEEKDAY(tblOrdenes[[#This Row],[fecha_inicio]],2)))</f>
        <v/>
      </c>
      <c r="S11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6" s="3">
        <f>IF(tblOrdenes[[#This Row],[tipo_ot]]="","",_xlfn.XLOOKUP(tblOrdenes[[#This Row],[tipo_ot]],tblTiposOT[codigo],tblTiposOT[clasificacion],"sin_clasificar"))</f>
        <v/>
      </c>
      <c r="U1116" s="3">
        <f>IF(tblOrdenes[[#This Row],[centro_costo]]="","",_xlfn.XLOOKUP(tblOrdenes[[#This Row],[centro_costo]],tblCECO[codigo],tblCECO[linea],"(sin catálogo)"))</f>
        <v/>
      </c>
      <c r="V1116" s="3">
        <f>IF(tblOrdenes[[#This Row],[centro_costo]]="","",_xlfn.XLOOKUP(tblOrdenes[[#This Row],[centro_costo]],tblCECO[codigo],tblCECO[area],"(sin catálogo)"))</f>
        <v/>
      </c>
      <c r="W11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6" s="3">
        <f>IF(tblOrdenes[[#This Row],[centro_costo]]="","",_xlfn.XLOOKUP(tblOrdenes[[#This Row],[centro_costo]],tblCECO[codigo],tblCECO[coordinador],"(sin catálogo)"))</f>
        <v/>
      </c>
      <c r="Y1116" s="3">
        <f>IF(tblOrdenes[[#This Row],[puesto_trabajo]]="","",_xlfn.XLOOKUP(tblOrdenes[[#This Row],[puesto_trabajo]],tblPuestos[codigo],tblPuestos[especialidad],"(sin catálogo)"))</f>
        <v/>
      </c>
      <c r="Z1116" s="3">
        <f>IF(tblOrdenes[[#This Row],[cod_actividad]]="","",_xlfn.XLOOKUP(tblOrdenes[[#This Row],[cod_actividad]],tblActividades[codigo],tblActividades[descripcion],"(sin catálogo)"))</f>
        <v/>
      </c>
      <c r="AA1116" s="13">
        <f>IF(tblOrdenes[[#This Row],[fecha_inicio]]="","",TODAY()-tblOrdenes[[#This Row],[fecha_inicio]])</f>
        <v/>
      </c>
      <c r="AB11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6" s="3">
        <f>IF(tblOrdenes[[#This Row],[backlog_habiles]]="","",IF(tblOrdenes[[#This Row],[backlog_habiles]]&lt;0,"FUTURO",IF(tblOrdenes[[#This Row],[backlog_habiles]]&gt;p_dias_backlog_max,"BACKLOG","MES CORRIENTE")))</f>
        <v/>
      </c>
      <c r="AD1116" s="3">
        <f>IF(tblOrdenes[[#This Row],[backlog_habiles]]="",FALSE,AND(tblOrdenes[[#This Row],[backlog_habiles]]&gt;p_dias_backlog_min,tblOrdenes[[#This Row],[backlog_habiles]]&lt;=p_dias_backlog_max))</f>
        <v/>
      </c>
      <c r="AE1116" s="6" t="n"/>
      <c r="AF11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6" s="11">
        <f>IF(tblOrdenes[[#This Row],[orden]]="","",_xlfn.XLOOKUP(tblOrdenes[[#This Row],[id_operacion]],tblEjecucion[id_operacion],tblEjecucion[precio],0))</f>
        <v/>
      </c>
      <c r="AJ1116" s="11">
        <f>IF(tblOrdenes[[#This Row],[orden]]="","",MAX(0,_xlfn.XLOOKUP(tblOrdenes[[#This Row],[id_operacion]],tblEjecucion[id_operacion],tblEjecucion[costo_plan_total],0)-tblOrdenes[[#This Row],[costo_servicio]]))</f>
        <v/>
      </c>
      <c r="AK1116" s="11">
        <f>IF(tblOrdenes[[#This Row],[orden]]="","",tblOrdenes[[#This Row],[costo_servicio]]+tblOrdenes[[#This Row],[costo_materiales]])</f>
        <v/>
      </c>
      <c r="AL1116" s="6" t="n"/>
      <c r="AM1116" s="6" t="n"/>
      <c r="AN1116" s="6" t="n"/>
      <c r="AO1116" s="3">
        <f>IF(tblOrdenes[[#This Row],[link_checklist]]="","",HYPERLINK(p_ruta_base_checklists&amp;tblOrdenes[[#This Row],[link_checklist]],"abrir"))</f>
        <v/>
      </c>
      <c r="AP1116" s="6" t="n"/>
      <c r="AQ1116" s="3">
        <f>IF(tblOrdenes[[#This Row],[orden]]="","",tblOrdenes[[#This Row],[orden]]&amp;IF(tblOrdenes[[#This Row],[operacion]]="","0010",tblOrdenes[[#This Row],[operacion]]))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2" t="n"/>
      <c r="K1117" s="3" t="n"/>
      <c r="L1117" s="11" t="n"/>
      <c r="M11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7" s="3">
        <f>IF(tblOrdenes[[#This Row],[fecha_inicio]]="","",YEAR(tblOrdenes[[#This Row],[fecha_inicio]]))</f>
        <v/>
      </c>
      <c r="Q1117" s="3">
        <f>IF(tblOrdenes[[#This Row],[fecha_inicio]]="","",MONTH(tblOrdenes[[#This Row],[fecha_inicio]]))</f>
        <v/>
      </c>
      <c r="R1117" s="3">
        <f>IF(tblOrdenes[[#This Row],[fecha_inicio]]="","",INDEX(lista_dias,WEEKDAY(tblOrdenes[[#This Row],[fecha_inicio]],2)))</f>
        <v/>
      </c>
      <c r="S11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7" s="3">
        <f>IF(tblOrdenes[[#This Row],[tipo_ot]]="","",_xlfn.XLOOKUP(tblOrdenes[[#This Row],[tipo_ot]],tblTiposOT[codigo],tblTiposOT[clasificacion],"sin_clasificar"))</f>
        <v/>
      </c>
      <c r="U1117" s="3">
        <f>IF(tblOrdenes[[#This Row],[centro_costo]]="","",_xlfn.XLOOKUP(tblOrdenes[[#This Row],[centro_costo]],tblCECO[codigo],tblCECO[linea],"(sin catálogo)"))</f>
        <v/>
      </c>
      <c r="V1117" s="3">
        <f>IF(tblOrdenes[[#This Row],[centro_costo]]="","",_xlfn.XLOOKUP(tblOrdenes[[#This Row],[centro_costo]],tblCECO[codigo],tblCECO[area],"(sin catálogo)"))</f>
        <v/>
      </c>
      <c r="W11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7" s="3">
        <f>IF(tblOrdenes[[#This Row],[centro_costo]]="","",_xlfn.XLOOKUP(tblOrdenes[[#This Row],[centro_costo]],tblCECO[codigo],tblCECO[coordinador],"(sin catálogo)"))</f>
        <v/>
      </c>
      <c r="Y1117" s="3">
        <f>IF(tblOrdenes[[#This Row],[puesto_trabajo]]="","",_xlfn.XLOOKUP(tblOrdenes[[#This Row],[puesto_trabajo]],tblPuestos[codigo],tblPuestos[especialidad],"(sin catálogo)"))</f>
        <v/>
      </c>
      <c r="Z1117" s="3">
        <f>IF(tblOrdenes[[#This Row],[cod_actividad]]="","",_xlfn.XLOOKUP(tblOrdenes[[#This Row],[cod_actividad]],tblActividades[codigo],tblActividades[descripcion],"(sin catálogo)"))</f>
        <v/>
      </c>
      <c r="AA1117" s="13">
        <f>IF(tblOrdenes[[#This Row],[fecha_inicio]]="","",TODAY()-tblOrdenes[[#This Row],[fecha_inicio]])</f>
        <v/>
      </c>
      <c r="AB11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7" s="3">
        <f>IF(tblOrdenes[[#This Row],[backlog_habiles]]="","",IF(tblOrdenes[[#This Row],[backlog_habiles]]&lt;0,"FUTURO",IF(tblOrdenes[[#This Row],[backlog_habiles]]&gt;p_dias_backlog_max,"BACKLOG","MES CORRIENTE")))</f>
        <v/>
      </c>
      <c r="AD1117" s="3">
        <f>IF(tblOrdenes[[#This Row],[backlog_habiles]]="",FALSE,AND(tblOrdenes[[#This Row],[backlog_habiles]]&gt;p_dias_backlog_min,tblOrdenes[[#This Row],[backlog_habiles]]&lt;=p_dias_backlog_max))</f>
        <v/>
      </c>
      <c r="AE1117" s="6" t="n"/>
      <c r="AF11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7" s="11">
        <f>IF(tblOrdenes[[#This Row],[orden]]="","",_xlfn.XLOOKUP(tblOrdenes[[#This Row],[id_operacion]],tblEjecucion[id_operacion],tblEjecucion[precio],0))</f>
        <v/>
      </c>
      <c r="AJ1117" s="11">
        <f>IF(tblOrdenes[[#This Row],[orden]]="","",MAX(0,_xlfn.XLOOKUP(tblOrdenes[[#This Row],[id_operacion]],tblEjecucion[id_operacion],tblEjecucion[costo_plan_total],0)-tblOrdenes[[#This Row],[costo_servicio]]))</f>
        <v/>
      </c>
      <c r="AK1117" s="11">
        <f>IF(tblOrdenes[[#This Row],[orden]]="","",tblOrdenes[[#This Row],[costo_servicio]]+tblOrdenes[[#This Row],[costo_materiales]])</f>
        <v/>
      </c>
      <c r="AL1117" s="6" t="n"/>
      <c r="AM1117" s="6" t="n"/>
      <c r="AN1117" s="6" t="n"/>
      <c r="AO1117" s="3">
        <f>IF(tblOrdenes[[#This Row],[link_checklist]]="","",HYPERLINK(p_ruta_base_checklists&amp;tblOrdenes[[#This Row],[link_checklist]],"abrir"))</f>
        <v/>
      </c>
      <c r="AP1117" s="6" t="n"/>
      <c r="AQ1117" s="3">
        <f>IF(tblOrdenes[[#This Row],[orden]]="","",tblOrdenes[[#This Row],[orden]]&amp;IF(tblOrdenes[[#This Row],[operacion]]="","0010",tblOrdenes[[#This Row],[operacion]]))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2" t="n"/>
      <c r="K1118" s="3" t="n"/>
      <c r="L1118" s="11" t="n"/>
      <c r="M11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8" s="3">
        <f>IF(tblOrdenes[[#This Row],[fecha_inicio]]="","",YEAR(tblOrdenes[[#This Row],[fecha_inicio]]))</f>
        <v/>
      </c>
      <c r="Q1118" s="3">
        <f>IF(tblOrdenes[[#This Row],[fecha_inicio]]="","",MONTH(tblOrdenes[[#This Row],[fecha_inicio]]))</f>
        <v/>
      </c>
      <c r="R1118" s="3">
        <f>IF(tblOrdenes[[#This Row],[fecha_inicio]]="","",INDEX(lista_dias,WEEKDAY(tblOrdenes[[#This Row],[fecha_inicio]],2)))</f>
        <v/>
      </c>
      <c r="S11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8" s="3">
        <f>IF(tblOrdenes[[#This Row],[tipo_ot]]="","",_xlfn.XLOOKUP(tblOrdenes[[#This Row],[tipo_ot]],tblTiposOT[codigo],tblTiposOT[clasificacion],"sin_clasificar"))</f>
        <v/>
      </c>
      <c r="U1118" s="3">
        <f>IF(tblOrdenes[[#This Row],[centro_costo]]="","",_xlfn.XLOOKUP(tblOrdenes[[#This Row],[centro_costo]],tblCECO[codigo],tblCECO[linea],"(sin catálogo)"))</f>
        <v/>
      </c>
      <c r="V1118" s="3">
        <f>IF(tblOrdenes[[#This Row],[centro_costo]]="","",_xlfn.XLOOKUP(tblOrdenes[[#This Row],[centro_costo]],tblCECO[codigo],tblCECO[area],"(sin catálogo)"))</f>
        <v/>
      </c>
      <c r="W11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8" s="3">
        <f>IF(tblOrdenes[[#This Row],[centro_costo]]="","",_xlfn.XLOOKUP(tblOrdenes[[#This Row],[centro_costo]],tblCECO[codigo],tblCECO[coordinador],"(sin catálogo)"))</f>
        <v/>
      </c>
      <c r="Y1118" s="3">
        <f>IF(tblOrdenes[[#This Row],[puesto_trabajo]]="","",_xlfn.XLOOKUP(tblOrdenes[[#This Row],[puesto_trabajo]],tblPuestos[codigo],tblPuestos[especialidad],"(sin catálogo)"))</f>
        <v/>
      </c>
      <c r="Z1118" s="3">
        <f>IF(tblOrdenes[[#This Row],[cod_actividad]]="","",_xlfn.XLOOKUP(tblOrdenes[[#This Row],[cod_actividad]],tblActividades[codigo],tblActividades[descripcion],"(sin catálogo)"))</f>
        <v/>
      </c>
      <c r="AA1118" s="13">
        <f>IF(tblOrdenes[[#This Row],[fecha_inicio]]="","",TODAY()-tblOrdenes[[#This Row],[fecha_inicio]])</f>
        <v/>
      </c>
      <c r="AB11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8" s="3">
        <f>IF(tblOrdenes[[#This Row],[backlog_habiles]]="","",IF(tblOrdenes[[#This Row],[backlog_habiles]]&lt;0,"FUTURO",IF(tblOrdenes[[#This Row],[backlog_habiles]]&gt;p_dias_backlog_max,"BACKLOG","MES CORRIENTE")))</f>
        <v/>
      </c>
      <c r="AD1118" s="3">
        <f>IF(tblOrdenes[[#This Row],[backlog_habiles]]="",FALSE,AND(tblOrdenes[[#This Row],[backlog_habiles]]&gt;p_dias_backlog_min,tblOrdenes[[#This Row],[backlog_habiles]]&lt;=p_dias_backlog_max))</f>
        <v/>
      </c>
      <c r="AE1118" s="6" t="n"/>
      <c r="AF11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8" s="11">
        <f>IF(tblOrdenes[[#This Row],[orden]]="","",_xlfn.XLOOKUP(tblOrdenes[[#This Row],[id_operacion]],tblEjecucion[id_operacion],tblEjecucion[precio],0))</f>
        <v/>
      </c>
      <c r="AJ1118" s="11">
        <f>IF(tblOrdenes[[#This Row],[orden]]="","",MAX(0,_xlfn.XLOOKUP(tblOrdenes[[#This Row],[id_operacion]],tblEjecucion[id_operacion],tblEjecucion[costo_plan_total],0)-tblOrdenes[[#This Row],[costo_servicio]]))</f>
        <v/>
      </c>
      <c r="AK1118" s="11">
        <f>IF(tblOrdenes[[#This Row],[orden]]="","",tblOrdenes[[#This Row],[costo_servicio]]+tblOrdenes[[#This Row],[costo_materiales]])</f>
        <v/>
      </c>
      <c r="AL1118" s="6" t="n"/>
      <c r="AM1118" s="6" t="n"/>
      <c r="AN1118" s="6" t="n"/>
      <c r="AO1118" s="3">
        <f>IF(tblOrdenes[[#This Row],[link_checklist]]="","",HYPERLINK(p_ruta_base_checklists&amp;tblOrdenes[[#This Row],[link_checklist]],"abrir"))</f>
        <v/>
      </c>
      <c r="AP1118" s="6" t="n"/>
      <c r="AQ1118" s="3">
        <f>IF(tblOrdenes[[#This Row],[orden]]="","",tblOrdenes[[#This Row],[orden]]&amp;IF(tblOrdenes[[#This Row],[operacion]]="","0010",tblOrdenes[[#This Row],[operacion]]))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2" t="n"/>
      <c r="K1119" s="3" t="n"/>
      <c r="L1119" s="11" t="n"/>
      <c r="M11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9" s="3">
        <f>IF(tblOrdenes[[#This Row],[fecha_inicio]]="","",YEAR(tblOrdenes[[#This Row],[fecha_inicio]]))</f>
        <v/>
      </c>
      <c r="Q1119" s="3">
        <f>IF(tblOrdenes[[#This Row],[fecha_inicio]]="","",MONTH(tblOrdenes[[#This Row],[fecha_inicio]]))</f>
        <v/>
      </c>
      <c r="R1119" s="3">
        <f>IF(tblOrdenes[[#This Row],[fecha_inicio]]="","",INDEX(lista_dias,WEEKDAY(tblOrdenes[[#This Row],[fecha_inicio]],2)))</f>
        <v/>
      </c>
      <c r="S11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9" s="3">
        <f>IF(tblOrdenes[[#This Row],[tipo_ot]]="","",_xlfn.XLOOKUP(tblOrdenes[[#This Row],[tipo_ot]],tblTiposOT[codigo],tblTiposOT[clasificacion],"sin_clasificar"))</f>
        <v/>
      </c>
      <c r="U1119" s="3">
        <f>IF(tblOrdenes[[#This Row],[centro_costo]]="","",_xlfn.XLOOKUP(tblOrdenes[[#This Row],[centro_costo]],tblCECO[codigo],tblCECO[linea],"(sin catálogo)"))</f>
        <v/>
      </c>
      <c r="V1119" s="3">
        <f>IF(tblOrdenes[[#This Row],[centro_costo]]="","",_xlfn.XLOOKUP(tblOrdenes[[#This Row],[centro_costo]],tblCECO[codigo],tblCECO[area],"(sin catálogo)"))</f>
        <v/>
      </c>
      <c r="W11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9" s="3">
        <f>IF(tblOrdenes[[#This Row],[centro_costo]]="","",_xlfn.XLOOKUP(tblOrdenes[[#This Row],[centro_costo]],tblCECO[codigo],tblCECO[coordinador],"(sin catálogo)"))</f>
        <v/>
      </c>
      <c r="Y1119" s="3">
        <f>IF(tblOrdenes[[#This Row],[puesto_trabajo]]="","",_xlfn.XLOOKUP(tblOrdenes[[#This Row],[puesto_trabajo]],tblPuestos[codigo],tblPuestos[especialidad],"(sin catálogo)"))</f>
        <v/>
      </c>
      <c r="Z1119" s="3">
        <f>IF(tblOrdenes[[#This Row],[cod_actividad]]="","",_xlfn.XLOOKUP(tblOrdenes[[#This Row],[cod_actividad]],tblActividades[codigo],tblActividades[descripcion],"(sin catálogo)"))</f>
        <v/>
      </c>
      <c r="AA1119" s="13">
        <f>IF(tblOrdenes[[#This Row],[fecha_inicio]]="","",TODAY()-tblOrdenes[[#This Row],[fecha_inicio]])</f>
        <v/>
      </c>
      <c r="AB11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9" s="3">
        <f>IF(tblOrdenes[[#This Row],[backlog_habiles]]="","",IF(tblOrdenes[[#This Row],[backlog_habiles]]&lt;0,"FUTURO",IF(tblOrdenes[[#This Row],[backlog_habiles]]&gt;p_dias_backlog_max,"BACKLOG","MES CORRIENTE")))</f>
        <v/>
      </c>
      <c r="AD1119" s="3">
        <f>IF(tblOrdenes[[#This Row],[backlog_habiles]]="",FALSE,AND(tblOrdenes[[#This Row],[backlog_habiles]]&gt;p_dias_backlog_min,tblOrdenes[[#This Row],[backlog_habiles]]&lt;=p_dias_backlog_max))</f>
        <v/>
      </c>
      <c r="AE1119" s="6" t="n"/>
      <c r="AF11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9" s="11">
        <f>IF(tblOrdenes[[#This Row],[orden]]="","",_xlfn.XLOOKUP(tblOrdenes[[#This Row],[id_operacion]],tblEjecucion[id_operacion],tblEjecucion[precio],0))</f>
        <v/>
      </c>
      <c r="AJ1119" s="11">
        <f>IF(tblOrdenes[[#This Row],[orden]]="","",MAX(0,_xlfn.XLOOKUP(tblOrdenes[[#This Row],[id_operacion]],tblEjecucion[id_operacion],tblEjecucion[costo_plan_total],0)-tblOrdenes[[#This Row],[costo_servicio]]))</f>
        <v/>
      </c>
      <c r="AK1119" s="11">
        <f>IF(tblOrdenes[[#This Row],[orden]]="","",tblOrdenes[[#This Row],[costo_servicio]]+tblOrdenes[[#This Row],[costo_materiales]])</f>
        <v/>
      </c>
      <c r="AL1119" s="6" t="n"/>
      <c r="AM1119" s="6" t="n"/>
      <c r="AN1119" s="6" t="n"/>
      <c r="AO1119" s="3">
        <f>IF(tblOrdenes[[#This Row],[link_checklist]]="","",HYPERLINK(p_ruta_base_checklists&amp;tblOrdenes[[#This Row],[link_checklist]],"abrir"))</f>
        <v/>
      </c>
      <c r="AP1119" s="6" t="n"/>
      <c r="AQ1119" s="3">
        <f>IF(tblOrdenes[[#This Row],[orden]]="","",tblOrdenes[[#This Row],[orden]]&amp;IF(tblOrdenes[[#This Row],[operacion]]="","0010",tblOrdenes[[#This Row],[operacion]]))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2" t="n"/>
      <c r="K1120" s="3" t="n"/>
      <c r="L1120" s="11" t="n"/>
      <c r="M11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0" s="3">
        <f>IF(tblOrdenes[[#This Row],[fecha_inicio]]="","",YEAR(tblOrdenes[[#This Row],[fecha_inicio]]))</f>
        <v/>
      </c>
      <c r="Q1120" s="3">
        <f>IF(tblOrdenes[[#This Row],[fecha_inicio]]="","",MONTH(tblOrdenes[[#This Row],[fecha_inicio]]))</f>
        <v/>
      </c>
      <c r="R1120" s="3">
        <f>IF(tblOrdenes[[#This Row],[fecha_inicio]]="","",INDEX(lista_dias,WEEKDAY(tblOrdenes[[#This Row],[fecha_inicio]],2)))</f>
        <v/>
      </c>
      <c r="S11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0" s="3">
        <f>IF(tblOrdenes[[#This Row],[tipo_ot]]="","",_xlfn.XLOOKUP(tblOrdenes[[#This Row],[tipo_ot]],tblTiposOT[codigo],tblTiposOT[clasificacion],"sin_clasificar"))</f>
        <v/>
      </c>
      <c r="U1120" s="3">
        <f>IF(tblOrdenes[[#This Row],[centro_costo]]="","",_xlfn.XLOOKUP(tblOrdenes[[#This Row],[centro_costo]],tblCECO[codigo],tblCECO[linea],"(sin catálogo)"))</f>
        <v/>
      </c>
      <c r="V1120" s="3">
        <f>IF(tblOrdenes[[#This Row],[centro_costo]]="","",_xlfn.XLOOKUP(tblOrdenes[[#This Row],[centro_costo]],tblCECO[codigo],tblCECO[area],"(sin catálogo)"))</f>
        <v/>
      </c>
      <c r="W11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0" s="3">
        <f>IF(tblOrdenes[[#This Row],[centro_costo]]="","",_xlfn.XLOOKUP(tblOrdenes[[#This Row],[centro_costo]],tblCECO[codigo],tblCECO[coordinador],"(sin catálogo)"))</f>
        <v/>
      </c>
      <c r="Y1120" s="3">
        <f>IF(tblOrdenes[[#This Row],[puesto_trabajo]]="","",_xlfn.XLOOKUP(tblOrdenes[[#This Row],[puesto_trabajo]],tblPuestos[codigo],tblPuestos[especialidad],"(sin catálogo)"))</f>
        <v/>
      </c>
      <c r="Z1120" s="3">
        <f>IF(tblOrdenes[[#This Row],[cod_actividad]]="","",_xlfn.XLOOKUP(tblOrdenes[[#This Row],[cod_actividad]],tblActividades[codigo],tblActividades[descripcion],"(sin catálogo)"))</f>
        <v/>
      </c>
      <c r="AA1120" s="13">
        <f>IF(tblOrdenes[[#This Row],[fecha_inicio]]="","",TODAY()-tblOrdenes[[#This Row],[fecha_inicio]])</f>
        <v/>
      </c>
      <c r="AB11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0" s="3">
        <f>IF(tblOrdenes[[#This Row],[backlog_habiles]]="","",IF(tblOrdenes[[#This Row],[backlog_habiles]]&lt;0,"FUTURO",IF(tblOrdenes[[#This Row],[backlog_habiles]]&gt;p_dias_backlog_max,"BACKLOG","MES CORRIENTE")))</f>
        <v/>
      </c>
      <c r="AD1120" s="3">
        <f>IF(tblOrdenes[[#This Row],[backlog_habiles]]="",FALSE,AND(tblOrdenes[[#This Row],[backlog_habiles]]&gt;p_dias_backlog_min,tblOrdenes[[#This Row],[backlog_habiles]]&lt;=p_dias_backlog_max))</f>
        <v/>
      </c>
      <c r="AE1120" s="6" t="n"/>
      <c r="AF11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0" s="11">
        <f>IF(tblOrdenes[[#This Row],[orden]]="","",_xlfn.XLOOKUP(tblOrdenes[[#This Row],[id_operacion]],tblEjecucion[id_operacion],tblEjecucion[precio],0))</f>
        <v/>
      </c>
      <c r="AJ1120" s="11">
        <f>IF(tblOrdenes[[#This Row],[orden]]="","",MAX(0,_xlfn.XLOOKUP(tblOrdenes[[#This Row],[id_operacion]],tblEjecucion[id_operacion],tblEjecucion[costo_plan_total],0)-tblOrdenes[[#This Row],[costo_servicio]]))</f>
        <v/>
      </c>
      <c r="AK1120" s="11">
        <f>IF(tblOrdenes[[#This Row],[orden]]="","",tblOrdenes[[#This Row],[costo_servicio]]+tblOrdenes[[#This Row],[costo_materiales]])</f>
        <v/>
      </c>
      <c r="AL1120" s="6" t="n"/>
      <c r="AM1120" s="6" t="n"/>
      <c r="AN1120" s="6" t="n"/>
      <c r="AO1120" s="3">
        <f>IF(tblOrdenes[[#This Row],[link_checklist]]="","",HYPERLINK(p_ruta_base_checklists&amp;tblOrdenes[[#This Row],[link_checklist]],"abrir"))</f>
        <v/>
      </c>
      <c r="AP1120" s="6" t="n"/>
      <c r="AQ1120" s="3">
        <f>IF(tblOrdenes[[#This Row],[orden]]="","",tblOrdenes[[#This Row],[orden]]&amp;IF(tblOrdenes[[#This Row],[operacion]]="","0010",tblOrdenes[[#This Row],[operacion]]))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2" t="n"/>
      <c r="K1121" s="3" t="n"/>
      <c r="L1121" s="11" t="n"/>
      <c r="M11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1" s="3">
        <f>IF(tblOrdenes[[#This Row],[fecha_inicio]]="","",YEAR(tblOrdenes[[#This Row],[fecha_inicio]]))</f>
        <v/>
      </c>
      <c r="Q1121" s="3">
        <f>IF(tblOrdenes[[#This Row],[fecha_inicio]]="","",MONTH(tblOrdenes[[#This Row],[fecha_inicio]]))</f>
        <v/>
      </c>
      <c r="R1121" s="3">
        <f>IF(tblOrdenes[[#This Row],[fecha_inicio]]="","",INDEX(lista_dias,WEEKDAY(tblOrdenes[[#This Row],[fecha_inicio]],2)))</f>
        <v/>
      </c>
      <c r="S11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1" s="3">
        <f>IF(tblOrdenes[[#This Row],[tipo_ot]]="","",_xlfn.XLOOKUP(tblOrdenes[[#This Row],[tipo_ot]],tblTiposOT[codigo],tblTiposOT[clasificacion],"sin_clasificar"))</f>
        <v/>
      </c>
      <c r="U1121" s="3">
        <f>IF(tblOrdenes[[#This Row],[centro_costo]]="","",_xlfn.XLOOKUP(tblOrdenes[[#This Row],[centro_costo]],tblCECO[codigo],tblCECO[linea],"(sin catálogo)"))</f>
        <v/>
      </c>
      <c r="V1121" s="3">
        <f>IF(tblOrdenes[[#This Row],[centro_costo]]="","",_xlfn.XLOOKUP(tblOrdenes[[#This Row],[centro_costo]],tblCECO[codigo],tblCECO[area],"(sin catálogo)"))</f>
        <v/>
      </c>
      <c r="W11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1" s="3">
        <f>IF(tblOrdenes[[#This Row],[centro_costo]]="","",_xlfn.XLOOKUP(tblOrdenes[[#This Row],[centro_costo]],tblCECO[codigo],tblCECO[coordinador],"(sin catálogo)"))</f>
        <v/>
      </c>
      <c r="Y1121" s="3">
        <f>IF(tblOrdenes[[#This Row],[puesto_trabajo]]="","",_xlfn.XLOOKUP(tblOrdenes[[#This Row],[puesto_trabajo]],tblPuestos[codigo],tblPuestos[especialidad],"(sin catálogo)"))</f>
        <v/>
      </c>
      <c r="Z1121" s="3">
        <f>IF(tblOrdenes[[#This Row],[cod_actividad]]="","",_xlfn.XLOOKUP(tblOrdenes[[#This Row],[cod_actividad]],tblActividades[codigo],tblActividades[descripcion],"(sin catálogo)"))</f>
        <v/>
      </c>
      <c r="AA1121" s="13">
        <f>IF(tblOrdenes[[#This Row],[fecha_inicio]]="","",TODAY()-tblOrdenes[[#This Row],[fecha_inicio]])</f>
        <v/>
      </c>
      <c r="AB11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1" s="3">
        <f>IF(tblOrdenes[[#This Row],[backlog_habiles]]="","",IF(tblOrdenes[[#This Row],[backlog_habiles]]&lt;0,"FUTURO",IF(tblOrdenes[[#This Row],[backlog_habiles]]&gt;p_dias_backlog_max,"BACKLOG","MES CORRIENTE")))</f>
        <v/>
      </c>
      <c r="AD1121" s="3">
        <f>IF(tblOrdenes[[#This Row],[backlog_habiles]]="",FALSE,AND(tblOrdenes[[#This Row],[backlog_habiles]]&gt;p_dias_backlog_min,tblOrdenes[[#This Row],[backlog_habiles]]&lt;=p_dias_backlog_max))</f>
        <v/>
      </c>
      <c r="AE1121" s="6" t="n"/>
      <c r="AF11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1" s="11">
        <f>IF(tblOrdenes[[#This Row],[orden]]="","",_xlfn.XLOOKUP(tblOrdenes[[#This Row],[id_operacion]],tblEjecucion[id_operacion],tblEjecucion[precio],0))</f>
        <v/>
      </c>
      <c r="AJ1121" s="11">
        <f>IF(tblOrdenes[[#This Row],[orden]]="","",MAX(0,_xlfn.XLOOKUP(tblOrdenes[[#This Row],[id_operacion]],tblEjecucion[id_operacion],tblEjecucion[costo_plan_total],0)-tblOrdenes[[#This Row],[costo_servicio]]))</f>
        <v/>
      </c>
      <c r="AK1121" s="11">
        <f>IF(tblOrdenes[[#This Row],[orden]]="","",tblOrdenes[[#This Row],[costo_servicio]]+tblOrdenes[[#This Row],[costo_materiales]])</f>
        <v/>
      </c>
      <c r="AL1121" s="6" t="n"/>
      <c r="AM1121" s="6" t="n"/>
      <c r="AN1121" s="6" t="n"/>
      <c r="AO1121" s="3">
        <f>IF(tblOrdenes[[#This Row],[link_checklist]]="","",HYPERLINK(p_ruta_base_checklists&amp;tblOrdenes[[#This Row],[link_checklist]],"abrir"))</f>
        <v/>
      </c>
      <c r="AP1121" s="6" t="n"/>
      <c r="AQ1121" s="3">
        <f>IF(tblOrdenes[[#This Row],[orden]]="","",tblOrdenes[[#This Row],[orden]]&amp;IF(tblOrdenes[[#This Row],[operacion]]="","0010",tblOrdenes[[#This Row],[operacion]]))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2" t="n"/>
      <c r="K1122" s="3" t="n"/>
      <c r="L1122" s="11" t="n"/>
      <c r="M11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2" s="3">
        <f>IF(tblOrdenes[[#This Row],[fecha_inicio]]="","",YEAR(tblOrdenes[[#This Row],[fecha_inicio]]))</f>
        <v/>
      </c>
      <c r="Q1122" s="3">
        <f>IF(tblOrdenes[[#This Row],[fecha_inicio]]="","",MONTH(tblOrdenes[[#This Row],[fecha_inicio]]))</f>
        <v/>
      </c>
      <c r="R1122" s="3">
        <f>IF(tblOrdenes[[#This Row],[fecha_inicio]]="","",INDEX(lista_dias,WEEKDAY(tblOrdenes[[#This Row],[fecha_inicio]],2)))</f>
        <v/>
      </c>
      <c r="S11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2" s="3">
        <f>IF(tblOrdenes[[#This Row],[tipo_ot]]="","",_xlfn.XLOOKUP(tblOrdenes[[#This Row],[tipo_ot]],tblTiposOT[codigo],tblTiposOT[clasificacion],"sin_clasificar"))</f>
        <v/>
      </c>
      <c r="U1122" s="3">
        <f>IF(tblOrdenes[[#This Row],[centro_costo]]="","",_xlfn.XLOOKUP(tblOrdenes[[#This Row],[centro_costo]],tblCECO[codigo],tblCECO[linea],"(sin catálogo)"))</f>
        <v/>
      </c>
      <c r="V1122" s="3">
        <f>IF(tblOrdenes[[#This Row],[centro_costo]]="","",_xlfn.XLOOKUP(tblOrdenes[[#This Row],[centro_costo]],tblCECO[codigo],tblCECO[area],"(sin catálogo)"))</f>
        <v/>
      </c>
      <c r="W11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2" s="3">
        <f>IF(tblOrdenes[[#This Row],[centro_costo]]="","",_xlfn.XLOOKUP(tblOrdenes[[#This Row],[centro_costo]],tblCECO[codigo],tblCECO[coordinador],"(sin catálogo)"))</f>
        <v/>
      </c>
      <c r="Y1122" s="3">
        <f>IF(tblOrdenes[[#This Row],[puesto_trabajo]]="","",_xlfn.XLOOKUP(tblOrdenes[[#This Row],[puesto_trabajo]],tblPuestos[codigo],tblPuestos[especialidad],"(sin catálogo)"))</f>
        <v/>
      </c>
      <c r="Z1122" s="3">
        <f>IF(tblOrdenes[[#This Row],[cod_actividad]]="","",_xlfn.XLOOKUP(tblOrdenes[[#This Row],[cod_actividad]],tblActividades[codigo],tblActividades[descripcion],"(sin catálogo)"))</f>
        <v/>
      </c>
      <c r="AA1122" s="13">
        <f>IF(tblOrdenes[[#This Row],[fecha_inicio]]="","",TODAY()-tblOrdenes[[#This Row],[fecha_inicio]])</f>
        <v/>
      </c>
      <c r="AB11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2" s="3">
        <f>IF(tblOrdenes[[#This Row],[backlog_habiles]]="","",IF(tblOrdenes[[#This Row],[backlog_habiles]]&lt;0,"FUTURO",IF(tblOrdenes[[#This Row],[backlog_habiles]]&gt;p_dias_backlog_max,"BACKLOG","MES CORRIENTE")))</f>
        <v/>
      </c>
      <c r="AD1122" s="3">
        <f>IF(tblOrdenes[[#This Row],[backlog_habiles]]="",FALSE,AND(tblOrdenes[[#This Row],[backlog_habiles]]&gt;p_dias_backlog_min,tblOrdenes[[#This Row],[backlog_habiles]]&lt;=p_dias_backlog_max))</f>
        <v/>
      </c>
      <c r="AE1122" s="6" t="n"/>
      <c r="AF11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2" s="11">
        <f>IF(tblOrdenes[[#This Row],[orden]]="","",_xlfn.XLOOKUP(tblOrdenes[[#This Row],[id_operacion]],tblEjecucion[id_operacion],tblEjecucion[precio],0))</f>
        <v/>
      </c>
      <c r="AJ1122" s="11">
        <f>IF(tblOrdenes[[#This Row],[orden]]="","",MAX(0,_xlfn.XLOOKUP(tblOrdenes[[#This Row],[id_operacion]],tblEjecucion[id_operacion],tblEjecucion[costo_plan_total],0)-tblOrdenes[[#This Row],[costo_servicio]]))</f>
        <v/>
      </c>
      <c r="AK1122" s="11">
        <f>IF(tblOrdenes[[#This Row],[orden]]="","",tblOrdenes[[#This Row],[costo_servicio]]+tblOrdenes[[#This Row],[costo_materiales]])</f>
        <v/>
      </c>
      <c r="AL1122" s="6" t="n"/>
      <c r="AM1122" s="6" t="n"/>
      <c r="AN1122" s="6" t="n"/>
      <c r="AO1122" s="3">
        <f>IF(tblOrdenes[[#This Row],[link_checklist]]="","",HYPERLINK(p_ruta_base_checklists&amp;tblOrdenes[[#This Row],[link_checklist]],"abrir"))</f>
        <v/>
      </c>
      <c r="AP1122" s="6" t="n"/>
      <c r="AQ1122" s="3">
        <f>IF(tblOrdenes[[#This Row],[orden]]="","",tblOrdenes[[#This Row],[orden]]&amp;IF(tblOrdenes[[#This Row],[operacion]]="","0010",tblOrdenes[[#This Row],[operacion]]))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2" t="n"/>
      <c r="K1123" s="3" t="n"/>
      <c r="L1123" s="11" t="n"/>
      <c r="M11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3" s="3">
        <f>IF(tblOrdenes[[#This Row],[fecha_inicio]]="","",YEAR(tblOrdenes[[#This Row],[fecha_inicio]]))</f>
        <v/>
      </c>
      <c r="Q1123" s="3">
        <f>IF(tblOrdenes[[#This Row],[fecha_inicio]]="","",MONTH(tblOrdenes[[#This Row],[fecha_inicio]]))</f>
        <v/>
      </c>
      <c r="R1123" s="3">
        <f>IF(tblOrdenes[[#This Row],[fecha_inicio]]="","",INDEX(lista_dias,WEEKDAY(tblOrdenes[[#This Row],[fecha_inicio]],2)))</f>
        <v/>
      </c>
      <c r="S11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3" s="3">
        <f>IF(tblOrdenes[[#This Row],[tipo_ot]]="","",_xlfn.XLOOKUP(tblOrdenes[[#This Row],[tipo_ot]],tblTiposOT[codigo],tblTiposOT[clasificacion],"sin_clasificar"))</f>
        <v/>
      </c>
      <c r="U1123" s="3">
        <f>IF(tblOrdenes[[#This Row],[centro_costo]]="","",_xlfn.XLOOKUP(tblOrdenes[[#This Row],[centro_costo]],tblCECO[codigo],tblCECO[linea],"(sin catálogo)"))</f>
        <v/>
      </c>
      <c r="V1123" s="3">
        <f>IF(tblOrdenes[[#This Row],[centro_costo]]="","",_xlfn.XLOOKUP(tblOrdenes[[#This Row],[centro_costo]],tblCECO[codigo],tblCECO[area],"(sin catálogo)"))</f>
        <v/>
      </c>
      <c r="W11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3" s="3">
        <f>IF(tblOrdenes[[#This Row],[centro_costo]]="","",_xlfn.XLOOKUP(tblOrdenes[[#This Row],[centro_costo]],tblCECO[codigo],tblCECO[coordinador],"(sin catálogo)"))</f>
        <v/>
      </c>
      <c r="Y1123" s="3">
        <f>IF(tblOrdenes[[#This Row],[puesto_trabajo]]="","",_xlfn.XLOOKUP(tblOrdenes[[#This Row],[puesto_trabajo]],tblPuestos[codigo],tblPuestos[especialidad],"(sin catálogo)"))</f>
        <v/>
      </c>
      <c r="Z1123" s="3">
        <f>IF(tblOrdenes[[#This Row],[cod_actividad]]="","",_xlfn.XLOOKUP(tblOrdenes[[#This Row],[cod_actividad]],tblActividades[codigo],tblActividades[descripcion],"(sin catálogo)"))</f>
        <v/>
      </c>
      <c r="AA1123" s="13">
        <f>IF(tblOrdenes[[#This Row],[fecha_inicio]]="","",TODAY()-tblOrdenes[[#This Row],[fecha_inicio]])</f>
        <v/>
      </c>
      <c r="AB11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3" s="3">
        <f>IF(tblOrdenes[[#This Row],[backlog_habiles]]="","",IF(tblOrdenes[[#This Row],[backlog_habiles]]&lt;0,"FUTURO",IF(tblOrdenes[[#This Row],[backlog_habiles]]&gt;p_dias_backlog_max,"BACKLOG","MES CORRIENTE")))</f>
        <v/>
      </c>
      <c r="AD1123" s="3">
        <f>IF(tblOrdenes[[#This Row],[backlog_habiles]]="",FALSE,AND(tblOrdenes[[#This Row],[backlog_habiles]]&gt;p_dias_backlog_min,tblOrdenes[[#This Row],[backlog_habiles]]&lt;=p_dias_backlog_max))</f>
        <v/>
      </c>
      <c r="AE1123" s="6" t="n"/>
      <c r="AF11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3" s="11">
        <f>IF(tblOrdenes[[#This Row],[orden]]="","",_xlfn.XLOOKUP(tblOrdenes[[#This Row],[id_operacion]],tblEjecucion[id_operacion],tblEjecucion[precio],0))</f>
        <v/>
      </c>
      <c r="AJ1123" s="11">
        <f>IF(tblOrdenes[[#This Row],[orden]]="","",MAX(0,_xlfn.XLOOKUP(tblOrdenes[[#This Row],[id_operacion]],tblEjecucion[id_operacion],tblEjecucion[costo_plan_total],0)-tblOrdenes[[#This Row],[costo_servicio]]))</f>
        <v/>
      </c>
      <c r="AK1123" s="11">
        <f>IF(tblOrdenes[[#This Row],[orden]]="","",tblOrdenes[[#This Row],[costo_servicio]]+tblOrdenes[[#This Row],[costo_materiales]])</f>
        <v/>
      </c>
      <c r="AL1123" s="6" t="n"/>
      <c r="AM1123" s="6" t="n"/>
      <c r="AN1123" s="6" t="n"/>
      <c r="AO1123" s="3">
        <f>IF(tblOrdenes[[#This Row],[link_checklist]]="","",HYPERLINK(p_ruta_base_checklists&amp;tblOrdenes[[#This Row],[link_checklist]],"abrir"))</f>
        <v/>
      </c>
      <c r="AP1123" s="6" t="n"/>
      <c r="AQ1123" s="3">
        <f>IF(tblOrdenes[[#This Row],[orden]]="","",tblOrdenes[[#This Row],[orden]]&amp;IF(tblOrdenes[[#This Row],[operacion]]="","0010",tblOrdenes[[#This Row],[operacion]]))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2" t="n"/>
      <c r="K1124" s="3" t="n"/>
      <c r="L1124" s="11" t="n"/>
      <c r="M11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4" s="3">
        <f>IF(tblOrdenes[[#This Row],[fecha_inicio]]="","",YEAR(tblOrdenes[[#This Row],[fecha_inicio]]))</f>
        <v/>
      </c>
      <c r="Q1124" s="3">
        <f>IF(tblOrdenes[[#This Row],[fecha_inicio]]="","",MONTH(tblOrdenes[[#This Row],[fecha_inicio]]))</f>
        <v/>
      </c>
      <c r="R1124" s="3">
        <f>IF(tblOrdenes[[#This Row],[fecha_inicio]]="","",INDEX(lista_dias,WEEKDAY(tblOrdenes[[#This Row],[fecha_inicio]],2)))</f>
        <v/>
      </c>
      <c r="S11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4" s="3">
        <f>IF(tblOrdenes[[#This Row],[tipo_ot]]="","",_xlfn.XLOOKUP(tblOrdenes[[#This Row],[tipo_ot]],tblTiposOT[codigo],tblTiposOT[clasificacion],"sin_clasificar"))</f>
        <v/>
      </c>
      <c r="U1124" s="3">
        <f>IF(tblOrdenes[[#This Row],[centro_costo]]="","",_xlfn.XLOOKUP(tblOrdenes[[#This Row],[centro_costo]],tblCECO[codigo],tblCECO[linea],"(sin catálogo)"))</f>
        <v/>
      </c>
      <c r="V1124" s="3">
        <f>IF(tblOrdenes[[#This Row],[centro_costo]]="","",_xlfn.XLOOKUP(tblOrdenes[[#This Row],[centro_costo]],tblCECO[codigo],tblCECO[area],"(sin catálogo)"))</f>
        <v/>
      </c>
      <c r="W11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4" s="3">
        <f>IF(tblOrdenes[[#This Row],[centro_costo]]="","",_xlfn.XLOOKUP(tblOrdenes[[#This Row],[centro_costo]],tblCECO[codigo],tblCECO[coordinador],"(sin catálogo)"))</f>
        <v/>
      </c>
      <c r="Y1124" s="3">
        <f>IF(tblOrdenes[[#This Row],[puesto_trabajo]]="","",_xlfn.XLOOKUP(tblOrdenes[[#This Row],[puesto_trabajo]],tblPuestos[codigo],tblPuestos[especialidad],"(sin catálogo)"))</f>
        <v/>
      </c>
      <c r="Z1124" s="3">
        <f>IF(tblOrdenes[[#This Row],[cod_actividad]]="","",_xlfn.XLOOKUP(tblOrdenes[[#This Row],[cod_actividad]],tblActividades[codigo],tblActividades[descripcion],"(sin catálogo)"))</f>
        <v/>
      </c>
      <c r="AA1124" s="13">
        <f>IF(tblOrdenes[[#This Row],[fecha_inicio]]="","",TODAY()-tblOrdenes[[#This Row],[fecha_inicio]])</f>
        <v/>
      </c>
      <c r="AB11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4" s="3">
        <f>IF(tblOrdenes[[#This Row],[backlog_habiles]]="","",IF(tblOrdenes[[#This Row],[backlog_habiles]]&lt;0,"FUTURO",IF(tblOrdenes[[#This Row],[backlog_habiles]]&gt;p_dias_backlog_max,"BACKLOG","MES CORRIENTE")))</f>
        <v/>
      </c>
      <c r="AD1124" s="3">
        <f>IF(tblOrdenes[[#This Row],[backlog_habiles]]="",FALSE,AND(tblOrdenes[[#This Row],[backlog_habiles]]&gt;p_dias_backlog_min,tblOrdenes[[#This Row],[backlog_habiles]]&lt;=p_dias_backlog_max))</f>
        <v/>
      </c>
      <c r="AE1124" s="6" t="n"/>
      <c r="AF11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4" s="11">
        <f>IF(tblOrdenes[[#This Row],[orden]]="","",_xlfn.XLOOKUP(tblOrdenes[[#This Row],[id_operacion]],tblEjecucion[id_operacion],tblEjecucion[precio],0))</f>
        <v/>
      </c>
      <c r="AJ1124" s="11">
        <f>IF(tblOrdenes[[#This Row],[orden]]="","",MAX(0,_xlfn.XLOOKUP(tblOrdenes[[#This Row],[id_operacion]],tblEjecucion[id_operacion],tblEjecucion[costo_plan_total],0)-tblOrdenes[[#This Row],[costo_servicio]]))</f>
        <v/>
      </c>
      <c r="AK1124" s="11">
        <f>IF(tblOrdenes[[#This Row],[orden]]="","",tblOrdenes[[#This Row],[costo_servicio]]+tblOrdenes[[#This Row],[costo_materiales]])</f>
        <v/>
      </c>
      <c r="AL1124" s="6" t="n"/>
      <c r="AM1124" s="6" t="n"/>
      <c r="AN1124" s="6" t="n"/>
      <c r="AO1124" s="3">
        <f>IF(tblOrdenes[[#This Row],[link_checklist]]="","",HYPERLINK(p_ruta_base_checklists&amp;tblOrdenes[[#This Row],[link_checklist]],"abrir"))</f>
        <v/>
      </c>
      <c r="AP1124" s="6" t="n"/>
      <c r="AQ1124" s="3">
        <f>IF(tblOrdenes[[#This Row],[orden]]="","",tblOrdenes[[#This Row],[orden]]&amp;IF(tblOrdenes[[#This Row],[operacion]]="","0010",tblOrdenes[[#This Row],[operacion]]))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2" t="n"/>
      <c r="K1125" s="3" t="n"/>
      <c r="L1125" s="11" t="n"/>
      <c r="M11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5" s="3">
        <f>IF(tblOrdenes[[#This Row],[fecha_inicio]]="","",YEAR(tblOrdenes[[#This Row],[fecha_inicio]]))</f>
        <v/>
      </c>
      <c r="Q1125" s="3">
        <f>IF(tblOrdenes[[#This Row],[fecha_inicio]]="","",MONTH(tblOrdenes[[#This Row],[fecha_inicio]]))</f>
        <v/>
      </c>
      <c r="R1125" s="3">
        <f>IF(tblOrdenes[[#This Row],[fecha_inicio]]="","",INDEX(lista_dias,WEEKDAY(tblOrdenes[[#This Row],[fecha_inicio]],2)))</f>
        <v/>
      </c>
      <c r="S11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5" s="3">
        <f>IF(tblOrdenes[[#This Row],[tipo_ot]]="","",_xlfn.XLOOKUP(tblOrdenes[[#This Row],[tipo_ot]],tblTiposOT[codigo],tblTiposOT[clasificacion],"sin_clasificar"))</f>
        <v/>
      </c>
      <c r="U1125" s="3">
        <f>IF(tblOrdenes[[#This Row],[centro_costo]]="","",_xlfn.XLOOKUP(tblOrdenes[[#This Row],[centro_costo]],tblCECO[codigo],tblCECO[linea],"(sin catálogo)"))</f>
        <v/>
      </c>
      <c r="V1125" s="3">
        <f>IF(tblOrdenes[[#This Row],[centro_costo]]="","",_xlfn.XLOOKUP(tblOrdenes[[#This Row],[centro_costo]],tblCECO[codigo],tblCECO[area],"(sin catálogo)"))</f>
        <v/>
      </c>
      <c r="W11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5" s="3">
        <f>IF(tblOrdenes[[#This Row],[centro_costo]]="","",_xlfn.XLOOKUP(tblOrdenes[[#This Row],[centro_costo]],tblCECO[codigo],tblCECO[coordinador],"(sin catálogo)"))</f>
        <v/>
      </c>
      <c r="Y1125" s="3">
        <f>IF(tblOrdenes[[#This Row],[puesto_trabajo]]="","",_xlfn.XLOOKUP(tblOrdenes[[#This Row],[puesto_trabajo]],tblPuestos[codigo],tblPuestos[especialidad],"(sin catálogo)"))</f>
        <v/>
      </c>
      <c r="Z1125" s="3">
        <f>IF(tblOrdenes[[#This Row],[cod_actividad]]="","",_xlfn.XLOOKUP(tblOrdenes[[#This Row],[cod_actividad]],tblActividades[codigo],tblActividades[descripcion],"(sin catálogo)"))</f>
        <v/>
      </c>
      <c r="AA1125" s="13">
        <f>IF(tblOrdenes[[#This Row],[fecha_inicio]]="","",TODAY()-tblOrdenes[[#This Row],[fecha_inicio]])</f>
        <v/>
      </c>
      <c r="AB11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5" s="3">
        <f>IF(tblOrdenes[[#This Row],[backlog_habiles]]="","",IF(tblOrdenes[[#This Row],[backlog_habiles]]&lt;0,"FUTURO",IF(tblOrdenes[[#This Row],[backlog_habiles]]&gt;p_dias_backlog_max,"BACKLOG","MES CORRIENTE")))</f>
        <v/>
      </c>
      <c r="AD1125" s="3">
        <f>IF(tblOrdenes[[#This Row],[backlog_habiles]]="",FALSE,AND(tblOrdenes[[#This Row],[backlog_habiles]]&gt;p_dias_backlog_min,tblOrdenes[[#This Row],[backlog_habiles]]&lt;=p_dias_backlog_max))</f>
        <v/>
      </c>
      <c r="AE1125" s="6" t="n"/>
      <c r="AF11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5" s="11">
        <f>IF(tblOrdenes[[#This Row],[orden]]="","",_xlfn.XLOOKUP(tblOrdenes[[#This Row],[id_operacion]],tblEjecucion[id_operacion],tblEjecucion[precio],0))</f>
        <v/>
      </c>
      <c r="AJ1125" s="11">
        <f>IF(tblOrdenes[[#This Row],[orden]]="","",MAX(0,_xlfn.XLOOKUP(tblOrdenes[[#This Row],[id_operacion]],tblEjecucion[id_operacion],tblEjecucion[costo_plan_total],0)-tblOrdenes[[#This Row],[costo_servicio]]))</f>
        <v/>
      </c>
      <c r="AK1125" s="11">
        <f>IF(tblOrdenes[[#This Row],[orden]]="","",tblOrdenes[[#This Row],[costo_servicio]]+tblOrdenes[[#This Row],[costo_materiales]])</f>
        <v/>
      </c>
      <c r="AL1125" s="6" t="n"/>
      <c r="AM1125" s="6" t="n"/>
      <c r="AN1125" s="6" t="n"/>
      <c r="AO1125" s="3">
        <f>IF(tblOrdenes[[#This Row],[link_checklist]]="","",HYPERLINK(p_ruta_base_checklists&amp;tblOrdenes[[#This Row],[link_checklist]],"abrir"))</f>
        <v/>
      </c>
      <c r="AP1125" s="6" t="n"/>
      <c r="AQ1125" s="3">
        <f>IF(tblOrdenes[[#This Row],[orden]]="","",tblOrdenes[[#This Row],[orden]]&amp;IF(tblOrdenes[[#This Row],[operacion]]="","0010",tblOrdenes[[#This Row],[operacion]]))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2" t="n"/>
      <c r="K1126" s="3" t="n"/>
      <c r="L1126" s="11" t="n"/>
      <c r="M11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6" s="3">
        <f>IF(tblOrdenes[[#This Row],[fecha_inicio]]="","",YEAR(tblOrdenes[[#This Row],[fecha_inicio]]))</f>
        <v/>
      </c>
      <c r="Q1126" s="3">
        <f>IF(tblOrdenes[[#This Row],[fecha_inicio]]="","",MONTH(tblOrdenes[[#This Row],[fecha_inicio]]))</f>
        <v/>
      </c>
      <c r="R1126" s="3">
        <f>IF(tblOrdenes[[#This Row],[fecha_inicio]]="","",INDEX(lista_dias,WEEKDAY(tblOrdenes[[#This Row],[fecha_inicio]],2)))</f>
        <v/>
      </c>
      <c r="S11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6" s="3">
        <f>IF(tblOrdenes[[#This Row],[tipo_ot]]="","",_xlfn.XLOOKUP(tblOrdenes[[#This Row],[tipo_ot]],tblTiposOT[codigo],tblTiposOT[clasificacion],"sin_clasificar"))</f>
        <v/>
      </c>
      <c r="U1126" s="3">
        <f>IF(tblOrdenes[[#This Row],[centro_costo]]="","",_xlfn.XLOOKUP(tblOrdenes[[#This Row],[centro_costo]],tblCECO[codigo],tblCECO[linea],"(sin catálogo)"))</f>
        <v/>
      </c>
      <c r="V1126" s="3">
        <f>IF(tblOrdenes[[#This Row],[centro_costo]]="","",_xlfn.XLOOKUP(tblOrdenes[[#This Row],[centro_costo]],tblCECO[codigo],tblCECO[area],"(sin catálogo)"))</f>
        <v/>
      </c>
      <c r="W11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6" s="3">
        <f>IF(tblOrdenes[[#This Row],[centro_costo]]="","",_xlfn.XLOOKUP(tblOrdenes[[#This Row],[centro_costo]],tblCECO[codigo],tblCECO[coordinador],"(sin catálogo)"))</f>
        <v/>
      </c>
      <c r="Y1126" s="3">
        <f>IF(tblOrdenes[[#This Row],[puesto_trabajo]]="","",_xlfn.XLOOKUP(tblOrdenes[[#This Row],[puesto_trabajo]],tblPuestos[codigo],tblPuestos[especialidad],"(sin catálogo)"))</f>
        <v/>
      </c>
      <c r="Z1126" s="3">
        <f>IF(tblOrdenes[[#This Row],[cod_actividad]]="","",_xlfn.XLOOKUP(tblOrdenes[[#This Row],[cod_actividad]],tblActividades[codigo],tblActividades[descripcion],"(sin catálogo)"))</f>
        <v/>
      </c>
      <c r="AA1126" s="13">
        <f>IF(tblOrdenes[[#This Row],[fecha_inicio]]="","",TODAY()-tblOrdenes[[#This Row],[fecha_inicio]])</f>
        <v/>
      </c>
      <c r="AB11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6" s="3">
        <f>IF(tblOrdenes[[#This Row],[backlog_habiles]]="","",IF(tblOrdenes[[#This Row],[backlog_habiles]]&lt;0,"FUTURO",IF(tblOrdenes[[#This Row],[backlog_habiles]]&gt;p_dias_backlog_max,"BACKLOG","MES CORRIENTE")))</f>
        <v/>
      </c>
      <c r="AD1126" s="3">
        <f>IF(tblOrdenes[[#This Row],[backlog_habiles]]="",FALSE,AND(tblOrdenes[[#This Row],[backlog_habiles]]&gt;p_dias_backlog_min,tblOrdenes[[#This Row],[backlog_habiles]]&lt;=p_dias_backlog_max))</f>
        <v/>
      </c>
      <c r="AE1126" s="6" t="n"/>
      <c r="AF11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6" s="11">
        <f>IF(tblOrdenes[[#This Row],[orden]]="","",_xlfn.XLOOKUP(tblOrdenes[[#This Row],[id_operacion]],tblEjecucion[id_operacion],tblEjecucion[precio],0))</f>
        <v/>
      </c>
      <c r="AJ1126" s="11">
        <f>IF(tblOrdenes[[#This Row],[orden]]="","",MAX(0,_xlfn.XLOOKUP(tblOrdenes[[#This Row],[id_operacion]],tblEjecucion[id_operacion],tblEjecucion[costo_plan_total],0)-tblOrdenes[[#This Row],[costo_servicio]]))</f>
        <v/>
      </c>
      <c r="AK1126" s="11">
        <f>IF(tblOrdenes[[#This Row],[orden]]="","",tblOrdenes[[#This Row],[costo_servicio]]+tblOrdenes[[#This Row],[costo_materiales]])</f>
        <v/>
      </c>
      <c r="AL1126" s="6" t="n"/>
      <c r="AM1126" s="6" t="n"/>
      <c r="AN1126" s="6" t="n"/>
      <c r="AO1126" s="3">
        <f>IF(tblOrdenes[[#This Row],[link_checklist]]="","",HYPERLINK(p_ruta_base_checklists&amp;tblOrdenes[[#This Row],[link_checklist]],"abrir"))</f>
        <v/>
      </c>
      <c r="AP1126" s="6" t="n"/>
      <c r="AQ1126" s="3">
        <f>IF(tblOrdenes[[#This Row],[orden]]="","",tblOrdenes[[#This Row],[orden]]&amp;IF(tblOrdenes[[#This Row],[operacion]]="","0010",tblOrdenes[[#This Row],[operacion]]))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2" t="n"/>
      <c r="K1127" s="3" t="n"/>
      <c r="L1127" s="11" t="n"/>
      <c r="M11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7" s="3">
        <f>IF(tblOrdenes[[#This Row],[fecha_inicio]]="","",YEAR(tblOrdenes[[#This Row],[fecha_inicio]]))</f>
        <v/>
      </c>
      <c r="Q1127" s="3">
        <f>IF(tblOrdenes[[#This Row],[fecha_inicio]]="","",MONTH(tblOrdenes[[#This Row],[fecha_inicio]]))</f>
        <v/>
      </c>
      <c r="R1127" s="3">
        <f>IF(tblOrdenes[[#This Row],[fecha_inicio]]="","",INDEX(lista_dias,WEEKDAY(tblOrdenes[[#This Row],[fecha_inicio]],2)))</f>
        <v/>
      </c>
      <c r="S11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7" s="3">
        <f>IF(tblOrdenes[[#This Row],[tipo_ot]]="","",_xlfn.XLOOKUP(tblOrdenes[[#This Row],[tipo_ot]],tblTiposOT[codigo],tblTiposOT[clasificacion],"sin_clasificar"))</f>
        <v/>
      </c>
      <c r="U1127" s="3">
        <f>IF(tblOrdenes[[#This Row],[centro_costo]]="","",_xlfn.XLOOKUP(tblOrdenes[[#This Row],[centro_costo]],tblCECO[codigo],tblCECO[linea],"(sin catálogo)"))</f>
        <v/>
      </c>
      <c r="V1127" s="3">
        <f>IF(tblOrdenes[[#This Row],[centro_costo]]="","",_xlfn.XLOOKUP(tblOrdenes[[#This Row],[centro_costo]],tblCECO[codigo],tblCECO[area],"(sin catálogo)"))</f>
        <v/>
      </c>
      <c r="W11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7" s="3">
        <f>IF(tblOrdenes[[#This Row],[centro_costo]]="","",_xlfn.XLOOKUP(tblOrdenes[[#This Row],[centro_costo]],tblCECO[codigo],tblCECO[coordinador],"(sin catálogo)"))</f>
        <v/>
      </c>
      <c r="Y1127" s="3">
        <f>IF(tblOrdenes[[#This Row],[puesto_trabajo]]="","",_xlfn.XLOOKUP(tblOrdenes[[#This Row],[puesto_trabajo]],tblPuestos[codigo],tblPuestos[especialidad],"(sin catálogo)"))</f>
        <v/>
      </c>
      <c r="Z1127" s="3">
        <f>IF(tblOrdenes[[#This Row],[cod_actividad]]="","",_xlfn.XLOOKUP(tblOrdenes[[#This Row],[cod_actividad]],tblActividades[codigo],tblActividades[descripcion],"(sin catálogo)"))</f>
        <v/>
      </c>
      <c r="AA1127" s="13">
        <f>IF(tblOrdenes[[#This Row],[fecha_inicio]]="","",TODAY()-tblOrdenes[[#This Row],[fecha_inicio]])</f>
        <v/>
      </c>
      <c r="AB11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7" s="3">
        <f>IF(tblOrdenes[[#This Row],[backlog_habiles]]="","",IF(tblOrdenes[[#This Row],[backlog_habiles]]&lt;0,"FUTURO",IF(tblOrdenes[[#This Row],[backlog_habiles]]&gt;p_dias_backlog_max,"BACKLOG","MES CORRIENTE")))</f>
        <v/>
      </c>
      <c r="AD1127" s="3">
        <f>IF(tblOrdenes[[#This Row],[backlog_habiles]]="",FALSE,AND(tblOrdenes[[#This Row],[backlog_habiles]]&gt;p_dias_backlog_min,tblOrdenes[[#This Row],[backlog_habiles]]&lt;=p_dias_backlog_max))</f>
        <v/>
      </c>
      <c r="AE1127" s="6" t="n"/>
      <c r="AF11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7" s="11">
        <f>IF(tblOrdenes[[#This Row],[orden]]="","",_xlfn.XLOOKUP(tblOrdenes[[#This Row],[id_operacion]],tblEjecucion[id_operacion],tblEjecucion[precio],0))</f>
        <v/>
      </c>
      <c r="AJ1127" s="11">
        <f>IF(tblOrdenes[[#This Row],[orden]]="","",MAX(0,_xlfn.XLOOKUP(tblOrdenes[[#This Row],[id_operacion]],tblEjecucion[id_operacion],tblEjecucion[costo_plan_total],0)-tblOrdenes[[#This Row],[costo_servicio]]))</f>
        <v/>
      </c>
      <c r="AK1127" s="11">
        <f>IF(tblOrdenes[[#This Row],[orden]]="","",tblOrdenes[[#This Row],[costo_servicio]]+tblOrdenes[[#This Row],[costo_materiales]])</f>
        <v/>
      </c>
      <c r="AL1127" s="6" t="n"/>
      <c r="AM1127" s="6" t="n"/>
      <c r="AN1127" s="6" t="n"/>
      <c r="AO1127" s="3">
        <f>IF(tblOrdenes[[#This Row],[link_checklist]]="","",HYPERLINK(p_ruta_base_checklists&amp;tblOrdenes[[#This Row],[link_checklist]],"abrir"))</f>
        <v/>
      </c>
      <c r="AP1127" s="6" t="n"/>
      <c r="AQ1127" s="3">
        <f>IF(tblOrdenes[[#This Row],[orden]]="","",tblOrdenes[[#This Row],[orden]]&amp;IF(tblOrdenes[[#This Row],[operacion]]="","0010",tblOrdenes[[#This Row],[operacion]]))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2" t="n"/>
      <c r="K1128" s="3" t="n"/>
      <c r="L1128" s="11" t="n"/>
      <c r="M11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8" s="3">
        <f>IF(tblOrdenes[[#This Row],[fecha_inicio]]="","",YEAR(tblOrdenes[[#This Row],[fecha_inicio]]))</f>
        <v/>
      </c>
      <c r="Q1128" s="3">
        <f>IF(tblOrdenes[[#This Row],[fecha_inicio]]="","",MONTH(tblOrdenes[[#This Row],[fecha_inicio]]))</f>
        <v/>
      </c>
      <c r="R1128" s="3">
        <f>IF(tblOrdenes[[#This Row],[fecha_inicio]]="","",INDEX(lista_dias,WEEKDAY(tblOrdenes[[#This Row],[fecha_inicio]],2)))</f>
        <v/>
      </c>
      <c r="S11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8" s="3">
        <f>IF(tblOrdenes[[#This Row],[tipo_ot]]="","",_xlfn.XLOOKUP(tblOrdenes[[#This Row],[tipo_ot]],tblTiposOT[codigo],tblTiposOT[clasificacion],"sin_clasificar"))</f>
        <v/>
      </c>
      <c r="U1128" s="3">
        <f>IF(tblOrdenes[[#This Row],[centro_costo]]="","",_xlfn.XLOOKUP(tblOrdenes[[#This Row],[centro_costo]],tblCECO[codigo],tblCECO[linea],"(sin catálogo)"))</f>
        <v/>
      </c>
      <c r="V1128" s="3">
        <f>IF(tblOrdenes[[#This Row],[centro_costo]]="","",_xlfn.XLOOKUP(tblOrdenes[[#This Row],[centro_costo]],tblCECO[codigo],tblCECO[area],"(sin catálogo)"))</f>
        <v/>
      </c>
      <c r="W11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8" s="3">
        <f>IF(tblOrdenes[[#This Row],[centro_costo]]="","",_xlfn.XLOOKUP(tblOrdenes[[#This Row],[centro_costo]],tblCECO[codigo],tblCECO[coordinador],"(sin catálogo)"))</f>
        <v/>
      </c>
      <c r="Y1128" s="3">
        <f>IF(tblOrdenes[[#This Row],[puesto_trabajo]]="","",_xlfn.XLOOKUP(tblOrdenes[[#This Row],[puesto_trabajo]],tblPuestos[codigo],tblPuestos[especialidad],"(sin catálogo)"))</f>
        <v/>
      </c>
      <c r="Z1128" s="3">
        <f>IF(tblOrdenes[[#This Row],[cod_actividad]]="","",_xlfn.XLOOKUP(tblOrdenes[[#This Row],[cod_actividad]],tblActividades[codigo],tblActividades[descripcion],"(sin catálogo)"))</f>
        <v/>
      </c>
      <c r="AA1128" s="13">
        <f>IF(tblOrdenes[[#This Row],[fecha_inicio]]="","",TODAY()-tblOrdenes[[#This Row],[fecha_inicio]])</f>
        <v/>
      </c>
      <c r="AB11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8" s="3">
        <f>IF(tblOrdenes[[#This Row],[backlog_habiles]]="","",IF(tblOrdenes[[#This Row],[backlog_habiles]]&lt;0,"FUTURO",IF(tblOrdenes[[#This Row],[backlog_habiles]]&gt;p_dias_backlog_max,"BACKLOG","MES CORRIENTE")))</f>
        <v/>
      </c>
      <c r="AD1128" s="3">
        <f>IF(tblOrdenes[[#This Row],[backlog_habiles]]="",FALSE,AND(tblOrdenes[[#This Row],[backlog_habiles]]&gt;p_dias_backlog_min,tblOrdenes[[#This Row],[backlog_habiles]]&lt;=p_dias_backlog_max))</f>
        <v/>
      </c>
      <c r="AE1128" s="6" t="n"/>
      <c r="AF11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8" s="11">
        <f>IF(tblOrdenes[[#This Row],[orden]]="","",_xlfn.XLOOKUP(tblOrdenes[[#This Row],[id_operacion]],tblEjecucion[id_operacion],tblEjecucion[precio],0))</f>
        <v/>
      </c>
      <c r="AJ1128" s="11">
        <f>IF(tblOrdenes[[#This Row],[orden]]="","",MAX(0,_xlfn.XLOOKUP(tblOrdenes[[#This Row],[id_operacion]],tblEjecucion[id_operacion],tblEjecucion[costo_plan_total],0)-tblOrdenes[[#This Row],[costo_servicio]]))</f>
        <v/>
      </c>
      <c r="AK1128" s="11">
        <f>IF(tblOrdenes[[#This Row],[orden]]="","",tblOrdenes[[#This Row],[costo_servicio]]+tblOrdenes[[#This Row],[costo_materiales]])</f>
        <v/>
      </c>
      <c r="AL1128" s="6" t="n"/>
      <c r="AM1128" s="6" t="n"/>
      <c r="AN1128" s="6" t="n"/>
      <c r="AO1128" s="3">
        <f>IF(tblOrdenes[[#This Row],[link_checklist]]="","",HYPERLINK(p_ruta_base_checklists&amp;tblOrdenes[[#This Row],[link_checklist]],"abrir"))</f>
        <v/>
      </c>
      <c r="AP1128" s="6" t="n"/>
      <c r="AQ1128" s="3">
        <f>IF(tblOrdenes[[#This Row],[orden]]="","",tblOrdenes[[#This Row],[orden]]&amp;IF(tblOrdenes[[#This Row],[operacion]]="","0010",tblOrdenes[[#This Row],[operacion]]))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2" t="n"/>
      <c r="K1129" s="3" t="n"/>
      <c r="L1129" s="11" t="n"/>
      <c r="M11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9" s="3">
        <f>IF(tblOrdenes[[#This Row],[fecha_inicio]]="","",YEAR(tblOrdenes[[#This Row],[fecha_inicio]]))</f>
        <v/>
      </c>
      <c r="Q1129" s="3">
        <f>IF(tblOrdenes[[#This Row],[fecha_inicio]]="","",MONTH(tblOrdenes[[#This Row],[fecha_inicio]]))</f>
        <v/>
      </c>
      <c r="R1129" s="3">
        <f>IF(tblOrdenes[[#This Row],[fecha_inicio]]="","",INDEX(lista_dias,WEEKDAY(tblOrdenes[[#This Row],[fecha_inicio]],2)))</f>
        <v/>
      </c>
      <c r="S11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9" s="3">
        <f>IF(tblOrdenes[[#This Row],[tipo_ot]]="","",_xlfn.XLOOKUP(tblOrdenes[[#This Row],[tipo_ot]],tblTiposOT[codigo],tblTiposOT[clasificacion],"sin_clasificar"))</f>
        <v/>
      </c>
      <c r="U1129" s="3">
        <f>IF(tblOrdenes[[#This Row],[centro_costo]]="","",_xlfn.XLOOKUP(tblOrdenes[[#This Row],[centro_costo]],tblCECO[codigo],tblCECO[linea],"(sin catálogo)"))</f>
        <v/>
      </c>
      <c r="V1129" s="3">
        <f>IF(tblOrdenes[[#This Row],[centro_costo]]="","",_xlfn.XLOOKUP(tblOrdenes[[#This Row],[centro_costo]],tblCECO[codigo],tblCECO[area],"(sin catálogo)"))</f>
        <v/>
      </c>
      <c r="W11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9" s="3">
        <f>IF(tblOrdenes[[#This Row],[centro_costo]]="","",_xlfn.XLOOKUP(tblOrdenes[[#This Row],[centro_costo]],tblCECO[codigo],tblCECO[coordinador],"(sin catálogo)"))</f>
        <v/>
      </c>
      <c r="Y1129" s="3">
        <f>IF(tblOrdenes[[#This Row],[puesto_trabajo]]="","",_xlfn.XLOOKUP(tblOrdenes[[#This Row],[puesto_trabajo]],tblPuestos[codigo],tblPuestos[especialidad],"(sin catálogo)"))</f>
        <v/>
      </c>
      <c r="Z1129" s="3">
        <f>IF(tblOrdenes[[#This Row],[cod_actividad]]="","",_xlfn.XLOOKUP(tblOrdenes[[#This Row],[cod_actividad]],tblActividades[codigo],tblActividades[descripcion],"(sin catálogo)"))</f>
        <v/>
      </c>
      <c r="AA1129" s="13">
        <f>IF(tblOrdenes[[#This Row],[fecha_inicio]]="","",TODAY()-tblOrdenes[[#This Row],[fecha_inicio]])</f>
        <v/>
      </c>
      <c r="AB11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9" s="3">
        <f>IF(tblOrdenes[[#This Row],[backlog_habiles]]="","",IF(tblOrdenes[[#This Row],[backlog_habiles]]&lt;0,"FUTURO",IF(tblOrdenes[[#This Row],[backlog_habiles]]&gt;p_dias_backlog_max,"BACKLOG","MES CORRIENTE")))</f>
        <v/>
      </c>
      <c r="AD1129" s="3">
        <f>IF(tblOrdenes[[#This Row],[backlog_habiles]]="",FALSE,AND(tblOrdenes[[#This Row],[backlog_habiles]]&gt;p_dias_backlog_min,tblOrdenes[[#This Row],[backlog_habiles]]&lt;=p_dias_backlog_max))</f>
        <v/>
      </c>
      <c r="AE1129" s="6" t="n"/>
      <c r="AF11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9" s="11">
        <f>IF(tblOrdenes[[#This Row],[orden]]="","",_xlfn.XLOOKUP(tblOrdenes[[#This Row],[id_operacion]],tblEjecucion[id_operacion],tblEjecucion[precio],0))</f>
        <v/>
      </c>
      <c r="AJ1129" s="11">
        <f>IF(tblOrdenes[[#This Row],[orden]]="","",MAX(0,_xlfn.XLOOKUP(tblOrdenes[[#This Row],[id_operacion]],tblEjecucion[id_operacion],tblEjecucion[costo_plan_total],0)-tblOrdenes[[#This Row],[costo_servicio]]))</f>
        <v/>
      </c>
      <c r="AK1129" s="11">
        <f>IF(tblOrdenes[[#This Row],[orden]]="","",tblOrdenes[[#This Row],[costo_servicio]]+tblOrdenes[[#This Row],[costo_materiales]])</f>
        <v/>
      </c>
      <c r="AL1129" s="6" t="n"/>
      <c r="AM1129" s="6" t="n"/>
      <c r="AN1129" s="6" t="n"/>
      <c r="AO1129" s="3">
        <f>IF(tblOrdenes[[#This Row],[link_checklist]]="","",HYPERLINK(p_ruta_base_checklists&amp;tblOrdenes[[#This Row],[link_checklist]],"abrir"))</f>
        <v/>
      </c>
      <c r="AP1129" s="6" t="n"/>
      <c r="AQ1129" s="3">
        <f>IF(tblOrdenes[[#This Row],[orden]]="","",tblOrdenes[[#This Row],[orden]]&amp;IF(tblOrdenes[[#This Row],[operacion]]="","0010",tblOrdenes[[#This Row],[operacion]]))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2" t="n"/>
      <c r="K1130" s="3" t="n"/>
      <c r="L1130" s="11" t="n"/>
      <c r="M11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0" s="3">
        <f>IF(tblOrdenes[[#This Row],[fecha_inicio]]="","",YEAR(tblOrdenes[[#This Row],[fecha_inicio]]))</f>
        <v/>
      </c>
      <c r="Q1130" s="3">
        <f>IF(tblOrdenes[[#This Row],[fecha_inicio]]="","",MONTH(tblOrdenes[[#This Row],[fecha_inicio]]))</f>
        <v/>
      </c>
      <c r="R1130" s="3">
        <f>IF(tblOrdenes[[#This Row],[fecha_inicio]]="","",INDEX(lista_dias,WEEKDAY(tblOrdenes[[#This Row],[fecha_inicio]],2)))</f>
        <v/>
      </c>
      <c r="S11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0" s="3">
        <f>IF(tblOrdenes[[#This Row],[tipo_ot]]="","",_xlfn.XLOOKUP(tblOrdenes[[#This Row],[tipo_ot]],tblTiposOT[codigo],tblTiposOT[clasificacion],"sin_clasificar"))</f>
        <v/>
      </c>
      <c r="U1130" s="3">
        <f>IF(tblOrdenes[[#This Row],[centro_costo]]="","",_xlfn.XLOOKUP(tblOrdenes[[#This Row],[centro_costo]],tblCECO[codigo],tblCECO[linea],"(sin catálogo)"))</f>
        <v/>
      </c>
      <c r="V1130" s="3">
        <f>IF(tblOrdenes[[#This Row],[centro_costo]]="","",_xlfn.XLOOKUP(tblOrdenes[[#This Row],[centro_costo]],tblCECO[codigo],tblCECO[area],"(sin catálogo)"))</f>
        <v/>
      </c>
      <c r="W11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0" s="3">
        <f>IF(tblOrdenes[[#This Row],[centro_costo]]="","",_xlfn.XLOOKUP(tblOrdenes[[#This Row],[centro_costo]],tblCECO[codigo],tblCECO[coordinador],"(sin catálogo)"))</f>
        <v/>
      </c>
      <c r="Y1130" s="3">
        <f>IF(tblOrdenes[[#This Row],[puesto_trabajo]]="","",_xlfn.XLOOKUP(tblOrdenes[[#This Row],[puesto_trabajo]],tblPuestos[codigo],tblPuestos[especialidad],"(sin catálogo)"))</f>
        <v/>
      </c>
      <c r="Z1130" s="3">
        <f>IF(tblOrdenes[[#This Row],[cod_actividad]]="","",_xlfn.XLOOKUP(tblOrdenes[[#This Row],[cod_actividad]],tblActividades[codigo],tblActividades[descripcion],"(sin catálogo)"))</f>
        <v/>
      </c>
      <c r="AA1130" s="13">
        <f>IF(tblOrdenes[[#This Row],[fecha_inicio]]="","",TODAY()-tblOrdenes[[#This Row],[fecha_inicio]])</f>
        <v/>
      </c>
      <c r="AB11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0" s="3">
        <f>IF(tblOrdenes[[#This Row],[backlog_habiles]]="","",IF(tblOrdenes[[#This Row],[backlog_habiles]]&lt;0,"FUTURO",IF(tblOrdenes[[#This Row],[backlog_habiles]]&gt;p_dias_backlog_max,"BACKLOG","MES CORRIENTE")))</f>
        <v/>
      </c>
      <c r="AD1130" s="3">
        <f>IF(tblOrdenes[[#This Row],[backlog_habiles]]="",FALSE,AND(tblOrdenes[[#This Row],[backlog_habiles]]&gt;p_dias_backlog_min,tblOrdenes[[#This Row],[backlog_habiles]]&lt;=p_dias_backlog_max))</f>
        <v/>
      </c>
      <c r="AE1130" s="6" t="n"/>
      <c r="AF11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0" s="11">
        <f>IF(tblOrdenes[[#This Row],[orden]]="","",_xlfn.XLOOKUP(tblOrdenes[[#This Row],[id_operacion]],tblEjecucion[id_operacion],tblEjecucion[precio],0))</f>
        <v/>
      </c>
      <c r="AJ1130" s="11">
        <f>IF(tblOrdenes[[#This Row],[orden]]="","",MAX(0,_xlfn.XLOOKUP(tblOrdenes[[#This Row],[id_operacion]],tblEjecucion[id_operacion],tblEjecucion[costo_plan_total],0)-tblOrdenes[[#This Row],[costo_servicio]]))</f>
        <v/>
      </c>
      <c r="AK1130" s="11">
        <f>IF(tblOrdenes[[#This Row],[orden]]="","",tblOrdenes[[#This Row],[costo_servicio]]+tblOrdenes[[#This Row],[costo_materiales]])</f>
        <v/>
      </c>
      <c r="AL1130" s="6" t="n"/>
      <c r="AM1130" s="6" t="n"/>
      <c r="AN1130" s="6" t="n"/>
      <c r="AO1130" s="3">
        <f>IF(tblOrdenes[[#This Row],[link_checklist]]="","",HYPERLINK(p_ruta_base_checklists&amp;tblOrdenes[[#This Row],[link_checklist]],"abrir"))</f>
        <v/>
      </c>
      <c r="AP1130" s="6" t="n"/>
      <c r="AQ1130" s="3">
        <f>IF(tblOrdenes[[#This Row],[orden]]="","",tblOrdenes[[#This Row],[orden]]&amp;IF(tblOrdenes[[#This Row],[operacion]]="","0010",tblOrdenes[[#This Row],[operacion]]))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2" t="n"/>
      <c r="K1131" s="3" t="n"/>
      <c r="L1131" s="11" t="n"/>
      <c r="M11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1" s="3">
        <f>IF(tblOrdenes[[#This Row],[fecha_inicio]]="","",YEAR(tblOrdenes[[#This Row],[fecha_inicio]]))</f>
        <v/>
      </c>
      <c r="Q1131" s="3">
        <f>IF(tblOrdenes[[#This Row],[fecha_inicio]]="","",MONTH(tblOrdenes[[#This Row],[fecha_inicio]]))</f>
        <v/>
      </c>
      <c r="R1131" s="3">
        <f>IF(tblOrdenes[[#This Row],[fecha_inicio]]="","",INDEX(lista_dias,WEEKDAY(tblOrdenes[[#This Row],[fecha_inicio]],2)))</f>
        <v/>
      </c>
      <c r="S11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1" s="3">
        <f>IF(tblOrdenes[[#This Row],[tipo_ot]]="","",_xlfn.XLOOKUP(tblOrdenes[[#This Row],[tipo_ot]],tblTiposOT[codigo],tblTiposOT[clasificacion],"sin_clasificar"))</f>
        <v/>
      </c>
      <c r="U1131" s="3">
        <f>IF(tblOrdenes[[#This Row],[centro_costo]]="","",_xlfn.XLOOKUP(tblOrdenes[[#This Row],[centro_costo]],tblCECO[codigo],tblCECO[linea],"(sin catálogo)"))</f>
        <v/>
      </c>
      <c r="V1131" s="3">
        <f>IF(tblOrdenes[[#This Row],[centro_costo]]="","",_xlfn.XLOOKUP(tblOrdenes[[#This Row],[centro_costo]],tblCECO[codigo],tblCECO[area],"(sin catálogo)"))</f>
        <v/>
      </c>
      <c r="W11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1" s="3">
        <f>IF(tblOrdenes[[#This Row],[centro_costo]]="","",_xlfn.XLOOKUP(tblOrdenes[[#This Row],[centro_costo]],tblCECO[codigo],tblCECO[coordinador],"(sin catálogo)"))</f>
        <v/>
      </c>
      <c r="Y1131" s="3">
        <f>IF(tblOrdenes[[#This Row],[puesto_trabajo]]="","",_xlfn.XLOOKUP(tblOrdenes[[#This Row],[puesto_trabajo]],tblPuestos[codigo],tblPuestos[especialidad],"(sin catálogo)"))</f>
        <v/>
      </c>
      <c r="Z1131" s="3">
        <f>IF(tblOrdenes[[#This Row],[cod_actividad]]="","",_xlfn.XLOOKUP(tblOrdenes[[#This Row],[cod_actividad]],tblActividades[codigo],tblActividades[descripcion],"(sin catálogo)"))</f>
        <v/>
      </c>
      <c r="AA1131" s="13">
        <f>IF(tblOrdenes[[#This Row],[fecha_inicio]]="","",TODAY()-tblOrdenes[[#This Row],[fecha_inicio]])</f>
        <v/>
      </c>
      <c r="AB11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1" s="3">
        <f>IF(tblOrdenes[[#This Row],[backlog_habiles]]="","",IF(tblOrdenes[[#This Row],[backlog_habiles]]&lt;0,"FUTURO",IF(tblOrdenes[[#This Row],[backlog_habiles]]&gt;p_dias_backlog_max,"BACKLOG","MES CORRIENTE")))</f>
        <v/>
      </c>
      <c r="AD1131" s="3">
        <f>IF(tblOrdenes[[#This Row],[backlog_habiles]]="",FALSE,AND(tblOrdenes[[#This Row],[backlog_habiles]]&gt;p_dias_backlog_min,tblOrdenes[[#This Row],[backlog_habiles]]&lt;=p_dias_backlog_max))</f>
        <v/>
      </c>
      <c r="AE1131" s="6" t="n"/>
      <c r="AF11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1" s="11">
        <f>IF(tblOrdenes[[#This Row],[orden]]="","",_xlfn.XLOOKUP(tblOrdenes[[#This Row],[id_operacion]],tblEjecucion[id_operacion],tblEjecucion[precio],0))</f>
        <v/>
      </c>
      <c r="AJ1131" s="11">
        <f>IF(tblOrdenes[[#This Row],[orden]]="","",MAX(0,_xlfn.XLOOKUP(tblOrdenes[[#This Row],[id_operacion]],tblEjecucion[id_operacion],tblEjecucion[costo_plan_total],0)-tblOrdenes[[#This Row],[costo_servicio]]))</f>
        <v/>
      </c>
      <c r="AK1131" s="11">
        <f>IF(tblOrdenes[[#This Row],[orden]]="","",tblOrdenes[[#This Row],[costo_servicio]]+tblOrdenes[[#This Row],[costo_materiales]])</f>
        <v/>
      </c>
      <c r="AL1131" s="6" t="n"/>
      <c r="AM1131" s="6" t="n"/>
      <c r="AN1131" s="6" t="n"/>
      <c r="AO1131" s="3">
        <f>IF(tblOrdenes[[#This Row],[link_checklist]]="","",HYPERLINK(p_ruta_base_checklists&amp;tblOrdenes[[#This Row],[link_checklist]],"abrir"))</f>
        <v/>
      </c>
      <c r="AP1131" s="6" t="n"/>
      <c r="AQ1131" s="3">
        <f>IF(tblOrdenes[[#This Row],[orden]]="","",tblOrdenes[[#This Row],[orden]]&amp;IF(tblOrdenes[[#This Row],[operacion]]="","0010",tblOrdenes[[#This Row],[operacion]]))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2" t="n"/>
      <c r="K1132" s="3" t="n"/>
      <c r="L1132" s="11" t="n"/>
      <c r="M11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2" s="3">
        <f>IF(tblOrdenes[[#This Row],[fecha_inicio]]="","",YEAR(tblOrdenes[[#This Row],[fecha_inicio]]))</f>
        <v/>
      </c>
      <c r="Q1132" s="3">
        <f>IF(tblOrdenes[[#This Row],[fecha_inicio]]="","",MONTH(tblOrdenes[[#This Row],[fecha_inicio]]))</f>
        <v/>
      </c>
      <c r="R1132" s="3">
        <f>IF(tblOrdenes[[#This Row],[fecha_inicio]]="","",INDEX(lista_dias,WEEKDAY(tblOrdenes[[#This Row],[fecha_inicio]],2)))</f>
        <v/>
      </c>
      <c r="S11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2" s="3">
        <f>IF(tblOrdenes[[#This Row],[tipo_ot]]="","",_xlfn.XLOOKUP(tblOrdenes[[#This Row],[tipo_ot]],tblTiposOT[codigo],tblTiposOT[clasificacion],"sin_clasificar"))</f>
        <v/>
      </c>
      <c r="U1132" s="3">
        <f>IF(tblOrdenes[[#This Row],[centro_costo]]="","",_xlfn.XLOOKUP(tblOrdenes[[#This Row],[centro_costo]],tblCECO[codigo],tblCECO[linea],"(sin catálogo)"))</f>
        <v/>
      </c>
      <c r="V1132" s="3">
        <f>IF(tblOrdenes[[#This Row],[centro_costo]]="","",_xlfn.XLOOKUP(tblOrdenes[[#This Row],[centro_costo]],tblCECO[codigo],tblCECO[area],"(sin catálogo)"))</f>
        <v/>
      </c>
      <c r="W11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2" s="3">
        <f>IF(tblOrdenes[[#This Row],[centro_costo]]="","",_xlfn.XLOOKUP(tblOrdenes[[#This Row],[centro_costo]],tblCECO[codigo],tblCECO[coordinador],"(sin catálogo)"))</f>
        <v/>
      </c>
      <c r="Y1132" s="3">
        <f>IF(tblOrdenes[[#This Row],[puesto_trabajo]]="","",_xlfn.XLOOKUP(tblOrdenes[[#This Row],[puesto_trabajo]],tblPuestos[codigo],tblPuestos[especialidad],"(sin catálogo)"))</f>
        <v/>
      </c>
      <c r="Z1132" s="3">
        <f>IF(tblOrdenes[[#This Row],[cod_actividad]]="","",_xlfn.XLOOKUP(tblOrdenes[[#This Row],[cod_actividad]],tblActividades[codigo],tblActividades[descripcion],"(sin catálogo)"))</f>
        <v/>
      </c>
      <c r="AA1132" s="13">
        <f>IF(tblOrdenes[[#This Row],[fecha_inicio]]="","",TODAY()-tblOrdenes[[#This Row],[fecha_inicio]])</f>
        <v/>
      </c>
      <c r="AB11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2" s="3">
        <f>IF(tblOrdenes[[#This Row],[backlog_habiles]]="","",IF(tblOrdenes[[#This Row],[backlog_habiles]]&lt;0,"FUTURO",IF(tblOrdenes[[#This Row],[backlog_habiles]]&gt;p_dias_backlog_max,"BACKLOG","MES CORRIENTE")))</f>
        <v/>
      </c>
      <c r="AD1132" s="3">
        <f>IF(tblOrdenes[[#This Row],[backlog_habiles]]="",FALSE,AND(tblOrdenes[[#This Row],[backlog_habiles]]&gt;p_dias_backlog_min,tblOrdenes[[#This Row],[backlog_habiles]]&lt;=p_dias_backlog_max))</f>
        <v/>
      </c>
      <c r="AE1132" s="6" t="n"/>
      <c r="AF11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2" s="11">
        <f>IF(tblOrdenes[[#This Row],[orden]]="","",_xlfn.XLOOKUP(tblOrdenes[[#This Row],[id_operacion]],tblEjecucion[id_operacion],tblEjecucion[precio],0))</f>
        <v/>
      </c>
      <c r="AJ1132" s="11">
        <f>IF(tblOrdenes[[#This Row],[orden]]="","",MAX(0,_xlfn.XLOOKUP(tblOrdenes[[#This Row],[id_operacion]],tblEjecucion[id_operacion],tblEjecucion[costo_plan_total],0)-tblOrdenes[[#This Row],[costo_servicio]]))</f>
        <v/>
      </c>
      <c r="AK1132" s="11">
        <f>IF(tblOrdenes[[#This Row],[orden]]="","",tblOrdenes[[#This Row],[costo_servicio]]+tblOrdenes[[#This Row],[costo_materiales]])</f>
        <v/>
      </c>
      <c r="AL1132" s="6" t="n"/>
      <c r="AM1132" s="6" t="n"/>
      <c r="AN1132" s="6" t="n"/>
      <c r="AO1132" s="3">
        <f>IF(tblOrdenes[[#This Row],[link_checklist]]="","",HYPERLINK(p_ruta_base_checklists&amp;tblOrdenes[[#This Row],[link_checklist]],"abrir"))</f>
        <v/>
      </c>
      <c r="AP1132" s="6" t="n"/>
      <c r="AQ1132" s="3">
        <f>IF(tblOrdenes[[#This Row],[orden]]="","",tblOrdenes[[#This Row],[orden]]&amp;IF(tblOrdenes[[#This Row],[operacion]]="","0010",tblOrdenes[[#This Row],[operacion]]))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2" t="n"/>
      <c r="K1133" s="3" t="n"/>
      <c r="L1133" s="11" t="n"/>
      <c r="M11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3" s="3">
        <f>IF(tblOrdenes[[#This Row],[fecha_inicio]]="","",YEAR(tblOrdenes[[#This Row],[fecha_inicio]]))</f>
        <v/>
      </c>
      <c r="Q1133" s="3">
        <f>IF(tblOrdenes[[#This Row],[fecha_inicio]]="","",MONTH(tblOrdenes[[#This Row],[fecha_inicio]]))</f>
        <v/>
      </c>
      <c r="R1133" s="3">
        <f>IF(tblOrdenes[[#This Row],[fecha_inicio]]="","",INDEX(lista_dias,WEEKDAY(tblOrdenes[[#This Row],[fecha_inicio]],2)))</f>
        <v/>
      </c>
      <c r="S11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3" s="3">
        <f>IF(tblOrdenes[[#This Row],[tipo_ot]]="","",_xlfn.XLOOKUP(tblOrdenes[[#This Row],[tipo_ot]],tblTiposOT[codigo],tblTiposOT[clasificacion],"sin_clasificar"))</f>
        <v/>
      </c>
      <c r="U1133" s="3">
        <f>IF(tblOrdenes[[#This Row],[centro_costo]]="","",_xlfn.XLOOKUP(tblOrdenes[[#This Row],[centro_costo]],tblCECO[codigo],tblCECO[linea],"(sin catálogo)"))</f>
        <v/>
      </c>
      <c r="V1133" s="3">
        <f>IF(tblOrdenes[[#This Row],[centro_costo]]="","",_xlfn.XLOOKUP(tblOrdenes[[#This Row],[centro_costo]],tblCECO[codigo],tblCECO[area],"(sin catálogo)"))</f>
        <v/>
      </c>
      <c r="W11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3" s="3">
        <f>IF(tblOrdenes[[#This Row],[centro_costo]]="","",_xlfn.XLOOKUP(tblOrdenes[[#This Row],[centro_costo]],tblCECO[codigo],tblCECO[coordinador],"(sin catálogo)"))</f>
        <v/>
      </c>
      <c r="Y1133" s="3">
        <f>IF(tblOrdenes[[#This Row],[puesto_trabajo]]="","",_xlfn.XLOOKUP(tblOrdenes[[#This Row],[puesto_trabajo]],tblPuestos[codigo],tblPuestos[especialidad],"(sin catálogo)"))</f>
        <v/>
      </c>
      <c r="Z1133" s="3">
        <f>IF(tblOrdenes[[#This Row],[cod_actividad]]="","",_xlfn.XLOOKUP(tblOrdenes[[#This Row],[cod_actividad]],tblActividades[codigo],tblActividades[descripcion],"(sin catálogo)"))</f>
        <v/>
      </c>
      <c r="AA1133" s="13">
        <f>IF(tblOrdenes[[#This Row],[fecha_inicio]]="","",TODAY()-tblOrdenes[[#This Row],[fecha_inicio]])</f>
        <v/>
      </c>
      <c r="AB11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3" s="3">
        <f>IF(tblOrdenes[[#This Row],[backlog_habiles]]="","",IF(tblOrdenes[[#This Row],[backlog_habiles]]&lt;0,"FUTURO",IF(tblOrdenes[[#This Row],[backlog_habiles]]&gt;p_dias_backlog_max,"BACKLOG","MES CORRIENTE")))</f>
        <v/>
      </c>
      <c r="AD1133" s="3">
        <f>IF(tblOrdenes[[#This Row],[backlog_habiles]]="",FALSE,AND(tblOrdenes[[#This Row],[backlog_habiles]]&gt;p_dias_backlog_min,tblOrdenes[[#This Row],[backlog_habiles]]&lt;=p_dias_backlog_max))</f>
        <v/>
      </c>
      <c r="AE1133" s="6" t="n"/>
      <c r="AF11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3" s="11">
        <f>IF(tblOrdenes[[#This Row],[orden]]="","",_xlfn.XLOOKUP(tblOrdenes[[#This Row],[id_operacion]],tblEjecucion[id_operacion],tblEjecucion[precio],0))</f>
        <v/>
      </c>
      <c r="AJ1133" s="11">
        <f>IF(tblOrdenes[[#This Row],[orden]]="","",MAX(0,_xlfn.XLOOKUP(tblOrdenes[[#This Row],[id_operacion]],tblEjecucion[id_operacion],tblEjecucion[costo_plan_total],0)-tblOrdenes[[#This Row],[costo_servicio]]))</f>
        <v/>
      </c>
      <c r="AK1133" s="11">
        <f>IF(tblOrdenes[[#This Row],[orden]]="","",tblOrdenes[[#This Row],[costo_servicio]]+tblOrdenes[[#This Row],[costo_materiales]])</f>
        <v/>
      </c>
      <c r="AL1133" s="6" t="n"/>
      <c r="AM1133" s="6" t="n"/>
      <c r="AN1133" s="6" t="n"/>
      <c r="AO1133" s="3">
        <f>IF(tblOrdenes[[#This Row],[link_checklist]]="","",HYPERLINK(p_ruta_base_checklists&amp;tblOrdenes[[#This Row],[link_checklist]],"abrir"))</f>
        <v/>
      </c>
      <c r="AP1133" s="6" t="n"/>
      <c r="AQ1133" s="3">
        <f>IF(tblOrdenes[[#This Row],[orden]]="","",tblOrdenes[[#This Row],[orden]]&amp;IF(tblOrdenes[[#This Row],[operacion]]="","0010",tblOrdenes[[#This Row],[operacion]]))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2" t="n"/>
      <c r="K1134" s="3" t="n"/>
      <c r="L1134" s="11" t="n"/>
      <c r="M11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4" s="3">
        <f>IF(tblOrdenes[[#This Row],[fecha_inicio]]="","",YEAR(tblOrdenes[[#This Row],[fecha_inicio]]))</f>
        <v/>
      </c>
      <c r="Q1134" s="3">
        <f>IF(tblOrdenes[[#This Row],[fecha_inicio]]="","",MONTH(tblOrdenes[[#This Row],[fecha_inicio]]))</f>
        <v/>
      </c>
      <c r="R1134" s="3">
        <f>IF(tblOrdenes[[#This Row],[fecha_inicio]]="","",INDEX(lista_dias,WEEKDAY(tblOrdenes[[#This Row],[fecha_inicio]],2)))</f>
        <v/>
      </c>
      <c r="S11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4" s="3">
        <f>IF(tblOrdenes[[#This Row],[tipo_ot]]="","",_xlfn.XLOOKUP(tblOrdenes[[#This Row],[tipo_ot]],tblTiposOT[codigo],tblTiposOT[clasificacion],"sin_clasificar"))</f>
        <v/>
      </c>
      <c r="U1134" s="3">
        <f>IF(tblOrdenes[[#This Row],[centro_costo]]="","",_xlfn.XLOOKUP(tblOrdenes[[#This Row],[centro_costo]],tblCECO[codigo],tblCECO[linea],"(sin catálogo)"))</f>
        <v/>
      </c>
      <c r="V1134" s="3">
        <f>IF(tblOrdenes[[#This Row],[centro_costo]]="","",_xlfn.XLOOKUP(tblOrdenes[[#This Row],[centro_costo]],tblCECO[codigo],tblCECO[area],"(sin catálogo)"))</f>
        <v/>
      </c>
      <c r="W11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4" s="3">
        <f>IF(tblOrdenes[[#This Row],[centro_costo]]="","",_xlfn.XLOOKUP(tblOrdenes[[#This Row],[centro_costo]],tblCECO[codigo],tblCECO[coordinador],"(sin catálogo)"))</f>
        <v/>
      </c>
      <c r="Y1134" s="3">
        <f>IF(tblOrdenes[[#This Row],[puesto_trabajo]]="","",_xlfn.XLOOKUP(tblOrdenes[[#This Row],[puesto_trabajo]],tblPuestos[codigo],tblPuestos[especialidad],"(sin catálogo)"))</f>
        <v/>
      </c>
      <c r="Z1134" s="3">
        <f>IF(tblOrdenes[[#This Row],[cod_actividad]]="","",_xlfn.XLOOKUP(tblOrdenes[[#This Row],[cod_actividad]],tblActividades[codigo],tblActividades[descripcion],"(sin catálogo)"))</f>
        <v/>
      </c>
      <c r="AA1134" s="13">
        <f>IF(tblOrdenes[[#This Row],[fecha_inicio]]="","",TODAY()-tblOrdenes[[#This Row],[fecha_inicio]])</f>
        <v/>
      </c>
      <c r="AB11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4" s="3">
        <f>IF(tblOrdenes[[#This Row],[backlog_habiles]]="","",IF(tblOrdenes[[#This Row],[backlog_habiles]]&lt;0,"FUTURO",IF(tblOrdenes[[#This Row],[backlog_habiles]]&gt;p_dias_backlog_max,"BACKLOG","MES CORRIENTE")))</f>
        <v/>
      </c>
      <c r="AD1134" s="3">
        <f>IF(tblOrdenes[[#This Row],[backlog_habiles]]="",FALSE,AND(tblOrdenes[[#This Row],[backlog_habiles]]&gt;p_dias_backlog_min,tblOrdenes[[#This Row],[backlog_habiles]]&lt;=p_dias_backlog_max))</f>
        <v/>
      </c>
      <c r="AE1134" s="6" t="n"/>
      <c r="AF11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4" s="11">
        <f>IF(tblOrdenes[[#This Row],[orden]]="","",_xlfn.XLOOKUP(tblOrdenes[[#This Row],[id_operacion]],tblEjecucion[id_operacion],tblEjecucion[precio],0))</f>
        <v/>
      </c>
      <c r="AJ1134" s="11">
        <f>IF(tblOrdenes[[#This Row],[orden]]="","",MAX(0,_xlfn.XLOOKUP(tblOrdenes[[#This Row],[id_operacion]],tblEjecucion[id_operacion],tblEjecucion[costo_plan_total],0)-tblOrdenes[[#This Row],[costo_servicio]]))</f>
        <v/>
      </c>
      <c r="AK1134" s="11">
        <f>IF(tblOrdenes[[#This Row],[orden]]="","",tblOrdenes[[#This Row],[costo_servicio]]+tblOrdenes[[#This Row],[costo_materiales]])</f>
        <v/>
      </c>
      <c r="AL1134" s="6" t="n"/>
      <c r="AM1134" s="6" t="n"/>
      <c r="AN1134" s="6" t="n"/>
      <c r="AO1134" s="3">
        <f>IF(tblOrdenes[[#This Row],[link_checklist]]="","",HYPERLINK(p_ruta_base_checklists&amp;tblOrdenes[[#This Row],[link_checklist]],"abrir"))</f>
        <v/>
      </c>
      <c r="AP1134" s="6" t="n"/>
      <c r="AQ1134" s="3">
        <f>IF(tblOrdenes[[#This Row],[orden]]="","",tblOrdenes[[#This Row],[orden]]&amp;IF(tblOrdenes[[#This Row],[operacion]]="","0010",tblOrdenes[[#This Row],[operacion]]))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2" t="n"/>
      <c r="K1135" s="3" t="n"/>
      <c r="L1135" s="11" t="n"/>
      <c r="M11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5" s="3">
        <f>IF(tblOrdenes[[#This Row],[fecha_inicio]]="","",YEAR(tblOrdenes[[#This Row],[fecha_inicio]]))</f>
        <v/>
      </c>
      <c r="Q1135" s="3">
        <f>IF(tblOrdenes[[#This Row],[fecha_inicio]]="","",MONTH(tblOrdenes[[#This Row],[fecha_inicio]]))</f>
        <v/>
      </c>
      <c r="R1135" s="3">
        <f>IF(tblOrdenes[[#This Row],[fecha_inicio]]="","",INDEX(lista_dias,WEEKDAY(tblOrdenes[[#This Row],[fecha_inicio]],2)))</f>
        <v/>
      </c>
      <c r="S11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5" s="3">
        <f>IF(tblOrdenes[[#This Row],[tipo_ot]]="","",_xlfn.XLOOKUP(tblOrdenes[[#This Row],[tipo_ot]],tblTiposOT[codigo],tblTiposOT[clasificacion],"sin_clasificar"))</f>
        <v/>
      </c>
      <c r="U1135" s="3">
        <f>IF(tblOrdenes[[#This Row],[centro_costo]]="","",_xlfn.XLOOKUP(tblOrdenes[[#This Row],[centro_costo]],tblCECO[codigo],tblCECO[linea],"(sin catálogo)"))</f>
        <v/>
      </c>
      <c r="V1135" s="3">
        <f>IF(tblOrdenes[[#This Row],[centro_costo]]="","",_xlfn.XLOOKUP(tblOrdenes[[#This Row],[centro_costo]],tblCECO[codigo],tblCECO[area],"(sin catálogo)"))</f>
        <v/>
      </c>
      <c r="W11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5" s="3">
        <f>IF(tblOrdenes[[#This Row],[centro_costo]]="","",_xlfn.XLOOKUP(tblOrdenes[[#This Row],[centro_costo]],tblCECO[codigo],tblCECO[coordinador],"(sin catálogo)"))</f>
        <v/>
      </c>
      <c r="Y1135" s="3">
        <f>IF(tblOrdenes[[#This Row],[puesto_trabajo]]="","",_xlfn.XLOOKUP(tblOrdenes[[#This Row],[puesto_trabajo]],tblPuestos[codigo],tblPuestos[especialidad],"(sin catálogo)"))</f>
        <v/>
      </c>
      <c r="Z1135" s="3">
        <f>IF(tblOrdenes[[#This Row],[cod_actividad]]="","",_xlfn.XLOOKUP(tblOrdenes[[#This Row],[cod_actividad]],tblActividades[codigo],tblActividades[descripcion],"(sin catálogo)"))</f>
        <v/>
      </c>
      <c r="AA1135" s="13">
        <f>IF(tblOrdenes[[#This Row],[fecha_inicio]]="","",TODAY()-tblOrdenes[[#This Row],[fecha_inicio]])</f>
        <v/>
      </c>
      <c r="AB11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5" s="3">
        <f>IF(tblOrdenes[[#This Row],[backlog_habiles]]="","",IF(tblOrdenes[[#This Row],[backlog_habiles]]&lt;0,"FUTURO",IF(tblOrdenes[[#This Row],[backlog_habiles]]&gt;p_dias_backlog_max,"BACKLOG","MES CORRIENTE")))</f>
        <v/>
      </c>
      <c r="AD1135" s="3">
        <f>IF(tblOrdenes[[#This Row],[backlog_habiles]]="",FALSE,AND(tblOrdenes[[#This Row],[backlog_habiles]]&gt;p_dias_backlog_min,tblOrdenes[[#This Row],[backlog_habiles]]&lt;=p_dias_backlog_max))</f>
        <v/>
      </c>
      <c r="AE1135" s="6" t="n"/>
      <c r="AF11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5" s="11">
        <f>IF(tblOrdenes[[#This Row],[orden]]="","",_xlfn.XLOOKUP(tblOrdenes[[#This Row],[id_operacion]],tblEjecucion[id_operacion],tblEjecucion[precio],0))</f>
        <v/>
      </c>
      <c r="AJ1135" s="11">
        <f>IF(tblOrdenes[[#This Row],[orden]]="","",MAX(0,_xlfn.XLOOKUP(tblOrdenes[[#This Row],[id_operacion]],tblEjecucion[id_operacion],tblEjecucion[costo_plan_total],0)-tblOrdenes[[#This Row],[costo_servicio]]))</f>
        <v/>
      </c>
      <c r="AK1135" s="11">
        <f>IF(tblOrdenes[[#This Row],[orden]]="","",tblOrdenes[[#This Row],[costo_servicio]]+tblOrdenes[[#This Row],[costo_materiales]])</f>
        <v/>
      </c>
      <c r="AL1135" s="6" t="n"/>
      <c r="AM1135" s="6" t="n"/>
      <c r="AN1135" s="6" t="n"/>
      <c r="AO1135" s="3">
        <f>IF(tblOrdenes[[#This Row],[link_checklist]]="","",HYPERLINK(p_ruta_base_checklists&amp;tblOrdenes[[#This Row],[link_checklist]],"abrir"))</f>
        <v/>
      </c>
      <c r="AP1135" s="6" t="n"/>
      <c r="AQ1135" s="3">
        <f>IF(tblOrdenes[[#This Row],[orden]]="","",tblOrdenes[[#This Row],[orden]]&amp;IF(tblOrdenes[[#This Row],[operacion]]="","0010",tblOrdenes[[#This Row],[operacion]]))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2" t="n"/>
      <c r="K1136" s="3" t="n"/>
      <c r="L1136" s="11" t="n"/>
      <c r="M11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6" s="3">
        <f>IF(tblOrdenes[[#This Row],[fecha_inicio]]="","",YEAR(tblOrdenes[[#This Row],[fecha_inicio]]))</f>
        <v/>
      </c>
      <c r="Q1136" s="3">
        <f>IF(tblOrdenes[[#This Row],[fecha_inicio]]="","",MONTH(tblOrdenes[[#This Row],[fecha_inicio]]))</f>
        <v/>
      </c>
      <c r="R1136" s="3">
        <f>IF(tblOrdenes[[#This Row],[fecha_inicio]]="","",INDEX(lista_dias,WEEKDAY(tblOrdenes[[#This Row],[fecha_inicio]],2)))</f>
        <v/>
      </c>
      <c r="S11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6" s="3">
        <f>IF(tblOrdenes[[#This Row],[tipo_ot]]="","",_xlfn.XLOOKUP(tblOrdenes[[#This Row],[tipo_ot]],tblTiposOT[codigo],tblTiposOT[clasificacion],"sin_clasificar"))</f>
        <v/>
      </c>
      <c r="U1136" s="3">
        <f>IF(tblOrdenes[[#This Row],[centro_costo]]="","",_xlfn.XLOOKUP(tblOrdenes[[#This Row],[centro_costo]],tblCECO[codigo],tblCECO[linea],"(sin catálogo)"))</f>
        <v/>
      </c>
      <c r="V1136" s="3">
        <f>IF(tblOrdenes[[#This Row],[centro_costo]]="","",_xlfn.XLOOKUP(tblOrdenes[[#This Row],[centro_costo]],tblCECO[codigo],tblCECO[area],"(sin catálogo)"))</f>
        <v/>
      </c>
      <c r="W11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6" s="3">
        <f>IF(tblOrdenes[[#This Row],[centro_costo]]="","",_xlfn.XLOOKUP(tblOrdenes[[#This Row],[centro_costo]],tblCECO[codigo],tblCECO[coordinador],"(sin catálogo)"))</f>
        <v/>
      </c>
      <c r="Y1136" s="3">
        <f>IF(tblOrdenes[[#This Row],[puesto_trabajo]]="","",_xlfn.XLOOKUP(tblOrdenes[[#This Row],[puesto_trabajo]],tblPuestos[codigo],tblPuestos[especialidad],"(sin catálogo)"))</f>
        <v/>
      </c>
      <c r="Z1136" s="3">
        <f>IF(tblOrdenes[[#This Row],[cod_actividad]]="","",_xlfn.XLOOKUP(tblOrdenes[[#This Row],[cod_actividad]],tblActividades[codigo],tblActividades[descripcion],"(sin catálogo)"))</f>
        <v/>
      </c>
      <c r="AA1136" s="13">
        <f>IF(tblOrdenes[[#This Row],[fecha_inicio]]="","",TODAY()-tblOrdenes[[#This Row],[fecha_inicio]])</f>
        <v/>
      </c>
      <c r="AB11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6" s="3">
        <f>IF(tblOrdenes[[#This Row],[backlog_habiles]]="","",IF(tblOrdenes[[#This Row],[backlog_habiles]]&lt;0,"FUTURO",IF(tblOrdenes[[#This Row],[backlog_habiles]]&gt;p_dias_backlog_max,"BACKLOG","MES CORRIENTE")))</f>
        <v/>
      </c>
      <c r="AD1136" s="3">
        <f>IF(tblOrdenes[[#This Row],[backlog_habiles]]="",FALSE,AND(tblOrdenes[[#This Row],[backlog_habiles]]&gt;p_dias_backlog_min,tblOrdenes[[#This Row],[backlog_habiles]]&lt;=p_dias_backlog_max))</f>
        <v/>
      </c>
      <c r="AE1136" s="6" t="n"/>
      <c r="AF11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6" s="11">
        <f>IF(tblOrdenes[[#This Row],[orden]]="","",_xlfn.XLOOKUP(tblOrdenes[[#This Row],[id_operacion]],tblEjecucion[id_operacion],tblEjecucion[precio],0))</f>
        <v/>
      </c>
      <c r="AJ1136" s="11">
        <f>IF(tblOrdenes[[#This Row],[orden]]="","",MAX(0,_xlfn.XLOOKUP(tblOrdenes[[#This Row],[id_operacion]],tblEjecucion[id_operacion],tblEjecucion[costo_plan_total],0)-tblOrdenes[[#This Row],[costo_servicio]]))</f>
        <v/>
      </c>
      <c r="AK1136" s="11">
        <f>IF(tblOrdenes[[#This Row],[orden]]="","",tblOrdenes[[#This Row],[costo_servicio]]+tblOrdenes[[#This Row],[costo_materiales]])</f>
        <v/>
      </c>
      <c r="AL1136" s="6" t="n"/>
      <c r="AM1136" s="6" t="n"/>
      <c r="AN1136" s="6" t="n"/>
      <c r="AO1136" s="3">
        <f>IF(tblOrdenes[[#This Row],[link_checklist]]="","",HYPERLINK(p_ruta_base_checklists&amp;tblOrdenes[[#This Row],[link_checklist]],"abrir"))</f>
        <v/>
      </c>
      <c r="AP1136" s="6" t="n"/>
      <c r="AQ1136" s="3">
        <f>IF(tblOrdenes[[#This Row],[orden]]="","",tblOrdenes[[#This Row],[orden]]&amp;IF(tblOrdenes[[#This Row],[operacion]]="","0010",tblOrdenes[[#This Row],[operacion]]))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2" t="n"/>
      <c r="K1137" s="3" t="n"/>
      <c r="L1137" s="11" t="n"/>
      <c r="M11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7" s="3">
        <f>IF(tblOrdenes[[#This Row],[fecha_inicio]]="","",YEAR(tblOrdenes[[#This Row],[fecha_inicio]]))</f>
        <v/>
      </c>
      <c r="Q1137" s="3">
        <f>IF(tblOrdenes[[#This Row],[fecha_inicio]]="","",MONTH(tblOrdenes[[#This Row],[fecha_inicio]]))</f>
        <v/>
      </c>
      <c r="R1137" s="3">
        <f>IF(tblOrdenes[[#This Row],[fecha_inicio]]="","",INDEX(lista_dias,WEEKDAY(tblOrdenes[[#This Row],[fecha_inicio]],2)))</f>
        <v/>
      </c>
      <c r="S11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7" s="3">
        <f>IF(tblOrdenes[[#This Row],[tipo_ot]]="","",_xlfn.XLOOKUP(tblOrdenes[[#This Row],[tipo_ot]],tblTiposOT[codigo],tblTiposOT[clasificacion],"sin_clasificar"))</f>
        <v/>
      </c>
      <c r="U1137" s="3">
        <f>IF(tblOrdenes[[#This Row],[centro_costo]]="","",_xlfn.XLOOKUP(tblOrdenes[[#This Row],[centro_costo]],tblCECO[codigo],tblCECO[linea],"(sin catálogo)"))</f>
        <v/>
      </c>
      <c r="V1137" s="3">
        <f>IF(tblOrdenes[[#This Row],[centro_costo]]="","",_xlfn.XLOOKUP(tblOrdenes[[#This Row],[centro_costo]],tblCECO[codigo],tblCECO[area],"(sin catálogo)"))</f>
        <v/>
      </c>
      <c r="W11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7" s="3">
        <f>IF(tblOrdenes[[#This Row],[centro_costo]]="","",_xlfn.XLOOKUP(tblOrdenes[[#This Row],[centro_costo]],tblCECO[codigo],tblCECO[coordinador],"(sin catálogo)"))</f>
        <v/>
      </c>
      <c r="Y1137" s="3">
        <f>IF(tblOrdenes[[#This Row],[puesto_trabajo]]="","",_xlfn.XLOOKUP(tblOrdenes[[#This Row],[puesto_trabajo]],tblPuestos[codigo],tblPuestos[especialidad],"(sin catálogo)"))</f>
        <v/>
      </c>
      <c r="Z1137" s="3">
        <f>IF(tblOrdenes[[#This Row],[cod_actividad]]="","",_xlfn.XLOOKUP(tblOrdenes[[#This Row],[cod_actividad]],tblActividades[codigo],tblActividades[descripcion],"(sin catálogo)"))</f>
        <v/>
      </c>
      <c r="AA1137" s="13">
        <f>IF(tblOrdenes[[#This Row],[fecha_inicio]]="","",TODAY()-tblOrdenes[[#This Row],[fecha_inicio]])</f>
        <v/>
      </c>
      <c r="AB11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7" s="3">
        <f>IF(tblOrdenes[[#This Row],[backlog_habiles]]="","",IF(tblOrdenes[[#This Row],[backlog_habiles]]&lt;0,"FUTURO",IF(tblOrdenes[[#This Row],[backlog_habiles]]&gt;p_dias_backlog_max,"BACKLOG","MES CORRIENTE")))</f>
        <v/>
      </c>
      <c r="AD1137" s="3">
        <f>IF(tblOrdenes[[#This Row],[backlog_habiles]]="",FALSE,AND(tblOrdenes[[#This Row],[backlog_habiles]]&gt;p_dias_backlog_min,tblOrdenes[[#This Row],[backlog_habiles]]&lt;=p_dias_backlog_max))</f>
        <v/>
      </c>
      <c r="AE1137" s="6" t="n"/>
      <c r="AF11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7" s="11">
        <f>IF(tblOrdenes[[#This Row],[orden]]="","",_xlfn.XLOOKUP(tblOrdenes[[#This Row],[id_operacion]],tblEjecucion[id_operacion],tblEjecucion[precio],0))</f>
        <v/>
      </c>
      <c r="AJ1137" s="11">
        <f>IF(tblOrdenes[[#This Row],[orden]]="","",MAX(0,_xlfn.XLOOKUP(tblOrdenes[[#This Row],[id_operacion]],tblEjecucion[id_operacion],tblEjecucion[costo_plan_total],0)-tblOrdenes[[#This Row],[costo_servicio]]))</f>
        <v/>
      </c>
      <c r="AK1137" s="11">
        <f>IF(tblOrdenes[[#This Row],[orden]]="","",tblOrdenes[[#This Row],[costo_servicio]]+tblOrdenes[[#This Row],[costo_materiales]])</f>
        <v/>
      </c>
      <c r="AL1137" s="6" t="n"/>
      <c r="AM1137" s="6" t="n"/>
      <c r="AN1137" s="6" t="n"/>
      <c r="AO1137" s="3">
        <f>IF(tblOrdenes[[#This Row],[link_checklist]]="","",HYPERLINK(p_ruta_base_checklists&amp;tblOrdenes[[#This Row],[link_checklist]],"abrir"))</f>
        <v/>
      </c>
      <c r="AP1137" s="6" t="n"/>
      <c r="AQ1137" s="3">
        <f>IF(tblOrdenes[[#This Row],[orden]]="","",tblOrdenes[[#This Row],[orden]]&amp;IF(tblOrdenes[[#This Row],[operacion]]="","0010",tblOrdenes[[#This Row],[operacion]]))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2" t="n"/>
      <c r="K1138" s="3" t="n"/>
      <c r="L1138" s="11" t="n"/>
      <c r="M11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8" s="3">
        <f>IF(tblOrdenes[[#This Row],[fecha_inicio]]="","",YEAR(tblOrdenes[[#This Row],[fecha_inicio]]))</f>
        <v/>
      </c>
      <c r="Q1138" s="3">
        <f>IF(tblOrdenes[[#This Row],[fecha_inicio]]="","",MONTH(tblOrdenes[[#This Row],[fecha_inicio]]))</f>
        <v/>
      </c>
      <c r="R1138" s="3">
        <f>IF(tblOrdenes[[#This Row],[fecha_inicio]]="","",INDEX(lista_dias,WEEKDAY(tblOrdenes[[#This Row],[fecha_inicio]],2)))</f>
        <v/>
      </c>
      <c r="S11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8" s="3">
        <f>IF(tblOrdenes[[#This Row],[tipo_ot]]="","",_xlfn.XLOOKUP(tblOrdenes[[#This Row],[tipo_ot]],tblTiposOT[codigo],tblTiposOT[clasificacion],"sin_clasificar"))</f>
        <v/>
      </c>
      <c r="U1138" s="3">
        <f>IF(tblOrdenes[[#This Row],[centro_costo]]="","",_xlfn.XLOOKUP(tblOrdenes[[#This Row],[centro_costo]],tblCECO[codigo],tblCECO[linea],"(sin catálogo)"))</f>
        <v/>
      </c>
      <c r="V1138" s="3">
        <f>IF(tblOrdenes[[#This Row],[centro_costo]]="","",_xlfn.XLOOKUP(tblOrdenes[[#This Row],[centro_costo]],tblCECO[codigo],tblCECO[area],"(sin catálogo)"))</f>
        <v/>
      </c>
      <c r="W11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8" s="3">
        <f>IF(tblOrdenes[[#This Row],[centro_costo]]="","",_xlfn.XLOOKUP(tblOrdenes[[#This Row],[centro_costo]],tblCECO[codigo],tblCECO[coordinador],"(sin catálogo)"))</f>
        <v/>
      </c>
      <c r="Y1138" s="3">
        <f>IF(tblOrdenes[[#This Row],[puesto_trabajo]]="","",_xlfn.XLOOKUP(tblOrdenes[[#This Row],[puesto_trabajo]],tblPuestos[codigo],tblPuestos[especialidad],"(sin catálogo)"))</f>
        <v/>
      </c>
      <c r="Z1138" s="3">
        <f>IF(tblOrdenes[[#This Row],[cod_actividad]]="","",_xlfn.XLOOKUP(tblOrdenes[[#This Row],[cod_actividad]],tblActividades[codigo],tblActividades[descripcion],"(sin catálogo)"))</f>
        <v/>
      </c>
      <c r="AA1138" s="13">
        <f>IF(tblOrdenes[[#This Row],[fecha_inicio]]="","",TODAY()-tblOrdenes[[#This Row],[fecha_inicio]])</f>
        <v/>
      </c>
      <c r="AB11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8" s="3">
        <f>IF(tblOrdenes[[#This Row],[backlog_habiles]]="","",IF(tblOrdenes[[#This Row],[backlog_habiles]]&lt;0,"FUTURO",IF(tblOrdenes[[#This Row],[backlog_habiles]]&gt;p_dias_backlog_max,"BACKLOG","MES CORRIENTE")))</f>
        <v/>
      </c>
      <c r="AD1138" s="3">
        <f>IF(tblOrdenes[[#This Row],[backlog_habiles]]="",FALSE,AND(tblOrdenes[[#This Row],[backlog_habiles]]&gt;p_dias_backlog_min,tblOrdenes[[#This Row],[backlog_habiles]]&lt;=p_dias_backlog_max))</f>
        <v/>
      </c>
      <c r="AE1138" s="6" t="n"/>
      <c r="AF11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8" s="11">
        <f>IF(tblOrdenes[[#This Row],[orden]]="","",_xlfn.XLOOKUP(tblOrdenes[[#This Row],[id_operacion]],tblEjecucion[id_operacion],tblEjecucion[precio],0))</f>
        <v/>
      </c>
      <c r="AJ1138" s="11">
        <f>IF(tblOrdenes[[#This Row],[orden]]="","",MAX(0,_xlfn.XLOOKUP(tblOrdenes[[#This Row],[id_operacion]],tblEjecucion[id_operacion],tblEjecucion[costo_plan_total],0)-tblOrdenes[[#This Row],[costo_servicio]]))</f>
        <v/>
      </c>
      <c r="AK1138" s="11">
        <f>IF(tblOrdenes[[#This Row],[orden]]="","",tblOrdenes[[#This Row],[costo_servicio]]+tblOrdenes[[#This Row],[costo_materiales]])</f>
        <v/>
      </c>
      <c r="AL1138" s="6" t="n"/>
      <c r="AM1138" s="6" t="n"/>
      <c r="AN1138" s="6" t="n"/>
      <c r="AO1138" s="3">
        <f>IF(tblOrdenes[[#This Row],[link_checklist]]="","",HYPERLINK(p_ruta_base_checklists&amp;tblOrdenes[[#This Row],[link_checklist]],"abrir"))</f>
        <v/>
      </c>
      <c r="AP1138" s="6" t="n"/>
      <c r="AQ1138" s="3">
        <f>IF(tblOrdenes[[#This Row],[orden]]="","",tblOrdenes[[#This Row],[orden]]&amp;IF(tblOrdenes[[#This Row],[operacion]]="","0010",tblOrdenes[[#This Row],[operacion]]))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2" t="n"/>
      <c r="K1139" s="3" t="n"/>
      <c r="L1139" s="11" t="n"/>
      <c r="M11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9" s="3">
        <f>IF(tblOrdenes[[#This Row],[fecha_inicio]]="","",YEAR(tblOrdenes[[#This Row],[fecha_inicio]]))</f>
        <v/>
      </c>
      <c r="Q1139" s="3">
        <f>IF(tblOrdenes[[#This Row],[fecha_inicio]]="","",MONTH(tblOrdenes[[#This Row],[fecha_inicio]]))</f>
        <v/>
      </c>
      <c r="R1139" s="3">
        <f>IF(tblOrdenes[[#This Row],[fecha_inicio]]="","",INDEX(lista_dias,WEEKDAY(tblOrdenes[[#This Row],[fecha_inicio]],2)))</f>
        <v/>
      </c>
      <c r="S11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9" s="3">
        <f>IF(tblOrdenes[[#This Row],[tipo_ot]]="","",_xlfn.XLOOKUP(tblOrdenes[[#This Row],[tipo_ot]],tblTiposOT[codigo],tblTiposOT[clasificacion],"sin_clasificar"))</f>
        <v/>
      </c>
      <c r="U1139" s="3">
        <f>IF(tblOrdenes[[#This Row],[centro_costo]]="","",_xlfn.XLOOKUP(tblOrdenes[[#This Row],[centro_costo]],tblCECO[codigo],tblCECO[linea],"(sin catálogo)"))</f>
        <v/>
      </c>
      <c r="V1139" s="3">
        <f>IF(tblOrdenes[[#This Row],[centro_costo]]="","",_xlfn.XLOOKUP(tblOrdenes[[#This Row],[centro_costo]],tblCECO[codigo],tblCECO[area],"(sin catálogo)"))</f>
        <v/>
      </c>
      <c r="W11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9" s="3">
        <f>IF(tblOrdenes[[#This Row],[centro_costo]]="","",_xlfn.XLOOKUP(tblOrdenes[[#This Row],[centro_costo]],tblCECO[codigo],tblCECO[coordinador],"(sin catálogo)"))</f>
        <v/>
      </c>
      <c r="Y1139" s="3">
        <f>IF(tblOrdenes[[#This Row],[puesto_trabajo]]="","",_xlfn.XLOOKUP(tblOrdenes[[#This Row],[puesto_trabajo]],tblPuestos[codigo],tblPuestos[especialidad],"(sin catálogo)"))</f>
        <v/>
      </c>
      <c r="Z1139" s="3">
        <f>IF(tblOrdenes[[#This Row],[cod_actividad]]="","",_xlfn.XLOOKUP(tblOrdenes[[#This Row],[cod_actividad]],tblActividades[codigo],tblActividades[descripcion],"(sin catálogo)"))</f>
        <v/>
      </c>
      <c r="AA1139" s="13">
        <f>IF(tblOrdenes[[#This Row],[fecha_inicio]]="","",TODAY()-tblOrdenes[[#This Row],[fecha_inicio]])</f>
        <v/>
      </c>
      <c r="AB11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9" s="3">
        <f>IF(tblOrdenes[[#This Row],[backlog_habiles]]="","",IF(tblOrdenes[[#This Row],[backlog_habiles]]&lt;0,"FUTURO",IF(tblOrdenes[[#This Row],[backlog_habiles]]&gt;p_dias_backlog_max,"BACKLOG","MES CORRIENTE")))</f>
        <v/>
      </c>
      <c r="AD1139" s="3">
        <f>IF(tblOrdenes[[#This Row],[backlog_habiles]]="",FALSE,AND(tblOrdenes[[#This Row],[backlog_habiles]]&gt;p_dias_backlog_min,tblOrdenes[[#This Row],[backlog_habiles]]&lt;=p_dias_backlog_max))</f>
        <v/>
      </c>
      <c r="AE1139" s="6" t="n"/>
      <c r="AF11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9" s="11">
        <f>IF(tblOrdenes[[#This Row],[orden]]="","",_xlfn.XLOOKUP(tblOrdenes[[#This Row],[id_operacion]],tblEjecucion[id_operacion],tblEjecucion[precio],0))</f>
        <v/>
      </c>
      <c r="AJ1139" s="11">
        <f>IF(tblOrdenes[[#This Row],[orden]]="","",MAX(0,_xlfn.XLOOKUP(tblOrdenes[[#This Row],[id_operacion]],tblEjecucion[id_operacion],tblEjecucion[costo_plan_total],0)-tblOrdenes[[#This Row],[costo_servicio]]))</f>
        <v/>
      </c>
      <c r="AK1139" s="11">
        <f>IF(tblOrdenes[[#This Row],[orden]]="","",tblOrdenes[[#This Row],[costo_servicio]]+tblOrdenes[[#This Row],[costo_materiales]])</f>
        <v/>
      </c>
      <c r="AL1139" s="6" t="n"/>
      <c r="AM1139" s="6" t="n"/>
      <c r="AN1139" s="6" t="n"/>
      <c r="AO1139" s="3">
        <f>IF(tblOrdenes[[#This Row],[link_checklist]]="","",HYPERLINK(p_ruta_base_checklists&amp;tblOrdenes[[#This Row],[link_checklist]],"abrir"))</f>
        <v/>
      </c>
      <c r="AP1139" s="6" t="n"/>
      <c r="AQ1139" s="3">
        <f>IF(tblOrdenes[[#This Row],[orden]]="","",tblOrdenes[[#This Row],[orden]]&amp;IF(tblOrdenes[[#This Row],[operacion]]="","0010",tblOrdenes[[#This Row],[operacion]]))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2" t="n"/>
      <c r="K1140" s="3" t="n"/>
      <c r="L1140" s="11" t="n"/>
      <c r="M11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0" s="3">
        <f>IF(tblOrdenes[[#This Row],[fecha_inicio]]="","",YEAR(tblOrdenes[[#This Row],[fecha_inicio]]))</f>
        <v/>
      </c>
      <c r="Q1140" s="3">
        <f>IF(tblOrdenes[[#This Row],[fecha_inicio]]="","",MONTH(tblOrdenes[[#This Row],[fecha_inicio]]))</f>
        <v/>
      </c>
      <c r="R1140" s="3">
        <f>IF(tblOrdenes[[#This Row],[fecha_inicio]]="","",INDEX(lista_dias,WEEKDAY(tblOrdenes[[#This Row],[fecha_inicio]],2)))</f>
        <v/>
      </c>
      <c r="S11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0" s="3">
        <f>IF(tblOrdenes[[#This Row],[tipo_ot]]="","",_xlfn.XLOOKUP(tblOrdenes[[#This Row],[tipo_ot]],tblTiposOT[codigo],tblTiposOT[clasificacion],"sin_clasificar"))</f>
        <v/>
      </c>
      <c r="U1140" s="3">
        <f>IF(tblOrdenes[[#This Row],[centro_costo]]="","",_xlfn.XLOOKUP(tblOrdenes[[#This Row],[centro_costo]],tblCECO[codigo],tblCECO[linea],"(sin catálogo)"))</f>
        <v/>
      </c>
      <c r="V1140" s="3">
        <f>IF(tblOrdenes[[#This Row],[centro_costo]]="","",_xlfn.XLOOKUP(tblOrdenes[[#This Row],[centro_costo]],tblCECO[codigo],tblCECO[area],"(sin catálogo)"))</f>
        <v/>
      </c>
      <c r="W11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0" s="3">
        <f>IF(tblOrdenes[[#This Row],[centro_costo]]="","",_xlfn.XLOOKUP(tblOrdenes[[#This Row],[centro_costo]],tblCECO[codigo],tblCECO[coordinador],"(sin catálogo)"))</f>
        <v/>
      </c>
      <c r="Y1140" s="3">
        <f>IF(tblOrdenes[[#This Row],[puesto_trabajo]]="","",_xlfn.XLOOKUP(tblOrdenes[[#This Row],[puesto_trabajo]],tblPuestos[codigo],tblPuestos[especialidad],"(sin catálogo)"))</f>
        <v/>
      </c>
      <c r="Z1140" s="3">
        <f>IF(tblOrdenes[[#This Row],[cod_actividad]]="","",_xlfn.XLOOKUP(tblOrdenes[[#This Row],[cod_actividad]],tblActividades[codigo],tblActividades[descripcion],"(sin catálogo)"))</f>
        <v/>
      </c>
      <c r="AA1140" s="13">
        <f>IF(tblOrdenes[[#This Row],[fecha_inicio]]="","",TODAY()-tblOrdenes[[#This Row],[fecha_inicio]])</f>
        <v/>
      </c>
      <c r="AB11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0" s="3">
        <f>IF(tblOrdenes[[#This Row],[backlog_habiles]]="","",IF(tblOrdenes[[#This Row],[backlog_habiles]]&lt;0,"FUTURO",IF(tblOrdenes[[#This Row],[backlog_habiles]]&gt;p_dias_backlog_max,"BACKLOG","MES CORRIENTE")))</f>
        <v/>
      </c>
      <c r="AD1140" s="3">
        <f>IF(tblOrdenes[[#This Row],[backlog_habiles]]="",FALSE,AND(tblOrdenes[[#This Row],[backlog_habiles]]&gt;p_dias_backlog_min,tblOrdenes[[#This Row],[backlog_habiles]]&lt;=p_dias_backlog_max))</f>
        <v/>
      </c>
      <c r="AE1140" s="6" t="n"/>
      <c r="AF11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0" s="11">
        <f>IF(tblOrdenes[[#This Row],[orden]]="","",_xlfn.XLOOKUP(tblOrdenes[[#This Row],[id_operacion]],tblEjecucion[id_operacion],tblEjecucion[precio],0))</f>
        <v/>
      </c>
      <c r="AJ1140" s="11">
        <f>IF(tblOrdenes[[#This Row],[orden]]="","",MAX(0,_xlfn.XLOOKUP(tblOrdenes[[#This Row],[id_operacion]],tblEjecucion[id_operacion],tblEjecucion[costo_plan_total],0)-tblOrdenes[[#This Row],[costo_servicio]]))</f>
        <v/>
      </c>
      <c r="AK1140" s="11">
        <f>IF(tblOrdenes[[#This Row],[orden]]="","",tblOrdenes[[#This Row],[costo_servicio]]+tblOrdenes[[#This Row],[costo_materiales]])</f>
        <v/>
      </c>
      <c r="AL1140" s="6" t="n"/>
      <c r="AM1140" s="6" t="n"/>
      <c r="AN1140" s="6" t="n"/>
      <c r="AO1140" s="3">
        <f>IF(tblOrdenes[[#This Row],[link_checklist]]="","",HYPERLINK(p_ruta_base_checklists&amp;tblOrdenes[[#This Row],[link_checklist]],"abrir"))</f>
        <v/>
      </c>
      <c r="AP1140" s="6" t="n"/>
      <c r="AQ1140" s="3">
        <f>IF(tblOrdenes[[#This Row],[orden]]="","",tblOrdenes[[#This Row],[orden]]&amp;IF(tblOrdenes[[#This Row],[operacion]]="","0010",tblOrdenes[[#This Row],[operacion]]))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2" t="n"/>
      <c r="K1141" s="3" t="n"/>
      <c r="L1141" s="11" t="n"/>
      <c r="M11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1" s="3">
        <f>IF(tblOrdenes[[#This Row],[fecha_inicio]]="","",YEAR(tblOrdenes[[#This Row],[fecha_inicio]]))</f>
        <v/>
      </c>
      <c r="Q1141" s="3">
        <f>IF(tblOrdenes[[#This Row],[fecha_inicio]]="","",MONTH(tblOrdenes[[#This Row],[fecha_inicio]]))</f>
        <v/>
      </c>
      <c r="R1141" s="3">
        <f>IF(tblOrdenes[[#This Row],[fecha_inicio]]="","",INDEX(lista_dias,WEEKDAY(tblOrdenes[[#This Row],[fecha_inicio]],2)))</f>
        <v/>
      </c>
      <c r="S11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1" s="3">
        <f>IF(tblOrdenes[[#This Row],[tipo_ot]]="","",_xlfn.XLOOKUP(tblOrdenes[[#This Row],[tipo_ot]],tblTiposOT[codigo],tblTiposOT[clasificacion],"sin_clasificar"))</f>
        <v/>
      </c>
      <c r="U1141" s="3">
        <f>IF(tblOrdenes[[#This Row],[centro_costo]]="","",_xlfn.XLOOKUP(tblOrdenes[[#This Row],[centro_costo]],tblCECO[codigo],tblCECO[linea],"(sin catálogo)"))</f>
        <v/>
      </c>
      <c r="V1141" s="3">
        <f>IF(tblOrdenes[[#This Row],[centro_costo]]="","",_xlfn.XLOOKUP(tblOrdenes[[#This Row],[centro_costo]],tblCECO[codigo],tblCECO[area],"(sin catálogo)"))</f>
        <v/>
      </c>
      <c r="W11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1" s="3">
        <f>IF(tblOrdenes[[#This Row],[centro_costo]]="","",_xlfn.XLOOKUP(tblOrdenes[[#This Row],[centro_costo]],tblCECO[codigo],tblCECO[coordinador],"(sin catálogo)"))</f>
        <v/>
      </c>
      <c r="Y1141" s="3">
        <f>IF(tblOrdenes[[#This Row],[puesto_trabajo]]="","",_xlfn.XLOOKUP(tblOrdenes[[#This Row],[puesto_trabajo]],tblPuestos[codigo],tblPuestos[especialidad],"(sin catálogo)"))</f>
        <v/>
      </c>
      <c r="Z1141" s="3">
        <f>IF(tblOrdenes[[#This Row],[cod_actividad]]="","",_xlfn.XLOOKUP(tblOrdenes[[#This Row],[cod_actividad]],tblActividades[codigo],tblActividades[descripcion],"(sin catálogo)"))</f>
        <v/>
      </c>
      <c r="AA1141" s="13">
        <f>IF(tblOrdenes[[#This Row],[fecha_inicio]]="","",TODAY()-tblOrdenes[[#This Row],[fecha_inicio]])</f>
        <v/>
      </c>
      <c r="AB11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1" s="3">
        <f>IF(tblOrdenes[[#This Row],[backlog_habiles]]="","",IF(tblOrdenes[[#This Row],[backlog_habiles]]&lt;0,"FUTURO",IF(tblOrdenes[[#This Row],[backlog_habiles]]&gt;p_dias_backlog_max,"BACKLOG","MES CORRIENTE")))</f>
        <v/>
      </c>
      <c r="AD1141" s="3">
        <f>IF(tblOrdenes[[#This Row],[backlog_habiles]]="",FALSE,AND(tblOrdenes[[#This Row],[backlog_habiles]]&gt;p_dias_backlog_min,tblOrdenes[[#This Row],[backlog_habiles]]&lt;=p_dias_backlog_max))</f>
        <v/>
      </c>
      <c r="AE1141" s="6" t="n"/>
      <c r="AF11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1" s="11">
        <f>IF(tblOrdenes[[#This Row],[orden]]="","",_xlfn.XLOOKUP(tblOrdenes[[#This Row],[id_operacion]],tblEjecucion[id_operacion],tblEjecucion[precio],0))</f>
        <v/>
      </c>
      <c r="AJ1141" s="11">
        <f>IF(tblOrdenes[[#This Row],[orden]]="","",MAX(0,_xlfn.XLOOKUP(tblOrdenes[[#This Row],[id_operacion]],tblEjecucion[id_operacion],tblEjecucion[costo_plan_total],0)-tblOrdenes[[#This Row],[costo_servicio]]))</f>
        <v/>
      </c>
      <c r="AK1141" s="11">
        <f>IF(tblOrdenes[[#This Row],[orden]]="","",tblOrdenes[[#This Row],[costo_servicio]]+tblOrdenes[[#This Row],[costo_materiales]])</f>
        <v/>
      </c>
      <c r="AL1141" s="6" t="n"/>
      <c r="AM1141" s="6" t="n"/>
      <c r="AN1141" s="6" t="n"/>
      <c r="AO1141" s="3">
        <f>IF(tblOrdenes[[#This Row],[link_checklist]]="","",HYPERLINK(p_ruta_base_checklists&amp;tblOrdenes[[#This Row],[link_checklist]],"abrir"))</f>
        <v/>
      </c>
      <c r="AP1141" s="6" t="n"/>
      <c r="AQ1141" s="3">
        <f>IF(tblOrdenes[[#This Row],[orden]]="","",tblOrdenes[[#This Row],[orden]]&amp;IF(tblOrdenes[[#This Row],[operacion]]="","0010",tblOrdenes[[#This Row],[operacion]]))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2" t="n"/>
      <c r="K1142" s="3" t="n"/>
      <c r="L1142" s="11" t="n"/>
      <c r="M11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2" s="3">
        <f>IF(tblOrdenes[[#This Row],[fecha_inicio]]="","",YEAR(tblOrdenes[[#This Row],[fecha_inicio]]))</f>
        <v/>
      </c>
      <c r="Q1142" s="3">
        <f>IF(tblOrdenes[[#This Row],[fecha_inicio]]="","",MONTH(tblOrdenes[[#This Row],[fecha_inicio]]))</f>
        <v/>
      </c>
      <c r="R1142" s="3">
        <f>IF(tblOrdenes[[#This Row],[fecha_inicio]]="","",INDEX(lista_dias,WEEKDAY(tblOrdenes[[#This Row],[fecha_inicio]],2)))</f>
        <v/>
      </c>
      <c r="S11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2" s="3">
        <f>IF(tblOrdenes[[#This Row],[tipo_ot]]="","",_xlfn.XLOOKUP(tblOrdenes[[#This Row],[tipo_ot]],tblTiposOT[codigo],tblTiposOT[clasificacion],"sin_clasificar"))</f>
        <v/>
      </c>
      <c r="U1142" s="3">
        <f>IF(tblOrdenes[[#This Row],[centro_costo]]="","",_xlfn.XLOOKUP(tblOrdenes[[#This Row],[centro_costo]],tblCECO[codigo],tblCECO[linea],"(sin catálogo)"))</f>
        <v/>
      </c>
      <c r="V1142" s="3">
        <f>IF(tblOrdenes[[#This Row],[centro_costo]]="","",_xlfn.XLOOKUP(tblOrdenes[[#This Row],[centro_costo]],tblCECO[codigo],tblCECO[area],"(sin catálogo)"))</f>
        <v/>
      </c>
      <c r="W11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2" s="3">
        <f>IF(tblOrdenes[[#This Row],[centro_costo]]="","",_xlfn.XLOOKUP(tblOrdenes[[#This Row],[centro_costo]],tblCECO[codigo],tblCECO[coordinador],"(sin catálogo)"))</f>
        <v/>
      </c>
      <c r="Y1142" s="3">
        <f>IF(tblOrdenes[[#This Row],[puesto_trabajo]]="","",_xlfn.XLOOKUP(tblOrdenes[[#This Row],[puesto_trabajo]],tblPuestos[codigo],tblPuestos[especialidad],"(sin catálogo)"))</f>
        <v/>
      </c>
      <c r="Z1142" s="3">
        <f>IF(tblOrdenes[[#This Row],[cod_actividad]]="","",_xlfn.XLOOKUP(tblOrdenes[[#This Row],[cod_actividad]],tblActividades[codigo],tblActividades[descripcion],"(sin catálogo)"))</f>
        <v/>
      </c>
      <c r="AA1142" s="13">
        <f>IF(tblOrdenes[[#This Row],[fecha_inicio]]="","",TODAY()-tblOrdenes[[#This Row],[fecha_inicio]])</f>
        <v/>
      </c>
      <c r="AB11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2" s="3">
        <f>IF(tblOrdenes[[#This Row],[backlog_habiles]]="","",IF(tblOrdenes[[#This Row],[backlog_habiles]]&lt;0,"FUTURO",IF(tblOrdenes[[#This Row],[backlog_habiles]]&gt;p_dias_backlog_max,"BACKLOG","MES CORRIENTE")))</f>
        <v/>
      </c>
      <c r="AD1142" s="3">
        <f>IF(tblOrdenes[[#This Row],[backlog_habiles]]="",FALSE,AND(tblOrdenes[[#This Row],[backlog_habiles]]&gt;p_dias_backlog_min,tblOrdenes[[#This Row],[backlog_habiles]]&lt;=p_dias_backlog_max))</f>
        <v/>
      </c>
      <c r="AE1142" s="6" t="n"/>
      <c r="AF11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2" s="11">
        <f>IF(tblOrdenes[[#This Row],[orden]]="","",_xlfn.XLOOKUP(tblOrdenes[[#This Row],[id_operacion]],tblEjecucion[id_operacion],tblEjecucion[precio],0))</f>
        <v/>
      </c>
      <c r="AJ1142" s="11">
        <f>IF(tblOrdenes[[#This Row],[orden]]="","",MAX(0,_xlfn.XLOOKUP(tblOrdenes[[#This Row],[id_operacion]],tblEjecucion[id_operacion],tblEjecucion[costo_plan_total],0)-tblOrdenes[[#This Row],[costo_servicio]]))</f>
        <v/>
      </c>
      <c r="AK1142" s="11">
        <f>IF(tblOrdenes[[#This Row],[orden]]="","",tblOrdenes[[#This Row],[costo_servicio]]+tblOrdenes[[#This Row],[costo_materiales]])</f>
        <v/>
      </c>
      <c r="AL1142" s="6" t="n"/>
      <c r="AM1142" s="6" t="n"/>
      <c r="AN1142" s="6" t="n"/>
      <c r="AO1142" s="3">
        <f>IF(tblOrdenes[[#This Row],[link_checklist]]="","",HYPERLINK(p_ruta_base_checklists&amp;tblOrdenes[[#This Row],[link_checklist]],"abrir"))</f>
        <v/>
      </c>
      <c r="AP1142" s="6" t="n"/>
      <c r="AQ1142" s="3">
        <f>IF(tblOrdenes[[#This Row],[orden]]="","",tblOrdenes[[#This Row],[orden]]&amp;IF(tblOrdenes[[#This Row],[operacion]]="","0010",tblOrdenes[[#This Row],[operacion]]))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2" t="n"/>
      <c r="K1143" s="3" t="n"/>
      <c r="L1143" s="11" t="n"/>
      <c r="M11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3" s="3">
        <f>IF(tblOrdenes[[#This Row],[fecha_inicio]]="","",YEAR(tblOrdenes[[#This Row],[fecha_inicio]]))</f>
        <v/>
      </c>
      <c r="Q1143" s="3">
        <f>IF(tblOrdenes[[#This Row],[fecha_inicio]]="","",MONTH(tblOrdenes[[#This Row],[fecha_inicio]]))</f>
        <v/>
      </c>
      <c r="R1143" s="3">
        <f>IF(tblOrdenes[[#This Row],[fecha_inicio]]="","",INDEX(lista_dias,WEEKDAY(tblOrdenes[[#This Row],[fecha_inicio]],2)))</f>
        <v/>
      </c>
      <c r="S11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3" s="3">
        <f>IF(tblOrdenes[[#This Row],[tipo_ot]]="","",_xlfn.XLOOKUP(tblOrdenes[[#This Row],[tipo_ot]],tblTiposOT[codigo],tblTiposOT[clasificacion],"sin_clasificar"))</f>
        <v/>
      </c>
      <c r="U1143" s="3">
        <f>IF(tblOrdenes[[#This Row],[centro_costo]]="","",_xlfn.XLOOKUP(tblOrdenes[[#This Row],[centro_costo]],tblCECO[codigo],tblCECO[linea],"(sin catálogo)"))</f>
        <v/>
      </c>
      <c r="V1143" s="3">
        <f>IF(tblOrdenes[[#This Row],[centro_costo]]="","",_xlfn.XLOOKUP(tblOrdenes[[#This Row],[centro_costo]],tblCECO[codigo],tblCECO[area],"(sin catálogo)"))</f>
        <v/>
      </c>
      <c r="W11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3" s="3">
        <f>IF(tblOrdenes[[#This Row],[centro_costo]]="","",_xlfn.XLOOKUP(tblOrdenes[[#This Row],[centro_costo]],tblCECO[codigo],tblCECO[coordinador],"(sin catálogo)"))</f>
        <v/>
      </c>
      <c r="Y1143" s="3">
        <f>IF(tblOrdenes[[#This Row],[puesto_trabajo]]="","",_xlfn.XLOOKUP(tblOrdenes[[#This Row],[puesto_trabajo]],tblPuestos[codigo],tblPuestos[especialidad],"(sin catálogo)"))</f>
        <v/>
      </c>
      <c r="Z1143" s="3">
        <f>IF(tblOrdenes[[#This Row],[cod_actividad]]="","",_xlfn.XLOOKUP(tblOrdenes[[#This Row],[cod_actividad]],tblActividades[codigo],tblActividades[descripcion],"(sin catálogo)"))</f>
        <v/>
      </c>
      <c r="AA1143" s="13">
        <f>IF(tblOrdenes[[#This Row],[fecha_inicio]]="","",TODAY()-tblOrdenes[[#This Row],[fecha_inicio]])</f>
        <v/>
      </c>
      <c r="AB11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3" s="3">
        <f>IF(tblOrdenes[[#This Row],[backlog_habiles]]="","",IF(tblOrdenes[[#This Row],[backlog_habiles]]&lt;0,"FUTURO",IF(tblOrdenes[[#This Row],[backlog_habiles]]&gt;p_dias_backlog_max,"BACKLOG","MES CORRIENTE")))</f>
        <v/>
      </c>
      <c r="AD1143" s="3">
        <f>IF(tblOrdenes[[#This Row],[backlog_habiles]]="",FALSE,AND(tblOrdenes[[#This Row],[backlog_habiles]]&gt;p_dias_backlog_min,tblOrdenes[[#This Row],[backlog_habiles]]&lt;=p_dias_backlog_max))</f>
        <v/>
      </c>
      <c r="AE1143" s="6" t="n"/>
      <c r="AF11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3" s="11">
        <f>IF(tblOrdenes[[#This Row],[orden]]="","",_xlfn.XLOOKUP(tblOrdenes[[#This Row],[id_operacion]],tblEjecucion[id_operacion],tblEjecucion[precio],0))</f>
        <v/>
      </c>
      <c r="AJ1143" s="11">
        <f>IF(tblOrdenes[[#This Row],[orden]]="","",MAX(0,_xlfn.XLOOKUP(tblOrdenes[[#This Row],[id_operacion]],tblEjecucion[id_operacion],tblEjecucion[costo_plan_total],0)-tblOrdenes[[#This Row],[costo_servicio]]))</f>
        <v/>
      </c>
      <c r="AK1143" s="11">
        <f>IF(tblOrdenes[[#This Row],[orden]]="","",tblOrdenes[[#This Row],[costo_servicio]]+tblOrdenes[[#This Row],[costo_materiales]])</f>
        <v/>
      </c>
      <c r="AL1143" s="6" t="n"/>
      <c r="AM1143" s="6" t="n"/>
      <c r="AN1143" s="6" t="n"/>
      <c r="AO1143" s="3">
        <f>IF(tblOrdenes[[#This Row],[link_checklist]]="","",HYPERLINK(p_ruta_base_checklists&amp;tblOrdenes[[#This Row],[link_checklist]],"abrir"))</f>
        <v/>
      </c>
      <c r="AP1143" s="6" t="n"/>
      <c r="AQ1143" s="3">
        <f>IF(tblOrdenes[[#This Row],[orden]]="","",tblOrdenes[[#This Row],[orden]]&amp;IF(tblOrdenes[[#This Row],[operacion]]="","0010",tblOrdenes[[#This Row],[operacion]]))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2" t="n"/>
      <c r="K1144" s="3" t="n"/>
      <c r="L1144" s="11" t="n"/>
      <c r="M11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4" s="3">
        <f>IF(tblOrdenes[[#This Row],[fecha_inicio]]="","",YEAR(tblOrdenes[[#This Row],[fecha_inicio]]))</f>
        <v/>
      </c>
      <c r="Q1144" s="3">
        <f>IF(tblOrdenes[[#This Row],[fecha_inicio]]="","",MONTH(tblOrdenes[[#This Row],[fecha_inicio]]))</f>
        <v/>
      </c>
      <c r="R1144" s="3">
        <f>IF(tblOrdenes[[#This Row],[fecha_inicio]]="","",INDEX(lista_dias,WEEKDAY(tblOrdenes[[#This Row],[fecha_inicio]],2)))</f>
        <v/>
      </c>
      <c r="S11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4" s="3">
        <f>IF(tblOrdenes[[#This Row],[tipo_ot]]="","",_xlfn.XLOOKUP(tblOrdenes[[#This Row],[tipo_ot]],tblTiposOT[codigo],tblTiposOT[clasificacion],"sin_clasificar"))</f>
        <v/>
      </c>
      <c r="U1144" s="3">
        <f>IF(tblOrdenes[[#This Row],[centro_costo]]="","",_xlfn.XLOOKUP(tblOrdenes[[#This Row],[centro_costo]],tblCECO[codigo],tblCECO[linea],"(sin catálogo)"))</f>
        <v/>
      </c>
      <c r="V1144" s="3">
        <f>IF(tblOrdenes[[#This Row],[centro_costo]]="","",_xlfn.XLOOKUP(tblOrdenes[[#This Row],[centro_costo]],tblCECO[codigo],tblCECO[area],"(sin catálogo)"))</f>
        <v/>
      </c>
      <c r="W11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4" s="3">
        <f>IF(tblOrdenes[[#This Row],[centro_costo]]="","",_xlfn.XLOOKUP(tblOrdenes[[#This Row],[centro_costo]],tblCECO[codigo],tblCECO[coordinador],"(sin catálogo)"))</f>
        <v/>
      </c>
      <c r="Y1144" s="3">
        <f>IF(tblOrdenes[[#This Row],[puesto_trabajo]]="","",_xlfn.XLOOKUP(tblOrdenes[[#This Row],[puesto_trabajo]],tblPuestos[codigo],tblPuestos[especialidad],"(sin catálogo)"))</f>
        <v/>
      </c>
      <c r="Z1144" s="3">
        <f>IF(tblOrdenes[[#This Row],[cod_actividad]]="","",_xlfn.XLOOKUP(tblOrdenes[[#This Row],[cod_actividad]],tblActividades[codigo],tblActividades[descripcion],"(sin catálogo)"))</f>
        <v/>
      </c>
      <c r="AA1144" s="13">
        <f>IF(tblOrdenes[[#This Row],[fecha_inicio]]="","",TODAY()-tblOrdenes[[#This Row],[fecha_inicio]])</f>
        <v/>
      </c>
      <c r="AB11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4" s="3">
        <f>IF(tblOrdenes[[#This Row],[backlog_habiles]]="","",IF(tblOrdenes[[#This Row],[backlog_habiles]]&lt;0,"FUTURO",IF(tblOrdenes[[#This Row],[backlog_habiles]]&gt;p_dias_backlog_max,"BACKLOG","MES CORRIENTE")))</f>
        <v/>
      </c>
      <c r="AD1144" s="3">
        <f>IF(tblOrdenes[[#This Row],[backlog_habiles]]="",FALSE,AND(tblOrdenes[[#This Row],[backlog_habiles]]&gt;p_dias_backlog_min,tblOrdenes[[#This Row],[backlog_habiles]]&lt;=p_dias_backlog_max))</f>
        <v/>
      </c>
      <c r="AE1144" s="6" t="n"/>
      <c r="AF11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4" s="11">
        <f>IF(tblOrdenes[[#This Row],[orden]]="","",_xlfn.XLOOKUP(tblOrdenes[[#This Row],[id_operacion]],tblEjecucion[id_operacion],tblEjecucion[precio],0))</f>
        <v/>
      </c>
      <c r="AJ1144" s="11">
        <f>IF(tblOrdenes[[#This Row],[orden]]="","",MAX(0,_xlfn.XLOOKUP(tblOrdenes[[#This Row],[id_operacion]],tblEjecucion[id_operacion],tblEjecucion[costo_plan_total],0)-tblOrdenes[[#This Row],[costo_servicio]]))</f>
        <v/>
      </c>
      <c r="AK1144" s="11">
        <f>IF(tblOrdenes[[#This Row],[orden]]="","",tblOrdenes[[#This Row],[costo_servicio]]+tblOrdenes[[#This Row],[costo_materiales]])</f>
        <v/>
      </c>
      <c r="AL1144" s="6" t="n"/>
      <c r="AM1144" s="6" t="n"/>
      <c r="AN1144" s="6" t="n"/>
      <c r="AO1144" s="3">
        <f>IF(tblOrdenes[[#This Row],[link_checklist]]="","",HYPERLINK(p_ruta_base_checklists&amp;tblOrdenes[[#This Row],[link_checklist]],"abrir"))</f>
        <v/>
      </c>
      <c r="AP1144" s="6" t="n"/>
      <c r="AQ1144" s="3">
        <f>IF(tblOrdenes[[#This Row],[orden]]="","",tblOrdenes[[#This Row],[orden]]&amp;IF(tblOrdenes[[#This Row],[operacion]]="","0010",tblOrdenes[[#This Row],[operacion]]))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2" t="n"/>
      <c r="K1145" s="3" t="n"/>
      <c r="L1145" s="11" t="n"/>
      <c r="M11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5" s="3">
        <f>IF(tblOrdenes[[#This Row],[fecha_inicio]]="","",YEAR(tblOrdenes[[#This Row],[fecha_inicio]]))</f>
        <v/>
      </c>
      <c r="Q1145" s="3">
        <f>IF(tblOrdenes[[#This Row],[fecha_inicio]]="","",MONTH(tblOrdenes[[#This Row],[fecha_inicio]]))</f>
        <v/>
      </c>
      <c r="R1145" s="3">
        <f>IF(tblOrdenes[[#This Row],[fecha_inicio]]="","",INDEX(lista_dias,WEEKDAY(tblOrdenes[[#This Row],[fecha_inicio]],2)))</f>
        <v/>
      </c>
      <c r="S11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5" s="3">
        <f>IF(tblOrdenes[[#This Row],[tipo_ot]]="","",_xlfn.XLOOKUP(tblOrdenes[[#This Row],[tipo_ot]],tblTiposOT[codigo],tblTiposOT[clasificacion],"sin_clasificar"))</f>
        <v/>
      </c>
      <c r="U1145" s="3">
        <f>IF(tblOrdenes[[#This Row],[centro_costo]]="","",_xlfn.XLOOKUP(tblOrdenes[[#This Row],[centro_costo]],tblCECO[codigo],tblCECO[linea],"(sin catálogo)"))</f>
        <v/>
      </c>
      <c r="V1145" s="3">
        <f>IF(tblOrdenes[[#This Row],[centro_costo]]="","",_xlfn.XLOOKUP(tblOrdenes[[#This Row],[centro_costo]],tblCECO[codigo],tblCECO[area],"(sin catálogo)"))</f>
        <v/>
      </c>
      <c r="W11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5" s="3">
        <f>IF(tblOrdenes[[#This Row],[centro_costo]]="","",_xlfn.XLOOKUP(tblOrdenes[[#This Row],[centro_costo]],tblCECO[codigo],tblCECO[coordinador],"(sin catálogo)"))</f>
        <v/>
      </c>
      <c r="Y1145" s="3">
        <f>IF(tblOrdenes[[#This Row],[puesto_trabajo]]="","",_xlfn.XLOOKUP(tblOrdenes[[#This Row],[puesto_trabajo]],tblPuestos[codigo],tblPuestos[especialidad],"(sin catálogo)"))</f>
        <v/>
      </c>
      <c r="Z1145" s="3">
        <f>IF(tblOrdenes[[#This Row],[cod_actividad]]="","",_xlfn.XLOOKUP(tblOrdenes[[#This Row],[cod_actividad]],tblActividades[codigo],tblActividades[descripcion],"(sin catálogo)"))</f>
        <v/>
      </c>
      <c r="AA1145" s="13">
        <f>IF(tblOrdenes[[#This Row],[fecha_inicio]]="","",TODAY()-tblOrdenes[[#This Row],[fecha_inicio]])</f>
        <v/>
      </c>
      <c r="AB11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5" s="3">
        <f>IF(tblOrdenes[[#This Row],[backlog_habiles]]="","",IF(tblOrdenes[[#This Row],[backlog_habiles]]&lt;0,"FUTURO",IF(tblOrdenes[[#This Row],[backlog_habiles]]&gt;p_dias_backlog_max,"BACKLOG","MES CORRIENTE")))</f>
        <v/>
      </c>
      <c r="AD1145" s="3">
        <f>IF(tblOrdenes[[#This Row],[backlog_habiles]]="",FALSE,AND(tblOrdenes[[#This Row],[backlog_habiles]]&gt;p_dias_backlog_min,tblOrdenes[[#This Row],[backlog_habiles]]&lt;=p_dias_backlog_max))</f>
        <v/>
      </c>
      <c r="AE1145" s="6" t="n"/>
      <c r="AF11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5" s="11">
        <f>IF(tblOrdenes[[#This Row],[orden]]="","",_xlfn.XLOOKUP(tblOrdenes[[#This Row],[id_operacion]],tblEjecucion[id_operacion],tblEjecucion[precio],0))</f>
        <v/>
      </c>
      <c r="AJ1145" s="11">
        <f>IF(tblOrdenes[[#This Row],[orden]]="","",MAX(0,_xlfn.XLOOKUP(tblOrdenes[[#This Row],[id_operacion]],tblEjecucion[id_operacion],tblEjecucion[costo_plan_total],0)-tblOrdenes[[#This Row],[costo_servicio]]))</f>
        <v/>
      </c>
      <c r="AK1145" s="11">
        <f>IF(tblOrdenes[[#This Row],[orden]]="","",tblOrdenes[[#This Row],[costo_servicio]]+tblOrdenes[[#This Row],[costo_materiales]])</f>
        <v/>
      </c>
      <c r="AL1145" s="6" t="n"/>
      <c r="AM1145" s="6" t="n"/>
      <c r="AN1145" s="6" t="n"/>
      <c r="AO1145" s="3">
        <f>IF(tblOrdenes[[#This Row],[link_checklist]]="","",HYPERLINK(p_ruta_base_checklists&amp;tblOrdenes[[#This Row],[link_checklist]],"abrir"))</f>
        <v/>
      </c>
      <c r="AP1145" s="6" t="n"/>
      <c r="AQ1145" s="3">
        <f>IF(tblOrdenes[[#This Row],[orden]]="","",tblOrdenes[[#This Row],[orden]]&amp;IF(tblOrdenes[[#This Row],[operacion]]="","0010",tblOrdenes[[#This Row],[operacion]]))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2" t="n"/>
      <c r="K1146" s="3" t="n"/>
      <c r="L1146" s="11" t="n"/>
      <c r="M11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6" s="3">
        <f>IF(tblOrdenes[[#This Row],[fecha_inicio]]="","",YEAR(tblOrdenes[[#This Row],[fecha_inicio]]))</f>
        <v/>
      </c>
      <c r="Q1146" s="3">
        <f>IF(tblOrdenes[[#This Row],[fecha_inicio]]="","",MONTH(tblOrdenes[[#This Row],[fecha_inicio]]))</f>
        <v/>
      </c>
      <c r="R1146" s="3">
        <f>IF(tblOrdenes[[#This Row],[fecha_inicio]]="","",INDEX(lista_dias,WEEKDAY(tblOrdenes[[#This Row],[fecha_inicio]],2)))</f>
        <v/>
      </c>
      <c r="S11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6" s="3">
        <f>IF(tblOrdenes[[#This Row],[tipo_ot]]="","",_xlfn.XLOOKUP(tblOrdenes[[#This Row],[tipo_ot]],tblTiposOT[codigo],tblTiposOT[clasificacion],"sin_clasificar"))</f>
        <v/>
      </c>
      <c r="U1146" s="3">
        <f>IF(tblOrdenes[[#This Row],[centro_costo]]="","",_xlfn.XLOOKUP(tblOrdenes[[#This Row],[centro_costo]],tblCECO[codigo],tblCECO[linea],"(sin catálogo)"))</f>
        <v/>
      </c>
      <c r="V1146" s="3">
        <f>IF(tblOrdenes[[#This Row],[centro_costo]]="","",_xlfn.XLOOKUP(tblOrdenes[[#This Row],[centro_costo]],tblCECO[codigo],tblCECO[area],"(sin catálogo)"))</f>
        <v/>
      </c>
      <c r="W11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6" s="3">
        <f>IF(tblOrdenes[[#This Row],[centro_costo]]="","",_xlfn.XLOOKUP(tblOrdenes[[#This Row],[centro_costo]],tblCECO[codigo],tblCECO[coordinador],"(sin catálogo)"))</f>
        <v/>
      </c>
      <c r="Y1146" s="3">
        <f>IF(tblOrdenes[[#This Row],[puesto_trabajo]]="","",_xlfn.XLOOKUP(tblOrdenes[[#This Row],[puesto_trabajo]],tblPuestos[codigo],tblPuestos[especialidad],"(sin catálogo)"))</f>
        <v/>
      </c>
      <c r="Z1146" s="3">
        <f>IF(tblOrdenes[[#This Row],[cod_actividad]]="","",_xlfn.XLOOKUP(tblOrdenes[[#This Row],[cod_actividad]],tblActividades[codigo],tblActividades[descripcion],"(sin catálogo)"))</f>
        <v/>
      </c>
      <c r="AA1146" s="13">
        <f>IF(tblOrdenes[[#This Row],[fecha_inicio]]="","",TODAY()-tblOrdenes[[#This Row],[fecha_inicio]])</f>
        <v/>
      </c>
      <c r="AB11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6" s="3">
        <f>IF(tblOrdenes[[#This Row],[backlog_habiles]]="","",IF(tblOrdenes[[#This Row],[backlog_habiles]]&lt;0,"FUTURO",IF(tblOrdenes[[#This Row],[backlog_habiles]]&gt;p_dias_backlog_max,"BACKLOG","MES CORRIENTE")))</f>
        <v/>
      </c>
      <c r="AD1146" s="3">
        <f>IF(tblOrdenes[[#This Row],[backlog_habiles]]="",FALSE,AND(tblOrdenes[[#This Row],[backlog_habiles]]&gt;p_dias_backlog_min,tblOrdenes[[#This Row],[backlog_habiles]]&lt;=p_dias_backlog_max))</f>
        <v/>
      </c>
      <c r="AE1146" s="6" t="n"/>
      <c r="AF11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6" s="11">
        <f>IF(tblOrdenes[[#This Row],[orden]]="","",_xlfn.XLOOKUP(tblOrdenes[[#This Row],[id_operacion]],tblEjecucion[id_operacion],tblEjecucion[precio],0))</f>
        <v/>
      </c>
      <c r="AJ1146" s="11">
        <f>IF(tblOrdenes[[#This Row],[orden]]="","",MAX(0,_xlfn.XLOOKUP(tblOrdenes[[#This Row],[id_operacion]],tblEjecucion[id_operacion],tblEjecucion[costo_plan_total],0)-tblOrdenes[[#This Row],[costo_servicio]]))</f>
        <v/>
      </c>
      <c r="AK1146" s="11">
        <f>IF(tblOrdenes[[#This Row],[orden]]="","",tblOrdenes[[#This Row],[costo_servicio]]+tblOrdenes[[#This Row],[costo_materiales]])</f>
        <v/>
      </c>
      <c r="AL1146" s="6" t="n"/>
      <c r="AM1146" s="6" t="n"/>
      <c r="AN1146" s="6" t="n"/>
      <c r="AO1146" s="3">
        <f>IF(tblOrdenes[[#This Row],[link_checklist]]="","",HYPERLINK(p_ruta_base_checklists&amp;tblOrdenes[[#This Row],[link_checklist]],"abrir"))</f>
        <v/>
      </c>
      <c r="AP1146" s="6" t="n"/>
      <c r="AQ1146" s="3">
        <f>IF(tblOrdenes[[#This Row],[orden]]="","",tblOrdenes[[#This Row],[orden]]&amp;IF(tblOrdenes[[#This Row],[operacion]]="","0010",tblOrdenes[[#This Row],[operacion]]))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2" t="n"/>
      <c r="K1147" s="3" t="n"/>
      <c r="L1147" s="11" t="n"/>
      <c r="M11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7" s="3">
        <f>IF(tblOrdenes[[#This Row],[fecha_inicio]]="","",YEAR(tblOrdenes[[#This Row],[fecha_inicio]]))</f>
        <v/>
      </c>
      <c r="Q1147" s="3">
        <f>IF(tblOrdenes[[#This Row],[fecha_inicio]]="","",MONTH(tblOrdenes[[#This Row],[fecha_inicio]]))</f>
        <v/>
      </c>
      <c r="R1147" s="3">
        <f>IF(tblOrdenes[[#This Row],[fecha_inicio]]="","",INDEX(lista_dias,WEEKDAY(tblOrdenes[[#This Row],[fecha_inicio]],2)))</f>
        <v/>
      </c>
      <c r="S11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7" s="3">
        <f>IF(tblOrdenes[[#This Row],[tipo_ot]]="","",_xlfn.XLOOKUP(tblOrdenes[[#This Row],[tipo_ot]],tblTiposOT[codigo],tblTiposOT[clasificacion],"sin_clasificar"))</f>
        <v/>
      </c>
      <c r="U1147" s="3">
        <f>IF(tblOrdenes[[#This Row],[centro_costo]]="","",_xlfn.XLOOKUP(tblOrdenes[[#This Row],[centro_costo]],tblCECO[codigo],tblCECO[linea],"(sin catálogo)"))</f>
        <v/>
      </c>
      <c r="V1147" s="3">
        <f>IF(tblOrdenes[[#This Row],[centro_costo]]="","",_xlfn.XLOOKUP(tblOrdenes[[#This Row],[centro_costo]],tblCECO[codigo],tblCECO[area],"(sin catálogo)"))</f>
        <v/>
      </c>
      <c r="W11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7" s="3">
        <f>IF(tblOrdenes[[#This Row],[centro_costo]]="","",_xlfn.XLOOKUP(tblOrdenes[[#This Row],[centro_costo]],tblCECO[codigo],tblCECO[coordinador],"(sin catálogo)"))</f>
        <v/>
      </c>
      <c r="Y1147" s="3">
        <f>IF(tblOrdenes[[#This Row],[puesto_trabajo]]="","",_xlfn.XLOOKUP(tblOrdenes[[#This Row],[puesto_trabajo]],tblPuestos[codigo],tblPuestos[especialidad],"(sin catálogo)"))</f>
        <v/>
      </c>
      <c r="Z1147" s="3">
        <f>IF(tblOrdenes[[#This Row],[cod_actividad]]="","",_xlfn.XLOOKUP(tblOrdenes[[#This Row],[cod_actividad]],tblActividades[codigo],tblActividades[descripcion],"(sin catálogo)"))</f>
        <v/>
      </c>
      <c r="AA1147" s="13">
        <f>IF(tblOrdenes[[#This Row],[fecha_inicio]]="","",TODAY()-tblOrdenes[[#This Row],[fecha_inicio]])</f>
        <v/>
      </c>
      <c r="AB11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7" s="3">
        <f>IF(tblOrdenes[[#This Row],[backlog_habiles]]="","",IF(tblOrdenes[[#This Row],[backlog_habiles]]&lt;0,"FUTURO",IF(tblOrdenes[[#This Row],[backlog_habiles]]&gt;p_dias_backlog_max,"BACKLOG","MES CORRIENTE")))</f>
        <v/>
      </c>
      <c r="AD1147" s="3">
        <f>IF(tblOrdenes[[#This Row],[backlog_habiles]]="",FALSE,AND(tblOrdenes[[#This Row],[backlog_habiles]]&gt;p_dias_backlog_min,tblOrdenes[[#This Row],[backlog_habiles]]&lt;=p_dias_backlog_max))</f>
        <v/>
      </c>
      <c r="AE1147" s="6" t="n"/>
      <c r="AF11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7" s="11">
        <f>IF(tblOrdenes[[#This Row],[orden]]="","",_xlfn.XLOOKUP(tblOrdenes[[#This Row],[id_operacion]],tblEjecucion[id_operacion],tblEjecucion[precio],0))</f>
        <v/>
      </c>
      <c r="AJ1147" s="11">
        <f>IF(tblOrdenes[[#This Row],[orden]]="","",MAX(0,_xlfn.XLOOKUP(tblOrdenes[[#This Row],[id_operacion]],tblEjecucion[id_operacion],tblEjecucion[costo_plan_total],0)-tblOrdenes[[#This Row],[costo_servicio]]))</f>
        <v/>
      </c>
      <c r="AK1147" s="11">
        <f>IF(tblOrdenes[[#This Row],[orden]]="","",tblOrdenes[[#This Row],[costo_servicio]]+tblOrdenes[[#This Row],[costo_materiales]])</f>
        <v/>
      </c>
      <c r="AL1147" s="6" t="n"/>
      <c r="AM1147" s="6" t="n"/>
      <c r="AN1147" s="6" t="n"/>
      <c r="AO1147" s="3">
        <f>IF(tblOrdenes[[#This Row],[link_checklist]]="","",HYPERLINK(p_ruta_base_checklists&amp;tblOrdenes[[#This Row],[link_checklist]],"abrir"))</f>
        <v/>
      </c>
      <c r="AP1147" s="6" t="n"/>
      <c r="AQ1147" s="3">
        <f>IF(tblOrdenes[[#This Row],[orden]]="","",tblOrdenes[[#This Row],[orden]]&amp;IF(tblOrdenes[[#This Row],[operacion]]="","0010",tblOrdenes[[#This Row],[operacion]]))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2" t="n"/>
      <c r="K1148" s="3" t="n"/>
      <c r="L1148" s="11" t="n"/>
      <c r="M11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8" s="3">
        <f>IF(tblOrdenes[[#This Row],[fecha_inicio]]="","",YEAR(tblOrdenes[[#This Row],[fecha_inicio]]))</f>
        <v/>
      </c>
      <c r="Q1148" s="3">
        <f>IF(tblOrdenes[[#This Row],[fecha_inicio]]="","",MONTH(tblOrdenes[[#This Row],[fecha_inicio]]))</f>
        <v/>
      </c>
      <c r="R1148" s="3">
        <f>IF(tblOrdenes[[#This Row],[fecha_inicio]]="","",INDEX(lista_dias,WEEKDAY(tblOrdenes[[#This Row],[fecha_inicio]],2)))</f>
        <v/>
      </c>
      <c r="S11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8" s="3">
        <f>IF(tblOrdenes[[#This Row],[tipo_ot]]="","",_xlfn.XLOOKUP(tblOrdenes[[#This Row],[tipo_ot]],tblTiposOT[codigo],tblTiposOT[clasificacion],"sin_clasificar"))</f>
        <v/>
      </c>
      <c r="U1148" s="3">
        <f>IF(tblOrdenes[[#This Row],[centro_costo]]="","",_xlfn.XLOOKUP(tblOrdenes[[#This Row],[centro_costo]],tblCECO[codigo],tblCECO[linea],"(sin catálogo)"))</f>
        <v/>
      </c>
      <c r="V1148" s="3">
        <f>IF(tblOrdenes[[#This Row],[centro_costo]]="","",_xlfn.XLOOKUP(tblOrdenes[[#This Row],[centro_costo]],tblCECO[codigo],tblCECO[area],"(sin catálogo)"))</f>
        <v/>
      </c>
      <c r="W11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8" s="3">
        <f>IF(tblOrdenes[[#This Row],[centro_costo]]="","",_xlfn.XLOOKUP(tblOrdenes[[#This Row],[centro_costo]],tblCECO[codigo],tblCECO[coordinador],"(sin catálogo)"))</f>
        <v/>
      </c>
      <c r="Y1148" s="3">
        <f>IF(tblOrdenes[[#This Row],[puesto_trabajo]]="","",_xlfn.XLOOKUP(tblOrdenes[[#This Row],[puesto_trabajo]],tblPuestos[codigo],tblPuestos[especialidad],"(sin catálogo)"))</f>
        <v/>
      </c>
      <c r="Z1148" s="3">
        <f>IF(tblOrdenes[[#This Row],[cod_actividad]]="","",_xlfn.XLOOKUP(tblOrdenes[[#This Row],[cod_actividad]],tblActividades[codigo],tblActividades[descripcion],"(sin catálogo)"))</f>
        <v/>
      </c>
      <c r="AA1148" s="13">
        <f>IF(tblOrdenes[[#This Row],[fecha_inicio]]="","",TODAY()-tblOrdenes[[#This Row],[fecha_inicio]])</f>
        <v/>
      </c>
      <c r="AB11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8" s="3">
        <f>IF(tblOrdenes[[#This Row],[backlog_habiles]]="","",IF(tblOrdenes[[#This Row],[backlog_habiles]]&lt;0,"FUTURO",IF(tblOrdenes[[#This Row],[backlog_habiles]]&gt;p_dias_backlog_max,"BACKLOG","MES CORRIENTE")))</f>
        <v/>
      </c>
      <c r="AD1148" s="3">
        <f>IF(tblOrdenes[[#This Row],[backlog_habiles]]="",FALSE,AND(tblOrdenes[[#This Row],[backlog_habiles]]&gt;p_dias_backlog_min,tblOrdenes[[#This Row],[backlog_habiles]]&lt;=p_dias_backlog_max))</f>
        <v/>
      </c>
      <c r="AE1148" s="6" t="n"/>
      <c r="AF11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8" s="11">
        <f>IF(tblOrdenes[[#This Row],[orden]]="","",_xlfn.XLOOKUP(tblOrdenes[[#This Row],[id_operacion]],tblEjecucion[id_operacion],tblEjecucion[precio],0))</f>
        <v/>
      </c>
      <c r="AJ1148" s="11">
        <f>IF(tblOrdenes[[#This Row],[orden]]="","",MAX(0,_xlfn.XLOOKUP(tblOrdenes[[#This Row],[id_operacion]],tblEjecucion[id_operacion],tblEjecucion[costo_plan_total],0)-tblOrdenes[[#This Row],[costo_servicio]]))</f>
        <v/>
      </c>
      <c r="AK1148" s="11">
        <f>IF(tblOrdenes[[#This Row],[orden]]="","",tblOrdenes[[#This Row],[costo_servicio]]+tblOrdenes[[#This Row],[costo_materiales]])</f>
        <v/>
      </c>
      <c r="AL1148" s="6" t="n"/>
      <c r="AM1148" s="6" t="n"/>
      <c r="AN1148" s="6" t="n"/>
      <c r="AO1148" s="3">
        <f>IF(tblOrdenes[[#This Row],[link_checklist]]="","",HYPERLINK(p_ruta_base_checklists&amp;tblOrdenes[[#This Row],[link_checklist]],"abrir"))</f>
        <v/>
      </c>
      <c r="AP1148" s="6" t="n"/>
      <c r="AQ1148" s="3">
        <f>IF(tblOrdenes[[#This Row],[orden]]="","",tblOrdenes[[#This Row],[orden]]&amp;IF(tblOrdenes[[#This Row],[operacion]]="","0010",tblOrdenes[[#This Row],[operacion]]))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2" t="n"/>
      <c r="K1149" s="3" t="n"/>
      <c r="L1149" s="11" t="n"/>
      <c r="M11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9" s="3">
        <f>IF(tblOrdenes[[#This Row],[fecha_inicio]]="","",YEAR(tblOrdenes[[#This Row],[fecha_inicio]]))</f>
        <v/>
      </c>
      <c r="Q1149" s="3">
        <f>IF(tblOrdenes[[#This Row],[fecha_inicio]]="","",MONTH(tblOrdenes[[#This Row],[fecha_inicio]]))</f>
        <v/>
      </c>
      <c r="R1149" s="3">
        <f>IF(tblOrdenes[[#This Row],[fecha_inicio]]="","",INDEX(lista_dias,WEEKDAY(tblOrdenes[[#This Row],[fecha_inicio]],2)))</f>
        <v/>
      </c>
      <c r="S11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9" s="3">
        <f>IF(tblOrdenes[[#This Row],[tipo_ot]]="","",_xlfn.XLOOKUP(tblOrdenes[[#This Row],[tipo_ot]],tblTiposOT[codigo],tblTiposOT[clasificacion],"sin_clasificar"))</f>
        <v/>
      </c>
      <c r="U1149" s="3">
        <f>IF(tblOrdenes[[#This Row],[centro_costo]]="","",_xlfn.XLOOKUP(tblOrdenes[[#This Row],[centro_costo]],tblCECO[codigo],tblCECO[linea],"(sin catálogo)"))</f>
        <v/>
      </c>
      <c r="V1149" s="3">
        <f>IF(tblOrdenes[[#This Row],[centro_costo]]="","",_xlfn.XLOOKUP(tblOrdenes[[#This Row],[centro_costo]],tblCECO[codigo],tblCECO[area],"(sin catálogo)"))</f>
        <v/>
      </c>
      <c r="W11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9" s="3">
        <f>IF(tblOrdenes[[#This Row],[centro_costo]]="","",_xlfn.XLOOKUP(tblOrdenes[[#This Row],[centro_costo]],tblCECO[codigo],tblCECO[coordinador],"(sin catálogo)"))</f>
        <v/>
      </c>
      <c r="Y1149" s="3">
        <f>IF(tblOrdenes[[#This Row],[puesto_trabajo]]="","",_xlfn.XLOOKUP(tblOrdenes[[#This Row],[puesto_trabajo]],tblPuestos[codigo],tblPuestos[especialidad],"(sin catálogo)"))</f>
        <v/>
      </c>
      <c r="Z1149" s="3">
        <f>IF(tblOrdenes[[#This Row],[cod_actividad]]="","",_xlfn.XLOOKUP(tblOrdenes[[#This Row],[cod_actividad]],tblActividades[codigo],tblActividades[descripcion],"(sin catálogo)"))</f>
        <v/>
      </c>
      <c r="AA1149" s="13">
        <f>IF(tblOrdenes[[#This Row],[fecha_inicio]]="","",TODAY()-tblOrdenes[[#This Row],[fecha_inicio]])</f>
        <v/>
      </c>
      <c r="AB11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9" s="3">
        <f>IF(tblOrdenes[[#This Row],[backlog_habiles]]="","",IF(tblOrdenes[[#This Row],[backlog_habiles]]&lt;0,"FUTURO",IF(tblOrdenes[[#This Row],[backlog_habiles]]&gt;p_dias_backlog_max,"BACKLOG","MES CORRIENTE")))</f>
        <v/>
      </c>
      <c r="AD1149" s="3">
        <f>IF(tblOrdenes[[#This Row],[backlog_habiles]]="",FALSE,AND(tblOrdenes[[#This Row],[backlog_habiles]]&gt;p_dias_backlog_min,tblOrdenes[[#This Row],[backlog_habiles]]&lt;=p_dias_backlog_max))</f>
        <v/>
      </c>
      <c r="AE1149" s="6" t="n"/>
      <c r="AF11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9" s="11">
        <f>IF(tblOrdenes[[#This Row],[orden]]="","",_xlfn.XLOOKUP(tblOrdenes[[#This Row],[id_operacion]],tblEjecucion[id_operacion],tblEjecucion[precio],0))</f>
        <v/>
      </c>
      <c r="AJ1149" s="11">
        <f>IF(tblOrdenes[[#This Row],[orden]]="","",MAX(0,_xlfn.XLOOKUP(tblOrdenes[[#This Row],[id_operacion]],tblEjecucion[id_operacion],tblEjecucion[costo_plan_total],0)-tblOrdenes[[#This Row],[costo_servicio]]))</f>
        <v/>
      </c>
      <c r="AK1149" s="11">
        <f>IF(tblOrdenes[[#This Row],[orden]]="","",tblOrdenes[[#This Row],[costo_servicio]]+tblOrdenes[[#This Row],[costo_materiales]])</f>
        <v/>
      </c>
      <c r="AL1149" s="6" t="n"/>
      <c r="AM1149" s="6" t="n"/>
      <c r="AN1149" s="6" t="n"/>
      <c r="AO1149" s="3">
        <f>IF(tblOrdenes[[#This Row],[link_checklist]]="","",HYPERLINK(p_ruta_base_checklists&amp;tblOrdenes[[#This Row],[link_checklist]],"abrir"))</f>
        <v/>
      </c>
      <c r="AP1149" s="6" t="n"/>
      <c r="AQ1149" s="3">
        <f>IF(tblOrdenes[[#This Row],[orden]]="","",tblOrdenes[[#This Row],[orden]]&amp;IF(tblOrdenes[[#This Row],[operacion]]="","0010",tblOrdenes[[#This Row],[operacion]]))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2" t="n"/>
      <c r="K1150" s="3" t="n"/>
      <c r="L1150" s="11" t="n"/>
      <c r="M11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0" s="3">
        <f>IF(tblOrdenes[[#This Row],[fecha_inicio]]="","",YEAR(tblOrdenes[[#This Row],[fecha_inicio]]))</f>
        <v/>
      </c>
      <c r="Q1150" s="3">
        <f>IF(tblOrdenes[[#This Row],[fecha_inicio]]="","",MONTH(tblOrdenes[[#This Row],[fecha_inicio]]))</f>
        <v/>
      </c>
      <c r="R1150" s="3">
        <f>IF(tblOrdenes[[#This Row],[fecha_inicio]]="","",INDEX(lista_dias,WEEKDAY(tblOrdenes[[#This Row],[fecha_inicio]],2)))</f>
        <v/>
      </c>
      <c r="S11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0" s="3">
        <f>IF(tblOrdenes[[#This Row],[tipo_ot]]="","",_xlfn.XLOOKUP(tblOrdenes[[#This Row],[tipo_ot]],tblTiposOT[codigo],tblTiposOT[clasificacion],"sin_clasificar"))</f>
        <v/>
      </c>
      <c r="U1150" s="3">
        <f>IF(tblOrdenes[[#This Row],[centro_costo]]="","",_xlfn.XLOOKUP(tblOrdenes[[#This Row],[centro_costo]],tblCECO[codigo],tblCECO[linea],"(sin catálogo)"))</f>
        <v/>
      </c>
      <c r="V1150" s="3">
        <f>IF(tblOrdenes[[#This Row],[centro_costo]]="","",_xlfn.XLOOKUP(tblOrdenes[[#This Row],[centro_costo]],tblCECO[codigo],tblCECO[area],"(sin catálogo)"))</f>
        <v/>
      </c>
      <c r="W11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0" s="3">
        <f>IF(tblOrdenes[[#This Row],[centro_costo]]="","",_xlfn.XLOOKUP(tblOrdenes[[#This Row],[centro_costo]],tblCECO[codigo],tblCECO[coordinador],"(sin catálogo)"))</f>
        <v/>
      </c>
      <c r="Y1150" s="3">
        <f>IF(tblOrdenes[[#This Row],[puesto_trabajo]]="","",_xlfn.XLOOKUP(tblOrdenes[[#This Row],[puesto_trabajo]],tblPuestos[codigo],tblPuestos[especialidad],"(sin catálogo)"))</f>
        <v/>
      </c>
      <c r="Z1150" s="3">
        <f>IF(tblOrdenes[[#This Row],[cod_actividad]]="","",_xlfn.XLOOKUP(tblOrdenes[[#This Row],[cod_actividad]],tblActividades[codigo],tblActividades[descripcion],"(sin catálogo)"))</f>
        <v/>
      </c>
      <c r="AA1150" s="13">
        <f>IF(tblOrdenes[[#This Row],[fecha_inicio]]="","",TODAY()-tblOrdenes[[#This Row],[fecha_inicio]])</f>
        <v/>
      </c>
      <c r="AB11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0" s="3">
        <f>IF(tblOrdenes[[#This Row],[backlog_habiles]]="","",IF(tblOrdenes[[#This Row],[backlog_habiles]]&lt;0,"FUTURO",IF(tblOrdenes[[#This Row],[backlog_habiles]]&gt;p_dias_backlog_max,"BACKLOG","MES CORRIENTE")))</f>
        <v/>
      </c>
      <c r="AD1150" s="3">
        <f>IF(tblOrdenes[[#This Row],[backlog_habiles]]="",FALSE,AND(tblOrdenes[[#This Row],[backlog_habiles]]&gt;p_dias_backlog_min,tblOrdenes[[#This Row],[backlog_habiles]]&lt;=p_dias_backlog_max))</f>
        <v/>
      </c>
      <c r="AE1150" s="6" t="n"/>
      <c r="AF11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0" s="11">
        <f>IF(tblOrdenes[[#This Row],[orden]]="","",_xlfn.XLOOKUP(tblOrdenes[[#This Row],[id_operacion]],tblEjecucion[id_operacion],tblEjecucion[precio],0))</f>
        <v/>
      </c>
      <c r="AJ1150" s="11">
        <f>IF(tblOrdenes[[#This Row],[orden]]="","",MAX(0,_xlfn.XLOOKUP(tblOrdenes[[#This Row],[id_operacion]],tblEjecucion[id_operacion],tblEjecucion[costo_plan_total],0)-tblOrdenes[[#This Row],[costo_servicio]]))</f>
        <v/>
      </c>
      <c r="AK1150" s="11">
        <f>IF(tblOrdenes[[#This Row],[orden]]="","",tblOrdenes[[#This Row],[costo_servicio]]+tblOrdenes[[#This Row],[costo_materiales]])</f>
        <v/>
      </c>
      <c r="AL1150" s="6" t="n"/>
      <c r="AM1150" s="6" t="n"/>
      <c r="AN1150" s="6" t="n"/>
      <c r="AO1150" s="3">
        <f>IF(tblOrdenes[[#This Row],[link_checklist]]="","",HYPERLINK(p_ruta_base_checklists&amp;tblOrdenes[[#This Row],[link_checklist]],"abrir"))</f>
        <v/>
      </c>
      <c r="AP1150" s="6" t="n"/>
      <c r="AQ1150" s="3">
        <f>IF(tblOrdenes[[#This Row],[orden]]="","",tblOrdenes[[#This Row],[orden]]&amp;IF(tblOrdenes[[#This Row],[operacion]]="","0010",tblOrdenes[[#This Row],[operacion]]))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2" t="n"/>
      <c r="K1151" s="3" t="n"/>
      <c r="L1151" s="11" t="n"/>
      <c r="M11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1" s="3">
        <f>IF(tblOrdenes[[#This Row],[fecha_inicio]]="","",YEAR(tblOrdenes[[#This Row],[fecha_inicio]]))</f>
        <v/>
      </c>
      <c r="Q1151" s="3">
        <f>IF(tblOrdenes[[#This Row],[fecha_inicio]]="","",MONTH(tblOrdenes[[#This Row],[fecha_inicio]]))</f>
        <v/>
      </c>
      <c r="R1151" s="3">
        <f>IF(tblOrdenes[[#This Row],[fecha_inicio]]="","",INDEX(lista_dias,WEEKDAY(tblOrdenes[[#This Row],[fecha_inicio]],2)))</f>
        <v/>
      </c>
      <c r="S11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1" s="3">
        <f>IF(tblOrdenes[[#This Row],[tipo_ot]]="","",_xlfn.XLOOKUP(tblOrdenes[[#This Row],[tipo_ot]],tblTiposOT[codigo],tblTiposOT[clasificacion],"sin_clasificar"))</f>
        <v/>
      </c>
      <c r="U1151" s="3">
        <f>IF(tblOrdenes[[#This Row],[centro_costo]]="","",_xlfn.XLOOKUP(tblOrdenes[[#This Row],[centro_costo]],tblCECO[codigo],tblCECO[linea],"(sin catálogo)"))</f>
        <v/>
      </c>
      <c r="V1151" s="3">
        <f>IF(tblOrdenes[[#This Row],[centro_costo]]="","",_xlfn.XLOOKUP(tblOrdenes[[#This Row],[centro_costo]],tblCECO[codigo],tblCECO[area],"(sin catálogo)"))</f>
        <v/>
      </c>
      <c r="W11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1" s="3">
        <f>IF(tblOrdenes[[#This Row],[centro_costo]]="","",_xlfn.XLOOKUP(tblOrdenes[[#This Row],[centro_costo]],tblCECO[codigo],tblCECO[coordinador],"(sin catálogo)"))</f>
        <v/>
      </c>
      <c r="Y1151" s="3">
        <f>IF(tblOrdenes[[#This Row],[puesto_trabajo]]="","",_xlfn.XLOOKUP(tblOrdenes[[#This Row],[puesto_trabajo]],tblPuestos[codigo],tblPuestos[especialidad],"(sin catálogo)"))</f>
        <v/>
      </c>
      <c r="Z1151" s="3">
        <f>IF(tblOrdenes[[#This Row],[cod_actividad]]="","",_xlfn.XLOOKUP(tblOrdenes[[#This Row],[cod_actividad]],tblActividades[codigo],tblActividades[descripcion],"(sin catálogo)"))</f>
        <v/>
      </c>
      <c r="AA1151" s="13">
        <f>IF(tblOrdenes[[#This Row],[fecha_inicio]]="","",TODAY()-tblOrdenes[[#This Row],[fecha_inicio]])</f>
        <v/>
      </c>
      <c r="AB11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1" s="3">
        <f>IF(tblOrdenes[[#This Row],[backlog_habiles]]="","",IF(tblOrdenes[[#This Row],[backlog_habiles]]&lt;0,"FUTURO",IF(tblOrdenes[[#This Row],[backlog_habiles]]&gt;p_dias_backlog_max,"BACKLOG","MES CORRIENTE")))</f>
        <v/>
      </c>
      <c r="AD1151" s="3">
        <f>IF(tblOrdenes[[#This Row],[backlog_habiles]]="",FALSE,AND(tblOrdenes[[#This Row],[backlog_habiles]]&gt;p_dias_backlog_min,tblOrdenes[[#This Row],[backlog_habiles]]&lt;=p_dias_backlog_max))</f>
        <v/>
      </c>
      <c r="AE1151" s="6" t="n"/>
      <c r="AF11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1" s="11">
        <f>IF(tblOrdenes[[#This Row],[orden]]="","",_xlfn.XLOOKUP(tblOrdenes[[#This Row],[id_operacion]],tblEjecucion[id_operacion],tblEjecucion[precio],0))</f>
        <v/>
      </c>
      <c r="AJ1151" s="11">
        <f>IF(tblOrdenes[[#This Row],[orden]]="","",MAX(0,_xlfn.XLOOKUP(tblOrdenes[[#This Row],[id_operacion]],tblEjecucion[id_operacion],tblEjecucion[costo_plan_total],0)-tblOrdenes[[#This Row],[costo_servicio]]))</f>
        <v/>
      </c>
      <c r="AK1151" s="11">
        <f>IF(tblOrdenes[[#This Row],[orden]]="","",tblOrdenes[[#This Row],[costo_servicio]]+tblOrdenes[[#This Row],[costo_materiales]])</f>
        <v/>
      </c>
      <c r="AL1151" s="6" t="n"/>
      <c r="AM1151" s="6" t="n"/>
      <c r="AN1151" s="6" t="n"/>
      <c r="AO1151" s="3">
        <f>IF(tblOrdenes[[#This Row],[link_checklist]]="","",HYPERLINK(p_ruta_base_checklists&amp;tblOrdenes[[#This Row],[link_checklist]],"abrir"))</f>
        <v/>
      </c>
      <c r="AP1151" s="6" t="n"/>
      <c r="AQ1151" s="3">
        <f>IF(tblOrdenes[[#This Row],[orden]]="","",tblOrdenes[[#This Row],[orden]]&amp;IF(tblOrdenes[[#This Row],[operacion]]="","0010",tblOrdenes[[#This Row],[operacion]]))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2" t="n"/>
      <c r="K1152" s="3" t="n"/>
      <c r="L1152" s="11" t="n"/>
      <c r="M11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2" s="3">
        <f>IF(tblOrdenes[[#This Row],[fecha_inicio]]="","",YEAR(tblOrdenes[[#This Row],[fecha_inicio]]))</f>
        <v/>
      </c>
      <c r="Q1152" s="3">
        <f>IF(tblOrdenes[[#This Row],[fecha_inicio]]="","",MONTH(tblOrdenes[[#This Row],[fecha_inicio]]))</f>
        <v/>
      </c>
      <c r="R1152" s="3">
        <f>IF(tblOrdenes[[#This Row],[fecha_inicio]]="","",INDEX(lista_dias,WEEKDAY(tblOrdenes[[#This Row],[fecha_inicio]],2)))</f>
        <v/>
      </c>
      <c r="S11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2" s="3">
        <f>IF(tblOrdenes[[#This Row],[tipo_ot]]="","",_xlfn.XLOOKUP(tblOrdenes[[#This Row],[tipo_ot]],tblTiposOT[codigo],tblTiposOT[clasificacion],"sin_clasificar"))</f>
        <v/>
      </c>
      <c r="U1152" s="3">
        <f>IF(tblOrdenes[[#This Row],[centro_costo]]="","",_xlfn.XLOOKUP(tblOrdenes[[#This Row],[centro_costo]],tblCECO[codigo],tblCECO[linea],"(sin catálogo)"))</f>
        <v/>
      </c>
      <c r="V1152" s="3">
        <f>IF(tblOrdenes[[#This Row],[centro_costo]]="","",_xlfn.XLOOKUP(tblOrdenes[[#This Row],[centro_costo]],tblCECO[codigo],tblCECO[area],"(sin catálogo)"))</f>
        <v/>
      </c>
      <c r="W11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2" s="3">
        <f>IF(tblOrdenes[[#This Row],[centro_costo]]="","",_xlfn.XLOOKUP(tblOrdenes[[#This Row],[centro_costo]],tblCECO[codigo],tblCECO[coordinador],"(sin catálogo)"))</f>
        <v/>
      </c>
      <c r="Y1152" s="3">
        <f>IF(tblOrdenes[[#This Row],[puesto_trabajo]]="","",_xlfn.XLOOKUP(tblOrdenes[[#This Row],[puesto_trabajo]],tblPuestos[codigo],tblPuestos[especialidad],"(sin catálogo)"))</f>
        <v/>
      </c>
      <c r="Z1152" s="3">
        <f>IF(tblOrdenes[[#This Row],[cod_actividad]]="","",_xlfn.XLOOKUP(tblOrdenes[[#This Row],[cod_actividad]],tblActividades[codigo],tblActividades[descripcion],"(sin catálogo)"))</f>
        <v/>
      </c>
      <c r="AA1152" s="13">
        <f>IF(tblOrdenes[[#This Row],[fecha_inicio]]="","",TODAY()-tblOrdenes[[#This Row],[fecha_inicio]])</f>
        <v/>
      </c>
      <c r="AB11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2" s="3">
        <f>IF(tblOrdenes[[#This Row],[backlog_habiles]]="","",IF(tblOrdenes[[#This Row],[backlog_habiles]]&lt;0,"FUTURO",IF(tblOrdenes[[#This Row],[backlog_habiles]]&gt;p_dias_backlog_max,"BACKLOG","MES CORRIENTE")))</f>
        <v/>
      </c>
      <c r="AD1152" s="3">
        <f>IF(tblOrdenes[[#This Row],[backlog_habiles]]="",FALSE,AND(tblOrdenes[[#This Row],[backlog_habiles]]&gt;p_dias_backlog_min,tblOrdenes[[#This Row],[backlog_habiles]]&lt;=p_dias_backlog_max))</f>
        <v/>
      </c>
      <c r="AE1152" s="6" t="n"/>
      <c r="AF11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2" s="11">
        <f>IF(tblOrdenes[[#This Row],[orden]]="","",_xlfn.XLOOKUP(tblOrdenes[[#This Row],[id_operacion]],tblEjecucion[id_operacion],tblEjecucion[precio],0))</f>
        <v/>
      </c>
      <c r="AJ1152" s="11">
        <f>IF(tblOrdenes[[#This Row],[orden]]="","",MAX(0,_xlfn.XLOOKUP(tblOrdenes[[#This Row],[id_operacion]],tblEjecucion[id_operacion],tblEjecucion[costo_plan_total],0)-tblOrdenes[[#This Row],[costo_servicio]]))</f>
        <v/>
      </c>
      <c r="AK1152" s="11">
        <f>IF(tblOrdenes[[#This Row],[orden]]="","",tblOrdenes[[#This Row],[costo_servicio]]+tblOrdenes[[#This Row],[costo_materiales]])</f>
        <v/>
      </c>
      <c r="AL1152" s="6" t="n"/>
      <c r="AM1152" s="6" t="n"/>
      <c r="AN1152" s="6" t="n"/>
      <c r="AO1152" s="3">
        <f>IF(tblOrdenes[[#This Row],[link_checklist]]="","",HYPERLINK(p_ruta_base_checklists&amp;tblOrdenes[[#This Row],[link_checklist]],"abrir"))</f>
        <v/>
      </c>
      <c r="AP1152" s="6" t="n"/>
      <c r="AQ1152" s="3">
        <f>IF(tblOrdenes[[#This Row],[orden]]="","",tblOrdenes[[#This Row],[orden]]&amp;IF(tblOrdenes[[#This Row],[operacion]]="","0010",tblOrdenes[[#This Row],[operacion]]))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2" t="n"/>
      <c r="K1153" s="3" t="n"/>
      <c r="L1153" s="11" t="n"/>
      <c r="M11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3" s="3">
        <f>IF(tblOrdenes[[#This Row],[fecha_inicio]]="","",YEAR(tblOrdenes[[#This Row],[fecha_inicio]]))</f>
        <v/>
      </c>
      <c r="Q1153" s="3">
        <f>IF(tblOrdenes[[#This Row],[fecha_inicio]]="","",MONTH(tblOrdenes[[#This Row],[fecha_inicio]]))</f>
        <v/>
      </c>
      <c r="R1153" s="3">
        <f>IF(tblOrdenes[[#This Row],[fecha_inicio]]="","",INDEX(lista_dias,WEEKDAY(tblOrdenes[[#This Row],[fecha_inicio]],2)))</f>
        <v/>
      </c>
      <c r="S11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3" s="3">
        <f>IF(tblOrdenes[[#This Row],[tipo_ot]]="","",_xlfn.XLOOKUP(tblOrdenes[[#This Row],[tipo_ot]],tblTiposOT[codigo],tblTiposOT[clasificacion],"sin_clasificar"))</f>
        <v/>
      </c>
      <c r="U1153" s="3">
        <f>IF(tblOrdenes[[#This Row],[centro_costo]]="","",_xlfn.XLOOKUP(tblOrdenes[[#This Row],[centro_costo]],tblCECO[codigo],tblCECO[linea],"(sin catálogo)"))</f>
        <v/>
      </c>
      <c r="V1153" s="3">
        <f>IF(tblOrdenes[[#This Row],[centro_costo]]="","",_xlfn.XLOOKUP(tblOrdenes[[#This Row],[centro_costo]],tblCECO[codigo],tblCECO[area],"(sin catálogo)"))</f>
        <v/>
      </c>
      <c r="W11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3" s="3">
        <f>IF(tblOrdenes[[#This Row],[centro_costo]]="","",_xlfn.XLOOKUP(tblOrdenes[[#This Row],[centro_costo]],tblCECO[codigo],tblCECO[coordinador],"(sin catálogo)"))</f>
        <v/>
      </c>
      <c r="Y1153" s="3">
        <f>IF(tblOrdenes[[#This Row],[puesto_trabajo]]="","",_xlfn.XLOOKUP(tblOrdenes[[#This Row],[puesto_trabajo]],tblPuestos[codigo],tblPuestos[especialidad],"(sin catálogo)"))</f>
        <v/>
      </c>
      <c r="Z1153" s="3">
        <f>IF(tblOrdenes[[#This Row],[cod_actividad]]="","",_xlfn.XLOOKUP(tblOrdenes[[#This Row],[cod_actividad]],tblActividades[codigo],tblActividades[descripcion],"(sin catálogo)"))</f>
        <v/>
      </c>
      <c r="AA1153" s="13">
        <f>IF(tblOrdenes[[#This Row],[fecha_inicio]]="","",TODAY()-tblOrdenes[[#This Row],[fecha_inicio]])</f>
        <v/>
      </c>
      <c r="AB11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3" s="3">
        <f>IF(tblOrdenes[[#This Row],[backlog_habiles]]="","",IF(tblOrdenes[[#This Row],[backlog_habiles]]&lt;0,"FUTURO",IF(tblOrdenes[[#This Row],[backlog_habiles]]&gt;p_dias_backlog_max,"BACKLOG","MES CORRIENTE")))</f>
        <v/>
      </c>
      <c r="AD1153" s="3">
        <f>IF(tblOrdenes[[#This Row],[backlog_habiles]]="",FALSE,AND(tblOrdenes[[#This Row],[backlog_habiles]]&gt;p_dias_backlog_min,tblOrdenes[[#This Row],[backlog_habiles]]&lt;=p_dias_backlog_max))</f>
        <v/>
      </c>
      <c r="AE1153" s="6" t="n"/>
      <c r="AF11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3" s="11">
        <f>IF(tblOrdenes[[#This Row],[orden]]="","",_xlfn.XLOOKUP(tblOrdenes[[#This Row],[id_operacion]],tblEjecucion[id_operacion],tblEjecucion[precio],0))</f>
        <v/>
      </c>
      <c r="AJ1153" s="11">
        <f>IF(tblOrdenes[[#This Row],[orden]]="","",MAX(0,_xlfn.XLOOKUP(tblOrdenes[[#This Row],[id_operacion]],tblEjecucion[id_operacion],tblEjecucion[costo_plan_total],0)-tblOrdenes[[#This Row],[costo_servicio]]))</f>
        <v/>
      </c>
      <c r="AK1153" s="11">
        <f>IF(tblOrdenes[[#This Row],[orden]]="","",tblOrdenes[[#This Row],[costo_servicio]]+tblOrdenes[[#This Row],[costo_materiales]])</f>
        <v/>
      </c>
      <c r="AL1153" s="6" t="n"/>
      <c r="AM1153" s="6" t="n"/>
      <c r="AN1153" s="6" t="n"/>
      <c r="AO1153" s="3">
        <f>IF(tblOrdenes[[#This Row],[link_checklist]]="","",HYPERLINK(p_ruta_base_checklists&amp;tblOrdenes[[#This Row],[link_checklist]],"abrir"))</f>
        <v/>
      </c>
      <c r="AP1153" s="6" t="n"/>
      <c r="AQ1153" s="3">
        <f>IF(tblOrdenes[[#This Row],[orden]]="","",tblOrdenes[[#This Row],[orden]]&amp;IF(tblOrdenes[[#This Row],[operacion]]="","0010",tblOrdenes[[#This Row],[operacion]]))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2" t="n"/>
      <c r="K1154" s="3" t="n"/>
      <c r="L1154" s="11" t="n"/>
      <c r="M11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4" s="3">
        <f>IF(tblOrdenes[[#This Row],[fecha_inicio]]="","",YEAR(tblOrdenes[[#This Row],[fecha_inicio]]))</f>
        <v/>
      </c>
      <c r="Q1154" s="3">
        <f>IF(tblOrdenes[[#This Row],[fecha_inicio]]="","",MONTH(tblOrdenes[[#This Row],[fecha_inicio]]))</f>
        <v/>
      </c>
      <c r="R1154" s="3">
        <f>IF(tblOrdenes[[#This Row],[fecha_inicio]]="","",INDEX(lista_dias,WEEKDAY(tblOrdenes[[#This Row],[fecha_inicio]],2)))</f>
        <v/>
      </c>
      <c r="S11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4" s="3">
        <f>IF(tblOrdenes[[#This Row],[tipo_ot]]="","",_xlfn.XLOOKUP(tblOrdenes[[#This Row],[tipo_ot]],tblTiposOT[codigo],tblTiposOT[clasificacion],"sin_clasificar"))</f>
        <v/>
      </c>
      <c r="U1154" s="3">
        <f>IF(tblOrdenes[[#This Row],[centro_costo]]="","",_xlfn.XLOOKUP(tblOrdenes[[#This Row],[centro_costo]],tblCECO[codigo],tblCECO[linea],"(sin catálogo)"))</f>
        <v/>
      </c>
      <c r="V1154" s="3">
        <f>IF(tblOrdenes[[#This Row],[centro_costo]]="","",_xlfn.XLOOKUP(tblOrdenes[[#This Row],[centro_costo]],tblCECO[codigo],tblCECO[area],"(sin catálogo)"))</f>
        <v/>
      </c>
      <c r="W11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4" s="3">
        <f>IF(tblOrdenes[[#This Row],[centro_costo]]="","",_xlfn.XLOOKUP(tblOrdenes[[#This Row],[centro_costo]],tblCECO[codigo],tblCECO[coordinador],"(sin catálogo)"))</f>
        <v/>
      </c>
      <c r="Y1154" s="3">
        <f>IF(tblOrdenes[[#This Row],[puesto_trabajo]]="","",_xlfn.XLOOKUP(tblOrdenes[[#This Row],[puesto_trabajo]],tblPuestos[codigo],tblPuestos[especialidad],"(sin catálogo)"))</f>
        <v/>
      </c>
      <c r="Z1154" s="3">
        <f>IF(tblOrdenes[[#This Row],[cod_actividad]]="","",_xlfn.XLOOKUP(tblOrdenes[[#This Row],[cod_actividad]],tblActividades[codigo],tblActividades[descripcion],"(sin catálogo)"))</f>
        <v/>
      </c>
      <c r="AA1154" s="13">
        <f>IF(tblOrdenes[[#This Row],[fecha_inicio]]="","",TODAY()-tblOrdenes[[#This Row],[fecha_inicio]])</f>
        <v/>
      </c>
      <c r="AB11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4" s="3">
        <f>IF(tblOrdenes[[#This Row],[backlog_habiles]]="","",IF(tblOrdenes[[#This Row],[backlog_habiles]]&lt;0,"FUTURO",IF(tblOrdenes[[#This Row],[backlog_habiles]]&gt;p_dias_backlog_max,"BACKLOG","MES CORRIENTE")))</f>
        <v/>
      </c>
      <c r="AD1154" s="3">
        <f>IF(tblOrdenes[[#This Row],[backlog_habiles]]="",FALSE,AND(tblOrdenes[[#This Row],[backlog_habiles]]&gt;p_dias_backlog_min,tblOrdenes[[#This Row],[backlog_habiles]]&lt;=p_dias_backlog_max))</f>
        <v/>
      </c>
      <c r="AE1154" s="6" t="n"/>
      <c r="AF11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4" s="11">
        <f>IF(tblOrdenes[[#This Row],[orden]]="","",_xlfn.XLOOKUP(tblOrdenes[[#This Row],[id_operacion]],tblEjecucion[id_operacion],tblEjecucion[precio],0))</f>
        <v/>
      </c>
      <c r="AJ1154" s="11">
        <f>IF(tblOrdenes[[#This Row],[orden]]="","",MAX(0,_xlfn.XLOOKUP(tblOrdenes[[#This Row],[id_operacion]],tblEjecucion[id_operacion],tblEjecucion[costo_plan_total],0)-tblOrdenes[[#This Row],[costo_servicio]]))</f>
        <v/>
      </c>
      <c r="AK1154" s="11">
        <f>IF(tblOrdenes[[#This Row],[orden]]="","",tblOrdenes[[#This Row],[costo_servicio]]+tblOrdenes[[#This Row],[costo_materiales]])</f>
        <v/>
      </c>
      <c r="AL1154" s="6" t="n"/>
      <c r="AM1154" s="6" t="n"/>
      <c r="AN1154" s="6" t="n"/>
      <c r="AO1154" s="3">
        <f>IF(tblOrdenes[[#This Row],[link_checklist]]="","",HYPERLINK(p_ruta_base_checklists&amp;tblOrdenes[[#This Row],[link_checklist]],"abrir"))</f>
        <v/>
      </c>
      <c r="AP1154" s="6" t="n"/>
      <c r="AQ1154" s="3">
        <f>IF(tblOrdenes[[#This Row],[orden]]="","",tblOrdenes[[#This Row],[orden]]&amp;IF(tblOrdenes[[#This Row],[operacion]]="","0010",tblOrdenes[[#This Row],[operacion]]))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2" t="n"/>
      <c r="K1155" s="3" t="n"/>
      <c r="L1155" s="11" t="n"/>
      <c r="M11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5" s="3">
        <f>IF(tblOrdenes[[#This Row],[fecha_inicio]]="","",YEAR(tblOrdenes[[#This Row],[fecha_inicio]]))</f>
        <v/>
      </c>
      <c r="Q1155" s="3">
        <f>IF(tblOrdenes[[#This Row],[fecha_inicio]]="","",MONTH(tblOrdenes[[#This Row],[fecha_inicio]]))</f>
        <v/>
      </c>
      <c r="R1155" s="3">
        <f>IF(tblOrdenes[[#This Row],[fecha_inicio]]="","",INDEX(lista_dias,WEEKDAY(tblOrdenes[[#This Row],[fecha_inicio]],2)))</f>
        <v/>
      </c>
      <c r="S11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5" s="3">
        <f>IF(tblOrdenes[[#This Row],[tipo_ot]]="","",_xlfn.XLOOKUP(tblOrdenes[[#This Row],[tipo_ot]],tblTiposOT[codigo],tblTiposOT[clasificacion],"sin_clasificar"))</f>
        <v/>
      </c>
      <c r="U1155" s="3">
        <f>IF(tblOrdenes[[#This Row],[centro_costo]]="","",_xlfn.XLOOKUP(tblOrdenes[[#This Row],[centro_costo]],tblCECO[codigo],tblCECO[linea],"(sin catálogo)"))</f>
        <v/>
      </c>
      <c r="V1155" s="3">
        <f>IF(tblOrdenes[[#This Row],[centro_costo]]="","",_xlfn.XLOOKUP(tblOrdenes[[#This Row],[centro_costo]],tblCECO[codigo],tblCECO[area],"(sin catálogo)"))</f>
        <v/>
      </c>
      <c r="W11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5" s="3">
        <f>IF(tblOrdenes[[#This Row],[centro_costo]]="","",_xlfn.XLOOKUP(tblOrdenes[[#This Row],[centro_costo]],tblCECO[codigo],tblCECO[coordinador],"(sin catálogo)"))</f>
        <v/>
      </c>
      <c r="Y1155" s="3">
        <f>IF(tblOrdenes[[#This Row],[puesto_trabajo]]="","",_xlfn.XLOOKUP(tblOrdenes[[#This Row],[puesto_trabajo]],tblPuestos[codigo],tblPuestos[especialidad],"(sin catálogo)"))</f>
        <v/>
      </c>
      <c r="Z1155" s="3">
        <f>IF(tblOrdenes[[#This Row],[cod_actividad]]="","",_xlfn.XLOOKUP(tblOrdenes[[#This Row],[cod_actividad]],tblActividades[codigo],tblActividades[descripcion],"(sin catálogo)"))</f>
        <v/>
      </c>
      <c r="AA1155" s="13">
        <f>IF(tblOrdenes[[#This Row],[fecha_inicio]]="","",TODAY()-tblOrdenes[[#This Row],[fecha_inicio]])</f>
        <v/>
      </c>
      <c r="AB11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5" s="3">
        <f>IF(tblOrdenes[[#This Row],[backlog_habiles]]="","",IF(tblOrdenes[[#This Row],[backlog_habiles]]&lt;0,"FUTURO",IF(tblOrdenes[[#This Row],[backlog_habiles]]&gt;p_dias_backlog_max,"BACKLOG","MES CORRIENTE")))</f>
        <v/>
      </c>
      <c r="AD1155" s="3">
        <f>IF(tblOrdenes[[#This Row],[backlog_habiles]]="",FALSE,AND(tblOrdenes[[#This Row],[backlog_habiles]]&gt;p_dias_backlog_min,tblOrdenes[[#This Row],[backlog_habiles]]&lt;=p_dias_backlog_max))</f>
        <v/>
      </c>
      <c r="AE1155" s="6" t="n"/>
      <c r="AF11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5" s="11">
        <f>IF(tblOrdenes[[#This Row],[orden]]="","",_xlfn.XLOOKUP(tblOrdenes[[#This Row],[id_operacion]],tblEjecucion[id_operacion],tblEjecucion[precio],0))</f>
        <v/>
      </c>
      <c r="AJ1155" s="11">
        <f>IF(tblOrdenes[[#This Row],[orden]]="","",MAX(0,_xlfn.XLOOKUP(tblOrdenes[[#This Row],[id_operacion]],tblEjecucion[id_operacion],tblEjecucion[costo_plan_total],0)-tblOrdenes[[#This Row],[costo_servicio]]))</f>
        <v/>
      </c>
      <c r="AK1155" s="11">
        <f>IF(tblOrdenes[[#This Row],[orden]]="","",tblOrdenes[[#This Row],[costo_servicio]]+tblOrdenes[[#This Row],[costo_materiales]])</f>
        <v/>
      </c>
      <c r="AL1155" s="6" t="n"/>
      <c r="AM1155" s="6" t="n"/>
      <c r="AN1155" s="6" t="n"/>
      <c r="AO1155" s="3">
        <f>IF(tblOrdenes[[#This Row],[link_checklist]]="","",HYPERLINK(p_ruta_base_checklists&amp;tblOrdenes[[#This Row],[link_checklist]],"abrir"))</f>
        <v/>
      </c>
      <c r="AP1155" s="6" t="n"/>
      <c r="AQ1155" s="3">
        <f>IF(tblOrdenes[[#This Row],[orden]]="","",tblOrdenes[[#This Row],[orden]]&amp;IF(tblOrdenes[[#This Row],[operacion]]="","0010",tblOrdenes[[#This Row],[operacion]]))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2" t="n"/>
      <c r="K1156" s="3" t="n"/>
      <c r="L1156" s="11" t="n"/>
      <c r="M11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6" s="3">
        <f>IF(tblOrdenes[[#This Row],[fecha_inicio]]="","",YEAR(tblOrdenes[[#This Row],[fecha_inicio]]))</f>
        <v/>
      </c>
      <c r="Q1156" s="3">
        <f>IF(tblOrdenes[[#This Row],[fecha_inicio]]="","",MONTH(tblOrdenes[[#This Row],[fecha_inicio]]))</f>
        <v/>
      </c>
      <c r="R1156" s="3">
        <f>IF(tblOrdenes[[#This Row],[fecha_inicio]]="","",INDEX(lista_dias,WEEKDAY(tblOrdenes[[#This Row],[fecha_inicio]],2)))</f>
        <v/>
      </c>
      <c r="S11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6" s="3">
        <f>IF(tblOrdenes[[#This Row],[tipo_ot]]="","",_xlfn.XLOOKUP(tblOrdenes[[#This Row],[tipo_ot]],tblTiposOT[codigo],tblTiposOT[clasificacion],"sin_clasificar"))</f>
        <v/>
      </c>
      <c r="U1156" s="3">
        <f>IF(tblOrdenes[[#This Row],[centro_costo]]="","",_xlfn.XLOOKUP(tblOrdenes[[#This Row],[centro_costo]],tblCECO[codigo],tblCECO[linea],"(sin catálogo)"))</f>
        <v/>
      </c>
      <c r="V1156" s="3">
        <f>IF(tblOrdenes[[#This Row],[centro_costo]]="","",_xlfn.XLOOKUP(tblOrdenes[[#This Row],[centro_costo]],tblCECO[codigo],tblCECO[area],"(sin catálogo)"))</f>
        <v/>
      </c>
      <c r="W11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6" s="3">
        <f>IF(tblOrdenes[[#This Row],[centro_costo]]="","",_xlfn.XLOOKUP(tblOrdenes[[#This Row],[centro_costo]],tblCECO[codigo],tblCECO[coordinador],"(sin catálogo)"))</f>
        <v/>
      </c>
      <c r="Y1156" s="3">
        <f>IF(tblOrdenes[[#This Row],[puesto_trabajo]]="","",_xlfn.XLOOKUP(tblOrdenes[[#This Row],[puesto_trabajo]],tblPuestos[codigo],tblPuestos[especialidad],"(sin catálogo)"))</f>
        <v/>
      </c>
      <c r="Z1156" s="3">
        <f>IF(tblOrdenes[[#This Row],[cod_actividad]]="","",_xlfn.XLOOKUP(tblOrdenes[[#This Row],[cod_actividad]],tblActividades[codigo],tblActividades[descripcion],"(sin catálogo)"))</f>
        <v/>
      </c>
      <c r="AA1156" s="13">
        <f>IF(tblOrdenes[[#This Row],[fecha_inicio]]="","",TODAY()-tblOrdenes[[#This Row],[fecha_inicio]])</f>
        <v/>
      </c>
      <c r="AB11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6" s="3">
        <f>IF(tblOrdenes[[#This Row],[backlog_habiles]]="","",IF(tblOrdenes[[#This Row],[backlog_habiles]]&lt;0,"FUTURO",IF(tblOrdenes[[#This Row],[backlog_habiles]]&gt;p_dias_backlog_max,"BACKLOG","MES CORRIENTE")))</f>
        <v/>
      </c>
      <c r="AD1156" s="3">
        <f>IF(tblOrdenes[[#This Row],[backlog_habiles]]="",FALSE,AND(tblOrdenes[[#This Row],[backlog_habiles]]&gt;p_dias_backlog_min,tblOrdenes[[#This Row],[backlog_habiles]]&lt;=p_dias_backlog_max))</f>
        <v/>
      </c>
      <c r="AE1156" s="6" t="n"/>
      <c r="AF11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6" s="11">
        <f>IF(tblOrdenes[[#This Row],[orden]]="","",_xlfn.XLOOKUP(tblOrdenes[[#This Row],[id_operacion]],tblEjecucion[id_operacion],tblEjecucion[precio],0))</f>
        <v/>
      </c>
      <c r="AJ1156" s="11">
        <f>IF(tblOrdenes[[#This Row],[orden]]="","",MAX(0,_xlfn.XLOOKUP(tblOrdenes[[#This Row],[id_operacion]],tblEjecucion[id_operacion],tblEjecucion[costo_plan_total],0)-tblOrdenes[[#This Row],[costo_servicio]]))</f>
        <v/>
      </c>
      <c r="AK1156" s="11">
        <f>IF(tblOrdenes[[#This Row],[orden]]="","",tblOrdenes[[#This Row],[costo_servicio]]+tblOrdenes[[#This Row],[costo_materiales]])</f>
        <v/>
      </c>
      <c r="AL1156" s="6" t="n"/>
      <c r="AM1156" s="6" t="n"/>
      <c r="AN1156" s="6" t="n"/>
      <c r="AO1156" s="3">
        <f>IF(tblOrdenes[[#This Row],[link_checklist]]="","",HYPERLINK(p_ruta_base_checklists&amp;tblOrdenes[[#This Row],[link_checklist]],"abrir"))</f>
        <v/>
      </c>
      <c r="AP1156" s="6" t="n"/>
      <c r="AQ1156" s="3">
        <f>IF(tblOrdenes[[#This Row],[orden]]="","",tblOrdenes[[#This Row],[orden]]&amp;IF(tblOrdenes[[#This Row],[operacion]]="","0010",tblOrdenes[[#This Row],[operacion]]))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2" t="n"/>
      <c r="K1157" s="3" t="n"/>
      <c r="L1157" s="11" t="n"/>
      <c r="M11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7" s="3">
        <f>IF(tblOrdenes[[#This Row],[fecha_inicio]]="","",YEAR(tblOrdenes[[#This Row],[fecha_inicio]]))</f>
        <v/>
      </c>
      <c r="Q1157" s="3">
        <f>IF(tblOrdenes[[#This Row],[fecha_inicio]]="","",MONTH(tblOrdenes[[#This Row],[fecha_inicio]]))</f>
        <v/>
      </c>
      <c r="R1157" s="3">
        <f>IF(tblOrdenes[[#This Row],[fecha_inicio]]="","",INDEX(lista_dias,WEEKDAY(tblOrdenes[[#This Row],[fecha_inicio]],2)))</f>
        <v/>
      </c>
      <c r="S11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7" s="3">
        <f>IF(tblOrdenes[[#This Row],[tipo_ot]]="","",_xlfn.XLOOKUP(tblOrdenes[[#This Row],[tipo_ot]],tblTiposOT[codigo],tblTiposOT[clasificacion],"sin_clasificar"))</f>
        <v/>
      </c>
      <c r="U1157" s="3">
        <f>IF(tblOrdenes[[#This Row],[centro_costo]]="","",_xlfn.XLOOKUP(tblOrdenes[[#This Row],[centro_costo]],tblCECO[codigo],tblCECO[linea],"(sin catálogo)"))</f>
        <v/>
      </c>
      <c r="V1157" s="3">
        <f>IF(tblOrdenes[[#This Row],[centro_costo]]="","",_xlfn.XLOOKUP(tblOrdenes[[#This Row],[centro_costo]],tblCECO[codigo],tblCECO[area],"(sin catálogo)"))</f>
        <v/>
      </c>
      <c r="W11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7" s="3">
        <f>IF(tblOrdenes[[#This Row],[centro_costo]]="","",_xlfn.XLOOKUP(tblOrdenes[[#This Row],[centro_costo]],tblCECO[codigo],tblCECO[coordinador],"(sin catálogo)"))</f>
        <v/>
      </c>
      <c r="Y1157" s="3">
        <f>IF(tblOrdenes[[#This Row],[puesto_trabajo]]="","",_xlfn.XLOOKUP(tblOrdenes[[#This Row],[puesto_trabajo]],tblPuestos[codigo],tblPuestos[especialidad],"(sin catálogo)"))</f>
        <v/>
      </c>
      <c r="Z1157" s="3">
        <f>IF(tblOrdenes[[#This Row],[cod_actividad]]="","",_xlfn.XLOOKUP(tblOrdenes[[#This Row],[cod_actividad]],tblActividades[codigo],tblActividades[descripcion],"(sin catálogo)"))</f>
        <v/>
      </c>
      <c r="AA1157" s="13">
        <f>IF(tblOrdenes[[#This Row],[fecha_inicio]]="","",TODAY()-tblOrdenes[[#This Row],[fecha_inicio]])</f>
        <v/>
      </c>
      <c r="AB11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7" s="3">
        <f>IF(tblOrdenes[[#This Row],[backlog_habiles]]="","",IF(tblOrdenes[[#This Row],[backlog_habiles]]&lt;0,"FUTURO",IF(tblOrdenes[[#This Row],[backlog_habiles]]&gt;p_dias_backlog_max,"BACKLOG","MES CORRIENTE")))</f>
        <v/>
      </c>
      <c r="AD1157" s="3">
        <f>IF(tblOrdenes[[#This Row],[backlog_habiles]]="",FALSE,AND(tblOrdenes[[#This Row],[backlog_habiles]]&gt;p_dias_backlog_min,tblOrdenes[[#This Row],[backlog_habiles]]&lt;=p_dias_backlog_max))</f>
        <v/>
      </c>
      <c r="AE1157" s="6" t="n"/>
      <c r="AF11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7" s="11">
        <f>IF(tblOrdenes[[#This Row],[orden]]="","",_xlfn.XLOOKUP(tblOrdenes[[#This Row],[id_operacion]],tblEjecucion[id_operacion],tblEjecucion[precio],0))</f>
        <v/>
      </c>
      <c r="AJ1157" s="11">
        <f>IF(tblOrdenes[[#This Row],[orden]]="","",MAX(0,_xlfn.XLOOKUP(tblOrdenes[[#This Row],[id_operacion]],tblEjecucion[id_operacion],tblEjecucion[costo_plan_total],0)-tblOrdenes[[#This Row],[costo_servicio]]))</f>
        <v/>
      </c>
      <c r="AK1157" s="11">
        <f>IF(tblOrdenes[[#This Row],[orden]]="","",tblOrdenes[[#This Row],[costo_servicio]]+tblOrdenes[[#This Row],[costo_materiales]])</f>
        <v/>
      </c>
      <c r="AL1157" s="6" t="n"/>
      <c r="AM1157" s="6" t="n"/>
      <c r="AN1157" s="6" t="n"/>
      <c r="AO1157" s="3">
        <f>IF(tblOrdenes[[#This Row],[link_checklist]]="","",HYPERLINK(p_ruta_base_checklists&amp;tblOrdenes[[#This Row],[link_checklist]],"abrir"))</f>
        <v/>
      </c>
      <c r="AP1157" s="6" t="n"/>
      <c r="AQ1157" s="3">
        <f>IF(tblOrdenes[[#This Row],[orden]]="","",tblOrdenes[[#This Row],[orden]]&amp;IF(tblOrdenes[[#This Row],[operacion]]="","0010",tblOrdenes[[#This Row],[operacion]]))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2" t="n"/>
      <c r="K1158" s="3" t="n"/>
      <c r="L1158" s="11" t="n"/>
      <c r="M11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8" s="3">
        <f>IF(tblOrdenes[[#This Row],[fecha_inicio]]="","",YEAR(tblOrdenes[[#This Row],[fecha_inicio]]))</f>
        <v/>
      </c>
      <c r="Q1158" s="3">
        <f>IF(tblOrdenes[[#This Row],[fecha_inicio]]="","",MONTH(tblOrdenes[[#This Row],[fecha_inicio]]))</f>
        <v/>
      </c>
      <c r="R1158" s="3">
        <f>IF(tblOrdenes[[#This Row],[fecha_inicio]]="","",INDEX(lista_dias,WEEKDAY(tblOrdenes[[#This Row],[fecha_inicio]],2)))</f>
        <v/>
      </c>
      <c r="S11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8" s="3">
        <f>IF(tblOrdenes[[#This Row],[tipo_ot]]="","",_xlfn.XLOOKUP(tblOrdenes[[#This Row],[tipo_ot]],tblTiposOT[codigo],tblTiposOT[clasificacion],"sin_clasificar"))</f>
        <v/>
      </c>
      <c r="U1158" s="3">
        <f>IF(tblOrdenes[[#This Row],[centro_costo]]="","",_xlfn.XLOOKUP(tblOrdenes[[#This Row],[centro_costo]],tblCECO[codigo],tblCECO[linea],"(sin catálogo)"))</f>
        <v/>
      </c>
      <c r="V1158" s="3">
        <f>IF(tblOrdenes[[#This Row],[centro_costo]]="","",_xlfn.XLOOKUP(tblOrdenes[[#This Row],[centro_costo]],tblCECO[codigo],tblCECO[area],"(sin catálogo)"))</f>
        <v/>
      </c>
      <c r="W11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8" s="3">
        <f>IF(tblOrdenes[[#This Row],[centro_costo]]="","",_xlfn.XLOOKUP(tblOrdenes[[#This Row],[centro_costo]],tblCECO[codigo],tblCECO[coordinador],"(sin catálogo)"))</f>
        <v/>
      </c>
      <c r="Y1158" s="3">
        <f>IF(tblOrdenes[[#This Row],[puesto_trabajo]]="","",_xlfn.XLOOKUP(tblOrdenes[[#This Row],[puesto_trabajo]],tblPuestos[codigo],tblPuestos[especialidad],"(sin catálogo)"))</f>
        <v/>
      </c>
      <c r="Z1158" s="3">
        <f>IF(tblOrdenes[[#This Row],[cod_actividad]]="","",_xlfn.XLOOKUP(tblOrdenes[[#This Row],[cod_actividad]],tblActividades[codigo],tblActividades[descripcion],"(sin catálogo)"))</f>
        <v/>
      </c>
      <c r="AA1158" s="13">
        <f>IF(tblOrdenes[[#This Row],[fecha_inicio]]="","",TODAY()-tblOrdenes[[#This Row],[fecha_inicio]])</f>
        <v/>
      </c>
      <c r="AB11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8" s="3">
        <f>IF(tblOrdenes[[#This Row],[backlog_habiles]]="","",IF(tblOrdenes[[#This Row],[backlog_habiles]]&lt;0,"FUTURO",IF(tblOrdenes[[#This Row],[backlog_habiles]]&gt;p_dias_backlog_max,"BACKLOG","MES CORRIENTE")))</f>
        <v/>
      </c>
      <c r="AD1158" s="3">
        <f>IF(tblOrdenes[[#This Row],[backlog_habiles]]="",FALSE,AND(tblOrdenes[[#This Row],[backlog_habiles]]&gt;p_dias_backlog_min,tblOrdenes[[#This Row],[backlog_habiles]]&lt;=p_dias_backlog_max))</f>
        <v/>
      </c>
      <c r="AE1158" s="6" t="n"/>
      <c r="AF11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8" s="11">
        <f>IF(tblOrdenes[[#This Row],[orden]]="","",_xlfn.XLOOKUP(tblOrdenes[[#This Row],[id_operacion]],tblEjecucion[id_operacion],tblEjecucion[precio],0))</f>
        <v/>
      </c>
      <c r="AJ1158" s="11">
        <f>IF(tblOrdenes[[#This Row],[orden]]="","",MAX(0,_xlfn.XLOOKUP(tblOrdenes[[#This Row],[id_operacion]],tblEjecucion[id_operacion],tblEjecucion[costo_plan_total],0)-tblOrdenes[[#This Row],[costo_servicio]]))</f>
        <v/>
      </c>
      <c r="AK1158" s="11">
        <f>IF(tblOrdenes[[#This Row],[orden]]="","",tblOrdenes[[#This Row],[costo_servicio]]+tblOrdenes[[#This Row],[costo_materiales]])</f>
        <v/>
      </c>
      <c r="AL1158" s="6" t="n"/>
      <c r="AM1158" s="6" t="n"/>
      <c r="AN1158" s="6" t="n"/>
      <c r="AO1158" s="3">
        <f>IF(tblOrdenes[[#This Row],[link_checklist]]="","",HYPERLINK(p_ruta_base_checklists&amp;tblOrdenes[[#This Row],[link_checklist]],"abrir"))</f>
        <v/>
      </c>
      <c r="AP1158" s="6" t="n"/>
      <c r="AQ1158" s="3">
        <f>IF(tblOrdenes[[#This Row],[orden]]="","",tblOrdenes[[#This Row],[orden]]&amp;IF(tblOrdenes[[#This Row],[operacion]]="","0010",tblOrdenes[[#This Row],[operacion]]))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2" t="n"/>
      <c r="K1159" s="3" t="n"/>
      <c r="L1159" s="11" t="n"/>
      <c r="M11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9" s="3">
        <f>IF(tblOrdenes[[#This Row],[fecha_inicio]]="","",YEAR(tblOrdenes[[#This Row],[fecha_inicio]]))</f>
        <v/>
      </c>
      <c r="Q1159" s="3">
        <f>IF(tblOrdenes[[#This Row],[fecha_inicio]]="","",MONTH(tblOrdenes[[#This Row],[fecha_inicio]]))</f>
        <v/>
      </c>
      <c r="R1159" s="3">
        <f>IF(tblOrdenes[[#This Row],[fecha_inicio]]="","",INDEX(lista_dias,WEEKDAY(tblOrdenes[[#This Row],[fecha_inicio]],2)))</f>
        <v/>
      </c>
      <c r="S11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9" s="3">
        <f>IF(tblOrdenes[[#This Row],[tipo_ot]]="","",_xlfn.XLOOKUP(tblOrdenes[[#This Row],[tipo_ot]],tblTiposOT[codigo],tblTiposOT[clasificacion],"sin_clasificar"))</f>
        <v/>
      </c>
      <c r="U1159" s="3">
        <f>IF(tblOrdenes[[#This Row],[centro_costo]]="","",_xlfn.XLOOKUP(tblOrdenes[[#This Row],[centro_costo]],tblCECO[codigo],tblCECO[linea],"(sin catálogo)"))</f>
        <v/>
      </c>
      <c r="V1159" s="3">
        <f>IF(tblOrdenes[[#This Row],[centro_costo]]="","",_xlfn.XLOOKUP(tblOrdenes[[#This Row],[centro_costo]],tblCECO[codigo],tblCECO[area],"(sin catálogo)"))</f>
        <v/>
      </c>
      <c r="W11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9" s="3">
        <f>IF(tblOrdenes[[#This Row],[centro_costo]]="","",_xlfn.XLOOKUP(tblOrdenes[[#This Row],[centro_costo]],tblCECO[codigo],tblCECO[coordinador],"(sin catálogo)"))</f>
        <v/>
      </c>
      <c r="Y1159" s="3">
        <f>IF(tblOrdenes[[#This Row],[puesto_trabajo]]="","",_xlfn.XLOOKUP(tblOrdenes[[#This Row],[puesto_trabajo]],tblPuestos[codigo],tblPuestos[especialidad],"(sin catálogo)"))</f>
        <v/>
      </c>
      <c r="Z1159" s="3">
        <f>IF(tblOrdenes[[#This Row],[cod_actividad]]="","",_xlfn.XLOOKUP(tblOrdenes[[#This Row],[cod_actividad]],tblActividades[codigo],tblActividades[descripcion],"(sin catálogo)"))</f>
        <v/>
      </c>
      <c r="AA1159" s="13">
        <f>IF(tblOrdenes[[#This Row],[fecha_inicio]]="","",TODAY()-tblOrdenes[[#This Row],[fecha_inicio]])</f>
        <v/>
      </c>
      <c r="AB11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9" s="3">
        <f>IF(tblOrdenes[[#This Row],[backlog_habiles]]="","",IF(tblOrdenes[[#This Row],[backlog_habiles]]&lt;0,"FUTURO",IF(tblOrdenes[[#This Row],[backlog_habiles]]&gt;p_dias_backlog_max,"BACKLOG","MES CORRIENTE")))</f>
        <v/>
      </c>
      <c r="AD1159" s="3">
        <f>IF(tblOrdenes[[#This Row],[backlog_habiles]]="",FALSE,AND(tblOrdenes[[#This Row],[backlog_habiles]]&gt;p_dias_backlog_min,tblOrdenes[[#This Row],[backlog_habiles]]&lt;=p_dias_backlog_max))</f>
        <v/>
      </c>
      <c r="AE1159" s="6" t="n"/>
      <c r="AF11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9" s="11">
        <f>IF(tblOrdenes[[#This Row],[orden]]="","",_xlfn.XLOOKUP(tblOrdenes[[#This Row],[id_operacion]],tblEjecucion[id_operacion],tblEjecucion[precio],0))</f>
        <v/>
      </c>
      <c r="AJ1159" s="11">
        <f>IF(tblOrdenes[[#This Row],[orden]]="","",MAX(0,_xlfn.XLOOKUP(tblOrdenes[[#This Row],[id_operacion]],tblEjecucion[id_operacion],tblEjecucion[costo_plan_total],0)-tblOrdenes[[#This Row],[costo_servicio]]))</f>
        <v/>
      </c>
      <c r="AK1159" s="11">
        <f>IF(tblOrdenes[[#This Row],[orden]]="","",tblOrdenes[[#This Row],[costo_servicio]]+tblOrdenes[[#This Row],[costo_materiales]])</f>
        <v/>
      </c>
      <c r="AL1159" s="6" t="n"/>
      <c r="AM1159" s="6" t="n"/>
      <c r="AN1159" s="6" t="n"/>
      <c r="AO1159" s="3">
        <f>IF(tblOrdenes[[#This Row],[link_checklist]]="","",HYPERLINK(p_ruta_base_checklists&amp;tblOrdenes[[#This Row],[link_checklist]],"abrir"))</f>
        <v/>
      </c>
      <c r="AP1159" s="6" t="n"/>
      <c r="AQ1159" s="3">
        <f>IF(tblOrdenes[[#This Row],[orden]]="","",tblOrdenes[[#This Row],[orden]]&amp;IF(tblOrdenes[[#This Row],[operacion]]="","0010",tblOrdenes[[#This Row],[operacion]]))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2" t="n"/>
      <c r="K1160" s="3" t="n"/>
      <c r="L1160" s="11" t="n"/>
      <c r="M11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0" s="3">
        <f>IF(tblOrdenes[[#This Row],[fecha_inicio]]="","",YEAR(tblOrdenes[[#This Row],[fecha_inicio]]))</f>
        <v/>
      </c>
      <c r="Q1160" s="3">
        <f>IF(tblOrdenes[[#This Row],[fecha_inicio]]="","",MONTH(tblOrdenes[[#This Row],[fecha_inicio]]))</f>
        <v/>
      </c>
      <c r="R1160" s="3">
        <f>IF(tblOrdenes[[#This Row],[fecha_inicio]]="","",INDEX(lista_dias,WEEKDAY(tblOrdenes[[#This Row],[fecha_inicio]],2)))</f>
        <v/>
      </c>
      <c r="S11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0" s="3">
        <f>IF(tblOrdenes[[#This Row],[tipo_ot]]="","",_xlfn.XLOOKUP(tblOrdenes[[#This Row],[tipo_ot]],tblTiposOT[codigo],tblTiposOT[clasificacion],"sin_clasificar"))</f>
        <v/>
      </c>
      <c r="U1160" s="3">
        <f>IF(tblOrdenes[[#This Row],[centro_costo]]="","",_xlfn.XLOOKUP(tblOrdenes[[#This Row],[centro_costo]],tblCECO[codigo],tblCECO[linea],"(sin catálogo)"))</f>
        <v/>
      </c>
      <c r="V1160" s="3">
        <f>IF(tblOrdenes[[#This Row],[centro_costo]]="","",_xlfn.XLOOKUP(tblOrdenes[[#This Row],[centro_costo]],tblCECO[codigo],tblCECO[area],"(sin catálogo)"))</f>
        <v/>
      </c>
      <c r="W11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0" s="3">
        <f>IF(tblOrdenes[[#This Row],[centro_costo]]="","",_xlfn.XLOOKUP(tblOrdenes[[#This Row],[centro_costo]],tblCECO[codigo],tblCECO[coordinador],"(sin catálogo)"))</f>
        <v/>
      </c>
      <c r="Y1160" s="3">
        <f>IF(tblOrdenes[[#This Row],[puesto_trabajo]]="","",_xlfn.XLOOKUP(tblOrdenes[[#This Row],[puesto_trabajo]],tblPuestos[codigo],tblPuestos[especialidad],"(sin catálogo)"))</f>
        <v/>
      </c>
      <c r="Z1160" s="3">
        <f>IF(tblOrdenes[[#This Row],[cod_actividad]]="","",_xlfn.XLOOKUP(tblOrdenes[[#This Row],[cod_actividad]],tblActividades[codigo],tblActividades[descripcion],"(sin catálogo)"))</f>
        <v/>
      </c>
      <c r="AA1160" s="13">
        <f>IF(tblOrdenes[[#This Row],[fecha_inicio]]="","",TODAY()-tblOrdenes[[#This Row],[fecha_inicio]])</f>
        <v/>
      </c>
      <c r="AB11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0" s="3">
        <f>IF(tblOrdenes[[#This Row],[backlog_habiles]]="","",IF(tblOrdenes[[#This Row],[backlog_habiles]]&lt;0,"FUTURO",IF(tblOrdenes[[#This Row],[backlog_habiles]]&gt;p_dias_backlog_max,"BACKLOG","MES CORRIENTE")))</f>
        <v/>
      </c>
      <c r="AD1160" s="3">
        <f>IF(tblOrdenes[[#This Row],[backlog_habiles]]="",FALSE,AND(tblOrdenes[[#This Row],[backlog_habiles]]&gt;p_dias_backlog_min,tblOrdenes[[#This Row],[backlog_habiles]]&lt;=p_dias_backlog_max))</f>
        <v/>
      </c>
      <c r="AE1160" s="6" t="n"/>
      <c r="AF11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0" s="11">
        <f>IF(tblOrdenes[[#This Row],[orden]]="","",_xlfn.XLOOKUP(tblOrdenes[[#This Row],[id_operacion]],tblEjecucion[id_operacion],tblEjecucion[precio],0))</f>
        <v/>
      </c>
      <c r="AJ1160" s="11">
        <f>IF(tblOrdenes[[#This Row],[orden]]="","",MAX(0,_xlfn.XLOOKUP(tblOrdenes[[#This Row],[id_operacion]],tblEjecucion[id_operacion],tblEjecucion[costo_plan_total],0)-tblOrdenes[[#This Row],[costo_servicio]]))</f>
        <v/>
      </c>
      <c r="AK1160" s="11">
        <f>IF(tblOrdenes[[#This Row],[orden]]="","",tblOrdenes[[#This Row],[costo_servicio]]+tblOrdenes[[#This Row],[costo_materiales]])</f>
        <v/>
      </c>
      <c r="AL1160" s="6" t="n"/>
      <c r="AM1160" s="6" t="n"/>
      <c r="AN1160" s="6" t="n"/>
      <c r="AO1160" s="3">
        <f>IF(tblOrdenes[[#This Row],[link_checklist]]="","",HYPERLINK(p_ruta_base_checklists&amp;tblOrdenes[[#This Row],[link_checklist]],"abrir"))</f>
        <v/>
      </c>
      <c r="AP1160" s="6" t="n"/>
      <c r="AQ1160" s="3">
        <f>IF(tblOrdenes[[#This Row],[orden]]="","",tblOrdenes[[#This Row],[orden]]&amp;IF(tblOrdenes[[#This Row],[operacion]]="","0010",tblOrdenes[[#This Row],[operacion]]))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2" t="n"/>
      <c r="K1161" s="3" t="n"/>
      <c r="L1161" s="11" t="n"/>
      <c r="M11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1" s="3">
        <f>IF(tblOrdenes[[#This Row],[fecha_inicio]]="","",YEAR(tblOrdenes[[#This Row],[fecha_inicio]]))</f>
        <v/>
      </c>
      <c r="Q1161" s="3">
        <f>IF(tblOrdenes[[#This Row],[fecha_inicio]]="","",MONTH(tblOrdenes[[#This Row],[fecha_inicio]]))</f>
        <v/>
      </c>
      <c r="R1161" s="3">
        <f>IF(tblOrdenes[[#This Row],[fecha_inicio]]="","",INDEX(lista_dias,WEEKDAY(tblOrdenes[[#This Row],[fecha_inicio]],2)))</f>
        <v/>
      </c>
      <c r="S11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1" s="3">
        <f>IF(tblOrdenes[[#This Row],[tipo_ot]]="","",_xlfn.XLOOKUP(tblOrdenes[[#This Row],[tipo_ot]],tblTiposOT[codigo],tblTiposOT[clasificacion],"sin_clasificar"))</f>
        <v/>
      </c>
      <c r="U1161" s="3">
        <f>IF(tblOrdenes[[#This Row],[centro_costo]]="","",_xlfn.XLOOKUP(tblOrdenes[[#This Row],[centro_costo]],tblCECO[codigo],tblCECO[linea],"(sin catálogo)"))</f>
        <v/>
      </c>
      <c r="V1161" s="3">
        <f>IF(tblOrdenes[[#This Row],[centro_costo]]="","",_xlfn.XLOOKUP(tblOrdenes[[#This Row],[centro_costo]],tblCECO[codigo],tblCECO[area],"(sin catálogo)"))</f>
        <v/>
      </c>
      <c r="W11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1" s="3">
        <f>IF(tblOrdenes[[#This Row],[centro_costo]]="","",_xlfn.XLOOKUP(tblOrdenes[[#This Row],[centro_costo]],tblCECO[codigo],tblCECO[coordinador],"(sin catálogo)"))</f>
        <v/>
      </c>
      <c r="Y1161" s="3">
        <f>IF(tblOrdenes[[#This Row],[puesto_trabajo]]="","",_xlfn.XLOOKUP(tblOrdenes[[#This Row],[puesto_trabajo]],tblPuestos[codigo],tblPuestos[especialidad],"(sin catálogo)"))</f>
        <v/>
      </c>
      <c r="Z1161" s="3">
        <f>IF(tblOrdenes[[#This Row],[cod_actividad]]="","",_xlfn.XLOOKUP(tblOrdenes[[#This Row],[cod_actividad]],tblActividades[codigo],tblActividades[descripcion],"(sin catálogo)"))</f>
        <v/>
      </c>
      <c r="AA1161" s="13">
        <f>IF(tblOrdenes[[#This Row],[fecha_inicio]]="","",TODAY()-tblOrdenes[[#This Row],[fecha_inicio]])</f>
        <v/>
      </c>
      <c r="AB11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1" s="3">
        <f>IF(tblOrdenes[[#This Row],[backlog_habiles]]="","",IF(tblOrdenes[[#This Row],[backlog_habiles]]&lt;0,"FUTURO",IF(tblOrdenes[[#This Row],[backlog_habiles]]&gt;p_dias_backlog_max,"BACKLOG","MES CORRIENTE")))</f>
        <v/>
      </c>
      <c r="AD1161" s="3">
        <f>IF(tblOrdenes[[#This Row],[backlog_habiles]]="",FALSE,AND(tblOrdenes[[#This Row],[backlog_habiles]]&gt;p_dias_backlog_min,tblOrdenes[[#This Row],[backlog_habiles]]&lt;=p_dias_backlog_max))</f>
        <v/>
      </c>
      <c r="AE1161" s="6" t="n"/>
      <c r="AF11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1" s="11">
        <f>IF(tblOrdenes[[#This Row],[orden]]="","",_xlfn.XLOOKUP(tblOrdenes[[#This Row],[id_operacion]],tblEjecucion[id_operacion],tblEjecucion[precio],0))</f>
        <v/>
      </c>
      <c r="AJ1161" s="11">
        <f>IF(tblOrdenes[[#This Row],[orden]]="","",MAX(0,_xlfn.XLOOKUP(tblOrdenes[[#This Row],[id_operacion]],tblEjecucion[id_operacion],tblEjecucion[costo_plan_total],0)-tblOrdenes[[#This Row],[costo_servicio]]))</f>
        <v/>
      </c>
      <c r="AK1161" s="11">
        <f>IF(tblOrdenes[[#This Row],[orden]]="","",tblOrdenes[[#This Row],[costo_servicio]]+tblOrdenes[[#This Row],[costo_materiales]])</f>
        <v/>
      </c>
      <c r="AL1161" s="6" t="n"/>
      <c r="AM1161" s="6" t="n"/>
      <c r="AN1161" s="6" t="n"/>
      <c r="AO1161" s="3">
        <f>IF(tblOrdenes[[#This Row],[link_checklist]]="","",HYPERLINK(p_ruta_base_checklists&amp;tblOrdenes[[#This Row],[link_checklist]],"abrir"))</f>
        <v/>
      </c>
      <c r="AP1161" s="6" t="n"/>
      <c r="AQ1161" s="3">
        <f>IF(tblOrdenes[[#This Row],[orden]]="","",tblOrdenes[[#This Row],[orden]]&amp;IF(tblOrdenes[[#This Row],[operacion]]="","0010",tblOrdenes[[#This Row],[operacion]]))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2" t="n"/>
      <c r="K1162" s="3" t="n"/>
      <c r="L1162" s="11" t="n"/>
      <c r="M11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2" s="3">
        <f>IF(tblOrdenes[[#This Row],[fecha_inicio]]="","",YEAR(tblOrdenes[[#This Row],[fecha_inicio]]))</f>
        <v/>
      </c>
      <c r="Q1162" s="3">
        <f>IF(tblOrdenes[[#This Row],[fecha_inicio]]="","",MONTH(tblOrdenes[[#This Row],[fecha_inicio]]))</f>
        <v/>
      </c>
      <c r="R1162" s="3">
        <f>IF(tblOrdenes[[#This Row],[fecha_inicio]]="","",INDEX(lista_dias,WEEKDAY(tblOrdenes[[#This Row],[fecha_inicio]],2)))</f>
        <v/>
      </c>
      <c r="S11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2" s="3">
        <f>IF(tblOrdenes[[#This Row],[tipo_ot]]="","",_xlfn.XLOOKUP(tblOrdenes[[#This Row],[tipo_ot]],tblTiposOT[codigo],tblTiposOT[clasificacion],"sin_clasificar"))</f>
        <v/>
      </c>
      <c r="U1162" s="3">
        <f>IF(tblOrdenes[[#This Row],[centro_costo]]="","",_xlfn.XLOOKUP(tblOrdenes[[#This Row],[centro_costo]],tblCECO[codigo],tblCECO[linea],"(sin catálogo)"))</f>
        <v/>
      </c>
      <c r="V1162" s="3">
        <f>IF(tblOrdenes[[#This Row],[centro_costo]]="","",_xlfn.XLOOKUP(tblOrdenes[[#This Row],[centro_costo]],tblCECO[codigo],tblCECO[area],"(sin catálogo)"))</f>
        <v/>
      </c>
      <c r="W11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2" s="3">
        <f>IF(tblOrdenes[[#This Row],[centro_costo]]="","",_xlfn.XLOOKUP(tblOrdenes[[#This Row],[centro_costo]],tblCECO[codigo],tblCECO[coordinador],"(sin catálogo)"))</f>
        <v/>
      </c>
      <c r="Y1162" s="3">
        <f>IF(tblOrdenes[[#This Row],[puesto_trabajo]]="","",_xlfn.XLOOKUP(tblOrdenes[[#This Row],[puesto_trabajo]],tblPuestos[codigo],tblPuestos[especialidad],"(sin catálogo)"))</f>
        <v/>
      </c>
      <c r="Z1162" s="3">
        <f>IF(tblOrdenes[[#This Row],[cod_actividad]]="","",_xlfn.XLOOKUP(tblOrdenes[[#This Row],[cod_actividad]],tblActividades[codigo],tblActividades[descripcion],"(sin catálogo)"))</f>
        <v/>
      </c>
      <c r="AA1162" s="13">
        <f>IF(tblOrdenes[[#This Row],[fecha_inicio]]="","",TODAY()-tblOrdenes[[#This Row],[fecha_inicio]])</f>
        <v/>
      </c>
      <c r="AB11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2" s="3">
        <f>IF(tblOrdenes[[#This Row],[backlog_habiles]]="","",IF(tblOrdenes[[#This Row],[backlog_habiles]]&lt;0,"FUTURO",IF(tblOrdenes[[#This Row],[backlog_habiles]]&gt;p_dias_backlog_max,"BACKLOG","MES CORRIENTE")))</f>
        <v/>
      </c>
      <c r="AD1162" s="3">
        <f>IF(tblOrdenes[[#This Row],[backlog_habiles]]="",FALSE,AND(tblOrdenes[[#This Row],[backlog_habiles]]&gt;p_dias_backlog_min,tblOrdenes[[#This Row],[backlog_habiles]]&lt;=p_dias_backlog_max))</f>
        <v/>
      </c>
      <c r="AE1162" s="6" t="n"/>
      <c r="AF11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2" s="11">
        <f>IF(tblOrdenes[[#This Row],[orden]]="","",_xlfn.XLOOKUP(tblOrdenes[[#This Row],[id_operacion]],tblEjecucion[id_operacion],tblEjecucion[precio],0))</f>
        <v/>
      </c>
      <c r="AJ1162" s="11">
        <f>IF(tblOrdenes[[#This Row],[orden]]="","",MAX(0,_xlfn.XLOOKUP(tblOrdenes[[#This Row],[id_operacion]],tblEjecucion[id_operacion],tblEjecucion[costo_plan_total],0)-tblOrdenes[[#This Row],[costo_servicio]]))</f>
        <v/>
      </c>
      <c r="AK1162" s="11">
        <f>IF(tblOrdenes[[#This Row],[orden]]="","",tblOrdenes[[#This Row],[costo_servicio]]+tblOrdenes[[#This Row],[costo_materiales]])</f>
        <v/>
      </c>
      <c r="AL1162" s="6" t="n"/>
      <c r="AM1162" s="6" t="n"/>
      <c r="AN1162" s="6" t="n"/>
      <c r="AO1162" s="3">
        <f>IF(tblOrdenes[[#This Row],[link_checklist]]="","",HYPERLINK(p_ruta_base_checklists&amp;tblOrdenes[[#This Row],[link_checklist]],"abrir"))</f>
        <v/>
      </c>
      <c r="AP1162" s="6" t="n"/>
      <c r="AQ1162" s="3">
        <f>IF(tblOrdenes[[#This Row],[orden]]="","",tblOrdenes[[#This Row],[orden]]&amp;IF(tblOrdenes[[#This Row],[operacion]]="","0010",tblOrdenes[[#This Row],[operacion]]))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2" t="n"/>
      <c r="K1163" s="3" t="n"/>
      <c r="L1163" s="11" t="n"/>
      <c r="M11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3" s="3">
        <f>IF(tblOrdenes[[#This Row],[fecha_inicio]]="","",YEAR(tblOrdenes[[#This Row],[fecha_inicio]]))</f>
        <v/>
      </c>
      <c r="Q1163" s="3">
        <f>IF(tblOrdenes[[#This Row],[fecha_inicio]]="","",MONTH(tblOrdenes[[#This Row],[fecha_inicio]]))</f>
        <v/>
      </c>
      <c r="R1163" s="3">
        <f>IF(tblOrdenes[[#This Row],[fecha_inicio]]="","",INDEX(lista_dias,WEEKDAY(tblOrdenes[[#This Row],[fecha_inicio]],2)))</f>
        <v/>
      </c>
      <c r="S11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3" s="3">
        <f>IF(tblOrdenes[[#This Row],[tipo_ot]]="","",_xlfn.XLOOKUP(tblOrdenes[[#This Row],[tipo_ot]],tblTiposOT[codigo],tblTiposOT[clasificacion],"sin_clasificar"))</f>
        <v/>
      </c>
      <c r="U1163" s="3">
        <f>IF(tblOrdenes[[#This Row],[centro_costo]]="","",_xlfn.XLOOKUP(tblOrdenes[[#This Row],[centro_costo]],tblCECO[codigo],tblCECO[linea],"(sin catálogo)"))</f>
        <v/>
      </c>
      <c r="V1163" s="3">
        <f>IF(tblOrdenes[[#This Row],[centro_costo]]="","",_xlfn.XLOOKUP(tblOrdenes[[#This Row],[centro_costo]],tblCECO[codigo],tblCECO[area],"(sin catálogo)"))</f>
        <v/>
      </c>
      <c r="W11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3" s="3">
        <f>IF(tblOrdenes[[#This Row],[centro_costo]]="","",_xlfn.XLOOKUP(tblOrdenes[[#This Row],[centro_costo]],tblCECO[codigo],tblCECO[coordinador],"(sin catálogo)"))</f>
        <v/>
      </c>
      <c r="Y1163" s="3">
        <f>IF(tblOrdenes[[#This Row],[puesto_trabajo]]="","",_xlfn.XLOOKUP(tblOrdenes[[#This Row],[puesto_trabajo]],tblPuestos[codigo],tblPuestos[especialidad],"(sin catálogo)"))</f>
        <v/>
      </c>
      <c r="Z1163" s="3">
        <f>IF(tblOrdenes[[#This Row],[cod_actividad]]="","",_xlfn.XLOOKUP(tblOrdenes[[#This Row],[cod_actividad]],tblActividades[codigo],tblActividades[descripcion],"(sin catálogo)"))</f>
        <v/>
      </c>
      <c r="AA1163" s="13">
        <f>IF(tblOrdenes[[#This Row],[fecha_inicio]]="","",TODAY()-tblOrdenes[[#This Row],[fecha_inicio]])</f>
        <v/>
      </c>
      <c r="AB11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3" s="3">
        <f>IF(tblOrdenes[[#This Row],[backlog_habiles]]="","",IF(tblOrdenes[[#This Row],[backlog_habiles]]&lt;0,"FUTURO",IF(tblOrdenes[[#This Row],[backlog_habiles]]&gt;p_dias_backlog_max,"BACKLOG","MES CORRIENTE")))</f>
        <v/>
      </c>
      <c r="AD1163" s="3">
        <f>IF(tblOrdenes[[#This Row],[backlog_habiles]]="",FALSE,AND(tblOrdenes[[#This Row],[backlog_habiles]]&gt;p_dias_backlog_min,tblOrdenes[[#This Row],[backlog_habiles]]&lt;=p_dias_backlog_max))</f>
        <v/>
      </c>
      <c r="AE1163" s="6" t="n"/>
      <c r="AF11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3" s="11">
        <f>IF(tblOrdenes[[#This Row],[orden]]="","",_xlfn.XLOOKUP(tblOrdenes[[#This Row],[id_operacion]],tblEjecucion[id_operacion],tblEjecucion[precio],0))</f>
        <v/>
      </c>
      <c r="AJ1163" s="11">
        <f>IF(tblOrdenes[[#This Row],[orden]]="","",MAX(0,_xlfn.XLOOKUP(tblOrdenes[[#This Row],[id_operacion]],tblEjecucion[id_operacion],tblEjecucion[costo_plan_total],0)-tblOrdenes[[#This Row],[costo_servicio]]))</f>
        <v/>
      </c>
      <c r="AK1163" s="11">
        <f>IF(tblOrdenes[[#This Row],[orden]]="","",tblOrdenes[[#This Row],[costo_servicio]]+tblOrdenes[[#This Row],[costo_materiales]])</f>
        <v/>
      </c>
      <c r="AL1163" s="6" t="n"/>
      <c r="AM1163" s="6" t="n"/>
      <c r="AN1163" s="6" t="n"/>
      <c r="AO1163" s="3">
        <f>IF(tblOrdenes[[#This Row],[link_checklist]]="","",HYPERLINK(p_ruta_base_checklists&amp;tblOrdenes[[#This Row],[link_checklist]],"abrir"))</f>
        <v/>
      </c>
      <c r="AP1163" s="6" t="n"/>
      <c r="AQ1163" s="3">
        <f>IF(tblOrdenes[[#This Row],[orden]]="","",tblOrdenes[[#This Row],[orden]]&amp;IF(tblOrdenes[[#This Row],[operacion]]="","0010",tblOrdenes[[#This Row],[operacion]]))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2" t="n"/>
      <c r="K1164" s="3" t="n"/>
      <c r="L1164" s="11" t="n"/>
      <c r="M11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4" s="3">
        <f>IF(tblOrdenes[[#This Row],[fecha_inicio]]="","",YEAR(tblOrdenes[[#This Row],[fecha_inicio]]))</f>
        <v/>
      </c>
      <c r="Q1164" s="3">
        <f>IF(tblOrdenes[[#This Row],[fecha_inicio]]="","",MONTH(tblOrdenes[[#This Row],[fecha_inicio]]))</f>
        <v/>
      </c>
      <c r="R1164" s="3">
        <f>IF(tblOrdenes[[#This Row],[fecha_inicio]]="","",INDEX(lista_dias,WEEKDAY(tblOrdenes[[#This Row],[fecha_inicio]],2)))</f>
        <v/>
      </c>
      <c r="S11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4" s="3">
        <f>IF(tblOrdenes[[#This Row],[tipo_ot]]="","",_xlfn.XLOOKUP(tblOrdenes[[#This Row],[tipo_ot]],tblTiposOT[codigo],tblTiposOT[clasificacion],"sin_clasificar"))</f>
        <v/>
      </c>
      <c r="U1164" s="3">
        <f>IF(tblOrdenes[[#This Row],[centro_costo]]="","",_xlfn.XLOOKUP(tblOrdenes[[#This Row],[centro_costo]],tblCECO[codigo],tblCECO[linea],"(sin catálogo)"))</f>
        <v/>
      </c>
      <c r="V1164" s="3">
        <f>IF(tblOrdenes[[#This Row],[centro_costo]]="","",_xlfn.XLOOKUP(tblOrdenes[[#This Row],[centro_costo]],tblCECO[codigo],tblCECO[area],"(sin catálogo)"))</f>
        <v/>
      </c>
      <c r="W11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4" s="3">
        <f>IF(tblOrdenes[[#This Row],[centro_costo]]="","",_xlfn.XLOOKUP(tblOrdenes[[#This Row],[centro_costo]],tblCECO[codigo],tblCECO[coordinador],"(sin catálogo)"))</f>
        <v/>
      </c>
      <c r="Y1164" s="3">
        <f>IF(tblOrdenes[[#This Row],[puesto_trabajo]]="","",_xlfn.XLOOKUP(tblOrdenes[[#This Row],[puesto_trabajo]],tblPuestos[codigo],tblPuestos[especialidad],"(sin catálogo)"))</f>
        <v/>
      </c>
      <c r="Z1164" s="3">
        <f>IF(tblOrdenes[[#This Row],[cod_actividad]]="","",_xlfn.XLOOKUP(tblOrdenes[[#This Row],[cod_actividad]],tblActividades[codigo],tblActividades[descripcion],"(sin catálogo)"))</f>
        <v/>
      </c>
      <c r="AA1164" s="13">
        <f>IF(tblOrdenes[[#This Row],[fecha_inicio]]="","",TODAY()-tblOrdenes[[#This Row],[fecha_inicio]])</f>
        <v/>
      </c>
      <c r="AB11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4" s="3">
        <f>IF(tblOrdenes[[#This Row],[backlog_habiles]]="","",IF(tblOrdenes[[#This Row],[backlog_habiles]]&lt;0,"FUTURO",IF(tblOrdenes[[#This Row],[backlog_habiles]]&gt;p_dias_backlog_max,"BACKLOG","MES CORRIENTE")))</f>
        <v/>
      </c>
      <c r="AD1164" s="3">
        <f>IF(tblOrdenes[[#This Row],[backlog_habiles]]="",FALSE,AND(tblOrdenes[[#This Row],[backlog_habiles]]&gt;p_dias_backlog_min,tblOrdenes[[#This Row],[backlog_habiles]]&lt;=p_dias_backlog_max))</f>
        <v/>
      </c>
      <c r="AE1164" s="6" t="n"/>
      <c r="AF11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4" s="11">
        <f>IF(tblOrdenes[[#This Row],[orden]]="","",_xlfn.XLOOKUP(tblOrdenes[[#This Row],[id_operacion]],tblEjecucion[id_operacion],tblEjecucion[precio],0))</f>
        <v/>
      </c>
      <c r="AJ1164" s="11">
        <f>IF(tblOrdenes[[#This Row],[orden]]="","",MAX(0,_xlfn.XLOOKUP(tblOrdenes[[#This Row],[id_operacion]],tblEjecucion[id_operacion],tblEjecucion[costo_plan_total],0)-tblOrdenes[[#This Row],[costo_servicio]]))</f>
        <v/>
      </c>
      <c r="AK1164" s="11">
        <f>IF(tblOrdenes[[#This Row],[orden]]="","",tblOrdenes[[#This Row],[costo_servicio]]+tblOrdenes[[#This Row],[costo_materiales]])</f>
        <v/>
      </c>
      <c r="AL1164" s="6" t="n"/>
      <c r="AM1164" s="6" t="n"/>
      <c r="AN1164" s="6" t="n"/>
      <c r="AO1164" s="3">
        <f>IF(tblOrdenes[[#This Row],[link_checklist]]="","",HYPERLINK(p_ruta_base_checklists&amp;tblOrdenes[[#This Row],[link_checklist]],"abrir"))</f>
        <v/>
      </c>
      <c r="AP1164" s="6" t="n"/>
      <c r="AQ1164" s="3">
        <f>IF(tblOrdenes[[#This Row],[orden]]="","",tblOrdenes[[#This Row],[orden]]&amp;IF(tblOrdenes[[#This Row],[operacion]]="","0010",tblOrdenes[[#This Row],[operacion]]))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2" t="n"/>
      <c r="K1165" s="3" t="n"/>
      <c r="L1165" s="11" t="n"/>
      <c r="M11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5" s="3">
        <f>IF(tblOrdenes[[#This Row],[fecha_inicio]]="","",YEAR(tblOrdenes[[#This Row],[fecha_inicio]]))</f>
        <v/>
      </c>
      <c r="Q1165" s="3">
        <f>IF(tblOrdenes[[#This Row],[fecha_inicio]]="","",MONTH(tblOrdenes[[#This Row],[fecha_inicio]]))</f>
        <v/>
      </c>
      <c r="R1165" s="3">
        <f>IF(tblOrdenes[[#This Row],[fecha_inicio]]="","",INDEX(lista_dias,WEEKDAY(tblOrdenes[[#This Row],[fecha_inicio]],2)))</f>
        <v/>
      </c>
      <c r="S11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5" s="3">
        <f>IF(tblOrdenes[[#This Row],[tipo_ot]]="","",_xlfn.XLOOKUP(tblOrdenes[[#This Row],[tipo_ot]],tblTiposOT[codigo],tblTiposOT[clasificacion],"sin_clasificar"))</f>
        <v/>
      </c>
      <c r="U1165" s="3">
        <f>IF(tblOrdenes[[#This Row],[centro_costo]]="","",_xlfn.XLOOKUP(tblOrdenes[[#This Row],[centro_costo]],tblCECO[codigo],tblCECO[linea],"(sin catálogo)"))</f>
        <v/>
      </c>
      <c r="V1165" s="3">
        <f>IF(tblOrdenes[[#This Row],[centro_costo]]="","",_xlfn.XLOOKUP(tblOrdenes[[#This Row],[centro_costo]],tblCECO[codigo],tblCECO[area],"(sin catálogo)"))</f>
        <v/>
      </c>
      <c r="W11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5" s="3">
        <f>IF(tblOrdenes[[#This Row],[centro_costo]]="","",_xlfn.XLOOKUP(tblOrdenes[[#This Row],[centro_costo]],tblCECO[codigo],tblCECO[coordinador],"(sin catálogo)"))</f>
        <v/>
      </c>
      <c r="Y1165" s="3">
        <f>IF(tblOrdenes[[#This Row],[puesto_trabajo]]="","",_xlfn.XLOOKUP(tblOrdenes[[#This Row],[puesto_trabajo]],tblPuestos[codigo],tblPuestos[especialidad],"(sin catálogo)"))</f>
        <v/>
      </c>
      <c r="Z1165" s="3">
        <f>IF(tblOrdenes[[#This Row],[cod_actividad]]="","",_xlfn.XLOOKUP(tblOrdenes[[#This Row],[cod_actividad]],tblActividades[codigo],tblActividades[descripcion],"(sin catálogo)"))</f>
        <v/>
      </c>
      <c r="AA1165" s="13">
        <f>IF(tblOrdenes[[#This Row],[fecha_inicio]]="","",TODAY()-tblOrdenes[[#This Row],[fecha_inicio]])</f>
        <v/>
      </c>
      <c r="AB11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5" s="3">
        <f>IF(tblOrdenes[[#This Row],[backlog_habiles]]="","",IF(tblOrdenes[[#This Row],[backlog_habiles]]&lt;0,"FUTURO",IF(tblOrdenes[[#This Row],[backlog_habiles]]&gt;p_dias_backlog_max,"BACKLOG","MES CORRIENTE")))</f>
        <v/>
      </c>
      <c r="AD1165" s="3">
        <f>IF(tblOrdenes[[#This Row],[backlog_habiles]]="",FALSE,AND(tblOrdenes[[#This Row],[backlog_habiles]]&gt;p_dias_backlog_min,tblOrdenes[[#This Row],[backlog_habiles]]&lt;=p_dias_backlog_max))</f>
        <v/>
      </c>
      <c r="AE1165" s="6" t="n"/>
      <c r="AF11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5" s="11">
        <f>IF(tblOrdenes[[#This Row],[orden]]="","",_xlfn.XLOOKUP(tblOrdenes[[#This Row],[id_operacion]],tblEjecucion[id_operacion],tblEjecucion[precio],0))</f>
        <v/>
      </c>
      <c r="AJ1165" s="11">
        <f>IF(tblOrdenes[[#This Row],[orden]]="","",MAX(0,_xlfn.XLOOKUP(tblOrdenes[[#This Row],[id_operacion]],tblEjecucion[id_operacion],tblEjecucion[costo_plan_total],0)-tblOrdenes[[#This Row],[costo_servicio]]))</f>
        <v/>
      </c>
      <c r="AK1165" s="11">
        <f>IF(tblOrdenes[[#This Row],[orden]]="","",tblOrdenes[[#This Row],[costo_servicio]]+tblOrdenes[[#This Row],[costo_materiales]])</f>
        <v/>
      </c>
      <c r="AL1165" s="6" t="n"/>
      <c r="AM1165" s="6" t="n"/>
      <c r="AN1165" s="6" t="n"/>
      <c r="AO1165" s="3">
        <f>IF(tblOrdenes[[#This Row],[link_checklist]]="","",HYPERLINK(p_ruta_base_checklists&amp;tblOrdenes[[#This Row],[link_checklist]],"abrir"))</f>
        <v/>
      </c>
      <c r="AP1165" s="6" t="n"/>
      <c r="AQ1165" s="3">
        <f>IF(tblOrdenes[[#This Row],[orden]]="","",tblOrdenes[[#This Row],[orden]]&amp;IF(tblOrdenes[[#This Row],[operacion]]="","0010",tblOrdenes[[#This Row],[operacion]]))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2" t="n"/>
      <c r="K1166" s="3" t="n"/>
      <c r="L1166" s="11" t="n"/>
      <c r="M11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6" s="3">
        <f>IF(tblOrdenes[[#This Row],[fecha_inicio]]="","",YEAR(tblOrdenes[[#This Row],[fecha_inicio]]))</f>
        <v/>
      </c>
      <c r="Q1166" s="3">
        <f>IF(tblOrdenes[[#This Row],[fecha_inicio]]="","",MONTH(tblOrdenes[[#This Row],[fecha_inicio]]))</f>
        <v/>
      </c>
      <c r="R1166" s="3">
        <f>IF(tblOrdenes[[#This Row],[fecha_inicio]]="","",INDEX(lista_dias,WEEKDAY(tblOrdenes[[#This Row],[fecha_inicio]],2)))</f>
        <v/>
      </c>
      <c r="S11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6" s="3">
        <f>IF(tblOrdenes[[#This Row],[tipo_ot]]="","",_xlfn.XLOOKUP(tblOrdenes[[#This Row],[tipo_ot]],tblTiposOT[codigo],tblTiposOT[clasificacion],"sin_clasificar"))</f>
        <v/>
      </c>
      <c r="U1166" s="3">
        <f>IF(tblOrdenes[[#This Row],[centro_costo]]="","",_xlfn.XLOOKUP(tblOrdenes[[#This Row],[centro_costo]],tblCECO[codigo],tblCECO[linea],"(sin catálogo)"))</f>
        <v/>
      </c>
      <c r="V1166" s="3">
        <f>IF(tblOrdenes[[#This Row],[centro_costo]]="","",_xlfn.XLOOKUP(tblOrdenes[[#This Row],[centro_costo]],tblCECO[codigo],tblCECO[area],"(sin catálogo)"))</f>
        <v/>
      </c>
      <c r="W11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6" s="3">
        <f>IF(tblOrdenes[[#This Row],[centro_costo]]="","",_xlfn.XLOOKUP(tblOrdenes[[#This Row],[centro_costo]],tblCECO[codigo],tblCECO[coordinador],"(sin catálogo)"))</f>
        <v/>
      </c>
      <c r="Y1166" s="3">
        <f>IF(tblOrdenes[[#This Row],[puesto_trabajo]]="","",_xlfn.XLOOKUP(tblOrdenes[[#This Row],[puesto_trabajo]],tblPuestos[codigo],tblPuestos[especialidad],"(sin catálogo)"))</f>
        <v/>
      </c>
      <c r="Z1166" s="3">
        <f>IF(tblOrdenes[[#This Row],[cod_actividad]]="","",_xlfn.XLOOKUP(tblOrdenes[[#This Row],[cod_actividad]],tblActividades[codigo],tblActividades[descripcion],"(sin catálogo)"))</f>
        <v/>
      </c>
      <c r="AA1166" s="13">
        <f>IF(tblOrdenes[[#This Row],[fecha_inicio]]="","",TODAY()-tblOrdenes[[#This Row],[fecha_inicio]])</f>
        <v/>
      </c>
      <c r="AB11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6" s="3">
        <f>IF(tblOrdenes[[#This Row],[backlog_habiles]]="","",IF(tblOrdenes[[#This Row],[backlog_habiles]]&lt;0,"FUTURO",IF(tblOrdenes[[#This Row],[backlog_habiles]]&gt;p_dias_backlog_max,"BACKLOG","MES CORRIENTE")))</f>
        <v/>
      </c>
      <c r="AD1166" s="3">
        <f>IF(tblOrdenes[[#This Row],[backlog_habiles]]="",FALSE,AND(tblOrdenes[[#This Row],[backlog_habiles]]&gt;p_dias_backlog_min,tblOrdenes[[#This Row],[backlog_habiles]]&lt;=p_dias_backlog_max))</f>
        <v/>
      </c>
      <c r="AE1166" s="6" t="n"/>
      <c r="AF11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6" s="11">
        <f>IF(tblOrdenes[[#This Row],[orden]]="","",_xlfn.XLOOKUP(tblOrdenes[[#This Row],[id_operacion]],tblEjecucion[id_operacion],tblEjecucion[precio],0))</f>
        <v/>
      </c>
      <c r="AJ1166" s="11">
        <f>IF(tblOrdenes[[#This Row],[orden]]="","",MAX(0,_xlfn.XLOOKUP(tblOrdenes[[#This Row],[id_operacion]],tblEjecucion[id_operacion],tblEjecucion[costo_plan_total],0)-tblOrdenes[[#This Row],[costo_servicio]]))</f>
        <v/>
      </c>
      <c r="AK1166" s="11">
        <f>IF(tblOrdenes[[#This Row],[orden]]="","",tblOrdenes[[#This Row],[costo_servicio]]+tblOrdenes[[#This Row],[costo_materiales]])</f>
        <v/>
      </c>
      <c r="AL1166" s="6" t="n"/>
      <c r="AM1166" s="6" t="n"/>
      <c r="AN1166" s="6" t="n"/>
      <c r="AO1166" s="3">
        <f>IF(tblOrdenes[[#This Row],[link_checklist]]="","",HYPERLINK(p_ruta_base_checklists&amp;tblOrdenes[[#This Row],[link_checklist]],"abrir"))</f>
        <v/>
      </c>
      <c r="AP1166" s="6" t="n"/>
      <c r="AQ1166" s="3">
        <f>IF(tblOrdenes[[#This Row],[orden]]="","",tblOrdenes[[#This Row],[orden]]&amp;IF(tblOrdenes[[#This Row],[operacion]]="","0010",tblOrdenes[[#This Row],[operacion]]))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2" t="n"/>
      <c r="K1167" s="3" t="n"/>
      <c r="L1167" s="11" t="n"/>
      <c r="M11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7" s="3">
        <f>IF(tblOrdenes[[#This Row],[fecha_inicio]]="","",YEAR(tblOrdenes[[#This Row],[fecha_inicio]]))</f>
        <v/>
      </c>
      <c r="Q1167" s="3">
        <f>IF(tblOrdenes[[#This Row],[fecha_inicio]]="","",MONTH(tblOrdenes[[#This Row],[fecha_inicio]]))</f>
        <v/>
      </c>
      <c r="R1167" s="3">
        <f>IF(tblOrdenes[[#This Row],[fecha_inicio]]="","",INDEX(lista_dias,WEEKDAY(tblOrdenes[[#This Row],[fecha_inicio]],2)))</f>
        <v/>
      </c>
      <c r="S11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7" s="3">
        <f>IF(tblOrdenes[[#This Row],[tipo_ot]]="","",_xlfn.XLOOKUP(tblOrdenes[[#This Row],[tipo_ot]],tblTiposOT[codigo],tblTiposOT[clasificacion],"sin_clasificar"))</f>
        <v/>
      </c>
      <c r="U1167" s="3">
        <f>IF(tblOrdenes[[#This Row],[centro_costo]]="","",_xlfn.XLOOKUP(tblOrdenes[[#This Row],[centro_costo]],tblCECO[codigo],tblCECO[linea],"(sin catálogo)"))</f>
        <v/>
      </c>
      <c r="V1167" s="3">
        <f>IF(tblOrdenes[[#This Row],[centro_costo]]="","",_xlfn.XLOOKUP(tblOrdenes[[#This Row],[centro_costo]],tblCECO[codigo],tblCECO[area],"(sin catálogo)"))</f>
        <v/>
      </c>
      <c r="W11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7" s="3">
        <f>IF(tblOrdenes[[#This Row],[centro_costo]]="","",_xlfn.XLOOKUP(tblOrdenes[[#This Row],[centro_costo]],tblCECO[codigo],tblCECO[coordinador],"(sin catálogo)"))</f>
        <v/>
      </c>
      <c r="Y1167" s="3">
        <f>IF(tblOrdenes[[#This Row],[puesto_trabajo]]="","",_xlfn.XLOOKUP(tblOrdenes[[#This Row],[puesto_trabajo]],tblPuestos[codigo],tblPuestos[especialidad],"(sin catálogo)"))</f>
        <v/>
      </c>
      <c r="Z1167" s="3">
        <f>IF(tblOrdenes[[#This Row],[cod_actividad]]="","",_xlfn.XLOOKUP(tblOrdenes[[#This Row],[cod_actividad]],tblActividades[codigo],tblActividades[descripcion],"(sin catálogo)"))</f>
        <v/>
      </c>
      <c r="AA1167" s="13">
        <f>IF(tblOrdenes[[#This Row],[fecha_inicio]]="","",TODAY()-tblOrdenes[[#This Row],[fecha_inicio]])</f>
        <v/>
      </c>
      <c r="AB11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7" s="3">
        <f>IF(tblOrdenes[[#This Row],[backlog_habiles]]="","",IF(tblOrdenes[[#This Row],[backlog_habiles]]&lt;0,"FUTURO",IF(tblOrdenes[[#This Row],[backlog_habiles]]&gt;p_dias_backlog_max,"BACKLOG","MES CORRIENTE")))</f>
        <v/>
      </c>
      <c r="AD1167" s="3">
        <f>IF(tblOrdenes[[#This Row],[backlog_habiles]]="",FALSE,AND(tblOrdenes[[#This Row],[backlog_habiles]]&gt;p_dias_backlog_min,tblOrdenes[[#This Row],[backlog_habiles]]&lt;=p_dias_backlog_max))</f>
        <v/>
      </c>
      <c r="AE1167" s="6" t="n"/>
      <c r="AF11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7" s="11">
        <f>IF(tblOrdenes[[#This Row],[orden]]="","",_xlfn.XLOOKUP(tblOrdenes[[#This Row],[id_operacion]],tblEjecucion[id_operacion],tblEjecucion[precio],0))</f>
        <v/>
      </c>
      <c r="AJ1167" s="11">
        <f>IF(tblOrdenes[[#This Row],[orden]]="","",MAX(0,_xlfn.XLOOKUP(tblOrdenes[[#This Row],[id_operacion]],tblEjecucion[id_operacion],tblEjecucion[costo_plan_total],0)-tblOrdenes[[#This Row],[costo_servicio]]))</f>
        <v/>
      </c>
      <c r="AK1167" s="11">
        <f>IF(tblOrdenes[[#This Row],[orden]]="","",tblOrdenes[[#This Row],[costo_servicio]]+tblOrdenes[[#This Row],[costo_materiales]])</f>
        <v/>
      </c>
      <c r="AL1167" s="6" t="n"/>
      <c r="AM1167" s="6" t="n"/>
      <c r="AN1167" s="6" t="n"/>
      <c r="AO1167" s="3">
        <f>IF(tblOrdenes[[#This Row],[link_checklist]]="","",HYPERLINK(p_ruta_base_checklists&amp;tblOrdenes[[#This Row],[link_checklist]],"abrir"))</f>
        <v/>
      </c>
      <c r="AP1167" s="6" t="n"/>
      <c r="AQ1167" s="3">
        <f>IF(tblOrdenes[[#This Row],[orden]]="","",tblOrdenes[[#This Row],[orden]]&amp;IF(tblOrdenes[[#This Row],[operacion]]="","0010",tblOrdenes[[#This Row],[operacion]]))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2" t="n"/>
      <c r="K1168" s="3" t="n"/>
      <c r="L1168" s="11" t="n"/>
      <c r="M11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8" s="3">
        <f>IF(tblOrdenes[[#This Row],[fecha_inicio]]="","",YEAR(tblOrdenes[[#This Row],[fecha_inicio]]))</f>
        <v/>
      </c>
      <c r="Q1168" s="3">
        <f>IF(tblOrdenes[[#This Row],[fecha_inicio]]="","",MONTH(tblOrdenes[[#This Row],[fecha_inicio]]))</f>
        <v/>
      </c>
      <c r="R1168" s="3">
        <f>IF(tblOrdenes[[#This Row],[fecha_inicio]]="","",INDEX(lista_dias,WEEKDAY(tblOrdenes[[#This Row],[fecha_inicio]],2)))</f>
        <v/>
      </c>
      <c r="S11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8" s="3">
        <f>IF(tblOrdenes[[#This Row],[tipo_ot]]="","",_xlfn.XLOOKUP(tblOrdenes[[#This Row],[tipo_ot]],tblTiposOT[codigo],tblTiposOT[clasificacion],"sin_clasificar"))</f>
        <v/>
      </c>
      <c r="U1168" s="3">
        <f>IF(tblOrdenes[[#This Row],[centro_costo]]="","",_xlfn.XLOOKUP(tblOrdenes[[#This Row],[centro_costo]],tblCECO[codigo],tblCECO[linea],"(sin catálogo)"))</f>
        <v/>
      </c>
      <c r="V1168" s="3">
        <f>IF(tblOrdenes[[#This Row],[centro_costo]]="","",_xlfn.XLOOKUP(tblOrdenes[[#This Row],[centro_costo]],tblCECO[codigo],tblCECO[area],"(sin catálogo)"))</f>
        <v/>
      </c>
      <c r="W11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8" s="3">
        <f>IF(tblOrdenes[[#This Row],[centro_costo]]="","",_xlfn.XLOOKUP(tblOrdenes[[#This Row],[centro_costo]],tblCECO[codigo],tblCECO[coordinador],"(sin catálogo)"))</f>
        <v/>
      </c>
      <c r="Y1168" s="3">
        <f>IF(tblOrdenes[[#This Row],[puesto_trabajo]]="","",_xlfn.XLOOKUP(tblOrdenes[[#This Row],[puesto_trabajo]],tblPuestos[codigo],tblPuestos[especialidad],"(sin catálogo)"))</f>
        <v/>
      </c>
      <c r="Z1168" s="3">
        <f>IF(tblOrdenes[[#This Row],[cod_actividad]]="","",_xlfn.XLOOKUP(tblOrdenes[[#This Row],[cod_actividad]],tblActividades[codigo],tblActividades[descripcion],"(sin catálogo)"))</f>
        <v/>
      </c>
      <c r="AA1168" s="13">
        <f>IF(tblOrdenes[[#This Row],[fecha_inicio]]="","",TODAY()-tblOrdenes[[#This Row],[fecha_inicio]])</f>
        <v/>
      </c>
      <c r="AB11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8" s="3">
        <f>IF(tblOrdenes[[#This Row],[backlog_habiles]]="","",IF(tblOrdenes[[#This Row],[backlog_habiles]]&lt;0,"FUTURO",IF(tblOrdenes[[#This Row],[backlog_habiles]]&gt;p_dias_backlog_max,"BACKLOG","MES CORRIENTE")))</f>
        <v/>
      </c>
      <c r="AD1168" s="3">
        <f>IF(tblOrdenes[[#This Row],[backlog_habiles]]="",FALSE,AND(tblOrdenes[[#This Row],[backlog_habiles]]&gt;p_dias_backlog_min,tblOrdenes[[#This Row],[backlog_habiles]]&lt;=p_dias_backlog_max))</f>
        <v/>
      </c>
      <c r="AE1168" s="6" t="n"/>
      <c r="AF11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8" s="11">
        <f>IF(tblOrdenes[[#This Row],[orden]]="","",_xlfn.XLOOKUP(tblOrdenes[[#This Row],[id_operacion]],tblEjecucion[id_operacion],tblEjecucion[precio],0))</f>
        <v/>
      </c>
      <c r="AJ1168" s="11">
        <f>IF(tblOrdenes[[#This Row],[orden]]="","",MAX(0,_xlfn.XLOOKUP(tblOrdenes[[#This Row],[id_operacion]],tblEjecucion[id_operacion],tblEjecucion[costo_plan_total],0)-tblOrdenes[[#This Row],[costo_servicio]]))</f>
        <v/>
      </c>
      <c r="AK1168" s="11">
        <f>IF(tblOrdenes[[#This Row],[orden]]="","",tblOrdenes[[#This Row],[costo_servicio]]+tblOrdenes[[#This Row],[costo_materiales]])</f>
        <v/>
      </c>
      <c r="AL1168" s="6" t="n"/>
      <c r="AM1168" s="6" t="n"/>
      <c r="AN1168" s="6" t="n"/>
      <c r="AO1168" s="3">
        <f>IF(tblOrdenes[[#This Row],[link_checklist]]="","",HYPERLINK(p_ruta_base_checklists&amp;tblOrdenes[[#This Row],[link_checklist]],"abrir"))</f>
        <v/>
      </c>
      <c r="AP1168" s="6" t="n"/>
      <c r="AQ1168" s="3">
        <f>IF(tblOrdenes[[#This Row],[orden]]="","",tblOrdenes[[#This Row],[orden]]&amp;IF(tblOrdenes[[#This Row],[operacion]]="","0010",tblOrdenes[[#This Row],[operacion]]))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2" t="n"/>
      <c r="K1169" s="3" t="n"/>
      <c r="L1169" s="11" t="n"/>
      <c r="M11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9" s="3">
        <f>IF(tblOrdenes[[#This Row],[fecha_inicio]]="","",YEAR(tblOrdenes[[#This Row],[fecha_inicio]]))</f>
        <v/>
      </c>
      <c r="Q1169" s="3">
        <f>IF(tblOrdenes[[#This Row],[fecha_inicio]]="","",MONTH(tblOrdenes[[#This Row],[fecha_inicio]]))</f>
        <v/>
      </c>
      <c r="R1169" s="3">
        <f>IF(tblOrdenes[[#This Row],[fecha_inicio]]="","",INDEX(lista_dias,WEEKDAY(tblOrdenes[[#This Row],[fecha_inicio]],2)))</f>
        <v/>
      </c>
      <c r="S11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9" s="3">
        <f>IF(tblOrdenes[[#This Row],[tipo_ot]]="","",_xlfn.XLOOKUP(tblOrdenes[[#This Row],[tipo_ot]],tblTiposOT[codigo],tblTiposOT[clasificacion],"sin_clasificar"))</f>
        <v/>
      </c>
      <c r="U1169" s="3">
        <f>IF(tblOrdenes[[#This Row],[centro_costo]]="","",_xlfn.XLOOKUP(tblOrdenes[[#This Row],[centro_costo]],tblCECO[codigo],tblCECO[linea],"(sin catálogo)"))</f>
        <v/>
      </c>
      <c r="V1169" s="3">
        <f>IF(tblOrdenes[[#This Row],[centro_costo]]="","",_xlfn.XLOOKUP(tblOrdenes[[#This Row],[centro_costo]],tblCECO[codigo],tblCECO[area],"(sin catálogo)"))</f>
        <v/>
      </c>
      <c r="W11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9" s="3">
        <f>IF(tblOrdenes[[#This Row],[centro_costo]]="","",_xlfn.XLOOKUP(tblOrdenes[[#This Row],[centro_costo]],tblCECO[codigo],tblCECO[coordinador],"(sin catálogo)"))</f>
        <v/>
      </c>
      <c r="Y1169" s="3">
        <f>IF(tblOrdenes[[#This Row],[puesto_trabajo]]="","",_xlfn.XLOOKUP(tblOrdenes[[#This Row],[puesto_trabajo]],tblPuestos[codigo],tblPuestos[especialidad],"(sin catálogo)"))</f>
        <v/>
      </c>
      <c r="Z1169" s="3">
        <f>IF(tblOrdenes[[#This Row],[cod_actividad]]="","",_xlfn.XLOOKUP(tblOrdenes[[#This Row],[cod_actividad]],tblActividades[codigo],tblActividades[descripcion],"(sin catálogo)"))</f>
        <v/>
      </c>
      <c r="AA1169" s="13">
        <f>IF(tblOrdenes[[#This Row],[fecha_inicio]]="","",TODAY()-tblOrdenes[[#This Row],[fecha_inicio]])</f>
        <v/>
      </c>
      <c r="AB11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9" s="3">
        <f>IF(tblOrdenes[[#This Row],[backlog_habiles]]="","",IF(tblOrdenes[[#This Row],[backlog_habiles]]&lt;0,"FUTURO",IF(tblOrdenes[[#This Row],[backlog_habiles]]&gt;p_dias_backlog_max,"BACKLOG","MES CORRIENTE")))</f>
        <v/>
      </c>
      <c r="AD1169" s="3">
        <f>IF(tblOrdenes[[#This Row],[backlog_habiles]]="",FALSE,AND(tblOrdenes[[#This Row],[backlog_habiles]]&gt;p_dias_backlog_min,tblOrdenes[[#This Row],[backlog_habiles]]&lt;=p_dias_backlog_max))</f>
        <v/>
      </c>
      <c r="AE1169" s="6" t="n"/>
      <c r="AF11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9" s="11">
        <f>IF(tblOrdenes[[#This Row],[orden]]="","",_xlfn.XLOOKUP(tblOrdenes[[#This Row],[id_operacion]],tblEjecucion[id_operacion],tblEjecucion[precio],0))</f>
        <v/>
      </c>
      <c r="AJ1169" s="11">
        <f>IF(tblOrdenes[[#This Row],[orden]]="","",MAX(0,_xlfn.XLOOKUP(tblOrdenes[[#This Row],[id_operacion]],tblEjecucion[id_operacion],tblEjecucion[costo_plan_total],0)-tblOrdenes[[#This Row],[costo_servicio]]))</f>
        <v/>
      </c>
      <c r="AK1169" s="11">
        <f>IF(tblOrdenes[[#This Row],[orden]]="","",tblOrdenes[[#This Row],[costo_servicio]]+tblOrdenes[[#This Row],[costo_materiales]])</f>
        <v/>
      </c>
      <c r="AL1169" s="6" t="n"/>
      <c r="AM1169" s="6" t="n"/>
      <c r="AN1169" s="6" t="n"/>
      <c r="AO1169" s="3">
        <f>IF(tblOrdenes[[#This Row],[link_checklist]]="","",HYPERLINK(p_ruta_base_checklists&amp;tblOrdenes[[#This Row],[link_checklist]],"abrir"))</f>
        <v/>
      </c>
      <c r="AP1169" s="6" t="n"/>
      <c r="AQ1169" s="3">
        <f>IF(tblOrdenes[[#This Row],[orden]]="","",tblOrdenes[[#This Row],[orden]]&amp;IF(tblOrdenes[[#This Row],[operacion]]="","0010",tblOrdenes[[#This Row],[operacion]]))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2" t="n"/>
      <c r="K1170" s="3" t="n"/>
      <c r="L1170" s="11" t="n"/>
      <c r="M11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0" s="3">
        <f>IF(tblOrdenes[[#This Row],[fecha_inicio]]="","",YEAR(tblOrdenes[[#This Row],[fecha_inicio]]))</f>
        <v/>
      </c>
      <c r="Q1170" s="3">
        <f>IF(tblOrdenes[[#This Row],[fecha_inicio]]="","",MONTH(tblOrdenes[[#This Row],[fecha_inicio]]))</f>
        <v/>
      </c>
      <c r="R1170" s="3">
        <f>IF(tblOrdenes[[#This Row],[fecha_inicio]]="","",INDEX(lista_dias,WEEKDAY(tblOrdenes[[#This Row],[fecha_inicio]],2)))</f>
        <v/>
      </c>
      <c r="S11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0" s="3">
        <f>IF(tblOrdenes[[#This Row],[tipo_ot]]="","",_xlfn.XLOOKUP(tblOrdenes[[#This Row],[tipo_ot]],tblTiposOT[codigo],tblTiposOT[clasificacion],"sin_clasificar"))</f>
        <v/>
      </c>
      <c r="U1170" s="3">
        <f>IF(tblOrdenes[[#This Row],[centro_costo]]="","",_xlfn.XLOOKUP(tblOrdenes[[#This Row],[centro_costo]],tblCECO[codigo],tblCECO[linea],"(sin catálogo)"))</f>
        <v/>
      </c>
      <c r="V1170" s="3">
        <f>IF(tblOrdenes[[#This Row],[centro_costo]]="","",_xlfn.XLOOKUP(tblOrdenes[[#This Row],[centro_costo]],tblCECO[codigo],tblCECO[area],"(sin catálogo)"))</f>
        <v/>
      </c>
      <c r="W11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0" s="3">
        <f>IF(tblOrdenes[[#This Row],[centro_costo]]="","",_xlfn.XLOOKUP(tblOrdenes[[#This Row],[centro_costo]],tblCECO[codigo],tblCECO[coordinador],"(sin catálogo)"))</f>
        <v/>
      </c>
      <c r="Y1170" s="3">
        <f>IF(tblOrdenes[[#This Row],[puesto_trabajo]]="","",_xlfn.XLOOKUP(tblOrdenes[[#This Row],[puesto_trabajo]],tblPuestos[codigo],tblPuestos[especialidad],"(sin catálogo)"))</f>
        <v/>
      </c>
      <c r="Z1170" s="3">
        <f>IF(tblOrdenes[[#This Row],[cod_actividad]]="","",_xlfn.XLOOKUP(tblOrdenes[[#This Row],[cod_actividad]],tblActividades[codigo],tblActividades[descripcion],"(sin catálogo)"))</f>
        <v/>
      </c>
      <c r="AA1170" s="13">
        <f>IF(tblOrdenes[[#This Row],[fecha_inicio]]="","",TODAY()-tblOrdenes[[#This Row],[fecha_inicio]])</f>
        <v/>
      </c>
      <c r="AB11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0" s="3">
        <f>IF(tblOrdenes[[#This Row],[backlog_habiles]]="","",IF(tblOrdenes[[#This Row],[backlog_habiles]]&lt;0,"FUTURO",IF(tblOrdenes[[#This Row],[backlog_habiles]]&gt;p_dias_backlog_max,"BACKLOG","MES CORRIENTE")))</f>
        <v/>
      </c>
      <c r="AD1170" s="3">
        <f>IF(tblOrdenes[[#This Row],[backlog_habiles]]="",FALSE,AND(tblOrdenes[[#This Row],[backlog_habiles]]&gt;p_dias_backlog_min,tblOrdenes[[#This Row],[backlog_habiles]]&lt;=p_dias_backlog_max))</f>
        <v/>
      </c>
      <c r="AE1170" s="6" t="n"/>
      <c r="AF11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0" s="11">
        <f>IF(tblOrdenes[[#This Row],[orden]]="","",_xlfn.XLOOKUP(tblOrdenes[[#This Row],[id_operacion]],tblEjecucion[id_operacion],tblEjecucion[precio],0))</f>
        <v/>
      </c>
      <c r="AJ1170" s="11">
        <f>IF(tblOrdenes[[#This Row],[orden]]="","",MAX(0,_xlfn.XLOOKUP(tblOrdenes[[#This Row],[id_operacion]],tblEjecucion[id_operacion],tblEjecucion[costo_plan_total],0)-tblOrdenes[[#This Row],[costo_servicio]]))</f>
        <v/>
      </c>
      <c r="AK1170" s="11">
        <f>IF(tblOrdenes[[#This Row],[orden]]="","",tblOrdenes[[#This Row],[costo_servicio]]+tblOrdenes[[#This Row],[costo_materiales]])</f>
        <v/>
      </c>
      <c r="AL1170" s="6" t="n"/>
      <c r="AM1170" s="6" t="n"/>
      <c r="AN1170" s="6" t="n"/>
      <c r="AO1170" s="3">
        <f>IF(tblOrdenes[[#This Row],[link_checklist]]="","",HYPERLINK(p_ruta_base_checklists&amp;tblOrdenes[[#This Row],[link_checklist]],"abrir"))</f>
        <v/>
      </c>
      <c r="AP1170" s="6" t="n"/>
      <c r="AQ1170" s="3">
        <f>IF(tblOrdenes[[#This Row],[orden]]="","",tblOrdenes[[#This Row],[orden]]&amp;IF(tblOrdenes[[#This Row],[operacion]]="","0010",tblOrdenes[[#This Row],[operacion]]))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2" t="n"/>
      <c r="K1171" s="3" t="n"/>
      <c r="L1171" s="11" t="n"/>
      <c r="M11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1" s="3">
        <f>IF(tblOrdenes[[#This Row],[fecha_inicio]]="","",YEAR(tblOrdenes[[#This Row],[fecha_inicio]]))</f>
        <v/>
      </c>
      <c r="Q1171" s="3">
        <f>IF(tblOrdenes[[#This Row],[fecha_inicio]]="","",MONTH(tblOrdenes[[#This Row],[fecha_inicio]]))</f>
        <v/>
      </c>
      <c r="R1171" s="3">
        <f>IF(tblOrdenes[[#This Row],[fecha_inicio]]="","",INDEX(lista_dias,WEEKDAY(tblOrdenes[[#This Row],[fecha_inicio]],2)))</f>
        <v/>
      </c>
      <c r="S11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1" s="3">
        <f>IF(tblOrdenes[[#This Row],[tipo_ot]]="","",_xlfn.XLOOKUP(tblOrdenes[[#This Row],[tipo_ot]],tblTiposOT[codigo],tblTiposOT[clasificacion],"sin_clasificar"))</f>
        <v/>
      </c>
      <c r="U1171" s="3">
        <f>IF(tblOrdenes[[#This Row],[centro_costo]]="","",_xlfn.XLOOKUP(tblOrdenes[[#This Row],[centro_costo]],tblCECO[codigo],tblCECO[linea],"(sin catálogo)"))</f>
        <v/>
      </c>
      <c r="V1171" s="3">
        <f>IF(tblOrdenes[[#This Row],[centro_costo]]="","",_xlfn.XLOOKUP(tblOrdenes[[#This Row],[centro_costo]],tblCECO[codigo],tblCECO[area],"(sin catálogo)"))</f>
        <v/>
      </c>
      <c r="W11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1" s="3">
        <f>IF(tblOrdenes[[#This Row],[centro_costo]]="","",_xlfn.XLOOKUP(tblOrdenes[[#This Row],[centro_costo]],tblCECO[codigo],tblCECO[coordinador],"(sin catálogo)"))</f>
        <v/>
      </c>
      <c r="Y1171" s="3">
        <f>IF(tblOrdenes[[#This Row],[puesto_trabajo]]="","",_xlfn.XLOOKUP(tblOrdenes[[#This Row],[puesto_trabajo]],tblPuestos[codigo],tblPuestos[especialidad],"(sin catálogo)"))</f>
        <v/>
      </c>
      <c r="Z1171" s="3">
        <f>IF(tblOrdenes[[#This Row],[cod_actividad]]="","",_xlfn.XLOOKUP(tblOrdenes[[#This Row],[cod_actividad]],tblActividades[codigo],tblActividades[descripcion],"(sin catálogo)"))</f>
        <v/>
      </c>
      <c r="AA1171" s="13">
        <f>IF(tblOrdenes[[#This Row],[fecha_inicio]]="","",TODAY()-tblOrdenes[[#This Row],[fecha_inicio]])</f>
        <v/>
      </c>
      <c r="AB11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1" s="3">
        <f>IF(tblOrdenes[[#This Row],[backlog_habiles]]="","",IF(tblOrdenes[[#This Row],[backlog_habiles]]&lt;0,"FUTURO",IF(tblOrdenes[[#This Row],[backlog_habiles]]&gt;p_dias_backlog_max,"BACKLOG","MES CORRIENTE")))</f>
        <v/>
      </c>
      <c r="AD1171" s="3">
        <f>IF(tblOrdenes[[#This Row],[backlog_habiles]]="",FALSE,AND(tblOrdenes[[#This Row],[backlog_habiles]]&gt;p_dias_backlog_min,tblOrdenes[[#This Row],[backlog_habiles]]&lt;=p_dias_backlog_max))</f>
        <v/>
      </c>
      <c r="AE1171" s="6" t="n"/>
      <c r="AF11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1" s="11">
        <f>IF(tblOrdenes[[#This Row],[orden]]="","",_xlfn.XLOOKUP(tblOrdenes[[#This Row],[id_operacion]],tblEjecucion[id_operacion],tblEjecucion[precio],0))</f>
        <v/>
      </c>
      <c r="AJ1171" s="11">
        <f>IF(tblOrdenes[[#This Row],[orden]]="","",MAX(0,_xlfn.XLOOKUP(tblOrdenes[[#This Row],[id_operacion]],tblEjecucion[id_operacion],tblEjecucion[costo_plan_total],0)-tblOrdenes[[#This Row],[costo_servicio]]))</f>
        <v/>
      </c>
      <c r="AK1171" s="11">
        <f>IF(tblOrdenes[[#This Row],[orden]]="","",tblOrdenes[[#This Row],[costo_servicio]]+tblOrdenes[[#This Row],[costo_materiales]])</f>
        <v/>
      </c>
      <c r="AL1171" s="6" t="n"/>
      <c r="AM1171" s="6" t="n"/>
      <c r="AN1171" s="6" t="n"/>
      <c r="AO1171" s="3">
        <f>IF(tblOrdenes[[#This Row],[link_checklist]]="","",HYPERLINK(p_ruta_base_checklists&amp;tblOrdenes[[#This Row],[link_checklist]],"abrir"))</f>
        <v/>
      </c>
      <c r="AP1171" s="6" t="n"/>
      <c r="AQ1171" s="3">
        <f>IF(tblOrdenes[[#This Row],[orden]]="","",tblOrdenes[[#This Row],[orden]]&amp;IF(tblOrdenes[[#This Row],[operacion]]="","0010",tblOrdenes[[#This Row],[operacion]]))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2" t="n"/>
      <c r="K1172" s="3" t="n"/>
      <c r="L1172" s="11" t="n"/>
      <c r="M11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2" s="3">
        <f>IF(tblOrdenes[[#This Row],[fecha_inicio]]="","",YEAR(tblOrdenes[[#This Row],[fecha_inicio]]))</f>
        <v/>
      </c>
      <c r="Q1172" s="3">
        <f>IF(tblOrdenes[[#This Row],[fecha_inicio]]="","",MONTH(tblOrdenes[[#This Row],[fecha_inicio]]))</f>
        <v/>
      </c>
      <c r="R1172" s="3">
        <f>IF(tblOrdenes[[#This Row],[fecha_inicio]]="","",INDEX(lista_dias,WEEKDAY(tblOrdenes[[#This Row],[fecha_inicio]],2)))</f>
        <v/>
      </c>
      <c r="S11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2" s="3">
        <f>IF(tblOrdenes[[#This Row],[tipo_ot]]="","",_xlfn.XLOOKUP(tblOrdenes[[#This Row],[tipo_ot]],tblTiposOT[codigo],tblTiposOT[clasificacion],"sin_clasificar"))</f>
        <v/>
      </c>
      <c r="U1172" s="3">
        <f>IF(tblOrdenes[[#This Row],[centro_costo]]="","",_xlfn.XLOOKUP(tblOrdenes[[#This Row],[centro_costo]],tblCECO[codigo],tblCECO[linea],"(sin catálogo)"))</f>
        <v/>
      </c>
      <c r="V1172" s="3">
        <f>IF(tblOrdenes[[#This Row],[centro_costo]]="","",_xlfn.XLOOKUP(tblOrdenes[[#This Row],[centro_costo]],tblCECO[codigo],tblCECO[area],"(sin catálogo)"))</f>
        <v/>
      </c>
      <c r="W11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2" s="3">
        <f>IF(tblOrdenes[[#This Row],[centro_costo]]="","",_xlfn.XLOOKUP(tblOrdenes[[#This Row],[centro_costo]],tblCECO[codigo],tblCECO[coordinador],"(sin catálogo)"))</f>
        <v/>
      </c>
      <c r="Y1172" s="3">
        <f>IF(tblOrdenes[[#This Row],[puesto_trabajo]]="","",_xlfn.XLOOKUP(tblOrdenes[[#This Row],[puesto_trabajo]],tblPuestos[codigo],tblPuestos[especialidad],"(sin catálogo)"))</f>
        <v/>
      </c>
      <c r="Z1172" s="3">
        <f>IF(tblOrdenes[[#This Row],[cod_actividad]]="","",_xlfn.XLOOKUP(tblOrdenes[[#This Row],[cod_actividad]],tblActividades[codigo],tblActividades[descripcion],"(sin catálogo)"))</f>
        <v/>
      </c>
      <c r="AA1172" s="13">
        <f>IF(tblOrdenes[[#This Row],[fecha_inicio]]="","",TODAY()-tblOrdenes[[#This Row],[fecha_inicio]])</f>
        <v/>
      </c>
      <c r="AB11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2" s="3">
        <f>IF(tblOrdenes[[#This Row],[backlog_habiles]]="","",IF(tblOrdenes[[#This Row],[backlog_habiles]]&lt;0,"FUTURO",IF(tblOrdenes[[#This Row],[backlog_habiles]]&gt;p_dias_backlog_max,"BACKLOG","MES CORRIENTE")))</f>
        <v/>
      </c>
      <c r="AD1172" s="3">
        <f>IF(tblOrdenes[[#This Row],[backlog_habiles]]="",FALSE,AND(tblOrdenes[[#This Row],[backlog_habiles]]&gt;p_dias_backlog_min,tblOrdenes[[#This Row],[backlog_habiles]]&lt;=p_dias_backlog_max))</f>
        <v/>
      </c>
      <c r="AE1172" s="6" t="n"/>
      <c r="AF11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2" s="11">
        <f>IF(tblOrdenes[[#This Row],[orden]]="","",_xlfn.XLOOKUP(tblOrdenes[[#This Row],[id_operacion]],tblEjecucion[id_operacion],tblEjecucion[precio],0))</f>
        <v/>
      </c>
      <c r="AJ1172" s="11">
        <f>IF(tblOrdenes[[#This Row],[orden]]="","",MAX(0,_xlfn.XLOOKUP(tblOrdenes[[#This Row],[id_operacion]],tblEjecucion[id_operacion],tblEjecucion[costo_plan_total],0)-tblOrdenes[[#This Row],[costo_servicio]]))</f>
        <v/>
      </c>
      <c r="AK1172" s="11">
        <f>IF(tblOrdenes[[#This Row],[orden]]="","",tblOrdenes[[#This Row],[costo_servicio]]+tblOrdenes[[#This Row],[costo_materiales]])</f>
        <v/>
      </c>
      <c r="AL1172" s="6" t="n"/>
      <c r="AM1172" s="6" t="n"/>
      <c r="AN1172" s="6" t="n"/>
      <c r="AO1172" s="3">
        <f>IF(tblOrdenes[[#This Row],[link_checklist]]="","",HYPERLINK(p_ruta_base_checklists&amp;tblOrdenes[[#This Row],[link_checklist]],"abrir"))</f>
        <v/>
      </c>
      <c r="AP1172" s="6" t="n"/>
      <c r="AQ1172" s="3">
        <f>IF(tblOrdenes[[#This Row],[orden]]="","",tblOrdenes[[#This Row],[orden]]&amp;IF(tblOrdenes[[#This Row],[operacion]]="","0010",tblOrdenes[[#This Row],[operacion]]))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2" t="n"/>
      <c r="K1173" s="3" t="n"/>
      <c r="L1173" s="11" t="n"/>
      <c r="M11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3" s="3">
        <f>IF(tblOrdenes[[#This Row],[fecha_inicio]]="","",YEAR(tblOrdenes[[#This Row],[fecha_inicio]]))</f>
        <v/>
      </c>
      <c r="Q1173" s="3">
        <f>IF(tblOrdenes[[#This Row],[fecha_inicio]]="","",MONTH(tblOrdenes[[#This Row],[fecha_inicio]]))</f>
        <v/>
      </c>
      <c r="R1173" s="3">
        <f>IF(tblOrdenes[[#This Row],[fecha_inicio]]="","",INDEX(lista_dias,WEEKDAY(tblOrdenes[[#This Row],[fecha_inicio]],2)))</f>
        <v/>
      </c>
      <c r="S11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3" s="3">
        <f>IF(tblOrdenes[[#This Row],[tipo_ot]]="","",_xlfn.XLOOKUP(tblOrdenes[[#This Row],[tipo_ot]],tblTiposOT[codigo],tblTiposOT[clasificacion],"sin_clasificar"))</f>
        <v/>
      </c>
      <c r="U1173" s="3">
        <f>IF(tblOrdenes[[#This Row],[centro_costo]]="","",_xlfn.XLOOKUP(tblOrdenes[[#This Row],[centro_costo]],tblCECO[codigo],tblCECO[linea],"(sin catálogo)"))</f>
        <v/>
      </c>
      <c r="V1173" s="3">
        <f>IF(tblOrdenes[[#This Row],[centro_costo]]="","",_xlfn.XLOOKUP(tblOrdenes[[#This Row],[centro_costo]],tblCECO[codigo],tblCECO[area],"(sin catálogo)"))</f>
        <v/>
      </c>
      <c r="W11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3" s="3">
        <f>IF(tblOrdenes[[#This Row],[centro_costo]]="","",_xlfn.XLOOKUP(tblOrdenes[[#This Row],[centro_costo]],tblCECO[codigo],tblCECO[coordinador],"(sin catálogo)"))</f>
        <v/>
      </c>
      <c r="Y1173" s="3">
        <f>IF(tblOrdenes[[#This Row],[puesto_trabajo]]="","",_xlfn.XLOOKUP(tblOrdenes[[#This Row],[puesto_trabajo]],tblPuestos[codigo],tblPuestos[especialidad],"(sin catálogo)"))</f>
        <v/>
      </c>
      <c r="Z1173" s="3">
        <f>IF(tblOrdenes[[#This Row],[cod_actividad]]="","",_xlfn.XLOOKUP(tblOrdenes[[#This Row],[cod_actividad]],tblActividades[codigo],tblActividades[descripcion],"(sin catálogo)"))</f>
        <v/>
      </c>
      <c r="AA1173" s="13">
        <f>IF(tblOrdenes[[#This Row],[fecha_inicio]]="","",TODAY()-tblOrdenes[[#This Row],[fecha_inicio]])</f>
        <v/>
      </c>
      <c r="AB11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3" s="3">
        <f>IF(tblOrdenes[[#This Row],[backlog_habiles]]="","",IF(tblOrdenes[[#This Row],[backlog_habiles]]&lt;0,"FUTURO",IF(tblOrdenes[[#This Row],[backlog_habiles]]&gt;p_dias_backlog_max,"BACKLOG","MES CORRIENTE")))</f>
        <v/>
      </c>
      <c r="AD1173" s="3">
        <f>IF(tblOrdenes[[#This Row],[backlog_habiles]]="",FALSE,AND(tblOrdenes[[#This Row],[backlog_habiles]]&gt;p_dias_backlog_min,tblOrdenes[[#This Row],[backlog_habiles]]&lt;=p_dias_backlog_max))</f>
        <v/>
      </c>
      <c r="AE1173" s="6" t="n"/>
      <c r="AF11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3" s="11">
        <f>IF(tblOrdenes[[#This Row],[orden]]="","",_xlfn.XLOOKUP(tblOrdenes[[#This Row],[id_operacion]],tblEjecucion[id_operacion],tblEjecucion[precio],0))</f>
        <v/>
      </c>
      <c r="AJ1173" s="11">
        <f>IF(tblOrdenes[[#This Row],[orden]]="","",MAX(0,_xlfn.XLOOKUP(tblOrdenes[[#This Row],[id_operacion]],tblEjecucion[id_operacion],tblEjecucion[costo_plan_total],0)-tblOrdenes[[#This Row],[costo_servicio]]))</f>
        <v/>
      </c>
      <c r="AK1173" s="11">
        <f>IF(tblOrdenes[[#This Row],[orden]]="","",tblOrdenes[[#This Row],[costo_servicio]]+tblOrdenes[[#This Row],[costo_materiales]])</f>
        <v/>
      </c>
      <c r="AL1173" s="6" t="n"/>
      <c r="AM1173" s="6" t="n"/>
      <c r="AN1173" s="6" t="n"/>
      <c r="AO1173" s="3">
        <f>IF(tblOrdenes[[#This Row],[link_checklist]]="","",HYPERLINK(p_ruta_base_checklists&amp;tblOrdenes[[#This Row],[link_checklist]],"abrir"))</f>
        <v/>
      </c>
      <c r="AP1173" s="6" t="n"/>
      <c r="AQ1173" s="3">
        <f>IF(tblOrdenes[[#This Row],[orden]]="","",tblOrdenes[[#This Row],[orden]]&amp;IF(tblOrdenes[[#This Row],[operacion]]="","0010",tblOrdenes[[#This Row],[operacion]]))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2" t="n"/>
      <c r="K1174" s="3" t="n"/>
      <c r="L1174" s="11" t="n"/>
      <c r="M11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4" s="3">
        <f>IF(tblOrdenes[[#This Row],[fecha_inicio]]="","",YEAR(tblOrdenes[[#This Row],[fecha_inicio]]))</f>
        <v/>
      </c>
      <c r="Q1174" s="3">
        <f>IF(tblOrdenes[[#This Row],[fecha_inicio]]="","",MONTH(tblOrdenes[[#This Row],[fecha_inicio]]))</f>
        <v/>
      </c>
      <c r="R1174" s="3">
        <f>IF(tblOrdenes[[#This Row],[fecha_inicio]]="","",INDEX(lista_dias,WEEKDAY(tblOrdenes[[#This Row],[fecha_inicio]],2)))</f>
        <v/>
      </c>
      <c r="S11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4" s="3">
        <f>IF(tblOrdenes[[#This Row],[tipo_ot]]="","",_xlfn.XLOOKUP(tblOrdenes[[#This Row],[tipo_ot]],tblTiposOT[codigo],tblTiposOT[clasificacion],"sin_clasificar"))</f>
        <v/>
      </c>
      <c r="U1174" s="3">
        <f>IF(tblOrdenes[[#This Row],[centro_costo]]="","",_xlfn.XLOOKUP(tblOrdenes[[#This Row],[centro_costo]],tblCECO[codigo],tblCECO[linea],"(sin catálogo)"))</f>
        <v/>
      </c>
      <c r="V1174" s="3">
        <f>IF(tblOrdenes[[#This Row],[centro_costo]]="","",_xlfn.XLOOKUP(tblOrdenes[[#This Row],[centro_costo]],tblCECO[codigo],tblCECO[area],"(sin catálogo)"))</f>
        <v/>
      </c>
      <c r="W11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4" s="3">
        <f>IF(tblOrdenes[[#This Row],[centro_costo]]="","",_xlfn.XLOOKUP(tblOrdenes[[#This Row],[centro_costo]],tblCECO[codigo],tblCECO[coordinador],"(sin catálogo)"))</f>
        <v/>
      </c>
      <c r="Y1174" s="3">
        <f>IF(tblOrdenes[[#This Row],[puesto_trabajo]]="","",_xlfn.XLOOKUP(tblOrdenes[[#This Row],[puesto_trabajo]],tblPuestos[codigo],tblPuestos[especialidad],"(sin catálogo)"))</f>
        <v/>
      </c>
      <c r="Z1174" s="3">
        <f>IF(tblOrdenes[[#This Row],[cod_actividad]]="","",_xlfn.XLOOKUP(tblOrdenes[[#This Row],[cod_actividad]],tblActividades[codigo],tblActividades[descripcion],"(sin catálogo)"))</f>
        <v/>
      </c>
      <c r="AA1174" s="13">
        <f>IF(tblOrdenes[[#This Row],[fecha_inicio]]="","",TODAY()-tblOrdenes[[#This Row],[fecha_inicio]])</f>
        <v/>
      </c>
      <c r="AB11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4" s="3">
        <f>IF(tblOrdenes[[#This Row],[backlog_habiles]]="","",IF(tblOrdenes[[#This Row],[backlog_habiles]]&lt;0,"FUTURO",IF(tblOrdenes[[#This Row],[backlog_habiles]]&gt;p_dias_backlog_max,"BACKLOG","MES CORRIENTE")))</f>
        <v/>
      </c>
      <c r="AD1174" s="3">
        <f>IF(tblOrdenes[[#This Row],[backlog_habiles]]="",FALSE,AND(tblOrdenes[[#This Row],[backlog_habiles]]&gt;p_dias_backlog_min,tblOrdenes[[#This Row],[backlog_habiles]]&lt;=p_dias_backlog_max))</f>
        <v/>
      </c>
      <c r="AE1174" s="6" t="n"/>
      <c r="AF11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4" s="11">
        <f>IF(tblOrdenes[[#This Row],[orden]]="","",_xlfn.XLOOKUP(tblOrdenes[[#This Row],[id_operacion]],tblEjecucion[id_operacion],tblEjecucion[precio],0))</f>
        <v/>
      </c>
      <c r="AJ1174" s="11">
        <f>IF(tblOrdenes[[#This Row],[orden]]="","",MAX(0,_xlfn.XLOOKUP(tblOrdenes[[#This Row],[id_operacion]],tblEjecucion[id_operacion],tblEjecucion[costo_plan_total],0)-tblOrdenes[[#This Row],[costo_servicio]]))</f>
        <v/>
      </c>
      <c r="AK1174" s="11">
        <f>IF(tblOrdenes[[#This Row],[orden]]="","",tblOrdenes[[#This Row],[costo_servicio]]+tblOrdenes[[#This Row],[costo_materiales]])</f>
        <v/>
      </c>
      <c r="AL1174" s="6" t="n"/>
      <c r="AM1174" s="6" t="n"/>
      <c r="AN1174" s="6" t="n"/>
      <c r="AO1174" s="3">
        <f>IF(tblOrdenes[[#This Row],[link_checklist]]="","",HYPERLINK(p_ruta_base_checklists&amp;tblOrdenes[[#This Row],[link_checklist]],"abrir"))</f>
        <v/>
      </c>
      <c r="AP1174" s="6" t="n"/>
      <c r="AQ1174" s="3">
        <f>IF(tblOrdenes[[#This Row],[orden]]="","",tblOrdenes[[#This Row],[orden]]&amp;IF(tblOrdenes[[#This Row],[operacion]]="","0010",tblOrdenes[[#This Row],[operacion]]))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2" t="n"/>
      <c r="K1175" s="3" t="n"/>
      <c r="L1175" s="11" t="n"/>
      <c r="M11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5" s="3">
        <f>IF(tblOrdenes[[#This Row],[fecha_inicio]]="","",YEAR(tblOrdenes[[#This Row],[fecha_inicio]]))</f>
        <v/>
      </c>
      <c r="Q1175" s="3">
        <f>IF(tblOrdenes[[#This Row],[fecha_inicio]]="","",MONTH(tblOrdenes[[#This Row],[fecha_inicio]]))</f>
        <v/>
      </c>
      <c r="R1175" s="3">
        <f>IF(tblOrdenes[[#This Row],[fecha_inicio]]="","",INDEX(lista_dias,WEEKDAY(tblOrdenes[[#This Row],[fecha_inicio]],2)))</f>
        <v/>
      </c>
      <c r="S11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5" s="3">
        <f>IF(tblOrdenes[[#This Row],[tipo_ot]]="","",_xlfn.XLOOKUP(tblOrdenes[[#This Row],[tipo_ot]],tblTiposOT[codigo],tblTiposOT[clasificacion],"sin_clasificar"))</f>
        <v/>
      </c>
      <c r="U1175" s="3">
        <f>IF(tblOrdenes[[#This Row],[centro_costo]]="","",_xlfn.XLOOKUP(tblOrdenes[[#This Row],[centro_costo]],tblCECO[codigo],tblCECO[linea],"(sin catálogo)"))</f>
        <v/>
      </c>
      <c r="V1175" s="3">
        <f>IF(tblOrdenes[[#This Row],[centro_costo]]="","",_xlfn.XLOOKUP(tblOrdenes[[#This Row],[centro_costo]],tblCECO[codigo],tblCECO[area],"(sin catálogo)"))</f>
        <v/>
      </c>
      <c r="W11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5" s="3">
        <f>IF(tblOrdenes[[#This Row],[centro_costo]]="","",_xlfn.XLOOKUP(tblOrdenes[[#This Row],[centro_costo]],tblCECO[codigo],tblCECO[coordinador],"(sin catálogo)"))</f>
        <v/>
      </c>
      <c r="Y1175" s="3">
        <f>IF(tblOrdenes[[#This Row],[puesto_trabajo]]="","",_xlfn.XLOOKUP(tblOrdenes[[#This Row],[puesto_trabajo]],tblPuestos[codigo],tblPuestos[especialidad],"(sin catálogo)"))</f>
        <v/>
      </c>
      <c r="Z1175" s="3">
        <f>IF(tblOrdenes[[#This Row],[cod_actividad]]="","",_xlfn.XLOOKUP(tblOrdenes[[#This Row],[cod_actividad]],tblActividades[codigo],tblActividades[descripcion],"(sin catálogo)"))</f>
        <v/>
      </c>
      <c r="AA1175" s="13">
        <f>IF(tblOrdenes[[#This Row],[fecha_inicio]]="","",TODAY()-tblOrdenes[[#This Row],[fecha_inicio]])</f>
        <v/>
      </c>
      <c r="AB11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5" s="3">
        <f>IF(tblOrdenes[[#This Row],[backlog_habiles]]="","",IF(tblOrdenes[[#This Row],[backlog_habiles]]&lt;0,"FUTURO",IF(tblOrdenes[[#This Row],[backlog_habiles]]&gt;p_dias_backlog_max,"BACKLOG","MES CORRIENTE")))</f>
        <v/>
      </c>
      <c r="AD1175" s="3">
        <f>IF(tblOrdenes[[#This Row],[backlog_habiles]]="",FALSE,AND(tblOrdenes[[#This Row],[backlog_habiles]]&gt;p_dias_backlog_min,tblOrdenes[[#This Row],[backlog_habiles]]&lt;=p_dias_backlog_max))</f>
        <v/>
      </c>
      <c r="AE1175" s="6" t="n"/>
      <c r="AF11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5" s="11">
        <f>IF(tblOrdenes[[#This Row],[orden]]="","",_xlfn.XLOOKUP(tblOrdenes[[#This Row],[id_operacion]],tblEjecucion[id_operacion],tblEjecucion[precio],0))</f>
        <v/>
      </c>
      <c r="AJ1175" s="11">
        <f>IF(tblOrdenes[[#This Row],[orden]]="","",MAX(0,_xlfn.XLOOKUP(tblOrdenes[[#This Row],[id_operacion]],tblEjecucion[id_operacion],tblEjecucion[costo_plan_total],0)-tblOrdenes[[#This Row],[costo_servicio]]))</f>
        <v/>
      </c>
      <c r="AK1175" s="11">
        <f>IF(tblOrdenes[[#This Row],[orden]]="","",tblOrdenes[[#This Row],[costo_servicio]]+tblOrdenes[[#This Row],[costo_materiales]])</f>
        <v/>
      </c>
      <c r="AL1175" s="6" t="n"/>
      <c r="AM1175" s="6" t="n"/>
      <c r="AN1175" s="6" t="n"/>
      <c r="AO1175" s="3">
        <f>IF(tblOrdenes[[#This Row],[link_checklist]]="","",HYPERLINK(p_ruta_base_checklists&amp;tblOrdenes[[#This Row],[link_checklist]],"abrir"))</f>
        <v/>
      </c>
      <c r="AP1175" s="6" t="n"/>
      <c r="AQ1175" s="3">
        <f>IF(tblOrdenes[[#This Row],[orden]]="","",tblOrdenes[[#This Row],[orden]]&amp;IF(tblOrdenes[[#This Row],[operacion]]="","0010",tblOrdenes[[#This Row],[operacion]]))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2" t="n"/>
      <c r="K1176" s="3" t="n"/>
      <c r="L1176" s="11" t="n"/>
      <c r="M11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6" s="3">
        <f>IF(tblOrdenes[[#This Row],[fecha_inicio]]="","",YEAR(tblOrdenes[[#This Row],[fecha_inicio]]))</f>
        <v/>
      </c>
      <c r="Q1176" s="3">
        <f>IF(tblOrdenes[[#This Row],[fecha_inicio]]="","",MONTH(tblOrdenes[[#This Row],[fecha_inicio]]))</f>
        <v/>
      </c>
      <c r="R1176" s="3">
        <f>IF(tblOrdenes[[#This Row],[fecha_inicio]]="","",INDEX(lista_dias,WEEKDAY(tblOrdenes[[#This Row],[fecha_inicio]],2)))</f>
        <v/>
      </c>
      <c r="S11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6" s="3">
        <f>IF(tblOrdenes[[#This Row],[tipo_ot]]="","",_xlfn.XLOOKUP(tblOrdenes[[#This Row],[tipo_ot]],tblTiposOT[codigo],tblTiposOT[clasificacion],"sin_clasificar"))</f>
        <v/>
      </c>
      <c r="U1176" s="3">
        <f>IF(tblOrdenes[[#This Row],[centro_costo]]="","",_xlfn.XLOOKUP(tblOrdenes[[#This Row],[centro_costo]],tblCECO[codigo],tblCECO[linea],"(sin catálogo)"))</f>
        <v/>
      </c>
      <c r="V1176" s="3">
        <f>IF(tblOrdenes[[#This Row],[centro_costo]]="","",_xlfn.XLOOKUP(tblOrdenes[[#This Row],[centro_costo]],tblCECO[codigo],tblCECO[area],"(sin catálogo)"))</f>
        <v/>
      </c>
      <c r="W11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6" s="3">
        <f>IF(tblOrdenes[[#This Row],[centro_costo]]="","",_xlfn.XLOOKUP(tblOrdenes[[#This Row],[centro_costo]],tblCECO[codigo],tblCECO[coordinador],"(sin catálogo)"))</f>
        <v/>
      </c>
      <c r="Y1176" s="3">
        <f>IF(tblOrdenes[[#This Row],[puesto_trabajo]]="","",_xlfn.XLOOKUP(tblOrdenes[[#This Row],[puesto_trabajo]],tblPuestos[codigo],tblPuestos[especialidad],"(sin catálogo)"))</f>
        <v/>
      </c>
      <c r="Z1176" s="3">
        <f>IF(tblOrdenes[[#This Row],[cod_actividad]]="","",_xlfn.XLOOKUP(tblOrdenes[[#This Row],[cod_actividad]],tblActividades[codigo],tblActividades[descripcion],"(sin catálogo)"))</f>
        <v/>
      </c>
      <c r="AA1176" s="13">
        <f>IF(tblOrdenes[[#This Row],[fecha_inicio]]="","",TODAY()-tblOrdenes[[#This Row],[fecha_inicio]])</f>
        <v/>
      </c>
      <c r="AB11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6" s="3">
        <f>IF(tblOrdenes[[#This Row],[backlog_habiles]]="","",IF(tblOrdenes[[#This Row],[backlog_habiles]]&lt;0,"FUTURO",IF(tblOrdenes[[#This Row],[backlog_habiles]]&gt;p_dias_backlog_max,"BACKLOG","MES CORRIENTE")))</f>
        <v/>
      </c>
      <c r="AD1176" s="3">
        <f>IF(tblOrdenes[[#This Row],[backlog_habiles]]="",FALSE,AND(tblOrdenes[[#This Row],[backlog_habiles]]&gt;p_dias_backlog_min,tblOrdenes[[#This Row],[backlog_habiles]]&lt;=p_dias_backlog_max))</f>
        <v/>
      </c>
      <c r="AE1176" s="6" t="n"/>
      <c r="AF11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6" s="11">
        <f>IF(tblOrdenes[[#This Row],[orden]]="","",_xlfn.XLOOKUP(tblOrdenes[[#This Row],[id_operacion]],tblEjecucion[id_operacion],tblEjecucion[precio],0))</f>
        <v/>
      </c>
      <c r="AJ1176" s="11">
        <f>IF(tblOrdenes[[#This Row],[orden]]="","",MAX(0,_xlfn.XLOOKUP(tblOrdenes[[#This Row],[id_operacion]],tblEjecucion[id_operacion],tblEjecucion[costo_plan_total],0)-tblOrdenes[[#This Row],[costo_servicio]]))</f>
        <v/>
      </c>
      <c r="AK1176" s="11">
        <f>IF(tblOrdenes[[#This Row],[orden]]="","",tblOrdenes[[#This Row],[costo_servicio]]+tblOrdenes[[#This Row],[costo_materiales]])</f>
        <v/>
      </c>
      <c r="AL1176" s="6" t="n"/>
      <c r="AM1176" s="6" t="n"/>
      <c r="AN1176" s="6" t="n"/>
      <c r="AO1176" s="3">
        <f>IF(tblOrdenes[[#This Row],[link_checklist]]="","",HYPERLINK(p_ruta_base_checklists&amp;tblOrdenes[[#This Row],[link_checklist]],"abrir"))</f>
        <v/>
      </c>
      <c r="AP1176" s="6" t="n"/>
      <c r="AQ1176" s="3">
        <f>IF(tblOrdenes[[#This Row],[orden]]="","",tblOrdenes[[#This Row],[orden]]&amp;IF(tblOrdenes[[#This Row],[operacion]]="","0010",tblOrdenes[[#This Row],[operacion]]))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2" t="n"/>
      <c r="K1177" s="3" t="n"/>
      <c r="L1177" s="11" t="n"/>
      <c r="M11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7" s="3">
        <f>IF(tblOrdenes[[#This Row],[fecha_inicio]]="","",YEAR(tblOrdenes[[#This Row],[fecha_inicio]]))</f>
        <v/>
      </c>
      <c r="Q1177" s="3">
        <f>IF(tblOrdenes[[#This Row],[fecha_inicio]]="","",MONTH(tblOrdenes[[#This Row],[fecha_inicio]]))</f>
        <v/>
      </c>
      <c r="R1177" s="3">
        <f>IF(tblOrdenes[[#This Row],[fecha_inicio]]="","",INDEX(lista_dias,WEEKDAY(tblOrdenes[[#This Row],[fecha_inicio]],2)))</f>
        <v/>
      </c>
      <c r="S11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7" s="3">
        <f>IF(tblOrdenes[[#This Row],[tipo_ot]]="","",_xlfn.XLOOKUP(tblOrdenes[[#This Row],[tipo_ot]],tblTiposOT[codigo],tblTiposOT[clasificacion],"sin_clasificar"))</f>
        <v/>
      </c>
      <c r="U1177" s="3">
        <f>IF(tblOrdenes[[#This Row],[centro_costo]]="","",_xlfn.XLOOKUP(tblOrdenes[[#This Row],[centro_costo]],tblCECO[codigo],tblCECO[linea],"(sin catálogo)"))</f>
        <v/>
      </c>
      <c r="V1177" s="3">
        <f>IF(tblOrdenes[[#This Row],[centro_costo]]="","",_xlfn.XLOOKUP(tblOrdenes[[#This Row],[centro_costo]],tblCECO[codigo],tblCECO[area],"(sin catálogo)"))</f>
        <v/>
      </c>
      <c r="W11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7" s="3">
        <f>IF(tblOrdenes[[#This Row],[centro_costo]]="","",_xlfn.XLOOKUP(tblOrdenes[[#This Row],[centro_costo]],tblCECO[codigo],tblCECO[coordinador],"(sin catálogo)"))</f>
        <v/>
      </c>
      <c r="Y1177" s="3">
        <f>IF(tblOrdenes[[#This Row],[puesto_trabajo]]="","",_xlfn.XLOOKUP(tblOrdenes[[#This Row],[puesto_trabajo]],tblPuestos[codigo],tblPuestos[especialidad],"(sin catálogo)"))</f>
        <v/>
      </c>
      <c r="Z1177" s="3">
        <f>IF(tblOrdenes[[#This Row],[cod_actividad]]="","",_xlfn.XLOOKUP(tblOrdenes[[#This Row],[cod_actividad]],tblActividades[codigo],tblActividades[descripcion],"(sin catálogo)"))</f>
        <v/>
      </c>
      <c r="AA1177" s="13">
        <f>IF(tblOrdenes[[#This Row],[fecha_inicio]]="","",TODAY()-tblOrdenes[[#This Row],[fecha_inicio]])</f>
        <v/>
      </c>
      <c r="AB11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7" s="3">
        <f>IF(tblOrdenes[[#This Row],[backlog_habiles]]="","",IF(tblOrdenes[[#This Row],[backlog_habiles]]&lt;0,"FUTURO",IF(tblOrdenes[[#This Row],[backlog_habiles]]&gt;p_dias_backlog_max,"BACKLOG","MES CORRIENTE")))</f>
        <v/>
      </c>
      <c r="AD1177" s="3">
        <f>IF(tblOrdenes[[#This Row],[backlog_habiles]]="",FALSE,AND(tblOrdenes[[#This Row],[backlog_habiles]]&gt;p_dias_backlog_min,tblOrdenes[[#This Row],[backlog_habiles]]&lt;=p_dias_backlog_max))</f>
        <v/>
      </c>
      <c r="AE1177" s="6" t="n"/>
      <c r="AF11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7" s="11">
        <f>IF(tblOrdenes[[#This Row],[orden]]="","",_xlfn.XLOOKUP(tblOrdenes[[#This Row],[id_operacion]],tblEjecucion[id_operacion],tblEjecucion[precio],0))</f>
        <v/>
      </c>
      <c r="AJ1177" s="11">
        <f>IF(tblOrdenes[[#This Row],[orden]]="","",MAX(0,_xlfn.XLOOKUP(tblOrdenes[[#This Row],[id_operacion]],tblEjecucion[id_operacion],tblEjecucion[costo_plan_total],0)-tblOrdenes[[#This Row],[costo_servicio]]))</f>
        <v/>
      </c>
      <c r="AK1177" s="11">
        <f>IF(tblOrdenes[[#This Row],[orden]]="","",tblOrdenes[[#This Row],[costo_servicio]]+tblOrdenes[[#This Row],[costo_materiales]])</f>
        <v/>
      </c>
      <c r="AL1177" s="6" t="n"/>
      <c r="AM1177" s="6" t="n"/>
      <c r="AN1177" s="6" t="n"/>
      <c r="AO1177" s="3">
        <f>IF(tblOrdenes[[#This Row],[link_checklist]]="","",HYPERLINK(p_ruta_base_checklists&amp;tblOrdenes[[#This Row],[link_checklist]],"abrir"))</f>
        <v/>
      </c>
      <c r="AP1177" s="6" t="n"/>
      <c r="AQ1177" s="3">
        <f>IF(tblOrdenes[[#This Row],[orden]]="","",tblOrdenes[[#This Row],[orden]]&amp;IF(tblOrdenes[[#This Row],[operacion]]="","0010",tblOrdenes[[#This Row],[operacion]]))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2" t="n"/>
      <c r="K1178" s="3" t="n"/>
      <c r="L1178" s="11" t="n"/>
      <c r="M11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8" s="3">
        <f>IF(tblOrdenes[[#This Row],[fecha_inicio]]="","",YEAR(tblOrdenes[[#This Row],[fecha_inicio]]))</f>
        <v/>
      </c>
      <c r="Q1178" s="3">
        <f>IF(tblOrdenes[[#This Row],[fecha_inicio]]="","",MONTH(tblOrdenes[[#This Row],[fecha_inicio]]))</f>
        <v/>
      </c>
      <c r="R1178" s="3">
        <f>IF(tblOrdenes[[#This Row],[fecha_inicio]]="","",INDEX(lista_dias,WEEKDAY(tblOrdenes[[#This Row],[fecha_inicio]],2)))</f>
        <v/>
      </c>
      <c r="S11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8" s="3">
        <f>IF(tblOrdenes[[#This Row],[tipo_ot]]="","",_xlfn.XLOOKUP(tblOrdenes[[#This Row],[tipo_ot]],tblTiposOT[codigo],tblTiposOT[clasificacion],"sin_clasificar"))</f>
        <v/>
      </c>
      <c r="U1178" s="3">
        <f>IF(tblOrdenes[[#This Row],[centro_costo]]="","",_xlfn.XLOOKUP(tblOrdenes[[#This Row],[centro_costo]],tblCECO[codigo],tblCECO[linea],"(sin catálogo)"))</f>
        <v/>
      </c>
      <c r="V1178" s="3">
        <f>IF(tblOrdenes[[#This Row],[centro_costo]]="","",_xlfn.XLOOKUP(tblOrdenes[[#This Row],[centro_costo]],tblCECO[codigo],tblCECO[area],"(sin catálogo)"))</f>
        <v/>
      </c>
      <c r="W11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8" s="3">
        <f>IF(tblOrdenes[[#This Row],[centro_costo]]="","",_xlfn.XLOOKUP(tblOrdenes[[#This Row],[centro_costo]],tblCECO[codigo],tblCECO[coordinador],"(sin catálogo)"))</f>
        <v/>
      </c>
      <c r="Y1178" s="3">
        <f>IF(tblOrdenes[[#This Row],[puesto_trabajo]]="","",_xlfn.XLOOKUP(tblOrdenes[[#This Row],[puesto_trabajo]],tblPuestos[codigo],tblPuestos[especialidad],"(sin catálogo)"))</f>
        <v/>
      </c>
      <c r="Z1178" s="3">
        <f>IF(tblOrdenes[[#This Row],[cod_actividad]]="","",_xlfn.XLOOKUP(tblOrdenes[[#This Row],[cod_actividad]],tblActividades[codigo],tblActividades[descripcion],"(sin catálogo)"))</f>
        <v/>
      </c>
      <c r="AA1178" s="13">
        <f>IF(tblOrdenes[[#This Row],[fecha_inicio]]="","",TODAY()-tblOrdenes[[#This Row],[fecha_inicio]])</f>
        <v/>
      </c>
      <c r="AB11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8" s="3">
        <f>IF(tblOrdenes[[#This Row],[backlog_habiles]]="","",IF(tblOrdenes[[#This Row],[backlog_habiles]]&lt;0,"FUTURO",IF(tblOrdenes[[#This Row],[backlog_habiles]]&gt;p_dias_backlog_max,"BACKLOG","MES CORRIENTE")))</f>
        <v/>
      </c>
      <c r="AD1178" s="3">
        <f>IF(tblOrdenes[[#This Row],[backlog_habiles]]="",FALSE,AND(tblOrdenes[[#This Row],[backlog_habiles]]&gt;p_dias_backlog_min,tblOrdenes[[#This Row],[backlog_habiles]]&lt;=p_dias_backlog_max))</f>
        <v/>
      </c>
      <c r="AE1178" s="6" t="n"/>
      <c r="AF11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8" s="11">
        <f>IF(tblOrdenes[[#This Row],[orden]]="","",_xlfn.XLOOKUP(tblOrdenes[[#This Row],[id_operacion]],tblEjecucion[id_operacion],tblEjecucion[precio],0))</f>
        <v/>
      </c>
      <c r="AJ1178" s="11">
        <f>IF(tblOrdenes[[#This Row],[orden]]="","",MAX(0,_xlfn.XLOOKUP(tblOrdenes[[#This Row],[id_operacion]],tblEjecucion[id_operacion],tblEjecucion[costo_plan_total],0)-tblOrdenes[[#This Row],[costo_servicio]]))</f>
        <v/>
      </c>
      <c r="AK1178" s="11">
        <f>IF(tblOrdenes[[#This Row],[orden]]="","",tblOrdenes[[#This Row],[costo_servicio]]+tblOrdenes[[#This Row],[costo_materiales]])</f>
        <v/>
      </c>
      <c r="AL1178" s="6" t="n"/>
      <c r="AM1178" s="6" t="n"/>
      <c r="AN1178" s="6" t="n"/>
      <c r="AO1178" s="3">
        <f>IF(tblOrdenes[[#This Row],[link_checklist]]="","",HYPERLINK(p_ruta_base_checklists&amp;tblOrdenes[[#This Row],[link_checklist]],"abrir"))</f>
        <v/>
      </c>
      <c r="AP1178" s="6" t="n"/>
      <c r="AQ1178" s="3">
        <f>IF(tblOrdenes[[#This Row],[orden]]="","",tblOrdenes[[#This Row],[orden]]&amp;IF(tblOrdenes[[#This Row],[operacion]]="","0010",tblOrdenes[[#This Row],[operacion]]))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2" t="n"/>
      <c r="K1179" s="3" t="n"/>
      <c r="L1179" s="11" t="n"/>
      <c r="M11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9" s="3">
        <f>IF(tblOrdenes[[#This Row],[fecha_inicio]]="","",YEAR(tblOrdenes[[#This Row],[fecha_inicio]]))</f>
        <v/>
      </c>
      <c r="Q1179" s="3">
        <f>IF(tblOrdenes[[#This Row],[fecha_inicio]]="","",MONTH(tblOrdenes[[#This Row],[fecha_inicio]]))</f>
        <v/>
      </c>
      <c r="R1179" s="3">
        <f>IF(tblOrdenes[[#This Row],[fecha_inicio]]="","",INDEX(lista_dias,WEEKDAY(tblOrdenes[[#This Row],[fecha_inicio]],2)))</f>
        <v/>
      </c>
      <c r="S11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9" s="3">
        <f>IF(tblOrdenes[[#This Row],[tipo_ot]]="","",_xlfn.XLOOKUP(tblOrdenes[[#This Row],[tipo_ot]],tblTiposOT[codigo],tblTiposOT[clasificacion],"sin_clasificar"))</f>
        <v/>
      </c>
      <c r="U1179" s="3">
        <f>IF(tblOrdenes[[#This Row],[centro_costo]]="","",_xlfn.XLOOKUP(tblOrdenes[[#This Row],[centro_costo]],tblCECO[codigo],tblCECO[linea],"(sin catálogo)"))</f>
        <v/>
      </c>
      <c r="V1179" s="3">
        <f>IF(tblOrdenes[[#This Row],[centro_costo]]="","",_xlfn.XLOOKUP(tblOrdenes[[#This Row],[centro_costo]],tblCECO[codigo],tblCECO[area],"(sin catálogo)"))</f>
        <v/>
      </c>
      <c r="W11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9" s="3">
        <f>IF(tblOrdenes[[#This Row],[centro_costo]]="","",_xlfn.XLOOKUP(tblOrdenes[[#This Row],[centro_costo]],tblCECO[codigo],tblCECO[coordinador],"(sin catálogo)"))</f>
        <v/>
      </c>
      <c r="Y1179" s="3">
        <f>IF(tblOrdenes[[#This Row],[puesto_trabajo]]="","",_xlfn.XLOOKUP(tblOrdenes[[#This Row],[puesto_trabajo]],tblPuestos[codigo],tblPuestos[especialidad],"(sin catálogo)"))</f>
        <v/>
      </c>
      <c r="Z1179" s="3">
        <f>IF(tblOrdenes[[#This Row],[cod_actividad]]="","",_xlfn.XLOOKUP(tblOrdenes[[#This Row],[cod_actividad]],tblActividades[codigo],tblActividades[descripcion],"(sin catálogo)"))</f>
        <v/>
      </c>
      <c r="AA1179" s="13">
        <f>IF(tblOrdenes[[#This Row],[fecha_inicio]]="","",TODAY()-tblOrdenes[[#This Row],[fecha_inicio]])</f>
        <v/>
      </c>
      <c r="AB11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9" s="3">
        <f>IF(tblOrdenes[[#This Row],[backlog_habiles]]="","",IF(tblOrdenes[[#This Row],[backlog_habiles]]&lt;0,"FUTURO",IF(tblOrdenes[[#This Row],[backlog_habiles]]&gt;p_dias_backlog_max,"BACKLOG","MES CORRIENTE")))</f>
        <v/>
      </c>
      <c r="AD1179" s="3">
        <f>IF(tblOrdenes[[#This Row],[backlog_habiles]]="",FALSE,AND(tblOrdenes[[#This Row],[backlog_habiles]]&gt;p_dias_backlog_min,tblOrdenes[[#This Row],[backlog_habiles]]&lt;=p_dias_backlog_max))</f>
        <v/>
      </c>
      <c r="AE1179" s="6" t="n"/>
      <c r="AF11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9" s="11">
        <f>IF(tblOrdenes[[#This Row],[orden]]="","",_xlfn.XLOOKUP(tblOrdenes[[#This Row],[id_operacion]],tblEjecucion[id_operacion],tblEjecucion[precio],0))</f>
        <v/>
      </c>
      <c r="AJ1179" s="11">
        <f>IF(tblOrdenes[[#This Row],[orden]]="","",MAX(0,_xlfn.XLOOKUP(tblOrdenes[[#This Row],[id_operacion]],tblEjecucion[id_operacion],tblEjecucion[costo_plan_total],0)-tblOrdenes[[#This Row],[costo_servicio]]))</f>
        <v/>
      </c>
      <c r="AK1179" s="11">
        <f>IF(tblOrdenes[[#This Row],[orden]]="","",tblOrdenes[[#This Row],[costo_servicio]]+tblOrdenes[[#This Row],[costo_materiales]])</f>
        <v/>
      </c>
      <c r="AL1179" s="6" t="n"/>
      <c r="AM1179" s="6" t="n"/>
      <c r="AN1179" s="6" t="n"/>
      <c r="AO1179" s="3">
        <f>IF(tblOrdenes[[#This Row],[link_checklist]]="","",HYPERLINK(p_ruta_base_checklists&amp;tblOrdenes[[#This Row],[link_checklist]],"abrir"))</f>
        <v/>
      </c>
      <c r="AP1179" s="6" t="n"/>
      <c r="AQ1179" s="3">
        <f>IF(tblOrdenes[[#This Row],[orden]]="","",tblOrdenes[[#This Row],[orden]]&amp;IF(tblOrdenes[[#This Row],[operacion]]="","0010",tblOrdenes[[#This Row],[operacion]]))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2" t="n"/>
      <c r="K1180" s="3" t="n"/>
      <c r="L1180" s="11" t="n"/>
      <c r="M11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0" s="3">
        <f>IF(tblOrdenes[[#This Row],[fecha_inicio]]="","",YEAR(tblOrdenes[[#This Row],[fecha_inicio]]))</f>
        <v/>
      </c>
      <c r="Q1180" s="3">
        <f>IF(tblOrdenes[[#This Row],[fecha_inicio]]="","",MONTH(tblOrdenes[[#This Row],[fecha_inicio]]))</f>
        <v/>
      </c>
      <c r="R1180" s="3">
        <f>IF(tblOrdenes[[#This Row],[fecha_inicio]]="","",INDEX(lista_dias,WEEKDAY(tblOrdenes[[#This Row],[fecha_inicio]],2)))</f>
        <v/>
      </c>
      <c r="S11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0" s="3">
        <f>IF(tblOrdenes[[#This Row],[tipo_ot]]="","",_xlfn.XLOOKUP(tblOrdenes[[#This Row],[tipo_ot]],tblTiposOT[codigo],tblTiposOT[clasificacion],"sin_clasificar"))</f>
        <v/>
      </c>
      <c r="U1180" s="3">
        <f>IF(tblOrdenes[[#This Row],[centro_costo]]="","",_xlfn.XLOOKUP(tblOrdenes[[#This Row],[centro_costo]],tblCECO[codigo],tblCECO[linea],"(sin catálogo)"))</f>
        <v/>
      </c>
      <c r="V1180" s="3">
        <f>IF(tblOrdenes[[#This Row],[centro_costo]]="","",_xlfn.XLOOKUP(tblOrdenes[[#This Row],[centro_costo]],tblCECO[codigo],tblCECO[area],"(sin catálogo)"))</f>
        <v/>
      </c>
      <c r="W11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0" s="3">
        <f>IF(tblOrdenes[[#This Row],[centro_costo]]="","",_xlfn.XLOOKUP(tblOrdenes[[#This Row],[centro_costo]],tblCECO[codigo],tblCECO[coordinador],"(sin catálogo)"))</f>
        <v/>
      </c>
      <c r="Y1180" s="3">
        <f>IF(tblOrdenes[[#This Row],[puesto_trabajo]]="","",_xlfn.XLOOKUP(tblOrdenes[[#This Row],[puesto_trabajo]],tblPuestos[codigo],tblPuestos[especialidad],"(sin catálogo)"))</f>
        <v/>
      </c>
      <c r="Z1180" s="3">
        <f>IF(tblOrdenes[[#This Row],[cod_actividad]]="","",_xlfn.XLOOKUP(tblOrdenes[[#This Row],[cod_actividad]],tblActividades[codigo],tblActividades[descripcion],"(sin catálogo)"))</f>
        <v/>
      </c>
      <c r="AA1180" s="13">
        <f>IF(tblOrdenes[[#This Row],[fecha_inicio]]="","",TODAY()-tblOrdenes[[#This Row],[fecha_inicio]])</f>
        <v/>
      </c>
      <c r="AB11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0" s="3">
        <f>IF(tblOrdenes[[#This Row],[backlog_habiles]]="","",IF(tblOrdenes[[#This Row],[backlog_habiles]]&lt;0,"FUTURO",IF(tblOrdenes[[#This Row],[backlog_habiles]]&gt;p_dias_backlog_max,"BACKLOG","MES CORRIENTE")))</f>
        <v/>
      </c>
      <c r="AD1180" s="3">
        <f>IF(tblOrdenes[[#This Row],[backlog_habiles]]="",FALSE,AND(tblOrdenes[[#This Row],[backlog_habiles]]&gt;p_dias_backlog_min,tblOrdenes[[#This Row],[backlog_habiles]]&lt;=p_dias_backlog_max))</f>
        <v/>
      </c>
      <c r="AE1180" s="6" t="n"/>
      <c r="AF11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0" s="11">
        <f>IF(tblOrdenes[[#This Row],[orden]]="","",_xlfn.XLOOKUP(tblOrdenes[[#This Row],[id_operacion]],tblEjecucion[id_operacion],tblEjecucion[precio],0))</f>
        <v/>
      </c>
      <c r="AJ1180" s="11">
        <f>IF(tblOrdenes[[#This Row],[orden]]="","",MAX(0,_xlfn.XLOOKUP(tblOrdenes[[#This Row],[id_operacion]],tblEjecucion[id_operacion],tblEjecucion[costo_plan_total],0)-tblOrdenes[[#This Row],[costo_servicio]]))</f>
        <v/>
      </c>
      <c r="AK1180" s="11">
        <f>IF(tblOrdenes[[#This Row],[orden]]="","",tblOrdenes[[#This Row],[costo_servicio]]+tblOrdenes[[#This Row],[costo_materiales]])</f>
        <v/>
      </c>
      <c r="AL1180" s="6" t="n"/>
      <c r="AM1180" s="6" t="n"/>
      <c r="AN1180" s="6" t="n"/>
      <c r="AO1180" s="3">
        <f>IF(tblOrdenes[[#This Row],[link_checklist]]="","",HYPERLINK(p_ruta_base_checklists&amp;tblOrdenes[[#This Row],[link_checklist]],"abrir"))</f>
        <v/>
      </c>
      <c r="AP1180" s="6" t="n"/>
      <c r="AQ1180" s="3">
        <f>IF(tblOrdenes[[#This Row],[orden]]="","",tblOrdenes[[#This Row],[orden]]&amp;IF(tblOrdenes[[#This Row],[operacion]]="","0010",tblOrdenes[[#This Row],[operacion]]))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2" t="n"/>
      <c r="K1181" s="3" t="n"/>
      <c r="L1181" s="11" t="n"/>
      <c r="M11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1" s="3">
        <f>IF(tblOrdenes[[#This Row],[fecha_inicio]]="","",YEAR(tblOrdenes[[#This Row],[fecha_inicio]]))</f>
        <v/>
      </c>
      <c r="Q1181" s="3">
        <f>IF(tblOrdenes[[#This Row],[fecha_inicio]]="","",MONTH(tblOrdenes[[#This Row],[fecha_inicio]]))</f>
        <v/>
      </c>
      <c r="R1181" s="3">
        <f>IF(tblOrdenes[[#This Row],[fecha_inicio]]="","",INDEX(lista_dias,WEEKDAY(tblOrdenes[[#This Row],[fecha_inicio]],2)))</f>
        <v/>
      </c>
      <c r="S11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1" s="3">
        <f>IF(tblOrdenes[[#This Row],[tipo_ot]]="","",_xlfn.XLOOKUP(tblOrdenes[[#This Row],[tipo_ot]],tblTiposOT[codigo],tblTiposOT[clasificacion],"sin_clasificar"))</f>
        <v/>
      </c>
      <c r="U1181" s="3">
        <f>IF(tblOrdenes[[#This Row],[centro_costo]]="","",_xlfn.XLOOKUP(tblOrdenes[[#This Row],[centro_costo]],tblCECO[codigo],tblCECO[linea],"(sin catálogo)"))</f>
        <v/>
      </c>
      <c r="V1181" s="3">
        <f>IF(tblOrdenes[[#This Row],[centro_costo]]="","",_xlfn.XLOOKUP(tblOrdenes[[#This Row],[centro_costo]],tblCECO[codigo],tblCECO[area],"(sin catálogo)"))</f>
        <v/>
      </c>
      <c r="W11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1" s="3">
        <f>IF(tblOrdenes[[#This Row],[centro_costo]]="","",_xlfn.XLOOKUP(tblOrdenes[[#This Row],[centro_costo]],tblCECO[codigo],tblCECO[coordinador],"(sin catálogo)"))</f>
        <v/>
      </c>
      <c r="Y1181" s="3">
        <f>IF(tblOrdenes[[#This Row],[puesto_trabajo]]="","",_xlfn.XLOOKUP(tblOrdenes[[#This Row],[puesto_trabajo]],tblPuestos[codigo],tblPuestos[especialidad],"(sin catálogo)"))</f>
        <v/>
      </c>
      <c r="Z1181" s="3">
        <f>IF(tblOrdenes[[#This Row],[cod_actividad]]="","",_xlfn.XLOOKUP(tblOrdenes[[#This Row],[cod_actividad]],tblActividades[codigo],tblActividades[descripcion],"(sin catálogo)"))</f>
        <v/>
      </c>
      <c r="AA1181" s="13">
        <f>IF(tblOrdenes[[#This Row],[fecha_inicio]]="","",TODAY()-tblOrdenes[[#This Row],[fecha_inicio]])</f>
        <v/>
      </c>
      <c r="AB11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1" s="3">
        <f>IF(tblOrdenes[[#This Row],[backlog_habiles]]="","",IF(tblOrdenes[[#This Row],[backlog_habiles]]&lt;0,"FUTURO",IF(tblOrdenes[[#This Row],[backlog_habiles]]&gt;p_dias_backlog_max,"BACKLOG","MES CORRIENTE")))</f>
        <v/>
      </c>
      <c r="AD1181" s="3">
        <f>IF(tblOrdenes[[#This Row],[backlog_habiles]]="",FALSE,AND(tblOrdenes[[#This Row],[backlog_habiles]]&gt;p_dias_backlog_min,tblOrdenes[[#This Row],[backlog_habiles]]&lt;=p_dias_backlog_max))</f>
        <v/>
      </c>
      <c r="AE1181" s="6" t="n"/>
      <c r="AF11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1" s="11">
        <f>IF(tblOrdenes[[#This Row],[orden]]="","",_xlfn.XLOOKUP(tblOrdenes[[#This Row],[id_operacion]],tblEjecucion[id_operacion],tblEjecucion[precio],0))</f>
        <v/>
      </c>
      <c r="AJ1181" s="11">
        <f>IF(tblOrdenes[[#This Row],[orden]]="","",MAX(0,_xlfn.XLOOKUP(tblOrdenes[[#This Row],[id_operacion]],tblEjecucion[id_operacion],tblEjecucion[costo_plan_total],0)-tblOrdenes[[#This Row],[costo_servicio]]))</f>
        <v/>
      </c>
      <c r="AK1181" s="11">
        <f>IF(tblOrdenes[[#This Row],[orden]]="","",tblOrdenes[[#This Row],[costo_servicio]]+tblOrdenes[[#This Row],[costo_materiales]])</f>
        <v/>
      </c>
      <c r="AL1181" s="6" t="n"/>
      <c r="AM1181" s="6" t="n"/>
      <c r="AN1181" s="6" t="n"/>
      <c r="AO1181" s="3">
        <f>IF(tblOrdenes[[#This Row],[link_checklist]]="","",HYPERLINK(p_ruta_base_checklists&amp;tblOrdenes[[#This Row],[link_checklist]],"abrir"))</f>
        <v/>
      </c>
      <c r="AP1181" s="6" t="n"/>
      <c r="AQ1181" s="3">
        <f>IF(tblOrdenes[[#This Row],[orden]]="","",tblOrdenes[[#This Row],[orden]]&amp;IF(tblOrdenes[[#This Row],[operacion]]="","0010",tblOrdenes[[#This Row],[operacion]]))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2" t="n"/>
      <c r="K1182" s="3" t="n"/>
      <c r="L1182" s="11" t="n"/>
      <c r="M11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2" s="3">
        <f>IF(tblOrdenes[[#This Row],[fecha_inicio]]="","",YEAR(tblOrdenes[[#This Row],[fecha_inicio]]))</f>
        <v/>
      </c>
      <c r="Q1182" s="3">
        <f>IF(tblOrdenes[[#This Row],[fecha_inicio]]="","",MONTH(tblOrdenes[[#This Row],[fecha_inicio]]))</f>
        <v/>
      </c>
      <c r="R1182" s="3">
        <f>IF(tblOrdenes[[#This Row],[fecha_inicio]]="","",INDEX(lista_dias,WEEKDAY(tblOrdenes[[#This Row],[fecha_inicio]],2)))</f>
        <v/>
      </c>
      <c r="S11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2" s="3">
        <f>IF(tblOrdenes[[#This Row],[tipo_ot]]="","",_xlfn.XLOOKUP(tblOrdenes[[#This Row],[tipo_ot]],tblTiposOT[codigo],tblTiposOT[clasificacion],"sin_clasificar"))</f>
        <v/>
      </c>
      <c r="U1182" s="3">
        <f>IF(tblOrdenes[[#This Row],[centro_costo]]="","",_xlfn.XLOOKUP(tblOrdenes[[#This Row],[centro_costo]],tblCECO[codigo],tblCECO[linea],"(sin catálogo)"))</f>
        <v/>
      </c>
      <c r="V1182" s="3">
        <f>IF(tblOrdenes[[#This Row],[centro_costo]]="","",_xlfn.XLOOKUP(tblOrdenes[[#This Row],[centro_costo]],tblCECO[codigo],tblCECO[area],"(sin catálogo)"))</f>
        <v/>
      </c>
      <c r="W11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2" s="3">
        <f>IF(tblOrdenes[[#This Row],[centro_costo]]="","",_xlfn.XLOOKUP(tblOrdenes[[#This Row],[centro_costo]],tblCECO[codigo],tblCECO[coordinador],"(sin catálogo)"))</f>
        <v/>
      </c>
      <c r="Y1182" s="3">
        <f>IF(tblOrdenes[[#This Row],[puesto_trabajo]]="","",_xlfn.XLOOKUP(tblOrdenes[[#This Row],[puesto_trabajo]],tblPuestos[codigo],tblPuestos[especialidad],"(sin catálogo)"))</f>
        <v/>
      </c>
      <c r="Z1182" s="3">
        <f>IF(tblOrdenes[[#This Row],[cod_actividad]]="","",_xlfn.XLOOKUP(tblOrdenes[[#This Row],[cod_actividad]],tblActividades[codigo],tblActividades[descripcion],"(sin catálogo)"))</f>
        <v/>
      </c>
      <c r="AA1182" s="13">
        <f>IF(tblOrdenes[[#This Row],[fecha_inicio]]="","",TODAY()-tblOrdenes[[#This Row],[fecha_inicio]])</f>
        <v/>
      </c>
      <c r="AB11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2" s="3">
        <f>IF(tblOrdenes[[#This Row],[backlog_habiles]]="","",IF(tblOrdenes[[#This Row],[backlog_habiles]]&lt;0,"FUTURO",IF(tblOrdenes[[#This Row],[backlog_habiles]]&gt;p_dias_backlog_max,"BACKLOG","MES CORRIENTE")))</f>
        <v/>
      </c>
      <c r="AD1182" s="3">
        <f>IF(tblOrdenes[[#This Row],[backlog_habiles]]="",FALSE,AND(tblOrdenes[[#This Row],[backlog_habiles]]&gt;p_dias_backlog_min,tblOrdenes[[#This Row],[backlog_habiles]]&lt;=p_dias_backlog_max))</f>
        <v/>
      </c>
      <c r="AE1182" s="6" t="n"/>
      <c r="AF11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2" s="11">
        <f>IF(tblOrdenes[[#This Row],[orden]]="","",_xlfn.XLOOKUP(tblOrdenes[[#This Row],[id_operacion]],tblEjecucion[id_operacion],tblEjecucion[precio],0))</f>
        <v/>
      </c>
      <c r="AJ1182" s="11">
        <f>IF(tblOrdenes[[#This Row],[orden]]="","",MAX(0,_xlfn.XLOOKUP(tblOrdenes[[#This Row],[id_operacion]],tblEjecucion[id_operacion],tblEjecucion[costo_plan_total],0)-tblOrdenes[[#This Row],[costo_servicio]]))</f>
        <v/>
      </c>
      <c r="AK1182" s="11">
        <f>IF(tblOrdenes[[#This Row],[orden]]="","",tblOrdenes[[#This Row],[costo_servicio]]+tblOrdenes[[#This Row],[costo_materiales]])</f>
        <v/>
      </c>
      <c r="AL1182" s="6" t="n"/>
      <c r="AM1182" s="6" t="n"/>
      <c r="AN1182" s="6" t="n"/>
      <c r="AO1182" s="3">
        <f>IF(tblOrdenes[[#This Row],[link_checklist]]="","",HYPERLINK(p_ruta_base_checklists&amp;tblOrdenes[[#This Row],[link_checklist]],"abrir"))</f>
        <v/>
      </c>
      <c r="AP1182" s="6" t="n"/>
      <c r="AQ1182" s="3">
        <f>IF(tblOrdenes[[#This Row],[orden]]="","",tblOrdenes[[#This Row],[orden]]&amp;IF(tblOrdenes[[#This Row],[operacion]]="","0010",tblOrdenes[[#This Row],[operacion]]))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2" t="n"/>
      <c r="K1183" s="3" t="n"/>
      <c r="L1183" s="11" t="n"/>
      <c r="M11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3" s="3">
        <f>IF(tblOrdenes[[#This Row],[fecha_inicio]]="","",YEAR(tblOrdenes[[#This Row],[fecha_inicio]]))</f>
        <v/>
      </c>
      <c r="Q1183" s="3">
        <f>IF(tblOrdenes[[#This Row],[fecha_inicio]]="","",MONTH(tblOrdenes[[#This Row],[fecha_inicio]]))</f>
        <v/>
      </c>
      <c r="R1183" s="3">
        <f>IF(tblOrdenes[[#This Row],[fecha_inicio]]="","",INDEX(lista_dias,WEEKDAY(tblOrdenes[[#This Row],[fecha_inicio]],2)))</f>
        <v/>
      </c>
      <c r="S11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3" s="3">
        <f>IF(tblOrdenes[[#This Row],[tipo_ot]]="","",_xlfn.XLOOKUP(tblOrdenes[[#This Row],[tipo_ot]],tblTiposOT[codigo],tblTiposOT[clasificacion],"sin_clasificar"))</f>
        <v/>
      </c>
      <c r="U1183" s="3">
        <f>IF(tblOrdenes[[#This Row],[centro_costo]]="","",_xlfn.XLOOKUP(tblOrdenes[[#This Row],[centro_costo]],tblCECO[codigo],tblCECO[linea],"(sin catálogo)"))</f>
        <v/>
      </c>
      <c r="V1183" s="3">
        <f>IF(tblOrdenes[[#This Row],[centro_costo]]="","",_xlfn.XLOOKUP(tblOrdenes[[#This Row],[centro_costo]],tblCECO[codigo],tblCECO[area],"(sin catálogo)"))</f>
        <v/>
      </c>
      <c r="W11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3" s="3">
        <f>IF(tblOrdenes[[#This Row],[centro_costo]]="","",_xlfn.XLOOKUP(tblOrdenes[[#This Row],[centro_costo]],tblCECO[codigo],tblCECO[coordinador],"(sin catálogo)"))</f>
        <v/>
      </c>
      <c r="Y1183" s="3">
        <f>IF(tblOrdenes[[#This Row],[puesto_trabajo]]="","",_xlfn.XLOOKUP(tblOrdenes[[#This Row],[puesto_trabajo]],tblPuestos[codigo],tblPuestos[especialidad],"(sin catálogo)"))</f>
        <v/>
      </c>
      <c r="Z1183" s="3">
        <f>IF(tblOrdenes[[#This Row],[cod_actividad]]="","",_xlfn.XLOOKUP(tblOrdenes[[#This Row],[cod_actividad]],tblActividades[codigo],tblActividades[descripcion],"(sin catálogo)"))</f>
        <v/>
      </c>
      <c r="AA1183" s="13">
        <f>IF(tblOrdenes[[#This Row],[fecha_inicio]]="","",TODAY()-tblOrdenes[[#This Row],[fecha_inicio]])</f>
        <v/>
      </c>
      <c r="AB11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3" s="3">
        <f>IF(tblOrdenes[[#This Row],[backlog_habiles]]="","",IF(tblOrdenes[[#This Row],[backlog_habiles]]&lt;0,"FUTURO",IF(tblOrdenes[[#This Row],[backlog_habiles]]&gt;p_dias_backlog_max,"BACKLOG","MES CORRIENTE")))</f>
        <v/>
      </c>
      <c r="AD1183" s="3">
        <f>IF(tblOrdenes[[#This Row],[backlog_habiles]]="",FALSE,AND(tblOrdenes[[#This Row],[backlog_habiles]]&gt;p_dias_backlog_min,tblOrdenes[[#This Row],[backlog_habiles]]&lt;=p_dias_backlog_max))</f>
        <v/>
      </c>
      <c r="AE1183" s="6" t="n"/>
      <c r="AF11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3" s="11">
        <f>IF(tblOrdenes[[#This Row],[orden]]="","",_xlfn.XLOOKUP(tblOrdenes[[#This Row],[id_operacion]],tblEjecucion[id_operacion],tblEjecucion[precio],0))</f>
        <v/>
      </c>
      <c r="AJ1183" s="11">
        <f>IF(tblOrdenes[[#This Row],[orden]]="","",MAX(0,_xlfn.XLOOKUP(tblOrdenes[[#This Row],[id_operacion]],tblEjecucion[id_operacion],tblEjecucion[costo_plan_total],0)-tblOrdenes[[#This Row],[costo_servicio]]))</f>
        <v/>
      </c>
      <c r="AK1183" s="11">
        <f>IF(tblOrdenes[[#This Row],[orden]]="","",tblOrdenes[[#This Row],[costo_servicio]]+tblOrdenes[[#This Row],[costo_materiales]])</f>
        <v/>
      </c>
      <c r="AL1183" s="6" t="n"/>
      <c r="AM1183" s="6" t="n"/>
      <c r="AN1183" s="6" t="n"/>
      <c r="AO1183" s="3">
        <f>IF(tblOrdenes[[#This Row],[link_checklist]]="","",HYPERLINK(p_ruta_base_checklists&amp;tblOrdenes[[#This Row],[link_checklist]],"abrir"))</f>
        <v/>
      </c>
      <c r="AP1183" s="6" t="n"/>
      <c r="AQ1183" s="3">
        <f>IF(tblOrdenes[[#This Row],[orden]]="","",tblOrdenes[[#This Row],[orden]]&amp;IF(tblOrdenes[[#This Row],[operacion]]="","0010",tblOrdenes[[#This Row],[operacion]]))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2" t="n"/>
      <c r="K1184" s="3" t="n"/>
      <c r="L1184" s="11" t="n"/>
      <c r="M11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4" s="3">
        <f>IF(tblOrdenes[[#This Row],[fecha_inicio]]="","",YEAR(tblOrdenes[[#This Row],[fecha_inicio]]))</f>
        <v/>
      </c>
      <c r="Q1184" s="3">
        <f>IF(tblOrdenes[[#This Row],[fecha_inicio]]="","",MONTH(tblOrdenes[[#This Row],[fecha_inicio]]))</f>
        <v/>
      </c>
      <c r="R1184" s="3">
        <f>IF(tblOrdenes[[#This Row],[fecha_inicio]]="","",INDEX(lista_dias,WEEKDAY(tblOrdenes[[#This Row],[fecha_inicio]],2)))</f>
        <v/>
      </c>
      <c r="S11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4" s="3">
        <f>IF(tblOrdenes[[#This Row],[tipo_ot]]="","",_xlfn.XLOOKUP(tblOrdenes[[#This Row],[tipo_ot]],tblTiposOT[codigo],tblTiposOT[clasificacion],"sin_clasificar"))</f>
        <v/>
      </c>
      <c r="U1184" s="3">
        <f>IF(tblOrdenes[[#This Row],[centro_costo]]="","",_xlfn.XLOOKUP(tblOrdenes[[#This Row],[centro_costo]],tblCECO[codigo],tblCECO[linea],"(sin catálogo)"))</f>
        <v/>
      </c>
      <c r="V1184" s="3">
        <f>IF(tblOrdenes[[#This Row],[centro_costo]]="","",_xlfn.XLOOKUP(tblOrdenes[[#This Row],[centro_costo]],tblCECO[codigo],tblCECO[area],"(sin catálogo)"))</f>
        <v/>
      </c>
      <c r="W11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4" s="3">
        <f>IF(tblOrdenes[[#This Row],[centro_costo]]="","",_xlfn.XLOOKUP(tblOrdenes[[#This Row],[centro_costo]],tblCECO[codigo],tblCECO[coordinador],"(sin catálogo)"))</f>
        <v/>
      </c>
      <c r="Y1184" s="3">
        <f>IF(tblOrdenes[[#This Row],[puesto_trabajo]]="","",_xlfn.XLOOKUP(tblOrdenes[[#This Row],[puesto_trabajo]],tblPuestos[codigo],tblPuestos[especialidad],"(sin catálogo)"))</f>
        <v/>
      </c>
      <c r="Z1184" s="3">
        <f>IF(tblOrdenes[[#This Row],[cod_actividad]]="","",_xlfn.XLOOKUP(tblOrdenes[[#This Row],[cod_actividad]],tblActividades[codigo],tblActividades[descripcion],"(sin catálogo)"))</f>
        <v/>
      </c>
      <c r="AA1184" s="13">
        <f>IF(tblOrdenes[[#This Row],[fecha_inicio]]="","",TODAY()-tblOrdenes[[#This Row],[fecha_inicio]])</f>
        <v/>
      </c>
      <c r="AB11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4" s="3">
        <f>IF(tblOrdenes[[#This Row],[backlog_habiles]]="","",IF(tblOrdenes[[#This Row],[backlog_habiles]]&lt;0,"FUTURO",IF(tblOrdenes[[#This Row],[backlog_habiles]]&gt;p_dias_backlog_max,"BACKLOG","MES CORRIENTE")))</f>
        <v/>
      </c>
      <c r="AD1184" s="3">
        <f>IF(tblOrdenes[[#This Row],[backlog_habiles]]="",FALSE,AND(tblOrdenes[[#This Row],[backlog_habiles]]&gt;p_dias_backlog_min,tblOrdenes[[#This Row],[backlog_habiles]]&lt;=p_dias_backlog_max))</f>
        <v/>
      </c>
      <c r="AE1184" s="6" t="n"/>
      <c r="AF11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4" s="11">
        <f>IF(tblOrdenes[[#This Row],[orden]]="","",_xlfn.XLOOKUP(tblOrdenes[[#This Row],[id_operacion]],tblEjecucion[id_operacion],tblEjecucion[precio],0))</f>
        <v/>
      </c>
      <c r="AJ1184" s="11">
        <f>IF(tblOrdenes[[#This Row],[orden]]="","",MAX(0,_xlfn.XLOOKUP(tblOrdenes[[#This Row],[id_operacion]],tblEjecucion[id_operacion],tblEjecucion[costo_plan_total],0)-tblOrdenes[[#This Row],[costo_servicio]]))</f>
        <v/>
      </c>
      <c r="AK1184" s="11">
        <f>IF(tblOrdenes[[#This Row],[orden]]="","",tblOrdenes[[#This Row],[costo_servicio]]+tblOrdenes[[#This Row],[costo_materiales]])</f>
        <v/>
      </c>
      <c r="AL1184" s="6" t="n"/>
      <c r="AM1184" s="6" t="n"/>
      <c r="AN1184" s="6" t="n"/>
      <c r="AO1184" s="3">
        <f>IF(tblOrdenes[[#This Row],[link_checklist]]="","",HYPERLINK(p_ruta_base_checklists&amp;tblOrdenes[[#This Row],[link_checklist]],"abrir"))</f>
        <v/>
      </c>
      <c r="AP1184" s="6" t="n"/>
      <c r="AQ1184" s="3">
        <f>IF(tblOrdenes[[#This Row],[orden]]="","",tblOrdenes[[#This Row],[orden]]&amp;IF(tblOrdenes[[#This Row],[operacion]]="","0010",tblOrdenes[[#This Row],[operacion]]))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2" t="n"/>
      <c r="K1185" s="3" t="n"/>
      <c r="L1185" s="11" t="n"/>
      <c r="M11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5" s="3">
        <f>IF(tblOrdenes[[#This Row],[fecha_inicio]]="","",YEAR(tblOrdenes[[#This Row],[fecha_inicio]]))</f>
        <v/>
      </c>
      <c r="Q1185" s="3">
        <f>IF(tblOrdenes[[#This Row],[fecha_inicio]]="","",MONTH(tblOrdenes[[#This Row],[fecha_inicio]]))</f>
        <v/>
      </c>
      <c r="R1185" s="3">
        <f>IF(tblOrdenes[[#This Row],[fecha_inicio]]="","",INDEX(lista_dias,WEEKDAY(tblOrdenes[[#This Row],[fecha_inicio]],2)))</f>
        <v/>
      </c>
      <c r="S11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5" s="3">
        <f>IF(tblOrdenes[[#This Row],[tipo_ot]]="","",_xlfn.XLOOKUP(tblOrdenes[[#This Row],[tipo_ot]],tblTiposOT[codigo],tblTiposOT[clasificacion],"sin_clasificar"))</f>
        <v/>
      </c>
      <c r="U1185" s="3">
        <f>IF(tblOrdenes[[#This Row],[centro_costo]]="","",_xlfn.XLOOKUP(tblOrdenes[[#This Row],[centro_costo]],tblCECO[codigo],tblCECO[linea],"(sin catálogo)"))</f>
        <v/>
      </c>
      <c r="V1185" s="3">
        <f>IF(tblOrdenes[[#This Row],[centro_costo]]="","",_xlfn.XLOOKUP(tblOrdenes[[#This Row],[centro_costo]],tblCECO[codigo],tblCECO[area],"(sin catálogo)"))</f>
        <v/>
      </c>
      <c r="W11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5" s="3">
        <f>IF(tblOrdenes[[#This Row],[centro_costo]]="","",_xlfn.XLOOKUP(tblOrdenes[[#This Row],[centro_costo]],tblCECO[codigo],tblCECO[coordinador],"(sin catálogo)"))</f>
        <v/>
      </c>
      <c r="Y1185" s="3">
        <f>IF(tblOrdenes[[#This Row],[puesto_trabajo]]="","",_xlfn.XLOOKUP(tblOrdenes[[#This Row],[puesto_trabajo]],tblPuestos[codigo],tblPuestos[especialidad],"(sin catálogo)"))</f>
        <v/>
      </c>
      <c r="Z1185" s="3">
        <f>IF(tblOrdenes[[#This Row],[cod_actividad]]="","",_xlfn.XLOOKUP(tblOrdenes[[#This Row],[cod_actividad]],tblActividades[codigo],tblActividades[descripcion],"(sin catálogo)"))</f>
        <v/>
      </c>
      <c r="AA1185" s="13">
        <f>IF(tblOrdenes[[#This Row],[fecha_inicio]]="","",TODAY()-tblOrdenes[[#This Row],[fecha_inicio]])</f>
        <v/>
      </c>
      <c r="AB11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5" s="3">
        <f>IF(tblOrdenes[[#This Row],[backlog_habiles]]="","",IF(tblOrdenes[[#This Row],[backlog_habiles]]&lt;0,"FUTURO",IF(tblOrdenes[[#This Row],[backlog_habiles]]&gt;p_dias_backlog_max,"BACKLOG","MES CORRIENTE")))</f>
        <v/>
      </c>
      <c r="AD1185" s="3">
        <f>IF(tblOrdenes[[#This Row],[backlog_habiles]]="",FALSE,AND(tblOrdenes[[#This Row],[backlog_habiles]]&gt;p_dias_backlog_min,tblOrdenes[[#This Row],[backlog_habiles]]&lt;=p_dias_backlog_max))</f>
        <v/>
      </c>
      <c r="AE1185" s="6" t="n"/>
      <c r="AF11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5" s="11">
        <f>IF(tblOrdenes[[#This Row],[orden]]="","",_xlfn.XLOOKUP(tblOrdenes[[#This Row],[id_operacion]],tblEjecucion[id_operacion],tblEjecucion[precio],0))</f>
        <v/>
      </c>
      <c r="AJ1185" s="11">
        <f>IF(tblOrdenes[[#This Row],[orden]]="","",MAX(0,_xlfn.XLOOKUP(tblOrdenes[[#This Row],[id_operacion]],tblEjecucion[id_operacion],tblEjecucion[costo_plan_total],0)-tblOrdenes[[#This Row],[costo_servicio]]))</f>
        <v/>
      </c>
      <c r="AK1185" s="11">
        <f>IF(tblOrdenes[[#This Row],[orden]]="","",tblOrdenes[[#This Row],[costo_servicio]]+tblOrdenes[[#This Row],[costo_materiales]])</f>
        <v/>
      </c>
      <c r="AL1185" s="6" t="n"/>
      <c r="AM1185" s="6" t="n"/>
      <c r="AN1185" s="6" t="n"/>
      <c r="AO1185" s="3">
        <f>IF(tblOrdenes[[#This Row],[link_checklist]]="","",HYPERLINK(p_ruta_base_checklists&amp;tblOrdenes[[#This Row],[link_checklist]],"abrir"))</f>
        <v/>
      </c>
      <c r="AP1185" s="6" t="n"/>
      <c r="AQ1185" s="3">
        <f>IF(tblOrdenes[[#This Row],[orden]]="","",tblOrdenes[[#This Row],[orden]]&amp;IF(tblOrdenes[[#This Row],[operacion]]="","0010",tblOrdenes[[#This Row],[operacion]]))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2" t="n"/>
      <c r="K1186" s="3" t="n"/>
      <c r="L1186" s="11" t="n"/>
      <c r="M11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6" s="3">
        <f>IF(tblOrdenes[[#This Row],[fecha_inicio]]="","",YEAR(tblOrdenes[[#This Row],[fecha_inicio]]))</f>
        <v/>
      </c>
      <c r="Q1186" s="3">
        <f>IF(tblOrdenes[[#This Row],[fecha_inicio]]="","",MONTH(tblOrdenes[[#This Row],[fecha_inicio]]))</f>
        <v/>
      </c>
      <c r="R1186" s="3">
        <f>IF(tblOrdenes[[#This Row],[fecha_inicio]]="","",INDEX(lista_dias,WEEKDAY(tblOrdenes[[#This Row],[fecha_inicio]],2)))</f>
        <v/>
      </c>
      <c r="S11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6" s="3">
        <f>IF(tblOrdenes[[#This Row],[tipo_ot]]="","",_xlfn.XLOOKUP(tblOrdenes[[#This Row],[tipo_ot]],tblTiposOT[codigo],tblTiposOT[clasificacion],"sin_clasificar"))</f>
        <v/>
      </c>
      <c r="U1186" s="3">
        <f>IF(tblOrdenes[[#This Row],[centro_costo]]="","",_xlfn.XLOOKUP(tblOrdenes[[#This Row],[centro_costo]],tblCECO[codigo],tblCECO[linea],"(sin catálogo)"))</f>
        <v/>
      </c>
      <c r="V1186" s="3">
        <f>IF(tblOrdenes[[#This Row],[centro_costo]]="","",_xlfn.XLOOKUP(tblOrdenes[[#This Row],[centro_costo]],tblCECO[codigo],tblCECO[area],"(sin catálogo)"))</f>
        <v/>
      </c>
      <c r="W11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6" s="3">
        <f>IF(tblOrdenes[[#This Row],[centro_costo]]="","",_xlfn.XLOOKUP(tblOrdenes[[#This Row],[centro_costo]],tblCECO[codigo],tblCECO[coordinador],"(sin catálogo)"))</f>
        <v/>
      </c>
      <c r="Y1186" s="3">
        <f>IF(tblOrdenes[[#This Row],[puesto_trabajo]]="","",_xlfn.XLOOKUP(tblOrdenes[[#This Row],[puesto_trabajo]],tblPuestos[codigo],tblPuestos[especialidad],"(sin catálogo)"))</f>
        <v/>
      </c>
      <c r="Z1186" s="3">
        <f>IF(tblOrdenes[[#This Row],[cod_actividad]]="","",_xlfn.XLOOKUP(tblOrdenes[[#This Row],[cod_actividad]],tblActividades[codigo],tblActividades[descripcion],"(sin catálogo)"))</f>
        <v/>
      </c>
      <c r="AA1186" s="13">
        <f>IF(tblOrdenes[[#This Row],[fecha_inicio]]="","",TODAY()-tblOrdenes[[#This Row],[fecha_inicio]])</f>
        <v/>
      </c>
      <c r="AB11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6" s="3">
        <f>IF(tblOrdenes[[#This Row],[backlog_habiles]]="","",IF(tblOrdenes[[#This Row],[backlog_habiles]]&lt;0,"FUTURO",IF(tblOrdenes[[#This Row],[backlog_habiles]]&gt;p_dias_backlog_max,"BACKLOG","MES CORRIENTE")))</f>
        <v/>
      </c>
      <c r="AD1186" s="3">
        <f>IF(tblOrdenes[[#This Row],[backlog_habiles]]="",FALSE,AND(tblOrdenes[[#This Row],[backlog_habiles]]&gt;p_dias_backlog_min,tblOrdenes[[#This Row],[backlog_habiles]]&lt;=p_dias_backlog_max))</f>
        <v/>
      </c>
      <c r="AE1186" s="6" t="n"/>
      <c r="AF11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6" s="11">
        <f>IF(tblOrdenes[[#This Row],[orden]]="","",_xlfn.XLOOKUP(tblOrdenes[[#This Row],[id_operacion]],tblEjecucion[id_operacion],tblEjecucion[precio],0))</f>
        <v/>
      </c>
      <c r="AJ1186" s="11">
        <f>IF(tblOrdenes[[#This Row],[orden]]="","",MAX(0,_xlfn.XLOOKUP(tblOrdenes[[#This Row],[id_operacion]],tblEjecucion[id_operacion],tblEjecucion[costo_plan_total],0)-tblOrdenes[[#This Row],[costo_servicio]]))</f>
        <v/>
      </c>
      <c r="AK1186" s="11">
        <f>IF(tblOrdenes[[#This Row],[orden]]="","",tblOrdenes[[#This Row],[costo_servicio]]+tblOrdenes[[#This Row],[costo_materiales]])</f>
        <v/>
      </c>
      <c r="AL1186" s="6" t="n"/>
      <c r="AM1186" s="6" t="n"/>
      <c r="AN1186" s="6" t="n"/>
      <c r="AO1186" s="3">
        <f>IF(tblOrdenes[[#This Row],[link_checklist]]="","",HYPERLINK(p_ruta_base_checklists&amp;tblOrdenes[[#This Row],[link_checklist]],"abrir"))</f>
        <v/>
      </c>
      <c r="AP1186" s="6" t="n"/>
      <c r="AQ1186" s="3">
        <f>IF(tblOrdenes[[#This Row],[orden]]="","",tblOrdenes[[#This Row],[orden]]&amp;IF(tblOrdenes[[#This Row],[operacion]]="","0010",tblOrdenes[[#This Row],[operacion]]))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2" t="n"/>
      <c r="K1187" s="3" t="n"/>
      <c r="L1187" s="11" t="n"/>
      <c r="M11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7" s="3">
        <f>IF(tblOrdenes[[#This Row],[fecha_inicio]]="","",YEAR(tblOrdenes[[#This Row],[fecha_inicio]]))</f>
        <v/>
      </c>
      <c r="Q1187" s="3">
        <f>IF(tblOrdenes[[#This Row],[fecha_inicio]]="","",MONTH(tblOrdenes[[#This Row],[fecha_inicio]]))</f>
        <v/>
      </c>
      <c r="R1187" s="3">
        <f>IF(tblOrdenes[[#This Row],[fecha_inicio]]="","",INDEX(lista_dias,WEEKDAY(tblOrdenes[[#This Row],[fecha_inicio]],2)))</f>
        <v/>
      </c>
      <c r="S11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7" s="3">
        <f>IF(tblOrdenes[[#This Row],[tipo_ot]]="","",_xlfn.XLOOKUP(tblOrdenes[[#This Row],[tipo_ot]],tblTiposOT[codigo],tblTiposOT[clasificacion],"sin_clasificar"))</f>
        <v/>
      </c>
      <c r="U1187" s="3">
        <f>IF(tblOrdenes[[#This Row],[centro_costo]]="","",_xlfn.XLOOKUP(tblOrdenes[[#This Row],[centro_costo]],tblCECO[codigo],tblCECO[linea],"(sin catálogo)"))</f>
        <v/>
      </c>
      <c r="V1187" s="3">
        <f>IF(tblOrdenes[[#This Row],[centro_costo]]="","",_xlfn.XLOOKUP(tblOrdenes[[#This Row],[centro_costo]],tblCECO[codigo],tblCECO[area],"(sin catálogo)"))</f>
        <v/>
      </c>
      <c r="W11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7" s="3">
        <f>IF(tblOrdenes[[#This Row],[centro_costo]]="","",_xlfn.XLOOKUP(tblOrdenes[[#This Row],[centro_costo]],tblCECO[codigo],tblCECO[coordinador],"(sin catálogo)"))</f>
        <v/>
      </c>
      <c r="Y1187" s="3">
        <f>IF(tblOrdenes[[#This Row],[puesto_trabajo]]="","",_xlfn.XLOOKUP(tblOrdenes[[#This Row],[puesto_trabajo]],tblPuestos[codigo],tblPuestos[especialidad],"(sin catálogo)"))</f>
        <v/>
      </c>
      <c r="Z1187" s="3">
        <f>IF(tblOrdenes[[#This Row],[cod_actividad]]="","",_xlfn.XLOOKUP(tblOrdenes[[#This Row],[cod_actividad]],tblActividades[codigo],tblActividades[descripcion],"(sin catálogo)"))</f>
        <v/>
      </c>
      <c r="AA1187" s="13">
        <f>IF(tblOrdenes[[#This Row],[fecha_inicio]]="","",TODAY()-tblOrdenes[[#This Row],[fecha_inicio]])</f>
        <v/>
      </c>
      <c r="AB11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7" s="3">
        <f>IF(tblOrdenes[[#This Row],[backlog_habiles]]="","",IF(tblOrdenes[[#This Row],[backlog_habiles]]&lt;0,"FUTURO",IF(tblOrdenes[[#This Row],[backlog_habiles]]&gt;p_dias_backlog_max,"BACKLOG","MES CORRIENTE")))</f>
        <v/>
      </c>
      <c r="AD1187" s="3">
        <f>IF(tblOrdenes[[#This Row],[backlog_habiles]]="",FALSE,AND(tblOrdenes[[#This Row],[backlog_habiles]]&gt;p_dias_backlog_min,tblOrdenes[[#This Row],[backlog_habiles]]&lt;=p_dias_backlog_max))</f>
        <v/>
      </c>
      <c r="AE1187" s="6" t="n"/>
      <c r="AF11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7" s="11">
        <f>IF(tblOrdenes[[#This Row],[orden]]="","",_xlfn.XLOOKUP(tblOrdenes[[#This Row],[id_operacion]],tblEjecucion[id_operacion],tblEjecucion[precio],0))</f>
        <v/>
      </c>
      <c r="AJ1187" s="11">
        <f>IF(tblOrdenes[[#This Row],[orden]]="","",MAX(0,_xlfn.XLOOKUP(tblOrdenes[[#This Row],[id_operacion]],tblEjecucion[id_operacion],tblEjecucion[costo_plan_total],0)-tblOrdenes[[#This Row],[costo_servicio]]))</f>
        <v/>
      </c>
      <c r="AK1187" s="11">
        <f>IF(tblOrdenes[[#This Row],[orden]]="","",tblOrdenes[[#This Row],[costo_servicio]]+tblOrdenes[[#This Row],[costo_materiales]])</f>
        <v/>
      </c>
      <c r="AL1187" s="6" t="n"/>
      <c r="AM1187" s="6" t="n"/>
      <c r="AN1187" s="6" t="n"/>
      <c r="AO1187" s="3">
        <f>IF(tblOrdenes[[#This Row],[link_checklist]]="","",HYPERLINK(p_ruta_base_checklists&amp;tblOrdenes[[#This Row],[link_checklist]],"abrir"))</f>
        <v/>
      </c>
      <c r="AP1187" s="6" t="n"/>
      <c r="AQ1187" s="3">
        <f>IF(tblOrdenes[[#This Row],[orden]]="","",tblOrdenes[[#This Row],[orden]]&amp;IF(tblOrdenes[[#This Row],[operacion]]="","0010",tblOrdenes[[#This Row],[operacion]]))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2" t="n"/>
      <c r="K1188" s="3" t="n"/>
      <c r="L1188" s="11" t="n"/>
      <c r="M11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8" s="3">
        <f>IF(tblOrdenes[[#This Row],[fecha_inicio]]="","",YEAR(tblOrdenes[[#This Row],[fecha_inicio]]))</f>
        <v/>
      </c>
      <c r="Q1188" s="3">
        <f>IF(tblOrdenes[[#This Row],[fecha_inicio]]="","",MONTH(tblOrdenes[[#This Row],[fecha_inicio]]))</f>
        <v/>
      </c>
      <c r="R1188" s="3">
        <f>IF(tblOrdenes[[#This Row],[fecha_inicio]]="","",INDEX(lista_dias,WEEKDAY(tblOrdenes[[#This Row],[fecha_inicio]],2)))</f>
        <v/>
      </c>
      <c r="S11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8" s="3">
        <f>IF(tblOrdenes[[#This Row],[tipo_ot]]="","",_xlfn.XLOOKUP(tblOrdenes[[#This Row],[tipo_ot]],tblTiposOT[codigo],tblTiposOT[clasificacion],"sin_clasificar"))</f>
        <v/>
      </c>
      <c r="U1188" s="3">
        <f>IF(tblOrdenes[[#This Row],[centro_costo]]="","",_xlfn.XLOOKUP(tblOrdenes[[#This Row],[centro_costo]],tblCECO[codigo],tblCECO[linea],"(sin catálogo)"))</f>
        <v/>
      </c>
      <c r="V1188" s="3">
        <f>IF(tblOrdenes[[#This Row],[centro_costo]]="","",_xlfn.XLOOKUP(tblOrdenes[[#This Row],[centro_costo]],tblCECO[codigo],tblCECO[area],"(sin catálogo)"))</f>
        <v/>
      </c>
      <c r="W11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8" s="3">
        <f>IF(tblOrdenes[[#This Row],[centro_costo]]="","",_xlfn.XLOOKUP(tblOrdenes[[#This Row],[centro_costo]],tblCECO[codigo],tblCECO[coordinador],"(sin catálogo)"))</f>
        <v/>
      </c>
      <c r="Y1188" s="3">
        <f>IF(tblOrdenes[[#This Row],[puesto_trabajo]]="","",_xlfn.XLOOKUP(tblOrdenes[[#This Row],[puesto_trabajo]],tblPuestos[codigo],tblPuestos[especialidad],"(sin catálogo)"))</f>
        <v/>
      </c>
      <c r="Z1188" s="3">
        <f>IF(tblOrdenes[[#This Row],[cod_actividad]]="","",_xlfn.XLOOKUP(tblOrdenes[[#This Row],[cod_actividad]],tblActividades[codigo],tblActividades[descripcion],"(sin catálogo)"))</f>
        <v/>
      </c>
      <c r="AA1188" s="13">
        <f>IF(tblOrdenes[[#This Row],[fecha_inicio]]="","",TODAY()-tblOrdenes[[#This Row],[fecha_inicio]])</f>
        <v/>
      </c>
      <c r="AB11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8" s="3">
        <f>IF(tblOrdenes[[#This Row],[backlog_habiles]]="","",IF(tblOrdenes[[#This Row],[backlog_habiles]]&lt;0,"FUTURO",IF(tblOrdenes[[#This Row],[backlog_habiles]]&gt;p_dias_backlog_max,"BACKLOG","MES CORRIENTE")))</f>
        <v/>
      </c>
      <c r="AD1188" s="3">
        <f>IF(tblOrdenes[[#This Row],[backlog_habiles]]="",FALSE,AND(tblOrdenes[[#This Row],[backlog_habiles]]&gt;p_dias_backlog_min,tblOrdenes[[#This Row],[backlog_habiles]]&lt;=p_dias_backlog_max))</f>
        <v/>
      </c>
      <c r="AE1188" s="6" t="n"/>
      <c r="AF11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8" s="11">
        <f>IF(tblOrdenes[[#This Row],[orden]]="","",_xlfn.XLOOKUP(tblOrdenes[[#This Row],[id_operacion]],tblEjecucion[id_operacion],tblEjecucion[precio],0))</f>
        <v/>
      </c>
      <c r="AJ1188" s="11">
        <f>IF(tblOrdenes[[#This Row],[orden]]="","",MAX(0,_xlfn.XLOOKUP(tblOrdenes[[#This Row],[id_operacion]],tblEjecucion[id_operacion],tblEjecucion[costo_plan_total],0)-tblOrdenes[[#This Row],[costo_servicio]]))</f>
        <v/>
      </c>
      <c r="AK1188" s="11">
        <f>IF(tblOrdenes[[#This Row],[orden]]="","",tblOrdenes[[#This Row],[costo_servicio]]+tblOrdenes[[#This Row],[costo_materiales]])</f>
        <v/>
      </c>
      <c r="AL1188" s="6" t="n"/>
      <c r="AM1188" s="6" t="n"/>
      <c r="AN1188" s="6" t="n"/>
      <c r="AO1188" s="3">
        <f>IF(tblOrdenes[[#This Row],[link_checklist]]="","",HYPERLINK(p_ruta_base_checklists&amp;tblOrdenes[[#This Row],[link_checklist]],"abrir"))</f>
        <v/>
      </c>
      <c r="AP1188" s="6" t="n"/>
      <c r="AQ1188" s="3">
        <f>IF(tblOrdenes[[#This Row],[orden]]="","",tblOrdenes[[#This Row],[orden]]&amp;IF(tblOrdenes[[#This Row],[operacion]]="","0010",tblOrdenes[[#This Row],[operacion]]))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2" t="n"/>
      <c r="K1189" s="3" t="n"/>
      <c r="L1189" s="11" t="n"/>
      <c r="M11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9" s="3">
        <f>IF(tblOrdenes[[#This Row],[fecha_inicio]]="","",YEAR(tblOrdenes[[#This Row],[fecha_inicio]]))</f>
        <v/>
      </c>
      <c r="Q1189" s="3">
        <f>IF(tblOrdenes[[#This Row],[fecha_inicio]]="","",MONTH(tblOrdenes[[#This Row],[fecha_inicio]]))</f>
        <v/>
      </c>
      <c r="R1189" s="3">
        <f>IF(tblOrdenes[[#This Row],[fecha_inicio]]="","",INDEX(lista_dias,WEEKDAY(tblOrdenes[[#This Row],[fecha_inicio]],2)))</f>
        <v/>
      </c>
      <c r="S11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9" s="3">
        <f>IF(tblOrdenes[[#This Row],[tipo_ot]]="","",_xlfn.XLOOKUP(tblOrdenes[[#This Row],[tipo_ot]],tblTiposOT[codigo],tblTiposOT[clasificacion],"sin_clasificar"))</f>
        <v/>
      </c>
      <c r="U1189" s="3">
        <f>IF(tblOrdenes[[#This Row],[centro_costo]]="","",_xlfn.XLOOKUP(tblOrdenes[[#This Row],[centro_costo]],tblCECO[codigo],tblCECO[linea],"(sin catálogo)"))</f>
        <v/>
      </c>
      <c r="V1189" s="3">
        <f>IF(tblOrdenes[[#This Row],[centro_costo]]="","",_xlfn.XLOOKUP(tblOrdenes[[#This Row],[centro_costo]],tblCECO[codigo],tblCECO[area],"(sin catálogo)"))</f>
        <v/>
      </c>
      <c r="W11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9" s="3">
        <f>IF(tblOrdenes[[#This Row],[centro_costo]]="","",_xlfn.XLOOKUP(tblOrdenes[[#This Row],[centro_costo]],tblCECO[codigo],tblCECO[coordinador],"(sin catálogo)"))</f>
        <v/>
      </c>
      <c r="Y1189" s="3">
        <f>IF(tblOrdenes[[#This Row],[puesto_trabajo]]="","",_xlfn.XLOOKUP(tblOrdenes[[#This Row],[puesto_trabajo]],tblPuestos[codigo],tblPuestos[especialidad],"(sin catálogo)"))</f>
        <v/>
      </c>
      <c r="Z1189" s="3">
        <f>IF(tblOrdenes[[#This Row],[cod_actividad]]="","",_xlfn.XLOOKUP(tblOrdenes[[#This Row],[cod_actividad]],tblActividades[codigo],tblActividades[descripcion],"(sin catálogo)"))</f>
        <v/>
      </c>
      <c r="AA1189" s="13">
        <f>IF(tblOrdenes[[#This Row],[fecha_inicio]]="","",TODAY()-tblOrdenes[[#This Row],[fecha_inicio]])</f>
        <v/>
      </c>
      <c r="AB11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9" s="3">
        <f>IF(tblOrdenes[[#This Row],[backlog_habiles]]="","",IF(tblOrdenes[[#This Row],[backlog_habiles]]&lt;0,"FUTURO",IF(tblOrdenes[[#This Row],[backlog_habiles]]&gt;p_dias_backlog_max,"BACKLOG","MES CORRIENTE")))</f>
        <v/>
      </c>
      <c r="AD1189" s="3">
        <f>IF(tblOrdenes[[#This Row],[backlog_habiles]]="",FALSE,AND(tblOrdenes[[#This Row],[backlog_habiles]]&gt;p_dias_backlog_min,tblOrdenes[[#This Row],[backlog_habiles]]&lt;=p_dias_backlog_max))</f>
        <v/>
      </c>
      <c r="AE1189" s="6" t="n"/>
      <c r="AF11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9" s="11">
        <f>IF(tblOrdenes[[#This Row],[orden]]="","",_xlfn.XLOOKUP(tblOrdenes[[#This Row],[id_operacion]],tblEjecucion[id_operacion],tblEjecucion[precio],0))</f>
        <v/>
      </c>
      <c r="AJ1189" s="11">
        <f>IF(tblOrdenes[[#This Row],[orden]]="","",MAX(0,_xlfn.XLOOKUP(tblOrdenes[[#This Row],[id_operacion]],tblEjecucion[id_operacion],tblEjecucion[costo_plan_total],0)-tblOrdenes[[#This Row],[costo_servicio]]))</f>
        <v/>
      </c>
      <c r="AK1189" s="11">
        <f>IF(tblOrdenes[[#This Row],[orden]]="","",tblOrdenes[[#This Row],[costo_servicio]]+tblOrdenes[[#This Row],[costo_materiales]])</f>
        <v/>
      </c>
      <c r="AL1189" s="6" t="n"/>
      <c r="AM1189" s="6" t="n"/>
      <c r="AN1189" s="6" t="n"/>
      <c r="AO1189" s="3">
        <f>IF(tblOrdenes[[#This Row],[link_checklist]]="","",HYPERLINK(p_ruta_base_checklists&amp;tblOrdenes[[#This Row],[link_checklist]],"abrir"))</f>
        <v/>
      </c>
      <c r="AP1189" s="6" t="n"/>
      <c r="AQ1189" s="3">
        <f>IF(tblOrdenes[[#This Row],[orden]]="","",tblOrdenes[[#This Row],[orden]]&amp;IF(tblOrdenes[[#This Row],[operacion]]="","0010",tblOrdenes[[#This Row],[operacion]]))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2" t="n"/>
      <c r="K1190" s="3" t="n"/>
      <c r="L1190" s="11" t="n"/>
      <c r="M11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0" s="3">
        <f>IF(tblOrdenes[[#This Row],[fecha_inicio]]="","",YEAR(tblOrdenes[[#This Row],[fecha_inicio]]))</f>
        <v/>
      </c>
      <c r="Q1190" s="3">
        <f>IF(tblOrdenes[[#This Row],[fecha_inicio]]="","",MONTH(tblOrdenes[[#This Row],[fecha_inicio]]))</f>
        <v/>
      </c>
      <c r="R1190" s="3">
        <f>IF(tblOrdenes[[#This Row],[fecha_inicio]]="","",INDEX(lista_dias,WEEKDAY(tblOrdenes[[#This Row],[fecha_inicio]],2)))</f>
        <v/>
      </c>
      <c r="S11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0" s="3">
        <f>IF(tblOrdenes[[#This Row],[tipo_ot]]="","",_xlfn.XLOOKUP(tblOrdenes[[#This Row],[tipo_ot]],tblTiposOT[codigo],tblTiposOT[clasificacion],"sin_clasificar"))</f>
        <v/>
      </c>
      <c r="U1190" s="3">
        <f>IF(tblOrdenes[[#This Row],[centro_costo]]="","",_xlfn.XLOOKUP(tblOrdenes[[#This Row],[centro_costo]],tblCECO[codigo],tblCECO[linea],"(sin catálogo)"))</f>
        <v/>
      </c>
      <c r="V1190" s="3">
        <f>IF(tblOrdenes[[#This Row],[centro_costo]]="","",_xlfn.XLOOKUP(tblOrdenes[[#This Row],[centro_costo]],tblCECO[codigo],tblCECO[area],"(sin catálogo)"))</f>
        <v/>
      </c>
      <c r="W11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0" s="3">
        <f>IF(tblOrdenes[[#This Row],[centro_costo]]="","",_xlfn.XLOOKUP(tblOrdenes[[#This Row],[centro_costo]],tblCECO[codigo],tblCECO[coordinador],"(sin catálogo)"))</f>
        <v/>
      </c>
      <c r="Y1190" s="3">
        <f>IF(tblOrdenes[[#This Row],[puesto_trabajo]]="","",_xlfn.XLOOKUP(tblOrdenes[[#This Row],[puesto_trabajo]],tblPuestos[codigo],tblPuestos[especialidad],"(sin catálogo)"))</f>
        <v/>
      </c>
      <c r="Z1190" s="3">
        <f>IF(tblOrdenes[[#This Row],[cod_actividad]]="","",_xlfn.XLOOKUP(tblOrdenes[[#This Row],[cod_actividad]],tblActividades[codigo],tblActividades[descripcion],"(sin catálogo)"))</f>
        <v/>
      </c>
      <c r="AA1190" s="13">
        <f>IF(tblOrdenes[[#This Row],[fecha_inicio]]="","",TODAY()-tblOrdenes[[#This Row],[fecha_inicio]])</f>
        <v/>
      </c>
      <c r="AB11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0" s="3">
        <f>IF(tblOrdenes[[#This Row],[backlog_habiles]]="","",IF(tblOrdenes[[#This Row],[backlog_habiles]]&lt;0,"FUTURO",IF(tblOrdenes[[#This Row],[backlog_habiles]]&gt;p_dias_backlog_max,"BACKLOG","MES CORRIENTE")))</f>
        <v/>
      </c>
      <c r="AD1190" s="3">
        <f>IF(tblOrdenes[[#This Row],[backlog_habiles]]="",FALSE,AND(tblOrdenes[[#This Row],[backlog_habiles]]&gt;p_dias_backlog_min,tblOrdenes[[#This Row],[backlog_habiles]]&lt;=p_dias_backlog_max))</f>
        <v/>
      </c>
      <c r="AE1190" s="6" t="n"/>
      <c r="AF11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0" s="11">
        <f>IF(tblOrdenes[[#This Row],[orden]]="","",_xlfn.XLOOKUP(tblOrdenes[[#This Row],[id_operacion]],tblEjecucion[id_operacion],tblEjecucion[precio],0))</f>
        <v/>
      </c>
      <c r="AJ1190" s="11">
        <f>IF(tblOrdenes[[#This Row],[orden]]="","",MAX(0,_xlfn.XLOOKUP(tblOrdenes[[#This Row],[id_operacion]],tblEjecucion[id_operacion],tblEjecucion[costo_plan_total],0)-tblOrdenes[[#This Row],[costo_servicio]]))</f>
        <v/>
      </c>
      <c r="AK1190" s="11">
        <f>IF(tblOrdenes[[#This Row],[orden]]="","",tblOrdenes[[#This Row],[costo_servicio]]+tblOrdenes[[#This Row],[costo_materiales]])</f>
        <v/>
      </c>
      <c r="AL1190" s="6" t="n"/>
      <c r="AM1190" s="6" t="n"/>
      <c r="AN1190" s="6" t="n"/>
      <c r="AO1190" s="3">
        <f>IF(tblOrdenes[[#This Row],[link_checklist]]="","",HYPERLINK(p_ruta_base_checklists&amp;tblOrdenes[[#This Row],[link_checklist]],"abrir"))</f>
        <v/>
      </c>
      <c r="AP1190" s="6" t="n"/>
      <c r="AQ1190" s="3">
        <f>IF(tblOrdenes[[#This Row],[orden]]="","",tblOrdenes[[#This Row],[orden]]&amp;IF(tblOrdenes[[#This Row],[operacion]]="","0010",tblOrdenes[[#This Row],[operacion]]))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2" t="n"/>
      <c r="K1191" s="3" t="n"/>
      <c r="L1191" s="11" t="n"/>
      <c r="M11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1" s="3">
        <f>IF(tblOrdenes[[#This Row],[fecha_inicio]]="","",YEAR(tblOrdenes[[#This Row],[fecha_inicio]]))</f>
        <v/>
      </c>
      <c r="Q1191" s="3">
        <f>IF(tblOrdenes[[#This Row],[fecha_inicio]]="","",MONTH(tblOrdenes[[#This Row],[fecha_inicio]]))</f>
        <v/>
      </c>
      <c r="R1191" s="3">
        <f>IF(tblOrdenes[[#This Row],[fecha_inicio]]="","",INDEX(lista_dias,WEEKDAY(tblOrdenes[[#This Row],[fecha_inicio]],2)))</f>
        <v/>
      </c>
      <c r="S11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1" s="3">
        <f>IF(tblOrdenes[[#This Row],[tipo_ot]]="","",_xlfn.XLOOKUP(tblOrdenes[[#This Row],[tipo_ot]],tblTiposOT[codigo],tblTiposOT[clasificacion],"sin_clasificar"))</f>
        <v/>
      </c>
      <c r="U1191" s="3">
        <f>IF(tblOrdenes[[#This Row],[centro_costo]]="","",_xlfn.XLOOKUP(tblOrdenes[[#This Row],[centro_costo]],tblCECO[codigo],tblCECO[linea],"(sin catálogo)"))</f>
        <v/>
      </c>
      <c r="V1191" s="3">
        <f>IF(tblOrdenes[[#This Row],[centro_costo]]="","",_xlfn.XLOOKUP(tblOrdenes[[#This Row],[centro_costo]],tblCECO[codigo],tblCECO[area],"(sin catálogo)"))</f>
        <v/>
      </c>
      <c r="W11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1" s="3">
        <f>IF(tblOrdenes[[#This Row],[centro_costo]]="","",_xlfn.XLOOKUP(tblOrdenes[[#This Row],[centro_costo]],tblCECO[codigo],tblCECO[coordinador],"(sin catálogo)"))</f>
        <v/>
      </c>
      <c r="Y1191" s="3">
        <f>IF(tblOrdenes[[#This Row],[puesto_trabajo]]="","",_xlfn.XLOOKUP(tblOrdenes[[#This Row],[puesto_trabajo]],tblPuestos[codigo],tblPuestos[especialidad],"(sin catálogo)"))</f>
        <v/>
      </c>
      <c r="Z1191" s="3">
        <f>IF(tblOrdenes[[#This Row],[cod_actividad]]="","",_xlfn.XLOOKUP(tblOrdenes[[#This Row],[cod_actividad]],tblActividades[codigo],tblActividades[descripcion],"(sin catálogo)"))</f>
        <v/>
      </c>
      <c r="AA1191" s="13">
        <f>IF(tblOrdenes[[#This Row],[fecha_inicio]]="","",TODAY()-tblOrdenes[[#This Row],[fecha_inicio]])</f>
        <v/>
      </c>
      <c r="AB11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1" s="3">
        <f>IF(tblOrdenes[[#This Row],[backlog_habiles]]="","",IF(tblOrdenes[[#This Row],[backlog_habiles]]&lt;0,"FUTURO",IF(tblOrdenes[[#This Row],[backlog_habiles]]&gt;p_dias_backlog_max,"BACKLOG","MES CORRIENTE")))</f>
        <v/>
      </c>
      <c r="AD1191" s="3">
        <f>IF(tblOrdenes[[#This Row],[backlog_habiles]]="",FALSE,AND(tblOrdenes[[#This Row],[backlog_habiles]]&gt;p_dias_backlog_min,tblOrdenes[[#This Row],[backlog_habiles]]&lt;=p_dias_backlog_max))</f>
        <v/>
      </c>
      <c r="AE1191" s="6" t="n"/>
      <c r="AF11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1" s="11">
        <f>IF(tblOrdenes[[#This Row],[orden]]="","",_xlfn.XLOOKUP(tblOrdenes[[#This Row],[id_operacion]],tblEjecucion[id_operacion],tblEjecucion[precio],0))</f>
        <v/>
      </c>
      <c r="AJ1191" s="11">
        <f>IF(tblOrdenes[[#This Row],[orden]]="","",MAX(0,_xlfn.XLOOKUP(tblOrdenes[[#This Row],[id_operacion]],tblEjecucion[id_operacion],tblEjecucion[costo_plan_total],0)-tblOrdenes[[#This Row],[costo_servicio]]))</f>
        <v/>
      </c>
      <c r="AK1191" s="11">
        <f>IF(tblOrdenes[[#This Row],[orden]]="","",tblOrdenes[[#This Row],[costo_servicio]]+tblOrdenes[[#This Row],[costo_materiales]])</f>
        <v/>
      </c>
      <c r="AL1191" s="6" t="n"/>
      <c r="AM1191" s="6" t="n"/>
      <c r="AN1191" s="6" t="n"/>
      <c r="AO1191" s="3">
        <f>IF(tblOrdenes[[#This Row],[link_checklist]]="","",HYPERLINK(p_ruta_base_checklists&amp;tblOrdenes[[#This Row],[link_checklist]],"abrir"))</f>
        <v/>
      </c>
      <c r="AP1191" s="6" t="n"/>
      <c r="AQ1191" s="3">
        <f>IF(tblOrdenes[[#This Row],[orden]]="","",tblOrdenes[[#This Row],[orden]]&amp;IF(tblOrdenes[[#This Row],[operacion]]="","0010",tblOrdenes[[#This Row],[operacion]]))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2" t="n"/>
      <c r="K1192" s="3" t="n"/>
      <c r="L1192" s="11" t="n"/>
      <c r="M11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2" s="3">
        <f>IF(tblOrdenes[[#This Row],[fecha_inicio]]="","",YEAR(tblOrdenes[[#This Row],[fecha_inicio]]))</f>
        <v/>
      </c>
      <c r="Q1192" s="3">
        <f>IF(tblOrdenes[[#This Row],[fecha_inicio]]="","",MONTH(tblOrdenes[[#This Row],[fecha_inicio]]))</f>
        <v/>
      </c>
      <c r="R1192" s="3">
        <f>IF(tblOrdenes[[#This Row],[fecha_inicio]]="","",INDEX(lista_dias,WEEKDAY(tblOrdenes[[#This Row],[fecha_inicio]],2)))</f>
        <v/>
      </c>
      <c r="S11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2" s="3">
        <f>IF(tblOrdenes[[#This Row],[tipo_ot]]="","",_xlfn.XLOOKUP(tblOrdenes[[#This Row],[tipo_ot]],tblTiposOT[codigo],tblTiposOT[clasificacion],"sin_clasificar"))</f>
        <v/>
      </c>
      <c r="U1192" s="3">
        <f>IF(tblOrdenes[[#This Row],[centro_costo]]="","",_xlfn.XLOOKUP(tblOrdenes[[#This Row],[centro_costo]],tblCECO[codigo],tblCECO[linea],"(sin catálogo)"))</f>
        <v/>
      </c>
      <c r="V1192" s="3">
        <f>IF(tblOrdenes[[#This Row],[centro_costo]]="","",_xlfn.XLOOKUP(tblOrdenes[[#This Row],[centro_costo]],tblCECO[codigo],tblCECO[area],"(sin catálogo)"))</f>
        <v/>
      </c>
      <c r="W11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2" s="3">
        <f>IF(tblOrdenes[[#This Row],[centro_costo]]="","",_xlfn.XLOOKUP(tblOrdenes[[#This Row],[centro_costo]],tblCECO[codigo],tblCECO[coordinador],"(sin catálogo)"))</f>
        <v/>
      </c>
      <c r="Y1192" s="3">
        <f>IF(tblOrdenes[[#This Row],[puesto_trabajo]]="","",_xlfn.XLOOKUP(tblOrdenes[[#This Row],[puesto_trabajo]],tblPuestos[codigo],tblPuestos[especialidad],"(sin catálogo)"))</f>
        <v/>
      </c>
      <c r="Z1192" s="3">
        <f>IF(tblOrdenes[[#This Row],[cod_actividad]]="","",_xlfn.XLOOKUP(tblOrdenes[[#This Row],[cod_actividad]],tblActividades[codigo],tblActividades[descripcion],"(sin catálogo)"))</f>
        <v/>
      </c>
      <c r="AA1192" s="13">
        <f>IF(tblOrdenes[[#This Row],[fecha_inicio]]="","",TODAY()-tblOrdenes[[#This Row],[fecha_inicio]])</f>
        <v/>
      </c>
      <c r="AB11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2" s="3">
        <f>IF(tblOrdenes[[#This Row],[backlog_habiles]]="","",IF(tblOrdenes[[#This Row],[backlog_habiles]]&lt;0,"FUTURO",IF(tblOrdenes[[#This Row],[backlog_habiles]]&gt;p_dias_backlog_max,"BACKLOG","MES CORRIENTE")))</f>
        <v/>
      </c>
      <c r="AD1192" s="3">
        <f>IF(tblOrdenes[[#This Row],[backlog_habiles]]="",FALSE,AND(tblOrdenes[[#This Row],[backlog_habiles]]&gt;p_dias_backlog_min,tblOrdenes[[#This Row],[backlog_habiles]]&lt;=p_dias_backlog_max))</f>
        <v/>
      </c>
      <c r="AE1192" s="6" t="n"/>
      <c r="AF11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2" s="11">
        <f>IF(tblOrdenes[[#This Row],[orden]]="","",_xlfn.XLOOKUP(tblOrdenes[[#This Row],[id_operacion]],tblEjecucion[id_operacion],tblEjecucion[precio],0))</f>
        <v/>
      </c>
      <c r="AJ1192" s="11">
        <f>IF(tblOrdenes[[#This Row],[orden]]="","",MAX(0,_xlfn.XLOOKUP(tblOrdenes[[#This Row],[id_operacion]],tblEjecucion[id_operacion],tblEjecucion[costo_plan_total],0)-tblOrdenes[[#This Row],[costo_servicio]]))</f>
        <v/>
      </c>
      <c r="AK1192" s="11">
        <f>IF(tblOrdenes[[#This Row],[orden]]="","",tblOrdenes[[#This Row],[costo_servicio]]+tblOrdenes[[#This Row],[costo_materiales]])</f>
        <v/>
      </c>
      <c r="AL1192" s="6" t="n"/>
      <c r="AM1192" s="6" t="n"/>
      <c r="AN1192" s="6" t="n"/>
      <c r="AO1192" s="3">
        <f>IF(tblOrdenes[[#This Row],[link_checklist]]="","",HYPERLINK(p_ruta_base_checklists&amp;tblOrdenes[[#This Row],[link_checklist]],"abrir"))</f>
        <v/>
      </c>
      <c r="AP1192" s="6" t="n"/>
      <c r="AQ1192" s="3">
        <f>IF(tblOrdenes[[#This Row],[orden]]="","",tblOrdenes[[#This Row],[orden]]&amp;IF(tblOrdenes[[#This Row],[operacion]]="","0010",tblOrdenes[[#This Row],[operacion]]))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2" t="n"/>
      <c r="K1193" s="3" t="n"/>
      <c r="L1193" s="11" t="n"/>
      <c r="M11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3" s="3">
        <f>IF(tblOrdenes[[#This Row],[fecha_inicio]]="","",YEAR(tblOrdenes[[#This Row],[fecha_inicio]]))</f>
        <v/>
      </c>
      <c r="Q1193" s="3">
        <f>IF(tblOrdenes[[#This Row],[fecha_inicio]]="","",MONTH(tblOrdenes[[#This Row],[fecha_inicio]]))</f>
        <v/>
      </c>
      <c r="R1193" s="3">
        <f>IF(tblOrdenes[[#This Row],[fecha_inicio]]="","",INDEX(lista_dias,WEEKDAY(tblOrdenes[[#This Row],[fecha_inicio]],2)))</f>
        <v/>
      </c>
      <c r="S11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3" s="3">
        <f>IF(tblOrdenes[[#This Row],[tipo_ot]]="","",_xlfn.XLOOKUP(tblOrdenes[[#This Row],[tipo_ot]],tblTiposOT[codigo],tblTiposOT[clasificacion],"sin_clasificar"))</f>
        <v/>
      </c>
      <c r="U1193" s="3">
        <f>IF(tblOrdenes[[#This Row],[centro_costo]]="","",_xlfn.XLOOKUP(tblOrdenes[[#This Row],[centro_costo]],tblCECO[codigo],tblCECO[linea],"(sin catálogo)"))</f>
        <v/>
      </c>
      <c r="V1193" s="3">
        <f>IF(tblOrdenes[[#This Row],[centro_costo]]="","",_xlfn.XLOOKUP(tblOrdenes[[#This Row],[centro_costo]],tblCECO[codigo],tblCECO[area],"(sin catálogo)"))</f>
        <v/>
      </c>
      <c r="W11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3" s="3">
        <f>IF(tblOrdenes[[#This Row],[centro_costo]]="","",_xlfn.XLOOKUP(tblOrdenes[[#This Row],[centro_costo]],tblCECO[codigo],tblCECO[coordinador],"(sin catálogo)"))</f>
        <v/>
      </c>
      <c r="Y1193" s="3">
        <f>IF(tblOrdenes[[#This Row],[puesto_trabajo]]="","",_xlfn.XLOOKUP(tblOrdenes[[#This Row],[puesto_trabajo]],tblPuestos[codigo],tblPuestos[especialidad],"(sin catálogo)"))</f>
        <v/>
      </c>
      <c r="Z1193" s="3">
        <f>IF(tblOrdenes[[#This Row],[cod_actividad]]="","",_xlfn.XLOOKUP(tblOrdenes[[#This Row],[cod_actividad]],tblActividades[codigo],tblActividades[descripcion],"(sin catálogo)"))</f>
        <v/>
      </c>
      <c r="AA1193" s="13">
        <f>IF(tblOrdenes[[#This Row],[fecha_inicio]]="","",TODAY()-tblOrdenes[[#This Row],[fecha_inicio]])</f>
        <v/>
      </c>
      <c r="AB11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3" s="3">
        <f>IF(tblOrdenes[[#This Row],[backlog_habiles]]="","",IF(tblOrdenes[[#This Row],[backlog_habiles]]&lt;0,"FUTURO",IF(tblOrdenes[[#This Row],[backlog_habiles]]&gt;p_dias_backlog_max,"BACKLOG","MES CORRIENTE")))</f>
        <v/>
      </c>
      <c r="AD1193" s="3">
        <f>IF(tblOrdenes[[#This Row],[backlog_habiles]]="",FALSE,AND(tblOrdenes[[#This Row],[backlog_habiles]]&gt;p_dias_backlog_min,tblOrdenes[[#This Row],[backlog_habiles]]&lt;=p_dias_backlog_max))</f>
        <v/>
      </c>
      <c r="AE1193" s="6" t="n"/>
      <c r="AF11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3" s="11">
        <f>IF(tblOrdenes[[#This Row],[orden]]="","",_xlfn.XLOOKUP(tblOrdenes[[#This Row],[id_operacion]],tblEjecucion[id_operacion],tblEjecucion[precio],0))</f>
        <v/>
      </c>
      <c r="AJ1193" s="11">
        <f>IF(tblOrdenes[[#This Row],[orden]]="","",MAX(0,_xlfn.XLOOKUP(tblOrdenes[[#This Row],[id_operacion]],tblEjecucion[id_operacion],tblEjecucion[costo_plan_total],0)-tblOrdenes[[#This Row],[costo_servicio]]))</f>
        <v/>
      </c>
      <c r="AK1193" s="11">
        <f>IF(tblOrdenes[[#This Row],[orden]]="","",tblOrdenes[[#This Row],[costo_servicio]]+tblOrdenes[[#This Row],[costo_materiales]])</f>
        <v/>
      </c>
      <c r="AL1193" s="6" t="n"/>
      <c r="AM1193" s="6" t="n"/>
      <c r="AN1193" s="6" t="n"/>
      <c r="AO1193" s="3">
        <f>IF(tblOrdenes[[#This Row],[link_checklist]]="","",HYPERLINK(p_ruta_base_checklists&amp;tblOrdenes[[#This Row],[link_checklist]],"abrir"))</f>
        <v/>
      </c>
      <c r="AP1193" s="6" t="n"/>
      <c r="AQ1193" s="3">
        <f>IF(tblOrdenes[[#This Row],[orden]]="","",tblOrdenes[[#This Row],[orden]]&amp;IF(tblOrdenes[[#This Row],[operacion]]="","0010",tblOrdenes[[#This Row],[operacion]]))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2" t="n"/>
      <c r="K1194" s="3" t="n"/>
      <c r="L1194" s="11" t="n"/>
      <c r="M11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4" s="3">
        <f>IF(tblOrdenes[[#This Row],[fecha_inicio]]="","",YEAR(tblOrdenes[[#This Row],[fecha_inicio]]))</f>
        <v/>
      </c>
      <c r="Q1194" s="3">
        <f>IF(tblOrdenes[[#This Row],[fecha_inicio]]="","",MONTH(tblOrdenes[[#This Row],[fecha_inicio]]))</f>
        <v/>
      </c>
      <c r="R1194" s="3">
        <f>IF(tblOrdenes[[#This Row],[fecha_inicio]]="","",INDEX(lista_dias,WEEKDAY(tblOrdenes[[#This Row],[fecha_inicio]],2)))</f>
        <v/>
      </c>
      <c r="S11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4" s="3">
        <f>IF(tblOrdenes[[#This Row],[tipo_ot]]="","",_xlfn.XLOOKUP(tblOrdenes[[#This Row],[tipo_ot]],tblTiposOT[codigo],tblTiposOT[clasificacion],"sin_clasificar"))</f>
        <v/>
      </c>
      <c r="U1194" s="3">
        <f>IF(tblOrdenes[[#This Row],[centro_costo]]="","",_xlfn.XLOOKUP(tblOrdenes[[#This Row],[centro_costo]],tblCECO[codigo],tblCECO[linea],"(sin catálogo)"))</f>
        <v/>
      </c>
      <c r="V1194" s="3">
        <f>IF(tblOrdenes[[#This Row],[centro_costo]]="","",_xlfn.XLOOKUP(tblOrdenes[[#This Row],[centro_costo]],tblCECO[codigo],tblCECO[area],"(sin catálogo)"))</f>
        <v/>
      </c>
      <c r="W11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4" s="3">
        <f>IF(tblOrdenes[[#This Row],[centro_costo]]="","",_xlfn.XLOOKUP(tblOrdenes[[#This Row],[centro_costo]],tblCECO[codigo],tblCECO[coordinador],"(sin catálogo)"))</f>
        <v/>
      </c>
      <c r="Y1194" s="3">
        <f>IF(tblOrdenes[[#This Row],[puesto_trabajo]]="","",_xlfn.XLOOKUP(tblOrdenes[[#This Row],[puesto_trabajo]],tblPuestos[codigo],tblPuestos[especialidad],"(sin catálogo)"))</f>
        <v/>
      </c>
      <c r="Z1194" s="3">
        <f>IF(tblOrdenes[[#This Row],[cod_actividad]]="","",_xlfn.XLOOKUP(tblOrdenes[[#This Row],[cod_actividad]],tblActividades[codigo],tblActividades[descripcion],"(sin catálogo)"))</f>
        <v/>
      </c>
      <c r="AA1194" s="13">
        <f>IF(tblOrdenes[[#This Row],[fecha_inicio]]="","",TODAY()-tblOrdenes[[#This Row],[fecha_inicio]])</f>
        <v/>
      </c>
      <c r="AB11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4" s="3">
        <f>IF(tblOrdenes[[#This Row],[backlog_habiles]]="","",IF(tblOrdenes[[#This Row],[backlog_habiles]]&lt;0,"FUTURO",IF(tblOrdenes[[#This Row],[backlog_habiles]]&gt;p_dias_backlog_max,"BACKLOG","MES CORRIENTE")))</f>
        <v/>
      </c>
      <c r="AD1194" s="3">
        <f>IF(tblOrdenes[[#This Row],[backlog_habiles]]="",FALSE,AND(tblOrdenes[[#This Row],[backlog_habiles]]&gt;p_dias_backlog_min,tblOrdenes[[#This Row],[backlog_habiles]]&lt;=p_dias_backlog_max))</f>
        <v/>
      </c>
      <c r="AE1194" s="6" t="n"/>
      <c r="AF11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4" s="11">
        <f>IF(tblOrdenes[[#This Row],[orden]]="","",_xlfn.XLOOKUP(tblOrdenes[[#This Row],[id_operacion]],tblEjecucion[id_operacion],tblEjecucion[precio],0))</f>
        <v/>
      </c>
      <c r="AJ1194" s="11">
        <f>IF(tblOrdenes[[#This Row],[orden]]="","",MAX(0,_xlfn.XLOOKUP(tblOrdenes[[#This Row],[id_operacion]],tblEjecucion[id_operacion],tblEjecucion[costo_plan_total],0)-tblOrdenes[[#This Row],[costo_servicio]]))</f>
        <v/>
      </c>
      <c r="AK1194" s="11">
        <f>IF(tblOrdenes[[#This Row],[orden]]="","",tblOrdenes[[#This Row],[costo_servicio]]+tblOrdenes[[#This Row],[costo_materiales]])</f>
        <v/>
      </c>
      <c r="AL1194" s="6" t="n"/>
      <c r="AM1194" s="6" t="n"/>
      <c r="AN1194" s="6" t="n"/>
      <c r="AO1194" s="3">
        <f>IF(tblOrdenes[[#This Row],[link_checklist]]="","",HYPERLINK(p_ruta_base_checklists&amp;tblOrdenes[[#This Row],[link_checklist]],"abrir"))</f>
        <v/>
      </c>
      <c r="AP1194" s="6" t="n"/>
      <c r="AQ1194" s="3">
        <f>IF(tblOrdenes[[#This Row],[orden]]="","",tblOrdenes[[#This Row],[orden]]&amp;IF(tblOrdenes[[#This Row],[operacion]]="","0010",tblOrdenes[[#This Row],[operacion]]))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2" t="n"/>
      <c r="K1195" s="3" t="n"/>
      <c r="L1195" s="11" t="n"/>
      <c r="M11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5" s="3">
        <f>IF(tblOrdenes[[#This Row],[fecha_inicio]]="","",YEAR(tblOrdenes[[#This Row],[fecha_inicio]]))</f>
        <v/>
      </c>
      <c r="Q1195" s="3">
        <f>IF(tblOrdenes[[#This Row],[fecha_inicio]]="","",MONTH(tblOrdenes[[#This Row],[fecha_inicio]]))</f>
        <v/>
      </c>
      <c r="R1195" s="3">
        <f>IF(tblOrdenes[[#This Row],[fecha_inicio]]="","",INDEX(lista_dias,WEEKDAY(tblOrdenes[[#This Row],[fecha_inicio]],2)))</f>
        <v/>
      </c>
      <c r="S11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5" s="3">
        <f>IF(tblOrdenes[[#This Row],[tipo_ot]]="","",_xlfn.XLOOKUP(tblOrdenes[[#This Row],[tipo_ot]],tblTiposOT[codigo],tblTiposOT[clasificacion],"sin_clasificar"))</f>
        <v/>
      </c>
      <c r="U1195" s="3">
        <f>IF(tblOrdenes[[#This Row],[centro_costo]]="","",_xlfn.XLOOKUP(tblOrdenes[[#This Row],[centro_costo]],tblCECO[codigo],tblCECO[linea],"(sin catálogo)"))</f>
        <v/>
      </c>
      <c r="V1195" s="3">
        <f>IF(tblOrdenes[[#This Row],[centro_costo]]="","",_xlfn.XLOOKUP(tblOrdenes[[#This Row],[centro_costo]],tblCECO[codigo],tblCECO[area],"(sin catálogo)"))</f>
        <v/>
      </c>
      <c r="W11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5" s="3">
        <f>IF(tblOrdenes[[#This Row],[centro_costo]]="","",_xlfn.XLOOKUP(tblOrdenes[[#This Row],[centro_costo]],tblCECO[codigo],tblCECO[coordinador],"(sin catálogo)"))</f>
        <v/>
      </c>
      <c r="Y1195" s="3">
        <f>IF(tblOrdenes[[#This Row],[puesto_trabajo]]="","",_xlfn.XLOOKUP(tblOrdenes[[#This Row],[puesto_trabajo]],tblPuestos[codigo],tblPuestos[especialidad],"(sin catálogo)"))</f>
        <v/>
      </c>
      <c r="Z1195" s="3">
        <f>IF(tblOrdenes[[#This Row],[cod_actividad]]="","",_xlfn.XLOOKUP(tblOrdenes[[#This Row],[cod_actividad]],tblActividades[codigo],tblActividades[descripcion],"(sin catálogo)"))</f>
        <v/>
      </c>
      <c r="AA1195" s="13">
        <f>IF(tblOrdenes[[#This Row],[fecha_inicio]]="","",TODAY()-tblOrdenes[[#This Row],[fecha_inicio]])</f>
        <v/>
      </c>
      <c r="AB11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5" s="3">
        <f>IF(tblOrdenes[[#This Row],[backlog_habiles]]="","",IF(tblOrdenes[[#This Row],[backlog_habiles]]&lt;0,"FUTURO",IF(tblOrdenes[[#This Row],[backlog_habiles]]&gt;p_dias_backlog_max,"BACKLOG","MES CORRIENTE")))</f>
        <v/>
      </c>
      <c r="AD1195" s="3">
        <f>IF(tblOrdenes[[#This Row],[backlog_habiles]]="",FALSE,AND(tblOrdenes[[#This Row],[backlog_habiles]]&gt;p_dias_backlog_min,tblOrdenes[[#This Row],[backlog_habiles]]&lt;=p_dias_backlog_max))</f>
        <v/>
      </c>
      <c r="AE1195" s="6" t="n"/>
      <c r="AF11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5" s="11">
        <f>IF(tblOrdenes[[#This Row],[orden]]="","",_xlfn.XLOOKUP(tblOrdenes[[#This Row],[id_operacion]],tblEjecucion[id_operacion],tblEjecucion[precio],0))</f>
        <v/>
      </c>
      <c r="AJ1195" s="11">
        <f>IF(tblOrdenes[[#This Row],[orden]]="","",MAX(0,_xlfn.XLOOKUP(tblOrdenes[[#This Row],[id_operacion]],tblEjecucion[id_operacion],tblEjecucion[costo_plan_total],0)-tblOrdenes[[#This Row],[costo_servicio]]))</f>
        <v/>
      </c>
      <c r="AK1195" s="11">
        <f>IF(tblOrdenes[[#This Row],[orden]]="","",tblOrdenes[[#This Row],[costo_servicio]]+tblOrdenes[[#This Row],[costo_materiales]])</f>
        <v/>
      </c>
      <c r="AL1195" s="6" t="n"/>
      <c r="AM1195" s="6" t="n"/>
      <c r="AN1195" s="6" t="n"/>
      <c r="AO1195" s="3">
        <f>IF(tblOrdenes[[#This Row],[link_checklist]]="","",HYPERLINK(p_ruta_base_checklists&amp;tblOrdenes[[#This Row],[link_checklist]],"abrir"))</f>
        <v/>
      </c>
      <c r="AP1195" s="6" t="n"/>
      <c r="AQ1195" s="3">
        <f>IF(tblOrdenes[[#This Row],[orden]]="","",tblOrdenes[[#This Row],[orden]]&amp;IF(tblOrdenes[[#This Row],[operacion]]="","0010",tblOrdenes[[#This Row],[operacion]]))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2" t="n"/>
      <c r="K1196" s="3" t="n"/>
      <c r="L1196" s="11" t="n"/>
      <c r="M11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6" s="3">
        <f>IF(tblOrdenes[[#This Row],[fecha_inicio]]="","",YEAR(tblOrdenes[[#This Row],[fecha_inicio]]))</f>
        <v/>
      </c>
      <c r="Q1196" s="3">
        <f>IF(tblOrdenes[[#This Row],[fecha_inicio]]="","",MONTH(tblOrdenes[[#This Row],[fecha_inicio]]))</f>
        <v/>
      </c>
      <c r="R1196" s="3">
        <f>IF(tblOrdenes[[#This Row],[fecha_inicio]]="","",INDEX(lista_dias,WEEKDAY(tblOrdenes[[#This Row],[fecha_inicio]],2)))</f>
        <v/>
      </c>
      <c r="S11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6" s="3">
        <f>IF(tblOrdenes[[#This Row],[tipo_ot]]="","",_xlfn.XLOOKUP(tblOrdenes[[#This Row],[tipo_ot]],tblTiposOT[codigo],tblTiposOT[clasificacion],"sin_clasificar"))</f>
        <v/>
      </c>
      <c r="U1196" s="3">
        <f>IF(tblOrdenes[[#This Row],[centro_costo]]="","",_xlfn.XLOOKUP(tblOrdenes[[#This Row],[centro_costo]],tblCECO[codigo],tblCECO[linea],"(sin catálogo)"))</f>
        <v/>
      </c>
      <c r="V1196" s="3">
        <f>IF(tblOrdenes[[#This Row],[centro_costo]]="","",_xlfn.XLOOKUP(tblOrdenes[[#This Row],[centro_costo]],tblCECO[codigo],tblCECO[area],"(sin catálogo)"))</f>
        <v/>
      </c>
      <c r="W11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6" s="3">
        <f>IF(tblOrdenes[[#This Row],[centro_costo]]="","",_xlfn.XLOOKUP(tblOrdenes[[#This Row],[centro_costo]],tblCECO[codigo],tblCECO[coordinador],"(sin catálogo)"))</f>
        <v/>
      </c>
      <c r="Y1196" s="3">
        <f>IF(tblOrdenes[[#This Row],[puesto_trabajo]]="","",_xlfn.XLOOKUP(tblOrdenes[[#This Row],[puesto_trabajo]],tblPuestos[codigo],tblPuestos[especialidad],"(sin catálogo)"))</f>
        <v/>
      </c>
      <c r="Z1196" s="3">
        <f>IF(tblOrdenes[[#This Row],[cod_actividad]]="","",_xlfn.XLOOKUP(tblOrdenes[[#This Row],[cod_actividad]],tblActividades[codigo],tblActividades[descripcion],"(sin catálogo)"))</f>
        <v/>
      </c>
      <c r="AA1196" s="13">
        <f>IF(tblOrdenes[[#This Row],[fecha_inicio]]="","",TODAY()-tblOrdenes[[#This Row],[fecha_inicio]])</f>
        <v/>
      </c>
      <c r="AB11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6" s="3">
        <f>IF(tblOrdenes[[#This Row],[backlog_habiles]]="","",IF(tblOrdenes[[#This Row],[backlog_habiles]]&lt;0,"FUTURO",IF(tblOrdenes[[#This Row],[backlog_habiles]]&gt;p_dias_backlog_max,"BACKLOG","MES CORRIENTE")))</f>
        <v/>
      </c>
      <c r="AD1196" s="3">
        <f>IF(tblOrdenes[[#This Row],[backlog_habiles]]="",FALSE,AND(tblOrdenes[[#This Row],[backlog_habiles]]&gt;p_dias_backlog_min,tblOrdenes[[#This Row],[backlog_habiles]]&lt;=p_dias_backlog_max))</f>
        <v/>
      </c>
      <c r="AE1196" s="6" t="n"/>
      <c r="AF11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6" s="11">
        <f>IF(tblOrdenes[[#This Row],[orden]]="","",_xlfn.XLOOKUP(tblOrdenes[[#This Row],[id_operacion]],tblEjecucion[id_operacion],tblEjecucion[precio],0))</f>
        <v/>
      </c>
      <c r="AJ1196" s="11">
        <f>IF(tblOrdenes[[#This Row],[orden]]="","",MAX(0,_xlfn.XLOOKUP(tblOrdenes[[#This Row],[id_operacion]],tblEjecucion[id_operacion],tblEjecucion[costo_plan_total],0)-tblOrdenes[[#This Row],[costo_servicio]]))</f>
        <v/>
      </c>
      <c r="AK1196" s="11">
        <f>IF(tblOrdenes[[#This Row],[orden]]="","",tblOrdenes[[#This Row],[costo_servicio]]+tblOrdenes[[#This Row],[costo_materiales]])</f>
        <v/>
      </c>
      <c r="AL1196" s="6" t="n"/>
      <c r="AM1196" s="6" t="n"/>
      <c r="AN1196" s="6" t="n"/>
      <c r="AO1196" s="3">
        <f>IF(tblOrdenes[[#This Row],[link_checklist]]="","",HYPERLINK(p_ruta_base_checklists&amp;tblOrdenes[[#This Row],[link_checklist]],"abrir"))</f>
        <v/>
      </c>
      <c r="AP1196" s="6" t="n"/>
      <c r="AQ1196" s="3">
        <f>IF(tblOrdenes[[#This Row],[orden]]="","",tblOrdenes[[#This Row],[orden]]&amp;IF(tblOrdenes[[#This Row],[operacion]]="","0010",tblOrdenes[[#This Row],[operacion]]))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2" t="n"/>
      <c r="K1197" s="3" t="n"/>
      <c r="L1197" s="11" t="n"/>
      <c r="M11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7" s="3">
        <f>IF(tblOrdenes[[#This Row],[fecha_inicio]]="","",YEAR(tblOrdenes[[#This Row],[fecha_inicio]]))</f>
        <v/>
      </c>
      <c r="Q1197" s="3">
        <f>IF(tblOrdenes[[#This Row],[fecha_inicio]]="","",MONTH(tblOrdenes[[#This Row],[fecha_inicio]]))</f>
        <v/>
      </c>
      <c r="R1197" s="3">
        <f>IF(tblOrdenes[[#This Row],[fecha_inicio]]="","",INDEX(lista_dias,WEEKDAY(tblOrdenes[[#This Row],[fecha_inicio]],2)))</f>
        <v/>
      </c>
      <c r="S11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7" s="3">
        <f>IF(tblOrdenes[[#This Row],[tipo_ot]]="","",_xlfn.XLOOKUP(tblOrdenes[[#This Row],[tipo_ot]],tblTiposOT[codigo],tblTiposOT[clasificacion],"sin_clasificar"))</f>
        <v/>
      </c>
      <c r="U1197" s="3">
        <f>IF(tblOrdenes[[#This Row],[centro_costo]]="","",_xlfn.XLOOKUP(tblOrdenes[[#This Row],[centro_costo]],tblCECO[codigo],tblCECO[linea],"(sin catálogo)"))</f>
        <v/>
      </c>
      <c r="V1197" s="3">
        <f>IF(tblOrdenes[[#This Row],[centro_costo]]="","",_xlfn.XLOOKUP(tblOrdenes[[#This Row],[centro_costo]],tblCECO[codigo],tblCECO[area],"(sin catálogo)"))</f>
        <v/>
      </c>
      <c r="W11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7" s="3">
        <f>IF(tblOrdenes[[#This Row],[centro_costo]]="","",_xlfn.XLOOKUP(tblOrdenes[[#This Row],[centro_costo]],tblCECO[codigo],tblCECO[coordinador],"(sin catálogo)"))</f>
        <v/>
      </c>
      <c r="Y1197" s="3">
        <f>IF(tblOrdenes[[#This Row],[puesto_trabajo]]="","",_xlfn.XLOOKUP(tblOrdenes[[#This Row],[puesto_trabajo]],tblPuestos[codigo],tblPuestos[especialidad],"(sin catálogo)"))</f>
        <v/>
      </c>
      <c r="Z1197" s="3">
        <f>IF(tblOrdenes[[#This Row],[cod_actividad]]="","",_xlfn.XLOOKUP(tblOrdenes[[#This Row],[cod_actividad]],tblActividades[codigo],tblActividades[descripcion],"(sin catálogo)"))</f>
        <v/>
      </c>
      <c r="AA1197" s="13">
        <f>IF(tblOrdenes[[#This Row],[fecha_inicio]]="","",TODAY()-tblOrdenes[[#This Row],[fecha_inicio]])</f>
        <v/>
      </c>
      <c r="AB11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7" s="3">
        <f>IF(tblOrdenes[[#This Row],[backlog_habiles]]="","",IF(tblOrdenes[[#This Row],[backlog_habiles]]&lt;0,"FUTURO",IF(tblOrdenes[[#This Row],[backlog_habiles]]&gt;p_dias_backlog_max,"BACKLOG","MES CORRIENTE")))</f>
        <v/>
      </c>
      <c r="AD1197" s="3">
        <f>IF(tblOrdenes[[#This Row],[backlog_habiles]]="",FALSE,AND(tblOrdenes[[#This Row],[backlog_habiles]]&gt;p_dias_backlog_min,tblOrdenes[[#This Row],[backlog_habiles]]&lt;=p_dias_backlog_max))</f>
        <v/>
      </c>
      <c r="AE1197" s="6" t="n"/>
      <c r="AF11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7" s="11">
        <f>IF(tblOrdenes[[#This Row],[orden]]="","",_xlfn.XLOOKUP(tblOrdenes[[#This Row],[id_operacion]],tblEjecucion[id_operacion],tblEjecucion[precio],0))</f>
        <v/>
      </c>
      <c r="AJ1197" s="11">
        <f>IF(tblOrdenes[[#This Row],[orden]]="","",MAX(0,_xlfn.XLOOKUP(tblOrdenes[[#This Row],[id_operacion]],tblEjecucion[id_operacion],tblEjecucion[costo_plan_total],0)-tblOrdenes[[#This Row],[costo_servicio]]))</f>
        <v/>
      </c>
      <c r="AK1197" s="11">
        <f>IF(tblOrdenes[[#This Row],[orden]]="","",tblOrdenes[[#This Row],[costo_servicio]]+tblOrdenes[[#This Row],[costo_materiales]])</f>
        <v/>
      </c>
      <c r="AL1197" s="6" t="n"/>
      <c r="AM1197" s="6" t="n"/>
      <c r="AN1197" s="6" t="n"/>
      <c r="AO1197" s="3">
        <f>IF(tblOrdenes[[#This Row],[link_checklist]]="","",HYPERLINK(p_ruta_base_checklists&amp;tblOrdenes[[#This Row],[link_checklist]],"abrir"))</f>
        <v/>
      </c>
      <c r="AP1197" s="6" t="n"/>
      <c r="AQ1197" s="3">
        <f>IF(tblOrdenes[[#This Row],[orden]]="","",tblOrdenes[[#This Row],[orden]]&amp;IF(tblOrdenes[[#This Row],[operacion]]="","0010",tblOrdenes[[#This Row],[operacion]]))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2" t="n"/>
      <c r="K1198" s="3" t="n"/>
      <c r="L1198" s="11" t="n"/>
      <c r="M11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8" s="3">
        <f>IF(tblOrdenes[[#This Row],[fecha_inicio]]="","",YEAR(tblOrdenes[[#This Row],[fecha_inicio]]))</f>
        <v/>
      </c>
      <c r="Q1198" s="3">
        <f>IF(tblOrdenes[[#This Row],[fecha_inicio]]="","",MONTH(tblOrdenes[[#This Row],[fecha_inicio]]))</f>
        <v/>
      </c>
      <c r="R1198" s="3">
        <f>IF(tblOrdenes[[#This Row],[fecha_inicio]]="","",INDEX(lista_dias,WEEKDAY(tblOrdenes[[#This Row],[fecha_inicio]],2)))</f>
        <v/>
      </c>
      <c r="S11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8" s="3">
        <f>IF(tblOrdenes[[#This Row],[tipo_ot]]="","",_xlfn.XLOOKUP(tblOrdenes[[#This Row],[tipo_ot]],tblTiposOT[codigo],tblTiposOT[clasificacion],"sin_clasificar"))</f>
        <v/>
      </c>
      <c r="U1198" s="3">
        <f>IF(tblOrdenes[[#This Row],[centro_costo]]="","",_xlfn.XLOOKUP(tblOrdenes[[#This Row],[centro_costo]],tblCECO[codigo],tblCECO[linea],"(sin catálogo)"))</f>
        <v/>
      </c>
      <c r="V1198" s="3">
        <f>IF(tblOrdenes[[#This Row],[centro_costo]]="","",_xlfn.XLOOKUP(tblOrdenes[[#This Row],[centro_costo]],tblCECO[codigo],tblCECO[area],"(sin catálogo)"))</f>
        <v/>
      </c>
      <c r="W11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8" s="3">
        <f>IF(tblOrdenes[[#This Row],[centro_costo]]="","",_xlfn.XLOOKUP(tblOrdenes[[#This Row],[centro_costo]],tblCECO[codigo],tblCECO[coordinador],"(sin catálogo)"))</f>
        <v/>
      </c>
      <c r="Y1198" s="3">
        <f>IF(tblOrdenes[[#This Row],[puesto_trabajo]]="","",_xlfn.XLOOKUP(tblOrdenes[[#This Row],[puesto_trabajo]],tblPuestos[codigo],tblPuestos[especialidad],"(sin catálogo)"))</f>
        <v/>
      </c>
      <c r="Z1198" s="3">
        <f>IF(tblOrdenes[[#This Row],[cod_actividad]]="","",_xlfn.XLOOKUP(tblOrdenes[[#This Row],[cod_actividad]],tblActividades[codigo],tblActividades[descripcion],"(sin catálogo)"))</f>
        <v/>
      </c>
      <c r="AA1198" s="13">
        <f>IF(tblOrdenes[[#This Row],[fecha_inicio]]="","",TODAY()-tblOrdenes[[#This Row],[fecha_inicio]])</f>
        <v/>
      </c>
      <c r="AB11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8" s="3">
        <f>IF(tblOrdenes[[#This Row],[backlog_habiles]]="","",IF(tblOrdenes[[#This Row],[backlog_habiles]]&lt;0,"FUTURO",IF(tblOrdenes[[#This Row],[backlog_habiles]]&gt;p_dias_backlog_max,"BACKLOG","MES CORRIENTE")))</f>
        <v/>
      </c>
      <c r="AD1198" s="3">
        <f>IF(tblOrdenes[[#This Row],[backlog_habiles]]="",FALSE,AND(tblOrdenes[[#This Row],[backlog_habiles]]&gt;p_dias_backlog_min,tblOrdenes[[#This Row],[backlog_habiles]]&lt;=p_dias_backlog_max))</f>
        <v/>
      </c>
      <c r="AE1198" s="6" t="n"/>
      <c r="AF11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8" s="11">
        <f>IF(tblOrdenes[[#This Row],[orden]]="","",_xlfn.XLOOKUP(tblOrdenes[[#This Row],[id_operacion]],tblEjecucion[id_operacion],tblEjecucion[precio],0))</f>
        <v/>
      </c>
      <c r="AJ1198" s="11">
        <f>IF(tblOrdenes[[#This Row],[orden]]="","",MAX(0,_xlfn.XLOOKUP(tblOrdenes[[#This Row],[id_operacion]],tblEjecucion[id_operacion],tblEjecucion[costo_plan_total],0)-tblOrdenes[[#This Row],[costo_servicio]]))</f>
        <v/>
      </c>
      <c r="AK1198" s="11">
        <f>IF(tblOrdenes[[#This Row],[orden]]="","",tblOrdenes[[#This Row],[costo_servicio]]+tblOrdenes[[#This Row],[costo_materiales]])</f>
        <v/>
      </c>
      <c r="AL1198" s="6" t="n"/>
      <c r="AM1198" s="6" t="n"/>
      <c r="AN1198" s="6" t="n"/>
      <c r="AO1198" s="3">
        <f>IF(tblOrdenes[[#This Row],[link_checklist]]="","",HYPERLINK(p_ruta_base_checklists&amp;tblOrdenes[[#This Row],[link_checklist]],"abrir"))</f>
        <v/>
      </c>
      <c r="AP1198" s="6" t="n"/>
      <c r="AQ1198" s="3">
        <f>IF(tblOrdenes[[#This Row],[orden]]="","",tblOrdenes[[#This Row],[orden]]&amp;IF(tblOrdenes[[#This Row],[operacion]]="","0010",tblOrdenes[[#This Row],[operacion]]))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2" t="n"/>
      <c r="K1199" s="3" t="n"/>
      <c r="L1199" s="11" t="n"/>
      <c r="M11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9" s="3">
        <f>IF(tblOrdenes[[#This Row],[fecha_inicio]]="","",YEAR(tblOrdenes[[#This Row],[fecha_inicio]]))</f>
        <v/>
      </c>
      <c r="Q1199" s="3">
        <f>IF(tblOrdenes[[#This Row],[fecha_inicio]]="","",MONTH(tblOrdenes[[#This Row],[fecha_inicio]]))</f>
        <v/>
      </c>
      <c r="R1199" s="3">
        <f>IF(tblOrdenes[[#This Row],[fecha_inicio]]="","",INDEX(lista_dias,WEEKDAY(tblOrdenes[[#This Row],[fecha_inicio]],2)))</f>
        <v/>
      </c>
      <c r="S11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9" s="3">
        <f>IF(tblOrdenes[[#This Row],[tipo_ot]]="","",_xlfn.XLOOKUP(tblOrdenes[[#This Row],[tipo_ot]],tblTiposOT[codigo],tblTiposOT[clasificacion],"sin_clasificar"))</f>
        <v/>
      </c>
      <c r="U1199" s="3">
        <f>IF(tblOrdenes[[#This Row],[centro_costo]]="","",_xlfn.XLOOKUP(tblOrdenes[[#This Row],[centro_costo]],tblCECO[codigo],tblCECO[linea],"(sin catálogo)"))</f>
        <v/>
      </c>
      <c r="V1199" s="3">
        <f>IF(tblOrdenes[[#This Row],[centro_costo]]="","",_xlfn.XLOOKUP(tblOrdenes[[#This Row],[centro_costo]],tblCECO[codigo],tblCECO[area],"(sin catálogo)"))</f>
        <v/>
      </c>
      <c r="W11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9" s="3">
        <f>IF(tblOrdenes[[#This Row],[centro_costo]]="","",_xlfn.XLOOKUP(tblOrdenes[[#This Row],[centro_costo]],tblCECO[codigo],tblCECO[coordinador],"(sin catálogo)"))</f>
        <v/>
      </c>
      <c r="Y1199" s="3">
        <f>IF(tblOrdenes[[#This Row],[puesto_trabajo]]="","",_xlfn.XLOOKUP(tblOrdenes[[#This Row],[puesto_trabajo]],tblPuestos[codigo],tblPuestos[especialidad],"(sin catálogo)"))</f>
        <v/>
      </c>
      <c r="Z1199" s="3">
        <f>IF(tblOrdenes[[#This Row],[cod_actividad]]="","",_xlfn.XLOOKUP(tblOrdenes[[#This Row],[cod_actividad]],tblActividades[codigo],tblActividades[descripcion],"(sin catálogo)"))</f>
        <v/>
      </c>
      <c r="AA1199" s="13">
        <f>IF(tblOrdenes[[#This Row],[fecha_inicio]]="","",TODAY()-tblOrdenes[[#This Row],[fecha_inicio]])</f>
        <v/>
      </c>
      <c r="AB11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9" s="3">
        <f>IF(tblOrdenes[[#This Row],[backlog_habiles]]="","",IF(tblOrdenes[[#This Row],[backlog_habiles]]&lt;0,"FUTURO",IF(tblOrdenes[[#This Row],[backlog_habiles]]&gt;p_dias_backlog_max,"BACKLOG","MES CORRIENTE")))</f>
        <v/>
      </c>
      <c r="AD1199" s="3">
        <f>IF(tblOrdenes[[#This Row],[backlog_habiles]]="",FALSE,AND(tblOrdenes[[#This Row],[backlog_habiles]]&gt;p_dias_backlog_min,tblOrdenes[[#This Row],[backlog_habiles]]&lt;=p_dias_backlog_max))</f>
        <v/>
      </c>
      <c r="AE1199" s="6" t="n"/>
      <c r="AF11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9" s="11">
        <f>IF(tblOrdenes[[#This Row],[orden]]="","",_xlfn.XLOOKUP(tblOrdenes[[#This Row],[id_operacion]],tblEjecucion[id_operacion],tblEjecucion[precio],0))</f>
        <v/>
      </c>
      <c r="AJ1199" s="11">
        <f>IF(tblOrdenes[[#This Row],[orden]]="","",MAX(0,_xlfn.XLOOKUP(tblOrdenes[[#This Row],[id_operacion]],tblEjecucion[id_operacion],tblEjecucion[costo_plan_total],0)-tblOrdenes[[#This Row],[costo_servicio]]))</f>
        <v/>
      </c>
      <c r="AK1199" s="11">
        <f>IF(tblOrdenes[[#This Row],[orden]]="","",tblOrdenes[[#This Row],[costo_servicio]]+tblOrdenes[[#This Row],[costo_materiales]])</f>
        <v/>
      </c>
      <c r="AL1199" s="6" t="n"/>
      <c r="AM1199" s="6" t="n"/>
      <c r="AN1199" s="6" t="n"/>
      <c r="AO1199" s="3">
        <f>IF(tblOrdenes[[#This Row],[link_checklist]]="","",HYPERLINK(p_ruta_base_checklists&amp;tblOrdenes[[#This Row],[link_checklist]],"abrir"))</f>
        <v/>
      </c>
      <c r="AP1199" s="6" t="n"/>
      <c r="AQ1199" s="3">
        <f>IF(tblOrdenes[[#This Row],[orden]]="","",tblOrdenes[[#This Row],[orden]]&amp;IF(tblOrdenes[[#This Row],[operacion]]="","0010",tblOrdenes[[#This Row],[operacion]]))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2" t="n"/>
      <c r="K1200" s="3" t="n"/>
      <c r="L1200" s="11" t="n"/>
      <c r="M12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0" s="3">
        <f>IF(tblOrdenes[[#This Row],[fecha_inicio]]="","",YEAR(tblOrdenes[[#This Row],[fecha_inicio]]))</f>
        <v/>
      </c>
      <c r="Q1200" s="3">
        <f>IF(tblOrdenes[[#This Row],[fecha_inicio]]="","",MONTH(tblOrdenes[[#This Row],[fecha_inicio]]))</f>
        <v/>
      </c>
      <c r="R1200" s="3">
        <f>IF(tblOrdenes[[#This Row],[fecha_inicio]]="","",INDEX(lista_dias,WEEKDAY(tblOrdenes[[#This Row],[fecha_inicio]],2)))</f>
        <v/>
      </c>
      <c r="S12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0" s="3">
        <f>IF(tblOrdenes[[#This Row],[tipo_ot]]="","",_xlfn.XLOOKUP(tblOrdenes[[#This Row],[tipo_ot]],tblTiposOT[codigo],tblTiposOT[clasificacion],"sin_clasificar"))</f>
        <v/>
      </c>
      <c r="U1200" s="3">
        <f>IF(tblOrdenes[[#This Row],[centro_costo]]="","",_xlfn.XLOOKUP(tblOrdenes[[#This Row],[centro_costo]],tblCECO[codigo],tblCECO[linea],"(sin catálogo)"))</f>
        <v/>
      </c>
      <c r="V1200" s="3">
        <f>IF(tblOrdenes[[#This Row],[centro_costo]]="","",_xlfn.XLOOKUP(tblOrdenes[[#This Row],[centro_costo]],tblCECO[codigo],tblCECO[area],"(sin catálogo)"))</f>
        <v/>
      </c>
      <c r="W12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0" s="3">
        <f>IF(tblOrdenes[[#This Row],[centro_costo]]="","",_xlfn.XLOOKUP(tblOrdenes[[#This Row],[centro_costo]],tblCECO[codigo],tblCECO[coordinador],"(sin catálogo)"))</f>
        <v/>
      </c>
      <c r="Y1200" s="3">
        <f>IF(tblOrdenes[[#This Row],[puesto_trabajo]]="","",_xlfn.XLOOKUP(tblOrdenes[[#This Row],[puesto_trabajo]],tblPuestos[codigo],tblPuestos[especialidad],"(sin catálogo)"))</f>
        <v/>
      </c>
      <c r="Z1200" s="3">
        <f>IF(tblOrdenes[[#This Row],[cod_actividad]]="","",_xlfn.XLOOKUP(tblOrdenes[[#This Row],[cod_actividad]],tblActividades[codigo],tblActividades[descripcion],"(sin catálogo)"))</f>
        <v/>
      </c>
      <c r="AA1200" s="13">
        <f>IF(tblOrdenes[[#This Row],[fecha_inicio]]="","",TODAY()-tblOrdenes[[#This Row],[fecha_inicio]])</f>
        <v/>
      </c>
      <c r="AB12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0" s="3">
        <f>IF(tblOrdenes[[#This Row],[backlog_habiles]]="","",IF(tblOrdenes[[#This Row],[backlog_habiles]]&lt;0,"FUTURO",IF(tblOrdenes[[#This Row],[backlog_habiles]]&gt;p_dias_backlog_max,"BACKLOG","MES CORRIENTE")))</f>
        <v/>
      </c>
      <c r="AD1200" s="3">
        <f>IF(tblOrdenes[[#This Row],[backlog_habiles]]="",FALSE,AND(tblOrdenes[[#This Row],[backlog_habiles]]&gt;p_dias_backlog_min,tblOrdenes[[#This Row],[backlog_habiles]]&lt;=p_dias_backlog_max))</f>
        <v/>
      </c>
      <c r="AE1200" s="6" t="n"/>
      <c r="AF12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0" s="11">
        <f>IF(tblOrdenes[[#This Row],[orden]]="","",_xlfn.XLOOKUP(tblOrdenes[[#This Row],[id_operacion]],tblEjecucion[id_operacion],tblEjecucion[precio],0))</f>
        <v/>
      </c>
      <c r="AJ1200" s="11">
        <f>IF(tblOrdenes[[#This Row],[orden]]="","",MAX(0,_xlfn.XLOOKUP(tblOrdenes[[#This Row],[id_operacion]],tblEjecucion[id_operacion],tblEjecucion[costo_plan_total],0)-tblOrdenes[[#This Row],[costo_servicio]]))</f>
        <v/>
      </c>
      <c r="AK1200" s="11">
        <f>IF(tblOrdenes[[#This Row],[orden]]="","",tblOrdenes[[#This Row],[costo_servicio]]+tblOrdenes[[#This Row],[costo_materiales]])</f>
        <v/>
      </c>
      <c r="AL1200" s="6" t="n"/>
      <c r="AM1200" s="6" t="n"/>
      <c r="AN1200" s="6" t="n"/>
      <c r="AO1200" s="3">
        <f>IF(tblOrdenes[[#This Row],[link_checklist]]="","",HYPERLINK(p_ruta_base_checklists&amp;tblOrdenes[[#This Row],[link_checklist]],"abrir"))</f>
        <v/>
      </c>
      <c r="AP1200" s="6" t="n"/>
      <c r="AQ1200" s="3">
        <f>IF(tblOrdenes[[#This Row],[orden]]="","",tblOrdenes[[#This Row],[orden]]&amp;IF(tblOrdenes[[#This Row],[operacion]]="","0010",tblOrdenes[[#This Row],[operacion]]))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2" t="n"/>
      <c r="K1201" s="3" t="n"/>
      <c r="L1201" s="11" t="n"/>
      <c r="M12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1" s="3">
        <f>IF(tblOrdenes[[#This Row],[fecha_inicio]]="","",YEAR(tblOrdenes[[#This Row],[fecha_inicio]]))</f>
        <v/>
      </c>
      <c r="Q1201" s="3">
        <f>IF(tblOrdenes[[#This Row],[fecha_inicio]]="","",MONTH(tblOrdenes[[#This Row],[fecha_inicio]]))</f>
        <v/>
      </c>
      <c r="R1201" s="3">
        <f>IF(tblOrdenes[[#This Row],[fecha_inicio]]="","",INDEX(lista_dias,WEEKDAY(tblOrdenes[[#This Row],[fecha_inicio]],2)))</f>
        <v/>
      </c>
      <c r="S12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1" s="3">
        <f>IF(tblOrdenes[[#This Row],[tipo_ot]]="","",_xlfn.XLOOKUP(tblOrdenes[[#This Row],[tipo_ot]],tblTiposOT[codigo],tblTiposOT[clasificacion],"sin_clasificar"))</f>
        <v/>
      </c>
      <c r="U1201" s="3">
        <f>IF(tblOrdenes[[#This Row],[centro_costo]]="","",_xlfn.XLOOKUP(tblOrdenes[[#This Row],[centro_costo]],tblCECO[codigo],tblCECO[linea],"(sin catálogo)"))</f>
        <v/>
      </c>
      <c r="V1201" s="3">
        <f>IF(tblOrdenes[[#This Row],[centro_costo]]="","",_xlfn.XLOOKUP(tblOrdenes[[#This Row],[centro_costo]],tblCECO[codigo],tblCECO[area],"(sin catálogo)"))</f>
        <v/>
      </c>
      <c r="W12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1" s="3">
        <f>IF(tblOrdenes[[#This Row],[centro_costo]]="","",_xlfn.XLOOKUP(tblOrdenes[[#This Row],[centro_costo]],tblCECO[codigo],tblCECO[coordinador],"(sin catálogo)"))</f>
        <v/>
      </c>
      <c r="Y1201" s="3">
        <f>IF(tblOrdenes[[#This Row],[puesto_trabajo]]="","",_xlfn.XLOOKUP(tblOrdenes[[#This Row],[puesto_trabajo]],tblPuestos[codigo],tblPuestos[especialidad],"(sin catálogo)"))</f>
        <v/>
      </c>
      <c r="Z1201" s="3">
        <f>IF(tblOrdenes[[#This Row],[cod_actividad]]="","",_xlfn.XLOOKUP(tblOrdenes[[#This Row],[cod_actividad]],tblActividades[codigo],tblActividades[descripcion],"(sin catálogo)"))</f>
        <v/>
      </c>
      <c r="AA1201" s="13">
        <f>IF(tblOrdenes[[#This Row],[fecha_inicio]]="","",TODAY()-tblOrdenes[[#This Row],[fecha_inicio]])</f>
        <v/>
      </c>
      <c r="AB12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1" s="3">
        <f>IF(tblOrdenes[[#This Row],[backlog_habiles]]="","",IF(tblOrdenes[[#This Row],[backlog_habiles]]&lt;0,"FUTURO",IF(tblOrdenes[[#This Row],[backlog_habiles]]&gt;p_dias_backlog_max,"BACKLOG","MES CORRIENTE")))</f>
        <v/>
      </c>
      <c r="AD1201" s="3">
        <f>IF(tblOrdenes[[#This Row],[backlog_habiles]]="",FALSE,AND(tblOrdenes[[#This Row],[backlog_habiles]]&gt;p_dias_backlog_min,tblOrdenes[[#This Row],[backlog_habiles]]&lt;=p_dias_backlog_max))</f>
        <v/>
      </c>
      <c r="AE1201" s="6" t="n"/>
      <c r="AF12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1" s="11">
        <f>IF(tblOrdenes[[#This Row],[orden]]="","",_xlfn.XLOOKUP(tblOrdenes[[#This Row],[id_operacion]],tblEjecucion[id_operacion],tblEjecucion[precio],0))</f>
        <v/>
      </c>
      <c r="AJ1201" s="11">
        <f>IF(tblOrdenes[[#This Row],[orden]]="","",MAX(0,_xlfn.XLOOKUP(tblOrdenes[[#This Row],[id_operacion]],tblEjecucion[id_operacion],tblEjecucion[costo_plan_total],0)-tblOrdenes[[#This Row],[costo_servicio]]))</f>
        <v/>
      </c>
      <c r="AK1201" s="11">
        <f>IF(tblOrdenes[[#This Row],[orden]]="","",tblOrdenes[[#This Row],[costo_servicio]]+tblOrdenes[[#This Row],[costo_materiales]])</f>
        <v/>
      </c>
      <c r="AL1201" s="6" t="n"/>
      <c r="AM1201" s="6" t="n"/>
      <c r="AN1201" s="6" t="n"/>
      <c r="AO1201" s="3">
        <f>IF(tblOrdenes[[#This Row],[link_checklist]]="","",HYPERLINK(p_ruta_base_checklists&amp;tblOrdenes[[#This Row],[link_checklist]],"abrir"))</f>
        <v/>
      </c>
      <c r="AP1201" s="6" t="n"/>
      <c r="AQ1201" s="3">
        <f>IF(tblOrdenes[[#This Row],[orden]]="","",tblOrdenes[[#This Row],[orden]]&amp;IF(tblOrdenes[[#This Row],[operacion]]="","0010",tblOrdenes[[#This Row],[operacion]]))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2" t="n"/>
      <c r="K1202" s="3" t="n"/>
      <c r="L1202" s="11" t="n"/>
      <c r="M12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2" s="3">
        <f>IF(tblOrdenes[[#This Row],[fecha_inicio]]="","",YEAR(tblOrdenes[[#This Row],[fecha_inicio]]))</f>
        <v/>
      </c>
      <c r="Q1202" s="3">
        <f>IF(tblOrdenes[[#This Row],[fecha_inicio]]="","",MONTH(tblOrdenes[[#This Row],[fecha_inicio]]))</f>
        <v/>
      </c>
      <c r="R1202" s="3">
        <f>IF(tblOrdenes[[#This Row],[fecha_inicio]]="","",INDEX(lista_dias,WEEKDAY(tblOrdenes[[#This Row],[fecha_inicio]],2)))</f>
        <v/>
      </c>
      <c r="S12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2" s="3">
        <f>IF(tblOrdenes[[#This Row],[tipo_ot]]="","",_xlfn.XLOOKUP(tblOrdenes[[#This Row],[tipo_ot]],tblTiposOT[codigo],tblTiposOT[clasificacion],"sin_clasificar"))</f>
        <v/>
      </c>
      <c r="U1202" s="3">
        <f>IF(tblOrdenes[[#This Row],[centro_costo]]="","",_xlfn.XLOOKUP(tblOrdenes[[#This Row],[centro_costo]],tblCECO[codigo],tblCECO[linea],"(sin catálogo)"))</f>
        <v/>
      </c>
      <c r="V1202" s="3">
        <f>IF(tblOrdenes[[#This Row],[centro_costo]]="","",_xlfn.XLOOKUP(tblOrdenes[[#This Row],[centro_costo]],tblCECO[codigo],tblCECO[area],"(sin catálogo)"))</f>
        <v/>
      </c>
      <c r="W12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2" s="3">
        <f>IF(tblOrdenes[[#This Row],[centro_costo]]="","",_xlfn.XLOOKUP(tblOrdenes[[#This Row],[centro_costo]],tblCECO[codigo],tblCECO[coordinador],"(sin catálogo)"))</f>
        <v/>
      </c>
      <c r="Y1202" s="3">
        <f>IF(tblOrdenes[[#This Row],[puesto_trabajo]]="","",_xlfn.XLOOKUP(tblOrdenes[[#This Row],[puesto_trabajo]],tblPuestos[codigo],tblPuestos[especialidad],"(sin catálogo)"))</f>
        <v/>
      </c>
      <c r="Z1202" s="3">
        <f>IF(tblOrdenes[[#This Row],[cod_actividad]]="","",_xlfn.XLOOKUP(tblOrdenes[[#This Row],[cod_actividad]],tblActividades[codigo],tblActividades[descripcion],"(sin catálogo)"))</f>
        <v/>
      </c>
      <c r="AA1202" s="13">
        <f>IF(tblOrdenes[[#This Row],[fecha_inicio]]="","",TODAY()-tblOrdenes[[#This Row],[fecha_inicio]])</f>
        <v/>
      </c>
      <c r="AB12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2" s="3">
        <f>IF(tblOrdenes[[#This Row],[backlog_habiles]]="","",IF(tblOrdenes[[#This Row],[backlog_habiles]]&lt;0,"FUTURO",IF(tblOrdenes[[#This Row],[backlog_habiles]]&gt;p_dias_backlog_max,"BACKLOG","MES CORRIENTE")))</f>
        <v/>
      </c>
      <c r="AD1202" s="3">
        <f>IF(tblOrdenes[[#This Row],[backlog_habiles]]="",FALSE,AND(tblOrdenes[[#This Row],[backlog_habiles]]&gt;p_dias_backlog_min,tblOrdenes[[#This Row],[backlog_habiles]]&lt;=p_dias_backlog_max))</f>
        <v/>
      </c>
      <c r="AE1202" s="6" t="n"/>
      <c r="AF12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2" s="11">
        <f>IF(tblOrdenes[[#This Row],[orden]]="","",_xlfn.XLOOKUP(tblOrdenes[[#This Row],[id_operacion]],tblEjecucion[id_operacion],tblEjecucion[precio],0))</f>
        <v/>
      </c>
      <c r="AJ1202" s="11">
        <f>IF(tblOrdenes[[#This Row],[orden]]="","",MAX(0,_xlfn.XLOOKUP(tblOrdenes[[#This Row],[id_operacion]],tblEjecucion[id_operacion],tblEjecucion[costo_plan_total],0)-tblOrdenes[[#This Row],[costo_servicio]]))</f>
        <v/>
      </c>
      <c r="AK1202" s="11">
        <f>IF(tblOrdenes[[#This Row],[orden]]="","",tblOrdenes[[#This Row],[costo_servicio]]+tblOrdenes[[#This Row],[costo_materiales]])</f>
        <v/>
      </c>
      <c r="AL1202" s="6" t="n"/>
      <c r="AM1202" s="6" t="n"/>
      <c r="AN1202" s="6" t="n"/>
      <c r="AO1202" s="3">
        <f>IF(tblOrdenes[[#This Row],[link_checklist]]="","",HYPERLINK(p_ruta_base_checklists&amp;tblOrdenes[[#This Row],[link_checklist]],"abrir"))</f>
        <v/>
      </c>
      <c r="AP1202" s="6" t="n"/>
      <c r="AQ1202" s="3">
        <f>IF(tblOrdenes[[#This Row],[orden]]="","",tblOrdenes[[#This Row],[orden]]&amp;IF(tblOrdenes[[#This Row],[operacion]]="","0010",tblOrdenes[[#This Row],[operacion]]))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2" t="n"/>
      <c r="K1203" s="3" t="n"/>
      <c r="L1203" s="11" t="n"/>
      <c r="M12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3" s="3">
        <f>IF(tblOrdenes[[#This Row],[fecha_inicio]]="","",YEAR(tblOrdenes[[#This Row],[fecha_inicio]]))</f>
        <v/>
      </c>
      <c r="Q1203" s="3">
        <f>IF(tblOrdenes[[#This Row],[fecha_inicio]]="","",MONTH(tblOrdenes[[#This Row],[fecha_inicio]]))</f>
        <v/>
      </c>
      <c r="R1203" s="3">
        <f>IF(tblOrdenes[[#This Row],[fecha_inicio]]="","",INDEX(lista_dias,WEEKDAY(tblOrdenes[[#This Row],[fecha_inicio]],2)))</f>
        <v/>
      </c>
      <c r="S12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3" s="3">
        <f>IF(tblOrdenes[[#This Row],[tipo_ot]]="","",_xlfn.XLOOKUP(tblOrdenes[[#This Row],[tipo_ot]],tblTiposOT[codigo],tblTiposOT[clasificacion],"sin_clasificar"))</f>
        <v/>
      </c>
      <c r="U1203" s="3">
        <f>IF(tblOrdenes[[#This Row],[centro_costo]]="","",_xlfn.XLOOKUP(tblOrdenes[[#This Row],[centro_costo]],tblCECO[codigo],tblCECO[linea],"(sin catálogo)"))</f>
        <v/>
      </c>
      <c r="V1203" s="3">
        <f>IF(tblOrdenes[[#This Row],[centro_costo]]="","",_xlfn.XLOOKUP(tblOrdenes[[#This Row],[centro_costo]],tblCECO[codigo],tblCECO[area],"(sin catálogo)"))</f>
        <v/>
      </c>
      <c r="W12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3" s="3">
        <f>IF(tblOrdenes[[#This Row],[centro_costo]]="","",_xlfn.XLOOKUP(tblOrdenes[[#This Row],[centro_costo]],tblCECO[codigo],tblCECO[coordinador],"(sin catálogo)"))</f>
        <v/>
      </c>
      <c r="Y1203" s="3">
        <f>IF(tblOrdenes[[#This Row],[puesto_trabajo]]="","",_xlfn.XLOOKUP(tblOrdenes[[#This Row],[puesto_trabajo]],tblPuestos[codigo],tblPuestos[especialidad],"(sin catálogo)"))</f>
        <v/>
      </c>
      <c r="Z1203" s="3">
        <f>IF(tblOrdenes[[#This Row],[cod_actividad]]="","",_xlfn.XLOOKUP(tblOrdenes[[#This Row],[cod_actividad]],tblActividades[codigo],tblActividades[descripcion],"(sin catálogo)"))</f>
        <v/>
      </c>
      <c r="AA1203" s="13">
        <f>IF(tblOrdenes[[#This Row],[fecha_inicio]]="","",TODAY()-tblOrdenes[[#This Row],[fecha_inicio]])</f>
        <v/>
      </c>
      <c r="AB12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3" s="3">
        <f>IF(tblOrdenes[[#This Row],[backlog_habiles]]="","",IF(tblOrdenes[[#This Row],[backlog_habiles]]&lt;0,"FUTURO",IF(tblOrdenes[[#This Row],[backlog_habiles]]&gt;p_dias_backlog_max,"BACKLOG","MES CORRIENTE")))</f>
        <v/>
      </c>
      <c r="AD1203" s="3">
        <f>IF(tblOrdenes[[#This Row],[backlog_habiles]]="",FALSE,AND(tblOrdenes[[#This Row],[backlog_habiles]]&gt;p_dias_backlog_min,tblOrdenes[[#This Row],[backlog_habiles]]&lt;=p_dias_backlog_max))</f>
        <v/>
      </c>
      <c r="AE1203" s="6" t="n"/>
      <c r="AF12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3" s="11">
        <f>IF(tblOrdenes[[#This Row],[orden]]="","",_xlfn.XLOOKUP(tblOrdenes[[#This Row],[id_operacion]],tblEjecucion[id_operacion],tblEjecucion[precio],0))</f>
        <v/>
      </c>
      <c r="AJ1203" s="11">
        <f>IF(tblOrdenes[[#This Row],[orden]]="","",MAX(0,_xlfn.XLOOKUP(tblOrdenes[[#This Row],[id_operacion]],tblEjecucion[id_operacion],tblEjecucion[costo_plan_total],0)-tblOrdenes[[#This Row],[costo_servicio]]))</f>
        <v/>
      </c>
      <c r="AK1203" s="11">
        <f>IF(tblOrdenes[[#This Row],[orden]]="","",tblOrdenes[[#This Row],[costo_servicio]]+tblOrdenes[[#This Row],[costo_materiales]])</f>
        <v/>
      </c>
      <c r="AL1203" s="6" t="n"/>
      <c r="AM1203" s="6" t="n"/>
      <c r="AN1203" s="6" t="n"/>
      <c r="AO1203" s="3">
        <f>IF(tblOrdenes[[#This Row],[link_checklist]]="","",HYPERLINK(p_ruta_base_checklists&amp;tblOrdenes[[#This Row],[link_checklist]],"abrir"))</f>
        <v/>
      </c>
      <c r="AP1203" s="6" t="n"/>
      <c r="AQ1203" s="3">
        <f>IF(tblOrdenes[[#This Row],[orden]]="","",tblOrdenes[[#This Row],[orden]]&amp;IF(tblOrdenes[[#This Row],[operacion]]="","0010",tblOrdenes[[#This Row],[operacion]]))</f>
        <v/>
      </c>
    </row>
  </sheetData>
  <conditionalFormatting sqref="AA4:AA1203">
    <cfRule type="cellIs" priority="1" operator="greaterThan" dxfId="0">
      <formula>90</formula>
    </cfRule>
  </conditionalFormatting>
  <conditionalFormatting sqref="AE4:AE1203">
    <cfRule type="expression" priority="2" dxfId="1">
      <formula>AND($AD4=TRUE,$AE4="")</formula>
    </cfRule>
  </conditionalFormatting>
  <conditionalFormatting sqref="AH4:AH1203">
    <cfRule type="cellIs" priority="3" operator="lessThan" dxfId="0">
      <formula>0</formula>
    </cfRule>
  </conditionalFormatting>
  <dataValidations count="1">
    <dataValidation sqref="AE4:AE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9" customWidth="1" min="6" max="6"/>
    <col width="14" customWidth="1" min="7" max="7"/>
    <col width="8" customWidth="1" min="8" max="8"/>
  </cols>
  <sheetData>
    <row r="1">
      <c r="A1" s="4" t="inlineStr">
        <is>
          <t>TECNICOS (tblTecnicos) — catálogo editable de personal propio. 6.3: rotativo (sí/no) y orden_rotacion (1..N por especialidad×área entre rotativos) alimentan la rotación. 6.6: supervisor fijo del técnico.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supervisor</t>
        </is>
      </c>
      <c r="F3" s="5" t="inlineStr">
        <is>
          <t>rotativo</t>
        </is>
      </c>
      <c r="G3" s="5" t="inlineStr">
        <is>
          <t>orden_rotacion</t>
        </is>
      </c>
      <c r="H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Supervisor Mecánico</t>
        </is>
      </c>
      <c r="F4" s="6" t="inlineStr">
        <is>
          <t>SI</t>
        </is>
      </c>
      <c r="G4" s="6" t="n">
        <v>1</v>
      </c>
      <c r="H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Supervisor Mecánico</t>
        </is>
      </c>
      <c r="F5" s="6" t="inlineStr">
        <is>
          <t>SI</t>
        </is>
      </c>
      <c r="G5" s="6" t="n">
        <v>2</v>
      </c>
      <c r="H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PRODUCCION</t>
        </is>
      </c>
      <c r="E6" s="6" t="inlineStr">
        <is>
          <t>Supervisor Mecánico</t>
        </is>
      </c>
      <c r="F6" s="6" t="inlineStr">
        <is>
          <t>SI</t>
        </is>
      </c>
      <c r="G6" s="6" t="n">
        <v>3</v>
      </c>
      <c r="H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PRODUCCION</t>
        </is>
      </c>
      <c r="E7" s="6" t="inlineStr">
        <is>
          <t>Supervisor Mecánico</t>
        </is>
      </c>
      <c r="F7" s="6" t="inlineStr">
        <is>
          <t>SI</t>
        </is>
      </c>
      <c r="G7" s="6" t="n">
        <v>4</v>
      </c>
      <c r="H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MEC</t>
        </is>
      </c>
      <c r="D8" s="6" t="inlineStr">
        <is>
          <t>PRODUCCION</t>
        </is>
      </c>
      <c r="E8" s="6" t="inlineStr">
        <is>
          <t>Supervisor Mecánico</t>
        </is>
      </c>
      <c r="F8" s="6" t="inlineStr">
        <is>
          <t>SI</t>
        </is>
      </c>
      <c r="G8" s="6" t="n">
        <v>5</v>
      </c>
      <c r="H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MEC</t>
        </is>
      </c>
      <c r="D9" s="6" t="inlineStr">
        <is>
          <t>PRODUCCION</t>
        </is>
      </c>
      <c r="E9" s="6" t="inlineStr">
        <is>
          <t>Supervisor Mecánico</t>
        </is>
      </c>
      <c r="F9" s="6" t="inlineStr">
        <is>
          <t>SI</t>
        </is>
      </c>
      <c r="G9" s="6" t="n">
        <v>6</v>
      </c>
      <c r="H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MEC</t>
        </is>
      </c>
      <c r="D10" s="6" t="inlineStr">
        <is>
          <t>PRODUCCION</t>
        </is>
      </c>
      <c r="E10" s="6" t="inlineStr">
        <is>
          <t>Supervisor Mecánico</t>
        </is>
      </c>
      <c r="F10" s="6" t="inlineStr">
        <is>
          <t>SI</t>
        </is>
      </c>
      <c r="G10" s="6" t="n">
        <v>7</v>
      </c>
      <c r="H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ELE</t>
        </is>
      </c>
      <c r="D11" s="6" t="inlineStr">
        <is>
          <t>PRODUCCION</t>
        </is>
      </c>
      <c r="E11" s="6" t="inlineStr">
        <is>
          <t>Supervisor Eléctrico</t>
        </is>
      </c>
      <c r="F11" s="6" t="inlineStr">
        <is>
          <t>SI</t>
        </is>
      </c>
      <c r="G11" s="6" t="n">
        <v>1</v>
      </c>
      <c r="H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ELE</t>
        </is>
      </c>
      <c r="D12" s="6" t="inlineStr">
        <is>
          <t>PRODUCCION</t>
        </is>
      </c>
      <c r="E12" s="6" t="inlineStr">
        <is>
          <t>Supervisor Eléctrico</t>
        </is>
      </c>
      <c r="F12" s="6" t="inlineStr">
        <is>
          <t>SI</t>
        </is>
      </c>
      <c r="G12" s="6" t="n">
        <v>2</v>
      </c>
      <c r="H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ELE</t>
        </is>
      </c>
      <c r="D13" s="6" t="inlineStr">
        <is>
          <t>PRODUCCION</t>
        </is>
      </c>
      <c r="E13" s="6" t="inlineStr">
        <is>
          <t>Supervisor Eléctrico</t>
        </is>
      </c>
      <c r="F13" s="6" t="inlineStr">
        <is>
          <t>SI</t>
        </is>
      </c>
      <c r="G13" s="6" t="n">
        <v>3</v>
      </c>
      <c r="H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ELE</t>
        </is>
      </c>
      <c r="D14" s="6" t="inlineStr">
        <is>
          <t>PRODUCCION</t>
        </is>
      </c>
      <c r="E14" s="6" t="inlineStr">
        <is>
          <t>Supervisor Eléctrico</t>
        </is>
      </c>
      <c r="F14" s="6" t="inlineStr">
        <is>
          <t>SI</t>
        </is>
      </c>
      <c r="G14" s="6" t="n">
        <v>4</v>
      </c>
      <c r="H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ELE</t>
        </is>
      </c>
      <c r="D15" s="6" t="inlineStr">
        <is>
          <t>PRODUCCION</t>
        </is>
      </c>
      <c r="E15" s="6" t="inlineStr">
        <is>
          <t>Supervisor Eléctrico</t>
        </is>
      </c>
      <c r="F15" s="6" t="inlineStr">
        <is>
          <t>SI</t>
        </is>
      </c>
      <c r="G15" s="6" t="n">
        <v>5</v>
      </c>
      <c r="H15" s="6" t="inlineStr">
        <is>
          <t>SI</t>
        </is>
      </c>
    </row>
    <row r="16">
      <c r="A16" s="6" t="inlineStr">
        <is>
          <t>TEC-13</t>
        </is>
      </c>
      <c r="B16" s="6" t="inlineStr">
        <is>
          <t>Técnico 13</t>
        </is>
      </c>
      <c r="C16" s="6" t="inlineStr">
        <is>
          <t>ELE</t>
        </is>
      </c>
      <c r="D16" s="6" t="inlineStr">
        <is>
          <t>PRODUCCION</t>
        </is>
      </c>
      <c r="E16" s="6" t="inlineStr">
        <is>
          <t>Supervisor Eléctrico</t>
        </is>
      </c>
      <c r="F16" s="6" t="inlineStr">
        <is>
          <t>SI</t>
        </is>
      </c>
      <c r="G16" s="6" t="n">
        <v>6</v>
      </c>
      <c r="H16" s="6" t="inlineStr">
        <is>
          <t>SI</t>
        </is>
      </c>
    </row>
    <row r="17">
      <c r="A17" s="6" t="inlineStr">
        <is>
          <t>TEC-14</t>
        </is>
      </c>
      <c r="B17" s="6" t="inlineStr">
        <is>
          <t>Técnico 14</t>
        </is>
      </c>
      <c r="C17" s="6" t="inlineStr">
        <is>
          <t>ELE</t>
        </is>
      </c>
      <c r="D17" s="6" t="inlineStr">
        <is>
          <t>PRODUCCION</t>
        </is>
      </c>
      <c r="E17" s="6" t="inlineStr">
        <is>
          <t>Supervisor Eléctrico</t>
        </is>
      </c>
      <c r="F17" s="6" t="inlineStr">
        <is>
          <t>SI</t>
        </is>
      </c>
      <c r="G17" s="6" t="n">
        <v>7</v>
      </c>
      <c r="H17" s="6" t="inlineStr">
        <is>
          <t>SI</t>
        </is>
      </c>
    </row>
    <row r="18">
      <c r="A18" s="6" t="inlineStr">
        <is>
          <t>TEC-15</t>
        </is>
      </c>
      <c r="B18" s="6" t="inlineStr">
        <is>
          <t>Técnico 15</t>
        </is>
      </c>
      <c r="C18" s="6" t="inlineStr">
        <is>
          <t>AUT</t>
        </is>
      </c>
      <c r="D18" s="6" t="inlineStr">
        <is>
          <t>PRODUCCION</t>
        </is>
      </c>
      <c r="E18" s="6" t="inlineStr">
        <is>
          <t>Jefe de Automatización</t>
        </is>
      </c>
      <c r="F18" s="6" t="inlineStr">
        <is>
          <t>NO</t>
        </is>
      </c>
      <c r="G18" s="6" t="inlineStr"/>
      <c r="H18" s="6" t="inlineStr">
        <is>
          <t>SI</t>
        </is>
      </c>
    </row>
    <row r="19">
      <c r="A19" s="6" t="inlineStr">
        <is>
          <t>TEC-16</t>
        </is>
      </c>
      <c r="B19" s="6" t="inlineStr">
        <is>
          <t>Técnico 16</t>
        </is>
      </c>
      <c r="C19" s="6" t="inlineStr">
        <is>
          <t>AUT</t>
        </is>
      </c>
      <c r="D19" s="6" t="inlineStr">
        <is>
          <t>PRODUCCION</t>
        </is>
      </c>
      <c r="E19" s="6" t="inlineStr">
        <is>
          <t>Jefe de Automatización</t>
        </is>
      </c>
      <c r="F19" s="6" t="inlineStr">
        <is>
          <t>NO</t>
        </is>
      </c>
      <c r="G19" s="6" t="inlineStr"/>
      <c r="H19" s="6" t="inlineStr">
        <is>
          <t>SI</t>
        </is>
      </c>
    </row>
  </sheetData>
  <dataValidations count="3">
    <dataValidation sqref="C4:C19" showDropDown="0" showInputMessage="0" showErrorMessage="0" allowBlank="0" type="list">
      <formula1>"ELE,MEC,AUT"</formula1>
    </dataValidation>
    <dataValidation sqref="F4:F19 H4:H19" showDropDown="0" showInputMessage="0" showErrorMessage="0" allowBlank="0" type="list">
      <formula1>"SI,NO"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4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n_ciclo</t>
        </is>
      </c>
      <c r="G3" s="5" t="inlineStr">
        <is>
          <t>posicion_ciclo</t>
        </is>
      </c>
      <c r="H3" s="5" t="inlineStr">
        <is>
          <t>en_vacaciones</t>
        </is>
      </c>
      <c r="I3" s="5" t="inlineStr">
        <is>
          <t>turno_manual</t>
        </is>
      </c>
      <c r="J3" s="5" t="inlineStr">
        <is>
          <t>turno</t>
        </is>
      </c>
      <c r="K3" s="5" t="inlineStr">
        <is>
          <t>supervisor</t>
        </is>
      </c>
      <c r="L3" s="5" t="inlineStr">
        <is>
          <t>fecha</t>
        </is>
      </c>
      <c r="M3" s="5" t="inlineStr">
        <is>
          <t>horas_disponibles</t>
        </is>
      </c>
      <c r="N3" s="5" t="inlineStr">
        <is>
          <t>clave</t>
        </is>
      </c>
      <c r="O3" s="5" t="inlineStr">
        <is>
          <t>hora_inicio</t>
        </is>
      </c>
      <c r="P3" s="5" t="inlineStr">
        <is>
          <t>hora_fin</t>
        </is>
      </c>
      <c r="Q3" s="5" t="inlineStr">
        <is>
          <t>trabaja_domingo</t>
        </is>
      </c>
    </row>
    <row r="4">
      <c r="A4" s="3" t="inlineStr">
        <is>
          <t>2026-S30</t>
        </is>
      </c>
      <c r="B4" s="3" t="inlineStr">
        <is>
          <t>lunes</t>
        </is>
      </c>
      <c r="C4" s="3" t="inlineStr">
        <is>
          <t>Técnico 01</t>
        </is>
      </c>
      <c r="D4" s="3">
        <f>_xlfn.XLOOKUP(tblAsignaciones[[#This Row],[tecnico]],tblTecnicos[nombre],tblTecnicos[area],"")</f>
        <v/>
      </c>
      <c r="E4" s="3">
        <f>_xlfn.XLOOKUP(tblAsignaciones[[#This Row],[tecnico]],tblTecnicos[nombre],tblTecnicos[especialidad],"")</f>
        <v/>
      </c>
      <c r="F4" s="3">
        <f>COUNTIFS(tblTecnicos[rotativo],"SI",tblTecnicos[especialidad],tblAsignaciones[[#This Row],[especialidad]],tblTecnicos[area],tblAsignaciones[[#This Row],[area]])</f>
        <v/>
      </c>
      <c r="G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" s="6" t="n"/>
      <c r="J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" s="3">
        <f>_xlfn.XLOOKUP(tblAsignaciones[[#This Row],[tecnico]],tblTecnicos[nombre],tblTecnicos[supervisor],"")</f>
        <v/>
      </c>
      <c r="L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" s="3">
        <f>tblAsignaciones[[#This Row],[semana]]&amp;"|"&amp;tblAsignaciones[[#This Row],[dia]]&amp;"|"&amp;tblAsignaciones[[#This Row],[tecnico]]</f>
        <v/>
      </c>
      <c r="O4" s="3">
        <f>_xlfn.XLOOKUP(tblAsignaciones[[#This Row],[turno]],tblTurnos[turno],tblTurnos[hora_inicio],"")</f>
        <v/>
      </c>
      <c r="P4" s="3">
        <f>_xlfn.XLOOKUP(tblAsignaciones[[#This Row],[turno]],tblTurnos[turno],tblTurnos[hora_fin],"")</f>
        <v/>
      </c>
      <c r="Q4" s="3">
        <f>IF(AND(LEFT(tblAsignaciones[[#This Row],[posicion_ciclo]],1)="T",tblAsignaciones[[#This Row],[en_vacaciones]]="no"),"sí","no")</f>
        <v/>
      </c>
    </row>
    <row r="5">
      <c r="A5" s="3" t="inlineStr">
        <is>
          <t>2026-S30</t>
        </is>
      </c>
      <c r="B5" s="3" t="inlineStr">
        <is>
          <t>martes</t>
        </is>
      </c>
      <c r="C5" s="3" t="inlineStr">
        <is>
          <t>Técnico 01</t>
        </is>
      </c>
      <c r="D5" s="3">
        <f>_xlfn.XLOOKUP(tblAsignaciones[[#This Row],[tecnico]],tblTecnicos[nombre],tblTecnicos[area],"")</f>
        <v/>
      </c>
      <c r="E5" s="3">
        <f>_xlfn.XLOOKUP(tblAsignaciones[[#This Row],[tecnico]],tblTecnicos[nombre],tblTecnicos[especialidad],"")</f>
        <v/>
      </c>
      <c r="F5" s="3">
        <f>COUNTIFS(tblTecnicos[rotativo],"SI",tblTecnicos[especialidad],tblAsignaciones[[#This Row],[especialidad]],tblTecnicos[area],tblAsignaciones[[#This Row],[area]])</f>
        <v/>
      </c>
      <c r="G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" s="6" t="n"/>
      <c r="J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" s="3">
        <f>_xlfn.XLOOKUP(tblAsignaciones[[#This Row],[tecnico]],tblTecnicos[nombre],tblTecnicos[supervisor],"")</f>
        <v/>
      </c>
      <c r="L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" s="3">
        <f>tblAsignaciones[[#This Row],[semana]]&amp;"|"&amp;tblAsignaciones[[#This Row],[dia]]&amp;"|"&amp;tblAsignaciones[[#This Row],[tecnico]]</f>
        <v/>
      </c>
      <c r="O5" s="3">
        <f>_xlfn.XLOOKUP(tblAsignaciones[[#This Row],[turno]],tblTurnos[turno],tblTurnos[hora_inicio],"")</f>
        <v/>
      </c>
      <c r="P5" s="3">
        <f>_xlfn.XLOOKUP(tblAsignaciones[[#This Row],[turno]],tblTurnos[turno],tblTurnos[hora_fin],"")</f>
        <v/>
      </c>
      <c r="Q5" s="3">
        <f>IF(AND(LEFT(tblAsignaciones[[#This Row],[posicion_ciclo]],1)="T",tblAsignaciones[[#This Row],[en_vacaciones]]="no"),"sí","no")</f>
        <v/>
      </c>
    </row>
    <row r="6">
      <c r="A6" s="3" t="inlineStr">
        <is>
          <t>2026-S30</t>
        </is>
      </c>
      <c r="B6" s="3" t="inlineStr">
        <is>
          <t>miércoles</t>
        </is>
      </c>
      <c r="C6" s="3" t="inlineStr">
        <is>
          <t>Técnico 01</t>
        </is>
      </c>
      <c r="D6" s="3">
        <f>_xlfn.XLOOKUP(tblAsignaciones[[#This Row],[tecnico]],tblTecnicos[nombre],tblTecnicos[area],"")</f>
        <v/>
      </c>
      <c r="E6" s="3">
        <f>_xlfn.XLOOKUP(tblAsignaciones[[#This Row],[tecnico]],tblTecnicos[nombre],tblTecnicos[especialidad],"")</f>
        <v/>
      </c>
      <c r="F6" s="3">
        <f>COUNTIFS(tblTecnicos[rotativo],"SI",tblTecnicos[especialidad],tblAsignaciones[[#This Row],[especialidad]],tblTecnicos[area],tblAsignaciones[[#This Row],[area]])</f>
        <v/>
      </c>
      <c r="G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" s="6" t="n"/>
      <c r="J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" s="3">
        <f>_xlfn.XLOOKUP(tblAsignaciones[[#This Row],[tecnico]],tblTecnicos[nombre],tblTecnicos[supervisor],"")</f>
        <v/>
      </c>
      <c r="L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" s="3">
        <f>tblAsignaciones[[#This Row],[semana]]&amp;"|"&amp;tblAsignaciones[[#This Row],[dia]]&amp;"|"&amp;tblAsignaciones[[#This Row],[tecnico]]</f>
        <v/>
      </c>
      <c r="O6" s="3">
        <f>_xlfn.XLOOKUP(tblAsignaciones[[#This Row],[turno]],tblTurnos[turno],tblTurnos[hora_inicio],"")</f>
        <v/>
      </c>
      <c r="P6" s="3">
        <f>_xlfn.XLOOKUP(tblAsignaciones[[#This Row],[turno]],tblTurnos[turno],tblTurnos[hora_fin],"")</f>
        <v/>
      </c>
      <c r="Q6" s="3">
        <f>IF(AND(LEFT(tblAsignaciones[[#This Row],[posicion_ciclo]],1)="T",tblAsignaciones[[#This Row],[en_vacaciones]]="no"),"sí","no")</f>
        <v/>
      </c>
    </row>
    <row r="7">
      <c r="A7" s="3" t="inlineStr">
        <is>
          <t>2026-S30</t>
        </is>
      </c>
      <c r="B7" s="3" t="inlineStr">
        <is>
          <t>jueves</t>
        </is>
      </c>
      <c r="C7" s="3" t="inlineStr">
        <is>
          <t>Técnico 01</t>
        </is>
      </c>
      <c r="D7" s="3">
        <f>_xlfn.XLOOKUP(tblAsignaciones[[#This Row],[tecnico]],tblTecnicos[nombre],tblTecnicos[area],"")</f>
        <v/>
      </c>
      <c r="E7" s="3">
        <f>_xlfn.XLOOKUP(tblAsignaciones[[#This Row],[tecnico]],tblTecnicos[nombre],tblTecnicos[especialidad],"")</f>
        <v/>
      </c>
      <c r="F7" s="3">
        <f>COUNTIFS(tblTecnicos[rotativo],"SI",tblTecnicos[especialidad],tblAsignaciones[[#This Row],[especialidad]],tblTecnicos[area],tblAsignaciones[[#This Row],[area]])</f>
        <v/>
      </c>
      <c r="G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" s="6" t="n"/>
      <c r="J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" s="3">
        <f>_xlfn.XLOOKUP(tblAsignaciones[[#This Row],[tecnico]],tblTecnicos[nombre],tblTecnicos[supervisor],"")</f>
        <v/>
      </c>
      <c r="L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" s="3">
        <f>tblAsignaciones[[#This Row],[semana]]&amp;"|"&amp;tblAsignaciones[[#This Row],[dia]]&amp;"|"&amp;tblAsignaciones[[#This Row],[tecnico]]</f>
        <v/>
      </c>
      <c r="O7" s="3">
        <f>_xlfn.XLOOKUP(tblAsignaciones[[#This Row],[turno]],tblTurnos[turno],tblTurnos[hora_inicio],"")</f>
        <v/>
      </c>
      <c r="P7" s="3">
        <f>_xlfn.XLOOKUP(tblAsignaciones[[#This Row],[turno]],tblTurnos[turno],tblTurnos[hora_fin],"")</f>
        <v/>
      </c>
      <c r="Q7" s="3">
        <f>IF(AND(LEFT(tblAsignaciones[[#This Row],[posicion_ciclo]],1)="T",tblAsignaciones[[#This Row],[en_vacaciones]]="no"),"sí","no")</f>
        <v/>
      </c>
    </row>
    <row r="8">
      <c r="A8" s="3" t="inlineStr">
        <is>
          <t>2026-S30</t>
        </is>
      </c>
      <c r="B8" s="3" t="inlineStr">
        <is>
          <t>viernes</t>
        </is>
      </c>
      <c r="C8" s="3" t="inlineStr">
        <is>
          <t>Técnico 01</t>
        </is>
      </c>
      <c r="D8" s="3">
        <f>_xlfn.XLOOKUP(tblAsignaciones[[#This Row],[tecnico]],tblTecnicos[nombre],tblTecnicos[area],"")</f>
        <v/>
      </c>
      <c r="E8" s="3">
        <f>_xlfn.XLOOKUP(tblAsignaciones[[#This Row],[tecnico]],tblTecnicos[nombre],tblTecnicos[especialidad],"")</f>
        <v/>
      </c>
      <c r="F8" s="3">
        <f>COUNTIFS(tblTecnicos[rotativo],"SI",tblTecnicos[especialidad],tblAsignaciones[[#This Row],[especialidad]],tblTecnicos[area],tblAsignaciones[[#This Row],[area]])</f>
        <v/>
      </c>
      <c r="G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" s="6" t="n"/>
      <c r="J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" s="3">
        <f>_xlfn.XLOOKUP(tblAsignaciones[[#This Row],[tecnico]],tblTecnicos[nombre],tblTecnicos[supervisor],"")</f>
        <v/>
      </c>
      <c r="L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" s="3">
        <f>tblAsignaciones[[#This Row],[semana]]&amp;"|"&amp;tblAsignaciones[[#This Row],[dia]]&amp;"|"&amp;tblAsignaciones[[#This Row],[tecnico]]</f>
        <v/>
      </c>
      <c r="O8" s="3">
        <f>_xlfn.XLOOKUP(tblAsignaciones[[#This Row],[turno]],tblTurnos[turno],tblTurnos[hora_inicio],"")</f>
        <v/>
      </c>
      <c r="P8" s="3">
        <f>_xlfn.XLOOKUP(tblAsignaciones[[#This Row],[turno]],tblTurnos[turno],tblTurnos[hora_fin],"")</f>
        <v/>
      </c>
      <c r="Q8" s="3">
        <f>IF(AND(LEFT(tblAsignaciones[[#This Row],[posicion_ciclo]],1)="T",tblAsignaciones[[#This Row],[en_vacaciones]]="no"),"sí","no")</f>
        <v/>
      </c>
    </row>
    <row r="9">
      <c r="A9" s="3" t="inlineStr">
        <is>
          <t>2026-S30</t>
        </is>
      </c>
      <c r="B9" s="3" t="inlineStr">
        <is>
          <t>sábado</t>
        </is>
      </c>
      <c r="C9" s="3" t="inlineStr">
        <is>
          <t>Técnico 01</t>
        </is>
      </c>
      <c r="D9" s="3">
        <f>_xlfn.XLOOKUP(tblAsignaciones[[#This Row],[tecnico]],tblTecnicos[nombre],tblTecnicos[area],"")</f>
        <v/>
      </c>
      <c r="E9" s="3">
        <f>_xlfn.XLOOKUP(tblAsignaciones[[#This Row],[tecnico]],tblTecnicos[nombre],tblTecnicos[especialidad],"")</f>
        <v/>
      </c>
      <c r="F9" s="3">
        <f>COUNTIFS(tblTecnicos[rotativo],"SI",tblTecnicos[especialidad],tblAsignaciones[[#This Row],[especialidad]],tblTecnicos[area],tblAsignaciones[[#This Row],[area]])</f>
        <v/>
      </c>
      <c r="G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" s="6" t="n"/>
      <c r="J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" s="3">
        <f>_xlfn.XLOOKUP(tblAsignaciones[[#This Row],[tecnico]],tblTecnicos[nombre],tblTecnicos[supervisor],"")</f>
        <v/>
      </c>
      <c r="L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" s="3">
        <f>tblAsignaciones[[#This Row],[semana]]&amp;"|"&amp;tblAsignaciones[[#This Row],[dia]]&amp;"|"&amp;tblAsignaciones[[#This Row],[tecnico]]</f>
        <v/>
      </c>
      <c r="O9" s="3">
        <f>_xlfn.XLOOKUP(tblAsignaciones[[#This Row],[turno]],tblTurnos[turno],tblTurnos[hora_inicio],"")</f>
        <v/>
      </c>
      <c r="P9" s="3">
        <f>_xlfn.XLOOKUP(tblAsignaciones[[#This Row],[turno]],tblTurnos[turno],tblTurnos[hora_fin],"")</f>
        <v/>
      </c>
      <c r="Q9" s="3">
        <f>IF(AND(LEFT(tblAsignaciones[[#This Row],[posicion_ciclo]],1)="T",tblAsignaciones[[#This Row],[en_vacaciones]]="no"),"sí","no")</f>
        <v/>
      </c>
    </row>
    <row r="10">
      <c r="A10" s="3" t="inlineStr">
        <is>
          <t>2026-S30</t>
        </is>
      </c>
      <c r="B10" s="3" t="inlineStr">
        <is>
          <t>domingo</t>
        </is>
      </c>
      <c r="C10" s="3" t="inlineStr">
        <is>
          <t>Técnico 01</t>
        </is>
      </c>
      <c r="D10" s="3">
        <f>_xlfn.XLOOKUP(tblAsignaciones[[#This Row],[tecnico]],tblTecnicos[nombre],tblTecnicos[area],"")</f>
        <v/>
      </c>
      <c r="E10" s="3">
        <f>_xlfn.XLOOKUP(tblAsignaciones[[#This Row],[tecnico]],tblTecnicos[nombre],tblTecnicos[especialidad],"")</f>
        <v/>
      </c>
      <c r="F10" s="3">
        <f>COUNTIFS(tblTecnicos[rotativo],"SI",tblTecnicos[especialidad],tblAsignaciones[[#This Row],[especialidad]],tblTecnicos[area],tblAsignaciones[[#This Row],[area]])</f>
        <v/>
      </c>
      <c r="G1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" s="6" t="n"/>
      <c r="J1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" s="3">
        <f>_xlfn.XLOOKUP(tblAsignaciones[[#This Row],[tecnico]],tblTecnicos[nombre],tblTecnicos[supervisor],"")</f>
        <v/>
      </c>
      <c r="L1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" s="3">
        <f>tblAsignaciones[[#This Row],[semana]]&amp;"|"&amp;tblAsignaciones[[#This Row],[dia]]&amp;"|"&amp;tblAsignaciones[[#This Row],[tecnico]]</f>
        <v/>
      </c>
      <c r="O10" s="3">
        <f>_xlfn.XLOOKUP(tblAsignaciones[[#This Row],[turno]],tblTurnos[turno],tblTurnos[hora_inicio],"")</f>
        <v/>
      </c>
      <c r="P10" s="3">
        <f>_xlfn.XLOOKUP(tblAsignaciones[[#This Row],[turno]],tblTurnos[turno],tblTurnos[hora_fin],"")</f>
        <v/>
      </c>
      <c r="Q10" s="3">
        <f>IF(AND(LEFT(tblAsignaciones[[#This Row],[posicion_ciclo]],1)="T",tblAsignaciones[[#This Row],[en_vacaciones]]="no"),"sí","no")</f>
        <v/>
      </c>
    </row>
    <row r="11">
      <c r="A11" s="3" t="inlineStr">
        <is>
          <t>2026-S30</t>
        </is>
      </c>
      <c r="B11" s="3" t="inlineStr">
        <is>
          <t>lunes</t>
        </is>
      </c>
      <c r="C11" s="3" t="inlineStr">
        <is>
          <t>Técnico 02</t>
        </is>
      </c>
      <c r="D11" s="3">
        <f>_xlfn.XLOOKUP(tblAsignaciones[[#This Row],[tecnico]],tblTecnicos[nombre],tblTecnicos[area],"")</f>
        <v/>
      </c>
      <c r="E11" s="3">
        <f>_xlfn.XLOOKUP(tblAsignaciones[[#This Row],[tecnico]],tblTecnicos[nombre],tblTecnicos[especialidad],"")</f>
        <v/>
      </c>
      <c r="F11" s="3">
        <f>COUNTIFS(tblTecnicos[rotativo],"SI",tblTecnicos[especialidad],tblAsignaciones[[#This Row],[especialidad]],tblTecnicos[area],tblAsignaciones[[#This Row],[area]])</f>
        <v/>
      </c>
      <c r="G1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" s="6" t="n"/>
      <c r="J1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" s="3">
        <f>_xlfn.XLOOKUP(tblAsignaciones[[#This Row],[tecnico]],tblTecnicos[nombre],tblTecnicos[supervisor],"")</f>
        <v/>
      </c>
      <c r="L1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" s="3">
        <f>tblAsignaciones[[#This Row],[semana]]&amp;"|"&amp;tblAsignaciones[[#This Row],[dia]]&amp;"|"&amp;tblAsignaciones[[#This Row],[tecnico]]</f>
        <v/>
      </c>
      <c r="O11" s="3">
        <f>_xlfn.XLOOKUP(tblAsignaciones[[#This Row],[turno]],tblTurnos[turno],tblTurnos[hora_inicio],"")</f>
        <v/>
      </c>
      <c r="P11" s="3">
        <f>_xlfn.XLOOKUP(tblAsignaciones[[#This Row],[turno]],tblTurnos[turno],tblTurnos[hora_fin],"")</f>
        <v/>
      </c>
      <c r="Q11" s="3">
        <f>IF(AND(LEFT(tblAsignaciones[[#This Row],[posicion_ciclo]],1)="T",tblAsignaciones[[#This Row],[en_vacaciones]]="no"),"sí","no")</f>
        <v/>
      </c>
    </row>
    <row r="12">
      <c r="A12" s="3" t="inlineStr">
        <is>
          <t>2026-S30</t>
        </is>
      </c>
      <c r="B12" s="3" t="inlineStr">
        <is>
          <t>martes</t>
        </is>
      </c>
      <c r="C12" s="3" t="inlineStr">
        <is>
          <t>Técnico 02</t>
        </is>
      </c>
      <c r="D12" s="3">
        <f>_xlfn.XLOOKUP(tblAsignaciones[[#This Row],[tecnico]],tblTecnicos[nombre],tblTecnicos[area],"")</f>
        <v/>
      </c>
      <c r="E12" s="3">
        <f>_xlfn.XLOOKUP(tblAsignaciones[[#This Row],[tecnico]],tblTecnicos[nombre],tblTecnicos[especialidad],"")</f>
        <v/>
      </c>
      <c r="F12" s="3">
        <f>COUNTIFS(tblTecnicos[rotativo],"SI",tblTecnicos[especialidad],tblAsignaciones[[#This Row],[especialidad]],tblTecnicos[area],tblAsignaciones[[#This Row],[area]])</f>
        <v/>
      </c>
      <c r="G1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" s="6" t="n"/>
      <c r="J1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" s="3">
        <f>_xlfn.XLOOKUP(tblAsignaciones[[#This Row],[tecnico]],tblTecnicos[nombre],tblTecnicos[supervisor],"")</f>
        <v/>
      </c>
      <c r="L1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" s="3">
        <f>tblAsignaciones[[#This Row],[semana]]&amp;"|"&amp;tblAsignaciones[[#This Row],[dia]]&amp;"|"&amp;tblAsignaciones[[#This Row],[tecnico]]</f>
        <v/>
      </c>
      <c r="O12" s="3">
        <f>_xlfn.XLOOKUP(tblAsignaciones[[#This Row],[turno]],tblTurnos[turno],tblTurnos[hora_inicio],"")</f>
        <v/>
      </c>
      <c r="P12" s="3">
        <f>_xlfn.XLOOKUP(tblAsignaciones[[#This Row],[turno]],tblTurnos[turno],tblTurnos[hora_fin],"")</f>
        <v/>
      </c>
      <c r="Q12" s="3">
        <f>IF(AND(LEFT(tblAsignaciones[[#This Row],[posicion_ciclo]],1)="T",tblAsignaciones[[#This Row],[en_vacaciones]]="no"),"sí","no")</f>
        <v/>
      </c>
    </row>
    <row r="13">
      <c r="A13" s="3" t="inlineStr">
        <is>
          <t>2026-S30</t>
        </is>
      </c>
      <c r="B13" s="3" t="inlineStr">
        <is>
          <t>miércoles</t>
        </is>
      </c>
      <c r="C13" s="3" t="inlineStr">
        <is>
          <t>Técnico 02</t>
        </is>
      </c>
      <c r="D13" s="3">
        <f>_xlfn.XLOOKUP(tblAsignaciones[[#This Row],[tecnico]],tblTecnicos[nombre],tblTecnicos[area],"")</f>
        <v/>
      </c>
      <c r="E13" s="3">
        <f>_xlfn.XLOOKUP(tblAsignaciones[[#This Row],[tecnico]],tblTecnicos[nombre],tblTecnicos[especialidad],"")</f>
        <v/>
      </c>
      <c r="F13" s="3">
        <f>COUNTIFS(tblTecnicos[rotativo],"SI",tblTecnicos[especialidad],tblAsignaciones[[#This Row],[especialidad]],tblTecnicos[area],tblAsignaciones[[#This Row],[area]])</f>
        <v/>
      </c>
      <c r="G1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" s="6" t="n"/>
      <c r="J1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" s="3">
        <f>_xlfn.XLOOKUP(tblAsignaciones[[#This Row],[tecnico]],tblTecnicos[nombre],tblTecnicos[supervisor],"")</f>
        <v/>
      </c>
      <c r="L1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" s="3">
        <f>tblAsignaciones[[#This Row],[semana]]&amp;"|"&amp;tblAsignaciones[[#This Row],[dia]]&amp;"|"&amp;tblAsignaciones[[#This Row],[tecnico]]</f>
        <v/>
      </c>
      <c r="O13" s="3">
        <f>_xlfn.XLOOKUP(tblAsignaciones[[#This Row],[turno]],tblTurnos[turno],tblTurnos[hora_inicio],"")</f>
        <v/>
      </c>
      <c r="P13" s="3">
        <f>_xlfn.XLOOKUP(tblAsignaciones[[#This Row],[turno]],tblTurnos[turno],tblTurnos[hora_fin],"")</f>
        <v/>
      </c>
      <c r="Q13" s="3">
        <f>IF(AND(LEFT(tblAsignaciones[[#This Row],[posicion_ciclo]],1)="T",tblAsignaciones[[#This Row],[en_vacaciones]]="no"),"sí","no")</f>
        <v/>
      </c>
    </row>
    <row r="14">
      <c r="A14" s="3" t="inlineStr">
        <is>
          <t>2026-S30</t>
        </is>
      </c>
      <c r="B14" s="3" t="inlineStr">
        <is>
          <t>jueves</t>
        </is>
      </c>
      <c r="C14" s="3" t="inlineStr">
        <is>
          <t>Técnico 02</t>
        </is>
      </c>
      <c r="D14" s="3">
        <f>_xlfn.XLOOKUP(tblAsignaciones[[#This Row],[tecnico]],tblTecnicos[nombre],tblTecnicos[area],"")</f>
        <v/>
      </c>
      <c r="E14" s="3">
        <f>_xlfn.XLOOKUP(tblAsignaciones[[#This Row],[tecnico]],tblTecnicos[nombre],tblTecnicos[especialidad],"")</f>
        <v/>
      </c>
      <c r="F14" s="3">
        <f>COUNTIFS(tblTecnicos[rotativo],"SI",tblTecnicos[especialidad],tblAsignaciones[[#This Row],[especialidad]],tblTecnicos[area],tblAsignaciones[[#This Row],[area]])</f>
        <v/>
      </c>
      <c r="G1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" s="6" t="n"/>
      <c r="J1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" s="3">
        <f>_xlfn.XLOOKUP(tblAsignaciones[[#This Row],[tecnico]],tblTecnicos[nombre],tblTecnicos[supervisor],"")</f>
        <v/>
      </c>
      <c r="L1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" s="3">
        <f>tblAsignaciones[[#This Row],[semana]]&amp;"|"&amp;tblAsignaciones[[#This Row],[dia]]&amp;"|"&amp;tblAsignaciones[[#This Row],[tecnico]]</f>
        <v/>
      </c>
      <c r="O14" s="3">
        <f>_xlfn.XLOOKUP(tblAsignaciones[[#This Row],[turno]],tblTurnos[turno],tblTurnos[hora_inicio],"")</f>
        <v/>
      </c>
      <c r="P14" s="3">
        <f>_xlfn.XLOOKUP(tblAsignaciones[[#This Row],[turno]],tblTurnos[turno],tblTurnos[hora_fin],"")</f>
        <v/>
      </c>
      <c r="Q14" s="3">
        <f>IF(AND(LEFT(tblAsignaciones[[#This Row],[posicion_ciclo]],1)="T",tblAsignaciones[[#This Row],[en_vacaciones]]="no"),"sí","no")</f>
        <v/>
      </c>
    </row>
    <row r="15">
      <c r="A15" s="3" t="inlineStr">
        <is>
          <t>2026-S30</t>
        </is>
      </c>
      <c r="B15" s="3" t="inlineStr">
        <is>
          <t>viernes</t>
        </is>
      </c>
      <c r="C15" s="3" t="inlineStr">
        <is>
          <t>Técnico 02</t>
        </is>
      </c>
      <c r="D15" s="3">
        <f>_xlfn.XLOOKUP(tblAsignaciones[[#This Row],[tecnico]],tblTecnicos[nombre],tblTecnicos[area],"")</f>
        <v/>
      </c>
      <c r="E15" s="3">
        <f>_xlfn.XLOOKUP(tblAsignaciones[[#This Row],[tecnico]],tblTecnicos[nombre],tblTecnicos[especialidad],"")</f>
        <v/>
      </c>
      <c r="F15" s="3">
        <f>COUNTIFS(tblTecnicos[rotativo],"SI",tblTecnicos[especialidad],tblAsignaciones[[#This Row],[especialidad]],tblTecnicos[area],tblAsignaciones[[#This Row],[area]])</f>
        <v/>
      </c>
      <c r="G1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" s="6" t="n"/>
      <c r="J1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" s="3">
        <f>_xlfn.XLOOKUP(tblAsignaciones[[#This Row],[tecnico]],tblTecnicos[nombre],tblTecnicos[supervisor],"")</f>
        <v/>
      </c>
      <c r="L1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" s="3">
        <f>tblAsignaciones[[#This Row],[semana]]&amp;"|"&amp;tblAsignaciones[[#This Row],[dia]]&amp;"|"&amp;tblAsignaciones[[#This Row],[tecnico]]</f>
        <v/>
      </c>
      <c r="O15" s="3">
        <f>_xlfn.XLOOKUP(tblAsignaciones[[#This Row],[turno]],tblTurnos[turno],tblTurnos[hora_inicio],"")</f>
        <v/>
      </c>
      <c r="P15" s="3">
        <f>_xlfn.XLOOKUP(tblAsignaciones[[#This Row],[turno]],tblTurnos[turno],tblTurnos[hora_fin],"")</f>
        <v/>
      </c>
      <c r="Q15" s="3">
        <f>IF(AND(LEFT(tblAsignaciones[[#This Row],[posicion_ciclo]],1)="T",tblAsignaciones[[#This Row],[en_vacaciones]]="no"),"sí","no")</f>
        <v/>
      </c>
    </row>
    <row r="16">
      <c r="A16" s="3" t="inlineStr">
        <is>
          <t>2026-S30</t>
        </is>
      </c>
      <c r="B16" s="3" t="inlineStr">
        <is>
          <t>sábado</t>
        </is>
      </c>
      <c r="C16" s="3" t="inlineStr">
        <is>
          <t>Técnico 02</t>
        </is>
      </c>
      <c r="D16" s="3">
        <f>_xlfn.XLOOKUP(tblAsignaciones[[#This Row],[tecnico]],tblTecnicos[nombre],tblTecnicos[area],"")</f>
        <v/>
      </c>
      <c r="E16" s="3">
        <f>_xlfn.XLOOKUP(tblAsignaciones[[#This Row],[tecnico]],tblTecnicos[nombre],tblTecnicos[especialidad],"")</f>
        <v/>
      </c>
      <c r="F16" s="3">
        <f>COUNTIFS(tblTecnicos[rotativo],"SI",tblTecnicos[especialidad],tblAsignaciones[[#This Row],[especialidad]],tblTecnicos[area],tblAsignaciones[[#This Row],[area]])</f>
        <v/>
      </c>
      <c r="G1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" s="6" t="n"/>
      <c r="J1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" s="3">
        <f>_xlfn.XLOOKUP(tblAsignaciones[[#This Row],[tecnico]],tblTecnicos[nombre],tblTecnicos[supervisor],"")</f>
        <v/>
      </c>
      <c r="L1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" s="3">
        <f>tblAsignaciones[[#This Row],[semana]]&amp;"|"&amp;tblAsignaciones[[#This Row],[dia]]&amp;"|"&amp;tblAsignaciones[[#This Row],[tecnico]]</f>
        <v/>
      </c>
      <c r="O16" s="3">
        <f>_xlfn.XLOOKUP(tblAsignaciones[[#This Row],[turno]],tblTurnos[turno],tblTurnos[hora_inicio],"")</f>
        <v/>
      </c>
      <c r="P16" s="3">
        <f>_xlfn.XLOOKUP(tblAsignaciones[[#This Row],[turno]],tblTurnos[turno],tblTurnos[hora_fin],"")</f>
        <v/>
      </c>
      <c r="Q16" s="3">
        <f>IF(AND(LEFT(tblAsignaciones[[#This Row],[posicion_ciclo]],1)="T",tblAsignaciones[[#This Row],[en_vacaciones]]="no"),"sí","no")</f>
        <v/>
      </c>
    </row>
    <row r="17">
      <c r="A17" s="3" t="inlineStr">
        <is>
          <t>2026-S30</t>
        </is>
      </c>
      <c r="B17" s="3" t="inlineStr">
        <is>
          <t>domingo</t>
        </is>
      </c>
      <c r="C17" s="3" t="inlineStr">
        <is>
          <t>Técnico 02</t>
        </is>
      </c>
      <c r="D17" s="3">
        <f>_xlfn.XLOOKUP(tblAsignaciones[[#This Row],[tecnico]],tblTecnicos[nombre],tblTecnicos[area],"")</f>
        <v/>
      </c>
      <c r="E17" s="3">
        <f>_xlfn.XLOOKUP(tblAsignaciones[[#This Row],[tecnico]],tblTecnicos[nombre],tblTecnicos[especialidad],"")</f>
        <v/>
      </c>
      <c r="F17" s="3">
        <f>COUNTIFS(tblTecnicos[rotativo],"SI",tblTecnicos[especialidad],tblAsignaciones[[#This Row],[especialidad]],tblTecnicos[area],tblAsignaciones[[#This Row],[area]])</f>
        <v/>
      </c>
      <c r="G1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" s="6" t="n"/>
      <c r="J1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" s="3">
        <f>_xlfn.XLOOKUP(tblAsignaciones[[#This Row],[tecnico]],tblTecnicos[nombre],tblTecnicos[supervisor],"")</f>
        <v/>
      </c>
      <c r="L1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" s="3">
        <f>tblAsignaciones[[#This Row],[semana]]&amp;"|"&amp;tblAsignaciones[[#This Row],[dia]]&amp;"|"&amp;tblAsignaciones[[#This Row],[tecnico]]</f>
        <v/>
      </c>
      <c r="O17" s="3">
        <f>_xlfn.XLOOKUP(tblAsignaciones[[#This Row],[turno]],tblTurnos[turno],tblTurnos[hora_inicio],"")</f>
        <v/>
      </c>
      <c r="P17" s="3">
        <f>_xlfn.XLOOKUP(tblAsignaciones[[#This Row],[turno]],tblTurnos[turno],tblTurnos[hora_fin],"")</f>
        <v/>
      </c>
      <c r="Q17" s="3">
        <f>IF(AND(LEFT(tblAsignaciones[[#This Row],[posicion_ciclo]],1)="T",tblAsignaciones[[#This Row],[en_vacaciones]]="no"),"sí","no")</f>
        <v/>
      </c>
    </row>
    <row r="18">
      <c r="A18" s="3" t="inlineStr">
        <is>
          <t>2026-S30</t>
        </is>
      </c>
      <c r="B18" s="3" t="inlineStr">
        <is>
          <t>lunes</t>
        </is>
      </c>
      <c r="C18" s="3" t="inlineStr">
        <is>
          <t>Técnico 03</t>
        </is>
      </c>
      <c r="D18" s="3">
        <f>_xlfn.XLOOKUP(tblAsignaciones[[#This Row],[tecnico]],tblTecnicos[nombre],tblTecnicos[area],"")</f>
        <v/>
      </c>
      <c r="E18" s="3">
        <f>_xlfn.XLOOKUP(tblAsignaciones[[#This Row],[tecnico]],tblTecnicos[nombre],tblTecnicos[especialidad],"")</f>
        <v/>
      </c>
      <c r="F18" s="3">
        <f>COUNTIFS(tblTecnicos[rotativo],"SI",tblTecnicos[especialidad],tblAsignaciones[[#This Row],[especialidad]],tblTecnicos[area],tblAsignaciones[[#This Row],[area]])</f>
        <v/>
      </c>
      <c r="G1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" s="6" t="n"/>
      <c r="J1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" s="3">
        <f>_xlfn.XLOOKUP(tblAsignaciones[[#This Row],[tecnico]],tblTecnicos[nombre],tblTecnicos[supervisor],"")</f>
        <v/>
      </c>
      <c r="L1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" s="3">
        <f>tblAsignaciones[[#This Row],[semana]]&amp;"|"&amp;tblAsignaciones[[#This Row],[dia]]&amp;"|"&amp;tblAsignaciones[[#This Row],[tecnico]]</f>
        <v/>
      </c>
      <c r="O18" s="3">
        <f>_xlfn.XLOOKUP(tblAsignaciones[[#This Row],[turno]],tblTurnos[turno],tblTurnos[hora_inicio],"")</f>
        <v/>
      </c>
      <c r="P18" s="3">
        <f>_xlfn.XLOOKUP(tblAsignaciones[[#This Row],[turno]],tblTurnos[turno],tblTurnos[hora_fin],"")</f>
        <v/>
      </c>
      <c r="Q18" s="3">
        <f>IF(AND(LEFT(tblAsignaciones[[#This Row],[posicion_ciclo]],1)="T",tblAsignaciones[[#This Row],[en_vacaciones]]="no"),"sí","no")</f>
        <v/>
      </c>
    </row>
    <row r="19">
      <c r="A19" s="3" t="inlineStr">
        <is>
          <t>2026-S30</t>
        </is>
      </c>
      <c r="B19" s="3" t="inlineStr">
        <is>
          <t>martes</t>
        </is>
      </c>
      <c r="C19" s="3" t="inlineStr">
        <is>
          <t>Técnico 03</t>
        </is>
      </c>
      <c r="D19" s="3">
        <f>_xlfn.XLOOKUP(tblAsignaciones[[#This Row],[tecnico]],tblTecnicos[nombre],tblTecnicos[area],"")</f>
        <v/>
      </c>
      <c r="E19" s="3">
        <f>_xlfn.XLOOKUP(tblAsignaciones[[#This Row],[tecnico]],tblTecnicos[nombre],tblTecnicos[especialidad],"")</f>
        <v/>
      </c>
      <c r="F19" s="3">
        <f>COUNTIFS(tblTecnicos[rotativo],"SI",tblTecnicos[especialidad],tblAsignaciones[[#This Row],[especialidad]],tblTecnicos[area],tblAsignaciones[[#This Row],[area]])</f>
        <v/>
      </c>
      <c r="G1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" s="6" t="n"/>
      <c r="J1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" s="3">
        <f>_xlfn.XLOOKUP(tblAsignaciones[[#This Row],[tecnico]],tblTecnicos[nombre],tblTecnicos[supervisor],"")</f>
        <v/>
      </c>
      <c r="L1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" s="3">
        <f>tblAsignaciones[[#This Row],[semana]]&amp;"|"&amp;tblAsignaciones[[#This Row],[dia]]&amp;"|"&amp;tblAsignaciones[[#This Row],[tecnico]]</f>
        <v/>
      </c>
      <c r="O19" s="3">
        <f>_xlfn.XLOOKUP(tblAsignaciones[[#This Row],[turno]],tblTurnos[turno],tblTurnos[hora_inicio],"")</f>
        <v/>
      </c>
      <c r="P19" s="3">
        <f>_xlfn.XLOOKUP(tblAsignaciones[[#This Row],[turno]],tblTurnos[turno],tblTurnos[hora_fin],"")</f>
        <v/>
      </c>
      <c r="Q19" s="3">
        <f>IF(AND(LEFT(tblAsignaciones[[#This Row],[posicion_ciclo]],1)="T",tblAsignaciones[[#This Row],[en_vacaciones]]="no"),"sí","no")</f>
        <v/>
      </c>
    </row>
    <row r="20">
      <c r="A20" s="3" t="inlineStr">
        <is>
          <t>2026-S30</t>
        </is>
      </c>
      <c r="B20" s="3" t="inlineStr">
        <is>
          <t>miércoles</t>
        </is>
      </c>
      <c r="C20" s="3" t="inlineStr">
        <is>
          <t>Técnico 03</t>
        </is>
      </c>
      <c r="D20" s="3">
        <f>_xlfn.XLOOKUP(tblAsignaciones[[#This Row],[tecnico]],tblTecnicos[nombre],tblTecnicos[area],"")</f>
        <v/>
      </c>
      <c r="E20" s="3">
        <f>_xlfn.XLOOKUP(tblAsignaciones[[#This Row],[tecnico]],tblTecnicos[nombre],tblTecnicos[especialidad],"")</f>
        <v/>
      </c>
      <c r="F20" s="3">
        <f>COUNTIFS(tblTecnicos[rotativo],"SI",tblTecnicos[especialidad],tblAsignaciones[[#This Row],[especialidad]],tblTecnicos[area],tblAsignaciones[[#This Row],[area]])</f>
        <v/>
      </c>
      <c r="G2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" s="6" t="n"/>
      <c r="J2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" s="3">
        <f>_xlfn.XLOOKUP(tblAsignaciones[[#This Row],[tecnico]],tblTecnicos[nombre],tblTecnicos[supervisor],"")</f>
        <v/>
      </c>
      <c r="L2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" s="3">
        <f>tblAsignaciones[[#This Row],[semana]]&amp;"|"&amp;tblAsignaciones[[#This Row],[dia]]&amp;"|"&amp;tblAsignaciones[[#This Row],[tecnico]]</f>
        <v/>
      </c>
      <c r="O20" s="3">
        <f>_xlfn.XLOOKUP(tblAsignaciones[[#This Row],[turno]],tblTurnos[turno],tblTurnos[hora_inicio],"")</f>
        <v/>
      </c>
      <c r="P20" s="3">
        <f>_xlfn.XLOOKUP(tblAsignaciones[[#This Row],[turno]],tblTurnos[turno],tblTurnos[hora_fin],"")</f>
        <v/>
      </c>
      <c r="Q20" s="3">
        <f>IF(AND(LEFT(tblAsignaciones[[#This Row],[posicion_ciclo]],1)="T",tblAsignaciones[[#This Row],[en_vacaciones]]="no"),"sí","no")</f>
        <v/>
      </c>
    </row>
    <row r="21">
      <c r="A21" s="3" t="inlineStr">
        <is>
          <t>2026-S30</t>
        </is>
      </c>
      <c r="B21" s="3" t="inlineStr">
        <is>
          <t>jueves</t>
        </is>
      </c>
      <c r="C21" s="3" t="inlineStr">
        <is>
          <t>Técnico 03</t>
        </is>
      </c>
      <c r="D21" s="3">
        <f>_xlfn.XLOOKUP(tblAsignaciones[[#This Row],[tecnico]],tblTecnicos[nombre],tblTecnicos[area],"")</f>
        <v/>
      </c>
      <c r="E21" s="3">
        <f>_xlfn.XLOOKUP(tblAsignaciones[[#This Row],[tecnico]],tblTecnicos[nombre],tblTecnicos[especialidad],"")</f>
        <v/>
      </c>
      <c r="F21" s="3">
        <f>COUNTIFS(tblTecnicos[rotativo],"SI",tblTecnicos[especialidad],tblAsignaciones[[#This Row],[especialidad]],tblTecnicos[area],tblAsignaciones[[#This Row],[area]])</f>
        <v/>
      </c>
      <c r="G2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" s="6" t="n"/>
      <c r="J2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" s="3">
        <f>_xlfn.XLOOKUP(tblAsignaciones[[#This Row],[tecnico]],tblTecnicos[nombre],tblTecnicos[supervisor],"")</f>
        <v/>
      </c>
      <c r="L2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" s="3">
        <f>tblAsignaciones[[#This Row],[semana]]&amp;"|"&amp;tblAsignaciones[[#This Row],[dia]]&amp;"|"&amp;tblAsignaciones[[#This Row],[tecnico]]</f>
        <v/>
      </c>
      <c r="O21" s="3">
        <f>_xlfn.XLOOKUP(tblAsignaciones[[#This Row],[turno]],tblTurnos[turno],tblTurnos[hora_inicio],"")</f>
        <v/>
      </c>
      <c r="P21" s="3">
        <f>_xlfn.XLOOKUP(tblAsignaciones[[#This Row],[turno]],tblTurnos[turno],tblTurnos[hora_fin],"")</f>
        <v/>
      </c>
      <c r="Q21" s="3">
        <f>IF(AND(LEFT(tblAsignaciones[[#This Row],[posicion_ciclo]],1)="T",tblAsignaciones[[#This Row],[en_vacaciones]]="no"),"sí","no")</f>
        <v/>
      </c>
    </row>
    <row r="22">
      <c r="A22" s="3" t="inlineStr">
        <is>
          <t>2026-S30</t>
        </is>
      </c>
      <c r="B22" s="3" t="inlineStr">
        <is>
          <t>viernes</t>
        </is>
      </c>
      <c r="C22" s="3" t="inlineStr">
        <is>
          <t>Técnico 03</t>
        </is>
      </c>
      <c r="D22" s="3">
        <f>_xlfn.XLOOKUP(tblAsignaciones[[#This Row],[tecnico]],tblTecnicos[nombre],tblTecnicos[area],"")</f>
        <v/>
      </c>
      <c r="E22" s="3">
        <f>_xlfn.XLOOKUP(tblAsignaciones[[#This Row],[tecnico]],tblTecnicos[nombre],tblTecnicos[especialidad],"")</f>
        <v/>
      </c>
      <c r="F22" s="3">
        <f>COUNTIFS(tblTecnicos[rotativo],"SI",tblTecnicos[especialidad],tblAsignaciones[[#This Row],[especialidad]],tblTecnicos[area],tblAsignaciones[[#This Row],[area]])</f>
        <v/>
      </c>
      <c r="G2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" s="6" t="n"/>
      <c r="J2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" s="3">
        <f>_xlfn.XLOOKUP(tblAsignaciones[[#This Row],[tecnico]],tblTecnicos[nombre],tblTecnicos[supervisor],"")</f>
        <v/>
      </c>
      <c r="L2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" s="3">
        <f>tblAsignaciones[[#This Row],[semana]]&amp;"|"&amp;tblAsignaciones[[#This Row],[dia]]&amp;"|"&amp;tblAsignaciones[[#This Row],[tecnico]]</f>
        <v/>
      </c>
      <c r="O22" s="3">
        <f>_xlfn.XLOOKUP(tblAsignaciones[[#This Row],[turno]],tblTurnos[turno],tblTurnos[hora_inicio],"")</f>
        <v/>
      </c>
      <c r="P22" s="3">
        <f>_xlfn.XLOOKUP(tblAsignaciones[[#This Row],[turno]],tblTurnos[turno],tblTurnos[hora_fin],"")</f>
        <v/>
      </c>
      <c r="Q22" s="3">
        <f>IF(AND(LEFT(tblAsignaciones[[#This Row],[posicion_ciclo]],1)="T",tblAsignaciones[[#This Row],[en_vacaciones]]="no"),"sí","no")</f>
        <v/>
      </c>
    </row>
    <row r="23">
      <c r="A23" s="3" t="inlineStr">
        <is>
          <t>2026-S30</t>
        </is>
      </c>
      <c r="B23" s="3" t="inlineStr">
        <is>
          <t>sábado</t>
        </is>
      </c>
      <c r="C23" s="3" t="inlineStr">
        <is>
          <t>Técnico 03</t>
        </is>
      </c>
      <c r="D23" s="3">
        <f>_xlfn.XLOOKUP(tblAsignaciones[[#This Row],[tecnico]],tblTecnicos[nombre],tblTecnicos[area],"")</f>
        <v/>
      </c>
      <c r="E23" s="3">
        <f>_xlfn.XLOOKUP(tblAsignaciones[[#This Row],[tecnico]],tblTecnicos[nombre],tblTecnicos[especialidad],"")</f>
        <v/>
      </c>
      <c r="F23" s="3">
        <f>COUNTIFS(tblTecnicos[rotativo],"SI",tblTecnicos[especialidad],tblAsignaciones[[#This Row],[especialidad]],tblTecnicos[area],tblAsignaciones[[#This Row],[area]])</f>
        <v/>
      </c>
      <c r="G2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" s="6" t="n"/>
      <c r="J2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" s="3">
        <f>_xlfn.XLOOKUP(tblAsignaciones[[#This Row],[tecnico]],tblTecnicos[nombre],tblTecnicos[supervisor],"")</f>
        <v/>
      </c>
      <c r="L2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" s="3">
        <f>tblAsignaciones[[#This Row],[semana]]&amp;"|"&amp;tblAsignaciones[[#This Row],[dia]]&amp;"|"&amp;tblAsignaciones[[#This Row],[tecnico]]</f>
        <v/>
      </c>
      <c r="O23" s="3">
        <f>_xlfn.XLOOKUP(tblAsignaciones[[#This Row],[turno]],tblTurnos[turno],tblTurnos[hora_inicio],"")</f>
        <v/>
      </c>
      <c r="P23" s="3">
        <f>_xlfn.XLOOKUP(tblAsignaciones[[#This Row],[turno]],tblTurnos[turno],tblTurnos[hora_fin],"")</f>
        <v/>
      </c>
      <c r="Q23" s="3">
        <f>IF(AND(LEFT(tblAsignaciones[[#This Row],[posicion_ciclo]],1)="T",tblAsignaciones[[#This Row],[en_vacaciones]]="no"),"sí","no")</f>
        <v/>
      </c>
    </row>
    <row r="24">
      <c r="A24" s="3" t="inlineStr">
        <is>
          <t>2026-S30</t>
        </is>
      </c>
      <c r="B24" s="3" t="inlineStr">
        <is>
          <t>domingo</t>
        </is>
      </c>
      <c r="C24" s="3" t="inlineStr">
        <is>
          <t>Técnico 03</t>
        </is>
      </c>
      <c r="D24" s="3">
        <f>_xlfn.XLOOKUP(tblAsignaciones[[#This Row],[tecnico]],tblTecnicos[nombre],tblTecnicos[area],"")</f>
        <v/>
      </c>
      <c r="E24" s="3">
        <f>_xlfn.XLOOKUP(tblAsignaciones[[#This Row],[tecnico]],tblTecnicos[nombre],tblTecnicos[especialidad],"")</f>
        <v/>
      </c>
      <c r="F24" s="3">
        <f>COUNTIFS(tblTecnicos[rotativo],"SI",tblTecnicos[especialidad],tblAsignaciones[[#This Row],[especialidad]],tblTecnicos[area],tblAsignaciones[[#This Row],[area]])</f>
        <v/>
      </c>
      <c r="G2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" s="6" t="n"/>
      <c r="J2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" s="3">
        <f>_xlfn.XLOOKUP(tblAsignaciones[[#This Row],[tecnico]],tblTecnicos[nombre],tblTecnicos[supervisor],"")</f>
        <v/>
      </c>
      <c r="L2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" s="3">
        <f>tblAsignaciones[[#This Row],[semana]]&amp;"|"&amp;tblAsignaciones[[#This Row],[dia]]&amp;"|"&amp;tblAsignaciones[[#This Row],[tecnico]]</f>
        <v/>
      </c>
      <c r="O24" s="3">
        <f>_xlfn.XLOOKUP(tblAsignaciones[[#This Row],[turno]],tblTurnos[turno],tblTurnos[hora_inicio],"")</f>
        <v/>
      </c>
      <c r="P24" s="3">
        <f>_xlfn.XLOOKUP(tblAsignaciones[[#This Row],[turno]],tblTurnos[turno],tblTurnos[hora_fin],"")</f>
        <v/>
      </c>
      <c r="Q24" s="3">
        <f>IF(AND(LEFT(tblAsignaciones[[#This Row],[posicion_ciclo]],1)="T",tblAsignaciones[[#This Row],[en_vacaciones]]="no"),"sí","no")</f>
        <v/>
      </c>
    </row>
    <row r="25">
      <c r="A25" s="3" t="inlineStr">
        <is>
          <t>2026-S30</t>
        </is>
      </c>
      <c r="B25" s="3" t="inlineStr">
        <is>
          <t>lunes</t>
        </is>
      </c>
      <c r="C25" s="3" t="inlineStr">
        <is>
          <t>Técnico 04</t>
        </is>
      </c>
      <c r="D25" s="3">
        <f>_xlfn.XLOOKUP(tblAsignaciones[[#This Row],[tecnico]],tblTecnicos[nombre],tblTecnicos[area],"")</f>
        <v/>
      </c>
      <c r="E25" s="3">
        <f>_xlfn.XLOOKUP(tblAsignaciones[[#This Row],[tecnico]],tblTecnicos[nombre],tblTecnicos[especialidad],"")</f>
        <v/>
      </c>
      <c r="F25" s="3">
        <f>COUNTIFS(tblTecnicos[rotativo],"SI",tblTecnicos[especialidad],tblAsignaciones[[#This Row],[especialidad]],tblTecnicos[area],tblAsignaciones[[#This Row],[area]])</f>
        <v/>
      </c>
      <c r="G2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" s="6" t="n"/>
      <c r="J2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" s="3">
        <f>_xlfn.XLOOKUP(tblAsignaciones[[#This Row],[tecnico]],tblTecnicos[nombre],tblTecnicos[supervisor],"")</f>
        <v/>
      </c>
      <c r="L2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" s="3">
        <f>tblAsignaciones[[#This Row],[semana]]&amp;"|"&amp;tblAsignaciones[[#This Row],[dia]]&amp;"|"&amp;tblAsignaciones[[#This Row],[tecnico]]</f>
        <v/>
      </c>
      <c r="O25" s="3">
        <f>_xlfn.XLOOKUP(tblAsignaciones[[#This Row],[turno]],tblTurnos[turno],tblTurnos[hora_inicio],"")</f>
        <v/>
      </c>
      <c r="P25" s="3">
        <f>_xlfn.XLOOKUP(tblAsignaciones[[#This Row],[turno]],tblTurnos[turno],tblTurnos[hora_fin],"")</f>
        <v/>
      </c>
      <c r="Q25" s="3">
        <f>IF(AND(LEFT(tblAsignaciones[[#This Row],[posicion_ciclo]],1)="T",tblAsignaciones[[#This Row],[en_vacaciones]]="no"),"sí","no")</f>
        <v/>
      </c>
    </row>
    <row r="26">
      <c r="A26" s="3" t="inlineStr">
        <is>
          <t>2026-S30</t>
        </is>
      </c>
      <c r="B26" s="3" t="inlineStr">
        <is>
          <t>martes</t>
        </is>
      </c>
      <c r="C26" s="3" t="inlineStr">
        <is>
          <t>Técnico 04</t>
        </is>
      </c>
      <c r="D26" s="3">
        <f>_xlfn.XLOOKUP(tblAsignaciones[[#This Row],[tecnico]],tblTecnicos[nombre],tblTecnicos[area],"")</f>
        <v/>
      </c>
      <c r="E26" s="3">
        <f>_xlfn.XLOOKUP(tblAsignaciones[[#This Row],[tecnico]],tblTecnicos[nombre],tblTecnicos[especialidad],"")</f>
        <v/>
      </c>
      <c r="F26" s="3">
        <f>COUNTIFS(tblTecnicos[rotativo],"SI",tblTecnicos[especialidad],tblAsignaciones[[#This Row],[especialidad]],tblTecnicos[area],tblAsignaciones[[#This Row],[area]])</f>
        <v/>
      </c>
      <c r="G2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" s="6" t="n"/>
      <c r="J2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" s="3">
        <f>_xlfn.XLOOKUP(tblAsignaciones[[#This Row],[tecnico]],tblTecnicos[nombre],tblTecnicos[supervisor],"")</f>
        <v/>
      </c>
      <c r="L2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" s="3">
        <f>tblAsignaciones[[#This Row],[semana]]&amp;"|"&amp;tblAsignaciones[[#This Row],[dia]]&amp;"|"&amp;tblAsignaciones[[#This Row],[tecnico]]</f>
        <v/>
      </c>
      <c r="O26" s="3">
        <f>_xlfn.XLOOKUP(tblAsignaciones[[#This Row],[turno]],tblTurnos[turno],tblTurnos[hora_inicio],"")</f>
        <v/>
      </c>
      <c r="P26" s="3">
        <f>_xlfn.XLOOKUP(tblAsignaciones[[#This Row],[turno]],tblTurnos[turno],tblTurnos[hora_fin],"")</f>
        <v/>
      </c>
      <c r="Q26" s="3">
        <f>IF(AND(LEFT(tblAsignaciones[[#This Row],[posicion_ciclo]],1)="T",tblAsignaciones[[#This Row],[en_vacaciones]]="no"),"sí","no")</f>
        <v/>
      </c>
    </row>
    <row r="27">
      <c r="A27" s="3" t="inlineStr">
        <is>
          <t>2026-S30</t>
        </is>
      </c>
      <c r="B27" s="3" t="inlineStr">
        <is>
          <t>miércoles</t>
        </is>
      </c>
      <c r="C27" s="3" t="inlineStr">
        <is>
          <t>Técnico 04</t>
        </is>
      </c>
      <c r="D27" s="3">
        <f>_xlfn.XLOOKUP(tblAsignaciones[[#This Row],[tecnico]],tblTecnicos[nombre],tblTecnicos[area],"")</f>
        <v/>
      </c>
      <c r="E27" s="3">
        <f>_xlfn.XLOOKUP(tblAsignaciones[[#This Row],[tecnico]],tblTecnicos[nombre],tblTecnicos[especialidad],"")</f>
        <v/>
      </c>
      <c r="F27" s="3">
        <f>COUNTIFS(tblTecnicos[rotativo],"SI",tblTecnicos[especialidad],tblAsignaciones[[#This Row],[especialidad]],tblTecnicos[area],tblAsignaciones[[#This Row],[area]])</f>
        <v/>
      </c>
      <c r="G2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" s="6" t="n"/>
      <c r="J2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" s="3">
        <f>_xlfn.XLOOKUP(tblAsignaciones[[#This Row],[tecnico]],tblTecnicos[nombre],tblTecnicos[supervisor],"")</f>
        <v/>
      </c>
      <c r="L2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" s="3">
        <f>tblAsignaciones[[#This Row],[semana]]&amp;"|"&amp;tblAsignaciones[[#This Row],[dia]]&amp;"|"&amp;tblAsignaciones[[#This Row],[tecnico]]</f>
        <v/>
      </c>
      <c r="O27" s="3">
        <f>_xlfn.XLOOKUP(tblAsignaciones[[#This Row],[turno]],tblTurnos[turno],tblTurnos[hora_inicio],"")</f>
        <v/>
      </c>
      <c r="P27" s="3">
        <f>_xlfn.XLOOKUP(tblAsignaciones[[#This Row],[turno]],tblTurnos[turno],tblTurnos[hora_fin],"")</f>
        <v/>
      </c>
      <c r="Q27" s="3">
        <f>IF(AND(LEFT(tblAsignaciones[[#This Row],[posicion_ciclo]],1)="T",tblAsignaciones[[#This Row],[en_vacaciones]]="no"),"sí","no")</f>
        <v/>
      </c>
    </row>
    <row r="28">
      <c r="A28" s="3" t="inlineStr">
        <is>
          <t>2026-S30</t>
        </is>
      </c>
      <c r="B28" s="3" t="inlineStr">
        <is>
          <t>jueves</t>
        </is>
      </c>
      <c r="C28" s="3" t="inlineStr">
        <is>
          <t>Técnico 04</t>
        </is>
      </c>
      <c r="D28" s="3">
        <f>_xlfn.XLOOKUP(tblAsignaciones[[#This Row],[tecnico]],tblTecnicos[nombre],tblTecnicos[area],"")</f>
        <v/>
      </c>
      <c r="E28" s="3">
        <f>_xlfn.XLOOKUP(tblAsignaciones[[#This Row],[tecnico]],tblTecnicos[nombre],tblTecnicos[especialidad],"")</f>
        <v/>
      </c>
      <c r="F28" s="3">
        <f>COUNTIFS(tblTecnicos[rotativo],"SI",tblTecnicos[especialidad],tblAsignaciones[[#This Row],[especialidad]],tblTecnicos[area],tblAsignaciones[[#This Row],[area]])</f>
        <v/>
      </c>
      <c r="G2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" s="6" t="n"/>
      <c r="J2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" s="3">
        <f>_xlfn.XLOOKUP(tblAsignaciones[[#This Row],[tecnico]],tblTecnicos[nombre],tblTecnicos[supervisor],"")</f>
        <v/>
      </c>
      <c r="L2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" s="3">
        <f>tblAsignaciones[[#This Row],[semana]]&amp;"|"&amp;tblAsignaciones[[#This Row],[dia]]&amp;"|"&amp;tblAsignaciones[[#This Row],[tecnico]]</f>
        <v/>
      </c>
      <c r="O28" s="3">
        <f>_xlfn.XLOOKUP(tblAsignaciones[[#This Row],[turno]],tblTurnos[turno],tblTurnos[hora_inicio],"")</f>
        <v/>
      </c>
      <c r="P28" s="3">
        <f>_xlfn.XLOOKUP(tblAsignaciones[[#This Row],[turno]],tblTurnos[turno],tblTurnos[hora_fin],"")</f>
        <v/>
      </c>
      <c r="Q28" s="3">
        <f>IF(AND(LEFT(tblAsignaciones[[#This Row],[posicion_ciclo]],1)="T",tblAsignaciones[[#This Row],[en_vacaciones]]="no"),"sí","no")</f>
        <v/>
      </c>
    </row>
    <row r="29">
      <c r="A29" s="3" t="inlineStr">
        <is>
          <t>2026-S30</t>
        </is>
      </c>
      <c r="B29" s="3" t="inlineStr">
        <is>
          <t>viernes</t>
        </is>
      </c>
      <c r="C29" s="3" t="inlineStr">
        <is>
          <t>Técnico 04</t>
        </is>
      </c>
      <c r="D29" s="3">
        <f>_xlfn.XLOOKUP(tblAsignaciones[[#This Row],[tecnico]],tblTecnicos[nombre],tblTecnicos[area],"")</f>
        <v/>
      </c>
      <c r="E29" s="3">
        <f>_xlfn.XLOOKUP(tblAsignaciones[[#This Row],[tecnico]],tblTecnicos[nombre],tblTecnicos[especialidad],"")</f>
        <v/>
      </c>
      <c r="F29" s="3">
        <f>COUNTIFS(tblTecnicos[rotativo],"SI",tblTecnicos[especialidad],tblAsignaciones[[#This Row],[especialidad]],tblTecnicos[area],tblAsignaciones[[#This Row],[area]])</f>
        <v/>
      </c>
      <c r="G2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" s="6" t="n"/>
      <c r="J2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" s="3">
        <f>_xlfn.XLOOKUP(tblAsignaciones[[#This Row],[tecnico]],tblTecnicos[nombre],tblTecnicos[supervisor],"")</f>
        <v/>
      </c>
      <c r="L2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" s="3">
        <f>tblAsignaciones[[#This Row],[semana]]&amp;"|"&amp;tblAsignaciones[[#This Row],[dia]]&amp;"|"&amp;tblAsignaciones[[#This Row],[tecnico]]</f>
        <v/>
      </c>
      <c r="O29" s="3">
        <f>_xlfn.XLOOKUP(tblAsignaciones[[#This Row],[turno]],tblTurnos[turno],tblTurnos[hora_inicio],"")</f>
        <v/>
      </c>
      <c r="P29" s="3">
        <f>_xlfn.XLOOKUP(tblAsignaciones[[#This Row],[turno]],tblTurnos[turno],tblTurnos[hora_fin],"")</f>
        <v/>
      </c>
      <c r="Q29" s="3">
        <f>IF(AND(LEFT(tblAsignaciones[[#This Row],[posicion_ciclo]],1)="T",tblAsignaciones[[#This Row],[en_vacaciones]]="no"),"sí","no")</f>
        <v/>
      </c>
    </row>
    <row r="30">
      <c r="A30" s="3" t="inlineStr">
        <is>
          <t>2026-S30</t>
        </is>
      </c>
      <c r="B30" s="3" t="inlineStr">
        <is>
          <t>sábado</t>
        </is>
      </c>
      <c r="C30" s="3" t="inlineStr">
        <is>
          <t>Técnico 04</t>
        </is>
      </c>
      <c r="D30" s="3">
        <f>_xlfn.XLOOKUP(tblAsignaciones[[#This Row],[tecnico]],tblTecnicos[nombre],tblTecnicos[area],"")</f>
        <v/>
      </c>
      <c r="E30" s="3">
        <f>_xlfn.XLOOKUP(tblAsignaciones[[#This Row],[tecnico]],tblTecnicos[nombre],tblTecnicos[especialidad],"")</f>
        <v/>
      </c>
      <c r="F30" s="3">
        <f>COUNTIFS(tblTecnicos[rotativo],"SI",tblTecnicos[especialidad],tblAsignaciones[[#This Row],[especialidad]],tblTecnicos[area],tblAsignaciones[[#This Row],[area]])</f>
        <v/>
      </c>
      <c r="G3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" s="6" t="n"/>
      <c r="J3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" s="3">
        <f>_xlfn.XLOOKUP(tblAsignaciones[[#This Row],[tecnico]],tblTecnicos[nombre],tblTecnicos[supervisor],"")</f>
        <v/>
      </c>
      <c r="L3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" s="3">
        <f>tblAsignaciones[[#This Row],[semana]]&amp;"|"&amp;tblAsignaciones[[#This Row],[dia]]&amp;"|"&amp;tblAsignaciones[[#This Row],[tecnico]]</f>
        <v/>
      </c>
      <c r="O30" s="3">
        <f>_xlfn.XLOOKUP(tblAsignaciones[[#This Row],[turno]],tblTurnos[turno],tblTurnos[hora_inicio],"")</f>
        <v/>
      </c>
      <c r="P30" s="3">
        <f>_xlfn.XLOOKUP(tblAsignaciones[[#This Row],[turno]],tblTurnos[turno],tblTurnos[hora_fin],"")</f>
        <v/>
      </c>
      <c r="Q30" s="3">
        <f>IF(AND(LEFT(tblAsignaciones[[#This Row],[posicion_ciclo]],1)="T",tblAsignaciones[[#This Row],[en_vacaciones]]="no"),"sí","no")</f>
        <v/>
      </c>
    </row>
    <row r="31">
      <c r="A31" s="3" t="inlineStr">
        <is>
          <t>2026-S30</t>
        </is>
      </c>
      <c r="B31" s="3" t="inlineStr">
        <is>
          <t>domingo</t>
        </is>
      </c>
      <c r="C31" s="3" t="inlineStr">
        <is>
          <t>Técnico 04</t>
        </is>
      </c>
      <c r="D31" s="3">
        <f>_xlfn.XLOOKUP(tblAsignaciones[[#This Row],[tecnico]],tblTecnicos[nombre],tblTecnicos[area],"")</f>
        <v/>
      </c>
      <c r="E31" s="3">
        <f>_xlfn.XLOOKUP(tblAsignaciones[[#This Row],[tecnico]],tblTecnicos[nombre],tblTecnicos[especialidad],"")</f>
        <v/>
      </c>
      <c r="F31" s="3">
        <f>COUNTIFS(tblTecnicos[rotativo],"SI",tblTecnicos[especialidad],tblAsignaciones[[#This Row],[especialidad]],tblTecnicos[area],tblAsignaciones[[#This Row],[area]])</f>
        <v/>
      </c>
      <c r="G3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" s="6" t="n"/>
      <c r="J3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" s="3">
        <f>_xlfn.XLOOKUP(tblAsignaciones[[#This Row],[tecnico]],tblTecnicos[nombre],tblTecnicos[supervisor],"")</f>
        <v/>
      </c>
      <c r="L3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" s="3">
        <f>tblAsignaciones[[#This Row],[semana]]&amp;"|"&amp;tblAsignaciones[[#This Row],[dia]]&amp;"|"&amp;tblAsignaciones[[#This Row],[tecnico]]</f>
        <v/>
      </c>
      <c r="O31" s="3">
        <f>_xlfn.XLOOKUP(tblAsignaciones[[#This Row],[turno]],tblTurnos[turno],tblTurnos[hora_inicio],"")</f>
        <v/>
      </c>
      <c r="P31" s="3">
        <f>_xlfn.XLOOKUP(tblAsignaciones[[#This Row],[turno]],tblTurnos[turno],tblTurnos[hora_fin],"")</f>
        <v/>
      </c>
      <c r="Q31" s="3">
        <f>IF(AND(LEFT(tblAsignaciones[[#This Row],[posicion_ciclo]],1)="T",tblAsignaciones[[#This Row],[en_vacaciones]]="no"),"sí","no")</f>
        <v/>
      </c>
    </row>
    <row r="32">
      <c r="A32" s="3" t="inlineStr">
        <is>
          <t>2026-S30</t>
        </is>
      </c>
      <c r="B32" s="3" t="inlineStr">
        <is>
          <t>lunes</t>
        </is>
      </c>
      <c r="C32" s="3" t="inlineStr">
        <is>
          <t>Técnico 05</t>
        </is>
      </c>
      <c r="D32" s="3">
        <f>_xlfn.XLOOKUP(tblAsignaciones[[#This Row],[tecnico]],tblTecnicos[nombre],tblTecnicos[area],"")</f>
        <v/>
      </c>
      <c r="E32" s="3">
        <f>_xlfn.XLOOKUP(tblAsignaciones[[#This Row],[tecnico]],tblTecnicos[nombre],tblTecnicos[especialidad],"")</f>
        <v/>
      </c>
      <c r="F32" s="3">
        <f>COUNTIFS(tblTecnicos[rotativo],"SI",tblTecnicos[especialidad],tblAsignaciones[[#This Row],[especialidad]],tblTecnicos[area],tblAsignaciones[[#This Row],[area]])</f>
        <v/>
      </c>
      <c r="G3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" s="6" t="n"/>
      <c r="J3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" s="3">
        <f>_xlfn.XLOOKUP(tblAsignaciones[[#This Row],[tecnico]],tblTecnicos[nombre],tblTecnicos[supervisor],"")</f>
        <v/>
      </c>
      <c r="L3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" s="3">
        <f>tblAsignaciones[[#This Row],[semana]]&amp;"|"&amp;tblAsignaciones[[#This Row],[dia]]&amp;"|"&amp;tblAsignaciones[[#This Row],[tecnico]]</f>
        <v/>
      </c>
      <c r="O32" s="3">
        <f>_xlfn.XLOOKUP(tblAsignaciones[[#This Row],[turno]],tblTurnos[turno],tblTurnos[hora_inicio],"")</f>
        <v/>
      </c>
      <c r="P32" s="3">
        <f>_xlfn.XLOOKUP(tblAsignaciones[[#This Row],[turno]],tblTurnos[turno],tblTurnos[hora_fin],"")</f>
        <v/>
      </c>
      <c r="Q32" s="3">
        <f>IF(AND(LEFT(tblAsignaciones[[#This Row],[posicion_ciclo]],1)="T",tblAsignaciones[[#This Row],[en_vacaciones]]="no"),"sí","no")</f>
        <v/>
      </c>
    </row>
    <row r="33">
      <c r="A33" s="3" t="inlineStr">
        <is>
          <t>2026-S30</t>
        </is>
      </c>
      <c r="B33" s="3" t="inlineStr">
        <is>
          <t>martes</t>
        </is>
      </c>
      <c r="C33" s="3" t="inlineStr">
        <is>
          <t>Técnico 05</t>
        </is>
      </c>
      <c r="D33" s="3">
        <f>_xlfn.XLOOKUP(tblAsignaciones[[#This Row],[tecnico]],tblTecnicos[nombre],tblTecnicos[area],"")</f>
        <v/>
      </c>
      <c r="E33" s="3">
        <f>_xlfn.XLOOKUP(tblAsignaciones[[#This Row],[tecnico]],tblTecnicos[nombre],tblTecnicos[especialidad],"")</f>
        <v/>
      </c>
      <c r="F33" s="3">
        <f>COUNTIFS(tblTecnicos[rotativo],"SI",tblTecnicos[especialidad],tblAsignaciones[[#This Row],[especialidad]],tblTecnicos[area],tblAsignaciones[[#This Row],[area]])</f>
        <v/>
      </c>
      <c r="G3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" s="6" t="n"/>
      <c r="J3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" s="3">
        <f>_xlfn.XLOOKUP(tblAsignaciones[[#This Row],[tecnico]],tblTecnicos[nombre],tblTecnicos[supervisor],"")</f>
        <v/>
      </c>
      <c r="L3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" s="3">
        <f>tblAsignaciones[[#This Row],[semana]]&amp;"|"&amp;tblAsignaciones[[#This Row],[dia]]&amp;"|"&amp;tblAsignaciones[[#This Row],[tecnico]]</f>
        <v/>
      </c>
      <c r="O33" s="3">
        <f>_xlfn.XLOOKUP(tblAsignaciones[[#This Row],[turno]],tblTurnos[turno],tblTurnos[hora_inicio],"")</f>
        <v/>
      </c>
      <c r="P33" s="3">
        <f>_xlfn.XLOOKUP(tblAsignaciones[[#This Row],[turno]],tblTurnos[turno],tblTurnos[hora_fin],"")</f>
        <v/>
      </c>
      <c r="Q33" s="3">
        <f>IF(AND(LEFT(tblAsignaciones[[#This Row],[posicion_ciclo]],1)="T",tblAsignaciones[[#This Row],[en_vacaciones]]="no"),"sí","no")</f>
        <v/>
      </c>
    </row>
    <row r="34">
      <c r="A34" s="3" t="inlineStr">
        <is>
          <t>2026-S30</t>
        </is>
      </c>
      <c r="B34" s="3" t="inlineStr">
        <is>
          <t>miércoles</t>
        </is>
      </c>
      <c r="C34" s="3" t="inlineStr">
        <is>
          <t>Técnico 05</t>
        </is>
      </c>
      <c r="D34" s="3">
        <f>_xlfn.XLOOKUP(tblAsignaciones[[#This Row],[tecnico]],tblTecnicos[nombre],tblTecnicos[area],"")</f>
        <v/>
      </c>
      <c r="E34" s="3">
        <f>_xlfn.XLOOKUP(tblAsignaciones[[#This Row],[tecnico]],tblTecnicos[nombre],tblTecnicos[especialidad],"")</f>
        <v/>
      </c>
      <c r="F34" s="3">
        <f>COUNTIFS(tblTecnicos[rotativo],"SI",tblTecnicos[especialidad],tblAsignaciones[[#This Row],[especialidad]],tblTecnicos[area],tblAsignaciones[[#This Row],[area]])</f>
        <v/>
      </c>
      <c r="G3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" s="6" t="n"/>
      <c r="J3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" s="3">
        <f>_xlfn.XLOOKUP(tblAsignaciones[[#This Row],[tecnico]],tblTecnicos[nombre],tblTecnicos[supervisor],"")</f>
        <v/>
      </c>
      <c r="L3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" s="3">
        <f>tblAsignaciones[[#This Row],[semana]]&amp;"|"&amp;tblAsignaciones[[#This Row],[dia]]&amp;"|"&amp;tblAsignaciones[[#This Row],[tecnico]]</f>
        <v/>
      </c>
      <c r="O34" s="3">
        <f>_xlfn.XLOOKUP(tblAsignaciones[[#This Row],[turno]],tblTurnos[turno],tblTurnos[hora_inicio],"")</f>
        <v/>
      </c>
      <c r="P34" s="3">
        <f>_xlfn.XLOOKUP(tblAsignaciones[[#This Row],[turno]],tblTurnos[turno],tblTurnos[hora_fin],"")</f>
        <v/>
      </c>
      <c r="Q34" s="3">
        <f>IF(AND(LEFT(tblAsignaciones[[#This Row],[posicion_ciclo]],1)="T",tblAsignaciones[[#This Row],[en_vacaciones]]="no"),"sí","no")</f>
        <v/>
      </c>
    </row>
    <row r="35">
      <c r="A35" s="3" t="inlineStr">
        <is>
          <t>2026-S30</t>
        </is>
      </c>
      <c r="B35" s="3" t="inlineStr">
        <is>
          <t>jueves</t>
        </is>
      </c>
      <c r="C35" s="3" t="inlineStr">
        <is>
          <t>Técnico 05</t>
        </is>
      </c>
      <c r="D35" s="3">
        <f>_xlfn.XLOOKUP(tblAsignaciones[[#This Row],[tecnico]],tblTecnicos[nombre],tblTecnicos[area],"")</f>
        <v/>
      </c>
      <c r="E35" s="3">
        <f>_xlfn.XLOOKUP(tblAsignaciones[[#This Row],[tecnico]],tblTecnicos[nombre],tblTecnicos[especialidad],"")</f>
        <v/>
      </c>
      <c r="F35" s="3">
        <f>COUNTIFS(tblTecnicos[rotativo],"SI",tblTecnicos[especialidad],tblAsignaciones[[#This Row],[especialidad]],tblTecnicos[area],tblAsignaciones[[#This Row],[area]])</f>
        <v/>
      </c>
      <c r="G3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" s="6" t="n"/>
      <c r="J3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" s="3">
        <f>_xlfn.XLOOKUP(tblAsignaciones[[#This Row],[tecnico]],tblTecnicos[nombre],tblTecnicos[supervisor],"")</f>
        <v/>
      </c>
      <c r="L3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" s="3">
        <f>tblAsignaciones[[#This Row],[semana]]&amp;"|"&amp;tblAsignaciones[[#This Row],[dia]]&amp;"|"&amp;tblAsignaciones[[#This Row],[tecnico]]</f>
        <v/>
      </c>
      <c r="O35" s="3">
        <f>_xlfn.XLOOKUP(tblAsignaciones[[#This Row],[turno]],tblTurnos[turno],tblTurnos[hora_inicio],"")</f>
        <v/>
      </c>
      <c r="P35" s="3">
        <f>_xlfn.XLOOKUP(tblAsignaciones[[#This Row],[turno]],tblTurnos[turno],tblTurnos[hora_fin],"")</f>
        <v/>
      </c>
      <c r="Q35" s="3">
        <f>IF(AND(LEFT(tblAsignaciones[[#This Row],[posicion_ciclo]],1)="T",tblAsignaciones[[#This Row],[en_vacaciones]]="no"),"sí","no")</f>
        <v/>
      </c>
    </row>
    <row r="36">
      <c r="A36" s="3" t="inlineStr">
        <is>
          <t>2026-S30</t>
        </is>
      </c>
      <c r="B36" s="3" t="inlineStr">
        <is>
          <t>viernes</t>
        </is>
      </c>
      <c r="C36" s="3" t="inlineStr">
        <is>
          <t>Técnico 05</t>
        </is>
      </c>
      <c r="D36" s="3">
        <f>_xlfn.XLOOKUP(tblAsignaciones[[#This Row],[tecnico]],tblTecnicos[nombre],tblTecnicos[area],"")</f>
        <v/>
      </c>
      <c r="E36" s="3">
        <f>_xlfn.XLOOKUP(tblAsignaciones[[#This Row],[tecnico]],tblTecnicos[nombre],tblTecnicos[especialidad],"")</f>
        <v/>
      </c>
      <c r="F36" s="3">
        <f>COUNTIFS(tblTecnicos[rotativo],"SI",tblTecnicos[especialidad],tblAsignaciones[[#This Row],[especialidad]],tblTecnicos[area],tblAsignaciones[[#This Row],[area]])</f>
        <v/>
      </c>
      <c r="G3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" s="6" t="n"/>
      <c r="J3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" s="3">
        <f>_xlfn.XLOOKUP(tblAsignaciones[[#This Row],[tecnico]],tblTecnicos[nombre],tblTecnicos[supervisor],"")</f>
        <v/>
      </c>
      <c r="L3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" s="3">
        <f>tblAsignaciones[[#This Row],[semana]]&amp;"|"&amp;tblAsignaciones[[#This Row],[dia]]&amp;"|"&amp;tblAsignaciones[[#This Row],[tecnico]]</f>
        <v/>
      </c>
      <c r="O36" s="3">
        <f>_xlfn.XLOOKUP(tblAsignaciones[[#This Row],[turno]],tblTurnos[turno],tblTurnos[hora_inicio],"")</f>
        <v/>
      </c>
      <c r="P36" s="3">
        <f>_xlfn.XLOOKUP(tblAsignaciones[[#This Row],[turno]],tblTurnos[turno],tblTurnos[hora_fin],"")</f>
        <v/>
      </c>
      <c r="Q36" s="3">
        <f>IF(AND(LEFT(tblAsignaciones[[#This Row],[posicion_ciclo]],1)="T",tblAsignaciones[[#This Row],[en_vacaciones]]="no"),"sí","no")</f>
        <v/>
      </c>
    </row>
    <row r="37">
      <c r="A37" s="3" t="inlineStr">
        <is>
          <t>2026-S30</t>
        </is>
      </c>
      <c r="B37" s="3" t="inlineStr">
        <is>
          <t>sábado</t>
        </is>
      </c>
      <c r="C37" s="3" t="inlineStr">
        <is>
          <t>Técnico 05</t>
        </is>
      </c>
      <c r="D37" s="3">
        <f>_xlfn.XLOOKUP(tblAsignaciones[[#This Row],[tecnico]],tblTecnicos[nombre],tblTecnicos[area],"")</f>
        <v/>
      </c>
      <c r="E37" s="3">
        <f>_xlfn.XLOOKUP(tblAsignaciones[[#This Row],[tecnico]],tblTecnicos[nombre],tblTecnicos[especialidad],"")</f>
        <v/>
      </c>
      <c r="F37" s="3">
        <f>COUNTIFS(tblTecnicos[rotativo],"SI",tblTecnicos[especialidad],tblAsignaciones[[#This Row],[especialidad]],tblTecnicos[area],tblAsignaciones[[#This Row],[area]])</f>
        <v/>
      </c>
      <c r="G3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" s="6" t="n"/>
      <c r="J3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" s="3">
        <f>_xlfn.XLOOKUP(tblAsignaciones[[#This Row],[tecnico]],tblTecnicos[nombre],tblTecnicos[supervisor],"")</f>
        <v/>
      </c>
      <c r="L3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" s="3">
        <f>tblAsignaciones[[#This Row],[semana]]&amp;"|"&amp;tblAsignaciones[[#This Row],[dia]]&amp;"|"&amp;tblAsignaciones[[#This Row],[tecnico]]</f>
        <v/>
      </c>
      <c r="O37" s="3">
        <f>_xlfn.XLOOKUP(tblAsignaciones[[#This Row],[turno]],tblTurnos[turno],tblTurnos[hora_inicio],"")</f>
        <v/>
      </c>
      <c r="P37" s="3">
        <f>_xlfn.XLOOKUP(tblAsignaciones[[#This Row],[turno]],tblTurnos[turno],tblTurnos[hora_fin],"")</f>
        <v/>
      </c>
      <c r="Q37" s="3">
        <f>IF(AND(LEFT(tblAsignaciones[[#This Row],[posicion_ciclo]],1)="T",tblAsignaciones[[#This Row],[en_vacaciones]]="no"),"sí","no")</f>
        <v/>
      </c>
    </row>
    <row r="38">
      <c r="A38" s="3" t="inlineStr">
        <is>
          <t>2026-S30</t>
        </is>
      </c>
      <c r="B38" s="3" t="inlineStr">
        <is>
          <t>domingo</t>
        </is>
      </c>
      <c r="C38" s="3" t="inlineStr">
        <is>
          <t>Técnico 05</t>
        </is>
      </c>
      <c r="D38" s="3">
        <f>_xlfn.XLOOKUP(tblAsignaciones[[#This Row],[tecnico]],tblTecnicos[nombre],tblTecnicos[area],"")</f>
        <v/>
      </c>
      <c r="E38" s="3">
        <f>_xlfn.XLOOKUP(tblAsignaciones[[#This Row],[tecnico]],tblTecnicos[nombre],tblTecnicos[especialidad],"")</f>
        <v/>
      </c>
      <c r="F38" s="3">
        <f>COUNTIFS(tblTecnicos[rotativo],"SI",tblTecnicos[especialidad],tblAsignaciones[[#This Row],[especialidad]],tblTecnicos[area],tblAsignaciones[[#This Row],[area]])</f>
        <v/>
      </c>
      <c r="G3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" s="6" t="n"/>
      <c r="J3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" s="3">
        <f>_xlfn.XLOOKUP(tblAsignaciones[[#This Row],[tecnico]],tblTecnicos[nombre],tblTecnicos[supervisor],"")</f>
        <v/>
      </c>
      <c r="L3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" s="3">
        <f>tblAsignaciones[[#This Row],[semana]]&amp;"|"&amp;tblAsignaciones[[#This Row],[dia]]&amp;"|"&amp;tblAsignaciones[[#This Row],[tecnico]]</f>
        <v/>
      </c>
      <c r="O38" s="3">
        <f>_xlfn.XLOOKUP(tblAsignaciones[[#This Row],[turno]],tblTurnos[turno],tblTurnos[hora_inicio],"")</f>
        <v/>
      </c>
      <c r="P38" s="3">
        <f>_xlfn.XLOOKUP(tblAsignaciones[[#This Row],[turno]],tblTurnos[turno],tblTurnos[hora_fin],"")</f>
        <v/>
      </c>
      <c r="Q38" s="3">
        <f>IF(AND(LEFT(tblAsignaciones[[#This Row],[posicion_ciclo]],1)="T",tblAsignaciones[[#This Row],[en_vacaciones]]="no"),"sí","no")</f>
        <v/>
      </c>
    </row>
    <row r="39">
      <c r="A39" s="3" t="inlineStr">
        <is>
          <t>2026-S30</t>
        </is>
      </c>
      <c r="B39" s="3" t="inlineStr">
        <is>
          <t>lunes</t>
        </is>
      </c>
      <c r="C39" s="3" t="inlineStr">
        <is>
          <t>Técnico 06</t>
        </is>
      </c>
      <c r="D39" s="3">
        <f>_xlfn.XLOOKUP(tblAsignaciones[[#This Row],[tecnico]],tblTecnicos[nombre],tblTecnicos[area],"")</f>
        <v/>
      </c>
      <c r="E39" s="3">
        <f>_xlfn.XLOOKUP(tblAsignaciones[[#This Row],[tecnico]],tblTecnicos[nombre],tblTecnicos[especialidad],"")</f>
        <v/>
      </c>
      <c r="F39" s="3">
        <f>COUNTIFS(tblTecnicos[rotativo],"SI",tblTecnicos[especialidad],tblAsignaciones[[#This Row],[especialidad]],tblTecnicos[area],tblAsignaciones[[#This Row],[area]])</f>
        <v/>
      </c>
      <c r="G3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" s="6" t="n"/>
      <c r="J3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" s="3">
        <f>_xlfn.XLOOKUP(tblAsignaciones[[#This Row],[tecnico]],tblTecnicos[nombre],tblTecnicos[supervisor],"")</f>
        <v/>
      </c>
      <c r="L3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" s="3">
        <f>tblAsignaciones[[#This Row],[semana]]&amp;"|"&amp;tblAsignaciones[[#This Row],[dia]]&amp;"|"&amp;tblAsignaciones[[#This Row],[tecnico]]</f>
        <v/>
      </c>
      <c r="O39" s="3">
        <f>_xlfn.XLOOKUP(tblAsignaciones[[#This Row],[turno]],tblTurnos[turno],tblTurnos[hora_inicio],"")</f>
        <v/>
      </c>
      <c r="P39" s="3">
        <f>_xlfn.XLOOKUP(tblAsignaciones[[#This Row],[turno]],tblTurnos[turno],tblTurnos[hora_fin],"")</f>
        <v/>
      </c>
      <c r="Q39" s="3">
        <f>IF(AND(LEFT(tblAsignaciones[[#This Row],[posicion_ciclo]],1)="T",tblAsignaciones[[#This Row],[en_vacaciones]]="no"),"sí","no")</f>
        <v/>
      </c>
    </row>
    <row r="40">
      <c r="A40" s="3" t="inlineStr">
        <is>
          <t>2026-S30</t>
        </is>
      </c>
      <c r="B40" s="3" t="inlineStr">
        <is>
          <t>martes</t>
        </is>
      </c>
      <c r="C40" s="3" t="inlineStr">
        <is>
          <t>Técnico 06</t>
        </is>
      </c>
      <c r="D40" s="3">
        <f>_xlfn.XLOOKUP(tblAsignaciones[[#This Row],[tecnico]],tblTecnicos[nombre],tblTecnicos[area],"")</f>
        <v/>
      </c>
      <c r="E40" s="3">
        <f>_xlfn.XLOOKUP(tblAsignaciones[[#This Row],[tecnico]],tblTecnicos[nombre],tblTecnicos[especialidad],"")</f>
        <v/>
      </c>
      <c r="F40" s="3">
        <f>COUNTIFS(tblTecnicos[rotativo],"SI",tblTecnicos[especialidad],tblAsignaciones[[#This Row],[especialidad]],tblTecnicos[area],tblAsignaciones[[#This Row],[area]])</f>
        <v/>
      </c>
      <c r="G4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" s="6" t="n"/>
      <c r="J4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" s="3">
        <f>_xlfn.XLOOKUP(tblAsignaciones[[#This Row],[tecnico]],tblTecnicos[nombre],tblTecnicos[supervisor],"")</f>
        <v/>
      </c>
      <c r="L4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" s="3">
        <f>tblAsignaciones[[#This Row],[semana]]&amp;"|"&amp;tblAsignaciones[[#This Row],[dia]]&amp;"|"&amp;tblAsignaciones[[#This Row],[tecnico]]</f>
        <v/>
      </c>
      <c r="O40" s="3">
        <f>_xlfn.XLOOKUP(tblAsignaciones[[#This Row],[turno]],tblTurnos[turno],tblTurnos[hora_inicio],"")</f>
        <v/>
      </c>
      <c r="P40" s="3">
        <f>_xlfn.XLOOKUP(tblAsignaciones[[#This Row],[turno]],tblTurnos[turno],tblTurnos[hora_fin],"")</f>
        <v/>
      </c>
      <c r="Q40" s="3">
        <f>IF(AND(LEFT(tblAsignaciones[[#This Row],[posicion_ciclo]],1)="T",tblAsignaciones[[#This Row],[en_vacaciones]]="no"),"sí","no")</f>
        <v/>
      </c>
    </row>
    <row r="41">
      <c r="A41" s="3" t="inlineStr">
        <is>
          <t>2026-S30</t>
        </is>
      </c>
      <c r="B41" s="3" t="inlineStr">
        <is>
          <t>miércoles</t>
        </is>
      </c>
      <c r="C41" s="3" t="inlineStr">
        <is>
          <t>Técnico 06</t>
        </is>
      </c>
      <c r="D41" s="3">
        <f>_xlfn.XLOOKUP(tblAsignaciones[[#This Row],[tecnico]],tblTecnicos[nombre],tblTecnicos[area],"")</f>
        <v/>
      </c>
      <c r="E41" s="3">
        <f>_xlfn.XLOOKUP(tblAsignaciones[[#This Row],[tecnico]],tblTecnicos[nombre],tblTecnicos[especialidad],"")</f>
        <v/>
      </c>
      <c r="F41" s="3">
        <f>COUNTIFS(tblTecnicos[rotativo],"SI",tblTecnicos[especialidad],tblAsignaciones[[#This Row],[especialidad]],tblTecnicos[area],tblAsignaciones[[#This Row],[area]])</f>
        <v/>
      </c>
      <c r="G4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" s="6" t="n"/>
      <c r="J4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" s="3">
        <f>_xlfn.XLOOKUP(tblAsignaciones[[#This Row],[tecnico]],tblTecnicos[nombre],tblTecnicos[supervisor],"")</f>
        <v/>
      </c>
      <c r="L4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" s="3">
        <f>tblAsignaciones[[#This Row],[semana]]&amp;"|"&amp;tblAsignaciones[[#This Row],[dia]]&amp;"|"&amp;tblAsignaciones[[#This Row],[tecnico]]</f>
        <v/>
      </c>
      <c r="O41" s="3">
        <f>_xlfn.XLOOKUP(tblAsignaciones[[#This Row],[turno]],tblTurnos[turno],tblTurnos[hora_inicio],"")</f>
        <v/>
      </c>
      <c r="P41" s="3">
        <f>_xlfn.XLOOKUP(tblAsignaciones[[#This Row],[turno]],tblTurnos[turno],tblTurnos[hora_fin],"")</f>
        <v/>
      </c>
      <c r="Q41" s="3">
        <f>IF(AND(LEFT(tblAsignaciones[[#This Row],[posicion_ciclo]],1)="T",tblAsignaciones[[#This Row],[en_vacaciones]]="no"),"sí","no")</f>
        <v/>
      </c>
    </row>
    <row r="42">
      <c r="A42" s="3" t="inlineStr">
        <is>
          <t>2026-S30</t>
        </is>
      </c>
      <c r="B42" s="3" t="inlineStr">
        <is>
          <t>jueves</t>
        </is>
      </c>
      <c r="C42" s="3" t="inlineStr">
        <is>
          <t>Técnico 06</t>
        </is>
      </c>
      <c r="D42" s="3">
        <f>_xlfn.XLOOKUP(tblAsignaciones[[#This Row],[tecnico]],tblTecnicos[nombre],tblTecnicos[area],"")</f>
        <v/>
      </c>
      <c r="E42" s="3">
        <f>_xlfn.XLOOKUP(tblAsignaciones[[#This Row],[tecnico]],tblTecnicos[nombre],tblTecnicos[especialidad],"")</f>
        <v/>
      </c>
      <c r="F42" s="3">
        <f>COUNTIFS(tblTecnicos[rotativo],"SI",tblTecnicos[especialidad],tblAsignaciones[[#This Row],[especialidad]],tblTecnicos[area],tblAsignaciones[[#This Row],[area]])</f>
        <v/>
      </c>
      <c r="G4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" s="6" t="n"/>
      <c r="J4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" s="3">
        <f>_xlfn.XLOOKUP(tblAsignaciones[[#This Row],[tecnico]],tblTecnicos[nombre],tblTecnicos[supervisor],"")</f>
        <v/>
      </c>
      <c r="L4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" s="3">
        <f>tblAsignaciones[[#This Row],[semana]]&amp;"|"&amp;tblAsignaciones[[#This Row],[dia]]&amp;"|"&amp;tblAsignaciones[[#This Row],[tecnico]]</f>
        <v/>
      </c>
      <c r="O42" s="3">
        <f>_xlfn.XLOOKUP(tblAsignaciones[[#This Row],[turno]],tblTurnos[turno],tblTurnos[hora_inicio],"")</f>
        <v/>
      </c>
      <c r="P42" s="3">
        <f>_xlfn.XLOOKUP(tblAsignaciones[[#This Row],[turno]],tblTurnos[turno],tblTurnos[hora_fin],"")</f>
        <v/>
      </c>
      <c r="Q42" s="3">
        <f>IF(AND(LEFT(tblAsignaciones[[#This Row],[posicion_ciclo]],1)="T",tblAsignaciones[[#This Row],[en_vacaciones]]="no"),"sí","no")</f>
        <v/>
      </c>
    </row>
    <row r="43">
      <c r="A43" s="3" t="inlineStr">
        <is>
          <t>2026-S30</t>
        </is>
      </c>
      <c r="B43" s="3" t="inlineStr">
        <is>
          <t>viernes</t>
        </is>
      </c>
      <c r="C43" s="3" t="inlineStr">
        <is>
          <t>Técnico 06</t>
        </is>
      </c>
      <c r="D43" s="3">
        <f>_xlfn.XLOOKUP(tblAsignaciones[[#This Row],[tecnico]],tblTecnicos[nombre],tblTecnicos[area],"")</f>
        <v/>
      </c>
      <c r="E43" s="3">
        <f>_xlfn.XLOOKUP(tblAsignaciones[[#This Row],[tecnico]],tblTecnicos[nombre],tblTecnicos[especialidad],"")</f>
        <v/>
      </c>
      <c r="F43" s="3">
        <f>COUNTIFS(tblTecnicos[rotativo],"SI",tblTecnicos[especialidad],tblAsignaciones[[#This Row],[especialidad]],tblTecnicos[area],tblAsignaciones[[#This Row],[area]])</f>
        <v/>
      </c>
      <c r="G4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" s="6" t="n"/>
      <c r="J4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" s="3">
        <f>_xlfn.XLOOKUP(tblAsignaciones[[#This Row],[tecnico]],tblTecnicos[nombre],tblTecnicos[supervisor],"")</f>
        <v/>
      </c>
      <c r="L4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" s="3">
        <f>tblAsignaciones[[#This Row],[semana]]&amp;"|"&amp;tblAsignaciones[[#This Row],[dia]]&amp;"|"&amp;tblAsignaciones[[#This Row],[tecnico]]</f>
        <v/>
      </c>
      <c r="O43" s="3">
        <f>_xlfn.XLOOKUP(tblAsignaciones[[#This Row],[turno]],tblTurnos[turno],tblTurnos[hora_inicio],"")</f>
        <v/>
      </c>
      <c r="P43" s="3">
        <f>_xlfn.XLOOKUP(tblAsignaciones[[#This Row],[turno]],tblTurnos[turno],tblTurnos[hora_fin],"")</f>
        <v/>
      </c>
      <c r="Q43" s="3">
        <f>IF(AND(LEFT(tblAsignaciones[[#This Row],[posicion_ciclo]],1)="T",tblAsignaciones[[#This Row],[en_vacaciones]]="no"),"sí","no")</f>
        <v/>
      </c>
    </row>
    <row r="44">
      <c r="A44" s="3" t="inlineStr">
        <is>
          <t>2026-S30</t>
        </is>
      </c>
      <c r="B44" s="3" t="inlineStr">
        <is>
          <t>sábado</t>
        </is>
      </c>
      <c r="C44" s="3" t="inlineStr">
        <is>
          <t>Técnico 06</t>
        </is>
      </c>
      <c r="D44" s="3">
        <f>_xlfn.XLOOKUP(tblAsignaciones[[#This Row],[tecnico]],tblTecnicos[nombre],tblTecnicos[area],"")</f>
        <v/>
      </c>
      <c r="E44" s="3">
        <f>_xlfn.XLOOKUP(tblAsignaciones[[#This Row],[tecnico]],tblTecnicos[nombre],tblTecnicos[especialidad],"")</f>
        <v/>
      </c>
      <c r="F44" s="3">
        <f>COUNTIFS(tblTecnicos[rotativo],"SI",tblTecnicos[especialidad],tblAsignaciones[[#This Row],[especialidad]],tblTecnicos[area],tblAsignaciones[[#This Row],[area]])</f>
        <v/>
      </c>
      <c r="G4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" s="6" t="n"/>
      <c r="J4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" s="3">
        <f>_xlfn.XLOOKUP(tblAsignaciones[[#This Row],[tecnico]],tblTecnicos[nombre],tblTecnicos[supervisor],"")</f>
        <v/>
      </c>
      <c r="L4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" s="3">
        <f>tblAsignaciones[[#This Row],[semana]]&amp;"|"&amp;tblAsignaciones[[#This Row],[dia]]&amp;"|"&amp;tblAsignaciones[[#This Row],[tecnico]]</f>
        <v/>
      </c>
      <c r="O44" s="3">
        <f>_xlfn.XLOOKUP(tblAsignaciones[[#This Row],[turno]],tblTurnos[turno],tblTurnos[hora_inicio],"")</f>
        <v/>
      </c>
      <c r="P44" s="3">
        <f>_xlfn.XLOOKUP(tblAsignaciones[[#This Row],[turno]],tblTurnos[turno],tblTurnos[hora_fin],"")</f>
        <v/>
      </c>
      <c r="Q44" s="3">
        <f>IF(AND(LEFT(tblAsignaciones[[#This Row],[posicion_ciclo]],1)="T",tblAsignaciones[[#This Row],[en_vacaciones]]="no"),"sí","no")</f>
        <v/>
      </c>
    </row>
    <row r="45">
      <c r="A45" s="3" t="inlineStr">
        <is>
          <t>2026-S30</t>
        </is>
      </c>
      <c r="B45" s="3" t="inlineStr">
        <is>
          <t>domingo</t>
        </is>
      </c>
      <c r="C45" s="3" t="inlineStr">
        <is>
          <t>Técnico 06</t>
        </is>
      </c>
      <c r="D45" s="3">
        <f>_xlfn.XLOOKUP(tblAsignaciones[[#This Row],[tecnico]],tblTecnicos[nombre],tblTecnicos[area],"")</f>
        <v/>
      </c>
      <c r="E45" s="3">
        <f>_xlfn.XLOOKUP(tblAsignaciones[[#This Row],[tecnico]],tblTecnicos[nombre],tblTecnicos[especialidad],"")</f>
        <v/>
      </c>
      <c r="F45" s="3">
        <f>COUNTIFS(tblTecnicos[rotativo],"SI",tblTecnicos[especialidad],tblAsignaciones[[#This Row],[especialidad]],tblTecnicos[area],tblAsignaciones[[#This Row],[area]])</f>
        <v/>
      </c>
      <c r="G4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" s="6" t="n"/>
      <c r="J4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" s="3">
        <f>_xlfn.XLOOKUP(tblAsignaciones[[#This Row],[tecnico]],tblTecnicos[nombre],tblTecnicos[supervisor],"")</f>
        <v/>
      </c>
      <c r="L4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" s="3">
        <f>tblAsignaciones[[#This Row],[semana]]&amp;"|"&amp;tblAsignaciones[[#This Row],[dia]]&amp;"|"&amp;tblAsignaciones[[#This Row],[tecnico]]</f>
        <v/>
      </c>
      <c r="O45" s="3">
        <f>_xlfn.XLOOKUP(tblAsignaciones[[#This Row],[turno]],tblTurnos[turno],tblTurnos[hora_inicio],"")</f>
        <v/>
      </c>
      <c r="P45" s="3">
        <f>_xlfn.XLOOKUP(tblAsignaciones[[#This Row],[turno]],tblTurnos[turno],tblTurnos[hora_fin],"")</f>
        <v/>
      </c>
      <c r="Q45" s="3">
        <f>IF(AND(LEFT(tblAsignaciones[[#This Row],[posicion_ciclo]],1)="T",tblAsignaciones[[#This Row],[en_vacaciones]]="no"),"sí","no")</f>
        <v/>
      </c>
    </row>
    <row r="46">
      <c r="A46" s="3" t="inlineStr">
        <is>
          <t>2026-S30</t>
        </is>
      </c>
      <c r="B46" s="3" t="inlineStr">
        <is>
          <t>lunes</t>
        </is>
      </c>
      <c r="C46" s="3" t="inlineStr">
        <is>
          <t>Técnico 07</t>
        </is>
      </c>
      <c r="D46" s="3">
        <f>_xlfn.XLOOKUP(tblAsignaciones[[#This Row],[tecnico]],tblTecnicos[nombre],tblTecnicos[area],"")</f>
        <v/>
      </c>
      <c r="E46" s="3">
        <f>_xlfn.XLOOKUP(tblAsignaciones[[#This Row],[tecnico]],tblTecnicos[nombre],tblTecnicos[especialidad],"")</f>
        <v/>
      </c>
      <c r="F46" s="3">
        <f>COUNTIFS(tblTecnicos[rotativo],"SI",tblTecnicos[especialidad],tblAsignaciones[[#This Row],[especialidad]],tblTecnicos[area],tblAsignaciones[[#This Row],[area]])</f>
        <v/>
      </c>
      <c r="G4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6" s="6" t="n"/>
      <c r="J4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6" s="3">
        <f>_xlfn.XLOOKUP(tblAsignaciones[[#This Row],[tecnico]],tblTecnicos[nombre],tblTecnicos[supervisor],"")</f>
        <v/>
      </c>
      <c r="L4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6" s="3">
        <f>tblAsignaciones[[#This Row],[semana]]&amp;"|"&amp;tblAsignaciones[[#This Row],[dia]]&amp;"|"&amp;tblAsignaciones[[#This Row],[tecnico]]</f>
        <v/>
      </c>
      <c r="O46" s="3">
        <f>_xlfn.XLOOKUP(tblAsignaciones[[#This Row],[turno]],tblTurnos[turno],tblTurnos[hora_inicio],"")</f>
        <v/>
      </c>
      <c r="P46" s="3">
        <f>_xlfn.XLOOKUP(tblAsignaciones[[#This Row],[turno]],tblTurnos[turno],tblTurnos[hora_fin],"")</f>
        <v/>
      </c>
      <c r="Q46" s="3">
        <f>IF(AND(LEFT(tblAsignaciones[[#This Row],[posicion_ciclo]],1)="T",tblAsignaciones[[#This Row],[en_vacaciones]]="no"),"sí","no")</f>
        <v/>
      </c>
    </row>
    <row r="47">
      <c r="A47" s="3" t="inlineStr">
        <is>
          <t>2026-S30</t>
        </is>
      </c>
      <c r="B47" s="3" t="inlineStr">
        <is>
          <t>martes</t>
        </is>
      </c>
      <c r="C47" s="3" t="inlineStr">
        <is>
          <t>Técnico 07</t>
        </is>
      </c>
      <c r="D47" s="3">
        <f>_xlfn.XLOOKUP(tblAsignaciones[[#This Row],[tecnico]],tblTecnicos[nombre],tblTecnicos[area],"")</f>
        <v/>
      </c>
      <c r="E47" s="3">
        <f>_xlfn.XLOOKUP(tblAsignaciones[[#This Row],[tecnico]],tblTecnicos[nombre],tblTecnicos[especialidad],"")</f>
        <v/>
      </c>
      <c r="F47" s="3">
        <f>COUNTIFS(tblTecnicos[rotativo],"SI",tblTecnicos[especialidad],tblAsignaciones[[#This Row],[especialidad]],tblTecnicos[area],tblAsignaciones[[#This Row],[area]])</f>
        <v/>
      </c>
      <c r="G4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7" s="6" t="n"/>
      <c r="J4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7" s="3">
        <f>_xlfn.XLOOKUP(tblAsignaciones[[#This Row],[tecnico]],tblTecnicos[nombre],tblTecnicos[supervisor],"")</f>
        <v/>
      </c>
      <c r="L4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7" s="3">
        <f>tblAsignaciones[[#This Row],[semana]]&amp;"|"&amp;tblAsignaciones[[#This Row],[dia]]&amp;"|"&amp;tblAsignaciones[[#This Row],[tecnico]]</f>
        <v/>
      </c>
      <c r="O47" s="3">
        <f>_xlfn.XLOOKUP(tblAsignaciones[[#This Row],[turno]],tblTurnos[turno],tblTurnos[hora_inicio],"")</f>
        <v/>
      </c>
      <c r="P47" s="3">
        <f>_xlfn.XLOOKUP(tblAsignaciones[[#This Row],[turno]],tblTurnos[turno],tblTurnos[hora_fin],"")</f>
        <v/>
      </c>
      <c r="Q47" s="3">
        <f>IF(AND(LEFT(tblAsignaciones[[#This Row],[posicion_ciclo]],1)="T",tblAsignaciones[[#This Row],[en_vacaciones]]="no"),"sí","no")</f>
        <v/>
      </c>
    </row>
    <row r="48">
      <c r="A48" s="3" t="inlineStr">
        <is>
          <t>2026-S30</t>
        </is>
      </c>
      <c r="B48" s="3" t="inlineStr">
        <is>
          <t>miércoles</t>
        </is>
      </c>
      <c r="C48" s="3" t="inlineStr">
        <is>
          <t>Técnico 07</t>
        </is>
      </c>
      <c r="D48" s="3">
        <f>_xlfn.XLOOKUP(tblAsignaciones[[#This Row],[tecnico]],tblTecnicos[nombre],tblTecnicos[area],"")</f>
        <v/>
      </c>
      <c r="E48" s="3">
        <f>_xlfn.XLOOKUP(tblAsignaciones[[#This Row],[tecnico]],tblTecnicos[nombre],tblTecnicos[especialidad],"")</f>
        <v/>
      </c>
      <c r="F48" s="3">
        <f>COUNTIFS(tblTecnicos[rotativo],"SI",tblTecnicos[especialidad],tblAsignaciones[[#This Row],[especialidad]],tblTecnicos[area],tblAsignaciones[[#This Row],[area]])</f>
        <v/>
      </c>
      <c r="G4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8" s="6" t="n"/>
      <c r="J4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8" s="3">
        <f>_xlfn.XLOOKUP(tblAsignaciones[[#This Row],[tecnico]],tblTecnicos[nombre],tblTecnicos[supervisor],"")</f>
        <v/>
      </c>
      <c r="L4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8" s="3">
        <f>tblAsignaciones[[#This Row],[semana]]&amp;"|"&amp;tblAsignaciones[[#This Row],[dia]]&amp;"|"&amp;tblAsignaciones[[#This Row],[tecnico]]</f>
        <v/>
      </c>
      <c r="O48" s="3">
        <f>_xlfn.XLOOKUP(tblAsignaciones[[#This Row],[turno]],tblTurnos[turno],tblTurnos[hora_inicio],"")</f>
        <v/>
      </c>
      <c r="P48" s="3">
        <f>_xlfn.XLOOKUP(tblAsignaciones[[#This Row],[turno]],tblTurnos[turno],tblTurnos[hora_fin],"")</f>
        <v/>
      </c>
      <c r="Q48" s="3">
        <f>IF(AND(LEFT(tblAsignaciones[[#This Row],[posicion_ciclo]],1)="T",tblAsignaciones[[#This Row],[en_vacaciones]]="no"),"sí","no")</f>
        <v/>
      </c>
    </row>
    <row r="49">
      <c r="A49" s="3" t="inlineStr">
        <is>
          <t>2026-S30</t>
        </is>
      </c>
      <c r="B49" s="3" t="inlineStr">
        <is>
          <t>jueves</t>
        </is>
      </c>
      <c r="C49" s="3" t="inlineStr">
        <is>
          <t>Técnico 07</t>
        </is>
      </c>
      <c r="D49" s="3">
        <f>_xlfn.XLOOKUP(tblAsignaciones[[#This Row],[tecnico]],tblTecnicos[nombre],tblTecnicos[area],"")</f>
        <v/>
      </c>
      <c r="E49" s="3">
        <f>_xlfn.XLOOKUP(tblAsignaciones[[#This Row],[tecnico]],tblTecnicos[nombre],tblTecnicos[especialidad],"")</f>
        <v/>
      </c>
      <c r="F49" s="3">
        <f>COUNTIFS(tblTecnicos[rotativo],"SI",tblTecnicos[especialidad],tblAsignaciones[[#This Row],[especialidad]],tblTecnicos[area],tblAsignaciones[[#This Row],[area]])</f>
        <v/>
      </c>
      <c r="G4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9" s="6" t="n"/>
      <c r="J4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9" s="3">
        <f>_xlfn.XLOOKUP(tblAsignaciones[[#This Row],[tecnico]],tblTecnicos[nombre],tblTecnicos[supervisor],"")</f>
        <v/>
      </c>
      <c r="L4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9" s="3">
        <f>tblAsignaciones[[#This Row],[semana]]&amp;"|"&amp;tblAsignaciones[[#This Row],[dia]]&amp;"|"&amp;tblAsignaciones[[#This Row],[tecnico]]</f>
        <v/>
      </c>
      <c r="O49" s="3">
        <f>_xlfn.XLOOKUP(tblAsignaciones[[#This Row],[turno]],tblTurnos[turno],tblTurnos[hora_inicio],"")</f>
        <v/>
      </c>
      <c r="P49" s="3">
        <f>_xlfn.XLOOKUP(tblAsignaciones[[#This Row],[turno]],tblTurnos[turno],tblTurnos[hora_fin],"")</f>
        <v/>
      </c>
      <c r="Q49" s="3">
        <f>IF(AND(LEFT(tblAsignaciones[[#This Row],[posicion_ciclo]],1)="T",tblAsignaciones[[#This Row],[en_vacaciones]]="no"),"sí","no")</f>
        <v/>
      </c>
    </row>
    <row r="50">
      <c r="A50" s="3" t="inlineStr">
        <is>
          <t>2026-S30</t>
        </is>
      </c>
      <c r="B50" s="3" t="inlineStr">
        <is>
          <t>viernes</t>
        </is>
      </c>
      <c r="C50" s="3" t="inlineStr">
        <is>
          <t>Técnico 07</t>
        </is>
      </c>
      <c r="D50" s="3">
        <f>_xlfn.XLOOKUP(tblAsignaciones[[#This Row],[tecnico]],tblTecnicos[nombre],tblTecnicos[area],"")</f>
        <v/>
      </c>
      <c r="E50" s="3">
        <f>_xlfn.XLOOKUP(tblAsignaciones[[#This Row],[tecnico]],tblTecnicos[nombre],tblTecnicos[especialidad],"")</f>
        <v/>
      </c>
      <c r="F50" s="3">
        <f>COUNTIFS(tblTecnicos[rotativo],"SI",tblTecnicos[especialidad],tblAsignaciones[[#This Row],[especialidad]],tblTecnicos[area],tblAsignaciones[[#This Row],[area]])</f>
        <v/>
      </c>
      <c r="G5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0" s="6" t="n"/>
      <c r="J5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0" s="3">
        <f>_xlfn.XLOOKUP(tblAsignaciones[[#This Row],[tecnico]],tblTecnicos[nombre],tblTecnicos[supervisor],"")</f>
        <v/>
      </c>
      <c r="L5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0" s="3">
        <f>tblAsignaciones[[#This Row],[semana]]&amp;"|"&amp;tblAsignaciones[[#This Row],[dia]]&amp;"|"&amp;tblAsignaciones[[#This Row],[tecnico]]</f>
        <v/>
      </c>
      <c r="O50" s="3">
        <f>_xlfn.XLOOKUP(tblAsignaciones[[#This Row],[turno]],tblTurnos[turno],tblTurnos[hora_inicio],"")</f>
        <v/>
      </c>
      <c r="P50" s="3">
        <f>_xlfn.XLOOKUP(tblAsignaciones[[#This Row],[turno]],tblTurnos[turno],tblTurnos[hora_fin],"")</f>
        <v/>
      </c>
      <c r="Q50" s="3">
        <f>IF(AND(LEFT(tblAsignaciones[[#This Row],[posicion_ciclo]],1)="T",tblAsignaciones[[#This Row],[en_vacaciones]]="no"),"sí","no")</f>
        <v/>
      </c>
    </row>
    <row r="51">
      <c r="A51" s="3" t="inlineStr">
        <is>
          <t>2026-S30</t>
        </is>
      </c>
      <c r="B51" s="3" t="inlineStr">
        <is>
          <t>sábado</t>
        </is>
      </c>
      <c r="C51" s="3" t="inlineStr">
        <is>
          <t>Técnico 07</t>
        </is>
      </c>
      <c r="D51" s="3">
        <f>_xlfn.XLOOKUP(tblAsignaciones[[#This Row],[tecnico]],tblTecnicos[nombre],tblTecnicos[area],"")</f>
        <v/>
      </c>
      <c r="E51" s="3">
        <f>_xlfn.XLOOKUP(tblAsignaciones[[#This Row],[tecnico]],tblTecnicos[nombre],tblTecnicos[especialidad],"")</f>
        <v/>
      </c>
      <c r="F51" s="3">
        <f>COUNTIFS(tblTecnicos[rotativo],"SI",tblTecnicos[especialidad],tblAsignaciones[[#This Row],[especialidad]],tblTecnicos[area],tblAsignaciones[[#This Row],[area]])</f>
        <v/>
      </c>
      <c r="G5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1" s="6" t="n"/>
      <c r="J5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1" s="3">
        <f>_xlfn.XLOOKUP(tblAsignaciones[[#This Row],[tecnico]],tblTecnicos[nombre],tblTecnicos[supervisor],"")</f>
        <v/>
      </c>
      <c r="L5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1" s="3">
        <f>tblAsignaciones[[#This Row],[semana]]&amp;"|"&amp;tblAsignaciones[[#This Row],[dia]]&amp;"|"&amp;tblAsignaciones[[#This Row],[tecnico]]</f>
        <v/>
      </c>
      <c r="O51" s="3">
        <f>_xlfn.XLOOKUP(tblAsignaciones[[#This Row],[turno]],tblTurnos[turno],tblTurnos[hora_inicio],"")</f>
        <v/>
      </c>
      <c r="P51" s="3">
        <f>_xlfn.XLOOKUP(tblAsignaciones[[#This Row],[turno]],tblTurnos[turno],tblTurnos[hora_fin],"")</f>
        <v/>
      </c>
      <c r="Q51" s="3">
        <f>IF(AND(LEFT(tblAsignaciones[[#This Row],[posicion_ciclo]],1)="T",tblAsignaciones[[#This Row],[en_vacaciones]]="no"),"sí","no")</f>
        <v/>
      </c>
    </row>
    <row r="52">
      <c r="A52" s="3" t="inlineStr">
        <is>
          <t>2026-S30</t>
        </is>
      </c>
      <c r="B52" s="3" t="inlineStr">
        <is>
          <t>domingo</t>
        </is>
      </c>
      <c r="C52" s="3" t="inlineStr">
        <is>
          <t>Técnico 07</t>
        </is>
      </c>
      <c r="D52" s="3">
        <f>_xlfn.XLOOKUP(tblAsignaciones[[#This Row],[tecnico]],tblTecnicos[nombre],tblTecnicos[area],"")</f>
        <v/>
      </c>
      <c r="E52" s="3">
        <f>_xlfn.XLOOKUP(tblAsignaciones[[#This Row],[tecnico]],tblTecnicos[nombre],tblTecnicos[especialidad],"")</f>
        <v/>
      </c>
      <c r="F52" s="3">
        <f>COUNTIFS(tblTecnicos[rotativo],"SI",tblTecnicos[especialidad],tblAsignaciones[[#This Row],[especialidad]],tblTecnicos[area],tblAsignaciones[[#This Row],[area]])</f>
        <v/>
      </c>
      <c r="G5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2" s="6" t="n"/>
      <c r="J5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2" s="3">
        <f>_xlfn.XLOOKUP(tblAsignaciones[[#This Row],[tecnico]],tblTecnicos[nombre],tblTecnicos[supervisor],"")</f>
        <v/>
      </c>
      <c r="L5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2" s="3">
        <f>tblAsignaciones[[#This Row],[semana]]&amp;"|"&amp;tblAsignaciones[[#This Row],[dia]]&amp;"|"&amp;tblAsignaciones[[#This Row],[tecnico]]</f>
        <v/>
      </c>
      <c r="O52" s="3">
        <f>_xlfn.XLOOKUP(tblAsignaciones[[#This Row],[turno]],tblTurnos[turno],tblTurnos[hora_inicio],"")</f>
        <v/>
      </c>
      <c r="P52" s="3">
        <f>_xlfn.XLOOKUP(tblAsignaciones[[#This Row],[turno]],tblTurnos[turno],tblTurnos[hora_fin],"")</f>
        <v/>
      </c>
      <c r="Q52" s="3">
        <f>IF(AND(LEFT(tblAsignaciones[[#This Row],[posicion_ciclo]],1)="T",tblAsignaciones[[#This Row],[en_vacaciones]]="no"),"sí","no")</f>
        <v/>
      </c>
    </row>
    <row r="53">
      <c r="A53" s="3" t="inlineStr">
        <is>
          <t>2026-S30</t>
        </is>
      </c>
      <c r="B53" s="3" t="inlineStr">
        <is>
          <t>lunes</t>
        </is>
      </c>
      <c r="C53" s="3" t="inlineStr">
        <is>
          <t>Técnico 08</t>
        </is>
      </c>
      <c r="D53" s="3">
        <f>_xlfn.XLOOKUP(tblAsignaciones[[#This Row],[tecnico]],tblTecnicos[nombre],tblTecnicos[area],"")</f>
        <v/>
      </c>
      <c r="E53" s="3">
        <f>_xlfn.XLOOKUP(tblAsignaciones[[#This Row],[tecnico]],tblTecnicos[nombre],tblTecnicos[especialidad],"")</f>
        <v/>
      </c>
      <c r="F53" s="3">
        <f>COUNTIFS(tblTecnicos[rotativo],"SI",tblTecnicos[especialidad],tblAsignaciones[[#This Row],[especialidad]],tblTecnicos[area],tblAsignaciones[[#This Row],[area]])</f>
        <v/>
      </c>
      <c r="G5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3" s="6" t="n"/>
      <c r="J5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3" s="3">
        <f>_xlfn.XLOOKUP(tblAsignaciones[[#This Row],[tecnico]],tblTecnicos[nombre],tblTecnicos[supervisor],"")</f>
        <v/>
      </c>
      <c r="L5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3" s="3">
        <f>tblAsignaciones[[#This Row],[semana]]&amp;"|"&amp;tblAsignaciones[[#This Row],[dia]]&amp;"|"&amp;tblAsignaciones[[#This Row],[tecnico]]</f>
        <v/>
      </c>
      <c r="O53" s="3">
        <f>_xlfn.XLOOKUP(tblAsignaciones[[#This Row],[turno]],tblTurnos[turno],tblTurnos[hora_inicio],"")</f>
        <v/>
      </c>
      <c r="P53" s="3">
        <f>_xlfn.XLOOKUP(tblAsignaciones[[#This Row],[turno]],tblTurnos[turno],tblTurnos[hora_fin],"")</f>
        <v/>
      </c>
      <c r="Q53" s="3">
        <f>IF(AND(LEFT(tblAsignaciones[[#This Row],[posicion_ciclo]],1)="T",tblAsignaciones[[#This Row],[en_vacaciones]]="no"),"sí","no")</f>
        <v/>
      </c>
    </row>
    <row r="54">
      <c r="A54" s="3" t="inlineStr">
        <is>
          <t>2026-S30</t>
        </is>
      </c>
      <c r="B54" s="3" t="inlineStr">
        <is>
          <t>martes</t>
        </is>
      </c>
      <c r="C54" s="3" t="inlineStr">
        <is>
          <t>Técnico 08</t>
        </is>
      </c>
      <c r="D54" s="3">
        <f>_xlfn.XLOOKUP(tblAsignaciones[[#This Row],[tecnico]],tblTecnicos[nombre],tblTecnicos[area],"")</f>
        <v/>
      </c>
      <c r="E54" s="3">
        <f>_xlfn.XLOOKUP(tblAsignaciones[[#This Row],[tecnico]],tblTecnicos[nombre],tblTecnicos[especialidad],"")</f>
        <v/>
      </c>
      <c r="F54" s="3">
        <f>COUNTIFS(tblTecnicos[rotativo],"SI",tblTecnicos[especialidad],tblAsignaciones[[#This Row],[especialidad]],tblTecnicos[area],tblAsignaciones[[#This Row],[area]])</f>
        <v/>
      </c>
      <c r="G5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4" s="6" t="n"/>
      <c r="J5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4" s="3">
        <f>_xlfn.XLOOKUP(tblAsignaciones[[#This Row],[tecnico]],tblTecnicos[nombre],tblTecnicos[supervisor],"")</f>
        <v/>
      </c>
      <c r="L5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4" s="3">
        <f>tblAsignaciones[[#This Row],[semana]]&amp;"|"&amp;tblAsignaciones[[#This Row],[dia]]&amp;"|"&amp;tblAsignaciones[[#This Row],[tecnico]]</f>
        <v/>
      </c>
      <c r="O54" s="3">
        <f>_xlfn.XLOOKUP(tblAsignaciones[[#This Row],[turno]],tblTurnos[turno],tblTurnos[hora_inicio],"")</f>
        <v/>
      </c>
      <c r="P54" s="3">
        <f>_xlfn.XLOOKUP(tblAsignaciones[[#This Row],[turno]],tblTurnos[turno],tblTurnos[hora_fin],"")</f>
        <v/>
      </c>
      <c r="Q54" s="3">
        <f>IF(AND(LEFT(tblAsignaciones[[#This Row],[posicion_ciclo]],1)="T",tblAsignaciones[[#This Row],[en_vacaciones]]="no"),"sí","no")</f>
        <v/>
      </c>
    </row>
    <row r="55">
      <c r="A55" s="3" t="inlineStr">
        <is>
          <t>2026-S30</t>
        </is>
      </c>
      <c r="B55" s="3" t="inlineStr">
        <is>
          <t>miércoles</t>
        </is>
      </c>
      <c r="C55" s="3" t="inlineStr">
        <is>
          <t>Técnico 08</t>
        </is>
      </c>
      <c r="D55" s="3">
        <f>_xlfn.XLOOKUP(tblAsignaciones[[#This Row],[tecnico]],tblTecnicos[nombre],tblTecnicos[area],"")</f>
        <v/>
      </c>
      <c r="E55" s="3">
        <f>_xlfn.XLOOKUP(tblAsignaciones[[#This Row],[tecnico]],tblTecnicos[nombre],tblTecnicos[especialidad],"")</f>
        <v/>
      </c>
      <c r="F55" s="3">
        <f>COUNTIFS(tblTecnicos[rotativo],"SI",tblTecnicos[especialidad],tblAsignaciones[[#This Row],[especialidad]],tblTecnicos[area],tblAsignaciones[[#This Row],[area]])</f>
        <v/>
      </c>
      <c r="G5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5" s="6" t="n"/>
      <c r="J5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5" s="3">
        <f>_xlfn.XLOOKUP(tblAsignaciones[[#This Row],[tecnico]],tblTecnicos[nombre],tblTecnicos[supervisor],"")</f>
        <v/>
      </c>
      <c r="L5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5" s="3">
        <f>tblAsignaciones[[#This Row],[semana]]&amp;"|"&amp;tblAsignaciones[[#This Row],[dia]]&amp;"|"&amp;tblAsignaciones[[#This Row],[tecnico]]</f>
        <v/>
      </c>
      <c r="O55" s="3">
        <f>_xlfn.XLOOKUP(tblAsignaciones[[#This Row],[turno]],tblTurnos[turno],tblTurnos[hora_inicio],"")</f>
        <v/>
      </c>
      <c r="P55" s="3">
        <f>_xlfn.XLOOKUP(tblAsignaciones[[#This Row],[turno]],tblTurnos[turno],tblTurnos[hora_fin],"")</f>
        <v/>
      </c>
      <c r="Q55" s="3">
        <f>IF(AND(LEFT(tblAsignaciones[[#This Row],[posicion_ciclo]],1)="T",tblAsignaciones[[#This Row],[en_vacaciones]]="no"),"sí","no")</f>
        <v/>
      </c>
    </row>
    <row r="56">
      <c r="A56" s="3" t="inlineStr">
        <is>
          <t>2026-S30</t>
        </is>
      </c>
      <c r="B56" s="3" t="inlineStr">
        <is>
          <t>jueves</t>
        </is>
      </c>
      <c r="C56" s="3" t="inlineStr">
        <is>
          <t>Técnico 08</t>
        </is>
      </c>
      <c r="D56" s="3">
        <f>_xlfn.XLOOKUP(tblAsignaciones[[#This Row],[tecnico]],tblTecnicos[nombre],tblTecnicos[area],"")</f>
        <v/>
      </c>
      <c r="E56" s="3">
        <f>_xlfn.XLOOKUP(tblAsignaciones[[#This Row],[tecnico]],tblTecnicos[nombre],tblTecnicos[especialidad],"")</f>
        <v/>
      </c>
      <c r="F56" s="3">
        <f>COUNTIFS(tblTecnicos[rotativo],"SI",tblTecnicos[especialidad],tblAsignaciones[[#This Row],[especialidad]],tblTecnicos[area],tblAsignaciones[[#This Row],[area]])</f>
        <v/>
      </c>
      <c r="G5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6" s="6" t="n"/>
      <c r="J5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6" s="3">
        <f>_xlfn.XLOOKUP(tblAsignaciones[[#This Row],[tecnico]],tblTecnicos[nombre],tblTecnicos[supervisor],"")</f>
        <v/>
      </c>
      <c r="L5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6" s="3">
        <f>tblAsignaciones[[#This Row],[semana]]&amp;"|"&amp;tblAsignaciones[[#This Row],[dia]]&amp;"|"&amp;tblAsignaciones[[#This Row],[tecnico]]</f>
        <v/>
      </c>
      <c r="O56" s="3">
        <f>_xlfn.XLOOKUP(tblAsignaciones[[#This Row],[turno]],tblTurnos[turno],tblTurnos[hora_inicio],"")</f>
        <v/>
      </c>
      <c r="P56" s="3">
        <f>_xlfn.XLOOKUP(tblAsignaciones[[#This Row],[turno]],tblTurnos[turno],tblTurnos[hora_fin],"")</f>
        <v/>
      </c>
      <c r="Q56" s="3">
        <f>IF(AND(LEFT(tblAsignaciones[[#This Row],[posicion_ciclo]],1)="T",tblAsignaciones[[#This Row],[en_vacaciones]]="no"),"sí","no")</f>
        <v/>
      </c>
    </row>
    <row r="57">
      <c r="A57" s="3" t="inlineStr">
        <is>
          <t>2026-S30</t>
        </is>
      </c>
      <c r="B57" s="3" t="inlineStr">
        <is>
          <t>viernes</t>
        </is>
      </c>
      <c r="C57" s="3" t="inlineStr">
        <is>
          <t>Técnico 08</t>
        </is>
      </c>
      <c r="D57" s="3">
        <f>_xlfn.XLOOKUP(tblAsignaciones[[#This Row],[tecnico]],tblTecnicos[nombre],tblTecnicos[area],"")</f>
        <v/>
      </c>
      <c r="E57" s="3">
        <f>_xlfn.XLOOKUP(tblAsignaciones[[#This Row],[tecnico]],tblTecnicos[nombre],tblTecnicos[especialidad],"")</f>
        <v/>
      </c>
      <c r="F57" s="3">
        <f>COUNTIFS(tblTecnicos[rotativo],"SI",tblTecnicos[especialidad],tblAsignaciones[[#This Row],[especialidad]],tblTecnicos[area],tblAsignaciones[[#This Row],[area]])</f>
        <v/>
      </c>
      <c r="G5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7" s="6" t="n"/>
      <c r="J5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7" s="3">
        <f>_xlfn.XLOOKUP(tblAsignaciones[[#This Row],[tecnico]],tblTecnicos[nombre],tblTecnicos[supervisor],"")</f>
        <v/>
      </c>
      <c r="L5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7" s="3">
        <f>tblAsignaciones[[#This Row],[semana]]&amp;"|"&amp;tblAsignaciones[[#This Row],[dia]]&amp;"|"&amp;tblAsignaciones[[#This Row],[tecnico]]</f>
        <v/>
      </c>
      <c r="O57" s="3">
        <f>_xlfn.XLOOKUP(tblAsignaciones[[#This Row],[turno]],tblTurnos[turno],tblTurnos[hora_inicio],"")</f>
        <v/>
      </c>
      <c r="P57" s="3">
        <f>_xlfn.XLOOKUP(tblAsignaciones[[#This Row],[turno]],tblTurnos[turno],tblTurnos[hora_fin],"")</f>
        <v/>
      </c>
      <c r="Q57" s="3">
        <f>IF(AND(LEFT(tblAsignaciones[[#This Row],[posicion_ciclo]],1)="T",tblAsignaciones[[#This Row],[en_vacaciones]]="no"),"sí","no")</f>
        <v/>
      </c>
    </row>
    <row r="58">
      <c r="A58" s="3" t="inlineStr">
        <is>
          <t>2026-S30</t>
        </is>
      </c>
      <c r="B58" s="3" t="inlineStr">
        <is>
          <t>sábado</t>
        </is>
      </c>
      <c r="C58" s="3" t="inlineStr">
        <is>
          <t>Técnico 08</t>
        </is>
      </c>
      <c r="D58" s="3">
        <f>_xlfn.XLOOKUP(tblAsignaciones[[#This Row],[tecnico]],tblTecnicos[nombre],tblTecnicos[area],"")</f>
        <v/>
      </c>
      <c r="E58" s="3">
        <f>_xlfn.XLOOKUP(tblAsignaciones[[#This Row],[tecnico]],tblTecnicos[nombre],tblTecnicos[especialidad],"")</f>
        <v/>
      </c>
      <c r="F58" s="3">
        <f>COUNTIFS(tblTecnicos[rotativo],"SI",tblTecnicos[especialidad],tblAsignaciones[[#This Row],[especialidad]],tblTecnicos[area],tblAsignaciones[[#This Row],[area]])</f>
        <v/>
      </c>
      <c r="G5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8" s="6" t="n"/>
      <c r="J5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8" s="3">
        <f>_xlfn.XLOOKUP(tblAsignaciones[[#This Row],[tecnico]],tblTecnicos[nombre],tblTecnicos[supervisor],"")</f>
        <v/>
      </c>
      <c r="L5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8" s="3">
        <f>tblAsignaciones[[#This Row],[semana]]&amp;"|"&amp;tblAsignaciones[[#This Row],[dia]]&amp;"|"&amp;tblAsignaciones[[#This Row],[tecnico]]</f>
        <v/>
      </c>
      <c r="O58" s="3">
        <f>_xlfn.XLOOKUP(tblAsignaciones[[#This Row],[turno]],tblTurnos[turno],tblTurnos[hora_inicio],"")</f>
        <v/>
      </c>
      <c r="P58" s="3">
        <f>_xlfn.XLOOKUP(tblAsignaciones[[#This Row],[turno]],tblTurnos[turno],tblTurnos[hora_fin],"")</f>
        <v/>
      </c>
      <c r="Q58" s="3">
        <f>IF(AND(LEFT(tblAsignaciones[[#This Row],[posicion_ciclo]],1)="T",tblAsignaciones[[#This Row],[en_vacaciones]]="no"),"sí","no")</f>
        <v/>
      </c>
    </row>
    <row r="59">
      <c r="A59" s="3" t="inlineStr">
        <is>
          <t>2026-S30</t>
        </is>
      </c>
      <c r="B59" s="3" t="inlineStr">
        <is>
          <t>domingo</t>
        </is>
      </c>
      <c r="C59" s="3" t="inlineStr">
        <is>
          <t>Técnico 08</t>
        </is>
      </c>
      <c r="D59" s="3">
        <f>_xlfn.XLOOKUP(tblAsignaciones[[#This Row],[tecnico]],tblTecnicos[nombre],tblTecnicos[area],"")</f>
        <v/>
      </c>
      <c r="E59" s="3">
        <f>_xlfn.XLOOKUP(tblAsignaciones[[#This Row],[tecnico]],tblTecnicos[nombre],tblTecnicos[especialidad],"")</f>
        <v/>
      </c>
      <c r="F59" s="3">
        <f>COUNTIFS(tblTecnicos[rotativo],"SI",tblTecnicos[especialidad],tblAsignaciones[[#This Row],[especialidad]],tblTecnicos[area],tblAsignaciones[[#This Row],[area]])</f>
        <v/>
      </c>
      <c r="G5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9" s="6" t="n"/>
      <c r="J5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9" s="3">
        <f>_xlfn.XLOOKUP(tblAsignaciones[[#This Row],[tecnico]],tblTecnicos[nombre],tblTecnicos[supervisor],"")</f>
        <v/>
      </c>
      <c r="L5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9" s="3">
        <f>tblAsignaciones[[#This Row],[semana]]&amp;"|"&amp;tblAsignaciones[[#This Row],[dia]]&amp;"|"&amp;tblAsignaciones[[#This Row],[tecnico]]</f>
        <v/>
      </c>
      <c r="O59" s="3">
        <f>_xlfn.XLOOKUP(tblAsignaciones[[#This Row],[turno]],tblTurnos[turno],tblTurnos[hora_inicio],"")</f>
        <v/>
      </c>
      <c r="P59" s="3">
        <f>_xlfn.XLOOKUP(tblAsignaciones[[#This Row],[turno]],tblTurnos[turno],tblTurnos[hora_fin],"")</f>
        <v/>
      </c>
      <c r="Q59" s="3">
        <f>IF(AND(LEFT(tblAsignaciones[[#This Row],[posicion_ciclo]],1)="T",tblAsignaciones[[#This Row],[en_vacaciones]]="no"),"sí","no")</f>
        <v/>
      </c>
    </row>
    <row r="60">
      <c r="A60" s="3" t="inlineStr">
        <is>
          <t>2026-S30</t>
        </is>
      </c>
      <c r="B60" s="3" t="inlineStr">
        <is>
          <t>lunes</t>
        </is>
      </c>
      <c r="C60" s="3" t="inlineStr">
        <is>
          <t>Técnico 09</t>
        </is>
      </c>
      <c r="D60" s="3">
        <f>_xlfn.XLOOKUP(tblAsignaciones[[#This Row],[tecnico]],tblTecnicos[nombre],tblTecnicos[area],"")</f>
        <v/>
      </c>
      <c r="E60" s="3">
        <f>_xlfn.XLOOKUP(tblAsignaciones[[#This Row],[tecnico]],tblTecnicos[nombre],tblTecnicos[especialidad],"")</f>
        <v/>
      </c>
      <c r="F60" s="3">
        <f>COUNTIFS(tblTecnicos[rotativo],"SI",tblTecnicos[especialidad],tblAsignaciones[[#This Row],[especialidad]],tblTecnicos[area],tblAsignaciones[[#This Row],[area]])</f>
        <v/>
      </c>
      <c r="G6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0" s="6" t="n"/>
      <c r="J6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0" s="3">
        <f>_xlfn.XLOOKUP(tblAsignaciones[[#This Row],[tecnico]],tblTecnicos[nombre],tblTecnicos[supervisor],"")</f>
        <v/>
      </c>
      <c r="L6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0" s="3">
        <f>tblAsignaciones[[#This Row],[semana]]&amp;"|"&amp;tblAsignaciones[[#This Row],[dia]]&amp;"|"&amp;tblAsignaciones[[#This Row],[tecnico]]</f>
        <v/>
      </c>
      <c r="O60" s="3">
        <f>_xlfn.XLOOKUP(tblAsignaciones[[#This Row],[turno]],tblTurnos[turno],tblTurnos[hora_inicio],"")</f>
        <v/>
      </c>
      <c r="P60" s="3">
        <f>_xlfn.XLOOKUP(tblAsignaciones[[#This Row],[turno]],tblTurnos[turno],tblTurnos[hora_fin],"")</f>
        <v/>
      </c>
      <c r="Q60" s="3">
        <f>IF(AND(LEFT(tblAsignaciones[[#This Row],[posicion_ciclo]],1)="T",tblAsignaciones[[#This Row],[en_vacaciones]]="no"),"sí","no")</f>
        <v/>
      </c>
    </row>
    <row r="61">
      <c r="A61" s="3" t="inlineStr">
        <is>
          <t>2026-S30</t>
        </is>
      </c>
      <c r="B61" s="3" t="inlineStr">
        <is>
          <t>martes</t>
        </is>
      </c>
      <c r="C61" s="3" t="inlineStr">
        <is>
          <t>Técnico 09</t>
        </is>
      </c>
      <c r="D61" s="3">
        <f>_xlfn.XLOOKUP(tblAsignaciones[[#This Row],[tecnico]],tblTecnicos[nombre],tblTecnicos[area],"")</f>
        <v/>
      </c>
      <c r="E61" s="3">
        <f>_xlfn.XLOOKUP(tblAsignaciones[[#This Row],[tecnico]],tblTecnicos[nombre],tblTecnicos[especialidad],"")</f>
        <v/>
      </c>
      <c r="F61" s="3">
        <f>COUNTIFS(tblTecnicos[rotativo],"SI",tblTecnicos[especialidad],tblAsignaciones[[#This Row],[especialidad]],tblTecnicos[area],tblAsignaciones[[#This Row],[area]])</f>
        <v/>
      </c>
      <c r="G6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1" s="6" t="n"/>
      <c r="J6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1" s="3">
        <f>_xlfn.XLOOKUP(tblAsignaciones[[#This Row],[tecnico]],tblTecnicos[nombre],tblTecnicos[supervisor],"")</f>
        <v/>
      </c>
      <c r="L6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1" s="3">
        <f>tblAsignaciones[[#This Row],[semana]]&amp;"|"&amp;tblAsignaciones[[#This Row],[dia]]&amp;"|"&amp;tblAsignaciones[[#This Row],[tecnico]]</f>
        <v/>
      </c>
      <c r="O61" s="3">
        <f>_xlfn.XLOOKUP(tblAsignaciones[[#This Row],[turno]],tblTurnos[turno],tblTurnos[hora_inicio],"")</f>
        <v/>
      </c>
      <c r="P61" s="3">
        <f>_xlfn.XLOOKUP(tblAsignaciones[[#This Row],[turno]],tblTurnos[turno],tblTurnos[hora_fin],"")</f>
        <v/>
      </c>
      <c r="Q61" s="3">
        <f>IF(AND(LEFT(tblAsignaciones[[#This Row],[posicion_ciclo]],1)="T",tblAsignaciones[[#This Row],[en_vacaciones]]="no"),"sí","no")</f>
        <v/>
      </c>
    </row>
    <row r="62">
      <c r="A62" s="3" t="inlineStr">
        <is>
          <t>2026-S30</t>
        </is>
      </c>
      <c r="B62" s="3" t="inlineStr">
        <is>
          <t>miércoles</t>
        </is>
      </c>
      <c r="C62" s="3" t="inlineStr">
        <is>
          <t>Técnico 09</t>
        </is>
      </c>
      <c r="D62" s="3">
        <f>_xlfn.XLOOKUP(tblAsignaciones[[#This Row],[tecnico]],tblTecnicos[nombre],tblTecnicos[area],"")</f>
        <v/>
      </c>
      <c r="E62" s="3">
        <f>_xlfn.XLOOKUP(tblAsignaciones[[#This Row],[tecnico]],tblTecnicos[nombre],tblTecnicos[especialidad],"")</f>
        <v/>
      </c>
      <c r="F62" s="3">
        <f>COUNTIFS(tblTecnicos[rotativo],"SI",tblTecnicos[especialidad],tblAsignaciones[[#This Row],[especialidad]],tblTecnicos[area],tblAsignaciones[[#This Row],[area]])</f>
        <v/>
      </c>
      <c r="G6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2" s="6" t="n"/>
      <c r="J6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2" s="3">
        <f>_xlfn.XLOOKUP(tblAsignaciones[[#This Row],[tecnico]],tblTecnicos[nombre],tblTecnicos[supervisor],"")</f>
        <v/>
      </c>
      <c r="L6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2" s="3">
        <f>tblAsignaciones[[#This Row],[semana]]&amp;"|"&amp;tblAsignaciones[[#This Row],[dia]]&amp;"|"&amp;tblAsignaciones[[#This Row],[tecnico]]</f>
        <v/>
      </c>
      <c r="O62" s="3">
        <f>_xlfn.XLOOKUP(tblAsignaciones[[#This Row],[turno]],tblTurnos[turno],tblTurnos[hora_inicio],"")</f>
        <v/>
      </c>
      <c r="P62" s="3">
        <f>_xlfn.XLOOKUP(tblAsignaciones[[#This Row],[turno]],tblTurnos[turno],tblTurnos[hora_fin],"")</f>
        <v/>
      </c>
      <c r="Q62" s="3">
        <f>IF(AND(LEFT(tblAsignaciones[[#This Row],[posicion_ciclo]],1)="T",tblAsignaciones[[#This Row],[en_vacaciones]]="no"),"sí","no")</f>
        <v/>
      </c>
    </row>
    <row r="63">
      <c r="A63" s="3" t="inlineStr">
        <is>
          <t>2026-S30</t>
        </is>
      </c>
      <c r="B63" s="3" t="inlineStr">
        <is>
          <t>jueves</t>
        </is>
      </c>
      <c r="C63" s="3" t="inlineStr">
        <is>
          <t>Técnico 09</t>
        </is>
      </c>
      <c r="D63" s="3">
        <f>_xlfn.XLOOKUP(tblAsignaciones[[#This Row],[tecnico]],tblTecnicos[nombre],tblTecnicos[area],"")</f>
        <v/>
      </c>
      <c r="E63" s="3">
        <f>_xlfn.XLOOKUP(tblAsignaciones[[#This Row],[tecnico]],tblTecnicos[nombre],tblTecnicos[especialidad],"")</f>
        <v/>
      </c>
      <c r="F63" s="3">
        <f>COUNTIFS(tblTecnicos[rotativo],"SI",tblTecnicos[especialidad],tblAsignaciones[[#This Row],[especialidad]],tblTecnicos[area],tblAsignaciones[[#This Row],[area]])</f>
        <v/>
      </c>
      <c r="G6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3" s="6" t="n"/>
      <c r="J6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3" s="3">
        <f>_xlfn.XLOOKUP(tblAsignaciones[[#This Row],[tecnico]],tblTecnicos[nombre],tblTecnicos[supervisor],"")</f>
        <v/>
      </c>
      <c r="L6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3" s="3">
        <f>tblAsignaciones[[#This Row],[semana]]&amp;"|"&amp;tblAsignaciones[[#This Row],[dia]]&amp;"|"&amp;tblAsignaciones[[#This Row],[tecnico]]</f>
        <v/>
      </c>
      <c r="O63" s="3">
        <f>_xlfn.XLOOKUP(tblAsignaciones[[#This Row],[turno]],tblTurnos[turno],tblTurnos[hora_inicio],"")</f>
        <v/>
      </c>
      <c r="P63" s="3">
        <f>_xlfn.XLOOKUP(tblAsignaciones[[#This Row],[turno]],tblTurnos[turno],tblTurnos[hora_fin],"")</f>
        <v/>
      </c>
      <c r="Q63" s="3">
        <f>IF(AND(LEFT(tblAsignaciones[[#This Row],[posicion_ciclo]],1)="T",tblAsignaciones[[#This Row],[en_vacaciones]]="no"),"sí","no")</f>
        <v/>
      </c>
    </row>
    <row r="64">
      <c r="A64" s="3" t="inlineStr">
        <is>
          <t>2026-S30</t>
        </is>
      </c>
      <c r="B64" s="3" t="inlineStr">
        <is>
          <t>viernes</t>
        </is>
      </c>
      <c r="C64" s="3" t="inlineStr">
        <is>
          <t>Técnico 09</t>
        </is>
      </c>
      <c r="D64" s="3">
        <f>_xlfn.XLOOKUP(tblAsignaciones[[#This Row],[tecnico]],tblTecnicos[nombre],tblTecnicos[area],"")</f>
        <v/>
      </c>
      <c r="E64" s="3">
        <f>_xlfn.XLOOKUP(tblAsignaciones[[#This Row],[tecnico]],tblTecnicos[nombre],tblTecnicos[especialidad],"")</f>
        <v/>
      </c>
      <c r="F64" s="3">
        <f>COUNTIFS(tblTecnicos[rotativo],"SI",tblTecnicos[especialidad],tblAsignaciones[[#This Row],[especialidad]],tblTecnicos[area],tblAsignaciones[[#This Row],[area]])</f>
        <v/>
      </c>
      <c r="G6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4" s="6" t="n"/>
      <c r="J6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4" s="3">
        <f>_xlfn.XLOOKUP(tblAsignaciones[[#This Row],[tecnico]],tblTecnicos[nombre],tblTecnicos[supervisor],"")</f>
        <v/>
      </c>
      <c r="L6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4" s="3">
        <f>tblAsignaciones[[#This Row],[semana]]&amp;"|"&amp;tblAsignaciones[[#This Row],[dia]]&amp;"|"&amp;tblAsignaciones[[#This Row],[tecnico]]</f>
        <v/>
      </c>
      <c r="O64" s="3">
        <f>_xlfn.XLOOKUP(tblAsignaciones[[#This Row],[turno]],tblTurnos[turno],tblTurnos[hora_inicio],"")</f>
        <v/>
      </c>
      <c r="P64" s="3">
        <f>_xlfn.XLOOKUP(tblAsignaciones[[#This Row],[turno]],tblTurnos[turno],tblTurnos[hora_fin],"")</f>
        <v/>
      </c>
      <c r="Q64" s="3">
        <f>IF(AND(LEFT(tblAsignaciones[[#This Row],[posicion_ciclo]],1)="T",tblAsignaciones[[#This Row],[en_vacaciones]]="no"),"sí","no")</f>
        <v/>
      </c>
    </row>
    <row r="65">
      <c r="A65" s="3" t="inlineStr">
        <is>
          <t>2026-S30</t>
        </is>
      </c>
      <c r="B65" s="3" t="inlineStr">
        <is>
          <t>sábado</t>
        </is>
      </c>
      <c r="C65" s="3" t="inlineStr">
        <is>
          <t>Técnico 09</t>
        </is>
      </c>
      <c r="D65" s="3">
        <f>_xlfn.XLOOKUP(tblAsignaciones[[#This Row],[tecnico]],tblTecnicos[nombre],tblTecnicos[area],"")</f>
        <v/>
      </c>
      <c r="E65" s="3">
        <f>_xlfn.XLOOKUP(tblAsignaciones[[#This Row],[tecnico]],tblTecnicos[nombre],tblTecnicos[especialidad],"")</f>
        <v/>
      </c>
      <c r="F65" s="3">
        <f>COUNTIFS(tblTecnicos[rotativo],"SI",tblTecnicos[especialidad],tblAsignaciones[[#This Row],[especialidad]],tblTecnicos[area],tblAsignaciones[[#This Row],[area]])</f>
        <v/>
      </c>
      <c r="G6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5" s="6" t="n"/>
      <c r="J6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5" s="3">
        <f>_xlfn.XLOOKUP(tblAsignaciones[[#This Row],[tecnico]],tblTecnicos[nombre],tblTecnicos[supervisor],"")</f>
        <v/>
      </c>
      <c r="L6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5" s="3">
        <f>tblAsignaciones[[#This Row],[semana]]&amp;"|"&amp;tblAsignaciones[[#This Row],[dia]]&amp;"|"&amp;tblAsignaciones[[#This Row],[tecnico]]</f>
        <v/>
      </c>
      <c r="O65" s="3">
        <f>_xlfn.XLOOKUP(tblAsignaciones[[#This Row],[turno]],tblTurnos[turno],tblTurnos[hora_inicio],"")</f>
        <v/>
      </c>
      <c r="P65" s="3">
        <f>_xlfn.XLOOKUP(tblAsignaciones[[#This Row],[turno]],tblTurnos[turno],tblTurnos[hora_fin],"")</f>
        <v/>
      </c>
      <c r="Q65" s="3">
        <f>IF(AND(LEFT(tblAsignaciones[[#This Row],[posicion_ciclo]],1)="T",tblAsignaciones[[#This Row],[en_vacaciones]]="no"),"sí","no")</f>
        <v/>
      </c>
    </row>
    <row r="66">
      <c r="A66" s="3" t="inlineStr">
        <is>
          <t>2026-S30</t>
        </is>
      </c>
      <c r="B66" s="3" t="inlineStr">
        <is>
          <t>domingo</t>
        </is>
      </c>
      <c r="C66" s="3" t="inlineStr">
        <is>
          <t>Técnico 09</t>
        </is>
      </c>
      <c r="D66" s="3">
        <f>_xlfn.XLOOKUP(tblAsignaciones[[#This Row],[tecnico]],tblTecnicos[nombre],tblTecnicos[area],"")</f>
        <v/>
      </c>
      <c r="E66" s="3">
        <f>_xlfn.XLOOKUP(tblAsignaciones[[#This Row],[tecnico]],tblTecnicos[nombre],tblTecnicos[especialidad],"")</f>
        <v/>
      </c>
      <c r="F66" s="3">
        <f>COUNTIFS(tblTecnicos[rotativo],"SI",tblTecnicos[especialidad],tblAsignaciones[[#This Row],[especialidad]],tblTecnicos[area],tblAsignaciones[[#This Row],[area]])</f>
        <v/>
      </c>
      <c r="G6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6" s="6" t="n"/>
      <c r="J6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6" s="3">
        <f>_xlfn.XLOOKUP(tblAsignaciones[[#This Row],[tecnico]],tblTecnicos[nombre],tblTecnicos[supervisor],"")</f>
        <v/>
      </c>
      <c r="L6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6" s="3">
        <f>tblAsignaciones[[#This Row],[semana]]&amp;"|"&amp;tblAsignaciones[[#This Row],[dia]]&amp;"|"&amp;tblAsignaciones[[#This Row],[tecnico]]</f>
        <v/>
      </c>
      <c r="O66" s="3">
        <f>_xlfn.XLOOKUP(tblAsignaciones[[#This Row],[turno]],tblTurnos[turno],tblTurnos[hora_inicio],"")</f>
        <v/>
      </c>
      <c r="P66" s="3">
        <f>_xlfn.XLOOKUP(tblAsignaciones[[#This Row],[turno]],tblTurnos[turno],tblTurnos[hora_fin],"")</f>
        <v/>
      </c>
      <c r="Q66" s="3">
        <f>IF(AND(LEFT(tblAsignaciones[[#This Row],[posicion_ciclo]],1)="T",tblAsignaciones[[#This Row],[en_vacaciones]]="no"),"sí","no")</f>
        <v/>
      </c>
    </row>
    <row r="67">
      <c r="A67" s="3" t="inlineStr">
        <is>
          <t>2026-S30</t>
        </is>
      </c>
      <c r="B67" s="3" t="inlineStr">
        <is>
          <t>lunes</t>
        </is>
      </c>
      <c r="C67" s="3" t="inlineStr">
        <is>
          <t>Técnico 10</t>
        </is>
      </c>
      <c r="D67" s="3">
        <f>_xlfn.XLOOKUP(tblAsignaciones[[#This Row],[tecnico]],tblTecnicos[nombre],tblTecnicos[area],"")</f>
        <v/>
      </c>
      <c r="E67" s="3">
        <f>_xlfn.XLOOKUP(tblAsignaciones[[#This Row],[tecnico]],tblTecnicos[nombre],tblTecnicos[especialidad],"")</f>
        <v/>
      </c>
      <c r="F67" s="3">
        <f>COUNTIFS(tblTecnicos[rotativo],"SI",tblTecnicos[especialidad],tblAsignaciones[[#This Row],[especialidad]],tblTecnicos[area],tblAsignaciones[[#This Row],[area]])</f>
        <v/>
      </c>
      <c r="G6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7" s="6" t="n"/>
      <c r="J6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7" s="3">
        <f>_xlfn.XLOOKUP(tblAsignaciones[[#This Row],[tecnico]],tblTecnicos[nombre],tblTecnicos[supervisor],"")</f>
        <v/>
      </c>
      <c r="L6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7" s="3">
        <f>tblAsignaciones[[#This Row],[semana]]&amp;"|"&amp;tblAsignaciones[[#This Row],[dia]]&amp;"|"&amp;tblAsignaciones[[#This Row],[tecnico]]</f>
        <v/>
      </c>
      <c r="O67" s="3">
        <f>_xlfn.XLOOKUP(tblAsignaciones[[#This Row],[turno]],tblTurnos[turno],tblTurnos[hora_inicio],"")</f>
        <v/>
      </c>
      <c r="P67" s="3">
        <f>_xlfn.XLOOKUP(tblAsignaciones[[#This Row],[turno]],tblTurnos[turno],tblTurnos[hora_fin],"")</f>
        <v/>
      </c>
      <c r="Q67" s="3">
        <f>IF(AND(LEFT(tblAsignaciones[[#This Row],[posicion_ciclo]],1)="T",tblAsignaciones[[#This Row],[en_vacaciones]]="no"),"sí","no")</f>
        <v/>
      </c>
    </row>
    <row r="68">
      <c r="A68" s="3" t="inlineStr">
        <is>
          <t>2026-S30</t>
        </is>
      </c>
      <c r="B68" s="3" t="inlineStr">
        <is>
          <t>martes</t>
        </is>
      </c>
      <c r="C68" s="3" t="inlineStr">
        <is>
          <t>Técnico 10</t>
        </is>
      </c>
      <c r="D68" s="3">
        <f>_xlfn.XLOOKUP(tblAsignaciones[[#This Row],[tecnico]],tblTecnicos[nombre],tblTecnicos[area],"")</f>
        <v/>
      </c>
      <c r="E68" s="3">
        <f>_xlfn.XLOOKUP(tblAsignaciones[[#This Row],[tecnico]],tblTecnicos[nombre],tblTecnicos[especialidad],"")</f>
        <v/>
      </c>
      <c r="F68" s="3">
        <f>COUNTIFS(tblTecnicos[rotativo],"SI",tblTecnicos[especialidad],tblAsignaciones[[#This Row],[especialidad]],tblTecnicos[area],tblAsignaciones[[#This Row],[area]])</f>
        <v/>
      </c>
      <c r="G6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8" s="6" t="n"/>
      <c r="J6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8" s="3">
        <f>_xlfn.XLOOKUP(tblAsignaciones[[#This Row],[tecnico]],tblTecnicos[nombre],tblTecnicos[supervisor],"")</f>
        <v/>
      </c>
      <c r="L6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8" s="3">
        <f>tblAsignaciones[[#This Row],[semana]]&amp;"|"&amp;tblAsignaciones[[#This Row],[dia]]&amp;"|"&amp;tblAsignaciones[[#This Row],[tecnico]]</f>
        <v/>
      </c>
      <c r="O68" s="3">
        <f>_xlfn.XLOOKUP(tblAsignaciones[[#This Row],[turno]],tblTurnos[turno],tblTurnos[hora_inicio],"")</f>
        <v/>
      </c>
      <c r="P68" s="3">
        <f>_xlfn.XLOOKUP(tblAsignaciones[[#This Row],[turno]],tblTurnos[turno],tblTurnos[hora_fin],"")</f>
        <v/>
      </c>
      <c r="Q68" s="3">
        <f>IF(AND(LEFT(tblAsignaciones[[#This Row],[posicion_ciclo]],1)="T",tblAsignaciones[[#This Row],[en_vacaciones]]="no"),"sí","no")</f>
        <v/>
      </c>
    </row>
    <row r="69">
      <c r="A69" s="3" t="inlineStr">
        <is>
          <t>2026-S30</t>
        </is>
      </c>
      <c r="B69" s="3" t="inlineStr">
        <is>
          <t>miércoles</t>
        </is>
      </c>
      <c r="C69" s="3" t="inlineStr">
        <is>
          <t>Técnico 10</t>
        </is>
      </c>
      <c r="D69" s="3">
        <f>_xlfn.XLOOKUP(tblAsignaciones[[#This Row],[tecnico]],tblTecnicos[nombre],tblTecnicos[area],"")</f>
        <v/>
      </c>
      <c r="E69" s="3">
        <f>_xlfn.XLOOKUP(tblAsignaciones[[#This Row],[tecnico]],tblTecnicos[nombre],tblTecnicos[especialidad],"")</f>
        <v/>
      </c>
      <c r="F69" s="3">
        <f>COUNTIFS(tblTecnicos[rotativo],"SI",tblTecnicos[especialidad],tblAsignaciones[[#This Row],[especialidad]],tblTecnicos[area],tblAsignaciones[[#This Row],[area]])</f>
        <v/>
      </c>
      <c r="G6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9" s="6" t="n"/>
      <c r="J6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9" s="3">
        <f>_xlfn.XLOOKUP(tblAsignaciones[[#This Row],[tecnico]],tblTecnicos[nombre],tblTecnicos[supervisor],"")</f>
        <v/>
      </c>
      <c r="L6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9" s="3">
        <f>tblAsignaciones[[#This Row],[semana]]&amp;"|"&amp;tblAsignaciones[[#This Row],[dia]]&amp;"|"&amp;tblAsignaciones[[#This Row],[tecnico]]</f>
        <v/>
      </c>
      <c r="O69" s="3">
        <f>_xlfn.XLOOKUP(tblAsignaciones[[#This Row],[turno]],tblTurnos[turno],tblTurnos[hora_inicio],"")</f>
        <v/>
      </c>
      <c r="P69" s="3">
        <f>_xlfn.XLOOKUP(tblAsignaciones[[#This Row],[turno]],tblTurnos[turno],tblTurnos[hora_fin],"")</f>
        <v/>
      </c>
      <c r="Q69" s="3">
        <f>IF(AND(LEFT(tblAsignaciones[[#This Row],[posicion_ciclo]],1)="T",tblAsignaciones[[#This Row],[en_vacaciones]]="no"),"sí","no")</f>
        <v/>
      </c>
    </row>
    <row r="70">
      <c r="A70" s="3" t="inlineStr">
        <is>
          <t>2026-S30</t>
        </is>
      </c>
      <c r="B70" s="3" t="inlineStr">
        <is>
          <t>jueves</t>
        </is>
      </c>
      <c r="C70" s="3" t="inlineStr">
        <is>
          <t>Técnico 10</t>
        </is>
      </c>
      <c r="D70" s="3">
        <f>_xlfn.XLOOKUP(tblAsignaciones[[#This Row],[tecnico]],tblTecnicos[nombre],tblTecnicos[area],"")</f>
        <v/>
      </c>
      <c r="E70" s="3">
        <f>_xlfn.XLOOKUP(tblAsignaciones[[#This Row],[tecnico]],tblTecnicos[nombre],tblTecnicos[especialidad],"")</f>
        <v/>
      </c>
      <c r="F70" s="3">
        <f>COUNTIFS(tblTecnicos[rotativo],"SI",tblTecnicos[especialidad],tblAsignaciones[[#This Row],[especialidad]],tblTecnicos[area],tblAsignaciones[[#This Row],[area]])</f>
        <v/>
      </c>
      <c r="G7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0" s="6" t="n"/>
      <c r="J7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0" s="3">
        <f>_xlfn.XLOOKUP(tblAsignaciones[[#This Row],[tecnico]],tblTecnicos[nombre],tblTecnicos[supervisor],"")</f>
        <v/>
      </c>
      <c r="L7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0" s="3">
        <f>tblAsignaciones[[#This Row],[semana]]&amp;"|"&amp;tblAsignaciones[[#This Row],[dia]]&amp;"|"&amp;tblAsignaciones[[#This Row],[tecnico]]</f>
        <v/>
      </c>
      <c r="O70" s="3">
        <f>_xlfn.XLOOKUP(tblAsignaciones[[#This Row],[turno]],tblTurnos[turno],tblTurnos[hora_inicio],"")</f>
        <v/>
      </c>
      <c r="P70" s="3">
        <f>_xlfn.XLOOKUP(tblAsignaciones[[#This Row],[turno]],tblTurnos[turno],tblTurnos[hora_fin],"")</f>
        <v/>
      </c>
      <c r="Q70" s="3">
        <f>IF(AND(LEFT(tblAsignaciones[[#This Row],[posicion_ciclo]],1)="T",tblAsignaciones[[#This Row],[en_vacaciones]]="no"),"sí","no")</f>
        <v/>
      </c>
    </row>
    <row r="71">
      <c r="A71" s="3" t="inlineStr">
        <is>
          <t>2026-S30</t>
        </is>
      </c>
      <c r="B71" s="3" t="inlineStr">
        <is>
          <t>viernes</t>
        </is>
      </c>
      <c r="C71" s="3" t="inlineStr">
        <is>
          <t>Técnico 10</t>
        </is>
      </c>
      <c r="D71" s="3">
        <f>_xlfn.XLOOKUP(tblAsignaciones[[#This Row],[tecnico]],tblTecnicos[nombre],tblTecnicos[area],"")</f>
        <v/>
      </c>
      <c r="E71" s="3">
        <f>_xlfn.XLOOKUP(tblAsignaciones[[#This Row],[tecnico]],tblTecnicos[nombre],tblTecnicos[especialidad],"")</f>
        <v/>
      </c>
      <c r="F71" s="3">
        <f>COUNTIFS(tblTecnicos[rotativo],"SI",tblTecnicos[especialidad],tblAsignaciones[[#This Row],[especialidad]],tblTecnicos[area],tblAsignaciones[[#This Row],[area]])</f>
        <v/>
      </c>
      <c r="G7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1" s="6" t="n"/>
      <c r="J7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1" s="3">
        <f>_xlfn.XLOOKUP(tblAsignaciones[[#This Row],[tecnico]],tblTecnicos[nombre],tblTecnicos[supervisor],"")</f>
        <v/>
      </c>
      <c r="L7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1" s="3">
        <f>tblAsignaciones[[#This Row],[semana]]&amp;"|"&amp;tblAsignaciones[[#This Row],[dia]]&amp;"|"&amp;tblAsignaciones[[#This Row],[tecnico]]</f>
        <v/>
      </c>
      <c r="O71" s="3">
        <f>_xlfn.XLOOKUP(tblAsignaciones[[#This Row],[turno]],tblTurnos[turno],tblTurnos[hora_inicio],"")</f>
        <v/>
      </c>
      <c r="P71" s="3">
        <f>_xlfn.XLOOKUP(tblAsignaciones[[#This Row],[turno]],tblTurnos[turno],tblTurnos[hora_fin],"")</f>
        <v/>
      </c>
      <c r="Q71" s="3">
        <f>IF(AND(LEFT(tblAsignaciones[[#This Row],[posicion_ciclo]],1)="T",tblAsignaciones[[#This Row],[en_vacaciones]]="no"),"sí","no")</f>
        <v/>
      </c>
    </row>
    <row r="72">
      <c r="A72" s="3" t="inlineStr">
        <is>
          <t>2026-S30</t>
        </is>
      </c>
      <c r="B72" s="3" t="inlineStr">
        <is>
          <t>sábado</t>
        </is>
      </c>
      <c r="C72" s="3" t="inlineStr">
        <is>
          <t>Técnico 10</t>
        </is>
      </c>
      <c r="D72" s="3">
        <f>_xlfn.XLOOKUP(tblAsignaciones[[#This Row],[tecnico]],tblTecnicos[nombre],tblTecnicos[area],"")</f>
        <v/>
      </c>
      <c r="E72" s="3">
        <f>_xlfn.XLOOKUP(tblAsignaciones[[#This Row],[tecnico]],tblTecnicos[nombre],tblTecnicos[especialidad],"")</f>
        <v/>
      </c>
      <c r="F72" s="3">
        <f>COUNTIFS(tblTecnicos[rotativo],"SI",tblTecnicos[especialidad],tblAsignaciones[[#This Row],[especialidad]],tblTecnicos[area],tblAsignaciones[[#This Row],[area]])</f>
        <v/>
      </c>
      <c r="G7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2" s="6" t="n"/>
      <c r="J7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2" s="3">
        <f>_xlfn.XLOOKUP(tblAsignaciones[[#This Row],[tecnico]],tblTecnicos[nombre],tblTecnicos[supervisor],"")</f>
        <v/>
      </c>
      <c r="L7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2" s="3">
        <f>tblAsignaciones[[#This Row],[semana]]&amp;"|"&amp;tblAsignaciones[[#This Row],[dia]]&amp;"|"&amp;tblAsignaciones[[#This Row],[tecnico]]</f>
        <v/>
      </c>
      <c r="O72" s="3">
        <f>_xlfn.XLOOKUP(tblAsignaciones[[#This Row],[turno]],tblTurnos[turno],tblTurnos[hora_inicio],"")</f>
        <v/>
      </c>
      <c r="P72" s="3">
        <f>_xlfn.XLOOKUP(tblAsignaciones[[#This Row],[turno]],tblTurnos[turno],tblTurnos[hora_fin],"")</f>
        <v/>
      </c>
      <c r="Q72" s="3">
        <f>IF(AND(LEFT(tblAsignaciones[[#This Row],[posicion_ciclo]],1)="T",tblAsignaciones[[#This Row],[en_vacaciones]]="no"),"sí","no")</f>
        <v/>
      </c>
    </row>
    <row r="73">
      <c r="A73" s="3" t="inlineStr">
        <is>
          <t>2026-S30</t>
        </is>
      </c>
      <c r="B73" s="3" t="inlineStr">
        <is>
          <t>domingo</t>
        </is>
      </c>
      <c r="C73" s="3" t="inlineStr">
        <is>
          <t>Técnico 10</t>
        </is>
      </c>
      <c r="D73" s="3">
        <f>_xlfn.XLOOKUP(tblAsignaciones[[#This Row],[tecnico]],tblTecnicos[nombre],tblTecnicos[area],"")</f>
        <v/>
      </c>
      <c r="E73" s="3">
        <f>_xlfn.XLOOKUP(tblAsignaciones[[#This Row],[tecnico]],tblTecnicos[nombre],tblTecnicos[especialidad],"")</f>
        <v/>
      </c>
      <c r="F73" s="3">
        <f>COUNTIFS(tblTecnicos[rotativo],"SI",tblTecnicos[especialidad],tblAsignaciones[[#This Row],[especialidad]],tblTecnicos[area],tblAsignaciones[[#This Row],[area]])</f>
        <v/>
      </c>
      <c r="G7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3" s="6" t="n"/>
      <c r="J7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3" s="3">
        <f>_xlfn.XLOOKUP(tblAsignaciones[[#This Row],[tecnico]],tblTecnicos[nombre],tblTecnicos[supervisor],"")</f>
        <v/>
      </c>
      <c r="L7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3" s="3">
        <f>tblAsignaciones[[#This Row],[semana]]&amp;"|"&amp;tblAsignaciones[[#This Row],[dia]]&amp;"|"&amp;tblAsignaciones[[#This Row],[tecnico]]</f>
        <v/>
      </c>
      <c r="O73" s="3">
        <f>_xlfn.XLOOKUP(tblAsignaciones[[#This Row],[turno]],tblTurnos[turno],tblTurnos[hora_inicio],"")</f>
        <v/>
      </c>
      <c r="P73" s="3">
        <f>_xlfn.XLOOKUP(tblAsignaciones[[#This Row],[turno]],tblTurnos[turno],tblTurnos[hora_fin],"")</f>
        <v/>
      </c>
      <c r="Q73" s="3">
        <f>IF(AND(LEFT(tblAsignaciones[[#This Row],[posicion_ciclo]],1)="T",tblAsignaciones[[#This Row],[en_vacaciones]]="no"),"sí","no")</f>
        <v/>
      </c>
    </row>
    <row r="74">
      <c r="A74" s="3" t="inlineStr">
        <is>
          <t>2026-S30</t>
        </is>
      </c>
      <c r="B74" s="3" t="inlineStr">
        <is>
          <t>lunes</t>
        </is>
      </c>
      <c r="C74" s="3" t="inlineStr">
        <is>
          <t>Técnico 11</t>
        </is>
      </c>
      <c r="D74" s="3">
        <f>_xlfn.XLOOKUP(tblAsignaciones[[#This Row],[tecnico]],tblTecnicos[nombre],tblTecnicos[area],"")</f>
        <v/>
      </c>
      <c r="E74" s="3">
        <f>_xlfn.XLOOKUP(tblAsignaciones[[#This Row],[tecnico]],tblTecnicos[nombre],tblTecnicos[especialidad],"")</f>
        <v/>
      </c>
      <c r="F74" s="3">
        <f>COUNTIFS(tblTecnicos[rotativo],"SI",tblTecnicos[especialidad],tblAsignaciones[[#This Row],[especialidad]],tblTecnicos[area],tblAsignaciones[[#This Row],[area]])</f>
        <v/>
      </c>
      <c r="G7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4" s="6" t="n"/>
      <c r="J7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4" s="3">
        <f>_xlfn.XLOOKUP(tblAsignaciones[[#This Row],[tecnico]],tblTecnicos[nombre],tblTecnicos[supervisor],"")</f>
        <v/>
      </c>
      <c r="L7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4" s="3">
        <f>tblAsignaciones[[#This Row],[semana]]&amp;"|"&amp;tblAsignaciones[[#This Row],[dia]]&amp;"|"&amp;tblAsignaciones[[#This Row],[tecnico]]</f>
        <v/>
      </c>
      <c r="O74" s="3">
        <f>_xlfn.XLOOKUP(tblAsignaciones[[#This Row],[turno]],tblTurnos[turno],tblTurnos[hora_inicio],"")</f>
        <v/>
      </c>
      <c r="P74" s="3">
        <f>_xlfn.XLOOKUP(tblAsignaciones[[#This Row],[turno]],tblTurnos[turno],tblTurnos[hora_fin],"")</f>
        <v/>
      </c>
      <c r="Q74" s="3">
        <f>IF(AND(LEFT(tblAsignaciones[[#This Row],[posicion_ciclo]],1)="T",tblAsignaciones[[#This Row],[en_vacaciones]]="no"),"sí","no")</f>
        <v/>
      </c>
    </row>
    <row r="75">
      <c r="A75" s="3" t="inlineStr">
        <is>
          <t>2026-S30</t>
        </is>
      </c>
      <c r="B75" s="3" t="inlineStr">
        <is>
          <t>martes</t>
        </is>
      </c>
      <c r="C75" s="3" t="inlineStr">
        <is>
          <t>Técnico 11</t>
        </is>
      </c>
      <c r="D75" s="3">
        <f>_xlfn.XLOOKUP(tblAsignaciones[[#This Row],[tecnico]],tblTecnicos[nombre],tblTecnicos[area],"")</f>
        <v/>
      </c>
      <c r="E75" s="3">
        <f>_xlfn.XLOOKUP(tblAsignaciones[[#This Row],[tecnico]],tblTecnicos[nombre],tblTecnicos[especialidad],"")</f>
        <v/>
      </c>
      <c r="F75" s="3">
        <f>COUNTIFS(tblTecnicos[rotativo],"SI",tblTecnicos[especialidad],tblAsignaciones[[#This Row],[especialidad]],tblTecnicos[area],tblAsignaciones[[#This Row],[area]])</f>
        <v/>
      </c>
      <c r="G7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5" s="6" t="n"/>
      <c r="J7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5" s="3">
        <f>_xlfn.XLOOKUP(tblAsignaciones[[#This Row],[tecnico]],tblTecnicos[nombre],tblTecnicos[supervisor],"")</f>
        <v/>
      </c>
      <c r="L7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5" s="3">
        <f>tblAsignaciones[[#This Row],[semana]]&amp;"|"&amp;tblAsignaciones[[#This Row],[dia]]&amp;"|"&amp;tblAsignaciones[[#This Row],[tecnico]]</f>
        <v/>
      </c>
      <c r="O75" s="3">
        <f>_xlfn.XLOOKUP(tblAsignaciones[[#This Row],[turno]],tblTurnos[turno],tblTurnos[hora_inicio],"")</f>
        <v/>
      </c>
      <c r="P75" s="3">
        <f>_xlfn.XLOOKUP(tblAsignaciones[[#This Row],[turno]],tblTurnos[turno],tblTurnos[hora_fin],"")</f>
        <v/>
      </c>
      <c r="Q75" s="3">
        <f>IF(AND(LEFT(tblAsignaciones[[#This Row],[posicion_ciclo]],1)="T",tblAsignaciones[[#This Row],[en_vacaciones]]="no"),"sí","no")</f>
        <v/>
      </c>
    </row>
    <row r="76">
      <c r="A76" s="3" t="inlineStr">
        <is>
          <t>2026-S30</t>
        </is>
      </c>
      <c r="B76" s="3" t="inlineStr">
        <is>
          <t>miércoles</t>
        </is>
      </c>
      <c r="C76" s="3" t="inlineStr">
        <is>
          <t>Técnico 11</t>
        </is>
      </c>
      <c r="D76" s="3">
        <f>_xlfn.XLOOKUP(tblAsignaciones[[#This Row],[tecnico]],tblTecnicos[nombre],tblTecnicos[area],"")</f>
        <v/>
      </c>
      <c r="E76" s="3">
        <f>_xlfn.XLOOKUP(tblAsignaciones[[#This Row],[tecnico]],tblTecnicos[nombre],tblTecnicos[especialidad],"")</f>
        <v/>
      </c>
      <c r="F76" s="3">
        <f>COUNTIFS(tblTecnicos[rotativo],"SI",tblTecnicos[especialidad],tblAsignaciones[[#This Row],[especialidad]],tblTecnicos[area],tblAsignaciones[[#This Row],[area]])</f>
        <v/>
      </c>
      <c r="G7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6" s="6" t="n"/>
      <c r="J7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6" s="3">
        <f>_xlfn.XLOOKUP(tblAsignaciones[[#This Row],[tecnico]],tblTecnicos[nombre],tblTecnicos[supervisor],"")</f>
        <v/>
      </c>
      <c r="L7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6" s="3">
        <f>tblAsignaciones[[#This Row],[semana]]&amp;"|"&amp;tblAsignaciones[[#This Row],[dia]]&amp;"|"&amp;tblAsignaciones[[#This Row],[tecnico]]</f>
        <v/>
      </c>
      <c r="O76" s="3">
        <f>_xlfn.XLOOKUP(tblAsignaciones[[#This Row],[turno]],tblTurnos[turno],tblTurnos[hora_inicio],"")</f>
        <v/>
      </c>
      <c r="P76" s="3">
        <f>_xlfn.XLOOKUP(tblAsignaciones[[#This Row],[turno]],tblTurnos[turno],tblTurnos[hora_fin],"")</f>
        <v/>
      </c>
      <c r="Q76" s="3">
        <f>IF(AND(LEFT(tblAsignaciones[[#This Row],[posicion_ciclo]],1)="T",tblAsignaciones[[#This Row],[en_vacaciones]]="no"),"sí","no")</f>
        <v/>
      </c>
    </row>
    <row r="77">
      <c r="A77" s="3" t="inlineStr">
        <is>
          <t>2026-S30</t>
        </is>
      </c>
      <c r="B77" s="3" t="inlineStr">
        <is>
          <t>jueves</t>
        </is>
      </c>
      <c r="C77" s="3" t="inlineStr">
        <is>
          <t>Técnico 11</t>
        </is>
      </c>
      <c r="D77" s="3">
        <f>_xlfn.XLOOKUP(tblAsignaciones[[#This Row],[tecnico]],tblTecnicos[nombre],tblTecnicos[area],"")</f>
        <v/>
      </c>
      <c r="E77" s="3">
        <f>_xlfn.XLOOKUP(tblAsignaciones[[#This Row],[tecnico]],tblTecnicos[nombre],tblTecnicos[especialidad],"")</f>
        <v/>
      </c>
      <c r="F77" s="3">
        <f>COUNTIFS(tblTecnicos[rotativo],"SI",tblTecnicos[especialidad],tblAsignaciones[[#This Row],[especialidad]],tblTecnicos[area],tblAsignaciones[[#This Row],[area]])</f>
        <v/>
      </c>
      <c r="G7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7" s="6" t="n"/>
      <c r="J7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7" s="3">
        <f>_xlfn.XLOOKUP(tblAsignaciones[[#This Row],[tecnico]],tblTecnicos[nombre],tblTecnicos[supervisor],"")</f>
        <v/>
      </c>
      <c r="L7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7" s="3">
        <f>tblAsignaciones[[#This Row],[semana]]&amp;"|"&amp;tblAsignaciones[[#This Row],[dia]]&amp;"|"&amp;tblAsignaciones[[#This Row],[tecnico]]</f>
        <v/>
      </c>
      <c r="O77" s="3">
        <f>_xlfn.XLOOKUP(tblAsignaciones[[#This Row],[turno]],tblTurnos[turno],tblTurnos[hora_inicio],"")</f>
        <v/>
      </c>
      <c r="P77" s="3">
        <f>_xlfn.XLOOKUP(tblAsignaciones[[#This Row],[turno]],tblTurnos[turno],tblTurnos[hora_fin],"")</f>
        <v/>
      </c>
      <c r="Q77" s="3">
        <f>IF(AND(LEFT(tblAsignaciones[[#This Row],[posicion_ciclo]],1)="T",tblAsignaciones[[#This Row],[en_vacaciones]]="no"),"sí","no")</f>
        <v/>
      </c>
    </row>
    <row r="78">
      <c r="A78" s="3" t="inlineStr">
        <is>
          <t>2026-S30</t>
        </is>
      </c>
      <c r="B78" s="3" t="inlineStr">
        <is>
          <t>viernes</t>
        </is>
      </c>
      <c r="C78" s="3" t="inlineStr">
        <is>
          <t>Técnico 11</t>
        </is>
      </c>
      <c r="D78" s="3">
        <f>_xlfn.XLOOKUP(tblAsignaciones[[#This Row],[tecnico]],tblTecnicos[nombre],tblTecnicos[area],"")</f>
        <v/>
      </c>
      <c r="E78" s="3">
        <f>_xlfn.XLOOKUP(tblAsignaciones[[#This Row],[tecnico]],tblTecnicos[nombre],tblTecnicos[especialidad],"")</f>
        <v/>
      </c>
      <c r="F78" s="3">
        <f>COUNTIFS(tblTecnicos[rotativo],"SI",tblTecnicos[especialidad],tblAsignaciones[[#This Row],[especialidad]],tblTecnicos[area],tblAsignaciones[[#This Row],[area]])</f>
        <v/>
      </c>
      <c r="G7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8" s="6" t="n"/>
      <c r="J7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8" s="3">
        <f>_xlfn.XLOOKUP(tblAsignaciones[[#This Row],[tecnico]],tblTecnicos[nombre],tblTecnicos[supervisor],"")</f>
        <v/>
      </c>
      <c r="L7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8" s="3">
        <f>tblAsignaciones[[#This Row],[semana]]&amp;"|"&amp;tblAsignaciones[[#This Row],[dia]]&amp;"|"&amp;tblAsignaciones[[#This Row],[tecnico]]</f>
        <v/>
      </c>
      <c r="O78" s="3">
        <f>_xlfn.XLOOKUP(tblAsignaciones[[#This Row],[turno]],tblTurnos[turno],tblTurnos[hora_inicio],"")</f>
        <v/>
      </c>
      <c r="P78" s="3">
        <f>_xlfn.XLOOKUP(tblAsignaciones[[#This Row],[turno]],tblTurnos[turno],tblTurnos[hora_fin],"")</f>
        <v/>
      </c>
      <c r="Q78" s="3">
        <f>IF(AND(LEFT(tblAsignaciones[[#This Row],[posicion_ciclo]],1)="T",tblAsignaciones[[#This Row],[en_vacaciones]]="no"),"sí","no")</f>
        <v/>
      </c>
    </row>
    <row r="79">
      <c r="A79" s="3" t="inlineStr">
        <is>
          <t>2026-S30</t>
        </is>
      </c>
      <c r="B79" s="3" t="inlineStr">
        <is>
          <t>sábado</t>
        </is>
      </c>
      <c r="C79" s="3" t="inlineStr">
        <is>
          <t>Técnico 11</t>
        </is>
      </c>
      <c r="D79" s="3">
        <f>_xlfn.XLOOKUP(tblAsignaciones[[#This Row],[tecnico]],tblTecnicos[nombre],tblTecnicos[area],"")</f>
        <v/>
      </c>
      <c r="E79" s="3">
        <f>_xlfn.XLOOKUP(tblAsignaciones[[#This Row],[tecnico]],tblTecnicos[nombre],tblTecnicos[especialidad],"")</f>
        <v/>
      </c>
      <c r="F79" s="3">
        <f>COUNTIFS(tblTecnicos[rotativo],"SI",tblTecnicos[especialidad],tblAsignaciones[[#This Row],[especialidad]],tblTecnicos[area],tblAsignaciones[[#This Row],[area]])</f>
        <v/>
      </c>
      <c r="G7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9" s="6" t="n"/>
      <c r="J7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9" s="3">
        <f>_xlfn.XLOOKUP(tblAsignaciones[[#This Row],[tecnico]],tblTecnicos[nombre],tblTecnicos[supervisor],"")</f>
        <v/>
      </c>
      <c r="L7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9" s="3">
        <f>tblAsignaciones[[#This Row],[semana]]&amp;"|"&amp;tblAsignaciones[[#This Row],[dia]]&amp;"|"&amp;tblAsignaciones[[#This Row],[tecnico]]</f>
        <v/>
      </c>
      <c r="O79" s="3">
        <f>_xlfn.XLOOKUP(tblAsignaciones[[#This Row],[turno]],tblTurnos[turno],tblTurnos[hora_inicio],"")</f>
        <v/>
      </c>
      <c r="P79" s="3">
        <f>_xlfn.XLOOKUP(tblAsignaciones[[#This Row],[turno]],tblTurnos[turno],tblTurnos[hora_fin],"")</f>
        <v/>
      </c>
      <c r="Q79" s="3">
        <f>IF(AND(LEFT(tblAsignaciones[[#This Row],[posicion_ciclo]],1)="T",tblAsignaciones[[#This Row],[en_vacaciones]]="no"),"sí","no")</f>
        <v/>
      </c>
    </row>
    <row r="80">
      <c r="A80" s="3" t="inlineStr">
        <is>
          <t>2026-S30</t>
        </is>
      </c>
      <c r="B80" s="3" t="inlineStr">
        <is>
          <t>domingo</t>
        </is>
      </c>
      <c r="C80" s="3" t="inlineStr">
        <is>
          <t>Técnico 11</t>
        </is>
      </c>
      <c r="D80" s="3">
        <f>_xlfn.XLOOKUP(tblAsignaciones[[#This Row],[tecnico]],tblTecnicos[nombre],tblTecnicos[area],"")</f>
        <v/>
      </c>
      <c r="E80" s="3">
        <f>_xlfn.XLOOKUP(tblAsignaciones[[#This Row],[tecnico]],tblTecnicos[nombre],tblTecnicos[especialidad],"")</f>
        <v/>
      </c>
      <c r="F80" s="3">
        <f>COUNTIFS(tblTecnicos[rotativo],"SI",tblTecnicos[especialidad],tblAsignaciones[[#This Row],[especialidad]],tblTecnicos[area],tblAsignaciones[[#This Row],[area]])</f>
        <v/>
      </c>
      <c r="G8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0" s="6" t="n"/>
      <c r="J8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0" s="3">
        <f>_xlfn.XLOOKUP(tblAsignaciones[[#This Row],[tecnico]],tblTecnicos[nombre],tblTecnicos[supervisor],"")</f>
        <v/>
      </c>
      <c r="L8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0" s="3">
        <f>tblAsignaciones[[#This Row],[semana]]&amp;"|"&amp;tblAsignaciones[[#This Row],[dia]]&amp;"|"&amp;tblAsignaciones[[#This Row],[tecnico]]</f>
        <v/>
      </c>
      <c r="O80" s="3">
        <f>_xlfn.XLOOKUP(tblAsignaciones[[#This Row],[turno]],tblTurnos[turno],tblTurnos[hora_inicio],"")</f>
        <v/>
      </c>
      <c r="P80" s="3">
        <f>_xlfn.XLOOKUP(tblAsignaciones[[#This Row],[turno]],tblTurnos[turno],tblTurnos[hora_fin],"")</f>
        <v/>
      </c>
      <c r="Q80" s="3">
        <f>IF(AND(LEFT(tblAsignaciones[[#This Row],[posicion_ciclo]],1)="T",tblAsignaciones[[#This Row],[en_vacaciones]]="no"),"sí","no")</f>
        <v/>
      </c>
    </row>
    <row r="81">
      <c r="A81" s="3" t="inlineStr">
        <is>
          <t>2026-S30</t>
        </is>
      </c>
      <c r="B81" s="3" t="inlineStr">
        <is>
          <t>lunes</t>
        </is>
      </c>
      <c r="C81" s="3" t="inlineStr">
        <is>
          <t>Técnico 12</t>
        </is>
      </c>
      <c r="D81" s="3">
        <f>_xlfn.XLOOKUP(tblAsignaciones[[#This Row],[tecnico]],tblTecnicos[nombre],tblTecnicos[area],"")</f>
        <v/>
      </c>
      <c r="E81" s="3">
        <f>_xlfn.XLOOKUP(tblAsignaciones[[#This Row],[tecnico]],tblTecnicos[nombre],tblTecnicos[especialidad],"")</f>
        <v/>
      </c>
      <c r="F81" s="3">
        <f>COUNTIFS(tblTecnicos[rotativo],"SI",tblTecnicos[especialidad],tblAsignaciones[[#This Row],[especialidad]],tblTecnicos[area],tblAsignaciones[[#This Row],[area]])</f>
        <v/>
      </c>
      <c r="G8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1" s="6" t="n"/>
      <c r="J8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1" s="3">
        <f>_xlfn.XLOOKUP(tblAsignaciones[[#This Row],[tecnico]],tblTecnicos[nombre],tblTecnicos[supervisor],"")</f>
        <v/>
      </c>
      <c r="L8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1" s="3">
        <f>tblAsignaciones[[#This Row],[semana]]&amp;"|"&amp;tblAsignaciones[[#This Row],[dia]]&amp;"|"&amp;tblAsignaciones[[#This Row],[tecnico]]</f>
        <v/>
      </c>
      <c r="O81" s="3">
        <f>_xlfn.XLOOKUP(tblAsignaciones[[#This Row],[turno]],tblTurnos[turno],tblTurnos[hora_inicio],"")</f>
        <v/>
      </c>
      <c r="P81" s="3">
        <f>_xlfn.XLOOKUP(tblAsignaciones[[#This Row],[turno]],tblTurnos[turno],tblTurnos[hora_fin],"")</f>
        <v/>
      </c>
      <c r="Q81" s="3">
        <f>IF(AND(LEFT(tblAsignaciones[[#This Row],[posicion_ciclo]],1)="T",tblAsignaciones[[#This Row],[en_vacaciones]]="no"),"sí","no")</f>
        <v/>
      </c>
    </row>
    <row r="82">
      <c r="A82" s="3" t="inlineStr">
        <is>
          <t>2026-S30</t>
        </is>
      </c>
      <c r="B82" s="3" t="inlineStr">
        <is>
          <t>martes</t>
        </is>
      </c>
      <c r="C82" s="3" t="inlineStr">
        <is>
          <t>Técnico 12</t>
        </is>
      </c>
      <c r="D82" s="3">
        <f>_xlfn.XLOOKUP(tblAsignaciones[[#This Row],[tecnico]],tblTecnicos[nombre],tblTecnicos[area],"")</f>
        <v/>
      </c>
      <c r="E82" s="3">
        <f>_xlfn.XLOOKUP(tblAsignaciones[[#This Row],[tecnico]],tblTecnicos[nombre],tblTecnicos[especialidad],"")</f>
        <v/>
      </c>
      <c r="F82" s="3">
        <f>COUNTIFS(tblTecnicos[rotativo],"SI",tblTecnicos[especialidad],tblAsignaciones[[#This Row],[especialidad]],tblTecnicos[area],tblAsignaciones[[#This Row],[area]])</f>
        <v/>
      </c>
      <c r="G8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2" s="6" t="n"/>
      <c r="J8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2" s="3">
        <f>_xlfn.XLOOKUP(tblAsignaciones[[#This Row],[tecnico]],tblTecnicos[nombre],tblTecnicos[supervisor],"")</f>
        <v/>
      </c>
      <c r="L8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2" s="3">
        <f>tblAsignaciones[[#This Row],[semana]]&amp;"|"&amp;tblAsignaciones[[#This Row],[dia]]&amp;"|"&amp;tblAsignaciones[[#This Row],[tecnico]]</f>
        <v/>
      </c>
      <c r="O82" s="3">
        <f>_xlfn.XLOOKUP(tblAsignaciones[[#This Row],[turno]],tblTurnos[turno],tblTurnos[hora_inicio],"")</f>
        <v/>
      </c>
      <c r="P82" s="3">
        <f>_xlfn.XLOOKUP(tblAsignaciones[[#This Row],[turno]],tblTurnos[turno],tblTurnos[hora_fin],"")</f>
        <v/>
      </c>
      <c r="Q82" s="3">
        <f>IF(AND(LEFT(tblAsignaciones[[#This Row],[posicion_ciclo]],1)="T",tblAsignaciones[[#This Row],[en_vacaciones]]="no"),"sí","no")</f>
        <v/>
      </c>
    </row>
    <row r="83">
      <c r="A83" s="3" t="inlineStr">
        <is>
          <t>2026-S30</t>
        </is>
      </c>
      <c r="B83" s="3" t="inlineStr">
        <is>
          <t>miércoles</t>
        </is>
      </c>
      <c r="C83" s="3" t="inlineStr">
        <is>
          <t>Técnico 12</t>
        </is>
      </c>
      <c r="D83" s="3">
        <f>_xlfn.XLOOKUP(tblAsignaciones[[#This Row],[tecnico]],tblTecnicos[nombre],tblTecnicos[area],"")</f>
        <v/>
      </c>
      <c r="E83" s="3">
        <f>_xlfn.XLOOKUP(tblAsignaciones[[#This Row],[tecnico]],tblTecnicos[nombre],tblTecnicos[especialidad],"")</f>
        <v/>
      </c>
      <c r="F83" s="3">
        <f>COUNTIFS(tblTecnicos[rotativo],"SI",tblTecnicos[especialidad],tblAsignaciones[[#This Row],[especialidad]],tblTecnicos[area],tblAsignaciones[[#This Row],[area]])</f>
        <v/>
      </c>
      <c r="G8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3" s="6" t="n"/>
      <c r="J8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3" s="3">
        <f>_xlfn.XLOOKUP(tblAsignaciones[[#This Row],[tecnico]],tblTecnicos[nombre],tblTecnicos[supervisor],"")</f>
        <v/>
      </c>
      <c r="L8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3" s="3">
        <f>tblAsignaciones[[#This Row],[semana]]&amp;"|"&amp;tblAsignaciones[[#This Row],[dia]]&amp;"|"&amp;tblAsignaciones[[#This Row],[tecnico]]</f>
        <v/>
      </c>
      <c r="O83" s="3">
        <f>_xlfn.XLOOKUP(tblAsignaciones[[#This Row],[turno]],tblTurnos[turno],tblTurnos[hora_inicio],"")</f>
        <v/>
      </c>
      <c r="P83" s="3">
        <f>_xlfn.XLOOKUP(tblAsignaciones[[#This Row],[turno]],tblTurnos[turno],tblTurnos[hora_fin],"")</f>
        <v/>
      </c>
      <c r="Q83" s="3">
        <f>IF(AND(LEFT(tblAsignaciones[[#This Row],[posicion_ciclo]],1)="T",tblAsignaciones[[#This Row],[en_vacaciones]]="no"),"sí","no")</f>
        <v/>
      </c>
    </row>
    <row r="84">
      <c r="A84" s="3" t="inlineStr">
        <is>
          <t>2026-S30</t>
        </is>
      </c>
      <c r="B84" s="3" t="inlineStr">
        <is>
          <t>jueves</t>
        </is>
      </c>
      <c r="C84" s="3" t="inlineStr">
        <is>
          <t>Técnico 12</t>
        </is>
      </c>
      <c r="D84" s="3">
        <f>_xlfn.XLOOKUP(tblAsignaciones[[#This Row],[tecnico]],tblTecnicos[nombre],tblTecnicos[area],"")</f>
        <v/>
      </c>
      <c r="E84" s="3">
        <f>_xlfn.XLOOKUP(tblAsignaciones[[#This Row],[tecnico]],tblTecnicos[nombre],tblTecnicos[especialidad],"")</f>
        <v/>
      </c>
      <c r="F84" s="3">
        <f>COUNTIFS(tblTecnicos[rotativo],"SI",tblTecnicos[especialidad],tblAsignaciones[[#This Row],[especialidad]],tblTecnicos[area],tblAsignaciones[[#This Row],[area]])</f>
        <v/>
      </c>
      <c r="G8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4" s="6" t="n"/>
      <c r="J8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4" s="3">
        <f>_xlfn.XLOOKUP(tblAsignaciones[[#This Row],[tecnico]],tblTecnicos[nombre],tblTecnicos[supervisor],"")</f>
        <v/>
      </c>
      <c r="L8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4" s="3">
        <f>tblAsignaciones[[#This Row],[semana]]&amp;"|"&amp;tblAsignaciones[[#This Row],[dia]]&amp;"|"&amp;tblAsignaciones[[#This Row],[tecnico]]</f>
        <v/>
      </c>
      <c r="O84" s="3">
        <f>_xlfn.XLOOKUP(tblAsignaciones[[#This Row],[turno]],tblTurnos[turno],tblTurnos[hora_inicio],"")</f>
        <v/>
      </c>
      <c r="P84" s="3">
        <f>_xlfn.XLOOKUP(tblAsignaciones[[#This Row],[turno]],tblTurnos[turno],tblTurnos[hora_fin],"")</f>
        <v/>
      </c>
      <c r="Q84" s="3">
        <f>IF(AND(LEFT(tblAsignaciones[[#This Row],[posicion_ciclo]],1)="T",tblAsignaciones[[#This Row],[en_vacaciones]]="no"),"sí","no")</f>
        <v/>
      </c>
    </row>
    <row r="85">
      <c r="A85" s="3" t="inlineStr">
        <is>
          <t>2026-S30</t>
        </is>
      </c>
      <c r="B85" s="3" t="inlineStr">
        <is>
          <t>viernes</t>
        </is>
      </c>
      <c r="C85" s="3" t="inlineStr">
        <is>
          <t>Técnico 12</t>
        </is>
      </c>
      <c r="D85" s="3">
        <f>_xlfn.XLOOKUP(tblAsignaciones[[#This Row],[tecnico]],tblTecnicos[nombre],tblTecnicos[area],"")</f>
        <v/>
      </c>
      <c r="E85" s="3">
        <f>_xlfn.XLOOKUP(tblAsignaciones[[#This Row],[tecnico]],tblTecnicos[nombre],tblTecnicos[especialidad],"")</f>
        <v/>
      </c>
      <c r="F85" s="3">
        <f>COUNTIFS(tblTecnicos[rotativo],"SI",tblTecnicos[especialidad],tblAsignaciones[[#This Row],[especialidad]],tblTecnicos[area],tblAsignaciones[[#This Row],[area]])</f>
        <v/>
      </c>
      <c r="G8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5" s="6" t="n"/>
      <c r="J8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5" s="3">
        <f>_xlfn.XLOOKUP(tblAsignaciones[[#This Row],[tecnico]],tblTecnicos[nombre],tblTecnicos[supervisor],"")</f>
        <v/>
      </c>
      <c r="L8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5" s="3">
        <f>tblAsignaciones[[#This Row],[semana]]&amp;"|"&amp;tblAsignaciones[[#This Row],[dia]]&amp;"|"&amp;tblAsignaciones[[#This Row],[tecnico]]</f>
        <v/>
      </c>
      <c r="O85" s="3">
        <f>_xlfn.XLOOKUP(tblAsignaciones[[#This Row],[turno]],tblTurnos[turno],tblTurnos[hora_inicio],"")</f>
        <v/>
      </c>
      <c r="P85" s="3">
        <f>_xlfn.XLOOKUP(tblAsignaciones[[#This Row],[turno]],tblTurnos[turno],tblTurnos[hora_fin],"")</f>
        <v/>
      </c>
      <c r="Q85" s="3">
        <f>IF(AND(LEFT(tblAsignaciones[[#This Row],[posicion_ciclo]],1)="T",tblAsignaciones[[#This Row],[en_vacaciones]]="no"),"sí","no")</f>
        <v/>
      </c>
    </row>
    <row r="86">
      <c r="A86" s="3" t="inlineStr">
        <is>
          <t>2026-S30</t>
        </is>
      </c>
      <c r="B86" s="3" t="inlineStr">
        <is>
          <t>sábado</t>
        </is>
      </c>
      <c r="C86" s="3" t="inlineStr">
        <is>
          <t>Técnico 12</t>
        </is>
      </c>
      <c r="D86" s="3">
        <f>_xlfn.XLOOKUP(tblAsignaciones[[#This Row],[tecnico]],tblTecnicos[nombre],tblTecnicos[area],"")</f>
        <v/>
      </c>
      <c r="E86" s="3">
        <f>_xlfn.XLOOKUP(tblAsignaciones[[#This Row],[tecnico]],tblTecnicos[nombre],tblTecnicos[especialidad],"")</f>
        <v/>
      </c>
      <c r="F86" s="3">
        <f>COUNTIFS(tblTecnicos[rotativo],"SI",tblTecnicos[especialidad],tblAsignaciones[[#This Row],[especialidad]],tblTecnicos[area],tblAsignaciones[[#This Row],[area]])</f>
        <v/>
      </c>
      <c r="G8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6" s="6" t="n"/>
      <c r="J8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6" s="3">
        <f>_xlfn.XLOOKUP(tblAsignaciones[[#This Row],[tecnico]],tblTecnicos[nombre],tblTecnicos[supervisor],"")</f>
        <v/>
      </c>
      <c r="L8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6" s="3">
        <f>tblAsignaciones[[#This Row],[semana]]&amp;"|"&amp;tblAsignaciones[[#This Row],[dia]]&amp;"|"&amp;tblAsignaciones[[#This Row],[tecnico]]</f>
        <v/>
      </c>
      <c r="O86" s="3">
        <f>_xlfn.XLOOKUP(tblAsignaciones[[#This Row],[turno]],tblTurnos[turno],tblTurnos[hora_inicio],"")</f>
        <v/>
      </c>
      <c r="P86" s="3">
        <f>_xlfn.XLOOKUP(tblAsignaciones[[#This Row],[turno]],tblTurnos[turno],tblTurnos[hora_fin],"")</f>
        <v/>
      </c>
      <c r="Q86" s="3">
        <f>IF(AND(LEFT(tblAsignaciones[[#This Row],[posicion_ciclo]],1)="T",tblAsignaciones[[#This Row],[en_vacaciones]]="no"),"sí","no")</f>
        <v/>
      </c>
    </row>
    <row r="87">
      <c r="A87" s="3" t="inlineStr">
        <is>
          <t>2026-S30</t>
        </is>
      </c>
      <c r="B87" s="3" t="inlineStr">
        <is>
          <t>domingo</t>
        </is>
      </c>
      <c r="C87" s="3" t="inlineStr">
        <is>
          <t>Técnico 12</t>
        </is>
      </c>
      <c r="D87" s="3">
        <f>_xlfn.XLOOKUP(tblAsignaciones[[#This Row],[tecnico]],tblTecnicos[nombre],tblTecnicos[area],"")</f>
        <v/>
      </c>
      <c r="E87" s="3">
        <f>_xlfn.XLOOKUP(tblAsignaciones[[#This Row],[tecnico]],tblTecnicos[nombre],tblTecnicos[especialidad],"")</f>
        <v/>
      </c>
      <c r="F87" s="3">
        <f>COUNTIFS(tblTecnicos[rotativo],"SI",tblTecnicos[especialidad],tblAsignaciones[[#This Row],[especialidad]],tblTecnicos[area],tblAsignaciones[[#This Row],[area]])</f>
        <v/>
      </c>
      <c r="G8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7" s="6" t="n"/>
      <c r="J8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7" s="3">
        <f>_xlfn.XLOOKUP(tblAsignaciones[[#This Row],[tecnico]],tblTecnicos[nombre],tblTecnicos[supervisor],"")</f>
        <v/>
      </c>
      <c r="L8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7" s="3">
        <f>tblAsignaciones[[#This Row],[semana]]&amp;"|"&amp;tblAsignaciones[[#This Row],[dia]]&amp;"|"&amp;tblAsignaciones[[#This Row],[tecnico]]</f>
        <v/>
      </c>
      <c r="O87" s="3">
        <f>_xlfn.XLOOKUP(tblAsignaciones[[#This Row],[turno]],tblTurnos[turno],tblTurnos[hora_inicio],"")</f>
        <v/>
      </c>
      <c r="P87" s="3">
        <f>_xlfn.XLOOKUP(tblAsignaciones[[#This Row],[turno]],tblTurnos[turno],tblTurnos[hora_fin],"")</f>
        <v/>
      </c>
      <c r="Q87" s="3">
        <f>IF(AND(LEFT(tblAsignaciones[[#This Row],[posicion_ciclo]],1)="T",tblAsignaciones[[#This Row],[en_vacaciones]]="no"),"sí","no")</f>
        <v/>
      </c>
    </row>
    <row r="88">
      <c r="A88" s="3" t="inlineStr">
        <is>
          <t>2026-S30</t>
        </is>
      </c>
      <c r="B88" s="3" t="inlineStr">
        <is>
          <t>lunes</t>
        </is>
      </c>
      <c r="C88" s="3" t="inlineStr">
        <is>
          <t>Técnico 13</t>
        </is>
      </c>
      <c r="D88" s="3">
        <f>_xlfn.XLOOKUP(tblAsignaciones[[#This Row],[tecnico]],tblTecnicos[nombre],tblTecnicos[area],"")</f>
        <v/>
      </c>
      <c r="E88" s="3">
        <f>_xlfn.XLOOKUP(tblAsignaciones[[#This Row],[tecnico]],tblTecnicos[nombre],tblTecnicos[especialidad],"")</f>
        <v/>
      </c>
      <c r="F88" s="3">
        <f>COUNTIFS(tblTecnicos[rotativo],"SI",tblTecnicos[especialidad],tblAsignaciones[[#This Row],[especialidad]],tblTecnicos[area],tblAsignaciones[[#This Row],[area]])</f>
        <v/>
      </c>
      <c r="G8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8" s="6" t="n"/>
      <c r="J8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8" s="3">
        <f>_xlfn.XLOOKUP(tblAsignaciones[[#This Row],[tecnico]],tblTecnicos[nombre],tblTecnicos[supervisor],"")</f>
        <v/>
      </c>
      <c r="L8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8" s="3">
        <f>tblAsignaciones[[#This Row],[semana]]&amp;"|"&amp;tblAsignaciones[[#This Row],[dia]]&amp;"|"&amp;tblAsignaciones[[#This Row],[tecnico]]</f>
        <v/>
      </c>
      <c r="O88" s="3">
        <f>_xlfn.XLOOKUP(tblAsignaciones[[#This Row],[turno]],tblTurnos[turno],tblTurnos[hora_inicio],"")</f>
        <v/>
      </c>
      <c r="P88" s="3">
        <f>_xlfn.XLOOKUP(tblAsignaciones[[#This Row],[turno]],tblTurnos[turno],tblTurnos[hora_fin],"")</f>
        <v/>
      </c>
      <c r="Q88" s="3">
        <f>IF(AND(LEFT(tblAsignaciones[[#This Row],[posicion_ciclo]],1)="T",tblAsignaciones[[#This Row],[en_vacaciones]]="no"),"sí","no")</f>
        <v/>
      </c>
    </row>
    <row r="89">
      <c r="A89" s="3" t="inlineStr">
        <is>
          <t>2026-S30</t>
        </is>
      </c>
      <c r="B89" s="3" t="inlineStr">
        <is>
          <t>martes</t>
        </is>
      </c>
      <c r="C89" s="3" t="inlineStr">
        <is>
          <t>Técnico 13</t>
        </is>
      </c>
      <c r="D89" s="3">
        <f>_xlfn.XLOOKUP(tblAsignaciones[[#This Row],[tecnico]],tblTecnicos[nombre],tblTecnicos[area],"")</f>
        <v/>
      </c>
      <c r="E89" s="3">
        <f>_xlfn.XLOOKUP(tblAsignaciones[[#This Row],[tecnico]],tblTecnicos[nombre],tblTecnicos[especialidad],"")</f>
        <v/>
      </c>
      <c r="F89" s="3">
        <f>COUNTIFS(tblTecnicos[rotativo],"SI",tblTecnicos[especialidad],tblAsignaciones[[#This Row],[especialidad]],tblTecnicos[area],tblAsignaciones[[#This Row],[area]])</f>
        <v/>
      </c>
      <c r="G8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9" s="6" t="n"/>
      <c r="J8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9" s="3">
        <f>_xlfn.XLOOKUP(tblAsignaciones[[#This Row],[tecnico]],tblTecnicos[nombre],tblTecnicos[supervisor],"")</f>
        <v/>
      </c>
      <c r="L8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9" s="3">
        <f>tblAsignaciones[[#This Row],[semana]]&amp;"|"&amp;tblAsignaciones[[#This Row],[dia]]&amp;"|"&amp;tblAsignaciones[[#This Row],[tecnico]]</f>
        <v/>
      </c>
      <c r="O89" s="3">
        <f>_xlfn.XLOOKUP(tblAsignaciones[[#This Row],[turno]],tblTurnos[turno],tblTurnos[hora_inicio],"")</f>
        <v/>
      </c>
      <c r="P89" s="3">
        <f>_xlfn.XLOOKUP(tblAsignaciones[[#This Row],[turno]],tblTurnos[turno],tblTurnos[hora_fin],"")</f>
        <v/>
      </c>
      <c r="Q89" s="3">
        <f>IF(AND(LEFT(tblAsignaciones[[#This Row],[posicion_ciclo]],1)="T",tblAsignaciones[[#This Row],[en_vacaciones]]="no"),"sí","no")</f>
        <v/>
      </c>
    </row>
    <row r="90">
      <c r="A90" s="3" t="inlineStr">
        <is>
          <t>2026-S30</t>
        </is>
      </c>
      <c r="B90" s="3" t="inlineStr">
        <is>
          <t>miércoles</t>
        </is>
      </c>
      <c r="C90" s="3" t="inlineStr">
        <is>
          <t>Técnico 13</t>
        </is>
      </c>
      <c r="D90" s="3">
        <f>_xlfn.XLOOKUP(tblAsignaciones[[#This Row],[tecnico]],tblTecnicos[nombre],tblTecnicos[area],"")</f>
        <v/>
      </c>
      <c r="E90" s="3">
        <f>_xlfn.XLOOKUP(tblAsignaciones[[#This Row],[tecnico]],tblTecnicos[nombre],tblTecnicos[especialidad],"")</f>
        <v/>
      </c>
      <c r="F90" s="3">
        <f>COUNTIFS(tblTecnicos[rotativo],"SI",tblTecnicos[especialidad],tblAsignaciones[[#This Row],[especialidad]],tblTecnicos[area],tblAsignaciones[[#This Row],[area]])</f>
        <v/>
      </c>
      <c r="G9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0" s="6" t="n"/>
      <c r="J9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0" s="3">
        <f>_xlfn.XLOOKUP(tblAsignaciones[[#This Row],[tecnico]],tblTecnicos[nombre],tblTecnicos[supervisor],"")</f>
        <v/>
      </c>
      <c r="L9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0" s="3">
        <f>tblAsignaciones[[#This Row],[semana]]&amp;"|"&amp;tblAsignaciones[[#This Row],[dia]]&amp;"|"&amp;tblAsignaciones[[#This Row],[tecnico]]</f>
        <v/>
      </c>
      <c r="O90" s="3">
        <f>_xlfn.XLOOKUP(tblAsignaciones[[#This Row],[turno]],tblTurnos[turno],tblTurnos[hora_inicio],"")</f>
        <v/>
      </c>
      <c r="P90" s="3">
        <f>_xlfn.XLOOKUP(tblAsignaciones[[#This Row],[turno]],tblTurnos[turno],tblTurnos[hora_fin],"")</f>
        <v/>
      </c>
      <c r="Q90" s="3">
        <f>IF(AND(LEFT(tblAsignaciones[[#This Row],[posicion_ciclo]],1)="T",tblAsignaciones[[#This Row],[en_vacaciones]]="no"),"sí","no")</f>
        <v/>
      </c>
    </row>
    <row r="91">
      <c r="A91" s="3" t="inlineStr">
        <is>
          <t>2026-S30</t>
        </is>
      </c>
      <c r="B91" s="3" t="inlineStr">
        <is>
          <t>jueves</t>
        </is>
      </c>
      <c r="C91" s="3" t="inlineStr">
        <is>
          <t>Técnico 13</t>
        </is>
      </c>
      <c r="D91" s="3">
        <f>_xlfn.XLOOKUP(tblAsignaciones[[#This Row],[tecnico]],tblTecnicos[nombre],tblTecnicos[area],"")</f>
        <v/>
      </c>
      <c r="E91" s="3">
        <f>_xlfn.XLOOKUP(tblAsignaciones[[#This Row],[tecnico]],tblTecnicos[nombre],tblTecnicos[especialidad],"")</f>
        <v/>
      </c>
      <c r="F91" s="3">
        <f>COUNTIFS(tblTecnicos[rotativo],"SI",tblTecnicos[especialidad],tblAsignaciones[[#This Row],[especialidad]],tblTecnicos[area],tblAsignaciones[[#This Row],[area]])</f>
        <v/>
      </c>
      <c r="G9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1" s="6" t="n"/>
      <c r="J9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1" s="3">
        <f>_xlfn.XLOOKUP(tblAsignaciones[[#This Row],[tecnico]],tblTecnicos[nombre],tblTecnicos[supervisor],"")</f>
        <v/>
      </c>
      <c r="L9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1" s="3">
        <f>tblAsignaciones[[#This Row],[semana]]&amp;"|"&amp;tblAsignaciones[[#This Row],[dia]]&amp;"|"&amp;tblAsignaciones[[#This Row],[tecnico]]</f>
        <v/>
      </c>
      <c r="O91" s="3">
        <f>_xlfn.XLOOKUP(tblAsignaciones[[#This Row],[turno]],tblTurnos[turno],tblTurnos[hora_inicio],"")</f>
        <v/>
      </c>
      <c r="P91" s="3">
        <f>_xlfn.XLOOKUP(tblAsignaciones[[#This Row],[turno]],tblTurnos[turno],tblTurnos[hora_fin],"")</f>
        <v/>
      </c>
      <c r="Q91" s="3">
        <f>IF(AND(LEFT(tblAsignaciones[[#This Row],[posicion_ciclo]],1)="T",tblAsignaciones[[#This Row],[en_vacaciones]]="no"),"sí","no")</f>
        <v/>
      </c>
    </row>
    <row r="92">
      <c r="A92" s="3" t="inlineStr">
        <is>
          <t>2026-S30</t>
        </is>
      </c>
      <c r="B92" s="3" t="inlineStr">
        <is>
          <t>viernes</t>
        </is>
      </c>
      <c r="C92" s="3" t="inlineStr">
        <is>
          <t>Técnico 13</t>
        </is>
      </c>
      <c r="D92" s="3">
        <f>_xlfn.XLOOKUP(tblAsignaciones[[#This Row],[tecnico]],tblTecnicos[nombre],tblTecnicos[area],"")</f>
        <v/>
      </c>
      <c r="E92" s="3">
        <f>_xlfn.XLOOKUP(tblAsignaciones[[#This Row],[tecnico]],tblTecnicos[nombre],tblTecnicos[especialidad],"")</f>
        <v/>
      </c>
      <c r="F92" s="3">
        <f>COUNTIFS(tblTecnicos[rotativo],"SI",tblTecnicos[especialidad],tblAsignaciones[[#This Row],[especialidad]],tblTecnicos[area],tblAsignaciones[[#This Row],[area]])</f>
        <v/>
      </c>
      <c r="G9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2" s="6" t="n"/>
      <c r="J9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2" s="3">
        <f>_xlfn.XLOOKUP(tblAsignaciones[[#This Row],[tecnico]],tblTecnicos[nombre],tblTecnicos[supervisor],"")</f>
        <v/>
      </c>
      <c r="L9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2" s="3">
        <f>tblAsignaciones[[#This Row],[semana]]&amp;"|"&amp;tblAsignaciones[[#This Row],[dia]]&amp;"|"&amp;tblAsignaciones[[#This Row],[tecnico]]</f>
        <v/>
      </c>
      <c r="O92" s="3">
        <f>_xlfn.XLOOKUP(tblAsignaciones[[#This Row],[turno]],tblTurnos[turno],tblTurnos[hora_inicio],"")</f>
        <v/>
      </c>
      <c r="P92" s="3">
        <f>_xlfn.XLOOKUP(tblAsignaciones[[#This Row],[turno]],tblTurnos[turno],tblTurnos[hora_fin],"")</f>
        <v/>
      </c>
      <c r="Q92" s="3">
        <f>IF(AND(LEFT(tblAsignaciones[[#This Row],[posicion_ciclo]],1)="T",tblAsignaciones[[#This Row],[en_vacaciones]]="no"),"sí","no")</f>
        <v/>
      </c>
    </row>
    <row r="93">
      <c r="A93" s="3" t="inlineStr">
        <is>
          <t>2026-S30</t>
        </is>
      </c>
      <c r="B93" s="3" t="inlineStr">
        <is>
          <t>sábado</t>
        </is>
      </c>
      <c r="C93" s="3" t="inlineStr">
        <is>
          <t>Técnico 13</t>
        </is>
      </c>
      <c r="D93" s="3">
        <f>_xlfn.XLOOKUP(tblAsignaciones[[#This Row],[tecnico]],tblTecnicos[nombre],tblTecnicos[area],"")</f>
        <v/>
      </c>
      <c r="E93" s="3">
        <f>_xlfn.XLOOKUP(tblAsignaciones[[#This Row],[tecnico]],tblTecnicos[nombre],tblTecnicos[especialidad],"")</f>
        <v/>
      </c>
      <c r="F93" s="3">
        <f>COUNTIFS(tblTecnicos[rotativo],"SI",tblTecnicos[especialidad],tblAsignaciones[[#This Row],[especialidad]],tblTecnicos[area],tblAsignaciones[[#This Row],[area]])</f>
        <v/>
      </c>
      <c r="G9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3" s="6" t="n"/>
      <c r="J9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3" s="3">
        <f>_xlfn.XLOOKUP(tblAsignaciones[[#This Row],[tecnico]],tblTecnicos[nombre],tblTecnicos[supervisor],"")</f>
        <v/>
      </c>
      <c r="L9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3" s="3">
        <f>tblAsignaciones[[#This Row],[semana]]&amp;"|"&amp;tblAsignaciones[[#This Row],[dia]]&amp;"|"&amp;tblAsignaciones[[#This Row],[tecnico]]</f>
        <v/>
      </c>
      <c r="O93" s="3">
        <f>_xlfn.XLOOKUP(tblAsignaciones[[#This Row],[turno]],tblTurnos[turno],tblTurnos[hora_inicio],"")</f>
        <v/>
      </c>
      <c r="P93" s="3">
        <f>_xlfn.XLOOKUP(tblAsignaciones[[#This Row],[turno]],tblTurnos[turno],tblTurnos[hora_fin],"")</f>
        <v/>
      </c>
      <c r="Q93" s="3">
        <f>IF(AND(LEFT(tblAsignaciones[[#This Row],[posicion_ciclo]],1)="T",tblAsignaciones[[#This Row],[en_vacaciones]]="no"),"sí","no")</f>
        <v/>
      </c>
    </row>
    <row r="94">
      <c r="A94" s="3" t="inlineStr">
        <is>
          <t>2026-S30</t>
        </is>
      </c>
      <c r="B94" s="3" t="inlineStr">
        <is>
          <t>domingo</t>
        </is>
      </c>
      <c r="C94" s="3" t="inlineStr">
        <is>
          <t>Técnico 13</t>
        </is>
      </c>
      <c r="D94" s="3">
        <f>_xlfn.XLOOKUP(tblAsignaciones[[#This Row],[tecnico]],tblTecnicos[nombre],tblTecnicos[area],"")</f>
        <v/>
      </c>
      <c r="E94" s="3">
        <f>_xlfn.XLOOKUP(tblAsignaciones[[#This Row],[tecnico]],tblTecnicos[nombre],tblTecnicos[especialidad],"")</f>
        <v/>
      </c>
      <c r="F94" s="3">
        <f>COUNTIFS(tblTecnicos[rotativo],"SI",tblTecnicos[especialidad],tblAsignaciones[[#This Row],[especialidad]],tblTecnicos[area],tblAsignaciones[[#This Row],[area]])</f>
        <v/>
      </c>
      <c r="G9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4" s="6" t="n"/>
      <c r="J9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4" s="3">
        <f>_xlfn.XLOOKUP(tblAsignaciones[[#This Row],[tecnico]],tblTecnicos[nombre],tblTecnicos[supervisor],"")</f>
        <v/>
      </c>
      <c r="L9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4" s="3">
        <f>tblAsignaciones[[#This Row],[semana]]&amp;"|"&amp;tblAsignaciones[[#This Row],[dia]]&amp;"|"&amp;tblAsignaciones[[#This Row],[tecnico]]</f>
        <v/>
      </c>
      <c r="O94" s="3">
        <f>_xlfn.XLOOKUP(tblAsignaciones[[#This Row],[turno]],tblTurnos[turno],tblTurnos[hora_inicio],"")</f>
        <v/>
      </c>
      <c r="P94" s="3">
        <f>_xlfn.XLOOKUP(tblAsignaciones[[#This Row],[turno]],tblTurnos[turno],tblTurnos[hora_fin],"")</f>
        <v/>
      </c>
      <c r="Q94" s="3">
        <f>IF(AND(LEFT(tblAsignaciones[[#This Row],[posicion_ciclo]],1)="T",tblAsignaciones[[#This Row],[en_vacaciones]]="no"),"sí","no")</f>
        <v/>
      </c>
    </row>
    <row r="95">
      <c r="A95" s="3" t="inlineStr">
        <is>
          <t>2026-S30</t>
        </is>
      </c>
      <c r="B95" s="3" t="inlineStr">
        <is>
          <t>lunes</t>
        </is>
      </c>
      <c r="C95" s="3" t="inlineStr">
        <is>
          <t>Técnico 14</t>
        </is>
      </c>
      <c r="D95" s="3">
        <f>_xlfn.XLOOKUP(tblAsignaciones[[#This Row],[tecnico]],tblTecnicos[nombre],tblTecnicos[area],"")</f>
        <v/>
      </c>
      <c r="E95" s="3">
        <f>_xlfn.XLOOKUP(tblAsignaciones[[#This Row],[tecnico]],tblTecnicos[nombre],tblTecnicos[especialidad],"")</f>
        <v/>
      </c>
      <c r="F95" s="3">
        <f>COUNTIFS(tblTecnicos[rotativo],"SI",tblTecnicos[especialidad],tblAsignaciones[[#This Row],[especialidad]],tblTecnicos[area],tblAsignaciones[[#This Row],[area]])</f>
        <v/>
      </c>
      <c r="G9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5" s="6" t="n"/>
      <c r="J9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5" s="3">
        <f>_xlfn.XLOOKUP(tblAsignaciones[[#This Row],[tecnico]],tblTecnicos[nombre],tblTecnicos[supervisor],"")</f>
        <v/>
      </c>
      <c r="L9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5" s="3">
        <f>tblAsignaciones[[#This Row],[semana]]&amp;"|"&amp;tblAsignaciones[[#This Row],[dia]]&amp;"|"&amp;tblAsignaciones[[#This Row],[tecnico]]</f>
        <v/>
      </c>
      <c r="O95" s="3">
        <f>_xlfn.XLOOKUP(tblAsignaciones[[#This Row],[turno]],tblTurnos[turno],tblTurnos[hora_inicio],"")</f>
        <v/>
      </c>
      <c r="P95" s="3">
        <f>_xlfn.XLOOKUP(tblAsignaciones[[#This Row],[turno]],tblTurnos[turno],tblTurnos[hora_fin],"")</f>
        <v/>
      </c>
      <c r="Q95" s="3">
        <f>IF(AND(LEFT(tblAsignaciones[[#This Row],[posicion_ciclo]],1)="T",tblAsignaciones[[#This Row],[en_vacaciones]]="no"),"sí","no")</f>
        <v/>
      </c>
    </row>
    <row r="96">
      <c r="A96" s="3" t="inlineStr">
        <is>
          <t>2026-S30</t>
        </is>
      </c>
      <c r="B96" s="3" t="inlineStr">
        <is>
          <t>martes</t>
        </is>
      </c>
      <c r="C96" s="3" t="inlineStr">
        <is>
          <t>Técnico 14</t>
        </is>
      </c>
      <c r="D96" s="3">
        <f>_xlfn.XLOOKUP(tblAsignaciones[[#This Row],[tecnico]],tblTecnicos[nombre],tblTecnicos[area],"")</f>
        <v/>
      </c>
      <c r="E96" s="3">
        <f>_xlfn.XLOOKUP(tblAsignaciones[[#This Row],[tecnico]],tblTecnicos[nombre],tblTecnicos[especialidad],"")</f>
        <v/>
      </c>
      <c r="F96" s="3">
        <f>COUNTIFS(tblTecnicos[rotativo],"SI",tblTecnicos[especialidad],tblAsignaciones[[#This Row],[especialidad]],tblTecnicos[area],tblAsignaciones[[#This Row],[area]])</f>
        <v/>
      </c>
      <c r="G9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6" s="6" t="n"/>
      <c r="J9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6" s="3">
        <f>_xlfn.XLOOKUP(tblAsignaciones[[#This Row],[tecnico]],tblTecnicos[nombre],tblTecnicos[supervisor],"")</f>
        <v/>
      </c>
      <c r="L9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6" s="3">
        <f>tblAsignaciones[[#This Row],[semana]]&amp;"|"&amp;tblAsignaciones[[#This Row],[dia]]&amp;"|"&amp;tblAsignaciones[[#This Row],[tecnico]]</f>
        <v/>
      </c>
      <c r="O96" s="3">
        <f>_xlfn.XLOOKUP(tblAsignaciones[[#This Row],[turno]],tblTurnos[turno],tblTurnos[hora_inicio],"")</f>
        <v/>
      </c>
      <c r="P96" s="3">
        <f>_xlfn.XLOOKUP(tblAsignaciones[[#This Row],[turno]],tblTurnos[turno],tblTurnos[hora_fin],"")</f>
        <v/>
      </c>
      <c r="Q96" s="3">
        <f>IF(AND(LEFT(tblAsignaciones[[#This Row],[posicion_ciclo]],1)="T",tblAsignaciones[[#This Row],[en_vacaciones]]="no"),"sí","no")</f>
        <v/>
      </c>
    </row>
    <row r="97">
      <c r="A97" s="3" t="inlineStr">
        <is>
          <t>2026-S30</t>
        </is>
      </c>
      <c r="B97" s="3" t="inlineStr">
        <is>
          <t>miércoles</t>
        </is>
      </c>
      <c r="C97" s="3" t="inlineStr">
        <is>
          <t>Técnico 14</t>
        </is>
      </c>
      <c r="D97" s="3">
        <f>_xlfn.XLOOKUP(tblAsignaciones[[#This Row],[tecnico]],tblTecnicos[nombre],tblTecnicos[area],"")</f>
        <v/>
      </c>
      <c r="E97" s="3">
        <f>_xlfn.XLOOKUP(tblAsignaciones[[#This Row],[tecnico]],tblTecnicos[nombre],tblTecnicos[especialidad],"")</f>
        <v/>
      </c>
      <c r="F97" s="3">
        <f>COUNTIFS(tblTecnicos[rotativo],"SI",tblTecnicos[especialidad],tblAsignaciones[[#This Row],[especialidad]],tblTecnicos[area],tblAsignaciones[[#This Row],[area]])</f>
        <v/>
      </c>
      <c r="G9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7" s="6" t="n"/>
      <c r="J9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7" s="3">
        <f>_xlfn.XLOOKUP(tblAsignaciones[[#This Row],[tecnico]],tblTecnicos[nombre],tblTecnicos[supervisor],"")</f>
        <v/>
      </c>
      <c r="L9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7" s="3">
        <f>tblAsignaciones[[#This Row],[semana]]&amp;"|"&amp;tblAsignaciones[[#This Row],[dia]]&amp;"|"&amp;tblAsignaciones[[#This Row],[tecnico]]</f>
        <v/>
      </c>
      <c r="O97" s="3">
        <f>_xlfn.XLOOKUP(tblAsignaciones[[#This Row],[turno]],tblTurnos[turno],tblTurnos[hora_inicio],"")</f>
        <v/>
      </c>
      <c r="P97" s="3">
        <f>_xlfn.XLOOKUP(tblAsignaciones[[#This Row],[turno]],tblTurnos[turno],tblTurnos[hora_fin],"")</f>
        <v/>
      </c>
      <c r="Q97" s="3">
        <f>IF(AND(LEFT(tblAsignaciones[[#This Row],[posicion_ciclo]],1)="T",tblAsignaciones[[#This Row],[en_vacaciones]]="no"),"sí","no")</f>
        <v/>
      </c>
    </row>
    <row r="98">
      <c r="A98" s="3" t="inlineStr">
        <is>
          <t>2026-S30</t>
        </is>
      </c>
      <c r="B98" s="3" t="inlineStr">
        <is>
          <t>jueves</t>
        </is>
      </c>
      <c r="C98" s="3" t="inlineStr">
        <is>
          <t>Técnico 14</t>
        </is>
      </c>
      <c r="D98" s="3">
        <f>_xlfn.XLOOKUP(tblAsignaciones[[#This Row],[tecnico]],tblTecnicos[nombre],tblTecnicos[area],"")</f>
        <v/>
      </c>
      <c r="E98" s="3">
        <f>_xlfn.XLOOKUP(tblAsignaciones[[#This Row],[tecnico]],tblTecnicos[nombre],tblTecnicos[especialidad],"")</f>
        <v/>
      </c>
      <c r="F98" s="3">
        <f>COUNTIFS(tblTecnicos[rotativo],"SI",tblTecnicos[especialidad],tblAsignaciones[[#This Row],[especialidad]],tblTecnicos[area],tblAsignaciones[[#This Row],[area]])</f>
        <v/>
      </c>
      <c r="G9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8" s="6" t="n"/>
      <c r="J9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8" s="3">
        <f>_xlfn.XLOOKUP(tblAsignaciones[[#This Row],[tecnico]],tblTecnicos[nombre],tblTecnicos[supervisor],"")</f>
        <v/>
      </c>
      <c r="L9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8" s="3">
        <f>tblAsignaciones[[#This Row],[semana]]&amp;"|"&amp;tblAsignaciones[[#This Row],[dia]]&amp;"|"&amp;tblAsignaciones[[#This Row],[tecnico]]</f>
        <v/>
      </c>
      <c r="O98" s="3">
        <f>_xlfn.XLOOKUP(tblAsignaciones[[#This Row],[turno]],tblTurnos[turno],tblTurnos[hora_inicio],"")</f>
        <v/>
      </c>
      <c r="P98" s="3">
        <f>_xlfn.XLOOKUP(tblAsignaciones[[#This Row],[turno]],tblTurnos[turno],tblTurnos[hora_fin],"")</f>
        <v/>
      </c>
      <c r="Q98" s="3">
        <f>IF(AND(LEFT(tblAsignaciones[[#This Row],[posicion_ciclo]],1)="T",tblAsignaciones[[#This Row],[en_vacaciones]]="no"),"sí","no")</f>
        <v/>
      </c>
    </row>
    <row r="99">
      <c r="A99" s="3" t="inlineStr">
        <is>
          <t>2026-S30</t>
        </is>
      </c>
      <c r="B99" s="3" t="inlineStr">
        <is>
          <t>viernes</t>
        </is>
      </c>
      <c r="C99" s="3" t="inlineStr">
        <is>
          <t>Técnico 14</t>
        </is>
      </c>
      <c r="D99" s="3">
        <f>_xlfn.XLOOKUP(tblAsignaciones[[#This Row],[tecnico]],tblTecnicos[nombre],tblTecnicos[area],"")</f>
        <v/>
      </c>
      <c r="E99" s="3">
        <f>_xlfn.XLOOKUP(tblAsignaciones[[#This Row],[tecnico]],tblTecnicos[nombre],tblTecnicos[especialidad],"")</f>
        <v/>
      </c>
      <c r="F99" s="3">
        <f>COUNTIFS(tblTecnicos[rotativo],"SI",tblTecnicos[especialidad],tblAsignaciones[[#This Row],[especialidad]],tblTecnicos[area],tblAsignaciones[[#This Row],[area]])</f>
        <v/>
      </c>
      <c r="G9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9" s="6" t="n"/>
      <c r="J9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9" s="3">
        <f>_xlfn.XLOOKUP(tblAsignaciones[[#This Row],[tecnico]],tblTecnicos[nombre],tblTecnicos[supervisor],"")</f>
        <v/>
      </c>
      <c r="L9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9" s="3">
        <f>tblAsignaciones[[#This Row],[semana]]&amp;"|"&amp;tblAsignaciones[[#This Row],[dia]]&amp;"|"&amp;tblAsignaciones[[#This Row],[tecnico]]</f>
        <v/>
      </c>
      <c r="O99" s="3">
        <f>_xlfn.XLOOKUP(tblAsignaciones[[#This Row],[turno]],tblTurnos[turno],tblTurnos[hora_inicio],"")</f>
        <v/>
      </c>
      <c r="P99" s="3">
        <f>_xlfn.XLOOKUP(tblAsignaciones[[#This Row],[turno]],tblTurnos[turno],tblTurnos[hora_fin],"")</f>
        <v/>
      </c>
      <c r="Q99" s="3">
        <f>IF(AND(LEFT(tblAsignaciones[[#This Row],[posicion_ciclo]],1)="T",tblAsignaciones[[#This Row],[en_vacaciones]]="no"),"sí","no")</f>
        <v/>
      </c>
    </row>
    <row r="100">
      <c r="A100" s="3" t="inlineStr">
        <is>
          <t>2026-S30</t>
        </is>
      </c>
      <c r="B100" s="3" t="inlineStr">
        <is>
          <t>sábado</t>
        </is>
      </c>
      <c r="C100" s="3" t="inlineStr">
        <is>
          <t>Técnico 14</t>
        </is>
      </c>
      <c r="D100" s="3">
        <f>_xlfn.XLOOKUP(tblAsignaciones[[#This Row],[tecnico]],tblTecnicos[nombre],tblTecnicos[area],"")</f>
        <v/>
      </c>
      <c r="E100" s="3">
        <f>_xlfn.XLOOKUP(tblAsignaciones[[#This Row],[tecnico]],tblTecnicos[nombre],tblTecnicos[especialidad],"")</f>
        <v/>
      </c>
      <c r="F100" s="3">
        <f>COUNTIFS(tblTecnicos[rotativo],"SI",tblTecnicos[especialidad],tblAsignaciones[[#This Row],[especialidad]],tblTecnicos[area],tblAsignaciones[[#This Row],[area]])</f>
        <v/>
      </c>
      <c r="G10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0" s="6" t="n"/>
      <c r="J10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0" s="3">
        <f>_xlfn.XLOOKUP(tblAsignaciones[[#This Row],[tecnico]],tblTecnicos[nombre],tblTecnicos[supervisor],"")</f>
        <v/>
      </c>
      <c r="L10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0" s="3">
        <f>tblAsignaciones[[#This Row],[semana]]&amp;"|"&amp;tblAsignaciones[[#This Row],[dia]]&amp;"|"&amp;tblAsignaciones[[#This Row],[tecnico]]</f>
        <v/>
      </c>
      <c r="O100" s="3">
        <f>_xlfn.XLOOKUP(tblAsignaciones[[#This Row],[turno]],tblTurnos[turno],tblTurnos[hora_inicio],"")</f>
        <v/>
      </c>
      <c r="P100" s="3">
        <f>_xlfn.XLOOKUP(tblAsignaciones[[#This Row],[turno]],tblTurnos[turno],tblTurnos[hora_fin],"")</f>
        <v/>
      </c>
      <c r="Q100" s="3">
        <f>IF(AND(LEFT(tblAsignaciones[[#This Row],[posicion_ciclo]],1)="T",tblAsignaciones[[#This Row],[en_vacaciones]]="no"),"sí","no")</f>
        <v/>
      </c>
    </row>
    <row r="101">
      <c r="A101" s="3" t="inlineStr">
        <is>
          <t>2026-S30</t>
        </is>
      </c>
      <c r="B101" s="3" t="inlineStr">
        <is>
          <t>domingo</t>
        </is>
      </c>
      <c r="C101" s="3" t="inlineStr">
        <is>
          <t>Técnico 14</t>
        </is>
      </c>
      <c r="D101" s="3">
        <f>_xlfn.XLOOKUP(tblAsignaciones[[#This Row],[tecnico]],tblTecnicos[nombre],tblTecnicos[area],"")</f>
        <v/>
      </c>
      <c r="E101" s="3">
        <f>_xlfn.XLOOKUP(tblAsignaciones[[#This Row],[tecnico]],tblTecnicos[nombre],tblTecnicos[especialidad],"")</f>
        <v/>
      </c>
      <c r="F101" s="3">
        <f>COUNTIFS(tblTecnicos[rotativo],"SI",tblTecnicos[especialidad],tblAsignaciones[[#This Row],[especialidad]],tblTecnicos[area],tblAsignaciones[[#This Row],[area]])</f>
        <v/>
      </c>
      <c r="G10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1" s="6" t="n"/>
      <c r="J10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1" s="3">
        <f>_xlfn.XLOOKUP(tblAsignaciones[[#This Row],[tecnico]],tblTecnicos[nombre],tblTecnicos[supervisor],"")</f>
        <v/>
      </c>
      <c r="L10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1" s="3">
        <f>tblAsignaciones[[#This Row],[semana]]&amp;"|"&amp;tblAsignaciones[[#This Row],[dia]]&amp;"|"&amp;tblAsignaciones[[#This Row],[tecnico]]</f>
        <v/>
      </c>
      <c r="O101" s="3">
        <f>_xlfn.XLOOKUP(tblAsignaciones[[#This Row],[turno]],tblTurnos[turno],tblTurnos[hora_inicio],"")</f>
        <v/>
      </c>
      <c r="P101" s="3">
        <f>_xlfn.XLOOKUP(tblAsignaciones[[#This Row],[turno]],tblTurnos[turno],tblTurnos[hora_fin],"")</f>
        <v/>
      </c>
      <c r="Q101" s="3">
        <f>IF(AND(LEFT(tblAsignaciones[[#This Row],[posicion_ciclo]],1)="T",tblAsignaciones[[#This Row],[en_vacaciones]]="no"),"sí","no")</f>
        <v/>
      </c>
    </row>
    <row r="102">
      <c r="A102" s="3" t="inlineStr">
        <is>
          <t>2026-S30</t>
        </is>
      </c>
      <c r="B102" s="3" t="inlineStr">
        <is>
          <t>lunes</t>
        </is>
      </c>
      <c r="C102" s="3" t="inlineStr">
        <is>
          <t>Técnico 15</t>
        </is>
      </c>
      <c r="D102" s="3">
        <f>_xlfn.XLOOKUP(tblAsignaciones[[#This Row],[tecnico]],tblTecnicos[nombre],tblTecnicos[area],"")</f>
        <v/>
      </c>
      <c r="E102" s="3">
        <f>_xlfn.XLOOKUP(tblAsignaciones[[#This Row],[tecnico]],tblTecnicos[nombre],tblTecnicos[especialidad],"")</f>
        <v/>
      </c>
      <c r="F102" s="3">
        <f>COUNTIFS(tblTecnicos[rotativo],"SI",tblTecnicos[especialidad],tblAsignaciones[[#This Row],[especialidad]],tblTecnicos[area],tblAsignaciones[[#This Row],[area]])</f>
        <v/>
      </c>
      <c r="G10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2" s="6" t="n"/>
      <c r="J10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2" s="3">
        <f>_xlfn.XLOOKUP(tblAsignaciones[[#This Row],[tecnico]],tblTecnicos[nombre],tblTecnicos[supervisor],"")</f>
        <v/>
      </c>
      <c r="L10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2" s="3">
        <f>tblAsignaciones[[#This Row],[semana]]&amp;"|"&amp;tblAsignaciones[[#This Row],[dia]]&amp;"|"&amp;tblAsignaciones[[#This Row],[tecnico]]</f>
        <v/>
      </c>
      <c r="O102" s="3">
        <f>_xlfn.XLOOKUP(tblAsignaciones[[#This Row],[turno]],tblTurnos[turno],tblTurnos[hora_inicio],"")</f>
        <v/>
      </c>
      <c r="P102" s="3">
        <f>_xlfn.XLOOKUP(tblAsignaciones[[#This Row],[turno]],tblTurnos[turno],tblTurnos[hora_fin],"")</f>
        <v/>
      </c>
      <c r="Q102" s="3">
        <f>IF(AND(LEFT(tblAsignaciones[[#This Row],[posicion_ciclo]],1)="T",tblAsignaciones[[#This Row],[en_vacaciones]]="no"),"sí","no")</f>
        <v/>
      </c>
    </row>
    <row r="103">
      <c r="A103" s="3" t="inlineStr">
        <is>
          <t>2026-S30</t>
        </is>
      </c>
      <c r="B103" s="3" t="inlineStr">
        <is>
          <t>martes</t>
        </is>
      </c>
      <c r="C103" s="3" t="inlineStr">
        <is>
          <t>Técnico 15</t>
        </is>
      </c>
      <c r="D103" s="3">
        <f>_xlfn.XLOOKUP(tblAsignaciones[[#This Row],[tecnico]],tblTecnicos[nombre],tblTecnicos[area],"")</f>
        <v/>
      </c>
      <c r="E103" s="3">
        <f>_xlfn.XLOOKUP(tblAsignaciones[[#This Row],[tecnico]],tblTecnicos[nombre],tblTecnicos[especialidad],"")</f>
        <v/>
      </c>
      <c r="F103" s="3">
        <f>COUNTIFS(tblTecnicos[rotativo],"SI",tblTecnicos[especialidad],tblAsignaciones[[#This Row],[especialidad]],tblTecnicos[area],tblAsignaciones[[#This Row],[area]])</f>
        <v/>
      </c>
      <c r="G10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3" s="6" t="n"/>
      <c r="J10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3" s="3">
        <f>_xlfn.XLOOKUP(tblAsignaciones[[#This Row],[tecnico]],tblTecnicos[nombre],tblTecnicos[supervisor],"")</f>
        <v/>
      </c>
      <c r="L10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3" s="3">
        <f>tblAsignaciones[[#This Row],[semana]]&amp;"|"&amp;tblAsignaciones[[#This Row],[dia]]&amp;"|"&amp;tblAsignaciones[[#This Row],[tecnico]]</f>
        <v/>
      </c>
      <c r="O103" s="3">
        <f>_xlfn.XLOOKUP(tblAsignaciones[[#This Row],[turno]],tblTurnos[turno],tblTurnos[hora_inicio],"")</f>
        <v/>
      </c>
      <c r="P103" s="3">
        <f>_xlfn.XLOOKUP(tblAsignaciones[[#This Row],[turno]],tblTurnos[turno],tblTurnos[hora_fin],"")</f>
        <v/>
      </c>
      <c r="Q103" s="3">
        <f>IF(AND(LEFT(tblAsignaciones[[#This Row],[posicion_ciclo]],1)="T",tblAsignaciones[[#This Row],[en_vacaciones]]="no"),"sí","no")</f>
        <v/>
      </c>
    </row>
    <row r="104">
      <c r="A104" s="3" t="inlineStr">
        <is>
          <t>2026-S30</t>
        </is>
      </c>
      <c r="B104" s="3" t="inlineStr">
        <is>
          <t>miércoles</t>
        </is>
      </c>
      <c r="C104" s="3" t="inlineStr">
        <is>
          <t>Técnico 15</t>
        </is>
      </c>
      <c r="D104" s="3">
        <f>_xlfn.XLOOKUP(tblAsignaciones[[#This Row],[tecnico]],tblTecnicos[nombre],tblTecnicos[area],"")</f>
        <v/>
      </c>
      <c r="E104" s="3">
        <f>_xlfn.XLOOKUP(tblAsignaciones[[#This Row],[tecnico]],tblTecnicos[nombre],tblTecnicos[especialidad],"")</f>
        <v/>
      </c>
      <c r="F104" s="3">
        <f>COUNTIFS(tblTecnicos[rotativo],"SI",tblTecnicos[especialidad],tblAsignaciones[[#This Row],[especialidad]],tblTecnicos[area],tblAsignaciones[[#This Row],[area]])</f>
        <v/>
      </c>
      <c r="G10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4" s="6" t="n"/>
      <c r="J10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4" s="3">
        <f>_xlfn.XLOOKUP(tblAsignaciones[[#This Row],[tecnico]],tblTecnicos[nombre],tblTecnicos[supervisor],"")</f>
        <v/>
      </c>
      <c r="L10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4" s="3">
        <f>tblAsignaciones[[#This Row],[semana]]&amp;"|"&amp;tblAsignaciones[[#This Row],[dia]]&amp;"|"&amp;tblAsignaciones[[#This Row],[tecnico]]</f>
        <v/>
      </c>
      <c r="O104" s="3">
        <f>_xlfn.XLOOKUP(tblAsignaciones[[#This Row],[turno]],tblTurnos[turno],tblTurnos[hora_inicio],"")</f>
        <v/>
      </c>
      <c r="P104" s="3">
        <f>_xlfn.XLOOKUP(tblAsignaciones[[#This Row],[turno]],tblTurnos[turno],tblTurnos[hora_fin],"")</f>
        <v/>
      </c>
      <c r="Q104" s="3">
        <f>IF(AND(LEFT(tblAsignaciones[[#This Row],[posicion_ciclo]],1)="T",tblAsignaciones[[#This Row],[en_vacaciones]]="no"),"sí","no")</f>
        <v/>
      </c>
    </row>
    <row r="105">
      <c r="A105" s="3" t="inlineStr">
        <is>
          <t>2026-S30</t>
        </is>
      </c>
      <c r="B105" s="3" t="inlineStr">
        <is>
          <t>jueves</t>
        </is>
      </c>
      <c r="C105" s="3" t="inlineStr">
        <is>
          <t>Técnico 15</t>
        </is>
      </c>
      <c r="D105" s="3">
        <f>_xlfn.XLOOKUP(tblAsignaciones[[#This Row],[tecnico]],tblTecnicos[nombre],tblTecnicos[area],"")</f>
        <v/>
      </c>
      <c r="E105" s="3">
        <f>_xlfn.XLOOKUP(tblAsignaciones[[#This Row],[tecnico]],tblTecnicos[nombre],tblTecnicos[especialidad],"")</f>
        <v/>
      </c>
      <c r="F105" s="3">
        <f>COUNTIFS(tblTecnicos[rotativo],"SI",tblTecnicos[especialidad],tblAsignaciones[[#This Row],[especialidad]],tblTecnicos[area],tblAsignaciones[[#This Row],[area]])</f>
        <v/>
      </c>
      <c r="G10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5" s="6" t="n"/>
      <c r="J10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5" s="3">
        <f>_xlfn.XLOOKUP(tblAsignaciones[[#This Row],[tecnico]],tblTecnicos[nombre],tblTecnicos[supervisor],"")</f>
        <v/>
      </c>
      <c r="L10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5" s="3">
        <f>tblAsignaciones[[#This Row],[semana]]&amp;"|"&amp;tblAsignaciones[[#This Row],[dia]]&amp;"|"&amp;tblAsignaciones[[#This Row],[tecnico]]</f>
        <v/>
      </c>
      <c r="O105" s="3">
        <f>_xlfn.XLOOKUP(tblAsignaciones[[#This Row],[turno]],tblTurnos[turno],tblTurnos[hora_inicio],"")</f>
        <v/>
      </c>
      <c r="P105" s="3">
        <f>_xlfn.XLOOKUP(tblAsignaciones[[#This Row],[turno]],tblTurnos[turno],tblTurnos[hora_fin],"")</f>
        <v/>
      </c>
      <c r="Q105" s="3">
        <f>IF(AND(LEFT(tblAsignaciones[[#This Row],[posicion_ciclo]],1)="T",tblAsignaciones[[#This Row],[en_vacaciones]]="no"),"sí","no")</f>
        <v/>
      </c>
    </row>
    <row r="106">
      <c r="A106" s="3" t="inlineStr">
        <is>
          <t>2026-S30</t>
        </is>
      </c>
      <c r="B106" s="3" t="inlineStr">
        <is>
          <t>viernes</t>
        </is>
      </c>
      <c r="C106" s="3" t="inlineStr">
        <is>
          <t>Técnico 15</t>
        </is>
      </c>
      <c r="D106" s="3">
        <f>_xlfn.XLOOKUP(tblAsignaciones[[#This Row],[tecnico]],tblTecnicos[nombre],tblTecnicos[area],"")</f>
        <v/>
      </c>
      <c r="E106" s="3">
        <f>_xlfn.XLOOKUP(tblAsignaciones[[#This Row],[tecnico]],tblTecnicos[nombre],tblTecnicos[especialidad],"")</f>
        <v/>
      </c>
      <c r="F106" s="3">
        <f>COUNTIFS(tblTecnicos[rotativo],"SI",tblTecnicos[especialidad],tblAsignaciones[[#This Row],[especialidad]],tblTecnicos[area],tblAsignaciones[[#This Row],[area]])</f>
        <v/>
      </c>
      <c r="G10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6" s="6" t="n"/>
      <c r="J10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6" s="3">
        <f>_xlfn.XLOOKUP(tblAsignaciones[[#This Row],[tecnico]],tblTecnicos[nombre],tblTecnicos[supervisor],"")</f>
        <v/>
      </c>
      <c r="L10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6" s="3">
        <f>tblAsignaciones[[#This Row],[semana]]&amp;"|"&amp;tblAsignaciones[[#This Row],[dia]]&amp;"|"&amp;tblAsignaciones[[#This Row],[tecnico]]</f>
        <v/>
      </c>
      <c r="O106" s="3">
        <f>_xlfn.XLOOKUP(tblAsignaciones[[#This Row],[turno]],tblTurnos[turno],tblTurnos[hora_inicio],"")</f>
        <v/>
      </c>
      <c r="P106" s="3">
        <f>_xlfn.XLOOKUP(tblAsignaciones[[#This Row],[turno]],tblTurnos[turno],tblTurnos[hora_fin],"")</f>
        <v/>
      </c>
      <c r="Q106" s="3">
        <f>IF(AND(LEFT(tblAsignaciones[[#This Row],[posicion_ciclo]],1)="T",tblAsignaciones[[#This Row],[en_vacaciones]]="no"),"sí","no")</f>
        <v/>
      </c>
    </row>
    <row r="107">
      <c r="A107" s="3" t="inlineStr">
        <is>
          <t>2026-S30</t>
        </is>
      </c>
      <c r="B107" s="3" t="inlineStr">
        <is>
          <t>sábado</t>
        </is>
      </c>
      <c r="C107" s="3" t="inlineStr">
        <is>
          <t>Técnico 15</t>
        </is>
      </c>
      <c r="D107" s="3">
        <f>_xlfn.XLOOKUP(tblAsignaciones[[#This Row],[tecnico]],tblTecnicos[nombre],tblTecnicos[area],"")</f>
        <v/>
      </c>
      <c r="E107" s="3">
        <f>_xlfn.XLOOKUP(tblAsignaciones[[#This Row],[tecnico]],tblTecnicos[nombre],tblTecnicos[especialidad],"")</f>
        <v/>
      </c>
      <c r="F107" s="3">
        <f>COUNTIFS(tblTecnicos[rotativo],"SI",tblTecnicos[especialidad],tblAsignaciones[[#This Row],[especialidad]],tblTecnicos[area],tblAsignaciones[[#This Row],[area]])</f>
        <v/>
      </c>
      <c r="G10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7" s="6" t="n"/>
      <c r="J10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7" s="3">
        <f>_xlfn.XLOOKUP(tblAsignaciones[[#This Row],[tecnico]],tblTecnicos[nombre],tblTecnicos[supervisor],"")</f>
        <v/>
      </c>
      <c r="L10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7" s="3">
        <f>tblAsignaciones[[#This Row],[semana]]&amp;"|"&amp;tblAsignaciones[[#This Row],[dia]]&amp;"|"&amp;tblAsignaciones[[#This Row],[tecnico]]</f>
        <v/>
      </c>
      <c r="O107" s="3">
        <f>_xlfn.XLOOKUP(tblAsignaciones[[#This Row],[turno]],tblTurnos[turno],tblTurnos[hora_inicio],"")</f>
        <v/>
      </c>
      <c r="P107" s="3">
        <f>_xlfn.XLOOKUP(tblAsignaciones[[#This Row],[turno]],tblTurnos[turno],tblTurnos[hora_fin],"")</f>
        <v/>
      </c>
      <c r="Q107" s="3">
        <f>IF(AND(LEFT(tblAsignaciones[[#This Row],[posicion_ciclo]],1)="T",tblAsignaciones[[#This Row],[en_vacaciones]]="no"),"sí","no")</f>
        <v/>
      </c>
    </row>
    <row r="108">
      <c r="A108" s="3" t="inlineStr">
        <is>
          <t>2026-S30</t>
        </is>
      </c>
      <c r="B108" s="3" t="inlineStr">
        <is>
          <t>domingo</t>
        </is>
      </c>
      <c r="C108" s="3" t="inlineStr">
        <is>
          <t>Técnico 15</t>
        </is>
      </c>
      <c r="D108" s="3">
        <f>_xlfn.XLOOKUP(tblAsignaciones[[#This Row],[tecnico]],tblTecnicos[nombre],tblTecnicos[area],"")</f>
        <v/>
      </c>
      <c r="E108" s="3">
        <f>_xlfn.XLOOKUP(tblAsignaciones[[#This Row],[tecnico]],tblTecnicos[nombre],tblTecnicos[especialidad],"")</f>
        <v/>
      </c>
      <c r="F108" s="3">
        <f>COUNTIFS(tblTecnicos[rotativo],"SI",tblTecnicos[especialidad],tblAsignaciones[[#This Row],[especialidad]],tblTecnicos[area],tblAsignaciones[[#This Row],[area]])</f>
        <v/>
      </c>
      <c r="G10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8" s="6" t="n"/>
      <c r="J10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8" s="3">
        <f>_xlfn.XLOOKUP(tblAsignaciones[[#This Row],[tecnico]],tblTecnicos[nombre],tblTecnicos[supervisor],"")</f>
        <v/>
      </c>
      <c r="L10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8" s="3">
        <f>tblAsignaciones[[#This Row],[semana]]&amp;"|"&amp;tblAsignaciones[[#This Row],[dia]]&amp;"|"&amp;tblAsignaciones[[#This Row],[tecnico]]</f>
        <v/>
      </c>
      <c r="O108" s="3">
        <f>_xlfn.XLOOKUP(tblAsignaciones[[#This Row],[turno]],tblTurnos[turno],tblTurnos[hora_inicio],"")</f>
        <v/>
      </c>
      <c r="P108" s="3">
        <f>_xlfn.XLOOKUP(tblAsignaciones[[#This Row],[turno]],tblTurnos[turno],tblTurnos[hora_fin],"")</f>
        <v/>
      </c>
      <c r="Q108" s="3">
        <f>IF(AND(LEFT(tblAsignaciones[[#This Row],[posicion_ciclo]],1)="T",tblAsignaciones[[#This Row],[en_vacaciones]]="no"),"sí","no")</f>
        <v/>
      </c>
    </row>
    <row r="109">
      <c r="A109" s="3" t="inlineStr">
        <is>
          <t>2026-S30</t>
        </is>
      </c>
      <c r="B109" s="3" t="inlineStr">
        <is>
          <t>lunes</t>
        </is>
      </c>
      <c r="C109" s="3" t="inlineStr">
        <is>
          <t>Técnico 16</t>
        </is>
      </c>
      <c r="D109" s="3">
        <f>_xlfn.XLOOKUP(tblAsignaciones[[#This Row],[tecnico]],tblTecnicos[nombre],tblTecnicos[area],"")</f>
        <v/>
      </c>
      <c r="E109" s="3">
        <f>_xlfn.XLOOKUP(tblAsignaciones[[#This Row],[tecnico]],tblTecnicos[nombre],tblTecnicos[especialidad],"")</f>
        <v/>
      </c>
      <c r="F109" s="3">
        <f>COUNTIFS(tblTecnicos[rotativo],"SI",tblTecnicos[especialidad],tblAsignaciones[[#This Row],[especialidad]],tblTecnicos[area],tblAsignaciones[[#This Row],[area]])</f>
        <v/>
      </c>
      <c r="G10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9" s="6" t="n"/>
      <c r="J10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9" s="3">
        <f>_xlfn.XLOOKUP(tblAsignaciones[[#This Row],[tecnico]],tblTecnicos[nombre],tblTecnicos[supervisor],"")</f>
        <v/>
      </c>
      <c r="L10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9" s="3">
        <f>tblAsignaciones[[#This Row],[semana]]&amp;"|"&amp;tblAsignaciones[[#This Row],[dia]]&amp;"|"&amp;tblAsignaciones[[#This Row],[tecnico]]</f>
        <v/>
      </c>
      <c r="O109" s="3">
        <f>_xlfn.XLOOKUP(tblAsignaciones[[#This Row],[turno]],tblTurnos[turno],tblTurnos[hora_inicio],"")</f>
        <v/>
      </c>
      <c r="P109" s="3">
        <f>_xlfn.XLOOKUP(tblAsignaciones[[#This Row],[turno]],tblTurnos[turno],tblTurnos[hora_fin],"")</f>
        <v/>
      </c>
      <c r="Q109" s="3">
        <f>IF(AND(LEFT(tblAsignaciones[[#This Row],[posicion_ciclo]],1)="T",tblAsignaciones[[#This Row],[en_vacaciones]]="no"),"sí","no")</f>
        <v/>
      </c>
    </row>
    <row r="110">
      <c r="A110" s="3" t="inlineStr">
        <is>
          <t>2026-S30</t>
        </is>
      </c>
      <c r="B110" s="3" t="inlineStr">
        <is>
          <t>martes</t>
        </is>
      </c>
      <c r="C110" s="3" t="inlineStr">
        <is>
          <t>Técnico 16</t>
        </is>
      </c>
      <c r="D110" s="3">
        <f>_xlfn.XLOOKUP(tblAsignaciones[[#This Row],[tecnico]],tblTecnicos[nombre],tblTecnicos[area],"")</f>
        <v/>
      </c>
      <c r="E110" s="3">
        <f>_xlfn.XLOOKUP(tblAsignaciones[[#This Row],[tecnico]],tblTecnicos[nombre],tblTecnicos[especialidad],"")</f>
        <v/>
      </c>
      <c r="F110" s="3">
        <f>COUNTIFS(tblTecnicos[rotativo],"SI",tblTecnicos[especialidad],tblAsignaciones[[#This Row],[especialidad]],tblTecnicos[area],tblAsignaciones[[#This Row],[area]])</f>
        <v/>
      </c>
      <c r="G11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0" s="6" t="n"/>
      <c r="J11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0" s="3">
        <f>_xlfn.XLOOKUP(tblAsignaciones[[#This Row],[tecnico]],tblTecnicos[nombre],tblTecnicos[supervisor],"")</f>
        <v/>
      </c>
      <c r="L11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0" s="3">
        <f>tblAsignaciones[[#This Row],[semana]]&amp;"|"&amp;tblAsignaciones[[#This Row],[dia]]&amp;"|"&amp;tblAsignaciones[[#This Row],[tecnico]]</f>
        <v/>
      </c>
      <c r="O110" s="3">
        <f>_xlfn.XLOOKUP(tblAsignaciones[[#This Row],[turno]],tblTurnos[turno],tblTurnos[hora_inicio],"")</f>
        <v/>
      </c>
      <c r="P110" s="3">
        <f>_xlfn.XLOOKUP(tblAsignaciones[[#This Row],[turno]],tblTurnos[turno],tblTurnos[hora_fin],"")</f>
        <v/>
      </c>
      <c r="Q110" s="3">
        <f>IF(AND(LEFT(tblAsignaciones[[#This Row],[posicion_ciclo]],1)="T",tblAsignaciones[[#This Row],[en_vacaciones]]="no"),"sí","no")</f>
        <v/>
      </c>
    </row>
    <row r="111">
      <c r="A111" s="3" t="inlineStr">
        <is>
          <t>2026-S30</t>
        </is>
      </c>
      <c r="B111" s="3" t="inlineStr">
        <is>
          <t>miércoles</t>
        </is>
      </c>
      <c r="C111" s="3" t="inlineStr">
        <is>
          <t>Técnico 16</t>
        </is>
      </c>
      <c r="D111" s="3">
        <f>_xlfn.XLOOKUP(tblAsignaciones[[#This Row],[tecnico]],tblTecnicos[nombre],tblTecnicos[area],"")</f>
        <v/>
      </c>
      <c r="E111" s="3">
        <f>_xlfn.XLOOKUP(tblAsignaciones[[#This Row],[tecnico]],tblTecnicos[nombre],tblTecnicos[especialidad],"")</f>
        <v/>
      </c>
      <c r="F111" s="3">
        <f>COUNTIFS(tblTecnicos[rotativo],"SI",tblTecnicos[especialidad],tblAsignaciones[[#This Row],[especialidad]],tblTecnicos[area],tblAsignaciones[[#This Row],[area]])</f>
        <v/>
      </c>
      <c r="G11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1" s="6" t="n"/>
      <c r="J11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1" s="3">
        <f>_xlfn.XLOOKUP(tblAsignaciones[[#This Row],[tecnico]],tblTecnicos[nombre],tblTecnicos[supervisor],"")</f>
        <v/>
      </c>
      <c r="L11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1" s="3">
        <f>tblAsignaciones[[#This Row],[semana]]&amp;"|"&amp;tblAsignaciones[[#This Row],[dia]]&amp;"|"&amp;tblAsignaciones[[#This Row],[tecnico]]</f>
        <v/>
      </c>
      <c r="O111" s="3">
        <f>_xlfn.XLOOKUP(tblAsignaciones[[#This Row],[turno]],tblTurnos[turno],tblTurnos[hora_inicio],"")</f>
        <v/>
      </c>
      <c r="P111" s="3">
        <f>_xlfn.XLOOKUP(tblAsignaciones[[#This Row],[turno]],tblTurnos[turno],tblTurnos[hora_fin],"")</f>
        <v/>
      </c>
      <c r="Q111" s="3">
        <f>IF(AND(LEFT(tblAsignaciones[[#This Row],[posicion_ciclo]],1)="T",tblAsignaciones[[#This Row],[en_vacaciones]]="no"),"sí","no")</f>
        <v/>
      </c>
    </row>
    <row r="112">
      <c r="A112" s="3" t="inlineStr">
        <is>
          <t>2026-S30</t>
        </is>
      </c>
      <c r="B112" s="3" t="inlineStr">
        <is>
          <t>jueves</t>
        </is>
      </c>
      <c r="C112" s="3" t="inlineStr">
        <is>
          <t>Técnico 16</t>
        </is>
      </c>
      <c r="D112" s="3">
        <f>_xlfn.XLOOKUP(tblAsignaciones[[#This Row],[tecnico]],tblTecnicos[nombre],tblTecnicos[area],"")</f>
        <v/>
      </c>
      <c r="E112" s="3">
        <f>_xlfn.XLOOKUP(tblAsignaciones[[#This Row],[tecnico]],tblTecnicos[nombre],tblTecnicos[especialidad],"")</f>
        <v/>
      </c>
      <c r="F112" s="3">
        <f>COUNTIFS(tblTecnicos[rotativo],"SI",tblTecnicos[especialidad],tblAsignaciones[[#This Row],[especialidad]],tblTecnicos[area],tblAsignaciones[[#This Row],[area]])</f>
        <v/>
      </c>
      <c r="G11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2" s="6" t="n"/>
      <c r="J11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2" s="3">
        <f>_xlfn.XLOOKUP(tblAsignaciones[[#This Row],[tecnico]],tblTecnicos[nombre],tblTecnicos[supervisor],"")</f>
        <v/>
      </c>
      <c r="L11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2" s="3">
        <f>tblAsignaciones[[#This Row],[semana]]&amp;"|"&amp;tblAsignaciones[[#This Row],[dia]]&amp;"|"&amp;tblAsignaciones[[#This Row],[tecnico]]</f>
        <v/>
      </c>
      <c r="O112" s="3">
        <f>_xlfn.XLOOKUP(tblAsignaciones[[#This Row],[turno]],tblTurnos[turno],tblTurnos[hora_inicio],"")</f>
        <v/>
      </c>
      <c r="P112" s="3">
        <f>_xlfn.XLOOKUP(tblAsignaciones[[#This Row],[turno]],tblTurnos[turno],tblTurnos[hora_fin],"")</f>
        <v/>
      </c>
      <c r="Q112" s="3">
        <f>IF(AND(LEFT(tblAsignaciones[[#This Row],[posicion_ciclo]],1)="T",tblAsignaciones[[#This Row],[en_vacaciones]]="no"),"sí","no")</f>
        <v/>
      </c>
    </row>
    <row r="113">
      <c r="A113" s="3" t="inlineStr">
        <is>
          <t>2026-S30</t>
        </is>
      </c>
      <c r="B113" s="3" t="inlineStr">
        <is>
          <t>viernes</t>
        </is>
      </c>
      <c r="C113" s="3" t="inlineStr">
        <is>
          <t>Técnico 16</t>
        </is>
      </c>
      <c r="D113" s="3">
        <f>_xlfn.XLOOKUP(tblAsignaciones[[#This Row],[tecnico]],tblTecnicos[nombre],tblTecnicos[area],"")</f>
        <v/>
      </c>
      <c r="E113" s="3">
        <f>_xlfn.XLOOKUP(tblAsignaciones[[#This Row],[tecnico]],tblTecnicos[nombre],tblTecnicos[especialidad],"")</f>
        <v/>
      </c>
      <c r="F113" s="3">
        <f>COUNTIFS(tblTecnicos[rotativo],"SI",tblTecnicos[especialidad],tblAsignaciones[[#This Row],[especialidad]],tblTecnicos[area],tblAsignaciones[[#This Row],[area]])</f>
        <v/>
      </c>
      <c r="G11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3" s="6" t="n"/>
      <c r="J11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3" s="3">
        <f>_xlfn.XLOOKUP(tblAsignaciones[[#This Row],[tecnico]],tblTecnicos[nombre],tblTecnicos[supervisor],"")</f>
        <v/>
      </c>
      <c r="L11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3" s="3">
        <f>tblAsignaciones[[#This Row],[semana]]&amp;"|"&amp;tblAsignaciones[[#This Row],[dia]]&amp;"|"&amp;tblAsignaciones[[#This Row],[tecnico]]</f>
        <v/>
      </c>
      <c r="O113" s="3">
        <f>_xlfn.XLOOKUP(tblAsignaciones[[#This Row],[turno]],tblTurnos[turno],tblTurnos[hora_inicio],"")</f>
        <v/>
      </c>
      <c r="P113" s="3">
        <f>_xlfn.XLOOKUP(tblAsignaciones[[#This Row],[turno]],tblTurnos[turno],tblTurnos[hora_fin],"")</f>
        <v/>
      </c>
      <c r="Q113" s="3">
        <f>IF(AND(LEFT(tblAsignaciones[[#This Row],[posicion_ciclo]],1)="T",tblAsignaciones[[#This Row],[en_vacaciones]]="no"),"sí","no")</f>
        <v/>
      </c>
    </row>
    <row r="114">
      <c r="A114" s="3" t="inlineStr">
        <is>
          <t>2026-S30</t>
        </is>
      </c>
      <c r="B114" s="3" t="inlineStr">
        <is>
          <t>sábado</t>
        </is>
      </c>
      <c r="C114" s="3" t="inlineStr">
        <is>
          <t>Técnico 16</t>
        </is>
      </c>
      <c r="D114" s="3">
        <f>_xlfn.XLOOKUP(tblAsignaciones[[#This Row],[tecnico]],tblTecnicos[nombre],tblTecnicos[area],"")</f>
        <v/>
      </c>
      <c r="E114" s="3">
        <f>_xlfn.XLOOKUP(tblAsignaciones[[#This Row],[tecnico]],tblTecnicos[nombre],tblTecnicos[especialidad],"")</f>
        <v/>
      </c>
      <c r="F114" s="3">
        <f>COUNTIFS(tblTecnicos[rotativo],"SI",tblTecnicos[especialidad],tblAsignaciones[[#This Row],[especialidad]],tblTecnicos[area],tblAsignaciones[[#This Row],[area]])</f>
        <v/>
      </c>
      <c r="G11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4" s="6" t="n"/>
      <c r="J11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4" s="3">
        <f>_xlfn.XLOOKUP(tblAsignaciones[[#This Row],[tecnico]],tblTecnicos[nombre],tblTecnicos[supervisor],"")</f>
        <v/>
      </c>
      <c r="L11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4" s="3">
        <f>tblAsignaciones[[#This Row],[semana]]&amp;"|"&amp;tblAsignaciones[[#This Row],[dia]]&amp;"|"&amp;tblAsignaciones[[#This Row],[tecnico]]</f>
        <v/>
      </c>
      <c r="O114" s="3">
        <f>_xlfn.XLOOKUP(tblAsignaciones[[#This Row],[turno]],tblTurnos[turno],tblTurnos[hora_inicio],"")</f>
        <v/>
      </c>
      <c r="P114" s="3">
        <f>_xlfn.XLOOKUP(tblAsignaciones[[#This Row],[turno]],tblTurnos[turno],tblTurnos[hora_fin],"")</f>
        <v/>
      </c>
      <c r="Q114" s="3">
        <f>IF(AND(LEFT(tblAsignaciones[[#This Row],[posicion_ciclo]],1)="T",tblAsignaciones[[#This Row],[en_vacaciones]]="no"),"sí","no")</f>
        <v/>
      </c>
    </row>
    <row r="115">
      <c r="A115" s="3" t="inlineStr">
        <is>
          <t>2026-S30</t>
        </is>
      </c>
      <c r="B115" s="3" t="inlineStr">
        <is>
          <t>domingo</t>
        </is>
      </c>
      <c r="C115" s="3" t="inlineStr">
        <is>
          <t>Técnico 16</t>
        </is>
      </c>
      <c r="D115" s="3">
        <f>_xlfn.XLOOKUP(tblAsignaciones[[#This Row],[tecnico]],tblTecnicos[nombre],tblTecnicos[area],"")</f>
        <v/>
      </c>
      <c r="E115" s="3">
        <f>_xlfn.XLOOKUP(tblAsignaciones[[#This Row],[tecnico]],tblTecnicos[nombre],tblTecnicos[especialidad],"")</f>
        <v/>
      </c>
      <c r="F115" s="3">
        <f>COUNTIFS(tblTecnicos[rotativo],"SI",tblTecnicos[especialidad],tblAsignaciones[[#This Row],[especialidad]],tblTecnicos[area],tblAsignaciones[[#This Row],[area]])</f>
        <v/>
      </c>
      <c r="G11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5" s="6" t="n"/>
      <c r="J11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5" s="3">
        <f>_xlfn.XLOOKUP(tblAsignaciones[[#This Row],[tecnico]],tblTecnicos[nombre],tblTecnicos[supervisor],"")</f>
        <v/>
      </c>
      <c r="L11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5" s="3">
        <f>tblAsignaciones[[#This Row],[semana]]&amp;"|"&amp;tblAsignaciones[[#This Row],[dia]]&amp;"|"&amp;tblAsignaciones[[#This Row],[tecnico]]</f>
        <v/>
      </c>
      <c r="O115" s="3">
        <f>_xlfn.XLOOKUP(tblAsignaciones[[#This Row],[turno]],tblTurnos[turno],tblTurnos[hora_inicio],"")</f>
        <v/>
      </c>
      <c r="P115" s="3">
        <f>_xlfn.XLOOKUP(tblAsignaciones[[#This Row],[turno]],tblTurnos[turno],tblTurnos[hora_fin],"")</f>
        <v/>
      </c>
      <c r="Q115" s="3">
        <f>IF(AND(LEFT(tblAsignaciones[[#This Row],[posicion_ciclo]],1)="T",tblAsignaciones[[#This Row],[en_vacaciones]]="no"),"sí","no")</f>
        <v/>
      </c>
    </row>
    <row r="116">
      <c r="A116" s="3" t="inlineStr">
        <is>
          <t>2026-S31</t>
        </is>
      </c>
      <c r="B116" s="3" t="inlineStr">
        <is>
          <t>lunes</t>
        </is>
      </c>
      <c r="C116" s="3" t="inlineStr">
        <is>
          <t>Técnico 01</t>
        </is>
      </c>
      <c r="D116" s="3">
        <f>_xlfn.XLOOKUP(tblAsignaciones[[#This Row],[tecnico]],tblTecnicos[nombre],tblTecnicos[area],"")</f>
        <v/>
      </c>
      <c r="E116" s="3">
        <f>_xlfn.XLOOKUP(tblAsignaciones[[#This Row],[tecnico]],tblTecnicos[nombre],tblTecnicos[especialidad],"")</f>
        <v/>
      </c>
      <c r="F116" s="3">
        <f>COUNTIFS(tblTecnicos[rotativo],"SI",tblTecnicos[especialidad],tblAsignaciones[[#This Row],[especialidad]],tblTecnicos[area],tblAsignaciones[[#This Row],[area]])</f>
        <v/>
      </c>
      <c r="G11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6" s="6" t="n"/>
      <c r="J11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6" s="3">
        <f>_xlfn.XLOOKUP(tblAsignaciones[[#This Row],[tecnico]],tblTecnicos[nombre],tblTecnicos[supervisor],"")</f>
        <v/>
      </c>
      <c r="L11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6" s="3">
        <f>tblAsignaciones[[#This Row],[semana]]&amp;"|"&amp;tblAsignaciones[[#This Row],[dia]]&amp;"|"&amp;tblAsignaciones[[#This Row],[tecnico]]</f>
        <v/>
      </c>
      <c r="O116" s="3">
        <f>_xlfn.XLOOKUP(tblAsignaciones[[#This Row],[turno]],tblTurnos[turno],tblTurnos[hora_inicio],"")</f>
        <v/>
      </c>
      <c r="P116" s="3">
        <f>_xlfn.XLOOKUP(tblAsignaciones[[#This Row],[turno]],tblTurnos[turno],tblTurnos[hora_fin],"")</f>
        <v/>
      </c>
      <c r="Q116" s="3">
        <f>IF(AND(LEFT(tblAsignaciones[[#This Row],[posicion_ciclo]],1)="T",tblAsignaciones[[#This Row],[en_vacaciones]]="no"),"sí","no")</f>
        <v/>
      </c>
    </row>
    <row r="117">
      <c r="A117" s="3" t="inlineStr">
        <is>
          <t>2026-S31</t>
        </is>
      </c>
      <c r="B117" s="3" t="inlineStr">
        <is>
          <t>martes</t>
        </is>
      </c>
      <c r="C117" s="3" t="inlineStr">
        <is>
          <t>Técnico 01</t>
        </is>
      </c>
      <c r="D117" s="3">
        <f>_xlfn.XLOOKUP(tblAsignaciones[[#This Row],[tecnico]],tblTecnicos[nombre],tblTecnicos[area],"")</f>
        <v/>
      </c>
      <c r="E117" s="3">
        <f>_xlfn.XLOOKUP(tblAsignaciones[[#This Row],[tecnico]],tblTecnicos[nombre],tblTecnicos[especialidad],"")</f>
        <v/>
      </c>
      <c r="F117" s="3">
        <f>COUNTIFS(tblTecnicos[rotativo],"SI",tblTecnicos[especialidad],tblAsignaciones[[#This Row],[especialidad]],tblTecnicos[area],tblAsignaciones[[#This Row],[area]])</f>
        <v/>
      </c>
      <c r="G11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7" s="6" t="n"/>
      <c r="J11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7" s="3">
        <f>_xlfn.XLOOKUP(tblAsignaciones[[#This Row],[tecnico]],tblTecnicos[nombre],tblTecnicos[supervisor],"")</f>
        <v/>
      </c>
      <c r="L11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7" s="3">
        <f>tblAsignaciones[[#This Row],[semana]]&amp;"|"&amp;tblAsignaciones[[#This Row],[dia]]&amp;"|"&amp;tblAsignaciones[[#This Row],[tecnico]]</f>
        <v/>
      </c>
      <c r="O117" s="3">
        <f>_xlfn.XLOOKUP(tblAsignaciones[[#This Row],[turno]],tblTurnos[turno],tblTurnos[hora_inicio],"")</f>
        <v/>
      </c>
      <c r="P117" s="3">
        <f>_xlfn.XLOOKUP(tblAsignaciones[[#This Row],[turno]],tblTurnos[turno],tblTurnos[hora_fin],"")</f>
        <v/>
      </c>
      <c r="Q117" s="3">
        <f>IF(AND(LEFT(tblAsignaciones[[#This Row],[posicion_ciclo]],1)="T",tblAsignaciones[[#This Row],[en_vacaciones]]="no"),"sí","no")</f>
        <v/>
      </c>
    </row>
    <row r="118">
      <c r="A118" s="3" t="inlineStr">
        <is>
          <t>2026-S31</t>
        </is>
      </c>
      <c r="B118" s="3" t="inlineStr">
        <is>
          <t>miércoles</t>
        </is>
      </c>
      <c r="C118" s="3" t="inlineStr">
        <is>
          <t>Técnico 01</t>
        </is>
      </c>
      <c r="D118" s="3">
        <f>_xlfn.XLOOKUP(tblAsignaciones[[#This Row],[tecnico]],tblTecnicos[nombre],tblTecnicos[area],"")</f>
        <v/>
      </c>
      <c r="E118" s="3">
        <f>_xlfn.XLOOKUP(tblAsignaciones[[#This Row],[tecnico]],tblTecnicos[nombre],tblTecnicos[especialidad],"")</f>
        <v/>
      </c>
      <c r="F118" s="3">
        <f>COUNTIFS(tblTecnicos[rotativo],"SI",tblTecnicos[especialidad],tblAsignaciones[[#This Row],[especialidad]],tblTecnicos[area],tblAsignaciones[[#This Row],[area]])</f>
        <v/>
      </c>
      <c r="G11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8" s="6" t="n"/>
      <c r="J11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8" s="3">
        <f>_xlfn.XLOOKUP(tblAsignaciones[[#This Row],[tecnico]],tblTecnicos[nombre],tblTecnicos[supervisor],"")</f>
        <v/>
      </c>
      <c r="L11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8" s="3">
        <f>tblAsignaciones[[#This Row],[semana]]&amp;"|"&amp;tblAsignaciones[[#This Row],[dia]]&amp;"|"&amp;tblAsignaciones[[#This Row],[tecnico]]</f>
        <v/>
      </c>
      <c r="O118" s="3">
        <f>_xlfn.XLOOKUP(tblAsignaciones[[#This Row],[turno]],tblTurnos[turno],tblTurnos[hora_inicio],"")</f>
        <v/>
      </c>
      <c r="P118" s="3">
        <f>_xlfn.XLOOKUP(tblAsignaciones[[#This Row],[turno]],tblTurnos[turno],tblTurnos[hora_fin],"")</f>
        <v/>
      </c>
      <c r="Q118" s="3">
        <f>IF(AND(LEFT(tblAsignaciones[[#This Row],[posicion_ciclo]],1)="T",tblAsignaciones[[#This Row],[en_vacaciones]]="no"),"sí","no")</f>
        <v/>
      </c>
    </row>
    <row r="119">
      <c r="A119" s="3" t="inlineStr">
        <is>
          <t>2026-S31</t>
        </is>
      </c>
      <c r="B119" s="3" t="inlineStr">
        <is>
          <t>jueves</t>
        </is>
      </c>
      <c r="C119" s="3" t="inlineStr">
        <is>
          <t>Técnico 01</t>
        </is>
      </c>
      <c r="D119" s="3">
        <f>_xlfn.XLOOKUP(tblAsignaciones[[#This Row],[tecnico]],tblTecnicos[nombre],tblTecnicos[area],"")</f>
        <v/>
      </c>
      <c r="E119" s="3">
        <f>_xlfn.XLOOKUP(tblAsignaciones[[#This Row],[tecnico]],tblTecnicos[nombre],tblTecnicos[especialidad],"")</f>
        <v/>
      </c>
      <c r="F119" s="3">
        <f>COUNTIFS(tblTecnicos[rotativo],"SI",tblTecnicos[especialidad],tblAsignaciones[[#This Row],[especialidad]],tblTecnicos[area],tblAsignaciones[[#This Row],[area]])</f>
        <v/>
      </c>
      <c r="G11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9" s="6" t="n"/>
      <c r="J11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9" s="3">
        <f>_xlfn.XLOOKUP(tblAsignaciones[[#This Row],[tecnico]],tblTecnicos[nombre],tblTecnicos[supervisor],"")</f>
        <v/>
      </c>
      <c r="L11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9" s="3">
        <f>tblAsignaciones[[#This Row],[semana]]&amp;"|"&amp;tblAsignaciones[[#This Row],[dia]]&amp;"|"&amp;tblAsignaciones[[#This Row],[tecnico]]</f>
        <v/>
      </c>
      <c r="O119" s="3">
        <f>_xlfn.XLOOKUP(tblAsignaciones[[#This Row],[turno]],tblTurnos[turno],tblTurnos[hora_inicio],"")</f>
        <v/>
      </c>
      <c r="P119" s="3">
        <f>_xlfn.XLOOKUP(tblAsignaciones[[#This Row],[turno]],tblTurnos[turno],tblTurnos[hora_fin],"")</f>
        <v/>
      </c>
      <c r="Q119" s="3">
        <f>IF(AND(LEFT(tblAsignaciones[[#This Row],[posicion_ciclo]],1)="T",tblAsignaciones[[#This Row],[en_vacaciones]]="no"),"sí","no")</f>
        <v/>
      </c>
    </row>
    <row r="120">
      <c r="A120" s="3" t="inlineStr">
        <is>
          <t>2026-S31</t>
        </is>
      </c>
      <c r="B120" s="3" t="inlineStr">
        <is>
          <t>viernes</t>
        </is>
      </c>
      <c r="C120" s="3" t="inlineStr">
        <is>
          <t>Técnico 01</t>
        </is>
      </c>
      <c r="D120" s="3">
        <f>_xlfn.XLOOKUP(tblAsignaciones[[#This Row],[tecnico]],tblTecnicos[nombre],tblTecnicos[area],"")</f>
        <v/>
      </c>
      <c r="E120" s="3">
        <f>_xlfn.XLOOKUP(tblAsignaciones[[#This Row],[tecnico]],tblTecnicos[nombre],tblTecnicos[especialidad],"")</f>
        <v/>
      </c>
      <c r="F120" s="3">
        <f>COUNTIFS(tblTecnicos[rotativo],"SI",tblTecnicos[especialidad],tblAsignaciones[[#This Row],[especialidad]],tblTecnicos[area],tblAsignaciones[[#This Row],[area]])</f>
        <v/>
      </c>
      <c r="G12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0" s="6" t="n"/>
      <c r="J12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0" s="3">
        <f>_xlfn.XLOOKUP(tblAsignaciones[[#This Row],[tecnico]],tblTecnicos[nombre],tblTecnicos[supervisor],"")</f>
        <v/>
      </c>
      <c r="L12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0" s="3">
        <f>tblAsignaciones[[#This Row],[semana]]&amp;"|"&amp;tblAsignaciones[[#This Row],[dia]]&amp;"|"&amp;tblAsignaciones[[#This Row],[tecnico]]</f>
        <v/>
      </c>
      <c r="O120" s="3">
        <f>_xlfn.XLOOKUP(tblAsignaciones[[#This Row],[turno]],tblTurnos[turno],tblTurnos[hora_inicio],"")</f>
        <v/>
      </c>
      <c r="P120" s="3">
        <f>_xlfn.XLOOKUP(tblAsignaciones[[#This Row],[turno]],tblTurnos[turno],tblTurnos[hora_fin],"")</f>
        <v/>
      </c>
      <c r="Q120" s="3">
        <f>IF(AND(LEFT(tblAsignaciones[[#This Row],[posicion_ciclo]],1)="T",tblAsignaciones[[#This Row],[en_vacaciones]]="no"),"sí","no")</f>
        <v/>
      </c>
    </row>
    <row r="121">
      <c r="A121" s="3" t="inlineStr">
        <is>
          <t>2026-S31</t>
        </is>
      </c>
      <c r="B121" s="3" t="inlineStr">
        <is>
          <t>sábado</t>
        </is>
      </c>
      <c r="C121" s="3" t="inlineStr">
        <is>
          <t>Técnico 01</t>
        </is>
      </c>
      <c r="D121" s="3">
        <f>_xlfn.XLOOKUP(tblAsignaciones[[#This Row],[tecnico]],tblTecnicos[nombre],tblTecnicos[area],"")</f>
        <v/>
      </c>
      <c r="E121" s="3">
        <f>_xlfn.XLOOKUP(tblAsignaciones[[#This Row],[tecnico]],tblTecnicos[nombre],tblTecnicos[especialidad],"")</f>
        <v/>
      </c>
      <c r="F121" s="3">
        <f>COUNTIFS(tblTecnicos[rotativo],"SI",tblTecnicos[especialidad],tblAsignaciones[[#This Row],[especialidad]],tblTecnicos[area],tblAsignaciones[[#This Row],[area]])</f>
        <v/>
      </c>
      <c r="G12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1" s="6" t="n"/>
      <c r="J12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1" s="3">
        <f>_xlfn.XLOOKUP(tblAsignaciones[[#This Row],[tecnico]],tblTecnicos[nombre],tblTecnicos[supervisor],"")</f>
        <v/>
      </c>
      <c r="L12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1" s="3">
        <f>tblAsignaciones[[#This Row],[semana]]&amp;"|"&amp;tblAsignaciones[[#This Row],[dia]]&amp;"|"&amp;tblAsignaciones[[#This Row],[tecnico]]</f>
        <v/>
      </c>
      <c r="O121" s="3">
        <f>_xlfn.XLOOKUP(tblAsignaciones[[#This Row],[turno]],tblTurnos[turno],tblTurnos[hora_inicio],"")</f>
        <v/>
      </c>
      <c r="P121" s="3">
        <f>_xlfn.XLOOKUP(tblAsignaciones[[#This Row],[turno]],tblTurnos[turno],tblTurnos[hora_fin],"")</f>
        <v/>
      </c>
      <c r="Q121" s="3">
        <f>IF(AND(LEFT(tblAsignaciones[[#This Row],[posicion_ciclo]],1)="T",tblAsignaciones[[#This Row],[en_vacaciones]]="no"),"sí","no")</f>
        <v/>
      </c>
    </row>
    <row r="122">
      <c r="A122" s="3" t="inlineStr">
        <is>
          <t>2026-S31</t>
        </is>
      </c>
      <c r="B122" s="3" t="inlineStr">
        <is>
          <t>domingo</t>
        </is>
      </c>
      <c r="C122" s="3" t="inlineStr">
        <is>
          <t>Técnico 01</t>
        </is>
      </c>
      <c r="D122" s="3">
        <f>_xlfn.XLOOKUP(tblAsignaciones[[#This Row],[tecnico]],tblTecnicos[nombre],tblTecnicos[area],"")</f>
        <v/>
      </c>
      <c r="E122" s="3">
        <f>_xlfn.XLOOKUP(tblAsignaciones[[#This Row],[tecnico]],tblTecnicos[nombre],tblTecnicos[especialidad],"")</f>
        <v/>
      </c>
      <c r="F122" s="3">
        <f>COUNTIFS(tblTecnicos[rotativo],"SI",tblTecnicos[especialidad],tblAsignaciones[[#This Row],[especialidad]],tblTecnicos[area],tblAsignaciones[[#This Row],[area]])</f>
        <v/>
      </c>
      <c r="G12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2" s="6" t="n"/>
      <c r="J12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2" s="3">
        <f>_xlfn.XLOOKUP(tblAsignaciones[[#This Row],[tecnico]],tblTecnicos[nombre],tblTecnicos[supervisor],"")</f>
        <v/>
      </c>
      <c r="L12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2" s="3">
        <f>tblAsignaciones[[#This Row],[semana]]&amp;"|"&amp;tblAsignaciones[[#This Row],[dia]]&amp;"|"&amp;tblAsignaciones[[#This Row],[tecnico]]</f>
        <v/>
      </c>
      <c r="O122" s="3">
        <f>_xlfn.XLOOKUP(tblAsignaciones[[#This Row],[turno]],tblTurnos[turno],tblTurnos[hora_inicio],"")</f>
        <v/>
      </c>
      <c r="P122" s="3">
        <f>_xlfn.XLOOKUP(tblAsignaciones[[#This Row],[turno]],tblTurnos[turno],tblTurnos[hora_fin],"")</f>
        <v/>
      </c>
      <c r="Q122" s="3">
        <f>IF(AND(LEFT(tblAsignaciones[[#This Row],[posicion_ciclo]],1)="T",tblAsignaciones[[#This Row],[en_vacaciones]]="no"),"sí","no")</f>
        <v/>
      </c>
    </row>
    <row r="123">
      <c r="A123" s="3" t="inlineStr">
        <is>
          <t>2026-S31</t>
        </is>
      </c>
      <c r="B123" s="3" t="inlineStr">
        <is>
          <t>lunes</t>
        </is>
      </c>
      <c r="C123" s="3" t="inlineStr">
        <is>
          <t>Técnico 02</t>
        </is>
      </c>
      <c r="D123" s="3">
        <f>_xlfn.XLOOKUP(tblAsignaciones[[#This Row],[tecnico]],tblTecnicos[nombre],tblTecnicos[area],"")</f>
        <v/>
      </c>
      <c r="E123" s="3">
        <f>_xlfn.XLOOKUP(tblAsignaciones[[#This Row],[tecnico]],tblTecnicos[nombre],tblTecnicos[especialidad],"")</f>
        <v/>
      </c>
      <c r="F123" s="3">
        <f>COUNTIFS(tblTecnicos[rotativo],"SI",tblTecnicos[especialidad],tblAsignaciones[[#This Row],[especialidad]],tblTecnicos[area],tblAsignaciones[[#This Row],[area]])</f>
        <v/>
      </c>
      <c r="G12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3" s="6" t="n"/>
      <c r="J12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3" s="3">
        <f>_xlfn.XLOOKUP(tblAsignaciones[[#This Row],[tecnico]],tblTecnicos[nombre],tblTecnicos[supervisor],"")</f>
        <v/>
      </c>
      <c r="L12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3" s="3">
        <f>tblAsignaciones[[#This Row],[semana]]&amp;"|"&amp;tblAsignaciones[[#This Row],[dia]]&amp;"|"&amp;tblAsignaciones[[#This Row],[tecnico]]</f>
        <v/>
      </c>
      <c r="O123" s="3">
        <f>_xlfn.XLOOKUP(tblAsignaciones[[#This Row],[turno]],tblTurnos[turno],tblTurnos[hora_inicio],"")</f>
        <v/>
      </c>
      <c r="P123" s="3">
        <f>_xlfn.XLOOKUP(tblAsignaciones[[#This Row],[turno]],tblTurnos[turno],tblTurnos[hora_fin],"")</f>
        <v/>
      </c>
      <c r="Q123" s="3">
        <f>IF(AND(LEFT(tblAsignaciones[[#This Row],[posicion_ciclo]],1)="T",tblAsignaciones[[#This Row],[en_vacaciones]]="no"),"sí","no")</f>
        <v/>
      </c>
    </row>
    <row r="124">
      <c r="A124" s="3" t="inlineStr">
        <is>
          <t>2026-S31</t>
        </is>
      </c>
      <c r="B124" s="3" t="inlineStr">
        <is>
          <t>martes</t>
        </is>
      </c>
      <c r="C124" s="3" t="inlineStr">
        <is>
          <t>Técnico 02</t>
        </is>
      </c>
      <c r="D124" s="3">
        <f>_xlfn.XLOOKUP(tblAsignaciones[[#This Row],[tecnico]],tblTecnicos[nombre],tblTecnicos[area],"")</f>
        <v/>
      </c>
      <c r="E124" s="3">
        <f>_xlfn.XLOOKUP(tblAsignaciones[[#This Row],[tecnico]],tblTecnicos[nombre],tblTecnicos[especialidad],"")</f>
        <v/>
      </c>
      <c r="F124" s="3">
        <f>COUNTIFS(tblTecnicos[rotativo],"SI",tblTecnicos[especialidad],tblAsignaciones[[#This Row],[especialidad]],tblTecnicos[area],tblAsignaciones[[#This Row],[area]])</f>
        <v/>
      </c>
      <c r="G12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4" s="6" t="n"/>
      <c r="J12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4" s="3">
        <f>_xlfn.XLOOKUP(tblAsignaciones[[#This Row],[tecnico]],tblTecnicos[nombre],tblTecnicos[supervisor],"")</f>
        <v/>
      </c>
      <c r="L12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4" s="3">
        <f>tblAsignaciones[[#This Row],[semana]]&amp;"|"&amp;tblAsignaciones[[#This Row],[dia]]&amp;"|"&amp;tblAsignaciones[[#This Row],[tecnico]]</f>
        <v/>
      </c>
      <c r="O124" s="3">
        <f>_xlfn.XLOOKUP(tblAsignaciones[[#This Row],[turno]],tblTurnos[turno],tblTurnos[hora_inicio],"")</f>
        <v/>
      </c>
      <c r="P124" s="3">
        <f>_xlfn.XLOOKUP(tblAsignaciones[[#This Row],[turno]],tblTurnos[turno],tblTurnos[hora_fin],"")</f>
        <v/>
      </c>
      <c r="Q124" s="3">
        <f>IF(AND(LEFT(tblAsignaciones[[#This Row],[posicion_ciclo]],1)="T",tblAsignaciones[[#This Row],[en_vacaciones]]="no"),"sí","no")</f>
        <v/>
      </c>
    </row>
    <row r="125">
      <c r="A125" s="3" t="inlineStr">
        <is>
          <t>2026-S31</t>
        </is>
      </c>
      <c r="B125" s="3" t="inlineStr">
        <is>
          <t>miércoles</t>
        </is>
      </c>
      <c r="C125" s="3" t="inlineStr">
        <is>
          <t>Técnico 02</t>
        </is>
      </c>
      <c r="D125" s="3">
        <f>_xlfn.XLOOKUP(tblAsignaciones[[#This Row],[tecnico]],tblTecnicos[nombre],tblTecnicos[area],"")</f>
        <v/>
      </c>
      <c r="E125" s="3">
        <f>_xlfn.XLOOKUP(tblAsignaciones[[#This Row],[tecnico]],tblTecnicos[nombre],tblTecnicos[especialidad],"")</f>
        <v/>
      </c>
      <c r="F125" s="3">
        <f>COUNTIFS(tblTecnicos[rotativo],"SI",tblTecnicos[especialidad],tblAsignaciones[[#This Row],[especialidad]],tblTecnicos[area],tblAsignaciones[[#This Row],[area]])</f>
        <v/>
      </c>
      <c r="G12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5" s="6" t="n"/>
      <c r="J12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5" s="3">
        <f>_xlfn.XLOOKUP(tblAsignaciones[[#This Row],[tecnico]],tblTecnicos[nombre],tblTecnicos[supervisor],"")</f>
        <v/>
      </c>
      <c r="L12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5" s="3">
        <f>tblAsignaciones[[#This Row],[semana]]&amp;"|"&amp;tblAsignaciones[[#This Row],[dia]]&amp;"|"&amp;tblAsignaciones[[#This Row],[tecnico]]</f>
        <v/>
      </c>
      <c r="O125" s="3">
        <f>_xlfn.XLOOKUP(tblAsignaciones[[#This Row],[turno]],tblTurnos[turno],tblTurnos[hora_inicio],"")</f>
        <v/>
      </c>
      <c r="P125" s="3">
        <f>_xlfn.XLOOKUP(tblAsignaciones[[#This Row],[turno]],tblTurnos[turno],tblTurnos[hora_fin],"")</f>
        <v/>
      </c>
      <c r="Q125" s="3">
        <f>IF(AND(LEFT(tblAsignaciones[[#This Row],[posicion_ciclo]],1)="T",tblAsignaciones[[#This Row],[en_vacaciones]]="no"),"sí","no")</f>
        <v/>
      </c>
    </row>
    <row r="126">
      <c r="A126" s="3" t="inlineStr">
        <is>
          <t>2026-S31</t>
        </is>
      </c>
      <c r="B126" s="3" t="inlineStr">
        <is>
          <t>jueves</t>
        </is>
      </c>
      <c r="C126" s="3" t="inlineStr">
        <is>
          <t>Técnico 02</t>
        </is>
      </c>
      <c r="D126" s="3">
        <f>_xlfn.XLOOKUP(tblAsignaciones[[#This Row],[tecnico]],tblTecnicos[nombre],tblTecnicos[area],"")</f>
        <v/>
      </c>
      <c r="E126" s="3">
        <f>_xlfn.XLOOKUP(tblAsignaciones[[#This Row],[tecnico]],tblTecnicos[nombre],tblTecnicos[especialidad],"")</f>
        <v/>
      </c>
      <c r="F126" s="3">
        <f>COUNTIFS(tblTecnicos[rotativo],"SI",tblTecnicos[especialidad],tblAsignaciones[[#This Row],[especialidad]],tblTecnicos[area],tblAsignaciones[[#This Row],[area]])</f>
        <v/>
      </c>
      <c r="G12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6" s="6" t="n"/>
      <c r="J12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6" s="3">
        <f>_xlfn.XLOOKUP(tblAsignaciones[[#This Row],[tecnico]],tblTecnicos[nombre],tblTecnicos[supervisor],"")</f>
        <v/>
      </c>
      <c r="L12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6" s="3">
        <f>tblAsignaciones[[#This Row],[semana]]&amp;"|"&amp;tblAsignaciones[[#This Row],[dia]]&amp;"|"&amp;tblAsignaciones[[#This Row],[tecnico]]</f>
        <v/>
      </c>
      <c r="O126" s="3">
        <f>_xlfn.XLOOKUP(tblAsignaciones[[#This Row],[turno]],tblTurnos[turno],tblTurnos[hora_inicio],"")</f>
        <v/>
      </c>
      <c r="P126" s="3">
        <f>_xlfn.XLOOKUP(tblAsignaciones[[#This Row],[turno]],tblTurnos[turno],tblTurnos[hora_fin],"")</f>
        <v/>
      </c>
      <c r="Q126" s="3">
        <f>IF(AND(LEFT(tblAsignaciones[[#This Row],[posicion_ciclo]],1)="T",tblAsignaciones[[#This Row],[en_vacaciones]]="no"),"sí","no")</f>
        <v/>
      </c>
    </row>
    <row r="127">
      <c r="A127" s="3" t="inlineStr">
        <is>
          <t>2026-S31</t>
        </is>
      </c>
      <c r="B127" s="3" t="inlineStr">
        <is>
          <t>viernes</t>
        </is>
      </c>
      <c r="C127" s="3" t="inlineStr">
        <is>
          <t>Técnico 02</t>
        </is>
      </c>
      <c r="D127" s="3">
        <f>_xlfn.XLOOKUP(tblAsignaciones[[#This Row],[tecnico]],tblTecnicos[nombre],tblTecnicos[area],"")</f>
        <v/>
      </c>
      <c r="E127" s="3">
        <f>_xlfn.XLOOKUP(tblAsignaciones[[#This Row],[tecnico]],tblTecnicos[nombre],tblTecnicos[especialidad],"")</f>
        <v/>
      </c>
      <c r="F127" s="3">
        <f>COUNTIFS(tblTecnicos[rotativo],"SI",tblTecnicos[especialidad],tblAsignaciones[[#This Row],[especialidad]],tblTecnicos[area],tblAsignaciones[[#This Row],[area]])</f>
        <v/>
      </c>
      <c r="G12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7" s="6" t="n"/>
      <c r="J12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7" s="3">
        <f>_xlfn.XLOOKUP(tblAsignaciones[[#This Row],[tecnico]],tblTecnicos[nombre],tblTecnicos[supervisor],"")</f>
        <v/>
      </c>
      <c r="L12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7" s="3">
        <f>tblAsignaciones[[#This Row],[semana]]&amp;"|"&amp;tblAsignaciones[[#This Row],[dia]]&amp;"|"&amp;tblAsignaciones[[#This Row],[tecnico]]</f>
        <v/>
      </c>
      <c r="O127" s="3">
        <f>_xlfn.XLOOKUP(tblAsignaciones[[#This Row],[turno]],tblTurnos[turno],tblTurnos[hora_inicio],"")</f>
        <v/>
      </c>
      <c r="P127" s="3">
        <f>_xlfn.XLOOKUP(tblAsignaciones[[#This Row],[turno]],tblTurnos[turno],tblTurnos[hora_fin],"")</f>
        <v/>
      </c>
      <c r="Q127" s="3">
        <f>IF(AND(LEFT(tblAsignaciones[[#This Row],[posicion_ciclo]],1)="T",tblAsignaciones[[#This Row],[en_vacaciones]]="no"),"sí","no")</f>
        <v/>
      </c>
    </row>
    <row r="128">
      <c r="A128" s="3" t="inlineStr">
        <is>
          <t>2026-S31</t>
        </is>
      </c>
      <c r="B128" s="3" t="inlineStr">
        <is>
          <t>sábado</t>
        </is>
      </c>
      <c r="C128" s="3" t="inlineStr">
        <is>
          <t>Técnico 02</t>
        </is>
      </c>
      <c r="D128" s="3">
        <f>_xlfn.XLOOKUP(tblAsignaciones[[#This Row],[tecnico]],tblTecnicos[nombre],tblTecnicos[area],"")</f>
        <v/>
      </c>
      <c r="E128" s="3">
        <f>_xlfn.XLOOKUP(tblAsignaciones[[#This Row],[tecnico]],tblTecnicos[nombre],tblTecnicos[especialidad],"")</f>
        <v/>
      </c>
      <c r="F128" s="3">
        <f>COUNTIFS(tblTecnicos[rotativo],"SI",tblTecnicos[especialidad],tblAsignaciones[[#This Row],[especialidad]],tblTecnicos[area],tblAsignaciones[[#This Row],[area]])</f>
        <v/>
      </c>
      <c r="G12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8" s="6" t="n"/>
      <c r="J12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8" s="3">
        <f>_xlfn.XLOOKUP(tblAsignaciones[[#This Row],[tecnico]],tblTecnicos[nombre],tblTecnicos[supervisor],"")</f>
        <v/>
      </c>
      <c r="L12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8" s="3">
        <f>tblAsignaciones[[#This Row],[semana]]&amp;"|"&amp;tblAsignaciones[[#This Row],[dia]]&amp;"|"&amp;tblAsignaciones[[#This Row],[tecnico]]</f>
        <v/>
      </c>
      <c r="O128" s="3">
        <f>_xlfn.XLOOKUP(tblAsignaciones[[#This Row],[turno]],tblTurnos[turno],tblTurnos[hora_inicio],"")</f>
        <v/>
      </c>
      <c r="P128" s="3">
        <f>_xlfn.XLOOKUP(tblAsignaciones[[#This Row],[turno]],tblTurnos[turno],tblTurnos[hora_fin],"")</f>
        <v/>
      </c>
      <c r="Q128" s="3">
        <f>IF(AND(LEFT(tblAsignaciones[[#This Row],[posicion_ciclo]],1)="T",tblAsignaciones[[#This Row],[en_vacaciones]]="no"),"sí","no")</f>
        <v/>
      </c>
    </row>
    <row r="129">
      <c r="A129" s="3" t="inlineStr">
        <is>
          <t>2026-S31</t>
        </is>
      </c>
      <c r="B129" s="3" t="inlineStr">
        <is>
          <t>domingo</t>
        </is>
      </c>
      <c r="C129" s="3" t="inlineStr">
        <is>
          <t>Técnico 02</t>
        </is>
      </c>
      <c r="D129" s="3">
        <f>_xlfn.XLOOKUP(tblAsignaciones[[#This Row],[tecnico]],tblTecnicos[nombre],tblTecnicos[area],"")</f>
        <v/>
      </c>
      <c r="E129" s="3">
        <f>_xlfn.XLOOKUP(tblAsignaciones[[#This Row],[tecnico]],tblTecnicos[nombre],tblTecnicos[especialidad],"")</f>
        <v/>
      </c>
      <c r="F129" s="3">
        <f>COUNTIFS(tblTecnicos[rotativo],"SI",tblTecnicos[especialidad],tblAsignaciones[[#This Row],[especialidad]],tblTecnicos[area],tblAsignaciones[[#This Row],[area]])</f>
        <v/>
      </c>
      <c r="G12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9" s="6" t="n"/>
      <c r="J12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9" s="3">
        <f>_xlfn.XLOOKUP(tblAsignaciones[[#This Row],[tecnico]],tblTecnicos[nombre],tblTecnicos[supervisor],"")</f>
        <v/>
      </c>
      <c r="L12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9" s="3">
        <f>tblAsignaciones[[#This Row],[semana]]&amp;"|"&amp;tblAsignaciones[[#This Row],[dia]]&amp;"|"&amp;tblAsignaciones[[#This Row],[tecnico]]</f>
        <v/>
      </c>
      <c r="O129" s="3">
        <f>_xlfn.XLOOKUP(tblAsignaciones[[#This Row],[turno]],tblTurnos[turno],tblTurnos[hora_inicio],"")</f>
        <v/>
      </c>
      <c r="P129" s="3">
        <f>_xlfn.XLOOKUP(tblAsignaciones[[#This Row],[turno]],tblTurnos[turno],tblTurnos[hora_fin],"")</f>
        <v/>
      </c>
      <c r="Q129" s="3">
        <f>IF(AND(LEFT(tblAsignaciones[[#This Row],[posicion_ciclo]],1)="T",tblAsignaciones[[#This Row],[en_vacaciones]]="no"),"sí","no")</f>
        <v/>
      </c>
    </row>
    <row r="130">
      <c r="A130" s="3" t="inlineStr">
        <is>
          <t>2026-S31</t>
        </is>
      </c>
      <c r="B130" s="3" t="inlineStr">
        <is>
          <t>lunes</t>
        </is>
      </c>
      <c r="C130" s="3" t="inlineStr">
        <is>
          <t>Técnico 03</t>
        </is>
      </c>
      <c r="D130" s="3">
        <f>_xlfn.XLOOKUP(tblAsignaciones[[#This Row],[tecnico]],tblTecnicos[nombre],tblTecnicos[area],"")</f>
        <v/>
      </c>
      <c r="E130" s="3">
        <f>_xlfn.XLOOKUP(tblAsignaciones[[#This Row],[tecnico]],tblTecnicos[nombre],tblTecnicos[especialidad],"")</f>
        <v/>
      </c>
      <c r="F130" s="3">
        <f>COUNTIFS(tblTecnicos[rotativo],"SI",tblTecnicos[especialidad],tblAsignaciones[[#This Row],[especialidad]],tblTecnicos[area],tblAsignaciones[[#This Row],[area]])</f>
        <v/>
      </c>
      <c r="G13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0" s="6" t="n"/>
      <c r="J13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0" s="3">
        <f>_xlfn.XLOOKUP(tblAsignaciones[[#This Row],[tecnico]],tblTecnicos[nombre],tblTecnicos[supervisor],"")</f>
        <v/>
      </c>
      <c r="L13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0" s="3">
        <f>tblAsignaciones[[#This Row],[semana]]&amp;"|"&amp;tblAsignaciones[[#This Row],[dia]]&amp;"|"&amp;tblAsignaciones[[#This Row],[tecnico]]</f>
        <v/>
      </c>
      <c r="O130" s="3">
        <f>_xlfn.XLOOKUP(tblAsignaciones[[#This Row],[turno]],tblTurnos[turno],tblTurnos[hora_inicio],"")</f>
        <v/>
      </c>
      <c r="P130" s="3">
        <f>_xlfn.XLOOKUP(tblAsignaciones[[#This Row],[turno]],tblTurnos[turno],tblTurnos[hora_fin],"")</f>
        <v/>
      </c>
      <c r="Q130" s="3">
        <f>IF(AND(LEFT(tblAsignaciones[[#This Row],[posicion_ciclo]],1)="T",tblAsignaciones[[#This Row],[en_vacaciones]]="no"),"sí","no")</f>
        <v/>
      </c>
    </row>
    <row r="131">
      <c r="A131" s="3" t="inlineStr">
        <is>
          <t>2026-S31</t>
        </is>
      </c>
      <c r="B131" s="3" t="inlineStr">
        <is>
          <t>martes</t>
        </is>
      </c>
      <c r="C131" s="3" t="inlineStr">
        <is>
          <t>Técnico 03</t>
        </is>
      </c>
      <c r="D131" s="3">
        <f>_xlfn.XLOOKUP(tblAsignaciones[[#This Row],[tecnico]],tblTecnicos[nombre],tblTecnicos[area],"")</f>
        <v/>
      </c>
      <c r="E131" s="3">
        <f>_xlfn.XLOOKUP(tblAsignaciones[[#This Row],[tecnico]],tblTecnicos[nombre],tblTecnicos[especialidad],"")</f>
        <v/>
      </c>
      <c r="F131" s="3">
        <f>COUNTIFS(tblTecnicos[rotativo],"SI",tblTecnicos[especialidad],tblAsignaciones[[#This Row],[especialidad]],tblTecnicos[area],tblAsignaciones[[#This Row],[area]])</f>
        <v/>
      </c>
      <c r="G13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1" s="6" t="n"/>
      <c r="J13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1" s="3">
        <f>_xlfn.XLOOKUP(tblAsignaciones[[#This Row],[tecnico]],tblTecnicos[nombre],tblTecnicos[supervisor],"")</f>
        <v/>
      </c>
      <c r="L13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1" s="3">
        <f>tblAsignaciones[[#This Row],[semana]]&amp;"|"&amp;tblAsignaciones[[#This Row],[dia]]&amp;"|"&amp;tblAsignaciones[[#This Row],[tecnico]]</f>
        <v/>
      </c>
      <c r="O131" s="3">
        <f>_xlfn.XLOOKUP(tblAsignaciones[[#This Row],[turno]],tblTurnos[turno],tblTurnos[hora_inicio],"")</f>
        <v/>
      </c>
      <c r="P131" s="3">
        <f>_xlfn.XLOOKUP(tblAsignaciones[[#This Row],[turno]],tblTurnos[turno],tblTurnos[hora_fin],"")</f>
        <v/>
      </c>
      <c r="Q131" s="3">
        <f>IF(AND(LEFT(tblAsignaciones[[#This Row],[posicion_ciclo]],1)="T",tblAsignaciones[[#This Row],[en_vacaciones]]="no"),"sí","no")</f>
        <v/>
      </c>
    </row>
    <row r="132">
      <c r="A132" s="3" t="inlineStr">
        <is>
          <t>2026-S31</t>
        </is>
      </c>
      <c r="B132" s="3" t="inlineStr">
        <is>
          <t>miércoles</t>
        </is>
      </c>
      <c r="C132" s="3" t="inlineStr">
        <is>
          <t>Técnico 03</t>
        </is>
      </c>
      <c r="D132" s="3">
        <f>_xlfn.XLOOKUP(tblAsignaciones[[#This Row],[tecnico]],tblTecnicos[nombre],tblTecnicos[area],"")</f>
        <v/>
      </c>
      <c r="E132" s="3">
        <f>_xlfn.XLOOKUP(tblAsignaciones[[#This Row],[tecnico]],tblTecnicos[nombre],tblTecnicos[especialidad],"")</f>
        <v/>
      </c>
      <c r="F132" s="3">
        <f>COUNTIFS(tblTecnicos[rotativo],"SI",tblTecnicos[especialidad],tblAsignaciones[[#This Row],[especialidad]],tblTecnicos[area],tblAsignaciones[[#This Row],[area]])</f>
        <v/>
      </c>
      <c r="G13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2" s="6" t="n"/>
      <c r="J13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2" s="3">
        <f>_xlfn.XLOOKUP(tblAsignaciones[[#This Row],[tecnico]],tblTecnicos[nombre],tblTecnicos[supervisor],"")</f>
        <v/>
      </c>
      <c r="L13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2" s="3">
        <f>tblAsignaciones[[#This Row],[semana]]&amp;"|"&amp;tblAsignaciones[[#This Row],[dia]]&amp;"|"&amp;tblAsignaciones[[#This Row],[tecnico]]</f>
        <v/>
      </c>
      <c r="O132" s="3">
        <f>_xlfn.XLOOKUP(tblAsignaciones[[#This Row],[turno]],tblTurnos[turno],tblTurnos[hora_inicio],"")</f>
        <v/>
      </c>
      <c r="P132" s="3">
        <f>_xlfn.XLOOKUP(tblAsignaciones[[#This Row],[turno]],tblTurnos[turno],tblTurnos[hora_fin],"")</f>
        <v/>
      </c>
      <c r="Q132" s="3">
        <f>IF(AND(LEFT(tblAsignaciones[[#This Row],[posicion_ciclo]],1)="T",tblAsignaciones[[#This Row],[en_vacaciones]]="no"),"sí","no")</f>
        <v/>
      </c>
    </row>
    <row r="133">
      <c r="A133" s="3" t="inlineStr">
        <is>
          <t>2026-S31</t>
        </is>
      </c>
      <c r="B133" s="3" t="inlineStr">
        <is>
          <t>jueves</t>
        </is>
      </c>
      <c r="C133" s="3" t="inlineStr">
        <is>
          <t>Técnico 03</t>
        </is>
      </c>
      <c r="D133" s="3">
        <f>_xlfn.XLOOKUP(tblAsignaciones[[#This Row],[tecnico]],tblTecnicos[nombre],tblTecnicos[area],"")</f>
        <v/>
      </c>
      <c r="E133" s="3">
        <f>_xlfn.XLOOKUP(tblAsignaciones[[#This Row],[tecnico]],tblTecnicos[nombre],tblTecnicos[especialidad],"")</f>
        <v/>
      </c>
      <c r="F133" s="3">
        <f>COUNTIFS(tblTecnicos[rotativo],"SI",tblTecnicos[especialidad],tblAsignaciones[[#This Row],[especialidad]],tblTecnicos[area],tblAsignaciones[[#This Row],[area]])</f>
        <v/>
      </c>
      <c r="G13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3" s="6" t="n"/>
      <c r="J13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3" s="3">
        <f>_xlfn.XLOOKUP(tblAsignaciones[[#This Row],[tecnico]],tblTecnicos[nombre],tblTecnicos[supervisor],"")</f>
        <v/>
      </c>
      <c r="L13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3" s="3">
        <f>tblAsignaciones[[#This Row],[semana]]&amp;"|"&amp;tblAsignaciones[[#This Row],[dia]]&amp;"|"&amp;tblAsignaciones[[#This Row],[tecnico]]</f>
        <v/>
      </c>
      <c r="O133" s="3">
        <f>_xlfn.XLOOKUP(tblAsignaciones[[#This Row],[turno]],tblTurnos[turno],tblTurnos[hora_inicio],"")</f>
        <v/>
      </c>
      <c r="P133" s="3">
        <f>_xlfn.XLOOKUP(tblAsignaciones[[#This Row],[turno]],tblTurnos[turno],tblTurnos[hora_fin],"")</f>
        <v/>
      </c>
      <c r="Q133" s="3">
        <f>IF(AND(LEFT(tblAsignaciones[[#This Row],[posicion_ciclo]],1)="T",tblAsignaciones[[#This Row],[en_vacaciones]]="no"),"sí","no")</f>
        <v/>
      </c>
    </row>
    <row r="134">
      <c r="A134" s="3" t="inlineStr">
        <is>
          <t>2026-S31</t>
        </is>
      </c>
      <c r="B134" s="3" t="inlineStr">
        <is>
          <t>viernes</t>
        </is>
      </c>
      <c r="C134" s="3" t="inlineStr">
        <is>
          <t>Técnico 03</t>
        </is>
      </c>
      <c r="D134" s="3">
        <f>_xlfn.XLOOKUP(tblAsignaciones[[#This Row],[tecnico]],tblTecnicos[nombre],tblTecnicos[area],"")</f>
        <v/>
      </c>
      <c r="E134" s="3">
        <f>_xlfn.XLOOKUP(tblAsignaciones[[#This Row],[tecnico]],tblTecnicos[nombre],tblTecnicos[especialidad],"")</f>
        <v/>
      </c>
      <c r="F134" s="3">
        <f>COUNTIFS(tblTecnicos[rotativo],"SI",tblTecnicos[especialidad],tblAsignaciones[[#This Row],[especialidad]],tblTecnicos[area],tblAsignaciones[[#This Row],[area]])</f>
        <v/>
      </c>
      <c r="G13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4" s="6" t="n"/>
      <c r="J13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4" s="3">
        <f>_xlfn.XLOOKUP(tblAsignaciones[[#This Row],[tecnico]],tblTecnicos[nombre],tblTecnicos[supervisor],"")</f>
        <v/>
      </c>
      <c r="L13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4" s="3">
        <f>tblAsignaciones[[#This Row],[semana]]&amp;"|"&amp;tblAsignaciones[[#This Row],[dia]]&amp;"|"&amp;tblAsignaciones[[#This Row],[tecnico]]</f>
        <v/>
      </c>
      <c r="O134" s="3">
        <f>_xlfn.XLOOKUP(tblAsignaciones[[#This Row],[turno]],tblTurnos[turno],tblTurnos[hora_inicio],"")</f>
        <v/>
      </c>
      <c r="P134" s="3">
        <f>_xlfn.XLOOKUP(tblAsignaciones[[#This Row],[turno]],tblTurnos[turno],tblTurnos[hora_fin],"")</f>
        <v/>
      </c>
      <c r="Q134" s="3">
        <f>IF(AND(LEFT(tblAsignaciones[[#This Row],[posicion_ciclo]],1)="T",tblAsignaciones[[#This Row],[en_vacaciones]]="no"),"sí","no")</f>
        <v/>
      </c>
    </row>
    <row r="135">
      <c r="A135" s="3" t="inlineStr">
        <is>
          <t>2026-S31</t>
        </is>
      </c>
      <c r="B135" s="3" t="inlineStr">
        <is>
          <t>sábado</t>
        </is>
      </c>
      <c r="C135" s="3" t="inlineStr">
        <is>
          <t>Técnico 03</t>
        </is>
      </c>
      <c r="D135" s="3">
        <f>_xlfn.XLOOKUP(tblAsignaciones[[#This Row],[tecnico]],tblTecnicos[nombre],tblTecnicos[area],"")</f>
        <v/>
      </c>
      <c r="E135" s="3">
        <f>_xlfn.XLOOKUP(tblAsignaciones[[#This Row],[tecnico]],tblTecnicos[nombre],tblTecnicos[especialidad],"")</f>
        <v/>
      </c>
      <c r="F135" s="3">
        <f>COUNTIFS(tblTecnicos[rotativo],"SI",tblTecnicos[especialidad],tblAsignaciones[[#This Row],[especialidad]],tblTecnicos[area],tblAsignaciones[[#This Row],[area]])</f>
        <v/>
      </c>
      <c r="G13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5" s="6" t="n"/>
      <c r="J13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5" s="3">
        <f>_xlfn.XLOOKUP(tblAsignaciones[[#This Row],[tecnico]],tblTecnicos[nombre],tblTecnicos[supervisor],"")</f>
        <v/>
      </c>
      <c r="L13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5" s="3">
        <f>tblAsignaciones[[#This Row],[semana]]&amp;"|"&amp;tblAsignaciones[[#This Row],[dia]]&amp;"|"&amp;tblAsignaciones[[#This Row],[tecnico]]</f>
        <v/>
      </c>
      <c r="O135" s="3">
        <f>_xlfn.XLOOKUP(tblAsignaciones[[#This Row],[turno]],tblTurnos[turno],tblTurnos[hora_inicio],"")</f>
        <v/>
      </c>
      <c r="P135" s="3">
        <f>_xlfn.XLOOKUP(tblAsignaciones[[#This Row],[turno]],tblTurnos[turno],tblTurnos[hora_fin],"")</f>
        <v/>
      </c>
      <c r="Q135" s="3">
        <f>IF(AND(LEFT(tblAsignaciones[[#This Row],[posicion_ciclo]],1)="T",tblAsignaciones[[#This Row],[en_vacaciones]]="no"),"sí","no")</f>
        <v/>
      </c>
    </row>
    <row r="136">
      <c r="A136" s="3" t="inlineStr">
        <is>
          <t>2026-S31</t>
        </is>
      </c>
      <c r="B136" s="3" t="inlineStr">
        <is>
          <t>domingo</t>
        </is>
      </c>
      <c r="C136" s="3" t="inlineStr">
        <is>
          <t>Técnico 03</t>
        </is>
      </c>
      <c r="D136" s="3">
        <f>_xlfn.XLOOKUP(tblAsignaciones[[#This Row],[tecnico]],tblTecnicos[nombre],tblTecnicos[area],"")</f>
        <v/>
      </c>
      <c r="E136" s="3">
        <f>_xlfn.XLOOKUP(tblAsignaciones[[#This Row],[tecnico]],tblTecnicos[nombre],tblTecnicos[especialidad],"")</f>
        <v/>
      </c>
      <c r="F136" s="3">
        <f>COUNTIFS(tblTecnicos[rotativo],"SI",tblTecnicos[especialidad],tblAsignaciones[[#This Row],[especialidad]],tblTecnicos[area],tblAsignaciones[[#This Row],[area]])</f>
        <v/>
      </c>
      <c r="G13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6" s="6" t="n"/>
      <c r="J13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6" s="3">
        <f>_xlfn.XLOOKUP(tblAsignaciones[[#This Row],[tecnico]],tblTecnicos[nombre],tblTecnicos[supervisor],"")</f>
        <v/>
      </c>
      <c r="L13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6" s="3">
        <f>tblAsignaciones[[#This Row],[semana]]&amp;"|"&amp;tblAsignaciones[[#This Row],[dia]]&amp;"|"&amp;tblAsignaciones[[#This Row],[tecnico]]</f>
        <v/>
      </c>
      <c r="O136" s="3">
        <f>_xlfn.XLOOKUP(tblAsignaciones[[#This Row],[turno]],tblTurnos[turno],tblTurnos[hora_inicio],"")</f>
        <v/>
      </c>
      <c r="P136" s="3">
        <f>_xlfn.XLOOKUP(tblAsignaciones[[#This Row],[turno]],tblTurnos[turno],tblTurnos[hora_fin],"")</f>
        <v/>
      </c>
      <c r="Q136" s="3">
        <f>IF(AND(LEFT(tblAsignaciones[[#This Row],[posicion_ciclo]],1)="T",tblAsignaciones[[#This Row],[en_vacaciones]]="no"),"sí","no")</f>
        <v/>
      </c>
    </row>
    <row r="137">
      <c r="A137" s="3" t="inlineStr">
        <is>
          <t>2026-S31</t>
        </is>
      </c>
      <c r="B137" s="3" t="inlineStr">
        <is>
          <t>lunes</t>
        </is>
      </c>
      <c r="C137" s="3" t="inlineStr">
        <is>
          <t>Técnico 04</t>
        </is>
      </c>
      <c r="D137" s="3">
        <f>_xlfn.XLOOKUP(tblAsignaciones[[#This Row],[tecnico]],tblTecnicos[nombre],tblTecnicos[area],"")</f>
        <v/>
      </c>
      <c r="E137" s="3">
        <f>_xlfn.XLOOKUP(tblAsignaciones[[#This Row],[tecnico]],tblTecnicos[nombre],tblTecnicos[especialidad],"")</f>
        <v/>
      </c>
      <c r="F137" s="3">
        <f>COUNTIFS(tblTecnicos[rotativo],"SI",tblTecnicos[especialidad],tblAsignaciones[[#This Row],[especialidad]],tblTecnicos[area],tblAsignaciones[[#This Row],[area]])</f>
        <v/>
      </c>
      <c r="G13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7" s="6" t="n"/>
      <c r="J13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7" s="3">
        <f>_xlfn.XLOOKUP(tblAsignaciones[[#This Row],[tecnico]],tblTecnicos[nombre],tblTecnicos[supervisor],"")</f>
        <v/>
      </c>
      <c r="L13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7" s="3">
        <f>tblAsignaciones[[#This Row],[semana]]&amp;"|"&amp;tblAsignaciones[[#This Row],[dia]]&amp;"|"&amp;tblAsignaciones[[#This Row],[tecnico]]</f>
        <v/>
      </c>
      <c r="O137" s="3">
        <f>_xlfn.XLOOKUP(tblAsignaciones[[#This Row],[turno]],tblTurnos[turno],tblTurnos[hora_inicio],"")</f>
        <v/>
      </c>
      <c r="P137" s="3">
        <f>_xlfn.XLOOKUP(tblAsignaciones[[#This Row],[turno]],tblTurnos[turno],tblTurnos[hora_fin],"")</f>
        <v/>
      </c>
      <c r="Q137" s="3">
        <f>IF(AND(LEFT(tblAsignaciones[[#This Row],[posicion_ciclo]],1)="T",tblAsignaciones[[#This Row],[en_vacaciones]]="no"),"sí","no")</f>
        <v/>
      </c>
    </row>
    <row r="138">
      <c r="A138" s="3" t="inlineStr">
        <is>
          <t>2026-S31</t>
        </is>
      </c>
      <c r="B138" s="3" t="inlineStr">
        <is>
          <t>martes</t>
        </is>
      </c>
      <c r="C138" s="3" t="inlineStr">
        <is>
          <t>Técnico 04</t>
        </is>
      </c>
      <c r="D138" s="3">
        <f>_xlfn.XLOOKUP(tblAsignaciones[[#This Row],[tecnico]],tblTecnicos[nombre],tblTecnicos[area],"")</f>
        <v/>
      </c>
      <c r="E138" s="3">
        <f>_xlfn.XLOOKUP(tblAsignaciones[[#This Row],[tecnico]],tblTecnicos[nombre],tblTecnicos[especialidad],"")</f>
        <v/>
      </c>
      <c r="F138" s="3">
        <f>COUNTIFS(tblTecnicos[rotativo],"SI",tblTecnicos[especialidad],tblAsignaciones[[#This Row],[especialidad]],tblTecnicos[area],tblAsignaciones[[#This Row],[area]])</f>
        <v/>
      </c>
      <c r="G13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8" s="6" t="n"/>
      <c r="J13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8" s="3">
        <f>_xlfn.XLOOKUP(tblAsignaciones[[#This Row],[tecnico]],tblTecnicos[nombre],tblTecnicos[supervisor],"")</f>
        <v/>
      </c>
      <c r="L13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8" s="3">
        <f>tblAsignaciones[[#This Row],[semana]]&amp;"|"&amp;tblAsignaciones[[#This Row],[dia]]&amp;"|"&amp;tblAsignaciones[[#This Row],[tecnico]]</f>
        <v/>
      </c>
      <c r="O138" s="3">
        <f>_xlfn.XLOOKUP(tblAsignaciones[[#This Row],[turno]],tblTurnos[turno],tblTurnos[hora_inicio],"")</f>
        <v/>
      </c>
      <c r="P138" s="3">
        <f>_xlfn.XLOOKUP(tblAsignaciones[[#This Row],[turno]],tblTurnos[turno],tblTurnos[hora_fin],"")</f>
        <v/>
      </c>
      <c r="Q138" s="3">
        <f>IF(AND(LEFT(tblAsignaciones[[#This Row],[posicion_ciclo]],1)="T",tblAsignaciones[[#This Row],[en_vacaciones]]="no"),"sí","no")</f>
        <v/>
      </c>
    </row>
    <row r="139">
      <c r="A139" s="3" t="inlineStr">
        <is>
          <t>2026-S31</t>
        </is>
      </c>
      <c r="B139" s="3" t="inlineStr">
        <is>
          <t>miércoles</t>
        </is>
      </c>
      <c r="C139" s="3" t="inlineStr">
        <is>
          <t>Técnico 04</t>
        </is>
      </c>
      <c r="D139" s="3">
        <f>_xlfn.XLOOKUP(tblAsignaciones[[#This Row],[tecnico]],tblTecnicos[nombre],tblTecnicos[area],"")</f>
        <v/>
      </c>
      <c r="E139" s="3">
        <f>_xlfn.XLOOKUP(tblAsignaciones[[#This Row],[tecnico]],tblTecnicos[nombre],tblTecnicos[especialidad],"")</f>
        <v/>
      </c>
      <c r="F139" s="3">
        <f>COUNTIFS(tblTecnicos[rotativo],"SI",tblTecnicos[especialidad],tblAsignaciones[[#This Row],[especialidad]],tblTecnicos[area],tblAsignaciones[[#This Row],[area]])</f>
        <v/>
      </c>
      <c r="G13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9" s="6" t="n"/>
      <c r="J13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9" s="3">
        <f>_xlfn.XLOOKUP(tblAsignaciones[[#This Row],[tecnico]],tblTecnicos[nombre],tblTecnicos[supervisor],"")</f>
        <v/>
      </c>
      <c r="L13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9" s="3">
        <f>tblAsignaciones[[#This Row],[semana]]&amp;"|"&amp;tblAsignaciones[[#This Row],[dia]]&amp;"|"&amp;tblAsignaciones[[#This Row],[tecnico]]</f>
        <v/>
      </c>
      <c r="O139" s="3">
        <f>_xlfn.XLOOKUP(tblAsignaciones[[#This Row],[turno]],tblTurnos[turno],tblTurnos[hora_inicio],"")</f>
        <v/>
      </c>
      <c r="P139" s="3">
        <f>_xlfn.XLOOKUP(tblAsignaciones[[#This Row],[turno]],tblTurnos[turno],tblTurnos[hora_fin],"")</f>
        <v/>
      </c>
      <c r="Q139" s="3">
        <f>IF(AND(LEFT(tblAsignaciones[[#This Row],[posicion_ciclo]],1)="T",tblAsignaciones[[#This Row],[en_vacaciones]]="no"),"sí","no")</f>
        <v/>
      </c>
    </row>
    <row r="140">
      <c r="A140" s="3" t="inlineStr">
        <is>
          <t>2026-S31</t>
        </is>
      </c>
      <c r="B140" s="3" t="inlineStr">
        <is>
          <t>jueves</t>
        </is>
      </c>
      <c r="C140" s="3" t="inlineStr">
        <is>
          <t>Técnico 04</t>
        </is>
      </c>
      <c r="D140" s="3">
        <f>_xlfn.XLOOKUP(tblAsignaciones[[#This Row],[tecnico]],tblTecnicos[nombre],tblTecnicos[area],"")</f>
        <v/>
      </c>
      <c r="E140" s="3">
        <f>_xlfn.XLOOKUP(tblAsignaciones[[#This Row],[tecnico]],tblTecnicos[nombre],tblTecnicos[especialidad],"")</f>
        <v/>
      </c>
      <c r="F140" s="3">
        <f>COUNTIFS(tblTecnicos[rotativo],"SI",tblTecnicos[especialidad],tblAsignaciones[[#This Row],[especialidad]],tblTecnicos[area],tblAsignaciones[[#This Row],[area]])</f>
        <v/>
      </c>
      <c r="G14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0" s="6" t="n"/>
      <c r="J14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0" s="3">
        <f>_xlfn.XLOOKUP(tblAsignaciones[[#This Row],[tecnico]],tblTecnicos[nombre],tblTecnicos[supervisor],"")</f>
        <v/>
      </c>
      <c r="L14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0" s="3">
        <f>tblAsignaciones[[#This Row],[semana]]&amp;"|"&amp;tblAsignaciones[[#This Row],[dia]]&amp;"|"&amp;tblAsignaciones[[#This Row],[tecnico]]</f>
        <v/>
      </c>
      <c r="O140" s="3">
        <f>_xlfn.XLOOKUP(tblAsignaciones[[#This Row],[turno]],tblTurnos[turno],tblTurnos[hora_inicio],"")</f>
        <v/>
      </c>
      <c r="P140" s="3">
        <f>_xlfn.XLOOKUP(tblAsignaciones[[#This Row],[turno]],tblTurnos[turno],tblTurnos[hora_fin],"")</f>
        <v/>
      </c>
      <c r="Q140" s="3">
        <f>IF(AND(LEFT(tblAsignaciones[[#This Row],[posicion_ciclo]],1)="T",tblAsignaciones[[#This Row],[en_vacaciones]]="no"),"sí","no")</f>
        <v/>
      </c>
    </row>
    <row r="141">
      <c r="A141" s="3" t="inlineStr">
        <is>
          <t>2026-S31</t>
        </is>
      </c>
      <c r="B141" s="3" t="inlineStr">
        <is>
          <t>viernes</t>
        </is>
      </c>
      <c r="C141" s="3" t="inlineStr">
        <is>
          <t>Técnico 04</t>
        </is>
      </c>
      <c r="D141" s="3">
        <f>_xlfn.XLOOKUP(tblAsignaciones[[#This Row],[tecnico]],tblTecnicos[nombre],tblTecnicos[area],"")</f>
        <v/>
      </c>
      <c r="E141" s="3">
        <f>_xlfn.XLOOKUP(tblAsignaciones[[#This Row],[tecnico]],tblTecnicos[nombre],tblTecnicos[especialidad],"")</f>
        <v/>
      </c>
      <c r="F141" s="3">
        <f>COUNTIFS(tblTecnicos[rotativo],"SI",tblTecnicos[especialidad],tblAsignaciones[[#This Row],[especialidad]],tblTecnicos[area],tblAsignaciones[[#This Row],[area]])</f>
        <v/>
      </c>
      <c r="G14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1" s="6" t="n"/>
      <c r="J14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1" s="3">
        <f>_xlfn.XLOOKUP(tblAsignaciones[[#This Row],[tecnico]],tblTecnicos[nombre],tblTecnicos[supervisor],"")</f>
        <v/>
      </c>
      <c r="L14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1" s="3">
        <f>tblAsignaciones[[#This Row],[semana]]&amp;"|"&amp;tblAsignaciones[[#This Row],[dia]]&amp;"|"&amp;tblAsignaciones[[#This Row],[tecnico]]</f>
        <v/>
      </c>
      <c r="O141" s="3">
        <f>_xlfn.XLOOKUP(tblAsignaciones[[#This Row],[turno]],tblTurnos[turno],tblTurnos[hora_inicio],"")</f>
        <v/>
      </c>
      <c r="P141" s="3">
        <f>_xlfn.XLOOKUP(tblAsignaciones[[#This Row],[turno]],tblTurnos[turno],tblTurnos[hora_fin],"")</f>
        <v/>
      </c>
      <c r="Q141" s="3">
        <f>IF(AND(LEFT(tblAsignaciones[[#This Row],[posicion_ciclo]],1)="T",tblAsignaciones[[#This Row],[en_vacaciones]]="no"),"sí","no")</f>
        <v/>
      </c>
    </row>
    <row r="142">
      <c r="A142" s="3" t="inlineStr">
        <is>
          <t>2026-S31</t>
        </is>
      </c>
      <c r="B142" s="3" t="inlineStr">
        <is>
          <t>sábado</t>
        </is>
      </c>
      <c r="C142" s="3" t="inlineStr">
        <is>
          <t>Técnico 04</t>
        </is>
      </c>
      <c r="D142" s="3">
        <f>_xlfn.XLOOKUP(tblAsignaciones[[#This Row],[tecnico]],tblTecnicos[nombre],tblTecnicos[area],"")</f>
        <v/>
      </c>
      <c r="E142" s="3">
        <f>_xlfn.XLOOKUP(tblAsignaciones[[#This Row],[tecnico]],tblTecnicos[nombre],tblTecnicos[especialidad],"")</f>
        <v/>
      </c>
      <c r="F142" s="3">
        <f>COUNTIFS(tblTecnicos[rotativo],"SI",tblTecnicos[especialidad],tblAsignaciones[[#This Row],[especialidad]],tblTecnicos[area],tblAsignaciones[[#This Row],[area]])</f>
        <v/>
      </c>
      <c r="G14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2" s="6" t="n"/>
      <c r="J14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2" s="3">
        <f>_xlfn.XLOOKUP(tblAsignaciones[[#This Row],[tecnico]],tblTecnicos[nombre],tblTecnicos[supervisor],"")</f>
        <v/>
      </c>
      <c r="L14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2" s="3">
        <f>tblAsignaciones[[#This Row],[semana]]&amp;"|"&amp;tblAsignaciones[[#This Row],[dia]]&amp;"|"&amp;tblAsignaciones[[#This Row],[tecnico]]</f>
        <v/>
      </c>
      <c r="O142" s="3">
        <f>_xlfn.XLOOKUP(tblAsignaciones[[#This Row],[turno]],tblTurnos[turno],tblTurnos[hora_inicio],"")</f>
        <v/>
      </c>
      <c r="P142" s="3">
        <f>_xlfn.XLOOKUP(tblAsignaciones[[#This Row],[turno]],tblTurnos[turno],tblTurnos[hora_fin],"")</f>
        <v/>
      </c>
      <c r="Q142" s="3">
        <f>IF(AND(LEFT(tblAsignaciones[[#This Row],[posicion_ciclo]],1)="T",tblAsignaciones[[#This Row],[en_vacaciones]]="no"),"sí","no")</f>
        <v/>
      </c>
    </row>
    <row r="143">
      <c r="A143" s="3" t="inlineStr">
        <is>
          <t>2026-S31</t>
        </is>
      </c>
      <c r="B143" s="3" t="inlineStr">
        <is>
          <t>domingo</t>
        </is>
      </c>
      <c r="C143" s="3" t="inlineStr">
        <is>
          <t>Técnico 04</t>
        </is>
      </c>
      <c r="D143" s="3">
        <f>_xlfn.XLOOKUP(tblAsignaciones[[#This Row],[tecnico]],tblTecnicos[nombre],tblTecnicos[area],"")</f>
        <v/>
      </c>
      <c r="E143" s="3">
        <f>_xlfn.XLOOKUP(tblAsignaciones[[#This Row],[tecnico]],tblTecnicos[nombre],tblTecnicos[especialidad],"")</f>
        <v/>
      </c>
      <c r="F143" s="3">
        <f>COUNTIFS(tblTecnicos[rotativo],"SI",tblTecnicos[especialidad],tblAsignaciones[[#This Row],[especialidad]],tblTecnicos[area],tblAsignaciones[[#This Row],[area]])</f>
        <v/>
      </c>
      <c r="G14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3" s="6" t="n"/>
      <c r="J14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3" s="3">
        <f>_xlfn.XLOOKUP(tblAsignaciones[[#This Row],[tecnico]],tblTecnicos[nombre],tblTecnicos[supervisor],"")</f>
        <v/>
      </c>
      <c r="L14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3" s="3">
        <f>tblAsignaciones[[#This Row],[semana]]&amp;"|"&amp;tblAsignaciones[[#This Row],[dia]]&amp;"|"&amp;tblAsignaciones[[#This Row],[tecnico]]</f>
        <v/>
      </c>
      <c r="O143" s="3">
        <f>_xlfn.XLOOKUP(tblAsignaciones[[#This Row],[turno]],tblTurnos[turno],tblTurnos[hora_inicio],"")</f>
        <v/>
      </c>
      <c r="P143" s="3">
        <f>_xlfn.XLOOKUP(tblAsignaciones[[#This Row],[turno]],tblTurnos[turno],tblTurnos[hora_fin],"")</f>
        <v/>
      </c>
      <c r="Q143" s="3">
        <f>IF(AND(LEFT(tblAsignaciones[[#This Row],[posicion_ciclo]],1)="T",tblAsignaciones[[#This Row],[en_vacaciones]]="no"),"sí","no")</f>
        <v/>
      </c>
    </row>
    <row r="144">
      <c r="A144" s="3" t="inlineStr">
        <is>
          <t>2026-S31</t>
        </is>
      </c>
      <c r="B144" s="3" t="inlineStr">
        <is>
          <t>lunes</t>
        </is>
      </c>
      <c r="C144" s="3" t="inlineStr">
        <is>
          <t>Técnico 05</t>
        </is>
      </c>
      <c r="D144" s="3">
        <f>_xlfn.XLOOKUP(tblAsignaciones[[#This Row],[tecnico]],tblTecnicos[nombre],tblTecnicos[area],"")</f>
        <v/>
      </c>
      <c r="E144" s="3">
        <f>_xlfn.XLOOKUP(tblAsignaciones[[#This Row],[tecnico]],tblTecnicos[nombre],tblTecnicos[especialidad],"")</f>
        <v/>
      </c>
      <c r="F144" s="3">
        <f>COUNTIFS(tblTecnicos[rotativo],"SI",tblTecnicos[especialidad],tblAsignaciones[[#This Row],[especialidad]],tblTecnicos[area],tblAsignaciones[[#This Row],[area]])</f>
        <v/>
      </c>
      <c r="G14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4" s="6" t="n"/>
      <c r="J14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4" s="3">
        <f>_xlfn.XLOOKUP(tblAsignaciones[[#This Row],[tecnico]],tblTecnicos[nombre],tblTecnicos[supervisor],"")</f>
        <v/>
      </c>
      <c r="L14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4" s="3">
        <f>tblAsignaciones[[#This Row],[semana]]&amp;"|"&amp;tblAsignaciones[[#This Row],[dia]]&amp;"|"&amp;tblAsignaciones[[#This Row],[tecnico]]</f>
        <v/>
      </c>
      <c r="O144" s="3">
        <f>_xlfn.XLOOKUP(tblAsignaciones[[#This Row],[turno]],tblTurnos[turno],tblTurnos[hora_inicio],"")</f>
        <v/>
      </c>
      <c r="P144" s="3">
        <f>_xlfn.XLOOKUP(tblAsignaciones[[#This Row],[turno]],tblTurnos[turno],tblTurnos[hora_fin],"")</f>
        <v/>
      </c>
      <c r="Q144" s="3">
        <f>IF(AND(LEFT(tblAsignaciones[[#This Row],[posicion_ciclo]],1)="T",tblAsignaciones[[#This Row],[en_vacaciones]]="no"),"sí","no")</f>
        <v/>
      </c>
    </row>
    <row r="145">
      <c r="A145" s="3" t="inlineStr">
        <is>
          <t>2026-S31</t>
        </is>
      </c>
      <c r="B145" s="3" t="inlineStr">
        <is>
          <t>martes</t>
        </is>
      </c>
      <c r="C145" s="3" t="inlineStr">
        <is>
          <t>Técnico 05</t>
        </is>
      </c>
      <c r="D145" s="3">
        <f>_xlfn.XLOOKUP(tblAsignaciones[[#This Row],[tecnico]],tblTecnicos[nombre],tblTecnicos[area],"")</f>
        <v/>
      </c>
      <c r="E145" s="3">
        <f>_xlfn.XLOOKUP(tblAsignaciones[[#This Row],[tecnico]],tblTecnicos[nombre],tblTecnicos[especialidad],"")</f>
        <v/>
      </c>
      <c r="F145" s="3">
        <f>COUNTIFS(tblTecnicos[rotativo],"SI",tblTecnicos[especialidad],tblAsignaciones[[#This Row],[especialidad]],tblTecnicos[area],tblAsignaciones[[#This Row],[area]])</f>
        <v/>
      </c>
      <c r="G14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5" s="6" t="n"/>
      <c r="J14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5" s="3">
        <f>_xlfn.XLOOKUP(tblAsignaciones[[#This Row],[tecnico]],tblTecnicos[nombre],tblTecnicos[supervisor],"")</f>
        <v/>
      </c>
      <c r="L14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5" s="3">
        <f>tblAsignaciones[[#This Row],[semana]]&amp;"|"&amp;tblAsignaciones[[#This Row],[dia]]&amp;"|"&amp;tblAsignaciones[[#This Row],[tecnico]]</f>
        <v/>
      </c>
      <c r="O145" s="3">
        <f>_xlfn.XLOOKUP(tblAsignaciones[[#This Row],[turno]],tblTurnos[turno],tblTurnos[hora_inicio],"")</f>
        <v/>
      </c>
      <c r="P145" s="3">
        <f>_xlfn.XLOOKUP(tblAsignaciones[[#This Row],[turno]],tblTurnos[turno],tblTurnos[hora_fin],"")</f>
        <v/>
      </c>
      <c r="Q145" s="3">
        <f>IF(AND(LEFT(tblAsignaciones[[#This Row],[posicion_ciclo]],1)="T",tblAsignaciones[[#This Row],[en_vacaciones]]="no"),"sí","no")</f>
        <v/>
      </c>
    </row>
    <row r="146">
      <c r="A146" s="3" t="inlineStr">
        <is>
          <t>2026-S31</t>
        </is>
      </c>
      <c r="B146" s="3" t="inlineStr">
        <is>
          <t>miércoles</t>
        </is>
      </c>
      <c r="C146" s="3" t="inlineStr">
        <is>
          <t>Técnico 05</t>
        </is>
      </c>
      <c r="D146" s="3">
        <f>_xlfn.XLOOKUP(tblAsignaciones[[#This Row],[tecnico]],tblTecnicos[nombre],tblTecnicos[area],"")</f>
        <v/>
      </c>
      <c r="E146" s="3">
        <f>_xlfn.XLOOKUP(tblAsignaciones[[#This Row],[tecnico]],tblTecnicos[nombre],tblTecnicos[especialidad],"")</f>
        <v/>
      </c>
      <c r="F146" s="3">
        <f>COUNTIFS(tblTecnicos[rotativo],"SI",tblTecnicos[especialidad],tblAsignaciones[[#This Row],[especialidad]],tblTecnicos[area],tblAsignaciones[[#This Row],[area]])</f>
        <v/>
      </c>
      <c r="G14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6" s="6" t="n"/>
      <c r="J14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6" s="3">
        <f>_xlfn.XLOOKUP(tblAsignaciones[[#This Row],[tecnico]],tblTecnicos[nombre],tblTecnicos[supervisor],"")</f>
        <v/>
      </c>
      <c r="L14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6" s="3">
        <f>tblAsignaciones[[#This Row],[semana]]&amp;"|"&amp;tblAsignaciones[[#This Row],[dia]]&amp;"|"&amp;tblAsignaciones[[#This Row],[tecnico]]</f>
        <v/>
      </c>
      <c r="O146" s="3">
        <f>_xlfn.XLOOKUP(tblAsignaciones[[#This Row],[turno]],tblTurnos[turno],tblTurnos[hora_inicio],"")</f>
        <v/>
      </c>
      <c r="P146" s="3">
        <f>_xlfn.XLOOKUP(tblAsignaciones[[#This Row],[turno]],tblTurnos[turno],tblTurnos[hora_fin],"")</f>
        <v/>
      </c>
      <c r="Q146" s="3">
        <f>IF(AND(LEFT(tblAsignaciones[[#This Row],[posicion_ciclo]],1)="T",tblAsignaciones[[#This Row],[en_vacaciones]]="no"),"sí","no")</f>
        <v/>
      </c>
    </row>
    <row r="147">
      <c r="A147" s="3" t="inlineStr">
        <is>
          <t>2026-S31</t>
        </is>
      </c>
      <c r="B147" s="3" t="inlineStr">
        <is>
          <t>jueves</t>
        </is>
      </c>
      <c r="C147" s="3" t="inlineStr">
        <is>
          <t>Técnico 05</t>
        </is>
      </c>
      <c r="D147" s="3">
        <f>_xlfn.XLOOKUP(tblAsignaciones[[#This Row],[tecnico]],tblTecnicos[nombre],tblTecnicos[area],"")</f>
        <v/>
      </c>
      <c r="E147" s="3">
        <f>_xlfn.XLOOKUP(tblAsignaciones[[#This Row],[tecnico]],tblTecnicos[nombre],tblTecnicos[especialidad],"")</f>
        <v/>
      </c>
      <c r="F147" s="3">
        <f>COUNTIFS(tblTecnicos[rotativo],"SI",tblTecnicos[especialidad],tblAsignaciones[[#This Row],[especialidad]],tblTecnicos[area],tblAsignaciones[[#This Row],[area]])</f>
        <v/>
      </c>
      <c r="G14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7" s="6" t="n"/>
      <c r="J14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7" s="3">
        <f>_xlfn.XLOOKUP(tblAsignaciones[[#This Row],[tecnico]],tblTecnicos[nombre],tblTecnicos[supervisor],"")</f>
        <v/>
      </c>
      <c r="L14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7" s="3">
        <f>tblAsignaciones[[#This Row],[semana]]&amp;"|"&amp;tblAsignaciones[[#This Row],[dia]]&amp;"|"&amp;tblAsignaciones[[#This Row],[tecnico]]</f>
        <v/>
      </c>
      <c r="O147" s="3">
        <f>_xlfn.XLOOKUP(tblAsignaciones[[#This Row],[turno]],tblTurnos[turno],tblTurnos[hora_inicio],"")</f>
        <v/>
      </c>
      <c r="P147" s="3">
        <f>_xlfn.XLOOKUP(tblAsignaciones[[#This Row],[turno]],tblTurnos[turno],tblTurnos[hora_fin],"")</f>
        <v/>
      </c>
      <c r="Q147" s="3">
        <f>IF(AND(LEFT(tblAsignaciones[[#This Row],[posicion_ciclo]],1)="T",tblAsignaciones[[#This Row],[en_vacaciones]]="no"),"sí","no")</f>
        <v/>
      </c>
    </row>
    <row r="148">
      <c r="A148" s="3" t="inlineStr">
        <is>
          <t>2026-S31</t>
        </is>
      </c>
      <c r="B148" s="3" t="inlineStr">
        <is>
          <t>viernes</t>
        </is>
      </c>
      <c r="C148" s="3" t="inlineStr">
        <is>
          <t>Técnico 05</t>
        </is>
      </c>
      <c r="D148" s="3">
        <f>_xlfn.XLOOKUP(tblAsignaciones[[#This Row],[tecnico]],tblTecnicos[nombre],tblTecnicos[area],"")</f>
        <v/>
      </c>
      <c r="E148" s="3">
        <f>_xlfn.XLOOKUP(tblAsignaciones[[#This Row],[tecnico]],tblTecnicos[nombre],tblTecnicos[especialidad],"")</f>
        <v/>
      </c>
      <c r="F148" s="3">
        <f>COUNTIFS(tblTecnicos[rotativo],"SI",tblTecnicos[especialidad],tblAsignaciones[[#This Row],[especialidad]],tblTecnicos[area],tblAsignaciones[[#This Row],[area]])</f>
        <v/>
      </c>
      <c r="G14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8" s="6" t="n"/>
      <c r="J14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8" s="3">
        <f>_xlfn.XLOOKUP(tblAsignaciones[[#This Row],[tecnico]],tblTecnicos[nombre],tblTecnicos[supervisor],"")</f>
        <v/>
      </c>
      <c r="L14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8" s="3">
        <f>tblAsignaciones[[#This Row],[semana]]&amp;"|"&amp;tblAsignaciones[[#This Row],[dia]]&amp;"|"&amp;tblAsignaciones[[#This Row],[tecnico]]</f>
        <v/>
      </c>
      <c r="O148" s="3">
        <f>_xlfn.XLOOKUP(tblAsignaciones[[#This Row],[turno]],tblTurnos[turno],tblTurnos[hora_inicio],"")</f>
        <v/>
      </c>
      <c r="P148" s="3">
        <f>_xlfn.XLOOKUP(tblAsignaciones[[#This Row],[turno]],tblTurnos[turno],tblTurnos[hora_fin],"")</f>
        <v/>
      </c>
      <c r="Q148" s="3">
        <f>IF(AND(LEFT(tblAsignaciones[[#This Row],[posicion_ciclo]],1)="T",tblAsignaciones[[#This Row],[en_vacaciones]]="no"),"sí","no")</f>
        <v/>
      </c>
    </row>
    <row r="149">
      <c r="A149" s="3" t="inlineStr">
        <is>
          <t>2026-S31</t>
        </is>
      </c>
      <c r="B149" s="3" t="inlineStr">
        <is>
          <t>sábado</t>
        </is>
      </c>
      <c r="C149" s="3" t="inlineStr">
        <is>
          <t>Técnico 05</t>
        </is>
      </c>
      <c r="D149" s="3">
        <f>_xlfn.XLOOKUP(tblAsignaciones[[#This Row],[tecnico]],tblTecnicos[nombre],tblTecnicos[area],"")</f>
        <v/>
      </c>
      <c r="E149" s="3">
        <f>_xlfn.XLOOKUP(tblAsignaciones[[#This Row],[tecnico]],tblTecnicos[nombre],tblTecnicos[especialidad],"")</f>
        <v/>
      </c>
      <c r="F149" s="3">
        <f>COUNTIFS(tblTecnicos[rotativo],"SI",tblTecnicos[especialidad],tblAsignaciones[[#This Row],[especialidad]],tblTecnicos[area],tblAsignaciones[[#This Row],[area]])</f>
        <v/>
      </c>
      <c r="G14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9" s="6" t="n"/>
      <c r="J14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9" s="3">
        <f>_xlfn.XLOOKUP(tblAsignaciones[[#This Row],[tecnico]],tblTecnicos[nombre],tblTecnicos[supervisor],"")</f>
        <v/>
      </c>
      <c r="L14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9" s="3">
        <f>tblAsignaciones[[#This Row],[semana]]&amp;"|"&amp;tblAsignaciones[[#This Row],[dia]]&amp;"|"&amp;tblAsignaciones[[#This Row],[tecnico]]</f>
        <v/>
      </c>
      <c r="O149" s="3">
        <f>_xlfn.XLOOKUP(tblAsignaciones[[#This Row],[turno]],tblTurnos[turno],tblTurnos[hora_inicio],"")</f>
        <v/>
      </c>
      <c r="P149" s="3">
        <f>_xlfn.XLOOKUP(tblAsignaciones[[#This Row],[turno]],tblTurnos[turno],tblTurnos[hora_fin],"")</f>
        <v/>
      </c>
      <c r="Q149" s="3">
        <f>IF(AND(LEFT(tblAsignaciones[[#This Row],[posicion_ciclo]],1)="T",tblAsignaciones[[#This Row],[en_vacaciones]]="no"),"sí","no")</f>
        <v/>
      </c>
    </row>
    <row r="150">
      <c r="A150" s="3" t="inlineStr">
        <is>
          <t>2026-S31</t>
        </is>
      </c>
      <c r="B150" s="3" t="inlineStr">
        <is>
          <t>domingo</t>
        </is>
      </c>
      <c r="C150" s="3" t="inlineStr">
        <is>
          <t>Técnico 05</t>
        </is>
      </c>
      <c r="D150" s="3">
        <f>_xlfn.XLOOKUP(tblAsignaciones[[#This Row],[tecnico]],tblTecnicos[nombre],tblTecnicos[area],"")</f>
        <v/>
      </c>
      <c r="E150" s="3">
        <f>_xlfn.XLOOKUP(tblAsignaciones[[#This Row],[tecnico]],tblTecnicos[nombre],tblTecnicos[especialidad],"")</f>
        <v/>
      </c>
      <c r="F150" s="3">
        <f>COUNTIFS(tblTecnicos[rotativo],"SI",tblTecnicos[especialidad],tblAsignaciones[[#This Row],[especialidad]],tblTecnicos[area],tblAsignaciones[[#This Row],[area]])</f>
        <v/>
      </c>
      <c r="G15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0" s="6" t="n"/>
      <c r="J15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0" s="3">
        <f>_xlfn.XLOOKUP(tblAsignaciones[[#This Row],[tecnico]],tblTecnicos[nombre],tblTecnicos[supervisor],"")</f>
        <v/>
      </c>
      <c r="L15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0" s="3">
        <f>tblAsignaciones[[#This Row],[semana]]&amp;"|"&amp;tblAsignaciones[[#This Row],[dia]]&amp;"|"&amp;tblAsignaciones[[#This Row],[tecnico]]</f>
        <v/>
      </c>
      <c r="O150" s="3">
        <f>_xlfn.XLOOKUP(tblAsignaciones[[#This Row],[turno]],tblTurnos[turno],tblTurnos[hora_inicio],"")</f>
        <v/>
      </c>
      <c r="P150" s="3">
        <f>_xlfn.XLOOKUP(tblAsignaciones[[#This Row],[turno]],tblTurnos[turno],tblTurnos[hora_fin],"")</f>
        <v/>
      </c>
      <c r="Q150" s="3">
        <f>IF(AND(LEFT(tblAsignaciones[[#This Row],[posicion_ciclo]],1)="T",tblAsignaciones[[#This Row],[en_vacaciones]]="no"),"sí","no")</f>
        <v/>
      </c>
    </row>
    <row r="151">
      <c r="A151" s="3" t="inlineStr">
        <is>
          <t>2026-S31</t>
        </is>
      </c>
      <c r="B151" s="3" t="inlineStr">
        <is>
          <t>lunes</t>
        </is>
      </c>
      <c r="C151" s="3" t="inlineStr">
        <is>
          <t>Técnico 06</t>
        </is>
      </c>
      <c r="D151" s="3">
        <f>_xlfn.XLOOKUP(tblAsignaciones[[#This Row],[tecnico]],tblTecnicos[nombre],tblTecnicos[area],"")</f>
        <v/>
      </c>
      <c r="E151" s="3">
        <f>_xlfn.XLOOKUP(tblAsignaciones[[#This Row],[tecnico]],tblTecnicos[nombre],tblTecnicos[especialidad],"")</f>
        <v/>
      </c>
      <c r="F151" s="3">
        <f>COUNTIFS(tblTecnicos[rotativo],"SI",tblTecnicos[especialidad],tblAsignaciones[[#This Row],[especialidad]],tblTecnicos[area],tblAsignaciones[[#This Row],[area]])</f>
        <v/>
      </c>
      <c r="G15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1" s="6" t="n"/>
      <c r="J15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1" s="3">
        <f>_xlfn.XLOOKUP(tblAsignaciones[[#This Row],[tecnico]],tblTecnicos[nombre],tblTecnicos[supervisor],"")</f>
        <v/>
      </c>
      <c r="L15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1" s="3">
        <f>tblAsignaciones[[#This Row],[semana]]&amp;"|"&amp;tblAsignaciones[[#This Row],[dia]]&amp;"|"&amp;tblAsignaciones[[#This Row],[tecnico]]</f>
        <v/>
      </c>
      <c r="O151" s="3">
        <f>_xlfn.XLOOKUP(tblAsignaciones[[#This Row],[turno]],tblTurnos[turno],tblTurnos[hora_inicio],"")</f>
        <v/>
      </c>
      <c r="P151" s="3">
        <f>_xlfn.XLOOKUP(tblAsignaciones[[#This Row],[turno]],tblTurnos[turno],tblTurnos[hora_fin],"")</f>
        <v/>
      </c>
      <c r="Q151" s="3">
        <f>IF(AND(LEFT(tblAsignaciones[[#This Row],[posicion_ciclo]],1)="T",tblAsignaciones[[#This Row],[en_vacaciones]]="no"),"sí","no")</f>
        <v/>
      </c>
    </row>
    <row r="152">
      <c r="A152" s="3" t="inlineStr">
        <is>
          <t>2026-S31</t>
        </is>
      </c>
      <c r="B152" s="3" t="inlineStr">
        <is>
          <t>martes</t>
        </is>
      </c>
      <c r="C152" s="3" t="inlineStr">
        <is>
          <t>Técnico 06</t>
        </is>
      </c>
      <c r="D152" s="3">
        <f>_xlfn.XLOOKUP(tblAsignaciones[[#This Row],[tecnico]],tblTecnicos[nombre],tblTecnicos[area],"")</f>
        <v/>
      </c>
      <c r="E152" s="3">
        <f>_xlfn.XLOOKUP(tblAsignaciones[[#This Row],[tecnico]],tblTecnicos[nombre],tblTecnicos[especialidad],"")</f>
        <v/>
      </c>
      <c r="F152" s="3">
        <f>COUNTIFS(tblTecnicos[rotativo],"SI",tblTecnicos[especialidad],tblAsignaciones[[#This Row],[especialidad]],tblTecnicos[area],tblAsignaciones[[#This Row],[area]])</f>
        <v/>
      </c>
      <c r="G15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2" s="6" t="n"/>
      <c r="J15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2" s="3">
        <f>_xlfn.XLOOKUP(tblAsignaciones[[#This Row],[tecnico]],tblTecnicos[nombre],tblTecnicos[supervisor],"")</f>
        <v/>
      </c>
      <c r="L15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2" s="3">
        <f>tblAsignaciones[[#This Row],[semana]]&amp;"|"&amp;tblAsignaciones[[#This Row],[dia]]&amp;"|"&amp;tblAsignaciones[[#This Row],[tecnico]]</f>
        <v/>
      </c>
      <c r="O152" s="3">
        <f>_xlfn.XLOOKUP(tblAsignaciones[[#This Row],[turno]],tblTurnos[turno],tblTurnos[hora_inicio],"")</f>
        <v/>
      </c>
      <c r="P152" s="3">
        <f>_xlfn.XLOOKUP(tblAsignaciones[[#This Row],[turno]],tblTurnos[turno],tblTurnos[hora_fin],"")</f>
        <v/>
      </c>
      <c r="Q152" s="3">
        <f>IF(AND(LEFT(tblAsignaciones[[#This Row],[posicion_ciclo]],1)="T",tblAsignaciones[[#This Row],[en_vacaciones]]="no"),"sí","no")</f>
        <v/>
      </c>
    </row>
    <row r="153">
      <c r="A153" s="3" t="inlineStr">
        <is>
          <t>2026-S31</t>
        </is>
      </c>
      <c r="B153" s="3" t="inlineStr">
        <is>
          <t>miércoles</t>
        </is>
      </c>
      <c r="C153" s="3" t="inlineStr">
        <is>
          <t>Técnico 06</t>
        </is>
      </c>
      <c r="D153" s="3">
        <f>_xlfn.XLOOKUP(tblAsignaciones[[#This Row],[tecnico]],tblTecnicos[nombre],tblTecnicos[area],"")</f>
        <v/>
      </c>
      <c r="E153" s="3">
        <f>_xlfn.XLOOKUP(tblAsignaciones[[#This Row],[tecnico]],tblTecnicos[nombre],tblTecnicos[especialidad],"")</f>
        <v/>
      </c>
      <c r="F153" s="3">
        <f>COUNTIFS(tblTecnicos[rotativo],"SI",tblTecnicos[especialidad],tblAsignaciones[[#This Row],[especialidad]],tblTecnicos[area],tblAsignaciones[[#This Row],[area]])</f>
        <v/>
      </c>
      <c r="G15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3" s="6" t="n"/>
      <c r="J15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3" s="3">
        <f>_xlfn.XLOOKUP(tblAsignaciones[[#This Row],[tecnico]],tblTecnicos[nombre],tblTecnicos[supervisor],"")</f>
        <v/>
      </c>
      <c r="L15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3" s="3">
        <f>tblAsignaciones[[#This Row],[semana]]&amp;"|"&amp;tblAsignaciones[[#This Row],[dia]]&amp;"|"&amp;tblAsignaciones[[#This Row],[tecnico]]</f>
        <v/>
      </c>
      <c r="O153" s="3">
        <f>_xlfn.XLOOKUP(tblAsignaciones[[#This Row],[turno]],tblTurnos[turno],tblTurnos[hora_inicio],"")</f>
        <v/>
      </c>
      <c r="P153" s="3">
        <f>_xlfn.XLOOKUP(tblAsignaciones[[#This Row],[turno]],tblTurnos[turno],tblTurnos[hora_fin],"")</f>
        <v/>
      </c>
      <c r="Q153" s="3">
        <f>IF(AND(LEFT(tblAsignaciones[[#This Row],[posicion_ciclo]],1)="T",tblAsignaciones[[#This Row],[en_vacaciones]]="no"),"sí","no")</f>
        <v/>
      </c>
    </row>
    <row r="154">
      <c r="A154" s="3" t="inlineStr">
        <is>
          <t>2026-S31</t>
        </is>
      </c>
      <c r="B154" s="3" t="inlineStr">
        <is>
          <t>jueves</t>
        </is>
      </c>
      <c r="C154" s="3" t="inlineStr">
        <is>
          <t>Técnico 06</t>
        </is>
      </c>
      <c r="D154" s="3">
        <f>_xlfn.XLOOKUP(tblAsignaciones[[#This Row],[tecnico]],tblTecnicos[nombre],tblTecnicos[area],"")</f>
        <v/>
      </c>
      <c r="E154" s="3">
        <f>_xlfn.XLOOKUP(tblAsignaciones[[#This Row],[tecnico]],tblTecnicos[nombre],tblTecnicos[especialidad],"")</f>
        <v/>
      </c>
      <c r="F154" s="3">
        <f>COUNTIFS(tblTecnicos[rotativo],"SI",tblTecnicos[especialidad],tblAsignaciones[[#This Row],[especialidad]],tblTecnicos[area],tblAsignaciones[[#This Row],[area]])</f>
        <v/>
      </c>
      <c r="G15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4" s="6" t="n"/>
      <c r="J15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4" s="3">
        <f>_xlfn.XLOOKUP(tblAsignaciones[[#This Row],[tecnico]],tblTecnicos[nombre],tblTecnicos[supervisor],"")</f>
        <v/>
      </c>
      <c r="L15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4" s="3">
        <f>tblAsignaciones[[#This Row],[semana]]&amp;"|"&amp;tblAsignaciones[[#This Row],[dia]]&amp;"|"&amp;tblAsignaciones[[#This Row],[tecnico]]</f>
        <v/>
      </c>
      <c r="O154" s="3">
        <f>_xlfn.XLOOKUP(tblAsignaciones[[#This Row],[turno]],tblTurnos[turno],tblTurnos[hora_inicio],"")</f>
        <v/>
      </c>
      <c r="P154" s="3">
        <f>_xlfn.XLOOKUP(tblAsignaciones[[#This Row],[turno]],tblTurnos[turno],tblTurnos[hora_fin],"")</f>
        <v/>
      </c>
      <c r="Q154" s="3">
        <f>IF(AND(LEFT(tblAsignaciones[[#This Row],[posicion_ciclo]],1)="T",tblAsignaciones[[#This Row],[en_vacaciones]]="no"),"sí","no")</f>
        <v/>
      </c>
    </row>
    <row r="155">
      <c r="A155" s="3" t="inlineStr">
        <is>
          <t>2026-S31</t>
        </is>
      </c>
      <c r="B155" s="3" t="inlineStr">
        <is>
          <t>viernes</t>
        </is>
      </c>
      <c r="C155" s="3" t="inlineStr">
        <is>
          <t>Técnico 06</t>
        </is>
      </c>
      <c r="D155" s="3">
        <f>_xlfn.XLOOKUP(tblAsignaciones[[#This Row],[tecnico]],tblTecnicos[nombre],tblTecnicos[area],"")</f>
        <v/>
      </c>
      <c r="E155" s="3">
        <f>_xlfn.XLOOKUP(tblAsignaciones[[#This Row],[tecnico]],tblTecnicos[nombre],tblTecnicos[especialidad],"")</f>
        <v/>
      </c>
      <c r="F155" s="3">
        <f>COUNTIFS(tblTecnicos[rotativo],"SI",tblTecnicos[especialidad],tblAsignaciones[[#This Row],[especialidad]],tblTecnicos[area],tblAsignaciones[[#This Row],[area]])</f>
        <v/>
      </c>
      <c r="G15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5" s="6" t="n"/>
      <c r="J15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5" s="3">
        <f>_xlfn.XLOOKUP(tblAsignaciones[[#This Row],[tecnico]],tblTecnicos[nombre],tblTecnicos[supervisor],"")</f>
        <v/>
      </c>
      <c r="L15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5" s="3">
        <f>tblAsignaciones[[#This Row],[semana]]&amp;"|"&amp;tblAsignaciones[[#This Row],[dia]]&amp;"|"&amp;tblAsignaciones[[#This Row],[tecnico]]</f>
        <v/>
      </c>
      <c r="O155" s="3">
        <f>_xlfn.XLOOKUP(tblAsignaciones[[#This Row],[turno]],tblTurnos[turno],tblTurnos[hora_inicio],"")</f>
        <v/>
      </c>
      <c r="P155" s="3">
        <f>_xlfn.XLOOKUP(tblAsignaciones[[#This Row],[turno]],tblTurnos[turno],tblTurnos[hora_fin],"")</f>
        <v/>
      </c>
      <c r="Q155" s="3">
        <f>IF(AND(LEFT(tblAsignaciones[[#This Row],[posicion_ciclo]],1)="T",tblAsignaciones[[#This Row],[en_vacaciones]]="no"),"sí","no")</f>
        <v/>
      </c>
    </row>
    <row r="156">
      <c r="A156" s="3" t="inlineStr">
        <is>
          <t>2026-S31</t>
        </is>
      </c>
      <c r="B156" s="3" t="inlineStr">
        <is>
          <t>sábado</t>
        </is>
      </c>
      <c r="C156" s="3" t="inlineStr">
        <is>
          <t>Técnico 06</t>
        </is>
      </c>
      <c r="D156" s="3">
        <f>_xlfn.XLOOKUP(tblAsignaciones[[#This Row],[tecnico]],tblTecnicos[nombre],tblTecnicos[area],"")</f>
        <v/>
      </c>
      <c r="E156" s="3">
        <f>_xlfn.XLOOKUP(tblAsignaciones[[#This Row],[tecnico]],tblTecnicos[nombre],tblTecnicos[especialidad],"")</f>
        <v/>
      </c>
      <c r="F156" s="3">
        <f>COUNTIFS(tblTecnicos[rotativo],"SI",tblTecnicos[especialidad],tblAsignaciones[[#This Row],[especialidad]],tblTecnicos[area],tblAsignaciones[[#This Row],[area]])</f>
        <v/>
      </c>
      <c r="G15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6" s="6" t="n"/>
      <c r="J15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6" s="3">
        <f>_xlfn.XLOOKUP(tblAsignaciones[[#This Row],[tecnico]],tblTecnicos[nombre],tblTecnicos[supervisor],"")</f>
        <v/>
      </c>
      <c r="L15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6" s="3">
        <f>tblAsignaciones[[#This Row],[semana]]&amp;"|"&amp;tblAsignaciones[[#This Row],[dia]]&amp;"|"&amp;tblAsignaciones[[#This Row],[tecnico]]</f>
        <v/>
      </c>
      <c r="O156" s="3">
        <f>_xlfn.XLOOKUP(tblAsignaciones[[#This Row],[turno]],tblTurnos[turno],tblTurnos[hora_inicio],"")</f>
        <v/>
      </c>
      <c r="P156" s="3">
        <f>_xlfn.XLOOKUP(tblAsignaciones[[#This Row],[turno]],tblTurnos[turno],tblTurnos[hora_fin],"")</f>
        <v/>
      </c>
      <c r="Q156" s="3">
        <f>IF(AND(LEFT(tblAsignaciones[[#This Row],[posicion_ciclo]],1)="T",tblAsignaciones[[#This Row],[en_vacaciones]]="no"),"sí","no")</f>
        <v/>
      </c>
    </row>
    <row r="157">
      <c r="A157" s="3" t="inlineStr">
        <is>
          <t>2026-S31</t>
        </is>
      </c>
      <c r="B157" s="3" t="inlineStr">
        <is>
          <t>domingo</t>
        </is>
      </c>
      <c r="C157" s="3" t="inlineStr">
        <is>
          <t>Técnico 06</t>
        </is>
      </c>
      <c r="D157" s="3">
        <f>_xlfn.XLOOKUP(tblAsignaciones[[#This Row],[tecnico]],tblTecnicos[nombre],tblTecnicos[area],"")</f>
        <v/>
      </c>
      <c r="E157" s="3">
        <f>_xlfn.XLOOKUP(tblAsignaciones[[#This Row],[tecnico]],tblTecnicos[nombre],tblTecnicos[especialidad],"")</f>
        <v/>
      </c>
      <c r="F157" s="3">
        <f>COUNTIFS(tblTecnicos[rotativo],"SI",tblTecnicos[especialidad],tblAsignaciones[[#This Row],[especialidad]],tblTecnicos[area],tblAsignaciones[[#This Row],[area]])</f>
        <v/>
      </c>
      <c r="G15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7" s="6" t="n"/>
      <c r="J15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7" s="3">
        <f>_xlfn.XLOOKUP(tblAsignaciones[[#This Row],[tecnico]],tblTecnicos[nombre],tblTecnicos[supervisor],"")</f>
        <v/>
      </c>
      <c r="L15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7" s="3">
        <f>tblAsignaciones[[#This Row],[semana]]&amp;"|"&amp;tblAsignaciones[[#This Row],[dia]]&amp;"|"&amp;tblAsignaciones[[#This Row],[tecnico]]</f>
        <v/>
      </c>
      <c r="O157" s="3">
        <f>_xlfn.XLOOKUP(tblAsignaciones[[#This Row],[turno]],tblTurnos[turno],tblTurnos[hora_inicio],"")</f>
        <v/>
      </c>
      <c r="P157" s="3">
        <f>_xlfn.XLOOKUP(tblAsignaciones[[#This Row],[turno]],tblTurnos[turno],tblTurnos[hora_fin],"")</f>
        <v/>
      </c>
      <c r="Q157" s="3">
        <f>IF(AND(LEFT(tblAsignaciones[[#This Row],[posicion_ciclo]],1)="T",tblAsignaciones[[#This Row],[en_vacaciones]]="no"),"sí","no")</f>
        <v/>
      </c>
    </row>
    <row r="158">
      <c r="A158" s="3" t="inlineStr">
        <is>
          <t>2026-S31</t>
        </is>
      </c>
      <c r="B158" s="3" t="inlineStr">
        <is>
          <t>lunes</t>
        </is>
      </c>
      <c r="C158" s="3" t="inlineStr">
        <is>
          <t>Técnico 07</t>
        </is>
      </c>
      <c r="D158" s="3">
        <f>_xlfn.XLOOKUP(tblAsignaciones[[#This Row],[tecnico]],tblTecnicos[nombre],tblTecnicos[area],"")</f>
        <v/>
      </c>
      <c r="E158" s="3">
        <f>_xlfn.XLOOKUP(tblAsignaciones[[#This Row],[tecnico]],tblTecnicos[nombre],tblTecnicos[especialidad],"")</f>
        <v/>
      </c>
      <c r="F158" s="3">
        <f>COUNTIFS(tblTecnicos[rotativo],"SI",tblTecnicos[especialidad],tblAsignaciones[[#This Row],[especialidad]],tblTecnicos[area],tblAsignaciones[[#This Row],[area]])</f>
        <v/>
      </c>
      <c r="G15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8" s="6" t="n"/>
      <c r="J15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8" s="3">
        <f>_xlfn.XLOOKUP(tblAsignaciones[[#This Row],[tecnico]],tblTecnicos[nombre],tblTecnicos[supervisor],"")</f>
        <v/>
      </c>
      <c r="L15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8" s="3">
        <f>tblAsignaciones[[#This Row],[semana]]&amp;"|"&amp;tblAsignaciones[[#This Row],[dia]]&amp;"|"&amp;tblAsignaciones[[#This Row],[tecnico]]</f>
        <v/>
      </c>
      <c r="O158" s="3">
        <f>_xlfn.XLOOKUP(tblAsignaciones[[#This Row],[turno]],tblTurnos[turno],tblTurnos[hora_inicio],"")</f>
        <v/>
      </c>
      <c r="P158" s="3">
        <f>_xlfn.XLOOKUP(tblAsignaciones[[#This Row],[turno]],tblTurnos[turno],tblTurnos[hora_fin],"")</f>
        <v/>
      </c>
      <c r="Q158" s="3">
        <f>IF(AND(LEFT(tblAsignaciones[[#This Row],[posicion_ciclo]],1)="T",tblAsignaciones[[#This Row],[en_vacaciones]]="no"),"sí","no")</f>
        <v/>
      </c>
    </row>
    <row r="159">
      <c r="A159" s="3" t="inlineStr">
        <is>
          <t>2026-S31</t>
        </is>
      </c>
      <c r="B159" s="3" t="inlineStr">
        <is>
          <t>martes</t>
        </is>
      </c>
      <c r="C159" s="3" t="inlineStr">
        <is>
          <t>Técnico 07</t>
        </is>
      </c>
      <c r="D159" s="3">
        <f>_xlfn.XLOOKUP(tblAsignaciones[[#This Row],[tecnico]],tblTecnicos[nombre],tblTecnicos[area],"")</f>
        <v/>
      </c>
      <c r="E159" s="3">
        <f>_xlfn.XLOOKUP(tblAsignaciones[[#This Row],[tecnico]],tblTecnicos[nombre],tblTecnicos[especialidad],"")</f>
        <v/>
      </c>
      <c r="F159" s="3">
        <f>COUNTIFS(tblTecnicos[rotativo],"SI",tblTecnicos[especialidad],tblAsignaciones[[#This Row],[especialidad]],tblTecnicos[area],tblAsignaciones[[#This Row],[area]])</f>
        <v/>
      </c>
      <c r="G15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9" s="6" t="n"/>
      <c r="J15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9" s="3">
        <f>_xlfn.XLOOKUP(tblAsignaciones[[#This Row],[tecnico]],tblTecnicos[nombre],tblTecnicos[supervisor],"")</f>
        <v/>
      </c>
      <c r="L15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9" s="3">
        <f>tblAsignaciones[[#This Row],[semana]]&amp;"|"&amp;tblAsignaciones[[#This Row],[dia]]&amp;"|"&amp;tblAsignaciones[[#This Row],[tecnico]]</f>
        <v/>
      </c>
      <c r="O159" s="3">
        <f>_xlfn.XLOOKUP(tblAsignaciones[[#This Row],[turno]],tblTurnos[turno],tblTurnos[hora_inicio],"")</f>
        <v/>
      </c>
      <c r="P159" s="3">
        <f>_xlfn.XLOOKUP(tblAsignaciones[[#This Row],[turno]],tblTurnos[turno],tblTurnos[hora_fin],"")</f>
        <v/>
      </c>
      <c r="Q159" s="3">
        <f>IF(AND(LEFT(tblAsignaciones[[#This Row],[posicion_ciclo]],1)="T",tblAsignaciones[[#This Row],[en_vacaciones]]="no"),"sí","no")</f>
        <v/>
      </c>
    </row>
    <row r="160">
      <c r="A160" s="3" t="inlineStr">
        <is>
          <t>2026-S31</t>
        </is>
      </c>
      <c r="B160" s="3" t="inlineStr">
        <is>
          <t>miércoles</t>
        </is>
      </c>
      <c r="C160" s="3" t="inlineStr">
        <is>
          <t>Técnico 07</t>
        </is>
      </c>
      <c r="D160" s="3">
        <f>_xlfn.XLOOKUP(tblAsignaciones[[#This Row],[tecnico]],tblTecnicos[nombre],tblTecnicos[area],"")</f>
        <v/>
      </c>
      <c r="E160" s="3">
        <f>_xlfn.XLOOKUP(tblAsignaciones[[#This Row],[tecnico]],tblTecnicos[nombre],tblTecnicos[especialidad],"")</f>
        <v/>
      </c>
      <c r="F160" s="3">
        <f>COUNTIFS(tblTecnicos[rotativo],"SI",tblTecnicos[especialidad],tblAsignaciones[[#This Row],[especialidad]],tblTecnicos[area],tblAsignaciones[[#This Row],[area]])</f>
        <v/>
      </c>
      <c r="G16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0" s="6" t="n"/>
      <c r="J16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0" s="3">
        <f>_xlfn.XLOOKUP(tblAsignaciones[[#This Row],[tecnico]],tblTecnicos[nombre],tblTecnicos[supervisor],"")</f>
        <v/>
      </c>
      <c r="L16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0" s="3">
        <f>tblAsignaciones[[#This Row],[semana]]&amp;"|"&amp;tblAsignaciones[[#This Row],[dia]]&amp;"|"&amp;tblAsignaciones[[#This Row],[tecnico]]</f>
        <v/>
      </c>
      <c r="O160" s="3">
        <f>_xlfn.XLOOKUP(tblAsignaciones[[#This Row],[turno]],tblTurnos[turno],tblTurnos[hora_inicio],"")</f>
        <v/>
      </c>
      <c r="P160" s="3">
        <f>_xlfn.XLOOKUP(tblAsignaciones[[#This Row],[turno]],tblTurnos[turno],tblTurnos[hora_fin],"")</f>
        <v/>
      </c>
      <c r="Q160" s="3">
        <f>IF(AND(LEFT(tblAsignaciones[[#This Row],[posicion_ciclo]],1)="T",tblAsignaciones[[#This Row],[en_vacaciones]]="no"),"sí","no")</f>
        <v/>
      </c>
    </row>
    <row r="161">
      <c r="A161" s="3" t="inlineStr">
        <is>
          <t>2026-S31</t>
        </is>
      </c>
      <c r="B161" s="3" t="inlineStr">
        <is>
          <t>jueves</t>
        </is>
      </c>
      <c r="C161" s="3" t="inlineStr">
        <is>
          <t>Técnico 07</t>
        </is>
      </c>
      <c r="D161" s="3">
        <f>_xlfn.XLOOKUP(tblAsignaciones[[#This Row],[tecnico]],tblTecnicos[nombre],tblTecnicos[area],"")</f>
        <v/>
      </c>
      <c r="E161" s="3">
        <f>_xlfn.XLOOKUP(tblAsignaciones[[#This Row],[tecnico]],tblTecnicos[nombre],tblTecnicos[especialidad],"")</f>
        <v/>
      </c>
      <c r="F161" s="3">
        <f>COUNTIFS(tblTecnicos[rotativo],"SI",tblTecnicos[especialidad],tblAsignaciones[[#This Row],[especialidad]],tblTecnicos[area],tblAsignaciones[[#This Row],[area]])</f>
        <v/>
      </c>
      <c r="G16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1" s="6" t="n"/>
      <c r="J16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1" s="3">
        <f>_xlfn.XLOOKUP(tblAsignaciones[[#This Row],[tecnico]],tblTecnicos[nombre],tblTecnicos[supervisor],"")</f>
        <v/>
      </c>
      <c r="L16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1" s="3">
        <f>tblAsignaciones[[#This Row],[semana]]&amp;"|"&amp;tblAsignaciones[[#This Row],[dia]]&amp;"|"&amp;tblAsignaciones[[#This Row],[tecnico]]</f>
        <v/>
      </c>
      <c r="O161" s="3">
        <f>_xlfn.XLOOKUP(tblAsignaciones[[#This Row],[turno]],tblTurnos[turno],tblTurnos[hora_inicio],"")</f>
        <v/>
      </c>
      <c r="P161" s="3">
        <f>_xlfn.XLOOKUP(tblAsignaciones[[#This Row],[turno]],tblTurnos[turno],tblTurnos[hora_fin],"")</f>
        <v/>
      </c>
      <c r="Q161" s="3">
        <f>IF(AND(LEFT(tblAsignaciones[[#This Row],[posicion_ciclo]],1)="T",tblAsignaciones[[#This Row],[en_vacaciones]]="no"),"sí","no")</f>
        <v/>
      </c>
    </row>
    <row r="162">
      <c r="A162" s="3" t="inlineStr">
        <is>
          <t>2026-S31</t>
        </is>
      </c>
      <c r="B162" s="3" t="inlineStr">
        <is>
          <t>viernes</t>
        </is>
      </c>
      <c r="C162" s="3" t="inlineStr">
        <is>
          <t>Técnico 07</t>
        </is>
      </c>
      <c r="D162" s="3">
        <f>_xlfn.XLOOKUP(tblAsignaciones[[#This Row],[tecnico]],tblTecnicos[nombre],tblTecnicos[area],"")</f>
        <v/>
      </c>
      <c r="E162" s="3">
        <f>_xlfn.XLOOKUP(tblAsignaciones[[#This Row],[tecnico]],tblTecnicos[nombre],tblTecnicos[especialidad],"")</f>
        <v/>
      </c>
      <c r="F162" s="3">
        <f>COUNTIFS(tblTecnicos[rotativo],"SI",tblTecnicos[especialidad],tblAsignaciones[[#This Row],[especialidad]],tblTecnicos[area],tblAsignaciones[[#This Row],[area]])</f>
        <v/>
      </c>
      <c r="G16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2" s="6" t="n"/>
      <c r="J16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2" s="3">
        <f>_xlfn.XLOOKUP(tblAsignaciones[[#This Row],[tecnico]],tblTecnicos[nombre],tblTecnicos[supervisor],"")</f>
        <v/>
      </c>
      <c r="L16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2" s="3">
        <f>tblAsignaciones[[#This Row],[semana]]&amp;"|"&amp;tblAsignaciones[[#This Row],[dia]]&amp;"|"&amp;tblAsignaciones[[#This Row],[tecnico]]</f>
        <v/>
      </c>
      <c r="O162" s="3">
        <f>_xlfn.XLOOKUP(tblAsignaciones[[#This Row],[turno]],tblTurnos[turno],tblTurnos[hora_inicio],"")</f>
        <v/>
      </c>
      <c r="P162" s="3">
        <f>_xlfn.XLOOKUP(tblAsignaciones[[#This Row],[turno]],tblTurnos[turno],tblTurnos[hora_fin],"")</f>
        <v/>
      </c>
      <c r="Q162" s="3">
        <f>IF(AND(LEFT(tblAsignaciones[[#This Row],[posicion_ciclo]],1)="T",tblAsignaciones[[#This Row],[en_vacaciones]]="no"),"sí","no")</f>
        <v/>
      </c>
    </row>
    <row r="163">
      <c r="A163" s="3" t="inlineStr">
        <is>
          <t>2026-S31</t>
        </is>
      </c>
      <c r="B163" s="3" t="inlineStr">
        <is>
          <t>sábado</t>
        </is>
      </c>
      <c r="C163" s="3" t="inlineStr">
        <is>
          <t>Técnico 07</t>
        </is>
      </c>
      <c r="D163" s="3">
        <f>_xlfn.XLOOKUP(tblAsignaciones[[#This Row],[tecnico]],tblTecnicos[nombre],tblTecnicos[area],"")</f>
        <v/>
      </c>
      <c r="E163" s="3">
        <f>_xlfn.XLOOKUP(tblAsignaciones[[#This Row],[tecnico]],tblTecnicos[nombre],tblTecnicos[especialidad],"")</f>
        <v/>
      </c>
      <c r="F163" s="3">
        <f>COUNTIFS(tblTecnicos[rotativo],"SI",tblTecnicos[especialidad],tblAsignaciones[[#This Row],[especialidad]],tblTecnicos[area],tblAsignaciones[[#This Row],[area]])</f>
        <v/>
      </c>
      <c r="G16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3" s="6" t="n"/>
      <c r="J16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3" s="3">
        <f>_xlfn.XLOOKUP(tblAsignaciones[[#This Row],[tecnico]],tblTecnicos[nombre],tblTecnicos[supervisor],"")</f>
        <v/>
      </c>
      <c r="L16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3" s="3">
        <f>tblAsignaciones[[#This Row],[semana]]&amp;"|"&amp;tblAsignaciones[[#This Row],[dia]]&amp;"|"&amp;tblAsignaciones[[#This Row],[tecnico]]</f>
        <v/>
      </c>
      <c r="O163" s="3">
        <f>_xlfn.XLOOKUP(tblAsignaciones[[#This Row],[turno]],tblTurnos[turno],tblTurnos[hora_inicio],"")</f>
        <v/>
      </c>
      <c r="P163" s="3">
        <f>_xlfn.XLOOKUP(tblAsignaciones[[#This Row],[turno]],tblTurnos[turno],tblTurnos[hora_fin],"")</f>
        <v/>
      </c>
      <c r="Q163" s="3">
        <f>IF(AND(LEFT(tblAsignaciones[[#This Row],[posicion_ciclo]],1)="T",tblAsignaciones[[#This Row],[en_vacaciones]]="no"),"sí","no")</f>
        <v/>
      </c>
    </row>
    <row r="164">
      <c r="A164" s="3" t="inlineStr">
        <is>
          <t>2026-S31</t>
        </is>
      </c>
      <c r="B164" s="3" t="inlineStr">
        <is>
          <t>domingo</t>
        </is>
      </c>
      <c r="C164" s="3" t="inlineStr">
        <is>
          <t>Técnico 07</t>
        </is>
      </c>
      <c r="D164" s="3">
        <f>_xlfn.XLOOKUP(tblAsignaciones[[#This Row],[tecnico]],tblTecnicos[nombre],tblTecnicos[area],"")</f>
        <v/>
      </c>
      <c r="E164" s="3">
        <f>_xlfn.XLOOKUP(tblAsignaciones[[#This Row],[tecnico]],tblTecnicos[nombre],tblTecnicos[especialidad],"")</f>
        <v/>
      </c>
      <c r="F164" s="3">
        <f>COUNTIFS(tblTecnicos[rotativo],"SI",tblTecnicos[especialidad],tblAsignaciones[[#This Row],[especialidad]],tblTecnicos[area],tblAsignaciones[[#This Row],[area]])</f>
        <v/>
      </c>
      <c r="G16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4" s="6" t="n"/>
      <c r="J16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4" s="3">
        <f>_xlfn.XLOOKUP(tblAsignaciones[[#This Row],[tecnico]],tblTecnicos[nombre],tblTecnicos[supervisor],"")</f>
        <v/>
      </c>
      <c r="L16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4" s="3">
        <f>tblAsignaciones[[#This Row],[semana]]&amp;"|"&amp;tblAsignaciones[[#This Row],[dia]]&amp;"|"&amp;tblAsignaciones[[#This Row],[tecnico]]</f>
        <v/>
      </c>
      <c r="O164" s="3">
        <f>_xlfn.XLOOKUP(tblAsignaciones[[#This Row],[turno]],tblTurnos[turno],tblTurnos[hora_inicio],"")</f>
        <v/>
      </c>
      <c r="P164" s="3">
        <f>_xlfn.XLOOKUP(tblAsignaciones[[#This Row],[turno]],tblTurnos[turno],tblTurnos[hora_fin],"")</f>
        <v/>
      </c>
      <c r="Q164" s="3">
        <f>IF(AND(LEFT(tblAsignaciones[[#This Row],[posicion_ciclo]],1)="T",tblAsignaciones[[#This Row],[en_vacaciones]]="no"),"sí","no")</f>
        <v/>
      </c>
    </row>
    <row r="165">
      <c r="A165" s="3" t="inlineStr">
        <is>
          <t>2026-S31</t>
        </is>
      </c>
      <c r="B165" s="3" t="inlineStr">
        <is>
          <t>lunes</t>
        </is>
      </c>
      <c r="C165" s="3" t="inlineStr">
        <is>
          <t>Técnico 08</t>
        </is>
      </c>
      <c r="D165" s="3">
        <f>_xlfn.XLOOKUP(tblAsignaciones[[#This Row],[tecnico]],tblTecnicos[nombre],tblTecnicos[area],"")</f>
        <v/>
      </c>
      <c r="E165" s="3">
        <f>_xlfn.XLOOKUP(tblAsignaciones[[#This Row],[tecnico]],tblTecnicos[nombre],tblTecnicos[especialidad],"")</f>
        <v/>
      </c>
      <c r="F165" s="3">
        <f>COUNTIFS(tblTecnicos[rotativo],"SI",tblTecnicos[especialidad],tblAsignaciones[[#This Row],[especialidad]],tblTecnicos[area],tblAsignaciones[[#This Row],[area]])</f>
        <v/>
      </c>
      <c r="G16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5" s="6" t="n"/>
      <c r="J16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5" s="3">
        <f>_xlfn.XLOOKUP(tblAsignaciones[[#This Row],[tecnico]],tblTecnicos[nombre],tblTecnicos[supervisor],"")</f>
        <v/>
      </c>
      <c r="L16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5" s="3">
        <f>tblAsignaciones[[#This Row],[semana]]&amp;"|"&amp;tblAsignaciones[[#This Row],[dia]]&amp;"|"&amp;tblAsignaciones[[#This Row],[tecnico]]</f>
        <v/>
      </c>
      <c r="O165" s="3">
        <f>_xlfn.XLOOKUP(tblAsignaciones[[#This Row],[turno]],tblTurnos[turno],tblTurnos[hora_inicio],"")</f>
        <v/>
      </c>
      <c r="P165" s="3">
        <f>_xlfn.XLOOKUP(tblAsignaciones[[#This Row],[turno]],tblTurnos[turno],tblTurnos[hora_fin],"")</f>
        <v/>
      </c>
      <c r="Q165" s="3">
        <f>IF(AND(LEFT(tblAsignaciones[[#This Row],[posicion_ciclo]],1)="T",tblAsignaciones[[#This Row],[en_vacaciones]]="no"),"sí","no")</f>
        <v/>
      </c>
    </row>
    <row r="166">
      <c r="A166" s="3" t="inlineStr">
        <is>
          <t>2026-S31</t>
        </is>
      </c>
      <c r="B166" s="3" t="inlineStr">
        <is>
          <t>martes</t>
        </is>
      </c>
      <c r="C166" s="3" t="inlineStr">
        <is>
          <t>Técnico 08</t>
        </is>
      </c>
      <c r="D166" s="3">
        <f>_xlfn.XLOOKUP(tblAsignaciones[[#This Row],[tecnico]],tblTecnicos[nombre],tblTecnicos[area],"")</f>
        <v/>
      </c>
      <c r="E166" s="3">
        <f>_xlfn.XLOOKUP(tblAsignaciones[[#This Row],[tecnico]],tblTecnicos[nombre],tblTecnicos[especialidad],"")</f>
        <v/>
      </c>
      <c r="F166" s="3">
        <f>COUNTIFS(tblTecnicos[rotativo],"SI",tblTecnicos[especialidad],tblAsignaciones[[#This Row],[especialidad]],tblTecnicos[area],tblAsignaciones[[#This Row],[area]])</f>
        <v/>
      </c>
      <c r="G16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6" s="6" t="n"/>
      <c r="J16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6" s="3">
        <f>_xlfn.XLOOKUP(tblAsignaciones[[#This Row],[tecnico]],tblTecnicos[nombre],tblTecnicos[supervisor],"")</f>
        <v/>
      </c>
      <c r="L16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6" s="3">
        <f>tblAsignaciones[[#This Row],[semana]]&amp;"|"&amp;tblAsignaciones[[#This Row],[dia]]&amp;"|"&amp;tblAsignaciones[[#This Row],[tecnico]]</f>
        <v/>
      </c>
      <c r="O166" s="3">
        <f>_xlfn.XLOOKUP(tblAsignaciones[[#This Row],[turno]],tblTurnos[turno],tblTurnos[hora_inicio],"")</f>
        <v/>
      </c>
      <c r="P166" s="3">
        <f>_xlfn.XLOOKUP(tblAsignaciones[[#This Row],[turno]],tblTurnos[turno],tblTurnos[hora_fin],"")</f>
        <v/>
      </c>
      <c r="Q166" s="3">
        <f>IF(AND(LEFT(tblAsignaciones[[#This Row],[posicion_ciclo]],1)="T",tblAsignaciones[[#This Row],[en_vacaciones]]="no"),"sí","no")</f>
        <v/>
      </c>
    </row>
    <row r="167">
      <c r="A167" s="3" t="inlineStr">
        <is>
          <t>2026-S31</t>
        </is>
      </c>
      <c r="B167" s="3" t="inlineStr">
        <is>
          <t>miércoles</t>
        </is>
      </c>
      <c r="C167" s="3" t="inlineStr">
        <is>
          <t>Técnico 08</t>
        </is>
      </c>
      <c r="D167" s="3">
        <f>_xlfn.XLOOKUP(tblAsignaciones[[#This Row],[tecnico]],tblTecnicos[nombre],tblTecnicos[area],"")</f>
        <v/>
      </c>
      <c r="E167" s="3">
        <f>_xlfn.XLOOKUP(tblAsignaciones[[#This Row],[tecnico]],tblTecnicos[nombre],tblTecnicos[especialidad],"")</f>
        <v/>
      </c>
      <c r="F167" s="3">
        <f>COUNTIFS(tblTecnicos[rotativo],"SI",tblTecnicos[especialidad],tblAsignaciones[[#This Row],[especialidad]],tblTecnicos[area],tblAsignaciones[[#This Row],[area]])</f>
        <v/>
      </c>
      <c r="G16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7" s="6" t="n"/>
      <c r="J16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7" s="3">
        <f>_xlfn.XLOOKUP(tblAsignaciones[[#This Row],[tecnico]],tblTecnicos[nombre],tblTecnicos[supervisor],"")</f>
        <v/>
      </c>
      <c r="L16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7" s="3">
        <f>tblAsignaciones[[#This Row],[semana]]&amp;"|"&amp;tblAsignaciones[[#This Row],[dia]]&amp;"|"&amp;tblAsignaciones[[#This Row],[tecnico]]</f>
        <v/>
      </c>
      <c r="O167" s="3">
        <f>_xlfn.XLOOKUP(tblAsignaciones[[#This Row],[turno]],tblTurnos[turno],tblTurnos[hora_inicio],"")</f>
        <v/>
      </c>
      <c r="P167" s="3">
        <f>_xlfn.XLOOKUP(tblAsignaciones[[#This Row],[turno]],tblTurnos[turno],tblTurnos[hora_fin],"")</f>
        <v/>
      </c>
      <c r="Q167" s="3">
        <f>IF(AND(LEFT(tblAsignaciones[[#This Row],[posicion_ciclo]],1)="T",tblAsignaciones[[#This Row],[en_vacaciones]]="no"),"sí","no")</f>
        <v/>
      </c>
    </row>
    <row r="168">
      <c r="A168" s="3" t="inlineStr">
        <is>
          <t>2026-S31</t>
        </is>
      </c>
      <c r="B168" s="3" t="inlineStr">
        <is>
          <t>jueves</t>
        </is>
      </c>
      <c r="C168" s="3" t="inlineStr">
        <is>
          <t>Técnico 08</t>
        </is>
      </c>
      <c r="D168" s="3">
        <f>_xlfn.XLOOKUP(tblAsignaciones[[#This Row],[tecnico]],tblTecnicos[nombre],tblTecnicos[area],"")</f>
        <v/>
      </c>
      <c r="E168" s="3">
        <f>_xlfn.XLOOKUP(tblAsignaciones[[#This Row],[tecnico]],tblTecnicos[nombre],tblTecnicos[especialidad],"")</f>
        <v/>
      </c>
      <c r="F168" s="3">
        <f>COUNTIFS(tblTecnicos[rotativo],"SI",tblTecnicos[especialidad],tblAsignaciones[[#This Row],[especialidad]],tblTecnicos[area],tblAsignaciones[[#This Row],[area]])</f>
        <v/>
      </c>
      <c r="G16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8" s="6" t="n"/>
      <c r="J16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8" s="3">
        <f>_xlfn.XLOOKUP(tblAsignaciones[[#This Row],[tecnico]],tblTecnicos[nombre],tblTecnicos[supervisor],"")</f>
        <v/>
      </c>
      <c r="L16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8" s="3">
        <f>tblAsignaciones[[#This Row],[semana]]&amp;"|"&amp;tblAsignaciones[[#This Row],[dia]]&amp;"|"&amp;tblAsignaciones[[#This Row],[tecnico]]</f>
        <v/>
      </c>
      <c r="O168" s="3">
        <f>_xlfn.XLOOKUP(tblAsignaciones[[#This Row],[turno]],tblTurnos[turno],tblTurnos[hora_inicio],"")</f>
        <v/>
      </c>
      <c r="P168" s="3">
        <f>_xlfn.XLOOKUP(tblAsignaciones[[#This Row],[turno]],tblTurnos[turno],tblTurnos[hora_fin],"")</f>
        <v/>
      </c>
      <c r="Q168" s="3">
        <f>IF(AND(LEFT(tblAsignaciones[[#This Row],[posicion_ciclo]],1)="T",tblAsignaciones[[#This Row],[en_vacaciones]]="no"),"sí","no")</f>
        <v/>
      </c>
    </row>
    <row r="169">
      <c r="A169" s="3" t="inlineStr">
        <is>
          <t>2026-S31</t>
        </is>
      </c>
      <c r="B169" s="3" t="inlineStr">
        <is>
          <t>viernes</t>
        </is>
      </c>
      <c r="C169" s="3" t="inlineStr">
        <is>
          <t>Técnico 08</t>
        </is>
      </c>
      <c r="D169" s="3">
        <f>_xlfn.XLOOKUP(tblAsignaciones[[#This Row],[tecnico]],tblTecnicos[nombre],tblTecnicos[area],"")</f>
        <v/>
      </c>
      <c r="E169" s="3">
        <f>_xlfn.XLOOKUP(tblAsignaciones[[#This Row],[tecnico]],tblTecnicos[nombre],tblTecnicos[especialidad],"")</f>
        <v/>
      </c>
      <c r="F169" s="3">
        <f>COUNTIFS(tblTecnicos[rotativo],"SI",tblTecnicos[especialidad],tblAsignaciones[[#This Row],[especialidad]],tblTecnicos[area],tblAsignaciones[[#This Row],[area]])</f>
        <v/>
      </c>
      <c r="G16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9" s="6" t="n"/>
      <c r="J16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9" s="3">
        <f>_xlfn.XLOOKUP(tblAsignaciones[[#This Row],[tecnico]],tblTecnicos[nombre],tblTecnicos[supervisor],"")</f>
        <v/>
      </c>
      <c r="L16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9" s="3">
        <f>tblAsignaciones[[#This Row],[semana]]&amp;"|"&amp;tblAsignaciones[[#This Row],[dia]]&amp;"|"&amp;tblAsignaciones[[#This Row],[tecnico]]</f>
        <v/>
      </c>
      <c r="O169" s="3">
        <f>_xlfn.XLOOKUP(tblAsignaciones[[#This Row],[turno]],tblTurnos[turno],tblTurnos[hora_inicio],"")</f>
        <v/>
      </c>
      <c r="P169" s="3">
        <f>_xlfn.XLOOKUP(tblAsignaciones[[#This Row],[turno]],tblTurnos[turno],tblTurnos[hora_fin],"")</f>
        <v/>
      </c>
      <c r="Q169" s="3">
        <f>IF(AND(LEFT(tblAsignaciones[[#This Row],[posicion_ciclo]],1)="T",tblAsignaciones[[#This Row],[en_vacaciones]]="no"),"sí","no")</f>
        <v/>
      </c>
    </row>
    <row r="170">
      <c r="A170" s="3" t="inlineStr">
        <is>
          <t>2026-S31</t>
        </is>
      </c>
      <c r="B170" s="3" t="inlineStr">
        <is>
          <t>sábado</t>
        </is>
      </c>
      <c r="C170" s="3" t="inlineStr">
        <is>
          <t>Técnico 08</t>
        </is>
      </c>
      <c r="D170" s="3">
        <f>_xlfn.XLOOKUP(tblAsignaciones[[#This Row],[tecnico]],tblTecnicos[nombre],tblTecnicos[area],"")</f>
        <v/>
      </c>
      <c r="E170" s="3">
        <f>_xlfn.XLOOKUP(tblAsignaciones[[#This Row],[tecnico]],tblTecnicos[nombre],tblTecnicos[especialidad],"")</f>
        <v/>
      </c>
      <c r="F170" s="3">
        <f>COUNTIFS(tblTecnicos[rotativo],"SI",tblTecnicos[especialidad],tblAsignaciones[[#This Row],[especialidad]],tblTecnicos[area],tblAsignaciones[[#This Row],[area]])</f>
        <v/>
      </c>
      <c r="G17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0" s="6" t="n"/>
      <c r="J17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0" s="3">
        <f>_xlfn.XLOOKUP(tblAsignaciones[[#This Row],[tecnico]],tblTecnicos[nombre],tblTecnicos[supervisor],"")</f>
        <v/>
      </c>
      <c r="L17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0" s="3">
        <f>tblAsignaciones[[#This Row],[semana]]&amp;"|"&amp;tblAsignaciones[[#This Row],[dia]]&amp;"|"&amp;tblAsignaciones[[#This Row],[tecnico]]</f>
        <v/>
      </c>
      <c r="O170" s="3">
        <f>_xlfn.XLOOKUP(tblAsignaciones[[#This Row],[turno]],tblTurnos[turno],tblTurnos[hora_inicio],"")</f>
        <v/>
      </c>
      <c r="P170" s="3">
        <f>_xlfn.XLOOKUP(tblAsignaciones[[#This Row],[turno]],tblTurnos[turno],tblTurnos[hora_fin],"")</f>
        <v/>
      </c>
      <c r="Q170" s="3">
        <f>IF(AND(LEFT(tblAsignaciones[[#This Row],[posicion_ciclo]],1)="T",tblAsignaciones[[#This Row],[en_vacaciones]]="no"),"sí","no")</f>
        <v/>
      </c>
    </row>
    <row r="171">
      <c r="A171" s="3" t="inlineStr">
        <is>
          <t>2026-S31</t>
        </is>
      </c>
      <c r="B171" s="3" t="inlineStr">
        <is>
          <t>domingo</t>
        </is>
      </c>
      <c r="C171" s="3" t="inlineStr">
        <is>
          <t>Técnico 08</t>
        </is>
      </c>
      <c r="D171" s="3">
        <f>_xlfn.XLOOKUP(tblAsignaciones[[#This Row],[tecnico]],tblTecnicos[nombre],tblTecnicos[area],"")</f>
        <v/>
      </c>
      <c r="E171" s="3">
        <f>_xlfn.XLOOKUP(tblAsignaciones[[#This Row],[tecnico]],tblTecnicos[nombre],tblTecnicos[especialidad],"")</f>
        <v/>
      </c>
      <c r="F171" s="3">
        <f>COUNTIFS(tblTecnicos[rotativo],"SI",tblTecnicos[especialidad],tblAsignaciones[[#This Row],[especialidad]],tblTecnicos[area],tblAsignaciones[[#This Row],[area]])</f>
        <v/>
      </c>
      <c r="G17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1" s="6" t="n"/>
      <c r="J17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1" s="3">
        <f>_xlfn.XLOOKUP(tblAsignaciones[[#This Row],[tecnico]],tblTecnicos[nombre],tblTecnicos[supervisor],"")</f>
        <v/>
      </c>
      <c r="L17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1" s="3">
        <f>tblAsignaciones[[#This Row],[semana]]&amp;"|"&amp;tblAsignaciones[[#This Row],[dia]]&amp;"|"&amp;tblAsignaciones[[#This Row],[tecnico]]</f>
        <v/>
      </c>
      <c r="O171" s="3">
        <f>_xlfn.XLOOKUP(tblAsignaciones[[#This Row],[turno]],tblTurnos[turno],tblTurnos[hora_inicio],"")</f>
        <v/>
      </c>
      <c r="P171" s="3">
        <f>_xlfn.XLOOKUP(tblAsignaciones[[#This Row],[turno]],tblTurnos[turno],tblTurnos[hora_fin],"")</f>
        <v/>
      </c>
      <c r="Q171" s="3">
        <f>IF(AND(LEFT(tblAsignaciones[[#This Row],[posicion_ciclo]],1)="T",tblAsignaciones[[#This Row],[en_vacaciones]]="no"),"sí","no")</f>
        <v/>
      </c>
    </row>
    <row r="172">
      <c r="A172" s="3" t="inlineStr">
        <is>
          <t>2026-S31</t>
        </is>
      </c>
      <c r="B172" s="3" t="inlineStr">
        <is>
          <t>lunes</t>
        </is>
      </c>
      <c r="C172" s="3" t="inlineStr">
        <is>
          <t>Técnico 09</t>
        </is>
      </c>
      <c r="D172" s="3">
        <f>_xlfn.XLOOKUP(tblAsignaciones[[#This Row],[tecnico]],tblTecnicos[nombre],tblTecnicos[area],"")</f>
        <v/>
      </c>
      <c r="E172" s="3">
        <f>_xlfn.XLOOKUP(tblAsignaciones[[#This Row],[tecnico]],tblTecnicos[nombre],tblTecnicos[especialidad],"")</f>
        <v/>
      </c>
      <c r="F172" s="3">
        <f>COUNTIFS(tblTecnicos[rotativo],"SI",tblTecnicos[especialidad],tblAsignaciones[[#This Row],[especialidad]],tblTecnicos[area],tblAsignaciones[[#This Row],[area]])</f>
        <v/>
      </c>
      <c r="G17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2" s="6" t="n"/>
      <c r="J17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2" s="3">
        <f>_xlfn.XLOOKUP(tblAsignaciones[[#This Row],[tecnico]],tblTecnicos[nombre],tblTecnicos[supervisor],"")</f>
        <v/>
      </c>
      <c r="L17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2" s="3">
        <f>tblAsignaciones[[#This Row],[semana]]&amp;"|"&amp;tblAsignaciones[[#This Row],[dia]]&amp;"|"&amp;tblAsignaciones[[#This Row],[tecnico]]</f>
        <v/>
      </c>
      <c r="O172" s="3">
        <f>_xlfn.XLOOKUP(tblAsignaciones[[#This Row],[turno]],tblTurnos[turno],tblTurnos[hora_inicio],"")</f>
        <v/>
      </c>
      <c r="P172" s="3">
        <f>_xlfn.XLOOKUP(tblAsignaciones[[#This Row],[turno]],tblTurnos[turno],tblTurnos[hora_fin],"")</f>
        <v/>
      </c>
      <c r="Q172" s="3">
        <f>IF(AND(LEFT(tblAsignaciones[[#This Row],[posicion_ciclo]],1)="T",tblAsignaciones[[#This Row],[en_vacaciones]]="no"),"sí","no")</f>
        <v/>
      </c>
    </row>
    <row r="173">
      <c r="A173" s="3" t="inlineStr">
        <is>
          <t>2026-S31</t>
        </is>
      </c>
      <c r="B173" s="3" t="inlineStr">
        <is>
          <t>martes</t>
        </is>
      </c>
      <c r="C173" s="3" t="inlineStr">
        <is>
          <t>Técnico 09</t>
        </is>
      </c>
      <c r="D173" s="3">
        <f>_xlfn.XLOOKUP(tblAsignaciones[[#This Row],[tecnico]],tblTecnicos[nombre],tblTecnicos[area],"")</f>
        <v/>
      </c>
      <c r="E173" s="3">
        <f>_xlfn.XLOOKUP(tblAsignaciones[[#This Row],[tecnico]],tblTecnicos[nombre],tblTecnicos[especialidad],"")</f>
        <v/>
      </c>
      <c r="F173" s="3">
        <f>COUNTIFS(tblTecnicos[rotativo],"SI",tblTecnicos[especialidad],tblAsignaciones[[#This Row],[especialidad]],tblTecnicos[area],tblAsignaciones[[#This Row],[area]])</f>
        <v/>
      </c>
      <c r="G17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3" s="6" t="n"/>
      <c r="J17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3" s="3">
        <f>_xlfn.XLOOKUP(tblAsignaciones[[#This Row],[tecnico]],tblTecnicos[nombre],tblTecnicos[supervisor],"")</f>
        <v/>
      </c>
      <c r="L17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3" s="3">
        <f>tblAsignaciones[[#This Row],[semana]]&amp;"|"&amp;tblAsignaciones[[#This Row],[dia]]&amp;"|"&amp;tblAsignaciones[[#This Row],[tecnico]]</f>
        <v/>
      </c>
      <c r="O173" s="3">
        <f>_xlfn.XLOOKUP(tblAsignaciones[[#This Row],[turno]],tblTurnos[turno],tblTurnos[hora_inicio],"")</f>
        <v/>
      </c>
      <c r="P173" s="3">
        <f>_xlfn.XLOOKUP(tblAsignaciones[[#This Row],[turno]],tblTurnos[turno],tblTurnos[hora_fin],"")</f>
        <v/>
      </c>
      <c r="Q173" s="3">
        <f>IF(AND(LEFT(tblAsignaciones[[#This Row],[posicion_ciclo]],1)="T",tblAsignaciones[[#This Row],[en_vacaciones]]="no"),"sí","no")</f>
        <v/>
      </c>
    </row>
    <row r="174">
      <c r="A174" s="3" t="inlineStr">
        <is>
          <t>2026-S31</t>
        </is>
      </c>
      <c r="B174" s="3" t="inlineStr">
        <is>
          <t>miércoles</t>
        </is>
      </c>
      <c r="C174" s="3" t="inlineStr">
        <is>
          <t>Técnico 09</t>
        </is>
      </c>
      <c r="D174" s="3">
        <f>_xlfn.XLOOKUP(tblAsignaciones[[#This Row],[tecnico]],tblTecnicos[nombre],tblTecnicos[area],"")</f>
        <v/>
      </c>
      <c r="E174" s="3">
        <f>_xlfn.XLOOKUP(tblAsignaciones[[#This Row],[tecnico]],tblTecnicos[nombre],tblTecnicos[especialidad],"")</f>
        <v/>
      </c>
      <c r="F174" s="3">
        <f>COUNTIFS(tblTecnicos[rotativo],"SI",tblTecnicos[especialidad],tblAsignaciones[[#This Row],[especialidad]],tblTecnicos[area],tblAsignaciones[[#This Row],[area]])</f>
        <v/>
      </c>
      <c r="G17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4" s="6" t="n"/>
      <c r="J17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4" s="3">
        <f>_xlfn.XLOOKUP(tblAsignaciones[[#This Row],[tecnico]],tblTecnicos[nombre],tblTecnicos[supervisor],"")</f>
        <v/>
      </c>
      <c r="L17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4" s="3">
        <f>tblAsignaciones[[#This Row],[semana]]&amp;"|"&amp;tblAsignaciones[[#This Row],[dia]]&amp;"|"&amp;tblAsignaciones[[#This Row],[tecnico]]</f>
        <v/>
      </c>
      <c r="O174" s="3">
        <f>_xlfn.XLOOKUP(tblAsignaciones[[#This Row],[turno]],tblTurnos[turno],tblTurnos[hora_inicio],"")</f>
        <v/>
      </c>
      <c r="P174" s="3">
        <f>_xlfn.XLOOKUP(tblAsignaciones[[#This Row],[turno]],tblTurnos[turno],tblTurnos[hora_fin],"")</f>
        <v/>
      </c>
      <c r="Q174" s="3">
        <f>IF(AND(LEFT(tblAsignaciones[[#This Row],[posicion_ciclo]],1)="T",tblAsignaciones[[#This Row],[en_vacaciones]]="no"),"sí","no")</f>
        <v/>
      </c>
    </row>
    <row r="175">
      <c r="A175" s="3" t="inlineStr">
        <is>
          <t>2026-S31</t>
        </is>
      </c>
      <c r="B175" s="3" t="inlineStr">
        <is>
          <t>jueves</t>
        </is>
      </c>
      <c r="C175" s="3" t="inlineStr">
        <is>
          <t>Técnico 09</t>
        </is>
      </c>
      <c r="D175" s="3">
        <f>_xlfn.XLOOKUP(tblAsignaciones[[#This Row],[tecnico]],tblTecnicos[nombre],tblTecnicos[area],"")</f>
        <v/>
      </c>
      <c r="E175" s="3">
        <f>_xlfn.XLOOKUP(tblAsignaciones[[#This Row],[tecnico]],tblTecnicos[nombre],tblTecnicos[especialidad],"")</f>
        <v/>
      </c>
      <c r="F175" s="3">
        <f>COUNTIFS(tblTecnicos[rotativo],"SI",tblTecnicos[especialidad],tblAsignaciones[[#This Row],[especialidad]],tblTecnicos[area],tblAsignaciones[[#This Row],[area]])</f>
        <v/>
      </c>
      <c r="G17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5" s="6" t="n"/>
      <c r="J17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5" s="3">
        <f>_xlfn.XLOOKUP(tblAsignaciones[[#This Row],[tecnico]],tblTecnicos[nombre],tblTecnicos[supervisor],"")</f>
        <v/>
      </c>
      <c r="L17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5" s="3">
        <f>tblAsignaciones[[#This Row],[semana]]&amp;"|"&amp;tblAsignaciones[[#This Row],[dia]]&amp;"|"&amp;tblAsignaciones[[#This Row],[tecnico]]</f>
        <v/>
      </c>
      <c r="O175" s="3">
        <f>_xlfn.XLOOKUP(tblAsignaciones[[#This Row],[turno]],tblTurnos[turno],tblTurnos[hora_inicio],"")</f>
        <v/>
      </c>
      <c r="P175" s="3">
        <f>_xlfn.XLOOKUP(tblAsignaciones[[#This Row],[turno]],tblTurnos[turno],tblTurnos[hora_fin],"")</f>
        <v/>
      </c>
      <c r="Q175" s="3">
        <f>IF(AND(LEFT(tblAsignaciones[[#This Row],[posicion_ciclo]],1)="T",tblAsignaciones[[#This Row],[en_vacaciones]]="no"),"sí","no")</f>
        <v/>
      </c>
    </row>
    <row r="176">
      <c r="A176" s="3" t="inlineStr">
        <is>
          <t>2026-S31</t>
        </is>
      </c>
      <c r="B176" s="3" t="inlineStr">
        <is>
          <t>viernes</t>
        </is>
      </c>
      <c r="C176" s="3" t="inlineStr">
        <is>
          <t>Técnico 09</t>
        </is>
      </c>
      <c r="D176" s="3">
        <f>_xlfn.XLOOKUP(tblAsignaciones[[#This Row],[tecnico]],tblTecnicos[nombre],tblTecnicos[area],"")</f>
        <v/>
      </c>
      <c r="E176" s="3">
        <f>_xlfn.XLOOKUP(tblAsignaciones[[#This Row],[tecnico]],tblTecnicos[nombre],tblTecnicos[especialidad],"")</f>
        <v/>
      </c>
      <c r="F176" s="3">
        <f>COUNTIFS(tblTecnicos[rotativo],"SI",tblTecnicos[especialidad],tblAsignaciones[[#This Row],[especialidad]],tblTecnicos[area],tblAsignaciones[[#This Row],[area]])</f>
        <v/>
      </c>
      <c r="G17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6" s="6" t="n"/>
      <c r="J17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6" s="3">
        <f>_xlfn.XLOOKUP(tblAsignaciones[[#This Row],[tecnico]],tblTecnicos[nombre],tblTecnicos[supervisor],"")</f>
        <v/>
      </c>
      <c r="L17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6" s="3">
        <f>tblAsignaciones[[#This Row],[semana]]&amp;"|"&amp;tblAsignaciones[[#This Row],[dia]]&amp;"|"&amp;tblAsignaciones[[#This Row],[tecnico]]</f>
        <v/>
      </c>
      <c r="O176" s="3">
        <f>_xlfn.XLOOKUP(tblAsignaciones[[#This Row],[turno]],tblTurnos[turno],tblTurnos[hora_inicio],"")</f>
        <v/>
      </c>
      <c r="P176" s="3">
        <f>_xlfn.XLOOKUP(tblAsignaciones[[#This Row],[turno]],tblTurnos[turno],tblTurnos[hora_fin],"")</f>
        <v/>
      </c>
      <c r="Q176" s="3">
        <f>IF(AND(LEFT(tblAsignaciones[[#This Row],[posicion_ciclo]],1)="T",tblAsignaciones[[#This Row],[en_vacaciones]]="no"),"sí","no")</f>
        <v/>
      </c>
    </row>
    <row r="177">
      <c r="A177" s="3" t="inlineStr">
        <is>
          <t>2026-S31</t>
        </is>
      </c>
      <c r="B177" s="3" t="inlineStr">
        <is>
          <t>sábado</t>
        </is>
      </c>
      <c r="C177" s="3" t="inlineStr">
        <is>
          <t>Técnico 09</t>
        </is>
      </c>
      <c r="D177" s="3">
        <f>_xlfn.XLOOKUP(tblAsignaciones[[#This Row],[tecnico]],tblTecnicos[nombre],tblTecnicos[area],"")</f>
        <v/>
      </c>
      <c r="E177" s="3">
        <f>_xlfn.XLOOKUP(tblAsignaciones[[#This Row],[tecnico]],tblTecnicos[nombre],tblTecnicos[especialidad],"")</f>
        <v/>
      </c>
      <c r="F177" s="3">
        <f>COUNTIFS(tblTecnicos[rotativo],"SI",tblTecnicos[especialidad],tblAsignaciones[[#This Row],[especialidad]],tblTecnicos[area],tblAsignaciones[[#This Row],[area]])</f>
        <v/>
      </c>
      <c r="G17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7" s="6" t="n"/>
      <c r="J17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7" s="3">
        <f>_xlfn.XLOOKUP(tblAsignaciones[[#This Row],[tecnico]],tblTecnicos[nombre],tblTecnicos[supervisor],"")</f>
        <v/>
      </c>
      <c r="L17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7" s="3">
        <f>tblAsignaciones[[#This Row],[semana]]&amp;"|"&amp;tblAsignaciones[[#This Row],[dia]]&amp;"|"&amp;tblAsignaciones[[#This Row],[tecnico]]</f>
        <v/>
      </c>
      <c r="O177" s="3">
        <f>_xlfn.XLOOKUP(tblAsignaciones[[#This Row],[turno]],tblTurnos[turno],tblTurnos[hora_inicio],"")</f>
        <v/>
      </c>
      <c r="P177" s="3">
        <f>_xlfn.XLOOKUP(tblAsignaciones[[#This Row],[turno]],tblTurnos[turno],tblTurnos[hora_fin],"")</f>
        <v/>
      </c>
      <c r="Q177" s="3">
        <f>IF(AND(LEFT(tblAsignaciones[[#This Row],[posicion_ciclo]],1)="T",tblAsignaciones[[#This Row],[en_vacaciones]]="no"),"sí","no")</f>
        <v/>
      </c>
    </row>
    <row r="178">
      <c r="A178" s="3" t="inlineStr">
        <is>
          <t>2026-S31</t>
        </is>
      </c>
      <c r="B178" s="3" t="inlineStr">
        <is>
          <t>domingo</t>
        </is>
      </c>
      <c r="C178" s="3" t="inlineStr">
        <is>
          <t>Técnico 09</t>
        </is>
      </c>
      <c r="D178" s="3">
        <f>_xlfn.XLOOKUP(tblAsignaciones[[#This Row],[tecnico]],tblTecnicos[nombre],tblTecnicos[area],"")</f>
        <v/>
      </c>
      <c r="E178" s="3">
        <f>_xlfn.XLOOKUP(tblAsignaciones[[#This Row],[tecnico]],tblTecnicos[nombre],tblTecnicos[especialidad],"")</f>
        <v/>
      </c>
      <c r="F178" s="3">
        <f>COUNTIFS(tblTecnicos[rotativo],"SI",tblTecnicos[especialidad],tblAsignaciones[[#This Row],[especialidad]],tblTecnicos[area],tblAsignaciones[[#This Row],[area]])</f>
        <v/>
      </c>
      <c r="G17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8" s="6" t="n"/>
      <c r="J17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8" s="3">
        <f>_xlfn.XLOOKUP(tblAsignaciones[[#This Row],[tecnico]],tblTecnicos[nombre],tblTecnicos[supervisor],"")</f>
        <v/>
      </c>
      <c r="L17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8" s="3">
        <f>tblAsignaciones[[#This Row],[semana]]&amp;"|"&amp;tblAsignaciones[[#This Row],[dia]]&amp;"|"&amp;tblAsignaciones[[#This Row],[tecnico]]</f>
        <v/>
      </c>
      <c r="O178" s="3">
        <f>_xlfn.XLOOKUP(tblAsignaciones[[#This Row],[turno]],tblTurnos[turno],tblTurnos[hora_inicio],"")</f>
        <v/>
      </c>
      <c r="P178" s="3">
        <f>_xlfn.XLOOKUP(tblAsignaciones[[#This Row],[turno]],tblTurnos[turno],tblTurnos[hora_fin],"")</f>
        <v/>
      </c>
      <c r="Q178" s="3">
        <f>IF(AND(LEFT(tblAsignaciones[[#This Row],[posicion_ciclo]],1)="T",tblAsignaciones[[#This Row],[en_vacaciones]]="no"),"sí","no")</f>
        <v/>
      </c>
    </row>
    <row r="179">
      <c r="A179" s="3" t="inlineStr">
        <is>
          <t>2026-S31</t>
        </is>
      </c>
      <c r="B179" s="3" t="inlineStr">
        <is>
          <t>lunes</t>
        </is>
      </c>
      <c r="C179" s="3" t="inlineStr">
        <is>
          <t>Técnico 10</t>
        </is>
      </c>
      <c r="D179" s="3">
        <f>_xlfn.XLOOKUP(tblAsignaciones[[#This Row],[tecnico]],tblTecnicos[nombre],tblTecnicos[area],"")</f>
        <v/>
      </c>
      <c r="E179" s="3">
        <f>_xlfn.XLOOKUP(tblAsignaciones[[#This Row],[tecnico]],tblTecnicos[nombre],tblTecnicos[especialidad],"")</f>
        <v/>
      </c>
      <c r="F179" s="3">
        <f>COUNTIFS(tblTecnicos[rotativo],"SI",tblTecnicos[especialidad],tblAsignaciones[[#This Row],[especialidad]],tblTecnicos[area],tblAsignaciones[[#This Row],[area]])</f>
        <v/>
      </c>
      <c r="G17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9" s="6" t="n"/>
      <c r="J17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9" s="3">
        <f>_xlfn.XLOOKUP(tblAsignaciones[[#This Row],[tecnico]],tblTecnicos[nombre],tblTecnicos[supervisor],"")</f>
        <v/>
      </c>
      <c r="L17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9" s="3">
        <f>tblAsignaciones[[#This Row],[semana]]&amp;"|"&amp;tblAsignaciones[[#This Row],[dia]]&amp;"|"&amp;tblAsignaciones[[#This Row],[tecnico]]</f>
        <v/>
      </c>
      <c r="O179" s="3">
        <f>_xlfn.XLOOKUP(tblAsignaciones[[#This Row],[turno]],tblTurnos[turno],tblTurnos[hora_inicio],"")</f>
        <v/>
      </c>
      <c r="P179" s="3">
        <f>_xlfn.XLOOKUP(tblAsignaciones[[#This Row],[turno]],tblTurnos[turno],tblTurnos[hora_fin],"")</f>
        <v/>
      </c>
      <c r="Q179" s="3">
        <f>IF(AND(LEFT(tblAsignaciones[[#This Row],[posicion_ciclo]],1)="T",tblAsignaciones[[#This Row],[en_vacaciones]]="no"),"sí","no")</f>
        <v/>
      </c>
    </row>
    <row r="180">
      <c r="A180" s="3" t="inlineStr">
        <is>
          <t>2026-S31</t>
        </is>
      </c>
      <c r="B180" s="3" t="inlineStr">
        <is>
          <t>martes</t>
        </is>
      </c>
      <c r="C180" s="3" t="inlineStr">
        <is>
          <t>Técnico 10</t>
        </is>
      </c>
      <c r="D180" s="3">
        <f>_xlfn.XLOOKUP(tblAsignaciones[[#This Row],[tecnico]],tblTecnicos[nombre],tblTecnicos[area],"")</f>
        <v/>
      </c>
      <c r="E180" s="3">
        <f>_xlfn.XLOOKUP(tblAsignaciones[[#This Row],[tecnico]],tblTecnicos[nombre],tblTecnicos[especialidad],"")</f>
        <v/>
      </c>
      <c r="F180" s="3">
        <f>COUNTIFS(tblTecnicos[rotativo],"SI",tblTecnicos[especialidad],tblAsignaciones[[#This Row],[especialidad]],tblTecnicos[area],tblAsignaciones[[#This Row],[area]])</f>
        <v/>
      </c>
      <c r="G18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0" s="6" t="n"/>
      <c r="J18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0" s="3">
        <f>_xlfn.XLOOKUP(tblAsignaciones[[#This Row],[tecnico]],tblTecnicos[nombre],tblTecnicos[supervisor],"")</f>
        <v/>
      </c>
      <c r="L18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0" s="3">
        <f>tblAsignaciones[[#This Row],[semana]]&amp;"|"&amp;tblAsignaciones[[#This Row],[dia]]&amp;"|"&amp;tblAsignaciones[[#This Row],[tecnico]]</f>
        <v/>
      </c>
      <c r="O180" s="3">
        <f>_xlfn.XLOOKUP(tblAsignaciones[[#This Row],[turno]],tblTurnos[turno],tblTurnos[hora_inicio],"")</f>
        <v/>
      </c>
      <c r="P180" s="3">
        <f>_xlfn.XLOOKUP(tblAsignaciones[[#This Row],[turno]],tblTurnos[turno],tblTurnos[hora_fin],"")</f>
        <v/>
      </c>
      <c r="Q180" s="3">
        <f>IF(AND(LEFT(tblAsignaciones[[#This Row],[posicion_ciclo]],1)="T",tblAsignaciones[[#This Row],[en_vacaciones]]="no"),"sí","no")</f>
        <v/>
      </c>
    </row>
    <row r="181">
      <c r="A181" s="3" t="inlineStr">
        <is>
          <t>2026-S31</t>
        </is>
      </c>
      <c r="B181" s="3" t="inlineStr">
        <is>
          <t>miércoles</t>
        </is>
      </c>
      <c r="C181" s="3" t="inlineStr">
        <is>
          <t>Técnico 10</t>
        </is>
      </c>
      <c r="D181" s="3">
        <f>_xlfn.XLOOKUP(tblAsignaciones[[#This Row],[tecnico]],tblTecnicos[nombre],tblTecnicos[area],"")</f>
        <v/>
      </c>
      <c r="E181" s="3">
        <f>_xlfn.XLOOKUP(tblAsignaciones[[#This Row],[tecnico]],tblTecnicos[nombre],tblTecnicos[especialidad],"")</f>
        <v/>
      </c>
      <c r="F181" s="3">
        <f>COUNTIFS(tblTecnicos[rotativo],"SI",tblTecnicos[especialidad],tblAsignaciones[[#This Row],[especialidad]],tblTecnicos[area],tblAsignaciones[[#This Row],[area]])</f>
        <v/>
      </c>
      <c r="G18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1" s="6" t="n"/>
      <c r="J18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1" s="3">
        <f>_xlfn.XLOOKUP(tblAsignaciones[[#This Row],[tecnico]],tblTecnicos[nombre],tblTecnicos[supervisor],"")</f>
        <v/>
      </c>
      <c r="L18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1" s="3">
        <f>tblAsignaciones[[#This Row],[semana]]&amp;"|"&amp;tblAsignaciones[[#This Row],[dia]]&amp;"|"&amp;tblAsignaciones[[#This Row],[tecnico]]</f>
        <v/>
      </c>
      <c r="O181" s="3">
        <f>_xlfn.XLOOKUP(tblAsignaciones[[#This Row],[turno]],tblTurnos[turno],tblTurnos[hora_inicio],"")</f>
        <v/>
      </c>
      <c r="P181" s="3">
        <f>_xlfn.XLOOKUP(tblAsignaciones[[#This Row],[turno]],tblTurnos[turno],tblTurnos[hora_fin],"")</f>
        <v/>
      </c>
      <c r="Q181" s="3">
        <f>IF(AND(LEFT(tblAsignaciones[[#This Row],[posicion_ciclo]],1)="T",tblAsignaciones[[#This Row],[en_vacaciones]]="no"),"sí","no")</f>
        <v/>
      </c>
    </row>
    <row r="182">
      <c r="A182" s="3" t="inlineStr">
        <is>
          <t>2026-S31</t>
        </is>
      </c>
      <c r="B182" s="3" t="inlineStr">
        <is>
          <t>jueves</t>
        </is>
      </c>
      <c r="C182" s="3" t="inlineStr">
        <is>
          <t>Técnico 10</t>
        </is>
      </c>
      <c r="D182" s="3">
        <f>_xlfn.XLOOKUP(tblAsignaciones[[#This Row],[tecnico]],tblTecnicos[nombre],tblTecnicos[area],"")</f>
        <v/>
      </c>
      <c r="E182" s="3">
        <f>_xlfn.XLOOKUP(tblAsignaciones[[#This Row],[tecnico]],tblTecnicos[nombre],tblTecnicos[especialidad],"")</f>
        <v/>
      </c>
      <c r="F182" s="3">
        <f>COUNTIFS(tblTecnicos[rotativo],"SI",tblTecnicos[especialidad],tblAsignaciones[[#This Row],[especialidad]],tblTecnicos[area],tblAsignaciones[[#This Row],[area]])</f>
        <v/>
      </c>
      <c r="G18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2" s="6" t="n"/>
      <c r="J18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2" s="3">
        <f>_xlfn.XLOOKUP(tblAsignaciones[[#This Row],[tecnico]],tblTecnicos[nombre],tblTecnicos[supervisor],"")</f>
        <v/>
      </c>
      <c r="L18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2" s="3">
        <f>tblAsignaciones[[#This Row],[semana]]&amp;"|"&amp;tblAsignaciones[[#This Row],[dia]]&amp;"|"&amp;tblAsignaciones[[#This Row],[tecnico]]</f>
        <v/>
      </c>
      <c r="O182" s="3">
        <f>_xlfn.XLOOKUP(tblAsignaciones[[#This Row],[turno]],tblTurnos[turno],tblTurnos[hora_inicio],"")</f>
        <v/>
      </c>
      <c r="P182" s="3">
        <f>_xlfn.XLOOKUP(tblAsignaciones[[#This Row],[turno]],tblTurnos[turno],tblTurnos[hora_fin],"")</f>
        <v/>
      </c>
      <c r="Q182" s="3">
        <f>IF(AND(LEFT(tblAsignaciones[[#This Row],[posicion_ciclo]],1)="T",tblAsignaciones[[#This Row],[en_vacaciones]]="no"),"sí","no")</f>
        <v/>
      </c>
    </row>
    <row r="183">
      <c r="A183" s="3" t="inlineStr">
        <is>
          <t>2026-S31</t>
        </is>
      </c>
      <c r="B183" s="3" t="inlineStr">
        <is>
          <t>viernes</t>
        </is>
      </c>
      <c r="C183" s="3" t="inlineStr">
        <is>
          <t>Técnico 10</t>
        </is>
      </c>
      <c r="D183" s="3">
        <f>_xlfn.XLOOKUP(tblAsignaciones[[#This Row],[tecnico]],tblTecnicos[nombre],tblTecnicos[area],"")</f>
        <v/>
      </c>
      <c r="E183" s="3">
        <f>_xlfn.XLOOKUP(tblAsignaciones[[#This Row],[tecnico]],tblTecnicos[nombre],tblTecnicos[especialidad],"")</f>
        <v/>
      </c>
      <c r="F183" s="3">
        <f>COUNTIFS(tblTecnicos[rotativo],"SI",tblTecnicos[especialidad],tblAsignaciones[[#This Row],[especialidad]],tblTecnicos[area],tblAsignaciones[[#This Row],[area]])</f>
        <v/>
      </c>
      <c r="G18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3" s="6" t="n"/>
      <c r="J18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3" s="3">
        <f>_xlfn.XLOOKUP(tblAsignaciones[[#This Row],[tecnico]],tblTecnicos[nombre],tblTecnicos[supervisor],"")</f>
        <v/>
      </c>
      <c r="L18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3" s="3">
        <f>tblAsignaciones[[#This Row],[semana]]&amp;"|"&amp;tblAsignaciones[[#This Row],[dia]]&amp;"|"&amp;tblAsignaciones[[#This Row],[tecnico]]</f>
        <v/>
      </c>
      <c r="O183" s="3">
        <f>_xlfn.XLOOKUP(tblAsignaciones[[#This Row],[turno]],tblTurnos[turno],tblTurnos[hora_inicio],"")</f>
        <v/>
      </c>
      <c r="P183" s="3">
        <f>_xlfn.XLOOKUP(tblAsignaciones[[#This Row],[turno]],tblTurnos[turno],tblTurnos[hora_fin],"")</f>
        <v/>
      </c>
      <c r="Q183" s="3">
        <f>IF(AND(LEFT(tblAsignaciones[[#This Row],[posicion_ciclo]],1)="T",tblAsignaciones[[#This Row],[en_vacaciones]]="no"),"sí","no")</f>
        <v/>
      </c>
    </row>
    <row r="184">
      <c r="A184" s="3" t="inlineStr">
        <is>
          <t>2026-S31</t>
        </is>
      </c>
      <c r="B184" s="3" t="inlineStr">
        <is>
          <t>sábado</t>
        </is>
      </c>
      <c r="C184" s="3" t="inlineStr">
        <is>
          <t>Técnico 10</t>
        </is>
      </c>
      <c r="D184" s="3">
        <f>_xlfn.XLOOKUP(tblAsignaciones[[#This Row],[tecnico]],tblTecnicos[nombre],tblTecnicos[area],"")</f>
        <v/>
      </c>
      <c r="E184" s="3">
        <f>_xlfn.XLOOKUP(tblAsignaciones[[#This Row],[tecnico]],tblTecnicos[nombre],tblTecnicos[especialidad],"")</f>
        <v/>
      </c>
      <c r="F184" s="3">
        <f>COUNTIFS(tblTecnicos[rotativo],"SI",tblTecnicos[especialidad],tblAsignaciones[[#This Row],[especialidad]],tblTecnicos[area],tblAsignaciones[[#This Row],[area]])</f>
        <v/>
      </c>
      <c r="G18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4" s="6" t="n"/>
      <c r="J18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4" s="3">
        <f>_xlfn.XLOOKUP(tblAsignaciones[[#This Row],[tecnico]],tblTecnicos[nombre],tblTecnicos[supervisor],"")</f>
        <v/>
      </c>
      <c r="L18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4" s="3">
        <f>tblAsignaciones[[#This Row],[semana]]&amp;"|"&amp;tblAsignaciones[[#This Row],[dia]]&amp;"|"&amp;tblAsignaciones[[#This Row],[tecnico]]</f>
        <v/>
      </c>
      <c r="O184" s="3">
        <f>_xlfn.XLOOKUP(tblAsignaciones[[#This Row],[turno]],tblTurnos[turno],tblTurnos[hora_inicio],"")</f>
        <v/>
      </c>
      <c r="P184" s="3">
        <f>_xlfn.XLOOKUP(tblAsignaciones[[#This Row],[turno]],tblTurnos[turno],tblTurnos[hora_fin],"")</f>
        <v/>
      </c>
      <c r="Q184" s="3">
        <f>IF(AND(LEFT(tblAsignaciones[[#This Row],[posicion_ciclo]],1)="T",tblAsignaciones[[#This Row],[en_vacaciones]]="no"),"sí","no")</f>
        <v/>
      </c>
    </row>
    <row r="185">
      <c r="A185" s="3" t="inlineStr">
        <is>
          <t>2026-S31</t>
        </is>
      </c>
      <c r="B185" s="3" t="inlineStr">
        <is>
          <t>domingo</t>
        </is>
      </c>
      <c r="C185" s="3" t="inlineStr">
        <is>
          <t>Técnico 10</t>
        </is>
      </c>
      <c r="D185" s="3">
        <f>_xlfn.XLOOKUP(tblAsignaciones[[#This Row],[tecnico]],tblTecnicos[nombre],tblTecnicos[area],"")</f>
        <v/>
      </c>
      <c r="E185" s="3">
        <f>_xlfn.XLOOKUP(tblAsignaciones[[#This Row],[tecnico]],tblTecnicos[nombre],tblTecnicos[especialidad],"")</f>
        <v/>
      </c>
      <c r="F185" s="3">
        <f>COUNTIFS(tblTecnicos[rotativo],"SI",tblTecnicos[especialidad],tblAsignaciones[[#This Row],[especialidad]],tblTecnicos[area],tblAsignaciones[[#This Row],[area]])</f>
        <v/>
      </c>
      <c r="G18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5" s="6" t="n"/>
      <c r="J18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5" s="3">
        <f>_xlfn.XLOOKUP(tblAsignaciones[[#This Row],[tecnico]],tblTecnicos[nombre],tblTecnicos[supervisor],"")</f>
        <v/>
      </c>
      <c r="L18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5" s="3">
        <f>tblAsignaciones[[#This Row],[semana]]&amp;"|"&amp;tblAsignaciones[[#This Row],[dia]]&amp;"|"&amp;tblAsignaciones[[#This Row],[tecnico]]</f>
        <v/>
      </c>
      <c r="O185" s="3">
        <f>_xlfn.XLOOKUP(tblAsignaciones[[#This Row],[turno]],tblTurnos[turno],tblTurnos[hora_inicio],"")</f>
        <v/>
      </c>
      <c r="P185" s="3">
        <f>_xlfn.XLOOKUP(tblAsignaciones[[#This Row],[turno]],tblTurnos[turno],tblTurnos[hora_fin],"")</f>
        <v/>
      </c>
      <c r="Q185" s="3">
        <f>IF(AND(LEFT(tblAsignaciones[[#This Row],[posicion_ciclo]],1)="T",tblAsignaciones[[#This Row],[en_vacaciones]]="no"),"sí","no")</f>
        <v/>
      </c>
    </row>
    <row r="186">
      <c r="A186" s="3" t="inlineStr">
        <is>
          <t>2026-S31</t>
        </is>
      </c>
      <c r="B186" s="3" t="inlineStr">
        <is>
          <t>lunes</t>
        </is>
      </c>
      <c r="C186" s="3" t="inlineStr">
        <is>
          <t>Técnico 11</t>
        </is>
      </c>
      <c r="D186" s="3">
        <f>_xlfn.XLOOKUP(tblAsignaciones[[#This Row],[tecnico]],tblTecnicos[nombre],tblTecnicos[area],"")</f>
        <v/>
      </c>
      <c r="E186" s="3">
        <f>_xlfn.XLOOKUP(tblAsignaciones[[#This Row],[tecnico]],tblTecnicos[nombre],tblTecnicos[especialidad],"")</f>
        <v/>
      </c>
      <c r="F186" s="3">
        <f>COUNTIFS(tblTecnicos[rotativo],"SI",tblTecnicos[especialidad],tblAsignaciones[[#This Row],[especialidad]],tblTecnicos[area],tblAsignaciones[[#This Row],[area]])</f>
        <v/>
      </c>
      <c r="G18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6" s="6" t="n"/>
      <c r="J18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6" s="3">
        <f>_xlfn.XLOOKUP(tblAsignaciones[[#This Row],[tecnico]],tblTecnicos[nombre],tblTecnicos[supervisor],"")</f>
        <v/>
      </c>
      <c r="L18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6" s="3">
        <f>tblAsignaciones[[#This Row],[semana]]&amp;"|"&amp;tblAsignaciones[[#This Row],[dia]]&amp;"|"&amp;tblAsignaciones[[#This Row],[tecnico]]</f>
        <v/>
      </c>
      <c r="O186" s="3">
        <f>_xlfn.XLOOKUP(tblAsignaciones[[#This Row],[turno]],tblTurnos[turno],tblTurnos[hora_inicio],"")</f>
        <v/>
      </c>
      <c r="P186" s="3">
        <f>_xlfn.XLOOKUP(tblAsignaciones[[#This Row],[turno]],tblTurnos[turno],tblTurnos[hora_fin],"")</f>
        <v/>
      </c>
      <c r="Q186" s="3">
        <f>IF(AND(LEFT(tblAsignaciones[[#This Row],[posicion_ciclo]],1)="T",tblAsignaciones[[#This Row],[en_vacaciones]]="no"),"sí","no")</f>
        <v/>
      </c>
    </row>
    <row r="187">
      <c r="A187" s="3" t="inlineStr">
        <is>
          <t>2026-S31</t>
        </is>
      </c>
      <c r="B187" s="3" t="inlineStr">
        <is>
          <t>martes</t>
        </is>
      </c>
      <c r="C187" s="3" t="inlineStr">
        <is>
          <t>Técnico 11</t>
        </is>
      </c>
      <c r="D187" s="3">
        <f>_xlfn.XLOOKUP(tblAsignaciones[[#This Row],[tecnico]],tblTecnicos[nombre],tblTecnicos[area],"")</f>
        <v/>
      </c>
      <c r="E187" s="3">
        <f>_xlfn.XLOOKUP(tblAsignaciones[[#This Row],[tecnico]],tblTecnicos[nombre],tblTecnicos[especialidad],"")</f>
        <v/>
      </c>
      <c r="F187" s="3">
        <f>COUNTIFS(tblTecnicos[rotativo],"SI",tblTecnicos[especialidad],tblAsignaciones[[#This Row],[especialidad]],tblTecnicos[area],tblAsignaciones[[#This Row],[area]])</f>
        <v/>
      </c>
      <c r="G18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7" s="6" t="n"/>
      <c r="J18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7" s="3">
        <f>_xlfn.XLOOKUP(tblAsignaciones[[#This Row],[tecnico]],tblTecnicos[nombre],tblTecnicos[supervisor],"")</f>
        <v/>
      </c>
      <c r="L18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7" s="3">
        <f>tblAsignaciones[[#This Row],[semana]]&amp;"|"&amp;tblAsignaciones[[#This Row],[dia]]&amp;"|"&amp;tblAsignaciones[[#This Row],[tecnico]]</f>
        <v/>
      </c>
      <c r="O187" s="3">
        <f>_xlfn.XLOOKUP(tblAsignaciones[[#This Row],[turno]],tblTurnos[turno],tblTurnos[hora_inicio],"")</f>
        <v/>
      </c>
      <c r="P187" s="3">
        <f>_xlfn.XLOOKUP(tblAsignaciones[[#This Row],[turno]],tblTurnos[turno],tblTurnos[hora_fin],"")</f>
        <v/>
      </c>
      <c r="Q187" s="3">
        <f>IF(AND(LEFT(tblAsignaciones[[#This Row],[posicion_ciclo]],1)="T",tblAsignaciones[[#This Row],[en_vacaciones]]="no"),"sí","no")</f>
        <v/>
      </c>
    </row>
    <row r="188">
      <c r="A188" s="3" t="inlineStr">
        <is>
          <t>2026-S31</t>
        </is>
      </c>
      <c r="B188" s="3" t="inlineStr">
        <is>
          <t>miércoles</t>
        </is>
      </c>
      <c r="C188" s="3" t="inlineStr">
        <is>
          <t>Técnico 11</t>
        </is>
      </c>
      <c r="D188" s="3">
        <f>_xlfn.XLOOKUP(tblAsignaciones[[#This Row],[tecnico]],tblTecnicos[nombre],tblTecnicos[area],"")</f>
        <v/>
      </c>
      <c r="E188" s="3">
        <f>_xlfn.XLOOKUP(tblAsignaciones[[#This Row],[tecnico]],tblTecnicos[nombre],tblTecnicos[especialidad],"")</f>
        <v/>
      </c>
      <c r="F188" s="3">
        <f>COUNTIFS(tblTecnicos[rotativo],"SI",tblTecnicos[especialidad],tblAsignaciones[[#This Row],[especialidad]],tblTecnicos[area],tblAsignaciones[[#This Row],[area]])</f>
        <v/>
      </c>
      <c r="G18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8" s="6" t="n"/>
      <c r="J18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8" s="3">
        <f>_xlfn.XLOOKUP(tblAsignaciones[[#This Row],[tecnico]],tblTecnicos[nombre],tblTecnicos[supervisor],"")</f>
        <v/>
      </c>
      <c r="L18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8" s="3">
        <f>tblAsignaciones[[#This Row],[semana]]&amp;"|"&amp;tblAsignaciones[[#This Row],[dia]]&amp;"|"&amp;tblAsignaciones[[#This Row],[tecnico]]</f>
        <v/>
      </c>
      <c r="O188" s="3">
        <f>_xlfn.XLOOKUP(tblAsignaciones[[#This Row],[turno]],tblTurnos[turno],tblTurnos[hora_inicio],"")</f>
        <v/>
      </c>
      <c r="P188" s="3">
        <f>_xlfn.XLOOKUP(tblAsignaciones[[#This Row],[turno]],tblTurnos[turno],tblTurnos[hora_fin],"")</f>
        <v/>
      </c>
      <c r="Q188" s="3">
        <f>IF(AND(LEFT(tblAsignaciones[[#This Row],[posicion_ciclo]],1)="T",tblAsignaciones[[#This Row],[en_vacaciones]]="no"),"sí","no")</f>
        <v/>
      </c>
    </row>
    <row r="189">
      <c r="A189" s="3" t="inlineStr">
        <is>
          <t>2026-S31</t>
        </is>
      </c>
      <c r="B189" s="3" t="inlineStr">
        <is>
          <t>jueves</t>
        </is>
      </c>
      <c r="C189" s="3" t="inlineStr">
        <is>
          <t>Técnico 11</t>
        </is>
      </c>
      <c r="D189" s="3">
        <f>_xlfn.XLOOKUP(tblAsignaciones[[#This Row],[tecnico]],tblTecnicos[nombre],tblTecnicos[area],"")</f>
        <v/>
      </c>
      <c r="E189" s="3">
        <f>_xlfn.XLOOKUP(tblAsignaciones[[#This Row],[tecnico]],tblTecnicos[nombre],tblTecnicos[especialidad],"")</f>
        <v/>
      </c>
      <c r="F189" s="3">
        <f>COUNTIFS(tblTecnicos[rotativo],"SI",tblTecnicos[especialidad],tblAsignaciones[[#This Row],[especialidad]],tblTecnicos[area],tblAsignaciones[[#This Row],[area]])</f>
        <v/>
      </c>
      <c r="G18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9" s="6" t="n"/>
      <c r="J18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9" s="3">
        <f>_xlfn.XLOOKUP(tblAsignaciones[[#This Row],[tecnico]],tblTecnicos[nombre],tblTecnicos[supervisor],"")</f>
        <v/>
      </c>
      <c r="L18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9" s="3">
        <f>tblAsignaciones[[#This Row],[semana]]&amp;"|"&amp;tblAsignaciones[[#This Row],[dia]]&amp;"|"&amp;tblAsignaciones[[#This Row],[tecnico]]</f>
        <v/>
      </c>
      <c r="O189" s="3">
        <f>_xlfn.XLOOKUP(tblAsignaciones[[#This Row],[turno]],tblTurnos[turno],tblTurnos[hora_inicio],"")</f>
        <v/>
      </c>
      <c r="P189" s="3">
        <f>_xlfn.XLOOKUP(tblAsignaciones[[#This Row],[turno]],tblTurnos[turno],tblTurnos[hora_fin],"")</f>
        <v/>
      </c>
      <c r="Q189" s="3">
        <f>IF(AND(LEFT(tblAsignaciones[[#This Row],[posicion_ciclo]],1)="T",tblAsignaciones[[#This Row],[en_vacaciones]]="no"),"sí","no")</f>
        <v/>
      </c>
    </row>
    <row r="190">
      <c r="A190" s="3" t="inlineStr">
        <is>
          <t>2026-S31</t>
        </is>
      </c>
      <c r="B190" s="3" t="inlineStr">
        <is>
          <t>viernes</t>
        </is>
      </c>
      <c r="C190" s="3" t="inlineStr">
        <is>
          <t>Técnico 11</t>
        </is>
      </c>
      <c r="D190" s="3">
        <f>_xlfn.XLOOKUP(tblAsignaciones[[#This Row],[tecnico]],tblTecnicos[nombre],tblTecnicos[area],"")</f>
        <v/>
      </c>
      <c r="E190" s="3">
        <f>_xlfn.XLOOKUP(tblAsignaciones[[#This Row],[tecnico]],tblTecnicos[nombre],tblTecnicos[especialidad],"")</f>
        <v/>
      </c>
      <c r="F190" s="3">
        <f>COUNTIFS(tblTecnicos[rotativo],"SI",tblTecnicos[especialidad],tblAsignaciones[[#This Row],[especialidad]],tblTecnicos[area],tblAsignaciones[[#This Row],[area]])</f>
        <v/>
      </c>
      <c r="G19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0" s="6" t="n"/>
      <c r="J19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0" s="3">
        <f>_xlfn.XLOOKUP(tblAsignaciones[[#This Row],[tecnico]],tblTecnicos[nombre],tblTecnicos[supervisor],"")</f>
        <v/>
      </c>
      <c r="L19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0" s="3">
        <f>tblAsignaciones[[#This Row],[semana]]&amp;"|"&amp;tblAsignaciones[[#This Row],[dia]]&amp;"|"&amp;tblAsignaciones[[#This Row],[tecnico]]</f>
        <v/>
      </c>
      <c r="O190" s="3">
        <f>_xlfn.XLOOKUP(tblAsignaciones[[#This Row],[turno]],tblTurnos[turno],tblTurnos[hora_inicio],"")</f>
        <v/>
      </c>
      <c r="P190" s="3">
        <f>_xlfn.XLOOKUP(tblAsignaciones[[#This Row],[turno]],tblTurnos[turno],tblTurnos[hora_fin],"")</f>
        <v/>
      </c>
      <c r="Q190" s="3">
        <f>IF(AND(LEFT(tblAsignaciones[[#This Row],[posicion_ciclo]],1)="T",tblAsignaciones[[#This Row],[en_vacaciones]]="no"),"sí","no")</f>
        <v/>
      </c>
    </row>
    <row r="191">
      <c r="A191" s="3" t="inlineStr">
        <is>
          <t>2026-S31</t>
        </is>
      </c>
      <c r="B191" s="3" t="inlineStr">
        <is>
          <t>sábado</t>
        </is>
      </c>
      <c r="C191" s="3" t="inlineStr">
        <is>
          <t>Técnico 11</t>
        </is>
      </c>
      <c r="D191" s="3">
        <f>_xlfn.XLOOKUP(tblAsignaciones[[#This Row],[tecnico]],tblTecnicos[nombre],tblTecnicos[area],"")</f>
        <v/>
      </c>
      <c r="E191" s="3">
        <f>_xlfn.XLOOKUP(tblAsignaciones[[#This Row],[tecnico]],tblTecnicos[nombre],tblTecnicos[especialidad],"")</f>
        <v/>
      </c>
      <c r="F191" s="3">
        <f>COUNTIFS(tblTecnicos[rotativo],"SI",tblTecnicos[especialidad],tblAsignaciones[[#This Row],[especialidad]],tblTecnicos[area],tblAsignaciones[[#This Row],[area]])</f>
        <v/>
      </c>
      <c r="G19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1" s="6" t="n"/>
      <c r="J19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1" s="3">
        <f>_xlfn.XLOOKUP(tblAsignaciones[[#This Row],[tecnico]],tblTecnicos[nombre],tblTecnicos[supervisor],"")</f>
        <v/>
      </c>
      <c r="L19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1" s="3">
        <f>tblAsignaciones[[#This Row],[semana]]&amp;"|"&amp;tblAsignaciones[[#This Row],[dia]]&amp;"|"&amp;tblAsignaciones[[#This Row],[tecnico]]</f>
        <v/>
      </c>
      <c r="O191" s="3">
        <f>_xlfn.XLOOKUP(tblAsignaciones[[#This Row],[turno]],tblTurnos[turno],tblTurnos[hora_inicio],"")</f>
        <v/>
      </c>
      <c r="P191" s="3">
        <f>_xlfn.XLOOKUP(tblAsignaciones[[#This Row],[turno]],tblTurnos[turno],tblTurnos[hora_fin],"")</f>
        <v/>
      </c>
      <c r="Q191" s="3">
        <f>IF(AND(LEFT(tblAsignaciones[[#This Row],[posicion_ciclo]],1)="T",tblAsignaciones[[#This Row],[en_vacaciones]]="no"),"sí","no")</f>
        <v/>
      </c>
    </row>
    <row r="192">
      <c r="A192" s="3" t="inlineStr">
        <is>
          <t>2026-S31</t>
        </is>
      </c>
      <c r="B192" s="3" t="inlineStr">
        <is>
          <t>domingo</t>
        </is>
      </c>
      <c r="C192" s="3" t="inlineStr">
        <is>
          <t>Técnico 11</t>
        </is>
      </c>
      <c r="D192" s="3">
        <f>_xlfn.XLOOKUP(tblAsignaciones[[#This Row],[tecnico]],tblTecnicos[nombre],tblTecnicos[area],"")</f>
        <v/>
      </c>
      <c r="E192" s="3">
        <f>_xlfn.XLOOKUP(tblAsignaciones[[#This Row],[tecnico]],tblTecnicos[nombre],tblTecnicos[especialidad],"")</f>
        <v/>
      </c>
      <c r="F192" s="3">
        <f>COUNTIFS(tblTecnicos[rotativo],"SI",tblTecnicos[especialidad],tblAsignaciones[[#This Row],[especialidad]],tblTecnicos[area],tblAsignaciones[[#This Row],[area]])</f>
        <v/>
      </c>
      <c r="G19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2" s="6" t="n"/>
      <c r="J19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2" s="3">
        <f>_xlfn.XLOOKUP(tblAsignaciones[[#This Row],[tecnico]],tblTecnicos[nombre],tblTecnicos[supervisor],"")</f>
        <v/>
      </c>
      <c r="L19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2" s="3">
        <f>tblAsignaciones[[#This Row],[semana]]&amp;"|"&amp;tblAsignaciones[[#This Row],[dia]]&amp;"|"&amp;tblAsignaciones[[#This Row],[tecnico]]</f>
        <v/>
      </c>
      <c r="O192" s="3">
        <f>_xlfn.XLOOKUP(tblAsignaciones[[#This Row],[turno]],tblTurnos[turno],tblTurnos[hora_inicio],"")</f>
        <v/>
      </c>
      <c r="P192" s="3">
        <f>_xlfn.XLOOKUP(tblAsignaciones[[#This Row],[turno]],tblTurnos[turno],tblTurnos[hora_fin],"")</f>
        <v/>
      </c>
      <c r="Q192" s="3">
        <f>IF(AND(LEFT(tblAsignaciones[[#This Row],[posicion_ciclo]],1)="T",tblAsignaciones[[#This Row],[en_vacaciones]]="no"),"sí","no")</f>
        <v/>
      </c>
    </row>
    <row r="193">
      <c r="A193" s="3" t="inlineStr">
        <is>
          <t>2026-S31</t>
        </is>
      </c>
      <c r="B193" s="3" t="inlineStr">
        <is>
          <t>lunes</t>
        </is>
      </c>
      <c r="C193" s="3" t="inlineStr">
        <is>
          <t>Técnico 12</t>
        </is>
      </c>
      <c r="D193" s="3">
        <f>_xlfn.XLOOKUP(tblAsignaciones[[#This Row],[tecnico]],tblTecnicos[nombre],tblTecnicos[area],"")</f>
        <v/>
      </c>
      <c r="E193" s="3">
        <f>_xlfn.XLOOKUP(tblAsignaciones[[#This Row],[tecnico]],tblTecnicos[nombre],tblTecnicos[especialidad],"")</f>
        <v/>
      </c>
      <c r="F193" s="3">
        <f>COUNTIFS(tblTecnicos[rotativo],"SI",tblTecnicos[especialidad],tblAsignaciones[[#This Row],[especialidad]],tblTecnicos[area],tblAsignaciones[[#This Row],[area]])</f>
        <v/>
      </c>
      <c r="G19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3" s="6" t="n"/>
      <c r="J19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3" s="3">
        <f>_xlfn.XLOOKUP(tblAsignaciones[[#This Row],[tecnico]],tblTecnicos[nombre],tblTecnicos[supervisor],"")</f>
        <v/>
      </c>
      <c r="L19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3" s="3">
        <f>tblAsignaciones[[#This Row],[semana]]&amp;"|"&amp;tblAsignaciones[[#This Row],[dia]]&amp;"|"&amp;tblAsignaciones[[#This Row],[tecnico]]</f>
        <v/>
      </c>
      <c r="O193" s="3">
        <f>_xlfn.XLOOKUP(tblAsignaciones[[#This Row],[turno]],tblTurnos[turno],tblTurnos[hora_inicio],"")</f>
        <v/>
      </c>
      <c r="P193" s="3">
        <f>_xlfn.XLOOKUP(tblAsignaciones[[#This Row],[turno]],tblTurnos[turno],tblTurnos[hora_fin],"")</f>
        <v/>
      </c>
      <c r="Q193" s="3">
        <f>IF(AND(LEFT(tblAsignaciones[[#This Row],[posicion_ciclo]],1)="T",tblAsignaciones[[#This Row],[en_vacaciones]]="no"),"sí","no")</f>
        <v/>
      </c>
    </row>
    <row r="194">
      <c r="A194" s="3" t="inlineStr">
        <is>
          <t>2026-S31</t>
        </is>
      </c>
      <c r="B194" s="3" t="inlineStr">
        <is>
          <t>martes</t>
        </is>
      </c>
      <c r="C194" s="3" t="inlineStr">
        <is>
          <t>Técnico 12</t>
        </is>
      </c>
      <c r="D194" s="3">
        <f>_xlfn.XLOOKUP(tblAsignaciones[[#This Row],[tecnico]],tblTecnicos[nombre],tblTecnicos[area],"")</f>
        <v/>
      </c>
      <c r="E194" s="3">
        <f>_xlfn.XLOOKUP(tblAsignaciones[[#This Row],[tecnico]],tblTecnicos[nombre],tblTecnicos[especialidad],"")</f>
        <v/>
      </c>
      <c r="F194" s="3">
        <f>COUNTIFS(tblTecnicos[rotativo],"SI",tblTecnicos[especialidad],tblAsignaciones[[#This Row],[especialidad]],tblTecnicos[area],tblAsignaciones[[#This Row],[area]])</f>
        <v/>
      </c>
      <c r="G19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4" s="6" t="n"/>
      <c r="J19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4" s="3">
        <f>_xlfn.XLOOKUP(tblAsignaciones[[#This Row],[tecnico]],tblTecnicos[nombre],tblTecnicos[supervisor],"")</f>
        <v/>
      </c>
      <c r="L19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4" s="3">
        <f>tblAsignaciones[[#This Row],[semana]]&amp;"|"&amp;tblAsignaciones[[#This Row],[dia]]&amp;"|"&amp;tblAsignaciones[[#This Row],[tecnico]]</f>
        <v/>
      </c>
      <c r="O194" s="3">
        <f>_xlfn.XLOOKUP(tblAsignaciones[[#This Row],[turno]],tblTurnos[turno],tblTurnos[hora_inicio],"")</f>
        <v/>
      </c>
      <c r="P194" s="3">
        <f>_xlfn.XLOOKUP(tblAsignaciones[[#This Row],[turno]],tblTurnos[turno],tblTurnos[hora_fin],"")</f>
        <v/>
      </c>
      <c r="Q194" s="3">
        <f>IF(AND(LEFT(tblAsignaciones[[#This Row],[posicion_ciclo]],1)="T",tblAsignaciones[[#This Row],[en_vacaciones]]="no"),"sí","no")</f>
        <v/>
      </c>
    </row>
    <row r="195">
      <c r="A195" s="3" t="inlineStr">
        <is>
          <t>2026-S31</t>
        </is>
      </c>
      <c r="B195" s="3" t="inlineStr">
        <is>
          <t>miércoles</t>
        </is>
      </c>
      <c r="C195" s="3" t="inlineStr">
        <is>
          <t>Técnico 12</t>
        </is>
      </c>
      <c r="D195" s="3">
        <f>_xlfn.XLOOKUP(tblAsignaciones[[#This Row],[tecnico]],tblTecnicos[nombre],tblTecnicos[area],"")</f>
        <v/>
      </c>
      <c r="E195" s="3">
        <f>_xlfn.XLOOKUP(tblAsignaciones[[#This Row],[tecnico]],tblTecnicos[nombre],tblTecnicos[especialidad],"")</f>
        <v/>
      </c>
      <c r="F195" s="3">
        <f>COUNTIFS(tblTecnicos[rotativo],"SI",tblTecnicos[especialidad],tblAsignaciones[[#This Row],[especialidad]],tblTecnicos[area],tblAsignaciones[[#This Row],[area]])</f>
        <v/>
      </c>
      <c r="G19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5" s="6" t="n"/>
      <c r="J19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5" s="3">
        <f>_xlfn.XLOOKUP(tblAsignaciones[[#This Row],[tecnico]],tblTecnicos[nombre],tblTecnicos[supervisor],"")</f>
        <v/>
      </c>
      <c r="L19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5" s="3">
        <f>tblAsignaciones[[#This Row],[semana]]&amp;"|"&amp;tblAsignaciones[[#This Row],[dia]]&amp;"|"&amp;tblAsignaciones[[#This Row],[tecnico]]</f>
        <v/>
      </c>
      <c r="O195" s="3">
        <f>_xlfn.XLOOKUP(tblAsignaciones[[#This Row],[turno]],tblTurnos[turno],tblTurnos[hora_inicio],"")</f>
        <v/>
      </c>
      <c r="P195" s="3">
        <f>_xlfn.XLOOKUP(tblAsignaciones[[#This Row],[turno]],tblTurnos[turno],tblTurnos[hora_fin],"")</f>
        <v/>
      </c>
      <c r="Q195" s="3">
        <f>IF(AND(LEFT(tblAsignaciones[[#This Row],[posicion_ciclo]],1)="T",tblAsignaciones[[#This Row],[en_vacaciones]]="no"),"sí","no")</f>
        <v/>
      </c>
    </row>
    <row r="196">
      <c r="A196" s="3" t="inlineStr">
        <is>
          <t>2026-S31</t>
        </is>
      </c>
      <c r="B196" s="3" t="inlineStr">
        <is>
          <t>jueves</t>
        </is>
      </c>
      <c r="C196" s="3" t="inlineStr">
        <is>
          <t>Técnico 12</t>
        </is>
      </c>
      <c r="D196" s="3">
        <f>_xlfn.XLOOKUP(tblAsignaciones[[#This Row],[tecnico]],tblTecnicos[nombre],tblTecnicos[area],"")</f>
        <v/>
      </c>
      <c r="E196" s="3">
        <f>_xlfn.XLOOKUP(tblAsignaciones[[#This Row],[tecnico]],tblTecnicos[nombre],tblTecnicos[especialidad],"")</f>
        <v/>
      </c>
      <c r="F196" s="3">
        <f>COUNTIFS(tblTecnicos[rotativo],"SI",tblTecnicos[especialidad],tblAsignaciones[[#This Row],[especialidad]],tblTecnicos[area],tblAsignaciones[[#This Row],[area]])</f>
        <v/>
      </c>
      <c r="G19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6" s="6" t="n"/>
      <c r="J19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6" s="3">
        <f>_xlfn.XLOOKUP(tblAsignaciones[[#This Row],[tecnico]],tblTecnicos[nombre],tblTecnicos[supervisor],"")</f>
        <v/>
      </c>
      <c r="L19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6" s="3">
        <f>tblAsignaciones[[#This Row],[semana]]&amp;"|"&amp;tblAsignaciones[[#This Row],[dia]]&amp;"|"&amp;tblAsignaciones[[#This Row],[tecnico]]</f>
        <v/>
      </c>
      <c r="O196" s="3">
        <f>_xlfn.XLOOKUP(tblAsignaciones[[#This Row],[turno]],tblTurnos[turno],tblTurnos[hora_inicio],"")</f>
        <v/>
      </c>
      <c r="P196" s="3">
        <f>_xlfn.XLOOKUP(tblAsignaciones[[#This Row],[turno]],tblTurnos[turno],tblTurnos[hora_fin],"")</f>
        <v/>
      </c>
      <c r="Q196" s="3">
        <f>IF(AND(LEFT(tblAsignaciones[[#This Row],[posicion_ciclo]],1)="T",tblAsignaciones[[#This Row],[en_vacaciones]]="no"),"sí","no")</f>
        <v/>
      </c>
    </row>
    <row r="197">
      <c r="A197" s="3" t="inlineStr">
        <is>
          <t>2026-S31</t>
        </is>
      </c>
      <c r="B197" s="3" t="inlineStr">
        <is>
          <t>viernes</t>
        </is>
      </c>
      <c r="C197" s="3" t="inlineStr">
        <is>
          <t>Técnico 12</t>
        </is>
      </c>
      <c r="D197" s="3">
        <f>_xlfn.XLOOKUP(tblAsignaciones[[#This Row],[tecnico]],tblTecnicos[nombre],tblTecnicos[area],"")</f>
        <v/>
      </c>
      <c r="E197" s="3">
        <f>_xlfn.XLOOKUP(tblAsignaciones[[#This Row],[tecnico]],tblTecnicos[nombre],tblTecnicos[especialidad],"")</f>
        <v/>
      </c>
      <c r="F197" s="3">
        <f>COUNTIFS(tblTecnicos[rotativo],"SI",tblTecnicos[especialidad],tblAsignaciones[[#This Row],[especialidad]],tblTecnicos[area],tblAsignaciones[[#This Row],[area]])</f>
        <v/>
      </c>
      <c r="G19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7" s="6" t="n"/>
      <c r="J19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7" s="3">
        <f>_xlfn.XLOOKUP(tblAsignaciones[[#This Row],[tecnico]],tblTecnicos[nombre],tblTecnicos[supervisor],"")</f>
        <v/>
      </c>
      <c r="L19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7" s="3">
        <f>tblAsignaciones[[#This Row],[semana]]&amp;"|"&amp;tblAsignaciones[[#This Row],[dia]]&amp;"|"&amp;tblAsignaciones[[#This Row],[tecnico]]</f>
        <v/>
      </c>
      <c r="O197" s="3">
        <f>_xlfn.XLOOKUP(tblAsignaciones[[#This Row],[turno]],tblTurnos[turno],tblTurnos[hora_inicio],"")</f>
        <v/>
      </c>
      <c r="P197" s="3">
        <f>_xlfn.XLOOKUP(tblAsignaciones[[#This Row],[turno]],tblTurnos[turno],tblTurnos[hora_fin],"")</f>
        <v/>
      </c>
      <c r="Q197" s="3">
        <f>IF(AND(LEFT(tblAsignaciones[[#This Row],[posicion_ciclo]],1)="T",tblAsignaciones[[#This Row],[en_vacaciones]]="no"),"sí","no")</f>
        <v/>
      </c>
    </row>
    <row r="198">
      <c r="A198" s="3" t="inlineStr">
        <is>
          <t>2026-S31</t>
        </is>
      </c>
      <c r="B198" s="3" t="inlineStr">
        <is>
          <t>sábado</t>
        </is>
      </c>
      <c r="C198" s="3" t="inlineStr">
        <is>
          <t>Técnico 12</t>
        </is>
      </c>
      <c r="D198" s="3">
        <f>_xlfn.XLOOKUP(tblAsignaciones[[#This Row],[tecnico]],tblTecnicos[nombre],tblTecnicos[area],"")</f>
        <v/>
      </c>
      <c r="E198" s="3">
        <f>_xlfn.XLOOKUP(tblAsignaciones[[#This Row],[tecnico]],tblTecnicos[nombre],tblTecnicos[especialidad],"")</f>
        <v/>
      </c>
      <c r="F198" s="3">
        <f>COUNTIFS(tblTecnicos[rotativo],"SI",tblTecnicos[especialidad],tblAsignaciones[[#This Row],[especialidad]],tblTecnicos[area],tblAsignaciones[[#This Row],[area]])</f>
        <v/>
      </c>
      <c r="G19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8" s="6" t="n"/>
      <c r="J19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8" s="3">
        <f>_xlfn.XLOOKUP(tblAsignaciones[[#This Row],[tecnico]],tblTecnicos[nombre],tblTecnicos[supervisor],"")</f>
        <v/>
      </c>
      <c r="L19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8" s="3">
        <f>tblAsignaciones[[#This Row],[semana]]&amp;"|"&amp;tblAsignaciones[[#This Row],[dia]]&amp;"|"&amp;tblAsignaciones[[#This Row],[tecnico]]</f>
        <v/>
      </c>
      <c r="O198" s="3">
        <f>_xlfn.XLOOKUP(tblAsignaciones[[#This Row],[turno]],tblTurnos[turno],tblTurnos[hora_inicio],"")</f>
        <v/>
      </c>
      <c r="P198" s="3">
        <f>_xlfn.XLOOKUP(tblAsignaciones[[#This Row],[turno]],tblTurnos[turno],tblTurnos[hora_fin],"")</f>
        <v/>
      </c>
      <c r="Q198" s="3">
        <f>IF(AND(LEFT(tblAsignaciones[[#This Row],[posicion_ciclo]],1)="T",tblAsignaciones[[#This Row],[en_vacaciones]]="no"),"sí","no")</f>
        <v/>
      </c>
    </row>
    <row r="199">
      <c r="A199" s="3" t="inlineStr">
        <is>
          <t>2026-S31</t>
        </is>
      </c>
      <c r="B199" s="3" t="inlineStr">
        <is>
          <t>domingo</t>
        </is>
      </c>
      <c r="C199" s="3" t="inlineStr">
        <is>
          <t>Técnico 12</t>
        </is>
      </c>
      <c r="D199" s="3">
        <f>_xlfn.XLOOKUP(tblAsignaciones[[#This Row],[tecnico]],tblTecnicos[nombre],tblTecnicos[area],"")</f>
        <v/>
      </c>
      <c r="E199" s="3">
        <f>_xlfn.XLOOKUP(tblAsignaciones[[#This Row],[tecnico]],tblTecnicos[nombre],tblTecnicos[especialidad],"")</f>
        <v/>
      </c>
      <c r="F199" s="3">
        <f>COUNTIFS(tblTecnicos[rotativo],"SI",tblTecnicos[especialidad],tblAsignaciones[[#This Row],[especialidad]],tblTecnicos[area],tblAsignaciones[[#This Row],[area]])</f>
        <v/>
      </c>
      <c r="G19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9" s="6" t="n"/>
      <c r="J19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9" s="3">
        <f>_xlfn.XLOOKUP(tblAsignaciones[[#This Row],[tecnico]],tblTecnicos[nombre],tblTecnicos[supervisor],"")</f>
        <v/>
      </c>
      <c r="L19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9" s="3">
        <f>tblAsignaciones[[#This Row],[semana]]&amp;"|"&amp;tblAsignaciones[[#This Row],[dia]]&amp;"|"&amp;tblAsignaciones[[#This Row],[tecnico]]</f>
        <v/>
      </c>
      <c r="O199" s="3">
        <f>_xlfn.XLOOKUP(tblAsignaciones[[#This Row],[turno]],tblTurnos[turno],tblTurnos[hora_inicio],"")</f>
        <v/>
      </c>
      <c r="P199" s="3">
        <f>_xlfn.XLOOKUP(tblAsignaciones[[#This Row],[turno]],tblTurnos[turno],tblTurnos[hora_fin],"")</f>
        <v/>
      </c>
      <c r="Q199" s="3">
        <f>IF(AND(LEFT(tblAsignaciones[[#This Row],[posicion_ciclo]],1)="T",tblAsignaciones[[#This Row],[en_vacaciones]]="no"),"sí","no")</f>
        <v/>
      </c>
    </row>
    <row r="200">
      <c r="A200" s="3" t="inlineStr">
        <is>
          <t>2026-S31</t>
        </is>
      </c>
      <c r="B200" s="3" t="inlineStr">
        <is>
          <t>lunes</t>
        </is>
      </c>
      <c r="C200" s="3" t="inlineStr">
        <is>
          <t>Técnico 13</t>
        </is>
      </c>
      <c r="D200" s="3">
        <f>_xlfn.XLOOKUP(tblAsignaciones[[#This Row],[tecnico]],tblTecnicos[nombre],tblTecnicos[area],"")</f>
        <v/>
      </c>
      <c r="E200" s="3">
        <f>_xlfn.XLOOKUP(tblAsignaciones[[#This Row],[tecnico]],tblTecnicos[nombre],tblTecnicos[especialidad],"")</f>
        <v/>
      </c>
      <c r="F200" s="3">
        <f>COUNTIFS(tblTecnicos[rotativo],"SI",tblTecnicos[especialidad],tblAsignaciones[[#This Row],[especialidad]],tblTecnicos[area],tblAsignaciones[[#This Row],[area]])</f>
        <v/>
      </c>
      <c r="G20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0" s="6" t="n"/>
      <c r="J20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0" s="3">
        <f>_xlfn.XLOOKUP(tblAsignaciones[[#This Row],[tecnico]],tblTecnicos[nombre],tblTecnicos[supervisor],"")</f>
        <v/>
      </c>
      <c r="L20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0" s="3">
        <f>tblAsignaciones[[#This Row],[semana]]&amp;"|"&amp;tblAsignaciones[[#This Row],[dia]]&amp;"|"&amp;tblAsignaciones[[#This Row],[tecnico]]</f>
        <v/>
      </c>
      <c r="O200" s="3">
        <f>_xlfn.XLOOKUP(tblAsignaciones[[#This Row],[turno]],tblTurnos[turno],tblTurnos[hora_inicio],"")</f>
        <v/>
      </c>
      <c r="P200" s="3">
        <f>_xlfn.XLOOKUP(tblAsignaciones[[#This Row],[turno]],tblTurnos[turno],tblTurnos[hora_fin],"")</f>
        <v/>
      </c>
      <c r="Q200" s="3">
        <f>IF(AND(LEFT(tblAsignaciones[[#This Row],[posicion_ciclo]],1)="T",tblAsignaciones[[#This Row],[en_vacaciones]]="no"),"sí","no")</f>
        <v/>
      </c>
    </row>
    <row r="201">
      <c r="A201" s="3" t="inlineStr">
        <is>
          <t>2026-S31</t>
        </is>
      </c>
      <c r="B201" s="3" t="inlineStr">
        <is>
          <t>martes</t>
        </is>
      </c>
      <c r="C201" s="3" t="inlineStr">
        <is>
          <t>Técnico 13</t>
        </is>
      </c>
      <c r="D201" s="3">
        <f>_xlfn.XLOOKUP(tblAsignaciones[[#This Row],[tecnico]],tblTecnicos[nombre],tblTecnicos[area],"")</f>
        <v/>
      </c>
      <c r="E201" s="3">
        <f>_xlfn.XLOOKUP(tblAsignaciones[[#This Row],[tecnico]],tblTecnicos[nombre],tblTecnicos[especialidad],"")</f>
        <v/>
      </c>
      <c r="F201" s="3">
        <f>COUNTIFS(tblTecnicos[rotativo],"SI",tblTecnicos[especialidad],tblAsignaciones[[#This Row],[especialidad]],tblTecnicos[area],tblAsignaciones[[#This Row],[area]])</f>
        <v/>
      </c>
      <c r="G20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1" s="6" t="n"/>
      <c r="J20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1" s="3">
        <f>_xlfn.XLOOKUP(tblAsignaciones[[#This Row],[tecnico]],tblTecnicos[nombre],tblTecnicos[supervisor],"")</f>
        <v/>
      </c>
      <c r="L20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1" s="3">
        <f>tblAsignaciones[[#This Row],[semana]]&amp;"|"&amp;tblAsignaciones[[#This Row],[dia]]&amp;"|"&amp;tblAsignaciones[[#This Row],[tecnico]]</f>
        <v/>
      </c>
      <c r="O201" s="3">
        <f>_xlfn.XLOOKUP(tblAsignaciones[[#This Row],[turno]],tblTurnos[turno],tblTurnos[hora_inicio],"")</f>
        <v/>
      </c>
      <c r="P201" s="3">
        <f>_xlfn.XLOOKUP(tblAsignaciones[[#This Row],[turno]],tblTurnos[turno],tblTurnos[hora_fin],"")</f>
        <v/>
      </c>
      <c r="Q201" s="3">
        <f>IF(AND(LEFT(tblAsignaciones[[#This Row],[posicion_ciclo]],1)="T",tblAsignaciones[[#This Row],[en_vacaciones]]="no"),"sí","no")</f>
        <v/>
      </c>
    </row>
    <row r="202">
      <c r="A202" s="3" t="inlineStr">
        <is>
          <t>2026-S31</t>
        </is>
      </c>
      <c r="B202" s="3" t="inlineStr">
        <is>
          <t>miércoles</t>
        </is>
      </c>
      <c r="C202" s="3" t="inlineStr">
        <is>
          <t>Técnico 13</t>
        </is>
      </c>
      <c r="D202" s="3">
        <f>_xlfn.XLOOKUP(tblAsignaciones[[#This Row],[tecnico]],tblTecnicos[nombre],tblTecnicos[area],"")</f>
        <v/>
      </c>
      <c r="E202" s="3">
        <f>_xlfn.XLOOKUP(tblAsignaciones[[#This Row],[tecnico]],tblTecnicos[nombre],tblTecnicos[especialidad],"")</f>
        <v/>
      </c>
      <c r="F202" s="3">
        <f>COUNTIFS(tblTecnicos[rotativo],"SI",tblTecnicos[especialidad],tblAsignaciones[[#This Row],[especialidad]],tblTecnicos[area],tblAsignaciones[[#This Row],[area]])</f>
        <v/>
      </c>
      <c r="G20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2" s="6" t="n"/>
      <c r="J20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2" s="3">
        <f>_xlfn.XLOOKUP(tblAsignaciones[[#This Row],[tecnico]],tblTecnicos[nombre],tblTecnicos[supervisor],"")</f>
        <v/>
      </c>
      <c r="L20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2" s="3">
        <f>tblAsignaciones[[#This Row],[semana]]&amp;"|"&amp;tblAsignaciones[[#This Row],[dia]]&amp;"|"&amp;tblAsignaciones[[#This Row],[tecnico]]</f>
        <v/>
      </c>
      <c r="O202" s="3">
        <f>_xlfn.XLOOKUP(tblAsignaciones[[#This Row],[turno]],tblTurnos[turno],tblTurnos[hora_inicio],"")</f>
        <v/>
      </c>
      <c r="P202" s="3">
        <f>_xlfn.XLOOKUP(tblAsignaciones[[#This Row],[turno]],tblTurnos[turno],tblTurnos[hora_fin],"")</f>
        <v/>
      </c>
      <c r="Q202" s="3">
        <f>IF(AND(LEFT(tblAsignaciones[[#This Row],[posicion_ciclo]],1)="T",tblAsignaciones[[#This Row],[en_vacaciones]]="no"),"sí","no")</f>
        <v/>
      </c>
    </row>
    <row r="203">
      <c r="A203" s="3" t="inlineStr">
        <is>
          <t>2026-S31</t>
        </is>
      </c>
      <c r="B203" s="3" t="inlineStr">
        <is>
          <t>jueves</t>
        </is>
      </c>
      <c r="C203" s="3" t="inlineStr">
        <is>
          <t>Técnico 13</t>
        </is>
      </c>
      <c r="D203" s="3">
        <f>_xlfn.XLOOKUP(tblAsignaciones[[#This Row],[tecnico]],tblTecnicos[nombre],tblTecnicos[area],"")</f>
        <v/>
      </c>
      <c r="E203" s="3">
        <f>_xlfn.XLOOKUP(tblAsignaciones[[#This Row],[tecnico]],tblTecnicos[nombre],tblTecnicos[especialidad],"")</f>
        <v/>
      </c>
      <c r="F203" s="3">
        <f>COUNTIFS(tblTecnicos[rotativo],"SI",tblTecnicos[especialidad],tblAsignaciones[[#This Row],[especialidad]],tblTecnicos[area],tblAsignaciones[[#This Row],[area]])</f>
        <v/>
      </c>
      <c r="G20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3" s="6" t="n"/>
      <c r="J20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3" s="3">
        <f>_xlfn.XLOOKUP(tblAsignaciones[[#This Row],[tecnico]],tblTecnicos[nombre],tblTecnicos[supervisor],"")</f>
        <v/>
      </c>
      <c r="L20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3" s="3">
        <f>tblAsignaciones[[#This Row],[semana]]&amp;"|"&amp;tblAsignaciones[[#This Row],[dia]]&amp;"|"&amp;tblAsignaciones[[#This Row],[tecnico]]</f>
        <v/>
      </c>
      <c r="O203" s="3">
        <f>_xlfn.XLOOKUP(tblAsignaciones[[#This Row],[turno]],tblTurnos[turno],tblTurnos[hora_inicio],"")</f>
        <v/>
      </c>
      <c r="P203" s="3">
        <f>_xlfn.XLOOKUP(tblAsignaciones[[#This Row],[turno]],tblTurnos[turno],tblTurnos[hora_fin],"")</f>
        <v/>
      </c>
      <c r="Q203" s="3">
        <f>IF(AND(LEFT(tblAsignaciones[[#This Row],[posicion_ciclo]],1)="T",tblAsignaciones[[#This Row],[en_vacaciones]]="no"),"sí","no")</f>
        <v/>
      </c>
    </row>
    <row r="204">
      <c r="A204" s="3" t="inlineStr">
        <is>
          <t>2026-S31</t>
        </is>
      </c>
      <c r="B204" s="3" t="inlineStr">
        <is>
          <t>viernes</t>
        </is>
      </c>
      <c r="C204" s="3" t="inlineStr">
        <is>
          <t>Técnico 13</t>
        </is>
      </c>
      <c r="D204" s="3">
        <f>_xlfn.XLOOKUP(tblAsignaciones[[#This Row],[tecnico]],tblTecnicos[nombre],tblTecnicos[area],"")</f>
        <v/>
      </c>
      <c r="E204" s="3">
        <f>_xlfn.XLOOKUP(tblAsignaciones[[#This Row],[tecnico]],tblTecnicos[nombre],tblTecnicos[especialidad],"")</f>
        <v/>
      </c>
      <c r="F204" s="3">
        <f>COUNTIFS(tblTecnicos[rotativo],"SI",tblTecnicos[especialidad],tblAsignaciones[[#This Row],[especialidad]],tblTecnicos[area],tblAsignaciones[[#This Row],[area]])</f>
        <v/>
      </c>
      <c r="G20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4" s="6" t="n"/>
      <c r="J20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4" s="3">
        <f>_xlfn.XLOOKUP(tblAsignaciones[[#This Row],[tecnico]],tblTecnicos[nombre],tblTecnicos[supervisor],"")</f>
        <v/>
      </c>
      <c r="L20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4" s="3">
        <f>tblAsignaciones[[#This Row],[semana]]&amp;"|"&amp;tblAsignaciones[[#This Row],[dia]]&amp;"|"&amp;tblAsignaciones[[#This Row],[tecnico]]</f>
        <v/>
      </c>
      <c r="O204" s="3">
        <f>_xlfn.XLOOKUP(tblAsignaciones[[#This Row],[turno]],tblTurnos[turno],tblTurnos[hora_inicio],"")</f>
        <v/>
      </c>
      <c r="P204" s="3">
        <f>_xlfn.XLOOKUP(tblAsignaciones[[#This Row],[turno]],tblTurnos[turno],tblTurnos[hora_fin],"")</f>
        <v/>
      </c>
      <c r="Q204" s="3">
        <f>IF(AND(LEFT(tblAsignaciones[[#This Row],[posicion_ciclo]],1)="T",tblAsignaciones[[#This Row],[en_vacaciones]]="no"),"sí","no")</f>
        <v/>
      </c>
    </row>
    <row r="205">
      <c r="A205" s="3" t="inlineStr">
        <is>
          <t>2026-S31</t>
        </is>
      </c>
      <c r="B205" s="3" t="inlineStr">
        <is>
          <t>sábado</t>
        </is>
      </c>
      <c r="C205" s="3" t="inlineStr">
        <is>
          <t>Técnico 13</t>
        </is>
      </c>
      <c r="D205" s="3">
        <f>_xlfn.XLOOKUP(tblAsignaciones[[#This Row],[tecnico]],tblTecnicos[nombre],tblTecnicos[area],"")</f>
        <v/>
      </c>
      <c r="E205" s="3">
        <f>_xlfn.XLOOKUP(tblAsignaciones[[#This Row],[tecnico]],tblTecnicos[nombre],tblTecnicos[especialidad],"")</f>
        <v/>
      </c>
      <c r="F205" s="3">
        <f>COUNTIFS(tblTecnicos[rotativo],"SI",tblTecnicos[especialidad],tblAsignaciones[[#This Row],[especialidad]],tblTecnicos[area],tblAsignaciones[[#This Row],[area]])</f>
        <v/>
      </c>
      <c r="G20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5" s="6" t="n"/>
      <c r="J20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5" s="3">
        <f>_xlfn.XLOOKUP(tblAsignaciones[[#This Row],[tecnico]],tblTecnicos[nombre],tblTecnicos[supervisor],"")</f>
        <v/>
      </c>
      <c r="L20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5" s="3">
        <f>tblAsignaciones[[#This Row],[semana]]&amp;"|"&amp;tblAsignaciones[[#This Row],[dia]]&amp;"|"&amp;tblAsignaciones[[#This Row],[tecnico]]</f>
        <v/>
      </c>
      <c r="O205" s="3">
        <f>_xlfn.XLOOKUP(tblAsignaciones[[#This Row],[turno]],tblTurnos[turno],tblTurnos[hora_inicio],"")</f>
        <v/>
      </c>
      <c r="P205" s="3">
        <f>_xlfn.XLOOKUP(tblAsignaciones[[#This Row],[turno]],tblTurnos[turno],tblTurnos[hora_fin],"")</f>
        <v/>
      </c>
      <c r="Q205" s="3">
        <f>IF(AND(LEFT(tblAsignaciones[[#This Row],[posicion_ciclo]],1)="T",tblAsignaciones[[#This Row],[en_vacaciones]]="no"),"sí","no")</f>
        <v/>
      </c>
    </row>
    <row r="206">
      <c r="A206" s="3" t="inlineStr">
        <is>
          <t>2026-S31</t>
        </is>
      </c>
      <c r="B206" s="3" t="inlineStr">
        <is>
          <t>domingo</t>
        </is>
      </c>
      <c r="C206" s="3" t="inlineStr">
        <is>
          <t>Técnico 13</t>
        </is>
      </c>
      <c r="D206" s="3">
        <f>_xlfn.XLOOKUP(tblAsignaciones[[#This Row],[tecnico]],tblTecnicos[nombre],tblTecnicos[area],"")</f>
        <v/>
      </c>
      <c r="E206" s="3">
        <f>_xlfn.XLOOKUP(tblAsignaciones[[#This Row],[tecnico]],tblTecnicos[nombre],tblTecnicos[especialidad],"")</f>
        <v/>
      </c>
      <c r="F206" s="3">
        <f>COUNTIFS(tblTecnicos[rotativo],"SI",tblTecnicos[especialidad],tblAsignaciones[[#This Row],[especialidad]],tblTecnicos[area],tblAsignaciones[[#This Row],[area]])</f>
        <v/>
      </c>
      <c r="G20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6" s="6" t="n"/>
      <c r="J20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6" s="3">
        <f>_xlfn.XLOOKUP(tblAsignaciones[[#This Row],[tecnico]],tblTecnicos[nombre],tblTecnicos[supervisor],"")</f>
        <v/>
      </c>
      <c r="L20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6" s="3">
        <f>tblAsignaciones[[#This Row],[semana]]&amp;"|"&amp;tblAsignaciones[[#This Row],[dia]]&amp;"|"&amp;tblAsignaciones[[#This Row],[tecnico]]</f>
        <v/>
      </c>
      <c r="O206" s="3">
        <f>_xlfn.XLOOKUP(tblAsignaciones[[#This Row],[turno]],tblTurnos[turno],tblTurnos[hora_inicio],"")</f>
        <v/>
      </c>
      <c r="P206" s="3">
        <f>_xlfn.XLOOKUP(tblAsignaciones[[#This Row],[turno]],tblTurnos[turno],tblTurnos[hora_fin],"")</f>
        <v/>
      </c>
      <c r="Q206" s="3">
        <f>IF(AND(LEFT(tblAsignaciones[[#This Row],[posicion_ciclo]],1)="T",tblAsignaciones[[#This Row],[en_vacaciones]]="no"),"sí","no")</f>
        <v/>
      </c>
    </row>
    <row r="207">
      <c r="A207" s="3" t="inlineStr">
        <is>
          <t>2026-S31</t>
        </is>
      </c>
      <c r="B207" s="3" t="inlineStr">
        <is>
          <t>lunes</t>
        </is>
      </c>
      <c r="C207" s="3" t="inlineStr">
        <is>
          <t>Técnico 14</t>
        </is>
      </c>
      <c r="D207" s="3">
        <f>_xlfn.XLOOKUP(tblAsignaciones[[#This Row],[tecnico]],tblTecnicos[nombre],tblTecnicos[area],"")</f>
        <v/>
      </c>
      <c r="E207" s="3">
        <f>_xlfn.XLOOKUP(tblAsignaciones[[#This Row],[tecnico]],tblTecnicos[nombre],tblTecnicos[especialidad],"")</f>
        <v/>
      </c>
      <c r="F207" s="3">
        <f>COUNTIFS(tblTecnicos[rotativo],"SI",tblTecnicos[especialidad],tblAsignaciones[[#This Row],[especialidad]],tblTecnicos[area],tblAsignaciones[[#This Row],[area]])</f>
        <v/>
      </c>
      <c r="G20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7" s="6" t="n"/>
      <c r="J20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7" s="3">
        <f>_xlfn.XLOOKUP(tblAsignaciones[[#This Row],[tecnico]],tblTecnicos[nombre],tblTecnicos[supervisor],"")</f>
        <v/>
      </c>
      <c r="L20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7" s="3">
        <f>tblAsignaciones[[#This Row],[semana]]&amp;"|"&amp;tblAsignaciones[[#This Row],[dia]]&amp;"|"&amp;tblAsignaciones[[#This Row],[tecnico]]</f>
        <v/>
      </c>
      <c r="O207" s="3">
        <f>_xlfn.XLOOKUP(tblAsignaciones[[#This Row],[turno]],tblTurnos[turno],tblTurnos[hora_inicio],"")</f>
        <v/>
      </c>
      <c r="P207" s="3">
        <f>_xlfn.XLOOKUP(tblAsignaciones[[#This Row],[turno]],tblTurnos[turno],tblTurnos[hora_fin],"")</f>
        <v/>
      </c>
      <c r="Q207" s="3">
        <f>IF(AND(LEFT(tblAsignaciones[[#This Row],[posicion_ciclo]],1)="T",tblAsignaciones[[#This Row],[en_vacaciones]]="no"),"sí","no")</f>
        <v/>
      </c>
    </row>
    <row r="208">
      <c r="A208" s="3" t="inlineStr">
        <is>
          <t>2026-S31</t>
        </is>
      </c>
      <c r="B208" s="3" t="inlineStr">
        <is>
          <t>martes</t>
        </is>
      </c>
      <c r="C208" s="3" t="inlineStr">
        <is>
          <t>Técnico 14</t>
        </is>
      </c>
      <c r="D208" s="3">
        <f>_xlfn.XLOOKUP(tblAsignaciones[[#This Row],[tecnico]],tblTecnicos[nombre],tblTecnicos[area],"")</f>
        <v/>
      </c>
      <c r="E208" s="3">
        <f>_xlfn.XLOOKUP(tblAsignaciones[[#This Row],[tecnico]],tblTecnicos[nombre],tblTecnicos[especialidad],"")</f>
        <v/>
      </c>
      <c r="F208" s="3">
        <f>COUNTIFS(tblTecnicos[rotativo],"SI",tblTecnicos[especialidad],tblAsignaciones[[#This Row],[especialidad]],tblTecnicos[area],tblAsignaciones[[#This Row],[area]])</f>
        <v/>
      </c>
      <c r="G20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8" s="6" t="n"/>
      <c r="J20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8" s="3">
        <f>_xlfn.XLOOKUP(tblAsignaciones[[#This Row],[tecnico]],tblTecnicos[nombre],tblTecnicos[supervisor],"")</f>
        <v/>
      </c>
      <c r="L20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8" s="3">
        <f>tblAsignaciones[[#This Row],[semana]]&amp;"|"&amp;tblAsignaciones[[#This Row],[dia]]&amp;"|"&amp;tblAsignaciones[[#This Row],[tecnico]]</f>
        <v/>
      </c>
      <c r="O208" s="3">
        <f>_xlfn.XLOOKUP(tblAsignaciones[[#This Row],[turno]],tblTurnos[turno],tblTurnos[hora_inicio],"")</f>
        <v/>
      </c>
      <c r="P208" s="3">
        <f>_xlfn.XLOOKUP(tblAsignaciones[[#This Row],[turno]],tblTurnos[turno],tblTurnos[hora_fin],"")</f>
        <v/>
      </c>
      <c r="Q208" s="3">
        <f>IF(AND(LEFT(tblAsignaciones[[#This Row],[posicion_ciclo]],1)="T",tblAsignaciones[[#This Row],[en_vacaciones]]="no"),"sí","no")</f>
        <v/>
      </c>
    </row>
    <row r="209">
      <c r="A209" s="3" t="inlineStr">
        <is>
          <t>2026-S31</t>
        </is>
      </c>
      <c r="B209" s="3" t="inlineStr">
        <is>
          <t>miércoles</t>
        </is>
      </c>
      <c r="C209" s="3" t="inlineStr">
        <is>
          <t>Técnico 14</t>
        </is>
      </c>
      <c r="D209" s="3">
        <f>_xlfn.XLOOKUP(tblAsignaciones[[#This Row],[tecnico]],tblTecnicos[nombre],tblTecnicos[area],"")</f>
        <v/>
      </c>
      <c r="E209" s="3">
        <f>_xlfn.XLOOKUP(tblAsignaciones[[#This Row],[tecnico]],tblTecnicos[nombre],tblTecnicos[especialidad],"")</f>
        <v/>
      </c>
      <c r="F209" s="3">
        <f>COUNTIFS(tblTecnicos[rotativo],"SI",tblTecnicos[especialidad],tblAsignaciones[[#This Row],[especialidad]],tblTecnicos[area],tblAsignaciones[[#This Row],[area]])</f>
        <v/>
      </c>
      <c r="G20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9" s="6" t="n"/>
      <c r="J20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9" s="3">
        <f>_xlfn.XLOOKUP(tblAsignaciones[[#This Row],[tecnico]],tblTecnicos[nombre],tblTecnicos[supervisor],"")</f>
        <v/>
      </c>
      <c r="L20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9" s="3">
        <f>tblAsignaciones[[#This Row],[semana]]&amp;"|"&amp;tblAsignaciones[[#This Row],[dia]]&amp;"|"&amp;tblAsignaciones[[#This Row],[tecnico]]</f>
        <v/>
      </c>
      <c r="O209" s="3">
        <f>_xlfn.XLOOKUP(tblAsignaciones[[#This Row],[turno]],tblTurnos[turno],tblTurnos[hora_inicio],"")</f>
        <v/>
      </c>
      <c r="P209" s="3">
        <f>_xlfn.XLOOKUP(tblAsignaciones[[#This Row],[turno]],tblTurnos[turno],tblTurnos[hora_fin],"")</f>
        <v/>
      </c>
      <c r="Q209" s="3">
        <f>IF(AND(LEFT(tblAsignaciones[[#This Row],[posicion_ciclo]],1)="T",tblAsignaciones[[#This Row],[en_vacaciones]]="no"),"sí","no")</f>
        <v/>
      </c>
    </row>
    <row r="210">
      <c r="A210" s="3" t="inlineStr">
        <is>
          <t>2026-S31</t>
        </is>
      </c>
      <c r="B210" s="3" t="inlineStr">
        <is>
          <t>jueves</t>
        </is>
      </c>
      <c r="C210" s="3" t="inlineStr">
        <is>
          <t>Técnico 14</t>
        </is>
      </c>
      <c r="D210" s="3">
        <f>_xlfn.XLOOKUP(tblAsignaciones[[#This Row],[tecnico]],tblTecnicos[nombre],tblTecnicos[area],"")</f>
        <v/>
      </c>
      <c r="E210" s="3">
        <f>_xlfn.XLOOKUP(tblAsignaciones[[#This Row],[tecnico]],tblTecnicos[nombre],tblTecnicos[especialidad],"")</f>
        <v/>
      </c>
      <c r="F210" s="3">
        <f>COUNTIFS(tblTecnicos[rotativo],"SI",tblTecnicos[especialidad],tblAsignaciones[[#This Row],[especialidad]],tblTecnicos[area],tblAsignaciones[[#This Row],[area]])</f>
        <v/>
      </c>
      <c r="G21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0" s="6" t="n"/>
      <c r="J21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0" s="3">
        <f>_xlfn.XLOOKUP(tblAsignaciones[[#This Row],[tecnico]],tblTecnicos[nombre],tblTecnicos[supervisor],"")</f>
        <v/>
      </c>
      <c r="L21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0" s="3">
        <f>tblAsignaciones[[#This Row],[semana]]&amp;"|"&amp;tblAsignaciones[[#This Row],[dia]]&amp;"|"&amp;tblAsignaciones[[#This Row],[tecnico]]</f>
        <v/>
      </c>
      <c r="O210" s="3">
        <f>_xlfn.XLOOKUP(tblAsignaciones[[#This Row],[turno]],tblTurnos[turno],tblTurnos[hora_inicio],"")</f>
        <v/>
      </c>
      <c r="P210" s="3">
        <f>_xlfn.XLOOKUP(tblAsignaciones[[#This Row],[turno]],tblTurnos[turno],tblTurnos[hora_fin],"")</f>
        <v/>
      </c>
      <c r="Q210" s="3">
        <f>IF(AND(LEFT(tblAsignaciones[[#This Row],[posicion_ciclo]],1)="T",tblAsignaciones[[#This Row],[en_vacaciones]]="no"),"sí","no")</f>
        <v/>
      </c>
    </row>
    <row r="211">
      <c r="A211" s="3" t="inlineStr">
        <is>
          <t>2026-S31</t>
        </is>
      </c>
      <c r="B211" s="3" t="inlineStr">
        <is>
          <t>viernes</t>
        </is>
      </c>
      <c r="C211" s="3" t="inlineStr">
        <is>
          <t>Técnico 14</t>
        </is>
      </c>
      <c r="D211" s="3">
        <f>_xlfn.XLOOKUP(tblAsignaciones[[#This Row],[tecnico]],tblTecnicos[nombre],tblTecnicos[area],"")</f>
        <v/>
      </c>
      <c r="E211" s="3">
        <f>_xlfn.XLOOKUP(tblAsignaciones[[#This Row],[tecnico]],tblTecnicos[nombre],tblTecnicos[especialidad],"")</f>
        <v/>
      </c>
      <c r="F211" s="3">
        <f>COUNTIFS(tblTecnicos[rotativo],"SI",tblTecnicos[especialidad],tblAsignaciones[[#This Row],[especialidad]],tblTecnicos[area],tblAsignaciones[[#This Row],[area]])</f>
        <v/>
      </c>
      <c r="G21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1" s="6" t="n"/>
      <c r="J21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1" s="3">
        <f>_xlfn.XLOOKUP(tblAsignaciones[[#This Row],[tecnico]],tblTecnicos[nombre],tblTecnicos[supervisor],"")</f>
        <v/>
      </c>
      <c r="L21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1" s="3">
        <f>tblAsignaciones[[#This Row],[semana]]&amp;"|"&amp;tblAsignaciones[[#This Row],[dia]]&amp;"|"&amp;tblAsignaciones[[#This Row],[tecnico]]</f>
        <v/>
      </c>
      <c r="O211" s="3">
        <f>_xlfn.XLOOKUP(tblAsignaciones[[#This Row],[turno]],tblTurnos[turno],tblTurnos[hora_inicio],"")</f>
        <v/>
      </c>
      <c r="P211" s="3">
        <f>_xlfn.XLOOKUP(tblAsignaciones[[#This Row],[turno]],tblTurnos[turno],tblTurnos[hora_fin],"")</f>
        <v/>
      </c>
      <c r="Q211" s="3">
        <f>IF(AND(LEFT(tblAsignaciones[[#This Row],[posicion_ciclo]],1)="T",tblAsignaciones[[#This Row],[en_vacaciones]]="no"),"sí","no")</f>
        <v/>
      </c>
    </row>
    <row r="212">
      <c r="A212" s="3" t="inlineStr">
        <is>
          <t>2026-S31</t>
        </is>
      </c>
      <c r="B212" s="3" t="inlineStr">
        <is>
          <t>sábado</t>
        </is>
      </c>
      <c r="C212" s="3" t="inlineStr">
        <is>
          <t>Técnico 14</t>
        </is>
      </c>
      <c r="D212" s="3">
        <f>_xlfn.XLOOKUP(tblAsignaciones[[#This Row],[tecnico]],tblTecnicos[nombre],tblTecnicos[area],"")</f>
        <v/>
      </c>
      <c r="E212" s="3">
        <f>_xlfn.XLOOKUP(tblAsignaciones[[#This Row],[tecnico]],tblTecnicos[nombre],tblTecnicos[especialidad],"")</f>
        <v/>
      </c>
      <c r="F212" s="3">
        <f>COUNTIFS(tblTecnicos[rotativo],"SI",tblTecnicos[especialidad],tblAsignaciones[[#This Row],[especialidad]],tblTecnicos[area],tblAsignaciones[[#This Row],[area]])</f>
        <v/>
      </c>
      <c r="G21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2" s="6" t="n"/>
      <c r="J21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2" s="3">
        <f>_xlfn.XLOOKUP(tblAsignaciones[[#This Row],[tecnico]],tblTecnicos[nombre],tblTecnicos[supervisor],"")</f>
        <v/>
      </c>
      <c r="L21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2" s="3">
        <f>tblAsignaciones[[#This Row],[semana]]&amp;"|"&amp;tblAsignaciones[[#This Row],[dia]]&amp;"|"&amp;tblAsignaciones[[#This Row],[tecnico]]</f>
        <v/>
      </c>
      <c r="O212" s="3">
        <f>_xlfn.XLOOKUP(tblAsignaciones[[#This Row],[turno]],tblTurnos[turno],tblTurnos[hora_inicio],"")</f>
        <v/>
      </c>
      <c r="P212" s="3">
        <f>_xlfn.XLOOKUP(tblAsignaciones[[#This Row],[turno]],tblTurnos[turno],tblTurnos[hora_fin],"")</f>
        <v/>
      </c>
      <c r="Q212" s="3">
        <f>IF(AND(LEFT(tblAsignaciones[[#This Row],[posicion_ciclo]],1)="T",tblAsignaciones[[#This Row],[en_vacaciones]]="no"),"sí","no")</f>
        <v/>
      </c>
    </row>
    <row r="213">
      <c r="A213" s="3" t="inlineStr">
        <is>
          <t>2026-S31</t>
        </is>
      </c>
      <c r="B213" s="3" t="inlineStr">
        <is>
          <t>domingo</t>
        </is>
      </c>
      <c r="C213" s="3" t="inlineStr">
        <is>
          <t>Técnico 14</t>
        </is>
      </c>
      <c r="D213" s="3">
        <f>_xlfn.XLOOKUP(tblAsignaciones[[#This Row],[tecnico]],tblTecnicos[nombre],tblTecnicos[area],"")</f>
        <v/>
      </c>
      <c r="E213" s="3">
        <f>_xlfn.XLOOKUP(tblAsignaciones[[#This Row],[tecnico]],tblTecnicos[nombre],tblTecnicos[especialidad],"")</f>
        <v/>
      </c>
      <c r="F213" s="3">
        <f>COUNTIFS(tblTecnicos[rotativo],"SI",tblTecnicos[especialidad],tblAsignaciones[[#This Row],[especialidad]],tblTecnicos[area],tblAsignaciones[[#This Row],[area]])</f>
        <v/>
      </c>
      <c r="G21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3" s="6" t="n"/>
      <c r="J21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3" s="3">
        <f>_xlfn.XLOOKUP(tblAsignaciones[[#This Row],[tecnico]],tblTecnicos[nombre],tblTecnicos[supervisor],"")</f>
        <v/>
      </c>
      <c r="L21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3" s="3">
        <f>tblAsignaciones[[#This Row],[semana]]&amp;"|"&amp;tblAsignaciones[[#This Row],[dia]]&amp;"|"&amp;tblAsignaciones[[#This Row],[tecnico]]</f>
        <v/>
      </c>
      <c r="O213" s="3">
        <f>_xlfn.XLOOKUP(tblAsignaciones[[#This Row],[turno]],tblTurnos[turno],tblTurnos[hora_inicio],"")</f>
        <v/>
      </c>
      <c r="P213" s="3">
        <f>_xlfn.XLOOKUP(tblAsignaciones[[#This Row],[turno]],tblTurnos[turno],tblTurnos[hora_fin],"")</f>
        <v/>
      </c>
      <c r="Q213" s="3">
        <f>IF(AND(LEFT(tblAsignaciones[[#This Row],[posicion_ciclo]],1)="T",tblAsignaciones[[#This Row],[en_vacaciones]]="no"),"sí","no")</f>
        <v/>
      </c>
    </row>
    <row r="214">
      <c r="A214" s="3" t="inlineStr">
        <is>
          <t>2026-S31</t>
        </is>
      </c>
      <c r="B214" s="3" t="inlineStr">
        <is>
          <t>lunes</t>
        </is>
      </c>
      <c r="C214" s="3" t="inlineStr">
        <is>
          <t>Técnico 15</t>
        </is>
      </c>
      <c r="D214" s="3">
        <f>_xlfn.XLOOKUP(tblAsignaciones[[#This Row],[tecnico]],tblTecnicos[nombre],tblTecnicos[area],"")</f>
        <v/>
      </c>
      <c r="E214" s="3">
        <f>_xlfn.XLOOKUP(tblAsignaciones[[#This Row],[tecnico]],tblTecnicos[nombre],tblTecnicos[especialidad],"")</f>
        <v/>
      </c>
      <c r="F214" s="3">
        <f>COUNTIFS(tblTecnicos[rotativo],"SI",tblTecnicos[especialidad],tblAsignaciones[[#This Row],[especialidad]],tblTecnicos[area],tblAsignaciones[[#This Row],[area]])</f>
        <v/>
      </c>
      <c r="G21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4" s="6" t="n"/>
      <c r="J21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4" s="3">
        <f>_xlfn.XLOOKUP(tblAsignaciones[[#This Row],[tecnico]],tblTecnicos[nombre],tblTecnicos[supervisor],"")</f>
        <v/>
      </c>
      <c r="L21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4" s="3">
        <f>tblAsignaciones[[#This Row],[semana]]&amp;"|"&amp;tblAsignaciones[[#This Row],[dia]]&amp;"|"&amp;tblAsignaciones[[#This Row],[tecnico]]</f>
        <v/>
      </c>
      <c r="O214" s="3">
        <f>_xlfn.XLOOKUP(tblAsignaciones[[#This Row],[turno]],tblTurnos[turno],tblTurnos[hora_inicio],"")</f>
        <v/>
      </c>
      <c r="P214" s="3">
        <f>_xlfn.XLOOKUP(tblAsignaciones[[#This Row],[turno]],tblTurnos[turno],tblTurnos[hora_fin],"")</f>
        <v/>
      </c>
      <c r="Q214" s="3">
        <f>IF(AND(LEFT(tblAsignaciones[[#This Row],[posicion_ciclo]],1)="T",tblAsignaciones[[#This Row],[en_vacaciones]]="no"),"sí","no")</f>
        <v/>
      </c>
    </row>
    <row r="215">
      <c r="A215" s="3" t="inlineStr">
        <is>
          <t>2026-S31</t>
        </is>
      </c>
      <c r="B215" s="3" t="inlineStr">
        <is>
          <t>martes</t>
        </is>
      </c>
      <c r="C215" s="3" t="inlineStr">
        <is>
          <t>Técnico 15</t>
        </is>
      </c>
      <c r="D215" s="3">
        <f>_xlfn.XLOOKUP(tblAsignaciones[[#This Row],[tecnico]],tblTecnicos[nombre],tblTecnicos[area],"")</f>
        <v/>
      </c>
      <c r="E215" s="3">
        <f>_xlfn.XLOOKUP(tblAsignaciones[[#This Row],[tecnico]],tblTecnicos[nombre],tblTecnicos[especialidad],"")</f>
        <v/>
      </c>
      <c r="F215" s="3">
        <f>COUNTIFS(tblTecnicos[rotativo],"SI",tblTecnicos[especialidad],tblAsignaciones[[#This Row],[especialidad]],tblTecnicos[area],tblAsignaciones[[#This Row],[area]])</f>
        <v/>
      </c>
      <c r="G21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5" s="6" t="n"/>
      <c r="J21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5" s="3">
        <f>_xlfn.XLOOKUP(tblAsignaciones[[#This Row],[tecnico]],tblTecnicos[nombre],tblTecnicos[supervisor],"")</f>
        <v/>
      </c>
      <c r="L21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5" s="3">
        <f>tblAsignaciones[[#This Row],[semana]]&amp;"|"&amp;tblAsignaciones[[#This Row],[dia]]&amp;"|"&amp;tblAsignaciones[[#This Row],[tecnico]]</f>
        <v/>
      </c>
      <c r="O215" s="3">
        <f>_xlfn.XLOOKUP(tblAsignaciones[[#This Row],[turno]],tblTurnos[turno],tblTurnos[hora_inicio],"")</f>
        <v/>
      </c>
      <c r="P215" s="3">
        <f>_xlfn.XLOOKUP(tblAsignaciones[[#This Row],[turno]],tblTurnos[turno],tblTurnos[hora_fin],"")</f>
        <v/>
      </c>
      <c r="Q215" s="3">
        <f>IF(AND(LEFT(tblAsignaciones[[#This Row],[posicion_ciclo]],1)="T",tblAsignaciones[[#This Row],[en_vacaciones]]="no"),"sí","no")</f>
        <v/>
      </c>
    </row>
    <row r="216">
      <c r="A216" s="3" t="inlineStr">
        <is>
          <t>2026-S31</t>
        </is>
      </c>
      <c r="B216" s="3" t="inlineStr">
        <is>
          <t>miércoles</t>
        </is>
      </c>
      <c r="C216" s="3" t="inlineStr">
        <is>
          <t>Técnico 15</t>
        </is>
      </c>
      <c r="D216" s="3">
        <f>_xlfn.XLOOKUP(tblAsignaciones[[#This Row],[tecnico]],tblTecnicos[nombre],tblTecnicos[area],"")</f>
        <v/>
      </c>
      <c r="E216" s="3">
        <f>_xlfn.XLOOKUP(tblAsignaciones[[#This Row],[tecnico]],tblTecnicos[nombre],tblTecnicos[especialidad],"")</f>
        <v/>
      </c>
      <c r="F216" s="3">
        <f>COUNTIFS(tblTecnicos[rotativo],"SI",tblTecnicos[especialidad],tblAsignaciones[[#This Row],[especialidad]],tblTecnicos[area],tblAsignaciones[[#This Row],[area]])</f>
        <v/>
      </c>
      <c r="G21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6" s="6" t="n"/>
      <c r="J21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6" s="3">
        <f>_xlfn.XLOOKUP(tblAsignaciones[[#This Row],[tecnico]],tblTecnicos[nombre],tblTecnicos[supervisor],"")</f>
        <v/>
      </c>
      <c r="L21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6" s="3">
        <f>tblAsignaciones[[#This Row],[semana]]&amp;"|"&amp;tblAsignaciones[[#This Row],[dia]]&amp;"|"&amp;tblAsignaciones[[#This Row],[tecnico]]</f>
        <v/>
      </c>
      <c r="O216" s="3">
        <f>_xlfn.XLOOKUP(tblAsignaciones[[#This Row],[turno]],tblTurnos[turno],tblTurnos[hora_inicio],"")</f>
        <v/>
      </c>
      <c r="P216" s="3">
        <f>_xlfn.XLOOKUP(tblAsignaciones[[#This Row],[turno]],tblTurnos[turno],tblTurnos[hora_fin],"")</f>
        <v/>
      </c>
      <c r="Q216" s="3">
        <f>IF(AND(LEFT(tblAsignaciones[[#This Row],[posicion_ciclo]],1)="T",tblAsignaciones[[#This Row],[en_vacaciones]]="no"),"sí","no")</f>
        <v/>
      </c>
    </row>
    <row r="217">
      <c r="A217" s="3" t="inlineStr">
        <is>
          <t>2026-S31</t>
        </is>
      </c>
      <c r="B217" s="3" t="inlineStr">
        <is>
          <t>jueves</t>
        </is>
      </c>
      <c r="C217" s="3" t="inlineStr">
        <is>
          <t>Técnico 15</t>
        </is>
      </c>
      <c r="D217" s="3">
        <f>_xlfn.XLOOKUP(tblAsignaciones[[#This Row],[tecnico]],tblTecnicos[nombre],tblTecnicos[area],"")</f>
        <v/>
      </c>
      <c r="E217" s="3">
        <f>_xlfn.XLOOKUP(tblAsignaciones[[#This Row],[tecnico]],tblTecnicos[nombre],tblTecnicos[especialidad],"")</f>
        <v/>
      </c>
      <c r="F217" s="3">
        <f>COUNTIFS(tblTecnicos[rotativo],"SI",tblTecnicos[especialidad],tblAsignaciones[[#This Row],[especialidad]],tblTecnicos[area],tblAsignaciones[[#This Row],[area]])</f>
        <v/>
      </c>
      <c r="G21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7" s="6" t="n"/>
      <c r="J21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7" s="3">
        <f>_xlfn.XLOOKUP(tblAsignaciones[[#This Row],[tecnico]],tblTecnicos[nombre],tblTecnicos[supervisor],"")</f>
        <v/>
      </c>
      <c r="L21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7" s="3">
        <f>tblAsignaciones[[#This Row],[semana]]&amp;"|"&amp;tblAsignaciones[[#This Row],[dia]]&amp;"|"&amp;tblAsignaciones[[#This Row],[tecnico]]</f>
        <v/>
      </c>
      <c r="O217" s="3">
        <f>_xlfn.XLOOKUP(tblAsignaciones[[#This Row],[turno]],tblTurnos[turno],tblTurnos[hora_inicio],"")</f>
        <v/>
      </c>
      <c r="P217" s="3">
        <f>_xlfn.XLOOKUP(tblAsignaciones[[#This Row],[turno]],tblTurnos[turno],tblTurnos[hora_fin],"")</f>
        <v/>
      </c>
      <c r="Q217" s="3">
        <f>IF(AND(LEFT(tblAsignaciones[[#This Row],[posicion_ciclo]],1)="T",tblAsignaciones[[#This Row],[en_vacaciones]]="no"),"sí","no")</f>
        <v/>
      </c>
    </row>
    <row r="218">
      <c r="A218" s="3" t="inlineStr">
        <is>
          <t>2026-S31</t>
        </is>
      </c>
      <c r="B218" s="3" t="inlineStr">
        <is>
          <t>viernes</t>
        </is>
      </c>
      <c r="C218" s="3" t="inlineStr">
        <is>
          <t>Técnico 15</t>
        </is>
      </c>
      <c r="D218" s="3">
        <f>_xlfn.XLOOKUP(tblAsignaciones[[#This Row],[tecnico]],tblTecnicos[nombre],tblTecnicos[area],"")</f>
        <v/>
      </c>
      <c r="E218" s="3">
        <f>_xlfn.XLOOKUP(tblAsignaciones[[#This Row],[tecnico]],tblTecnicos[nombre],tblTecnicos[especialidad],"")</f>
        <v/>
      </c>
      <c r="F218" s="3">
        <f>COUNTIFS(tblTecnicos[rotativo],"SI",tblTecnicos[especialidad],tblAsignaciones[[#This Row],[especialidad]],tblTecnicos[area],tblAsignaciones[[#This Row],[area]])</f>
        <v/>
      </c>
      <c r="G21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8" s="6" t="n"/>
      <c r="J21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8" s="3">
        <f>_xlfn.XLOOKUP(tblAsignaciones[[#This Row],[tecnico]],tblTecnicos[nombre],tblTecnicos[supervisor],"")</f>
        <v/>
      </c>
      <c r="L21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8" s="3">
        <f>tblAsignaciones[[#This Row],[semana]]&amp;"|"&amp;tblAsignaciones[[#This Row],[dia]]&amp;"|"&amp;tblAsignaciones[[#This Row],[tecnico]]</f>
        <v/>
      </c>
      <c r="O218" s="3">
        <f>_xlfn.XLOOKUP(tblAsignaciones[[#This Row],[turno]],tblTurnos[turno],tblTurnos[hora_inicio],"")</f>
        <v/>
      </c>
      <c r="P218" s="3">
        <f>_xlfn.XLOOKUP(tblAsignaciones[[#This Row],[turno]],tblTurnos[turno],tblTurnos[hora_fin],"")</f>
        <v/>
      </c>
      <c r="Q218" s="3">
        <f>IF(AND(LEFT(tblAsignaciones[[#This Row],[posicion_ciclo]],1)="T",tblAsignaciones[[#This Row],[en_vacaciones]]="no"),"sí","no")</f>
        <v/>
      </c>
    </row>
    <row r="219">
      <c r="A219" s="3" t="inlineStr">
        <is>
          <t>2026-S31</t>
        </is>
      </c>
      <c r="B219" s="3" t="inlineStr">
        <is>
          <t>sábado</t>
        </is>
      </c>
      <c r="C219" s="3" t="inlineStr">
        <is>
          <t>Técnico 15</t>
        </is>
      </c>
      <c r="D219" s="3">
        <f>_xlfn.XLOOKUP(tblAsignaciones[[#This Row],[tecnico]],tblTecnicos[nombre],tblTecnicos[area],"")</f>
        <v/>
      </c>
      <c r="E219" s="3">
        <f>_xlfn.XLOOKUP(tblAsignaciones[[#This Row],[tecnico]],tblTecnicos[nombre],tblTecnicos[especialidad],"")</f>
        <v/>
      </c>
      <c r="F219" s="3">
        <f>COUNTIFS(tblTecnicos[rotativo],"SI",tblTecnicos[especialidad],tblAsignaciones[[#This Row],[especialidad]],tblTecnicos[area],tblAsignaciones[[#This Row],[area]])</f>
        <v/>
      </c>
      <c r="G21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9" s="6" t="n"/>
      <c r="J21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9" s="3">
        <f>_xlfn.XLOOKUP(tblAsignaciones[[#This Row],[tecnico]],tblTecnicos[nombre],tblTecnicos[supervisor],"")</f>
        <v/>
      </c>
      <c r="L21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9" s="3">
        <f>tblAsignaciones[[#This Row],[semana]]&amp;"|"&amp;tblAsignaciones[[#This Row],[dia]]&amp;"|"&amp;tblAsignaciones[[#This Row],[tecnico]]</f>
        <v/>
      </c>
      <c r="O219" s="3">
        <f>_xlfn.XLOOKUP(tblAsignaciones[[#This Row],[turno]],tblTurnos[turno],tblTurnos[hora_inicio],"")</f>
        <v/>
      </c>
      <c r="P219" s="3">
        <f>_xlfn.XLOOKUP(tblAsignaciones[[#This Row],[turno]],tblTurnos[turno],tblTurnos[hora_fin],"")</f>
        <v/>
      </c>
      <c r="Q219" s="3">
        <f>IF(AND(LEFT(tblAsignaciones[[#This Row],[posicion_ciclo]],1)="T",tblAsignaciones[[#This Row],[en_vacaciones]]="no"),"sí","no")</f>
        <v/>
      </c>
    </row>
    <row r="220">
      <c r="A220" s="3" t="inlineStr">
        <is>
          <t>2026-S31</t>
        </is>
      </c>
      <c r="B220" s="3" t="inlineStr">
        <is>
          <t>domingo</t>
        </is>
      </c>
      <c r="C220" s="3" t="inlineStr">
        <is>
          <t>Técnico 15</t>
        </is>
      </c>
      <c r="D220" s="3">
        <f>_xlfn.XLOOKUP(tblAsignaciones[[#This Row],[tecnico]],tblTecnicos[nombre],tblTecnicos[area],"")</f>
        <v/>
      </c>
      <c r="E220" s="3">
        <f>_xlfn.XLOOKUP(tblAsignaciones[[#This Row],[tecnico]],tblTecnicos[nombre],tblTecnicos[especialidad],"")</f>
        <v/>
      </c>
      <c r="F220" s="3">
        <f>COUNTIFS(tblTecnicos[rotativo],"SI",tblTecnicos[especialidad],tblAsignaciones[[#This Row],[especialidad]],tblTecnicos[area],tblAsignaciones[[#This Row],[area]])</f>
        <v/>
      </c>
      <c r="G22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0" s="6" t="n"/>
      <c r="J22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0" s="3">
        <f>_xlfn.XLOOKUP(tblAsignaciones[[#This Row],[tecnico]],tblTecnicos[nombre],tblTecnicos[supervisor],"")</f>
        <v/>
      </c>
      <c r="L22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0" s="3">
        <f>tblAsignaciones[[#This Row],[semana]]&amp;"|"&amp;tblAsignaciones[[#This Row],[dia]]&amp;"|"&amp;tblAsignaciones[[#This Row],[tecnico]]</f>
        <v/>
      </c>
      <c r="O220" s="3">
        <f>_xlfn.XLOOKUP(tblAsignaciones[[#This Row],[turno]],tblTurnos[turno],tblTurnos[hora_inicio],"")</f>
        <v/>
      </c>
      <c r="P220" s="3">
        <f>_xlfn.XLOOKUP(tblAsignaciones[[#This Row],[turno]],tblTurnos[turno],tblTurnos[hora_fin],"")</f>
        <v/>
      </c>
      <c r="Q220" s="3">
        <f>IF(AND(LEFT(tblAsignaciones[[#This Row],[posicion_ciclo]],1)="T",tblAsignaciones[[#This Row],[en_vacaciones]]="no"),"sí","no")</f>
        <v/>
      </c>
    </row>
    <row r="221">
      <c r="A221" s="3" t="inlineStr">
        <is>
          <t>2026-S31</t>
        </is>
      </c>
      <c r="B221" s="3" t="inlineStr">
        <is>
          <t>lunes</t>
        </is>
      </c>
      <c r="C221" s="3" t="inlineStr">
        <is>
          <t>Técnico 16</t>
        </is>
      </c>
      <c r="D221" s="3">
        <f>_xlfn.XLOOKUP(tblAsignaciones[[#This Row],[tecnico]],tblTecnicos[nombre],tblTecnicos[area],"")</f>
        <v/>
      </c>
      <c r="E221" s="3">
        <f>_xlfn.XLOOKUP(tblAsignaciones[[#This Row],[tecnico]],tblTecnicos[nombre],tblTecnicos[especialidad],"")</f>
        <v/>
      </c>
      <c r="F221" s="3">
        <f>COUNTIFS(tblTecnicos[rotativo],"SI",tblTecnicos[especialidad],tblAsignaciones[[#This Row],[especialidad]],tblTecnicos[area],tblAsignaciones[[#This Row],[area]])</f>
        <v/>
      </c>
      <c r="G22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1" s="6" t="n"/>
      <c r="J22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1" s="3">
        <f>_xlfn.XLOOKUP(tblAsignaciones[[#This Row],[tecnico]],tblTecnicos[nombre],tblTecnicos[supervisor],"")</f>
        <v/>
      </c>
      <c r="L22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1" s="3">
        <f>tblAsignaciones[[#This Row],[semana]]&amp;"|"&amp;tblAsignaciones[[#This Row],[dia]]&amp;"|"&amp;tblAsignaciones[[#This Row],[tecnico]]</f>
        <v/>
      </c>
      <c r="O221" s="3">
        <f>_xlfn.XLOOKUP(tblAsignaciones[[#This Row],[turno]],tblTurnos[turno],tblTurnos[hora_inicio],"")</f>
        <v/>
      </c>
      <c r="P221" s="3">
        <f>_xlfn.XLOOKUP(tblAsignaciones[[#This Row],[turno]],tblTurnos[turno],tblTurnos[hora_fin],"")</f>
        <v/>
      </c>
      <c r="Q221" s="3">
        <f>IF(AND(LEFT(tblAsignaciones[[#This Row],[posicion_ciclo]],1)="T",tblAsignaciones[[#This Row],[en_vacaciones]]="no"),"sí","no")</f>
        <v/>
      </c>
    </row>
    <row r="222">
      <c r="A222" s="3" t="inlineStr">
        <is>
          <t>2026-S31</t>
        </is>
      </c>
      <c r="B222" s="3" t="inlineStr">
        <is>
          <t>martes</t>
        </is>
      </c>
      <c r="C222" s="3" t="inlineStr">
        <is>
          <t>Técnico 16</t>
        </is>
      </c>
      <c r="D222" s="3">
        <f>_xlfn.XLOOKUP(tblAsignaciones[[#This Row],[tecnico]],tblTecnicos[nombre],tblTecnicos[area],"")</f>
        <v/>
      </c>
      <c r="E222" s="3">
        <f>_xlfn.XLOOKUP(tblAsignaciones[[#This Row],[tecnico]],tblTecnicos[nombre],tblTecnicos[especialidad],"")</f>
        <v/>
      </c>
      <c r="F222" s="3">
        <f>COUNTIFS(tblTecnicos[rotativo],"SI",tblTecnicos[especialidad],tblAsignaciones[[#This Row],[especialidad]],tblTecnicos[area],tblAsignaciones[[#This Row],[area]])</f>
        <v/>
      </c>
      <c r="G22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2" s="6" t="n"/>
      <c r="J22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2" s="3">
        <f>_xlfn.XLOOKUP(tblAsignaciones[[#This Row],[tecnico]],tblTecnicos[nombre],tblTecnicos[supervisor],"")</f>
        <v/>
      </c>
      <c r="L22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2" s="3">
        <f>tblAsignaciones[[#This Row],[semana]]&amp;"|"&amp;tblAsignaciones[[#This Row],[dia]]&amp;"|"&amp;tblAsignaciones[[#This Row],[tecnico]]</f>
        <v/>
      </c>
      <c r="O222" s="3">
        <f>_xlfn.XLOOKUP(tblAsignaciones[[#This Row],[turno]],tblTurnos[turno],tblTurnos[hora_inicio],"")</f>
        <v/>
      </c>
      <c r="P222" s="3">
        <f>_xlfn.XLOOKUP(tblAsignaciones[[#This Row],[turno]],tblTurnos[turno],tblTurnos[hora_fin],"")</f>
        <v/>
      </c>
      <c r="Q222" s="3">
        <f>IF(AND(LEFT(tblAsignaciones[[#This Row],[posicion_ciclo]],1)="T",tblAsignaciones[[#This Row],[en_vacaciones]]="no"),"sí","no")</f>
        <v/>
      </c>
    </row>
    <row r="223">
      <c r="A223" s="3" t="inlineStr">
        <is>
          <t>2026-S31</t>
        </is>
      </c>
      <c r="B223" s="3" t="inlineStr">
        <is>
          <t>miércoles</t>
        </is>
      </c>
      <c r="C223" s="3" t="inlineStr">
        <is>
          <t>Técnico 16</t>
        </is>
      </c>
      <c r="D223" s="3">
        <f>_xlfn.XLOOKUP(tblAsignaciones[[#This Row],[tecnico]],tblTecnicos[nombre],tblTecnicos[area],"")</f>
        <v/>
      </c>
      <c r="E223" s="3">
        <f>_xlfn.XLOOKUP(tblAsignaciones[[#This Row],[tecnico]],tblTecnicos[nombre],tblTecnicos[especialidad],"")</f>
        <v/>
      </c>
      <c r="F223" s="3">
        <f>COUNTIFS(tblTecnicos[rotativo],"SI",tblTecnicos[especialidad],tblAsignaciones[[#This Row],[especialidad]],tblTecnicos[area],tblAsignaciones[[#This Row],[area]])</f>
        <v/>
      </c>
      <c r="G22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3" s="6" t="n"/>
      <c r="J22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3" s="3">
        <f>_xlfn.XLOOKUP(tblAsignaciones[[#This Row],[tecnico]],tblTecnicos[nombre],tblTecnicos[supervisor],"")</f>
        <v/>
      </c>
      <c r="L22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3" s="3">
        <f>tblAsignaciones[[#This Row],[semana]]&amp;"|"&amp;tblAsignaciones[[#This Row],[dia]]&amp;"|"&amp;tblAsignaciones[[#This Row],[tecnico]]</f>
        <v/>
      </c>
      <c r="O223" s="3">
        <f>_xlfn.XLOOKUP(tblAsignaciones[[#This Row],[turno]],tblTurnos[turno],tblTurnos[hora_inicio],"")</f>
        <v/>
      </c>
      <c r="P223" s="3">
        <f>_xlfn.XLOOKUP(tblAsignaciones[[#This Row],[turno]],tblTurnos[turno],tblTurnos[hora_fin],"")</f>
        <v/>
      </c>
      <c r="Q223" s="3">
        <f>IF(AND(LEFT(tblAsignaciones[[#This Row],[posicion_ciclo]],1)="T",tblAsignaciones[[#This Row],[en_vacaciones]]="no"),"sí","no")</f>
        <v/>
      </c>
    </row>
    <row r="224">
      <c r="A224" s="3" t="inlineStr">
        <is>
          <t>2026-S31</t>
        </is>
      </c>
      <c r="B224" s="3" t="inlineStr">
        <is>
          <t>jueves</t>
        </is>
      </c>
      <c r="C224" s="3" t="inlineStr">
        <is>
          <t>Técnico 16</t>
        </is>
      </c>
      <c r="D224" s="3">
        <f>_xlfn.XLOOKUP(tblAsignaciones[[#This Row],[tecnico]],tblTecnicos[nombre],tblTecnicos[area],"")</f>
        <v/>
      </c>
      <c r="E224" s="3">
        <f>_xlfn.XLOOKUP(tblAsignaciones[[#This Row],[tecnico]],tblTecnicos[nombre],tblTecnicos[especialidad],"")</f>
        <v/>
      </c>
      <c r="F224" s="3">
        <f>COUNTIFS(tblTecnicos[rotativo],"SI",tblTecnicos[especialidad],tblAsignaciones[[#This Row],[especialidad]],tblTecnicos[area],tblAsignaciones[[#This Row],[area]])</f>
        <v/>
      </c>
      <c r="G22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4" s="6" t="n"/>
      <c r="J22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4" s="3">
        <f>_xlfn.XLOOKUP(tblAsignaciones[[#This Row],[tecnico]],tblTecnicos[nombre],tblTecnicos[supervisor],"")</f>
        <v/>
      </c>
      <c r="L22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4" s="3">
        <f>tblAsignaciones[[#This Row],[semana]]&amp;"|"&amp;tblAsignaciones[[#This Row],[dia]]&amp;"|"&amp;tblAsignaciones[[#This Row],[tecnico]]</f>
        <v/>
      </c>
      <c r="O224" s="3">
        <f>_xlfn.XLOOKUP(tblAsignaciones[[#This Row],[turno]],tblTurnos[turno],tblTurnos[hora_inicio],"")</f>
        <v/>
      </c>
      <c r="P224" s="3">
        <f>_xlfn.XLOOKUP(tblAsignaciones[[#This Row],[turno]],tblTurnos[turno],tblTurnos[hora_fin],"")</f>
        <v/>
      </c>
      <c r="Q224" s="3">
        <f>IF(AND(LEFT(tblAsignaciones[[#This Row],[posicion_ciclo]],1)="T",tblAsignaciones[[#This Row],[en_vacaciones]]="no"),"sí","no")</f>
        <v/>
      </c>
    </row>
    <row r="225">
      <c r="A225" s="3" t="inlineStr">
        <is>
          <t>2026-S31</t>
        </is>
      </c>
      <c r="B225" s="3" t="inlineStr">
        <is>
          <t>viernes</t>
        </is>
      </c>
      <c r="C225" s="3" t="inlineStr">
        <is>
          <t>Técnico 16</t>
        </is>
      </c>
      <c r="D225" s="3">
        <f>_xlfn.XLOOKUP(tblAsignaciones[[#This Row],[tecnico]],tblTecnicos[nombre],tblTecnicos[area],"")</f>
        <v/>
      </c>
      <c r="E225" s="3">
        <f>_xlfn.XLOOKUP(tblAsignaciones[[#This Row],[tecnico]],tblTecnicos[nombre],tblTecnicos[especialidad],"")</f>
        <v/>
      </c>
      <c r="F225" s="3">
        <f>COUNTIFS(tblTecnicos[rotativo],"SI",tblTecnicos[especialidad],tblAsignaciones[[#This Row],[especialidad]],tblTecnicos[area],tblAsignaciones[[#This Row],[area]])</f>
        <v/>
      </c>
      <c r="G22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5" s="6" t="n"/>
      <c r="J22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5" s="3">
        <f>_xlfn.XLOOKUP(tblAsignaciones[[#This Row],[tecnico]],tblTecnicos[nombre],tblTecnicos[supervisor],"")</f>
        <v/>
      </c>
      <c r="L22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5" s="3">
        <f>tblAsignaciones[[#This Row],[semana]]&amp;"|"&amp;tblAsignaciones[[#This Row],[dia]]&amp;"|"&amp;tblAsignaciones[[#This Row],[tecnico]]</f>
        <v/>
      </c>
      <c r="O225" s="3">
        <f>_xlfn.XLOOKUP(tblAsignaciones[[#This Row],[turno]],tblTurnos[turno],tblTurnos[hora_inicio],"")</f>
        <v/>
      </c>
      <c r="P225" s="3">
        <f>_xlfn.XLOOKUP(tblAsignaciones[[#This Row],[turno]],tblTurnos[turno],tblTurnos[hora_fin],"")</f>
        <v/>
      </c>
      <c r="Q225" s="3">
        <f>IF(AND(LEFT(tblAsignaciones[[#This Row],[posicion_ciclo]],1)="T",tblAsignaciones[[#This Row],[en_vacaciones]]="no"),"sí","no")</f>
        <v/>
      </c>
    </row>
    <row r="226">
      <c r="A226" s="3" t="inlineStr">
        <is>
          <t>2026-S31</t>
        </is>
      </c>
      <c r="B226" s="3" t="inlineStr">
        <is>
          <t>sábado</t>
        </is>
      </c>
      <c r="C226" s="3" t="inlineStr">
        <is>
          <t>Técnico 16</t>
        </is>
      </c>
      <c r="D226" s="3">
        <f>_xlfn.XLOOKUP(tblAsignaciones[[#This Row],[tecnico]],tblTecnicos[nombre],tblTecnicos[area],"")</f>
        <v/>
      </c>
      <c r="E226" s="3">
        <f>_xlfn.XLOOKUP(tblAsignaciones[[#This Row],[tecnico]],tblTecnicos[nombre],tblTecnicos[especialidad],"")</f>
        <v/>
      </c>
      <c r="F226" s="3">
        <f>COUNTIFS(tblTecnicos[rotativo],"SI",tblTecnicos[especialidad],tblAsignaciones[[#This Row],[especialidad]],tblTecnicos[area],tblAsignaciones[[#This Row],[area]])</f>
        <v/>
      </c>
      <c r="G22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6" s="6" t="n"/>
      <c r="J22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6" s="3">
        <f>_xlfn.XLOOKUP(tblAsignaciones[[#This Row],[tecnico]],tblTecnicos[nombre],tblTecnicos[supervisor],"")</f>
        <v/>
      </c>
      <c r="L22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6" s="3">
        <f>tblAsignaciones[[#This Row],[semana]]&amp;"|"&amp;tblAsignaciones[[#This Row],[dia]]&amp;"|"&amp;tblAsignaciones[[#This Row],[tecnico]]</f>
        <v/>
      </c>
      <c r="O226" s="3">
        <f>_xlfn.XLOOKUP(tblAsignaciones[[#This Row],[turno]],tblTurnos[turno],tblTurnos[hora_inicio],"")</f>
        <v/>
      </c>
      <c r="P226" s="3">
        <f>_xlfn.XLOOKUP(tblAsignaciones[[#This Row],[turno]],tblTurnos[turno],tblTurnos[hora_fin],"")</f>
        <v/>
      </c>
      <c r="Q226" s="3">
        <f>IF(AND(LEFT(tblAsignaciones[[#This Row],[posicion_ciclo]],1)="T",tblAsignaciones[[#This Row],[en_vacaciones]]="no"),"sí","no")</f>
        <v/>
      </c>
    </row>
    <row r="227">
      <c r="A227" s="3" t="inlineStr">
        <is>
          <t>2026-S31</t>
        </is>
      </c>
      <c r="B227" s="3" t="inlineStr">
        <is>
          <t>domingo</t>
        </is>
      </c>
      <c r="C227" s="3" t="inlineStr">
        <is>
          <t>Técnico 16</t>
        </is>
      </c>
      <c r="D227" s="3">
        <f>_xlfn.XLOOKUP(tblAsignaciones[[#This Row],[tecnico]],tblTecnicos[nombre],tblTecnicos[area],"")</f>
        <v/>
      </c>
      <c r="E227" s="3">
        <f>_xlfn.XLOOKUP(tblAsignaciones[[#This Row],[tecnico]],tblTecnicos[nombre],tblTecnicos[especialidad],"")</f>
        <v/>
      </c>
      <c r="F227" s="3">
        <f>COUNTIFS(tblTecnicos[rotativo],"SI",tblTecnicos[especialidad],tblAsignaciones[[#This Row],[especialidad]],tblTecnicos[area],tblAsignaciones[[#This Row],[area]])</f>
        <v/>
      </c>
      <c r="G22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7" s="6" t="n"/>
      <c r="J22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7" s="3">
        <f>_xlfn.XLOOKUP(tblAsignaciones[[#This Row],[tecnico]],tblTecnicos[nombre],tblTecnicos[supervisor],"")</f>
        <v/>
      </c>
      <c r="L22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7" s="3">
        <f>tblAsignaciones[[#This Row],[semana]]&amp;"|"&amp;tblAsignaciones[[#This Row],[dia]]&amp;"|"&amp;tblAsignaciones[[#This Row],[tecnico]]</f>
        <v/>
      </c>
      <c r="O227" s="3">
        <f>_xlfn.XLOOKUP(tblAsignaciones[[#This Row],[turno]],tblTurnos[turno],tblTurnos[hora_inicio],"")</f>
        <v/>
      </c>
      <c r="P227" s="3">
        <f>_xlfn.XLOOKUP(tblAsignaciones[[#This Row],[turno]],tblTurnos[turno],tblTurnos[hora_fin],"")</f>
        <v/>
      </c>
      <c r="Q227" s="3">
        <f>IF(AND(LEFT(tblAsignaciones[[#This Row],[posicion_ciclo]],1)="T",tblAsignaciones[[#This Row],[en_vacaciones]]="no"),"sí","no")</f>
        <v/>
      </c>
    </row>
    <row r="228">
      <c r="A228" s="3" t="inlineStr">
        <is>
          <t>2026-S32</t>
        </is>
      </c>
      <c r="B228" s="3" t="inlineStr">
        <is>
          <t>lunes</t>
        </is>
      </c>
      <c r="C228" s="3" t="inlineStr">
        <is>
          <t>Técnico 01</t>
        </is>
      </c>
      <c r="D228" s="3">
        <f>_xlfn.XLOOKUP(tblAsignaciones[[#This Row],[tecnico]],tblTecnicos[nombre],tblTecnicos[area],"")</f>
        <v/>
      </c>
      <c r="E228" s="3">
        <f>_xlfn.XLOOKUP(tblAsignaciones[[#This Row],[tecnico]],tblTecnicos[nombre],tblTecnicos[especialidad],"")</f>
        <v/>
      </c>
      <c r="F228" s="3">
        <f>COUNTIFS(tblTecnicos[rotativo],"SI",tblTecnicos[especialidad],tblAsignaciones[[#This Row],[especialidad]],tblTecnicos[area],tblAsignaciones[[#This Row],[area]])</f>
        <v/>
      </c>
      <c r="G22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8" s="6" t="n"/>
      <c r="J22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8" s="3">
        <f>_xlfn.XLOOKUP(tblAsignaciones[[#This Row],[tecnico]],tblTecnicos[nombre],tblTecnicos[supervisor],"")</f>
        <v/>
      </c>
      <c r="L22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8" s="3">
        <f>tblAsignaciones[[#This Row],[semana]]&amp;"|"&amp;tblAsignaciones[[#This Row],[dia]]&amp;"|"&amp;tblAsignaciones[[#This Row],[tecnico]]</f>
        <v/>
      </c>
      <c r="O228" s="3">
        <f>_xlfn.XLOOKUP(tblAsignaciones[[#This Row],[turno]],tblTurnos[turno],tblTurnos[hora_inicio],"")</f>
        <v/>
      </c>
      <c r="P228" s="3">
        <f>_xlfn.XLOOKUP(tblAsignaciones[[#This Row],[turno]],tblTurnos[turno],tblTurnos[hora_fin],"")</f>
        <v/>
      </c>
      <c r="Q228" s="3">
        <f>IF(AND(LEFT(tblAsignaciones[[#This Row],[posicion_ciclo]],1)="T",tblAsignaciones[[#This Row],[en_vacaciones]]="no"),"sí","no")</f>
        <v/>
      </c>
    </row>
    <row r="229">
      <c r="A229" s="3" t="inlineStr">
        <is>
          <t>2026-S32</t>
        </is>
      </c>
      <c r="B229" s="3" t="inlineStr">
        <is>
          <t>martes</t>
        </is>
      </c>
      <c r="C229" s="3" t="inlineStr">
        <is>
          <t>Técnico 01</t>
        </is>
      </c>
      <c r="D229" s="3">
        <f>_xlfn.XLOOKUP(tblAsignaciones[[#This Row],[tecnico]],tblTecnicos[nombre],tblTecnicos[area],"")</f>
        <v/>
      </c>
      <c r="E229" s="3">
        <f>_xlfn.XLOOKUP(tblAsignaciones[[#This Row],[tecnico]],tblTecnicos[nombre],tblTecnicos[especialidad],"")</f>
        <v/>
      </c>
      <c r="F229" s="3">
        <f>COUNTIFS(tblTecnicos[rotativo],"SI",tblTecnicos[especialidad],tblAsignaciones[[#This Row],[especialidad]],tblTecnicos[area],tblAsignaciones[[#This Row],[area]])</f>
        <v/>
      </c>
      <c r="G22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9" s="6" t="n"/>
      <c r="J22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9" s="3">
        <f>_xlfn.XLOOKUP(tblAsignaciones[[#This Row],[tecnico]],tblTecnicos[nombre],tblTecnicos[supervisor],"")</f>
        <v/>
      </c>
      <c r="L22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9" s="3">
        <f>tblAsignaciones[[#This Row],[semana]]&amp;"|"&amp;tblAsignaciones[[#This Row],[dia]]&amp;"|"&amp;tblAsignaciones[[#This Row],[tecnico]]</f>
        <v/>
      </c>
      <c r="O229" s="3">
        <f>_xlfn.XLOOKUP(tblAsignaciones[[#This Row],[turno]],tblTurnos[turno],tblTurnos[hora_inicio],"")</f>
        <v/>
      </c>
      <c r="P229" s="3">
        <f>_xlfn.XLOOKUP(tblAsignaciones[[#This Row],[turno]],tblTurnos[turno],tblTurnos[hora_fin],"")</f>
        <v/>
      </c>
      <c r="Q229" s="3">
        <f>IF(AND(LEFT(tblAsignaciones[[#This Row],[posicion_ciclo]],1)="T",tblAsignaciones[[#This Row],[en_vacaciones]]="no"),"sí","no")</f>
        <v/>
      </c>
    </row>
    <row r="230">
      <c r="A230" s="3" t="inlineStr">
        <is>
          <t>2026-S32</t>
        </is>
      </c>
      <c r="B230" s="3" t="inlineStr">
        <is>
          <t>miércoles</t>
        </is>
      </c>
      <c r="C230" s="3" t="inlineStr">
        <is>
          <t>Técnico 01</t>
        </is>
      </c>
      <c r="D230" s="3">
        <f>_xlfn.XLOOKUP(tblAsignaciones[[#This Row],[tecnico]],tblTecnicos[nombre],tblTecnicos[area],"")</f>
        <v/>
      </c>
      <c r="E230" s="3">
        <f>_xlfn.XLOOKUP(tblAsignaciones[[#This Row],[tecnico]],tblTecnicos[nombre],tblTecnicos[especialidad],"")</f>
        <v/>
      </c>
      <c r="F230" s="3">
        <f>COUNTIFS(tblTecnicos[rotativo],"SI",tblTecnicos[especialidad],tblAsignaciones[[#This Row],[especialidad]],tblTecnicos[area],tblAsignaciones[[#This Row],[area]])</f>
        <v/>
      </c>
      <c r="G23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0" s="6" t="n"/>
      <c r="J23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0" s="3">
        <f>_xlfn.XLOOKUP(tblAsignaciones[[#This Row],[tecnico]],tblTecnicos[nombre],tblTecnicos[supervisor],"")</f>
        <v/>
      </c>
      <c r="L23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0" s="3">
        <f>tblAsignaciones[[#This Row],[semana]]&amp;"|"&amp;tblAsignaciones[[#This Row],[dia]]&amp;"|"&amp;tblAsignaciones[[#This Row],[tecnico]]</f>
        <v/>
      </c>
      <c r="O230" s="3">
        <f>_xlfn.XLOOKUP(tblAsignaciones[[#This Row],[turno]],tblTurnos[turno],tblTurnos[hora_inicio],"")</f>
        <v/>
      </c>
      <c r="P230" s="3">
        <f>_xlfn.XLOOKUP(tblAsignaciones[[#This Row],[turno]],tblTurnos[turno],tblTurnos[hora_fin],"")</f>
        <v/>
      </c>
      <c r="Q230" s="3">
        <f>IF(AND(LEFT(tblAsignaciones[[#This Row],[posicion_ciclo]],1)="T",tblAsignaciones[[#This Row],[en_vacaciones]]="no"),"sí","no")</f>
        <v/>
      </c>
    </row>
    <row r="231">
      <c r="A231" s="3" t="inlineStr">
        <is>
          <t>2026-S32</t>
        </is>
      </c>
      <c r="B231" s="3" t="inlineStr">
        <is>
          <t>jueves</t>
        </is>
      </c>
      <c r="C231" s="3" t="inlineStr">
        <is>
          <t>Técnico 01</t>
        </is>
      </c>
      <c r="D231" s="3">
        <f>_xlfn.XLOOKUP(tblAsignaciones[[#This Row],[tecnico]],tblTecnicos[nombre],tblTecnicos[area],"")</f>
        <v/>
      </c>
      <c r="E231" s="3">
        <f>_xlfn.XLOOKUP(tblAsignaciones[[#This Row],[tecnico]],tblTecnicos[nombre],tblTecnicos[especialidad],"")</f>
        <v/>
      </c>
      <c r="F231" s="3">
        <f>COUNTIFS(tblTecnicos[rotativo],"SI",tblTecnicos[especialidad],tblAsignaciones[[#This Row],[especialidad]],tblTecnicos[area],tblAsignaciones[[#This Row],[area]])</f>
        <v/>
      </c>
      <c r="G23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1" s="6" t="n"/>
      <c r="J23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1" s="3">
        <f>_xlfn.XLOOKUP(tblAsignaciones[[#This Row],[tecnico]],tblTecnicos[nombre],tblTecnicos[supervisor],"")</f>
        <v/>
      </c>
      <c r="L23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1" s="3">
        <f>tblAsignaciones[[#This Row],[semana]]&amp;"|"&amp;tblAsignaciones[[#This Row],[dia]]&amp;"|"&amp;tblAsignaciones[[#This Row],[tecnico]]</f>
        <v/>
      </c>
      <c r="O231" s="3">
        <f>_xlfn.XLOOKUP(tblAsignaciones[[#This Row],[turno]],tblTurnos[turno],tblTurnos[hora_inicio],"")</f>
        <v/>
      </c>
      <c r="P231" s="3">
        <f>_xlfn.XLOOKUP(tblAsignaciones[[#This Row],[turno]],tblTurnos[turno],tblTurnos[hora_fin],"")</f>
        <v/>
      </c>
      <c r="Q231" s="3">
        <f>IF(AND(LEFT(tblAsignaciones[[#This Row],[posicion_ciclo]],1)="T",tblAsignaciones[[#This Row],[en_vacaciones]]="no"),"sí","no")</f>
        <v/>
      </c>
    </row>
    <row r="232">
      <c r="A232" s="3" t="inlineStr">
        <is>
          <t>2026-S32</t>
        </is>
      </c>
      <c r="B232" s="3" t="inlineStr">
        <is>
          <t>viernes</t>
        </is>
      </c>
      <c r="C232" s="3" t="inlineStr">
        <is>
          <t>Técnico 01</t>
        </is>
      </c>
      <c r="D232" s="3">
        <f>_xlfn.XLOOKUP(tblAsignaciones[[#This Row],[tecnico]],tblTecnicos[nombre],tblTecnicos[area],"")</f>
        <v/>
      </c>
      <c r="E232" s="3">
        <f>_xlfn.XLOOKUP(tblAsignaciones[[#This Row],[tecnico]],tblTecnicos[nombre],tblTecnicos[especialidad],"")</f>
        <v/>
      </c>
      <c r="F232" s="3">
        <f>COUNTIFS(tblTecnicos[rotativo],"SI",tblTecnicos[especialidad],tblAsignaciones[[#This Row],[especialidad]],tblTecnicos[area],tblAsignaciones[[#This Row],[area]])</f>
        <v/>
      </c>
      <c r="G23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2" s="6" t="n"/>
      <c r="J23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2" s="3">
        <f>_xlfn.XLOOKUP(tblAsignaciones[[#This Row],[tecnico]],tblTecnicos[nombre],tblTecnicos[supervisor],"")</f>
        <v/>
      </c>
      <c r="L23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2" s="3">
        <f>tblAsignaciones[[#This Row],[semana]]&amp;"|"&amp;tblAsignaciones[[#This Row],[dia]]&amp;"|"&amp;tblAsignaciones[[#This Row],[tecnico]]</f>
        <v/>
      </c>
      <c r="O232" s="3">
        <f>_xlfn.XLOOKUP(tblAsignaciones[[#This Row],[turno]],tblTurnos[turno],tblTurnos[hora_inicio],"")</f>
        <v/>
      </c>
      <c r="P232" s="3">
        <f>_xlfn.XLOOKUP(tblAsignaciones[[#This Row],[turno]],tblTurnos[turno],tblTurnos[hora_fin],"")</f>
        <v/>
      </c>
      <c r="Q232" s="3">
        <f>IF(AND(LEFT(tblAsignaciones[[#This Row],[posicion_ciclo]],1)="T",tblAsignaciones[[#This Row],[en_vacaciones]]="no"),"sí","no")</f>
        <v/>
      </c>
    </row>
    <row r="233">
      <c r="A233" s="3" t="inlineStr">
        <is>
          <t>2026-S32</t>
        </is>
      </c>
      <c r="B233" s="3" t="inlineStr">
        <is>
          <t>sábado</t>
        </is>
      </c>
      <c r="C233" s="3" t="inlineStr">
        <is>
          <t>Técnico 01</t>
        </is>
      </c>
      <c r="D233" s="3">
        <f>_xlfn.XLOOKUP(tblAsignaciones[[#This Row],[tecnico]],tblTecnicos[nombre],tblTecnicos[area],"")</f>
        <v/>
      </c>
      <c r="E233" s="3">
        <f>_xlfn.XLOOKUP(tblAsignaciones[[#This Row],[tecnico]],tblTecnicos[nombre],tblTecnicos[especialidad],"")</f>
        <v/>
      </c>
      <c r="F233" s="3">
        <f>COUNTIFS(tblTecnicos[rotativo],"SI",tblTecnicos[especialidad],tblAsignaciones[[#This Row],[especialidad]],tblTecnicos[area],tblAsignaciones[[#This Row],[area]])</f>
        <v/>
      </c>
      <c r="G23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3" s="6" t="n"/>
      <c r="J23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3" s="3">
        <f>_xlfn.XLOOKUP(tblAsignaciones[[#This Row],[tecnico]],tblTecnicos[nombre],tblTecnicos[supervisor],"")</f>
        <v/>
      </c>
      <c r="L23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3" s="3">
        <f>tblAsignaciones[[#This Row],[semana]]&amp;"|"&amp;tblAsignaciones[[#This Row],[dia]]&amp;"|"&amp;tblAsignaciones[[#This Row],[tecnico]]</f>
        <v/>
      </c>
      <c r="O233" s="3">
        <f>_xlfn.XLOOKUP(tblAsignaciones[[#This Row],[turno]],tblTurnos[turno],tblTurnos[hora_inicio],"")</f>
        <v/>
      </c>
      <c r="P233" s="3">
        <f>_xlfn.XLOOKUP(tblAsignaciones[[#This Row],[turno]],tblTurnos[turno],tblTurnos[hora_fin],"")</f>
        <v/>
      </c>
      <c r="Q233" s="3">
        <f>IF(AND(LEFT(tblAsignaciones[[#This Row],[posicion_ciclo]],1)="T",tblAsignaciones[[#This Row],[en_vacaciones]]="no"),"sí","no")</f>
        <v/>
      </c>
    </row>
    <row r="234">
      <c r="A234" s="3" t="inlineStr">
        <is>
          <t>2026-S32</t>
        </is>
      </c>
      <c r="B234" s="3" t="inlineStr">
        <is>
          <t>domingo</t>
        </is>
      </c>
      <c r="C234" s="3" t="inlineStr">
        <is>
          <t>Técnico 01</t>
        </is>
      </c>
      <c r="D234" s="3">
        <f>_xlfn.XLOOKUP(tblAsignaciones[[#This Row],[tecnico]],tblTecnicos[nombre],tblTecnicos[area],"")</f>
        <v/>
      </c>
      <c r="E234" s="3">
        <f>_xlfn.XLOOKUP(tblAsignaciones[[#This Row],[tecnico]],tblTecnicos[nombre],tblTecnicos[especialidad],"")</f>
        <v/>
      </c>
      <c r="F234" s="3">
        <f>COUNTIFS(tblTecnicos[rotativo],"SI",tblTecnicos[especialidad],tblAsignaciones[[#This Row],[especialidad]],tblTecnicos[area],tblAsignaciones[[#This Row],[area]])</f>
        <v/>
      </c>
      <c r="G23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4" s="6" t="n"/>
      <c r="J23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4" s="3">
        <f>_xlfn.XLOOKUP(tblAsignaciones[[#This Row],[tecnico]],tblTecnicos[nombre],tblTecnicos[supervisor],"")</f>
        <v/>
      </c>
      <c r="L23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4" s="3">
        <f>tblAsignaciones[[#This Row],[semana]]&amp;"|"&amp;tblAsignaciones[[#This Row],[dia]]&amp;"|"&amp;tblAsignaciones[[#This Row],[tecnico]]</f>
        <v/>
      </c>
      <c r="O234" s="3">
        <f>_xlfn.XLOOKUP(tblAsignaciones[[#This Row],[turno]],tblTurnos[turno],tblTurnos[hora_inicio],"")</f>
        <v/>
      </c>
      <c r="P234" s="3">
        <f>_xlfn.XLOOKUP(tblAsignaciones[[#This Row],[turno]],tblTurnos[turno],tblTurnos[hora_fin],"")</f>
        <v/>
      </c>
      <c r="Q234" s="3">
        <f>IF(AND(LEFT(tblAsignaciones[[#This Row],[posicion_ciclo]],1)="T",tblAsignaciones[[#This Row],[en_vacaciones]]="no"),"sí","no")</f>
        <v/>
      </c>
    </row>
    <row r="235">
      <c r="A235" s="3" t="inlineStr">
        <is>
          <t>2026-S32</t>
        </is>
      </c>
      <c r="B235" s="3" t="inlineStr">
        <is>
          <t>lunes</t>
        </is>
      </c>
      <c r="C235" s="3" t="inlineStr">
        <is>
          <t>Técnico 02</t>
        </is>
      </c>
      <c r="D235" s="3">
        <f>_xlfn.XLOOKUP(tblAsignaciones[[#This Row],[tecnico]],tblTecnicos[nombre],tblTecnicos[area],"")</f>
        <v/>
      </c>
      <c r="E235" s="3">
        <f>_xlfn.XLOOKUP(tblAsignaciones[[#This Row],[tecnico]],tblTecnicos[nombre],tblTecnicos[especialidad],"")</f>
        <v/>
      </c>
      <c r="F235" s="3">
        <f>COUNTIFS(tblTecnicos[rotativo],"SI",tblTecnicos[especialidad],tblAsignaciones[[#This Row],[especialidad]],tblTecnicos[area],tblAsignaciones[[#This Row],[area]])</f>
        <v/>
      </c>
      <c r="G23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5" s="6" t="n"/>
      <c r="J23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5" s="3">
        <f>_xlfn.XLOOKUP(tblAsignaciones[[#This Row],[tecnico]],tblTecnicos[nombre],tblTecnicos[supervisor],"")</f>
        <v/>
      </c>
      <c r="L23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5" s="3">
        <f>tblAsignaciones[[#This Row],[semana]]&amp;"|"&amp;tblAsignaciones[[#This Row],[dia]]&amp;"|"&amp;tblAsignaciones[[#This Row],[tecnico]]</f>
        <v/>
      </c>
      <c r="O235" s="3">
        <f>_xlfn.XLOOKUP(tblAsignaciones[[#This Row],[turno]],tblTurnos[turno],tblTurnos[hora_inicio],"")</f>
        <v/>
      </c>
      <c r="P235" s="3">
        <f>_xlfn.XLOOKUP(tblAsignaciones[[#This Row],[turno]],tblTurnos[turno],tblTurnos[hora_fin],"")</f>
        <v/>
      </c>
      <c r="Q235" s="3">
        <f>IF(AND(LEFT(tblAsignaciones[[#This Row],[posicion_ciclo]],1)="T",tblAsignaciones[[#This Row],[en_vacaciones]]="no"),"sí","no")</f>
        <v/>
      </c>
    </row>
    <row r="236">
      <c r="A236" s="3" t="inlineStr">
        <is>
          <t>2026-S32</t>
        </is>
      </c>
      <c r="B236" s="3" t="inlineStr">
        <is>
          <t>martes</t>
        </is>
      </c>
      <c r="C236" s="3" t="inlineStr">
        <is>
          <t>Técnico 02</t>
        </is>
      </c>
      <c r="D236" s="3">
        <f>_xlfn.XLOOKUP(tblAsignaciones[[#This Row],[tecnico]],tblTecnicos[nombre],tblTecnicos[area],"")</f>
        <v/>
      </c>
      <c r="E236" s="3">
        <f>_xlfn.XLOOKUP(tblAsignaciones[[#This Row],[tecnico]],tblTecnicos[nombre],tblTecnicos[especialidad],"")</f>
        <v/>
      </c>
      <c r="F236" s="3">
        <f>COUNTIFS(tblTecnicos[rotativo],"SI",tblTecnicos[especialidad],tblAsignaciones[[#This Row],[especialidad]],tblTecnicos[area],tblAsignaciones[[#This Row],[area]])</f>
        <v/>
      </c>
      <c r="G23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6" s="6" t="n"/>
      <c r="J23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6" s="3">
        <f>_xlfn.XLOOKUP(tblAsignaciones[[#This Row],[tecnico]],tblTecnicos[nombre],tblTecnicos[supervisor],"")</f>
        <v/>
      </c>
      <c r="L23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6" s="3">
        <f>tblAsignaciones[[#This Row],[semana]]&amp;"|"&amp;tblAsignaciones[[#This Row],[dia]]&amp;"|"&amp;tblAsignaciones[[#This Row],[tecnico]]</f>
        <v/>
      </c>
      <c r="O236" s="3">
        <f>_xlfn.XLOOKUP(tblAsignaciones[[#This Row],[turno]],tblTurnos[turno],tblTurnos[hora_inicio],"")</f>
        <v/>
      </c>
      <c r="P236" s="3">
        <f>_xlfn.XLOOKUP(tblAsignaciones[[#This Row],[turno]],tblTurnos[turno],tblTurnos[hora_fin],"")</f>
        <v/>
      </c>
      <c r="Q236" s="3">
        <f>IF(AND(LEFT(tblAsignaciones[[#This Row],[posicion_ciclo]],1)="T",tblAsignaciones[[#This Row],[en_vacaciones]]="no"),"sí","no")</f>
        <v/>
      </c>
    </row>
    <row r="237">
      <c r="A237" s="3" t="inlineStr">
        <is>
          <t>2026-S32</t>
        </is>
      </c>
      <c r="B237" s="3" t="inlineStr">
        <is>
          <t>miércoles</t>
        </is>
      </c>
      <c r="C237" s="3" t="inlineStr">
        <is>
          <t>Técnico 02</t>
        </is>
      </c>
      <c r="D237" s="3">
        <f>_xlfn.XLOOKUP(tblAsignaciones[[#This Row],[tecnico]],tblTecnicos[nombre],tblTecnicos[area],"")</f>
        <v/>
      </c>
      <c r="E237" s="3">
        <f>_xlfn.XLOOKUP(tblAsignaciones[[#This Row],[tecnico]],tblTecnicos[nombre],tblTecnicos[especialidad],"")</f>
        <v/>
      </c>
      <c r="F237" s="3">
        <f>COUNTIFS(tblTecnicos[rotativo],"SI",tblTecnicos[especialidad],tblAsignaciones[[#This Row],[especialidad]],tblTecnicos[area],tblAsignaciones[[#This Row],[area]])</f>
        <v/>
      </c>
      <c r="G23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7" s="6" t="n"/>
      <c r="J23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7" s="3">
        <f>_xlfn.XLOOKUP(tblAsignaciones[[#This Row],[tecnico]],tblTecnicos[nombre],tblTecnicos[supervisor],"")</f>
        <v/>
      </c>
      <c r="L23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7" s="3">
        <f>tblAsignaciones[[#This Row],[semana]]&amp;"|"&amp;tblAsignaciones[[#This Row],[dia]]&amp;"|"&amp;tblAsignaciones[[#This Row],[tecnico]]</f>
        <v/>
      </c>
      <c r="O237" s="3">
        <f>_xlfn.XLOOKUP(tblAsignaciones[[#This Row],[turno]],tblTurnos[turno],tblTurnos[hora_inicio],"")</f>
        <v/>
      </c>
      <c r="P237" s="3">
        <f>_xlfn.XLOOKUP(tblAsignaciones[[#This Row],[turno]],tblTurnos[turno],tblTurnos[hora_fin],"")</f>
        <v/>
      </c>
      <c r="Q237" s="3">
        <f>IF(AND(LEFT(tblAsignaciones[[#This Row],[posicion_ciclo]],1)="T",tblAsignaciones[[#This Row],[en_vacaciones]]="no"),"sí","no")</f>
        <v/>
      </c>
    </row>
    <row r="238">
      <c r="A238" s="3" t="inlineStr">
        <is>
          <t>2026-S32</t>
        </is>
      </c>
      <c r="B238" s="3" t="inlineStr">
        <is>
          <t>jueves</t>
        </is>
      </c>
      <c r="C238" s="3" t="inlineStr">
        <is>
          <t>Técnico 02</t>
        </is>
      </c>
      <c r="D238" s="3">
        <f>_xlfn.XLOOKUP(tblAsignaciones[[#This Row],[tecnico]],tblTecnicos[nombre],tblTecnicos[area],"")</f>
        <v/>
      </c>
      <c r="E238" s="3">
        <f>_xlfn.XLOOKUP(tblAsignaciones[[#This Row],[tecnico]],tblTecnicos[nombre],tblTecnicos[especialidad],"")</f>
        <v/>
      </c>
      <c r="F238" s="3">
        <f>COUNTIFS(tblTecnicos[rotativo],"SI",tblTecnicos[especialidad],tblAsignaciones[[#This Row],[especialidad]],tblTecnicos[area],tblAsignaciones[[#This Row],[area]])</f>
        <v/>
      </c>
      <c r="G23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8" s="6" t="n"/>
      <c r="J23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8" s="3">
        <f>_xlfn.XLOOKUP(tblAsignaciones[[#This Row],[tecnico]],tblTecnicos[nombre],tblTecnicos[supervisor],"")</f>
        <v/>
      </c>
      <c r="L23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8" s="3">
        <f>tblAsignaciones[[#This Row],[semana]]&amp;"|"&amp;tblAsignaciones[[#This Row],[dia]]&amp;"|"&amp;tblAsignaciones[[#This Row],[tecnico]]</f>
        <v/>
      </c>
      <c r="O238" s="3">
        <f>_xlfn.XLOOKUP(tblAsignaciones[[#This Row],[turno]],tblTurnos[turno],tblTurnos[hora_inicio],"")</f>
        <v/>
      </c>
      <c r="P238" s="3">
        <f>_xlfn.XLOOKUP(tblAsignaciones[[#This Row],[turno]],tblTurnos[turno],tblTurnos[hora_fin],"")</f>
        <v/>
      </c>
      <c r="Q238" s="3">
        <f>IF(AND(LEFT(tblAsignaciones[[#This Row],[posicion_ciclo]],1)="T",tblAsignaciones[[#This Row],[en_vacaciones]]="no"),"sí","no")</f>
        <v/>
      </c>
    </row>
    <row r="239">
      <c r="A239" s="3" t="inlineStr">
        <is>
          <t>2026-S32</t>
        </is>
      </c>
      <c r="B239" s="3" t="inlineStr">
        <is>
          <t>viernes</t>
        </is>
      </c>
      <c r="C239" s="3" t="inlineStr">
        <is>
          <t>Técnico 02</t>
        </is>
      </c>
      <c r="D239" s="3">
        <f>_xlfn.XLOOKUP(tblAsignaciones[[#This Row],[tecnico]],tblTecnicos[nombre],tblTecnicos[area],"")</f>
        <v/>
      </c>
      <c r="E239" s="3">
        <f>_xlfn.XLOOKUP(tblAsignaciones[[#This Row],[tecnico]],tblTecnicos[nombre],tblTecnicos[especialidad],"")</f>
        <v/>
      </c>
      <c r="F239" s="3">
        <f>COUNTIFS(tblTecnicos[rotativo],"SI",tblTecnicos[especialidad],tblAsignaciones[[#This Row],[especialidad]],tblTecnicos[area],tblAsignaciones[[#This Row],[area]])</f>
        <v/>
      </c>
      <c r="G23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9" s="6" t="n"/>
      <c r="J23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9" s="3">
        <f>_xlfn.XLOOKUP(tblAsignaciones[[#This Row],[tecnico]],tblTecnicos[nombre],tblTecnicos[supervisor],"")</f>
        <v/>
      </c>
      <c r="L23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9" s="3">
        <f>tblAsignaciones[[#This Row],[semana]]&amp;"|"&amp;tblAsignaciones[[#This Row],[dia]]&amp;"|"&amp;tblAsignaciones[[#This Row],[tecnico]]</f>
        <v/>
      </c>
      <c r="O239" s="3">
        <f>_xlfn.XLOOKUP(tblAsignaciones[[#This Row],[turno]],tblTurnos[turno],tblTurnos[hora_inicio],"")</f>
        <v/>
      </c>
      <c r="P239" s="3">
        <f>_xlfn.XLOOKUP(tblAsignaciones[[#This Row],[turno]],tblTurnos[turno],tblTurnos[hora_fin],"")</f>
        <v/>
      </c>
      <c r="Q239" s="3">
        <f>IF(AND(LEFT(tblAsignaciones[[#This Row],[posicion_ciclo]],1)="T",tblAsignaciones[[#This Row],[en_vacaciones]]="no"),"sí","no")</f>
        <v/>
      </c>
    </row>
    <row r="240">
      <c r="A240" s="3" t="inlineStr">
        <is>
          <t>2026-S32</t>
        </is>
      </c>
      <c r="B240" s="3" t="inlineStr">
        <is>
          <t>sábado</t>
        </is>
      </c>
      <c r="C240" s="3" t="inlineStr">
        <is>
          <t>Técnico 02</t>
        </is>
      </c>
      <c r="D240" s="3">
        <f>_xlfn.XLOOKUP(tblAsignaciones[[#This Row],[tecnico]],tblTecnicos[nombre],tblTecnicos[area],"")</f>
        <v/>
      </c>
      <c r="E240" s="3">
        <f>_xlfn.XLOOKUP(tblAsignaciones[[#This Row],[tecnico]],tblTecnicos[nombre],tblTecnicos[especialidad],"")</f>
        <v/>
      </c>
      <c r="F240" s="3">
        <f>COUNTIFS(tblTecnicos[rotativo],"SI",tblTecnicos[especialidad],tblAsignaciones[[#This Row],[especialidad]],tblTecnicos[area],tblAsignaciones[[#This Row],[area]])</f>
        <v/>
      </c>
      <c r="G24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0" s="6" t="n"/>
      <c r="J24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0" s="3">
        <f>_xlfn.XLOOKUP(tblAsignaciones[[#This Row],[tecnico]],tblTecnicos[nombre],tblTecnicos[supervisor],"")</f>
        <v/>
      </c>
      <c r="L24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0" s="3">
        <f>tblAsignaciones[[#This Row],[semana]]&amp;"|"&amp;tblAsignaciones[[#This Row],[dia]]&amp;"|"&amp;tblAsignaciones[[#This Row],[tecnico]]</f>
        <v/>
      </c>
      <c r="O240" s="3">
        <f>_xlfn.XLOOKUP(tblAsignaciones[[#This Row],[turno]],tblTurnos[turno],tblTurnos[hora_inicio],"")</f>
        <v/>
      </c>
      <c r="P240" s="3">
        <f>_xlfn.XLOOKUP(tblAsignaciones[[#This Row],[turno]],tblTurnos[turno],tblTurnos[hora_fin],"")</f>
        <v/>
      </c>
      <c r="Q240" s="3">
        <f>IF(AND(LEFT(tblAsignaciones[[#This Row],[posicion_ciclo]],1)="T",tblAsignaciones[[#This Row],[en_vacaciones]]="no"),"sí","no")</f>
        <v/>
      </c>
    </row>
    <row r="241">
      <c r="A241" s="3" t="inlineStr">
        <is>
          <t>2026-S32</t>
        </is>
      </c>
      <c r="B241" s="3" t="inlineStr">
        <is>
          <t>domingo</t>
        </is>
      </c>
      <c r="C241" s="3" t="inlineStr">
        <is>
          <t>Técnico 02</t>
        </is>
      </c>
      <c r="D241" s="3">
        <f>_xlfn.XLOOKUP(tblAsignaciones[[#This Row],[tecnico]],tblTecnicos[nombre],tblTecnicos[area],"")</f>
        <v/>
      </c>
      <c r="E241" s="3">
        <f>_xlfn.XLOOKUP(tblAsignaciones[[#This Row],[tecnico]],tblTecnicos[nombre],tblTecnicos[especialidad],"")</f>
        <v/>
      </c>
      <c r="F241" s="3">
        <f>COUNTIFS(tblTecnicos[rotativo],"SI",tblTecnicos[especialidad],tblAsignaciones[[#This Row],[especialidad]],tblTecnicos[area],tblAsignaciones[[#This Row],[area]])</f>
        <v/>
      </c>
      <c r="G24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1" s="6" t="n"/>
      <c r="J24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1" s="3">
        <f>_xlfn.XLOOKUP(tblAsignaciones[[#This Row],[tecnico]],tblTecnicos[nombre],tblTecnicos[supervisor],"")</f>
        <v/>
      </c>
      <c r="L24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1" s="3">
        <f>tblAsignaciones[[#This Row],[semana]]&amp;"|"&amp;tblAsignaciones[[#This Row],[dia]]&amp;"|"&amp;tblAsignaciones[[#This Row],[tecnico]]</f>
        <v/>
      </c>
      <c r="O241" s="3">
        <f>_xlfn.XLOOKUP(tblAsignaciones[[#This Row],[turno]],tblTurnos[turno],tblTurnos[hora_inicio],"")</f>
        <v/>
      </c>
      <c r="P241" s="3">
        <f>_xlfn.XLOOKUP(tblAsignaciones[[#This Row],[turno]],tblTurnos[turno],tblTurnos[hora_fin],"")</f>
        <v/>
      </c>
      <c r="Q241" s="3">
        <f>IF(AND(LEFT(tblAsignaciones[[#This Row],[posicion_ciclo]],1)="T",tblAsignaciones[[#This Row],[en_vacaciones]]="no"),"sí","no")</f>
        <v/>
      </c>
    </row>
    <row r="242">
      <c r="A242" s="3" t="inlineStr">
        <is>
          <t>2026-S32</t>
        </is>
      </c>
      <c r="B242" s="3" t="inlineStr">
        <is>
          <t>lunes</t>
        </is>
      </c>
      <c r="C242" s="3" t="inlineStr">
        <is>
          <t>Técnico 03</t>
        </is>
      </c>
      <c r="D242" s="3">
        <f>_xlfn.XLOOKUP(tblAsignaciones[[#This Row],[tecnico]],tblTecnicos[nombre],tblTecnicos[area],"")</f>
        <v/>
      </c>
      <c r="E242" s="3">
        <f>_xlfn.XLOOKUP(tblAsignaciones[[#This Row],[tecnico]],tblTecnicos[nombre],tblTecnicos[especialidad],"")</f>
        <v/>
      </c>
      <c r="F242" s="3">
        <f>COUNTIFS(tblTecnicos[rotativo],"SI",tblTecnicos[especialidad],tblAsignaciones[[#This Row],[especialidad]],tblTecnicos[area],tblAsignaciones[[#This Row],[area]])</f>
        <v/>
      </c>
      <c r="G24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2" s="6" t="n"/>
      <c r="J24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2" s="3">
        <f>_xlfn.XLOOKUP(tblAsignaciones[[#This Row],[tecnico]],tblTecnicos[nombre],tblTecnicos[supervisor],"")</f>
        <v/>
      </c>
      <c r="L24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2" s="3">
        <f>tblAsignaciones[[#This Row],[semana]]&amp;"|"&amp;tblAsignaciones[[#This Row],[dia]]&amp;"|"&amp;tblAsignaciones[[#This Row],[tecnico]]</f>
        <v/>
      </c>
      <c r="O242" s="3">
        <f>_xlfn.XLOOKUP(tblAsignaciones[[#This Row],[turno]],tblTurnos[turno],tblTurnos[hora_inicio],"")</f>
        <v/>
      </c>
      <c r="P242" s="3">
        <f>_xlfn.XLOOKUP(tblAsignaciones[[#This Row],[turno]],tblTurnos[turno],tblTurnos[hora_fin],"")</f>
        <v/>
      </c>
      <c r="Q242" s="3">
        <f>IF(AND(LEFT(tblAsignaciones[[#This Row],[posicion_ciclo]],1)="T",tblAsignaciones[[#This Row],[en_vacaciones]]="no"),"sí","no")</f>
        <v/>
      </c>
    </row>
    <row r="243">
      <c r="A243" s="3" t="inlineStr">
        <is>
          <t>2026-S32</t>
        </is>
      </c>
      <c r="B243" s="3" t="inlineStr">
        <is>
          <t>martes</t>
        </is>
      </c>
      <c r="C243" s="3" t="inlineStr">
        <is>
          <t>Técnico 03</t>
        </is>
      </c>
      <c r="D243" s="3">
        <f>_xlfn.XLOOKUP(tblAsignaciones[[#This Row],[tecnico]],tblTecnicos[nombre],tblTecnicos[area],"")</f>
        <v/>
      </c>
      <c r="E243" s="3">
        <f>_xlfn.XLOOKUP(tblAsignaciones[[#This Row],[tecnico]],tblTecnicos[nombre],tblTecnicos[especialidad],"")</f>
        <v/>
      </c>
      <c r="F243" s="3">
        <f>COUNTIFS(tblTecnicos[rotativo],"SI",tblTecnicos[especialidad],tblAsignaciones[[#This Row],[especialidad]],tblTecnicos[area],tblAsignaciones[[#This Row],[area]])</f>
        <v/>
      </c>
      <c r="G24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3" s="6" t="n"/>
      <c r="J24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3" s="3">
        <f>_xlfn.XLOOKUP(tblAsignaciones[[#This Row],[tecnico]],tblTecnicos[nombre],tblTecnicos[supervisor],"")</f>
        <v/>
      </c>
      <c r="L24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3" s="3">
        <f>tblAsignaciones[[#This Row],[semana]]&amp;"|"&amp;tblAsignaciones[[#This Row],[dia]]&amp;"|"&amp;tblAsignaciones[[#This Row],[tecnico]]</f>
        <v/>
      </c>
      <c r="O243" s="3">
        <f>_xlfn.XLOOKUP(tblAsignaciones[[#This Row],[turno]],tblTurnos[turno],tblTurnos[hora_inicio],"")</f>
        <v/>
      </c>
      <c r="P243" s="3">
        <f>_xlfn.XLOOKUP(tblAsignaciones[[#This Row],[turno]],tblTurnos[turno],tblTurnos[hora_fin],"")</f>
        <v/>
      </c>
      <c r="Q243" s="3">
        <f>IF(AND(LEFT(tblAsignaciones[[#This Row],[posicion_ciclo]],1)="T",tblAsignaciones[[#This Row],[en_vacaciones]]="no"),"sí","no")</f>
        <v/>
      </c>
    </row>
    <row r="244">
      <c r="A244" s="3" t="inlineStr">
        <is>
          <t>2026-S32</t>
        </is>
      </c>
      <c r="B244" s="3" t="inlineStr">
        <is>
          <t>miércoles</t>
        </is>
      </c>
      <c r="C244" s="3" t="inlineStr">
        <is>
          <t>Técnico 03</t>
        </is>
      </c>
      <c r="D244" s="3">
        <f>_xlfn.XLOOKUP(tblAsignaciones[[#This Row],[tecnico]],tblTecnicos[nombre],tblTecnicos[area],"")</f>
        <v/>
      </c>
      <c r="E244" s="3">
        <f>_xlfn.XLOOKUP(tblAsignaciones[[#This Row],[tecnico]],tblTecnicos[nombre],tblTecnicos[especialidad],"")</f>
        <v/>
      </c>
      <c r="F244" s="3">
        <f>COUNTIFS(tblTecnicos[rotativo],"SI",tblTecnicos[especialidad],tblAsignaciones[[#This Row],[especialidad]],tblTecnicos[area],tblAsignaciones[[#This Row],[area]])</f>
        <v/>
      </c>
      <c r="G24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4" s="6" t="n"/>
      <c r="J24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4" s="3">
        <f>_xlfn.XLOOKUP(tblAsignaciones[[#This Row],[tecnico]],tblTecnicos[nombre],tblTecnicos[supervisor],"")</f>
        <v/>
      </c>
      <c r="L24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4" s="3">
        <f>tblAsignaciones[[#This Row],[semana]]&amp;"|"&amp;tblAsignaciones[[#This Row],[dia]]&amp;"|"&amp;tblAsignaciones[[#This Row],[tecnico]]</f>
        <v/>
      </c>
      <c r="O244" s="3">
        <f>_xlfn.XLOOKUP(tblAsignaciones[[#This Row],[turno]],tblTurnos[turno],tblTurnos[hora_inicio],"")</f>
        <v/>
      </c>
      <c r="P244" s="3">
        <f>_xlfn.XLOOKUP(tblAsignaciones[[#This Row],[turno]],tblTurnos[turno],tblTurnos[hora_fin],"")</f>
        <v/>
      </c>
      <c r="Q244" s="3">
        <f>IF(AND(LEFT(tblAsignaciones[[#This Row],[posicion_ciclo]],1)="T",tblAsignaciones[[#This Row],[en_vacaciones]]="no"),"sí","no")</f>
        <v/>
      </c>
    </row>
    <row r="245">
      <c r="A245" s="3" t="inlineStr">
        <is>
          <t>2026-S32</t>
        </is>
      </c>
      <c r="B245" s="3" t="inlineStr">
        <is>
          <t>jueves</t>
        </is>
      </c>
      <c r="C245" s="3" t="inlineStr">
        <is>
          <t>Técnico 03</t>
        </is>
      </c>
      <c r="D245" s="3">
        <f>_xlfn.XLOOKUP(tblAsignaciones[[#This Row],[tecnico]],tblTecnicos[nombre],tblTecnicos[area],"")</f>
        <v/>
      </c>
      <c r="E245" s="3">
        <f>_xlfn.XLOOKUP(tblAsignaciones[[#This Row],[tecnico]],tblTecnicos[nombre],tblTecnicos[especialidad],"")</f>
        <v/>
      </c>
      <c r="F245" s="3">
        <f>COUNTIFS(tblTecnicos[rotativo],"SI",tblTecnicos[especialidad],tblAsignaciones[[#This Row],[especialidad]],tblTecnicos[area],tblAsignaciones[[#This Row],[area]])</f>
        <v/>
      </c>
      <c r="G24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5" s="6" t="n"/>
      <c r="J24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5" s="3">
        <f>_xlfn.XLOOKUP(tblAsignaciones[[#This Row],[tecnico]],tblTecnicos[nombre],tblTecnicos[supervisor],"")</f>
        <v/>
      </c>
      <c r="L24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5" s="3">
        <f>tblAsignaciones[[#This Row],[semana]]&amp;"|"&amp;tblAsignaciones[[#This Row],[dia]]&amp;"|"&amp;tblAsignaciones[[#This Row],[tecnico]]</f>
        <v/>
      </c>
      <c r="O245" s="3">
        <f>_xlfn.XLOOKUP(tblAsignaciones[[#This Row],[turno]],tblTurnos[turno],tblTurnos[hora_inicio],"")</f>
        <v/>
      </c>
      <c r="P245" s="3">
        <f>_xlfn.XLOOKUP(tblAsignaciones[[#This Row],[turno]],tblTurnos[turno],tblTurnos[hora_fin],"")</f>
        <v/>
      </c>
      <c r="Q245" s="3">
        <f>IF(AND(LEFT(tblAsignaciones[[#This Row],[posicion_ciclo]],1)="T",tblAsignaciones[[#This Row],[en_vacaciones]]="no"),"sí","no")</f>
        <v/>
      </c>
    </row>
    <row r="246">
      <c r="A246" s="3" t="inlineStr">
        <is>
          <t>2026-S32</t>
        </is>
      </c>
      <c r="B246" s="3" t="inlineStr">
        <is>
          <t>viernes</t>
        </is>
      </c>
      <c r="C246" s="3" t="inlineStr">
        <is>
          <t>Técnico 03</t>
        </is>
      </c>
      <c r="D246" s="3">
        <f>_xlfn.XLOOKUP(tblAsignaciones[[#This Row],[tecnico]],tblTecnicos[nombre],tblTecnicos[area],"")</f>
        <v/>
      </c>
      <c r="E246" s="3">
        <f>_xlfn.XLOOKUP(tblAsignaciones[[#This Row],[tecnico]],tblTecnicos[nombre],tblTecnicos[especialidad],"")</f>
        <v/>
      </c>
      <c r="F246" s="3">
        <f>COUNTIFS(tblTecnicos[rotativo],"SI",tblTecnicos[especialidad],tblAsignaciones[[#This Row],[especialidad]],tblTecnicos[area],tblAsignaciones[[#This Row],[area]])</f>
        <v/>
      </c>
      <c r="G24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6" s="6" t="n"/>
      <c r="J24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6" s="3">
        <f>_xlfn.XLOOKUP(tblAsignaciones[[#This Row],[tecnico]],tblTecnicos[nombre],tblTecnicos[supervisor],"")</f>
        <v/>
      </c>
      <c r="L24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6" s="3">
        <f>tblAsignaciones[[#This Row],[semana]]&amp;"|"&amp;tblAsignaciones[[#This Row],[dia]]&amp;"|"&amp;tblAsignaciones[[#This Row],[tecnico]]</f>
        <v/>
      </c>
      <c r="O246" s="3">
        <f>_xlfn.XLOOKUP(tblAsignaciones[[#This Row],[turno]],tblTurnos[turno],tblTurnos[hora_inicio],"")</f>
        <v/>
      </c>
      <c r="P246" s="3">
        <f>_xlfn.XLOOKUP(tblAsignaciones[[#This Row],[turno]],tblTurnos[turno],tblTurnos[hora_fin],"")</f>
        <v/>
      </c>
      <c r="Q246" s="3">
        <f>IF(AND(LEFT(tblAsignaciones[[#This Row],[posicion_ciclo]],1)="T",tblAsignaciones[[#This Row],[en_vacaciones]]="no"),"sí","no")</f>
        <v/>
      </c>
    </row>
    <row r="247">
      <c r="A247" s="3" t="inlineStr">
        <is>
          <t>2026-S32</t>
        </is>
      </c>
      <c r="B247" s="3" t="inlineStr">
        <is>
          <t>sábado</t>
        </is>
      </c>
      <c r="C247" s="3" t="inlineStr">
        <is>
          <t>Técnico 03</t>
        </is>
      </c>
      <c r="D247" s="3">
        <f>_xlfn.XLOOKUP(tblAsignaciones[[#This Row],[tecnico]],tblTecnicos[nombre],tblTecnicos[area],"")</f>
        <v/>
      </c>
      <c r="E247" s="3">
        <f>_xlfn.XLOOKUP(tblAsignaciones[[#This Row],[tecnico]],tblTecnicos[nombre],tblTecnicos[especialidad],"")</f>
        <v/>
      </c>
      <c r="F247" s="3">
        <f>COUNTIFS(tblTecnicos[rotativo],"SI",tblTecnicos[especialidad],tblAsignaciones[[#This Row],[especialidad]],tblTecnicos[area],tblAsignaciones[[#This Row],[area]])</f>
        <v/>
      </c>
      <c r="G24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7" s="6" t="n"/>
      <c r="J24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7" s="3">
        <f>_xlfn.XLOOKUP(tblAsignaciones[[#This Row],[tecnico]],tblTecnicos[nombre],tblTecnicos[supervisor],"")</f>
        <v/>
      </c>
      <c r="L24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7" s="3">
        <f>tblAsignaciones[[#This Row],[semana]]&amp;"|"&amp;tblAsignaciones[[#This Row],[dia]]&amp;"|"&amp;tblAsignaciones[[#This Row],[tecnico]]</f>
        <v/>
      </c>
      <c r="O247" s="3">
        <f>_xlfn.XLOOKUP(tblAsignaciones[[#This Row],[turno]],tblTurnos[turno],tblTurnos[hora_inicio],"")</f>
        <v/>
      </c>
      <c r="P247" s="3">
        <f>_xlfn.XLOOKUP(tblAsignaciones[[#This Row],[turno]],tblTurnos[turno],tblTurnos[hora_fin],"")</f>
        <v/>
      </c>
      <c r="Q247" s="3">
        <f>IF(AND(LEFT(tblAsignaciones[[#This Row],[posicion_ciclo]],1)="T",tblAsignaciones[[#This Row],[en_vacaciones]]="no"),"sí","no")</f>
        <v/>
      </c>
    </row>
    <row r="248">
      <c r="A248" s="3" t="inlineStr">
        <is>
          <t>2026-S32</t>
        </is>
      </c>
      <c r="B248" s="3" t="inlineStr">
        <is>
          <t>domingo</t>
        </is>
      </c>
      <c r="C248" s="3" t="inlineStr">
        <is>
          <t>Técnico 03</t>
        </is>
      </c>
      <c r="D248" s="3">
        <f>_xlfn.XLOOKUP(tblAsignaciones[[#This Row],[tecnico]],tblTecnicos[nombre],tblTecnicos[area],"")</f>
        <v/>
      </c>
      <c r="E248" s="3">
        <f>_xlfn.XLOOKUP(tblAsignaciones[[#This Row],[tecnico]],tblTecnicos[nombre],tblTecnicos[especialidad],"")</f>
        <v/>
      </c>
      <c r="F248" s="3">
        <f>COUNTIFS(tblTecnicos[rotativo],"SI",tblTecnicos[especialidad],tblAsignaciones[[#This Row],[especialidad]],tblTecnicos[area],tblAsignaciones[[#This Row],[area]])</f>
        <v/>
      </c>
      <c r="G24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8" s="6" t="n"/>
      <c r="J24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8" s="3">
        <f>_xlfn.XLOOKUP(tblAsignaciones[[#This Row],[tecnico]],tblTecnicos[nombre],tblTecnicos[supervisor],"")</f>
        <v/>
      </c>
      <c r="L24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8" s="3">
        <f>tblAsignaciones[[#This Row],[semana]]&amp;"|"&amp;tblAsignaciones[[#This Row],[dia]]&amp;"|"&amp;tblAsignaciones[[#This Row],[tecnico]]</f>
        <v/>
      </c>
      <c r="O248" s="3">
        <f>_xlfn.XLOOKUP(tblAsignaciones[[#This Row],[turno]],tblTurnos[turno],tblTurnos[hora_inicio],"")</f>
        <v/>
      </c>
      <c r="P248" s="3">
        <f>_xlfn.XLOOKUP(tblAsignaciones[[#This Row],[turno]],tblTurnos[turno],tblTurnos[hora_fin],"")</f>
        <v/>
      </c>
      <c r="Q248" s="3">
        <f>IF(AND(LEFT(tblAsignaciones[[#This Row],[posicion_ciclo]],1)="T",tblAsignaciones[[#This Row],[en_vacaciones]]="no"),"sí","no")</f>
        <v/>
      </c>
    </row>
    <row r="249">
      <c r="A249" s="3" t="inlineStr">
        <is>
          <t>2026-S32</t>
        </is>
      </c>
      <c r="B249" s="3" t="inlineStr">
        <is>
          <t>lunes</t>
        </is>
      </c>
      <c r="C249" s="3" t="inlineStr">
        <is>
          <t>Técnico 04</t>
        </is>
      </c>
      <c r="D249" s="3">
        <f>_xlfn.XLOOKUP(tblAsignaciones[[#This Row],[tecnico]],tblTecnicos[nombre],tblTecnicos[area],"")</f>
        <v/>
      </c>
      <c r="E249" s="3">
        <f>_xlfn.XLOOKUP(tblAsignaciones[[#This Row],[tecnico]],tblTecnicos[nombre],tblTecnicos[especialidad],"")</f>
        <v/>
      </c>
      <c r="F249" s="3">
        <f>COUNTIFS(tblTecnicos[rotativo],"SI",tblTecnicos[especialidad],tblAsignaciones[[#This Row],[especialidad]],tblTecnicos[area],tblAsignaciones[[#This Row],[area]])</f>
        <v/>
      </c>
      <c r="G24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9" s="6" t="n"/>
      <c r="J24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9" s="3">
        <f>_xlfn.XLOOKUP(tblAsignaciones[[#This Row],[tecnico]],tblTecnicos[nombre],tblTecnicos[supervisor],"")</f>
        <v/>
      </c>
      <c r="L24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9" s="3">
        <f>tblAsignaciones[[#This Row],[semana]]&amp;"|"&amp;tblAsignaciones[[#This Row],[dia]]&amp;"|"&amp;tblAsignaciones[[#This Row],[tecnico]]</f>
        <v/>
      </c>
      <c r="O249" s="3">
        <f>_xlfn.XLOOKUP(tblAsignaciones[[#This Row],[turno]],tblTurnos[turno],tblTurnos[hora_inicio],"")</f>
        <v/>
      </c>
      <c r="P249" s="3">
        <f>_xlfn.XLOOKUP(tblAsignaciones[[#This Row],[turno]],tblTurnos[turno],tblTurnos[hora_fin],"")</f>
        <v/>
      </c>
      <c r="Q249" s="3">
        <f>IF(AND(LEFT(tblAsignaciones[[#This Row],[posicion_ciclo]],1)="T",tblAsignaciones[[#This Row],[en_vacaciones]]="no"),"sí","no")</f>
        <v/>
      </c>
    </row>
    <row r="250">
      <c r="A250" s="3" t="inlineStr">
        <is>
          <t>2026-S32</t>
        </is>
      </c>
      <c r="B250" s="3" t="inlineStr">
        <is>
          <t>martes</t>
        </is>
      </c>
      <c r="C250" s="3" t="inlineStr">
        <is>
          <t>Técnico 04</t>
        </is>
      </c>
      <c r="D250" s="3">
        <f>_xlfn.XLOOKUP(tblAsignaciones[[#This Row],[tecnico]],tblTecnicos[nombre],tblTecnicos[area],"")</f>
        <v/>
      </c>
      <c r="E250" s="3">
        <f>_xlfn.XLOOKUP(tblAsignaciones[[#This Row],[tecnico]],tblTecnicos[nombre],tblTecnicos[especialidad],"")</f>
        <v/>
      </c>
      <c r="F250" s="3">
        <f>COUNTIFS(tblTecnicos[rotativo],"SI",tblTecnicos[especialidad],tblAsignaciones[[#This Row],[especialidad]],tblTecnicos[area],tblAsignaciones[[#This Row],[area]])</f>
        <v/>
      </c>
      <c r="G25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0" s="6" t="n"/>
      <c r="J25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0" s="3">
        <f>_xlfn.XLOOKUP(tblAsignaciones[[#This Row],[tecnico]],tblTecnicos[nombre],tblTecnicos[supervisor],"")</f>
        <v/>
      </c>
      <c r="L25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0" s="3">
        <f>tblAsignaciones[[#This Row],[semana]]&amp;"|"&amp;tblAsignaciones[[#This Row],[dia]]&amp;"|"&amp;tblAsignaciones[[#This Row],[tecnico]]</f>
        <v/>
      </c>
      <c r="O250" s="3">
        <f>_xlfn.XLOOKUP(tblAsignaciones[[#This Row],[turno]],tblTurnos[turno],tblTurnos[hora_inicio],"")</f>
        <v/>
      </c>
      <c r="P250" s="3">
        <f>_xlfn.XLOOKUP(tblAsignaciones[[#This Row],[turno]],tblTurnos[turno],tblTurnos[hora_fin],"")</f>
        <v/>
      </c>
      <c r="Q250" s="3">
        <f>IF(AND(LEFT(tblAsignaciones[[#This Row],[posicion_ciclo]],1)="T",tblAsignaciones[[#This Row],[en_vacaciones]]="no"),"sí","no")</f>
        <v/>
      </c>
    </row>
    <row r="251">
      <c r="A251" s="3" t="inlineStr">
        <is>
          <t>2026-S32</t>
        </is>
      </c>
      <c r="B251" s="3" t="inlineStr">
        <is>
          <t>miércoles</t>
        </is>
      </c>
      <c r="C251" s="3" t="inlineStr">
        <is>
          <t>Técnico 04</t>
        </is>
      </c>
      <c r="D251" s="3">
        <f>_xlfn.XLOOKUP(tblAsignaciones[[#This Row],[tecnico]],tblTecnicos[nombre],tblTecnicos[area],"")</f>
        <v/>
      </c>
      <c r="E251" s="3">
        <f>_xlfn.XLOOKUP(tblAsignaciones[[#This Row],[tecnico]],tblTecnicos[nombre],tblTecnicos[especialidad],"")</f>
        <v/>
      </c>
      <c r="F251" s="3">
        <f>COUNTIFS(tblTecnicos[rotativo],"SI",tblTecnicos[especialidad],tblAsignaciones[[#This Row],[especialidad]],tblTecnicos[area],tblAsignaciones[[#This Row],[area]])</f>
        <v/>
      </c>
      <c r="G25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1" s="6" t="n"/>
      <c r="J25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1" s="3">
        <f>_xlfn.XLOOKUP(tblAsignaciones[[#This Row],[tecnico]],tblTecnicos[nombre],tblTecnicos[supervisor],"")</f>
        <v/>
      </c>
      <c r="L25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1" s="3">
        <f>tblAsignaciones[[#This Row],[semana]]&amp;"|"&amp;tblAsignaciones[[#This Row],[dia]]&amp;"|"&amp;tblAsignaciones[[#This Row],[tecnico]]</f>
        <v/>
      </c>
      <c r="O251" s="3">
        <f>_xlfn.XLOOKUP(tblAsignaciones[[#This Row],[turno]],tblTurnos[turno],tblTurnos[hora_inicio],"")</f>
        <v/>
      </c>
      <c r="P251" s="3">
        <f>_xlfn.XLOOKUP(tblAsignaciones[[#This Row],[turno]],tblTurnos[turno],tblTurnos[hora_fin],"")</f>
        <v/>
      </c>
      <c r="Q251" s="3">
        <f>IF(AND(LEFT(tblAsignaciones[[#This Row],[posicion_ciclo]],1)="T",tblAsignaciones[[#This Row],[en_vacaciones]]="no"),"sí","no")</f>
        <v/>
      </c>
    </row>
    <row r="252">
      <c r="A252" s="3" t="inlineStr">
        <is>
          <t>2026-S32</t>
        </is>
      </c>
      <c r="B252" s="3" t="inlineStr">
        <is>
          <t>jueves</t>
        </is>
      </c>
      <c r="C252" s="3" t="inlineStr">
        <is>
          <t>Técnico 04</t>
        </is>
      </c>
      <c r="D252" s="3">
        <f>_xlfn.XLOOKUP(tblAsignaciones[[#This Row],[tecnico]],tblTecnicos[nombre],tblTecnicos[area],"")</f>
        <v/>
      </c>
      <c r="E252" s="3">
        <f>_xlfn.XLOOKUP(tblAsignaciones[[#This Row],[tecnico]],tblTecnicos[nombre],tblTecnicos[especialidad],"")</f>
        <v/>
      </c>
      <c r="F252" s="3">
        <f>COUNTIFS(tblTecnicos[rotativo],"SI",tblTecnicos[especialidad],tblAsignaciones[[#This Row],[especialidad]],tblTecnicos[area],tblAsignaciones[[#This Row],[area]])</f>
        <v/>
      </c>
      <c r="G25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2" s="6" t="n"/>
      <c r="J25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2" s="3">
        <f>_xlfn.XLOOKUP(tblAsignaciones[[#This Row],[tecnico]],tblTecnicos[nombre],tblTecnicos[supervisor],"")</f>
        <v/>
      </c>
      <c r="L25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2" s="3">
        <f>tblAsignaciones[[#This Row],[semana]]&amp;"|"&amp;tblAsignaciones[[#This Row],[dia]]&amp;"|"&amp;tblAsignaciones[[#This Row],[tecnico]]</f>
        <v/>
      </c>
      <c r="O252" s="3">
        <f>_xlfn.XLOOKUP(tblAsignaciones[[#This Row],[turno]],tblTurnos[turno],tblTurnos[hora_inicio],"")</f>
        <v/>
      </c>
      <c r="P252" s="3">
        <f>_xlfn.XLOOKUP(tblAsignaciones[[#This Row],[turno]],tblTurnos[turno],tblTurnos[hora_fin],"")</f>
        <v/>
      </c>
      <c r="Q252" s="3">
        <f>IF(AND(LEFT(tblAsignaciones[[#This Row],[posicion_ciclo]],1)="T",tblAsignaciones[[#This Row],[en_vacaciones]]="no"),"sí","no")</f>
        <v/>
      </c>
    </row>
    <row r="253">
      <c r="A253" s="3" t="inlineStr">
        <is>
          <t>2026-S32</t>
        </is>
      </c>
      <c r="B253" s="3" t="inlineStr">
        <is>
          <t>viernes</t>
        </is>
      </c>
      <c r="C253" s="3" t="inlineStr">
        <is>
          <t>Técnico 04</t>
        </is>
      </c>
      <c r="D253" s="3">
        <f>_xlfn.XLOOKUP(tblAsignaciones[[#This Row],[tecnico]],tblTecnicos[nombre],tblTecnicos[area],"")</f>
        <v/>
      </c>
      <c r="E253" s="3">
        <f>_xlfn.XLOOKUP(tblAsignaciones[[#This Row],[tecnico]],tblTecnicos[nombre],tblTecnicos[especialidad],"")</f>
        <v/>
      </c>
      <c r="F253" s="3">
        <f>COUNTIFS(tblTecnicos[rotativo],"SI",tblTecnicos[especialidad],tblAsignaciones[[#This Row],[especialidad]],tblTecnicos[area],tblAsignaciones[[#This Row],[area]])</f>
        <v/>
      </c>
      <c r="G25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3" s="6" t="n"/>
      <c r="J25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3" s="3">
        <f>_xlfn.XLOOKUP(tblAsignaciones[[#This Row],[tecnico]],tblTecnicos[nombre],tblTecnicos[supervisor],"")</f>
        <v/>
      </c>
      <c r="L25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3" s="3">
        <f>tblAsignaciones[[#This Row],[semana]]&amp;"|"&amp;tblAsignaciones[[#This Row],[dia]]&amp;"|"&amp;tblAsignaciones[[#This Row],[tecnico]]</f>
        <v/>
      </c>
      <c r="O253" s="3">
        <f>_xlfn.XLOOKUP(tblAsignaciones[[#This Row],[turno]],tblTurnos[turno],tblTurnos[hora_inicio],"")</f>
        <v/>
      </c>
      <c r="P253" s="3">
        <f>_xlfn.XLOOKUP(tblAsignaciones[[#This Row],[turno]],tblTurnos[turno],tblTurnos[hora_fin],"")</f>
        <v/>
      </c>
      <c r="Q253" s="3">
        <f>IF(AND(LEFT(tblAsignaciones[[#This Row],[posicion_ciclo]],1)="T",tblAsignaciones[[#This Row],[en_vacaciones]]="no"),"sí","no")</f>
        <v/>
      </c>
    </row>
    <row r="254">
      <c r="A254" s="3" t="inlineStr">
        <is>
          <t>2026-S32</t>
        </is>
      </c>
      <c r="B254" s="3" t="inlineStr">
        <is>
          <t>sábado</t>
        </is>
      </c>
      <c r="C254" s="3" t="inlineStr">
        <is>
          <t>Técnico 04</t>
        </is>
      </c>
      <c r="D254" s="3">
        <f>_xlfn.XLOOKUP(tblAsignaciones[[#This Row],[tecnico]],tblTecnicos[nombre],tblTecnicos[area],"")</f>
        <v/>
      </c>
      <c r="E254" s="3">
        <f>_xlfn.XLOOKUP(tblAsignaciones[[#This Row],[tecnico]],tblTecnicos[nombre],tblTecnicos[especialidad],"")</f>
        <v/>
      </c>
      <c r="F254" s="3">
        <f>COUNTIFS(tblTecnicos[rotativo],"SI",tblTecnicos[especialidad],tblAsignaciones[[#This Row],[especialidad]],tblTecnicos[area],tblAsignaciones[[#This Row],[area]])</f>
        <v/>
      </c>
      <c r="G25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4" s="6" t="n"/>
      <c r="J25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4" s="3">
        <f>_xlfn.XLOOKUP(tblAsignaciones[[#This Row],[tecnico]],tblTecnicos[nombre],tblTecnicos[supervisor],"")</f>
        <v/>
      </c>
      <c r="L25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4" s="3">
        <f>tblAsignaciones[[#This Row],[semana]]&amp;"|"&amp;tblAsignaciones[[#This Row],[dia]]&amp;"|"&amp;tblAsignaciones[[#This Row],[tecnico]]</f>
        <v/>
      </c>
      <c r="O254" s="3">
        <f>_xlfn.XLOOKUP(tblAsignaciones[[#This Row],[turno]],tblTurnos[turno],tblTurnos[hora_inicio],"")</f>
        <v/>
      </c>
      <c r="P254" s="3">
        <f>_xlfn.XLOOKUP(tblAsignaciones[[#This Row],[turno]],tblTurnos[turno],tblTurnos[hora_fin],"")</f>
        <v/>
      </c>
      <c r="Q254" s="3">
        <f>IF(AND(LEFT(tblAsignaciones[[#This Row],[posicion_ciclo]],1)="T",tblAsignaciones[[#This Row],[en_vacaciones]]="no"),"sí","no")</f>
        <v/>
      </c>
    </row>
    <row r="255">
      <c r="A255" s="3" t="inlineStr">
        <is>
          <t>2026-S32</t>
        </is>
      </c>
      <c r="B255" s="3" t="inlineStr">
        <is>
          <t>domingo</t>
        </is>
      </c>
      <c r="C255" s="3" t="inlineStr">
        <is>
          <t>Técnico 04</t>
        </is>
      </c>
      <c r="D255" s="3">
        <f>_xlfn.XLOOKUP(tblAsignaciones[[#This Row],[tecnico]],tblTecnicos[nombre],tblTecnicos[area],"")</f>
        <v/>
      </c>
      <c r="E255" s="3">
        <f>_xlfn.XLOOKUP(tblAsignaciones[[#This Row],[tecnico]],tblTecnicos[nombre],tblTecnicos[especialidad],"")</f>
        <v/>
      </c>
      <c r="F255" s="3">
        <f>COUNTIFS(tblTecnicos[rotativo],"SI",tblTecnicos[especialidad],tblAsignaciones[[#This Row],[especialidad]],tblTecnicos[area],tblAsignaciones[[#This Row],[area]])</f>
        <v/>
      </c>
      <c r="G25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5" s="6" t="n"/>
      <c r="J25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5" s="3">
        <f>_xlfn.XLOOKUP(tblAsignaciones[[#This Row],[tecnico]],tblTecnicos[nombre],tblTecnicos[supervisor],"")</f>
        <v/>
      </c>
      <c r="L25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5" s="3">
        <f>tblAsignaciones[[#This Row],[semana]]&amp;"|"&amp;tblAsignaciones[[#This Row],[dia]]&amp;"|"&amp;tblAsignaciones[[#This Row],[tecnico]]</f>
        <v/>
      </c>
      <c r="O255" s="3">
        <f>_xlfn.XLOOKUP(tblAsignaciones[[#This Row],[turno]],tblTurnos[turno],tblTurnos[hora_inicio],"")</f>
        <v/>
      </c>
      <c r="P255" s="3">
        <f>_xlfn.XLOOKUP(tblAsignaciones[[#This Row],[turno]],tblTurnos[turno],tblTurnos[hora_fin],"")</f>
        <v/>
      </c>
      <c r="Q255" s="3">
        <f>IF(AND(LEFT(tblAsignaciones[[#This Row],[posicion_ciclo]],1)="T",tblAsignaciones[[#This Row],[en_vacaciones]]="no"),"sí","no")</f>
        <v/>
      </c>
    </row>
    <row r="256">
      <c r="A256" s="3" t="inlineStr">
        <is>
          <t>2026-S32</t>
        </is>
      </c>
      <c r="B256" s="3" t="inlineStr">
        <is>
          <t>lunes</t>
        </is>
      </c>
      <c r="C256" s="3" t="inlineStr">
        <is>
          <t>Técnico 05</t>
        </is>
      </c>
      <c r="D256" s="3">
        <f>_xlfn.XLOOKUP(tblAsignaciones[[#This Row],[tecnico]],tblTecnicos[nombre],tblTecnicos[area],"")</f>
        <v/>
      </c>
      <c r="E256" s="3">
        <f>_xlfn.XLOOKUP(tblAsignaciones[[#This Row],[tecnico]],tblTecnicos[nombre],tblTecnicos[especialidad],"")</f>
        <v/>
      </c>
      <c r="F256" s="3">
        <f>COUNTIFS(tblTecnicos[rotativo],"SI",tblTecnicos[especialidad],tblAsignaciones[[#This Row],[especialidad]],tblTecnicos[area],tblAsignaciones[[#This Row],[area]])</f>
        <v/>
      </c>
      <c r="G25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6" s="6" t="n"/>
      <c r="J25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6" s="3">
        <f>_xlfn.XLOOKUP(tblAsignaciones[[#This Row],[tecnico]],tblTecnicos[nombre],tblTecnicos[supervisor],"")</f>
        <v/>
      </c>
      <c r="L25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6" s="3">
        <f>tblAsignaciones[[#This Row],[semana]]&amp;"|"&amp;tblAsignaciones[[#This Row],[dia]]&amp;"|"&amp;tblAsignaciones[[#This Row],[tecnico]]</f>
        <v/>
      </c>
      <c r="O256" s="3">
        <f>_xlfn.XLOOKUP(tblAsignaciones[[#This Row],[turno]],tblTurnos[turno],tblTurnos[hora_inicio],"")</f>
        <v/>
      </c>
      <c r="P256" s="3">
        <f>_xlfn.XLOOKUP(tblAsignaciones[[#This Row],[turno]],tblTurnos[turno],tblTurnos[hora_fin],"")</f>
        <v/>
      </c>
      <c r="Q256" s="3">
        <f>IF(AND(LEFT(tblAsignaciones[[#This Row],[posicion_ciclo]],1)="T",tblAsignaciones[[#This Row],[en_vacaciones]]="no"),"sí","no")</f>
        <v/>
      </c>
    </row>
    <row r="257">
      <c r="A257" s="3" t="inlineStr">
        <is>
          <t>2026-S32</t>
        </is>
      </c>
      <c r="B257" s="3" t="inlineStr">
        <is>
          <t>martes</t>
        </is>
      </c>
      <c r="C257" s="3" t="inlineStr">
        <is>
          <t>Técnico 05</t>
        </is>
      </c>
      <c r="D257" s="3">
        <f>_xlfn.XLOOKUP(tblAsignaciones[[#This Row],[tecnico]],tblTecnicos[nombre],tblTecnicos[area],"")</f>
        <v/>
      </c>
      <c r="E257" s="3">
        <f>_xlfn.XLOOKUP(tblAsignaciones[[#This Row],[tecnico]],tblTecnicos[nombre],tblTecnicos[especialidad],"")</f>
        <v/>
      </c>
      <c r="F257" s="3">
        <f>COUNTIFS(tblTecnicos[rotativo],"SI",tblTecnicos[especialidad],tblAsignaciones[[#This Row],[especialidad]],tblTecnicos[area],tblAsignaciones[[#This Row],[area]])</f>
        <v/>
      </c>
      <c r="G25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7" s="6" t="n"/>
      <c r="J25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7" s="3">
        <f>_xlfn.XLOOKUP(tblAsignaciones[[#This Row],[tecnico]],tblTecnicos[nombre],tblTecnicos[supervisor],"")</f>
        <v/>
      </c>
      <c r="L25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7" s="3">
        <f>tblAsignaciones[[#This Row],[semana]]&amp;"|"&amp;tblAsignaciones[[#This Row],[dia]]&amp;"|"&amp;tblAsignaciones[[#This Row],[tecnico]]</f>
        <v/>
      </c>
      <c r="O257" s="3">
        <f>_xlfn.XLOOKUP(tblAsignaciones[[#This Row],[turno]],tblTurnos[turno],tblTurnos[hora_inicio],"")</f>
        <v/>
      </c>
      <c r="P257" s="3">
        <f>_xlfn.XLOOKUP(tblAsignaciones[[#This Row],[turno]],tblTurnos[turno],tblTurnos[hora_fin],"")</f>
        <v/>
      </c>
      <c r="Q257" s="3">
        <f>IF(AND(LEFT(tblAsignaciones[[#This Row],[posicion_ciclo]],1)="T",tblAsignaciones[[#This Row],[en_vacaciones]]="no"),"sí","no")</f>
        <v/>
      </c>
    </row>
    <row r="258">
      <c r="A258" s="3" t="inlineStr">
        <is>
          <t>2026-S32</t>
        </is>
      </c>
      <c r="B258" s="3" t="inlineStr">
        <is>
          <t>miércoles</t>
        </is>
      </c>
      <c r="C258" s="3" t="inlineStr">
        <is>
          <t>Técnico 05</t>
        </is>
      </c>
      <c r="D258" s="3">
        <f>_xlfn.XLOOKUP(tblAsignaciones[[#This Row],[tecnico]],tblTecnicos[nombre],tblTecnicos[area],"")</f>
        <v/>
      </c>
      <c r="E258" s="3">
        <f>_xlfn.XLOOKUP(tblAsignaciones[[#This Row],[tecnico]],tblTecnicos[nombre],tblTecnicos[especialidad],"")</f>
        <v/>
      </c>
      <c r="F258" s="3">
        <f>COUNTIFS(tblTecnicos[rotativo],"SI",tblTecnicos[especialidad],tblAsignaciones[[#This Row],[especialidad]],tblTecnicos[area],tblAsignaciones[[#This Row],[area]])</f>
        <v/>
      </c>
      <c r="G25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8" s="6" t="n"/>
      <c r="J25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8" s="3">
        <f>_xlfn.XLOOKUP(tblAsignaciones[[#This Row],[tecnico]],tblTecnicos[nombre],tblTecnicos[supervisor],"")</f>
        <v/>
      </c>
      <c r="L25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8" s="3">
        <f>tblAsignaciones[[#This Row],[semana]]&amp;"|"&amp;tblAsignaciones[[#This Row],[dia]]&amp;"|"&amp;tblAsignaciones[[#This Row],[tecnico]]</f>
        <v/>
      </c>
      <c r="O258" s="3">
        <f>_xlfn.XLOOKUP(tblAsignaciones[[#This Row],[turno]],tblTurnos[turno],tblTurnos[hora_inicio],"")</f>
        <v/>
      </c>
      <c r="P258" s="3">
        <f>_xlfn.XLOOKUP(tblAsignaciones[[#This Row],[turno]],tblTurnos[turno],tblTurnos[hora_fin],"")</f>
        <v/>
      </c>
      <c r="Q258" s="3">
        <f>IF(AND(LEFT(tblAsignaciones[[#This Row],[posicion_ciclo]],1)="T",tblAsignaciones[[#This Row],[en_vacaciones]]="no"),"sí","no")</f>
        <v/>
      </c>
    </row>
    <row r="259">
      <c r="A259" s="3" t="inlineStr">
        <is>
          <t>2026-S32</t>
        </is>
      </c>
      <c r="B259" s="3" t="inlineStr">
        <is>
          <t>jueves</t>
        </is>
      </c>
      <c r="C259" s="3" t="inlineStr">
        <is>
          <t>Técnico 05</t>
        </is>
      </c>
      <c r="D259" s="3">
        <f>_xlfn.XLOOKUP(tblAsignaciones[[#This Row],[tecnico]],tblTecnicos[nombre],tblTecnicos[area],"")</f>
        <v/>
      </c>
      <c r="E259" s="3">
        <f>_xlfn.XLOOKUP(tblAsignaciones[[#This Row],[tecnico]],tblTecnicos[nombre],tblTecnicos[especialidad],"")</f>
        <v/>
      </c>
      <c r="F259" s="3">
        <f>COUNTIFS(tblTecnicos[rotativo],"SI",tblTecnicos[especialidad],tblAsignaciones[[#This Row],[especialidad]],tblTecnicos[area],tblAsignaciones[[#This Row],[area]])</f>
        <v/>
      </c>
      <c r="G25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9" s="6" t="n"/>
      <c r="J25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9" s="3">
        <f>_xlfn.XLOOKUP(tblAsignaciones[[#This Row],[tecnico]],tblTecnicos[nombre],tblTecnicos[supervisor],"")</f>
        <v/>
      </c>
      <c r="L25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9" s="3">
        <f>tblAsignaciones[[#This Row],[semana]]&amp;"|"&amp;tblAsignaciones[[#This Row],[dia]]&amp;"|"&amp;tblAsignaciones[[#This Row],[tecnico]]</f>
        <v/>
      </c>
      <c r="O259" s="3">
        <f>_xlfn.XLOOKUP(tblAsignaciones[[#This Row],[turno]],tblTurnos[turno],tblTurnos[hora_inicio],"")</f>
        <v/>
      </c>
      <c r="P259" s="3">
        <f>_xlfn.XLOOKUP(tblAsignaciones[[#This Row],[turno]],tblTurnos[turno],tblTurnos[hora_fin],"")</f>
        <v/>
      </c>
      <c r="Q259" s="3">
        <f>IF(AND(LEFT(tblAsignaciones[[#This Row],[posicion_ciclo]],1)="T",tblAsignaciones[[#This Row],[en_vacaciones]]="no"),"sí","no")</f>
        <v/>
      </c>
    </row>
    <row r="260">
      <c r="A260" s="3" t="inlineStr">
        <is>
          <t>2026-S32</t>
        </is>
      </c>
      <c r="B260" s="3" t="inlineStr">
        <is>
          <t>viernes</t>
        </is>
      </c>
      <c r="C260" s="3" t="inlineStr">
        <is>
          <t>Técnico 05</t>
        </is>
      </c>
      <c r="D260" s="3">
        <f>_xlfn.XLOOKUP(tblAsignaciones[[#This Row],[tecnico]],tblTecnicos[nombre],tblTecnicos[area],"")</f>
        <v/>
      </c>
      <c r="E260" s="3">
        <f>_xlfn.XLOOKUP(tblAsignaciones[[#This Row],[tecnico]],tblTecnicos[nombre],tblTecnicos[especialidad],"")</f>
        <v/>
      </c>
      <c r="F260" s="3">
        <f>COUNTIFS(tblTecnicos[rotativo],"SI",tblTecnicos[especialidad],tblAsignaciones[[#This Row],[especialidad]],tblTecnicos[area],tblAsignaciones[[#This Row],[area]])</f>
        <v/>
      </c>
      <c r="G26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0" s="6" t="n"/>
      <c r="J26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0" s="3">
        <f>_xlfn.XLOOKUP(tblAsignaciones[[#This Row],[tecnico]],tblTecnicos[nombre],tblTecnicos[supervisor],"")</f>
        <v/>
      </c>
      <c r="L26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0" s="3">
        <f>tblAsignaciones[[#This Row],[semana]]&amp;"|"&amp;tblAsignaciones[[#This Row],[dia]]&amp;"|"&amp;tblAsignaciones[[#This Row],[tecnico]]</f>
        <v/>
      </c>
      <c r="O260" s="3">
        <f>_xlfn.XLOOKUP(tblAsignaciones[[#This Row],[turno]],tblTurnos[turno],tblTurnos[hora_inicio],"")</f>
        <v/>
      </c>
      <c r="P260" s="3">
        <f>_xlfn.XLOOKUP(tblAsignaciones[[#This Row],[turno]],tblTurnos[turno],tblTurnos[hora_fin],"")</f>
        <v/>
      </c>
      <c r="Q260" s="3">
        <f>IF(AND(LEFT(tblAsignaciones[[#This Row],[posicion_ciclo]],1)="T",tblAsignaciones[[#This Row],[en_vacaciones]]="no"),"sí","no")</f>
        <v/>
      </c>
    </row>
    <row r="261">
      <c r="A261" s="3" t="inlineStr">
        <is>
          <t>2026-S32</t>
        </is>
      </c>
      <c r="B261" s="3" t="inlineStr">
        <is>
          <t>sábado</t>
        </is>
      </c>
      <c r="C261" s="3" t="inlineStr">
        <is>
          <t>Técnico 05</t>
        </is>
      </c>
      <c r="D261" s="3">
        <f>_xlfn.XLOOKUP(tblAsignaciones[[#This Row],[tecnico]],tblTecnicos[nombre],tblTecnicos[area],"")</f>
        <v/>
      </c>
      <c r="E261" s="3">
        <f>_xlfn.XLOOKUP(tblAsignaciones[[#This Row],[tecnico]],tblTecnicos[nombre],tblTecnicos[especialidad],"")</f>
        <v/>
      </c>
      <c r="F261" s="3">
        <f>COUNTIFS(tblTecnicos[rotativo],"SI",tblTecnicos[especialidad],tblAsignaciones[[#This Row],[especialidad]],tblTecnicos[area],tblAsignaciones[[#This Row],[area]])</f>
        <v/>
      </c>
      <c r="G26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1" s="6" t="n"/>
      <c r="J26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1" s="3">
        <f>_xlfn.XLOOKUP(tblAsignaciones[[#This Row],[tecnico]],tblTecnicos[nombre],tblTecnicos[supervisor],"")</f>
        <v/>
      </c>
      <c r="L26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1" s="3">
        <f>tblAsignaciones[[#This Row],[semana]]&amp;"|"&amp;tblAsignaciones[[#This Row],[dia]]&amp;"|"&amp;tblAsignaciones[[#This Row],[tecnico]]</f>
        <v/>
      </c>
      <c r="O261" s="3">
        <f>_xlfn.XLOOKUP(tblAsignaciones[[#This Row],[turno]],tblTurnos[turno],tblTurnos[hora_inicio],"")</f>
        <v/>
      </c>
      <c r="P261" s="3">
        <f>_xlfn.XLOOKUP(tblAsignaciones[[#This Row],[turno]],tblTurnos[turno],tblTurnos[hora_fin],"")</f>
        <v/>
      </c>
      <c r="Q261" s="3">
        <f>IF(AND(LEFT(tblAsignaciones[[#This Row],[posicion_ciclo]],1)="T",tblAsignaciones[[#This Row],[en_vacaciones]]="no"),"sí","no")</f>
        <v/>
      </c>
    </row>
    <row r="262">
      <c r="A262" s="3" t="inlineStr">
        <is>
          <t>2026-S32</t>
        </is>
      </c>
      <c r="B262" s="3" t="inlineStr">
        <is>
          <t>domingo</t>
        </is>
      </c>
      <c r="C262" s="3" t="inlineStr">
        <is>
          <t>Técnico 05</t>
        </is>
      </c>
      <c r="D262" s="3">
        <f>_xlfn.XLOOKUP(tblAsignaciones[[#This Row],[tecnico]],tblTecnicos[nombre],tblTecnicos[area],"")</f>
        <v/>
      </c>
      <c r="E262" s="3">
        <f>_xlfn.XLOOKUP(tblAsignaciones[[#This Row],[tecnico]],tblTecnicos[nombre],tblTecnicos[especialidad],"")</f>
        <v/>
      </c>
      <c r="F262" s="3">
        <f>COUNTIFS(tblTecnicos[rotativo],"SI",tblTecnicos[especialidad],tblAsignaciones[[#This Row],[especialidad]],tblTecnicos[area],tblAsignaciones[[#This Row],[area]])</f>
        <v/>
      </c>
      <c r="G26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2" s="6" t="n"/>
      <c r="J26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2" s="3">
        <f>_xlfn.XLOOKUP(tblAsignaciones[[#This Row],[tecnico]],tblTecnicos[nombre],tblTecnicos[supervisor],"")</f>
        <v/>
      </c>
      <c r="L26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2" s="3">
        <f>tblAsignaciones[[#This Row],[semana]]&amp;"|"&amp;tblAsignaciones[[#This Row],[dia]]&amp;"|"&amp;tblAsignaciones[[#This Row],[tecnico]]</f>
        <v/>
      </c>
      <c r="O262" s="3">
        <f>_xlfn.XLOOKUP(tblAsignaciones[[#This Row],[turno]],tblTurnos[turno],tblTurnos[hora_inicio],"")</f>
        <v/>
      </c>
      <c r="P262" s="3">
        <f>_xlfn.XLOOKUP(tblAsignaciones[[#This Row],[turno]],tblTurnos[turno],tblTurnos[hora_fin],"")</f>
        <v/>
      </c>
      <c r="Q262" s="3">
        <f>IF(AND(LEFT(tblAsignaciones[[#This Row],[posicion_ciclo]],1)="T",tblAsignaciones[[#This Row],[en_vacaciones]]="no"),"sí","no")</f>
        <v/>
      </c>
    </row>
    <row r="263">
      <c r="A263" s="3" t="inlineStr">
        <is>
          <t>2026-S32</t>
        </is>
      </c>
      <c r="B263" s="3" t="inlineStr">
        <is>
          <t>lunes</t>
        </is>
      </c>
      <c r="C263" s="3" t="inlineStr">
        <is>
          <t>Técnico 06</t>
        </is>
      </c>
      <c r="D263" s="3">
        <f>_xlfn.XLOOKUP(tblAsignaciones[[#This Row],[tecnico]],tblTecnicos[nombre],tblTecnicos[area],"")</f>
        <v/>
      </c>
      <c r="E263" s="3">
        <f>_xlfn.XLOOKUP(tblAsignaciones[[#This Row],[tecnico]],tblTecnicos[nombre],tblTecnicos[especialidad],"")</f>
        <v/>
      </c>
      <c r="F263" s="3">
        <f>COUNTIFS(tblTecnicos[rotativo],"SI",tblTecnicos[especialidad],tblAsignaciones[[#This Row],[especialidad]],tblTecnicos[area],tblAsignaciones[[#This Row],[area]])</f>
        <v/>
      </c>
      <c r="G26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3" s="6" t="n"/>
      <c r="J26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3" s="3">
        <f>_xlfn.XLOOKUP(tblAsignaciones[[#This Row],[tecnico]],tblTecnicos[nombre],tblTecnicos[supervisor],"")</f>
        <v/>
      </c>
      <c r="L26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3" s="3">
        <f>tblAsignaciones[[#This Row],[semana]]&amp;"|"&amp;tblAsignaciones[[#This Row],[dia]]&amp;"|"&amp;tblAsignaciones[[#This Row],[tecnico]]</f>
        <v/>
      </c>
      <c r="O263" s="3">
        <f>_xlfn.XLOOKUP(tblAsignaciones[[#This Row],[turno]],tblTurnos[turno],tblTurnos[hora_inicio],"")</f>
        <v/>
      </c>
      <c r="P263" s="3">
        <f>_xlfn.XLOOKUP(tblAsignaciones[[#This Row],[turno]],tblTurnos[turno],tblTurnos[hora_fin],"")</f>
        <v/>
      </c>
      <c r="Q263" s="3">
        <f>IF(AND(LEFT(tblAsignaciones[[#This Row],[posicion_ciclo]],1)="T",tblAsignaciones[[#This Row],[en_vacaciones]]="no"),"sí","no")</f>
        <v/>
      </c>
    </row>
    <row r="264">
      <c r="A264" s="3" t="inlineStr">
        <is>
          <t>2026-S32</t>
        </is>
      </c>
      <c r="B264" s="3" t="inlineStr">
        <is>
          <t>martes</t>
        </is>
      </c>
      <c r="C264" s="3" t="inlineStr">
        <is>
          <t>Técnico 06</t>
        </is>
      </c>
      <c r="D264" s="3">
        <f>_xlfn.XLOOKUP(tblAsignaciones[[#This Row],[tecnico]],tblTecnicos[nombre],tblTecnicos[area],"")</f>
        <v/>
      </c>
      <c r="E264" s="3">
        <f>_xlfn.XLOOKUP(tblAsignaciones[[#This Row],[tecnico]],tblTecnicos[nombre],tblTecnicos[especialidad],"")</f>
        <v/>
      </c>
      <c r="F264" s="3">
        <f>COUNTIFS(tblTecnicos[rotativo],"SI",tblTecnicos[especialidad],tblAsignaciones[[#This Row],[especialidad]],tblTecnicos[area],tblAsignaciones[[#This Row],[area]])</f>
        <v/>
      </c>
      <c r="G26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4" s="6" t="n"/>
      <c r="J26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4" s="3">
        <f>_xlfn.XLOOKUP(tblAsignaciones[[#This Row],[tecnico]],tblTecnicos[nombre],tblTecnicos[supervisor],"")</f>
        <v/>
      </c>
      <c r="L26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4" s="3">
        <f>tblAsignaciones[[#This Row],[semana]]&amp;"|"&amp;tblAsignaciones[[#This Row],[dia]]&amp;"|"&amp;tblAsignaciones[[#This Row],[tecnico]]</f>
        <v/>
      </c>
      <c r="O264" s="3">
        <f>_xlfn.XLOOKUP(tblAsignaciones[[#This Row],[turno]],tblTurnos[turno],tblTurnos[hora_inicio],"")</f>
        <v/>
      </c>
      <c r="P264" s="3">
        <f>_xlfn.XLOOKUP(tblAsignaciones[[#This Row],[turno]],tblTurnos[turno],tblTurnos[hora_fin],"")</f>
        <v/>
      </c>
      <c r="Q264" s="3">
        <f>IF(AND(LEFT(tblAsignaciones[[#This Row],[posicion_ciclo]],1)="T",tblAsignaciones[[#This Row],[en_vacaciones]]="no"),"sí","no")</f>
        <v/>
      </c>
    </row>
    <row r="265">
      <c r="A265" s="3" t="inlineStr">
        <is>
          <t>2026-S32</t>
        </is>
      </c>
      <c r="B265" s="3" t="inlineStr">
        <is>
          <t>miércoles</t>
        </is>
      </c>
      <c r="C265" s="3" t="inlineStr">
        <is>
          <t>Técnico 06</t>
        </is>
      </c>
      <c r="D265" s="3">
        <f>_xlfn.XLOOKUP(tblAsignaciones[[#This Row],[tecnico]],tblTecnicos[nombre],tblTecnicos[area],"")</f>
        <v/>
      </c>
      <c r="E265" s="3">
        <f>_xlfn.XLOOKUP(tblAsignaciones[[#This Row],[tecnico]],tblTecnicos[nombre],tblTecnicos[especialidad],"")</f>
        <v/>
      </c>
      <c r="F265" s="3">
        <f>COUNTIFS(tblTecnicos[rotativo],"SI",tblTecnicos[especialidad],tblAsignaciones[[#This Row],[especialidad]],tblTecnicos[area],tblAsignaciones[[#This Row],[area]])</f>
        <v/>
      </c>
      <c r="G26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5" s="6" t="n"/>
      <c r="J26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5" s="3">
        <f>_xlfn.XLOOKUP(tblAsignaciones[[#This Row],[tecnico]],tblTecnicos[nombre],tblTecnicos[supervisor],"")</f>
        <v/>
      </c>
      <c r="L26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5" s="3">
        <f>tblAsignaciones[[#This Row],[semana]]&amp;"|"&amp;tblAsignaciones[[#This Row],[dia]]&amp;"|"&amp;tblAsignaciones[[#This Row],[tecnico]]</f>
        <v/>
      </c>
      <c r="O265" s="3">
        <f>_xlfn.XLOOKUP(tblAsignaciones[[#This Row],[turno]],tblTurnos[turno],tblTurnos[hora_inicio],"")</f>
        <v/>
      </c>
      <c r="P265" s="3">
        <f>_xlfn.XLOOKUP(tblAsignaciones[[#This Row],[turno]],tblTurnos[turno],tblTurnos[hora_fin],"")</f>
        <v/>
      </c>
      <c r="Q265" s="3">
        <f>IF(AND(LEFT(tblAsignaciones[[#This Row],[posicion_ciclo]],1)="T",tblAsignaciones[[#This Row],[en_vacaciones]]="no"),"sí","no")</f>
        <v/>
      </c>
    </row>
    <row r="266">
      <c r="A266" s="3" t="inlineStr">
        <is>
          <t>2026-S32</t>
        </is>
      </c>
      <c r="B266" s="3" t="inlineStr">
        <is>
          <t>jueves</t>
        </is>
      </c>
      <c r="C266" s="3" t="inlineStr">
        <is>
          <t>Técnico 06</t>
        </is>
      </c>
      <c r="D266" s="3">
        <f>_xlfn.XLOOKUP(tblAsignaciones[[#This Row],[tecnico]],tblTecnicos[nombre],tblTecnicos[area],"")</f>
        <v/>
      </c>
      <c r="E266" s="3">
        <f>_xlfn.XLOOKUP(tblAsignaciones[[#This Row],[tecnico]],tblTecnicos[nombre],tblTecnicos[especialidad],"")</f>
        <v/>
      </c>
      <c r="F266" s="3">
        <f>COUNTIFS(tblTecnicos[rotativo],"SI",tblTecnicos[especialidad],tblAsignaciones[[#This Row],[especialidad]],tblTecnicos[area],tblAsignaciones[[#This Row],[area]])</f>
        <v/>
      </c>
      <c r="G26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6" s="6" t="n"/>
      <c r="J26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6" s="3">
        <f>_xlfn.XLOOKUP(tblAsignaciones[[#This Row],[tecnico]],tblTecnicos[nombre],tblTecnicos[supervisor],"")</f>
        <v/>
      </c>
      <c r="L26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6" s="3">
        <f>tblAsignaciones[[#This Row],[semana]]&amp;"|"&amp;tblAsignaciones[[#This Row],[dia]]&amp;"|"&amp;tblAsignaciones[[#This Row],[tecnico]]</f>
        <v/>
      </c>
      <c r="O266" s="3">
        <f>_xlfn.XLOOKUP(tblAsignaciones[[#This Row],[turno]],tblTurnos[turno],tblTurnos[hora_inicio],"")</f>
        <v/>
      </c>
      <c r="P266" s="3">
        <f>_xlfn.XLOOKUP(tblAsignaciones[[#This Row],[turno]],tblTurnos[turno],tblTurnos[hora_fin],"")</f>
        <v/>
      </c>
      <c r="Q266" s="3">
        <f>IF(AND(LEFT(tblAsignaciones[[#This Row],[posicion_ciclo]],1)="T",tblAsignaciones[[#This Row],[en_vacaciones]]="no"),"sí","no")</f>
        <v/>
      </c>
    </row>
    <row r="267">
      <c r="A267" s="3" t="inlineStr">
        <is>
          <t>2026-S32</t>
        </is>
      </c>
      <c r="B267" s="3" t="inlineStr">
        <is>
          <t>viernes</t>
        </is>
      </c>
      <c r="C267" s="3" t="inlineStr">
        <is>
          <t>Técnico 06</t>
        </is>
      </c>
      <c r="D267" s="3">
        <f>_xlfn.XLOOKUP(tblAsignaciones[[#This Row],[tecnico]],tblTecnicos[nombre],tblTecnicos[area],"")</f>
        <v/>
      </c>
      <c r="E267" s="3">
        <f>_xlfn.XLOOKUP(tblAsignaciones[[#This Row],[tecnico]],tblTecnicos[nombre],tblTecnicos[especialidad],"")</f>
        <v/>
      </c>
      <c r="F267" s="3">
        <f>COUNTIFS(tblTecnicos[rotativo],"SI",tblTecnicos[especialidad],tblAsignaciones[[#This Row],[especialidad]],tblTecnicos[area],tblAsignaciones[[#This Row],[area]])</f>
        <v/>
      </c>
      <c r="G26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7" s="6" t="n"/>
      <c r="J26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7" s="3">
        <f>_xlfn.XLOOKUP(tblAsignaciones[[#This Row],[tecnico]],tblTecnicos[nombre],tblTecnicos[supervisor],"")</f>
        <v/>
      </c>
      <c r="L26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7" s="3">
        <f>tblAsignaciones[[#This Row],[semana]]&amp;"|"&amp;tblAsignaciones[[#This Row],[dia]]&amp;"|"&amp;tblAsignaciones[[#This Row],[tecnico]]</f>
        <v/>
      </c>
      <c r="O267" s="3">
        <f>_xlfn.XLOOKUP(tblAsignaciones[[#This Row],[turno]],tblTurnos[turno],tblTurnos[hora_inicio],"")</f>
        <v/>
      </c>
      <c r="P267" s="3">
        <f>_xlfn.XLOOKUP(tblAsignaciones[[#This Row],[turno]],tblTurnos[turno],tblTurnos[hora_fin],"")</f>
        <v/>
      </c>
      <c r="Q267" s="3">
        <f>IF(AND(LEFT(tblAsignaciones[[#This Row],[posicion_ciclo]],1)="T",tblAsignaciones[[#This Row],[en_vacaciones]]="no"),"sí","no")</f>
        <v/>
      </c>
    </row>
    <row r="268">
      <c r="A268" s="3" t="inlineStr">
        <is>
          <t>2026-S32</t>
        </is>
      </c>
      <c r="B268" s="3" t="inlineStr">
        <is>
          <t>sábado</t>
        </is>
      </c>
      <c r="C268" s="3" t="inlineStr">
        <is>
          <t>Técnico 06</t>
        </is>
      </c>
      <c r="D268" s="3">
        <f>_xlfn.XLOOKUP(tblAsignaciones[[#This Row],[tecnico]],tblTecnicos[nombre],tblTecnicos[area],"")</f>
        <v/>
      </c>
      <c r="E268" s="3">
        <f>_xlfn.XLOOKUP(tblAsignaciones[[#This Row],[tecnico]],tblTecnicos[nombre],tblTecnicos[especialidad],"")</f>
        <v/>
      </c>
      <c r="F268" s="3">
        <f>COUNTIFS(tblTecnicos[rotativo],"SI",tblTecnicos[especialidad],tblAsignaciones[[#This Row],[especialidad]],tblTecnicos[area],tblAsignaciones[[#This Row],[area]])</f>
        <v/>
      </c>
      <c r="G26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8" s="6" t="n"/>
      <c r="J26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8" s="3">
        <f>_xlfn.XLOOKUP(tblAsignaciones[[#This Row],[tecnico]],tblTecnicos[nombre],tblTecnicos[supervisor],"")</f>
        <v/>
      </c>
      <c r="L26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8" s="3">
        <f>tblAsignaciones[[#This Row],[semana]]&amp;"|"&amp;tblAsignaciones[[#This Row],[dia]]&amp;"|"&amp;tblAsignaciones[[#This Row],[tecnico]]</f>
        <v/>
      </c>
      <c r="O268" s="3">
        <f>_xlfn.XLOOKUP(tblAsignaciones[[#This Row],[turno]],tblTurnos[turno],tblTurnos[hora_inicio],"")</f>
        <v/>
      </c>
      <c r="P268" s="3">
        <f>_xlfn.XLOOKUP(tblAsignaciones[[#This Row],[turno]],tblTurnos[turno],tblTurnos[hora_fin],"")</f>
        <v/>
      </c>
      <c r="Q268" s="3">
        <f>IF(AND(LEFT(tblAsignaciones[[#This Row],[posicion_ciclo]],1)="T",tblAsignaciones[[#This Row],[en_vacaciones]]="no"),"sí","no")</f>
        <v/>
      </c>
    </row>
    <row r="269">
      <c r="A269" s="3" t="inlineStr">
        <is>
          <t>2026-S32</t>
        </is>
      </c>
      <c r="B269" s="3" t="inlineStr">
        <is>
          <t>domingo</t>
        </is>
      </c>
      <c r="C269" s="3" t="inlineStr">
        <is>
          <t>Técnico 06</t>
        </is>
      </c>
      <c r="D269" s="3">
        <f>_xlfn.XLOOKUP(tblAsignaciones[[#This Row],[tecnico]],tblTecnicos[nombre],tblTecnicos[area],"")</f>
        <v/>
      </c>
      <c r="E269" s="3">
        <f>_xlfn.XLOOKUP(tblAsignaciones[[#This Row],[tecnico]],tblTecnicos[nombre],tblTecnicos[especialidad],"")</f>
        <v/>
      </c>
      <c r="F269" s="3">
        <f>COUNTIFS(tblTecnicos[rotativo],"SI",tblTecnicos[especialidad],tblAsignaciones[[#This Row],[especialidad]],tblTecnicos[area],tblAsignaciones[[#This Row],[area]])</f>
        <v/>
      </c>
      <c r="G26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9" s="6" t="n"/>
      <c r="J26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9" s="3">
        <f>_xlfn.XLOOKUP(tblAsignaciones[[#This Row],[tecnico]],tblTecnicos[nombre],tblTecnicos[supervisor],"")</f>
        <v/>
      </c>
      <c r="L26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9" s="3">
        <f>tblAsignaciones[[#This Row],[semana]]&amp;"|"&amp;tblAsignaciones[[#This Row],[dia]]&amp;"|"&amp;tblAsignaciones[[#This Row],[tecnico]]</f>
        <v/>
      </c>
      <c r="O269" s="3">
        <f>_xlfn.XLOOKUP(tblAsignaciones[[#This Row],[turno]],tblTurnos[turno],tblTurnos[hora_inicio],"")</f>
        <v/>
      </c>
      <c r="P269" s="3">
        <f>_xlfn.XLOOKUP(tblAsignaciones[[#This Row],[turno]],tblTurnos[turno],tblTurnos[hora_fin],"")</f>
        <v/>
      </c>
      <c r="Q269" s="3">
        <f>IF(AND(LEFT(tblAsignaciones[[#This Row],[posicion_ciclo]],1)="T",tblAsignaciones[[#This Row],[en_vacaciones]]="no"),"sí","no")</f>
        <v/>
      </c>
    </row>
    <row r="270">
      <c r="A270" s="3" t="inlineStr">
        <is>
          <t>2026-S32</t>
        </is>
      </c>
      <c r="B270" s="3" t="inlineStr">
        <is>
          <t>lunes</t>
        </is>
      </c>
      <c r="C270" s="3" t="inlineStr">
        <is>
          <t>Técnico 07</t>
        </is>
      </c>
      <c r="D270" s="3">
        <f>_xlfn.XLOOKUP(tblAsignaciones[[#This Row],[tecnico]],tblTecnicos[nombre],tblTecnicos[area],"")</f>
        <v/>
      </c>
      <c r="E270" s="3">
        <f>_xlfn.XLOOKUP(tblAsignaciones[[#This Row],[tecnico]],tblTecnicos[nombre],tblTecnicos[especialidad],"")</f>
        <v/>
      </c>
      <c r="F270" s="3">
        <f>COUNTIFS(tblTecnicos[rotativo],"SI",tblTecnicos[especialidad],tblAsignaciones[[#This Row],[especialidad]],tblTecnicos[area],tblAsignaciones[[#This Row],[area]])</f>
        <v/>
      </c>
      <c r="G27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0" s="6" t="n"/>
      <c r="J27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0" s="3">
        <f>_xlfn.XLOOKUP(tblAsignaciones[[#This Row],[tecnico]],tblTecnicos[nombre],tblTecnicos[supervisor],"")</f>
        <v/>
      </c>
      <c r="L27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0" s="3">
        <f>tblAsignaciones[[#This Row],[semana]]&amp;"|"&amp;tblAsignaciones[[#This Row],[dia]]&amp;"|"&amp;tblAsignaciones[[#This Row],[tecnico]]</f>
        <v/>
      </c>
      <c r="O270" s="3">
        <f>_xlfn.XLOOKUP(tblAsignaciones[[#This Row],[turno]],tblTurnos[turno],tblTurnos[hora_inicio],"")</f>
        <v/>
      </c>
      <c r="P270" s="3">
        <f>_xlfn.XLOOKUP(tblAsignaciones[[#This Row],[turno]],tblTurnos[turno],tblTurnos[hora_fin],"")</f>
        <v/>
      </c>
      <c r="Q270" s="3">
        <f>IF(AND(LEFT(tblAsignaciones[[#This Row],[posicion_ciclo]],1)="T",tblAsignaciones[[#This Row],[en_vacaciones]]="no"),"sí","no")</f>
        <v/>
      </c>
    </row>
    <row r="271">
      <c r="A271" s="3" t="inlineStr">
        <is>
          <t>2026-S32</t>
        </is>
      </c>
      <c r="B271" s="3" t="inlineStr">
        <is>
          <t>martes</t>
        </is>
      </c>
      <c r="C271" s="3" t="inlineStr">
        <is>
          <t>Técnico 07</t>
        </is>
      </c>
      <c r="D271" s="3">
        <f>_xlfn.XLOOKUP(tblAsignaciones[[#This Row],[tecnico]],tblTecnicos[nombre],tblTecnicos[area],"")</f>
        <v/>
      </c>
      <c r="E271" s="3">
        <f>_xlfn.XLOOKUP(tblAsignaciones[[#This Row],[tecnico]],tblTecnicos[nombre],tblTecnicos[especialidad],"")</f>
        <v/>
      </c>
      <c r="F271" s="3">
        <f>COUNTIFS(tblTecnicos[rotativo],"SI",tblTecnicos[especialidad],tblAsignaciones[[#This Row],[especialidad]],tblTecnicos[area],tblAsignaciones[[#This Row],[area]])</f>
        <v/>
      </c>
      <c r="G27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1" s="6" t="n"/>
      <c r="J27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1" s="3">
        <f>_xlfn.XLOOKUP(tblAsignaciones[[#This Row],[tecnico]],tblTecnicos[nombre],tblTecnicos[supervisor],"")</f>
        <v/>
      </c>
      <c r="L27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1" s="3">
        <f>tblAsignaciones[[#This Row],[semana]]&amp;"|"&amp;tblAsignaciones[[#This Row],[dia]]&amp;"|"&amp;tblAsignaciones[[#This Row],[tecnico]]</f>
        <v/>
      </c>
      <c r="O271" s="3">
        <f>_xlfn.XLOOKUP(tblAsignaciones[[#This Row],[turno]],tblTurnos[turno],tblTurnos[hora_inicio],"")</f>
        <v/>
      </c>
      <c r="P271" s="3">
        <f>_xlfn.XLOOKUP(tblAsignaciones[[#This Row],[turno]],tblTurnos[turno],tblTurnos[hora_fin],"")</f>
        <v/>
      </c>
      <c r="Q271" s="3">
        <f>IF(AND(LEFT(tblAsignaciones[[#This Row],[posicion_ciclo]],1)="T",tblAsignaciones[[#This Row],[en_vacaciones]]="no"),"sí","no")</f>
        <v/>
      </c>
    </row>
    <row r="272">
      <c r="A272" s="3" t="inlineStr">
        <is>
          <t>2026-S32</t>
        </is>
      </c>
      <c r="B272" s="3" t="inlineStr">
        <is>
          <t>miércoles</t>
        </is>
      </c>
      <c r="C272" s="3" t="inlineStr">
        <is>
          <t>Técnico 07</t>
        </is>
      </c>
      <c r="D272" s="3">
        <f>_xlfn.XLOOKUP(tblAsignaciones[[#This Row],[tecnico]],tblTecnicos[nombre],tblTecnicos[area],"")</f>
        <v/>
      </c>
      <c r="E272" s="3">
        <f>_xlfn.XLOOKUP(tblAsignaciones[[#This Row],[tecnico]],tblTecnicos[nombre],tblTecnicos[especialidad],"")</f>
        <v/>
      </c>
      <c r="F272" s="3">
        <f>COUNTIFS(tblTecnicos[rotativo],"SI",tblTecnicos[especialidad],tblAsignaciones[[#This Row],[especialidad]],tblTecnicos[area],tblAsignaciones[[#This Row],[area]])</f>
        <v/>
      </c>
      <c r="G27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2" s="6" t="n"/>
      <c r="J27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2" s="3">
        <f>_xlfn.XLOOKUP(tblAsignaciones[[#This Row],[tecnico]],tblTecnicos[nombre],tblTecnicos[supervisor],"")</f>
        <v/>
      </c>
      <c r="L27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2" s="3">
        <f>tblAsignaciones[[#This Row],[semana]]&amp;"|"&amp;tblAsignaciones[[#This Row],[dia]]&amp;"|"&amp;tblAsignaciones[[#This Row],[tecnico]]</f>
        <v/>
      </c>
      <c r="O272" s="3">
        <f>_xlfn.XLOOKUP(tblAsignaciones[[#This Row],[turno]],tblTurnos[turno],tblTurnos[hora_inicio],"")</f>
        <v/>
      </c>
      <c r="P272" s="3">
        <f>_xlfn.XLOOKUP(tblAsignaciones[[#This Row],[turno]],tblTurnos[turno],tblTurnos[hora_fin],"")</f>
        <v/>
      </c>
      <c r="Q272" s="3">
        <f>IF(AND(LEFT(tblAsignaciones[[#This Row],[posicion_ciclo]],1)="T",tblAsignaciones[[#This Row],[en_vacaciones]]="no"),"sí","no")</f>
        <v/>
      </c>
    </row>
    <row r="273">
      <c r="A273" s="3" t="inlineStr">
        <is>
          <t>2026-S32</t>
        </is>
      </c>
      <c r="B273" s="3" t="inlineStr">
        <is>
          <t>jueves</t>
        </is>
      </c>
      <c r="C273" s="3" t="inlineStr">
        <is>
          <t>Técnico 07</t>
        </is>
      </c>
      <c r="D273" s="3">
        <f>_xlfn.XLOOKUP(tblAsignaciones[[#This Row],[tecnico]],tblTecnicos[nombre],tblTecnicos[area],"")</f>
        <v/>
      </c>
      <c r="E273" s="3">
        <f>_xlfn.XLOOKUP(tblAsignaciones[[#This Row],[tecnico]],tblTecnicos[nombre],tblTecnicos[especialidad],"")</f>
        <v/>
      </c>
      <c r="F273" s="3">
        <f>COUNTIFS(tblTecnicos[rotativo],"SI",tblTecnicos[especialidad],tblAsignaciones[[#This Row],[especialidad]],tblTecnicos[area],tblAsignaciones[[#This Row],[area]])</f>
        <v/>
      </c>
      <c r="G27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3" s="6" t="n"/>
      <c r="J27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3" s="3">
        <f>_xlfn.XLOOKUP(tblAsignaciones[[#This Row],[tecnico]],tblTecnicos[nombre],tblTecnicos[supervisor],"")</f>
        <v/>
      </c>
      <c r="L27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3" s="3">
        <f>tblAsignaciones[[#This Row],[semana]]&amp;"|"&amp;tblAsignaciones[[#This Row],[dia]]&amp;"|"&amp;tblAsignaciones[[#This Row],[tecnico]]</f>
        <v/>
      </c>
      <c r="O273" s="3">
        <f>_xlfn.XLOOKUP(tblAsignaciones[[#This Row],[turno]],tblTurnos[turno],tblTurnos[hora_inicio],"")</f>
        <v/>
      </c>
      <c r="P273" s="3">
        <f>_xlfn.XLOOKUP(tblAsignaciones[[#This Row],[turno]],tblTurnos[turno],tblTurnos[hora_fin],"")</f>
        <v/>
      </c>
      <c r="Q273" s="3">
        <f>IF(AND(LEFT(tblAsignaciones[[#This Row],[posicion_ciclo]],1)="T",tblAsignaciones[[#This Row],[en_vacaciones]]="no"),"sí","no")</f>
        <v/>
      </c>
    </row>
    <row r="274">
      <c r="A274" s="3" t="inlineStr">
        <is>
          <t>2026-S32</t>
        </is>
      </c>
      <c r="B274" s="3" t="inlineStr">
        <is>
          <t>viernes</t>
        </is>
      </c>
      <c r="C274" s="3" t="inlineStr">
        <is>
          <t>Técnico 07</t>
        </is>
      </c>
      <c r="D274" s="3">
        <f>_xlfn.XLOOKUP(tblAsignaciones[[#This Row],[tecnico]],tblTecnicos[nombre],tblTecnicos[area],"")</f>
        <v/>
      </c>
      <c r="E274" s="3">
        <f>_xlfn.XLOOKUP(tblAsignaciones[[#This Row],[tecnico]],tblTecnicos[nombre],tblTecnicos[especialidad],"")</f>
        <v/>
      </c>
      <c r="F274" s="3">
        <f>COUNTIFS(tblTecnicos[rotativo],"SI",tblTecnicos[especialidad],tblAsignaciones[[#This Row],[especialidad]],tblTecnicos[area],tblAsignaciones[[#This Row],[area]])</f>
        <v/>
      </c>
      <c r="G27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4" s="6" t="n"/>
      <c r="J27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4" s="3">
        <f>_xlfn.XLOOKUP(tblAsignaciones[[#This Row],[tecnico]],tblTecnicos[nombre],tblTecnicos[supervisor],"")</f>
        <v/>
      </c>
      <c r="L27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4" s="3">
        <f>tblAsignaciones[[#This Row],[semana]]&amp;"|"&amp;tblAsignaciones[[#This Row],[dia]]&amp;"|"&amp;tblAsignaciones[[#This Row],[tecnico]]</f>
        <v/>
      </c>
      <c r="O274" s="3">
        <f>_xlfn.XLOOKUP(tblAsignaciones[[#This Row],[turno]],tblTurnos[turno],tblTurnos[hora_inicio],"")</f>
        <v/>
      </c>
      <c r="P274" s="3">
        <f>_xlfn.XLOOKUP(tblAsignaciones[[#This Row],[turno]],tblTurnos[turno],tblTurnos[hora_fin],"")</f>
        <v/>
      </c>
      <c r="Q274" s="3">
        <f>IF(AND(LEFT(tblAsignaciones[[#This Row],[posicion_ciclo]],1)="T",tblAsignaciones[[#This Row],[en_vacaciones]]="no"),"sí","no")</f>
        <v/>
      </c>
    </row>
    <row r="275">
      <c r="A275" s="3" t="inlineStr">
        <is>
          <t>2026-S32</t>
        </is>
      </c>
      <c r="B275" s="3" t="inlineStr">
        <is>
          <t>sábado</t>
        </is>
      </c>
      <c r="C275" s="3" t="inlineStr">
        <is>
          <t>Técnico 07</t>
        </is>
      </c>
      <c r="D275" s="3">
        <f>_xlfn.XLOOKUP(tblAsignaciones[[#This Row],[tecnico]],tblTecnicos[nombre],tblTecnicos[area],"")</f>
        <v/>
      </c>
      <c r="E275" s="3">
        <f>_xlfn.XLOOKUP(tblAsignaciones[[#This Row],[tecnico]],tblTecnicos[nombre],tblTecnicos[especialidad],"")</f>
        <v/>
      </c>
      <c r="F275" s="3">
        <f>COUNTIFS(tblTecnicos[rotativo],"SI",tblTecnicos[especialidad],tblAsignaciones[[#This Row],[especialidad]],tblTecnicos[area],tblAsignaciones[[#This Row],[area]])</f>
        <v/>
      </c>
      <c r="G27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5" s="6" t="n"/>
      <c r="J27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5" s="3">
        <f>_xlfn.XLOOKUP(tblAsignaciones[[#This Row],[tecnico]],tblTecnicos[nombre],tblTecnicos[supervisor],"")</f>
        <v/>
      </c>
      <c r="L27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5" s="3">
        <f>tblAsignaciones[[#This Row],[semana]]&amp;"|"&amp;tblAsignaciones[[#This Row],[dia]]&amp;"|"&amp;tblAsignaciones[[#This Row],[tecnico]]</f>
        <v/>
      </c>
      <c r="O275" s="3">
        <f>_xlfn.XLOOKUP(tblAsignaciones[[#This Row],[turno]],tblTurnos[turno],tblTurnos[hora_inicio],"")</f>
        <v/>
      </c>
      <c r="P275" s="3">
        <f>_xlfn.XLOOKUP(tblAsignaciones[[#This Row],[turno]],tblTurnos[turno],tblTurnos[hora_fin],"")</f>
        <v/>
      </c>
      <c r="Q275" s="3">
        <f>IF(AND(LEFT(tblAsignaciones[[#This Row],[posicion_ciclo]],1)="T",tblAsignaciones[[#This Row],[en_vacaciones]]="no"),"sí","no")</f>
        <v/>
      </c>
    </row>
    <row r="276">
      <c r="A276" s="3" t="inlineStr">
        <is>
          <t>2026-S32</t>
        </is>
      </c>
      <c r="B276" s="3" t="inlineStr">
        <is>
          <t>domingo</t>
        </is>
      </c>
      <c r="C276" s="3" t="inlineStr">
        <is>
          <t>Técnico 07</t>
        </is>
      </c>
      <c r="D276" s="3">
        <f>_xlfn.XLOOKUP(tblAsignaciones[[#This Row],[tecnico]],tblTecnicos[nombre],tblTecnicos[area],"")</f>
        <v/>
      </c>
      <c r="E276" s="3">
        <f>_xlfn.XLOOKUP(tblAsignaciones[[#This Row],[tecnico]],tblTecnicos[nombre],tblTecnicos[especialidad],"")</f>
        <v/>
      </c>
      <c r="F276" s="3">
        <f>COUNTIFS(tblTecnicos[rotativo],"SI",tblTecnicos[especialidad],tblAsignaciones[[#This Row],[especialidad]],tblTecnicos[area],tblAsignaciones[[#This Row],[area]])</f>
        <v/>
      </c>
      <c r="G27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6" s="6" t="n"/>
      <c r="J27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6" s="3">
        <f>_xlfn.XLOOKUP(tblAsignaciones[[#This Row],[tecnico]],tblTecnicos[nombre],tblTecnicos[supervisor],"")</f>
        <v/>
      </c>
      <c r="L27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6" s="3">
        <f>tblAsignaciones[[#This Row],[semana]]&amp;"|"&amp;tblAsignaciones[[#This Row],[dia]]&amp;"|"&amp;tblAsignaciones[[#This Row],[tecnico]]</f>
        <v/>
      </c>
      <c r="O276" s="3">
        <f>_xlfn.XLOOKUP(tblAsignaciones[[#This Row],[turno]],tblTurnos[turno],tblTurnos[hora_inicio],"")</f>
        <v/>
      </c>
      <c r="P276" s="3">
        <f>_xlfn.XLOOKUP(tblAsignaciones[[#This Row],[turno]],tblTurnos[turno],tblTurnos[hora_fin],"")</f>
        <v/>
      </c>
      <c r="Q276" s="3">
        <f>IF(AND(LEFT(tblAsignaciones[[#This Row],[posicion_ciclo]],1)="T",tblAsignaciones[[#This Row],[en_vacaciones]]="no"),"sí","no")</f>
        <v/>
      </c>
    </row>
    <row r="277">
      <c r="A277" s="3" t="inlineStr">
        <is>
          <t>2026-S32</t>
        </is>
      </c>
      <c r="B277" s="3" t="inlineStr">
        <is>
          <t>lunes</t>
        </is>
      </c>
      <c r="C277" s="3" t="inlineStr">
        <is>
          <t>Técnico 08</t>
        </is>
      </c>
      <c r="D277" s="3">
        <f>_xlfn.XLOOKUP(tblAsignaciones[[#This Row],[tecnico]],tblTecnicos[nombre],tblTecnicos[area],"")</f>
        <v/>
      </c>
      <c r="E277" s="3">
        <f>_xlfn.XLOOKUP(tblAsignaciones[[#This Row],[tecnico]],tblTecnicos[nombre],tblTecnicos[especialidad],"")</f>
        <v/>
      </c>
      <c r="F277" s="3">
        <f>COUNTIFS(tblTecnicos[rotativo],"SI",tblTecnicos[especialidad],tblAsignaciones[[#This Row],[especialidad]],tblTecnicos[area],tblAsignaciones[[#This Row],[area]])</f>
        <v/>
      </c>
      <c r="G27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7" s="6" t="n"/>
      <c r="J27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7" s="3">
        <f>_xlfn.XLOOKUP(tblAsignaciones[[#This Row],[tecnico]],tblTecnicos[nombre],tblTecnicos[supervisor],"")</f>
        <v/>
      </c>
      <c r="L27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7" s="3">
        <f>tblAsignaciones[[#This Row],[semana]]&amp;"|"&amp;tblAsignaciones[[#This Row],[dia]]&amp;"|"&amp;tblAsignaciones[[#This Row],[tecnico]]</f>
        <v/>
      </c>
      <c r="O277" s="3">
        <f>_xlfn.XLOOKUP(tblAsignaciones[[#This Row],[turno]],tblTurnos[turno],tblTurnos[hora_inicio],"")</f>
        <v/>
      </c>
      <c r="P277" s="3">
        <f>_xlfn.XLOOKUP(tblAsignaciones[[#This Row],[turno]],tblTurnos[turno],tblTurnos[hora_fin],"")</f>
        <v/>
      </c>
      <c r="Q277" s="3">
        <f>IF(AND(LEFT(tblAsignaciones[[#This Row],[posicion_ciclo]],1)="T",tblAsignaciones[[#This Row],[en_vacaciones]]="no"),"sí","no")</f>
        <v/>
      </c>
    </row>
    <row r="278">
      <c r="A278" s="3" t="inlineStr">
        <is>
          <t>2026-S32</t>
        </is>
      </c>
      <c r="B278" s="3" t="inlineStr">
        <is>
          <t>martes</t>
        </is>
      </c>
      <c r="C278" s="3" t="inlineStr">
        <is>
          <t>Técnico 08</t>
        </is>
      </c>
      <c r="D278" s="3">
        <f>_xlfn.XLOOKUP(tblAsignaciones[[#This Row],[tecnico]],tblTecnicos[nombre],tblTecnicos[area],"")</f>
        <v/>
      </c>
      <c r="E278" s="3">
        <f>_xlfn.XLOOKUP(tblAsignaciones[[#This Row],[tecnico]],tblTecnicos[nombre],tblTecnicos[especialidad],"")</f>
        <v/>
      </c>
      <c r="F278" s="3">
        <f>COUNTIFS(tblTecnicos[rotativo],"SI",tblTecnicos[especialidad],tblAsignaciones[[#This Row],[especialidad]],tblTecnicos[area],tblAsignaciones[[#This Row],[area]])</f>
        <v/>
      </c>
      <c r="G27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8" s="6" t="n"/>
      <c r="J27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8" s="3">
        <f>_xlfn.XLOOKUP(tblAsignaciones[[#This Row],[tecnico]],tblTecnicos[nombre],tblTecnicos[supervisor],"")</f>
        <v/>
      </c>
      <c r="L27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8" s="3">
        <f>tblAsignaciones[[#This Row],[semana]]&amp;"|"&amp;tblAsignaciones[[#This Row],[dia]]&amp;"|"&amp;tblAsignaciones[[#This Row],[tecnico]]</f>
        <v/>
      </c>
      <c r="O278" s="3">
        <f>_xlfn.XLOOKUP(tblAsignaciones[[#This Row],[turno]],tblTurnos[turno],tblTurnos[hora_inicio],"")</f>
        <v/>
      </c>
      <c r="P278" s="3">
        <f>_xlfn.XLOOKUP(tblAsignaciones[[#This Row],[turno]],tblTurnos[turno],tblTurnos[hora_fin],"")</f>
        <v/>
      </c>
      <c r="Q278" s="3">
        <f>IF(AND(LEFT(tblAsignaciones[[#This Row],[posicion_ciclo]],1)="T",tblAsignaciones[[#This Row],[en_vacaciones]]="no"),"sí","no")</f>
        <v/>
      </c>
    </row>
    <row r="279">
      <c r="A279" s="3" t="inlineStr">
        <is>
          <t>2026-S32</t>
        </is>
      </c>
      <c r="B279" s="3" t="inlineStr">
        <is>
          <t>miércoles</t>
        </is>
      </c>
      <c r="C279" s="3" t="inlineStr">
        <is>
          <t>Técnico 08</t>
        </is>
      </c>
      <c r="D279" s="3">
        <f>_xlfn.XLOOKUP(tblAsignaciones[[#This Row],[tecnico]],tblTecnicos[nombre],tblTecnicos[area],"")</f>
        <v/>
      </c>
      <c r="E279" s="3">
        <f>_xlfn.XLOOKUP(tblAsignaciones[[#This Row],[tecnico]],tblTecnicos[nombre],tblTecnicos[especialidad],"")</f>
        <v/>
      </c>
      <c r="F279" s="3">
        <f>COUNTIFS(tblTecnicos[rotativo],"SI",tblTecnicos[especialidad],tblAsignaciones[[#This Row],[especialidad]],tblTecnicos[area],tblAsignaciones[[#This Row],[area]])</f>
        <v/>
      </c>
      <c r="G27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9" s="6" t="n"/>
      <c r="J27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9" s="3">
        <f>_xlfn.XLOOKUP(tblAsignaciones[[#This Row],[tecnico]],tblTecnicos[nombre],tblTecnicos[supervisor],"")</f>
        <v/>
      </c>
      <c r="L27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9" s="3">
        <f>tblAsignaciones[[#This Row],[semana]]&amp;"|"&amp;tblAsignaciones[[#This Row],[dia]]&amp;"|"&amp;tblAsignaciones[[#This Row],[tecnico]]</f>
        <v/>
      </c>
      <c r="O279" s="3">
        <f>_xlfn.XLOOKUP(tblAsignaciones[[#This Row],[turno]],tblTurnos[turno],tblTurnos[hora_inicio],"")</f>
        <v/>
      </c>
      <c r="P279" s="3">
        <f>_xlfn.XLOOKUP(tblAsignaciones[[#This Row],[turno]],tblTurnos[turno],tblTurnos[hora_fin],"")</f>
        <v/>
      </c>
      <c r="Q279" s="3">
        <f>IF(AND(LEFT(tblAsignaciones[[#This Row],[posicion_ciclo]],1)="T",tblAsignaciones[[#This Row],[en_vacaciones]]="no"),"sí","no")</f>
        <v/>
      </c>
    </row>
    <row r="280">
      <c r="A280" s="3" t="inlineStr">
        <is>
          <t>2026-S32</t>
        </is>
      </c>
      <c r="B280" s="3" t="inlineStr">
        <is>
          <t>jueves</t>
        </is>
      </c>
      <c r="C280" s="3" t="inlineStr">
        <is>
          <t>Técnico 08</t>
        </is>
      </c>
      <c r="D280" s="3">
        <f>_xlfn.XLOOKUP(tblAsignaciones[[#This Row],[tecnico]],tblTecnicos[nombre],tblTecnicos[area],"")</f>
        <v/>
      </c>
      <c r="E280" s="3">
        <f>_xlfn.XLOOKUP(tblAsignaciones[[#This Row],[tecnico]],tblTecnicos[nombre],tblTecnicos[especialidad],"")</f>
        <v/>
      </c>
      <c r="F280" s="3">
        <f>COUNTIFS(tblTecnicos[rotativo],"SI",tblTecnicos[especialidad],tblAsignaciones[[#This Row],[especialidad]],tblTecnicos[area],tblAsignaciones[[#This Row],[area]])</f>
        <v/>
      </c>
      <c r="G28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0" s="6" t="n"/>
      <c r="J28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0" s="3">
        <f>_xlfn.XLOOKUP(tblAsignaciones[[#This Row],[tecnico]],tblTecnicos[nombre],tblTecnicos[supervisor],"")</f>
        <v/>
      </c>
      <c r="L28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0" s="3">
        <f>tblAsignaciones[[#This Row],[semana]]&amp;"|"&amp;tblAsignaciones[[#This Row],[dia]]&amp;"|"&amp;tblAsignaciones[[#This Row],[tecnico]]</f>
        <v/>
      </c>
      <c r="O280" s="3">
        <f>_xlfn.XLOOKUP(tblAsignaciones[[#This Row],[turno]],tblTurnos[turno],tblTurnos[hora_inicio],"")</f>
        <v/>
      </c>
      <c r="P280" s="3">
        <f>_xlfn.XLOOKUP(tblAsignaciones[[#This Row],[turno]],tblTurnos[turno],tblTurnos[hora_fin],"")</f>
        <v/>
      </c>
      <c r="Q280" s="3">
        <f>IF(AND(LEFT(tblAsignaciones[[#This Row],[posicion_ciclo]],1)="T",tblAsignaciones[[#This Row],[en_vacaciones]]="no"),"sí","no")</f>
        <v/>
      </c>
    </row>
    <row r="281">
      <c r="A281" s="3" t="inlineStr">
        <is>
          <t>2026-S32</t>
        </is>
      </c>
      <c r="B281" s="3" t="inlineStr">
        <is>
          <t>viernes</t>
        </is>
      </c>
      <c r="C281" s="3" t="inlineStr">
        <is>
          <t>Técnico 08</t>
        </is>
      </c>
      <c r="D281" s="3">
        <f>_xlfn.XLOOKUP(tblAsignaciones[[#This Row],[tecnico]],tblTecnicos[nombre],tblTecnicos[area],"")</f>
        <v/>
      </c>
      <c r="E281" s="3">
        <f>_xlfn.XLOOKUP(tblAsignaciones[[#This Row],[tecnico]],tblTecnicos[nombre],tblTecnicos[especialidad],"")</f>
        <v/>
      </c>
      <c r="F281" s="3">
        <f>COUNTIFS(tblTecnicos[rotativo],"SI",tblTecnicos[especialidad],tblAsignaciones[[#This Row],[especialidad]],tblTecnicos[area],tblAsignaciones[[#This Row],[area]])</f>
        <v/>
      </c>
      <c r="G28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1" s="6" t="n"/>
      <c r="J28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1" s="3">
        <f>_xlfn.XLOOKUP(tblAsignaciones[[#This Row],[tecnico]],tblTecnicos[nombre],tblTecnicos[supervisor],"")</f>
        <v/>
      </c>
      <c r="L28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1" s="3">
        <f>tblAsignaciones[[#This Row],[semana]]&amp;"|"&amp;tblAsignaciones[[#This Row],[dia]]&amp;"|"&amp;tblAsignaciones[[#This Row],[tecnico]]</f>
        <v/>
      </c>
      <c r="O281" s="3">
        <f>_xlfn.XLOOKUP(tblAsignaciones[[#This Row],[turno]],tblTurnos[turno],tblTurnos[hora_inicio],"")</f>
        <v/>
      </c>
      <c r="P281" s="3">
        <f>_xlfn.XLOOKUP(tblAsignaciones[[#This Row],[turno]],tblTurnos[turno],tblTurnos[hora_fin],"")</f>
        <v/>
      </c>
      <c r="Q281" s="3">
        <f>IF(AND(LEFT(tblAsignaciones[[#This Row],[posicion_ciclo]],1)="T",tblAsignaciones[[#This Row],[en_vacaciones]]="no"),"sí","no")</f>
        <v/>
      </c>
    </row>
    <row r="282">
      <c r="A282" s="3" t="inlineStr">
        <is>
          <t>2026-S32</t>
        </is>
      </c>
      <c r="B282" s="3" t="inlineStr">
        <is>
          <t>sábado</t>
        </is>
      </c>
      <c r="C282" s="3" t="inlineStr">
        <is>
          <t>Técnico 08</t>
        </is>
      </c>
      <c r="D282" s="3">
        <f>_xlfn.XLOOKUP(tblAsignaciones[[#This Row],[tecnico]],tblTecnicos[nombre],tblTecnicos[area],"")</f>
        <v/>
      </c>
      <c r="E282" s="3">
        <f>_xlfn.XLOOKUP(tblAsignaciones[[#This Row],[tecnico]],tblTecnicos[nombre],tblTecnicos[especialidad],"")</f>
        <v/>
      </c>
      <c r="F282" s="3">
        <f>COUNTIFS(tblTecnicos[rotativo],"SI",tblTecnicos[especialidad],tblAsignaciones[[#This Row],[especialidad]],tblTecnicos[area],tblAsignaciones[[#This Row],[area]])</f>
        <v/>
      </c>
      <c r="G28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2" s="6" t="n"/>
      <c r="J28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2" s="3">
        <f>_xlfn.XLOOKUP(tblAsignaciones[[#This Row],[tecnico]],tblTecnicos[nombre],tblTecnicos[supervisor],"")</f>
        <v/>
      </c>
      <c r="L28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2" s="3">
        <f>tblAsignaciones[[#This Row],[semana]]&amp;"|"&amp;tblAsignaciones[[#This Row],[dia]]&amp;"|"&amp;tblAsignaciones[[#This Row],[tecnico]]</f>
        <v/>
      </c>
      <c r="O282" s="3">
        <f>_xlfn.XLOOKUP(tblAsignaciones[[#This Row],[turno]],tblTurnos[turno],tblTurnos[hora_inicio],"")</f>
        <v/>
      </c>
      <c r="P282" s="3">
        <f>_xlfn.XLOOKUP(tblAsignaciones[[#This Row],[turno]],tblTurnos[turno],tblTurnos[hora_fin],"")</f>
        <v/>
      </c>
      <c r="Q282" s="3">
        <f>IF(AND(LEFT(tblAsignaciones[[#This Row],[posicion_ciclo]],1)="T",tblAsignaciones[[#This Row],[en_vacaciones]]="no"),"sí","no")</f>
        <v/>
      </c>
    </row>
    <row r="283">
      <c r="A283" s="3" t="inlineStr">
        <is>
          <t>2026-S32</t>
        </is>
      </c>
      <c r="B283" s="3" t="inlineStr">
        <is>
          <t>domingo</t>
        </is>
      </c>
      <c r="C283" s="3" t="inlineStr">
        <is>
          <t>Técnico 08</t>
        </is>
      </c>
      <c r="D283" s="3">
        <f>_xlfn.XLOOKUP(tblAsignaciones[[#This Row],[tecnico]],tblTecnicos[nombre],tblTecnicos[area],"")</f>
        <v/>
      </c>
      <c r="E283" s="3">
        <f>_xlfn.XLOOKUP(tblAsignaciones[[#This Row],[tecnico]],tblTecnicos[nombre],tblTecnicos[especialidad],"")</f>
        <v/>
      </c>
      <c r="F283" s="3">
        <f>COUNTIFS(tblTecnicos[rotativo],"SI",tblTecnicos[especialidad],tblAsignaciones[[#This Row],[especialidad]],tblTecnicos[area],tblAsignaciones[[#This Row],[area]])</f>
        <v/>
      </c>
      <c r="G28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3" s="6" t="n"/>
      <c r="J28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3" s="3">
        <f>_xlfn.XLOOKUP(tblAsignaciones[[#This Row],[tecnico]],tblTecnicos[nombre],tblTecnicos[supervisor],"")</f>
        <v/>
      </c>
      <c r="L28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3" s="3">
        <f>tblAsignaciones[[#This Row],[semana]]&amp;"|"&amp;tblAsignaciones[[#This Row],[dia]]&amp;"|"&amp;tblAsignaciones[[#This Row],[tecnico]]</f>
        <v/>
      </c>
      <c r="O283" s="3">
        <f>_xlfn.XLOOKUP(tblAsignaciones[[#This Row],[turno]],tblTurnos[turno],tblTurnos[hora_inicio],"")</f>
        <v/>
      </c>
      <c r="P283" s="3">
        <f>_xlfn.XLOOKUP(tblAsignaciones[[#This Row],[turno]],tblTurnos[turno],tblTurnos[hora_fin],"")</f>
        <v/>
      </c>
      <c r="Q283" s="3">
        <f>IF(AND(LEFT(tblAsignaciones[[#This Row],[posicion_ciclo]],1)="T",tblAsignaciones[[#This Row],[en_vacaciones]]="no"),"sí","no")</f>
        <v/>
      </c>
    </row>
    <row r="284">
      <c r="A284" s="3" t="inlineStr">
        <is>
          <t>2026-S32</t>
        </is>
      </c>
      <c r="B284" s="3" t="inlineStr">
        <is>
          <t>lunes</t>
        </is>
      </c>
      <c r="C284" s="3" t="inlineStr">
        <is>
          <t>Técnico 09</t>
        </is>
      </c>
      <c r="D284" s="3">
        <f>_xlfn.XLOOKUP(tblAsignaciones[[#This Row],[tecnico]],tblTecnicos[nombre],tblTecnicos[area],"")</f>
        <v/>
      </c>
      <c r="E284" s="3">
        <f>_xlfn.XLOOKUP(tblAsignaciones[[#This Row],[tecnico]],tblTecnicos[nombre],tblTecnicos[especialidad],"")</f>
        <v/>
      </c>
      <c r="F284" s="3">
        <f>COUNTIFS(tblTecnicos[rotativo],"SI",tblTecnicos[especialidad],tblAsignaciones[[#This Row],[especialidad]],tblTecnicos[area],tblAsignaciones[[#This Row],[area]])</f>
        <v/>
      </c>
      <c r="G28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4" s="6" t="n"/>
      <c r="J28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4" s="3">
        <f>_xlfn.XLOOKUP(tblAsignaciones[[#This Row],[tecnico]],tblTecnicos[nombre],tblTecnicos[supervisor],"")</f>
        <v/>
      </c>
      <c r="L28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4" s="3">
        <f>tblAsignaciones[[#This Row],[semana]]&amp;"|"&amp;tblAsignaciones[[#This Row],[dia]]&amp;"|"&amp;tblAsignaciones[[#This Row],[tecnico]]</f>
        <v/>
      </c>
      <c r="O284" s="3">
        <f>_xlfn.XLOOKUP(tblAsignaciones[[#This Row],[turno]],tblTurnos[turno],tblTurnos[hora_inicio],"")</f>
        <v/>
      </c>
      <c r="P284" s="3">
        <f>_xlfn.XLOOKUP(tblAsignaciones[[#This Row],[turno]],tblTurnos[turno],tblTurnos[hora_fin],"")</f>
        <v/>
      </c>
      <c r="Q284" s="3">
        <f>IF(AND(LEFT(tblAsignaciones[[#This Row],[posicion_ciclo]],1)="T",tblAsignaciones[[#This Row],[en_vacaciones]]="no"),"sí","no")</f>
        <v/>
      </c>
    </row>
    <row r="285">
      <c r="A285" s="3" t="inlineStr">
        <is>
          <t>2026-S32</t>
        </is>
      </c>
      <c r="B285" s="3" t="inlineStr">
        <is>
          <t>martes</t>
        </is>
      </c>
      <c r="C285" s="3" t="inlineStr">
        <is>
          <t>Técnico 09</t>
        </is>
      </c>
      <c r="D285" s="3">
        <f>_xlfn.XLOOKUP(tblAsignaciones[[#This Row],[tecnico]],tblTecnicos[nombre],tblTecnicos[area],"")</f>
        <v/>
      </c>
      <c r="E285" s="3">
        <f>_xlfn.XLOOKUP(tblAsignaciones[[#This Row],[tecnico]],tblTecnicos[nombre],tblTecnicos[especialidad],"")</f>
        <v/>
      </c>
      <c r="F285" s="3">
        <f>COUNTIFS(tblTecnicos[rotativo],"SI",tblTecnicos[especialidad],tblAsignaciones[[#This Row],[especialidad]],tblTecnicos[area],tblAsignaciones[[#This Row],[area]])</f>
        <v/>
      </c>
      <c r="G28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5" s="6" t="n"/>
      <c r="J28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5" s="3">
        <f>_xlfn.XLOOKUP(tblAsignaciones[[#This Row],[tecnico]],tblTecnicos[nombre],tblTecnicos[supervisor],"")</f>
        <v/>
      </c>
      <c r="L28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5" s="3">
        <f>tblAsignaciones[[#This Row],[semana]]&amp;"|"&amp;tblAsignaciones[[#This Row],[dia]]&amp;"|"&amp;tblAsignaciones[[#This Row],[tecnico]]</f>
        <v/>
      </c>
      <c r="O285" s="3">
        <f>_xlfn.XLOOKUP(tblAsignaciones[[#This Row],[turno]],tblTurnos[turno],tblTurnos[hora_inicio],"")</f>
        <v/>
      </c>
      <c r="P285" s="3">
        <f>_xlfn.XLOOKUP(tblAsignaciones[[#This Row],[turno]],tblTurnos[turno],tblTurnos[hora_fin],"")</f>
        <v/>
      </c>
      <c r="Q285" s="3">
        <f>IF(AND(LEFT(tblAsignaciones[[#This Row],[posicion_ciclo]],1)="T",tblAsignaciones[[#This Row],[en_vacaciones]]="no"),"sí","no")</f>
        <v/>
      </c>
    </row>
    <row r="286">
      <c r="A286" s="3" t="inlineStr">
        <is>
          <t>2026-S32</t>
        </is>
      </c>
      <c r="B286" s="3" t="inlineStr">
        <is>
          <t>miércoles</t>
        </is>
      </c>
      <c r="C286" s="3" t="inlineStr">
        <is>
          <t>Técnico 09</t>
        </is>
      </c>
      <c r="D286" s="3">
        <f>_xlfn.XLOOKUP(tblAsignaciones[[#This Row],[tecnico]],tblTecnicos[nombre],tblTecnicos[area],"")</f>
        <v/>
      </c>
      <c r="E286" s="3">
        <f>_xlfn.XLOOKUP(tblAsignaciones[[#This Row],[tecnico]],tblTecnicos[nombre],tblTecnicos[especialidad],"")</f>
        <v/>
      </c>
      <c r="F286" s="3">
        <f>COUNTIFS(tblTecnicos[rotativo],"SI",tblTecnicos[especialidad],tblAsignaciones[[#This Row],[especialidad]],tblTecnicos[area],tblAsignaciones[[#This Row],[area]])</f>
        <v/>
      </c>
      <c r="G28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6" s="6" t="n"/>
      <c r="J28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6" s="3">
        <f>_xlfn.XLOOKUP(tblAsignaciones[[#This Row],[tecnico]],tblTecnicos[nombre],tblTecnicos[supervisor],"")</f>
        <v/>
      </c>
      <c r="L28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6" s="3">
        <f>tblAsignaciones[[#This Row],[semana]]&amp;"|"&amp;tblAsignaciones[[#This Row],[dia]]&amp;"|"&amp;tblAsignaciones[[#This Row],[tecnico]]</f>
        <v/>
      </c>
      <c r="O286" s="3">
        <f>_xlfn.XLOOKUP(tblAsignaciones[[#This Row],[turno]],tblTurnos[turno],tblTurnos[hora_inicio],"")</f>
        <v/>
      </c>
      <c r="P286" s="3">
        <f>_xlfn.XLOOKUP(tblAsignaciones[[#This Row],[turno]],tblTurnos[turno],tblTurnos[hora_fin],"")</f>
        <v/>
      </c>
      <c r="Q286" s="3">
        <f>IF(AND(LEFT(tblAsignaciones[[#This Row],[posicion_ciclo]],1)="T",tblAsignaciones[[#This Row],[en_vacaciones]]="no"),"sí","no")</f>
        <v/>
      </c>
    </row>
    <row r="287">
      <c r="A287" s="3" t="inlineStr">
        <is>
          <t>2026-S32</t>
        </is>
      </c>
      <c r="B287" s="3" t="inlineStr">
        <is>
          <t>jueves</t>
        </is>
      </c>
      <c r="C287" s="3" t="inlineStr">
        <is>
          <t>Técnico 09</t>
        </is>
      </c>
      <c r="D287" s="3">
        <f>_xlfn.XLOOKUP(tblAsignaciones[[#This Row],[tecnico]],tblTecnicos[nombre],tblTecnicos[area],"")</f>
        <v/>
      </c>
      <c r="E287" s="3">
        <f>_xlfn.XLOOKUP(tblAsignaciones[[#This Row],[tecnico]],tblTecnicos[nombre],tblTecnicos[especialidad],"")</f>
        <v/>
      </c>
      <c r="F287" s="3">
        <f>COUNTIFS(tblTecnicos[rotativo],"SI",tblTecnicos[especialidad],tblAsignaciones[[#This Row],[especialidad]],tblTecnicos[area],tblAsignaciones[[#This Row],[area]])</f>
        <v/>
      </c>
      <c r="G28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7" s="6" t="n"/>
      <c r="J28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7" s="3">
        <f>_xlfn.XLOOKUP(tblAsignaciones[[#This Row],[tecnico]],tblTecnicos[nombre],tblTecnicos[supervisor],"")</f>
        <v/>
      </c>
      <c r="L28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7" s="3">
        <f>tblAsignaciones[[#This Row],[semana]]&amp;"|"&amp;tblAsignaciones[[#This Row],[dia]]&amp;"|"&amp;tblAsignaciones[[#This Row],[tecnico]]</f>
        <v/>
      </c>
      <c r="O287" s="3">
        <f>_xlfn.XLOOKUP(tblAsignaciones[[#This Row],[turno]],tblTurnos[turno],tblTurnos[hora_inicio],"")</f>
        <v/>
      </c>
      <c r="P287" s="3">
        <f>_xlfn.XLOOKUP(tblAsignaciones[[#This Row],[turno]],tblTurnos[turno],tblTurnos[hora_fin],"")</f>
        <v/>
      </c>
      <c r="Q287" s="3">
        <f>IF(AND(LEFT(tblAsignaciones[[#This Row],[posicion_ciclo]],1)="T",tblAsignaciones[[#This Row],[en_vacaciones]]="no"),"sí","no")</f>
        <v/>
      </c>
    </row>
    <row r="288">
      <c r="A288" s="3" t="inlineStr">
        <is>
          <t>2026-S32</t>
        </is>
      </c>
      <c r="B288" s="3" t="inlineStr">
        <is>
          <t>viernes</t>
        </is>
      </c>
      <c r="C288" s="3" t="inlineStr">
        <is>
          <t>Técnico 09</t>
        </is>
      </c>
      <c r="D288" s="3">
        <f>_xlfn.XLOOKUP(tblAsignaciones[[#This Row],[tecnico]],tblTecnicos[nombre],tblTecnicos[area],"")</f>
        <v/>
      </c>
      <c r="E288" s="3">
        <f>_xlfn.XLOOKUP(tblAsignaciones[[#This Row],[tecnico]],tblTecnicos[nombre],tblTecnicos[especialidad],"")</f>
        <v/>
      </c>
      <c r="F288" s="3">
        <f>COUNTIFS(tblTecnicos[rotativo],"SI",tblTecnicos[especialidad],tblAsignaciones[[#This Row],[especialidad]],tblTecnicos[area],tblAsignaciones[[#This Row],[area]])</f>
        <v/>
      </c>
      <c r="G28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8" s="6" t="n"/>
      <c r="J28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8" s="3">
        <f>_xlfn.XLOOKUP(tblAsignaciones[[#This Row],[tecnico]],tblTecnicos[nombre],tblTecnicos[supervisor],"")</f>
        <v/>
      </c>
      <c r="L28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8" s="3">
        <f>tblAsignaciones[[#This Row],[semana]]&amp;"|"&amp;tblAsignaciones[[#This Row],[dia]]&amp;"|"&amp;tblAsignaciones[[#This Row],[tecnico]]</f>
        <v/>
      </c>
      <c r="O288" s="3">
        <f>_xlfn.XLOOKUP(tblAsignaciones[[#This Row],[turno]],tblTurnos[turno],tblTurnos[hora_inicio],"")</f>
        <v/>
      </c>
      <c r="P288" s="3">
        <f>_xlfn.XLOOKUP(tblAsignaciones[[#This Row],[turno]],tblTurnos[turno],tblTurnos[hora_fin],"")</f>
        <v/>
      </c>
      <c r="Q288" s="3">
        <f>IF(AND(LEFT(tblAsignaciones[[#This Row],[posicion_ciclo]],1)="T",tblAsignaciones[[#This Row],[en_vacaciones]]="no"),"sí","no")</f>
        <v/>
      </c>
    </row>
    <row r="289">
      <c r="A289" s="3" t="inlineStr">
        <is>
          <t>2026-S32</t>
        </is>
      </c>
      <c r="B289" s="3" t="inlineStr">
        <is>
          <t>sábado</t>
        </is>
      </c>
      <c r="C289" s="3" t="inlineStr">
        <is>
          <t>Técnico 09</t>
        </is>
      </c>
      <c r="D289" s="3">
        <f>_xlfn.XLOOKUP(tblAsignaciones[[#This Row],[tecnico]],tblTecnicos[nombre],tblTecnicos[area],"")</f>
        <v/>
      </c>
      <c r="E289" s="3">
        <f>_xlfn.XLOOKUP(tblAsignaciones[[#This Row],[tecnico]],tblTecnicos[nombre],tblTecnicos[especialidad],"")</f>
        <v/>
      </c>
      <c r="F289" s="3">
        <f>COUNTIFS(tblTecnicos[rotativo],"SI",tblTecnicos[especialidad],tblAsignaciones[[#This Row],[especialidad]],tblTecnicos[area],tblAsignaciones[[#This Row],[area]])</f>
        <v/>
      </c>
      <c r="G28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9" s="6" t="n"/>
      <c r="J28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9" s="3">
        <f>_xlfn.XLOOKUP(tblAsignaciones[[#This Row],[tecnico]],tblTecnicos[nombre],tblTecnicos[supervisor],"")</f>
        <v/>
      </c>
      <c r="L28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9" s="3">
        <f>tblAsignaciones[[#This Row],[semana]]&amp;"|"&amp;tblAsignaciones[[#This Row],[dia]]&amp;"|"&amp;tblAsignaciones[[#This Row],[tecnico]]</f>
        <v/>
      </c>
      <c r="O289" s="3">
        <f>_xlfn.XLOOKUP(tblAsignaciones[[#This Row],[turno]],tblTurnos[turno],tblTurnos[hora_inicio],"")</f>
        <v/>
      </c>
      <c r="P289" s="3">
        <f>_xlfn.XLOOKUP(tblAsignaciones[[#This Row],[turno]],tblTurnos[turno],tblTurnos[hora_fin],"")</f>
        <v/>
      </c>
      <c r="Q289" s="3">
        <f>IF(AND(LEFT(tblAsignaciones[[#This Row],[posicion_ciclo]],1)="T",tblAsignaciones[[#This Row],[en_vacaciones]]="no"),"sí","no")</f>
        <v/>
      </c>
    </row>
    <row r="290">
      <c r="A290" s="3" t="inlineStr">
        <is>
          <t>2026-S32</t>
        </is>
      </c>
      <c r="B290" s="3" t="inlineStr">
        <is>
          <t>domingo</t>
        </is>
      </c>
      <c r="C290" s="3" t="inlineStr">
        <is>
          <t>Técnico 09</t>
        </is>
      </c>
      <c r="D290" s="3">
        <f>_xlfn.XLOOKUP(tblAsignaciones[[#This Row],[tecnico]],tblTecnicos[nombre],tblTecnicos[area],"")</f>
        <v/>
      </c>
      <c r="E290" s="3">
        <f>_xlfn.XLOOKUP(tblAsignaciones[[#This Row],[tecnico]],tblTecnicos[nombre],tblTecnicos[especialidad],"")</f>
        <v/>
      </c>
      <c r="F290" s="3">
        <f>COUNTIFS(tblTecnicos[rotativo],"SI",tblTecnicos[especialidad],tblAsignaciones[[#This Row],[especialidad]],tblTecnicos[area],tblAsignaciones[[#This Row],[area]])</f>
        <v/>
      </c>
      <c r="G29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0" s="6" t="n"/>
      <c r="J29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0" s="3">
        <f>_xlfn.XLOOKUP(tblAsignaciones[[#This Row],[tecnico]],tblTecnicos[nombre],tblTecnicos[supervisor],"")</f>
        <v/>
      </c>
      <c r="L29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0" s="3">
        <f>tblAsignaciones[[#This Row],[semana]]&amp;"|"&amp;tblAsignaciones[[#This Row],[dia]]&amp;"|"&amp;tblAsignaciones[[#This Row],[tecnico]]</f>
        <v/>
      </c>
      <c r="O290" s="3">
        <f>_xlfn.XLOOKUP(tblAsignaciones[[#This Row],[turno]],tblTurnos[turno],tblTurnos[hora_inicio],"")</f>
        <v/>
      </c>
      <c r="P290" s="3">
        <f>_xlfn.XLOOKUP(tblAsignaciones[[#This Row],[turno]],tblTurnos[turno],tblTurnos[hora_fin],"")</f>
        <v/>
      </c>
      <c r="Q290" s="3">
        <f>IF(AND(LEFT(tblAsignaciones[[#This Row],[posicion_ciclo]],1)="T",tblAsignaciones[[#This Row],[en_vacaciones]]="no"),"sí","no")</f>
        <v/>
      </c>
    </row>
    <row r="291">
      <c r="A291" s="3" t="inlineStr">
        <is>
          <t>2026-S32</t>
        </is>
      </c>
      <c r="B291" s="3" t="inlineStr">
        <is>
          <t>lunes</t>
        </is>
      </c>
      <c r="C291" s="3" t="inlineStr">
        <is>
          <t>Técnico 10</t>
        </is>
      </c>
      <c r="D291" s="3">
        <f>_xlfn.XLOOKUP(tblAsignaciones[[#This Row],[tecnico]],tblTecnicos[nombre],tblTecnicos[area],"")</f>
        <v/>
      </c>
      <c r="E291" s="3">
        <f>_xlfn.XLOOKUP(tblAsignaciones[[#This Row],[tecnico]],tblTecnicos[nombre],tblTecnicos[especialidad],"")</f>
        <v/>
      </c>
      <c r="F291" s="3">
        <f>COUNTIFS(tblTecnicos[rotativo],"SI",tblTecnicos[especialidad],tblAsignaciones[[#This Row],[especialidad]],tblTecnicos[area],tblAsignaciones[[#This Row],[area]])</f>
        <v/>
      </c>
      <c r="G29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1" s="6" t="n"/>
      <c r="J29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1" s="3">
        <f>_xlfn.XLOOKUP(tblAsignaciones[[#This Row],[tecnico]],tblTecnicos[nombre],tblTecnicos[supervisor],"")</f>
        <v/>
      </c>
      <c r="L29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1" s="3">
        <f>tblAsignaciones[[#This Row],[semana]]&amp;"|"&amp;tblAsignaciones[[#This Row],[dia]]&amp;"|"&amp;tblAsignaciones[[#This Row],[tecnico]]</f>
        <v/>
      </c>
      <c r="O291" s="3">
        <f>_xlfn.XLOOKUP(tblAsignaciones[[#This Row],[turno]],tblTurnos[turno],tblTurnos[hora_inicio],"")</f>
        <v/>
      </c>
      <c r="P291" s="3">
        <f>_xlfn.XLOOKUP(tblAsignaciones[[#This Row],[turno]],tblTurnos[turno],tblTurnos[hora_fin],"")</f>
        <v/>
      </c>
      <c r="Q291" s="3">
        <f>IF(AND(LEFT(tblAsignaciones[[#This Row],[posicion_ciclo]],1)="T",tblAsignaciones[[#This Row],[en_vacaciones]]="no"),"sí","no")</f>
        <v/>
      </c>
    </row>
    <row r="292">
      <c r="A292" s="3" t="inlineStr">
        <is>
          <t>2026-S32</t>
        </is>
      </c>
      <c r="B292" s="3" t="inlineStr">
        <is>
          <t>martes</t>
        </is>
      </c>
      <c r="C292" s="3" t="inlineStr">
        <is>
          <t>Técnico 10</t>
        </is>
      </c>
      <c r="D292" s="3">
        <f>_xlfn.XLOOKUP(tblAsignaciones[[#This Row],[tecnico]],tblTecnicos[nombre],tblTecnicos[area],"")</f>
        <v/>
      </c>
      <c r="E292" s="3">
        <f>_xlfn.XLOOKUP(tblAsignaciones[[#This Row],[tecnico]],tblTecnicos[nombre],tblTecnicos[especialidad],"")</f>
        <v/>
      </c>
      <c r="F292" s="3">
        <f>COUNTIFS(tblTecnicos[rotativo],"SI",tblTecnicos[especialidad],tblAsignaciones[[#This Row],[especialidad]],tblTecnicos[area],tblAsignaciones[[#This Row],[area]])</f>
        <v/>
      </c>
      <c r="G29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2" s="6" t="n"/>
      <c r="J29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2" s="3">
        <f>_xlfn.XLOOKUP(tblAsignaciones[[#This Row],[tecnico]],tblTecnicos[nombre],tblTecnicos[supervisor],"")</f>
        <v/>
      </c>
      <c r="L29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2" s="3">
        <f>tblAsignaciones[[#This Row],[semana]]&amp;"|"&amp;tblAsignaciones[[#This Row],[dia]]&amp;"|"&amp;tblAsignaciones[[#This Row],[tecnico]]</f>
        <v/>
      </c>
      <c r="O292" s="3">
        <f>_xlfn.XLOOKUP(tblAsignaciones[[#This Row],[turno]],tblTurnos[turno],tblTurnos[hora_inicio],"")</f>
        <v/>
      </c>
      <c r="P292" s="3">
        <f>_xlfn.XLOOKUP(tblAsignaciones[[#This Row],[turno]],tblTurnos[turno],tblTurnos[hora_fin],"")</f>
        <v/>
      </c>
      <c r="Q292" s="3">
        <f>IF(AND(LEFT(tblAsignaciones[[#This Row],[posicion_ciclo]],1)="T",tblAsignaciones[[#This Row],[en_vacaciones]]="no"),"sí","no")</f>
        <v/>
      </c>
    </row>
    <row r="293">
      <c r="A293" s="3" t="inlineStr">
        <is>
          <t>2026-S32</t>
        </is>
      </c>
      <c r="B293" s="3" t="inlineStr">
        <is>
          <t>miércoles</t>
        </is>
      </c>
      <c r="C293" s="3" t="inlineStr">
        <is>
          <t>Técnico 10</t>
        </is>
      </c>
      <c r="D293" s="3">
        <f>_xlfn.XLOOKUP(tblAsignaciones[[#This Row],[tecnico]],tblTecnicos[nombre],tblTecnicos[area],"")</f>
        <v/>
      </c>
      <c r="E293" s="3">
        <f>_xlfn.XLOOKUP(tblAsignaciones[[#This Row],[tecnico]],tblTecnicos[nombre],tblTecnicos[especialidad],"")</f>
        <v/>
      </c>
      <c r="F293" s="3">
        <f>COUNTIFS(tblTecnicos[rotativo],"SI",tblTecnicos[especialidad],tblAsignaciones[[#This Row],[especialidad]],tblTecnicos[area],tblAsignaciones[[#This Row],[area]])</f>
        <v/>
      </c>
      <c r="G29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3" s="6" t="n"/>
      <c r="J29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3" s="3">
        <f>_xlfn.XLOOKUP(tblAsignaciones[[#This Row],[tecnico]],tblTecnicos[nombre],tblTecnicos[supervisor],"")</f>
        <v/>
      </c>
      <c r="L29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3" s="3">
        <f>tblAsignaciones[[#This Row],[semana]]&amp;"|"&amp;tblAsignaciones[[#This Row],[dia]]&amp;"|"&amp;tblAsignaciones[[#This Row],[tecnico]]</f>
        <v/>
      </c>
      <c r="O293" s="3">
        <f>_xlfn.XLOOKUP(tblAsignaciones[[#This Row],[turno]],tblTurnos[turno],tblTurnos[hora_inicio],"")</f>
        <v/>
      </c>
      <c r="P293" s="3">
        <f>_xlfn.XLOOKUP(tblAsignaciones[[#This Row],[turno]],tblTurnos[turno],tblTurnos[hora_fin],"")</f>
        <v/>
      </c>
      <c r="Q293" s="3">
        <f>IF(AND(LEFT(tblAsignaciones[[#This Row],[posicion_ciclo]],1)="T",tblAsignaciones[[#This Row],[en_vacaciones]]="no"),"sí","no")</f>
        <v/>
      </c>
    </row>
    <row r="294">
      <c r="A294" s="3" t="inlineStr">
        <is>
          <t>2026-S32</t>
        </is>
      </c>
      <c r="B294" s="3" t="inlineStr">
        <is>
          <t>jueves</t>
        </is>
      </c>
      <c r="C294" s="3" t="inlineStr">
        <is>
          <t>Técnico 10</t>
        </is>
      </c>
      <c r="D294" s="3">
        <f>_xlfn.XLOOKUP(tblAsignaciones[[#This Row],[tecnico]],tblTecnicos[nombre],tblTecnicos[area],"")</f>
        <v/>
      </c>
      <c r="E294" s="3">
        <f>_xlfn.XLOOKUP(tblAsignaciones[[#This Row],[tecnico]],tblTecnicos[nombre],tblTecnicos[especialidad],"")</f>
        <v/>
      </c>
      <c r="F294" s="3">
        <f>COUNTIFS(tblTecnicos[rotativo],"SI",tblTecnicos[especialidad],tblAsignaciones[[#This Row],[especialidad]],tblTecnicos[area],tblAsignaciones[[#This Row],[area]])</f>
        <v/>
      </c>
      <c r="G29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4" s="6" t="n"/>
      <c r="J29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4" s="3">
        <f>_xlfn.XLOOKUP(tblAsignaciones[[#This Row],[tecnico]],tblTecnicos[nombre],tblTecnicos[supervisor],"")</f>
        <v/>
      </c>
      <c r="L29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4" s="3">
        <f>tblAsignaciones[[#This Row],[semana]]&amp;"|"&amp;tblAsignaciones[[#This Row],[dia]]&amp;"|"&amp;tblAsignaciones[[#This Row],[tecnico]]</f>
        <v/>
      </c>
      <c r="O294" s="3">
        <f>_xlfn.XLOOKUP(tblAsignaciones[[#This Row],[turno]],tblTurnos[turno],tblTurnos[hora_inicio],"")</f>
        <v/>
      </c>
      <c r="P294" s="3">
        <f>_xlfn.XLOOKUP(tblAsignaciones[[#This Row],[turno]],tblTurnos[turno],tblTurnos[hora_fin],"")</f>
        <v/>
      </c>
      <c r="Q294" s="3">
        <f>IF(AND(LEFT(tblAsignaciones[[#This Row],[posicion_ciclo]],1)="T",tblAsignaciones[[#This Row],[en_vacaciones]]="no"),"sí","no")</f>
        <v/>
      </c>
    </row>
    <row r="295">
      <c r="A295" s="3" t="inlineStr">
        <is>
          <t>2026-S32</t>
        </is>
      </c>
      <c r="B295" s="3" t="inlineStr">
        <is>
          <t>viernes</t>
        </is>
      </c>
      <c r="C295" s="3" t="inlineStr">
        <is>
          <t>Técnico 10</t>
        </is>
      </c>
      <c r="D295" s="3">
        <f>_xlfn.XLOOKUP(tblAsignaciones[[#This Row],[tecnico]],tblTecnicos[nombre],tblTecnicos[area],"")</f>
        <v/>
      </c>
      <c r="E295" s="3">
        <f>_xlfn.XLOOKUP(tblAsignaciones[[#This Row],[tecnico]],tblTecnicos[nombre],tblTecnicos[especialidad],"")</f>
        <v/>
      </c>
      <c r="F295" s="3">
        <f>COUNTIFS(tblTecnicos[rotativo],"SI",tblTecnicos[especialidad],tblAsignaciones[[#This Row],[especialidad]],tblTecnicos[area],tblAsignaciones[[#This Row],[area]])</f>
        <v/>
      </c>
      <c r="G29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5" s="6" t="n"/>
      <c r="J29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5" s="3">
        <f>_xlfn.XLOOKUP(tblAsignaciones[[#This Row],[tecnico]],tblTecnicos[nombre],tblTecnicos[supervisor],"")</f>
        <v/>
      </c>
      <c r="L29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5" s="3">
        <f>tblAsignaciones[[#This Row],[semana]]&amp;"|"&amp;tblAsignaciones[[#This Row],[dia]]&amp;"|"&amp;tblAsignaciones[[#This Row],[tecnico]]</f>
        <v/>
      </c>
      <c r="O295" s="3">
        <f>_xlfn.XLOOKUP(tblAsignaciones[[#This Row],[turno]],tblTurnos[turno],tblTurnos[hora_inicio],"")</f>
        <v/>
      </c>
      <c r="P295" s="3">
        <f>_xlfn.XLOOKUP(tblAsignaciones[[#This Row],[turno]],tblTurnos[turno],tblTurnos[hora_fin],"")</f>
        <v/>
      </c>
      <c r="Q295" s="3">
        <f>IF(AND(LEFT(tblAsignaciones[[#This Row],[posicion_ciclo]],1)="T",tblAsignaciones[[#This Row],[en_vacaciones]]="no"),"sí","no")</f>
        <v/>
      </c>
    </row>
    <row r="296">
      <c r="A296" s="3" t="inlineStr">
        <is>
          <t>2026-S32</t>
        </is>
      </c>
      <c r="B296" s="3" t="inlineStr">
        <is>
          <t>sábado</t>
        </is>
      </c>
      <c r="C296" s="3" t="inlineStr">
        <is>
          <t>Técnico 10</t>
        </is>
      </c>
      <c r="D296" s="3">
        <f>_xlfn.XLOOKUP(tblAsignaciones[[#This Row],[tecnico]],tblTecnicos[nombre],tblTecnicos[area],"")</f>
        <v/>
      </c>
      <c r="E296" s="3">
        <f>_xlfn.XLOOKUP(tblAsignaciones[[#This Row],[tecnico]],tblTecnicos[nombre],tblTecnicos[especialidad],"")</f>
        <v/>
      </c>
      <c r="F296" s="3">
        <f>COUNTIFS(tblTecnicos[rotativo],"SI",tblTecnicos[especialidad],tblAsignaciones[[#This Row],[especialidad]],tblTecnicos[area],tblAsignaciones[[#This Row],[area]])</f>
        <v/>
      </c>
      <c r="G29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6" s="6" t="n"/>
      <c r="J29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6" s="3">
        <f>_xlfn.XLOOKUP(tblAsignaciones[[#This Row],[tecnico]],tblTecnicos[nombre],tblTecnicos[supervisor],"")</f>
        <v/>
      </c>
      <c r="L29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6" s="3">
        <f>tblAsignaciones[[#This Row],[semana]]&amp;"|"&amp;tblAsignaciones[[#This Row],[dia]]&amp;"|"&amp;tblAsignaciones[[#This Row],[tecnico]]</f>
        <v/>
      </c>
      <c r="O296" s="3">
        <f>_xlfn.XLOOKUP(tblAsignaciones[[#This Row],[turno]],tblTurnos[turno],tblTurnos[hora_inicio],"")</f>
        <v/>
      </c>
      <c r="P296" s="3">
        <f>_xlfn.XLOOKUP(tblAsignaciones[[#This Row],[turno]],tblTurnos[turno],tblTurnos[hora_fin],"")</f>
        <v/>
      </c>
      <c r="Q296" s="3">
        <f>IF(AND(LEFT(tblAsignaciones[[#This Row],[posicion_ciclo]],1)="T",tblAsignaciones[[#This Row],[en_vacaciones]]="no"),"sí","no")</f>
        <v/>
      </c>
    </row>
    <row r="297">
      <c r="A297" s="3" t="inlineStr">
        <is>
          <t>2026-S32</t>
        </is>
      </c>
      <c r="B297" s="3" t="inlineStr">
        <is>
          <t>domingo</t>
        </is>
      </c>
      <c r="C297" s="3" t="inlineStr">
        <is>
          <t>Técnico 10</t>
        </is>
      </c>
      <c r="D297" s="3">
        <f>_xlfn.XLOOKUP(tblAsignaciones[[#This Row],[tecnico]],tblTecnicos[nombre],tblTecnicos[area],"")</f>
        <v/>
      </c>
      <c r="E297" s="3">
        <f>_xlfn.XLOOKUP(tblAsignaciones[[#This Row],[tecnico]],tblTecnicos[nombre],tblTecnicos[especialidad],"")</f>
        <v/>
      </c>
      <c r="F297" s="3">
        <f>COUNTIFS(tblTecnicos[rotativo],"SI",tblTecnicos[especialidad],tblAsignaciones[[#This Row],[especialidad]],tblTecnicos[area],tblAsignaciones[[#This Row],[area]])</f>
        <v/>
      </c>
      <c r="G29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7" s="6" t="n"/>
      <c r="J29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7" s="3">
        <f>_xlfn.XLOOKUP(tblAsignaciones[[#This Row],[tecnico]],tblTecnicos[nombre],tblTecnicos[supervisor],"")</f>
        <v/>
      </c>
      <c r="L29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7" s="3">
        <f>tblAsignaciones[[#This Row],[semana]]&amp;"|"&amp;tblAsignaciones[[#This Row],[dia]]&amp;"|"&amp;tblAsignaciones[[#This Row],[tecnico]]</f>
        <v/>
      </c>
      <c r="O297" s="3">
        <f>_xlfn.XLOOKUP(tblAsignaciones[[#This Row],[turno]],tblTurnos[turno],tblTurnos[hora_inicio],"")</f>
        <v/>
      </c>
      <c r="P297" s="3">
        <f>_xlfn.XLOOKUP(tblAsignaciones[[#This Row],[turno]],tblTurnos[turno],tblTurnos[hora_fin],"")</f>
        <v/>
      </c>
      <c r="Q297" s="3">
        <f>IF(AND(LEFT(tblAsignaciones[[#This Row],[posicion_ciclo]],1)="T",tblAsignaciones[[#This Row],[en_vacaciones]]="no"),"sí","no")</f>
        <v/>
      </c>
    </row>
    <row r="298">
      <c r="A298" s="3" t="inlineStr">
        <is>
          <t>2026-S32</t>
        </is>
      </c>
      <c r="B298" s="3" t="inlineStr">
        <is>
          <t>lunes</t>
        </is>
      </c>
      <c r="C298" s="3" t="inlineStr">
        <is>
          <t>Técnico 11</t>
        </is>
      </c>
      <c r="D298" s="3">
        <f>_xlfn.XLOOKUP(tblAsignaciones[[#This Row],[tecnico]],tblTecnicos[nombre],tblTecnicos[area],"")</f>
        <v/>
      </c>
      <c r="E298" s="3">
        <f>_xlfn.XLOOKUP(tblAsignaciones[[#This Row],[tecnico]],tblTecnicos[nombre],tblTecnicos[especialidad],"")</f>
        <v/>
      </c>
      <c r="F298" s="3">
        <f>COUNTIFS(tblTecnicos[rotativo],"SI",tblTecnicos[especialidad],tblAsignaciones[[#This Row],[especialidad]],tblTecnicos[area],tblAsignaciones[[#This Row],[area]])</f>
        <v/>
      </c>
      <c r="G29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8" s="6" t="n"/>
      <c r="J29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8" s="3">
        <f>_xlfn.XLOOKUP(tblAsignaciones[[#This Row],[tecnico]],tblTecnicos[nombre],tblTecnicos[supervisor],"")</f>
        <v/>
      </c>
      <c r="L29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8" s="3">
        <f>tblAsignaciones[[#This Row],[semana]]&amp;"|"&amp;tblAsignaciones[[#This Row],[dia]]&amp;"|"&amp;tblAsignaciones[[#This Row],[tecnico]]</f>
        <v/>
      </c>
      <c r="O298" s="3">
        <f>_xlfn.XLOOKUP(tblAsignaciones[[#This Row],[turno]],tblTurnos[turno],tblTurnos[hora_inicio],"")</f>
        <v/>
      </c>
      <c r="P298" s="3">
        <f>_xlfn.XLOOKUP(tblAsignaciones[[#This Row],[turno]],tblTurnos[turno],tblTurnos[hora_fin],"")</f>
        <v/>
      </c>
      <c r="Q298" s="3">
        <f>IF(AND(LEFT(tblAsignaciones[[#This Row],[posicion_ciclo]],1)="T",tblAsignaciones[[#This Row],[en_vacaciones]]="no"),"sí","no")</f>
        <v/>
      </c>
    </row>
    <row r="299">
      <c r="A299" s="3" t="inlineStr">
        <is>
          <t>2026-S32</t>
        </is>
      </c>
      <c r="B299" s="3" t="inlineStr">
        <is>
          <t>martes</t>
        </is>
      </c>
      <c r="C299" s="3" t="inlineStr">
        <is>
          <t>Técnico 11</t>
        </is>
      </c>
      <c r="D299" s="3">
        <f>_xlfn.XLOOKUP(tblAsignaciones[[#This Row],[tecnico]],tblTecnicos[nombre],tblTecnicos[area],"")</f>
        <v/>
      </c>
      <c r="E299" s="3">
        <f>_xlfn.XLOOKUP(tblAsignaciones[[#This Row],[tecnico]],tblTecnicos[nombre],tblTecnicos[especialidad],"")</f>
        <v/>
      </c>
      <c r="F299" s="3">
        <f>COUNTIFS(tblTecnicos[rotativo],"SI",tblTecnicos[especialidad],tblAsignaciones[[#This Row],[especialidad]],tblTecnicos[area],tblAsignaciones[[#This Row],[area]])</f>
        <v/>
      </c>
      <c r="G29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9" s="6" t="n"/>
      <c r="J29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9" s="3">
        <f>_xlfn.XLOOKUP(tblAsignaciones[[#This Row],[tecnico]],tblTecnicos[nombre],tblTecnicos[supervisor],"")</f>
        <v/>
      </c>
      <c r="L29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9" s="3">
        <f>tblAsignaciones[[#This Row],[semana]]&amp;"|"&amp;tblAsignaciones[[#This Row],[dia]]&amp;"|"&amp;tblAsignaciones[[#This Row],[tecnico]]</f>
        <v/>
      </c>
      <c r="O299" s="3">
        <f>_xlfn.XLOOKUP(tblAsignaciones[[#This Row],[turno]],tblTurnos[turno],tblTurnos[hora_inicio],"")</f>
        <v/>
      </c>
      <c r="P299" s="3">
        <f>_xlfn.XLOOKUP(tblAsignaciones[[#This Row],[turno]],tblTurnos[turno],tblTurnos[hora_fin],"")</f>
        <v/>
      </c>
      <c r="Q299" s="3">
        <f>IF(AND(LEFT(tblAsignaciones[[#This Row],[posicion_ciclo]],1)="T",tblAsignaciones[[#This Row],[en_vacaciones]]="no"),"sí","no")</f>
        <v/>
      </c>
    </row>
    <row r="300">
      <c r="A300" s="3" t="inlineStr">
        <is>
          <t>2026-S32</t>
        </is>
      </c>
      <c r="B300" s="3" t="inlineStr">
        <is>
          <t>miércoles</t>
        </is>
      </c>
      <c r="C300" s="3" t="inlineStr">
        <is>
          <t>Técnico 11</t>
        </is>
      </c>
      <c r="D300" s="3">
        <f>_xlfn.XLOOKUP(tblAsignaciones[[#This Row],[tecnico]],tblTecnicos[nombre],tblTecnicos[area],"")</f>
        <v/>
      </c>
      <c r="E300" s="3">
        <f>_xlfn.XLOOKUP(tblAsignaciones[[#This Row],[tecnico]],tblTecnicos[nombre],tblTecnicos[especialidad],"")</f>
        <v/>
      </c>
      <c r="F300" s="3">
        <f>COUNTIFS(tblTecnicos[rotativo],"SI",tblTecnicos[especialidad],tblAsignaciones[[#This Row],[especialidad]],tblTecnicos[area],tblAsignaciones[[#This Row],[area]])</f>
        <v/>
      </c>
      <c r="G30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0" s="6" t="n"/>
      <c r="J30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0" s="3">
        <f>_xlfn.XLOOKUP(tblAsignaciones[[#This Row],[tecnico]],tblTecnicos[nombre],tblTecnicos[supervisor],"")</f>
        <v/>
      </c>
      <c r="L30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0" s="3">
        <f>tblAsignaciones[[#This Row],[semana]]&amp;"|"&amp;tblAsignaciones[[#This Row],[dia]]&amp;"|"&amp;tblAsignaciones[[#This Row],[tecnico]]</f>
        <v/>
      </c>
      <c r="O300" s="3">
        <f>_xlfn.XLOOKUP(tblAsignaciones[[#This Row],[turno]],tblTurnos[turno],tblTurnos[hora_inicio],"")</f>
        <v/>
      </c>
      <c r="P300" s="3">
        <f>_xlfn.XLOOKUP(tblAsignaciones[[#This Row],[turno]],tblTurnos[turno],tblTurnos[hora_fin],"")</f>
        <v/>
      </c>
      <c r="Q300" s="3">
        <f>IF(AND(LEFT(tblAsignaciones[[#This Row],[posicion_ciclo]],1)="T",tblAsignaciones[[#This Row],[en_vacaciones]]="no"),"sí","no")</f>
        <v/>
      </c>
    </row>
    <row r="301">
      <c r="A301" s="3" t="inlineStr">
        <is>
          <t>2026-S32</t>
        </is>
      </c>
      <c r="B301" s="3" t="inlineStr">
        <is>
          <t>jueves</t>
        </is>
      </c>
      <c r="C301" s="3" t="inlineStr">
        <is>
          <t>Técnico 11</t>
        </is>
      </c>
      <c r="D301" s="3">
        <f>_xlfn.XLOOKUP(tblAsignaciones[[#This Row],[tecnico]],tblTecnicos[nombre],tblTecnicos[area],"")</f>
        <v/>
      </c>
      <c r="E301" s="3">
        <f>_xlfn.XLOOKUP(tblAsignaciones[[#This Row],[tecnico]],tblTecnicos[nombre],tblTecnicos[especialidad],"")</f>
        <v/>
      </c>
      <c r="F301" s="3">
        <f>COUNTIFS(tblTecnicos[rotativo],"SI",tblTecnicos[especialidad],tblAsignaciones[[#This Row],[especialidad]],tblTecnicos[area],tblAsignaciones[[#This Row],[area]])</f>
        <v/>
      </c>
      <c r="G30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1" s="6" t="n"/>
      <c r="J30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1" s="3">
        <f>_xlfn.XLOOKUP(tblAsignaciones[[#This Row],[tecnico]],tblTecnicos[nombre],tblTecnicos[supervisor],"")</f>
        <v/>
      </c>
      <c r="L30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1" s="3">
        <f>tblAsignaciones[[#This Row],[semana]]&amp;"|"&amp;tblAsignaciones[[#This Row],[dia]]&amp;"|"&amp;tblAsignaciones[[#This Row],[tecnico]]</f>
        <v/>
      </c>
      <c r="O301" s="3">
        <f>_xlfn.XLOOKUP(tblAsignaciones[[#This Row],[turno]],tblTurnos[turno],tblTurnos[hora_inicio],"")</f>
        <v/>
      </c>
      <c r="P301" s="3">
        <f>_xlfn.XLOOKUP(tblAsignaciones[[#This Row],[turno]],tblTurnos[turno],tblTurnos[hora_fin],"")</f>
        <v/>
      </c>
      <c r="Q301" s="3">
        <f>IF(AND(LEFT(tblAsignaciones[[#This Row],[posicion_ciclo]],1)="T",tblAsignaciones[[#This Row],[en_vacaciones]]="no"),"sí","no")</f>
        <v/>
      </c>
    </row>
    <row r="302">
      <c r="A302" s="3" t="inlineStr">
        <is>
          <t>2026-S32</t>
        </is>
      </c>
      <c r="B302" s="3" t="inlineStr">
        <is>
          <t>viernes</t>
        </is>
      </c>
      <c r="C302" s="3" t="inlineStr">
        <is>
          <t>Técnico 11</t>
        </is>
      </c>
      <c r="D302" s="3">
        <f>_xlfn.XLOOKUP(tblAsignaciones[[#This Row],[tecnico]],tblTecnicos[nombre],tblTecnicos[area],"")</f>
        <v/>
      </c>
      <c r="E302" s="3">
        <f>_xlfn.XLOOKUP(tblAsignaciones[[#This Row],[tecnico]],tblTecnicos[nombre],tblTecnicos[especialidad],"")</f>
        <v/>
      </c>
      <c r="F302" s="3">
        <f>COUNTIFS(tblTecnicos[rotativo],"SI",tblTecnicos[especialidad],tblAsignaciones[[#This Row],[especialidad]],tblTecnicos[area],tblAsignaciones[[#This Row],[area]])</f>
        <v/>
      </c>
      <c r="G30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2" s="6" t="n"/>
      <c r="J30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2" s="3">
        <f>_xlfn.XLOOKUP(tblAsignaciones[[#This Row],[tecnico]],tblTecnicos[nombre],tblTecnicos[supervisor],"")</f>
        <v/>
      </c>
      <c r="L30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2" s="3">
        <f>tblAsignaciones[[#This Row],[semana]]&amp;"|"&amp;tblAsignaciones[[#This Row],[dia]]&amp;"|"&amp;tblAsignaciones[[#This Row],[tecnico]]</f>
        <v/>
      </c>
      <c r="O302" s="3">
        <f>_xlfn.XLOOKUP(tblAsignaciones[[#This Row],[turno]],tblTurnos[turno],tblTurnos[hora_inicio],"")</f>
        <v/>
      </c>
      <c r="P302" s="3">
        <f>_xlfn.XLOOKUP(tblAsignaciones[[#This Row],[turno]],tblTurnos[turno],tblTurnos[hora_fin],"")</f>
        <v/>
      </c>
      <c r="Q302" s="3">
        <f>IF(AND(LEFT(tblAsignaciones[[#This Row],[posicion_ciclo]],1)="T",tblAsignaciones[[#This Row],[en_vacaciones]]="no"),"sí","no")</f>
        <v/>
      </c>
    </row>
    <row r="303">
      <c r="A303" s="3" t="inlineStr">
        <is>
          <t>2026-S32</t>
        </is>
      </c>
      <c r="B303" s="3" t="inlineStr">
        <is>
          <t>sábado</t>
        </is>
      </c>
      <c r="C303" s="3" t="inlineStr">
        <is>
          <t>Técnico 11</t>
        </is>
      </c>
      <c r="D303" s="3">
        <f>_xlfn.XLOOKUP(tblAsignaciones[[#This Row],[tecnico]],tblTecnicos[nombre],tblTecnicos[area],"")</f>
        <v/>
      </c>
      <c r="E303" s="3">
        <f>_xlfn.XLOOKUP(tblAsignaciones[[#This Row],[tecnico]],tblTecnicos[nombre],tblTecnicos[especialidad],"")</f>
        <v/>
      </c>
      <c r="F303" s="3">
        <f>COUNTIFS(tblTecnicos[rotativo],"SI",tblTecnicos[especialidad],tblAsignaciones[[#This Row],[especialidad]],tblTecnicos[area],tblAsignaciones[[#This Row],[area]])</f>
        <v/>
      </c>
      <c r="G30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3" s="6" t="n"/>
      <c r="J30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3" s="3">
        <f>_xlfn.XLOOKUP(tblAsignaciones[[#This Row],[tecnico]],tblTecnicos[nombre],tblTecnicos[supervisor],"")</f>
        <v/>
      </c>
      <c r="L30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3" s="3">
        <f>tblAsignaciones[[#This Row],[semana]]&amp;"|"&amp;tblAsignaciones[[#This Row],[dia]]&amp;"|"&amp;tblAsignaciones[[#This Row],[tecnico]]</f>
        <v/>
      </c>
      <c r="O303" s="3">
        <f>_xlfn.XLOOKUP(tblAsignaciones[[#This Row],[turno]],tblTurnos[turno],tblTurnos[hora_inicio],"")</f>
        <v/>
      </c>
      <c r="P303" s="3">
        <f>_xlfn.XLOOKUP(tblAsignaciones[[#This Row],[turno]],tblTurnos[turno],tblTurnos[hora_fin],"")</f>
        <v/>
      </c>
      <c r="Q303" s="3">
        <f>IF(AND(LEFT(tblAsignaciones[[#This Row],[posicion_ciclo]],1)="T",tblAsignaciones[[#This Row],[en_vacaciones]]="no"),"sí","no")</f>
        <v/>
      </c>
    </row>
    <row r="304">
      <c r="A304" s="3" t="inlineStr">
        <is>
          <t>2026-S32</t>
        </is>
      </c>
      <c r="B304" s="3" t="inlineStr">
        <is>
          <t>domingo</t>
        </is>
      </c>
      <c r="C304" s="3" t="inlineStr">
        <is>
          <t>Técnico 11</t>
        </is>
      </c>
      <c r="D304" s="3">
        <f>_xlfn.XLOOKUP(tblAsignaciones[[#This Row],[tecnico]],tblTecnicos[nombre],tblTecnicos[area],"")</f>
        <v/>
      </c>
      <c r="E304" s="3">
        <f>_xlfn.XLOOKUP(tblAsignaciones[[#This Row],[tecnico]],tblTecnicos[nombre],tblTecnicos[especialidad],"")</f>
        <v/>
      </c>
      <c r="F304" s="3">
        <f>COUNTIFS(tblTecnicos[rotativo],"SI",tblTecnicos[especialidad],tblAsignaciones[[#This Row],[especialidad]],tblTecnicos[area],tblAsignaciones[[#This Row],[area]])</f>
        <v/>
      </c>
      <c r="G30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4" s="6" t="n"/>
      <c r="J30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4" s="3">
        <f>_xlfn.XLOOKUP(tblAsignaciones[[#This Row],[tecnico]],tblTecnicos[nombre],tblTecnicos[supervisor],"")</f>
        <v/>
      </c>
      <c r="L30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4" s="3">
        <f>tblAsignaciones[[#This Row],[semana]]&amp;"|"&amp;tblAsignaciones[[#This Row],[dia]]&amp;"|"&amp;tblAsignaciones[[#This Row],[tecnico]]</f>
        <v/>
      </c>
      <c r="O304" s="3">
        <f>_xlfn.XLOOKUP(tblAsignaciones[[#This Row],[turno]],tblTurnos[turno],tblTurnos[hora_inicio],"")</f>
        <v/>
      </c>
      <c r="P304" s="3">
        <f>_xlfn.XLOOKUP(tblAsignaciones[[#This Row],[turno]],tblTurnos[turno],tblTurnos[hora_fin],"")</f>
        <v/>
      </c>
      <c r="Q304" s="3">
        <f>IF(AND(LEFT(tblAsignaciones[[#This Row],[posicion_ciclo]],1)="T",tblAsignaciones[[#This Row],[en_vacaciones]]="no"),"sí","no")</f>
        <v/>
      </c>
    </row>
    <row r="305">
      <c r="A305" s="3" t="inlineStr">
        <is>
          <t>2026-S32</t>
        </is>
      </c>
      <c r="B305" s="3" t="inlineStr">
        <is>
          <t>lunes</t>
        </is>
      </c>
      <c r="C305" s="3" t="inlineStr">
        <is>
          <t>Técnico 12</t>
        </is>
      </c>
      <c r="D305" s="3">
        <f>_xlfn.XLOOKUP(tblAsignaciones[[#This Row],[tecnico]],tblTecnicos[nombre],tblTecnicos[area],"")</f>
        <v/>
      </c>
      <c r="E305" s="3">
        <f>_xlfn.XLOOKUP(tblAsignaciones[[#This Row],[tecnico]],tblTecnicos[nombre],tblTecnicos[especialidad],"")</f>
        <v/>
      </c>
      <c r="F305" s="3">
        <f>COUNTIFS(tblTecnicos[rotativo],"SI",tblTecnicos[especialidad],tblAsignaciones[[#This Row],[especialidad]],tblTecnicos[area],tblAsignaciones[[#This Row],[area]])</f>
        <v/>
      </c>
      <c r="G30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5" s="6" t="n"/>
      <c r="J30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5" s="3">
        <f>_xlfn.XLOOKUP(tblAsignaciones[[#This Row],[tecnico]],tblTecnicos[nombre],tblTecnicos[supervisor],"")</f>
        <v/>
      </c>
      <c r="L30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5" s="3">
        <f>tblAsignaciones[[#This Row],[semana]]&amp;"|"&amp;tblAsignaciones[[#This Row],[dia]]&amp;"|"&amp;tblAsignaciones[[#This Row],[tecnico]]</f>
        <v/>
      </c>
      <c r="O305" s="3">
        <f>_xlfn.XLOOKUP(tblAsignaciones[[#This Row],[turno]],tblTurnos[turno],tblTurnos[hora_inicio],"")</f>
        <v/>
      </c>
      <c r="P305" s="3">
        <f>_xlfn.XLOOKUP(tblAsignaciones[[#This Row],[turno]],tblTurnos[turno],tblTurnos[hora_fin],"")</f>
        <v/>
      </c>
      <c r="Q305" s="3">
        <f>IF(AND(LEFT(tblAsignaciones[[#This Row],[posicion_ciclo]],1)="T",tblAsignaciones[[#This Row],[en_vacaciones]]="no"),"sí","no")</f>
        <v/>
      </c>
    </row>
    <row r="306">
      <c r="A306" s="3" t="inlineStr">
        <is>
          <t>2026-S32</t>
        </is>
      </c>
      <c r="B306" s="3" t="inlineStr">
        <is>
          <t>martes</t>
        </is>
      </c>
      <c r="C306" s="3" t="inlineStr">
        <is>
          <t>Técnico 12</t>
        </is>
      </c>
      <c r="D306" s="3">
        <f>_xlfn.XLOOKUP(tblAsignaciones[[#This Row],[tecnico]],tblTecnicos[nombre],tblTecnicos[area],"")</f>
        <v/>
      </c>
      <c r="E306" s="3">
        <f>_xlfn.XLOOKUP(tblAsignaciones[[#This Row],[tecnico]],tblTecnicos[nombre],tblTecnicos[especialidad],"")</f>
        <v/>
      </c>
      <c r="F306" s="3">
        <f>COUNTIFS(tblTecnicos[rotativo],"SI",tblTecnicos[especialidad],tblAsignaciones[[#This Row],[especialidad]],tblTecnicos[area],tblAsignaciones[[#This Row],[area]])</f>
        <v/>
      </c>
      <c r="G30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6" s="6" t="n"/>
      <c r="J30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6" s="3">
        <f>_xlfn.XLOOKUP(tblAsignaciones[[#This Row],[tecnico]],tblTecnicos[nombre],tblTecnicos[supervisor],"")</f>
        <v/>
      </c>
      <c r="L30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6" s="3">
        <f>tblAsignaciones[[#This Row],[semana]]&amp;"|"&amp;tblAsignaciones[[#This Row],[dia]]&amp;"|"&amp;tblAsignaciones[[#This Row],[tecnico]]</f>
        <v/>
      </c>
      <c r="O306" s="3">
        <f>_xlfn.XLOOKUP(tblAsignaciones[[#This Row],[turno]],tblTurnos[turno],tblTurnos[hora_inicio],"")</f>
        <v/>
      </c>
      <c r="P306" s="3">
        <f>_xlfn.XLOOKUP(tblAsignaciones[[#This Row],[turno]],tblTurnos[turno],tblTurnos[hora_fin],"")</f>
        <v/>
      </c>
      <c r="Q306" s="3">
        <f>IF(AND(LEFT(tblAsignaciones[[#This Row],[posicion_ciclo]],1)="T",tblAsignaciones[[#This Row],[en_vacaciones]]="no"),"sí","no")</f>
        <v/>
      </c>
    </row>
    <row r="307">
      <c r="A307" s="3" t="inlineStr">
        <is>
          <t>2026-S32</t>
        </is>
      </c>
      <c r="B307" s="3" t="inlineStr">
        <is>
          <t>miércoles</t>
        </is>
      </c>
      <c r="C307" s="3" t="inlineStr">
        <is>
          <t>Técnico 12</t>
        </is>
      </c>
      <c r="D307" s="3">
        <f>_xlfn.XLOOKUP(tblAsignaciones[[#This Row],[tecnico]],tblTecnicos[nombre],tblTecnicos[area],"")</f>
        <v/>
      </c>
      <c r="E307" s="3">
        <f>_xlfn.XLOOKUP(tblAsignaciones[[#This Row],[tecnico]],tblTecnicos[nombre],tblTecnicos[especialidad],"")</f>
        <v/>
      </c>
      <c r="F307" s="3">
        <f>COUNTIFS(tblTecnicos[rotativo],"SI",tblTecnicos[especialidad],tblAsignaciones[[#This Row],[especialidad]],tblTecnicos[area],tblAsignaciones[[#This Row],[area]])</f>
        <v/>
      </c>
      <c r="G30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7" s="6" t="n"/>
      <c r="J30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7" s="3">
        <f>_xlfn.XLOOKUP(tblAsignaciones[[#This Row],[tecnico]],tblTecnicos[nombre],tblTecnicos[supervisor],"")</f>
        <v/>
      </c>
      <c r="L30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7" s="3">
        <f>tblAsignaciones[[#This Row],[semana]]&amp;"|"&amp;tblAsignaciones[[#This Row],[dia]]&amp;"|"&amp;tblAsignaciones[[#This Row],[tecnico]]</f>
        <v/>
      </c>
      <c r="O307" s="3">
        <f>_xlfn.XLOOKUP(tblAsignaciones[[#This Row],[turno]],tblTurnos[turno],tblTurnos[hora_inicio],"")</f>
        <v/>
      </c>
      <c r="P307" s="3">
        <f>_xlfn.XLOOKUP(tblAsignaciones[[#This Row],[turno]],tblTurnos[turno],tblTurnos[hora_fin],"")</f>
        <v/>
      </c>
      <c r="Q307" s="3">
        <f>IF(AND(LEFT(tblAsignaciones[[#This Row],[posicion_ciclo]],1)="T",tblAsignaciones[[#This Row],[en_vacaciones]]="no"),"sí","no")</f>
        <v/>
      </c>
    </row>
    <row r="308">
      <c r="A308" s="3" t="inlineStr">
        <is>
          <t>2026-S32</t>
        </is>
      </c>
      <c r="B308" s="3" t="inlineStr">
        <is>
          <t>jueves</t>
        </is>
      </c>
      <c r="C308" s="3" t="inlineStr">
        <is>
          <t>Técnico 12</t>
        </is>
      </c>
      <c r="D308" s="3">
        <f>_xlfn.XLOOKUP(tblAsignaciones[[#This Row],[tecnico]],tblTecnicos[nombre],tblTecnicos[area],"")</f>
        <v/>
      </c>
      <c r="E308" s="3">
        <f>_xlfn.XLOOKUP(tblAsignaciones[[#This Row],[tecnico]],tblTecnicos[nombre],tblTecnicos[especialidad],"")</f>
        <v/>
      </c>
      <c r="F308" s="3">
        <f>COUNTIFS(tblTecnicos[rotativo],"SI",tblTecnicos[especialidad],tblAsignaciones[[#This Row],[especialidad]],tblTecnicos[area],tblAsignaciones[[#This Row],[area]])</f>
        <v/>
      </c>
      <c r="G30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8" s="6" t="n"/>
      <c r="J30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8" s="3">
        <f>_xlfn.XLOOKUP(tblAsignaciones[[#This Row],[tecnico]],tblTecnicos[nombre],tblTecnicos[supervisor],"")</f>
        <v/>
      </c>
      <c r="L30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8" s="3">
        <f>tblAsignaciones[[#This Row],[semana]]&amp;"|"&amp;tblAsignaciones[[#This Row],[dia]]&amp;"|"&amp;tblAsignaciones[[#This Row],[tecnico]]</f>
        <v/>
      </c>
      <c r="O308" s="3">
        <f>_xlfn.XLOOKUP(tblAsignaciones[[#This Row],[turno]],tblTurnos[turno],tblTurnos[hora_inicio],"")</f>
        <v/>
      </c>
      <c r="P308" s="3">
        <f>_xlfn.XLOOKUP(tblAsignaciones[[#This Row],[turno]],tblTurnos[turno],tblTurnos[hora_fin],"")</f>
        <v/>
      </c>
      <c r="Q308" s="3">
        <f>IF(AND(LEFT(tblAsignaciones[[#This Row],[posicion_ciclo]],1)="T",tblAsignaciones[[#This Row],[en_vacaciones]]="no"),"sí","no")</f>
        <v/>
      </c>
    </row>
    <row r="309">
      <c r="A309" s="3" t="inlineStr">
        <is>
          <t>2026-S32</t>
        </is>
      </c>
      <c r="B309" s="3" t="inlineStr">
        <is>
          <t>viernes</t>
        </is>
      </c>
      <c r="C309" s="3" t="inlineStr">
        <is>
          <t>Técnico 12</t>
        </is>
      </c>
      <c r="D309" s="3">
        <f>_xlfn.XLOOKUP(tblAsignaciones[[#This Row],[tecnico]],tblTecnicos[nombre],tblTecnicos[area],"")</f>
        <v/>
      </c>
      <c r="E309" s="3">
        <f>_xlfn.XLOOKUP(tblAsignaciones[[#This Row],[tecnico]],tblTecnicos[nombre],tblTecnicos[especialidad],"")</f>
        <v/>
      </c>
      <c r="F309" s="3">
        <f>COUNTIFS(tblTecnicos[rotativo],"SI",tblTecnicos[especialidad],tblAsignaciones[[#This Row],[especialidad]],tblTecnicos[area],tblAsignaciones[[#This Row],[area]])</f>
        <v/>
      </c>
      <c r="G30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9" s="6" t="n"/>
      <c r="J30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9" s="3">
        <f>_xlfn.XLOOKUP(tblAsignaciones[[#This Row],[tecnico]],tblTecnicos[nombre],tblTecnicos[supervisor],"")</f>
        <v/>
      </c>
      <c r="L30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9" s="3">
        <f>tblAsignaciones[[#This Row],[semana]]&amp;"|"&amp;tblAsignaciones[[#This Row],[dia]]&amp;"|"&amp;tblAsignaciones[[#This Row],[tecnico]]</f>
        <v/>
      </c>
      <c r="O309" s="3">
        <f>_xlfn.XLOOKUP(tblAsignaciones[[#This Row],[turno]],tblTurnos[turno],tblTurnos[hora_inicio],"")</f>
        <v/>
      </c>
      <c r="P309" s="3">
        <f>_xlfn.XLOOKUP(tblAsignaciones[[#This Row],[turno]],tblTurnos[turno],tblTurnos[hora_fin],"")</f>
        <v/>
      </c>
      <c r="Q309" s="3">
        <f>IF(AND(LEFT(tblAsignaciones[[#This Row],[posicion_ciclo]],1)="T",tblAsignaciones[[#This Row],[en_vacaciones]]="no"),"sí","no")</f>
        <v/>
      </c>
    </row>
    <row r="310">
      <c r="A310" s="3" t="inlineStr">
        <is>
          <t>2026-S32</t>
        </is>
      </c>
      <c r="B310" s="3" t="inlineStr">
        <is>
          <t>sábado</t>
        </is>
      </c>
      <c r="C310" s="3" t="inlineStr">
        <is>
          <t>Técnico 12</t>
        </is>
      </c>
      <c r="D310" s="3">
        <f>_xlfn.XLOOKUP(tblAsignaciones[[#This Row],[tecnico]],tblTecnicos[nombre],tblTecnicos[area],"")</f>
        <v/>
      </c>
      <c r="E310" s="3">
        <f>_xlfn.XLOOKUP(tblAsignaciones[[#This Row],[tecnico]],tblTecnicos[nombre],tblTecnicos[especialidad],"")</f>
        <v/>
      </c>
      <c r="F310" s="3">
        <f>COUNTIFS(tblTecnicos[rotativo],"SI",tblTecnicos[especialidad],tblAsignaciones[[#This Row],[especialidad]],tblTecnicos[area],tblAsignaciones[[#This Row],[area]])</f>
        <v/>
      </c>
      <c r="G31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0" s="6" t="n"/>
      <c r="J31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0" s="3">
        <f>_xlfn.XLOOKUP(tblAsignaciones[[#This Row],[tecnico]],tblTecnicos[nombre],tblTecnicos[supervisor],"")</f>
        <v/>
      </c>
      <c r="L31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0" s="3">
        <f>tblAsignaciones[[#This Row],[semana]]&amp;"|"&amp;tblAsignaciones[[#This Row],[dia]]&amp;"|"&amp;tblAsignaciones[[#This Row],[tecnico]]</f>
        <v/>
      </c>
      <c r="O310" s="3">
        <f>_xlfn.XLOOKUP(tblAsignaciones[[#This Row],[turno]],tblTurnos[turno],tblTurnos[hora_inicio],"")</f>
        <v/>
      </c>
      <c r="P310" s="3">
        <f>_xlfn.XLOOKUP(tblAsignaciones[[#This Row],[turno]],tblTurnos[turno],tblTurnos[hora_fin],"")</f>
        <v/>
      </c>
      <c r="Q310" s="3">
        <f>IF(AND(LEFT(tblAsignaciones[[#This Row],[posicion_ciclo]],1)="T",tblAsignaciones[[#This Row],[en_vacaciones]]="no"),"sí","no")</f>
        <v/>
      </c>
    </row>
    <row r="311">
      <c r="A311" s="3" t="inlineStr">
        <is>
          <t>2026-S32</t>
        </is>
      </c>
      <c r="B311" s="3" t="inlineStr">
        <is>
          <t>domingo</t>
        </is>
      </c>
      <c r="C311" s="3" t="inlineStr">
        <is>
          <t>Técnico 12</t>
        </is>
      </c>
      <c r="D311" s="3">
        <f>_xlfn.XLOOKUP(tblAsignaciones[[#This Row],[tecnico]],tblTecnicos[nombre],tblTecnicos[area],"")</f>
        <v/>
      </c>
      <c r="E311" s="3">
        <f>_xlfn.XLOOKUP(tblAsignaciones[[#This Row],[tecnico]],tblTecnicos[nombre],tblTecnicos[especialidad],"")</f>
        <v/>
      </c>
      <c r="F311" s="3">
        <f>COUNTIFS(tblTecnicos[rotativo],"SI",tblTecnicos[especialidad],tblAsignaciones[[#This Row],[especialidad]],tblTecnicos[area],tblAsignaciones[[#This Row],[area]])</f>
        <v/>
      </c>
      <c r="G31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1" s="6" t="n"/>
      <c r="J31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1" s="3">
        <f>_xlfn.XLOOKUP(tblAsignaciones[[#This Row],[tecnico]],tblTecnicos[nombre],tblTecnicos[supervisor],"")</f>
        <v/>
      </c>
      <c r="L31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1" s="3">
        <f>tblAsignaciones[[#This Row],[semana]]&amp;"|"&amp;tblAsignaciones[[#This Row],[dia]]&amp;"|"&amp;tblAsignaciones[[#This Row],[tecnico]]</f>
        <v/>
      </c>
      <c r="O311" s="3">
        <f>_xlfn.XLOOKUP(tblAsignaciones[[#This Row],[turno]],tblTurnos[turno],tblTurnos[hora_inicio],"")</f>
        <v/>
      </c>
      <c r="P311" s="3">
        <f>_xlfn.XLOOKUP(tblAsignaciones[[#This Row],[turno]],tblTurnos[turno],tblTurnos[hora_fin],"")</f>
        <v/>
      </c>
      <c r="Q311" s="3">
        <f>IF(AND(LEFT(tblAsignaciones[[#This Row],[posicion_ciclo]],1)="T",tblAsignaciones[[#This Row],[en_vacaciones]]="no"),"sí","no")</f>
        <v/>
      </c>
    </row>
    <row r="312">
      <c r="A312" s="3" t="inlineStr">
        <is>
          <t>2026-S32</t>
        </is>
      </c>
      <c r="B312" s="3" t="inlineStr">
        <is>
          <t>lunes</t>
        </is>
      </c>
      <c r="C312" s="3" t="inlineStr">
        <is>
          <t>Técnico 13</t>
        </is>
      </c>
      <c r="D312" s="3">
        <f>_xlfn.XLOOKUP(tblAsignaciones[[#This Row],[tecnico]],tblTecnicos[nombre],tblTecnicos[area],"")</f>
        <v/>
      </c>
      <c r="E312" s="3">
        <f>_xlfn.XLOOKUP(tblAsignaciones[[#This Row],[tecnico]],tblTecnicos[nombre],tblTecnicos[especialidad],"")</f>
        <v/>
      </c>
      <c r="F312" s="3">
        <f>COUNTIFS(tblTecnicos[rotativo],"SI",tblTecnicos[especialidad],tblAsignaciones[[#This Row],[especialidad]],tblTecnicos[area],tblAsignaciones[[#This Row],[area]])</f>
        <v/>
      </c>
      <c r="G31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2" s="6" t="n"/>
      <c r="J31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2" s="3">
        <f>_xlfn.XLOOKUP(tblAsignaciones[[#This Row],[tecnico]],tblTecnicos[nombre],tblTecnicos[supervisor],"")</f>
        <v/>
      </c>
      <c r="L31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2" s="3">
        <f>tblAsignaciones[[#This Row],[semana]]&amp;"|"&amp;tblAsignaciones[[#This Row],[dia]]&amp;"|"&amp;tblAsignaciones[[#This Row],[tecnico]]</f>
        <v/>
      </c>
      <c r="O312" s="3">
        <f>_xlfn.XLOOKUP(tblAsignaciones[[#This Row],[turno]],tblTurnos[turno],tblTurnos[hora_inicio],"")</f>
        <v/>
      </c>
      <c r="P312" s="3">
        <f>_xlfn.XLOOKUP(tblAsignaciones[[#This Row],[turno]],tblTurnos[turno],tblTurnos[hora_fin],"")</f>
        <v/>
      </c>
      <c r="Q312" s="3">
        <f>IF(AND(LEFT(tblAsignaciones[[#This Row],[posicion_ciclo]],1)="T",tblAsignaciones[[#This Row],[en_vacaciones]]="no"),"sí","no")</f>
        <v/>
      </c>
    </row>
    <row r="313">
      <c r="A313" s="3" t="inlineStr">
        <is>
          <t>2026-S32</t>
        </is>
      </c>
      <c r="B313" s="3" t="inlineStr">
        <is>
          <t>martes</t>
        </is>
      </c>
      <c r="C313" s="3" t="inlineStr">
        <is>
          <t>Técnico 13</t>
        </is>
      </c>
      <c r="D313" s="3">
        <f>_xlfn.XLOOKUP(tblAsignaciones[[#This Row],[tecnico]],tblTecnicos[nombre],tblTecnicos[area],"")</f>
        <v/>
      </c>
      <c r="E313" s="3">
        <f>_xlfn.XLOOKUP(tblAsignaciones[[#This Row],[tecnico]],tblTecnicos[nombre],tblTecnicos[especialidad],"")</f>
        <v/>
      </c>
      <c r="F313" s="3">
        <f>COUNTIFS(tblTecnicos[rotativo],"SI",tblTecnicos[especialidad],tblAsignaciones[[#This Row],[especialidad]],tblTecnicos[area],tblAsignaciones[[#This Row],[area]])</f>
        <v/>
      </c>
      <c r="G31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3" s="6" t="n"/>
      <c r="J31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3" s="3">
        <f>_xlfn.XLOOKUP(tblAsignaciones[[#This Row],[tecnico]],tblTecnicos[nombre],tblTecnicos[supervisor],"")</f>
        <v/>
      </c>
      <c r="L31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3" s="3">
        <f>tblAsignaciones[[#This Row],[semana]]&amp;"|"&amp;tblAsignaciones[[#This Row],[dia]]&amp;"|"&amp;tblAsignaciones[[#This Row],[tecnico]]</f>
        <v/>
      </c>
      <c r="O313" s="3">
        <f>_xlfn.XLOOKUP(tblAsignaciones[[#This Row],[turno]],tblTurnos[turno],tblTurnos[hora_inicio],"")</f>
        <v/>
      </c>
      <c r="P313" s="3">
        <f>_xlfn.XLOOKUP(tblAsignaciones[[#This Row],[turno]],tblTurnos[turno],tblTurnos[hora_fin],"")</f>
        <v/>
      </c>
      <c r="Q313" s="3">
        <f>IF(AND(LEFT(tblAsignaciones[[#This Row],[posicion_ciclo]],1)="T",tblAsignaciones[[#This Row],[en_vacaciones]]="no"),"sí","no")</f>
        <v/>
      </c>
    </row>
    <row r="314">
      <c r="A314" s="3" t="inlineStr">
        <is>
          <t>2026-S32</t>
        </is>
      </c>
      <c r="B314" s="3" t="inlineStr">
        <is>
          <t>miércoles</t>
        </is>
      </c>
      <c r="C314" s="3" t="inlineStr">
        <is>
          <t>Técnico 13</t>
        </is>
      </c>
      <c r="D314" s="3">
        <f>_xlfn.XLOOKUP(tblAsignaciones[[#This Row],[tecnico]],tblTecnicos[nombre],tblTecnicos[area],"")</f>
        <v/>
      </c>
      <c r="E314" s="3">
        <f>_xlfn.XLOOKUP(tblAsignaciones[[#This Row],[tecnico]],tblTecnicos[nombre],tblTecnicos[especialidad],"")</f>
        <v/>
      </c>
      <c r="F314" s="3">
        <f>COUNTIFS(tblTecnicos[rotativo],"SI",tblTecnicos[especialidad],tblAsignaciones[[#This Row],[especialidad]],tblTecnicos[area],tblAsignaciones[[#This Row],[area]])</f>
        <v/>
      </c>
      <c r="G31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4" s="6" t="n"/>
      <c r="J31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4" s="3">
        <f>_xlfn.XLOOKUP(tblAsignaciones[[#This Row],[tecnico]],tblTecnicos[nombre],tblTecnicos[supervisor],"")</f>
        <v/>
      </c>
      <c r="L31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4" s="3">
        <f>tblAsignaciones[[#This Row],[semana]]&amp;"|"&amp;tblAsignaciones[[#This Row],[dia]]&amp;"|"&amp;tblAsignaciones[[#This Row],[tecnico]]</f>
        <v/>
      </c>
      <c r="O314" s="3">
        <f>_xlfn.XLOOKUP(tblAsignaciones[[#This Row],[turno]],tblTurnos[turno],tblTurnos[hora_inicio],"")</f>
        <v/>
      </c>
      <c r="P314" s="3">
        <f>_xlfn.XLOOKUP(tblAsignaciones[[#This Row],[turno]],tblTurnos[turno],tblTurnos[hora_fin],"")</f>
        <v/>
      </c>
      <c r="Q314" s="3">
        <f>IF(AND(LEFT(tblAsignaciones[[#This Row],[posicion_ciclo]],1)="T",tblAsignaciones[[#This Row],[en_vacaciones]]="no"),"sí","no")</f>
        <v/>
      </c>
    </row>
    <row r="315">
      <c r="A315" s="3" t="inlineStr">
        <is>
          <t>2026-S32</t>
        </is>
      </c>
      <c r="B315" s="3" t="inlineStr">
        <is>
          <t>jueves</t>
        </is>
      </c>
      <c r="C315" s="3" t="inlineStr">
        <is>
          <t>Técnico 13</t>
        </is>
      </c>
      <c r="D315" s="3">
        <f>_xlfn.XLOOKUP(tblAsignaciones[[#This Row],[tecnico]],tblTecnicos[nombre],tblTecnicos[area],"")</f>
        <v/>
      </c>
      <c r="E315" s="3">
        <f>_xlfn.XLOOKUP(tblAsignaciones[[#This Row],[tecnico]],tblTecnicos[nombre],tblTecnicos[especialidad],"")</f>
        <v/>
      </c>
      <c r="F315" s="3">
        <f>COUNTIFS(tblTecnicos[rotativo],"SI",tblTecnicos[especialidad],tblAsignaciones[[#This Row],[especialidad]],tblTecnicos[area],tblAsignaciones[[#This Row],[area]])</f>
        <v/>
      </c>
      <c r="G31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5" s="6" t="n"/>
      <c r="J31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5" s="3">
        <f>_xlfn.XLOOKUP(tblAsignaciones[[#This Row],[tecnico]],tblTecnicos[nombre],tblTecnicos[supervisor],"")</f>
        <v/>
      </c>
      <c r="L31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5" s="3">
        <f>tblAsignaciones[[#This Row],[semana]]&amp;"|"&amp;tblAsignaciones[[#This Row],[dia]]&amp;"|"&amp;tblAsignaciones[[#This Row],[tecnico]]</f>
        <v/>
      </c>
      <c r="O315" s="3">
        <f>_xlfn.XLOOKUP(tblAsignaciones[[#This Row],[turno]],tblTurnos[turno],tblTurnos[hora_inicio],"")</f>
        <v/>
      </c>
      <c r="P315" s="3">
        <f>_xlfn.XLOOKUP(tblAsignaciones[[#This Row],[turno]],tblTurnos[turno],tblTurnos[hora_fin],"")</f>
        <v/>
      </c>
      <c r="Q315" s="3">
        <f>IF(AND(LEFT(tblAsignaciones[[#This Row],[posicion_ciclo]],1)="T",tblAsignaciones[[#This Row],[en_vacaciones]]="no"),"sí","no")</f>
        <v/>
      </c>
    </row>
    <row r="316">
      <c r="A316" s="3" t="inlineStr">
        <is>
          <t>2026-S32</t>
        </is>
      </c>
      <c r="B316" s="3" t="inlineStr">
        <is>
          <t>viernes</t>
        </is>
      </c>
      <c r="C316" s="3" t="inlineStr">
        <is>
          <t>Técnico 13</t>
        </is>
      </c>
      <c r="D316" s="3">
        <f>_xlfn.XLOOKUP(tblAsignaciones[[#This Row],[tecnico]],tblTecnicos[nombre],tblTecnicos[area],"")</f>
        <v/>
      </c>
      <c r="E316" s="3">
        <f>_xlfn.XLOOKUP(tblAsignaciones[[#This Row],[tecnico]],tblTecnicos[nombre],tblTecnicos[especialidad],"")</f>
        <v/>
      </c>
      <c r="F316" s="3">
        <f>COUNTIFS(tblTecnicos[rotativo],"SI",tblTecnicos[especialidad],tblAsignaciones[[#This Row],[especialidad]],tblTecnicos[area],tblAsignaciones[[#This Row],[area]])</f>
        <v/>
      </c>
      <c r="G31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6" s="6" t="n"/>
      <c r="J31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6" s="3">
        <f>_xlfn.XLOOKUP(tblAsignaciones[[#This Row],[tecnico]],tblTecnicos[nombre],tblTecnicos[supervisor],"")</f>
        <v/>
      </c>
      <c r="L31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6" s="3">
        <f>tblAsignaciones[[#This Row],[semana]]&amp;"|"&amp;tblAsignaciones[[#This Row],[dia]]&amp;"|"&amp;tblAsignaciones[[#This Row],[tecnico]]</f>
        <v/>
      </c>
      <c r="O316" s="3">
        <f>_xlfn.XLOOKUP(tblAsignaciones[[#This Row],[turno]],tblTurnos[turno],tblTurnos[hora_inicio],"")</f>
        <v/>
      </c>
      <c r="P316" s="3">
        <f>_xlfn.XLOOKUP(tblAsignaciones[[#This Row],[turno]],tblTurnos[turno],tblTurnos[hora_fin],"")</f>
        <v/>
      </c>
      <c r="Q316" s="3">
        <f>IF(AND(LEFT(tblAsignaciones[[#This Row],[posicion_ciclo]],1)="T",tblAsignaciones[[#This Row],[en_vacaciones]]="no"),"sí","no")</f>
        <v/>
      </c>
    </row>
    <row r="317">
      <c r="A317" s="3" t="inlineStr">
        <is>
          <t>2026-S32</t>
        </is>
      </c>
      <c r="B317" s="3" t="inlineStr">
        <is>
          <t>sábado</t>
        </is>
      </c>
      <c r="C317" s="3" t="inlineStr">
        <is>
          <t>Técnico 13</t>
        </is>
      </c>
      <c r="D317" s="3">
        <f>_xlfn.XLOOKUP(tblAsignaciones[[#This Row],[tecnico]],tblTecnicos[nombre],tblTecnicos[area],"")</f>
        <v/>
      </c>
      <c r="E317" s="3">
        <f>_xlfn.XLOOKUP(tblAsignaciones[[#This Row],[tecnico]],tblTecnicos[nombre],tblTecnicos[especialidad],"")</f>
        <v/>
      </c>
      <c r="F317" s="3">
        <f>COUNTIFS(tblTecnicos[rotativo],"SI",tblTecnicos[especialidad],tblAsignaciones[[#This Row],[especialidad]],tblTecnicos[area],tblAsignaciones[[#This Row],[area]])</f>
        <v/>
      </c>
      <c r="G31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7" s="6" t="n"/>
      <c r="J31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7" s="3">
        <f>_xlfn.XLOOKUP(tblAsignaciones[[#This Row],[tecnico]],tblTecnicos[nombre],tblTecnicos[supervisor],"")</f>
        <v/>
      </c>
      <c r="L31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7" s="3">
        <f>tblAsignaciones[[#This Row],[semana]]&amp;"|"&amp;tblAsignaciones[[#This Row],[dia]]&amp;"|"&amp;tblAsignaciones[[#This Row],[tecnico]]</f>
        <v/>
      </c>
      <c r="O317" s="3">
        <f>_xlfn.XLOOKUP(tblAsignaciones[[#This Row],[turno]],tblTurnos[turno],tblTurnos[hora_inicio],"")</f>
        <v/>
      </c>
      <c r="P317" s="3">
        <f>_xlfn.XLOOKUP(tblAsignaciones[[#This Row],[turno]],tblTurnos[turno],tblTurnos[hora_fin],"")</f>
        <v/>
      </c>
      <c r="Q317" s="3">
        <f>IF(AND(LEFT(tblAsignaciones[[#This Row],[posicion_ciclo]],1)="T",tblAsignaciones[[#This Row],[en_vacaciones]]="no"),"sí","no")</f>
        <v/>
      </c>
    </row>
    <row r="318">
      <c r="A318" s="3" t="inlineStr">
        <is>
          <t>2026-S32</t>
        </is>
      </c>
      <c r="B318" s="3" t="inlineStr">
        <is>
          <t>domingo</t>
        </is>
      </c>
      <c r="C318" s="3" t="inlineStr">
        <is>
          <t>Técnico 13</t>
        </is>
      </c>
      <c r="D318" s="3">
        <f>_xlfn.XLOOKUP(tblAsignaciones[[#This Row],[tecnico]],tblTecnicos[nombre],tblTecnicos[area],"")</f>
        <v/>
      </c>
      <c r="E318" s="3">
        <f>_xlfn.XLOOKUP(tblAsignaciones[[#This Row],[tecnico]],tblTecnicos[nombre],tblTecnicos[especialidad],"")</f>
        <v/>
      </c>
      <c r="F318" s="3">
        <f>COUNTIFS(tblTecnicos[rotativo],"SI",tblTecnicos[especialidad],tblAsignaciones[[#This Row],[especialidad]],tblTecnicos[area],tblAsignaciones[[#This Row],[area]])</f>
        <v/>
      </c>
      <c r="G31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8" s="6" t="n"/>
      <c r="J31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8" s="3">
        <f>_xlfn.XLOOKUP(tblAsignaciones[[#This Row],[tecnico]],tblTecnicos[nombre],tblTecnicos[supervisor],"")</f>
        <v/>
      </c>
      <c r="L31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8" s="3">
        <f>tblAsignaciones[[#This Row],[semana]]&amp;"|"&amp;tblAsignaciones[[#This Row],[dia]]&amp;"|"&amp;tblAsignaciones[[#This Row],[tecnico]]</f>
        <v/>
      </c>
      <c r="O318" s="3">
        <f>_xlfn.XLOOKUP(tblAsignaciones[[#This Row],[turno]],tblTurnos[turno],tblTurnos[hora_inicio],"")</f>
        <v/>
      </c>
      <c r="P318" s="3">
        <f>_xlfn.XLOOKUP(tblAsignaciones[[#This Row],[turno]],tblTurnos[turno],tblTurnos[hora_fin],"")</f>
        <v/>
      </c>
      <c r="Q318" s="3">
        <f>IF(AND(LEFT(tblAsignaciones[[#This Row],[posicion_ciclo]],1)="T",tblAsignaciones[[#This Row],[en_vacaciones]]="no"),"sí","no")</f>
        <v/>
      </c>
    </row>
    <row r="319">
      <c r="A319" s="3" t="inlineStr">
        <is>
          <t>2026-S32</t>
        </is>
      </c>
      <c r="B319" s="3" t="inlineStr">
        <is>
          <t>lunes</t>
        </is>
      </c>
      <c r="C319" s="3" t="inlineStr">
        <is>
          <t>Técnico 14</t>
        </is>
      </c>
      <c r="D319" s="3">
        <f>_xlfn.XLOOKUP(tblAsignaciones[[#This Row],[tecnico]],tblTecnicos[nombre],tblTecnicos[area],"")</f>
        <v/>
      </c>
      <c r="E319" s="3">
        <f>_xlfn.XLOOKUP(tblAsignaciones[[#This Row],[tecnico]],tblTecnicos[nombre],tblTecnicos[especialidad],"")</f>
        <v/>
      </c>
      <c r="F319" s="3">
        <f>COUNTIFS(tblTecnicos[rotativo],"SI",tblTecnicos[especialidad],tblAsignaciones[[#This Row],[especialidad]],tblTecnicos[area],tblAsignaciones[[#This Row],[area]])</f>
        <v/>
      </c>
      <c r="G31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9" s="6" t="n"/>
      <c r="J31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9" s="3">
        <f>_xlfn.XLOOKUP(tblAsignaciones[[#This Row],[tecnico]],tblTecnicos[nombre],tblTecnicos[supervisor],"")</f>
        <v/>
      </c>
      <c r="L31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9" s="3">
        <f>tblAsignaciones[[#This Row],[semana]]&amp;"|"&amp;tblAsignaciones[[#This Row],[dia]]&amp;"|"&amp;tblAsignaciones[[#This Row],[tecnico]]</f>
        <v/>
      </c>
      <c r="O319" s="3">
        <f>_xlfn.XLOOKUP(tblAsignaciones[[#This Row],[turno]],tblTurnos[turno],tblTurnos[hora_inicio],"")</f>
        <v/>
      </c>
      <c r="P319" s="3">
        <f>_xlfn.XLOOKUP(tblAsignaciones[[#This Row],[turno]],tblTurnos[turno],tblTurnos[hora_fin],"")</f>
        <v/>
      </c>
      <c r="Q319" s="3">
        <f>IF(AND(LEFT(tblAsignaciones[[#This Row],[posicion_ciclo]],1)="T",tblAsignaciones[[#This Row],[en_vacaciones]]="no"),"sí","no")</f>
        <v/>
      </c>
    </row>
    <row r="320">
      <c r="A320" s="3" t="inlineStr">
        <is>
          <t>2026-S32</t>
        </is>
      </c>
      <c r="B320" s="3" t="inlineStr">
        <is>
          <t>martes</t>
        </is>
      </c>
      <c r="C320" s="3" t="inlineStr">
        <is>
          <t>Técnico 14</t>
        </is>
      </c>
      <c r="D320" s="3">
        <f>_xlfn.XLOOKUP(tblAsignaciones[[#This Row],[tecnico]],tblTecnicos[nombre],tblTecnicos[area],"")</f>
        <v/>
      </c>
      <c r="E320" s="3">
        <f>_xlfn.XLOOKUP(tblAsignaciones[[#This Row],[tecnico]],tblTecnicos[nombre],tblTecnicos[especialidad],"")</f>
        <v/>
      </c>
      <c r="F320" s="3">
        <f>COUNTIFS(tblTecnicos[rotativo],"SI",tblTecnicos[especialidad],tblAsignaciones[[#This Row],[especialidad]],tblTecnicos[area],tblAsignaciones[[#This Row],[area]])</f>
        <v/>
      </c>
      <c r="G32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0" s="6" t="n"/>
      <c r="J32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0" s="3">
        <f>_xlfn.XLOOKUP(tblAsignaciones[[#This Row],[tecnico]],tblTecnicos[nombre],tblTecnicos[supervisor],"")</f>
        <v/>
      </c>
      <c r="L32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0" s="3">
        <f>tblAsignaciones[[#This Row],[semana]]&amp;"|"&amp;tblAsignaciones[[#This Row],[dia]]&amp;"|"&amp;tblAsignaciones[[#This Row],[tecnico]]</f>
        <v/>
      </c>
      <c r="O320" s="3">
        <f>_xlfn.XLOOKUP(tblAsignaciones[[#This Row],[turno]],tblTurnos[turno],tblTurnos[hora_inicio],"")</f>
        <v/>
      </c>
      <c r="P320" s="3">
        <f>_xlfn.XLOOKUP(tblAsignaciones[[#This Row],[turno]],tblTurnos[turno],tblTurnos[hora_fin],"")</f>
        <v/>
      </c>
      <c r="Q320" s="3">
        <f>IF(AND(LEFT(tblAsignaciones[[#This Row],[posicion_ciclo]],1)="T",tblAsignaciones[[#This Row],[en_vacaciones]]="no"),"sí","no")</f>
        <v/>
      </c>
    </row>
    <row r="321">
      <c r="A321" s="3" t="inlineStr">
        <is>
          <t>2026-S32</t>
        </is>
      </c>
      <c r="B321" s="3" t="inlineStr">
        <is>
          <t>miércoles</t>
        </is>
      </c>
      <c r="C321" s="3" t="inlineStr">
        <is>
          <t>Técnico 14</t>
        </is>
      </c>
      <c r="D321" s="3">
        <f>_xlfn.XLOOKUP(tblAsignaciones[[#This Row],[tecnico]],tblTecnicos[nombre],tblTecnicos[area],"")</f>
        <v/>
      </c>
      <c r="E321" s="3">
        <f>_xlfn.XLOOKUP(tblAsignaciones[[#This Row],[tecnico]],tblTecnicos[nombre],tblTecnicos[especialidad],"")</f>
        <v/>
      </c>
      <c r="F321" s="3">
        <f>COUNTIFS(tblTecnicos[rotativo],"SI",tblTecnicos[especialidad],tblAsignaciones[[#This Row],[especialidad]],tblTecnicos[area],tblAsignaciones[[#This Row],[area]])</f>
        <v/>
      </c>
      <c r="G32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1" s="6" t="n"/>
      <c r="J32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1" s="3">
        <f>_xlfn.XLOOKUP(tblAsignaciones[[#This Row],[tecnico]],tblTecnicos[nombre],tblTecnicos[supervisor],"")</f>
        <v/>
      </c>
      <c r="L32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1" s="3">
        <f>tblAsignaciones[[#This Row],[semana]]&amp;"|"&amp;tblAsignaciones[[#This Row],[dia]]&amp;"|"&amp;tblAsignaciones[[#This Row],[tecnico]]</f>
        <v/>
      </c>
      <c r="O321" s="3">
        <f>_xlfn.XLOOKUP(tblAsignaciones[[#This Row],[turno]],tblTurnos[turno],tblTurnos[hora_inicio],"")</f>
        <v/>
      </c>
      <c r="P321" s="3">
        <f>_xlfn.XLOOKUP(tblAsignaciones[[#This Row],[turno]],tblTurnos[turno],tblTurnos[hora_fin],"")</f>
        <v/>
      </c>
      <c r="Q321" s="3">
        <f>IF(AND(LEFT(tblAsignaciones[[#This Row],[posicion_ciclo]],1)="T",tblAsignaciones[[#This Row],[en_vacaciones]]="no"),"sí","no")</f>
        <v/>
      </c>
    </row>
    <row r="322">
      <c r="A322" s="3" t="inlineStr">
        <is>
          <t>2026-S32</t>
        </is>
      </c>
      <c r="B322" s="3" t="inlineStr">
        <is>
          <t>jueves</t>
        </is>
      </c>
      <c r="C322" s="3" t="inlineStr">
        <is>
          <t>Técnico 14</t>
        </is>
      </c>
      <c r="D322" s="3">
        <f>_xlfn.XLOOKUP(tblAsignaciones[[#This Row],[tecnico]],tblTecnicos[nombre],tblTecnicos[area],"")</f>
        <v/>
      </c>
      <c r="E322" s="3">
        <f>_xlfn.XLOOKUP(tblAsignaciones[[#This Row],[tecnico]],tblTecnicos[nombre],tblTecnicos[especialidad],"")</f>
        <v/>
      </c>
      <c r="F322" s="3">
        <f>COUNTIFS(tblTecnicos[rotativo],"SI",tblTecnicos[especialidad],tblAsignaciones[[#This Row],[especialidad]],tblTecnicos[area],tblAsignaciones[[#This Row],[area]])</f>
        <v/>
      </c>
      <c r="G32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2" s="6" t="n"/>
      <c r="J32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2" s="3">
        <f>_xlfn.XLOOKUP(tblAsignaciones[[#This Row],[tecnico]],tblTecnicos[nombre],tblTecnicos[supervisor],"")</f>
        <v/>
      </c>
      <c r="L32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2" s="3">
        <f>tblAsignaciones[[#This Row],[semana]]&amp;"|"&amp;tblAsignaciones[[#This Row],[dia]]&amp;"|"&amp;tblAsignaciones[[#This Row],[tecnico]]</f>
        <v/>
      </c>
      <c r="O322" s="3">
        <f>_xlfn.XLOOKUP(tblAsignaciones[[#This Row],[turno]],tblTurnos[turno],tblTurnos[hora_inicio],"")</f>
        <v/>
      </c>
      <c r="P322" s="3">
        <f>_xlfn.XLOOKUP(tblAsignaciones[[#This Row],[turno]],tblTurnos[turno],tblTurnos[hora_fin],"")</f>
        <v/>
      </c>
      <c r="Q322" s="3">
        <f>IF(AND(LEFT(tblAsignaciones[[#This Row],[posicion_ciclo]],1)="T",tblAsignaciones[[#This Row],[en_vacaciones]]="no"),"sí","no")</f>
        <v/>
      </c>
    </row>
    <row r="323">
      <c r="A323" s="3" t="inlineStr">
        <is>
          <t>2026-S32</t>
        </is>
      </c>
      <c r="B323" s="3" t="inlineStr">
        <is>
          <t>viernes</t>
        </is>
      </c>
      <c r="C323" s="3" t="inlineStr">
        <is>
          <t>Técnico 14</t>
        </is>
      </c>
      <c r="D323" s="3">
        <f>_xlfn.XLOOKUP(tblAsignaciones[[#This Row],[tecnico]],tblTecnicos[nombre],tblTecnicos[area],"")</f>
        <v/>
      </c>
      <c r="E323" s="3">
        <f>_xlfn.XLOOKUP(tblAsignaciones[[#This Row],[tecnico]],tblTecnicos[nombre],tblTecnicos[especialidad],"")</f>
        <v/>
      </c>
      <c r="F323" s="3">
        <f>COUNTIFS(tblTecnicos[rotativo],"SI",tblTecnicos[especialidad],tblAsignaciones[[#This Row],[especialidad]],tblTecnicos[area],tblAsignaciones[[#This Row],[area]])</f>
        <v/>
      </c>
      <c r="G32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3" s="6" t="n"/>
      <c r="J32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3" s="3">
        <f>_xlfn.XLOOKUP(tblAsignaciones[[#This Row],[tecnico]],tblTecnicos[nombre],tblTecnicos[supervisor],"")</f>
        <v/>
      </c>
      <c r="L32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3" s="3">
        <f>tblAsignaciones[[#This Row],[semana]]&amp;"|"&amp;tblAsignaciones[[#This Row],[dia]]&amp;"|"&amp;tblAsignaciones[[#This Row],[tecnico]]</f>
        <v/>
      </c>
      <c r="O323" s="3">
        <f>_xlfn.XLOOKUP(tblAsignaciones[[#This Row],[turno]],tblTurnos[turno],tblTurnos[hora_inicio],"")</f>
        <v/>
      </c>
      <c r="P323" s="3">
        <f>_xlfn.XLOOKUP(tblAsignaciones[[#This Row],[turno]],tblTurnos[turno],tblTurnos[hora_fin],"")</f>
        <v/>
      </c>
      <c r="Q323" s="3">
        <f>IF(AND(LEFT(tblAsignaciones[[#This Row],[posicion_ciclo]],1)="T",tblAsignaciones[[#This Row],[en_vacaciones]]="no"),"sí","no")</f>
        <v/>
      </c>
    </row>
    <row r="324">
      <c r="A324" s="3" t="inlineStr">
        <is>
          <t>2026-S32</t>
        </is>
      </c>
      <c r="B324" s="3" t="inlineStr">
        <is>
          <t>sábado</t>
        </is>
      </c>
      <c r="C324" s="3" t="inlineStr">
        <is>
          <t>Técnico 14</t>
        </is>
      </c>
      <c r="D324" s="3">
        <f>_xlfn.XLOOKUP(tblAsignaciones[[#This Row],[tecnico]],tblTecnicos[nombre],tblTecnicos[area],"")</f>
        <v/>
      </c>
      <c r="E324" s="3">
        <f>_xlfn.XLOOKUP(tblAsignaciones[[#This Row],[tecnico]],tblTecnicos[nombre],tblTecnicos[especialidad],"")</f>
        <v/>
      </c>
      <c r="F324" s="3">
        <f>COUNTIFS(tblTecnicos[rotativo],"SI",tblTecnicos[especialidad],tblAsignaciones[[#This Row],[especialidad]],tblTecnicos[area],tblAsignaciones[[#This Row],[area]])</f>
        <v/>
      </c>
      <c r="G32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4" s="6" t="n"/>
      <c r="J32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4" s="3">
        <f>_xlfn.XLOOKUP(tblAsignaciones[[#This Row],[tecnico]],tblTecnicos[nombre],tblTecnicos[supervisor],"")</f>
        <v/>
      </c>
      <c r="L32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4" s="3">
        <f>tblAsignaciones[[#This Row],[semana]]&amp;"|"&amp;tblAsignaciones[[#This Row],[dia]]&amp;"|"&amp;tblAsignaciones[[#This Row],[tecnico]]</f>
        <v/>
      </c>
      <c r="O324" s="3">
        <f>_xlfn.XLOOKUP(tblAsignaciones[[#This Row],[turno]],tblTurnos[turno],tblTurnos[hora_inicio],"")</f>
        <v/>
      </c>
      <c r="P324" s="3">
        <f>_xlfn.XLOOKUP(tblAsignaciones[[#This Row],[turno]],tblTurnos[turno],tblTurnos[hora_fin],"")</f>
        <v/>
      </c>
      <c r="Q324" s="3">
        <f>IF(AND(LEFT(tblAsignaciones[[#This Row],[posicion_ciclo]],1)="T",tblAsignaciones[[#This Row],[en_vacaciones]]="no"),"sí","no")</f>
        <v/>
      </c>
    </row>
    <row r="325">
      <c r="A325" s="3" t="inlineStr">
        <is>
          <t>2026-S32</t>
        </is>
      </c>
      <c r="B325" s="3" t="inlineStr">
        <is>
          <t>domingo</t>
        </is>
      </c>
      <c r="C325" s="3" t="inlineStr">
        <is>
          <t>Técnico 14</t>
        </is>
      </c>
      <c r="D325" s="3">
        <f>_xlfn.XLOOKUP(tblAsignaciones[[#This Row],[tecnico]],tblTecnicos[nombre],tblTecnicos[area],"")</f>
        <v/>
      </c>
      <c r="E325" s="3">
        <f>_xlfn.XLOOKUP(tblAsignaciones[[#This Row],[tecnico]],tblTecnicos[nombre],tblTecnicos[especialidad],"")</f>
        <v/>
      </c>
      <c r="F325" s="3">
        <f>COUNTIFS(tblTecnicos[rotativo],"SI",tblTecnicos[especialidad],tblAsignaciones[[#This Row],[especialidad]],tblTecnicos[area],tblAsignaciones[[#This Row],[area]])</f>
        <v/>
      </c>
      <c r="G32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5" s="6" t="n"/>
      <c r="J32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5" s="3">
        <f>_xlfn.XLOOKUP(tblAsignaciones[[#This Row],[tecnico]],tblTecnicos[nombre],tblTecnicos[supervisor],"")</f>
        <v/>
      </c>
      <c r="L32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5" s="3">
        <f>tblAsignaciones[[#This Row],[semana]]&amp;"|"&amp;tblAsignaciones[[#This Row],[dia]]&amp;"|"&amp;tblAsignaciones[[#This Row],[tecnico]]</f>
        <v/>
      </c>
      <c r="O325" s="3">
        <f>_xlfn.XLOOKUP(tblAsignaciones[[#This Row],[turno]],tblTurnos[turno],tblTurnos[hora_inicio],"")</f>
        <v/>
      </c>
      <c r="P325" s="3">
        <f>_xlfn.XLOOKUP(tblAsignaciones[[#This Row],[turno]],tblTurnos[turno],tblTurnos[hora_fin],"")</f>
        <v/>
      </c>
      <c r="Q325" s="3">
        <f>IF(AND(LEFT(tblAsignaciones[[#This Row],[posicion_ciclo]],1)="T",tblAsignaciones[[#This Row],[en_vacaciones]]="no"),"sí","no")</f>
        <v/>
      </c>
    </row>
    <row r="326">
      <c r="A326" s="3" t="inlineStr">
        <is>
          <t>2026-S32</t>
        </is>
      </c>
      <c r="B326" s="3" t="inlineStr">
        <is>
          <t>lunes</t>
        </is>
      </c>
      <c r="C326" s="3" t="inlineStr">
        <is>
          <t>Técnico 15</t>
        </is>
      </c>
      <c r="D326" s="3">
        <f>_xlfn.XLOOKUP(tblAsignaciones[[#This Row],[tecnico]],tblTecnicos[nombre],tblTecnicos[area],"")</f>
        <v/>
      </c>
      <c r="E326" s="3">
        <f>_xlfn.XLOOKUP(tblAsignaciones[[#This Row],[tecnico]],tblTecnicos[nombre],tblTecnicos[especialidad],"")</f>
        <v/>
      </c>
      <c r="F326" s="3">
        <f>COUNTIFS(tblTecnicos[rotativo],"SI",tblTecnicos[especialidad],tblAsignaciones[[#This Row],[especialidad]],tblTecnicos[area],tblAsignaciones[[#This Row],[area]])</f>
        <v/>
      </c>
      <c r="G32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6" s="6" t="n"/>
      <c r="J32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6" s="3">
        <f>_xlfn.XLOOKUP(tblAsignaciones[[#This Row],[tecnico]],tblTecnicos[nombre],tblTecnicos[supervisor],"")</f>
        <v/>
      </c>
      <c r="L32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6" s="3">
        <f>tblAsignaciones[[#This Row],[semana]]&amp;"|"&amp;tblAsignaciones[[#This Row],[dia]]&amp;"|"&amp;tblAsignaciones[[#This Row],[tecnico]]</f>
        <v/>
      </c>
      <c r="O326" s="3">
        <f>_xlfn.XLOOKUP(tblAsignaciones[[#This Row],[turno]],tblTurnos[turno],tblTurnos[hora_inicio],"")</f>
        <v/>
      </c>
      <c r="P326" s="3">
        <f>_xlfn.XLOOKUP(tblAsignaciones[[#This Row],[turno]],tblTurnos[turno],tblTurnos[hora_fin],"")</f>
        <v/>
      </c>
      <c r="Q326" s="3">
        <f>IF(AND(LEFT(tblAsignaciones[[#This Row],[posicion_ciclo]],1)="T",tblAsignaciones[[#This Row],[en_vacaciones]]="no"),"sí","no")</f>
        <v/>
      </c>
    </row>
    <row r="327">
      <c r="A327" s="3" t="inlineStr">
        <is>
          <t>2026-S32</t>
        </is>
      </c>
      <c r="B327" s="3" t="inlineStr">
        <is>
          <t>martes</t>
        </is>
      </c>
      <c r="C327" s="3" t="inlineStr">
        <is>
          <t>Técnico 15</t>
        </is>
      </c>
      <c r="D327" s="3">
        <f>_xlfn.XLOOKUP(tblAsignaciones[[#This Row],[tecnico]],tblTecnicos[nombre],tblTecnicos[area],"")</f>
        <v/>
      </c>
      <c r="E327" s="3">
        <f>_xlfn.XLOOKUP(tblAsignaciones[[#This Row],[tecnico]],tblTecnicos[nombre],tblTecnicos[especialidad],"")</f>
        <v/>
      </c>
      <c r="F327" s="3">
        <f>COUNTIFS(tblTecnicos[rotativo],"SI",tblTecnicos[especialidad],tblAsignaciones[[#This Row],[especialidad]],tblTecnicos[area],tblAsignaciones[[#This Row],[area]])</f>
        <v/>
      </c>
      <c r="G32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7" s="6" t="n"/>
      <c r="J32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7" s="3">
        <f>_xlfn.XLOOKUP(tblAsignaciones[[#This Row],[tecnico]],tblTecnicos[nombre],tblTecnicos[supervisor],"")</f>
        <v/>
      </c>
      <c r="L32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7" s="3">
        <f>tblAsignaciones[[#This Row],[semana]]&amp;"|"&amp;tblAsignaciones[[#This Row],[dia]]&amp;"|"&amp;tblAsignaciones[[#This Row],[tecnico]]</f>
        <v/>
      </c>
      <c r="O327" s="3">
        <f>_xlfn.XLOOKUP(tblAsignaciones[[#This Row],[turno]],tblTurnos[turno],tblTurnos[hora_inicio],"")</f>
        <v/>
      </c>
      <c r="P327" s="3">
        <f>_xlfn.XLOOKUP(tblAsignaciones[[#This Row],[turno]],tblTurnos[turno],tblTurnos[hora_fin],"")</f>
        <v/>
      </c>
      <c r="Q327" s="3">
        <f>IF(AND(LEFT(tblAsignaciones[[#This Row],[posicion_ciclo]],1)="T",tblAsignaciones[[#This Row],[en_vacaciones]]="no"),"sí","no")</f>
        <v/>
      </c>
    </row>
    <row r="328">
      <c r="A328" s="3" t="inlineStr">
        <is>
          <t>2026-S32</t>
        </is>
      </c>
      <c r="B328" s="3" t="inlineStr">
        <is>
          <t>miércoles</t>
        </is>
      </c>
      <c r="C328" s="3" t="inlineStr">
        <is>
          <t>Técnico 15</t>
        </is>
      </c>
      <c r="D328" s="3">
        <f>_xlfn.XLOOKUP(tblAsignaciones[[#This Row],[tecnico]],tblTecnicos[nombre],tblTecnicos[area],"")</f>
        <v/>
      </c>
      <c r="E328" s="3">
        <f>_xlfn.XLOOKUP(tblAsignaciones[[#This Row],[tecnico]],tblTecnicos[nombre],tblTecnicos[especialidad],"")</f>
        <v/>
      </c>
      <c r="F328" s="3">
        <f>COUNTIFS(tblTecnicos[rotativo],"SI",tblTecnicos[especialidad],tblAsignaciones[[#This Row],[especialidad]],tblTecnicos[area],tblAsignaciones[[#This Row],[area]])</f>
        <v/>
      </c>
      <c r="G32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8" s="6" t="n"/>
      <c r="J32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8" s="3">
        <f>_xlfn.XLOOKUP(tblAsignaciones[[#This Row],[tecnico]],tblTecnicos[nombre],tblTecnicos[supervisor],"")</f>
        <v/>
      </c>
      <c r="L32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8" s="3">
        <f>tblAsignaciones[[#This Row],[semana]]&amp;"|"&amp;tblAsignaciones[[#This Row],[dia]]&amp;"|"&amp;tblAsignaciones[[#This Row],[tecnico]]</f>
        <v/>
      </c>
      <c r="O328" s="3">
        <f>_xlfn.XLOOKUP(tblAsignaciones[[#This Row],[turno]],tblTurnos[turno],tblTurnos[hora_inicio],"")</f>
        <v/>
      </c>
      <c r="P328" s="3">
        <f>_xlfn.XLOOKUP(tblAsignaciones[[#This Row],[turno]],tblTurnos[turno],tblTurnos[hora_fin],"")</f>
        <v/>
      </c>
      <c r="Q328" s="3">
        <f>IF(AND(LEFT(tblAsignaciones[[#This Row],[posicion_ciclo]],1)="T",tblAsignaciones[[#This Row],[en_vacaciones]]="no"),"sí","no")</f>
        <v/>
      </c>
    </row>
    <row r="329">
      <c r="A329" s="3" t="inlineStr">
        <is>
          <t>2026-S32</t>
        </is>
      </c>
      <c r="B329" s="3" t="inlineStr">
        <is>
          <t>jueves</t>
        </is>
      </c>
      <c r="C329" s="3" t="inlineStr">
        <is>
          <t>Técnico 15</t>
        </is>
      </c>
      <c r="D329" s="3">
        <f>_xlfn.XLOOKUP(tblAsignaciones[[#This Row],[tecnico]],tblTecnicos[nombre],tblTecnicos[area],"")</f>
        <v/>
      </c>
      <c r="E329" s="3">
        <f>_xlfn.XLOOKUP(tblAsignaciones[[#This Row],[tecnico]],tblTecnicos[nombre],tblTecnicos[especialidad],"")</f>
        <v/>
      </c>
      <c r="F329" s="3">
        <f>COUNTIFS(tblTecnicos[rotativo],"SI",tblTecnicos[especialidad],tblAsignaciones[[#This Row],[especialidad]],tblTecnicos[area],tblAsignaciones[[#This Row],[area]])</f>
        <v/>
      </c>
      <c r="G32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9" s="6" t="n"/>
      <c r="J32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9" s="3">
        <f>_xlfn.XLOOKUP(tblAsignaciones[[#This Row],[tecnico]],tblTecnicos[nombre],tblTecnicos[supervisor],"")</f>
        <v/>
      </c>
      <c r="L32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9" s="3">
        <f>tblAsignaciones[[#This Row],[semana]]&amp;"|"&amp;tblAsignaciones[[#This Row],[dia]]&amp;"|"&amp;tblAsignaciones[[#This Row],[tecnico]]</f>
        <v/>
      </c>
      <c r="O329" s="3">
        <f>_xlfn.XLOOKUP(tblAsignaciones[[#This Row],[turno]],tblTurnos[turno],tblTurnos[hora_inicio],"")</f>
        <v/>
      </c>
      <c r="P329" s="3">
        <f>_xlfn.XLOOKUP(tblAsignaciones[[#This Row],[turno]],tblTurnos[turno],tblTurnos[hora_fin],"")</f>
        <v/>
      </c>
      <c r="Q329" s="3">
        <f>IF(AND(LEFT(tblAsignaciones[[#This Row],[posicion_ciclo]],1)="T",tblAsignaciones[[#This Row],[en_vacaciones]]="no"),"sí","no")</f>
        <v/>
      </c>
    </row>
    <row r="330">
      <c r="A330" s="3" t="inlineStr">
        <is>
          <t>2026-S32</t>
        </is>
      </c>
      <c r="B330" s="3" t="inlineStr">
        <is>
          <t>viernes</t>
        </is>
      </c>
      <c r="C330" s="3" t="inlineStr">
        <is>
          <t>Técnico 15</t>
        </is>
      </c>
      <c r="D330" s="3">
        <f>_xlfn.XLOOKUP(tblAsignaciones[[#This Row],[tecnico]],tblTecnicos[nombre],tblTecnicos[area],"")</f>
        <v/>
      </c>
      <c r="E330" s="3">
        <f>_xlfn.XLOOKUP(tblAsignaciones[[#This Row],[tecnico]],tblTecnicos[nombre],tblTecnicos[especialidad],"")</f>
        <v/>
      </c>
      <c r="F330" s="3">
        <f>COUNTIFS(tblTecnicos[rotativo],"SI",tblTecnicos[especialidad],tblAsignaciones[[#This Row],[especialidad]],tblTecnicos[area],tblAsignaciones[[#This Row],[area]])</f>
        <v/>
      </c>
      <c r="G33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0" s="6" t="n"/>
      <c r="J33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0" s="3">
        <f>_xlfn.XLOOKUP(tblAsignaciones[[#This Row],[tecnico]],tblTecnicos[nombre],tblTecnicos[supervisor],"")</f>
        <v/>
      </c>
      <c r="L33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0" s="3">
        <f>tblAsignaciones[[#This Row],[semana]]&amp;"|"&amp;tblAsignaciones[[#This Row],[dia]]&amp;"|"&amp;tblAsignaciones[[#This Row],[tecnico]]</f>
        <v/>
      </c>
      <c r="O330" s="3">
        <f>_xlfn.XLOOKUP(tblAsignaciones[[#This Row],[turno]],tblTurnos[turno],tblTurnos[hora_inicio],"")</f>
        <v/>
      </c>
      <c r="P330" s="3">
        <f>_xlfn.XLOOKUP(tblAsignaciones[[#This Row],[turno]],tblTurnos[turno],tblTurnos[hora_fin],"")</f>
        <v/>
      </c>
      <c r="Q330" s="3">
        <f>IF(AND(LEFT(tblAsignaciones[[#This Row],[posicion_ciclo]],1)="T",tblAsignaciones[[#This Row],[en_vacaciones]]="no"),"sí","no")</f>
        <v/>
      </c>
    </row>
    <row r="331">
      <c r="A331" s="3" t="inlineStr">
        <is>
          <t>2026-S32</t>
        </is>
      </c>
      <c r="B331" s="3" t="inlineStr">
        <is>
          <t>sábado</t>
        </is>
      </c>
      <c r="C331" s="3" t="inlineStr">
        <is>
          <t>Técnico 15</t>
        </is>
      </c>
      <c r="D331" s="3">
        <f>_xlfn.XLOOKUP(tblAsignaciones[[#This Row],[tecnico]],tblTecnicos[nombre],tblTecnicos[area],"")</f>
        <v/>
      </c>
      <c r="E331" s="3">
        <f>_xlfn.XLOOKUP(tblAsignaciones[[#This Row],[tecnico]],tblTecnicos[nombre],tblTecnicos[especialidad],"")</f>
        <v/>
      </c>
      <c r="F331" s="3">
        <f>COUNTIFS(tblTecnicos[rotativo],"SI",tblTecnicos[especialidad],tblAsignaciones[[#This Row],[especialidad]],tblTecnicos[area],tblAsignaciones[[#This Row],[area]])</f>
        <v/>
      </c>
      <c r="G33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1" s="6" t="n"/>
      <c r="J33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1" s="3">
        <f>_xlfn.XLOOKUP(tblAsignaciones[[#This Row],[tecnico]],tblTecnicos[nombre],tblTecnicos[supervisor],"")</f>
        <v/>
      </c>
      <c r="L33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1" s="3">
        <f>tblAsignaciones[[#This Row],[semana]]&amp;"|"&amp;tblAsignaciones[[#This Row],[dia]]&amp;"|"&amp;tblAsignaciones[[#This Row],[tecnico]]</f>
        <v/>
      </c>
      <c r="O331" s="3">
        <f>_xlfn.XLOOKUP(tblAsignaciones[[#This Row],[turno]],tblTurnos[turno],tblTurnos[hora_inicio],"")</f>
        <v/>
      </c>
      <c r="P331" s="3">
        <f>_xlfn.XLOOKUP(tblAsignaciones[[#This Row],[turno]],tblTurnos[turno],tblTurnos[hora_fin],"")</f>
        <v/>
      </c>
      <c r="Q331" s="3">
        <f>IF(AND(LEFT(tblAsignaciones[[#This Row],[posicion_ciclo]],1)="T",tblAsignaciones[[#This Row],[en_vacaciones]]="no"),"sí","no")</f>
        <v/>
      </c>
    </row>
    <row r="332">
      <c r="A332" s="3" t="inlineStr">
        <is>
          <t>2026-S32</t>
        </is>
      </c>
      <c r="B332" s="3" t="inlineStr">
        <is>
          <t>domingo</t>
        </is>
      </c>
      <c r="C332" s="3" t="inlineStr">
        <is>
          <t>Técnico 15</t>
        </is>
      </c>
      <c r="D332" s="3">
        <f>_xlfn.XLOOKUP(tblAsignaciones[[#This Row],[tecnico]],tblTecnicos[nombre],tblTecnicos[area],"")</f>
        <v/>
      </c>
      <c r="E332" s="3">
        <f>_xlfn.XLOOKUP(tblAsignaciones[[#This Row],[tecnico]],tblTecnicos[nombre],tblTecnicos[especialidad],"")</f>
        <v/>
      </c>
      <c r="F332" s="3">
        <f>COUNTIFS(tblTecnicos[rotativo],"SI",tblTecnicos[especialidad],tblAsignaciones[[#This Row],[especialidad]],tblTecnicos[area],tblAsignaciones[[#This Row],[area]])</f>
        <v/>
      </c>
      <c r="G33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2" s="6" t="n"/>
      <c r="J33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2" s="3">
        <f>_xlfn.XLOOKUP(tblAsignaciones[[#This Row],[tecnico]],tblTecnicos[nombre],tblTecnicos[supervisor],"")</f>
        <v/>
      </c>
      <c r="L33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2" s="3">
        <f>tblAsignaciones[[#This Row],[semana]]&amp;"|"&amp;tblAsignaciones[[#This Row],[dia]]&amp;"|"&amp;tblAsignaciones[[#This Row],[tecnico]]</f>
        <v/>
      </c>
      <c r="O332" s="3">
        <f>_xlfn.XLOOKUP(tblAsignaciones[[#This Row],[turno]],tblTurnos[turno],tblTurnos[hora_inicio],"")</f>
        <v/>
      </c>
      <c r="P332" s="3">
        <f>_xlfn.XLOOKUP(tblAsignaciones[[#This Row],[turno]],tblTurnos[turno],tblTurnos[hora_fin],"")</f>
        <v/>
      </c>
      <c r="Q332" s="3">
        <f>IF(AND(LEFT(tblAsignaciones[[#This Row],[posicion_ciclo]],1)="T",tblAsignaciones[[#This Row],[en_vacaciones]]="no"),"sí","no")</f>
        <v/>
      </c>
    </row>
    <row r="333">
      <c r="A333" s="3" t="inlineStr">
        <is>
          <t>2026-S32</t>
        </is>
      </c>
      <c r="B333" s="3" t="inlineStr">
        <is>
          <t>lunes</t>
        </is>
      </c>
      <c r="C333" s="3" t="inlineStr">
        <is>
          <t>Técnico 16</t>
        </is>
      </c>
      <c r="D333" s="3">
        <f>_xlfn.XLOOKUP(tblAsignaciones[[#This Row],[tecnico]],tblTecnicos[nombre],tblTecnicos[area],"")</f>
        <v/>
      </c>
      <c r="E333" s="3">
        <f>_xlfn.XLOOKUP(tblAsignaciones[[#This Row],[tecnico]],tblTecnicos[nombre],tblTecnicos[especialidad],"")</f>
        <v/>
      </c>
      <c r="F333" s="3">
        <f>COUNTIFS(tblTecnicos[rotativo],"SI",tblTecnicos[especialidad],tblAsignaciones[[#This Row],[especialidad]],tblTecnicos[area],tblAsignaciones[[#This Row],[area]])</f>
        <v/>
      </c>
      <c r="G33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3" s="6" t="n"/>
      <c r="J33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3" s="3">
        <f>_xlfn.XLOOKUP(tblAsignaciones[[#This Row],[tecnico]],tblTecnicos[nombre],tblTecnicos[supervisor],"")</f>
        <v/>
      </c>
      <c r="L33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3" s="3">
        <f>tblAsignaciones[[#This Row],[semana]]&amp;"|"&amp;tblAsignaciones[[#This Row],[dia]]&amp;"|"&amp;tblAsignaciones[[#This Row],[tecnico]]</f>
        <v/>
      </c>
      <c r="O333" s="3">
        <f>_xlfn.XLOOKUP(tblAsignaciones[[#This Row],[turno]],tblTurnos[turno],tblTurnos[hora_inicio],"")</f>
        <v/>
      </c>
      <c r="P333" s="3">
        <f>_xlfn.XLOOKUP(tblAsignaciones[[#This Row],[turno]],tblTurnos[turno],tblTurnos[hora_fin],"")</f>
        <v/>
      </c>
      <c r="Q333" s="3">
        <f>IF(AND(LEFT(tblAsignaciones[[#This Row],[posicion_ciclo]],1)="T",tblAsignaciones[[#This Row],[en_vacaciones]]="no"),"sí","no")</f>
        <v/>
      </c>
    </row>
    <row r="334">
      <c r="A334" s="3" t="inlineStr">
        <is>
          <t>2026-S32</t>
        </is>
      </c>
      <c r="B334" s="3" t="inlineStr">
        <is>
          <t>martes</t>
        </is>
      </c>
      <c r="C334" s="3" t="inlineStr">
        <is>
          <t>Técnico 16</t>
        </is>
      </c>
      <c r="D334" s="3">
        <f>_xlfn.XLOOKUP(tblAsignaciones[[#This Row],[tecnico]],tblTecnicos[nombre],tblTecnicos[area],"")</f>
        <v/>
      </c>
      <c r="E334" s="3">
        <f>_xlfn.XLOOKUP(tblAsignaciones[[#This Row],[tecnico]],tblTecnicos[nombre],tblTecnicos[especialidad],"")</f>
        <v/>
      </c>
      <c r="F334" s="3">
        <f>COUNTIFS(tblTecnicos[rotativo],"SI",tblTecnicos[especialidad],tblAsignaciones[[#This Row],[especialidad]],tblTecnicos[area],tblAsignaciones[[#This Row],[area]])</f>
        <v/>
      </c>
      <c r="G33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4" s="6" t="n"/>
      <c r="J33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4" s="3">
        <f>_xlfn.XLOOKUP(tblAsignaciones[[#This Row],[tecnico]],tblTecnicos[nombre],tblTecnicos[supervisor],"")</f>
        <v/>
      </c>
      <c r="L33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4" s="3">
        <f>tblAsignaciones[[#This Row],[semana]]&amp;"|"&amp;tblAsignaciones[[#This Row],[dia]]&amp;"|"&amp;tblAsignaciones[[#This Row],[tecnico]]</f>
        <v/>
      </c>
      <c r="O334" s="3">
        <f>_xlfn.XLOOKUP(tblAsignaciones[[#This Row],[turno]],tblTurnos[turno],tblTurnos[hora_inicio],"")</f>
        <v/>
      </c>
      <c r="P334" s="3">
        <f>_xlfn.XLOOKUP(tblAsignaciones[[#This Row],[turno]],tblTurnos[turno],tblTurnos[hora_fin],"")</f>
        <v/>
      </c>
      <c r="Q334" s="3">
        <f>IF(AND(LEFT(tblAsignaciones[[#This Row],[posicion_ciclo]],1)="T",tblAsignaciones[[#This Row],[en_vacaciones]]="no"),"sí","no")</f>
        <v/>
      </c>
    </row>
    <row r="335">
      <c r="A335" s="3" t="inlineStr">
        <is>
          <t>2026-S32</t>
        </is>
      </c>
      <c r="B335" s="3" t="inlineStr">
        <is>
          <t>miércoles</t>
        </is>
      </c>
      <c r="C335" s="3" t="inlineStr">
        <is>
          <t>Técnico 16</t>
        </is>
      </c>
      <c r="D335" s="3">
        <f>_xlfn.XLOOKUP(tblAsignaciones[[#This Row],[tecnico]],tblTecnicos[nombre],tblTecnicos[area],"")</f>
        <v/>
      </c>
      <c r="E335" s="3">
        <f>_xlfn.XLOOKUP(tblAsignaciones[[#This Row],[tecnico]],tblTecnicos[nombre],tblTecnicos[especialidad],"")</f>
        <v/>
      </c>
      <c r="F335" s="3">
        <f>COUNTIFS(tblTecnicos[rotativo],"SI",tblTecnicos[especialidad],tblAsignaciones[[#This Row],[especialidad]],tblTecnicos[area],tblAsignaciones[[#This Row],[area]])</f>
        <v/>
      </c>
      <c r="G33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5" s="6" t="n"/>
      <c r="J33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5" s="3">
        <f>_xlfn.XLOOKUP(tblAsignaciones[[#This Row],[tecnico]],tblTecnicos[nombre],tblTecnicos[supervisor],"")</f>
        <v/>
      </c>
      <c r="L33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5" s="3">
        <f>tblAsignaciones[[#This Row],[semana]]&amp;"|"&amp;tblAsignaciones[[#This Row],[dia]]&amp;"|"&amp;tblAsignaciones[[#This Row],[tecnico]]</f>
        <v/>
      </c>
      <c r="O335" s="3">
        <f>_xlfn.XLOOKUP(tblAsignaciones[[#This Row],[turno]],tblTurnos[turno],tblTurnos[hora_inicio],"")</f>
        <v/>
      </c>
      <c r="P335" s="3">
        <f>_xlfn.XLOOKUP(tblAsignaciones[[#This Row],[turno]],tblTurnos[turno],tblTurnos[hora_fin],"")</f>
        <v/>
      </c>
      <c r="Q335" s="3">
        <f>IF(AND(LEFT(tblAsignaciones[[#This Row],[posicion_ciclo]],1)="T",tblAsignaciones[[#This Row],[en_vacaciones]]="no"),"sí","no")</f>
        <v/>
      </c>
    </row>
    <row r="336">
      <c r="A336" s="3" t="inlineStr">
        <is>
          <t>2026-S32</t>
        </is>
      </c>
      <c r="B336" s="3" t="inlineStr">
        <is>
          <t>jueves</t>
        </is>
      </c>
      <c r="C336" s="3" t="inlineStr">
        <is>
          <t>Técnico 16</t>
        </is>
      </c>
      <c r="D336" s="3">
        <f>_xlfn.XLOOKUP(tblAsignaciones[[#This Row],[tecnico]],tblTecnicos[nombre],tblTecnicos[area],"")</f>
        <v/>
      </c>
      <c r="E336" s="3">
        <f>_xlfn.XLOOKUP(tblAsignaciones[[#This Row],[tecnico]],tblTecnicos[nombre],tblTecnicos[especialidad],"")</f>
        <v/>
      </c>
      <c r="F336" s="3">
        <f>COUNTIFS(tblTecnicos[rotativo],"SI",tblTecnicos[especialidad],tblAsignaciones[[#This Row],[especialidad]],tblTecnicos[area],tblAsignaciones[[#This Row],[area]])</f>
        <v/>
      </c>
      <c r="G33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6" s="6" t="n"/>
      <c r="J33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6" s="3">
        <f>_xlfn.XLOOKUP(tblAsignaciones[[#This Row],[tecnico]],tblTecnicos[nombre],tblTecnicos[supervisor],"")</f>
        <v/>
      </c>
      <c r="L33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6" s="3">
        <f>tblAsignaciones[[#This Row],[semana]]&amp;"|"&amp;tblAsignaciones[[#This Row],[dia]]&amp;"|"&amp;tblAsignaciones[[#This Row],[tecnico]]</f>
        <v/>
      </c>
      <c r="O336" s="3">
        <f>_xlfn.XLOOKUP(tblAsignaciones[[#This Row],[turno]],tblTurnos[turno],tblTurnos[hora_inicio],"")</f>
        <v/>
      </c>
      <c r="P336" s="3">
        <f>_xlfn.XLOOKUP(tblAsignaciones[[#This Row],[turno]],tblTurnos[turno],tblTurnos[hora_fin],"")</f>
        <v/>
      </c>
      <c r="Q336" s="3">
        <f>IF(AND(LEFT(tblAsignaciones[[#This Row],[posicion_ciclo]],1)="T",tblAsignaciones[[#This Row],[en_vacaciones]]="no"),"sí","no")</f>
        <v/>
      </c>
    </row>
    <row r="337">
      <c r="A337" s="3" t="inlineStr">
        <is>
          <t>2026-S32</t>
        </is>
      </c>
      <c r="B337" s="3" t="inlineStr">
        <is>
          <t>viernes</t>
        </is>
      </c>
      <c r="C337" s="3" t="inlineStr">
        <is>
          <t>Técnico 16</t>
        </is>
      </c>
      <c r="D337" s="3">
        <f>_xlfn.XLOOKUP(tblAsignaciones[[#This Row],[tecnico]],tblTecnicos[nombre],tblTecnicos[area],"")</f>
        <v/>
      </c>
      <c r="E337" s="3">
        <f>_xlfn.XLOOKUP(tblAsignaciones[[#This Row],[tecnico]],tblTecnicos[nombre],tblTecnicos[especialidad],"")</f>
        <v/>
      </c>
      <c r="F337" s="3">
        <f>COUNTIFS(tblTecnicos[rotativo],"SI",tblTecnicos[especialidad],tblAsignaciones[[#This Row],[especialidad]],tblTecnicos[area],tblAsignaciones[[#This Row],[area]])</f>
        <v/>
      </c>
      <c r="G33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7" s="6" t="n"/>
      <c r="J33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7" s="3">
        <f>_xlfn.XLOOKUP(tblAsignaciones[[#This Row],[tecnico]],tblTecnicos[nombre],tblTecnicos[supervisor],"")</f>
        <v/>
      </c>
      <c r="L33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7" s="3">
        <f>tblAsignaciones[[#This Row],[semana]]&amp;"|"&amp;tblAsignaciones[[#This Row],[dia]]&amp;"|"&amp;tblAsignaciones[[#This Row],[tecnico]]</f>
        <v/>
      </c>
      <c r="O337" s="3">
        <f>_xlfn.XLOOKUP(tblAsignaciones[[#This Row],[turno]],tblTurnos[turno],tblTurnos[hora_inicio],"")</f>
        <v/>
      </c>
      <c r="P337" s="3">
        <f>_xlfn.XLOOKUP(tblAsignaciones[[#This Row],[turno]],tblTurnos[turno],tblTurnos[hora_fin],"")</f>
        <v/>
      </c>
      <c r="Q337" s="3">
        <f>IF(AND(LEFT(tblAsignaciones[[#This Row],[posicion_ciclo]],1)="T",tblAsignaciones[[#This Row],[en_vacaciones]]="no"),"sí","no")</f>
        <v/>
      </c>
    </row>
    <row r="338">
      <c r="A338" s="3" t="inlineStr">
        <is>
          <t>2026-S32</t>
        </is>
      </c>
      <c r="B338" s="3" t="inlineStr">
        <is>
          <t>sábado</t>
        </is>
      </c>
      <c r="C338" s="3" t="inlineStr">
        <is>
          <t>Técnico 16</t>
        </is>
      </c>
      <c r="D338" s="3">
        <f>_xlfn.XLOOKUP(tblAsignaciones[[#This Row],[tecnico]],tblTecnicos[nombre],tblTecnicos[area],"")</f>
        <v/>
      </c>
      <c r="E338" s="3">
        <f>_xlfn.XLOOKUP(tblAsignaciones[[#This Row],[tecnico]],tblTecnicos[nombre],tblTecnicos[especialidad],"")</f>
        <v/>
      </c>
      <c r="F338" s="3">
        <f>COUNTIFS(tblTecnicos[rotativo],"SI",tblTecnicos[especialidad],tblAsignaciones[[#This Row],[especialidad]],tblTecnicos[area],tblAsignaciones[[#This Row],[area]])</f>
        <v/>
      </c>
      <c r="G33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8" s="6" t="n"/>
      <c r="J33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8" s="3">
        <f>_xlfn.XLOOKUP(tblAsignaciones[[#This Row],[tecnico]],tblTecnicos[nombre],tblTecnicos[supervisor],"")</f>
        <v/>
      </c>
      <c r="L33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8" s="3">
        <f>tblAsignaciones[[#This Row],[semana]]&amp;"|"&amp;tblAsignaciones[[#This Row],[dia]]&amp;"|"&amp;tblAsignaciones[[#This Row],[tecnico]]</f>
        <v/>
      </c>
      <c r="O338" s="3">
        <f>_xlfn.XLOOKUP(tblAsignaciones[[#This Row],[turno]],tblTurnos[turno],tblTurnos[hora_inicio],"")</f>
        <v/>
      </c>
      <c r="P338" s="3">
        <f>_xlfn.XLOOKUP(tblAsignaciones[[#This Row],[turno]],tblTurnos[turno],tblTurnos[hora_fin],"")</f>
        <v/>
      </c>
      <c r="Q338" s="3">
        <f>IF(AND(LEFT(tblAsignaciones[[#This Row],[posicion_ciclo]],1)="T",tblAsignaciones[[#This Row],[en_vacaciones]]="no"),"sí","no")</f>
        <v/>
      </c>
    </row>
    <row r="339">
      <c r="A339" s="3" t="inlineStr">
        <is>
          <t>2026-S32</t>
        </is>
      </c>
      <c r="B339" s="3" t="inlineStr">
        <is>
          <t>domingo</t>
        </is>
      </c>
      <c r="C339" s="3" t="inlineStr">
        <is>
          <t>Técnico 16</t>
        </is>
      </c>
      <c r="D339" s="3">
        <f>_xlfn.XLOOKUP(tblAsignaciones[[#This Row],[tecnico]],tblTecnicos[nombre],tblTecnicos[area],"")</f>
        <v/>
      </c>
      <c r="E339" s="3">
        <f>_xlfn.XLOOKUP(tblAsignaciones[[#This Row],[tecnico]],tblTecnicos[nombre],tblTecnicos[especialidad],"")</f>
        <v/>
      </c>
      <c r="F339" s="3">
        <f>COUNTIFS(tblTecnicos[rotativo],"SI",tblTecnicos[especialidad],tblAsignaciones[[#This Row],[especialidad]],tblTecnicos[area],tblAsignaciones[[#This Row],[area]])</f>
        <v/>
      </c>
      <c r="G33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9" s="6" t="n"/>
      <c r="J33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9" s="3">
        <f>_xlfn.XLOOKUP(tblAsignaciones[[#This Row],[tecnico]],tblTecnicos[nombre],tblTecnicos[supervisor],"")</f>
        <v/>
      </c>
      <c r="L33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9" s="3">
        <f>tblAsignaciones[[#This Row],[semana]]&amp;"|"&amp;tblAsignaciones[[#This Row],[dia]]&amp;"|"&amp;tblAsignaciones[[#This Row],[tecnico]]</f>
        <v/>
      </c>
      <c r="O339" s="3">
        <f>_xlfn.XLOOKUP(tblAsignaciones[[#This Row],[turno]],tblTurnos[turno],tblTurnos[hora_inicio],"")</f>
        <v/>
      </c>
      <c r="P339" s="3">
        <f>_xlfn.XLOOKUP(tblAsignaciones[[#This Row],[turno]],tblTurnos[turno],tblTurnos[hora_fin],"")</f>
        <v/>
      </c>
      <c r="Q339" s="3">
        <f>IF(AND(LEFT(tblAsignaciones[[#This Row],[posicion_ciclo]],1)="T",tblAsignaciones[[#This Row],[en_vacaciones]]="no"),"sí","no")</f>
        <v/>
      </c>
    </row>
    <row r="340">
      <c r="A340" s="3" t="inlineStr">
        <is>
          <t>2026-S33</t>
        </is>
      </c>
      <c r="B340" s="3" t="inlineStr">
        <is>
          <t>lunes</t>
        </is>
      </c>
      <c r="C340" s="3" t="inlineStr">
        <is>
          <t>Técnico 01</t>
        </is>
      </c>
      <c r="D340" s="3">
        <f>_xlfn.XLOOKUP(tblAsignaciones[[#This Row],[tecnico]],tblTecnicos[nombre],tblTecnicos[area],"")</f>
        <v/>
      </c>
      <c r="E340" s="3">
        <f>_xlfn.XLOOKUP(tblAsignaciones[[#This Row],[tecnico]],tblTecnicos[nombre],tblTecnicos[especialidad],"")</f>
        <v/>
      </c>
      <c r="F340" s="3">
        <f>COUNTIFS(tblTecnicos[rotativo],"SI",tblTecnicos[especialidad],tblAsignaciones[[#This Row],[especialidad]],tblTecnicos[area],tblAsignaciones[[#This Row],[area]])</f>
        <v/>
      </c>
      <c r="G34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0" s="6" t="n"/>
      <c r="J34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0" s="3">
        <f>_xlfn.XLOOKUP(tblAsignaciones[[#This Row],[tecnico]],tblTecnicos[nombre],tblTecnicos[supervisor],"")</f>
        <v/>
      </c>
      <c r="L34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0" s="3">
        <f>tblAsignaciones[[#This Row],[semana]]&amp;"|"&amp;tblAsignaciones[[#This Row],[dia]]&amp;"|"&amp;tblAsignaciones[[#This Row],[tecnico]]</f>
        <v/>
      </c>
      <c r="O340" s="3">
        <f>_xlfn.XLOOKUP(tblAsignaciones[[#This Row],[turno]],tblTurnos[turno],tblTurnos[hora_inicio],"")</f>
        <v/>
      </c>
      <c r="P340" s="3">
        <f>_xlfn.XLOOKUP(tblAsignaciones[[#This Row],[turno]],tblTurnos[turno],tblTurnos[hora_fin],"")</f>
        <v/>
      </c>
      <c r="Q340" s="3">
        <f>IF(AND(LEFT(tblAsignaciones[[#This Row],[posicion_ciclo]],1)="T",tblAsignaciones[[#This Row],[en_vacaciones]]="no"),"sí","no")</f>
        <v/>
      </c>
    </row>
    <row r="341">
      <c r="A341" s="3" t="inlineStr">
        <is>
          <t>2026-S33</t>
        </is>
      </c>
      <c r="B341" s="3" t="inlineStr">
        <is>
          <t>martes</t>
        </is>
      </c>
      <c r="C341" s="3" t="inlineStr">
        <is>
          <t>Técnico 01</t>
        </is>
      </c>
      <c r="D341" s="3">
        <f>_xlfn.XLOOKUP(tblAsignaciones[[#This Row],[tecnico]],tblTecnicos[nombre],tblTecnicos[area],"")</f>
        <v/>
      </c>
      <c r="E341" s="3">
        <f>_xlfn.XLOOKUP(tblAsignaciones[[#This Row],[tecnico]],tblTecnicos[nombre],tblTecnicos[especialidad],"")</f>
        <v/>
      </c>
      <c r="F341" s="3">
        <f>COUNTIFS(tblTecnicos[rotativo],"SI",tblTecnicos[especialidad],tblAsignaciones[[#This Row],[especialidad]],tblTecnicos[area],tblAsignaciones[[#This Row],[area]])</f>
        <v/>
      </c>
      <c r="G34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1" s="6" t="n"/>
      <c r="J34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1" s="3">
        <f>_xlfn.XLOOKUP(tblAsignaciones[[#This Row],[tecnico]],tblTecnicos[nombre],tblTecnicos[supervisor],"")</f>
        <v/>
      </c>
      <c r="L34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1" s="3">
        <f>tblAsignaciones[[#This Row],[semana]]&amp;"|"&amp;tblAsignaciones[[#This Row],[dia]]&amp;"|"&amp;tblAsignaciones[[#This Row],[tecnico]]</f>
        <v/>
      </c>
      <c r="O341" s="3">
        <f>_xlfn.XLOOKUP(tblAsignaciones[[#This Row],[turno]],tblTurnos[turno],tblTurnos[hora_inicio],"")</f>
        <v/>
      </c>
      <c r="P341" s="3">
        <f>_xlfn.XLOOKUP(tblAsignaciones[[#This Row],[turno]],tblTurnos[turno],tblTurnos[hora_fin],"")</f>
        <v/>
      </c>
      <c r="Q341" s="3">
        <f>IF(AND(LEFT(tblAsignaciones[[#This Row],[posicion_ciclo]],1)="T",tblAsignaciones[[#This Row],[en_vacaciones]]="no"),"sí","no")</f>
        <v/>
      </c>
    </row>
    <row r="342">
      <c r="A342" s="3" t="inlineStr">
        <is>
          <t>2026-S33</t>
        </is>
      </c>
      <c r="B342" s="3" t="inlineStr">
        <is>
          <t>miércoles</t>
        </is>
      </c>
      <c r="C342" s="3" t="inlineStr">
        <is>
          <t>Técnico 01</t>
        </is>
      </c>
      <c r="D342" s="3">
        <f>_xlfn.XLOOKUP(tblAsignaciones[[#This Row],[tecnico]],tblTecnicos[nombre],tblTecnicos[area],"")</f>
        <v/>
      </c>
      <c r="E342" s="3">
        <f>_xlfn.XLOOKUP(tblAsignaciones[[#This Row],[tecnico]],tblTecnicos[nombre],tblTecnicos[especialidad],"")</f>
        <v/>
      </c>
      <c r="F342" s="3">
        <f>COUNTIFS(tblTecnicos[rotativo],"SI",tblTecnicos[especialidad],tblAsignaciones[[#This Row],[especialidad]],tblTecnicos[area],tblAsignaciones[[#This Row],[area]])</f>
        <v/>
      </c>
      <c r="G34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2" s="6" t="n"/>
      <c r="J34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2" s="3">
        <f>_xlfn.XLOOKUP(tblAsignaciones[[#This Row],[tecnico]],tblTecnicos[nombre],tblTecnicos[supervisor],"")</f>
        <v/>
      </c>
      <c r="L34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2" s="3">
        <f>tblAsignaciones[[#This Row],[semana]]&amp;"|"&amp;tblAsignaciones[[#This Row],[dia]]&amp;"|"&amp;tblAsignaciones[[#This Row],[tecnico]]</f>
        <v/>
      </c>
      <c r="O342" s="3">
        <f>_xlfn.XLOOKUP(tblAsignaciones[[#This Row],[turno]],tblTurnos[turno],tblTurnos[hora_inicio],"")</f>
        <v/>
      </c>
      <c r="P342" s="3">
        <f>_xlfn.XLOOKUP(tblAsignaciones[[#This Row],[turno]],tblTurnos[turno],tblTurnos[hora_fin],"")</f>
        <v/>
      </c>
      <c r="Q342" s="3">
        <f>IF(AND(LEFT(tblAsignaciones[[#This Row],[posicion_ciclo]],1)="T",tblAsignaciones[[#This Row],[en_vacaciones]]="no"),"sí","no")</f>
        <v/>
      </c>
    </row>
    <row r="343">
      <c r="A343" s="3" t="inlineStr">
        <is>
          <t>2026-S33</t>
        </is>
      </c>
      <c r="B343" s="3" t="inlineStr">
        <is>
          <t>jueves</t>
        </is>
      </c>
      <c r="C343" s="3" t="inlineStr">
        <is>
          <t>Técnico 01</t>
        </is>
      </c>
      <c r="D343" s="3">
        <f>_xlfn.XLOOKUP(tblAsignaciones[[#This Row],[tecnico]],tblTecnicos[nombre],tblTecnicos[area],"")</f>
        <v/>
      </c>
      <c r="E343" s="3">
        <f>_xlfn.XLOOKUP(tblAsignaciones[[#This Row],[tecnico]],tblTecnicos[nombre],tblTecnicos[especialidad],"")</f>
        <v/>
      </c>
      <c r="F343" s="3">
        <f>COUNTIFS(tblTecnicos[rotativo],"SI",tblTecnicos[especialidad],tblAsignaciones[[#This Row],[especialidad]],tblTecnicos[area],tblAsignaciones[[#This Row],[area]])</f>
        <v/>
      </c>
      <c r="G34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3" s="6" t="n"/>
      <c r="J34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3" s="3">
        <f>_xlfn.XLOOKUP(tblAsignaciones[[#This Row],[tecnico]],tblTecnicos[nombre],tblTecnicos[supervisor],"")</f>
        <v/>
      </c>
      <c r="L34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3" s="3">
        <f>tblAsignaciones[[#This Row],[semana]]&amp;"|"&amp;tblAsignaciones[[#This Row],[dia]]&amp;"|"&amp;tblAsignaciones[[#This Row],[tecnico]]</f>
        <v/>
      </c>
      <c r="O343" s="3">
        <f>_xlfn.XLOOKUP(tblAsignaciones[[#This Row],[turno]],tblTurnos[turno],tblTurnos[hora_inicio],"")</f>
        <v/>
      </c>
      <c r="P343" s="3">
        <f>_xlfn.XLOOKUP(tblAsignaciones[[#This Row],[turno]],tblTurnos[turno],tblTurnos[hora_fin],"")</f>
        <v/>
      </c>
      <c r="Q343" s="3">
        <f>IF(AND(LEFT(tblAsignaciones[[#This Row],[posicion_ciclo]],1)="T",tblAsignaciones[[#This Row],[en_vacaciones]]="no"),"sí","no")</f>
        <v/>
      </c>
    </row>
    <row r="344">
      <c r="A344" s="3" t="inlineStr">
        <is>
          <t>2026-S33</t>
        </is>
      </c>
      <c r="B344" s="3" t="inlineStr">
        <is>
          <t>viernes</t>
        </is>
      </c>
      <c r="C344" s="3" t="inlineStr">
        <is>
          <t>Técnico 01</t>
        </is>
      </c>
      <c r="D344" s="3">
        <f>_xlfn.XLOOKUP(tblAsignaciones[[#This Row],[tecnico]],tblTecnicos[nombre],tblTecnicos[area],"")</f>
        <v/>
      </c>
      <c r="E344" s="3">
        <f>_xlfn.XLOOKUP(tblAsignaciones[[#This Row],[tecnico]],tblTecnicos[nombre],tblTecnicos[especialidad],"")</f>
        <v/>
      </c>
      <c r="F344" s="3">
        <f>COUNTIFS(tblTecnicos[rotativo],"SI",tblTecnicos[especialidad],tblAsignaciones[[#This Row],[especialidad]],tblTecnicos[area],tblAsignaciones[[#This Row],[area]])</f>
        <v/>
      </c>
      <c r="G34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4" s="6" t="n"/>
      <c r="J34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4" s="3">
        <f>_xlfn.XLOOKUP(tblAsignaciones[[#This Row],[tecnico]],tblTecnicos[nombre],tblTecnicos[supervisor],"")</f>
        <v/>
      </c>
      <c r="L34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4" s="3">
        <f>tblAsignaciones[[#This Row],[semana]]&amp;"|"&amp;tblAsignaciones[[#This Row],[dia]]&amp;"|"&amp;tblAsignaciones[[#This Row],[tecnico]]</f>
        <v/>
      </c>
      <c r="O344" s="3">
        <f>_xlfn.XLOOKUP(tblAsignaciones[[#This Row],[turno]],tblTurnos[turno],tblTurnos[hora_inicio],"")</f>
        <v/>
      </c>
      <c r="P344" s="3">
        <f>_xlfn.XLOOKUP(tblAsignaciones[[#This Row],[turno]],tblTurnos[turno],tblTurnos[hora_fin],"")</f>
        <v/>
      </c>
      <c r="Q344" s="3">
        <f>IF(AND(LEFT(tblAsignaciones[[#This Row],[posicion_ciclo]],1)="T",tblAsignaciones[[#This Row],[en_vacaciones]]="no"),"sí","no")</f>
        <v/>
      </c>
    </row>
    <row r="345">
      <c r="A345" s="3" t="inlineStr">
        <is>
          <t>2026-S33</t>
        </is>
      </c>
      <c r="B345" s="3" t="inlineStr">
        <is>
          <t>sábado</t>
        </is>
      </c>
      <c r="C345" s="3" t="inlineStr">
        <is>
          <t>Técnico 01</t>
        </is>
      </c>
      <c r="D345" s="3">
        <f>_xlfn.XLOOKUP(tblAsignaciones[[#This Row],[tecnico]],tblTecnicos[nombre],tblTecnicos[area],"")</f>
        <v/>
      </c>
      <c r="E345" s="3">
        <f>_xlfn.XLOOKUP(tblAsignaciones[[#This Row],[tecnico]],tblTecnicos[nombre],tblTecnicos[especialidad],"")</f>
        <v/>
      </c>
      <c r="F345" s="3">
        <f>COUNTIFS(tblTecnicos[rotativo],"SI",tblTecnicos[especialidad],tblAsignaciones[[#This Row],[especialidad]],tblTecnicos[area],tblAsignaciones[[#This Row],[area]])</f>
        <v/>
      </c>
      <c r="G34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5" s="6" t="n"/>
      <c r="J34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5" s="3">
        <f>_xlfn.XLOOKUP(tblAsignaciones[[#This Row],[tecnico]],tblTecnicos[nombre],tblTecnicos[supervisor],"")</f>
        <v/>
      </c>
      <c r="L34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5" s="3">
        <f>tblAsignaciones[[#This Row],[semana]]&amp;"|"&amp;tblAsignaciones[[#This Row],[dia]]&amp;"|"&amp;tblAsignaciones[[#This Row],[tecnico]]</f>
        <v/>
      </c>
      <c r="O345" s="3">
        <f>_xlfn.XLOOKUP(tblAsignaciones[[#This Row],[turno]],tblTurnos[turno],tblTurnos[hora_inicio],"")</f>
        <v/>
      </c>
      <c r="P345" s="3">
        <f>_xlfn.XLOOKUP(tblAsignaciones[[#This Row],[turno]],tblTurnos[turno],tblTurnos[hora_fin],"")</f>
        <v/>
      </c>
      <c r="Q345" s="3">
        <f>IF(AND(LEFT(tblAsignaciones[[#This Row],[posicion_ciclo]],1)="T",tblAsignaciones[[#This Row],[en_vacaciones]]="no"),"sí","no")</f>
        <v/>
      </c>
    </row>
    <row r="346">
      <c r="A346" s="3" t="inlineStr">
        <is>
          <t>2026-S33</t>
        </is>
      </c>
      <c r="B346" s="3" t="inlineStr">
        <is>
          <t>domingo</t>
        </is>
      </c>
      <c r="C346" s="3" t="inlineStr">
        <is>
          <t>Técnico 01</t>
        </is>
      </c>
      <c r="D346" s="3">
        <f>_xlfn.XLOOKUP(tblAsignaciones[[#This Row],[tecnico]],tblTecnicos[nombre],tblTecnicos[area],"")</f>
        <v/>
      </c>
      <c r="E346" s="3">
        <f>_xlfn.XLOOKUP(tblAsignaciones[[#This Row],[tecnico]],tblTecnicos[nombre],tblTecnicos[especialidad],"")</f>
        <v/>
      </c>
      <c r="F346" s="3">
        <f>COUNTIFS(tblTecnicos[rotativo],"SI",tblTecnicos[especialidad],tblAsignaciones[[#This Row],[especialidad]],tblTecnicos[area],tblAsignaciones[[#This Row],[area]])</f>
        <v/>
      </c>
      <c r="G34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6" s="6" t="n"/>
      <c r="J34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6" s="3">
        <f>_xlfn.XLOOKUP(tblAsignaciones[[#This Row],[tecnico]],tblTecnicos[nombre],tblTecnicos[supervisor],"")</f>
        <v/>
      </c>
      <c r="L34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6" s="3">
        <f>tblAsignaciones[[#This Row],[semana]]&amp;"|"&amp;tblAsignaciones[[#This Row],[dia]]&amp;"|"&amp;tblAsignaciones[[#This Row],[tecnico]]</f>
        <v/>
      </c>
      <c r="O346" s="3">
        <f>_xlfn.XLOOKUP(tblAsignaciones[[#This Row],[turno]],tblTurnos[turno],tblTurnos[hora_inicio],"")</f>
        <v/>
      </c>
      <c r="P346" s="3">
        <f>_xlfn.XLOOKUP(tblAsignaciones[[#This Row],[turno]],tblTurnos[turno],tblTurnos[hora_fin],"")</f>
        <v/>
      </c>
      <c r="Q346" s="3">
        <f>IF(AND(LEFT(tblAsignaciones[[#This Row],[posicion_ciclo]],1)="T",tblAsignaciones[[#This Row],[en_vacaciones]]="no"),"sí","no")</f>
        <v/>
      </c>
    </row>
    <row r="347">
      <c r="A347" s="3" t="inlineStr">
        <is>
          <t>2026-S33</t>
        </is>
      </c>
      <c r="B347" s="3" t="inlineStr">
        <is>
          <t>lunes</t>
        </is>
      </c>
      <c r="C347" s="3" t="inlineStr">
        <is>
          <t>Técnico 02</t>
        </is>
      </c>
      <c r="D347" s="3">
        <f>_xlfn.XLOOKUP(tblAsignaciones[[#This Row],[tecnico]],tblTecnicos[nombre],tblTecnicos[area],"")</f>
        <v/>
      </c>
      <c r="E347" s="3">
        <f>_xlfn.XLOOKUP(tblAsignaciones[[#This Row],[tecnico]],tblTecnicos[nombre],tblTecnicos[especialidad],"")</f>
        <v/>
      </c>
      <c r="F347" s="3">
        <f>COUNTIFS(tblTecnicos[rotativo],"SI",tblTecnicos[especialidad],tblAsignaciones[[#This Row],[especialidad]],tblTecnicos[area],tblAsignaciones[[#This Row],[area]])</f>
        <v/>
      </c>
      <c r="G34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7" s="6" t="n"/>
      <c r="J34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7" s="3">
        <f>_xlfn.XLOOKUP(tblAsignaciones[[#This Row],[tecnico]],tblTecnicos[nombre],tblTecnicos[supervisor],"")</f>
        <v/>
      </c>
      <c r="L34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7" s="3">
        <f>tblAsignaciones[[#This Row],[semana]]&amp;"|"&amp;tblAsignaciones[[#This Row],[dia]]&amp;"|"&amp;tblAsignaciones[[#This Row],[tecnico]]</f>
        <v/>
      </c>
      <c r="O347" s="3">
        <f>_xlfn.XLOOKUP(tblAsignaciones[[#This Row],[turno]],tblTurnos[turno],tblTurnos[hora_inicio],"")</f>
        <v/>
      </c>
      <c r="P347" s="3">
        <f>_xlfn.XLOOKUP(tblAsignaciones[[#This Row],[turno]],tblTurnos[turno],tblTurnos[hora_fin],"")</f>
        <v/>
      </c>
      <c r="Q347" s="3">
        <f>IF(AND(LEFT(tblAsignaciones[[#This Row],[posicion_ciclo]],1)="T",tblAsignaciones[[#This Row],[en_vacaciones]]="no"),"sí","no")</f>
        <v/>
      </c>
    </row>
    <row r="348">
      <c r="A348" s="3" t="inlineStr">
        <is>
          <t>2026-S33</t>
        </is>
      </c>
      <c r="B348" s="3" t="inlineStr">
        <is>
          <t>martes</t>
        </is>
      </c>
      <c r="C348" s="3" t="inlineStr">
        <is>
          <t>Técnico 02</t>
        </is>
      </c>
      <c r="D348" s="3">
        <f>_xlfn.XLOOKUP(tblAsignaciones[[#This Row],[tecnico]],tblTecnicos[nombre],tblTecnicos[area],"")</f>
        <v/>
      </c>
      <c r="E348" s="3">
        <f>_xlfn.XLOOKUP(tblAsignaciones[[#This Row],[tecnico]],tblTecnicos[nombre],tblTecnicos[especialidad],"")</f>
        <v/>
      </c>
      <c r="F348" s="3">
        <f>COUNTIFS(tblTecnicos[rotativo],"SI",tblTecnicos[especialidad],tblAsignaciones[[#This Row],[especialidad]],tblTecnicos[area],tblAsignaciones[[#This Row],[area]])</f>
        <v/>
      </c>
      <c r="G34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8" s="6" t="n"/>
      <c r="J34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8" s="3">
        <f>_xlfn.XLOOKUP(tblAsignaciones[[#This Row],[tecnico]],tblTecnicos[nombre],tblTecnicos[supervisor],"")</f>
        <v/>
      </c>
      <c r="L34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8" s="3">
        <f>tblAsignaciones[[#This Row],[semana]]&amp;"|"&amp;tblAsignaciones[[#This Row],[dia]]&amp;"|"&amp;tblAsignaciones[[#This Row],[tecnico]]</f>
        <v/>
      </c>
      <c r="O348" s="3">
        <f>_xlfn.XLOOKUP(tblAsignaciones[[#This Row],[turno]],tblTurnos[turno],tblTurnos[hora_inicio],"")</f>
        <v/>
      </c>
      <c r="P348" s="3">
        <f>_xlfn.XLOOKUP(tblAsignaciones[[#This Row],[turno]],tblTurnos[turno],tblTurnos[hora_fin],"")</f>
        <v/>
      </c>
      <c r="Q348" s="3">
        <f>IF(AND(LEFT(tblAsignaciones[[#This Row],[posicion_ciclo]],1)="T",tblAsignaciones[[#This Row],[en_vacaciones]]="no"),"sí","no")</f>
        <v/>
      </c>
    </row>
    <row r="349">
      <c r="A349" s="3" t="inlineStr">
        <is>
          <t>2026-S33</t>
        </is>
      </c>
      <c r="B349" s="3" t="inlineStr">
        <is>
          <t>miércoles</t>
        </is>
      </c>
      <c r="C349" s="3" t="inlineStr">
        <is>
          <t>Técnico 02</t>
        </is>
      </c>
      <c r="D349" s="3">
        <f>_xlfn.XLOOKUP(tblAsignaciones[[#This Row],[tecnico]],tblTecnicos[nombre],tblTecnicos[area],"")</f>
        <v/>
      </c>
      <c r="E349" s="3">
        <f>_xlfn.XLOOKUP(tblAsignaciones[[#This Row],[tecnico]],tblTecnicos[nombre],tblTecnicos[especialidad],"")</f>
        <v/>
      </c>
      <c r="F349" s="3">
        <f>COUNTIFS(tblTecnicos[rotativo],"SI",tblTecnicos[especialidad],tblAsignaciones[[#This Row],[especialidad]],tblTecnicos[area],tblAsignaciones[[#This Row],[area]])</f>
        <v/>
      </c>
      <c r="G34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9" s="6" t="n"/>
      <c r="J34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9" s="3">
        <f>_xlfn.XLOOKUP(tblAsignaciones[[#This Row],[tecnico]],tblTecnicos[nombre],tblTecnicos[supervisor],"")</f>
        <v/>
      </c>
      <c r="L34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9" s="3">
        <f>tblAsignaciones[[#This Row],[semana]]&amp;"|"&amp;tblAsignaciones[[#This Row],[dia]]&amp;"|"&amp;tblAsignaciones[[#This Row],[tecnico]]</f>
        <v/>
      </c>
      <c r="O349" s="3">
        <f>_xlfn.XLOOKUP(tblAsignaciones[[#This Row],[turno]],tblTurnos[turno],tblTurnos[hora_inicio],"")</f>
        <v/>
      </c>
      <c r="P349" s="3">
        <f>_xlfn.XLOOKUP(tblAsignaciones[[#This Row],[turno]],tblTurnos[turno],tblTurnos[hora_fin],"")</f>
        <v/>
      </c>
      <c r="Q349" s="3">
        <f>IF(AND(LEFT(tblAsignaciones[[#This Row],[posicion_ciclo]],1)="T",tblAsignaciones[[#This Row],[en_vacaciones]]="no"),"sí","no")</f>
        <v/>
      </c>
    </row>
    <row r="350">
      <c r="A350" s="3" t="inlineStr">
        <is>
          <t>2026-S33</t>
        </is>
      </c>
      <c r="B350" s="3" t="inlineStr">
        <is>
          <t>jueves</t>
        </is>
      </c>
      <c r="C350" s="3" t="inlineStr">
        <is>
          <t>Técnico 02</t>
        </is>
      </c>
      <c r="D350" s="3">
        <f>_xlfn.XLOOKUP(tblAsignaciones[[#This Row],[tecnico]],tblTecnicos[nombre],tblTecnicos[area],"")</f>
        <v/>
      </c>
      <c r="E350" s="3">
        <f>_xlfn.XLOOKUP(tblAsignaciones[[#This Row],[tecnico]],tblTecnicos[nombre],tblTecnicos[especialidad],"")</f>
        <v/>
      </c>
      <c r="F350" s="3">
        <f>COUNTIFS(tblTecnicos[rotativo],"SI",tblTecnicos[especialidad],tblAsignaciones[[#This Row],[especialidad]],tblTecnicos[area],tblAsignaciones[[#This Row],[area]])</f>
        <v/>
      </c>
      <c r="G35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0" s="6" t="n"/>
      <c r="J35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0" s="3">
        <f>_xlfn.XLOOKUP(tblAsignaciones[[#This Row],[tecnico]],tblTecnicos[nombre],tblTecnicos[supervisor],"")</f>
        <v/>
      </c>
      <c r="L35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0" s="3">
        <f>tblAsignaciones[[#This Row],[semana]]&amp;"|"&amp;tblAsignaciones[[#This Row],[dia]]&amp;"|"&amp;tblAsignaciones[[#This Row],[tecnico]]</f>
        <v/>
      </c>
      <c r="O350" s="3">
        <f>_xlfn.XLOOKUP(tblAsignaciones[[#This Row],[turno]],tblTurnos[turno],tblTurnos[hora_inicio],"")</f>
        <v/>
      </c>
      <c r="P350" s="3">
        <f>_xlfn.XLOOKUP(tblAsignaciones[[#This Row],[turno]],tblTurnos[turno],tblTurnos[hora_fin],"")</f>
        <v/>
      </c>
      <c r="Q350" s="3">
        <f>IF(AND(LEFT(tblAsignaciones[[#This Row],[posicion_ciclo]],1)="T",tblAsignaciones[[#This Row],[en_vacaciones]]="no"),"sí","no")</f>
        <v/>
      </c>
    </row>
    <row r="351">
      <c r="A351" s="3" t="inlineStr">
        <is>
          <t>2026-S33</t>
        </is>
      </c>
      <c r="B351" s="3" t="inlineStr">
        <is>
          <t>viernes</t>
        </is>
      </c>
      <c r="C351" s="3" t="inlineStr">
        <is>
          <t>Técnico 02</t>
        </is>
      </c>
      <c r="D351" s="3">
        <f>_xlfn.XLOOKUP(tblAsignaciones[[#This Row],[tecnico]],tblTecnicos[nombre],tblTecnicos[area],"")</f>
        <v/>
      </c>
      <c r="E351" s="3">
        <f>_xlfn.XLOOKUP(tblAsignaciones[[#This Row],[tecnico]],tblTecnicos[nombre],tblTecnicos[especialidad],"")</f>
        <v/>
      </c>
      <c r="F351" s="3">
        <f>COUNTIFS(tblTecnicos[rotativo],"SI",tblTecnicos[especialidad],tblAsignaciones[[#This Row],[especialidad]],tblTecnicos[area],tblAsignaciones[[#This Row],[area]])</f>
        <v/>
      </c>
      <c r="G35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1" s="6" t="n"/>
      <c r="J35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1" s="3">
        <f>_xlfn.XLOOKUP(tblAsignaciones[[#This Row],[tecnico]],tblTecnicos[nombre],tblTecnicos[supervisor],"")</f>
        <v/>
      </c>
      <c r="L35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1" s="3">
        <f>tblAsignaciones[[#This Row],[semana]]&amp;"|"&amp;tblAsignaciones[[#This Row],[dia]]&amp;"|"&amp;tblAsignaciones[[#This Row],[tecnico]]</f>
        <v/>
      </c>
      <c r="O351" s="3">
        <f>_xlfn.XLOOKUP(tblAsignaciones[[#This Row],[turno]],tblTurnos[turno],tblTurnos[hora_inicio],"")</f>
        <v/>
      </c>
      <c r="P351" s="3">
        <f>_xlfn.XLOOKUP(tblAsignaciones[[#This Row],[turno]],tblTurnos[turno],tblTurnos[hora_fin],"")</f>
        <v/>
      </c>
      <c r="Q351" s="3">
        <f>IF(AND(LEFT(tblAsignaciones[[#This Row],[posicion_ciclo]],1)="T",tblAsignaciones[[#This Row],[en_vacaciones]]="no"),"sí","no")</f>
        <v/>
      </c>
    </row>
    <row r="352">
      <c r="A352" s="3" t="inlineStr">
        <is>
          <t>2026-S33</t>
        </is>
      </c>
      <c r="B352" s="3" t="inlineStr">
        <is>
          <t>sábado</t>
        </is>
      </c>
      <c r="C352" s="3" t="inlineStr">
        <is>
          <t>Técnico 02</t>
        </is>
      </c>
      <c r="D352" s="3">
        <f>_xlfn.XLOOKUP(tblAsignaciones[[#This Row],[tecnico]],tblTecnicos[nombre],tblTecnicos[area],"")</f>
        <v/>
      </c>
      <c r="E352" s="3">
        <f>_xlfn.XLOOKUP(tblAsignaciones[[#This Row],[tecnico]],tblTecnicos[nombre],tblTecnicos[especialidad],"")</f>
        <v/>
      </c>
      <c r="F352" s="3">
        <f>COUNTIFS(tblTecnicos[rotativo],"SI",tblTecnicos[especialidad],tblAsignaciones[[#This Row],[especialidad]],tblTecnicos[area],tblAsignaciones[[#This Row],[area]])</f>
        <v/>
      </c>
      <c r="G35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2" s="6" t="n"/>
      <c r="J35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2" s="3">
        <f>_xlfn.XLOOKUP(tblAsignaciones[[#This Row],[tecnico]],tblTecnicos[nombre],tblTecnicos[supervisor],"")</f>
        <v/>
      </c>
      <c r="L35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2" s="3">
        <f>tblAsignaciones[[#This Row],[semana]]&amp;"|"&amp;tblAsignaciones[[#This Row],[dia]]&amp;"|"&amp;tblAsignaciones[[#This Row],[tecnico]]</f>
        <v/>
      </c>
      <c r="O352" s="3">
        <f>_xlfn.XLOOKUP(tblAsignaciones[[#This Row],[turno]],tblTurnos[turno],tblTurnos[hora_inicio],"")</f>
        <v/>
      </c>
      <c r="P352" s="3">
        <f>_xlfn.XLOOKUP(tblAsignaciones[[#This Row],[turno]],tblTurnos[turno],tblTurnos[hora_fin],"")</f>
        <v/>
      </c>
      <c r="Q352" s="3">
        <f>IF(AND(LEFT(tblAsignaciones[[#This Row],[posicion_ciclo]],1)="T",tblAsignaciones[[#This Row],[en_vacaciones]]="no"),"sí","no")</f>
        <v/>
      </c>
    </row>
    <row r="353">
      <c r="A353" s="3" t="inlineStr">
        <is>
          <t>2026-S33</t>
        </is>
      </c>
      <c r="B353" s="3" t="inlineStr">
        <is>
          <t>domingo</t>
        </is>
      </c>
      <c r="C353" s="3" t="inlineStr">
        <is>
          <t>Técnico 02</t>
        </is>
      </c>
      <c r="D353" s="3">
        <f>_xlfn.XLOOKUP(tblAsignaciones[[#This Row],[tecnico]],tblTecnicos[nombre],tblTecnicos[area],"")</f>
        <v/>
      </c>
      <c r="E353" s="3">
        <f>_xlfn.XLOOKUP(tblAsignaciones[[#This Row],[tecnico]],tblTecnicos[nombre],tblTecnicos[especialidad],"")</f>
        <v/>
      </c>
      <c r="F353" s="3">
        <f>COUNTIFS(tblTecnicos[rotativo],"SI",tblTecnicos[especialidad],tblAsignaciones[[#This Row],[especialidad]],tblTecnicos[area],tblAsignaciones[[#This Row],[area]])</f>
        <v/>
      </c>
      <c r="G35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3" s="6" t="n"/>
      <c r="J35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3" s="3">
        <f>_xlfn.XLOOKUP(tblAsignaciones[[#This Row],[tecnico]],tblTecnicos[nombre],tblTecnicos[supervisor],"")</f>
        <v/>
      </c>
      <c r="L35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3" s="3">
        <f>tblAsignaciones[[#This Row],[semana]]&amp;"|"&amp;tblAsignaciones[[#This Row],[dia]]&amp;"|"&amp;tblAsignaciones[[#This Row],[tecnico]]</f>
        <v/>
      </c>
      <c r="O353" s="3">
        <f>_xlfn.XLOOKUP(tblAsignaciones[[#This Row],[turno]],tblTurnos[turno],tblTurnos[hora_inicio],"")</f>
        <v/>
      </c>
      <c r="P353" s="3">
        <f>_xlfn.XLOOKUP(tblAsignaciones[[#This Row],[turno]],tblTurnos[turno],tblTurnos[hora_fin],"")</f>
        <v/>
      </c>
      <c r="Q353" s="3">
        <f>IF(AND(LEFT(tblAsignaciones[[#This Row],[posicion_ciclo]],1)="T",tblAsignaciones[[#This Row],[en_vacaciones]]="no"),"sí","no")</f>
        <v/>
      </c>
    </row>
    <row r="354">
      <c r="A354" s="3" t="inlineStr">
        <is>
          <t>2026-S33</t>
        </is>
      </c>
      <c r="B354" s="3" t="inlineStr">
        <is>
          <t>lunes</t>
        </is>
      </c>
      <c r="C354" s="3" t="inlineStr">
        <is>
          <t>Técnico 03</t>
        </is>
      </c>
      <c r="D354" s="3">
        <f>_xlfn.XLOOKUP(tblAsignaciones[[#This Row],[tecnico]],tblTecnicos[nombre],tblTecnicos[area],"")</f>
        <v/>
      </c>
      <c r="E354" s="3">
        <f>_xlfn.XLOOKUP(tblAsignaciones[[#This Row],[tecnico]],tblTecnicos[nombre],tblTecnicos[especialidad],"")</f>
        <v/>
      </c>
      <c r="F354" s="3">
        <f>COUNTIFS(tblTecnicos[rotativo],"SI",tblTecnicos[especialidad],tblAsignaciones[[#This Row],[especialidad]],tblTecnicos[area],tblAsignaciones[[#This Row],[area]])</f>
        <v/>
      </c>
      <c r="G35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4" s="6" t="n"/>
      <c r="J35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4" s="3">
        <f>_xlfn.XLOOKUP(tblAsignaciones[[#This Row],[tecnico]],tblTecnicos[nombre],tblTecnicos[supervisor],"")</f>
        <v/>
      </c>
      <c r="L35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4" s="3">
        <f>tblAsignaciones[[#This Row],[semana]]&amp;"|"&amp;tblAsignaciones[[#This Row],[dia]]&amp;"|"&amp;tblAsignaciones[[#This Row],[tecnico]]</f>
        <v/>
      </c>
      <c r="O354" s="3">
        <f>_xlfn.XLOOKUP(tblAsignaciones[[#This Row],[turno]],tblTurnos[turno],tblTurnos[hora_inicio],"")</f>
        <v/>
      </c>
      <c r="P354" s="3">
        <f>_xlfn.XLOOKUP(tblAsignaciones[[#This Row],[turno]],tblTurnos[turno],tblTurnos[hora_fin],"")</f>
        <v/>
      </c>
      <c r="Q354" s="3">
        <f>IF(AND(LEFT(tblAsignaciones[[#This Row],[posicion_ciclo]],1)="T",tblAsignaciones[[#This Row],[en_vacaciones]]="no"),"sí","no")</f>
        <v/>
      </c>
    </row>
    <row r="355">
      <c r="A355" s="3" t="inlineStr">
        <is>
          <t>2026-S33</t>
        </is>
      </c>
      <c r="B355" s="3" t="inlineStr">
        <is>
          <t>martes</t>
        </is>
      </c>
      <c r="C355" s="3" t="inlineStr">
        <is>
          <t>Técnico 03</t>
        </is>
      </c>
      <c r="D355" s="3">
        <f>_xlfn.XLOOKUP(tblAsignaciones[[#This Row],[tecnico]],tblTecnicos[nombre],tblTecnicos[area],"")</f>
        <v/>
      </c>
      <c r="E355" s="3">
        <f>_xlfn.XLOOKUP(tblAsignaciones[[#This Row],[tecnico]],tblTecnicos[nombre],tblTecnicos[especialidad],"")</f>
        <v/>
      </c>
      <c r="F355" s="3">
        <f>COUNTIFS(tblTecnicos[rotativo],"SI",tblTecnicos[especialidad],tblAsignaciones[[#This Row],[especialidad]],tblTecnicos[area],tblAsignaciones[[#This Row],[area]])</f>
        <v/>
      </c>
      <c r="G35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5" s="6" t="n"/>
      <c r="J35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5" s="3">
        <f>_xlfn.XLOOKUP(tblAsignaciones[[#This Row],[tecnico]],tblTecnicos[nombre],tblTecnicos[supervisor],"")</f>
        <v/>
      </c>
      <c r="L35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5" s="3">
        <f>tblAsignaciones[[#This Row],[semana]]&amp;"|"&amp;tblAsignaciones[[#This Row],[dia]]&amp;"|"&amp;tblAsignaciones[[#This Row],[tecnico]]</f>
        <v/>
      </c>
      <c r="O355" s="3">
        <f>_xlfn.XLOOKUP(tblAsignaciones[[#This Row],[turno]],tblTurnos[turno],tblTurnos[hora_inicio],"")</f>
        <v/>
      </c>
      <c r="P355" s="3">
        <f>_xlfn.XLOOKUP(tblAsignaciones[[#This Row],[turno]],tblTurnos[turno],tblTurnos[hora_fin],"")</f>
        <v/>
      </c>
      <c r="Q355" s="3">
        <f>IF(AND(LEFT(tblAsignaciones[[#This Row],[posicion_ciclo]],1)="T",tblAsignaciones[[#This Row],[en_vacaciones]]="no"),"sí","no")</f>
        <v/>
      </c>
    </row>
    <row r="356">
      <c r="A356" s="3" t="inlineStr">
        <is>
          <t>2026-S33</t>
        </is>
      </c>
      <c r="B356" s="3" t="inlineStr">
        <is>
          <t>miércoles</t>
        </is>
      </c>
      <c r="C356" s="3" t="inlineStr">
        <is>
          <t>Técnico 03</t>
        </is>
      </c>
      <c r="D356" s="3">
        <f>_xlfn.XLOOKUP(tblAsignaciones[[#This Row],[tecnico]],tblTecnicos[nombre],tblTecnicos[area],"")</f>
        <v/>
      </c>
      <c r="E356" s="3">
        <f>_xlfn.XLOOKUP(tblAsignaciones[[#This Row],[tecnico]],tblTecnicos[nombre],tblTecnicos[especialidad],"")</f>
        <v/>
      </c>
      <c r="F356" s="3">
        <f>COUNTIFS(tblTecnicos[rotativo],"SI",tblTecnicos[especialidad],tblAsignaciones[[#This Row],[especialidad]],tblTecnicos[area],tblAsignaciones[[#This Row],[area]])</f>
        <v/>
      </c>
      <c r="G35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6" s="6" t="n"/>
      <c r="J35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6" s="3">
        <f>_xlfn.XLOOKUP(tblAsignaciones[[#This Row],[tecnico]],tblTecnicos[nombre],tblTecnicos[supervisor],"")</f>
        <v/>
      </c>
      <c r="L35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6" s="3">
        <f>tblAsignaciones[[#This Row],[semana]]&amp;"|"&amp;tblAsignaciones[[#This Row],[dia]]&amp;"|"&amp;tblAsignaciones[[#This Row],[tecnico]]</f>
        <v/>
      </c>
      <c r="O356" s="3">
        <f>_xlfn.XLOOKUP(tblAsignaciones[[#This Row],[turno]],tblTurnos[turno],tblTurnos[hora_inicio],"")</f>
        <v/>
      </c>
      <c r="P356" s="3">
        <f>_xlfn.XLOOKUP(tblAsignaciones[[#This Row],[turno]],tblTurnos[turno],tblTurnos[hora_fin],"")</f>
        <v/>
      </c>
      <c r="Q356" s="3">
        <f>IF(AND(LEFT(tblAsignaciones[[#This Row],[posicion_ciclo]],1)="T",tblAsignaciones[[#This Row],[en_vacaciones]]="no"),"sí","no")</f>
        <v/>
      </c>
    </row>
    <row r="357">
      <c r="A357" s="3" t="inlineStr">
        <is>
          <t>2026-S33</t>
        </is>
      </c>
      <c r="B357" s="3" t="inlineStr">
        <is>
          <t>jueves</t>
        </is>
      </c>
      <c r="C357" s="3" t="inlineStr">
        <is>
          <t>Técnico 03</t>
        </is>
      </c>
      <c r="D357" s="3">
        <f>_xlfn.XLOOKUP(tblAsignaciones[[#This Row],[tecnico]],tblTecnicos[nombre],tblTecnicos[area],"")</f>
        <v/>
      </c>
      <c r="E357" s="3">
        <f>_xlfn.XLOOKUP(tblAsignaciones[[#This Row],[tecnico]],tblTecnicos[nombre],tblTecnicos[especialidad],"")</f>
        <v/>
      </c>
      <c r="F357" s="3">
        <f>COUNTIFS(tblTecnicos[rotativo],"SI",tblTecnicos[especialidad],tblAsignaciones[[#This Row],[especialidad]],tblTecnicos[area],tblAsignaciones[[#This Row],[area]])</f>
        <v/>
      </c>
      <c r="G35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7" s="6" t="n"/>
      <c r="J35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7" s="3">
        <f>_xlfn.XLOOKUP(tblAsignaciones[[#This Row],[tecnico]],tblTecnicos[nombre],tblTecnicos[supervisor],"")</f>
        <v/>
      </c>
      <c r="L35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7" s="3">
        <f>tblAsignaciones[[#This Row],[semana]]&amp;"|"&amp;tblAsignaciones[[#This Row],[dia]]&amp;"|"&amp;tblAsignaciones[[#This Row],[tecnico]]</f>
        <v/>
      </c>
      <c r="O357" s="3">
        <f>_xlfn.XLOOKUP(tblAsignaciones[[#This Row],[turno]],tblTurnos[turno],tblTurnos[hora_inicio],"")</f>
        <v/>
      </c>
      <c r="P357" s="3">
        <f>_xlfn.XLOOKUP(tblAsignaciones[[#This Row],[turno]],tblTurnos[turno],tblTurnos[hora_fin],"")</f>
        <v/>
      </c>
      <c r="Q357" s="3">
        <f>IF(AND(LEFT(tblAsignaciones[[#This Row],[posicion_ciclo]],1)="T",tblAsignaciones[[#This Row],[en_vacaciones]]="no"),"sí","no")</f>
        <v/>
      </c>
    </row>
    <row r="358">
      <c r="A358" s="3" t="inlineStr">
        <is>
          <t>2026-S33</t>
        </is>
      </c>
      <c r="B358" s="3" t="inlineStr">
        <is>
          <t>viernes</t>
        </is>
      </c>
      <c r="C358" s="3" t="inlineStr">
        <is>
          <t>Técnico 03</t>
        </is>
      </c>
      <c r="D358" s="3">
        <f>_xlfn.XLOOKUP(tblAsignaciones[[#This Row],[tecnico]],tblTecnicos[nombre],tblTecnicos[area],"")</f>
        <v/>
      </c>
      <c r="E358" s="3">
        <f>_xlfn.XLOOKUP(tblAsignaciones[[#This Row],[tecnico]],tblTecnicos[nombre],tblTecnicos[especialidad],"")</f>
        <v/>
      </c>
      <c r="F358" s="3">
        <f>COUNTIFS(tblTecnicos[rotativo],"SI",tblTecnicos[especialidad],tblAsignaciones[[#This Row],[especialidad]],tblTecnicos[area],tblAsignaciones[[#This Row],[area]])</f>
        <v/>
      </c>
      <c r="G35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8" s="6" t="n"/>
      <c r="J35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8" s="3">
        <f>_xlfn.XLOOKUP(tblAsignaciones[[#This Row],[tecnico]],tblTecnicos[nombre],tblTecnicos[supervisor],"")</f>
        <v/>
      </c>
      <c r="L35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8" s="3">
        <f>tblAsignaciones[[#This Row],[semana]]&amp;"|"&amp;tblAsignaciones[[#This Row],[dia]]&amp;"|"&amp;tblAsignaciones[[#This Row],[tecnico]]</f>
        <v/>
      </c>
      <c r="O358" s="3">
        <f>_xlfn.XLOOKUP(tblAsignaciones[[#This Row],[turno]],tblTurnos[turno],tblTurnos[hora_inicio],"")</f>
        <v/>
      </c>
      <c r="P358" s="3">
        <f>_xlfn.XLOOKUP(tblAsignaciones[[#This Row],[turno]],tblTurnos[turno],tblTurnos[hora_fin],"")</f>
        <v/>
      </c>
      <c r="Q358" s="3">
        <f>IF(AND(LEFT(tblAsignaciones[[#This Row],[posicion_ciclo]],1)="T",tblAsignaciones[[#This Row],[en_vacaciones]]="no"),"sí","no")</f>
        <v/>
      </c>
    </row>
    <row r="359">
      <c r="A359" s="3" t="inlineStr">
        <is>
          <t>2026-S33</t>
        </is>
      </c>
      <c r="B359" s="3" t="inlineStr">
        <is>
          <t>sábado</t>
        </is>
      </c>
      <c r="C359" s="3" t="inlineStr">
        <is>
          <t>Técnico 03</t>
        </is>
      </c>
      <c r="D359" s="3">
        <f>_xlfn.XLOOKUP(tblAsignaciones[[#This Row],[tecnico]],tblTecnicos[nombre],tblTecnicos[area],"")</f>
        <v/>
      </c>
      <c r="E359" s="3">
        <f>_xlfn.XLOOKUP(tblAsignaciones[[#This Row],[tecnico]],tblTecnicos[nombre],tblTecnicos[especialidad],"")</f>
        <v/>
      </c>
      <c r="F359" s="3">
        <f>COUNTIFS(tblTecnicos[rotativo],"SI",tblTecnicos[especialidad],tblAsignaciones[[#This Row],[especialidad]],tblTecnicos[area],tblAsignaciones[[#This Row],[area]])</f>
        <v/>
      </c>
      <c r="G35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9" s="6" t="n"/>
      <c r="J35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9" s="3">
        <f>_xlfn.XLOOKUP(tblAsignaciones[[#This Row],[tecnico]],tblTecnicos[nombre],tblTecnicos[supervisor],"")</f>
        <v/>
      </c>
      <c r="L35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9" s="3">
        <f>tblAsignaciones[[#This Row],[semana]]&amp;"|"&amp;tblAsignaciones[[#This Row],[dia]]&amp;"|"&amp;tblAsignaciones[[#This Row],[tecnico]]</f>
        <v/>
      </c>
      <c r="O359" s="3">
        <f>_xlfn.XLOOKUP(tblAsignaciones[[#This Row],[turno]],tblTurnos[turno],tblTurnos[hora_inicio],"")</f>
        <v/>
      </c>
      <c r="P359" s="3">
        <f>_xlfn.XLOOKUP(tblAsignaciones[[#This Row],[turno]],tblTurnos[turno],tblTurnos[hora_fin],"")</f>
        <v/>
      </c>
      <c r="Q359" s="3">
        <f>IF(AND(LEFT(tblAsignaciones[[#This Row],[posicion_ciclo]],1)="T",tblAsignaciones[[#This Row],[en_vacaciones]]="no"),"sí","no")</f>
        <v/>
      </c>
    </row>
    <row r="360">
      <c r="A360" s="3" t="inlineStr">
        <is>
          <t>2026-S33</t>
        </is>
      </c>
      <c r="B360" s="3" t="inlineStr">
        <is>
          <t>domingo</t>
        </is>
      </c>
      <c r="C360" s="3" t="inlineStr">
        <is>
          <t>Técnico 03</t>
        </is>
      </c>
      <c r="D360" s="3">
        <f>_xlfn.XLOOKUP(tblAsignaciones[[#This Row],[tecnico]],tblTecnicos[nombre],tblTecnicos[area],"")</f>
        <v/>
      </c>
      <c r="E360" s="3">
        <f>_xlfn.XLOOKUP(tblAsignaciones[[#This Row],[tecnico]],tblTecnicos[nombre],tblTecnicos[especialidad],"")</f>
        <v/>
      </c>
      <c r="F360" s="3">
        <f>COUNTIFS(tblTecnicos[rotativo],"SI",tblTecnicos[especialidad],tblAsignaciones[[#This Row],[especialidad]],tblTecnicos[area],tblAsignaciones[[#This Row],[area]])</f>
        <v/>
      </c>
      <c r="G36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0" s="6" t="n"/>
      <c r="J36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0" s="3">
        <f>_xlfn.XLOOKUP(tblAsignaciones[[#This Row],[tecnico]],tblTecnicos[nombre],tblTecnicos[supervisor],"")</f>
        <v/>
      </c>
      <c r="L36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0" s="3">
        <f>tblAsignaciones[[#This Row],[semana]]&amp;"|"&amp;tblAsignaciones[[#This Row],[dia]]&amp;"|"&amp;tblAsignaciones[[#This Row],[tecnico]]</f>
        <v/>
      </c>
      <c r="O360" s="3">
        <f>_xlfn.XLOOKUP(tblAsignaciones[[#This Row],[turno]],tblTurnos[turno],tblTurnos[hora_inicio],"")</f>
        <v/>
      </c>
      <c r="P360" s="3">
        <f>_xlfn.XLOOKUP(tblAsignaciones[[#This Row],[turno]],tblTurnos[turno],tblTurnos[hora_fin],"")</f>
        <v/>
      </c>
      <c r="Q360" s="3">
        <f>IF(AND(LEFT(tblAsignaciones[[#This Row],[posicion_ciclo]],1)="T",tblAsignaciones[[#This Row],[en_vacaciones]]="no"),"sí","no")</f>
        <v/>
      </c>
    </row>
    <row r="361">
      <c r="A361" s="3" t="inlineStr">
        <is>
          <t>2026-S33</t>
        </is>
      </c>
      <c r="B361" s="3" t="inlineStr">
        <is>
          <t>lunes</t>
        </is>
      </c>
      <c r="C361" s="3" t="inlineStr">
        <is>
          <t>Técnico 04</t>
        </is>
      </c>
      <c r="D361" s="3">
        <f>_xlfn.XLOOKUP(tblAsignaciones[[#This Row],[tecnico]],tblTecnicos[nombre],tblTecnicos[area],"")</f>
        <v/>
      </c>
      <c r="E361" s="3">
        <f>_xlfn.XLOOKUP(tblAsignaciones[[#This Row],[tecnico]],tblTecnicos[nombre],tblTecnicos[especialidad],"")</f>
        <v/>
      </c>
      <c r="F361" s="3">
        <f>COUNTIFS(tblTecnicos[rotativo],"SI",tblTecnicos[especialidad],tblAsignaciones[[#This Row],[especialidad]],tblTecnicos[area],tblAsignaciones[[#This Row],[area]])</f>
        <v/>
      </c>
      <c r="G36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1" s="6" t="n"/>
      <c r="J36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1" s="3">
        <f>_xlfn.XLOOKUP(tblAsignaciones[[#This Row],[tecnico]],tblTecnicos[nombre],tblTecnicos[supervisor],"")</f>
        <v/>
      </c>
      <c r="L36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1" s="3">
        <f>tblAsignaciones[[#This Row],[semana]]&amp;"|"&amp;tblAsignaciones[[#This Row],[dia]]&amp;"|"&amp;tblAsignaciones[[#This Row],[tecnico]]</f>
        <v/>
      </c>
      <c r="O361" s="3">
        <f>_xlfn.XLOOKUP(tblAsignaciones[[#This Row],[turno]],tblTurnos[turno],tblTurnos[hora_inicio],"")</f>
        <v/>
      </c>
      <c r="P361" s="3">
        <f>_xlfn.XLOOKUP(tblAsignaciones[[#This Row],[turno]],tblTurnos[turno],tblTurnos[hora_fin],"")</f>
        <v/>
      </c>
      <c r="Q361" s="3">
        <f>IF(AND(LEFT(tblAsignaciones[[#This Row],[posicion_ciclo]],1)="T",tblAsignaciones[[#This Row],[en_vacaciones]]="no"),"sí","no")</f>
        <v/>
      </c>
    </row>
    <row r="362">
      <c r="A362" s="3" t="inlineStr">
        <is>
          <t>2026-S33</t>
        </is>
      </c>
      <c r="B362" s="3" t="inlineStr">
        <is>
          <t>martes</t>
        </is>
      </c>
      <c r="C362" s="3" t="inlineStr">
        <is>
          <t>Técnico 04</t>
        </is>
      </c>
      <c r="D362" s="3">
        <f>_xlfn.XLOOKUP(tblAsignaciones[[#This Row],[tecnico]],tblTecnicos[nombre],tblTecnicos[area],"")</f>
        <v/>
      </c>
      <c r="E362" s="3">
        <f>_xlfn.XLOOKUP(tblAsignaciones[[#This Row],[tecnico]],tblTecnicos[nombre],tblTecnicos[especialidad],"")</f>
        <v/>
      </c>
      <c r="F362" s="3">
        <f>COUNTIFS(tblTecnicos[rotativo],"SI",tblTecnicos[especialidad],tblAsignaciones[[#This Row],[especialidad]],tblTecnicos[area],tblAsignaciones[[#This Row],[area]])</f>
        <v/>
      </c>
      <c r="G36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2" s="6" t="n"/>
      <c r="J36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2" s="3">
        <f>_xlfn.XLOOKUP(tblAsignaciones[[#This Row],[tecnico]],tblTecnicos[nombre],tblTecnicos[supervisor],"")</f>
        <v/>
      </c>
      <c r="L36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2" s="3">
        <f>tblAsignaciones[[#This Row],[semana]]&amp;"|"&amp;tblAsignaciones[[#This Row],[dia]]&amp;"|"&amp;tblAsignaciones[[#This Row],[tecnico]]</f>
        <v/>
      </c>
      <c r="O362" s="3">
        <f>_xlfn.XLOOKUP(tblAsignaciones[[#This Row],[turno]],tblTurnos[turno],tblTurnos[hora_inicio],"")</f>
        <v/>
      </c>
      <c r="P362" s="3">
        <f>_xlfn.XLOOKUP(tblAsignaciones[[#This Row],[turno]],tblTurnos[turno],tblTurnos[hora_fin],"")</f>
        <v/>
      </c>
      <c r="Q362" s="3">
        <f>IF(AND(LEFT(tblAsignaciones[[#This Row],[posicion_ciclo]],1)="T",tblAsignaciones[[#This Row],[en_vacaciones]]="no"),"sí","no")</f>
        <v/>
      </c>
    </row>
    <row r="363">
      <c r="A363" s="3" t="inlineStr">
        <is>
          <t>2026-S33</t>
        </is>
      </c>
      <c r="B363" s="3" t="inlineStr">
        <is>
          <t>miércoles</t>
        </is>
      </c>
      <c r="C363" s="3" t="inlineStr">
        <is>
          <t>Técnico 04</t>
        </is>
      </c>
      <c r="D363" s="3">
        <f>_xlfn.XLOOKUP(tblAsignaciones[[#This Row],[tecnico]],tblTecnicos[nombre],tblTecnicos[area],"")</f>
        <v/>
      </c>
      <c r="E363" s="3">
        <f>_xlfn.XLOOKUP(tblAsignaciones[[#This Row],[tecnico]],tblTecnicos[nombre],tblTecnicos[especialidad],"")</f>
        <v/>
      </c>
      <c r="F363" s="3">
        <f>COUNTIFS(tblTecnicos[rotativo],"SI",tblTecnicos[especialidad],tblAsignaciones[[#This Row],[especialidad]],tblTecnicos[area],tblAsignaciones[[#This Row],[area]])</f>
        <v/>
      </c>
      <c r="G36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3" s="6" t="n"/>
      <c r="J36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3" s="3">
        <f>_xlfn.XLOOKUP(tblAsignaciones[[#This Row],[tecnico]],tblTecnicos[nombre],tblTecnicos[supervisor],"")</f>
        <v/>
      </c>
      <c r="L36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3" s="3">
        <f>tblAsignaciones[[#This Row],[semana]]&amp;"|"&amp;tblAsignaciones[[#This Row],[dia]]&amp;"|"&amp;tblAsignaciones[[#This Row],[tecnico]]</f>
        <v/>
      </c>
      <c r="O363" s="3">
        <f>_xlfn.XLOOKUP(tblAsignaciones[[#This Row],[turno]],tblTurnos[turno],tblTurnos[hora_inicio],"")</f>
        <v/>
      </c>
      <c r="P363" s="3">
        <f>_xlfn.XLOOKUP(tblAsignaciones[[#This Row],[turno]],tblTurnos[turno],tblTurnos[hora_fin],"")</f>
        <v/>
      </c>
      <c r="Q363" s="3">
        <f>IF(AND(LEFT(tblAsignaciones[[#This Row],[posicion_ciclo]],1)="T",tblAsignaciones[[#This Row],[en_vacaciones]]="no"),"sí","no")</f>
        <v/>
      </c>
    </row>
    <row r="364">
      <c r="A364" s="3" t="inlineStr">
        <is>
          <t>2026-S33</t>
        </is>
      </c>
      <c r="B364" s="3" t="inlineStr">
        <is>
          <t>jueves</t>
        </is>
      </c>
      <c r="C364" s="3" t="inlineStr">
        <is>
          <t>Técnico 04</t>
        </is>
      </c>
      <c r="D364" s="3">
        <f>_xlfn.XLOOKUP(tblAsignaciones[[#This Row],[tecnico]],tblTecnicos[nombre],tblTecnicos[area],"")</f>
        <v/>
      </c>
      <c r="E364" s="3">
        <f>_xlfn.XLOOKUP(tblAsignaciones[[#This Row],[tecnico]],tblTecnicos[nombre],tblTecnicos[especialidad],"")</f>
        <v/>
      </c>
      <c r="F364" s="3">
        <f>COUNTIFS(tblTecnicos[rotativo],"SI",tblTecnicos[especialidad],tblAsignaciones[[#This Row],[especialidad]],tblTecnicos[area],tblAsignaciones[[#This Row],[area]])</f>
        <v/>
      </c>
      <c r="G36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4" s="6" t="n"/>
      <c r="J36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4" s="3">
        <f>_xlfn.XLOOKUP(tblAsignaciones[[#This Row],[tecnico]],tblTecnicos[nombre],tblTecnicos[supervisor],"")</f>
        <v/>
      </c>
      <c r="L36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4" s="3">
        <f>tblAsignaciones[[#This Row],[semana]]&amp;"|"&amp;tblAsignaciones[[#This Row],[dia]]&amp;"|"&amp;tblAsignaciones[[#This Row],[tecnico]]</f>
        <v/>
      </c>
      <c r="O364" s="3">
        <f>_xlfn.XLOOKUP(tblAsignaciones[[#This Row],[turno]],tblTurnos[turno],tblTurnos[hora_inicio],"")</f>
        <v/>
      </c>
      <c r="P364" s="3">
        <f>_xlfn.XLOOKUP(tblAsignaciones[[#This Row],[turno]],tblTurnos[turno],tblTurnos[hora_fin],"")</f>
        <v/>
      </c>
      <c r="Q364" s="3">
        <f>IF(AND(LEFT(tblAsignaciones[[#This Row],[posicion_ciclo]],1)="T",tblAsignaciones[[#This Row],[en_vacaciones]]="no"),"sí","no")</f>
        <v/>
      </c>
    </row>
    <row r="365">
      <c r="A365" s="3" t="inlineStr">
        <is>
          <t>2026-S33</t>
        </is>
      </c>
      <c r="B365" s="3" t="inlineStr">
        <is>
          <t>viernes</t>
        </is>
      </c>
      <c r="C365" s="3" t="inlineStr">
        <is>
          <t>Técnico 04</t>
        </is>
      </c>
      <c r="D365" s="3">
        <f>_xlfn.XLOOKUP(tblAsignaciones[[#This Row],[tecnico]],tblTecnicos[nombre],tblTecnicos[area],"")</f>
        <v/>
      </c>
      <c r="E365" s="3">
        <f>_xlfn.XLOOKUP(tblAsignaciones[[#This Row],[tecnico]],tblTecnicos[nombre],tblTecnicos[especialidad],"")</f>
        <v/>
      </c>
      <c r="F365" s="3">
        <f>COUNTIFS(tblTecnicos[rotativo],"SI",tblTecnicos[especialidad],tblAsignaciones[[#This Row],[especialidad]],tblTecnicos[area],tblAsignaciones[[#This Row],[area]])</f>
        <v/>
      </c>
      <c r="G36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5" s="6" t="n"/>
      <c r="J36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5" s="3">
        <f>_xlfn.XLOOKUP(tblAsignaciones[[#This Row],[tecnico]],tblTecnicos[nombre],tblTecnicos[supervisor],"")</f>
        <v/>
      </c>
      <c r="L36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5" s="3">
        <f>tblAsignaciones[[#This Row],[semana]]&amp;"|"&amp;tblAsignaciones[[#This Row],[dia]]&amp;"|"&amp;tblAsignaciones[[#This Row],[tecnico]]</f>
        <v/>
      </c>
      <c r="O365" s="3">
        <f>_xlfn.XLOOKUP(tblAsignaciones[[#This Row],[turno]],tblTurnos[turno],tblTurnos[hora_inicio],"")</f>
        <v/>
      </c>
      <c r="P365" s="3">
        <f>_xlfn.XLOOKUP(tblAsignaciones[[#This Row],[turno]],tblTurnos[turno],tblTurnos[hora_fin],"")</f>
        <v/>
      </c>
      <c r="Q365" s="3">
        <f>IF(AND(LEFT(tblAsignaciones[[#This Row],[posicion_ciclo]],1)="T",tblAsignaciones[[#This Row],[en_vacaciones]]="no"),"sí","no")</f>
        <v/>
      </c>
    </row>
    <row r="366">
      <c r="A366" s="3" t="inlineStr">
        <is>
          <t>2026-S33</t>
        </is>
      </c>
      <c r="B366" s="3" t="inlineStr">
        <is>
          <t>sábado</t>
        </is>
      </c>
      <c r="C366" s="3" t="inlineStr">
        <is>
          <t>Técnico 04</t>
        </is>
      </c>
      <c r="D366" s="3">
        <f>_xlfn.XLOOKUP(tblAsignaciones[[#This Row],[tecnico]],tblTecnicos[nombre],tblTecnicos[area],"")</f>
        <v/>
      </c>
      <c r="E366" s="3">
        <f>_xlfn.XLOOKUP(tblAsignaciones[[#This Row],[tecnico]],tblTecnicos[nombre],tblTecnicos[especialidad],"")</f>
        <v/>
      </c>
      <c r="F366" s="3">
        <f>COUNTIFS(tblTecnicos[rotativo],"SI",tblTecnicos[especialidad],tblAsignaciones[[#This Row],[especialidad]],tblTecnicos[area],tblAsignaciones[[#This Row],[area]])</f>
        <v/>
      </c>
      <c r="G36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6" s="6" t="n"/>
      <c r="J36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6" s="3">
        <f>_xlfn.XLOOKUP(tblAsignaciones[[#This Row],[tecnico]],tblTecnicos[nombre],tblTecnicos[supervisor],"")</f>
        <v/>
      </c>
      <c r="L36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6" s="3">
        <f>tblAsignaciones[[#This Row],[semana]]&amp;"|"&amp;tblAsignaciones[[#This Row],[dia]]&amp;"|"&amp;tblAsignaciones[[#This Row],[tecnico]]</f>
        <v/>
      </c>
      <c r="O366" s="3">
        <f>_xlfn.XLOOKUP(tblAsignaciones[[#This Row],[turno]],tblTurnos[turno],tblTurnos[hora_inicio],"")</f>
        <v/>
      </c>
      <c r="P366" s="3">
        <f>_xlfn.XLOOKUP(tblAsignaciones[[#This Row],[turno]],tblTurnos[turno],tblTurnos[hora_fin],"")</f>
        <v/>
      </c>
      <c r="Q366" s="3">
        <f>IF(AND(LEFT(tblAsignaciones[[#This Row],[posicion_ciclo]],1)="T",tblAsignaciones[[#This Row],[en_vacaciones]]="no"),"sí","no")</f>
        <v/>
      </c>
    </row>
    <row r="367">
      <c r="A367" s="3" t="inlineStr">
        <is>
          <t>2026-S33</t>
        </is>
      </c>
      <c r="B367" s="3" t="inlineStr">
        <is>
          <t>domingo</t>
        </is>
      </c>
      <c r="C367" s="3" t="inlineStr">
        <is>
          <t>Técnico 04</t>
        </is>
      </c>
      <c r="D367" s="3">
        <f>_xlfn.XLOOKUP(tblAsignaciones[[#This Row],[tecnico]],tblTecnicos[nombre],tblTecnicos[area],"")</f>
        <v/>
      </c>
      <c r="E367" s="3">
        <f>_xlfn.XLOOKUP(tblAsignaciones[[#This Row],[tecnico]],tblTecnicos[nombre],tblTecnicos[especialidad],"")</f>
        <v/>
      </c>
      <c r="F367" s="3">
        <f>COUNTIFS(tblTecnicos[rotativo],"SI",tblTecnicos[especialidad],tblAsignaciones[[#This Row],[especialidad]],tblTecnicos[area],tblAsignaciones[[#This Row],[area]])</f>
        <v/>
      </c>
      <c r="G36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7" s="6" t="n"/>
      <c r="J36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7" s="3">
        <f>_xlfn.XLOOKUP(tblAsignaciones[[#This Row],[tecnico]],tblTecnicos[nombre],tblTecnicos[supervisor],"")</f>
        <v/>
      </c>
      <c r="L36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7" s="3">
        <f>tblAsignaciones[[#This Row],[semana]]&amp;"|"&amp;tblAsignaciones[[#This Row],[dia]]&amp;"|"&amp;tblAsignaciones[[#This Row],[tecnico]]</f>
        <v/>
      </c>
      <c r="O367" s="3">
        <f>_xlfn.XLOOKUP(tblAsignaciones[[#This Row],[turno]],tblTurnos[turno],tblTurnos[hora_inicio],"")</f>
        <v/>
      </c>
      <c r="P367" s="3">
        <f>_xlfn.XLOOKUP(tblAsignaciones[[#This Row],[turno]],tblTurnos[turno],tblTurnos[hora_fin],"")</f>
        <v/>
      </c>
      <c r="Q367" s="3">
        <f>IF(AND(LEFT(tblAsignaciones[[#This Row],[posicion_ciclo]],1)="T",tblAsignaciones[[#This Row],[en_vacaciones]]="no"),"sí","no")</f>
        <v/>
      </c>
    </row>
    <row r="368">
      <c r="A368" s="3" t="inlineStr">
        <is>
          <t>2026-S33</t>
        </is>
      </c>
      <c r="B368" s="3" t="inlineStr">
        <is>
          <t>lunes</t>
        </is>
      </c>
      <c r="C368" s="3" t="inlineStr">
        <is>
          <t>Técnico 05</t>
        </is>
      </c>
      <c r="D368" s="3">
        <f>_xlfn.XLOOKUP(tblAsignaciones[[#This Row],[tecnico]],tblTecnicos[nombre],tblTecnicos[area],"")</f>
        <v/>
      </c>
      <c r="E368" s="3">
        <f>_xlfn.XLOOKUP(tblAsignaciones[[#This Row],[tecnico]],tblTecnicos[nombre],tblTecnicos[especialidad],"")</f>
        <v/>
      </c>
      <c r="F368" s="3">
        <f>COUNTIFS(tblTecnicos[rotativo],"SI",tblTecnicos[especialidad],tblAsignaciones[[#This Row],[especialidad]],tblTecnicos[area],tblAsignaciones[[#This Row],[area]])</f>
        <v/>
      </c>
      <c r="G36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8" s="6" t="n"/>
      <c r="J36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8" s="3">
        <f>_xlfn.XLOOKUP(tblAsignaciones[[#This Row],[tecnico]],tblTecnicos[nombre],tblTecnicos[supervisor],"")</f>
        <v/>
      </c>
      <c r="L36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8" s="3">
        <f>tblAsignaciones[[#This Row],[semana]]&amp;"|"&amp;tblAsignaciones[[#This Row],[dia]]&amp;"|"&amp;tblAsignaciones[[#This Row],[tecnico]]</f>
        <v/>
      </c>
      <c r="O368" s="3">
        <f>_xlfn.XLOOKUP(tblAsignaciones[[#This Row],[turno]],tblTurnos[turno],tblTurnos[hora_inicio],"")</f>
        <v/>
      </c>
      <c r="P368" s="3">
        <f>_xlfn.XLOOKUP(tblAsignaciones[[#This Row],[turno]],tblTurnos[turno],tblTurnos[hora_fin],"")</f>
        <v/>
      </c>
      <c r="Q368" s="3">
        <f>IF(AND(LEFT(tblAsignaciones[[#This Row],[posicion_ciclo]],1)="T",tblAsignaciones[[#This Row],[en_vacaciones]]="no"),"sí","no")</f>
        <v/>
      </c>
    </row>
    <row r="369">
      <c r="A369" s="3" t="inlineStr">
        <is>
          <t>2026-S33</t>
        </is>
      </c>
      <c r="B369" s="3" t="inlineStr">
        <is>
          <t>martes</t>
        </is>
      </c>
      <c r="C369" s="3" t="inlineStr">
        <is>
          <t>Técnico 05</t>
        </is>
      </c>
      <c r="D369" s="3">
        <f>_xlfn.XLOOKUP(tblAsignaciones[[#This Row],[tecnico]],tblTecnicos[nombre],tblTecnicos[area],"")</f>
        <v/>
      </c>
      <c r="E369" s="3">
        <f>_xlfn.XLOOKUP(tblAsignaciones[[#This Row],[tecnico]],tblTecnicos[nombre],tblTecnicos[especialidad],"")</f>
        <v/>
      </c>
      <c r="F369" s="3">
        <f>COUNTIFS(tblTecnicos[rotativo],"SI",tblTecnicos[especialidad],tblAsignaciones[[#This Row],[especialidad]],tblTecnicos[area],tblAsignaciones[[#This Row],[area]])</f>
        <v/>
      </c>
      <c r="G36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9" s="6" t="n"/>
      <c r="J36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9" s="3">
        <f>_xlfn.XLOOKUP(tblAsignaciones[[#This Row],[tecnico]],tblTecnicos[nombre],tblTecnicos[supervisor],"")</f>
        <v/>
      </c>
      <c r="L36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9" s="3">
        <f>tblAsignaciones[[#This Row],[semana]]&amp;"|"&amp;tblAsignaciones[[#This Row],[dia]]&amp;"|"&amp;tblAsignaciones[[#This Row],[tecnico]]</f>
        <v/>
      </c>
      <c r="O369" s="3">
        <f>_xlfn.XLOOKUP(tblAsignaciones[[#This Row],[turno]],tblTurnos[turno],tblTurnos[hora_inicio],"")</f>
        <v/>
      </c>
      <c r="P369" s="3">
        <f>_xlfn.XLOOKUP(tblAsignaciones[[#This Row],[turno]],tblTurnos[turno],tblTurnos[hora_fin],"")</f>
        <v/>
      </c>
      <c r="Q369" s="3">
        <f>IF(AND(LEFT(tblAsignaciones[[#This Row],[posicion_ciclo]],1)="T",tblAsignaciones[[#This Row],[en_vacaciones]]="no"),"sí","no")</f>
        <v/>
      </c>
    </row>
    <row r="370">
      <c r="A370" s="3" t="inlineStr">
        <is>
          <t>2026-S33</t>
        </is>
      </c>
      <c r="B370" s="3" t="inlineStr">
        <is>
          <t>miércoles</t>
        </is>
      </c>
      <c r="C370" s="3" t="inlineStr">
        <is>
          <t>Técnico 05</t>
        </is>
      </c>
      <c r="D370" s="3">
        <f>_xlfn.XLOOKUP(tblAsignaciones[[#This Row],[tecnico]],tblTecnicos[nombre],tblTecnicos[area],"")</f>
        <v/>
      </c>
      <c r="E370" s="3">
        <f>_xlfn.XLOOKUP(tblAsignaciones[[#This Row],[tecnico]],tblTecnicos[nombre],tblTecnicos[especialidad],"")</f>
        <v/>
      </c>
      <c r="F370" s="3">
        <f>COUNTIFS(tblTecnicos[rotativo],"SI",tblTecnicos[especialidad],tblAsignaciones[[#This Row],[especialidad]],tblTecnicos[area],tblAsignaciones[[#This Row],[area]])</f>
        <v/>
      </c>
      <c r="G37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0" s="6" t="n"/>
      <c r="J37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0" s="3">
        <f>_xlfn.XLOOKUP(tblAsignaciones[[#This Row],[tecnico]],tblTecnicos[nombre],tblTecnicos[supervisor],"")</f>
        <v/>
      </c>
      <c r="L37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0" s="3">
        <f>tblAsignaciones[[#This Row],[semana]]&amp;"|"&amp;tblAsignaciones[[#This Row],[dia]]&amp;"|"&amp;tblAsignaciones[[#This Row],[tecnico]]</f>
        <v/>
      </c>
      <c r="O370" s="3">
        <f>_xlfn.XLOOKUP(tblAsignaciones[[#This Row],[turno]],tblTurnos[turno],tblTurnos[hora_inicio],"")</f>
        <v/>
      </c>
      <c r="P370" s="3">
        <f>_xlfn.XLOOKUP(tblAsignaciones[[#This Row],[turno]],tblTurnos[turno],tblTurnos[hora_fin],"")</f>
        <v/>
      </c>
      <c r="Q370" s="3">
        <f>IF(AND(LEFT(tblAsignaciones[[#This Row],[posicion_ciclo]],1)="T",tblAsignaciones[[#This Row],[en_vacaciones]]="no"),"sí","no")</f>
        <v/>
      </c>
    </row>
    <row r="371">
      <c r="A371" s="3" t="inlineStr">
        <is>
          <t>2026-S33</t>
        </is>
      </c>
      <c r="B371" s="3" t="inlineStr">
        <is>
          <t>jueves</t>
        </is>
      </c>
      <c r="C371" s="3" t="inlineStr">
        <is>
          <t>Técnico 05</t>
        </is>
      </c>
      <c r="D371" s="3">
        <f>_xlfn.XLOOKUP(tblAsignaciones[[#This Row],[tecnico]],tblTecnicos[nombre],tblTecnicos[area],"")</f>
        <v/>
      </c>
      <c r="E371" s="3">
        <f>_xlfn.XLOOKUP(tblAsignaciones[[#This Row],[tecnico]],tblTecnicos[nombre],tblTecnicos[especialidad],"")</f>
        <v/>
      </c>
      <c r="F371" s="3">
        <f>COUNTIFS(tblTecnicos[rotativo],"SI",tblTecnicos[especialidad],tblAsignaciones[[#This Row],[especialidad]],tblTecnicos[area],tblAsignaciones[[#This Row],[area]])</f>
        <v/>
      </c>
      <c r="G37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1" s="6" t="n"/>
      <c r="J37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1" s="3">
        <f>_xlfn.XLOOKUP(tblAsignaciones[[#This Row],[tecnico]],tblTecnicos[nombre],tblTecnicos[supervisor],"")</f>
        <v/>
      </c>
      <c r="L37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1" s="3">
        <f>tblAsignaciones[[#This Row],[semana]]&amp;"|"&amp;tblAsignaciones[[#This Row],[dia]]&amp;"|"&amp;tblAsignaciones[[#This Row],[tecnico]]</f>
        <v/>
      </c>
      <c r="O371" s="3">
        <f>_xlfn.XLOOKUP(tblAsignaciones[[#This Row],[turno]],tblTurnos[turno],tblTurnos[hora_inicio],"")</f>
        <v/>
      </c>
      <c r="P371" s="3">
        <f>_xlfn.XLOOKUP(tblAsignaciones[[#This Row],[turno]],tblTurnos[turno],tblTurnos[hora_fin],"")</f>
        <v/>
      </c>
      <c r="Q371" s="3">
        <f>IF(AND(LEFT(tblAsignaciones[[#This Row],[posicion_ciclo]],1)="T",tblAsignaciones[[#This Row],[en_vacaciones]]="no"),"sí","no")</f>
        <v/>
      </c>
    </row>
    <row r="372">
      <c r="A372" s="3" t="inlineStr">
        <is>
          <t>2026-S33</t>
        </is>
      </c>
      <c r="B372" s="3" t="inlineStr">
        <is>
          <t>viernes</t>
        </is>
      </c>
      <c r="C372" s="3" t="inlineStr">
        <is>
          <t>Técnico 05</t>
        </is>
      </c>
      <c r="D372" s="3">
        <f>_xlfn.XLOOKUP(tblAsignaciones[[#This Row],[tecnico]],tblTecnicos[nombre],tblTecnicos[area],"")</f>
        <v/>
      </c>
      <c r="E372" s="3">
        <f>_xlfn.XLOOKUP(tblAsignaciones[[#This Row],[tecnico]],tblTecnicos[nombre],tblTecnicos[especialidad],"")</f>
        <v/>
      </c>
      <c r="F372" s="3">
        <f>COUNTIFS(tblTecnicos[rotativo],"SI",tblTecnicos[especialidad],tblAsignaciones[[#This Row],[especialidad]],tblTecnicos[area],tblAsignaciones[[#This Row],[area]])</f>
        <v/>
      </c>
      <c r="G37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2" s="6" t="n"/>
      <c r="J37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2" s="3">
        <f>_xlfn.XLOOKUP(tblAsignaciones[[#This Row],[tecnico]],tblTecnicos[nombre],tblTecnicos[supervisor],"")</f>
        <v/>
      </c>
      <c r="L37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2" s="3">
        <f>tblAsignaciones[[#This Row],[semana]]&amp;"|"&amp;tblAsignaciones[[#This Row],[dia]]&amp;"|"&amp;tblAsignaciones[[#This Row],[tecnico]]</f>
        <v/>
      </c>
      <c r="O372" s="3">
        <f>_xlfn.XLOOKUP(tblAsignaciones[[#This Row],[turno]],tblTurnos[turno],tblTurnos[hora_inicio],"")</f>
        <v/>
      </c>
      <c r="P372" s="3">
        <f>_xlfn.XLOOKUP(tblAsignaciones[[#This Row],[turno]],tblTurnos[turno],tblTurnos[hora_fin],"")</f>
        <v/>
      </c>
      <c r="Q372" s="3">
        <f>IF(AND(LEFT(tblAsignaciones[[#This Row],[posicion_ciclo]],1)="T",tblAsignaciones[[#This Row],[en_vacaciones]]="no"),"sí","no")</f>
        <v/>
      </c>
    </row>
    <row r="373">
      <c r="A373" s="3" t="inlineStr">
        <is>
          <t>2026-S33</t>
        </is>
      </c>
      <c r="B373" s="3" t="inlineStr">
        <is>
          <t>sábado</t>
        </is>
      </c>
      <c r="C373" s="3" t="inlineStr">
        <is>
          <t>Técnico 05</t>
        </is>
      </c>
      <c r="D373" s="3">
        <f>_xlfn.XLOOKUP(tblAsignaciones[[#This Row],[tecnico]],tblTecnicos[nombre],tblTecnicos[area],"")</f>
        <v/>
      </c>
      <c r="E373" s="3">
        <f>_xlfn.XLOOKUP(tblAsignaciones[[#This Row],[tecnico]],tblTecnicos[nombre],tblTecnicos[especialidad],"")</f>
        <v/>
      </c>
      <c r="F373" s="3">
        <f>COUNTIFS(tblTecnicos[rotativo],"SI",tblTecnicos[especialidad],tblAsignaciones[[#This Row],[especialidad]],tblTecnicos[area],tblAsignaciones[[#This Row],[area]])</f>
        <v/>
      </c>
      <c r="G37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3" s="6" t="n"/>
      <c r="J37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3" s="3">
        <f>_xlfn.XLOOKUP(tblAsignaciones[[#This Row],[tecnico]],tblTecnicos[nombre],tblTecnicos[supervisor],"")</f>
        <v/>
      </c>
      <c r="L37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3" s="3">
        <f>tblAsignaciones[[#This Row],[semana]]&amp;"|"&amp;tblAsignaciones[[#This Row],[dia]]&amp;"|"&amp;tblAsignaciones[[#This Row],[tecnico]]</f>
        <v/>
      </c>
      <c r="O373" s="3">
        <f>_xlfn.XLOOKUP(tblAsignaciones[[#This Row],[turno]],tblTurnos[turno],tblTurnos[hora_inicio],"")</f>
        <v/>
      </c>
      <c r="P373" s="3">
        <f>_xlfn.XLOOKUP(tblAsignaciones[[#This Row],[turno]],tblTurnos[turno],tblTurnos[hora_fin],"")</f>
        <v/>
      </c>
      <c r="Q373" s="3">
        <f>IF(AND(LEFT(tblAsignaciones[[#This Row],[posicion_ciclo]],1)="T",tblAsignaciones[[#This Row],[en_vacaciones]]="no"),"sí","no")</f>
        <v/>
      </c>
    </row>
    <row r="374">
      <c r="A374" s="3" t="inlineStr">
        <is>
          <t>2026-S33</t>
        </is>
      </c>
      <c r="B374" s="3" t="inlineStr">
        <is>
          <t>domingo</t>
        </is>
      </c>
      <c r="C374" s="3" t="inlineStr">
        <is>
          <t>Técnico 05</t>
        </is>
      </c>
      <c r="D374" s="3">
        <f>_xlfn.XLOOKUP(tblAsignaciones[[#This Row],[tecnico]],tblTecnicos[nombre],tblTecnicos[area],"")</f>
        <v/>
      </c>
      <c r="E374" s="3">
        <f>_xlfn.XLOOKUP(tblAsignaciones[[#This Row],[tecnico]],tblTecnicos[nombre],tblTecnicos[especialidad],"")</f>
        <v/>
      </c>
      <c r="F374" s="3">
        <f>COUNTIFS(tblTecnicos[rotativo],"SI",tblTecnicos[especialidad],tblAsignaciones[[#This Row],[especialidad]],tblTecnicos[area],tblAsignaciones[[#This Row],[area]])</f>
        <v/>
      </c>
      <c r="G37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4" s="6" t="n"/>
      <c r="J37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4" s="3">
        <f>_xlfn.XLOOKUP(tblAsignaciones[[#This Row],[tecnico]],tblTecnicos[nombre],tblTecnicos[supervisor],"")</f>
        <v/>
      </c>
      <c r="L37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4" s="3">
        <f>tblAsignaciones[[#This Row],[semana]]&amp;"|"&amp;tblAsignaciones[[#This Row],[dia]]&amp;"|"&amp;tblAsignaciones[[#This Row],[tecnico]]</f>
        <v/>
      </c>
      <c r="O374" s="3">
        <f>_xlfn.XLOOKUP(tblAsignaciones[[#This Row],[turno]],tblTurnos[turno],tblTurnos[hora_inicio],"")</f>
        <v/>
      </c>
      <c r="P374" s="3">
        <f>_xlfn.XLOOKUP(tblAsignaciones[[#This Row],[turno]],tblTurnos[turno],tblTurnos[hora_fin],"")</f>
        <v/>
      </c>
      <c r="Q374" s="3">
        <f>IF(AND(LEFT(tblAsignaciones[[#This Row],[posicion_ciclo]],1)="T",tblAsignaciones[[#This Row],[en_vacaciones]]="no"),"sí","no")</f>
        <v/>
      </c>
    </row>
    <row r="375">
      <c r="A375" s="3" t="inlineStr">
        <is>
          <t>2026-S33</t>
        </is>
      </c>
      <c r="B375" s="3" t="inlineStr">
        <is>
          <t>lunes</t>
        </is>
      </c>
      <c r="C375" s="3" t="inlineStr">
        <is>
          <t>Técnico 06</t>
        </is>
      </c>
      <c r="D375" s="3">
        <f>_xlfn.XLOOKUP(tblAsignaciones[[#This Row],[tecnico]],tblTecnicos[nombre],tblTecnicos[area],"")</f>
        <v/>
      </c>
      <c r="E375" s="3">
        <f>_xlfn.XLOOKUP(tblAsignaciones[[#This Row],[tecnico]],tblTecnicos[nombre],tblTecnicos[especialidad],"")</f>
        <v/>
      </c>
      <c r="F375" s="3">
        <f>COUNTIFS(tblTecnicos[rotativo],"SI",tblTecnicos[especialidad],tblAsignaciones[[#This Row],[especialidad]],tblTecnicos[area],tblAsignaciones[[#This Row],[area]])</f>
        <v/>
      </c>
      <c r="G37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5" s="6" t="n"/>
      <c r="J37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5" s="3">
        <f>_xlfn.XLOOKUP(tblAsignaciones[[#This Row],[tecnico]],tblTecnicos[nombre],tblTecnicos[supervisor],"")</f>
        <v/>
      </c>
      <c r="L37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5" s="3">
        <f>tblAsignaciones[[#This Row],[semana]]&amp;"|"&amp;tblAsignaciones[[#This Row],[dia]]&amp;"|"&amp;tblAsignaciones[[#This Row],[tecnico]]</f>
        <v/>
      </c>
      <c r="O375" s="3">
        <f>_xlfn.XLOOKUP(tblAsignaciones[[#This Row],[turno]],tblTurnos[turno],tblTurnos[hora_inicio],"")</f>
        <v/>
      </c>
      <c r="P375" s="3">
        <f>_xlfn.XLOOKUP(tblAsignaciones[[#This Row],[turno]],tblTurnos[turno],tblTurnos[hora_fin],"")</f>
        <v/>
      </c>
      <c r="Q375" s="3">
        <f>IF(AND(LEFT(tblAsignaciones[[#This Row],[posicion_ciclo]],1)="T",tblAsignaciones[[#This Row],[en_vacaciones]]="no"),"sí","no")</f>
        <v/>
      </c>
    </row>
    <row r="376">
      <c r="A376" s="3" t="inlineStr">
        <is>
          <t>2026-S33</t>
        </is>
      </c>
      <c r="B376" s="3" t="inlineStr">
        <is>
          <t>martes</t>
        </is>
      </c>
      <c r="C376" s="3" t="inlineStr">
        <is>
          <t>Técnico 06</t>
        </is>
      </c>
      <c r="D376" s="3">
        <f>_xlfn.XLOOKUP(tblAsignaciones[[#This Row],[tecnico]],tblTecnicos[nombre],tblTecnicos[area],"")</f>
        <v/>
      </c>
      <c r="E376" s="3">
        <f>_xlfn.XLOOKUP(tblAsignaciones[[#This Row],[tecnico]],tblTecnicos[nombre],tblTecnicos[especialidad],"")</f>
        <v/>
      </c>
      <c r="F376" s="3">
        <f>COUNTIFS(tblTecnicos[rotativo],"SI",tblTecnicos[especialidad],tblAsignaciones[[#This Row],[especialidad]],tblTecnicos[area],tblAsignaciones[[#This Row],[area]])</f>
        <v/>
      </c>
      <c r="G37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6" s="6" t="n"/>
      <c r="J37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6" s="3">
        <f>_xlfn.XLOOKUP(tblAsignaciones[[#This Row],[tecnico]],tblTecnicos[nombre],tblTecnicos[supervisor],"")</f>
        <v/>
      </c>
      <c r="L37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6" s="3">
        <f>tblAsignaciones[[#This Row],[semana]]&amp;"|"&amp;tblAsignaciones[[#This Row],[dia]]&amp;"|"&amp;tblAsignaciones[[#This Row],[tecnico]]</f>
        <v/>
      </c>
      <c r="O376" s="3">
        <f>_xlfn.XLOOKUP(tblAsignaciones[[#This Row],[turno]],tblTurnos[turno],tblTurnos[hora_inicio],"")</f>
        <v/>
      </c>
      <c r="P376" s="3">
        <f>_xlfn.XLOOKUP(tblAsignaciones[[#This Row],[turno]],tblTurnos[turno],tblTurnos[hora_fin],"")</f>
        <v/>
      </c>
      <c r="Q376" s="3">
        <f>IF(AND(LEFT(tblAsignaciones[[#This Row],[posicion_ciclo]],1)="T",tblAsignaciones[[#This Row],[en_vacaciones]]="no"),"sí","no")</f>
        <v/>
      </c>
    </row>
    <row r="377">
      <c r="A377" s="3" t="inlineStr">
        <is>
          <t>2026-S33</t>
        </is>
      </c>
      <c r="B377" s="3" t="inlineStr">
        <is>
          <t>miércoles</t>
        </is>
      </c>
      <c r="C377" s="3" t="inlineStr">
        <is>
          <t>Técnico 06</t>
        </is>
      </c>
      <c r="D377" s="3">
        <f>_xlfn.XLOOKUP(tblAsignaciones[[#This Row],[tecnico]],tblTecnicos[nombre],tblTecnicos[area],"")</f>
        <v/>
      </c>
      <c r="E377" s="3">
        <f>_xlfn.XLOOKUP(tblAsignaciones[[#This Row],[tecnico]],tblTecnicos[nombre],tblTecnicos[especialidad],"")</f>
        <v/>
      </c>
      <c r="F377" s="3">
        <f>COUNTIFS(tblTecnicos[rotativo],"SI",tblTecnicos[especialidad],tblAsignaciones[[#This Row],[especialidad]],tblTecnicos[area],tblAsignaciones[[#This Row],[area]])</f>
        <v/>
      </c>
      <c r="G37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7" s="6" t="n"/>
      <c r="J37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7" s="3">
        <f>_xlfn.XLOOKUP(tblAsignaciones[[#This Row],[tecnico]],tblTecnicos[nombre],tblTecnicos[supervisor],"")</f>
        <v/>
      </c>
      <c r="L37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7" s="3">
        <f>tblAsignaciones[[#This Row],[semana]]&amp;"|"&amp;tblAsignaciones[[#This Row],[dia]]&amp;"|"&amp;tblAsignaciones[[#This Row],[tecnico]]</f>
        <v/>
      </c>
      <c r="O377" s="3">
        <f>_xlfn.XLOOKUP(tblAsignaciones[[#This Row],[turno]],tblTurnos[turno],tblTurnos[hora_inicio],"")</f>
        <v/>
      </c>
      <c r="P377" s="3">
        <f>_xlfn.XLOOKUP(tblAsignaciones[[#This Row],[turno]],tblTurnos[turno],tblTurnos[hora_fin],"")</f>
        <v/>
      </c>
      <c r="Q377" s="3">
        <f>IF(AND(LEFT(tblAsignaciones[[#This Row],[posicion_ciclo]],1)="T",tblAsignaciones[[#This Row],[en_vacaciones]]="no"),"sí","no")</f>
        <v/>
      </c>
    </row>
    <row r="378">
      <c r="A378" s="3" t="inlineStr">
        <is>
          <t>2026-S33</t>
        </is>
      </c>
      <c r="B378" s="3" t="inlineStr">
        <is>
          <t>jueves</t>
        </is>
      </c>
      <c r="C378" s="3" t="inlineStr">
        <is>
          <t>Técnico 06</t>
        </is>
      </c>
      <c r="D378" s="3">
        <f>_xlfn.XLOOKUP(tblAsignaciones[[#This Row],[tecnico]],tblTecnicos[nombre],tblTecnicos[area],"")</f>
        <v/>
      </c>
      <c r="E378" s="3">
        <f>_xlfn.XLOOKUP(tblAsignaciones[[#This Row],[tecnico]],tblTecnicos[nombre],tblTecnicos[especialidad],"")</f>
        <v/>
      </c>
      <c r="F378" s="3">
        <f>COUNTIFS(tblTecnicos[rotativo],"SI",tblTecnicos[especialidad],tblAsignaciones[[#This Row],[especialidad]],tblTecnicos[area],tblAsignaciones[[#This Row],[area]])</f>
        <v/>
      </c>
      <c r="G37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8" s="6" t="n"/>
      <c r="J37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8" s="3">
        <f>_xlfn.XLOOKUP(tblAsignaciones[[#This Row],[tecnico]],tblTecnicos[nombre],tblTecnicos[supervisor],"")</f>
        <v/>
      </c>
      <c r="L37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8" s="3">
        <f>tblAsignaciones[[#This Row],[semana]]&amp;"|"&amp;tblAsignaciones[[#This Row],[dia]]&amp;"|"&amp;tblAsignaciones[[#This Row],[tecnico]]</f>
        <v/>
      </c>
      <c r="O378" s="3">
        <f>_xlfn.XLOOKUP(tblAsignaciones[[#This Row],[turno]],tblTurnos[turno],tblTurnos[hora_inicio],"")</f>
        <v/>
      </c>
      <c r="P378" s="3">
        <f>_xlfn.XLOOKUP(tblAsignaciones[[#This Row],[turno]],tblTurnos[turno],tblTurnos[hora_fin],"")</f>
        <v/>
      </c>
      <c r="Q378" s="3">
        <f>IF(AND(LEFT(tblAsignaciones[[#This Row],[posicion_ciclo]],1)="T",tblAsignaciones[[#This Row],[en_vacaciones]]="no"),"sí","no")</f>
        <v/>
      </c>
    </row>
    <row r="379">
      <c r="A379" s="3" t="inlineStr">
        <is>
          <t>2026-S33</t>
        </is>
      </c>
      <c r="B379" s="3" t="inlineStr">
        <is>
          <t>viernes</t>
        </is>
      </c>
      <c r="C379" s="3" t="inlineStr">
        <is>
          <t>Técnico 06</t>
        </is>
      </c>
      <c r="D379" s="3">
        <f>_xlfn.XLOOKUP(tblAsignaciones[[#This Row],[tecnico]],tblTecnicos[nombre],tblTecnicos[area],"")</f>
        <v/>
      </c>
      <c r="E379" s="3">
        <f>_xlfn.XLOOKUP(tblAsignaciones[[#This Row],[tecnico]],tblTecnicos[nombre],tblTecnicos[especialidad],"")</f>
        <v/>
      </c>
      <c r="F379" s="3">
        <f>COUNTIFS(tblTecnicos[rotativo],"SI",tblTecnicos[especialidad],tblAsignaciones[[#This Row],[especialidad]],tblTecnicos[area],tblAsignaciones[[#This Row],[area]])</f>
        <v/>
      </c>
      <c r="G37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9" s="6" t="n"/>
      <c r="J37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9" s="3">
        <f>_xlfn.XLOOKUP(tblAsignaciones[[#This Row],[tecnico]],tblTecnicos[nombre],tblTecnicos[supervisor],"")</f>
        <v/>
      </c>
      <c r="L37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9" s="3">
        <f>tblAsignaciones[[#This Row],[semana]]&amp;"|"&amp;tblAsignaciones[[#This Row],[dia]]&amp;"|"&amp;tblAsignaciones[[#This Row],[tecnico]]</f>
        <v/>
      </c>
      <c r="O379" s="3">
        <f>_xlfn.XLOOKUP(tblAsignaciones[[#This Row],[turno]],tblTurnos[turno],tblTurnos[hora_inicio],"")</f>
        <v/>
      </c>
      <c r="P379" s="3">
        <f>_xlfn.XLOOKUP(tblAsignaciones[[#This Row],[turno]],tblTurnos[turno],tblTurnos[hora_fin],"")</f>
        <v/>
      </c>
      <c r="Q379" s="3">
        <f>IF(AND(LEFT(tblAsignaciones[[#This Row],[posicion_ciclo]],1)="T",tblAsignaciones[[#This Row],[en_vacaciones]]="no"),"sí","no")</f>
        <v/>
      </c>
    </row>
    <row r="380">
      <c r="A380" s="3" t="inlineStr">
        <is>
          <t>2026-S33</t>
        </is>
      </c>
      <c r="B380" s="3" t="inlineStr">
        <is>
          <t>sábado</t>
        </is>
      </c>
      <c r="C380" s="3" t="inlineStr">
        <is>
          <t>Técnico 06</t>
        </is>
      </c>
      <c r="D380" s="3">
        <f>_xlfn.XLOOKUP(tblAsignaciones[[#This Row],[tecnico]],tblTecnicos[nombre],tblTecnicos[area],"")</f>
        <v/>
      </c>
      <c r="E380" s="3">
        <f>_xlfn.XLOOKUP(tblAsignaciones[[#This Row],[tecnico]],tblTecnicos[nombre],tblTecnicos[especialidad],"")</f>
        <v/>
      </c>
      <c r="F380" s="3">
        <f>COUNTIFS(tblTecnicos[rotativo],"SI",tblTecnicos[especialidad],tblAsignaciones[[#This Row],[especialidad]],tblTecnicos[area],tblAsignaciones[[#This Row],[area]])</f>
        <v/>
      </c>
      <c r="G38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0" s="6" t="n"/>
      <c r="J38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0" s="3">
        <f>_xlfn.XLOOKUP(tblAsignaciones[[#This Row],[tecnico]],tblTecnicos[nombre],tblTecnicos[supervisor],"")</f>
        <v/>
      </c>
      <c r="L38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0" s="3">
        <f>tblAsignaciones[[#This Row],[semana]]&amp;"|"&amp;tblAsignaciones[[#This Row],[dia]]&amp;"|"&amp;tblAsignaciones[[#This Row],[tecnico]]</f>
        <v/>
      </c>
      <c r="O380" s="3">
        <f>_xlfn.XLOOKUP(tblAsignaciones[[#This Row],[turno]],tblTurnos[turno],tblTurnos[hora_inicio],"")</f>
        <v/>
      </c>
      <c r="P380" s="3">
        <f>_xlfn.XLOOKUP(tblAsignaciones[[#This Row],[turno]],tblTurnos[turno],tblTurnos[hora_fin],"")</f>
        <v/>
      </c>
      <c r="Q380" s="3">
        <f>IF(AND(LEFT(tblAsignaciones[[#This Row],[posicion_ciclo]],1)="T",tblAsignaciones[[#This Row],[en_vacaciones]]="no"),"sí","no")</f>
        <v/>
      </c>
    </row>
    <row r="381">
      <c r="A381" s="3" t="inlineStr">
        <is>
          <t>2026-S33</t>
        </is>
      </c>
      <c r="B381" s="3" t="inlineStr">
        <is>
          <t>domingo</t>
        </is>
      </c>
      <c r="C381" s="3" t="inlineStr">
        <is>
          <t>Técnico 06</t>
        </is>
      </c>
      <c r="D381" s="3">
        <f>_xlfn.XLOOKUP(tblAsignaciones[[#This Row],[tecnico]],tblTecnicos[nombre],tblTecnicos[area],"")</f>
        <v/>
      </c>
      <c r="E381" s="3">
        <f>_xlfn.XLOOKUP(tblAsignaciones[[#This Row],[tecnico]],tblTecnicos[nombre],tblTecnicos[especialidad],"")</f>
        <v/>
      </c>
      <c r="F381" s="3">
        <f>COUNTIFS(tblTecnicos[rotativo],"SI",tblTecnicos[especialidad],tblAsignaciones[[#This Row],[especialidad]],tblTecnicos[area],tblAsignaciones[[#This Row],[area]])</f>
        <v/>
      </c>
      <c r="G38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1" s="6" t="n"/>
      <c r="J38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1" s="3">
        <f>_xlfn.XLOOKUP(tblAsignaciones[[#This Row],[tecnico]],tblTecnicos[nombre],tblTecnicos[supervisor],"")</f>
        <v/>
      </c>
      <c r="L38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1" s="3">
        <f>tblAsignaciones[[#This Row],[semana]]&amp;"|"&amp;tblAsignaciones[[#This Row],[dia]]&amp;"|"&amp;tblAsignaciones[[#This Row],[tecnico]]</f>
        <v/>
      </c>
      <c r="O381" s="3">
        <f>_xlfn.XLOOKUP(tblAsignaciones[[#This Row],[turno]],tblTurnos[turno],tblTurnos[hora_inicio],"")</f>
        <v/>
      </c>
      <c r="P381" s="3">
        <f>_xlfn.XLOOKUP(tblAsignaciones[[#This Row],[turno]],tblTurnos[turno],tblTurnos[hora_fin],"")</f>
        <v/>
      </c>
      <c r="Q381" s="3">
        <f>IF(AND(LEFT(tblAsignaciones[[#This Row],[posicion_ciclo]],1)="T",tblAsignaciones[[#This Row],[en_vacaciones]]="no"),"sí","no")</f>
        <v/>
      </c>
    </row>
    <row r="382">
      <c r="A382" s="3" t="inlineStr">
        <is>
          <t>2026-S33</t>
        </is>
      </c>
      <c r="B382" s="3" t="inlineStr">
        <is>
          <t>lunes</t>
        </is>
      </c>
      <c r="C382" s="3" t="inlineStr">
        <is>
          <t>Técnico 07</t>
        </is>
      </c>
      <c r="D382" s="3">
        <f>_xlfn.XLOOKUP(tblAsignaciones[[#This Row],[tecnico]],tblTecnicos[nombre],tblTecnicos[area],"")</f>
        <v/>
      </c>
      <c r="E382" s="3">
        <f>_xlfn.XLOOKUP(tblAsignaciones[[#This Row],[tecnico]],tblTecnicos[nombre],tblTecnicos[especialidad],"")</f>
        <v/>
      </c>
      <c r="F382" s="3">
        <f>COUNTIFS(tblTecnicos[rotativo],"SI",tblTecnicos[especialidad],tblAsignaciones[[#This Row],[especialidad]],tblTecnicos[area],tblAsignaciones[[#This Row],[area]])</f>
        <v/>
      </c>
      <c r="G38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2" s="6" t="n"/>
      <c r="J38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2" s="3">
        <f>_xlfn.XLOOKUP(tblAsignaciones[[#This Row],[tecnico]],tblTecnicos[nombre],tblTecnicos[supervisor],"")</f>
        <v/>
      </c>
      <c r="L38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2" s="3">
        <f>tblAsignaciones[[#This Row],[semana]]&amp;"|"&amp;tblAsignaciones[[#This Row],[dia]]&amp;"|"&amp;tblAsignaciones[[#This Row],[tecnico]]</f>
        <v/>
      </c>
      <c r="O382" s="3">
        <f>_xlfn.XLOOKUP(tblAsignaciones[[#This Row],[turno]],tblTurnos[turno],tblTurnos[hora_inicio],"")</f>
        <v/>
      </c>
      <c r="P382" s="3">
        <f>_xlfn.XLOOKUP(tblAsignaciones[[#This Row],[turno]],tblTurnos[turno],tblTurnos[hora_fin],"")</f>
        <v/>
      </c>
      <c r="Q382" s="3">
        <f>IF(AND(LEFT(tblAsignaciones[[#This Row],[posicion_ciclo]],1)="T",tblAsignaciones[[#This Row],[en_vacaciones]]="no"),"sí","no")</f>
        <v/>
      </c>
    </row>
    <row r="383">
      <c r="A383" s="3" t="inlineStr">
        <is>
          <t>2026-S33</t>
        </is>
      </c>
      <c r="B383" s="3" t="inlineStr">
        <is>
          <t>martes</t>
        </is>
      </c>
      <c r="C383" s="3" t="inlineStr">
        <is>
          <t>Técnico 07</t>
        </is>
      </c>
      <c r="D383" s="3">
        <f>_xlfn.XLOOKUP(tblAsignaciones[[#This Row],[tecnico]],tblTecnicos[nombre],tblTecnicos[area],"")</f>
        <v/>
      </c>
      <c r="E383" s="3">
        <f>_xlfn.XLOOKUP(tblAsignaciones[[#This Row],[tecnico]],tblTecnicos[nombre],tblTecnicos[especialidad],"")</f>
        <v/>
      </c>
      <c r="F383" s="3">
        <f>COUNTIFS(tblTecnicos[rotativo],"SI",tblTecnicos[especialidad],tblAsignaciones[[#This Row],[especialidad]],tblTecnicos[area],tblAsignaciones[[#This Row],[area]])</f>
        <v/>
      </c>
      <c r="G38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3" s="6" t="n"/>
      <c r="J38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3" s="3">
        <f>_xlfn.XLOOKUP(tblAsignaciones[[#This Row],[tecnico]],tblTecnicos[nombre],tblTecnicos[supervisor],"")</f>
        <v/>
      </c>
      <c r="L38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3" s="3">
        <f>tblAsignaciones[[#This Row],[semana]]&amp;"|"&amp;tblAsignaciones[[#This Row],[dia]]&amp;"|"&amp;tblAsignaciones[[#This Row],[tecnico]]</f>
        <v/>
      </c>
      <c r="O383" s="3">
        <f>_xlfn.XLOOKUP(tblAsignaciones[[#This Row],[turno]],tblTurnos[turno],tblTurnos[hora_inicio],"")</f>
        <v/>
      </c>
      <c r="P383" s="3">
        <f>_xlfn.XLOOKUP(tblAsignaciones[[#This Row],[turno]],tblTurnos[turno],tblTurnos[hora_fin],"")</f>
        <v/>
      </c>
      <c r="Q383" s="3">
        <f>IF(AND(LEFT(tblAsignaciones[[#This Row],[posicion_ciclo]],1)="T",tblAsignaciones[[#This Row],[en_vacaciones]]="no"),"sí","no")</f>
        <v/>
      </c>
    </row>
    <row r="384">
      <c r="A384" s="3" t="inlineStr">
        <is>
          <t>2026-S33</t>
        </is>
      </c>
      <c r="B384" s="3" t="inlineStr">
        <is>
          <t>miércoles</t>
        </is>
      </c>
      <c r="C384" s="3" t="inlineStr">
        <is>
          <t>Técnico 07</t>
        </is>
      </c>
      <c r="D384" s="3">
        <f>_xlfn.XLOOKUP(tblAsignaciones[[#This Row],[tecnico]],tblTecnicos[nombre],tblTecnicos[area],"")</f>
        <v/>
      </c>
      <c r="E384" s="3">
        <f>_xlfn.XLOOKUP(tblAsignaciones[[#This Row],[tecnico]],tblTecnicos[nombre],tblTecnicos[especialidad],"")</f>
        <v/>
      </c>
      <c r="F384" s="3">
        <f>COUNTIFS(tblTecnicos[rotativo],"SI",tblTecnicos[especialidad],tblAsignaciones[[#This Row],[especialidad]],tblTecnicos[area],tblAsignaciones[[#This Row],[area]])</f>
        <v/>
      </c>
      <c r="G38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4" s="6" t="n"/>
      <c r="J38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4" s="3">
        <f>_xlfn.XLOOKUP(tblAsignaciones[[#This Row],[tecnico]],tblTecnicos[nombre],tblTecnicos[supervisor],"")</f>
        <v/>
      </c>
      <c r="L38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4" s="3">
        <f>tblAsignaciones[[#This Row],[semana]]&amp;"|"&amp;tblAsignaciones[[#This Row],[dia]]&amp;"|"&amp;tblAsignaciones[[#This Row],[tecnico]]</f>
        <v/>
      </c>
      <c r="O384" s="3">
        <f>_xlfn.XLOOKUP(tblAsignaciones[[#This Row],[turno]],tblTurnos[turno],tblTurnos[hora_inicio],"")</f>
        <v/>
      </c>
      <c r="P384" s="3">
        <f>_xlfn.XLOOKUP(tblAsignaciones[[#This Row],[turno]],tblTurnos[turno],tblTurnos[hora_fin],"")</f>
        <v/>
      </c>
      <c r="Q384" s="3">
        <f>IF(AND(LEFT(tblAsignaciones[[#This Row],[posicion_ciclo]],1)="T",tblAsignaciones[[#This Row],[en_vacaciones]]="no"),"sí","no")</f>
        <v/>
      </c>
    </row>
    <row r="385">
      <c r="A385" s="3" t="inlineStr">
        <is>
          <t>2026-S33</t>
        </is>
      </c>
      <c r="B385" s="3" t="inlineStr">
        <is>
          <t>jueves</t>
        </is>
      </c>
      <c r="C385" s="3" t="inlineStr">
        <is>
          <t>Técnico 07</t>
        </is>
      </c>
      <c r="D385" s="3">
        <f>_xlfn.XLOOKUP(tblAsignaciones[[#This Row],[tecnico]],tblTecnicos[nombre],tblTecnicos[area],"")</f>
        <v/>
      </c>
      <c r="E385" s="3">
        <f>_xlfn.XLOOKUP(tblAsignaciones[[#This Row],[tecnico]],tblTecnicos[nombre],tblTecnicos[especialidad],"")</f>
        <v/>
      </c>
      <c r="F385" s="3">
        <f>COUNTIFS(tblTecnicos[rotativo],"SI",tblTecnicos[especialidad],tblAsignaciones[[#This Row],[especialidad]],tblTecnicos[area],tblAsignaciones[[#This Row],[area]])</f>
        <v/>
      </c>
      <c r="G38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5" s="6" t="n"/>
      <c r="J38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5" s="3">
        <f>_xlfn.XLOOKUP(tblAsignaciones[[#This Row],[tecnico]],tblTecnicos[nombre],tblTecnicos[supervisor],"")</f>
        <v/>
      </c>
      <c r="L38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5" s="3">
        <f>tblAsignaciones[[#This Row],[semana]]&amp;"|"&amp;tblAsignaciones[[#This Row],[dia]]&amp;"|"&amp;tblAsignaciones[[#This Row],[tecnico]]</f>
        <v/>
      </c>
      <c r="O385" s="3">
        <f>_xlfn.XLOOKUP(tblAsignaciones[[#This Row],[turno]],tblTurnos[turno],tblTurnos[hora_inicio],"")</f>
        <v/>
      </c>
      <c r="P385" s="3">
        <f>_xlfn.XLOOKUP(tblAsignaciones[[#This Row],[turno]],tblTurnos[turno],tblTurnos[hora_fin],"")</f>
        <v/>
      </c>
      <c r="Q385" s="3">
        <f>IF(AND(LEFT(tblAsignaciones[[#This Row],[posicion_ciclo]],1)="T",tblAsignaciones[[#This Row],[en_vacaciones]]="no"),"sí","no")</f>
        <v/>
      </c>
    </row>
    <row r="386">
      <c r="A386" s="3" t="inlineStr">
        <is>
          <t>2026-S33</t>
        </is>
      </c>
      <c r="B386" s="3" t="inlineStr">
        <is>
          <t>viernes</t>
        </is>
      </c>
      <c r="C386" s="3" t="inlineStr">
        <is>
          <t>Técnico 07</t>
        </is>
      </c>
      <c r="D386" s="3">
        <f>_xlfn.XLOOKUP(tblAsignaciones[[#This Row],[tecnico]],tblTecnicos[nombre],tblTecnicos[area],"")</f>
        <v/>
      </c>
      <c r="E386" s="3">
        <f>_xlfn.XLOOKUP(tblAsignaciones[[#This Row],[tecnico]],tblTecnicos[nombre],tblTecnicos[especialidad],"")</f>
        <v/>
      </c>
      <c r="F386" s="3">
        <f>COUNTIFS(tblTecnicos[rotativo],"SI",tblTecnicos[especialidad],tblAsignaciones[[#This Row],[especialidad]],tblTecnicos[area],tblAsignaciones[[#This Row],[area]])</f>
        <v/>
      </c>
      <c r="G38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6" s="6" t="n"/>
      <c r="J38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6" s="3">
        <f>_xlfn.XLOOKUP(tblAsignaciones[[#This Row],[tecnico]],tblTecnicos[nombre],tblTecnicos[supervisor],"")</f>
        <v/>
      </c>
      <c r="L38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6" s="3">
        <f>tblAsignaciones[[#This Row],[semana]]&amp;"|"&amp;tblAsignaciones[[#This Row],[dia]]&amp;"|"&amp;tblAsignaciones[[#This Row],[tecnico]]</f>
        <v/>
      </c>
      <c r="O386" s="3">
        <f>_xlfn.XLOOKUP(tblAsignaciones[[#This Row],[turno]],tblTurnos[turno],tblTurnos[hora_inicio],"")</f>
        <v/>
      </c>
      <c r="P386" s="3">
        <f>_xlfn.XLOOKUP(tblAsignaciones[[#This Row],[turno]],tblTurnos[turno],tblTurnos[hora_fin],"")</f>
        <v/>
      </c>
      <c r="Q386" s="3">
        <f>IF(AND(LEFT(tblAsignaciones[[#This Row],[posicion_ciclo]],1)="T",tblAsignaciones[[#This Row],[en_vacaciones]]="no"),"sí","no")</f>
        <v/>
      </c>
    </row>
    <row r="387">
      <c r="A387" s="3" t="inlineStr">
        <is>
          <t>2026-S33</t>
        </is>
      </c>
      <c r="B387" s="3" t="inlineStr">
        <is>
          <t>sábado</t>
        </is>
      </c>
      <c r="C387" s="3" t="inlineStr">
        <is>
          <t>Técnico 07</t>
        </is>
      </c>
      <c r="D387" s="3">
        <f>_xlfn.XLOOKUP(tblAsignaciones[[#This Row],[tecnico]],tblTecnicos[nombre],tblTecnicos[area],"")</f>
        <v/>
      </c>
      <c r="E387" s="3">
        <f>_xlfn.XLOOKUP(tblAsignaciones[[#This Row],[tecnico]],tblTecnicos[nombre],tblTecnicos[especialidad],"")</f>
        <v/>
      </c>
      <c r="F387" s="3">
        <f>COUNTIFS(tblTecnicos[rotativo],"SI",tblTecnicos[especialidad],tblAsignaciones[[#This Row],[especialidad]],tblTecnicos[area],tblAsignaciones[[#This Row],[area]])</f>
        <v/>
      </c>
      <c r="G38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7" s="6" t="n"/>
      <c r="J38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7" s="3">
        <f>_xlfn.XLOOKUP(tblAsignaciones[[#This Row],[tecnico]],tblTecnicos[nombre],tblTecnicos[supervisor],"")</f>
        <v/>
      </c>
      <c r="L38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7" s="3">
        <f>tblAsignaciones[[#This Row],[semana]]&amp;"|"&amp;tblAsignaciones[[#This Row],[dia]]&amp;"|"&amp;tblAsignaciones[[#This Row],[tecnico]]</f>
        <v/>
      </c>
      <c r="O387" s="3">
        <f>_xlfn.XLOOKUP(tblAsignaciones[[#This Row],[turno]],tblTurnos[turno],tblTurnos[hora_inicio],"")</f>
        <v/>
      </c>
      <c r="P387" s="3">
        <f>_xlfn.XLOOKUP(tblAsignaciones[[#This Row],[turno]],tblTurnos[turno],tblTurnos[hora_fin],"")</f>
        <v/>
      </c>
      <c r="Q387" s="3">
        <f>IF(AND(LEFT(tblAsignaciones[[#This Row],[posicion_ciclo]],1)="T",tblAsignaciones[[#This Row],[en_vacaciones]]="no"),"sí","no")</f>
        <v/>
      </c>
    </row>
    <row r="388">
      <c r="A388" s="3" t="inlineStr">
        <is>
          <t>2026-S33</t>
        </is>
      </c>
      <c r="B388" s="3" t="inlineStr">
        <is>
          <t>domingo</t>
        </is>
      </c>
      <c r="C388" s="3" t="inlineStr">
        <is>
          <t>Técnico 07</t>
        </is>
      </c>
      <c r="D388" s="3">
        <f>_xlfn.XLOOKUP(tblAsignaciones[[#This Row],[tecnico]],tblTecnicos[nombre],tblTecnicos[area],"")</f>
        <v/>
      </c>
      <c r="E388" s="3">
        <f>_xlfn.XLOOKUP(tblAsignaciones[[#This Row],[tecnico]],tblTecnicos[nombre],tblTecnicos[especialidad],"")</f>
        <v/>
      </c>
      <c r="F388" s="3">
        <f>COUNTIFS(tblTecnicos[rotativo],"SI",tblTecnicos[especialidad],tblAsignaciones[[#This Row],[especialidad]],tblTecnicos[area],tblAsignaciones[[#This Row],[area]])</f>
        <v/>
      </c>
      <c r="G38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8" s="6" t="n"/>
      <c r="J38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8" s="3">
        <f>_xlfn.XLOOKUP(tblAsignaciones[[#This Row],[tecnico]],tblTecnicos[nombre],tblTecnicos[supervisor],"")</f>
        <v/>
      </c>
      <c r="L38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8" s="3">
        <f>tblAsignaciones[[#This Row],[semana]]&amp;"|"&amp;tblAsignaciones[[#This Row],[dia]]&amp;"|"&amp;tblAsignaciones[[#This Row],[tecnico]]</f>
        <v/>
      </c>
      <c r="O388" s="3">
        <f>_xlfn.XLOOKUP(tblAsignaciones[[#This Row],[turno]],tblTurnos[turno],tblTurnos[hora_inicio],"")</f>
        <v/>
      </c>
      <c r="P388" s="3">
        <f>_xlfn.XLOOKUP(tblAsignaciones[[#This Row],[turno]],tblTurnos[turno],tblTurnos[hora_fin],"")</f>
        <v/>
      </c>
      <c r="Q388" s="3">
        <f>IF(AND(LEFT(tblAsignaciones[[#This Row],[posicion_ciclo]],1)="T",tblAsignaciones[[#This Row],[en_vacaciones]]="no"),"sí","no")</f>
        <v/>
      </c>
    </row>
    <row r="389">
      <c r="A389" s="3" t="inlineStr">
        <is>
          <t>2026-S33</t>
        </is>
      </c>
      <c r="B389" s="3" t="inlineStr">
        <is>
          <t>lunes</t>
        </is>
      </c>
      <c r="C389" s="3" t="inlineStr">
        <is>
          <t>Técnico 08</t>
        </is>
      </c>
      <c r="D389" s="3">
        <f>_xlfn.XLOOKUP(tblAsignaciones[[#This Row],[tecnico]],tblTecnicos[nombre],tblTecnicos[area],"")</f>
        <v/>
      </c>
      <c r="E389" s="3">
        <f>_xlfn.XLOOKUP(tblAsignaciones[[#This Row],[tecnico]],tblTecnicos[nombre],tblTecnicos[especialidad],"")</f>
        <v/>
      </c>
      <c r="F389" s="3">
        <f>COUNTIFS(tblTecnicos[rotativo],"SI",tblTecnicos[especialidad],tblAsignaciones[[#This Row],[especialidad]],tblTecnicos[area],tblAsignaciones[[#This Row],[area]])</f>
        <v/>
      </c>
      <c r="G38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9" s="6" t="n"/>
      <c r="J38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9" s="3">
        <f>_xlfn.XLOOKUP(tblAsignaciones[[#This Row],[tecnico]],tblTecnicos[nombre],tblTecnicos[supervisor],"")</f>
        <v/>
      </c>
      <c r="L38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9" s="3">
        <f>tblAsignaciones[[#This Row],[semana]]&amp;"|"&amp;tblAsignaciones[[#This Row],[dia]]&amp;"|"&amp;tblAsignaciones[[#This Row],[tecnico]]</f>
        <v/>
      </c>
      <c r="O389" s="3">
        <f>_xlfn.XLOOKUP(tblAsignaciones[[#This Row],[turno]],tblTurnos[turno],tblTurnos[hora_inicio],"")</f>
        <v/>
      </c>
      <c r="P389" s="3">
        <f>_xlfn.XLOOKUP(tblAsignaciones[[#This Row],[turno]],tblTurnos[turno],tblTurnos[hora_fin],"")</f>
        <v/>
      </c>
      <c r="Q389" s="3">
        <f>IF(AND(LEFT(tblAsignaciones[[#This Row],[posicion_ciclo]],1)="T",tblAsignaciones[[#This Row],[en_vacaciones]]="no"),"sí","no")</f>
        <v/>
      </c>
    </row>
    <row r="390">
      <c r="A390" s="3" t="inlineStr">
        <is>
          <t>2026-S33</t>
        </is>
      </c>
      <c r="B390" s="3" t="inlineStr">
        <is>
          <t>martes</t>
        </is>
      </c>
      <c r="C390" s="3" t="inlineStr">
        <is>
          <t>Técnico 08</t>
        </is>
      </c>
      <c r="D390" s="3">
        <f>_xlfn.XLOOKUP(tblAsignaciones[[#This Row],[tecnico]],tblTecnicos[nombre],tblTecnicos[area],"")</f>
        <v/>
      </c>
      <c r="E390" s="3">
        <f>_xlfn.XLOOKUP(tblAsignaciones[[#This Row],[tecnico]],tblTecnicos[nombre],tblTecnicos[especialidad],"")</f>
        <v/>
      </c>
      <c r="F390" s="3">
        <f>COUNTIFS(tblTecnicos[rotativo],"SI",tblTecnicos[especialidad],tblAsignaciones[[#This Row],[especialidad]],tblTecnicos[area],tblAsignaciones[[#This Row],[area]])</f>
        <v/>
      </c>
      <c r="G39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0" s="6" t="n"/>
      <c r="J39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0" s="3">
        <f>_xlfn.XLOOKUP(tblAsignaciones[[#This Row],[tecnico]],tblTecnicos[nombre],tblTecnicos[supervisor],"")</f>
        <v/>
      </c>
      <c r="L39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0" s="3">
        <f>tblAsignaciones[[#This Row],[semana]]&amp;"|"&amp;tblAsignaciones[[#This Row],[dia]]&amp;"|"&amp;tblAsignaciones[[#This Row],[tecnico]]</f>
        <v/>
      </c>
      <c r="O390" s="3">
        <f>_xlfn.XLOOKUP(tblAsignaciones[[#This Row],[turno]],tblTurnos[turno],tblTurnos[hora_inicio],"")</f>
        <v/>
      </c>
      <c r="P390" s="3">
        <f>_xlfn.XLOOKUP(tblAsignaciones[[#This Row],[turno]],tblTurnos[turno],tblTurnos[hora_fin],"")</f>
        <v/>
      </c>
      <c r="Q390" s="3">
        <f>IF(AND(LEFT(tblAsignaciones[[#This Row],[posicion_ciclo]],1)="T",tblAsignaciones[[#This Row],[en_vacaciones]]="no"),"sí","no")</f>
        <v/>
      </c>
    </row>
    <row r="391">
      <c r="A391" s="3" t="inlineStr">
        <is>
          <t>2026-S33</t>
        </is>
      </c>
      <c r="B391" s="3" t="inlineStr">
        <is>
          <t>miércoles</t>
        </is>
      </c>
      <c r="C391" s="3" t="inlineStr">
        <is>
          <t>Técnico 08</t>
        </is>
      </c>
      <c r="D391" s="3">
        <f>_xlfn.XLOOKUP(tblAsignaciones[[#This Row],[tecnico]],tblTecnicos[nombre],tblTecnicos[area],"")</f>
        <v/>
      </c>
      <c r="E391" s="3">
        <f>_xlfn.XLOOKUP(tblAsignaciones[[#This Row],[tecnico]],tblTecnicos[nombre],tblTecnicos[especialidad],"")</f>
        <v/>
      </c>
      <c r="F391" s="3">
        <f>COUNTIFS(tblTecnicos[rotativo],"SI",tblTecnicos[especialidad],tblAsignaciones[[#This Row],[especialidad]],tblTecnicos[area],tblAsignaciones[[#This Row],[area]])</f>
        <v/>
      </c>
      <c r="G39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1" s="6" t="n"/>
      <c r="J39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1" s="3">
        <f>_xlfn.XLOOKUP(tblAsignaciones[[#This Row],[tecnico]],tblTecnicos[nombre],tblTecnicos[supervisor],"")</f>
        <v/>
      </c>
      <c r="L39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1" s="3">
        <f>tblAsignaciones[[#This Row],[semana]]&amp;"|"&amp;tblAsignaciones[[#This Row],[dia]]&amp;"|"&amp;tblAsignaciones[[#This Row],[tecnico]]</f>
        <v/>
      </c>
      <c r="O391" s="3">
        <f>_xlfn.XLOOKUP(tblAsignaciones[[#This Row],[turno]],tblTurnos[turno],tblTurnos[hora_inicio],"")</f>
        <v/>
      </c>
      <c r="P391" s="3">
        <f>_xlfn.XLOOKUP(tblAsignaciones[[#This Row],[turno]],tblTurnos[turno],tblTurnos[hora_fin],"")</f>
        <v/>
      </c>
      <c r="Q391" s="3">
        <f>IF(AND(LEFT(tblAsignaciones[[#This Row],[posicion_ciclo]],1)="T",tblAsignaciones[[#This Row],[en_vacaciones]]="no"),"sí","no")</f>
        <v/>
      </c>
    </row>
    <row r="392">
      <c r="A392" s="3" t="inlineStr">
        <is>
          <t>2026-S33</t>
        </is>
      </c>
      <c r="B392" s="3" t="inlineStr">
        <is>
          <t>jueves</t>
        </is>
      </c>
      <c r="C392" s="3" t="inlineStr">
        <is>
          <t>Técnico 08</t>
        </is>
      </c>
      <c r="D392" s="3">
        <f>_xlfn.XLOOKUP(tblAsignaciones[[#This Row],[tecnico]],tblTecnicos[nombre],tblTecnicos[area],"")</f>
        <v/>
      </c>
      <c r="E392" s="3">
        <f>_xlfn.XLOOKUP(tblAsignaciones[[#This Row],[tecnico]],tblTecnicos[nombre],tblTecnicos[especialidad],"")</f>
        <v/>
      </c>
      <c r="F392" s="3">
        <f>COUNTIFS(tblTecnicos[rotativo],"SI",tblTecnicos[especialidad],tblAsignaciones[[#This Row],[especialidad]],tblTecnicos[area],tblAsignaciones[[#This Row],[area]])</f>
        <v/>
      </c>
      <c r="G39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2" s="6" t="n"/>
      <c r="J39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2" s="3">
        <f>_xlfn.XLOOKUP(tblAsignaciones[[#This Row],[tecnico]],tblTecnicos[nombre],tblTecnicos[supervisor],"")</f>
        <v/>
      </c>
      <c r="L39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2" s="3">
        <f>tblAsignaciones[[#This Row],[semana]]&amp;"|"&amp;tblAsignaciones[[#This Row],[dia]]&amp;"|"&amp;tblAsignaciones[[#This Row],[tecnico]]</f>
        <v/>
      </c>
      <c r="O392" s="3">
        <f>_xlfn.XLOOKUP(tblAsignaciones[[#This Row],[turno]],tblTurnos[turno],tblTurnos[hora_inicio],"")</f>
        <v/>
      </c>
      <c r="P392" s="3">
        <f>_xlfn.XLOOKUP(tblAsignaciones[[#This Row],[turno]],tblTurnos[turno],tblTurnos[hora_fin],"")</f>
        <v/>
      </c>
      <c r="Q392" s="3">
        <f>IF(AND(LEFT(tblAsignaciones[[#This Row],[posicion_ciclo]],1)="T",tblAsignaciones[[#This Row],[en_vacaciones]]="no"),"sí","no")</f>
        <v/>
      </c>
    </row>
    <row r="393">
      <c r="A393" s="3" t="inlineStr">
        <is>
          <t>2026-S33</t>
        </is>
      </c>
      <c r="B393" s="3" t="inlineStr">
        <is>
          <t>viernes</t>
        </is>
      </c>
      <c r="C393" s="3" t="inlineStr">
        <is>
          <t>Técnico 08</t>
        </is>
      </c>
      <c r="D393" s="3">
        <f>_xlfn.XLOOKUP(tblAsignaciones[[#This Row],[tecnico]],tblTecnicos[nombre],tblTecnicos[area],"")</f>
        <v/>
      </c>
      <c r="E393" s="3">
        <f>_xlfn.XLOOKUP(tblAsignaciones[[#This Row],[tecnico]],tblTecnicos[nombre],tblTecnicos[especialidad],"")</f>
        <v/>
      </c>
      <c r="F393" s="3">
        <f>COUNTIFS(tblTecnicos[rotativo],"SI",tblTecnicos[especialidad],tblAsignaciones[[#This Row],[especialidad]],tblTecnicos[area],tblAsignaciones[[#This Row],[area]])</f>
        <v/>
      </c>
      <c r="G39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3" s="6" t="n"/>
      <c r="J39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3" s="3">
        <f>_xlfn.XLOOKUP(tblAsignaciones[[#This Row],[tecnico]],tblTecnicos[nombre],tblTecnicos[supervisor],"")</f>
        <v/>
      </c>
      <c r="L39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3" s="3">
        <f>tblAsignaciones[[#This Row],[semana]]&amp;"|"&amp;tblAsignaciones[[#This Row],[dia]]&amp;"|"&amp;tblAsignaciones[[#This Row],[tecnico]]</f>
        <v/>
      </c>
      <c r="O393" s="3">
        <f>_xlfn.XLOOKUP(tblAsignaciones[[#This Row],[turno]],tblTurnos[turno],tblTurnos[hora_inicio],"")</f>
        <v/>
      </c>
      <c r="P393" s="3">
        <f>_xlfn.XLOOKUP(tblAsignaciones[[#This Row],[turno]],tblTurnos[turno],tblTurnos[hora_fin],"")</f>
        <v/>
      </c>
      <c r="Q393" s="3">
        <f>IF(AND(LEFT(tblAsignaciones[[#This Row],[posicion_ciclo]],1)="T",tblAsignaciones[[#This Row],[en_vacaciones]]="no"),"sí","no")</f>
        <v/>
      </c>
    </row>
    <row r="394">
      <c r="A394" s="3" t="inlineStr">
        <is>
          <t>2026-S33</t>
        </is>
      </c>
      <c r="B394" s="3" t="inlineStr">
        <is>
          <t>sábado</t>
        </is>
      </c>
      <c r="C394" s="3" t="inlineStr">
        <is>
          <t>Técnico 08</t>
        </is>
      </c>
      <c r="D394" s="3">
        <f>_xlfn.XLOOKUP(tblAsignaciones[[#This Row],[tecnico]],tblTecnicos[nombre],tblTecnicos[area],"")</f>
        <v/>
      </c>
      <c r="E394" s="3">
        <f>_xlfn.XLOOKUP(tblAsignaciones[[#This Row],[tecnico]],tblTecnicos[nombre],tblTecnicos[especialidad],"")</f>
        <v/>
      </c>
      <c r="F394" s="3">
        <f>COUNTIFS(tblTecnicos[rotativo],"SI",tblTecnicos[especialidad],tblAsignaciones[[#This Row],[especialidad]],tblTecnicos[area],tblAsignaciones[[#This Row],[area]])</f>
        <v/>
      </c>
      <c r="G39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4" s="6" t="n"/>
      <c r="J39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4" s="3">
        <f>_xlfn.XLOOKUP(tblAsignaciones[[#This Row],[tecnico]],tblTecnicos[nombre],tblTecnicos[supervisor],"")</f>
        <v/>
      </c>
      <c r="L39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4" s="3">
        <f>tblAsignaciones[[#This Row],[semana]]&amp;"|"&amp;tblAsignaciones[[#This Row],[dia]]&amp;"|"&amp;tblAsignaciones[[#This Row],[tecnico]]</f>
        <v/>
      </c>
      <c r="O394" s="3">
        <f>_xlfn.XLOOKUP(tblAsignaciones[[#This Row],[turno]],tblTurnos[turno],tblTurnos[hora_inicio],"")</f>
        <v/>
      </c>
      <c r="P394" s="3">
        <f>_xlfn.XLOOKUP(tblAsignaciones[[#This Row],[turno]],tblTurnos[turno],tblTurnos[hora_fin],"")</f>
        <v/>
      </c>
      <c r="Q394" s="3">
        <f>IF(AND(LEFT(tblAsignaciones[[#This Row],[posicion_ciclo]],1)="T",tblAsignaciones[[#This Row],[en_vacaciones]]="no"),"sí","no")</f>
        <v/>
      </c>
    </row>
    <row r="395">
      <c r="A395" s="3" t="inlineStr">
        <is>
          <t>2026-S33</t>
        </is>
      </c>
      <c r="B395" s="3" t="inlineStr">
        <is>
          <t>domingo</t>
        </is>
      </c>
      <c r="C395" s="3" t="inlineStr">
        <is>
          <t>Técnico 08</t>
        </is>
      </c>
      <c r="D395" s="3">
        <f>_xlfn.XLOOKUP(tblAsignaciones[[#This Row],[tecnico]],tblTecnicos[nombre],tblTecnicos[area],"")</f>
        <v/>
      </c>
      <c r="E395" s="3">
        <f>_xlfn.XLOOKUP(tblAsignaciones[[#This Row],[tecnico]],tblTecnicos[nombre],tblTecnicos[especialidad],"")</f>
        <v/>
      </c>
      <c r="F395" s="3">
        <f>COUNTIFS(tblTecnicos[rotativo],"SI",tblTecnicos[especialidad],tblAsignaciones[[#This Row],[especialidad]],tblTecnicos[area],tblAsignaciones[[#This Row],[area]])</f>
        <v/>
      </c>
      <c r="G39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5" s="6" t="n"/>
      <c r="J39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5" s="3">
        <f>_xlfn.XLOOKUP(tblAsignaciones[[#This Row],[tecnico]],tblTecnicos[nombre],tblTecnicos[supervisor],"")</f>
        <v/>
      </c>
      <c r="L39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5" s="3">
        <f>tblAsignaciones[[#This Row],[semana]]&amp;"|"&amp;tblAsignaciones[[#This Row],[dia]]&amp;"|"&amp;tblAsignaciones[[#This Row],[tecnico]]</f>
        <v/>
      </c>
      <c r="O395" s="3">
        <f>_xlfn.XLOOKUP(tblAsignaciones[[#This Row],[turno]],tblTurnos[turno],tblTurnos[hora_inicio],"")</f>
        <v/>
      </c>
      <c r="P395" s="3">
        <f>_xlfn.XLOOKUP(tblAsignaciones[[#This Row],[turno]],tblTurnos[turno],tblTurnos[hora_fin],"")</f>
        <v/>
      </c>
      <c r="Q395" s="3">
        <f>IF(AND(LEFT(tblAsignaciones[[#This Row],[posicion_ciclo]],1)="T",tblAsignaciones[[#This Row],[en_vacaciones]]="no"),"sí","no")</f>
        <v/>
      </c>
    </row>
    <row r="396">
      <c r="A396" s="3" t="inlineStr">
        <is>
          <t>2026-S33</t>
        </is>
      </c>
      <c r="B396" s="3" t="inlineStr">
        <is>
          <t>lunes</t>
        </is>
      </c>
      <c r="C396" s="3" t="inlineStr">
        <is>
          <t>Técnico 09</t>
        </is>
      </c>
      <c r="D396" s="3">
        <f>_xlfn.XLOOKUP(tblAsignaciones[[#This Row],[tecnico]],tblTecnicos[nombre],tblTecnicos[area],"")</f>
        <v/>
      </c>
      <c r="E396" s="3">
        <f>_xlfn.XLOOKUP(tblAsignaciones[[#This Row],[tecnico]],tblTecnicos[nombre],tblTecnicos[especialidad],"")</f>
        <v/>
      </c>
      <c r="F396" s="3">
        <f>COUNTIFS(tblTecnicos[rotativo],"SI",tblTecnicos[especialidad],tblAsignaciones[[#This Row],[especialidad]],tblTecnicos[area],tblAsignaciones[[#This Row],[area]])</f>
        <v/>
      </c>
      <c r="G39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6" s="6" t="n"/>
      <c r="J39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6" s="3">
        <f>_xlfn.XLOOKUP(tblAsignaciones[[#This Row],[tecnico]],tblTecnicos[nombre],tblTecnicos[supervisor],"")</f>
        <v/>
      </c>
      <c r="L39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6" s="3">
        <f>tblAsignaciones[[#This Row],[semana]]&amp;"|"&amp;tblAsignaciones[[#This Row],[dia]]&amp;"|"&amp;tblAsignaciones[[#This Row],[tecnico]]</f>
        <v/>
      </c>
      <c r="O396" s="3">
        <f>_xlfn.XLOOKUP(tblAsignaciones[[#This Row],[turno]],tblTurnos[turno],tblTurnos[hora_inicio],"")</f>
        <v/>
      </c>
      <c r="P396" s="3">
        <f>_xlfn.XLOOKUP(tblAsignaciones[[#This Row],[turno]],tblTurnos[turno],tblTurnos[hora_fin],"")</f>
        <v/>
      </c>
      <c r="Q396" s="3">
        <f>IF(AND(LEFT(tblAsignaciones[[#This Row],[posicion_ciclo]],1)="T",tblAsignaciones[[#This Row],[en_vacaciones]]="no"),"sí","no")</f>
        <v/>
      </c>
    </row>
    <row r="397">
      <c r="A397" s="3" t="inlineStr">
        <is>
          <t>2026-S33</t>
        </is>
      </c>
      <c r="B397" s="3" t="inlineStr">
        <is>
          <t>martes</t>
        </is>
      </c>
      <c r="C397" s="3" t="inlineStr">
        <is>
          <t>Técnico 09</t>
        </is>
      </c>
      <c r="D397" s="3">
        <f>_xlfn.XLOOKUP(tblAsignaciones[[#This Row],[tecnico]],tblTecnicos[nombre],tblTecnicos[area],"")</f>
        <v/>
      </c>
      <c r="E397" s="3">
        <f>_xlfn.XLOOKUP(tblAsignaciones[[#This Row],[tecnico]],tblTecnicos[nombre],tblTecnicos[especialidad],"")</f>
        <v/>
      </c>
      <c r="F397" s="3">
        <f>COUNTIFS(tblTecnicos[rotativo],"SI",tblTecnicos[especialidad],tblAsignaciones[[#This Row],[especialidad]],tblTecnicos[area],tblAsignaciones[[#This Row],[area]])</f>
        <v/>
      </c>
      <c r="G39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7" s="6" t="n"/>
      <c r="J39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7" s="3">
        <f>_xlfn.XLOOKUP(tblAsignaciones[[#This Row],[tecnico]],tblTecnicos[nombre],tblTecnicos[supervisor],"")</f>
        <v/>
      </c>
      <c r="L39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7" s="3">
        <f>tblAsignaciones[[#This Row],[semana]]&amp;"|"&amp;tblAsignaciones[[#This Row],[dia]]&amp;"|"&amp;tblAsignaciones[[#This Row],[tecnico]]</f>
        <v/>
      </c>
      <c r="O397" s="3">
        <f>_xlfn.XLOOKUP(tblAsignaciones[[#This Row],[turno]],tblTurnos[turno],tblTurnos[hora_inicio],"")</f>
        <v/>
      </c>
      <c r="P397" s="3">
        <f>_xlfn.XLOOKUP(tblAsignaciones[[#This Row],[turno]],tblTurnos[turno],tblTurnos[hora_fin],"")</f>
        <v/>
      </c>
      <c r="Q397" s="3">
        <f>IF(AND(LEFT(tblAsignaciones[[#This Row],[posicion_ciclo]],1)="T",tblAsignaciones[[#This Row],[en_vacaciones]]="no"),"sí","no")</f>
        <v/>
      </c>
    </row>
    <row r="398">
      <c r="A398" s="3" t="inlineStr">
        <is>
          <t>2026-S33</t>
        </is>
      </c>
      <c r="B398" s="3" t="inlineStr">
        <is>
          <t>miércoles</t>
        </is>
      </c>
      <c r="C398" s="3" t="inlineStr">
        <is>
          <t>Técnico 09</t>
        </is>
      </c>
      <c r="D398" s="3">
        <f>_xlfn.XLOOKUP(tblAsignaciones[[#This Row],[tecnico]],tblTecnicos[nombre],tblTecnicos[area],"")</f>
        <v/>
      </c>
      <c r="E398" s="3">
        <f>_xlfn.XLOOKUP(tblAsignaciones[[#This Row],[tecnico]],tblTecnicos[nombre],tblTecnicos[especialidad],"")</f>
        <v/>
      </c>
      <c r="F398" s="3">
        <f>COUNTIFS(tblTecnicos[rotativo],"SI",tblTecnicos[especialidad],tblAsignaciones[[#This Row],[especialidad]],tblTecnicos[area],tblAsignaciones[[#This Row],[area]])</f>
        <v/>
      </c>
      <c r="G39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8" s="6" t="n"/>
      <c r="J39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8" s="3">
        <f>_xlfn.XLOOKUP(tblAsignaciones[[#This Row],[tecnico]],tblTecnicos[nombre],tblTecnicos[supervisor],"")</f>
        <v/>
      </c>
      <c r="L39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8" s="3">
        <f>tblAsignaciones[[#This Row],[semana]]&amp;"|"&amp;tblAsignaciones[[#This Row],[dia]]&amp;"|"&amp;tblAsignaciones[[#This Row],[tecnico]]</f>
        <v/>
      </c>
      <c r="O398" s="3">
        <f>_xlfn.XLOOKUP(tblAsignaciones[[#This Row],[turno]],tblTurnos[turno],tblTurnos[hora_inicio],"")</f>
        <v/>
      </c>
      <c r="P398" s="3">
        <f>_xlfn.XLOOKUP(tblAsignaciones[[#This Row],[turno]],tblTurnos[turno],tblTurnos[hora_fin],"")</f>
        <v/>
      </c>
      <c r="Q398" s="3">
        <f>IF(AND(LEFT(tblAsignaciones[[#This Row],[posicion_ciclo]],1)="T",tblAsignaciones[[#This Row],[en_vacaciones]]="no"),"sí","no")</f>
        <v/>
      </c>
    </row>
    <row r="399">
      <c r="A399" s="3" t="inlineStr">
        <is>
          <t>2026-S33</t>
        </is>
      </c>
      <c r="B399" s="3" t="inlineStr">
        <is>
          <t>jueves</t>
        </is>
      </c>
      <c r="C399" s="3" t="inlineStr">
        <is>
          <t>Técnico 09</t>
        </is>
      </c>
      <c r="D399" s="3">
        <f>_xlfn.XLOOKUP(tblAsignaciones[[#This Row],[tecnico]],tblTecnicos[nombre],tblTecnicos[area],"")</f>
        <v/>
      </c>
      <c r="E399" s="3">
        <f>_xlfn.XLOOKUP(tblAsignaciones[[#This Row],[tecnico]],tblTecnicos[nombre],tblTecnicos[especialidad],"")</f>
        <v/>
      </c>
      <c r="F399" s="3">
        <f>COUNTIFS(tblTecnicos[rotativo],"SI",tblTecnicos[especialidad],tblAsignaciones[[#This Row],[especialidad]],tblTecnicos[area],tblAsignaciones[[#This Row],[area]])</f>
        <v/>
      </c>
      <c r="G39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9" s="6" t="n"/>
      <c r="J39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9" s="3">
        <f>_xlfn.XLOOKUP(tblAsignaciones[[#This Row],[tecnico]],tblTecnicos[nombre],tblTecnicos[supervisor],"")</f>
        <v/>
      </c>
      <c r="L39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9" s="3">
        <f>tblAsignaciones[[#This Row],[semana]]&amp;"|"&amp;tblAsignaciones[[#This Row],[dia]]&amp;"|"&amp;tblAsignaciones[[#This Row],[tecnico]]</f>
        <v/>
      </c>
      <c r="O399" s="3">
        <f>_xlfn.XLOOKUP(tblAsignaciones[[#This Row],[turno]],tblTurnos[turno],tblTurnos[hora_inicio],"")</f>
        <v/>
      </c>
      <c r="P399" s="3">
        <f>_xlfn.XLOOKUP(tblAsignaciones[[#This Row],[turno]],tblTurnos[turno],tblTurnos[hora_fin],"")</f>
        <v/>
      </c>
      <c r="Q399" s="3">
        <f>IF(AND(LEFT(tblAsignaciones[[#This Row],[posicion_ciclo]],1)="T",tblAsignaciones[[#This Row],[en_vacaciones]]="no"),"sí","no")</f>
        <v/>
      </c>
    </row>
    <row r="400">
      <c r="A400" s="3" t="inlineStr">
        <is>
          <t>2026-S33</t>
        </is>
      </c>
      <c r="B400" s="3" t="inlineStr">
        <is>
          <t>viernes</t>
        </is>
      </c>
      <c r="C400" s="3" t="inlineStr">
        <is>
          <t>Técnico 09</t>
        </is>
      </c>
      <c r="D400" s="3">
        <f>_xlfn.XLOOKUP(tblAsignaciones[[#This Row],[tecnico]],tblTecnicos[nombre],tblTecnicos[area],"")</f>
        <v/>
      </c>
      <c r="E400" s="3">
        <f>_xlfn.XLOOKUP(tblAsignaciones[[#This Row],[tecnico]],tblTecnicos[nombre],tblTecnicos[especialidad],"")</f>
        <v/>
      </c>
      <c r="F400" s="3">
        <f>COUNTIFS(tblTecnicos[rotativo],"SI",tblTecnicos[especialidad],tblAsignaciones[[#This Row],[especialidad]],tblTecnicos[area],tblAsignaciones[[#This Row],[area]])</f>
        <v/>
      </c>
      <c r="G40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0" s="6" t="n"/>
      <c r="J40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0" s="3">
        <f>_xlfn.XLOOKUP(tblAsignaciones[[#This Row],[tecnico]],tblTecnicos[nombre],tblTecnicos[supervisor],"")</f>
        <v/>
      </c>
      <c r="L40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0" s="3">
        <f>tblAsignaciones[[#This Row],[semana]]&amp;"|"&amp;tblAsignaciones[[#This Row],[dia]]&amp;"|"&amp;tblAsignaciones[[#This Row],[tecnico]]</f>
        <v/>
      </c>
      <c r="O400" s="3">
        <f>_xlfn.XLOOKUP(tblAsignaciones[[#This Row],[turno]],tblTurnos[turno],tblTurnos[hora_inicio],"")</f>
        <v/>
      </c>
      <c r="P400" s="3">
        <f>_xlfn.XLOOKUP(tblAsignaciones[[#This Row],[turno]],tblTurnos[turno],tblTurnos[hora_fin],"")</f>
        <v/>
      </c>
      <c r="Q400" s="3">
        <f>IF(AND(LEFT(tblAsignaciones[[#This Row],[posicion_ciclo]],1)="T",tblAsignaciones[[#This Row],[en_vacaciones]]="no"),"sí","no")</f>
        <v/>
      </c>
    </row>
    <row r="401">
      <c r="A401" s="3" t="inlineStr">
        <is>
          <t>2026-S33</t>
        </is>
      </c>
      <c r="B401" s="3" t="inlineStr">
        <is>
          <t>sábado</t>
        </is>
      </c>
      <c r="C401" s="3" t="inlineStr">
        <is>
          <t>Técnico 09</t>
        </is>
      </c>
      <c r="D401" s="3">
        <f>_xlfn.XLOOKUP(tblAsignaciones[[#This Row],[tecnico]],tblTecnicos[nombre],tblTecnicos[area],"")</f>
        <v/>
      </c>
      <c r="E401" s="3">
        <f>_xlfn.XLOOKUP(tblAsignaciones[[#This Row],[tecnico]],tblTecnicos[nombre],tblTecnicos[especialidad],"")</f>
        <v/>
      </c>
      <c r="F401" s="3">
        <f>COUNTIFS(tblTecnicos[rotativo],"SI",tblTecnicos[especialidad],tblAsignaciones[[#This Row],[especialidad]],tblTecnicos[area],tblAsignaciones[[#This Row],[area]])</f>
        <v/>
      </c>
      <c r="G40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1" s="6" t="n"/>
      <c r="J40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1" s="3">
        <f>_xlfn.XLOOKUP(tblAsignaciones[[#This Row],[tecnico]],tblTecnicos[nombre],tblTecnicos[supervisor],"")</f>
        <v/>
      </c>
      <c r="L40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1" s="3">
        <f>tblAsignaciones[[#This Row],[semana]]&amp;"|"&amp;tblAsignaciones[[#This Row],[dia]]&amp;"|"&amp;tblAsignaciones[[#This Row],[tecnico]]</f>
        <v/>
      </c>
      <c r="O401" s="3">
        <f>_xlfn.XLOOKUP(tblAsignaciones[[#This Row],[turno]],tblTurnos[turno],tblTurnos[hora_inicio],"")</f>
        <v/>
      </c>
      <c r="P401" s="3">
        <f>_xlfn.XLOOKUP(tblAsignaciones[[#This Row],[turno]],tblTurnos[turno],tblTurnos[hora_fin],"")</f>
        <v/>
      </c>
      <c r="Q401" s="3">
        <f>IF(AND(LEFT(tblAsignaciones[[#This Row],[posicion_ciclo]],1)="T",tblAsignaciones[[#This Row],[en_vacaciones]]="no"),"sí","no")</f>
        <v/>
      </c>
    </row>
    <row r="402">
      <c r="A402" s="3" t="inlineStr">
        <is>
          <t>2026-S33</t>
        </is>
      </c>
      <c r="B402" s="3" t="inlineStr">
        <is>
          <t>domingo</t>
        </is>
      </c>
      <c r="C402" s="3" t="inlineStr">
        <is>
          <t>Técnico 09</t>
        </is>
      </c>
      <c r="D402" s="3">
        <f>_xlfn.XLOOKUP(tblAsignaciones[[#This Row],[tecnico]],tblTecnicos[nombre],tblTecnicos[area],"")</f>
        <v/>
      </c>
      <c r="E402" s="3">
        <f>_xlfn.XLOOKUP(tblAsignaciones[[#This Row],[tecnico]],tblTecnicos[nombre],tblTecnicos[especialidad],"")</f>
        <v/>
      </c>
      <c r="F402" s="3">
        <f>COUNTIFS(tblTecnicos[rotativo],"SI",tblTecnicos[especialidad],tblAsignaciones[[#This Row],[especialidad]],tblTecnicos[area],tblAsignaciones[[#This Row],[area]])</f>
        <v/>
      </c>
      <c r="G40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2" s="6" t="n"/>
      <c r="J40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2" s="3">
        <f>_xlfn.XLOOKUP(tblAsignaciones[[#This Row],[tecnico]],tblTecnicos[nombre],tblTecnicos[supervisor],"")</f>
        <v/>
      </c>
      <c r="L40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2" s="3">
        <f>tblAsignaciones[[#This Row],[semana]]&amp;"|"&amp;tblAsignaciones[[#This Row],[dia]]&amp;"|"&amp;tblAsignaciones[[#This Row],[tecnico]]</f>
        <v/>
      </c>
      <c r="O402" s="3">
        <f>_xlfn.XLOOKUP(tblAsignaciones[[#This Row],[turno]],tblTurnos[turno],tblTurnos[hora_inicio],"")</f>
        <v/>
      </c>
      <c r="P402" s="3">
        <f>_xlfn.XLOOKUP(tblAsignaciones[[#This Row],[turno]],tblTurnos[turno],tblTurnos[hora_fin],"")</f>
        <v/>
      </c>
      <c r="Q402" s="3">
        <f>IF(AND(LEFT(tblAsignaciones[[#This Row],[posicion_ciclo]],1)="T",tblAsignaciones[[#This Row],[en_vacaciones]]="no"),"sí","no")</f>
        <v/>
      </c>
    </row>
    <row r="403">
      <c r="A403" s="3" t="inlineStr">
        <is>
          <t>2026-S33</t>
        </is>
      </c>
      <c r="B403" s="3" t="inlineStr">
        <is>
          <t>lunes</t>
        </is>
      </c>
      <c r="C403" s="3" t="inlineStr">
        <is>
          <t>Técnico 10</t>
        </is>
      </c>
      <c r="D403" s="3">
        <f>_xlfn.XLOOKUP(tblAsignaciones[[#This Row],[tecnico]],tblTecnicos[nombre],tblTecnicos[area],"")</f>
        <v/>
      </c>
      <c r="E403" s="3">
        <f>_xlfn.XLOOKUP(tblAsignaciones[[#This Row],[tecnico]],tblTecnicos[nombre],tblTecnicos[especialidad],"")</f>
        <v/>
      </c>
      <c r="F403" s="3">
        <f>COUNTIFS(tblTecnicos[rotativo],"SI",tblTecnicos[especialidad],tblAsignaciones[[#This Row],[especialidad]],tblTecnicos[area],tblAsignaciones[[#This Row],[area]])</f>
        <v/>
      </c>
      <c r="G40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3" s="6" t="n"/>
      <c r="J40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3" s="3">
        <f>_xlfn.XLOOKUP(tblAsignaciones[[#This Row],[tecnico]],tblTecnicos[nombre],tblTecnicos[supervisor],"")</f>
        <v/>
      </c>
      <c r="L40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3" s="3">
        <f>tblAsignaciones[[#This Row],[semana]]&amp;"|"&amp;tblAsignaciones[[#This Row],[dia]]&amp;"|"&amp;tblAsignaciones[[#This Row],[tecnico]]</f>
        <v/>
      </c>
      <c r="O403" s="3">
        <f>_xlfn.XLOOKUP(tblAsignaciones[[#This Row],[turno]],tblTurnos[turno],tblTurnos[hora_inicio],"")</f>
        <v/>
      </c>
      <c r="P403" s="3">
        <f>_xlfn.XLOOKUP(tblAsignaciones[[#This Row],[turno]],tblTurnos[turno],tblTurnos[hora_fin],"")</f>
        <v/>
      </c>
      <c r="Q403" s="3">
        <f>IF(AND(LEFT(tblAsignaciones[[#This Row],[posicion_ciclo]],1)="T",tblAsignaciones[[#This Row],[en_vacaciones]]="no"),"sí","no")</f>
        <v/>
      </c>
    </row>
    <row r="404">
      <c r="A404" s="3" t="inlineStr">
        <is>
          <t>2026-S33</t>
        </is>
      </c>
      <c r="B404" s="3" t="inlineStr">
        <is>
          <t>martes</t>
        </is>
      </c>
      <c r="C404" s="3" t="inlineStr">
        <is>
          <t>Técnico 10</t>
        </is>
      </c>
      <c r="D404" s="3">
        <f>_xlfn.XLOOKUP(tblAsignaciones[[#This Row],[tecnico]],tblTecnicos[nombre],tblTecnicos[area],"")</f>
        <v/>
      </c>
      <c r="E404" s="3">
        <f>_xlfn.XLOOKUP(tblAsignaciones[[#This Row],[tecnico]],tblTecnicos[nombre],tblTecnicos[especialidad],"")</f>
        <v/>
      </c>
      <c r="F404" s="3">
        <f>COUNTIFS(tblTecnicos[rotativo],"SI",tblTecnicos[especialidad],tblAsignaciones[[#This Row],[especialidad]],tblTecnicos[area],tblAsignaciones[[#This Row],[area]])</f>
        <v/>
      </c>
      <c r="G40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4" s="6" t="n"/>
      <c r="J40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4" s="3">
        <f>_xlfn.XLOOKUP(tblAsignaciones[[#This Row],[tecnico]],tblTecnicos[nombre],tblTecnicos[supervisor],"")</f>
        <v/>
      </c>
      <c r="L40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4" s="3">
        <f>tblAsignaciones[[#This Row],[semana]]&amp;"|"&amp;tblAsignaciones[[#This Row],[dia]]&amp;"|"&amp;tblAsignaciones[[#This Row],[tecnico]]</f>
        <v/>
      </c>
      <c r="O404" s="3">
        <f>_xlfn.XLOOKUP(tblAsignaciones[[#This Row],[turno]],tblTurnos[turno],tblTurnos[hora_inicio],"")</f>
        <v/>
      </c>
      <c r="P404" s="3">
        <f>_xlfn.XLOOKUP(tblAsignaciones[[#This Row],[turno]],tblTurnos[turno],tblTurnos[hora_fin],"")</f>
        <v/>
      </c>
      <c r="Q404" s="3">
        <f>IF(AND(LEFT(tblAsignaciones[[#This Row],[posicion_ciclo]],1)="T",tblAsignaciones[[#This Row],[en_vacaciones]]="no"),"sí","no")</f>
        <v/>
      </c>
    </row>
    <row r="405">
      <c r="A405" s="3" t="inlineStr">
        <is>
          <t>2026-S33</t>
        </is>
      </c>
      <c r="B405" s="3" t="inlineStr">
        <is>
          <t>miércoles</t>
        </is>
      </c>
      <c r="C405" s="3" t="inlineStr">
        <is>
          <t>Técnico 10</t>
        </is>
      </c>
      <c r="D405" s="3">
        <f>_xlfn.XLOOKUP(tblAsignaciones[[#This Row],[tecnico]],tblTecnicos[nombre],tblTecnicos[area],"")</f>
        <v/>
      </c>
      <c r="E405" s="3">
        <f>_xlfn.XLOOKUP(tblAsignaciones[[#This Row],[tecnico]],tblTecnicos[nombre],tblTecnicos[especialidad],"")</f>
        <v/>
      </c>
      <c r="F405" s="3">
        <f>COUNTIFS(tblTecnicos[rotativo],"SI",tblTecnicos[especialidad],tblAsignaciones[[#This Row],[especialidad]],tblTecnicos[area],tblAsignaciones[[#This Row],[area]])</f>
        <v/>
      </c>
      <c r="G40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5" s="6" t="n"/>
      <c r="J40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5" s="3">
        <f>_xlfn.XLOOKUP(tblAsignaciones[[#This Row],[tecnico]],tblTecnicos[nombre],tblTecnicos[supervisor],"")</f>
        <v/>
      </c>
      <c r="L40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5" s="3">
        <f>tblAsignaciones[[#This Row],[semana]]&amp;"|"&amp;tblAsignaciones[[#This Row],[dia]]&amp;"|"&amp;tblAsignaciones[[#This Row],[tecnico]]</f>
        <v/>
      </c>
      <c r="O405" s="3">
        <f>_xlfn.XLOOKUP(tblAsignaciones[[#This Row],[turno]],tblTurnos[turno],tblTurnos[hora_inicio],"")</f>
        <v/>
      </c>
      <c r="P405" s="3">
        <f>_xlfn.XLOOKUP(tblAsignaciones[[#This Row],[turno]],tblTurnos[turno],tblTurnos[hora_fin],"")</f>
        <v/>
      </c>
      <c r="Q405" s="3">
        <f>IF(AND(LEFT(tblAsignaciones[[#This Row],[posicion_ciclo]],1)="T",tblAsignaciones[[#This Row],[en_vacaciones]]="no"),"sí","no")</f>
        <v/>
      </c>
    </row>
    <row r="406">
      <c r="A406" s="3" t="inlineStr">
        <is>
          <t>2026-S33</t>
        </is>
      </c>
      <c r="B406" s="3" t="inlineStr">
        <is>
          <t>jueves</t>
        </is>
      </c>
      <c r="C406" s="3" t="inlineStr">
        <is>
          <t>Técnico 10</t>
        </is>
      </c>
      <c r="D406" s="3">
        <f>_xlfn.XLOOKUP(tblAsignaciones[[#This Row],[tecnico]],tblTecnicos[nombre],tblTecnicos[area],"")</f>
        <v/>
      </c>
      <c r="E406" s="3">
        <f>_xlfn.XLOOKUP(tblAsignaciones[[#This Row],[tecnico]],tblTecnicos[nombre],tblTecnicos[especialidad],"")</f>
        <v/>
      </c>
      <c r="F406" s="3">
        <f>COUNTIFS(tblTecnicos[rotativo],"SI",tblTecnicos[especialidad],tblAsignaciones[[#This Row],[especialidad]],tblTecnicos[area],tblAsignaciones[[#This Row],[area]])</f>
        <v/>
      </c>
      <c r="G40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6" s="6" t="n"/>
      <c r="J40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6" s="3">
        <f>_xlfn.XLOOKUP(tblAsignaciones[[#This Row],[tecnico]],tblTecnicos[nombre],tblTecnicos[supervisor],"")</f>
        <v/>
      </c>
      <c r="L40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6" s="3">
        <f>tblAsignaciones[[#This Row],[semana]]&amp;"|"&amp;tblAsignaciones[[#This Row],[dia]]&amp;"|"&amp;tblAsignaciones[[#This Row],[tecnico]]</f>
        <v/>
      </c>
      <c r="O406" s="3">
        <f>_xlfn.XLOOKUP(tblAsignaciones[[#This Row],[turno]],tblTurnos[turno],tblTurnos[hora_inicio],"")</f>
        <v/>
      </c>
      <c r="P406" s="3">
        <f>_xlfn.XLOOKUP(tblAsignaciones[[#This Row],[turno]],tblTurnos[turno],tblTurnos[hora_fin],"")</f>
        <v/>
      </c>
      <c r="Q406" s="3">
        <f>IF(AND(LEFT(tblAsignaciones[[#This Row],[posicion_ciclo]],1)="T",tblAsignaciones[[#This Row],[en_vacaciones]]="no"),"sí","no")</f>
        <v/>
      </c>
    </row>
    <row r="407">
      <c r="A407" s="3" t="inlineStr">
        <is>
          <t>2026-S33</t>
        </is>
      </c>
      <c r="B407" s="3" t="inlineStr">
        <is>
          <t>viernes</t>
        </is>
      </c>
      <c r="C407" s="3" t="inlineStr">
        <is>
          <t>Técnico 10</t>
        </is>
      </c>
      <c r="D407" s="3">
        <f>_xlfn.XLOOKUP(tblAsignaciones[[#This Row],[tecnico]],tblTecnicos[nombre],tblTecnicos[area],"")</f>
        <v/>
      </c>
      <c r="E407" s="3">
        <f>_xlfn.XLOOKUP(tblAsignaciones[[#This Row],[tecnico]],tblTecnicos[nombre],tblTecnicos[especialidad],"")</f>
        <v/>
      </c>
      <c r="F407" s="3">
        <f>COUNTIFS(tblTecnicos[rotativo],"SI",tblTecnicos[especialidad],tblAsignaciones[[#This Row],[especialidad]],tblTecnicos[area],tblAsignaciones[[#This Row],[area]])</f>
        <v/>
      </c>
      <c r="G40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7" s="6" t="n"/>
      <c r="J40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7" s="3">
        <f>_xlfn.XLOOKUP(tblAsignaciones[[#This Row],[tecnico]],tblTecnicos[nombre],tblTecnicos[supervisor],"")</f>
        <v/>
      </c>
      <c r="L40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7" s="3">
        <f>tblAsignaciones[[#This Row],[semana]]&amp;"|"&amp;tblAsignaciones[[#This Row],[dia]]&amp;"|"&amp;tblAsignaciones[[#This Row],[tecnico]]</f>
        <v/>
      </c>
      <c r="O407" s="3">
        <f>_xlfn.XLOOKUP(tblAsignaciones[[#This Row],[turno]],tblTurnos[turno],tblTurnos[hora_inicio],"")</f>
        <v/>
      </c>
      <c r="P407" s="3">
        <f>_xlfn.XLOOKUP(tblAsignaciones[[#This Row],[turno]],tblTurnos[turno],tblTurnos[hora_fin],"")</f>
        <v/>
      </c>
      <c r="Q407" s="3">
        <f>IF(AND(LEFT(tblAsignaciones[[#This Row],[posicion_ciclo]],1)="T",tblAsignaciones[[#This Row],[en_vacaciones]]="no"),"sí","no")</f>
        <v/>
      </c>
    </row>
    <row r="408">
      <c r="A408" s="3" t="inlineStr">
        <is>
          <t>2026-S33</t>
        </is>
      </c>
      <c r="B408" s="3" t="inlineStr">
        <is>
          <t>sábado</t>
        </is>
      </c>
      <c r="C408" s="3" t="inlineStr">
        <is>
          <t>Técnico 10</t>
        </is>
      </c>
      <c r="D408" s="3">
        <f>_xlfn.XLOOKUP(tblAsignaciones[[#This Row],[tecnico]],tblTecnicos[nombre],tblTecnicos[area],"")</f>
        <v/>
      </c>
      <c r="E408" s="3">
        <f>_xlfn.XLOOKUP(tblAsignaciones[[#This Row],[tecnico]],tblTecnicos[nombre],tblTecnicos[especialidad],"")</f>
        <v/>
      </c>
      <c r="F408" s="3">
        <f>COUNTIFS(tblTecnicos[rotativo],"SI",tblTecnicos[especialidad],tblAsignaciones[[#This Row],[especialidad]],tblTecnicos[area],tblAsignaciones[[#This Row],[area]])</f>
        <v/>
      </c>
      <c r="G40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8" s="6" t="n"/>
      <c r="J40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8" s="3">
        <f>_xlfn.XLOOKUP(tblAsignaciones[[#This Row],[tecnico]],tblTecnicos[nombre],tblTecnicos[supervisor],"")</f>
        <v/>
      </c>
      <c r="L40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8" s="3">
        <f>tblAsignaciones[[#This Row],[semana]]&amp;"|"&amp;tblAsignaciones[[#This Row],[dia]]&amp;"|"&amp;tblAsignaciones[[#This Row],[tecnico]]</f>
        <v/>
      </c>
      <c r="O408" s="3">
        <f>_xlfn.XLOOKUP(tblAsignaciones[[#This Row],[turno]],tblTurnos[turno],tblTurnos[hora_inicio],"")</f>
        <v/>
      </c>
      <c r="P408" s="3">
        <f>_xlfn.XLOOKUP(tblAsignaciones[[#This Row],[turno]],tblTurnos[turno],tblTurnos[hora_fin],"")</f>
        <v/>
      </c>
      <c r="Q408" s="3">
        <f>IF(AND(LEFT(tblAsignaciones[[#This Row],[posicion_ciclo]],1)="T",tblAsignaciones[[#This Row],[en_vacaciones]]="no"),"sí","no")</f>
        <v/>
      </c>
    </row>
    <row r="409">
      <c r="A409" s="3" t="inlineStr">
        <is>
          <t>2026-S33</t>
        </is>
      </c>
      <c r="B409" s="3" t="inlineStr">
        <is>
          <t>domingo</t>
        </is>
      </c>
      <c r="C409" s="3" t="inlineStr">
        <is>
          <t>Técnico 10</t>
        </is>
      </c>
      <c r="D409" s="3">
        <f>_xlfn.XLOOKUP(tblAsignaciones[[#This Row],[tecnico]],tblTecnicos[nombre],tblTecnicos[area],"")</f>
        <v/>
      </c>
      <c r="E409" s="3">
        <f>_xlfn.XLOOKUP(tblAsignaciones[[#This Row],[tecnico]],tblTecnicos[nombre],tblTecnicos[especialidad],"")</f>
        <v/>
      </c>
      <c r="F409" s="3">
        <f>COUNTIFS(tblTecnicos[rotativo],"SI",tblTecnicos[especialidad],tblAsignaciones[[#This Row],[especialidad]],tblTecnicos[area],tblAsignaciones[[#This Row],[area]])</f>
        <v/>
      </c>
      <c r="G40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9" s="6" t="n"/>
      <c r="J40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9" s="3">
        <f>_xlfn.XLOOKUP(tblAsignaciones[[#This Row],[tecnico]],tblTecnicos[nombre],tblTecnicos[supervisor],"")</f>
        <v/>
      </c>
      <c r="L40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9" s="3">
        <f>tblAsignaciones[[#This Row],[semana]]&amp;"|"&amp;tblAsignaciones[[#This Row],[dia]]&amp;"|"&amp;tblAsignaciones[[#This Row],[tecnico]]</f>
        <v/>
      </c>
      <c r="O409" s="3">
        <f>_xlfn.XLOOKUP(tblAsignaciones[[#This Row],[turno]],tblTurnos[turno],tblTurnos[hora_inicio],"")</f>
        <v/>
      </c>
      <c r="P409" s="3">
        <f>_xlfn.XLOOKUP(tblAsignaciones[[#This Row],[turno]],tblTurnos[turno],tblTurnos[hora_fin],"")</f>
        <v/>
      </c>
      <c r="Q409" s="3">
        <f>IF(AND(LEFT(tblAsignaciones[[#This Row],[posicion_ciclo]],1)="T",tblAsignaciones[[#This Row],[en_vacaciones]]="no"),"sí","no")</f>
        <v/>
      </c>
    </row>
    <row r="410">
      <c r="A410" s="3" t="inlineStr">
        <is>
          <t>2026-S33</t>
        </is>
      </c>
      <c r="B410" s="3" t="inlineStr">
        <is>
          <t>lunes</t>
        </is>
      </c>
      <c r="C410" s="3" t="inlineStr">
        <is>
          <t>Técnico 11</t>
        </is>
      </c>
      <c r="D410" s="3">
        <f>_xlfn.XLOOKUP(tblAsignaciones[[#This Row],[tecnico]],tblTecnicos[nombre],tblTecnicos[area],"")</f>
        <v/>
      </c>
      <c r="E410" s="3">
        <f>_xlfn.XLOOKUP(tblAsignaciones[[#This Row],[tecnico]],tblTecnicos[nombre],tblTecnicos[especialidad],"")</f>
        <v/>
      </c>
      <c r="F410" s="3">
        <f>COUNTIFS(tblTecnicos[rotativo],"SI",tblTecnicos[especialidad],tblAsignaciones[[#This Row],[especialidad]],tblTecnicos[area],tblAsignaciones[[#This Row],[area]])</f>
        <v/>
      </c>
      <c r="G41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0" s="6" t="n"/>
      <c r="J41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0" s="3">
        <f>_xlfn.XLOOKUP(tblAsignaciones[[#This Row],[tecnico]],tblTecnicos[nombre],tblTecnicos[supervisor],"")</f>
        <v/>
      </c>
      <c r="L41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0" s="3">
        <f>tblAsignaciones[[#This Row],[semana]]&amp;"|"&amp;tblAsignaciones[[#This Row],[dia]]&amp;"|"&amp;tblAsignaciones[[#This Row],[tecnico]]</f>
        <v/>
      </c>
      <c r="O410" s="3">
        <f>_xlfn.XLOOKUP(tblAsignaciones[[#This Row],[turno]],tblTurnos[turno],tblTurnos[hora_inicio],"")</f>
        <v/>
      </c>
      <c r="P410" s="3">
        <f>_xlfn.XLOOKUP(tblAsignaciones[[#This Row],[turno]],tblTurnos[turno],tblTurnos[hora_fin],"")</f>
        <v/>
      </c>
      <c r="Q410" s="3">
        <f>IF(AND(LEFT(tblAsignaciones[[#This Row],[posicion_ciclo]],1)="T",tblAsignaciones[[#This Row],[en_vacaciones]]="no"),"sí","no")</f>
        <v/>
      </c>
    </row>
    <row r="411">
      <c r="A411" s="3" t="inlineStr">
        <is>
          <t>2026-S33</t>
        </is>
      </c>
      <c r="B411" s="3" t="inlineStr">
        <is>
          <t>martes</t>
        </is>
      </c>
      <c r="C411" s="3" t="inlineStr">
        <is>
          <t>Técnico 11</t>
        </is>
      </c>
      <c r="D411" s="3">
        <f>_xlfn.XLOOKUP(tblAsignaciones[[#This Row],[tecnico]],tblTecnicos[nombre],tblTecnicos[area],"")</f>
        <v/>
      </c>
      <c r="E411" s="3">
        <f>_xlfn.XLOOKUP(tblAsignaciones[[#This Row],[tecnico]],tblTecnicos[nombre],tblTecnicos[especialidad],"")</f>
        <v/>
      </c>
      <c r="F411" s="3">
        <f>COUNTIFS(tblTecnicos[rotativo],"SI",tblTecnicos[especialidad],tblAsignaciones[[#This Row],[especialidad]],tblTecnicos[area],tblAsignaciones[[#This Row],[area]])</f>
        <v/>
      </c>
      <c r="G41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1" s="6" t="n"/>
      <c r="J41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1" s="3">
        <f>_xlfn.XLOOKUP(tblAsignaciones[[#This Row],[tecnico]],tblTecnicos[nombre],tblTecnicos[supervisor],"")</f>
        <v/>
      </c>
      <c r="L41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1" s="3">
        <f>tblAsignaciones[[#This Row],[semana]]&amp;"|"&amp;tblAsignaciones[[#This Row],[dia]]&amp;"|"&amp;tblAsignaciones[[#This Row],[tecnico]]</f>
        <v/>
      </c>
      <c r="O411" s="3">
        <f>_xlfn.XLOOKUP(tblAsignaciones[[#This Row],[turno]],tblTurnos[turno],tblTurnos[hora_inicio],"")</f>
        <v/>
      </c>
      <c r="P411" s="3">
        <f>_xlfn.XLOOKUP(tblAsignaciones[[#This Row],[turno]],tblTurnos[turno],tblTurnos[hora_fin],"")</f>
        <v/>
      </c>
      <c r="Q411" s="3">
        <f>IF(AND(LEFT(tblAsignaciones[[#This Row],[posicion_ciclo]],1)="T",tblAsignaciones[[#This Row],[en_vacaciones]]="no"),"sí","no")</f>
        <v/>
      </c>
    </row>
    <row r="412">
      <c r="A412" s="3" t="inlineStr">
        <is>
          <t>2026-S33</t>
        </is>
      </c>
      <c r="B412" s="3" t="inlineStr">
        <is>
          <t>miércoles</t>
        </is>
      </c>
      <c r="C412" s="3" t="inlineStr">
        <is>
          <t>Técnico 11</t>
        </is>
      </c>
      <c r="D412" s="3">
        <f>_xlfn.XLOOKUP(tblAsignaciones[[#This Row],[tecnico]],tblTecnicos[nombre],tblTecnicos[area],"")</f>
        <v/>
      </c>
      <c r="E412" s="3">
        <f>_xlfn.XLOOKUP(tblAsignaciones[[#This Row],[tecnico]],tblTecnicos[nombre],tblTecnicos[especialidad],"")</f>
        <v/>
      </c>
      <c r="F412" s="3">
        <f>COUNTIFS(tblTecnicos[rotativo],"SI",tblTecnicos[especialidad],tblAsignaciones[[#This Row],[especialidad]],tblTecnicos[area],tblAsignaciones[[#This Row],[area]])</f>
        <v/>
      </c>
      <c r="G41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2" s="6" t="n"/>
      <c r="J41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2" s="3">
        <f>_xlfn.XLOOKUP(tblAsignaciones[[#This Row],[tecnico]],tblTecnicos[nombre],tblTecnicos[supervisor],"")</f>
        <v/>
      </c>
      <c r="L41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2" s="3">
        <f>tblAsignaciones[[#This Row],[semana]]&amp;"|"&amp;tblAsignaciones[[#This Row],[dia]]&amp;"|"&amp;tblAsignaciones[[#This Row],[tecnico]]</f>
        <v/>
      </c>
      <c r="O412" s="3">
        <f>_xlfn.XLOOKUP(tblAsignaciones[[#This Row],[turno]],tblTurnos[turno],tblTurnos[hora_inicio],"")</f>
        <v/>
      </c>
      <c r="P412" s="3">
        <f>_xlfn.XLOOKUP(tblAsignaciones[[#This Row],[turno]],tblTurnos[turno],tblTurnos[hora_fin],"")</f>
        <v/>
      </c>
      <c r="Q412" s="3">
        <f>IF(AND(LEFT(tblAsignaciones[[#This Row],[posicion_ciclo]],1)="T",tblAsignaciones[[#This Row],[en_vacaciones]]="no"),"sí","no")</f>
        <v/>
      </c>
    </row>
    <row r="413">
      <c r="A413" s="3" t="inlineStr">
        <is>
          <t>2026-S33</t>
        </is>
      </c>
      <c r="B413" s="3" t="inlineStr">
        <is>
          <t>jueves</t>
        </is>
      </c>
      <c r="C413" s="3" t="inlineStr">
        <is>
          <t>Técnico 11</t>
        </is>
      </c>
      <c r="D413" s="3">
        <f>_xlfn.XLOOKUP(tblAsignaciones[[#This Row],[tecnico]],tblTecnicos[nombre],tblTecnicos[area],"")</f>
        <v/>
      </c>
      <c r="E413" s="3">
        <f>_xlfn.XLOOKUP(tblAsignaciones[[#This Row],[tecnico]],tblTecnicos[nombre],tblTecnicos[especialidad],"")</f>
        <v/>
      </c>
      <c r="F413" s="3">
        <f>COUNTIFS(tblTecnicos[rotativo],"SI",tblTecnicos[especialidad],tblAsignaciones[[#This Row],[especialidad]],tblTecnicos[area],tblAsignaciones[[#This Row],[area]])</f>
        <v/>
      </c>
      <c r="G41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3" s="6" t="n"/>
      <c r="J41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3" s="3">
        <f>_xlfn.XLOOKUP(tblAsignaciones[[#This Row],[tecnico]],tblTecnicos[nombre],tblTecnicos[supervisor],"")</f>
        <v/>
      </c>
      <c r="L41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3" s="3">
        <f>tblAsignaciones[[#This Row],[semana]]&amp;"|"&amp;tblAsignaciones[[#This Row],[dia]]&amp;"|"&amp;tblAsignaciones[[#This Row],[tecnico]]</f>
        <v/>
      </c>
      <c r="O413" s="3">
        <f>_xlfn.XLOOKUP(tblAsignaciones[[#This Row],[turno]],tblTurnos[turno],tblTurnos[hora_inicio],"")</f>
        <v/>
      </c>
      <c r="P413" s="3">
        <f>_xlfn.XLOOKUP(tblAsignaciones[[#This Row],[turno]],tblTurnos[turno],tblTurnos[hora_fin],"")</f>
        <v/>
      </c>
      <c r="Q413" s="3">
        <f>IF(AND(LEFT(tblAsignaciones[[#This Row],[posicion_ciclo]],1)="T",tblAsignaciones[[#This Row],[en_vacaciones]]="no"),"sí","no")</f>
        <v/>
      </c>
    </row>
    <row r="414">
      <c r="A414" s="3" t="inlineStr">
        <is>
          <t>2026-S33</t>
        </is>
      </c>
      <c r="B414" s="3" t="inlineStr">
        <is>
          <t>viernes</t>
        </is>
      </c>
      <c r="C414" s="3" t="inlineStr">
        <is>
          <t>Técnico 11</t>
        </is>
      </c>
      <c r="D414" s="3">
        <f>_xlfn.XLOOKUP(tblAsignaciones[[#This Row],[tecnico]],tblTecnicos[nombre],tblTecnicos[area],"")</f>
        <v/>
      </c>
      <c r="E414" s="3">
        <f>_xlfn.XLOOKUP(tblAsignaciones[[#This Row],[tecnico]],tblTecnicos[nombre],tblTecnicos[especialidad],"")</f>
        <v/>
      </c>
      <c r="F414" s="3">
        <f>COUNTIFS(tblTecnicos[rotativo],"SI",tblTecnicos[especialidad],tblAsignaciones[[#This Row],[especialidad]],tblTecnicos[area],tblAsignaciones[[#This Row],[area]])</f>
        <v/>
      </c>
      <c r="G41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4" s="6" t="n"/>
      <c r="J41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4" s="3">
        <f>_xlfn.XLOOKUP(tblAsignaciones[[#This Row],[tecnico]],tblTecnicos[nombre],tblTecnicos[supervisor],"")</f>
        <v/>
      </c>
      <c r="L41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4" s="3">
        <f>tblAsignaciones[[#This Row],[semana]]&amp;"|"&amp;tblAsignaciones[[#This Row],[dia]]&amp;"|"&amp;tblAsignaciones[[#This Row],[tecnico]]</f>
        <v/>
      </c>
      <c r="O414" s="3">
        <f>_xlfn.XLOOKUP(tblAsignaciones[[#This Row],[turno]],tblTurnos[turno],tblTurnos[hora_inicio],"")</f>
        <v/>
      </c>
      <c r="P414" s="3">
        <f>_xlfn.XLOOKUP(tblAsignaciones[[#This Row],[turno]],tblTurnos[turno],tblTurnos[hora_fin],"")</f>
        <v/>
      </c>
      <c r="Q414" s="3">
        <f>IF(AND(LEFT(tblAsignaciones[[#This Row],[posicion_ciclo]],1)="T",tblAsignaciones[[#This Row],[en_vacaciones]]="no"),"sí","no")</f>
        <v/>
      </c>
    </row>
    <row r="415">
      <c r="A415" s="3" t="inlineStr">
        <is>
          <t>2026-S33</t>
        </is>
      </c>
      <c r="B415" s="3" t="inlineStr">
        <is>
          <t>sábado</t>
        </is>
      </c>
      <c r="C415" s="3" t="inlineStr">
        <is>
          <t>Técnico 11</t>
        </is>
      </c>
      <c r="D415" s="3">
        <f>_xlfn.XLOOKUP(tblAsignaciones[[#This Row],[tecnico]],tblTecnicos[nombre],tblTecnicos[area],"")</f>
        <v/>
      </c>
      <c r="E415" s="3">
        <f>_xlfn.XLOOKUP(tblAsignaciones[[#This Row],[tecnico]],tblTecnicos[nombre],tblTecnicos[especialidad],"")</f>
        <v/>
      </c>
      <c r="F415" s="3">
        <f>COUNTIFS(tblTecnicos[rotativo],"SI",tblTecnicos[especialidad],tblAsignaciones[[#This Row],[especialidad]],tblTecnicos[area],tblAsignaciones[[#This Row],[area]])</f>
        <v/>
      </c>
      <c r="G41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5" s="6" t="n"/>
      <c r="J41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5" s="3">
        <f>_xlfn.XLOOKUP(tblAsignaciones[[#This Row],[tecnico]],tblTecnicos[nombre],tblTecnicos[supervisor],"")</f>
        <v/>
      </c>
      <c r="L41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5" s="3">
        <f>tblAsignaciones[[#This Row],[semana]]&amp;"|"&amp;tblAsignaciones[[#This Row],[dia]]&amp;"|"&amp;tblAsignaciones[[#This Row],[tecnico]]</f>
        <v/>
      </c>
      <c r="O415" s="3">
        <f>_xlfn.XLOOKUP(tblAsignaciones[[#This Row],[turno]],tblTurnos[turno],tblTurnos[hora_inicio],"")</f>
        <v/>
      </c>
      <c r="P415" s="3">
        <f>_xlfn.XLOOKUP(tblAsignaciones[[#This Row],[turno]],tblTurnos[turno],tblTurnos[hora_fin],"")</f>
        <v/>
      </c>
      <c r="Q415" s="3">
        <f>IF(AND(LEFT(tblAsignaciones[[#This Row],[posicion_ciclo]],1)="T",tblAsignaciones[[#This Row],[en_vacaciones]]="no"),"sí","no")</f>
        <v/>
      </c>
    </row>
    <row r="416">
      <c r="A416" s="3" t="inlineStr">
        <is>
          <t>2026-S33</t>
        </is>
      </c>
      <c r="B416" s="3" t="inlineStr">
        <is>
          <t>domingo</t>
        </is>
      </c>
      <c r="C416" s="3" t="inlineStr">
        <is>
          <t>Técnico 11</t>
        </is>
      </c>
      <c r="D416" s="3">
        <f>_xlfn.XLOOKUP(tblAsignaciones[[#This Row],[tecnico]],tblTecnicos[nombre],tblTecnicos[area],"")</f>
        <v/>
      </c>
      <c r="E416" s="3">
        <f>_xlfn.XLOOKUP(tblAsignaciones[[#This Row],[tecnico]],tblTecnicos[nombre],tblTecnicos[especialidad],"")</f>
        <v/>
      </c>
      <c r="F416" s="3">
        <f>COUNTIFS(tblTecnicos[rotativo],"SI",tblTecnicos[especialidad],tblAsignaciones[[#This Row],[especialidad]],tblTecnicos[area],tblAsignaciones[[#This Row],[area]])</f>
        <v/>
      </c>
      <c r="G41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6" s="6" t="n"/>
      <c r="J41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6" s="3">
        <f>_xlfn.XLOOKUP(tblAsignaciones[[#This Row],[tecnico]],tblTecnicos[nombre],tblTecnicos[supervisor],"")</f>
        <v/>
      </c>
      <c r="L41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6" s="3">
        <f>tblAsignaciones[[#This Row],[semana]]&amp;"|"&amp;tblAsignaciones[[#This Row],[dia]]&amp;"|"&amp;tblAsignaciones[[#This Row],[tecnico]]</f>
        <v/>
      </c>
      <c r="O416" s="3">
        <f>_xlfn.XLOOKUP(tblAsignaciones[[#This Row],[turno]],tblTurnos[turno],tblTurnos[hora_inicio],"")</f>
        <v/>
      </c>
      <c r="P416" s="3">
        <f>_xlfn.XLOOKUP(tblAsignaciones[[#This Row],[turno]],tblTurnos[turno],tblTurnos[hora_fin],"")</f>
        <v/>
      </c>
      <c r="Q416" s="3">
        <f>IF(AND(LEFT(tblAsignaciones[[#This Row],[posicion_ciclo]],1)="T",tblAsignaciones[[#This Row],[en_vacaciones]]="no"),"sí","no")</f>
        <v/>
      </c>
    </row>
    <row r="417">
      <c r="A417" s="3" t="inlineStr">
        <is>
          <t>2026-S33</t>
        </is>
      </c>
      <c r="B417" s="3" t="inlineStr">
        <is>
          <t>lunes</t>
        </is>
      </c>
      <c r="C417" s="3" t="inlineStr">
        <is>
          <t>Técnico 12</t>
        </is>
      </c>
      <c r="D417" s="3">
        <f>_xlfn.XLOOKUP(tblAsignaciones[[#This Row],[tecnico]],tblTecnicos[nombre],tblTecnicos[area],"")</f>
        <v/>
      </c>
      <c r="E417" s="3">
        <f>_xlfn.XLOOKUP(tblAsignaciones[[#This Row],[tecnico]],tblTecnicos[nombre],tblTecnicos[especialidad],"")</f>
        <v/>
      </c>
      <c r="F417" s="3">
        <f>COUNTIFS(tblTecnicos[rotativo],"SI",tblTecnicos[especialidad],tblAsignaciones[[#This Row],[especialidad]],tblTecnicos[area],tblAsignaciones[[#This Row],[area]])</f>
        <v/>
      </c>
      <c r="G41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7" s="6" t="n"/>
      <c r="J41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7" s="3">
        <f>_xlfn.XLOOKUP(tblAsignaciones[[#This Row],[tecnico]],tblTecnicos[nombre],tblTecnicos[supervisor],"")</f>
        <v/>
      </c>
      <c r="L41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7" s="3">
        <f>tblAsignaciones[[#This Row],[semana]]&amp;"|"&amp;tblAsignaciones[[#This Row],[dia]]&amp;"|"&amp;tblAsignaciones[[#This Row],[tecnico]]</f>
        <v/>
      </c>
      <c r="O417" s="3">
        <f>_xlfn.XLOOKUP(tblAsignaciones[[#This Row],[turno]],tblTurnos[turno],tblTurnos[hora_inicio],"")</f>
        <v/>
      </c>
      <c r="P417" s="3">
        <f>_xlfn.XLOOKUP(tblAsignaciones[[#This Row],[turno]],tblTurnos[turno],tblTurnos[hora_fin],"")</f>
        <v/>
      </c>
      <c r="Q417" s="3">
        <f>IF(AND(LEFT(tblAsignaciones[[#This Row],[posicion_ciclo]],1)="T",tblAsignaciones[[#This Row],[en_vacaciones]]="no"),"sí","no")</f>
        <v/>
      </c>
    </row>
    <row r="418">
      <c r="A418" s="3" t="inlineStr">
        <is>
          <t>2026-S33</t>
        </is>
      </c>
      <c r="B418" s="3" t="inlineStr">
        <is>
          <t>martes</t>
        </is>
      </c>
      <c r="C418" s="3" t="inlineStr">
        <is>
          <t>Técnico 12</t>
        </is>
      </c>
      <c r="D418" s="3">
        <f>_xlfn.XLOOKUP(tblAsignaciones[[#This Row],[tecnico]],tblTecnicos[nombre],tblTecnicos[area],"")</f>
        <v/>
      </c>
      <c r="E418" s="3">
        <f>_xlfn.XLOOKUP(tblAsignaciones[[#This Row],[tecnico]],tblTecnicos[nombre],tblTecnicos[especialidad],"")</f>
        <v/>
      </c>
      <c r="F418" s="3">
        <f>COUNTIFS(tblTecnicos[rotativo],"SI",tblTecnicos[especialidad],tblAsignaciones[[#This Row],[especialidad]],tblTecnicos[area],tblAsignaciones[[#This Row],[area]])</f>
        <v/>
      </c>
      <c r="G41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8" s="6" t="n"/>
      <c r="J41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8" s="3">
        <f>_xlfn.XLOOKUP(tblAsignaciones[[#This Row],[tecnico]],tblTecnicos[nombre],tblTecnicos[supervisor],"")</f>
        <v/>
      </c>
      <c r="L41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8" s="3">
        <f>tblAsignaciones[[#This Row],[semana]]&amp;"|"&amp;tblAsignaciones[[#This Row],[dia]]&amp;"|"&amp;tblAsignaciones[[#This Row],[tecnico]]</f>
        <v/>
      </c>
      <c r="O418" s="3">
        <f>_xlfn.XLOOKUP(tblAsignaciones[[#This Row],[turno]],tblTurnos[turno],tblTurnos[hora_inicio],"")</f>
        <v/>
      </c>
      <c r="P418" s="3">
        <f>_xlfn.XLOOKUP(tblAsignaciones[[#This Row],[turno]],tblTurnos[turno],tblTurnos[hora_fin],"")</f>
        <v/>
      </c>
      <c r="Q418" s="3">
        <f>IF(AND(LEFT(tblAsignaciones[[#This Row],[posicion_ciclo]],1)="T",tblAsignaciones[[#This Row],[en_vacaciones]]="no"),"sí","no")</f>
        <v/>
      </c>
    </row>
    <row r="419">
      <c r="A419" s="3" t="inlineStr">
        <is>
          <t>2026-S33</t>
        </is>
      </c>
      <c r="B419" s="3" t="inlineStr">
        <is>
          <t>miércoles</t>
        </is>
      </c>
      <c r="C419" s="3" t="inlineStr">
        <is>
          <t>Técnico 12</t>
        </is>
      </c>
      <c r="D419" s="3">
        <f>_xlfn.XLOOKUP(tblAsignaciones[[#This Row],[tecnico]],tblTecnicos[nombre],tblTecnicos[area],"")</f>
        <v/>
      </c>
      <c r="E419" s="3">
        <f>_xlfn.XLOOKUP(tblAsignaciones[[#This Row],[tecnico]],tblTecnicos[nombre],tblTecnicos[especialidad],"")</f>
        <v/>
      </c>
      <c r="F419" s="3">
        <f>COUNTIFS(tblTecnicos[rotativo],"SI",tblTecnicos[especialidad],tblAsignaciones[[#This Row],[especialidad]],tblTecnicos[area],tblAsignaciones[[#This Row],[area]])</f>
        <v/>
      </c>
      <c r="G41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9" s="6" t="n"/>
      <c r="J41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9" s="3">
        <f>_xlfn.XLOOKUP(tblAsignaciones[[#This Row],[tecnico]],tblTecnicos[nombre],tblTecnicos[supervisor],"")</f>
        <v/>
      </c>
      <c r="L41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9" s="3">
        <f>tblAsignaciones[[#This Row],[semana]]&amp;"|"&amp;tblAsignaciones[[#This Row],[dia]]&amp;"|"&amp;tblAsignaciones[[#This Row],[tecnico]]</f>
        <v/>
      </c>
      <c r="O419" s="3">
        <f>_xlfn.XLOOKUP(tblAsignaciones[[#This Row],[turno]],tblTurnos[turno],tblTurnos[hora_inicio],"")</f>
        <v/>
      </c>
      <c r="P419" s="3">
        <f>_xlfn.XLOOKUP(tblAsignaciones[[#This Row],[turno]],tblTurnos[turno],tblTurnos[hora_fin],"")</f>
        <v/>
      </c>
      <c r="Q419" s="3">
        <f>IF(AND(LEFT(tblAsignaciones[[#This Row],[posicion_ciclo]],1)="T",tblAsignaciones[[#This Row],[en_vacaciones]]="no"),"sí","no")</f>
        <v/>
      </c>
    </row>
    <row r="420">
      <c r="A420" s="3" t="inlineStr">
        <is>
          <t>2026-S33</t>
        </is>
      </c>
      <c r="B420" s="3" t="inlineStr">
        <is>
          <t>jueves</t>
        </is>
      </c>
      <c r="C420" s="3" t="inlineStr">
        <is>
          <t>Técnico 12</t>
        </is>
      </c>
      <c r="D420" s="3">
        <f>_xlfn.XLOOKUP(tblAsignaciones[[#This Row],[tecnico]],tblTecnicos[nombre],tblTecnicos[area],"")</f>
        <v/>
      </c>
      <c r="E420" s="3">
        <f>_xlfn.XLOOKUP(tblAsignaciones[[#This Row],[tecnico]],tblTecnicos[nombre],tblTecnicos[especialidad],"")</f>
        <v/>
      </c>
      <c r="F420" s="3">
        <f>COUNTIFS(tblTecnicos[rotativo],"SI",tblTecnicos[especialidad],tblAsignaciones[[#This Row],[especialidad]],tblTecnicos[area],tblAsignaciones[[#This Row],[area]])</f>
        <v/>
      </c>
      <c r="G42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0" s="6" t="n"/>
      <c r="J42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0" s="3">
        <f>_xlfn.XLOOKUP(tblAsignaciones[[#This Row],[tecnico]],tblTecnicos[nombre],tblTecnicos[supervisor],"")</f>
        <v/>
      </c>
      <c r="L42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0" s="3">
        <f>tblAsignaciones[[#This Row],[semana]]&amp;"|"&amp;tblAsignaciones[[#This Row],[dia]]&amp;"|"&amp;tblAsignaciones[[#This Row],[tecnico]]</f>
        <v/>
      </c>
      <c r="O420" s="3">
        <f>_xlfn.XLOOKUP(tblAsignaciones[[#This Row],[turno]],tblTurnos[turno],tblTurnos[hora_inicio],"")</f>
        <v/>
      </c>
      <c r="P420" s="3">
        <f>_xlfn.XLOOKUP(tblAsignaciones[[#This Row],[turno]],tblTurnos[turno],tblTurnos[hora_fin],"")</f>
        <v/>
      </c>
      <c r="Q420" s="3">
        <f>IF(AND(LEFT(tblAsignaciones[[#This Row],[posicion_ciclo]],1)="T",tblAsignaciones[[#This Row],[en_vacaciones]]="no"),"sí","no")</f>
        <v/>
      </c>
    </row>
    <row r="421">
      <c r="A421" s="3" t="inlineStr">
        <is>
          <t>2026-S33</t>
        </is>
      </c>
      <c r="B421" s="3" t="inlineStr">
        <is>
          <t>viernes</t>
        </is>
      </c>
      <c r="C421" s="3" t="inlineStr">
        <is>
          <t>Técnico 12</t>
        </is>
      </c>
      <c r="D421" s="3">
        <f>_xlfn.XLOOKUP(tblAsignaciones[[#This Row],[tecnico]],tblTecnicos[nombre],tblTecnicos[area],"")</f>
        <v/>
      </c>
      <c r="E421" s="3">
        <f>_xlfn.XLOOKUP(tblAsignaciones[[#This Row],[tecnico]],tblTecnicos[nombre],tblTecnicos[especialidad],"")</f>
        <v/>
      </c>
      <c r="F421" s="3">
        <f>COUNTIFS(tblTecnicos[rotativo],"SI",tblTecnicos[especialidad],tblAsignaciones[[#This Row],[especialidad]],tblTecnicos[area],tblAsignaciones[[#This Row],[area]])</f>
        <v/>
      </c>
      <c r="G42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1" s="6" t="n"/>
      <c r="J42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1" s="3">
        <f>_xlfn.XLOOKUP(tblAsignaciones[[#This Row],[tecnico]],tblTecnicos[nombre],tblTecnicos[supervisor],"")</f>
        <v/>
      </c>
      <c r="L42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1" s="3">
        <f>tblAsignaciones[[#This Row],[semana]]&amp;"|"&amp;tblAsignaciones[[#This Row],[dia]]&amp;"|"&amp;tblAsignaciones[[#This Row],[tecnico]]</f>
        <v/>
      </c>
      <c r="O421" s="3">
        <f>_xlfn.XLOOKUP(tblAsignaciones[[#This Row],[turno]],tblTurnos[turno],tblTurnos[hora_inicio],"")</f>
        <v/>
      </c>
      <c r="P421" s="3">
        <f>_xlfn.XLOOKUP(tblAsignaciones[[#This Row],[turno]],tblTurnos[turno],tblTurnos[hora_fin],"")</f>
        <v/>
      </c>
      <c r="Q421" s="3">
        <f>IF(AND(LEFT(tblAsignaciones[[#This Row],[posicion_ciclo]],1)="T",tblAsignaciones[[#This Row],[en_vacaciones]]="no"),"sí","no")</f>
        <v/>
      </c>
    </row>
    <row r="422">
      <c r="A422" s="3" t="inlineStr">
        <is>
          <t>2026-S33</t>
        </is>
      </c>
      <c r="B422" s="3" t="inlineStr">
        <is>
          <t>sábado</t>
        </is>
      </c>
      <c r="C422" s="3" t="inlineStr">
        <is>
          <t>Técnico 12</t>
        </is>
      </c>
      <c r="D422" s="3">
        <f>_xlfn.XLOOKUP(tblAsignaciones[[#This Row],[tecnico]],tblTecnicos[nombre],tblTecnicos[area],"")</f>
        <v/>
      </c>
      <c r="E422" s="3">
        <f>_xlfn.XLOOKUP(tblAsignaciones[[#This Row],[tecnico]],tblTecnicos[nombre],tblTecnicos[especialidad],"")</f>
        <v/>
      </c>
      <c r="F422" s="3">
        <f>COUNTIFS(tblTecnicos[rotativo],"SI",tblTecnicos[especialidad],tblAsignaciones[[#This Row],[especialidad]],tblTecnicos[area],tblAsignaciones[[#This Row],[area]])</f>
        <v/>
      </c>
      <c r="G42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2" s="6" t="n"/>
      <c r="J42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2" s="3">
        <f>_xlfn.XLOOKUP(tblAsignaciones[[#This Row],[tecnico]],tblTecnicos[nombre],tblTecnicos[supervisor],"")</f>
        <v/>
      </c>
      <c r="L42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2" s="3">
        <f>tblAsignaciones[[#This Row],[semana]]&amp;"|"&amp;tblAsignaciones[[#This Row],[dia]]&amp;"|"&amp;tblAsignaciones[[#This Row],[tecnico]]</f>
        <v/>
      </c>
      <c r="O422" s="3">
        <f>_xlfn.XLOOKUP(tblAsignaciones[[#This Row],[turno]],tblTurnos[turno],tblTurnos[hora_inicio],"")</f>
        <v/>
      </c>
      <c r="P422" s="3">
        <f>_xlfn.XLOOKUP(tblAsignaciones[[#This Row],[turno]],tblTurnos[turno],tblTurnos[hora_fin],"")</f>
        <v/>
      </c>
      <c r="Q422" s="3">
        <f>IF(AND(LEFT(tblAsignaciones[[#This Row],[posicion_ciclo]],1)="T",tblAsignaciones[[#This Row],[en_vacaciones]]="no"),"sí","no")</f>
        <v/>
      </c>
    </row>
    <row r="423">
      <c r="A423" s="3" t="inlineStr">
        <is>
          <t>2026-S33</t>
        </is>
      </c>
      <c r="B423" s="3" t="inlineStr">
        <is>
          <t>domingo</t>
        </is>
      </c>
      <c r="C423" s="3" t="inlineStr">
        <is>
          <t>Técnico 12</t>
        </is>
      </c>
      <c r="D423" s="3">
        <f>_xlfn.XLOOKUP(tblAsignaciones[[#This Row],[tecnico]],tblTecnicos[nombre],tblTecnicos[area],"")</f>
        <v/>
      </c>
      <c r="E423" s="3">
        <f>_xlfn.XLOOKUP(tblAsignaciones[[#This Row],[tecnico]],tblTecnicos[nombre],tblTecnicos[especialidad],"")</f>
        <v/>
      </c>
      <c r="F423" s="3">
        <f>COUNTIFS(tblTecnicos[rotativo],"SI",tblTecnicos[especialidad],tblAsignaciones[[#This Row],[especialidad]],tblTecnicos[area],tblAsignaciones[[#This Row],[area]])</f>
        <v/>
      </c>
      <c r="G42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3" s="6" t="n"/>
      <c r="J42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3" s="3">
        <f>_xlfn.XLOOKUP(tblAsignaciones[[#This Row],[tecnico]],tblTecnicos[nombre],tblTecnicos[supervisor],"")</f>
        <v/>
      </c>
      <c r="L42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3" s="3">
        <f>tblAsignaciones[[#This Row],[semana]]&amp;"|"&amp;tblAsignaciones[[#This Row],[dia]]&amp;"|"&amp;tblAsignaciones[[#This Row],[tecnico]]</f>
        <v/>
      </c>
      <c r="O423" s="3">
        <f>_xlfn.XLOOKUP(tblAsignaciones[[#This Row],[turno]],tblTurnos[turno],tblTurnos[hora_inicio],"")</f>
        <v/>
      </c>
      <c r="P423" s="3">
        <f>_xlfn.XLOOKUP(tblAsignaciones[[#This Row],[turno]],tblTurnos[turno],tblTurnos[hora_fin],"")</f>
        <v/>
      </c>
      <c r="Q423" s="3">
        <f>IF(AND(LEFT(tblAsignaciones[[#This Row],[posicion_ciclo]],1)="T",tblAsignaciones[[#This Row],[en_vacaciones]]="no"),"sí","no")</f>
        <v/>
      </c>
    </row>
    <row r="424">
      <c r="A424" s="3" t="inlineStr">
        <is>
          <t>2026-S33</t>
        </is>
      </c>
      <c r="B424" s="3" t="inlineStr">
        <is>
          <t>lunes</t>
        </is>
      </c>
      <c r="C424" s="3" t="inlineStr">
        <is>
          <t>Técnico 13</t>
        </is>
      </c>
      <c r="D424" s="3">
        <f>_xlfn.XLOOKUP(tblAsignaciones[[#This Row],[tecnico]],tblTecnicos[nombre],tblTecnicos[area],"")</f>
        <v/>
      </c>
      <c r="E424" s="3">
        <f>_xlfn.XLOOKUP(tblAsignaciones[[#This Row],[tecnico]],tblTecnicos[nombre],tblTecnicos[especialidad],"")</f>
        <v/>
      </c>
      <c r="F424" s="3">
        <f>COUNTIFS(tblTecnicos[rotativo],"SI",tblTecnicos[especialidad],tblAsignaciones[[#This Row],[especialidad]],tblTecnicos[area],tblAsignaciones[[#This Row],[area]])</f>
        <v/>
      </c>
      <c r="G42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4" s="6" t="n"/>
      <c r="J42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4" s="3">
        <f>_xlfn.XLOOKUP(tblAsignaciones[[#This Row],[tecnico]],tblTecnicos[nombre],tblTecnicos[supervisor],"")</f>
        <v/>
      </c>
      <c r="L42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4" s="3">
        <f>tblAsignaciones[[#This Row],[semana]]&amp;"|"&amp;tblAsignaciones[[#This Row],[dia]]&amp;"|"&amp;tblAsignaciones[[#This Row],[tecnico]]</f>
        <v/>
      </c>
      <c r="O424" s="3">
        <f>_xlfn.XLOOKUP(tblAsignaciones[[#This Row],[turno]],tblTurnos[turno],tblTurnos[hora_inicio],"")</f>
        <v/>
      </c>
      <c r="P424" s="3">
        <f>_xlfn.XLOOKUP(tblAsignaciones[[#This Row],[turno]],tblTurnos[turno],tblTurnos[hora_fin],"")</f>
        <v/>
      </c>
      <c r="Q424" s="3">
        <f>IF(AND(LEFT(tblAsignaciones[[#This Row],[posicion_ciclo]],1)="T",tblAsignaciones[[#This Row],[en_vacaciones]]="no"),"sí","no")</f>
        <v/>
      </c>
    </row>
    <row r="425">
      <c r="A425" s="3" t="inlineStr">
        <is>
          <t>2026-S33</t>
        </is>
      </c>
      <c r="B425" s="3" t="inlineStr">
        <is>
          <t>martes</t>
        </is>
      </c>
      <c r="C425" s="3" t="inlineStr">
        <is>
          <t>Técnico 13</t>
        </is>
      </c>
      <c r="D425" s="3">
        <f>_xlfn.XLOOKUP(tblAsignaciones[[#This Row],[tecnico]],tblTecnicos[nombre],tblTecnicos[area],"")</f>
        <v/>
      </c>
      <c r="E425" s="3">
        <f>_xlfn.XLOOKUP(tblAsignaciones[[#This Row],[tecnico]],tblTecnicos[nombre],tblTecnicos[especialidad],"")</f>
        <v/>
      </c>
      <c r="F425" s="3">
        <f>COUNTIFS(tblTecnicos[rotativo],"SI",tblTecnicos[especialidad],tblAsignaciones[[#This Row],[especialidad]],tblTecnicos[area],tblAsignaciones[[#This Row],[area]])</f>
        <v/>
      </c>
      <c r="G42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5" s="6" t="n"/>
      <c r="J42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5" s="3">
        <f>_xlfn.XLOOKUP(tblAsignaciones[[#This Row],[tecnico]],tblTecnicos[nombre],tblTecnicos[supervisor],"")</f>
        <v/>
      </c>
      <c r="L42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5" s="3">
        <f>tblAsignaciones[[#This Row],[semana]]&amp;"|"&amp;tblAsignaciones[[#This Row],[dia]]&amp;"|"&amp;tblAsignaciones[[#This Row],[tecnico]]</f>
        <v/>
      </c>
      <c r="O425" s="3">
        <f>_xlfn.XLOOKUP(tblAsignaciones[[#This Row],[turno]],tblTurnos[turno],tblTurnos[hora_inicio],"")</f>
        <v/>
      </c>
      <c r="P425" s="3">
        <f>_xlfn.XLOOKUP(tblAsignaciones[[#This Row],[turno]],tblTurnos[turno],tblTurnos[hora_fin],"")</f>
        <v/>
      </c>
      <c r="Q425" s="3">
        <f>IF(AND(LEFT(tblAsignaciones[[#This Row],[posicion_ciclo]],1)="T",tblAsignaciones[[#This Row],[en_vacaciones]]="no"),"sí","no")</f>
        <v/>
      </c>
    </row>
    <row r="426">
      <c r="A426" s="3" t="inlineStr">
        <is>
          <t>2026-S33</t>
        </is>
      </c>
      <c r="B426" s="3" t="inlineStr">
        <is>
          <t>miércoles</t>
        </is>
      </c>
      <c r="C426" s="3" t="inlineStr">
        <is>
          <t>Técnico 13</t>
        </is>
      </c>
      <c r="D426" s="3">
        <f>_xlfn.XLOOKUP(tblAsignaciones[[#This Row],[tecnico]],tblTecnicos[nombre],tblTecnicos[area],"")</f>
        <v/>
      </c>
      <c r="E426" s="3">
        <f>_xlfn.XLOOKUP(tblAsignaciones[[#This Row],[tecnico]],tblTecnicos[nombre],tblTecnicos[especialidad],"")</f>
        <v/>
      </c>
      <c r="F426" s="3">
        <f>COUNTIFS(tblTecnicos[rotativo],"SI",tblTecnicos[especialidad],tblAsignaciones[[#This Row],[especialidad]],tblTecnicos[area],tblAsignaciones[[#This Row],[area]])</f>
        <v/>
      </c>
      <c r="G42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6" s="6" t="n"/>
      <c r="J42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6" s="3">
        <f>_xlfn.XLOOKUP(tblAsignaciones[[#This Row],[tecnico]],tblTecnicos[nombre],tblTecnicos[supervisor],"")</f>
        <v/>
      </c>
      <c r="L42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6" s="3">
        <f>tblAsignaciones[[#This Row],[semana]]&amp;"|"&amp;tblAsignaciones[[#This Row],[dia]]&amp;"|"&amp;tblAsignaciones[[#This Row],[tecnico]]</f>
        <v/>
      </c>
      <c r="O426" s="3">
        <f>_xlfn.XLOOKUP(tblAsignaciones[[#This Row],[turno]],tblTurnos[turno],tblTurnos[hora_inicio],"")</f>
        <v/>
      </c>
      <c r="P426" s="3">
        <f>_xlfn.XLOOKUP(tblAsignaciones[[#This Row],[turno]],tblTurnos[turno],tblTurnos[hora_fin],"")</f>
        <v/>
      </c>
      <c r="Q426" s="3">
        <f>IF(AND(LEFT(tblAsignaciones[[#This Row],[posicion_ciclo]],1)="T",tblAsignaciones[[#This Row],[en_vacaciones]]="no"),"sí","no")</f>
        <v/>
      </c>
    </row>
    <row r="427">
      <c r="A427" s="3" t="inlineStr">
        <is>
          <t>2026-S33</t>
        </is>
      </c>
      <c r="B427" s="3" t="inlineStr">
        <is>
          <t>jueves</t>
        </is>
      </c>
      <c r="C427" s="3" t="inlineStr">
        <is>
          <t>Técnico 13</t>
        </is>
      </c>
      <c r="D427" s="3">
        <f>_xlfn.XLOOKUP(tblAsignaciones[[#This Row],[tecnico]],tblTecnicos[nombre],tblTecnicos[area],"")</f>
        <v/>
      </c>
      <c r="E427" s="3">
        <f>_xlfn.XLOOKUP(tblAsignaciones[[#This Row],[tecnico]],tblTecnicos[nombre],tblTecnicos[especialidad],"")</f>
        <v/>
      </c>
      <c r="F427" s="3">
        <f>COUNTIFS(tblTecnicos[rotativo],"SI",tblTecnicos[especialidad],tblAsignaciones[[#This Row],[especialidad]],tblTecnicos[area],tblAsignaciones[[#This Row],[area]])</f>
        <v/>
      </c>
      <c r="G42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7" s="6" t="n"/>
      <c r="J42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7" s="3">
        <f>_xlfn.XLOOKUP(tblAsignaciones[[#This Row],[tecnico]],tblTecnicos[nombre],tblTecnicos[supervisor],"")</f>
        <v/>
      </c>
      <c r="L42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7" s="3">
        <f>tblAsignaciones[[#This Row],[semana]]&amp;"|"&amp;tblAsignaciones[[#This Row],[dia]]&amp;"|"&amp;tblAsignaciones[[#This Row],[tecnico]]</f>
        <v/>
      </c>
      <c r="O427" s="3">
        <f>_xlfn.XLOOKUP(tblAsignaciones[[#This Row],[turno]],tblTurnos[turno],tblTurnos[hora_inicio],"")</f>
        <v/>
      </c>
      <c r="P427" s="3">
        <f>_xlfn.XLOOKUP(tblAsignaciones[[#This Row],[turno]],tblTurnos[turno],tblTurnos[hora_fin],"")</f>
        <v/>
      </c>
      <c r="Q427" s="3">
        <f>IF(AND(LEFT(tblAsignaciones[[#This Row],[posicion_ciclo]],1)="T",tblAsignaciones[[#This Row],[en_vacaciones]]="no"),"sí","no")</f>
        <v/>
      </c>
    </row>
    <row r="428">
      <c r="A428" s="3" t="inlineStr">
        <is>
          <t>2026-S33</t>
        </is>
      </c>
      <c r="B428" s="3" t="inlineStr">
        <is>
          <t>viernes</t>
        </is>
      </c>
      <c r="C428" s="3" t="inlineStr">
        <is>
          <t>Técnico 13</t>
        </is>
      </c>
      <c r="D428" s="3">
        <f>_xlfn.XLOOKUP(tblAsignaciones[[#This Row],[tecnico]],tblTecnicos[nombre],tblTecnicos[area],"")</f>
        <v/>
      </c>
      <c r="E428" s="3">
        <f>_xlfn.XLOOKUP(tblAsignaciones[[#This Row],[tecnico]],tblTecnicos[nombre],tblTecnicos[especialidad],"")</f>
        <v/>
      </c>
      <c r="F428" s="3">
        <f>COUNTIFS(tblTecnicos[rotativo],"SI",tblTecnicos[especialidad],tblAsignaciones[[#This Row],[especialidad]],tblTecnicos[area],tblAsignaciones[[#This Row],[area]])</f>
        <v/>
      </c>
      <c r="G42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8" s="6" t="n"/>
      <c r="J42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8" s="3">
        <f>_xlfn.XLOOKUP(tblAsignaciones[[#This Row],[tecnico]],tblTecnicos[nombre],tblTecnicos[supervisor],"")</f>
        <v/>
      </c>
      <c r="L42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8" s="3">
        <f>tblAsignaciones[[#This Row],[semana]]&amp;"|"&amp;tblAsignaciones[[#This Row],[dia]]&amp;"|"&amp;tblAsignaciones[[#This Row],[tecnico]]</f>
        <v/>
      </c>
      <c r="O428" s="3">
        <f>_xlfn.XLOOKUP(tblAsignaciones[[#This Row],[turno]],tblTurnos[turno],tblTurnos[hora_inicio],"")</f>
        <v/>
      </c>
      <c r="P428" s="3">
        <f>_xlfn.XLOOKUP(tblAsignaciones[[#This Row],[turno]],tblTurnos[turno],tblTurnos[hora_fin],"")</f>
        <v/>
      </c>
      <c r="Q428" s="3">
        <f>IF(AND(LEFT(tblAsignaciones[[#This Row],[posicion_ciclo]],1)="T",tblAsignaciones[[#This Row],[en_vacaciones]]="no"),"sí","no")</f>
        <v/>
      </c>
    </row>
    <row r="429">
      <c r="A429" s="3" t="inlineStr">
        <is>
          <t>2026-S33</t>
        </is>
      </c>
      <c r="B429" s="3" t="inlineStr">
        <is>
          <t>sábado</t>
        </is>
      </c>
      <c r="C429" s="3" t="inlineStr">
        <is>
          <t>Técnico 13</t>
        </is>
      </c>
      <c r="D429" s="3">
        <f>_xlfn.XLOOKUP(tblAsignaciones[[#This Row],[tecnico]],tblTecnicos[nombre],tblTecnicos[area],"")</f>
        <v/>
      </c>
      <c r="E429" s="3">
        <f>_xlfn.XLOOKUP(tblAsignaciones[[#This Row],[tecnico]],tblTecnicos[nombre],tblTecnicos[especialidad],"")</f>
        <v/>
      </c>
      <c r="F429" s="3">
        <f>COUNTIFS(tblTecnicos[rotativo],"SI",tblTecnicos[especialidad],tblAsignaciones[[#This Row],[especialidad]],tblTecnicos[area],tblAsignaciones[[#This Row],[area]])</f>
        <v/>
      </c>
      <c r="G42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9" s="6" t="n"/>
      <c r="J42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9" s="3">
        <f>_xlfn.XLOOKUP(tblAsignaciones[[#This Row],[tecnico]],tblTecnicos[nombre],tblTecnicos[supervisor],"")</f>
        <v/>
      </c>
      <c r="L42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9" s="3">
        <f>tblAsignaciones[[#This Row],[semana]]&amp;"|"&amp;tblAsignaciones[[#This Row],[dia]]&amp;"|"&amp;tblAsignaciones[[#This Row],[tecnico]]</f>
        <v/>
      </c>
      <c r="O429" s="3">
        <f>_xlfn.XLOOKUP(tblAsignaciones[[#This Row],[turno]],tblTurnos[turno],tblTurnos[hora_inicio],"")</f>
        <v/>
      </c>
      <c r="P429" s="3">
        <f>_xlfn.XLOOKUP(tblAsignaciones[[#This Row],[turno]],tblTurnos[turno],tblTurnos[hora_fin],"")</f>
        <v/>
      </c>
      <c r="Q429" s="3">
        <f>IF(AND(LEFT(tblAsignaciones[[#This Row],[posicion_ciclo]],1)="T",tblAsignaciones[[#This Row],[en_vacaciones]]="no"),"sí","no")</f>
        <v/>
      </c>
    </row>
    <row r="430">
      <c r="A430" s="3" t="inlineStr">
        <is>
          <t>2026-S33</t>
        </is>
      </c>
      <c r="B430" s="3" t="inlineStr">
        <is>
          <t>domingo</t>
        </is>
      </c>
      <c r="C430" s="3" t="inlineStr">
        <is>
          <t>Técnico 13</t>
        </is>
      </c>
      <c r="D430" s="3">
        <f>_xlfn.XLOOKUP(tblAsignaciones[[#This Row],[tecnico]],tblTecnicos[nombre],tblTecnicos[area],"")</f>
        <v/>
      </c>
      <c r="E430" s="3">
        <f>_xlfn.XLOOKUP(tblAsignaciones[[#This Row],[tecnico]],tblTecnicos[nombre],tblTecnicos[especialidad],"")</f>
        <v/>
      </c>
      <c r="F430" s="3">
        <f>COUNTIFS(tblTecnicos[rotativo],"SI",tblTecnicos[especialidad],tblAsignaciones[[#This Row],[especialidad]],tblTecnicos[area],tblAsignaciones[[#This Row],[area]])</f>
        <v/>
      </c>
      <c r="G43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0" s="6" t="n"/>
      <c r="J43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0" s="3">
        <f>_xlfn.XLOOKUP(tblAsignaciones[[#This Row],[tecnico]],tblTecnicos[nombre],tblTecnicos[supervisor],"")</f>
        <v/>
      </c>
      <c r="L43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0" s="3">
        <f>tblAsignaciones[[#This Row],[semana]]&amp;"|"&amp;tblAsignaciones[[#This Row],[dia]]&amp;"|"&amp;tblAsignaciones[[#This Row],[tecnico]]</f>
        <v/>
      </c>
      <c r="O430" s="3">
        <f>_xlfn.XLOOKUP(tblAsignaciones[[#This Row],[turno]],tblTurnos[turno],tblTurnos[hora_inicio],"")</f>
        <v/>
      </c>
      <c r="P430" s="3">
        <f>_xlfn.XLOOKUP(tblAsignaciones[[#This Row],[turno]],tblTurnos[turno],tblTurnos[hora_fin],"")</f>
        <v/>
      </c>
      <c r="Q430" s="3">
        <f>IF(AND(LEFT(tblAsignaciones[[#This Row],[posicion_ciclo]],1)="T",tblAsignaciones[[#This Row],[en_vacaciones]]="no"),"sí","no")</f>
        <v/>
      </c>
    </row>
    <row r="431">
      <c r="A431" s="3" t="inlineStr">
        <is>
          <t>2026-S33</t>
        </is>
      </c>
      <c r="B431" s="3" t="inlineStr">
        <is>
          <t>lunes</t>
        </is>
      </c>
      <c r="C431" s="3" t="inlineStr">
        <is>
          <t>Técnico 14</t>
        </is>
      </c>
      <c r="D431" s="3">
        <f>_xlfn.XLOOKUP(tblAsignaciones[[#This Row],[tecnico]],tblTecnicos[nombre],tblTecnicos[area],"")</f>
        <v/>
      </c>
      <c r="E431" s="3">
        <f>_xlfn.XLOOKUP(tblAsignaciones[[#This Row],[tecnico]],tblTecnicos[nombre],tblTecnicos[especialidad],"")</f>
        <v/>
      </c>
      <c r="F431" s="3">
        <f>COUNTIFS(tblTecnicos[rotativo],"SI",tblTecnicos[especialidad],tblAsignaciones[[#This Row],[especialidad]],tblTecnicos[area],tblAsignaciones[[#This Row],[area]])</f>
        <v/>
      </c>
      <c r="G43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1" s="6" t="n"/>
      <c r="J43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1" s="3">
        <f>_xlfn.XLOOKUP(tblAsignaciones[[#This Row],[tecnico]],tblTecnicos[nombre],tblTecnicos[supervisor],"")</f>
        <v/>
      </c>
      <c r="L43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1" s="3">
        <f>tblAsignaciones[[#This Row],[semana]]&amp;"|"&amp;tblAsignaciones[[#This Row],[dia]]&amp;"|"&amp;tblAsignaciones[[#This Row],[tecnico]]</f>
        <v/>
      </c>
      <c r="O431" s="3">
        <f>_xlfn.XLOOKUP(tblAsignaciones[[#This Row],[turno]],tblTurnos[turno],tblTurnos[hora_inicio],"")</f>
        <v/>
      </c>
      <c r="P431" s="3">
        <f>_xlfn.XLOOKUP(tblAsignaciones[[#This Row],[turno]],tblTurnos[turno],tblTurnos[hora_fin],"")</f>
        <v/>
      </c>
      <c r="Q431" s="3">
        <f>IF(AND(LEFT(tblAsignaciones[[#This Row],[posicion_ciclo]],1)="T",tblAsignaciones[[#This Row],[en_vacaciones]]="no"),"sí","no")</f>
        <v/>
      </c>
    </row>
    <row r="432">
      <c r="A432" s="3" t="inlineStr">
        <is>
          <t>2026-S33</t>
        </is>
      </c>
      <c r="B432" s="3" t="inlineStr">
        <is>
          <t>martes</t>
        </is>
      </c>
      <c r="C432" s="3" t="inlineStr">
        <is>
          <t>Técnico 14</t>
        </is>
      </c>
      <c r="D432" s="3">
        <f>_xlfn.XLOOKUP(tblAsignaciones[[#This Row],[tecnico]],tblTecnicos[nombre],tblTecnicos[area],"")</f>
        <v/>
      </c>
      <c r="E432" s="3">
        <f>_xlfn.XLOOKUP(tblAsignaciones[[#This Row],[tecnico]],tblTecnicos[nombre],tblTecnicos[especialidad],"")</f>
        <v/>
      </c>
      <c r="F432" s="3">
        <f>COUNTIFS(tblTecnicos[rotativo],"SI",tblTecnicos[especialidad],tblAsignaciones[[#This Row],[especialidad]],tblTecnicos[area],tblAsignaciones[[#This Row],[area]])</f>
        <v/>
      </c>
      <c r="G43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2" s="6" t="n"/>
      <c r="J43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2" s="3">
        <f>_xlfn.XLOOKUP(tblAsignaciones[[#This Row],[tecnico]],tblTecnicos[nombre],tblTecnicos[supervisor],"")</f>
        <v/>
      </c>
      <c r="L43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2" s="3">
        <f>tblAsignaciones[[#This Row],[semana]]&amp;"|"&amp;tblAsignaciones[[#This Row],[dia]]&amp;"|"&amp;tblAsignaciones[[#This Row],[tecnico]]</f>
        <v/>
      </c>
      <c r="O432" s="3">
        <f>_xlfn.XLOOKUP(tblAsignaciones[[#This Row],[turno]],tblTurnos[turno],tblTurnos[hora_inicio],"")</f>
        <v/>
      </c>
      <c r="P432" s="3">
        <f>_xlfn.XLOOKUP(tblAsignaciones[[#This Row],[turno]],tblTurnos[turno],tblTurnos[hora_fin],"")</f>
        <v/>
      </c>
      <c r="Q432" s="3">
        <f>IF(AND(LEFT(tblAsignaciones[[#This Row],[posicion_ciclo]],1)="T",tblAsignaciones[[#This Row],[en_vacaciones]]="no"),"sí","no")</f>
        <v/>
      </c>
    </row>
    <row r="433">
      <c r="A433" s="3" t="inlineStr">
        <is>
          <t>2026-S33</t>
        </is>
      </c>
      <c r="B433" s="3" t="inlineStr">
        <is>
          <t>miércoles</t>
        </is>
      </c>
      <c r="C433" s="3" t="inlineStr">
        <is>
          <t>Técnico 14</t>
        </is>
      </c>
      <c r="D433" s="3">
        <f>_xlfn.XLOOKUP(tblAsignaciones[[#This Row],[tecnico]],tblTecnicos[nombre],tblTecnicos[area],"")</f>
        <v/>
      </c>
      <c r="E433" s="3">
        <f>_xlfn.XLOOKUP(tblAsignaciones[[#This Row],[tecnico]],tblTecnicos[nombre],tblTecnicos[especialidad],"")</f>
        <v/>
      </c>
      <c r="F433" s="3">
        <f>COUNTIFS(tblTecnicos[rotativo],"SI",tblTecnicos[especialidad],tblAsignaciones[[#This Row],[especialidad]],tblTecnicos[area],tblAsignaciones[[#This Row],[area]])</f>
        <v/>
      </c>
      <c r="G43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3" s="6" t="n"/>
      <c r="J43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3" s="3">
        <f>_xlfn.XLOOKUP(tblAsignaciones[[#This Row],[tecnico]],tblTecnicos[nombre],tblTecnicos[supervisor],"")</f>
        <v/>
      </c>
      <c r="L43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3" s="3">
        <f>tblAsignaciones[[#This Row],[semana]]&amp;"|"&amp;tblAsignaciones[[#This Row],[dia]]&amp;"|"&amp;tblAsignaciones[[#This Row],[tecnico]]</f>
        <v/>
      </c>
      <c r="O433" s="3">
        <f>_xlfn.XLOOKUP(tblAsignaciones[[#This Row],[turno]],tblTurnos[turno],tblTurnos[hora_inicio],"")</f>
        <v/>
      </c>
      <c r="P433" s="3">
        <f>_xlfn.XLOOKUP(tblAsignaciones[[#This Row],[turno]],tblTurnos[turno],tblTurnos[hora_fin],"")</f>
        <v/>
      </c>
      <c r="Q433" s="3">
        <f>IF(AND(LEFT(tblAsignaciones[[#This Row],[posicion_ciclo]],1)="T",tblAsignaciones[[#This Row],[en_vacaciones]]="no"),"sí","no")</f>
        <v/>
      </c>
    </row>
    <row r="434">
      <c r="A434" s="3" t="inlineStr">
        <is>
          <t>2026-S33</t>
        </is>
      </c>
      <c r="B434" s="3" t="inlineStr">
        <is>
          <t>jueves</t>
        </is>
      </c>
      <c r="C434" s="3" t="inlineStr">
        <is>
          <t>Técnico 14</t>
        </is>
      </c>
      <c r="D434" s="3">
        <f>_xlfn.XLOOKUP(tblAsignaciones[[#This Row],[tecnico]],tblTecnicos[nombre],tblTecnicos[area],"")</f>
        <v/>
      </c>
      <c r="E434" s="3">
        <f>_xlfn.XLOOKUP(tblAsignaciones[[#This Row],[tecnico]],tblTecnicos[nombre],tblTecnicos[especialidad],"")</f>
        <v/>
      </c>
      <c r="F434" s="3">
        <f>COUNTIFS(tblTecnicos[rotativo],"SI",tblTecnicos[especialidad],tblAsignaciones[[#This Row],[especialidad]],tblTecnicos[area],tblAsignaciones[[#This Row],[area]])</f>
        <v/>
      </c>
      <c r="G43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4" s="6" t="n"/>
      <c r="J43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4" s="3">
        <f>_xlfn.XLOOKUP(tblAsignaciones[[#This Row],[tecnico]],tblTecnicos[nombre],tblTecnicos[supervisor],"")</f>
        <v/>
      </c>
      <c r="L43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4" s="3">
        <f>tblAsignaciones[[#This Row],[semana]]&amp;"|"&amp;tblAsignaciones[[#This Row],[dia]]&amp;"|"&amp;tblAsignaciones[[#This Row],[tecnico]]</f>
        <v/>
      </c>
      <c r="O434" s="3">
        <f>_xlfn.XLOOKUP(tblAsignaciones[[#This Row],[turno]],tblTurnos[turno],tblTurnos[hora_inicio],"")</f>
        <v/>
      </c>
      <c r="P434" s="3">
        <f>_xlfn.XLOOKUP(tblAsignaciones[[#This Row],[turno]],tblTurnos[turno],tblTurnos[hora_fin],"")</f>
        <v/>
      </c>
      <c r="Q434" s="3">
        <f>IF(AND(LEFT(tblAsignaciones[[#This Row],[posicion_ciclo]],1)="T",tblAsignaciones[[#This Row],[en_vacaciones]]="no"),"sí","no")</f>
        <v/>
      </c>
    </row>
    <row r="435">
      <c r="A435" s="3" t="inlineStr">
        <is>
          <t>2026-S33</t>
        </is>
      </c>
      <c r="B435" s="3" t="inlineStr">
        <is>
          <t>viernes</t>
        </is>
      </c>
      <c r="C435" s="3" t="inlineStr">
        <is>
          <t>Técnico 14</t>
        </is>
      </c>
      <c r="D435" s="3">
        <f>_xlfn.XLOOKUP(tblAsignaciones[[#This Row],[tecnico]],tblTecnicos[nombre],tblTecnicos[area],"")</f>
        <v/>
      </c>
      <c r="E435" s="3">
        <f>_xlfn.XLOOKUP(tblAsignaciones[[#This Row],[tecnico]],tblTecnicos[nombre],tblTecnicos[especialidad],"")</f>
        <v/>
      </c>
      <c r="F435" s="3">
        <f>COUNTIFS(tblTecnicos[rotativo],"SI",tblTecnicos[especialidad],tblAsignaciones[[#This Row],[especialidad]],tblTecnicos[area],tblAsignaciones[[#This Row],[area]])</f>
        <v/>
      </c>
      <c r="G43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5" s="6" t="n"/>
      <c r="J43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5" s="3">
        <f>_xlfn.XLOOKUP(tblAsignaciones[[#This Row],[tecnico]],tblTecnicos[nombre],tblTecnicos[supervisor],"")</f>
        <v/>
      </c>
      <c r="L43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5" s="3">
        <f>tblAsignaciones[[#This Row],[semana]]&amp;"|"&amp;tblAsignaciones[[#This Row],[dia]]&amp;"|"&amp;tblAsignaciones[[#This Row],[tecnico]]</f>
        <v/>
      </c>
      <c r="O435" s="3">
        <f>_xlfn.XLOOKUP(tblAsignaciones[[#This Row],[turno]],tblTurnos[turno],tblTurnos[hora_inicio],"")</f>
        <v/>
      </c>
      <c r="P435" s="3">
        <f>_xlfn.XLOOKUP(tblAsignaciones[[#This Row],[turno]],tblTurnos[turno],tblTurnos[hora_fin],"")</f>
        <v/>
      </c>
      <c r="Q435" s="3">
        <f>IF(AND(LEFT(tblAsignaciones[[#This Row],[posicion_ciclo]],1)="T",tblAsignaciones[[#This Row],[en_vacaciones]]="no"),"sí","no")</f>
        <v/>
      </c>
    </row>
    <row r="436">
      <c r="A436" s="3" t="inlineStr">
        <is>
          <t>2026-S33</t>
        </is>
      </c>
      <c r="B436" s="3" t="inlineStr">
        <is>
          <t>sábado</t>
        </is>
      </c>
      <c r="C436" s="3" t="inlineStr">
        <is>
          <t>Técnico 14</t>
        </is>
      </c>
      <c r="D436" s="3">
        <f>_xlfn.XLOOKUP(tblAsignaciones[[#This Row],[tecnico]],tblTecnicos[nombre],tblTecnicos[area],"")</f>
        <v/>
      </c>
      <c r="E436" s="3">
        <f>_xlfn.XLOOKUP(tblAsignaciones[[#This Row],[tecnico]],tblTecnicos[nombre],tblTecnicos[especialidad],"")</f>
        <v/>
      </c>
      <c r="F436" s="3">
        <f>COUNTIFS(tblTecnicos[rotativo],"SI",tblTecnicos[especialidad],tblAsignaciones[[#This Row],[especialidad]],tblTecnicos[area],tblAsignaciones[[#This Row],[area]])</f>
        <v/>
      </c>
      <c r="G43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6" s="6" t="n"/>
      <c r="J43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6" s="3">
        <f>_xlfn.XLOOKUP(tblAsignaciones[[#This Row],[tecnico]],tblTecnicos[nombre],tblTecnicos[supervisor],"")</f>
        <v/>
      </c>
      <c r="L43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6" s="3">
        <f>tblAsignaciones[[#This Row],[semana]]&amp;"|"&amp;tblAsignaciones[[#This Row],[dia]]&amp;"|"&amp;tblAsignaciones[[#This Row],[tecnico]]</f>
        <v/>
      </c>
      <c r="O436" s="3">
        <f>_xlfn.XLOOKUP(tblAsignaciones[[#This Row],[turno]],tblTurnos[turno],tblTurnos[hora_inicio],"")</f>
        <v/>
      </c>
      <c r="P436" s="3">
        <f>_xlfn.XLOOKUP(tblAsignaciones[[#This Row],[turno]],tblTurnos[turno],tblTurnos[hora_fin],"")</f>
        <v/>
      </c>
      <c r="Q436" s="3">
        <f>IF(AND(LEFT(tblAsignaciones[[#This Row],[posicion_ciclo]],1)="T",tblAsignaciones[[#This Row],[en_vacaciones]]="no"),"sí","no")</f>
        <v/>
      </c>
    </row>
    <row r="437">
      <c r="A437" s="3" t="inlineStr">
        <is>
          <t>2026-S33</t>
        </is>
      </c>
      <c r="B437" s="3" t="inlineStr">
        <is>
          <t>domingo</t>
        </is>
      </c>
      <c r="C437" s="3" t="inlineStr">
        <is>
          <t>Técnico 14</t>
        </is>
      </c>
      <c r="D437" s="3">
        <f>_xlfn.XLOOKUP(tblAsignaciones[[#This Row],[tecnico]],tblTecnicos[nombre],tblTecnicos[area],"")</f>
        <v/>
      </c>
      <c r="E437" s="3">
        <f>_xlfn.XLOOKUP(tblAsignaciones[[#This Row],[tecnico]],tblTecnicos[nombre],tblTecnicos[especialidad],"")</f>
        <v/>
      </c>
      <c r="F437" s="3">
        <f>COUNTIFS(tblTecnicos[rotativo],"SI",tblTecnicos[especialidad],tblAsignaciones[[#This Row],[especialidad]],tblTecnicos[area],tblAsignaciones[[#This Row],[area]])</f>
        <v/>
      </c>
      <c r="G43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7" s="6" t="n"/>
      <c r="J43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7" s="3">
        <f>_xlfn.XLOOKUP(tblAsignaciones[[#This Row],[tecnico]],tblTecnicos[nombre],tblTecnicos[supervisor],"")</f>
        <v/>
      </c>
      <c r="L43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7" s="3">
        <f>tblAsignaciones[[#This Row],[semana]]&amp;"|"&amp;tblAsignaciones[[#This Row],[dia]]&amp;"|"&amp;tblAsignaciones[[#This Row],[tecnico]]</f>
        <v/>
      </c>
      <c r="O437" s="3">
        <f>_xlfn.XLOOKUP(tblAsignaciones[[#This Row],[turno]],tblTurnos[turno],tblTurnos[hora_inicio],"")</f>
        <v/>
      </c>
      <c r="P437" s="3">
        <f>_xlfn.XLOOKUP(tblAsignaciones[[#This Row],[turno]],tblTurnos[turno],tblTurnos[hora_fin],"")</f>
        <v/>
      </c>
      <c r="Q437" s="3">
        <f>IF(AND(LEFT(tblAsignaciones[[#This Row],[posicion_ciclo]],1)="T",tblAsignaciones[[#This Row],[en_vacaciones]]="no"),"sí","no")</f>
        <v/>
      </c>
    </row>
    <row r="438">
      <c r="A438" s="3" t="inlineStr">
        <is>
          <t>2026-S33</t>
        </is>
      </c>
      <c r="B438" s="3" t="inlineStr">
        <is>
          <t>lunes</t>
        </is>
      </c>
      <c r="C438" s="3" t="inlineStr">
        <is>
          <t>Técnico 15</t>
        </is>
      </c>
      <c r="D438" s="3">
        <f>_xlfn.XLOOKUP(tblAsignaciones[[#This Row],[tecnico]],tblTecnicos[nombre],tblTecnicos[area],"")</f>
        <v/>
      </c>
      <c r="E438" s="3">
        <f>_xlfn.XLOOKUP(tblAsignaciones[[#This Row],[tecnico]],tblTecnicos[nombre],tblTecnicos[especialidad],"")</f>
        <v/>
      </c>
      <c r="F438" s="3">
        <f>COUNTIFS(tblTecnicos[rotativo],"SI",tblTecnicos[especialidad],tblAsignaciones[[#This Row],[especialidad]],tblTecnicos[area],tblAsignaciones[[#This Row],[area]])</f>
        <v/>
      </c>
      <c r="G43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8" s="6" t="n"/>
      <c r="J43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8" s="3">
        <f>_xlfn.XLOOKUP(tblAsignaciones[[#This Row],[tecnico]],tblTecnicos[nombre],tblTecnicos[supervisor],"")</f>
        <v/>
      </c>
      <c r="L43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8" s="3">
        <f>tblAsignaciones[[#This Row],[semana]]&amp;"|"&amp;tblAsignaciones[[#This Row],[dia]]&amp;"|"&amp;tblAsignaciones[[#This Row],[tecnico]]</f>
        <v/>
      </c>
      <c r="O438" s="3">
        <f>_xlfn.XLOOKUP(tblAsignaciones[[#This Row],[turno]],tblTurnos[turno],tblTurnos[hora_inicio],"")</f>
        <v/>
      </c>
      <c r="P438" s="3">
        <f>_xlfn.XLOOKUP(tblAsignaciones[[#This Row],[turno]],tblTurnos[turno],tblTurnos[hora_fin],"")</f>
        <v/>
      </c>
      <c r="Q438" s="3">
        <f>IF(AND(LEFT(tblAsignaciones[[#This Row],[posicion_ciclo]],1)="T",tblAsignaciones[[#This Row],[en_vacaciones]]="no"),"sí","no")</f>
        <v/>
      </c>
    </row>
    <row r="439">
      <c r="A439" s="3" t="inlineStr">
        <is>
          <t>2026-S33</t>
        </is>
      </c>
      <c r="B439" s="3" t="inlineStr">
        <is>
          <t>martes</t>
        </is>
      </c>
      <c r="C439" s="3" t="inlineStr">
        <is>
          <t>Técnico 15</t>
        </is>
      </c>
      <c r="D439" s="3">
        <f>_xlfn.XLOOKUP(tblAsignaciones[[#This Row],[tecnico]],tblTecnicos[nombre],tblTecnicos[area],"")</f>
        <v/>
      </c>
      <c r="E439" s="3">
        <f>_xlfn.XLOOKUP(tblAsignaciones[[#This Row],[tecnico]],tblTecnicos[nombre],tblTecnicos[especialidad],"")</f>
        <v/>
      </c>
      <c r="F439" s="3">
        <f>COUNTIFS(tblTecnicos[rotativo],"SI",tblTecnicos[especialidad],tblAsignaciones[[#This Row],[especialidad]],tblTecnicos[area],tblAsignaciones[[#This Row],[area]])</f>
        <v/>
      </c>
      <c r="G43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9" s="6" t="n"/>
      <c r="J43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9" s="3">
        <f>_xlfn.XLOOKUP(tblAsignaciones[[#This Row],[tecnico]],tblTecnicos[nombre],tblTecnicos[supervisor],"")</f>
        <v/>
      </c>
      <c r="L43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9" s="3">
        <f>tblAsignaciones[[#This Row],[semana]]&amp;"|"&amp;tblAsignaciones[[#This Row],[dia]]&amp;"|"&amp;tblAsignaciones[[#This Row],[tecnico]]</f>
        <v/>
      </c>
      <c r="O439" s="3">
        <f>_xlfn.XLOOKUP(tblAsignaciones[[#This Row],[turno]],tblTurnos[turno],tblTurnos[hora_inicio],"")</f>
        <v/>
      </c>
      <c r="P439" s="3">
        <f>_xlfn.XLOOKUP(tblAsignaciones[[#This Row],[turno]],tblTurnos[turno],tblTurnos[hora_fin],"")</f>
        <v/>
      </c>
      <c r="Q439" s="3">
        <f>IF(AND(LEFT(tblAsignaciones[[#This Row],[posicion_ciclo]],1)="T",tblAsignaciones[[#This Row],[en_vacaciones]]="no"),"sí","no")</f>
        <v/>
      </c>
    </row>
    <row r="440">
      <c r="A440" s="3" t="inlineStr">
        <is>
          <t>2026-S33</t>
        </is>
      </c>
      <c r="B440" s="3" t="inlineStr">
        <is>
          <t>miércoles</t>
        </is>
      </c>
      <c r="C440" s="3" t="inlineStr">
        <is>
          <t>Técnico 15</t>
        </is>
      </c>
      <c r="D440" s="3">
        <f>_xlfn.XLOOKUP(tblAsignaciones[[#This Row],[tecnico]],tblTecnicos[nombre],tblTecnicos[area],"")</f>
        <v/>
      </c>
      <c r="E440" s="3">
        <f>_xlfn.XLOOKUP(tblAsignaciones[[#This Row],[tecnico]],tblTecnicos[nombre],tblTecnicos[especialidad],"")</f>
        <v/>
      </c>
      <c r="F440" s="3">
        <f>COUNTIFS(tblTecnicos[rotativo],"SI",tblTecnicos[especialidad],tblAsignaciones[[#This Row],[especialidad]],tblTecnicos[area],tblAsignaciones[[#This Row],[area]])</f>
        <v/>
      </c>
      <c r="G44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0" s="6" t="n"/>
      <c r="J44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0" s="3">
        <f>_xlfn.XLOOKUP(tblAsignaciones[[#This Row],[tecnico]],tblTecnicos[nombre],tblTecnicos[supervisor],"")</f>
        <v/>
      </c>
      <c r="L44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0" s="3">
        <f>tblAsignaciones[[#This Row],[semana]]&amp;"|"&amp;tblAsignaciones[[#This Row],[dia]]&amp;"|"&amp;tblAsignaciones[[#This Row],[tecnico]]</f>
        <v/>
      </c>
      <c r="O440" s="3">
        <f>_xlfn.XLOOKUP(tblAsignaciones[[#This Row],[turno]],tblTurnos[turno],tblTurnos[hora_inicio],"")</f>
        <v/>
      </c>
      <c r="P440" s="3">
        <f>_xlfn.XLOOKUP(tblAsignaciones[[#This Row],[turno]],tblTurnos[turno],tblTurnos[hora_fin],"")</f>
        <v/>
      </c>
      <c r="Q440" s="3">
        <f>IF(AND(LEFT(tblAsignaciones[[#This Row],[posicion_ciclo]],1)="T",tblAsignaciones[[#This Row],[en_vacaciones]]="no"),"sí","no")</f>
        <v/>
      </c>
    </row>
    <row r="441">
      <c r="A441" s="3" t="inlineStr">
        <is>
          <t>2026-S33</t>
        </is>
      </c>
      <c r="B441" s="3" t="inlineStr">
        <is>
          <t>jueves</t>
        </is>
      </c>
      <c r="C441" s="3" t="inlineStr">
        <is>
          <t>Técnico 15</t>
        </is>
      </c>
      <c r="D441" s="3">
        <f>_xlfn.XLOOKUP(tblAsignaciones[[#This Row],[tecnico]],tblTecnicos[nombre],tblTecnicos[area],"")</f>
        <v/>
      </c>
      <c r="E441" s="3">
        <f>_xlfn.XLOOKUP(tblAsignaciones[[#This Row],[tecnico]],tblTecnicos[nombre],tblTecnicos[especialidad],"")</f>
        <v/>
      </c>
      <c r="F441" s="3">
        <f>COUNTIFS(tblTecnicos[rotativo],"SI",tblTecnicos[especialidad],tblAsignaciones[[#This Row],[especialidad]],tblTecnicos[area],tblAsignaciones[[#This Row],[area]])</f>
        <v/>
      </c>
      <c r="G44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1" s="6" t="n"/>
      <c r="J44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1" s="3">
        <f>_xlfn.XLOOKUP(tblAsignaciones[[#This Row],[tecnico]],tblTecnicos[nombre],tblTecnicos[supervisor],"")</f>
        <v/>
      </c>
      <c r="L44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1" s="3">
        <f>tblAsignaciones[[#This Row],[semana]]&amp;"|"&amp;tblAsignaciones[[#This Row],[dia]]&amp;"|"&amp;tblAsignaciones[[#This Row],[tecnico]]</f>
        <v/>
      </c>
      <c r="O441" s="3">
        <f>_xlfn.XLOOKUP(tblAsignaciones[[#This Row],[turno]],tblTurnos[turno],tblTurnos[hora_inicio],"")</f>
        <v/>
      </c>
      <c r="P441" s="3">
        <f>_xlfn.XLOOKUP(tblAsignaciones[[#This Row],[turno]],tblTurnos[turno],tblTurnos[hora_fin],"")</f>
        <v/>
      </c>
      <c r="Q441" s="3">
        <f>IF(AND(LEFT(tblAsignaciones[[#This Row],[posicion_ciclo]],1)="T",tblAsignaciones[[#This Row],[en_vacaciones]]="no"),"sí","no")</f>
        <v/>
      </c>
    </row>
    <row r="442">
      <c r="A442" s="3" t="inlineStr">
        <is>
          <t>2026-S33</t>
        </is>
      </c>
      <c r="B442" s="3" t="inlineStr">
        <is>
          <t>viernes</t>
        </is>
      </c>
      <c r="C442" s="3" t="inlineStr">
        <is>
          <t>Técnico 15</t>
        </is>
      </c>
      <c r="D442" s="3">
        <f>_xlfn.XLOOKUP(tblAsignaciones[[#This Row],[tecnico]],tblTecnicos[nombre],tblTecnicos[area],"")</f>
        <v/>
      </c>
      <c r="E442" s="3">
        <f>_xlfn.XLOOKUP(tblAsignaciones[[#This Row],[tecnico]],tblTecnicos[nombre],tblTecnicos[especialidad],"")</f>
        <v/>
      </c>
      <c r="F442" s="3">
        <f>COUNTIFS(tblTecnicos[rotativo],"SI",tblTecnicos[especialidad],tblAsignaciones[[#This Row],[especialidad]],tblTecnicos[area],tblAsignaciones[[#This Row],[area]])</f>
        <v/>
      </c>
      <c r="G44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2" s="6" t="n"/>
      <c r="J44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2" s="3">
        <f>_xlfn.XLOOKUP(tblAsignaciones[[#This Row],[tecnico]],tblTecnicos[nombre],tblTecnicos[supervisor],"")</f>
        <v/>
      </c>
      <c r="L44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2" s="3">
        <f>tblAsignaciones[[#This Row],[semana]]&amp;"|"&amp;tblAsignaciones[[#This Row],[dia]]&amp;"|"&amp;tblAsignaciones[[#This Row],[tecnico]]</f>
        <v/>
      </c>
      <c r="O442" s="3">
        <f>_xlfn.XLOOKUP(tblAsignaciones[[#This Row],[turno]],tblTurnos[turno],tblTurnos[hora_inicio],"")</f>
        <v/>
      </c>
      <c r="P442" s="3">
        <f>_xlfn.XLOOKUP(tblAsignaciones[[#This Row],[turno]],tblTurnos[turno],tblTurnos[hora_fin],"")</f>
        <v/>
      </c>
      <c r="Q442" s="3">
        <f>IF(AND(LEFT(tblAsignaciones[[#This Row],[posicion_ciclo]],1)="T",tblAsignaciones[[#This Row],[en_vacaciones]]="no"),"sí","no")</f>
        <v/>
      </c>
    </row>
    <row r="443">
      <c r="A443" s="3" t="inlineStr">
        <is>
          <t>2026-S33</t>
        </is>
      </c>
      <c r="B443" s="3" t="inlineStr">
        <is>
          <t>sábado</t>
        </is>
      </c>
      <c r="C443" s="3" t="inlineStr">
        <is>
          <t>Técnico 15</t>
        </is>
      </c>
      <c r="D443" s="3">
        <f>_xlfn.XLOOKUP(tblAsignaciones[[#This Row],[tecnico]],tblTecnicos[nombre],tblTecnicos[area],"")</f>
        <v/>
      </c>
      <c r="E443" s="3">
        <f>_xlfn.XLOOKUP(tblAsignaciones[[#This Row],[tecnico]],tblTecnicos[nombre],tblTecnicos[especialidad],"")</f>
        <v/>
      </c>
      <c r="F443" s="3">
        <f>COUNTIFS(tblTecnicos[rotativo],"SI",tblTecnicos[especialidad],tblAsignaciones[[#This Row],[especialidad]],tblTecnicos[area],tblAsignaciones[[#This Row],[area]])</f>
        <v/>
      </c>
      <c r="G44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3" s="6" t="n"/>
      <c r="J44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3" s="3">
        <f>_xlfn.XLOOKUP(tblAsignaciones[[#This Row],[tecnico]],tblTecnicos[nombre],tblTecnicos[supervisor],"")</f>
        <v/>
      </c>
      <c r="L44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3" s="3">
        <f>tblAsignaciones[[#This Row],[semana]]&amp;"|"&amp;tblAsignaciones[[#This Row],[dia]]&amp;"|"&amp;tblAsignaciones[[#This Row],[tecnico]]</f>
        <v/>
      </c>
      <c r="O443" s="3">
        <f>_xlfn.XLOOKUP(tblAsignaciones[[#This Row],[turno]],tblTurnos[turno],tblTurnos[hora_inicio],"")</f>
        <v/>
      </c>
      <c r="P443" s="3">
        <f>_xlfn.XLOOKUP(tblAsignaciones[[#This Row],[turno]],tblTurnos[turno],tblTurnos[hora_fin],"")</f>
        <v/>
      </c>
      <c r="Q443" s="3">
        <f>IF(AND(LEFT(tblAsignaciones[[#This Row],[posicion_ciclo]],1)="T",tblAsignaciones[[#This Row],[en_vacaciones]]="no"),"sí","no")</f>
        <v/>
      </c>
    </row>
    <row r="444">
      <c r="A444" s="3" t="inlineStr">
        <is>
          <t>2026-S33</t>
        </is>
      </c>
      <c r="B444" s="3" t="inlineStr">
        <is>
          <t>domingo</t>
        </is>
      </c>
      <c r="C444" s="3" t="inlineStr">
        <is>
          <t>Técnico 15</t>
        </is>
      </c>
      <c r="D444" s="3">
        <f>_xlfn.XLOOKUP(tblAsignaciones[[#This Row],[tecnico]],tblTecnicos[nombre],tblTecnicos[area],"")</f>
        <v/>
      </c>
      <c r="E444" s="3">
        <f>_xlfn.XLOOKUP(tblAsignaciones[[#This Row],[tecnico]],tblTecnicos[nombre],tblTecnicos[especialidad],"")</f>
        <v/>
      </c>
      <c r="F444" s="3">
        <f>COUNTIFS(tblTecnicos[rotativo],"SI",tblTecnicos[especialidad],tblAsignaciones[[#This Row],[especialidad]],tblTecnicos[area],tblAsignaciones[[#This Row],[area]])</f>
        <v/>
      </c>
      <c r="G44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4" s="6" t="n"/>
      <c r="J44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4" s="3">
        <f>_xlfn.XLOOKUP(tblAsignaciones[[#This Row],[tecnico]],tblTecnicos[nombre],tblTecnicos[supervisor],"")</f>
        <v/>
      </c>
      <c r="L44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4" s="3">
        <f>tblAsignaciones[[#This Row],[semana]]&amp;"|"&amp;tblAsignaciones[[#This Row],[dia]]&amp;"|"&amp;tblAsignaciones[[#This Row],[tecnico]]</f>
        <v/>
      </c>
      <c r="O444" s="3">
        <f>_xlfn.XLOOKUP(tblAsignaciones[[#This Row],[turno]],tblTurnos[turno],tblTurnos[hora_inicio],"")</f>
        <v/>
      </c>
      <c r="P444" s="3">
        <f>_xlfn.XLOOKUP(tblAsignaciones[[#This Row],[turno]],tblTurnos[turno],tblTurnos[hora_fin],"")</f>
        <v/>
      </c>
      <c r="Q444" s="3">
        <f>IF(AND(LEFT(tblAsignaciones[[#This Row],[posicion_ciclo]],1)="T",tblAsignaciones[[#This Row],[en_vacaciones]]="no"),"sí","no")</f>
        <v/>
      </c>
    </row>
    <row r="445">
      <c r="A445" s="3" t="inlineStr">
        <is>
          <t>2026-S33</t>
        </is>
      </c>
      <c r="B445" s="3" t="inlineStr">
        <is>
          <t>lunes</t>
        </is>
      </c>
      <c r="C445" s="3" t="inlineStr">
        <is>
          <t>Técnico 16</t>
        </is>
      </c>
      <c r="D445" s="3">
        <f>_xlfn.XLOOKUP(tblAsignaciones[[#This Row],[tecnico]],tblTecnicos[nombre],tblTecnicos[area],"")</f>
        <v/>
      </c>
      <c r="E445" s="3">
        <f>_xlfn.XLOOKUP(tblAsignaciones[[#This Row],[tecnico]],tblTecnicos[nombre],tblTecnicos[especialidad],"")</f>
        <v/>
      </c>
      <c r="F445" s="3">
        <f>COUNTIFS(tblTecnicos[rotativo],"SI",tblTecnicos[especialidad],tblAsignaciones[[#This Row],[especialidad]],tblTecnicos[area],tblAsignaciones[[#This Row],[area]])</f>
        <v/>
      </c>
      <c r="G44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5" s="6" t="n"/>
      <c r="J44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5" s="3">
        <f>_xlfn.XLOOKUP(tblAsignaciones[[#This Row],[tecnico]],tblTecnicos[nombre],tblTecnicos[supervisor],"")</f>
        <v/>
      </c>
      <c r="L44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5" s="3">
        <f>tblAsignaciones[[#This Row],[semana]]&amp;"|"&amp;tblAsignaciones[[#This Row],[dia]]&amp;"|"&amp;tblAsignaciones[[#This Row],[tecnico]]</f>
        <v/>
      </c>
      <c r="O445" s="3">
        <f>_xlfn.XLOOKUP(tblAsignaciones[[#This Row],[turno]],tblTurnos[turno],tblTurnos[hora_inicio],"")</f>
        <v/>
      </c>
      <c r="P445" s="3">
        <f>_xlfn.XLOOKUP(tblAsignaciones[[#This Row],[turno]],tblTurnos[turno],tblTurnos[hora_fin],"")</f>
        <v/>
      </c>
      <c r="Q445" s="3">
        <f>IF(AND(LEFT(tblAsignaciones[[#This Row],[posicion_ciclo]],1)="T",tblAsignaciones[[#This Row],[en_vacaciones]]="no"),"sí","no")</f>
        <v/>
      </c>
    </row>
    <row r="446">
      <c r="A446" s="3" t="inlineStr">
        <is>
          <t>2026-S33</t>
        </is>
      </c>
      <c r="B446" s="3" t="inlineStr">
        <is>
          <t>martes</t>
        </is>
      </c>
      <c r="C446" s="3" t="inlineStr">
        <is>
          <t>Técnico 16</t>
        </is>
      </c>
      <c r="D446" s="3">
        <f>_xlfn.XLOOKUP(tblAsignaciones[[#This Row],[tecnico]],tblTecnicos[nombre],tblTecnicos[area],"")</f>
        <v/>
      </c>
      <c r="E446" s="3">
        <f>_xlfn.XLOOKUP(tblAsignaciones[[#This Row],[tecnico]],tblTecnicos[nombre],tblTecnicos[especialidad],"")</f>
        <v/>
      </c>
      <c r="F446" s="3">
        <f>COUNTIFS(tblTecnicos[rotativo],"SI",tblTecnicos[especialidad],tblAsignaciones[[#This Row],[especialidad]],tblTecnicos[area],tblAsignaciones[[#This Row],[area]])</f>
        <v/>
      </c>
      <c r="G44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6" s="6" t="n"/>
      <c r="J44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6" s="3">
        <f>_xlfn.XLOOKUP(tblAsignaciones[[#This Row],[tecnico]],tblTecnicos[nombre],tblTecnicos[supervisor],"")</f>
        <v/>
      </c>
      <c r="L44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6" s="3">
        <f>tblAsignaciones[[#This Row],[semana]]&amp;"|"&amp;tblAsignaciones[[#This Row],[dia]]&amp;"|"&amp;tblAsignaciones[[#This Row],[tecnico]]</f>
        <v/>
      </c>
      <c r="O446" s="3">
        <f>_xlfn.XLOOKUP(tblAsignaciones[[#This Row],[turno]],tblTurnos[turno],tblTurnos[hora_inicio],"")</f>
        <v/>
      </c>
      <c r="P446" s="3">
        <f>_xlfn.XLOOKUP(tblAsignaciones[[#This Row],[turno]],tblTurnos[turno],tblTurnos[hora_fin],"")</f>
        <v/>
      </c>
      <c r="Q446" s="3">
        <f>IF(AND(LEFT(tblAsignaciones[[#This Row],[posicion_ciclo]],1)="T",tblAsignaciones[[#This Row],[en_vacaciones]]="no"),"sí","no")</f>
        <v/>
      </c>
    </row>
    <row r="447">
      <c r="A447" s="3" t="inlineStr">
        <is>
          <t>2026-S33</t>
        </is>
      </c>
      <c r="B447" s="3" t="inlineStr">
        <is>
          <t>miércoles</t>
        </is>
      </c>
      <c r="C447" s="3" t="inlineStr">
        <is>
          <t>Técnico 16</t>
        </is>
      </c>
      <c r="D447" s="3">
        <f>_xlfn.XLOOKUP(tblAsignaciones[[#This Row],[tecnico]],tblTecnicos[nombre],tblTecnicos[area],"")</f>
        <v/>
      </c>
      <c r="E447" s="3">
        <f>_xlfn.XLOOKUP(tblAsignaciones[[#This Row],[tecnico]],tblTecnicos[nombre],tblTecnicos[especialidad],"")</f>
        <v/>
      </c>
      <c r="F447" s="3">
        <f>COUNTIFS(tblTecnicos[rotativo],"SI",tblTecnicos[especialidad],tblAsignaciones[[#This Row],[especialidad]],tblTecnicos[area],tblAsignaciones[[#This Row],[area]])</f>
        <v/>
      </c>
      <c r="G44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7" s="6" t="n"/>
      <c r="J44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7" s="3">
        <f>_xlfn.XLOOKUP(tblAsignaciones[[#This Row],[tecnico]],tblTecnicos[nombre],tblTecnicos[supervisor],"")</f>
        <v/>
      </c>
      <c r="L44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7" s="3">
        <f>tblAsignaciones[[#This Row],[semana]]&amp;"|"&amp;tblAsignaciones[[#This Row],[dia]]&amp;"|"&amp;tblAsignaciones[[#This Row],[tecnico]]</f>
        <v/>
      </c>
      <c r="O447" s="3">
        <f>_xlfn.XLOOKUP(tblAsignaciones[[#This Row],[turno]],tblTurnos[turno],tblTurnos[hora_inicio],"")</f>
        <v/>
      </c>
      <c r="P447" s="3">
        <f>_xlfn.XLOOKUP(tblAsignaciones[[#This Row],[turno]],tblTurnos[turno],tblTurnos[hora_fin],"")</f>
        <v/>
      </c>
      <c r="Q447" s="3">
        <f>IF(AND(LEFT(tblAsignaciones[[#This Row],[posicion_ciclo]],1)="T",tblAsignaciones[[#This Row],[en_vacaciones]]="no"),"sí","no")</f>
        <v/>
      </c>
    </row>
    <row r="448">
      <c r="A448" s="3" t="inlineStr">
        <is>
          <t>2026-S33</t>
        </is>
      </c>
      <c r="B448" s="3" t="inlineStr">
        <is>
          <t>jueves</t>
        </is>
      </c>
      <c r="C448" s="3" t="inlineStr">
        <is>
          <t>Técnico 16</t>
        </is>
      </c>
      <c r="D448" s="3">
        <f>_xlfn.XLOOKUP(tblAsignaciones[[#This Row],[tecnico]],tblTecnicos[nombre],tblTecnicos[area],"")</f>
        <v/>
      </c>
      <c r="E448" s="3">
        <f>_xlfn.XLOOKUP(tblAsignaciones[[#This Row],[tecnico]],tblTecnicos[nombre],tblTecnicos[especialidad],"")</f>
        <v/>
      </c>
      <c r="F448" s="3">
        <f>COUNTIFS(tblTecnicos[rotativo],"SI",tblTecnicos[especialidad],tblAsignaciones[[#This Row],[especialidad]],tblTecnicos[area],tblAsignaciones[[#This Row],[area]])</f>
        <v/>
      </c>
      <c r="G44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8" s="6" t="n"/>
      <c r="J44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8" s="3">
        <f>_xlfn.XLOOKUP(tblAsignaciones[[#This Row],[tecnico]],tblTecnicos[nombre],tblTecnicos[supervisor],"")</f>
        <v/>
      </c>
      <c r="L44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8" s="3">
        <f>tblAsignaciones[[#This Row],[semana]]&amp;"|"&amp;tblAsignaciones[[#This Row],[dia]]&amp;"|"&amp;tblAsignaciones[[#This Row],[tecnico]]</f>
        <v/>
      </c>
      <c r="O448" s="3">
        <f>_xlfn.XLOOKUP(tblAsignaciones[[#This Row],[turno]],tblTurnos[turno],tblTurnos[hora_inicio],"")</f>
        <v/>
      </c>
      <c r="P448" s="3">
        <f>_xlfn.XLOOKUP(tblAsignaciones[[#This Row],[turno]],tblTurnos[turno],tblTurnos[hora_fin],"")</f>
        <v/>
      </c>
      <c r="Q448" s="3">
        <f>IF(AND(LEFT(tblAsignaciones[[#This Row],[posicion_ciclo]],1)="T",tblAsignaciones[[#This Row],[en_vacaciones]]="no"),"sí","no")</f>
        <v/>
      </c>
    </row>
    <row r="449">
      <c r="A449" s="3" t="inlineStr">
        <is>
          <t>2026-S33</t>
        </is>
      </c>
      <c r="B449" s="3" t="inlineStr">
        <is>
          <t>viernes</t>
        </is>
      </c>
      <c r="C449" s="3" t="inlineStr">
        <is>
          <t>Técnico 16</t>
        </is>
      </c>
      <c r="D449" s="3">
        <f>_xlfn.XLOOKUP(tblAsignaciones[[#This Row],[tecnico]],tblTecnicos[nombre],tblTecnicos[area],"")</f>
        <v/>
      </c>
      <c r="E449" s="3">
        <f>_xlfn.XLOOKUP(tblAsignaciones[[#This Row],[tecnico]],tblTecnicos[nombre],tblTecnicos[especialidad],"")</f>
        <v/>
      </c>
      <c r="F449" s="3">
        <f>COUNTIFS(tblTecnicos[rotativo],"SI",tblTecnicos[especialidad],tblAsignaciones[[#This Row],[especialidad]],tblTecnicos[area],tblAsignaciones[[#This Row],[area]])</f>
        <v/>
      </c>
      <c r="G44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9" s="6" t="n"/>
      <c r="J44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9" s="3">
        <f>_xlfn.XLOOKUP(tblAsignaciones[[#This Row],[tecnico]],tblTecnicos[nombre],tblTecnicos[supervisor],"")</f>
        <v/>
      </c>
      <c r="L44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9" s="3">
        <f>tblAsignaciones[[#This Row],[semana]]&amp;"|"&amp;tblAsignaciones[[#This Row],[dia]]&amp;"|"&amp;tblAsignaciones[[#This Row],[tecnico]]</f>
        <v/>
      </c>
      <c r="O449" s="3">
        <f>_xlfn.XLOOKUP(tblAsignaciones[[#This Row],[turno]],tblTurnos[turno],tblTurnos[hora_inicio],"")</f>
        <v/>
      </c>
      <c r="P449" s="3">
        <f>_xlfn.XLOOKUP(tblAsignaciones[[#This Row],[turno]],tblTurnos[turno],tblTurnos[hora_fin],"")</f>
        <v/>
      </c>
      <c r="Q449" s="3">
        <f>IF(AND(LEFT(tblAsignaciones[[#This Row],[posicion_ciclo]],1)="T",tblAsignaciones[[#This Row],[en_vacaciones]]="no"),"sí","no")</f>
        <v/>
      </c>
    </row>
    <row r="450">
      <c r="A450" s="3" t="inlineStr">
        <is>
          <t>2026-S33</t>
        </is>
      </c>
      <c r="B450" s="3" t="inlineStr">
        <is>
          <t>sábado</t>
        </is>
      </c>
      <c r="C450" s="3" t="inlineStr">
        <is>
          <t>Técnico 16</t>
        </is>
      </c>
      <c r="D450" s="3">
        <f>_xlfn.XLOOKUP(tblAsignaciones[[#This Row],[tecnico]],tblTecnicos[nombre],tblTecnicos[area],"")</f>
        <v/>
      </c>
      <c r="E450" s="3">
        <f>_xlfn.XLOOKUP(tblAsignaciones[[#This Row],[tecnico]],tblTecnicos[nombre],tblTecnicos[especialidad],"")</f>
        <v/>
      </c>
      <c r="F450" s="3">
        <f>COUNTIFS(tblTecnicos[rotativo],"SI",tblTecnicos[especialidad],tblAsignaciones[[#This Row],[especialidad]],tblTecnicos[area],tblAsignaciones[[#This Row],[area]])</f>
        <v/>
      </c>
      <c r="G45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0" s="6" t="n"/>
      <c r="J45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0" s="3">
        <f>_xlfn.XLOOKUP(tblAsignaciones[[#This Row],[tecnico]],tblTecnicos[nombre],tblTecnicos[supervisor],"")</f>
        <v/>
      </c>
      <c r="L45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0" s="3">
        <f>tblAsignaciones[[#This Row],[semana]]&amp;"|"&amp;tblAsignaciones[[#This Row],[dia]]&amp;"|"&amp;tblAsignaciones[[#This Row],[tecnico]]</f>
        <v/>
      </c>
      <c r="O450" s="3">
        <f>_xlfn.XLOOKUP(tblAsignaciones[[#This Row],[turno]],tblTurnos[turno],tblTurnos[hora_inicio],"")</f>
        <v/>
      </c>
      <c r="P450" s="3">
        <f>_xlfn.XLOOKUP(tblAsignaciones[[#This Row],[turno]],tblTurnos[turno],tblTurnos[hora_fin],"")</f>
        <v/>
      </c>
      <c r="Q450" s="3">
        <f>IF(AND(LEFT(tblAsignaciones[[#This Row],[posicion_ciclo]],1)="T",tblAsignaciones[[#This Row],[en_vacaciones]]="no"),"sí","no")</f>
        <v/>
      </c>
    </row>
    <row r="451">
      <c r="A451" s="3" t="inlineStr">
        <is>
          <t>2026-S33</t>
        </is>
      </c>
      <c r="B451" s="3" t="inlineStr">
        <is>
          <t>domingo</t>
        </is>
      </c>
      <c r="C451" s="3" t="inlineStr">
        <is>
          <t>Técnico 16</t>
        </is>
      </c>
      <c r="D451" s="3">
        <f>_xlfn.XLOOKUP(tblAsignaciones[[#This Row],[tecnico]],tblTecnicos[nombre],tblTecnicos[area],"")</f>
        <v/>
      </c>
      <c r="E451" s="3">
        <f>_xlfn.XLOOKUP(tblAsignaciones[[#This Row],[tecnico]],tblTecnicos[nombre],tblTecnicos[especialidad],"")</f>
        <v/>
      </c>
      <c r="F451" s="3">
        <f>COUNTIFS(tblTecnicos[rotativo],"SI",tblTecnicos[especialidad],tblAsignaciones[[#This Row],[especialidad]],tblTecnicos[area],tblAsignaciones[[#This Row],[area]])</f>
        <v/>
      </c>
      <c r="G45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1" s="6" t="n"/>
      <c r="J45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1" s="3">
        <f>_xlfn.XLOOKUP(tblAsignaciones[[#This Row],[tecnico]],tblTecnicos[nombre],tblTecnicos[supervisor],"")</f>
        <v/>
      </c>
      <c r="L45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1" s="3">
        <f>tblAsignaciones[[#This Row],[semana]]&amp;"|"&amp;tblAsignaciones[[#This Row],[dia]]&amp;"|"&amp;tblAsignaciones[[#This Row],[tecnico]]</f>
        <v/>
      </c>
      <c r="O451" s="3">
        <f>_xlfn.XLOOKUP(tblAsignaciones[[#This Row],[turno]],tblTurnos[turno],tblTurnos[hora_inicio],"")</f>
        <v/>
      </c>
      <c r="P451" s="3">
        <f>_xlfn.XLOOKUP(tblAsignaciones[[#This Row],[turno]],tblTurnos[turno],tblTurnos[hora_fin],"")</f>
        <v/>
      </c>
      <c r="Q451" s="3">
        <f>IF(AND(LEFT(tblAsignaciones[[#This Row],[posicion_ciclo]],1)="T",tblAsignaciones[[#This Row],[en_vacaciones]]="no"),"sí","no")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4" t="inlineStr">
        <is>
          <t>PLAN_VACACIONES (tblVacaciones) — periodos de vacaciones/permiso. Azul = editable. El técnico de VAC sale de la rotación esas semanas (turno "VAC", 0 h) dejando su posición VACÍA; cubrir el hueco es acción manual (turno_manual).</t>
        </is>
      </c>
    </row>
    <row r="3">
      <c r="A3" s="5" t="inlineStr">
        <is>
          <t>tecnico</t>
        </is>
      </c>
      <c r="B3" s="5" t="inlineStr">
        <is>
          <t>fecha_inicio</t>
        </is>
      </c>
      <c r="C3" s="5" t="inlineStr">
        <is>
          <t>fecha_fin</t>
        </is>
      </c>
      <c r="D3" s="5" t="inlineStr">
        <is>
          <t>motivo</t>
        </is>
      </c>
    </row>
    <row r="4">
      <c r="A4" s="6" t="inlineStr">
        <is>
          <t>Técnico 05</t>
        </is>
      </c>
      <c r="B4" s="8" t="n">
        <v>46230</v>
      </c>
      <c r="C4" s="8" t="n">
        <v>46257</v>
      </c>
      <c r="D4" s="6" t="inlineStr">
        <is>
          <t>Vacaciones anuales</t>
        </is>
      </c>
    </row>
    <row r="5">
      <c r="A5" s="6" t="inlineStr">
        <is>
          <t>Técnico 05</t>
        </is>
      </c>
      <c r="B5" s="8" t="n">
        <v>46279</v>
      </c>
      <c r="C5" s="8" t="n">
        <v>46285</v>
      </c>
      <c r="D5" s="6" t="inlineStr">
        <is>
          <t>Permiso</t>
        </is>
      </c>
    </row>
    <row r="6">
      <c r="A6" s="6" t="n"/>
      <c r="B6" s="8" t="n"/>
      <c r="C6" s="8" t="n"/>
      <c r="D6" s="6" t="n"/>
    </row>
    <row r="7">
      <c r="A7" s="6" t="n"/>
      <c r="B7" s="8" t="n"/>
      <c r="C7" s="8" t="n"/>
      <c r="D7" s="6" t="n"/>
    </row>
    <row r="8">
      <c r="A8" s="6" t="n"/>
      <c r="B8" s="8" t="n"/>
      <c r="C8" s="8" t="n"/>
      <c r="D8" s="6" t="n"/>
    </row>
    <row r="9">
      <c r="A9" s="6" t="n"/>
      <c r="B9" s="8" t="n"/>
      <c r="C9" s="8" t="n"/>
      <c r="D9" s="6" t="n"/>
    </row>
    <row r="10">
      <c r="A10" s="6" t="n"/>
      <c r="B10" s="8" t="n"/>
      <c r="C10" s="8" t="n"/>
      <c r="D10" s="6" t="n"/>
    </row>
    <row r="11">
      <c r="A11" s="6" t="n"/>
      <c r="B11" s="8" t="n"/>
      <c r="C11" s="8" t="n"/>
      <c r="D11" s="6" t="n"/>
    </row>
    <row r="12">
      <c r="A12" s="6" t="n"/>
      <c r="B12" s="8" t="n"/>
      <c r="C12" s="8" t="n"/>
      <c r="D12" s="6" t="n"/>
    </row>
    <row r="13">
      <c r="A13" s="6" t="n"/>
      <c r="B13" s="8" t="n"/>
      <c r="C13" s="8" t="n"/>
      <c r="D13" s="6" t="n"/>
    </row>
    <row r="14">
      <c r="A14" s="6" t="n"/>
      <c r="B14" s="8" t="n"/>
      <c r="C14" s="8" t="n"/>
      <c r="D14" s="6" t="n"/>
    </row>
    <row r="15">
      <c r="A15" s="6" t="n"/>
      <c r="B15" s="8" t="n"/>
      <c r="C15" s="8" t="n"/>
      <c r="D15" s="6" t="n"/>
    </row>
    <row r="16">
      <c r="A16" s="6" t="n"/>
      <c r="B16" s="8" t="n"/>
      <c r="C16" s="8" t="n"/>
      <c r="D16" s="6" t="n"/>
    </row>
    <row r="17">
      <c r="A17" s="6" t="n"/>
      <c r="B17" s="8" t="n"/>
      <c r="C17" s="8" t="n"/>
      <c r="D17" s="6" t="n"/>
    </row>
    <row r="18">
      <c r="A18" s="6" t="n"/>
      <c r="B18" s="8" t="n"/>
      <c r="C18" s="8" t="n"/>
      <c r="D18" s="6" t="n"/>
    </row>
    <row r="19">
      <c r="A19" s="6" t="n"/>
      <c r="B19" s="8" t="n"/>
      <c r="C19" s="8" t="n"/>
      <c r="D19" s="6" t="n"/>
    </row>
    <row r="20">
      <c r="A20" s="6" t="n"/>
      <c r="B20" s="8" t="n"/>
      <c r="C20" s="8" t="n"/>
      <c r="D20" s="6" t="n"/>
    </row>
    <row r="21">
      <c r="A21" s="6" t="n"/>
      <c r="B21" s="8" t="n"/>
      <c r="C21" s="8" t="n"/>
      <c r="D21" s="6" t="n"/>
    </row>
    <row r="22">
      <c r="A22" s="6" t="n"/>
      <c r="B22" s="8" t="n"/>
      <c r="C22" s="8" t="n"/>
      <c r="D22" s="6" t="n"/>
    </row>
    <row r="23">
      <c r="A23" s="6" t="n"/>
      <c r="B23" s="8" t="n"/>
      <c r="C23" s="8" t="n"/>
      <c r="D23" s="6" t="n"/>
    </row>
    <row r="24">
      <c r="A24" s="6" t="n"/>
      <c r="B24" s="8" t="n"/>
      <c r="C24" s="8" t="n"/>
      <c r="D24" s="6" t="n"/>
    </row>
    <row r="25">
      <c r="A25" s="6" t="n"/>
      <c r="B25" s="8" t="n"/>
      <c r="C25" s="8" t="n"/>
      <c r="D25" s="6" t="n"/>
    </row>
    <row r="26">
      <c r="A26" s="6" t="n"/>
      <c r="B26" s="8" t="n"/>
      <c r="C26" s="8" t="n"/>
      <c r="D26" s="6" t="n"/>
    </row>
    <row r="27">
      <c r="A27" s="6" t="n"/>
      <c r="B27" s="8" t="n"/>
      <c r="C27" s="8" t="n"/>
      <c r="D27" s="6" t="n"/>
    </row>
    <row r="28">
      <c r="A28" s="6" t="n"/>
      <c r="B28" s="8" t="n"/>
      <c r="C28" s="8" t="n"/>
      <c r="D28" s="6" t="n"/>
    </row>
    <row r="29">
      <c r="A29" s="6" t="n"/>
      <c r="B29" s="8" t="n"/>
      <c r="C29" s="8" t="n"/>
      <c r="D29" s="6" t="n"/>
    </row>
    <row r="30">
      <c r="A30" s="6" t="n"/>
      <c r="B30" s="8" t="n"/>
      <c r="C30" s="8" t="n"/>
      <c r="D30" s="6" t="n"/>
    </row>
    <row r="31">
      <c r="A31" s="6" t="n"/>
      <c r="B31" s="8" t="n"/>
      <c r="C31" s="8" t="n"/>
      <c r="D31" s="6" t="n"/>
    </row>
    <row r="32">
      <c r="A32" s="6" t="n"/>
      <c r="B32" s="8" t="n"/>
      <c r="C32" s="8" t="n"/>
      <c r="D32" s="6" t="n"/>
    </row>
    <row r="33">
      <c r="A33" s="6" t="n"/>
      <c r="B33" s="8" t="n"/>
      <c r="C33" s="8" t="n"/>
      <c r="D33" s="6" t="n"/>
    </row>
    <row r="34">
      <c r="A34" s="6" t="n"/>
      <c r="B34" s="8" t="n"/>
      <c r="C34" s="8" t="n"/>
      <c r="D34" s="6" t="n"/>
    </row>
    <row r="35">
      <c r="A35" s="6" t="n"/>
      <c r="B35" s="8" t="n"/>
      <c r="C35" s="8" t="n"/>
      <c r="D35" s="6" t="n"/>
    </row>
    <row r="36">
      <c r="A36" s="6" t="n"/>
      <c r="B36" s="8" t="n"/>
      <c r="C36" s="8" t="n"/>
      <c r="D36" s="6" t="n"/>
    </row>
    <row r="37">
      <c r="A37" s="6" t="n"/>
      <c r="B37" s="8" t="n"/>
      <c r="C37" s="8" t="n"/>
      <c r="D37" s="6" t="n"/>
    </row>
    <row r="38">
      <c r="A38" s="6" t="n"/>
      <c r="B38" s="8" t="n"/>
      <c r="C38" s="8" t="n"/>
      <c r="D38" s="6" t="n"/>
    </row>
    <row r="39">
      <c r="A39" s="6" t="n"/>
      <c r="B39" s="8" t="n"/>
      <c r="C39" s="8" t="n"/>
      <c r="D39" s="6" t="n"/>
    </row>
    <row r="40">
      <c r="A40" s="6" t="n"/>
      <c r="B40" s="8" t="n"/>
      <c r="C40" s="8" t="n"/>
      <c r="D40" s="6" t="n"/>
    </row>
    <row r="41">
      <c r="A41" s="6" t="n"/>
      <c r="B41" s="8" t="n"/>
      <c r="C41" s="8" t="n"/>
      <c r="D41" s="6" t="n"/>
    </row>
    <row r="42">
      <c r="A42" s="6" t="n"/>
      <c r="B42" s="8" t="n"/>
      <c r="C42" s="8" t="n"/>
      <c r="D42" s="6" t="n"/>
    </row>
    <row r="43">
      <c r="A43" s="6" t="n"/>
      <c r="B43" s="8" t="n"/>
      <c r="C43" s="8" t="n"/>
      <c r="D43" s="6" t="n"/>
    </row>
    <row r="44">
      <c r="A44" s="6" t="n"/>
      <c r="B44" s="8" t="n"/>
      <c r="C44" s="8" t="n"/>
      <c r="D44" s="6" t="n"/>
    </row>
    <row r="45">
      <c r="A45" s="6" t="n"/>
      <c r="B45" s="8" t="n"/>
      <c r="C45" s="8" t="n"/>
      <c r="D45" s="6" t="n"/>
    </row>
    <row r="46">
      <c r="A46" s="6" t="n"/>
      <c r="B46" s="8" t="n"/>
      <c r="C46" s="8" t="n"/>
      <c r="D46" s="6" t="n"/>
    </row>
    <row r="47">
      <c r="A47" s="6" t="n"/>
      <c r="B47" s="8" t="n"/>
      <c r="C47" s="8" t="n"/>
      <c r="D47" s="6" t="n"/>
    </row>
    <row r="48">
      <c r="A48" s="6" t="n"/>
      <c r="B48" s="8" t="n"/>
      <c r="C48" s="8" t="n"/>
      <c r="D48" s="6" t="n"/>
    </row>
    <row r="49">
      <c r="A49" s="6" t="n"/>
      <c r="B49" s="8" t="n"/>
      <c r="C49" s="8" t="n"/>
      <c r="D49" s="6" t="n"/>
    </row>
    <row r="50">
      <c r="A50" s="6" t="n"/>
      <c r="B50" s="8" t="n"/>
      <c r="C50" s="8" t="n"/>
      <c r="D50" s="6" t="n"/>
    </row>
    <row r="51">
      <c r="A51" s="6" t="n"/>
      <c r="B51" s="8" t="n"/>
      <c r="C51" s="8" t="n"/>
      <c r="D51" s="6" t="n"/>
    </row>
    <row r="52">
      <c r="A52" s="6" t="n"/>
      <c r="B52" s="8" t="n"/>
      <c r="C52" s="8" t="n"/>
      <c r="D52" s="6" t="n"/>
    </row>
    <row r="53">
      <c r="A53" s="6" t="n"/>
      <c r="B53" s="8" t="n"/>
      <c r="C53" s="8" t="n"/>
      <c r="D53" s="6" t="n"/>
    </row>
    <row r="54">
      <c r="A54" s="6" t="n"/>
      <c r="B54" s="8" t="n"/>
      <c r="C54" s="8" t="n"/>
      <c r="D54" s="6" t="n"/>
    </row>
    <row r="55">
      <c r="A55" s="6" t="n"/>
      <c r="B55" s="8" t="n"/>
      <c r="C55" s="8" t="n"/>
      <c r="D55" s="6" t="n"/>
    </row>
    <row r="56">
      <c r="A56" s="6" t="n"/>
      <c r="B56" s="8" t="n"/>
      <c r="C56" s="8" t="n"/>
      <c r="D56" s="6" t="n"/>
    </row>
    <row r="57">
      <c r="A57" s="6" t="n"/>
      <c r="B57" s="8" t="n"/>
      <c r="C57" s="8" t="n"/>
      <c r="D57" s="6" t="n"/>
    </row>
    <row r="58">
      <c r="A58" s="6" t="n"/>
      <c r="B58" s="8" t="n"/>
      <c r="C58" s="8" t="n"/>
      <c r="D58" s="6" t="n"/>
    </row>
    <row r="59">
      <c r="A59" s="6" t="n"/>
      <c r="B59" s="8" t="n"/>
      <c r="C59" s="8" t="n"/>
      <c r="D59" s="6" t="n"/>
    </row>
    <row r="60">
      <c r="A60" s="6" t="n"/>
      <c r="B60" s="8" t="n"/>
      <c r="C60" s="8" t="n"/>
      <c r="D60" s="6" t="n"/>
    </row>
    <row r="61">
      <c r="A61" s="6" t="n"/>
      <c r="B61" s="8" t="n"/>
      <c r="C61" s="8" t="n"/>
      <c r="D61" s="6" t="n"/>
    </row>
    <row r="62">
      <c r="A62" s="6" t="n"/>
      <c r="B62" s="8" t="n"/>
      <c r="C62" s="8" t="n"/>
      <c r="D62" s="6" t="n"/>
    </row>
    <row r="63">
      <c r="A63" s="6" t="n"/>
      <c r="B63" s="8" t="n"/>
      <c r="C63" s="8" t="n"/>
      <c r="D63" s="6" t="n"/>
    </row>
    <row r="64">
      <c r="A64" s="6" t="n"/>
      <c r="B64" s="8" t="n"/>
      <c r="C64" s="8" t="n"/>
      <c r="D64" s="6" t="n"/>
    </row>
    <row r="65">
      <c r="A65" s="6" t="n"/>
      <c r="B65" s="8" t="n"/>
      <c r="C65" s="8" t="n"/>
      <c r="D65" s="6" t="n"/>
    </row>
    <row r="66">
      <c r="A66" s="6" t="n"/>
      <c r="B66" s="8" t="n"/>
      <c r="C66" s="8" t="n"/>
      <c r="D66" s="6" t="n"/>
    </row>
    <row r="67">
      <c r="A67" s="6" t="n"/>
      <c r="B67" s="8" t="n"/>
      <c r="C67" s="8" t="n"/>
      <c r="D67" s="6" t="n"/>
    </row>
    <row r="68">
      <c r="A68" s="6" t="n"/>
      <c r="B68" s="8" t="n"/>
      <c r="C68" s="8" t="n"/>
      <c r="D68" s="6" t="n"/>
    </row>
    <row r="69">
      <c r="A69" s="6" t="n"/>
      <c r="B69" s="8" t="n"/>
      <c r="C69" s="8" t="n"/>
      <c r="D69" s="6" t="n"/>
    </row>
    <row r="70">
      <c r="A70" s="6" t="n"/>
      <c r="B70" s="8" t="n"/>
      <c r="C70" s="8" t="n"/>
      <c r="D70" s="6" t="n"/>
    </row>
    <row r="71">
      <c r="A71" s="6" t="n"/>
      <c r="B71" s="8" t="n"/>
      <c r="C71" s="8" t="n"/>
      <c r="D71" s="6" t="n"/>
    </row>
    <row r="72">
      <c r="A72" s="6" t="n"/>
      <c r="B72" s="8" t="n"/>
      <c r="C72" s="8" t="n"/>
      <c r="D72" s="6" t="n"/>
    </row>
    <row r="73">
      <c r="A73" s="6" t="n"/>
      <c r="B73" s="8" t="n"/>
      <c r="C73" s="8" t="n"/>
      <c r="D73" s="6" t="n"/>
    </row>
    <row r="74">
      <c r="A74" s="6" t="n"/>
      <c r="B74" s="8" t="n"/>
      <c r="C74" s="8" t="n"/>
      <c r="D74" s="6" t="n"/>
    </row>
    <row r="75">
      <c r="A75" s="6" t="n"/>
      <c r="B75" s="8" t="n"/>
      <c r="C75" s="8" t="n"/>
      <c r="D75" s="6" t="n"/>
    </row>
    <row r="76">
      <c r="A76" s="6" t="n"/>
      <c r="B76" s="8" t="n"/>
      <c r="C76" s="8" t="n"/>
      <c r="D76" s="6" t="n"/>
    </row>
    <row r="77">
      <c r="A77" s="6" t="n"/>
      <c r="B77" s="8" t="n"/>
      <c r="C77" s="8" t="n"/>
      <c r="D77" s="6" t="n"/>
    </row>
    <row r="78">
      <c r="A78" s="6" t="n"/>
      <c r="B78" s="8" t="n"/>
      <c r="C78" s="8" t="n"/>
      <c r="D78" s="6" t="n"/>
    </row>
    <row r="79">
      <c r="A79" s="6" t="n"/>
      <c r="B79" s="8" t="n"/>
      <c r="C79" s="8" t="n"/>
      <c r="D79" s="6" t="n"/>
    </row>
    <row r="80">
      <c r="A80" s="6" t="n"/>
      <c r="B80" s="8" t="n"/>
      <c r="C80" s="8" t="n"/>
      <c r="D80" s="6" t="n"/>
    </row>
    <row r="81">
      <c r="A81" s="6" t="n"/>
      <c r="B81" s="8" t="n"/>
      <c r="C81" s="8" t="n"/>
      <c r="D81" s="6" t="n"/>
    </row>
    <row r="82">
      <c r="A82" s="6" t="n"/>
      <c r="B82" s="8" t="n"/>
      <c r="C82" s="8" t="n"/>
      <c r="D82" s="6" t="n"/>
    </row>
    <row r="83">
      <c r="A83" s="6" t="n"/>
      <c r="B83" s="8" t="n"/>
      <c r="C83" s="8" t="n"/>
      <c r="D83" s="6" t="n"/>
    </row>
    <row r="84">
      <c r="A84" s="6" t="n"/>
      <c r="B84" s="8" t="n"/>
      <c r="C84" s="8" t="n"/>
      <c r="D84" s="6" t="n"/>
    </row>
    <row r="85">
      <c r="A85" s="6" t="n"/>
      <c r="B85" s="8" t="n"/>
      <c r="C85" s="8" t="n"/>
      <c r="D85" s="6" t="n"/>
    </row>
    <row r="86">
      <c r="A86" s="6" t="n"/>
      <c r="B86" s="8" t="n"/>
      <c r="C86" s="8" t="n"/>
      <c r="D86" s="6" t="n"/>
    </row>
    <row r="87">
      <c r="A87" s="6" t="n"/>
      <c r="B87" s="8" t="n"/>
      <c r="C87" s="8" t="n"/>
      <c r="D87" s="6" t="n"/>
    </row>
    <row r="88">
      <c r="A88" s="6" t="n"/>
      <c r="B88" s="8" t="n"/>
      <c r="C88" s="8" t="n"/>
      <c r="D88" s="6" t="n"/>
    </row>
    <row r="89">
      <c r="A89" s="6" t="n"/>
      <c r="B89" s="8" t="n"/>
      <c r="C89" s="8" t="n"/>
      <c r="D89" s="6" t="n"/>
    </row>
    <row r="90">
      <c r="A90" s="6" t="n"/>
      <c r="B90" s="8" t="n"/>
      <c r="C90" s="8" t="n"/>
      <c r="D90" s="6" t="n"/>
    </row>
    <row r="91">
      <c r="A91" s="6" t="n"/>
      <c r="B91" s="8" t="n"/>
      <c r="C91" s="8" t="n"/>
      <c r="D91" s="6" t="n"/>
    </row>
    <row r="92">
      <c r="A92" s="6" t="n"/>
      <c r="B92" s="8" t="n"/>
      <c r="C92" s="8" t="n"/>
      <c r="D92" s="6" t="n"/>
    </row>
    <row r="93">
      <c r="A93" s="6" t="n"/>
      <c r="B93" s="8" t="n"/>
      <c r="C93" s="8" t="n"/>
      <c r="D93" s="6" t="n"/>
    </row>
    <row r="94">
      <c r="A94" s="6" t="n"/>
      <c r="B94" s="8" t="n"/>
      <c r="C94" s="8" t="n"/>
      <c r="D94" s="6" t="n"/>
    </row>
    <row r="95">
      <c r="A95" s="6" t="n"/>
      <c r="B95" s="8" t="n"/>
      <c r="C95" s="8" t="n"/>
      <c r="D95" s="6" t="n"/>
    </row>
    <row r="96">
      <c r="A96" s="6" t="n"/>
      <c r="B96" s="8" t="n"/>
      <c r="C96" s="8" t="n"/>
      <c r="D96" s="6" t="n"/>
    </row>
    <row r="97">
      <c r="A97" s="6" t="n"/>
      <c r="B97" s="8" t="n"/>
      <c r="C97" s="8" t="n"/>
      <c r="D97" s="6" t="n"/>
    </row>
    <row r="98">
      <c r="A98" s="6" t="n"/>
      <c r="B98" s="8" t="n"/>
      <c r="C98" s="8" t="n"/>
      <c r="D98" s="6" t="n"/>
    </row>
    <row r="99">
      <c r="A99" s="6" t="n"/>
      <c r="B99" s="8" t="n"/>
      <c r="C99" s="8" t="n"/>
      <c r="D99" s="6" t="n"/>
    </row>
    <row r="100">
      <c r="A100" s="6" t="n"/>
      <c r="B100" s="8" t="n"/>
      <c r="C100" s="8" t="n"/>
      <c r="D100" s="6" t="n"/>
    </row>
    <row r="101">
      <c r="A101" s="6" t="n"/>
      <c r="B101" s="8" t="n"/>
      <c r="C101" s="8" t="n"/>
      <c r="D101" s="6" t="n"/>
    </row>
    <row r="102">
      <c r="A102" s="6" t="n"/>
      <c r="B102" s="8" t="n"/>
      <c r="C102" s="8" t="n"/>
      <c r="D102" s="6" t="n"/>
    </row>
    <row r="103">
      <c r="A103" s="6" t="n"/>
      <c r="B103" s="8" t="n"/>
      <c r="C103" s="8" t="n"/>
      <c r="D103" s="6" t="n"/>
    </row>
  </sheetData>
  <dataValidations count="1">
    <dataValidation sqref="A4:A1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4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3">
      <c r="A3" s="5" t="inlineStr">
        <is>
          <t>tecnico</t>
        </is>
      </c>
      <c r="B3" s="5" t="inlineStr">
        <is>
          <t>semana</t>
        </is>
      </c>
      <c r="C3" s="5" t="inlineStr">
        <is>
          <t>especialidad</t>
        </is>
      </c>
      <c r="D3" s="5" t="inlineStr">
        <is>
          <t>posicion</t>
        </is>
      </c>
      <c r="E3" s="5" t="inlineStr">
        <is>
          <t>horas_reales</t>
        </is>
      </c>
      <c r="F3" s="5" t="inlineStr">
        <is>
          <t>base_semanal</t>
        </is>
      </c>
      <c r="G3" s="5" t="inlineStr">
        <is>
          <t>superavit_deficit</t>
        </is>
      </c>
    </row>
    <row r="4">
      <c r="A4" s="3" t="inlineStr">
        <is>
          <t>Técnico 01</t>
        </is>
      </c>
      <c r="B4" s="3" t="inlineStr">
        <is>
          <t>2026-S30</t>
        </is>
      </c>
      <c r="C4" s="3">
        <f>_xlfn.XLOOKUP(tblSegHH[[#This Row],[tecnico]],tblTecnicos[nombre],tblTecnicos[especialidad],"")</f>
        <v/>
      </c>
      <c r="D4" s="3">
        <f>_xlfn.XLOOKUP(tblSegHH[[#This Row],[semana]]&amp;"|lunes|"&amp;tblSegHH[[#This Row],[tecnico]],tblAsignaciones[clave],tblAsignaciones[posicion_ciclo],"")</f>
        <v/>
      </c>
      <c r="E4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" s="3">
        <f>p_base_semanal_horas</f>
        <v/>
      </c>
      <c r="G4" s="3">
        <f>tblSegHH[[#This Row],[horas_reales]]-tblSegHH[[#This Row],[base_semanal]]</f>
        <v/>
      </c>
    </row>
    <row r="5">
      <c r="A5" s="3" t="inlineStr">
        <is>
          <t>Técnico 01</t>
        </is>
      </c>
      <c r="B5" s="3" t="inlineStr">
        <is>
          <t>2026-S31</t>
        </is>
      </c>
      <c r="C5" s="3">
        <f>_xlfn.XLOOKUP(tblSegHH[[#This Row],[tecnico]],tblTecnicos[nombre],tblTecnicos[especialidad],"")</f>
        <v/>
      </c>
      <c r="D5" s="3">
        <f>_xlfn.XLOOKUP(tblSegHH[[#This Row],[semana]]&amp;"|lunes|"&amp;tblSegHH[[#This Row],[tecnico]],tblAsignaciones[clave],tblAsignaciones[posicion_ciclo],"")</f>
        <v/>
      </c>
      <c r="E5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" s="3">
        <f>p_base_semanal_horas</f>
        <v/>
      </c>
      <c r="G5" s="3">
        <f>tblSegHH[[#This Row],[horas_reales]]-tblSegHH[[#This Row],[base_semanal]]</f>
        <v/>
      </c>
    </row>
    <row r="6">
      <c r="A6" s="3" t="inlineStr">
        <is>
          <t>Técnico 01</t>
        </is>
      </c>
      <c r="B6" s="3" t="inlineStr">
        <is>
          <t>2026-S32</t>
        </is>
      </c>
      <c r="C6" s="3">
        <f>_xlfn.XLOOKUP(tblSegHH[[#This Row],[tecnico]],tblTecnicos[nombre],tblTecnicos[especialidad],"")</f>
        <v/>
      </c>
      <c r="D6" s="3">
        <f>_xlfn.XLOOKUP(tblSegHH[[#This Row],[semana]]&amp;"|lunes|"&amp;tblSegHH[[#This Row],[tecnico]],tblAsignaciones[clave],tblAsignaciones[posicion_ciclo],"")</f>
        <v/>
      </c>
      <c r="E6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" s="3">
        <f>p_base_semanal_horas</f>
        <v/>
      </c>
      <c r="G6" s="3">
        <f>tblSegHH[[#This Row],[horas_reales]]-tblSegHH[[#This Row],[base_semanal]]</f>
        <v/>
      </c>
    </row>
    <row r="7">
      <c r="A7" s="3" t="inlineStr">
        <is>
          <t>Técnico 01</t>
        </is>
      </c>
      <c r="B7" s="3" t="inlineStr">
        <is>
          <t>2026-S33</t>
        </is>
      </c>
      <c r="C7" s="3">
        <f>_xlfn.XLOOKUP(tblSegHH[[#This Row],[tecnico]],tblTecnicos[nombre],tblTecnicos[especialidad],"")</f>
        <v/>
      </c>
      <c r="D7" s="3">
        <f>_xlfn.XLOOKUP(tblSegHH[[#This Row],[semana]]&amp;"|lunes|"&amp;tblSegHH[[#This Row],[tecnico]],tblAsignaciones[clave],tblAsignaciones[posicion_ciclo],"")</f>
        <v/>
      </c>
      <c r="E7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7" s="3">
        <f>p_base_semanal_horas</f>
        <v/>
      </c>
      <c r="G7" s="3">
        <f>tblSegHH[[#This Row],[horas_reales]]-tblSegHH[[#This Row],[base_semanal]]</f>
        <v/>
      </c>
    </row>
    <row r="8">
      <c r="A8" s="3" t="inlineStr">
        <is>
          <t>Técnico 02</t>
        </is>
      </c>
      <c r="B8" s="3" t="inlineStr">
        <is>
          <t>2026-S30</t>
        </is>
      </c>
      <c r="C8" s="3">
        <f>_xlfn.XLOOKUP(tblSegHH[[#This Row],[tecnico]],tblTecnicos[nombre],tblTecnicos[especialidad],"")</f>
        <v/>
      </c>
      <c r="D8" s="3">
        <f>_xlfn.XLOOKUP(tblSegHH[[#This Row],[semana]]&amp;"|lunes|"&amp;tblSegHH[[#This Row],[tecnico]],tblAsignaciones[clave],tblAsignaciones[posicion_ciclo],"")</f>
        <v/>
      </c>
      <c r="E8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8" s="3">
        <f>p_base_semanal_horas</f>
        <v/>
      </c>
      <c r="G8" s="3">
        <f>tblSegHH[[#This Row],[horas_reales]]-tblSegHH[[#This Row],[base_semanal]]</f>
        <v/>
      </c>
    </row>
    <row r="9">
      <c r="A9" s="3" t="inlineStr">
        <is>
          <t>Técnico 02</t>
        </is>
      </c>
      <c r="B9" s="3" t="inlineStr">
        <is>
          <t>2026-S31</t>
        </is>
      </c>
      <c r="C9" s="3">
        <f>_xlfn.XLOOKUP(tblSegHH[[#This Row],[tecnico]],tblTecnicos[nombre],tblTecnicos[especialidad],"")</f>
        <v/>
      </c>
      <c r="D9" s="3">
        <f>_xlfn.XLOOKUP(tblSegHH[[#This Row],[semana]]&amp;"|lunes|"&amp;tblSegHH[[#This Row],[tecnico]],tblAsignaciones[clave],tblAsignaciones[posicion_ciclo],"")</f>
        <v/>
      </c>
      <c r="E9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9" s="3">
        <f>p_base_semanal_horas</f>
        <v/>
      </c>
      <c r="G9" s="3">
        <f>tblSegHH[[#This Row],[horas_reales]]-tblSegHH[[#This Row],[base_semanal]]</f>
        <v/>
      </c>
    </row>
    <row r="10">
      <c r="A10" s="3" t="inlineStr">
        <is>
          <t>Técnico 02</t>
        </is>
      </c>
      <c r="B10" s="3" t="inlineStr">
        <is>
          <t>2026-S32</t>
        </is>
      </c>
      <c r="C10" s="3">
        <f>_xlfn.XLOOKUP(tblSegHH[[#This Row],[tecnico]],tblTecnicos[nombre],tblTecnicos[especialidad],"")</f>
        <v/>
      </c>
      <c r="D10" s="3">
        <f>_xlfn.XLOOKUP(tblSegHH[[#This Row],[semana]]&amp;"|lunes|"&amp;tblSegHH[[#This Row],[tecnico]],tblAsignaciones[clave],tblAsignaciones[posicion_ciclo],"")</f>
        <v/>
      </c>
      <c r="E10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0" s="3">
        <f>p_base_semanal_horas</f>
        <v/>
      </c>
      <c r="G10" s="3">
        <f>tblSegHH[[#This Row],[horas_reales]]-tblSegHH[[#This Row],[base_semanal]]</f>
        <v/>
      </c>
    </row>
    <row r="11">
      <c r="A11" s="3" t="inlineStr">
        <is>
          <t>Técnico 02</t>
        </is>
      </c>
      <c r="B11" s="3" t="inlineStr">
        <is>
          <t>2026-S33</t>
        </is>
      </c>
      <c r="C11" s="3">
        <f>_xlfn.XLOOKUP(tblSegHH[[#This Row],[tecnico]],tblTecnicos[nombre],tblTecnicos[especialidad],"")</f>
        <v/>
      </c>
      <c r="D11" s="3">
        <f>_xlfn.XLOOKUP(tblSegHH[[#This Row],[semana]]&amp;"|lunes|"&amp;tblSegHH[[#This Row],[tecnico]],tblAsignaciones[clave],tblAsignaciones[posicion_ciclo],"")</f>
        <v/>
      </c>
      <c r="E11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1" s="3">
        <f>p_base_semanal_horas</f>
        <v/>
      </c>
      <c r="G11" s="3">
        <f>tblSegHH[[#This Row],[horas_reales]]-tblSegHH[[#This Row],[base_semanal]]</f>
        <v/>
      </c>
    </row>
    <row r="12">
      <c r="A12" s="3" t="inlineStr">
        <is>
          <t>Técnico 03</t>
        </is>
      </c>
      <c r="B12" s="3" t="inlineStr">
        <is>
          <t>2026-S30</t>
        </is>
      </c>
      <c r="C12" s="3">
        <f>_xlfn.XLOOKUP(tblSegHH[[#This Row],[tecnico]],tblTecnicos[nombre],tblTecnicos[especialidad],"")</f>
        <v/>
      </c>
      <c r="D12" s="3">
        <f>_xlfn.XLOOKUP(tblSegHH[[#This Row],[semana]]&amp;"|lunes|"&amp;tblSegHH[[#This Row],[tecnico]],tblAsignaciones[clave],tblAsignaciones[posicion_ciclo],"")</f>
        <v/>
      </c>
      <c r="E12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2" s="3">
        <f>p_base_semanal_horas</f>
        <v/>
      </c>
      <c r="G12" s="3">
        <f>tblSegHH[[#This Row],[horas_reales]]-tblSegHH[[#This Row],[base_semanal]]</f>
        <v/>
      </c>
    </row>
    <row r="13">
      <c r="A13" s="3" t="inlineStr">
        <is>
          <t>Técnico 03</t>
        </is>
      </c>
      <c r="B13" s="3" t="inlineStr">
        <is>
          <t>2026-S31</t>
        </is>
      </c>
      <c r="C13" s="3">
        <f>_xlfn.XLOOKUP(tblSegHH[[#This Row],[tecnico]],tblTecnicos[nombre],tblTecnicos[especialidad],"")</f>
        <v/>
      </c>
      <c r="D13" s="3">
        <f>_xlfn.XLOOKUP(tblSegHH[[#This Row],[semana]]&amp;"|lunes|"&amp;tblSegHH[[#This Row],[tecnico]],tblAsignaciones[clave],tblAsignaciones[posicion_ciclo],"")</f>
        <v/>
      </c>
      <c r="E13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3" s="3">
        <f>p_base_semanal_horas</f>
        <v/>
      </c>
      <c r="G13" s="3">
        <f>tblSegHH[[#This Row],[horas_reales]]-tblSegHH[[#This Row],[base_semanal]]</f>
        <v/>
      </c>
    </row>
    <row r="14">
      <c r="A14" s="3" t="inlineStr">
        <is>
          <t>Técnico 03</t>
        </is>
      </c>
      <c r="B14" s="3" t="inlineStr">
        <is>
          <t>2026-S32</t>
        </is>
      </c>
      <c r="C14" s="3">
        <f>_xlfn.XLOOKUP(tblSegHH[[#This Row],[tecnico]],tblTecnicos[nombre],tblTecnicos[especialidad],"")</f>
        <v/>
      </c>
      <c r="D14" s="3">
        <f>_xlfn.XLOOKUP(tblSegHH[[#This Row],[semana]]&amp;"|lunes|"&amp;tblSegHH[[#This Row],[tecnico]],tblAsignaciones[clave],tblAsignaciones[posicion_ciclo],"")</f>
        <v/>
      </c>
      <c r="E14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4" s="3">
        <f>p_base_semanal_horas</f>
        <v/>
      </c>
      <c r="G14" s="3">
        <f>tblSegHH[[#This Row],[horas_reales]]-tblSegHH[[#This Row],[base_semanal]]</f>
        <v/>
      </c>
    </row>
    <row r="15">
      <c r="A15" s="3" t="inlineStr">
        <is>
          <t>Técnico 03</t>
        </is>
      </c>
      <c r="B15" s="3" t="inlineStr">
        <is>
          <t>2026-S33</t>
        </is>
      </c>
      <c r="C15" s="3">
        <f>_xlfn.XLOOKUP(tblSegHH[[#This Row],[tecnico]],tblTecnicos[nombre],tblTecnicos[especialidad],"")</f>
        <v/>
      </c>
      <c r="D15" s="3">
        <f>_xlfn.XLOOKUP(tblSegHH[[#This Row],[semana]]&amp;"|lunes|"&amp;tblSegHH[[#This Row],[tecnico]],tblAsignaciones[clave],tblAsignaciones[posicion_ciclo],"")</f>
        <v/>
      </c>
      <c r="E15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5" s="3">
        <f>p_base_semanal_horas</f>
        <v/>
      </c>
      <c r="G15" s="3">
        <f>tblSegHH[[#This Row],[horas_reales]]-tblSegHH[[#This Row],[base_semanal]]</f>
        <v/>
      </c>
    </row>
    <row r="16">
      <c r="A16" s="3" t="inlineStr">
        <is>
          <t>Técnico 04</t>
        </is>
      </c>
      <c r="B16" s="3" t="inlineStr">
        <is>
          <t>2026-S30</t>
        </is>
      </c>
      <c r="C16" s="3">
        <f>_xlfn.XLOOKUP(tblSegHH[[#This Row],[tecnico]],tblTecnicos[nombre],tblTecnicos[especialidad],"")</f>
        <v/>
      </c>
      <c r="D16" s="3">
        <f>_xlfn.XLOOKUP(tblSegHH[[#This Row],[semana]]&amp;"|lunes|"&amp;tblSegHH[[#This Row],[tecnico]],tblAsignaciones[clave],tblAsignaciones[posicion_ciclo],"")</f>
        <v/>
      </c>
      <c r="E16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6" s="3">
        <f>p_base_semanal_horas</f>
        <v/>
      </c>
      <c r="G16" s="3">
        <f>tblSegHH[[#This Row],[horas_reales]]-tblSegHH[[#This Row],[base_semanal]]</f>
        <v/>
      </c>
    </row>
    <row r="17">
      <c r="A17" s="3" t="inlineStr">
        <is>
          <t>Técnico 04</t>
        </is>
      </c>
      <c r="B17" s="3" t="inlineStr">
        <is>
          <t>2026-S31</t>
        </is>
      </c>
      <c r="C17" s="3">
        <f>_xlfn.XLOOKUP(tblSegHH[[#This Row],[tecnico]],tblTecnicos[nombre],tblTecnicos[especialidad],"")</f>
        <v/>
      </c>
      <c r="D17" s="3">
        <f>_xlfn.XLOOKUP(tblSegHH[[#This Row],[semana]]&amp;"|lunes|"&amp;tblSegHH[[#This Row],[tecnico]],tblAsignaciones[clave],tblAsignaciones[posicion_ciclo],"")</f>
        <v/>
      </c>
      <c r="E17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7" s="3">
        <f>p_base_semanal_horas</f>
        <v/>
      </c>
      <c r="G17" s="3">
        <f>tblSegHH[[#This Row],[horas_reales]]-tblSegHH[[#This Row],[base_semanal]]</f>
        <v/>
      </c>
    </row>
    <row r="18">
      <c r="A18" s="3" t="inlineStr">
        <is>
          <t>Técnico 04</t>
        </is>
      </c>
      <c r="B18" s="3" t="inlineStr">
        <is>
          <t>2026-S32</t>
        </is>
      </c>
      <c r="C18" s="3">
        <f>_xlfn.XLOOKUP(tblSegHH[[#This Row],[tecnico]],tblTecnicos[nombre],tblTecnicos[especialidad],"")</f>
        <v/>
      </c>
      <c r="D18" s="3">
        <f>_xlfn.XLOOKUP(tblSegHH[[#This Row],[semana]]&amp;"|lunes|"&amp;tblSegHH[[#This Row],[tecnico]],tblAsignaciones[clave],tblAsignaciones[posicion_ciclo],"")</f>
        <v/>
      </c>
      <c r="E18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8" s="3">
        <f>p_base_semanal_horas</f>
        <v/>
      </c>
      <c r="G18" s="3">
        <f>tblSegHH[[#This Row],[horas_reales]]-tblSegHH[[#This Row],[base_semanal]]</f>
        <v/>
      </c>
    </row>
    <row r="19">
      <c r="A19" s="3" t="inlineStr">
        <is>
          <t>Técnico 04</t>
        </is>
      </c>
      <c r="B19" s="3" t="inlineStr">
        <is>
          <t>2026-S33</t>
        </is>
      </c>
      <c r="C19" s="3">
        <f>_xlfn.XLOOKUP(tblSegHH[[#This Row],[tecnico]],tblTecnicos[nombre],tblTecnicos[especialidad],"")</f>
        <v/>
      </c>
      <c r="D19" s="3">
        <f>_xlfn.XLOOKUP(tblSegHH[[#This Row],[semana]]&amp;"|lunes|"&amp;tblSegHH[[#This Row],[tecnico]],tblAsignaciones[clave],tblAsignaciones[posicion_ciclo],"")</f>
        <v/>
      </c>
      <c r="E19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19" s="3">
        <f>p_base_semanal_horas</f>
        <v/>
      </c>
      <c r="G19" s="3">
        <f>tblSegHH[[#This Row],[horas_reales]]-tblSegHH[[#This Row],[base_semanal]]</f>
        <v/>
      </c>
    </row>
    <row r="20">
      <c r="A20" s="3" t="inlineStr">
        <is>
          <t>Técnico 05</t>
        </is>
      </c>
      <c r="B20" s="3" t="inlineStr">
        <is>
          <t>2026-S30</t>
        </is>
      </c>
      <c r="C20" s="3">
        <f>_xlfn.XLOOKUP(tblSegHH[[#This Row],[tecnico]],tblTecnicos[nombre],tblTecnicos[especialidad],"")</f>
        <v/>
      </c>
      <c r="D20" s="3">
        <f>_xlfn.XLOOKUP(tblSegHH[[#This Row],[semana]]&amp;"|lunes|"&amp;tblSegHH[[#This Row],[tecnico]],tblAsignaciones[clave],tblAsignaciones[posicion_ciclo],"")</f>
        <v/>
      </c>
      <c r="E20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0" s="3">
        <f>p_base_semanal_horas</f>
        <v/>
      </c>
      <c r="G20" s="3">
        <f>tblSegHH[[#This Row],[horas_reales]]-tblSegHH[[#This Row],[base_semanal]]</f>
        <v/>
      </c>
    </row>
    <row r="21">
      <c r="A21" s="3" t="inlineStr">
        <is>
          <t>Técnico 05</t>
        </is>
      </c>
      <c r="B21" s="3" t="inlineStr">
        <is>
          <t>2026-S31</t>
        </is>
      </c>
      <c r="C21" s="3">
        <f>_xlfn.XLOOKUP(tblSegHH[[#This Row],[tecnico]],tblTecnicos[nombre],tblTecnicos[especialidad],"")</f>
        <v/>
      </c>
      <c r="D21" s="3">
        <f>_xlfn.XLOOKUP(tblSegHH[[#This Row],[semana]]&amp;"|lunes|"&amp;tblSegHH[[#This Row],[tecnico]],tblAsignaciones[clave],tblAsignaciones[posicion_ciclo],"")</f>
        <v/>
      </c>
      <c r="E21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1" s="3">
        <f>p_base_semanal_horas</f>
        <v/>
      </c>
      <c r="G21" s="3">
        <f>tblSegHH[[#This Row],[horas_reales]]-tblSegHH[[#This Row],[base_semanal]]</f>
        <v/>
      </c>
    </row>
    <row r="22">
      <c r="A22" s="3" t="inlineStr">
        <is>
          <t>Técnico 05</t>
        </is>
      </c>
      <c r="B22" s="3" t="inlineStr">
        <is>
          <t>2026-S32</t>
        </is>
      </c>
      <c r="C22" s="3">
        <f>_xlfn.XLOOKUP(tblSegHH[[#This Row],[tecnico]],tblTecnicos[nombre],tblTecnicos[especialidad],"")</f>
        <v/>
      </c>
      <c r="D22" s="3">
        <f>_xlfn.XLOOKUP(tblSegHH[[#This Row],[semana]]&amp;"|lunes|"&amp;tblSegHH[[#This Row],[tecnico]],tblAsignaciones[clave],tblAsignaciones[posicion_ciclo],"")</f>
        <v/>
      </c>
      <c r="E22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2" s="3">
        <f>p_base_semanal_horas</f>
        <v/>
      </c>
      <c r="G22" s="3">
        <f>tblSegHH[[#This Row],[horas_reales]]-tblSegHH[[#This Row],[base_semanal]]</f>
        <v/>
      </c>
    </row>
    <row r="23">
      <c r="A23" s="3" t="inlineStr">
        <is>
          <t>Técnico 05</t>
        </is>
      </c>
      <c r="B23" s="3" t="inlineStr">
        <is>
          <t>2026-S33</t>
        </is>
      </c>
      <c r="C23" s="3">
        <f>_xlfn.XLOOKUP(tblSegHH[[#This Row],[tecnico]],tblTecnicos[nombre],tblTecnicos[especialidad],"")</f>
        <v/>
      </c>
      <c r="D23" s="3">
        <f>_xlfn.XLOOKUP(tblSegHH[[#This Row],[semana]]&amp;"|lunes|"&amp;tblSegHH[[#This Row],[tecnico]],tblAsignaciones[clave],tblAsignaciones[posicion_ciclo],"")</f>
        <v/>
      </c>
      <c r="E23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3" s="3">
        <f>p_base_semanal_horas</f>
        <v/>
      </c>
      <c r="G23" s="3">
        <f>tblSegHH[[#This Row],[horas_reales]]-tblSegHH[[#This Row],[base_semanal]]</f>
        <v/>
      </c>
    </row>
    <row r="24">
      <c r="A24" s="3" t="inlineStr">
        <is>
          <t>Técnico 06</t>
        </is>
      </c>
      <c r="B24" s="3" t="inlineStr">
        <is>
          <t>2026-S30</t>
        </is>
      </c>
      <c r="C24" s="3">
        <f>_xlfn.XLOOKUP(tblSegHH[[#This Row],[tecnico]],tblTecnicos[nombre],tblTecnicos[especialidad],"")</f>
        <v/>
      </c>
      <c r="D24" s="3">
        <f>_xlfn.XLOOKUP(tblSegHH[[#This Row],[semana]]&amp;"|lunes|"&amp;tblSegHH[[#This Row],[tecnico]],tblAsignaciones[clave],tblAsignaciones[posicion_ciclo],"")</f>
        <v/>
      </c>
      <c r="E24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4" s="3">
        <f>p_base_semanal_horas</f>
        <v/>
      </c>
      <c r="G24" s="3">
        <f>tblSegHH[[#This Row],[horas_reales]]-tblSegHH[[#This Row],[base_semanal]]</f>
        <v/>
      </c>
    </row>
    <row r="25">
      <c r="A25" s="3" t="inlineStr">
        <is>
          <t>Técnico 06</t>
        </is>
      </c>
      <c r="B25" s="3" t="inlineStr">
        <is>
          <t>2026-S31</t>
        </is>
      </c>
      <c r="C25" s="3">
        <f>_xlfn.XLOOKUP(tblSegHH[[#This Row],[tecnico]],tblTecnicos[nombre],tblTecnicos[especialidad],"")</f>
        <v/>
      </c>
      <c r="D25" s="3">
        <f>_xlfn.XLOOKUP(tblSegHH[[#This Row],[semana]]&amp;"|lunes|"&amp;tblSegHH[[#This Row],[tecnico]],tblAsignaciones[clave],tblAsignaciones[posicion_ciclo],"")</f>
        <v/>
      </c>
      <c r="E25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5" s="3">
        <f>p_base_semanal_horas</f>
        <v/>
      </c>
      <c r="G25" s="3">
        <f>tblSegHH[[#This Row],[horas_reales]]-tblSegHH[[#This Row],[base_semanal]]</f>
        <v/>
      </c>
    </row>
    <row r="26">
      <c r="A26" s="3" t="inlineStr">
        <is>
          <t>Técnico 06</t>
        </is>
      </c>
      <c r="B26" s="3" t="inlineStr">
        <is>
          <t>2026-S32</t>
        </is>
      </c>
      <c r="C26" s="3">
        <f>_xlfn.XLOOKUP(tblSegHH[[#This Row],[tecnico]],tblTecnicos[nombre],tblTecnicos[especialidad],"")</f>
        <v/>
      </c>
      <c r="D26" s="3">
        <f>_xlfn.XLOOKUP(tblSegHH[[#This Row],[semana]]&amp;"|lunes|"&amp;tblSegHH[[#This Row],[tecnico]],tblAsignaciones[clave],tblAsignaciones[posicion_ciclo],"")</f>
        <v/>
      </c>
      <c r="E26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6" s="3">
        <f>p_base_semanal_horas</f>
        <v/>
      </c>
      <c r="G26" s="3">
        <f>tblSegHH[[#This Row],[horas_reales]]-tblSegHH[[#This Row],[base_semanal]]</f>
        <v/>
      </c>
    </row>
    <row r="27">
      <c r="A27" s="3" t="inlineStr">
        <is>
          <t>Técnico 06</t>
        </is>
      </c>
      <c r="B27" s="3" t="inlineStr">
        <is>
          <t>2026-S33</t>
        </is>
      </c>
      <c r="C27" s="3">
        <f>_xlfn.XLOOKUP(tblSegHH[[#This Row],[tecnico]],tblTecnicos[nombre],tblTecnicos[especialidad],"")</f>
        <v/>
      </c>
      <c r="D27" s="3">
        <f>_xlfn.XLOOKUP(tblSegHH[[#This Row],[semana]]&amp;"|lunes|"&amp;tblSegHH[[#This Row],[tecnico]],tblAsignaciones[clave],tblAsignaciones[posicion_ciclo],"")</f>
        <v/>
      </c>
      <c r="E27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7" s="3">
        <f>p_base_semanal_horas</f>
        <v/>
      </c>
      <c r="G27" s="3">
        <f>tblSegHH[[#This Row],[horas_reales]]-tblSegHH[[#This Row],[base_semanal]]</f>
        <v/>
      </c>
    </row>
    <row r="28">
      <c r="A28" s="3" t="inlineStr">
        <is>
          <t>Técnico 07</t>
        </is>
      </c>
      <c r="B28" s="3" t="inlineStr">
        <is>
          <t>2026-S30</t>
        </is>
      </c>
      <c r="C28" s="3">
        <f>_xlfn.XLOOKUP(tblSegHH[[#This Row],[tecnico]],tblTecnicos[nombre],tblTecnicos[especialidad],"")</f>
        <v/>
      </c>
      <c r="D28" s="3">
        <f>_xlfn.XLOOKUP(tblSegHH[[#This Row],[semana]]&amp;"|lunes|"&amp;tblSegHH[[#This Row],[tecnico]],tblAsignaciones[clave],tblAsignaciones[posicion_ciclo],"")</f>
        <v/>
      </c>
      <c r="E28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8" s="3">
        <f>p_base_semanal_horas</f>
        <v/>
      </c>
      <c r="G28" s="3">
        <f>tblSegHH[[#This Row],[horas_reales]]-tblSegHH[[#This Row],[base_semanal]]</f>
        <v/>
      </c>
    </row>
    <row r="29">
      <c r="A29" s="3" t="inlineStr">
        <is>
          <t>Técnico 07</t>
        </is>
      </c>
      <c r="B29" s="3" t="inlineStr">
        <is>
          <t>2026-S31</t>
        </is>
      </c>
      <c r="C29" s="3">
        <f>_xlfn.XLOOKUP(tblSegHH[[#This Row],[tecnico]],tblTecnicos[nombre],tblTecnicos[especialidad],"")</f>
        <v/>
      </c>
      <c r="D29" s="3">
        <f>_xlfn.XLOOKUP(tblSegHH[[#This Row],[semana]]&amp;"|lunes|"&amp;tblSegHH[[#This Row],[tecnico]],tblAsignaciones[clave],tblAsignaciones[posicion_ciclo],"")</f>
        <v/>
      </c>
      <c r="E29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29" s="3">
        <f>p_base_semanal_horas</f>
        <v/>
      </c>
      <c r="G29" s="3">
        <f>tblSegHH[[#This Row],[horas_reales]]-tblSegHH[[#This Row],[base_semanal]]</f>
        <v/>
      </c>
    </row>
    <row r="30">
      <c r="A30" s="3" t="inlineStr">
        <is>
          <t>Técnico 07</t>
        </is>
      </c>
      <c r="B30" s="3" t="inlineStr">
        <is>
          <t>2026-S32</t>
        </is>
      </c>
      <c r="C30" s="3">
        <f>_xlfn.XLOOKUP(tblSegHH[[#This Row],[tecnico]],tblTecnicos[nombre],tblTecnicos[especialidad],"")</f>
        <v/>
      </c>
      <c r="D30" s="3">
        <f>_xlfn.XLOOKUP(tblSegHH[[#This Row],[semana]]&amp;"|lunes|"&amp;tblSegHH[[#This Row],[tecnico]],tblAsignaciones[clave],tblAsignaciones[posicion_ciclo],"")</f>
        <v/>
      </c>
      <c r="E30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0" s="3">
        <f>p_base_semanal_horas</f>
        <v/>
      </c>
      <c r="G30" s="3">
        <f>tblSegHH[[#This Row],[horas_reales]]-tblSegHH[[#This Row],[base_semanal]]</f>
        <v/>
      </c>
    </row>
    <row r="31">
      <c r="A31" s="3" t="inlineStr">
        <is>
          <t>Técnico 07</t>
        </is>
      </c>
      <c r="B31" s="3" t="inlineStr">
        <is>
          <t>2026-S33</t>
        </is>
      </c>
      <c r="C31" s="3">
        <f>_xlfn.XLOOKUP(tblSegHH[[#This Row],[tecnico]],tblTecnicos[nombre],tblTecnicos[especialidad],"")</f>
        <v/>
      </c>
      <c r="D31" s="3">
        <f>_xlfn.XLOOKUP(tblSegHH[[#This Row],[semana]]&amp;"|lunes|"&amp;tblSegHH[[#This Row],[tecnico]],tblAsignaciones[clave],tblAsignaciones[posicion_ciclo],"")</f>
        <v/>
      </c>
      <c r="E31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1" s="3">
        <f>p_base_semanal_horas</f>
        <v/>
      </c>
      <c r="G31" s="3">
        <f>tblSegHH[[#This Row],[horas_reales]]-tblSegHH[[#This Row],[base_semanal]]</f>
        <v/>
      </c>
    </row>
    <row r="32">
      <c r="A32" s="3" t="inlineStr">
        <is>
          <t>Técnico 08</t>
        </is>
      </c>
      <c r="B32" s="3" t="inlineStr">
        <is>
          <t>2026-S30</t>
        </is>
      </c>
      <c r="C32" s="3">
        <f>_xlfn.XLOOKUP(tblSegHH[[#This Row],[tecnico]],tblTecnicos[nombre],tblTecnicos[especialidad],"")</f>
        <v/>
      </c>
      <c r="D32" s="3">
        <f>_xlfn.XLOOKUP(tblSegHH[[#This Row],[semana]]&amp;"|lunes|"&amp;tblSegHH[[#This Row],[tecnico]],tblAsignaciones[clave],tblAsignaciones[posicion_ciclo],"")</f>
        <v/>
      </c>
      <c r="E32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2" s="3">
        <f>p_base_semanal_horas</f>
        <v/>
      </c>
      <c r="G32" s="3">
        <f>tblSegHH[[#This Row],[horas_reales]]-tblSegHH[[#This Row],[base_semanal]]</f>
        <v/>
      </c>
    </row>
    <row r="33">
      <c r="A33" s="3" t="inlineStr">
        <is>
          <t>Técnico 08</t>
        </is>
      </c>
      <c r="B33" s="3" t="inlineStr">
        <is>
          <t>2026-S31</t>
        </is>
      </c>
      <c r="C33" s="3">
        <f>_xlfn.XLOOKUP(tblSegHH[[#This Row],[tecnico]],tblTecnicos[nombre],tblTecnicos[especialidad],"")</f>
        <v/>
      </c>
      <c r="D33" s="3">
        <f>_xlfn.XLOOKUP(tblSegHH[[#This Row],[semana]]&amp;"|lunes|"&amp;tblSegHH[[#This Row],[tecnico]],tblAsignaciones[clave],tblAsignaciones[posicion_ciclo],"")</f>
        <v/>
      </c>
      <c r="E33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3" s="3">
        <f>p_base_semanal_horas</f>
        <v/>
      </c>
      <c r="G33" s="3">
        <f>tblSegHH[[#This Row],[horas_reales]]-tblSegHH[[#This Row],[base_semanal]]</f>
        <v/>
      </c>
    </row>
    <row r="34">
      <c r="A34" s="3" t="inlineStr">
        <is>
          <t>Técnico 08</t>
        </is>
      </c>
      <c r="B34" s="3" t="inlineStr">
        <is>
          <t>2026-S32</t>
        </is>
      </c>
      <c r="C34" s="3">
        <f>_xlfn.XLOOKUP(tblSegHH[[#This Row],[tecnico]],tblTecnicos[nombre],tblTecnicos[especialidad],"")</f>
        <v/>
      </c>
      <c r="D34" s="3">
        <f>_xlfn.XLOOKUP(tblSegHH[[#This Row],[semana]]&amp;"|lunes|"&amp;tblSegHH[[#This Row],[tecnico]],tblAsignaciones[clave],tblAsignaciones[posicion_ciclo],"")</f>
        <v/>
      </c>
      <c r="E34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4" s="3">
        <f>p_base_semanal_horas</f>
        <v/>
      </c>
      <c r="G34" s="3">
        <f>tblSegHH[[#This Row],[horas_reales]]-tblSegHH[[#This Row],[base_semanal]]</f>
        <v/>
      </c>
    </row>
    <row r="35">
      <c r="A35" s="3" t="inlineStr">
        <is>
          <t>Técnico 08</t>
        </is>
      </c>
      <c r="B35" s="3" t="inlineStr">
        <is>
          <t>2026-S33</t>
        </is>
      </c>
      <c r="C35" s="3">
        <f>_xlfn.XLOOKUP(tblSegHH[[#This Row],[tecnico]],tblTecnicos[nombre],tblTecnicos[especialidad],"")</f>
        <v/>
      </c>
      <c r="D35" s="3">
        <f>_xlfn.XLOOKUP(tblSegHH[[#This Row],[semana]]&amp;"|lunes|"&amp;tblSegHH[[#This Row],[tecnico]],tblAsignaciones[clave],tblAsignaciones[posicion_ciclo],"")</f>
        <v/>
      </c>
      <c r="E35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5" s="3">
        <f>p_base_semanal_horas</f>
        <v/>
      </c>
      <c r="G35" s="3">
        <f>tblSegHH[[#This Row],[horas_reales]]-tblSegHH[[#This Row],[base_semanal]]</f>
        <v/>
      </c>
    </row>
    <row r="36">
      <c r="A36" s="3" t="inlineStr">
        <is>
          <t>Técnico 09</t>
        </is>
      </c>
      <c r="B36" s="3" t="inlineStr">
        <is>
          <t>2026-S30</t>
        </is>
      </c>
      <c r="C36" s="3">
        <f>_xlfn.XLOOKUP(tblSegHH[[#This Row],[tecnico]],tblTecnicos[nombre],tblTecnicos[especialidad],"")</f>
        <v/>
      </c>
      <c r="D36" s="3">
        <f>_xlfn.XLOOKUP(tblSegHH[[#This Row],[semana]]&amp;"|lunes|"&amp;tblSegHH[[#This Row],[tecnico]],tblAsignaciones[clave],tblAsignaciones[posicion_ciclo],"")</f>
        <v/>
      </c>
      <c r="E36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6" s="3">
        <f>p_base_semanal_horas</f>
        <v/>
      </c>
      <c r="G36" s="3">
        <f>tblSegHH[[#This Row],[horas_reales]]-tblSegHH[[#This Row],[base_semanal]]</f>
        <v/>
      </c>
    </row>
    <row r="37">
      <c r="A37" s="3" t="inlineStr">
        <is>
          <t>Técnico 09</t>
        </is>
      </c>
      <c r="B37" s="3" t="inlineStr">
        <is>
          <t>2026-S31</t>
        </is>
      </c>
      <c r="C37" s="3">
        <f>_xlfn.XLOOKUP(tblSegHH[[#This Row],[tecnico]],tblTecnicos[nombre],tblTecnicos[especialidad],"")</f>
        <v/>
      </c>
      <c r="D37" s="3">
        <f>_xlfn.XLOOKUP(tblSegHH[[#This Row],[semana]]&amp;"|lunes|"&amp;tblSegHH[[#This Row],[tecnico]],tblAsignaciones[clave],tblAsignaciones[posicion_ciclo],"")</f>
        <v/>
      </c>
      <c r="E37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7" s="3">
        <f>p_base_semanal_horas</f>
        <v/>
      </c>
      <c r="G37" s="3">
        <f>tblSegHH[[#This Row],[horas_reales]]-tblSegHH[[#This Row],[base_semanal]]</f>
        <v/>
      </c>
    </row>
    <row r="38">
      <c r="A38" s="3" t="inlineStr">
        <is>
          <t>Técnico 09</t>
        </is>
      </c>
      <c r="B38" s="3" t="inlineStr">
        <is>
          <t>2026-S32</t>
        </is>
      </c>
      <c r="C38" s="3">
        <f>_xlfn.XLOOKUP(tblSegHH[[#This Row],[tecnico]],tblTecnicos[nombre],tblTecnicos[especialidad],"")</f>
        <v/>
      </c>
      <c r="D38" s="3">
        <f>_xlfn.XLOOKUP(tblSegHH[[#This Row],[semana]]&amp;"|lunes|"&amp;tblSegHH[[#This Row],[tecnico]],tblAsignaciones[clave],tblAsignaciones[posicion_ciclo],"")</f>
        <v/>
      </c>
      <c r="E38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8" s="3">
        <f>p_base_semanal_horas</f>
        <v/>
      </c>
      <c r="G38" s="3">
        <f>tblSegHH[[#This Row],[horas_reales]]-tblSegHH[[#This Row],[base_semanal]]</f>
        <v/>
      </c>
    </row>
    <row r="39">
      <c r="A39" s="3" t="inlineStr">
        <is>
          <t>Técnico 09</t>
        </is>
      </c>
      <c r="B39" s="3" t="inlineStr">
        <is>
          <t>2026-S33</t>
        </is>
      </c>
      <c r="C39" s="3">
        <f>_xlfn.XLOOKUP(tblSegHH[[#This Row],[tecnico]],tblTecnicos[nombre],tblTecnicos[especialidad],"")</f>
        <v/>
      </c>
      <c r="D39" s="3">
        <f>_xlfn.XLOOKUP(tblSegHH[[#This Row],[semana]]&amp;"|lunes|"&amp;tblSegHH[[#This Row],[tecnico]],tblAsignaciones[clave],tblAsignaciones[posicion_ciclo],"")</f>
        <v/>
      </c>
      <c r="E39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39" s="3">
        <f>p_base_semanal_horas</f>
        <v/>
      </c>
      <c r="G39" s="3">
        <f>tblSegHH[[#This Row],[horas_reales]]-tblSegHH[[#This Row],[base_semanal]]</f>
        <v/>
      </c>
    </row>
    <row r="40">
      <c r="A40" s="3" t="inlineStr">
        <is>
          <t>Técnico 10</t>
        </is>
      </c>
      <c r="B40" s="3" t="inlineStr">
        <is>
          <t>2026-S30</t>
        </is>
      </c>
      <c r="C40" s="3">
        <f>_xlfn.XLOOKUP(tblSegHH[[#This Row],[tecnico]],tblTecnicos[nombre],tblTecnicos[especialidad],"")</f>
        <v/>
      </c>
      <c r="D40" s="3">
        <f>_xlfn.XLOOKUP(tblSegHH[[#This Row],[semana]]&amp;"|lunes|"&amp;tblSegHH[[#This Row],[tecnico]],tblAsignaciones[clave],tblAsignaciones[posicion_ciclo],"")</f>
        <v/>
      </c>
      <c r="E40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0" s="3">
        <f>p_base_semanal_horas</f>
        <v/>
      </c>
      <c r="G40" s="3">
        <f>tblSegHH[[#This Row],[horas_reales]]-tblSegHH[[#This Row],[base_semanal]]</f>
        <v/>
      </c>
    </row>
    <row r="41">
      <c r="A41" s="3" t="inlineStr">
        <is>
          <t>Técnico 10</t>
        </is>
      </c>
      <c r="B41" s="3" t="inlineStr">
        <is>
          <t>2026-S31</t>
        </is>
      </c>
      <c r="C41" s="3">
        <f>_xlfn.XLOOKUP(tblSegHH[[#This Row],[tecnico]],tblTecnicos[nombre],tblTecnicos[especialidad],"")</f>
        <v/>
      </c>
      <c r="D41" s="3">
        <f>_xlfn.XLOOKUP(tblSegHH[[#This Row],[semana]]&amp;"|lunes|"&amp;tblSegHH[[#This Row],[tecnico]],tblAsignaciones[clave],tblAsignaciones[posicion_ciclo],"")</f>
        <v/>
      </c>
      <c r="E41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1" s="3">
        <f>p_base_semanal_horas</f>
        <v/>
      </c>
      <c r="G41" s="3">
        <f>tblSegHH[[#This Row],[horas_reales]]-tblSegHH[[#This Row],[base_semanal]]</f>
        <v/>
      </c>
    </row>
    <row r="42">
      <c r="A42" s="3" t="inlineStr">
        <is>
          <t>Técnico 10</t>
        </is>
      </c>
      <c r="B42" s="3" t="inlineStr">
        <is>
          <t>2026-S32</t>
        </is>
      </c>
      <c r="C42" s="3">
        <f>_xlfn.XLOOKUP(tblSegHH[[#This Row],[tecnico]],tblTecnicos[nombre],tblTecnicos[especialidad],"")</f>
        <v/>
      </c>
      <c r="D42" s="3">
        <f>_xlfn.XLOOKUP(tblSegHH[[#This Row],[semana]]&amp;"|lunes|"&amp;tblSegHH[[#This Row],[tecnico]],tblAsignaciones[clave],tblAsignaciones[posicion_ciclo],"")</f>
        <v/>
      </c>
      <c r="E42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2" s="3">
        <f>p_base_semanal_horas</f>
        <v/>
      </c>
      <c r="G42" s="3">
        <f>tblSegHH[[#This Row],[horas_reales]]-tblSegHH[[#This Row],[base_semanal]]</f>
        <v/>
      </c>
    </row>
    <row r="43">
      <c r="A43" s="3" t="inlineStr">
        <is>
          <t>Técnico 10</t>
        </is>
      </c>
      <c r="B43" s="3" t="inlineStr">
        <is>
          <t>2026-S33</t>
        </is>
      </c>
      <c r="C43" s="3">
        <f>_xlfn.XLOOKUP(tblSegHH[[#This Row],[tecnico]],tblTecnicos[nombre],tblTecnicos[especialidad],"")</f>
        <v/>
      </c>
      <c r="D43" s="3">
        <f>_xlfn.XLOOKUP(tblSegHH[[#This Row],[semana]]&amp;"|lunes|"&amp;tblSegHH[[#This Row],[tecnico]],tblAsignaciones[clave],tblAsignaciones[posicion_ciclo],"")</f>
        <v/>
      </c>
      <c r="E43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3" s="3">
        <f>p_base_semanal_horas</f>
        <v/>
      </c>
      <c r="G43" s="3">
        <f>tblSegHH[[#This Row],[horas_reales]]-tblSegHH[[#This Row],[base_semanal]]</f>
        <v/>
      </c>
    </row>
    <row r="44">
      <c r="A44" s="3" t="inlineStr">
        <is>
          <t>Técnico 11</t>
        </is>
      </c>
      <c r="B44" s="3" t="inlineStr">
        <is>
          <t>2026-S30</t>
        </is>
      </c>
      <c r="C44" s="3">
        <f>_xlfn.XLOOKUP(tblSegHH[[#This Row],[tecnico]],tblTecnicos[nombre],tblTecnicos[especialidad],"")</f>
        <v/>
      </c>
      <c r="D44" s="3">
        <f>_xlfn.XLOOKUP(tblSegHH[[#This Row],[semana]]&amp;"|lunes|"&amp;tblSegHH[[#This Row],[tecnico]],tblAsignaciones[clave],tblAsignaciones[posicion_ciclo],"")</f>
        <v/>
      </c>
      <c r="E44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4" s="3">
        <f>p_base_semanal_horas</f>
        <v/>
      </c>
      <c r="G44" s="3">
        <f>tblSegHH[[#This Row],[horas_reales]]-tblSegHH[[#This Row],[base_semanal]]</f>
        <v/>
      </c>
    </row>
    <row r="45">
      <c r="A45" s="3" t="inlineStr">
        <is>
          <t>Técnico 11</t>
        </is>
      </c>
      <c r="B45" s="3" t="inlineStr">
        <is>
          <t>2026-S31</t>
        </is>
      </c>
      <c r="C45" s="3">
        <f>_xlfn.XLOOKUP(tblSegHH[[#This Row],[tecnico]],tblTecnicos[nombre],tblTecnicos[especialidad],"")</f>
        <v/>
      </c>
      <c r="D45" s="3">
        <f>_xlfn.XLOOKUP(tblSegHH[[#This Row],[semana]]&amp;"|lunes|"&amp;tblSegHH[[#This Row],[tecnico]],tblAsignaciones[clave],tblAsignaciones[posicion_ciclo],"")</f>
        <v/>
      </c>
      <c r="E45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5" s="3">
        <f>p_base_semanal_horas</f>
        <v/>
      </c>
      <c r="G45" s="3">
        <f>tblSegHH[[#This Row],[horas_reales]]-tblSegHH[[#This Row],[base_semanal]]</f>
        <v/>
      </c>
    </row>
    <row r="46">
      <c r="A46" s="3" t="inlineStr">
        <is>
          <t>Técnico 11</t>
        </is>
      </c>
      <c r="B46" s="3" t="inlineStr">
        <is>
          <t>2026-S32</t>
        </is>
      </c>
      <c r="C46" s="3">
        <f>_xlfn.XLOOKUP(tblSegHH[[#This Row],[tecnico]],tblTecnicos[nombre],tblTecnicos[especialidad],"")</f>
        <v/>
      </c>
      <c r="D46" s="3">
        <f>_xlfn.XLOOKUP(tblSegHH[[#This Row],[semana]]&amp;"|lunes|"&amp;tblSegHH[[#This Row],[tecnico]],tblAsignaciones[clave],tblAsignaciones[posicion_ciclo],"")</f>
        <v/>
      </c>
      <c r="E46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6" s="3">
        <f>p_base_semanal_horas</f>
        <v/>
      </c>
      <c r="G46" s="3">
        <f>tblSegHH[[#This Row],[horas_reales]]-tblSegHH[[#This Row],[base_semanal]]</f>
        <v/>
      </c>
    </row>
    <row r="47">
      <c r="A47" s="3" t="inlineStr">
        <is>
          <t>Técnico 11</t>
        </is>
      </c>
      <c r="B47" s="3" t="inlineStr">
        <is>
          <t>2026-S33</t>
        </is>
      </c>
      <c r="C47" s="3">
        <f>_xlfn.XLOOKUP(tblSegHH[[#This Row],[tecnico]],tblTecnicos[nombre],tblTecnicos[especialidad],"")</f>
        <v/>
      </c>
      <c r="D47" s="3">
        <f>_xlfn.XLOOKUP(tblSegHH[[#This Row],[semana]]&amp;"|lunes|"&amp;tblSegHH[[#This Row],[tecnico]],tblAsignaciones[clave],tblAsignaciones[posicion_ciclo],"")</f>
        <v/>
      </c>
      <c r="E47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7" s="3">
        <f>p_base_semanal_horas</f>
        <v/>
      </c>
      <c r="G47" s="3">
        <f>tblSegHH[[#This Row],[horas_reales]]-tblSegHH[[#This Row],[base_semanal]]</f>
        <v/>
      </c>
    </row>
    <row r="48">
      <c r="A48" s="3" t="inlineStr">
        <is>
          <t>Técnico 12</t>
        </is>
      </c>
      <c r="B48" s="3" t="inlineStr">
        <is>
          <t>2026-S30</t>
        </is>
      </c>
      <c r="C48" s="3">
        <f>_xlfn.XLOOKUP(tblSegHH[[#This Row],[tecnico]],tblTecnicos[nombre],tblTecnicos[especialidad],"")</f>
        <v/>
      </c>
      <c r="D48" s="3">
        <f>_xlfn.XLOOKUP(tblSegHH[[#This Row],[semana]]&amp;"|lunes|"&amp;tblSegHH[[#This Row],[tecnico]],tblAsignaciones[clave],tblAsignaciones[posicion_ciclo],"")</f>
        <v/>
      </c>
      <c r="E48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8" s="3">
        <f>p_base_semanal_horas</f>
        <v/>
      </c>
      <c r="G48" s="3">
        <f>tblSegHH[[#This Row],[horas_reales]]-tblSegHH[[#This Row],[base_semanal]]</f>
        <v/>
      </c>
    </row>
    <row r="49">
      <c r="A49" s="3" t="inlineStr">
        <is>
          <t>Técnico 12</t>
        </is>
      </c>
      <c r="B49" s="3" t="inlineStr">
        <is>
          <t>2026-S31</t>
        </is>
      </c>
      <c r="C49" s="3">
        <f>_xlfn.XLOOKUP(tblSegHH[[#This Row],[tecnico]],tblTecnicos[nombre],tblTecnicos[especialidad],"")</f>
        <v/>
      </c>
      <c r="D49" s="3">
        <f>_xlfn.XLOOKUP(tblSegHH[[#This Row],[semana]]&amp;"|lunes|"&amp;tblSegHH[[#This Row],[tecnico]],tblAsignaciones[clave],tblAsignaciones[posicion_ciclo],"")</f>
        <v/>
      </c>
      <c r="E49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49" s="3">
        <f>p_base_semanal_horas</f>
        <v/>
      </c>
      <c r="G49" s="3">
        <f>tblSegHH[[#This Row],[horas_reales]]-tblSegHH[[#This Row],[base_semanal]]</f>
        <v/>
      </c>
    </row>
    <row r="50">
      <c r="A50" s="3" t="inlineStr">
        <is>
          <t>Técnico 12</t>
        </is>
      </c>
      <c r="B50" s="3" t="inlineStr">
        <is>
          <t>2026-S32</t>
        </is>
      </c>
      <c r="C50" s="3">
        <f>_xlfn.XLOOKUP(tblSegHH[[#This Row],[tecnico]],tblTecnicos[nombre],tblTecnicos[especialidad],"")</f>
        <v/>
      </c>
      <c r="D50" s="3">
        <f>_xlfn.XLOOKUP(tblSegHH[[#This Row],[semana]]&amp;"|lunes|"&amp;tblSegHH[[#This Row],[tecnico]],tblAsignaciones[clave],tblAsignaciones[posicion_ciclo],"")</f>
        <v/>
      </c>
      <c r="E50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0" s="3">
        <f>p_base_semanal_horas</f>
        <v/>
      </c>
      <c r="G50" s="3">
        <f>tblSegHH[[#This Row],[horas_reales]]-tblSegHH[[#This Row],[base_semanal]]</f>
        <v/>
      </c>
    </row>
    <row r="51">
      <c r="A51" s="3" t="inlineStr">
        <is>
          <t>Técnico 12</t>
        </is>
      </c>
      <c r="B51" s="3" t="inlineStr">
        <is>
          <t>2026-S33</t>
        </is>
      </c>
      <c r="C51" s="3">
        <f>_xlfn.XLOOKUP(tblSegHH[[#This Row],[tecnico]],tblTecnicos[nombre],tblTecnicos[especialidad],"")</f>
        <v/>
      </c>
      <c r="D51" s="3">
        <f>_xlfn.XLOOKUP(tblSegHH[[#This Row],[semana]]&amp;"|lunes|"&amp;tblSegHH[[#This Row],[tecnico]],tblAsignaciones[clave],tblAsignaciones[posicion_ciclo],"")</f>
        <v/>
      </c>
      <c r="E51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1" s="3">
        <f>p_base_semanal_horas</f>
        <v/>
      </c>
      <c r="G51" s="3">
        <f>tblSegHH[[#This Row],[horas_reales]]-tblSegHH[[#This Row],[base_semanal]]</f>
        <v/>
      </c>
    </row>
    <row r="52">
      <c r="A52" s="3" t="inlineStr">
        <is>
          <t>Técnico 13</t>
        </is>
      </c>
      <c r="B52" s="3" t="inlineStr">
        <is>
          <t>2026-S30</t>
        </is>
      </c>
      <c r="C52" s="3">
        <f>_xlfn.XLOOKUP(tblSegHH[[#This Row],[tecnico]],tblTecnicos[nombre],tblTecnicos[especialidad],"")</f>
        <v/>
      </c>
      <c r="D52" s="3">
        <f>_xlfn.XLOOKUP(tblSegHH[[#This Row],[semana]]&amp;"|lunes|"&amp;tblSegHH[[#This Row],[tecnico]],tblAsignaciones[clave],tblAsignaciones[posicion_ciclo],"")</f>
        <v/>
      </c>
      <c r="E52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2" s="3">
        <f>p_base_semanal_horas</f>
        <v/>
      </c>
      <c r="G52" s="3">
        <f>tblSegHH[[#This Row],[horas_reales]]-tblSegHH[[#This Row],[base_semanal]]</f>
        <v/>
      </c>
    </row>
    <row r="53">
      <c r="A53" s="3" t="inlineStr">
        <is>
          <t>Técnico 13</t>
        </is>
      </c>
      <c r="B53" s="3" t="inlineStr">
        <is>
          <t>2026-S31</t>
        </is>
      </c>
      <c r="C53" s="3">
        <f>_xlfn.XLOOKUP(tblSegHH[[#This Row],[tecnico]],tblTecnicos[nombre],tblTecnicos[especialidad],"")</f>
        <v/>
      </c>
      <c r="D53" s="3">
        <f>_xlfn.XLOOKUP(tblSegHH[[#This Row],[semana]]&amp;"|lunes|"&amp;tblSegHH[[#This Row],[tecnico]],tblAsignaciones[clave],tblAsignaciones[posicion_ciclo],"")</f>
        <v/>
      </c>
      <c r="E53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3" s="3">
        <f>p_base_semanal_horas</f>
        <v/>
      </c>
      <c r="G53" s="3">
        <f>tblSegHH[[#This Row],[horas_reales]]-tblSegHH[[#This Row],[base_semanal]]</f>
        <v/>
      </c>
    </row>
    <row r="54">
      <c r="A54" s="3" t="inlineStr">
        <is>
          <t>Técnico 13</t>
        </is>
      </c>
      <c r="B54" s="3" t="inlineStr">
        <is>
          <t>2026-S32</t>
        </is>
      </c>
      <c r="C54" s="3">
        <f>_xlfn.XLOOKUP(tblSegHH[[#This Row],[tecnico]],tblTecnicos[nombre],tblTecnicos[especialidad],"")</f>
        <v/>
      </c>
      <c r="D54" s="3">
        <f>_xlfn.XLOOKUP(tblSegHH[[#This Row],[semana]]&amp;"|lunes|"&amp;tblSegHH[[#This Row],[tecnico]],tblAsignaciones[clave],tblAsignaciones[posicion_ciclo],"")</f>
        <v/>
      </c>
      <c r="E54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4" s="3">
        <f>p_base_semanal_horas</f>
        <v/>
      </c>
      <c r="G54" s="3">
        <f>tblSegHH[[#This Row],[horas_reales]]-tblSegHH[[#This Row],[base_semanal]]</f>
        <v/>
      </c>
    </row>
    <row r="55">
      <c r="A55" s="3" t="inlineStr">
        <is>
          <t>Técnico 13</t>
        </is>
      </c>
      <c r="B55" s="3" t="inlineStr">
        <is>
          <t>2026-S33</t>
        </is>
      </c>
      <c r="C55" s="3">
        <f>_xlfn.XLOOKUP(tblSegHH[[#This Row],[tecnico]],tblTecnicos[nombre],tblTecnicos[especialidad],"")</f>
        <v/>
      </c>
      <c r="D55" s="3">
        <f>_xlfn.XLOOKUP(tblSegHH[[#This Row],[semana]]&amp;"|lunes|"&amp;tblSegHH[[#This Row],[tecnico]],tblAsignaciones[clave],tblAsignaciones[posicion_ciclo],"")</f>
        <v/>
      </c>
      <c r="E55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5" s="3">
        <f>p_base_semanal_horas</f>
        <v/>
      </c>
      <c r="G55" s="3">
        <f>tblSegHH[[#This Row],[horas_reales]]-tblSegHH[[#This Row],[base_semanal]]</f>
        <v/>
      </c>
    </row>
    <row r="56">
      <c r="A56" s="3" t="inlineStr">
        <is>
          <t>Técnico 14</t>
        </is>
      </c>
      <c r="B56" s="3" t="inlineStr">
        <is>
          <t>2026-S30</t>
        </is>
      </c>
      <c r="C56" s="3">
        <f>_xlfn.XLOOKUP(tblSegHH[[#This Row],[tecnico]],tblTecnicos[nombre],tblTecnicos[especialidad],"")</f>
        <v/>
      </c>
      <c r="D56" s="3">
        <f>_xlfn.XLOOKUP(tblSegHH[[#This Row],[semana]]&amp;"|lunes|"&amp;tblSegHH[[#This Row],[tecnico]],tblAsignaciones[clave],tblAsignaciones[posicion_ciclo],"")</f>
        <v/>
      </c>
      <c r="E56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6" s="3">
        <f>p_base_semanal_horas</f>
        <v/>
      </c>
      <c r="G56" s="3">
        <f>tblSegHH[[#This Row],[horas_reales]]-tblSegHH[[#This Row],[base_semanal]]</f>
        <v/>
      </c>
    </row>
    <row r="57">
      <c r="A57" s="3" t="inlineStr">
        <is>
          <t>Técnico 14</t>
        </is>
      </c>
      <c r="B57" s="3" t="inlineStr">
        <is>
          <t>2026-S31</t>
        </is>
      </c>
      <c r="C57" s="3">
        <f>_xlfn.XLOOKUP(tblSegHH[[#This Row],[tecnico]],tblTecnicos[nombre],tblTecnicos[especialidad],"")</f>
        <v/>
      </c>
      <c r="D57" s="3">
        <f>_xlfn.XLOOKUP(tblSegHH[[#This Row],[semana]]&amp;"|lunes|"&amp;tblSegHH[[#This Row],[tecnico]],tblAsignaciones[clave],tblAsignaciones[posicion_ciclo],"")</f>
        <v/>
      </c>
      <c r="E57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7" s="3">
        <f>p_base_semanal_horas</f>
        <v/>
      </c>
      <c r="G57" s="3">
        <f>tblSegHH[[#This Row],[horas_reales]]-tblSegHH[[#This Row],[base_semanal]]</f>
        <v/>
      </c>
    </row>
    <row r="58">
      <c r="A58" s="3" t="inlineStr">
        <is>
          <t>Técnico 14</t>
        </is>
      </c>
      <c r="B58" s="3" t="inlineStr">
        <is>
          <t>2026-S32</t>
        </is>
      </c>
      <c r="C58" s="3">
        <f>_xlfn.XLOOKUP(tblSegHH[[#This Row],[tecnico]],tblTecnicos[nombre],tblTecnicos[especialidad],"")</f>
        <v/>
      </c>
      <c r="D58" s="3">
        <f>_xlfn.XLOOKUP(tblSegHH[[#This Row],[semana]]&amp;"|lunes|"&amp;tblSegHH[[#This Row],[tecnico]],tblAsignaciones[clave],tblAsignaciones[posicion_ciclo],"")</f>
        <v/>
      </c>
      <c r="E58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8" s="3">
        <f>p_base_semanal_horas</f>
        <v/>
      </c>
      <c r="G58" s="3">
        <f>tblSegHH[[#This Row],[horas_reales]]-tblSegHH[[#This Row],[base_semanal]]</f>
        <v/>
      </c>
    </row>
    <row r="59">
      <c r="A59" s="3" t="inlineStr">
        <is>
          <t>Técnico 14</t>
        </is>
      </c>
      <c r="B59" s="3" t="inlineStr">
        <is>
          <t>2026-S33</t>
        </is>
      </c>
      <c r="C59" s="3">
        <f>_xlfn.XLOOKUP(tblSegHH[[#This Row],[tecnico]],tblTecnicos[nombre],tblTecnicos[especialidad],"")</f>
        <v/>
      </c>
      <c r="D59" s="3">
        <f>_xlfn.XLOOKUP(tblSegHH[[#This Row],[semana]]&amp;"|lunes|"&amp;tblSegHH[[#This Row],[tecnico]],tblAsignaciones[clave],tblAsignaciones[posicion_ciclo],"")</f>
        <v/>
      </c>
      <c r="E59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59" s="3">
        <f>p_base_semanal_horas</f>
        <v/>
      </c>
      <c r="G59" s="3">
        <f>tblSegHH[[#This Row],[horas_reales]]-tblSegHH[[#This Row],[base_semanal]]</f>
        <v/>
      </c>
    </row>
    <row r="60">
      <c r="A60" s="3" t="inlineStr">
        <is>
          <t>Técnico 15</t>
        </is>
      </c>
      <c r="B60" s="3" t="inlineStr">
        <is>
          <t>2026-S30</t>
        </is>
      </c>
      <c r="C60" s="3">
        <f>_xlfn.XLOOKUP(tblSegHH[[#This Row],[tecnico]],tblTecnicos[nombre],tblTecnicos[especialidad],"")</f>
        <v/>
      </c>
      <c r="D60" s="3">
        <f>_xlfn.XLOOKUP(tblSegHH[[#This Row],[semana]]&amp;"|lunes|"&amp;tblSegHH[[#This Row],[tecnico]],tblAsignaciones[clave],tblAsignaciones[posicion_ciclo],"")</f>
        <v/>
      </c>
      <c r="E60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0" s="3">
        <f>p_base_semanal_horas</f>
        <v/>
      </c>
      <c r="G60" s="3">
        <f>tblSegHH[[#This Row],[horas_reales]]-tblSegHH[[#This Row],[base_semanal]]</f>
        <v/>
      </c>
    </row>
    <row r="61">
      <c r="A61" s="3" t="inlineStr">
        <is>
          <t>Técnico 15</t>
        </is>
      </c>
      <c r="B61" s="3" t="inlineStr">
        <is>
          <t>2026-S31</t>
        </is>
      </c>
      <c r="C61" s="3">
        <f>_xlfn.XLOOKUP(tblSegHH[[#This Row],[tecnico]],tblTecnicos[nombre],tblTecnicos[especialidad],"")</f>
        <v/>
      </c>
      <c r="D61" s="3">
        <f>_xlfn.XLOOKUP(tblSegHH[[#This Row],[semana]]&amp;"|lunes|"&amp;tblSegHH[[#This Row],[tecnico]],tblAsignaciones[clave],tblAsignaciones[posicion_ciclo],"")</f>
        <v/>
      </c>
      <c r="E61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1" s="3">
        <f>p_base_semanal_horas</f>
        <v/>
      </c>
      <c r="G61" s="3">
        <f>tblSegHH[[#This Row],[horas_reales]]-tblSegHH[[#This Row],[base_semanal]]</f>
        <v/>
      </c>
    </row>
    <row r="62">
      <c r="A62" s="3" t="inlineStr">
        <is>
          <t>Técnico 15</t>
        </is>
      </c>
      <c r="B62" s="3" t="inlineStr">
        <is>
          <t>2026-S32</t>
        </is>
      </c>
      <c r="C62" s="3">
        <f>_xlfn.XLOOKUP(tblSegHH[[#This Row],[tecnico]],tblTecnicos[nombre],tblTecnicos[especialidad],"")</f>
        <v/>
      </c>
      <c r="D62" s="3">
        <f>_xlfn.XLOOKUP(tblSegHH[[#This Row],[semana]]&amp;"|lunes|"&amp;tblSegHH[[#This Row],[tecnico]],tblAsignaciones[clave],tblAsignaciones[posicion_ciclo],"")</f>
        <v/>
      </c>
      <c r="E62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2" s="3">
        <f>p_base_semanal_horas</f>
        <v/>
      </c>
      <c r="G62" s="3">
        <f>tblSegHH[[#This Row],[horas_reales]]-tblSegHH[[#This Row],[base_semanal]]</f>
        <v/>
      </c>
    </row>
    <row r="63">
      <c r="A63" s="3" t="inlineStr">
        <is>
          <t>Técnico 15</t>
        </is>
      </c>
      <c r="B63" s="3" t="inlineStr">
        <is>
          <t>2026-S33</t>
        </is>
      </c>
      <c r="C63" s="3">
        <f>_xlfn.XLOOKUP(tblSegHH[[#This Row],[tecnico]],tblTecnicos[nombre],tblTecnicos[especialidad],"")</f>
        <v/>
      </c>
      <c r="D63" s="3">
        <f>_xlfn.XLOOKUP(tblSegHH[[#This Row],[semana]]&amp;"|lunes|"&amp;tblSegHH[[#This Row],[tecnico]],tblAsignaciones[clave],tblAsignaciones[posicion_ciclo],"")</f>
        <v/>
      </c>
      <c r="E63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3" s="3">
        <f>p_base_semanal_horas</f>
        <v/>
      </c>
      <c r="G63" s="3">
        <f>tblSegHH[[#This Row],[horas_reales]]-tblSegHH[[#This Row],[base_semanal]]</f>
        <v/>
      </c>
    </row>
    <row r="64">
      <c r="A64" s="3" t="inlineStr">
        <is>
          <t>Técnico 16</t>
        </is>
      </c>
      <c r="B64" s="3" t="inlineStr">
        <is>
          <t>2026-S30</t>
        </is>
      </c>
      <c r="C64" s="3">
        <f>_xlfn.XLOOKUP(tblSegHH[[#This Row],[tecnico]],tblTecnicos[nombre],tblTecnicos[especialidad],"")</f>
        <v/>
      </c>
      <c r="D64" s="3">
        <f>_xlfn.XLOOKUP(tblSegHH[[#This Row],[semana]]&amp;"|lunes|"&amp;tblSegHH[[#This Row],[tecnico]],tblAsignaciones[clave],tblAsignaciones[posicion_ciclo],"")</f>
        <v/>
      </c>
      <c r="E64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4" s="3">
        <f>p_base_semanal_horas</f>
        <v/>
      </c>
      <c r="G64" s="3">
        <f>tblSegHH[[#This Row],[horas_reales]]-tblSegHH[[#This Row],[base_semanal]]</f>
        <v/>
      </c>
    </row>
    <row r="65">
      <c r="A65" s="3" t="inlineStr">
        <is>
          <t>Técnico 16</t>
        </is>
      </c>
      <c r="B65" s="3" t="inlineStr">
        <is>
          <t>2026-S31</t>
        </is>
      </c>
      <c r="C65" s="3">
        <f>_xlfn.XLOOKUP(tblSegHH[[#This Row],[tecnico]],tblTecnicos[nombre],tblTecnicos[especialidad],"")</f>
        <v/>
      </c>
      <c r="D65" s="3">
        <f>_xlfn.XLOOKUP(tblSegHH[[#This Row],[semana]]&amp;"|lunes|"&amp;tblSegHH[[#This Row],[tecnico]],tblAsignaciones[clave],tblAsignaciones[posicion_ciclo],"")</f>
        <v/>
      </c>
      <c r="E65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5" s="3">
        <f>p_base_semanal_horas</f>
        <v/>
      </c>
      <c r="G65" s="3">
        <f>tblSegHH[[#This Row],[horas_reales]]-tblSegHH[[#This Row],[base_semanal]]</f>
        <v/>
      </c>
    </row>
    <row r="66">
      <c r="A66" s="3" t="inlineStr">
        <is>
          <t>Técnico 16</t>
        </is>
      </c>
      <c r="B66" s="3" t="inlineStr">
        <is>
          <t>2026-S32</t>
        </is>
      </c>
      <c r="C66" s="3">
        <f>_xlfn.XLOOKUP(tblSegHH[[#This Row],[tecnico]],tblTecnicos[nombre],tblTecnicos[especialidad],"")</f>
        <v/>
      </c>
      <c r="D66" s="3">
        <f>_xlfn.XLOOKUP(tblSegHH[[#This Row],[semana]]&amp;"|lunes|"&amp;tblSegHH[[#This Row],[tecnico]],tblAsignaciones[clave],tblAsignaciones[posicion_ciclo],"")</f>
        <v/>
      </c>
      <c r="E66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6" s="3">
        <f>p_base_semanal_horas</f>
        <v/>
      </c>
      <c r="G66" s="3">
        <f>tblSegHH[[#This Row],[horas_reales]]-tblSegHH[[#This Row],[base_semanal]]</f>
        <v/>
      </c>
    </row>
    <row r="67">
      <c r="A67" s="3" t="inlineStr">
        <is>
          <t>Técnico 16</t>
        </is>
      </c>
      <c r="B67" s="3" t="inlineStr">
        <is>
          <t>2026-S33</t>
        </is>
      </c>
      <c r="C67" s="3">
        <f>_xlfn.XLOOKUP(tblSegHH[[#This Row],[tecnico]],tblTecnicos[nombre],tblTecnicos[especialidad],"")</f>
        <v/>
      </c>
      <c r="D67" s="3">
        <f>_xlfn.XLOOKUP(tblSegHH[[#This Row],[semana]]&amp;"|lunes|"&amp;tblSegHH[[#This Row],[tecnico]],tblAsignaciones[clave],tblAsignaciones[posicion_ciclo],"")</f>
        <v/>
      </c>
      <c r="E67" s="3">
        <f>SUMIFS(tblAsignaciones[horas_disponibles],tblAsignaciones[tecnico],tblSegHH[[#This Row],[tecnico]],tblAsignaciones[semana],tblSegHH[[#This Row],[semana]])+IF(COUNTIFS(tblAsignaciones[tecnico],tblSegHH[[#This Row],[tecnico]],tblAsignaciones[semana],tblSegHH[[#This Row],[semana]],tblAsignaciones[trabaja_domingo],"sí")&gt;0,8,0)</f>
        <v/>
      </c>
      <c r="F67" s="3">
        <f>p_base_semanal_horas</f>
        <v/>
      </c>
      <c r="G67" s="3">
        <f>tblSegHH[[#This Row],[horas_reales]]-tblSegHH[[#This Row],[base_semanal]]</f>
        <v/>
      </c>
    </row>
    <row r="70">
      <c r="A70" s="4" t="inlineStr">
        <is>
          <t>DÉFICIT DE CAPACIDAD POR VACACIONES (esp × semana) — informativo, no cambia la capacidad base</t>
        </is>
      </c>
    </row>
    <row r="71">
      <c r="A71" s="5" t="inlineStr">
        <is>
          <t>especialidad</t>
        </is>
      </c>
      <c r="B71" s="5" t="inlineStr">
        <is>
          <t>semana</t>
        </is>
      </c>
      <c r="C71" s="5" t="inlineStr">
        <is>
          <t>tecnicos_vac</t>
        </is>
      </c>
      <c r="D71" s="5" t="inlineStr">
        <is>
          <t>deficit_horas</t>
        </is>
      </c>
    </row>
    <row r="72">
      <c r="A72" s="3" t="inlineStr">
        <is>
          <t>MEC</t>
        </is>
      </c>
      <c r="B72" s="3" t="inlineStr">
        <is>
          <t>2026-S30</t>
        </is>
      </c>
      <c r="C72" s="3">
        <f>COUNTIFS(tblAsignaciones[especialidad],"MEC",tblAsignaciones[semana],"2026-S30",tblAsignaciones[dia],"lunes",tblAsignaciones[en_vacaciones],"sí")</f>
        <v/>
      </c>
      <c r="D72" s="3">
        <f>C72*p_base_semanal_horas</f>
        <v/>
      </c>
    </row>
    <row r="73">
      <c r="A73" s="3" t="inlineStr">
        <is>
          <t>MEC</t>
        </is>
      </c>
      <c r="B73" s="3" t="inlineStr">
        <is>
          <t>2026-S31</t>
        </is>
      </c>
      <c r="C73" s="3">
        <f>COUNTIFS(tblAsignaciones[especialidad],"MEC",tblAsignaciones[semana],"2026-S31",tblAsignaciones[dia],"lunes",tblAsignaciones[en_vacaciones],"sí")</f>
        <v/>
      </c>
      <c r="D73" s="3">
        <f>C73*p_base_semanal_horas</f>
        <v/>
      </c>
    </row>
    <row r="74">
      <c r="A74" s="3" t="inlineStr">
        <is>
          <t>MEC</t>
        </is>
      </c>
      <c r="B74" s="3" t="inlineStr">
        <is>
          <t>2026-S32</t>
        </is>
      </c>
      <c r="C74" s="3">
        <f>COUNTIFS(tblAsignaciones[especialidad],"MEC",tblAsignaciones[semana],"2026-S32",tblAsignaciones[dia],"lunes",tblAsignaciones[en_vacaciones],"sí")</f>
        <v/>
      </c>
      <c r="D74" s="3">
        <f>C74*p_base_semanal_horas</f>
        <v/>
      </c>
    </row>
    <row r="75">
      <c r="A75" s="3" t="inlineStr">
        <is>
          <t>MEC</t>
        </is>
      </c>
      <c r="B75" s="3" t="inlineStr">
        <is>
          <t>2026-S33</t>
        </is>
      </c>
      <c r="C75" s="3">
        <f>COUNTIFS(tblAsignaciones[especialidad],"MEC",tblAsignaciones[semana],"2026-S33",tblAsignaciones[dia],"lunes",tblAsignaciones[en_vacaciones],"sí")</f>
        <v/>
      </c>
      <c r="D75" s="3">
        <f>C75*p_base_semanal_horas</f>
        <v/>
      </c>
    </row>
    <row r="76">
      <c r="A76" s="3" t="inlineStr">
        <is>
          <t>ELE</t>
        </is>
      </c>
      <c r="B76" s="3" t="inlineStr">
        <is>
          <t>2026-S30</t>
        </is>
      </c>
      <c r="C76" s="3">
        <f>COUNTIFS(tblAsignaciones[especialidad],"ELE",tblAsignaciones[semana],"2026-S30",tblAsignaciones[dia],"lunes",tblAsignaciones[en_vacaciones],"sí")</f>
        <v/>
      </c>
      <c r="D76" s="3">
        <f>C76*p_base_semanal_horas</f>
        <v/>
      </c>
    </row>
    <row r="77">
      <c r="A77" s="3" t="inlineStr">
        <is>
          <t>ELE</t>
        </is>
      </c>
      <c r="B77" s="3" t="inlineStr">
        <is>
          <t>2026-S31</t>
        </is>
      </c>
      <c r="C77" s="3">
        <f>COUNTIFS(tblAsignaciones[especialidad],"ELE",tblAsignaciones[semana],"2026-S31",tblAsignaciones[dia],"lunes",tblAsignaciones[en_vacaciones],"sí")</f>
        <v/>
      </c>
      <c r="D77" s="3">
        <f>C77*p_base_semanal_horas</f>
        <v/>
      </c>
    </row>
    <row r="78">
      <c r="A78" s="3" t="inlineStr">
        <is>
          <t>ELE</t>
        </is>
      </c>
      <c r="B78" s="3" t="inlineStr">
        <is>
          <t>2026-S32</t>
        </is>
      </c>
      <c r="C78" s="3">
        <f>COUNTIFS(tblAsignaciones[especialidad],"ELE",tblAsignaciones[semana],"2026-S32",tblAsignaciones[dia],"lunes",tblAsignaciones[en_vacaciones],"sí")</f>
        <v/>
      </c>
      <c r="D78" s="3">
        <f>C78*p_base_semanal_horas</f>
        <v/>
      </c>
    </row>
    <row r="79">
      <c r="A79" s="3" t="inlineStr">
        <is>
          <t>ELE</t>
        </is>
      </c>
      <c r="B79" s="3" t="inlineStr">
        <is>
          <t>2026-S33</t>
        </is>
      </c>
      <c r="C79" s="3">
        <f>COUNTIFS(tblAsignaciones[especialidad],"ELE",tblAsignaciones[semana],"2026-S33",tblAsignaciones[dia],"lunes",tblAsignaciones[en_vacaciones],"sí")</f>
        <v/>
      </c>
      <c r="D79" s="3">
        <f>C79*p_base_semanal_horas</f>
        <v/>
      </c>
    </row>
    <row r="80">
      <c r="A80" s="3" t="inlineStr">
        <is>
          <t>AUT</t>
        </is>
      </c>
      <c r="B80" s="3" t="inlineStr">
        <is>
          <t>2026-S30</t>
        </is>
      </c>
      <c r="C80" s="3">
        <f>COUNTIFS(tblAsignaciones[especialidad],"AUT",tblAsignaciones[semana],"2026-S30",tblAsignaciones[dia],"lunes",tblAsignaciones[en_vacaciones],"sí")</f>
        <v/>
      </c>
      <c r="D80" s="3">
        <f>C80*p_base_semanal_horas</f>
        <v/>
      </c>
    </row>
    <row r="81">
      <c r="A81" s="3" t="inlineStr">
        <is>
          <t>AUT</t>
        </is>
      </c>
      <c r="B81" s="3" t="inlineStr">
        <is>
          <t>2026-S31</t>
        </is>
      </c>
      <c r="C81" s="3">
        <f>COUNTIFS(tblAsignaciones[especialidad],"AUT",tblAsignaciones[semana],"2026-S31",tblAsignaciones[dia],"lunes",tblAsignaciones[en_vacaciones],"sí")</f>
        <v/>
      </c>
      <c r="D81" s="3">
        <f>C81*p_base_semanal_horas</f>
        <v/>
      </c>
    </row>
    <row r="82">
      <c r="A82" s="3" t="inlineStr">
        <is>
          <t>AUT</t>
        </is>
      </c>
      <c r="B82" s="3" t="inlineStr">
        <is>
          <t>2026-S32</t>
        </is>
      </c>
      <c r="C82" s="3">
        <f>COUNTIFS(tblAsignaciones[especialidad],"AUT",tblAsignaciones[semana],"2026-S32",tblAsignaciones[dia],"lunes",tblAsignaciones[en_vacaciones],"sí")</f>
        <v/>
      </c>
      <c r="D82" s="3">
        <f>C82*p_base_semanal_horas</f>
        <v/>
      </c>
    </row>
    <row r="83">
      <c r="A83" s="3" t="inlineStr">
        <is>
          <t>AUT</t>
        </is>
      </c>
      <c r="B83" s="3" t="inlineStr">
        <is>
          <t>2026-S33</t>
        </is>
      </c>
      <c r="C83" s="3">
        <f>COUNTIFS(tblAsignaciones[especialidad],"AUT",tblAsignaciones[semana],"2026-S33",tblAsignaciones[dia],"lunes",tblAsignaciones[en_vacaciones],"sí")</f>
        <v/>
      </c>
      <c r="D83" s="3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4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3">
      <c r="A3" s="5" t="inlineStr">
        <is>
          <t>tecnico</t>
        </is>
      </c>
      <c r="B3" s="5" t="inlineStr">
        <is>
          <t>mes</t>
        </is>
      </c>
      <c r="C3" s="5" t="inlineStr">
        <is>
          <t>horas_reales_mes</t>
        </is>
      </c>
      <c r="D3" s="5" t="inlineStr">
        <is>
          <t>horas_requeridas_mes</t>
        </is>
      </c>
      <c r="E3" s="5" t="inlineStr">
        <is>
          <t>cumple</t>
        </is>
      </c>
      <c r="F3" s="5" t="inlineStr">
        <is>
          <t>brecha</t>
        </is>
      </c>
    </row>
    <row r="4">
      <c r="A4" s="3" t="inlineStr">
        <is>
          <t>Técnico 01</t>
        </is>
      </c>
      <c r="B4" s="3" t="inlineStr">
        <is>
          <t>2026-07</t>
        </is>
      </c>
      <c r="C4" s="3">
        <f>SUMIFS(tblSegHH[horas_reales],tblSegHH[tecnico],tblSegMes[[#This Row],[tecnico]],tblSegHH[semana],"2026-S30")+SUMIFS(tblSegHH[horas_reales],tblSegHH[tecnico],tblSegMes[[#This Row],[tecnico]],tblSegHH[semana],"2026-S31")</f>
        <v/>
      </c>
      <c r="D4" s="3">
        <f>2*p_base_semanal_horas</f>
        <v/>
      </c>
      <c r="E4" s="3">
        <f>IF(tblSegMes[[#This Row],[horas_reales_mes]]&gt;=tblSegMes[[#This Row],[horas_requeridas_mes]]-p_tolerancia_horas_bono,"sí","no")</f>
        <v/>
      </c>
      <c r="F4" s="3">
        <f>tblSegMes[[#This Row],[horas_reales_mes]]-tblSegMes[[#This Row],[horas_requeridas_mes]]</f>
        <v/>
      </c>
    </row>
    <row r="5">
      <c r="A5" s="3" t="inlineStr">
        <is>
          <t>Técnico 01</t>
        </is>
      </c>
      <c r="B5" s="3" t="inlineStr">
        <is>
          <t>2026-08</t>
        </is>
      </c>
      <c r="C5" s="3">
        <f>SUMIFS(tblSegHH[horas_reales],tblSegHH[tecnico],tblSegMes[[#This Row],[tecnico]],tblSegHH[semana],"2026-S32")+SUMIFS(tblSegHH[horas_reales],tblSegHH[tecnico],tblSegMes[[#This Row],[tecnico]],tblSegHH[semana],"2026-S33")</f>
        <v/>
      </c>
      <c r="D5" s="3">
        <f>2*p_base_semanal_horas</f>
        <v/>
      </c>
      <c r="E5" s="3">
        <f>IF(tblSegMes[[#This Row],[horas_reales_mes]]&gt;=tblSegMes[[#This Row],[horas_requeridas_mes]]-p_tolerancia_horas_bono,"sí","no")</f>
        <v/>
      </c>
      <c r="F5" s="3">
        <f>tblSegMes[[#This Row],[horas_reales_mes]]-tblSegMes[[#This Row],[horas_requeridas_mes]]</f>
        <v/>
      </c>
    </row>
    <row r="6">
      <c r="A6" s="3" t="inlineStr">
        <is>
          <t>Técnico 02</t>
        </is>
      </c>
      <c r="B6" s="3" t="inlineStr">
        <is>
          <t>2026-07</t>
        </is>
      </c>
      <c r="C6" s="3">
        <f>SUMIFS(tblSegHH[horas_reales],tblSegHH[tecnico],tblSegMes[[#This Row],[tecnico]],tblSegHH[semana],"2026-S30")+SUMIFS(tblSegHH[horas_reales],tblSegHH[tecnico],tblSegMes[[#This Row],[tecnico]],tblSegHH[semana],"2026-S31")</f>
        <v/>
      </c>
      <c r="D6" s="3">
        <f>2*p_base_semanal_horas</f>
        <v/>
      </c>
      <c r="E6" s="3">
        <f>IF(tblSegMes[[#This Row],[horas_reales_mes]]&gt;=tblSegMes[[#This Row],[horas_requeridas_mes]]-p_tolerancia_horas_bono,"sí","no")</f>
        <v/>
      </c>
      <c r="F6" s="3">
        <f>tblSegMes[[#This Row],[horas_reales_mes]]-tblSegMes[[#This Row],[horas_requeridas_mes]]</f>
        <v/>
      </c>
    </row>
    <row r="7">
      <c r="A7" s="3" t="inlineStr">
        <is>
          <t>Técnico 02</t>
        </is>
      </c>
      <c r="B7" s="3" t="inlineStr">
        <is>
          <t>2026-08</t>
        </is>
      </c>
      <c r="C7" s="3">
        <f>SUMIFS(tblSegHH[horas_reales],tblSegHH[tecnico],tblSegMes[[#This Row],[tecnico]],tblSegHH[semana],"2026-S32")+SUMIFS(tblSegHH[horas_reales],tblSegHH[tecnico],tblSegMes[[#This Row],[tecnico]],tblSegHH[semana],"2026-S33")</f>
        <v/>
      </c>
      <c r="D7" s="3">
        <f>2*p_base_semanal_horas</f>
        <v/>
      </c>
      <c r="E7" s="3">
        <f>IF(tblSegMes[[#This Row],[horas_reales_mes]]&gt;=tblSegMes[[#This Row],[horas_requeridas_mes]]-p_tolerancia_horas_bono,"sí","no")</f>
        <v/>
      </c>
      <c r="F7" s="3">
        <f>tblSegMes[[#This Row],[horas_reales_mes]]-tblSegMes[[#This Row],[horas_requeridas_mes]]</f>
        <v/>
      </c>
    </row>
    <row r="8">
      <c r="A8" s="3" t="inlineStr">
        <is>
          <t>Técnico 03</t>
        </is>
      </c>
      <c r="B8" s="3" t="inlineStr">
        <is>
          <t>2026-07</t>
        </is>
      </c>
      <c r="C8" s="3">
        <f>SUMIFS(tblSegHH[horas_reales],tblSegHH[tecnico],tblSegMes[[#This Row],[tecnico]],tblSegHH[semana],"2026-S30")+SUMIFS(tblSegHH[horas_reales],tblSegHH[tecnico],tblSegMes[[#This Row],[tecnico]],tblSegHH[semana],"2026-S31")</f>
        <v/>
      </c>
      <c r="D8" s="3">
        <f>2*p_base_semanal_horas</f>
        <v/>
      </c>
      <c r="E8" s="3">
        <f>IF(tblSegMes[[#This Row],[horas_reales_mes]]&gt;=tblSegMes[[#This Row],[horas_requeridas_mes]]-p_tolerancia_horas_bono,"sí","no")</f>
        <v/>
      </c>
      <c r="F8" s="3">
        <f>tblSegMes[[#This Row],[horas_reales_mes]]-tblSegMes[[#This Row],[horas_requeridas_mes]]</f>
        <v/>
      </c>
    </row>
    <row r="9">
      <c r="A9" s="3" t="inlineStr">
        <is>
          <t>Técnico 03</t>
        </is>
      </c>
      <c r="B9" s="3" t="inlineStr">
        <is>
          <t>2026-08</t>
        </is>
      </c>
      <c r="C9" s="3">
        <f>SUMIFS(tblSegHH[horas_reales],tblSegHH[tecnico],tblSegMes[[#This Row],[tecnico]],tblSegHH[semana],"2026-S32")+SUMIFS(tblSegHH[horas_reales],tblSegHH[tecnico],tblSegMes[[#This Row],[tecnico]],tblSegHH[semana],"2026-S33")</f>
        <v/>
      </c>
      <c r="D9" s="3">
        <f>2*p_base_semanal_horas</f>
        <v/>
      </c>
      <c r="E9" s="3">
        <f>IF(tblSegMes[[#This Row],[horas_reales_mes]]&gt;=tblSegMes[[#This Row],[horas_requeridas_mes]]-p_tolerancia_horas_bono,"sí","no")</f>
        <v/>
      </c>
      <c r="F9" s="3">
        <f>tblSegMes[[#This Row],[horas_reales_mes]]-tblSegMes[[#This Row],[horas_requeridas_mes]]</f>
        <v/>
      </c>
    </row>
    <row r="10">
      <c r="A10" s="3" t="inlineStr">
        <is>
          <t>Técnico 04</t>
        </is>
      </c>
      <c r="B10" s="3" t="inlineStr">
        <is>
          <t>2026-07</t>
        </is>
      </c>
      <c r="C10" s="3">
        <f>SUMIFS(tblSegHH[horas_reales],tblSegHH[tecnico],tblSegMes[[#This Row],[tecnico]],tblSegHH[semana],"2026-S30")+SUMIFS(tblSegHH[horas_reales],tblSegHH[tecnico],tblSegMes[[#This Row],[tecnico]],tblSegHH[semana],"2026-S31")</f>
        <v/>
      </c>
      <c r="D10" s="3">
        <f>2*p_base_semanal_horas</f>
        <v/>
      </c>
      <c r="E10" s="3">
        <f>IF(tblSegMes[[#This Row],[horas_reales_mes]]&gt;=tblSegMes[[#This Row],[horas_requeridas_mes]]-p_tolerancia_horas_bono,"sí","no")</f>
        <v/>
      </c>
      <c r="F10" s="3">
        <f>tblSegMes[[#This Row],[horas_reales_mes]]-tblSegMes[[#This Row],[horas_requeridas_mes]]</f>
        <v/>
      </c>
    </row>
    <row r="11">
      <c r="A11" s="3" t="inlineStr">
        <is>
          <t>Técnico 04</t>
        </is>
      </c>
      <c r="B11" s="3" t="inlineStr">
        <is>
          <t>2026-08</t>
        </is>
      </c>
      <c r="C11" s="3">
        <f>SUMIFS(tblSegHH[horas_reales],tblSegHH[tecnico],tblSegMes[[#This Row],[tecnico]],tblSegHH[semana],"2026-S32")+SUMIFS(tblSegHH[horas_reales],tblSegHH[tecnico],tblSegMes[[#This Row],[tecnico]],tblSegHH[semana],"2026-S33")</f>
        <v/>
      </c>
      <c r="D11" s="3">
        <f>2*p_base_semanal_horas</f>
        <v/>
      </c>
      <c r="E11" s="3">
        <f>IF(tblSegMes[[#This Row],[horas_reales_mes]]&gt;=tblSegMes[[#This Row],[horas_requeridas_mes]]-p_tolerancia_horas_bono,"sí","no")</f>
        <v/>
      </c>
      <c r="F11" s="3">
        <f>tblSegMes[[#This Row],[horas_reales_mes]]-tblSegMes[[#This Row],[horas_requeridas_mes]]</f>
        <v/>
      </c>
    </row>
    <row r="12">
      <c r="A12" s="3" t="inlineStr">
        <is>
          <t>Técnico 05</t>
        </is>
      </c>
      <c r="B12" s="3" t="inlineStr">
        <is>
          <t>2026-07</t>
        </is>
      </c>
      <c r="C12" s="3">
        <f>SUMIFS(tblSegHH[horas_reales],tblSegHH[tecnico],tblSegMes[[#This Row],[tecnico]],tblSegHH[semana],"2026-S30")+SUMIFS(tblSegHH[horas_reales],tblSegHH[tecnico],tblSegMes[[#This Row],[tecnico]],tblSegHH[semana],"2026-S31")</f>
        <v/>
      </c>
      <c r="D12" s="3">
        <f>2*p_base_semanal_horas</f>
        <v/>
      </c>
      <c r="E12" s="3">
        <f>IF(tblSegMes[[#This Row],[horas_reales_mes]]&gt;=tblSegMes[[#This Row],[horas_requeridas_mes]]-p_tolerancia_horas_bono,"sí","no")</f>
        <v/>
      </c>
      <c r="F12" s="3">
        <f>tblSegMes[[#This Row],[horas_reales_mes]]-tblSegMes[[#This Row],[horas_requeridas_mes]]</f>
        <v/>
      </c>
    </row>
    <row r="13">
      <c r="A13" s="3" t="inlineStr">
        <is>
          <t>Técnico 05</t>
        </is>
      </c>
      <c r="B13" s="3" t="inlineStr">
        <is>
          <t>2026-08</t>
        </is>
      </c>
      <c r="C13" s="3">
        <f>SUMIFS(tblSegHH[horas_reales],tblSegHH[tecnico],tblSegMes[[#This Row],[tecnico]],tblSegHH[semana],"2026-S32")+SUMIFS(tblSegHH[horas_reales],tblSegHH[tecnico],tblSegMes[[#This Row],[tecnico]],tblSegHH[semana],"2026-S33")</f>
        <v/>
      </c>
      <c r="D13" s="3">
        <f>2*p_base_semanal_horas</f>
        <v/>
      </c>
      <c r="E13" s="3">
        <f>IF(tblSegMes[[#This Row],[horas_reales_mes]]&gt;=tblSegMes[[#This Row],[horas_requeridas_mes]]-p_tolerancia_horas_bono,"sí","no")</f>
        <v/>
      </c>
      <c r="F13" s="3">
        <f>tblSegMes[[#This Row],[horas_reales_mes]]-tblSegMes[[#This Row],[horas_requeridas_mes]]</f>
        <v/>
      </c>
    </row>
    <row r="14">
      <c r="A14" s="3" t="inlineStr">
        <is>
          <t>Técnico 06</t>
        </is>
      </c>
      <c r="B14" s="3" t="inlineStr">
        <is>
          <t>2026-07</t>
        </is>
      </c>
      <c r="C14" s="3">
        <f>SUMIFS(tblSegHH[horas_reales],tblSegHH[tecnico],tblSegMes[[#This Row],[tecnico]],tblSegHH[semana],"2026-S30")+SUMIFS(tblSegHH[horas_reales],tblSegHH[tecnico],tblSegMes[[#This Row],[tecnico]],tblSegHH[semana],"2026-S31")</f>
        <v/>
      </c>
      <c r="D14" s="3">
        <f>2*p_base_semanal_horas</f>
        <v/>
      </c>
      <c r="E14" s="3">
        <f>IF(tblSegMes[[#This Row],[horas_reales_mes]]&gt;=tblSegMes[[#This Row],[horas_requeridas_mes]]-p_tolerancia_horas_bono,"sí","no")</f>
        <v/>
      </c>
      <c r="F14" s="3">
        <f>tblSegMes[[#This Row],[horas_reales_mes]]-tblSegMes[[#This Row],[horas_requeridas_mes]]</f>
        <v/>
      </c>
    </row>
    <row r="15">
      <c r="A15" s="3" t="inlineStr">
        <is>
          <t>Técnico 06</t>
        </is>
      </c>
      <c r="B15" s="3" t="inlineStr">
        <is>
          <t>2026-08</t>
        </is>
      </c>
      <c r="C15" s="3">
        <f>SUMIFS(tblSegHH[horas_reales],tblSegHH[tecnico],tblSegMes[[#This Row],[tecnico]],tblSegHH[semana],"2026-S32")+SUMIFS(tblSegHH[horas_reales],tblSegHH[tecnico],tblSegMes[[#This Row],[tecnico]],tblSegHH[semana],"2026-S33")</f>
        <v/>
      </c>
      <c r="D15" s="3">
        <f>2*p_base_semanal_horas</f>
        <v/>
      </c>
      <c r="E15" s="3">
        <f>IF(tblSegMes[[#This Row],[horas_reales_mes]]&gt;=tblSegMes[[#This Row],[horas_requeridas_mes]]-p_tolerancia_horas_bono,"sí","no")</f>
        <v/>
      </c>
      <c r="F15" s="3">
        <f>tblSegMes[[#This Row],[horas_reales_mes]]-tblSegMes[[#This Row],[horas_requeridas_mes]]</f>
        <v/>
      </c>
    </row>
    <row r="16">
      <c r="A16" s="3" t="inlineStr">
        <is>
          <t>Técnico 07</t>
        </is>
      </c>
      <c r="B16" s="3" t="inlineStr">
        <is>
          <t>2026-07</t>
        </is>
      </c>
      <c r="C16" s="3">
        <f>SUMIFS(tblSegHH[horas_reales],tblSegHH[tecnico],tblSegMes[[#This Row],[tecnico]],tblSegHH[semana],"2026-S30")+SUMIFS(tblSegHH[horas_reales],tblSegHH[tecnico],tblSegMes[[#This Row],[tecnico]],tblSegHH[semana],"2026-S31")</f>
        <v/>
      </c>
      <c r="D16" s="3">
        <f>2*p_base_semanal_horas</f>
        <v/>
      </c>
      <c r="E16" s="3">
        <f>IF(tblSegMes[[#This Row],[horas_reales_mes]]&gt;=tblSegMes[[#This Row],[horas_requeridas_mes]]-p_tolerancia_horas_bono,"sí","no")</f>
        <v/>
      </c>
      <c r="F16" s="3">
        <f>tblSegMes[[#This Row],[horas_reales_mes]]-tblSegMes[[#This Row],[horas_requeridas_mes]]</f>
        <v/>
      </c>
    </row>
    <row r="17">
      <c r="A17" s="3" t="inlineStr">
        <is>
          <t>Técnico 07</t>
        </is>
      </c>
      <c r="B17" s="3" t="inlineStr">
        <is>
          <t>2026-08</t>
        </is>
      </c>
      <c r="C17" s="3">
        <f>SUMIFS(tblSegHH[horas_reales],tblSegHH[tecnico],tblSegMes[[#This Row],[tecnico]],tblSegHH[semana],"2026-S32")+SUMIFS(tblSegHH[horas_reales],tblSegHH[tecnico],tblSegMes[[#This Row],[tecnico]],tblSegHH[semana],"2026-S33")</f>
        <v/>
      </c>
      <c r="D17" s="3">
        <f>2*p_base_semanal_horas</f>
        <v/>
      </c>
      <c r="E17" s="3">
        <f>IF(tblSegMes[[#This Row],[horas_reales_mes]]&gt;=tblSegMes[[#This Row],[horas_requeridas_mes]]-p_tolerancia_horas_bono,"sí","no")</f>
        <v/>
      </c>
      <c r="F17" s="3">
        <f>tblSegMes[[#This Row],[horas_reales_mes]]-tblSegMes[[#This Row],[horas_requeridas_mes]]</f>
        <v/>
      </c>
    </row>
    <row r="18">
      <c r="A18" s="3" t="inlineStr">
        <is>
          <t>Técnico 08</t>
        </is>
      </c>
      <c r="B18" s="3" t="inlineStr">
        <is>
          <t>2026-07</t>
        </is>
      </c>
      <c r="C18" s="3">
        <f>SUMIFS(tblSegHH[horas_reales],tblSegHH[tecnico],tblSegMes[[#This Row],[tecnico]],tblSegHH[semana],"2026-S30")+SUMIFS(tblSegHH[horas_reales],tblSegHH[tecnico],tblSegMes[[#This Row],[tecnico]],tblSegHH[semana],"2026-S31")</f>
        <v/>
      </c>
      <c r="D18" s="3">
        <f>2*p_base_semanal_horas</f>
        <v/>
      </c>
      <c r="E18" s="3">
        <f>IF(tblSegMes[[#This Row],[horas_reales_mes]]&gt;=tblSegMes[[#This Row],[horas_requeridas_mes]]-p_tolerancia_horas_bono,"sí","no")</f>
        <v/>
      </c>
      <c r="F18" s="3">
        <f>tblSegMes[[#This Row],[horas_reales_mes]]-tblSegMes[[#This Row],[horas_requeridas_mes]]</f>
        <v/>
      </c>
    </row>
    <row r="19">
      <c r="A19" s="3" t="inlineStr">
        <is>
          <t>Técnico 08</t>
        </is>
      </c>
      <c r="B19" s="3" t="inlineStr">
        <is>
          <t>2026-08</t>
        </is>
      </c>
      <c r="C19" s="3">
        <f>SUMIFS(tblSegHH[horas_reales],tblSegHH[tecnico],tblSegMes[[#This Row],[tecnico]],tblSegHH[semana],"2026-S32")+SUMIFS(tblSegHH[horas_reales],tblSegHH[tecnico],tblSegMes[[#This Row],[tecnico]],tblSegHH[semana],"2026-S33")</f>
        <v/>
      </c>
      <c r="D19" s="3">
        <f>2*p_base_semanal_horas</f>
        <v/>
      </c>
      <c r="E19" s="3">
        <f>IF(tblSegMes[[#This Row],[horas_reales_mes]]&gt;=tblSegMes[[#This Row],[horas_requeridas_mes]]-p_tolerancia_horas_bono,"sí","no")</f>
        <v/>
      </c>
      <c r="F19" s="3">
        <f>tblSegMes[[#This Row],[horas_reales_mes]]-tblSegMes[[#This Row],[horas_requeridas_mes]]</f>
        <v/>
      </c>
    </row>
    <row r="20">
      <c r="A20" s="3" t="inlineStr">
        <is>
          <t>Técnico 09</t>
        </is>
      </c>
      <c r="B20" s="3" t="inlineStr">
        <is>
          <t>2026-07</t>
        </is>
      </c>
      <c r="C20" s="3">
        <f>SUMIFS(tblSegHH[horas_reales],tblSegHH[tecnico],tblSegMes[[#This Row],[tecnico]],tblSegHH[semana],"2026-S30")+SUMIFS(tblSegHH[horas_reales],tblSegHH[tecnico],tblSegMes[[#This Row],[tecnico]],tblSegHH[semana],"2026-S31")</f>
        <v/>
      </c>
      <c r="D20" s="3">
        <f>2*p_base_semanal_horas</f>
        <v/>
      </c>
      <c r="E20" s="3">
        <f>IF(tblSegMes[[#This Row],[horas_reales_mes]]&gt;=tblSegMes[[#This Row],[horas_requeridas_mes]]-p_tolerancia_horas_bono,"sí","no")</f>
        <v/>
      </c>
      <c r="F20" s="3">
        <f>tblSegMes[[#This Row],[horas_reales_mes]]-tblSegMes[[#This Row],[horas_requeridas_mes]]</f>
        <v/>
      </c>
    </row>
    <row r="21">
      <c r="A21" s="3" t="inlineStr">
        <is>
          <t>Técnico 09</t>
        </is>
      </c>
      <c r="B21" s="3" t="inlineStr">
        <is>
          <t>2026-08</t>
        </is>
      </c>
      <c r="C21" s="3">
        <f>SUMIFS(tblSegHH[horas_reales],tblSegHH[tecnico],tblSegMes[[#This Row],[tecnico]],tblSegHH[semana],"2026-S32")+SUMIFS(tblSegHH[horas_reales],tblSegHH[tecnico],tblSegMes[[#This Row],[tecnico]],tblSegHH[semana],"2026-S33")</f>
        <v/>
      </c>
      <c r="D21" s="3">
        <f>2*p_base_semanal_horas</f>
        <v/>
      </c>
      <c r="E21" s="3">
        <f>IF(tblSegMes[[#This Row],[horas_reales_mes]]&gt;=tblSegMes[[#This Row],[horas_requeridas_mes]]-p_tolerancia_horas_bono,"sí","no")</f>
        <v/>
      </c>
      <c r="F21" s="3">
        <f>tblSegMes[[#This Row],[horas_reales_mes]]-tblSegMes[[#This Row],[horas_requeridas_mes]]</f>
        <v/>
      </c>
    </row>
    <row r="22">
      <c r="A22" s="3" t="inlineStr">
        <is>
          <t>Técnico 10</t>
        </is>
      </c>
      <c r="B22" s="3" t="inlineStr">
        <is>
          <t>2026-07</t>
        </is>
      </c>
      <c r="C22" s="3">
        <f>SUMIFS(tblSegHH[horas_reales],tblSegHH[tecnico],tblSegMes[[#This Row],[tecnico]],tblSegHH[semana],"2026-S30")+SUMIFS(tblSegHH[horas_reales],tblSegHH[tecnico],tblSegMes[[#This Row],[tecnico]],tblSegHH[semana],"2026-S31")</f>
        <v/>
      </c>
      <c r="D22" s="3">
        <f>2*p_base_semanal_horas</f>
        <v/>
      </c>
      <c r="E22" s="3">
        <f>IF(tblSegMes[[#This Row],[horas_reales_mes]]&gt;=tblSegMes[[#This Row],[horas_requeridas_mes]]-p_tolerancia_horas_bono,"sí","no")</f>
        <v/>
      </c>
      <c r="F22" s="3">
        <f>tblSegMes[[#This Row],[horas_reales_mes]]-tblSegMes[[#This Row],[horas_requeridas_mes]]</f>
        <v/>
      </c>
    </row>
    <row r="23">
      <c r="A23" s="3" t="inlineStr">
        <is>
          <t>Técnico 10</t>
        </is>
      </c>
      <c r="B23" s="3" t="inlineStr">
        <is>
          <t>2026-08</t>
        </is>
      </c>
      <c r="C23" s="3">
        <f>SUMIFS(tblSegHH[horas_reales],tblSegHH[tecnico],tblSegMes[[#This Row],[tecnico]],tblSegHH[semana],"2026-S32")+SUMIFS(tblSegHH[horas_reales],tblSegHH[tecnico],tblSegMes[[#This Row],[tecnico]],tblSegHH[semana],"2026-S33")</f>
        <v/>
      </c>
      <c r="D23" s="3">
        <f>2*p_base_semanal_horas</f>
        <v/>
      </c>
      <c r="E23" s="3">
        <f>IF(tblSegMes[[#This Row],[horas_reales_mes]]&gt;=tblSegMes[[#This Row],[horas_requeridas_mes]]-p_tolerancia_horas_bono,"sí","no")</f>
        <v/>
      </c>
      <c r="F23" s="3">
        <f>tblSegMes[[#This Row],[horas_reales_mes]]-tblSegMes[[#This Row],[horas_requeridas_mes]]</f>
        <v/>
      </c>
    </row>
    <row r="24">
      <c r="A24" s="3" t="inlineStr">
        <is>
          <t>Técnico 11</t>
        </is>
      </c>
      <c r="B24" s="3" t="inlineStr">
        <is>
          <t>2026-07</t>
        </is>
      </c>
      <c r="C24" s="3">
        <f>SUMIFS(tblSegHH[horas_reales],tblSegHH[tecnico],tblSegMes[[#This Row],[tecnico]],tblSegHH[semana],"2026-S30")+SUMIFS(tblSegHH[horas_reales],tblSegHH[tecnico],tblSegMes[[#This Row],[tecnico]],tblSegHH[semana],"2026-S31")</f>
        <v/>
      </c>
      <c r="D24" s="3">
        <f>2*p_base_semanal_horas</f>
        <v/>
      </c>
      <c r="E24" s="3">
        <f>IF(tblSegMes[[#This Row],[horas_reales_mes]]&gt;=tblSegMes[[#This Row],[horas_requeridas_mes]]-p_tolerancia_horas_bono,"sí","no")</f>
        <v/>
      </c>
      <c r="F24" s="3">
        <f>tblSegMes[[#This Row],[horas_reales_mes]]-tblSegMes[[#This Row],[horas_requeridas_mes]]</f>
        <v/>
      </c>
    </row>
    <row r="25">
      <c r="A25" s="3" t="inlineStr">
        <is>
          <t>Técnico 11</t>
        </is>
      </c>
      <c r="B25" s="3" t="inlineStr">
        <is>
          <t>2026-08</t>
        </is>
      </c>
      <c r="C25" s="3">
        <f>SUMIFS(tblSegHH[horas_reales],tblSegHH[tecnico],tblSegMes[[#This Row],[tecnico]],tblSegHH[semana],"2026-S32")+SUMIFS(tblSegHH[horas_reales],tblSegHH[tecnico],tblSegMes[[#This Row],[tecnico]],tblSegHH[semana],"2026-S33")</f>
        <v/>
      </c>
      <c r="D25" s="3">
        <f>2*p_base_semanal_horas</f>
        <v/>
      </c>
      <c r="E25" s="3">
        <f>IF(tblSegMes[[#This Row],[horas_reales_mes]]&gt;=tblSegMes[[#This Row],[horas_requeridas_mes]]-p_tolerancia_horas_bono,"sí","no")</f>
        <v/>
      </c>
      <c r="F25" s="3">
        <f>tblSegMes[[#This Row],[horas_reales_mes]]-tblSegMes[[#This Row],[horas_requeridas_mes]]</f>
        <v/>
      </c>
    </row>
    <row r="26">
      <c r="A26" s="3" t="inlineStr">
        <is>
          <t>Técnico 12</t>
        </is>
      </c>
      <c r="B26" s="3" t="inlineStr">
        <is>
          <t>2026-07</t>
        </is>
      </c>
      <c r="C26" s="3">
        <f>SUMIFS(tblSegHH[horas_reales],tblSegHH[tecnico],tblSegMes[[#This Row],[tecnico]],tblSegHH[semana],"2026-S30")+SUMIFS(tblSegHH[horas_reales],tblSegHH[tecnico],tblSegMes[[#This Row],[tecnico]],tblSegHH[semana],"2026-S31")</f>
        <v/>
      </c>
      <c r="D26" s="3">
        <f>2*p_base_semanal_horas</f>
        <v/>
      </c>
      <c r="E26" s="3">
        <f>IF(tblSegMes[[#This Row],[horas_reales_mes]]&gt;=tblSegMes[[#This Row],[horas_requeridas_mes]]-p_tolerancia_horas_bono,"sí","no")</f>
        <v/>
      </c>
      <c r="F26" s="3">
        <f>tblSegMes[[#This Row],[horas_reales_mes]]-tblSegMes[[#This Row],[horas_requeridas_mes]]</f>
        <v/>
      </c>
    </row>
    <row r="27">
      <c r="A27" s="3" t="inlineStr">
        <is>
          <t>Técnico 12</t>
        </is>
      </c>
      <c r="B27" s="3" t="inlineStr">
        <is>
          <t>2026-08</t>
        </is>
      </c>
      <c r="C27" s="3">
        <f>SUMIFS(tblSegHH[horas_reales],tblSegHH[tecnico],tblSegMes[[#This Row],[tecnico]],tblSegHH[semana],"2026-S32")+SUMIFS(tblSegHH[horas_reales],tblSegHH[tecnico],tblSegMes[[#This Row],[tecnico]],tblSegHH[semana],"2026-S33")</f>
        <v/>
      </c>
      <c r="D27" s="3">
        <f>2*p_base_semanal_horas</f>
        <v/>
      </c>
      <c r="E27" s="3">
        <f>IF(tblSegMes[[#This Row],[horas_reales_mes]]&gt;=tblSegMes[[#This Row],[horas_requeridas_mes]]-p_tolerancia_horas_bono,"sí","no")</f>
        <v/>
      </c>
      <c r="F27" s="3">
        <f>tblSegMes[[#This Row],[horas_reales_mes]]-tblSegMes[[#This Row],[horas_requeridas_mes]]</f>
        <v/>
      </c>
    </row>
    <row r="28">
      <c r="A28" s="3" t="inlineStr">
        <is>
          <t>Técnico 13</t>
        </is>
      </c>
      <c r="B28" s="3" t="inlineStr">
        <is>
          <t>2026-07</t>
        </is>
      </c>
      <c r="C28" s="3">
        <f>SUMIFS(tblSegHH[horas_reales],tblSegHH[tecnico],tblSegMes[[#This Row],[tecnico]],tblSegHH[semana],"2026-S30")+SUMIFS(tblSegHH[horas_reales],tblSegHH[tecnico],tblSegMes[[#This Row],[tecnico]],tblSegHH[semana],"2026-S31")</f>
        <v/>
      </c>
      <c r="D28" s="3">
        <f>2*p_base_semanal_horas</f>
        <v/>
      </c>
      <c r="E28" s="3">
        <f>IF(tblSegMes[[#This Row],[horas_reales_mes]]&gt;=tblSegMes[[#This Row],[horas_requeridas_mes]]-p_tolerancia_horas_bono,"sí","no")</f>
        <v/>
      </c>
      <c r="F28" s="3">
        <f>tblSegMes[[#This Row],[horas_reales_mes]]-tblSegMes[[#This Row],[horas_requeridas_mes]]</f>
        <v/>
      </c>
    </row>
    <row r="29">
      <c r="A29" s="3" t="inlineStr">
        <is>
          <t>Técnico 13</t>
        </is>
      </c>
      <c r="B29" s="3" t="inlineStr">
        <is>
          <t>2026-08</t>
        </is>
      </c>
      <c r="C29" s="3">
        <f>SUMIFS(tblSegHH[horas_reales],tblSegHH[tecnico],tblSegMes[[#This Row],[tecnico]],tblSegHH[semana],"2026-S32")+SUMIFS(tblSegHH[horas_reales],tblSegHH[tecnico],tblSegMes[[#This Row],[tecnico]],tblSegHH[semana],"2026-S33")</f>
        <v/>
      </c>
      <c r="D29" s="3">
        <f>2*p_base_semanal_horas</f>
        <v/>
      </c>
      <c r="E29" s="3">
        <f>IF(tblSegMes[[#This Row],[horas_reales_mes]]&gt;=tblSegMes[[#This Row],[horas_requeridas_mes]]-p_tolerancia_horas_bono,"sí","no")</f>
        <v/>
      </c>
      <c r="F29" s="3">
        <f>tblSegMes[[#This Row],[horas_reales_mes]]-tblSegMes[[#This Row],[horas_requeridas_mes]]</f>
        <v/>
      </c>
    </row>
    <row r="30">
      <c r="A30" s="3" t="inlineStr">
        <is>
          <t>Técnico 14</t>
        </is>
      </c>
      <c r="B30" s="3" t="inlineStr">
        <is>
          <t>2026-07</t>
        </is>
      </c>
      <c r="C30" s="3">
        <f>SUMIFS(tblSegHH[horas_reales],tblSegHH[tecnico],tblSegMes[[#This Row],[tecnico]],tblSegHH[semana],"2026-S30")+SUMIFS(tblSegHH[horas_reales],tblSegHH[tecnico],tblSegMes[[#This Row],[tecnico]],tblSegHH[semana],"2026-S31")</f>
        <v/>
      </c>
      <c r="D30" s="3">
        <f>2*p_base_semanal_horas</f>
        <v/>
      </c>
      <c r="E30" s="3">
        <f>IF(tblSegMes[[#This Row],[horas_reales_mes]]&gt;=tblSegMes[[#This Row],[horas_requeridas_mes]]-p_tolerancia_horas_bono,"sí","no")</f>
        <v/>
      </c>
      <c r="F30" s="3">
        <f>tblSegMes[[#This Row],[horas_reales_mes]]-tblSegMes[[#This Row],[horas_requeridas_mes]]</f>
        <v/>
      </c>
    </row>
    <row r="31">
      <c r="A31" s="3" t="inlineStr">
        <is>
          <t>Técnico 14</t>
        </is>
      </c>
      <c r="B31" s="3" t="inlineStr">
        <is>
          <t>2026-08</t>
        </is>
      </c>
      <c r="C31" s="3">
        <f>SUMIFS(tblSegHH[horas_reales],tblSegHH[tecnico],tblSegMes[[#This Row],[tecnico]],tblSegHH[semana],"2026-S32")+SUMIFS(tblSegHH[horas_reales],tblSegHH[tecnico],tblSegMes[[#This Row],[tecnico]],tblSegHH[semana],"2026-S33")</f>
        <v/>
      </c>
      <c r="D31" s="3">
        <f>2*p_base_semanal_horas</f>
        <v/>
      </c>
      <c r="E31" s="3">
        <f>IF(tblSegMes[[#This Row],[horas_reales_mes]]&gt;=tblSegMes[[#This Row],[horas_requeridas_mes]]-p_tolerancia_horas_bono,"sí","no")</f>
        <v/>
      </c>
      <c r="F31" s="3">
        <f>tblSegMes[[#This Row],[horas_reales_mes]]-tblSegMes[[#This Row],[horas_requeridas_mes]]</f>
        <v/>
      </c>
    </row>
    <row r="32">
      <c r="A32" s="3" t="inlineStr">
        <is>
          <t>Técnico 15</t>
        </is>
      </c>
      <c r="B32" s="3" t="inlineStr">
        <is>
          <t>2026-07</t>
        </is>
      </c>
      <c r="C32" s="3">
        <f>SUMIFS(tblSegHH[horas_reales],tblSegHH[tecnico],tblSegMes[[#This Row],[tecnico]],tblSegHH[semana],"2026-S30")+SUMIFS(tblSegHH[horas_reales],tblSegHH[tecnico],tblSegMes[[#This Row],[tecnico]],tblSegHH[semana],"2026-S31")</f>
        <v/>
      </c>
      <c r="D32" s="3">
        <f>2*p_base_semanal_horas</f>
        <v/>
      </c>
      <c r="E32" s="3">
        <f>IF(tblSegMes[[#This Row],[horas_reales_mes]]&gt;=tblSegMes[[#This Row],[horas_requeridas_mes]]-p_tolerancia_horas_bono,"sí","no")</f>
        <v/>
      </c>
      <c r="F32" s="3">
        <f>tblSegMes[[#This Row],[horas_reales_mes]]-tblSegMes[[#This Row],[horas_requeridas_mes]]</f>
        <v/>
      </c>
    </row>
    <row r="33">
      <c r="A33" s="3" t="inlineStr">
        <is>
          <t>Técnico 15</t>
        </is>
      </c>
      <c r="B33" s="3" t="inlineStr">
        <is>
          <t>2026-08</t>
        </is>
      </c>
      <c r="C33" s="3">
        <f>SUMIFS(tblSegHH[horas_reales],tblSegHH[tecnico],tblSegMes[[#This Row],[tecnico]],tblSegHH[semana],"2026-S32")+SUMIFS(tblSegHH[horas_reales],tblSegHH[tecnico],tblSegMes[[#This Row],[tecnico]],tblSegHH[semana],"2026-S33")</f>
        <v/>
      </c>
      <c r="D33" s="3">
        <f>2*p_base_semanal_horas</f>
        <v/>
      </c>
      <c r="E33" s="3">
        <f>IF(tblSegMes[[#This Row],[horas_reales_mes]]&gt;=tblSegMes[[#This Row],[horas_requeridas_mes]]-p_tolerancia_horas_bono,"sí","no")</f>
        <v/>
      </c>
      <c r="F33" s="3">
        <f>tblSegMes[[#This Row],[horas_reales_mes]]-tblSegMes[[#This Row],[horas_requeridas_mes]]</f>
        <v/>
      </c>
    </row>
    <row r="34">
      <c r="A34" s="3" t="inlineStr">
        <is>
          <t>Técnico 16</t>
        </is>
      </c>
      <c r="B34" s="3" t="inlineStr">
        <is>
          <t>2026-07</t>
        </is>
      </c>
      <c r="C34" s="3">
        <f>SUMIFS(tblSegHH[horas_reales],tblSegHH[tecnico],tblSegMes[[#This Row],[tecnico]],tblSegHH[semana],"2026-S30")+SUMIFS(tblSegHH[horas_reales],tblSegHH[tecnico],tblSegMes[[#This Row],[tecnico]],tblSegHH[semana],"2026-S31")</f>
        <v/>
      </c>
      <c r="D34" s="3">
        <f>2*p_base_semanal_horas</f>
        <v/>
      </c>
      <c r="E34" s="3">
        <f>IF(tblSegMes[[#This Row],[horas_reales_mes]]&gt;=tblSegMes[[#This Row],[horas_requeridas_mes]]-p_tolerancia_horas_bono,"sí","no")</f>
        <v/>
      </c>
      <c r="F34" s="3">
        <f>tblSegMes[[#This Row],[horas_reales_mes]]-tblSegMes[[#This Row],[horas_requeridas_mes]]</f>
        <v/>
      </c>
    </row>
    <row r="35">
      <c r="A35" s="3" t="inlineStr">
        <is>
          <t>Técnico 16</t>
        </is>
      </c>
      <c r="B35" s="3" t="inlineStr">
        <is>
          <t>2026-08</t>
        </is>
      </c>
      <c r="C35" s="3">
        <f>SUMIFS(tblSegHH[horas_reales],tblSegHH[tecnico],tblSegMes[[#This Row],[tecnico]],tblSegHH[semana],"2026-S32")+SUMIFS(tblSegHH[horas_reales],tblSegHH[tecnico],tblSegMes[[#This Row],[tecnico]],tblSegHH[semana],"2026-S33")</f>
        <v/>
      </c>
      <c r="D35" s="3">
        <f>2*p_base_semanal_horas</f>
        <v/>
      </c>
      <c r="E35" s="3">
        <f>IF(tblSegMes[[#This Row],[horas_reales_mes]]&gt;=tblSegMes[[#This Row],[horas_requeridas_mes]]-p_tolerancia_horas_bono,"sí","no")</f>
        <v/>
      </c>
      <c r="F35" s="3">
        <f>tblSegMes[[#This Row],[horas_reales_mes]]-tblSegMes[[#This Row],[horas_requeridas_mes]]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4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5" t="inlineStr">
        <is>
          <t>id_operacion</t>
        </is>
      </c>
      <c r="B3" s="5" t="inlineStr">
        <is>
          <t>horas_ajustadas</t>
        </is>
      </c>
      <c r="C3" s="5" t="inlineStr">
        <is>
          <t>motivo</t>
        </is>
      </c>
      <c r="D3" s="5" t="inlineStr">
        <is>
          <t>fecha_ajuste</t>
        </is>
      </c>
      <c r="E3" s="5" t="inlineStr">
        <is>
          <t>descripcion</t>
        </is>
      </c>
      <c r="F3" s="5" t="inlineStr">
        <is>
          <t>estado_ajuste</t>
        </is>
      </c>
      <c r="G3" s="5" t="inlineStr">
        <is>
          <t>desviacion_h</t>
        </is>
      </c>
    </row>
    <row r="4">
      <c r="A4" s="6" t="inlineStr">
        <is>
          <t>OT-0000130010</t>
        </is>
      </c>
      <c r="B4" s="15" t="n">
        <v>12</v>
      </c>
      <c r="C4" s="6" t="inlineStr">
        <is>
          <t>Alcance real mayor al estándar del ERP</t>
        </is>
      </c>
      <c r="D4" s="8" t="n">
        <v>46230</v>
      </c>
      <c r="E4" s="3">
        <f>IF(tblAjustes[[#This Row],[id_operacion]]="","",_xlfn.XLOOKUP(tblAjustes[[#This Row],[id_operacion]],tblOrdenes[id_operacion],tblOrdenes[descripcion_operacion],"(no encontrada)"))</f>
        <v/>
      </c>
      <c r="F4" s="3">
        <f>IF(tblAjustes[[#This Row],[id_operacion]]="","",IF(ISNA(MATCH(tblAjustes[[#This Row],[id_operacion]],tblOrdenes[id_operacion],0)),"huérfano",IF(COUNTIF($A$4:$A4,tblAjustes[[#This Row],[id_operacion]])&gt;1,"duplicado (se ignora)","aplicado")))</f>
        <v/>
      </c>
      <c r="G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">
      <c r="A5" s="6" t="inlineStr">
        <is>
          <t>OT-0000590010</t>
        </is>
      </c>
      <c r="B5" s="15" t="n">
        <v>4</v>
      </c>
      <c r="C5" s="6" t="inlineStr">
        <is>
          <t>Alcance menor: tarea parcial</t>
        </is>
      </c>
      <c r="D5" s="8" t="n">
        <v>46230</v>
      </c>
      <c r="E5" s="3">
        <f>IF(tblAjustes[[#This Row],[id_operacion]]="","",_xlfn.XLOOKUP(tblAjustes[[#This Row],[id_operacion]],tblOrdenes[id_operacion],tblOrdenes[descripcion_operacion],"(no encontrada)"))</f>
        <v/>
      </c>
      <c r="F5" s="3">
        <f>IF(tblAjustes[[#This Row],[id_operacion]]="","",IF(ISNA(MATCH(tblAjustes[[#This Row],[id_operacion]],tblOrdenes[id_operacion],0)),"huérfano",IF(COUNTIF($A$4:$A5,tblAjustes[[#This Row],[id_operacion]])&gt;1,"duplicado (se ignora)","aplicado")))</f>
        <v/>
      </c>
      <c r="G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">
      <c r="A6" s="6" t="inlineStr">
        <is>
          <t>OT-0000130010</t>
        </is>
      </c>
      <c r="B6" s="15" t="n">
        <v>14</v>
      </c>
      <c r="C6" s="6" t="inlineStr">
        <is>
          <t>Duplicado (demo): se ignora, gana la primera fila</t>
        </is>
      </c>
      <c r="D6" s="8" t="n">
        <v>46230</v>
      </c>
      <c r="E6" s="3">
        <f>IF(tblAjustes[[#This Row],[id_operacion]]="","",_xlfn.XLOOKUP(tblAjustes[[#This Row],[id_operacion]],tblOrdenes[id_operacion],tblOrdenes[descripcion_operacion],"(no encontrada)"))</f>
        <v/>
      </c>
      <c r="F6" s="3">
        <f>IF(tblAjustes[[#This Row],[id_operacion]]="","",IF(ISNA(MATCH(tblAjustes[[#This Row],[id_operacion]],tblOrdenes[id_operacion],0)),"huérfano",IF(COUNTIF($A$4:$A6,tblAjustes[[#This Row],[id_operacion]])&gt;1,"duplicado (se ignora)","aplicado")))</f>
        <v/>
      </c>
      <c r="G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">
      <c r="A7" s="6" t="inlineStr">
        <is>
          <t>OT-0009990010</t>
        </is>
      </c>
      <c r="B7" s="15" t="n">
        <v>6</v>
      </c>
      <c r="C7" s="6" t="inlineStr">
        <is>
          <t>Huérfano (demo): la orden no existe en ORDENES</t>
        </is>
      </c>
      <c r="D7" s="8" t="n">
        <v>46230</v>
      </c>
      <c r="E7" s="3">
        <f>IF(tblAjustes[[#This Row],[id_operacion]]="","",_xlfn.XLOOKUP(tblAjustes[[#This Row],[id_operacion]],tblOrdenes[id_operacion],tblOrdenes[descripcion_operacion],"(no encontrada)"))</f>
        <v/>
      </c>
      <c r="F7" s="3">
        <f>IF(tblAjustes[[#This Row],[id_operacion]]="","",IF(ISNA(MATCH(tblAjustes[[#This Row],[id_operacion]],tblOrdenes[id_operacion],0)),"huérfano",IF(COUNTIF($A$4:$A7,tblAjustes[[#This Row],[id_operacion]])&gt;1,"duplicado (se ignora)","aplicado")))</f>
        <v/>
      </c>
      <c r="G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">
      <c r="A8" s="6" t="n"/>
      <c r="B8" s="15" t="n"/>
      <c r="C8" s="6" t="n"/>
      <c r="D8" s="8" t="n"/>
      <c r="E8" s="3">
        <f>IF(tblAjustes[[#This Row],[id_operacion]]="","",_xlfn.XLOOKUP(tblAjustes[[#This Row],[id_operacion]],tblOrdenes[id_operacion],tblOrdenes[descripcion_operacion],"(no encontrada)"))</f>
        <v/>
      </c>
      <c r="F8" s="3">
        <f>IF(tblAjustes[[#This Row],[id_operacion]]="","",IF(ISNA(MATCH(tblAjustes[[#This Row],[id_operacion]],tblOrdenes[id_operacion],0)),"huérfano",IF(COUNTIF($A$4:$A8,tblAjustes[[#This Row],[id_operacion]])&gt;1,"duplicado (se ignora)","aplicado")))</f>
        <v/>
      </c>
      <c r="G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">
      <c r="A9" s="6" t="n"/>
      <c r="B9" s="15" t="n"/>
      <c r="C9" s="6" t="n"/>
      <c r="D9" s="8" t="n"/>
      <c r="E9" s="3">
        <f>IF(tblAjustes[[#This Row],[id_operacion]]="","",_xlfn.XLOOKUP(tblAjustes[[#This Row],[id_operacion]],tblOrdenes[id_operacion],tblOrdenes[descripcion_operacion],"(no encontrada)"))</f>
        <v/>
      </c>
      <c r="F9" s="3">
        <f>IF(tblAjustes[[#This Row],[id_operacion]]="","",IF(ISNA(MATCH(tblAjustes[[#This Row],[id_operacion]],tblOrdenes[id_operacion],0)),"huérfano",IF(COUNTIF($A$4:$A9,tblAjustes[[#This Row],[id_operacion]])&gt;1,"duplicado (se ignora)","aplicado")))</f>
        <v/>
      </c>
      <c r="G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">
      <c r="A10" s="6" t="n"/>
      <c r="B10" s="15" t="n"/>
      <c r="C10" s="6" t="n"/>
      <c r="D10" s="8" t="n"/>
      <c r="E10" s="3">
        <f>IF(tblAjustes[[#This Row],[id_operacion]]="","",_xlfn.XLOOKUP(tblAjustes[[#This Row],[id_operacion]],tblOrdenes[id_operacion],tblOrdenes[descripcion_operacion],"(no encontrada)"))</f>
        <v/>
      </c>
      <c r="F10" s="3">
        <f>IF(tblAjustes[[#This Row],[id_operacion]]="","",IF(ISNA(MATCH(tblAjustes[[#This Row],[id_operacion]],tblOrdenes[id_operacion],0)),"huérfano",IF(COUNTIF($A$4:$A10,tblAjustes[[#This Row],[id_operacion]])&gt;1,"duplicado (se ignora)","aplicado")))</f>
        <v/>
      </c>
      <c r="G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">
      <c r="A11" s="6" t="n"/>
      <c r="B11" s="15" t="n"/>
      <c r="C11" s="6" t="n"/>
      <c r="D11" s="8" t="n"/>
      <c r="E11" s="3">
        <f>IF(tblAjustes[[#This Row],[id_operacion]]="","",_xlfn.XLOOKUP(tblAjustes[[#This Row],[id_operacion]],tblOrdenes[id_operacion],tblOrdenes[descripcion_operacion],"(no encontrada)"))</f>
        <v/>
      </c>
      <c r="F11" s="3">
        <f>IF(tblAjustes[[#This Row],[id_operacion]]="","",IF(ISNA(MATCH(tblAjustes[[#This Row],[id_operacion]],tblOrdenes[id_operacion],0)),"huérfano",IF(COUNTIF($A$4:$A11,tblAjustes[[#This Row],[id_operacion]])&gt;1,"duplicado (se ignora)","aplicado")))</f>
        <v/>
      </c>
      <c r="G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">
      <c r="A12" s="6" t="n"/>
      <c r="B12" s="15" t="n"/>
      <c r="C12" s="6" t="n"/>
      <c r="D12" s="8" t="n"/>
      <c r="E12" s="3">
        <f>IF(tblAjustes[[#This Row],[id_operacion]]="","",_xlfn.XLOOKUP(tblAjustes[[#This Row],[id_operacion]],tblOrdenes[id_operacion],tblOrdenes[descripcion_operacion],"(no encontrada)"))</f>
        <v/>
      </c>
      <c r="F12" s="3">
        <f>IF(tblAjustes[[#This Row],[id_operacion]]="","",IF(ISNA(MATCH(tblAjustes[[#This Row],[id_operacion]],tblOrdenes[id_operacion],0)),"huérfano",IF(COUNTIF($A$4:$A12,tblAjustes[[#This Row],[id_operacion]])&gt;1,"duplicado (se ignora)","aplicado")))</f>
        <v/>
      </c>
      <c r="G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">
      <c r="A13" s="6" t="n"/>
      <c r="B13" s="15" t="n"/>
      <c r="C13" s="6" t="n"/>
      <c r="D13" s="8" t="n"/>
      <c r="E13" s="3">
        <f>IF(tblAjustes[[#This Row],[id_operacion]]="","",_xlfn.XLOOKUP(tblAjustes[[#This Row],[id_operacion]],tblOrdenes[id_operacion],tblOrdenes[descripcion_operacion],"(no encontrada)"))</f>
        <v/>
      </c>
      <c r="F13" s="3">
        <f>IF(tblAjustes[[#This Row],[id_operacion]]="","",IF(ISNA(MATCH(tblAjustes[[#This Row],[id_operacion]],tblOrdenes[id_operacion],0)),"huérfano",IF(COUNTIF($A$4:$A13,tblAjustes[[#This Row],[id_operacion]])&gt;1,"duplicado (se ignora)","aplicado")))</f>
        <v/>
      </c>
      <c r="G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">
      <c r="A14" s="6" t="n"/>
      <c r="B14" s="15" t="n"/>
      <c r="C14" s="6" t="n"/>
      <c r="D14" s="8" t="n"/>
      <c r="E14" s="3">
        <f>IF(tblAjustes[[#This Row],[id_operacion]]="","",_xlfn.XLOOKUP(tblAjustes[[#This Row],[id_operacion]],tblOrdenes[id_operacion],tblOrdenes[descripcion_operacion],"(no encontrada)"))</f>
        <v/>
      </c>
      <c r="F14" s="3">
        <f>IF(tblAjustes[[#This Row],[id_operacion]]="","",IF(ISNA(MATCH(tblAjustes[[#This Row],[id_operacion]],tblOrdenes[id_operacion],0)),"huérfano",IF(COUNTIF($A$4:$A14,tblAjustes[[#This Row],[id_operacion]])&gt;1,"duplicado (se ignora)","aplicado")))</f>
        <v/>
      </c>
      <c r="G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">
      <c r="A15" s="6" t="n"/>
      <c r="B15" s="15" t="n"/>
      <c r="C15" s="6" t="n"/>
      <c r="D15" s="8" t="n"/>
      <c r="E15" s="3">
        <f>IF(tblAjustes[[#This Row],[id_operacion]]="","",_xlfn.XLOOKUP(tblAjustes[[#This Row],[id_operacion]],tblOrdenes[id_operacion],tblOrdenes[descripcion_operacion],"(no encontrada)"))</f>
        <v/>
      </c>
      <c r="F15" s="3">
        <f>IF(tblAjustes[[#This Row],[id_operacion]]="","",IF(ISNA(MATCH(tblAjustes[[#This Row],[id_operacion]],tblOrdenes[id_operacion],0)),"huérfano",IF(COUNTIF($A$4:$A15,tblAjustes[[#This Row],[id_operacion]])&gt;1,"duplicado (se ignora)","aplicado")))</f>
        <v/>
      </c>
      <c r="G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">
      <c r="A16" s="6" t="n"/>
      <c r="B16" s="15" t="n"/>
      <c r="C16" s="6" t="n"/>
      <c r="D16" s="8" t="n"/>
      <c r="E16" s="3">
        <f>IF(tblAjustes[[#This Row],[id_operacion]]="","",_xlfn.XLOOKUP(tblAjustes[[#This Row],[id_operacion]],tblOrdenes[id_operacion],tblOrdenes[descripcion_operacion],"(no encontrada)"))</f>
        <v/>
      </c>
      <c r="F16" s="3">
        <f>IF(tblAjustes[[#This Row],[id_operacion]]="","",IF(ISNA(MATCH(tblAjustes[[#This Row],[id_operacion]],tblOrdenes[id_operacion],0)),"huérfano",IF(COUNTIF($A$4:$A16,tblAjustes[[#This Row],[id_operacion]])&gt;1,"duplicado (se ignora)","aplicado")))</f>
        <v/>
      </c>
      <c r="G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">
      <c r="A17" s="6" t="n"/>
      <c r="B17" s="15" t="n"/>
      <c r="C17" s="6" t="n"/>
      <c r="D17" s="8" t="n"/>
      <c r="E17" s="3">
        <f>IF(tblAjustes[[#This Row],[id_operacion]]="","",_xlfn.XLOOKUP(tblAjustes[[#This Row],[id_operacion]],tblOrdenes[id_operacion],tblOrdenes[descripcion_operacion],"(no encontrada)"))</f>
        <v/>
      </c>
      <c r="F17" s="3">
        <f>IF(tblAjustes[[#This Row],[id_operacion]]="","",IF(ISNA(MATCH(tblAjustes[[#This Row],[id_operacion]],tblOrdenes[id_operacion],0)),"huérfano",IF(COUNTIF($A$4:$A17,tblAjustes[[#This Row],[id_operacion]])&gt;1,"duplicado (se ignora)","aplicado")))</f>
        <v/>
      </c>
      <c r="G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">
      <c r="A18" s="6" t="n"/>
      <c r="B18" s="15" t="n"/>
      <c r="C18" s="6" t="n"/>
      <c r="D18" s="8" t="n"/>
      <c r="E18" s="3">
        <f>IF(tblAjustes[[#This Row],[id_operacion]]="","",_xlfn.XLOOKUP(tblAjustes[[#This Row],[id_operacion]],tblOrdenes[id_operacion],tblOrdenes[descripcion_operacion],"(no encontrada)"))</f>
        <v/>
      </c>
      <c r="F18" s="3">
        <f>IF(tblAjustes[[#This Row],[id_operacion]]="","",IF(ISNA(MATCH(tblAjustes[[#This Row],[id_operacion]],tblOrdenes[id_operacion],0)),"huérfano",IF(COUNTIF($A$4:$A18,tblAjustes[[#This Row],[id_operacion]])&gt;1,"duplicado (se ignora)","aplicado")))</f>
        <v/>
      </c>
      <c r="G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">
      <c r="A19" s="6" t="n"/>
      <c r="B19" s="15" t="n"/>
      <c r="C19" s="6" t="n"/>
      <c r="D19" s="8" t="n"/>
      <c r="E19" s="3">
        <f>IF(tblAjustes[[#This Row],[id_operacion]]="","",_xlfn.XLOOKUP(tblAjustes[[#This Row],[id_operacion]],tblOrdenes[id_operacion],tblOrdenes[descripcion_operacion],"(no encontrada)"))</f>
        <v/>
      </c>
      <c r="F19" s="3">
        <f>IF(tblAjustes[[#This Row],[id_operacion]]="","",IF(ISNA(MATCH(tblAjustes[[#This Row],[id_operacion]],tblOrdenes[id_operacion],0)),"huérfano",IF(COUNTIF($A$4:$A19,tblAjustes[[#This Row],[id_operacion]])&gt;1,"duplicado (se ignora)","aplicado")))</f>
        <v/>
      </c>
      <c r="G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">
      <c r="A20" s="6" t="n"/>
      <c r="B20" s="15" t="n"/>
      <c r="C20" s="6" t="n"/>
      <c r="D20" s="8" t="n"/>
      <c r="E20" s="3">
        <f>IF(tblAjustes[[#This Row],[id_operacion]]="","",_xlfn.XLOOKUP(tblAjustes[[#This Row],[id_operacion]],tblOrdenes[id_operacion],tblOrdenes[descripcion_operacion],"(no encontrada)"))</f>
        <v/>
      </c>
      <c r="F20" s="3">
        <f>IF(tblAjustes[[#This Row],[id_operacion]]="","",IF(ISNA(MATCH(tblAjustes[[#This Row],[id_operacion]],tblOrdenes[id_operacion],0)),"huérfano",IF(COUNTIF($A$4:$A20,tblAjustes[[#This Row],[id_operacion]])&gt;1,"duplicado (se ignora)","aplicado")))</f>
        <v/>
      </c>
      <c r="G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">
      <c r="A21" s="6" t="n"/>
      <c r="B21" s="15" t="n"/>
      <c r="C21" s="6" t="n"/>
      <c r="D21" s="8" t="n"/>
      <c r="E21" s="3">
        <f>IF(tblAjustes[[#This Row],[id_operacion]]="","",_xlfn.XLOOKUP(tblAjustes[[#This Row],[id_operacion]],tblOrdenes[id_operacion],tblOrdenes[descripcion_operacion],"(no encontrada)"))</f>
        <v/>
      </c>
      <c r="F21" s="3">
        <f>IF(tblAjustes[[#This Row],[id_operacion]]="","",IF(ISNA(MATCH(tblAjustes[[#This Row],[id_operacion]],tblOrdenes[id_operacion],0)),"huérfano",IF(COUNTIF($A$4:$A21,tblAjustes[[#This Row],[id_operacion]])&gt;1,"duplicado (se ignora)","aplicado")))</f>
        <v/>
      </c>
      <c r="G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">
      <c r="A22" s="6" t="n"/>
      <c r="B22" s="15" t="n"/>
      <c r="C22" s="6" t="n"/>
      <c r="D22" s="8" t="n"/>
      <c r="E22" s="3">
        <f>IF(tblAjustes[[#This Row],[id_operacion]]="","",_xlfn.XLOOKUP(tblAjustes[[#This Row],[id_operacion]],tblOrdenes[id_operacion],tblOrdenes[descripcion_operacion],"(no encontrada)"))</f>
        <v/>
      </c>
      <c r="F22" s="3">
        <f>IF(tblAjustes[[#This Row],[id_operacion]]="","",IF(ISNA(MATCH(tblAjustes[[#This Row],[id_operacion]],tblOrdenes[id_operacion],0)),"huérfano",IF(COUNTIF($A$4:$A22,tblAjustes[[#This Row],[id_operacion]])&gt;1,"duplicado (se ignora)","aplicado")))</f>
        <v/>
      </c>
      <c r="G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">
      <c r="A23" s="6" t="n"/>
      <c r="B23" s="15" t="n"/>
      <c r="C23" s="6" t="n"/>
      <c r="D23" s="8" t="n"/>
      <c r="E23" s="3">
        <f>IF(tblAjustes[[#This Row],[id_operacion]]="","",_xlfn.XLOOKUP(tblAjustes[[#This Row],[id_operacion]],tblOrdenes[id_operacion],tblOrdenes[descripcion_operacion],"(no encontrada)"))</f>
        <v/>
      </c>
      <c r="F23" s="3">
        <f>IF(tblAjustes[[#This Row],[id_operacion]]="","",IF(ISNA(MATCH(tblAjustes[[#This Row],[id_operacion]],tblOrdenes[id_operacion],0)),"huérfano",IF(COUNTIF($A$4:$A23,tblAjustes[[#This Row],[id_operacion]])&gt;1,"duplicado (se ignora)","aplicado")))</f>
        <v/>
      </c>
      <c r="G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">
      <c r="A24" s="6" t="n"/>
      <c r="B24" s="15" t="n"/>
      <c r="C24" s="6" t="n"/>
      <c r="D24" s="8" t="n"/>
      <c r="E24" s="3">
        <f>IF(tblAjustes[[#This Row],[id_operacion]]="","",_xlfn.XLOOKUP(tblAjustes[[#This Row],[id_operacion]],tblOrdenes[id_operacion],tblOrdenes[descripcion_operacion],"(no encontrada)"))</f>
        <v/>
      </c>
      <c r="F24" s="3">
        <f>IF(tblAjustes[[#This Row],[id_operacion]]="","",IF(ISNA(MATCH(tblAjustes[[#This Row],[id_operacion]],tblOrdenes[id_operacion],0)),"huérfano",IF(COUNTIF($A$4:$A24,tblAjustes[[#This Row],[id_operacion]])&gt;1,"duplicado (se ignora)","aplicado")))</f>
        <v/>
      </c>
      <c r="G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">
      <c r="A25" s="6" t="n"/>
      <c r="B25" s="15" t="n"/>
      <c r="C25" s="6" t="n"/>
      <c r="D25" s="8" t="n"/>
      <c r="E25" s="3">
        <f>IF(tblAjustes[[#This Row],[id_operacion]]="","",_xlfn.XLOOKUP(tblAjustes[[#This Row],[id_operacion]],tblOrdenes[id_operacion],tblOrdenes[descripcion_operacion],"(no encontrada)"))</f>
        <v/>
      </c>
      <c r="F25" s="3">
        <f>IF(tblAjustes[[#This Row],[id_operacion]]="","",IF(ISNA(MATCH(tblAjustes[[#This Row],[id_operacion]],tblOrdenes[id_operacion],0)),"huérfano",IF(COUNTIF($A$4:$A25,tblAjustes[[#This Row],[id_operacion]])&gt;1,"duplicado (se ignora)","aplicado")))</f>
        <v/>
      </c>
      <c r="G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">
      <c r="A26" s="6" t="n"/>
      <c r="B26" s="15" t="n"/>
      <c r="C26" s="6" t="n"/>
      <c r="D26" s="8" t="n"/>
      <c r="E26" s="3">
        <f>IF(tblAjustes[[#This Row],[id_operacion]]="","",_xlfn.XLOOKUP(tblAjustes[[#This Row],[id_operacion]],tblOrdenes[id_operacion],tblOrdenes[descripcion_operacion],"(no encontrada)"))</f>
        <v/>
      </c>
      <c r="F26" s="3">
        <f>IF(tblAjustes[[#This Row],[id_operacion]]="","",IF(ISNA(MATCH(tblAjustes[[#This Row],[id_operacion]],tblOrdenes[id_operacion],0)),"huérfano",IF(COUNTIF($A$4:$A26,tblAjustes[[#This Row],[id_operacion]])&gt;1,"duplicado (se ignora)","aplicado")))</f>
        <v/>
      </c>
      <c r="G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">
      <c r="A27" s="6" t="n"/>
      <c r="B27" s="15" t="n"/>
      <c r="C27" s="6" t="n"/>
      <c r="D27" s="8" t="n"/>
      <c r="E27" s="3">
        <f>IF(tblAjustes[[#This Row],[id_operacion]]="","",_xlfn.XLOOKUP(tblAjustes[[#This Row],[id_operacion]],tblOrdenes[id_operacion],tblOrdenes[descripcion_operacion],"(no encontrada)"))</f>
        <v/>
      </c>
      <c r="F27" s="3">
        <f>IF(tblAjustes[[#This Row],[id_operacion]]="","",IF(ISNA(MATCH(tblAjustes[[#This Row],[id_operacion]],tblOrdenes[id_operacion],0)),"huérfano",IF(COUNTIF($A$4:$A27,tblAjustes[[#This Row],[id_operacion]])&gt;1,"duplicado (se ignora)","aplicado")))</f>
        <v/>
      </c>
      <c r="G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">
      <c r="A28" s="6" t="n"/>
      <c r="B28" s="15" t="n"/>
      <c r="C28" s="6" t="n"/>
      <c r="D28" s="8" t="n"/>
      <c r="E28" s="3">
        <f>IF(tblAjustes[[#This Row],[id_operacion]]="","",_xlfn.XLOOKUP(tblAjustes[[#This Row],[id_operacion]],tblOrdenes[id_operacion],tblOrdenes[descripcion_operacion],"(no encontrada)"))</f>
        <v/>
      </c>
      <c r="F28" s="3">
        <f>IF(tblAjustes[[#This Row],[id_operacion]]="","",IF(ISNA(MATCH(tblAjustes[[#This Row],[id_operacion]],tblOrdenes[id_operacion],0)),"huérfano",IF(COUNTIF($A$4:$A28,tblAjustes[[#This Row],[id_operacion]])&gt;1,"duplicado (se ignora)","aplicado")))</f>
        <v/>
      </c>
      <c r="G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">
      <c r="A29" s="6" t="n"/>
      <c r="B29" s="15" t="n"/>
      <c r="C29" s="6" t="n"/>
      <c r="D29" s="8" t="n"/>
      <c r="E29" s="3">
        <f>IF(tblAjustes[[#This Row],[id_operacion]]="","",_xlfn.XLOOKUP(tblAjustes[[#This Row],[id_operacion]],tblOrdenes[id_operacion],tblOrdenes[descripcion_operacion],"(no encontrada)"))</f>
        <v/>
      </c>
      <c r="F29" s="3">
        <f>IF(tblAjustes[[#This Row],[id_operacion]]="","",IF(ISNA(MATCH(tblAjustes[[#This Row],[id_operacion]],tblOrdenes[id_operacion],0)),"huérfano",IF(COUNTIF($A$4:$A29,tblAjustes[[#This Row],[id_operacion]])&gt;1,"duplicado (se ignora)","aplicado")))</f>
        <v/>
      </c>
      <c r="G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">
      <c r="A30" s="6" t="n"/>
      <c r="B30" s="15" t="n"/>
      <c r="C30" s="6" t="n"/>
      <c r="D30" s="8" t="n"/>
      <c r="E30" s="3">
        <f>IF(tblAjustes[[#This Row],[id_operacion]]="","",_xlfn.XLOOKUP(tblAjustes[[#This Row],[id_operacion]],tblOrdenes[id_operacion],tblOrdenes[descripcion_operacion],"(no encontrada)"))</f>
        <v/>
      </c>
      <c r="F30" s="3">
        <f>IF(tblAjustes[[#This Row],[id_operacion]]="","",IF(ISNA(MATCH(tblAjustes[[#This Row],[id_operacion]],tblOrdenes[id_operacion],0)),"huérfano",IF(COUNTIF($A$4:$A30,tblAjustes[[#This Row],[id_operacion]])&gt;1,"duplicado (se ignora)","aplicado")))</f>
        <v/>
      </c>
      <c r="G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1">
      <c r="A31" s="6" t="n"/>
      <c r="B31" s="15" t="n"/>
      <c r="C31" s="6" t="n"/>
      <c r="D31" s="8" t="n"/>
      <c r="E31" s="3">
        <f>IF(tblAjustes[[#This Row],[id_operacion]]="","",_xlfn.XLOOKUP(tblAjustes[[#This Row],[id_operacion]],tblOrdenes[id_operacion],tblOrdenes[descripcion_operacion],"(no encontrada)"))</f>
        <v/>
      </c>
      <c r="F31" s="3">
        <f>IF(tblAjustes[[#This Row],[id_operacion]]="","",IF(ISNA(MATCH(tblAjustes[[#This Row],[id_operacion]],tblOrdenes[id_operacion],0)),"huérfano",IF(COUNTIF($A$4:$A31,tblAjustes[[#This Row],[id_operacion]])&gt;1,"duplicado (se ignora)","aplicado")))</f>
        <v/>
      </c>
      <c r="G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2">
      <c r="A32" s="6" t="n"/>
      <c r="B32" s="15" t="n"/>
      <c r="C32" s="6" t="n"/>
      <c r="D32" s="8" t="n"/>
      <c r="E32" s="3">
        <f>IF(tblAjustes[[#This Row],[id_operacion]]="","",_xlfn.XLOOKUP(tblAjustes[[#This Row],[id_operacion]],tblOrdenes[id_operacion],tblOrdenes[descripcion_operacion],"(no encontrada)"))</f>
        <v/>
      </c>
      <c r="F32" s="3">
        <f>IF(tblAjustes[[#This Row],[id_operacion]]="","",IF(ISNA(MATCH(tblAjustes[[#This Row],[id_operacion]],tblOrdenes[id_operacion],0)),"huérfano",IF(COUNTIF($A$4:$A32,tblAjustes[[#This Row],[id_operacion]])&gt;1,"duplicado (se ignora)","aplicado")))</f>
        <v/>
      </c>
      <c r="G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3">
      <c r="A33" s="6" t="n"/>
      <c r="B33" s="15" t="n"/>
      <c r="C33" s="6" t="n"/>
      <c r="D33" s="8" t="n"/>
      <c r="E33" s="3">
        <f>IF(tblAjustes[[#This Row],[id_operacion]]="","",_xlfn.XLOOKUP(tblAjustes[[#This Row],[id_operacion]],tblOrdenes[id_operacion],tblOrdenes[descripcion_operacion],"(no encontrada)"))</f>
        <v/>
      </c>
      <c r="F33" s="3">
        <f>IF(tblAjustes[[#This Row],[id_operacion]]="","",IF(ISNA(MATCH(tblAjustes[[#This Row],[id_operacion]],tblOrdenes[id_operacion],0)),"huérfano",IF(COUNTIF($A$4:$A33,tblAjustes[[#This Row],[id_operacion]])&gt;1,"duplicado (se ignora)","aplicado")))</f>
        <v/>
      </c>
      <c r="G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4">
      <c r="A34" s="6" t="n"/>
      <c r="B34" s="15" t="n"/>
      <c r="C34" s="6" t="n"/>
      <c r="D34" s="8" t="n"/>
      <c r="E34" s="3">
        <f>IF(tblAjustes[[#This Row],[id_operacion]]="","",_xlfn.XLOOKUP(tblAjustes[[#This Row],[id_operacion]],tblOrdenes[id_operacion],tblOrdenes[descripcion_operacion],"(no encontrada)"))</f>
        <v/>
      </c>
      <c r="F34" s="3">
        <f>IF(tblAjustes[[#This Row],[id_operacion]]="","",IF(ISNA(MATCH(tblAjustes[[#This Row],[id_operacion]],tblOrdenes[id_operacion],0)),"huérfano",IF(COUNTIF($A$4:$A34,tblAjustes[[#This Row],[id_operacion]])&gt;1,"duplicado (se ignora)","aplicado")))</f>
        <v/>
      </c>
      <c r="G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5">
      <c r="A35" s="6" t="n"/>
      <c r="B35" s="15" t="n"/>
      <c r="C35" s="6" t="n"/>
      <c r="D35" s="8" t="n"/>
      <c r="E35" s="3">
        <f>IF(tblAjustes[[#This Row],[id_operacion]]="","",_xlfn.XLOOKUP(tblAjustes[[#This Row],[id_operacion]],tblOrdenes[id_operacion],tblOrdenes[descripcion_operacion],"(no encontrada)"))</f>
        <v/>
      </c>
      <c r="F35" s="3">
        <f>IF(tblAjustes[[#This Row],[id_operacion]]="","",IF(ISNA(MATCH(tblAjustes[[#This Row],[id_operacion]],tblOrdenes[id_operacion],0)),"huérfano",IF(COUNTIF($A$4:$A35,tblAjustes[[#This Row],[id_operacion]])&gt;1,"duplicado (se ignora)","aplicado")))</f>
        <v/>
      </c>
      <c r="G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6">
      <c r="A36" s="6" t="n"/>
      <c r="B36" s="15" t="n"/>
      <c r="C36" s="6" t="n"/>
      <c r="D36" s="8" t="n"/>
      <c r="E36" s="3">
        <f>IF(tblAjustes[[#This Row],[id_operacion]]="","",_xlfn.XLOOKUP(tblAjustes[[#This Row],[id_operacion]],tblOrdenes[id_operacion],tblOrdenes[descripcion_operacion],"(no encontrada)"))</f>
        <v/>
      </c>
      <c r="F36" s="3">
        <f>IF(tblAjustes[[#This Row],[id_operacion]]="","",IF(ISNA(MATCH(tblAjustes[[#This Row],[id_operacion]],tblOrdenes[id_operacion],0)),"huérfano",IF(COUNTIF($A$4:$A36,tblAjustes[[#This Row],[id_operacion]])&gt;1,"duplicado (se ignora)","aplicado")))</f>
        <v/>
      </c>
      <c r="G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7">
      <c r="A37" s="6" t="n"/>
      <c r="B37" s="15" t="n"/>
      <c r="C37" s="6" t="n"/>
      <c r="D37" s="8" t="n"/>
      <c r="E37" s="3">
        <f>IF(tblAjustes[[#This Row],[id_operacion]]="","",_xlfn.XLOOKUP(tblAjustes[[#This Row],[id_operacion]],tblOrdenes[id_operacion],tblOrdenes[descripcion_operacion],"(no encontrada)"))</f>
        <v/>
      </c>
      <c r="F37" s="3">
        <f>IF(tblAjustes[[#This Row],[id_operacion]]="","",IF(ISNA(MATCH(tblAjustes[[#This Row],[id_operacion]],tblOrdenes[id_operacion],0)),"huérfano",IF(COUNTIF($A$4:$A37,tblAjustes[[#This Row],[id_operacion]])&gt;1,"duplicado (se ignora)","aplicado")))</f>
        <v/>
      </c>
      <c r="G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8">
      <c r="A38" s="6" t="n"/>
      <c r="B38" s="15" t="n"/>
      <c r="C38" s="6" t="n"/>
      <c r="D38" s="8" t="n"/>
      <c r="E38" s="3">
        <f>IF(tblAjustes[[#This Row],[id_operacion]]="","",_xlfn.XLOOKUP(tblAjustes[[#This Row],[id_operacion]],tblOrdenes[id_operacion],tblOrdenes[descripcion_operacion],"(no encontrada)"))</f>
        <v/>
      </c>
      <c r="F38" s="3">
        <f>IF(tblAjustes[[#This Row],[id_operacion]]="","",IF(ISNA(MATCH(tblAjustes[[#This Row],[id_operacion]],tblOrdenes[id_operacion],0)),"huérfano",IF(COUNTIF($A$4:$A38,tblAjustes[[#This Row],[id_operacion]])&gt;1,"duplicado (se ignora)","aplicado")))</f>
        <v/>
      </c>
      <c r="G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9">
      <c r="A39" s="6" t="n"/>
      <c r="B39" s="15" t="n"/>
      <c r="C39" s="6" t="n"/>
      <c r="D39" s="8" t="n"/>
      <c r="E39" s="3">
        <f>IF(tblAjustes[[#This Row],[id_operacion]]="","",_xlfn.XLOOKUP(tblAjustes[[#This Row],[id_operacion]],tblOrdenes[id_operacion],tblOrdenes[descripcion_operacion],"(no encontrada)"))</f>
        <v/>
      </c>
      <c r="F39" s="3">
        <f>IF(tblAjustes[[#This Row],[id_operacion]]="","",IF(ISNA(MATCH(tblAjustes[[#This Row],[id_operacion]],tblOrdenes[id_operacion],0)),"huérfano",IF(COUNTIF($A$4:$A39,tblAjustes[[#This Row],[id_operacion]])&gt;1,"duplicado (se ignora)","aplicado")))</f>
        <v/>
      </c>
      <c r="G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0">
      <c r="A40" s="6" t="n"/>
      <c r="B40" s="15" t="n"/>
      <c r="C40" s="6" t="n"/>
      <c r="D40" s="8" t="n"/>
      <c r="E40" s="3">
        <f>IF(tblAjustes[[#This Row],[id_operacion]]="","",_xlfn.XLOOKUP(tblAjustes[[#This Row],[id_operacion]],tblOrdenes[id_operacion],tblOrdenes[descripcion_operacion],"(no encontrada)"))</f>
        <v/>
      </c>
      <c r="F40" s="3">
        <f>IF(tblAjustes[[#This Row],[id_operacion]]="","",IF(ISNA(MATCH(tblAjustes[[#This Row],[id_operacion]],tblOrdenes[id_operacion],0)),"huérfano",IF(COUNTIF($A$4:$A40,tblAjustes[[#This Row],[id_operacion]])&gt;1,"duplicado (se ignora)","aplicado")))</f>
        <v/>
      </c>
      <c r="G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1">
      <c r="A41" s="6" t="n"/>
      <c r="B41" s="15" t="n"/>
      <c r="C41" s="6" t="n"/>
      <c r="D41" s="8" t="n"/>
      <c r="E41" s="3">
        <f>IF(tblAjustes[[#This Row],[id_operacion]]="","",_xlfn.XLOOKUP(tblAjustes[[#This Row],[id_operacion]],tblOrdenes[id_operacion],tblOrdenes[descripcion_operacion],"(no encontrada)"))</f>
        <v/>
      </c>
      <c r="F41" s="3">
        <f>IF(tblAjustes[[#This Row],[id_operacion]]="","",IF(ISNA(MATCH(tblAjustes[[#This Row],[id_operacion]],tblOrdenes[id_operacion],0)),"huérfano",IF(COUNTIF($A$4:$A41,tblAjustes[[#This Row],[id_operacion]])&gt;1,"duplicado (se ignora)","aplicado")))</f>
        <v/>
      </c>
      <c r="G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2">
      <c r="A42" s="6" t="n"/>
      <c r="B42" s="15" t="n"/>
      <c r="C42" s="6" t="n"/>
      <c r="D42" s="8" t="n"/>
      <c r="E42" s="3">
        <f>IF(tblAjustes[[#This Row],[id_operacion]]="","",_xlfn.XLOOKUP(tblAjustes[[#This Row],[id_operacion]],tblOrdenes[id_operacion],tblOrdenes[descripcion_operacion],"(no encontrada)"))</f>
        <v/>
      </c>
      <c r="F42" s="3">
        <f>IF(tblAjustes[[#This Row],[id_operacion]]="","",IF(ISNA(MATCH(tblAjustes[[#This Row],[id_operacion]],tblOrdenes[id_operacion],0)),"huérfano",IF(COUNTIF($A$4:$A42,tblAjustes[[#This Row],[id_operacion]])&gt;1,"duplicado (se ignora)","aplicado")))</f>
        <v/>
      </c>
      <c r="G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3">
      <c r="A43" s="6" t="n"/>
      <c r="B43" s="15" t="n"/>
      <c r="C43" s="6" t="n"/>
      <c r="D43" s="8" t="n"/>
      <c r="E43" s="3">
        <f>IF(tblAjustes[[#This Row],[id_operacion]]="","",_xlfn.XLOOKUP(tblAjustes[[#This Row],[id_operacion]],tblOrdenes[id_operacion],tblOrdenes[descripcion_operacion],"(no encontrada)"))</f>
        <v/>
      </c>
      <c r="F43" s="3">
        <f>IF(tblAjustes[[#This Row],[id_operacion]]="","",IF(ISNA(MATCH(tblAjustes[[#This Row],[id_operacion]],tblOrdenes[id_operacion],0)),"huérfano",IF(COUNTIF($A$4:$A43,tblAjustes[[#This Row],[id_operacion]])&gt;1,"duplicado (se ignora)","aplicado")))</f>
        <v/>
      </c>
      <c r="G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4">
      <c r="A44" s="6" t="n"/>
      <c r="B44" s="15" t="n"/>
      <c r="C44" s="6" t="n"/>
      <c r="D44" s="8" t="n"/>
      <c r="E44" s="3">
        <f>IF(tblAjustes[[#This Row],[id_operacion]]="","",_xlfn.XLOOKUP(tblAjustes[[#This Row],[id_operacion]],tblOrdenes[id_operacion],tblOrdenes[descripcion_operacion],"(no encontrada)"))</f>
        <v/>
      </c>
      <c r="F44" s="3">
        <f>IF(tblAjustes[[#This Row],[id_operacion]]="","",IF(ISNA(MATCH(tblAjustes[[#This Row],[id_operacion]],tblOrdenes[id_operacion],0)),"huérfano",IF(COUNTIF($A$4:$A44,tblAjustes[[#This Row],[id_operacion]])&gt;1,"duplicado (se ignora)","aplicado")))</f>
        <v/>
      </c>
      <c r="G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5">
      <c r="A45" s="6" t="n"/>
      <c r="B45" s="15" t="n"/>
      <c r="C45" s="6" t="n"/>
      <c r="D45" s="8" t="n"/>
      <c r="E45" s="3">
        <f>IF(tblAjustes[[#This Row],[id_operacion]]="","",_xlfn.XLOOKUP(tblAjustes[[#This Row],[id_operacion]],tblOrdenes[id_operacion],tblOrdenes[descripcion_operacion],"(no encontrada)"))</f>
        <v/>
      </c>
      <c r="F45" s="3">
        <f>IF(tblAjustes[[#This Row],[id_operacion]]="","",IF(ISNA(MATCH(tblAjustes[[#This Row],[id_operacion]],tblOrdenes[id_operacion],0)),"huérfano",IF(COUNTIF($A$4:$A45,tblAjustes[[#This Row],[id_operacion]])&gt;1,"duplicado (se ignora)","aplicado")))</f>
        <v/>
      </c>
      <c r="G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6">
      <c r="A46" s="6" t="n"/>
      <c r="B46" s="15" t="n"/>
      <c r="C46" s="6" t="n"/>
      <c r="D46" s="8" t="n"/>
      <c r="E46" s="3">
        <f>IF(tblAjustes[[#This Row],[id_operacion]]="","",_xlfn.XLOOKUP(tblAjustes[[#This Row],[id_operacion]],tblOrdenes[id_operacion],tblOrdenes[descripcion_operacion],"(no encontrada)"))</f>
        <v/>
      </c>
      <c r="F46" s="3">
        <f>IF(tblAjustes[[#This Row],[id_operacion]]="","",IF(ISNA(MATCH(tblAjustes[[#This Row],[id_operacion]],tblOrdenes[id_operacion],0)),"huérfano",IF(COUNTIF($A$4:$A46,tblAjustes[[#This Row],[id_operacion]])&gt;1,"duplicado (se ignora)","aplicado")))</f>
        <v/>
      </c>
      <c r="G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7">
      <c r="A47" s="6" t="n"/>
      <c r="B47" s="15" t="n"/>
      <c r="C47" s="6" t="n"/>
      <c r="D47" s="8" t="n"/>
      <c r="E47" s="3">
        <f>IF(tblAjustes[[#This Row],[id_operacion]]="","",_xlfn.XLOOKUP(tblAjustes[[#This Row],[id_operacion]],tblOrdenes[id_operacion],tblOrdenes[descripcion_operacion],"(no encontrada)"))</f>
        <v/>
      </c>
      <c r="F47" s="3">
        <f>IF(tblAjustes[[#This Row],[id_operacion]]="","",IF(ISNA(MATCH(tblAjustes[[#This Row],[id_operacion]],tblOrdenes[id_operacion],0)),"huérfano",IF(COUNTIF($A$4:$A47,tblAjustes[[#This Row],[id_operacion]])&gt;1,"duplicado (se ignora)","aplicado")))</f>
        <v/>
      </c>
      <c r="G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8">
      <c r="A48" s="6" t="n"/>
      <c r="B48" s="15" t="n"/>
      <c r="C48" s="6" t="n"/>
      <c r="D48" s="8" t="n"/>
      <c r="E48" s="3">
        <f>IF(tblAjustes[[#This Row],[id_operacion]]="","",_xlfn.XLOOKUP(tblAjustes[[#This Row],[id_operacion]],tblOrdenes[id_operacion],tblOrdenes[descripcion_operacion],"(no encontrada)"))</f>
        <v/>
      </c>
      <c r="F48" s="3">
        <f>IF(tblAjustes[[#This Row],[id_operacion]]="","",IF(ISNA(MATCH(tblAjustes[[#This Row],[id_operacion]],tblOrdenes[id_operacion],0)),"huérfano",IF(COUNTIF($A$4:$A48,tblAjustes[[#This Row],[id_operacion]])&gt;1,"duplicado (se ignora)","aplicado")))</f>
        <v/>
      </c>
      <c r="G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9">
      <c r="A49" s="6" t="n"/>
      <c r="B49" s="15" t="n"/>
      <c r="C49" s="6" t="n"/>
      <c r="D49" s="8" t="n"/>
      <c r="E49" s="3">
        <f>IF(tblAjustes[[#This Row],[id_operacion]]="","",_xlfn.XLOOKUP(tblAjustes[[#This Row],[id_operacion]],tblOrdenes[id_operacion],tblOrdenes[descripcion_operacion],"(no encontrada)"))</f>
        <v/>
      </c>
      <c r="F49" s="3">
        <f>IF(tblAjustes[[#This Row],[id_operacion]]="","",IF(ISNA(MATCH(tblAjustes[[#This Row],[id_operacion]],tblOrdenes[id_operacion],0)),"huérfano",IF(COUNTIF($A$4:$A49,tblAjustes[[#This Row],[id_operacion]])&gt;1,"duplicado (se ignora)","aplicado")))</f>
        <v/>
      </c>
      <c r="G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0">
      <c r="A50" s="6" t="n"/>
      <c r="B50" s="15" t="n"/>
      <c r="C50" s="6" t="n"/>
      <c r="D50" s="8" t="n"/>
      <c r="E50" s="3">
        <f>IF(tblAjustes[[#This Row],[id_operacion]]="","",_xlfn.XLOOKUP(tblAjustes[[#This Row],[id_operacion]],tblOrdenes[id_operacion],tblOrdenes[descripcion_operacion],"(no encontrada)"))</f>
        <v/>
      </c>
      <c r="F50" s="3">
        <f>IF(tblAjustes[[#This Row],[id_operacion]]="","",IF(ISNA(MATCH(tblAjustes[[#This Row],[id_operacion]],tblOrdenes[id_operacion],0)),"huérfano",IF(COUNTIF($A$4:$A50,tblAjustes[[#This Row],[id_operacion]])&gt;1,"duplicado (se ignora)","aplicado")))</f>
        <v/>
      </c>
      <c r="G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1">
      <c r="A51" s="6" t="n"/>
      <c r="B51" s="15" t="n"/>
      <c r="C51" s="6" t="n"/>
      <c r="D51" s="8" t="n"/>
      <c r="E51" s="3">
        <f>IF(tblAjustes[[#This Row],[id_operacion]]="","",_xlfn.XLOOKUP(tblAjustes[[#This Row],[id_operacion]],tblOrdenes[id_operacion],tblOrdenes[descripcion_operacion],"(no encontrada)"))</f>
        <v/>
      </c>
      <c r="F51" s="3">
        <f>IF(tblAjustes[[#This Row],[id_operacion]]="","",IF(ISNA(MATCH(tblAjustes[[#This Row],[id_operacion]],tblOrdenes[id_operacion],0)),"huérfano",IF(COUNTIF($A$4:$A51,tblAjustes[[#This Row],[id_operacion]])&gt;1,"duplicado (se ignora)","aplicado")))</f>
        <v/>
      </c>
      <c r="G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2">
      <c r="A52" s="6" t="n"/>
      <c r="B52" s="15" t="n"/>
      <c r="C52" s="6" t="n"/>
      <c r="D52" s="8" t="n"/>
      <c r="E52" s="3">
        <f>IF(tblAjustes[[#This Row],[id_operacion]]="","",_xlfn.XLOOKUP(tblAjustes[[#This Row],[id_operacion]],tblOrdenes[id_operacion],tblOrdenes[descripcion_operacion],"(no encontrada)"))</f>
        <v/>
      </c>
      <c r="F52" s="3">
        <f>IF(tblAjustes[[#This Row],[id_operacion]]="","",IF(ISNA(MATCH(tblAjustes[[#This Row],[id_operacion]],tblOrdenes[id_operacion],0)),"huérfano",IF(COUNTIF($A$4:$A52,tblAjustes[[#This Row],[id_operacion]])&gt;1,"duplicado (se ignora)","aplicado")))</f>
        <v/>
      </c>
      <c r="G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3">
      <c r="A53" s="6" t="n"/>
      <c r="B53" s="15" t="n"/>
      <c r="C53" s="6" t="n"/>
      <c r="D53" s="8" t="n"/>
      <c r="E53" s="3">
        <f>IF(tblAjustes[[#This Row],[id_operacion]]="","",_xlfn.XLOOKUP(tblAjustes[[#This Row],[id_operacion]],tblOrdenes[id_operacion],tblOrdenes[descripcion_operacion],"(no encontrada)"))</f>
        <v/>
      </c>
      <c r="F53" s="3">
        <f>IF(tblAjustes[[#This Row],[id_operacion]]="","",IF(ISNA(MATCH(tblAjustes[[#This Row],[id_operacion]],tblOrdenes[id_operacion],0)),"huérfano",IF(COUNTIF($A$4:$A53,tblAjustes[[#This Row],[id_operacion]])&gt;1,"duplicado (se ignora)","aplicado")))</f>
        <v/>
      </c>
      <c r="G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4">
      <c r="A54" s="6" t="n"/>
      <c r="B54" s="15" t="n"/>
      <c r="C54" s="6" t="n"/>
      <c r="D54" s="8" t="n"/>
      <c r="E54" s="3">
        <f>IF(tblAjustes[[#This Row],[id_operacion]]="","",_xlfn.XLOOKUP(tblAjustes[[#This Row],[id_operacion]],tblOrdenes[id_operacion],tblOrdenes[descripcion_operacion],"(no encontrada)"))</f>
        <v/>
      </c>
      <c r="F54" s="3">
        <f>IF(tblAjustes[[#This Row],[id_operacion]]="","",IF(ISNA(MATCH(tblAjustes[[#This Row],[id_operacion]],tblOrdenes[id_operacion],0)),"huérfano",IF(COUNTIF($A$4:$A54,tblAjustes[[#This Row],[id_operacion]])&gt;1,"duplicado (se ignora)","aplicado")))</f>
        <v/>
      </c>
      <c r="G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5">
      <c r="A55" s="6" t="n"/>
      <c r="B55" s="15" t="n"/>
      <c r="C55" s="6" t="n"/>
      <c r="D55" s="8" t="n"/>
      <c r="E55" s="3">
        <f>IF(tblAjustes[[#This Row],[id_operacion]]="","",_xlfn.XLOOKUP(tblAjustes[[#This Row],[id_operacion]],tblOrdenes[id_operacion],tblOrdenes[descripcion_operacion],"(no encontrada)"))</f>
        <v/>
      </c>
      <c r="F55" s="3">
        <f>IF(tblAjustes[[#This Row],[id_operacion]]="","",IF(ISNA(MATCH(tblAjustes[[#This Row],[id_operacion]],tblOrdenes[id_operacion],0)),"huérfano",IF(COUNTIF($A$4:$A55,tblAjustes[[#This Row],[id_operacion]])&gt;1,"duplicado (se ignora)","aplicado")))</f>
        <v/>
      </c>
      <c r="G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6">
      <c r="A56" s="6" t="n"/>
      <c r="B56" s="15" t="n"/>
      <c r="C56" s="6" t="n"/>
      <c r="D56" s="8" t="n"/>
      <c r="E56" s="3">
        <f>IF(tblAjustes[[#This Row],[id_operacion]]="","",_xlfn.XLOOKUP(tblAjustes[[#This Row],[id_operacion]],tblOrdenes[id_operacion],tblOrdenes[descripcion_operacion],"(no encontrada)"))</f>
        <v/>
      </c>
      <c r="F56" s="3">
        <f>IF(tblAjustes[[#This Row],[id_operacion]]="","",IF(ISNA(MATCH(tblAjustes[[#This Row],[id_operacion]],tblOrdenes[id_operacion],0)),"huérfano",IF(COUNTIF($A$4:$A56,tblAjustes[[#This Row],[id_operacion]])&gt;1,"duplicado (se ignora)","aplicado")))</f>
        <v/>
      </c>
      <c r="G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7">
      <c r="A57" s="6" t="n"/>
      <c r="B57" s="15" t="n"/>
      <c r="C57" s="6" t="n"/>
      <c r="D57" s="8" t="n"/>
      <c r="E57" s="3">
        <f>IF(tblAjustes[[#This Row],[id_operacion]]="","",_xlfn.XLOOKUP(tblAjustes[[#This Row],[id_operacion]],tblOrdenes[id_operacion],tblOrdenes[descripcion_operacion],"(no encontrada)"))</f>
        <v/>
      </c>
      <c r="F57" s="3">
        <f>IF(tblAjustes[[#This Row],[id_operacion]]="","",IF(ISNA(MATCH(tblAjustes[[#This Row],[id_operacion]],tblOrdenes[id_operacion],0)),"huérfano",IF(COUNTIF($A$4:$A57,tblAjustes[[#This Row],[id_operacion]])&gt;1,"duplicado (se ignora)","aplicado")))</f>
        <v/>
      </c>
      <c r="G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8">
      <c r="A58" s="6" t="n"/>
      <c r="B58" s="15" t="n"/>
      <c r="C58" s="6" t="n"/>
      <c r="D58" s="8" t="n"/>
      <c r="E58" s="3">
        <f>IF(tblAjustes[[#This Row],[id_operacion]]="","",_xlfn.XLOOKUP(tblAjustes[[#This Row],[id_operacion]],tblOrdenes[id_operacion],tblOrdenes[descripcion_operacion],"(no encontrada)"))</f>
        <v/>
      </c>
      <c r="F58" s="3">
        <f>IF(tblAjustes[[#This Row],[id_operacion]]="","",IF(ISNA(MATCH(tblAjustes[[#This Row],[id_operacion]],tblOrdenes[id_operacion],0)),"huérfano",IF(COUNTIF($A$4:$A58,tblAjustes[[#This Row],[id_operacion]])&gt;1,"duplicado (se ignora)","aplicado")))</f>
        <v/>
      </c>
      <c r="G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9">
      <c r="A59" s="6" t="n"/>
      <c r="B59" s="15" t="n"/>
      <c r="C59" s="6" t="n"/>
      <c r="D59" s="8" t="n"/>
      <c r="E59" s="3">
        <f>IF(tblAjustes[[#This Row],[id_operacion]]="","",_xlfn.XLOOKUP(tblAjustes[[#This Row],[id_operacion]],tblOrdenes[id_operacion],tblOrdenes[descripcion_operacion],"(no encontrada)"))</f>
        <v/>
      </c>
      <c r="F59" s="3">
        <f>IF(tblAjustes[[#This Row],[id_operacion]]="","",IF(ISNA(MATCH(tblAjustes[[#This Row],[id_operacion]],tblOrdenes[id_operacion],0)),"huérfano",IF(COUNTIF($A$4:$A59,tblAjustes[[#This Row],[id_operacion]])&gt;1,"duplicado (se ignora)","aplicado")))</f>
        <v/>
      </c>
      <c r="G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0">
      <c r="A60" s="6" t="n"/>
      <c r="B60" s="15" t="n"/>
      <c r="C60" s="6" t="n"/>
      <c r="D60" s="8" t="n"/>
      <c r="E60" s="3">
        <f>IF(tblAjustes[[#This Row],[id_operacion]]="","",_xlfn.XLOOKUP(tblAjustes[[#This Row],[id_operacion]],tblOrdenes[id_operacion],tblOrdenes[descripcion_operacion],"(no encontrada)"))</f>
        <v/>
      </c>
      <c r="F60" s="3">
        <f>IF(tblAjustes[[#This Row],[id_operacion]]="","",IF(ISNA(MATCH(tblAjustes[[#This Row],[id_operacion]],tblOrdenes[id_operacion],0)),"huérfano",IF(COUNTIF($A$4:$A60,tblAjustes[[#This Row],[id_operacion]])&gt;1,"duplicado (se ignora)","aplicado")))</f>
        <v/>
      </c>
      <c r="G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1">
      <c r="A61" s="6" t="n"/>
      <c r="B61" s="15" t="n"/>
      <c r="C61" s="6" t="n"/>
      <c r="D61" s="8" t="n"/>
      <c r="E61" s="3">
        <f>IF(tblAjustes[[#This Row],[id_operacion]]="","",_xlfn.XLOOKUP(tblAjustes[[#This Row],[id_operacion]],tblOrdenes[id_operacion],tblOrdenes[descripcion_operacion],"(no encontrada)"))</f>
        <v/>
      </c>
      <c r="F61" s="3">
        <f>IF(tblAjustes[[#This Row],[id_operacion]]="","",IF(ISNA(MATCH(tblAjustes[[#This Row],[id_operacion]],tblOrdenes[id_operacion],0)),"huérfano",IF(COUNTIF($A$4:$A61,tblAjustes[[#This Row],[id_operacion]])&gt;1,"duplicado (se ignora)","aplicado")))</f>
        <v/>
      </c>
      <c r="G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2">
      <c r="A62" s="6" t="n"/>
      <c r="B62" s="15" t="n"/>
      <c r="C62" s="6" t="n"/>
      <c r="D62" s="8" t="n"/>
      <c r="E62" s="3">
        <f>IF(tblAjustes[[#This Row],[id_operacion]]="","",_xlfn.XLOOKUP(tblAjustes[[#This Row],[id_operacion]],tblOrdenes[id_operacion],tblOrdenes[descripcion_operacion],"(no encontrada)"))</f>
        <v/>
      </c>
      <c r="F62" s="3">
        <f>IF(tblAjustes[[#This Row],[id_operacion]]="","",IF(ISNA(MATCH(tblAjustes[[#This Row],[id_operacion]],tblOrdenes[id_operacion],0)),"huérfano",IF(COUNTIF($A$4:$A62,tblAjustes[[#This Row],[id_operacion]])&gt;1,"duplicado (se ignora)","aplicado")))</f>
        <v/>
      </c>
      <c r="G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3">
      <c r="A63" s="6" t="n"/>
      <c r="B63" s="15" t="n"/>
      <c r="C63" s="6" t="n"/>
      <c r="D63" s="8" t="n"/>
      <c r="E63" s="3">
        <f>IF(tblAjustes[[#This Row],[id_operacion]]="","",_xlfn.XLOOKUP(tblAjustes[[#This Row],[id_operacion]],tblOrdenes[id_operacion],tblOrdenes[descripcion_operacion],"(no encontrada)"))</f>
        <v/>
      </c>
      <c r="F63" s="3">
        <f>IF(tblAjustes[[#This Row],[id_operacion]]="","",IF(ISNA(MATCH(tblAjustes[[#This Row],[id_operacion]],tblOrdenes[id_operacion],0)),"huérfano",IF(COUNTIF($A$4:$A63,tblAjustes[[#This Row],[id_operacion]])&gt;1,"duplicado (se ignora)","aplicado")))</f>
        <v/>
      </c>
      <c r="G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4">
      <c r="A64" s="6" t="n"/>
      <c r="B64" s="15" t="n"/>
      <c r="C64" s="6" t="n"/>
      <c r="D64" s="8" t="n"/>
      <c r="E64" s="3">
        <f>IF(tblAjustes[[#This Row],[id_operacion]]="","",_xlfn.XLOOKUP(tblAjustes[[#This Row],[id_operacion]],tblOrdenes[id_operacion],tblOrdenes[descripcion_operacion],"(no encontrada)"))</f>
        <v/>
      </c>
      <c r="F64" s="3">
        <f>IF(tblAjustes[[#This Row],[id_operacion]]="","",IF(ISNA(MATCH(tblAjustes[[#This Row],[id_operacion]],tblOrdenes[id_operacion],0)),"huérfano",IF(COUNTIF($A$4:$A64,tblAjustes[[#This Row],[id_operacion]])&gt;1,"duplicado (se ignora)","aplicado")))</f>
        <v/>
      </c>
      <c r="G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5">
      <c r="A65" s="6" t="n"/>
      <c r="B65" s="15" t="n"/>
      <c r="C65" s="6" t="n"/>
      <c r="D65" s="8" t="n"/>
      <c r="E65" s="3">
        <f>IF(tblAjustes[[#This Row],[id_operacion]]="","",_xlfn.XLOOKUP(tblAjustes[[#This Row],[id_operacion]],tblOrdenes[id_operacion],tblOrdenes[descripcion_operacion],"(no encontrada)"))</f>
        <v/>
      </c>
      <c r="F65" s="3">
        <f>IF(tblAjustes[[#This Row],[id_operacion]]="","",IF(ISNA(MATCH(tblAjustes[[#This Row],[id_operacion]],tblOrdenes[id_operacion],0)),"huérfano",IF(COUNTIF($A$4:$A65,tblAjustes[[#This Row],[id_operacion]])&gt;1,"duplicado (se ignora)","aplicado")))</f>
        <v/>
      </c>
      <c r="G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6">
      <c r="A66" s="6" t="n"/>
      <c r="B66" s="15" t="n"/>
      <c r="C66" s="6" t="n"/>
      <c r="D66" s="8" t="n"/>
      <c r="E66" s="3">
        <f>IF(tblAjustes[[#This Row],[id_operacion]]="","",_xlfn.XLOOKUP(tblAjustes[[#This Row],[id_operacion]],tblOrdenes[id_operacion],tblOrdenes[descripcion_operacion],"(no encontrada)"))</f>
        <v/>
      </c>
      <c r="F66" s="3">
        <f>IF(tblAjustes[[#This Row],[id_operacion]]="","",IF(ISNA(MATCH(tblAjustes[[#This Row],[id_operacion]],tblOrdenes[id_operacion],0)),"huérfano",IF(COUNTIF($A$4:$A66,tblAjustes[[#This Row],[id_operacion]])&gt;1,"duplicado (se ignora)","aplicado")))</f>
        <v/>
      </c>
      <c r="G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7">
      <c r="A67" s="6" t="n"/>
      <c r="B67" s="15" t="n"/>
      <c r="C67" s="6" t="n"/>
      <c r="D67" s="8" t="n"/>
      <c r="E67" s="3">
        <f>IF(tblAjustes[[#This Row],[id_operacion]]="","",_xlfn.XLOOKUP(tblAjustes[[#This Row],[id_operacion]],tblOrdenes[id_operacion],tblOrdenes[descripcion_operacion],"(no encontrada)"))</f>
        <v/>
      </c>
      <c r="F67" s="3">
        <f>IF(tblAjustes[[#This Row],[id_operacion]]="","",IF(ISNA(MATCH(tblAjustes[[#This Row],[id_operacion]],tblOrdenes[id_operacion],0)),"huérfano",IF(COUNTIF($A$4:$A67,tblAjustes[[#This Row],[id_operacion]])&gt;1,"duplicado (se ignora)","aplicado")))</f>
        <v/>
      </c>
      <c r="G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8">
      <c r="A68" s="6" t="n"/>
      <c r="B68" s="15" t="n"/>
      <c r="C68" s="6" t="n"/>
      <c r="D68" s="8" t="n"/>
      <c r="E68" s="3">
        <f>IF(tblAjustes[[#This Row],[id_operacion]]="","",_xlfn.XLOOKUP(tblAjustes[[#This Row],[id_operacion]],tblOrdenes[id_operacion],tblOrdenes[descripcion_operacion],"(no encontrada)"))</f>
        <v/>
      </c>
      <c r="F68" s="3">
        <f>IF(tblAjustes[[#This Row],[id_operacion]]="","",IF(ISNA(MATCH(tblAjustes[[#This Row],[id_operacion]],tblOrdenes[id_operacion],0)),"huérfano",IF(COUNTIF($A$4:$A68,tblAjustes[[#This Row],[id_operacion]])&gt;1,"duplicado (se ignora)","aplicado")))</f>
        <v/>
      </c>
      <c r="G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9">
      <c r="A69" s="6" t="n"/>
      <c r="B69" s="15" t="n"/>
      <c r="C69" s="6" t="n"/>
      <c r="D69" s="8" t="n"/>
      <c r="E69" s="3">
        <f>IF(tblAjustes[[#This Row],[id_operacion]]="","",_xlfn.XLOOKUP(tblAjustes[[#This Row],[id_operacion]],tblOrdenes[id_operacion],tblOrdenes[descripcion_operacion],"(no encontrada)"))</f>
        <v/>
      </c>
      <c r="F69" s="3">
        <f>IF(tblAjustes[[#This Row],[id_operacion]]="","",IF(ISNA(MATCH(tblAjustes[[#This Row],[id_operacion]],tblOrdenes[id_operacion],0)),"huérfano",IF(COUNTIF($A$4:$A69,tblAjustes[[#This Row],[id_operacion]])&gt;1,"duplicado (se ignora)","aplicado")))</f>
        <v/>
      </c>
      <c r="G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0">
      <c r="A70" s="6" t="n"/>
      <c r="B70" s="15" t="n"/>
      <c r="C70" s="6" t="n"/>
      <c r="D70" s="8" t="n"/>
      <c r="E70" s="3">
        <f>IF(tblAjustes[[#This Row],[id_operacion]]="","",_xlfn.XLOOKUP(tblAjustes[[#This Row],[id_operacion]],tblOrdenes[id_operacion],tblOrdenes[descripcion_operacion],"(no encontrada)"))</f>
        <v/>
      </c>
      <c r="F70" s="3">
        <f>IF(tblAjustes[[#This Row],[id_operacion]]="","",IF(ISNA(MATCH(tblAjustes[[#This Row],[id_operacion]],tblOrdenes[id_operacion],0)),"huérfano",IF(COUNTIF($A$4:$A70,tblAjustes[[#This Row],[id_operacion]])&gt;1,"duplicado (se ignora)","aplicado")))</f>
        <v/>
      </c>
      <c r="G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1">
      <c r="A71" s="6" t="n"/>
      <c r="B71" s="15" t="n"/>
      <c r="C71" s="6" t="n"/>
      <c r="D71" s="8" t="n"/>
      <c r="E71" s="3">
        <f>IF(tblAjustes[[#This Row],[id_operacion]]="","",_xlfn.XLOOKUP(tblAjustes[[#This Row],[id_operacion]],tblOrdenes[id_operacion],tblOrdenes[descripcion_operacion],"(no encontrada)"))</f>
        <v/>
      </c>
      <c r="F71" s="3">
        <f>IF(tblAjustes[[#This Row],[id_operacion]]="","",IF(ISNA(MATCH(tblAjustes[[#This Row],[id_operacion]],tblOrdenes[id_operacion],0)),"huérfano",IF(COUNTIF($A$4:$A71,tblAjustes[[#This Row],[id_operacion]])&gt;1,"duplicado (se ignora)","aplicado")))</f>
        <v/>
      </c>
      <c r="G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2">
      <c r="A72" s="6" t="n"/>
      <c r="B72" s="15" t="n"/>
      <c r="C72" s="6" t="n"/>
      <c r="D72" s="8" t="n"/>
      <c r="E72" s="3">
        <f>IF(tblAjustes[[#This Row],[id_operacion]]="","",_xlfn.XLOOKUP(tblAjustes[[#This Row],[id_operacion]],tblOrdenes[id_operacion],tblOrdenes[descripcion_operacion],"(no encontrada)"))</f>
        <v/>
      </c>
      <c r="F72" s="3">
        <f>IF(tblAjustes[[#This Row],[id_operacion]]="","",IF(ISNA(MATCH(tblAjustes[[#This Row],[id_operacion]],tblOrdenes[id_operacion],0)),"huérfano",IF(COUNTIF($A$4:$A72,tblAjustes[[#This Row],[id_operacion]])&gt;1,"duplicado (se ignora)","aplicado")))</f>
        <v/>
      </c>
      <c r="G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3">
      <c r="A73" s="6" t="n"/>
      <c r="B73" s="15" t="n"/>
      <c r="C73" s="6" t="n"/>
      <c r="D73" s="8" t="n"/>
      <c r="E73" s="3">
        <f>IF(tblAjustes[[#This Row],[id_operacion]]="","",_xlfn.XLOOKUP(tblAjustes[[#This Row],[id_operacion]],tblOrdenes[id_operacion],tblOrdenes[descripcion_operacion],"(no encontrada)"))</f>
        <v/>
      </c>
      <c r="F73" s="3">
        <f>IF(tblAjustes[[#This Row],[id_operacion]]="","",IF(ISNA(MATCH(tblAjustes[[#This Row],[id_operacion]],tblOrdenes[id_operacion],0)),"huérfano",IF(COUNTIF($A$4:$A73,tblAjustes[[#This Row],[id_operacion]])&gt;1,"duplicado (se ignora)","aplicado")))</f>
        <v/>
      </c>
      <c r="G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4">
      <c r="A74" s="6" t="n"/>
      <c r="B74" s="15" t="n"/>
      <c r="C74" s="6" t="n"/>
      <c r="D74" s="8" t="n"/>
      <c r="E74" s="3">
        <f>IF(tblAjustes[[#This Row],[id_operacion]]="","",_xlfn.XLOOKUP(tblAjustes[[#This Row],[id_operacion]],tblOrdenes[id_operacion],tblOrdenes[descripcion_operacion],"(no encontrada)"))</f>
        <v/>
      </c>
      <c r="F74" s="3">
        <f>IF(tblAjustes[[#This Row],[id_operacion]]="","",IF(ISNA(MATCH(tblAjustes[[#This Row],[id_operacion]],tblOrdenes[id_operacion],0)),"huérfano",IF(COUNTIF($A$4:$A74,tblAjustes[[#This Row],[id_operacion]])&gt;1,"duplicado (se ignora)","aplicado")))</f>
        <v/>
      </c>
      <c r="G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5">
      <c r="A75" s="6" t="n"/>
      <c r="B75" s="15" t="n"/>
      <c r="C75" s="6" t="n"/>
      <c r="D75" s="8" t="n"/>
      <c r="E75" s="3">
        <f>IF(tblAjustes[[#This Row],[id_operacion]]="","",_xlfn.XLOOKUP(tblAjustes[[#This Row],[id_operacion]],tblOrdenes[id_operacion],tblOrdenes[descripcion_operacion],"(no encontrada)"))</f>
        <v/>
      </c>
      <c r="F75" s="3">
        <f>IF(tblAjustes[[#This Row],[id_operacion]]="","",IF(ISNA(MATCH(tblAjustes[[#This Row],[id_operacion]],tblOrdenes[id_operacion],0)),"huérfano",IF(COUNTIF($A$4:$A75,tblAjustes[[#This Row],[id_operacion]])&gt;1,"duplicado (se ignora)","aplicado")))</f>
        <v/>
      </c>
      <c r="G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6">
      <c r="A76" s="6" t="n"/>
      <c r="B76" s="15" t="n"/>
      <c r="C76" s="6" t="n"/>
      <c r="D76" s="8" t="n"/>
      <c r="E76" s="3">
        <f>IF(tblAjustes[[#This Row],[id_operacion]]="","",_xlfn.XLOOKUP(tblAjustes[[#This Row],[id_operacion]],tblOrdenes[id_operacion],tblOrdenes[descripcion_operacion],"(no encontrada)"))</f>
        <v/>
      </c>
      <c r="F76" s="3">
        <f>IF(tblAjustes[[#This Row],[id_operacion]]="","",IF(ISNA(MATCH(tblAjustes[[#This Row],[id_operacion]],tblOrdenes[id_operacion],0)),"huérfano",IF(COUNTIF($A$4:$A76,tblAjustes[[#This Row],[id_operacion]])&gt;1,"duplicado (se ignora)","aplicado")))</f>
        <v/>
      </c>
      <c r="G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7">
      <c r="A77" s="6" t="n"/>
      <c r="B77" s="15" t="n"/>
      <c r="C77" s="6" t="n"/>
      <c r="D77" s="8" t="n"/>
      <c r="E77" s="3">
        <f>IF(tblAjustes[[#This Row],[id_operacion]]="","",_xlfn.XLOOKUP(tblAjustes[[#This Row],[id_operacion]],tblOrdenes[id_operacion],tblOrdenes[descripcion_operacion],"(no encontrada)"))</f>
        <v/>
      </c>
      <c r="F77" s="3">
        <f>IF(tblAjustes[[#This Row],[id_operacion]]="","",IF(ISNA(MATCH(tblAjustes[[#This Row],[id_operacion]],tblOrdenes[id_operacion],0)),"huérfano",IF(COUNTIF($A$4:$A77,tblAjustes[[#This Row],[id_operacion]])&gt;1,"duplicado (se ignora)","aplicado")))</f>
        <v/>
      </c>
      <c r="G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8">
      <c r="A78" s="6" t="n"/>
      <c r="B78" s="15" t="n"/>
      <c r="C78" s="6" t="n"/>
      <c r="D78" s="8" t="n"/>
      <c r="E78" s="3">
        <f>IF(tblAjustes[[#This Row],[id_operacion]]="","",_xlfn.XLOOKUP(tblAjustes[[#This Row],[id_operacion]],tblOrdenes[id_operacion],tblOrdenes[descripcion_operacion],"(no encontrada)"))</f>
        <v/>
      </c>
      <c r="F78" s="3">
        <f>IF(tblAjustes[[#This Row],[id_operacion]]="","",IF(ISNA(MATCH(tblAjustes[[#This Row],[id_operacion]],tblOrdenes[id_operacion],0)),"huérfano",IF(COUNTIF($A$4:$A78,tblAjustes[[#This Row],[id_operacion]])&gt;1,"duplicado (se ignora)","aplicado")))</f>
        <v/>
      </c>
      <c r="G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9">
      <c r="A79" s="6" t="n"/>
      <c r="B79" s="15" t="n"/>
      <c r="C79" s="6" t="n"/>
      <c r="D79" s="8" t="n"/>
      <c r="E79" s="3">
        <f>IF(tblAjustes[[#This Row],[id_operacion]]="","",_xlfn.XLOOKUP(tblAjustes[[#This Row],[id_operacion]],tblOrdenes[id_operacion],tblOrdenes[descripcion_operacion],"(no encontrada)"))</f>
        <v/>
      </c>
      <c r="F79" s="3">
        <f>IF(tblAjustes[[#This Row],[id_operacion]]="","",IF(ISNA(MATCH(tblAjustes[[#This Row],[id_operacion]],tblOrdenes[id_operacion],0)),"huérfano",IF(COUNTIF($A$4:$A79,tblAjustes[[#This Row],[id_operacion]])&gt;1,"duplicado (se ignora)","aplicado")))</f>
        <v/>
      </c>
      <c r="G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0">
      <c r="A80" s="6" t="n"/>
      <c r="B80" s="15" t="n"/>
      <c r="C80" s="6" t="n"/>
      <c r="D80" s="8" t="n"/>
      <c r="E80" s="3">
        <f>IF(tblAjustes[[#This Row],[id_operacion]]="","",_xlfn.XLOOKUP(tblAjustes[[#This Row],[id_operacion]],tblOrdenes[id_operacion],tblOrdenes[descripcion_operacion],"(no encontrada)"))</f>
        <v/>
      </c>
      <c r="F80" s="3">
        <f>IF(tblAjustes[[#This Row],[id_operacion]]="","",IF(ISNA(MATCH(tblAjustes[[#This Row],[id_operacion]],tblOrdenes[id_operacion],0)),"huérfano",IF(COUNTIF($A$4:$A80,tblAjustes[[#This Row],[id_operacion]])&gt;1,"duplicado (se ignora)","aplicado")))</f>
        <v/>
      </c>
      <c r="G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1">
      <c r="A81" s="6" t="n"/>
      <c r="B81" s="15" t="n"/>
      <c r="C81" s="6" t="n"/>
      <c r="D81" s="8" t="n"/>
      <c r="E81" s="3">
        <f>IF(tblAjustes[[#This Row],[id_operacion]]="","",_xlfn.XLOOKUP(tblAjustes[[#This Row],[id_operacion]],tblOrdenes[id_operacion],tblOrdenes[descripcion_operacion],"(no encontrada)"))</f>
        <v/>
      </c>
      <c r="F81" s="3">
        <f>IF(tblAjustes[[#This Row],[id_operacion]]="","",IF(ISNA(MATCH(tblAjustes[[#This Row],[id_operacion]],tblOrdenes[id_operacion],0)),"huérfano",IF(COUNTIF($A$4:$A81,tblAjustes[[#This Row],[id_operacion]])&gt;1,"duplicado (se ignora)","aplicado")))</f>
        <v/>
      </c>
      <c r="G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2">
      <c r="A82" s="6" t="n"/>
      <c r="B82" s="15" t="n"/>
      <c r="C82" s="6" t="n"/>
      <c r="D82" s="8" t="n"/>
      <c r="E82" s="3">
        <f>IF(tblAjustes[[#This Row],[id_operacion]]="","",_xlfn.XLOOKUP(tblAjustes[[#This Row],[id_operacion]],tblOrdenes[id_operacion],tblOrdenes[descripcion_operacion],"(no encontrada)"))</f>
        <v/>
      </c>
      <c r="F82" s="3">
        <f>IF(tblAjustes[[#This Row],[id_operacion]]="","",IF(ISNA(MATCH(tblAjustes[[#This Row],[id_operacion]],tblOrdenes[id_operacion],0)),"huérfano",IF(COUNTIF($A$4:$A82,tblAjustes[[#This Row],[id_operacion]])&gt;1,"duplicado (se ignora)","aplicado")))</f>
        <v/>
      </c>
      <c r="G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3">
      <c r="A83" s="6" t="n"/>
      <c r="B83" s="15" t="n"/>
      <c r="C83" s="6" t="n"/>
      <c r="D83" s="8" t="n"/>
      <c r="E83" s="3">
        <f>IF(tblAjustes[[#This Row],[id_operacion]]="","",_xlfn.XLOOKUP(tblAjustes[[#This Row],[id_operacion]],tblOrdenes[id_operacion],tblOrdenes[descripcion_operacion],"(no encontrada)"))</f>
        <v/>
      </c>
      <c r="F83" s="3">
        <f>IF(tblAjustes[[#This Row],[id_operacion]]="","",IF(ISNA(MATCH(tblAjustes[[#This Row],[id_operacion]],tblOrdenes[id_operacion],0)),"huérfano",IF(COUNTIF($A$4:$A83,tblAjustes[[#This Row],[id_operacion]])&gt;1,"duplicado (se ignora)","aplicado")))</f>
        <v/>
      </c>
      <c r="G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4">
      <c r="A84" s="6" t="n"/>
      <c r="B84" s="15" t="n"/>
      <c r="C84" s="6" t="n"/>
      <c r="D84" s="8" t="n"/>
      <c r="E84" s="3">
        <f>IF(tblAjustes[[#This Row],[id_operacion]]="","",_xlfn.XLOOKUP(tblAjustes[[#This Row],[id_operacion]],tblOrdenes[id_operacion],tblOrdenes[descripcion_operacion],"(no encontrada)"))</f>
        <v/>
      </c>
      <c r="F84" s="3">
        <f>IF(tblAjustes[[#This Row],[id_operacion]]="","",IF(ISNA(MATCH(tblAjustes[[#This Row],[id_operacion]],tblOrdenes[id_operacion],0)),"huérfano",IF(COUNTIF($A$4:$A84,tblAjustes[[#This Row],[id_operacion]])&gt;1,"duplicado (se ignora)","aplicado")))</f>
        <v/>
      </c>
      <c r="G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5">
      <c r="A85" s="6" t="n"/>
      <c r="B85" s="15" t="n"/>
      <c r="C85" s="6" t="n"/>
      <c r="D85" s="8" t="n"/>
      <c r="E85" s="3">
        <f>IF(tblAjustes[[#This Row],[id_operacion]]="","",_xlfn.XLOOKUP(tblAjustes[[#This Row],[id_operacion]],tblOrdenes[id_operacion],tblOrdenes[descripcion_operacion],"(no encontrada)"))</f>
        <v/>
      </c>
      <c r="F85" s="3">
        <f>IF(tblAjustes[[#This Row],[id_operacion]]="","",IF(ISNA(MATCH(tblAjustes[[#This Row],[id_operacion]],tblOrdenes[id_operacion],0)),"huérfano",IF(COUNTIF($A$4:$A85,tblAjustes[[#This Row],[id_operacion]])&gt;1,"duplicado (se ignora)","aplicado")))</f>
        <v/>
      </c>
      <c r="G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6">
      <c r="A86" s="6" t="n"/>
      <c r="B86" s="15" t="n"/>
      <c r="C86" s="6" t="n"/>
      <c r="D86" s="8" t="n"/>
      <c r="E86" s="3">
        <f>IF(tblAjustes[[#This Row],[id_operacion]]="","",_xlfn.XLOOKUP(tblAjustes[[#This Row],[id_operacion]],tblOrdenes[id_operacion],tblOrdenes[descripcion_operacion],"(no encontrada)"))</f>
        <v/>
      </c>
      <c r="F86" s="3">
        <f>IF(tblAjustes[[#This Row],[id_operacion]]="","",IF(ISNA(MATCH(tblAjustes[[#This Row],[id_operacion]],tblOrdenes[id_operacion],0)),"huérfano",IF(COUNTIF($A$4:$A86,tblAjustes[[#This Row],[id_operacion]])&gt;1,"duplicado (se ignora)","aplicado")))</f>
        <v/>
      </c>
      <c r="G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7">
      <c r="A87" s="6" t="n"/>
      <c r="B87" s="15" t="n"/>
      <c r="C87" s="6" t="n"/>
      <c r="D87" s="8" t="n"/>
      <c r="E87" s="3">
        <f>IF(tblAjustes[[#This Row],[id_operacion]]="","",_xlfn.XLOOKUP(tblAjustes[[#This Row],[id_operacion]],tblOrdenes[id_operacion],tblOrdenes[descripcion_operacion],"(no encontrada)"))</f>
        <v/>
      </c>
      <c r="F87" s="3">
        <f>IF(tblAjustes[[#This Row],[id_operacion]]="","",IF(ISNA(MATCH(tblAjustes[[#This Row],[id_operacion]],tblOrdenes[id_operacion],0)),"huérfano",IF(COUNTIF($A$4:$A87,tblAjustes[[#This Row],[id_operacion]])&gt;1,"duplicado (se ignora)","aplicado")))</f>
        <v/>
      </c>
      <c r="G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8">
      <c r="A88" s="6" t="n"/>
      <c r="B88" s="15" t="n"/>
      <c r="C88" s="6" t="n"/>
      <c r="D88" s="8" t="n"/>
      <c r="E88" s="3">
        <f>IF(tblAjustes[[#This Row],[id_operacion]]="","",_xlfn.XLOOKUP(tblAjustes[[#This Row],[id_operacion]],tblOrdenes[id_operacion],tblOrdenes[descripcion_operacion],"(no encontrada)"))</f>
        <v/>
      </c>
      <c r="F88" s="3">
        <f>IF(tblAjustes[[#This Row],[id_operacion]]="","",IF(ISNA(MATCH(tblAjustes[[#This Row],[id_operacion]],tblOrdenes[id_operacion],0)),"huérfano",IF(COUNTIF($A$4:$A88,tblAjustes[[#This Row],[id_operacion]])&gt;1,"duplicado (se ignora)","aplicado")))</f>
        <v/>
      </c>
      <c r="G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9">
      <c r="A89" s="6" t="n"/>
      <c r="B89" s="15" t="n"/>
      <c r="C89" s="6" t="n"/>
      <c r="D89" s="8" t="n"/>
      <c r="E89" s="3">
        <f>IF(tblAjustes[[#This Row],[id_operacion]]="","",_xlfn.XLOOKUP(tblAjustes[[#This Row],[id_operacion]],tblOrdenes[id_operacion],tblOrdenes[descripcion_operacion],"(no encontrada)"))</f>
        <v/>
      </c>
      <c r="F89" s="3">
        <f>IF(tblAjustes[[#This Row],[id_operacion]]="","",IF(ISNA(MATCH(tblAjustes[[#This Row],[id_operacion]],tblOrdenes[id_operacion],0)),"huérfano",IF(COUNTIF($A$4:$A89,tblAjustes[[#This Row],[id_operacion]])&gt;1,"duplicado (se ignora)","aplicado")))</f>
        <v/>
      </c>
      <c r="G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0">
      <c r="A90" s="6" t="n"/>
      <c r="B90" s="15" t="n"/>
      <c r="C90" s="6" t="n"/>
      <c r="D90" s="8" t="n"/>
      <c r="E90" s="3">
        <f>IF(tblAjustes[[#This Row],[id_operacion]]="","",_xlfn.XLOOKUP(tblAjustes[[#This Row],[id_operacion]],tblOrdenes[id_operacion],tblOrdenes[descripcion_operacion],"(no encontrada)"))</f>
        <v/>
      </c>
      <c r="F90" s="3">
        <f>IF(tblAjustes[[#This Row],[id_operacion]]="","",IF(ISNA(MATCH(tblAjustes[[#This Row],[id_operacion]],tblOrdenes[id_operacion],0)),"huérfano",IF(COUNTIF($A$4:$A90,tblAjustes[[#This Row],[id_operacion]])&gt;1,"duplicado (se ignora)","aplicado")))</f>
        <v/>
      </c>
      <c r="G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1">
      <c r="A91" s="6" t="n"/>
      <c r="B91" s="15" t="n"/>
      <c r="C91" s="6" t="n"/>
      <c r="D91" s="8" t="n"/>
      <c r="E91" s="3">
        <f>IF(tblAjustes[[#This Row],[id_operacion]]="","",_xlfn.XLOOKUP(tblAjustes[[#This Row],[id_operacion]],tblOrdenes[id_operacion],tblOrdenes[descripcion_operacion],"(no encontrada)"))</f>
        <v/>
      </c>
      <c r="F91" s="3">
        <f>IF(tblAjustes[[#This Row],[id_operacion]]="","",IF(ISNA(MATCH(tblAjustes[[#This Row],[id_operacion]],tblOrdenes[id_operacion],0)),"huérfano",IF(COUNTIF($A$4:$A91,tblAjustes[[#This Row],[id_operacion]])&gt;1,"duplicado (se ignora)","aplicado")))</f>
        <v/>
      </c>
      <c r="G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2">
      <c r="A92" s="6" t="n"/>
      <c r="B92" s="15" t="n"/>
      <c r="C92" s="6" t="n"/>
      <c r="D92" s="8" t="n"/>
      <c r="E92" s="3">
        <f>IF(tblAjustes[[#This Row],[id_operacion]]="","",_xlfn.XLOOKUP(tblAjustes[[#This Row],[id_operacion]],tblOrdenes[id_operacion],tblOrdenes[descripcion_operacion],"(no encontrada)"))</f>
        <v/>
      </c>
      <c r="F92" s="3">
        <f>IF(tblAjustes[[#This Row],[id_operacion]]="","",IF(ISNA(MATCH(tblAjustes[[#This Row],[id_operacion]],tblOrdenes[id_operacion],0)),"huérfano",IF(COUNTIF($A$4:$A92,tblAjustes[[#This Row],[id_operacion]])&gt;1,"duplicado (se ignora)","aplicado")))</f>
        <v/>
      </c>
      <c r="G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3">
      <c r="A93" s="6" t="n"/>
      <c r="B93" s="15" t="n"/>
      <c r="C93" s="6" t="n"/>
      <c r="D93" s="8" t="n"/>
      <c r="E93" s="3">
        <f>IF(tblAjustes[[#This Row],[id_operacion]]="","",_xlfn.XLOOKUP(tblAjustes[[#This Row],[id_operacion]],tblOrdenes[id_operacion],tblOrdenes[descripcion_operacion],"(no encontrada)"))</f>
        <v/>
      </c>
      <c r="F93" s="3">
        <f>IF(tblAjustes[[#This Row],[id_operacion]]="","",IF(ISNA(MATCH(tblAjustes[[#This Row],[id_operacion]],tblOrdenes[id_operacion],0)),"huérfano",IF(COUNTIF($A$4:$A93,tblAjustes[[#This Row],[id_operacion]])&gt;1,"duplicado (se ignora)","aplicado")))</f>
        <v/>
      </c>
      <c r="G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4">
      <c r="A94" s="6" t="n"/>
      <c r="B94" s="15" t="n"/>
      <c r="C94" s="6" t="n"/>
      <c r="D94" s="8" t="n"/>
      <c r="E94" s="3">
        <f>IF(tblAjustes[[#This Row],[id_operacion]]="","",_xlfn.XLOOKUP(tblAjustes[[#This Row],[id_operacion]],tblOrdenes[id_operacion],tblOrdenes[descripcion_operacion],"(no encontrada)"))</f>
        <v/>
      </c>
      <c r="F94" s="3">
        <f>IF(tblAjustes[[#This Row],[id_operacion]]="","",IF(ISNA(MATCH(tblAjustes[[#This Row],[id_operacion]],tblOrdenes[id_operacion],0)),"huérfano",IF(COUNTIF($A$4:$A94,tblAjustes[[#This Row],[id_operacion]])&gt;1,"duplicado (se ignora)","aplicado")))</f>
        <v/>
      </c>
      <c r="G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5">
      <c r="A95" s="6" t="n"/>
      <c r="B95" s="15" t="n"/>
      <c r="C95" s="6" t="n"/>
      <c r="D95" s="8" t="n"/>
      <c r="E95" s="3">
        <f>IF(tblAjustes[[#This Row],[id_operacion]]="","",_xlfn.XLOOKUP(tblAjustes[[#This Row],[id_operacion]],tblOrdenes[id_operacion],tblOrdenes[descripcion_operacion],"(no encontrada)"))</f>
        <v/>
      </c>
      <c r="F95" s="3">
        <f>IF(tblAjustes[[#This Row],[id_operacion]]="","",IF(ISNA(MATCH(tblAjustes[[#This Row],[id_operacion]],tblOrdenes[id_operacion],0)),"huérfano",IF(COUNTIF($A$4:$A95,tblAjustes[[#This Row],[id_operacion]])&gt;1,"duplicado (se ignora)","aplicado")))</f>
        <v/>
      </c>
      <c r="G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6">
      <c r="A96" s="6" t="n"/>
      <c r="B96" s="15" t="n"/>
      <c r="C96" s="6" t="n"/>
      <c r="D96" s="8" t="n"/>
      <c r="E96" s="3">
        <f>IF(tblAjustes[[#This Row],[id_operacion]]="","",_xlfn.XLOOKUP(tblAjustes[[#This Row],[id_operacion]],tblOrdenes[id_operacion],tblOrdenes[descripcion_operacion],"(no encontrada)"))</f>
        <v/>
      </c>
      <c r="F96" s="3">
        <f>IF(tblAjustes[[#This Row],[id_operacion]]="","",IF(ISNA(MATCH(tblAjustes[[#This Row],[id_operacion]],tblOrdenes[id_operacion],0)),"huérfano",IF(COUNTIF($A$4:$A96,tblAjustes[[#This Row],[id_operacion]])&gt;1,"duplicado (se ignora)","aplicado")))</f>
        <v/>
      </c>
      <c r="G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7">
      <c r="A97" s="6" t="n"/>
      <c r="B97" s="15" t="n"/>
      <c r="C97" s="6" t="n"/>
      <c r="D97" s="8" t="n"/>
      <c r="E97" s="3">
        <f>IF(tblAjustes[[#This Row],[id_operacion]]="","",_xlfn.XLOOKUP(tblAjustes[[#This Row],[id_operacion]],tblOrdenes[id_operacion],tblOrdenes[descripcion_operacion],"(no encontrada)"))</f>
        <v/>
      </c>
      <c r="F97" s="3">
        <f>IF(tblAjustes[[#This Row],[id_operacion]]="","",IF(ISNA(MATCH(tblAjustes[[#This Row],[id_operacion]],tblOrdenes[id_operacion],0)),"huérfano",IF(COUNTIF($A$4:$A97,tblAjustes[[#This Row],[id_operacion]])&gt;1,"duplicado (se ignora)","aplicado")))</f>
        <v/>
      </c>
      <c r="G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8">
      <c r="A98" s="6" t="n"/>
      <c r="B98" s="15" t="n"/>
      <c r="C98" s="6" t="n"/>
      <c r="D98" s="8" t="n"/>
      <c r="E98" s="3">
        <f>IF(tblAjustes[[#This Row],[id_operacion]]="","",_xlfn.XLOOKUP(tblAjustes[[#This Row],[id_operacion]],tblOrdenes[id_operacion],tblOrdenes[descripcion_operacion],"(no encontrada)"))</f>
        <v/>
      </c>
      <c r="F98" s="3">
        <f>IF(tblAjustes[[#This Row],[id_operacion]]="","",IF(ISNA(MATCH(tblAjustes[[#This Row],[id_operacion]],tblOrdenes[id_operacion],0)),"huérfano",IF(COUNTIF($A$4:$A98,tblAjustes[[#This Row],[id_operacion]])&gt;1,"duplicado (se ignora)","aplicado")))</f>
        <v/>
      </c>
      <c r="G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9">
      <c r="A99" s="6" t="n"/>
      <c r="B99" s="15" t="n"/>
      <c r="C99" s="6" t="n"/>
      <c r="D99" s="8" t="n"/>
      <c r="E99" s="3">
        <f>IF(tblAjustes[[#This Row],[id_operacion]]="","",_xlfn.XLOOKUP(tblAjustes[[#This Row],[id_operacion]],tblOrdenes[id_operacion],tblOrdenes[descripcion_operacion],"(no encontrada)"))</f>
        <v/>
      </c>
      <c r="F99" s="3">
        <f>IF(tblAjustes[[#This Row],[id_operacion]]="","",IF(ISNA(MATCH(tblAjustes[[#This Row],[id_operacion]],tblOrdenes[id_operacion],0)),"huérfano",IF(COUNTIF($A$4:$A99,tblAjustes[[#This Row],[id_operacion]])&gt;1,"duplicado (se ignora)","aplicado")))</f>
        <v/>
      </c>
      <c r="G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0">
      <c r="A100" s="6" t="n"/>
      <c r="B100" s="15" t="n"/>
      <c r="C100" s="6" t="n"/>
      <c r="D100" s="8" t="n"/>
      <c r="E100" s="3">
        <f>IF(tblAjustes[[#This Row],[id_operacion]]="","",_xlfn.XLOOKUP(tblAjustes[[#This Row],[id_operacion]],tblOrdenes[id_operacion],tblOrdenes[descripcion_operacion],"(no encontrada)"))</f>
        <v/>
      </c>
      <c r="F100" s="3">
        <f>IF(tblAjustes[[#This Row],[id_operacion]]="","",IF(ISNA(MATCH(tblAjustes[[#This Row],[id_operacion]],tblOrdenes[id_operacion],0)),"huérfano",IF(COUNTIF($A$4:$A100,tblAjustes[[#This Row],[id_operacion]])&gt;1,"duplicado (se ignora)","aplicado")))</f>
        <v/>
      </c>
      <c r="G1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1">
      <c r="A101" s="6" t="n"/>
      <c r="B101" s="15" t="n"/>
      <c r="C101" s="6" t="n"/>
      <c r="D101" s="8" t="n"/>
      <c r="E101" s="3">
        <f>IF(tblAjustes[[#This Row],[id_operacion]]="","",_xlfn.XLOOKUP(tblAjustes[[#This Row],[id_operacion]],tblOrdenes[id_operacion],tblOrdenes[descripcion_operacion],"(no encontrada)"))</f>
        <v/>
      </c>
      <c r="F101" s="3">
        <f>IF(tblAjustes[[#This Row],[id_operacion]]="","",IF(ISNA(MATCH(tblAjustes[[#This Row],[id_operacion]],tblOrdenes[id_operacion],0)),"huérfano",IF(COUNTIF($A$4:$A101,tblAjustes[[#This Row],[id_operacion]])&gt;1,"duplicado (se ignora)","aplicado")))</f>
        <v/>
      </c>
      <c r="G1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2">
      <c r="A102" s="6" t="n"/>
      <c r="B102" s="15" t="n"/>
      <c r="C102" s="6" t="n"/>
      <c r="D102" s="8" t="n"/>
      <c r="E102" s="3">
        <f>IF(tblAjustes[[#This Row],[id_operacion]]="","",_xlfn.XLOOKUP(tblAjustes[[#This Row],[id_operacion]],tblOrdenes[id_operacion],tblOrdenes[descripcion_operacion],"(no encontrada)"))</f>
        <v/>
      </c>
      <c r="F102" s="3">
        <f>IF(tblAjustes[[#This Row],[id_operacion]]="","",IF(ISNA(MATCH(tblAjustes[[#This Row],[id_operacion]],tblOrdenes[id_operacion],0)),"huérfano",IF(COUNTIF($A$4:$A102,tblAjustes[[#This Row],[id_operacion]])&gt;1,"duplicado (se ignora)","aplicado")))</f>
        <v/>
      </c>
      <c r="G1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3">
      <c r="A103" s="6" t="n"/>
      <c r="B103" s="15" t="n"/>
      <c r="C103" s="6" t="n"/>
      <c r="D103" s="8" t="n"/>
      <c r="E103" s="3">
        <f>IF(tblAjustes[[#This Row],[id_operacion]]="","",_xlfn.XLOOKUP(tblAjustes[[#This Row],[id_operacion]],tblOrdenes[id_operacion],tblOrdenes[descripcion_operacion],"(no encontrada)"))</f>
        <v/>
      </c>
      <c r="F103" s="3">
        <f>IF(tblAjustes[[#This Row],[id_operacion]]="","",IF(ISNA(MATCH(tblAjustes[[#This Row],[id_operacion]],tblOrdenes[id_operacion],0)),"huérfano",IF(COUNTIF($A$4:$A103,tblAjustes[[#This Row],[id_operacion]])&gt;1,"duplicado (se ignora)","aplicado")))</f>
        <v/>
      </c>
      <c r="G1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4">
      <c r="A104" s="6" t="n"/>
      <c r="B104" s="15" t="n"/>
      <c r="C104" s="6" t="n"/>
      <c r="D104" s="8" t="n"/>
      <c r="E104" s="3">
        <f>IF(tblAjustes[[#This Row],[id_operacion]]="","",_xlfn.XLOOKUP(tblAjustes[[#This Row],[id_operacion]],tblOrdenes[id_operacion],tblOrdenes[descripcion_operacion],"(no encontrada)"))</f>
        <v/>
      </c>
      <c r="F104" s="3">
        <f>IF(tblAjustes[[#This Row],[id_operacion]]="","",IF(ISNA(MATCH(tblAjustes[[#This Row],[id_operacion]],tblOrdenes[id_operacion],0)),"huérfano",IF(COUNTIF($A$4:$A104,tblAjustes[[#This Row],[id_operacion]])&gt;1,"duplicado (se ignora)","aplicado")))</f>
        <v/>
      </c>
      <c r="G10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5">
      <c r="A105" s="6" t="n"/>
      <c r="B105" s="15" t="n"/>
      <c r="C105" s="6" t="n"/>
      <c r="D105" s="8" t="n"/>
      <c r="E105" s="3">
        <f>IF(tblAjustes[[#This Row],[id_operacion]]="","",_xlfn.XLOOKUP(tblAjustes[[#This Row],[id_operacion]],tblOrdenes[id_operacion],tblOrdenes[descripcion_operacion],"(no encontrada)"))</f>
        <v/>
      </c>
      <c r="F105" s="3">
        <f>IF(tblAjustes[[#This Row],[id_operacion]]="","",IF(ISNA(MATCH(tblAjustes[[#This Row],[id_operacion]],tblOrdenes[id_operacion],0)),"huérfano",IF(COUNTIF($A$4:$A105,tblAjustes[[#This Row],[id_operacion]])&gt;1,"duplicado (se ignora)","aplicado")))</f>
        <v/>
      </c>
      <c r="G10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6">
      <c r="A106" s="6" t="n"/>
      <c r="B106" s="15" t="n"/>
      <c r="C106" s="6" t="n"/>
      <c r="D106" s="8" t="n"/>
      <c r="E106" s="3">
        <f>IF(tblAjustes[[#This Row],[id_operacion]]="","",_xlfn.XLOOKUP(tblAjustes[[#This Row],[id_operacion]],tblOrdenes[id_operacion],tblOrdenes[descripcion_operacion],"(no encontrada)"))</f>
        <v/>
      </c>
      <c r="F106" s="3">
        <f>IF(tblAjustes[[#This Row],[id_operacion]]="","",IF(ISNA(MATCH(tblAjustes[[#This Row],[id_operacion]],tblOrdenes[id_operacion],0)),"huérfano",IF(COUNTIF($A$4:$A106,tblAjustes[[#This Row],[id_operacion]])&gt;1,"duplicado (se ignora)","aplicado")))</f>
        <v/>
      </c>
      <c r="G10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7">
      <c r="A107" s="6" t="n"/>
      <c r="B107" s="15" t="n"/>
      <c r="C107" s="6" t="n"/>
      <c r="D107" s="8" t="n"/>
      <c r="E107" s="3">
        <f>IF(tblAjustes[[#This Row],[id_operacion]]="","",_xlfn.XLOOKUP(tblAjustes[[#This Row],[id_operacion]],tblOrdenes[id_operacion],tblOrdenes[descripcion_operacion],"(no encontrada)"))</f>
        <v/>
      </c>
      <c r="F107" s="3">
        <f>IF(tblAjustes[[#This Row],[id_operacion]]="","",IF(ISNA(MATCH(tblAjustes[[#This Row],[id_operacion]],tblOrdenes[id_operacion],0)),"huérfano",IF(COUNTIF($A$4:$A107,tblAjustes[[#This Row],[id_operacion]])&gt;1,"duplicado (se ignora)","aplicado")))</f>
        <v/>
      </c>
      <c r="G10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8">
      <c r="A108" s="6" t="n"/>
      <c r="B108" s="15" t="n"/>
      <c r="C108" s="6" t="n"/>
      <c r="D108" s="8" t="n"/>
      <c r="E108" s="3">
        <f>IF(tblAjustes[[#This Row],[id_operacion]]="","",_xlfn.XLOOKUP(tblAjustes[[#This Row],[id_operacion]],tblOrdenes[id_operacion],tblOrdenes[descripcion_operacion],"(no encontrada)"))</f>
        <v/>
      </c>
      <c r="F108" s="3">
        <f>IF(tblAjustes[[#This Row],[id_operacion]]="","",IF(ISNA(MATCH(tblAjustes[[#This Row],[id_operacion]],tblOrdenes[id_operacion],0)),"huérfano",IF(COUNTIF($A$4:$A108,tblAjustes[[#This Row],[id_operacion]])&gt;1,"duplicado (se ignora)","aplicado")))</f>
        <v/>
      </c>
      <c r="G10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9">
      <c r="A109" s="6" t="n"/>
      <c r="B109" s="15" t="n"/>
      <c r="C109" s="6" t="n"/>
      <c r="D109" s="8" t="n"/>
      <c r="E109" s="3">
        <f>IF(tblAjustes[[#This Row],[id_operacion]]="","",_xlfn.XLOOKUP(tblAjustes[[#This Row],[id_operacion]],tblOrdenes[id_operacion],tblOrdenes[descripcion_operacion],"(no encontrada)"))</f>
        <v/>
      </c>
      <c r="F109" s="3">
        <f>IF(tblAjustes[[#This Row],[id_operacion]]="","",IF(ISNA(MATCH(tblAjustes[[#This Row],[id_operacion]],tblOrdenes[id_operacion],0)),"huérfano",IF(COUNTIF($A$4:$A109,tblAjustes[[#This Row],[id_operacion]])&gt;1,"duplicado (se ignora)","aplicado")))</f>
        <v/>
      </c>
      <c r="G10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0">
      <c r="A110" s="6" t="n"/>
      <c r="B110" s="15" t="n"/>
      <c r="C110" s="6" t="n"/>
      <c r="D110" s="8" t="n"/>
      <c r="E110" s="3">
        <f>IF(tblAjustes[[#This Row],[id_operacion]]="","",_xlfn.XLOOKUP(tblAjustes[[#This Row],[id_operacion]],tblOrdenes[id_operacion],tblOrdenes[descripcion_operacion],"(no encontrada)"))</f>
        <v/>
      </c>
      <c r="F110" s="3">
        <f>IF(tblAjustes[[#This Row],[id_operacion]]="","",IF(ISNA(MATCH(tblAjustes[[#This Row],[id_operacion]],tblOrdenes[id_operacion],0)),"huérfano",IF(COUNTIF($A$4:$A110,tblAjustes[[#This Row],[id_operacion]])&gt;1,"duplicado (se ignora)","aplicado")))</f>
        <v/>
      </c>
      <c r="G1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1">
      <c r="A111" s="6" t="n"/>
      <c r="B111" s="15" t="n"/>
      <c r="C111" s="6" t="n"/>
      <c r="D111" s="8" t="n"/>
      <c r="E111" s="3">
        <f>IF(tblAjustes[[#This Row],[id_operacion]]="","",_xlfn.XLOOKUP(tblAjustes[[#This Row],[id_operacion]],tblOrdenes[id_operacion],tblOrdenes[descripcion_operacion],"(no encontrada)"))</f>
        <v/>
      </c>
      <c r="F111" s="3">
        <f>IF(tblAjustes[[#This Row],[id_operacion]]="","",IF(ISNA(MATCH(tblAjustes[[#This Row],[id_operacion]],tblOrdenes[id_operacion],0)),"huérfano",IF(COUNTIF($A$4:$A111,tblAjustes[[#This Row],[id_operacion]])&gt;1,"duplicado (se ignora)","aplicado")))</f>
        <v/>
      </c>
      <c r="G1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2">
      <c r="A112" s="6" t="n"/>
      <c r="B112" s="15" t="n"/>
      <c r="C112" s="6" t="n"/>
      <c r="D112" s="8" t="n"/>
      <c r="E112" s="3">
        <f>IF(tblAjustes[[#This Row],[id_operacion]]="","",_xlfn.XLOOKUP(tblAjustes[[#This Row],[id_operacion]],tblOrdenes[id_operacion],tblOrdenes[descripcion_operacion],"(no encontrada)"))</f>
        <v/>
      </c>
      <c r="F112" s="3">
        <f>IF(tblAjustes[[#This Row],[id_operacion]]="","",IF(ISNA(MATCH(tblAjustes[[#This Row],[id_operacion]],tblOrdenes[id_operacion],0)),"huérfano",IF(COUNTIF($A$4:$A112,tblAjustes[[#This Row],[id_operacion]])&gt;1,"duplicado (se ignora)","aplicado")))</f>
        <v/>
      </c>
      <c r="G1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3">
      <c r="A113" s="6" t="n"/>
      <c r="B113" s="15" t="n"/>
      <c r="C113" s="6" t="n"/>
      <c r="D113" s="8" t="n"/>
      <c r="E113" s="3">
        <f>IF(tblAjustes[[#This Row],[id_operacion]]="","",_xlfn.XLOOKUP(tblAjustes[[#This Row],[id_operacion]],tblOrdenes[id_operacion],tblOrdenes[descripcion_operacion],"(no encontrada)"))</f>
        <v/>
      </c>
      <c r="F113" s="3">
        <f>IF(tblAjustes[[#This Row],[id_operacion]]="","",IF(ISNA(MATCH(tblAjustes[[#This Row],[id_operacion]],tblOrdenes[id_operacion],0)),"huérfano",IF(COUNTIF($A$4:$A113,tblAjustes[[#This Row],[id_operacion]])&gt;1,"duplicado (se ignora)","aplicado")))</f>
        <v/>
      </c>
      <c r="G1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4">
      <c r="A114" s="6" t="n"/>
      <c r="B114" s="15" t="n"/>
      <c r="C114" s="6" t="n"/>
      <c r="D114" s="8" t="n"/>
      <c r="E114" s="3">
        <f>IF(tblAjustes[[#This Row],[id_operacion]]="","",_xlfn.XLOOKUP(tblAjustes[[#This Row],[id_operacion]],tblOrdenes[id_operacion],tblOrdenes[descripcion_operacion],"(no encontrada)"))</f>
        <v/>
      </c>
      <c r="F114" s="3">
        <f>IF(tblAjustes[[#This Row],[id_operacion]]="","",IF(ISNA(MATCH(tblAjustes[[#This Row],[id_operacion]],tblOrdenes[id_operacion],0)),"huérfano",IF(COUNTIF($A$4:$A114,tblAjustes[[#This Row],[id_operacion]])&gt;1,"duplicado (se ignora)","aplicado")))</f>
        <v/>
      </c>
      <c r="G1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5">
      <c r="A115" s="6" t="n"/>
      <c r="B115" s="15" t="n"/>
      <c r="C115" s="6" t="n"/>
      <c r="D115" s="8" t="n"/>
      <c r="E115" s="3">
        <f>IF(tblAjustes[[#This Row],[id_operacion]]="","",_xlfn.XLOOKUP(tblAjustes[[#This Row],[id_operacion]],tblOrdenes[id_operacion],tblOrdenes[descripcion_operacion],"(no encontrada)"))</f>
        <v/>
      </c>
      <c r="F115" s="3">
        <f>IF(tblAjustes[[#This Row],[id_operacion]]="","",IF(ISNA(MATCH(tblAjustes[[#This Row],[id_operacion]],tblOrdenes[id_operacion],0)),"huérfano",IF(COUNTIF($A$4:$A115,tblAjustes[[#This Row],[id_operacion]])&gt;1,"duplicado (se ignora)","aplicado")))</f>
        <v/>
      </c>
      <c r="G1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6">
      <c r="A116" s="6" t="n"/>
      <c r="B116" s="15" t="n"/>
      <c r="C116" s="6" t="n"/>
      <c r="D116" s="8" t="n"/>
      <c r="E116" s="3">
        <f>IF(tblAjustes[[#This Row],[id_operacion]]="","",_xlfn.XLOOKUP(tblAjustes[[#This Row],[id_operacion]],tblOrdenes[id_operacion],tblOrdenes[descripcion_operacion],"(no encontrada)"))</f>
        <v/>
      </c>
      <c r="F116" s="3">
        <f>IF(tblAjustes[[#This Row],[id_operacion]]="","",IF(ISNA(MATCH(tblAjustes[[#This Row],[id_operacion]],tblOrdenes[id_operacion],0)),"huérfano",IF(COUNTIF($A$4:$A116,tblAjustes[[#This Row],[id_operacion]])&gt;1,"duplicado (se ignora)","aplicado")))</f>
        <v/>
      </c>
      <c r="G1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7">
      <c r="A117" s="6" t="n"/>
      <c r="B117" s="15" t="n"/>
      <c r="C117" s="6" t="n"/>
      <c r="D117" s="8" t="n"/>
      <c r="E117" s="3">
        <f>IF(tblAjustes[[#This Row],[id_operacion]]="","",_xlfn.XLOOKUP(tblAjustes[[#This Row],[id_operacion]],tblOrdenes[id_operacion],tblOrdenes[descripcion_operacion],"(no encontrada)"))</f>
        <v/>
      </c>
      <c r="F117" s="3">
        <f>IF(tblAjustes[[#This Row],[id_operacion]]="","",IF(ISNA(MATCH(tblAjustes[[#This Row],[id_operacion]],tblOrdenes[id_operacion],0)),"huérfano",IF(COUNTIF($A$4:$A117,tblAjustes[[#This Row],[id_operacion]])&gt;1,"duplicado (se ignora)","aplicado")))</f>
        <v/>
      </c>
      <c r="G1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8">
      <c r="A118" s="6" t="n"/>
      <c r="B118" s="15" t="n"/>
      <c r="C118" s="6" t="n"/>
      <c r="D118" s="8" t="n"/>
      <c r="E118" s="3">
        <f>IF(tblAjustes[[#This Row],[id_operacion]]="","",_xlfn.XLOOKUP(tblAjustes[[#This Row],[id_operacion]],tblOrdenes[id_operacion],tblOrdenes[descripcion_operacion],"(no encontrada)"))</f>
        <v/>
      </c>
      <c r="F118" s="3">
        <f>IF(tblAjustes[[#This Row],[id_operacion]]="","",IF(ISNA(MATCH(tblAjustes[[#This Row],[id_operacion]],tblOrdenes[id_operacion],0)),"huérfano",IF(COUNTIF($A$4:$A118,tblAjustes[[#This Row],[id_operacion]])&gt;1,"duplicado (se ignora)","aplicado")))</f>
        <v/>
      </c>
      <c r="G1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9">
      <c r="A119" s="6" t="n"/>
      <c r="B119" s="15" t="n"/>
      <c r="C119" s="6" t="n"/>
      <c r="D119" s="8" t="n"/>
      <c r="E119" s="3">
        <f>IF(tblAjustes[[#This Row],[id_operacion]]="","",_xlfn.XLOOKUP(tblAjustes[[#This Row],[id_operacion]],tblOrdenes[id_operacion],tblOrdenes[descripcion_operacion],"(no encontrada)"))</f>
        <v/>
      </c>
      <c r="F119" s="3">
        <f>IF(tblAjustes[[#This Row],[id_operacion]]="","",IF(ISNA(MATCH(tblAjustes[[#This Row],[id_operacion]],tblOrdenes[id_operacion],0)),"huérfano",IF(COUNTIF($A$4:$A119,tblAjustes[[#This Row],[id_operacion]])&gt;1,"duplicado (se ignora)","aplicado")))</f>
        <v/>
      </c>
      <c r="G1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0">
      <c r="A120" s="6" t="n"/>
      <c r="B120" s="15" t="n"/>
      <c r="C120" s="6" t="n"/>
      <c r="D120" s="8" t="n"/>
      <c r="E120" s="3">
        <f>IF(tblAjustes[[#This Row],[id_operacion]]="","",_xlfn.XLOOKUP(tblAjustes[[#This Row],[id_operacion]],tblOrdenes[id_operacion],tblOrdenes[descripcion_operacion],"(no encontrada)"))</f>
        <v/>
      </c>
      <c r="F120" s="3">
        <f>IF(tblAjustes[[#This Row],[id_operacion]]="","",IF(ISNA(MATCH(tblAjustes[[#This Row],[id_operacion]],tblOrdenes[id_operacion],0)),"huérfano",IF(COUNTIF($A$4:$A120,tblAjustes[[#This Row],[id_operacion]])&gt;1,"duplicado (se ignora)","aplicado")))</f>
        <v/>
      </c>
      <c r="G1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1">
      <c r="A121" s="6" t="n"/>
      <c r="B121" s="15" t="n"/>
      <c r="C121" s="6" t="n"/>
      <c r="D121" s="8" t="n"/>
      <c r="E121" s="3">
        <f>IF(tblAjustes[[#This Row],[id_operacion]]="","",_xlfn.XLOOKUP(tblAjustes[[#This Row],[id_operacion]],tblOrdenes[id_operacion],tblOrdenes[descripcion_operacion],"(no encontrada)"))</f>
        <v/>
      </c>
      <c r="F121" s="3">
        <f>IF(tblAjustes[[#This Row],[id_operacion]]="","",IF(ISNA(MATCH(tblAjustes[[#This Row],[id_operacion]],tblOrdenes[id_operacion],0)),"huérfano",IF(COUNTIF($A$4:$A121,tblAjustes[[#This Row],[id_operacion]])&gt;1,"duplicado (se ignora)","aplicado")))</f>
        <v/>
      </c>
      <c r="G1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2">
      <c r="A122" s="6" t="n"/>
      <c r="B122" s="15" t="n"/>
      <c r="C122" s="6" t="n"/>
      <c r="D122" s="8" t="n"/>
      <c r="E122" s="3">
        <f>IF(tblAjustes[[#This Row],[id_operacion]]="","",_xlfn.XLOOKUP(tblAjustes[[#This Row],[id_operacion]],tblOrdenes[id_operacion],tblOrdenes[descripcion_operacion],"(no encontrada)"))</f>
        <v/>
      </c>
      <c r="F122" s="3">
        <f>IF(tblAjustes[[#This Row],[id_operacion]]="","",IF(ISNA(MATCH(tblAjustes[[#This Row],[id_operacion]],tblOrdenes[id_operacion],0)),"huérfano",IF(COUNTIF($A$4:$A122,tblAjustes[[#This Row],[id_operacion]])&gt;1,"duplicado (se ignora)","aplicado")))</f>
        <v/>
      </c>
      <c r="G1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3">
      <c r="A123" s="6" t="n"/>
      <c r="B123" s="15" t="n"/>
      <c r="C123" s="6" t="n"/>
      <c r="D123" s="8" t="n"/>
      <c r="E123" s="3">
        <f>IF(tblAjustes[[#This Row],[id_operacion]]="","",_xlfn.XLOOKUP(tblAjustes[[#This Row],[id_operacion]],tblOrdenes[id_operacion],tblOrdenes[descripcion_operacion],"(no encontrada)"))</f>
        <v/>
      </c>
      <c r="F123" s="3">
        <f>IF(tblAjustes[[#This Row],[id_operacion]]="","",IF(ISNA(MATCH(tblAjustes[[#This Row],[id_operacion]],tblOrdenes[id_operacion],0)),"huérfano",IF(COUNTIF($A$4:$A123,tblAjustes[[#This Row],[id_operacion]])&gt;1,"duplicado (se ignora)","aplicado")))</f>
        <v/>
      </c>
      <c r="G1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4">
      <c r="A124" s="6" t="n"/>
      <c r="B124" s="15" t="n"/>
      <c r="C124" s="6" t="n"/>
      <c r="D124" s="8" t="n"/>
      <c r="E124" s="3">
        <f>IF(tblAjustes[[#This Row],[id_operacion]]="","",_xlfn.XLOOKUP(tblAjustes[[#This Row],[id_operacion]],tblOrdenes[id_operacion],tblOrdenes[descripcion_operacion],"(no encontrada)"))</f>
        <v/>
      </c>
      <c r="F124" s="3">
        <f>IF(tblAjustes[[#This Row],[id_operacion]]="","",IF(ISNA(MATCH(tblAjustes[[#This Row],[id_operacion]],tblOrdenes[id_operacion],0)),"huérfano",IF(COUNTIF($A$4:$A124,tblAjustes[[#This Row],[id_operacion]])&gt;1,"duplicado (se ignora)","aplicado")))</f>
        <v/>
      </c>
      <c r="G1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5">
      <c r="A125" s="6" t="n"/>
      <c r="B125" s="15" t="n"/>
      <c r="C125" s="6" t="n"/>
      <c r="D125" s="8" t="n"/>
      <c r="E125" s="3">
        <f>IF(tblAjustes[[#This Row],[id_operacion]]="","",_xlfn.XLOOKUP(tblAjustes[[#This Row],[id_operacion]],tblOrdenes[id_operacion],tblOrdenes[descripcion_operacion],"(no encontrada)"))</f>
        <v/>
      </c>
      <c r="F125" s="3">
        <f>IF(tblAjustes[[#This Row],[id_operacion]]="","",IF(ISNA(MATCH(tblAjustes[[#This Row],[id_operacion]],tblOrdenes[id_operacion],0)),"huérfano",IF(COUNTIF($A$4:$A125,tblAjustes[[#This Row],[id_operacion]])&gt;1,"duplicado (se ignora)","aplicado")))</f>
        <v/>
      </c>
      <c r="G1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6">
      <c r="A126" s="6" t="n"/>
      <c r="B126" s="15" t="n"/>
      <c r="C126" s="6" t="n"/>
      <c r="D126" s="8" t="n"/>
      <c r="E126" s="3">
        <f>IF(tblAjustes[[#This Row],[id_operacion]]="","",_xlfn.XLOOKUP(tblAjustes[[#This Row],[id_operacion]],tblOrdenes[id_operacion],tblOrdenes[descripcion_operacion],"(no encontrada)"))</f>
        <v/>
      </c>
      <c r="F126" s="3">
        <f>IF(tblAjustes[[#This Row],[id_operacion]]="","",IF(ISNA(MATCH(tblAjustes[[#This Row],[id_operacion]],tblOrdenes[id_operacion],0)),"huérfano",IF(COUNTIF($A$4:$A126,tblAjustes[[#This Row],[id_operacion]])&gt;1,"duplicado (se ignora)","aplicado")))</f>
        <v/>
      </c>
      <c r="G1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7">
      <c r="A127" s="6" t="n"/>
      <c r="B127" s="15" t="n"/>
      <c r="C127" s="6" t="n"/>
      <c r="D127" s="8" t="n"/>
      <c r="E127" s="3">
        <f>IF(tblAjustes[[#This Row],[id_operacion]]="","",_xlfn.XLOOKUP(tblAjustes[[#This Row],[id_operacion]],tblOrdenes[id_operacion],tblOrdenes[descripcion_operacion],"(no encontrada)"))</f>
        <v/>
      </c>
      <c r="F127" s="3">
        <f>IF(tblAjustes[[#This Row],[id_operacion]]="","",IF(ISNA(MATCH(tblAjustes[[#This Row],[id_operacion]],tblOrdenes[id_operacion],0)),"huérfano",IF(COUNTIF($A$4:$A127,tblAjustes[[#This Row],[id_operacion]])&gt;1,"duplicado (se ignora)","aplicado")))</f>
        <v/>
      </c>
      <c r="G1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8">
      <c r="A128" s="6" t="n"/>
      <c r="B128" s="15" t="n"/>
      <c r="C128" s="6" t="n"/>
      <c r="D128" s="8" t="n"/>
      <c r="E128" s="3">
        <f>IF(tblAjustes[[#This Row],[id_operacion]]="","",_xlfn.XLOOKUP(tblAjustes[[#This Row],[id_operacion]],tblOrdenes[id_operacion],tblOrdenes[descripcion_operacion],"(no encontrada)"))</f>
        <v/>
      </c>
      <c r="F128" s="3">
        <f>IF(tblAjustes[[#This Row],[id_operacion]]="","",IF(ISNA(MATCH(tblAjustes[[#This Row],[id_operacion]],tblOrdenes[id_operacion],0)),"huérfano",IF(COUNTIF($A$4:$A128,tblAjustes[[#This Row],[id_operacion]])&gt;1,"duplicado (se ignora)","aplicado")))</f>
        <v/>
      </c>
      <c r="G1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9">
      <c r="A129" s="6" t="n"/>
      <c r="B129" s="15" t="n"/>
      <c r="C129" s="6" t="n"/>
      <c r="D129" s="8" t="n"/>
      <c r="E129" s="3">
        <f>IF(tblAjustes[[#This Row],[id_operacion]]="","",_xlfn.XLOOKUP(tblAjustes[[#This Row],[id_operacion]],tblOrdenes[id_operacion],tblOrdenes[descripcion_operacion],"(no encontrada)"))</f>
        <v/>
      </c>
      <c r="F129" s="3">
        <f>IF(tblAjustes[[#This Row],[id_operacion]]="","",IF(ISNA(MATCH(tblAjustes[[#This Row],[id_operacion]],tblOrdenes[id_operacion],0)),"huérfano",IF(COUNTIF($A$4:$A129,tblAjustes[[#This Row],[id_operacion]])&gt;1,"duplicado (se ignora)","aplicado")))</f>
        <v/>
      </c>
      <c r="G1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0">
      <c r="A130" s="6" t="n"/>
      <c r="B130" s="15" t="n"/>
      <c r="C130" s="6" t="n"/>
      <c r="D130" s="8" t="n"/>
      <c r="E130" s="3">
        <f>IF(tblAjustes[[#This Row],[id_operacion]]="","",_xlfn.XLOOKUP(tblAjustes[[#This Row],[id_operacion]],tblOrdenes[id_operacion],tblOrdenes[descripcion_operacion],"(no encontrada)"))</f>
        <v/>
      </c>
      <c r="F130" s="3">
        <f>IF(tblAjustes[[#This Row],[id_operacion]]="","",IF(ISNA(MATCH(tblAjustes[[#This Row],[id_operacion]],tblOrdenes[id_operacion],0)),"huérfano",IF(COUNTIF($A$4:$A130,tblAjustes[[#This Row],[id_operacion]])&gt;1,"duplicado (se ignora)","aplicado")))</f>
        <v/>
      </c>
      <c r="G1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1">
      <c r="A131" s="6" t="n"/>
      <c r="B131" s="15" t="n"/>
      <c r="C131" s="6" t="n"/>
      <c r="D131" s="8" t="n"/>
      <c r="E131" s="3">
        <f>IF(tblAjustes[[#This Row],[id_operacion]]="","",_xlfn.XLOOKUP(tblAjustes[[#This Row],[id_operacion]],tblOrdenes[id_operacion],tblOrdenes[descripcion_operacion],"(no encontrada)"))</f>
        <v/>
      </c>
      <c r="F131" s="3">
        <f>IF(tblAjustes[[#This Row],[id_operacion]]="","",IF(ISNA(MATCH(tblAjustes[[#This Row],[id_operacion]],tblOrdenes[id_operacion],0)),"huérfano",IF(COUNTIF($A$4:$A131,tblAjustes[[#This Row],[id_operacion]])&gt;1,"duplicado (se ignora)","aplicado")))</f>
        <v/>
      </c>
      <c r="G1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2">
      <c r="A132" s="6" t="n"/>
      <c r="B132" s="15" t="n"/>
      <c r="C132" s="6" t="n"/>
      <c r="D132" s="8" t="n"/>
      <c r="E132" s="3">
        <f>IF(tblAjustes[[#This Row],[id_operacion]]="","",_xlfn.XLOOKUP(tblAjustes[[#This Row],[id_operacion]],tblOrdenes[id_operacion],tblOrdenes[descripcion_operacion],"(no encontrada)"))</f>
        <v/>
      </c>
      <c r="F132" s="3">
        <f>IF(tblAjustes[[#This Row],[id_operacion]]="","",IF(ISNA(MATCH(tblAjustes[[#This Row],[id_operacion]],tblOrdenes[id_operacion],0)),"huérfano",IF(COUNTIF($A$4:$A132,tblAjustes[[#This Row],[id_operacion]])&gt;1,"duplicado (se ignora)","aplicado")))</f>
        <v/>
      </c>
      <c r="G1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3">
      <c r="A133" s="6" t="n"/>
      <c r="B133" s="15" t="n"/>
      <c r="C133" s="6" t="n"/>
      <c r="D133" s="8" t="n"/>
      <c r="E133" s="3">
        <f>IF(tblAjustes[[#This Row],[id_operacion]]="","",_xlfn.XLOOKUP(tblAjustes[[#This Row],[id_operacion]],tblOrdenes[id_operacion],tblOrdenes[descripcion_operacion],"(no encontrada)"))</f>
        <v/>
      </c>
      <c r="F133" s="3">
        <f>IF(tblAjustes[[#This Row],[id_operacion]]="","",IF(ISNA(MATCH(tblAjustes[[#This Row],[id_operacion]],tblOrdenes[id_operacion],0)),"huérfano",IF(COUNTIF($A$4:$A133,tblAjustes[[#This Row],[id_operacion]])&gt;1,"duplicado (se ignora)","aplicado")))</f>
        <v/>
      </c>
      <c r="G1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4">
      <c r="A134" s="6" t="n"/>
      <c r="B134" s="15" t="n"/>
      <c r="C134" s="6" t="n"/>
      <c r="D134" s="8" t="n"/>
      <c r="E134" s="3">
        <f>IF(tblAjustes[[#This Row],[id_operacion]]="","",_xlfn.XLOOKUP(tblAjustes[[#This Row],[id_operacion]],tblOrdenes[id_operacion],tblOrdenes[descripcion_operacion],"(no encontrada)"))</f>
        <v/>
      </c>
      <c r="F134" s="3">
        <f>IF(tblAjustes[[#This Row],[id_operacion]]="","",IF(ISNA(MATCH(tblAjustes[[#This Row],[id_operacion]],tblOrdenes[id_operacion],0)),"huérfano",IF(COUNTIF($A$4:$A134,tblAjustes[[#This Row],[id_operacion]])&gt;1,"duplicado (se ignora)","aplicado")))</f>
        <v/>
      </c>
      <c r="G1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5">
      <c r="A135" s="6" t="n"/>
      <c r="B135" s="15" t="n"/>
      <c r="C135" s="6" t="n"/>
      <c r="D135" s="8" t="n"/>
      <c r="E135" s="3">
        <f>IF(tblAjustes[[#This Row],[id_operacion]]="","",_xlfn.XLOOKUP(tblAjustes[[#This Row],[id_operacion]],tblOrdenes[id_operacion],tblOrdenes[descripcion_operacion],"(no encontrada)"))</f>
        <v/>
      </c>
      <c r="F135" s="3">
        <f>IF(tblAjustes[[#This Row],[id_operacion]]="","",IF(ISNA(MATCH(tblAjustes[[#This Row],[id_operacion]],tblOrdenes[id_operacion],0)),"huérfano",IF(COUNTIF($A$4:$A135,tblAjustes[[#This Row],[id_operacion]])&gt;1,"duplicado (se ignora)","aplicado")))</f>
        <v/>
      </c>
      <c r="G1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6">
      <c r="A136" s="6" t="n"/>
      <c r="B136" s="15" t="n"/>
      <c r="C136" s="6" t="n"/>
      <c r="D136" s="8" t="n"/>
      <c r="E136" s="3">
        <f>IF(tblAjustes[[#This Row],[id_operacion]]="","",_xlfn.XLOOKUP(tblAjustes[[#This Row],[id_operacion]],tblOrdenes[id_operacion],tblOrdenes[descripcion_operacion],"(no encontrada)"))</f>
        <v/>
      </c>
      <c r="F136" s="3">
        <f>IF(tblAjustes[[#This Row],[id_operacion]]="","",IF(ISNA(MATCH(tblAjustes[[#This Row],[id_operacion]],tblOrdenes[id_operacion],0)),"huérfano",IF(COUNTIF($A$4:$A136,tblAjustes[[#This Row],[id_operacion]])&gt;1,"duplicado (se ignora)","aplicado")))</f>
        <v/>
      </c>
      <c r="G1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7">
      <c r="A137" s="6" t="n"/>
      <c r="B137" s="15" t="n"/>
      <c r="C137" s="6" t="n"/>
      <c r="D137" s="8" t="n"/>
      <c r="E137" s="3">
        <f>IF(tblAjustes[[#This Row],[id_operacion]]="","",_xlfn.XLOOKUP(tblAjustes[[#This Row],[id_operacion]],tblOrdenes[id_operacion],tblOrdenes[descripcion_operacion],"(no encontrada)"))</f>
        <v/>
      </c>
      <c r="F137" s="3">
        <f>IF(tblAjustes[[#This Row],[id_operacion]]="","",IF(ISNA(MATCH(tblAjustes[[#This Row],[id_operacion]],tblOrdenes[id_operacion],0)),"huérfano",IF(COUNTIF($A$4:$A137,tblAjustes[[#This Row],[id_operacion]])&gt;1,"duplicado (se ignora)","aplicado")))</f>
        <v/>
      </c>
      <c r="G1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8">
      <c r="A138" s="6" t="n"/>
      <c r="B138" s="15" t="n"/>
      <c r="C138" s="6" t="n"/>
      <c r="D138" s="8" t="n"/>
      <c r="E138" s="3">
        <f>IF(tblAjustes[[#This Row],[id_operacion]]="","",_xlfn.XLOOKUP(tblAjustes[[#This Row],[id_operacion]],tblOrdenes[id_operacion],tblOrdenes[descripcion_operacion],"(no encontrada)"))</f>
        <v/>
      </c>
      <c r="F138" s="3">
        <f>IF(tblAjustes[[#This Row],[id_operacion]]="","",IF(ISNA(MATCH(tblAjustes[[#This Row],[id_operacion]],tblOrdenes[id_operacion],0)),"huérfano",IF(COUNTIF($A$4:$A138,tblAjustes[[#This Row],[id_operacion]])&gt;1,"duplicado (se ignora)","aplicado")))</f>
        <v/>
      </c>
      <c r="G1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9">
      <c r="A139" s="6" t="n"/>
      <c r="B139" s="15" t="n"/>
      <c r="C139" s="6" t="n"/>
      <c r="D139" s="8" t="n"/>
      <c r="E139" s="3">
        <f>IF(tblAjustes[[#This Row],[id_operacion]]="","",_xlfn.XLOOKUP(tblAjustes[[#This Row],[id_operacion]],tblOrdenes[id_operacion],tblOrdenes[descripcion_operacion],"(no encontrada)"))</f>
        <v/>
      </c>
      <c r="F139" s="3">
        <f>IF(tblAjustes[[#This Row],[id_operacion]]="","",IF(ISNA(MATCH(tblAjustes[[#This Row],[id_operacion]],tblOrdenes[id_operacion],0)),"huérfano",IF(COUNTIF($A$4:$A139,tblAjustes[[#This Row],[id_operacion]])&gt;1,"duplicado (se ignora)","aplicado")))</f>
        <v/>
      </c>
      <c r="G1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0">
      <c r="A140" s="6" t="n"/>
      <c r="B140" s="15" t="n"/>
      <c r="C140" s="6" t="n"/>
      <c r="D140" s="8" t="n"/>
      <c r="E140" s="3">
        <f>IF(tblAjustes[[#This Row],[id_operacion]]="","",_xlfn.XLOOKUP(tblAjustes[[#This Row],[id_operacion]],tblOrdenes[id_operacion],tblOrdenes[descripcion_operacion],"(no encontrada)"))</f>
        <v/>
      </c>
      <c r="F140" s="3">
        <f>IF(tblAjustes[[#This Row],[id_operacion]]="","",IF(ISNA(MATCH(tblAjustes[[#This Row],[id_operacion]],tblOrdenes[id_operacion],0)),"huérfano",IF(COUNTIF($A$4:$A140,tblAjustes[[#This Row],[id_operacion]])&gt;1,"duplicado (se ignora)","aplicado")))</f>
        <v/>
      </c>
      <c r="G1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1">
      <c r="A141" s="6" t="n"/>
      <c r="B141" s="15" t="n"/>
      <c r="C141" s="6" t="n"/>
      <c r="D141" s="8" t="n"/>
      <c r="E141" s="3">
        <f>IF(tblAjustes[[#This Row],[id_operacion]]="","",_xlfn.XLOOKUP(tblAjustes[[#This Row],[id_operacion]],tblOrdenes[id_operacion],tblOrdenes[descripcion_operacion],"(no encontrada)"))</f>
        <v/>
      </c>
      <c r="F141" s="3">
        <f>IF(tblAjustes[[#This Row],[id_operacion]]="","",IF(ISNA(MATCH(tblAjustes[[#This Row],[id_operacion]],tblOrdenes[id_operacion],0)),"huérfano",IF(COUNTIF($A$4:$A141,tblAjustes[[#This Row],[id_operacion]])&gt;1,"duplicado (se ignora)","aplicado")))</f>
        <v/>
      </c>
      <c r="G1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2">
      <c r="A142" s="6" t="n"/>
      <c r="B142" s="15" t="n"/>
      <c r="C142" s="6" t="n"/>
      <c r="D142" s="8" t="n"/>
      <c r="E142" s="3">
        <f>IF(tblAjustes[[#This Row],[id_operacion]]="","",_xlfn.XLOOKUP(tblAjustes[[#This Row],[id_operacion]],tblOrdenes[id_operacion],tblOrdenes[descripcion_operacion],"(no encontrada)"))</f>
        <v/>
      </c>
      <c r="F142" s="3">
        <f>IF(tblAjustes[[#This Row],[id_operacion]]="","",IF(ISNA(MATCH(tblAjustes[[#This Row],[id_operacion]],tblOrdenes[id_operacion],0)),"huérfano",IF(COUNTIF($A$4:$A142,tblAjustes[[#This Row],[id_operacion]])&gt;1,"duplicado (se ignora)","aplicado")))</f>
        <v/>
      </c>
      <c r="G1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3">
      <c r="A143" s="6" t="n"/>
      <c r="B143" s="15" t="n"/>
      <c r="C143" s="6" t="n"/>
      <c r="D143" s="8" t="n"/>
      <c r="E143" s="3">
        <f>IF(tblAjustes[[#This Row],[id_operacion]]="","",_xlfn.XLOOKUP(tblAjustes[[#This Row],[id_operacion]],tblOrdenes[id_operacion],tblOrdenes[descripcion_operacion],"(no encontrada)"))</f>
        <v/>
      </c>
      <c r="F143" s="3">
        <f>IF(tblAjustes[[#This Row],[id_operacion]]="","",IF(ISNA(MATCH(tblAjustes[[#This Row],[id_operacion]],tblOrdenes[id_operacion],0)),"huérfano",IF(COUNTIF($A$4:$A143,tblAjustes[[#This Row],[id_operacion]])&gt;1,"duplicado (se ignora)","aplicado")))</f>
        <v/>
      </c>
      <c r="G1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4">
      <c r="A144" s="6" t="n"/>
      <c r="B144" s="15" t="n"/>
      <c r="C144" s="6" t="n"/>
      <c r="D144" s="8" t="n"/>
      <c r="E144" s="3">
        <f>IF(tblAjustes[[#This Row],[id_operacion]]="","",_xlfn.XLOOKUP(tblAjustes[[#This Row],[id_operacion]],tblOrdenes[id_operacion],tblOrdenes[descripcion_operacion],"(no encontrada)"))</f>
        <v/>
      </c>
      <c r="F144" s="3">
        <f>IF(tblAjustes[[#This Row],[id_operacion]]="","",IF(ISNA(MATCH(tblAjustes[[#This Row],[id_operacion]],tblOrdenes[id_operacion],0)),"huérfano",IF(COUNTIF($A$4:$A144,tblAjustes[[#This Row],[id_operacion]])&gt;1,"duplicado (se ignora)","aplicado")))</f>
        <v/>
      </c>
      <c r="G1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5">
      <c r="A145" s="6" t="n"/>
      <c r="B145" s="15" t="n"/>
      <c r="C145" s="6" t="n"/>
      <c r="D145" s="8" t="n"/>
      <c r="E145" s="3">
        <f>IF(tblAjustes[[#This Row],[id_operacion]]="","",_xlfn.XLOOKUP(tblAjustes[[#This Row],[id_operacion]],tblOrdenes[id_operacion],tblOrdenes[descripcion_operacion],"(no encontrada)"))</f>
        <v/>
      </c>
      <c r="F145" s="3">
        <f>IF(tblAjustes[[#This Row],[id_operacion]]="","",IF(ISNA(MATCH(tblAjustes[[#This Row],[id_operacion]],tblOrdenes[id_operacion],0)),"huérfano",IF(COUNTIF($A$4:$A145,tblAjustes[[#This Row],[id_operacion]])&gt;1,"duplicado (se ignora)","aplicado")))</f>
        <v/>
      </c>
      <c r="G1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6">
      <c r="A146" s="6" t="n"/>
      <c r="B146" s="15" t="n"/>
      <c r="C146" s="6" t="n"/>
      <c r="D146" s="8" t="n"/>
      <c r="E146" s="3">
        <f>IF(tblAjustes[[#This Row],[id_operacion]]="","",_xlfn.XLOOKUP(tblAjustes[[#This Row],[id_operacion]],tblOrdenes[id_operacion],tblOrdenes[descripcion_operacion],"(no encontrada)"))</f>
        <v/>
      </c>
      <c r="F146" s="3">
        <f>IF(tblAjustes[[#This Row],[id_operacion]]="","",IF(ISNA(MATCH(tblAjustes[[#This Row],[id_operacion]],tblOrdenes[id_operacion],0)),"huérfano",IF(COUNTIF($A$4:$A146,tblAjustes[[#This Row],[id_operacion]])&gt;1,"duplicado (se ignora)","aplicado")))</f>
        <v/>
      </c>
      <c r="G1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7">
      <c r="A147" s="6" t="n"/>
      <c r="B147" s="15" t="n"/>
      <c r="C147" s="6" t="n"/>
      <c r="D147" s="8" t="n"/>
      <c r="E147" s="3">
        <f>IF(tblAjustes[[#This Row],[id_operacion]]="","",_xlfn.XLOOKUP(tblAjustes[[#This Row],[id_operacion]],tblOrdenes[id_operacion],tblOrdenes[descripcion_operacion],"(no encontrada)"))</f>
        <v/>
      </c>
      <c r="F147" s="3">
        <f>IF(tblAjustes[[#This Row],[id_operacion]]="","",IF(ISNA(MATCH(tblAjustes[[#This Row],[id_operacion]],tblOrdenes[id_operacion],0)),"huérfano",IF(COUNTIF($A$4:$A147,tblAjustes[[#This Row],[id_operacion]])&gt;1,"duplicado (se ignora)","aplicado")))</f>
        <v/>
      </c>
      <c r="G1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8">
      <c r="A148" s="6" t="n"/>
      <c r="B148" s="15" t="n"/>
      <c r="C148" s="6" t="n"/>
      <c r="D148" s="8" t="n"/>
      <c r="E148" s="3">
        <f>IF(tblAjustes[[#This Row],[id_operacion]]="","",_xlfn.XLOOKUP(tblAjustes[[#This Row],[id_operacion]],tblOrdenes[id_operacion],tblOrdenes[descripcion_operacion],"(no encontrada)"))</f>
        <v/>
      </c>
      <c r="F148" s="3">
        <f>IF(tblAjustes[[#This Row],[id_operacion]]="","",IF(ISNA(MATCH(tblAjustes[[#This Row],[id_operacion]],tblOrdenes[id_operacion],0)),"huérfano",IF(COUNTIF($A$4:$A148,tblAjustes[[#This Row],[id_operacion]])&gt;1,"duplicado (se ignora)","aplicado")))</f>
        <v/>
      </c>
      <c r="G1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9">
      <c r="A149" s="6" t="n"/>
      <c r="B149" s="15" t="n"/>
      <c r="C149" s="6" t="n"/>
      <c r="D149" s="8" t="n"/>
      <c r="E149" s="3">
        <f>IF(tblAjustes[[#This Row],[id_operacion]]="","",_xlfn.XLOOKUP(tblAjustes[[#This Row],[id_operacion]],tblOrdenes[id_operacion],tblOrdenes[descripcion_operacion],"(no encontrada)"))</f>
        <v/>
      </c>
      <c r="F149" s="3">
        <f>IF(tblAjustes[[#This Row],[id_operacion]]="","",IF(ISNA(MATCH(tblAjustes[[#This Row],[id_operacion]],tblOrdenes[id_operacion],0)),"huérfano",IF(COUNTIF($A$4:$A149,tblAjustes[[#This Row],[id_operacion]])&gt;1,"duplicado (se ignora)","aplicado")))</f>
        <v/>
      </c>
      <c r="G1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0">
      <c r="A150" s="6" t="n"/>
      <c r="B150" s="15" t="n"/>
      <c r="C150" s="6" t="n"/>
      <c r="D150" s="8" t="n"/>
      <c r="E150" s="3">
        <f>IF(tblAjustes[[#This Row],[id_operacion]]="","",_xlfn.XLOOKUP(tblAjustes[[#This Row],[id_operacion]],tblOrdenes[id_operacion],tblOrdenes[descripcion_operacion],"(no encontrada)"))</f>
        <v/>
      </c>
      <c r="F150" s="3">
        <f>IF(tblAjustes[[#This Row],[id_operacion]]="","",IF(ISNA(MATCH(tblAjustes[[#This Row],[id_operacion]],tblOrdenes[id_operacion],0)),"huérfano",IF(COUNTIF($A$4:$A150,tblAjustes[[#This Row],[id_operacion]])&gt;1,"duplicado (se ignora)","aplicado")))</f>
        <v/>
      </c>
      <c r="G1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1">
      <c r="A151" s="6" t="n"/>
      <c r="B151" s="15" t="n"/>
      <c r="C151" s="6" t="n"/>
      <c r="D151" s="8" t="n"/>
      <c r="E151" s="3">
        <f>IF(tblAjustes[[#This Row],[id_operacion]]="","",_xlfn.XLOOKUP(tblAjustes[[#This Row],[id_operacion]],tblOrdenes[id_operacion],tblOrdenes[descripcion_operacion],"(no encontrada)"))</f>
        <v/>
      </c>
      <c r="F151" s="3">
        <f>IF(tblAjustes[[#This Row],[id_operacion]]="","",IF(ISNA(MATCH(tblAjustes[[#This Row],[id_operacion]],tblOrdenes[id_operacion],0)),"huérfano",IF(COUNTIF($A$4:$A151,tblAjustes[[#This Row],[id_operacion]])&gt;1,"duplicado (se ignora)","aplicado")))</f>
        <v/>
      </c>
      <c r="G1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2">
      <c r="A152" s="6" t="n"/>
      <c r="B152" s="15" t="n"/>
      <c r="C152" s="6" t="n"/>
      <c r="D152" s="8" t="n"/>
      <c r="E152" s="3">
        <f>IF(tblAjustes[[#This Row],[id_operacion]]="","",_xlfn.XLOOKUP(tblAjustes[[#This Row],[id_operacion]],tblOrdenes[id_operacion],tblOrdenes[descripcion_operacion],"(no encontrada)"))</f>
        <v/>
      </c>
      <c r="F152" s="3">
        <f>IF(tblAjustes[[#This Row],[id_operacion]]="","",IF(ISNA(MATCH(tblAjustes[[#This Row],[id_operacion]],tblOrdenes[id_operacion],0)),"huérfano",IF(COUNTIF($A$4:$A152,tblAjustes[[#This Row],[id_operacion]])&gt;1,"duplicado (se ignora)","aplicado")))</f>
        <v/>
      </c>
      <c r="G1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3">
      <c r="A153" s="6" t="n"/>
      <c r="B153" s="15" t="n"/>
      <c r="C153" s="6" t="n"/>
      <c r="D153" s="8" t="n"/>
      <c r="E153" s="3">
        <f>IF(tblAjustes[[#This Row],[id_operacion]]="","",_xlfn.XLOOKUP(tblAjustes[[#This Row],[id_operacion]],tblOrdenes[id_operacion],tblOrdenes[descripcion_operacion],"(no encontrada)"))</f>
        <v/>
      </c>
      <c r="F153" s="3">
        <f>IF(tblAjustes[[#This Row],[id_operacion]]="","",IF(ISNA(MATCH(tblAjustes[[#This Row],[id_operacion]],tblOrdenes[id_operacion],0)),"huérfano",IF(COUNTIF($A$4:$A153,tblAjustes[[#This Row],[id_operacion]])&gt;1,"duplicado (se ignora)","aplicado")))</f>
        <v/>
      </c>
      <c r="G1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4">
      <c r="A154" s="6" t="n"/>
      <c r="B154" s="15" t="n"/>
      <c r="C154" s="6" t="n"/>
      <c r="D154" s="8" t="n"/>
      <c r="E154" s="3">
        <f>IF(tblAjustes[[#This Row],[id_operacion]]="","",_xlfn.XLOOKUP(tblAjustes[[#This Row],[id_operacion]],tblOrdenes[id_operacion],tblOrdenes[descripcion_operacion],"(no encontrada)"))</f>
        <v/>
      </c>
      <c r="F154" s="3">
        <f>IF(tblAjustes[[#This Row],[id_operacion]]="","",IF(ISNA(MATCH(tblAjustes[[#This Row],[id_operacion]],tblOrdenes[id_operacion],0)),"huérfano",IF(COUNTIF($A$4:$A154,tblAjustes[[#This Row],[id_operacion]])&gt;1,"duplicado (se ignora)","aplicado")))</f>
        <v/>
      </c>
      <c r="G1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5">
      <c r="A155" s="6" t="n"/>
      <c r="B155" s="15" t="n"/>
      <c r="C155" s="6" t="n"/>
      <c r="D155" s="8" t="n"/>
      <c r="E155" s="3">
        <f>IF(tblAjustes[[#This Row],[id_operacion]]="","",_xlfn.XLOOKUP(tblAjustes[[#This Row],[id_operacion]],tblOrdenes[id_operacion],tblOrdenes[descripcion_operacion],"(no encontrada)"))</f>
        <v/>
      </c>
      <c r="F155" s="3">
        <f>IF(tblAjustes[[#This Row],[id_operacion]]="","",IF(ISNA(MATCH(tblAjustes[[#This Row],[id_operacion]],tblOrdenes[id_operacion],0)),"huérfano",IF(COUNTIF($A$4:$A155,tblAjustes[[#This Row],[id_operacion]])&gt;1,"duplicado (se ignora)","aplicado")))</f>
        <v/>
      </c>
      <c r="G1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6">
      <c r="A156" s="6" t="n"/>
      <c r="B156" s="15" t="n"/>
      <c r="C156" s="6" t="n"/>
      <c r="D156" s="8" t="n"/>
      <c r="E156" s="3">
        <f>IF(tblAjustes[[#This Row],[id_operacion]]="","",_xlfn.XLOOKUP(tblAjustes[[#This Row],[id_operacion]],tblOrdenes[id_operacion],tblOrdenes[descripcion_operacion],"(no encontrada)"))</f>
        <v/>
      </c>
      <c r="F156" s="3">
        <f>IF(tblAjustes[[#This Row],[id_operacion]]="","",IF(ISNA(MATCH(tblAjustes[[#This Row],[id_operacion]],tblOrdenes[id_operacion],0)),"huérfano",IF(COUNTIF($A$4:$A156,tblAjustes[[#This Row],[id_operacion]])&gt;1,"duplicado (se ignora)","aplicado")))</f>
        <v/>
      </c>
      <c r="G1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7">
      <c r="A157" s="6" t="n"/>
      <c r="B157" s="15" t="n"/>
      <c r="C157" s="6" t="n"/>
      <c r="D157" s="8" t="n"/>
      <c r="E157" s="3">
        <f>IF(tblAjustes[[#This Row],[id_operacion]]="","",_xlfn.XLOOKUP(tblAjustes[[#This Row],[id_operacion]],tblOrdenes[id_operacion],tblOrdenes[descripcion_operacion],"(no encontrada)"))</f>
        <v/>
      </c>
      <c r="F157" s="3">
        <f>IF(tblAjustes[[#This Row],[id_operacion]]="","",IF(ISNA(MATCH(tblAjustes[[#This Row],[id_operacion]],tblOrdenes[id_operacion],0)),"huérfano",IF(COUNTIF($A$4:$A157,tblAjustes[[#This Row],[id_operacion]])&gt;1,"duplicado (se ignora)","aplicado")))</f>
        <v/>
      </c>
      <c r="G1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8">
      <c r="A158" s="6" t="n"/>
      <c r="B158" s="15" t="n"/>
      <c r="C158" s="6" t="n"/>
      <c r="D158" s="8" t="n"/>
      <c r="E158" s="3">
        <f>IF(tblAjustes[[#This Row],[id_operacion]]="","",_xlfn.XLOOKUP(tblAjustes[[#This Row],[id_operacion]],tblOrdenes[id_operacion],tblOrdenes[descripcion_operacion],"(no encontrada)"))</f>
        <v/>
      </c>
      <c r="F158" s="3">
        <f>IF(tblAjustes[[#This Row],[id_operacion]]="","",IF(ISNA(MATCH(tblAjustes[[#This Row],[id_operacion]],tblOrdenes[id_operacion],0)),"huérfano",IF(COUNTIF($A$4:$A158,tblAjustes[[#This Row],[id_operacion]])&gt;1,"duplicado (se ignora)","aplicado")))</f>
        <v/>
      </c>
      <c r="G1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9">
      <c r="A159" s="6" t="n"/>
      <c r="B159" s="15" t="n"/>
      <c r="C159" s="6" t="n"/>
      <c r="D159" s="8" t="n"/>
      <c r="E159" s="3">
        <f>IF(tblAjustes[[#This Row],[id_operacion]]="","",_xlfn.XLOOKUP(tblAjustes[[#This Row],[id_operacion]],tblOrdenes[id_operacion],tblOrdenes[descripcion_operacion],"(no encontrada)"))</f>
        <v/>
      </c>
      <c r="F159" s="3">
        <f>IF(tblAjustes[[#This Row],[id_operacion]]="","",IF(ISNA(MATCH(tblAjustes[[#This Row],[id_operacion]],tblOrdenes[id_operacion],0)),"huérfano",IF(COUNTIF($A$4:$A159,tblAjustes[[#This Row],[id_operacion]])&gt;1,"duplicado (se ignora)","aplicado")))</f>
        <v/>
      </c>
      <c r="G1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0">
      <c r="A160" s="6" t="n"/>
      <c r="B160" s="15" t="n"/>
      <c r="C160" s="6" t="n"/>
      <c r="D160" s="8" t="n"/>
      <c r="E160" s="3">
        <f>IF(tblAjustes[[#This Row],[id_operacion]]="","",_xlfn.XLOOKUP(tblAjustes[[#This Row],[id_operacion]],tblOrdenes[id_operacion],tblOrdenes[descripcion_operacion],"(no encontrada)"))</f>
        <v/>
      </c>
      <c r="F160" s="3">
        <f>IF(tblAjustes[[#This Row],[id_operacion]]="","",IF(ISNA(MATCH(tblAjustes[[#This Row],[id_operacion]],tblOrdenes[id_operacion],0)),"huérfano",IF(COUNTIF($A$4:$A160,tblAjustes[[#This Row],[id_operacion]])&gt;1,"duplicado (se ignora)","aplicado")))</f>
        <v/>
      </c>
      <c r="G1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1">
      <c r="A161" s="6" t="n"/>
      <c r="B161" s="15" t="n"/>
      <c r="C161" s="6" t="n"/>
      <c r="D161" s="8" t="n"/>
      <c r="E161" s="3">
        <f>IF(tblAjustes[[#This Row],[id_operacion]]="","",_xlfn.XLOOKUP(tblAjustes[[#This Row],[id_operacion]],tblOrdenes[id_operacion],tblOrdenes[descripcion_operacion],"(no encontrada)"))</f>
        <v/>
      </c>
      <c r="F161" s="3">
        <f>IF(tblAjustes[[#This Row],[id_operacion]]="","",IF(ISNA(MATCH(tblAjustes[[#This Row],[id_operacion]],tblOrdenes[id_operacion],0)),"huérfano",IF(COUNTIF($A$4:$A161,tblAjustes[[#This Row],[id_operacion]])&gt;1,"duplicado (se ignora)","aplicado")))</f>
        <v/>
      </c>
      <c r="G1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2">
      <c r="A162" s="6" t="n"/>
      <c r="B162" s="15" t="n"/>
      <c r="C162" s="6" t="n"/>
      <c r="D162" s="8" t="n"/>
      <c r="E162" s="3">
        <f>IF(tblAjustes[[#This Row],[id_operacion]]="","",_xlfn.XLOOKUP(tblAjustes[[#This Row],[id_operacion]],tblOrdenes[id_operacion],tblOrdenes[descripcion_operacion],"(no encontrada)"))</f>
        <v/>
      </c>
      <c r="F162" s="3">
        <f>IF(tblAjustes[[#This Row],[id_operacion]]="","",IF(ISNA(MATCH(tblAjustes[[#This Row],[id_operacion]],tblOrdenes[id_operacion],0)),"huérfano",IF(COUNTIF($A$4:$A162,tblAjustes[[#This Row],[id_operacion]])&gt;1,"duplicado (se ignora)","aplicado")))</f>
        <v/>
      </c>
      <c r="G1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3">
      <c r="A163" s="6" t="n"/>
      <c r="B163" s="15" t="n"/>
      <c r="C163" s="6" t="n"/>
      <c r="D163" s="8" t="n"/>
      <c r="E163" s="3">
        <f>IF(tblAjustes[[#This Row],[id_operacion]]="","",_xlfn.XLOOKUP(tblAjustes[[#This Row],[id_operacion]],tblOrdenes[id_operacion],tblOrdenes[descripcion_operacion],"(no encontrada)"))</f>
        <v/>
      </c>
      <c r="F163" s="3">
        <f>IF(tblAjustes[[#This Row],[id_operacion]]="","",IF(ISNA(MATCH(tblAjustes[[#This Row],[id_operacion]],tblOrdenes[id_operacion],0)),"huérfano",IF(COUNTIF($A$4:$A163,tblAjustes[[#This Row],[id_operacion]])&gt;1,"duplicado (se ignora)","aplicado")))</f>
        <v/>
      </c>
      <c r="G1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4">
      <c r="A164" s="6" t="n"/>
      <c r="B164" s="15" t="n"/>
      <c r="C164" s="6" t="n"/>
      <c r="D164" s="8" t="n"/>
      <c r="E164" s="3">
        <f>IF(tblAjustes[[#This Row],[id_operacion]]="","",_xlfn.XLOOKUP(tblAjustes[[#This Row],[id_operacion]],tblOrdenes[id_operacion],tblOrdenes[descripcion_operacion],"(no encontrada)"))</f>
        <v/>
      </c>
      <c r="F164" s="3">
        <f>IF(tblAjustes[[#This Row],[id_operacion]]="","",IF(ISNA(MATCH(tblAjustes[[#This Row],[id_operacion]],tblOrdenes[id_operacion],0)),"huérfano",IF(COUNTIF($A$4:$A164,tblAjustes[[#This Row],[id_operacion]])&gt;1,"duplicado (se ignora)","aplicado")))</f>
        <v/>
      </c>
      <c r="G1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5">
      <c r="A165" s="6" t="n"/>
      <c r="B165" s="15" t="n"/>
      <c r="C165" s="6" t="n"/>
      <c r="D165" s="8" t="n"/>
      <c r="E165" s="3">
        <f>IF(tblAjustes[[#This Row],[id_operacion]]="","",_xlfn.XLOOKUP(tblAjustes[[#This Row],[id_operacion]],tblOrdenes[id_operacion],tblOrdenes[descripcion_operacion],"(no encontrada)"))</f>
        <v/>
      </c>
      <c r="F165" s="3">
        <f>IF(tblAjustes[[#This Row],[id_operacion]]="","",IF(ISNA(MATCH(tblAjustes[[#This Row],[id_operacion]],tblOrdenes[id_operacion],0)),"huérfano",IF(COUNTIF($A$4:$A165,tblAjustes[[#This Row],[id_operacion]])&gt;1,"duplicado (se ignora)","aplicado")))</f>
        <v/>
      </c>
      <c r="G1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6">
      <c r="A166" s="6" t="n"/>
      <c r="B166" s="15" t="n"/>
      <c r="C166" s="6" t="n"/>
      <c r="D166" s="8" t="n"/>
      <c r="E166" s="3">
        <f>IF(tblAjustes[[#This Row],[id_operacion]]="","",_xlfn.XLOOKUP(tblAjustes[[#This Row],[id_operacion]],tblOrdenes[id_operacion],tblOrdenes[descripcion_operacion],"(no encontrada)"))</f>
        <v/>
      </c>
      <c r="F166" s="3">
        <f>IF(tblAjustes[[#This Row],[id_operacion]]="","",IF(ISNA(MATCH(tblAjustes[[#This Row],[id_operacion]],tblOrdenes[id_operacion],0)),"huérfano",IF(COUNTIF($A$4:$A166,tblAjustes[[#This Row],[id_operacion]])&gt;1,"duplicado (se ignora)","aplicado")))</f>
        <v/>
      </c>
      <c r="G1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7">
      <c r="A167" s="6" t="n"/>
      <c r="B167" s="15" t="n"/>
      <c r="C167" s="6" t="n"/>
      <c r="D167" s="8" t="n"/>
      <c r="E167" s="3">
        <f>IF(tblAjustes[[#This Row],[id_operacion]]="","",_xlfn.XLOOKUP(tblAjustes[[#This Row],[id_operacion]],tblOrdenes[id_operacion],tblOrdenes[descripcion_operacion],"(no encontrada)"))</f>
        <v/>
      </c>
      <c r="F167" s="3">
        <f>IF(tblAjustes[[#This Row],[id_operacion]]="","",IF(ISNA(MATCH(tblAjustes[[#This Row],[id_operacion]],tblOrdenes[id_operacion],0)),"huérfano",IF(COUNTIF($A$4:$A167,tblAjustes[[#This Row],[id_operacion]])&gt;1,"duplicado (se ignora)","aplicado")))</f>
        <v/>
      </c>
      <c r="G1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8">
      <c r="A168" s="6" t="n"/>
      <c r="B168" s="15" t="n"/>
      <c r="C168" s="6" t="n"/>
      <c r="D168" s="8" t="n"/>
      <c r="E168" s="3">
        <f>IF(tblAjustes[[#This Row],[id_operacion]]="","",_xlfn.XLOOKUP(tblAjustes[[#This Row],[id_operacion]],tblOrdenes[id_operacion],tblOrdenes[descripcion_operacion],"(no encontrada)"))</f>
        <v/>
      </c>
      <c r="F168" s="3">
        <f>IF(tblAjustes[[#This Row],[id_operacion]]="","",IF(ISNA(MATCH(tblAjustes[[#This Row],[id_operacion]],tblOrdenes[id_operacion],0)),"huérfano",IF(COUNTIF($A$4:$A168,tblAjustes[[#This Row],[id_operacion]])&gt;1,"duplicado (se ignora)","aplicado")))</f>
        <v/>
      </c>
      <c r="G1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9">
      <c r="A169" s="6" t="n"/>
      <c r="B169" s="15" t="n"/>
      <c r="C169" s="6" t="n"/>
      <c r="D169" s="8" t="n"/>
      <c r="E169" s="3">
        <f>IF(tblAjustes[[#This Row],[id_operacion]]="","",_xlfn.XLOOKUP(tblAjustes[[#This Row],[id_operacion]],tblOrdenes[id_operacion],tblOrdenes[descripcion_operacion],"(no encontrada)"))</f>
        <v/>
      </c>
      <c r="F169" s="3">
        <f>IF(tblAjustes[[#This Row],[id_operacion]]="","",IF(ISNA(MATCH(tblAjustes[[#This Row],[id_operacion]],tblOrdenes[id_operacion],0)),"huérfano",IF(COUNTIF($A$4:$A169,tblAjustes[[#This Row],[id_operacion]])&gt;1,"duplicado (se ignora)","aplicado")))</f>
        <v/>
      </c>
      <c r="G1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0">
      <c r="A170" s="6" t="n"/>
      <c r="B170" s="15" t="n"/>
      <c r="C170" s="6" t="n"/>
      <c r="D170" s="8" t="n"/>
      <c r="E170" s="3">
        <f>IF(tblAjustes[[#This Row],[id_operacion]]="","",_xlfn.XLOOKUP(tblAjustes[[#This Row],[id_operacion]],tblOrdenes[id_operacion],tblOrdenes[descripcion_operacion],"(no encontrada)"))</f>
        <v/>
      </c>
      <c r="F170" s="3">
        <f>IF(tblAjustes[[#This Row],[id_operacion]]="","",IF(ISNA(MATCH(tblAjustes[[#This Row],[id_operacion]],tblOrdenes[id_operacion],0)),"huérfano",IF(COUNTIF($A$4:$A170,tblAjustes[[#This Row],[id_operacion]])&gt;1,"duplicado (se ignora)","aplicado")))</f>
        <v/>
      </c>
      <c r="G1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1">
      <c r="A171" s="6" t="n"/>
      <c r="B171" s="15" t="n"/>
      <c r="C171" s="6" t="n"/>
      <c r="D171" s="8" t="n"/>
      <c r="E171" s="3">
        <f>IF(tblAjustes[[#This Row],[id_operacion]]="","",_xlfn.XLOOKUP(tblAjustes[[#This Row],[id_operacion]],tblOrdenes[id_operacion],tblOrdenes[descripcion_operacion],"(no encontrada)"))</f>
        <v/>
      </c>
      <c r="F171" s="3">
        <f>IF(tblAjustes[[#This Row],[id_operacion]]="","",IF(ISNA(MATCH(tblAjustes[[#This Row],[id_operacion]],tblOrdenes[id_operacion],0)),"huérfano",IF(COUNTIF($A$4:$A171,tblAjustes[[#This Row],[id_operacion]])&gt;1,"duplicado (se ignora)","aplicado")))</f>
        <v/>
      </c>
      <c r="G1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2">
      <c r="A172" s="6" t="n"/>
      <c r="B172" s="15" t="n"/>
      <c r="C172" s="6" t="n"/>
      <c r="D172" s="8" t="n"/>
      <c r="E172" s="3">
        <f>IF(tblAjustes[[#This Row],[id_operacion]]="","",_xlfn.XLOOKUP(tblAjustes[[#This Row],[id_operacion]],tblOrdenes[id_operacion],tblOrdenes[descripcion_operacion],"(no encontrada)"))</f>
        <v/>
      </c>
      <c r="F172" s="3">
        <f>IF(tblAjustes[[#This Row],[id_operacion]]="","",IF(ISNA(MATCH(tblAjustes[[#This Row],[id_operacion]],tblOrdenes[id_operacion],0)),"huérfano",IF(COUNTIF($A$4:$A172,tblAjustes[[#This Row],[id_operacion]])&gt;1,"duplicado (se ignora)","aplicado")))</f>
        <v/>
      </c>
      <c r="G1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3">
      <c r="A173" s="6" t="n"/>
      <c r="B173" s="15" t="n"/>
      <c r="C173" s="6" t="n"/>
      <c r="D173" s="8" t="n"/>
      <c r="E173" s="3">
        <f>IF(tblAjustes[[#This Row],[id_operacion]]="","",_xlfn.XLOOKUP(tblAjustes[[#This Row],[id_operacion]],tblOrdenes[id_operacion],tblOrdenes[descripcion_operacion],"(no encontrada)"))</f>
        <v/>
      </c>
      <c r="F173" s="3">
        <f>IF(tblAjustes[[#This Row],[id_operacion]]="","",IF(ISNA(MATCH(tblAjustes[[#This Row],[id_operacion]],tblOrdenes[id_operacion],0)),"huérfano",IF(COUNTIF($A$4:$A173,tblAjustes[[#This Row],[id_operacion]])&gt;1,"duplicado (se ignora)","aplicado")))</f>
        <v/>
      </c>
      <c r="G1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4">
      <c r="A174" s="6" t="n"/>
      <c r="B174" s="15" t="n"/>
      <c r="C174" s="6" t="n"/>
      <c r="D174" s="8" t="n"/>
      <c r="E174" s="3">
        <f>IF(tblAjustes[[#This Row],[id_operacion]]="","",_xlfn.XLOOKUP(tblAjustes[[#This Row],[id_operacion]],tblOrdenes[id_operacion],tblOrdenes[descripcion_operacion],"(no encontrada)"))</f>
        <v/>
      </c>
      <c r="F174" s="3">
        <f>IF(tblAjustes[[#This Row],[id_operacion]]="","",IF(ISNA(MATCH(tblAjustes[[#This Row],[id_operacion]],tblOrdenes[id_operacion],0)),"huérfano",IF(COUNTIF($A$4:$A174,tblAjustes[[#This Row],[id_operacion]])&gt;1,"duplicado (se ignora)","aplicado")))</f>
        <v/>
      </c>
      <c r="G1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5">
      <c r="A175" s="6" t="n"/>
      <c r="B175" s="15" t="n"/>
      <c r="C175" s="6" t="n"/>
      <c r="D175" s="8" t="n"/>
      <c r="E175" s="3">
        <f>IF(tblAjustes[[#This Row],[id_operacion]]="","",_xlfn.XLOOKUP(tblAjustes[[#This Row],[id_operacion]],tblOrdenes[id_operacion],tblOrdenes[descripcion_operacion],"(no encontrada)"))</f>
        <v/>
      </c>
      <c r="F175" s="3">
        <f>IF(tblAjustes[[#This Row],[id_operacion]]="","",IF(ISNA(MATCH(tblAjustes[[#This Row],[id_operacion]],tblOrdenes[id_operacion],0)),"huérfano",IF(COUNTIF($A$4:$A175,tblAjustes[[#This Row],[id_operacion]])&gt;1,"duplicado (se ignora)","aplicado")))</f>
        <v/>
      </c>
      <c r="G1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6">
      <c r="A176" s="6" t="n"/>
      <c r="B176" s="15" t="n"/>
      <c r="C176" s="6" t="n"/>
      <c r="D176" s="8" t="n"/>
      <c r="E176" s="3">
        <f>IF(tblAjustes[[#This Row],[id_operacion]]="","",_xlfn.XLOOKUP(tblAjustes[[#This Row],[id_operacion]],tblOrdenes[id_operacion],tblOrdenes[descripcion_operacion],"(no encontrada)"))</f>
        <v/>
      </c>
      <c r="F176" s="3">
        <f>IF(tblAjustes[[#This Row],[id_operacion]]="","",IF(ISNA(MATCH(tblAjustes[[#This Row],[id_operacion]],tblOrdenes[id_operacion],0)),"huérfano",IF(COUNTIF($A$4:$A176,tblAjustes[[#This Row],[id_operacion]])&gt;1,"duplicado (se ignora)","aplicado")))</f>
        <v/>
      </c>
      <c r="G1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7">
      <c r="A177" s="6" t="n"/>
      <c r="B177" s="15" t="n"/>
      <c r="C177" s="6" t="n"/>
      <c r="D177" s="8" t="n"/>
      <c r="E177" s="3">
        <f>IF(tblAjustes[[#This Row],[id_operacion]]="","",_xlfn.XLOOKUP(tblAjustes[[#This Row],[id_operacion]],tblOrdenes[id_operacion],tblOrdenes[descripcion_operacion],"(no encontrada)"))</f>
        <v/>
      </c>
      <c r="F177" s="3">
        <f>IF(tblAjustes[[#This Row],[id_operacion]]="","",IF(ISNA(MATCH(tblAjustes[[#This Row],[id_operacion]],tblOrdenes[id_operacion],0)),"huérfano",IF(COUNTIF($A$4:$A177,tblAjustes[[#This Row],[id_operacion]])&gt;1,"duplicado (se ignora)","aplicado")))</f>
        <v/>
      </c>
      <c r="G1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8">
      <c r="A178" s="6" t="n"/>
      <c r="B178" s="15" t="n"/>
      <c r="C178" s="6" t="n"/>
      <c r="D178" s="8" t="n"/>
      <c r="E178" s="3">
        <f>IF(tblAjustes[[#This Row],[id_operacion]]="","",_xlfn.XLOOKUP(tblAjustes[[#This Row],[id_operacion]],tblOrdenes[id_operacion],tblOrdenes[descripcion_operacion],"(no encontrada)"))</f>
        <v/>
      </c>
      <c r="F178" s="3">
        <f>IF(tblAjustes[[#This Row],[id_operacion]]="","",IF(ISNA(MATCH(tblAjustes[[#This Row],[id_operacion]],tblOrdenes[id_operacion],0)),"huérfano",IF(COUNTIF($A$4:$A178,tblAjustes[[#This Row],[id_operacion]])&gt;1,"duplicado (se ignora)","aplicado")))</f>
        <v/>
      </c>
      <c r="G1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9">
      <c r="A179" s="6" t="n"/>
      <c r="B179" s="15" t="n"/>
      <c r="C179" s="6" t="n"/>
      <c r="D179" s="8" t="n"/>
      <c r="E179" s="3">
        <f>IF(tblAjustes[[#This Row],[id_operacion]]="","",_xlfn.XLOOKUP(tblAjustes[[#This Row],[id_operacion]],tblOrdenes[id_operacion],tblOrdenes[descripcion_operacion],"(no encontrada)"))</f>
        <v/>
      </c>
      <c r="F179" s="3">
        <f>IF(tblAjustes[[#This Row],[id_operacion]]="","",IF(ISNA(MATCH(tblAjustes[[#This Row],[id_operacion]],tblOrdenes[id_operacion],0)),"huérfano",IF(COUNTIF($A$4:$A179,tblAjustes[[#This Row],[id_operacion]])&gt;1,"duplicado (se ignora)","aplicado")))</f>
        <v/>
      </c>
      <c r="G1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0">
      <c r="A180" s="6" t="n"/>
      <c r="B180" s="15" t="n"/>
      <c r="C180" s="6" t="n"/>
      <c r="D180" s="8" t="n"/>
      <c r="E180" s="3">
        <f>IF(tblAjustes[[#This Row],[id_operacion]]="","",_xlfn.XLOOKUP(tblAjustes[[#This Row],[id_operacion]],tblOrdenes[id_operacion],tblOrdenes[descripcion_operacion],"(no encontrada)"))</f>
        <v/>
      </c>
      <c r="F180" s="3">
        <f>IF(tblAjustes[[#This Row],[id_operacion]]="","",IF(ISNA(MATCH(tblAjustes[[#This Row],[id_operacion]],tblOrdenes[id_operacion],0)),"huérfano",IF(COUNTIF($A$4:$A180,tblAjustes[[#This Row],[id_operacion]])&gt;1,"duplicado (se ignora)","aplicado")))</f>
        <v/>
      </c>
      <c r="G1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1">
      <c r="A181" s="6" t="n"/>
      <c r="B181" s="15" t="n"/>
      <c r="C181" s="6" t="n"/>
      <c r="D181" s="8" t="n"/>
      <c r="E181" s="3">
        <f>IF(tblAjustes[[#This Row],[id_operacion]]="","",_xlfn.XLOOKUP(tblAjustes[[#This Row],[id_operacion]],tblOrdenes[id_operacion],tblOrdenes[descripcion_operacion],"(no encontrada)"))</f>
        <v/>
      </c>
      <c r="F181" s="3">
        <f>IF(tblAjustes[[#This Row],[id_operacion]]="","",IF(ISNA(MATCH(tblAjustes[[#This Row],[id_operacion]],tblOrdenes[id_operacion],0)),"huérfano",IF(COUNTIF($A$4:$A181,tblAjustes[[#This Row],[id_operacion]])&gt;1,"duplicado (se ignora)","aplicado")))</f>
        <v/>
      </c>
      <c r="G1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2">
      <c r="A182" s="6" t="n"/>
      <c r="B182" s="15" t="n"/>
      <c r="C182" s="6" t="n"/>
      <c r="D182" s="8" t="n"/>
      <c r="E182" s="3">
        <f>IF(tblAjustes[[#This Row],[id_operacion]]="","",_xlfn.XLOOKUP(tblAjustes[[#This Row],[id_operacion]],tblOrdenes[id_operacion],tblOrdenes[descripcion_operacion],"(no encontrada)"))</f>
        <v/>
      </c>
      <c r="F182" s="3">
        <f>IF(tblAjustes[[#This Row],[id_operacion]]="","",IF(ISNA(MATCH(tblAjustes[[#This Row],[id_operacion]],tblOrdenes[id_operacion],0)),"huérfano",IF(COUNTIF($A$4:$A182,tblAjustes[[#This Row],[id_operacion]])&gt;1,"duplicado (se ignora)","aplicado")))</f>
        <v/>
      </c>
      <c r="G1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3">
      <c r="A183" s="6" t="n"/>
      <c r="B183" s="15" t="n"/>
      <c r="C183" s="6" t="n"/>
      <c r="D183" s="8" t="n"/>
      <c r="E183" s="3">
        <f>IF(tblAjustes[[#This Row],[id_operacion]]="","",_xlfn.XLOOKUP(tblAjustes[[#This Row],[id_operacion]],tblOrdenes[id_operacion],tblOrdenes[descripcion_operacion],"(no encontrada)"))</f>
        <v/>
      </c>
      <c r="F183" s="3">
        <f>IF(tblAjustes[[#This Row],[id_operacion]]="","",IF(ISNA(MATCH(tblAjustes[[#This Row],[id_operacion]],tblOrdenes[id_operacion],0)),"huérfano",IF(COUNTIF($A$4:$A183,tblAjustes[[#This Row],[id_operacion]])&gt;1,"duplicado (se ignora)","aplicado")))</f>
        <v/>
      </c>
      <c r="G1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4">
      <c r="A184" s="6" t="n"/>
      <c r="B184" s="15" t="n"/>
      <c r="C184" s="6" t="n"/>
      <c r="D184" s="8" t="n"/>
      <c r="E184" s="3">
        <f>IF(tblAjustes[[#This Row],[id_operacion]]="","",_xlfn.XLOOKUP(tblAjustes[[#This Row],[id_operacion]],tblOrdenes[id_operacion],tblOrdenes[descripcion_operacion],"(no encontrada)"))</f>
        <v/>
      </c>
      <c r="F184" s="3">
        <f>IF(tblAjustes[[#This Row],[id_operacion]]="","",IF(ISNA(MATCH(tblAjustes[[#This Row],[id_operacion]],tblOrdenes[id_operacion],0)),"huérfano",IF(COUNTIF($A$4:$A184,tblAjustes[[#This Row],[id_operacion]])&gt;1,"duplicado (se ignora)","aplicado")))</f>
        <v/>
      </c>
      <c r="G1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5">
      <c r="A185" s="6" t="n"/>
      <c r="B185" s="15" t="n"/>
      <c r="C185" s="6" t="n"/>
      <c r="D185" s="8" t="n"/>
      <c r="E185" s="3">
        <f>IF(tblAjustes[[#This Row],[id_operacion]]="","",_xlfn.XLOOKUP(tblAjustes[[#This Row],[id_operacion]],tblOrdenes[id_operacion],tblOrdenes[descripcion_operacion],"(no encontrada)"))</f>
        <v/>
      </c>
      <c r="F185" s="3">
        <f>IF(tblAjustes[[#This Row],[id_operacion]]="","",IF(ISNA(MATCH(tblAjustes[[#This Row],[id_operacion]],tblOrdenes[id_operacion],0)),"huérfano",IF(COUNTIF($A$4:$A185,tblAjustes[[#This Row],[id_operacion]])&gt;1,"duplicado (se ignora)","aplicado")))</f>
        <v/>
      </c>
      <c r="G1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6">
      <c r="A186" s="6" t="n"/>
      <c r="B186" s="15" t="n"/>
      <c r="C186" s="6" t="n"/>
      <c r="D186" s="8" t="n"/>
      <c r="E186" s="3">
        <f>IF(tblAjustes[[#This Row],[id_operacion]]="","",_xlfn.XLOOKUP(tblAjustes[[#This Row],[id_operacion]],tblOrdenes[id_operacion],tblOrdenes[descripcion_operacion],"(no encontrada)"))</f>
        <v/>
      </c>
      <c r="F186" s="3">
        <f>IF(tblAjustes[[#This Row],[id_operacion]]="","",IF(ISNA(MATCH(tblAjustes[[#This Row],[id_operacion]],tblOrdenes[id_operacion],0)),"huérfano",IF(COUNTIF($A$4:$A186,tblAjustes[[#This Row],[id_operacion]])&gt;1,"duplicado (se ignora)","aplicado")))</f>
        <v/>
      </c>
      <c r="G1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7">
      <c r="A187" s="6" t="n"/>
      <c r="B187" s="15" t="n"/>
      <c r="C187" s="6" t="n"/>
      <c r="D187" s="8" t="n"/>
      <c r="E187" s="3">
        <f>IF(tblAjustes[[#This Row],[id_operacion]]="","",_xlfn.XLOOKUP(tblAjustes[[#This Row],[id_operacion]],tblOrdenes[id_operacion],tblOrdenes[descripcion_operacion],"(no encontrada)"))</f>
        <v/>
      </c>
      <c r="F187" s="3">
        <f>IF(tblAjustes[[#This Row],[id_operacion]]="","",IF(ISNA(MATCH(tblAjustes[[#This Row],[id_operacion]],tblOrdenes[id_operacion],0)),"huérfano",IF(COUNTIF($A$4:$A187,tblAjustes[[#This Row],[id_operacion]])&gt;1,"duplicado (se ignora)","aplicado")))</f>
        <v/>
      </c>
      <c r="G1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8">
      <c r="A188" s="6" t="n"/>
      <c r="B188" s="15" t="n"/>
      <c r="C188" s="6" t="n"/>
      <c r="D188" s="8" t="n"/>
      <c r="E188" s="3">
        <f>IF(tblAjustes[[#This Row],[id_operacion]]="","",_xlfn.XLOOKUP(tblAjustes[[#This Row],[id_operacion]],tblOrdenes[id_operacion],tblOrdenes[descripcion_operacion],"(no encontrada)"))</f>
        <v/>
      </c>
      <c r="F188" s="3">
        <f>IF(tblAjustes[[#This Row],[id_operacion]]="","",IF(ISNA(MATCH(tblAjustes[[#This Row],[id_operacion]],tblOrdenes[id_operacion],0)),"huérfano",IF(COUNTIF($A$4:$A188,tblAjustes[[#This Row],[id_operacion]])&gt;1,"duplicado (se ignora)","aplicado")))</f>
        <v/>
      </c>
      <c r="G1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9">
      <c r="A189" s="6" t="n"/>
      <c r="B189" s="15" t="n"/>
      <c r="C189" s="6" t="n"/>
      <c r="D189" s="8" t="n"/>
      <c r="E189" s="3">
        <f>IF(tblAjustes[[#This Row],[id_operacion]]="","",_xlfn.XLOOKUP(tblAjustes[[#This Row],[id_operacion]],tblOrdenes[id_operacion],tblOrdenes[descripcion_operacion],"(no encontrada)"))</f>
        <v/>
      </c>
      <c r="F189" s="3">
        <f>IF(tblAjustes[[#This Row],[id_operacion]]="","",IF(ISNA(MATCH(tblAjustes[[#This Row],[id_operacion]],tblOrdenes[id_operacion],0)),"huérfano",IF(COUNTIF($A$4:$A189,tblAjustes[[#This Row],[id_operacion]])&gt;1,"duplicado (se ignora)","aplicado")))</f>
        <v/>
      </c>
      <c r="G1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0">
      <c r="A190" s="6" t="n"/>
      <c r="B190" s="15" t="n"/>
      <c r="C190" s="6" t="n"/>
      <c r="D190" s="8" t="n"/>
      <c r="E190" s="3">
        <f>IF(tblAjustes[[#This Row],[id_operacion]]="","",_xlfn.XLOOKUP(tblAjustes[[#This Row],[id_operacion]],tblOrdenes[id_operacion],tblOrdenes[descripcion_operacion],"(no encontrada)"))</f>
        <v/>
      </c>
      <c r="F190" s="3">
        <f>IF(tblAjustes[[#This Row],[id_operacion]]="","",IF(ISNA(MATCH(tblAjustes[[#This Row],[id_operacion]],tblOrdenes[id_operacion],0)),"huérfano",IF(COUNTIF($A$4:$A190,tblAjustes[[#This Row],[id_operacion]])&gt;1,"duplicado (se ignora)","aplicado")))</f>
        <v/>
      </c>
      <c r="G1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1">
      <c r="A191" s="6" t="n"/>
      <c r="B191" s="15" t="n"/>
      <c r="C191" s="6" t="n"/>
      <c r="D191" s="8" t="n"/>
      <c r="E191" s="3">
        <f>IF(tblAjustes[[#This Row],[id_operacion]]="","",_xlfn.XLOOKUP(tblAjustes[[#This Row],[id_operacion]],tblOrdenes[id_operacion],tblOrdenes[descripcion_operacion],"(no encontrada)"))</f>
        <v/>
      </c>
      <c r="F191" s="3">
        <f>IF(tblAjustes[[#This Row],[id_operacion]]="","",IF(ISNA(MATCH(tblAjustes[[#This Row],[id_operacion]],tblOrdenes[id_operacion],0)),"huérfano",IF(COUNTIF($A$4:$A191,tblAjustes[[#This Row],[id_operacion]])&gt;1,"duplicado (se ignora)","aplicado")))</f>
        <v/>
      </c>
      <c r="G1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2">
      <c r="A192" s="6" t="n"/>
      <c r="B192" s="15" t="n"/>
      <c r="C192" s="6" t="n"/>
      <c r="D192" s="8" t="n"/>
      <c r="E192" s="3">
        <f>IF(tblAjustes[[#This Row],[id_operacion]]="","",_xlfn.XLOOKUP(tblAjustes[[#This Row],[id_operacion]],tblOrdenes[id_operacion],tblOrdenes[descripcion_operacion],"(no encontrada)"))</f>
        <v/>
      </c>
      <c r="F192" s="3">
        <f>IF(tblAjustes[[#This Row],[id_operacion]]="","",IF(ISNA(MATCH(tblAjustes[[#This Row],[id_operacion]],tblOrdenes[id_operacion],0)),"huérfano",IF(COUNTIF($A$4:$A192,tblAjustes[[#This Row],[id_operacion]])&gt;1,"duplicado (se ignora)","aplicado")))</f>
        <v/>
      </c>
      <c r="G1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3">
      <c r="A193" s="6" t="n"/>
      <c r="B193" s="15" t="n"/>
      <c r="C193" s="6" t="n"/>
      <c r="D193" s="8" t="n"/>
      <c r="E193" s="3">
        <f>IF(tblAjustes[[#This Row],[id_operacion]]="","",_xlfn.XLOOKUP(tblAjustes[[#This Row],[id_operacion]],tblOrdenes[id_operacion],tblOrdenes[descripcion_operacion],"(no encontrada)"))</f>
        <v/>
      </c>
      <c r="F193" s="3">
        <f>IF(tblAjustes[[#This Row],[id_operacion]]="","",IF(ISNA(MATCH(tblAjustes[[#This Row],[id_operacion]],tblOrdenes[id_operacion],0)),"huérfano",IF(COUNTIF($A$4:$A193,tblAjustes[[#This Row],[id_operacion]])&gt;1,"duplicado (se ignora)","aplicado")))</f>
        <v/>
      </c>
      <c r="G1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4">
      <c r="A194" s="6" t="n"/>
      <c r="B194" s="15" t="n"/>
      <c r="C194" s="6" t="n"/>
      <c r="D194" s="8" t="n"/>
      <c r="E194" s="3">
        <f>IF(tblAjustes[[#This Row],[id_operacion]]="","",_xlfn.XLOOKUP(tblAjustes[[#This Row],[id_operacion]],tblOrdenes[id_operacion],tblOrdenes[descripcion_operacion],"(no encontrada)"))</f>
        <v/>
      </c>
      <c r="F194" s="3">
        <f>IF(tblAjustes[[#This Row],[id_operacion]]="","",IF(ISNA(MATCH(tblAjustes[[#This Row],[id_operacion]],tblOrdenes[id_operacion],0)),"huérfano",IF(COUNTIF($A$4:$A194,tblAjustes[[#This Row],[id_operacion]])&gt;1,"duplicado (se ignora)","aplicado")))</f>
        <v/>
      </c>
      <c r="G1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5">
      <c r="A195" s="6" t="n"/>
      <c r="B195" s="15" t="n"/>
      <c r="C195" s="6" t="n"/>
      <c r="D195" s="8" t="n"/>
      <c r="E195" s="3">
        <f>IF(tblAjustes[[#This Row],[id_operacion]]="","",_xlfn.XLOOKUP(tblAjustes[[#This Row],[id_operacion]],tblOrdenes[id_operacion],tblOrdenes[descripcion_operacion],"(no encontrada)"))</f>
        <v/>
      </c>
      <c r="F195" s="3">
        <f>IF(tblAjustes[[#This Row],[id_operacion]]="","",IF(ISNA(MATCH(tblAjustes[[#This Row],[id_operacion]],tblOrdenes[id_operacion],0)),"huérfano",IF(COUNTIF($A$4:$A195,tblAjustes[[#This Row],[id_operacion]])&gt;1,"duplicado (se ignora)","aplicado")))</f>
        <v/>
      </c>
      <c r="G1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6">
      <c r="A196" s="6" t="n"/>
      <c r="B196" s="15" t="n"/>
      <c r="C196" s="6" t="n"/>
      <c r="D196" s="8" t="n"/>
      <c r="E196" s="3">
        <f>IF(tblAjustes[[#This Row],[id_operacion]]="","",_xlfn.XLOOKUP(tblAjustes[[#This Row],[id_operacion]],tblOrdenes[id_operacion],tblOrdenes[descripcion_operacion],"(no encontrada)"))</f>
        <v/>
      </c>
      <c r="F196" s="3">
        <f>IF(tblAjustes[[#This Row],[id_operacion]]="","",IF(ISNA(MATCH(tblAjustes[[#This Row],[id_operacion]],tblOrdenes[id_operacion],0)),"huérfano",IF(COUNTIF($A$4:$A196,tblAjustes[[#This Row],[id_operacion]])&gt;1,"duplicado (se ignora)","aplicado")))</f>
        <v/>
      </c>
      <c r="G1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7">
      <c r="A197" s="6" t="n"/>
      <c r="B197" s="15" t="n"/>
      <c r="C197" s="6" t="n"/>
      <c r="D197" s="8" t="n"/>
      <c r="E197" s="3">
        <f>IF(tblAjustes[[#This Row],[id_operacion]]="","",_xlfn.XLOOKUP(tblAjustes[[#This Row],[id_operacion]],tblOrdenes[id_operacion],tblOrdenes[descripcion_operacion],"(no encontrada)"))</f>
        <v/>
      </c>
      <c r="F197" s="3">
        <f>IF(tblAjustes[[#This Row],[id_operacion]]="","",IF(ISNA(MATCH(tblAjustes[[#This Row],[id_operacion]],tblOrdenes[id_operacion],0)),"huérfano",IF(COUNTIF($A$4:$A197,tblAjustes[[#This Row],[id_operacion]])&gt;1,"duplicado (se ignora)","aplicado")))</f>
        <v/>
      </c>
      <c r="G1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8">
      <c r="A198" s="6" t="n"/>
      <c r="B198" s="15" t="n"/>
      <c r="C198" s="6" t="n"/>
      <c r="D198" s="8" t="n"/>
      <c r="E198" s="3">
        <f>IF(tblAjustes[[#This Row],[id_operacion]]="","",_xlfn.XLOOKUP(tblAjustes[[#This Row],[id_operacion]],tblOrdenes[id_operacion],tblOrdenes[descripcion_operacion],"(no encontrada)"))</f>
        <v/>
      </c>
      <c r="F198" s="3">
        <f>IF(tblAjustes[[#This Row],[id_operacion]]="","",IF(ISNA(MATCH(tblAjustes[[#This Row],[id_operacion]],tblOrdenes[id_operacion],0)),"huérfano",IF(COUNTIF($A$4:$A198,tblAjustes[[#This Row],[id_operacion]])&gt;1,"duplicado (se ignora)","aplicado")))</f>
        <v/>
      </c>
      <c r="G1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9">
      <c r="A199" s="6" t="n"/>
      <c r="B199" s="15" t="n"/>
      <c r="C199" s="6" t="n"/>
      <c r="D199" s="8" t="n"/>
      <c r="E199" s="3">
        <f>IF(tblAjustes[[#This Row],[id_operacion]]="","",_xlfn.XLOOKUP(tblAjustes[[#This Row],[id_operacion]],tblOrdenes[id_operacion],tblOrdenes[descripcion_operacion],"(no encontrada)"))</f>
        <v/>
      </c>
      <c r="F199" s="3">
        <f>IF(tblAjustes[[#This Row],[id_operacion]]="","",IF(ISNA(MATCH(tblAjustes[[#This Row],[id_operacion]],tblOrdenes[id_operacion],0)),"huérfano",IF(COUNTIF($A$4:$A199,tblAjustes[[#This Row],[id_operacion]])&gt;1,"duplicado (se ignora)","aplicado")))</f>
        <v/>
      </c>
      <c r="G1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0">
      <c r="A200" s="6" t="n"/>
      <c r="B200" s="15" t="n"/>
      <c r="C200" s="6" t="n"/>
      <c r="D200" s="8" t="n"/>
      <c r="E200" s="3">
        <f>IF(tblAjustes[[#This Row],[id_operacion]]="","",_xlfn.XLOOKUP(tblAjustes[[#This Row],[id_operacion]],tblOrdenes[id_operacion],tblOrdenes[descripcion_operacion],"(no encontrada)"))</f>
        <v/>
      </c>
      <c r="F200" s="3">
        <f>IF(tblAjustes[[#This Row],[id_operacion]]="","",IF(ISNA(MATCH(tblAjustes[[#This Row],[id_operacion]],tblOrdenes[id_operacion],0)),"huérfano",IF(COUNTIF($A$4:$A200,tblAjustes[[#This Row],[id_operacion]])&gt;1,"duplicado (se ignora)","aplicado")))</f>
        <v/>
      </c>
      <c r="G2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1">
      <c r="A201" s="6" t="n"/>
      <c r="B201" s="15" t="n"/>
      <c r="C201" s="6" t="n"/>
      <c r="D201" s="8" t="n"/>
      <c r="E201" s="3">
        <f>IF(tblAjustes[[#This Row],[id_operacion]]="","",_xlfn.XLOOKUP(tblAjustes[[#This Row],[id_operacion]],tblOrdenes[id_operacion],tblOrdenes[descripcion_operacion],"(no encontrada)"))</f>
        <v/>
      </c>
      <c r="F201" s="3">
        <f>IF(tblAjustes[[#This Row],[id_operacion]]="","",IF(ISNA(MATCH(tblAjustes[[#This Row],[id_operacion]],tblOrdenes[id_operacion],0)),"huérfano",IF(COUNTIF($A$4:$A201,tblAjustes[[#This Row],[id_operacion]])&gt;1,"duplicado (se ignora)","aplicado")))</f>
        <v/>
      </c>
      <c r="G2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2">
      <c r="A202" s="6" t="n"/>
      <c r="B202" s="15" t="n"/>
      <c r="C202" s="6" t="n"/>
      <c r="D202" s="8" t="n"/>
      <c r="E202" s="3">
        <f>IF(tblAjustes[[#This Row],[id_operacion]]="","",_xlfn.XLOOKUP(tblAjustes[[#This Row],[id_operacion]],tblOrdenes[id_operacion],tblOrdenes[descripcion_operacion],"(no encontrada)"))</f>
        <v/>
      </c>
      <c r="F202" s="3">
        <f>IF(tblAjustes[[#This Row],[id_operacion]]="","",IF(ISNA(MATCH(tblAjustes[[#This Row],[id_operacion]],tblOrdenes[id_operacion],0)),"huérfano",IF(COUNTIF($A$4:$A202,tblAjustes[[#This Row],[id_operacion]])&gt;1,"duplicado (se ignora)","aplicado")))</f>
        <v/>
      </c>
      <c r="G2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3">
      <c r="A203" s="6" t="n"/>
      <c r="B203" s="15" t="n"/>
      <c r="C203" s="6" t="n"/>
      <c r="D203" s="8" t="n"/>
      <c r="E203" s="3">
        <f>IF(tblAjustes[[#This Row],[id_operacion]]="","",_xlfn.XLOOKUP(tblAjustes[[#This Row],[id_operacion]],tblOrdenes[id_operacion],tblOrdenes[descripcion_operacion],"(no encontrada)"))</f>
        <v/>
      </c>
      <c r="F203" s="3">
        <f>IF(tblAjustes[[#This Row],[id_operacion]]="","",IF(ISNA(MATCH(tblAjustes[[#This Row],[id_operacion]],tblOrdenes[id_operacion],0)),"huérfano",IF(COUNTIF($A$4:$A203,tblAjustes[[#This Row],[id_operacion]])&gt;1,"duplicado (se ignora)","aplicado")))</f>
        <v/>
      </c>
      <c r="G2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4">
      <c r="A204" s="6" t="n"/>
      <c r="B204" s="15" t="n"/>
      <c r="C204" s="6" t="n"/>
      <c r="D204" s="8" t="n"/>
      <c r="E204" s="3">
        <f>IF(tblAjustes[[#This Row],[id_operacion]]="","",_xlfn.XLOOKUP(tblAjustes[[#This Row],[id_operacion]],tblOrdenes[id_operacion],tblOrdenes[descripcion_operacion],"(no encontrada)"))</f>
        <v/>
      </c>
      <c r="F204" s="3">
        <f>IF(tblAjustes[[#This Row],[id_operacion]]="","",IF(ISNA(MATCH(tblAjustes[[#This Row],[id_operacion]],tblOrdenes[id_operacion],0)),"huérfano",IF(COUNTIF($A$4:$A204,tblAjustes[[#This Row],[id_operacion]])&gt;1,"duplicado (se ignora)","aplicado")))</f>
        <v/>
      </c>
      <c r="G20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5">
      <c r="A205" s="6" t="n"/>
      <c r="B205" s="15" t="n"/>
      <c r="C205" s="6" t="n"/>
      <c r="D205" s="8" t="n"/>
      <c r="E205" s="3">
        <f>IF(tblAjustes[[#This Row],[id_operacion]]="","",_xlfn.XLOOKUP(tblAjustes[[#This Row],[id_operacion]],tblOrdenes[id_operacion],tblOrdenes[descripcion_operacion],"(no encontrada)"))</f>
        <v/>
      </c>
      <c r="F205" s="3">
        <f>IF(tblAjustes[[#This Row],[id_operacion]]="","",IF(ISNA(MATCH(tblAjustes[[#This Row],[id_operacion]],tblOrdenes[id_operacion],0)),"huérfano",IF(COUNTIF($A$4:$A205,tblAjustes[[#This Row],[id_operacion]])&gt;1,"duplicado (se ignora)","aplicado")))</f>
        <v/>
      </c>
      <c r="G20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6">
      <c r="A206" s="6" t="n"/>
      <c r="B206" s="15" t="n"/>
      <c r="C206" s="6" t="n"/>
      <c r="D206" s="8" t="n"/>
      <c r="E206" s="3">
        <f>IF(tblAjustes[[#This Row],[id_operacion]]="","",_xlfn.XLOOKUP(tblAjustes[[#This Row],[id_operacion]],tblOrdenes[id_operacion],tblOrdenes[descripcion_operacion],"(no encontrada)"))</f>
        <v/>
      </c>
      <c r="F206" s="3">
        <f>IF(tblAjustes[[#This Row],[id_operacion]]="","",IF(ISNA(MATCH(tblAjustes[[#This Row],[id_operacion]],tblOrdenes[id_operacion],0)),"huérfano",IF(COUNTIF($A$4:$A206,tblAjustes[[#This Row],[id_operacion]])&gt;1,"duplicado (se ignora)","aplicado")))</f>
        <v/>
      </c>
      <c r="G20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7">
      <c r="A207" s="6" t="n"/>
      <c r="B207" s="15" t="n"/>
      <c r="C207" s="6" t="n"/>
      <c r="D207" s="8" t="n"/>
      <c r="E207" s="3">
        <f>IF(tblAjustes[[#This Row],[id_operacion]]="","",_xlfn.XLOOKUP(tblAjustes[[#This Row],[id_operacion]],tblOrdenes[id_operacion],tblOrdenes[descripcion_operacion],"(no encontrada)"))</f>
        <v/>
      </c>
      <c r="F207" s="3">
        <f>IF(tblAjustes[[#This Row],[id_operacion]]="","",IF(ISNA(MATCH(tblAjustes[[#This Row],[id_operacion]],tblOrdenes[id_operacion],0)),"huérfano",IF(COUNTIF($A$4:$A207,tblAjustes[[#This Row],[id_operacion]])&gt;1,"duplicado (se ignora)","aplicado")))</f>
        <v/>
      </c>
      <c r="G20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8">
      <c r="A208" s="6" t="n"/>
      <c r="B208" s="15" t="n"/>
      <c r="C208" s="6" t="n"/>
      <c r="D208" s="8" t="n"/>
      <c r="E208" s="3">
        <f>IF(tblAjustes[[#This Row],[id_operacion]]="","",_xlfn.XLOOKUP(tblAjustes[[#This Row],[id_operacion]],tblOrdenes[id_operacion],tblOrdenes[descripcion_operacion],"(no encontrada)"))</f>
        <v/>
      </c>
      <c r="F208" s="3">
        <f>IF(tblAjustes[[#This Row],[id_operacion]]="","",IF(ISNA(MATCH(tblAjustes[[#This Row],[id_operacion]],tblOrdenes[id_operacion],0)),"huérfano",IF(COUNTIF($A$4:$A208,tblAjustes[[#This Row],[id_operacion]])&gt;1,"duplicado (se ignora)","aplicado")))</f>
        <v/>
      </c>
      <c r="G20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9">
      <c r="A209" s="6" t="n"/>
      <c r="B209" s="15" t="n"/>
      <c r="C209" s="6" t="n"/>
      <c r="D209" s="8" t="n"/>
      <c r="E209" s="3">
        <f>IF(tblAjustes[[#This Row],[id_operacion]]="","",_xlfn.XLOOKUP(tblAjustes[[#This Row],[id_operacion]],tblOrdenes[id_operacion],tblOrdenes[descripcion_operacion],"(no encontrada)"))</f>
        <v/>
      </c>
      <c r="F209" s="3">
        <f>IF(tblAjustes[[#This Row],[id_operacion]]="","",IF(ISNA(MATCH(tblAjustes[[#This Row],[id_operacion]],tblOrdenes[id_operacion],0)),"huérfano",IF(COUNTIF($A$4:$A209,tblAjustes[[#This Row],[id_operacion]])&gt;1,"duplicado (se ignora)","aplicado")))</f>
        <v/>
      </c>
      <c r="G20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0">
      <c r="A210" s="6" t="n"/>
      <c r="B210" s="15" t="n"/>
      <c r="C210" s="6" t="n"/>
      <c r="D210" s="8" t="n"/>
      <c r="E210" s="3">
        <f>IF(tblAjustes[[#This Row],[id_operacion]]="","",_xlfn.XLOOKUP(tblAjustes[[#This Row],[id_operacion]],tblOrdenes[id_operacion],tblOrdenes[descripcion_operacion],"(no encontrada)"))</f>
        <v/>
      </c>
      <c r="F210" s="3">
        <f>IF(tblAjustes[[#This Row],[id_operacion]]="","",IF(ISNA(MATCH(tblAjustes[[#This Row],[id_operacion]],tblOrdenes[id_operacion],0)),"huérfano",IF(COUNTIF($A$4:$A210,tblAjustes[[#This Row],[id_operacion]])&gt;1,"duplicado (se ignora)","aplicado")))</f>
        <v/>
      </c>
      <c r="G2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1">
      <c r="A211" s="6" t="n"/>
      <c r="B211" s="15" t="n"/>
      <c r="C211" s="6" t="n"/>
      <c r="D211" s="8" t="n"/>
      <c r="E211" s="3">
        <f>IF(tblAjustes[[#This Row],[id_operacion]]="","",_xlfn.XLOOKUP(tblAjustes[[#This Row],[id_operacion]],tblOrdenes[id_operacion],tblOrdenes[descripcion_operacion],"(no encontrada)"))</f>
        <v/>
      </c>
      <c r="F211" s="3">
        <f>IF(tblAjustes[[#This Row],[id_operacion]]="","",IF(ISNA(MATCH(tblAjustes[[#This Row],[id_operacion]],tblOrdenes[id_operacion],0)),"huérfano",IF(COUNTIF($A$4:$A211,tblAjustes[[#This Row],[id_operacion]])&gt;1,"duplicado (se ignora)","aplicado")))</f>
        <v/>
      </c>
      <c r="G2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2">
      <c r="A212" s="6" t="n"/>
      <c r="B212" s="15" t="n"/>
      <c r="C212" s="6" t="n"/>
      <c r="D212" s="8" t="n"/>
      <c r="E212" s="3">
        <f>IF(tblAjustes[[#This Row],[id_operacion]]="","",_xlfn.XLOOKUP(tblAjustes[[#This Row],[id_operacion]],tblOrdenes[id_operacion],tblOrdenes[descripcion_operacion],"(no encontrada)"))</f>
        <v/>
      </c>
      <c r="F212" s="3">
        <f>IF(tblAjustes[[#This Row],[id_operacion]]="","",IF(ISNA(MATCH(tblAjustes[[#This Row],[id_operacion]],tblOrdenes[id_operacion],0)),"huérfano",IF(COUNTIF($A$4:$A212,tblAjustes[[#This Row],[id_operacion]])&gt;1,"duplicado (se ignora)","aplicado")))</f>
        <v/>
      </c>
      <c r="G2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3">
      <c r="A213" s="6" t="n"/>
      <c r="B213" s="15" t="n"/>
      <c r="C213" s="6" t="n"/>
      <c r="D213" s="8" t="n"/>
      <c r="E213" s="3">
        <f>IF(tblAjustes[[#This Row],[id_operacion]]="","",_xlfn.XLOOKUP(tblAjustes[[#This Row],[id_operacion]],tblOrdenes[id_operacion],tblOrdenes[descripcion_operacion],"(no encontrada)"))</f>
        <v/>
      </c>
      <c r="F213" s="3">
        <f>IF(tblAjustes[[#This Row],[id_operacion]]="","",IF(ISNA(MATCH(tblAjustes[[#This Row],[id_operacion]],tblOrdenes[id_operacion],0)),"huérfano",IF(COUNTIF($A$4:$A213,tblAjustes[[#This Row],[id_operacion]])&gt;1,"duplicado (se ignora)","aplicado")))</f>
        <v/>
      </c>
      <c r="G2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4">
      <c r="A214" s="6" t="n"/>
      <c r="B214" s="15" t="n"/>
      <c r="C214" s="6" t="n"/>
      <c r="D214" s="8" t="n"/>
      <c r="E214" s="3">
        <f>IF(tblAjustes[[#This Row],[id_operacion]]="","",_xlfn.XLOOKUP(tblAjustes[[#This Row],[id_operacion]],tblOrdenes[id_operacion],tblOrdenes[descripcion_operacion],"(no encontrada)"))</f>
        <v/>
      </c>
      <c r="F214" s="3">
        <f>IF(tblAjustes[[#This Row],[id_operacion]]="","",IF(ISNA(MATCH(tblAjustes[[#This Row],[id_operacion]],tblOrdenes[id_operacion],0)),"huérfano",IF(COUNTIF($A$4:$A214,tblAjustes[[#This Row],[id_operacion]])&gt;1,"duplicado (se ignora)","aplicado")))</f>
        <v/>
      </c>
      <c r="G2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5">
      <c r="A215" s="6" t="n"/>
      <c r="B215" s="15" t="n"/>
      <c r="C215" s="6" t="n"/>
      <c r="D215" s="8" t="n"/>
      <c r="E215" s="3">
        <f>IF(tblAjustes[[#This Row],[id_operacion]]="","",_xlfn.XLOOKUP(tblAjustes[[#This Row],[id_operacion]],tblOrdenes[id_operacion],tblOrdenes[descripcion_operacion],"(no encontrada)"))</f>
        <v/>
      </c>
      <c r="F215" s="3">
        <f>IF(tblAjustes[[#This Row],[id_operacion]]="","",IF(ISNA(MATCH(tblAjustes[[#This Row],[id_operacion]],tblOrdenes[id_operacion],0)),"huérfano",IF(COUNTIF($A$4:$A215,tblAjustes[[#This Row],[id_operacion]])&gt;1,"duplicado (se ignora)","aplicado")))</f>
        <v/>
      </c>
      <c r="G2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6">
      <c r="A216" s="6" t="n"/>
      <c r="B216" s="15" t="n"/>
      <c r="C216" s="6" t="n"/>
      <c r="D216" s="8" t="n"/>
      <c r="E216" s="3">
        <f>IF(tblAjustes[[#This Row],[id_operacion]]="","",_xlfn.XLOOKUP(tblAjustes[[#This Row],[id_operacion]],tblOrdenes[id_operacion],tblOrdenes[descripcion_operacion],"(no encontrada)"))</f>
        <v/>
      </c>
      <c r="F216" s="3">
        <f>IF(tblAjustes[[#This Row],[id_operacion]]="","",IF(ISNA(MATCH(tblAjustes[[#This Row],[id_operacion]],tblOrdenes[id_operacion],0)),"huérfano",IF(COUNTIF($A$4:$A216,tblAjustes[[#This Row],[id_operacion]])&gt;1,"duplicado (se ignora)","aplicado")))</f>
        <v/>
      </c>
      <c r="G2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7">
      <c r="A217" s="6" t="n"/>
      <c r="B217" s="15" t="n"/>
      <c r="C217" s="6" t="n"/>
      <c r="D217" s="8" t="n"/>
      <c r="E217" s="3">
        <f>IF(tblAjustes[[#This Row],[id_operacion]]="","",_xlfn.XLOOKUP(tblAjustes[[#This Row],[id_operacion]],tblOrdenes[id_operacion],tblOrdenes[descripcion_operacion],"(no encontrada)"))</f>
        <v/>
      </c>
      <c r="F217" s="3">
        <f>IF(tblAjustes[[#This Row],[id_operacion]]="","",IF(ISNA(MATCH(tblAjustes[[#This Row],[id_operacion]],tblOrdenes[id_operacion],0)),"huérfano",IF(COUNTIF($A$4:$A217,tblAjustes[[#This Row],[id_operacion]])&gt;1,"duplicado (se ignora)","aplicado")))</f>
        <v/>
      </c>
      <c r="G2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8">
      <c r="A218" s="6" t="n"/>
      <c r="B218" s="15" t="n"/>
      <c r="C218" s="6" t="n"/>
      <c r="D218" s="8" t="n"/>
      <c r="E218" s="3">
        <f>IF(tblAjustes[[#This Row],[id_operacion]]="","",_xlfn.XLOOKUP(tblAjustes[[#This Row],[id_operacion]],tblOrdenes[id_operacion],tblOrdenes[descripcion_operacion],"(no encontrada)"))</f>
        <v/>
      </c>
      <c r="F218" s="3">
        <f>IF(tblAjustes[[#This Row],[id_operacion]]="","",IF(ISNA(MATCH(tblAjustes[[#This Row],[id_operacion]],tblOrdenes[id_operacion],0)),"huérfano",IF(COUNTIF($A$4:$A218,tblAjustes[[#This Row],[id_operacion]])&gt;1,"duplicado (se ignora)","aplicado")))</f>
        <v/>
      </c>
      <c r="G2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9">
      <c r="A219" s="6" t="n"/>
      <c r="B219" s="15" t="n"/>
      <c r="C219" s="6" t="n"/>
      <c r="D219" s="8" t="n"/>
      <c r="E219" s="3">
        <f>IF(tblAjustes[[#This Row],[id_operacion]]="","",_xlfn.XLOOKUP(tblAjustes[[#This Row],[id_operacion]],tblOrdenes[id_operacion],tblOrdenes[descripcion_operacion],"(no encontrada)"))</f>
        <v/>
      </c>
      <c r="F219" s="3">
        <f>IF(tblAjustes[[#This Row],[id_operacion]]="","",IF(ISNA(MATCH(tblAjustes[[#This Row],[id_operacion]],tblOrdenes[id_operacion],0)),"huérfano",IF(COUNTIF($A$4:$A219,tblAjustes[[#This Row],[id_operacion]])&gt;1,"duplicado (se ignora)","aplicado")))</f>
        <v/>
      </c>
      <c r="G2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0">
      <c r="A220" s="6" t="n"/>
      <c r="B220" s="15" t="n"/>
      <c r="C220" s="6" t="n"/>
      <c r="D220" s="8" t="n"/>
      <c r="E220" s="3">
        <f>IF(tblAjustes[[#This Row],[id_operacion]]="","",_xlfn.XLOOKUP(tblAjustes[[#This Row],[id_operacion]],tblOrdenes[id_operacion],tblOrdenes[descripcion_operacion],"(no encontrada)"))</f>
        <v/>
      </c>
      <c r="F220" s="3">
        <f>IF(tblAjustes[[#This Row],[id_operacion]]="","",IF(ISNA(MATCH(tblAjustes[[#This Row],[id_operacion]],tblOrdenes[id_operacion],0)),"huérfano",IF(COUNTIF($A$4:$A220,tblAjustes[[#This Row],[id_operacion]])&gt;1,"duplicado (se ignora)","aplicado")))</f>
        <v/>
      </c>
      <c r="G2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1">
      <c r="A221" s="6" t="n"/>
      <c r="B221" s="15" t="n"/>
      <c r="C221" s="6" t="n"/>
      <c r="D221" s="8" t="n"/>
      <c r="E221" s="3">
        <f>IF(tblAjustes[[#This Row],[id_operacion]]="","",_xlfn.XLOOKUP(tblAjustes[[#This Row],[id_operacion]],tblOrdenes[id_operacion],tblOrdenes[descripcion_operacion],"(no encontrada)"))</f>
        <v/>
      </c>
      <c r="F221" s="3">
        <f>IF(tblAjustes[[#This Row],[id_operacion]]="","",IF(ISNA(MATCH(tblAjustes[[#This Row],[id_operacion]],tblOrdenes[id_operacion],0)),"huérfano",IF(COUNTIF($A$4:$A221,tblAjustes[[#This Row],[id_operacion]])&gt;1,"duplicado (se ignora)","aplicado")))</f>
        <v/>
      </c>
      <c r="G2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2">
      <c r="A222" s="6" t="n"/>
      <c r="B222" s="15" t="n"/>
      <c r="C222" s="6" t="n"/>
      <c r="D222" s="8" t="n"/>
      <c r="E222" s="3">
        <f>IF(tblAjustes[[#This Row],[id_operacion]]="","",_xlfn.XLOOKUP(tblAjustes[[#This Row],[id_operacion]],tblOrdenes[id_operacion],tblOrdenes[descripcion_operacion],"(no encontrada)"))</f>
        <v/>
      </c>
      <c r="F222" s="3">
        <f>IF(tblAjustes[[#This Row],[id_operacion]]="","",IF(ISNA(MATCH(tblAjustes[[#This Row],[id_operacion]],tblOrdenes[id_operacion],0)),"huérfano",IF(COUNTIF($A$4:$A222,tblAjustes[[#This Row],[id_operacion]])&gt;1,"duplicado (se ignora)","aplicado")))</f>
        <v/>
      </c>
      <c r="G2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3">
      <c r="A223" s="6" t="n"/>
      <c r="B223" s="15" t="n"/>
      <c r="C223" s="6" t="n"/>
      <c r="D223" s="8" t="n"/>
      <c r="E223" s="3">
        <f>IF(tblAjustes[[#This Row],[id_operacion]]="","",_xlfn.XLOOKUP(tblAjustes[[#This Row],[id_operacion]],tblOrdenes[id_operacion],tblOrdenes[descripcion_operacion],"(no encontrada)"))</f>
        <v/>
      </c>
      <c r="F223" s="3">
        <f>IF(tblAjustes[[#This Row],[id_operacion]]="","",IF(ISNA(MATCH(tblAjustes[[#This Row],[id_operacion]],tblOrdenes[id_operacion],0)),"huérfano",IF(COUNTIF($A$4:$A223,tblAjustes[[#This Row],[id_operacion]])&gt;1,"duplicado (se ignora)","aplicado")))</f>
        <v/>
      </c>
      <c r="G2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4">
      <c r="A224" s="6" t="n"/>
      <c r="B224" s="15" t="n"/>
      <c r="C224" s="6" t="n"/>
      <c r="D224" s="8" t="n"/>
      <c r="E224" s="3">
        <f>IF(tblAjustes[[#This Row],[id_operacion]]="","",_xlfn.XLOOKUP(tblAjustes[[#This Row],[id_operacion]],tblOrdenes[id_operacion],tblOrdenes[descripcion_operacion],"(no encontrada)"))</f>
        <v/>
      </c>
      <c r="F224" s="3">
        <f>IF(tblAjustes[[#This Row],[id_operacion]]="","",IF(ISNA(MATCH(tblAjustes[[#This Row],[id_operacion]],tblOrdenes[id_operacion],0)),"huérfano",IF(COUNTIF($A$4:$A224,tblAjustes[[#This Row],[id_operacion]])&gt;1,"duplicado (se ignora)","aplicado")))</f>
        <v/>
      </c>
      <c r="G2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5">
      <c r="A225" s="6" t="n"/>
      <c r="B225" s="15" t="n"/>
      <c r="C225" s="6" t="n"/>
      <c r="D225" s="8" t="n"/>
      <c r="E225" s="3">
        <f>IF(tblAjustes[[#This Row],[id_operacion]]="","",_xlfn.XLOOKUP(tblAjustes[[#This Row],[id_operacion]],tblOrdenes[id_operacion],tblOrdenes[descripcion_operacion],"(no encontrada)"))</f>
        <v/>
      </c>
      <c r="F225" s="3">
        <f>IF(tblAjustes[[#This Row],[id_operacion]]="","",IF(ISNA(MATCH(tblAjustes[[#This Row],[id_operacion]],tblOrdenes[id_operacion],0)),"huérfano",IF(COUNTIF($A$4:$A225,tblAjustes[[#This Row],[id_operacion]])&gt;1,"duplicado (se ignora)","aplicado")))</f>
        <v/>
      </c>
      <c r="G2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6">
      <c r="A226" s="6" t="n"/>
      <c r="B226" s="15" t="n"/>
      <c r="C226" s="6" t="n"/>
      <c r="D226" s="8" t="n"/>
      <c r="E226" s="3">
        <f>IF(tblAjustes[[#This Row],[id_operacion]]="","",_xlfn.XLOOKUP(tblAjustes[[#This Row],[id_operacion]],tblOrdenes[id_operacion],tblOrdenes[descripcion_operacion],"(no encontrada)"))</f>
        <v/>
      </c>
      <c r="F226" s="3">
        <f>IF(tblAjustes[[#This Row],[id_operacion]]="","",IF(ISNA(MATCH(tblAjustes[[#This Row],[id_operacion]],tblOrdenes[id_operacion],0)),"huérfano",IF(COUNTIF($A$4:$A226,tblAjustes[[#This Row],[id_operacion]])&gt;1,"duplicado (se ignora)","aplicado")))</f>
        <v/>
      </c>
      <c r="G2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7">
      <c r="A227" s="6" t="n"/>
      <c r="B227" s="15" t="n"/>
      <c r="C227" s="6" t="n"/>
      <c r="D227" s="8" t="n"/>
      <c r="E227" s="3">
        <f>IF(tblAjustes[[#This Row],[id_operacion]]="","",_xlfn.XLOOKUP(tblAjustes[[#This Row],[id_operacion]],tblOrdenes[id_operacion],tblOrdenes[descripcion_operacion],"(no encontrada)"))</f>
        <v/>
      </c>
      <c r="F227" s="3">
        <f>IF(tblAjustes[[#This Row],[id_operacion]]="","",IF(ISNA(MATCH(tblAjustes[[#This Row],[id_operacion]],tblOrdenes[id_operacion],0)),"huérfano",IF(COUNTIF($A$4:$A227,tblAjustes[[#This Row],[id_operacion]])&gt;1,"duplicado (se ignora)","aplicado")))</f>
        <v/>
      </c>
      <c r="G2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8">
      <c r="A228" s="6" t="n"/>
      <c r="B228" s="15" t="n"/>
      <c r="C228" s="6" t="n"/>
      <c r="D228" s="8" t="n"/>
      <c r="E228" s="3">
        <f>IF(tblAjustes[[#This Row],[id_operacion]]="","",_xlfn.XLOOKUP(tblAjustes[[#This Row],[id_operacion]],tblOrdenes[id_operacion],tblOrdenes[descripcion_operacion],"(no encontrada)"))</f>
        <v/>
      </c>
      <c r="F228" s="3">
        <f>IF(tblAjustes[[#This Row],[id_operacion]]="","",IF(ISNA(MATCH(tblAjustes[[#This Row],[id_operacion]],tblOrdenes[id_operacion],0)),"huérfano",IF(COUNTIF($A$4:$A228,tblAjustes[[#This Row],[id_operacion]])&gt;1,"duplicado (se ignora)","aplicado")))</f>
        <v/>
      </c>
      <c r="G2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9">
      <c r="A229" s="6" t="n"/>
      <c r="B229" s="15" t="n"/>
      <c r="C229" s="6" t="n"/>
      <c r="D229" s="8" t="n"/>
      <c r="E229" s="3">
        <f>IF(tblAjustes[[#This Row],[id_operacion]]="","",_xlfn.XLOOKUP(tblAjustes[[#This Row],[id_operacion]],tblOrdenes[id_operacion],tblOrdenes[descripcion_operacion],"(no encontrada)"))</f>
        <v/>
      </c>
      <c r="F229" s="3">
        <f>IF(tblAjustes[[#This Row],[id_operacion]]="","",IF(ISNA(MATCH(tblAjustes[[#This Row],[id_operacion]],tblOrdenes[id_operacion],0)),"huérfano",IF(COUNTIF($A$4:$A229,tblAjustes[[#This Row],[id_operacion]])&gt;1,"duplicado (se ignora)","aplicado")))</f>
        <v/>
      </c>
      <c r="G2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0">
      <c r="A230" s="6" t="n"/>
      <c r="B230" s="15" t="n"/>
      <c r="C230" s="6" t="n"/>
      <c r="D230" s="8" t="n"/>
      <c r="E230" s="3">
        <f>IF(tblAjustes[[#This Row],[id_operacion]]="","",_xlfn.XLOOKUP(tblAjustes[[#This Row],[id_operacion]],tblOrdenes[id_operacion],tblOrdenes[descripcion_operacion],"(no encontrada)"))</f>
        <v/>
      </c>
      <c r="F230" s="3">
        <f>IF(tblAjustes[[#This Row],[id_operacion]]="","",IF(ISNA(MATCH(tblAjustes[[#This Row],[id_operacion]],tblOrdenes[id_operacion],0)),"huérfano",IF(COUNTIF($A$4:$A230,tblAjustes[[#This Row],[id_operacion]])&gt;1,"duplicado (se ignora)","aplicado")))</f>
        <v/>
      </c>
      <c r="G2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1">
      <c r="A231" s="6" t="n"/>
      <c r="B231" s="15" t="n"/>
      <c r="C231" s="6" t="n"/>
      <c r="D231" s="8" t="n"/>
      <c r="E231" s="3">
        <f>IF(tblAjustes[[#This Row],[id_operacion]]="","",_xlfn.XLOOKUP(tblAjustes[[#This Row],[id_operacion]],tblOrdenes[id_operacion],tblOrdenes[descripcion_operacion],"(no encontrada)"))</f>
        <v/>
      </c>
      <c r="F231" s="3">
        <f>IF(tblAjustes[[#This Row],[id_operacion]]="","",IF(ISNA(MATCH(tblAjustes[[#This Row],[id_operacion]],tblOrdenes[id_operacion],0)),"huérfano",IF(COUNTIF($A$4:$A231,tblAjustes[[#This Row],[id_operacion]])&gt;1,"duplicado (se ignora)","aplicado")))</f>
        <v/>
      </c>
      <c r="G2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2">
      <c r="A232" s="6" t="n"/>
      <c r="B232" s="15" t="n"/>
      <c r="C232" s="6" t="n"/>
      <c r="D232" s="8" t="n"/>
      <c r="E232" s="3">
        <f>IF(tblAjustes[[#This Row],[id_operacion]]="","",_xlfn.XLOOKUP(tblAjustes[[#This Row],[id_operacion]],tblOrdenes[id_operacion],tblOrdenes[descripcion_operacion],"(no encontrada)"))</f>
        <v/>
      </c>
      <c r="F232" s="3">
        <f>IF(tblAjustes[[#This Row],[id_operacion]]="","",IF(ISNA(MATCH(tblAjustes[[#This Row],[id_operacion]],tblOrdenes[id_operacion],0)),"huérfano",IF(COUNTIF($A$4:$A232,tblAjustes[[#This Row],[id_operacion]])&gt;1,"duplicado (se ignora)","aplicado")))</f>
        <v/>
      </c>
      <c r="G2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3">
      <c r="A233" s="6" t="n"/>
      <c r="B233" s="15" t="n"/>
      <c r="C233" s="6" t="n"/>
      <c r="D233" s="8" t="n"/>
      <c r="E233" s="3">
        <f>IF(tblAjustes[[#This Row],[id_operacion]]="","",_xlfn.XLOOKUP(tblAjustes[[#This Row],[id_operacion]],tblOrdenes[id_operacion],tblOrdenes[descripcion_operacion],"(no encontrada)"))</f>
        <v/>
      </c>
      <c r="F233" s="3">
        <f>IF(tblAjustes[[#This Row],[id_operacion]]="","",IF(ISNA(MATCH(tblAjustes[[#This Row],[id_operacion]],tblOrdenes[id_operacion],0)),"huérfano",IF(COUNTIF($A$4:$A233,tblAjustes[[#This Row],[id_operacion]])&gt;1,"duplicado (se ignora)","aplicado")))</f>
        <v/>
      </c>
      <c r="G2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4">
      <c r="A234" s="6" t="n"/>
      <c r="B234" s="15" t="n"/>
      <c r="C234" s="6" t="n"/>
      <c r="D234" s="8" t="n"/>
      <c r="E234" s="3">
        <f>IF(tblAjustes[[#This Row],[id_operacion]]="","",_xlfn.XLOOKUP(tblAjustes[[#This Row],[id_operacion]],tblOrdenes[id_operacion],tblOrdenes[descripcion_operacion],"(no encontrada)"))</f>
        <v/>
      </c>
      <c r="F234" s="3">
        <f>IF(tblAjustes[[#This Row],[id_operacion]]="","",IF(ISNA(MATCH(tblAjustes[[#This Row],[id_operacion]],tblOrdenes[id_operacion],0)),"huérfano",IF(COUNTIF($A$4:$A234,tblAjustes[[#This Row],[id_operacion]])&gt;1,"duplicado (se ignora)","aplicado")))</f>
        <v/>
      </c>
      <c r="G2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5">
      <c r="A235" s="6" t="n"/>
      <c r="B235" s="15" t="n"/>
      <c r="C235" s="6" t="n"/>
      <c r="D235" s="8" t="n"/>
      <c r="E235" s="3">
        <f>IF(tblAjustes[[#This Row],[id_operacion]]="","",_xlfn.XLOOKUP(tblAjustes[[#This Row],[id_operacion]],tblOrdenes[id_operacion],tblOrdenes[descripcion_operacion],"(no encontrada)"))</f>
        <v/>
      </c>
      <c r="F235" s="3">
        <f>IF(tblAjustes[[#This Row],[id_operacion]]="","",IF(ISNA(MATCH(tblAjustes[[#This Row],[id_operacion]],tblOrdenes[id_operacion],0)),"huérfano",IF(COUNTIF($A$4:$A235,tblAjustes[[#This Row],[id_operacion]])&gt;1,"duplicado (se ignora)","aplicado")))</f>
        <v/>
      </c>
      <c r="G2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6">
      <c r="A236" s="6" t="n"/>
      <c r="B236" s="15" t="n"/>
      <c r="C236" s="6" t="n"/>
      <c r="D236" s="8" t="n"/>
      <c r="E236" s="3">
        <f>IF(tblAjustes[[#This Row],[id_operacion]]="","",_xlfn.XLOOKUP(tblAjustes[[#This Row],[id_operacion]],tblOrdenes[id_operacion],tblOrdenes[descripcion_operacion],"(no encontrada)"))</f>
        <v/>
      </c>
      <c r="F236" s="3">
        <f>IF(tblAjustes[[#This Row],[id_operacion]]="","",IF(ISNA(MATCH(tblAjustes[[#This Row],[id_operacion]],tblOrdenes[id_operacion],0)),"huérfano",IF(COUNTIF($A$4:$A236,tblAjustes[[#This Row],[id_operacion]])&gt;1,"duplicado (se ignora)","aplicado")))</f>
        <v/>
      </c>
      <c r="G2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7">
      <c r="A237" s="6" t="n"/>
      <c r="B237" s="15" t="n"/>
      <c r="C237" s="6" t="n"/>
      <c r="D237" s="8" t="n"/>
      <c r="E237" s="3">
        <f>IF(tblAjustes[[#This Row],[id_operacion]]="","",_xlfn.XLOOKUP(tblAjustes[[#This Row],[id_operacion]],tblOrdenes[id_operacion],tblOrdenes[descripcion_operacion],"(no encontrada)"))</f>
        <v/>
      </c>
      <c r="F237" s="3">
        <f>IF(tblAjustes[[#This Row],[id_operacion]]="","",IF(ISNA(MATCH(tblAjustes[[#This Row],[id_operacion]],tblOrdenes[id_operacion],0)),"huérfano",IF(COUNTIF($A$4:$A237,tblAjustes[[#This Row],[id_operacion]])&gt;1,"duplicado (se ignora)","aplicado")))</f>
        <v/>
      </c>
      <c r="G2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8">
      <c r="A238" s="6" t="n"/>
      <c r="B238" s="15" t="n"/>
      <c r="C238" s="6" t="n"/>
      <c r="D238" s="8" t="n"/>
      <c r="E238" s="3">
        <f>IF(tblAjustes[[#This Row],[id_operacion]]="","",_xlfn.XLOOKUP(tblAjustes[[#This Row],[id_operacion]],tblOrdenes[id_operacion],tblOrdenes[descripcion_operacion],"(no encontrada)"))</f>
        <v/>
      </c>
      <c r="F238" s="3">
        <f>IF(tblAjustes[[#This Row],[id_operacion]]="","",IF(ISNA(MATCH(tblAjustes[[#This Row],[id_operacion]],tblOrdenes[id_operacion],0)),"huérfano",IF(COUNTIF($A$4:$A238,tblAjustes[[#This Row],[id_operacion]])&gt;1,"duplicado (se ignora)","aplicado")))</f>
        <v/>
      </c>
      <c r="G2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9">
      <c r="A239" s="6" t="n"/>
      <c r="B239" s="15" t="n"/>
      <c r="C239" s="6" t="n"/>
      <c r="D239" s="8" t="n"/>
      <c r="E239" s="3">
        <f>IF(tblAjustes[[#This Row],[id_operacion]]="","",_xlfn.XLOOKUP(tblAjustes[[#This Row],[id_operacion]],tblOrdenes[id_operacion],tblOrdenes[descripcion_operacion],"(no encontrada)"))</f>
        <v/>
      </c>
      <c r="F239" s="3">
        <f>IF(tblAjustes[[#This Row],[id_operacion]]="","",IF(ISNA(MATCH(tblAjustes[[#This Row],[id_operacion]],tblOrdenes[id_operacion],0)),"huérfano",IF(COUNTIF($A$4:$A239,tblAjustes[[#This Row],[id_operacion]])&gt;1,"duplicado (se ignora)","aplicado")))</f>
        <v/>
      </c>
      <c r="G2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0">
      <c r="A240" s="6" t="n"/>
      <c r="B240" s="15" t="n"/>
      <c r="C240" s="6" t="n"/>
      <c r="D240" s="8" t="n"/>
      <c r="E240" s="3">
        <f>IF(tblAjustes[[#This Row],[id_operacion]]="","",_xlfn.XLOOKUP(tblAjustes[[#This Row],[id_operacion]],tblOrdenes[id_operacion],tblOrdenes[descripcion_operacion],"(no encontrada)"))</f>
        <v/>
      </c>
      <c r="F240" s="3">
        <f>IF(tblAjustes[[#This Row],[id_operacion]]="","",IF(ISNA(MATCH(tblAjustes[[#This Row],[id_operacion]],tblOrdenes[id_operacion],0)),"huérfano",IF(COUNTIF($A$4:$A240,tblAjustes[[#This Row],[id_operacion]])&gt;1,"duplicado (se ignora)","aplicado")))</f>
        <v/>
      </c>
      <c r="G2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1">
      <c r="A241" s="6" t="n"/>
      <c r="B241" s="15" t="n"/>
      <c r="C241" s="6" t="n"/>
      <c r="D241" s="8" t="n"/>
      <c r="E241" s="3">
        <f>IF(tblAjustes[[#This Row],[id_operacion]]="","",_xlfn.XLOOKUP(tblAjustes[[#This Row],[id_operacion]],tblOrdenes[id_operacion],tblOrdenes[descripcion_operacion],"(no encontrada)"))</f>
        <v/>
      </c>
      <c r="F241" s="3">
        <f>IF(tblAjustes[[#This Row],[id_operacion]]="","",IF(ISNA(MATCH(tblAjustes[[#This Row],[id_operacion]],tblOrdenes[id_operacion],0)),"huérfano",IF(COUNTIF($A$4:$A241,tblAjustes[[#This Row],[id_operacion]])&gt;1,"duplicado (se ignora)","aplicado")))</f>
        <v/>
      </c>
      <c r="G2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2">
      <c r="A242" s="6" t="n"/>
      <c r="B242" s="15" t="n"/>
      <c r="C242" s="6" t="n"/>
      <c r="D242" s="8" t="n"/>
      <c r="E242" s="3">
        <f>IF(tblAjustes[[#This Row],[id_operacion]]="","",_xlfn.XLOOKUP(tblAjustes[[#This Row],[id_operacion]],tblOrdenes[id_operacion],tblOrdenes[descripcion_operacion],"(no encontrada)"))</f>
        <v/>
      </c>
      <c r="F242" s="3">
        <f>IF(tblAjustes[[#This Row],[id_operacion]]="","",IF(ISNA(MATCH(tblAjustes[[#This Row],[id_operacion]],tblOrdenes[id_operacion],0)),"huérfano",IF(COUNTIF($A$4:$A242,tblAjustes[[#This Row],[id_operacion]])&gt;1,"duplicado (se ignora)","aplicado")))</f>
        <v/>
      </c>
      <c r="G2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3">
      <c r="A243" s="6" t="n"/>
      <c r="B243" s="15" t="n"/>
      <c r="C243" s="6" t="n"/>
      <c r="D243" s="8" t="n"/>
      <c r="E243" s="3">
        <f>IF(tblAjustes[[#This Row],[id_operacion]]="","",_xlfn.XLOOKUP(tblAjustes[[#This Row],[id_operacion]],tblOrdenes[id_operacion],tblOrdenes[descripcion_operacion],"(no encontrada)"))</f>
        <v/>
      </c>
      <c r="F243" s="3">
        <f>IF(tblAjustes[[#This Row],[id_operacion]]="","",IF(ISNA(MATCH(tblAjustes[[#This Row],[id_operacion]],tblOrdenes[id_operacion],0)),"huérfano",IF(COUNTIF($A$4:$A243,tblAjustes[[#This Row],[id_operacion]])&gt;1,"duplicado (se ignora)","aplicado")))</f>
        <v/>
      </c>
      <c r="G2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4">
      <c r="A244" s="6" t="n"/>
      <c r="B244" s="15" t="n"/>
      <c r="C244" s="6" t="n"/>
      <c r="D244" s="8" t="n"/>
      <c r="E244" s="3">
        <f>IF(tblAjustes[[#This Row],[id_operacion]]="","",_xlfn.XLOOKUP(tblAjustes[[#This Row],[id_operacion]],tblOrdenes[id_operacion],tblOrdenes[descripcion_operacion],"(no encontrada)"))</f>
        <v/>
      </c>
      <c r="F244" s="3">
        <f>IF(tblAjustes[[#This Row],[id_operacion]]="","",IF(ISNA(MATCH(tblAjustes[[#This Row],[id_operacion]],tblOrdenes[id_operacion],0)),"huérfano",IF(COUNTIF($A$4:$A244,tblAjustes[[#This Row],[id_operacion]])&gt;1,"duplicado (se ignora)","aplicado")))</f>
        <v/>
      </c>
      <c r="G2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5">
      <c r="A245" s="6" t="n"/>
      <c r="B245" s="15" t="n"/>
      <c r="C245" s="6" t="n"/>
      <c r="D245" s="8" t="n"/>
      <c r="E245" s="3">
        <f>IF(tblAjustes[[#This Row],[id_operacion]]="","",_xlfn.XLOOKUP(tblAjustes[[#This Row],[id_operacion]],tblOrdenes[id_operacion],tblOrdenes[descripcion_operacion],"(no encontrada)"))</f>
        <v/>
      </c>
      <c r="F245" s="3">
        <f>IF(tblAjustes[[#This Row],[id_operacion]]="","",IF(ISNA(MATCH(tblAjustes[[#This Row],[id_operacion]],tblOrdenes[id_operacion],0)),"huérfano",IF(COUNTIF($A$4:$A245,tblAjustes[[#This Row],[id_operacion]])&gt;1,"duplicado (se ignora)","aplicado")))</f>
        <v/>
      </c>
      <c r="G2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6">
      <c r="A246" s="6" t="n"/>
      <c r="B246" s="15" t="n"/>
      <c r="C246" s="6" t="n"/>
      <c r="D246" s="8" t="n"/>
      <c r="E246" s="3">
        <f>IF(tblAjustes[[#This Row],[id_operacion]]="","",_xlfn.XLOOKUP(tblAjustes[[#This Row],[id_operacion]],tblOrdenes[id_operacion],tblOrdenes[descripcion_operacion],"(no encontrada)"))</f>
        <v/>
      </c>
      <c r="F246" s="3">
        <f>IF(tblAjustes[[#This Row],[id_operacion]]="","",IF(ISNA(MATCH(tblAjustes[[#This Row],[id_operacion]],tblOrdenes[id_operacion],0)),"huérfano",IF(COUNTIF($A$4:$A246,tblAjustes[[#This Row],[id_operacion]])&gt;1,"duplicado (se ignora)","aplicado")))</f>
        <v/>
      </c>
      <c r="G2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7">
      <c r="A247" s="6" t="n"/>
      <c r="B247" s="15" t="n"/>
      <c r="C247" s="6" t="n"/>
      <c r="D247" s="8" t="n"/>
      <c r="E247" s="3">
        <f>IF(tblAjustes[[#This Row],[id_operacion]]="","",_xlfn.XLOOKUP(tblAjustes[[#This Row],[id_operacion]],tblOrdenes[id_operacion],tblOrdenes[descripcion_operacion],"(no encontrada)"))</f>
        <v/>
      </c>
      <c r="F247" s="3">
        <f>IF(tblAjustes[[#This Row],[id_operacion]]="","",IF(ISNA(MATCH(tblAjustes[[#This Row],[id_operacion]],tblOrdenes[id_operacion],0)),"huérfano",IF(COUNTIF($A$4:$A247,tblAjustes[[#This Row],[id_operacion]])&gt;1,"duplicado (se ignora)","aplicado")))</f>
        <v/>
      </c>
      <c r="G2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8">
      <c r="A248" s="6" t="n"/>
      <c r="B248" s="15" t="n"/>
      <c r="C248" s="6" t="n"/>
      <c r="D248" s="8" t="n"/>
      <c r="E248" s="3">
        <f>IF(tblAjustes[[#This Row],[id_operacion]]="","",_xlfn.XLOOKUP(tblAjustes[[#This Row],[id_operacion]],tblOrdenes[id_operacion],tblOrdenes[descripcion_operacion],"(no encontrada)"))</f>
        <v/>
      </c>
      <c r="F248" s="3">
        <f>IF(tblAjustes[[#This Row],[id_operacion]]="","",IF(ISNA(MATCH(tblAjustes[[#This Row],[id_operacion]],tblOrdenes[id_operacion],0)),"huérfano",IF(COUNTIF($A$4:$A248,tblAjustes[[#This Row],[id_operacion]])&gt;1,"duplicado (se ignora)","aplicado")))</f>
        <v/>
      </c>
      <c r="G2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9">
      <c r="A249" s="6" t="n"/>
      <c r="B249" s="15" t="n"/>
      <c r="C249" s="6" t="n"/>
      <c r="D249" s="8" t="n"/>
      <c r="E249" s="3">
        <f>IF(tblAjustes[[#This Row],[id_operacion]]="","",_xlfn.XLOOKUP(tblAjustes[[#This Row],[id_operacion]],tblOrdenes[id_operacion],tblOrdenes[descripcion_operacion],"(no encontrada)"))</f>
        <v/>
      </c>
      <c r="F249" s="3">
        <f>IF(tblAjustes[[#This Row],[id_operacion]]="","",IF(ISNA(MATCH(tblAjustes[[#This Row],[id_operacion]],tblOrdenes[id_operacion],0)),"huérfano",IF(COUNTIF($A$4:$A249,tblAjustes[[#This Row],[id_operacion]])&gt;1,"duplicado (se ignora)","aplicado")))</f>
        <v/>
      </c>
      <c r="G2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0">
      <c r="A250" s="6" t="n"/>
      <c r="B250" s="15" t="n"/>
      <c r="C250" s="6" t="n"/>
      <c r="D250" s="8" t="n"/>
      <c r="E250" s="3">
        <f>IF(tblAjustes[[#This Row],[id_operacion]]="","",_xlfn.XLOOKUP(tblAjustes[[#This Row],[id_operacion]],tblOrdenes[id_operacion],tblOrdenes[descripcion_operacion],"(no encontrada)"))</f>
        <v/>
      </c>
      <c r="F250" s="3">
        <f>IF(tblAjustes[[#This Row],[id_operacion]]="","",IF(ISNA(MATCH(tblAjustes[[#This Row],[id_operacion]],tblOrdenes[id_operacion],0)),"huérfano",IF(COUNTIF($A$4:$A250,tblAjustes[[#This Row],[id_operacion]])&gt;1,"duplicado (se ignora)","aplicado")))</f>
        <v/>
      </c>
      <c r="G2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1">
      <c r="A251" s="6" t="n"/>
      <c r="B251" s="15" t="n"/>
      <c r="C251" s="6" t="n"/>
      <c r="D251" s="8" t="n"/>
      <c r="E251" s="3">
        <f>IF(tblAjustes[[#This Row],[id_operacion]]="","",_xlfn.XLOOKUP(tblAjustes[[#This Row],[id_operacion]],tblOrdenes[id_operacion],tblOrdenes[descripcion_operacion],"(no encontrada)"))</f>
        <v/>
      </c>
      <c r="F251" s="3">
        <f>IF(tblAjustes[[#This Row],[id_operacion]]="","",IF(ISNA(MATCH(tblAjustes[[#This Row],[id_operacion]],tblOrdenes[id_operacion],0)),"huérfano",IF(COUNTIF($A$4:$A251,tblAjustes[[#This Row],[id_operacion]])&gt;1,"duplicado (se ignora)","aplicado")))</f>
        <v/>
      </c>
      <c r="G2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2">
      <c r="A252" s="6" t="n"/>
      <c r="B252" s="15" t="n"/>
      <c r="C252" s="6" t="n"/>
      <c r="D252" s="8" t="n"/>
      <c r="E252" s="3">
        <f>IF(tblAjustes[[#This Row],[id_operacion]]="","",_xlfn.XLOOKUP(tblAjustes[[#This Row],[id_operacion]],tblOrdenes[id_operacion],tblOrdenes[descripcion_operacion],"(no encontrada)"))</f>
        <v/>
      </c>
      <c r="F252" s="3">
        <f>IF(tblAjustes[[#This Row],[id_operacion]]="","",IF(ISNA(MATCH(tblAjustes[[#This Row],[id_operacion]],tblOrdenes[id_operacion],0)),"huérfano",IF(COUNTIF($A$4:$A252,tblAjustes[[#This Row],[id_operacion]])&gt;1,"duplicado (se ignora)","aplicado")))</f>
        <v/>
      </c>
      <c r="G2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3">
      <c r="A253" s="6" t="n"/>
      <c r="B253" s="15" t="n"/>
      <c r="C253" s="6" t="n"/>
      <c r="D253" s="8" t="n"/>
      <c r="E253" s="3">
        <f>IF(tblAjustes[[#This Row],[id_operacion]]="","",_xlfn.XLOOKUP(tblAjustes[[#This Row],[id_operacion]],tblOrdenes[id_operacion],tblOrdenes[descripcion_operacion],"(no encontrada)"))</f>
        <v/>
      </c>
      <c r="F253" s="3">
        <f>IF(tblAjustes[[#This Row],[id_operacion]]="","",IF(ISNA(MATCH(tblAjustes[[#This Row],[id_operacion]],tblOrdenes[id_operacion],0)),"huérfano",IF(COUNTIF($A$4:$A253,tblAjustes[[#This Row],[id_operacion]])&gt;1,"duplicado (se ignora)","aplicado")))</f>
        <v/>
      </c>
      <c r="G2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4">
      <c r="A254" s="6" t="n"/>
      <c r="B254" s="15" t="n"/>
      <c r="C254" s="6" t="n"/>
      <c r="D254" s="8" t="n"/>
      <c r="E254" s="3">
        <f>IF(tblAjustes[[#This Row],[id_operacion]]="","",_xlfn.XLOOKUP(tblAjustes[[#This Row],[id_operacion]],tblOrdenes[id_operacion],tblOrdenes[descripcion_operacion],"(no encontrada)"))</f>
        <v/>
      </c>
      <c r="F254" s="3">
        <f>IF(tblAjustes[[#This Row],[id_operacion]]="","",IF(ISNA(MATCH(tblAjustes[[#This Row],[id_operacion]],tblOrdenes[id_operacion],0)),"huérfano",IF(COUNTIF($A$4:$A254,tblAjustes[[#This Row],[id_operacion]])&gt;1,"duplicado (se ignora)","aplicado")))</f>
        <v/>
      </c>
      <c r="G2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5">
      <c r="A255" s="6" t="n"/>
      <c r="B255" s="15" t="n"/>
      <c r="C255" s="6" t="n"/>
      <c r="D255" s="8" t="n"/>
      <c r="E255" s="3">
        <f>IF(tblAjustes[[#This Row],[id_operacion]]="","",_xlfn.XLOOKUP(tblAjustes[[#This Row],[id_operacion]],tblOrdenes[id_operacion],tblOrdenes[descripcion_operacion],"(no encontrada)"))</f>
        <v/>
      </c>
      <c r="F255" s="3">
        <f>IF(tblAjustes[[#This Row],[id_operacion]]="","",IF(ISNA(MATCH(tblAjustes[[#This Row],[id_operacion]],tblOrdenes[id_operacion],0)),"huérfano",IF(COUNTIF($A$4:$A255,tblAjustes[[#This Row],[id_operacion]])&gt;1,"duplicado (se ignora)","aplicado")))</f>
        <v/>
      </c>
      <c r="G2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6">
      <c r="A256" s="6" t="n"/>
      <c r="B256" s="15" t="n"/>
      <c r="C256" s="6" t="n"/>
      <c r="D256" s="8" t="n"/>
      <c r="E256" s="3">
        <f>IF(tblAjustes[[#This Row],[id_operacion]]="","",_xlfn.XLOOKUP(tblAjustes[[#This Row],[id_operacion]],tblOrdenes[id_operacion],tblOrdenes[descripcion_operacion],"(no encontrada)"))</f>
        <v/>
      </c>
      <c r="F256" s="3">
        <f>IF(tblAjustes[[#This Row],[id_operacion]]="","",IF(ISNA(MATCH(tblAjustes[[#This Row],[id_operacion]],tblOrdenes[id_operacion],0)),"huérfano",IF(COUNTIF($A$4:$A256,tblAjustes[[#This Row],[id_operacion]])&gt;1,"duplicado (se ignora)","aplicado")))</f>
        <v/>
      </c>
      <c r="G2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7">
      <c r="A257" s="6" t="n"/>
      <c r="B257" s="15" t="n"/>
      <c r="C257" s="6" t="n"/>
      <c r="D257" s="8" t="n"/>
      <c r="E257" s="3">
        <f>IF(tblAjustes[[#This Row],[id_operacion]]="","",_xlfn.XLOOKUP(tblAjustes[[#This Row],[id_operacion]],tblOrdenes[id_operacion],tblOrdenes[descripcion_operacion],"(no encontrada)"))</f>
        <v/>
      </c>
      <c r="F257" s="3">
        <f>IF(tblAjustes[[#This Row],[id_operacion]]="","",IF(ISNA(MATCH(tblAjustes[[#This Row],[id_operacion]],tblOrdenes[id_operacion],0)),"huérfano",IF(COUNTIF($A$4:$A257,tblAjustes[[#This Row],[id_operacion]])&gt;1,"duplicado (se ignora)","aplicado")))</f>
        <v/>
      </c>
      <c r="G2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8">
      <c r="A258" s="6" t="n"/>
      <c r="B258" s="15" t="n"/>
      <c r="C258" s="6" t="n"/>
      <c r="D258" s="8" t="n"/>
      <c r="E258" s="3">
        <f>IF(tblAjustes[[#This Row],[id_operacion]]="","",_xlfn.XLOOKUP(tblAjustes[[#This Row],[id_operacion]],tblOrdenes[id_operacion],tblOrdenes[descripcion_operacion],"(no encontrada)"))</f>
        <v/>
      </c>
      <c r="F258" s="3">
        <f>IF(tblAjustes[[#This Row],[id_operacion]]="","",IF(ISNA(MATCH(tblAjustes[[#This Row],[id_operacion]],tblOrdenes[id_operacion],0)),"huérfano",IF(COUNTIF($A$4:$A258,tblAjustes[[#This Row],[id_operacion]])&gt;1,"duplicado (se ignora)","aplicado")))</f>
        <v/>
      </c>
      <c r="G2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9">
      <c r="A259" s="6" t="n"/>
      <c r="B259" s="15" t="n"/>
      <c r="C259" s="6" t="n"/>
      <c r="D259" s="8" t="n"/>
      <c r="E259" s="3">
        <f>IF(tblAjustes[[#This Row],[id_operacion]]="","",_xlfn.XLOOKUP(tblAjustes[[#This Row],[id_operacion]],tblOrdenes[id_operacion],tblOrdenes[descripcion_operacion],"(no encontrada)"))</f>
        <v/>
      </c>
      <c r="F259" s="3">
        <f>IF(tblAjustes[[#This Row],[id_operacion]]="","",IF(ISNA(MATCH(tblAjustes[[#This Row],[id_operacion]],tblOrdenes[id_operacion],0)),"huérfano",IF(COUNTIF($A$4:$A259,tblAjustes[[#This Row],[id_operacion]])&gt;1,"duplicado (se ignora)","aplicado")))</f>
        <v/>
      </c>
      <c r="G2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0">
      <c r="A260" s="6" t="n"/>
      <c r="B260" s="15" t="n"/>
      <c r="C260" s="6" t="n"/>
      <c r="D260" s="8" t="n"/>
      <c r="E260" s="3">
        <f>IF(tblAjustes[[#This Row],[id_operacion]]="","",_xlfn.XLOOKUP(tblAjustes[[#This Row],[id_operacion]],tblOrdenes[id_operacion],tblOrdenes[descripcion_operacion],"(no encontrada)"))</f>
        <v/>
      </c>
      <c r="F260" s="3">
        <f>IF(tblAjustes[[#This Row],[id_operacion]]="","",IF(ISNA(MATCH(tblAjustes[[#This Row],[id_operacion]],tblOrdenes[id_operacion],0)),"huérfano",IF(COUNTIF($A$4:$A260,tblAjustes[[#This Row],[id_operacion]])&gt;1,"duplicado (se ignora)","aplicado")))</f>
        <v/>
      </c>
      <c r="G2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1">
      <c r="A261" s="6" t="n"/>
      <c r="B261" s="15" t="n"/>
      <c r="C261" s="6" t="n"/>
      <c r="D261" s="8" t="n"/>
      <c r="E261" s="3">
        <f>IF(tblAjustes[[#This Row],[id_operacion]]="","",_xlfn.XLOOKUP(tblAjustes[[#This Row],[id_operacion]],tblOrdenes[id_operacion],tblOrdenes[descripcion_operacion],"(no encontrada)"))</f>
        <v/>
      </c>
      <c r="F261" s="3">
        <f>IF(tblAjustes[[#This Row],[id_operacion]]="","",IF(ISNA(MATCH(tblAjustes[[#This Row],[id_operacion]],tblOrdenes[id_operacion],0)),"huérfano",IF(COUNTIF($A$4:$A261,tblAjustes[[#This Row],[id_operacion]])&gt;1,"duplicado (se ignora)","aplicado")))</f>
        <v/>
      </c>
      <c r="G2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2">
      <c r="A262" s="6" t="n"/>
      <c r="B262" s="15" t="n"/>
      <c r="C262" s="6" t="n"/>
      <c r="D262" s="8" t="n"/>
      <c r="E262" s="3">
        <f>IF(tblAjustes[[#This Row],[id_operacion]]="","",_xlfn.XLOOKUP(tblAjustes[[#This Row],[id_operacion]],tblOrdenes[id_operacion],tblOrdenes[descripcion_operacion],"(no encontrada)"))</f>
        <v/>
      </c>
      <c r="F262" s="3">
        <f>IF(tblAjustes[[#This Row],[id_operacion]]="","",IF(ISNA(MATCH(tblAjustes[[#This Row],[id_operacion]],tblOrdenes[id_operacion],0)),"huérfano",IF(COUNTIF($A$4:$A262,tblAjustes[[#This Row],[id_operacion]])&gt;1,"duplicado (se ignora)","aplicado")))</f>
        <v/>
      </c>
      <c r="G2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3">
      <c r="A263" s="6" t="n"/>
      <c r="B263" s="15" t="n"/>
      <c r="C263" s="6" t="n"/>
      <c r="D263" s="8" t="n"/>
      <c r="E263" s="3">
        <f>IF(tblAjustes[[#This Row],[id_operacion]]="","",_xlfn.XLOOKUP(tblAjustes[[#This Row],[id_operacion]],tblOrdenes[id_operacion],tblOrdenes[descripcion_operacion],"(no encontrada)"))</f>
        <v/>
      </c>
      <c r="F263" s="3">
        <f>IF(tblAjustes[[#This Row],[id_operacion]]="","",IF(ISNA(MATCH(tblAjustes[[#This Row],[id_operacion]],tblOrdenes[id_operacion],0)),"huérfano",IF(COUNTIF($A$4:$A263,tblAjustes[[#This Row],[id_operacion]])&gt;1,"duplicado (se ignora)","aplicado")))</f>
        <v/>
      </c>
      <c r="G2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4">
      <c r="A264" s="6" t="n"/>
      <c r="B264" s="15" t="n"/>
      <c r="C264" s="6" t="n"/>
      <c r="D264" s="8" t="n"/>
      <c r="E264" s="3">
        <f>IF(tblAjustes[[#This Row],[id_operacion]]="","",_xlfn.XLOOKUP(tblAjustes[[#This Row],[id_operacion]],tblOrdenes[id_operacion],tblOrdenes[descripcion_operacion],"(no encontrada)"))</f>
        <v/>
      </c>
      <c r="F264" s="3">
        <f>IF(tblAjustes[[#This Row],[id_operacion]]="","",IF(ISNA(MATCH(tblAjustes[[#This Row],[id_operacion]],tblOrdenes[id_operacion],0)),"huérfano",IF(COUNTIF($A$4:$A264,tblAjustes[[#This Row],[id_operacion]])&gt;1,"duplicado (se ignora)","aplicado")))</f>
        <v/>
      </c>
      <c r="G2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5">
      <c r="A265" s="6" t="n"/>
      <c r="B265" s="15" t="n"/>
      <c r="C265" s="6" t="n"/>
      <c r="D265" s="8" t="n"/>
      <c r="E265" s="3">
        <f>IF(tblAjustes[[#This Row],[id_operacion]]="","",_xlfn.XLOOKUP(tblAjustes[[#This Row],[id_operacion]],tblOrdenes[id_operacion],tblOrdenes[descripcion_operacion],"(no encontrada)"))</f>
        <v/>
      </c>
      <c r="F265" s="3">
        <f>IF(tblAjustes[[#This Row],[id_operacion]]="","",IF(ISNA(MATCH(tblAjustes[[#This Row],[id_operacion]],tblOrdenes[id_operacion],0)),"huérfano",IF(COUNTIF($A$4:$A265,tblAjustes[[#This Row],[id_operacion]])&gt;1,"duplicado (se ignora)","aplicado")))</f>
        <v/>
      </c>
      <c r="G2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6">
      <c r="A266" s="6" t="n"/>
      <c r="B266" s="15" t="n"/>
      <c r="C266" s="6" t="n"/>
      <c r="D266" s="8" t="n"/>
      <c r="E266" s="3">
        <f>IF(tblAjustes[[#This Row],[id_operacion]]="","",_xlfn.XLOOKUP(tblAjustes[[#This Row],[id_operacion]],tblOrdenes[id_operacion],tblOrdenes[descripcion_operacion],"(no encontrada)"))</f>
        <v/>
      </c>
      <c r="F266" s="3">
        <f>IF(tblAjustes[[#This Row],[id_operacion]]="","",IF(ISNA(MATCH(tblAjustes[[#This Row],[id_operacion]],tblOrdenes[id_operacion],0)),"huérfano",IF(COUNTIF($A$4:$A266,tblAjustes[[#This Row],[id_operacion]])&gt;1,"duplicado (se ignora)","aplicado")))</f>
        <v/>
      </c>
      <c r="G2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7">
      <c r="A267" s="6" t="n"/>
      <c r="B267" s="15" t="n"/>
      <c r="C267" s="6" t="n"/>
      <c r="D267" s="8" t="n"/>
      <c r="E267" s="3">
        <f>IF(tblAjustes[[#This Row],[id_operacion]]="","",_xlfn.XLOOKUP(tblAjustes[[#This Row],[id_operacion]],tblOrdenes[id_operacion],tblOrdenes[descripcion_operacion],"(no encontrada)"))</f>
        <v/>
      </c>
      <c r="F267" s="3">
        <f>IF(tblAjustes[[#This Row],[id_operacion]]="","",IF(ISNA(MATCH(tblAjustes[[#This Row],[id_operacion]],tblOrdenes[id_operacion],0)),"huérfano",IF(COUNTIF($A$4:$A267,tblAjustes[[#This Row],[id_operacion]])&gt;1,"duplicado (se ignora)","aplicado")))</f>
        <v/>
      </c>
      <c r="G2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8">
      <c r="A268" s="6" t="n"/>
      <c r="B268" s="15" t="n"/>
      <c r="C268" s="6" t="n"/>
      <c r="D268" s="8" t="n"/>
      <c r="E268" s="3">
        <f>IF(tblAjustes[[#This Row],[id_operacion]]="","",_xlfn.XLOOKUP(tblAjustes[[#This Row],[id_operacion]],tblOrdenes[id_operacion],tblOrdenes[descripcion_operacion],"(no encontrada)"))</f>
        <v/>
      </c>
      <c r="F268" s="3">
        <f>IF(tblAjustes[[#This Row],[id_operacion]]="","",IF(ISNA(MATCH(tblAjustes[[#This Row],[id_operacion]],tblOrdenes[id_operacion],0)),"huérfano",IF(COUNTIF($A$4:$A268,tblAjustes[[#This Row],[id_operacion]])&gt;1,"duplicado (se ignora)","aplicado")))</f>
        <v/>
      </c>
      <c r="G2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9">
      <c r="A269" s="6" t="n"/>
      <c r="B269" s="15" t="n"/>
      <c r="C269" s="6" t="n"/>
      <c r="D269" s="8" t="n"/>
      <c r="E269" s="3">
        <f>IF(tblAjustes[[#This Row],[id_operacion]]="","",_xlfn.XLOOKUP(tblAjustes[[#This Row],[id_operacion]],tblOrdenes[id_operacion],tblOrdenes[descripcion_operacion],"(no encontrada)"))</f>
        <v/>
      </c>
      <c r="F269" s="3">
        <f>IF(tblAjustes[[#This Row],[id_operacion]]="","",IF(ISNA(MATCH(tblAjustes[[#This Row],[id_operacion]],tblOrdenes[id_operacion],0)),"huérfano",IF(COUNTIF($A$4:$A269,tblAjustes[[#This Row],[id_operacion]])&gt;1,"duplicado (se ignora)","aplicado")))</f>
        <v/>
      </c>
      <c r="G2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0">
      <c r="A270" s="6" t="n"/>
      <c r="B270" s="15" t="n"/>
      <c r="C270" s="6" t="n"/>
      <c r="D270" s="8" t="n"/>
      <c r="E270" s="3">
        <f>IF(tblAjustes[[#This Row],[id_operacion]]="","",_xlfn.XLOOKUP(tblAjustes[[#This Row],[id_operacion]],tblOrdenes[id_operacion],tblOrdenes[descripcion_operacion],"(no encontrada)"))</f>
        <v/>
      </c>
      <c r="F270" s="3">
        <f>IF(tblAjustes[[#This Row],[id_operacion]]="","",IF(ISNA(MATCH(tblAjustes[[#This Row],[id_operacion]],tblOrdenes[id_operacion],0)),"huérfano",IF(COUNTIF($A$4:$A270,tblAjustes[[#This Row],[id_operacion]])&gt;1,"duplicado (se ignora)","aplicado")))</f>
        <v/>
      </c>
      <c r="G2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1">
      <c r="A271" s="6" t="n"/>
      <c r="B271" s="15" t="n"/>
      <c r="C271" s="6" t="n"/>
      <c r="D271" s="8" t="n"/>
      <c r="E271" s="3">
        <f>IF(tblAjustes[[#This Row],[id_operacion]]="","",_xlfn.XLOOKUP(tblAjustes[[#This Row],[id_operacion]],tblOrdenes[id_operacion],tblOrdenes[descripcion_operacion],"(no encontrada)"))</f>
        <v/>
      </c>
      <c r="F271" s="3">
        <f>IF(tblAjustes[[#This Row],[id_operacion]]="","",IF(ISNA(MATCH(tblAjustes[[#This Row],[id_operacion]],tblOrdenes[id_operacion],0)),"huérfano",IF(COUNTIF($A$4:$A271,tblAjustes[[#This Row],[id_operacion]])&gt;1,"duplicado (se ignora)","aplicado")))</f>
        <v/>
      </c>
      <c r="G2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2">
      <c r="A272" s="6" t="n"/>
      <c r="B272" s="15" t="n"/>
      <c r="C272" s="6" t="n"/>
      <c r="D272" s="8" t="n"/>
      <c r="E272" s="3">
        <f>IF(tblAjustes[[#This Row],[id_operacion]]="","",_xlfn.XLOOKUP(tblAjustes[[#This Row],[id_operacion]],tblOrdenes[id_operacion],tblOrdenes[descripcion_operacion],"(no encontrada)"))</f>
        <v/>
      </c>
      <c r="F272" s="3">
        <f>IF(tblAjustes[[#This Row],[id_operacion]]="","",IF(ISNA(MATCH(tblAjustes[[#This Row],[id_operacion]],tblOrdenes[id_operacion],0)),"huérfano",IF(COUNTIF($A$4:$A272,tblAjustes[[#This Row],[id_operacion]])&gt;1,"duplicado (se ignora)","aplicado")))</f>
        <v/>
      </c>
      <c r="G2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3">
      <c r="A273" s="6" t="n"/>
      <c r="B273" s="15" t="n"/>
      <c r="C273" s="6" t="n"/>
      <c r="D273" s="8" t="n"/>
      <c r="E273" s="3">
        <f>IF(tblAjustes[[#This Row],[id_operacion]]="","",_xlfn.XLOOKUP(tblAjustes[[#This Row],[id_operacion]],tblOrdenes[id_operacion],tblOrdenes[descripcion_operacion],"(no encontrada)"))</f>
        <v/>
      </c>
      <c r="F273" s="3">
        <f>IF(tblAjustes[[#This Row],[id_operacion]]="","",IF(ISNA(MATCH(tblAjustes[[#This Row],[id_operacion]],tblOrdenes[id_operacion],0)),"huérfano",IF(COUNTIF($A$4:$A273,tblAjustes[[#This Row],[id_operacion]])&gt;1,"duplicado (se ignora)","aplicado")))</f>
        <v/>
      </c>
      <c r="G2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4">
      <c r="A274" s="6" t="n"/>
      <c r="B274" s="15" t="n"/>
      <c r="C274" s="6" t="n"/>
      <c r="D274" s="8" t="n"/>
      <c r="E274" s="3">
        <f>IF(tblAjustes[[#This Row],[id_operacion]]="","",_xlfn.XLOOKUP(tblAjustes[[#This Row],[id_operacion]],tblOrdenes[id_operacion],tblOrdenes[descripcion_operacion],"(no encontrada)"))</f>
        <v/>
      </c>
      <c r="F274" s="3">
        <f>IF(tblAjustes[[#This Row],[id_operacion]]="","",IF(ISNA(MATCH(tblAjustes[[#This Row],[id_operacion]],tblOrdenes[id_operacion],0)),"huérfano",IF(COUNTIF($A$4:$A274,tblAjustes[[#This Row],[id_operacion]])&gt;1,"duplicado (se ignora)","aplicado")))</f>
        <v/>
      </c>
      <c r="G2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5">
      <c r="A275" s="6" t="n"/>
      <c r="B275" s="15" t="n"/>
      <c r="C275" s="6" t="n"/>
      <c r="D275" s="8" t="n"/>
      <c r="E275" s="3">
        <f>IF(tblAjustes[[#This Row],[id_operacion]]="","",_xlfn.XLOOKUP(tblAjustes[[#This Row],[id_operacion]],tblOrdenes[id_operacion],tblOrdenes[descripcion_operacion],"(no encontrada)"))</f>
        <v/>
      </c>
      <c r="F275" s="3">
        <f>IF(tblAjustes[[#This Row],[id_operacion]]="","",IF(ISNA(MATCH(tblAjustes[[#This Row],[id_operacion]],tblOrdenes[id_operacion],0)),"huérfano",IF(COUNTIF($A$4:$A275,tblAjustes[[#This Row],[id_operacion]])&gt;1,"duplicado (se ignora)","aplicado")))</f>
        <v/>
      </c>
      <c r="G2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6">
      <c r="A276" s="6" t="n"/>
      <c r="B276" s="15" t="n"/>
      <c r="C276" s="6" t="n"/>
      <c r="D276" s="8" t="n"/>
      <c r="E276" s="3">
        <f>IF(tblAjustes[[#This Row],[id_operacion]]="","",_xlfn.XLOOKUP(tblAjustes[[#This Row],[id_operacion]],tblOrdenes[id_operacion],tblOrdenes[descripcion_operacion],"(no encontrada)"))</f>
        <v/>
      </c>
      <c r="F276" s="3">
        <f>IF(tblAjustes[[#This Row],[id_operacion]]="","",IF(ISNA(MATCH(tblAjustes[[#This Row],[id_operacion]],tblOrdenes[id_operacion],0)),"huérfano",IF(COUNTIF($A$4:$A276,tblAjustes[[#This Row],[id_operacion]])&gt;1,"duplicado (se ignora)","aplicado")))</f>
        <v/>
      </c>
      <c r="G2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7">
      <c r="A277" s="6" t="n"/>
      <c r="B277" s="15" t="n"/>
      <c r="C277" s="6" t="n"/>
      <c r="D277" s="8" t="n"/>
      <c r="E277" s="3">
        <f>IF(tblAjustes[[#This Row],[id_operacion]]="","",_xlfn.XLOOKUP(tblAjustes[[#This Row],[id_operacion]],tblOrdenes[id_operacion],tblOrdenes[descripcion_operacion],"(no encontrada)"))</f>
        <v/>
      </c>
      <c r="F277" s="3">
        <f>IF(tblAjustes[[#This Row],[id_operacion]]="","",IF(ISNA(MATCH(tblAjustes[[#This Row],[id_operacion]],tblOrdenes[id_operacion],0)),"huérfano",IF(COUNTIF($A$4:$A277,tblAjustes[[#This Row],[id_operacion]])&gt;1,"duplicado (se ignora)","aplicado")))</f>
        <v/>
      </c>
      <c r="G2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8">
      <c r="A278" s="6" t="n"/>
      <c r="B278" s="15" t="n"/>
      <c r="C278" s="6" t="n"/>
      <c r="D278" s="8" t="n"/>
      <c r="E278" s="3">
        <f>IF(tblAjustes[[#This Row],[id_operacion]]="","",_xlfn.XLOOKUP(tblAjustes[[#This Row],[id_operacion]],tblOrdenes[id_operacion],tblOrdenes[descripcion_operacion],"(no encontrada)"))</f>
        <v/>
      </c>
      <c r="F278" s="3">
        <f>IF(tblAjustes[[#This Row],[id_operacion]]="","",IF(ISNA(MATCH(tblAjustes[[#This Row],[id_operacion]],tblOrdenes[id_operacion],0)),"huérfano",IF(COUNTIF($A$4:$A278,tblAjustes[[#This Row],[id_operacion]])&gt;1,"duplicado (se ignora)","aplicado")))</f>
        <v/>
      </c>
      <c r="G2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9">
      <c r="A279" s="6" t="n"/>
      <c r="B279" s="15" t="n"/>
      <c r="C279" s="6" t="n"/>
      <c r="D279" s="8" t="n"/>
      <c r="E279" s="3">
        <f>IF(tblAjustes[[#This Row],[id_operacion]]="","",_xlfn.XLOOKUP(tblAjustes[[#This Row],[id_operacion]],tblOrdenes[id_operacion],tblOrdenes[descripcion_operacion],"(no encontrada)"))</f>
        <v/>
      </c>
      <c r="F279" s="3">
        <f>IF(tblAjustes[[#This Row],[id_operacion]]="","",IF(ISNA(MATCH(tblAjustes[[#This Row],[id_operacion]],tblOrdenes[id_operacion],0)),"huérfano",IF(COUNTIF($A$4:$A279,tblAjustes[[#This Row],[id_operacion]])&gt;1,"duplicado (se ignora)","aplicado")))</f>
        <v/>
      </c>
      <c r="G2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0">
      <c r="A280" s="6" t="n"/>
      <c r="B280" s="15" t="n"/>
      <c r="C280" s="6" t="n"/>
      <c r="D280" s="8" t="n"/>
      <c r="E280" s="3">
        <f>IF(tblAjustes[[#This Row],[id_operacion]]="","",_xlfn.XLOOKUP(tblAjustes[[#This Row],[id_operacion]],tblOrdenes[id_operacion],tblOrdenes[descripcion_operacion],"(no encontrada)"))</f>
        <v/>
      </c>
      <c r="F280" s="3">
        <f>IF(tblAjustes[[#This Row],[id_operacion]]="","",IF(ISNA(MATCH(tblAjustes[[#This Row],[id_operacion]],tblOrdenes[id_operacion],0)),"huérfano",IF(COUNTIF($A$4:$A280,tblAjustes[[#This Row],[id_operacion]])&gt;1,"duplicado (se ignora)","aplicado")))</f>
        <v/>
      </c>
      <c r="G2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1">
      <c r="A281" s="6" t="n"/>
      <c r="B281" s="15" t="n"/>
      <c r="C281" s="6" t="n"/>
      <c r="D281" s="8" t="n"/>
      <c r="E281" s="3">
        <f>IF(tblAjustes[[#This Row],[id_operacion]]="","",_xlfn.XLOOKUP(tblAjustes[[#This Row],[id_operacion]],tblOrdenes[id_operacion],tblOrdenes[descripcion_operacion],"(no encontrada)"))</f>
        <v/>
      </c>
      <c r="F281" s="3">
        <f>IF(tblAjustes[[#This Row],[id_operacion]]="","",IF(ISNA(MATCH(tblAjustes[[#This Row],[id_operacion]],tblOrdenes[id_operacion],0)),"huérfano",IF(COUNTIF($A$4:$A281,tblAjustes[[#This Row],[id_operacion]])&gt;1,"duplicado (se ignora)","aplicado")))</f>
        <v/>
      </c>
      <c r="G2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2">
      <c r="A282" s="6" t="n"/>
      <c r="B282" s="15" t="n"/>
      <c r="C282" s="6" t="n"/>
      <c r="D282" s="8" t="n"/>
      <c r="E282" s="3">
        <f>IF(tblAjustes[[#This Row],[id_operacion]]="","",_xlfn.XLOOKUP(tblAjustes[[#This Row],[id_operacion]],tblOrdenes[id_operacion],tblOrdenes[descripcion_operacion],"(no encontrada)"))</f>
        <v/>
      </c>
      <c r="F282" s="3">
        <f>IF(tblAjustes[[#This Row],[id_operacion]]="","",IF(ISNA(MATCH(tblAjustes[[#This Row],[id_operacion]],tblOrdenes[id_operacion],0)),"huérfano",IF(COUNTIF($A$4:$A282,tblAjustes[[#This Row],[id_operacion]])&gt;1,"duplicado (se ignora)","aplicado")))</f>
        <v/>
      </c>
      <c r="G2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3">
      <c r="A283" s="6" t="n"/>
      <c r="B283" s="15" t="n"/>
      <c r="C283" s="6" t="n"/>
      <c r="D283" s="8" t="n"/>
      <c r="E283" s="3">
        <f>IF(tblAjustes[[#This Row],[id_operacion]]="","",_xlfn.XLOOKUP(tblAjustes[[#This Row],[id_operacion]],tblOrdenes[id_operacion],tblOrdenes[descripcion_operacion],"(no encontrada)"))</f>
        <v/>
      </c>
      <c r="F283" s="3">
        <f>IF(tblAjustes[[#This Row],[id_operacion]]="","",IF(ISNA(MATCH(tblAjustes[[#This Row],[id_operacion]],tblOrdenes[id_operacion],0)),"huérfano",IF(COUNTIF($A$4:$A283,tblAjustes[[#This Row],[id_operacion]])&gt;1,"duplicado (se ignora)","aplicado")))</f>
        <v/>
      </c>
      <c r="G2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4">
      <c r="A284" s="6" t="n"/>
      <c r="B284" s="15" t="n"/>
      <c r="C284" s="6" t="n"/>
      <c r="D284" s="8" t="n"/>
      <c r="E284" s="3">
        <f>IF(tblAjustes[[#This Row],[id_operacion]]="","",_xlfn.XLOOKUP(tblAjustes[[#This Row],[id_operacion]],tblOrdenes[id_operacion],tblOrdenes[descripcion_operacion],"(no encontrada)"))</f>
        <v/>
      </c>
      <c r="F284" s="3">
        <f>IF(tblAjustes[[#This Row],[id_operacion]]="","",IF(ISNA(MATCH(tblAjustes[[#This Row],[id_operacion]],tblOrdenes[id_operacion],0)),"huérfano",IF(COUNTIF($A$4:$A284,tblAjustes[[#This Row],[id_operacion]])&gt;1,"duplicado (se ignora)","aplicado")))</f>
        <v/>
      </c>
      <c r="G2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5">
      <c r="A285" s="6" t="n"/>
      <c r="B285" s="15" t="n"/>
      <c r="C285" s="6" t="n"/>
      <c r="D285" s="8" t="n"/>
      <c r="E285" s="3">
        <f>IF(tblAjustes[[#This Row],[id_operacion]]="","",_xlfn.XLOOKUP(tblAjustes[[#This Row],[id_operacion]],tblOrdenes[id_operacion],tblOrdenes[descripcion_operacion],"(no encontrada)"))</f>
        <v/>
      </c>
      <c r="F285" s="3">
        <f>IF(tblAjustes[[#This Row],[id_operacion]]="","",IF(ISNA(MATCH(tblAjustes[[#This Row],[id_operacion]],tblOrdenes[id_operacion],0)),"huérfano",IF(COUNTIF($A$4:$A285,tblAjustes[[#This Row],[id_operacion]])&gt;1,"duplicado (se ignora)","aplicado")))</f>
        <v/>
      </c>
      <c r="G2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6">
      <c r="A286" s="6" t="n"/>
      <c r="B286" s="15" t="n"/>
      <c r="C286" s="6" t="n"/>
      <c r="D286" s="8" t="n"/>
      <c r="E286" s="3">
        <f>IF(tblAjustes[[#This Row],[id_operacion]]="","",_xlfn.XLOOKUP(tblAjustes[[#This Row],[id_operacion]],tblOrdenes[id_operacion],tblOrdenes[descripcion_operacion],"(no encontrada)"))</f>
        <v/>
      </c>
      <c r="F286" s="3">
        <f>IF(tblAjustes[[#This Row],[id_operacion]]="","",IF(ISNA(MATCH(tblAjustes[[#This Row],[id_operacion]],tblOrdenes[id_operacion],0)),"huérfano",IF(COUNTIF($A$4:$A286,tblAjustes[[#This Row],[id_operacion]])&gt;1,"duplicado (se ignora)","aplicado")))</f>
        <v/>
      </c>
      <c r="G2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7">
      <c r="A287" s="6" t="n"/>
      <c r="B287" s="15" t="n"/>
      <c r="C287" s="6" t="n"/>
      <c r="D287" s="8" t="n"/>
      <c r="E287" s="3">
        <f>IF(tblAjustes[[#This Row],[id_operacion]]="","",_xlfn.XLOOKUP(tblAjustes[[#This Row],[id_operacion]],tblOrdenes[id_operacion],tblOrdenes[descripcion_operacion],"(no encontrada)"))</f>
        <v/>
      </c>
      <c r="F287" s="3">
        <f>IF(tblAjustes[[#This Row],[id_operacion]]="","",IF(ISNA(MATCH(tblAjustes[[#This Row],[id_operacion]],tblOrdenes[id_operacion],0)),"huérfano",IF(COUNTIF($A$4:$A287,tblAjustes[[#This Row],[id_operacion]])&gt;1,"duplicado (se ignora)","aplicado")))</f>
        <v/>
      </c>
      <c r="G2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8">
      <c r="A288" s="6" t="n"/>
      <c r="B288" s="15" t="n"/>
      <c r="C288" s="6" t="n"/>
      <c r="D288" s="8" t="n"/>
      <c r="E288" s="3">
        <f>IF(tblAjustes[[#This Row],[id_operacion]]="","",_xlfn.XLOOKUP(tblAjustes[[#This Row],[id_operacion]],tblOrdenes[id_operacion],tblOrdenes[descripcion_operacion],"(no encontrada)"))</f>
        <v/>
      </c>
      <c r="F288" s="3">
        <f>IF(tblAjustes[[#This Row],[id_operacion]]="","",IF(ISNA(MATCH(tblAjustes[[#This Row],[id_operacion]],tblOrdenes[id_operacion],0)),"huérfano",IF(COUNTIF($A$4:$A288,tblAjustes[[#This Row],[id_operacion]])&gt;1,"duplicado (se ignora)","aplicado")))</f>
        <v/>
      </c>
      <c r="G2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9">
      <c r="A289" s="6" t="n"/>
      <c r="B289" s="15" t="n"/>
      <c r="C289" s="6" t="n"/>
      <c r="D289" s="8" t="n"/>
      <c r="E289" s="3">
        <f>IF(tblAjustes[[#This Row],[id_operacion]]="","",_xlfn.XLOOKUP(tblAjustes[[#This Row],[id_operacion]],tblOrdenes[id_operacion],tblOrdenes[descripcion_operacion],"(no encontrada)"))</f>
        <v/>
      </c>
      <c r="F289" s="3">
        <f>IF(tblAjustes[[#This Row],[id_operacion]]="","",IF(ISNA(MATCH(tblAjustes[[#This Row],[id_operacion]],tblOrdenes[id_operacion],0)),"huérfano",IF(COUNTIF($A$4:$A289,tblAjustes[[#This Row],[id_operacion]])&gt;1,"duplicado (se ignora)","aplicado")))</f>
        <v/>
      </c>
      <c r="G2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0">
      <c r="A290" s="6" t="n"/>
      <c r="B290" s="15" t="n"/>
      <c r="C290" s="6" t="n"/>
      <c r="D290" s="8" t="n"/>
      <c r="E290" s="3">
        <f>IF(tblAjustes[[#This Row],[id_operacion]]="","",_xlfn.XLOOKUP(tblAjustes[[#This Row],[id_operacion]],tblOrdenes[id_operacion],tblOrdenes[descripcion_operacion],"(no encontrada)"))</f>
        <v/>
      </c>
      <c r="F290" s="3">
        <f>IF(tblAjustes[[#This Row],[id_operacion]]="","",IF(ISNA(MATCH(tblAjustes[[#This Row],[id_operacion]],tblOrdenes[id_operacion],0)),"huérfano",IF(COUNTIF($A$4:$A290,tblAjustes[[#This Row],[id_operacion]])&gt;1,"duplicado (se ignora)","aplicado")))</f>
        <v/>
      </c>
      <c r="G2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1">
      <c r="A291" s="6" t="n"/>
      <c r="B291" s="15" t="n"/>
      <c r="C291" s="6" t="n"/>
      <c r="D291" s="8" t="n"/>
      <c r="E291" s="3">
        <f>IF(tblAjustes[[#This Row],[id_operacion]]="","",_xlfn.XLOOKUP(tblAjustes[[#This Row],[id_operacion]],tblOrdenes[id_operacion],tblOrdenes[descripcion_operacion],"(no encontrada)"))</f>
        <v/>
      </c>
      <c r="F291" s="3">
        <f>IF(tblAjustes[[#This Row],[id_operacion]]="","",IF(ISNA(MATCH(tblAjustes[[#This Row],[id_operacion]],tblOrdenes[id_operacion],0)),"huérfano",IF(COUNTIF($A$4:$A291,tblAjustes[[#This Row],[id_operacion]])&gt;1,"duplicado (se ignora)","aplicado")))</f>
        <v/>
      </c>
      <c r="G2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2">
      <c r="A292" s="6" t="n"/>
      <c r="B292" s="15" t="n"/>
      <c r="C292" s="6" t="n"/>
      <c r="D292" s="8" t="n"/>
      <c r="E292" s="3">
        <f>IF(tblAjustes[[#This Row],[id_operacion]]="","",_xlfn.XLOOKUP(tblAjustes[[#This Row],[id_operacion]],tblOrdenes[id_operacion],tblOrdenes[descripcion_operacion],"(no encontrada)"))</f>
        <v/>
      </c>
      <c r="F292" s="3">
        <f>IF(tblAjustes[[#This Row],[id_operacion]]="","",IF(ISNA(MATCH(tblAjustes[[#This Row],[id_operacion]],tblOrdenes[id_operacion],0)),"huérfano",IF(COUNTIF($A$4:$A292,tblAjustes[[#This Row],[id_operacion]])&gt;1,"duplicado (se ignora)","aplicado")))</f>
        <v/>
      </c>
      <c r="G2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3">
      <c r="A293" s="6" t="n"/>
      <c r="B293" s="15" t="n"/>
      <c r="C293" s="6" t="n"/>
      <c r="D293" s="8" t="n"/>
      <c r="E293" s="3">
        <f>IF(tblAjustes[[#This Row],[id_operacion]]="","",_xlfn.XLOOKUP(tblAjustes[[#This Row],[id_operacion]],tblOrdenes[id_operacion],tblOrdenes[descripcion_operacion],"(no encontrada)"))</f>
        <v/>
      </c>
      <c r="F293" s="3">
        <f>IF(tblAjustes[[#This Row],[id_operacion]]="","",IF(ISNA(MATCH(tblAjustes[[#This Row],[id_operacion]],tblOrdenes[id_operacion],0)),"huérfano",IF(COUNTIF($A$4:$A293,tblAjustes[[#This Row],[id_operacion]])&gt;1,"duplicado (se ignora)","aplicado")))</f>
        <v/>
      </c>
      <c r="G2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4">
      <c r="A294" s="6" t="n"/>
      <c r="B294" s="15" t="n"/>
      <c r="C294" s="6" t="n"/>
      <c r="D294" s="8" t="n"/>
      <c r="E294" s="3">
        <f>IF(tblAjustes[[#This Row],[id_operacion]]="","",_xlfn.XLOOKUP(tblAjustes[[#This Row],[id_operacion]],tblOrdenes[id_operacion],tblOrdenes[descripcion_operacion],"(no encontrada)"))</f>
        <v/>
      </c>
      <c r="F294" s="3">
        <f>IF(tblAjustes[[#This Row],[id_operacion]]="","",IF(ISNA(MATCH(tblAjustes[[#This Row],[id_operacion]],tblOrdenes[id_operacion],0)),"huérfano",IF(COUNTIF($A$4:$A294,tblAjustes[[#This Row],[id_operacion]])&gt;1,"duplicado (se ignora)","aplicado")))</f>
        <v/>
      </c>
      <c r="G2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5">
      <c r="A295" s="6" t="n"/>
      <c r="B295" s="15" t="n"/>
      <c r="C295" s="6" t="n"/>
      <c r="D295" s="8" t="n"/>
      <c r="E295" s="3">
        <f>IF(tblAjustes[[#This Row],[id_operacion]]="","",_xlfn.XLOOKUP(tblAjustes[[#This Row],[id_operacion]],tblOrdenes[id_operacion],tblOrdenes[descripcion_operacion],"(no encontrada)"))</f>
        <v/>
      </c>
      <c r="F295" s="3">
        <f>IF(tblAjustes[[#This Row],[id_operacion]]="","",IF(ISNA(MATCH(tblAjustes[[#This Row],[id_operacion]],tblOrdenes[id_operacion],0)),"huérfano",IF(COUNTIF($A$4:$A295,tblAjustes[[#This Row],[id_operacion]])&gt;1,"duplicado (se ignora)","aplicado")))</f>
        <v/>
      </c>
      <c r="G2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6">
      <c r="A296" s="6" t="n"/>
      <c r="B296" s="15" t="n"/>
      <c r="C296" s="6" t="n"/>
      <c r="D296" s="8" t="n"/>
      <c r="E296" s="3">
        <f>IF(tblAjustes[[#This Row],[id_operacion]]="","",_xlfn.XLOOKUP(tblAjustes[[#This Row],[id_operacion]],tblOrdenes[id_operacion],tblOrdenes[descripcion_operacion],"(no encontrada)"))</f>
        <v/>
      </c>
      <c r="F296" s="3">
        <f>IF(tblAjustes[[#This Row],[id_operacion]]="","",IF(ISNA(MATCH(tblAjustes[[#This Row],[id_operacion]],tblOrdenes[id_operacion],0)),"huérfano",IF(COUNTIF($A$4:$A296,tblAjustes[[#This Row],[id_operacion]])&gt;1,"duplicado (se ignora)","aplicado")))</f>
        <v/>
      </c>
      <c r="G2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7">
      <c r="A297" s="6" t="n"/>
      <c r="B297" s="15" t="n"/>
      <c r="C297" s="6" t="n"/>
      <c r="D297" s="8" t="n"/>
      <c r="E297" s="3">
        <f>IF(tblAjustes[[#This Row],[id_operacion]]="","",_xlfn.XLOOKUP(tblAjustes[[#This Row],[id_operacion]],tblOrdenes[id_operacion],tblOrdenes[descripcion_operacion],"(no encontrada)"))</f>
        <v/>
      </c>
      <c r="F297" s="3">
        <f>IF(tblAjustes[[#This Row],[id_operacion]]="","",IF(ISNA(MATCH(tblAjustes[[#This Row],[id_operacion]],tblOrdenes[id_operacion],0)),"huérfano",IF(COUNTIF($A$4:$A297,tblAjustes[[#This Row],[id_operacion]])&gt;1,"duplicado (se ignora)","aplicado")))</f>
        <v/>
      </c>
      <c r="G2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8">
      <c r="A298" s="6" t="n"/>
      <c r="B298" s="15" t="n"/>
      <c r="C298" s="6" t="n"/>
      <c r="D298" s="8" t="n"/>
      <c r="E298" s="3">
        <f>IF(tblAjustes[[#This Row],[id_operacion]]="","",_xlfn.XLOOKUP(tblAjustes[[#This Row],[id_operacion]],tblOrdenes[id_operacion],tblOrdenes[descripcion_operacion],"(no encontrada)"))</f>
        <v/>
      </c>
      <c r="F298" s="3">
        <f>IF(tblAjustes[[#This Row],[id_operacion]]="","",IF(ISNA(MATCH(tblAjustes[[#This Row],[id_operacion]],tblOrdenes[id_operacion],0)),"huérfano",IF(COUNTIF($A$4:$A298,tblAjustes[[#This Row],[id_operacion]])&gt;1,"duplicado (se ignora)","aplicado")))</f>
        <v/>
      </c>
      <c r="G2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9">
      <c r="A299" s="6" t="n"/>
      <c r="B299" s="15" t="n"/>
      <c r="C299" s="6" t="n"/>
      <c r="D299" s="8" t="n"/>
      <c r="E299" s="3">
        <f>IF(tblAjustes[[#This Row],[id_operacion]]="","",_xlfn.XLOOKUP(tblAjustes[[#This Row],[id_operacion]],tblOrdenes[id_operacion],tblOrdenes[descripcion_operacion],"(no encontrada)"))</f>
        <v/>
      </c>
      <c r="F299" s="3">
        <f>IF(tblAjustes[[#This Row],[id_operacion]]="","",IF(ISNA(MATCH(tblAjustes[[#This Row],[id_operacion]],tblOrdenes[id_operacion],0)),"huérfano",IF(COUNTIF($A$4:$A299,tblAjustes[[#This Row],[id_operacion]])&gt;1,"duplicado (se ignora)","aplicado")))</f>
        <v/>
      </c>
      <c r="G2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0">
      <c r="A300" s="6" t="n"/>
      <c r="B300" s="15" t="n"/>
      <c r="C300" s="6" t="n"/>
      <c r="D300" s="8" t="n"/>
      <c r="E300" s="3">
        <f>IF(tblAjustes[[#This Row],[id_operacion]]="","",_xlfn.XLOOKUP(tblAjustes[[#This Row],[id_operacion]],tblOrdenes[id_operacion],tblOrdenes[descripcion_operacion],"(no encontrada)"))</f>
        <v/>
      </c>
      <c r="F300" s="3">
        <f>IF(tblAjustes[[#This Row],[id_operacion]]="","",IF(ISNA(MATCH(tblAjustes[[#This Row],[id_operacion]],tblOrdenes[id_operacion],0)),"huérfano",IF(COUNTIF($A$4:$A300,tblAjustes[[#This Row],[id_operacion]])&gt;1,"duplicado (se ignora)","aplicado")))</f>
        <v/>
      </c>
      <c r="G3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1">
      <c r="A301" s="6" t="n"/>
      <c r="B301" s="15" t="n"/>
      <c r="C301" s="6" t="n"/>
      <c r="D301" s="8" t="n"/>
      <c r="E301" s="3">
        <f>IF(tblAjustes[[#This Row],[id_operacion]]="","",_xlfn.XLOOKUP(tblAjustes[[#This Row],[id_operacion]],tblOrdenes[id_operacion],tblOrdenes[descripcion_operacion],"(no encontrada)"))</f>
        <v/>
      </c>
      <c r="F301" s="3">
        <f>IF(tblAjustes[[#This Row],[id_operacion]]="","",IF(ISNA(MATCH(tblAjustes[[#This Row],[id_operacion]],tblOrdenes[id_operacion],0)),"huérfano",IF(COUNTIF($A$4:$A301,tblAjustes[[#This Row],[id_operacion]])&gt;1,"duplicado (se ignora)","aplicado")))</f>
        <v/>
      </c>
      <c r="G3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2">
      <c r="A302" s="6" t="n"/>
      <c r="B302" s="15" t="n"/>
      <c r="C302" s="6" t="n"/>
      <c r="D302" s="8" t="n"/>
      <c r="E302" s="3">
        <f>IF(tblAjustes[[#This Row],[id_operacion]]="","",_xlfn.XLOOKUP(tblAjustes[[#This Row],[id_operacion]],tblOrdenes[id_operacion],tblOrdenes[descripcion_operacion],"(no encontrada)"))</f>
        <v/>
      </c>
      <c r="F302" s="3">
        <f>IF(tblAjustes[[#This Row],[id_operacion]]="","",IF(ISNA(MATCH(tblAjustes[[#This Row],[id_operacion]],tblOrdenes[id_operacion],0)),"huérfano",IF(COUNTIF($A$4:$A302,tblAjustes[[#This Row],[id_operacion]])&gt;1,"duplicado (se ignora)","aplicado")))</f>
        <v/>
      </c>
      <c r="G3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3">
      <c r="A303" s="6" t="n"/>
      <c r="B303" s="15" t="n"/>
      <c r="C303" s="6" t="n"/>
      <c r="D303" s="8" t="n"/>
      <c r="E303" s="3">
        <f>IF(tblAjustes[[#This Row],[id_operacion]]="","",_xlfn.XLOOKUP(tblAjustes[[#This Row],[id_operacion]],tblOrdenes[id_operacion],tblOrdenes[descripcion_operacion],"(no encontrada)"))</f>
        <v/>
      </c>
      <c r="F303" s="3">
        <f>IF(tblAjustes[[#This Row],[id_operacion]]="","",IF(ISNA(MATCH(tblAjustes[[#This Row],[id_operacion]],tblOrdenes[id_operacion],0)),"huérfano",IF(COUNTIF($A$4:$A303,tblAjustes[[#This Row],[id_operacion]])&gt;1,"duplicado (se ignora)","aplicado")))</f>
        <v/>
      </c>
      <c r="G3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4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5" t="inlineStr">
        <is>
          <t>dia</t>
        </is>
      </c>
      <c r="B4" s="5" t="inlineStr">
        <is>
          <t>habil</t>
        </is>
      </c>
      <c r="I4" s="5" t="inlineStr">
        <is>
          <t>fecha</t>
        </is>
      </c>
      <c r="J4" s="5" t="inlineStr">
        <is>
          <t>habil_planta</t>
        </is>
      </c>
    </row>
    <row r="5">
      <c r="A5" s="3" t="inlineStr">
        <is>
          <t>lunes</t>
        </is>
      </c>
      <c r="B5" s="6" t="inlineStr">
        <is>
          <t>sí</t>
        </is>
      </c>
      <c r="I5" s="12" t="n">
        <v>46023</v>
      </c>
      <c r="J5" s="3">
        <f>_xlfn.XLOOKUP(TEXT($I5,"yyyy-mm-dd")&amp;"|"&amp;""&amp;"|"&amp;"",tblExcepciones[clave],tblExcepciones[habil],_xlfn.XLOOKUP(TEXT($I5,"yyyy-mm-dd")&amp;"|"&amp;""&amp;"|",tblExcepciones[clave],tblExcepciones[habil],_xlfn.XLOOKUP(TEXT($I5,"yyyy-mm-dd")&amp;"||",tblExcepciones[clave],tblExcepciones[habil],INDEX(patronHabil,WEEKDAY($I5,2)))))</f>
        <v/>
      </c>
    </row>
    <row r="6">
      <c r="A6" s="3" t="inlineStr">
        <is>
          <t>martes</t>
        </is>
      </c>
      <c r="B6" s="6" t="inlineStr">
        <is>
          <t>sí</t>
        </is>
      </c>
      <c r="I6" s="12" t="n">
        <v>46024</v>
      </c>
      <c r="J6" s="3">
        <f>_xlfn.XLOOKUP(TEXT($I6,"yyyy-mm-dd")&amp;"|"&amp;""&amp;"|"&amp;"",tblExcepciones[clave],tblExcepciones[habil],_xlfn.XLOOKUP(TEXT($I6,"yyyy-mm-dd")&amp;"|"&amp;""&amp;"|",tblExcepciones[clave],tblExcepciones[habil],_xlfn.XLOOKUP(TEXT($I6,"yyyy-mm-dd")&amp;"||",tblExcepciones[clave],tblExcepciones[habil],INDEX(patronHabil,WEEKDAY($I6,2)))))</f>
        <v/>
      </c>
    </row>
    <row r="7">
      <c r="A7" s="3" t="inlineStr">
        <is>
          <t>miércoles</t>
        </is>
      </c>
      <c r="B7" s="6" t="inlineStr">
        <is>
          <t>sí</t>
        </is>
      </c>
      <c r="I7" s="12" t="n">
        <v>46025</v>
      </c>
      <c r="J7" s="3">
        <f>_xlfn.XLOOKUP(TEXT($I7,"yyyy-mm-dd")&amp;"|"&amp;""&amp;"|"&amp;"",tblExcepciones[clave],tblExcepciones[habil],_xlfn.XLOOKUP(TEXT($I7,"yyyy-mm-dd")&amp;"|"&amp;""&amp;"|",tblExcepciones[clave],tblExcepciones[habil],_xlfn.XLOOKUP(TEXT($I7,"yyyy-mm-dd")&amp;"||",tblExcepciones[clave],tblExcepciones[habil],INDEX(patronHabil,WEEKDAY($I7,2)))))</f>
        <v/>
      </c>
    </row>
    <row r="8">
      <c r="A8" s="3" t="inlineStr">
        <is>
          <t>jueves</t>
        </is>
      </c>
      <c r="B8" s="6" t="inlineStr">
        <is>
          <t>sí</t>
        </is>
      </c>
      <c r="I8" s="12" t="n">
        <v>46026</v>
      </c>
      <c r="J8" s="3">
        <f>_xlfn.XLOOKUP(TEXT($I8,"yyyy-mm-dd")&amp;"|"&amp;""&amp;"|"&amp;"",tblExcepciones[clave],tblExcepciones[habil],_xlfn.XLOOKUP(TEXT($I8,"yyyy-mm-dd")&amp;"|"&amp;""&amp;"|",tblExcepciones[clave],tblExcepciones[habil],_xlfn.XLOOKUP(TEXT($I8,"yyyy-mm-dd")&amp;"||",tblExcepciones[clave],tblExcepciones[habil],INDEX(patronHabil,WEEKDAY($I8,2)))))</f>
        <v/>
      </c>
    </row>
    <row r="9">
      <c r="A9" s="3" t="inlineStr">
        <is>
          <t>viernes</t>
        </is>
      </c>
      <c r="B9" s="6" t="inlineStr">
        <is>
          <t>sí</t>
        </is>
      </c>
      <c r="I9" s="12" t="n">
        <v>46027</v>
      </c>
      <c r="J9" s="3">
        <f>_xlfn.XLOOKUP(TEXT($I9,"yyyy-mm-dd")&amp;"|"&amp;""&amp;"|"&amp;"",tblExcepciones[clave],tblExcepciones[habil],_xlfn.XLOOKUP(TEXT($I9,"yyyy-mm-dd")&amp;"|"&amp;""&amp;"|",tblExcepciones[clave],tblExcepciones[habil],_xlfn.XLOOKUP(TEXT($I9,"yyyy-mm-dd")&amp;"||",tblExcepciones[clave],tblExcepciones[habil],INDEX(patronHabil,WEEKDAY($I9,2)))))</f>
        <v/>
      </c>
    </row>
    <row r="10">
      <c r="A10" s="3" t="inlineStr">
        <is>
          <t>sábado</t>
        </is>
      </c>
      <c r="B10" s="6" t="inlineStr">
        <is>
          <t>sí</t>
        </is>
      </c>
      <c r="I10" s="12" t="n">
        <v>46028</v>
      </c>
      <c r="J10" s="3">
        <f>_xlfn.XLOOKUP(TEXT($I10,"yyyy-mm-dd")&amp;"|"&amp;""&amp;"|"&amp;"",tblExcepciones[clave],tblExcepciones[habil],_xlfn.XLOOKUP(TEXT($I10,"yyyy-mm-dd")&amp;"|"&amp;""&amp;"|",tblExcepciones[clave],tblExcepciones[habil],_xlfn.XLOOKUP(TEXT($I10,"yyyy-mm-dd")&amp;"||",tblExcepciones[clave],tblExcepciones[habil],INDEX(patronHabil,WEEKDAY($I10,2)))))</f>
        <v/>
      </c>
    </row>
    <row r="11">
      <c r="A11" s="3" t="inlineStr">
        <is>
          <t>domingo</t>
        </is>
      </c>
      <c r="B11" s="6" t="inlineStr">
        <is>
          <t>no</t>
        </is>
      </c>
      <c r="I11" s="12" t="n">
        <v>46029</v>
      </c>
      <c r="J11" s="3">
        <f>_xlfn.XLOOKUP(TEXT($I11,"yyyy-mm-dd")&amp;"|"&amp;""&amp;"|"&amp;"",tblExcepciones[clave],tblExcepciones[habil],_xlfn.XLOOKUP(TEXT($I11,"yyyy-mm-dd")&amp;"|"&amp;""&amp;"|",tblExcepciones[clave],tblExcepciones[habil],_xlfn.XLOOKUP(TEXT($I11,"yyyy-mm-dd")&amp;"||",tblExcepciones[clave],tblExcepciones[habil],INDEX(patronHabil,WEEKDAY($I11,2)))))</f>
        <v/>
      </c>
    </row>
    <row r="12">
      <c r="I12" s="12" t="n">
        <v>46030</v>
      </c>
      <c r="J12" s="3">
        <f>_xlfn.XLOOKUP(TEXT($I12,"yyyy-mm-dd")&amp;"|"&amp;""&amp;"|"&amp;"",tblExcepciones[clave],tblExcepciones[habil],_xlfn.XLOOKUP(TEXT($I12,"yyyy-mm-dd")&amp;"|"&amp;""&amp;"|",tblExcepciones[clave],tblExcepciones[habil],_xlfn.XLOOKUP(TEXT($I12,"yyyy-mm-dd")&amp;"||",tblExcepciones[clave],tblExcepciones[habil],INDEX(patronHabil,WEEKDAY($I12,2)))))</f>
        <v/>
      </c>
    </row>
    <row r="13">
      <c r="A13" s="4" t="inlineStr">
        <is>
          <t>Parte B — excepciones que rompen el patrón (feriados, paros, días especiales). área vacía = toda la planta; sub-área vacía = toda el área.</t>
        </is>
      </c>
      <c r="I13" s="12" t="n">
        <v>46031</v>
      </c>
      <c r="J13" s="3">
        <f>_xlfn.XLOOKUP(TEXT($I13,"yyyy-mm-dd")&amp;"|"&amp;""&amp;"|"&amp;"",tblExcepciones[clave],tblExcepciones[habil],_xlfn.XLOOKUP(TEXT($I13,"yyyy-mm-dd")&amp;"|"&amp;""&amp;"|",tblExcepciones[clave],tblExcepciones[habil],_xlfn.XLOOKUP(TEXT($I13,"yyyy-mm-dd")&amp;"||",tblExcepciones[clave],tblExcepciones[habil],INDEX(patronHabil,WEEKDAY($I13,2)))))</f>
        <v/>
      </c>
    </row>
    <row r="14">
      <c r="A14" s="5" t="inlineStr">
        <is>
          <t>fecha</t>
        </is>
      </c>
      <c r="B14" s="5" t="inlineStr">
        <is>
          <t>tipo</t>
        </is>
      </c>
      <c r="C14" s="5" t="inlineStr">
        <is>
          <t>habil</t>
        </is>
      </c>
      <c r="D14" s="5" t="inlineStr">
        <is>
          <t>area</t>
        </is>
      </c>
      <c r="E14" s="5" t="inlineStr">
        <is>
          <t>sub_area</t>
        </is>
      </c>
      <c r="F14" s="5" t="inlineStr">
        <is>
          <t>motivo</t>
        </is>
      </c>
      <c r="G14" s="5" t="inlineStr">
        <is>
          <t>clave</t>
        </is>
      </c>
      <c r="I14" s="12" t="n">
        <v>46032</v>
      </c>
      <c r="J14" s="3">
        <f>_xlfn.XLOOKUP(TEXT($I14,"yyyy-mm-dd")&amp;"|"&amp;""&amp;"|"&amp;"",tblExcepciones[clave],tblExcepciones[habil],_xlfn.XLOOKUP(TEXT($I14,"yyyy-mm-dd")&amp;"|"&amp;""&amp;"|",tblExcepciones[clave],tblExcepciones[habil],_xlfn.XLOOKUP(TEXT($I14,"yyyy-mm-dd")&amp;"||",tblExcepciones[clave],tblExcepciones[habil],INDEX(patronHabil,WEEKDAY($I14,2)))))</f>
        <v/>
      </c>
    </row>
    <row r="15">
      <c r="A15" s="8" t="n">
        <v>46023</v>
      </c>
      <c r="B15" s="6" t="inlineStr">
        <is>
          <t>feriado</t>
        </is>
      </c>
      <c r="C15" s="6" t="inlineStr">
        <is>
          <t>no</t>
        </is>
      </c>
      <c r="D15" s="6" t="inlineStr"/>
      <c r="E15" s="6" t="inlineStr"/>
      <c r="F15" s="6" t="inlineStr">
        <is>
          <t>Año Nuevo</t>
        </is>
      </c>
      <c r="G15" s="3">
        <f>IF(tblExcepciones[[#This Row],[fecha]]="","",TEXT(tblExcepciones[[#This Row],[fecha]],"yyyy-mm-dd")&amp;"|"&amp;tblExcepciones[[#This Row],[area]]&amp;"|"&amp;tblExcepciones[[#This Row],[sub_area]])</f>
        <v/>
      </c>
      <c r="I15" s="12" t="n">
        <v>46033</v>
      </c>
      <c r="J15" s="3">
        <f>_xlfn.XLOOKUP(TEXT($I15,"yyyy-mm-dd")&amp;"|"&amp;""&amp;"|"&amp;"",tblExcepciones[clave],tblExcepciones[habil],_xlfn.XLOOKUP(TEXT($I15,"yyyy-mm-dd")&amp;"|"&amp;""&amp;"|",tblExcepciones[clave],tblExcepciones[habil],_xlfn.XLOOKUP(TEXT($I15,"yyyy-mm-dd")&amp;"||",tblExcepciones[clave],tblExcepciones[habil],INDEX(patronHabil,WEEKDAY($I15,2)))))</f>
        <v/>
      </c>
    </row>
    <row r="16">
      <c r="A16" s="8" t="n">
        <v>46028</v>
      </c>
      <c r="B16" s="6" t="inlineStr">
        <is>
          <t>feriado</t>
        </is>
      </c>
      <c r="C16" s="6" t="inlineStr">
        <is>
          <t>no</t>
        </is>
      </c>
      <c r="D16" s="6" t="inlineStr"/>
      <c r="E16" s="6" t="inlineStr"/>
      <c r="F16" s="6" t="inlineStr">
        <is>
          <t>Día de Reyes</t>
        </is>
      </c>
      <c r="G16" s="3">
        <f>IF(tblExcepciones[[#This Row],[fecha]]="","",TEXT(tblExcepciones[[#This Row],[fecha]],"yyyy-mm-dd")&amp;"|"&amp;tblExcepciones[[#This Row],[area]]&amp;"|"&amp;tblExcepciones[[#This Row],[sub_area]])</f>
        <v/>
      </c>
      <c r="I16" s="12" t="n">
        <v>46034</v>
      </c>
      <c r="J16" s="3">
        <f>_xlfn.XLOOKUP(TEXT($I16,"yyyy-mm-dd")&amp;"|"&amp;""&amp;"|"&amp;"",tblExcepciones[clave],tblExcepciones[habil],_xlfn.XLOOKUP(TEXT($I16,"yyyy-mm-dd")&amp;"|"&amp;""&amp;"|",tblExcepciones[clave],tblExcepciones[habil],_xlfn.XLOOKUP(TEXT($I16,"yyyy-mm-dd")&amp;"||",tblExcepciones[clave],tblExcepciones[habil],INDEX(patronHabil,WEEKDAY($I16,2)))))</f>
        <v/>
      </c>
    </row>
    <row r="17">
      <c r="A17" s="8" t="n">
        <v>46115</v>
      </c>
      <c r="B17" s="6" t="inlineStr">
        <is>
          <t>feriado</t>
        </is>
      </c>
      <c r="C17" s="6" t="inlineStr">
        <is>
          <t>no</t>
        </is>
      </c>
      <c r="D17" s="6" t="inlineStr"/>
      <c r="E17" s="6" t="inlineStr"/>
      <c r="F17" s="6" t="inlineStr">
        <is>
          <t>Viernes Santo</t>
        </is>
      </c>
      <c r="G17" s="3">
        <f>IF(tblExcepciones[[#This Row],[fecha]]="","",TEXT(tblExcepciones[[#This Row],[fecha]],"yyyy-mm-dd")&amp;"|"&amp;tblExcepciones[[#This Row],[area]]&amp;"|"&amp;tblExcepciones[[#This Row],[sub_area]])</f>
        <v/>
      </c>
      <c r="I17" s="12" t="n">
        <v>46035</v>
      </c>
      <c r="J17" s="3">
        <f>_xlfn.XLOOKUP(TEXT($I17,"yyyy-mm-dd")&amp;"|"&amp;""&amp;"|"&amp;"",tblExcepciones[clave],tblExcepciones[habil],_xlfn.XLOOKUP(TEXT($I17,"yyyy-mm-dd")&amp;"|"&amp;""&amp;"|",tblExcepciones[clave],tblExcepciones[habil],_xlfn.XLOOKUP(TEXT($I17,"yyyy-mm-dd")&amp;"||",tblExcepciones[clave],tblExcepciones[habil],INDEX(patronHabil,WEEKDAY($I17,2)))))</f>
        <v/>
      </c>
    </row>
    <row r="18">
      <c r="A18" s="8" t="n">
        <v>46143</v>
      </c>
      <c r="B18" s="6" t="inlineStr">
        <is>
          <t>feriado</t>
        </is>
      </c>
      <c r="C18" s="6" t="inlineStr">
        <is>
          <t>no</t>
        </is>
      </c>
      <c r="D18" s="6" t="inlineStr"/>
      <c r="E18" s="6" t="inlineStr"/>
      <c r="F18" s="6" t="inlineStr">
        <is>
          <t>Día del Trabajo</t>
        </is>
      </c>
      <c r="G18" s="3">
        <f>IF(tblExcepciones[[#This Row],[fecha]]="","",TEXT(tblExcepciones[[#This Row],[fecha]],"yyyy-mm-dd")&amp;"|"&amp;tblExcepciones[[#This Row],[area]]&amp;"|"&amp;tblExcepciones[[#This Row],[sub_area]])</f>
        <v/>
      </c>
      <c r="I18" s="12" t="n">
        <v>46036</v>
      </c>
      <c r="J18" s="3">
        <f>_xlfn.XLOOKUP(TEXT($I18,"yyyy-mm-dd")&amp;"|"&amp;""&amp;"|"&amp;"",tblExcepciones[clave],tblExcepciones[habil],_xlfn.XLOOKUP(TEXT($I18,"yyyy-mm-dd")&amp;"|"&amp;""&amp;"|",tblExcepciones[clave],tblExcepciones[habil],_xlfn.XLOOKUP(TEXT($I18,"yyyy-mm-dd")&amp;"||",tblExcepciones[clave],tblExcepciones[habil],INDEX(patronHabil,WEEKDAY($I18,2)))))</f>
        <v/>
      </c>
    </row>
    <row r="19">
      <c r="A19" s="8" t="n">
        <v>46167</v>
      </c>
      <c r="B19" s="6" t="inlineStr">
        <is>
          <t>feriado</t>
        </is>
      </c>
      <c r="C19" s="6" t="inlineStr">
        <is>
          <t>no</t>
        </is>
      </c>
      <c r="D19" s="6" t="inlineStr"/>
      <c r="E19" s="6" t="inlineStr"/>
      <c r="F19" s="6" t="inlineStr">
        <is>
          <t>Feriado nacional</t>
        </is>
      </c>
      <c r="G19" s="3">
        <f>IF(tblExcepciones[[#This Row],[fecha]]="","",TEXT(tblExcepciones[[#This Row],[fecha]],"yyyy-mm-dd")&amp;"|"&amp;tblExcepciones[[#This Row],[area]]&amp;"|"&amp;tblExcepciones[[#This Row],[sub_area]])</f>
        <v/>
      </c>
      <c r="I19" s="12" t="n">
        <v>46037</v>
      </c>
      <c r="J19" s="3">
        <f>_xlfn.XLOOKUP(TEXT($I19,"yyyy-mm-dd")&amp;"|"&amp;""&amp;"|"&amp;"",tblExcepciones[clave],tblExcepciones[habil],_xlfn.XLOOKUP(TEXT($I19,"yyyy-mm-dd")&amp;"|"&amp;""&amp;"|",tblExcepciones[clave],tblExcepciones[habil],_xlfn.XLOOKUP(TEXT($I19,"yyyy-mm-dd")&amp;"||",tblExcepciones[clave],tblExcepciones[habil],INDEX(patronHabil,WEEKDAY($I19,2)))))</f>
        <v/>
      </c>
    </row>
    <row r="20">
      <c r="A20" s="8" t="n">
        <v>46202</v>
      </c>
      <c r="B20" s="6" t="inlineStr">
        <is>
          <t>feriado</t>
        </is>
      </c>
      <c r="C20" s="6" t="inlineStr">
        <is>
          <t>no</t>
        </is>
      </c>
      <c r="D20" s="6" t="inlineStr"/>
      <c r="E20" s="6" t="inlineStr"/>
      <c r="F20" s="6" t="inlineStr">
        <is>
          <t>San Pedro y San Pablo</t>
        </is>
      </c>
      <c r="G20" s="3">
        <f>IF(tblExcepciones[[#This Row],[fecha]]="","",TEXT(tblExcepciones[[#This Row],[fecha]],"yyyy-mm-dd")&amp;"|"&amp;tblExcepciones[[#This Row],[area]]&amp;"|"&amp;tblExcepciones[[#This Row],[sub_area]])</f>
        <v/>
      </c>
      <c r="I20" s="12" t="n">
        <v>46038</v>
      </c>
      <c r="J20" s="3">
        <f>_xlfn.XLOOKUP(TEXT($I20,"yyyy-mm-dd")&amp;"|"&amp;""&amp;"|"&amp;"",tblExcepciones[clave],tblExcepciones[habil],_xlfn.XLOOKUP(TEXT($I20,"yyyy-mm-dd")&amp;"|"&amp;""&amp;"|",tblExcepciones[clave],tblExcepciones[habil],_xlfn.XLOOKUP(TEXT($I20,"yyyy-mm-dd")&amp;"||",tblExcepciones[clave],tblExcepciones[habil],INDEX(patronHabil,WEEKDAY($I20,2)))))</f>
        <v/>
      </c>
    </row>
    <row r="21">
      <c r="A21" s="8" t="n">
        <v>46249</v>
      </c>
      <c r="B21" s="6" t="inlineStr">
        <is>
          <t>feriado</t>
        </is>
      </c>
      <c r="C21" s="6" t="inlineStr">
        <is>
          <t>no</t>
        </is>
      </c>
      <c r="D21" s="6" t="inlineStr"/>
      <c r="E21" s="6" t="inlineStr"/>
      <c r="F21" s="6" t="inlineStr">
        <is>
          <t>Asunción</t>
        </is>
      </c>
      <c r="G21" s="3">
        <f>IF(tblExcepciones[[#This Row],[fecha]]="","",TEXT(tblExcepciones[[#This Row],[fecha]],"yyyy-mm-dd")&amp;"|"&amp;tblExcepciones[[#This Row],[area]]&amp;"|"&amp;tblExcepciones[[#This Row],[sub_area]])</f>
        <v/>
      </c>
      <c r="I21" s="12" t="n">
        <v>46039</v>
      </c>
      <c r="J21" s="3">
        <f>_xlfn.XLOOKUP(TEXT($I21,"yyyy-mm-dd")&amp;"|"&amp;""&amp;"|"&amp;"",tblExcepciones[clave],tblExcepciones[habil],_xlfn.XLOOKUP(TEXT($I21,"yyyy-mm-dd")&amp;"|"&amp;""&amp;"|",tblExcepciones[clave],tblExcepciones[habil],_xlfn.XLOOKUP(TEXT($I21,"yyyy-mm-dd")&amp;"||",tblExcepciones[clave],tblExcepciones[habil],INDEX(patronHabil,WEEKDAY($I21,2)))))</f>
        <v/>
      </c>
    </row>
    <row r="22">
      <c r="A22" s="8" t="n">
        <v>46307</v>
      </c>
      <c r="B22" s="6" t="inlineStr">
        <is>
          <t>feriado</t>
        </is>
      </c>
      <c r="C22" s="6" t="inlineStr">
        <is>
          <t>no</t>
        </is>
      </c>
      <c r="D22" s="6" t="inlineStr"/>
      <c r="E22" s="6" t="inlineStr"/>
      <c r="F22" s="6" t="inlineStr">
        <is>
          <t>Día de la Raza</t>
        </is>
      </c>
      <c r="G22" s="3">
        <f>IF(tblExcepciones[[#This Row],[fecha]]="","",TEXT(tblExcepciones[[#This Row],[fecha]],"yyyy-mm-dd")&amp;"|"&amp;tblExcepciones[[#This Row],[area]]&amp;"|"&amp;tblExcepciones[[#This Row],[sub_area]])</f>
        <v/>
      </c>
      <c r="I22" s="12" t="n">
        <v>46040</v>
      </c>
      <c r="J22" s="3">
        <f>_xlfn.XLOOKUP(TEXT($I22,"yyyy-mm-dd")&amp;"|"&amp;""&amp;"|"&amp;"",tblExcepciones[clave],tblExcepciones[habil],_xlfn.XLOOKUP(TEXT($I22,"yyyy-mm-dd")&amp;"|"&amp;""&amp;"|",tblExcepciones[clave],tblExcepciones[habil],_xlfn.XLOOKUP(TEXT($I22,"yyyy-mm-dd")&amp;"||",tblExcepciones[clave],tblExcepciones[habil],INDEX(patronHabil,WEEKDAY($I22,2)))))</f>
        <v/>
      </c>
    </row>
    <row r="23">
      <c r="A23" s="8" t="n">
        <v>46327</v>
      </c>
      <c r="B23" s="6" t="inlineStr">
        <is>
          <t>feriado</t>
        </is>
      </c>
      <c r="C23" s="6" t="inlineStr">
        <is>
          <t>no</t>
        </is>
      </c>
      <c r="D23" s="6" t="inlineStr"/>
      <c r="E23" s="6" t="inlineStr"/>
      <c r="F23" s="6" t="inlineStr">
        <is>
          <t>Todos los Santos</t>
        </is>
      </c>
      <c r="G23" s="3">
        <f>IF(tblExcepciones[[#This Row],[fecha]]="","",TEXT(tblExcepciones[[#This Row],[fecha]],"yyyy-mm-dd")&amp;"|"&amp;tblExcepciones[[#This Row],[area]]&amp;"|"&amp;tblExcepciones[[#This Row],[sub_area]])</f>
        <v/>
      </c>
      <c r="I23" s="12" t="n">
        <v>46041</v>
      </c>
      <c r="J23" s="3">
        <f>_xlfn.XLOOKUP(TEXT($I23,"yyyy-mm-dd")&amp;"|"&amp;""&amp;"|"&amp;"",tblExcepciones[clave],tblExcepciones[habil],_xlfn.XLOOKUP(TEXT($I23,"yyyy-mm-dd")&amp;"|"&amp;""&amp;"|",tblExcepciones[clave],tblExcepciones[habil],_xlfn.XLOOKUP(TEXT($I23,"yyyy-mm-dd")&amp;"||",tblExcepciones[clave],tblExcepciones[habil],INDEX(patronHabil,WEEKDAY($I23,2)))))</f>
        <v/>
      </c>
    </row>
    <row r="24">
      <c r="A24" s="8" t="n">
        <v>46347</v>
      </c>
      <c r="B24" s="6" t="inlineStr">
        <is>
          <t>feriado</t>
        </is>
      </c>
      <c r="C24" s="6" t="inlineStr">
        <is>
          <t>no</t>
        </is>
      </c>
      <c r="D24" s="6" t="inlineStr"/>
      <c r="E24" s="6" t="inlineStr"/>
      <c r="F24" s="6" t="inlineStr">
        <is>
          <t>Feriado regional</t>
        </is>
      </c>
      <c r="G24" s="3">
        <f>IF(tblExcepciones[[#This Row],[fecha]]="","",TEXT(tblExcepciones[[#This Row],[fecha]],"yyyy-mm-dd")&amp;"|"&amp;tblExcepciones[[#This Row],[area]]&amp;"|"&amp;tblExcepciones[[#This Row],[sub_area]])</f>
        <v/>
      </c>
      <c r="I24" s="12" t="n">
        <v>46042</v>
      </c>
      <c r="J24" s="3">
        <f>_xlfn.XLOOKUP(TEXT($I24,"yyyy-mm-dd")&amp;"|"&amp;""&amp;"|"&amp;"",tblExcepciones[clave],tblExcepciones[habil],_xlfn.XLOOKUP(TEXT($I24,"yyyy-mm-dd")&amp;"|"&amp;""&amp;"|",tblExcepciones[clave],tblExcepciones[habil],_xlfn.XLOOKUP(TEXT($I24,"yyyy-mm-dd")&amp;"||",tblExcepciones[clave],tblExcepciones[habil],INDEX(patronHabil,WEEKDAY($I24,2)))))</f>
        <v/>
      </c>
    </row>
    <row r="25">
      <c r="A25" s="8" t="n">
        <v>46364</v>
      </c>
      <c r="B25" s="6" t="inlineStr">
        <is>
          <t>feriado</t>
        </is>
      </c>
      <c r="C25" s="6" t="inlineStr">
        <is>
          <t>no</t>
        </is>
      </c>
      <c r="D25" s="6" t="inlineStr"/>
      <c r="E25" s="6" t="inlineStr"/>
      <c r="F25" s="6" t="inlineStr">
        <is>
          <t>Inmaculada Concepción</t>
        </is>
      </c>
      <c r="G25" s="3">
        <f>IF(tblExcepciones[[#This Row],[fecha]]="","",TEXT(tblExcepciones[[#This Row],[fecha]],"yyyy-mm-dd")&amp;"|"&amp;tblExcepciones[[#This Row],[area]]&amp;"|"&amp;tblExcepciones[[#This Row],[sub_area]])</f>
        <v/>
      </c>
      <c r="I25" s="12" t="n">
        <v>46043</v>
      </c>
      <c r="J25" s="3">
        <f>_xlfn.XLOOKUP(TEXT($I25,"yyyy-mm-dd")&amp;"|"&amp;""&amp;"|"&amp;"",tblExcepciones[clave],tblExcepciones[habil],_xlfn.XLOOKUP(TEXT($I25,"yyyy-mm-dd")&amp;"|"&amp;""&amp;"|",tblExcepciones[clave],tblExcepciones[habil],_xlfn.XLOOKUP(TEXT($I25,"yyyy-mm-dd")&amp;"||",tblExcepciones[clave],tblExcepciones[habil],INDEX(patronHabil,WEEKDAY($I25,2)))))</f>
        <v/>
      </c>
    </row>
    <row r="26">
      <c r="A26" s="8" t="n">
        <v>46381</v>
      </c>
      <c r="B26" s="6" t="inlineStr">
        <is>
          <t>feriado</t>
        </is>
      </c>
      <c r="C26" s="6" t="inlineStr">
        <is>
          <t>no</t>
        </is>
      </c>
      <c r="D26" s="6" t="inlineStr"/>
      <c r="E26" s="6" t="inlineStr"/>
      <c r="F26" s="6" t="inlineStr">
        <is>
          <t>Navidad</t>
        </is>
      </c>
      <c r="G26" s="3">
        <f>IF(tblExcepciones[[#This Row],[fecha]]="","",TEXT(tblExcepciones[[#This Row],[fecha]],"yyyy-mm-dd")&amp;"|"&amp;tblExcepciones[[#This Row],[area]]&amp;"|"&amp;tblExcepciones[[#This Row],[sub_area]])</f>
        <v/>
      </c>
      <c r="I26" s="12" t="n">
        <v>46044</v>
      </c>
      <c r="J26" s="3">
        <f>_xlfn.XLOOKUP(TEXT($I26,"yyyy-mm-dd")&amp;"|"&amp;""&amp;"|"&amp;"",tblExcepciones[clave],tblExcepciones[habil],_xlfn.XLOOKUP(TEXT($I26,"yyyy-mm-dd")&amp;"|"&amp;""&amp;"|",tblExcepciones[clave],tblExcepciones[habil],_xlfn.XLOOKUP(TEXT($I26,"yyyy-mm-dd")&amp;"||",tblExcepciones[clave],tblExcepciones[habil],INDEX(patronHabil,WEEKDAY($I26,2)))))</f>
        <v/>
      </c>
    </row>
    <row r="27">
      <c r="A27" s="8" t="n">
        <v>46239</v>
      </c>
      <c r="B27" s="6" t="inlineStr">
        <is>
          <t>feriado</t>
        </is>
      </c>
      <c r="C27" s="6" t="inlineStr">
        <is>
          <t>no</t>
        </is>
      </c>
      <c r="D27" s="6" t="inlineStr"/>
      <c r="E27" s="6" t="inlineStr"/>
      <c r="F27" s="6" t="inlineStr">
        <is>
          <t>Feriado de planta (demo capacidad)</t>
        </is>
      </c>
      <c r="G27" s="3">
        <f>IF(tblExcepciones[[#This Row],[fecha]]="","",TEXT(tblExcepciones[[#This Row],[fecha]],"yyyy-mm-dd")&amp;"|"&amp;tblExcepciones[[#This Row],[area]]&amp;"|"&amp;tblExcepciones[[#This Row],[sub_area]])</f>
        <v/>
      </c>
      <c r="I27" s="12" t="n">
        <v>46045</v>
      </c>
      <c r="J27" s="3">
        <f>_xlfn.XLOOKUP(TEXT($I27,"yyyy-mm-dd")&amp;"|"&amp;""&amp;"|"&amp;"",tblExcepciones[clave],tblExcepciones[habil],_xlfn.XLOOKUP(TEXT($I27,"yyyy-mm-dd")&amp;"|"&amp;""&amp;"|",tblExcepciones[clave],tblExcepciones[habil],_xlfn.XLOOKUP(TEXT($I27,"yyyy-mm-dd")&amp;"||",tblExcepciones[clave],tblExcepciones[habil],INDEX(patronHabil,WEEKDAY($I27,2)))))</f>
        <v/>
      </c>
    </row>
    <row r="28">
      <c r="A28" s="8" t="n">
        <v>46243</v>
      </c>
      <c r="B28" s="6" t="inlineStr">
        <is>
          <t>día especial laborable</t>
        </is>
      </c>
      <c r="C28" s="6" t="inlineStr">
        <is>
          <t>sí</t>
        </is>
      </c>
      <c r="D28" s="6" t="inlineStr">
        <is>
          <t>SERVICIOS</t>
        </is>
      </c>
      <c r="E28" s="6" t="inlineStr"/>
      <c r="F28" s="6" t="inlineStr">
        <is>
          <t>Turno especial de mantenimiento (solo SERVICIOS)</t>
        </is>
      </c>
      <c r="G28" s="3">
        <f>IF(tblExcepciones[[#This Row],[fecha]]="","",TEXT(tblExcepciones[[#This Row],[fecha]],"yyyy-mm-dd")&amp;"|"&amp;tblExcepciones[[#This Row],[area]]&amp;"|"&amp;tblExcepciones[[#This Row],[sub_area]])</f>
        <v/>
      </c>
      <c r="I28" s="12" t="n">
        <v>46046</v>
      </c>
      <c r="J28" s="3">
        <f>_xlfn.XLOOKUP(TEXT($I28,"yyyy-mm-dd")&amp;"|"&amp;""&amp;"|"&amp;"",tblExcepciones[clave],tblExcepciones[habil],_xlfn.XLOOKUP(TEXT($I28,"yyyy-mm-dd")&amp;"|"&amp;""&amp;"|",tblExcepciones[clave],tblExcepciones[habil],_xlfn.XLOOKUP(TEXT($I28,"yyyy-mm-dd")&amp;"||",tblExcepciones[clave],tblExcepciones[habil],INDEX(patronHabil,WEEKDAY($I28,2)))))</f>
        <v/>
      </c>
    </row>
    <row r="29">
      <c r="A29" s="8" t="n">
        <v>46233</v>
      </c>
      <c r="B29" s="6" t="inlineStr">
        <is>
          <t>paro</t>
        </is>
      </c>
      <c r="C29" s="6" t="inlineStr">
        <is>
          <t>no</t>
        </is>
      </c>
      <c r="D29" s="6" t="inlineStr">
        <is>
          <t>SERVICIOS</t>
        </is>
      </c>
      <c r="E29" s="6" t="inlineStr">
        <is>
          <t>Vapor</t>
        </is>
      </c>
      <c r="F29" s="6" t="inlineStr">
        <is>
          <t>Paro planta de vapor</t>
        </is>
      </c>
      <c r="G29" s="3">
        <f>IF(tblExcepciones[[#This Row],[fecha]]="","",TEXT(tblExcepciones[[#This Row],[fecha]],"yyyy-mm-dd")&amp;"|"&amp;tblExcepciones[[#This Row],[area]]&amp;"|"&amp;tblExcepciones[[#This Row],[sub_area]])</f>
        <v/>
      </c>
      <c r="I29" s="12" t="n">
        <v>46047</v>
      </c>
      <c r="J29" s="3">
        <f>_xlfn.XLOOKUP(TEXT($I29,"yyyy-mm-dd")&amp;"|"&amp;""&amp;"|"&amp;"",tblExcepciones[clave],tblExcepciones[habil],_xlfn.XLOOKUP(TEXT($I29,"yyyy-mm-dd")&amp;"|"&amp;""&amp;"|",tblExcepciones[clave],tblExcepciones[habil],_xlfn.XLOOKUP(TEXT($I29,"yyyy-mm-dd")&amp;"||",tblExcepciones[clave],tblExcepciones[habil],INDEX(patronHabil,WEEKDAY($I29,2)))))</f>
        <v/>
      </c>
    </row>
    <row r="30">
      <c r="A30" s="8" t="n">
        <v>46280</v>
      </c>
      <c r="B30" s="6" t="inlineStr">
        <is>
          <t>feriado</t>
        </is>
      </c>
      <c r="C30" s="6" t="inlineStr">
        <is>
          <t>no</t>
        </is>
      </c>
      <c r="D30" s="6" t="inlineStr">
        <is>
          <t>ZONA-X</t>
        </is>
      </c>
      <c r="E30" s="6" t="inlineStr"/>
      <c r="F30" s="6" t="inlineStr">
        <is>
          <t>Área inexistente (demo validación)</t>
        </is>
      </c>
      <c r="G30" s="3">
        <f>IF(tblExcepciones[[#This Row],[fecha]]="","",TEXT(tblExcepciones[[#This Row],[fecha]],"yyyy-mm-dd")&amp;"|"&amp;tblExcepciones[[#This Row],[area]]&amp;"|"&amp;tblExcepciones[[#This Row],[sub_area]])</f>
        <v/>
      </c>
      <c r="I30" s="12" t="n">
        <v>46048</v>
      </c>
      <c r="J30" s="3">
        <f>_xlfn.XLOOKUP(TEXT($I30,"yyyy-mm-dd")&amp;"|"&amp;""&amp;"|"&amp;"",tblExcepciones[clave],tblExcepciones[habil],_xlfn.XLOOKUP(TEXT($I30,"yyyy-mm-dd")&amp;"|"&amp;""&amp;"|",tblExcepciones[clave],tblExcepciones[habil],_xlfn.XLOOKUP(TEXT($I30,"yyyy-mm-dd")&amp;"||",tblExcepciones[clave],tblExcepciones[habil],INDEX(patronHabil,WEEKDAY($I30,2)))))</f>
        <v/>
      </c>
    </row>
    <row r="31">
      <c r="A31" s="8" t="n">
        <v>46281</v>
      </c>
      <c r="B31" s="6" t="inlineStr">
        <is>
          <t>paro</t>
        </is>
      </c>
      <c r="C31" s="6" t="inlineStr">
        <is>
          <t>no</t>
        </is>
      </c>
      <c r="D31" s="6" t="inlineStr">
        <is>
          <t>SERVICIOS</t>
        </is>
      </c>
      <c r="E31" s="6" t="inlineStr">
        <is>
          <t>Nitrógeno</t>
        </is>
      </c>
      <c r="F31" s="6" t="inlineStr">
        <is>
          <t>Sub-área inexistente (demo)</t>
        </is>
      </c>
      <c r="G31" s="3">
        <f>IF(tblExcepciones[[#This Row],[fecha]]="","",TEXT(tblExcepciones[[#This Row],[fecha]],"yyyy-mm-dd")&amp;"|"&amp;tblExcepciones[[#This Row],[area]]&amp;"|"&amp;tblExcepciones[[#This Row],[sub_area]])</f>
        <v/>
      </c>
      <c r="I31" s="12" t="n">
        <v>46049</v>
      </c>
      <c r="J31" s="3">
        <f>_xlfn.XLOOKUP(TEXT($I31,"yyyy-mm-dd")&amp;"|"&amp;""&amp;"|"&amp;"",tblExcepciones[clave],tblExcepciones[habil],_xlfn.XLOOKUP(TEXT($I31,"yyyy-mm-dd")&amp;"|"&amp;""&amp;"|",tblExcepciones[clave],tblExcepciones[habil],_xlfn.XLOOKUP(TEXT($I31,"yyyy-mm-dd")&amp;"||",tblExcepciones[clave],tblExcepciones[habil],INDEX(patronHabil,WEEKDAY($I31,2)))))</f>
        <v/>
      </c>
    </row>
    <row r="32">
      <c r="A32" s="8" t="n"/>
      <c r="B32" s="6" t="n"/>
      <c r="C32" s="6" t="n"/>
      <c r="D32" s="6" t="n"/>
      <c r="E32" s="6" t="n"/>
      <c r="F32" s="6" t="n"/>
      <c r="G32" s="3">
        <f>IF(tblExcepciones[[#This Row],[fecha]]="","",TEXT(tblExcepciones[[#This Row],[fecha]],"yyyy-mm-dd")&amp;"|"&amp;tblExcepciones[[#This Row],[area]]&amp;"|"&amp;tblExcepciones[[#This Row],[sub_area]])</f>
        <v/>
      </c>
      <c r="I32" s="12" t="n">
        <v>46050</v>
      </c>
      <c r="J32" s="3">
        <f>_xlfn.XLOOKUP(TEXT($I32,"yyyy-mm-dd")&amp;"|"&amp;""&amp;"|"&amp;"",tblExcepciones[clave],tblExcepciones[habil],_xlfn.XLOOKUP(TEXT($I32,"yyyy-mm-dd")&amp;"|"&amp;""&amp;"|",tblExcepciones[clave],tblExcepciones[habil],_xlfn.XLOOKUP(TEXT($I32,"yyyy-mm-dd")&amp;"||",tblExcepciones[clave],tblExcepciones[habil],INDEX(patronHabil,WEEKDAY($I32,2)))))</f>
        <v/>
      </c>
    </row>
    <row r="33">
      <c r="A33" s="8" t="n"/>
      <c r="B33" s="6" t="n"/>
      <c r="C33" s="6" t="n"/>
      <c r="D33" s="6" t="n"/>
      <c r="E33" s="6" t="n"/>
      <c r="F33" s="6" t="n"/>
      <c r="G33" s="3">
        <f>IF(tblExcepciones[[#This Row],[fecha]]="","",TEXT(tblExcepciones[[#This Row],[fecha]],"yyyy-mm-dd")&amp;"|"&amp;tblExcepciones[[#This Row],[area]]&amp;"|"&amp;tblExcepciones[[#This Row],[sub_area]])</f>
        <v/>
      </c>
      <c r="I33" s="12" t="n">
        <v>46051</v>
      </c>
      <c r="J33" s="3">
        <f>_xlfn.XLOOKUP(TEXT($I33,"yyyy-mm-dd")&amp;"|"&amp;""&amp;"|"&amp;"",tblExcepciones[clave],tblExcepciones[habil],_xlfn.XLOOKUP(TEXT($I33,"yyyy-mm-dd")&amp;"|"&amp;""&amp;"|",tblExcepciones[clave],tblExcepciones[habil],_xlfn.XLOOKUP(TEXT($I33,"yyyy-mm-dd")&amp;"||",tblExcepciones[clave],tblExcepciones[habil],INDEX(patronHabil,WEEKDAY($I33,2)))))</f>
        <v/>
      </c>
    </row>
    <row r="34">
      <c r="A34" s="8" t="n"/>
      <c r="B34" s="6" t="n"/>
      <c r="C34" s="6" t="n"/>
      <c r="D34" s="6" t="n"/>
      <c r="E34" s="6" t="n"/>
      <c r="F34" s="6" t="n"/>
      <c r="G34" s="3">
        <f>IF(tblExcepciones[[#This Row],[fecha]]="","",TEXT(tblExcepciones[[#This Row],[fecha]],"yyyy-mm-dd")&amp;"|"&amp;tblExcepciones[[#This Row],[area]]&amp;"|"&amp;tblExcepciones[[#This Row],[sub_area]])</f>
        <v/>
      </c>
      <c r="I34" s="12" t="n">
        <v>46052</v>
      </c>
      <c r="J34" s="3">
        <f>_xlfn.XLOOKUP(TEXT($I34,"yyyy-mm-dd")&amp;"|"&amp;""&amp;"|"&amp;"",tblExcepciones[clave],tblExcepciones[habil],_xlfn.XLOOKUP(TEXT($I34,"yyyy-mm-dd")&amp;"|"&amp;""&amp;"|",tblExcepciones[clave],tblExcepciones[habil],_xlfn.XLOOKUP(TEXT($I34,"yyyy-mm-dd")&amp;"||",tblExcepciones[clave],tblExcepciones[habil],INDEX(patronHabil,WEEKDAY($I34,2)))))</f>
        <v/>
      </c>
    </row>
    <row r="35">
      <c r="A35" s="8" t="n"/>
      <c r="B35" s="6" t="n"/>
      <c r="C35" s="6" t="n"/>
      <c r="D35" s="6" t="n"/>
      <c r="E35" s="6" t="n"/>
      <c r="F35" s="6" t="n"/>
      <c r="G35" s="3">
        <f>IF(tblExcepciones[[#This Row],[fecha]]="","",TEXT(tblExcepciones[[#This Row],[fecha]],"yyyy-mm-dd")&amp;"|"&amp;tblExcepciones[[#This Row],[area]]&amp;"|"&amp;tblExcepciones[[#This Row],[sub_area]])</f>
        <v/>
      </c>
      <c r="I35" s="12" t="n">
        <v>46053</v>
      </c>
      <c r="J35" s="3">
        <f>_xlfn.XLOOKUP(TEXT($I35,"yyyy-mm-dd")&amp;"|"&amp;""&amp;"|"&amp;"",tblExcepciones[clave],tblExcepciones[habil],_xlfn.XLOOKUP(TEXT($I35,"yyyy-mm-dd")&amp;"|"&amp;""&amp;"|",tblExcepciones[clave],tblExcepciones[habil],_xlfn.XLOOKUP(TEXT($I35,"yyyy-mm-dd")&amp;"||",tblExcepciones[clave],tblExcepciones[habil],INDEX(patronHabil,WEEKDAY($I35,2)))))</f>
        <v/>
      </c>
    </row>
    <row r="36">
      <c r="A36" s="8" t="n"/>
      <c r="B36" s="6" t="n"/>
      <c r="C36" s="6" t="n"/>
      <c r="D36" s="6" t="n"/>
      <c r="E36" s="6" t="n"/>
      <c r="F36" s="6" t="n"/>
      <c r="G36" s="3">
        <f>IF(tblExcepciones[[#This Row],[fecha]]="","",TEXT(tblExcepciones[[#This Row],[fecha]],"yyyy-mm-dd")&amp;"|"&amp;tblExcepciones[[#This Row],[area]]&amp;"|"&amp;tblExcepciones[[#This Row],[sub_area]])</f>
        <v/>
      </c>
      <c r="I36" s="12" t="n">
        <v>46054</v>
      </c>
      <c r="J36" s="3">
        <f>_xlfn.XLOOKUP(TEXT($I36,"yyyy-mm-dd")&amp;"|"&amp;""&amp;"|"&amp;"",tblExcepciones[clave],tblExcepciones[habil],_xlfn.XLOOKUP(TEXT($I36,"yyyy-mm-dd")&amp;"|"&amp;""&amp;"|",tblExcepciones[clave],tblExcepciones[habil],_xlfn.XLOOKUP(TEXT($I36,"yyyy-mm-dd")&amp;"||",tblExcepciones[clave],tblExcepciones[habil],INDEX(patronHabil,WEEKDAY($I36,2)))))</f>
        <v/>
      </c>
    </row>
    <row r="37">
      <c r="A37" s="8" t="n"/>
      <c r="B37" s="6" t="n"/>
      <c r="C37" s="6" t="n"/>
      <c r="D37" s="6" t="n"/>
      <c r="E37" s="6" t="n"/>
      <c r="F37" s="6" t="n"/>
      <c r="G37" s="3">
        <f>IF(tblExcepciones[[#This Row],[fecha]]="","",TEXT(tblExcepciones[[#This Row],[fecha]],"yyyy-mm-dd")&amp;"|"&amp;tblExcepciones[[#This Row],[area]]&amp;"|"&amp;tblExcepciones[[#This Row],[sub_area]])</f>
        <v/>
      </c>
      <c r="I37" s="12" t="n">
        <v>46055</v>
      </c>
      <c r="J37" s="3">
        <f>_xlfn.XLOOKUP(TEXT($I37,"yyyy-mm-dd")&amp;"|"&amp;""&amp;"|"&amp;"",tblExcepciones[clave],tblExcepciones[habil],_xlfn.XLOOKUP(TEXT($I37,"yyyy-mm-dd")&amp;"|"&amp;""&amp;"|",tblExcepciones[clave],tblExcepciones[habil],_xlfn.XLOOKUP(TEXT($I37,"yyyy-mm-dd")&amp;"||",tblExcepciones[clave],tblExcepciones[habil],INDEX(patronHabil,WEEKDAY($I37,2)))))</f>
        <v/>
      </c>
    </row>
    <row r="38">
      <c r="A38" s="8" t="n"/>
      <c r="B38" s="6" t="n"/>
      <c r="C38" s="6" t="n"/>
      <c r="D38" s="6" t="n"/>
      <c r="E38" s="6" t="n"/>
      <c r="F38" s="6" t="n"/>
      <c r="G38" s="3">
        <f>IF(tblExcepciones[[#This Row],[fecha]]="","",TEXT(tblExcepciones[[#This Row],[fecha]],"yyyy-mm-dd")&amp;"|"&amp;tblExcepciones[[#This Row],[area]]&amp;"|"&amp;tblExcepciones[[#This Row],[sub_area]])</f>
        <v/>
      </c>
      <c r="I38" s="12" t="n">
        <v>46056</v>
      </c>
      <c r="J38" s="3">
        <f>_xlfn.XLOOKUP(TEXT($I38,"yyyy-mm-dd")&amp;"|"&amp;""&amp;"|"&amp;"",tblExcepciones[clave],tblExcepciones[habil],_xlfn.XLOOKUP(TEXT($I38,"yyyy-mm-dd")&amp;"|"&amp;""&amp;"|",tblExcepciones[clave],tblExcepciones[habil],_xlfn.XLOOKUP(TEXT($I38,"yyyy-mm-dd")&amp;"||",tblExcepciones[clave],tblExcepciones[habil],INDEX(patronHabil,WEEKDAY($I38,2)))))</f>
        <v/>
      </c>
    </row>
    <row r="39">
      <c r="A39" s="8" t="n"/>
      <c r="B39" s="6" t="n"/>
      <c r="C39" s="6" t="n"/>
      <c r="D39" s="6" t="n"/>
      <c r="E39" s="6" t="n"/>
      <c r="F39" s="6" t="n"/>
      <c r="G39" s="3">
        <f>IF(tblExcepciones[[#This Row],[fecha]]="","",TEXT(tblExcepciones[[#This Row],[fecha]],"yyyy-mm-dd")&amp;"|"&amp;tblExcepciones[[#This Row],[area]]&amp;"|"&amp;tblExcepciones[[#This Row],[sub_area]])</f>
        <v/>
      </c>
      <c r="I39" s="12" t="n">
        <v>46057</v>
      </c>
      <c r="J39" s="3">
        <f>_xlfn.XLOOKUP(TEXT($I39,"yyyy-mm-dd")&amp;"|"&amp;""&amp;"|"&amp;"",tblExcepciones[clave],tblExcepciones[habil],_xlfn.XLOOKUP(TEXT($I39,"yyyy-mm-dd")&amp;"|"&amp;""&amp;"|",tblExcepciones[clave],tblExcepciones[habil],_xlfn.XLOOKUP(TEXT($I39,"yyyy-mm-dd")&amp;"||",tblExcepciones[clave],tblExcepciones[habil],INDEX(patronHabil,WEEKDAY($I39,2)))))</f>
        <v/>
      </c>
    </row>
    <row r="40">
      <c r="A40" s="8" t="n"/>
      <c r="B40" s="6" t="n"/>
      <c r="C40" s="6" t="n"/>
      <c r="D40" s="6" t="n"/>
      <c r="E40" s="6" t="n"/>
      <c r="F40" s="6" t="n"/>
      <c r="G40" s="3">
        <f>IF(tblExcepciones[[#This Row],[fecha]]="","",TEXT(tblExcepciones[[#This Row],[fecha]],"yyyy-mm-dd")&amp;"|"&amp;tblExcepciones[[#This Row],[area]]&amp;"|"&amp;tblExcepciones[[#This Row],[sub_area]])</f>
        <v/>
      </c>
      <c r="I40" s="12" t="n">
        <v>46058</v>
      </c>
      <c r="J40" s="3">
        <f>_xlfn.XLOOKUP(TEXT($I40,"yyyy-mm-dd")&amp;"|"&amp;""&amp;"|"&amp;"",tblExcepciones[clave],tblExcepciones[habil],_xlfn.XLOOKUP(TEXT($I40,"yyyy-mm-dd")&amp;"|"&amp;""&amp;"|",tblExcepciones[clave],tblExcepciones[habil],_xlfn.XLOOKUP(TEXT($I40,"yyyy-mm-dd")&amp;"||",tblExcepciones[clave],tblExcepciones[habil],INDEX(patronHabil,WEEKDAY($I40,2)))))</f>
        <v/>
      </c>
    </row>
    <row r="41">
      <c r="A41" s="8" t="n"/>
      <c r="B41" s="6" t="n"/>
      <c r="C41" s="6" t="n"/>
      <c r="D41" s="6" t="n"/>
      <c r="E41" s="6" t="n"/>
      <c r="F41" s="6" t="n"/>
      <c r="G41" s="3">
        <f>IF(tblExcepciones[[#This Row],[fecha]]="","",TEXT(tblExcepciones[[#This Row],[fecha]],"yyyy-mm-dd")&amp;"|"&amp;tblExcepciones[[#This Row],[area]]&amp;"|"&amp;tblExcepciones[[#This Row],[sub_area]])</f>
        <v/>
      </c>
      <c r="I41" s="12" t="n">
        <v>46059</v>
      </c>
      <c r="J41" s="3">
        <f>_xlfn.XLOOKUP(TEXT($I41,"yyyy-mm-dd")&amp;"|"&amp;""&amp;"|"&amp;"",tblExcepciones[clave],tblExcepciones[habil],_xlfn.XLOOKUP(TEXT($I41,"yyyy-mm-dd")&amp;"|"&amp;""&amp;"|",tblExcepciones[clave],tblExcepciones[habil],_xlfn.XLOOKUP(TEXT($I41,"yyyy-mm-dd")&amp;"||",tblExcepciones[clave],tblExcepciones[habil],INDEX(patronHabil,WEEKDAY($I41,2)))))</f>
        <v/>
      </c>
    </row>
    <row r="42">
      <c r="A42" s="8" t="n"/>
      <c r="B42" s="6" t="n"/>
      <c r="C42" s="6" t="n"/>
      <c r="D42" s="6" t="n"/>
      <c r="E42" s="6" t="n"/>
      <c r="F42" s="6" t="n"/>
      <c r="G42" s="3">
        <f>IF(tblExcepciones[[#This Row],[fecha]]="","",TEXT(tblExcepciones[[#This Row],[fecha]],"yyyy-mm-dd")&amp;"|"&amp;tblExcepciones[[#This Row],[area]]&amp;"|"&amp;tblExcepciones[[#This Row],[sub_area]])</f>
        <v/>
      </c>
      <c r="I42" s="12" t="n">
        <v>46060</v>
      </c>
      <c r="J42" s="3">
        <f>_xlfn.XLOOKUP(TEXT($I42,"yyyy-mm-dd")&amp;"|"&amp;""&amp;"|"&amp;"",tblExcepciones[clave],tblExcepciones[habil],_xlfn.XLOOKUP(TEXT($I42,"yyyy-mm-dd")&amp;"|"&amp;""&amp;"|",tblExcepciones[clave],tblExcepciones[habil],_xlfn.XLOOKUP(TEXT($I42,"yyyy-mm-dd")&amp;"||",tblExcepciones[clave],tblExcepciones[habil],INDEX(patronHabil,WEEKDAY($I42,2)))))</f>
        <v/>
      </c>
    </row>
    <row r="43">
      <c r="A43" s="8" t="n"/>
      <c r="B43" s="6" t="n"/>
      <c r="C43" s="6" t="n"/>
      <c r="D43" s="6" t="n"/>
      <c r="E43" s="6" t="n"/>
      <c r="F43" s="6" t="n"/>
      <c r="G43" s="3">
        <f>IF(tblExcepciones[[#This Row],[fecha]]="","",TEXT(tblExcepciones[[#This Row],[fecha]],"yyyy-mm-dd")&amp;"|"&amp;tblExcepciones[[#This Row],[area]]&amp;"|"&amp;tblExcepciones[[#This Row],[sub_area]])</f>
        <v/>
      </c>
      <c r="I43" s="12" t="n">
        <v>46061</v>
      </c>
      <c r="J43" s="3">
        <f>_xlfn.XLOOKUP(TEXT($I43,"yyyy-mm-dd")&amp;"|"&amp;""&amp;"|"&amp;"",tblExcepciones[clave],tblExcepciones[habil],_xlfn.XLOOKUP(TEXT($I43,"yyyy-mm-dd")&amp;"|"&amp;""&amp;"|",tblExcepciones[clave],tblExcepciones[habil],_xlfn.XLOOKUP(TEXT($I43,"yyyy-mm-dd")&amp;"||",tblExcepciones[clave],tblExcepciones[habil],INDEX(patronHabil,WEEKDAY($I43,2)))))</f>
        <v/>
      </c>
    </row>
    <row r="44">
      <c r="A44" s="8" t="n"/>
      <c r="B44" s="6" t="n"/>
      <c r="C44" s="6" t="n"/>
      <c r="D44" s="6" t="n"/>
      <c r="E44" s="6" t="n"/>
      <c r="F44" s="6" t="n"/>
      <c r="G44" s="3">
        <f>IF(tblExcepciones[[#This Row],[fecha]]="","",TEXT(tblExcepciones[[#This Row],[fecha]],"yyyy-mm-dd")&amp;"|"&amp;tblExcepciones[[#This Row],[area]]&amp;"|"&amp;tblExcepciones[[#This Row],[sub_area]])</f>
        <v/>
      </c>
      <c r="I44" s="12" t="n">
        <v>46062</v>
      </c>
      <c r="J44" s="3">
        <f>_xlfn.XLOOKUP(TEXT($I44,"yyyy-mm-dd")&amp;"|"&amp;""&amp;"|"&amp;"",tblExcepciones[clave],tblExcepciones[habil],_xlfn.XLOOKUP(TEXT($I44,"yyyy-mm-dd")&amp;"|"&amp;""&amp;"|",tblExcepciones[clave],tblExcepciones[habil],_xlfn.XLOOKUP(TEXT($I44,"yyyy-mm-dd")&amp;"||",tblExcepciones[clave],tblExcepciones[habil],INDEX(patronHabil,WEEKDAY($I44,2)))))</f>
        <v/>
      </c>
    </row>
    <row r="45">
      <c r="A45" s="8" t="n"/>
      <c r="B45" s="6" t="n"/>
      <c r="C45" s="6" t="n"/>
      <c r="D45" s="6" t="n"/>
      <c r="E45" s="6" t="n"/>
      <c r="F45" s="6" t="n"/>
      <c r="G45" s="3">
        <f>IF(tblExcepciones[[#This Row],[fecha]]="","",TEXT(tblExcepciones[[#This Row],[fecha]],"yyyy-mm-dd")&amp;"|"&amp;tblExcepciones[[#This Row],[area]]&amp;"|"&amp;tblExcepciones[[#This Row],[sub_area]])</f>
        <v/>
      </c>
      <c r="I45" s="12" t="n">
        <v>46063</v>
      </c>
      <c r="J45" s="3">
        <f>_xlfn.XLOOKUP(TEXT($I45,"yyyy-mm-dd")&amp;"|"&amp;""&amp;"|"&amp;"",tblExcepciones[clave],tblExcepciones[habil],_xlfn.XLOOKUP(TEXT($I45,"yyyy-mm-dd")&amp;"|"&amp;""&amp;"|",tblExcepciones[clave],tblExcepciones[habil],_xlfn.XLOOKUP(TEXT($I45,"yyyy-mm-dd")&amp;"||",tblExcepciones[clave],tblExcepciones[habil],INDEX(patronHabil,WEEKDAY($I45,2)))))</f>
        <v/>
      </c>
    </row>
    <row r="46">
      <c r="A46" s="8" t="n"/>
      <c r="B46" s="6" t="n"/>
      <c r="C46" s="6" t="n"/>
      <c r="D46" s="6" t="n"/>
      <c r="E46" s="6" t="n"/>
      <c r="F46" s="6" t="n"/>
      <c r="G46" s="3">
        <f>IF(tblExcepciones[[#This Row],[fecha]]="","",TEXT(tblExcepciones[[#This Row],[fecha]],"yyyy-mm-dd")&amp;"|"&amp;tblExcepciones[[#This Row],[area]]&amp;"|"&amp;tblExcepciones[[#This Row],[sub_area]])</f>
        <v/>
      </c>
      <c r="I46" s="12" t="n">
        <v>46064</v>
      </c>
      <c r="J46" s="3">
        <f>_xlfn.XLOOKUP(TEXT($I46,"yyyy-mm-dd")&amp;"|"&amp;""&amp;"|"&amp;"",tblExcepciones[clave],tblExcepciones[habil],_xlfn.XLOOKUP(TEXT($I46,"yyyy-mm-dd")&amp;"|"&amp;""&amp;"|",tblExcepciones[clave],tblExcepciones[habil],_xlfn.XLOOKUP(TEXT($I46,"yyyy-mm-dd")&amp;"||",tblExcepciones[clave],tblExcepciones[habil],INDEX(patronHabil,WEEKDAY($I46,2)))))</f>
        <v/>
      </c>
    </row>
    <row r="47">
      <c r="A47" s="8" t="n"/>
      <c r="B47" s="6" t="n"/>
      <c r="C47" s="6" t="n"/>
      <c r="D47" s="6" t="n"/>
      <c r="E47" s="6" t="n"/>
      <c r="F47" s="6" t="n"/>
      <c r="G47" s="3">
        <f>IF(tblExcepciones[[#This Row],[fecha]]="","",TEXT(tblExcepciones[[#This Row],[fecha]],"yyyy-mm-dd")&amp;"|"&amp;tblExcepciones[[#This Row],[area]]&amp;"|"&amp;tblExcepciones[[#This Row],[sub_area]])</f>
        <v/>
      </c>
      <c r="I47" s="12" t="n">
        <v>46065</v>
      </c>
      <c r="J47" s="3">
        <f>_xlfn.XLOOKUP(TEXT($I47,"yyyy-mm-dd")&amp;"|"&amp;""&amp;"|"&amp;"",tblExcepciones[clave],tblExcepciones[habil],_xlfn.XLOOKUP(TEXT($I47,"yyyy-mm-dd")&amp;"|"&amp;""&amp;"|",tblExcepciones[clave],tblExcepciones[habil],_xlfn.XLOOKUP(TEXT($I47,"yyyy-mm-dd")&amp;"||",tblExcepciones[clave],tblExcepciones[habil],INDEX(patronHabil,WEEKDAY($I47,2)))))</f>
        <v/>
      </c>
    </row>
    <row r="48">
      <c r="A48" s="8" t="n"/>
      <c r="B48" s="6" t="n"/>
      <c r="C48" s="6" t="n"/>
      <c r="D48" s="6" t="n"/>
      <c r="E48" s="6" t="n"/>
      <c r="F48" s="6" t="n"/>
      <c r="G48" s="3">
        <f>IF(tblExcepciones[[#This Row],[fecha]]="","",TEXT(tblExcepciones[[#This Row],[fecha]],"yyyy-mm-dd")&amp;"|"&amp;tblExcepciones[[#This Row],[area]]&amp;"|"&amp;tblExcepciones[[#This Row],[sub_area]])</f>
        <v/>
      </c>
      <c r="I48" s="12" t="n">
        <v>46066</v>
      </c>
      <c r="J48" s="3">
        <f>_xlfn.XLOOKUP(TEXT($I48,"yyyy-mm-dd")&amp;"|"&amp;""&amp;"|"&amp;"",tblExcepciones[clave],tblExcepciones[habil],_xlfn.XLOOKUP(TEXT($I48,"yyyy-mm-dd")&amp;"|"&amp;""&amp;"|",tblExcepciones[clave],tblExcepciones[habil],_xlfn.XLOOKUP(TEXT($I48,"yyyy-mm-dd")&amp;"||",tblExcepciones[clave],tblExcepciones[habil],INDEX(patronHabil,WEEKDAY($I48,2)))))</f>
        <v/>
      </c>
    </row>
    <row r="49">
      <c r="A49" s="8" t="n"/>
      <c r="B49" s="6" t="n"/>
      <c r="C49" s="6" t="n"/>
      <c r="D49" s="6" t="n"/>
      <c r="E49" s="6" t="n"/>
      <c r="F49" s="6" t="n"/>
      <c r="G49" s="3">
        <f>IF(tblExcepciones[[#This Row],[fecha]]="","",TEXT(tblExcepciones[[#This Row],[fecha]],"yyyy-mm-dd")&amp;"|"&amp;tblExcepciones[[#This Row],[area]]&amp;"|"&amp;tblExcepciones[[#This Row],[sub_area]])</f>
        <v/>
      </c>
      <c r="I49" s="12" t="n">
        <v>46067</v>
      </c>
      <c r="J49" s="3">
        <f>_xlfn.XLOOKUP(TEXT($I49,"yyyy-mm-dd")&amp;"|"&amp;""&amp;"|"&amp;"",tblExcepciones[clave],tblExcepciones[habil],_xlfn.XLOOKUP(TEXT($I49,"yyyy-mm-dd")&amp;"|"&amp;""&amp;"|",tblExcepciones[clave],tblExcepciones[habil],_xlfn.XLOOKUP(TEXT($I49,"yyyy-mm-dd")&amp;"||",tblExcepciones[clave],tblExcepciones[habil],INDEX(patronHabil,WEEKDAY($I49,2)))))</f>
        <v/>
      </c>
    </row>
    <row r="50">
      <c r="A50" s="8" t="n"/>
      <c r="B50" s="6" t="n"/>
      <c r="C50" s="6" t="n"/>
      <c r="D50" s="6" t="n"/>
      <c r="E50" s="6" t="n"/>
      <c r="F50" s="6" t="n"/>
      <c r="G50" s="3">
        <f>IF(tblExcepciones[[#This Row],[fecha]]="","",TEXT(tblExcepciones[[#This Row],[fecha]],"yyyy-mm-dd")&amp;"|"&amp;tblExcepciones[[#This Row],[area]]&amp;"|"&amp;tblExcepciones[[#This Row],[sub_area]])</f>
        <v/>
      </c>
      <c r="I50" s="12" t="n">
        <v>46068</v>
      </c>
      <c r="J50" s="3">
        <f>_xlfn.XLOOKUP(TEXT($I50,"yyyy-mm-dd")&amp;"|"&amp;""&amp;"|"&amp;"",tblExcepciones[clave],tblExcepciones[habil],_xlfn.XLOOKUP(TEXT($I50,"yyyy-mm-dd")&amp;"|"&amp;""&amp;"|",tblExcepciones[clave],tblExcepciones[habil],_xlfn.XLOOKUP(TEXT($I50,"yyyy-mm-dd")&amp;"||",tblExcepciones[clave],tblExcepciones[habil],INDEX(patronHabil,WEEKDAY($I50,2)))))</f>
        <v/>
      </c>
    </row>
    <row r="51">
      <c r="A51" s="8" t="n"/>
      <c r="B51" s="6" t="n"/>
      <c r="C51" s="6" t="n"/>
      <c r="D51" s="6" t="n"/>
      <c r="E51" s="6" t="n"/>
      <c r="F51" s="6" t="n"/>
      <c r="G51" s="3">
        <f>IF(tblExcepciones[[#This Row],[fecha]]="","",TEXT(tblExcepciones[[#This Row],[fecha]],"yyyy-mm-dd")&amp;"|"&amp;tblExcepciones[[#This Row],[area]]&amp;"|"&amp;tblExcepciones[[#This Row],[sub_area]])</f>
        <v/>
      </c>
      <c r="I51" s="12" t="n">
        <v>46069</v>
      </c>
      <c r="J51" s="3">
        <f>_xlfn.XLOOKUP(TEXT($I51,"yyyy-mm-dd")&amp;"|"&amp;""&amp;"|"&amp;"",tblExcepciones[clave],tblExcepciones[habil],_xlfn.XLOOKUP(TEXT($I51,"yyyy-mm-dd")&amp;"|"&amp;""&amp;"|",tblExcepciones[clave],tblExcepciones[habil],_xlfn.XLOOKUP(TEXT($I51,"yyyy-mm-dd")&amp;"||",tblExcepciones[clave],tblExcepciones[habil],INDEX(patronHabil,WEEKDAY($I51,2)))))</f>
        <v/>
      </c>
    </row>
    <row r="52">
      <c r="A52" s="8" t="n"/>
      <c r="B52" s="6" t="n"/>
      <c r="C52" s="6" t="n"/>
      <c r="D52" s="6" t="n"/>
      <c r="E52" s="6" t="n"/>
      <c r="F52" s="6" t="n"/>
      <c r="G52" s="3">
        <f>IF(tblExcepciones[[#This Row],[fecha]]="","",TEXT(tblExcepciones[[#This Row],[fecha]],"yyyy-mm-dd")&amp;"|"&amp;tblExcepciones[[#This Row],[area]]&amp;"|"&amp;tblExcepciones[[#This Row],[sub_area]])</f>
        <v/>
      </c>
      <c r="I52" s="12" t="n">
        <v>46070</v>
      </c>
      <c r="J52" s="3">
        <f>_xlfn.XLOOKUP(TEXT($I52,"yyyy-mm-dd")&amp;"|"&amp;""&amp;"|"&amp;"",tblExcepciones[clave],tblExcepciones[habil],_xlfn.XLOOKUP(TEXT($I52,"yyyy-mm-dd")&amp;"|"&amp;""&amp;"|",tblExcepciones[clave],tblExcepciones[habil],_xlfn.XLOOKUP(TEXT($I52,"yyyy-mm-dd")&amp;"||",tblExcepciones[clave],tblExcepciones[habil],INDEX(patronHabil,WEEKDAY($I52,2)))))</f>
        <v/>
      </c>
    </row>
    <row r="53">
      <c r="A53" s="8" t="n"/>
      <c r="B53" s="6" t="n"/>
      <c r="C53" s="6" t="n"/>
      <c r="D53" s="6" t="n"/>
      <c r="E53" s="6" t="n"/>
      <c r="F53" s="6" t="n"/>
      <c r="G53" s="3">
        <f>IF(tblExcepciones[[#This Row],[fecha]]="","",TEXT(tblExcepciones[[#This Row],[fecha]],"yyyy-mm-dd")&amp;"|"&amp;tblExcepciones[[#This Row],[area]]&amp;"|"&amp;tblExcepciones[[#This Row],[sub_area]])</f>
        <v/>
      </c>
      <c r="I53" s="12" t="n">
        <v>46071</v>
      </c>
      <c r="J53" s="3">
        <f>_xlfn.XLOOKUP(TEXT($I53,"yyyy-mm-dd")&amp;"|"&amp;""&amp;"|"&amp;"",tblExcepciones[clave],tblExcepciones[habil],_xlfn.XLOOKUP(TEXT($I53,"yyyy-mm-dd")&amp;"|"&amp;""&amp;"|",tblExcepciones[clave],tblExcepciones[habil],_xlfn.XLOOKUP(TEXT($I53,"yyyy-mm-dd")&amp;"||",tblExcepciones[clave],tblExcepciones[habil],INDEX(patronHabil,WEEKDAY($I53,2)))))</f>
        <v/>
      </c>
    </row>
    <row r="54">
      <c r="A54" s="8" t="n"/>
      <c r="B54" s="6" t="n"/>
      <c r="C54" s="6" t="n"/>
      <c r="D54" s="6" t="n"/>
      <c r="E54" s="6" t="n"/>
      <c r="F54" s="6" t="n"/>
      <c r="G54" s="3">
        <f>IF(tblExcepciones[[#This Row],[fecha]]="","",TEXT(tblExcepciones[[#This Row],[fecha]],"yyyy-mm-dd")&amp;"|"&amp;tblExcepciones[[#This Row],[area]]&amp;"|"&amp;tblExcepciones[[#This Row],[sub_area]])</f>
        <v/>
      </c>
      <c r="I54" s="12" t="n">
        <v>46072</v>
      </c>
      <c r="J54" s="3">
        <f>_xlfn.XLOOKUP(TEXT($I54,"yyyy-mm-dd")&amp;"|"&amp;""&amp;"|"&amp;"",tblExcepciones[clave],tblExcepciones[habil],_xlfn.XLOOKUP(TEXT($I54,"yyyy-mm-dd")&amp;"|"&amp;""&amp;"|",tblExcepciones[clave],tblExcepciones[habil],_xlfn.XLOOKUP(TEXT($I54,"yyyy-mm-dd")&amp;"||",tblExcepciones[clave],tblExcepciones[habil],INDEX(patronHabil,WEEKDAY($I54,2)))))</f>
        <v/>
      </c>
    </row>
    <row r="55">
      <c r="A55" s="8" t="n"/>
      <c r="B55" s="6" t="n"/>
      <c r="C55" s="6" t="n"/>
      <c r="D55" s="6" t="n"/>
      <c r="E55" s="6" t="n"/>
      <c r="F55" s="6" t="n"/>
      <c r="G55" s="3">
        <f>IF(tblExcepciones[[#This Row],[fecha]]="","",TEXT(tblExcepciones[[#This Row],[fecha]],"yyyy-mm-dd")&amp;"|"&amp;tblExcepciones[[#This Row],[area]]&amp;"|"&amp;tblExcepciones[[#This Row],[sub_area]])</f>
        <v/>
      </c>
      <c r="I55" s="12" t="n">
        <v>46073</v>
      </c>
      <c r="J55" s="3">
        <f>_xlfn.XLOOKUP(TEXT($I55,"yyyy-mm-dd")&amp;"|"&amp;""&amp;"|"&amp;"",tblExcepciones[clave],tblExcepciones[habil],_xlfn.XLOOKUP(TEXT($I55,"yyyy-mm-dd")&amp;"|"&amp;""&amp;"|",tblExcepciones[clave],tblExcepciones[habil],_xlfn.XLOOKUP(TEXT($I55,"yyyy-mm-dd")&amp;"||",tblExcepciones[clave],tblExcepciones[habil],INDEX(patronHabil,WEEKDAY($I55,2)))))</f>
        <v/>
      </c>
    </row>
    <row r="56">
      <c r="A56" s="8" t="n"/>
      <c r="B56" s="6" t="n"/>
      <c r="C56" s="6" t="n"/>
      <c r="D56" s="6" t="n"/>
      <c r="E56" s="6" t="n"/>
      <c r="F56" s="6" t="n"/>
      <c r="G56" s="3">
        <f>IF(tblExcepciones[[#This Row],[fecha]]="","",TEXT(tblExcepciones[[#This Row],[fecha]],"yyyy-mm-dd")&amp;"|"&amp;tblExcepciones[[#This Row],[area]]&amp;"|"&amp;tblExcepciones[[#This Row],[sub_area]])</f>
        <v/>
      </c>
      <c r="I56" s="12" t="n">
        <v>46074</v>
      </c>
      <c r="J56" s="3">
        <f>_xlfn.XLOOKUP(TEXT($I56,"yyyy-mm-dd")&amp;"|"&amp;""&amp;"|"&amp;"",tblExcepciones[clave],tblExcepciones[habil],_xlfn.XLOOKUP(TEXT($I56,"yyyy-mm-dd")&amp;"|"&amp;""&amp;"|",tblExcepciones[clave],tblExcepciones[habil],_xlfn.XLOOKUP(TEXT($I56,"yyyy-mm-dd")&amp;"||",tblExcepciones[clave],tblExcepciones[habil],INDEX(patronHabil,WEEKDAY($I56,2)))))</f>
        <v/>
      </c>
    </row>
    <row r="57">
      <c r="A57" s="8" t="n"/>
      <c r="B57" s="6" t="n"/>
      <c r="C57" s="6" t="n"/>
      <c r="D57" s="6" t="n"/>
      <c r="E57" s="6" t="n"/>
      <c r="F57" s="6" t="n"/>
      <c r="G57" s="3">
        <f>IF(tblExcepciones[[#This Row],[fecha]]="","",TEXT(tblExcepciones[[#This Row],[fecha]],"yyyy-mm-dd")&amp;"|"&amp;tblExcepciones[[#This Row],[area]]&amp;"|"&amp;tblExcepciones[[#This Row],[sub_area]])</f>
        <v/>
      </c>
      <c r="I57" s="12" t="n">
        <v>46075</v>
      </c>
      <c r="J57" s="3">
        <f>_xlfn.XLOOKUP(TEXT($I57,"yyyy-mm-dd")&amp;"|"&amp;""&amp;"|"&amp;"",tblExcepciones[clave],tblExcepciones[habil],_xlfn.XLOOKUP(TEXT($I57,"yyyy-mm-dd")&amp;"|"&amp;""&amp;"|",tblExcepciones[clave],tblExcepciones[habil],_xlfn.XLOOKUP(TEXT($I57,"yyyy-mm-dd")&amp;"||",tblExcepciones[clave],tblExcepciones[habil],INDEX(patronHabil,WEEKDAY($I57,2)))))</f>
        <v/>
      </c>
    </row>
    <row r="58">
      <c r="A58" s="8" t="n"/>
      <c r="B58" s="6" t="n"/>
      <c r="C58" s="6" t="n"/>
      <c r="D58" s="6" t="n"/>
      <c r="E58" s="6" t="n"/>
      <c r="F58" s="6" t="n"/>
      <c r="G58" s="3">
        <f>IF(tblExcepciones[[#This Row],[fecha]]="","",TEXT(tblExcepciones[[#This Row],[fecha]],"yyyy-mm-dd")&amp;"|"&amp;tblExcepciones[[#This Row],[area]]&amp;"|"&amp;tblExcepciones[[#This Row],[sub_area]])</f>
        <v/>
      </c>
      <c r="I58" s="12" t="n">
        <v>46076</v>
      </c>
      <c r="J58" s="3">
        <f>_xlfn.XLOOKUP(TEXT($I58,"yyyy-mm-dd")&amp;"|"&amp;""&amp;"|"&amp;"",tblExcepciones[clave],tblExcepciones[habil],_xlfn.XLOOKUP(TEXT($I58,"yyyy-mm-dd")&amp;"|"&amp;""&amp;"|",tblExcepciones[clave],tblExcepciones[habil],_xlfn.XLOOKUP(TEXT($I58,"yyyy-mm-dd")&amp;"||",tblExcepciones[clave],tblExcepciones[habil],INDEX(patronHabil,WEEKDAY($I58,2)))))</f>
        <v/>
      </c>
    </row>
    <row r="59">
      <c r="A59" s="8" t="n"/>
      <c r="B59" s="6" t="n"/>
      <c r="C59" s="6" t="n"/>
      <c r="D59" s="6" t="n"/>
      <c r="E59" s="6" t="n"/>
      <c r="F59" s="6" t="n"/>
      <c r="G59" s="3">
        <f>IF(tblExcepciones[[#This Row],[fecha]]="","",TEXT(tblExcepciones[[#This Row],[fecha]],"yyyy-mm-dd")&amp;"|"&amp;tblExcepciones[[#This Row],[area]]&amp;"|"&amp;tblExcepciones[[#This Row],[sub_area]])</f>
        <v/>
      </c>
      <c r="I59" s="12" t="n">
        <v>46077</v>
      </c>
      <c r="J59" s="3">
        <f>_xlfn.XLOOKUP(TEXT($I59,"yyyy-mm-dd")&amp;"|"&amp;""&amp;"|"&amp;"",tblExcepciones[clave],tblExcepciones[habil],_xlfn.XLOOKUP(TEXT($I59,"yyyy-mm-dd")&amp;"|"&amp;""&amp;"|",tblExcepciones[clave],tblExcepciones[habil],_xlfn.XLOOKUP(TEXT($I59,"yyyy-mm-dd")&amp;"||",tblExcepciones[clave],tblExcepciones[habil],INDEX(patronHabil,WEEKDAY($I59,2)))))</f>
        <v/>
      </c>
    </row>
    <row r="60">
      <c r="A60" s="8" t="n"/>
      <c r="B60" s="6" t="n"/>
      <c r="C60" s="6" t="n"/>
      <c r="D60" s="6" t="n"/>
      <c r="E60" s="6" t="n"/>
      <c r="F60" s="6" t="n"/>
      <c r="G60" s="3">
        <f>IF(tblExcepciones[[#This Row],[fecha]]="","",TEXT(tblExcepciones[[#This Row],[fecha]],"yyyy-mm-dd")&amp;"|"&amp;tblExcepciones[[#This Row],[area]]&amp;"|"&amp;tblExcepciones[[#This Row],[sub_area]])</f>
        <v/>
      </c>
      <c r="I60" s="12" t="n">
        <v>46078</v>
      </c>
      <c r="J60" s="3">
        <f>_xlfn.XLOOKUP(TEXT($I60,"yyyy-mm-dd")&amp;"|"&amp;""&amp;"|"&amp;"",tblExcepciones[clave],tblExcepciones[habil],_xlfn.XLOOKUP(TEXT($I60,"yyyy-mm-dd")&amp;"|"&amp;""&amp;"|",tblExcepciones[clave],tblExcepciones[habil],_xlfn.XLOOKUP(TEXT($I60,"yyyy-mm-dd")&amp;"||",tblExcepciones[clave],tblExcepciones[habil],INDEX(patronHabil,WEEKDAY($I60,2)))))</f>
        <v/>
      </c>
    </row>
    <row r="61">
      <c r="A61" s="8" t="n"/>
      <c r="B61" s="6" t="n"/>
      <c r="C61" s="6" t="n"/>
      <c r="D61" s="6" t="n"/>
      <c r="E61" s="6" t="n"/>
      <c r="F61" s="6" t="n"/>
      <c r="G61" s="3">
        <f>IF(tblExcepciones[[#This Row],[fecha]]="","",TEXT(tblExcepciones[[#This Row],[fecha]],"yyyy-mm-dd")&amp;"|"&amp;tblExcepciones[[#This Row],[area]]&amp;"|"&amp;tblExcepciones[[#This Row],[sub_area]])</f>
        <v/>
      </c>
      <c r="I61" s="12" t="n">
        <v>46079</v>
      </c>
      <c r="J61" s="3">
        <f>_xlfn.XLOOKUP(TEXT($I61,"yyyy-mm-dd")&amp;"|"&amp;""&amp;"|"&amp;"",tblExcepciones[clave],tblExcepciones[habil],_xlfn.XLOOKUP(TEXT($I61,"yyyy-mm-dd")&amp;"|"&amp;""&amp;"|",tblExcepciones[clave],tblExcepciones[habil],_xlfn.XLOOKUP(TEXT($I61,"yyyy-mm-dd")&amp;"||",tblExcepciones[clave],tblExcepciones[habil],INDEX(patronHabil,WEEKDAY($I61,2)))))</f>
        <v/>
      </c>
    </row>
    <row r="62">
      <c r="A62" s="8" t="n"/>
      <c r="B62" s="6" t="n"/>
      <c r="C62" s="6" t="n"/>
      <c r="D62" s="6" t="n"/>
      <c r="E62" s="6" t="n"/>
      <c r="F62" s="6" t="n"/>
      <c r="G62" s="3">
        <f>IF(tblExcepciones[[#This Row],[fecha]]="","",TEXT(tblExcepciones[[#This Row],[fecha]],"yyyy-mm-dd")&amp;"|"&amp;tblExcepciones[[#This Row],[area]]&amp;"|"&amp;tblExcepciones[[#This Row],[sub_area]])</f>
        <v/>
      </c>
      <c r="I62" s="12" t="n">
        <v>46080</v>
      </c>
      <c r="J62" s="3">
        <f>_xlfn.XLOOKUP(TEXT($I62,"yyyy-mm-dd")&amp;"|"&amp;""&amp;"|"&amp;"",tblExcepciones[clave],tblExcepciones[habil],_xlfn.XLOOKUP(TEXT($I62,"yyyy-mm-dd")&amp;"|"&amp;""&amp;"|",tblExcepciones[clave],tblExcepciones[habil],_xlfn.XLOOKUP(TEXT($I62,"yyyy-mm-dd")&amp;"||",tblExcepciones[clave],tblExcepciones[habil],INDEX(patronHabil,WEEKDAY($I62,2)))))</f>
        <v/>
      </c>
    </row>
    <row r="63">
      <c r="A63" s="8" t="n"/>
      <c r="B63" s="6" t="n"/>
      <c r="C63" s="6" t="n"/>
      <c r="D63" s="6" t="n"/>
      <c r="E63" s="6" t="n"/>
      <c r="F63" s="6" t="n"/>
      <c r="G63" s="3">
        <f>IF(tblExcepciones[[#This Row],[fecha]]="","",TEXT(tblExcepciones[[#This Row],[fecha]],"yyyy-mm-dd")&amp;"|"&amp;tblExcepciones[[#This Row],[area]]&amp;"|"&amp;tblExcepciones[[#This Row],[sub_area]])</f>
        <v/>
      </c>
      <c r="I63" s="12" t="n">
        <v>46081</v>
      </c>
      <c r="J63" s="3">
        <f>_xlfn.XLOOKUP(TEXT($I63,"yyyy-mm-dd")&amp;"|"&amp;""&amp;"|"&amp;"",tblExcepciones[clave],tblExcepciones[habil],_xlfn.XLOOKUP(TEXT($I63,"yyyy-mm-dd")&amp;"|"&amp;""&amp;"|",tblExcepciones[clave],tblExcepciones[habil],_xlfn.XLOOKUP(TEXT($I63,"yyyy-mm-dd")&amp;"||",tblExcepciones[clave],tblExcepciones[habil],INDEX(patronHabil,WEEKDAY($I63,2)))))</f>
        <v/>
      </c>
    </row>
    <row r="64">
      <c r="A64" s="8" t="n"/>
      <c r="B64" s="6" t="n"/>
      <c r="C64" s="6" t="n"/>
      <c r="D64" s="6" t="n"/>
      <c r="E64" s="6" t="n"/>
      <c r="F64" s="6" t="n"/>
      <c r="G64" s="3">
        <f>IF(tblExcepciones[[#This Row],[fecha]]="","",TEXT(tblExcepciones[[#This Row],[fecha]],"yyyy-mm-dd")&amp;"|"&amp;tblExcepciones[[#This Row],[area]]&amp;"|"&amp;tblExcepciones[[#This Row],[sub_area]])</f>
        <v/>
      </c>
      <c r="I64" s="12" t="n">
        <v>46082</v>
      </c>
      <c r="J64" s="3">
        <f>_xlfn.XLOOKUP(TEXT($I64,"yyyy-mm-dd")&amp;"|"&amp;""&amp;"|"&amp;"",tblExcepciones[clave],tblExcepciones[habil],_xlfn.XLOOKUP(TEXT($I64,"yyyy-mm-dd")&amp;"|"&amp;""&amp;"|",tblExcepciones[clave],tblExcepciones[habil],_xlfn.XLOOKUP(TEXT($I64,"yyyy-mm-dd")&amp;"||",tblExcepciones[clave],tblExcepciones[habil],INDEX(patronHabil,WEEKDAY($I64,2)))))</f>
        <v/>
      </c>
    </row>
    <row r="65">
      <c r="A65" s="8" t="n"/>
      <c r="B65" s="6" t="n"/>
      <c r="C65" s="6" t="n"/>
      <c r="D65" s="6" t="n"/>
      <c r="E65" s="6" t="n"/>
      <c r="F65" s="6" t="n"/>
      <c r="G65" s="3">
        <f>IF(tblExcepciones[[#This Row],[fecha]]="","",TEXT(tblExcepciones[[#This Row],[fecha]],"yyyy-mm-dd")&amp;"|"&amp;tblExcepciones[[#This Row],[area]]&amp;"|"&amp;tblExcepciones[[#This Row],[sub_area]])</f>
        <v/>
      </c>
      <c r="I65" s="12" t="n">
        <v>46083</v>
      </c>
      <c r="J65" s="3">
        <f>_xlfn.XLOOKUP(TEXT($I65,"yyyy-mm-dd")&amp;"|"&amp;""&amp;"|"&amp;"",tblExcepciones[clave],tblExcepciones[habil],_xlfn.XLOOKUP(TEXT($I65,"yyyy-mm-dd")&amp;"|"&amp;""&amp;"|",tblExcepciones[clave],tblExcepciones[habil],_xlfn.XLOOKUP(TEXT($I65,"yyyy-mm-dd")&amp;"||",tblExcepciones[clave],tblExcepciones[habil],INDEX(patronHabil,WEEKDAY($I65,2)))))</f>
        <v/>
      </c>
    </row>
    <row r="66">
      <c r="A66" s="8" t="n"/>
      <c r="B66" s="6" t="n"/>
      <c r="C66" s="6" t="n"/>
      <c r="D66" s="6" t="n"/>
      <c r="E66" s="6" t="n"/>
      <c r="F66" s="6" t="n"/>
      <c r="G66" s="3">
        <f>IF(tblExcepciones[[#This Row],[fecha]]="","",TEXT(tblExcepciones[[#This Row],[fecha]],"yyyy-mm-dd")&amp;"|"&amp;tblExcepciones[[#This Row],[area]]&amp;"|"&amp;tblExcepciones[[#This Row],[sub_area]])</f>
        <v/>
      </c>
      <c r="I66" s="12" t="n">
        <v>46084</v>
      </c>
      <c r="J66" s="3">
        <f>_xlfn.XLOOKUP(TEXT($I66,"yyyy-mm-dd")&amp;"|"&amp;""&amp;"|"&amp;"",tblExcepciones[clave],tblExcepciones[habil],_xlfn.XLOOKUP(TEXT($I66,"yyyy-mm-dd")&amp;"|"&amp;""&amp;"|",tblExcepciones[clave],tblExcepciones[habil],_xlfn.XLOOKUP(TEXT($I66,"yyyy-mm-dd")&amp;"||",tblExcepciones[clave],tblExcepciones[habil],INDEX(patronHabil,WEEKDAY($I66,2)))))</f>
        <v/>
      </c>
    </row>
    <row r="67">
      <c r="A67" s="8" t="n"/>
      <c r="B67" s="6" t="n"/>
      <c r="C67" s="6" t="n"/>
      <c r="D67" s="6" t="n"/>
      <c r="E67" s="6" t="n"/>
      <c r="F67" s="6" t="n"/>
      <c r="G67" s="3">
        <f>IF(tblExcepciones[[#This Row],[fecha]]="","",TEXT(tblExcepciones[[#This Row],[fecha]],"yyyy-mm-dd")&amp;"|"&amp;tblExcepciones[[#This Row],[area]]&amp;"|"&amp;tblExcepciones[[#This Row],[sub_area]])</f>
        <v/>
      </c>
      <c r="I67" s="12" t="n">
        <v>46085</v>
      </c>
      <c r="J67" s="3">
        <f>_xlfn.XLOOKUP(TEXT($I67,"yyyy-mm-dd")&amp;"|"&amp;""&amp;"|"&amp;"",tblExcepciones[clave],tblExcepciones[habil],_xlfn.XLOOKUP(TEXT($I67,"yyyy-mm-dd")&amp;"|"&amp;""&amp;"|",tblExcepciones[clave],tblExcepciones[habil],_xlfn.XLOOKUP(TEXT($I67,"yyyy-mm-dd")&amp;"||",tblExcepciones[clave],tblExcepciones[habil],INDEX(patronHabil,WEEKDAY($I67,2)))))</f>
        <v/>
      </c>
    </row>
    <row r="68">
      <c r="A68" s="8" t="n"/>
      <c r="B68" s="6" t="n"/>
      <c r="C68" s="6" t="n"/>
      <c r="D68" s="6" t="n"/>
      <c r="E68" s="6" t="n"/>
      <c r="F68" s="6" t="n"/>
      <c r="G68" s="3">
        <f>IF(tblExcepciones[[#This Row],[fecha]]="","",TEXT(tblExcepciones[[#This Row],[fecha]],"yyyy-mm-dd")&amp;"|"&amp;tblExcepciones[[#This Row],[area]]&amp;"|"&amp;tblExcepciones[[#This Row],[sub_area]])</f>
        <v/>
      </c>
      <c r="I68" s="12" t="n">
        <v>46086</v>
      </c>
      <c r="J68" s="3">
        <f>_xlfn.XLOOKUP(TEXT($I68,"yyyy-mm-dd")&amp;"|"&amp;""&amp;"|"&amp;"",tblExcepciones[clave],tblExcepciones[habil],_xlfn.XLOOKUP(TEXT($I68,"yyyy-mm-dd")&amp;"|"&amp;""&amp;"|",tblExcepciones[clave],tblExcepciones[habil],_xlfn.XLOOKUP(TEXT($I68,"yyyy-mm-dd")&amp;"||",tblExcepciones[clave],tblExcepciones[habil],INDEX(patronHabil,WEEKDAY($I68,2)))))</f>
        <v/>
      </c>
    </row>
    <row r="69">
      <c r="A69" s="8" t="n"/>
      <c r="B69" s="6" t="n"/>
      <c r="C69" s="6" t="n"/>
      <c r="D69" s="6" t="n"/>
      <c r="E69" s="6" t="n"/>
      <c r="F69" s="6" t="n"/>
      <c r="G69" s="3">
        <f>IF(tblExcepciones[[#This Row],[fecha]]="","",TEXT(tblExcepciones[[#This Row],[fecha]],"yyyy-mm-dd")&amp;"|"&amp;tblExcepciones[[#This Row],[area]]&amp;"|"&amp;tblExcepciones[[#This Row],[sub_area]])</f>
        <v/>
      </c>
      <c r="I69" s="12" t="n">
        <v>46087</v>
      </c>
      <c r="J69" s="3">
        <f>_xlfn.XLOOKUP(TEXT($I69,"yyyy-mm-dd")&amp;"|"&amp;""&amp;"|"&amp;"",tblExcepciones[clave],tblExcepciones[habil],_xlfn.XLOOKUP(TEXT($I69,"yyyy-mm-dd")&amp;"|"&amp;""&amp;"|",tblExcepciones[clave],tblExcepciones[habil],_xlfn.XLOOKUP(TEXT($I69,"yyyy-mm-dd")&amp;"||",tblExcepciones[clave],tblExcepciones[habil],INDEX(patronHabil,WEEKDAY($I69,2)))))</f>
        <v/>
      </c>
    </row>
    <row r="70">
      <c r="A70" s="8" t="n"/>
      <c r="B70" s="6" t="n"/>
      <c r="C70" s="6" t="n"/>
      <c r="D70" s="6" t="n"/>
      <c r="E70" s="6" t="n"/>
      <c r="F70" s="6" t="n"/>
      <c r="G70" s="3">
        <f>IF(tblExcepciones[[#This Row],[fecha]]="","",TEXT(tblExcepciones[[#This Row],[fecha]],"yyyy-mm-dd")&amp;"|"&amp;tblExcepciones[[#This Row],[area]]&amp;"|"&amp;tblExcepciones[[#This Row],[sub_area]])</f>
        <v/>
      </c>
      <c r="I70" s="12" t="n">
        <v>46088</v>
      </c>
      <c r="J70" s="3">
        <f>_xlfn.XLOOKUP(TEXT($I70,"yyyy-mm-dd")&amp;"|"&amp;""&amp;"|"&amp;"",tblExcepciones[clave],tblExcepciones[habil],_xlfn.XLOOKUP(TEXT($I70,"yyyy-mm-dd")&amp;"|"&amp;""&amp;"|",tblExcepciones[clave],tblExcepciones[habil],_xlfn.XLOOKUP(TEXT($I70,"yyyy-mm-dd")&amp;"||",tblExcepciones[clave],tblExcepciones[habil],INDEX(patronHabil,WEEKDAY($I70,2)))))</f>
        <v/>
      </c>
    </row>
    <row r="71">
      <c r="A71" s="8" t="n"/>
      <c r="B71" s="6" t="n"/>
      <c r="C71" s="6" t="n"/>
      <c r="D71" s="6" t="n"/>
      <c r="E71" s="6" t="n"/>
      <c r="F71" s="6" t="n"/>
      <c r="G71" s="3">
        <f>IF(tblExcepciones[[#This Row],[fecha]]="","",TEXT(tblExcepciones[[#This Row],[fecha]],"yyyy-mm-dd")&amp;"|"&amp;tblExcepciones[[#This Row],[area]]&amp;"|"&amp;tblExcepciones[[#This Row],[sub_area]])</f>
        <v/>
      </c>
      <c r="I71" s="12" t="n">
        <v>46089</v>
      </c>
      <c r="J71" s="3">
        <f>_xlfn.XLOOKUP(TEXT($I71,"yyyy-mm-dd")&amp;"|"&amp;""&amp;"|"&amp;"",tblExcepciones[clave],tblExcepciones[habil],_xlfn.XLOOKUP(TEXT($I71,"yyyy-mm-dd")&amp;"|"&amp;""&amp;"|",tblExcepciones[clave],tblExcepciones[habil],_xlfn.XLOOKUP(TEXT($I71,"yyyy-mm-dd")&amp;"||",tblExcepciones[clave],tblExcepciones[habil],INDEX(patronHabil,WEEKDAY($I71,2)))))</f>
        <v/>
      </c>
    </row>
    <row r="72">
      <c r="A72" s="8" t="n"/>
      <c r="B72" s="6" t="n"/>
      <c r="C72" s="6" t="n"/>
      <c r="D72" s="6" t="n"/>
      <c r="E72" s="6" t="n"/>
      <c r="F72" s="6" t="n"/>
      <c r="G72" s="3">
        <f>IF(tblExcepciones[[#This Row],[fecha]]="","",TEXT(tblExcepciones[[#This Row],[fecha]],"yyyy-mm-dd")&amp;"|"&amp;tblExcepciones[[#This Row],[area]]&amp;"|"&amp;tblExcepciones[[#This Row],[sub_area]])</f>
        <v/>
      </c>
      <c r="I72" s="12" t="n">
        <v>46090</v>
      </c>
      <c r="J72" s="3">
        <f>_xlfn.XLOOKUP(TEXT($I72,"yyyy-mm-dd")&amp;"|"&amp;""&amp;"|"&amp;"",tblExcepciones[clave],tblExcepciones[habil],_xlfn.XLOOKUP(TEXT($I72,"yyyy-mm-dd")&amp;"|"&amp;""&amp;"|",tblExcepciones[clave],tblExcepciones[habil],_xlfn.XLOOKUP(TEXT($I72,"yyyy-mm-dd")&amp;"||",tblExcepciones[clave],tblExcepciones[habil],INDEX(patronHabil,WEEKDAY($I72,2)))))</f>
        <v/>
      </c>
    </row>
    <row r="73">
      <c r="A73" s="8" t="n"/>
      <c r="B73" s="6" t="n"/>
      <c r="C73" s="6" t="n"/>
      <c r="D73" s="6" t="n"/>
      <c r="E73" s="6" t="n"/>
      <c r="F73" s="6" t="n"/>
      <c r="G73" s="3">
        <f>IF(tblExcepciones[[#This Row],[fecha]]="","",TEXT(tblExcepciones[[#This Row],[fecha]],"yyyy-mm-dd")&amp;"|"&amp;tblExcepciones[[#This Row],[area]]&amp;"|"&amp;tblExcepciones[[#This Row],[sub_area]])</f>
        <v/>
      </c>
      <c r="I73" s="12" t="n">
        <v>46091</v>
      </c>
      <c r="J73" s="3">
        <f>_xlfn.XLOOKUP(TEXT($I73,"yyyy-mm-dd")&amp;"|"&amp;""&amp;"|"&amp;"",tblExcepciones[clave],tblExcepciones[habil],_xlfn.XLOOKUP(TEXT($I73,"yyyy-mm-dd")&amp;"|"&amp;""&amp;"|",tblExcepciones[clave],tblExcepciones[habil],_xlfn.XLOOKUP(TEXT($I73,"yyyy-mm-dd")&amp;"||",tblExcepciones[clave],tblExcepciones[habil],INDEX(patronHabil,WEEKDAY($I73,2)))))</f>
        <v/>
      </c>
    </row>
    <row r="74">
      <c r="A74" s="8" t="n"/>
      <c r="B74" s="6" t="n"/>
      <c r="C74" s="6" t="n"/>
      <c r="D74" s="6" t="n"/>
      <c r="E74" s="6" t="n"/>
      <c r="F74" s="6" t="n"/>
      <c r="G74" s="3">
        <f>IF(tblExcepciones[[#This Row],[fecha]]="","",TEXT(tblExcepciones[[#This Row],[fecha]],"yyyy-mm-dd")&amp;"|"&amp;tblExcepciones[[#This Row],[area]]&amp;"|"&amp;tblExcepciones[[#This Row],[sub_area]])</f>
        <v/>
      </c>
      <c r="I74" s="12" t="n">
        <v>46092</v>
      </c>
      <c r="J74" s="3">
        <f>_xlfn.XLOOKUP(TEXT($I74,"yyyy-mm-dd")&amp;"|"&amp;""&amp;"|"&amp;"",tblExcepciones[clave],tblExcepciones[habil],_xlfn.XLOOKUP(TEXT($I74,"yyyy-mm-dd")&amp;"|"&amp;""&amp;"|",tblExcepciones[clave],tblExcepciones[habil],_xlfn.XLOOKUP(TEXT($I74,"yyyy-mm-dd")&amp;"||",tblExcepciones[clave],tblExcepciones[habil],INDEX(patronHabil,WEEKDAY($I74,2)))))</f>
        <v/>
      </c>
    </row>
    <row r="75">
      <c r="A75" s="8" t="n"/>
      <c r="B75" s="6" t="n"/>
      <c r="C75" s="6" t="n"/>
      <c r="D75" s="6" t="n"/>
      <c r="E75" s="6" t="n"/>
      <c r="F75" s="6" t="n"/>
      <c r="G75" s="3">
        <f>IF(tblExcepciones[[#This Row],[fecha]]="","",TEXT(tblExcepciones[[#This Row],[fecha]],"yyyy-mm-dd")&amp;"|"&amp;tblExcepciones[[#This Row],[area]]&amp;"|"&amp;tblExcepciones[[#This Row],[sub_area]])</f>
        <v/>
      </c>
      <c r="I75" s="12" t="n">
        <v>46093</v>
      </c>
      <c r="J75" s="3">
        <f>_xlfn.XLOOKUP(TEXT($I75,"yyyy-mm-dd")&amp;"|"&amp;""&amp;"|"&amp;"",tblExcepciones[clave],tblExcepciones[habil],_xlfn.XLOOKUP(TEXT($I75,"yyyy-mm-dd")&amp;"|"&amp;""&amp;"|",tblExcepciones[clave],tblExcepciones[habil],_xlfn.XLOOKUP(TEXT($I75,"yyyy-mm-dd")&amp;"||",tblExcepciones[clave],tblExcepciones[habil],INDEX(patronHabil,WEEKDAY($I75,2)))))</f>
        <v/>
      </c>
    </row>
    <row r="76">
      <c r="A76" s="8" t="n"/>
      <c r="B76" s="6" t="n"/>
      <c r="C76" s="6" t="n"/>
      <c r="D76" s="6" t="n"/>
      <c r="E76" s="6" t="n"/>
      <c r="F76" s="6" t="n"/>
      <c r="G76" s="3">
        <f>IF(tblExcepciones[[#This Row],[fecha]]="","",TEXT(tblExcepciones[[#This Row],[fecha]],"yyyy-mm-dd")&amp;"|"&amp;tblExcepciones[[#This Row],[area]]&amp;"|"&amp;tblExcepciones[[#This Row],[sub_area]])</f>
        <v/>
      </c>
      <c r="I76" s="12" t="n">
        <v>46094</v>
      </c>
      <c r="J76" s="3">
        <f>_xlfn.XLOOKUP(TEXT($I76,"yyyy-mm-dd")&amp;"|"&amp;""&amp;"|"&amp;"",tblExcepciones[clave],tblExcepciones[habil],_xlfn.XLOOKUP(TEXT($I76,"yyyy-mm-dd")&amp;"|"&amp;""&amp;"|",tblExcepciones[clave],tblExcepciones[habil],_xlfn.XLOOKUP(TEXT($I76,"yyyy-mm-dd")&amp;"||",tblExcepciones[clave],tblExcepciones[habil],INDEX(patronHabil,WEEKDAY($I76,2)))))</f>
        <v/>
      </c>
    </row>
    <row r="77">
      <c r="A77" s="8" t="n"/>
      <c r="B77" s="6" t="n"/>
      <c r="C77" s="6" t="n"/>
      <c r="D77" s="6" t="n"/>
      <c r="E77" s="6" t="n"/>
      <c r="F77" s="6" t="n"/>
      <c r="G77" s="3">
        <f>IF(tblExcepciones[[#This Row],[fecha]]="","",TEXT(tblExcepciones[[#This Row],[fecha]],"yyyy-mm-dd")&amp;"|"&amp;tblExcepciones[[#This Row],[area]]&amp;"|"&amp;tblExcepciones[[#This Row],[sub_area]])</f>
        <v/>
      </c>
      <c r="I77" s="12" t="n">
        <v>46095</v>
      </c>
      <c r="J77" s="3">
        <f>_xlfn.XLOOKUP(TEXT($I77,"yyyy-mm-dd")&amp;"|"&amp;""&amp;"|"&amp;"",tblExcepciones[clave],tblExcepciones[habil],_xlfn.XLOOKUP(TEXT($I77,"yyyy-mm-dd")&amp;"|"&amp;""&amp;"|",tblExcepciones[clave],tblExcepciones[habil],_xlfn.XLOOKUP(TEXT($I77,"yyyy-mm-dd")&amp;"||",tblExcepciones[clave],tblExcepciones[habil],INDEX(patronHabil,WEEKDAY($I77,2)))))</f>
        <v/>
      </c>
    </row>
    <row r="78">
      <c r="A78" s="8" t="n"/>
      <c r="B78" s="6" t="n"/>
      <c r="C78" s="6" t="n"/>
      <c r="D78" s="6" t="n"/>
      <c r="E78" s="6" t="n"/>
      <c r="F78" s="6" t="n"/>
      <c r="G78" s="3">
        <f>IF(tblExcepciones[[#This Row],[fecha]]="","",TEXT(tblExcepciones[[#This Row],[fecha]],"yyyy-mm-dd")&amp;"|"&amp;tblExcepciones[[#This Row],[area]]&amp;"|"&amp;tblExcepciones[[#This Row],[sub_area]])</f>
        <v/>
      </c>
      <c r="I78" s="12" t="n">
        <v>46096</v>
      </c>
      <c r="J78" s="3">
        <f>_xlfn.XLOOKUP(TEXT($I78,"yyyy-mm-dd")&amp;"|"&amp;""&amp;"|"&amp;"",tblExcepciones[clave],tblExcepciones[habil],_xlfn.XLOOKUP(TEXT($I78,"yyyy-mm-dd")&amp;"|"&amp;""&amp;"|",tblExcepciones[clave],tblExcepciones[habil],_xlfn.XLOOKUP(TEXT($I78,"yyyy-mm-dd")&amp;"||",tblExcepciones[clave],tblExcepciones[habil],INDEX(patronHabil,WEEKDAY($I78,2)))))</f>
        <v/>
      </c>
    </row>
    <row r="79">
      <c r="A79" s="8" t="n"/>
      <c r="B79" s="6" t="n"/>
      <c r="C79" s="6" t="n"/>
      <c r="D79" s="6" t="n"/>
      <c r="E79" s="6" t="n"/>
      <c r="F79" s="6" t="n"/>
      <c r="G79" s="3">
        <f>IF(tblExcepciones[[#This Row],[fecha]]="","",TEXT(tblExcepciones[[#This Row],[fecha]],"yyyy-mm-dd")&amp;"|"&amp;tblExcepciones[[#This Row],[area]]&amp;"|"&amp;tblExcepciones[[#This Row],[sub_area]])</f>
        <v/>
      </c>
      <c r="I79" s="12" t="n">
        <v>46097</v>
      </c>
      <c r="J79" s="3">
        <f>_xlfn.XLOOKUP(TEXT($I79,"yyyy-mm-dd")&amp;"|"&amp;""&amp;"|"&amp;"",tblExcepciones[clave],tblExcepciones[habil],_xlfn.XLOOKUP(TEXT($I79,"yyyy-mm-dd")&amp;"|"&amp;""&amp;"|",tblExcepciones[clave],tblExcepciones[habil],_xlfn.XLOOKUP(TEXT($I79,"yyyy-mm-dd")&amp;"||",tblExcepciones[clave],tblExcepciones[habil],INDEX(patronHabil,WEEKDAY($I79,2)))))</f>
        <v/>
      </c>
    </row>
    <row r="80">
      <c r="A80" s="8" t="n"/>
      <c r="B80" s="6" t="n"/>
      <c r="C80" s="6" t="n"/>
      <c r="D80" s="6" t="n"/>
      <c r="E80" s="6" t="n"/>
      <c r="F80" s="6" t="n"/>
      <c r="G80" s="3">
        <f>IF(tblExcepciones[[#This Row],[fecha]]="","",TEXT(tblExcepciones[[#This Row],[fecha]],"yyyy-mm-dd")&amp;"|"&amp;tblExcepciones[[#This Row],[area]]&amp;"|"&amp;tblExcepciones[[#This Row],[sub_area]])</f>
        <v/>
      </c>
      <c r="I80" s="12" t="n">
        <v>46098</v>
      </c>
      <c r="J80" s="3">
        <f>_xlfn.XLOOKUP(TEXT($I80,"yyyy-mm-dd")&amp;"|"&amp;""&amp;"|"&amp;"",tblExcepciones[clave],tblExcepciones[habil],_xlfn.XLOOKUP(TEXT($I80,"yyyy-mm-dd")&amp;"|"&amp;""&amp;"|",tblExcepciones[clave],tblExcepciones[habil],_xlfn.XLOOKUP(TEXT($I80,"yyyy-mm-dd")&amp;"||",tblExcepciones[clave],tblExcepciones[habil],INDEX(patronHabil,WEEKDAY($I80,2)))))</f>
        <v/>
      </c>
    </row>
    <row r="81">
      <c r="A81" s="8" t="n"/>
      <c r="B81" s="6" t="n"/>
      <c r="C81" s="6" t="n"/>
      <c r="D81" s="6" t="n"/>
      <c r="E81" s="6" t="n"/>
      <c r="F81" s="6" t="n"/>
      <c r="G81" s="3">
        <f>IF(tblExcepciones[[#This Row],[fecha]]="","",TEXT(tblExcepciones[[#This Row],[fecha]],"yyyy-mm-dd")&amp;"|"&amp;tblExcepciones[[#This Row],[area]]&amp;"|"&amp;tblExcepciones[[#This Row],[sub_area]])</f>
        <v/>
      </c>
      <c r="I81" s="12" t="n">
        <v>46099</v>
      </c>
      <c r="J81" s="3">
        <f>_xlfn.XLOOKUP(TEXT($I81,"yyyy-mm-dd")&amp;"|"&amp;""&amp;"|"&amp;"",tblExcepciones[clave],tblExcepciones[habil],_xlfn.XLOOKUP(TEXT($I81,"yyyy-mm-dd")&amp;"|"&amp;""&amp;"|",tblExcepciones[clave],tblExcepciones[habil],_xlfn.XLOOKUP(TEXT($I81,"yyyy-mm-dd")&amp;"||",tblExcepciones[clave],tblExcepciones[habil],INDEX(patronHabil,WEEKDAY($I81,2)))))</f>
        <v/>
      </c>
    </row>
    <row r="82">
      <c r="A82" s="8" t="n"/>
      <c r="B82" s="6" t="n"/>
      <c r="C82" s="6" t="n"/>
      <c r="D82" s="6" t="n"/>
      <c r="E82" s="6" t="n"/>
      <c r="F82" s="6" t="n"/>
      <c r="G82" s="3">
        <f>IF(tblExcepciones[[#This Row],[fecha]]="","",TEXT(tblExcepciones[[#This Row],[fecha]],"yyyy-mm-dd")&amp;"|"&amp;tblExcepciones[[#This Row],[area]]&amp;"|"&amp;tblExcepciones[[#This Row],[sub_area]])</f>
        <v/>
      </c>
      <c r="I82" s="12" t="n">
        <v>46100</v>
      </c>
      <c r="J82" s="3">
        <f>_xlfn.XLOOKUP(TEXT($I82,"yyyy-mm-dd")&amp;"|"&amp;""&amp;"|"&amp;"",tblExcepciones[clave],tblExcepciones[habil],_xlfn.XLOOKUP(TEXT($I82,"yyyy-mm-dd")&amp;"|"&amp;""&amp;"|",tblExcepciones[clave],tblExcepciones[habil],_xlfn.XLOOKUP(TEXT($I82,"yyyy-mm-dd")&amp;"||",tblExcepciones[clave],tblExcepciones[habil],INDEX(patronHabil,WEEKDAY($I82,2)))))</f>
        <v/>
      </c>
    </row>
    <row r="83">
      <c r="A83" s="8" t="n"/>
      <c r="B83" s="6" t="n"/>
      <c r="C83" s="6" t="n"/>
      <c r="D83" s="6" t="n"/>
      <c r="E83" s="6" t="n"/>
      <c r="F83" s="6" t="n"/>
      <c r="G83" s="3">
        <f>IF(tblExcepciones[[#This Row],[fecha]]="","",TEXT(tblExcepciones[[#This Row],[fecha]],"yyyy-mm-dd")&amp;"|"&amp;tblExcepciones[[#This Row],[area]]&amp;"|"&amp;tblExcepciones[[#This Row],[sub_area]])</f>
        <v/>
      </c>
      <c r="I83" s="12" t="n">
        <v>46101</v>
      </c>
      <c r="J83" s="3">
        <f>_xlfn.XLOOKUP(TEXT($I83,"yyyy-mm-dd")&amp;"|"&amp;""&amp;"|"&amp;"",tblExcepciones[clave],tblExcepciones[habil],_xlfn.XLOOKUP(TEXT($I83,"yyyy-mm-dd")&amp;"|"&amp;""&amp;"|",tblExcepciones[clave],tblExcepciones[habil],_xlfn.XLOOKUP(TEXT($I83,"yyyy-mm-dd")&amp;"||",tblExcepciones[clave],tblExcepciones[habil],INDEX(patronHabil,WEEKDAY($I83,2)))))</f>
        <v/>
      </c>
    </row>
    <row r="84">
      <c r="A84" s="8" t="n"/>
      <c r="B84" s="6" t="n"/>
      <c r="C84" s="6" t="n"/>
      <c r="D84" s="6" t="n"/>
      <c r="E84" s="6" t="n"/>
      <c r="F84" s="6" t="n"/>
      <c r="G84" s="3">
        <f>IF(tblExcepciones[[#This Row],[fecha]]="","",TEXT(tblExcepciones[[#This Row],[fecha]],"yyyy-mm-dd")&amp;"|"&amp;tblExcepciones[[#This Row],[area]]&amp;"|"&amp;tblExcepciones[[#This Row],[sub_area]])</f>
        <v/>
      </c>
      <c r="I84" s="12" t="n">
        <v>46102</v>
      </c>
      <c r="J84" s="3">
        <f>_xlfn.XLOOKUP(TEXT($I84,"yyyy-mm-dd")&amp;"|"&amp;""&amp;"|"&amp;"",tblExcepciones[clave],tblExcepciones[habil],_xlfn.XLOOKUP(TEXT($I84,"yyyy-mm-dd")&amp;"|"&amp;""&amp;"|",tblExcepciones[clave],tblExcepciones[habil],_xlfn.XLOOKUP(TEXT($I84,"yyyy-mm-dd")&amp;"||",tblExcepciones[clave],tblExcepciones[habil],INDEX(patronHabil,WEEKDAY($I84,2)))))</f>
        <v/>
      </c>
    </row>
    <row r="85">
      <c r="A85" s="8" t="n"/>
      <c r="B85" s="6" t="n"/>
      <c r="C85" s="6" t="n"/>
      <c r="D85" s="6" t="n"/>
      <c r="E85" s="6" t="n"/>
      <c r="F85" s="6" t="n"/>
      <c r="G85" s="3">
        <f>IF(tblExcepciones[[#This Row],[fecha]]="","",TEXT(tblExcepciones[[#This Row],[fecha]],"yyyy-mm-dd")&amp;"|"&amp;tblExcepciones[[#This Row],[area]]&amp;"|"&amp;tblExcepciones[[#This Row],[sub_area]])</f>
        <v/>
      </c>
      <c r="I85" s="12" t="n">
        <v>46103</v>
      </c>
      <c r="J85" s="3">
        <f>_xlfn.XLOOKUP(TEXT($I85,"yyyy-mm-dd")&amp;"|"&amp;""&amp;"|"&amp;"",tblExcepciones[clave],tblExcepciones[habil],_xlfn.XLOOKUP(TEXT($I85,"yyyy-mm-dd")&amp;"|"&amp;""&amp;"|",tblExcepciones[clave],tblExcepciones[habil],_xlfn.XLOOKUP(TEXT($I85,"yyyy-mm-dd")&amp;"||",tblExcepciones[clave],tblExcepciones[habil],INDEX(patronHabil,WEEKDAY($I85,2)))))</f>
        <v/>
      </c>
    </row>
    <row r="86">
      <c r="A86" s="8" t="n"/>
      <c r="B86" s="6" t="n"/>
      <c r="C86" s="6" t="n"/>
      <c r="D86" s="6" t="n"/>
      <c r="E86" s="6" t="n"/>
      <c r="F86" s="6" t="n"/>
      <c r="G86" s="3">
        <f>IF(tblExcepciones[[#This Row],[fecha]]="","",TEXT(tblExcepciones[[#This Row],[fecha]],"yyyy-mm-dd")&amp;"|"&amp;tblExcepciones[[#This Row],[area]]&amp;"|"&amp;tblExcepciones[[#This Row],[sub_area]])</f>
        <v/>
      </c>
      <c r="I86" s="12" t="n">
        <v>46104</v>
      </c>
      <c r="J86" s="3">
        <f>_xlfn.XLOOKUP(TEXT($I86,"yyyy-mm-dd")&amp;"|"&amp;""&amp;"|"&amp;"",tblExcepciones[clave],tblExcepciones[habil],_xlfn.XLOOKUP(TEXT($I86,"yyyy-mm-dd")&amp;"|"&amp;""&amp;"|",tblExcepciones[clave],tblExcepciones[habil],_xlfn.XLOOKUP(TEXT($I86,"yyyy-mm-dd")&amp;"||",tblExcepciones[clave],tblExcepciones[habil],INDEX(patronHabil,WEEKDAY($I86,2)))))</f>
        <v/>
      </c>
    </row>
    <row r="87">
      <c r="A87" s="8" t="n"/>
      <c r="B87" s="6" t="n"/>
      <c r="C87" s="6" t="n"/>
      <c r="D87" s="6" t="n"/>
      <c r="E87" s="6" t="n"/>
      <c r="F87" s="6" t="n"/>
      <c r="G87" s="3">
        <f>IF(tblExcepciones[[#This Row],[fecha]]="","",TEXT(tblExcepciones[[#This Row],[fecha]],"yyyy-mm-dd")&amp;"|"&amp;tblExcepciones[[#This Row],[area]]&amp;"|"&amp;tblExcepciones[[#This Row],[sub_area]])</f>
        <v/>
      </c>
      <c r="I87" s="12" t="n">
        <v>46105</v>
      </c>
      <c r="J87" s="3">
        <f>_xlfn.XLOOKUP(TEXT($I87,"yyyy-mm-dd")&amp;"|"&amp;""&amp;"|"&amp;"",tblExcepciones[clave],tblExcepciones[habil],_xlfn.XLOOKUP(TEXT($I87,"yyyy-mm-dd")&amp;"|"&amp;""&amp;"|",tblExcepciones[clave],tblExcepciones[habil],_xlfn.XLOOKUP(TEXT($I87,"yyyy-mm-dd")&amp;"||",tblExcepciones[clave],tblExcepciones[habil],INDEX(patronHabil,WEEKDAY($I87,2)))))</f>
        <v/>
      </c>
    </row>
    <row r="88">
      <c r="A88" s="8" t="n"/>
      <c r="B88" s="6" t="n"/>
      <c r="C88" s="6" t="n"/>
      <c r="D88" s="6" t="n"/>
      <c r="E88" s="6" t="n"/>
      <c r="F88" s="6" t="n"/>
      <c r="G88" s="3">
        <f>IF(tblExcepciones[[#This Row],[fecha]]="","",TEXT(tblExcepciones[[#This Row],[fecha]],"yyyy-mm-dd")&amp;"|"&amp;tblExcepciones[[#This Row],[area]]&amp;"|"&amp;tblExcepciones[[#This Row],[sub_area]])</f>
        <v/>
      </c>
      <c r="I88" s="12" t="n">
        <v>46106</v>
      </c>
      <c r="J88" s="3">
        <f>_xlfn.XLOOKUP(TEXT($I88,"yyyy-mm-dd")&amp;"|"&amp;""&amp;"|"&amp;"",tblExcepciones[clave],tblExcepciones[habil],_xlfn.XLOOKUP(TEXT($I88,"yyyy-mm-dd")&amp;"|"&amp;""&amp;"|",tblExcepciones[clave],tblExcepciones[habil],_xlfn.XLOOKUP(TEXT($I88,"yyyy-mm-dd")&amp;"||",tblExcepciones[clave],tblExcepciones[habil],INDEX(patronHabil,WEEKDAY($I88,2)))))</f>
        <v/>
      </c>
    </row>
    <row r="89">
      <c r="A89" s="8" t="n"/>
      <c r="B89" s="6" t="n"/>
      <c r="C89" s="6" t="n"/>
      <c r="D89" s="6" t="n"/>
      <c r="E89" s="6" t="n"/>
      <c r="F89" s="6" t="n"/>
      <c r="G89" s="3">
        <f>IF(tblExcepciones[[#This Row],[fecha]]="","",TEXT(tblExcepciones[[#This Row],[fecha]],"yyyy-mm-dd")&amp;"|"&amp;tblExcepciones[[#This Row],[area]]&amp;"|"&amp;tblExcepciones[[#This Row],[sub_area]])</f>
        <v/>
      </c>
      <c r="I89" s="12" t="n">
        <v>46107</v>
      </c>
      <c r="J89" s="3">
        <f>_xlfn.XLOOKUP(TEXT($I89,"yyyy-mm-dd")&amp;"|"&amp;""&amp;"|"&amp;"",tblExcepciones[clave],tblExcepciones[habil],_xlfn.XLOOKUP(TEXT($I89,"yyyy-mm-dd")&amp;"|"&amp;""&amp;"|",tblExcepciones[clave],tblExcepciones[habil],_xlfn.XLOOKUP(TEXT($I89,"yyyy-mm-dd")&amp;"||",tblExcepciones[clave],tblExcepciones[habil],INDEX(patronHabil,WEEKDAY($I89,2)))))</f>
        <v/>
      </c>
    </row>
    <row r="90">
      <c r="A90" s="8" t="n"/>
      <c r="B90" s="6" t="n"/>
      <c r="C90" s="6" t="n"/>
      <c r="D90" s="6" t="n"/>
      <c r="E90" s="6" t="n"/>
      <c r="F90" s="6" t="n"/>
      <c r="G90" s="3">
        <f>IF(tblExcepciones[[#This Row],[fecha]]="","",TEXT(tblExcepciones[[#This Row],[fecha]],"yyyy-mm-dd")&amp;"|"&amp;tblExcepciones[[#This Row],[area]]&amp;"|"&amp;tblExcepciones[[#This Row],[sub_area]])</f>
        <v/>
      </c>
      <c r="I90" s="12" t="n">
        <v>46108</v>
      </c>
      <c r="J90" s="3">
        <f>_xlfn.XLOOKUP(TEXT($I90,"yyyy-mm-dd")&amp;"|"&amp;""&amp;"|"&amp;"",tblExcepciones[clave],tblExcepciones[habil],_xlfn.XLOOKUP(TEXT($I90,"yyyy-mm-dd")&amp;"|"&amp;""&amp;"|",tblExcepciones[clave],tblExcepciones[habil],_xlfn.XLOOKUP(TEXT($I90,"yyyy-mm-dd")&amp;"||",tblExcepciones[clave],tblExcepciones[habil],INDEX(patronHabil,WEEKDAY($I90,2)))))</f>
        <v/>
      </c>
    </row>
    <row r="91">
      <c r="A91" s="8" t="n"/>
      <c r="B91" s="6" t="n"/>
      <c r="C91" s="6" t="n"/>
      <c r="D91" s="6" t="n"/>
      <c r="E91" s="6" t="n"/>
      <c r="F91" s="6" t="n"/>
      <c r="G91" s="3">
        <f>IF(tblExcepciones[[#This Row],[fecha]]="","",TEXT(tblExcepciones[[#This Row],[fecha]],"yyyy-mm-dd")&amp;"|"&amp;tblExcepciones[[#This Row],[area]]&amp;"|"&amp;tblExcepciones[[#This Row],[sub_area]])</f>
        <v/>
      </c>
      <c r="I91" s="12" t="n">
        <v>46109</v>
      </c>
      <c r="J91" s="3">
        <f>_xlfn.XLOOKUP(TEXT($I91,"yyyy-mm-dd")&amp;"|"&amp;""&amp;"|"&amp;"",tblExcepciones[clave],tblExcepciones[habil],_xlfn.XLOOKUP(TEXT($I91,"yyyy-mm-dd")&amp;"|"&amp;""&amp;"|",tblExcepciones[clave],tblExcepciones[habil],_xlfn.XLOOKUP(TEXT($I91,"yyyy-mm-dd")&amp;"||",tblExcepciones[clave],tblExcepciones[habil],INDEX(patronHabil,WEEKDAY($I91,2)))))</f>
        <v/>
      </c>
    </row>
    <row r="92">
      <c r="A92" s="8" t="n"/>
      <c r="B92" s="6" t="n"/>
      <c r="C92" s="6" t="n"/>
      <c r="D92" s="6" t="n"/>
      <c r="E92" s="6" t="n"/>
      <c r="F92" s="6" t="n"/>
      <c r="G92" s="3">
        <f>IF(tblExcepciones[[#This Row],[fecha]]="","",TEXT(tblExcepciones[[#This Row],[fecha]],"yyyy-mm-dd")&amp;"|"&amp;tblExcepciones[[#This Row],[area]]&amp;"|"&amp;tblExcepciones[[#This Row],[sub_area]])</f>
        <v/>
      </c>
      <c r="I92" s="12" t="n">
        <v>46110</v>
      </c>
      <c r="J92" s="3">
        <f>_xlfn.XLOOKUP(TEXT($I92,"yyyy-mm-dd")&amp;"|"&amp;""&amp;"|"&amp;"",tblExcepciones[clave],tblExcepciones[habil],_xlfn.XLOOKUP(TEXT($I92,"yyyy-mm-dd")&amp;"|"&amp;""&amp;"|",tblExcepciones[clave],tblExcepciones[habil],_xlfn.XLOOKUP(TEXT($I92,"yyyy-mm-dd")&amp;"||",tblExcepciones[clave],tblExcepciones[habil],INDEX(patronHabil,WEEKDAY($I92,2)))))</f>
        <v/>
      </c>
    </row>
    <row r="93">
      <c r="A93" s="8" t="n"/>
      <c r="B93" s="6" t="n"/>
      <c r="C93" s="6" t="n"/>
      <c r="D93" s="6" t="n"/>
      <c r="E93" s="6" t="n"/>
      <c r="F93" s="6" t="n"/>
      <c r="G93" s="3">
        <f>IF(tblExcepciones[[#This Row],[fecha]]="","",TEXT(tblExcepciones[[#This Row],[fecha]],"yyyy-mm-dd")&amp;"|"&amp;tblExcepciones[[#This Row],[area]]&amp;"|"&amp;tblExcepciones[[#This Row],[sub_area]])</f>
        <v/>
      </c>
      <c r="I93" s="12" t="n">
        <v>46111</v>
      </c>
      <c r="J93" s="3">
        <f>_xlfn.XLOOKUP(TEXT($I93,"yyyy-mm-dd")&amp;"|"&amp;""&amp;"|"&amp;"",tblExcepciones[clave],tblExcepciones[habil],_xlfn.XLOOKUP(TEXT($I93,"yyyy-mm-dd")&amp;"|"&amp;""&amp;"|",tblExcepciones[clave],tblExcepciones[habil],_xlfn.XLOOKUP(TEXT($I93,"yyyy-mm-dd")&amp;"||",tblExcepciones[clave],tblExcepciones[habil],INDEX(patronHabil,WEEKDAY($I93,2)))))</f>
        <v/>
      </c>
    </row>
    <row r="94">
      <c r="A94" s="8" t="n"/>
      <c r="B94" s="6" t="n"/>
      <c r="C94" s="6" t="n"/>
      <c r="D94" s="6" t="n"/>
      <c r="E94" s="6" t="n"/>
      <c r="F94" s="6" t="n"/>
      <c r="G94" s="3">
        <f>IF(tblExcepciones[[#This Row],[fecha]]="","",TEXT(tblExcepciones[[#This Row],[fecha]],"yyyy-mm-dd")&amp;"|"&amp;tblExcepciones[[#This Row],[area]]&amp;"|"&amp;tblExcepciones[[#This Row],[sub_area]])</f>
        <v/>
      </c>
      <c r="I94" s="12" t="n">
        <v>46112</v>
      </c>
      <c r="J94" s="3">
        <f>_xlfn.XLOOKUP(TEXT($I94,"yyyy-mm-dd")&amp;"|"&amp;""&amp;"|"&amp;"",tblExcepciones[clave],tblExcepciones[habil],_xlfn.XLOOKUP(TEXT($I94,"yyyy-mm-dd")&amp;"|"&amp;""&amp;"|",tblExcepciones[clave],tblExcepciones[habil],_xlfn.XLOOKUP(TEXT($I94,"yyyy-mm-dd")&amp;"||",tblExcepciones[clave],tblExcepciones[habil],INDEX(patronHabil,WEEKDAY($I94,2)))))</f>
        <v/>
      </c>
    </row>
    <row r="95">
      <c r="A95" s="8" t="n"/>
      <c r="B95" s="6" t="n"/>
      <c r="C95" s="6" t="n"/>
      <c r="D95" s="6" t="n"/>
      <c r="E95" s="6" t="n"/>
      <c r="F95" s="6" t="n"/>
      <c r="G95" s="3">
        <f>IF(tblExcepciones[[#This Row],[fecha]]="","",TEXT(tblExcepciones[[#This Row],[fecha]],"yyyy-mm-dd")&amp;"|"&amp;tblExcepciones[[#This Row],[area]]&amp;"|"&amp;tblExcepciones[[#This Row],[sub_area]])</f>
        <v/>
      </c>
      <c r="I95" s="12" t="n">
        <v>46113</v>
      </c>
      <c r="J95" s="3">
        <f>_xlfn.XLOOKUP(TEXT($I95,"yyyy-mm-dd")&amp;"|"&amp;""&amp;"|"&amp;"",tblExcepciones[clave],tblExcepciones[habil],_xlfn.XLOOKUP(TEXT($I95,"yyyy-mm-dd")&amp;"|"&amp;""&amp;"|",tblExcepciones[clave],tblExcepciones[habil],_xlfn.XLOOKUP(TEXT($I95,"yyyy-mm-dd")&amp;"||",tblExcepciones[clave],tblExcepciones[habil],INDEX(patronHabil,WEEKDAY($I95,2)))))</f>
        <v/>
      </c>
    </row>
    <row r="96">
      <c r="A96" s="8" t="n"/>
      <c r="B96" s="6" t="n"/>
      <c r="C96" s="6" t="n"/>
      <c r="D96" s="6" t="n"/>
      <c r="E96" s="6" t="n"/>
      <c r="F96" s="6" t="n"/>
      <c r="G96" s="3">
        <f>IF(tblExcepciones[[#This Row],[fecha]]="","",TEXT(tblExcepciones[[#This Row],[fecha]],"yyyy-mm-dd")&amp;"|"&amp;tblExcepciones[[#This Row],[area]]&amp;"|"&amp;tblExcepciones[[#This Row],[sub_area]])</f>
        <v/>
      </c>
      <c r="I96" s="12" t="n">
        <v>46114</v>
      </c>
      <c r="J96" s="3">
        <f>_xlfn.XLOOKUP(TEXT($I96,"yyyy-mm-dd")&amp;"|"&amp;""&amp;"|"&amp;"",tblExcepciones[clave],tblExcepciones[habil],_xlfn.XLOOKUP(TEXT($I96,"yyyy-mm-dd")&amp;"|"&amp;""&amp;"|",tblExcepciones[clave],tblExcepciones[habil],_xlfn.XLOOKUP(TEXT($I96,"yyyy-mm-dd")&amp;"||",tblExcepciones[clave],tblExcepciones[habil],INDEX(patronHabil,WEEKDAY($I96,2)))))</f>
        <v/>
      </c>
    </row>
    <row r="97">
      <c r="A97" s="8" t="n"/>
      <c r="B97" s="6" t="n"/>
      <c r="C97" s="6" t="n"/>
      <c r="D97" s="6" t="n"/>
      <c r="E97" s="6" t="n"/>
      <c r="F97" s="6" t="n"/>
      <c r="G97" s="3">
        <f>IF(tblExcepciones[[#This Row],[fecha]]="","",TEXT(tblExcepciones[[#This Row],[fecha]],"yyyy-mm-dd")&amp;"|"&amp;tblExcepciones[[#This Row],[area]]&amp;"|"&amp;tblExcepciones[[#This Row],[sub_area]])</f>
        <v/>
      </c>
      <c r="I97" s="12" t="n">
        <v>46115</v>
      </c>
      <c r="J97" s="3">
        <f>_xlfn.XLOOKUP(TEXT($I97,"yyyy-mm-dd")&amp;"|"&amp;""&amp;"|"&amp;"",tblExcepciones[clave],tblExcepciones[habil],_xlfn.XLOOKUP(TEXT($I97,"yyyy-mm-dd")&amp;"|"&amp;""&amp;"|",tblExcepciones[clave],tblExcepciones[habil],_xlfn.XLOOKUP(TEXT($I97,"yyyy-mm-dd")&amp;"||",tblExcepciones[clave],tblExcepciones[habil],INDEX(patronHabil,WEEKDAY($I97,2)))))</f>
        <v/>
      </c>
    </row>
    <row r="98">
      <c r="A98" s="8" t="n"/>
      <c r="B98" s="6" t="n"/>
      <c r="C98" s="6" t="n"/>
      <c r="D98" s="6" t="n"/>
      <c r="E98" s="6" t="n"/>
      <c r="F98" s="6" t="n"/>
      <c r="G98" s="3">
        <f>IF(tblExcepciones[[#This Row],[fecha]]="","",TEXT(tblExcepciones[[#This Row],[fecha]],"yyyy-mm-dd")&amp;"|"&amp;tblExcepciones[[#This Row],[area]]&amp;"|"&amp;tblExcepciones[[#This Row],[sub_area]])</f>
        <v/>
      </c>
      <c r="I98" s="12" t="n">
        <v>46116</v>
      </c>
      <c r="J98" s="3">
        <f>_xlfn.XLOOKUP(TEXT($I98,"yyyy-mm-dd")&amp;"|"&amp;""&amp;"|"&amp;"",tblExcepciones[clave],tblExcepciones[habil],_xlfn.XLOOKUP(TEXT($I98,"yyyy-mm-dd")&amp;"|"&amp;""&amp;"|",tblExcepciones[clave],tblExcepciones[habil],_xlfn.XLOOKUP(TEXT($I98,"yyyy-mm-dd")&amp;"||",tblExcepciones[clave],tblExcepciones[habil],INDEX(patronHabil,WEEKDAY($I98,2)))))</f>
        <v/>
      </c>
    </row>
    <row r="99">
      <c r="A99" s="8" t="n"/>
      <c r="B99" s="6" t="n"/>
      <c r="C99" s="6" t="n"/>
      <c r="D99" s="6" t="n"/>
      <c r="E99" s="6" t="n"/>
      <c r="F99" s="6" t="n"/>
      <c r="G99" s="3">
        <f>IF(tblExcepciones[[#This Row],[fecha]]="","",TEXT(tblExcepciones[[#This Row],[fecha]],"yyyy-mm-dd")&amp;"|"&amp;tblExcepciones[[#This Row],[area]]&amp;"|"&amp;tblExcepciones[[#This Row],[sub_area]])</f>
        <v/>
      </c>
      <c r="I99" s="12" t="n">
        <v>46117</v>
      </c>
      <c r="J99" s="3">
        <f>_xlfn.XLOOKUP(TEXT($I99,"yyyy-mm-dd")&amp;"|"&amp;""&amp;"|"&amp;"",tblExcepciones[clave],tblExcepciones[habil],_xlfn.XLOOKUP(TEXT($I99,"yyyy-mm-dd")&amp;"|"&amp;""&amp;"|",tblExcepciones[clave],tblExcepciones[habil],_xlfn.XLOOKUP(TEXT($I99,"yyyy-mm-dd")&amp;"||",tblExcepciones[clave],tblExcepciones[habil],INDEX(patronHabil,WEEKDAY($I99,2)))))</f>
        <v/>
      </c>
    </row>
    <row r="100">
      <c r="A100" s="8" t="n"/>
      <c r="B100" s="6" t="n"/>
      <c r="C100" s="6" t="n"/>
      <c r="D100" s="6" t="n"/>
      <c r="E100" s="6" t="n"/>
      <c r="F100" s="6" t="n"/>
      <c r="G100" s="3">
        <f>IF(tblExcepciones[[#This Row],[fecha]]="","",TEXT(tblExcepciones[[#This Row],[fecha]],"yyyy-mm-dd")&amp;"|"&amp;tblExcepciones[[#This Row],[area]]&amp;"|"&amp;tblExcepciones[[#This Row],[sub_area]])</f>
        <v/>
      </c>
      <c r="I100" s="12" t="n">
        <v>46118</v>
      </c>
      <c r="J100" s="3">
        <f>_xlfn.XLOOKUP(TEXT($I100,"yyyy-mm-dd")&amp;"|"&amp;""&amp;"|"&amp;"",tblExcepciones[clave],tblExcepciones[habil],_xlfn.XLOOKUP(TEXT($I100,"yyyy-mm-dd")&amp;"|"&amp;""&amp;"|",tblExcepciones[clave],tblExcepciones[habil],_xlfn.XLOOKUP(TEXT($I100,"yyyy-mm-dd")&amp;"||",tblExcepciones[clave],tblExcepciones[habil],INDEX(patronHabil,WEEKDAY($I100,2)))))</f>
        <v/>
      </c>
    </row>
    <row r="101">
      <c r="A101" s="8" t="n"/>
      <c r="B101" s="6" t="n"/>
      <c r="C101" s="6" t="n"/>
      <c r="D101" s="6" t="n"/>
      <c r="E101" s="6" t="n"/>
      <c r="F101" s="6" t="n"/>
      <c r="G101" s="3">
        <f>IF(tblExcepciones[[#This Row],[fecha]]="","",TEXT(tblExcepciones[[#This Row],[fecha]],"yyyy-mm-dd")&amp;"|"&amp;tblExcepciones[[#This Row],[area]]&amp;"|"&amp;tblExcepciones[[#This Row],[sub_area]])</f>
        <v/>
      </c>
      <c r="I101" s="12" t="n">
        <v>46119</v>
      </c>
      <c r="J101" s="3">
        <f>_xlfn.XLOOKUP(TEXT($I101,"yyyy-mm-dd")&amp;"|"&amp;""&amp;"|"&amp;"",tblExcepciones[clave],tblExcepciones[habil],_xlfn.XLOOKUP(TEXT($I101,"yyyy-mm-dd")&amp;"|"&amp;""&amp;"|",tblExcepciones[clave],tblExcepciones[habil],_xlfn.XLOOKUP(TEXT($I101,"yyyy-mm-dd")&amp;"||",tblExcepciones[clave],tblExcepciones[habil],INDEX(patronHabil,WEEKDAY($I101,2)))))</f>
        <v/>
      </c>
    </row>
    <row r="102">
      <c r="A102" s="8" t="n"/>
      <c r="B102" s="6" t="n"/>
      <c r="C102" s="6" t="n"/>
      <c r="D102" s="6" t="n"/>
      <c r="E102" s="6" t="n"/>
      <c r="F102" s="6" t="n"/>
      <c r="G102" s="3">
        <f>IF(tblExcepciones[[#This Row],[fecha]]="","",TEXT(tblExcepciones[[#This Row],[fecha]],"yyyy-mm-dd")&amp;"|"&amp;tblExcepciones[[#This Row],[area]]&amp;"|"&amp;tblExcepciones[[#This Row],[sub_area]])</f>
        <v/>
      </c>
      <c r="I102" s="12" t="n">
        <v>46120</v>
      </c>
      <c r="J102" s="3">
        <f>_xlfn.XLOOKUP(TEXT($I102,"yyyy-mm-dd")&amp;"|"&amp;""&amp;"|"&amp;"",tblExcepciones[clave],tblExcepciones[habil],_xlfn.XLOOKUP(TEXT($I102,"yyyy-mm-dd")&amp;"|"&amp;""&amp;"|",tblExcepciones[clave],tblExcepciones[habil],_xlfn.XLOOKUP(TEXT($I102,"yyyy-mm-dd")&amp;"||",tblExcepciones[clave],tblExcepciones[habil],INDEX(patronHabil,WEEKDAY($I102,2)))))</f>
        <v/>
      </c>
    </row>
    <row r="103">
      <c r="A103" s="8" t="n"/>
      <c r="B103" s="6" t="n"/>
      <c r="C103" s="6" t="n"/>
      <c r="D103" s="6" t="n"/>
      <c r="E103" s="6" t="n"/>
      <c r="F103" s="6" t="n"/>
      <c r="G103" s="3">
        <f>IF(tblExcepciones[[#This Row],[fecha]]="","",TEXT(tblExcepciones[[#This Row],[fecha]],"yyyy-mm-dd")&amp;"|"&amp;tblExcepciones[[#This Row],[area]]&amp;"|"&amp;tblExcepciones[[#This Row],[sub_area]])</f>
        <v/>
      </c>
      <c r="I103" s="12" t="n">
        <v>46121</v>
      </c>
      <c r="J103" s="3">
        <f>_xlfn.XLOOKUP(TEXT($I103,"yyyy-mm-dd")&amp;"|"&amp;""&amp;"|"&amp;"",tblExcepciones[clave],tblExcepciones[habil],_xlfn.XLOOKUP(TEXT($I103,"yyyy-mm-dd")&amp;"|"&amp;""&amp;"|",tblExcepciones[clave],tblExcepciones[habil],_xlfn.XLOOKUP(TEXT($I103,"yyyy-mm-dd")&amp;"||",tblExcepciones[clave],tblExcepciones[habil],INDEX(patronHabil,WEEKDAY($I103,2)))))</f>
        <v/>
      </c>
    </row>
    <row r="104">
      <c r="A104" s="8" t="n"/>
      <c r="B104" s="6" t="n"/>
      <c r="C104" s="6" t="n"/>
      <c r="D104" s="6" t="n"/>
      <c r="E104" s="6" t="n"/>
      <c r="F104" s="6" t="n"/>
      <c r="G104" s="3">
        <f>IF(tblExcepciones[[#This Row],[fecha]]="","",TEXT(tblExcepciones[[#This Row],[fecha]],"yyyy-mm-dd")&amp;"|"&amp;tblExcepciones[[#This Row],[area]]&amp;"|"&amp;tblExcepciones[[#This Row],[sub_area]])</f>
        <v/>
      </c>
      <c r="I104" s="12" t="n">
        <v>46122</v>
      </c>
      <c r="J104" s="3">
        <f>_xlfn.XLOOKUP(TEXT($I104,"yyyy-mm-dd")&amp;"|"&amp;""&amp;"|"&amp;"",tblExcepciones[clave],tblExcepciones[habil],_xlfn.XLOOKUP(TEXT($I104,"yyyy-mm-dd")&amp;"|"&amp;""&amp;"|",tblExcepciones[clave],tblExcepciones[habil],_xlfn.XLOOKUP(TEXT($I104,"yyyy-mm-dd")&amp;"||",tblExcepciones[clave],tblExcepciones[habil],INDEX(patronHabil,WEEKDAY($I104,2)))))</f>
        <v/>
      </c>
    </row>
    <row r="105">
      <c r="A105" s="8" t="n"/>
      <c r="B105" s="6" t="n"/>
      <c r="C105" s="6" t="n"/>
      <c r="D105" s="6" t="n"/>
      <c r="E105" s="6" t="n"/>
      <c r="F105" s="6" t="n"/>
      <c r="G105" s="3">
        <f>IF(tblExcepciones[[#This Row],[fecha]]="","",TEXT(tblExcepciones[[#This Row],[fecha]],"yyyy-mm-dd")&amp;"|"&amp;tblExcepciones[[#This Row],[area]]&amp;"|"&amp;tblExcepciones[[#This Row],[sub_area]])</f>
        <v/>
      </c>
      <c r="I105" s="12" t="n">
        <v>46123</v>
      </c>
      <c r="J105" s="3">
        <f>_xlfn.XLOOKUP(TEXT($I105,"yyyy-mm-dd")&amp;"|"&amp;""&amp;"|"&amp;"",tblExcepciones[clave],tblExcepciones[habil],_xlfn.XLOOKUP(TEXT($I105,"yyyy-mm-dd")&amp;"|"&amp;""&amp;"|",tblExcepciones[clave],tblExcepciones[habil],_xlfn.XLOOKUP(TEXT($I105,"yyyy-mm-dd")&amp;"||",tblExcepciones[clave],tblExcepciones[habil],INDEX(patronHabil,WEEKDAY($I105,2)))))</f>
        <v/>
      </c>
    </row>
    <row r="106">
      <c r="A106" s="8" t="n"/>
      <c r="B106" s="6" t="n"/>
      <c r="C106" s="6" t="n"/>
      <c r="D106" s="6" t="n"/>
      <c r="E106" s="6" t="n"/>
      <c r="F106" s="6" t="n"/>
      <c r="G106" s="3">
        <f>IF(tblExcepciones[[#This Row],[fecha]]="","",TEXT(tblExcepciones[[#This Row],[fecha]],"yyyy-mm-dd")&amp;"|"&amp;tblExcepciones[[#This Row],[area]]&amp;"|"&amp;tblExcepciones[[#This Row],[sub_area]])</f>
        <v/>
      </c>
      <c r="I106" s="12" t="n">
        <v>46124</v>
      </c>
      <c r="J106" s="3">
        <f>_xlfn.XLOOKUP(TEXT($I106,"yyyy-mm-dd")&amp;"|"&amp;""&amp;"|"&amp;"",tblExcepciones[clave],tblExcepciones[habil],_xlfn.XLOOKUP(TEXT($I106,"yyyy-mm-dd")&amp;"|"&amp;""&amp;"|",tblExcepciones[clave],tblExcepciones[habil],_xlfn.XLOOKUP(TEXT($I106,"yyyy-mm-dd")&amp;"||",tblExcepciones[clave],tblExcepciones[habil],INDEX(patronHabil,WEEKDAY($I106,2)))))</f>
        <v/>
      </c>
    </row>
    <row r="107">
      <c r="A107" s="8" t="n"/>
      <c r="B107" s="6" t="n"/>
      <c r="C107" s="6" t="n"/>
      <c r="D107" s="6" t="n"/>
      <c r="E107" s="6" t="n"/>
      <c r="F107" s="6" t="n"/>
      <c r="G107" s="3">
        <f>IF(tblExcepciones[[#This Row],[fecha]]="","",TEXT(tblExcepciones[[#This Row],[fecha]],"yyyy-mm-dd")&amp;"|"&amp;tblExcepciones[[#This Row],[area]]&amp;"|"&amp;tblExcepciones[[#This Row],[sub_area]])</f>
        <v/>
      </c>
      <c r="I107" s="12" t="n">
        <v>46125</v>
      </c>
      <c r="J107" s="3">
        <f>_xlfn.XLOOKUP(TEXT($I107,"yyyy-mm-dd")&amp;"|"&amp;""&amp;"|"&amp;"",tblExcepciones[clave],tblExcepciones[habil],_xlfn.XLOOKUP(TEXT($I107,"yyyy-mm-dd")&amp;"|"&amp;""&amp;"|",tblExcepciones[clave],tblExcepciones[habil],_xlfn.XLOOKUP(TEXT($I107,"yyyy-mm-dd")&amp;"||",tblExcepciones[clave],tblExcepciones[habil],INDEX(patronHabil,WEEKDAY($I107,2)))))</f>
        <v/>
      </c>
    </row>
    <row r="108">
      <c r="A108" s="8" t="n"/>
      <c r="B108" s="6" t="n"/>
      <c r="C108" s="6" t="n"/>
      <c r="D108" s="6" t="n"/>
      <c r="E108" s="6" t="n"/>
      <c r="F108" s="6" t="n"/>
      <c r="G108" s="3">
        <f>IF(tblExcepciones[[#This Row],[fecha]]="","",TEXT(tblExcepciones[[#This Row],[fecha]],"yyyy-mm-dd")&amp;"|"&amp;tblExcepciones[[#This Row],[area]]&amp;"|"&amp;tblExcepciones[[#This Row],[sub_area]])</f>
        <v/>
      </c>
      <c r="I108" s="12" t="n">
        <v>46126</v>
      </c>
      <c r="J108" s="3">
        <f>_xlfn.XLOOKUP(TEXT($I108,"yyyy-mm-dd")&amp;"|"&amp;""&amp;"|"&amp;"",tblExcepciones[clave],tblExcepciones[habil],_xlfn.XLOOKUP(TEXT($I108,"yyyy-mm-dd")&amp;"|"&amp;""&amp;"|",tblExcepciones[clave],tblExcepciones[habil],_xlfn.XLOOKUP(TEXT($I108,"yyyy-mm-dd")&amp;"||",tblExcepciones[clave],tblExcepciones[habil],INDEX(patronHabil,WEEKDAY($I108,2)))))</f>
        <v/>
      </c>
    </row>
    <row r="109">
      <c r="A109" s="8" t="n"/>
      <c r="B109" s="6" t="n"/>
      <c r="C109" s="6" t="n"/>
      <c r="D109" s="6" t="n"/>
      <c r="E109" s="6" t="n"/>
      <c r="F109" s="6" t="n"/>
      <c r="G109" s="3">
        <f>IF(tblExcepciones[[#This Row],[fecha]]="","",TEXT(tblExcepciones[[#This Row],[fecha]],"yyyy-mm-dd")&amp;"|"&amp;tblExcepciones[[#This Row],[area]]&amp;"|"&amp;tblExcepciones[[#This Row],[sub_area]])</f>
        <v/>
      </c>
      <c r="I109" s="12" t="n">
        <v>46127</v>
      </c>
      <c r="J109" s="3">
        <f>_xlfn.XLOOKUP(TEXT($I109,"yyyy-mm-dd")&amp;"|"&amp;""&amp;"|"&amp;"",tblExcepciones[clave],tblExcepciones[habil],_xlfn.XLOOKUP(TEXT($I109,"yyyy-mm-dd")&amp;"|"&amp;""&amp;"|",tblExcepciones[clave],tblExcepciones[habil],_xlfn.XLOOKUP(TEXT($I109,"yyyy-mm-dd")&amp;"||",tblExcepciones[clave],tblExcepciones[habil],INDEX(patronHabil,WEEKDAY($I109,2)))))</f>
        <v/>
      </c>
    </row>
    <row r="110">
      <c r="A110" s="8" t="n"/>
      <c r="B110" s="6" t="n"/>
      <c r="C110" s="6" t="n"/>
      <c r="D110" s="6" t="n"/>
      <c r="E110" s="6" t="n"/>
      <c r="F110" s="6" t="n"/>
      <c r="G110" s="3">
        <f>IF(tblExcepciones[[#This Row],[fecha]]="","",TEXT(tblExcepciones[[#This Row],[fecha]],"yyyy-mm-dd")&amp;"|"&amp;tblExcepciones[[#This Row],[area]]&amp;"|"&amp;tblExcepciones[[#This Row],[sub_area]])</f>
        <v/>
      </c>
      <c r="I110" s="12" t="n">
        <v>46128</v>
      </c>
      <c r="J110" s="3">
        <f>_xlfn.XLOOKUP(TEXT($I110,"yyyy-mm-dd")&amp;"|"&amp;""&amp;"|"&amp;"",tblExcepciones[clave],tblExcepciones[habil],_xlfn.XLOOKUP(TEXT($I110,"yyyy-mm-dd")&amp;"|"&amp;""&amp;"|",tblExcepciones[clave],tblExcepciones[habil],_xlfn.XLOOKUP(TEXT($I110,"yyyy-mm-dd")&amp;"||",tblExcepciones[clave],tblExcepciones[habil],INDEX(patronHabil,WEEKDAY($I110,2)))))</f>
        <v/>
      </c>
    </row>
    <row r="111">
      <c r="A111" s="8" t="n"/>
      <c r="B111" s="6" t="n"/>
      <c r="C111" s="6" t="n"/>
      <c r="D111" s="6" t="n"/>
      <c r="E111" s="6" t="n"/>
      <c r="F111" s="6" t="n"/>
      <c r="G111" s="3">
        <f>IF(tblExcepciones[[#This Row],[fecha]]="","",TEXT(tblExcepciones[[#This Row],[fecha]],"yyyy-mm-dd")&amp;"|"&amp;tblExcepciones[[#This Row],[area]]&amp;"|"&amp;tblExcepciones[[#This Row],[sub_area]])</f>
        <v/>
      </c>
      <c r="I111" s="12" t="n">
        <v>46129</v>
      </c>
      <c r="J111" s="3">
        <f>_xlfn.XLOOKUP(TEXT($I111,"yyyy-mm-dd")&amp;"|"&amp;""&amp;"|"&amp;"",tblExcepciones[clave],tblExcepciones[habil],_xlfn.XLOOKUP(TEXT($I111,"yyyy-mm-dd")&amp;"|"&amp;""&amp;"|",tblExcepciones[clave],tblExcepciones[habil],_xlfn.XLOOKUP(TEXT($I111,"yyyy-mm-dd")&amp;"||",tblExcepciones[clave],tblExcepciones[habil],INDEX(patronHabil,WEEKDAY($I111,2)))))</f>
        <v/>
      </c>
    </row>
    <row r="112">
      <c r="A112" s="8" t="n"/>
      <c r="B112" s="6" t="n"/>
      <c r="C112" s="6" t="n"/>
      <c r="D112" s="6" t="n"/>
      <c r="E112" s="6" t="n"/>
      <c r="F112" s="6" t="n"/>
      <c r="G112" s="3">
        <f>IF(tblExcepciones[[#This Row],[fecha]]="","",TEXT(tblExcepciones[[#This Row],[fecha]],"yyyy-mm-dd")&amp;"|"&amp;tblExcepciones[[#This Row],[area]]&amp;"|"&amp;tblExcepciones[[#This Row],[sub_area]])</f>
        <v/>
      </c>
      <c r="I112" s="12" t="n">
        <v>46130</v>
      </c>
      <c r="J112" s="3">
        <f>_xlfn.XLOOKUP(TEXT($I112,"yyyy-mm-dd")&amp;"|"&amp;""&amp;"|"&amp;"",tblExcepciones[clave],tblExcepciones[habil],_xlfn.XLOOKUP(TEXT($I112,"yyyy-mm-dd")&amp;"|"&amp;""&amp;"|",tblExcepciones[clave],tblExcepciones[habil],_xlfn.XLOOKUP(TEXT($I112,"yyyy-mm-dd")&amp;"||",tblExcepciones[clave],tblExcepciones[habil],INDEX(patronHabil,WEEKDAY($I112,2)))))</f>
        <v/>
      </c>
    </row>
    <row r="113">
      <c r="A113" s="8" t="n"/>
      <c r="B113" s="6" t="n"/>
      <c r="C113" s="6" t="n"/>
      <c r="D113" s="6" t="n"/>
      <c r="E113" s="6" t="n"/>
      <c r="F113" s="6" t="n"/>
      <c r="G113" s="3">
        <f>IF(tblExcepciones[[#This Row],[fecha]]="","",TEXT(tblExcepciones[[#This Row],[fecha]],"yyyy-mm-dd")&amp;"|"&amp;tblExcepciones[[#This Row],[area]]&amp;"|"&amp;tblExcepciones[[#This Row],[sub_area]])</f>
        <v/>
      </c>
      <c r="I113" s="12" t="n">
        <v>46131</v>
      </c>
      <c r="J113" s="3">
        <f>_xlfn.XLOOKUP(TEXT($I113,"yyyy-mm-dd")&amp;"|"&amp;""&amp;"|"&amp;"",tblExcepciones[clave],tblExcepciones[habil],_xlfn.XLOOKUP(TEXT($I113,"yyyy-mm-dd")&amp;"|"&amp;""&amp;"|",tblExcepciones[clave],tblExcepciones[habil],_xlfn.XLOOKUP(TEXT($I113,"yyyy-mm-dd")&amp;"||",tblExcepciones[clave],tblExcepciones[habil],INDEX(patronHabil,WEEKDAY($I113,2)))))</f>
        <v/>
      </c>
    </row>
    <row r="114">
      <c r="A114" s="8" t="n"/>
      <c r="B114" s="6" t="n"/>
      <c r="C114" s="6" t="n"/>
      <c r="D114" s="6" t="n"/>
      <c r="E114" s="6" t="n"/>
      <c r="F114" s="6" t="n"/>
      <c r="G114" s="3">
        <f>IF(tblExcepciones[[#This Row],[fecha]]="","",TEXT(tblExcepciones[[#This Row],[fecha]],"yyyy-mm-dd")&amp;"|"&amp;tblExcepciones[[#This Row],[area]]&amp;"|"&amp;tblExcepciones[[#This Row],[sub_area]])</f>
        <v/>
      </c>
      <c r="I114" s="12" t="n">
        <v>46132</v>
      </c>
      <c r="J114" s="3">
        <f>_xlfn.XLOOKUP(TEXT($I114,"yyyy-mm-dd")&amp;"|"&amp;""&amp;"|"&amp;"",tblExcepciones[clave],tblExcepciones[habil],_xlfn.XLOOKUP(TEXT($I114,"yyyy-mm-dd")&amp;"|"&amp;""&amp;"|",tblExcepciones[clave],tblExcepciones[habil],_xlfn.XLOOKUP(TEXT($I114,"yyyy-mm-dd")&amp;"||",tblExcepciones[clave],tblExcepciones[habil],INDEX(patronHabil,WEEKDAY($I114,2)))))</f>
        <v/>
      </c>
    </row>
    <row r="115">
      <c r="A115" s="8" t="n"/>
      <c r="B115" s="6" t="n"/>
      <c r="C115" s="6" t="n"/>
      <c r="D115" s="6" t="n"/>
      <c r="E115" s="6" t="n"/>
      <c r="F115" s="6" t="n"/>
      <c r="G115" s="3">
        <f>IF(tblExcepciones[[#This Row],[fecha]]="","",TEXT(tblExcepciones[[#This Row],[fecha]],"yyyy-mm-dd")&amp;"|"&amp;tblExcepciones[[#This Row],[area]]&amp;"|"&amp;tblExcepciones[[#This Row],[sub_area]])</f>
        <v/>
      </c>
      <c r="I115" s="12" t="n">
        <v>46133</v>
      </c>
      <c r="J115" s="3">
        <f>_xlfn.XLOOKUP(TEXT($I115,"yyyy-mm-dd")&amp;"|"&amp;""&amp;"|"&amp;"",tblExcepciones[clave],tblExcepciones[habil],_xlfn.XLOOKUP(TEXT($I115,"yyyy-mm-dd")&amp;"|"&amp;""&amp;"|",tblExcepciones[clave],tblExcepciones[habil],_xlfn.XLOOKUP(TEXT($I115,"yyyy-mm-dd")&amp;"||",tblExcepciones[clave],tblExcepciones[habil],INDEX(patronHabil,WEEKDAY($I115,2)))))</f>
        <v/>
      </c>
    </row>
    <row r="116">
      <c r="A116" s="8" t="n"/>
      <c r="B116" s="6" t="n"/>
      <c r="C116" s="6" t="n"/>
      <c r="D116" s="6" t="n"/>
      <c r="E116" s="6" t="n"/>
      <c r="F116" s="6" t="n"/>
      <c r="G116" s="3">
        <f>IF(tblExcepciones[[#This Row],[fecha]]="","",TEXT(tblExcepciones[[#This Row],[fecha]],"yyyy-mm-dd")&amp;"|"&amp;tblExcepciones[[#This Row],[area]]&amp;"|"&amp;tblExcepciones[[#This Row],[sub_area]])</f>
        <v/>
      </c>
      <c r="I116" s="12" t="n">
        <v>46134</v>
      </c>
      <c r="J116" s="3">
        <f>_xlfn.XLOOKUP(TEXT($I116,"yyyy-mm-dd")&amp;"|"&amp;""&amp;"|"&amp;"",tblExcepciones[clave],tblExcepciones[habil],_xlfn.XLOOKUP(TEXT($I116,"yyyy-mm-dd")&amp;"|"&amp;""&amp;"|",tblExcepciones[clave],tblExcepciones[habil],_xlfn.XLOOKUP(TEXT($I116,"yyyy-mm-dd")&amp;"||",tblExcepciones[clave],tblExcepciones[habil],INDEX(patronHabil,WEEKDAY($I116,2)))))</f>
        <v/>
      </c>
    </row>
    <row r="117">
      <c r="A117" s="8" t="n"/>
      <c r="B117" s="6" t="n"/>
      <c r="C117" s="6" t="n"/>
      <c r="D117" s="6" t="n"/>
      <c r="E117" s="6" t="n"/>
      <c r="F117" s="6" t="n"/>
      <c r="G117" s="3">
        <f>IF(tblExcepciones[[#This Row],[fecha]]="","",TEXT(tblExcepciones[[#This Row],[fecha]],"yyyy-mm-dd")&amp;"|"&amp;tblExcepciones[[#This Row],[area]]&amp;"|"&amp;tblExcepciones[[#This Row],[sub_area]])</f>
        <v/>
      </c>
      <c r="I117" s="12" t="n">
        <v>46135</v>
      </c>
      <c r="J117" s="3">
        <f>_xlfn.XLOOKUP(TEXT($I117,"yyyy-mm-dd")&amp;"|"&amp;""&amp;"|"&amp;"",tblExcepciones[clave],tblExcepciones[habil],_xlfn.XLOOKUP(TEXT($I117,"yyyy-mm-dd")&amp;"|"&amp;""&amp;"|",tblExcepciones[clave],tblExcepciones[habil],_xlfn.XLOOKUP(TEXT($I117,"yyyy-mm-dd")&amp;"||",tblExcepciones[clave],tblExcepciones[habil],INDEX(patronHabil,WEEKDAY($I117,2)))))</f>
        <v/>
      </c>
    </row>
    <row r="118">
      <c r="A118" s="8" t="n"/>
      <c r="B118" s="6" t="n"/>
      <c r="C118" s="6" t="n"/>
      <c r="D118" s="6" t="n"/>
      <c r="E118" s="6" t="n"/>
      <c r="F118" s="6" t="n"/>
      <c r="G118" s="3">
        <f>IF(tblExcepciones[[#This Row],[fecha]]="","",TEXT(tblExcepciones[[#This Row],[fecha]],"yyyy-mm-dd")&amp;"|"&amp;tblExcepciones[[#This Row],[area]]&amp;"|"&amp;tblExcepciones[[#This Row],[sub_area]])</f>
        <v/>
      </c>
      <c r="I118" s="12" t="n">
        <v>46136</v>
      </c>
      <c r="J118" s="3">
        <f>_xlfn.XLOOKUP(TEXT($I118,"yyyy-mm-dd")&amp;"|"&amp;""&amp;"|"&amp;"",tblExcepciones[clave],tblExcepciones[habil],_xlfn.XLOOKUP(TEXT($I118,"yyyy-mm-dd")&amp;"|"&amp;""&amp;"|",tblExcepciones[clave],tblExcepciones[habil],_xlfn.XLOOKUP(TEXT($I118,"yyyy-mm-dd")&amp;"||",tblExcepciones[clave],tblExcepciones[habil],INDEX(patronHabil,WEEKDAY($I118,2)))))</f>
        <v/>
      </c>
    </row>
    <row r="119">
      <c r="A119" s="8" t="n"/>
      <c r="B119" s="6" t="n"/>
      <c r="C119" s="6" t="n"/>
      <c r="D119" s="6" t="n"/>
      <c r="E119" s="6" t="n"/>
      <c r="F119" s="6" t="n"/>
      <c r="G119" s="3">
        <f>IF(tblExcepciones[[#This Row],[fecha]]="","",TEXT(tblExcepciones[[#This Row],[fecha]],"yyyy-mm-dd")&amp;"|"&amp;tblExcepciones[[#This Row],[area]]&amp;"|"&amp;tblExcepciones[[#This Row],[sub_area]])</f>
        <v/>
      </c>
      <c r="I119" s="12" t="n">
        <v>46137</v>
      </c>
      <c r="J119" s="3">
        <f>_xlfn.XLOOKUP(TEXT($I119,"yyyy-mm-dd")&amp;"|"&amp;""&amp;"|"&amp;"",tblExcepciones[clave],tblExcepciones[habil],_xlfn.XLOOKUP(TEXT($I119,"yyyy-mm-dd")&amp;"|"&amp;""&amp;"|",tblExcepciones[clave],tblExcepciones[habil],_xlfn.XLOOKUP(TEXT($I119,"yyyy-mm-dd")&amp;"||",tblExcepciones[clave],tblExcepciones[habil],INDEX(patronHabil,WEEKDAY($I119,2)))))</f>
        <v/>
      </c>
    </row>
    <row r="120">
      <c r="A120" s="8" t="n"/>
      <c r="B120" s="6" t="n"/>
      <c r="C120" s="6" t="n"/>
      <c r="D120" s="6" t="n"/>
      <c r="E120" s="6" t="n"/>
      <c r="F120" s="6" t="n"/>
      <c r="G120" s="3">
        <f>IF(tblExcepciones[[#This Row],[fecha]]="","",TEXT(tblExcepciones[[#This Row],[fecha]],"yyyy-mm-dd")&amp;"|"&amp;tblExcepciones[[#This Row],[area]]&amp;"|"&amp;tblExcepciones[[#This Row],[sub_area]])</f>
        <v/>
      </c>
      <c r="I120" s="12" t="n">
        <v>46138</v>
      </c>
      <c r="J120" s="3">
        <f>_xlfn.XLOOKUP(TEXT($I120,"yyyy-mm-dd")&amp;"|"&amp;""&amp;"|"&amp;"",tblExcepciones[clave],tblExcepciones[habil],_xlfn.XLOOKUP(TEXT($I120,"yyyy-mm-dd")&amp;"|"&amp;""&amp;"|",tblExcepciones[clave],tblExcepciones[habil],_xlfn.XLOOKUP(TEXT($I120,"yyyy-mm-dd")&amp;"||",tblExcepciones[clave],tblExcepciones[habil],INDEX(patronHabil,WEEKDAY($I120,2)))))</f>
        <v/>
      </c>
    </row>
    <row r="121">
      <c r="A121" s="8" t="n"/>
      <c r="B121" s="6" t="n"/>
      <c r="C121" s="6" t="n"/>
      <c r="D121" s="6" t="n"/>
      <c r="E121" s="6" t="n"/>
      <c r="F121" s="6" t="n"/>
      <c r="G121" s="3">
        <f>IF(tblExcepciones[[#This Row],[fecha]]="","",TEXT(tblExcepciones[[#This Row],[fecha]],"yyyy-mm-dd")&amp;"|"&amp;tblExcepciones[[#This Row],[area]]&amp;"|"&amp;tblExcepciones[[#This Row],[sub_area]])</f>
        <v/>
      </c>
      <c r="I121" s="12" t="n">
        <v>46139</v>
      </c>
      <c r="J121" s="3">
        <f>_xlfn.XLOOKUP(TEXT($I121,"yyyy-mm-dd")&amp;"|"&amp;""&amp;"|"&amp;"",tblExcepciones[clave],tblExcepciones[habil],_xlfn.XLOOKUP(TEXT($I121,"yyyy-mm-dd")&amp;"|"&amp;""&amp;"|",tblExcepciones[clave],tblExcepciones[habil],_xlfn.XLOOKUP(TEXT($I121,"yyyy-mm-dd")&amp;"||",tblExcepciones[clave],tblExcepciones[habil],INDEX(patronHabil,WEEKDAY($I121,2)))))</f>
        <v/>
      </c>
    </row>
    <row r="122">
      <c r="A122" s="8" t="n"/>
      <c r="B122" s="6" t="n"/>
      <c r="C122" s="6" t="n"/>
      <c r="D122" s="6" t="n"/>
      <c r="E122" s="6" t="n"/>
      <c r="F122" s="6" t="n"/>
      <c r="G122" s="3">
        <f>IF(tblExcepciones[[#This Row],[fecha]]="","",TEXT(tblExcepciones[[#This Row],[fecha]],"yyyy-mm-dd")&amp;"|"&amp;tblExcepciones[[#This Row],[area]]&amp;"|"&amp;tblExcepciones[[#This Row],[sub_area]])</f>
        <v/>
      </c>
      <c r="I122" s="12" t="n">
        <v>46140</v>
      </c>
      <c r="J122" s="3">
        <f>_xlfn.XLOOKUP(TEXT($I122,"yyyy-mm-dd")&amp;"|"&amp;""&amp;"|"&amp;"",tblExcepciones[clave],tblExcepciones[habil],_xlfn.XLOOKUP(TEXT($I122,"yyyy-mm-dd")&amp;"|"&amp;""&amp;"|",tblExcepciones[clave],tblExcepciones[habil],_xlfn.XLOOKUP(TEXT($I122,"yyyy-mm-dd")&amp;"||",tblExcepciones[clave],tblExcepciones[habil],INDEX(patronHabil,WEEKDAY($I122,2)))))</f>
        <v/>
      </c>
    </row>
    <row r="123">
      <c r="A123" s="8" t="n"/>
      <c r="B123" s="6" t="n"/>
      <c r="C123" s="6" t="n"/>
      <c r="D123" s="6" t="n"/>
      <c r="E123" s="6" t="n"/>
      <c r="F123" s="6" t="n"/>
      <c r="G123" s="3">
        <f>IF(tblExcepciones[[#This Row],[fecha]]="","",TEXT(tblExcepciones[[#This Row],[fecha]],"yyyy-mm-dd")&amp;"|"&amp;tblExcepciones[[#This Row],[area]]&amp;"|"&amp;tblExcepciones[[#This Row],[sub_area]])</f>
        <v/>
      </c>
      <c r="I123" s="12" t="n">
        <v>46141</v>
      </c>
      <c r="J123" s="3">
        <f>_xlfn.XLOOKUP(TEXT($I123,"yyyy-mm-dd")&amp;"|"&amp;""&amp;"|"&amp;"",tblExcepciones[clave],tblExcepciones[habil],_xlfn.XLOOKUP(TEXT($I123,"yyyy-mm-dd")&amp;"|"&amp;""&amp;"|",tblExcepciones[clave],tblExcepciones[habil],_xlfn.XLOOKUP(TEXT($I123,"yyyy-mm-dd")&amp;"||",tblExcepciones[clave],tblExcepciones[habil],INDEX(patronHabil,WEEKDAY($I123,2)))))</f>
        <v/>
      </c>
    </row>
    <row r="124">
      <c r="A124" s="8" t="n"/>
      <c r="B124" s="6" t="n"/>
      <c r="C124" s="6" t="n"/>
      <c r="D124" s="6" t="n"/>
      <c r="E124" s="6" t="n"/>
      <c r="F124" s="6" t="n"/>
      <c r="G124" s="3">
        <f>IF(tblExcepciones[[#This Row],[fecha]]="","",TEXT(tblExcepciones[[#This Row],[fecha]],"yyyy-mm-dd")&amp;"|"&amp;tblExcepciones[[#This Row],[area]]&amp;"|"&amp;tblExcepciones[[#This Row],[sub_area]])</f>
        <v/>
      </c>
      <c r="I124" s="12" t="n">
        <v>46142</v>
      </c>
      <c r="J124" s="3">
        <f>_xlfn.XLOOKUP(TEXT($I124,"yyyy-mm-dd")&amp;"|"&amp;""&amp;"|"&amp;"",tblExcepciones[clave],tblExcepciones[habil],_xlfn.XLOOKUP(TEXT($I124,"yyyy-mm-dd")&amp;"|"&amp;""&amp;"|",tblExcepciones[clave],tblExcepciones[habil],_xlfn.XLOOKUP(TEXT($I124,"yyyy-mm-dd")&amp;"||",tblExcepciones[clave],tblExcepciones[habil],INDEX(patronHabil,WEEKDAY($I124,2)))))</f>
        <v/>
      </c>
    </row>
    <row r="125">
      <c r="A125" s="8" t="n"/>
      <c r="B125" s="6" t="n"/>
      <c r="C125" s="6" t="n"/>
      <c r="D125" s="6" t="n"/>
      <c r="E125" s="6" t="n"/>
      <c r="F125" s="6" t="n"/>
      <c r="G125" s="3">
        <f>IF(tblExcepciones[[#This Row],[fecha]]="","",TEXT(tblExcepciones[[#This Row],[fecha]],"yyyy-mm-dd")&amp;"|"&amp;tblExcepciones[[#This Row],[area]]&amp;"|"&amp;tblExcepciones[[#This Row],[sub_area]])</f>
        <v/>
      </c>
      <c r="I125" s="12" t="n">
        <v>46143</v>
      </c>
      <c r="J125" s="3">
        <f>_xlfn.XLOOKUP(TEXT($I125,"yyyy-mm-dd")&amp;"|"&amp;""&amp;"|"&amp;"",tblExcepciones[clave],tblExcepciones[habil],_xlfn.XLOOKUP(TEXT($I125,"yyyy-mm-dd")&amp;"|"&amp;""&amp;"|",tblExcepciones[clave],tblExcepciones[habil],_xlfn.XLOOKUP(TEXT($I125,"yyyy-mm-dd")&amp;"||",tblExcepciones[clave],tblExcepciones[habil],INDEX(patronHabil,WEEKDAY($I125,2)))))</f>
        <v/>
      </c>
    </row>
    <row r="126">
      <c r="A126" s="8" t="n"/>
      <c r="B126" s="6" t="n"/>
      <c r="C126" s="6" t="n"/>
      <c r="D126" s="6" t="n"/>
      <c r="E126" s="6" t="n"/>
      <c r="F126" s="6" t="n"/>
      <c r="G126" s="3">
        <f>IF(tblExcepciones[[#This Row],[fecha]]="","",TEXT(tblExcepciones[[#This Row],[fecha]],"yyyy-mm-dd")&amp;"|"&amp;tblExcepciones[[#This Row],[area]]&amp;"|"&amp;tblExcepciones[[#This Row],[sub_area]])</f>
        <v/>
      </c>
      <c r="I126" s="12" t="n">
        <v>46144</v>
      </c>
      <c r="J126" s="3">
        <f>_xlfn.XLOOKUP(TEXT($I126,"yyyy-mm-dd")&amp;"|"&amp;""&amp;"|"&amp;"",tblExcepciones[clave],tblExcepciones[habil],_xlfn.XLOOKUP(TEXT($I126,"yyyy-mm-dd")&amp;"|"&amp;""&amp;"|",tblExcepciones[clave],tblExcepciones[habil],_xlfn.XLOOKUP(TEXT($I126,"yyyy-mm-dd")&amp;"||",tblExcepciones[clave],tblExcepciones[habil],INDEX(patronHabil,WEEKDAY($I126,2)))))</f>
        <v/>
      </c>
    </row>
    <row r="127">
      <c r="A127" s="8" t="n"/>
      <c r="B127" s="6" t="n"/>
      <c r="C127" s="6" t="n"/>
      <c r="D127" s="6" t="n"/>
      <c r="E127" s="6" t="n"/>
      <c r="F127" s="6" t="n"/>
      <c r="G127" s="3">
        <f>IF(tblExcepciones[[#This Row],[fecha]]="","",TEXT(tblExcepciones[[#This Row],[fecha]],"yyyy-mm-dd")&amp;"|"&amp;tblExcepciones[[#This Row],[area]]&amp;"|"&amp;tblExcepciones[[#This Row],[sub_area]])</f>
        <v/>
      </c>
      <c r="I127" s="12" t="n">
        <v>46145</v>
      </c>
      <c r="J127" s="3">
        <f>_xlfn.XLOOKUP(TEXT($I127,"yyyy-mm-dd")&amp;"|"&amp;""&amp;"|"&amp;"",tblExcepciones[clave],tblExcepciones[habil],_xlfn.XLOOKUP(TEXT($I127,"yyyy-mm-dd")&amp;"|"&amp;""&amp;"|",tblExcepciones[clave],tblExcepciones[habil],_xlfn.XLOOKUP(TEXT($I127,"yyyy-mm-dd")&amp;"||",tblExcepciones[clave],tblExcepciones[habil],INDEX(patronHabil,WEEKDAY($I127,2)))))</f>
        <v/>
      </c>
    </row>
    <row r="128">
      <c r="A128" s="8" t="n"/>
      <c r="B128" s="6" t="n"/>
      <c r="C128" s="6" t="n"/>
      <c r="D128" s="6" t="n"/>
      <c r="E128" s="6" t="n"/>
      <c r="F128" s="6" t="n"/>
      <c r="G128" s="3">
        <f>IF(tblExcepciones[[#This Row],[fecha]]="","",TEXT(tblExcepciones[[#This Row],[fecha]],"yyyy-mm-dd")&amp;"|"&amp;tblExcepciones[[#This Row],[area]]&amp;"|"&amp;tblExcepciones[[#This Row],[sub_area]])</f>
        <v/>
      </c>
      <c r="I128" s="12" t="n">
        <v>46146</v>
      </c>
      <c r="J128" s="3">
        <f>_xlfn.XLOOKUP(TEXT($I128,"yyyy-mm-dd")&amp;"|"&amp;""&amp;"|"&amp;"",tblExcepciones[clave],tblExcepciones[habil],_xlfn.XLOOKUP(TEXT($I128,"yyyy-mm-dd")&amp;"|"&amp;""&amp;"|",tblExcepciones[clave],tblExcepciones[habil],_xlfn.XLOOKUP(TEXT($I128,"yyyy-mm-dd")&amp;"||",tblExcepciones[clave],tblExcepciones[habil],INDEX(patronHabil,WEEKDAY($I128,2)))))</f>
        <v/>
      </c>
    </row>
    <row r="129">
      <c r="A129" s="8" t="n"/>
      <c r="B129" s="6" t="n"/>
      <c r="C129" s="6" t="n"/>
      <c r="D129" s="6" t="n"/>
      <c r="E129" s="6" t="n"/>
      <c r="F129" s="6" t="n"/>
      <c r="G129" s="3">
        <f>IF(tblExcepciones[[#This Row],[fecha]]="","",TEXT(tblExcepciones[[#This Row],[fecha]],"yyyy-mm-dd")&amp;"|"&amp;tblExcepciones[[#This Row],[area]]&amp;"|"&amp;tblExcepciones[[#This Row],[sub_area]])</f>
        <v/>
      </c>
      <c r="I129" s="12" t="n">
        <v>46147</v>
      </c>
      <c r="J129" s="3">
        <f>_xlfn.XLOOKUP(TEXT($I129,"yyyy-mm-dd")&amp;"|"&amp;""&amp;"|"&amp;"",tblExcepciones[clave],tblExcepciones[habil],_xlfn.XLOOKUP(TEXT($I129,"yyyy-mm-dd")&amp;"|"&amp;""&amp;"|",tblExcepciones[clave],tblExcepciones[habil],_xlfn.XLOOKUP(TEXT($I129,"yyyy-mm-dd")&amp;"||",tblExcepciones[clave],tblExcepciones[habil],INDEX(patronHabil,WEEKDAY($I129,2)))))</f>
        <v/>
      </c>
    </row>
    <row r="130">
      <c r="A130" s="8" t="n"/>
      <c r="B130" s="6" t="n"/>
      <c r="C130" s="6" t="n"/>
      <c r="D130" s="6" t="n"/>
      <c r="E130" s="6" t="n"/>
      <c r="F130" s="6" t="n"/>
      <c r="G130" s="3">
        <f>IF(tblExcepciones[[#This Row],[fecha]]="","",TEXT(tblExcepciones[[#This Row],[fecha]],"yyyy-mm-dd")&amp;"|"&amp;tblExcepciones[[#This Row],[area]]&amp;"|"&amp;tblExcepciones[[#This Row],[sub_area]])</f>
        <v/>
      </c>
      <c r="I130" s="12" t="n">
        <v>46148</v>
      </c>
      <c r="J130" s="3">
        <f>_xlfn.XLOOKUP(TEXT($I130,"yyyy-mm-dd")&amp;"|"&amp;""&amp;"|"&amp;"",tblExcepciones[clave],tblExcepciones[habil],_xlfn.XLOOKUP(TEXT($I130,"yyyy-mm-dd")&amp;"|"&amp;""&amp;"|",tblExcepciones[clave],tblExcepciones[habil],_xlfn.XLOOKUP(TEXT($I130,"yyyy-mm-dd")&amp;"||",tblExcepciones[clave],tblExcepciones[habil],INDEX(patronHabil,WEEKDAY($I130,2)))))</f>
        <v/>
      </c>
    </row>
    <row r="131">
      <c r="A131" s="8" t="n"/>
      <c r="B131" s="6" t="n"/>
      <c r="C131" s="6" t="n"/>
      <c r="D131" s="6" t="n"/>
      <c r="E131" s="6" t="n"/>
      <c r="F131" s="6" t="n"/>
      <c r="G131" s="3">
        <f>IF(tblExcepciones[[#This Row],[fecha]]="","",TEXT(tblExcepciones[[#This Row],[fecha]],"yyyy-mm-dd")&amp;"|"&amp;tblExcepciones[[#This Row],[area]]&amp;"|"&amp;tblExcepciones[[#This Row],[sub_area]])</f>
        <v/>
      </c>
      <c r="I131" s="12" t="n">
        <v>46149</v>
      </c>
      <c r="J131" s="3">
        <f>_xlfn.XLOOKUP(TEXT($I131,"yyyy-mm-dd")&amp;"|"&amp;""&amp;"|"&amp;"",tblExcepciones[clave],tblExcepciones[habil],_xlfn.XLOOKUP(TEXT($I131,"yyyy-mm-dd")&amp;"|"&amp;""&amp;"|",tblExcepciones[clave],tblExcepciones[habil],_xlfn.XLOOKUP(TEXT($I131,"yyyy-mm-dd")&amp;"||",tblExcepciones[clave],tblExcepciones[habil],INDEX(patronHabil,WEEKDAY($I131,2)))))</f>
        <v/>
      </c>
    </row>
    <row r="132">
      <c r="A132" s="8" t="n"/>
      <c r="B132" s="6" t="n"/>
      <c r="C132" s="6" t="n"/>
      <c r="D132" s="6" t="n"/>
      <c r="E132" s="6" t="n"/>
      <c r="F132" s="6" t="n"/>
      <c r="G132" s="3">
        <f>IF(tblExcepciones[[#This Row],[fecha]]="","",TEXT(tblExcepciones[[#This Row],[fecha]],"yyyy-mm-dd")&amp;"|"&amp;tblExcepciones[[#This Row],[area]]&amp;"|"&amp;tblExcepciones[[#This Row],[sub_area]])</f>
        <v/>
      </c>
      <c r="I132" s="12" t="n">
        <v>46150</v>
      </c>
      <c r="J132" s="3">
        <f>_xlfn.XLOOKUP(TEXT($I132,"yyyy-mm-dd")&amp;"|"&amp;""&amp;"|"&amp;"",tblExcepciones[clave],tblExcepciones[habil],_xlfn.XLOOKUP(TEXT($I132,"yyyy-mm-dd")&amp;"|"&amp;""&amp;"|",tblExcepciones[clave],tblExcepciones[habil],_xlfn.XLOOKUP(TEXT($I132,"yyyy-mm-dd")&amp;"||",tblExcepciones[clave],tblExcepciones[habil],INDEX(patronHabil,WEEKDAY($I132,2)))))</f>
        <v/>
      </c>
    </row>
    <row r="133">
      <c r="A133" s="8" t="n"/>
      <c r="B133" s="6" t="n"/>
      <c r="C133" s="6" t="n"/>
      <c r="D133" s="6" t="n"/>
      <c r="E133" s="6" t="n"/>
      <c r="F133" s="6" t="n"/>
      <c r="G133" s="3">
        <f>IF(tblExcepciones[[#This Row],[fecha]]="","",TEXT(tblExcepciones[[#This Row],[fecha]],"yyyy-mm-dd")&amp;"|"&amp;tblExcepciones[[#This Row],[area]]&amp;"|"&amp;tblExcepciones[[#This Row],[sub_area]])</f>
        <v/>
      </c>
      <c r="I133" s="12" t="n">
        <v>46151</v>
      </c>
      <c r="J133" s="3">
        <f>_xlfn.XLOOKUP(TEXT($I133,"yyyy-mm-dd")&amp;"|"&amp;""&amp;"|"&amp;"",tblExcepciones[clave],tblExcepciones[habil],_xlfn.XLOOKUP(TEXT($I133,"yyyy-mm-dd")&amp;"|"&amp;""&amp;"|",tblExcepciones[clave],tblExcepciones[habil],_xlfn.XLOOKUP(TEXT($I133,"yyyy-mm-dd")&amp;"||",tblExcepciones[clave],tblExcepciones[habil],INDEX(patronHabil,WEEKDAY($I133,2)))))</f>
        <v/>
      </c>
    </row>
    <row r="134">
      <c r="A134" s="8" t="n"/>
      <c r="B134" s="6" t="n"/>
      <c r="C134" s="6" t="n"/>
      <c r="D134" s="6" t="n"/>
      <c r="E134" s="6" t="n"/>
      <c r="F134" s="6" t="n"/>
      <c r="G134" s="3">
        <f>IF(tblExcepciones[[#This Row],[fecha]]="","",TEXT(tblExcepciones[[#This Row],[fecha]],"yyyy-mm-dd")&amp;"|"&amp;tblExcepciones[[#This Row],[area]]&amp;"|"&amp;tblExcepciones[[#This Row],[sub_area]])</f>
        <v/>
      </c>
      <c r="I134" s="12" t="n">
        <v>46152</v>
      </c>
      <c r="J134" s="3">
        <f>_xlfn.XLOOKUP(TEXT($I134,"yyyy-mm-dd")&amp;"|"&amp;""&amp;"|"&amp;"",tblExcepciones[clave],tblExcepciones[habil],_xlfn.XLOOKUP(TEXT($I134,"yyyy-mm-dd")&amp;"|"&amp;""&amp;"|",tblExcepciones[clave],tblExcepciones[habil],_xlfn.XLOOKUP(TEXT($I134,"yyyy-mm-dd")&amp;"||",tblExcepciones[clave],tblExcepciones[habil],INDEX(patronHabil,WEEKDAY($I134,2)))))</f>
        <v/>
      </c>
    </row>
    <row r="135">
      <c r="A135" s="8" t="n"/>
      <c r="B135" s="6" t="n"/>
      <c r="C135" s="6" t="n"/>
      <c r="D135" s="6" t="n"/>
      <c r="E135" s="6" t="n"/>
      <c r="F135" s="6" t="n"/>
      <c r="G135" s="3">
        <f>IF(tblExcepciones[[#This Row],[fecha]]="","",TEXT(tblExcepciones[[#This Row],[fecha]],"yyyy-mm-dd")&amp;"|"&amp;tblExcepciones[[#This Row],[area]]&amp;"|"&amp;tblExcepciones[[#This Row],[sub_area]])</f>
        <v/>
      </c>
      <c r="I135" s="12" t="n">
        <v>46153</v>
      </c>
      <c r="J135" s="3">
        <f>_xlfn.XLOOKUP(TEXT($I135,"yyyy-mm-dd")&amp;"|"&amp;""&amp;"|"&amp;"",tblExcepciones[clave],tblExcepciones[habil],_xlfn.XLOOKUP(TEXT($I135,"yyyy-mm-dd")&amp;"|"&amp;""&amp;"|",tblExcepciones[clave],tblExcepciones[habil],_xlfn.XLOOKUP(TEXT($I135,"yyyy-mm-dd")&amp;"||",tblExcepciones[clave],tblExcepciones[habil],INDEX(patronHabil,WEEKDAY($I135,2)))))</f>
        <v/>
      </c>
    </row>
    <row r="136">
      <c r="A136" s="8" t="n"/>
      <c r="B136" s="6" t="n"/>
      <c r="C136" s="6" t="n"/>
      <c r="D136" s="6" t="n"/>
      <c r="E136" s="6" t="n"/>
      <c r="F136" s="6" t="n"/>
      <c r="G136" s="3">
        <f>IF(tblExcepciones[[#This Row],[fecha]]="","",TEXT(tblExcepciones[[#This Row],[fecha]],"yyyy-mm-dd")&amp;"|"&amp;tblExcepciones[[#This Row],[area]]&amp;"|"&amp;tblExcepciones[[#This Row],[sub_area]])</f>
        <v/>
      </c>
      <c r="I136" s="12" t="n">
        <v>46154</v>
      </c>
      <c r="J136" s="3">
        <f>_xlfn.XLOOKUP(TEXT($I136,"yyyy-mm-dd")&amp;"|"&amp;""&amp;"|"&amp;"",tblExcepciones[clave],tblExcepciones[habil],_xlfn.XLOOKUP(TEXT($I136,"yyyy-mm-dd")&amp;"|"&amp;""&amp;"|",tblExcepciones[clave],tblExcepciones[habil],_xlfn.XLOOKUP(TEXT($I136,"yyyy-mm-dd")&amp;"||",tblExcepciones[clave],tblExcepciones[habil],INDEX(patronHabil,WEEKDAY($I136,2)))))</f>
        <v/>
      </c>
    </row>
    <row r="137">
      <c r="A137" s="8" t="n"/>
      <c r="B137" s="6" t="n"/>
      <c r="C137" s="6" t="n"/>
      <c r="D137" s="6" t="n"/>
      <c r="E137" s="6" t="n"/>
      <c r="F137" s="6" t="n"/>
      <c r="G137" s="3">
        <f>IF(tblExcepciones[[#This Row],[fecha]]="","",TEXT(tblExcepciones[[#This Row],[fecha]],"yyyy-mm-dd")&amp;"|"&amp;tblExcepciones[[#This Row],[area]]&amp;"|"&amp;tblExcepciones[[#This Row],[sub_area]])</f>
        <v/>
      </c>
      <c r="I137" s="12" t="n">
        <v>46155</v>
      </c>
      <c r="J137" s="3">
        <f>_xlfn.XLOOKUP(TEXT($I137,"yyyy-mm-dd")&amp;"|"&amp;""&amp;"|"&amp;"",tblExcepciones[clave],tblExcepciones[habil],_xlfn.XLOOKUP(TEXT($I137,"yyyy-mm-dd")&amp;"|"&amp;""&amp;"|",tblExcepciones[clave],tblExcepciones[habil],_xlfn.XLOOKUP(TEXT($I137,"yyyy-mm-dd")&amp;"||",tblExcepciones[clave],tblExcepciones[habil],INDEX(patronHabil,WEEKDAY($I137,2)))))</f>
        <v/>
      </c>
    </row>
    <row r="138">
      <c r="A138" s="8" t="n"/>
      <c r="B138" s="6" t="n"/>
      <c r="C138" s="6" t="n"/>
      <c r="D138" s="6" t="n"/>
      <c r="E138" s="6" t="n"/>
      <c r="F138" s="6" t="n"/>
      <c r="G138" s="3">
        <f>IF(tblExcepciones[[#This Row],[fecha]]="","",TEXT(tblExcepciones[[#This Row],[fecha]],"yyyy-mm-dd")&amp;"|"&amp;tblExcepciones[[#This Row],[area]]&amp;"|"&amp;tblExcepciones[[#This Row],[sub_area]])</f>
        <v/>
      </c>
      <c r="I138" s="12" t="n">
        <v>46156</v>
      </c>
      <c r="J138" s="3">
        <f>_xlfn.XLOOKUP(TEXT($I138,"yyyy-mm-dd")&amp;"|"&amp;""&amp;"|"&amp;"",tblExcepciones[clave],tblExcepciones[habil],_xlfn.XLOOKUP(TEXT($I138,"yyyy-mm-dd")&amp;"|"&amp;""&amp;"|",tblExcepciones[clave],tblExcepciones[habil],_xlfn.XLOOKUP(TEXT($I138,"yyyy-mm-dd")&amp;"||",tblExcepciones[clave],tblExcepciones[habil],INDEX(patronHabil,WEEKDAY($I138,2)))))</f>
        <v/>
      </c>
    </row>
    <row r="139">
      <c r="A139" s="8" t="n"/>
      <c r="B139" s="6" t="n"/>
      <c r="C139" s="6" t="n"/>
      <c r="D139" s="6" t="n"/>
      <c r="E139" s="6" t="n"/>
      <c r="F139" s="6" t="n"/>
      <c r="G139" s="3">
        <f>IF(tblExcepciones[[#This Row],[fecha]]="","",TEXT(tblExcepciones[[#This Row],[fecha]],"yyyy-mm-dd")&amp;"|"&amp;tblExcepciones[[#This Row],[area]]&amp;"|"&amp;tblExcepciones[[#This Row],[sub_area]])</f>
        <v/>
      </c>
      <c r="I139" s="12" t="n">
        <v>46157</v>
      </c>
      <c r="J139" s="3">
        <f>_xlfn.XLOOKUP(TEXT($I139,"yyyy-mm-dd")&amp;"|"&amp;""&amp;"|"&amp;"",tblExcepciones[clave],tblExcepciones[habil],_xlfn.XLOOKUP(TEXT($I139,"yyyy-mm-dd")&amp;"|"&amp;""&amp;"|",tblExcepciones[clave],tblExcepciones[habil],_xlfn.XLOOKUP(TEXT($I139,"yyyy-mm-dd")&amp;"||",tblExcepciones[clave],tblExcepciones[habil],INDEX(patronHabil,WEEKDAY($I139,2)))))</f>
        <v/>
      </c>
    </row>
    <row r="140">
      <c r="A140" s="8" t="n"/>
      <c r="B140" s="6" t="n"/>
      <c r="C140" s="6" t="n"/>
      <c r="D140" s="6" t="n"/>
      <c r="E140" s="6" t="n"/>
      <c r="F140" s="6" t="n"/>
      <c r="G140" s="3">
        <f>IF(tblExcepciones[[#This Row],[fecha]]="","",TEXT(tblExcepciones[[#This Row],[fecha]],"yyyy-mm-dd")&amp;"|"&amp;tblExcepciones[[#This Row],[area]]&amp;"|"&amp;tblExcepciones[[#This Row],[sub_area]])</f>
        <v/>
      </c>
      <c r="I140" s="12" t="n">
        <v>46158</v>
      </c>
      <c r="J140" s="3">
        <f>_xlfn.XLOOKUP(TEXT($I140,"yyyy-mm-dd")&amp;"|"&amp;""&amp;"|"&amp;"",tblExcepciones[clave],tblExcepciones[habil],_xlfn.XLOOKUP(TEXT($I140,"yyyy-mm-dd")&amp;"|"&amp;""&amp;"|",tblExcepciones[clave],tblExcepciones[habil],_xlfn.XLOOKUP(TEXT($I140,"yyyy-mm-dd")&amp;"||",tblExcepciones[clave],tblExcepciones[habil],INDEX(patronHabil,WEEKDAY($I140,2)))))</f>
        <v/>
      </c>
    </row>
    <row r="141">
      <c r="A141" s="8" t="n"/>
      <c r="B141" s="6" t="n"/>
      <c r="C141" s="6" t="n"/>
      <c r="D141" s="6" t="n"/>
      <c r="E141" s="6" t="n"/>
      <c r="F141" s="6" t="n"/>
      <c r="G141" s="3">
        <f>IF(tblExcepciones[[#This Row],[fecha]]="","",TEXT(tblExcepciones[[#This Row],[fecha]],"yyyy-mm-dd")&amp;"|"&amp;tblExcepciones[[#This Row],[area]]&amp;"|"&amp;tblExcepciones[[#This Row],[sub_area]])</f>
        <v/>
      </c>
      <c r="I141" s="12" t="n">
        <v>46159</v>
      </c>
      <c r="J141" s="3">
        <f>_xlfn.XLOOKUP(TEXT($I141,"yyyy-mm-dd")&amp;"|"&amp;""&amp;"|"&amp;"",tblExcepciones[clave],tblExcepciones[habil],_xlfn.XLOOKUP(TEXT($I141,"yyyy-mm-dd")&amp;"|"&amp;""&amp;"|",tblExcepciones[clave],tblExcepciones[habil],_xlfn.XLOOKUP(TEXT($I141,"yyyy-mm-dd")&amp;"||",tblExcepciones[clave],tblExcepciones[habil],INDEX(patronHabil,WEEKDAY($I141,2)))))</f>
        <v/>
      </c>
    </row>
    <row r="142">
      <c r="A142" s="8" t="n"/>
      <c r="B142" s="6" t="n"/>
      <c r="C142" s="6" t="n"/>
      <c r="D142" s="6" t="n"/>
      <c r="E142" s="6" t="n"/>
      <c r="F142" s="6" t="n"/>
      <c r="G142" s="3">
        <f>IF(tblExcepciones[[#This Row],[fecha]]="","",TEXT(tblExcepciones[[#This Row],[fecha]],"yyyy-mm-dd")&amp;"|"&amp;tblExcepciones[[#This Row],[area]]&amp;"|"&amp;tblExcepciones[[#This Row],[sub_area]])</f>
        <v/>
      </c>
      <c r="I142" s="12" t="n">
        <v>46160</v>
      </c>
      <c r="J142" s="3">
        <f>_xlfn.XLOOKUP(TEXT($I142,"yyyy-mm-dd")&amp;"|"&amp;""&amp;"|"&amp;"",tblExcepciones[clave],tblExcepciones[habil],_xlfn.XLOOKUP(TEXT($I142,"yyyy-mm-dd")&amp;"|"&amp;""&amp;"|",tblExcepciones[clave],tblExcepciones[habil],_xlfn.XLOOKUP(TEXT($I142,"yyyy-mm-dd")&amp;"||",tblExcepciones[clave],tblExcepciones[habil],INDEX(patronHabil,WEEKDAY($I142,2)))))</f>
        <v/>
      </c>
    </row>
    <row r="143">
      <c r="A143" s="8" t="n"/>
      <c r="B143" s="6" t="n"/>
      <c r="C143" s="6" t="n"/>
      <c r="D143" s="6" t="n"/>
      <c r="E143" s="6" t="n"/>
      <c r="F143" s="6" t="n"/>
      <c r="G143" s="3">
        <f>IF(tblExcepciones[[#This Row],[fecha]]="","",TEXT(tblExcepciones[[#This Row],[fecha]],"yyyy-mm-dd")&amp;"|"&amp;tblExcepciones[[#This Row],[area]]&amp;"|"&amp;tblExcepciones[[#This Row],[sub_area]])</f>
        <v/>
      </c>
      <c r="I143" s="12" t="n">
        <v>46161</v>
      </c>
      <c r="J143" s="3">
        <f>_xlfn.XLOOKUP(TEXT($I143,"yyyy-mm-dd")&amp;"|"&amp;""&amp;"|"&amp;"",tblExcepciones[clave],tblExcepciones[habil],_xlfn.XLOOKUP(TEXT($I143,"yyyy-mm-dd")&amp;"|"&amp;""&amp;"|",tblExcepciones[clave],tblExcepciones[habil],_xlfn.XLOOKUP(TEXT($I143,"yyyy-mm-dd")&amp;"||",tblExcepciones[clave],tblExcepciones[habil],INDEX(patronHabil,WEEKDAY($I143,2)))))</f>
        <v/>
      </c>
    </row>
    <row r="144">
      <c r="A144" s="8" t="n"/>
      <c r="B144" s="6" t="n"/>
      <c r="C144" s="6" t="n"/>
      <c r="D144" s="6" t="n"/>
      <c r="E144" s="6" t="n"/>
      <c r="F144" s="6" t="n"/>
      <c r="G144" s="3">
        <f>IF(tblExcepciones[[#This Row],[fecha]]="","",TEXT(tblExcepciones[[#This Row],[fecha]],"yyyy-mm-dd")&amp;"|"&amp;tblExcepciones[[#This Row],[area]]&amp;"|"&amp;tblExcepciones[[#This Row],[sub_area]])</f>
        <v/>
      </c>
      <c r="I144" s="12" t="n">
        <v>46162</v>
      </c>
      <c r="J144" s="3">
        <f>_xlfn.XLOOKUP(TEXT($I144,"yyyy-mm-dd")&amp;"|"&amp;""&amp;"|"&amp;"",tblExcepciones[clave],tblExcepciones[habil],_xlfn.XLOOKUP(TEXT($I144,"yyyy-mm-dd")&amp;"|"&amp;""&amp;"|",tblExcepciones[clave],tblExcepciones[habil],_xlfn.XLOOKUP(TEXT($I144,"yyyy-mm-dd")&amp;"||",tblExcepciones[clave],tblExcepciones[habil],INDEX(patronHabil,WEEKDAY($I144,2)))))</f>
        <v/>
      </c>
    </row>
    <row r="145">
      <c r="A145" s="8" t="n"/>
      <c r="B145" s="6" t="n"/>
      <c r="C145" s="6" t="n"/>
      <c r="D145" s="6" t="n"/>
      <c r="E145" s="6" t="n"/>
      <c r="F145" s="6" t="n"/>
      <c r="G145" s="3">
        <f>IF(tblExcepciones[[#This Row],[fecha]]="","",TEXT(tblExcepciones[[#This Row],[fecha]],"yyyy-mm-dd")&amp;"|"&amp;tblExcepciones[[#This Row],[area]]&amp;"|"&amp;tblExcepciones[[#This Row],[sub_area]])</f>
        <v/>
      </c>
      <c r="I145" s="12" t="n">
        <v>46163</v>
      </c>
      <c r="J145" s="3">
        <f>_xlfn.XLOOKUP(TEXT($I145,"yyyy-mm-dd")&amp;"|"&amp;""&amp;"|"&amp;"",tblExcepciones[clave],tblExcepciones[habil],_xlfn.XLOOKUP(TEXT($I145,"yyyy-mm-dd")&amp;"|"&amp;""&amp;"|",tblExcepciones[clave],tblExcepciones[habil],_xlfn.XLOOKUP(TEXT($I145,"yyyy-mm-dd")&amp;"||",tblExcepciones[clave],tblExcepciones[habil],INDEX(patronHabil,WEEKDAY($I145,2)))))</f>
        <v/>
      </c>
    </row>
    <row r="146">
      <c r="A146" s="8" t="n"/>
      <c r="B146" s="6" t="n"/>
      <c r="C146" s="6" t="n"/>
      <c r="D146" s="6" t="n"/>
      <c r="E146" s="6" t="n"/>
      <c r="F146" s="6" t="n"/>
      <c r="G146" s="3">
        <f>IF(tblExcepciones[[#This Row],[fecha]]="","",TEXT(tblExcepciones[[#This Row],[fecha]],"yyyy-mm-dd")&amp;"|"&amp;tblExcepciones[[#This Row],[area]]&amp;"|"&amp;tblExcepciones[[#This Row],[sub_area]])</f>
        <v/>
      </c>
      <c r="I146" s="12" t="n">
        <v>46164</v>
      </c>
      <c r="J146" s="3">
        <f>_xlfn.XLOOKUP(TEXT($I146,"yyyy-mm-dd")&amp;"|"&amp;""&amp;"|"&amp;"",tblExcepciones[clave],tblExcepciones[habil],_xlfn.XLOOKUP(TEXT($I146,"yyyy-mm-dd")&amp;"|"&amp;""&amp;"|",tblExcepciones[clave],tblExcepciones[habil],_xlfn.XLOOKUP(TEXT($I146,"yyyy-mm-dd")&amp;"||",tblExcepciones[clave],tblExcepciones[habil],INDEX(patronHabil,WEEKDAY($I146,2)))))</f>
        <v/>
      </c>
    </row>
    <row r="147">
      <c r="A147" s="8" t="n"/>
      <c r="B147" s="6" t="n"/>
      <c r="C147" s="6" t="n"/>
      <c r="D147" s="6" t="n"/>
      <c r="E147" s="6" t="n"/>
      <c r="F147" s="6" t="n"/>
      <c r="G147" s="3">
        <f>IF(tblExcepciones[[#This Row],[fecha]]="","",TEXT(tblExcepciones[[#This Row],[fecha]],"yyyy-mm-dd")&amp;"|"&amp;tblExcepciones[[#This Row],[area]]&amp;"|"&amp;tblExcepciones[[#This Row],[sub_area]])</f>
        <v/>
      </c>
      <c r="I147" s="12" t="n">
        <v>46165</v>
      </c>
      <c r="J147" s="3">
        <f>_xlfn.XLOOKUP(TEXT($I147,"yyyy-mm-dd")&amp;"|"&amp;""&amp;"|"&amp;"",tblExcepciones[clave],tblExcepciones[habil],_xlfn.XLOOKUP(TEXT($I147,"yyyy-mm-dd")&amp;"|"&amp;""&amp;"|",tblExcepciones[clave],tblExcepciones[habil],_xlfn.XLOOKUP(TEXT($I147,"yyyy-mm-dd")&amp;"||",tblExcepciones[clave],tblExcepciones[habil],INDEX(patronHabil,WEEKDAY($I147,2)))))</f>
        <v/>
      </c>
    </row>
    <row r="148">
      <c r="A148" s="8" t="n"/>
      <c r="B148" s="6" t="n"/>
      <c r="C148" s="6" t="n"/>
      <c r="D148" s="6" t="n"/>
      <c r="E148" s="6" t="n"/>
      <c r="F148" s="6" t="n"/>
      <c r="G148" s="3">
        <f>IF(tblExcepciones[[#This Row],[fecha]]="","",TEXT(tblExcepciones[[#This Row],[fecha]],"yyyy-mm-dd")&amp;"|"&amp;tblExcepciones[[#This Row],[area]]&amp;"|"&amp;tblExcepciones[[#This Row],[sub_area]])</f>
        <v/>
      </c>
      <c r="I148" s="12" t="n">
        <v>46166</v>
      </c>
      <c r="J148" s="3">
        <f>_xlfn.XLOOKUP(TEXT($I148,"yyyy-mm-dd")&amp;"|"&amp;""&amp;"|"&amp;"",tblExcepciones[clave],tblExcepciones[habil],_xlfn.XLOOKUP(TEXT($I148,"yyyy-mm-dd")&amp;"|"&amp;""&amp;"|",tblExcepciones[clave],tblExcepciones[habil],_xlfn.XLOOKUP(TEXT($I148,"yyyy-mm-dd")&amp;"||",tblExcepciones[clave],tblExcepciones[habil],INDEX(patronHabil,WEEKDAY($I148,2)))))</f>
        <v/>
      </c>
    </row>
    <row r="149">
      <c r="A149" s="8" t="n"/>
      <c r="B149" s="6" t="n"/>
      <c r="C149" s="6" t="n"/>
      <c r="D149" s="6" t="n"/>
      <c r="E149" s="6" t="n"/>
      <c r="F149" s="6" t="n"/>
      <c r="G149" s="3">
        <f>IF(tblExcepciones[[#This Row],[fecha]]="","",TEXT(tblExcepciones[[#This Row],[fecha]],"yyyy-mm-dd")&amp;"|"&amp;tblExcepciones[[#This Row],[area]]&amp;"|"&amp;tblExcepciones[[#This Row],[sub_area]])</f>
        <v/>
      </c>
      <c r="I149" s="12" t="n">
        <v>46167</v>
      </c>
      <c r="J149" s="3">
        <f>_xlfn.XLOOKUP(TEXT($I149,"yyyy-mm-dd")&amp;"|"&amp;""&amp;"|"&amp;"",tblExcepciones[clave],tblExcepciones[habil],_xlfn.XLOOKUP(TEXT($I149,"yyyy-mm-dd")&amp;"|"&amp;""&amp;"|",tblExcepciones[clave],tblExcepciones[habil],_xlfn.XLOOKUP(TEXT($I149,"yyyy-mm-dd")&amp;"||",tblExcepciones[clave],tblExcepciones[habil],INDEX(patronHabil,WEEKDAY($I149,2)))))</f>
        <v/>
      </c>
    </row>
    <row r="150">
      <c r="A150" s="8" t="n"/>
      <c r="B150" s="6" t="n"/>
      <c r="C150" s="6" t="n"/>
      <c r="D150" s="6" t="n"/>
      <c r="E150" s="6" t="n"/>
      <c r="F150" s="6" t="n"/>
      <c r="G150" s="3">
        <f>IF(tblExcepciones[[#This Row],[fecha]]="","",TEXT(tblExcepciones[[#This Row],[fecha]],"yyyy-mm-dd")&amp;"|"&amp;tblExcepciones[[#This Row],[area]]&amp;"|"&amp;tblExcepciones[[#This Row],[sub_area]])</f>
        <v/>
      </c>
      <c r="I150" s="12" t="n">
        <v>46168</v>
      </c>
      <c r="J150" s="3">
        <f>_xlfn.XLOOKUP(TEXT($I150,"yyyy-mm-dd")&amp;"|"&amp;""&amp;"|"&amp;"",tblExcepciones[clave],tblExcepciones[habil],_xlfn.XLOOKUP(TEXT($I150,"yyyy-mm-dd")&amp;"|"&amp;""&amp;"|",tblExcepciones[clave],tblExcepciones[habil],_xlfn.XLOOKUP(TEXT($I150,"yyyy-mm-dd")&amp;"||",tblExcepciones[clave],tblExcepciones[habil],INDEX(patronHabil,WEEKDAY($I150,2)))))</f>
        <v/>
      </c>
    </row>
    <row r="151">
      <c r="A151" s="8" t="n"/>
      <c r="B151" s="6" t="n"/>
      <c r="C151" s="6" t="n"/>
      <c r="D151" s="6" t="n"/>
      <c r="E151" s="6" t="n"/>
      <c r="F151" s="6" t="n"/>
      <c r="G151" s="3">
        <f>IF(tblExcepciones[[#This Row],[fecha]]="","",TEXT(tblExcepciones[[#This Row],[fecha]],"yyyy-mm-dd")&amp;"|"&amp;tblExcepciones[[#This Row],[area]]&amp;"|"&amp;tblExcepciones[[#This Row],[sub_area]])</f>
        <v/>
      </c>
      <c r="I151" s="12" t="n">
        <v>46169</v>
      </c>
      <c r="J151" s="3">
        <f>_xlfn.XLOOKUP(TEXT($I151,"yyyy-mm-dd")&amp;"|"&amp;""&amp;"|"&amp;"",tblExcepciones[clave],tblExcepciones[habil],_xlfn.XLOOKUP(TEXT($I151,"yyyy-mm-dd")&amp;"|"&amp;""&amp;"|",tblExcepciones[clave],tblExcepciones[habil],_xlfn.XLOOKUP(TEXT($I151,"yyyy-mm-dd")&amp;"||",tblExcepciones[clave],tblExcepciones[habil],INDEX(patronHabil,WEEKDAY($I151,2)))))</f>
        <v/>
      </c>
    </row>
    <row r="152">
      <c r="A152" s="8" t="n"/>
      <c r="B152" s="6" t="n"/>
      <c r="C152" s="6" t="n"/>
      <c r="D152" s="6" t="n"/>
      <c r="E152" s="6" t="n"/>
      <c r="F152" s="6" t="n"/>
      <c r="G152" s="3">
        <f>IF(tblExcepciones[[#This Row],[fecha]]="","",TEXT(tblExcepciones[[#This Row],[fecha]],"yyyy-mm-dd")&amp;"|"&amp;tblExcepciones[[#This Row],[area]]&amp;"|"&amp;tblExcepciones[[#This Row],[sub_area]])</f>
        <v/>
      </c>
      <c r="I152" s="12" t="n">
        <v>46170</v>
      </c>
      <c r="J152" s="3">
        <f>_xlfn.XLOOKUP(TEXT($I152,"yyyy-mm-dd")&amp;"|"&amp;""&amp;"|"&amp;"",tblExcepciones[clave],tblExcepciones[habil],_xlfn.XLOOKUP(TEXT($I152,"yyyy-mm-dd")&amp;"|"&amp;""&amp;"|",tblExcepciones[clave],tblExcepciones[habil],_xlfn.XLOOKUP(TEXT($I152,"yyyy-mm-dd")&amp;"||",tblExcepciones[clave],tblExcepciones[habil],INDEX(patronHabil,WEEKDAY($I152,2)))))</f>
        <v/>
      </c>
    </row>
    <row r="153">
      <c r="A153" s="8" t="n"/>
      <c r="B153" s="6" t="n"/>
      <c r="C153" s="6" t="n"/>
      <c r="D153" s="6" t="n"/>
      <c r="E153" s="6" t="n"/>
      <c r="F153" s="6" t="n"/>
      <c r="G153" s="3">
        <f>IF(tblExcepciones[[#This Row],[fecha]]="","",TEXT(tblExcepciones[[#This Row],[fecha]],"yyyy-mm-dd")&amp;"|"&amp;tblExcepciones[[#This Row],[area]]&amp;"|"&amp;tblExcepciones[[#This Row],[sub_area]])</f>
        <v/>
      </c>
      <c r="I153" s="12" t="n">
        <v>46171</v>
      </c>
      <c r="J153" s="3">
        <f>_xlfn.XLOOKUP(TEXT($I153,"yyyy-mm-dd")&amp;"|"&amp;""&amp;"|"&amp;"",tblExcepciones[clave],tblExcepciones[habil],_xlfn.XLOOKUP(TEXT($I153,"yyyy-mm-dd")&amp;"|"&amp;""&amp;"|",tblExcepciones[clave],tblExcepciones[habil],_xlfn.XLOOKUP(TEXT($I153,"yyyy-mm-dd")&amp;"||",tblExcepciones[clave],tblExcepciones[habil],INDEX(patronHabil,WEEKDAY($I153,2)))))</f>
        <v/>
      </c>
    </row>
    <row r="154">
      <c r="A154" s="8" t="n"/>
      <c r="B154" s="6" t="n"/>
      <c r="C154" s="6" t="n"/>
      <c r="D154" s="6" t="n"/>
      <c r="E154" s="6" t="n"/>
      <c r="F154" s="6" t="n"/>
      <c r="G154" s="3">
        <f>IF(tblExcepciones[[#This Row],[fecha]]="","",TEXT(tblExcepciones[[#This Row],[fecha]],"yyyy-mm-dd")&amp;"|"&amp;tblExcepciones[[#This Row],[area]]&amp;"|"&amp;tblExcepciones[[#This Row],[sub_area]])</f>
        <v/>
      </c>
      <c r="I154" s="12" t="n">
        <v>46172</v>
      </c>
      <c r="J154" s="3">
        <f>_xlfn.XLOOKUP(TEXT($I154,"yyyy-mm-dd")&amp;"|"&amp;""&amp;"|"&amp;"",tblExcepciones[clave],tblExcepciones[habil],_xlfn.XLOOKUP(TEXT($I154,"yyyy-mm-dd")&amp;"|"&amp;""&amp;"|",tblExcepciones[clave],tblExcepciones[habil],_xlfn.XLOOKUP(TEXT($I154,"yyyy-mm-dd")&amp;"||",tblExcepciones[clave],tblExcepciones[habil],INDEX(patronHabil,WEEKDAY($I154,2)))))</f>
        <v/>
      </c>
    </row>
    <row r="155">
      <c r="A155" s="8" t="n"/>
      <c r="B155" s="6" t="n"/>
      <c r="C155" s="6" t="n"/>
      <c r="D155" s="6" t="n"/>
      <c r="E155" s="6" t="n"/>
      <c r="F155" s="6" t="n"/>
      <c r="G155" s="3">
        <f>IF(tblExcepciones[[#This Row],[fecha]]="","",TEXT(tblExcepciones[[#This Row],[fecha]],"yyyy-mm-dd")&amp;"|"&amp;tblExcepciones[[#This Row],[area]]&amp;"|"&amp;tblExcepciones[[#This Row],[sub_area]])</f>
        <v/>
      </c>
      <c r="I155" s="12" t="n">
        <v>46173</v>
      </c>
      <c r="J155" s="3">
        <f>_xlfn.XLOOKUP(TEXT($I155,"yyyy-mm-dd")&amp;"|"&amp;""&amp;"|"&amp;"",tblExcepciones[clave],tblExcepciones[habil],_xlfn.XLOOKUP(TEXT($I155,"yyyy-mm-dd")&amp;"|"&amp;""&amp;"|",tblExcepciones[clave],tblExcepciones[habil],_xlfn.XLOOKUP(TEXT($I155,"yyyy-mm-dd")&amp;"||",tblExcepciones[clave],tblExcepciones[habil],INDEX(patronHabil,WEEKDAY($I155,2)))))</f>
        <v/>
      </c>
    </row>
    <row r="156">
      <c r="A156" s="8" t="n"/>
      <c r="B156" s="6" t="n"/>
      <c r="C156" s="6" t="n"/>
      <c r="D156" s="6" t="n"/>
      <c r="E156" s="6" t="n"/>
      <c r="F156" s="6" t="n"/>
      <c r="G156" s="3">
        <f>IF(tblExcepciones[[#This Row],[fecha]]="","",TEXT(tblExcepciones[[#This Row],[fecha]],"yyyy-mm-dd")&amp;"|"&amp;tblExcepciones[[#This Row],[area]]&amp;"|"&amp;tblExcepciones[[#This Row],[sub_area]])</f>
        <v/>
      </c>
      <c r="I156" s="12" t="n">
        <v>46174</v>
      </c>
      <c r="J156" s="3">
        <f>_xlfn.XLOOKUP(TEXT($I156,"yyyy-mm-dd")&amp;"|"&amp;""&amp;"|"&amp;"",tblExcepciones[clave],tblExcepciones[habil],_xlfn.XLOOKUP(TEXT($I156,"yyyy-mm-dd")&amp;"|"&amp;""&amp;"|",tblExcepciones[clave],tblExcepciones[habil],_xlfn.XLOOKUP(TEXT($I156,"yyyy-mm-dd")&amp;"||",tblExcepciones[clave],tblExcepciones[habil],INDEX(patronHabil,WEEKDAY($I156,2)))))</f>
        <v/>
      </c>
    </row>
    <row r="157">
      <c r="A157" s="8" t="n"/>
      <c r="B157" s="6" t="n"/>
      <c r="C157" s="6" t="n"/>
      <c r="D157" s="6" t="n"/>
      <c r="E157" s="6" t="n"/>
      <c r="F157" s="6" t="n"/>
      <c r="G157" s="3">
        <f>IF(tblExcepciones[[#This Row],[fecha]]="","",TEXT(tblExcepciones[[#This Row],[fecha]],"yyyy-mm-dd")&amp;"|"&amp;tblExcepciones[[#This Row],[area]]&amp;"|"&amp;tblExcepciones[[#This Row],[sub_area]])</f>
        <v/>
      </c>
      <c r="I157" s="12" t="n">
        <v>46175</v>
      </c>
      <c r="J157" s="3">
        <f>_xlfn.XLOOKUP(TEXT($I157,"yyyy-mm-dd")&amp;"|"&amp;""&amp;"|"&amp;"",tblExcepciones[clave],tblExcepciones[habil],_xlfn.XLOOKUP(TEXT($I157,"yyyy-mm-dd")&amp;"|"&amp;""&amp;"|",tblExcepciones[clave],tblExcepciones[habil],_xlfn.XLOOKUP(TEXT($I157,"yyyy-mm-dd")&amp;"||",tblExcepciones[clave],tblExcepciones[habil],INDEX(patronHabil,WEEKDAY($I157,2)))))</f>
        <v/>
      </c>
    </row>
    <row r="158">
      <c r="A158" s="8" t="n"/>
      <c r="B158" s="6" t="n"/>
      <c r="C158" s="6" t="n"/>
      <c r="D158" s="6" t="n"/>
      <c r="E158" s="6" t="n"/>
      <c r="F158" s="6" t="n"/>
      <c r="G158" s="3">
        <f>IF(tblExcepciones[[#This Row],[fecha]]="","",TEXT(tblExcepciones[[#This Row],[fecha]],"yyyy-mm-dd")&amp;"|"&amp;tblExcepciones[[#This Row],[area]]&amp;"|"&amp;tblExcepciones[[#This Row],[sub_area]])</f>
        <v/>
      </c>
      <c r="I158" s="12" t="n">
        <v>46176</v>
      </c>
      <c r="J158" s="3">
        <f>_xlfn.XLOOKUP(TEXT($I158,"yyyy-mm-dd")&amp;"|"&amp;""&amp;"|"&amp;"",tblExcepciones[clave],tblExcepciones[habil],_xlfn.XLOOKUP(TEXT($I158,"yyyy-mm-dd")&amp;"|"&amp;""&amp;"|",tblExcepciones[clave],tblExcepciones[habil],_xlfn.XLOOKUP(TEXT($I158,"yyyy-mm-dd")&amp;"||",tblExcepciones[clave],tblExcepciones[habil],INDEX(patronHabil,WEEKDAY($I158,2)))))</f>
        <v/>
      </c>
    </row>
    <row r="159">
      <c r="A159" s="8" t="n"/>
      <c r="B159" s="6" t="n"/>
      <c r="C159" s="6" t="n"/>
      <c r="D159" s="6" t="n"/>
      <c r="E159" s="6" t="n"/>
      <c r="F159" s="6" t="n"/>
      <c r="G159" s="3">
        <f>IF(tblExcepciones[[#This Row],[fecha]]="","",TEXT(tblExcepciones[[#This Row],[fecha]],"yyyy-mm-dd")&amp;"|"&amp;tblExcepciones[[#This Row],[area]]&amp;"|"&amp;tblExcepciones[[#This Row],[sub_area]])</f>
        <v/>
      </c>
      <c r="I159" s="12" t="n">
        <v>46177</v>
      </c>
      <c r="J159" s="3">
        <f>_xlfn.XLOOKUP(TEXT($I159,"yyyy-mm-dd")&amp;"|"&amp;""&amp;"|"&amp;"",tblExcepciones[clave],tblExcepciones[habil],_xlfn.XLOOKUP(TEXT($I159,"yyyy-mm-dd")&amp;"|"&amp;""&amp;"|",tblExcepciones[clave],tblExcepciones[habil],_xlfn.XLOOKUP(TEXT($I159,"yyyy-mm-dd")&amp;"||",tblExcepciones[clave],tblExcepciones[habil],INDEX(patronHabil,WEEKDAY($I159,2)))))</f>
        <v/>
      </c>
    </row>
    <row r="160">
      <c r="A160" s="8" t="n"/>
      <c r="B160" s="6" t="n"/>
      <c r="C160" s="6" t="n"/>
      <c r="D160" s="6" t="n"/>
      <c r="E160" s="6" t="n"/>
      <c r="F160" s="6" t="n"/>
      <c r="G160" s="3">
        <f>IF(tblExcepciones[[#This Row],[fecha]]="","",TEXT(tblExcepciones[[#This Row],[fecha]],"yyyy-mm-dd")&amp;"|"&amp;tblExcepciones[[#This Row],[area]]&amp;"|"&amp;tblExcepciones[[#This Row],[sub_area]])</f>
        <v/>
      </c>
      <c r="I160" s="12" t="n">
        <v>46178</v>
      </c>
      <c r="J160" s="3">
        <f>_xlfn.XLOOKUP(TEXT($I160,"yyyy-mm-dd")&amp;"|"&amp;""&amp;"|"&amp;"",tblExcepciones[clave],tblExcepciones[habil],_xlfn.XLOOKUP(TEXT($I160,"yyyy-mm-dd")&amp;"|"&amp;""&amp;"|",tblExcepciones[clave],tblExcepciones[habil],_xlfn.XLOOKUP(TEXT($I160,"yyyy-mm-dd")&amp;"||",tblExcepciones[clave],tblExcepciones[habil],INDEX(patronHabil,WEEKDAY($I160,2)))))</f>
        <v/>
      </c>
    </row>
    <row r="161">
      <c r="A161" s="8" t="n"/>
      <c r="B161" s="6" t="n"/>
      <c r="C161" s="6" t="n"/>
      <c r="D161" s="6" t="n"/>
      <c r="E161" s="6" t="n"/>
      <c r="F161" s="6" t="n"/>
      <c r="G161" s="3">
        <f>IF(tblExcepciones[[#This Row],[fecha]]="","",TEXT(tblExcepciones[[#This Row],[fecha]],"yyyy-mm-dd")&amp;"|"&amp;tblExcepciones[[#This Row],[area]]&amp;"|"&amp;tblExcepciones[[#This Row],[sub_area]])</f>
        <v/>
      </c>
      <c r="I161" s="12" t="n">
        <v>46179</v>
      </c>
      <c r="J161" s="3">
        <f>_xlfn.XLOOKUP(TEXT($I161,"yyyy-mm-dd")&amp;"|"&amp;""&amp;"|"&amp;"",tblExcepciones[clave],tblExcepciones[habil],_xlfn.XLOOKUP(TEXT($I161,"yyyy-mm-dd")&amp;"|"&amp;""&amp;"|",tblExcepciones[clave],tblExcepciones[habil],_xlfn.XLOOKUP(TEXT($I161,"yyyy-mm-dd")&amp;"||",tblExcepciones[clave],tblExcepciones[habil],INDEX(patronHabil,WEEKDAY($I161,2)))))</f>
        <v/>
      </c>
    </row>
    <row r="162">
      <c r="A162" s="8" t="n"/>
      <c r="B162" s="6" t="n"/>
      <c r="C162" s="6" t="n"/>
      <c r="D162" s="6" t="n"/>
      <c r="E162" s="6" t="n"/>
      <c r="F162" s="6" t="n"/>
      <c r="G162" s="3">
        <f>IF(tblExcepciones[[#This Row],[fecha]]="","",TEXT(tblExcepciones[[#This Row],[fecha]],"yyyy-mm-dd")&amp;"|"&amp;tblExcepciones[[#This Row],[area]]&amp;"|"&amp;tblExcepciones[[#This Row],[sub_area]])</f>
        <v/>
      </c>
      <c r="I162" s="12" t="n">
        <v>46180</v>
      </c>
      <c r="J162" s="3">
        <f>_xlfn.XLOOKUP(TEXT($I162,"yyyy-mm-dd")&amp;"|"&amp;""&amp;"|"&amp;"",tblExcepciones[clave],tblExcepciones[habil],_xlfn.XLOOKUP(TEXT($I162,"yyyy-mm-dd")&amp;"|"&amp;""&amp;"|",tblExcepciones[clave],tblExcepciones[habil],_xlfn.XLOOKUP(TEXT($I162,"yyyy-mm-dd")&amp;"||",tblExcepciones[clave],tblExcepciones[habil],INDEX(patronHabil,WEEKDAY($I162,2)))))</f>
        <v/>
      </c>
    </row>
    <row r="163">
      <c r="A163" s="8" t="n"/>
      <c r="B163" s="6" t="n"/>
      <c r="C163" s="6" t="n"/>
      <c r="D163" s="6" t="n"/>
      <c r="E163" s="6" t="n"/>
      <c r="F163" s="6" t="n"/>
      <c r="G163" s="3">
        <f>IF(tblExcepciones[[#This Row],[fecha]]="","",TEXT(tblExcepciones[[#This Row],[fecha]],"yyyy-mm-dd")&amp;"|"&amp;tblExcepciones[[#This Row],[area]]&amp;"|"&amp;tblExcepciones[[#This Row],[sub_area]])</f>
        <v/>
      </c>
      <c r="I163" s="12" t="n">
        <v>46181</v>
      </c>
      <c r="J163" s="3">
        <f>_xlfn.XLOOKUP(TEXT($I163,"yyyy-mm-dd")&amp;"|"&amp;""&amp;"|"&amp;"",tblExcepciones[clave],tblExcepciones[habil],_xlfn.XLOOKUP(TEXT($I163,"yyyy-mm-dd")&amp;"|"&amp;""&amp;"|",tblExcepciones[clave],tblExcepciones[habil],_xlfn.XLOOKUP(TEXT($I163,"yyyy-mm-dd")&amp;"||",tblExcepciones[clave],tblExcepciones[habil],INDEX(patronHabil,WEEKDAY($I163,2)))))</f>
        <v/>
      </c>
    </row>
    <row r="164">
      <c r="A164" s="8" t="n"/>
      <c r="B164" s="6" t="n"/>
      <c r="C164" s="6" t="n"/>
      <c r="D164" s="6" t="n"/>
      <c r="E164" s="6" t="n"/>
      <c r="F164" s="6" t="n"/>
      <c r="G164" s="3">
        <f>IF(tblExcepciones[[#This Row],[fecha]]="","",TEXT(tblExcepciones[[#This Row],[fecha]],"yyyy-mm-dd")&amp;"|"&amp;tblExcepciones[[#This Row],[area]]&amp;"|"&amp;tblExcepciones[[#This Row],[sub_area]])</f>
        <v/>
      </c>
      <c r="I164" s="12" t="n">
        <v>46182</v>
      </c>
      <c r="J164" s="3">
        <f>_xlfn.XLOOKUP(TEXT($I164,"yyyy-mm-dd")&amp;"|"&amp;""&amp;"|"&amp;"",tblExcepciones[clave],tblExcepciones[habil],_xlfn.XLOOKUP(TEXT($I164,"yyyy-mm-dd")&amp;"|"&amp;""&amp;"|",tblExcepciones[clave],tblExcepciones[habil],_xlfn.XLOOKUP(TEXT($I164,"yyyy-mm-dd")&amp;"||",tblExcepciones[clave],tblExcepciones[habil],INDEX(patronHabil,WEEKDAY($I164,2)))))</f>
        <v/>
      </c>
    </row>
    <row r="165">
      <c r="A165" s="8" t="n"/>
      <c r="B165" s="6" t="n"/>
      <c r="C165" s="6" t="n"/>
      <c r="D165" s="6" t="n"/>
      <c r="E165" s="6" t="n"/>
      <c r="F165" s="6" t="n"/>
      <c r="G165" s="3">
        <f>IF(tblExcepciones[[#This Row],[fecha]]="","",TEXT(tblExcepciones[[#This Row],[fecha]],"yyyy-mm-dd")&amp;"|"&amp;tblExcepciones[[#This Row],[area]]&amp;"|"&amp;tblExcepciones[[#This Row],[sub_area]])</f>
        <v/>
      </c>
      <c r="I165" s="12" t="n">
        <v>46183</v>
      </c>
      <c r="J165" s="3">
        <f>_xlfn.XLOOKUP(TEXT($I165,"yyyy-mm-dd")&amp;"|"&amp;""&amp;"|"&amp;"",tblExcepciones[clave],tblExcepciones[habil],_xlfn.XLOOKUP(TEXT($I165,"yyyy-mm-dd")&amp;"|"&amp;""&amp;"|",tblExcepciones[clave],tblExcepciones[habil],_xlfn.XLOOKUP(TEXT($I165,"yyyy-mm-dd")&amp;"||",tblExcepciones[clave],tblExcepciones[habil],INDEX(patronHabil,WEEKDAY($I165,2)))))</f>
        <v/>
      </c>
    </row>
    <row r="166">
      <c r="A166" s="8" t="n"/>
      <c r="B166" s="6" t="n"/>
      <c r="C166" s="6" t="n"/>
      <c r="D166" s="6" t="n"/>
      <c r="E166" s="6" t="n"/>
      <c r="F166" s="6" t="n"/>
      <c r="G166" s="3">
        <f>IF(tblExcepciones[[#This Row],[fecha]]="","",TEXT(tblExcepciones[[#This Row],[fecha]],"yyyy-mm-dd")&amp;"|"&amp;tblExcepciones[[#This Row],[area]]&amp;"|"&amp;tblExcepciones[[#This Row],[sub_area]])</f>
        <v/>
      </c>
      <c r="I166" s="12" t="n">
        <v>46184</v>
      </c>
      <c r="J166" s="3">
        <f>_xlfn.XLOOKUP(TEXT($I166,"yyyy-mm-dd")&amp;"|"&amp;""&amp;"|"&amp;"",tblExcepciones[clave],tblExcepciones[habil],_xlfn.XLOOKUP(TEXT($I166,"yyyy-mm-dd")&amp;"|"&amp;""&amp;"|",tblExcepciones[clave],tblExcepciones[habil],_xlfn.XLOOKUP(TEXT($I166,"yyyy-mm-dd")&amp;"||",tblExcepciones[clave],tblExcepciones[habil],INDEX(patronHabil,WEEKDAY($I166,2)))))</f>
        <v/>
      </c>
    </row>
    <row r="167">
      <c r="A167" s="8" t="n"/>
      <c r="B167" s="6" t="n"/>
      <c r="C167" s="6" t="n"/>
      <c r="D167" s="6" t="n"/>
      <c r="E167" s="6" t="n"/>
      <c r="F167" s="6" t="n"/>
      <c r="G167" s="3">
        <f>IF(tblExcepciones[[#This Row],[fecha]]="","",TEXT(tblExcepciones[[#This Row],[fecha]],"yyyy-mm-dd")&amp;"|"&amp;tblExcepciones[[#This Row],[area]]&amp;"|"&amp;tblExcepciones[[#This Row],[sub_area]])</f>
        <v/>
      </c>
      <c r="I167" s="12" t="n">
        <v>46185</v>
      </c>
      <c r="J167" s="3">
        <f>_xlfn.XLOOKUP(TEXT($I167,"yyyy-mm-dd")&amp;"|"&amp;""&amp;"|"&amp;"",tblExcepciones[clave],tblExcepciones[habil],_xlfn.XLOOKUP(TEXT($I167,"yyyy-mm-dd")&amp;"|"&amp;""&amp;"|",tblExcepciones[clave],tblExcepciones[habil],_xlfn.XLOOKUP(TEXT($I167,"yyyy-mm-dd")&amp;"||",tblExcepciones[clave],tblExcepciones[habil],INDEX(patronHabil,WEEKDAY($I167,2)))))</f>
        <v/>
      </c>
    </row>
    <row r="168">
      <c r="A168" s="8" t="n"/>
      <c r="B168" s="6" t="n"/>
      <c r="C168" s="6" t="n"/>
      <c r="D168" s="6" t="n"/>
      <c r="E168" s="6" t="n"/>
      <c r="F168" s="6" t="n"/>
      <c r="G168" s="3">
        <f>IF(tblExcepciones[[#This Row],[fecha]]="","",TEXT(tblExcepciones[[#This Row],[fecha]],"yyyy-mm-dd")&amp;"|"&amp;tblExcepciones[[#This Row],[area]]&amp;"|"&amp;tblExcepciones[[#This Row],[sub_area]])</f>
        <v/>
      </c>
      <c r="I168" s="12" t="n">
        <v>46186</v>
      </c>
      <c r="J168" s="3">
        <f>_xlfn.XLOOKUP(TEXT($I168,"yyyy-mm-dd")&amp;"|"&amp;""&amp;"|"&amp;"",tblExcepciones[clave],tblExcepciones[habil],_xlfn.XLOOKUP(TEXT($I168,"yyyy-mm-dd")&amp;"|"&amp;""&amp;"|",tblExcepciones[clave],tblExcepciones[habil],_xlfn.XLOOKUP(TEXT($I168,"yyyy-mm-dd")&amp;"||",tblExcepciones[clave],tblExcepciones[habil],INDEX(patronHabil,WEEKDAY($I168,2)))))</f>
        <v/>
      </c>
    </row>
    <row r="169">
      <c r="A169" s="8" t="n"/>
      <c r="B169" s="6" t="n"/>
      <c r="C169" s="6" t="n"/>
      <c r="D169" s="6" t="n"/>
      <c r="E169" s="6" t="n"/>
      <c r="F169" s="6" t="n"/>
      <c r="G169" s="3">
        <f>IF(tblExcepciones[[#This Row],[fecha]]="","",TEXT(tblExcepciones[[#This Row],[fecha]],"yyyy-mm-dd")&amp;"|"&amp;tblExcepciones[[#This Row],[area]]&amp;"|"&amp;tblExcepciones[[#This Row],[sub_area]])</f>
        <v/>
      </c>
      <c r="I169" s="12" t="n">
        <v>46187</v>
      </c>
      <c r="J169" s="3">
        <f>_xlfn.XLOOKUP(TEXT($I169,"yyyy-mm-dd")&amp;"|"&amp;""&amp;"|"&amp;"",tblExcepciones[clave],tblExcepciones[habil],_xlfn.XLOOKUP(TEXT($I169,"yyyy-mm-dd")&amp;"|"&amp;""&amp;"|",tblExcepciones[clave],tblExcepciones[habil],_xlfn.XLOOKUP(TEXT($I169,"yyyy-mm-dd")&amp;"||",tblExcepciones[clave],tblExcepciones[habil],INDEX(patronHabil,WEEKDAY($I169,2)))))</f>
        <v/>
      </c>
    </row>
    <row r="170">
      <c r="A170" s="8" t="n"/>
      <c r="B170" s="6" t="n"/>
      <c r="C170" s="6" t="n"/>
      <c r="D170" s="6" t="n"/>
      <c r="E170" s="6" t="n"/>
      <c r="F170" s="6" t="n"/>
      <c r="G170" s="3">
        <f>IF(tblExcepciones[[#This Row],[fecha]]="","",TEXT(tblExcepciones[[#This Row],[fecha]],"yyyy-mm-dd")&amp;"|"&amp;tblExcepciones[[#This Row],[area]]&amp;"|"&amp;tblExcepciones[[#This Row],[sub_area]])</f>
        <v/>
      </c>
      <c r="I170" s="12" t="n">
        <v>46188</v>
      </c>
      <c r="J170" s="3">
        <f>_xlfn.XLOOKUP(TEXT($I170,"yyyy-mm-dd")&amp;"|"&amp;""&amp;"|"&amp;"",tblExcepciones[clave],tblExcepciones[habil],_xlfn.XLOOKUP(TEXT($I170,"yyyy-mm-dd")&amp;"|"&amp;""&amp;"|",tblExcepciones[clave],tblExcepciones[habil],_xlfn.XLOOKUP(TEXT($I170,"yyyy-mm-dd")&amp;"||",tblExcepciones[clave],tblExcepciones[habil],INDEX(patronHabil,WEEKDAY($I170,2)))))</f>
        <v/>
      </c>
    </row>
    <row r="171">
      <c r="A171" s="8" t="n"/>
      <c r="B171" s="6" t="n"/>
      <c r="C171" s="6" t="n"/>
      <c r="D171" s="6" t="n"/>
      <c r="E171" s="6" t="n"/>
      <c r="F171" s="6" t="n"/>
      <c r="G171" s="3">
        <f>IF(tblExcepciones[[#This Row],[fecha]]="","",TEXT(tblExcepciones[[#This Row],[fecha]],"yyyy-mm-dd")&amp;"|"&amp;tblExcepciones[[#This Row],[area]]&amp;"|"&amp;tblExcepciones[[#This Row],[sub_area]])</f>
        <v/>
      </c>
      <c r="I171" s="12" t="n">
        <v>46189</v>
      </c>
      <c r="J171" s="3">
        <f>_xlfn.XLOOKUP(TEXT($I171,"yyyy-mm-dd")&amp;"|"&amp;""&amp;"|"&amp;"",tblExcepciones[clave],tblExcepciones[habil],_xlfn.XLOOKUP(TEXT($I171,"yyyy-mm-dd")&amp;"|"&amp;""&amp;"|",tblExcepciones[clave],tblExcepciones[habil],_xlfn.XLOOKUP(TEXT($I171,"yyyy-mm-dd")&amp;"||",tblExcepciones[clave],tblExcepciones[habil],INDEX(patronHabil,WEEKDAY($I171,2)))))</f>
        <v/>
      </c>
    </row>
    <row r="172">
      <c r="A172" s="8" t="n"/>
      <c r="B172" s="6" t="n"/>
      <c r="C172" s="6" t="n"/>
      <c r="D172" s="6" t="n"/>
      <c r="E172" s="6" t="n"/>
      <c r="F172" s="6" t="n"/>
      <c r="G172" s="3">
        <f>IF(tblExcepciones[[#This Row],[fecha]]="","",TEXT(tblExcepciones[[#This Row],[fecha]],"yyyy-mm-dd")&amp;"|"&amp;tblExcepciones[[#This Row],[area]]&amp;"|"&amp;tblExcepciones[[#This Row],[sub_area]])</f>
        <v/>
      </c>
      <c r="I172" s="12" t="n">
        <v>46190</v>
      </c>
      <c r="J172" s="3">
        <f>_xlfn.XLOOKUP(TEXT($I172,"yyyy-mm-dd")&amp;"|"&amp;""&amp;"|"&amp;"",tblExcepciones[clave],tblExcepciones[habil],_xlfn.XLOOKUP(TEXT($I172,"yyyy-mm-dd")&amp;"|"&amp;""&amp;"|",tblExcepciones[clave],tblExcepciones[habil],_xlfn.XLOOKUP(TEXT($I172,"yyyy-mm-dd")&amp;"||",tblExcepciones[clave],tblExcepciones[habil],INDEX(patronHabil,WEEKDAY($I172,2)))))</f>
        <v/>
      </c>
    </row>
    <row r="173">
      <c r="A173" s="8" t="n"/>
      <c r="B173" s="6" t="n"/>
      <c r="C173" s="6" t="n"/>
      <c r="D173" s="6" t="n"/>
      <c r="E173" s="6" t="n"/>
      <c r="F173" s="6" t="n"/>
      <c r="G173" s="3">
        <f>IF(tblExcepciones[[#This Row],[fecha]]="","",TEXT(tblExcepciones[[#This Row],[fecha]],"yyyy-mm-dd")&amp;"|"&amp;tblExcepciones[[#This Row],[area]]&amp;"|"&amp;tblExcepciones[[#This Row],[sub_area]])</f>
        <v/>
      </c>
      <c r="I173" s="12" t="n">
        <v>46191</v>
      </c>
      <c r="J173" s="3">
        <f>_xlfn.XLOOKUP(TEXT($I173,"yyyy-mm-dd")&amp;"|"&amp;""&amp;"|"&amp;"",tblExcepciones[clave],tblExcepciones[habil],_xlfn.XLOOKUP(TEXT($I173,"yyyy-mm-dd")&amp;"|"&amp;""&amp;"|",tblExcepciones[clave],tblExcepciones[habil],_xlfn.XLOOKUP(TEXT($I173,"yyyy-mm-dd")&amp;"||",tblExcepciones[clave],tblExcepciones[habil],INDEX(patronHabil,WEEKDAY($I173,2)))))</f>
        <v/>
      </c>
    </row>
    <row r="174">
      <c r="A174" s="8" t="n"/>
      <c r="B174" s="6" t="n"/>
      <c r="C174" s="6" t="n"/>
      <c r="D174" s="6" t="n"/>
      <c r="E174" s="6" t="n"/>
      <c r="F174" s="6" t="n"/>
      <c r="G174" s="3">
        <f>IF(tblExcepciones[[#This Row],[fecha]]="","",TEXT(tblExcepciones[[#This Row],[fecha]],"yyyy-mm-dd")&amp;"|"&amp;tblExcepciones[[#This Row],[area]]&amp;"|"&amp;tblExcepciones[[#This Row],[sub_area]])</f>
        <v/>
      </c>
      <c r="I174" s="12" t="n">
        <v>46192</v>
      </c>
      <c r="J174" s="3">
        <f>_xlfn.XLOOKUP(TEXT($I174,"yyyy-mm-dd")&amp;"|"&amp;""&amp;"|"&amp;"",tblExcepciones[clave],tblExcepciones[habil],_xlfn.XLOOKUP(TEXT($I174,"yyyy-mm-dd")&amp;"|"&amp;""&amp;"|",tblExcepciones[clave],tblExcepciones[habil],_xlfn.XLOOKUP(TEXT($I174,"yyyy-mm-dd")&amp;"||",tblExcepciones[clave],tblExcepciones[habil],INDEX(patronHabil,WEEKDAY($I174,2)))))</f>
        <v/>
      </c>
    </row>
    <row r="175">
      <c r="A175" s="8" t="n"/>
      <c r="B175" s="6" t="n"/>
      <c r="C175" s="6" t="n"/>
      <c r="D175" s="6" t="n"/>
      <c r="E175" s="6" t="n"/>
      <c r="F175" s="6" t="n"/>
      <c r="G175" s="3">
        <f>IF(tblExcepciones[[#This Row],[fecha]]="","",TEXT(tblExcepciones[[#This Row],[fecha]],"yyyy-mm-dd")&amp;"|"&amp;tblExcepciones[[#This Row],[area]]&amp;"|"&amp;tblExcepciones[[#This Row],[sub_area]])</f>
        <v/>
      </c>
      <c r="I175" s="12" t="n">
        <v>46193</v>
      </c>
      <c r="J175" s="3">
        <f>_xlfn.XLOOKUP(TEXT($I175,"yyyy-mm-dd")&amp;"|"&amp;""&amp;"|"&amp;"",tblExcepciones[clave],tblExcepciones[habil],_xlfn.XLOOKUP(TEXT($I175,"yyyy-mm-dd")&amp;"|"&amp;""&amp;"|",tblExcepciones[clave],tblExcepciones[habil],_xlfn.XLOOKUP(TEXT($I175,"yyyy-mm-dd")&amp;"||",tblExcepciones[clave],tblExcepciones[habil],INDEX(patronHabil,WEEKDAY($I175,2)))))</f>
        <v/>
      </c>
    </row>
    <row r="176">
      <c r="A176" s="8" t="n"/>
      <c r="B176" s="6" t="n"/>
      <c r="C176" s="6" t="n"/>
      <c r="D176" s="6" t="n"/>
      <c r="E176" s="6" t="n"/>
      <c r="F176" s="6" t="n"/>
      <c r="G176" s="3">
        <f>IF(tblExcepciones[[#This Row],[fecha]]="","",TEXT(tblExcepciones[[#This Row],[fecha]],"yyyy-mm-dd")&amp;"|"&amp;tblExcepciones[[#This Row],[area]]&amp;"|"&amp;tblExcepciones[[#This Row],[sub_area]])</f>
        <v/>
      </c>
      <c r="I176" s="12" t="n">
        <v>46194</v>
      </c>
      <c r="J176" s="3">
        <f>_xlfn.XLOOKUP(TEXT($I176,"yyyy-mm-dd")&amp;"|"&amp;""&amp;"|"&amp;"",tblExcepciones[clave],tblExcepciones[habil],_xlfn.XLOOKUP(TEXT($I176,"yyyy-mm-dd")&amp;"|"&amp;""&amp;"|",tblExcepciones[clave],tblExcepciones[habil],_xlfn.XLOOKUP(TEXT($I176,"yyyy-mm-dd")&amp;"||",tblExcepciones[clave],tblExcepciones[habil],INDEX(patronHabil,WEEKDAY($I176,2)))))</f>
        <v/>
      </c>
    </row>
    <row r="177">
      <c r="A177" s="8" t="n"/>
      <c r="B177" s="6" t="n"/>
      <c r="C177" s="6" t="n"/>
      <c r="D177" s="6" t="n"/>
      <c r="E177" s="6" t="n"/>
      <c r="F177" s="6" t="n"/>
      <c r="G177" s="3">
        <f>IF(tblExcepciones[[#This Row],[fecha]]="","",TEXT(tblExcepciones[[#This Row],[fecha]],"yyyy-mm-dd")&amp;"|"&amp;tblExcepciones[[#This Row],[area]]&amp;"|"&amp;tblExcepciones[[#This Row],[sub_area]])</f>
        <v/>
      </c>
      <c r="I177" s="12" t="n">
        <v>46195</v>
      </c>
      <c r="J177" s="3">
        <f>_xlfn.XLOOKUP(TEXT($I177,"yyyy-mm-dd")&amp;"|"&amp;""&amp;"|"&amp;"",tblExcepciones[clave],tblExcepciones[habil],_xlfn.XLOOKUP(TEXT($I177,"yyyy-mm-dd")&amp;"|"&amp;""&amp;"|",tblExcepciones[clave],tblExcepciones[habil],_xlfn.XLOOKUP(TEXT($I177,"yyyy-mm-dd")&amp;"||",tblExcepciones[clave],tblExcepciones[habil],INDEX(patronHabil,WEEKDAY($I177,2)))))</f>
        <v/>
      </c>
    </row>
    <row r="178">
      <c r="A178" s="8" t="n"/>
      <c r="B178" s="6" t="n"/>
      <c r="C178" s="6" t="n"/>
      <c r="D178" s="6" t="n"/>
      <c r="E178" s="6" t="n"/>
      <c r="F178" s="6" t="n"/>
      <c r="G178" s="3">
        <f>IF(tblExcepciones[[#This Row],[fecha]]="","",TEXT(tblExcepciones[[#This Row],[fecha]],"yyyy-mm-dd")&amp;"|"&amp;tblExcepciones[[#This Row],[area]]&amp;"|"&amp;tblExcepciones[[#This Row],[sub_area]])</f>
        <v/>
      </c>
      <c r="I178" s="12" t="n">
        <v>46196</v>
      </c>
      <c r="J178" s="3">
        <f>_xlfn.XLOOKUP(TEXT($I178,"yyyy-mm-dd")&amp;"|"&amp;""&amp;"|"&amp;"",tblExcepciones[clave],tblExcepciones[habil],_xlfn.XLOOKUP(TEXT($I178,"yyyy-mm-dd")&amp;"|"&amp;""&amp;"|",tblExcepciones[clave],tblExcepciones[habil],_xlfn.XLOOKUP(TEXT($I178,"yyyy-mm-dd")&amp;"||",tblExcepciones[clave],tblExcepciones[habil],INDEX(patronHabil,WEEKDAY($I178,2)))))</f>
        <v/>
      </c>
    </row>
    <row r="179">
      <c r="A179" s="8" t="n"/>
      <c r="B179" s="6" t="n"/>
      <c r="C179" s="6" t="n"/>
      <c r="D179" s="6" t="n"/>
      <c r="E179" s="6" t="n"/>
      <c r="F179" s="6" t="n"/>
      <c r="G179" s="3">
        <f>IF(tblExcepciones[[#This Row],[fecha]]="","",TEXT(tblExcepciones[[#This Row],[fecha]],"yyyy-mm-dd")&amp;"|"&amp;tblExcepciones[[#This Row],[area]]&amp;"|"&amp;tblExcepciones[[#This Row],[sub_area]])</f>
        <v/>
      </c>
      <c r="I179" s="12" t="n">
        <v>46197</v>
      </c>
      <c r="J179" s="3">
        <f>_xlfn.XLOOKUP(TEXT($I179,"yyyy-mm-dd")&amp;"|"&amp;""&amp;"|"&amp;"",tblExcepciones[clave],tblExcepciones[habil],_xlfn.XLOOKUP(TEXT($I179,"yyyy-mm-dd")&amp;"|"&amp;""&amp;"|",tblExcepciones[clave],tblExcepciones[habil],_xlfn.XLOOKUP(TEXT($I179,"yyyy-mm-dd")&amp;"||",tblExcepciones[clave],tblExcepciones[habil],INDEX(patronHabil,WEEKDAY($I179,2)))))</f>
        <v/>
      </c>
    </row>
    <row r="180">
      <c r="A180" s="8" t="n"/>
      <c r="B180" s="6" t="n"/>
      <c r="C180" s="6" t="n"/>
      <c r="D180" s="6" t="n"/>
      <c r="E180" s="6" t="n"/>
      <c r="F180" s="6" t="n"/>
      <c r="G180" s="3">
        <f>IF(tblExcepciones[[#This Row],[fecha]]="","",TEXT(tblExcepciones[[#This Row],[fecha]],"yyyy-mm-dd")&amp;"|"&amp;tblExcepciones[[#This Row],[area]]&amp;"|"&amp;tblExcepciones[[#This Row],[sub_area]])</f>
        <v/>
      </c>
      <c r="I180" s="12" t="n">
        <v>46198</v>
      </c>
      <c r="J180" s="3">
        <f>_xlfn.XLOOKUP(TEXT($I180,"yyyy-mm-dd")&amp;"|"&amp;""&amp;"|"&amp;"",tblExcepciones[clave],tblExcepciones[habil],_xlfn.XLOOKUP(TEXT($I180,"yyyy-mm-dd")&amp;"|"&amp;""&amp;"|",tblExcepciones[clave],tblExcepciones[habil],_xlfn.XLOOKUP(TEXT($I180,"yyyy-mm-dd")&amp;"||",tblExcepciones[clave],tblExcepciones[habil],INDEX(patronHabil,WEEKDAY($I180,2)))))</f>
        <v/>
      </c>
    </row>
    <row r="181">
      <c r="A181" s="8" t="n"/>
      <c r="B181" s="6" t="n"/>
      <c r="C181" s="6" t="n"/>
      <c r="D181" s="6" t="n"/>
      <c r="E181" s="6" t="n"/>
      <c r="F181" s="6" t="n"/>
      <c r="G181" s="3">
        <f>IF(tblExcepciones[[#This Row],[fecha]]="","",TEXT(tblExcepciones[[#This Row],[fecha]],"yyyy-mm-dd")&amp;"|"&amp;tblExcepciones[[#This Row],[area]]&amp;"|"&amp;tblExcepciones[[#This Row],[sub_area]])</f>
        <v/>
      </c>
      <c r="I181" s="12" t="n">
        <v>46199</v>
      </c>
      <c r="J181" s="3">
        <f>_xlfn.XLOOKUP(TEXT($I181,"yyyy-mm-dd")&amp;"|"&amp;""&amp;"|"&amp;"",tblExcepciones[clave],tblExcepciones[habil],_xlfn.XLOOKUP(TEXT($I181,"yyyy-mm-dd")&amp;"|"&amp;""&amp;"|",tblExcepciones[clave],tblExcepciones[habil],_xlfn.XLOOKUP(TEXT($I181,"yyyy-mm-dd")&amp;"||",tblExcepciones[clave],tblExcepciones[habil],INDEX(patronHabil,WEEKDAY($I181,2)))))</f>
        <v/>
      </c>
    </row>
    <row r="182">
      <c r="A182" s="8" t="n"/>
      <c r="B182" s="6" t="n"/>
      <c r="C182" s="6" t="n"/>
      <c r="D182" s="6" t="n"/>
      <c r="E182" s="6" t="n"/>
      <c r="F182" s="6" t="n"/>
      <c r="G182" s="3">
        <f>IF(tblExcepciones[[#This Row],[fecha]]="","",TEXT(tblExcepciones[[#This Row],[fecha]],"yyyy-mm-dd")&amp;"|"&amp;tblExcepciones[[#This Row],[area]]&amp;"|"&amp;tblExcepciones[[#This Row],[sub_area]])</f>
        <v/>
      </c>
      <c r="I182" s="12" t="n">
        <v>46200</v>
      </c>
      <c r="J182" s="3">
        <f>_xlfn.XLOOKUP(TEXT($I182,"yyyy-mm-dd")&amp;"|"&amp;""&amp;"|"&amp;"",tblExcepciones[clave],tblExcepciones[habil],_xlfn.XLOOKUP(TEXT($I182,"yyyy-mm-dd")&amp;"|"&amp;""&amp;"|",tblExcepciones[clave],tblExcepciones[habil],_xlfn.XLOOKUP(TEXT($I182,"yyyy-mm-dd")&amp;"||",tblExcepciones[clave],tblExcepciones[habil],INDEX(patronHabil,WEEKDAY($I182,2)))))</f>
        <v/>
      </c>
    </row>
    <row r="183">
      <c r="A183" s="8" t="n"/>
      <c r="B183" s="6" t="n"/>
      <c r="C183" s="6" t="n"/>
      <c r="D183" s="6" t="n"/>
      <c r="E183" s="6" t="n"/>
      <c r="F183" s="6" t="n"/>
      <c r="G183" s="3">
        <f>IF(tblExcepciones[[#This Row],[fecha]]="","",TEXT(tblExcepciones[[#This Row],[fecha]],"yyyy-mm-dd")&amp;"|"&amp;tblExcepciones[[#This Row],[area]]&amp;"|"&amp;tblExcepciones[[#This Row],[sub_area]])</f>
        <v/>
      </c>
      <c r="I183" s="12" t="n">
        <v>46201</v>
      </c>
      <c r="J183" s="3">
        <f>_xlfn.XLOOKUP(TEXT($I183,"yyyy-mm-dd")&amp;"|"&amp;""&amp;"|"&amp;"",tblExcepciones[clave],tblExcepciones[habil],_xlfn.XLOOKUP(TEXT($I183,"yyyy-mm-dd")&amp;"|"&amp;""&amp;"|",tblExcepciones[clave],tblExcepciones[habil],_xlfn.XLOOKUP(TEXT($I183,"yyyy-mm-dd")&amp;"||",tblExcepciones[clave],tblExcepciones[habil],INDEX(patronHabil,WEEKDAY($I183,2)))))</f>
        <v/>
      </c>
    </row>
    <row r="184">
      <c r="A184" s="8" t="n"/>
      <c r="B184" s="6" t="n"/>
      <c r="C184" s="6" t="n"/>
      <c r="D184" s="6" t="n"/>
      <c r="E184" s="6" t="n"/>
      <c r="F184" s="6" t="n"/>
      <c r="G184" s="3">
        <f>IF(tblExcepciones[[#This Row],[fecha]]="","",TEXT(tblExcepciones[[#This Row],[fecha]],"yyyy-mm-dd")&amp;"|"&amp;tblExcepciones[[#This Row],[area]]&amp;"|"&amp;tblExcepciones[[#This Row],[sub_area]])</f>
        <v/>
      </c>
      <c r="I184" s="12" t="n">
        <v>46202</v>
      </c>
      <c r="J184" s="3">
        <f>_xlfn.XLOOKUP(TEXT($I184,"yyyy-mm-dd")&amp;"|"&amp;""&amp;"|"&amp;"",tblExcepciones[clave],tblExcepciones[habil],_xlfn.XLOOKUP(TEXT($I184,"yyyy-mm-dd")&amp;"|"&amp;""&amp;"|",tblExcepciones[clave],tblExcepciones[habil],_xlfn.XLOOKUP(TEXT($I184,"yyyy-mm-dd")&amp;"||",tblExcepciones[clave],tblExcepciones[habil],INDEX(patronHabil,WEEKDAY($I184,2)))))</f>
        <v/>
      </c>
    </row>
    <row r="185">
      <c r="A185" s="8" t="n"/>
      <c r="B185" s="6" t="n"/>
      <c r="C185" s="6" t="n"/>
      <c r="D185" s="6" t="n"/>
      <c r="E185" s="6" t="n"/>
      <c r="F185" s="6" t="n"/>
      <c r="G185" s="3">
        <f>IF(tblExcepciones[[#This Row],[fecha]]="","",TEXT(tblExcepciones[[#This Row],[fecha]],"yyyy-mm-dd")&amp;"|"&amp;tblExcepciones[[#This Row],[area]]&amp;"|"&amp;tblExcepciones[[#This Row],[sub_area]])</f>
        <v/>
      </c>
      <c r="I185" s="12" t="n">
        <v>46203</v>
      </c>
      <c r="J185" s="3">
        <f>_xlfn.XLOOKUP(TEXT($I185,"yyyy-mm-dd")&amp;"|"&amp;""&amp;"|"&amp;"",tblExcepciones[clave],tblExcepciones[habil],_xlfn.XLOOKUP(TEXT($I185,"yyyy-mm-dd")&amp;"|"&amp;""&amp;"|",tblExcepciones[clave],tblExcepciones[habil],_xlfn.XLOOKUP(TEXT($I185,"yyyy-mm-dd")&amp;"||",tblExcepciones[clave],tblExcepciones[habil],INDEX(patronHabil,WEEKDAY($I185,2)))))</f>
        <v/>
      </c>
    </row>
    <row r="186">
      <c r="A186" s="8" t="n"/>
      <c r="B186" s="6" t="n"/>
      <c r="C186" s="6" t="n"/>
      <c r="D186" s="6" t="n"/>
      <c r="E186" s="6" t="n"/>
      <c r="F186" s="6" t="n"/>
      <c r="G186" s="3">
        <f>IF(tblExcepciones[[#This Row],[fecha]]="","",TEXT(tblExcepciones[[#This Row],[fecha]],"yyyy-mm-dd")&amp;"|"&amp;tblExcepciones[[#This Row],[area]]&amp;"|"&amp;tblExcepciones[[#This Row],[sub_area]])</f>
        <v/>
      </c>
      <c r="I186" s="12" t="n">
        <v>46204</v>
      </c>
      <c r="J186" s="3">
        <f>_xlfn.XLOOKUP(TEXT($I186,"yyyy-mm-dd")&amp;"|"&amp;""&amp;"|"&amp;"",tblExcepciones[clave],tblExcepciones[habil],_xlfn.XLOOKUP(TEXT($I186,"yyyy-mm-dd")&amp;"|"&amp;""&amp;"|",tblExcepciones[clave],tblExcepciones[habil],_xlfn.XLOOKUP(TEXT($I186,"yyyy-mm-dd")&amp;"||",tblExcepciones[clave],tblExcepciones[habil],INDEX(patronHabil,WEEKDAY($I186,2)))))</f>
        <v/>
      </c>
    </row>
    <row r="187">
      <c r="A187" s="8" t="n"/>
      <c r="B187" s="6" t="n"/>
      <c r="C187" s="6" t="n"/>
      <c r="D187" s="6" t="n"/>
      <c r="E187" s="6" t="n"/>
      <c r="F187" s="6" t="n"/>
      <c r="G187" s="3">
        <f>IF(tblExcepciones[[#This Row],[fecha]]="","",TEXT(tblExcepciones[[#This Row],[fecha]],"yyyy-mm-dd")&amp;"|"&amp;tblExcepciones[[#This Row],[area]]&amp;"|"&amp;tblExcepciones[[#This Row],[sub_area]])</f>
        <v/>
      </c>
      <c r="I187" s="12" t="n">
        <v>46205</v>
      </c>
      <c r="J187" s="3">
        <f>_xlfn.XLOOKUP(TEXT($I187,"yyyy-mm-dd")&amp;"|"&amp;""&amp;"|"&amp;"",tblExcepciones[clave],tblExcepciones[habil],_xlfn.XLOOKUP(TEXT($I187,"yyyy-mm-dd")&amp;"|"&amp;""&amp;"|",tblExcepciones[clave],tblExcepciones[habil],_xlfn.XLOOKUP(TEXT($I187,"yyyy-mm-dd")&amp;"||",tblExcepciones[clave],tblExcepciones[habil],INDEX(patronHabil,WEEKDAY($I187,2)))))</f>
        <v/>
      </c>
    </row>
    <row r="188">
      <c r="A188" s="8" t="n"/>
      <c r="B188" s="6" t="n"/>
      <c r="C188" s="6" t="n"/>
      <c r="D188" s="6" t="n"/>
      <c r="E188" s="6" t="n"/>
      <c r="F188" s="6" t="n"/>
      <c r="G188" s="3">
        <f>IF(tblExcepciones[[#This Row],[fecha]]="","",TEXT(tblExcepciones[[#This Row],[fecha]],"yyyy-mm-dd")&amp;"|"&amp;tblExcepciones[[#This Row],[area]]&amp;"|"&amp;tblExcepciones[[#This Row],[sub_area]])</f>
        <v/>
      </c>
      <c r="I188" s="12" t="n">
        <v>46206</v>
      </c>
      <c r="J188" s="3">
        <f>_xlfn.XLOOKUP(TEXT($I188,"yyyy-mm-dd")&amp;"|"&amp;""&amp;"|"&amp;"",tblExcepciones[clave],tblExcepciones[habil],_xlfn.XLOOKUP(TEXT($I188,"yyyy-mm-dd")&amp;"|"&amp;""&amp;"|",tblExcepciones[clave],tblExcepciones[habil],_xlfn.XLOOKUP(TEXT($I188,"yyyy-mm-dd")&amp;"||",tblExcepciones[clave],tblExcepciones[habil],INDEX(patronHabil,WEEKDAY($I188,2)))))</f>
        <v/>
      </c>
    </row>
    <row r="189">
      <c r="A189" s="8" t="n"/>
      <c r="B189" s="6" t="n"/>
      <c r="C189" s="6" t="n"/>
      <c r="D189" s="6" t="n"/>
      <c r="E189" s="6" t="n"/>
      <c r="F189" s="6" t="n"/>
      <c r="G189" s="3">
        <f>IF(tblExcepciones[[#This Row],[fecha]]="","",TEXT(tblExcepciones[[#This Row],[fecha]],"yyyy-mm-dd")&amp;"|"&amp;tblExcepciones[[#This Row],[area]]&amp;"|"&amp;tblExcepciones[[#This Row],[sub_area]])</f>
        <v/>
      </c>
      <c r="I189" s="12" t="n">
        <v>46207</v>
      </c>
      <c r="J189" s="3">
        <f>_xlfn.XLOOKUP(TEXT($I189,"yyyy-mm-dd")&amp;"|"&amp;""&amp;"|"&amp;"",tblExcepciones[clave],tblExcepciones[habil],_xlfn.XLOOKUP(TEXT($I189,"yyyy-mm-dd")&amp;"|"&amp;""&amp;"|",tblExcepciones[clave],tblExcepciones[habil],_xlfn.XLOOKUP(TEXT($I189,"yyyy-mm-dd")&amp;"||",tblExcepciones[clave],tblExcepciones[habil],INDEX(patronHabil,WEEKDAY($I189,2)))))</f>
        <v/>
      </c>
    </row>
    <row r="190">
      <c r="A190" s="8" t="n"/>
      <c r="B190" s="6" t="n"/>
      <c r="C190" s="6" t="n"/>
      <c r="D190" s="6" t="n"/>
      <c r="E190" s="6" t="n"/>
      <c r="F190" s="6" t="n"/>
      <c r="G190" s="3">
        <f>IF(tblExcepciones[[#This Row],[fecha]]="","",TEXT(tblExcepciones[[#This Row],[fecha]],"yyyy-mm-dd")&amp;"|"&amp;tblExcepciones[[#This Row],[area]]&amp;"|"&amp;tblExcepciones[[#This Row],[sub_area]])</f>
        <v/>
      </c>
      <c r="I190" s="12" t="n">
        <v>46208</v>
      </c>
      <c r="J190" s="3">
        <f>_xlfn.XLOOKUP(TEXT($I190,"yyyy-mm-dd")&amp;"|"&amp;""&amp;"|"&amp;"",tblExcepciones[clave],tblExcepciones[habil],_xlfn.XLOOKUP(TEXT($I190,"yyyy-mm-dd")&amp;"|"&amp;""&amp;"|",tblExcepciones[clave],tblExcepciones[habil],_xlfn.XLOOKUP(TEXT($I190,"yyyy-mm-dd")&amp;"||",tblExcepciones[clave],tblExcepciones[habil],INDEX(patronHabil,WEEKDAY($I190,2)))))</f>
        <v/>
      </c>
    </row>
    <row r="191">
      <c r="A191" s="8" t="n"/>
      <c r="B191" s="6" t="n"/>
      <c r="C191" s="6" t="n"/>
      <c r="D191" s="6" t="n"/>
      <c r="E191" s="6" t="n"/>
      <c r="F191" s="6" t="n"/>
      <c r="G191" s="3">
        <f>IF(tblExcepciones[[#This Row],[fecha]]="","",TEXT(tblExcepciones[[#This Row],[fecha]],"yyyy-mm-dd")&amp;"|"&amp;tblExcepciones[[#This Row],[area]]&amp;"|"&amp;tblExcepciones[[#This Row],[sub_area]])</f>
        <v/>
      </c>
      <c r="I191" s="12" t="n">
        <v>46209</v>
      </c>
      <c r="J191" s="3">
        <f>_xlfn.XLOOKUP(TEXT($I191,"yyyy-mm-dd")&amp;"|"&amp;""&amp;"|"&amp;"",tblExcepciones[clave],tblExcepciones[habil],_xlfn.XLOOKUP(TEXT($I191,"yyyy-mm-dd")&amp;"|"&amp;""&amp;"|",tblExcepciones[clave],tblExcepciones[habil],_xlfn.XLOOKUP(TEXT($I191,"yyyy-mm-dd")&amp;"||",tblExcepciones[clave],tblExcepciones[habil],INDEX(patronHabil,WEEKDAY($I191,2)))))</f>
        <v/>
      </c>
    </row>
    <row r="192">
      <c r="A192" s="8" t="n"/>
      <c r="B192" s="6" t="n"/>
      <c r="C192" s="6" t="n"/>
      <c r="D192" s="6" t="n"/>
      <c r="E192" s="6" t="n"/>
      <c r="F192" s="6" t="n"/>
      <c r="G192" s="3">
        <f>IF(tblExcepciones[[#This Row],[fecha]]="","",TEXT(tblExcepciones[[#This Row],[fecha]],"yyyy-mm-dd")&amp;"|"&amp;tblExcepciones[[#This Row],[area]]&amp;"|"&amp;tblExcepciones[[#This Row],[sub_area]])</f>
        <v/>
      </c>
      <c r="I192" s="12" t="n">
        <v>46210</v>
      </c>
      <c r="J192" s="3">
        <f>_xlfn.XLOOKUP(TEXT($I192,"yyyy-mm-dd")&amp;"|"&amp;""&amp;"|"&amp;"",tblExcepciones[clave],tblExcepciones[habil],_xlfn.XLOOKUP(TEXT($I192,"yyyy-mm-dd")&amp;"|"&amp;""&amp;"|",tblExcepciones[clave],tblExcepciones[habil],_xlfn.XLOOKUP(TEXT($I192,"yyyy-mm-dd")&amp;"||",tblExcepciones[clave],tblExcepciones[habil],INDEX(patronHabil,WEEKDAY($I192,2)))))</f>
        <v/>
      </c>
    </row>
    <row r="193">
      <c r="A193" s="8" t="n"/>
      <c r="B193" s="6" t="n"/>
      <c r="C193" s="6" t="n"/>
      <c r="D193" s="6" t="n"/>
      <c r="E193" s="6" t="n"/>
      <c r="F193" s="6" t="n"/>
      <c r="G193" s="3">
        <f>IF(tblExcepciones[[#This Row],[fecha]]="","",TEXT(tblExcepciones[[#This Row],[fecha]],"yyyy-mm-dd")&amp;"|"&amp;tblExcepciones[[#This Row],[area]]&amp;"|"&amp;tblExcepciones[[#This Row],[sub_area]])</f>
        <v/>
      </c>
      <c r="I193" s="12" t="n">
        <v>46211</v>
      </c>
      <c r="J193" s="3">
        <f>_xlfn.XLOOKUP(TEXT($I193,"yyyy-mm-dd")&amp;"|"&amp;""&amp;"|"&amp;"",tblExcepciones[clave],tblExcepciones[habil],_xlfn.XLOOKUP(TEXT($I193,"yyyy-mm-dd")&amp;"|"&amp;""&amp;"|",tblExcepciones[clave],tblExcepciones[habil],_xlfn.XLOOKUP(TEXT($I193,"yyyy-mm-dd")&amp;"||",tblExcepciones[clave],tblExcepciones[habil],INDEX(patronHabil,WEEKDAY($I193,2)))))</f>
        <v/>
      </c>
    </row>
    <row r="194">
      <c r="A194" s="8" t="n"/>
      <c r="B194" s="6" t="n"/>
      <c r="C194" s="6" t="n"/>
      <c r="D194" s="6" t="n"/>
      <c r="E194" s="6" t="n"/>
      <c r="F194" s="6" t="n"/>
      <c r="G194" s="3">
        <f>IF(tblExcepciones[[#This Row],[fecha]]="","",TEXT(tblExcepciones[[#This Row],[fecha]],"yyyy-mm-dd")&amp;"|"&amp;tblExcepciones[[#This Row],[area]]&amp;"|"&amp;tblExcepciones[[#This Row],[sub_area]])</f>
        <v/>
      </c>
      <c r="I194" s="12" t="n">
        <v>46212</v>
      </c>
      <c r="J194" s="3">
        <f>_xlfn.XLOOKUP(TEXT($I194,"yyyy-mm-dd")&amp;"|"&amp;""&amp;"|"&amp;"",tblExcepciones[clave],tblExcepciones[habil],_xlfn.XLOOKUP(TEXT($I194,"yyyy-mm-dd")&amp;"|"&amp;""&amp;"|",tblExcepciones[clave],tblExcepciones[habil],_xlfn.XLOOKUP(TEXT($I194,"yyyy-mm-dd")&amp;"||",tblExcepciones[clave],tblExcepciones[habil],INDEX(patronHabil,WEEKDAY($I194,2)))))</f>
        <v/>
      </c>
    </row>
    <row r="195">
      <c r="A195" s="8" t="n"/>
      <c r="B195" s="6" t="n"/>
      <c r="C195" s="6" t="n"/>
      <c r="D195" s="6" t="n"/>
      <c r="E195" s="6" t="n"/>
      <c r="F195" s="6" t="n"/>
      <c r="G195" s="3">
        <f>IF(tblExcepciones[[#This Row],[fecha]]="","",TEXT(tblExcepciones[[#This Row],[fecha]],"yyyy-mm-dd")&amp;"|"&amp;tblExcepciones[[#This Row],[area]]&amp;"|"&amp;tblExcepciones[[#This Row],[sub_area]])</f>
        <v/>
      </c>
      <c r="I195" s="12" t="n">
        <v>46213</v>
      </c>
      <c r="J195" s="3">
        <f>_xlfn.XLOOKUP(TEXT($I195,"yyyy-mm-dd")&amp;"|"&amp;""&amp;"|"&amp;"",tblExcepciones[clave],tblExcepciones[habil],_xlfn.XLOOKUP(TEXT($I195,"yyyy-mm-dd")&amp;"|"&amp;""&amp;"|",tblExcepciones[clave],tblExcepciones[habil],_xlfn.XLOOKUP(TEXT($I195,"yyyy-mm-dd")&amp;"||",tblExcepciones[clave],tblExcepciones[habil],INDEX(patronHabil,WEEKDAY($I195,2)))))</f>
        <v/>
      </c>
    </row>
    <row r="196">
      <c r="A196" s="8" t="n"/>
      <c r="B196" s="6" t="n"/>
      <c r="C196" s="6" t="n"/>
      <c r="D196" s="6" t="n"/>
      <c r="E196" s="6" t="n"/>
      <c r="F196" s="6" t="n"/>
      <c r="G196" s="3">
        <f>IF(tblExcepciones[[#This Row],[fecha]]="","",TEXT(tblExcepciones[[#This Row],[fecha]],"yyyy-mm-dd")&amp;"|"&amp;tblExcepciones[[#This Row],[area]]&amp;"|"&amp;tblExcepciones[[#This Row],[sub_area]])</f>
        <v/>
      </c>
      <c r="I196" s="12" t="n">
        <v>46214</v>
      </c>
      <c r="J196" s="3">
        <f>_xlfn.XLOOKUP(TEXT($I196,"yyyy-mm-dd")&amp;"|"&amp;""&amp;"|"&amp;"",tblExcepciones[clave],tblExcepciones[habil],_xlfn.XLOOKUP(TEXT($I196,"yyyy-mm-dd")&amp;"|"&amp;""&amp;"|",tblExcepciones[clave],tblExcepciones[habil],_xlfn.XLOOKUP(TEXT($I196,"yyyy-mm-dd")&amp;"||",tblExcepciones[clave],tblExcepciones[habil],INDEX(patronHabil,WEEKDAY($I196,2)))))</f>
        <v/>
      </c>
    </row>
    <row r="197">
      <c r="A197" s="8" t="n"/>
      <c r="B197" s="6" t="n"/>
      <c r="C197" s="6" t="n"/>
      <c r="D197" s="6" t="n"/>
      <c r="E197" s="6" t="n"/>
      <c r="F197" s="6" t="n"/>
      <c r="G197" s="3">
        <f>IF(tblExcepciones[[#This Row],[fecha]]="","",TEXT(tblExcepciones[[#This Row],[fecha]],"yyyy-mm-dd")&amp;"|"&amp;tblExcepciones[[#This Row],[area]]&amp;"|"&amp;tblExcepciones[[#This Row],[sub_area]])</f>
        <v/>
      </c>
      <c r="I197" s="12" t="n">
        <v>46215</v>
      </c>
      <c r="J197" s="3">
        <f>_xlfn.XLOOKUP(TEXT($I197,"yyyy-mm-dd")&amp;"|"&amp;""&amp;"|"&amp;"",tblExcepciones[clave],tblExcepciones[habil],_xlfn.XLOOKUP(TEXT($I197,"yyyy-mm-dd")&amp;"|"&amp;""&amp;"|",tblExcepciones[clave],tblExcepciones[habil],_xlfn.XLOOKUP(TEXT($I197,"yyyy-mm-dd")&amp;"||",tblExcepciones[clave],tblExcepciones[habil],INDEX(patronHabil,WEEKDAY($I197,2)))))</f>
        <v/>
      </c>
    </row>
    <row r="198">
      <c r="A198" s="8" t="n"/>
      <c r="B198" s="6" t="n"/>
      <c r="C198" s="6" t="n"/>
      <c r="D198" s="6" t="n"/>
      <c r="E198" s="6" t="n"/>
      <c r="F198" s="6" t="n"/>
      <c r="G198" s="3">
        <f>IF(tblExcepciones[[#This Row],[fecha]]="","",TEXT(tblExcepciones[[#This Row],[fecha]],"yyyy-mm-dd")&amp;"|"&amp;tblExcepciones[[#This Row],[area]]&amp;"|"&amp;tblExcepciones[[#This Row],[sub_area]])</f>
        <v/>
      </c>
      <c r="I198" s="12" t="n">
        <v>46216</v>
      </c>
      <c r="J198" s="3">
        <f>_xlfn.XLOOKUP(TEXT($I198,"yyyy-mm-dd")&amp;"|"&amp;""&amp;"|"&amp;"",tblExcepciones[clave],tblExcepciones[habil],_xlfn.XLOOKUP(TEXT($I198,"yyyy-mm-dd")&amp;"|"&amp;""&amp;"|",tblExcepciones[clave],tblExcepciones[habil],_xlfn.XLOOKUP(TEXT($I198,"yyyy-mm-dd")&amp;"||",tblExcepciones[clave],tblExcepciones[habil],INDEX(patronHabil,WEEKDAY($I198,2)))))</f>
        <v/>
      </c>
    </row>
    <row r="199">
      <c r="A199" s="8" t="n"/>
      <c r="B199" s="6" t="n"/>
      <c r="C199" s="6" t="n"/>
      <c r="D199" s="6" t="n"/>
      <c r="E199" s="6" t="n"/>
      <c r="F199" s="6" t="n"/>
      <c r="G199" s="3">
        <f>IF(tblExcepciones[[#This Row],[fecha]]="","",TEXT(tblExcepciones[[#This Row],[fecha]],"yyyy-mm-dd")&amp;"|"&amp;tblExcepciones[[#This Row],[area]]&amp;"|"&amp;tblExcepciones[[#This Row],[sub_area]])</f>
        <v/>
      </c>
      <c r="I199" s="12" t="n">
        <v>46217</v>
      </c>
      <c r="J199" s="3">
        <f>_xlfn.XLOOKUP(TEXT($I199,"yyyy-mm-dd")&amp;"|"&amp;""&amp;"|"&amp;"",tblExcepciones[clave],tblExcepciones[habil],_xlfn.XLOOKUP(TEXT($I199,"yyyy-mm-dd")&amp;"|"&amp;""&amp;"|",tblExcepciones[clave],tblExcepciones[habil],_xlfn.XLOOKUP(TEXT($I199,"yyyy-mm-dd")&amp;"||",tblExcepciones[clave],tblExcepciones[habil],INDEX(patronHabil,WEEKDAY($I199,2)))))</f>
        <v/>
      </c>
    </row>
    <row r="200">
      <c r="A200" s="8" t="n"/>
      <c r="B200" s="6" t="n"/>
      <c r="C200" s="6" t="n"/>
      <c r="D200" s="6" t="n"/>
      <c r="E200" s="6" t="n"/>
      <c r="F200" s="6" t="n"/>
      <c r="G200" s="3">
        <f>IF(tblExcepciones[[#This Row],[fecha]]="","",TEXT(tblExcepciones[[#This Row],[fecha]],"yyyy-mm-dd")&amp;"|"&amp;tblExcepciones[[#This Row],[area]]&amp;"|"&amp;tblExcepciones[[#This Row],[sub_area]])</f>
        <v/>
      </c>
      <c r="I200" s="12" t="n">
        <v>46218</v>
      </c>
      <c r="J200" s="3">
        <f>_xlfn.XLOOKUP(TEXT($I200,"yyyy-mm-dd")&amp;"|"&amp;""&amp;"|"&amp;"",tblExcepciones[clave],tblExcepciones[habil],_xlfn.XLOOKUP(TEXT($I200,"yyyy-mm-dd")&amp;"|"&amp;""&amp;"|",tblExcepciones[clave],tblExcepciones[habil],_xlfn.XLOOKUP(TEXT($I200,"yyyy-mm-dd")&amp;"||",tblExcepciones[clave],tblExcepciones[habil],INDEX(patronHabil,WEEKDAY($I200,2)))))</f>
        <v/>
      </c>
    </row>
    <row r="201">
      <c r="A201" s="8" t="n"/>
      <c r="B201" s="6" t="n"/>
      <c r="C201" s="6" t="n"/>
      <c r="D201" s="6" t="n"/>
      <c r="E201" s="6" t="n"/>
      <c r="F201" s="6" t="n"/>
      <c r="G201" s="3">
        <f>IF(tblExcepciones[[#This Row],[fecha]]="","",TEXT(tblExcepciones[[#This Row],[fecha]],"yyyy-mm-dd")&amp;"|"&amp;tblExcepciones[[#This Row],[area]]&amp;"|"&amp;tblExcepciones[[#This Row],[sub_area]])</f>
        <v/>
      </c>
      <c r="I201" s="12" t="n">
        <v>46219</v>
      </c>
      <c r="J201" s="3">
        <f>_xlfn.XLOOKUP(TEXT($I201,"yyyy-mm-dd")&amp;"|"&amp;""&amp;"|"&amp;"",tblExcepciones[clave],tblExcepciones[habil],_xlfn.XLOOKUP(TEXT($I201,"yyyy-mm-dd")&amp;"|"&amp;""&amp;"|",tblExcepciones[clave],tblExcepciones[habil],_xlfn.XLOOKUP(TEXT($I201,"yyyy-mm-dd")&amp;"||",tblExcepciones[clave],tblExcepciones[habil],INDEX(patronHabil,WEEKDAY($I201,2)))))</f>
        <v/>
      </c>
    </row>
    <row r="202">
      <c r="A202" s="8" t="n"/>
      <c r="B202" s="6" t="n"/>
      <c r="C202" s="6" t="n"/>
      <c r="D202" s="6" t="n"/>
      <c r="E202" s="6" t="n"/>
      <c r="F202" s="6" t="n"/>
      <c r="G202" s="3">
        <f>IF(tblExcepciones[[#This Row],[fecha]]="","",TEXT(tblExcepciones[[#This Row],[fecha]],"yyyy-mm-dd")&amp;"|"&amp;tblExcepciones[[#This Row],[area]]&amp;"|"&amp;tblExcepciones[[#This Row],[sub_area]])</f>
        <v/>
      </c>
      <c r="I202" s="12" t="n">
        <v>46220</v>
      </c>
      <c r="J202" s="3">
        <f>_xlfn.XLOOKUP(TEXT($I202,"yyyy-mm-dd")&amp;"|"&amp;""&amp;"|"&amp;"",tblExcepciones[clave],tblExcepciones[habil],_xlfn.XLOOKUP(TEXT($I202,"yyyy-mm-dd")&amp;"|"&amp;""&amp;"|",tblExcepciones[clave],tblExcepciones[habil],_xlfn.XLOOKUP(TEXT($I202,"yyyy-mm-dd")&amp;"||",tblExcepciones[clave],tblExcepciones[habil],INDEX(patronHabil,WEEKDAY($I202,2)))))</f>
        <v/>
      </c>
    </row>
    <row r="203">
      <c r="A203" s="8" t="n"/>
      <c r="B203" s="6" t="n"/>
      <c r="C203" s="6" t="n"/>
      <c r="D203" s="6" t="n"/>
      <c r="E203" s="6" t="n"/>
      <c r="F203" s="6" t="n"/>
      <c r="G203" s="3">
        <f>IF(tblExcepciones[[#This Row],[fecha]]="","",TEXT(tblExcepciones[[#This Row],[fecha]],"yyyy-mm-dd")&amp;"|"&amp;tblExcepciones[[#This Row],[area]]&amp;"|"&amp;tblExcepciones[[#This Row],[sub_area]])</f>
        <v/>
      </c>
      <c r="I203" s="12" t="n">
        <v>46221</v>
      </c>
      <c r="J203" s="3">
        <f>_xlfn.XLOOKUP(TEXT($I203,"yyyy-mm-dd")&amp;"|"&amp;""&amp;"|"&amp;"",tblExcepciones[clave],tblExcepciones[habil],_xlfn.XLOOKUP(TEXT($I203,"yyyy-mm-dd")&amp;"|"&amp;""&amp;"|",tblExcepciones[clave],tblExcepciones[habil],_xlfn.XLOOKUP(TEXT($I203,"yyyy-mm-dd")&amp;"||",tblExcepciones[clave],tblExcepciones[habil],INDEX(patronHabil,WEEKDAY($I203,2)))))</f>
        <v/>
      </c>
    </row>
    <row r="204">
      <c r="A204" s="8" t="n"/>
      <c r="B204" s="6" t="n"/>
      <c r="C204" s="6" t="n"/>
      <c r="D204" s="6" t="n"/>
      <c r="E204" s="6" t="n"/>
      <c r="F204" s="6" t="n"/>
      <c r="G204" s="3">
        <f>IF(tblExcepciones[[#This Row],[fecha]]="","",TEXT(tblExcepciones[[#This Row],[fecha]],"yyyy-mm-dd")&amp;"|"&amp;tblExcepciones[[#This Row],[area]]&amp;"|"&amp;tblExcepciones[[#This Row],[sub_area]])</f>
        <v/>
      </c>
      <c r="I204" s="12" t="n">
        <v>46222</v>
      </c>
      <c r="J204" s="3">
        <f>_xlfn.XLOOKUP(TEXT($I204,"yyyy-mm-dd")&amp;"|"&amp;""&amp;"|"&amp;"",tblExcepciones[clave],tblExcepciones[habil],_xlfn.XLOOKUP(TEXT($I204,"yyyy-mm-dd")&amp;"|"&amp;""&amp;"|",tblExcepciones[clave],tblExcepciones[habil],_xlfn.XLOOKUP(TEXT($I204,"yyyy-mm-dd")&amp;"||",tblExcepciones[clave],tblExcepciones[habil],INDEX(patronHabil,WEEKDAY($I204,2)))))</f>
        <v/>
      </c>
    </row>
    <row r="205">
      <c r="A205" s="8" t="n"/>
      <c r="B205" s="6" t="n"/>
      <c r="C205" s="6" t="n"/>
      <c r="D205" s="6" t="n"/>
      <c r="E205" s="6" t="n"/>
      <c r="F205" s="6" t="n"/>
      <c r="G205" s="3">
        <f>IF(tblExcepciones[[#This Row],[fecha]]="","",TEXT(tblExcepciones[[#This Row],[fecha]],"yyyy-mm-dd")&amp;"|"&amp;tblExcepciones[[#This Row],[area]]&amp;"|"&amp;tblExcepciones[[#This Row],[sub_area]])</f>
        <v/>
      </c>
      <c r="I205" s="12" t="n">
        <v>46223</v>
      </c>
      <c r="J205" s="3">
        <f>_xlfn.XLOOKUP(TEXT($I205,"yyyy-mm-dd")&amp;"|"&amp;""&amp;"|"&amp;"",tblExcepciones[clave],tblExcepciones[habil],_xlfn.XLOOKUP(TEXT($I205,"yyyy-mm-dd")&amp;"|"&amp;""&amp;"|",tblExcepciones[clave],tblExcepciones[habil],_xlfn.XLOOKUP(TEXT($I205,"yyyy-mm-dd")&amp;"||",tblExcepciones[clave],tblExcepciones[habil],INDEX(patronHabil,WEEKDAY($I205,2)))))</f>
        <v/>
      </c>
    </row>
    <row r="206">
      <c r="A206" s="8" t="n"/>
      <c r="B206" s="6" t="n"/>
      <c r="C206" s="6" t="n"/>
      <c r="D206" s="6" t="n"/>
      <c r="E206" s="6" t="n"/>
      <c r="F206" s="6" t="n"/>
      <c r="G206" s="3">
        <f>IF(tblExcepciones[[#This Row],[fecha]]="","",TEXT(tblExcepciones[[#This Row],[fecha]],"yyyy-mm-dd")&amp;"|"&amp;tblExcepciones[[#This Row],[area]]&amp;"|"&amp;tblExcepciones[[#This Row],[sub_area]])</f>
        <v/>
      </c>
      <c r="I206" s="12" t="n">
        <v>46224</v>
      </c>
      <c r="J206" s="3">
        <f>_xlfn.XLOOKUP(TEXT($I206,"yyyy-mm-dd")&amp;"|"&amp;""&amp;"|"&amp;"",tblExcepciones[clave],tblExcepciones[habil],_xlfn.XLOOKUP(TEXT($I206,"yyyy-mm-dd")&amp;"|"&amp;""&amp;"|",tblExcepciones[clave],tblExcepciones[habil],_xlfn.XLOOKUP(TEXT($I206,"yyyy-mm-dd")&amp;"||",tblExcepciones[clave],tblExcepciones[habil],INDEX(patronHabil,WEEKDAY($I206,2)))))</f>
        <v/>
      </c>
    </row>
    <row r="207">
      <c r="A207" s="8" t="n"/>
      <c r="B207" s="6" t="n"/>
      <c r="C207" s="6" t="n"/>
      <c r="D207" s="6" t="n"/>
      <c r="E207" s="6" t="n"/>
      <c r="F207" s="6" t="n"/>
      <c r="G207" s="3">
        <f>IF(tblExcepciones[[#This Row],[fecha]]="","",TEXT(tblExcepciones[[#This Row],[fecha]],"yyyy-mm-dd")&amp;"|"&amp;tblExcepciones[[#This Row],[area]]&amp;"|"&amp;tblExcepciones[[#This Row],[sub_area]])</f>
        <v/>
      </c>
      <c r="I207" s="12" t="n">
        <v>46225</v>
      </c>
      <c r="J207" s="3">
        <f>_xlfn.XLOOKUP(TEXT($I207,"yyyy-mm-dd")&amp;"|"&amp;""&amp;"|"&amp;"",tblExcepciones[clave],tblExcepciones[habil],_xlfn.XLOOKUP(TEXT($I207,"yyyy-mm-dd")&amp;"|"&amp;""&amp;"|",tblExcepciones[clave],tblExcepciones[habil],_xlfn.XLOOKUP(TEXT($I207,"yyyy-mm-dd")&amp;"||",tblExcepciones[clave],tblExcepciones[habil],INDEX(patronHabil,WEEKDAY($I207,2)))))</f>
        <v/>
      </c>
    </row>
    <row r="208">
      <c r="A208" s="8" t="n"/>
      <c r="B208" s="6" t="n"/>
      <c r="C208" s="6" t="n"/>
      <c r="D208" s="6" t="n"/>
      <c r="E208" s="6" t="n"/>
      <c r="F208" s="6" t="n"/>
      <c r="G208" s="3">
        <f>IF(tblExcepciones[[#This Row],[fecha]]="","",TEXT(tblExcepciones[[#This Row],[fecha]],"yyyy-mm-dd")&amp;"|"&amp;tblExcepciones[[#This Row],[area]]&amp;"|"&amp;tblExcepciones[[#This Row],[sub_area]])</f>
        <v/>
      </c>
      <c r="I208" s="12" t="n">
        <v>46226</v>
      </c>
      <c r="J208" s="3">
        <f>_xlfn.XLOOKUP(TEXT($I208,"yyyy-mm-dd")&amp;"|"&amp;""&amp;"|"&amp;"",tblExcepciones[clave],tblExcepciones[habil],_xlfn.XLOOKUP(TEXT($I208,"yyyy-mm-dd")&amp;"|"&amp;""&amp;"|",tblExcepciones[clave],tblExcepciones[habil],_xlfn.XLOOKUP(TEXT($I208,"yyyy-mm-dd")&amp;"||",tblExcepciones[clave],tblExcepciones[habil],INDEX(patronHabil,WEEKDAY($I208,2)))))</f>
        <v/>
      </c>
    </row>
    <row r="209">
      <c r="A209" s="8" t="n"/>
      <c r="B209" s="6" t="n"/>
      <c r="C209" s="6" t="n"/>
      <c r="D209" s="6" t="n"/>
      <c r="E209" s="6" t="n"/>
      <c r="F209" s="6" t="n"/>
      <c r="G209" s="3">
        <f>IF(tblExcepciones[[#This Row],[fecha]]="","",TEXT(tblExcepciones[[#This Row],[fecha]],"yyyy-mm-dd")&amp;"|"&amp;tblExcepciones[[#This Row],[area]]&amp;"|"&amp;tblExcepciones[[#This Row],[sub_area]])</f>
        <v/>
      </c>
      <c r="I209" s="12" t="n">
        <v>46227</v>
      </c>
      <c r="J209" s="3">
        <f>_xlfn.XLOOKUP(TEXT($I209,"yyyy-mm-dd")&amp;"|"&amp;""&amp;"|"&amp;"",tblExcepciones[clave],tblExcepciones[habil],_xlfn.XLOOKUP(TEXT($I209,"yyyy-mm-dd")&amp;"|"&amp;""&amp;"|",tblExcepciones[clave],tblExcepciones[habil],_xlfn.XLOOKUP(TEXT($I209,"yyyy-mm-dd")&amp;"||",tblExcepciones[clave],tblExcepciones[habil],INDEX(patronHabil,WEEKDAY($I209,2)))))</f>
        <v/>
      </c>
    </row>
    <row r="210">
      <c r="A210" s="8" t="n"/>
      <c r="B210" s="6" t="n"/>
      <c r="C210" s="6" t="n"/>
      <c r="D210" s="6" t="n"/>
      <c r="E210" s="6" t="n"/>
      <c r="F210" s="6" t="n"/>
      <c r="G210" s="3">
        <f>IF(tblExcepciones[[#This Row],[fecha]]="","",TEXT(tblExcepciones[[#This Row],[fecha]],"yyyy-mm-dd")&amp;"|"&amp;tblExcepciones[[#This Row],[area]]&amp;"|"&amp;tblExcepciones[[#This Row],[sub_area]])</f>
        <v/>
      </c>
      <c r="I210" s="12" t="n">
        <v>46228</v>
      </c>
      <c r="J210" s="3">
        <f>_xlfn.XLOOKUP(TEXT($I210,"yyyy-mm-dd")&amp;"|"&amp;""&amp;"|"&amp;"",tblExcepciones[clave],tblExcepciones[habil],_xlfn.XLOOKUP(TEXT($I210,"yyyy-mm-dd")&amp;"|"&amp;""&amp;"|",tblExcepciones[clave],tblExcepciones[habil],_xlfn.XLOOKUP(TEXT($I210,"yyyy-mm-dd")&amp;"||",tblExcepciones[clave],tblExcepciones[habil],INDEX(patronHabil,WEEKDAY($I210,2)))))</f>
        <v/>
      </c>
    </row>
    <row r="211">
      <c r="A211" s="8" t="n"/>
      <c r="B211" s="6" t="n"/>
      <c r="C211" s="6" t="n"/>
      <c r="D211" s="6" t="n"/>
      <c r="E211" s="6" t="n"/>
      <c r="F211" s="6" t="n"/>
      <c r="G211" s="3">
        <f>IF(tblExcepciones[[#This Row],[fecha]]="","",TEXT(tblExcepciones[[#This Row],[fecha]],"yyyy-mm-dd")&amp;"|"&amp;tblExcepciones[[#This Row],[area]]&amp;"|"&amp;tblExcepciones[[#This Row],[sub_area]])</f>
        <v/>
      </c>
      <c r="I211" s="12" t="n">
        <v>46229</v>
      </c>
      <c r="J211" s="3">
        <f>_xlfn.XLOOKUP(TEXT($I211,"yyyy-mm-dd")&amp;"|"&amp;""&amp;"|"&amp;"",tblExcepciones[clave],tblExcepciones[habil],_xlfn.XLOOKUP(TEXT($I211,"yyyy-mm-dd")&amp;"|"&amp;""&amp;"|",tblExcepciones[clave],tblExcepciones[habil],_xlfn.XLOOKUP(TEXT($I211,"yyyy-mm-dd")&amp;"||",tblExcepciones[clave],tblExcepciones[habil],INDEX(patronHabil,WEEKDAY($I211,2)))))</f>
        <v/>
      </c>
    </row>
    <row r="212">
      <c r="A212" s="8" t="n"/>
      <c r="B212" s="6" t="n"/>
      <c r="C212" s="6" t="n"/>
      <c r="D212" s="6" t="n"/>
      <c r="E212" s="6" t="n"/>
      <c r="F212" s="6" t="n"/>
      <c r="G212" s="3">
        <f>IF(tblExcepciones[[#This Row],[fecha]]="","",TEXT(tblExcepciones[[#This Row],[fecha]],"yyyy-mm-dd")&amp;"|"&amp;tblExcepciones[[#This Row],[area]]&amp;"|"&amp;tblExcepciones[[#This Row],[sub_area]])</f>
        <v/>
      </c>
      <c r="I212" s="12" t="n">
        <v>46230</v>
      </c>
      <c r="J212" s="3">
        <f>_xlfn.XLOOKUP(TEXT($I212,"yyyy-mm-dd")&amp;"|"&amp;""&amp;"|"&amp;"",tblExcepciones[clave],tblExcepciones[habil],_xlfn.XLOOKUP(TEXT($I212,"yyyy-mm-dd")&amp;"|"&amp;""&amp;"|",tblExcepciones[clave],tblExcepciones[habil],_xlfn.XLOOKUP(TEXT($I212,"yyyy-mm-dd")&amp;"||",tblExcepciones[clave],tblExcepciones[habil],INDEX(patronHabil,WEEKDAY($I212,2)))))</f>
        <v/>
      </c>
    </row>
    <row r="213">
      <c r="A213" s="8" t="n"/>
      <c r="B213" s="6" t="n"/>
      <c r="C213" s="6" t="n"/>
      <c r="D213" s="6" t="n"/>
      <c r="E213" s="6" t="n"/>
      <c r="F213" s="6" t="n"/>
      <c r="G213" s="3">
        <f>IF(tblExcepciones[[#This Row],[fecha]]="","",TEXT(tblExcepciones[[#This Row],[fecha]],"yyyy-mm-dd")&amp;"|"&amp;tblExcepciones[[#This Row],[area]]&amp;"|"&amp;tblExcepciones[[#This Row],[sub_area]])</f>
        <v/>
      </c>
      <c r="I213" s="12" t="n">
        <v>46231</v>
      </c>
      <c r="J213" s="3">
        <f>_xlfn.XLOOKUP(TEXT($I213,"yyyy-mm-dd")&amp;"|"&amp;""&amp;"|"&amp;"",tblExcepciones[clave],tblExcepciones[habil],_xlfn.XLOOKUP(TEXT($I213,"yyyy-mm-dd")&amp;"|"&amp;""&amp;"|",tblExcepciones[clave],tblExcepciones[habil],_xlfn.XLOOKUP(TEXT($I213,"yyyy-mm-dd")&amp;"||",tblExcepciones[clave],tblExcepciones[habil],INDEX(patronHabil,WEEKDAY($I213,2)))))</f>
        <v/>
      </c>
    </row>
    <row r="214">
      <c r="A214" s="8" t="n"/>
      <c r="B214" s="6" t="n"/>
      <c r="C214" s="6" t="n"/>
      <c r="D214" s="6" t="n"/>
      <c r="E214" s="6" t="n"/>
      <c r="F214" s="6" t="n"/>
      <c r="G214" s="3">
        <f>IF(tblExcepciones[[#This Row],[fecha]]="","",TEXT(tblExcepciones[[#This Row],[fecha]],"yyyy-mm-dd")&amp;"|"&amp;tblExcepciones[[#This Row],[area]]&amp;"|"&amp;tblExcepciones[[#This Row],[sub_area]])</f>
        <v/>
      </c>
      <c r="I214" s="12" t="n">
        <v>46232</v>
      </c>
      <c r="J214" s="3">
        <f>_xlfn.XLOOKUP(TEXT($I214,"yyyy-mm-dd")&amp;"|"&amp;""&amp;"|"&amp;"",tblExcepciones[clave],tblExcepciones[habil],_xlfn.XLOOKUP(TEXT($I214,"yyyy-mm-dd")&amp;"|"&amp;""&amp;"|",tblExcepciones[clave],tblExcepciones[habil],_xlfn.XLOOKUP(TEXT($I214,"yyyy-mm-dd")&amp;"||",tblExcepciones[clave],tblExcepciones[habil],INDEX(patronHabil,WEEKDAY($I214,2)))))</f>
        <v/>
      </c>
    </row>
    <row r="215">
      <c r="I215" s="12" t="n">
        <v>46233</v>
      </c>
      <c r="J215" s="3">
        <f>_xlfn.XLOOKUP(TEXT($I215,"yyyy-mm-dd")&amp;"|"&amp;""&amp;"|"&amp;"",tblExcepciones[clave],tblExcepciones[habil],_xlfn.XLOOKUP(TEXT($I215,"yyyy-mm-dd")&amp;"|"&amp;""&amp;"|",tblExcepciones[clave],tblExcepciones[habil],_xlfn.XLOOKUP(TEXT($I215,"yyyy-mm-dd")&amp;"||",tblExcepciones[clave],tblExcepciones[habil],INDEX(patronHabil,WEEKDAY($I215,2)))))</f>
        <v/>
      </c>
    </row>
    <row r="216">
      <c r="I216" s="12" t="n">
        <v>46234</v>
      </c>
      <c r="J216" s="3">
        <f>_xlfn.XLOOKUP(TEXT($I216,"yyyy-mm-dd")&amp;"|"&amp;""&amp;"|"&amp;"",tblExcepciones[clave],tblExcepciones[habil],_xlfn.XLOOKUP(TEXT($I216,"yyyy-mm-dd")&amp;"|"&amp;""&amp;"|",tblExcepciones[clave],tblExcepciones[habil],_xlfn.XLOOKUP(TEXT($I216,"yyyy-mm-dd")&amp;"||",tblExcepciones[clave],tblExcepciones[habil],INDEX(patronHabil,WEEKDAY($I216,2)))))</f>
        <v/>
      </c>
    </row>
    <row r="217">
      <c r="I217" s="12" t="n">
        <v>46235</v>
      </c>
      <c r="J217" s="3">
        <f>_xlfn.XLOOKUP(TEXT($I217,"yyyy-mm-dd")&amp;"|"&amp;""&amp;"|"&amp;"",tblExcepciones[clave],tblExcepciones[habil],_xlfn.XLOOKUP(TEXT($I217,"yyyy-mm-dd")&amp;"|"&amp;""&amp;"|",tblExcepciones[clave],tblExcepciones[habil],_xlfn.XLOOKUP(TEXT($I217,"yyyy-mm-dd")&amp;"||",tblExcepciones[clave],tblExcepciones[habil],INDEX(patronHabil,WEEKDAY($I217,2)))))</f>
        <v/>
      </c>
    </row>
    <row r="218">
      <c r="I218" s="12" t="n">
        <v>46236</v>
      </c>
      <c r="J218" s="3">
        <f>_xlfn.XLOOKUP(TEXT($I218,"yyyy-mm-dd")&amp;"|"&amp;""&amp;"|"&amp;"",tblExcepciones[clave],tblExcepciones[habil],_xlfn.XLOOKUP(TEXT($I218,"yyyy-mm-dd")&amp;"|"&amp;""&amp;"|",tblExcepciones[clave],tblExcepciones[habil],_xlfn.XLOOKUP(TEXT($I218,"yyyy-mm-dd")&amp;"||",tblExcepciones[clave],tblExcepciones[habil],INDEX(patronHabil,WEEKDAY($I218,2)))))</f>
        <v/>
      </c>
    </row>
    <row r="219">
      <c r="I219" s="12" t="n">
        <v>46237</v>
      </c>
      <c r="J219" s="3">
        <f>_xlfn.XLOOKUP(TEXT($I219,"yyyy-mm-dd")&amp;"|"&amp;""&amp;"|"&amp;"",tblExcepciones[clave],tblExcepciones[habil],_xlfn.XLOOKUP(TEXT($I219,"yyyy-mm-dd")&amp;"|"&amp;""&amp;"|",tblExcepciones[clave],tblExcepciones[habil],_xlfn.XLOOKUP(TEXT($I219,"yyyy-mm-dd")&amp;"||",tblExcepciones[clave],tblExcepciones[habil],INDEX(patronHabil,WEEKDAY($I219,2)))))</f>
        <v/>
      </c>
    </row>
    <row r="220">
      <c r="I220" s="12" t="n">
        <v>46238</v>
      </c>
      <c r="J220" s="3">
        <f>_xlfn.XLOOKUP(TEXT($I220,"yyyy-mm-dd")&amp;"|"&amp;""&amp;"|"&amp;"",tblExcepciones[clave],tblExcepciones[habil],_xlfn.XLOOKUP(TEXT($I220,"yyyy-mm-dd")&amp;"|"&amp;""&amp;"|",tblExcepciones[clave],tblExcepciones[habil],_xlfn.XLOOKUP(TEXT($I220,"yyyy-mm-dd")&amp;"||",tblExcepciones[clave],tblExcepciones[habil],INDEX(patronHabil,WEEKDAY($I220,2)))))</f>
        <v/>
      </c>
    </row>
    <row r="221">
      <c r="I221" s="12" t="n">
        <v>46239</v>
      </c>
      <c r="J221" s="3">
        <f>_xlfn.XLOOKUP(TEXT($I221,"yyyy-mm-dd")&amp;"|"&amp;""&amp;"|"&amp;"",tblExcepciones[clave],tblExcepciones[habil],_xlfn.XLOOKUP(TEXT($I221,"yyyy-mm-dd")&amp;"|"&amp;""&amp;"|",tblExcepciones[clave],tblExcepciones[habil],_xlfn.XLOOKUP(TEXT($I221,"yyyy-mm-dd")&amp;"||",tblExcepciones[clave],tblExcepciones[habil],INDEX(patronHabil,WEEKDAY($I221,2)))))</f>
        <v/>
      </c>
    </row>
    <row r="222">
      <c r="I222" s="12" t="n">
        <v>46240</v>
      </c>
      <c r="J222" s="3">
        <f>_xlfn.XLOOKUP(TEXT($I222,"yyyy-mm-dd")&amp;"|"&amp;""&amp;"|"&amp;"",tblExcepciones[clave],tblExcepciones[habil],_xlfn.XLOOKUP(TEXT($I222,"yyyy-mm-dd")&amp;"|"&amp;""&amp;"|",tblExcepciones[clave],tblExcepciones[habil],_xlfn.XLOOKUP(TEXT($I222,"yyyy-mm-dd")&amp;"||",tblExcepciones[clave],tblExcepciones[habil],INDEX(patronHabil,WEEKDAY($I222,2)))))</f>
        <v/>
      </c>
    </row>
    <row r="223">
      <c r="I223" s="12" t="n">
        <v>46241</v>
      </c>
      <c r="J223" s="3">
        <f>_xlfn.XLOOKUP(TEXT($I223,"yyyy-mm-dd")&amp;"|"&amp;""&amp;"|"&amp;"",tblExcepciones[clave],tblExcepciones[habil],_xlfn.XLOOKUP(TEXT($I223,"yyyy-mm-dd")&amp;"|"&amp;""&amp;"|",tblExcepciones[clave],tblExcepciones[habil],_xlfn.XLOOKUP(TEXT($I223,"yyyy-mm-dd")&amp;"||",tblExcepciones[clave],tblExcepciones[habil],INDEX(patronHabil,WEEKDAY($I223,2)))))</f>
        <v/>
      </c>
    </row>
    <row r="224">
      <c r="I224" s="12" t="n">
        <v>46242</v>
      </c>
      <c r="J224" s="3">
        <f>_xlfn.XLOOKUP(TEXT($I224,"yyyy-mm-dd")&amp;"|"&amp;""&amp;"|"&amp;"",tblExcepciones[clave],tblExcepciones[habil],_xlfn.XLOOKUP(TEXT($I224,"yyyy-mm-dd")&amp;"|"&amp;""&amp;"|",tblExcepciones[clave],tblExcepciones[habil],_xlfn.XLOOKUP(TEXT($I224,"yyyy-mm-dd")&amp;"||",tblExcepciones[clave],tblExcepciones[habil],INDEX(patronHabil,WEEKDAY($I224,2)))))</f>
        <v/>
      </c>
    </row>
    <row r="225">
      <c r="I225" s="12" t="n">
        <v>46243</v>
      </c>
      <c r="J225" s="3">
        <f>_xlfn.XLOOKUP(TEXT($I225,"yyyy-mm-dd")&amp;"|"&amp;""&amp;"|"&amp;"",tblExcepciones[clave],tblExcepciones[habil],_xlfn.XLOOKUP(TEXT($I225,"yyyy-mm-dd")&amp;"|"&amp;""&amp;"|",tblExcepciones[clave],tblExcepciones[habil],_xlfn.XLOOKUP(TEXT($I225,"yyyy-mm-dd")&amp;"||",tblExcepciones[clave],tblExcepciones[habil],INDEX(patronHabil,WEEKDAY($I225,2)))))</f>
        <v/>
      </c>
    </row>
    <row r="226">
      <c r="I226" s="12" t="n">
        <v>46244</v>
      </c>
      <c r="J226" s="3">
        <f>_xlfn.XLOOKUP(TEXT($I226,"yyyy-mm-dd")&amp;"|"&amp;""&amp;"|"&amp;"",tblExcepciones[clave],tblExcepciones[habil],_xlfn.XLOOKUP(TEXT($I226,"yyyy-mm-dd")&amp;"|"&amp;""&amp;"|",tblExcepciones[clave],tblExcepciones[habil],_xlfn.XLOOKUP(TEXT($I226,"yyyy-mm-dd")&amp;"||",tblExcepciones[clave],tblExcepciones[habil],INDEX(patronHabil,WEEKDAY($I226,2)))))</f>
        <v/>
      </c>
    </row>
    <row r="227">
      <c r="I227" s="12" t="n">
        <v>46245</v>
      </c>
      <c r="J227" s="3">
        <f>_xlfn.XLOOKUP(TEXT($I227,"yyyy-mm-dd")&amp;"|"&amp;""&amp;"|"&amp;"",tblExcepciones[clave],tblExcepciones[habil],_xlfn.XLOOKUP(TEXT($I227,"yyyy-mm-dd")&amp;"|"&amp;""&amp;"|",tblExcepciones[clave],tblExcepciones[habil],_xlfn.XLOOKUP(TEXT($I227,"yyyy-mm-dd")&amp;"||",tblExcepciones[clave],tblExcepciones[habil],INDEX(patronHabil,WEEKDAY($I227,2)))))</f>
        <v/>
      </c>
    </row>
    <row r="228">
      <c r="I228" s="12" t="n">
        <v>46246</v>
      </c>
      <c r="J228" s="3">
        <f>_xlfn.XLOOKUP(TEXT($I228,"yyyy-mm-dd")&amp;"|"&amp;""&amp;"|"&amp;"",tblExcepciones[clave],tblExcepciones[habil],_xlfn.XLOOKUP(TEXT($I228,"yyyy-mm-dd")&amp;"|"&amp;""&amp;"|",tblExcepciones[clave],tblExcepciones[habil],_xlfn.XLOOKUP(TEXT($I228,"yyyy-mm-dd")&amp;"||",tblExcepciones[clave],tblExcepciones[habil],INDEX(patronHabil,WEEKDAY($I228,2)))))</f>
        <v/>
      </c>
    </row>
    <row r="229">
      <c r="I229" s="12" t="n">
        <v>46247</v>
      </c>
      <c r="J229" s="3">
        <f>_xlfn.XLOOKUP(TEXT($I229,"yyyy-mm-dd")&amp;"|"&amp;""&amp;"|"&amp;"",tblExcepciones[clave],tblExcepciones[habil],_xlfn.XLOOKUP(TEXT($I229,"yyyy-mm-dd")&amp;"|"&amp;""&amp;"|",tblExcepciones[clave],tblExcepciones[habil],_xlfn.XLOOKUP(TEXT($I229,"yyyy-mm-dd")&amp;"||",tblExcepciones[clave],tblExcepciones[habil],INDEX(patronHabil,WEEKDAY($I229,2)))))</f>
        <v/>
      </c>
    </row>
    <row r="230">
      <c r="I230" s="12" t="n">
        <v>46248</v>
      </c>
      <c r="J230" s="3">
        <f>_xlfn.XLOOKUP(TEXT($I230,"yyyy-mm-dd")&amp;"|"&amp;""&amp;"|"&amp;"",tblExcepciones[clave],tblExcepciones[habil],_xlfn.XLOOKUP(TEXT($I230,"yyyy-mm-dd")&amp;"|"&amp;""&amp;"|",tblExcepciones[clave],tblExcepciones[habil],_xlfn.XLOOKUP(TEXT($I230,"yyyy-mm-dd")&amp;"||",tblExcepciones[clave],tblExcepciones[habil],INDEX(patronHabil,WEEKDAY($I230,2)))))</f>
        <v/>
      </c>
    </row>
    <row r="231">
      <c r="I231" s="12" t="n">
        <v>46249</v>
      </c>
      <c r="J231" s="3">
        <f>_xlfn.XLOOKUP(TEXT($I231,"yyyy-mm-dd")&amp;"|"&amp;""&amp;"|"&amp;"",tblExcepciones[clave],tblExcepciones[habil],_xlfn.XLOOKUP(TEXT($I231,"yyyy-mm-dd")&amp;"|"&amp;""&amp;"|",tblExcepciones[clave],tblExcepciones[habil],_xlfn.XLOOKUP(TEXT($I231,"yyyy-mm-dd")&amp;"||",tblExcepciones[clave],tblExcepciones[habil],INDEX(patronHabil,WEEKDAY($I231,2)))))</f>
        <v/>
      </c>
    </row>
    <row r="232">
      <c r="I232" s="12" t="n">
        <v>46250</v>
      </c>
      <c r="J232" s="3">
        <f>_xlfn.XLOOKUP(TEXT($I232,"yyyy-mm-dd")&amp;"|"&amp;""&amp;"|"&amp;"",tblExcepciones[clave],tblExcepciones[habil],_xlfn.XLOOKUP(TEXT($I232,"yyyy-mm-dd")&amp;"|"&amp;""&amp;"|",tblExcepciones[clave],tblExcepciones[habil],_xlfn.XLOOKUP(TEXT($I232,"yyyy-mm-dd")&amp;"||",tblExcepciones[clave],tblExcepciones[habil],INDEX(patronHabil,WEEKDAY($I232,2)))))</f>
        <v/>
      </c>
    </row>
    <row r="233">
      <c r="I233" s="12" t="n">
        <v>46251</v>
      </c>
      <c r="J233" s="3">
        <f>_xlfn.XLOOKUP(TEXT($I233,"yyyy-mm-dd")&amp;"|"&amp;""&amp;"|"&amp;"",tblExcepciones[clave],tblExcepciones[habil],_xlfn.XLOOKUP(TEXT($I233,"yyyy-mm-dd")&amp;"|"&amp;""&amp;"|",tblExcepciones[clave],tblExcepciones[habil],_xlfn.XLOOKUP(TEXT($I233,"yyyy-mm-dd")&amp;"||",tblExcepciones[clave],tblExcepciones[habil],INDEX(patronHabil,WEEKDAY($I233,2)))))</f>
        <v/>
      </c>
    </row>
    <row r="234">
      <c r="I234" s="12" t="n">
        <v>46252</v>
      </c>
      <c r="J234" s="3">
        <f>_xlfn.XLOOKUP(TEXT($I234,"yyyy-mm-dd")&amp;"|"&amp;""&amp;"|"&amp;"",tblExcepciones[clave],tblExcepciones[habil],_xlfn.XLOOKUP(TEXT($I234,"yyyy-mm-dd")&amp;"|"&amp;""&amp;"|",tblExcepciones[clave],tblExcepciones[habil],_xlfn.XLOOKUP(TEXT($I234,"yyyy-mm-dd")&amp;"||",tblExcepciones[clave],tblExcepciones[habil],INDEX(patronHabil,WEEKDAY($I234,2)))))</f>
        <v/>
      </c>
    </row>
    <row r="235">
      <c r="I235" s="12" t="n">
        <v>46253</v>
      </c>
      <c r="J235" s="3">
        <f>_xlfn.XLOOKUP(TEXT($I235,"yyyy-mm-dd")&amp;"|"&amp;""&amp;"|"&amp;"",tblExcepciones[clave],tblExcepciones[habil],_xlfn.XLOOKUP(TEXT($I235,"yyyy-mm-dd")&amp;"|"&amp;""&amp;"|",tblExcepciones[clave],tblExcepciones[habil],_xlfn.XLOOKUP(TEXT($I235,"yyyy-mm-dd")&amp;"||",tblExcepciones[clave],tblExcepciones[habil],INDEX(patronHabil,WEEKDAY($I235,2)))))</f>
        <v/>
      </c>
    </row>
    <row r="236">
      <c r="I236" s="12" t="n">
        <v>46254</v>
      </c>
      <c r="J236" s="3">
        <f>_xlfn.XLOOKUP(TEXT($I236,"yyyy-mm-dd")&amp;"|"&amp;""&amp;"|"&amp;"",tblExcepciones[clave],tblExcepciones[habil],_xlfn.XLOOKUP(TEXT($I236,"yyyy-mm-dd")&amp;"|"&amp;""&amp;"|",tblExcepciones[clave],tblExcepciones[habil],_xlfn.XLOOKUP(TEXT($I236,"yyyy-mm-dd")&amp;"||",tblExcepciones[clave],tblExcepciones[habil],INDEX(patronHabil,WEEKDAY($I236,2)))))</f>
        <v/>
      </c>
    </row>
    <row r="237">
      <c r="I237" s="12" t="n">
        <v>46255</v>
      </c>
      <c r="J237" s="3">
        <f>_xlfn.XLOOKUP(TEXT($I237,"yyyy-mm-dd")&amp;"|"&amp;""&amp;"|"&amp;"",tblExcepciones[clave],tblExcepciones[habil],_xlfn.XLOOKUP(TEXT($I237,"yyyy-mm-dd")&amp;"|"&amp;""&amp;"|",tblExcepciones[clave],tblExcepciones[habil],_xlfn.XLOOKUP(TEXT($I237,"yyyy-mm-dd")&amp;"||",tblExcepciones[clave],tblExcepciones[habil],INDEX(patronHabil,WEEKDAY($I237,2)))))</f>
        <v/>
      </c>
    </row>
    <row r="238">
      <c r="I238" s="12" t="n">
        <v>46256</v>
      </c>
      <c r="J238" s="3">
        <f>_xlfn.XLOOKUP(TEXT($I238,"yyyy-mm-dd")&amp;"|"&amp;""&amp;"|"&amp;"",tblExcepciones[clave],tblExcepciones[habil],_xlfn.XLOOKUP(TEXT($I238,"yyyy-mm-dd")&amp;"|"&amp;""&amp;"|",tblExcepciones[clave],tblExcepciones[habil],_xlfn.XLOOKUP(TEXT($I238,"yyyy-mm-dd")&amp;"||",tblExcepciones[clave],tblExcepciones[habil],INDEX(patronHabil,WEEKDAY($I238,2)))))</f>
        <v/>
      </c>
    </row>
    <row r="239">
      <c r="I239" s="12" t="n">
        <v>46257</v>
      </c>
      <c r="J239" s="3">
        <f>_xlfn.XLOOKUP(TEXT($I239,"yyyy-mm-dd")&amp;"|"&amp;""&amp;"|"&amp;"",tblExcepciones[clave],tblExcepciones[habil],_xlfn.XLOOKUP(TEXT($I239,"yyyy-mm-dd")&amp;"|"&amp;""&amp;"|",tblExcepciones[clave],tblExcepciones[habil],_xlfn.XLOOKUP(TEXT($I239,"yyyy-mm-dd")&amp;"||",tblExcepciones[clave],tblExcepciones[habil],INDEX(patronHabil,WEEKDAY($I239,2)))))</f>
        <v/>
      </c>
    </row>
    <row r="240">
      <c r="I240" s="12" t="n">
        <v>46258</v>
      </c>
      <c r="J240" s="3">
        <f>_xlfn.XLOOKUP(TEXT($I240,"yyyy-mm-dd")&amp;"|"&amp;""&amp;"|"&amp;"",tblExcepciones[clave],tblExcepciones[habil],_xlfn.XLOOKUP(TEXT($I240,"yyyy-mm-dd")&amp;"|"&amp;""&amp;"|",tblExcepciones[clave],tblExcepciones[habil],_xlfn.XLOOKUP(TEXT($I240,"yyyy-mm-dd")&amp;"||",tblExcepciones[clave],tblExcepciones[habil],INDEX(patronHabil,WEEKDAY($I240,2)))))</f>
        <v/>
      </c>
    </row>
    <row r="241">
      <c r="I241" s="12" t="n">
        <v>46259</v>
      </c>
      <c r="J241" s="3">
        <f>_xlfn.XLOOKUP(TEXT($I241,"yyyy-mm-dd")&amp;"|"&amp;""&amp;"|"&amp;"",tblExcepciones[clave],tblExcepciones[habil],_xlfn.XLOOKUP(TEXT($I241,"yyyy-mm-dd")&amp;"|"&amp;""&amp;"|",tblExcepciones[clave],tblExcepciones[habil],_xlfn.XLOOKUP(TEXT($I241,"yyyy-mm-dd")&amp;"||",tblExcepciones[clave],tblExcepciones[habil],INDEX(patronHabil,WEEKDAY($I241,2)))))</f>
        <v/>
      </c>
    </row>
    <row r="242">
      <c r="I242" s="12" t="n">
        <v>46260</v>
      </c>
      <c r="J242" s="3">
        <f>_xlfn.XLOOKUP(TEXT($I242,"yyyy-mm-dd")&amp;"|"&amp;""&amp;"|"&amp;"",tblExcepciones[clave],tblExcepciones[habil],_xlfn.XLOOKUP(TEXT($I242,"yyyy-mm-dd")&amp;"|"&amp;""&amp;"|",tblExcepciones[clave],tblExcepciones[habil],_xlfn.XLOOKUP(TEXT($I242,"yyyy-mm-dd")&amp;"||",tblExcepciones[clave],tblExcepciones[habil],INDEX(patronHabil,WEEKDAY($I242,2)))))</f>
        <v/>
      </c>
    </row>
    <row r="243">
      <c r="I243" s="12" t="n">
        <v>46261</v>
      </c>
      <c r="J243" s="3">
        <f>_xlfn.XLOOKUP(TEXT($I243,"yyyy-mm-dd")&amp;"|"&amp;""&amp;"|"&amp;"",tblExcepciones[clave],tblExcepciones[habil],_xlfn.XLOOKUP(TEXT($I243,"yyyy-mm-dd")&amp;"|"&amp;""&amp;"|",tblExcepciones[clave],tblExcepciones[habil],_xlfn.XLOOKUP(TEXT($I243,"yyyy-mm-dd")&amp;"||",tblExcepciones[clave],tblExcepciones[habil],INDEX(patronHabil,WEEKDAY($I243,2)))))</f>
        <v/>
      </c>
    </row>
    <row r="244">
      <c r="I244" s="12" t="n">
        <v>46262</v>
      </c>
      <c r="J244" s="3">
        <f>_xlfn.XLOOKUP(TEXT($I244,"yyyy-mm-dd")&amp;"|"&amp;""&amp;"|"&amp;"",tblExcepciones[clave],tblExcepciones[habil],_xlfn.XLOOKUP(TEXT($I244,"yyyy-mm-dd")&amp;"|"&amp;""&amp;"|",tblExcepciones[clave],tblExcepciones[habil],_xlfn.XLOOKUP(TEXT($I244,"yyyy-mm-dd")&amp;"||",tblExcepciones[clave],tblExcepciones[habil],INDEX(patronHabil,WEEKDAY($I244,2)))))</f>
        <v/>
      </c>
    </row>
    <row r="245">
      <c r="I245" s="12" t="n">
        <v>46263</v>
      </c>
      <c r="J245" s="3">
        <f>_xlfn.XLOOKUP(TEXT($I245,"yyyy-mm-dd")&amp;"|"&amp;""&amp;"|"&amp;"",tblExcepciones[clave],tblExcepciones[habil],_xlfn.XLOOKUP(TEXT($I245,"yyyy-mm-dd")&amp;"|"&amp;""&amp;"|",tblExcepciones[clave],tblExcepciones[habil],_xlfn.XLOOKUP(TEXT($I245,"yyyy-mm-dd")&amp;"||",tblExcepciones[clave],tblExcepciones[habil],INDEX(patronHabil,WEEKDAY($I245,2)))))</f>
        <v/>
      </c>
    </row>
    <row r="246">
      <c r="I246" s="12" t="n">
        <v>46264</v>
      </c>
      <c r="J246" s="3">
        <f>_xlfn.XLOOKUP(TEXT($I246,"yyyy-mm-dd")&amp;"|"&amp;""&amp;"|"&amp;"",tblExcepciones[clave],tblExcepciones[habil],_xlfn.XLOOKUP(TEXT($I246,"yyyy-mm-dd")&amp;"|"&amp;""&amp;"|",tblExcepciones[clave],tblExcepciones[habil],_xlfn.XLOOKUP(TEXT($I246,"yyyy-mm-dd")&amp;"||",tblExcepciones[clave],tblExcepciones[habil],INDEX(patronHabil,WEEKDAY($I246,2)))))</f>
        <v/>
      </c>
    </row>
    <row r="247">
      <c r="I247" s="12" t="n">
        <v>46265</v>
      </c>
      <c r="J247" s="3">
        <f>_xlfn.XLOOKUP(TEXT($I247,"yyyy-mm-dd")&amp;"|"&amp;""&amp;"|"&amp;"",tblExcepciones[clave],tblExcepciones[habil],_xlfn.XLOOKUP(TEXT($I247,"yyyy-mm-dd")&amp;"|"&amp;""&amp;"|",tblExcepciones[clave],tblExcepciones[habil],_xlfn.XLOOKUP(TEXT($I247,"yyyy-mm-dd")&amp;"||",tblExcepciones[clave],tblExcepciones[habil],INDEX(patronHabil,WEEKDAY($I247,2)))))</f>
        <v/>
      </c>
    </row>
    <row r="248">
      <c r="I248" s="12" t="n">
        <v>46266</v>
      </c>
      <c r="J248" s="3">
        <f>_xlfn.XLOOKUP(TEXT($I248,"yyyy-mm-dd")&amp;"|"&amp;""&amp;"|"&amp;"",tblExcepciones[clave],tblExcepciones[habil],_xlfn.XLOOKUP(TEXT($I248,"yyyy-mm-dd")&amp;"|"&amp;""&amp;"|",tblExcepciones[clave],tblExcepciones[habil],_xlfn.XLOOKUP(TEXT($I248,"yyyy-mm-dd")&amp;"||",tblExcepciones[clave],tblExcepciones[habil],INDEX(patronHabil,WEEKDAY($I248,2)))))</f>
        <v/>
      </c>
    </row>
    <row r="249">
      <c r="I249" s="12" t="n">
        <v>46267</v>
      </c>
      <c r="J249" s="3">
        <f>_xlfn.XLOOKUP(TEXT($I249,"yyyy-mm-dd")&amp;"|"&amp;""&amp;"|"&amp;"",tblExcepciones[clave],tblExcepciones[habil],_xlfn.XLOOKUP(TEXT($I249,"yyyy-mm-dd")&amp;"|"&amp;""&amp;"|",tblExcepciones[clave],tblExcepciones[habil],_xlfn.XLOOKUP(TEXT($I249,"yyyy-mm-dd")&amp;"||",tblExcepciones[clave],tblExcepciones[habil],INDEX(patronHabil,WEEKDAY($I249,2)))))</f>
        <v/>
      </c>
    </row>
    <row r="250">
      <c r="I250" s="12" t="n">
        <v>46268</v>
      </c>
      <c r="J250" s="3">
        <f>_xlfn.XLOOKUP(TEXT($I250,"yyyy-mm-dd")&amp;"|"&amp;""&amp;"|"&amp;"",tblExcepciones[clave],tblExcepciones[habil],_xlfn.XLOOKUP(TEXT($I250,"yyyy-mm-dd")&amp;"|"&amp;""&amp;"|",tblExcepciones[clave],tblExcepciones[habil],_xlfn.XLOOKUP(TEXT($I250,"yyyy-mm-dd")&amp;"||",tblExcepciones[clave],tblExcepciones[habil],INDEX(patronHabil,WEEKDAY($I250,2)))))</f>
        <v/>
      </c>
    </row>
    <row r="251">
      <c r="I251" s="12" t="n">
        <v>46269</v>
      </c>
      <c r="J251" s="3">
        <f>_xlfn.XLOOKUP(TEXT($I251,"yyyy-mm-dd")&amp;"|"&amp;""&amp;"|"&amp;"",tblExcepciones[clave],tblExcepciones[habil],_xlfn.XLOOKUP(TEXT($I251,"yyyy-mm-dd")&amp;"|"&amp;""&amp;"|",tblExcepciones[clave],tblExcepciones[habil],_xlfn.XLOOKUP(TEXT($I251,"yyyy-mm-dd")&amp;"||",tblExcepciones[clave],tblExcepciones[habil],INDEX(patronHabil,WEEKDAY($I251,2)))))</f>
        <v/>
      </c>
    </row>
    <row r="252">
      <c r="I252" s="12" t="n">
        <v>46270</v>
      </c>
      <c r="J252" s="3">
        <f>_xlfn.XLOOKUP(TEXT($I252,"yyyy-mm-dd")&amp;"|"&amp;""&amp;"|"&amp;"",tblExcepciones[clave],tblExcepciones[habil],_xlfn.XLOOKUP(TEXT($I252,"yyyy-mm-dd")&amp;"|"&amp;""&amp;"|",tblExcepciones[clave],tblExcepciones[habil],_xlfn.XLOOKUP(TEXT($I252,"yyyy-mm-dd")&amp;"||",tblExcepciones[clave],tblExcepciones[habil],INDEX(patronHabil,WEEKDAY($I252,2)))))</f>
        <v/>
      </c>
    </row>
    <row r="253">
      <c r="I253" s="12" t="n">
        <v>46271</v>
      </c>
      <c r="J253" s="3">
        <f>_xlfn.XLOOKUP(TEXT($I253,"yyyy-mm-dd")&amp;"|"&amp;""&amp;"|"&amp;"",tblExcepciones[clave],tblExcepciones[habil],_xlfn.XLOOKUP(TEXT($I253,"yyyy-mm-dd")&amp;"|"&amp;""&amp;"|",tblExcepciones[clave],tblExcepciones[habil],_xlfn.XLOOKUP(TEXT($I253,"yyyy-mm-dd")&amp;"||",tblExcepciones[clave],tblExcepciones[habil],INDEX(patronHabil,WEEKDAY($I253,2)))))</f>
        <v/>
      </c>
    </row>
    <row r="254">
      <c r="I254" s="12" t="n">
        <v>46272</v>
      </c>
      <c r="J254" s="3">
        <f>_xlfn.XLOOKUP(TEXT($I254,"yyyy-mm-dd")&amp;"|"&amp;""&amp;"|"&amp;"",tblExcepciones[clave],tblExcepciones[habil],_xlfn.XLOOKUP(TEXT($I254,"yyyy-mm-dd")&amp;"|"&amp;""&amp;"|",tblExcepciones[clave],tblExcepciones[habil],_xlfn.XLOOKUP(TEXT($I254,"yyyy-mm-dd")&amp;"||",tblExcepciones[clave],tblExcepciones[habil],INDEX(patronHabil,WEEKDAY($I254,2)))))</f>
        <v/>
      </c>
    </row>
    <row r="255">
      <c r="I255" s="12" t="n">
        <v>46273</v>
      </c>
      <c r="J255" s="3">
        <f>_xlfn.XLOOKUP(TEXT($I255,"yyyy-mm-dd")&amp;"|"&amp;""&amp;"|"&amp;"",tblExcepciones[clave],tblExcepciones[habil],_xlfn.XLOOKUP(TEXT($I255,"yyyy-mm-dd")&amp;"|"&amp;""&amp;"|",tblExcepciones[clave],tblExcepciones[habil],_xlfn.XLOOKUP(TEXT($I255,"yyyy-mm-dd")&amp;"||",tblExcepciones[clave],tblExcepciones[habil],INDEX(patronHabil,WEEKDAY($I255,2)))))</f>
        <v/>
      </c>
    </row>
    <row r="256">
      <c r="I256" s="12" t="n">
        <v>46274</v>
      </c>
      <c r="J256" s="3">
        <f>_xlfn.XLOOKUP(TEXT($I256,"yyyy-mm-dd")&amp;"|"&amp;""&amp;"|"&amp;"",tblExcepciones[clave],tblExcepciones[habil],_xlfn.XLOOKUP(TEXT($I256,"yyyy-mm-dd")&amp;"|"&amp;""&amp;"|",tblExcepciones[clave],tblExcepciones[habil],_xlfn.XLOOKUP(TEXT($I256,"yyyy-mm-dd")&amp;"||",tblExcepciones[clave],tblExcepciones[habil],INDEX(patronHabil,WEEKDAY($I256,2)))))</f>
        <v/>
      </c>
    </row>
    <row r="257">
      <c r="I257" s="12" t="n">
        <v>46275</v>
      </c>
      <c r="J257" s="3">
        <f>_xlfn.XLOOKUP(TEXT($I257,"yyyy-mm-dd")&amp;"|"&amp;""&amp;"|"&amp;"",tblExcepciones[clave],tblExcepciones[habil],_xlfn.XLOOKUP(TEXT($I257,"yyyy-mm-dd")&amp;"|"&amp;""&amp;"|",tblExcepciones[clave],tblExcepciones[habil],_xlfn.XLOOKUP(TEXT($I257,"yyyy-mm-dd")&amp;"||",tblExcepciones[clave],tblExcepciones[habil],INDEX(patronHabil,WEEKDAY($I257,2)))))</f>
        <v/>
      </c>
    </row>
    <row r="258">
      <c r="I258" s="12" t="n">
        <v>46276</v>
      </c>
      <c r="J258" s="3">
        <f>_xlfn.XLOOKUP(TEXT($I258,"yyyy-mm-dd")&amp;"|"&amp;""&amp;"|"&amp;"",tblExcepciones[clave],tblExcepciones[habil],_xlfn.XLOOKUP(TEXT($I258,"yyyy-mm-dd")&amp;"|"&amp;""&amp;"|",tblExcepciones[clave],tblExcepciones[habil],_xlfn.XLOOKUP(TEXT($I258,"yyyy-mm-dd")&amp;"||",tblExcepciones[clave],tblExcepciones[habil],INDEX(patronHabil,WEEKDAY($I258,2)))))</f>
        <v/>
      </c>
    </row>
    <row r="259">
      <c r="I259" s="12" t="n">
        <v>46277</v>
      </c>
      <c r="J259" s="3">
        <f>_xlfn.XLOOKUP(TEXT($I259,"yyyy-mm-dd")&amp;"|"&amp;""&amp;"|"&amp;"",tblExcepciones[clave],tblExcepciones[habil],_xlfn.XLOOKUP(TEXT($I259,"yyyy-mm-dd")&amp;"|"&amp;""&amp;"|",tblExcepciones[clave],tblExcepciones[habil],_xlfn.XLOOKUP(TEXT($I259,"yyyy-mm-dd")&amp;"||",tblExcepciones[clave],tblExcepciones[habil],INDEX(patronHabil,WEEKDAY($I259,2)))))</f>
        <v/>
      </c>
    </row>
    <row r="260">
      <c r="I260" s="12" t="n">
        <v>46278</v>
      </c>
      <c r="J260" s="3">
        <f>_xlfn.XLOOKUP(TEXT($I260,"yyyy-mm-dd")&amp;"|"&amp;""&amp;"|"&amp;"",tblExcepciones[clave],tblExcepciones[habil],_xlfn.XLOOKUP(TEXT($I260,"yyyy-mm-dd")&amp;"|"&amp;""&amp;"|",tblExcepciones[clave],tblExcepciones[habil],_xlfn.XLOOKUP(TEXT($I260,"yyyy-mm-dd")&amp;"||",tblExcepciones[clave],tblExcepciones[habil],INDEX(patronHabil,WEEKDAY($I260,2)))))</f>
        <v/>
      </c>
    </row>
    <row r="261">
      <c r="I261" s="12" t="n">
        <v>46279</v>
      </c>
      <c r="J261" s="3">
        <f>_xlfn.XLOOKUP(TEXT($I261,"yyyy-mm-dd")&amp;"|"&amp;""&amp;"|"&amp;"",tblExcepciones[clave],tblExcepciones[habil],_xlfn.XLOOKUP(TEXT($I261,"yyyy-mm-dd")&amp;"|"&amp;""&amp;"|",tblExcepciones[clave],tblExcepciones[habil],_xlfn.XLOOKUP(TEXT($I261,"yyyy-mm-dd")&amp;"||",tblExcepciones[clave],tblExcepciones[habil],INDEX(patronHabil,WEEKDAY($I261,2)))))</f>
        <v/>
      </c>
    </row>
    <row r="262">
      <c r="I262" s="12" t="n">
        <v>46280</v>
      </c>
      <c r="J262" s="3">
        <f>_xlfn.XLOOKUP(TEXT($I262,"yyyy-mm-dd")&amp;"|"&amp;""&amp;"|"&amp;"",tblExcepciones[clave],tblExcepciones[habil],_xlfn.XLOOKUP(TEXT($I262,"yyyy-mm-dd")&amp;"|"&amp;""&amp;"|",tblExcepciones[clave],tblExcepciones[habil],_xlfn.XLOOKUP(TEXT($I262,"yyyy-mm-dd")&amp;"||",tblExcepciones[clave],tblExcepciones[habil],INDEX(patronHabil,WEEKDAY($I262,2)))))</f>
        <v/>
      </c>
    </row>
    <row r="263">
      <c r="I263" s="12" t="n">
        <v>46281</v>
      </c>
      <c r="J263" s="3">
        <f>_xlfn.XLOOKUP(TEXT($I263,"yyyy-mm-dd")&amp;"|"&amp;""&amp;"|"&amp;"",tblExcepciones[clave],tblExcepciones[habil],_xlfn.XLOOKUP(TEXT($I263,"yyyy-mm-dd")&amp;"|"&amp;""&amp;"|",tblExcepciones[clave],tblExcepciones[habil],_xlfn.XLOOKUP(TEXT($I263,"yyyy-mm-dd")&amp;"||",tblExcepciones[clave],tblExcepciones[habil],INDEX(patronHabil,WEEKDAY($I263,2)))))</f>
        <v/>
      </c>
    </row>
    <row r="264">
      <c r="I264" s="12" t="n">
        <v>46282</v>
      </c>
      <c r="J264" s="3">
        <f>_xlfn.XLOOKUP(TEXT($I264,"yyyy-mm-dd")&amp;"|"&amp;""&amp;"|"&amp;"",tblExcepciones[clave],tblExcepciones[habil],_xlfn.XLOOKUP(TEXT($I264,"yyyy-mm-dd")&amp;"|"&amp;""&amp;"|",tblExcepciones[clave],tblExcepciones[habil],_xlfn.XLOOKUP(TEXT($I264,"yyyy-mm-dd")&amp;"||",tblExcepciones[clave],tblExcepciones[habil],INDEX(patronHabil,WEEKDAY($I264,2)))))</f>
        <v/>
      </c>
    </row>
    <row r="265">
      <c r="I265" s="12" t="n">
        <v>46283</v>
      </c>
      <c r="J265" s="3">
        <f>_xlfn.XLOOKUP(TEXT($I265,"yyyy-mm-dd")&amp;"|"&amp;""&amp;"|"&amp;"",tblExcepciones[clave],tblExcepciones[habil],_xlfn.XLOOKUP(TEXT($I265,"yyyy-mm-dd")&amp;"|"&amp;""&amp;"|",tblExcepciones[clave],tblExcepciones[habil],_xlfn.XLOOKUP(TEXT($I265,"yyyy-mm-dd")&amp;"||",tblExcepciones[clave],tblExcepciones[habil],INDEX(patronHabil,WEEKDAY($I265,2)))))</f>
        <v/>
      </c>
    </row>
    <row r="266">
      <c r="I266" s="12" t="n">
        <v>46284</v>
      </c>
      <c r="J266" s="3">
        <f>_xlfn.XLOOKUP(TEXT($I266,"yyyy-mm-dd")&amp;"|"&amp;""&amp;"|"&amp;"",tblExcepciones[clave],tblExcepciones[habil],_xlfn.XLOOKUP(TEXT($I266,"yyyy-mm-dd")&amp;"|"&amp;""&amp;"|",tblExcepciones[clave],tblExcepciones[habil],_xlfn.XLOOKUP(TEXT($I266,"yyyy-mm-dd")&amp;"||",tblExcepciones[clave],tblExcepciones[habil],INDEX(patronHabil,WEEKDAY($I266,2)))))</f>
        <v/>
      </c>
    </row>
    <row r="267">
      <c r="I267" s="12" t="n">
        <v>46285</v>
      </c>
      <c r="J267" s="3">
        <f>_xlfn.XLOOKUP(TEXT($I267,"yyyy-mm-dd")&amp;"|"&amp;""&amp;"|"&amp;"",tblExcepciones[clave],tblExcepciones[habil],_xlfn.XLOOKUP(TEXT($I267,"yyyy-mm-dd")&amp;"|"&amp;""&amp;"|",tblExcepciones[clave],tblExcepciones[habil],_xlfn.XLOOKUP(TEXT($I267,"yyyy-mm-dd")&amp;"||",tblExcepciones[clave],tblExcepciones[habil],INDEX(patronHabil,WEEKDAY($I267,2)))))</f>
        <v/>
      </c>
    </row>
    <row r="268">
      <c r="I268" s="12" t="n">
        <v>46286</v>
      </c>
      <c r="J268" s="3">
        <f>_xlfn.XLOOKUP(TEXT($I268,"yyyy-mm-dd")&amp;"|"&amp;""&amp;"|"&amp;"",tblExcepciones[clave],tblExcepciones[habil],_xlfn.XLOOKUP(TEXT($I268,"yyyy-mm-dd")&amp;"|"&amp;""&amp;"|",tblExcepciones[clave],tblExcepciones[habil],_xlfn.XLOOKUP(TEXT($I268,"yyyy-mm-dd")&amp;"||",tblExcepciones[clave],tblExcepciones[habil],INDEX(patronHabil,WEEKDAY($I268,2)))))</f>
        <v/>
      </c>
    </row>
    <row r="269">
      <c r="I269" s="12" t="n">
        <v>46287</v>
      </c>
      <c r="J269" s="3">
        <f>_xlfn.XLOOKUP(TEXT($I269,"yyyy-mm-dd")&amp;"|"&amp;""&amp;"|"&amp;"",tblExcepciones[clave],tblExcepciones[habil],_xlfn.XLOOKUP(TEXT($I269,"yyyy-mm-dd")&amp;"|"&amp;""&amp;"|",tblExcepciones[clave],tblExcepciones[habil],_xlfn.XLOOKUP(TEXT($I269,"yyyy-mm-dd")&amp;"||",tblExcepciones[clave],tblExcepciones[habil],INDEX(patronHabil,WEEKDAY($I269,2)))))</f>
        <v/>
      </c>
    </row>
    <row r="270">
      <c r="I270" s="12" t="n">
        <v>46288</v>
      </c>
      <c r="J270" s="3">
        <f>_xlfn.XLOOKUP(TEXT($I270,"yyyy-mm-dd")&amp;"|"&amp;""&amp;"|"&amp;"",tblExcepciones[clave],tblExcepciones[habil],_xlfn.XLOOKUP(TEXT($I270,"yyyy-mm-dd")&amp;"|"&amp;""&amp;"|",tblExcepciones[clave],tblExcepciones[habil],_xlfn.XLOOKUP(TEXT($I270,"yyyy-mm-dd")&amp;"||",tblExcepciones[clave],tblExcepciones[habil],INDEX(patronHabil,WEEKDAY($I270,2)))))</f>
        <v/>
      </c>
    </row>
    <row r="271">
      <c r="I271" s="12" t="n">
        <v>46289</v>
      </c>
      <c r="J271" s="3">
        <f>_xlfn.XLOOKUP(TEXT($I271,"yyyy-mm-dd")&amp;"|"&amp;""&amp;"|"&amp;"",tblExcepciones[clave],tblExcepciones[habil],_xlfn.XLOOKUP(TEXT($I271,"yyyy-mm-dd")&amp;"|"&amp;""&amp;"|",tblExcepciones[clave],tblExcepciones[habil],_xlfn.XLOOKUP(TEXT($I271,"yyyy-mm-dd")&amp;"||",tblExcepciones[clave],tblExcepciones[habil],INDEX(patronHabil,WEEKDAY($I271,2)))))</f>
        <v/>
      </c>
    </row>
    <row r="272">
      <c r="I272" s="12" t="n">
        <v>46290</v>
      </c>
      <c r="J272" s="3">
        <f>_xlfn.XLOOKUP(TEXT($I272,"yyyy-mm-dd")&amp;"|"&amp;""&amp;"|"&amp;"",tblExcepciones[clave],tblExcepciones[habil],_xlfn.XLOOKUP(TEXT($I272,"yyyy-mm-dd")&amp;"|"&amp;""&amp;"|",tblExcepciones[clave],tblExcepciones[habil],_xlfn.XLOOKUP(TEXT($I272,"yyyy-mm-dd")&amp;"||",tblExcepciones[clave],tblExcepciones[habil],INDEX(patronHabil,WEEKDAY($I272,2)))))</f>
        <v/>
      </c>
    </row>
    <row r="273">
      <c r="I273" s="12" t="n">
        <v>46291</v>
      </c>
      <c r="J273" s="3">
        <f>_xlfn.XLOOKUP(TEXT($I273,"yyyy-mm-dd")&amp;"|"&amp;""&amp;"|"&amp;"",tblExcepciones[clave],tblExcepciones[habil],_xlfn.XLOOKUP(TEXT($I273,"yyyy-mm-dd")&amp;"|"&amp;""&amp;"|",tblExcepciones[clave],tblExcepciones[habil],_xlfn.XLOOKUP(TEXT($I273,"yyyy-mm-dd")&amp;"||",tblExcepciones[clave],tblExcepciones[habil],INDEX(patronHabil,WEEKDAY($I273,2)))))</f>
        <v/>
      </c>
    </row>
    <row r="274">
      <c r="I274" s="12" t="n">
        <v>46292</v>
      </c>
      <c r="J274" s="3">
        <f>_xlfn.XLOOKUP(TEXT($I274,"yyyy-mm-dd")&amp;"|"&amp;""&amp;"|"&amp;"",tblExcepciones[clave],tblExcepciones[habil],_xlfn.XLOOKUP(TEXT($I274,"yyyy-mm-dd")&amp;"|"&amp;""&amp;"|",tblExcepciones[clave],tblExcepciones[habil],_xlfn.XLOOKUP(TEXT($I274,"yyyy-mm-dd")&amp;"||",tblExcepciones[clave],tblExcepciones[habil],INDEX(patronHabil,WEEKDAY($I274,2)))))</f>
        <v/>
      </c>
    </row>
    <row r="275">
      <c r="I275" s="12" t="n">
        <v>46293</v>
      </c>
      <c r="J275" s="3">
        <f>_xlfn.XLOOKUP(TEXT($I275,"yyyy-mm-dd")&amp;"|"&amp;""&amp;"|"&amp;"",tblExcepciones[clave],tblExcepciones[habil],_xlfn.XLOOKUP(TEXT($I275,"yyyy-mm-dd")&amp;"|"&amp;""&amp;"|",tblExcepciones[clave],tblExcepciones[habil],_xlfn.XLOOKUP(TEXT($I275,"yyyy-mm-dd")&amp;"||",tblExcepciones[clave],tblExcepciones[habil],INDEX(patronHabil,WEEKDAY($I275,2)))))</f>
        <v/>
      </c>
    </row>
    <row r="276">
      <c r="I276" s="12" t="n">
        <v>46294</v>
      </c>
      <c r="J276" s="3">
        <f>_xlfn.XLOOKUP(TEXT($I276,"yyyy-mm-dd")&amp;"|"&amp;""&amp;"|"&amp;"",tblExcepciones[clave],tblExcepciones[habil],_xlfn.XLOOKUP(TEXT($I276,"yyyy-mm-dd")&amp;"|"&amp;""&amp;"|",tblExcepciones[clave],tblExcepciones[habil],_xlfn.XLOOKUP(TEXT($I276,"yyyy-mm-dd")&amp;"||",tblExcepciones[clave],tblExcepciones[habil],INDEX(patronHabil,WEEKDAY($I276,2)))))</f>
        <v/>
      </c>
    </row>
    <row r="277">
      <c r="I277" s="12" t="n">
        <v>46295</v>
      </c>
      <c r="J277" s="3">
        <f>_xlfn.XLOOKUP(TEXT($I277,"yyyy-mm-dd")&amp;"|"&amp;""&amp;"|"&amp;"",tblExcepciones[clave],tblExcepciones[habil],_xlfn.XLOOKUP(TEXT($I277,"yyyy-mm-dd")&amp;"|"&amp;""&amp;"|",tblExcepciones[clave],tblExcepciones[habil],_xlfn.XLOOKUP(TEXT($I277,"yyyy-mm-dd")&amp;"||",tblExcepciones[clave],tblExcepciones[habil],INDEX(patronHabil,WEEKDAY($I277,2)))))</f>
        <v/>
      </c>
    </row>
    <row r="278">
      <c r="I278" s="12" t="n">
        <v>46296</v>
      </c>
      <c r="J278" s="3">
        <f>_xlfn.XLOOKUP(TEXT($I278,"yyyy-mm-dd")&amp;"|"&amp;""&amp;"|"&amp;"",tblExcepciones[clave],tblExcepciones[habil],_xlfn.XLOOKUP(TEXT($I278,"yyyy-mm-dd")&amp;"|"&amp;""&amp;"|",tblExcepciones[clave],tblExcepciones[habil],_xlfn.XLOOKUP(TEXT($I278,"yyyy-mm-dd")&amp;"||",tblExcepciones[clave],tblExcepciones[habil],INDEX(patronHabil,WEEKDAY($I278,2)))))</f>
        <v/>
      </c>
    </row>
    <row r="279">
      <c r="I279" s="12" t="n">
        <v>46297</v>
      </c>
      <c r="J279" s="3">
        <f>_xlfn.XLOOKUP(TEXT($I279,"yyyy-mm-dd")&amp;"|"&amp;""&amp;"|"&amp;"",tblExcepciones[clave],tblExcepciones[habil],_xlfn.XLOOKUP(TEXT($I279,"yyyy-mm-dd")&amp;"|"&amp;""&amp;"|",tblExcepciones[clave],tblExcepciones[habil],_xlfn.XLOOKUP(TEXT($I279,"yyyy-mm-dd")&amp;"||",tblExcepciones[clave],tblExcepciones[habil],INDEX(patronHabil,WEEKDAY($I279,2)))))</f>
        <v/>
      </c>
    </row>
    <row r="280">
      <c r="I280" s="12" t="n">
        <v>46298</v>
      </c>
      <c r="J280" s="3">
        <f>_xlfn.XLOOKUP(TEXT($I280,"yyyy-mm-dd")&amp;"|"&amp;""&amp;"|"&amp;"",tblExcepciones[clave],tblExcepciones[habil],_xlfn.XLOOKUP(TEXT($I280,"yyyy-mm-dd")&amp;"|"&amp;""&amp;"|",tblExcepciones[clave],tblExcepciones[habil],_xlfn.XLOOKUP(TEXT($I280,"yyyy-mm-dd")&amp;"||",tblExcepciones[clave],tblExcepciones[habil],INDEX(patronHabil,WEEKDAY($I280,2)))))</f>
        <v/>
      </c>
    </row>
    <row r="281">
      <c r="I281" s="12" t="n">
        <v>46299</v>
      </c>
      <c r="J281" s="3">
        <f>_xlfn.XLOOKUP(TEXT($I281,"yyyy-mm-dd")&amp;"|"&amp;""&amp;"|"&amp;"",tblExcepciones[clave],tblExcepciones[habil],_xlfn.XLOOKUP(TEXT($I281,"yyyy-mm-dd")&amp;"|"&amp;""&amp;"|",tblExcepciones[clave],tblExcepciones[habil],_xlfn.XLOOKUP(TEXT($I281,"yyyy-mm-dd")&amp;"||",tblExcepciones[clave],tblExcepciones[habil],INDEX(patronHabil,WEEKDAY($I281,2)))))</f>
        <v/>
      </c>
    </row>
    <row r="282">
      <c r="I282" s="12" t="n">
        <v>46300</v>
      </c>
      <c r="J282" s="3">
        <f>_xlfn.XLOOKUP(TEXT($I282,"yyyy-mm-dd")&amp;"|"&amp;""&amp;"|"&amp;"",tblExcepciones[clave],tblExcepciones[habil],_xlfn.XLOOKUP(TEXT($I282,"yyyy-mm-dd")&amp;"|"&amp;""&amp;"|",tblExcepciones[clave],tblExcepciones[habil],_xlfn.XLOOKUP(TEXT($I282,"yyyy-mm-dd")&amp;"||",tblExcepciones[clave],tblExcepciones[habil],INDEX(patronHabil,WEEKDAY($I282,2)))))</f>
        <v/>
      </c>
    </row>
    <row r="283">
      <c r="I283" s="12" t="n">
        <v>46301</v>
      </c>
      <c r="J283" s="3">
        <f>_xlfn.XLOOKUP(TEXT($I283,"yyyy-mm-dd")&amp;"|"&amp;""&amp;"|"&amp;"",tblExcepciones[clave],tblExcepciones[habil],_xlfn.XLOOKUP(TEXT($I283,"yyyy-mm-dd")&amp;"|"&amp;""&amp;"|",tblExcepciones[clave],tblExcepciones[habil],_xlfn.XLOOKUP(TEXT($I283,"yyyy-mm-dd")&amp;"||",tblExcepciones[clave],tblExcepciones[habil],INDEX(patronHabil,WEEKDAY($I283,2)))))</f>
        <v/>
      </c>
    </row>
    <row r="284">
      <c r="I284" s="12" t="n">
        <v>46302</v>
      </c>
      <c r="J284" s="3">
        <f>_xlfn.XLOOKUP(TEXT($I284,"yyyy-mm-dd")&amp;"|"&amp;""&amp;"|"&amp;"",tblExcepciones[clave],tblExcepciones[habil],_xlfn.XLOOKUP(TEXT($I284,"yyyy-mm-dd")&amp;"|"&amp;""&amp;"|",tblExcepciones[clave],tblExcepciones[habil],_xlfn.XLOOKUP(TEXT($I284,"yyyy-mm-dd")&amp;"||",tblExcepciones[clave],tblExcepciones[habil],INDEX(patronHabil,WEEKDAY($I284,2)))))</f>
        <v/>
      </c>
    </row>
    <row r="285">
      <c r="I285" s="12" t="n">
        <v>46303</v>
      </c>
      <c r="J285" s="3">
        <f>_xlfn.XLOOKUP(TEXT($I285,"yyyy-mm-dd")&amp;"|"&amp;""&amp;"|"&amp;"",tblExcepciones[clave],tblExcepciones[habil],_xlfn.XLOOKUP(TEXT($I285,"yyyy-mm-dd")&amp;"|"&amp;""&amp;"|",tblExcepciones[clave],tblExcepciones[habil],_xlfn.XLOOKUP(TEXT($I285,"yyyy-mm-dd")&amp;"||",tblExcepciones[clave],tblExcepciones[habil],INDEX(patronHabil,WEEKDAY($I285,2)))))</f>
        <v/>
      </c>
    </row>
    <row r="286">
      <c r="I286" s="12" t="n">
        <v>46304</v>
      </c>
      <c r="J286" s="3">
        <f>_xlfn.XLOOKUP(TEXT($I286,"yyyy-mm-dd")&amp;"|"&amp;""&amp;"|"&amp;"",tblExcepciones[clave],tblExcepciones[habil],_xlfn.XLOOKUP(TEXT($I286,"yyyy-mm-dd")&amp;"|"&amp;""&amp;"|",tblExcepciones[clave],tblExcepciones[habil],_xlfn.XLOOKUP(TEXT($I286,"yyyy-mm-dd")&amp;"||",tblExcepciones[clave],tblExcepciones[habil],INDEX(patronHabil,WEEKDAY($I286,2)))))</f>
        <v/>
      </c>
    </row>
    <row r="287">
      <c r="I287" s="12" t="n">
        <v>46305</v>
      </c>
      <c r="J287" s="3">
        <f>_xlfn.XLOOKUP(TEXT($I287,"yyyy-mm-dd")&amp;"|"&amp;""&amp;"|"&amp;"",tblExcepciones[clave],tblExcepciones[habil],_xlfn.XLOOKUP(TEXT($I287,"yyyy-mm-dd")&amp;"|"&amp;""&amp;"|",tblExcepciones[clave],tblExcepciones[habil],_xlfn.XLOOKUP(TEXT($I287,"yyyy-mm-dd")&amp;"||",tblExcepciones[clave],tblExcepciones[habil],INDEX(patronHabil,WEEKDAY($I287,2)))))</f>
        <v/>
      </c>
    </row>
    <row r="288">
      <c r="I288" s="12" t="n">
        <v>46306</v>
      </c>
      <c r="J288" s="3">
        <f>_xlfn.XLOOKUP(TEXT($I288,"yyyy-mm-dd")&amp;"|"&amp;""&amp;"|"&amp;"",tblExcepciones[clave],tblExcepciones[habil],_xlfn.XLOOKUP(TEXT($I288,"yyyy-mm-dd")&amp;"|"&amp;""&amp;"|",tblExcepciones[clave],tblExcepciones[habil],_xlfn.XLOOKUP(TEXT($I288,"yyyy-mm-dd")&amp;"||",tblExcepciones[clave],tblExcepciones[habil],INDEX(patronHabil,WEEKDAY($I288,2)))))</f>
        <v/>
      </c>
    </row>
    <row r="289">
      <c r="I289" s="12" t="n">
        <v>46307</v>
      </c>
      <c r="J289" s="3">
        <f>_xlfn.XLOOKUP(TEXT($I289,"yyyy-mm-dd")&amp;"|"&amp;""&amp;"|"&amp;"",tblExcepciones[clave],tblExcepciones[habil],_xlfn.XLOOKUP(TEXT($I289,"yyyy-mm-dd")&amp;"|"&amp;""&amp;"|",tblExcepciones[clave],tblExcepciones[habil],_xlfn.XLOOKUP(TEXT($I289,"yyyy-mm-dd")&amp;"||",tblExcepciones[clave],tblExcepciones[habil],INDEX(patronHabil,WEEKDAY($I289,2)))))</f>
        <v/>
      </c>
    </row>
    <row r="290">
      <c r="I290" s="12" t="n">
        <v>46308</v>
      </c>
      <c r="J290" s="3">
        <f>_xlfn.XLOOKUP(TEXT($I290,"yyyy-mm-dd")&amp;"|"&amp;""&amp;"|"&amp;"",tblExcepciones[clave],tblExcepciones[habil],_xlfn.XLOOKUP(TEXT($I290,"yyyy-mm-dd")&amp;"|"&amp;""&amp;"|",tblExcepciones[clave],tblExcepciones[habil],_xlfn.XLOOKUP(TEXT($I290,"yyyy-mm-dd")&amp;"||",tblExcepciones[clave],tblExcepciones[habil],INDEX(patronHabil,WEEKDAY($I290,2)))))</f>
        <v/>
      </c>
    </row>
    <row r="291">
      <c r="I291" s="12" t="n">
        <v>46309</v>
      </c>
      <c r="J291" s="3">
        <f>_xlfn.XLOOKUP(TEXT($I291,"yyyy-mm-dd")&amp;"|"&amp;""&amp;"|"&amp;"",tblExcepciones[clave],tblExcepciones[habil],_xlfn.XLOOKUP(TEXT($I291,"yyyy-mm-dd")&amp;"|"&amp;""&amp;"|",tblExcepciones[clave],tblExcepciones[habil],_xlfn.XLOOKUP(TEXT($I291,"yyyy-mm-dd")&amp;"||",tblExcepciones[clave],tblExcepciones[habil],INDEX(patronHabil,WEEKDAY($I291,2)))))</f>
        <v/>
      </c>
    </row>
    <row r="292">
      <c r="I292" s="12" t="n">
        <v>46310</v>
      </c>
      <c r="J292" s="3">
        <f>_xlfn.XLOOKUP(TEXT($I292,"yyyy-mm-dd")&amp;"|"&amp;""&amp;"|"&amp;"",tblExcepciones[clave],tblExcepciones[habil],_xlfn.XLOOKUP(TEXT($I292,"yyyy-mm-dd")&amp;"|"&amp;""&amp;"|",tblExcepciones[clave],tblExcepciones[habil],_xlfn.XLOOKUP(TEXT($I292,"yyyy-mm-dd")&amp;"||",tblExcepciones[clave],tblExcepciones[habil],INDEX(patronHabil,WEEKDAY($I292,2)))))</f>
        <v/>
      </c>
    </row>
    <row r="293">
      <c r="I293" s="12" t="n">
        <v>46311</v>
      </c>
      <c r="J293" s="3">
        <f>_xlfn.XLOOKUP(TEXT($I293,"yyyy-mm-dd")&amp;"|"&amp;""&amp;"|"&amp;"",tblExcepciones[clave],tblExcepciones[habil],_xlfn.XLOOKUP(TEXT($I293,"yyyy-mm-dd")&amp;"|"&amp;""&amp;"|",tblExcepciones[clave],tblExcepciones[habil],_xlfn.XLOOKUP(TEXT($I293,"yyyy-mm-dd")&amp;"||",tblExcepciones[clave],tblExcepciones[habil],INDEX(patronHabil,WEEKDAY($I293,2)))))</f>
        <v/>
      </c>
    </row>
    <row r="294">
      <c r="I294" s="12" t="n">
        <v>46312</v>
      </c>
      <c r="J294" s="3">
        <f>_xlfn.XLOOKUP(TEXT($I294,"yyyy-mm-dd")&amp;"|"&amp;""&amp;"|"&amp;"",tblExcepciones[clave],tblExcepciones[habil],_xlfn.XLOOKUP(TEXT($I294,"yyyy-mm-dd")&amp;"|"&amp;""&amp;"|",tblExcepciones[clave],tblExcepciones[habil],_xlfn.XLOOKUP(TEXT($I294,"yyyy-mm-dd")&amp;"||",tblExcepciones[clave],tblExcepciones[habil],INDEX(patronHabil,WEEKDAY($I294,2)))))</f>
        <v/>
      </c>
    </row>
    <row r="295">
      <c r="I295" s="12" t="n">
        <v>46313</v>
      </c>
      <c r="J295" s="3">
        <f>_xlfn.XLOOKUP(TEXT($I295,"yyyy-mm-dd")&amp;"|"&amp;""&amp;"|"&amp;"",tblExcepciones[clave],tblExcepciones[habil],_xlfn.XLOOKUP(TEXT($I295,"yyyy-mm-dd")&amp;"|"&amp;""&amp;"|",tblExcepciones[clave],tblExcepciones[habil],_xlfn.XLOOKUP(TEXT($I295,"yyyy-mm-dd")&amp;"||",tblExcepciones[clave],tblExcepciones[habil],INDEX(patronHabil,WEEKDAY($I295,2)))))</f>
        <v/>
      </c>
    </row>
    <row r="296">
      <c r="I296" s="12" t="n">
        <v>46314</v>
      </c>
      <c r="J296" s="3">
        <f>_xlfn.XLOOKUP(TEXT($I296,"yyyy-mm-dd")&amp;"|"&amp;""&amp;"|"&amp;"",tblExcepciones[clave],tblExcepciones[habil],_xlfn.XLOOKUP(TEXT($I296,"yyyy-mm-dd")&amp;"|"&amp;""&amp;"|",tblExcepciones[clave],tblExcepciones[habil],_xlfn.XLOOKUP(TEXT($I296,"yyyy-mm-dd")&amp;"||",tblExcepciones[clave],tblExcepciones[habil],INDEX(patronHabil,WEEKDAY($I296,2)))))</f>
        <v/>
      </c>
    </row>
    <row r="297">
      <c r="I297" s="12" t="n">
        <v>46315</v>
      </c>
      <c r="J297" s="3">
        <f>_xlfn.XLOOKUP(TEXT($I297,"yyyy-mm-dd")&amp;"|"&amp;""&amp;"|"&amp;"",tblExcepciones[clave],tblExcepciones[habil],_xlfn.XLOOKUP(TEXT($I297,"yyyy-mm-dd")&amp;"|"&amp;""&amp;"|",tblExcepciones[clave],tblExcepciones[habil],_xlfn.XLOOKUP(TEXT($I297,"yyyy-mm-dd")&amp;"||",tblExcepciones[clave],tblExcepciones[habil],INDEX(patronHabil,WEEKDAY($I297,2)))))</f>
        <v/>
      </c>
    </row>
    <row r="298">
      <c r="I298" s="12" t="n">
        <v>46316</v>
      </c>
      <c r="J298" s="3">
        <f>_xlfn.XLOOKUP(TEXT($I298,"yyyy-mm-dd")&amp;"|"&amp;""&amp;"|"&amp;"",tblExcepciones[clave],tblExcepciones[habil],_xlfn.XLOOKUP(TEXT($I298,"yyyy-mm-dd")&amp;"|"&amp;""&amp;"|",tblExcepciones[clave],tblExcepciones[habil],_xlfn.XLOOKUP(TEXT($I298,"yyyy-mm-dd")&amp;"||",tblExcepciones[clave],tblExcepciones[habil],INDEX(patronHabil,WEEKDAY($I298,2)))))</f>
        <v/>
      </c>
    </row>
    <row r="299">
      <c r="I299" s="12" t="n">
        <v>46317</v>
      </c>
      <c r="J299" s="3">
        <f>_xlfn.XLOOKUP(TEXT($I299,"yyyy-mm-dd")&amp;"|"&amp;""&amp;"|"&amp;"",tblExcepciones[clave],tblExcepciones[habil],_xlfn.XLOOKUP(TEXT($I299,"yyyy-mm-dd")&amp;"|"&amp;""&amp;"|",tblExcepciones[clave],tblExcepciones[habil],_xlfn.XLOOKUP(TEXT($I299,"yyyy-mm-dd")&amp;"||",tblExcepciones[clave],tblExcepciones[habil],INDEX(patronHabil,WEEKDAY($I299,2)))))</f>
        <v/>
      </c>
    </row>
    <row r="300">
      <c r="I300" s="12" t="n">
        <v>46318</v>
      </c>
      <c r="J300" s="3">
        <f>_xlfn.XLOOKUP(TEXT($I300,"yyyy-mm-dd")&amp;"|"&amp;""&amp;"|"&amp;"",tblExcepciones[clave],tblExcepciones[habil],_xlfn.XLOOKUP(TEXT($I300,"yyyy-mm-dd")&amp;"|"&amp;""&amp;"|",tblExcepciones[clave],tblExcepciones[habil],_xlfn.XLOOKUP(TEXT($I300,"yyyy-mm-dd")&amp;"||",tblExcepciones[clave],tblExcepciones[habil],INDEX(patronHabil,WEEKDAY($I300,2)))))</f>
        <v/>
      </c>
    </row>
    <row r="301">
      <c r="I301" s="12" t="n">
        <v>46319</v>
      </c>
      <c r="J301" s="3">
        <f>_xlfn.XLOOKUP(TEXT($I301,"yyyy-mm-dd")&amp;"|"&amp;""&amp;"|"&amp;"",tblExcepciones[clave],tblExcepciones[habil],_xlfn.XLOOKUP(TEXT($I301,"yyyy-mm-dd")&amp;"|"&amp;""&amp;"|",tblExcepciones[clave],tblExcepciones[habil],_xlfn.XLOOKUP(TEXT($I301,"yyyy-mm-dd")&amp;"||",tblExcepciones[clave],tblExcepciones[habil],INDEX(patronHabil,WEEKDAY($I301,2)))))</f>
        <v/>
      </c>
    </row>
    <row r="302">
      <c r="I302" s="12" t="n">
        <v>46320</v>
      </c>
      <c r="J302" s="3">
        <f>_xlfn.XLOOKUP(TEXT($I302,"yyyy-mm-dd")&amp;"|"&amp;""&amp;"|"&amp;"",tblExcepciones[clave],tblExcepciones[habil],_xlfn.XLOOKUP(TEXT($I302,"yyyy-mm-dd")&amp;"|"&amp;""&amp;"|",tblExcepciones[clave],tblExcepciones[habil],_xlfn.XLOOKUP(TEXT($I302,"yyyy-mm-dd")&amp;"||",tblExcepciones[clave],tblExcepciones[habil],INDEX(patronHabil,WEEKDAY($I302,2)))))</f>
        <v/>
      </c>
    </row>
    <row r="303">
      <c r="I303" s="12" t="n">
        <v>46321</v>
      </c>
      <c r="J303" s="3">
        <f>_xlfn.XLOOKUP(TEXT($I303,"yyyy-mm-dd")&amp;"|"&amp;""&amp;"|"&amp;"",tblExcepciones[clave],tblExcepciones[habil],_xlfn.XLOOKUP(TEXT($I303,"yyyy-mm-dd")&amp;"|"&amp;""&amp;"|",tblExcepciones[clave],tblExcepciones[habil],_xlfn.XLOOKUP(TEXT($I303,"yyyy-mm-dd")&amp;"||",tblExcepciones[clave],tblExcepciones[habil],INDEX(patronHabil,WEEKDAY($I303,2)))))</f>
        <v/>
      </c>
    </row>
    <row r="304">
      <c r="I304" s="12" t="n">
        <v>46322</v>
      </c>
      <c r="J304" s="3">
        <f>_xlfn.XLOOKUP(TEXT($I304,"yyyy-mm-dd")&amp;"|"&amp;""&amp;"|"&amp;"",tblExcepciones[clave],tblExcepciones[habil],_xlfn.XLOOKUP(TEXT($I304,"yyyy-mm-dd")&amp;"|"&amp;""&amp;"|",tblExcepciones[clave],tblExcepciones[habil],_xlfn.XLOOKUP(TEXT($I304,"yyyy-mm-dd")&amp;"||",tblExcepciones[clave],tblExcepciones[habil],INDEX(patronHabil,WEEKDAY($I304,2)))))</f>
        <v/>
      </c>
    </row>
    <row r="305">
      <c r="I305" s="12" t="n">
        <v>46323</v>
      </c>
      <c r="J305" s="3">
        <f>_xlfn.XLOOKUP(TEXT($I305,"yyyy-mm-dd")&amp;"|"&amp;""&amp;"|"&amp;"",tblExcepciones[clave],tblExcepciones[habil],_xlfn.XLOOKUP(TEXT($I305,"yyyy-mm-dd")&amp;"|"&amp;""&amp;"|",tblExcepciones[clave],tblExcepciones[habil],_xlfn.XLOOKUP(TEXT($I305,"yyyy-mm-dd")&amp;"||",tblExcepciones[clave],tblExcepciones[habil],INDEX(patronHabil,WEEKDAY($I305,2)))))</f>
        <v/>
      </c>
    </row>
    <row r="306">
      <c r="I306" s="12" t="n">
        <v>46324</v>
      </c>
      <c r="J306" s="3">
        <f>_xlfn.XLOOKUP(TEXT($I306,"yyyy-mm-dd")&amp;"|"&amp;""&amp;"|"&amp;"",tblExcepciones[clave],tblExcepciones[habil],_xlfn.XLOOKUP(TEXT($I306,"yyyy-mm-dd")&amp;"|"&amp;""&amp;"|",tblExcepciones[clave],tblExcepciones[habil],_xlfn.XLOOKUP(TEXT($I306,"yyyy-mm-dd")&amp;"||",tblExcepciones[clave],tblExcepciones[habil],INDEX(patronHabil,WEEKDAY($I306,2)))))</f>
        <v/>
      </c>
    </row>
    <row r="307">
      <c r="I307" s="12" t="n">
        <v>46325</v>
      </c>
      <c r="J307" s="3">
        <f>_xlfn.XLOOKUP(TEXT($I307,"yyyy-mm-dd")&amp;"|"&amp;""&amp;"|"&amp;"",tblExcepciones[clave],tblExcepciones[habil],_xlfn.XLOOKUP(TEXT($I307,"yyyy-mm-dd")&amp;"|"&amp;""&amp;"|",tblExcepciones[clave],tblExcepciones[habil],_xlfn.XLOOKUP(TEXT($I307,"yyyy-mm-dd")&amp;"||",tblExcepciones[clave],tblExcepciones[habil],INDEX(patronHabil,WEEKDAY($I307,2)))))</f>
        <v/>
      </c>
    </row>
    <row r="308">
      <c r="I308" s="12" t="n">
        <v>46326</v>
      </c>
      <c r="J308" s="3">
        <f>_xlfn.XLOOKUP(TEXT($I308,"yyyy-mm-dd")&amp;"|"&amp;""&amp;"|"&amp;"",tblExcepciones[clave],tblExcepciones[habil],_xlfn.XLOOKUP(TEXT($I308,"yyyy-mm-dd")&amp;"|"&amp;""&amp;"|",tblExcepciones[clave],tblExcepciones[habil],_xlfn.XLOOKUP(TEXT($I308,"yyyy-mm-dd")&amp;"||",tblExcepciones[clave],tblExcepciones[habil],INDEX(patronHabil,WEEKDAY($I308,2)))))</f>
        <v/>
      </c>
    </row>
    <row r="309">
      <c r="I309" s="12" t="n">
        <v>46327</v>
      </c>
      <c r="J309" s="3">
        <f>_xlfn.XLOOKUP(TEXT($I309,"yyyy-mm-dd")&amp;"|"&amp;""&amp;"|"&amp;"",tblExcepciones[clave],tblExcepciones[habil],_xlfn.XLOOKUP(TEXT($I309,"yyyy-mm-dd")&amp;"|"&amp;""&amp;"|",tblExcepciones[clave],tblExcepciones[habil],_xlfn.XLOOKUP(TEXT($I309,"yyyy-mm-dd")&amp;"||",tblExcepciones[clave],tblExcepciones[habil],INDEX(patronHabil,WEEKDAY($I309,2)))))</f>
        <v/>
      </c>
    </row>
    <row r="310">
      <c r="I310" s="12" t="n">
        <v>46328</v>
      </c>
      <c r="J310" s="3">
        <f>_xlfn.XLOOKUP(TEXT($I310,"yyyy-mm-dd")&amp;"|"&amp;""&amp;"|"&amp;"",tblExcepciones[clave],tblExcepciones[habil],_xlfn.XLOOKUP(TEXT($I310,"yyyy-mm-dd")&amp;"|"&amp;""&amp;"|",tblExcepciones[clave],tblExcepciones[habil],_xlfn.XLOOKUP(TEXT($I310,"yyyy-mm-dd")&amp;"||",tblExcepciones[clave],tblExcepciones[habil],INDEX(patronHabil,WEEKDAY($I310,2)))))</f>
        <v/>
      </c>
    </row>
    <row r="311">
      <c r="I311" s="12" t="n">
        <v>46329</v>
      </c>
      <c r="J311" s="3">
        <f>_xlfn.XLOOKUP(TEXT($I311,"yyyy-mm-dd")&amp;"|"&amp;""&amp;"|"&amp;"",tblExcepciones[clave],tblExcepciones[habil],_xlfn.XLOOKUP(TEXT($I311,"yyyy-mm-dd")&amp;"|"&amp;""&amp;"|",tblExcepciones[clave],tblExcepciones[habil],_xlfn.XLOOKUP(TEXT($I311,"yyyy-mm-dd")&amp;"||",tblExcepciones[clave],tblExcepciones[habil],INDEX(patronHabil,WEEKDAY($I311,2)))))</f>
        <v/>
      </c>
    </row>
    <row r="312">
      <c r="I312" s="12" t="n">
        <v>46330</v>
      </c>
      <c r="J312" s="3">
        <f>_xlfn.XLOOKUP(TEXT($I312,"yyyy-mm-dd")&amp;"|"&amp;""&amp;"|"&amp;"",tblExcepciones[clave],tblExcepciones[habil],_xlfn.XLOOKUP(TEXT($I312,"yyyy-mm-dd")&amp;"|"&amp;""&amp;"|",tblExcepciones[clave],tblExcepciones[habil],_xlfn.XLOOKUP(TEXT($I312,"yyyy-mm-dd")&amp;"||",tblExcepciones[clave],tblExcepciones[habil],INDEX(patronHabil,WEEKDAY($I312,2)))))</f>
        <v/>
      </c>
    </row>
    <row r="313">
      <c r="I313" s="12" t="n">
        <v>46331</v>
      </c>
      <c r="J313" s="3">
        <f>_xlfn.XLOOKUP(TEXT($I313,"yyyy-mm-dd")&amp;"|"&amp;""&amp;"|"&amp;"",tblExcepciones[clave],tblExcepciones[habil],_xlfn.XLOOKUP(TEXT($I313,"yyyy-mm-dd")&amp;"|"&amp;""&amp;"|",tblExcepciones[clave],tblExcepciones[habil],_xlfn.XLOOKUP(TEXT($I313,"yyyy-mm-dd")&amp;"||",tblExcepciones[clave],tblExcepciones[habil],INDEX(patronHabil,WEEKDAY($I313,2)))))</f>
        <v/>
      </c>
    </row>
    <row r="314">
      <c r="I314" s="12" t="n">
        <v>46332</v>
      </c>
      <c r="J314" s="3">
        <f>_xlfn.XLOOKUP(TEXT($I314,"yyyy-mm-dd")&amp;"|"&amp;""&amp;"|"&amp;"",tblExcepciones[clave],tblExcepciones[habil],_xlfn.XLOOKUP(TEXT($I314,"yyyy-mm-dd")&amp;"|"&amp;""&amp;"|",tblExcepciones[clave],tblExcepciones[habil],_xlfn.XLOOKUP(TEXT($I314,"yyyy-mm-dd")&amp;"||",tblExcepciones[clave],tblExcepciones[habil],INDEX(patronHabil,WEEKDAY($I314,2)))))</f>
        <v/>
      </c>
    </row>
    <row r="315">
      <c r="I315" s="12" t="n">
        <v>46333</v>
      </c>
      <c r="J315" s="3">
        <f>_xlfn.XLOOKUP(TEXT($I315,"yyyy-mm-dd")&amp;"|"&amp;""&amp;"|"&amp;"",tblExcepciones[clave],tblExcepciones[habil],_xlfn.XLOOKUP(TEXT($I315,"yyyy-mm-dd")&amp;"|"&amp;""&amp;"|",tblExcepciones[clave],tblExcepciones[habil],_xlfn.XLOOKUP(TEXT($I315,"yyyy-mm-dd")&amp;"||",tblExcepciones[clave],tblExcepciones[habil],INDEX(patronHabil,WEEKDAY($I315,2)))))</f>
        <v/>
      </c>
    </row>
    <row r="316">
      <c r="I316" s="12" t="n">
        <v>46334</v>
      </c>
      <c r="J316" s="3">
        <f>_xlfn.XLOOKUP(TEXT($I316,"yyyy-mm-dd")&amp;"|"&amp;""&amp;"|"&amp;"",tblExcepciones[clave],tblExcepciones[habil],_xlfn.XLOOKUP(TEXT($I316,"yyyy-mm-dd")&amp;"|"&amp;""&amp;"|",tblExcepciones[clave],tblExcepciones[habil],_xlfn.XLOOKUP(TEXT($I316,"yyyy-mm-dd")&amp;"||",tblExcepciones[clave],tblExcepciones[habil],INDEX(patronHabil,WEEKDAY($I316,2)))))</f>
        <v/>
      </c>
    </row>
    <row r="317">
      <c r="I317" s="12" t="n">
        <v>46335</v>
      </c>
      <c r="J317" s="3">
        <f>_xlfn.XLOOKUP(TEXT($I317,"yyyy-mm-dd")&amp;"|"&amp;""&amp;"|"&amp;"",tblExcepciones[clave],tblExcepciones[habil],_xlfn.XLOOKUP(TEXT($I317,"yyyy-mm-dd")&amp;"|"&amp;""&amp;"|",tblExcepciones[clave],tblExcepciones[habil],_xlfn.XLOOKUP(TEXT($I317,"yyyy-mm-dd")&amp;"||",tblExcepciones[clave],tblExcepciones[habil],INDEX(patronHabil,WEEKDAY($I317,2)))))</f>
        <v/>
      </c>
    </row>
    <row r="318">
      <c r="I318" s="12" t="n">
        <v>46336</v>
      </c>
      <c r="J318" s="3">
        <f>_xlfn.XLOOKUP(TEXT($I318,"yyyy-mm-dd")&amp;"|"&amp;""&amp;"|"&amp;"",tblExcepciones[clave],tblExcepciones[habil],_xlfn.XLOOKUP(TEXT($I318,"yyyy-mm-dd")&amp;"|"&amp;""&amp;"|",tblExcepciones[clave],tblExcepciones[habil],_xlfn.XLOOKUP(TEXT($I318,"yyyy-mm-dd")&amp;"||",tblExcepciones[clave],tblExcepciones[habil],INDEX(patronHabil,WEEKDAY($I318,2)))))</f>
        <v/>
      </c>
    </row>
    <row r="319">
      <c r="I319" s="12" t="n">
        <v>46337</v>
      </c>
      <c r="J319" s="3">
        <f>_xlfn.XLOOKUP(TEXT($I319,"yyyy-mm-dd")&amp;"|"&amp;""&amp;"|"&amp;"",tblExcepciones[clave],tblExcepciones[habil],_xlfn.XLOOKUP(TEXT($I319,"yyyy-mm-dd")&amp;"|"&amp;""&amp;"|",tblExcepciones[clave],tblExcepciones[habil],_xlfn.XLOOKUP(TEXT($I319,"yyyy-mm-dd")&amp;"||",tblExcepciones[clave],tblExcepciones[habil],INDEX(patronHabil,WEEKDAY($I319,2)))))</f>
        <v/>
      </c>
    </row>
    <row r="320">
      <c r="I320" s="12" t="n">
        <v>46338</v>
      </c>
      <c r="J320" s="3">
        <f>_xlfn.XLOOKUP(TEXT($I320,"yyyy-mm-dd")&amp;"|"&amp;""&amp;"|"&amp;"",tblExcepciones[clave],tblExcepciones[habil],_xlfn.XLOOKUP(TEXT($I320,"yyyy-mm-dd")&amp;"|"&amp;""&amp;"|",tblExcepciones[clave],tblExcepciones[habil],_xlfn.XLOOKUP(TEXT($I320,"yyyy-mm-dd")&amp;"||",tblExcepciones[clave],tblExcepciones[habil],INDEX(patronHabil,WEEKDAY($I320,2)))))</f>
        <v/>
      </c>
    </row>
    <row r="321">
      <c r="I321" s="12" t="n">
        <v>46339</v>
      </c>
      <c r="J321" s="3">
        <f>_xlfn.XLOOKUP(TEXT($I321,"yyyy-mm-dd")&amp;"|"&amp;""&amp;"|"&amp;"",tblExcepciones[clave],tblExcepciones[habil],_xlfn.XLOOKUP(TEXT($I321,"yyyy-mm-dd")&amp;"|"&amp;""&amp;"|",tblExcepciones[clave],tblExcepciones[habil],_xlfn.XLOOKUP(TEXT($I321,"yyyy-mm-dd")&amp;"||",tblExcepciones[clave],tblExcepciones[habil],INDEX(patronHabil,WEEKDAY($I321,2)))))</f>
        <v/>
      </c>
    </row>
    <row r="322">
      <c r="I322" s="12" t="n">
        <v>46340</v>
      </c>
      <c r="J322" s="3">
        <f>_xlfn.XLOOKUP(TEXT($I322,"yyyy-mm-dd")&amp;"|"&amp;""&amp;"|"&amp;"",tblExcepciones[clave],tblExcepciones[habil],_xlfn.XLOOKUP(TEXT($I322,"yyyy-mm-dd")&amp;"|"&amp;""&amp;"|",tblExcepciones[clave],tblExcepciones[habil],_xlfn.XLOOKUP(TEXT($I322,"yyyy-mm-dd")&amp;"||",tblExcepciones[clave],tblExcepciones[habil],INDEX(patronHabil,WEEKDAY($I322,2)))))</f>
        <v/>
      </c>
    </row>
    <row r="323">
      <c r="I323" s="12" t="n">
        <v>46341</v>
      </c>
      <c r="J323" s="3">
        <f>_xlfn.XLOOKUP(TEXT($I323,"yyyy-mm-dd")&amp;"|"&amp;""&amp;"|"&amp;"",tblExcepciones[clave],tblExcepciones[habil],_xlfn.XLOOKUP(TEXT($I323,"yyyy-mm-dd")&amp;"|"&amp;""&amp;"|",tblExcepciones[clave],tblExcepciones[habil],_xlfn.XLOOKUP(TEXT($I323,"yyyy-mm-dd")&amp;"||",tblExcepciones[clave],tblExcepciones[habil],INDEX(patronHabil,WEEKDAY($I323,2)))))</f>
        <v/>
      </c>
    </row>
    <row r="324">
      <c r="I324" s="12" t="n">
        <v>46342</v>
      </c>
      <c r="J324" s="3">
        <f>_xlfn.XLOOKUP(TEXT($I324,"yyyy-mm-dd")&amp;"|"&amp;""&amp;"|"&amp;"",tblExcepciones[clave],tblExcepciones[habil],_xlfn.XLOOKUP(TEXT($I324,"yyyy-mm-dd")&amp;"|"&amp;""&amp;"|",tblExcepciones[clave],tblExcepciones[habil],_xlfn.XLOOKUP(TEXT($I324,"yyyy-mm-dd")&amp;"||",tblExcepciones[clave],tblExcepciones[habil],INDEX(patronHabil,WEEKDAY($I324,2)))))</f>
        <v/>
      </c>
    </row>
    <row r="325">
      <c r="I325" s="12" t="n">
        <v>46343</v>
      </c>
      <c r="J325" s="3">
        <f>_xlfn.XLOOKUP(TEXT($I325,"yyyy-mm-dd")&amp;"|"&amp;""&amp;"|"&amp;"",tblExcepciones[clave],tblExcepciones[habil],_xlfn.XLOOKUP(TEXT($I325,"yyyy-mm-dd")&amp;"|"&amp;""&amp;"|",tblExcepciones[clave],tblExcepciones[habil],_xlfn.XLOOKUP(TEXT($I325,"yyyy-mm-dd")&amp;"||",tblExcepciones[clave],tblExcepciones[habil],INDEX(patronHabil,WEEKDAY($I325,2)))))</f>
        <v/>
      </c>
    </row>
    <row r="326">
      <c r="I326" s="12" t="n">
        <v>46344</v>
      </c>
      <c r="J326" s="3">
        <f>_xlfn.XLOOKUP(TEXT($I326,"yyyy-mm-dd")&amp;"|"&amp;""&amp;"|"&amp;"",tblExcepciones[clave],tblExcepciones[habil],_xlfn.XLOOKUP(TEXT($I326,"yyyy-mm-dd")&amp;"|"&amp;""&amp;"|",tblExcepciones[clave],tblExcepciones[habil],_xlfn.XLOOKUP(TEXT($I326,"yyyy-mm-dd")&amp;"||",tblExcepciones[clave],tblExcepciones[habil],INDEX(patronHabil,WEEKDAY($I326,2)))))</f>
        <v/>
      </c>
    </row>
    <row r="327">
      <c r="I327" s="12" t="n">
        <v>46345</v>
      </c>
      <c r="J327" s="3">
        <f>_xlfn.XLOOKUP(TEXT($I327,"yyyy-mm-dd")&amp;"|"&amp;""&amp;"|"&amp;"",tblExcepciones[clave],tblExcepciones[habil],_xlfn.XLOOKUP(TEXT($I327,"yyyy-mm-dd")&amp;"|"&amp;""&amp;"|",tblExcepciones[clave],tblExcepciones[habil],_xlfn.XLOOKUP(TEXT($I327,"yyyy-mm-dd")&amp;"||",tblExcepciones[clave],tblExcepciones[habil],INDEX(patronHabil,WEEKDAY($I327,2)))))</f>
        <v/>
      </c>
    </row>
    <row r="328">
      <c r="I328" s="12" t="n">
        <v>46346</v>
      </c>
      <c r="J328" s="3">
        <f>_xlfn.XLOOKUP(TEXT($I328,"yyyy-mm-dd")&amp;"|"&amp;""&amp;"|"&amp;"",tblExcepciones[clave],tblExcepciones[habil],_xlfn.XLOOKUP(TEXT($I328,"yyyy-mm-dd")&amp;"|"&amp;""&amp;"|",tblExcepciones[clave],tblExcepciones[habil],_xlfn.XLOOKUP(TEXT($I328,"yyyy-mm-dd")&amp;"||",tblExcepciones[clave],tblExcepciones[habil],INDEX(patronHabil,WEEKDAY($I328,2)))))</f>
        <v/>
      </c>
    </row>
    <row r="329">
      <c r="I329" s="12" t="n">
        <v>46347</v>
      </c>
      <c r="J329" s="3">
        <f>_xlfn.XLOOKUP(TEXT($I329,"yyyy-mm-dd")&amp;"|"&amp;""&amp;"|"&amp;"",tblExcepciones[clave],tblExcepciones[habil],_xlfn.XLOOKUP(TEXT($I329,"yyyy-mm-dd")&amp;"|"&amp;""&amp;"|",tblExcepciones[clave],tblExcepciones[habil],_xlfn.XLOOKUP(TEXT($I329,"yyyy-mm-dd")&amp;"||",tblExcepciones[clave],tblExcepciones[habil],INDEX(patronHabil,WEEKDAY($I329,2)))))</f>
        <v/>
      </c>
    </row>
    <row r="330">
      <c r="I330" s="12" t="n">
        <v>46348</v>
      </c>
      <c r="J330" s="3">
        <f>_xlfn.XLOOKUP(TEXT($I330,"yyyy-mm-dd")&amp;"|"&amp;""&amp;"|"&amp;"",tblExcepciones[clave],tblExcepciones[habil],_xlfn.XLOOKUP(TEXT($I330,"yyyy-mm-dd")&amp;"|"&amp;""&amp;"|",tblExcepciones[clave],tblExcepciones[habil],_xlfn.XLOOKUP(TEXT($I330,"yyyy-mm-dd")&amp;"||",tblExcepciones[clave],tblExcepciones[habil],INDEX(patronHabil,WEEKDAY($I330,2)))))</f>
        <v/>
      </c>
    </row>
    <row r="331">
      <c r="I331" s="12" t="n">
        <v>46349</v>
      </c>
      <c r="J331" s="3">
        <f>_xlfn.XLOOKUP(TEXT($I331,"yyyy-mm-dd")&amp;"|"&amp;""&amp;"|"&amp;"",tblExcepciones[clave],tblExcepciones[habil],_xlfn.XLOOKUP(TEXT($I331,"yyyy-mm-dd")&amp;"|"&amp;""&amp;"|",tblExcepciones[clave],tblExcepciones[habil],_xlfn.XLOOKUP(TEXT($I331,"yyyy-mm-dd")&amp;"||",tblExcepciones[clave],tblExcepciones[habil],INDEX(patronHabil,WEEKDAY($I331,2)))))</f>
        <v/>
      </c>
    </row>
    <row r="332">
      <c r="I332" s="12" t="n">
        <v>46350</v>
      </c>
      <c r="J332" s="3">
        <f>_xlfn.XLOOKUP(TEXT($I332,"yyyy-mm-dd")&amp;"|"&amp;""&amp;"|"&amp;"",tblExcepciones[clave],tblExcepciones[habil],_xlfn.XLOOKUP(TEXT($I332,"yyyy-mm-dd")&amp;"|"&amp;""&amp;"|",tblExcepciones[clave],tblExcepciones[habil],_xlfn.XLOOKUP(TEXT($I332,"yyyy-mm-dd")&amp;"||",tblExcepciones[clave],tblExcepciones[habil],INDEX(patronHabil,WEEKDAY($I332,2)))))</f>
        <v/>
      </c>
    </row>
    <row r="333">
      <c r="I333" s="12" t="n">
        <v>46351</v>
      </c>
      <c r="J333" s="3">
        <f>_xlfn.XLOOKUP(TEXT($I333,"yyyy-mm-dd")&amp;"|"&amp;""&amp;"|"&amp;"",tblExcepciones[clave],tblExcepciones[habil],_xlfn.XLOOKUP(TEXT($I333,"yyyy-mm-dd")&amp;"|"&amp;""&amp;"|",tblExcepciones[clave],tblExcepciones[habil],_xlfn.XLOOKUP(TEXT($I333,"yyyy-mm-dd")&amp;"||",tblExcepciones[clave],tblExcepciones[habil],INDEX(patronHabil,WEEKDAY($I333,2)))))</f>
        <v/>
      </c>
    </row>
    <row r="334">
      <c r="I334" s="12" t="n">
        <v>46352</v>
      </c>
      <c r="J334" s="3">
        <f>_xlfn.XLOOKUP(TEXT($I334,"yyyy-mm-dd")&amp;"|"&amp;""&amp;"|"&amp;"",tblExcepciones[clave],tblExcepciones[habil],_xlfn.XLOOKUP(TEXT($I334,"yyyy-mm-dd")&amp;"|"&amp;""&amp;"|",tblExcepciones[clave],tblExcepciones[habil],_xlfn.XLOOKUP(TEXT($I334,"yyyy-mm-dd")&amp;"||",tblExcepciones[clave],tblExcepciones[habil],INDEX(patronHabil,WEEKDAY($I334,2)))))</f>
        <v/>
      </c>
    </row>
    <row r="335">
      <c r="I335" s="12" t="n">
        <v>46353</v>
      </c>
      <c r="J335" s="3">
        <f>_xlfn.XLOOKUP(TEXT($I335,"yyyy-mm-dd")&amp;"|"&amp;""&amp;"|"&amp;"",tblExcepciones[clave],tblExcepciones[habil],_xlfn.XLOOKUP(TEXT($I335,"yyyy-mm-dd")&amp;"|"&amp;""&amp;"|",tblExcepciones[clave],tblExcepciones[habil],_xlfn.XLOOKUP(TEXT($I335,"yyyy-mm-dd")&amp;"||",tblExcepciones[clave],tblExcepciones[habil],INDEX(patronHabil,WEEKDAY($I335,2)))))</f>
        <v/>
      </c>
    </row>
    <row r="336">
      <c r="I336" s="12" t="n">
        <v>46354</v>
      </c>
      <c r="J336" s="3">
        <f>_xlfn.XLOOKUP(TEXT($I336,"yyyy-mm-dd")&amp;"|"&amp;""&amp;"|"&amp;"",tblExcepciones[clave],tblExcepciones[habil],_xlfn.XLOOKUP(TEXT($I336,"yyyy-mm-dd")&amp;"|"&amp;""&amp;"|",tblExcepciones[clave],tblExcepciones[habil],_xlfn.XLOOKUP(TEXT($I336,"yyyy-mm-dd")&amp;"||",tblExcepciones[clave],tblExcepciones[habil],INDEX(patronHabil,WEEKDAY($I336,2)))))</f>
        <v/>
      </c>
    </row>
    <row r="337">
      <c r="I337" s="12" t="n">
        <v>46355</v>
      </c>
      <c r="J337" s="3">
        <f>_xlfn.XLOOKUP(TEXT($I337,"yyyy-mm-dd")&amp;"|"&amp;""&amp;"|"&amp;"",tblExcepciones[clave],tblExcepciones[habil],_xlfn.XLOOKUP(TEXT($I337,"yyyy-mm-dd")&amp;"|"&amp;""&amp;"|",tblExcepciones[clave],tblExcepciones[habil],_xlfn.XLOOKUP(TEXT($I337,"yyyy-mm-dd")&amp;"||",tblExcepciones[clave],tblExcepciones[habil],INDEX(patronHabil,WEEKDAY($I337,2)))))</f>
        <v/>
      </c>
    </row>
    <row r="338">
      <c r="I338" s="12" t="n">
        <v>46356</v>
      </c>
      <c r="J338" s="3">
        <f>_xlfn.XLOOKUP(TEXT($I338,"yyyy-mm-dd")&amp;"|"&amp;""&amp;"|"&amp;"",tblExcepciones[clave],tblExcepciones[habil],_xlfn.XLOOKUP(TEXT($I338,"yyyy-mm-dd")&amp;"|"&amp;""&amp;"|",tblExcepciones[clave],tblExcepciones[habil],_xlfn.XLOOKUP(TEXT($I338,"yyyy-mm-dd")&amp;"||",tblExcepciones[clave],tblExcepciones[habil],INDEX(patronHabil,WEEKDAY($I338,2)))))</f>
        <v/>
      </c>
    </row>
    <row r="339">
      <c r="I339" s="12" t="n">
        <v>46357</v>
      </c>
      <c r="J339" s="3">
        <f>_xlfn.XLOOKUP(TEXT($I339,"yyyy-mm-dd")&amp;"|"&amp;""&amp;"|"&amp;"",tblExcepciones[clave],tblExcepciones[habil],_xlfn.XLOOKUP(TEXT($I339,"yyyy-mm-dd")&amp;"|"&amp;""&amp;"|",tblExcepciones[clave],tblExcepciones[habil],_xlfn.XLOOKUP(TEXT($I339,"yyyy-mm-dd")&amp;"||",tblExcepciones[clave],tblExcepciones[habil],INDEX(patronHabil,WEEKDAY($I339,2)))))</f>
        <v/>
      </c>
    </row>
    <row r="340">
      <c r="I340" s="12" t="n">
        <v>46358</v>
      </c>
      <c r="J340" s="3">
        <f>_xlfn.XLOOKUP(TEXT($I340,"yyyy-mm-dd")&amp;"|"&amp;""&amp;"|"&amp;"",tblExcepciones[clave],tblExcepciones[habil],_xlfn.XLOOKUP(TEXT($I340,"yyyy-mm-dd")&amp;"|"&amp;""&amp;"|",tblExcepciones[clave],tblExcepciones[habil],_xlfn.XLOOKUP(TEXT($I340,"yyyy-mm-dd")&amp;"||",tblExcepciones[clave],tblExcepciones[habil],INDEX(patronHabil,WEEKDAY($I340,2)))))</f>
        <v/>
      </c>
    </row>
    <row r="341">
      <c r="I341" s="12" t="n">
        <v>46359</v>
      </c>
      <c r="J341" s="3">
        <f>_xlfn.XLOOKUP(TEXT($I341,"yyyy-mm-dd")&amp;"|"&amp;""&amp;"|"&amp;"",tblExcepciones[clave],tblExcepciones[habil],_xlfn.XLOOKUP(TEXT($I341,"yyyy-mm-dd")&amp;"|"&amp;""&amp;"|",tblExcepciones[clave],tblExcepciones[habil],_xlfn.XLOOKUP(TEXT($I341,"yyyy-mm-dd")&amp;"||",tblExcepciones[clave],tblExcepciones[habil],INDEX(patronHabil,WEEKDAY($I341,2)))))</f>
        <v/>
      </c>
    </row>
    <row r="342">
      <c r="I342" s="12" t="n">
        <v>46360</v>
      </c>
      <c r="J342" s="3">
        <f>_xlfn.XLOOKUP(TEXT($I342,"yyyy-mm-dd")&amp;"|"&amp;""&amp;"|"&amp;"",tblExcepciones[clave],tblExcepciones[habil],_xlfn.XLOOKUP(TEXT($I342,"yyyy-mm-dd")&amp;"|"&amp;""&amp;"|",tblExcepciones[clave],tblExcepciones[habil],_xlfn.XLOOKUP(TEXT($I342,"yyyy-mm-dd")&amp;"||",tblExcepciones[clave],tblExcepciones[habil],INDEX(patronHabil,WEEKDAY($I342,2)))))</f>
        <v/>
      </c>
    </row>
    <row r="343">
      <c r="I343" s="12" t="n">
        <v>46361</v>
      </c>
      <c r="J343" s="3">
        <f>_xlfn.XLOOKUP(TEXT($I343,"yyyy-mm-dd")&amp;"|"&amp;""&amp;"|"&amp;"",tblExcepciones[clave],tblExcepciones[habil],_xlfn.XLOOKUP(TEXT($I343,"yyyy-mm-dd")&amp;"|"&amp;""&amp;"|",tblExcepciones[clave],tblExcepciones[habil],_xlfn.XLOOKUP(TEXT($I343,"yyyy-mm-dd")&amp;"||",tblExcepciones[clave],tblExcepciones[habil],INDEX(patronHabil,WEEKDAY($I343,2)))))</f>
        <v/>
      </c>
    </row>
    <row r="344">
      <c r="I344" s="12" t="n">
        <v>46362</v>
      </c>
      <c r="J344" s="3">
        <f>_xlfn.XLOOKUP(TEXT($I344,"yyyy-mm-dd")&amp;"|"&amp;""&amp;"|"&amp;"",tblExcepciones[clave],tblExcepciones[habil],_xlfn.XLOOKUP(TEXT($I344,"yyyy-mm-dd")&amp;"|"&amp;""&amp;"|",tblExcepciones[clave],tblExcepciones[habil],_xlfn.XLOOKUP(TEXT($I344,"yyyy-mm-dd")&amp;"||",tblExcepciones[clave],tblExcepciones[habil],INDEX(patronHabil,WEEKDAY($I344,2)))))</f>
        <v/>
      </c>
    </row>
    <row r="345">
      <c r="I345" s="12" t="n">
        <v>46363</v>
      </c>
      <c r="J345" s="3">
        <f>_xlfn.XLOOKUP(TEXT($I345,"yyyy-mm-dd")&amp;"|"&amp;""&amp;"|"&amp;"",tblExcepciones[clave],tblExcepciones[habil],_xlfn.XLOOKUP(TEXT($I345,"yyyy-mm-dd")&amp;"|"&amp;""&amp;"|",tblExcepciones[clave],tblExcepciones[habil],_xlfn.XLOOKUP(TEXT($I345,"yyyy-mm-dd")&amp;"||",tblExcepciones[clave],tblExcepciones[habil],INDEX(patronHabil,WEEKDAY($I345,2)))))</f>
        <v/>
      </c>
    </row>
    <row r="346">
      <c r="I346" s="12" t="n">
        <v>46364</v>
      </c>
      <c r="J346" s="3">
        <f>_xlfn.XLOOKUP(TEXT($I346,"yyyy-mm-dd")&amp;"|"&amp;""&amp;"|"&amp;"",tblExcepciones[clave],tblExcepciones[habil],_xlfn.XLOOKUP(TEXT($I346,"yyyy-mm-dd")&amp;"|"&amp;""&amp;"|",tblExcepciones[clave],tblExcepciones[habil],_xlfn.XLOOKUP(TEXT($I346,"yyyy-mm-dd")&amp;"||",tblExcepciones[clave],tblExcepciones[habil],INDEX(patronHabil,WEEKDAY($I346,2)))))</f>
        <v/>
      </c>
    </row>
    <row r="347">
      <c r="I347" s="12" t="n">
        <v>46365</v>
      </c>
      <c r="J347" s="3">
        <f>_xlfn.XLOOKUP(TEXT($I347,"yyyy-mm-dd")&amp;"|"&amp;""&amp;"|"&amp;"",tblExcepciones[clave],tblExcepciones[habil],_xlfn.XLOOKUP(TEXT($I347,"yyyy-mm-dd")&amp;"|"&amp;""&amp;"|",tblExcepciones[clave],tblExcepciones[habil],_xlfn.XLOOKUP(TEXT($I347,"yyyy-mm-dd")&amp;"||",tblExcepciones[clave],tblExcepciones[habil],INDEX(patronHabil,WEEKDAY($I347,2)))))</f>
        <v/>
      </c>
    </row>
    <row r="348">
      <c r="I348" s="12" t="n">
        <v>46366</v>
      </c>
      <c r="J348" s="3">
        <f>_xlfn.XLOOKUP(TEXT($I348,"yyyy-mm-dd")&amp;"|"&amp;""&amp;"|"&amp;"",tblExcepciones[clave],tblExcepciones[habil],_xlfn.XLOOKUP(TEXT($I348,"yyyy-mm-dd")&amp;"|"&amp;""&amp;"|",tblExcepciones[clave],tblExcepciones[habil],_xlfn.XLOOKUP(TEXT($I348,"yyyy-mm-dd")&amp;"||",tblExcepciones[clave],tblExcepciones[habil],INDEX(patronHabil,WEEKDAY($I348,2)))))</f>
        <v/>
      </c>
    </row>
    <row r="349">
      <c r="I349" s="12" t="n">
        <v>46367</v>
      </c>
      <c r="J349" s="3">
        <f>_xlfn.XLOOKUP(TEXT($I349,"yyyy-mm-dd")&amp;"|"&amp;""&amp;"|"&amp;"",tblExcepciones[clave],tblExcepciones[habil],_xlfn.XLOOKUP(TEXT($I349,"yyyy-mm-dd")&amp;"|"&amp;""&amp;"|",tblExcepciones[clave],tblExcepciones[habil],_xlfn.XLOOKUP(TEXT($I349,"yyyy-mm-dd")&amp;"||",tblExcepciones[clave],tblExcepciones[habil],INDEX(patronHabil,WEEKDAY($I349,2)))))</f>
        <v/>
      </c>
    </row>
    <row r="350">
      <c r="I350" s="12" t="n">
        <v>46368</v>
      </c>
      <c r="J350" s="3">
        <f>_xlfn.XLOOKUP(TEXT($I350,"yyyy-mm-dd")&amp;"|"&amp;""&amp;"|"&amp;"",tblExcepciones[clave],tblExcepciones[habil],_xlfn.XLOOKUP(TEXT($I350,"yyyy-mm-dd")&amp;"|"&amp;""&amp;"|",tblExcepciones[clave],tblExcepciones[habil],_xlfn.XLOOKUP(TEXT($I350,"yyyy-mm-dd")&amp;"||",tblExcepciones[clave],tblExcepciones[habil],INDEX(patronHabil,WEEKDAY($I350,2)))))</f>
        <v/>
      </c>
    </row>
    <row r="351">
      <c r="I351" s="12" t="n">
        <v>46369</v>
      </c>
      <c r="J351" s="3">
        <f>_xlfn.XLOOKUP(TEXT($I351,"yyyy-mm-dd")&amp;"|"&amp;""&amp;"|"&amp;"",tblExcepciones[clave],tblExcepciones[habil],_xlfn.XLOOKUP(TEXT($I351,"yyyy-mm-dd")&amp;"|"&amp;""&amp;"|",tblExcepciones[clave],tblExcepciones[habil],_xlfn.XLOOKUP(TEXT($I351,"yyyy-mm-dd")&amp;"||",tblExcepciones[clave],tblExcepciones[habil],INDEX(patronHabil,WEEKDAY($I351,2)))))</f>
        <v/>
      </c>
    </row>
    <row r="352">
      <c r="I352" s="12" t="n">
        <v>46370</v>
      </c>
      <c r="J352" s="3">
        <f>_xlfn.XLOOKUP(TEXT($I352,"yyyy-mm-dd")&amp;"|"&amp;""&amp;"|"&amp;"",tblExcepciones[clave],tblExcepciones[habil],_xlfn.XLOOKUP(TEXT($I352,"yyyy-mm-dd")&amp;"|"&amp;""&amp;"|",tblExcepciones[clave],tblExcepciones[habil],_xlfn.XLOOKUP(TEXT($I352,"yyyy-mm-dd")&amp;"||",tblExcepciones[clave],tblExcepciones[habil],INDEX(patronHabil,WEEKDAY($I352,2)))))</f>
        <v/>
      </c>
    </row>
    <row r="353">
      <c r="I353" s="12" t="n">
        <v>46371</v>
      </c>
      <c r="J353" s="3">
        <f>_xlfn.XLOOKUP(TEXT($I353,"yyyy-mm-dd")&amp;"|"&amp;""&amp;"|"&amp;"",tblExcepciones[clave],tblExcepciones[habil],_xlfn.XLOOKUP(TEXT($I353,"yyyy-mm-dd")&amp;"|"&amp;""&amp;"|",tblExcepciones[clave],tblExcepciones[habil],_xlfn.XLOOKUP(TEXT($I353,"yyyy-mm-dd")&amp;"||",tblExcepciones[clave],tblExcepciones[habil],INDEX(patronHabil,WEEKDAY($I353,2)))))</f>
        <v/>
      </c>
    </row>
    <row r="354">
      <c r="I354" s="12" t="n">
        <v>46372</v>
      </c>
      <c r="J354" s="3">
        <f>_xlfn.XLOOKUP(TEXT($I354,"yyyy-mm-dd")&amp;"|"&amp;""&amp;"|"&amp;"",tblExcepciones[clave],tblExcepciones[habil],_xlfn.XLOOKUP(TEXT($I354,"yyyy-mm-dd")&amp;"|"&amp;""&amp;"|",tblExcepciones[clave],tblExcepciones[habil],_xlfn.XLOOKUP(TEXT($I354,"yyyy-mm-dd")&amp;"||",tblExcepciones[clave],tblExcepciones[habil],INDEX(patronHabil,WEEKDAY($I354,2)))))</f>
        <v/>
      </c>
    </row>
    <row r="355">
      <c r="I355" s="12" t="n">
        <v>46373</v>
      </c>
      <c r="J355" s="3">
        <f>_xlfn.XLOOKUP(TEXT($I355,"yyyy-mm-dd")&amp;"|"&amp;""&amp;"|"&amp;"",tblExcepciones[clave],tblExcepciones[habil],_xlfn.XLOOKUP(TEXT($I355,"yyyy-mm-dd")&amp;"|"&amp;""&amp;"|",tblExcepciones[clave],tblExcepciones[habil],_xlfn.XLOOKUP(TEXT($I355,"yyyy-mm-dd")&amp;"||",tblExcepciones[clave],tblExcepciones[habil],INDEX(patronHabil,WEEKDAY($I355,2)))))</f>
        <v/>
      </c>
    </row>
    <row r="356">
      <c r="I356" s="12" t="n">
        <v>46374</v>
      </c>
      <c r="J356" s="3">
        <f>_xlfn.XLOOKUP(TEXT($I356,"yyyy-mm-dd")&amp;"|"&amp;""&amp;"|"&amp;"",tblExcepciones[clave],tblExcepciones[habil],_xlfn.XLOOKUP(TEXT($I356,"yyyy-mm-dd")&amp;"|"&amp;""&amp;"|",tblExcepciones[clave],tblExcepciones[habil],_xlfn.XLOOKUP(TEXT($I356,"yyyy-mm-dd")&amp;"||",tblExcepciones[clave],tblExcepciones[habil],INDEX(patronHabil,WEEKDAY($I356,2)))))</f>
        <v/>
      </c>
    </row>
    <row r="357">
      <c r="I357" s="12" t="n">
        <v>46375</v>
      </c>
      <c r="J357" s="3">
        <f>_xlfn.XLOOKUP(TEXT($I357,"yyyy-mm-dd")&amp;"|"&amp;""&amp;"|"&amp;"",tblExcepciones[clave],tblExcepciones[habil],_xlfn.XLOOKUP(TEXT($I357,"yyyy-mm-dd")&amp;"|"&amp;""&amp;"|",tblExcepciones[clave],tblExcepciones[habil],_xlfn.XLOOKUP(TEXT($I357,"yyyy-mm-dd")&amp;"||",tblExcepciones[clave],tblExcepciones[habil],INDEX(patronHabil,WEEKDAY($I357,2)))))</f>
        <v/>
      </c>
    </row>
    <row r="358">
      <c r="I358" s="12" t="n">
        <v>46376</v>
      </c>
      <c r="J358" s="3">
        <f>_xlfn.XLOOKUP(TEXT($I358,"yyyy-mm-dd")&amp;"|"&amp;""&amp;"|"&amp;"",tblExcepciones[clave],tblExcepciones[habil],_xlfn.XLOOKUP(TEXT($I358,"yyyy-mm-dd")&amp;"|"&amp;""&amp;"|",tblExcepciones[clave],tblExcepciones[habil],_xlfn.XLOOKUP(TEXT($I358,"yyyy-mm-dd")&amp;"||",tblExcepciones[clave],tblExcepciones[habil],INDEX(patronHabil,WEEKDAY($I358,2)))))</f>
        <v/>
      </c>
    </row>
    <row r="359">
      <c r="I359" s="12" t="n">
        <v>46377</v>
      </c>
      <c r="J359" s="3">
        <f>_xlfn.XLOOKUP(TEXT($I359,"yyyy-mm-dd")&amp;"|"&amp;""&amp;"|"&amp;"",tblExcepciones[clave],tblExcepciones[habil],_xlfn.XLOOKUP(TEXT($I359,"yyyy-mm-dd")&amp;"|"&amp;""&amp;"|",tblExcepciones[clave],tblExcepciones[habil],_xlfn.XLOOKUP(TEXT($I359,"yyyy-mm-dd")&amp;"||",tblExcepciones[clave],tblExcepciones[habil],INDEX(patronHabil,WEEKDAY($I359,2)))))</f>
        <v/>
      </c>
    </row>
    <row r="360">
      <c r="I360" s="12" t="n">
        <v>46378</v>
      </c>
      <c r="J360" s="3">
        <f>_xlfn.XLOOKUP(TEXT($I360,"yyyy-mm-dd")&amp;"|"&amp;""&amp;"|"&amp;"",tblExcepciones[clave],tblExcepciones[habil],_xlfn.XLOOKUP(TEXT($I360,"yyyy-mm-dd")&amp;"|"&amp;""&amp;"|",tblExcepciones[clave],tblExcepciones[habil],_xlfn.XLOOKUP(TEXT($I360,"yyyy-mm-dd")&amp;"||",tblExcepciones[clave],tblExcepciones[habil],INDEX(patronHabil,WEEKDAY($I360,2)))))</f>
        <v/>
      </c>
    </row>
    <row r="361">
      <c r="I361" s="12" t="n">
        <v>46379</v>
      </c>
      <c r="J361" s="3">
        <f>_xlfn.XLOOKUP(TEXT($I361,"yyyy-mm-dd")&amp;"|"&amp;""&amp;"|"&amp;"",tblExcepciones[clave],tblExcepciones[habil],_xlfn.XLOOKUP(TEXT($I361,"yyyy-mm-dd")&amp;"|"&amp;""&amp;"|",tblExcepciones[clave],tblExcepciones[habil],_xlfn.XLOOKUP(TEXT($I361,"yyyy-mm-dd")&amp;"||",tblExcepciones[clave],tblExcepciones[habil],INDEX(patronHabil,WEEKDAY($I361,2)))))</f>
        <v/>
      </c>
    </row>
    <row r="362">
      <c r="I362" s="12" t="n">
        <v>46380</v>
      </c>
      <c r="J362" s="3">
        <f>_xlfn.XLOOKUP(TEXT($I362,"yyyy-mm-dd")&amp;"|"&amp;""&amp;"|"&amp;"",tblExcepciones[clave],tblExcepciones[habil],_xlfn.XLOOKUP(TEXT($I362,"yyyy-mm-dd")&amp;"|"&amp;""&amp;"|",tblExcepciones[clave],tblExcepciones[habil],_xlfn.XLOOKUP(TEXT($I362,"yyyy-mm-dd")&amp;"||",tblExcepciones[clave],tblExcepciones[habil],INDEX(patronHabil,WEEKDAY($I362,2)))))</f>
        <v/>
      </c>
    </row>
    <row r="363">
      <c r="I363" s="12" t="n">
        <v>46381</v>
      </c>
      <c r="J363" s="3">
        <f>_xlfn.XLOOKUP(TEXT($I363,"yyyy-mm-dd")&amp;"|"&amp;""&amp;"|"&amp;"",tblExcepciones[clave],tblExcepciones[habil],_xlfn.XLOOKUP(TEXT($I363,"yyyy-mm-dd")&amp;"|"&amp;""&amp;"|",tblExcepciones[clave],tblExcepciones[habil],_xlfn.XLOOKUP(TEXT($I363,"yyyy-mm-dd")&amp;"||",tblExcepciones[clave],tblExcepciones[habil],INDEX(patronHabil,WEEKDAY($I363,2)))))</f>
        <v/>
      </c>
    </row>
    <row r="364">
      <c r="I364" s="12" t="n">
        <v>46382</v>
      </c>
      <c r="J364" s="3">
        <f>_xlfn.XLOOKUP(TEXT($I364,"yyyy-mm-dd")&amp;"|"&amp;""&amp;"|"&amp;"",tblExcepciones[clave],tblExcepciones[habil],_xlfn.XLOOKUP(TEXT($I364,"yyyy-mm-dd")&amp;"|"&amp;""&amp;"|",tblExcepciones[clave],tblExcepciones[habil],_xlfn.XLOOKUP(TEXT($I364,"yyyy-mm-dd")&amp;"||",tblExcepciones[clave],tblExcepciones[habil],INDEX(patronHabil,WEEKDAY($I364,2)))))</f>
        <v/>
      </c>
    </row>
    <row r="365">
      <c r="I365" s="12" t="n">
        <v>46383</v>
      </c>
      <c r="J365" s="3">
        <f>_xlfn.XLOOKUP(TEXT($I365,"yyyy-mm-dd")&amp;"|"&amp;""&amp;"|"&amp;"",tblExcepciones[clave],tblExcepciones[habil],_xlfn.XLOOKUP(TEXT($I365,"yyyy-mm-dd")&amp;"|"&amp;""&amp;"|",tblExcepciones[clave],tblExcepciones[habil],_xlfn.XLOOKUP(TEXT($I365,"yyyy-mm-dd")&amp;"||",tblExcepciones[clave],tblExcepciones[habil],INDEX(patronHabil,WEEKDAY($I365,2)))))</f>
        <v/>
      </c>
    </row>
    <row r="366">
      <c r="I366" s="12" t="n">
        <v>46384</v>
      </c>
      <c r="J366" s="3">
        <f>_xlfn.XLOOKUP(TEXT($I366,"yyyy-mm-dd")&amp;"|"&amp;""&amp;"|"&amp;"",tblExcepciones[clave],tblExcepciones[habil],_xlfn.XLOOKUP(TEXT($I366,"yyyy-mm-dd")&amp;"|"&amp;""&amp;"|",tblExcepciones[clave],tblExcepciones[habil],_xlfn.XLOOKUP(TEXT($I366,"yyyy-mm-dd")&amp;"||",tblExcepciones[clave],tblExcepciones[habil],INDEX(patronHabil,WEEKDAY($I366,2)))))</f>
        <v/>
      </c>
    </row>
    <row r="367">
      <c r="I367" s="12" t="n">
        <v>46385</v>
      </c>
      <c r="J367" s="3">
        <f>_xlfn.XLOOKUP(TEXT($I367,"yyyy-mm-dd")&amp;"|"&amp;""&amp;"|"&amp;"",tblExcepciones[clave],tblExcepciones[habil],_xlfn.XLOOKUP(TEXT($I367,"yyyy-mm-dd")&amp;"|"&amp;""&amp;"|",tblExcepciones[clave],tblExcepciones[habil],_xlfn.XLOOKUP(TEXT($I367,"yyyy-mm-dd")&amp;"||",tblExcepciones[clave],tblExcepciones[habil],INDEX(patronHabil,WEEKDAY($I367,2)))))</f>
        <v/>
      </c>
    </row>
    <row r="368">
      <c r="I368" s="12" t="n">
        <v>46386</v>
      </c>
      <c r="J368" s="3">
        <f>_xlfn.XLOOKUP(TEXT($I368,"yyyy-mm-dd")&amp;"|"&amp;""&amp;"|"&amp;"",tblExcepciones[clave],tblExcepciones[habil],_xlfn.XLOOKUP(TEXT($I368,"yyyy-mm-dd")&amp;"|"&amp;""&amp;"|",tblExcepciones[clave],tblExcepciones[habil],_xlfn.XLOOKUP(TEXT($I368,"yyyy-mm-dd")&amp;"||",tblExcepciones[clave],tblExcepciones[habil],INDEX(patronHabil,WEEKDAY($I368,2)))))</f>
        <v/>
      </c>
    </row>
    <row r="369">
      <c r="I369" s="12" t="n">
        <v>46387</v>
      </c>
      <c r="J369" s="3">
        <f>_xlfn.XLOOKUP(TEXT($I369,"yyyy-mm-dd")&amp;"|"&amp;""&amp;"|"&amp;"",tblExcepciones[clave],tblExcepciones[habil],_xlfn.XLOOKUP(TEXT($I369,"yyyy-mm-dd")&amp;"|"&amp;""&amp;"|",tblExcepciones[clave],tblExcepciones[habil],_xlfn.XLOOKUP(TEXT($I369,"yyyy-mm-dd")&amp;"||",tblExcepciones[clave],tblExcepciones[habil],INDEX(patronHabil,WEEKDAY($I369,2)))))</f>
        <v/>
      </c>
    </row>
    <row r="370">
      <c r="I370" s="12" t="n">
        <v>46388</v>
      </c>
      <c r="J370" s="3">
        <f>_xlfn.XLOOKUP(TEXT($I370,"yyyy-mm-dd")&amp;"|"&amp;""&amp;"|"&amp;"",tblExcepciones[clave],tblExcepciones[habil],_xlfn.XLOOKUP(TEXT($I370,"yyyy-mm-dd")&amp;"|"&amp;""&amp;"|",tblExcepciones[clave],tblExcepciones[habil],_xlfn.XLOOKUP(TEXT($I370,"yyyy-mm-dd")&amp;"||",tblExcepciones[clave],tblExcepciones[habil],INDEX(patronHabil,WEEKDAY($I370,2)))))</f>
        <v/>
      </c>
    </row>
    <row r="371">
      <c r="I371" s="12" t="n">
        <v>46389</v>
      </c>
      <c r="J371" s="3">
        <f>_xlfn.XLOOKUP(TEXT($I371,"yyyy-mm-dd")&amp;"|"&amp;""&amp;"|"&amp;"",tblExcepciones[clave],tblExcepciones[habil],_xlfn.XLOOKUP(TEXT($I371,"yyyy-mm-dd")&amp;"|"&amp;""&amp;"|",tblExcepciones[clave],tblExcepciones[habil],_xlfn.XLOOKUP(TEXT($I371,"yyyy-mm-dd")&amp;"||",tblExcepciones[clave],tblExcepciones[habil],INDEX(patronHabil,WEEKDAY($I371,2)))))</f>
        <v/>
      </c>
    </row>
    <row r="372">
      <c r="I372" s="12" t="n">
        <v>46390</v>
      </c>
      <c r="J372" s="3">
        <f>_xlfn.XLOOKUP(TEXT($I372,"yyyy-mm-dd")&amp;"|"&amp;""&amp;"|"&amp;"",tblExcepciones[clave],tblExcepciones[habil],_xlfn.XLOOKUP(TEXT($I372,"yyyy-mm-dd")&amp;"|"&amp;""&amp;"|",tblExcepciones[clave],tblExcepciones[habil],_xlfn.XLOOKUP(TEXT($I372,"yyyy-mm-dd")&amp;"||",tblExcepciones[clave],tblExcepciones[habil],INDEX(patronHabil,WEEKDAY($I372,2)))))</f>
        <v/>
      </c>
    </row>
    <row r="373">
      <c r="I373" s="12" t="n">
        <v>46391</v>
      </c>
      <c r="J373" s="3">
        <f>_xlfn.XLOOKUP(TEXT($I373,"yyyy-mm-dd")&amp;"|"&amp;""&amp;"|"&amp;"",tblExcepciones[clave],tblExcepciones[habil],_xlfn.XLOOKUP(TEXT($I373,"yyyy-mm-dd")&amp;"|"&amp;""&amp;"|",tblExcepciones[clave],tblExcepciones[habil],_xlfn.XLOOKUP(TEXT($I373,"yyyy-mm-dd")&amp;"||",tblExcepciones[clave],tblExcepciones[habil],INDEX(patronHabil,WEEKDAY($I373,2)))))</f>
        <v/>
      </c>
    </row>
    <row r="374">
      <c r="I374" s="12" t="n">
        <v>46392</v>
      </c>
      <c r="J374" s="3">
        <f>_xlfn.XLOOKUP(TEXT($I374,"yyyy-mm-dd")&amp;"|"&amp;""&amp;"|"&amp;"",tblExcepciones[clave],tblExcepciones[habil],_xlfn.XLOOKUP(TEXT($I374,"yyyy-mm-dd")&amp;"|"&amp;""&amp;"|",tblExcepciones[clave],tblExcepciones[habil],_xlfn.XLOOKUP(TEXT($I374,"yyyy-mm-dd")&amp;"||",tblExcepciones[clave],tblExcepciones[habil],INDEX(patronHabil,WEEKDAY($I374,2)))))</f>
        <v/>
      </c>
    </row>
    <row r="375">
      <c r="I375" s="12" t="n">
        <v>46393</v>
      </c>
      <c r="J375" s="3">
        <f>_xlfn.XLOOKUP(TEXT($I375,"yyyy-mm-dd")&amp;"|"&amp;""&amp;"|"&amp;"",tblExcepciones[clave],tblExcepciones[habil],_xlfn.XLOOKUP(TEXT($I375,"yyyy-mm-dd")&amp;"|"&amp;""&amp;"|",tblExcepciones[clave],tblExcepciones[habil],_xlfn.XLOOKUP(TEXT($I375,"yyyy-mm-dd")&amp;"||",tblExcepciones[clave],tblExcepciones[habil],INDEX(patronHabil,WEEKDAY($I375,2)))))</f>
        <v/>
      </c>
    </row>
    <row r="376">
      <c r="I376" s="12" t="n">
        <v>46394</v>
      </c>
      <c r="J376" s="3">
        <f>_xlfn.XLOOKUP(TEXT($I376,"yyyy-mm-dd")&amp;"|"&amp;""&amp;"|"&amp;"",tblExcepciones[clave],tblExcepciones[habil],_xlfn.XLOOKUP(TEXT($I376,"yyyy-mm-dd")&amp;"|"&amp;""&amp;"|",tblExcepciones[clave],tblExcepciones[habil],_xlfn.XLOOKUP(TEXT($I376,"yyyy-mm-dd")&amp;"||",tblExcepciones[clave],tblExcepciones[habil],INDEX(patronHabil,WEEKDAY($I376,2)))))</f>
        <v/>
      </c>
    </row>
    <row r="377">
      <c r="I377" s="12" t="n">
        <v>46395</v>
      </c>
      <c r="J377" s="3">
        <f>_xlfn.XLOOKUP(TEXT($I377,"yyyy-mm-dd")&amp;"|"&amp;""&amp;"|"&amp;"",tblExcepciones[clave],tblExcepciones[habil],_xlfn.XLOOKUP(TEXT($I377,"yyyy-mm-dd")&amp;"|"&amp;""&amp;"|",tblExcepciones[clave],tblExcepciones[habil],_xlfn.XLOOKUP(TEXT($I377,"yyyy-mm-dd")&amp;"||",tblExcepciones[clave],tblExcepciones[habil],INDEX(patronHabil,WEEKDAY($I377,2)))))</f>
        <v/>
      </c>
    </row>
    <row r="378">
      <c r="I378" s="12" t="n">
        <v>46396</v>
      </c>
      <c r="J378" s="3">
        <f>_xlfn.XLOOKUP(TEXT($I378,"yyyy-mm-dd")&amp;"|"&amp;""&amp;"|"&amp;"",tblExcepciones[clave],tblExcepciones[habil],_xlfn.XLOOKUP(TEXT($I378,"yyyy-mm-dd")&amp;"|"&amp;""&amp;"|",tblExcepciones[clave],tblExcepciones[habil],_xlfn.XLOOKUP(TEXT($I378,"yyyy-mm-dd")&amp;"||",tblExcepciones[clave],tblExcepciones[habil],INDEX(patronHabil,WEEKDAY($I378,2)))))</f>
        <v/>
      </c>
    </row>
    <row r="379">
      <c r="I379" s="12" t="n">
        <v>46397</v>
      </c>
      <c r="J379" s="3">
        <f>_xlfn.XLOOKUP(TEXT($I379,"yyyy-mm-dd")&amp;"|"&amp;""&amp;"|"&amp;"",tblExcepciones[clave],tblExcepciones[habil],_xlfn.XLOOKUP(TEXT($I379,"yyyy-mm-dd")&amp;"|"&amp;""&amp;"|",tblExcepciones[clave],tblExcepciones[habil],_xlfn.XLOOKUP(TEXT($I379,"yyyy-mm-dd")&amp;"||",tblExcepciones[clave],tblExcepciones[habil],INDEX(patronHabil,WEEKDAY($I379,2)))))</f>
        <v/>
      </c>
    </row>
    <row r="380">
      <c r="I380" s="12" t="n">
        <v>46398</v>
      </c>
      <c r="J380" s="3">
        <f>_xlfn.XLOOKUP(TEXT($I380,"yyyy-mm-dd")&amp;"|"&amp;""&amp;"|"&amp;"",tblExcepciones[clave],tblExcepciones[habil],_xlfn.XLOOKUP(TEXT($I380,"yyyy-mm-dd")&amp;"|"&amp;""&amp;"|",tblExcepciones[clave],tblExcepciones[habil],_xlfn.XLOOKUP(TEXT($I380,"yyyy-mm-dd")&amp;"||",tblExcepciones[clave],tblExcepciones[habil],INDEX(patronHabil,WEEKDAY($I380,2)))))</f>
        <v/>
      </c>
    </row>
    <row r="381">
      <c r="I381" s="12" t="n">
        <v>46399</v>
      </c>
      <c r="J381" s="3">
        <f>_xlfn.XLOOKUP(TEXT($I381,"yyyy-mm-dd")&amp;"|"&amp;""&amp;"|"&amp;"",tblExcepciones[clave],tblExcepciones[habil],_xlfn.XLOOKUP(TEXT($I381,"yyyy-mm-dd")&amp;"|"&amp;""&amp;"|",tblExcepciones[clave],tblExcepciones[habil],_xlfn.XLOOKUP(TEXT($I381,"yyyy-mm-dd")&amp;"||",tblExcepciones[clave],tblExcepciones[habil],INDEX(patronHabil,WEEKDAY($I381,2)))))</f>
        <v/>
      </c>
    </row>
    <row r="382">
      <c r="I382" s="12" t="n">
        <v>46400</v>
      </c>
      <c r="J382" s="3">
        <f>_xlfn.XLOOKUP(TEXT($I382,"yyyy-mm-dd")&amp;"|"&amp;""&amp;"|"&amp;"",tblExcepciones[clave],tblExcepciones[habil],_xlfn.XLOOKUP(TEXT($I382,"yyyy-mm-dd")&amp;"|"&amp;""&amp;"|",tblExcepciones[clave],tblExcepciones[habil],_xlfn.XLOOKUP(TEXT($I382,"yyyy-mm-dd")&amp;"||",tblExcepciones[clave],tblExcepciones[habil],INDEX(patronHabil,WEEKDAY($I382,2)))))</f>
        <v/>
      </c>
    </row>
    <row r="383">
      <c r="I383" s="12" t="n">
        <v>46401</v>
      </c>
      <c r="J383" s="3">
        <f>_xlfn.XLOOKUP(TEXT($I383,"yyyy-mm-dd")&amp;"|"&amp;""&amp;"|"&amp;"",tblExcepciones[clave],tblExcepciones[habil],_xlfn.XLOOKUP(TEXT($I383,"yyyy-mm-dd")&amp;"|"&amp;""&amp;"|",tblExcepciones[clave],tblExcepciones[habil],_xlfn.XLOOKUP(TEXT($I383,"yyyy-mm-dd")&amp;"||",tblExcepciones[clave],tblExcepciones[habil],INDEX(patronHabil,WEEKDAY($I383,2)))))</f>
        <v/>
      </c>
    </row>
    <row r="384">
      <c r="I384" s="12" t="n">
        <v>46402</v>
      </c>
      <c r="J384" s="3">
        <f>_xlfn.XLOOKUP(TEXT($I384,"yyyy-mm-dd")&amp;"|"&amp;""&amp;"|"&amp;"",tblExcepciones[clave],tblExcepciones[habil],_xlfn.XLOOKUP(TEXT($I384,"yyyy-mm-dd")&amp;"|"&amp;""&amp;"|",tblExcepciones[clave],tblExcepciones[habil],_xlfn.XLOOKUP(TEXT($I384,"yyyy-mm-dd")&amp;"||",tblExcepciones[clave],tblExcepciones[habil],INDEX(patronHabil,WEEKDAY($I384,2)))))</f>
        <v/>
      </c>
    </row>
    <row r="385">
      <c r="I385" s="12" t="n">
        <v>46403</v>
      </c>
      <c r="J385" s="3">
        <f>_xlfn.XLOOKUP(TEXT($I385,"yyyy-mm-dd")&amp;"|"&amp;""&amp;"|"&amp;"",tblExcepciones[clave],tblExcepciones[habil],_xlfn.XLOOKUP(TEXT($I385,"yyyy-mm-dd")&amp;"|"&amp;""&amp;"|",tblExcepciones[clave],tblExcepciones[habil],_xlfn.XLOOKUP(TEXT($I385,"yyyy-mm-dd")&amp;"||",tblExcepciones[clave],tblExcepciones[habil],INDEX(patronHabil,WEEKDAY($I385,2)))))</f>
        <v/>
      </c>
    </row>
    <row r="386">
      <c r="I386" s="12" t="n">
        <v>46404</v>
      </c>
      <c r="J386" s="3">
        <f>_xlfn.XLOOKUP(TEXT($I386,"yyyy-mm-dd")&amp;"|"&amp;""&amp;"|"&amp;"",tblExcepciones[clave],tblExcepciones[habil],_xlfn.XLOOKUP(TEXT($I386,"yyyy-mm-dd")&amp;"|"&amp;""&amp;"|",tblExcepciones[clave],tblExcepciones[habil],_xlfn.XLOOKUP(TEXT($I386,"yyyy-mm-dd")&amp;"||",tblExcepciones[clave],tblExcepciones[habil],INDEX(patronHabil,WEEKDAY($I386,2)))))</f>
        <v/>
      </c>
    </row>
    <row r="387">
      <c r="I387" s="12" t="n">
        <v>46405</v>
      </c>
      <c r="J387" s="3">
        <f>_xlfn.XLOOKUP(TEXT($I387,"yyyy-mm-dd")&amp;"|"&amp;""&amp;"|"&amp;"",tblExcepciones[clave],tblExcepciones[habil],_xlfn.XLOOKUP(TEXT($I387,"yyyy-mm-dd")&amp;"|"&amp;""&amp;"|",tblExcepciones[clave],tblExcepciones[habil],_xlfn.XLOOKUP(TEXT($I387,"yyyy-mm-dd")&amp;"||",tblExcepciones[clave],tblExcepciones[habil],INDEX(patronHabil,WEEKDAY($I387,2)))))</f>
        <v/>
      </c>
    </row>
    <row r="388">
      <c r="I388" s="12" t="n">
        <v>46406</v>
      </c>
      <c r="J388" s="3">
        <f>_xlfn.XLOOKUP(TEXT($I388,"yyyy-mm-dd")&amp;"|"&amp;""&amp;"|"&amp;"",tblExcepciones[clave],tblExcepciones[habil],_xlfn.XLOOKUP(TEXT($I388,"yyyy-mm-dd")&amp;"|"&amp;""&amp;"|",tblExcepciones[clave],tblExcepciones[habil],_xlfn.XLOOKUP(TEXT($I388,"yyyy-mm-dd")&amp;"||",tblExcepciones[clave],tblExcepciones[habil],INDEX(patronHabil,WEEKDAY($I388,2)))))</f>
        <v/>
      </c>
    </row>
    <row r="389">
      <c r="I389" s="12" t="n">
        <v>46407</v>
      </c>
      <c r="J389" s="3">
        <f>_xlfn.XLOOKUP(TEXT($I389,"yyyy-mm-dd")&amp;"|"&amp;""&amp;"|"&amp;"",tblExcepciones[clave],tblExcepciones[habil],_xlfn.XLOOKUP(TEXT($I389,"yyyy-mm-dd")&amp;"|"&amp;""&amp;"|",tblExcepciones[clave],tblExcepciones[habil],_xlfn.XLOOKUP(TEXT($I389,"yyyy-mm-dd")&amp;"||",tblExcepciones[clave],tblExcepciones[habil],INDEX(patronHabil,WEEKDAY($I389,2)))))</f>
        <v/>
      </c>
    </row>
    <row r="390">
      <c r="I390" s="12" t="n">
        <v>46408</v>
      </c>
      <c r="J390" s="3">
        <f>_xlfn.XLOOKUP(TEXT($I390,"yyyy-mm-dd")&amp;"|"&amp;""&amp;"|"&amp;"",tblExcepciones[clave],tblExcepciones[habil],_xlfn.XLOOKUP(TEXT($I390,"yyyy-mm-dd")&amp;"|"&amp;""&amp;"|",tblExcepciones[clave],tblExcepciones[habil],_xlfn.XLOOKUP(TEXT($I390,"yyyy-mm-dd")&amp;"||",tblExcepciones[clave],tblExcepciones[habil],INDEX(patronHabil,WEEKDAY($I390,2)))))</f>
        <v/>
      </c>
    </row>
    <row r="391">
      <c r="I391" s="12" t="n">
        <v>46409</v>
      </c>
      <c r="J391" s="3">
        <f>_xlfn.XLOOKUP(TEXT($I391,"yyyy-mm-dd")&amp;"|"&amp;""&amp;"|"&amp;"",tblExcepciones[clave],tblExcepciones[habil],_xlfn.XLOOKUP(TEXT($I391,"yyyy-mm-dd")&amp;"|"&amp;""&amp;"|",tblExcepciones[clave],tblExcepciones[habil],_xlfn.XLOOKUP(TEXT($I391,"yyyy-mm-dd")&amp;"||",tblExcepciones[clave],tblExcepciones[habil],INDEX(patronHabil,WEEKDAY($I391,2)))))</f>
        <v/>
      </c>
    </row>
    <row r="392">
      <c r="I392" s="12" t="n">
        <v>46410</v>
      </c>
      <c r="J392" s="3">
        <f>_xlfn.XLOOKUP(TEXT($I392,"yyyy-mm-dd")&amp;"|"&amp;""&amp;"|"&amp;"",tblExcepciones[clave],tblExcepciones[habil],_xlfn.XLOOKUP(TEXT($I392,"yyyy-mm-dd")&amp;"|"&amp;""&amp;"|",tblExcepciones[clave],tblExcepciones[habil],_xlfn.XLOOKUP(TEXT($I392,"yyyy-mm-dd")&amp;"||",tblExcepciones[clave],tblExcepciones[habil],INDEX(patronHabil,WEEKDAY($I392,2)))))</f>
        <v/>
      </c>
    </row>
    <row r="393">
      <c r="I393" s="12" t="n">
        <v>46411</v>
      </c>
      <c r="J393" s="3">
        <f>_xlfn.XLOOKUP(TEXT($I393,"yyyy-mm-dd")&amp;"|"&amp;""&amp;"|"&amp;"",tblExcepciones[clave],tblExcepciones[habil],_xlfn.XLOOKUP(TEXT($I393,"yyyy-mm-dd")&amp;"|"&amp;""&amp;"|",tblExcepciones[clave],tblExcepciones[habil],_xlfn.XLOOKUP(TEXT($I393,"yyyy-mm-dd")&amp;"||",tblExcepciones[clave],tblExcepciones[habil],INDEX(patronHabil,WEEKDAY($I393,2)))))</f>
        <v/>
      </c>
    </row>
    <row r="394">
      <c r="I394" s="12" t="n">
        <v>46412</v>
      </c>
      <c r="J394" s="3">
        <f>_xlfn.XLOOKUP(TEXT($I394,"yyyy-mm-dd")&amp;"|"&amp;""&amp;"|"&amp;"",tblExcepciones[clave],tblExcepciones[habil],_xlfn.XLOOKUP(TEXT($I394,"yyyy-mm-dd")&amp;"|"&amp;""&amp;"|",tblExcepciones[clave],tblExcepciones[habil],_xlfn.XLOOKUP(TEXT($I394,"yyyy-mm-dd")&amp;"||",tblExcepciones[clave],tblExcepciones[habil],INDEX(patronHabil,WEEKDAY($I394,2)))))</f>
        <v/>
      </c>
    </row>
    <row r="395">
      <c r="I395" s="12" t="n">
        <v>46413</v>
      </c>
      <c r="J395" s="3">
        <f>_xlfn.XLOOKUP(TEXT($I395,"yyyy-mm-dd")&amp;"|"&amp;""&amp;"|"&amp;"",tblExcepciones[clave],tblExcepciones[habil],_xlfn.XLOOKUP(TEXT($I395,"yyyy-mm-dd")&amp;"|"&amp;""&amp;"|",tblExcepciones[clave],tblExcepciones[habil],_xlfn.XLOOKUP(TEXT($I395,"yyyy-mm-dd")&amp;"||",tblExcepciones[clave],tblExcepciones[habil],INDEX(patronHabil,WEEKDAY($I395,2)))))</f>
        <v/>
      </c>
    </row>
    <row r="396">
      <c r="I396" s="12" t="n">
        <v>46414</v>
      </c>
      <c r="J396" s="3">
        <f>_xlfn.XLOOKUP(TEXT($I396,"yyyy-mm-dd")&amp;"|"&amp;""&amp;"|"&amp;"",tblExcepciones[clave],tblExcepciones[habil],_xlfn.XLOOKUP(TEXT($I396,"yyyy-mm-dd")&amp;"|"&amp;""&amp;"|",tblExcepciones[clave],tblExcepciones[habil],_xlfn.XLOOKUP(TEXT($I396,"yyyy-mm-dd")&amp;"||",tblExcepciones[clave],tblExcepciones[habil],INDEX(patronHabil,WEEKDAY($I396,2)))))</f>
        <v/>
      </c>
    </row>
    <row r="397">
      <c r="I397" s="12" t="n">
        <v>46415</v>
      </c>
      <c r="J397" s="3">
        <f>_xlfn.XLOOKUP(TEXT($I397,"yyyy-mm-dd")&amp;"|"&amp;""&amp;"|"&amp;"",tblExcepciones[clave],tblExcepciones[habil],_xlfn.XLOOKUP(TEXT($I397,"yyyy-mm-dd")&amp;"|"&amp;""&amp;"|",tblExcepciones[clave],tblExcepciones[habil],_xlfn.XLOOKUP(TEXT($I397,"yyyy-mm-dd")&amp;"||",tblExcepciones[clave],tblExcepciones[habil],INDEX(patronHabil,WEEKDAY($I397,2)))))</f>
        <v/>
      </c>
    </row>
    <row r="398">
      <c r="I398" s="12" t="n">
        <v>46416</v>
      </c>
      <c r="J398" s="3">
        <f>_xlfn.XLOOKUP(TEXT($I398,"yyyy-mm-dd")&amp;"|"&amp;""&amp;"|"&amp;"",tblExcepciones[clave],tblExcepciones[habil],_xlfn.XLOOKUP(TEXT($I398,"yyyy-mm-dd")&amp;"|"&amp;""&amp;"|",tblExcepciones[clave],tblExcepciones[habil],_xlfn.XLOOKUP(TEXT($I398,"yyyy-mm-dd")&amp;"||",tblExcepciones[clave],tblExcepciones[habil],INDEX(patronHabil,WEEKDAY($I398,2)))))</f>
        <v/>
      </c>
    </row>
    <row r="399">
      <c r="I399" s="12" t="n">
        <v>46417</v>
      </c>
      <c r="J399" s="3">
        <f>_xlfn.XLOOKUP(TEXT($I399,"yyyy-mm-dd")&amp;"|"&amp;""&amp;"|"&amp;"",tblExcepciones[clave],tblExcepciones[habil],_xlfn.XLOOKUP(TEXT($I399,"yyyy-mm-dd")&amp;"|"&amp;""&amp;"|",tblExcepciones[clave],tblExcepciones[habil],_xlfn.XLOOKUP(TEXT($I399,"yyyy-mm-dd")&amp;"||",tblExcepciones[clave],tblExcepciones[habil],INDEX(patronHabil,WEEKDAY($I399,2)))))</f>
        <v/>
      </c>
    </row>
    <row r="400">
      <c r="I400" s="12" t="n">
        <v>46418</v>
      </c>
      <c r="J400" s="3">
        <f>_xlfn.XLOOKUP(TEXT($I400,"yyyy-mm-dd")&amp;"|"&amp;""&amp;"|"&amp;"",tblExcepciones[clave],tblExcepciones[habil],_xlfn.XLOOKUP(TEXT($I400,"yyyy-mm-dd")&amp;"|"&amp;""&amp;"|",tblExcepciones[clave],tblExcepciones[habil],_xlfn.XLOOKUP(TEXT($I400,"yyyy-mm-dd")&amp;"||",tblExcepciones[clave],tblExcepciones[habil],INDEX(patronHabil,WEEKDAY($I400,2)))))</f>
        <v/>
      </c>
    </row>
    <row r="401">
      <c r="I401" s="12" t="n">
        <v>46419</v>
      </c>
      <c r="J401" s="3">
        <f>_xlfn.XLOOKUP(TEXT($I401,"yyyy-mm-dd")&amp;"|"&amp;""&amp;"|"&amp;"",tblExcepciones[clave],tblExcepciones[habil],_xlfn.XLOOKUP(TEXT($I401,"yyyy-mm-dd")&amp;"|"&amp;""&amp;"|",tblExcepciones[clave],tblExcepciones[habil],_xlfn.XLOOKUP(TEXT($I401,"yyyy-mm-dd")&amp;"||",tblExcepciones[clave],tblExcepciones[habil],INDEX(patronHabil,WEEKDAY($I401,2)))))</f>
        <v/>
      </c>
    </row>
    <row r="402">
      <c r="I402" s="12" t="n">
        <v>46420</v>
      </c>
      <c r="J402" s="3">
        <f>_xlfn.XLOOKUP(TEXT($I402,"yyyy-mm-dd")&amp;"|"&amp;""&amp;"|"&amp;"",tblExcepciones[clave],tblExcepciones[habil],_xlfn.XLOOKUP(TEXT($I402,"yyyy-mm-dd")&amp;"|"&amp;""&amp;"|",tblExcepciones[clave],tblExcepciones[habil],_xlfn.XLOOKUP(TEXT($I402,"yyyy-mm-dd")&amp;"||",tblExcepciones[clave],tblExcepciones[habil],INDEX(patronHabil,WEEKDAY($I402,2)))))</f>
        <v/>
      </c>
    </row>
    <row r="403">
      <c r="I403" s="12" t="n">
        <v>46421</v>
      </c>
      <c r="J403" s="3">
        <f>_xlfn.XLOOKUP(TEXT($I403,"yyyy-mm-dd")&amp;"|"&amp;""&amp;"|"&amp;"",tblExcepciones[clave],tblExcepciones[habil],_xlfn.XLOOKUP(TEXT($I403,"yyyy-mm-dd")&amp;"|"&amp;""&amp;"|",tblExcepciones[clave],tblExcepciones[habil],_xlfn.XLOOKUP(TEXT($I403,"yyyy-mm-dd")&amp;"||",tblExcepciones[clave],tblExcepciones[habil],INDEX(patronHabil,WEEKDAY($I403,2)))))</f>
        <v/>
      </c>
    </row>
    <row r="404">
      <c r="I404" s="12" t="n">
        <v>46422</v>
      </c>
      <c r="J404" s="3">
        <f>_xlfn.XLOOKUP(TEXT($I404,"yyyy-mm-dd")&amp;"|"&amp;""&amp;"|"&amp;"",tblExcepciones[clave],tblExcepciones[habil],_xlfn.XLOOKUP(TEXT($I404,"yyyy-mm-dd")&amp;"|"&amp;""&amp;"|",tblExcepciones[clave],tblExcepciones[habil],_xlfn.XLOOKUP(TEXT($I404,"yyyy-mm-dd")&amp;"||",tblExcepciones[clave],tblExcepciones[habil],INDEX(patronHabil,WEEKDAY($I404,2)))))</f>
        <v/>
      </c>
    </row>
    <row r="405">
      <c r="I405" s="12" t="n">
        <v>46423</v>
      </c>
      <c r="J405" s="3">
        <f>_xlfn.XLOOKUP(TEXT($I405,"yyyy-mm-dd")&amp;"|"&amp;""&amp;"|"&amp;"",tblExcepciones[clave],tblExcepciones[habil],_xlfn.XLOOKUP(TEXT($I405,"yyyy-mm-dd")&amp;"|"&amp;""&amp;"|",tblExcepciones[clave],tblExcepciones[habil],_xlfn.XLOOKUP(TEXT($I405,"yyyy-mm-dd")&amp;"||",tblExcepciones[clave],tblExcepciones[habil],INDEX(patronHabil,WEEKDAY($I405,2)))))</f>
        <v/>
      </c>
    </row>
    <row r="406">
      <c r="I406" s="12" t="n">
        <v>46424</v>
      </c>
      <c r="J406" s="3">
        <f>_xlfn.XLOOKUP(TEXT($I406,"yyyy-mm-dd")&amp;"|"&amp;""&amp;"|"&amp;"",tblExcepciones[clave],tblExcepciones[habil],_xlfn.XLOOKUP(TEXT($I406,"yyyy-mm-dd")&amp;"|"&amp;""&amp;"|",tblExcepciones[clave],tblExcepciones[habil],_xlfn.XLOOKUP(TEXT($I406,"yyyy-mm-dd")&amp;"||",tblExcepciones[clave],tblExcepciones[habil],INDEX(patronHabil,WEEKDAY($I406,2)))))</f>
        <v/>
      </c>
    </row>
    <row r="407">
      <c r="I407" s="12" t="n">
        <v>46425</v>
      </c>
      <c r="J407" s="3">
        <f>_xlfn.XLOOKUP(TEXT($I407,"yyyy-mm-dd")&amp;"|"&amp;""&amp;"|"&amp;"",tblExcepciones[clave],tblExcepciones[habil],_xlfn.XLOOKUP(TEXT($I407,"yyyy-mm-dd")&amp;"|"&amp;""&amp;"|",tblExcepciones[clave],tblExcepciones[habil],_xlfn.XLOOKUP(TEXT($I407,"yyyy-mm-dd")&amp;"||",tblExcepciones[clave],tblExcepciones[habil],INDEX(patronHabil,WEEKDAY($I407,2)))))</f>
        <v/>
      </c>
    </row>
    <row r="408">
      <c r="I408" s="12" t="n">
        <v>46426</v>
      </c>
      <c r="J408" s="3">
        <f>_xlfn.XLOOKUP(TEXT($I408,"yyyy-mm-dd")&amp;"|"&amp;""&amp;"|"&amp;"",tblExcepciones[clave],tblExcepciones[habil],_xlfn.XLOOKUP(TEXT($I408,"yyyy-mm-dd")&amp;"|"&amp;""&amp;"|",tblExcepciones[clave],tblExcepciones[habil],_xlfn.XLOOKUP(TEXT($I408,"yyyy-mm-dd")&amp;"||",tblExcepciones[clave],tblExcepciones[habil],INDEX(patronHabil,WEEKDAY($I408,2)))))</f>
        <v/>
      </c>
    </row>
    <row r="409">
      <c r="I409" s="12" t="n">
        <v>46427</v>
      </c>
      <c r="J409" s="3">
        <f>_xlfn.XLOOKUP(TEXT($I409,"yyyy-mm-dd")&amp;"|"&amp;""&amp;"|"&amp;"",tblExcepciones[clave],tblExcepciones[habil],_xlfn.XLOOKUP(TEXT($I409,"yyyy-mm-dd")&amp;"|"&amp;""&amp;"|",tblExcepciones[clave],tblExcepciones[habil],_xlfn.XLOOKUP(TEXT($I409,"yyyy-mm-dd")&amp;"||",tblExcepciones[clave],tblExcepciones[habil],INDEX(patronHabil,WEEKDAY($I409,2)))))</f>
        <v/>
      </c>
    </row>
    <row r="410">
      <c r="I410" s="12" t="n">
        <v>46428</v>
      </c>
      <c r="J410" s="3">
        <f>_xlfn.XLOOKUP(TEXT($I410,"yyyy-mm-dd")&amp;"|"&amp;""&amp;"|"&amp;"",tblExcepciones[clave],tblExcepciones[habil],_xlfn.XLOOKUP(TEXT($I410,"yyyy-mm-dd")&amp;"|"&amp;""&amp;"|",tblExcepciones[clave],tblExcepciones[habil],_xlfn.XLOOKUP(TEXT($I410,"yyyy-mm-dd")&amp;"||",tblExcepciones[clave],tblExcepciones[habil],INDEX(patronHabil,WEEKDAY($I410,2)))))</f>
        <v/>
      </c>
    </row>
    <row r="411">
      <c r="I411" s="12" t="n">
        <v>46429</v>
      </c>
      <c r="J411" s="3">
        <f>_xlfn.XLOOKUP(TEXT($I411,"yyyy-mm-dd")&amp;"|"&amp;""&amp;"|"&amp;"",tblExcepciones[clave],tblExcepciones[habil],_xlfn.XLOOKUP(TEXT($I411,"yyyy-mm-dd")&amp;"|"&amp;""&amp;"|",tblExcepciones[clave],tblExcepciones[habil],_xlfn.XLOOKUP(TEXT($I411,"yyyy-mm-dd")&amp;"||",tblExcepciones[clave],tblExcepciones[habil],INDEX(patronHabil,WEEKDAY($I411,2)))))</f>
        <v/>
      </c>
    </row>
    <row r="412">
      <c r="I412" s="12" t="n">
        <v>46430</v>
      </c>
      <c r="J412" s="3">
        <f>_xlfn.XLOOKUP(TEXT($I412,"yyyy-mm-dd")&amp;"|"&amp;""&amp;"|"&amp;"",tblExcepciones[clave],tblExcepciones[habil],_xlfn.XLOOKUP(TEXT($I412,"yyyy-mm-dd")&amp;"|"&amp;""&amp;"|",tblExcepciones[clave],tblExcepciones[habil],_xlfn.XLOOKUP(TEXT($I412,"yyyy-mm-dd")&amp;"||",tblExcepciones[clave],tblExcepciones[habil],INDEX(patronHabil,WEEKDAY($I412,2)))))</f>
        <v/>
      </c>
    </row>
    <row r="413">
      <c r="I413" s="12" t="n">
        <v>46431</v>
      </c>
      <c r="J413" s="3">
        <f>_xlfn.XLOOKUP(TEXT($I413,"yyyy-mm-dd")&amp;"|"&amp;""&amp;"|"&amp;"",tblExcepciones[clave],tblExcepciones[habil],_xlfn.XLOOKUP(TEXT($I413,"yyyy-mm-dd")&amp;"|"&amp;""&amp;"|",tblExcepciones[clave],tblExcepciones[habil],_xlfn.XLOOKUP(TEXT($I413,"yyyy-mm-dd")&amp;"||",tblExcepciones[clave],tblExcepciones[habil],INDEX(patronHabil,WEEKDAY($I413,2)))))</f>
        <v/>
      </c>
    </row>
    <row r="414">
      <c r="I414" s="12" t="n">
        <v>46432</v>
      </c>
      <c r="J414" s="3">
        <f>_xlfn.XLOOKUP(TEXT($I414,"yyyy-mm-dd")&amp;"|"&amp;""&amp;"|"&amp;"",tblExcepciones[clave],tblExcepciones[habil],_xlfn.XLOOKUP(TEXT($I414,"yyyy-mm-dd")&amp;"|"&amp;""&amp;"|",tblExcepciones[clave],tblExcepciones[habil],_xlfn.XLOOKUP(TEXT($I414,"yyyy-mm-dd")&amp;"||",tblExcepciones[clave],tblExcepciones[habil],INDEX(patronHabil,WEEKDAY($I414,2)))))</f>
        <v/>
      </c>
    </row>
    <row r="415">
      <c r="I415" s="12" t="n">
        <v>46433</v>
      </c>
      <c r="J415" s="3">
        <f>_xlfn.XLOOKUP(TEXT($I415,"yyyy-mm-dd")&amp;"|"&amp;""&amp;"|"&amp;"",tblExcepciones[clave],tblExcepciones[habil],_xlfn.XLOOKUP(TEXT($I415,"yyyy-mm-dd")&amp;"|"&amp;""&amp;"|",tblExcepciones[clave],tblExcepciones[habil],_xlfn.XLOOKUP(TEXT($I415,"yyyy-mm-dd")&amp;"||",tblExcepciones[clave],tblExcepciones[habil],INDEX(patronHabil,WEEKDAY($I415,2)))))</f>
        <v/>
      </c>
    </row>
    <row r="416">
      <c r="I416" s="12" t="n">
        <v>46434</v>
      </c>
      <c r="J416" s="3">
        <f>_xlfn.XLOOKUP(TEXT($I416,"yyyy-mm-dd")&amp;"|"&amp;""&amp;"|"&amp;"",tblExcepciones[clave],tblExcepciones[habil],_xlfn.XLOOKUP(TEXT($I416,"yyyy-mm-dd")&amp;"|"&amp;""&amp;"|",tblExcepciones[clave],tblExcepciones[habil],_xlfn.XLOOKUP(TEXT($I416,"yyyy-mm-dd")&amp;"||",tblExcepciones[clave],tblExcepciones[habil],INDEX(patronHabil,WEEKDAY($I416,2)))))</f>
        <v/>
      </c>
    </row>
    <row r="417">
      <c r="I417" s="12" t="n">
        <v>46435</v>
      </c>
      <c r="J417" s="3">
        <f>_xlfn.XLOOKUP(TEXT($I417,"yyyy-mm-dd")&amp;"|"&amp;""&amp;"|"&amp;"",tblExcepciones[clave],tblExcepciones[habil],_xlfn.XLOOKUP(TEXT($I417,"yyyy-mm-dd")&amp;"|"&amp;""&amp;"|",tblExcepciones[clave],tblExcepciones[habil],_xlfn.XLOOKUP(TEXT($I417,"yyyy-mm-dd")&amp;"||",tblExcepciones[clave],tblExcepciones[habil],INDEX(patronHabil,WEEKDAY($I417,2)))))</f>
        <v/>
      </c>
    </row>
    <row r="418">
      <c r="I418" s="12" t="n">
        <v>46436</v>
      </c>
      <c r="J418" s="3">
        <f>_xlfn.XLOOKUP(TEXT($I418,"yyyy-mm-dd")&amp;"|"&amp;""&amp;"|"&amp;"",tblExcepciones[clave],tblExcepciones[habil],_xlfn.XLOOKUP(TEXT($I418,"yyyy-mm-dd")&amp;"|"&amp;""&amp;"|",tblExcepciones[clave],tblExcepciones[habil],_xlfn.XLOOKUP(TEXT($I418,"yyyy-mm-dd")&amp;"||",tblExcepciones[clave],tblExcepciones[habil],INDEX(patronHabil,WEEKDAY($I418,2)))))</f>
        <v/>
      </c>
    </row>
    <row r="419">
      <c r="I419" s="12" t="n">
        <v>46437</v>
      </c>
      <c r="J419" s="3">
        <f>_xlfn.XLOOKUP(TEXT($I419,"yyyy-mm-dd")&amp;"|"&amp;""&amp;"|"&amp;"",tblExcepciones[clave],tblExcepciones[habil],_xlfn.XLOOKUP(TEXT($I419,"yyyy-mm-dd")&amp;"|"&amp;""&amp;"|",tblExcepciones[clave],tblExcepciones[habil],_xlfn.XLOOKUP(TEXT($I419,"yyyy-mm-dd")&amp;"||",tblExcepciones[clave],tblExcepciones[habil],INDEX(patronHabil,WEEKDAY($I419,2)))))</f>
        <v/>
      </c>
    </row>
    <row r="420">
      <c r="I420" s="12" t="n">
        <v>46438</v>
      </c>
      <c r="J420" s="3">
        <f>_xlfn.XLOOKUP(TEXT($I420,"yyyy-mm-dd")&amp;"|"&amp;""&amp;"|"&amp;"",tblExcepciones[clave],tblExcepciones[habil],_xlfn.XLOOKUP(TEXT($I420,"yyyy-mm-dd")&amp;"|"&amp;""&amp;"|",tblExcepciones[clave],tblExcepciones[habil],_xlfn.XLOOKUP(TEXT($I420,"yyyy-mm-dd")&amp;"||",tblExcepciones[clave],tblExcepciones[habil],INDEX(patronHabil,WEEKDAY($I420,2)))))</f>
        <v/>
      </c>
    </row>
    <row r="421">
      <c r="I421" s="12" t="n">
        <v>46439</v>
      </c>
      <c r="J421" s="3">
        <f>_xlfn.XLOOKUP(TEXT($I421,"yyyy-mm-dd")&amp;"|"&amp;""&amp;"|"&amp;"",tblExcepciones[clave],tblExcepciones[habil],_xlfn.XLOOKUP(TEXT($I421,"yyyy-mm-dd")&amp;"|"&amp;""&amp;"|",tblExcepciones[clave],tblExcepciones[habil],_xlfn.XLOOKUP(TEXT($I421,"yyyy-mm-dd")&amp;"||",tblExcepciones[clave],tblExcepciones[habil],INDEX(patronHabil,WEEKDAY($I421,2)))))</f>
        <v/>
      </c>
    </row>
    <row r="422">
      <c r="I422" s="12" t="n">
        <v>46440</v>
      </c>
      <c r="J422" s="3">
        <f>_xlfn.XLOOKUP(TEXT($I422,"yyyy-mm-dd")&amp;"|"&amp;""&amp;"|"&amp;"",tblExcepciones[clave],tblExcepciones[habil],_xlfn.XLOOKUP(TEXT($I422,"yyyy-mm-dd")&amp;"|"&amp;""&amp;"|",tblExcepciones[clave],tblExcepciones[habil],_xlfn.XLOOKUP(TEXT($I422,"yyyy-mm-dd")&amp;"||",tblExcepciones[clave],tblExcepciones[habil],INDEX(patronHabil,WEEKDAY($I422,2)))))</f>
        <v/>
      </c>
    </row>
    <row r="423">
      <c r="I423" s="12" t="n">
        <v>46441</v>
      </c>
      <c r="J423" s="3">
        <f>_xlfn.XLOOKUP(TEXT($I423,"yyyy-mm-dd")&amp;"|"&amp;""&amp;"|"&amp;"",tblExcepciones[clave],tblExcepciones[habil],_xlfn.XLOOKUP(TEXT($I423,"yyyy-mm-dd")&amp;"|"&amp;""&amp;"|",tblExcepciones[clave],tblExcepciones[habil],_xlfn.XLOOKUP(TEXT($I423,"yyyy-mm-dd")&amp;"||",tblExcepciones[clave],tblExcepciones[habil],INDEX(patronHabil,WEEKDAY($I423,2)))))</f>
        <v/>
      </c>
    </row>
    <row r="424">
      <c r="I424" s="12" t="n">
        <v>46442</v>
      </c>
      <c r="J424" s="3">
        <f>_xlfn.XLOOKUP(TEXT($I424,"yyyy-mm-dd")&amp;"|"&amp;""&amp;"|"&amp;"",tblExcepciones[clave],tblExcepciones[habil],_xlfn.XLOOKUP(TEXT($I424,"yyyy-mm-dd")&amp;"|"&amp;""&amp;"|",tblExcepciones[clave],tblExcepciones[habil],_xlfn.XLOOKUP(TEXT($I424,"yyyy-mm-dd")&amp;"||",tblExcepciones[clave],tblExcepciones[habil],INDEX(patronHabil,WEEKDAY($I424,2)))))</f>
        <v/>
      </c>
    </row>
    <row r="425">
      <c r="I425" s="12" t="n">
        <v>46443</v>
      </c>
      <c r="J425" s="3">
        <f>_xlfn.XLOOKUP(TEXT($I425,"yyyy-mm-dd")&amp;"|"&amp;""&amp;"|"&amp;"",tblExcepciones[clave],tblExcepciones[habil],_xlfn.XLOOKUP(TEXT($I425,"yyyy-mm-dd")&amp;"|"&amp;""&amp;"|",tblExcepciones[clave],tblExcepciones[habil],_xlfn.XLOOKUP(TEXT($I425,"yyyy-mm-dd")&amp;"||",tblExcepciones[clave],tblExcepciones[habil],INDEX(patronHabil,WEEKDAY($I425,2)))))</f>
        <v/>
      </c>
    </row>
    <row r="426">
      <c r="I426" s="12" t="n">
        <v>46444</v>
      </c>
      <c r="J426" s="3">
        <f>_xlfn.XLOOKUP(TEXT($I426,"yyyy-mm-dd")&amp;"|"&amp;""&amp;"|"&amp;"",tblExcepciones[clave],tblExcepciones[habil],_xlfn.XLOOKUP(TEXT($I426,"yyyy-mm-dd")&amp;"|"&amp;""&amp;"|",tblExcepciones[clave],tblExcepciones[habil],_xlfn.XLOOKUP(TEXT($I426,"yyyy-mm-dd")&amp;"||",tblExcepciones[clave],tblExcepciones[habil],INDEX(patronHabil,WEEKDAY($I426,2)))))</f>
        <v/>
      </c>
    </row>
    <row r="427">
      <c r="I427" s="12" t="n">
        <v>46445</v>
      </c>
      <c r="J427" s="3">
        <f>_xlfn.XLOOKUP(TEXT($I427,"yyyy-mm-dd")&amp;"|"&amp;""&amp;"|"&amp;"",tblExcepciones[clave],tblExcepciones[habil],_xlfn.XLOOKUP(TEXT($I427,"yyyy-mm-dd")&amp;"|"&amp;""&amp;"|",tblExcepciones[clave],tblExcepciones[habil],_xlfn.XLOOKUP(TEXT($I427,"yyyy-mm-dd")&amp;"||",tblExcepciones[clave],tblExcepciones[habil],INDEX(patronHabil,WEEKDAY($I427,2)))))</f>
        <v/>
      </c>
    </row>
    <row r="428">
      <c r="I428" s="12" t="n">
        <v>46446</v>
      </c>
      <c r="J428" s="3">
        <f>_xlfn.XLOOKUP(TEXT($I428,"yyyy-mm-dd")&amp;"|"&amp;""&amp;"|"&amp;"",tblExcepciones[clave],tblExcepciones[habil],_xlfn.XLOOKUP(TEXT($I428,"yyyy-mm-dd")&amp;"|"&amp;""&amp;"|",tblExcepciones[clave],tblExcepciones[habil],_xlfn.XLOOKUP(TEXT($I428,"yyyy-mm-dd")&amp;"||",tblExcepciones[clave],tblExcepciones[habil],INDEX(patronHabil,WEEKDAY($I428,2)))))</f>
        <v/>
      </c>
    </row>
    <row r="429">
      <c r="I429" s="12" t="n">
        <v>46447</v>
      </c>
      <c r="J429" s="3">
        <f>_xlfn.XLOOKUP(TEXT($I429,"yyyy-mm-dd")&amp;"|"&amp;""&amp;"|"&amp;"",tblExcepciones[clave],tblExcepciones[habil],_xlfn.XLOOKUP(TEXT($I429,"yyyy-mm-dd")&amp;"|"&amp;""&amp;"|",tblExcepciones[clave],tblExcepciones[habil],_xlfn.XLOOKUP(TEXT($I429,"yyyy-mm-dd")&amp;"||",tblExcepciones[clave],tblExcepciones[habil],INDEX(patronHabil,WEEKDAY($I429,2)))))</f>
        <v/>
      </c>
    </row>
    <row r="430">
      <c r="I430" s="12" t="n">
        <v>46448</v>
      </c>
      <c r="J430" s="3">
        <f>_xlfn.XLOOKUP(TEXT($I430,"yyyy-mm-dd")&amp;"|"&amp;""&amp;"|"&amp;"",tblExcepciones[clave],tblExcepciones[habil],_xlfn.XLOOKUP(TEXT($I430,"yyyy-mm-dd")&amp;"|"&amp;""&amp;"|",tblExcepciones[clave],tblExcepciones[habil],_xlfn.XLOOKUP(TEXT($I430,"yyyy-mm-dd")&amp;"||",tblExcepciones[clave],tblExcepciones[habil],INDEX(patronHabil,WEEKDAY($I430,2)))))</f>
        <v/>
      </c>
    </row>
    <row r="431">
      <c r="I431" s="12" t="n">
        <v>46449</v>
      </c>
      <c r="J431" s="3">
        <f>_xlfn.XLOOKUP(TEXT($I431,"yyyy-mm-dd")&amp;"|"&amp;""&amp;"|"&amp;"",tblExcepciones[clave],tblExcepciones[habil],_xlfn.XLOOKUP(TEXT($I431,"yyyy-mm-dd")&amp;"|"&amp;""&amp;"|",tblExcepciones[clave],tblExcepciones[habil],_xlfn.XLOOKUP(TEXT($I431,"yyyy-mm-dd")&amp;"||",tblExcepciones[clave],tblExcepciones[habil],INDEX(patronHabil,WEEKDAY($I431,2)))))</f>
        <v/>
      </c>
    </row>
    <row r="432">
      <c r="I432" s="12" t="n">
        <v>46450</v>
      </c>
      <c r="J432" s="3">
        <f>_xlfn.XLOOKUP(TEXT($I432,"yyyy-mm-dd")&amp;"|"&amp;""&amp;"|"&amp;"",tblExcepciones[clave],tblExcepciones[habil],_xlfn.XLOOKUP(TEXT($I432,"yyyy-mm-dd")&amp;"|"&amp;""&amp;"|",tblExcepciones[clave],tblExcepciones[habil],_xlfn.XLOOKUP(TEXT($I432,"yyyy-mm-dd")&amp;"||",tblExcepciones[clave],tblExcepciones[habil],INDEX(patronHabil,WEEKDAY($I432,2)))))</f>
        <v/>
      </c>
    </row>
    <row r="433">
      <c r="I433" s="12" t="n">
        <v>46451</v>
      </c>
      <c r="J433" s="3">
        <f>_xlfn.XLOOKUP(TEXT($I433,"yyyy-mm-dd")&amp;"|"&amp;""&amp;"|"&amp;"",tblExcepciones[clave],tblExcepciones[habil],_xlfn.XLOOKUP(TEXT($I433,"yyyy-mm-dd")&amp;"|"&amp;""&amp;"|",tblExcepciones[clave],tblExcepciones[habil],_xlfn.XLOOKUP(TEXT($I433,"yyyy-mm-dd")&amp;"||",tblExcepciones[clave],tblExcepciones[habil],INDEX(patronHabil,WEEKDAY($I433,2)))))</f>
        <v/>
      </c>
    </row>
    <row r="434">
      <c r="I434" s="12" t="n">
        <v>46452</v>
      </c>
      <c r="J434" s="3">
        <f>_xlfn.XLOOKUP(TEXT($I434,"yyyy-mm-dd")&amp;"|"&amp;""&amp;"|"&amp;"",tblExcepciones[clave],tblExcepciones[habil],_xlfn.XLOOKUP(TEXT($I434,"yyyy-mm-dd")&amp;"|"&amp;""&amp;"|",tblExcepciones[clave],tblExcepciones[habil],_xlfn.XLOOKUP(TEXT($I434,"yyyy-mm-dd")&amp;"||",tblExcepciones[clave],tblExcepciones[habil],INDEX(patronHabil,WEEKDAY($I434,2)))))</f>
        <v/>
      </c>
    </row>
    <row r="435">
      <c r="I435" s="12" t="n">
        <v>46453</v>
      </c>
      <c r="J435" s="3">
        <f>_xlfn.XLOOKUP(TEXT($I435,"yyyy-mm-dd")&amp;"|"&amp;""&amp;"|"&amp;"",tblExcepciones[clave],tblExcepciones[habil],_xlfn.XLOOKUP(TEXT($I435,"yyyy-mm-dd")&amp;"|"&amp;""&amp;"|",tblExcepciones[clave],tblExcepciones[habil],_xlfn.XLOOKUP(TEXT($I435,"yyyy-mm-dd")&amp;"||",tblExcepciones[clave],tblExcepciones[habil],INDEX(patronHabil,WEEKDAY($I435,2)))))</f>
        <v/>
      </c>
    </row>
    <row r="436">
      <c r="I436" s="12" t="n">
        <v>46454</v>
      </c>
      <c r="J436" s="3">
        <f>_xlfn.XLOOKUP(TEXT($I436,"yyyy-mm-dd")&amp;"|"&amp;""&amp;"|"&amp;"",tblExcepciones[clave],tblExcepciones[habil],_xlfn.XLOOKUP(TEXT($I436,"yyyy-mm-dd")&amp;"|"&amp;""&amp;"|",tblExcepciones[clave],tblExcepciones[habil],_xlfn.XLOOKUP(TEXT($I436,"yyyy-mm-dd")&amp;"||",tblExcepciones[clave],tblExcepciones[habil],INDEX(patronHabil,WEEKDAY($I436,2)))))</f>
        <v/>
      </c>
    </row>
    <row r="437">
      <c r="I437" s="12" t="n">
        <v>46455</v>
      </c>
      <c r="J437" s="3">
        <f>_xlfn.XLOOKUP(TEXT($I437,"yyyy-mm-dd")&amp;"|"&amp;""&amp;"|"&amp;"",tblExcepciones[clave],tblExcepciones[habil],_xlfn.XLOOKUP(TEXT($I437,"yyyy-mm-dd")&amp;"|"&amp;""&amp;"|",tblExcepciones[clave],tblExcepciones[habil],_xlfn.XLOOKUP(TEXT($I437,"yyyy-mm-dd")&amp;"||",tblExcepciones[clave],tblExcepciones[habil],INDEX(patronHabil,WEEKDAY($I437,2)))))</f>
        <v/>
      </c>
    </row>
    <row r="438">
      <c r="I438" s="12" t="n">
        <v>46456</v>
      </c>
      <c r="J438" s="3">
        <f>_xlfn.XLOOKUP(TEXT($I438,"yyyy-mm-dd")&amp;"|"&amp;""&amp;"|"&amp;"",tblExcepciones[clave],tblExcepciones[habil],_xlfn.XLOOKUP(TEXT($I438,"yyyy-mm-dd")&amp;"|"&amp;""&amp;"|",tblExcepciones[clave],tblExcepciones[habil],_xlfn.XLOOKUP(TEXT($I438,"yyyy-mm-dd")&amp;"||",tblExcepciones[clave],tblExcepciones[habil],INDEX(patronHabil,WEEKDAY($I438,2)))))</f>
        <v/>
      </c>
    </row>
    <row r="439">
      <c r="I439" s="12" t="n">
        <v>46457</v>
      </c>
      <c r="J439" s="3">
        <f>_xlfn.XLOOKUP(TEXT($I439,"yyyy-mm-dd")&amp;"|"&amp;""&amp;"|"&amp;"",tblExcepciones[clave],tblExcepciones[habil],_xlfn.XLOOKUP(TEXT($I439,"yyyy-mm-dd")&amp;"|"&amp;""&amp;"|",tblExcepciones[clave],tblExcepciones[habil],_xlfn.XLOOKUP(TEXT($I439,"yyyy-mm-dd")&amp;"||",tblExcepciones[clave],tblExcepciones[habil],INDEX(patronHabil,WEEKDAY($I439,2)))))</f>
        <v/>
      </c>
    </row>
    <row r="440">
      <c r="I440" s="12" t="n">
        <v>46458</v>
      </c>
      <c r="J440" s="3">
        <f>_xlfn.XLOOKUP(TEXT($I440,"yyyy-mm-dd")&amp;"|"&amp;""&amp;"|"&amp;"",tblExcepciones[clave],tblExcepciones[habil],_xlfn.XLOOKUP(TEXT($I440,"yyyy-mm-dd")&amp;"|"&amp;""&amp;"|",tblExcepciones[clave],tblExcepciones[habil],_xlfn.XLOOKUP(TEXT($I440,"yyyy-mm-dd")&amp;"||",tblExcepciones[clave],tblExcepciones[habil],INDEX(patronHabil,WEEKDAY($I440,2)))))</f>
        <v/>
      </c>
    </row>
    <row r="441">
      <c r="I441" s="12" t="n">
        <v>46459</v>
      </c>
      <c r="J441" s="3">
        <f>_xlfn.XLOOKUP(TEXT($I441,"yyyy-mm-dd")&amp;"|"&amp;""&amp;"|"&amp;"",tblExcepciones[clave],tblExcepciones[habil],_xlfn.XLOOKUP(TEXT($I441,"yyyy-mm-dd")&amp;"|"&amp;""&amp;"|",tblExcepciones[clave],tblExcepciones[habil],_xlfn.XLOOKUP(TEXT($I441,"yyyy-mm-dd")&amp;"||",tblExcepciones[clave],tblExcepciones[habil],INDEX(patronHabil,WEEKDAY($I441,2)))))</f>
        <v/>
      </c>
    </row>
    <row r="442">
      <c r="I442" s="12" t="n">
        <v>46460</v>
      </c>
      <c r="J442" s="3">
        <f>_xlfn.XLOOKUP(TEXT($I442,"yyyy-mm-dd")&amp;"|"&amp;""&amp;"|"&amp;"",tblExcepciones[clave],tblExcepciones[habil],_xlfn.XLOOKUP(TEXT($I442,"yyyy-mm-dd")&amp;"|"&amp;""&amp;"|",tblExcepciones[clave],tblExcepciones[habil],_xlfn.XLOOKUP(TEXT($I442,"yyyy-mm-dd")&amp;"||",tblExcepciones[clave],tblExcepciones[habil],INDEX(patronHabil,WEEKDAY($I442,2)))))</f>
        <v/>
      </c>
    </row>
    <row r="443">
      <c r="I443" s="12" t="n">
        <v>46461</v>
      </c>
      <c r="J443" s="3">
        <f>_xlfn.XLOOKUP(TEXT($I443,"yyyy-mm-dd")&amp;"|"&amp;""&amp;"|"&amp;"",tblExcepciones[clave],tblExcepciones[habil],_xlfn.XLOOKUP(TEXT($I443,"yyyy-mm-dd")&amp;"|"&amp;""&amp;"|",tblExcepciones[clave],tblExcepciones[habil],_xlfn.XLOOKUP(TEXT($I443,"yyyy-mm-dd")&amp;"||",tblExcepciones[clave],tblExcepciones[habil],INDEX(patronHabil,WEEKDAY($I443,2)))))</f>
        <v/>
      </c>
    </row>
    <row r="444">
      <c r="I444" s="12" t="n">
        <v>46462</v>
      </c>
      <c r="J444" s="3">
        <f>_xlfn.XLOOKUP(TEXT($I444,"yyyy-mm-dd")&amp;"|"&amp;""&amp;"|"&amp;"",tblExcepciones[clave],tblExcepciones[habil],_xlfn.XLOOKUP(TEXT($I444,"yyyy-mm-dd")&amp;"|"&amp;""&amp;"|",tblExcepciones[clave],tblExcepciones[habil],_xlfn.XLOOKUP(TEXT($I444,"yyyy-mm-dd")&amp;"||",tblExcepciones[clave],tblExcepciones[habil],INDEX(patronHabil,WEEKDAY($I444,2)))))</f>
        <v/>
      </c>
    </row>
    <row r="445">
      <c r="I445" s="12" t="n">
        <v>46463</v>
      </c>
      <c r="J445" s="3">
        <f>_xlfn.XLOOKUP(TEXT($I445,"yyyy-mm-dd")&amp;"|"&amp;""&amp;"|"&amp;"",tblExcepciones[clave],tblExcepciones[habil],_xlfn.XLOOKUP(TEXT($I445,"yyyy-mm-dd")&amp;"|"&amp;""&amp;"|",tblExcepciones[clave],tblExcepciones[habil],_xlfn.XLOOKUP(TEXT($I445,"yyyy-mm-dd")&amp;"||",tblExcepciones[clave],tblExcepciones[habil],INDEX(patronHabil,WEEKDAY($I445,2)))))</f>
        <v/>
      </c>
    </row>
    <row r="446">
      <c r="I446" s="12" t="n">
        <v>46464</v>
      </c>
      <c r="J446" s="3">
        <f>_xlfn.XLOOKUP(TEXT($I446,"yyyy-mm-dd")&amp;"|"&amp;""&amp;"|"&amp;"",tblExcepciones[clave],tblExcepciones[habil],_xlfn.XLOOKUP(TEXT($I446,"yyyy-mm-dd")&amp;"|"&amp;""&amp;"|",tblExcepciones[clave],tblExcepciones[habil],_xlfn.XLOOKUP(TEXT($I446,"yyyy-mm-dd")&amp;"||",tblExcepciones[clave],tblExcepciones[habil],INDEX(patronHabil,WEEKDAY($I446,2)))))</f>
        <v/>
      </c>
    </row>
    <row r="447">
      <c r="I447" s="12" t="n">
        <v>46465</v>
      </c>
      <c r="J447" s="3">
        <f>_xlfn.XLOOKUP(TEXT($I447,"yyyy-mm-dd")&amp;"|"&amp;""&amp;"|"&amp;"",tblExcepciones[clave],tblExcepciones[habil],_xlfn.XLOOKUP(TEXT($I447,"yyyy-mm-dd")&amp;"|"&amp;""&amp;"|",tblExcepciones[clave],tblExcepciones[habil],_xlfn.XLOOKUP(TEXT($I447,"yyyy-mm-dd")&amp;"||",tblExcepciones[clave],tblExcepciones[habil],INDEX(patronHabil,WEEKDAY($I447,2)))))</f>
        <v/>
      </c>
    </row>
    <row r="448">
      <c r="I448" s="12" t="n">
        <v>46466</v>
      </c>
      <c r="J448" s="3">
        <f>_xlfn.XLOOKUP(TEXT($I448,"yyyy-mm-dd")&amp;"|"&amp;""&amp;"|"&amp;"",tblExcepciones[clave],tblExcepciones[habil],_xlfn.XLOOKUP(TEXT($I448,"yyyy-mm-dd")&amp;"|"&amp;""&amp;"|",tblExcepciones[clave],tblExcepciones[habil],_xlfn.XLOOKUP(TEXT($I448,"yyyy-mm-dd")&amp;"||",tblExcepciones[clave],tblExcepciones[habil],INDEX(patronHabil,WEEKDAY($I448,2)))))</f>
        <v/>
      </c>
    </row>
    <row r="449">
      <c r="I449" s="12" t="n">
        <v>46467</v>
      </c>
      <c r="J449" s="3">
        <f>_xlfn.XLOOKUP(TEXT($I449,"yyyy-mm-dd")&amp;"|"&amp;""&amp;"|"&amp;"",tblExcepciones[clave],tblExcepciones[habil],_xlfn.XLOOKUP(TEXT($I449,"yyyy-mm-dd")&amp;"|"&amp;""&amp;"|",tblExcepciones[clave],tblExcepciones[habil],_xlfn.XLOOKUP(TEXT($I449,"yyyy-mm-dd")&amp;"||",tblExcepciones[clave],tblExcepciones[habil],INDEX(patronHabil,WEEKDAY($I449,2)))))</f>
        <v/>
      </c>
    </row>
    <row r="450">
      <c r="I450" s="12" t="n">
        <v>46468</v>
      </c>
      <c r="J450" s="3">
        <f>_xlfn.XLOOKUP(TEXT($I450,"yyyy-mm-dd")&amp;"|"&amp;""&amp;"|"&amp;"",tblExcepciones[clave],tblExcepciones[habil],_xlfn.XLOOKUP(TEXT($I450,"yyyy-mm-dd")&amp;"|"&amp;""&amp;"|",tblExcepciones[clave],tblExcepciones[habil],_xlfn.XLOOKUP(TEXT($I450,"yyyy-mm-dd")&amp;"||",tblExcepciones[clave],tblExcepciones[habil],INDEX(patronHabil,WEEKDAY($I450,2)))))</f>
        <v/>
      </c>
    </row>
    <row r="451">
      <c r="I451" s="12" t="n">
        <v>46469</v>
      </c>
      <c r="J451" s="3">
        <f>_xlfn.XLOOKUP(TEXT($I451,"yyyy-mm-dd")&amp;"|"&amp;""&amp;"|"&amp;"",tblExcepciones[clave],tblExcepciones[habil],_xlfn.XLOOKUP(TEXT($I451,"yyyy-mm-dd")&amp;"|"&amp;""&amp;"|",tblExcepciones[clave],tblExcepciones[habil],_xlfn.XLOOKUP(TEXT($I451,"yyyy-mm-dd")&amp;"||",tblExcepciones[clave],tblExcepciones[habil],INDEX(patronHabil,WEEKDAY($I451,2)))))</f>
        <v/>
      </c>
    </row>
    <row r="452">
      <c r="I452" s="12" t="n">
        <v>46470</v>
      </c>
      <c r="J452" s="3">
        <f>_xlfn.XLOOKUP(TEXT($I452,"yyyy-mm-dd")&amp;"|"&amp;""&amp;"|"&amp;"",tblExcepciones[clave],tblExcepciones[habil],_xlfn.XLOOKUP(TEXT($I452,"yyyy-mm-dd")&amp;"|"&amp;""&amp;"|",tblExcepciones[clave],tblExcepciones[habil],_xlfn.XLOOKUP(TEXT($I452,"yyyy-mm-dd")&amp;"||",tblExcepciones[clave],tblExcepciones[habil],INDEX(patronHabil,WEEKDAY($I452,2)))))</f>
        <v/>
      </c>
    </row>
    <row r="453">
      <c r="I453" s="12" t="n">
        <v>46471</v>
      </c>
      <c r="J453" s="3">
        <f>_xlfn.XLOOKUP(TEXT($I453,"yyyy-mm-dd")&amp;"|"&amp;""&amp;"|"&amp;"",tblExcepciones[clave],tblExcepciones[habil],_xlfn.XLOOKUP(TEXT($I453,"yyyy-mm-dd")&amp;"|"&amp;""&amp;"|",tblExcepciones[clave],tblExcepciones[habil],_xlfn.XLOOKUP(TEXT($I453,"yyyy-mm-dd")&amp;"||",tblExcepciones[clave],tblExcepciones[habil],INDEX(patronHabil,WEEKDAY($I453,2)))))</f>
        <v/>
      </c>
    </row>
    <row r="454">
      <c r="I454" s="12" t="n">
        <v>46472</v>
      </c>
      <c r="J454" s="3">
        <f>_xlfn.XLOOKUP(TEXT($I454,"yyyy-mm-dd")&amp;"|"&amp;""&amp;"|"&amp;"",tblExcepciones[clave],tblExcepciones[habil],_xlfn.XLOOKUP(TEXT($I454,"yyyy-mm-dd")&amp;"|"&amp;""&amp;"|",tblExcepciones[clave],tblExcepciones[habil],_xlfn.XLOOKUP(TEXT($I454,"yyyy-mm-dd")&amp;"||",tblExcepciones[clave],tblExcepciones[habil],INDEX(patronHabil,WEEKDAY($I454,2)))))</f>
        <v/>
      </c>
    </row>
    <row r="455">
      <c r="I455" s="12" t="n">
        <v>46473</v>
      </c>
      <c r="J455" s="3">
        <f>_xlfn.XLOOKUP(TEXT($I455,"yyyy-mm-dd")&amp;"|"&amp;""&amp;"|"&amp;"",tblExcepciones[clave],tblExcepciones[habil],_xlfn.XLOOKUP(TEXT($I455,"yyyy-mm-dd")&amp;"|"&amp;""&amp;"|",tblExcepciones[clave],tblExcepciones[habil],_xlfn.XLOOKUP(TEXT($I455,"yyyy-mm-dd")&amp;"||",tblExcepciones[clave],tblExcepciones[habil],INDEX(patronHabil,WEEKDAY($I455,2)))))</f>
        <v/>
      </c>
    </row>
    <row r="456">
      <c r="I456" s="12" t="n">
        <v>46474</v>
      </c>
      <c r="J456" s="3">
        <f>_xlfn.XLOOKUP(TEXT($I456,"yyyy-mm-dd")&amp;"|"&amp;""&amp;"|"&amp;"",tblExcepciones[clave],tblExcepciones[habil],_xlfn.XLOOKUP(TEXT($I456,"yyyy-mm-dd")&amp;"|"&amp;""&amp;"|",tblExcepciones[clave],tblExcepciones[habil],_xlfn.XLOOKUP(TEXT($I456,"yyyy-mm-dd")&amp;"||",tblExcepciones[clave],tblExcepciones[habil],INDEX(patronHabil,WEEKDAY($I456,2)))))</f>
        <v/>
      </c>
    </row>
    <row r="457">
      <c r="I457" s="12" t="n">
        <v>46475</v>
      </c>
      <c r="J457" s="3">
        <f>_xlfn.XLOOKUP(TEXT($I457,"yyyy-mm-dd")&amp;"|"&amp;""&amp;"|"&amp;"",tblExcepciones[clave],tblExcepciones[habil],_xlfn.XLOOKUP(TEXT($I457,"yyyy-mm-dd")&amp;"|"&amp;""&amp;"|",tblExcepciones[clave],tblExcepciones[habil],_xlfn.XLOOKUP(TEXT($I457,"yyyy-mm-dd")&amp;"||",tblExcepciones[clave],tblExcepciones[habil],INDEX(patronHabil,WEEKDAY($I457,2)))))</f>
        <v/>
      </c>
    </row>
    <row r="458">
      <c r="I458" s="12" t="n">
        <v>46476</v>
      </c>
      <c r="J458" s="3">
        <f>_xlfn.XLOOKUP(TEXT($I458,"yyyy-mm-dd")&amp;"|"&amp;""&amp;"|"&amp;"",tblExcepciones[clave],tblExcepciones[habil],_xlfn.XLOOKUP(TEXT($I458,"yyyy-mm-dd")&amp;"|"&amp;""&amp;"|",tblExcepciones[clave],tblExcepciones[habil],_xlfn.XLOOKUP(TEXT($I458,"yyyy-mm-dd")&amp;"||",tblExcepciones[clave],tblExcepciones[habil],INDEX(patronHabil,WEEKDAY($I458,2)))))</f>
        <v/>
      </c>
    </row>
    <row r="459">
      <c r="I459" s="12" t="n">
        <v>46477</v>
      </c>
      <c r="J459" s="3">
        <f>_xlfn.XLOOKUP(TEXT($I459,"yyyy-mm-dd")&amp;"|"&amp;""&amp;"|"&amp;"",tblExcepciones[clave],tblExcepciones[habil],_xlfn.XLOOKUP(TEXT($I459,"yyyy-mm-dd")&amp;"|"&amp;""&amp;"|",tblExcepciones[clave],tblExcepciones[habil],_xlfn.XLOOKUP(TEXT($I459,"yyyy-mm-dd")&amp;"||",tblExcepciones[clave],tblExcepciones[habil],INDEX(patronHabil,WEEKDAY($I459,2)))))</f>
        <v/>
      </c>
    </row>
    <row r="460">
      <c r="I460" s="12" t="n">
        <v>46478</v>
      </c>
      <c r="J460" s="3">
        <f>_xlfn.XLOOKUP(TEXT($I460,"yyyy-mm-dd")&amp;"|"&amp;""&amp;"|"&amp;"",tblExcepciones[clave],tblExcepciones[habil],_xlfn.XLOOKUP(TEXT($I460,"yyyy-mm-dd")&amp;"|"&amp;""&amp;"|",tblExcepciones[clave],tblExcepciones[habil],_xlfn.XLOOKUP(TEXT($I460,"yyyy-mm-dd")&amp;"||",tblExcepciones[clave],tblExcepciones[habil],INDEX(patronHabil,WEEKDAY($I460,2)))))</f>
        <v/>
      </c>
    </row>
    <row r="461">
      <c r="I461" s="12" t="n">
        <v>46479</v>
      </c>
      <c r="J461" s="3">
        <f>_xlfn.XLOOKUP(TEXT($I461,"yyyy-mm-dd")&amp;"|"&amp;""&amp;"|"&amp;"",tblExcepciones[clave],tblExcepciones[habil],_xlfn.XLOOKUP(TEXT($I461,"yyyy-mm-dd")&amp;"|"&amp;""&amp;"|",tblExcepciones[clave],tblExcepciones[habil],_xlfn.XLOOKUP(TEXT($I461,"yyyy-mm-dd")&amp;"||",tblExcepciones[clave],tblExcepciones[habil],INDEX(patronHabil,WEEKDAY($I461,2)))))</f>
        <v/>
      </c>
    </row>
    <row r="462">
      <c r="I462" s="12" t="n">
        <v>46480</v>
      </c>
      <c r="J462" s="3">
        <f>_xlfn.XLOOKUP(TEXT($I462,"yyyy-mm-dd")&amp;"|"&amp;""&amp;"|"&amp;"",tblExcepciones[clave],tblExcepciones[habil],_xlfn.XLOOKUP(TEXT($I462,"yyyy-mm-dd")&amp;"|"&amp;""&amp;"|",tblExcepciones[clave],tblExcepciones[habil],_xlfn.XLOOKUP(TEXT($I462,"yyyy-mm-dd")&amp;"||",tblExcepciones[clave],tblExcepciones[habil],INDEX(patronHabil,WEEKDAY($I462,2)))))</f>
        <v/>
      </c>
    </row>
    <row r="463">
      <c r="I463" s="12" t="n">
        <v>46481</v>
      </c>
      <c r="J463" s="3">
        <f>_xlfn.XLOOKUP(TEXT($I463,"yyyy-mm-dd")&amp;"|"&amp;""&amp;"|"&amp;"",tblExcepciones[clave],tblExcepciones[habil],_xlfn.XLOOKUP(TEXT($I463,"yyyy-mm-dd")&amp;"|"&amp;""&amp;"|",tblExcepciones[clave],tblExcepciones[habil],_xlfn.XLOOKUP(TEXT($I463,"yyyy-mm-dd")&amp;"||",tblExcepciones[clave],tblExcepciones[habil],INDEX(patronHabil,WEEKDAY($I463,2)))))</f>
        <v/>
      </c>
    </row>
    <row r="464">
      <c r="I464" s="12" t="n">
        <v>46482</v>
      </c>
      <c r="J464" s="3">
        <f>_xlfn.XLOOKUP(TEXT($I464,"yyyy-mm-dd")&amp;"|"&amp;""&amp;"|"&amp;"",tblExcepciones[clave],tblExcepciones[habil],_xlfn.XLOOKUP(TEXT($I464,"yyyy-mm-dd")&amp;"|"&amp;""&amp;"|",tblExcepciones[clave],tblExcepciones[habil],_xlfn.XLOOKUP(TEXT($I464,"yyyy-mm-dd")&amp;"||",tblExcepciones[clave],tblExcepciones[habil],INDEX(patronHabil,WEEKDAY($I464,2)))))</f>
        <v/>
      </c>
    </row>
    <row r="465">
      <c r="I465" s="12" t="n">
        <v>46483</v>
      </c>
      <c r="J465" s="3">
        <f>_xlfn.XLOOKUP(TEXT($I465,"yyyy-mm-dd")&amp;"|"&amp;""&amp;"|"&amp;"",tblExcepciones[clave],tblExcepciones[habil],_xlfn.XLOOKUP(TEXT($I465,"yyyy-mm-dd")&amp;"|"&amp;""&amp;"|",tblExcepciones[clave],tblExcepciones[habil],_xlfn.XLOOKUP(TEXT($I465,"yyyy-mm-dd")&amp;"||",tblExcepciones[clave],tblExcepciones[habil],INDEX(patronHabil,WEEKDAY($I465,2)))))</f>
        <v/>
      </c>
    </row>
    <row r="466">
      <c r="I466" s="12" t="n">
        <v>46484</v>
      </c>
      <c r="J466" s="3">
        <f>_xlfn.XLOOKUP(TEXT($I466,"yyyy-mm-dd")&amp;"|"&amp;""&amp;"|"&amp;"",tblExcepciones[clave],tblExcepciones[habil],_xlfn.XLOOKUP(TEXT($I466,"yyyy-mm-dd")&amp;"|"&amp;""&amp;"|",tblExcepciones[clave],tblExcepciones[habil],_xlfn.XLOOKUP(TEXT($I466,"yyyy-mm-dd")&amp;"||",tblExcepciones[clave],tblExcepciones[habil],INDEX(patronHabil,WEEKDAY($I466,2)))))</f>
        <v/>
      </c>
    </row>
    <row r="467">
      <c r="I467" s="12" t="n">
        <v>46485</v>
      </c>
      <c r="J467" s="3">
        <f>_xlfn.XLOOKUP(TEXT($I467,"yyyy-mm-dd")&amp;"|"&amp;""&amp;"|"&amp;"",tblExcepciones[clave],tblExcepciones[habil],_xlfn.XLOOKUP(TEXT($I467,"yyyy-mm-dd")&amp;"|"&amp;""&amp;"|",tblExcepciones[clave],tblExcepciones[habil],_xlfn.XLOOKUP(TEXT($I467,"yyyy-mm-dd")&amp;"||",tblExcepciones[clave],tblExcepciones[habil],INDEX(patronHabil,WEEKDAY($I467,2)))))</f>
        <v/>
      </c>
    </row>
    <row r="468">
      <c r="I468" s="12" t="n">
        <v>46486</v>
      </c>
      <c r="J468" s="3">
        <f>_xlfn.XLOOKUP(TEXT($I468,"yyyy-mm-dd")&amp;"|"&amp;""&amp;"|"&amp;"",tblExcepciones[clave],tblExcepciones[habil],_xlfn.XLOOKUP(TEXT($I468,"yyyy-mm-dd")&amp;"|"&amp;""&amp;"|",tblExcepciones[clave],tblExcepciones[habil],_xlfn.XLOOKUP(TEXT($I468,"yyyy-mm-dd")&amp;"||",tblExcepciones[clave],tblExcepciones[habil],INDEX(patronHabil,WEEKDAY($I468,2)))))</f>
        <v/>
      </c>
    </row>
    <row r="469">
      <c r="I469" s="12" t="n">
        <v>46487</v>
      </c>
      <c r="J469" s="3">
        <f>_xlfn.XLOOKUP(TEXT($I469,"yyyy-mm-dd")&amp;"|"&amp;""&amp;"|"&amp;"",tblExcepciones[clave],tblExcepciones[habil],_xlfn.XLOOKUP(TEXT($I469,"yyyy-mm-dd")&amp;"|"&amp;""&amp;"|",tblExcepciones[clave],tblExcepciones[habil],_xlfn.XLOOKUP(TEXT($I469,"yyyy-mm-dd")&amp;"||",tblExcepciones[clave],tblExcepciones[habil],INDEX(patronHabil,WEEKDAY($I469,2)))))</f>
        <v/>
      </c>
    </row>
    <row r="470">
      <c r="I470" s="12" t="n">
        <v>46488</v>
      </c>
      <c r="J470" s="3">
        <f>_xlfn.XLOOKUP(TEXT($I470,"yyyy-mm-dd")&amp;"|"&amp;""&amp;"|"&amp;"",tblExcepciones[clave],tblExcepciones[habil],_xlfn.XLOOKUP(TEXT($I470,"yyyy-mm-dd")&amp;"|"&amp;""&amp;"|",tblExcepciones[clave],tblExcepciones[habil],_xlfn.XLOOKUP(TEXT($I470,"yyyy-mm-dd")&amp;"||",tblExcepciones[clave],tblExcepciones[habil],INDEX(patronHabil,WEEKDAY($I470,2)))))</f>
        <v/>
      </c>
    </row>
    <row r="471">
      <c r="I471" s="12" t="n">
        <v>46489</v>
      </c>
      <c r="J471" s="3">
        <f>_xlfn.XLOOKUP(TEXT($I471,"yyyy-mm-dd")&amp;"|"&amp;""&amp;"|"&amp;"",tblExcepciones[clave],tblExcepciones[habil],_xlfn.XLOOKUP(TEXT($I471,"yyyy-mm-dd")&amp;"|"&amp;""&amp;"|",tblExcepciones[clave],tblExcepciones[habil],_xlfn.XLOOKUP(TEXT($I471,"yyyy-mm-dd")&amp;"||",tblExcepciones[clave],tblExcepciones[habil],INDEX(patronHabil,WEEKDAY($I471,2)))))</f>
        <v/>
      </c>
    </row>
    <row r="472">
      <c r="I472" s="12" t="n">
        <v>46490</v>
      </c>
      <c r="J472" s="3">
        <f>_xlfn.XLOOKUP(TEXT($I472,"yyyy-mm-dd")&amp;"|"&amp;""&amp;"|"&amp;"",tblExcepciones[clave],tblExcepciones[habil],_xlfn.XLOOKUP(TEXT($I472,"yyyy-mm-dd")&amp;"|"&amp;""&amp;"|",tblExcepciones[clave],tblExcepciones[habil],_xlfn.XLOOKUP(TEXT($I472,"yyyy-mm-dd")&amp;"||",tblExcepciones[clave],tblExcepciones[habil],INDEX(patronHabil,WEEKDAY($I472,2)))))</f>
        <v/>
      </c>
    </row>
    <row r="473">
      <c r="I473" s="12" t="n">
        <v>46491</v>
      </c>
      <c r="J473" s="3">
        <f>_xlfn.XLOOKUP(TEXT($I473,"yyyy-mm-dd")&amp;"|"&amp;""&amp;"|"&amp;"",tblExcepciones[clave],tblExcepciones[habil],_xlfn.XLOOKUP(TEXT($I473,"yyyy-mm-dd")&amp;"|"&amp;""&amp;"|",tblExcepciones[clave],tblExcepciones[habil],_xlfn.XLOOKUP(TEXT($I473,"yyyy-mm-dd")&amp;"||",tblExcepciones[clave],tblExcepciones[habil],INDEX(patronHabil,WEEKDAY($I473,2)))))</f>
        <v/>
      </c>
    </row>
    <row r="474">
      <c r="I474" s="12" t="n">
        <v>46492</v>
      </c>
      <c r="J474" s="3">
        <f>_xlfn.XLOOKUP(TEXT($I474,"yyyy-mm-dd")&amp;"|"&amp;""&amp;"|"&amp;"",tblExcepciones[clave],tblExcepciones[habil],_xlfn.XLOOKUP(TEXT($I474,"yyyy-mm-dd")&amp;"|"&amp;""&amp;"|",tblExcepciones[clave],tblExcepciones[habil],_xlfn.XLOOKUP(TEXT($I474,"yyyy-mm-dd")&amp;"||",tblExcepciones[clave],tblExcepciones[habil],INDEX(patronHabil,WEEKDAY($I474,2)))))</f>
        <v/>
      </c>
    </row>
    <row r="475">
      <c r="I475" s="12" t="n">
        <v>46493</v>
      </c>
      <c r="J475" s="3">
        <f>_xlfn.XLOOKUP(TEXT($I475,"yyyy-mm-dd")&amp;"|"&amp;""&amp;"|"&amp;"",tblExcepciones[clave],tblExcepciones[habil],_xlfn.XLOOKUP(TEXT($I475,"yyyy-mm-dd")&amp;"|"&amp;""&amp;"|",tblExcepciones[clave],tblExcepciones[habil],_xlfn.XLOOKUP(TEXT($I475,"yyyy-mm-dd")&amp;"||",tblExcepciones[clave],tblExcepciones[habil],INDEX(patronHabil,WEEKDAY($I475,2)))))</f>
        <v/>
      </c>
    </row>
    <row r="476">
      <c r="I476" s="12" t="n">
        <v>46494</v>
      </c>
      <c r="J476" s="3">
        <f>_xlfn.XLOOKUP(TEXT($I476,"yyyy-mm-dd")&amp;"|"&amp;""&amp;"|"&amp;"",tblExcepciones[clave],tblExcepciones[habil],_xlfn.XLOOKUP(TEXT($I476,"yyyy-mm-dd")&amp;"|"&amp;""&amp;"|",tblExcepciones[clave],tblExcepciones[habil],_xlfn.XLOOKUP(TEXT($I476,"yyyy-mm-dd")&amp;"||",tblExcepciones[clave],tblExcepciones[habil],INDEX(patronHabil,WEEKDAY($I476,2)))))</f>
        <v/>
      </c>
    </row>
    <row r="477">
      <c r="I477" s="12" t="n">
        <v>46495</v>
      </c>
      <c r="J477" s="3">
        <f>_xlfn.XLOOKUP(TEXT($I477,"yyyy-mm-dd")&amp;"|"&amp;""&amp;"|"&amp;"",tblExcepciones[clave],tblExcepciones[habil],_xlfn.XLOOKUP(TEXT($I477,"yyyy-mm-dd")&amp;"|"&amp;""&amp;"|",tblExcepciones[clave],tblExcepciones[habil],_xlfn.XLOOKUP(TEXT($I477,"yyyy-mm-dd")&amp;"||",tblExcepciones[clave],tblExcepciones[habil],INDEX(patronHabil,WEEKDAY($I477,2)))))</f>
        <v/>
      </c>
    </row>
    <row r="478">
      <c r="I478" s="12" t="n">
        <v>46496</v>
      </c>
      <c r="J478" s="3">
        <f>_xlfn.XLOOKUP(TEXT($I478,"yyyy-mm-dd")&amp;"|"&amp;""&amp;"|"&amp;"",tblExcepciones[clave],tblExcepciones[habil],_xlfn.XLOOKUP(TEXT($I478,"yyyy-mm-dd")&amp;"|"&amp;""&amp;"|",tblExcepciones[clave],tblExcepciones[habil],_xlfn.XLOOKUP(TEXT($I478,"yyyy-mm-dd")&amp;"||",tblExcepciones[clave],tblExcepciones[habil],INDEX(patronHabil,WEEKDAY($I478,2)))))</f>
        <v/>
      </c>
    </row>
    <row r="479">
      <c r="I479" s="12" t="n">
        <v>46497</v>
      </c>
      <c r="J479" s="3">
        <f>_xlfn.XLOOKUP(TEXT($I479,"yyyy-mm-dd")&amp;"|"&amp;""&amp;"|"&amp;"",tblExcepciones[clave],tblExcepciones[habil],_xlfn.XLOOKUP(TEXT($I479,"yyyy-mm-dd")&amp;"|"&amp;""&amp;"|",tblExcepciones[clave],tblExcepciones[habil],_xlfn.XLOOKUP(TEXT($I479,"yyyy-mm-dd")&amp;"||",tblExcepciones[clave],tblExcepciones[habil],INDEX(patronHabil,WEEKDAY($I479,2)))))</f>
        <v/>
      </c>
    </row>
    <row r="480">
      <c r="I480" s="12" t="n">
        <v>46498</v>
      </c>
      <c r="J480" s="3">
        <f>_xlfn.XLOOKUP(TEXT($I480,"yyyy-mm-dd")&amp;"|"&amp;""&amp;"|"&amp;"",tblExcepciones[clave],tblExcepciones[habil],_xlfn.XLOOKUP(TEXT($I480,"yyyy-mm-dd")&amp;"|"&amp;""&amp;"|",tblExcepciones[clave],tblExcepciones[habil],_xlfn.XLOOKUP(TEXT($I480,"yyyy-mm-dd")&amp;"||",tblExcepciones[clave],tblExcepciones[habil],INDEX(patronHabil,WEEKDAY($I480,2)))))</f>
        <v/>
      </c>
    </row>
    <row r="481">
      <c r="I481" s="12" t="n">
        <v>46499</v>
      </c>
      <c r="J481" s="3">
        <f>_xlfn.XLOOKUP(TEXT($I481,"yyyy-mm-dd")&amp;"|"&amp;""&amp;"|"&amp;"",tblExcepciones[clave],tblExcepciones[habil],_xlfn.XLOOKUP(TEXT($I481,"yyyy-mm-dd")&amp;"|"&amp;""&amp;"|",tblExcepciones[clave],tblExcepciones[habil],_xlfn.XLOOKUP(TEXT($I481,"yyyy-mm-dd")&amp;"||",tblExcepciones[clave],tblExcepciones[habil],INDEX(patronHabil,WEEKDAY($I481,2)))))</f>
        <v/>
      </c>
    </row>
    <row r="482">
      <c r="I482" s="12" t="n">
        <v>46500</v>
      </c>
      <c r="J482" s="3">
        <f>_xlfn.XLOOKUP(TEXT($I482,"yyyy-mm-dd")&amp;"|"&amp;""&amp;"|"&amp;"",tblExcepciones[clave],tblExcepciones[habil],_xlfn.XLOOKUP(TEXT($I482,"yyyy-mm-dd")&amp;"|"&amp;""&amp;"|",tblExcepciones[clave],tblExcepciones[habil],_xlfn.XLOOKUP(TEXT($I482,"yyyy-mm-dd")&amp;"||",tblExcepciones[clave],tblExcepciones[habil],INDEX(patronHabil,WEEKDAY($I482,2)))))</f>
        <v/>
      </c>
    </row>
    <row r="483">
      <c r="I483" s="12" t="n">
        <v>46501</v>
      </c>
      <c r="J483" s="3">
        <f>_xlfn.XLOOKUP(TEXT($I483,"yyyy-mm-dd")&amp;"|"&amp;""&amp;"|"&amp;"",tblExcepciones[clave],tblExcepciones[habil],_xlfn.XLOOKUP(TEXT($I483,"yyyy-mm-dd")&amp;"|"&amp;""&amp;"|",tblExcepciones[clave],tblExcepciones[habil],_xlfn.XLOOKUP(TEXT($I483,"yyyy-mm-dd")&amp;"||",tblExcepciones[clave],tblExcepciones[habil],INDEX(patronHabil,WEEKDAY($I483,2)))))</f>
        <v/>
      </c>
    </row>
    <row r="484">
      <c r="I484" s="12" t="n">
        <v>46502</v>
      </c>
      <c r="J484" s="3">
        <f>_xlfn.XLOOKUP(TEXT($I484,"yyyy-mm-dd")&amp;"|"&amp;""&amp;"|"&amp;"",tblExcepciones[clave],tblExcepciones[habil],_xlfn.XLOOKUP(TEXT($I484,"yyyy-mm-dd")&amp;"|"&amp;""&amp;"|",tblExcepciones[clave],tblExcepciones[habil],_xlfn.XLOOKUP(TEXT($I484,"yyyy-mm-dd")&amp;"||",tblExcepciones[clave],tblExcepciones[habil],INDEX(patronHabil,WEEKDAY($I484,2)))))</f>
        <v/>
      </c>
    </row>
    <row r="485">
      <c r="I485" s="12" t="n">
        <v>46503</v>
      </c>
      <c r="J485" s="3">
        <f>_xlfn.XLOOKUP(TEXT($I485,"yyyy-mm-dd")&amp;"|"&amp;""&amp;"|"&amp;"",tblExcepciones[clave],tblExcepciones[habil],_xlfn.XLOOKUP(TEXT($I485,"yyyy-mm-dd")&amp;"|"&amp;""&amp;"|",tblExcepciones[clave],tblExcepciones[habil],_xlfn.XLOOKUP(TEXT($I485,"yyyy-mm-dd")&amp;"||",tblExcepciones[clave],tblExcepciones[habil],INDEX(patronHabil,WEEKDAY($I485,2)))))</f>
        <v/>
      </c>
    </row>
    <row r="486">
      <c r="I486" s="12" t="n">
        <v>46504</v>
      </c>
      <c r="J486" s="3">
        <f>_xlfn.XLOOKUP(TEXT($I486,"yyyy-mm-dd")&amp;"|"&amp;""&amp;"|"&amp;"",tblExcepciones[clave],tblExcepciones[habil],_xlfn.XLOOKUP(TEXT($I486,"yyyy-mm-dd")&amp;"|"&amp;""&amp;"|",tblExcepciones[clave],tblExcepciones[habil],_xlfn.XLOOKUP(TEXT($I486,"yyyy-mm-dd")&amp;"||",tblExcepciones[clave],tblExcepciones[habil],INDEX(patronHabil,WEEKDAY($I486,2)))))</f>
        <v/>
      </c>
    </row>
    <row r="487">
      <c r="I487" s="12" t="n">
        <v>46505</v>
      </c>
      <c r="J487" s="3">
        <f>_xlfn.XLOOKUP(TEXT($I487,"yyyy-mm-dd")&amp;"|"&amp;""&amp;"|"&amp;"",tblExcepciones[clave],tblExcepciones[habil],_xlfn.XLOOKUP(TEXT($I487,"yyyy-mm-dd")&amp;"|"&amp;""&amp;"|",tblExcepciones[clave],tblExcepciones[habil],_xlfn.XLOOKUP(TEXT($I487,"yyyy-mm-dd")&amp;"||",tblExcepciones[clave],tblExcepciones[habil],INDEX(patronHabil,WEEKDAY($I487,2)))))</f>
        <v/>
      </c>
    </row>
    <row r="488">
      <c r="I488" s="12" t="n">
        <v>46506</v>
      </c>
      <c r="J488" s="3">
        <f>_xlfn.XLOOKUP(TEXT($I488,"yyyy-mm-dd")&amp;"|"&amp;""&amp;"|"&amp;"",tblExcepciones[clave],tblExcepciones[habil],_xlfn.XLOOKUP(TEXT($I488,"yyyy-mm-dd")&amp;"|"&amp;""&amp;"|",tblExcepciones[clave],tblExcepciones[habil],_xlfn.XLOOKUP(TEXT($I488,"yyyy-mm-dd")&amp;"||",tblExcepciones[clave],tblExcepciones[habil],INDEX(patronHabil,WEEKDAY($I488,2)))))</f>
        <v/>
      </c>
    </row>
    <row r="489">
      <c r="I489" s="12" t="n">
        <v>46507</v>
      </c>
      <c r="J489" s="3">
        <f>_xlfn.XLOOKUP(TEXT($I489,"yyyy-mm-dd")&amp;"|"&amp;""&amp;"|"&amp;"",tblExcepciones[clave],tblExcepciones[habil],_xlfn.XLOOKUP(TEXT($I489,"yyyy-mm-dd")&amp;"|"&amp;""&amp;"|",tblExcepciones[clave],tblExcepciones[habil],_xlfn.XLOOKUP(TEXT($I489,"yyyy-mm-dd")&amp;"||",tblExcepciones[clave],tblExcepciones[habil],INDEX(patronHabil,WEEKDAY($I489,2)))))</f>
        <v/>
      </c>
    </row>
    <row r="490">
      <c r="I490" s="12" t="n">
        <v>46508</v>
      </c>
      <c r="J490" s="3">
        <f>_xlfn.XLOOKUP(TEXT($I490,"yyyy-mm-dd")&amp;"|"&amp;""&amp;"|"&amp;"",tblExcepciones[clave],tblExcepciones[habil],_xlfn.XLOOKUP(TEXT($I490,"yyyy-mm-dd")&amp;"|"&amp;""&amp;"|",tblExcepciones[clave],tblExcepciones[habil],_xlfn.XLOOKUP(TEXT($I490,"yyyy-mm-dd")&amp;"||",tblExcepciones[clave],tblExcepciones[habil],INDEX(patronHabil,WEEKDAY($I490,2)))))</f>
        <v/>
      </c>
    </row>
    <row r="491">
      <c r="I491" s="12" t="n">
        <v>46509</v>
      </c>
      <c r="J491" s="3">
        <f>_xlfn.XLOOKUP(TEXT($I491,"yyyy-mm-dd")&amp;"|"&amp;""&amp;"|"&amp;"",tblExcepciones[clave],tblExcepciones[habil],_xlfn.XLOOKUP(TEXT($I491,"yyyy-mm-dd")&amp;"|"&amp;""&amp;"|",tblExcepciones[clave],tblExcepciones[habil],_xlfn.XLOOKUP(TEXT($I491,"yyyy-mm-dd")&amp;"||",tblExcepciones[clave],tblExcepciones[habil],INDEX(patronHabil,WEEKDAY($I491,2)))))</f>
        <v/>
      </c>
    </row>
    <row r="492">
      <c r="I492" s="12" t="n">
        <v>46510</v>
      </c>
      <c r="J492" s="3">
        <f>_xlfn.XLOOKUP(TEXT($I492,"yyyy-mm-dd")&amp;"|"&amp;""&amp;"|"&amp;"",tblExcepciones[clave],tblExcepciones[habil],_xlfn.XLOOKUP(TEXT($I492,"yyyy-mm-dd")&amp;"|"&amp;""&amp;"|",tblExcepciones[clave],tblExcepciones[habil],_xlfn.XLOOKUP(TEXT($I492,"yyyy-mm-dd")&amp;"||",tblExcepciones[clave],tblExcepciones[habil],INDEX(patronHabil,WEEKDAY($I492,2)))))</f>
        <v/>
      </c>
    </row>
    <row r="493">
      <c r="I493" s="12" t="n">
        <v>46511</v>
      </c>
      <c r="J493" s="3">
        <f>_xlfn.XLOOKUP(TEXT($I493,"yyyy-mm-dd")&amp;"|"&amp;""&amp;"|"&amp;"",tblExcepciones[clave],tblExcepciones[habil],_xlfn.XLOOKUP(TEXT($I493,"yyyy-mm-dd")&amp;"|"&amp;""&amp;"|",tblExcepciones[clave],tblExcepciones[habil],_xlfn.XLOOKUP(TEXT($I493,"yyyy-mm-dd")&amp;"||",tblExcepciones[clave],tblExcepciones[habil],INDEX(patronHabil,WEEKDAY($I493,2)))))</f>
        <v/>
      </c>
    </row>
    <row r="494">
      <c r="I494" s="12" t="n">
        <v>46512</v>
      </c>
      <c r="J494" s="3">
        <f>_xlfn.XLOOKUP(TEXT($I494,"yyyy-mm-dd")&amp;"|"&amp;""&amp;"|"&amp;"",tblExcepciones[clave],tblExcepciones[habil],_xlfn.XLOOKUP(TEXT($I494,"yyyy-mm-dd")&amp;"|"&amp;""&amp;"|",tblExcepciones[clave],tblExcepciones[habil],_xlfn.XLOOKUP(TEXT($I494,"yyyy-mm-dd")&amp;"||",tblExcepciones[clave],tblExcepciones[habil],INDEX(patronHabil,WEEKDAY($I494,2)))))</f>
        <v/>
      </c>
    </row>
    <row r="495">
      <c r="I495" s="12" t="n">
        <v>46513</v>
      </c>
      <c r="J495" s="3">
        <f>_xlfn.XLOOKUP(TEXT($I495,"yyyy-mm-dd")&amp;"|"&amp;""&amp;"|"&amp;"",tblExcepciones[clave],tblExcepciones[habil],_xlfn.XLOOKUP(TEXT($I495,"yyyy-mm-dd")&amp;"|"&amp;""&amp;"|",tblExcepciones[clave],tblExcepciones[habil],_xlfn.XLOOKUP(TEXT($I495,"yyyy-mm-dd")&amp;"||",tblExcepciones[clave],tblExcepciones[habil],INDEX(patronHabil,WEEKDAY($I495,2)))))</f>
        <v/>
      </c>
    </row>
    <row r="496">
      <c r="I496" s="12" t="n">
        <v>46514</v>
      </c>
      <c r="J496" s="3">
        <f>_xlfn.XLOOKUP(TEXT($I496,"yyyy-mm-dd")&amp;"|"&amp;""&amp;"|"&amp;"",tblExcepciones[clave],tblExcepciones[habil],_xlfn.XLOOKUP(TEXT($I496,"yyyy-mm-dd")&amp;"|"&amp;""&amp;"|",tblExcepciones[clave],tblExcepciones[habil],_xlfn.XLOOKUP(TEXT($I496,"yyyy-mm-dd")&amp;"||",tblExcepciones[clave],tblExcepciones[habil],INDEX(patronHabil,WEEKDAY($I496,2)))))</f>
        <v/>
      </c>
    </row>
    <row r="497">
      <c r="I497" s="12" t="n">
        <v>46515</v>
      </c>
      <c r="J497" s="3">
        <f>_xlfn.XLOOKUP(TEXT($I497,"yyyy-mm-dd")&amp;"|"&amp;""&amp;"|"&amp;"",tblExcepciones[clave],tblExcepciones[habil],_xlfn.XLOOKUP(TEXT($I497,"yyyy-mm-dd")&amp;"|"&amp;""&amp;"|",tblExcepciones[clave],tblExcepciones[habil],_xlfn.XLOOKUP(TEXT($I497,"yyyy-mm-dd")&amp;"||",tblExcepciones[clave],tblExcepciones[habil],INDEX(patronHabil,WEEKDAY($I497,2)))))</f>
        <v/>
      </c>
    </row>
    <row r="498">
      <c r="I498" s="12" t="n">
        <v>46516</v>
      </c>
      <c r="J498" s="3">
        <f>_xlfn.XLOOKUP(TEXT($I498,"yyyy-mm-dd")&amp;"|"&amp;""&amp;"|"&amp;"",tblExcepciones[clave],tblExcepciones[habil],_xlfn.XLOOKUP(TEXT($I498,"yyyy-mm-dd")&amp;"|"&amp;""&amp;"|",tblExcepciones[clave],tblExcepciones[habil],_xlfn.XLOOKUP(TEXT($I498,"yyyy-mm-dd")&amp;"||",tblExcepciones[clave],tblExcepciones[habil],INDEX(patronHabil,WEEKDAY($I498,2)))))</f>
        <v/>
      </c>
    </row>
    <row r="499">
      <c r="I499" s="12" t="n">
        <v>46517</v>
      </c>
      <c r="J499" s="3">
        <f>_xlfn.XLOOKUP(TEXT($I499,"yyyy-mm-dd")&amp;"|"&amp;""&amp;"|"&amp;"",tblExcepciones[clave],tblExcepciones[habil],_xlfn.XLOOKUP(TEXT($I499,"yyyy-mm-dd")&amp;"|"&amp;""&amp;"|",tblExcepciones[clave],tblExcepciones[habil],_xlfn.XLOOKUP(TEXT($I499,"yyyy-mm-dd")&amp;"||",tblExcepciones[clave],tblExcepciones[habil],INDEX(patronHabil,WEEKDAY($I499,2)))))</f>
        <v/>
      </c>
    </row>
    <row r="500">
      <c r="I500" s="12" t="n">
        <v>46518</v>
      </c>
      <c r="J500" s="3">
        <f>_xlfn.XLOOKUP(TEXT($I500,"yyyy-mm-dd")&amp;"|"&amp;""&amp;"|"&amp;"",tblExcepciones[clave],tblExcepciones[habil],_xlfn.XLOOKUP(TEXT($I500,"yyyy-mm-dd")&amp;"|"&amp;""&amp;"|",tblExcepciones[clave],tblExcepciones[habil],_xlfn.XLOOKUP(TEXT($I500,"yyyy-mm-dd")&amp;"||",tblExcepciones[clave],tblExcepciones[habil],INDEX(patronHabil,WEEKDAY($I500,2)))))</f>
        <v/>
      </c>
    </row>
    <row r="501">
      <c r="I501" s="12" t="n">
        <v>46519</v>
      </c>
      <c r="J501" s="3">
        <f>_xlfn.XLOOKUP(TEXT($I501,"yyyy-mm-dd")&amp;"|"&amp;""&amp;"|"&amp;"",tblExcepciones[clave],tblExcepciones[habil],_xlfn.XLOOKUP(TEXT($I501,"yyyy-mm-dd")&amp;"|"&amp;""&amp;"|",tblExcepciones[clave],tblExcepciones[habil],_xlfn.XLOOKUP(TEXT($I501,"yyyy-mm-dd")&amp;"||",tblExcepciones[clave],tblExcepciones[habil],INDEX(patronHabil,WEEKDAY($I501,2)))))</f>
        <v/>
      </c>
    </row>
    <row r="502">
      <c r="I502" s="12" t="n">
        <v>46520</v>
      </c>
      <c r="J502" s="3">
        <f>_xlfn.XLOOKUP(TEXT($I502,"yyyy-mm-dd")&amp;"|"&amp;""&amp;"|"&amp;"",tblExcepciones[clave],tblExcepciones[habil],_xlfn.XLOOKUP(TEXT($I502,"yyyy-mm-dd")&amp;"|"&amp;""&amp;"|",tblExcepciones[clave],tblExcepciones[habil],_xlfn.XLOOKUP(TEXT($I502,"yyyy-mm-dd")&amp;"||",tblExcepciones[clave],tblExcepciones[habil],INDEX(patronHabil,WEEKDAY($I502,2)))))</f>
        <v/>
      </c>
    </row>
    <row r="503">
      <c r="I503" s="12" t="n">
        <v>46521</v>
      </c>
      <c r="J503" s="3">
        <f>_xlfn.XLOOKUP(TEXT($I503,"yyyy-mm-dd")&amp;"|"&amp;""&amp;"|"&amp;"",tblExcepciones[clave],tblExcepciones[habil],_xlfn.XLOOKUP(TEXT($I503,"yyyy-mm-dd")&amp;"|"&amp;""&amp;"|",tblExcepciones[clave],tblExcepciones[habil],_xlfn.XLOOKUP(TEXT($I503,"yyyy-mm-dd")&amp;"||",tblExcepciones[clave],tblExcepciones[habil],INDEX(patronHabil,WEEKDAY($I503,2)))))</f>
        <v/>
      </c>
    </row>
    <row r="504">
      <c r="I504" s="12" t="n">
        <v>46522</v>
      </c>
      <c r="J504" s="3">
        <f>_xlfn.XLOOKUP(TEXT($I504,"yyyy-mm-dd")&amp;"|"&amp;""&amp;"|"&amp;"",tblExcepciones[clave],tblExcepciones[habil],_xlfn.XLOOKUP(TEXT($I504,"yyyy-mm-dd")&amp;"|"&amp;""&amp;"|",tblExcepciones[clave],tblExcepciones[habil],_xlfn.XLOOKUP(TEXT($I504,"yyyy-mm-dd")&amp;"||",tblExcepciones[clave],tblExcepciones[habil],INDEX(patronHabil,WEEKDAY($I504,2)))))</f>
        <v/>
      </c>
    </row>
    <row r="505">
      <c r="I505" s="12" t="n">
        <v>46523</v>
      </c>
      <c r="J505" s="3">
        <f>_xlfn.XLOOKUP(TEXT($I505,"yyyy-mm-dd")&amp;"|"&amp;""&amp;"|"&amp;"",tblExcepciones[clave],tblExcepciones[habil],_xlfn.XLOOKUP(TEXT($I505,"yyyy-mm-dd")&amp;"|"&amp;""&amp;"|",tblExcepciones[clave],tblExcepciones[habil],_xlfn.XLOOKUP(TEXT($I505,"yyyy-mm-dd")&amp;"||",tblExcepciones[clave],tblExcepciones[habil],INDEX(patronHabil,WEEKDAY($I505,2)))))</f>
        <v/>
      </c>
    </row>
    <row r="506">
      <c r="I506" s="12" t="n">
        <v>46524</v>
      </c>
      <c r="J506" s="3">
        <f>_xlfn.XLOOKUP(TEXT($I506,"yyyy-mm-dd")&amp;"|"&amp;""&amp;"|"&amp;"",tblExcepciones[clave],tblExcepciones[habil],_xlfn.XLOOKUP(TEXT($I506,"yyyy-mm-dd")&amp;"|"&amp;""&amp;"|",tblExcepciones[clave],tblExcepciones[habil],_xlfn.XLOOKUP(TEXT($I506,"yyyy-mm-dd")&amp;"||",tblExcepciones[clave],tblExcepciones[habil],INDEX(patronHabil,WEEKDAY($I506,2)))))</f>
        <v/>
      </c>
    </row>
    <row r="507">
      <c r="I507" s="12" t="n">
        <v>46525</v>
      </c>
      <c r="J507" s="3">
        <f>_xlfn.XLOOKUP(TEXT($I507,"yyyy-mm-dd")&amp;"|"&amp;""&amp;"|"&amp;"",tblExcepciones[clave],tblExcepciones[habil],_xlfn.XLOOKUP(TEXT($I507,"yyyy-mm-dd")&amp;"|"&amp;""&amp;"|",tblExcepciones[clave],tblExcepciones[habil],_xlfn.XLOOKUP(TEXT($I507,"yyyy-mm-dd")&amp;"||",tblExcepciones[clave],tblExcepciones[habil],INDEX(patronHabil,WEEKDAY($I507,2)))))</f>
        <v/>
      </c>
    </row>
    <row r="508">
      <c r="I508" s="12" t="n">
        <v>46526</v>
      </c>
      <c r="J508" s="3">
        <f>_xlfn.XLOOKUP(TEXT($I508,"yyyy-mm-dd")&amp;"|"&amp;""&amp;"|"&amp;"",tblExcepciones[clave],tblExcepciones[habil],_xlfn.XLOOKUP(TEXT($I508,"yyyy-mm-dd")&amp;"|"&amp;""&amp;"|",tblExcepciones[clave],tblExcepciones[habil],_xlfn.XLOOKUP(TEXT($I508,"yyyy-mm-dd")&amp;"||",tblExcepciones[clave],tblExcepciones[habil],INDEX(patronHabil,WEEKDAY($I508,2)))))</f>
        <v/>
      </c>
    </row>
    <row r="509">
      <c r="I509" s="12" t="n">
        <v>46527</v>
      </c>
      <c r="J509" s="3">
        <f>_xlfn.XLOOKUP(TEXT($I509,"yyyy-mm-dd")&amp;"|"&amp;""&amp;"|"&amp;"",tblExcepciones[clave],tblExcepciones[habil],_xlfn.XLOOKUP(TEXT($I509,"yyyy-mm-dd")&amp;"|"&amp;""&amp;"|",tblExcepciones[clave],tblExcepciones[habil],_xlfn.XLOOKUP(TEXT($I509,"yyyy-mm-dd")&amp;"||",tblExcepciones[clave],tblExcepciones[habil],INDEX(patronHabil,WEEKDAY($I509,2)))))</f>
        <v/>
      </c>
    </row>
    <row r="510">
      <c r="I510" s="12" t="n">
        <v>46528</v>
      </c>
      <c r="J510" s="3">
        <f>_xlfn.XLOOKUP(TEXT($I510,"yyyy-mm-dd")&amp;"|"&amp;""&amp;"|"&amp;"",tblExcepciones[clave],tblExcepciones[habil],_xlfn.XLOOKUP(TEXT($I510,"yyyy-mm-dd")&amp;"|"&amp;""&amp;"|",tblExcepciones[clave],tblExcepciones[habil],_xlfn.XLOOKUP(TEXT($I510,"yyyy-mm-dd")&amp;"||",tblExcepciones[clave],tblExcepciones[habil],INDEX(patronHabil,WEEKDAY($I510,2)))))</f>
        <v/>
      </c>
    </row>
    <row r="511">
      <c r="I511" s="12" t="n">
        <v>46529</v>
      </c>
      <c r="J511" s="3">
        <f>_xlfn.XLOOKUP(TEXT($I511,"yyyy-mm-dd")&amp;"|"&amp;""&amp;"|"&amp;"",tblExcepciones[clave],tblExcepciones[habil],_xlfn.XLOOKUP(TEXT($I511,"yyyy-mm-dd")&amp;"|"&amp;""&amp;"|",tblExcepciones[clave],tblExcepciones[habil],_xlfn.XLOOKUP(TEXT($I511,"yyyy-mm-dd")&amp;"||",tblExcepciones[clave],tblExcepciones[habil],INDEX(patronHabil,WEEKDAY($I511,2)))))</f>
        <v/>
      </c>
    </row>
    <row r="512">
      <c r="I512" s="12" t="n">
        <v>46530</v>
      </c>
      <c r="J512" s="3">
        <f>_xlfn.XLOOKUP(TEXT($I512,"yyyy-mm-dd")&amp;"|"&amp;""&amp;"|"&amp;"",tblExcepciones[clave],tblExcepciones[habil],_xlfn.XLOOKUP(TEXT($I512,"yyyy-mm-dd")&amp;"|"&amp;""&amp;"|",tblExcepciones[clave],tblExcepciones[habil],_xlfn.XLOOKUP(TEXT($I512,"yyyy-mm-dd")&amp;"||",tblExcepciones[clave],tblExcepciones[habil],INDEX(patronHabil,WEEKDAY($I512,2)))))</f>
        <v/>
      </c>
    </row>
    <row r="513">
      <c r="I513" s="12" t="n">
        <v>46531</v>
      </c>
      <c r="J513" s="3">
        <f>_xlfn.XLOOKUP(TEXT($I513,"yyyy-mm-dd")&amp;"|"&amp;""&amp;"|"&amp;"",tblExcepciones[clave],tblExcepciones[habil],_xlfn.XLOOKUP(TEXT($I513,"yyyy-mm-dd")&amp;"|"&amp;""&amp;"|",tblExcepciones[clave],tblExcepciones[habil],_xlfn.XLOOKUP(TEXT($I513,"yyyy-mm-dd")&amp;"||",tblExcepciones[clave],tblExcepciones[habil],INDEX(patronHabil,WEEKDAY($I513,2)))))</f>
        <v/>
      </c>
    </row>
    <row r="514">
      <c r="I514" s="12" t="n">
        <v>46532</v>
      </c>
      <c r="J514" s="3">
        <f>_xlfn.XLOOKUP(TEXT($I514,"yyyy-mm-dd")&amp;"|"&amp;""&amp;"|"&amp;"",tblExcepciones[clave],tblExcepciones[habil],_xlfn.XLOOKUP(TEXT($I514,"yyyy-mm-dd")&amp;"|"&amp;""&amp;"|",tblExcepciones[clave],tblExcepciones[habil],_xlfn.XLOOKUP(TEXT($I514,"yyyy-mm-dd")&amp;"||",tblExcepciones[clave],tblExcepciones[habil],INDEX(patronHabil,WEEKDAY($I514,2)))))</f>
        <v/>
      </c>
    </row>
    <row r="515">
      <c r="I515" s="12" t="n">
        <v>46533</v>
      </c>
      <c r="J515" s="3">
        <f>_xlfn.XLOOKUP(TEXT($I515,"yyyy-mm-dd")&amp;"|"&amp;""&amp;"|"&amp;"",tblExcepciones[clave],tblExcepciones[habil],_xlfn.XLOOKUP(TEXT($I515,"yyyy-mm-dd")&amp;"|"&amp;""&amp;"|",tblExcepciones[clave],tblExcepciones[habil],_xlfn.XLOOKUP(TEXT($I515,"yyyy-mm-dd")&amp;"||",tblExcepciones[clave],tblExcepciones[habil],INDEX(patronHabil,WEEKDAY($I515,2)))))</f>
        <v/>
      </c>
    </row>
    <row r="516">
      <c r="I516" s="12" t="n">
        <v>46534</v>
      </c>
      <c r="J516" s="3">
        <f>_xlfn.XLOOKUP(TEXT($I516,"yyyy-mm-dd")&amp;"|"&amp;""&amp;"|"&amp;"",tblExcepciones[clave],tblExcepciones[habil],_xlfn.XLOOKUP(TEXT($I516,"yyyy-mm-dd")&amp;"|"&amp;""&amp;"|",tblExcepciones[clave],tblExcepciones[habil],_xlfn.XLOOKUP(TEXT($I516,"yyyy-mm-dd")&amp;"||",tblExcepciones[clave],tblExcepciones[habil],INDEX(patronHabil,WEEKDAY($I516,2)))))</f>
        <v/>
      </c>
    </row>
    <row r="517">
      <c r="I517" s="12" t="n">
        <v>46535</v>
      </c>
      <c r="J517" s="3">
        <f>_xlfn.XLOOKUP(TEXT($I517,"yyyy-mm-dd")&amp;"|"&amp;""&amp;"|"&amp;"",tblExcepciones[clave],tblExcepciones[habil],_xlfn.XLOOKUP(TEXT($I517,"yyyy-mm-dd")&amp;"|"&amp;""&amp;"|",tblExcepciones[clave],tblExcepciones[habil],_xlfn.XLOOKUP(TEXT($I517,"yyyy-mm-dd")&amp;"||",tblExcepciones[clave],tblExcepciones[habil],INDEX(patronHabil,WEEKDAY($I517,2)))))</f>
        <v/>
      </c>
    </row>
    <row r="518">
      <c r="I518" s="12" t="n">
        <v>46536</v>
      </c>
      <c r="J518" s="3">
        <f>_xlfn.XLOOKUP(TEXT($I518,"yyyy-mm-dd")&amp;"|"&amp;""&amp;"|"&amp;"",tblExcepciones[clave],tblExcepciones[habil],_xlfn.XLOOKUP(TEXT($I518,"yyyy-mm-dd")&amp;"|"&amp;""&amp;"|",tblExcepciones[clave],tblExcepciones[habil],_xlfn.XLOOKUP(TEXT($I518,"yyyy-mm-dd")&amp;"||",tblExcepciones[clave],tblExcepciones[habil],INDEX(patronHabil,WEEKDAY($I518,2)))))</f>
        <v/>
      </c>
    </row>
    <row r="519">
      <c r="I519" s="12" t="n">
        <v>46537</v>
      </c>
      <c r="J519" s="3">
        <f>_xlfn.XLOOKUP(TEXT($I519,"yyyy-mm-dd")&amp;"|"&amp;""&amp;"|"&amp;"",tblExcepciones[clave],tblExcepciones[habil],_xlfn.XLOOKUP(TEXT($I519,"yyyy-mm-dd")&amp;"|"&amp;""&amp;"|",tblExcepciones[clave],tblExcepciones[habil],_xlfn.XLOOKUP(TEXT($I519,"yyyy-mm-dd")&amp;"||",tblExcepciones[clave],tblExcepciones[habil],INDEX(patronHabil,WEEKDAY($I519,2)))))</f>
        <v/>
      </c>
    </row>
    <row r="520">
      <c r="I520" s="12" t="n">
        <v>46538</v>
      </c>
      <c r="J520" s="3">
        <f>_xlfn.XLOOKUP(TEXT($I520,"yyyy-mm-dd")&amp;"|"&amp;""&amp;"|"&amp;"",tblExcepciones[clave],tblExcepciones[habil],_xlfn.XLOOKUP(TEXT($I520,"yyyy-mm-dd")&amp;"|"&amp;""&amp;"|",tblExcepciones[clave],tblExcepciones[habil],_xlfn.XLOOKUP(TEXT($I520,"yyyy-mm-dd")&amp;"||",tblExcepciones[clave],tblExcepciones[habil],INDEX(patronHabil,WEEKDAY($I520,2)))))</f>
        <v/>
      </c>
    </row>
    <row r="521">
      <c r="I521" s="12" t="n">
        <v>46539</v>
      </c>
      <c r="J521" s="3">
        <f>_xlfn.XLOOKUP(TEXT($I521,"yyyy-mm-dd")&amp;"|"&amp;""&amp;"|"&amp;"",tblExcepciones[clave],tblExcepciones[habil],_xlfn.XLOOKUP(TEXT($I521,"yyyy-mm-dd")&amp;"|"&amp;""&amp;"|",tblExcepciones[clave],tblExcepciones[habil],_xlfn.XLOOKUP(TEXT($I521,"yyyy-mm-dd")&amp;"||",tblExcepciones[clave],tblExcepciones[habil],INDEX(patronHabil,WEEKDAY($I521,2)))))</f>
        <v/>
      </c>
    </row>
    <row r="522">
      <c r="I522" s="12" t="n">
        <v>46540</v>
      </c>
      <c r="J522" s="3">
        <f>_xlfn.XLOOKUP(TEXT($I522,"yyyy-mm-dd")&amp;"|"&amp;""&amp;"|"&amp;"",tblExcepciones[clave],tblExcepciones[habil],_xlfn.XLOOKUP(TEXT($I522,"yyyy-mm-dd")&amp;"|"&amp;""&amp;"|",tblExcepciones[clave],tblExcepciones[habil],_xlfn.XLOOKUP(TEXT($I522,"yyyy-mm-dd")&amp;"||",tblExcepciones[clave],tblExcepciones[habil],INDEX(patronHabil,WEEKDAY($I522,2)))))</f>
        <v/>
      </c>
    </row>
    <row r="523">
      <c r="I523" s="12" t="n">
        <v>46541</v>
      </c>
      <c r="J523" s="3">
        <f>_xlfn.XLOOKUP(TEXT($I523,"yyyy-mm-dd")&amp;"|"&amp;""&amp;"|"&amp;"",tblExcepciones[clave],tblExcepciones[habil],_xlfn.XLOOKUP(TEXT($I523,"yyyy-mm-dd")&amp;"|"&amp;""&amp;"|",tblExcepciones[clave],tblExcepciones[habil],_xlfn.XLOOKUP(TEXT($I523,"yyyy-mm-dd")&amp;"||",tblExcepciones[clave],tblExcepciones[habil],INDEX(patronHabil,WEEKDAY($I523,2)))))</f>
        <v/>
      </c>
    </row>
    <row r="524">
      <c r="I524" s="12" t="n">
        <v>46542</v>
      </c>
      <c r="J524" s="3">
        <f>_xlfn.XLOOKUP(TEXT($I524,"yyyy-mm-dd")&amp;"|"&amp;""&amp;"|"&amp;"",tblExcepciones[clave],tblExcepciones[habil],_xlfn.XLOOKUP(TEXT($I524,"yyyy-mm-dd")&amp;"|"&amp;""&amp;"|",tblExcepciones[clave],tblExcepciones[habil],_xlfn.XLOOKUP(TEXT($I524,"yyyy-mm-dd")&amp;"||",tblExcepciones[clave],tblExcepciones[habil],INDEX(patronHabil,WEEKDAY($I524,2)))))</f>
        <v/>
      </c>
    </row>
    <row r="525">
      <c r="I525" s="12" t="n">
        <v>46543</v>
      </c>
      <c r="J525" s="3">
        <f>_xlfn.XLOOKUP(TEXT($I525,"yyyy-mm-dd")&amp;"|"&amp;""&amp;"|"&amp;"",tblExcepciones[clave],tblExcepciones[habil],_xlfn.XLOOKUP(TEXT($I525,"yyyy-mm-dd")&amp;"|"&amp;""&amp;"|",tblExcepciones[clave],tblExcepciones[habil],_xlfn.XLOOKUP(TEXT($I525,"yyyy-mm-dd")&amp;"||",tblExcepciones[clave],tblExcepciones[habil],INDEX(patronHabil,WEEKDAY($I525,2)))))</f>
        <v/>
      </c>
    </row>
    <row r="526">
      <c r="I526" s="12" t="n">
        <v>46544</v>
      </c>
      <c r="J526" s="3">
        <f>_xlfn.XLOOKUP(TEXT($I526,"yyyy-mm-dd")&amp;"|"&amp;""&amp;"|"&amp;"",tblExcepciones[clave],tblExcepciones[habil],_xlfn.XLOOKUP(TEXT($I526,"yyyy-mm-dd")&amp;"|"&amp;""&amp;"|",tblExcepciones[clave],tblExcepciones[habil],_xlfn.XLOOKUP(TEXT($I526,"yyyy-mm-dd")&amp;"||",tblExcepciones[clave],tblExcepciones[habil],INDEX(patronHabil,WEEKDAY($I526,2)))))</f>
        <v/>
      </c>
    </row>
    <row r="527">
      <c r="I527" s="12" t="n">
        <v>46545</v>
      </c>
      <c r="J527" s="3">
        <f>_xlfn.XLOOKUP(TEXT($I527,"yyyy-mm-dd")&amp;"|"&amp;""&amp;"|"&amp;"",tblExcepciones[clave],tblExcepciones[habil],_xlfn.XLOOKUP(TEXT($I527,"yyyy-mm-dd")&amp;"|"&amp;""&amp;"|",tblExcepciones[clave],tblExcepciones[habil],_xlfn.XLOOKUP(TEXT($I527,"yyyy-mm-dd")&amp;"||",tblExcepciones[clave],tblExcepciones[habil],INDEX(patronHabil,WEEKDAY($I527,2)))))</f>
        <v/>
      </c>
    </row>
    <row r="528">
      <c r="I528" s="12" t="n">
        <v>46546</v>
      </c>
      <c r="J528" s="3">
        <f>_xlfn.XLOOKUP(TEXT($I528,"yyyy-mm-dd")&amp;"|"&amp;""&amp;"|"&amp;"",tblExcepciones[clave],tblExcepciones[habil],_xlfn.XLOOKUP(TEXT($I528,"yyyy-mm-dd")&amp;"|"&amp;""&amp;"|",tblExcepciones[clave],tblExcepciones[habil],_xlfn.XLOOKUP(TEXT($I528,"yyyy-mm-dd")&amp;"||",tblExcepciones[clave],tblExcepciones[habil],INDEX(patronHabil,WEEKDAY($I528,2)))))</f>
        <v/>
      </c>
    </row>
    <row r="529">
      <c r="I529" s="12" t="n">
        <v>46547</v>
      </c>
      <c r="J529" s="3">
        <f>_xlfn.XLOOKUP(TEXT($I529,"yyyy-mm-dd")&amp;"|"&amp;""&amp;"|"&amp;"",tblExcepciones[clave],tblExcepciones[habil],_xlfn.XLOOKUP(TEXT($I529,"yyyy-mm-dd")&amp;"|"&amp;""&amp;"|",tblExcepciones[clave],tblExcepciones[habil],_xlfn.XLOOKUP(TEXT($I529,"yyyy-mm-dd")&amp;"||",tblExcepciones[clave],tblExcepciones[habil],INDEX(patronHabil,WEEKDAY($I529,2)))))</f>
        <v/>
      </c>
    </row>
    <row r="530">
      <c r="I530" s="12" t="n">
        <v>46548</v>
      </c>
      <c r="J530" s="3">
        <f>_xlfn.XLOOKUP(TEXT($I530,"yyyy-mm-dd")&amp;"|"&amp;""&amp;"|"&amp;"",tblExcepciones[clave],tblExcepciones[habil],_xlfn.XLOOKUP(TEXT($I530,"yyyy-mm-dd")&amp;"|"&amp;""&amp;"|",tblExcepciones[clave],tblExcepciones[habil],_xlfn.XLOOKUP(TEXT($I530,"yyyy-mm-dd")&amp;"||",tblExcepciones[clave],tblExcepciones[habil],INDEX(patronHabil,WEEKDAY($I530,2)))))</f>
        <v/>
      </c>
    </row>
    <row r="531">
      <c r="I531" s="12" t="n">
        <v>46549</v>
      </c>
      <c r="J531" s="3">
        <f>_xlfn.XLOOKUP(TEXT($I531,"yyyy-mm-dd")&amp;"|"&amp;""&amp;"|"&amp;"",tblExcepciones[clave],tblExcepciones[habil],_xlfn.XLOOKUP(TEXT($I531,"yyyy-mm-dd")&amp;"|"&amp;""&amp;"|",tblExcepciones[clave],tblExcepciones[habil],_xlfn.XLOOKUP(TEXT($I531,"yyyy-mm-dd")&amp;"||",tblExcepciones[clave],tblExcepciones[habil],INDEX(patronHabil,WEEKDAY($I531,2)))))</f>
        <v/>
      </c>
    </row>
    <row r="532">
      <c r="I532" s="12" t="n">
        <v>46550</v>
      </c>
      <c r="J532" s="3">
        <f>_xlfn.XLOOKUP(TEXT($I532,"yyyy-mm-dd")&amp;"|"&amp;""&amp;"|"&amp;"",tblExcepciones[clave],tblExcepciones[habil],_xlfn.XLOOKUP(TEXT($I532,"yyyy-mm-dd")&amp;"|"&amp;""&amp;"|",tblExcepciones[clave],tblExcepciones[habil],_xlfn.XLOOKUP(TEXT($I532,"yyyy-mm-dd")&amp;"||",tblExcepciones[clave],tblExcepciones[habil],INDEX(patronHabil,WEEKDAY($I532,2)))))</f>
        <v/>
      </c>
    </row>
    <row r="533">
      <c r="I533" s="12" t="n">
        <v>46551</v>
      </c>
      <c r="J533" s="3">
        <f>_xlfn.XLOOKUP(TEXT($I533,"yyyy-mm-dd")&amp;"|"&amp;""&amp;"|"&amp;"",tblExcepciones[clave],tblExcepciones[habil],_xlfn.XLOOKUP(TEXT($I533,"yyyy-mm-dd")&amp;"|"&amp;""&amp;"|",tblExcepciones[clave],tblExcepciones[habil],_xlfn.XLOOKUP(TEXT($I533,"yyyy-mm-dd")&amp;"||",tblExcepciones[clave],tblExcepciones[habil],INDEX(patronHabil,WEEKDAY($I533,2)))))</f>
        <v/>
      </c>
    </row>
    <row r="534">
      <c r="I534" s="12" t="n">
        <v>46552</v>
      </c>
      <c r="J534" s="3">
        <f>_xlfn.XLOOKUP(TEXT($I534,"yyyy-mm-dd")&amp;"|"&amp;""&amp;"|"&amp;"",tblExcepciones[clave],tblExcepciones[habil],_xlfn.XLOOKUP(TEXT($I534,"yyyy-mm-dd")&amp;"|"&amp;""&amp;"|",tblExcepciones[clave],tblExcepciones[habil],_xlfn.XLOOKUP(TEXT($I534,"yyyy-mm-dd")&amp;"||",tblExcepciones[clave],tblExcepciones[habil],INDEX(patronHabil,WEEKDAY($I534,2)))))</f>
        <v/>
      </c>
    </row>
    <row r="535">
      <c r="I535" s="12" t="n">
        <v>46553</v>
      </c>
      <c r="J535" s="3">
        <f>_xlfn.XLOOKUP(TEXT($I535,"yyyy-mm-dd")&amp;"|"&amp;""&amp;"|"&amp;"",tblExcepciones[clave],tblExcepciones[habil],_xlfn.XLOOKUP(TEXT($I535,"yyyy-mm-dd")&amp;"|"&amp;""&amp;"|",tblExcepciones[clave],tblExcepciones[habil],_xlfn.XLOOKUP(TEXT($I535,"yyyy-mm-dd")&amp;"||",tblExcepciones[clave],tblExcepciones[habil],INDEX(patronHabil,WEEKDAY($I535,2)))))</f>
        <v/>
      </c>
    </row>
    <row r="536">
      <c r="I536" s="12" t="n">
        <v>46554</v>
      </c>
      <c r="J536" s="3">
        <f>_xlfn.XLOOKUP(TEXT($I536,"yyyy-mm-dd")&amp;"|"&amp;""&amp;"|"&amp;"",tblExcepciones[clave],tblExcepciones[habil],_xlfn.XLOOKUP(TEXT($I536,"yyyy-mm-dd")&amp;"|"&amp;""&amp;"|",tblExcepciones[clave],tblExcepciones[habil],_xlfn.XLOOKUP(TEXT($I536,"yyyy-mm-dd")&amp;"||",tblExcepciones[clave],tblExcepciones[habil],INDEX(patronHabil,WEEKDAY($I536,2)))))</f>
        <v/>
      </c>
    </row>
    <row r="537">
      <c r="I537" s="12" t="n">
        <v>46555</v>
      </c>
      <c r="J537" s="3">
        <f>_xlfn.XLOOKUP(TEXT($I537,"yyyy-mm-dd")&amp;"|"&amp;""&amp;"|"&amp;"",tblExcepciones[clave],tblExcepciones[habil],_xlfn.XLOOKUP(TEXT($I537,"yyyy-mm-dd")&amp;"|"&amp;""&amp;"|",tblExcepciones[clave],tblExcepciones[habil],_xlfn.XLOOKUP(TEXT($I537,"yyyy-mm-dd")&amp;"||",tblExcepciones[clave],tblExcepciones[habil],INDEX(patronHabil,WEEKDAY($I537,2)))))</f>
        <v/>
      </c>
    </row>
    <row r="538">
      <c r="I538" s="12" t="n">
        <v>46556</v>
      </c>
      <c r="J538" s="3">
        <f>_xlfn.XLOOKUP(TEXT($I538,"yyyy-mm-dd")&amp;"|"&amp;""&amp;"|"&amp;"",tblExcepciones[clave],tblExcepciones[habil],_xlfn.XLOOKUP(TEXT($I538,"yyyy-mm-dd")&amp;"|"&amp;""&amp;"|",tblExcepciones[clave],tblExcepciones[habil],_xlfn.XLOOKUP(TEXT($I538,"yyyy-mm-dd")&amp;"||",tblExcepciones[clave],tblExcepciones[habil],INDEX(patronHabil,WEEKDAY($I538,2)))))</f>
        <v/>
      </c>
    </row>
    <row r="539">
      <c r="I539" s="12" t="n">
        <v>46557</v>
      </c>
      <c r="J539" s="3">
        <f>_xlfn.XLOOKUP(TEXT($I539,"yyyy-mm-dd")&amp;"|"&amp;""&amp;"|"&amp;"",tblExcepciones[clave],tblExcepciones[habil],_xlfn.XLOOKUP(TEXT($I539,"yyyy-mm-dd")&amp;"|"&amp;""&amp;"|",tblExcepciones[clave],tblExcepciones[habil],_xlfn.XLOOKUP(TEXT($I539,"yyyy-mm-dd")&amp;"||",tblExcepciones[clave],tblExcepciones[habil],INDEX(patronHabil,WEEKDAY($I539,2)))))</f>
        <v/>
      </c>
    </row>
    <row r="540">
      <c r="I540" s="12" t="n">
        <v>46558</v>
      </c>
      <c r="J540" s="3">
        <f>_xlfn.XLOOKUP(TEXT($I540,"yyyy-mm-dd")&amp;"|"&amp;""&amp;"|"&amp;"",tblExcepciones[clave],tblExcepciones[habil],_xlfn.XLOOKUP(TEXT($I540,"yyyy-mm-dd")&amp;"|"&amp;""&amp;"|",tblExcepciones[clave],tblExcepciones[habil],_xlfn.XLOOKUP(TEXT($I540,"yyyy-mm-dd")&amp;"||",tblExcepciones[clave],tblExcepciones[habil],INDEX(patronHabil,WEEKDAY($I540,2)))))</f>
        <v/>
      </c>
    </row>
    <row r="541">
      <c r="I541" s="12" t="n">
        <v>46559</v>
      </c>
      <c r="J541" s="3">
        <f>_xlfn.XLOOKUP(TEXT($I541,"yyyy-mm-dd")&amp;"|"&amp;""&amp;"|"&amp;"",tblExcepciones[clave],tblExcepciones[habil],_xlfn.XLOOKUP(TEXT($I541,"yyyy-mm-dd")&amp;"|"&amp;""&amp;"|",tblExcepciones[clave],tblExcepciones[habil],_xlfn.XLOOKUP(TEXT($I541,"yyyy-mm-dd")&amp;"||",tblExcepciones[clave],tblExcepciones[habil],INDEX(patronHabil,WEEKDAY($I541,2)))))</f>
        <v/>
      </c>
    </row>
    <row r="542">
      <c r="I542" s="12" t="n">
        <v>46560</v>
      </c>
      <c r="J542" s="3">
        <f>_xlfn.XLOOKUP(TEXT($I542,"yyyy-mm-dd")&amp;"|"&amp;""&amp;"|"&amp;"",tblExcepciones[clave],tblExcepciones[habil],_xlfn.XLOOKUP(TEXT($I542,"yyyy-mm-dd")&amp;"|"&amp;""&amp;"|",tblExcepciones[clave],tblExcepciones[habil],_xlfn.XLOOKUP(TEXT($I542,"yyyy-mm-dd")&amp;"||",tblExcepciones[clave],tblExcepciones[habil],INDEX(patronHabil,WEEKDAY($I542,2)))))</f>
        <v/>
      </c>
    </row>
    <row r="543">
      <c r="I543" s="12" t="n">
        <v>46561</v>
      </c>
      <c r="J543" s="3">
        <f>_xlfn.XLOOKUP(TEXT($I543,"yyyy-mm-dd")&amp;"|"&amp;""&amp;"|"&amp;"",tblExcepciones[clave],tblExcepciones[habil],_xlfn.XLOOKUP(TEXT($I543,"yyyy-mm-dd")&amp;"|"&amp;""&amp;"|",tblExcepciones[clave],tblExcepciones[habil],_xlfn.XLOOKUP(TEXT($I543,"yyyy-mm-dd")&amp;"||",tblExcepciones[clave],tblExcepciones[habil],INDEX(patronHabil,WEEKDAY($I543,2)))))</f>
        <v/>
      </c>
    </row>
    <row r="544">
      <c r="I544" s="12" t="n">
        <v>46562</v>
      </c>
      <c r="J544" s="3">
        <f>_xlfn.XLOOKUP(TEXT($I544,"yyyy-mm-dd")&amp;"|"&amp;""&amp;"|"&amp;"",tblExcepciones[clave],tblExcepciones[habil],_xlfn.XLOOKUP(TEXT($I544,"yyyy-mm-dd")&amp;"|"&amp;""&amp;"|",tblExcepciones[clave],tblExcepciones[habil],_xlfn.XLOOKUP(TEXT($I544,"yyyy-mm-dd")&amp;"||",tblExcepciones[clave],tblExcepciones[habil],INDEX(patronHabil,WEEKDAY($I544,2)))))</f>
        <v/>
      </c>
    </row>
    <row r="545">
      <c r="I545" s="12" t="n">
        <v>46563</v>
      </c>
      <c r="J545" s="3">
        <f>_xlfn.XLOOKUP(TEXT($I545,"yyyy-mm-dd")&amp;"|"&amp;""&amp;"|"&amp;"",tblExcepciones[clave],tblExcepciones[habil],_xlfn.XLOOKUP(TEXT($I545,"yyyy-mm-dd")&amp;"|"&amp;""&amp;"|",tblExcepciones[clave],tblExcepciones[habil],_xlfn.XLOOKUP(TEXT($I545,"yyyy-mm-dd")&amp;"||",tblExcepciones[clave],tblExcepciones[habil],INDEX(patronHabil,WEEKDAY($I545,2)))))</f>
        <v/>
      </c>
    </row>
    <row r="546">
      <c r="I546" s="12" t="n">
        <v>46564</v>
      </c>
      <c r="J546" s="3">
        <f>_xlfn.XLOOKUP(TEXT($I546,"yyyy-mm-dd")&amp;"|"&amp;""&amp;"|"&amp;"",tblExcepciones[clave],tblExcepciones[habil],_xlfn.XLOOKUP(TEXT($I546,"yyyy-mm-dd")&amp;"|"&amp;""&amp;"|",tblExcepciones[clave],tblExcepciones[habil],_xlfn.XLOOKUP(TEXT($I546,"yyyy-mm-dd")&amp;"||",tblExcepciones[clave],tblExcepciones[habil],INDEX(patronHabil,WEEKDAY($I546,2)))))</f>
        <v/>
      </c>
    </row>
    <row r="547">
      <c r="I547" s="12" t="n">
        <v>46565</v>
      </c>
      <c r="J547" s="3">
        <f>_xlfn.XLOOKUP(TEXT($I547,"yyyy-mm-dd")&amp;"|"&amp;""&amp;"|"&amp;"",tblExcepciones[clave],tblExcepciones[habil],_xlfn.XLOOKUP(TEXT($I547,"yyyy-mm-dd")&amp;"|"&amp;""&amp;"|",tblExcepciones[clave],tblExcepciones[habil],_xlfn.XLOOKUP(TEXT($I547,"yyyy-mm-dd")&amp;"||",tblExcepciones[clave],tblExcepciones[habil],INDEX(patronHabil,WEEKDAY($I547,2)))))</f>
        <v/>
      </c>
    </row>
    <row r="548">
      <c r="I548" s="12" t="n">
        <v>46566</v>
      </c>
      <c r="J548" s="3">
        <f>_xlfn.XLOOKUP(TEXT($I548,"yyyy-mm-dd")&amp;"|"&amp;""&amp;"|"&amp;"",tblExcepciones[clave],tblExcepciones[habil],_xlfn.XLOOKUP(TEXT($I548,"yyyy-mm-dd")&amp;"|"&amp;""&amp;"|",tblExcepciones[clave],tblExcepciones[habil],_xlfn.XLOOKUP(TEXT($I548,"yyyy-mm-dd")&amp;"||",tblExcepciones[clave],tblExcepciones[habil],INDEX(patronHabil,WEEKDAY($I548,2)))))</f>
        <v/>
      </c>
    </row>
    <row r="549">
      <c r="I549" s="12" t="n">
        <v>46567</v>
      </c>
      <c r="J549" s="3">
        <f>_xlfn.XLOOKUP(TEXT($I549,"yyyy-mm-dd")&amp;"|"&amp;""&amp;"|"&amp;"",tblExcepciones[clave],tblExcepciones[habil],_xlfn.XLOOKUP(TEXT($I549,"yyyy-mm-dd")&amp;"|"&amp;""&amp;"|",tblExcepciones[clave],tblExcepciones[habil],_xlfn.XLOOKUP(TEXT($I549,"yyyy-mm-dd")&amp;"||",tblExcepciones[clave],tblExcepciones[habil],INDEX(patronHabil,WEEKDAY($I549,2)))))</f>
        <v/>
      </c>
    </row>
    <row r="550">
      <c r="I550" s="12" t="n">
        <v>46568</v>
      </c>
      <c r="J550" s="3">
        <f>_xlfn.XLOOKUP(TEXT($I550,"yyyy-mm-dd")&amp;"|"&amp;""&amp;"|"&amp;"",tblExcepciones[clave],tblExcepciones[habil],_xlfn.XLOOKUP(TEXT($I550,"yyyy-mm-dd")&amp;"|"&amp;""&amp;"|",tblExcepciones[clave],tblExcepciones[habil],_xlfn.XLOOKUP(TEXT($I550,"yyyy-mm-dd")&amp;"||",tblExcepciones[clave],tblExcepciones[habil],INDEX(patronHabil,WEEKDAY($I550,2)))))</f>
        <v/>
      </c>
    </row>
    <row r="551">
      <c r="I551" s="12" t="n">
        <v>46569</v>
      </c>
      <c r="J551" s="3">
        <f>_xlfn.XLOOKUP(TEXT($I551,"yyyy-mm-dd")&amp;"|"&amp;""&amp;"|"&amp;"",tblExcepciones[clave],tblExcepciones[habil],_xlfn.XLOOKUP(TEXT($I551,"yyyy-mm-dd")&amp;"|"&amp;""&amp;"|",tblExcepciones[clave],tblExcepciones[habil],_xlfn.XLOOKUP(TEXT($I551,"yyyy-mm-dd")&amp;"||",tblExcepciones[clave],tblExcepciones[habil],INDEX(patronHabil,WEEKDAY($I551,2)))))</f>
        <v/>
      </c>
    </row>
    <row r="552">
      <c r="I552" s="12" t="n">
        <v>46570</v>
      </c>
      <c r="J552" s="3">
        <f>_xlfn.XLOOKUP(TEXT($I552,"yyyy-mm-dd")&amp;"|"&amp;""&amp;"|"&amp;"",tblExcepciones[clave],tblExcepciones[habil],_xlfn.XLOOKUP(TEXT($I552,"yyyy-mm-dd")&amp;"|"&amp;""&amp;"|",tblExcepciones[clave],tblExcepciones[habil],_xlfn.XLOOKUP(TEXT($I552,"yyyy-mm-dd")&amp;"||",tblExcepciones[clave],tblExcepciones[habil],INDEX(patronHabil,WEEKDAY($I552,2)))))</f>
        <v/>
      </c>
    </row>
    <row r="553">
      <c r="I553" s="12" t="n">
        <v>46571</v>
      </c>
      <c r="J553" s="3">
        <f>_xlfn.XLOOKUP(TEXT($I553,"yyyy-mm-dd")&amp;"|"&amp;""&amp;"|"&amp;"",tblExcepciones[clave],tblExcepciones[habil],_xlfn.XLOOKUP(TEXT($I553,"yyyy-mm-dd")&amp;"|"&amp;""&amp;"|",tblExcepciones[clave],tblExcepciones[habil],_xlfn.XLOOKUP(TEXT($I553,"yyyy-mm-dd")&amp;"||",tblExcepciones[clave],tblExcepciones[habil],INDEX(patronHabil,WEEKDAY($I553,2)))))</f>
        <v/>
      </c>
    </row>
    <row r="554">
      <c r="I554" s="12" t="n">
        <v>46572</v>
      </c>
      <c r="J554" s="3">
        <f>_xlfn.XLOOKUP(TEXT($I554,"yyyy-mm-dd")&amp;"|"&amp;""&amp;"|"&amp;"",tblExcepciones[clave],tblExcepciones[habil],_xlfn.XLOOKUP(TEXT($I554,"yyyy-mm-dd")&amp;"|"&amp;""&amp;"|",tblExcepciones[clave],tblExcepciones[habil],_xlfn.XLOOKUP(TEXT($I554,"yyyy-mm-dd")&amp;"||",tblExcepciones[clave],tblExcepciones[habil],INDEX(patronHabil,WEEKDAY($I554,2)))))</f>
        <v/>
      </c>
    </row>
    <row r="555">
      <c r="I555" s="12" t="n">
        <v>46573</v>
      </c>
      <c r="J555" s="3">
        <f>_xlfn.XLOOKUP(TEXT($I555,"yyyy-mm-dd")&amp;"|"&amp;""&amp;"|"&amp;"",tblExcepciones[clave],tblExcepciones[habil],_xlfn.XLOOKUP(TEXT($I555,"yyyy-mm-dd")&amp;"|"&amp;""&amp;"|",tblExcepciones[clave],tblExcepciones[habil],_xlfn.XLOOKUP(TEXT($I555,"yyyy-mm-dd")&amp;"||",tblExcepciones[clave],tblExcepciones[habil],INDEX(patronHabil,WEEKDAY($I555,2)))))</f>
        <v/>
      </c>
    </row>
    <row r="556">
      <c r="I556" s="12" t="n">
        <v>46574</v>
      </c>
      <c r="J556" s="3">
        <f>_xlfn.XLOOKUP(TEXT($I556,"yyyy-mm-dd")&amp;"|"&amp;""&amp;"|"&amp;"",tblExcepciones[clave],tblExcepciones[habil],_xlfn.XLOOKUP(TEXT($I556,"yyyy-mm-dd")&amp;"|"&amp;""&amp;"|",tblExcepciones[clave],tblExcepciones[habil],_xlfn.XLOOKUP(TEXT($I556,"yyyy-mm-dd")&amp;"||",tblExcepciones[clave],tblExcepciones[habil],INDEX(patronHabil,WEEKDAY($I556,2)))))</f>
        <v/>
      </c>
    </row>
    <row r="557">
      <c r="I557" s="12" t="n">
        <v>46575</v>
      </c>
      <c r="J557" s="3">
        <f>_xlfn.XLOOKUP(TEXT($I557,"yyyy-mm-dd")&amp;"|"&amp;""&amp;"|"&amp;"",tblExcepciones[clave],tblExcepciones[habil],_xlfn.XLOOKUP(TEXT($I557,"yyyy-mm-dd")&amp;"|"&amp;""&amp;"|",tblExcepciones[clave],tblExcepciones[habil],_xlfn.XLOOKUP(TEXT($I557,"yyyy-mm-dd")&amp;"||",tblExcepciones[clave],tblExcepciones[habil],INDEX(patronHabil,WEEKDAY($I557,2)))))</f>
        <v/>
      </c>
    </row>
    <row r="558">
      <c r="I558" s="12" t="n">
        <v>46576</v>
      </c>
      <c r="J558" s="3">
        <f>_xlfn.XLOOKUP(TEXT($I558,"yyyy-mm-dd")&amp;"|"&amp;""&amp;"|"&amp;"",tblExcepciones[clave],tblExcepciones[habil],_xlfn.XLOOKUP(TEXT($I558,"yyyy-mm-dd")&amp;"|"&amp;""&amp;"|",tblExcepciones[clave],tblExcepciones[habil],_xlfn.XLOOKUP(TEXT($I558,"yyyy-mm-dd")&amp;"||",tblExcepciones[clave],tblExcepciones[habil],INDEX(patronHabil,WEEKDAY($I558,2)))))</f>
        <v/>
      </c>
    </row>
    <row r="559">
      <c r="I559" s="12" t="n">
        <v>46577</v>
      </c>
      <c r="J559" s="3">
        <f>_xlfn.XLOOKUP(TEXT($I559,"yyyy-mm-dd")&amp;"|"&amp;""&amp;"|"&amp;"",tblExcepciones[clave],tblExcepciones[habil],_xlfn.XLOOKUP(TEXT($I559,"yyyy-mm-dd")&amp;"|"&amp;""&amp;"|",tblExcepciones[clave],tblExcepciones[habil],_xlfn.XLOOKUP(TEXT($I559,"yyyy-mm-dd")&amp;"||",tblExcepciones[clave],tblExcepciones[habil],INDEX(patronHabil,WEEKDAY($I559,2)))))</f>
        <v/>
      </c>
    </row>
    <row r="560">
      <c r="I560" s="12" t="n">
        <v>46578</v>
      </c>
      <c r="J560" s="3">
        <f>_xlfn.XLOOKUP(TEXT($I560,"yyyy-mm-dd")&amp;"|"&amp;""&amp;"|"&amp;"",tblExcepciones[clave],tblExcepciones[habil],_xlfn.XLOOKUP(TEXT($I560,"yyyy-mm-dd")&amp;"|"&amp;""&amp;"|",tblExcepciones[clave],tblExcepciones[habil],_xlfn.XLOOKUP(TEXT($I560,"yyyy-mm-dd")&amp;"||",tblExcepciones[clave],tblExcepciones[habil],INDEX(patronHabil,WEEKDAY($I560,2)))))</f>
        <v/>
      </c>
    </row>
    <row r="561">
      <c r="I561" s="12" t="n">
        <v>46579</v>
      </c>
      <c r="J561" s="3">
        <f>_xlfn.XLOOKUP(TEXT($I561,"yyyy-mm-dd")&amp;"|"&amp;""&amp;"|"&amp;"",tblExcepciones[clave],tblExcepciones[habil],_xlfn.XLOOKUP(TEXT($I561,"yyyy-mm-dd")&amp;"|"&amp;""&amp;"|",tblExcepciones[clave],tblExcepciones[habil],_xlfn.XLOOKUP(TEXT($I561,"yyyy-mm-dd")&amp;"||",tblExcepciones[clave],tblExcepciones[habil],INDEX(patronHabil,WEEKDAY($I561,2)))))</f>
        <v/>
      </c>
    </row>
    <row r="562">
      <c r="I562" s="12" t="n">
        <v>46580</v>
      </c>
      <c r="J562" s="3">
        <f>_xlfn.XLOOKUP(TEXT($I562,"yyyy-mm-dd")&amp;"|"&amp;""&amp;"|"&amp;"",tblExcepciones[clave],tblExcepciones[habil],_xlfn.XLOOKUP(TEXT($I562,"yyyy-mm-dd")&amp;"|"&amp;""&amp;"|",tblExcepciones[clave],tblExcepciones[habil],_xlfn.XLOOKUP(TEXT($I562,"yyyy-mm-dd")&amp;"||",tblExcepciones[clave],tblExcepciones[habil],INDEX(patronHabil,WEEKDAY($I562,2)))))</f>
        <v/>
      </c>
    </row>
    <row r="563">
      <c r="I563" s="12" t="n">
        <v>46581</v>
      </c>
      <c r="J563" s="3">
        <f>_xlfn.XLOOKUP(TEXT($I563,"yyyy-mm-dd")&amp;"|"&amp;""&amp;"|"&amp;"",tblExcepciones[clave],tblExcepciones[habil],_xlfn.XLOOKUP(TEXT($I563,"yyyy-mm-dd")&amp;"|"&amp;""&amp;"|",tblExcepciones[clave],tblExcepciones[habil],_xlfn.XLOOKUP(TEXT($I563,"yyyy-mm-dd")&amp;"||",tblExcepciones[clave],tblExcepciones[habil],INDEX(patronHabil,WEEKDAY($I563,2)))))</f>
        <v/>
      </c>
    </row>
    <row r="564">
      <c r="I564" s="12" t="n">
        <v>46582</v>
      </c>
      <c r="J564" s="3">
        <f>_xlfn.XLOOKUP(TEXT($I564,"yyyy-mm-dd")&amp;"|"&amp;""&amp;"|"&amp;"",tblExcepciones[clave],tblExcepciones[habil],_xlfn.XLOOKUP(TEXT($I564,"yyyy-mm-dd")&amp;"|"&amp;""&amp;"|",tblExcepciones[clave],tblExcepciones[habil],_xlfn.XLOOKUP(TEXT($I564,"yyyy-mm-dd")&amp;"||",tblExcepciones[clave],tblExcepciones[habil],INDEX(patronHabil,WEEKDAY($I564,2)))))</f>
        <v/>
      </c>
    </row>
    <row r="565">
      <c r="I565" s="12" t="n">
        <v>46583</v>
      </c>
      <c r="J565" s="3">
        <f>_xlfn.XLOOKUP(TEXT($I565,"yyyy-mm-dd")&amp;"|"&amp;""&amp;"|"&amp;"",tblExcepciones[clave],tblExcepciones[habil],_xlfn.XLOOKUP(TEXT($I565,"yyyy-mm-dd")&amp;"|"&amp;""&amp;"|",tblExcepciones[clave],tblExcepciones[habil],_xlfn.XLOOKUP(TEXT($I565,"yyyy-mm-dd")&amp;"||",tblExcepciones[clave],tblExcepciones[habil],INDEX(patronHabil,WEEKDAY($I565,2)))))</f>
        <v/>
      </c>
    </row>
    <row r="566">
      <c r="I566" s="12" t="n">
        <v>46584</v>
      </c>
      <c r="J566" s="3">
        <f>_xlfn.XLOOKUP(TEXT($I566,"yyyy-mm-dd")&amp;"|"&amp;""&amp;"|"&amp;"",tblExcepciones[clave],tblExcepciones[habil],_xlfn.XLOOKUP(TEXT($I566,"yyyy-mm-dd")&amp;"|"&amp;""&amp;"|",tblExcepciones[clave],tblExcepciones[habil],_xlfn.XLOOKUP(TEXT($I566,"yyyy-mm-dd")&amp;"||",tblExcepciones[clave],tblExcepciones[habil],INDEX(patronHabil,WEEKDAY($I566,2)))))</f>
        <v/>
      </c>
    </row>
    <row r="567">
      <c r="I567" s="12" t="n">
        <v>46585</v>
      </c>
      <c r="J567" s="3">
        <f>_xlfn.XLOOKUP(TEXT($I567,"yyyy-mm-dd")&amp;"|"&amp;""&amp;"|"&amp;"",tblExcepciones[clave],tblExcepciones[habil],_xlfn.XLOOKUP(TEXT($I567,"yyyy-mm-dd")&amp;"|"&amp;""&amp;"|",tblExcepciones[clave],tblExcepciones[habil],_xlfn.XLOOKUP(TEXT($I567,"yyyy-mm-dd")&amp;"||",tblExcepciones[clave],tblExcepciones[habil],INDEX(patronHabil,WEEKDAY($I567,2)))))</f>
        <v/>
      </c>
    </row>
    <row r="568">
      <c r="I568" s="12" t="n">
        <v>46586</v>
      </c>
      <c r="J568" s="3">
        <f>_xlfn.XLOOKUP(TEXT($I568,"yyyy-mm-dd")&amp;"|"&amp;""&amp;"|"&amp;"",tblExcepciones[clave],tblExcepciones[habil],_xlfn.XLOOKUP(TEXT($I568,"yyyy-mm-dd")&amp;"|"&amp;""&amp;"|",tblExcepciones[clave],tblExcepciones[habil],_xlfn.XLOOKUP(TEXT($I568,"yyyy-mm-dd")&amp;"||",tblExcepciones[clave],tblExcepciones[habil],INDEX(patronHabil,WEEKDAY($I568,2)))))</f>
        <v/>
      </c>
    </row>
    <row r="569">
      <c r="I569" s="12" t="n">
        <v>46587</v>
      </c>
      <c r="J569" s="3">
        <f>_xlfn.XLOOKUP(TEXT($I569,"yyyy-mm-dd")&amp;"|"&amp;""&amp;"|"&amp;"",tblExcepciones[clave],tblExcepciones[habil],_xlfn.XLOOKUP(TEXT($I569,"yyyy-mm-dd")&amp;"|"&amp;""&amp;"|",tblExcepciones[clave],tblExcepciones[habil],_xlfn.XLOOKUP(TEXT($I569,"yyyy-mm-dd")&amp;"||",tblExcepciones[clave],tblExcepciones[habil],INDEX(patronHabil,WEEKDAY($I569,2)))))</f>
        <v/>
      </c>
    </row>
    <row r="570">
      <c r="I570" s="12" t="n">
        <v>46588</v>
      </c>
      <c r="J570" s="3">
        <f>_xlfn.XLOOKUP(TEXT($I570,"yyyy-mm-dd")&amp;"|"&amp;""&amp;"|"&amp;"",tblExcepciones[clave],tblExcepciones[habil],_xlfn.XLOOKUP(TEXT($I570,"yyyy-mm-dd")&amp;"|"&amp;""&amp;"|",tblExcepciones[clave],tblExcepciones[habil],_xlfn.XLOOKUP(TEXT($I570,"yyyy-mm-dd")&amp;"||",tblExcepciones[clave],tblExcepciones[habil],INDEX(patronHabil,WEEKDAY($I570,2)))))</f>
        <v/>
      </c>
    </row>
    <row r="571">
      <c r="I571" s="12" t="n">
        <v>46589</v>
      </c>
      <c r="J571" s="3">
        <f>_xlfn.XLOOKUP(TEXT($I571,"yyyy-mm-dd")&amp;"|"&amp;""&amp;"|"&amp;"",tblExcepciones[clave],tblExcepciones[habil],_xlfn.XLOOKUP(TEXT($I571,"yyyy-mm-dd")&amp;"|"&amp;""&amp;"|",tblExcepciones[clave],tblExcepciones[habil],_xlfn.XLOOKUP(TEXT($I571,"yyyy-mm-dd")&amp;"||",tblExcepciones[clave],tblExcepciones[habil],INDEX(patronHabil,WEEKDAY($I571,2)))))</f>
        <v/>
      </c>
    </row>
    <row r="572">
      <c r="I572" s="12" t="n">
        <v>46590</v>
      </c>
      <c r="J572" s="3">
        <f>_xlfn.XLOOKUP(TEXT($I572,"yyyy-mm-dd")&amp;"|"&amp;""&amp;"|"&amp;"",tblExcepciones[clave],tblExcepciones[habil],_xlfn.XLOOKUP(TEXT($I572,"yyyy-mm-dd")&amp;"|"&amp;""&amp;"|",tblExcepciones[clave],tblExcepciones[habil],_xlfn.XLOOKUP(TEXT($I572,"yyyy-mm-dd")&amp;"||",tblExcepciones[clave],tblExcepciones[habil],INDEX(patronHabil,WEEKDAY($I572,2)))))</f>
        <v/>
      </c>
    </row>
    <row r="573">
      <c r="I573" s="12" t="n">
        <v>46591</v>
      </c>
      <c r="J573" s="3">
        <f>_xlfn.XLOOKUP(TEXT($I573,"yyyy-mm-dd")&amp;"|"&amp;""&amp;"|"&amp;"",tblExcepciones[clave],tblExcepciones[habil],_xlfn.XLOOKUP(TEXT($I573,"yyyy-mm-dd")&amp;"|"&amp;""&amp;"|",tblExcepciones[clave],tblExcepciones[habil],_xlfn.XLOOKUP(TEXT($I573,"yyyy-mm-dd")&amp;"||",tblExcepciones[clave],tblExcepciones[habil],INDEX(patronHabil,WEEKDAY($I573,2)))))</f>
        <v/>
      </c>
    </row>
    <row r="574">
      <c r="I574" s="12" t="n">
        <v>46592</v>
      </c>
      <c r="J574" s="3">
        <f>_xlfn.XLOOKUP(TEXT($I574,"yyyy-mm-dd")&amp;"|"&amp;""&amp;"|"&amp;"",tblExcepciones[clave],tblExcepciones[habil],_xlfn.XLOOKUP(TEXT($I574,"yyyy-mm-dd")&amp;"|"&amp;""&amp;"|",tblExcepciones[clave],tblExcepciones[habil],_xlfn.XLOOKUP(TEXT($I574,"yyyy-mm-dd")&amp;"||",tblExcepciones[clave],tblExcepciones[habil],INDEX(patronHabil,WEEKDAY($I574,2)))))</f>
        <v/>
      </c>
    </row>
    <row r="575">
      <c r="I575" s="12" t="n">
        <v>46593</v>
      </c>
      <c r="J575" s="3">
        <f>_xlfn.XLOOKUP(TEXT($I575,"yyyy-mm-dd")&amp;"|"&amp;""&amp;"|"&amp;"",tblExcepciones[clave],tblExcepciones[habil],_xlfn.XLOOKUP(TEXT($I575,"yyyy-mm-dd")&amp;"|"&amp;""&amp;"|",tblExcepciones[clave],tblExcepciones[habil],_xlfn.XLOOKUP(TEXT($I575,"yyyy-mm-dd")&amp;"||",tblExcepciones[clave],tblExcepciones[habil],INDEX(patronHabil,WEEKDAY($I575,2)))))</f>
        <v/>
      </c>
    </row>
    <row r="576">
      <c r="I576" s="12" t="n">
        <v>46594</v>
      </c>
      <c r="J576" s="3">
        <f>_xlfn.XLOOKUP(TEXT($I576,"yyyy-mm-dd")&amp;"|"&amp;""&amp;"|"&amp;"",tblExcepciones[clave],tblExcepciones[habil],_xlfn.XLOOKUP(TEXT($I576,"yyyy-mm-dd")&amp;"|"&amp;""&amp;"|",tblExcepciones[clave],tblExcepciones[habil],_xlfn.XLOOKUP(TEXT($I576,"yyyy-mm-dd")&amp;"||",tblExcepciones[clave],tblExcepciones[habil],INDEX(patronHabil,WEEKDAY($I576,2)))))</f>
        <v/>
      </c>
    </row>
    <row r="577">
      <c r="I577" s="12" t="n">
        <v>46595</v>
      </c>
      <c r="J577" s="3">
        <f>_xlfn.XLOOKUP(TEXT($I577,"yyyy-mm-dd")&amp;"|"&amp;""&amp;"|"&amp;"",tblExcepciones[clave],tblExcepciones[habil],_xlfn.XLOOKUP(TEXT($I577,"yyyy-mm-dd")&amp;"|"&amp;""&amp;"|",tblExcepciones[clave],tblExcepciones[habil],_xlfn.XLOOKUP(TEXT($I577,"yyyy-mm-dd")&amp;"||",tblExcepciones[clave],tblExcepciones[habil],INDEX(patronHabil,WEEKDAY($I577,2)))))</f>
        <v/>
      </c>
    </row>
    <row r="578">
      <c r="I578" s="12" t="n">
        <v>46596</v>
      </c>
      <c r="J578" s="3">
        <f>_xlfn.XLOOKUP(TEXT($I578,"yyyy-mm-dd")&amp;"|"&amp;""&amp;"|"&amp;"",tblExcepciones[clave],tblExcepciones[habil],_xlfn.XLOOKUP(TEXT($I578,"yyyy-mm-dd")&amp;"|"&amp;""&amp;"|",tblExcepciones[clave],tblExcepciones[habil],_xlfn.XLOOKUP(TEXT($I578,"yyyy-mm-dd")&amp;"||",tblExcepciones[clave],tblExcepciones[habil],INDEX(patronHabil,WEEKDAY($I578,2)))))</f>
        <v/>
      </c>
    </row>
    <row r="579">
      <c r="I579" s="12" t="n">
        <v>46597</v>
      </c>
      <c r="J579" s="3">
        <f>_xlfn.XLOOKUP(TEXT($I579,"yyyy-mm-dd")&amp;"|"&amp;""&amp;"|"&amp;"",tblExcepciones[clave],tblExcepciones[habil],_xlfn.XLOOKUP(TEXT($I579,"yyyy-mm-dd")&amp;"|"&amp;""&amp;"|",tblExcepciones[clave],tblExcepciones[habil],_xlfn.XLOOKUP(TEXT($I579,"yyyy-mm-dd")&amp;"||",tblExcepciones[clave],tblExcepciones[habil],INDEX(patronHabil,WEEKDAY($I579,2)))))</f>
        <v/>
      </c>
    </row>
    <row r="580">
      <c r="I580" s="12" t="n">
        <v>46598</v>
      </c>
      <c r="J580" s="3">
        <f>_xlfn.XLOOKUP(TEXT($I580,"yyyy-mm-dd")&amp;"|"&amp;""&amp;"|"&amp;"",tblExcepciones[clave],tblExcepciones[habil],_xlfn.XLOOKUP(TEXT($I580,"yyyy-mm-dd")&amp;"|"&amp;""&amp;"|",tblExcepciones[clave],tblExcepciones[habil],_xlfn.XLOOKUP(TEXT($I580,"yyyy-mm-dd")&amp;"||",tblExcepciones[clave],tblExcepciones[habil],INDEX(patronHabil,WEEKDAY($I580,2)))))</f>
        <v/>
      </c>
    </row>
    <row r="581">
      <c r="I581" s="12" t="n">
        <v>46599</v>
      </c>
      <c r="J581" s="3">
        <f>_xlfn.XLOOKUP(TEXT($I581,"yyyy-mm-dd")&amp;"|"&amp;""&amp;"|"&amp;"",tblExcepciones[clave],tblExcepciones[habil],_xlfn.XLOOKUP(TEXT($I581,"yyyy-mm-dd")&amp;"|"&amp;""&amp;"|",tblExcepciones[clave],tblExcepciones[habil],_xlfn.XLOOKUP(TEXT($I581,"yyyy-mm-dd")&amp;"||",tblExcepciones[clave],tblExcepciones[habil],INDEX(patronHabil,WEEKDAY($I581,2)))))</f>
        <v/>
      </c>
    </row>
    <row r="582">
      <c r="I582" s="12" t="n">
        <v>46600</v>
      </c>
      <c r="J582" s="3">
        <f>_xlfn.XLOOKUP(TEXT($I582,"yyyy-mm-dd")&amp;"|"&amp;""&amp;"|"&amp;"",tblExcepciones[clave],tblExcepciones[habil],_xlfn.XLOOKUP(TEXT($I582,"yyyy-mm-dd")&amp;"|"&amp;""&amp;"|",tblExcepciones[clave],tblExcepciones[habil],_xlfn.XLOOKUP(TEXT($I582,"yyyy-mm-dd")&amp;"||",tblExcepciones[clave],tblExcepciones[habil],INDEX(patronHabil,WEEKDAY($I582,2)))))</f>
        <v/>
      </c>
    </row>
    <row r="583">
      <c r="I583" s="12" t="n">
        <v>46601</v>
      </c>
      <c r="J583" s="3">
        <f>_xlfn.XLOOKUP(TEXT($I583,"yyyy-mm-dd")&amp;"|"&amp;""&amp;"|"&amp;"",tblExcepciones[clave],tblExcepciones[habil],_xlfn.XLOOKUP(TEXT($I583,"yyyy-mm-dd")&amp;"|"&amp;""&amp;"|",tblExcepciones[clave],tblExcepciones[habil],_xlfn.XLOOKUP(TEXT($I583,"yyyy-mm-dd")&amp;"||",tblExcepciones[clave],tblExcepciones[habil],INDEX(patronHabil,WEEKDAY($I583,2)))))</f>
        <v/>
      </c>
    </row>
    <row r="584">
      <c r="I584" s="12" t="n">
        <v>46602</v>
      </c>
      <c r="J584" s="3">
        <f>_xlfn.XLOOKUP(TEXT($I584,"yyyy-mm-dd")&amp;"|"&amp;""&amp;"|"&amp;"",tblExcepciones[clave],tblExcepciones[habil],_xlfn.XLOOKUP(TEXT($I584,"yyyy-mm-dd")&amp;"|"&amp;""&amp;"|",tblExcepciones[clave],tblExcepciones[habil],_xlfn.XLOOKUP(TEXT($I584,"yyyy-mm-dd")&amp;"||",tblExcepciones[clave],tblExcepciones[habil],INDEX(patronHabil,WEEKDAY($I584,2)))))</f>
        <v/>
      </c>
    </row>
    <row r="585">
      <c r="I585" s="12" t="n">
        <v>46603</v>
      </c>
      <c r="J585" s="3">
        <f>_xlfn.XLOOKUP(TEXT($I585,"yyyy-mm-dd")&amp;"|"&amp;""&amp;"|"&amp;"",tblExcepciones[clave],tblExcepciones[habil],_xlfn.XLOOKUP(TEXT($I585,"yyyy-mm-dd")&amp;"|"&amp;""&amp;"|",tblExcepciones[clave],tblExcepciones[habil],_xlfn.XLOOKUP(TEXT($I585,"yyyy-mm-dd")&amp;"||",tblExcepciones[clave],tblExcepciones[habil],INDEX(patronHabil,WEEKDAY($I585,2)))))</f>
        <v/>
      </c>
    </row>
    <row r="586">
      <c r="I586" s="12" t="n">
        <v>46604</v>
      </c>
      <c r="J586" s="3">
        <f>_xlfn.XLOOKUP(TEXT($I586,"yyyy-mm-dd")&amp;"|"&amp;""&amp;"|"&amp;"",tblExcepciones[clave],tblExcepciones[habil],_xlfn.XLOOKUP(TEXT($I586,"yyyy-mm-dd")&amp;"|"&amp;""&amp;"|",tblExcepciones[clave],tblExcepciones[habil],_xlfn.XLOOKUP(TEXT($I586,"yyyy-mm-dd")&amp;"||",tblExcepciones[clave],tblExcepciones[habil],INDEX(patronHabil,WEEKDAY($I586,2)))))</f>
        <v/>
      </c>
    </row>
    <row r="587">
      <c r="I587" s="12" t="n">
        <v>46605</v>
      </c>
      <c r="J587" s="3">
        <f>_xlfn.XLOOKUP(TEXT($I587,"yyyy-mm-dd")&amp;"|"&amp;""&amp;"|"&amp;"",tblExcepciones[clave],tblExcepciones[habil],_xlfn.XLOOKUP(TEXT($I587,"yyyy-mm-dd")&amp;"|"&amp;""&amp;"|",tblExcepciones[clave],tblExcepciones[habil],_xlfn.XLOOKUP(TEXT($I587,"yyyy-mm-dd")&amp;"||",tblExcepciones[clave],tblExcepciones[habil],INDEX(patronHabil,WEEKDAY($I587,2)))))</f>
        <v/>
      </c>
    </row>
    <row r="588">
      <c r="I588" s="12" t="n">
        <v>46606</v>
      </c>
      <c r="J588" s="3">
        <f>_xlfn.XLOOKUP(TEXT($I588,"yyyy-mm-dd")&amp;"|"&amp;""&amp;"|"&amp;"",tblExcepciones[clave],tblExcepciones[habil],_xlfn.XLOOKUP(TEXT($I588,"yyyy-mm-dd")&amp;"|"&amp;""&amp;"|",tblExcepciones[clave],tblExcepciones[habil],_xlfn.XLOOKUP(TEXT($I588,"yyyy-mm-dd")&amp;"||",tblExcepciones[clave],tblExcepciones[habil],INDEX(patronHabil,WEEKDAY($I588,2)))))</f>
        <v/>
      </c>
    </row>
    <row r="589">
      <c r="I589" s="12" t="n">
        <v>46607</v>
      </c>
      <c r="J589" s="3">
        <f>_xlfn.XLOOKUP(TEXT($I589,"yyyy-mm-dd")&amp;"|"&amp;""&amp;"|"&amp;"",tblExcepciones[clave],tblExcepciones[habil],_xlfn.XLOOKUP(TEXT($I589,"yyyy-mm-dd")&amp;"|"&amp;""&amp;"|",tblExcepciones[clave],tblExcepciones[habil],_xlfn.XLOOKUP(TEXT($I589,"yyyy-mm-dd")&amp;"||",tblExcepciones[clave],tblExcepciones[habil],INDEX(patronHabil,WEEKDAY($I589,2)))))</f>
        <v/>
      </c>
    </row>
    <row r="590">
      <c r="I590" s="12" t="n">
        <v>46608</v>
      </c>
      <c r="J590" s="3">
        <f>_xlfn.XLOOKUP(TEXT($I590,"yyyy-mm-dd")&amp;"|"&amp;""&amp;"|"&amp;"",tblExcepciones[clave],tblExcepciones[habil],_xlfn.XLOOKUP(TEXT($I590,"yyyy-mm-dd")&amp;"|"&amp;""&amp;"|",tblExcepciones[clave],tblExcepciones[habil],_xlfn.XLOOKUP(TEXT($I590,"yyyy-mm-dd")&amp;"||",tblExcepciones[clave],tblExcepciones[habil],INDEX(patronHabil,WEEKDAY($I590,2)))))</f>
        <v/>
      </c>
    </row>
    <row r="591">
      <c r="I591" s="12" t="n">
        <v>46609</v>
      </c>
      <c r="J591" s="3">
        <f>_xlfn.XLOOKUP(TEXT($I591,"yyyy-mm-dd")&amp;"|"&amp;""&amp;"|"&amp;"",tblExcepciones[clave],tblExcepciones[habil],_xlfn.XLOOKUP(TEXT($I591,"yyyy-mm-dd")&amp;"|"&amp;""&amp;"|",tblExcepciones[clave],tblExcepciones[habil],_xlfn.XLOOKUP(TEXT($I591,"yyyy-mm-dd")&amp;"||",tblExcepciones[clave],tblExcepciones[habil],INDEX(patronHabil,WEEKDAY($I591,2)))))</f>
        <v/>
      </c>
    </row>
    <row r="592">
      <c r="I592" s="12" t="n">
        <v>46610</v>
      </c>
      <c r="J592" s="3">
        <f>_xlfn.XLOOKUP(TEXT($I592,"yyyy-mm-dd")&amp;"|"&amp;""&amp;"|"&amp;"",tblExcepciones[clave],tblExcepciones[habil],_xlfn.XLOOKUP(TEXT($I592,"yyyy-mm-dd")&amp;"|"&amp;""&amp;"|",tblExcepciones[clave],tblExcepciones[habil],_xlfn.XLOOKUP(TEXT($I592,"yyyy-mm-dd")&amp;"||",tblExcepciones[clave],tblExcepciones[habil],INDEX(patronHabil,WEEKDAY($I592,2)))))</f>
        <v/>
      </c>
    </row>
    <row r="593">
      <c r="I593" s="12" t="n">
        <v>46611</v>
      </c>
      <c r="J593" s="3">
        <f>_xlfn.XLOOKUP(TEXT($I593,"yyyy-mm-dd")&amp;"|"&amp;""&amp;"|"&amp;"",tblExcepciones[clave],tblExcepciones[habil],_xlfn.XLOOKUP(TEXT($I593,"yyyy-mm-dd")&amp;"|"&amp;""&amp;"|",tblExcepciones[clave],tblExcepciones[habil],_xlfn.XLOOKUP(TEXT($I593,"yyyy-mm-dd")&amp;"||",tblExcepciones[clave],tblExcepciones[habil],INDEX(patronHabil,WEEKDAY($I593,2)))))</f>
        <v/>
      </c>
    </row>
    <row r="594">
      <c r="I594" s="12" t="n">
        <v>46612</v>
      </c>
      <c r="J594" s="3">
        <f>_xlfn.XLOOKUP(TEXT($I594,"yyyy-mm-dd")&amp;"|"&amp;""&amp;"|"&amp;"",tblExcepciones[clave],tblExcepciones[habil],_xlfn.XLOOKUP(TEXT($I594,"yyyy-mm-dd")&amp;"|"&amp;""&amp;"|",tblExcepciones[clave],tblExcepciones[habil],_xlfn.XLOOKUP(TEXT($I594,"yyyy-mm-dd")&amp;"||",tblExcepciones[clave],tblExcepciones[habil],INDEX(patronHabil,WEEKDAY($I594,2)))))</f>
        <v/>
      </c>
    </row>
    <row r="595">
      <c r="I595" s="12" t="n">
        <v>46613</v>
      </c>
      <c r="J595" s="3">
        <f>_xlfn.XLOOKUP(TEXT($I595,"yyyy-mm-dd")&amp;"|"&amp;""&amp;"|"&amp;"",tblExcepciones[clave],tblExcepciones[habil],_xlfn.XLOOKUP(TEXT($I595,"yyyy-mm-dd")&amp;"|"&amp;""&amp;"|",tblExcepciones[clave],tblExcepciones[habil],_xlfn.XLOOKUP(TEXT($I595,"yyyy-mm-dd")&amp;"||",tblExcepciones[clave],tblExcepciones[habil],INDEX(patronHabil,WEEKDAY($I595,2)))))</f>
        <v/>
      </c>
    </row>
    <row r="596">
      <c r="I596" s="12" t="n">
        <v>46614</v>
      </c>
      <c r="J596" s="3">
        <f>_xlfn.XLOOKUP(TEXT($I596,"yyyy-mm-dd")&amp;"|"&amp;""&amp;"|"&amp;"",tblExcepciones[clave],tblExcepciones[habil],_xlfn.XLOOKUP(TEXT($I596,"yyyy-mm-dd")&amp;"|"&amp;""&amp;"|",tblExcepciones[clave],tblExcepciones[habil],_xlfn.XLOOKUP(TEXT($I596,"yyyy-mm-dd")&amp;"||",tblExcepciones[clave],tblExcepciones[habil],INDEX(patronHabil,WEEKDAY($I596,2)))))</f>
        <v/>
      </c>
    </row>
    <row r="597">
      <c r="I597" s="12" t="n">
        <v>46615</v>
      </c>
      <c r="J597" s="3">
        <f>_xlfn.XLOOKUP(TEXT($I597,"yyyy-mm-dd")&amp;"|"&amp;""&amp;"|"&amp;"",tblExcepciones[clave],tblExcepciones[habil],_xlfn.XLOOKUP(TEXT($I597,"yyyy-mm-dd")&amp;"|"&amp;""&amp;"|",tblExcepciones[clave],tblExcepciones[habil],_xlfn.XLOOKUP(TEXT($I597,"yyyy-mm-dd")&amp;"||",tblExcepciones[clave],tblExcepciones[habil],INDEX(patronHabil,WEEKDAY($I597,2)))))</f>
        <v/>
      </c>
    </row>
    <row r="598">
      <c r="I598" s="12" t="n">
        <v>46616</v>
      </c>
      <c r="J598" s="3">
        <f>_xlfn.XLOOKUP(TEXT($I598,"yyyy-mm-dd")&amp;"|"&amp;""&amp;"|"&amp;"",tblExcepciones[clave],tblExcepciones[habil],_xlfn.XLOOKUP(TEXT($I598,"yyyy-mm-dd")&amp;"|"&amp;""&amp;"|",tblExcepciones[clave],tblExcepciones[habil],_xlfn.XLOOKUP(TEXT($I598,"yyyy-mm-dd")&amp;"||",tblExcepciones[clave],tblExcepciones[habil],INDEX(patronHabil,WEEKDAY($I598,2)))))</f>
        <v/>
      </c>
    </row>
    <row r="599">
      <c r="I599" s="12" t="n">
        <v>46617</v>
      </c>
      <c r="J599" s="3">
        <f>_xlfn.XLOOKUP(TEXT($I599,"yyyy-mm-dd")&amp;"|"&amp;""&amp;"|"&amp;"",tblExcepciones[clave],tblExcepciones[habil],_xlfn.XLOOKUP(TEXT($I599,"yyyy-mm-dd")&amp;"|"&amp;""&amp;"|",tblExcepciones[clave],tblExcepciones[habil],_xlfn.XLOOKUP(TEXT($I599,"yyyy-mm-dd")&amp;"||",tblExcepciones[clave],tblExcepciones[habil],INDEX(patronHabil,WEEKDAY($I599,2)))))</f>
        <v/>
      </c>
    </row>
    <row r="600">
      <c r="I600" s="12" t="n">
        <v>46618</v>
      </c>
      <c r="J600" s="3">
        <f>_xlfn.XLOOKUP(TEXT($I600,"yyyy-mm-dd")&amp;"|"&amp;""&amp;"|"&amp;"",tblExcepciones[clave],tblExcepciones[habil],_xlfn.XLOOKUP(TEXT($I600,"yyyy-mm-dd")&amp;"|"&amp;""&amp;"|",tblExcepciones[clave],tblExcepciones[habil],_xlfn.XLOOKUP(TEXT($I600,"yyyy-mm-dd")&amp;"||",tblExcepciones[clave],tblExcepciones[habil],INDEX(patronHabil,WEEKDAY($I600,2)))))</f>
        <v/>
      </c>
    </row>
    <row r="601">
      <c r="I601" s="12" t="n">
        <v>46619</v>
      </c>
      <c r="J601" s="3">
        <f>_xlfn.XLOOKUP(TEXT($I601,"yyyy-mm-dd")&amp;"|"&amp;""&amp;"|"&amp;"",tblExcepciones[clave],tblExcepciones[habil],_xlfn.XLOOKUP(TEXT($I601,"yyyy-mm-dd")&amp;"|"&amp;""&amp;"|",tblExcepciones[clave],tblExcepciones[habil],_xlfn.XLOOKUP(TEXT($I601,"yyyy-mm-dd")&amp;"||",tblExcepciones[clave],tblExcepciones[habil],INDEX(patronHabil,WEEKDAY($I601,2)))))</f>
        <v/>
      </c>
    </row>
    <row r="602">
      <c r="I602" s="12" t="n">
        <v>46620</v>
      </c>
      <c r="J602" s="3">
        <f>_xlfn.XLOOKUP(TEXT($I602,"yyyy-mm-dd")&amp;"|"&amp;""&amp;"|"&amp;"",tblExcepciones[clave],tblExcepciones[habil],_xlfn.XLOOKUP(TEXT($I602,"yyyy-mm-dd")&amp;"|"&amp;""&amp;"|",tblExcepciones[clave],tblExcepciones[habil],_xlfn.XLOOKUP(TEXT($I602,"yyyy-mm-dd")&amp;"||",tblExcepciones[clave],tblExcepciones[habil],INDEX(patronHabil,WEEKDAY($I602,2)))))</f>
        <v/>
      </c>
    </row>
    <row r="603">
      <c r="I603" s="12" t="n">
        <v>46621</v>
      </c>
      <c r="J603" s="3">
        <f>_xlfn.XLOOKUP(TEXT($I603,"yyyy-mm-dd")&amp;"|"&amp;""&amp;"|"&amp;"",tblExcepciones[clave],tblExcepciones[habil],_xlfn.XLOOKUP(TEXT($I603,"yyyy-mm-dd")&amp;"|"&amp;""&amp;"|",tblExcepciones[clave],tblExcepciones[habil],_xlfn.XLOOKUP(TEXT($I603,"yyyy-mm-dd")&amp;"||",tblExcepciones[clave],tblExcepciones[habil],INDEX(patronHabil,WEEKDAY($I603,2)))))</f>
        <v/>
      </c>
    </row>
    <row r="604">
      <c r="I604" s="12" t="n">
        <v>46622</v>
      </c>
      <c r="J604" s="3">
        <f>_xlfn.XLOOKUP(TEXT($I604,"yyyy-mm-dd")&amp;"|"&amp;""&amp;"|"&amp;"",tblExcepciones[clave],tblExcepciones[habil],_xlfn.XLOOKUP(TEXT($I604,"yyyy-mm-dd")&amp;"|"&amp;""&amp;"|",tblExcepciones[clave],tblExcepciones[habil],_xlfn.XLOOKUP(TEXT($I604,"yyyy-mm-dd")&amp;"||",tblExcepciones[clave],tblExcepciones[habil],INDEX(patronHabil,WEEKDAY($I604,2)))))</f>
        <v/>
      </c>
    </row>
    <row r="605">
      <c r="I605" s="12" t="n">
        <v>46623</v>
      </c>
      <c r="J605" s="3">
        <f>_xlfn.XLOOKUP(TEXT($I605,"yyyy-mm-dd")&amp;"|"&amp;""&amp;"|"&amp;"",tblExcepciones[clave],tblExcepciones[habil],_xlfn.XLOOKUP(TEXT($I605,"yyyy-mm-dd")&amp;"|"&amp;""&amp;"|",tblExcepciones[clave],tblExcepciones[habil],_xlfn.XLOOKUP(TEXT($I605,"yyyy-mm-dd")&amp;"||",tblExcepciones[clave],tblExcepciones[habil],INDEX(patronHabil,WEEKDAY($I605,2)))))</f>
        <v/>
      </c>
    </row>
    <row r="606">
      <c r="I606" s="12" t="n">
        <v>46624</v>
      </c>
      <c r="J606" s="3">
        <f>_xlfn.XLOOKUP(TEXT($I606,"yyyy-mm-dd")&amp;"|"&amp;""&amp;"|"&amp;"",tblExcepciones[clave],tblExcepciones[habil],_xlfn.XLOOKUP(TEXT($I606,"yyyy-mm-dd")&amp;"|"&amp;""&amp;"|",tblExcepciones[clave],tblExcepciones[habil],_xlfn.XLOOKUP(TEXT($I606,"yyyy-mm-dd")&amp;"||",tblExcepciones[clave],tblExcepciones[habil],INDEX(patronHabil,WEEKDAY($I606,2)))))</f>
        <v/>
      </c>
    </row>
    <row r="607">
      <c r="I607" s="12" t="n">
        <v>46625</v>
      </c>
      <c r="J607" s="3">
        <f>_xlfn.XLOOKUP(TEXT($I607,"yyyy-mm-dd")&amp;"|"&amp;""&amp;"|"&amp;"",tblExcepciones[clave],tblExcepciones[habil],_xlfn.XLOOKUP(TEXT($I607,"yyyy-mm-dd")&amp;"|"&amp;""&amp;"|",tblExcepciones[clave],tblExcepciones[habil],_xlfn.XLOOKUP(TEXT($I607,"yyyy-mm-dd")&amp;"||",tblExcepciones[clave],tblExcepciones[habil],INDEX(patronHabil,WEEKDAY($I607,2)))))</f>
        <v/>
      </c>
    </row>
    <row r="608">
      <c r="I608" s="12" t="n">
        <v>46626</v>
      </c>
      <c r="J608" s="3">
        <f>_xlfn.XLOOKUP(TEXT($I608,"yyyy-mm-dd")&amp;"|"&amp;""&amp;"|"&amp;"",tblExcepciones[clave],tblExcepciones[habil],_xlfn.XLOOKUP(TEXT($I608,"yyyy-mm-dd")&amp;"|"&amp;""&amp;"|",tblExcepciones[clave],tblExcepciones[habil],_xlfn.XLOOKUP(TEXT($I608,"yyyy-mm-dd")&amp;"||",tblExcepciones[clave],tblExcepciones[habil],INDEX(patronHabil,WEEKDAY($I608,2)))))</f>
        <v/>
      </c>
    </row>
    <row r="609">
      <c r="I609" s="12" t="n">
        <v>46627</v>
      </c>
      <c r="J609" s="3">
        <f>_xlfn.XLOOKUP(TEXT($I609,"yyyy-mm-dd")&amp;"|"&amp;""&amp;"|"&amp;"",tblExcepciones[clave],tblExcepciones[habil],_xlfn.XLOOKUP(TEXT($I609,"yyyy-mm-dd")&amp;"|"&amp;""&amp;"|",tblExcepciones[clave],tblExcepciones[habil],_xlfn.XLOOKUP(TEXT($I609,"yyyy-mm-dd")&amp;"||",tblExcepciones[clave],tblExcepciones[habil],INDEX(patronHabil,WEEKDAY($I609,2)))))</f>
        <v/>
      </c>
    </row>
    <row r="610">
      <c r="I610" s="12" t="n">
        <v>46628</v>
      </c>
      <c r="J610" s="3">
        <f>_xlfn.XLOOKUP(TEXT($I610,"yyyy-mm-dd")&amp;"|"&amp;""&amp;"|"&amp;"",tblExcepciones[clave],tblExcepciones[habil],_xlfn.XLOOKUP(TEXT($I610,"yyyy-mm-dd")&amp;"|"&amp;""&amp;"|",tblExcepciones[clave],tblExcepciones[habil],_xlfn.XLOOKUP(TEXT($I610,"yyyy-mm-dd")&amp;"||",tblExcepciones[clave],tblExcepciones[habil],INDEX(patronHabil,WEEKDAY($I610,2)))))</f>
        <v/>
      </c>
    </row>
    <row r="611">
      <c r="I611" s="12" t="n">
        <v>46629</v>
      </c>
      <c r="J611" s="3">
        <f>_xlfn.XLOOKUP(TEXT($I611,"yyyy-mm-dd")&amp;"|"&amp;""&amp;"|"&amp;"",tblExcepciones[clave],tblExcepciones[habil],_xlfn.XLOOKUP(TEXT($I611,"yyyy-mm-dd")&amp;"|"&amp;""&amp;"|",tblExcepciones[clave],tblExcepciones[habil],_xlfn.XLOOKUP(TEXT($I611,"yyyy-mm-dd")&amp;"||",tblExcepciones[clave],tblExcepciones[habil],INDEX(patronHabil,WEEKDAY($I611,2)))))</f>
        <v/>
      </c>
    </row>
    <row r="612">
      <c r="I612" s="12" t="n">
        <v>46630</v>
      </c>
      <c r="J612" s="3">
        <f>_xlfn.XLOOKUP(TEXT($I612,"yyyy-mm-dd")&amp;"|"&amp;""&amp;"|"&amp;"",tblExcepciones[clave],tblExcepciones[habil],_xlfn.XLOOKUP(TEXT($I612,"yyyy-mm-dd")&amp;"|"&amp;""&amp;"|",tblExcepciones[clave],tblExcepciones[habil],_xlfn.XLOOKUP(TEXT($I612,"yyyy-mm-dd")&amp;"||",tblExcepciones[clave],tblExcepciones[habil],INDEX(patronHabil,WEEKDAY($I612,2)))))</f>
        <v/>
      </c>
    </row>
    <row r="613">
      <c r="I613" s="12" t="n">
        <v>46631</v>
      </c>
      <c r="J613" s="3">
        <f>_xlfn.XLOOKUP(TEXT($I613,"yyyy-mm-dd")&amp;"|"&amp;""&amp;"|"&amp;"",tblExcepciones[clave],tblExcepciones[habil],_xlfn.XLOOKUP(TEXT($I613,"yyyy-mm-dd")&amp;"|"&amp;""&amp;"|",tblExcepciones[clave],tblExcepciones[habil],_xlfn.XLOOKUP(TEXT($I613,"yyyy-mm-dd")&amp;"||",tblExcepciones[clave],tblExcepciones[habil],INDEX(patronHabil,WEEKDAY($I613,2)))))</f>
        <v/>
      </c>
    </row>
    <row r="614">
      <c r="I614" s="12" t="n">
        <v>46632</v>
      </c>
      <c r="J614" s="3">
        <f>_xlfn.XLOOKUP(TEXT($I614,"yyyy-mm-dd")&amp;"|"&amp;""&amp;"|"&amp;"",tblExcepciones[clave],tblExcepciones[habil],_xlfn.XLOOKUP(TEXT($I614,"yyyy-mm-dd")&amp;"|"&amp;""&amp;"|",tblExcepciones[clave],tblExcepciones[habil],_xlfn.XLOOKUP(TEXT($I614,"yyyy-mm-dd")&amp;"||",tblExcepciones[clave],tblExcepciones[habil],INDEX(patronHabil,WEEKDAY($I614,2)))))</f>
        <v/>
      </c>
    </row>
    <row r="615">
      <c r="I615" s="12" t="n">
        <v>46633</v>
      </c>
      <c r="J615" s="3">
        <f>_xlfn.XLOOKUP(TEXT($I615,"yyyy-mm-dd")&amp;"|"&amp;""&amp;"|"&amp;"",tblExcepciones[clave],tblExcepciones[habil],_xlfn.XLOOKUP(TEXT($I615,"yyyy-mm-dd")&amp;"|"&amp;""&amp;"|",tblExcepciones[clave],tblExcepciones[habil],_xlfn.XLOOKUP(TEXT($I615,"yyyy-mm-dd")&amp;"||",tblExcepciones[clave],tblExcepciones[habil],INDEX(patronHabil,WEEKDAY($I615,2)))))</f>
        <v/>
      </c>
    </row>
    <row r="616">
      <c r="I616" s="12" t="n">
        <v>46634</v>
      </c>
      <c r="J616" s="3">
        <f>_xlfn.XLOOKUP(TEXT($I616,"yyyy-mm-dd")&amp;"|"&amp;""&amp;"|"&amp;"",tblExcepciones[clave],tblExcepciones[habil],_xlfn.XLOOKUP(TEXT($I616,"yyyy-mm-dd")&amp;"|"&amp;""&amp;"|",tblExcepciones[clave],tblExcepciones[habil],_xlfn.XLOOKUP(TEXT($I616,"yyyy-mm-dd")&amp;"||",tblExcepciones[clave],tblExcepciones[habil],INDEX(patronHabil,WEEKDAY($I616,2)))))</f>
        <v/>
      </c>
    </row>
    <row r="617">
      <c r="I617" s="12" t="n">
        <v>46635</v>
      </c>
      <c r="J617" s="3">
        <f>_xlfn.XLOOKUP(TEXT($I617,"yyyy-mm-dd")&amp;"|"&amp;""&amp;"|"&amp;"",tblExcepciones[clave],tblExcepciones[habil],_xlfn.XLOOKUP(TEXT($I617,"yyyy-mm-dd")&amp;"|"&amp;""&amp;"|",tblExcepciones[clave],tblExcepciones[habil],_xlfn.XLOOKUP(TEXT($I617,"yyyy-mm-dd")&amp;"||",tblExcepciones[clave],tblExcepciones[habil],INDEX(patronHabil,WEEKDAY($I617,2)))))</f>
        <v/>
      </c>
    </row>
    <row r="618">
      <c r="I618" s="12" t="n">
        <v>46636</v>
      </c>
      <c r="J618" s="3">
        <f>_xlfn.XLOOKUP(TEXT($I618,"yyyy-mm-dd")&amp;"|"&amp;""&amp;"|"&amp;"",tblExcepciones[clave],tblExcepciones[habil],_xlfn.XLOOKUP(TEXT($I618,"yyyy-mm-dd")&amp;"|"&amp;""&amp;"|",tblExcepciones[clave],tblExcepciones[habil],_xlfn.XLOOKUP(TEXT($I618,"yyyy-mm-dd")&amp;"||",tblExcepciones[clave],tblExcepciones[habil],INDEX(patronHabil,WEEKDAY($I618,2)))))</f>
        <v/>
      </c>
    </row>
    <row r="619">
      <c r="I619" s="12" t="n">
        <v>46637</v>
      </c>
      <c r="J619" s="3">
        <f>_xlfn.XLOOKUP(TEXT($I619,"yyyy-mm-dd")&amp;"|"&amp;""&amp;"|"&amp;"",tblExcepciones[clave],tblExcepciones[habil],_xlfn.XLOOKUP(TEXT($I619,"yyyy-mm-dd")&amp;"|"&amp;""&amp;"|",tblExcepciones[clave],tblExcepciones[habil],_xlfn.XLOOKUP(TEXT($I619,"yyyy-mm-dd")&amp;"||",tblExcepciones[clave],tblExcepciones[habil],INDEX(patronHabil,WEEKDAY($I619,2)))))</f>
        <v/>
      </c>
    </row>
    <row r="620">
      <c r="I620" s="12" t="n">
        <v>46638</v>
      </c>
      <c r="J620" s="3">
        <f>_xlfn.XLOOKUP(TEXT($I620,"yyyy-mm-dd")&amp;"|"&amp;""&amp;"|"&amp;"",tblExcepciones[clave],tblExcepciones[habil],_xlfn.XLOOKUP(TEXT($I620,"yyyy-mm-dd")&amp;"|"&amp;""&amp;"|",tblExcepciones[clave],tblExcepciones[habil],_xlfn.XLOOKUP(TEXT($I620,"yyyy-mm-dd")&amp;"||",tblExcepciones[clave],tblExcepciones[habil],INDEX(patronHabil,WEEKDAY($I620,2)))))</f>
        <v/>
      </c>
    </row>
    <row r="621">
      <c r="I621" s="12" t="n">
        <v>46639</v>
      </c>
      <c r="J621" s="3">
        <f>_xlfn.XLOOKUP(TEXT($I621,"yyyy-mm-dd")&amp;"|"&amp;""&amp;"|"&amp;"",tblExcepciones[clave],tblExcepciones[habil],_xlfn.XLOOKUP(TEXT($I621,"yyyy-mm-dd")&amp;"|"&amp;""&amp;"|",tblExcepciones[clave],tblExcepciones[habil],_xlfn.XLOOKUP(TEXT($I621,"yyyy-mm-dd")&amp;"||",tblExcepciones[clave],tblExcepciones[habil],INDEX(patronHabil,WEEKDAY($I621,2)))))</f>
        <v/>
      </c>
    </row>
    <row r="622">
      <c r="I622" s="12" t="n">
        <v>46640</v>
      </c>
      <c r="J622" s="3">
        <f>_xlfn.XLOOKUP(TEXT($I622,"yyyy-mm-dd")&amp;"|"&amp;""&amp;"|"&amp;"",tblExcepciones[clave],tblExcepciones[habil],_xlfn.XLOOKUP(TEXT($I622,"yyyy-mm-dd")&amp;"|"&amp;""&amp;"|",tblExcepciones[clave],tblExcepciones[habil],_xlfn.XLOOKUP(TEXT($I622,"yyyy-mm-dd")&amp;"||",tblExcepciones[clave],tblExcepciones[habil],INDEX(patronHabil,WEEKDAY($I622,2)))))</f>
        <v/>
      </c>
    </row>
    <row r="623">
      <c r="I623" s="12" t="n">
        <v>46641</v>
      </c>
      <c r="J623" s="3">
        <f>_xlfn.XLOOKUP(TEXT($I623,"yyyy-mm-dd")&amp;"|"&amp;""&amp;"|"&amp;"",tblExcepciones[clave],tblExcepciones[habil],_xlfn.XLOOKUP(TEXT($I623,"yyyy-mm-dd")&amp;"|"&amp;""&amp;"|",tblExcepciones[clave],tblExcepciones[habil],_xlfn.XLOOKUP(TEXT($I623,"yyyy-mm-dd")&amp;"||",tblExcepciones[clave],tblExcepciones[habil],INDEX(patronHabil,WEEKDAY($I623,2)))))</f>
        <v/>
      </c>
    </row>
    <row r="624">
      <c r="I624" s="12" t="n">
        <v>46642</v>
      </c>
      <c r="J624" s="3">
        <f>_xlfn.XLOOKUP(TEXT($I624,"yyyy-mm-dd")&amp;"|"&amp;""&amp;"|"&amp;"",tblExcepciones[clave],tblExcepciones[habil],_xlfn.XLOOKUP(TEXT($I624,"yyyy-mm-dd")&amp;"|"&amp;""&amp;"|",tblExcepciones[clave],tblExcepciones[habil],_xlfn.XLOOKUP(TEXT($I624,"yyyy-mm-dd")&amp;"||",tblExcepciones[clave],tblExcepciones[habil],INDEX(patronHabil,WEEKDAY($I624,2)))))</f>
        <v/>
      </c>
    </row>
    <row r="625">
      <c r="I625" s="12" t="n">
        <v>46643</v>
      </c>
      <c r="J625" s="3">
        <f>_xlfn.XLOOKUP(TEXT($I625,"yyyy-mm-dd")&amp;"|"&amp;""&amp;"|"&amp;"",tblExcepciones[clave],tblExcepciones[habil],_xlfn.XLOOKUP(TEXT($I625,"yyyy-mm-dd")&amp;"|"&amp;""&amp;"|",tblExcepciones[clave],tblExcepciones[habil],_xlfn.XLOOKUP(TEXT($I625,"yyyy-mm-dd")&amp;"||",tblExcepciones[clave],tblExcepciones[habil],INDEX(patronHabil,WEEKDAY($I625,2)))))</f>
        <v/>
      </c>
    </row>
    <row r="626">
      <c r="I626" s="12" t="n">
        <v>46644</v>
      </c>
      <c r="J626" s="3">
        <f>_xlfn.XLOOKUP(TEXT($I626,"yyyy-mm-dd")&amp;"|"&amp;""&amp;"|"&amp;"",tblExcepciones[clave],tblExcepciones[habil],_xlfn.XLOOKUP(TEXT($I626,"yyyy-mm-dd")&amp;"|"&amp;""&amp;"|",tblExcepciones[clave],tblExcepciones[habil],_xlfn.XLOOKUP(TEXT($I626,"yyyy-mm-dd")&amp;"||",tblExcepciones[clave],tblExcepciones[habil],INDEX(patronHabil,WEEKDAY($I626,2)))))</f>
        <v/>
      </c>
    </row>
    <row r="627">
      <c r="I627" s="12" t="n">
        <v>46645</v>
      </c>
      <c r="J627" s="3">
        <f>_xlfn.XLOOKUP(TEXT($I627,"yyyy-mm-dd")&amp;"|"&amp;""&amp;"|"&amp;"",tblExcepciones[clave],tblExcepciones[habil],_xlfn.XLOOKUP(TEXT($I627,"yyyy-mm-dd")&amp;"|"&amp;""&amp;"|",tblExcepciones[clave],tblExcepciones[habil],_xlfn.XLOOKUP(TEXT($I627,"yyyy-mm-dd")&amp;"||",tblExcepciones[clave],tblExcepciones[habil],INDEX(patronHabil,WEEKDAY($I627,2)))))</f>
        <v/>
      </c>
    </row>
    <row r="628">
      <c r="I628" s="12" t="n">
        <v>46646</v>
      </c>
      <c r="J628" s="3">
        <f>_xlfn.XLOOKUP(TEXT($I628,"yyyy-mm-dd")&amp;"|"&amp;""&amp;"|"&amp;"",tblExcepciones[clave],tblExcepciones[habil],_xlfn.XLOOKUP(TEXT($I628,"yyyy-mm-dd")&amp;"|"&amp;""&amp;"|",tblExcepciones[clave],tblExcepciones[habil],_xlfn.XLOOKUP(TEXT($I628,"yyyy-mm-dd")&amp;"||",tblExcepciones[clave],tblExcepciones[habil],INDEX(patronHabil,WEEKDAY($I628,2)))))</f>
        <v/>
      </c>
    </row>
    <row r="629">
      <c r="I629" s="12" t="n">
        <v>46647</v>
      </c>
      <c r="J629" s="3">
        <f>_xlfn.XLOOKUP(TEXT($I629,"yyyy-mm-dd")&amp;"|"&amp;""&amp;"|"&amp;"",tblExcepciones[clave],tblExcepciones[habil],_xlfn.XLOOKUP(TEXT($I629,"yyyy-mm-dd")&amp;"|"&amp;""&amp;"|",tblExcepciones[clave],tblExcepciones[habil],_xlfn.XLOOKUP(TEXT($I629,"yyyy-mm-dd")&amp;"||",tblExcepciones[clave],tblExcepciones[habil],INDEX(patronHabil,WEEKDAY($I629,2)))))</f>
        <v/>
      </c>
    </row>
    <row r="630">
      <c r="I630" s="12" t="n">
        <v>46648</v>
      </c>
      <c r="J630" s="3">
        <f>_xlfn.XLOOKUP(TEXT($I630,"yyyy-mm-dd")&amp;"|"&amp;""&amp;"|"&amp;"",tblExcepciones[clave],tblExcepciones[habil],_xlfn.XLOOKUP(TEXT($I630,"yyyy-mm-dd")&amp;"|"&amp;""&amp;"|",tblExcepciones[clave],tblExcepciones[habil],_xlfn.XLOOKUP(TEXT($I630,"yyyy-mm-dd")&amp;"||",tblExcepciones[clave],tblExcepciones[habil],INDEX(patronHabil,WEEKDAY($I630,2)))))</f>
        <v/>
      </c>
    </row>
    <row r="631">
      <c r="I631" s="12" t="n">
        <v>46649</v>
      </c>
      <c r="J631" s="3">
        <f>_xlfn.XLOOKUP(TEXT($I631,"yyyy-mm-dd")&amp;"|"&amp;""&amp;"|"&amp;"",tblExcepciones[clave],tblExcepciones[habil],_xlfn.XLOOKUP(TEXT($I631,"yyyy-mm-dd")&amp;"|"&amp;""&amp;"|",tblExcepciones[clave],tblExcepciones[habil],_xlfn.XLOOKUP(TEXT($I631,"yyyy-mm-dd")&amp;"||",tblExcepciones[clave],tblExcepciones[habil],INDEX(patronHabil,WEEKDAY($I631,2)))))</f>
        <v/>
      </c>
    </row>
    <row r="632">
      <c r="I632" s="12" t="n">
        <v>46650</v>
      </c>
      <c r="J632" s="3">
        <f>_xlfn.XLOOKUP(TEXT($I632,"yyyy-mm-dd")&amp;"|"&amp;""&amp;"|"&amp;"",tblExcepciones[clave],tblExcepciones[habil],_xlfn.XLOOKUP(TEXT($I632,"yyyy-mm-dd")&amp;"|"&amp;""&amp;"|",tblExcepciones[clave],tblExcepciones[habil],_xlfn.XLOOKUP(TEXT($I632,"yyyy-mm-dd")&amp;"||",tblExcepciones[clave],tblExcepciones[habil],INDEX(patronHabil,WEEKDAY($I632,2)))))</f>
        <v/>
      </c>
    </row>
    <row r="633">
      <c r="I633" s="12" t="n">
        <v>46651</v>
      </c>
      <c r="J633" s="3">
        <f>_xlfn.XLOOKUP(TEXT($I633,"yyyy-mm-dd")&amp;"|"&amp;""&amp;"|"&amp;"",tblExcepciones[clave],tblExcepciones[habil],_xlfn.XLOOKUP(TEXT($I633,"yyyy-mm-dd")&amp;"|"&amp;""&amp;"|",tblExcepciones[clave],tblExcepciones[habil],_xlfn.XLOOKUP(TEXT($I633,"yyyy-mm-dd")&amp;"||",tblExcepciones[clave],tblExcepciones[habil],INDEX(patronHabil,WEEKDAY($I633,2)))))</f>
        <v/>
      </c>
    </row>
    <row r="634">
      <c r="I634" s="12" t="n">
        <v>46652</v>
      </c>
      <c r="J634" s="3">
        <f>_xlfn.XLOOKUP(TEXT($I634,"yyyy-mm-dd")&amp;"|"&amp;""&amp;"|"&amp;"",tblExcepciones[clave],tblExcepciones[habil],_xlfn.XLOOKUP(TEXT($I634,"yyyy-mm-dd")&amp;"|"&amp;""&amp;"|",tblExcepciones[clave],tblExcepciones[habil],_xlfn.XLOOKUP(TEXT($I634,"yyyy-mm-dd")&amp;"||",tblExcepciones[clave],tblExcepciones[habil],INDEX(patronHabil,WEEKDAY($I634,2)))))</f>
        <v/>
      </c>
    </row>
    <row r="635">
      <c r="I635" s="12" t="n">
        <v>46653</v>
      </c>
      <c r="J635" s="3">
        <f>_xlfn.XLOOKUP(TEXT($I635,"yyyy-mm-dd")&amp;"|"&amp;""&amp;"|"&amp;"",tblExcepciones[clave],tblExcepciones[habil],_xlfn.XLOOKUP(TEXT($I635,"yyyy-mm-dd")&amp;"|"&amp;""&amp;"|",tblExcepciones[clave],tblExcepciones[habil],_xlfn.XLOOKUP(TEXT($I635,"yyyy-mm-dd")&amp;"||",tblExcepciones[clave],tblExcepciones[habil],INDEX(patronHabil,WEEKDAY($I635,2)))))</f>
        <v/>
      </c>
    </row>
    <row r="636">
      <c r="I636" s="12" t="n">
        <v>46654</v>
      </c>
      <c r="J636" s="3">
        <f>_xlfn.XLOOKUP(TEXT($I636,"yyyy-mm-dd")&amp;"|"&amp;""&amp;"|"&amp;"",tblExcepciones[clave],tblExcepciones[habil],_xlfn.XLOOKUP(TEXT($I636,"yyyy-mm-dd")&amp;"|"&amp;""&amp;"|",tblExcepciones[clave],tblExcepciones[habil],_xlfn.XLOOKUP(TEXT($I636,"yyyy-mm-dd")&amp;"||",tblExcepciones[clave],tblExcepciones[habil],INDEX(patronHabil,WEEKDAY($I636,2)))))</f>
        <v/>
      </c>
    </row>
    <row r="637">
      <c r="I637" s="12" t="n">
        <v>46655</v>
      </c>
      <c r="J637" s="3">
        <f>_xlfn.XLOOKUP(TEXT($I637,"yyyy-mm-dd")&amp;"|"&amp;""&amp;"|"&amp;"",tblExcepciones[clave],tblExcepciones[habil],_xlfn.XLOOKUP(TEXT($I637,"yyyy-mm-dd")&amp;"|"&amp;""&amp;"|",tblExcepciones[clave],tblExcepciones[habil],_xlfn.XLOOKUP(TEXT($I637,"yyyy-mm-dd")&amp;"||",tblExcepciones[clave],tblExcepciones[habil],INDEX(patronHabil,WEEKDAY($I637,2)))))</f>
        <v/>
      </c>
    </row>
    <row r="638">
      <c r="I638" s="12" t="n">
        <v>46656</v>
      </c>
      <c r="J638" s="3">
        <f>_xlfn.XLOOKUP(TEXT($I638,"yyyy-mm-dd")&amp;"|"&amp;""&amp;"|"&amp;"",tblExcepciones[clave],tblExcepciones[habil],_xlfn.XLOOKUP(TEXT($I638,"yyyy-mm-dd")&amp;"|"&amp;""&amp;"|",tblExcepciones[clave],tblExcepciones[habil],_xlfn.XLOOKUP(TEXT($I638,"yyyy-mm-dd")&amp;"||",tblExcepciones[clave],tblExcepciones[habil],INDEX(patronHabil,WEEKDAY($I638,2)))))</f>
        <v/>
      </c>
    </row>
    <row r="639">
      <c r="I639" s="12" t="n">
        <v>46657</v>
      </c>
      <c r="J639" s="3">
        <f>_xlfn.XLOOKUP(TEXT($I639,"yyyy-mm-dd")&amp;"|"&amp;""&amp;"|"&amp;"",tblExcepciones[clave],tblExcepciones[habil],_xlfn.XLOOKUP(TEXT($I639,"yyyy-mm-dd")&amp;"|"&amp;""&amp;"|",tblExcepciones[clave],tblExcepciones[habil],_xlfn.XLOOKUP(TEXT($I639,"yyyy-mm-dd")&amp;"||",tblExcepciones[clave],tblExcepciones[habil],INDEX(patronHabil,WEEKDAY($I639,2)))))</f>
        <v/>
      </c>
    </row>
    <row r="640">
      <c r="I640" s="12" t="n">
        <v>46658</v>
      </c>
      <c r="J640" s="3">
        <f>_xlfn.XLOOKUP(TEXT($I640,"yyyy-mm-dd")&amp;"|"&amp;""&amp;"|"&amp;"",tblExcepciones[clave],tblExcepciones[habil],_xlfn.XLOOKUP(TEXT($I640,"yyyy-mm-dd")&amp;"|"&amp;""&amp;"|",tblExcepciones[clave],tblExcepciones[habil],_xlfn.XLOOKUP(TEXT($I640,"yyyy-mm-dd")&amp;"||",tblExcepciones[clave],tblExcepciones[habil],INDEX(patronHabil,WEEKDAY($I640,2)))))</f>
        <v/>
      </c>
    </row>
    <row r="641">
      <c r="I641" s="12" t="n">
        <v>46659</v>
      </c>
      <c r="J641" s="3">
        <f>_xlfn.XLOOKUP(TEXT($I641,"yyyy-mm-dd")&amp;"|"&amp;""&amp;"|"&amp;"",tblExcepciones[clave],tblExcepciones[habil],_xlfn.XLOOKUP(TEXT($I641,"yyyy-mm-dd")&amp;"|"&amp;""&amp;"|",tblExcepciones[clave],tblExcepciones[habil],_xlfn.XLOOKUP(TEXT($I641,"yyyy-mm-dd")&amp;"||",tblExcepciones[clave],tblExcepciones[habil],INDEX(patronHabil,WEEKDAY($I641,2)))))</f>
        <v/>
      </c>
    </row>
    <row r="642">
      <c r="I642" s="12" t="n">
        <v>46660</v>
      </c>
      <c r="J642" s="3">
        <f>_xlfn.XLOOKUP(TEXT($I642,"yyyy-mm-dd")&amp;"|"&amp;""&amp;"|"&amp;"",tblExcepciones[clave],tblExcepciones[habil],_xlfn.XLOOKUP(TEXT($I642,"yyyy-mm-dd")&amp;"|"&amp;""&amp;"|",tblExcepciones[clave],tblExcepciones[habil],_xlfn.XLOOKUP(TEXT($I642,"yyyy-mm-dd")&amp;"||",tblExcepciones[clave],tblExcepciones[habil],INDEX(patronHabil,WEEKDAY($I642,2)))))</f>
        <v/>
      </c>
    </row>
    <row r="643">
      <c r="I643" s="12" t="n">
        <v>46661</v>
      </c>
      <c r="J643" s="3">
        <f>_xlfn.XLOOKUP(TEXT($I643,"yyyy-mm-dd")&amp;"|"&amp;""&amp;"|"&amp;"",tblExcepciones[clave],tblExcepciones[habil],_xlfn.XLOOKUP(TEXT($I643,"yyyy-mm-dd")&amp;"|"&amp;""&amp;"|",tblExcepciones[clave],tblExcepciones[habil],_xlfn.XLOOKUP(TEXT($I643,"yyyy-mm-dd")&amp;"||",tblExcepciones[clave],tblExcepciones[habil],INDEX(patronHabil,WEEKDAY($I643,2)))))</f>
        <v/>
      </c>
    </row>
    <row r="644">
      <c r="I644" s="12" t="n">
        <v>46662</v>
      </c>
      <c r="J644" s="3">
        <f>_xlfn.XLOOKUP(TEXT($I644,"yyyy-mm-dd")&amp;"|"&amp;""&amp;"|"&amp;"",tblExcepciones[clave],tblExcepciones[habil],_xlfn.XLOOKUP(TEXT($I644,"yyyy-mm-dd")&amp;"|"&amp;""&amp;"|",tblExcepciones[clave],tblExcepciones[habil],_xlfn.XLOOKUP(TEXT($I644,"yyyy-mm-dd")&amp;"||",tblExcepciones[clave],tblExcepciones[habil],INDEX(patronHabil,WEEKDAY($I644,2)))))</f>
        <v/>
      </c>
    </row>
    <row r="645">
      <c r="I645" s="12" t="n">
        <v>46663</v>
      </c>
      <c r="J645" s="3">
        <f>_xlfn.XLOOKUP(TEXT($I645,"yyyy-mm-dd")&amp;"|"&amp;""&amp;"|"&amp;"",tblExcepciones[clave],tblExcepciones[habil],_xlfn.XLOOKUP(TEXT($I645,"yyyy-mm-dd")&amp;"|"&amp;""&amp;"|",tblExcepciones[clave],tblExcepciones[habil],_xlfn.XLOOKUP(TEXT($I645,"yyyy-mm-dd")&amp;"||",tblExcepciones[clave],tblExcepciones[habil],INDEX(patronHabil,WEEKDAY($I645,2)))))</f>
        <v/>
      </c>
    </row>
    <row r="646">
      <c r="I646" s="12" t="n">
        <v>46664</v>
      </c>
      <c r="J646" s="3">
        <f>_xlfn.XLOOKUP(TEXT($I646,"yyyy-mm-dd")&amp;"|"&amp;""&amp;"|"&amp;"",tblExcepciones[clave],tblExcepciones[habil],_xlfn.XLOOKUP(TEXT($I646,"yyyy-mm-dd")&amp;"|"&amp;""&amp;"|",tblExcepciones[clave],tblExcepciones[habil],_xlfn.XLOOKUP(TEXT($I646,"yyyy-mm-dd")&amp;"||",tblExcepciones[clave],tblExcepciones[habil],INDEX(patronHabil,WEEKDAY($I646,2)))))</f>
        <v/>
      </c>
    </row>
    <row r="647">
      <c r="I647" s="12" t="n">
        <v>46665</v>
      </c>
      <c r="J647" s="3">
        <f>_xlfn.XLOOKUP(TEXT($I647,"yyyy-mm-dd")&amp;"|"&amp;""&amp;"|"&amp;"",tblExcepciones[clave],tblExcepciones[habil],_xlfn.XLOOKUP(TEXT($I647,"yyyy-mm-dd")&amp;"|"&amp;""&amp;"|",tblExcepciones[clave],tblExcepciones[habil],_xlfn.XLOOKUP(TEXT($I647,"yyyy-mm-dd")&amp;"||",tblExcepciones[clave],tblExcepciones[habil],INDEX(patronHabil,WEEKDAY($I647,2)))))</f>
        <v/>
      </c>
    </row>
    <row r="648">
      <c r="I648" s="12" t="n">
        <v>46666</v>
      </c>
      <c r="J648" s="3">
        <f>_xlfn.XLOOKUP(TEXT($I648,"yyyy-mm-dd")&amp;"|"&amp;""&amp;"|"&amp;"",tblExcepciones[clave],tblExcepciones[habil],_xlfn.XLOOKUP(TEXT($I648,"yyyy-mm-dd")&amp;"|"&amp;""&amp;"|",tblExcepciones[clave],tblExcepciones[habil],_xlfn.XLOOKUP(TEXT($I648,"yyyy-mm-dd")&amp;"||",tblExcepciones[clave],tblExcepciones[habil],INDEX(patronHabil,WEEKDAY($I648,2)))))</f>
        <v/>
      </c>
    </row>
    <row r="649">
      <c r="I649" s="12" t="n">
        <v>46667</v>
      </c>
      <c r="J649" s="3">
        <f>_xlfn.XLOOKUP(TEXT($I649,"yyyy-mm-dd")&amp;"|"&amp;""&amp;"|"&amp;"",tblExcepciones[clave],tblExcepciones[habil],_xlfn.XLOOKUP(TEXT($I649,"yyyy-mm-dd")&amp;"|"&amp;""&amp;"|",tblExcepciones[clave],tblExcepciones[habil],_xlfn.XLOOKUP(TEXT($I649,"yyyy-mm-dd")&amp;"||",tblExcepciones[clave],tblExcepciones[habil],INDEX(patronHabil,WEEKDAY($I649,2)))))</f>
        <v/>
      </c>
    </row>
    <row r="650">
      <c r="I650" s="12" t="n">
        <v>46668</v>
      </c>
      <c r="J650" s="3">
        <f>_xlfn.XLOOKUP(TEXT($I650,"yyyy-mm-dd")&amp;"|"&amp;""&amp;"|"&amp;"",tblExcepciones[clave],tblExcepciones[habil],_xlfn.XLOOKUP(TEXT($I650,"yyyy-mm-dd")&amp;"|"&amp;""&amp;"|",tblExcepciones[clave],tblExcepciones[habil],_xlfn.XLOOKUP(TEXT($I650,"yyyy-mm-dd")&amp;"||",tblExcepciones[clave],tblExcepciones[habil],INDEX(patronHabil,WEEKDAY($I650,2)))))</f>
        <v/>
      </c>
    </row>
    <row r="651">
      <c r="I651" s="12" t="n">
        <v>46669</v>
      </c>
      <c r="J651" s="3">
        <f>_xlfn.XLOOKUP(TEXT($I651,"yyyy-mm-dd")&amp;"|"&amp;""&amp;"|"&amp;"",tblExcepciones[clave],tblExcepciones[habil],_xlfn.XLOOKUP(TEXT($I651,"yyyy-mm-dd")&amp;"|"&amp;""&amp;"|",tblExcepciones[clave],tblExcepciones[habil],_xlfn.XLOOKUP(TEXT($I651,"yyyy-mm-dd")&amp;"||",tblExcepciones[clave],tblExcepciones[habil],INDEX(patronHabil,WEEKDAY($I651,2)))))</f>
        <v/>
      </c>
    </row>
    <row r="652">
      <c r="I652" s="12" t="n">
        <v>46670</v>
      </c>
      <c r="J652" s="3">
        <f>_xlfn.XLOOKUP(TEXT($I652,"yyyy-mm-dd")&amp;"|"&amp;""&amp;"|"&amp;"",tblExcepciones[clave],tblExcepciones[habil],_xlfn.XLOOKUP(TEXT($I652,"yyyy-mm-dd")&amp;"|"&amp;""&amp;"|",tblExcepciones[clave],tblExcepciones[habil],_xlfn.XLOOKUP(TEXT($I652,"yyyy-mm-dd")&amp;"||",tblExcepciones[clave],tblExcepciones[habil],INDEX(patronHabil,WEEKDAY($I652,2)))))</f>
        <v/>
      </c>
    </row>
    <row r="653">
      <c r="I653" s="12" t="n">
        <v>46671</v>
      </c>
      <c r="J653" s="3">
        <f>_xlfn.XLOOKUP(TEXT($I653,"yyyy-mm-dd")&amp;"|"&amp;""&amp;"|"&amp;"",tblExcepciones[clave],tblExcepciones[habil],_xlfn.XLOOKUP(TEXT($I653,"yyyy-mm-dd")&amp;"|"&amp;""&amp;"|",tblExcepciones[clave],tblExcepciones[habil],_xlfn.XLOOKUP(TEXT($I653,"yyyy-mm-dd")&amp;"||",tblExcepciones[clave],tblExcepciones[habil],INDEX(patronHabil,WEEKDAY($I653,2)))))</f>
        <v/>
      </c>
    </row>
    <row r="654">
      <c r="I654" s="12" t="n">
        <v>46672</v>
      </c>
      <c r="J654" s="3">
        <f>_xlfn.XLOOKUP(TEXT($I654,"yyyy-mm-dd")&amp;"|"&amp;""&amp;"|"&amp;"",tblExcepciones[clave],tblExcepciones[habil],_xlfn.XLOOKUP(TEXT($I654,"yyyy-mm-dd")&amp;"|"&amp;""&amp;"|",tblExcepciones[clave],tblExcepciones[habil],_xlfn.XLOOKUP(TEXT($I654,"yyyy-mm-dd")&amp;"||",tblExcepciones[clave],tblExcepciones[habil],INDEX(patronHabil,WEEKDAY($I654,2)))))</f>
        <v/>
      </c>
    </row>
    <row r="655">
      <c r="I655" s="12" t="n">
        <v>46673</v>
      </c>
      <c r="J655" s="3">
        <f>_xlfn.XLOOKUP(TEXT($I655,"yyyy-mm-dd")&amp;"|"&amp;""&amp;"|"&amp;"",tblExcepciones[clave],tblExcepciones[habil],_xlfn.XLOOKUP(TEXT($I655,"yyyy-mm-dd")&amp;"|"&amp;""&amp;"|",tblExcepciones[clave],tblExcepciones[habil],_xlfn.XLOOKUP(TEXT($I655,"yyyy-mm-dd")&amp;"||",tblExcepciones[clave],tblExcepciones[habil],INDEX(patronHabil,WEEKDAY($I655,2)))))</f>
        <v/>
      </c>
    </row>
    <row r="656">
      <c r="I656" s="12" t="n">
        <v>46674</v>
      </c>
      <c r="J656" s="3">
        <f>_xlfn.XLOOKUP(TEXT($I656,"yyyy-mm-dd")&amp;"|"&amp;""&amp;"|"&amp;"",tblExcepciones[clave],tblExcepciones[habil],_xlfn.XLOOKUP(TEXT($I656,"yyyy-mm-dd")&amp;"|"&amp;""&amp;"|",tblExcepciones[clave],tblExcepciones[habil],_xlfn.XLOOKUP(TEXT($I656,"yyyy-mm-dd")&amp;"||",tblExcepciones[clave],tblExcepciones[habil],INDEX(patronHabil,WEEKDAY($I656,2)))))</f>
        <v/>
      </c>
    </row>
    <row r="657">
      <c r="I657" s="12" t="n">
        <v>46675</v>
      </c>
      <c r="J657" s="3">
        <f>_xlfn.XLOOKUP(TEXT($I657,"yyyy-mm-dd")&amp;"|"&amp;""&amp;"|"&amp;"",tblExcepciones[clave],tblExcepciones[habil],_xlfn.XLOOKUP(TEXT($I657,"yyyy-mm-dd")&amp;"|"&amp;""&amp;"|",tblExcepciones[clave],tblExcepciones[habil],_xlfn.XLOOKUP(TEXT($I657,"yyyy-mm-dd")&amp;"||",tblExcepciones[clave],tblExcepciones[habil],INDEX(patronHabil,WEEKDAY($I657,2)))))</f>
        <v/>
      </c>
    </row>
    <row r="658">
      <c r="I658" s="12" t="n">
        <v>46676</v>
      </c>
      <c r="J658" s="3">
        <f>_xlfn.XLOOKUP(TEXT($I658,"yyyy-mm-dd")&amp;"|"&amp;""&amp;"|"&amp;"",tblExcepciones[clave],tblExcepciones[habil],_xlfn.XLOOKUP(TEXT($I658,"yyyy-mm-dd")&amp;"|"&amp;""&amp;"|",tblExcepciones[clave],tblExcepciones[habil],_xlfn.XLOOKUP(TEXT($I658,"yyyy-mm-dd")&amp;"||",tblExcepciones[clave],tblExcepciones[habil],INDEX(patronHabil,WEEKDAY($I658,2)))))</f>
        <v/>
      </c>
    </row>
    <row r="659">
      <c r="I659" s="12" t="n">
        <v>46677</v>
      </c>
      <c r="J659" s="3">
        <f>_xlfn.XLOOKUP(TEXT($I659,"yyyy-mm-dd")&amp;"|"&amp;""&amp;"|"&amp;"",tblExcepciones[clave],tblExcepciones[habil],_xlfn.XLOOKUP(TEXT($I659,"yyyy-mm-dd")&amp;"|"&amp;""&amp;"|",tblExcepciones[clave],tblExcepciones[habil],_xlfn.XLOOKUP(TEXT($I659,"yyyy-mm-dd")&amp;"||",tblExcepciones[clave],tblExcepciones[habil],INDEX(patronHabil,WEEKDAY($I659,2)))))</f>
        <v/>
      </c>
    </row>
    <row r="660">
      <c r="I660" s="12" t="n">
        <v>46678</v>
      </c>
      <c r="J660" s="3">
        <f>_xlfn.XLOOKUP(TEXT($I660,"yyyy-mm-dd")&amp;"|"&amp;""&amp;"|"&amp;"",tblExcepciones[clave],tblExcepciones[habil],_xlfn.XLOOKUP(TEXT($I660,"yyyy-mm-dd")&amp;"|"&amp;""&amp;"|",tblExcepciones[clave],tblExcepciones[habil],_xlfn.XLOOKUP(TEXT($I660,"yyyy-mm-dd")&amp;"||",tblExcepciones[clave],tblExcepciones[habil],INDEX(patronHabil,WEEKDAY($I660,2)))))</f>
        <v/>
      </c>
    </row>
    <row r="661">
      <c r="I661" s="12" t="n">
        <v>46679</v>
      </c>
      <c r="J661" s="3">
        <f>_xlfn.XLOOKUP(TEXT($I661,"yyyy-mm-dd")&amp;"|"&amp;""&amp;"|"&amp;"",tblExcepciones[clave],tblExcepciones[habil],_xlfn.XLOOKUP(TEXT($I661,"yyyy-mm-dd")&amp;"|"&amp;""&amp;"|",tblExcepciones[clave],tblExcepciones[habil],_xlfn.XLOOKUP(TEXT($I661,"yyyy-mm-dd")&amp;"||",tblExcepciones[clave],tblExcepciones[habil],INDEX(patronHabil,WEEKDAY($I661,2)))))</f>
        <v/>
      </c>
    </row>
    <row r="662">
      <c r="I662" s="12" t="n">
        <v>46680</v>
      </c>
      <c r="J662" s="3">
        <f>_xlfn.XLOOKUP(TEXT($I662,"yyyy-mm-dd")&amp;"|"&amp;""&amp;"|"&amp;"",tblExcepciones[clave],tblExcepciones[habil],_xlfn.XLOOKUP(TEXT($I662,"yyyy-mm-dd")&amp;"|"&amp;""&amp;"|",tblExcepciones[clave],tblExcepciones[habil],_xlfn.XLOOKUP(TEXT($I662,"yyyy-mm-dd")&amp;"||",tblExcepciones[clave],tblExcepciones[habil],INDEX(patronHabil,WEEKDAY($I662,2)))))</f>
        <v/>
      </c>
    </row>
    <row r="663">
      <c r="I663" s="12" t="n">
        <v>46681</v>
      </c>
      <c r="J663" s="3">
        <f>_xlfn.XLOOKUP(TEXT($I663,"yyyy-mm-dd")&amp;"|"&amp;""&amp;"|"&amp;"",tblExcepciones[clave],tblExcepciones[habil],_xlfn.XLOOKUP(TEXT($I663,"yyyy-mm-dd")&amp;"|"&amp;""&amp;"|",tblExcepciones[clave],tblExcepciones[habil],_xlfn.XLOOKUP(TEXT($I663,"yyyy-mm-dd")&amp;"||",tblExcepciones[clave],tblExcepciones[habil],INDEX(patronHabil,WEEKDAY($I663,2)))))</f>
        <v/>
      </c>
    </row>
    <row r="664">
      <c r="I664" s="12" t="n">
        <v>46682</v>
      </c>
      <c r="J664" s="3">
        <f>_xlfn.XLOOKUP(TEXT($I664,"yyyy-mm-dd")&amp;"|"&amp;""&amp;"|"&amp;"",tblExcepciones[clave],tblExcepciones[habil],_xlfn.XLOOKUP(TEXT($I664,"yyyy-mm-dd")&amp;"|"&amp;""&amp;"|",tblExcepciones[clave],tblExcepciones[habil],_xlfn.XLOOKUP(TEXT($I664,"yyyy-mm-dd")&amp;"||",tblExcepciones[clave],tblExcepciones[habil],INDEX(patronHabil,WEEKDAY($I664,2)))))</f>
        <v/>
      </c>
    </row>
    <row r="665">
      <c r="I665" s="12" t="n">
        <v>46683</v>
      </c>
      <c r="J665" s="3">
        <f>_xlfn.XLOOKUP(TEXT($I665,"yyyy-mm-dd")&amp;"|"&amp;""&amp;"|"&amp;"",tblExcepciones[clave],tblExcepciones[habil],_xlfn.XLOOKUP(TEXT($I665,"yyyy-mm-dd")&amp;"|"&amp;""&amp;"|",tblExcepciones[clave],tblExcepciones[habil],_xlfn.XLOOKUP(TEXT($I665,"yyyy-mm-dd")&amp;"||",tblExcepciones[clave],tblExcepciones[habil],INDEX(patronHabil,WEEKDAY($I665,2)))))</f>
        <v/>
      </c>
    </row>
    <row r="666">
      <c r="I666" s="12" t="n">
        <v>46684</v>
      </c>
      <c r="J666" s="3">
        <f>_xlfn.XLOOKUP(TEXT($I666,"yyyy-mm-dd")&amp;"|"&amp;""&amp;"|"&amp;"",tblExcepciones[clave],tblExcepciones[habil],_xlfn.XLOOKUP(TEXT($I666,"yyyy-mm-dd")&amp;"|"&amp;""&amp;"|",tblExcepciones[clave],tblExcepciones[habil],_xlfn.XLOOKUP(TEXT($I666,"yyyy-mm-dd")&amp;"||",tblExcepciones[clave],tblExcepciones[habil],INDEX(patronHabil,WEEKDAY($I666,2)))))</f>
        <v/>
      </c>
    </row>
    <row r="667">
      <c r="I667" s="12" t="n">
        <v>46685</v>
      </c>
      <c r="J667" s="3">
        <f>_xlfn.XLOOKUP(TEXT($I667,"yyyy-mm-dd")&amp;"|"&amp;""&amp;"|"&amp;"",tblExcepciones[clave],tblExcepciones[habil],_xlfn.XLOOKUP(TEXT($I667,"yyyy-mm-dd")&amp;"|"&amp;""&amp;"|",tblExcepciones[clave],tblExcepciones[habil],_xlfn.XLOOKUP(TEXT($I667,"yyyy-mm-dd")&amp;"||",tblExcepciones[clave],tblExcepciones[habil],INDEX(patronHabil,WEEKDAY($I667,2)))))</f>
        <v/>
      </c>
    </row>
    <row r="668">
      <c r="I668" s="12" t="n">
        <v>46686</v>
      </c>
      <c r="J668" s="3">
        <f>_xlfn.XLOOKUP(TEXT($I668,"yyyy-mm-dd")&amp;"|"&amp;""&amp;"|"&amp;"",tblExcepciones[clave],tblExcepciones[habil],_xlfn.XLOOKUP(TEXT($I668,"yyyy-mm-dd")&amp;"|"&amp;""&amp;"|",tblExcepciones[clave],tblExcepciones[habil],_xlfn.XLOOKUP(TEXT($I668,"yyyy-mm-dd")&amp;"||",tblExcepciones[clave],tblExcepciones[habil],INDEX(patronHabil,WEEKDAY($I668,2)))))</f>
        <v/>
      </c>
    </row>
    <row r="669">
      <c r="I669" s="12" t="n">
        <v>46687</v>
      </c>
      <c r="J669" s="3">
        <f>_xlfn.XLOOKUP(TEXT($I669,"yyyy-mm-dd")&amp;"|"&amp;""&amp;"|"&amp;"",tblExcepciones[clave],tblExcepciones[habil],_xlfn.XLOOKUP(TEXT($I669,"yyyy-mm-dd")&amp;"|"&amp;""&amp;"|",tblExcepciones[clave],tblExcepciones[habil],_xlfn.XLOOKUP(TEXT($I669,"yyyy-mm-dd")&amp;"||",tblExcepciones[clave],tblExcepciones[habil],INDEX(patronHabil,WEEKDAY($I669,2)))))</f>
        <v/>
      </c>
    </row>
    <row r="670">
      <c r="I670" s="12" t="n">
        <v>46688</v>
      </c>
      <c r="J670" s="3">
        <f>_xlfn.XLOOKUP(TEXT($I670,"yyyy-mm-dd")&amp;"|"&amp;""&amp;"|"&amp;"",tblExcepciones[clave],tblExcepciones[habil],_xlfn.XLOOKUP(TEXT($I670,"yyyy-mm-dd")&amp;"|"&amp;""&amp;"|",tblExcepciones[clave],tblExcepciones[habil],_xlfn.XLOOKUP(TEXT($I670,"yyyy-mm-dd")&amp;"||",tblExcepciones[clave],tblExcepciones[habil],INDEX(patronHabil,WEEKDAY($I670,2)))))</f>
        <v/>
      </c>
    </row>
    <row r="671">
      <c r="I671" s="12" t="n">
        <v>46689</v>
      </c>
      <c r="J671" s="3">
        <f>_xlfn.XLOOKUP(TEXT($I671,"yyyy-mm-dd")&amp;"|"&amp;""&amp;"|"&amp;"",tblExcepciones[clave],tblExcepciones[habil],_xlfn.XLOOKUP(TEXT($I671,"yyyy-mm-dd")&amp;"|"&amp;""&amp;"|",tblExcepciones[clave],tblExcepciones[habil],_xlfn.XLOOKUP(TEXT($I671,"yyyy-mm-dd")&amp;"||",tblExcepciones[clave],tblExcepciones[habil],INDEX(patronHabil,WEEKDAY($I671,2)))))</f>
        <v/>
      </c>
    </row>
    <row r="672">
      <c r="I672" s="12" t="n">
        <v>46690</v>
      </c>
      <c r="J672" s="3">
        <f>_xlfn.XLOOKUP(TEXT($I672,"yyyy-mm-dd")&amp;"|"&amp;""&amp;"|"&amp;"",tblExcepciones[clave],tblExcepciones[habil],_xlfn.XLOOKUP(TEXT($I672,"yyyy-mm-dd")&amp;"|"&amp;""&amp;"|",tblExcepciones[clave],tblExcepciones[habil],_xlfn.XLOOKUP(TEXT($I672,"yyyy-mm-dd")&amp;"||",tblExcepciones[clave],tblExcepciones[habil],INDEX(patronHabil,WEEKDAY($I672,2)))))</f>
        <v/>
      </c>
    </row>
    <row r="673">
      <c r="I673" s="12" t="n">
        <v>46691</v>
      </c>
      <c r="J673" s="3">
        <f>_xlfn.XLOOKUP(TEXT($I673,"yyyy-mm-dd")&amp;"|"&amp;""&amp;"|"&amp;"",tblExcepciones[clave],tblExcepciones[habil],_xlfn.XLOOKUP(TEXT($I673,"yyyy-mm-dd")&amp;"|"&amp;""&amp;"|",tblExcepciones[clave],tblExcepciones[habil],_xlfn.XLOOKUP(TEXT($I673,"yyyy-mm-dd")&amp;"||",tblExcepciones[clave],tblExcepciones[habil],INDEX(patronHabil,WEEKDAY($I673,2)))))</f>
        <v/>
      </c>
    </row>
    <row r="674">
      <c r="I674" s="12" t="n">
        <v>46692</v>
      </c>
      <c r="J674" s="3">
        <f>_xlfn.XLOOKUP(TEXT($I674,"yyyy-mm-dd")&amp;"|"&amp;""&amp;"|"&amp;"",tblExcepciones[clave],tblExcepciones[habil],_xlfn.XLOOKUP(TEXT($I674,"yyyy-mm-dd")&amp;"|"&amp;""&amp;"|",tblExcepciones[clave],tblExcepciones[habil],_xlfn.XLOOKUP(TEXT($I674,"yyyy-mm-dd")&amp;"||",tblExcepciones[clave],tblExcepciones[habil],INDEX(patronHabil,WEEKDAY($I674,2)))))</f>
        <v/>
      </c>
    </row>
    <row r="675">
      <c r="I675" s="12" t="n">
        <v>46693</v>
      </c>
      <c r="J675" s="3">
        <f>_xlfn.XLOOKUP(TEXT($I675,"yyyy-mm-dd")&amp;"|"&amp;""&amp;"|"&amp;"",tblExcepciones[clave],tblExcepciones[habil],_xlfn.XLOOKUP(TEXT($I675,"yyyy-mm-dd")&amp;"|"&amp;""&amp;"|",tblExcepciones[clave],tblExcepciones[habil],_xlfn.XLOOKUP(TEXT($I675,"yyyy-mm-dd")&amp;"||",tblExcepciones[clave],tblExcepciones[habil],INDEX(patronHabil,WEEKDAY($I675,2)))))</f>
        <v/>
      </c>
    </row>
    <row r="676">
      <c r="I676" s="12" t="n">
        <v>46694</v>
      </c>
      <c r="J676" s="3">
        <f>_xlfn.XLOOKUP(TEXT($I676,"yyyy-mm-dd")&amp;"|"&amp;""&amp;"|"&amp;"",tblExcepciones[clave],tblExcepciones[habil],_xlfn.XLOOKUP(TEXT($I676,"yyyy-mm-dd")&amp;"|"&amp;""&amp;"|",tblExcepciones[clave],tblExcepciones[habil],_xlfn.XLOOKUP(TEXT($I676,"yyyy-mm-dd")&amp;"||",tblExcepciones[clave],tblExcepciones[habil],INDEX(patronHabil,WEEKDAY($I676,2)))))</f>
        <v/>
      </c>
    </row>
    <row r="677">
      <c r="I677" s="12" t="n">
        <v>46695</v>
      </c>
      <c r="J677" s="3">
        <f>_xlfn.XLOOKUP(TEXT($I677,"yyyy-mm-dd")&amp;"|"&amp;""&amp;"|"&amp;"",tblExcepciones[clave],tblExcepciones[habil],_xlfn.XLOOKUP(TEXT($I677,"yyyy-mm-dd")&amp;"|"&amp;""&amp;"|",tblExcepciones[clave],tblExcepciones[habil],_xlfn.XLOOKUP(TEXT($I677,"yyyy-mm-dd")&amp;"||",tblExcepciones[clave],tblExcepciones[habil],INDEX(patronHabil,WEEKDAY($I677,2)))))</f>
        <v/>
      </c>
    </row>
    <row r="678">
      <c r="I678" s="12" t="n">
        <v>46696</v>
      </c>
      <c r="J678" s="3">
        <f>_xlfn.XLOOKUP(TEXT($I678,"yyyy-mm-dd")&amp;"|"&amp;""&amp;"|"&amp;"",tblExcepciones[clave],tblExcepciones[habil],_xlfn.XLOOKUP(TEXT($I678,"yyyy-mm-dd")&amp;"|"&amp;""&amp;"|",tblExcepciones[clave],tblExcepciones[habil],_xlfn.XLOOKUP(TEXT($I678,"yyyy-mm-dd")&amp;"||",tblExcepciones[clave],tblExcepciones[habil],INDEX(patronHabil,WEEKDAY($I678,2)))))</f>
        <v/>
      </c>
    </row>
    <row r="679">
      <c r="I679" s="12" t="n">
        <v>46697</v>
      </c>
      <c r="J679" s="3">
        <f>_xlfn.XLOOKUP(TEXT($I679,"yyyy-mm-dd")&amp;"|"&amp;""&amp;"|"&amp;"",tblExcepciones[clave],tblExcepciones[habil],_xlfn.XLOOKUP(TEXT($I679,"yyyy-mm-dd")&amp;"|"&amp;""&amp;"|",tblExcepciones[clave],tblExcepciones[habil],_xlfn.XLOOKUP(TEXT($I679,"yyyy-mm-dd")&amp;"||",tblExcepciones[clave],tblExcepciones[habil],INDEX(patronHabil,WEEKDAY($I679,2)))))</f>
        <v/>
      </c>
    </row>
    <row r="680">
      <c r="I680" s="12" t="n">
        <v>46698</v>
      </c>
      <c r="J680" s="3">
        <f>_xlfn.XLOOKUP(TEXT($I680,"yyyy-mm-dd")&amp;"|"&amp;""&amp;"|"&amp;"",tblExcepciones[clave],tblExcepciones[habil],_xlfn.XLOOKUP(TEXT($I680,"yyyy-mm-dd")&amp;"|"&amp;""&amp;"|",tblExcepciones[clave],tblExcepciones[habil],_xlfn.XLOOKUP(TEXT($I680,"yyyy-mm-dd")&amp;"||",tblExcepciones[clave],tblExcepciones[habil],INDEX(patronHabil,WEEKDAY($I680,2)))))</f>
        <v/>
      </c>
    </row>
    <row r="681">
      <c r="I681" s="12" t="n">
        <v>46699</v>
      </c>
      <c r="J681" s="3">
        <f>_xlfn.XLOOKUP(TEXT($I681,"yyyy-mm-dd")&amp;"|"&amp;""&amp;"|"&amp;"",tblExcepciones[clave],tblExcepciones[habil],_xlfn.XLOOKUP(TEXT($I681,"yyyy-mm-dd")&amp;"|"&amp;""&amp;"|",tblExcepciones[clave],tblExcepciones[habil],_xlfn.XLOOKUP(TEXT($I681,"yyyy-mm-dd")&amp;"||",tblExcepciones[clave],tblExcepciones[habil],INDEX(patronHabil,WEEKDAY($I681,2)))))</f>
        <v/>
      </c>
    </row>
    <row r="682">
      <c r="I682" s="12" t="n">
        <v>46700</v>
      </c>
      <c r="J682" s="3">
        <f>_xlfn.XLOOKUP(TEXT($I682,"yyyy-mm-dd")&amp;"|"&amp;""&amp;"|"&amp;"",tblExcepciones[clave],tblExcepciones[habil],_xlfn.XLOOKUP(TEXT($I682,"yyyy-mm-dd")&amp;"|"&amp;""&amp;"|",tblExcepciones[clave],tblExcepciones[habil],_xlfn.XLOOKUP(TEXT($I682,"yyyy-mm-dd")&amp;"||",tblExcepciones[clave],tblExcepciones[habil],INDEX(patronHabil,WEEKDAY($I682,2)))))</f>
        <v/>
      </c>
    </row>
    <row r="683">
      <c r="I683" s="12" t="n">
        <v>46701</v>
      </c>
      <c r="J683" s="3">
        <f>_xlfn.XLOOKUP(TEXT($I683,"yyyy-mm-dd")&amp;"|"&amp;""&amp;"|"&amp;"",tblExcepciones[clave],tblExcepciones[habil],_xlfn.XLOOKUP(TEXT($I683,"yyyy-mm-dd")&amp;"|"&amp;""&amp;"|",tblExcepciones[clave],tblExcepciones[habil],_xlfn.XLOOKUP(TEXT($I683,"yyyy-mm-dd")&amp;"||",tblExcepciones[clave],tblExcepciones[habil],INDEX(patronHabil,WEEKDAY($I683,2)))))</f>
        <v/>
      </c>
    </row>
    <row r="684">
      <c r="I684" s="12" t="n">
        <v>46702</v>
      </c>
      <c r="J684" s="3">
        <f>_xlfn.XLOOKUP(TEXT($I684,"yyyy-mm-dd")&amp;"|"&amp;""&amp;"|"&amp;"",tblExcepciones[clave],tblExcepciones[habil],_xlfn.XLOOKUP(TEXT($I684,"yyyy-mm-dd")&amp;"|"&amp;""&amp;"|",tblExcepciones[clave],tblExcepciones[habil],_xlfn.XLOOKUP(TEXT($I684,"yyyy-mm-dd")&amp;"||",tblExcepciones[clave],tblExcepciones[habil],INDEX(patronHabil,WEEKDAY($I684,2)))))</f>
        <v/>
      </c>
    </row>
    <row r="685">
      <c r="I685" s="12" t="n">
        <v>46703</v>
      </c>
      <c r="J685" s="3">
        <f>_xlfn.XLOOKUP(TEXT($I685,"yyyy-mm-dd")&amp;"|"&amp;""&amp;"|"&amp;"",tblExcepciones[clave],tblExcepciones[habil],_xlfn.XLOOKUP(TEXT($I685,"yyyy-mm-dd")&amp;"|"&amp;""&amp;"|",tblExcepciones[clave],tblExcepciones[habil],_xlfn.XLOOKUP(TEXT($I685,"yyyy-mm-dd")&amp;"||",tblExcepciones[clave],tblExcepciones[habil],INDEX(patronHabil,WEEKDAY($I685,2)))))</f>
        <v/>
      </c>
    </row>
    <row r="686">
      <c r="I686" s="12" t="n">
        <v>46704</v>
      </c>
      <c r="J686" s="3">
        <f>_xlfn.XLOOKUP(TEXT($I686,"yyyy-mm-dd")&amp;"|"&amp;""&amp;"|"&amp;"",tblExcepciones[clave],tblExcepciones[habil],_xlfn.XLOOKUP(TEXT($I686,"yyyy-mm-dd")&amp;"|"&amp;""&amp;"|",tblExcepciones[clave],tblExcepciones[habil],_xlfn.XLOOKUP(TEXT($I686,"yyyy-mm-dd")&amp;"||",tblExcepciones[clave],tblExcepciones[habil],INDEX(patronHabil,WEEKDAY($I686,2)))))</f>
        <v/>
      </c>
    </row>
    <row r="687">
      <c r="I687" s="12" t="n">
        <v>46705</v>
      </c>
      <c r="J687" s="3">
        <f>_xlfn.XLOOKUP(TEXT($I687,"yyyy-mm-dd")&amp;"|"&amp;""&amp;"|"&amp;"",tblExcepciones[clave],tblExcepciones[habil],_xlfn.XLOOKUP(TEXT($I687,"yyyy-mm-dd")&amp;"|"&amp;""&amp;"|",tblExcepciones[clave],tblExcepciones[habil],_xlfn.XLOOKUP(TEXT($I687,"yyyy-mm-dd")&amp;"||",tblExcepciones[clave],tblExcepciones[habil],INDEX(patronHabil,WEEKDAY($I687,2)))))</f>
        <v/>
      </c>
    </row>
    <row r="688">
      <c r="I688" s="12" t="n">
        <v>46706</v>
      </c>
      <c r="J688" s="3">
        <f>_xlfn.XLOOKUP(TEXT($I688,"yyyy-mm-dd")&amp;"|"&amp;""&amp;"|"&amp;"",tblExcepciones[clave],tblExcepciones[habil],_xlfn.XLOOKUP(TEXT($I688,"yyyy-mm-dd")&amp;"|"&amp;""&amp;"|",tblExcepciones[clave],tblExcepciones[habil],_xlfn.XLOOKUP(TEXT($I688,"yyyy-mm-dd")&amp;"||",tblExcepciones[clave],tblExcepciones[habil],INDEX(patronHabil,WEEKDAY($I688,2)))))</f>
        <v/>
      </c>
    </row>
    <row r="689">
      <c r="I689" s="12" t="n">
        <v>46707</v>
      </c>
      <c r="J689" s="3">
        <f>_xlfn.XLOOKUP(TEXT($I689,"yyyy-mm-dd")&amp;"|"&amp;""&amp;"|"&amp;"",tblExcepciones[clave],tblExcepciones[habil],_xlfn.XLOOKUP(TEXT($I689,"yyyy-mm-dd")&amp;"|"&amp;""&amp;"|",tblExcepciones[clave],tblExcepciones[habil],_xlfn.XLOOKUP(TEXT($I689,"yyyy-mm-dd")&amp;"||",tblExcepciones[clave],tblExcepciones[habil],INDEX(patronHabil,WEEKDAY($I689,2)))))</f>
        <v/>
      </c>
    </row>
    <row r="690">
      <c r="I690" s="12" t="n">
        <v>46708</v>
      </c>
      <c r="J690" s="3">
        <f>_xlfn.XLOOKUP(TEXT($I690,"yyyy-mm-dd")&amp;"|"&amp;""&amp;"|"&amp;"",tblExcepciones[clave],tblExcepciones[habil],_xlfn.XLOOKUP(TEXT($I690,"yyyy-mm-dd")&amp;"|"&amp;""&amp;"|",tblExcepciones[clave],tblExcepciones[habil],_xlfn.XLOOKUP(TEXT($I690,"yyyy-mm-dd")&amp;"||",tblExcepciones[clave],tblExcepciones[habil],INDEX(patronHabil,WEEKDAY($I690,2)))))</f>
        <v/>
      </c>
    </row>
    <row r="691">
      <c r="I691" s="12" t="n">
        <v>46709</v>
      </c>
      <c r="J691" s="3">
        <f>_xlfn.XLOOKUP(TEXT($I691,"yyyy-mm-dd")&amp;"|"&amp;""&amp;"|"&amp;"",tblExcepciones[clave],tblExcepciones[habil],_xlfn.XLOOKUP(TEXT($I691,"yyyy-mm-dd")&amp;"|"&amp;""&amp;"|",tblExcepciones[clave],tblExcepciones[habil],_xlfn.XLOOKUP(TEXT($I691,"yyyy-mm-dd")&amp;"||",tblExcepciones[clave],tblExcepciones[habil],INDEX(patronHabil,WEEKDAY($I691,2)))))</f>
        <v/>
      </c>
    </row>
    <row r="692">
      <c r="I692" s="12" t="n">
        <v>46710</v>
      </c>
      <c r="J692" s="3">
        <f>_xlfn.XLOOKUP(TEXT($I692,"yyyy-mm-dd")&amp;"|"&amp;""&amp;"|"&amp;"",tblExcepciones[clave],tblExcepciones[habil],_xlfn.XLOOKUP(TEXT($I692,"yyyy-mm-dd")&amp;"|"&amp;""&amp;"|",tblExcepciones[clave],tblExcepciones[habil],_xlfn.XLOOKUP(TEXT($I692,"yyyy-mm-dd")&amp;"||",tblExcepciones[clave],tblExcepciones[habil],INDEX(patronHabil,WEEKDAY($I692,2)))))</f>
        <v/>
      </c>
    </row>
    <row r="693">
      <c r="I693" s="12" t="n">
        <v>46711</v>
      </c>
      <c r="J693" s="3">
        <f>_xlfn.XLOOKUP(TEXT($I693,"yyyy-mm-dd")&amp;"|"&amp;""&amp;"|"&amp;"",tblExcepciones[clave],tblExcepciones[habil],_xlfn.XLOOKUP(TEXT($I693,"yyyy-mm-dd")&amp;"|"&amp;""&amp;"|",tblExcepciones[clave],tblExcepciones[habil],_xlfn.XLOOKUP(TEXT($I693,"yyyy-mm-dd")&amp;"||",tblExcepciones[clave],tblExcepciones[habil],INDEX(patronHabil,WEEKDAY($I693,2)))))</f>
        <v/>
      </c>
    </row>
    <row r="694">
      <c r="I694" s="12" t="n">
        <v>46712</v>
      </c>
      <c r="J694" s="3">
        <f>_xlfn.XLOOKUP(TEXT($I694,"yyyy-mm-dd")&amp;"|"&amp;""&amp;"|"&amp;"",tblExcepciones[clave],tblExcepciones[habil],_xlfn.XLOOKUP(TEXT($I694,"yyyy-mm-dd")&amp;"|"&amp;""&amp;"|",tblExcepciones[clave],tblExcepciones[habil],_xlfn.XLOOKUP(TEXT($I694,"yyyy-mm-dd")&amp;"||",tblExcepciones[clave],tblExcepciones[habil],INDEX(patronHabil,WEEKDAY($I694,2)))))</f>
        <v/>
      </c>
    </row>
    <row r="695">
      <c r="I695" s="12" t="n">
        <v>46713</v>
      </c>
      <c r="J695" s="3">
        <f>_xlfn.XLOOKUP(TEXT($I695,"yyyy-mm-dd")&amp;"|"&amp;""&amp;"|"&amp;"",tblExcepciones[clave],tblExcepciones[habil],_xlfn.XLOOKUP(TEXT($I695,"yyyy-mm-dd")&amp;"|"&amp;""&amp;"|",tblExcepciones[clave],tblExcepciones[habil],_xlfn.XLOOKUP(TEXT($I695,"yyyy-mm-dd")&amp;"||",tblExcepciones[clave],tblExcepciones[habil],INDEX(patronHabil,WEEKDAY($I695,2)))))</f>
        <v/>
      </c>
    </row>
    <row r="696">
      <c r="I696" s="12" t="n">
        <v>46714</v>
      </c>
      <c r="J696" s="3">
        <f>_xlfn.XLOOKUP(TEXT($I696,"yyyy-mm-dd")&amp;"|"&amp;""&amp;"|"&amp;"",tblExcepciones[clave],tblExcepciones[habil],_xlfn.XLOOKUP(TEXT($I696,"yyyy-mm-dd")&amp;"|"&amp;""&amp;"|",tblExcepciones[clave],tblExcepciones[habil],_xlfn.XLOOKUP(TEXT($I696,"yyyy-mm-dd")&amp;"||",tblExcepciones[clave],tblExcepciones[habil],INDEX(patronHabil,WEEKDAY($I696,2)))))</f>
        <v/>
      </c>
    </row>
    <row r="697">
      <c r="I697" s="12" t="n">
        <v>46715</v>
      </c>
      <c r="J697" s="3">
        <f>_xlfn.XLOOKUP(TEXT($I697,"yyyy-mm-dd")&amp;"|"&amp;""&amp;"|"&amp;"",tblExcepciones[clave],tblExcepciones[habil],_xlfn.XLOOKUP(TEXT($I697,"yyyy-mm-dd")&amp;"|"&amp;""&amp;"|",tblExcepciones[clave],tblExcepciones[habil],_xlfn.XLOOKUP(TEXT($I697,"yyyy-mm-dd")&amp;"||",tblExcepciones[clave],tblExcepciones[habil],INDEX(patronHabil,WEEKDAY($I697,2)))))</f>
        <v/>
      </c>
    </row>
    <row r="698">
      <c r="I698" s="12" t="n">
        <v>46716</v>
      </c>
      <c r="J698" s="3">
        <f>_xlfn.XLOOKUP(TEXT($I698,"yyyy-mm-dd")&amp;"|"&amp;""&amp;"|"&amp;"",tblExcepciones[clave],tblExcepciones[habil],_xlfn.XLOOKUP(TEXT($I698,"yyyy-mm-dd")&amp;"|"&amp;""&amp;"|",tblExcepciones[clave],tblExcepciones[habil],_xlfn.XLOOKUP(TEXT($I698,"yyyy-mm-dd")&amp;"||",tblExcepciones[clave],tblExcepciones[habil],INDEX(patronHabil,WEEKDAY($I698,2)))))</f>
        <v/>
      </c>
    </row>
    <row r="699">
      <c r="I699" s="12" t="n">
        <v>46717</v>
      </c>
      <c r="J699" s="3">
        <f>_xlfn.XLOOKUP(TEXT($I699,"yyyy-mm-dd")&amp;"|"&amp;""&amp;"|"&amp;"",tblExcepciones[clave],tblExcepciones[habil],_xlfn.XLOOKUP(TEXT($I699,"yyyy-mm-dd")&amp;"|"&amp;""&amp;"|",tblExcepciones[clave],tblExcepciones[habil],_xlfn.XLOOKUP(TEXT($I699,"yyyy-mm-dd")&amp;"||",tblExcepciones[clave],tblExcepciones[habil],INDEX(patronHabil,WEEKDAY($I699,2)))))</f>
        <v/>
      </c>
    </row>
    <row r="700">
      <c r="I700" s="12" t="n">
        <v>46718</v>
      </c>
      <c r="J700" s="3">
        <f>_xlfn.XLOOKUP(TEXT($I700,"yyyy-mm-dd")&amp;"|"&amp;""&amp;"|"&amp;"",tblExcepciones[clave],tblExcepciones[habil],_xlfn.XLOOKUP(TEXT($I700,"yyyy-mm-dd")&amp;"|"&amp;""&amp;"|",tblExcepciones[clave],tblExcepciones[habil],_xlfn.XLOOKUP(TEXT($I700,"yyyy-mm-dd")&amp;"||",tblExcepciones[clave],tblExcepciones[habil],INDEX(patronHabil,WEEKDAY($I700,2)))))</f>
        <v/>
      </c>
    </row>
    <row r="701">
      <c r="I701" s="12" t="n">
        <v>46719</v>
      </c>
      <c r="J701" s="3">
        <f>_xlfn.XLOOKUP(TEXT($I701,"yyyy-mm-dd")&amp;"|"&amp;""&amp;"|"&amp;"",tblExcepciones[clave],tblExcepciones[habil],_xlfn.XLOOKUP(TEXT($I701,"yyyy-mm-dd")&amp;"|"&amp;""&amp;"|",tblExcepciones[clave],tblExcepciones[habil],_xlfn.XLOOKUP(TEXT($I701,"yyyy-mm-dd")&amp;"||",tblExcepciones[clave],tblExcepciones[habil],INDEX(patronHabil,WEEKDAY($I701,2)))))</f>
        <v/>
      </c>
    </row>
    <row r="702">
      <c r="I702" s="12" t="n">
        <v>46720</v>
      </c>
      <c r="J702" s="3">
        <f>_xlfn.XLOOKUP(TEXT($I702,"yyyy-mm-dd")&amp;"|"&amp;""&amp;"|"&amp;"",tblExcepciones[clave],tblExcepciones[habil],_xlfn.XLOOKUP(TEXT($I702,"yyyy-mm-dd")&amp;"|"&amp;""&amp;"|",tblExcepciones[clave],tblExcepciones[habil],_xlfn.XLOOKUP(TEXT($I702,"yyyy-mm-dd")&amp;"||",tblExcepciones[clave],tblExcepciones[habil],INDEX(patronHabil,WEEKDAY($I702,2)))))</f>
        <v/>
      </c>
    </row>
    <row r="703">
      <c r="I703" s="12" t="n">
        <v>46721</v>
      </c>
      <c r="J703" s="3">
        <f>_xlfn.XLOOKUP(TEXT($I703,"yyyy-mm-dd")&amp;"|"&amp;""&amp;"|"&amp;"",tblExcepciones[clave],tblExcepciones[habil],_xlfn.XLOOKUP(TEXT($I703,"yyyy-mm-dd")&amp;"|"&amp;""&amp;"|",tblExcepciones[clave],tblExcepciones[habil],_xlfn.XLOOKUP(TEXT($I703,"yyyy-mm-dd")&amp;"||",tblExcepciones[clave],tblExcepciones[habil],INDEX(patronHabil,WEEKDAY($I703,2)))))</f>
        <v/>
      </c>
    </row>
    <row r="704">
      <c r="I704" s="12" t="n">
        <v>46722</v>
      </c>
      <c r="J704" s="3">
        <f>_xlfn.XLOOKUP(TEXT($I704,"yyyy-mm-dd")&amp;"|"&amp;""&amp;"|"&amp;"",tblExcepciones[clave],tblExcepciones[habil],_xlfn.XLOOKUP(TEXT($I704,"yyyy-mm-dd")&amp;"|"&amp;""&amp;"|",tblExcepciones[clave],tblExcepciones[habil],_xlfn.XLOOKUP(TEXT($I704,"yyyy-mm-dd")&amp;"||",tblExcepciones[clave],tblExcepciones[habil],INDEX(patronHabil,WEEKDAY($I704,2)))))</f>
        <v/>
      </c>
    </row>
    <row r="705">
      <c r="I705" s="12" t="n">
        <v>46723</v>
      </c>
      <c r="J705" s="3">
        <f>_xlfn.XLOOKUP(TEXT($I705,"yyyy-mm-dd")&amp;"|"&amp;""&amp;"|"&amp;"",tblExcepciones[clave],tblExcepciones[habil],_xlfn.XLOOKUP(TEXT($I705,"yyyy-mm-dd")&amp;"|"&amp;""&amp;"|",tblExcepciones[clave],tblExcepciones[habil],_xlfn.XLOOKUP(TEXT($I705,"yyyy-mm-dd")&amp;"||",tblExcepciones[clave],tblExcepciones[habil],INDEX(patronHabil,WEEKDAY($I705,2)))))</f>
        <v/>
      </c>
    </row>
    <row r="706">
      <c r="I706" s="12" t="n">
        <v>46724</v>
      </c>
      <c r="J706" s="3">
        <f>_xlfn.XLOOKUP(TEXT($I706,"yyyy-mm-dd")&amp;"|"&amp;""&amp;"|"&amp;"",tblExcepciones[clave],tblExcepciones[habil],_xlfn.XLOOKUP(TEXT($I706,"yyyy-mm-dd")&amp;"|"&amp;""&amp;"|",tblExcepciones[clave],tblExcepciones[habil],_xlfn.XLOOKUP(TEXT($I706,"yyyy-mm-dd")&amp;"||",tblExcepciones[clave],tblExcepciones[habil],INDEX(patronHabil,WEEKDAY($I706,2)))))</f>
        <v/>
      </c>
    </row>
    <row r="707">
      <c r="I707" s="12" t="n">
        <v>46725</v>
      </c>
      <c r="J707" s="3">
        <f>_xlfn.XLOOKUP(TEXT($I707,"yyyy-mm-dd")&amp;"|"&amp;""&amp;"|"&amp;"",tblExcepciones[clave],tblExcepciones[habil],_xlfn.XLOOKUP(TEXT($I707,"yyyy-mm-dd")&amp;"|"&amp;""&amp;"|",tblExcepciones[clave],tblExcepciones[habil],_xlfn.XLOOKUP(TEXT($I707,"yyyy-mm-dd")&amp;"||",tblExcepciones[clave],tblExcepciones[habil],INDEX(patronHabil,WEEKDAY($I707,2)))))</f>
        <v/>
      </c>
    </row>
    <row r="708">
      <c r="I708" s="12" t="n">
        <v>46726</v>
      </c>
      <c r="J708" s="3">
        <f>_xlfn.XLOOKUP(TEXT($I708,"yyyy-mm-dd")&amp;"|"&amp;""&amp;"|"&amp;"",tblExcepciones[clave],tblExcepciones[habil],_xlfn.XLOOKUP(TEXT($I708,"yyyy-mm-dd")&amp;"|"&amp;""&amp;"|",tblExcepciones[clave],tblExcepciones[habil],_xlfn.XLOOKUP(TEXT($I708,"yyyy-mm-dd")&amp;"||",tblExcepciones[clave],tblExcepciones[habil],INDEX(patronHabil,WEEKDAY($I708,2)))))</f>
        <v/>
      </c>
    </row>
    <row r="709">
      <c r="I709" s="12" t="n">
        <v>46727</v>
      </c>
      <c r="J709" s="3">
        <f>_xlfn.XLOOKUP(TEXT($I709,"yyyy-mm-dd")&amp;"|"&amp;""&amp;"|"&amp;"",tblExcepciones[clave],tblExcepciones[habil],_xlfn.XLOOKUP(TEXT($I709,"yyyy-mm-dd")&amp;"|"&amp;""&amp;"|",tblExcepciones[clave],tblExcepciones[habil],_xlfn.XLOOKUP(TEXT($I709,"yyyy-mm-dd")&amp;"||",tblExcepciones[clave],tblExcepciones[habil],INDEX(patronHabil,WEEKDAY($I709,2)))))</f>
        <v/>
      </c>
    </row>
    <row r="710">
      <c r="I710" s="12" t="n">
        <v>46728</v>
      </c>
      <c r="J710" s="3">
        <f>_xlfn.XLOOKUP(TEXT($I710,"yyyy-mm-dd")&amp;"|"&amp;""&amp;"|"&amp;"",tblExcepciones[clave],tblExcepciones[habil],_xlfn.XLOOKUP(TEXT($I710,"yyyy-mm-dd")&amp;"|"&amp;""&amp;"|",tblExcepciones[clave],tblExcepciones[habil],_xlfn.XLOOKUP(TEXT($I710,"yyyy-mm-dd")&amp;"||",tblExcepciones[clave],tblExcepciones[habil],INDEX(patronHabil,WEEKDAY($I710,2)))))</f>
        <v/>
      </c>
    </row>
    <row r="711">
      <c r="I711" s="12" t="n">
        <v>46729</v>
      </c>
      <c r="J711" s="3">
        <f>_xlfn.XLOOKUP(TEXT($I711,"yyyy-mm-dd")&amp;"|"&amp;""&amp;"|"&amp;"",tblExcepciones[clave],tblExcepciones[habil],_xlfn.XLOOKUP(TEXT($I711,"yyyy-mm-dd")&amp;"|"&amp;""&amp;"|",tblExcepciones[clave],tblExcepciones[habil],_xlfn.XLOOKUP(TEXT($I711,"yyyy-mm-dd")&amp;"||",tblExcepciones[clave],tblExcepciones[habil],INDEX(patronHabil,WEEKDAY($I711,2)))))</f>
        <v/>
      </c>
    </row>
    <row r="712">
      <c r="I712" s="12" t="n">
        <v>46730</v>
      </c>
      <c r="J712" s="3">
        <f>_xlfn.XLOOKUP(TEXT($I712,"yyyy-mm-dd")&amp;"|"&amp;""&amp;"|"&amp;"",tblExcepciones[clave],tblExcepciones[habil],_xlfn.XLOOKUP(TEXT($I712,"yyyy-mm-dd")&amp;"|"&amp;""&amp;"|",tblExcepciones[clave],tblExcepciones[habil],_xlfn.XLOOKUP(TEXT($I712,"yyyy-mm-dd")&amp;"||",tblExcepciones[clave],tblExcepciones[habil],INDEX(patronHabil,WEEKDAY($I712,2)))))</f>
        <v/>
      </c>
    </row>
    <row r="713">
      <c r="I713" s="12" t="n">
        <v>46731</v>
      </c>
      <c r="J713" s="3">
        <f>_xlfn.XLOOKUP(TEXT($I713,"yyyy-mm-dd")&amp;"|"&amp;""&amp;"|"&amp;"",tblExcepciones[clave],tblExcepciones[habil],_xlfn.XLOOKUP(TEXT($I713,"yyyy-mm-dd")&amp;"|"&amp;""&amp;"|",tblExcepciones[clave],tblExcepciones[habil],_xlfn.XLOOKUP(TEXT($I713,"yyyy-mm-dd")&amp;"||",tblExcepciones[clave],tblExcepciones[habil],INDEX(patronHabil,WEEKDAY($I713,2)))))</f>
        <v/>
      </c>
    </row>
    <row r="714">
      <c r="I714" s="12" t="n">
        <v>46732</v>
      </c>
      <c r="J714" s="3">
        <f>_xlfn.XLOOKUP(TEXT($I714,"yyyy-mm-dd")&amp;"|"&amp;""&amp;"|"&amp;"",tblExcepciones[clave],tblExcepciones[habil],_xlfn.XLOOKUP(TEXT($I714,"yyyy-mm-dd")&amp;"|"&amp;""&amp;"|",tblExcepciones[clave],tblExcepciones[habil],_xlfn.XLOOKUP(TEXT($I714,"yyyy-mm-dd")&amp;"||",tblExcepciones[clave],tblExcepciones[habil],INDEX(patronHabil,WEEKDAY($I714,2)))))</f>
        <v/>
      </c>
    </row>
    <row r="715">
      <c r="I715" s="12" t="n">
        <v>46733</v>
      </c>
      <c r="J715" s="3">
        <f>_xlfn.XLOOKUP(TEXT($I715,"yyyy-mm-dd")&amp;"|"&amp;""&amp;"|"&amp;"",tblExcepciones[clave],tblExcepciones[habil],_xlfn.XLOOKUP(TEXT($I715,"yyyy-mm-dd")&amp;"|"&amp;""&amp;"|",tblExcepciones[clave],tblExcepciones[habil],_xlfn.XLOOKUP(TEXT($I715,"yyyy-mm-dd")&amp;"||",tblExcepciones[clave],tblExcepciones[habil],INDEX(patronHabil,WEEKDAY($I715,2)))))</f>
        <v/>
      </c>
    </row>
    <row r="716">
      <c r="I716" s="12" t="n">
        <v>46734</v>
      </c>
      <c r="J716" s="3">
        <f>_xlfn.XLOOKUP(TEXT($I716,"yyyy-mm-dd")&amp;"|"&amp;""&amp;"|"&amp;"",tblExcepciones[clave],tblExcepciones[habil],_xlfn.XLOOKUP(TEXT($I716,"yyyy-mm-dd")&amp;"|"&amp;""&amp;"|",tblExcepciones[clave],tblExcepciones[habil],_xlfn.XLOOKUP(TEXT($I716,"yyyy-mm-dd")&amp;"||",tblExcepciones[clave],tblExcepciones[habil],INDEX(patronHabil,WEEKDAY($I716,2)))))</f>
        <v/>
      </c>
    </row>
    <row r="717">
      <c r="I717" s="12" t="n">
        <v>46735</v>
      </c>
      <c r="J717" s="3">
        <f>_xlfn.XLOOKUP(TEXT($I717,"yyyy-mm-dd")&amp;"|"&amp;""&amp;"|"&amp;"",tblExcepciones[clave],tblExcepciones[habil],_xlfn.XLOOKUP(TEXT($I717,"yyyy-mm-dd")&amp;"|"&amp;""&amp;"|",tblExcepciones[clave],tblExcepciones[habil],_xlfn.XLOOKUP(TEXT($I717,"yyyy-mm-dd")&amp;"||",tblExcepciones[clave],tblExcepciones[habil],INDEX(patronHabil,WEEKDAY($I717,2)))))</f>
        <v/>
      </c>
    </row>
    <row r="718">
      <c r="I718" s="12" t="n">
        <v>46736</v>
      </c>
      <c r="J718" s="3">
        <f>_xlfn.XLOOKUP(TEXT($I718,"yyyy-mm-dd")&amp;"|"&amp;""&amp;"|"&amp;"",tblExcepciones[clave],tblExcepciones[habil],_xlfn.XLOOKUP(TEXT($I718,"yyyy-mm-dd")&amp;"|"&amp;""&amp;"|",tblExcepciones[clave],tblExcepciones[habil],_xlfn.XLOOKUP(TEXT($I718,"yyyy-mm-dd")&amp;"||",tblExcepciones[clave],tblExcepciones[habil],INDEX(patronHabil,WEEKDAY($I718,2)))))</f>
        <v/>
      </c>
    </row>
    <row r="719">
      <c r="I719" s="12" t="n">
        <v>46737</v>
      </c>
      <c r="J719" s="3">
        <f>_xlfn.XLOOKUP(TEXT($I719,"yyyy-mm-dd")&amp;"|"&amp;""&amp;"|"&amp;"",tblExcepciones[clave],tblExcepciones[habil],_xlfn.XLOOKUP(TEXT($I719,"yyyy-mm-dd")&amp;"|"&amp;""&amp;"|",tblExcepciones[clave],tblExcepciones[habil],_xlfn.XLOOKUP(TEXT($I719,"yyyy-mm-dd")&amp;"||",tblExcepciones[clave],tblExcepciones[habil],INDEX(patronHabil,WEEKDAY($I719,2)))))</f>
        <v/>
      </c>
    </row>
    <row r="720">
      <c r="I720" s="12" t="n">
        <v>46738</v>
      </c>
      <c r="J720" s="3">
        <f>_xlfn.XLOOKUP(TEXT($I720,"yyyy-mm-dd")&amp;"|"&amp;""&amp;"|"&amp;"",tblExcepciones[clave],tblExcepciones[habil],_xlfn.XLOOKUP(TEXT($I720,"yyyy-mm-dd")&amp;"|"&amp;""&amp;"|",tblExcepciones[clave],tblExcepciones[habil],_xlfn.XLOOKUP(TEXT($I720,"yyyy-mm-dd")&amp;"||",tblExcepciones[clave],tblExcepciones[habil],INDEX(patronHabil,WEEKDAY($I720,2)))))</f>
        <v/>
      </c>
    </row>
    <row r="721">
      <c r="I721" s="12" t="n">
        <v>46739</v>
      </c>
      <c r="J721" s="3">
        <f>_xlfn.XLOOKUP(TEXT($I721,"yyyy-mm-dd")&amp;"|"&amp;""&amp;"|"&amp;"",tblExcepciones[clave],tblExcepciones[habil],_xlfn.XLOOKUP(TEXT($I721,"yyyy-mm-dd")&amp;"|"&amp;""&amp;"|",tblExcepciones[clave],tblExcepciones[habil],_xlfn.XLOOKUP(TEXT($I721,"yyyy-mm-dd")&amp;"||",tblExcepciones[clave],tblExcepciones[habil],INDEX(patronHabil,WEEKDAY($I721,2)))))</f>
        <v/>
      </c>
    </row>
    <row r="722">
      <c r="I722" s="12" t="n">
        <v>46740</v>
      </c>
      <c r="J722" s="3">
        <f>_xlfn.XLOOKUP(TEXT($I722,"yyyy-mm-dd")&amp;"|"&amp;""&amp;"|"&amp;"",tblExcepciones[clave],tblExcepciones[habil],_xlfn.XLOOKUP(TEXT($I722,"yyyy-mm-dd")&amp;"|"&amp;""&amp;"|",tblExcepciones[clave],tblExcepciones[habil],_xlfn.XLOOKUP(TEXT($I722,"yyyy-mm-dd")&amp;"||",tblExcepciones[clave],tblExcepciones[habil],INDEX(patronHabil,WEEKDAY($I722,2)))))</f>
        <v/>
      </c>
    </row>
    <row r="723">
      <c r="I723" s="12" t="n">
        <v>46741</v>
      </c>
      <c r="J723" s="3">
        <f>_xlfn.XLOOKUP(TEXT($I723,"yyyy-mm-dd")&amp;"|"&amp;""&amp;"|"&amp;"",tblExcepciones[clave],tblExcepciones[habil],_xlfn.XLOOKUP(TEXT($I723,"yyyy-mm-dd")&amp;"|"&amp;""&amp;"|",tblExcepciones[clave],tblExcepciones[habil],_xlfn.XLOOKUP(TEXT($I723,"yyyy-mm-dd")&amp;"||",tblExcepciones[clave],tblExcepciones[habil],INDEX(patronHabil,WEEKDAY($I723,2)))))</f>
        <v/>
      </c>
    </row>
    <row r="724">
      <c r="I724" s="12" t="n">
        <v>46742</v>
      </c>
      <c r="J724" s="3">
        <f>_xlfn.XLOOKUP(TEXT($I724,"yyyy-mm-dd")&amp;"|"&amp;""&amp;"|"&amp;"",tblExcepciones[clave],tblExcepciones[habil],_xlfn.XLOOKUP(TEXT($I724,"yyyy-mm-dd")&amp;"|"&amp;""&amp;"|",tblExcepciones[clave],tblExcepciones[habil],_xlfn.XLOOKUP(TEXT($I724,"yyyy-mm-dd")&amp;"||",tblExcepciones[clave],tblExcepciones[habil],INDEX(patronHabil,WEEKDAY($I724,2)))))</f>
        <v/>
      </c>
    </row>
    <row r="725">
      <c r="I725" s="12" t="n">
        <v>46743</v>
      </c>
      <c r="J725" s="3">
        <f>_xlfn.XLOOKUP(TEXT($I725,"yyyy-mm-dd")&amp;"|"&amp;""&amp;"|"&amp;"",tblExcepciones[clave],tblExcepciones[habil],_xlfn.XLOOKUP(TEXT($I725,"yyyy-mm-dd")&amp;"|"&amp;""&amp;"|",tblExcepciones[clave],tblExcepciones[habil],_xlfn.XLOOKUP(TEXT($I725,"yyyy-mm-dd")&amp;"||",tblExcepciones[clave],tblExcepciones[habil],INDEX(patronHabil,WEEKDAY($I725,2)))))</f>
        <v/>
      </c>
    </row>
    <row r="726">
      <c r="I726" s="12" t="n">
        <v>46744</v>
      </c>
      <c r="J726" s="3">
        <f>_xlfn.XLOOKUP(TEXT($I726,"yyyy-mm-dd")&amp;"|"&amp;""&amp;"|"&amp;"",tblExcepciones[clave],tblExcepciones[habil],_xlfn.XLOOKUP(TEXT($I726,"yyyy-mm-dd")&amp;"|"&amp;""&amp;"|",tblExcepciones[clave],tblExcepciones[habil],_xlfn.XLOOKUP(TEXT($I726,"yyyy-mm-dd")&amp;"||",tblExcepciones[clave],tblExcepciones[habil],INDEX(patronHabil,WEEKDAY($I726,2)))))</f>
        <v/>
      </c>
    </row>
    <row r="727">
      <c r="I727" s="12" t="n">
        <v>46745</v>
      </c>
      <c r="J727" s="3">
        <f>_xlfn.XLOOKUP(TEXT($I727,"yyyy-mm-dd")&amp;"|"&amp;""&amp;"|"&amp;"",tblExcepciones[clave],tblExcepciones[habil],_xlfn.XLOOKUP(TEXT($I727,"yyyy-mm-dd")&amp;"|"&amp;""&amp;"|",tblExcepciones[clave],tblExcepciones[habil],_xlfn.XLOOKUP(TEXT($I727,"yyyy-mm-dd")&amp;"||",tblExcepciones[clave],tblExcepciones[habil],INDEX(patronHabil,WEEKDAY($I727,2)))))</f>
        <v/>
      </c>
    </row>
    <row r="728">
      <c r="I728" s="12" t="n">
        <v>46746</v>
      </c>
      <c r="J728" s="3">
        <f>_xlfn.XLOOKUP(TEXT($I728,"yyyy-mm-dd")&amp;"|"&amp;""&amp;"|"&amp;"",tblExcepciones[clave],tblExcepciones[habil],_xlfn.XLOOKUP(TEXT($I728,"yyyy-mm-dd")&amp;"|"&amp;""&amp;"|",tblExcepciones[clave],tblExcepciones[habil],_xlfn.XLOOKUP(TEXT($I728,"yyyy-mm-dd")&amp;"||",tblExcepciones[clave],tblExcepciones[habil],INDEX(patronHabil,WEEKDAY($I728,2)))))</f>
        <v/>
      </c>
    </row>
    <row r="729">
      <c r="I729" s="12" t="n">
        <v>46747</v>
      </c>
      <c r="J729" s="3">
        <f>_xlfn.XLOOKUP(TEXT($I729,"yyyy-mm-dd")&amp;"|"&amp;""&amp;"|"&amp;"",tblExcepciones[clave],tblExcepciones[habil],_xlfn.XLOOKUP(TEXT($I729,"yyyy-mm-dd")&amp;"|"&amp;""&amp;"|",tblExcepciones[clave],tblExcepciones[habil],_xlfn.XLOOKUP(TEXT($I729,"yyyy-mm-dd")&amp;"||",tblExcepciones[clave],tblExcepciones[habil],INDEX(patronHabil,WEEKDAY($I729,2)))))</f>
        <v/>
      </c>
    </row>
    <row r="730">
      <c r="I730" s="12" t="n">
        <v>46748</v>
      </c>
      <c r="J730" s="3">
        <f>_xlfn.XLOOKUP(TEXT($I730,"yyyy-mm-dd")&amp;"|"&amp;""&amp;"|"&amp;"",tblExcepciones[clave],tblExcepciones[habil],_xlfn.XLOOKUP(TEXT($I730,"yyyy-mm-dd")&amp;"|"&amp;""&amp;"|",tblExcepciones[clave],tblExcepciones[habil],_xlfn.XLOOKUP(TEXT($I730,"yyyy-mm-dd")&amp;"||",tblExcepciones[clave],tblExcepciones[habil],INDEX(patronHabil,WEEKDAY($I730,2)))))</f>
        <v/>
      </c>
    </row>
    <row r="731">
      <c r="I731" s="12" t="n">
        <v>46749</v>
      </c>
      <c r="J731" s="3">
        <f>_xlfn.XLOOKUP(TEXT($I731,"yyyy-mm-dd")&amp;"|"&amp;""&amp;"|"&amp;"",tblExcepciones[clave],tblExcepciones[habil],_xlfn.XLOOKUP(TEXT($I731,"yyyy-mm-dd")&amp;"|"&amp;""&amp;"|",tblExcepciones[clave],tblExcepciones[habil],_xlfn.XLOOKUP(TEXT($I731,"yyyy-mm-dd")&amp;"||",tblExcepciones[clave],tblExcepciones[habil],INDEX(patronHabil,WEEKDAY($I731,2)))))</f>
        <v/>
      </c>
    </row>
    <row r="732">
      <c r="I732" s="12" t="n">
        <v>46750</v>
      </c>
      <c r="J732" s="3">
        <f>_xlfn.XLOOKUP(TEXT($I732,"yyyy-mm-dd")&amp;"|"&amp;""&amp;"|"&amp;"",tblExcepciones[clave],tblExcepciones[habil],_xlfn.XLOOKUP(TEXT($I732,"yyyy-mm-dd")&amp;"|"&amp;""&amp;"|",tblExcepciones[clave],tblExcepciones[habil],_xlfn.XLOOKUP(TEXT($I732,"yyyy-mm-dd")&amp;"||",tblExcepciones[clave],tblExcepciones[habil],INDEX(patronHabil,WEEKDAY($I732,2)))))</f>
        <v/>
      </c>
    </row>
    <row r="733">
      <c r="I733" s="12" t="n">
        <v>46751</v>
      </c>
      <c r="J733" s="3">
        <f>_xlfn.XLOOKUP(TEXT($I733,"yyyy-mm-dd")&amp;"|"&amp;""&amp;"|"&amp;"",tblExcepciones[clave],tblExcepciones[habil],_xlfn.XLOOKUP(TEXT($I733,"yyyy-mm-dd")&amp;"|"&amp;""&amp;"|",tblExcepciones[clave],tblExcepciones[habil],_xlfn.XLOOKUP(TEXT($I733,"yyyy-mm-dd")&amp;"||",tblExcepciones[clave],tblExcepciones[habil],INDEX(patronHabil,WEEKDAY($I733,2)))))</f>
        <v/>
      </c>
    </row>
    <row r="734">
      <c r="I734" s="12" t="n">
        <v>46752</v>
      </c>
      <c r="J734" s="3">
        <f>_xlfn.XLOOKUP(TEXT($I734,"yyyy-mm-dd")&amp;"|"&amp;""&amp;"|"&amp;"",tblExcepciones[clave],tblExcepciones[habil],_xlfn.XLOOKUP(TEXT($I734,"yyyy-mm-dd")&amp;"|"&amp;""&amp;"|",tblExcepciones[clave],tblExcepciones[habil],_xlfn.XLOOKUP(TEXT($I734,"yyyy-mm-dd")&amp;"||",tblExcepciones[clave],tblExcepciones[habil],INDEX(patronHabil,WEEKDAY($I734,2)))))</f>
        <v/>
      </c>
    </row>
    <row r="735">
      <c r="I735" s="12" t="n">
        <v>46753</v>
      </c>
      <c r="J735" s="3">
        <f>_xlfn.XLOOKUP(TEXT($I735,"yyyy-mm-dd")&amp;"|"&amp;""&amp;"|"&amp;"",tblExcepciones[clave],tblExcepciones[habil],_xlfn.XLOOKUP(TEXT($I735,"yyyy-mm-dd")&amp;"|"&amp;""&amp;"|",tblExcepciones[clave],tblExcepciones[habil],_xlfn.XLOOKUP(TEXT($I735,"yyyy-mm-dd")&amp;"||",tblExcepciones[clave],tblExcepciones[habil],INDEX(patronHabil,WEEKDAY($I735,2)))))</f>
        <v/>
      </c>
    </row>
    <row r="736">
      <c r="I736" s="12" t="n">
        <v>46754</v>
      </c>
      <c r="J736" s="3">
        <f>_xlfn.XLOOKUP(TEXT($I736,"yyyy-mm-dd")&amp;"|"&amp;""&amp;"|"&amp;"",tblExcepciones[clave],tblExcepciones[habil],_xlfn.XLOOKUP(TEXT($I736,"yyyy-mm-dd")&amp;"|"&amp;""&amp;"|",tblExcepciones[clave],tblExcepciones[habil],_xlfn.XLOOKUP(TEXT($I736,"yyyy-mm-dd")&amp;"||",tblExcepciones[clave],tblExcepciones[habil],INDEX(patronHabil,WEEKDAY($I736,2)))))</f>
        <v/>
      </c>
    </row>
    <row r="737">
      <c r="I737" s="12" t="n">
        <v>46755</v>
      </c>
      <c r="J737" s="3">
        <f>_xlfn.XLOOKUP(TEXT($I737,"yyyy-mm-dd")&amp;"|"&amp;""&amp;"|"&amp;"",tblExcepciones[clave],tblExcepciones[habil],_xlfn.XLOOKUP(TEXT($I737,"yyyy-mm-dd")&amp;"|"&amp;""&amp;"|",tblExcepciones[clave],tblExcepciones[habil],_xlfn.XLOOKUP(TEXT($I737,"yyyy-mm-dd")&amp;"||",tblExcepciones[clave],tblExcepciones[habil],INDEX(patronHabil,WEEKDAY($I737,2)))))</f>
        <v/>
      </c>
    </row>
    <row r="738">
      <c r="I738" s="12" t="n">
        <v>46756</v>
      </c>
      <c r="J738" s="3">
        <f>_xlfn.XLOOKUP(TEXT($I738,"yyyy-mm-dd")&amp;"|"&amp;""&amp;"|"&amp;"",tblExcepciones[clave],tblExcepciones[habil],_xlfn.XLOOKUP(TEXT($I738,"yyyy-mm-dd")&amp;"|"&amp;""&amp;"|",tblExcepciones[clave],tblExcepciones[habil],_xlfn.XLOOKUP(TEXT($I738,"yyyy-mm-dd")&amp;"||",tblExcepciones[clave],tblExcepciones[habil],INDEX(patronHabil,WEEKDAY($I738,2)))))</f>
        <v/>
      </c>
    </row>
    <row r="739">
      <c r="I739" s="12" t="n">
        <v>46757</v>
      </c>
      <c r="J739" s="3">
        <f>_xlfn.XLOOKUP(TEXT($I739,"yyyy-mm-dd")&amp;"|"&amp;""&amp;"|"&amp;"",tblExcepciones[clave],tblExcepciones[habil],_xlfn.XLOOKUP(TEXT($I739,"yyyy-mm-dd")&amp;"|"&amp;""&amp;"|",tblExcepciones[clave],tblExcepciones[habil],_xlfn.XLOOKUP(TEXT($I739,"yyyy-mm-dd")&amp;"||",tblExcepciones[clave],tblExcepciones[habil],INDEX(patronHabil,WEEKDAY($I739,2)))))</f>
        <v/>
      </c>
    </row>
    <row r="740">
      <c r="I740" s="12" t="n">
        <v>46758</v>
      </c>
      <c r="J740" s="3">
        <f>_xlfn.XLOOKUP(TEXT($I740,"yyyy-mm-dd")&amp;"|"&amp;""&amp;"|"&amp;"",tblExcepciones[clave],tblExcepciones[habil],_xlfn.XLOOKUP(TEXT($I740,"yyyy-mm-dd")&amp;"|"&amp;""&amp;"|",tblExcepciones[clave],tblExcepciones[habil],_xlfn.XLOOKUP(TEXT($I740,"yyyy-mm-dd")&amp;"||",tblExcepciones[clave],tblExcepciones[habil],INDEX(patronHabil,WEEKDAY($I740,2)))))</f>
        <v/>
      </c>
    </row>
    <row r="741">
      <c r="I741" s="12" t="n">
        <v>46759</v>
      </c>
      <c r="J741" s="3">
        <f>_xlfn.XLOOKUP(TEXT($I741,"yyyy-mm-dd")&amp;"|"&amp;""&amp;"|"&amp;"",tblExcepciones[clave],tblExcepciones[habil],_xlfn.XLOOKUP(TEXT($I741,"yyyy-mm-dd")&amp;"|"&amp;""&amp;"|",tblExcepciones[clave],tblExcepciones[habil],_xlfn.XLOOKUP(TEXT($I741,"yyyy-mm-dd")&amp;"||",tblExcepciones[clave],tblExcepciones[habil],INDEX(patronHabil,WEEKDAY($I741,2)))))</f>
        <v/>
      </c>
    </row>
    <row r="742">
      <c r="I742" s="12" t="n">
        <v>46760</v>
      </c>
      <c r="J742" s="3">
        <f>_xlfn.XLOOKUP(TEXT($I742,"yyyy-mm-dd")&amp;"|"&amp;""&amp;"|"&amp;"",tblExcepciones[clave],tblExcepciones[habil],_xlfn.XLOOKUP(TEXT($I742,"yyyy-mm-dd")&amp;"|"&amp;""&amp;"|",tblExcepciones[clave],tblExcepciones[habil],_xlfn.XLOOKUP(TEXT($I742,"yyyy-mm-dd")&amp;"||",tblExcepciones[clave],tblExcepciones[habil],INDEX(patronHabil,WEEKDAY($I742,2)))))</f>
        <v/>
      </c>
    </row>
    <row r="743">
      <c r="I743" s="12" t="n">
        <v>46761</v>
      </c>
      <c r="J743" s="3">
        <f>_xlfn.XLOOKUP(TEXT($I743,"yyyy-mm-dd")&amp;"|"&amp;""&amp;"|"&amp;"",tblExcepciones[clave],tblExcepciones[habil],_xlfn.XLOOKUP(TEXT($I743,"yyyy-mm-dd")&amp;"|"&amp;""&amp;"|",tblExcepciones[clave],tblExcepciones[habil],_xlfn.XLOOKUP(TEXT($I743,"yyyy-mm-dd")&amp;"||",tblExcepciones[clave],tblExcepciones[habil],INDEX(patronHabil,WEEKDAY($I743,2)))))</f>
        <v/>
      </c>
    </row>
    <row r="744">
      <c r="I744" s="12" t="n">
        <v>46762</v>
      </c>
      <c r="J744" s="3">
        <f>_xlfn.XLOOKUP(TEXT($I744,"yyyy-mm-dd")&amp;"|"&amp;""&amp;"|"&amp;"",tblExcepciones[clave],tblExcepciones[habil],_xlfn.XLOOKUP(TEXT($I744,"yyyy-mm-dd")&amp;"|"&amp;""&amp;"|",tblExcepciones[clave],tblExcepciones[habil],_xlfn.XLOOKUP(TEXT($I744,"yyyy-mm-dd")&amp;"||",tblExcepciones[clave],tblExcepciones[habil],INDEX(patronHabil,WEEKDAY($I744,2)))))</f>
        <v/>
      </c>
    </row>
    <row r="745">
      <c r="I745" s="12" t="n">
        <v>46763</v>
      </c>
      <c r="J745" s="3">
        <f>_xlfn.XLOOKUP(TEXT($I745,"yyyy-mm-dd")&amp;"|"&amp;""&amp;"|"&amp;"",tblExcepciones[clave],tblExcepciones[habil],_xlfn.XLOOKUP(TEXT($I745,"yyyy-mm-dd")&amp;"|"&amp;""&amp;"|",tblExcepciones[clave],tblExcepciones[habil],_xlfn.XLOOKUP(TEXT($I745,"yyyy-mm-dd")&amp;"||",tblExcepciones[clave],tblExcepciones[habil],INDEX(patronHabil,WEEKDAY($I745,2)))))</f>
        <v/>
      </c>
    </row>
    <row r="746">
      <c r="I746" s="12" t="n">
        <v>46764</v>
      </c>
      <c r="J746" s="3">
        <f>_xlfn.XLOOKUP(TEXT($I746,"yyyy-mm-dd")&amp;"|"&amp;""&amp;"|"&amp;"",tblExcepciones[clave],tblExcepciones[habil],_xlfn.XLOOKUP(TEXT($I746,"yyyy-mm-dd")&amp;"|"&amp;""&amp;"|",tblExcepciones[clave],tblExcepciones[habil],_xlfn.XLOOKUP(TEXT($I746,"yyyy-mm-dd")&amp;"||",tblExcepciones[clave],tblExcepciones[habil],INDEX(patronHabil,WEEKDAY($I746,2)))))</f>
        <v/>
      </c>
    </row>
    <row r="747">
      <c r="I747" s="12" t="n">
        <v>46765</v>
      </c>
      <c r="J747" s="3">
        <f>_xlfn.XLOOKUP(TEXT($I747,"yyyy-mm-dd")&amp;"|"&amp;""&amp;"|"&amp;"",tblExcepciones[clave],tblExcepciones[habil],_xlfn.XLOOKUP(TEXT($I747,"yyyy-mm-dd")&amp;"|"&amp;""&amp;"|",tblExcepciones[clave],tblExcepciones[habil],_xlfn.XLOOKUP(TEXT($I747,"yyyy-mm-dd")&amp;"||",tblExcepciones[clave],tblExcepciones[habil],INDEX(patronHabil,WEEKDAY($I747,2)))))</f>
        <v/>
      </c>
    </row>
    <row r="748">
      <c r="I748" s="12" t="n">
        <v>46766</v>
      </c>
      <c r="J748" s="3">
        <f>_xlfn.XLOOKUP(TEXT($I748,"yyyy-mm-dd")&amp;"|"&amp;""&amp;"|"&amp;"",tblExcepciones[clave],tblExcepciones[habil],_xlfn.XLOOKUP(TEXT($I748,"yyyy-mm-dd")&amp;"|"&amp;""&amp;"|",tblExcepciones[clave],tblExcepciones[habil],_xlfn.XLOOKUP(TEXT($I748,"yyyy-mm-dd")&amp;"||",tblExcepciones[clave],tblExcepciones[habil],INDEX(patronHabil,WEEKDAY($I748,2)))))</f>
        <v/>
      </c>
    </row>
    <row r="749">
      <c r="I749" s="12" t="n">
        <v>46767</v>
      </c>
      <c r="J749" s="3">
        <f>_xlfn.XLOOKUP(TEXT($I749,"yyyy-mm-dd")&amp;"|"&amp;""&amp;"|"&amp;"",tblExcepciones[clave],tblExcepciones[habil],_xlfn.XLOOKUP(TEXT($I749,"yyyy-mm-dd")&amp;"|"&amp;""&amp;"|",tblExcepciones[clave],tblExcepciones[habil],_xlfn.XLOOKUP(TEXT($I749,"yyyy-mm-dd")&amp;"||",tblExcepciones[clave],tblExcepciones[habil],INDEX(patronHabil,WEEKDAY($I749,2)))))</f>
        <v/>
      </c>
    </row>
    <row r="750">
      <c r="I750" s="12" t="n">
        <v>46768</v>
      </c>
      <c r="J750" s="3">
        <f>_xlfn.XLOOKUP(TEXT($I750,"yyyy-mm-dd")&amp;"|"&amp;""&amp;"|"&amp;"",tblExcepciones[clave],tblExcepciones[habil],_xlfn.XLOOKUP(TEXT($I750,"yyyy-mm-dd")&amp;"|"&amp;""&amp;"|",tblExcepciones[clave],tblExcepciones[habil],_xlfn.XLOOKUP(TEXT($I750,"yyyy-mm-dd")&amp;"||",tblExcepciones[clave],tblExcepciones[habil],INDEX(patronHabil,WEEKDAY($I750,2)))))</f>
        <v/>
      </c>
    </row>
    <row r="751">
      <c r="I751" s="12" t="n">
        <v>46769</v>
      </c>
      <c r="J751" s="3">
        <f>_xlfn.XLOOKUP(TEXT($I751,"yyyy-mm-dd")&amp;"|"&amp;""&amp;"|"&amp;"",tblExcepciones[clave],tblExcepciones[habil],_xlfn.XLOOKUP(TEXT($I751,"yyyy-mm-dd")&amp;"|"&amp;""&amp;"|",tblExcepciones[clave],tblExcepciones[habil],_xlfn.XLOOKUP(TEXT($I751,"yyyy-mm-dd")&amp;"||",tblExcepciones[clave],tblExcepciones[habil],INDEX(patronHabil,WEEKDAY($I751,2)))))</f>
        <v/>
      </c>
    </row>
    <row r="752">
      <c r="I752" s="12" t="n">
        <v>46770</v>
      </c>
      <c r="J752" s="3">
        <f>_xlfn.XLOOKUP(TEXT($I752,"yyyy-mm-dd")&amp;"|"&amp;""&amp;"|"&amp;"",tblExcepciones[clave],tblExcepciones[habil],_xlfn.XLOOKUP(TEXT($I752,"yyyy-mm-dd")&amp;"|"&amp;""&amp;"|",tblExcepciones[clave],tblExcepciones[habil],_xlfn.XLOOKUP(TEXT($I752,"yyyy-mm-dd")&amp;"||",tblExcepciones[clave],tblExcepciones[habil],INDEX(patronHabil,WEEKDAY($I752,2)))))</f>
        <v/>
      </c>
    </row>
    <row r="753">
      <c r="I753" s="12" t="n">
        <v>46771</v>
      </c>
      <c r="J753" s="3">
        <f>_xlfn.XLOOKUP(TEXT($I753,"yyyy-mm-dd")&amp;"|"&amp;""&amp;"|"&amp;"",tblExcepciones[clave],tblExcepciones[habil],_xlfn.XLOOKUP(TEXT($I753,"yyyy-mm-dd")&amp;"|"&amp;""&amp;"|",tblExcepciones[clave],tblExcepciones[habil],_xlfn.XLOOKUP(TEXT($I753,"yyyy-mm-dd")&amp;"||",tblExcepciones[clave],tblExcepciones[habil],INDEX(patronHabil,WEEKDAY($I753,2)))))</f>
        <v/>
      </c>
    </row>
    <row r="754">
      <c r="I754" s="12" t="n">
        <v>46772</v>
      </c>
      <c r="J754" s="3">
        <f>_xlfn.XLOOKUP(TEXT($I754,"yyyy-mm-dd")&amp;"|"&amp;""&amp;"|"&amp;"",tblExcepciones[clave],tblExcepciones[habil],_xlfn.XLOOKUP(TEXT($I754,"yyyy-mm-dd")&amp;"|"&amp;""&amp;"|",tblExcepciones[clave],tblExcepciones[habil],_xlfn.XLOOKUP(TEXT($I754,"yyyy-mm-dd")&amp;"||",tblExcepciones[clave],tblExcepciones[habil],INDEX(patronHabil,WEEKDAY($I754,2)))))</f>
        <v/>
      </c>
    </row>
    <row r="755">
      <c r="I755" s="12" t="n">
        <v>46773</v>
      </c>
      <c r="J755" s="3">
        <f>_xlfn.XLOOKUP(TEXT($I755,"yyyy-mm-dd")&amp;"|"&amp;""&amp;"|"&amp;"",tblExcepciones[clave],tblExcepciones[habil],_xlfn.XLOOKUP(TEXT($I755,"yyyy-mm-dd")&amp;"|"&amp;""&amp;"|",tblExcepciones[clave],tblExcepciones[habil],_xlfn.XLOOKUP(TEXT($I755,"yyyy-mm-dd")&amp;"||",tblExcepciones[clave],tblExcepciones[habil],INDEX(patronHabil,WEEKDAY($I755,2)))))</f>
        <v/>
      </c>
    </row>
    <row r="756">
      <c r="I756" s="12" t="n">
        <v>46774</v>
      </c>
      <c r="J756" s="3">
        <f>_xlfn.XLOOKUP(TEXT($I756,"yyyy-mm-dd")&amp;"|"&amp;""&amp;"|"&amp;"",tblExcepciones[clave],tblExcepciones[habil],_xlfn.XLOOKUP(TEXT($I756,"yyyy-mm-dd")&amp;"|"&amp;""&amp;"|",tblExcepciones[clave],tblExcepciones[habil],_xlfn.XLOOKUP(TEXT($I756,"yyyy-mm-dd")&amp;"||",tblExcepciones[clave],tblExcepciones[habil],INDEX(patronHabil,WEEKDAY($I756,2)))))</f>
        <v/>
      </c>
    </row>
    <row r="757">
      <c r="I757" s="12" t="n">
        <v>46775</v>
      </c>
      <c r="J757" s="3">
        <f>_xlfn.XLOOKUP(TEXT($I757,"yyyy-mm-dd")&amp;"|"&amp;""&amp;"|"&amp;"",tblExcepciones[clave],tblExcepciones[habil],_xlfn.XLOOKUP(TEXT($I757,"yyyy-mm-dd")&amp;"|"&amp;""&amp;"|",tblExcepciones[clave],tblExcepciones[habil],_xlfn.XLOOKUP(TEXT($I757,"yyyy-mm-dd")&amp;"||",tblExcepciones[clave],tblExcepciones[habil],INDEX(patronHabil,WEEKDAY($I757,2)))))</f>
        <v/>
      </c>
    </row>
    <row r="758">
      <c r="I758" s="12" t="n">
        <v>46776</v>
      </c>
      <c r="J758" s="3">
        <f>_xlfn.XLOOKUP(TEXT($I758,"yyyy-mm-dd")&amp;"|"&amp;""&amp;"|"&amp;"",tblExcepciones[clave],tblExcepciones[habil],_xlfn.XLOOKUP(TEXT($I758,"yyyy-mm-dd")&amp;"|"&amp;""&amp;"|",tblExcepciones[clave],tblExcepciones[habil],_xlfn.XLOOKUP(TEXT($I758,"yyyy-mm-dd")&amp;"||",tblExcepciones[clave],tblExcepciones[habil],INDEX(patronHabil,WEEKDAY($I758,2)))))</f>
        <v/>
      </c>
    </row>
    <row r="759">
      <c r="I759" s="12" t="n">
        <v>46777</v>
      </c>
      <c r="J759" s="3">
        <f>_xlfn.XLOOKUP(TEXT($I759,"yyyy-mm-dd")&amp;"|"&amp;""&amp;"|"&amp;"",tblExcepciones[clave],tblExcepciones[habil],_xlfn.XLOOKUP(TEXT($I759,"yyyy-mm-dd")&amp;"|"&amp;""&amp;"|",tblExcepciones[clave],tblExcepciones[habil],_xlfn.XLOOKUP(TEXT($I759,"yyyy-mm-dd")&amp;"||",tblExcepciones[clave],tblExcepciones[habil],INDEX(patronHabil,WEEKDAY($I759,2)))))</f>
        <v/>
      </c>
    </row>
    <row r="760">
      <c r="I760" s="12" t="n">
        <v>46778</v>
      </c>
      <c r="J760" s="3">
        <f>_xlfn.XLOOKUP(TEXT($I760,"yyyy-mm-dd")&amp;"|"&amp;""&amp;"|"&amp;"",tblExcepciones[clave],tblExcepciones[habil],_xlfn.XLOOKUP(TEXT($I760,"yyyy-mm-dd")&amp;"|"&amp;""&amp;"|",tblExcepciones[clave],tblExcepciones[habil],_xlfn.XLOOKUP(TEXT($I760,"yyyy-mm-dd")&amp;"||",tblExcepciones[clave],tblExcepciones[habil],INDEX(patronHabil,WEEKDAY($I760,2)))))</f>
        <v/>
      </c>
    </row>
    <row r="761">
      <c r="I761" s="12" t="n">
        <v>46779</v>
      </c>
      <c r="J761" s="3">
        <f>_xlfn.XLOOKUP(TEXT($I761,"yyyy-mm-dd")&amp;"|"&amp;""&amp;"|"&amp;"",tblExcepciones[clave],tblExcepciones[habil],_xlfn.XLOOKUP(TEXT($I761,"yyyy-mm-dd")&amp;"|"&amp;""&amp;"|",tblExcepciones[clave],tblExcepciones[habil],_xlfn.XLOOKUP(TEXT($I761,"yyyy-mm-dd")&amp;"||",tblExcepciones[clave],tblExcepciones[habil],INDEX(patronHabil,WEEKDAY($I761,2)))))</f>
        <v/>
      </c>
    </row>
    <row r="762">
      <c r="I762" s="12" t="n">
        <v>46780</v>
      </c>
      <c r="J762" s="3">
        <f>_xlfn.XLOOKUP(TEXT($I762,"yyyy-mm-dd")&amp;"|"&amp;""&amp;"|"&amp;"",tblExcepciones[clave],tblExcepciones[habil],_xlfn.XLOOKUP(TEXT($I762,"yyyy-mm-dd")&amp;"|"&amp;""&amp;"|",tblExcepciones[clave],tblExcepciones[habil],_xlfn.XLOOKUP(TEXT($I762,"yyyy-mm-dd")&amp;"||",tblExcepciones[clave],tblExcepciones[habil],INDEX(patronHabil,WEEKDAY($I762,2)))))</f>
        <v/>
      </c>
    </row>
    <row r="763">
      <c r="I763" s="12" t="n">
        <v>46781</v>
      </c>
      <c r="J763" s="3">
        <f>_xlfn.XLOOKUP(TEXT($I763,"yyyy-mm-dd")&amp;"|"&amp;""&amp;"|"&amp;"",tblExcepciones[clave],tblExcepciones[habil],_xlfn.XLOOKUP(TEXT($I763,"yyyy-mm-dd")&amp;"|"&amp;""&amp;"|",tblExcepciones[clave],tblExcepciones[habil],_xlfn.XLOOKUP(TEXT($I763,"yyyy-mm-dd")&amp;"||",tblExcepciones[clave],tblExcepciones[habil],INDEX(patronHabil,WEEKDAY($I763,2)))))</f>
        <v/>
      </c>
    </row>
    <row r="764">
      <c r="I764" s="12" t="n">
        <v>46782</v>
      </c>
      <c r="J764" s="3">
        <f>_xlfn.XLOOKUP(TEXT($I764,"yyyy-mm-dd")&amp;"|"&amp;""&amp;"|"&amp;"",tblExcepciones[clave],tblExcepciones[habil],_xlfn.XLOOKUP(TEXT($I764,"yyyy-mm-dd")&amp;"|"&amp;""&amp;"|",tblExcepciones[clave],tblExcepciones[habil],_xlfn.XLOOKUP(TEXT($I764,"yyyy-mm-dd")&amp;"||",tblExcepciones[clave],tblExcepciones[habil]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2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O36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7">
        <f>SUMIFS(tblAsignaciones[horas_disponibles],tblAsignaciones[especialidad],$A4,tblAsignaciones[semana],$B4)</f>
        <v/>
      </c>
      <c r="D4" s="17">
        <f>C4*p_factor_productividad</f>
        <v/>
      </c>
      <c r="E4" s="17">
        <f>SUMIFS(tblOrdenes[horas_efectivas],tblOrdenes[especialidad],$A4,tblOrdenes[semana],$B4,tblOrdenes[clasificacion],"preventiva")</f>
        <v/>
      </c>
      <c r="F4" s="17">
        <f>SUMIFS(tblOrdenes[horas_efectivas],tblOrdenes[especialidad],$A4,tblOrdenes[semana],$B4,tblOrdenes[clasificacion],"correctiva")</f>
        <v/>
      </c>
      <c r="G4" s="17">
        <f>E4+F4</f>
        <v/>
      </c>
      <c r="H4" s="17">
        <f>D4-G4</f>
        <v/>
      </c>
      <c r="I4" s="18">
        <f>IF(D4=0,"",G4/D4)</f>
        <v/>
      </c>
      <c r="N4" s="12">
        <f>IF(COUNT(tblOrdenes[fecha_inicio])=0,"",MIN(tblOrdenes[fecha_inicio])-WEEKDAY(MIN(tblOrdenes[fecha_inicio]),2)+1)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7">
        <f>SUMIFS(tblAsignaciones[horas_disponibles],tblAsignaciones[especialidad],$A5,tblAsignaciones[semana],$B5)</f>
        <v/>
      </c>
      <c r="D5" s="17">
        <f>C5*p_factor_productividad</f>
        <v/>
      </c>
      <c r="E5" s="17">
        <f>SUMIFS(tblOrdenes[horas_efectivas],tblOrdenes[especialidad],$A5,tblOrdenes[semana],$B5,tblOrdenes[clasificacion],"preventiva")</f>
        <v/>
      </c>
      <c r="F5" s="17">
        <f>SUMIFS(tblOrdenes[horas_efectivas],tblOrdenes[especialidad],$A5,tblOrdenes[semana],$B5,tblOrdenes[clasificacion],"correctiva")</f>
        <v/>
      </c>
      <c r="G5" s="17">
        <f>E5+F5</f>
        <v/>
      </c>
      <c r="H5" s="17">
        <f>D5-G5</f>
        <v/>
      </c>
      <c r="I5" s="18">
        <f>IF(D5=0,"",G5/D5)</f>
        <v/>
      </c>
      <c r="N5" s="12">
        <f>IF(N4="","",IF(N4+7&gt;MAX(tblOrdenes[fecha_inicio]),"",N4+7))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7">
        <f>SUMIFS(tblAsignaciones[horas_disponibles],tblAsignaciones[especialidad],$A6,tblAsignaciones[semana],$B6)</f>
        <v/>
      </c>
      <c r="D6" s="17">
        <f>C6*p_factor_productividad</f>
        <v/>
      </c>
      <c r="E6" s="17">
        <f>SUMIFS(tblOrdenes[horas_efectivas],tblOrdenes[especialidad],$A6,tblOrdenes[semana],$B6,tblOrdenes[clasificacion],"preventiva")</f>
        <v/>
      </c>
      <c r="F6" s="17">
        <f>SUMIFS(tblOrdenes[horas_efectivas],tblOrdenes[especialidad],$A6,tblOrdenes[semana],$B6,tblOrdenes[clasificacion],"correctiva")</f>
        <v/>
      </c>
      <c r="G6" s="17">
        <f>E6+F6</f>
        <v/>
      </c>
      <c r="H6" s="17">
        <f>D6-G6</f>
        <v/>
      </c>
      <c r="I6" s="18">
        <f>IF(D6=0,"",G6/D6)</f>
        <v/>
      </c>
      <c r="N6" s="12">
        <f>IF(N5="","",IF(N5+7&gt;MAX(tblOrdenes[fecha_inicio]),"",N5+7))</f>
        <v/>
      </c>
      <c r="O6" s="3">
        <f>IF(N6="","",YEAR(N6+4-WEEKDAY(N6,2))&amp;"-S"&amp;TEXT(_xlfn.ISOWEEKNUM(N6),"00"))</f>
        <v/>
      </c>
    </row>
    <row r="7">
      <c r="A7" s="3" t="inlineStr">
        <is>
          <t>TERCERO</t>
        </is>
      </c>
      <c r="B7" s="3">
        <f>$O$4</f>
        <v/>
      </c>
      <c r="C7" s="17">
        <f>SUMIFS(tblAsignaciones[horas_disponibles],tblAsignaciones[especialidad],$A7,tblAsignaciones[semana],$B7)</f>
        <v/>
      </c>
      <c r="D7" s="17">
        <f>C7*p_factor_productividad</f>
        <v/>
      </c>
      <c r="E7" s="17">
        <f>SUMIFS(tblOrdenes[horas_efectivas],tblOrdenes[especialidad],$A7,tblOrdenes[semana],$B7,tblOrdenes[clasificacion],"preventiva")</f>
        <v/>
      </c>
      <c r="F7" s="17">
        <f>SUMIFS(tblOrdenes[horas_efectivas],tblOrdenes[especialidad],$A7,tblOrdenes[semana],$B7,tblOrdenes[clasificacion],"correctiva")</f>
        <v/>
      </c>
      <c r="G7" s="17">
        <f>E7+F7</f>
        <v/>
      </c>
      <c r="H7" s="17">
        <f>D7-G7</f>
        <v/>
      </c>
      <c r="I7" s="18">
        <f>IF(D7=0,"",G7/D7)</f>
        <v/>
      </c>
      <c r="N7" s="12">
        <f>IF(N6="","",IF(N6+7&gt;MAX(tblOrdenes[fecha_inicio]),"",N6+7))</f>
        <v/>
      </c>
      <c r="O7" s="3">
        <f>IF(N7="","",YEAR(N7+4-WEEKDAY(N7,2))&amp;"-S"&amp;TEXT(_xlfn.ISOWEEKNUM(N7),"00"))</f>
        <v/>
      </c>
    </row>
    <row r="8" hidden="1">
      <c r="A8" s="3" t="inlineStr">
        <is>
          <t>MEC</t>
        </is>
      </c>
      <c r="B8" s="3">
        <f>$O$5</f>
        <v/>
      </c>
      <c r="C8" s="17">
        <f>SUMIFS(tblAsignaciones[horas_disponibles],tblAsignaciones[especialidad],$A8,tblAsignaciones[semana],$B8)</f>
        <v/>
      </c>
      <c r="D8" s="17">
        <f>C8*p_factor_productividad</f>
        <v/>
      </c>
      <c r="E8" s="17">
        <f>SUMIFS(tblOrdenes[horas_efectivas],tblOrdenes[especialidad],$A8,tblOrdenes[semana],$B8,tblOrdenes[clasificacion],"preventiva")</f>
        <v/>
      </c>
      <c r="F8" s="17">
        <f>SUMIFS(tblOrdenes[horas_efectivas],tblOrdenes[especialidad],$A8,tblOrdenes[semana],$B8,tblOrdenes[clasificacion],"correctiva")</f>
        <v/>
      </c>
      <c r="G8" s="17">
        <f>E8+F8</f>
        <v/>
      </c>
      <c r="H8" s="17">
        <f>D8-G8</f>
        <v/>
      </c>
      <c r="I8" s="18">
        <f>IF(D8=0,"",G8/D8)</f>
        <v/>
      </c>
      <c r="N8" s="12">
        <f>IF(N7="","",IF(N7+7&gt;MAX(tblOrdenes[fecha_inicio]),"",N7+7))</f>
        <v/>
      </c>
      <c r="O8" s="3">
        <f>IF(N8="","",YEAR(N8+4-WEEKDAY(N8,2))&amp;"-S"&amp;TEXT(_xlfn.ISOWEEKNUM(N8),"00"))</f>
        <v/>
      </c>
    </row>
    <row r="9" hidden="1">
      <c r="A9" s="3" t="inlineStr">
        <is>
          <t>ELE</t>
        </is>
      </c>
      <c r="B9" s="3">
        <f>$O$5</f>
        <v/>
      </c>
      <c r="C9" s="17">
        <f>SUMIFS(tblAsignaciones[horas_disponibles],tblAsignaciones[especialidad],$A9,tblAsignaciones[semana],$B9)</f>
        <v/>
      </c>
      <c r="D9" s="17">
        <f>C9*p_factor_productividad</f>
        <v/>
      </c>
      <c r="E9" s="17">
        <f>SUMIFS(tblOrdenes[horas_efectivas],tblOrdenes[especialidad],$A9,tblOrdenes[semana],$B9,tblOrdenes[clasificacion],"preventiva")</f>
        <v/>
      </c>
      <c r="F9" s="17">
        <f>SUMIFS(tblOrdenes[horas_efectivas],tblOrdenes[especialidad],$A9,tblOrdenes[semana],$B9,tblOrdenes[clasificacion],"correctiva")</f>
        <v/>
      </c>
      <c r="G9" s="17">
        <f>E9+F9</f>
        <v/>
      </c>
      <c r="H9" s="17">
        <f>D9-G9</f>
        <v/>
      </c>
      <c r="I9" s="18">
        <f>IF(D9=0,"",G9/D9)</f>
        <v/>
      </c>
      <c r="N9" s="12">
        <f>IF(N8="","",IF(N8+7&gt;MAX(tblOrdenes[fecha_inicio]),"",N8+7))</f>
        <v/>
      </c>
      <c r="O9" s="3">
        <f>IF(N9="","",YEAR(N9+4-WEEKDAY(N9,2))&amp;"-S"&amp;TEXT(_xlfn.ISOWEEKNUM(N9),"00"))</f>
        <v/>
      </c>
    </row>
    <row r="10" hidden="1">
      <c r="A10" s="3" t="inlineStr">
        <is>
          <t>AUT</t>
        </is>
      </c>
      <c r="B10" s="3">
        <f>$O$5</f>
        <v/>
      </c>
      <c r="C10" s="17">
        <f>SUMIFS(tblAsignaciones[horas_disponibles],tblAsignaciones[especialidad],$A10,tblAsignaciones[semana],$B10)</f>
        <v/>
      </c>
      <c r="D10" s="17">
        <f>C10*p_factor_productividad</f>
        <v/>
      </c>
      <c r="E10" s="17">
        <f>SUMIFS(tblOrdenes[horas_efectivas],tblOrdenes[especialidad],$A10,tblOrdenes[semana],$B10,tblOrdenes[clasificacion],"preventiva")</f>
        <v/>
      </c>
      <c r="F10" s="17">
        <f>SUMIFS(tblOrdenes[horas_efectivas],tblOrdenes[especialidad],$A10,tblOrdenes[semana],$B10,tblOrdenes[clasificacion],"correctiva")</f>
        <v/>
      </c>
      <c r="G10" s="17">
        <f>E10+F10</f>
        <v/>
      </c>
      <c r="H10" s="17">
        <f>D10-G10</f>
        <v/>
      </c>
      <c r="I10" s="18">
        <f>IF(D10=0,"",G10/D10)</f>
        <v/>
      </c>
      <c r="N10" s="12">
        <f>IF(N9="","",IF(N9+7&gt;MAX(tblOrdenes[fecha_inicio]),"",N9+7))</f>
        <v/>
      </c>
      <c r="O10" s="3">
        <f>IF(N10="","",YEAR(N10+4-WEEKDAY(N10,2))&amp;"-S"&amp;TEXT(_xlfn.ISOWEEKNUM(N10),"00"))</f>
        <v/>
      </c>
    </row>
    <row r="11" hidden="1">
      <c r="A11" s="3" t="inlineStr">
        <is>
          <t>TERCERO</t>
        </is>
      </c>
      <c r="B11" s="3">
        <f>$O$5</f>
        <v/>
      </c>
      <c r="C11" s="17">
        <f>SUMIFS(tblAsignaciones[horas_disponibles],tblAsignaciones[especialidad],$A11,tblAsignaciones[semana],$B11)</f>
        <v/>
      </c>
      <c r="D11" s="17">
        <f>C11*p_factor_productividad</f>
        <v/>
      </c>
      <c r="E11" s="17">
        <f>SUMIFS(tblOrdenes[horas_efectivas],tblOrdenes[especialidad],$A11,tblOrdenes[semana],$B11,tblOrdenes[clasificacion],"preventiva")</f>
        <v/>
      </c>
      <c r="F11" s="17">
        <f>SUMIFS(tblOrdenes[horas_efectivas],tblOrdenes[especialidad],$A11,tblOrdenes[semana],$B11,tblOrdenes[clasificacion],"correctiva")</f>
        <v/>
      </c>
      <c r="G11" s="17">
        <f>E11+F11</f>
        <v/>
      </c>
      <c r="H11" s="17">
        <f>D11-G11</f>
        <v/>
      </c>
      <c r="I11" s="18">
        <f>IF(D11=0,"",G11/D11)</f>
        <v/>
      </c>
      <c r="N11" s="12">
        <f>IF(N10="","",IF(N10+7&gt;MAX(tblOrdenes[fecha_inicio]),"",N10+7))</f>
        <v/>
      </c>
      <c r="O11" s="3">
        <f>IF(N11="","",YEAR(N11+4-WEEKDAY(N11,2))&amp;"-S"&amp;TEXT(_xlfn.ISOWEEKNUM(N11),"00"))</f>
        <v/>
      </c>
    </row>
    <row r="12">
      <c r="A12" s="3" t="inlineStr">
        <is>
          <t>MEC</t>
        </is>
      </c>
      <c r="B12" s="3">
        <f>$O$6</f>
        <v/>
      </c>
      <c r="C12" s="17">
        <f>SUMIFS(tblAsignaciones[horas_disponibles],tblAsignaciones[especialidad],$A12,tblAsignaciones[semana],$B12)</f>
        <v/>
      </c>
      <c r="D12" s="17">
        <f>C12*p_factor_productividad</f>
        <v/>
      </c>
      <c r="E12" s="17">
        <f>SUMIFS(tblOrdenes[horas_efectivas],tblOrdenes[especialidad],$A12,tblOrdenes[semana],$B12,tblOrdenes[clasificacion],"preventiva")</f>
        <v/>
      </c>
      <c r="F12" s="17">
        <f>SUMIFS(tblOrdenes[horas_efectivas],tblOrdenes[especialidad],$A12,tblOrdenes[semana],$B12,tblOrdenes[clasificacion],"correctiva")</f>
        <v/>
      </c>
      <c r="G12" s="17">
        <f>E12+F12</f>
        <v/>
      </c>
      <c r="H12" s="17">
        <f>D12-G12</f>
        <v/>
      </c>
      <c r="I12" s="18">
        <f>IF(D12=0,"",G12/D12)</f>
        <v/>
      </c>
      <c r="N12" s="12">
        <f>IF(N11="","",IF(N11+7&gt;MAX(tblOrdenes[fecha_inicio]),"",N11+7))</f>
        <v/>
      </c>
      <c r="O12" s="3">
        <f>IF(N12="","",YEAR(N12+4-WEEKDAY(N12,2))&amp;"-S"&amp;TEXT(_xlfn.ISOWEEKNUM(N12),"00"))</f>
        <v/>
      </c>
    </row>
    <row r="13">
      <c r="A13" s="3" t="inlineStr">
        <is>
          <t>ELE</t>
        </is>
      </c>
      <c r="B13" s="3">
        <f>$O$6</f>
        <v/>
      </c>
      <c r="C13" s="17">
        <f>SUMIFS(tblAsignaciones[horas_disponibles],tblAsignaciones[especialidad],$A13,tblAsignaciones[semana],$B13)</f>
        <v/>
      </c>
      <c r="D13" s="17">
        <f>C13*p_factor_productividad</f>
        <v/>
      </c>
      <c r="E13" s="17">
        <f>SUMIFS(tblOrdenes[horas_efectivas],tblOrdenes[especialidad],$A13,tblOrdenes[semana],$B13,tblOrdenes[clasificacion],"preventiva")</f>
        <v/>
      </c>
      <c r="F13" s="17">
        <f>SUMIFS(tblOrdenes[horas_efectivas],tblOrdenes[especialidad],$A13,tblOrdenes[semana],$B13,tblOrdenes[clasificacion],"correctiva")</f>
        <v/>
      </c>
      <c r="G13" s="17">
        <f>E13+F13</f>
        <v/>
      </c>
      <c r="H13" s="17">
        <f>D13-G13</f>
        <v/>
      </c>
      <c r="I13" s="18">
        <f>IF(D13=0,"",G13/D13)</f>
        <v/>
      </c>
      <c r="N13" s="12">
        <f>IF(N12="","",IF(N12+7&gt;MAX(tblOrdenes[fecha_inicio]),"",N12+7))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AUT</t>
        </is>
      </c>
      <c r="B14" s="3">
        <f>$O$6</f>
        <v/>
      </c>
      <c r="C14" s="17">
        <f>SUMIFS(tblAsignaciones[horas_disponibles],tblAsignaciones[especialidad],$A14,tblAsignaciones[semana],$B14)</f>
        <v/>
      </c>
      <c r="D14" s="17">
        <f>C14*p_factor_productividad</f>
        <v/>
      </c>
      <c r="E14" s="17">
        <f>SUMIFS(tblOrdenes[horas_efectivas],tblOrdenes[especialidad],$A14,tblOrdenes[semana],$B14,tblOrdenes[clasificacion],"preventiva")</f>
        <v/>
      </c>
      <c r="F14" s="17">
        <f>SUMIFS(tblOrdenes[horas_efectivas],tblOrdenes[especialidad],$A14,tblOrdenes[semana],$B14,tblOrdenes[clasificacion],"correctiva")</f>
        <v/>
      </c>
      <c r="G14" s="17">
        <f>E14+F14</f>
        <v/>
      </c>
      <c r="H14" s="17">
        <f>D14-G14</f>
        <v/>
      </c>
      <c r="I14" s="18">
        <f>IF(D14=0,"",G14/D14)</f>
        <v/>
      </c>
      <c r="N14" s="12">
        <f>IF(N13="","",IF(N13+7&gt;MAX(tblOrdenes[fecha_inicio]),"",N13+7))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TERCERO</t>
        </is>
      </c>
      <c r="B15" s="3">
        <f>$O$6</f>
        <v/>
      </c>
      <c r="C15" s="17">
        <f>SUMIFS(tblAsignaciones[horas_disponibles],tblAsignaciones[especialidad],$A15,tblAsignaciones[semana],$B15)</f>
        <v/>
      </c>
      <c r="D15" s="17">
        <f>C15*p_factor_productividad</f>
        <v/>
      </c>
      <c r="E15" s="17">
        <f>SUMIFS(tblOrdenes[horas_efectivas],tblOrdenes[especialidad],$A15,tblOrdenes[semana],$B15,tblOrdenes[clasificacion],"preventiva")</f>
        <v/>
      </c>
      <c r="F15" s="17">
        <f>SUMIFS(tblOrdenes[horas_efectivas],tblOrdenes[especialidad],$A15,tblOrdenes[semana],$B15,tblOrdenes[clasificacion],"correctiva")</f>
        <v/>
      </c>
      <c r="G15" s="17">
        <f>E15+F15</f>
        <v/>
      </c>
      <c r="H15" s="17">
        <f>D15-G15</f>
        <v/>
      </c>
      <c r="I15" s="18">
        <f>IF(D15=0,"",G15/D15)</f>
        <v/>
      </c>
      <c r="N15" s="12">
        <f>IF(N14="","",IF(N14+7&gt;MAX(tblOrdenes[fecha_inicio]),"",N14+7))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MEC</t>
        </is>
      </c>
      <c r="B16" s="3">
        <f>$O$7</f>
        <v/>
      </c>
      <c r="C16" s="17">
        <f>SUMIFS(tblAsignaciones[horas_disponibles],tblAsignaciones[especialidad],$A16,tblAsignaciones[semana],$B16)</f>
        <v/>
      </c>
      <c r="D16" s="17">
        <f>C16*p_factor_productividad</f>
        <v/>
      </c>
      <c r="E16" s="17">
        <f>SUMIFS(tblOrdenes[horas_efectivas],tblOrdenes[especialidad],$A16,tblOrdenes[semana],$B16,tblOrdenes[clasificacion],"preventiva")</f>
        <v/>
      </c>
      <c r="F16" s="17">
        <f>SUMIFS(tblOrdenes[horas_efectivas],tblOrdenes[especialidad],$A16,tblOrdenes[semana],$B16,tblOrdenes[clasificacion],"correctiva")</f>
        <v/>
      </c>
      <c r="G16" s="17">
        <f>E16+F16</f>
        <v/>
      </c>
      <c r="H16" s="17">
        <f>D16-G16</f>
        <v/>
      </c>
      <c r="I16" s="18">
        <f>IF(D16=0,"",G16/D16)</f>
        <v/>
      </c>
      <c r="N16" s="12">
        <f>IF(N15="","",IF(N15+7&gt;MAX(tblOrdenes[fecha_inicio]),"",N15+7))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ELE</t>
        </is>
      </c>
      <c r="B17" s="3">
        <f>$O$7</f>
        <v/>
      </c>
      <c r="C17" s="17">
        <f>SUMIFS(tblAsignaciones[horas_disponibles],tblAsignaciones[especialidad],$A17,tblAsignaciones[semana],$B17)</f>
        <v/>
      </c>
      <c r="D17" s="17">
        <f>C17*p_factor_productividad</f>
        <v/>
      </c>
      <c r="E17" s="17">
        <f>SUMIFS(tblOrdenes[horas_efectivas],tblOrdenes[especialidad],$A17,tblOrdenes[semana],$B17,tblOrdenes[clasificacion],"preventiva")</f>
        <v/>
      </c>
      <c r="F17" s="17">
        <f>SUMIFS(tblOrdenes[horas_efectivas],tblOrdenes[especialidad],$A17,tblOrdenes[semana],$B17,tblOrdenes[clasificacion],"correctiva")</f>
        <v/>
      </c>
      <c r="G17" s="17">
        <f>E17+F17</f>
        <v/>
      </c>
      <c r="H17" s="17">
        <f>D17-G17</f>
        <v/>
      </c>
      <c r="I17" s="18">
        <f>IF(D17=0,"",G17/D17)</f>
        <v/>
      </c>
      <c r="N17" s="12">
        <f>IF(N16="","",IF(N16+7&gt;MAX(tblOrdenes[fecha_inicio]),"",N16+7))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AUT</t>
        </is>
      </c>
      <c r="B18" s="3">
        <f>$O$7</f>
        <v/>
      </c>
      <c r="C18" s="17">
        <f>SUMIFS(tblAsignaciones[horas_disponibles],tblAsignaciones[especialidad],$A18,tblAsignaciones[semana],$B18)</f>
        <v/>
      </c>
      <c r="D18" s="17">
        <f>C18*p_factor_productividad</f>
        <v/>
      </c>
      <c r="E18" s="17">
        <f>SUMIFS(tblOrdenes[horas_efectivas],tblOrdenes[especialidad],$A18,tblOrdenes[semana],$B18,tblOrdenes[clasificacion],"preventiva")</f>
        <v/>
      </c>
      <c r="F18" s="17">
        <f>SUMIFS(tblOrdenes[horas_efectivas],tblOrdenes[especialidad],$A18,tblOrdenes[semana],$B18,tblOrdenes[clasificacion],"correctiva")</f>
        <v/>
      </c>
      <c r="G18" s="17">
        <f>E18+F18</f>
        <v/>
      </c>
      <c r="H18" s="17">
        <f>D18-G18</f>
        <v/>
      </c>
      <c r="I18" s="18">
        <f>IF(D18=0,"",G18/D18)</f>
        <v/>
      </c>
      <c r="N18" s="12">
        <f>IF(N17="","",IF(N17+7&gt;MAX(tblOrdenes[fecha_inicio]),"",N17+7))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TERCERO</t>
        </is>
      </c>
      <c r="B19" s="3">
        <f>$O$7</f>
        <v/>
      </c>
      <c r="C19" s="17">
        <f>SUMIFS(tblAsignaciones[horas_disponibles],tblAsignaciones[especialidad],$A19,tblAsignaciones[semana],$B19)</f>
        <v/>
      </c>
      <c r="D19" s="17">
        <f>C19*p_factor_productividad</f>
        <v/>
      </c>
      <c r="E19" s="17">
        <f>SUMIFS(tblOrdenes[horas_efectivas],tblOrdenes[especialidad],$A19,tblOrdenes[semana],$B19,tblOrdenes[clasificacion],"preventiva")</f>
        <v/>
      </c>
      <c r="F19" s="17">
        <f>SUMIFS(tblOrdenes[horas_efectivas],tblOrdenes[especialidad],$A19,tblOrdenes[semana],$B19,tblOrdenes[clasificacion],"correctiva")</f>
        <v/>
      </c>
      <c r="G19" s="17">
        <f>E19+F19</f>
        <v/>
      </c>
      <c r="H19" s="17">
        <f>D19-G19</f>
        <v/>
      </c>
      <c r="I19" s="18">
        <f>IF(D19=0,"",G19/D19)</f>
        <v/>
      </c>
      <c r="N19" s="12">
        <f>IF(N18="","",IF(N18+7&gt;MAX(tblOrdenes[fecha_inicio]),"",N18+7))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MEC</t>
        </is>
      </c>
      <c r="B20" s="3">
        <f>$O$8</f>
        <v/>
      </c>
      <c r="C20" s="17">
        <f>SUMIFS(tblAsignaciones[horas_disponibles],tblAsignaciones[especialidad],$A20,tblAsignaciones[semana],$B20)</f>
        <v/>
      </c>
      <c r="D20" s="17">
        <f>C20*p_factor_productividad</f>
        <v/>
      </c>
      <c r="E20" s="17">
        <f>SUMIFS(tblOrdenes[horas_efectivas],tblOrdenes[especialidad],$A20,tblOrdenes[semana],$B20,tblOrdenes[clasificacion],"preventiva")</f>
        <v/>
      </c>
      <c r="F20" s="17">
        <f>SUMIFS(tblOrdenes[horas_efectivas],tblOrdenes[especialidad],$A20,tblOrdenes[semana],$B20,tblOrdenes[clasificacion],"correctiva")</f>
        <v/>
      </c>
      <c r="G20" s="17">
        <f>E20+F20</f>
        <v/>
      </c>
      <c r="H20" s="17">
        <f>D20-G20</f>
        <v/>
      </c>
      <c r="I20" s="18">
        <f>IF(D20=0,"",G20/D20)</f>
        <v/>
      </c>
      <c r="N20" s="12">
        <f>IF(N19="","",IF(N19+7&gt;MAX(tblOrdenes[fecha_inicio]),"",N19+7))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ELE</t>
        </is>
      </c>
      <c r="B21" s="3">
        <f>$O$8</f>
        <v/>
      </c>
      <c r="C21" s="17">
        <f>SUMIFS(tblAsignaciones[horas_disponibles],tblAsignaciones[especialidad],$A21,tblAsignaciones[semana],$B21)</f>
        <v/>
      </c>
      <c r="D21" s="17">
        <f>C21*p_factor_productividad</f>
        <v/>
      </c>
      <c r="E21" s="17">
        <f>SUMIFS(tblOrdenes[horas_efectivas],tblOrdenes[especialidad],$A21,tblOrdenes[semana],$B21,tblOrdenes[clasificacion],"preventiva")</f>
        <v/>
      </c>
      <c r="F21" s="17">
        <f>SUMIFS(tblOrdenes[horas_efectivas],tblOrdenes[especialidad],$A21,tblOrdenes[semana],$B21,tblOrdenes[clasificacion],"correctiva")</f>
        <v/>
      </c>
      <c r="G21" s="17">
        <f>E21+F21</f>
        <v/>
      </c>
      <c r="H21" s="17">
        <f>D21-G21</f>
        <v/>
      </c>
      <c r="I21" s="18">
        <f>IF(D21=0,"",G21/D21)</f>
        <v/>
      </c>
      <c r="N21" s="12">
        <f>IF(N20="","",IF(N20+7&gt;MAX(tblOrdenes[fecha_inicio]),"",N20+7))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AUT</t>
        </is>
      </c>
      <c r="B22" s="3">
        <f>$O$8</f>
        <v/>
      </c>
      <c r="C22" s="17">
        <f>SUMIFS(tblAsignaciones[horas_disponibles],tblAsignaciones[especialidad],$A22,tblAsignaciones[semana],$B22)</f>
        <v/>
      </c>
      <c r="D22" s="17">
        <f>C22*p_factor_productividad</f>
        <v/>
      </c>
      <c r="E22" s="17">
        <f>SUMIFS(tblOrdenes[horas_efectivas],tblOrdenes[especialidad],$A22,tblOrdenes[semana],$B22,tblOrdenes[clasificacion],"preventiva")</f>
        <v/>
      </c>
      <c r="F22" s="17">
        <f>SUMIFS(tblOrdenes[horas_efectivas],tblOrdenes[especialidad],$A22,tblOrdenes[semana],$B22,tblOrdenes[clasificacion],"correctiva")</f>
        <v/>
      </c>
      <c r="G22" s="17">
        <f>E22+F22</f>
        <v/>
      </c>
      <c r="H22" s="17">
        <f>D22-G22</f>
        <v/>
      </c>
      <c r="I22" s="18">
        <f>IF(D22=0,"",G22/D22)</f>
        <v/>
      </c>
      <c r="N22" s="12">
        <f>IF(N21="","",IF(N21+7&gt;MAX(tblOrdenes[fecha_inicio]),"",N21+7))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$O$8</f>
        <v/>
      </c>
      <c r="C23" s="17">
        <f>SUMIFS(tblAsignaciones[horas_disponibles],tblAsignaciones[especialidad],$A23,tblAsignaciones[semana],$B23)</f>
        <v/>
      </c>
      <c r="D23" s="17">
        <f>C23*p_factor_productividad</f>
        <v/>
      </c>
      <c r="E23" s="17">
        <f>SUMIFS(tblOrdenes[horas_efectivas],tblOrdenes[especialidad],$A23,tblOrdenes[semana],$B23,tblOrdenes[clasificacion],"preventiva")</f>
        <v/>
      </c>
      <c r="F23" s="17">
        <f>SUMIFS(tblOrdenes[horas_efectivas],tblOrdenes[especialidad],$A23,tblOrdenes[semana],$B23,tblOrdenes[clasificacion],"correctiva")</f>
        <v/>
      </c>
      <c r="G23" s="17">
        <f>E23+F23</f>
        <v/>
      </c>
      <c r="H23" s="17">
        <f>D23-G23</f>
        <v/>
      </c>
      <c r="I23" s="18">
        <f>IF(D23=0,"",G23/D23)</f>
        <v/>
      </c>
      <c r="N23" s="12">
        <f>IF(N22="","",IF(N22+7&gt;MAX(tblOrdenes[fecha_inicio]),"",N22+7))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$O$9</f>
        <v/>
      </c>
      <c r="C24" s="17">
        <f>SUMIFS(tblAsignaciones[horas_disponibles],tblAsignaciones[especialidad],$A24,tblAsignaciones[semana],$B24)</f>
        <v/>
      </c>
      <c r="D24" s="17">
        <f>C24*p_factor_productividad</f>
        <v/>
      </c>
      <c r="E24" s="17">
        <f>SUMIFS(tblOrdenes[horas_efectivas],tblOrdenes[especialidad],$A24,tblOrdenes[semana],$B24,tblOrdenes[clasificacion],"preventiva")</f>
        <v/>
      </c>
      <c r="F24" s="17">
        <f>SUMIFS(tblOrdenes[horas_efectivas],tblOrdenes[especialidad],$A24,tblOrdenes[semana],$B24,tblOrdenes[clasificacion],"correctiva")</f>
        <v/>
      </c>
      <c r="G24" s="17">
        <f>E24+F24</f>
        <v/>
      </c>
      <c r="H24" s="17">
        <f>D24-G24</f>
        <v/>
      </c>
      <c r="I24" s="18">
        <f>IF(D24=0,"",G24/D24)</f>
        <v/>
      </c>
      <c r="N24" s="12">
        <f>IF(N23="","",IF(N23+7&gt;MAX(tblOrdenes[fecha_inicio]),"",N23+7))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$O$9</f>
        <v/>
      </c>
      <c r="C25" s="17">
        <f>SUMIFS(tblAsignaciones[horas_disponibles],tblAsignaciones[especialidad],$A25,tblAsignaciones[semana],$B25)</f>
        <v/>
      </c>
      <c r="D25" s="17">
        <f>C25*p_factor_productividad</f>
        <v/>
      </c>
      <c r="E25" s="17">
        <f>SUMIFS(tblOrdenes[horas_efectivas],tblOrdenes[especialidad],$A25,tblOrdenes[semana],$B25,tblOrdenes[clasificacion],"preventiva")</f>
        <v/>
      </c>
      <c r="F25" s="17">
        <f>SUMIFS(tblOrdenes[horas_efectivas],tblOrdenes[especialidad],$A25,tblOrdenes[semana],$B25,tblOrdenes[clasificacion],"correctiva")</f>
        <v/>
      </c>
      <c r="G25" s="17">
        <f>E25+F25</f>
        <v/>
      </c>
      <c r="H25" s="17">
        <f>D25-G25</f>
        <v/>
      </c>
      <c r="I25" s="18">
        <f>IF(D25=0,"",G25/D25)</f>
        <v/>
      </c>
      <c r="N25" s="12">
        <f>IF(N24="","",IF(N24+7&gt;MAX(tblOrdenes[fecha_inicio]),"",N24+7))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$O$9</f>
        <v/>
      </c>
      <c r="C26" s="17">
        <f>SUMIFS(tblAsignaciones[horas_disponibles],tblAsignaciones[especialidad],$A26,tblAsignaciones[semana],$B26)</f>
        <v/>
      </c>
      <c r="D26" s="17">
        <f>C26*p_factor_productividad</f>
        <v/>
      </c>
      <c r="E26" s="17">
        <f>SUMIFS(tblOrdenes[horas_efectivas],tblOrdenes[especialidad],$A26,tblOrdenes[semana],$B26,tblOrdenes[clasificacion],"preventiva")</f>
        <v/>
      </c>
      <c r="F26" s="17">
        <f>SUMIFS(tblOrdenes[horas_efectivas],tblOrdenes[especialidad],$A26,tblOrdenes[semana],$B26,tblOrdenes[clasificacion],"correctiva")</f>
        <v/>
      </c>
      <c r="G26" s="17">
        <f>E26+F26</f>
        <v/>
      </c>
      <c r="H26" s="17">
        <f>D26-G26</f>
        <v/>
      </c>
      <c r="I26" s="18">
        <f>IF(D26=0,"",G26/D26)</f>
        <v/>
      </c>
      <c r="N26" s="12">
        <f>IF(N25="","",IF(N25+7&gt;MAX(tblOrdenes[fecha_inicio]),"",N25+7))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TERCERO</t>
        </is>
      </c>
      <c r="B27" s="3">
        <f>$O$9</f>
        <v/>
      </c>
      <c r="C27" s="17">
        <f>SUMIFS(tblAsignaciones[horas_disponibles],tblAsignaciones[especialidad],$A27,tblAsignaciones[semana],$B27)</f>
        <v/>
      </c>
      <c r="D27" s="17">
        <f>C27*p_factor_productividad</f>
        <v/>
      </c>
      <c r="E27" s="17">
        <f>SUMIFS(tblOrdenes[horas_efectivas],tblOrdenes[especialidad],$A27,tblOrdenes[semana],$B27,tblOrdenes[clasificacion],"preventiva")</f>
        <v/>
      </c>
      <c r="F27" s="17">
        <f>SUMIFS(tblOrdenes[horas_efectivas],tblOrdenes[especialidad],$A27,tblOrdenes[semana],$B27,tblOrdenes[clasificacion],"correctiva")</f>
        <v/>
      </c>
      <c r="G27" s="17">
        <f>E27+F27</f>
        <v/>
      </c>
      <c r="H27" s="17">
        <f>D27-G27</f>
        <v/>
      </c>
      <c r="I27" s="18">
        <f>IF(D27=0,"",G27/D27)</f>
        <v/>
      </c>
      <c r="N27" s="12">
        <f>IF(N26="","",IF(N26+7&gt;MAX(tblOrdenes[fecha_inicio]),"",N26+7))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MEC</t>
        </is>
      </c>
      <c r="B28" s="3">
        <f>$O$10</f>
        <v/>
      </c>
      <c r="C28" s="17">
        <f>SUMIFS(tblAsignaciones[horas_disponibles],tblAsignaciones[especialidad],$A28,tblAsignaciones[semana],$B28)</f>
        <v/>
      </c>
      <c r="D28" s="17">
        <f>C28*p_factor_productividad</f>
        <v/>
      </c>
      <c r="E28" s="17">
        <f>SUMIFS(tblOrdenes[horas_efectivas],tblOrdenes[especialidad],$A28,tblOrdenes[semana],$B28,tblOrdenes[clasificacion],"preventiva")</f>
        <v/>
      </c>
      <c r="F28" s="17">
        <f>SUMIFS(tblOrdenes[horas_efectivas],tblOrdenes[especialidad],$A28,tblOrdenes[semana],$B28,tblOrdenes[clasificacion],"correctiva")</f>
        <v/>
      </c>
      <c r="G28" s="17">
        <f>E28+F28</f>
        <v/>
      </c>
      <c r="H28" s="17">
        <f>D28-G28</f>
        <v/>
      </c>
      <c r="I28" s="18">
        <f>IF(D28=0,"",G28/D28)</f>
        <v/>
      </c>
      <c r="N28" s="12">
        <f>IF(N27="","",IF(N27+7&gt;MAX(tblOrdenes[fecha_inicio]),"",N27+7))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ELE</t>
        </is>
      </c>
      <c r="B29" s="3">
        <f>$O$10</f>
        <v/>
      </c>
      <c r="C29" s="17">
        <f>SUMIFS(tblAsignaciones[horas_disponibles],tblAsignaciones[especialidad],$A29,tblAsignaciones[semana],$B29)</f>
        <v/>
      </c>
      <c r="D29" s="17">
        <f>C29*p_factor_productividad</f>
        <v/>
      </c>
      <c r="E29" s="17">
        <f>SUMIFS(tblOrdenes[horas_efectivas],tblOrdenes[especialidad],$A29,tblOrdenes[semana],$B29,tblOrdenes[clasificacion],"preventiva")</f>
        <v/>
      </c>
      <c r="F29" s="17">
        <f>SUMIFS(tblOrdenes[horas_efectivas],tblOrdenes[especialidad],$A29,tblOrdenes[semana],$B29,tblOrdenes[clasificacion],"correctiva")</f>
        <v/>
      </c>
      <c r="G29" s="17">
        <f>E29+F29</f>
        <v/>
      </c>
      <c r="H29" s="17">
        <f>D29-G29</f>
        <v/>
      </c>
      <c r="I29" s="18">
        <f>IF(D29=0,"",G29/D29)</f>
        <v/>
      </c>
      <c r="N29" s="12">
        <f>IF(N28="","",IF(N28+7&gt;MAX(tblOrdenes[fecha_inicio]),"",N28+7))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AUT</t>
        </is>
      </c>
      <c r="B30" s="3">
        <f>$O$10</f>
        <v/>
      </c>
      <c r="C30" s="17">
        <f>SUMIFS(tblAsignaciones[horas_disponibles],tblAsignaciones[especialidad],$A30,tblAsignaciones[semana],$B30)</f>
        <v/>
      </c>
      <c r="D30" s="17">
        <f>C30*p_factor_productividad</f>
        <v/>
      </c>
      <c r="E30" s="17">
        <f>SUMIFS(tblOrdenes[horas_efectivas],tblOrdenes[especialidad],$A30,tblOrdenes[semana],$B30,tblOrdenes[clasificacion],"preventiva")</f>
        <v/>
      </c>
      <c r="F30" s="17">
        <f>SUMIFS(tblOrdenes[horas_efectivas],tblOrdenes[especialidad],$A30,tblOrdenes[semana],$B30,tblOrdenes[clasificacion],"correctiva")</f>
        <v/>
      </c>
      <c r="G30" s="17">
        <f>E30+F30</f>
        <v/>
      </c>
      <c r="H30" s="17">
        <f>D30-G30</f>
        <v/>
      </c>
      <c r="I30" s="18">
        <f>IF(D30=0,"",G30/D30)</f>
        <v/>
      </c>
      <c r="N30" s="12">
        <f>IF(N29="","",IF(N29+7&gt;MAX(tblOrdenes[fecha_inicio]),"",N29+7))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TERCERO</t>
        </is>
      </c>
      <c r="B31" s="3">
        <f>$O$10</f>
        <v/>
      </c>
      <c r="C31" s="17">
        <f>SUMIFS(tblAsignaciones[horas_disponibles],tblAsignaciones[especialidad],$A31,tblAsignaciones[semana],$B31)</f>
        <v/>
      </c>
      <c r="D31" s="17">
        <f>C31*p_factor_productividad</f>
        <v/>
      </c>
      <c r="E31" s="17">
        <f>SUMIFS(tblOrdenes[horas_efectivas],tblOrdenes[especialidad],$A31,tblOrdenes[semana],$B31,tblOrdenes[clasificacion],"preventiva")</f>
        <v/>
      </c>
      <c r="F31" s="17">
        <f>SUMIFS(tblOrdenes[horas_efectivas],tblOrdenes[especialidad],$A31,tblOrdenes[semana],$B31,tblOrdenes[clasificacion],"correctiva")</f>
        <v/>
      </c>
      <c r="G31" s="17">
        <f>E31+F31</f>
        <v/>
      </c>
      <c r="H31" s="17">
        <f>D31-G31</f>
        <v/>
      </c>
      <c r="I31" s="18">
        <f>IF(D31=0,"",G31/D31)</f>
        <v/>
      </c>
      <c r="N31" s="12">
        <f>IF(N30="","",IF(N30+7&gt;MAX(tblOrdenes[fecha_inicio]),"",N30+7))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MEC</t>
        </is>
      </c>
      <c r="B32" s="3">
        <f>$O$11</f>
        <v/>
      </c>
      <c r="C32" s="17">
        <f>SUMIFS(tblAsignaciones[horas_disponibles],tblAsignaciones[especialidad],$A32,tblAsignaciones[semana],$B32)</f>
        <v/>
      </c>
      <c r="D32" s="17">
        <f>C32*p_factor_productividad</f>
        <v/>
      </c>
      <c r="E32" s="17">
        <f>SUMIFS(tblOrdenes[horas_efectivas],tblOrdenes[especialidad],$A32,tblOrdenes[semana],$B32,tblOrdenes[clasificacion],"preventiva")</f>
        <v/>
      </c>
      <c r="F32" s="17">
        <f>SUMIFS(tblOrdenes[horas_efectivas],tblOrdenes[especialidad],$A32,tblOrdenes[semana],$B32,tblOrdenes[clasificacion],"correctiva")</f>
        <v/>
      </c>
      <c r="G32" s="17">
        <f>E32+F32</f>
        <v/>
      </c>
      <c r="H32" s="17">
        <f>D32-G32</f>
        <v/>
      </c>
      <c r="I32" s="18">
        <f>IF(D32=0,"",G32/D32)</f>
        <v/>
      </c>
      <c r="N32" s="12">
        <f>IF(N31="","",IF(N31+7&gt;MAX(tblOrdenes[fecha_inicio]),"",N31+7))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ELE</t>
        </is>
      </c>
      <c r="B33" s="3">
        <f>$O$11</f>
        <v/>
      </c>
      <c r="C33" s="17">
        <f>SUMIFS(tblAsignaciones[horas_disponibles],tblAsignaciones[especialidad],$A33,tblAsignaciones[semana],$B33)</f>
        <v/>
      </c>
      <c r="D33" s="17">
        <f>C33*p_factor_productividad</f>
        <v/>
      </c>
      <c r="E33" s="17">
        <f>SUMIFS(tblOrdenes[horas_efectivas],tblOrdenes[especialidad],$A33,tblOrdenes[semana],$B33,tblOrdenes[clasificacion],"preventiva")</f>
        <v/>
      </c>
      <c r="F33" s="17">
        <f>SUMIFS(tblOrdenes[horas_efectivas],tblOrdenes[especialidad],$A33,tblOrdenes[semana],$B33,tblOrdenes[clasificacion],"correctiva")</f>
        <v/>
      </c>
      <c r="G33" s="17">
        <f>E33+F33</f>
        <v/>
      </c>
      <c r="H33" s="17">
        <f>D33-G33</f>
        <v/>
      </c>
      <c r="I33" s="18">
        <f>IF(D33=0,"",G33/D33)</f>
        <v/>
      </c>
      <c r="N33" s="12">
        <f>IF(N32="","",IF(N32+7&gt;MAX(tblOrdenes[fecha_inicio]),"",N32+7))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AUT</t>
        </is>
      </c>
      <c r="B34" s="3">
        <f>$O$11</f>
        <v/>
      </c>
      <c r="C34" s="17">
        <f>SUMIFS(tblAsignaciones[horas_disponibles],tblAsignaciones[especialidad],$A34,tblAsignaciones[semana],$B34)</f>
        <v/>
      </c>
      <c r="D34" s="17">
        <f>C34*p_factor_productividad</f>
        <v/>
      </c>
      <c r="E34" s="17">
        <f>SUMIFS(tblOrdenes[horas_efectivas],tblOrdenes[especialidad],$A34,tblOrdenes[semana],$B34,tblOrdenes[clasificacion],"preventiva")</f>
        <v/>
      </c>
      <c r="F34" s="17">
        <f>SUMIFS(tblOrdenes[horas_efectivas],tblOrdenes[especialidad],$A34,tblOrdenes[semana],$B34,tblOrdenes[clasificacion],"correctiva")</f>
        <v/>
      </c>
      <c r="G34" s="17">
        <f>E34+F34</f>
        <v/>
      </c>
      <c r="H34" s="17">
        <f>D34-G34</f>
        <v/>
      </c>
      <c r="I34" s="18">
        <f>IF(D34=0,"",G34/D34)</f>
        <v/>
      </c>
      <c r="N34" s="12">
        <f>IF(N33="","",IF(N33+7&gt;MAX(tblOrdenes[fecha_inicio]),"",N33+7))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TERCERO</t>
        </is>
      </c>
      <c r="B35" s="3">
        <f>$O$11</f>
        <v/>
      </c>
      <c r="C35" s="17">
        <f>SUMIFS(tblAsignaciones[horas_disponibles],tblAsignaciones[especialidad],$A35,tblAsignaciones[semana],$B35)</f>
        <v/>
      </c>
      <c r="D35" s="17">
        <f>C35*p_factor_productividad</f>
        <v/>
      </c>
      <c r="E35" s="17">
        <f>SUMIFS(tblOrdenes[horas_efectivas],tblOrdenes[especialidad],$A35,tblOrdenes[semana],$B35,tblOrdenes[clasificacion],"preventiva")</f>
        <v/>
      </c>
      <c r="F35" s="17">
        <f>SUMIFS(tblOrdenes[horas_efectivas],tblOrdenes[especialidad],$A35,tblOrdenes[semana],$B35,tblOrdenes[clasificacion],"correctiva")</f>
        <v/>
      </c>
      <c r="G35" s="17">
        <f>E35+F35</f>
        <v/>
      </c>
      <c r="H35" s="17">
        <f>D35-G35</f>
        <v/>
      </c>
      <c r="I35" s="18">
        <f>IF(D35=0,"",G35/D35)</f>
        <v/>
      </c>
      <c r="N35" s="12">
        <f>IF(N34="","",IF(N34+7&gt;MAX(tblOrdenes[fecha_inicio]),"",N34+7))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MEC</t>
        </is>
      </c>
      <c r="B36" s="3">
        <f>$O$12</f>
        <v/>
      </c>
      <c r="C36" s="17">
        <f>SUMIFS(tblAsignaciones[horas_disponibles],tblAsignaciones[especialidad],$A36,tblAsignaciones[semana],$B36)</f>
        <v/>
      </c>
      <c r="D36" s="17">
        <f>C36*p_factor_productividad</f>
        <v/>
      </c>
      <c r="E36" s="17">
        <f>SUMIFS(tblOrdenes[horas_efectivas],tblOrdenes[especialidad],$A36,tblOrdenes[semana],$B36,tblOrdenes[clasificacion],"preventiva")</f>
        <v/>
      </c>
      <c r="F36" s="17">
        <f>SUMIFS(tblOrdenes[horas_efectivas],tblOrdenes[especialidad],$A36,tblOrdenes[semana],$B36,tblOrdenes[clasificacion],"correctiva")</f>
        <v/>
      </c>
      <c r="G36" s="17">
        <f>E36+F36</f>
        <v/>
      </c>
      <c r="H36" s="17">
        <f>D36-G36</f>
        <v/>
      </c>
      <c r="I36" s="18">
        <f>IF(D36=0,"",G36/D36)</f>
        <v/>
      </c>
      <c r="N36" s="12">
        <f>IF(N35="","",IF(N35+7&gt;MAX(tblOrdenes[fecha_inicio]),"",N35+7))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ELE</t>
        </is>
      </c>
      <c r="B37" s="3">
        <f>$O$12</f>
        <v/>
      </c>
      <c r="C37" s="17">
        <f>SUMIFS(tblAsignaciones[horas_disponibles],tblAsignaciones[especialidad],$A37,tblAsignaciones[semana],$B37)</f>
        <v/>
      </c>
      <c r="D37" s="17">
        <f>C37*p_factor_productividad</f>
        <v/>
      </c>
      <c r="E37" s="17">
        <f>SUMIFS(tblOrdenes[horas_efectivas],tblOrdenes[especialidad],$A37,tblOrdenes[semana],$B37,tblOrdenes[clasificacion],"preventiva")</f>
        <v/>
      </c>
      <c r="F37" s="17">
        <f>SUMIFS(tblOrdenes[horas_efectivas],tblOrdenes[especialidad],$A37,tblOrdenes[semana],$B37,tblOrdenes[clasificacion],"correctiva")</f>
        <v/>
      </c>
      <c r="G37" s="17">
        <f>E37+F37</f>
        <v/>
      </c>
      <c r="H37" s="17">
        <f>D37-G37</f>
        <v/>
      </c>
      <c r="I37" s="18">
        <f>IF(D37=0,"",G37/D37)</f>
        <v/>
      </c>
      <c r="N37" s="12">
        <f>IF(N36="","",IF(N36+7&gt;MAX(tblOrdenes[fecha_inicio]),"",N36+7))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AUT</t>
        </is>
      </c>
      <c r="B38" s="3">
        <f>$O$12</f>
        <v/>
      </c>
      <c r="C38" s="17">
        <f>SUMIFS(tblAsignaciones[horas_disponibles],tblAsignaciones[especialidad],$A38,tblAsignaciones[semana],$B38)</f>
        <v/>
      </c>
      <c r="D38" s="17">
        <f>C38*p_factor_productividad</f>
        <v/>
      </c>
      <c r="E38" s="17">
        <f>SUMIFS(tblOrdenes[horas_efectivas],tblOrdenes[especialidad],$A38,tblOrdenes[semana],$B38,tblOrdenes[clasificacion],"preventiva")</f>
        <v/>
      </c>
      <c r="F38" s="17">
        <f>SUMIFS(tblOrdenes[horas_efectivas],tblOrdenes[especialidad],$A38,tblOrdenes[semana],$B38,tblOrdenes[clasificacion],"correctiva")</f>
        <v/>
      </c>
      <c r="G38" s="17">
        <f>E38+F38</f>
        <v/>
      </c>
      <c r="H38" s="17">
        <f>D38-G38</f>
        <v/>
      </c>
      <c r="I38" s="18">
        <f>IF(D38=0,"",G38/D38)</f>
        <v/>
      </c>
      <c r="N38" s="12">
        <f>IF(N37="","",IF(N37+7&gt;MAX(tblOrdenes[fecha_inicio]),"",N37+7))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TERCERO</t>
        </is>
      </c>
      <c r="B39" s="3">
        <f>$O$12</f>
        <v/>
      </c>
      <c r="C39" s="17">
        <f>SUMIFS(tblAsignaciones[horas_disponibles],tblAsignaciones[especialidad],$A39,tblAsignaciones[semana],$B39)</f>
        <v/>
      </c>
      <c r="D39" s="17">
        <f>C39*p_factor_productividad</f>
        <v/>
      </c>
      <c r="E39" s="17">
        <f>SUMIFS(tblOrdenes[horas_efectivas],tblOrdenes[especialidad],$A39,tblOrdenes[semana],$B39,tblOrdenes[clasificacion],"preventiva")</f>
        <v/>
      </c>
      <c r="F39" s="17">
        <f>SUMIFS(tblOrdenes[horas_efectivas],tblOrdenes[especialidad],$A39,tblOrdenes[semana],$B39,tblOrdenes[clasificacion],"correctiva")</f>
        <v/>
      </c>
      <c r="G39" s="17">
        <f>E39+F39</f>
        <v/>
      </c>
      <c r="H39" s="17">
        <f>D39-G39</f>
        <v/>
      </c>
      <c r="I39" s="18">
        <f>IF(D39=0,"",G39/D39)</f>
        <v/>
      </c>
      <c r="N39" s="12">
        <f>IF(N38="","",IF(N38+7&gt;MAX(tblOrdenes[fecha_inicio]),"",N38+7))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MEC</t>
        </is>
      </c>
      <c r="B40" s="3">
        <f>$O$13</f>
        <v/>
      </c>
      <c r="C40" s="17">
        <f>SUMIFS(tblAsignaciones[horas_disponibles],tblAsignaciones[especialidad],$A40,tblAsignaciones[semana],$B40)</f>
        <v/>
      </c>
      <c r="D40" s="17">
        <f>C40*p_factor_productividad</f>
        <v/>
      </c>
      <c r="E40" s="17">
        <f>SUMIFS(tblOrdenes[horas_efectivas],tblOrdenes[especialidad],$A40,tblOrdenes[semana],$B40,tblOrdenes[clasificacion],"preventiva")</f>
        <v/>
      </c>
      <c r="F40" s="17">
        <f>SUMIFS(tblOrdenes[horas_efectivas],tblOrdenes[especialidad],$A40,tblOrdenes[semana],$B40,tblOrdenes[clasificacion],"correctiva")</f>
        <v/>
      </c>
      <c r="G40" s="17">
        <f>E40+F40</f>
        <v/>
      </c>
      <c r="H40" s="17">
        <f>D40-G40</f>
        <v/>
      </c>
      <c r="I40" s="18">
        <f>IF(D40=0,"",G40/D40)</f>
        <v/>
      </c>
      <c r="N40" s="12">
        <f>IF(N39="","",IF(N39+7&gt;MAX(tblOrdenes[fecha_inicio]),"",N39+7))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ELE</t>
        </is>
      </c>
      <c r="B41" s="3">
        <f>$O$13</f>
        <v/>
      </c>
      <c r="C41" s="17">
        <f>SUMIFS(tblAsignaciones[horas_disponibles],tblAsignaciones[especialidad],$A41,tblAsignaciones[semana],$B41)</f>
        <v/>
      </c>
      <c r="D41" s="17">
        <f>C41*p_factor_productividad</f>
        <v/>
      </c>
      <c r="E41" s="17">
        <f>SUMIFS(tblOrdenes[horas_efectivas],tblOrdenes[especialidad],$A41,tblOrdenes[semana],$B41,tblOrdenes[clasificacion],"preventiva")</f>
        <v/>
      </c>
      <c r="F41" s="17">
        <f>SUMIFS(tblOrdenes[horas_efectivas],tblOrdenes[especialidad],$A41,tblOrdenes[semana],$B41,tblOrdenes[clasificacion],"correctiva")</f>
        <v/>
      </c>
      <c r="G41" s="17">
        <f>E41+F41</f>
        <v/>
      </c>
      <c r="H41" s="17">
        <f>D41-G41</f>
        <v/>
      </c>
      <c r="I41" s="18">
        <f>IF(D41=0,"",G41/D41)</f>
        <v/>
      </c>
      <c r="N41" s="12">
        <f>IF(N40="","",IF(N40+7&gt;MAX(tblOrdenes[fecha_inicio]),"",N40+7))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AUT</t>
        </is>
      </c>
      <c r="B42" s="3">
        <f>$O$13</f>
        <v/>
      </c>
      <c r="C42" s="17">
        <f>SUMIFS(tblAsignaciones[horas_disponibles],tblAsignaciones[especialidad],$A42,tblAsignaciones[semana],$B42)</f>
        <v/>
      </c>
      <c r="D42" s="17">
        <f>C42*p_factor_productividad</f>
        <v/>
      </c>
      <c r="E42" s="17">
        <f>SUMIFS(tblOrdenes[horas_efectivas],tblOrdenes[especialidad],$A42,tblOrdenes[semana],$B42,tblOrdenes[clasificacion],"preventiva")</f>
        <v/>
      </c>
      <c r="F42" s="17">
        <f>SUMIFS(tblOrdenes[horas_efectivas],tblOrdenes[especialidad],$A42,tblOrdenes[semana],$B42,tblOrdenes[clasificacion],"correctiva")</f>
        <v/>
      </c>
      <c r="G42" s="17">
        <f>E42+F42</f>
        <v/>
      </c>
      <c r="H42" s="17">
        <f>D42-G42</f>
        <v/>
      </c>
      <c r="I42" s="18">
        <f>IF(D42=0,"",G42/D42)</f>
        <v/>
      </c>
      <c r="N42" s="12">
        <f>IF(N41="","",IF(N41+7&gt;MAX(tblOrdenes[fecha_inicio]),"",N41+7))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$O$13</f>
        <v/>
      </c>
      <c r="C43" s="17">
        <f>SUMIFS(tblAsignaciones[horas_disponibles],tblAsignaciones[especialidad],$A43,tblAsignaciones[semana],$B43)</f>
        <v/>
      </c>
      <c r="D43" s="17">
        <f>C43*p_factor_productividad</f>
        <v/>
      </c>
      <c r="E43" s="17">
        <f>SUMIFS(tblOrdenes[horas_efectivas],tblOrdenes[especialidad],$A43,tblOrdenes[semana],$B43,tblOrdenes[clasificacion],"preventiva")</f>
        <v/>
      </c>
      <c r="F43" s="17">
        <f>SUMIFS(tblOrdenes[horas_efectivas],tblOrdenes[especialidad],$A43,tblOrdenes[semana],$B43,tblOrdenes[clasificacion],"correctiva")</f>
        <v/>
      </c>
      <c r="G43" s="17">
        <f>E43+F43</f>
        <v/>
      </c>
      <c r="H43" s="17">
        <f>D43-G43</f>
        <v/>
      </c>
      <c r="I43" s="18">
        <f>IF(D43=0,"",G43/D43)</f>
        <v/>
      </c>
      <c r="N43" s="12">
        <f>IF(N42="","",IF(N42+7&gt;MAX(tblOrdenes[fecha_inicio]),"",N42+7))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$O$14</f>
        <v/>
      </c>
      <c r="C44" s="17">
        <f>SUMIFS(tblAsignaciones[horas_disponibles],tblAsignaciones[especialidad],$A44,tblAsignaciones[semana],$B44)</f>
        <v/>
      </c>
      <c r="D44" s="17">
        <f>C44*p_factor_productividad</f>
        <v/>
      </c>
      <c r="E44" s="17">
        <f>SUMIFS(tblOrdenes[horas_efectivas],tblOrdenes[especialidad],$A44,tblOrdenes[semana],$B44,tblOrdenes[clasificacion],"preventiva")</f>
        <v/>
      </c>
      <c r="F44" s="17">
        <f>SUMIFS(tblOrdenes[horas_efectivas],tblOrdenes[especialidad],$A44,tblOrdenes[semana],$B44,tblOrdenes[clasificacion],"correctiva")</f>
        <v/>
      </c>
      <c r="G44" s="17">
        <f>E44+F44</f>
        <v/>
      </c>
      <c r="H44" s="17">
        <f>D44-G44</f>
        <v/>
      </c>
      <c r="I44" s="18">
        <f>IF(D44=0,"",G44/D44)</f>
        <v/>
      </c>
      <c r="N44" s="12">
        <f>IF(N43="","",IF(N43+7&gt;MAX(tblOrdenes[fecha_inicio]),"",N43+7))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$O$14</f>
        <v/>
      </c>
      <c r="C45" s="17">
        <f>SUMIFS(tblAsignaciones[horas_disponibles],tblAsignaciones[especialidad],$A45,tblAsignaciones[semana],$B45)</f>
        <v/>
      </c>
      <c r="D45" s="17">
        <f>C45*p_factor_productividad</f>
        <v/>
      </c>
      <c r="E45" s="17">
        <f>SUMIFS(tblOrdenes[horas_efectivas],tblOrdenes[especialidad],$A45,tblOrdenes[semana],$B45,tblOrdenes[clasificacion],"preventiva")</f>
        <v/>
      </c>
      <c r="F45" s="17">
        <f>SUMIFS(tblOrdenes[horas_efectivas],tblOrdenes[especialidad],$A45,tblOrdenes[semana],$B45,tblOrdenes[clasificacion],"correctiva")</f>
        <v/>
      </c>
      <c r="G45" s="17">
        <f>E45+F45</f>
        <v/>
      </c>
      <c r="H45" s="17">
        <f>D45-G45</f>
        <v/>
      </c>
      <c r="I45" s="18">
        <f>IF(D45=0,"",G45/D45)</f>
        <v/>
      </c>
      <c r="N45" s="12">
        <f>IF(N44="","",IF(N44+7&gt;MAX(tblOrdenes[fecha_inicio]),"",N44+7))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$O$14</f>
        <v/>
      </c>
      <c r="C46" s="17">
        <f>SUMIFS(tblAsignaciones[horas_disponibles],tblAsignaciones[especialidad],$A46,tblAsignaciones[semana],$B46)</f>
        <v/>
      </c>
      <c r="D46" s="17">
        <f>C46*p_factor_productividad</f>
        <v/>
      </c>
      <c r="E46" s="17">
        <f>SUMIFS(tblOrdenes[horas_efectivas],tblOrdenes[especialidad],$A46,tblOrdenes[semana],$B46,tblOrdenes[clasificacion],"preventiva")</f>
        <v/>
      </c>
      <c r="F46" s="17">
        <f>SUMIFS(tblOrdenes[horas_efectivas],tblOrdenes[especialidad],$A46,tblOrdenes[semana],$B46,tblOrdenes[clasificacion],"correctiva")</f>
        <v/>
      </c>
      <c r="G46" s="17">
        <f>E46+F46</f>
        <v/>
      </c>
      <c r="H46" s="17">
        <f>D46-G46</f>
        <v/>
      </c>
      <c r="I46" s="18">
        <f>IF(D46=0,"",G46/D46)</f>
        <v/>
      </c>
      <c r="N46" s="12">
        <f>IF(N45="","",IF(N45+7&gt;MAX(tblOrdenes[fecha_inicio]),"",N45+7))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TERCERO</t>
        </is>
      </c>
      <c r="B47" s="3">
        <f>$O$14</f>
        <v/>
      </c>
      <c r="C47" s="17">
        <f>SUMIFS(tblAsignaciones[horas_disponibles],tblAsignaciones[especialidad],$A47,tblAsignaciones[semana],$B47)</f>
        <v/>
      </c>
      <c r="D47" s="17">
        <f>C47*p_factor_productividad</f>
        <v/>
      </c>
      <c r="E47" s="17">
        <f>SUMIFS(tblOrdenes[horas_efectivas],tblOrdenes[especialidad],$A47,tblOrdenes[semana],$B47,tblOrdenes[clasificacion],"preventiva")</f>
        <v/>
      </c>
      <c r="F47" s="17">
        <f>SUMIFS(tblOrdenes[horas_efectivas],tblOrdenes[especialidad],$A47,tblOrdenes[semana],$B47,tblOrdenes[clasificacion],"correctiva")</f>
        <v/>
      </c>
      <c r="G47" s="17">
        <f>E47+F47</f>
        <v/>
      </c>
      <c r="H47" s="17">
        <f>D47-G47</f>
        <v/>
      </c>
      <c r="I47" s="18">
        <f>IF(D47=0,"",G47/D47)</f>
        <v/>
      </c>
      <c r="N47" s="12">
        <f>IF(N46="","",IF(N46+7&gt;MAX(tblOrdenes[fecha_inicio]),"",N46+7))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MEC</t>
        </is>
      </c>
      <c r="B48" s="3">
        <f>$O$15</f>
        <v/>
      </c>
      <c r="C48" s="17">
        <f>SUMIFS(tblAsignaciones[horas_disponibles],tblAsignaciones[especialidad],$A48,tblAsignaciones[semana],$B48)</f>
        <v/>
      </c>
      <c r="D48" s="17">
        <f>C48*p_factor_productividad</f>
        <v/>
      </c>
      <c r="E48" s="17">
        <f>SUMIFS(tblOrdenes[horas_efectivas],tblOrdenes[especialidad],$A48,tblOrdenes[semana],$B48,tblOrdenes[clasificacion],"preventiva")</f>
        <v/>
      </c>
      <c r="F48" s="17">
        <f>SUMIFS(tblOrdenes[horas_efectivas],tblOrdenes[especialidad],$A48,tblOrdenes[semana],$B48,tblOrdenes[clasificacion],"correctiva")</f>
        <v/>
      </c>
      <c r="G48" s="17">
        <f>E48+F48</f>
        <v/>
      </c>
      <c r="H48" s="17">
        <f>D48-G48</f>
        <v/>
      </c>
      <c r="I48" s="18">
        <f>IF(D48=0,"",G48/D48)</f>
        <v/>
      </c>
      <c r="N48" s="12">
        <f>IF(N47="","",IF(N47+7&gt;MAX(tblOrdenes[fecha_inicio]),"",N47+7))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ELE</t>
        </is>
      </c>
      <c r="B49" s="3">
        <f>$O$15</f>
        <v/>
      </c>
      <c r="C49" s="17">
        <f>SUMIFS(tblAsignaciones[horas_disponibles],tblAsignaciones[especialidad],$A49,tblAsignaciones[semana],$B49)</f>
        <v/>
      </c>
      <c r="D49" s="17">
        <f>C49*p_factor_productividad</f>
        <v/>
      </c>
      <c r="E49" s="17">
        <f>SUMIFS(tblOrdenes[horas_efectivas],tblOrdenes[especialidad],$A49,tblOrdenes[semana],$B49,tblOrdenes[clasificacion],"preventiva")</f>
        <v/>
      </c>
      <c r="F49" s="17">
        <f>SUMIFS(tblOrdenes[horas_efectivas],tblOrdenes[especialidad],$A49,tblOrdenes[semana],$B49,tblOrdenes[clasificacion],"correctiva")</f>
        <v/>
      </c>
      <c r="G49" s="17">
        <f>E49+F49</f>
        <v/>
      </c>
      <c r="H49" s="17">
        <f>D49-G49</f>
        <v/>
      </c>
      <c r="I49" s="18">
        <f>IF(D49=0,"",G49/D49)</f>
        <v/>
      </c>
      <c r="N49" s="12">
        <f>IF(N48="","",IF(N48+7&gt;MAX(tblOrdenes[fecha_inicio]),"",N48+7))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AUT</t>
        </is>
      </c>
      <c r="B50" s="3">
        <f>$O$15</f>
        <v/>
      </c>
      <c r="C50" s="17">
        <f>SUMIFS(tblAsignaciones[horas_disponibles],tblAsignaciones[especialidad],$A50,tblAsignaciones[semana],$B50)</f>
        <v/>
      </c>
      <c r="D50" s="17">
        <f>C50*p_factor_productividad</f>
        <v/>
      </c>
      <c r="E50" s="17">
        <f>SUMIFS(tblOrdenes[horas_efectivas],tblOrdenes[especialidad],$A50,tblOrdenes[semana],$B50,tblOrdenes[clasificacion],"preventiva")</f>
        <v/>
      </c>
      <c r="F50" s="17">
        <f>SUMIFS(tblOrdenes[horas_efectivas],tblOrdenes[especialidad],$A50,tblOrdenes[semana],$B50,tblOrdenes[clasificacion],"correctiva")</f>
        <v/>
      </c>
      <c r="G50" s="17">
        <f>E50+F50</f>
        <v/>
      </c>
      <c r="H50" s="17">
        <f>D50-G50</f>
        <v/>
      </c>
      <c r="I50" s="18">
        <f>IF(D50=0,"",G50/D50)</f>
        <v/>
      </c>
      <c r="N50" s="12">
        <f>IF(N49="","",IF(N49+7&gt;MAX(tblOrdenes[fecha_inicio]),"",N49+7))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TERCERO</t>
        </is>
      </c>
      <c r="B51" s="3">
        <f>$O$15</f>
        <v/>
      </c>
      <c r="C51" s="17">
        <f>SUMIFS(tblAsignaciones[horas_disponibles],tblAsignaciones[especialidad],$A51,tblAsignaciones[semana],$B51)</f>
        <v/>
      </c>
      <c r="D51" s="17">
        <f>C51*p_factor_productividad</f>
        <v/>
      </c>
      <c r="E51" s="17">
        <f>SUMIFS(tblOrdenes[horas_efectivas],tblOrdenes[especialidad],$A51,tblOrdenes[semana],$B51,tblOrdenes[clasificacion],"preventiva")</f>
        <v/>
      </c>
      <c r="F51" s="17">
        <f>SUMIFS(tblOrdenes[horas_efectivas],tblOrdenes[especialidad],$A51,tblOrdenes[semana],$B51,tblOrdenes[clasificacion],"correctiva")</f>
        <v/>
      </c>
      <c r="G51" s="17">
        <f>E51+F51</f>
        <v/>
      </c>
      <c r="H51" s="17">
        <f>D51-G51</f>
        <v/>
      </c>
      <c r="I51" s="18">
        <f>IF(D51=0,"",G51/D51)</f>
        <v/>
      </c>
      <c r="N51" s="12">
        <f>IF(N50="","",IF(N50+7&gt;MAX(tblOrdenes[fecha_inicio]),"",N50+7))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MEC</t>
        </is>
      </c>
      <c r="B52" s="3">
        <f>$O$16</f>
        <v/>
      </c>
      <c r="C52" s="17">
        <f>SUMIFS(tblAsignaciones[horas_disponibles],tblAsignaciones[especialidad],$A52,tblAsignaciones[semana],$B52)</f>
        <v/>
      </c>
      <c r="D52" s="17">
        <f>C52*p_factor_productividad</f>
        <v/>
      </c>
      <c r="E52" s="17">
        <f>SUMIFS(tblOrdenes[horas_efectivas],tblOrdenes[especialidad],$A52,tblOrdenes[semana],$B52,tblOrdenes[clasificacion],"preventiva")</f>
        <v/>
      </c>
      <c r="F52" s="17">
        <f>SUMIFS(tblOrdenes[horas_efectivas],tblOrdenes[especialidad],$A52,tblOrdenes[semana],$B52,tblOrdenes[clasificacion],"correctiva")</f>
        <v/>
      </c>
      <c r="G52" s="17">
        <f>E52+F52</f>
        <v/>
      </c>
      <c r="H52" s="17">
        <f>D52-G52</f>
        <v/>
      </c>
      <c r="I52" s="18">
        <f>IF(D52=0,"",G52/D52)</f>
        <v/>
      </c>
      <c r="N52" s="12">
        <f>IF(N51="","",IF(N51+7&gt;MAX(tblOrdenes[fecha_inicio]),"",N51+7))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ELE</t>
        </is>
      </c>
      <c r="B53" s="3">
        <f>$O$16</f>
        <v/>
      </c>
      <c r="C53" s="17">
        <f>SUMIFS(tblAsignaciones[horas_disponibles],tblAsignaciones[especialidad],$A53,tblAsignaciones[semana],$B53)</f>
        <v/>
      </c>
      <c r="D53" s="17">
        <f>C53*p_factor_productividad</f>
        <v/>
      </c>
      <c r="E53" s="17">
        <f>SUMIFS(tblOrdenes[horas_efectivas],tblOrdenes[especialidad],$A53,tblOrdenes[semana],$B53,tblOrdenes[clasificacion],"preventiva")</f>
        <v/>
      </c>
      <c r="F53" s="17">
        <f>SUMIFS(tblOrdenes[horas_efectivas],tblOrdenes[especialidad],$A53,tblOrdenes[semana],$B53,tblOrdenes[clasificacion],"correctiva")</f>
        <v/>
      </c>
      <c r="G53" s="17">
        <f>E53+F53</f>
        <v/>
      </c>
      <c r="H53" s="17">
        <f>D53-G53</f>
        <v/>
      </c>
      <c r="I53" s="18">
        <f>IF(D53=0,"",G53/D53)</f>
        <v/>
      </c>
      <c r="N53" s="12">
        <f>IF(N52="","",IF(N52+7&gt;MAX(tblOrdenes[fecha_inicio]),"",N52+7))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AUT</t>
        </is>
      </c>
      <c r="B54" s="3">
        <f>$O$16</f>
        <v/>
      </c>
      <c r="C54" s="17">
        <f>SUMIFS(tblAsignaciones[horas_disponibles],tblAsignaciones[especialidad],$A54,tblAsignaciones[semana],$B54)</f>
        <v/>
      </c>
      <c r="D54" s="17">
        <f>C54*p_factor_productividad</f>
        <v/>
      </c>
      <c r="E54" s="17">
        <f>SUMIFS(tblOrdenes[horas_efectivas],tblOrdenes[especialidad],$A54,tblOrdenes[semana],$B54,tblOrdenes[clasificacion],"preventiva")</f>
        <v/>
      </c>
      <c r="F54" s="17">
        <f>SUMIFS(tblOrdenes[horas_efectivas],tblOrdenes[especialidad],$A54,tblOrdenes[semana],$B54,tblOrdenes[clasificacion],"correctiva")</f>
        <v/>
      </c>
      <c r="G54" s="17">
        <f>E54+F54</f>
        <v/>
      </c>
      <c r="H54" s="17">
        <f>D54-G54</f>
        <v/>
      </c>
      <c r="I54" s="18">
        <f>IF(D54=0,"",G54/D54)</f>
        <v/>
      </c>
      <c r="N54" s="12">
        <f>IF(N53="","",IF(N53+7&gt;MAX(tblOrdenes[fecha_inicio]),"",N53+7))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TERCERO</t>
        </is>
      </c>
      <c r="B55" s="3">
        <f>$O$16</f>
        <v/>
      </c>
      <c r="C55" s="17">
        <f>SUMIFS(tblAsignaciones[horas_disponibles],tblAsignaciones[especialidad],$A55,tblAsignaciones[semana],$B55)</f>
        <v/>
      </c>
      <c r="D55" s="17">
        <f>C55*p_factor_productividad</f>
        <v/>
      </c>
      <c r="E55" s="17">
        <f>SUMIFS(tblOrdenes[horas_efectivas],tblOrdenes[especialidad],$A55,tblOrdenes[semana],$B55,tblOrdenes[clasificacion],"preventiva")</f>
        <v/>
      </c>
      <c r="F55" s="17">
        <f>SUMIFS(tblOrdenes[horas_efectivas],tblOrdenes[especialidad],$A55,tblOrdenes[semana],$B55,tblOrdenes[clasificacion],"correctiva")</f>
        <v/>
      </c>
      <c r="G55" s="17">
        <f>E55+F55</f>
        <v/>
      </c>
      <c r="H55" s="17">
        <f>D55-G55</f>
        <v/>
      </c>
      <c r="I55" s="18">
        <f>IF(D55=0,"",G55/D55)</f>
        <v/>
      </c>
      <c r="N55" s="12">
        <f>IF(N54="","",IF(N54+7&gt;MAX(tblOrdenes[fecha_inicio]),"",N54+7))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MEC</t>
        </is>
      </c>
      <c r="B56" s="3">
        <f>$O$17</f>
        <v/>
      </c>
      <c r="C56" s="17">
        <f>SUMIFS(tblAsignaciones[horas_disponibles],tblAsignaciones[especialidad],$A56,tblAsignaciones[semana],$B56)</f>
        <v/>
      </c>
      <c r="D56" s="17">
        <f>C56*p_factor_productividad</f>
        <v/>
      </c>
      <c r="E56" s="17">
        <f>SUMIFS(tblOrdenes[horas_efectivas],tblOrdenes[especialidad],$A56,tblOrdenes[semana],$B56,tblOrdenes[clasificacion],"preventiva")</f>
        <v/>
      </c>
      <c r="F56" s="17">
        <f>SUMIFS(tblOrdenes[horas_efectivas],tblOrdenes[especialidad],$A56,tblOrdenes[semana],$B56,tblOrdenes[clasificacion],"correctiva")</f>
        <v/>
      </c>
      <c r="G56" s="17">
        <f>E56+F56</f>
        <v/>
      </c>
      <c r="H56" s="17">
        <f>D56-G56</f>
        <v/>
      </c>
      <c r="I56" s="18">
        <f>IF(D56=0,"",G56/D56)</f>
        <v/>
      </c>
      <c r="N56" s="12">
        <f>IF(N55="","",IF(N55+7&gt;MAX(tblOrdenes[fecha_inicio]),"",N55+7))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ELE</t>
        </is>
      </c>
      <c r="B57" s="3">
        <f>$O$17</f>
        <v/>
      </c>
      <c r="C57" s="17">
        <f>SUMIFS(tblAsignaciones[horas_disponibles],tblAsignaciones[especialidad],$A57,tblAsignaciones[semana],$B57)</f>
        <v/>
      </c>
      <c r="D57" s="17">
        <f>C57*p_factor_productividad</f>
        <v/>
      </c>
      <c r="E57" s="17">
        <f>SUMIFS(tblOrdenes[horas_efectivas],tblOrdenes[especialidad],$A57,tblOrdenes[semana],$B57,tblOrdenes[clasificacion],"preventiva")</f>
        <v/>
      </c>
      <c r="F57" s="17">
        <f>SUMIFS(tblOrdenes[horas_efectivas],tblOrdenes[especialidad],$A57,tblOrdenes[semana],$B57,tblOrdenes[clasificacion],"correctiva")</f>
        <v/>
      </c>
      <c r="G57" s="17">
        <f>E57+F57</f>
        <v/>
      </c>
      <c r="H57" s="17">
        <f>D57-G57</f>
        <v/>
      </c>
      <c r="I57" s="18">
        <f>IF(D57=0,"",G57/D57)</f>
        <v/>
      </c>
      <c r="N57" s="12">
        <f>IF(N56="","",IF(N56+7&gt;MAX(tblOrdenes[fecha_inicio]),"",N56+7))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AUT</t>
        </is>
      </c>
      <c r="B58" s="3">
        <f>$O$17</f>
        <v/>
      </c>
      <c r="C58" s="17">
        <f>SUMIFS(tblAsignaciones[horas_disponibles],tblAsignaciones[especialidad],$A58,tblAsignaciones[semana],$B58)</f>
        <v/>
      </c>
      <c r="D58" s="17">
        <f>C58*p_factor_productividad</f>
        <v/>
      </c>
      <c r="E58" s="17">
        <f>SUMIFS(tblOrdenes[horas_efectivas],tblOrdenes[especialidad],$A58,tblOrdenes[semana],$B58,tblOrdenes[clasificacion],"preventiva")</f>
        <v/>
      </c>
      <c r="F58" s="17">
        <f>SUMIFS(tblOrdenes[horas_efectivas],tblOrdenes[especialidad],$A58,tblOrdenes[semana],$B58,tblOrdenes[clasificacion],"correctiva")</f>
        <v/>
      </c>
      <c r="G58" s="17">
        <f>E58+F58</f>
        <v/>
      </c>
      <c r="H58" s="17">
        <f>D58-G58</f>
        <v/>
      </c>
      <c r="I58" s="18">
        <f>IF(D58=0,"",G58/D58)</f>
        <v/>
      </c>
      <c r="N58" s="12">
        <f>IF(N57="","",IF(N57+7&gt;MAX(tblOrdenes[fecha_inicio]),"",N57+7))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TERCERO</t>
        </is>
      </c>
      <c r="B59" s="3">
        <f>$O$17</f>
        <v/>
      </c>
      <c r="C59" s="17">
        <f>SUMIFS(tblAsignaciones[horas_disponibles],tblAsignaciones[especialidad],$A59,tblAsignaciones[semana],$B59)</f>
        <v/>
      </c>
      <c r="D59" s="17">
        <f>C59*p_factor_productividad</f>
        <v/>
      </c>
      <c r="E59" s="17">
        <f>SUMIFS(tblOrdenes[horas_efectivas],tblOrdenes[especialidad],$A59,tblOrdenes[semana],$B59,tblOrdenes[clasificacion],"preventiva")</f>
        <v/>
      </c>
      <c r="F59" s="17">
        <f>SUMIFS(tblOrdenes[horas_efectivas],tblOrdenes[especialidad],$A59,tblOrdenes[semana],$B59,tblOrdenes[clasificacion],"correctiva")</f>
        <v/>
      </c>
      <c r="G59" s="17">
        <f>E59+F59</f>
        <v/>
      </c>
      <c r="H59" s="17">
        <f>D59-G59</f>
        <v/>
      </c>
      <c r="I59" s="18">
        <f>IF(D59=0,"",G59/D59)</f>
        <v/>
      </c>
      <c r="N59" s="12">
        <f>IF(N58="","",IF(N58+7&gt;MAX(tblOrdenes[fecha_inicio]),"",N58+7))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MEC</t>
        </is>
      </c>
      <c r="B60" s="3">
        <f>$O$18</f>
        <v/>
      </c>
      <c r="C60" s="17">
        <f>SUMIFS(tblAsignaciones[horas_disponibles],tblAsignaciones[especialidad],$A60,tblAsignaciones[semana],$B60)</f>
        <v/>
      </c>
      <c r="D60" s="17">
        <f>C60*p_factor_productividad</f>
        <v/>
      </c>
      <c r="E60" s="17">
        <f>SUMIFS(tblOrdenes[horas_efectivas],tblOrdenes[especialidad],$A60,tblOrdenes[semana],$B60,tblOrdenes[clasificacion],"preventiva")</f>
        <v/>
      </c>
      <c r="F60" s="17">
        <f>SUMIFS(tblOrdenes[horas_efectivas],tblOrdenes[especialidad],$A60,tblOrdenes[semana],$B60,tblOrdenes[clasificacion],"correctiva")</f>
        <v/>
      </c>
      <c r="G60" s="17">
        <f>E60+F60</f>
        <v/>
      </c>
      <c r="H60" s="17">
        <f>D60-G60</f>
        <v/>
      </c>
      <c r="I60" s="18">
        <f>IF(D60=0,"",G60/D60)</f>
        <v/>
      </c>
      <c r="N60" s="12">
        <f>IF(N59="","",IF(N59+7&gt;MAX(tblOrdenes[fecha_inicio]),"",N59+7))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ELE</t>
        </is>
      </c>
      <c r="B61" s="3">
        <f>$O$18</f>
        <v/>
      </c>
      <c r="C61" s="17">
        <f>SUMIFS(tblAsignaciones[horas_disponibles],tblAsignaciones[especialidad],$A61,tblAsignaciones[semana],$B61)</f>
        <v/>
      </c>
      <c r="D61" s="17">
        <f>C61*p_factor_productividad</f>
        <v/>
      </c>
      <c r="E61" s="17">
        <f>SUMIFS(tblOrdenes[horas_efectivas],tblOrdenes[especialidad],$A61,tblOrdenes[semana],$B61,tblOrdenes[clasificacion],"preventiva")</f>
        <v/>
      </c>
      <c r="F61" s="17">
        <f>SUMIFS(tblOrdenes[horas_efectivas],tblOrdenes[especialidad],$A61,tblOrdenes[semana],$B61,tblOrdenes[clasificacion],"correctiva")</f>
        <v/>
      </c>
      <c r="G61" s="17">
        <f>E61+F61</f>
        <v/>
      </c>
      <c r="H61" s="17">
        <f>D61-G61</f>
        <v/>
      </c>
      <c r="I61" s="18">
        <f>IF(D61=0,"",G61/D61)</f>
        <v/>
      </c>
      <c r="N61" s="12">
        <f>IF(N60="","",IF(N60+7&gt;MAX(tblOrdenes[fecha_inicio]),"",N60+7))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AUT</t>
        </is>
      </c>
      <c r="B62" s="3">
        <f>$O$18</f>
        <v/>
      </c>
      <c r="C62" s="17">
        <f>SUMIFS(tblAsignaciones[horas_disponibles],tblAsignaciones[especialidad],$A62,tblAsignaciones[semana],$B62)</f>
        <v/>
      </c>
      <c r="D62" s="17">
        <f>C62*p_factor_productividad</f>
        <v/>
      </c>
      <c r="E62" s="17">
        <f>SUMIFS(tblOrdenes[horas_efectivas],tblOrdenes[especialidad],$A62,tblOrdenes[semana],$B62,tblOrdenes[clasificacion],"preventiva")</f>
        <v/>
      </c>
      <c r="F62" s="17">
        <f>SUMIFS(tblOrdenes[horas_efectivas],tblOrdenes[especialidad],$A62,tblOrdenes[semana],$B62,tblOrdenes[clasificacion],"correctiva")</f>
        <v/>
      </c>
      <c r="G62" s="17">
        <f>E62+F62</f>
        <v/>
      </c>
      <c r="H62" s="17">
        <f>D62-G62</f>
        <v/>
      </c>
      <c r="I62" s="18">
        <f>IF(D62=0,"",G62/D62)</f>
        <v/>
      </c>
      <c r="N62" s="12">
        <f>IF(N61="","",IF(N61+7&gt;MAX(tblOrdenes[fecha_inicio]),"",N61+7))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$O$18</f>
        <v/>
      </c>
      <c r="C63" s="17">
        <f>SUMIFS(tblAsignaciones[horas_disponibles],tblAsignaciones[especialidad],$A63,tblAsignaciones[semana],$B63)</f>
        <v/>
      </c>
      <c r="D63" s="17">
        <f>C63*p_factor_productividad</f>
        <v/>
      </c>
      <c r="E63" s="17">
        <f>SUMIFS(tblOrdenes[horas_efectivas],tblOrdenes[especialidad],$A63,tblOrdenes[semana],$B63,tblOrdenes[clasificacion],"preventiva")</f>
        <v/>
      </c>
      <c r="F63" s="17">
        <f>SUMIFS(tblOrdenes[horas_efectivas],tblOrdenes[especialidad],$A63,tblOrdenes[semana],$B63,tblOrdenes[clasificacion],"correctiva")</f>
        <v/>
      </c>
      <c r="G63" s="17">
        <f>E63+F63</f>
        <v/>
      </c>
      <c r="H63" s="17">
        <f>D63-G63</f>
        <v/>
      </c>
      <c r="I63" s="18">
        <f>IF(D63=0,"",G63/D63)</f>
        <v/>
      </c>
      <c r="N63" s="12">
        <f>IF(N62="","",IF(N62+7&gt;MAX(tblOrdenes[fecha_inicio]),"",N62+7))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$O$19</f>
        <v/>
      </c>
      <c r="C64" s="17">
        <f>SUMIFS(tblAsignaciones[horas_disponibles],tblAsignaciones[especialidad],$A64,tblAsignaciones[semana],$B64)</f>
        <v/>
      </c>
      <c r="D64" s="17">
        <f>C64*p_factor_productividad</f>
        <v/>
      </c>
      <c r="E64" s="17">
        <f>SUMIFS(tblOrdenes[horas_efectivas],tblOrdenes[especialidad],$A64,tblOrdenes[semana],$B64,tblOrdenes[clasificacion],"preventiva")</f>
        <v/>
      </c>
      <c r="F64" s="17">
        <f>SUMIFS(tblOrdenes[horas_efectivas],tblOrdenes[especialidad],$A64,tblOrdenes[semana],$B64,tblOrdenes[clasificacion],"correctiva")</f>
        <v/>
      </c>
      <c r="G64" s="17">
        <f>E64+F64</f>
        <v/>
      </c>
      <c r="H64" s="17">
        <f>D64-G64</f>
        <v/>
      </c>
      <c r="I64" s="18">
        <f>IF(D64=0,"",G64/D64)</f>
        <v/>
      </c>
    </row>
    <row r="65">
      <c r="A65" s="3" t="inlineStr">
        <is>
          <t>ELE</t>
        </is>
      </c>
      <c r="B65" s="3">
        <f>$O$19</f>
        <v/>
      </c>
      <c r="C65" s="17">
        <f>SUMIFS(tblAsignaciones[horas_disponibles],tblAsignaciones[especialidad],$A65,tblAsignaciones[semana],$B65)</f>
        <v/>
      </c>
      <c r="D65" s="17">
        <f>C65*p_factor_productividad</f>
        <v/>
      </c>
      <c r="E65" s="17">
        <f>SUMIFS(tblOrdenes[horas_efectivas],tblOrdenes[especialidad],$A65,tblOrdenes[semana],$B65,tblOrdenes[clasificacion],"preventiva")</f>
        <v/>
      </c>
      <c r="F65" s="17">
        <f>SUMIFS(tblOrdenes[horas_efectivas],tblOrdenes[especialidad],$A65,tblOrdenes[semana],$B65,tblOrdenes[clasificacion],"correctiva")</f>
        <v/>
      </c>
      <c r="G65" s="17">
        <f>E65+F65</f>
        <v/>
      </c>
      <c r="H65" s="17">
        <f>D65-G65</f>
        <v/>
      </c>
      <c r="I65" s="18">
        <f>IF(D65=0,"",G65/D65)</f>
        <v/>
      </c>
    </row>
    <row r="66">
      <c r="A66" s="3" t="inlineStr">
        <is>
          <t>AUT</t>
        </is>
      </c>
      <c r="B66" s="3">
        <f>$O$19</f>
        <v/>
      </c>
      <c r="C66" s="17">
        <f>SUMIFS(tblAsignaciones[horas_disponibles],tblAsignaciones[especialidad],$A66,tblAsignaciones[semana],$B66)</f>
        <v/>
      </c>
      <c r="D66" s="17">
        <f>C66*p_factor_productividad</f>
        <v/>
      </c>
      <c r="E66" s="17">
        <f>SUMIFS(tblOrdenes[horas_efectivas],tblOrdenes[especialidad],$A66,tblOrdenes[semana],$B66,tblOrdenes[clasificacion],"preventiva")</f>
        <v/>
      </c>
      <c r="F66" s="17">
        <f>SUMIFS(tblOrdenes[horas_efectivas],tblOrdenes[especialidad],$A66,tblOrdenes[semana],$B66,tblOrdenes[clasificacion],"correctiva")</f>
        <v/>
      </c>
      <c r="G66" s="17">
        <f>E66+F66</f>
        <v/>
      </c>
      <c r="H66" s="17">
        <f>D66-G66</f>
        <v/>
      </c>
      <c r="I66" s="18">
        <f>IF(D66=0,"",G66/D66)</f>
        <v/>
      </c>
    </row>
    <row r="67">
      <c r="A67" s="3" t="inlineStr">
        <is>
          <t>TERCERO</t>
        </is>
      </c>
      <c r="B67" s="3">
        <f>$O$19</f>
        <v/>
      </c>
      <c r="C67" s="17">
        <f>SUMIFS(tblAsignaciones[horas_disponibles],tblAsignaciones[especialidad],$A67,tblAsignaciones[semana],$B67)</f>
        <v/>
      </c>
      <c r="D67" s="17">
        <f>C67*p_factor_productividad</f>
        <v/>
      </c>
      <c r="E67" s="17">
        <f>SUMIFS(tblOrdenes[horas_efectivas],tblOrdenes[especialidad],$A67,tblOrdenes[semana],$B67,tblOrdenes[clasificacion],"preventiva")</f>
        <v/>
      </c>
      <c r="F67" s="17">
        <f>SUMIFS(tblOrdenes[horas_efectivas],tblOrdenes[especialidad],$A67,tblOrdenes[semana],$B67,tblOrdenes[clasificacion],"correctiva")</f>
        <v/>
      </c>
      <c r="G67" s="17">
        <f>E67+F67</f>
        <v/>
      </c>
      <c r="H67" s="17">
        <f>D67-G67</f>
        <v/>
      </c>
      <c r="I67" s="18">
        <f>IF(D67=0,"",G67/D67)</f>
        <v/>
      </c>
    </row>
    <row r="68">
      <c r="A68" s="3" t="inlineStr">
        <is>
          <t>MEC</t>
        </is>
      </c>
      <c r="B68" s="3">
        <f>$O$20</f>
        <v/>
      </c>
      <c r="C68" s="17">
        <f>SUMIFS(tblAsignaciones[horas_disponibles],tblAsignaciones[especialidad],$A68,tblAsignaciones[semana],$B68)</f>
        <v/>
      </c>
      <c r="D68" s="17">
        <f>C68*p_factor_productividad</f>
        <v/>
      </c>
      <c r="E68" s="17">
        <f>SUMIFS(tblOrdenes[horas_efectivas],tblOrdenes[especialidad],$A68,tblOrdenes[semana],$B68,tblOrdenes[clasificacion],"preventiva")</f>
        <v/>
      </c>
      <c r="F68" s="17">
        <f>SUMIFS(tblOrdenes[horas_efectivas],tblOrdenes[especialidad],$A68,tblOrdenes[semana],$B68,tblOrdenes[clasificacion],"correctiva")</f>
        <v/>
      </c>
      <c r="G68" s="17">
        <f>E68+F68</f>
        <v/>
      </c>
      <c r="H68" s="17">
        <f>D68-G68</f>
        <v/>
      </c>
      <c r="I68" s="18">
        <f>IF(D68=0,"",G68/D68)</f>
        <v/>
      </c>
    </row>
    <row r="69">
      <c r="A69" s="3" t="inlineStr">
        <is>
          <t>ELE</t>
        </is>
      </c>
      <c r="B69" s="3">
        <f>$O$20</f>
        <v/>
      </c>
      <c r="C69" s="17">
        <f>SUMIFS(tblAsignaciones[horas_disponibles],tblAsignaciones[especialidad],$A69,tblAsignaciones[semana],$B69)</f>
        <v/>
      </c>
      <c r="D69" s="17">
        <f>C69*p_factor_productividad</f>
        <v/>
      </c>
      <c r="E69" s="17">
        <f>SUMIFS(tblOrdenes[horas_efectivas],tblOrdenes[especialidad],$A69,tblOrdenes[semana],$B69,tblOrdenes[clasificacion],"preventiva")</f>
        <v/>
      </c>
      <c r="F69" s="17">
        <f>SUMIFS(tblOrdenes[horas_efectivas],tblOrdenes[especialidad],$A69,tblOrdenes[semana],$B69,tblOrdenes[clasificacion],"correctiva")</f>
        <v/>
      </c>
      <c r="G69" s="17">
        <f>E69+F69</f>
        <v/>
      </c>
      <c r="H69" s="17">
        <f>D69-G69</f>
        <v/>
      </c>
      <c r="I69" s="18">
        <f>IF(D69=0,"",G69/D69)</f>
        <v/>
      </c>
    </row>
    <row r="70">
      <c r="A70" s="3" t="inlineStr">
        <is>
          <t>AUT</t>
        </is>
      </c>
      <c r="B70" s="3">
        <f>$O$20</f>
        <v/>
      </c>
      <c r="C70" s="17">
        <f>SUMIFS(tblAsignaciones[horas_disponibles],tblAsignaciones[especialidad],$A70,tblAsignaciones[semana],$B70)</f>
        <v/>
      </c>
      <c r="D70" s="17">
        <f>C70*p_factor_productividad</f>
        <v/>
      </c>
      <c r="E70" s="17">
        <f>SUMIFS(tblOrdenes[horas_efectivas],tblOrdenes[especialidad],$A70,tblOrdenes[semana],$B70,tblOrdenes[clasificacion],"preventiva")</f>
        <v/>
      </c>
      <c r="F70" s="17">
        <f>SUMIFS(tblOrdenes[horas_efectivas],tblOrdenes[especialidad],$A70,tblOrdenes[semana],$B70,tblOrdenes[clasificacion],"correctiva")</f>
        <v/>
      </c>
      <c r="G70" s="17">
        <f>E70+F70</f>
        <v/>
      </c>
      <c r="H70" s="17">
        <f>D70-G70</f>
        <v/>
      </c>
      <c r="I70" s="18">
        <f>IF(D70=0,"",G70/D70)</f>
        <v/>
      </c>
    </row>
    <row r="71">
      <c r="A71" s="3" t="inlineStr">
        <is>
          <t>TERCERO</t>
        </is>
      </c>
      <c r="B71" s="3">
        <f>$O$20</f>
        <v/>
      </c>
      <c r="C71" s="17">
        <f>SUMIFS(tblAsignaciones[horas_disponibles],tblAsignaciones[especialidad],$A71,tblAsignaciones[semana],$B71)</f>
        <v/>
      </c>
      <c r="D71" s="17">
        <f>C71*p_factor_productividad</f>
        <v/>
      </c>
      <c r="E71" s="17">
        <f>SUMIFS(tblOrdenes[horas_efectivas],tblOrdenes[especialidad],$A71,tblOrdenes[semana],$B71,tblOrdenes[clasificacion],"preventiva")</f>
        <v/>
      </c>
      <c r="F71" s="17">
        <f>SUMIFS(tblOrdenes[horas_efectivas],tblOrdenes[especialidad],$A71,tblOrdenes[semana],$B71,tblOrdenes[clasificacion],"correctiva")</f>
        <v/>
      </c>
      <c r="G71" s="17">
        <f>E71+F71</f>
        <v/>
      </c>
      <c r="H71" s="17">
        <f>D71-G71</f>
        <v/>
      </c>
      <c r="I71" s="18">
        <f>IF(D71=0,"",G71/D71)</f>
        <v/>
      </c>
    </row>
    <row r="72">
      <c r="A72" s="3" t="inlineStr">
        <is>
          <t>MEC</t>
        </is>
      </c>
      <c r="B72" s="3">
        <f>$O$21</f>
        <v/>
      </c>
      <c r="C72" s="17">
        <f>SUMIFS(tblAsignaciones[horas_disponibles],tblAsignaciones[especialidad],$A72,tblAsignaciones[semana],$B72)</f>
        <v/>
      </c>
      <c r="D72" s="17">
        <f>C72*p_factor_productividad</f>
        <v/>
      </c>
      <c r="E72" s="17">
        <f>SUMIFS(tblOrdenes[horas_efectivas],tblOrdenes[especialidad],$A72,tblOrdenes[semana],$B72,tblOrdenes[clasificacion],"preventiva")</f>
        <v/>
      </c>
      <c r="F72" s="17">
        <f>SUMIFS(tblOrdenes[horas_efectivas],tblOrdenes[especialidad],$A72,tblOrdenes[semana],$B72,tblOrdenes[clasificacion],"correctiva")</f>
        <v/>
      </c>
      <c r="G72" s="17">
        <f>E72+F72</f>
        <v/>
      </c>
      <c r="H72" s="17">
        <f>D72-G72</f>
        <v/>
      </c>
      <c r="I72" s="18">
        <f>IF(D72=0,"",G72/D72)</f>
        <v/>
      </c>
    </row>
    <row r="73">
      <c r="A73" s="3" t="inlineStr">
        <is>
          <t>ELE</t>
        </is>
      </c>
      <c r="B73" s="3">
        <f>$O$21</f>
        <v/>
      </c>
      <c r="C73" s="17">
        <f>SUMIFS(tblAsignaciones[horas_disponibles],tblAsignaciones[especialidad],$A73,tblAsignaciones[semana],$B73)</f>
        <v/>
      </c>
      <c r="D73" s="17">
        <f>C73*p_factor_productividad</f>
        <v/>
      </c>
      <c r="E73" s="17">
        <f>SUMIFS(tblOrdenes[horas_efectivas],tblOrdenes[especialidad],$A73,tblOrdenes[semana],$B73,tblOrdenes[clasificacion],"preventiva")</f>
        <v/>
      </c>
      <c r="F73" s="17">
        <f>SUMIFS(tblOrdenes[horas_efectivas],tblOrdenes[especialidad],$A73,tblOrdenes[semana],$B73,tblOrdenes[clasificacion],"correctiva")</f>
        <v/>
      </c>
      <c r="G73" s="17">
        <f>E73+F73</f>
        <v/>
      </c>
      <c r="H73" s="17">
        <f>D73-G73</f>
        <v/>
      </c>
      <c r="I73" s="18">
        <f>IF(D73=0,"",G73/D73)</f>
        <v/>
      </c>
    </row>
    <row r="74">
      <c r="A74" s="3" t="inlineStr">
        <is>
          <t>AUT</t>
        </is>
      </c>
      <c r="B74" s="3">
        <f>$O$21</f>
        <v/>
      </c>
      <c r="C74" s="17">
        <f>SUMIFS(tblAsignaciones[horas_disponibles],tblAsignaciones[especialidad],$A74,tblAsignaciones[semana],$B74)</f>
        <v/>
      </c>
      <c r="D74" s="17">
        <f>C74*p_factor_productividad</f>
        <v/>
      </c>
      <c r="E74" s="17">
        <f>SUMIFS(tblOrdenes[horas_efectivas],tblOrdenes[especialidad],$A74,tblOrdenes[semana],$B74,tblOrdenes[clasificacion],"preventiva")</f>
        <v/>
      </c>
      <c r="F74" s="17">
        <f>SUMIFS(tblOrdenes[horas_efectivas],tblOrdenes[especialidad],$A74,tblOrdenes[semana],$B74,tblOrdenes[clasificacion],"correctiva")</f>
        <v/>
      </c>
      <c r="G74" s="17">
        <f>E74+F74</f>
        <v/>
      </c>
      <c r="H74" s="17">
        <f>D74-G74</f>
        <v/>
      </c>
      <c r="I74" s="18">
        <f>IF(D74=0,"",G74/D74)</f>
        <v/>
      </c>
    </row>
    <row r="75">
      <c r="A75" s="3" t="inlineStr">
        <is>
          <t>TERCERO</t>
        </is>
      </c>
      <c r="B75" s="3">
        <f>$O$21</f>
        <v/>
      </c>
      <c r="C75" s="17">
        <f>SUMIFS(tblAsignaciones[horas_disponibles],tblAsignaciones[especialidad],$A75,tblAsignaciones[semana],$B75)</f>
        <v/>
      </c>
      <c r="D75" s="17">
        <f>C75*p_factor_productividad</f>
        <v/>
      </c>
      <c r="E75" s="17">
        <f>SUMIFS(tblOrdenes[horas_efectivas],tblOrdenes[especialidad],$A75,tblOrdenes[semana],$B75,tblOrdenes[clasificacion],"preventiva")</f>
        <v/>
      </c>
      <c r="F75" s="17">
        <f>SUMIFS(tblOrdenes[horas_efectivas],tblOrdenes[especialidad],$A75,tblOrdenes[semana],$B75,tblOrdenes[clasificacion],"correctiva")</f>
        <v/>
      </c>
      <c r="G75" s="17">
        <f>E75+F75</f>
        <v/>
      </c>
      <c r="H75" s="17">
        <f>D75-G75</f>
        <v/>
      </c>
      <c r="I75" s="18">
        <f>IF(D75=0,"",G75/D75)</f>
        <v/>
      </c>
    </row>
    <row r="76" hidden="1">
      <c r="A76" s="3" t="inlineStr">
        <is>
          <t>MEC</t>
        </is>
      </c>
      <c r="B76" s="3">
        <f>$O$22</f>
        <v/>
      </c>
      <c r="C76" s="17">
        <f>SUMIFS(tblAsignaciones[horas_disponibles],tblAsignaciones[especialidad],$A76,tblAsignaciones[semana],$B76)</f>
        <v/>
      </c>
      <c r="D76" s="17">
        <f>C76*p_factor_productividad</f>
        <v/>
      </c>
      <c r="E76" s="17">
        <f>SUMIFS(tblOrdenes[horas_efectivas],tblOrdenes[especialidad],$A76,tblOrdenes[semana],$B76,tblOrdenes[clasificacion],"preventiva")</f>
        <v/>
      </c>
      <c r="F76" s="17">
        <f>SUMIFS(tblOrdenes[horas_efectivas],tblOrdenes[especialidad],$A76,tblOrdenes[semana],$B76,tblOrdenes[clasificacion],"correctiva")</f>
        <v/>
      </c>
      <c r="G76" s="17">
        <f>E76+F76</f>
        <v/>
      </c>
      <c r="H76" s="17">
        <f>D76-G76</f>
        <v/>
      </c>
      <c r="I76" s="18">
        <f>IF(D76=0,"",G76/D76)</f>
        <v/>
      </c>
    </row>
    <row r="77" hidden="1">
      <c r="A77" s="3" t="inlineStr">
        <is>
          <t>ELE</t>
        </is>
      </c>
      <c r="B77" s="3">
        <f>$O$22</f>
        <v/>
      </c>
      <c r="C77" s="17">
        <f>SUMIFS(tblAsignaciones[horas_disponibles],tblAsignaciones[especialidad],$A77,tblAsignaciones[semana],$B77)</f>
        <v/>
      </c>
      <c r="D77" s="17">
        <f>C77*p_factor_productividad</f>
        <v/>
      </c>
      <c r="E77" s="17">
        <f>SUMIFS(tblOrdenes[horas_efectivas],tblOrdenes[especialidad],$A77,tblOrdenes[semana],$B77,tblOrdenes[clasificacion],"preventiva")</f>
        <v/>
      </c>
      <c r="F77" s="17">
        <f>SUMIFS(tblOrdenes[horas_efectivas],tblOrdenes[especialidad],$A77,tblOrdenes[semana],$B77,tblOrdenes[clasificacion],"correctiva")</f>
        <v/>
      </c>
      <c r="G77" s="17">
        <f>E77+F77</f>
        <v/>
      </c>
      <c r="H77" s="17">
        <f>D77-G77</f>
        <v/>
      </c>
      <c r="I77" s="18">
        <f>IF(D77=0,"",G77/D77)</f>
        <v/>
      </c>
    </row>
    <row r="78" hidden="1">
      <c r="A78" s="3" t="inlineStr">
        <is>
          <t>AUT</t>
        </is>
      </c>
      <c r="B78" s="3">
        <f>$O$22</f>
        <v/>
      </c>
      <c r="C78" s="17">
        <f>SUMIFS(tblAsignaciones[horas_disponibles],tblAsignaciones[especialidad],$A78,tblAsignaciones[semana],$B78)</f>
        <v/>
      </c>
      <c r="D78" s="17">
        <f>C78*p_factor_productividad</f>
        <v/>
      </c>
      <c r="E78" s="17">
        <f>SUMIFS(tblOrdenes[horas_efectivas],tblOrdenes[especialidad],$A78,tblOrdenes[semana],$B78,tblOrdenes[clasificacion],"preventiva")</f>
        <v/>
      </c>
      <c r="F78" s="17">
        <f>SUMIFS(tblOrdenes[horas_efectivas],tblOrdenes[especialidad],$A78,tblOrdenes[semana],$B78,tblOrdenes[clasificacion],"correctiva")</f>
        <v/>
      </c>
      <c r="G78" s="17">
        <f>E78+F78</f>
        <v/>
      </c>
      <c r="H78" s="17">
        <f>D78-G78</f>
        <v/>
      </c>
      <c r="I78" s="18">
        <f>IF(D78=0,"",G78/D78)</f>
        <v/>
      </c>
    </row>
    <row r="79" hidden="1">
      <c r="A79" s="3" t="inlineStr">
        <is>
          <t>TERCERO</t>
        </is>
      </c>
      <c r="B79" s="3">
        <f>$O$22</f>
        <v/>
      </c>
      <c r="C79" s="17">
        <f>SUMIFS(tblAsignaciones[horas_disponibles],tblAsignaciones[especialidad],$A79,tblAsignaciones[semana],$B79)</f>
        <v/>
      </c>
      <c r="D79" s="17">
        <f>C79*p_factor_productividad</f>
        <v/>
      </c>
      <c r="E79" s="17">
        <f>SUMIFS(tblOrdenes[horas_efectivas],tblOrdenes[especialidad],$A79,tblOrdenes[semana],$B79,tblOrdenes[clasificacion],"preventiva")</f>
        <v/>
      </c>
      <c r="F79" s="17">
        <f>SUMIFS(tblOrdenes[horas_efectivas],tblOrdenes[especialidad],$A79,tblOrdenes[semana],$B79,tblOrdenes[clasificacion],"correctiva")</f>
        <v/>
      </c>
      <c r="G79" s="17">
        <f>E79+F79</f>
        <v/>
      </c>
      <c r="H79" s="17">
        <f>D79-G79</f>
        <v/>
      </c>
      <c r="I79" s="18">
        <f>IF(D79=0,"",G79/D79)</f>
        <v/>
      </c>
    </row>
    <row r="80" hidden="1">
      <c r="A80" s="3" t="inlineStr">
        <is>
          <t>MEC</t>
        </is>
      </c>
      <c r="B80" s="3">
        <f>$O$23</f>
        <v/>
      </c>
      <c r="C80" s="17">
        <f>SUMIFS(tblAsignaciones[horas_disponibles],tblAsignaciones[especialidad],$A80,tblAsignaciones[semana],$B80)</f>
        <v/>
      </c>
      <c r="D80" s="17">
        <f>C80*p_factor_productividad</f>
        <v/>
      </c>
      <c r="E80" s="17">
        <f>SUMIFS(tblOrdenes[horas_efectivas],tblOrdenes[especialidad],$A80,tblOrdenes[semana],$B80,tblOrdenes[clasificacion],"preventiva")</f>
        <v/>
      </c>
      <c r="F80" s="17">
        <f>SUMIFS(tblOrdenes[horas_efectivas],tblOrdenes[especialidad],$A80,tblOrdenes[semana],$B80,tblOrdenes[clasificacion],"correctiva")</f>
        <v/>
      </c>
      <c r="G80" s="17">
        <f>E80+F80</f>
        <v/>
      </c>
      <c r="H80" s="17">
        <f>D80-G80</f>
        <v/>
      </c>
      <c r="I80" s="18">
        <f>IF(D80=0,"",G80/D80)</f>
        <v/>
      </c>
    </row>
    <row r="81" hidden="1">
      <c r="A81" s="3" t="inlineStr">
        <is>
          <t>ELE</t>
        </is>
      </c>
      <c r="B81" s="3">
        <f>$O$23</f>
        <v/>
      </c>
      <c r="C81" s="17">
        <f>SUMIFS(tblAsignaciones[horas_disponibles],tblAsignaciones[especialidad],$A81,tblAsignaciones[semana],$B81)</f>
        <v/>
      </c>
      <c r="D81" s="17">
        <f>C81*p_factor_productividad</f>
        <v/>
      </c>
      <c r="E81" s="17">
        <f>SUMIFS(tblOrdenes[horas_efectivas],tblOrdenes[especialidad],$A81,tblOrdenes[semana],$B81,tblOrdenes[clasificacion],"preventiva")</f>
        <v/>
      </c>
      <c r="F81" s="17">
        <f>SUMIFS(tblOrdenes[horas_efectivas],tblOrdenes[especialidad],$A81,tblOrdenes[semana],$B81,tblOrdenes[clasificacion],"correctiva")</f>
        <v/>
      </c>
      <c r="G81" s="17">
        <f>E81+F81</f>
        <v/>
      </c>
      <c r="H81" s="17">
        <f>D81-G81</f>
        <v/>
      </c>
      <c r="I81" s="18">
        <f>IF(D81=0,"",G81/D81)</f>
        <v/>
      </c>
    </row>
    <row r="82" hidden="1">
      <c r="A82" s="3" t="inlineStr">
        <is>
          <t>AUT</t>
        </is>
      </c>
      <c r="B82" s="3">
        <f>$O$23</f>
        <v/>
      </c>
      <c r="C82" s="17">
        <f>SUMIFS(tblAsignaciones[horas_disponibles],tblAsignaciones[especialidad],$A82,tblAsignaciones[semana],$B82)</f>
        <v/>
      </c>
      <c r="D82" s="17">
        <f>C82*p_factor_productividad</f>
        <v/>
      </c>
      <c r="E82" s="17">
        <f>SUMIFS(tblOrdenes[horas_efectivas],tblOrdenes[especialidad],$A82,tblOrdenes[semana],$B82,tblOrdenes[clasificacion],"preventiva")</f>
        <v/>
      </c>
      <c r="F82" s="17">
        <f>SUMIFS(tblOrdenes[horas_efectivas],tblOrdenes[especialidad],$A82,tblOrdenes[semana],$B82,tblOrdenes[clasificacion],"correctiva")</f>
        <v/>
      </c>
      <c r="G82" s="17">
        <f>E82+F82</f>
        <v/>
      </c>
      <c r="H82" s="17">
        <f>D82-G82</f>
        <v/>
      </c>
      <c r="I82" s="18">
        <f>IF(D82=0,"",G82/D82)</f>
        <v/>
      </c>
    </row>
    <row r="83" hidden="1">
      <c r="A83" s="3" t="inlineStr">
        <is>
          <t>TERCERO</t>
        </is>
      </c>
      <c r="B83" s="3">
        <f>$O$23</f>
        <v/>
      </c>
      <c r="C83" s="17">
        <f>SUMIFS(tblAsignaciones[horas_disponibles],tblAsignaciones[especialidad],$A83,tblAsignaciones[semana],$B83)</f>
        <v/>
      </c>
      <c r="D83" s="17">
        <f>C83*p_factor_productividad</f>
        <v/>
      </c>
      <c r="E83" s="17">
        <f>SUMIFS(tblOrdenes[horas_efectivas],tblOrdenes[especialidad],$A83,tblOrdenes[semana],$B83,tblOrdenes[clasificacion],"preventiva")</f>
        <v/>
      </c>
      <c r="F83" s="17">
        <f>SUMIFS(tblOrdenes[horas_efectivas],tblOrdenes[especialidad],$A83,tblOrdenes[semana],$B83,tblOrdenes[clasificacion],"correctiva")</f>
        <v/>
      </c>
      <c r="G83" s="17">
        <f>E83+F83</f>
        <v/>
      </c>
      <c r="H83" s="17">
        <f>D83-G83</f>
        <v/>
      </c>
      <c r="I83" s="18">
        <f>IF(D83=0,"",G83/D83)</f>
        <v/>
      </c>
    </row>
    <row r="84" hidden="1">
      <c r="A84" s="3" t="inlineStr">
        <is>
          <t>MEC</t>
        </is>
      </c>
      <c r="B84" s="3">
        <f>$O$24</f>
        <v/>
      </c>
      <c r="C84" s="17">
        <f>SUMIFS(tblAsignaciones[horas_disponibles],tblAsignaciones[especialidad],$A84,tblAsignaciones[semana],$B84)</f>
        <v/>
      </c>
      <c r="D84" s="17">
        <f>C84*p_factor_productividad</f>
        <v/>
      </c>
      <c r="E84" s="17">
        <f>SUMIFS(tblOrdenes[horas_efectivas],tblOrdenes[especialidad],$A84,tblOrdenes[semana],$B84,tblOrdenes[clasificacion],"preventiva")</f>
        <v/>
      </c>
      <c r="F84" s="17">
        <f>SUMIFS(tblOrdenes[horas_efectivas],tblOrdenes[especialidad],$A84,tblOrdenes[semana],$B84,tblOrdenes[clasificacion],"correctiva")</f>
        <v/>
      </c>
      <c r="G84" s="17">
        <f>E84+F84</f>
        <v/>
      </c>
      <c r="H84" s="17">
        <f>D84-G84</f>
        <v/>
      </c>
      <c r="I84" s="18">
        <f>IF(D84=0,"",G84/D84)</f>
        <v/>
      </c>
    </row>
    <row r="85" hidden="1">
      <c r="A85" s="3" t="inlineStr">
        <is>
          <t>ELE</t>
        </is>
      </c>
      <c r="B85" s="3">
        <f>$O$24</f>
        <v/>
      </c>
      <c r="C85" s="17">
        <f>SUMIFS(tblAsignaciones[horas_disponibles],tblAsignaciones[especialidad],$A85,tblAsignaciones[semana],$B85)</f>
        <v/>
      </c>
      <c r="D85" s="17">
        <f>C85*p_factor_productividad</f>
        <v/>
      </c>
      <c r="E85" s="17">
        <f>SUMIFS(tblOrdenes[horas_efectivas],tblOrdenes[especialidad],$A85,tblOrdenes[semana],$B85,tblOrdenes[clasificacion],"preventiva")</f>
        <v/>
      </c>
      <c r="F85" s="17">
        <f>SUMIFS(tblOrdenes[horas_efectivas],tblOrdenes[especialidad],$A85,tblOrdenes[semana],$B85,tblOrdenes[clasificacion],"correctiva")</f>
        <v/>
      </c>
      <c r="G85" s="17">
        <f>E85+F85</f>
        <v/>
      </c>
      <c r="H85" s="17">
        <f>D85-G85</f>
        <v/>
      </c>
      <c r="I85" s="18">
        <f>IF(D85=0,"",G85/D85)</f>
        <v/>
      </c>
    </row>
    <row r="86" hidden="1">
      <c r="A86" s="3" t="inlineStr">
        <is>
          <t>AUT</t>
        </is>
      </c>
      <c r="B86" s="3">
        <f>$O$24</f>
        <v/>
      </c>
      <c r="C86" s="17">
        <f>SUMIFS(tblAsignaciones[horas_disponibles],tblAsignaciones[especialidad],$A86,tblAsignaciones[semana],$B86)</f>
        <v/>
      </c>
      <c r="D86" s="17">
        <f>C86*p_factor_productividad</f>
        <v/>
      </c>
      <c r="E86" s="17">
        <f>SUMIFS(tblOrdenes[horas_efectivas],tblOrdenes[especialidad],$A86,tblOrdenes[semana],$B86,tblOrdenes[clasificacion],"preventiva")</f>
        <v/>
      </c>
      <c r="F86" s="17">
        <f>SUMIFS(tblOrdenes[horas_efectivas],tblOrdenes[especialidad],$A86,tblOrdenes[semana],$B86,tblOrdenes[clasificacion],"correctiva")</f>
        <v/>
      </c>
      <c r="G86" s="17">
        <f>E86+F86</f>
        <v/>
      </c>
      <c r="H86" s="17">
        <f>D86-G86</f>
        <v/>
      </c>
      <c r="I86" s="18">
        <f>IF(D86=0,"",G86/D86)</f>
        <v/>
      </c>
    </row>
    <row r="87" hidden="1">
      <c r="A87" s="3" t="inlineStr">
        <is>
          <t>TERCERO</t>
        </is>
      </c>
      <c r="B87" s="3">
        <f>$O$24</f>
        <v/>
      </c>
      <c r="C87" s="17">
        <f>SUMIFS(tblAsignaciones[horas_disponibles],tblAsignaciones[especialidad],$A87,tblAsignaciones[semana],$B87)</f>
        <v/>
      </c>
      <c r="D87" s="17">
        <f>C87*p_factor_productividad</f>
        <v/>
      </c>
      <c r="E87" s="17">
        <f>SUMIFS(tblOrdenes[horas_efectivas],tblOrdenes[especialidad],$A87,tblOrdenes[semana],$B87,tblOrdenes[clasificacion],"preventiva")</f>
        <v/>
      </c>
      <c r="F87" s="17">
        <f>SUMIFS(tblOrdenes[horas_efectivas],tblOrdenes[especialidad],$A87,tblOrdenes[semana],$B87,tblOrdenes[clasificacion],"correctiva")</f>
        <v/>
      </c>
      <c r="G87" s="17">
        <f>E87+F87</f>
        <v/>
      </c>
      <c r="H87" s="17">
        <f>D87-G87</f>
        <v/>
      </c>
      <c r="I87" s="18">
        <f>IF(D87=0,"",G87/D87)</f>
        <v/>
      </c>
    </row>
    <row r="88">
      <c r="A88" s="3" t="inlineStr">
        <is>
          <t>MEC</t>
        </is>
      </c>
      <c r="B88" s="3">
        <f>$O$25</f>
        <v/>
      </c>
      <c r="C88" s="17">
        <f>SUMIFS(tblAsignaciones[horas_disponibles],tblAsignaciones[especialidad],$A88,tblAsignaciones[semana],$B88)</f>
        <v/>
      </c>
      <c r="D88" s="17">
        <f>C88*p_factor_productividad</f>
        <v/>
      </c>
      <c r="E88" s="17">
        <f>SUMIFS(tblOrdenes[horas_efectivas],tblOrdenes[especialidad],$A88,tblOrdenes[semana],$B88,tblOrdenes[clasificacion],"preventiva")</f>
        <v/>
      </c>
      <c r="F88" s="17">
        <f>SUMIFS(tblOrdenes[horas_efectivas],tblOrdenes[especialidad],$A88,tblOrdenes[semana],$B88,tblOrdenes[clasificacion],"correctiva")</f>
        <v/>
      </c>
      <c r="G88" s="17">
        <f>E88+F88</f>
        <v/>
      </c>
      <c r="H88" s="17">
        <f>D88-G88</f>
        <v/>
      </c>
      <c r="I88" s="18">
        <f>IF(D88=0,"",G88/D88)</f>
        <v/>
      </c>
    </row>
    <row r="89">
      <c r="A89" s="3" t="inlineStr">
        <is>
          <t>ELE</t>
        </is>
      </c>
      <c r="B89" s="3">
        <f>$O$25</f>
        <v/>
      </c>
      <c r="C89" s="17">
        <f>SUMIFS(tblAsignaciones[horas_disponibles],tblAsignaciones[especialidad],$A89,tblAsignaciones[semana],$B89)</f>
        <v/>
      </c>
      <c r="D89" s="17">
        <f>C89*p_factor_productividad</f>
        <v/>
      </c>
      <c r="E89" s="17">
        <f>SUMIFS(tblOrdenes[horas_efectivas],tblOrdenes[especialidad],$A89,tblOrdenes[semana],$B89,tblOrdenes[clasificacion],"preventiva")</f>
        <v/>
      </c>
      <c r="F89" s="17">
        <f>SUMIFS(tblOrdenes[horas_efectivas],tblOrdenes[especialidad],$A89,tblOrdenes[semana],$B89,tblOrdenes[clasificacion],"correctiva")</f>
        <v/>
      </c>
      <c r="G89" s="17">
        <f>E89+F89</f>
        <v/>
      </c>
      <c r="H89" s="17">
        <f>D89-G89</f>
        <v/>
      </c>
      <c r="I89" s="18">
        <f>IF(D89=0,"",G89/D89)</f>
        <v/>
      </c>
    </row>
    <row r="90">
      <c r="A90" s="3" t="inlineStr">
        <is>
          <t>AUT</t>
        </is>
      </c>
      <c r="B90" s="3">
        <f>$O$25</f>
        <v/>
      </c>
      <c r="C90" s="17">
        <f>SUMIFS(tblAsignaciones[horas_disponibles],tblAsignaciones[especialidad],$A90,tblAsignaciones[semana],$B90)</f>
        <v/>
      </c>
      <c r="D90" s="17">
        <f>C90*p_factor_productividad</f>
        <v/>
      </c>
      <c r="E90" s="17">
        <f>SUMIFS(tblOrdenes[horas_efectivas],tblOrdenes[especialidad],$A90,tblOrdenes[semana],$B90,tblOrdenes[clasificacion],"preventiva")</f>
        <v/>
      </c>
      <c r="F90" s="17">
        <f>SUMIFS(tblOrdenes[horas_efectivas],tblOrdenes[especialidad],$A90,tblOrdenes[semana],$B90,tblOrdenes[clasificacion],"correctiva")</f>
        <v/>
      </c>
      <c r="G90" s="17">
        <f>E90+F90</f>
        <v/>
      </c>
      <c r="H90" s="17">
        <f>D90-G90</f>
        <v/>
      </c>
      <c r="I90" s="18">
        <f>IF(D90=0,"",G90/D90)</f>
        <v/>
      </c>
    </row>
    <row r="91">
      <c r="A91" s="3" t="inlineStr">
        <is>
          <t>TERCERO</t>
        </is>
      </c>
      <c r="B91" s="3">
        <f>$O$25</f>
        <v/>
      </c>
      <c r="C91" s="17">
        <f>SUMIFS(tblAsignaciones[horas_disponibles],tblAsignaciones[especialidad],$A91,tblAsignaciones[semana],$B91)</f>
        <v/>
      </c>
      <c r="D91" s="17">
        <f>C91*p_factor_productividad</f>
        <v/>
      </c>
      <c r="E91" s="17">
        <f>SUMIFS(tblOrdenes[horas_efectivas],tblOrdenes[especialidad],$A91,tblOrdenes[semana],$B91,tblOrdenes[clasificacion],"preventiva")</f>
        <v/>
      </c>
      <c r="F91" s="17">
        <f>SUMIFS(tblOrdenes[horas_efectivas],tblOrdenes[especialidad],$A91,tblOrdenes[semana],$B91,tblOrdenes[clasificacion],"correctiva")</f>
        <v/>
      </c>
      <c r="G91" s="17">
        <f>E91+F91</f>
        <v/>
      </c>
      <c r="H91" s="17">
        <f>D91-G91</f>
        <v/>
      </c>
      <c r="I91" s="18">
        <f>IF(D91=0,"",G91/D91)</f>
        <v/>
      </c>
    </row>
    <row r="92">
      <c r="A92" s="3" t="inlineStr">
        <is>
          <t>MEC</t>
        </is>
      </c>
      <c r="B92" s="3">
        <f>$O$26</f>
        <v/>
      </c>
      <c r="C92" s="17">
        <f>SUMIFS(tblAsignaciones[horas_disponibles],tblAsignaciones[especialidad],$A92,tblAsignaciones[semana],$B92)</f>
        <v/>
      </c>
      <c r="D92" s="17">
        <f>C92*p_factor_productividad</f>
        <v/>
      </c>
      <c r="E92" s="17">
        <f>SUMIFS(tblOrdenes[horas_efectivas],tblOrdenes[especialidad],$A92,tblOrdenes[semana],$B92,tblOrdenes[clasificacion],"preventiva")</f>
        <v/>
      </c>
      <c r="F92" s="17">
        <f>SUMIFS(tblOrdenes[horas_efectivas],tblOrdenes[especialidad],$A92,tblOrdenes[semana],$B92,tblOrdenes[clasificacion],"correctiva")</f>
        <v/>
      </c>
      <c r="G92" s="17">
        <f>E92+F92</f>
        <v/>
      </c>
      <c r="H92" s="17">
        <f>D92-G92</f>
        <v/>
      </c>
      <c r="I92" s="18">
        <f>IF(D92=0,"",G92/D92)</f>
        <v/>
      </c>
    </row>
    <row r="93">
      <c r="A93" s="3" t="inlineStr">
        <is>
          <t>ELE</t>
        </is>
      </c>
      <c r="B93" s="3">
        <f>$O$26</f>
        <v/>
      </c>
      <c r="C93" s="17">
        <f>SUMIFS(tblAsignaciones[horas_disponibles],tblAsignaciones[especialidad],$A93,tblAsignaciones[semana],$B93)</f>
        <v/>
      </c>
      <c r="D93" s="17">
        <f>C93*p_factor_productividad</f>
        <v/>
      </c>
      <c r="E93" s="17">
        <f>SUMIFS(tblOrdenes[horas_efectivas],tblOrdenes[especialidad],$A93,tblOrdenes[semana],$B93,tblOrdenes[clasificacion],"preventiva")</f>
        <v/>
      </c>
      <c r="F93" s="17">
        <f>SUMIFS(tblOrdenes[horas_efectivas],tblOrdenes[especialidad],$A93,tblOrdenes[semana],$B93,tblOrdenes[clasificacion],"correctiva")</f>
        <v/>
      </c>
      <c r="G93" s="17">
        <f>E93+F93</f>
        <v/>
      </c>
      <c r="H93" s="17">
        <f>D93-G93</f>
        <v/>
      </c>
      <c r="I93" s="18">
        <f>IF(D93=0,"",G93/D93)</f>
        <v/>
      </c>
    </row>
    <row r="94">
      <c r="A94" s="3" t="inlineStr">
        <is>
          <t>AUT</t>
        </is>
      </c>
      <c r="B94" s="3">
        <f>$O$26</f>
        <v/>
      </c>
      <c r="C94" s="17">
        <f>SUMIFS(tblAsignaciones[horas_disponibles],tblAsignaciones[especialidad],$A94,tblAsignaciones[semana],$B94)</f>
        <v/>
      </c>
      <c r="D94" s="17">
        <f>C94*p_factor_productividad</f>
        <v/>
      </c>
      <c r="E94" s="17">
        <f>SUMIFS(tblOrdenes[horas_efectivas],tblOrdenes[especialidad],$A94,tblOrdenes[semana],$B94,tblOrdenes[clasificacion],"preventiva")</f>
        <v/>
      </c>
      <c r="F94" s="17">
        <f>SUMIFS(tblOrdenes[horas_efectivas],tblOrdenes[especialidad],$A94,tblOrdenes[semana],$B94,tblOrdenes[clasificacion],"correctiva")</f>
        <v/>
      </c>
      <c r="G94" s="17">
        <f>E94+F94</f>
        <v/>
      </c>
      <c r="H94" s="17">
        <f>D94-G94</f>
        <v/>
      </c>
      <c r="I94" s="18">
        <f>IF(D94=0,"",G94/D94)</f>
        <v/>
      </c>
    </row>
    <row r="95">
      <c r="A95" s="3" t="inlineStr">
        <is>
          <t>TERCERO</t>
        </is>
      </c>
      <c r="B95" s="3">
        <f>$O$26</f>
        <v/>
      </c>
      <c r="C95" s="17">
        <f>SUMIFS(tblAsignaciones[horas_disponibles],tblAsignaciones[especialidad],$A95,tblAsignaciones[semana],$B95)</f>
        <v/>
      </c>
      <c r="D95" s="17">
        <f>C95*p_factor_productividad</f>
        <v/>
      </c>
      <c r="E95" s="17">
        <f>SUMIFS(tblOrdenes[horas_efectivas],tblOrdenes[especialidad],$A95,tblOrdenes[semana],$B95,tblOrdenes[clasificacion],"preventiva")</f>
        <v/>
      </c>
      <c r="F95" s="17">
        <f>SUMIFS(tblOrdenes[horas_efectivas],tblOrdenes[especialidad],$A95,tblOrdenes[semana],$B95,tblOrdenes[clasificacion],"correctiva")</f>
        <v/>
      </c>
      <c r="G95" s="17">
        <f>E95+F95</f>
        <v/>
      </c>
      <c r="H95" s="17">
        <f>D95-G95</f>
        <v/>
      </c>
      <c r="I95" s="18">
        <f>IF(D95=0,"",G95/D95)</f>
        <v/>
      </c>
    </row>
    <row r="96">
      <c r="A96" s="3" t="inlineStr">
        <is>
          <t>MEC</t>
        </is>
      </c>
      <c r="B96" s="3">
        <f>$O$27</f>
        <v/>
      </c>
      <c r="C96" s="17">
        <f>SUMIFS(tblAsignaciones[horas_disponibles],tblAsignaciones[especialidad],$A96,tblAsignaciones[semana],$B96)</f>
        <v/>
      </c>
      <c r="D96" s="17">
        <f>C96*p_factor_productividad</f>
        <v/>
      </c>
      <c r="E96" s="17">
        <f>SUMIFS(tblOrdenes[horas_efectivas],tblOrdenes[especialidad],$A96,tblOrdenes[semana],$B96,tblOrdenes[clasificacion],"preventiva")</f>
        <v/>
      </c>
      <c r="F96" s="17">
        <f>SUMIFS(tblOrdenes[horas_efectivas],tblOrdenes[especialidad],$A96,tblOrdenes[semana],$B96,tblOrdenes[clasificacion],"correctiva")</f>
        <v/>
      </c>
      <c r="G96" s="17">
        <f>E96+F96</f>
        <v/>
      </c>
      <c r="H96" s="17">
        <f>D96-G96</f>
        <v/>
      </c>
      <c r="I96" s="18">
        <f>IF(D96=0,"",G96/D96)</f>
        <v/>
      </c>
    </row>
    <row r="97">
      <c r="A97" s="3" t="inlineStr">
        <is>
          <t>ELE</t>
        </is>
      </c>
      <c r="B97" s="3">
        <f>$O$27</f>
        <v/>
      </c>
      <c r="C97" s="17">
        <f>SUMIFS(tblAsignaciones[horas_disponibles],tblAsignaciones[especialidad],$A97,tblAsignaciones[semana],$B97)</f>
        <v/>
      </c>
      <c r="D97" s="17">
        <f>C97*p_factor_productividad</f>
        <v/>
      </c>
      <c r="E97" s="17">
        <f>SUMIFS(tblOrdenes[horas_efectivas],tblOrdenes[especialidad],$A97,tblOrdenes[semana],$B97,tblOrdenes[clasificacion],"preventiva")</f>
        <v/>
      </c>
      <c r="F97" s="17">
        <f>SUMIFS(tblOrdenes[horas_efectivas],tblOrdenes[especialidad],$A97,tblOrdenes[semana],$B97,tblOrdenes[clasificacion],"correctiva")</f>
        <v/>
      </c>
      <c r="G97" s="17">
        <f>E97+F97</f>
        <v/>
      </c>
      <c r="H97" s="17">
        <f>D97-G97</f>
        <v/>
      </c>
      <c r="I97" s="18">
        <f>IF(D97=0,"",G97/D97)</f>
        <v/>
      </c>
    </row>
    <row r="98">
      <c r="A98" s="3" t="inlineStr">
        <is>
          <t>AUT</t>
        </is>
      </c>
      <c r="B98" s="3">
        <f>$O$27</f>
        <v/>
      </c>
      <c r="C98" s="17">
        <f>SUMIFS(tblAsignaciones[horas_disponibles],tblAsignaciones[especialidad],$A98,tblAsignaciones[semana],$B98)</f>
        <v/>
      </c>
      <c r="D98" s="17">
        <f>C98*p_factor_productividad</f>
        <v/>
      </c>
      <c r="E98" s="17">
        <f>SUMIFS(tblOrdenes[horas_efectivas],tblOrdenes[especialidad],$A98,tblOrdenes[semana],$B98,tblOrdenes[clasificacion],"preventiva")</f>
        <v/>
      </c>
      <c r="F98" s="17">
        <f>SUMIFS(tblOrdenes[horas_efectivas],tblOrdenes[especialidad],$A98,tblOrdenes[semana],$B98,tblOrdenes[clasificacion],"correctiva")</f>
        <v/>
      </c>
      <c r="G98" s="17">
        <f>E98+F98</f>
        <v/>
      </c>
      <c r="H98" s="17">
        <f>D98-G98</f>
        <v/>
      </c>
      <c r="I98" s="18">
        <f>IF(D98=0,"",G98/D98)</f>
        <v/>
      </c>
    </row>
    <row r="99">
      <c r="A99" s="3" t="inlineStr">
        <is>
          <t>TERCERO</t>
        </is>
      </c>
      <c r="B99" s="3">
        <f>$O$27</f>
        <v/>
      </c>
      <c r="C99" s="17">
        <f>SUMIFS(tblAsignaciones[horas_disponibles],tblAsignaciones[especialidad],$A99,tblAsignaciones[semana],$B99)</f>
        <v/>
      </c>
      <c r="D99" s="17">
        <f>C99*p_factor_productividad</f>
        <v/>
      </c>
      <c r="E99" s="17">
        <f>SUMIFS(tblOrdenes[horas_efectivas],tblOrdenes[especialidad],$A99,tblOrdenes[semana],$B99,tblOrdenes[clasificacion],"preventiva")</f>
        <v/>
      </c>
      <c r="F99" s="17">
        <f>SUMIFS(tblOrdenes[horas_efectivas],tblOrdenes[especialidad],$A99,tblOrdenes[semana],$B99,tblOrdenes[clasificacion],"correctiva")</f>
        <v/>
      </c>
      <c r="G99" s="17">
        <f>E99+F99</f>
        <v/>
      </c>
      <c r="H99" s="17">
        <f>D99-G99</f>
        <v/>
      </c>
      <c r="I99" s="18">
        <f>IF(D99=0,"",G99/D99)</f>
        <v/>
      </c>
    </row>
    <row r="100">
      <c r="A100" s="3" t="inlineStr">
        <is>
          <t>MEC</t>
        </is>
      </c>
      <c r="B100" s="3">
        <f>$O$28</f>
        <v/>
      </c>
      <c r="C100" s="17">
        <f>SUMIFS(tblAsignaciones[horas_disponibles],tblAsignaciones[especialidad],$A100,tblAsignaciones[semana],$B100)</f>
        <v/>
      </c>
      <c r="D100" s="17">
        <f>C100*p_factor_productividad</f>
        <v/>
      </c>
      <c r="E100" s="17">
        <f>SUMIFS(tblOrdenes[horas_efectivas],tblOrdenes[especialidad],$A100,tblOrdenes[semana],$B100,tblOrdenes[clasificacion],"preventiva")</f>
        <v/>
      </c>
      <c r="F100" s="17">
        <f>SUMIFS(tblOrdenes[horas_efectivas],tblOrdenes[especialidad],$A100,tblOrdenes[semana],$B100,tblOrdenes[clasificacion],"correctiva")</f>
        <v/>
      </c>
      <c r="G100" s="17">
        <f>E100+F100</f>
        <v/>
      </c>
      <c r="H100" s="17">
        <f>D100-G100</f>
        <v/>
      </c>
      <c r="I100" s="18">
        <f>IF(D100=0,"",G100/D100)</f>
        <v/>
      </c>
    </row>
    <row r="101">
      <c r="A101" s="3" t="inlineStr">
        <is>
          <t>ELE</t>
        </is>
      </c>
      <c r="B101" s="3">
        <f>$O$28</f>
        <v/>
      </c>
      <c r="C101" s="17">
        <f>SUMIFS(tblAsignaciones[horas_disponibles],tblAsignaciones[especialidad],$A101,tblAsignaciones[semana],$B101)</f>
        <v/>
      </c>
      <c r="D101" s="17">
        <f>C101*p_factor_productividad</f>
        <v/>
      </c>
      <c r="E101" s="17">
        <f>SUMIFS(tblOrdenes[horas_efectivas],tblOrdenes[especialidad],$A101,tblOrdenes[semana],$B101,tblOrdenes[clasificacion],"preventiva")</f>
        <v/>
      </c>
      <c r="F101" s="17">
        <f>SUMIFS(tblOrdenes[horas_efectivas],tblOrdenes[especialidad],$A101,tblOrdenes[semana],$B101,tblOrdenes[clasificacion],"correctiva")</f>
        <v/>
      </c>
      <c r="G101" s="17">
        <f>E101+F101</f>
        <v/>
      </c>
      <c r="H101" s="17">
        <f>D101-G101</f>
        <v/>
      </c>
      <c r="I101" s="18">
        <f>IF(D101=0,"",G101/D101)</f>
        <v/>
      </c>
    </row>
    <row r="102">
      <c r="A102" s="3" t="inlineStr">
        <is>
          <t>AUT</t>
        </is>
      </c>
      <c r="B102" s="3">
        <f>$O$28</f>
        <v/>
      </c>
      <c r="C102" s="17">
        <f>SUMIFS(tblAsignaciones[horas_disponibles],tblAsignaciones[especialidad],$A102,tblAsignaciones[semana],$B102)</f>
        <v/>
      </c>
      <c r="D102" s="17">
        <f>C102*p_factor_productividad</f>
        <v/>
      </c>
      <c r="E102" s="17">
        <f>SUMIFS(tblOrdenes[horas_efectivas],tblOrdenes[especialidad],$A102,tblOrdenes[semana],$B102,tblOrdenes[clasificacion],"preventiva")</f>
        <v/>
      </c>
      <c r="F102" s="17">
        <f>SUMIFS(tblOrdenes[horas_efectivas],tblOrdenes[especialidad],$A102,tblOrdenes[semana],$B102,tblOrdenes[clasificacion],"correctiva")</f>
        <v/>
      </c>
      <c r="G102" s="17">
        <f>E102+F102</f>
        <v/>
      </c>
      <c r="H102" s="17">
        <f>D102-G102</f>
        <v/>
      </c>
      <c r="I102" s="18">
        <f>IF(D102=0,"",G102/D102)</f>
        <v/>
      </c>
    </row>
    <row r="103">
      <c r="A103" s="3" t="inlineStr">
        <is>
          <t>TERCERO</t>
        </is>
      </c>
      <c r="B103" s="3">
        <f>$O$28</f>
        <v/>
      </c>
      <c r="C103" s="17">
        <f>SUMIFS(tblAsignaciones[horas_disponibles],tblAsignaciones[especialidad],$A103,tblAsignaciones[semana],$B103)</f>
        <v/>
      </c>
      <c r="D103" s="17">
        <f>C103*p_factor_productividad</f>
        <v/>
      </c>
      <c r="E103" s="17">
        <f>SUMIFS(tblOrdenes[horas_efectivas],tblOrdenes[especialidad],$A103,tblOrdenes[semana],$B103,tblOrdenes[clasificacion],"preventiva")</f>
        <v/>
      </c>
      <c r="F103" s="17">
        <f>SUMIFS(tblOrdenes[horas_efectivas],tblOrdenes[especialidad],$A103,tblOrdenes[semana],$B103,tblOrdenes[clasificacion],"correctiva")</f>
        <v/>
      </c>
      <c r="G103" s="17">
        <f>E103+F103</f>
        <v/>
      </c>
      <c r="H103" s="17">
        <f>D103-G103</f>
        <v/>
      </c>
      <c r="I103" s="18">
        <f>IF(D103=0,"",G103/D103)</f>
        <v/>
      </c>
    </row>
    <row r="104" hidden="1">
      <c r="A104" s="3" t="inlineStr">
        <is>
          <t>MEC</t>
        </is>
      </c>
      <c r="B104" s="3">
        <f>$O$29</f>
        <v/>
      </c>
      <c r="C104" s="17">
        <f>SUMIFS(tblAsignaciones[horas_disponibles],tblAsignaciones[especialidad],$A104,tblAsignaciones[semana],$B104)</f>
        <v/>
      </c>
      <c r="D104" s="17">
        <f>C104*p_factor_productividad</f>
        <v/>
      </c>
      <c r="E104" s="17">
        <f>SUMIFS(tblOrdenes[horas_efectivas],tblOrdenes[especialidad],$A104,tblOrdenes[semana],$B104,tblOrdenes[clasificacion],"preventiva")</f>
        <v/>
      </c>
      <c r="F104" s="17">
        <f>SUMIFS(tblOrdenes[horas_efectivas],tblOrdenes[especialidad],$A104,tblOrdenes[semana],$B104,tblOrdenes[clasificacion],"correctiva")</f>
        <v/>
      </c>
      <c r="G104" s="17">
        <f>E104+F104</f>
        <v/>
      </c>
      <c r="H104" s="17">
        <f>D104-G104</f>
        <v/>
      </c>
      <c r="I104" s="18">
        <f>IF(D104=0,"",G104/D104)</f>
        <v/>
      </c>
    </row>
    <row r="105" hidden="1">
      <c r="A105" s="3" t="inlineStr">
        <is>
          <t>ELE</t>
        </is>
      </c>
      <c r="B105" s="3">
        <f>$O$29</f>
        <v/>
      </c>
      <c r="C105" s="17">
        <f>SUMIFS(tblAsignaciones[horas_disponibles],tblAsignaciones[especialidad],$A105,tblAsignaciones[semana],$B105)</f>
        <v/>
      </c>
      <c r="D105" s="17">
        <f>C105*p_factor_productividad</f>
        <v/>
      </c>
      <c r="E105" s="17">
        <f>SUMIFS(tblOrdenes[horas_efectivas],tblOrdenes[especialidad],$A105,tblOrdenes[semana],$B105,tblOrdenes[clasificacion],"preventiva")</f>
        <v/>
      </c>
      <c r="F105" s="17">
        <f>SUMIFS(tblOrdenes[horas_efectivas],tblOrdenes[especialidad],$A105,tblOrdenes[semana],$B105,tblOrdenes[clasificacion],"correctiva")</f>
        <v/>
      </c>
      <c r="G105" s="17">
        <f>E105+F105</f>
        <v/>
      </c>
      <c r="H105" s="17">
        <f>D105-G105</f>
        <v/>
      </c>
      <c r="I105" s="18">
        <f>IF(D105=0,"",G105/D105)</f>
        <v/>
      </c>
    </row>
    <row r="106" hidden="1">
      <c r="A106" s="3" t="inlineStr">
        <is>
          <t>AUT</t>
        </is>
      </c>
      <c r="B106" s="3">
        <f>$O$29</f>
        <v/>
      </c>
      <c r="C106" s="17">
        <f>SUMIFS(tblAsignaciones[horas_disponibles],tblAsignaciones[especialidad],$A106,tblAsignaciones[semana],$B106)</f>
        <v/>
      </c>
      <c r="D106" s="17">
        <f>C106*p_factor_productividad</f>
        <v/>
      </c>
      <c r="E106" s="17">
        <f>SUMIFS(tblOrdenes[horas_efectivas],tblOrdenes[especialidad],$A106,tblOrdenes[semana],$B106,tblOrdenes[clasificacion],"preventiva")</f>
        <v/>
      </c>
      <c r="F106" s="17">
        <f>SUMIFS(tblOrdenes[horas_efectivas],tblOrdenes[especialidad],$A106,tblOrdenes[semana],$B106,tblOrdenes[clasificacion],"correctiva")</f>
        <v/>
      </c>
      <c r="G106" s="17">
        <f>E106+F106</f>
        <v/>
      </c>
      <c r="H106" s="17">
        <f>D106-G106</f>
        <v/>
      </c>
      <c r="I106" s="18">
        <f>IF(D106=0,"",G106/D106)</f>
        <v/>
      </c>
    </row>
    <row r="107" hidden="1">
      <c r="A107" s="3" t="inlineStr">
        <is>
          <t>TERCERO</t>
        </is>
      </c>
      <c r="B107" s="3">
        <f>$O$29</f>
        <v/>
      </c>
      <c r="C107" s="17">
        <f>SUMIFS(tblAsignaciones[horas_disponibles],tblAsignaciones[especialidad],$A107,tblAsignaciones[semana],$B107)</f>
        <v/>
      </c>
      <c r="D107" s="17">
        <f>C107*p_factor_productividad</f>
        <v/>
      </c>
      <c r="E107" s="17">
        <f>SUMIFS(tblOrdenes[horas_efectivas],tblOrdenes[especialidad],$A107,tblOrdenes[semana],$B107,tblOrdenes[clasificacion],"preventiva")</f>
        <v/>
      </c>
      <c r="F107" s="17">
        <f>SUMIFS(tblOrdenes[horas_efectivas],tblOrdenes[especialidad],$A107,tblOrdenes[semana],$B107,tblOrdenes[clasificacion],"correctiva")</f>
        <v/>
      </c>
      <c r="G107" s="17">
        <f>E107+F107</f>
        <v/>
      </c>
      <c r="H107" s="17">
        <f>D107-G107</f>
        <v/>
      </c>
      <c r="I107" s="18">
        <f>IF(D107=0,"",G107/D107)</f>
        <v/>
      </c>
    </row>
    <row r="108" hidden="1">
      <c r="A108" s="3" t="inlineStr">
        <is>
          <t>MEC</t>
        </is>
      </c>
      <c r="B108" s="3">
        <f>$O$30</f>
        <v/>
      </c>
      <c r="C108" s="17">
        <f>SUMIFS(tblAsignaciones[horas_disponibles],tblAsignaciones[especialidad],$A108,tblAsignaciones[semana],$B108)</f>
        <v/>
      </c>
      <c r="D108" s="17">
        <f>C108*p_factor_productividad</f>
        <v/>
      </c>
      <c r="E108" s="17">
        <f>SUMIFS(tblOrdenes[horas_efectivas],tblOrdenes[especialidad],$A108,tblOrdenes[semana],$B108,tblOrdenes[clasificacion],"preventiva")</f>
        <v/>
      </c>
      <c r="F108" s="17">
        <f>SUMIFS(tblOrdenes[horas_efectivas],tblOrdenes[especialidad],$A108,tblOrdenes[semana],$B108,tblOrdenes[clasificacion],"correctiva")</f>
        <v/>
      </c>
      <c r="G108" s="17">
        <f>E108+F108</f>
        <v/>
      </c>
      <c r="H108" s="17">
        <f>D108-G108</f>
        <v/>
      </c>
      <c r="I108" s="18">
        <f>IF(D108=0,"",G108/D108)</f>
        <v/>
      </c>
    </row>
    <row r="109" hidden="1">
      <c r="A109" s="3" t="inlineStr">
        <is>
          <t>ELE</t>
        </is>
      </c>
      <c r="B109" s="3">
        <f>$O$30</f>
        <v/>
      </c>
      <c r="C109" s="17">
        <f>SUMIFS(tblAsignaciones[horas_disponibles],tblAsignaciones[especialidad],$A109,tblAsignaciones[semana],$B109)</f>
        <v/>
      </c>
      <c r="D109" s="17">
        <f>C109*p_factor_productividad</f>
        <v/>
      </c>
      <c r="E109" s="17">
        <f>SUMIFS(tblOrdenes[horas_efectivas],tblOrdenes[especialidad],$A109,tblOrdenes[semana],$B109,tblOrdenes[clasificacion],"preventiva")</f>
        <v/>
      </c>
      <c r="F109" s="17">
        <f>SUMIFS(tblOrdenes[horas_efectivas],tblOrdenes[especialidad],$A109,tblOrdenes[semana],$B109,tblOrdenes[clasificacion],"correctiva")</f>
        <v/>
      </c>
      <c r="G109" s="17">
        <f>E109+F109</f>
        <v/>
      </c>
      <c r="H109" s="17">
        <f>D109-G109</f>
        <v/>
      </c>
      <c r="I109" s="18">
        <f>IF(D109=0,"",G109/D109)</f>
        <v/>
      </c>
    </row>
    <row r="110" hidden="1">
      <c r="A110" s="3" t="inlineStr">
        <is>
          <t>AUT</t>
        </is>
      </c>
      <c r="B110" s="3">
        <f>$O$30</f>
        <v/>
      </c>
      <c r="C110" s="17">
        <f>SUMIFS(tblAsignaciones[horas_disponibles],tblAsignaciones[especialidad],$A110,tblAsignaciones[semana],$B110)</f>
        <v/>
      </c>
      <c r="D110" s="17">
        <f>C110*p_factor_productividad</f>
        <v/>
      </c>
      <c r="E110" s="17">
        <f>SUMIFS(tblOrdenes[horas_efectivas],tblOrdenes[especialidad],$A110,tblOrdenes[semana],$B110,tblOrdenes[clasificacion],"preventiva")</f>
        <v/>
      </c>
      <c r="F110" s="17">
        <f>SUMIFS(tblOrdenes[horas_efectivas],tblOrdenes[especialidad],$A110,tblOrdenes[semana],$B110,tblOrdenes[clasificacion],"correctiva")</f>
        <v/>
      </c>
      <c r="G110" s="17">
        <f>E110+F110</f>
        <v/>
      </c>
      <c r="H110" s="17">
        <f>D110-G110</f>
        <v/>
      </c>
      <c r="I110" s="18">
        <f>IF(D110=0,"",G110/D110)</f>
        <v/>
      </c>
    </row>
    <row r="111" hidden="1">
      <c r="A111" s="3" t="inlineStr">
        <is>
          <t>TERCERO</t>
        </is>
      </c>
      <c r="B111" s="3">
        <f>$O$30</f>
        <v/>
      </c>
      <c r="C111" s="17">
        <f>SUMIFS(tblAsignaciones[horas_disponibles],tblAsignaciones[especialidad],$A111,tblAsignaciones[semana],$B111)</f>
        <v/>
      </c>
      <c r="D111" s="17">
        <f>C111*p_factor_productividad</f>
        <v/>
      </c>
      <c r="E111" s="17">
        <f>SUMIFS(tblOrdenes[horas_efectivas],tblOrdenes[especialidad],$A111,tblOrdenes[semana],$B111,tblOrdenes[clasificacion],"preventiva")</f>
        <v/>
      </c>
      <c r="F111" s="17">
        <f>SUMIFS(tblOrdenes[horas_efectivas],tblOrdenes[especialidad],$A111,tblOrdenes[semana],$B111,tblOrdenes[clasificacion],"correctiva")</f>
        <v/>
      </c>
      <c r="G111" s="17">
        <f>E111+F111</f>
        <v/>
      </c>
      <c r="H111" s="17">
        <f>D111-G111</f>
        <v/>
      </c>
      <c r="I111" s="18">
        <f>IF(D111=0,"",G111/D111)</f>
        <v/>
      </c>
    </row>
    <row r="112">
      <c r="A112" s="3" t="inlineStr">
        <is>
          <t>MEC</t>
        </is>
      </c>
      <c r="B112" s="3">
        <f>$O$31</f>
        <v/>
      </c>
      <c r="C112" s="17">
        <f>SUMIFS(tblAsignaciones[horas_disponibles],tblAsignaciones[especialidad],$A112,tblAsignaciones[semana],$B112)</f>
        <v/>
      </c>
      <c r="D112" s="17">
        <f>C112*p_factor_productividad</f>
        <v/>
      </c>
      <c r="E112" s="17">
        <f>SUMIFS(tblOrdenes[horas_efectivas],tblOrdenes[especialidad],$A112,tblOrdenes[semana],$B112,tblOrdenes[clasificacion],"preventiva")</f>
        <v/>
      </c>
      <c r="F112" s="17">
        <f>SUMIFS(tblOrdenes[horas_efectivas],tblOrdenes[especialidad],$A112,tblOrdenes[semana],$B112,tblOrdenes[clasificacion],"correctiva")</f>
        <v/>
      </c>
      <c r="G112" s="17">
        <f>E112+F112</f>
        <v/>
      </c>
      <c r="H112" s="17">
        <f>D112-G112</f>
        <v/>
      </c>
      <c r="I112" s="18">
        <f>IF(D112=0,"",G112/D112)</f>
        <v/>
      </c>
    </row>
    <row r="113">
      <c r="A113" s="3" t="inlineStr">
        <is>
          <t>ELE</t>
        </is>
      </c>
      <c r="B113" s="3">
        <f>$O$31</f>
        <v/>
      </c>
      <c r="C113" s="17">
        <f>SUMIFS(tblAsignaciones[horas_disponibles],tblAsignaciones[especialidad],$A113,tblAsignaciones[semana],$B113)</f>
        <v/>
      </c>
      <c r="D113" s="17">
        <f>C113*p_factor_productividad</f>
        <v/>
      </c>
      <c r="E113" s="17">
        <f>SUMIFS(tblOrdenes[horas_efectivas],tblOrdenes[especialidad],$A113,tblOrdenes[semana],$B113,tblOrdenes[clasificacion],"preventiva")</f>
        <v/>
      </c>
      <c r="F113" s="17">
        <f>SUMIFS(tblOrdenes[horas_efectivas],tblOrdenes[especialidad],$A113,tblOrdenes[semana],$B113,tblOrdenes[clasificacion],"correctiva")</f>
        <v/>
      </c>
      <c r="G113" s="17">
        <f>E113+F113</f>
        <v/>
      </c>
      <c r="H113" s="17">
        <f>D113-G113</f>
        <v/>
      </c>
      <c r="I113" s="18">
        <f>IF(D113=0,"",G113/D113)</f>
        <v/>
      </c>
    </row>
    <row r="114">
      <c r="A114" s="3" t="inlineStr">
        <is>
          <t>AUT</t>
        </is>
      </c>
      <c r="B114" s="3">
        <f>$O$31</f>
        <v/>
      </c>
      <c r="C114" s="17">
        <f>SUMIFS(tblAsignaciones[horas_disponibles],tblAsignaciones[especialidad],$A114,tblAsignaciones[semana],$B114)</f>
        <v/>
      </c>
      <c r="D114" s="17">
        <f>C114*p_factor_productividad</f>
        <v/>
      </c>
      <c r="E114" s="17">
        <f>SUMIFS(tblOrdenes[horas_efectivas],tblOrdenes[especialidad],$A114,tblOrdenes[semana],$B114,tblOrdenes[clasificacion],"preventiva")</f>
        <v/>
      </c>
      <c r="F114" s="17">
        <f>SUMIFS(tblOrdenes[horas_efectivas],tblOrdenes[especialidad],$A114,tblOrdenes[semana],$B114,tblOrdenes[clasificacion],"correctiva")</f>
        <v/>
      </c>
      <c r="G114" s="17">
        <f>E114+F114</f>
        <v/>
      </c>
      <c r="H114" s="17">
        <f>D114-G114</f>
        <v/>
      </c>
      <c r="I114" s="18">
        <f>IF(D114=0,"",G114/D114)</f>
        <v/>
      </c>
    </row>
    <row r="115">
      <c r="A115" s="3" t="inlineStr">
        <is>
          <t>TERCERO</t>
        </is>
      </c>
      <c r="B115" s="3">
        <f>$O$31</f>
        <v/>
      </c>
      <c r="C115" s="17">
        <f>SUMIFS(tblAsignaciones[horas_disponibles],tblAsignaciones[especialidad],$A115,tblAsignaciones[semana],$B115)</f>
        <v/>
      </c>
      <c r="D115" s="17">
        <f>C115*p_factor_productividad</f>
        <v/>
      </c>
      <c r="E115" s="17">
        <f>SUMIFS(tblOrdenes[horas_efectivas],tblOrdenes[especialidad],$A115,tblOrdenes[semana],$B115,tblOrdenes[clasificacion],"preventiva")</f>
        <v/>
      </c>
      <c r="F115" s="17">
        <f>SUMIFS(tblOrdenes[horas_efectivas],tblOrdenes[especialidad],$A115,tblOrdenes[semana],$B115,tblOrdenes[clasificacion],"correctiva")</f>
        <v/>
      </c>
      <c r="G115" s="17">
        <f>E115+F115</f>
        <v/>
      </c>
      <c r="H115" s="17">
        <f>D115-G115</f>
        <v/>
      </c>
      <c r="I115" s="18">
        <f>IF(D115=0,"",G115/D115)</f>
        <v/>
      </c>
    </row>
    <row r="116" hidden="1">
      <c r="A116" s="3" t="inlineStr">
        <is>
          <t>MEC</t>
        </is>
      </c>
      <c r="B116" s="3">
        <f>$O$32</f>
        <v/>
      </c>
      <c r="C116" s="17">
        <f>SUMIFS(tblAsignaciones[horas_disponibles],tblAsignaciones[especialidad],$A116,tblAsignaciones[semana],$B116)</f>
        <v/>
      </c>
      <c r="D116" s="17">
        <f>C116*p_factor_productividad</f>
        <v/>
      </c>
      <c r="E116" s="17">
        <f>SUMIFS(tblOrdenes[horas_efectivas],tblOrdenes[especialidad],$A116,tblOrdenes[semana],$B116,tblOrdenes[clasificacion],"preventiva")</f>
        <v/>
      </c>
      <c r="F116" s="17">
        <f>SUMIFS(tblOrdenes[horas_efectivas],tblOrdenes[especialidad],$A116,tblOrdenes[semana],$B116,tblOrdenes[clasificacion],"correctiva")</f>
        <v/>
      </c>
      <c r="G116" s="17">
        <f>E116+F116</f>
        <v/>
      </c>
      <c r="H116" s="17">
        <f>D116-G116</f>
        <v/>
      </c>
      <c r="I116" s="18">
        <f>IF(D116=0,"",G116/D116)</f>
        <v/>
      </c>
    </row>
    <row r="117" hidden="1">
      <c r="A117" s="3" t="inlineStr">
        <is>
          <t>ELE</t>
        </is>
      </c>
      <c r="B117" s="3">
        <f>$O$32</f>
        <v/>
      </c>
      <c r="C117" s="17">
        <f>SUMIFS(tblAsignaciones[horas_disponibles],tblAsignaciones[especialidad],$A117,tblAsignaciones[semana],$B117)</f>
        <v/>
      </c>
      <c r="D117" s="17">
        <f>C117*p_factor_productividad</f>
        <v/>
      </c>
      <c r="E117" s="17">
        <f>SUMIFS(tblOrdenes[horas_efectivas],tblOrdenes[especialidad],$A117,tblOrdenes[semana],$B117,tblOrdenes[clasificacion],"preventiva")</f>
        <v/>
      </c>
      <c r="F117" s="17">
        <f>SUMIFS(tblOrdenes[horas_efectivas],tblOrdenes[especialidad],$A117,tblOrdenes[semana],$B117,tblOrdenes[clasificacion],"correctiva")</f>
        <v/>
      </c>
      <c r="G117" s="17">
        <f>E117+F117</f>
        <v/>
      </c>
      <c r="H117" s="17">
        <f>D117-G117</f>
        <v/>
      </c>
      <c r="I117" s="18">
        <f>IF(D117=0,"",G117/D117)</f>
        <v/>
      </c>
    </row>
    <row r="118" hidden="1">
      <c r="A118" s="3" t="inlineStr">
        <is>
          <t>AUT</t>
        </is>
      </c>
      <c r="B118" s="3">
        <f>$O$32</f>
        <v/>
      </c>
      <c r="C118" s="17">
        <f>SUMIFS(tblAsignaciones[horas_disponibles],tblAsignaciones[especialidad],$A118,tblAsignaciones[semana],$B118)</f>
        <v/>
      </c>
      <c r="D118" s="17">
        <f>C118*p_factor_productividad</f>
        <v/>
      </c>
      <c r="E118" s="17">
        <f>SUMIFS(tblOrdenes[horas_efectivas],tblOrdenes[especialidad],$A118,tblOrdenes[semana],$B118,tblOrdenes[clasificacion],"preventiva")</f>
        <v/>
      </c>
      <c r="F118" s="17">
        <f>SUMIFS(tblOrdenes[horas_efectivas],tblOrdenes[especialidad],$A118,tblOrdenes[semana],$B118,tblOrdenes[clasificacion],"correctiva")</f>
        <v/>
      </c>
      <c r="G118" s="17">
        <f>E118+F118</f>
        <v/>
      </c>
      <c r="H118" s="17">
        <f>D118-G118</f>
        <v/>
      </c>
      <c r="I118" s="18">
        <f>IF(D118=0,"",G118/D118)</f>
        <v/>
      </c>
    </row>
    <row r="119" hidden="1">
      <c r="A119" s="3" t="inlineStr">
        <is>
          <t>TERCERO</t>
        </is>
      </c>
      <c r="B119" s="3">
        <f>$O$32</f>
        <v/>
      </c>
      <c r="C119" s="17">
        <f>SUMIFS(tblAsignaciones[horas_disponibles],tblAsignaciones[especialidad],$A119,tblAsignaciones[semana],$B119)</f>
        <v/>
      </c>
      <c r="D119" s="17">
        <f>C119*p_factor_productividad</f>
        <v/>
      </c>
      <c r="E119" s="17">
        <f>SUMIFS(tblOrdenes[horas_efectivas],tblOrdenes[especialidad],$A119,tblOrdenes[semana],$B119,tblOrdenes[clasificacion],"preventiva")</f>
        <v/>
      </c>
      <c r="F119" s="17">
        <f>SUMIFS(tblOrdenes[horas_efectivas],tblOrdenes[especialidad],$A119,tblOrdenes[semana],$B119,tblOrdenes[clasificacion],"correctiva")</f>
        <v/>
      </c>
      <c r="G119" s="17">
        <f>E119+F119</f>
        <v/>
      </c>
      <c r="H119" s="17">
        <f>D119-G119</f>
        <v/>
      </c>
      <c r="I119" s="18">
        <f>IF(D119=0,"",G119/D119)</f>
        <v/>
      </c>
    </row>
    <row r="120" hidden="1">
      <c r="A120" s="3" t="inlineStr">
        <is>
          <t>MEC</t>
        </is>
      </c>
      <c r="B120" s="3">
        <f>$O$33</f>
        <v/>
      </c>
      <c r="C120" s="17">
        <f>SUMIFS(tblAsignaciones[horas_disponibles],tblAsignaciones[especialidad],$A120,tblAsignaciones[semana],$B120)</f>
        <v/>
      </c>
      <c r="D120" s="17">
        <f>C120*p_factor_productividad</f>
        <v/>
      </c>
      <c r="E120" s="17">
        <f>SUMIFS(tblOrdenes[horas_efectivas],tblOrdenes[especialidad],$A120,tblOrdenes[semana],$B120,tblOrdenes[clasificacion],"preventiva")</f>
        <v/>
      </c>
      <c r="F120" s="17">
        <f>SUMIFS(tblOrdenes[horas_efectivas],tblOrdenes[especialidad],$A120,tblOrdenes[semana],$B120,tblOrdenes[clasificacion],"correctiva")</f>
        <v/>
      </c>
      <c r="G120" s="17">
        <f>E120+F120</f>
        <v/>
      </c>
      <c r="H120" s="17">
        <f>D120-G120</f>
        <v/>
      </c>
      <c r="I120" s="18">
        <f>IF(D120=0,"",G120/D120)</f>
        <v/>
      </c>
    </row>
    <row r="121" hidden="1">
      <c r="A121" s="3" t="inlineStr">
        <is>
          <t>ELE</t>
        </is>
      </c>
      <c r="B121" s="3">
        <f>$O$33</f>
        <v/>
      </c>
      <c r="C121" s="17">
        <f>SUMIFS(tblAsignaciones[horas_disponibles],tblAsignaciones[especialidad],$A121,tblAsignaciones[semana],$B121)</f>
        <v/>
      </c>
      <c r="D121" s="17">
        <f>C121*p_factor_productividad</f>
        <v/>
      </c>
      <c r="E121" s="17">
        <f>SUMIFS(tblOrdenes[horas_efectivas],tblOrdenes[especialidad],$A121,tblOrdenes[semana],$B121,tblOrdenes[clasificacion],"preventiva")</f>
        <v/>
      </c>
      <c r="F121" s="17">
        <f>SUMIFS(tblOrdenes[horas_efectivas],tblOrdenes[especialidad],$A121,tblOrdenes[semana],$B121,tblOrdenes[clasificacion],"correctiva")</f>
        <v/>
      </c>
      <c r="G121" s="17">
        <f>E121+F121</f>
        <v/>
      </c>
      <c r="H121" s="17">
        <f>D121-G121</f>
        <v/>
      </c>
      <c r="I121" s="18">
        <f>IF(D121=0,"",G121/D121)</f>
        <v/>
      </c>
    </row>
    <row r="122" hidden="1">
      <c r="A122" s="3" t="inlineStr">
        <is>
          <t>AUT</t>
        </is>
      </c>
      <c r="B122" s="3">
        <f>$O$33</f>
        <v/>
      </c>
      <c r="C122" s="17">
        <f>SUMIFS(tblAsignaciones[horas_disponibles],tblAsignaciones[especialidad],$A122,tblAsignaciones[semana],$B122)</f>
        <v/>
      </c>
      <c r="D122" s="17">
        <f>C122*p_factor_productividad</f>
        <v/>
      </c>
      <c r="E122" s="17">
        <f>SUMIFS(tblOrdenes[horas_efectivas],tblOrdenes[especialidad],$A122,tblOrdenes[semana],$B122,tblOrdenes[clasificacion],"preventiva")</f>
        <v/>
      </c>
      <c r="F122" s="17">
        <f>SUMIFS(tblOrdenes[horas_efectivas],tblOrdenes[especialidad],$A122,tblOrdenes[semana],$B122,tblOrdenes[clasificacion],"correctiva")</f>
        <v/>
      </c>
      <c r="G122" s="17">
        <f>E122+F122</f>
        <v/>
      </c>
      <c r="H122" s="17">
        <f>D122-G122</f>
        <v/>
      </c>
      <c r="I122" s="18">
        <f>IF(D122=0,"",G122/D122)</f>
        <v/>
      </c>
    </row>
    <row r="123" hidden="1">
      <c r="A123" s="3" t="inlineStr">
        <is>
          <t>TERCERO</t>
        </is>
      </c>
      <c r="B123" s="3">
        <f>$O$33</f>
        <v/>
      </c>
      <c r="C123" s="17">
        <f>SUMIFS(tblAsignaciones[horas_disponibles],tblAsignaciones[especialidad],$A123,tblAsignaciones[semana],$B123)</f>
        <v/>
      </c>
      <c r="D123" s="17">
        <f>C123*p_factor_productividad</f>
        <v/>
      </c>
      <c r="E123" s="17">
        <f>SUMIFS(tblOrdenes[horas_efectivas],tblOrdenes[especialidad],$A123,tblOrdenes[semana],$B123,tblOrdenes[clasificacion],"preventiva")</f>
        <v/>
      </c>
      <c r="F123" s="17">
        <f>SUMIFS(tblOrdenes[horas_efectivas],tblOrdenes[especialidad],$A123,tblOrdenes[semana],$B123,tblOrdenes[clasificacion],"correctiva")</f>
        <v/>
      </c>
      <c r="G123" s="17">
        <f>E123+F123</f>
        <v/>
      </c>
      <c r="H123" s="17">
        <f>D123-G123</f>
        <v/>
      </c>
      <c r="I123" s="18">
        <f>IF(D123=0,"",G123/D123)</f>
        <v/>
      </c>
    </row>
    <row r="124" hidden="1">
      <c r="A124" s="3" t="inlineStr">
        <is>
          <t>MEC</t>
        </is>
      </c>
      <c r="B124" s="3">
        <f>$O$34</f>
        <v/>
      </c>
      <c r="C124" s="17">
        <f>SUMIFS(tblAsignaciones[horas_disponibles],tblAsignaciones[especialidad],$A124,tblAsignaciones[semana],$B124)</f>
        <v/>
      </c>
      <c r="D124" s="17">
        <f>C124*p_factor_productividad</f>
        <v/>
      </c>
      <c r="E124" s="17">
        <f>SUMIFS(tblOrdenes[horas_efectivas],tblOrdenes[especialidad],$A124,tblOrdenes[semana],$B124,tblOrdenes[clasificacion],"preventiva")</f>
        <v/>
      </c>
      <c r="F124" s="17">
        <f>SUMIFS(tblOrdenes[horas_efectivas],tblOrdenes[especialidad],$A124,tblOrdenes[semana],$B124,tblOrdenes[clasificacion],"correctiva")</f>
        <v/>
      </c>
      <c r="G124" s="17">
        <f>E124+F124</f>
        <v/>
      </c>
      <c r="H124" s="17">
        <f>D124-G124</f>
        <v/>
      </c>
      <c r="I124" s="18">
        <f>IF(D124=0,"",G124/D124)</f>
        <v/>
      </c>
    </row>
    <row r="125" hidden="1">
      <c r="A125" s="3" t="inlineStr">
        <is>
          <t>ELE</t>
        </is>
      </c>
      <c r="B125" s="3">
        <f>$O$34</f>
        <v/>
      </c>
      <c r="C125" s="17">
        <f>SUMIFS(tblAsignaciones[horas_disponibles],tblAsignaciones[especialidad],$A125,tblAsignaciones[semana],$B125)</f>
        <v/>
      </c>
      <c r="D125" s="17">
        <f>C125*p_factor_productividad</f>
        <v/>
      </c>
      <c r="E125" s="17">
        <f>SUMIFS(tblOrdenes[horas_efectivas],tblOrdenes[especialidad],$A125,tblOrdenes[semana],$B125,tblOrdenes[clasificacion],"preventiva")</f>
        <v/>
      </c>
      <c r="F125" s="17">
        <f>SUMIFS(tblOrdenes[horas_efectivas],tblOrdenes[especialidad],$A125,tblOrdenes[semana],$B125,tblOrdenes[clasificacion],"correctiva")</f>
        <v/>
      </c>
      <c r="G125" s="17">
        <f>E125+F125</f>
        <v/>
      </c>
      <c r="H125" s="17">
        <f>D125-G125</f>
        <v/>
      </c>
      <c r="I125" s="18">
        <f>IF(D125=0,"",G125/D125)</f>
        <v/>
      </c>
    </row>
    <row r="126" hidden="1">
      <c r="A126" s="3" t="inlineStr">
        <is>
          <t>AUT</t>
        </is>
      </c>
      <c r="B126" s="3">
        <f>$O$34</f>
        <v/>
      </c>
      <c r="C126" s="17">
        <f>SUMIFS(tblAsignaciones[horas_disponibles],tblAsignaciones[especialidad],$A126,tblAsignaciones[semana],$B126)</f>
        <v/>
      </c>
      <c r="D126" s="17">
        <f>C126*p_factor_productividad</f>
        <v/>
      </c>
      <c r="E126" s="17">
        <f>SUMIFS(tblOrdenes[horas_efectivas],tblOrdenes[especialidad],$A126,tblOrdenes[semana],$B126,tblOrdenes[clasificacion],"preventiva")</f>
        <v/>
      </c>
      <c r="F126" s="17">
        <f>SUMIFS(tblOrdenes[horas_efectivas],tblOrdenes[especialidad],$A126,tblOrdenes[semana],$B126,tblOrdenes[clasificacion],"correctiva")</f>
        <v/>
      </c>
      <c r="G126" s="17">
        <f>E126+F126</f>
        <v/>
      </c>
      <c r="H126" s="17">
        <f>D126-G126</f>
        <v/>
      </c>
      <c r="I126" s="18">
        <f>IF(D126=0,"",G126/D126)</f>
        <v/>
      </c>
    </row>
    <row r="127" hidden="1">
      <c r="A127" s="3" t="inlineStr">
        <is>
          <t>TERCERO</t>
        </is>
      </c>
      <c r="B127" s="3">
        <f>$O$34</f>
        <v/>
      </c>
      <c r="C127" s="17">
        <f>SUMIFS(tblAsignaciones[horas_disponibles],tblAsignaciones[especialidad],$A127,tblAsignaciones[semana],$B127)</f>
        <v/>
      </c>
      <c r="D127" s="17">
        <f>C127*p_factor_productividad</f>
        <v/>
      </c>
      <c r="E127" s="17">
        <f>SUMIFS(tblOrdenes[horas_efectivas],tblOrdenes[especialidad],$A127,tblOrdenes[semana],$B127,tblOrdenes[clasificacion],"preventiva")</f>
        <v/>
      </c>
      <c r="F127" s="17">
        <f>SUMIFS(tblOrdenes[horas_efectivas],tblOrdenes[especialidad],$A127,tblOrdenes[semana],$B127,tblOrdenes[clasificacion],"correctiva")</f>
        <v/>
      </c>
      <c r="G127" s="17">
        <f>E127+F127</f>
        <v/>
      </c>
      <c r="H127" s="17">
        <f>D127-G127</f>
        <v/>
      </c>
      <c r="I127" s="18">
        <f>IF(D127=0,"",G127/D127)</f>
        <v/>
      </c>
    </row>
    <row r="128" hidden="1">
      <c r="A128" s="3" t="inlineStr">
        <is>
          <t>MEC</t>
        </is>
      </c>
      <c r="B128" s="3">
        <f>$O$35</f>
        <v/>
      </c>
      <c r="C128" s="17">
        <f>SUMIFS(tblAsignaciones[horas_disponibles],tblAsignaciones[especialidad],$A128,tblAsignaciones[semana],$B128)</f>
        <v/>
      </c>
      <c r="D128" s="17">
        <f>C128*p_factor_productividad</f>
        <v/>
      </c>
      <c r="E128" s="17">
        <f>SUMIFS(tblOrdenes[horas_efectivas],tblOrdenes[especialidad],$A128,tblOrdenes[semana],$B128,tblOrdenes[clasificacion],"preventiva")</f>
        <v/>
      </c>
      <c r="F128" s="17">
        <f>SUMIFS(tblOrdenes[horas_efectivas],tblOrdenes[especialidad],$A128,tblOrdenes[semana],$B128,tblOrdenes[clasificacion],"correctiva")</f>
        <v/>
      </c>
      <c r="G128" s="17">
        <f>E128+F128</f>
        <v/>
      </c>
      <c r="H128" s="17">
        <f>D128-G128</f>
        <v/>
      </c>
      <c r="I128" s="18">
        <f>IF(D128=0,"",G128/D128)</f>
        <v/>
      </c>
    </row>
    <row r="129" hidden="1">
      <c r="A129" s="3" t="inlineStr">
        <is>
          <t>ELE</t>
        </is>
      </c>
      <c r="B129" s="3">
        <f>$O$35</f>
        <v/>
      </c>
      <c r="C129" s="17">
        <f>SUMIFS(tblAsignaciones[horas_disponibles],tblAsignaciones[especialidad],$A129,tblAsignaciones[semana],$B129)</f>
        <v/>
      </c>
      <c r="D129" s="17">
        <f>C129*p_factor_productividad</f>
        <v/>
      </c>
      <c r="E129" s="17">
        <f>SUMIFS(tblOrdenes[horas_efectivas],tblOrdenes[especialidad],$A129,tblOrdenes[semana],$B129,tblOrdenes[clasificacion],"preventiva")</f>
        <v/>
      </c>
      <c r="F129" s="17">
        <f>SUMIFS(tblOrdenes[horas_efectivas],tblOrdenes[especialidad],$A129,tblOrdenes[semana],$B129,tblOrdenes[clasificacion],"correctiva")</f>
        <v/>
      </c>
      <c r="G129" s="17">
        <f>E129+F129</f>
        <v/>
      </c>
      <c r="H129" s="17">
        <f>D129-G129</f>
        <v/>
      </c>
      <c r="I129" s="18">
        <f>IF(D129=0,"",G129/D129)</f>
        <v/>
      </c>
    </row>
    <row r="130" hidden="1">
      <c r="A130" s="3" t="inlineStr">
        <is>
          <t>AUT</t>
        </is>
      </c>
      <c r="B130" s="3">
        <f>$O$35</f>
        <v/>
      </c>
      <c r="C130" s="17">
        <f>SUMIFS(tblAsignaciones[horas_disponibles],tblAsignaciones[especialidad],$A130,tblAsignaciones[semana],$B130)</f>
        <v/>
      </c>
      <c r="D130" s="17">
        <f>C130*p_factor_productividad</f>
        <v/>
      </c>
      <c r="E130" s="17">
        <f>SUMIFS(tblOrdenes[horas_efectivas],tblOrdenes[especialidad],$A130,tblOrdenes[semana],$B130,tblOrdenes[clasificacion],"preventiva")</f>
        <v/>
      </c>
      <c r="F130" s="17">
        <f>SUMIFS(tblOrdenes[horas_efectivas],tblOrdenes[especialidad],$A130,tblOrdenes[semana],$B130,tblOrdenes[clasificacion],"correctiva")</f>
        <v/>
      </c>
      <c r="G130" s="17">
        <f>E130+F130</f>
        <v/>
      </c>
      <c r="H130" s="17">
        <f>D130-G130</f>
        <v/>
      </c>
      <c r="I130" s="18">
        <f>IF(D130=0,"",G130/D130)</f>
        <v/>
      </c>
    </row>
    <row r="131" hidden="1">
      <c r="A131" s="3" t="inlineStr">
        <is>
          <t>TERCERO</t>
        </is>
      </c>
      <c r="B131" s="3">
        <f>$O$35</f>
        <v/>
      </c>
      <c r="C131" s="17">
        <f>SUMIFS(tblAsignaciones[horas_disponibles],tblAsignaciones[especialidad],$A131,tblAsignaciones[semana],$B131)</f>
        <v/>
      </c>
      <c r="D131" s="17">
        <f>C131*p_factor_productividad</f>
        <v/>
      </c>
      <c r="E131" s="17">
        <f>SUMIFS(tblOrdenes[horas_efectivas],tblOrdenes[especialidad],$A131,tblOrdenes[semana],$B131,tblOrdenes[clasificacion],"preventiva")</f>
        <v/>
      </c>
      <c r="F131" s="17">
        <f>SUMIFS(tblOrdenes[horas_efectivas],tblOrdenes[especialidad],$A131,tblOrdenes[semana],$B131,tblOrdenes[clasificacion],"correctiva")</f>
        <v/>
      </c>
      <c r="G131" s="17">
        <f>E131+F131</f>
        <v/>
      </c>
      <c r="H131" s="17">
        <f>D131-G131</f>
        <v/>
      </c>
      <c r="I131" s="18">
        <f>IF(D131=0,"",G131/D131)</f>
        <v/>
      </c>
    </row>
    <row r="132" hidden="1">
      <c r="A132" s="3" t="inlineStr">
        <is>
          <t>MEC</t>
        </is>
      </c>
      <c r="B132" s="3">
        <f>$O$36</f>
        <v/>
      </c>
      <c r="C132" s="17">
        <f>SUMIFS(tblAsignaciones[horas_disponibles],tblAsignaciones[especialidad],$A132,tblAsignaciones[semana],$B132)</f>
        <v/>
      </c>
      <c r="D132" s="17">
        <f>C132*p_factor_productividad</f>
        <v/>
      </c>
      <c r="E132" s="17">
        <f>SUMIFS(tblOrdenes[horas_efectivas],tblOrdenes[especialidad],$A132,tblOrdenes[semana],$B132,tblOrdenes[clasificacion],"preventiva")</f>
        <v/>
      </c>
      <c r="F132" s="17">
        <f>SUMIFS(tblOrdenes[horas_efectivas],tblOrdenes[especialidad],$A132,tblOrdenes[semana],$B132,tblOrdenes[clasificacion],"correctiva")</f>
        <v/>
      </c>
      <c r="G132" s="17">
        <f>E132+F132</f>
        <v/>
      </c>
      <c r="H132" s="17">
        <f>D132-G132</f>
        <v/>
      </c>
      <c r="I132" s="18">
        <f>IF(D132=0,"",G132/D132)</f>
        <v/>
      </c>
    </row>
    <row r="133" hidden="1">
      <c r="A133" s="3" t="inlineStr">
        <is>
          <t>ELE</t>
        </is>
      </c>
      <c r="B133" s="3">
        <f>$O$36</f>
        <v/>
      </c>
      <c r="C133" s="17">
        <f>SUMIFS(tblAsignaciones[horas_disponibles],tblAsignaciones[especialidad],$A133,tblAsignaciones[semana],$B133)</f>
        <v/>
      </c>
      <c r="D133" s="17">
        <f>C133*p_factor_productividad</f>
        <v/>
      </c>
      <c r="E133" s="17">
        <f>SUMIFS(tblOrdenes[horas_efectivas],tblOrdenes[especialidad],$A133,tblOrdenes[semana],$B133,tblOrdenes[clasificacion],"preventiva")</f>
        <v/>
      </c>
      <c r="F133" s="17">
        <f>SUMIFS(tblOrdenes[horas_efectivas],tblOrdenes[especialidad],$A133,tblOrdenes[semana],$B133,tblOrdenes[clasificacion],"correctiva")</f>
        <v/>
      </c>
      <c r="G133" s="17">
        <f>E133+F133</f>
        <v/>
      </c>
      <c r="H133" s="17">
        <f>D133-G133</f>
        <v/>
      </c>
      <c r="I133" s="18">
        <f>IF(D133=0,"",G133/D133)</f>
        <v/>
      </c>
    </row>
    <row r="134" hidden="1">
      <c r="A134" s="3" t="inlineStr">
        <is>
          <t>AUT</t>
        </is>
      </c>
      <c r="B134" s="3">
        <f>$O$36</f>
        <v/>
      </c>
      <c r="C134" s="17">
        <f>SUMIFS(tblAsignaciones[horas_disponibles],tblAsignaciones[especialidad],$A134,tblAsignaciones[semana],$B134)</f>
        <v/>
      </c>
      <c r="D134" s="17">
        <f>C134*p_factor_productividad</f>
        <v/>
      </c>
      <c r="E134" s="17">
        <f>SUMIFS(tblOrdenes[horas_efectivas],tblOrdenes[especialidad],$A134,tblOrdenes[semana],$B134,tblOrdenes[clasificacion],"preventiva")</f>
        <v/>
      </c>
      <c r="F134" s="17">
        <f>SUMIFS(tblOrdenes[horas_efectivas],tblOrdenes[especialidad],$A134,tblOrdenes[semana],$B134,tblOrdenes[clasificacion],"correctiva")</f>
        <v/>
      </c>
      <c r="G134" s="17">
        <f>E134+F134</f>
        <v/>
      </c>
      <c r="H134" s="17">
        <f>D134-G134</f>
        <v/>
      </c>
      <c r="I134" s="18">
        <f>IF(D134=0,"",G134/D134)</f>
        <v/>
      </c>
    </row>
    <row r="135" hidden="1">
      <c r="A135" s="3" t="inlineStr">
        <is>
          <t>TERCERO</t>
        </is>
      </c>
      <c r="B135" s="3">
        <f>$O$36</f>
        <v/>
      </c>
      <c r="C135" s="17">
        <f>SUMIFS(tblAsignaciones[horas_disponibles],tblAsignaciones[especialidad],$A135,tblAsignaciones[semana],$B135)</f>
        <v/>
      </c>
      <c r="D135" s="17">
        <f>C135*p_factor_productividad</f>
        <v/>
      </c>
      <c r="E135" s="17">
        <f>SUMIFS(tblOrdenes[horas_efectivas],tblOrdenes[especialidad],$A135,tblOrdenes[semana],$B135,tblOrdenes[clasificacion],"preventiva")</f>
        <v/>
      </c>
      <c r="F135" s="17">
        <f>SUMIFS(tblOrdenes[horas_efectivas],tblOrdenes[especialidad],$A135,tblOrdenes[semana],$B135,tblOrdenes[clasificacion],"correctiva")</f>
        <v/>
      </c>
      <c r="G135" s="17">
        <f>E135+F135</f>
        <v/>
      </c>
      <c r="H135" s="17">
        <f>D135-G135</f>
        <v/>
      </c>
      <c r="I135" s="18">
        <f>IF(D135=0,"",G135/D135)</f>
        <v/>
      </c>
    </row>
    <row r="136" hidden="1">
      <c r="A136" s="3" t="inlineStr">
        <is>
          <t>MEC</t>
        </is>
      </c>
      <c r="B136" s="3">
        <f>$O$37</f>
        <v/>
      </c>
      <c r="C136" s="17">
        <f>SUMIFS(tblAsignaciones[horas_disponibles],tblAsignaciones[especialidad],$A136,tblAsignaciones[semana],$B136)</f>
        <v/>
      </c>
      <c r="D136" s="17">
        <f>C136*p_factor_productividad</f>
        <v/>
      </c>
      <c r="E136" s="17">
        <f>SUMIFS(tblOrdenes[horas_efectivas],tblOrdenes[especialidad],$A136,tblOrdenes[semana],$B136,tblOrdenes[clasificacion],"preventiva")</f>
        <v/>
      </c>
      <c r="F136" s="17">
        <f>SUMIFS(tblOrdenes[horas_efectivas],tblOrdenes[especialidad],$A136,tblOrdenes[semana],$B136,tblOrdenes[clasificacion],"correctiva")</f>
        <v/>
      </c>
      <c r="G136" s="17">
        <f>E136+F136</f>
        <v/>
      </c>
      <c r="H136" s="17">
        <f>D136-G136</f>
        <v/>
      </c>
      <c r="I136" s="18">
        <f>IF(D136=0,"",G136/D136)</f>
        <v/>
      </c>
    </row>
    <row r="137" hidden="1">
      <c r="A137" s="3" t="inlineStr">
        <is>
          <t>ELE</t>
        </is>
      </c>
      <c r="B137" s="3">
        <f>$O$37</f>
        <v/>
      </c>
      <c r="C137" s="17">
        <f>SUMIFS(tblAsignaciones[horas_disponibles],tblAsignaciones[especialidad],$A137,tblAsignaciones[semana],$B137)</f>
        <v/>
      </c>
      <c r="D137" s="17">
        <f>C137*p_factor_productividad</f>
        <v/>
      </c>
      <c r="E137" s="17">
        <f>SUMIFS(tblOrdenes[horas_efectivas],tblOrdenes[especialidad],$A137,tblOrdenes[semana],$B137,tblOrdenes[clasificacion],"preventiva")</f>
        <v/>
      </c>
      <c r="F137" s="17">
        <f>SUMIFS(tblOrdenes[horas_efectivas],tblOrdenes[especialidad],$A137,tblOrdenes[semana],$B137,tblOrdenes[clasificacion],"correctiva")</f>
        <v/>
      </c>
      <c r="G137" s="17">
        <f>E137+F137</f>
        <v/>
      </c>
      <c r="H137" s="17">
        <f>D137-G137</f>
        <v/>
      </c>
      <c r="I137" s="18">
        <f>IF(D137=0,"",G137/D137)</f>
        <v/>
      </c>
    </row>
    <row r="138" hidden="1">
      <c r="A138" s="3" t="inlineStr">
        <is>
          <t>AUT</t>
        </is>
      </c>
      <c r="B138" s="3">
        <f>$O$37</f>
        <v/>
      </c>
      <c r="C138" s="17">
        <f>SUMIFS(tblAsignaciones[horas_disponibles],tblAsignaciones[especialidad],$A138,tblAsignaciones[semana],$B138)</f>
        <v/>
      </c>
      <c r="D138" s="17">
        <f>C138*p_factor_productividad</f>
        <v/>
      </c>
      <c r="E138" s="17">
        <f>SUMIFS(tblOrdenes[horas_efectivas],tblOrdenes[especialidad],$A138,tblOrdenes[semana],$B138,tblOrdenes[clasificacion],"preventiva")</f>
        <v/>
      </c>
      <c r="F138" s="17">
        <f>SUMIFS(tblOrdenes[horas_efectivas],tblOrdenes[especialidad],$A138,tblOrdenes[semana],$B138,tblOrdenes[clasificacion],"correctiva")</f>
        <v/>
      </c>
      <c r="G138" s="17">
        <f>E138+F138</f>
        <v/>
      </c>
      <c r="H138" s="17">
        <f>D138-G138</f>
        <v/>
      </c>
      <c r="I138" s="18">
        <f>IF(D138=0,"",G138/D138)</f>
        <v/>
      </c>
    </row>
    <row r="139" hidden="1">
      <c r="A139" s="3" t="inlineStr">
        <is>
          <t>TERCERO</t>
        </is>
      </c>
      <c r="B139" s="3">
        <f>$O$37</f>
        <v/>
      </c>
      <c r="C139" s="17">
        <f>SUMIFS(tblAsignaciones[horas_disponibles],tblAsignaciones[especialidad],$A139,tblAsignaciones[semana],$B139)</f>
        <v/>
      </c>
      <c r="D139" s="17">
        <f>C139*p_factor_productividad</f>
        <v/>
      </c>
      <c r="E139" s="17">
        <f>SUMIFS(tblOrdenes[horas_efectivas],tblOrdenes[especialidad],$A139,tblOrdenes[semana],$B139,tblOrdenes[clasificacion],"preventiva")</f>
        <v/>
      </c>
      <c r="F139" s="17">
        <f>SUMIFS(tblOrdenes[horas_efectivas],tblOrdenes[especialidad],$A139,tblOrdenes[semana],$B139,tblOrdenes[clasificacion],"correctiva")</f>
        <v/>
      </c>
      <c r="G139" s="17">
        <f>E139+F139</f>
        <v/>
      </c>
      <c r="H139" s="17">
        <f>D139-G139</f>
        <v/>
      </c>
      <c r="I139" s="18">
        <f>IF(D139=0,"",G139/D139)</f>
        <v/>
      </c>
    </row>
    <row r="140" hidden="1">
      <c r="A140" s="3" t="inlineStr">
        <is>
          <t>MEC</t>
        </is>
      </c>
      <c r="B140" s="3">
        <f>$O$38</f>
        <v/>
      </c>
      <c r="C140" s="17">
        <f>SUMIFS(tblAsignaciones[horas_disponibles],tblAsignaciones[especialidad],$A140,tblAsignaciones[semana],$B140)</f>
        <v/>
      </c>
      <c r="D140" s="17">
        <f>C140*p_factor_productividad</f>
        <v/>
      </c>
      <c r="E140" s="17">
        <f>SUMIFS(tblOrdenes[horas_efectivas],tblOrdenes[especialidad],$A140,tblOrdenes[semana],$B140,tblOrdenes[clasificacion],"preventiva")</f>
        <v/>
      </c>
      <c r="F140" s="17">
        <f>SUMIFS(tblOrdenes[horas_efectivas],tblOrdenes[especialidad],$A140,tblOrdenes[semana],$B140,tblOrdenes[clasificacion],"correctiva")</f>
        <v/>
      </c>
      <c r="G140" s="17">
        <f>E140+F140</f>
        <v/>
      </c>
      <c r="H140" s="17">
        <f>D140-G140</f>
        <v/>
      </c>
      <c r="I140" s="18">
        <f>IF(D140=0,"",G140/D140)</f>
        <v/>
      </c>
    </row>
    <row r="141" hidden="1">
      <c r="A141" s="3" t="inlineStr">
        <is>
          <t>ELE</t>
        </is>
      </c>
      <c r="B141" s="3">
        <f>$O$38</f>
        <v/>
      </c>
      <c r="C141" s="17">
        <f>SUMIFS(tblAsignaciones[horas_disponibles],tblAsignaciones[especialidad],$A141,tblAsignaciones[semana],$B141)</f>
        <v/>
      </c>
      <c r="D141" s="17">
        <f>C141*p_factor_productividad</f>
        <v/>
      </c>
      <c r="E141" s="17">
        <f>SUMIFS(tblOrdenes[horas_efectivas],tblOrdenes[especialidad],$A141,tblOrdenes[semana],$B141,tblOrdenes[clasificacion],"preventiva")</f>
        <v/>
      </c>
      <c r="F141" s="17">
        <f>SUMIFS(tblOrdenes[horas_efectivas],tblOrdenes[especialidad],$A141,tblOrdenes[semana],$B141,tblOrdenes[clasificacion],"correctiva")</f>
        <v/>
      </c>
      <c r="G141" s="17">
        <f>E141+F141</f>
        <v/>
      </c>
      <c r="H141" s="17">
        <f>D141-G141</f>
        <v/>
      </c>
      <c r="I141" s="18">
        <f>IF(D141=0,"",G141/D141)</f>
        <v/>
      </c>
    </row>
    <row r="142" hidden="1">
      <c r="A142" s="3" t="inlineStr">
        <is>
          <t>AUT</t>
        </is>
      </c>
      <c r="B142" s="3">
        <f>$O$38</f>
        <v/>
      </c>
      <c r="C142" s="17">
        <f>SUMIFS(tblAsignaciones[horas_disponibles],tblAsignaciones[especialidad],$A142,tblAsignaciones[semana],$B142)</f>
        <v/>
      </c>
      <c r="D142" s="17">
        <f>C142*p_factor_productividad</f>
        <v/>
      </c>
      <c r="E142" s="17">
        <f>SUMIFS(tblOrdenes[horas_efectivas],tblOrdenes[especialidad],$A142,tblOrdenes[semana],$B142,tblOrdenes[clasificacion],"preventiva")</f>
        <v/>
      </c>
      <c r="F142" s="17">
        <f>SUMIFS(tblOrdenes[horas_efectivas],tblOrdenes[especialidad],$A142,tblOrdenes[semana],$B142,tblOrdenes[clasificacion],"correctiva")</f>
        <v/>
      </c>
      <c r="G142" s="17">
        <f>E142+F142</f>
        <v/>
      </c>
      <c r="H142" s="17">
        <f>D142-G142</f>
        <v/>
      </c>
      <c r="I142" s="18">
        <f>IF(D142=0,"",G142/D142)</f>
        <v/>
      </c>
    </row>
    <row r="143" hidden="1">
      <c r="A143" s="3" t="inlineStr">
        <is>
          <t>TERCERO</t>
        </is>
      </c>
      <c r="B143" s="3">
        <f>$O$38</f>
        <v/>
      </c>
      <c r="C143" s="17">
        <f>SUMIFS(tblAsignaciones[horas_disponibles],tblAsignaciones[especialidad],$A143,tblAsignaciones[semana],$B143)</f>
        <v/>
      </c>
      <c r="D143" s="17">
        <f>C143*p_factor_productividad</f>
        <v/>
      </c>
      <c r="E143" s="17">
        <f>SUMIFS(tblOrdenes[horas_efectivas],tblOrdenes[especialidad],$A143,tblOrdenes[semana],$B143,tblOrdenes[clasificacion],"preventiva")</f>
        <v/>
      </c>
      <c r="F143" s="17">
        <f>SUMIFS(tblOrdenes[horas_efectivas],tblOrdenes[especialidad],$A143,tblOrdenes[semana],$B143,tblOrdenes[clasificacion],"correctiva")</f>
        <v/>
      </c>
      <c r="G143" s="17">
        <f>E143+F143</f>
        <v/>
      </c>
      <c r="H143" s="17">
        <f>D143-G143</f>
        <v/>
      </c>
      <c r="I143" s="18">
        <f>IF(D143=0,"",G143/D143)</f>
        <v/>
      </c>
    </row>
    <row r="144" hidden="1">
      <c r="A144" s="3" t="inlineStr">
        <is>
          <t>MEC</t>
        </is>
      </c>
      <c r="B144" s="3">
        <f>$O$39</f>
        <v/>
      </c>
      <c r="C144" s="17">
        <f>SUMIFS(tblAsignaciones[horas_disponibles],tblAsignaciones[especialidad],$A144,tblAsignaciones[semana],$B144)</f>
        <v/>
      </c>
      <c r="D144" s="17">
        <f>C144*p_factor_productividad</f>
        <v/>
      </c>
      <c r="E144" s="17">
        <f>SUMIFS(tblOrdenes[horas_efectivas],tblOrdenes[especialidad],$A144,tblOrdenes[semana],$B144,tblOrdenes[clasificacion],"preventiva")</f>
        <v/>
      </c>
      <c r="F144" s="17">
        <f>SUMIFS(tblOrdenes[horas_efectivas],tblOrdenes[especialidad],$A144,tblOrdenes[semana],$B144,tblOrdenes[clasificacion],"correctiva")</f>
        <v/>
      </c>
      <c r="G144" s="17">
        <f>E144+F144</f>
        <v/>
      </c>
      <c r="H144" s="17">
        <f>D144-G144</f>
        <v/>
      </c>
      <c r="I144" s="18">
        <f>IF(D144=0,"",G144/D144)</f>
        <v/>
      </c>
    </row>
    <row r="145" hidden="1">
      <c r="A145" s="3" t="inlineStr">
        <is>
          <t>ELE</t>
        </is>
      </c>
      <c r="B145" s="3">
        <f>$O$39</f>
        <v/>
      </c>
      <c r="C145" s="17">
        <f>SUMIFS(tblAsignaciones[horas_disponibles],tblAsignaciones[especialidad],$A145,tblAsignaciones[semana],$B145)</f>
        <v/>
      </c>
      <c r="D145" s="17">
        <f>C145*p_factor_productividad</f>
        <v/>
      </c>
      <c r="E145" s="17">
        <f>SUMIFS(tblOrdenes[horas_efectivas],tblOrdenes[especialidad],$A145,tblOrdenes[semana],$B145,tblOrdenes[clasificacion],"preventiva")</f>
        <v/>
      </c>
      <c r="F145" s="17">
        <f>SUMIFS(tblOrdenes[horas_efectivas],tblOrdenes[especialidad],$A145,tblOrdenes[semana],$B145,tblOrdenes[clasificacion],"correctiva")</f>
        <v/>
      </c>
      <c r="G145" s="17">
        <f>E145+F145</f>
        <v/>
      </c>
      <c r="H145" s="17">
        <f>D145-G145</f>
        <v/>
      </c>
      <c r="I145" s="18">
        <f>IF(D145=0,"",G145/D145)</f>
        <v/>
      </c>
    </row>
    <row r="146" hidden="1">
      <c r="A146" s="3" t="inlineStr">
        <is>
          <t>AUT</t>
        </is>
      </c>
      <c r="B146" s="3">
        <f>$O$39</f>
        <v/>
      </c>
      <c r="C146" s="17">
        <f>SUMIFS(tblAsignaciones[horas_disponibles],tblAsignaciones[especialidad],$A146,tblAsignaciones[semana],$B146)</f>
        <v/>
      </c>
      <c r="D146" s="17">
        <f>C146*p_factor_productividad</f>
        <v/>
      </c>
      <c r="E146" s="17">
        <f>SUMIFS(tblOrdenes[horas_efectivas],tblOrdenes[especialidad],$A146,tblOrdenes[semana],$B146,tblOrdenes[clasificacion],"preventiva")</f>
        <v/>
      </c>
      <c r="F146" s="17">
        <f>SUMIFS(tblOrdenes[horas_efectivas],tblOrdenes[especialidad],$A146,tblOrdenes[semana],$B146,tblOrdenes[clasificacion],"correctiva")</f>
        <v/>
      </c>
      <c r="G146" s="17">
        <f>E146+F146</f>
        <v/>
      </c>
      <c r="H146" s="17">
        <f>D146-G146</f>
        <v/>
      </c>
      <c r="I146" s="18">
        <f>IF(D146=0,"",G146/D146)</f>
        <v/>
      </c>
    </row>
    <row r="147" hidden="1">
      <c r="A147" s="3" t="inlineStr">
        <is>
          <t>TERCERO</t>
        </is>
      </c>
      <c r="B147" s="3">
        <f>$O$39</f>
        <v/>
      </c>
      <c r="C147" s="17">
        <f>SUMIFS(tblAsignaciones[horas_disponibles],tblAsignaciones[especialidad],$A147,tblAsignaciones[semana],$B147)</f>
        <v/>
      </c>
      <c r="D147" s="17">
        <f>C147*p_factor_productividad</f>
        <v/>
      </c>
      <c r="E147" s="17">
        <f>SUMIFS(tblOrdenes[horas_efectivas],tblOrdenes[especialidad],$A147,tblOrdenes[semana],$B147,tblOrdenes[clasificacion],"preventiva")</f>
        <v/>
      </c>
      <c r="F147" s="17">
        <f>SUMIFS(tblOrdenes[horas_efectivas],tblOrdenes[especialidad],$A147,tblOrdenes[semana],$B147,tblOrdenes[clasificacion],"correctiva")</f>
        <v/>
      </c>
      <c r="G147" s="17">
        <f>E147+F147</f>
        <v/>
      </c>
      <c r="H147" s="17">
        <f>D147-G147</f>
        <v/>
      </c>
      <c r="I147" s="18">
        <f>IF(D147=0,"",G147/D147)</f>
        <v/>
      </c>
    </row>
    <row r="148">
      <c r="A148" s="3" t="inlineStr">
        <is>
          <t>MEC</t>
        </is>
      </c>
      <c r="B148" s="3">
        <f>$O$40</f>
        <v/>
      </c>
      <c r="C148" s="17">
        <f>SUMIFS(tblAsignaciones[horas_disponibles],tblAsignaciones[especialidad],$A148,tblAsignaciones[semana],$B148)</f>
        <v/>
      </c>
      <c r="D148" s="17">
        <f>C148*p_factor_productividad</f>
        <v/>
      </c>
      <c r="E148" s="17">
        <f>SUMIFS(tblOrdenes[horas_efectivas],tblOrdenes[especialidad],$A148,tblOrdenes[semana],$B148,tblOrdenes[clasificacion],"preventiva")</f>
        <v/>
      </c>
      <c r="F148" s="17">
        <f>SUMIFS(tblOrdenes[horas_efectivas],tblOrdenes[especialidad],$A148,tblOrdenes[semana],$B148,tblOrdenes[clasificacion],"correctiva")</f>
        <v/>
      </c>
      <c r="G148" s="17">
        <f>E148+F148</f>
        <v/>
      </c>
      <c r="H148" s="17">
        <f>D148-G148</f>
        <v/>
      </c>
      <c r="I148" s="18">
        <f>IF(D148=0,"",G148/D148)</f>
        <v/>
      </c>
    </row>
    <row r="149">
      <c r="A149" s="3" t="inlineStr">
        <is>
          <t>ELE</t>
        </is>
      </c>
      <c r="B149" s="3">
        <f>$O$40</f>
        <v/>
      </c>
      <c r="C149" s="17">
        <f>SUMIFS(tblAsignaciones[horas_disponibles],tblAsignaciones[especialidad],$A149,tblAsignaciones[semana],$B149)</f>
        <v/>
      </c>
      <c r="D149" s="17">
        <f>C149*p_factor_productividad</f>
        <v/>
      </c>
      <c r="E149" s="17">
        <f>SUMIFS(tblOrdenes[horas_efectivas],tblOrdenes[especialidad],$A149,tblOrdenes[semana],$B149,tblOrdenes[clasificacion],"preventiva")</f>
        <v/>
      </c>
      <c r="F149" s="17">
        <f>SUMIFS(tblOrdenes[horas_efectivas],tblOrdenes[especialidad],$A149,tblOrdenes[semana],$B149,tblOrdenes[clasificacion],"correctiva")</f>
        <v/>
      </c>
      <c r="G149" s="17">
        <f>E149+F149</f>
        <v/>
      </c>
      <c r="H149" s="17">
        <f>D149-G149</f>
        <v/>
      </c>
      <c r="I149" s="18">
        <f>IF(D149=0,"",G149/D149)</f>
        <v/>
      </c>
    </row>
    <row r="150">
      <c r="A150" s="3" t="inlineStr">
        <is>
          <t>AUT</t>
        </is>
      </c>
      <c r="B150" s="3">
        <f>$O$40</f>
        <v/>
      </c>
      <c r="C150" s="17">
        <f>SUMIFS(tblAsignaciones[horas_disponibles],tblAsignaciones[especialidad],$A150,tblAsignaciones[semana],$B150)</f>
        <v/>
      </c>
      <c r="D150" s="17">
        <f>C150*p_factor_productividad</f>
        <v/>
      </c>
      <c r="E150" s="17">
        <f>SUMIFS(tblOrdenes[horas_efectivas],tblOrdenes[especialidad],$A150,tblOrdenes[semana],$B150,tblOrdenes[clasificacion],"preventiva")</f>
        <v/>
      </c>
      <c r="F150" s="17">
        <f>SUMIFS(tblOrdenes[horas_efectivas],tblOrdenes[especialidad],$A150,tblOrdenes[semana],$B150,tblOrdenes[clasificacion],"correctiva")</f>
        <v/>
      </c>
      <c r="G150" s="17">
        <f>E150+F150</f>
        <v/>
      </c>
      <c r="H150" s="17">
        <f>D150-G150</f>
        <v/>
      </c>
      <c r="I150" s="18">
        <f>IF(D150=0,"",G150/D150)</f>
        <v/>
      </c>
    </row>
    <row r="151">
      <c r="A151" s="3" t="inlineStr">
        <is>
          <t>TERCERO</t>
        </is>
      </c>
      <c r="B151" s="3">
        <f>$O$40</f>
        <v/>
      </c>
      <c r="C151" s="17">
        <f>SUMIFS(tblAsignaciones[horas_disponibles],tblAsignaciones[especialidad],$A151,tblAsignaciones[semana],$B151)</f>
        <v/>
      </c>
      <c r="D151" s="17">
        <f>C151*p_factor_productividad</f>
        <v/>
      </c>
      <c r="E151" s="17">
        <f>SUMIFS(tblOrdenes[horas_efectivas],tblOrdenes[especialidad],$A151,tblOrdenes[semana],$B151,tblOrdenes[clasificacion],"preventiva")</f>
        <v/>
      </c>
      <c r="F151" s="17">
        <f>SUMIFS(tblOrdenes[horas_efectivas],tblOrdenes[especialidad],$A151,tblOrdenes[semana],$B151,tblOrdenes[clasificacion],"correctiva")</f>
        <v/>
      </c>
      <c r="G151" s="17">
        <f>E151+F151</f>
        <v/>
      </c>
      <c r="H151" s="17">
        <f>D151-G151</f>
        <v/>
      </c>
      <c r="I151" s="18">
        <f>IF(D151=0,"",G151/D151)</f>
        <v/>
      </c>
    </row>
    <row r="152" hidden="1">
      <c r="A152" s="3" t="inlineStr">
        <is>
          <t>MEC</t>
        </is>
      </c>
      <c r="B152" s="3">
        <f>$O$41</f>
        <v/>
      </c>
      <c r="C152" s="17">
        <f>SUMIFS(tblAsignaciones[horas_disponibles],tblAsignaciones[especialidad],$A152,tblAsignaciones[semana],$B152)</f>
        <v/>
      </c>
      <c r="D152" s="17">
        <f>C152*p_factor_productividad</f>
        <v/>
      </c>
      <c r="E152" s="17">
        <f>SUMIFS(tblOrdenes[horas_efectivas],tblOrdenes[especialidad],$A152,tblOrdenes[semana],$B152,tblOrdenes[clasificacion],"preventiva")</f>
        <v/>
      </c>
      <c r="F152" s="17">
        <f>SUMIFS(tblOrdenes[horas_efectivas],tblOrdenes[especialidad],$A152,tblOrdenes[semana],$B152,tblOrdenes[clasificacion],"correctiva")</f>
        <v/>
      </c>
      <c r="G152" s="17">
        <f>E152+F152</f>
        <v/>
      </c>
      <c r="H152" s="17">
        <f>D152-G152</f>
        <v/>
      </c>
      <c r="I152" s="18">
        <f>IF(D152=0,"",G152/D152)</f>
        <v/>
      </c>
    </row>
    <row r="153" hidden="1">
      <c r="A153" s="3" t="inlineStr">
        <is>
          <t>ELE</t>
        </is>
      </c>
      <c r="B153" s="3">
        <f>$O$41</f>
        <v/>
      </c>
      <c r="C153" s="17">
        <f>SUMIFS(tblAsignaciones[horas_disponibles],tblAsignaciones[especialidad],$A153,tblAsignaciones[semana],$B153)</f>
        <v/>
      </c>
      <c r="D153" s="17">
        <f>C153*p_factor_productividad</f>
        <v/>
      </c>
      <c r="E153" s="17">
        <f>SUMIFS(tblOrdenes[horas_efectivas],tblOrdenes[especialidad],$A153,tblOrdenes[semana],$B153,tblOrdenes[clasificacion],"preventiva")</f>
        <v/>
      </c>
      <c r="F153" s="17">
        <f>SUMIFS(tblOrdenes[horas_efectivas],tblOrdenes[especialidad],$A153,tblOrdenes[semana],$B153,tblOrdenes[clasificacion],"correctiva")</f>
        <v/>
      </c>
      <c r="G153" s="17">
        <f>E153+F153</f>
        <v/>
      </c>
      <c r="H153" s="17">
        <f>D153-G153</f>
        <v/>
      </c>
      <c r="I153" s="18">
        <f>IF(D153=0,"",G153/D153)</f>
        <v/>
      </c>
    </row>
    <row r="154" hidden="1">
      <c r="A154" s="3" t="inlineStr">
        <is>
          <t>AUT</t>
        </is>
      </c>
      <c r="B154" s="3">
        <f>$O$41</f>
        <v/>
      </c>
      <c r="C154" s="17">
        <f>SUMIFS(tblAsignaciones[horas_disponibles],tblAsignaciones[especialidad],$A154,tblAsignaciones[semana],$B154)</f>
        <v/>
      </c>
      <c r="D154" s="17">
        <f>C154*p_factor_productividad</f>
        <v/>
      </c>
      <c r="E154" s="17">
        <f>SUMIFS(tblOrdenes[horas_efectivas],tblOrdenes[especialidad],$A154,tblOrdenes[semana],$B154,tblOrdenes[clasificacion],"preventiva")</f>
        <v/>
      </c>
      <c r="F154" s="17">
        <f>SUMIFS(tblOrdenes[horas_efectivas],tblOrdenes[especialidad],$A154,tblOrdenes[semana],$B154,tblOrdenes[clasificacion],"correctiva")</f>
        <v/>
      </c>
      <c r="G154" s="17">
        <f>E154+F154</f>
        <v/>
      </c>
      <c r="H154" s="17">
        <f>D154-G154</f>
        <v/>
      </c>
      <c r="I154" s="18">
        <f>IF(D154=0,"",G154/D154)</f>
        <v/>
      </c>
    </row>
    <row r="155" hidden="1">
      <c r="A155" s="3" t="inlineStr">
        <is>
          <t>TERCERO</t>
        </is>
      </c>
      <c r="B155" s="3">
        <f>$O$41</f>
        <v/>
      </c>
      <c r="C155" s="17">
        <f>SUMIFS(tblAsignaciones[horas_disponibles],tblAsignaciones[especialidad],$A155,tblAsignaciones[semana],$B155)</f>
        <v/>
      </c>
      <c r="D155" s="17">
        <f>C155*p_factor_productividad</f>
        <v/>
      </c>
      <c r="E155" s="17">
        <f>SUMIFS(tblOrdenes[horas_efectivas],tblOrdenes[especialidad],$A155,tblOrdenes[semana],$B155,tblOrdenes[clasificacion],"preventiva")</f>
        <v/>
      </c>
      <c r="F155" s="17">
        <f>SUMIFS(tblOrdenes[horas_efectivas],tblOrdenes[especialidad],$A155,tblOrdenes[semana],$B155,tblOrdenes[clasificacion],"correctiva")</f>
        <v/>
      </c>
      <c r="G155" s="17">
        <f>E155+F155</f>
        <v/>
      </c>
      <c r="H155" s="17">
        <f>D155-G155</f>
        <v/>
      </c>
      <c r="I155" s="18">
        <f>IF(D155=0,"",G155/D155)</f>
        <v/>
      </c>
    </row>
    <row r="156" hidden="1">
      <c r="A156" s="3" t="inlineStr">
        <is>
          <t>MEC</t>
        </is>
      </c>
      <c r="B156" s="3">
        <f>$O$42</f>
        <v/>
      </c>
      <c r="C156" s="17">
        <f>SUMIFS(tblAsignaciones[horas_disponibles],tblAsignaciones[especialidad],$A156,tblAsignaciones[semana],$B156)</f>
        <v/>
      </c>
      <c r="D156" s="17">
        <f>C156*p_factor_productividad</f>
        <v/>
      </c>
      <c r="E156" s="17">
        <f>SUMIFS(tblOrdenes[horas_efectivas],tblOrdenes[especialidad],$A156,tblOrdenes[semana],$B156,tblOrdenes[clasificacion],"preventiva")</f>
        <v/>
      </c>
      <c r="F156" s="17">
        <f>SUMIFS(tblOrdenes[horas_efectivas],tblOrdenes[especialidad],$A156,tblOrdenes[semana],$B156,tblOrdenes[clasificacion],"correctiva")</f>
        <v/>
      </c>
      <c r="G156" s="17">
        <f>E156+F156</f>
        <v/>
      </c>
      <c r="H156" s="17">
        <f>D156-G156</f>
        <v/>
      </c>
      <c r="I156" s="18">
        <f>IF(D156=0,"",G156/D156)</f>
        <v/>
      </c>
    </row>
    <row r="157" hidden="1">
      <c r="A157" s="3" t="inlineStr">
        <is>
          <t>ELE</t>
        </is>
      </c>
      <c r="B157" s="3">
        <f>$O$42</f>
        <v/>
      </c>
      <c r="C157" s="17">
        <f>SUMIFS(tblAsignaciones[horas_disponibles],tblAsignaciones[especialidad],$A157,tblAsignaciones[semana],$B157)</f>
        <v/>
      </c>
      <c r="D157" s="17">
        <f>C157*p_factor_productividad</f>
        <v/>
      </c>
      <c r="E157" s="17">
        <f>SUMIFS(tblOrdenes[horas_efectivas],tblOrdenes[especialidad],$A157,tblOrdenes[semana],$B157,tblOrdenes[clasificacion],"preventiva")</f>
        <v/>
      </c>
      <c r="F157" s="17">
        <f>SUMIFS(tblOrdenes[horas_efectivas],tblOrdenes[especialidad],$A157,tblOrdenes[semana],$B157,tblOrdenes[clasificacion],"correctiva")</f>
        <v/>
      </c>
      <c r="G157" s="17">
        <f>E157+F157</f>
        <v/>
      </c>
      <c r="H157" s="17">
        <f>D157-G157</f>
        <v/>
      </c>
      <c r="I157" s="18">
        <f>IF(D157=0,"",G157/D157)</f>
        <v/>
      </c>
    </row>
    <row r="158" hidden="1">
      <c r="A158" s="3" t="inlineStr">
        <is>
          <t>AUT</t>
        </is>
      </c>
      <c r="B158" s="3">
        <f>$O$42</f>
        <v/>
      </c>
      <c r="C158" s="17">
        <f>SUMIFS(tblAsignaciones[horas_disponibles],tblAsignaciones[especialidad],$A158,tblAsignaciones[semana],$B158)</f>
        <v/>
      </c>
      <c r="D158" s="17">
        <f>C158*p_factor_productividad</f>
        <v/>
      </c>
      <c r="E158" s="17">
        <f>SUMIFS(tblOrdenes[horas_efectivas],tblOrdenes[especialidad],$A158,tblOrdenes[semana],$B158,tblOrdenes[clasificacion],"preventiva")</f>
        <v/>
      </c>
      <c r="F158" s="17">
        <f>SUMIFS(tblOrdenes[horas_efectivas],tblOrdenes[especialidad],$A158,tblOrdenes[semana],$B158,tblOrdenes[clasificacion],"correctiva")</f>
        <v/>
      </c>
      <c r="G158" s="17">
        <f>E158+F158</f>
        <v/>
      </c>
      <c r="H158" s="17">
        <f>D158-G158</f>
        <v/>
      </c>
      <c r="I158" s="18">
        <f>IF(D158=0,"",G158/D158)</f>
        <v/>
      </c>
    </row>
    <row r="159" hidden="1">
      <c r="A159" s="3" t="inlineStr">
        <is>
          <t>TERCERO</t>
        </is>
      </c>
      <c r="B159" s="3">
        <f>$O$42</f>
        <v/>
      </c>
      <c r="C159" s="17">
        <f>SUMIFS(tblAsignaciones[horas_disponibles],tblAsignaciones[especialidad],$A159,tblAsignaciones[semana],$B159)</f>
        <v/>
      </c>
      <c r="D159" s="17">
        <f>C159*p_factor_productividad</f>
        <v/>
      </c>
      <c r="E159" s="17">
        <f>SUMIFS(tblOrdenes[horas_efectivas],tblOrdenes[especialidad],$A159,tblOrdenes[semana],$B159,tblOrdenes[clasificacion],"preventiva")</f>
        <v/>
      </c>
      <c r="F159" s="17">
        <f>SUMIFS(tblOrdenes[horas_efectivas],tblOrdenes[especialidad],$A159,tblOrdenes[semana],$B159,tblOrdenes[clasificacion],"correctiva")</f>
        <v/>
      </c>
      <c r="G159" s="17">
        <f>E159+F159</f>
        <v/>
      </c>
      <c r="H159" s="17">
        <f>D159-G159</f>
        <v/>
      </c>
      <c r="I159" s="18">
        <f>IF(D159=0,"",G159/D159)</f>
        <v/>
      </c>
    </row>
    <row r="160" hidden="1">
      <c r="A160" s="3" t="inlineStr">
        <is>
          <t>MEC</t>
        </is>
      </c>
      <c r="B160" s="3">
        <f>$O$43</f>
        <v/>
      </c>
      <c r="C160" s="17">
        <f>SUMIFS(tblAsignaciones[horas_disponibles],tblAsignaciones[especialidad],$A160,tblAsignaciones[semana],$B160)</f>
        <v/>
      </c>
      <c r="D160" s="17">
        <f>C160*p_factor_productividad</f>
        <v/>
      </c>
      <c r="E160" s="17">
        <f>SUMIFS(tblOrdenes[horas_efectivas],tblOrdenes[especialidad],$A160,tblOrdenes[semana],$B160,tblOrdenes[clasificacion],"preventiva")</f>
        <v/>
      </c>
      <c r="F160" s="17">
        <f>SUMIFS(tblOrdenes[horas_efectivas],tblOrdenes[especialidad],$A160,tblOrdenes[semana],$B160,tblOrdenes[clasificacion],"correctiva")</f>
        <v/>
      </c>
      <c r="G160" s="17">
        <f>E160+F160</f>
        <v/>
      </c>
      <c r="H160" s="17">
        <f>D160-G160</f>
        <v/>
      </c>
      <c r="I160" s="18">
        <f>IF(D160=0,"",G160/D160)</f>
        <v/>
      </c>
    </row>
    <row r="161" hidden="1">
      <c r="A161" s="3" t="inlineStr">
        <is>
          <t>ELE</t>
        </is>
      </c>
      <c r="B161" s="3">
        <f>$O$43</f>
        <v/>
      </c>
      <c r="C161" s="17">
        <f>SUMIFS(tblAsignaciones[horas_disponibles],tblAsignaciones[especialidad],$A161,tblAsignaciones[semana],$B161)</f>
        <v/>
      </c>
      <c r="D161" s="17">
        <f>C161*p_factor_productividad</f>
        <v/>
      </c>
      <c r="E161" s="17">
        <f>SUMIFS(tblOrdenes[horas_efectivas],tblOrdenes[especialidad],$A161,tblOrdenes[semana],$B161,tblOrdenes[clasificacion],"preventiva")</f>
        <v/>
      </c>
      <c r="F161" s="17">
        <f>SUMIFS(tblOrdenes[horas_efectivas],tblOrdenes[especialidad],$A161,tblOrdenes[semana],$B161,tblOrdenes[clasificacion],"correctiva")</f>
        <v/>
      </c>
      <c r="G161" s="17">
        <f>E161+F161</f>
        <v/>
      </c>
      <c r="H161" s="17">
        <f>D161-G161</f>
        <v/>
      </c>
      <c r="I161" s="18">
        <f>IF(D161=0,"",G161/D161)</f>
        <v/>
      </c>
    </row>
    <row r="162" hidden="1">
      <c r="A162" s="3" t="inlineStr">
        <is>
          <t>AUT</t>
        </is>
      </c>
      <c r="B162" s="3">
        <f>$O$43</f>
        <v/>
      </c>
      <c r="C162" s="17">
        <f>SUMIFS(tblAsignaciones[horas_disponibles],tblAsignaciones[especialidad],$A162,tblAsignaciones[semana],$B162)</f>
        <v/>
      </c>
      <c r="D162" s="17">
        <f>C162*p_factor_productividad</f>
        <v/>
      </c>
      <c r="E162" s="17">
        <f>SUMIFS(tblOrdenes[horas_efectivas],tblOrdenes[especialidad],$A162,tblOrdenes[semana],$B162,tblOrdenes[clasificacion],"preventiva")</f>
        <v/>
      </c>
      <c r="F162" s="17">
        <f>SUMIFS(tblOrdenes[horas_efectivas],tblOrdenes[especialidad],$A162,tblOrdenes[semana],$B162,tblOrdenes[clasificacion],"correctiva")</f>
        <v/>
      </c>
      <c r="G162" s="17">
        <f>E162+F162</f>
        <v/>
      </c>
      <c r="H162" s="17">
        <f>D162-G162</f>
        <v/>
      </c>
      <c r="I162" s="18">
        <f>IF(D162=0,"",G162/D162)</f>
        <v/>
      </c>
    </row>
    <row r="163" hidden="1">
      <c r="A163" s="3" t="inlineStr">
        <is>
          <t>TERCERO</t>
        </is>
      </c>
      <c r="B163" s="3">
        <f>$O$43</f>
        <v/>
      </c>
      <c r="C163" s="17">
        <f>SUMIFS(tblAsignaciones[horas_disponibles],tblAsignaciones[especialidad],$A163,tblAsignaciones[semana],$B163)</f>
        <v/>
      </c>
      <c r="D163" s="17">
        <f>C163*p_factor_productividad</f>
        <v/>
      </c>
      <c r="E163" s="17">
        <f>SUMIFS(tblOrdenes[horas_efectivas],tblOrdenes[especialidad],$A163,tblOrdenes[semana],$B163,tblOrdenes[clasificacion],"preventiva")</f>
        <v/>
      </c>
      <c r="F163" s="17">
        <f>SUMIFS(tblOrdenes[horas_efectivas],tblOrdenes[especialidad],$A163,tblOrdenes[semana],$B163,tblOrdenes[clasificacion],"correctiva")</f>
        <v/>
      </c>
      <c r="G163" s="17">
        <f>E163+F163</f>
        <v/>
      </c>
      <c r="H163" s="17">
        <f>D163-G163</f>
        <v/>
      </c>
      <c r="I163" s="18">
        <f>IF(D163=0,"",G163/D163)</f>
        <v/>
      </c>
    </row>
    <row r="164" hidden="1">
      <c r="A164" s="3" t="inlineStr">
        <is>
          <t>MEC</t>
        </is>
      </c>
      <c r="B164" s="3">
        <f>$O$44</f>
        <v/>
      </c>
      <c r="C164" s="17">
        <f>SUMIFS(tblAsignaciones[horas_disponibles],tblAsignaciones[especialidad],$A164,tblAsignaciones[semana],$B164)</f>
        <v/>
      </c>
      <c r="D164" s="17">
        <f>C164*p_factor_productividad</f>
        <v/>
      </c>
      <c r="E164" s="17">
        <f>SUMIFS(tblOrdenes[horas_efectivas],tblOrdenes[especialidad],$A164,tblOrdenes[semana],$B164,tblOrdenes[clasificacion],"preventiva")</f>
        <v/>
      </c>
      <c r="F164" s="17">
        <f>SUMIFS(tblOrdenes[horas_efectivas],tblOrdenes[especialidad],$A164,tblOrdenes[semana],$B164,tblOrdenes[clasificacion],"correctiva")</f>
        <v/>
      </c>
      <c r="G164" s="17">
        <f>E164+F164</f>
        <v/>
      </c>
      <c r="H164" s="17">
        <f>D164-G164</f>
        <v/>
      </c>
      <c r="I164" s="18">
        <f>IF(D164=0,"",G164/D164)</f>
        <v/>
      </c>
    </row>
    <row r="165" hidden="1">
      <c r="A165" s="3" t="inlineStr">
        <is>
          <t>ELE</t>
        </is>
      </c>
      <c r="B165" s="3">
        <f>$O$44</f>
        <v/>
      </c>
      <c r="C165" s="17">
        <f>SUMIFS(tblAsignaciones[horas_disponibles],tblAsignaciones[especialidad],$A165,tblAsignaciones[semana],$B165)</f>
        <v/>
      </c>
      <c r="D165" s="17">
        <f>C165*p_factor_productividad</f>
        <v/>
      </c>
      <c r="E165" s="17">
        <f>SUMIFS(tblOrdenes[horas_efectivas],tblOrdenes[especialidad],$A165,tblOrdenes[semana],$B165,tblOrdenes[clasificacion],"preventiva")</f>
        <v/>
      </c>
      <c r="F165" s="17">
        <f>SUMIFS(tblOrdenes[horas_efectivas],tblOrdenes[especialidad],$A165,tblOrdenes[semana],$B165,tblOrdenes[clasificacion],"correctiva")</f>
        <v/>
      </c>
      <c r="G165" s="17">
        <f>E165+F165</f>
        <v/>
      </c>
      <c r="H165" s="17">
        <f>D165-G165</f>
        <v/>
      </c>
      <c r="I165" s="18">
        <f>IF(D165=0,"",G165/D165)</f>
        <v/>
      </c>
    </row>
    <row r="166" hidden="1">
      <c r="A166" s="3" t="inlineStr">
        <is>
          <t>AUT</t>
        </is>
      </c>
      <c r="B166" s="3">
        <f>$O$44</f>
        <v/>
      </c>
      <c r="C166" s="17">
        <f>SUMIFS(tblAsignaciones[horas_disponibles],tblAsignaciones[especialidad],$A166,tblAsignaciones[semana],$B166)</f>
        <v/>
      </c>
      <c r="D166" s="17">
        <f>C166*p_factor_productividad</f>
        <v/>
      </c>
      <c r="E166" s="17">
        <f>SUMIFS(tblOrdenes[horas_efectivas],tblOrdenes[especialidad],$A166,tblOrdenes[semana],$B166,tblOrdenes[clasificacion],"preventiva")</f>
        <v/>
      </c>
      <c r="F166" s="17">
        <f>SUMIFS(tblOrdenes[horas_efectivas],tblOrdenes[especialidad],$A166,tblOrdenes[semana],$B166,tblOrdenes[clasificacion],"correctiva")</f>
        <v/>
      </c>
      <c r="G166" s="17">
        <f>E166+F166</f>
        <v/>
      </c>
      <c r="H166" s="17">
        <f>D166-G166</f>
        <v/>
      </c>
      <c r="I166" s="18">
        <f>IF(D166=0,"",G166/D166)</f>
        <v/>
      </c>
    </row>
    <row r="167" hidden="1">
      <c r="A167" s="3" t="inlineStr">
        <is>
          <t>TERCERO</t>
        </is>
      </c>
      <c r="B167" s="3">
        <f>$O$44</f>
        <v/>
      </c>
      <c r="C167" s="17">
        <f>SUMIFS(tblAsignaciones[horas_disponibles],tblAsignaciones[especialidad],$A167,tblAsignaciones[semana],$B167)</f>
        <v/>
      </c>
      <c r="D167" s="17">
        <f>C167*p_factor_productividad</f>
        <v/>
      </c>
      <c r="E167" s="17">
        <f>SUMIFS(tblOrdenes[horas_efectivas],tblOrdenes[especialidad],$A167,tblOrdenes[semana],$B167,tblOrdenes[clasificacion],"preventiva")</f>
        <v/>
      </c>
      <c r="F167" s="17">
        <f>SUMIFS(tblOrdenes[horas_efectivas],tblOrdenes[especialidad],$A167,tblOrdenes[semana],$B167,tblOrdenes[clasificacion],"correctiva")</f>
        <v/>
      </c>
      <c r="G167" s="17">
        <f>E167+F167</f>
        <v/>
      </c>
      <c r="H167" s="17">
        <f>D167-G167</f>
        <v/>
      </c>
      <c r="I167" s="18">
        <f>IF(D167=0,"",G167/D167)</f>
        <v/>
      </c>
    </row>
    <row r="168" hidden="1">
      <c r="A168" s="3" t="inlineStr">
        <is>
          <t>MEC</t>
        </is>
      </c>
      <c r="B168" s="3">
        <f>$O$45</f>
        <v/>
      </c>
      <c r="C168" s="17">
        <f>SUMIFS(tblAsignaciones[horas_disponibles],tblAsignaciones[especialidad],$A168,tblAsignaciones[semana],$B168)</f>
        <v/>
      </c>
      <c r="D168" s="17">
        <f>C168*p_factor_productividad</f>
        <v/>
      </c>
      <c r="E168" s="17">
        <f>SUMIFS(tblOrdenes[horas_efectivas],tblOrdenes[especialidad],$A168,tblOrdenes[semana],$B168,tblOrdenes[clasificacion],"preventiva")</f>
        <v/>
      </c>
      <c r="F168" s="17">
        <f>SUMIFS(tblOrdenes[horas_efectivas],tblOrdenes[especialidad],$A168,tblOrdenes[semana],$B168,tblOrdenes[clasificacion],"correctiva")</f>
        <v/>
      </c>
      <c r="G168" s="17">
        <f>E168+F168</f>
        <v/>
      </c>
      <c r="H168" s="17">
        <f>D168-G168</f>
        <v/>
      </c>
      <c r="I168" s="18">
        <f>IF(D168=0,"",G168/D168)</f>
        <v/>
      </c>
    </row>
    <row r="169" hidden="1">
      <c r="A169" s="3" t="inlineStr">
        <is>
          <t>ELE</t>
        </is>
      </c>
      <c r="B169" s="3">
        <f>$O$45</f>
        <v/>
      </c>
      <c r="C169" s="17">
        <f>SUMIFS(tblAsignaciones[horas_disponibles],tblAsignaciones[especialidad],$A169,tblAsignaciones[semana],$B169)</f>
        <v/>
      </c>
      <c r="D169" s="17">
        <f>C169*p_factor_productividad</f>
        <v/>
      </c>
      <c r="E169" s="17">
        <f>SUMIFS(tblOrdenes[horas_efectivas],tblOrdenes[especialidad],$A169,tblOrdenes[semana],$B169,tblOrdenes[clasificacion],"preventiva")</f>
        <v/>
      </c>
      <c r="F169" s="17">
        <f>SUMIFS(tblOrdenes[horas_efectivas],tblOrdenes[especialidad],$A169,tblOrdenes[semana],$B169,tblOrdenes[clasificacion],"correctiva")</f>
        <v/>
      </c>
      <c r="G169" s="17">
        <f>E169+F169</f>
        <v/>
      </c>
      <c r="H169" s="17">
        <f>D169-G169</f>
        <v/>
      </c>
      <c r="I169" s="18">
        <f>IF(D169=0,"",G169/D169)</f>
        <v/>
      </c>
    </row>
    <row r="170" hidden="1">
      <c r="A170" s="3" t="inlineStr">
        <is>
          <t>AUT</t>
        </is>
      </c>
      <c r="B170" s="3">
        <f>$O$45</f>
        <v/>
      </c>
      <c r="C170" s="17">
        <f>SUMIFS(tblAsignaciones[horas_disponibles],tblAsignaciones[especialidad],$A170,tblAsignaciones[semana],$B170)</f>
        <v/>
      </c>
      <c r="D170" s="17">
        <f>C170*p_factor_productividad</f>
        <v/>
      </c>
      <c r="E170" s="17">
        <f>SUMIFS(tblOrdenes[horas_efectivas],tblOrdenes[especialidad],$A170,tblOrdenes[semana],$B170,tblOrdenes[clasificacion],"preventiva")</f>
        <v/>
      </c>
      <c r="F170" s="17">
        <f>SUMIFS(tblOrdenes[horas_efectivas],tblOrdenes[especialidad],$A170,tblOrdenes[semana],$B170,tblOrdenes[clasificacion],"correctiva")</f>
        <v/>
      </c>
      <c r="G170" s="17">
        <f>E170+F170</f>
        <v/>
      </c>
      <c r="H170" s="17">
        <f>D170-G170</f>
        <v/>
      </c>
      <c r="I170" s="18">
        <f>IF(D170=0,"",G170/D170)</f>
        <v/>
      </c>
    </row>
    <row r="171" hidden="1">
      <c r="A171" s="3" t="inlineStr">
        <is>
          <t>TERCERO</t>
        </is>
      </c>
      <c r="B171" s="3">
        <f>$O$45</f>
        <v/>
      </c>
      <c r="C171" s="17">
        <f>SUMIFS(tblAsignaciones[horas_disponibles],tblAsignaciones[especialidad],$A171,tblAsignaciones[semana],$B171)</f>
        <v/>
      </c>
      <c r="D171" s="17">
        <f>C171*p_factor_productividad</f>
        <v/>
      </c>
      <c r="E171" s="17">
        <f>SUMIFS(tblOrdenes[horas_efectivas],tblOrdenes[especialidad],$A171,tblOrdenes[semana],$B171,tblOrdenes[clasificacion],"preventiva")</f>
        <v/>
      </c>
      <c r="F171" s="17">
        <f>SUMIFS(tblOrdenes[horas_efectivas],tblOrdenes[especialidad],$A171,tblOrdenes[semana],$B171,tblOrdenes[clasificacion],"correctiva")</f>
        <v/>
      </c>
      <c r="G171" s="17">
        <f>E171+F171</f>
        <v/>
      </c>
      <c r="H171" s="17">
        <f>D171-G171</f>
        <v/>
      </c>
      <c r="I171" s="18">
        <f>IF(D171=0,"",G171/D171)</f>
        <v/>
      </c>
    </row>
    <row r="172" hidden="1">
      <c r="A172" s="3" t="inlineStr">
        <is>
          <t>MEC</t>
        </is>
      </c>
      <c r="B172" s="3">
        <f>$O$46</f>
        <v/>
      </c>
      <c r="C172" s="17">
        <f>SUMIFS(tblAsignaciones[horas_disponibles],tblAsignaciones[especialidad],$A172,tblAsignaciones[semana],$B172)</f>
        <v/>
      </c>
      <c r="D172" s="17">
        <f>C172*p_factor_productividad</f>
        <v/>
      </c>
      <c r="E172" s="17">
        <f>SUMIFS(tblOrdenes[horas_efectivas],tblOrdenes[especialidad],$A172,tblOrdenes[semana],$B172,tblOrdenes[clasificacion],"preventiva")</f>
        <v/>
      </c>
      <c r="F172" s="17">
        <f>SUMIFS(tblOrdenes[horas_efectivas],tblOrdenes[especialidad],$A172,tblOrdenes[semana],$B172,tblOrdenes[clasificacion],"correctiva")</f>
        <v/>
      </c>
      <c r="G172" s="17">
        <f>E172+F172</f>
        <v/>
      </c>
      <c r="H172" s="17">
        <f>D172-G172</f>
        <v/>
      </c>
      <c r="I172" s="18">
        <f>IF(D172=0,"",G172/D172)</f>
        <v/>
      </c>
    </row>
    <row r="173" hidden="1">
      <c r="A173" s="3" t="inlineStr">
        <is>
          <t>ELE</t>
        </is>
      </c>
      <c r="B173" s="3">
        <f>$O$46</f>
        <v/>
      </c>
      <c r="C173" s="17">
        <f>SUMIFS(tblAsignaciones[horas_disponibles],tblAsignaciones[especialidad],$A173,tblAsignaciones[semana],$B173)</f>
        <v/>
      </c>
      <c r="D173" s="17">
        <f>C173*p_factor_productividad</f>
        <v/>
      </c>
      <c r="E173" s="17">
        <f>SUMIFS(tblOrdenes[horas_efectivas],tblOrdenes[especialidad],$A173,tblOrdenes[semana],$B173,tblOrdenes[clasificacion],"preventiva")</f>
        <v/>
      </c>
      <c r="F173" s="17">
        <f>SUMIFS(tblOrdenes[horas_efectivas],tblOrdenes[especialidad],$A173,tblOrdenes[semana],$B173,tblOrdenes[clasificacion],"correctiva")</f>
        <v/>
      </c>
      <c r="G173" s="17">
        <f>E173+F173</f>
        <v/>
      </c>
      <c r="H173" s="17">
        <f>D173-G173</f>
        <v/>
      </c>
      <c r="I173" s="18">
        <f>IF(D173=0,"",G173/D173)</f>
        <v/>
      </c>
    </row>
    <row r="174" hidden="1">
      <c r="A174" s="3" t="inlineStr">
        <is>
          <t>AUT</t>
        </is>
      </c>
      <c r="B174" s="3">
        <f>$O$46</f>
        <v/>
      </c>
      <c r="C174" s="17">
        <f>SUMIFS(tblAsignaciones[horas_disponibles],tblAsignaciones[especialidad],$A174,tblAsignaciones[semana],$B174)</f>
        <v/>
      </c>
      <c r="D174" s="17">
        <f>C174*p_factor_productividad</f>
        <v/>
      </c>
      <c r="E174" s="17">
        <f>SUMIFS(tblOrdenes[horas_efectivas],tblOrdenes[especialidad],$A174,tblOrdenes[semana],$B174,tblOrdenes[clasificacion],"preventiva")</f>
        <v/>
      </c>
      <c r="F174" s="17">
        <f>SUMIFS(tblOrdenes[horas_efectivas],tblOrdenes[especialidad],$A174,tblOrdenes[semana],$B174,tblOrdenes[clasificacion],"correctiva")</f>
        <v/>
      </c>
      <c r="G174" s="17">
        <f>E174+F174</f>
        <v/>
      </c>
      <c r="H174" s="17">
        <f>D174-G174</f>
        <v/>
      </c>
      <c r="I174" s="18">
        <f>IF(D174=0,"",G174/D174)</f>
        <v/>
      </c>
    </row>
    <row r="175" hidden="1">
      <c r="A175" s="3" t="inlineStr">
        <is>
          <t>TERCERO</t>
        </is>
      </c>
      <c r="B175" s="3">
        <f>$O$46</f>
        <v/>
      </c>
      <c r="C175" s="17">
        <f>SUMIFS(tblAsignaciones[horas_disponibles],tblAsignaciones[especialidad],$A175,tblAsignaciones[semana],$B175)</f>
        <v/>
      </c>
      <c r="D175" s="17">
        <f>C175*p_factor_productividad</f>
        <v/>
      </c>
      <c r="E175" s="17">
        <f>SUMIFS(tblOrdenes[horas_efectivas],tblOrdenes[especialidad],$A175,tblOrdenes[semana],$B175,tblOrdenes[clasificacion],"preventiva")</f>
        <v/>
      </c>
      <c r="F175" s="17">
        <f>SUMIFS(tblOrdenes[horas_efectivas],tblOrdenes[especialidad],$A175,tblOrdenes[semana],$B175,tblOrdenes[clasificacion],"correctiva")</f>
        <v/>
      </c>
      <c r="G175" s="17">
        <f>E175+F175</f>
        <v/>
      </c>
      <c r="H175" s="17">
        <f>D175-G175</f>
        <v/>
      </c>
      <c r="I175" s="18">
        <f>IF(D175=0,"",G175/D175)</f>
        <v/>
      </c>
    </row>
    <row r="176" hidden="1">
      <c r="A176" s="3" t="inlineStr">
        <is>
          <t>MEC</t>
        </is>
      </c>
      <c r="B176" s="3">
        <f>$O$47</f>
        <v/>
      </c>
      <c r="C176" s="17">
        <f>SUMIFS(tblAsignaciones[horas_disponibles],tblAsignaciones[especialidad],$A176,tblAsignaciones[semana],$B176)</f>
        <v/>
      </c>
      <c r="D176" s="17">
        <f>C176*p_factor_productividad</f>
        <v/>
      </c>
      <c r="E176" s="17">
        <f>SUMIFS(tblOrdenes[horas_efectivas],tblOrdenes[especialidad],$A176,tblOrdenes[semana],$B176,tblOrdenes[clasificacion],"preventiva")</f>
        <v/>
      </c>
      <c r="F176" s="17">
        <f>SUMIFS(tblOrdenes[horas_efectivas],tblOrdenes[especialidad],$A176,tblOrdenes[semana],$B176,tblOrdenes[clasificacion],"correctiva")</f>
        <v/>
      </c>
      <c r="G176" s="17">
        <f>E176+F176</f>
        <v/>
      </c>
      <c r="H176" s="17">
        <f>D176-G176</f>
        <v/>
      </c>
      <c r="I176" s="18">
        <f>IF(D176=0,"",G176/D176)</f>
        <v/>
      </c>
    </row>
    <row r="177" hidden="1">
      <c r="A177" s="3" t="inlineStr">
        <is>
          <t>ELE</t>
        </is>
      </c>
      <c r="B177" s="3">
        <f>$O$47</f>
        <v/>
      </c>
      <c r="C177" s="17">
        <f>SUMIFS(tblAsignaciones[horas_disponibles],tblAsignaciones[especialidad],$A177,tblAsignaciones[semana],$B177)</f>
        <v/>
      </c>
      <c r="D177" s="17">
        <f>C177*p_factor_productividad</f>
        <v/>
      </c>
      <c r="E177" s="17">
        <f>SUMIFS(tblOrdenes[horas_efectivas],tblOrdenes[especialidad],$A177,tblOrdenes[semana],$B177,tblOrdenes[clasificacion],"preventiva")</f>
        <v/>
      </c>
      <c r="F177" s="17">
        <f>SUMIFS(tblOrdenes[horas_efectivas],tblOrdenes[especialidad],$A177,tblOrdenes[semana],$B177,tblOrdenes[clasificacion],"correctiva")</f>
        <v/>
      </c>
      <c r="G177" s="17">
        <f>E177+F177</f>
        <v/>
      </c>
      <c r="H177" s="17">
        <f>D177-G177</f>
        <v/>
      </c>
      <c r="I177" s="18">
        <f>IF(D177=0,"",G177/D177)</f>
        <v/>
      </c>
    </row>
    <row r="178" hidden="1">
      <c r="A178" s="3" t="inlineStr">
        <is>
          <t>AUT</t>
        </is>
      </c>
      <c r="B178" s="3">
        <f>$O$47</f>
        <v/>
      </c>
      <c r="C178" s="17">
        <f>SUMIFS(tblAsignaciones[horas_disponibles],tblAsignaciones[especialidad],$A178,tblAsignaciones[semana],$B178)</f>
        <v/>
      </c>
      <c r="D178" s="17">
        <f>C178*p_factor_productividad</f>
        <v/>
      </c>
      <c r="E178" s="17">
        <f>SUMIFS(tblOrdenes[horas_efectivas],tblOrdenes[especialidad],$A178,tblOrdenes[semana],$B178,tblOrdenes[clasificacion],"preventiva")</f>
        <v/>
      </c>
      <c r="F178" s="17">
        <f>SUMIFS(tblOrdenes[horas_efectivas],tblOrdenes[especialidad],$A178,tblOrdenes[semana],$B178,tblOrdenes[clasificacion],"correctiva")</f>
        <v/>
      </c>
      <c r="G178" s="17">
        <f>E178+F178</f>
        <v/>
      </c>
      <c r="H178" s="17">
        <f>D178-G178</f>
        <v/>
      </c>
      <c r="I178" s="18">
        <f>IF(D178=0,"",G178/D178)</f>
        <v/>
      </c>
    </row>
    <row r="179" hidden="1">
      <c r="A179" s="3" t="inlineStr">
        <is>
          <t>TERCERO</t>
        </is>
      </c>
      <c r="B179" s="3">
        <f>$O$47</f>
        <v/>
      </c>
      <c r="C179" s="17">
        <f>SUMIFS(tblAsignaciones[horas_disponibles],tblAsignaciones[especialidad],$A179,tblAsignaciones[semana],$B179)</f>
        <v/>
      </c>
      <c r="D179" s="17">
        <f>C179*p_factor_productividad</f>
        <v/>
      </c>
      <c r="E179" s="17">
        <f>SUMIFS(tblOrdenes[horas_efectivas],tblOrdenes[especialidad],$A179,tblOrdenes[semana],$B179,tblOrdenes[clasificacion],"preventiva")</f>
        <v/>
      </c>
      <c r="F179" s="17">
        <f>SUMIFS(tblOrdenes[horas_efectivas],tblOrdenes[especialidad],$A179,tblOrdenes[semana],$B179,tblOrdenes[clasificacion],"correctiva")</f>
        <v/>
      </c>
      <c r="G179" s="17">
        <f>E179+F179</f>
        <v/>
      </c>
      <c r="H179" s="17">
        <f>D179-G179</f>
        <v/>
      </c>
      <c r="I179" s="18">
        <f>IF(D179=0,"",G179/D179)</f>
        <v/>
      </c>
    </row>
    <row r="180">
      <c r="A180" s="3" t="inlineStr">
        <is>
          <t>MEC</t>
        </is>
      </c>
      <c r="B180" s="3">
        <f>$O$48</f>
        <v/>
      </c>
      <c r="C180" s="17">
        <f>SUMIFS(tblAsignaciones[horas_disponibles],tblAsignaciones[especialidad],$A180,tblAsignaciones[semana],$B180)</f>
        <v/>
      </c>
      <c r="D180" s="17">
        <f>C180*p_factor_productividad</f>
        <v/>
      </c>
      <c r="E180" s="17">
        <f>SUMIFS(tblOrdenes[horas_efectivas],tblOrdenes[especialidad],$A180,tblOrdenes[semana],$B180,tblOrdenes[clasificacion],"preventiva")</f>
        <v/>
      </c>
      <c r="F180" s="17">
        <f>SUMIFS(tblOrdenes[horas_efectivas],tblOrdenes[especialidad],$A180,tblOrdenes[semana],$B180,tblOrdenes[clasificacion],"correctiva")</f>
        <v/>
      </c>
      <c r="G180" s="17">
        <f>E180+F180</f>
        <v/>
      </c>
      <c r="H180" s="17">
        <f>D180-G180</f>
        <v/>
      </c>
      <c r="I180" s="18">
        <f>IF(D180=0,"",G180/D180)</f>
        <v/>
      </c>
    </row>
    <row r="181">
      <c r="A181" s="3" t="inlineStr">
        <is>
          <t>ELE</t>
        </is>
      </c>
      <c r="B181" s="3">
        <f>$O$48</f>
        <v/>
      </c>
      <c r="C181" s="17">
        <f>SUMIFS(tblAsignaciones[horas_disponibles],tblAsignaciones[especialidad],$A181,tblAsignaciones[semana],$B181)</f>
        <v/>
      </c>
      <c r="D181" s="17">
        <f>C181*p_factor_productividad</f>
        <v/>
      </c>
      <c r="E181" s="17">
        <f>SUMIFS(tblOrdenes[horas_efectivas],tblOrdenes[especialidad],$A181,tblOrdenes[semana],$B181,tblOrdenes[clasificacion],"preventiva")</f>
        <v/>
      </c>
      <c r="F181" s="17">
        <f>SUMIFS(tblOrdenes[horas_efectivas],tblOrdenes[especialidad],$A181,tblOrdenes[semana],$B181,tblOrdenes[clasificacion],"correctiva")</f>
        <v/>
      </c>
      <c r="G181" s="17">
        <f>E181+F181</f>
        <v/>
      </c>
      <c r="H181" s="17">
        <f>D181-G181</f>
        <v/>
      </c>
      <c r="I181" s="18">
        <f>IF(D181=0,"",G181/D181)</f>
        <v/>
      </c>
    </row>
    <row r="182">
      <c r="A182" s="3" t="inlineStr">
        <is>
          <t>AUT</t>
        </is>
      </c>
      <c r="B182" s="3">
        <f>$O$48</f>
        <v/>
      </c>
      <c r="C182" s="17">
        <f>SUMIFS(tblAsignaciones[horas_disponibles],tblAsignaciones[especialidad],$A182,tblAsignaciones[semana],$B182)</f>
        <v/>
      </c>
      <c r="D182" s="17">
        <f>C182*p_factor_productividad</f>
        <v/>
      </c>
      <c r="E182" s="17">
        <f>SUMIFS(tblOrdenes[horas_efectivas],tblOrdenes[especialidad],$A182,tblOrdenes[semana],$B182,tblOrdenes[clasificacion],"preventiva")</f>
        <v/>
      </c>
      <c r="F182" s="17">
        <f>SUMIFS(tblOrdenes[horas_efectivas],tblOrdenes[especialidad],$A182,tblOrdenes[semana],$B182,tblOrdenes[clasificacion],"correctiva")</f>
        <v/>
      </c>
      <c r="G182" s="17">
        <f>E182+F182</f>
        <v/>
      </c>
      <c r="H182" s="17">
        <f>D182-G182</f>
        <v/>
      </c>
      <c r="I182" s="18">
        <f>IF(D182=0,"",G182/D182)</f>
        <v/>
      </c>
    </row>
    <row r="183">
      <c r="A183" s="3" t="inlineStr">
        <is>
          <t>TERCERO</t>
        </is>
      </c>
      <c r="B183" s="3">
        <f>$O$48</f>
        <v/>
      </c>
      <c r="C183" s="17">
        <f>SUMIFS(tblAsignaciones[horas_disponibles],tblAsignaciones[especialidad],$A183,tblAsignaciones[semana],$B183)</f>
        <v/>
      </c>
      <c r="D183" s="17">
        <f>C183*p_factor_productividad</f>
        <v/>
      </c>
      <c r="E183" s="17">
        <f>SUMIFS(tblOrdenes[horas_efectivas],tblOrdenes[especialidad],$A183,tblOrdenes[semana],$B183,tblOrdenes[clasificacion],"preventiva")</f>
        <v/>
      </c>
      <c r="F183" s="17">
        <f>SUMIFS(tblOrdenes[horas_efectivas],tblOrdenes[especialidad],$A183,tblOrdenes[semana],$B183,tblOrdenes[clasificacion],"correctiva")</f>
        <v/>
      </c>
      <c r="G183" s="17">
        <f>E183+F183</f>
        <v/>
      </c>
      <c r="H183" s="17">
        <f>D183-G183</f>
        <v/>
      </c>
      <c r="I183" s="18">
        <f>IF(D183=0,"",G183/D183)</f>
        <v/>
      </c>
    </row>
    <row r="184">
      <c r="A184" s="3" t="inlineStr">
        <is>
          <t>MEC</t>
        </is>
      </c>
      <c r="B184" s="3">
        <f>$O$49</f>
        <v/>
      </c>
      <c r="C184" s="17">
        <f>SUMIFS(tblAsignaciones[horas_disponibles],tblAsignaciones[especialidad],$A184,tblAsignaciones[semana],$B184)</f>
        <v/>
      </c>
      <c r="D184" s="17">
        <f>C184*p_factor_productividad</f>
        <v/>
      </c>
      <c r="E184" s="17">
        <f>SUMIFS(tblOrdenes[horas_efectivas],tblOrdenes[especialidad],$A184,tblOrdenes[semana],$B184,tblOrdenes[clasificacion],"preventiva")</f>
        <v/>
      </c>
      <c r="F184" s="17">
        <f>SUMIFS(tblOrdenes[horas_efectivas],tblOrdenes[especialidad],$A184,tblOrdenes[semana],$B184,tblOrdenes[clasificacion],"correctiva")</f>
        <v/>
      </c>
      <c r="G184" s="17">
        <f>E184+F184</f>
        <v/>
      </c>
      <c r="H184" s="17">
        <f>D184-G184</f>
        <v/>
      </c>
      <c r="I184" s="18">
        <f>IF(D184=0,"",G184/D184)</f>
        <v/>
      </c>
    </row>
    <row r="185">
      <c r="A185" s="3" t="inlineStr">
        <is>
          <t>ELE</t>
        </is>
      </c>
      <c r="B185" s="3">
        <f>$O$49</f>
        <v/>
      </c>
      <c r="C185" s="17">
        <f>SUMIFS(tblAsignaciones[horas_disponibles],tblAsignaciones[especialidad],$A185,tblAsignaciones[semana],$B185)</f>
        <v/>
      </c>
      <c r="D185" s="17">
        <f>C185*p_factor_productividad</f>
        <v/>
      </c>
      <c r="E185" s="17">
        <f>SUMIFS(tblOrdenes[horas_efectivas],tblOrdenes[especialidad],$A185,tblOrdenes[semana],$B185,tblOrdenes[clasificacion],"preventiva")</f>
        <v/>
      </c>
      <c r="F185" s="17">
        <f>SUMIFS(tblOrdenes[horas_efectivas],tblOrdenes[especialidad],$A185,tblOrdenes[semana],$B185,tblOrdenes[clasificacion],"correctiva")</f>
        <v/>
      </c>
      <c r="G185" s="17">
        <f>E185+F185</f>
        <v/>
      </c>
      <c r="H185" s="17">
        <f>D185-G185</f>
        <v/>
      </c>
      <c r="I185" s="18">
        <f>IF(D185=0,"",G185/D185)</f>
        <v/>
      </c>
    </row>
    <row r="186">
      <c r="A186" s="3" t="inlineStr">
        <is>
          <t>AUT</t>
        </is>
      </c>
      <c r="B186" s="3">
        <f>$O$49</f>
        <v/>
      </c>
      <c r="C186" s="17">
        <f>SUMIFS(tblAsignaciones[horas_disponibles],tblAsignaciones[especialidad],$A186,tblAsignaciones[semana],$B186)</f>
        <v/>
      </c>
      <c r="D186" s="17">
        <f>C186*p_factor_productividad</f>
        <v/>
      </c>
      <c r="E186" s="17">
        <f>SUMIFS(tblOrdenes[horas_efectivas],tblOrdenes[especialidad],$A186,tblOrdenes[semana],$B186,tblOrdenes[clasificacion],"preventiva")</f>
        <v/>
      </c>
      <c r="F186" s="17">
        <f>SUMIFS(tblOrdenes[horas_efectivas],tblOrdenes[especialidad],$A186,tblOrdenes[semana],$B186,tblOrdenes[clasificacion],"correctiva")</f>
        <v/>
      </c>
      <c r="G186" s="17">
        <f>E186+F186</f>
        <v/>
      </c>
      <c r="H186" s="17">
        <f>D186-G186</f>
        <v/>
      </c>
      <c r="I186" s="18">
        <f>IF(D186=0,"",G186/D186)</f>
        <v/>
      </c>
    </row>
    <row r="187">
      <c r="A187" s="3" t="inlineStr">
        <is>
          <t>TERCERO</t>
        </is>
      </c>
      <c r="B187" s="3">
        <f>$O$49</f>
        <v/>
      </c>
      <c r="C187" s="17">
        <f>SUMIFS(tblAsignaciones[horas_disponibles],tblAsignaciones[especialidad],$A187,tblAsignaciones[semana],$B187)</f>
        <v/>
      </c>
      <c r="D187" s="17">
        <f>C187*p_factor_productividad</f>
        <v/>
      </c>
      <c r="E187" s="17">
        <f>SUMIFS(tblOrdenes[horas_efectivas],tblOrdenes[especialidad],$A187,tblOrdenes[semana],$B187,tblOrdenes[clasificacion],"preventiva")</f>
        <v/>
      </c>
      <c r="F187" s="17">
        <f>SUMIFS(tblOrdenes[horas_efectivas],tblOrdenes[especialidad],$A187,tblOrdenes[semana],$B187,tblOrdenes[clasificacion],"correctiva")</f>
        <v/>
      </c>
      <c r="G187" s="17">
        <f>E187+F187</f>
        <v/>
      </c>
      <c r="H187" s="17">
        <f>D187-G187</f>
        <v/>
      </c>
      <c r="I187" s="18">
        <f>IF(D187=0,"",G187/D187)</f>
        <v/>
      </c>
    </row>
    <row r="188" hidden="1">
      <c r="A188" s="3" t="inlineStr">
        <is>
          <t>MEC</t>
        </is>
      </c>
      <c r="B188" s="3">
        <f>$O$50</f>
        <v/>
      </c>
      <c r="C188" s="17">
        <f>SUMIFS(tblAsignaciones[horas_disponibles],tblAsignaciones[especialidad],$A188,tblAsignaciones[semana],$B188)</f>
        <v/>
      </c>
      <c r="D188" s="17">
        <f>C188*p_factor_productividad</f>
        <v/>
      </c>
      <c r="E188" s="17">
        <f>SUMIFS(tblOrdenes[horas_efectivas],tblOrdenes[especialidad],$A188,tblOrdenes[semana],$B188,tblOrdenes[clasificacion],"preventiva")</f>
        <v/>
      </c>
      <c r="F188" s="17">
        <f>SUMIFS(tblOrdenes[horas_efectivas],tblOrdenes[especialidad],$A188,tblOrdenes[semana],$B188,tblOrdenes[clasificacion],"correctiva")</f>
        <v/>
      </c>
      <c r="G188" s="17">
        <f>E188+F188</f>
        <v/>
      </c>
      <c r="H188" s="17">
        <f>D188-G188</f>
        <v/>
      </c>
      <c r="I188" s="18">
        <f>IF(D188=0,"",G188/D188)</f>
        <v/>
      </c>
    </row>
    <row r="189" hidden="1">
      <c r="A189" s="3" t="inlineStr">
        <is>
          <t>ELE</t>
        </is>
      </c>
      <c r="B189" s="3">
        <f>$O$50</f>
        <v/>
      </c>
      <c r="C189" s="17">
        <f>SUMIFS(tblAsignaciones[horas_disponibles],tblAsignaciones[especialidad],$A189,tblAsignaciones[semana],$B189)</f>
        <v/>
      </c>
      <c r="D189" s="17">
        <f>C189*p_factor_productividad</f>
        <v/>
      </c>
      <c r="E189" s="17">
        <f>SUMIFS(tblOrdenes[horas_efectivas],tblOrdenes[especialidad],$A189,tblOrdenes[semana],$B189,tblOrdenes[clasificacion],"preventiva")</f>
        <v/>
      </c>
      <c r="F189" s="17">
        <f>SUMIFS(tblOrdenes[horas_efectivas],tblOrdenes[especialidad],$A189,tblOrdenes[semana],$B189,tblOrdenes[clasificacion],"correctiva")</f>
        <v/>
      </c>
      <c r="G189" s="17">
        <f>E189+F189</f>
        <v/>
      </c>
      <c r="H189" s="17">
        <f>D189-G189</f>
        <v/>
      </c>
      <c r="I189" s="18">
        <f>IF(D189=0,"",G189/D189)</f>
        <v/>
      </c>
    </row>
    <row r="190" hidden="1">
      <c r="A190" s="3" t="inlineStr">
        <is>
          <t>AUT</t>
        </is>
      </c>
      <c r="B190" s="3">
        <f>$O$50</f>
        <v/>
      </c>
      <c r="C190" s="17">
        <f>SUMIFS(tblAsignaciones[horas_disponibles],tblAsignaciones[especialidad],$A190,tblAsignaciones[semana],$B190)</f>
        <v/>
      </c>
      <c r="D190" s="17">
        <f>C190*p_factor_productividad</f>
        <v/>
      </c>
      <c r="E190" s="17">
        <f>SUMIFS(tblOrdenes[horas_efectivas],tblOrdenes[especialidad],$A190,tblOrdenes[semana],$B190,tblOrdenes[clasificacion],"preventiva")</f>
        <v/>
      </c>
      <c r="F190" s="17">
        <f>SUMIFS(tblOrdenes[horas_efectivas],tblOrdenes[especialidad],$A190,tblOrdenes[semana],$B190,tblOrdenes[clasificacion],"correctiva")</f>
        <v/>
      </c>
      <c r="G190" s="17">
        <f>E190+F190</f>
        <v/>
      </c>
      <c r="H190" s="17">
        <f>D190-G190</f>
        <v/>
      </c>
      <c r="I190" s="18">
        <f>IF(D190=0,"",G190/D190)</f>
        <v/>
      </c>
    </row>
    <row r="191" hidden="1">
      <c r="A191" s="3" t="inlineStr">
        <is>
          <t>TERCERO</t>
        </is>
      </c>
      <c r="B191" s="3">
        <f>$O$50</f>
        <v/>
      </c>
      <c r="C191" s="17">
        <f>SUMIFS(tblAsignaciones[horas_disponibles],tblAsignaciones[especialidad],$A191,tblAsignaciones[semana],$B191)</f>
        <v/>
      </c>
      <c r="D191" s="17">
        <f>C191*p_factor_productividad</f>
        <v/>
      </c>
      <c r="E191" s="17">
        <f>SUMIFS(tblOrdenes[horas_efectivas],tblOrdenes[especialidad],$A191,tblOrdenes[semana],$B191,tblOrdenes[clasificacion],"preventiva")</f>
        <v/>
      </c>
      <c r="F191" s="17">
        <f>SUMIFS(tblOrdenes[horas_efectivas],tblOrdenes[especialidad],$A191,tblOrdenes[semana],$B191,tblOrdenes[clasificacion],"correctiva")</f>
        <v/>
      </c>
      <c r="G191" s="17">
        <f>E191+F191</f>
        <v/>
      </c>
      <c r="H191" s="17">
        <f>D191-G191</f>
        <v/>
      </c>
      <c r="I191" s="18">
        <f>IF(D191=0,"",G191/D191)</f>
        <v/>
      </c>
    </row>
    <row r="192" hidden="1">
      <c r="A192" s="3" t="inlineStr">
        <is>
          <t>MEC</t>
        </is>
      </c>
      <c r="B192" s="3">
        <f>$O$51</f>
        <v/>
      </c>
      <c r="C192" s="17">
        <f>SUMIFS(tblAsignaciones[horas_disponibles],tblAsignaciones[especialidad],$A192,tblAsignaciones[semana],$B192)</f>
        <v/>
      </c>
      <c r="D192" s="17">
        <f>C192*p_factor_productividad</f>
        <v/>
      </c>
      <c r="E192" s="17">
        <f>SUMIFS(tblOrdenes[horas_efectivas],tblOrdenes[especialidad],$A192,tblOrdenes[semana],$B192,tblOrdenes[clasificacion],"preventiva")</f>
        <v/>
      </c>
      <c r="F192" s="17">
        <f>SUMIFS(tblOrdenes[horas_efectivas],tblOrdenes[especialidad],$A192,tblOrdenes[semana],$B192,tblOrdenes[clasificacion],"correctiva")</f>
        <v/>
      </c>
      <c r="G192" s="17">
        <f>E192+F192</f>
        <v/>
      </c>
      <c r="H192" s="17">
        <f>D192-G192</f>
        <v/>
      </c>
      <c r="I192" s="18">
        <f>IF(D192=0,"",G192/D192)</f>
        <v/>
      </c>
    </row>
    <row r="193" hidden="1">
      <c r="A193" s="3" t="inlineStr">
        <is>
          <t>ELE</t>
        </is>
      </c>
      <c r="B193" s="3">
        <f>$O$51</f>
        <v/>
      </c>
      <c r="C193" s="17">
        <f>SUMIFS(tblAsignaciones[horas_disponibles],tblAsignaciones[especialidad],$A193,tblAsignaciones[semana],$B193)</f>
        <v/>
      </c>
      <c r="D193" s="17">
        <f>C193*p_factor_productividad</f>
        <v/>
      </c>
      <c r="E193" s="17">
        <f>SUMIFS(tblOrdenes[horas_efectivas],tblOrdenes[especialidad],$A193,tblOrdenes[semana],$B193,tblOrdenes[clasificacion],"preventiva")</f>
        <v/>
      </c>
      <c r="F193" s="17">
        <f>SUMIFS(tblOrdenes[horas_efectivas],tblOrdenes[especialidad],$A193,tblOrdenes[semana],$B193,tblOrdenes[clasificacion],"correctiva")</f>
        <v/>
      </c>
      <c r="G193" s="17">
        <f>E193+F193</f>
        <v/>
      </c>
      <c r="H193" s="17">
        <f>D193-G193</f>
        <v/>
      </c>
      <c r="I193" s="18">
        <f>IF(D193=0,"",G193/D193)</f>
        <v/>
      </c>
    </row>
    <row r="194" hidden="1">
      <c r="A194" s="3" t="inlineStr">
        <is>
          <t>AUT</t>
        </is>
      </c>
      <c r="B194" s="3">
        <f>$O$51</f>
        <v/>
      </c>
      <c r="C194" s="17">
        <f>SUMIFS(tblAsignaciones[horas_disponibles],tblAsignaciones[especialidad],$A194,tblAsignaciones[semana],$B194)</f>
        <v/>
      </c>
      <c r="D194" s="17">
        <f>C194*p_factor_productividad</f>
        <v/>
      </c>
      <c r="E194" s="17">
        <f>SUMIFS(tblOrdenes[horas_efectivas],tblOrdenes[especialidad],$A194,tblOrdenes[semana],$B194,tblOrdenes[clasificacion],"preventiva")</f>
        <v/>
      </c>
      <c r="F194" s="17">
        <f>SUMIFS(tblOrdenes[horas_efectivas],tblOrdenes[especialidad],$A194,tblOrdenes[semana],$B194,tblOrdenes[clasificacion],"correctiva")</f>
        <v/>
      </c>
      <c r="G194" s="17">
        <f>E194+F194</f>
        <v/>
      </c>
      <c r="H194" s="17">
        <f>D194-G194</f>
        <v/>
      </c>
      <c r="I194" s="18">
        <f>IF(D194=0,"",G194/D194)</f>
        <v/>
      </c>
    </row>
    <row r="195" hidden="1">
      <c r="A195" s="3" t="inlineStr">
        <is>
          <t>TERCERO</t>
        </is>
      </c>
      <c r="B195" s="3">
        <f>$O$51</f>
        <v/>
      </c>
      <c r="C195" s="17">
        <f>SUMIFS(tblAsignaciones[horas_disponibles],tblAsignaciones[especialidad],$A195,tblAsignaciones[semana],$B195)</f>
        <v/>
      </c>
      <c r="D195" s="17">
        <f>C195*p_factor_productividad</f>
        <v/>
      </c>
      <c r="E195" s="17">
        <f>SUMIFS(tblOrdenes[horas_efectivas],tblOrdenes[especialidad],$A195,tblOrdenes[semana],$B195,tblOrdenes[clasificacion],"preventiva")</f>
        <v/>
      </c>
      <c r="F195" s="17">
        <f>SUMIFS(tblOrdenes[horas_efectivas],tblOrdenes[especialidad],$A195,tblOrdenes[semana],$B195,tblOrdenes[clasificacion],"correctiva")</f>
        <v/>
      </c>
      <c r="G195" s="17">
        <f>E195+F195</f>
        <v/>
      </c>
      <c r="H195" s="17">
        <f>D195-G195</f>
        <v/>
      </c>
      <c r="I195" s="18">
        <f>IF(D195=0,"",G195/D195)</f>
        <v/>
      </c>
    </row>
    <row r="196" hidden="1">
      <c r="A196" s="3" t="inlineStr">
        <is>
          <t>MEC</t>
        </is>
      </c>
      <c r="B196" s="3">
        <f>$O$52</f>
        <v/>
      </c>
      <c r="C196" s="17">
        <f>SUMIFS(tblAsignaciones[horas_disponibles],tblAsignaciones[especialidad],$A196,tblAsignaciones[semana],$B196)</f>
        <v/>
      </c>
      <c r="D196" s="17">
        <f>C196*p_factor_productividad</f>
        <v/>
      </c>
      <c r="E196" s="17">
        <f>SUMIFS(tblOrdenes[horas_efectivas],tblOrdenes[especialidad],$A196,tblOrdenes[semana],$B196,tblOrdenes[clasificacion],"preventiva")</f>
        <v/>
      </c>
      <c r="F196" s="17">
        <f>SUMIFS(tblOrdenes[horas_efectivas],tblOrdenes[especialidad],$A196,tblOrdenes[semana],$B196,tblOrdenes[clasificacion],"correctiva")</f>
        <v/>
      </c>
      <c r="G196" s="17">
        <f>E196+F196</f>
        <v/>
      </c>
      <c r="H196" s="17">
        <f>D196-G196</f>
        <v/>
      </c>
      <c r="I196" s="18">
        <f>IF(D196=0,"",G196/D196)</f>
        <v/>
      </c>
    </row>
    <row r="197" hidden="1">
      <c r="A197" s="3" t="inlineStr">
        <is>
          <t>ELE</t>
        </is>
      </c>
      <c r="B197" s="3">
        <f>$O$52</f>
        <v/>
      </c>
      <c r="C197" s="17">
        <f>SUMIFS(tblAsignaciones[horas_disponibles],tblAsignaciones[especialidad],$A197,tblAsignaciones[semana],$B197)</f>
        <v/>
      </c>
      <c r="D197" s="17">
        <f>C197*p_factor_productividad</f>
        <v/>
      </c>
      <c r="E197" s="17">
        <f>SUMIFS(tblOrdenes[horas_efectivas],tblOrdenes[especialidad],$A197,tblOrdenes[semana],$B197,tblOrdenes[clasificacion],"preventiva")</f>
        <v/>
      </c>
      <c r="F197" s="17">
        <f>SUMIFS(tblOrdenes[horas_efectivas],tblOrdenes[especialidad],$A197,tblOrdenes[semana],$B197,tblOrdenes[clasificacion],"correctiva")</f>
        <v/>
      </c>
      <c r="G197" s="17">
        <f>E197+F197</f>
        <v/>
      </c>
      <c r="H197" s="17">
        <f>D197-G197</f>
        <v/>
      </c>
      <c r="I197" s="18">
        <f>IF(D197=0,"",G197/D197)</f>
        <v/>
      </c>
    </row>
    <row r="198" hidden="1">
      <c r="A198" s="3" t="inlineStr">
        <is>
          <t>AUT</t>
        </is>
      </c>
      <c r="B198" s="3">
        <f>$O$52</f>
        <v/>
      </c>
      <c r="C198" s="17">
        <f>SUMIFS(tblAsignaciones[horas_disponibles],tblAsignaciones[especialidad],$A198,tblAsignaciones[semana],$B198)</f>
        <v/>
      </c>
      <c r="D198" s="17">
        <f>C198*p_factor_productividad</f>
        <v/>
      </c>
      <c r="E198" s="17">
        <f>SUMIFS(tblOrdenes[horas_efectivas],tblOrdenes[especialidad],$A198,tblOrdenes[semana],$B198,tblOrdenes[clasificacion],"preventiva")</f>
        <v/>
      </c>
      <c r="F198" s="17">
        <f>SUMIFS(tblOrdenes[horas_efectivas],tblOrdenes[especialidad],$A198,tblOrdenes[semana],$B198,tblOrdenes[clasificacion],"correctiva")</f>
        <v/>
      </c>
      <c r="G198" s="17">
        <f>E198+F198</f>
        <v/>
      </c>
      <c r="H198" s="17">
        <f>D198-G198</f>
        <v/>
      </c>
      <c r="I198" s="18">
        <f>IF(D198=0,"",G198/D198)</f>
        <v/>
      </c>
    </row>
    <row r="199" hidden="1">
      <c r="A199" s="3" t="inlineStr">
        <is>
          <t>TERCERO</t>
        </is>
      </c>
      <c r="B199" s="3">
        <f>$O$52</f>
        <v/>
      </c>
      <c r="C199" s="17">
        <f>SUMIFS(tblAsignaciones[horas_disponibles],tblAsignaciones[especialidad],$A199,tblAsignaciones[semana],$B199)</f>
        <v/>
      </c>
      <c r="D199" s="17">
        <f>C199*p_factor_productividad</f>
        <v/>
      </c>
      <c r="E199" s="17">
        <f>SUMIFS(tblOrdenes[horas_efectivas],tblOrdenes[especialidad],$A199,tblOrdenes[semana],$B199,tblOrdenes[clasificacion],"preventiva")</f>
        <v/>
      </c>
      <c r="F199" s="17">
        <f>SUMIFS(tblOrdenes[horas_efectivas],tblOrdenes[especialidad],$A199,tblOrdenes[semana],$B199,tblOrdenes[clasificacion],"correctiva")</f>
        <v/>
      </c>
      <c r="G199" s="17">
        <f>E199+F199</f>
        <v/>
      </c>
      <c r="H199" s="17">
        <f>D199-G199</f>
        <v/>
      </c>
      <c r="I199" s="18">
        <f>IF(D199=0,"",G199/D199)</f>
        <v/>
      </c>
    </row>
    <row r="200" hidden="1">
      <c r="A200" s="3" t="inlineStr">
        <is>
          <t>MEC</t>
        </is>
      </c>
      <c r="B200" s="3">
        <f>$O$53</f>
        <v/>
      </c>
      <c r="C200" s="17">
        <f>SUMIFS(tblAsignaciones[horas_disponibles],tblAsignaciones[especialidad],$A200,tblAsignaciones[semana],$B200)</f>
        <v/>
      </c>
      <c r="D200" s="17">
        <f>C200*p_factor_productividad</f>
        <v/>
      </c>
      <c r="E200" s="17">
        <f>SUMIFS(tblOrdenes[horas_efectivas],tblOrdenes[especialidad],$A200,tblOrdenes[semana],$B200,tblOrdenes[clasificacion],"preventiva")</f>
        <v/>
      </c>
      <c r="F200" s="17">
        <f>SUMIFS(tblOrdenes[horas_efectivas],tblOrdenes[especialidad],$A200,tblOrdenes[semana],$B200,tblOrdenes[clasificacion],"correctiva")</f>
        <v/>
      </c>
      <c r="G200" s="17">
        <f>E200+F200</f>
        <v/>
      </c>
      <c r="H200" s="17">
        <f>D200-G200</f>
        <v/>
      </c>
      <c r="I200" s="18">
        <f>IF(D200=0,"",G200/D200)</f>
        <v/>
      </c>
    </row>
    <row r="201" hidden="1">
      <c r="A201" s="3" t="inlineStr">
        <is>
          <t>ELE</t>
        </is>
      </c>
      <c r="B201" s="3">
        <f>$O$53</f>
        <v/>
      </c>
      <c r="C201" s="17">
        <f>SUMIFS(tblAsignaciones[horas_disponibles],tblAsignaciones[especialidad],$A201,tblAsignaciones[semana],$B201)</f>
        <v/>
      </c>
      <c r="D201" s="17">
        <f>C201*p_factor_productividad</f>
        <v/>
      </c>
      <c r="E201" s="17">
        <f>SUMIFS(tblOrdenes[horas_efectivas],tblOrdenes[especialidad],$A201,tblOrdenes[semana],$B201,tblOrdenes[clasificacion],"preventiva")</f>
        <v/>
      </c>
      <c r="F201" s="17">
        <f>SUMIFS(tblOrdenes[horas_efectivas],tblOrdenes[especialidad],$A201,tblOrdenes[semana],$B201,tblOrdenes[clasificacion],"correctiva")</f>
        <v/>
      </c>
      <c r="G201" s="17">
        <f>E201+F201</f>
        <v/>
      </c>
      <c r="H201" s="17">
        <f>D201-G201</f>
        <v/>
      </c>
      <c r="I201" s="18">
        <f>IF(D201=0,"",G201/D201)</f>
        <v/>
      </c>
    </row>
    <row r="202" hidden="1">
      <c r="A202" s="3" t="inlineStr">
        <is>
          <t>AUT</t>
        </is>
      </c>
      <c r="B202" s="3">
        <f>$O$53</f>
        <v/>
      </c>
      <c r="C202" s="17">
        <f>SUMIFS(tblAsignaciones[horas_disponibles],tblAsignaciones[especialidad],$A202,tblAsignaciones[semana],$B202)</f>
        <v/>
      </c>
      <c r="D202" s="17">
        <f>C202*p_factor_productividad</f>
        <v/>
      </c>
      <c r="E202" s="17">
        <f>SUMIFS(tblOrdenes[horas_efectivas],tblOrdenes[especialidad],$A202,tblOrdenes[semana],$B202,tblOrdenes[clasificacion],"preventiva")</f>
        <v/>
      </c>
      <c r="F202" s="17">
        <f>SUMIFS(tblOrdenes[horas_efectivas],tblOrdenes[especialidad],$A202,tblOrdenes[semana],$B202,tblOrdenes[clasificacion],"correctiva")</f>
        <v/>
      </c>
      <c r="G202" s="17">
        <f>E202+F202</f>
        <v/>
      </c>
      <c r="H202" s="17">
        <f>D202-G202</f>
        <v/>
      </c>
      <c r="I202" s="18">
        <f>IF(D202=0,"",G202/D202)</f>
        <v/>
      </c>
    </row>
    <row r="203" hidden="1">
      <c r="A203" s="3" t="inlineStr">
        <is>
          <t>TERCERO</t>
        </is>
      </c>
      <c r="B203" s="3">
        <f>$O$53</f>
        <v/>
      </c>
      <c r="C203" s="17">
        <f>SUMIFS(tblAsignaciones[horas_disponibles],tblAsignaciones[especialidad],$A203,tblAsignaciones[semana],$B203)</f>
        <v/>
      </c>
      <c r="D203" s="17">
        <f>C203*p_factor_productividad</f>
        <v/>
      </c>
      <c r="E203" s="17">
        <f>SUMIFS(tblOrdenes[horas_efectivas],tblOrdenes[especialidad],$A203,tblOrdenes[semana],$B203,tblOrdenes[clasificacion],"preventiva")</f>
        <v/>
      </c>
      <c r="F203" s="17">
        <f>SUMIFS(tblOrdenes[horas_efectivas],tblOrdenes[especialidad],$A203,tblOrdenes[semana],$B203,tblOrdenes[clasificacion],"correctiva")</f>
        <v/>
      </c>
      <c r="G203" s="17">
        <f>E203+F203</f>
        <v/>
      </c>
      <c r="H203" s="17">
        <f>D203-G203</f>
        <v/>
      </c>
      <c r="I203" s="18">
        <f>IF(D203=0,"",G203/D203)</f>
        <v/>
      </c>
    </row>
    <row r="204" hidden="1">
      <c r="A204" s="3" t="inlineStr">
        <is>
          <t>MEC</t>
        </is>
      </c>
      <c r="B204" s="3">
        <f>$O$54</f>
        <v/>
      </c>
      <c r="C204" s="17">
        <f>SUMIFS(tblAsignaciones[horas_disponibles],tblAsignaciones[especialidad],$A204,tblAsignaciones[semana],$B204)</f>
        <v/>
      </c>
      <c r="D204" s="17">
        <f>C204*p_factor_productividad</f>
        <v/>
      </c>
      <c r="E204" s="17">
        <f>SUMIFS(tblOrdenes[horas_efectivas],tblOrdenes[especialidad],$A204,tblOrdenes[semana],$B204,tblOrdenes[clasificacion],"preventiva")</f>
        <v/>
      </c>
      <c r="F204" s="17">
        <f>SUMIFS(tblOrdenes[horas_efectivas],tblOrdenes[especialidad],$A204,tblOrdenes[semana],$B204,tblOrdenes[clasificacion],"correctiva")</f>
        <v/>
      </c>
      <c r="G204" s="17">
        <f>E204+F204</f>
        <v/>
      </c>
      <c r="H204" s="17">
        <f>D204-G204</f>
        <v/>
      </c>
      <c r="I204" s="18">
        <f>IF(D204=0,"",G204/D204)</f>
        <v/>
      </c>
    </row>
    <row r="205" hidden="1">
      <c r="A205" s="3" t="inlineStr">
        <is>
          <t>ELE</t>
        </is>
      </c>
      <c r="B205" s="3">
        <f>$O$54</f>
        <v/>
      </c>
      <c r="C205" s="17">
        <f>SUMIFS(tblAsignaciones[horas_disponibles],tblAsignaciones[especialidad],$A205,tblAsignaciones[semana],$B205)</f>
        <v/>
      </c>
      <c r="D205" s="17">
        <f>C205*p_factor_productividad</f>
        <v/>
      </c>
      <c r="E205" s="17">
        <f>SUMIFS(tblOrdenes[horas_efectivas],tblOrdenes[especialidad],$A205,tblOrdenes[semana],$B205,tblOrdenes[clasificacion],"preventiva")</f>
        <v/>
      </c>
      <c r="F205" s="17">
        <f>SUMIFS(tblOrdenes[horas_efectivas],tblOrdenes[especialidad],$A205,tblOrdenes[semana],$B205,tblOrdenes[clasificacion],"correctiva")</f>
        <v/>
      </c>
      <c r="G205" s="17">
        <f>E205+F205</f>
        <v/>
      </c>
      <c r="H205" s="17">
        <f>D205-G205</f>
        <v/>
      </c>
      <c r="I205" s="18">
        <f>IF(D205=0,"",G205/D205)</f>
        <v/>
      </c>
    </row>
    <row r="206" hidden="1">
      <c r="A206" s="3" t="inlineStr">
        <is>
          <t>AUT</t>
        </is>
      </c>
      <c r="B206" s="3">
        <f>$O$54</f>
        <v/>
      </c>
      <c r="C206" s="17">
        <f>SUMIFS(tblAsignaciones[horas_disponibles],tblAsignaciones[especialidad],$A206,tblAsignaciones[semana],$B206)</f>
        <v/>
      </c>
      <c r="D206" s="17">
        <f>C206*p_factor_productividad</f>
        <v/>
      </c>
      <c r="E206" s="17">
        <f>SUMIFS(tblOrdenes[horas_efectivas],tblOrdenes[especialidad],$A206,tblOrdenes[semana],$B206,tblOrdenes[clasificacion],"preventiva")</f>
        <v/>
      </c>
      <c r="F206" s="17">
        <f>SUMIFS(tblOrdenes[horas_efectivas],tblOrdenes[especialidad],$A206,tblOrdenes[semana],$B206,tblOrdenes[clasificacion],"correctiva")</f>
        <v/>
      </c>
      <c r="G206" s="17">
        <f>E206+F206</f>
        <v/>
      </c>
      <c r="H206" s="17">
        <f>D206-G206</f>
        <v/>
      </c>
      <c r="I206" s="18">
        <f>IF(D206=0,"",G206/D206)</f>
        <v/>
      </c>
    </row>
    <row r="207" hidden="1">
      <c r="A207" s="3" t="inlineStr">
        <is>
          <t>TERCERO</t>
        </is>
      </c>
      <c r="B207" s="3">
        <f>$O$54</f>
        <v/>
      </c>
      <c r="C207" s="17">
        <f>SUMIFS(tblAsignaciones[horas_disponibles],tblAsignaciones[especialidad],$A207,tblAsignaciones[semana],$B207)</f>
        <v/>
      </c>
      <c r="D207" s="17">
        <f>C207*p_factor_productividad</f>
        <v/>
      </c>
      <c r="E207" s="17">
        <f>SUMIFS(tblOrdenes[horas_efectivas],tblOrdenes[especialidad],$A207,tblOrdenes[semana],$B207,tblOrdenes[clasificacion],"preventiva")</f>
        <v/>
      </c>
      <c r="F207" s="17">
        <f>SUMIFS(tblOrdenes[horas_efectivas],tblOrdenes[especialidad],$A207,tblOrdenes[semana],$B207,tblOrdenes[clasificacion],"correctiva")</f>
        <v/>
      </c>
      <c r="G207" s="17">
        <f>E207+F207</f>
        <v/>
      </c>
      <c r="H207" s="17">
        <f>D207-G207</f>
        <v/>
      </c>
      <c r="I207" s="18">
        <f>IF(D207=0,"",G207/D207)</f>
        <v/>
      </c>
    </row>
    <row r="208" hidden="1">
      <c r="A208" s="3" t="inlineStr">
        <is>
          <t>MEC</t>
        </is>
      </c>
      <c r="B208" s="3">
        <f>$O$55</f>
        <v/>
      </c>
      <c r="C208" s="17">
        <f>SUMIFS(tblAsignaciones[horas_disponibles],tblAsignaciones[especialidad],$A208,tblAsignaciones[semana],$B208)</f>
        <v/>
      </c>
      <c r="D208" s="17">
        <f>C208*p_factor_productividad</f>
        <v/>
      </c>
      <c r="E208" s="17">
        <f>SUMIFS(tblOrdenes[horas_efectivas],tblOrdenes[especialidad],$A208,tblOrdenes[semana],$B208,tblOrdenes[clasificacion],"preventiva")</f>
        <v/>
      </c>
      <c r="F208" s="17">
        <f>SUMIFS(tblOrdenes[horas_efectivas],tblOrdenes[especialidad],$A208,tblOrdenes[semana],$B208,tblOrdenes[clasificacion],"correctiva")</f>
        <v/>
      </c>
      <c r="G208" s="17">
        <f>E208+F208</f>
        <v/>
      </c>
      <c r="H208" s="17">
        <f>D208-G208</f>
        <v/>
      </c>
      <c r="I208" s="18">
        <f>IF(D208=0,"",G208/D208)</f>
        <v/>
      </c>
    </row>
    <row r="209" hidden="1">
      <c r="A209" s="3" t="inlineStr">
        <is>
          <t>ELE</t>
        </is>
      </c>
      <c r="B209" s="3">
        <f>$O$55</f>
        <v/>
      </c>
      <c r="C209" s="17">
        <f>SUMIFS(tblAsignaciones[horas_disponibles],tblAsignaciones[especialidad],$A209,tblAsignaciones[semana],$B209)</f>
        <v/>
      </c>
      <c r="D209" s="17">
        <f>C209*p_factor_productividad</f>
        <v/>
      </c>
      <c r="E209" s="17">
        <f>SUMIFS(tblOrdenes[horas_efectivas],tblOrdenes[especialidad],$A209,tblOrdenes[semana],$B209,tblOrdenes[clasificacion],"preventiva")</f>
        <v/>
      </c>
      <c r="F209" s="17">
        <f>SUMIFS(tblOrdenes[horas_efectivas],tblOrdenes[especialidad],$A209,tblOrdenes[semana],$B209,tblOrdenes[clasificacion],"correctiva")</f>
        <v/>
      </c>
      <c r="G209" s="17">
        <f>E209+F209</f>
        <v/>
      </c>
      <c r="H209" s="17">
        <f>D209-G209</f>
        <v/>
      </c>
      <c r="I209" s="18">
        <f>IF(D209=0,"",G209/D209)</f>
        <v/>
      </c>
    </row>
    <row r="210" hidden="1">
      <c r="A210" s="3" t="inlineStr">
        <is>
          <t>AUT</t>
        </is>
      </c>
      <c r="B210" s="3">
        <f>$O$55</f>
        <v/>
      </c>
      <c r="C210" s="17">
        <f>SUMIFS(tblAsignaciones[horas_disponibles],tblAsignaciones[especialidad],$A210,tblAsignaciones[semana],$B210)</f>
        <v/>
      </c>
      <c r="D210" s="17">
        <f>C210*p_factor_productividad</f>
        <v/>
      </c>
      <c r="E210" s="17">
        <f>SUMIFS(tblOrdenes[horas_efectivas],tblOrdenes[especialidad],$A210,tblOrdenes[semana],$B210,tblOrdenes[clasificacion],"preventiva")</f>
        <v/>
      </c>
      <c r="F210" s="17">
        <f>SUMIFS(tblOrdenes[horas_efectivas],tblOrdenes[especialidad],$A210,tblOrdenes[semana],$B210,tblOrdenes[clasificacion],"correctiva")</f>
        <v/>
      </c>
      <c r="G210" s="17">
        <f>E210+F210</f>
        <v/>
      </c>
      <c r="H210" s="17">
        <f>D210-G210</f>
        <v/>
      </c>
      <c r="I210" s="18">
        <f>IF(D210=0,"",G210/D210)</f>
        <v/>
      </c>
    </row>
    <row r="211" hidden="1">
      <c r="A211" s="3" t="inlineStr">
        <is>
          <t>TERCERO</t>
        </is>
      </c>
      <c r="B211" s="3">
        <f>$O$55</f>
        <v/>
      </c>
      <c r="C211" s="17">
        <f>SUMIFS(tblAsignaciones[horas_disponibles],tblAsignaciones[especialidad],$A211,tblAsignaciones[semana],$B211)</f>
        <v/>
      </c>
      <c r="D211" s="17">
        <f>C211*p_factor_productividad</f>
        <v/>
      </c>
      <c r="E211" s="17">
        <f>SUMIFS(tblOrdenes[horas_efectivas],tblOrdenes[especialidad],$A211,tblOrdenes[semana],$B211,tblOrdenes[clasificacion],"preventiva")</f>
        <v/>
      </c>
      <c r="F211" s="17">
        <f>SUMIFS(tblOrdenes[horas_efectivas],tblOrdenes[especialidad],$A211,tblOrdenes[semana],$B211,tblOrdenes[clasificacion],"correctiva")</f>
        <v/>
      </c>
      <c r="G211" s="17">
        <f>E211+F211</f>
        <v/>
      </c>
      <c r="H211" s="17">
        <f>D211-G211</f>
        <v/>
      </c>
      <c r="I211" s="18">
        <f>IF(D211=0,"",G211/D211)</f>
        <v/>
      </c>
    </row>
    <row r="212" hidden="1">
      <c r="A212" s="3" t="inlineStr">
        <is>
          <t>MEC</t>
        </is>
      </c>
      <c r="B212" s="3">
        <f>$O$56</f>
        <v/>
      </c>
      <c r="C212" s="17">
        <f>SUMIFS(tblAsignaciones[horas_disponibles],tblAsignaciones[especialidad],$A212,tblAsignaciones[semana],$B212)</f>
        <v/>
      </c>
      <c r="D212" s="17">
        <f>C212*p_factor_productividad</f>
        <v/>
      </c>
      <c r="E212" s="17">
        <f>SUMIFS(tblOrdenes[horas_efectivas],tblOrdenes[especialidad],$A212,tblOrdenes[semana],$B212,tblOrdenes[clasificacion],"preventiva")</f>
        <v/>
      </c>
      <c r="F212" s="17">
        <f>SUMIFS(tblOrdenes[horas_efectivas],tblOrdenes[especialidad],$A212,tblOrdenes[semana],$B212,tblOrdenes[clasificacion],"correctiva")</f>
        <v/>
      </c>
      <c r="G212" s="17">
        <f>E212+F212</f>
        <v/>
      </c>
      <c r="H212" s="17">
        <f>D212-G212</f>
        <v/>
      </c>
      <c r="I212" s="18">
        <f>IF(D212=0,"",G212/D212)</f>
        <v/>
      </c>
    </row>
    <row r="213" hidden="1">
      <c r="A213" s="3" t="inlineStr">
        <is>
          <t>ELE</t>
        </is>
      </c>
      <c r="B213" s="3">
        <f>$O$56</f>
        <v/>
      </c>
      <c r="C213" s="17">
        <f>SUMIFS(tblAsignaciones[horas_disponibles],tblAsignaciones[especialidad],$A213,tblAsignaciones[semana],$B213)</f>
        <v/>
      </c>
      <c r="D213" s="17">
        <f>C213*p_factor_productividad</f>
        <v/>
      </c>
      <c r="E213" s="17">
        <f>SUMIFS(tblOrdenes[horas_efectivas],tblOrdenes[especialidad],$A213,tblOrdenes[semana],$B213,tblOrdenes[clasificacion],"preventiva")</f>
        <v/>
      </c>
      <c r="F213" s="17">
        <f>SUMIFS(tblOrdenes[horas_efectivas],tblOrdenes[especialidad],$A213,tblOrdenes[semana],$B213,tblOrdenes[clasificacion],"correctiva")</f>
        <v/>
      </c>
      <c r="G213" s="17">
        <f>E213+F213</f>
        <v/>
      </c>
      <c r="H213" s="17">
        <f>D213-G213</f>
        <v/>
      </c>
      <c r="I213" s="18">
        <f>IF(D213=0,"",G213/D213)</f>
        <v/>
      </c>
    </row>
    <row r="214" hidden="1">
      <c r="A214" s="3" t="inlineStr">
        <is>
          <t>AUT</t>
        </is>
      </c>
      <c r="B214" s="3">
        <f>$O$56</f>
        <v/>
      </c>
      <c r="C214" s="17">
        <f>SUMIFS(tblAsignaciones[horas_disponibles],tblAsignaciones[especialidad],$A214,tblAsignaciones[semana],$B214)</f>
        <v/>
      </c>
      <c r="D214" s="17">
        <f>C214*p_factor_productividad</f>
        <v/>
      </c>
      <c r="E214" s="17">
        <f>SUMIFS(tblOrdenes[horas_efectivas],tblOrdenes[especialidad],$A214,tblOrdenes[semana],$B214,tblOrdenes[clasificacion],"preventiva")</f>
        <v/>
      </c>
      <c r="F214" s="17">
        <f>SUMIFS(tblOrdenes[horas_efectivas],tblOrdenes[especialidad],$A214,tblOrdenes[semana],$B214,tblOrdenes[clasificacion],"correctiva")</f>
        <v/>
      </c>
      <c r="G214" s="17">
        <f>E214+F214</f>
        <v/>
      </c>
      <c r="H214" s="17">
        <f>D214-G214</f>
        <v/>
      </c>
      <c r="I214" s="18">
        <f>IF(D214=0,"",G214/D214)</f>
        <v/>
      </c>
    </row>
    <row r="215" hidden="1">
      <c r="A215" s="3" t="inlineStr">
        <is>
          <t>TERCERO</t>
        </is>
      </c>
      <c r="B215" s="3">
        <f>$O$56</f>
        <v/>
      </c>
      <c r="C215" s="17">
        <f>SUMIFS(tblAsignaciones[horas_disponibles],tblAsignaciones[especialidad],$A215,tblAsignaciones[semana],$B215)</f>
        <v/>
      </c>
      <c r="D215" s="17">
        <f>C215*p_factor_productividad</f>
        <v/>
      </c>
      <c r="E215" s="17">
        <f>SUMIFS(tblOrdenes[horas_efectivas],tblOrdenes[especialidad],$A215,tblOrdenes[semana],$B215,tblOrdenes[clasificacion],"preventiva")</f>
        <v/>
      </c>
      <c r="F215" s="17">
        <f>SUMIFS(tblOrdenes[horas_efectivas],tblOrdenes[especialidad],$A215,tblOrdenes[semana],$B215,tblOrdenes[clasificacion],"correctiva")</f>
        <v/>
      </c>
      <c r="G215" s="17">
        <f>E215+F215</f>
        <v/>
      </c>
      <c r="H215" s="17">
        <f>D215-G215</f>
        <v/>
      </c>
      <c r="I215" s="18">
        <f>IF(D215=0,"",G215/D215)</f>
        <v/>
      </c>
    </row>
    <row r="216" hidden="1">
      <c r="A216" s="3" t="inlineStr">
        <is>
          <t>MEC</t>
        </is>
      </c>
      <c r="B216" s="3">
        <f>$O$57</f>
        <v/>
      </c>
      <c r="C216" s="17">
        <f>SUMIFS(tblAsignaciones[horas_disponibles],tblAsignaciones[especialidad],$A216,tblAsignaciones[semana],$B216)</f>
        <v/>
      </c>
      <c r="D216" s="17">
        <f>C216*p_factor_productividad</f>
        <v/>
      </c>
      <c r="E216" s="17">
        <f>SUMIFS(tblOrdenes[horas_efectivas],tblOrdenes[especialidad],$A216,tblOrdenes[semana],$B216,tblOrdenes[clasificacion],"preventiva")</f>
        <v/>
      </c>
      <c r="F216" s="17">
        <f>SUMIFS(tblOrdenes[horas_efectivas],tblOrdenes[especialidad],$A216,tblOrdenes[semana],$B216,tblOrdenes[clasificacion],"correctiva")</f>
        <v/>
      </c>
      <c r="G216" s="17">
        <f>E216+F216</f>
        <v/>
      </c>
      <c r="H216" s="17">
        <f>D216-G216</f>
        <v/>
      </c>
      <c r="I216" s="18">
        <f>IF(D216=0,"",G216/D216)</f>
        <v/>
      </c>
    </row>
    <row r="217" hidden="1">
      <c r="A217" s="3" t="inlineStr">
        <is>
          <t>ELE</t>
        </is>
      </c>
      <c r="B217" s="3">
        <f>$O$57</f>
        <v/>
      </c>
      <c r="C217" s="17">
        <f>SUMIFS(tblAsignaciones[horas_disponibles],tblAsignaciones[especialidad],$A217,tblAsignaciones[semana],$B217)</f>
        <v/>
      </c>
      <c r="D217" s="17">
        <f>C217*p_factor_productividad</f>
        <v/>
      </c>
      <c r="E217" s="17">
        <f>SUMIFS(tblOrdenes[horas_efectivas],tblOrdenes[especialidad],$A217,tblOrdenes[semana],$B217,tblOrdenes[clasificacion],"preventiva")</f>
        <v/>
      </c>
      <c r="F217" s="17">
        <f>SUMIFS(tblOrdenes[horas_efectivas],tblOrdenes[especialidad],$A217,tblOrdenes[semana],$B217,tblOrdenes[clasificacion],"correctiva")</f>
        <v/>
      </c>
      <c r="G217" s="17">
        <f>E217+F217</f>
        <v/>
      </c>
      <c r="H217" s="17">
        <f>D217-G217</f>
        <v/>
      </c>
      <c r="I217" s="18">
        <f>IF(D217=0,"",G217/D217)</f>
        <v/>
      </c>
    </row>
    <row r="218" hidden="1">
      <c r="A218" s="3" t="inlineStr">
        <is>
          <t>AUT</t>
        </is>
      </c>
      <c r="B218" s="3">
        <f>$O$57</f>
        <v/>
      </c>
      <c r="C218" s="17">
        <f>SUMIFS(tblAsignaciones[horas_disponibles],tblAsignaciones[especialidad],$A218,tblAsignaciones[semana],$B218)</f>
        <v/>
      </c>
      <c r="D218" s="17">
        <f>C218*p_factor_productividad</f>
        <v/>
      </c>
      <c r="E218" s="17">
        <f>SUMIFS(tblOrdenes[horas_efectivas],tblOrdenes[especialidad],$A218,tblOrdenes[semana],$B218,tblOrdenes[clasificacion],"preventiva")</f>
        <v/>
      </c>
      <c r="F218" s="17">
        <f>SUMIFS(tblOrdenes[horas_efectivas],tblOrdenes[especialidad],$A218,tblOrdenes[semana],$B218,tblOrdenes[clasificacion],"correctiva")</f>
        <v/>
      </c>
      <c r="G218" s="17">
        <f>E218+F218</f>
        <v/>
      </c>
      <c r="H218" s="17">
        <f>D218-G218</f>
        <v/>
      </c>
      <c r="I218" s="18">
        <f>IF(D218=0,"",G218/D218)</f>
        <v/>
      </c>
    </row>
    <row r="219" hidden="1">
      <c r="A219" s="3" t="inlineStr">
        <is>
          <t>TERCERO</t>
        </is>
      </c>
      <c r="B219" s="3">
        <f>$O$57</f>
        <v/>
      </c>
      <c r="C219" s="17">
        <f>SUMIFS(tblAsignaciones[horas_disponibles],tblAsignaciones[especialidad],$A219,tblAsignaciones[semana],$B219)</f>
        <v/>
      </c>
      <c r="D219" s="17">
        <f>C219*p_factor_productividad</f>
        <v/>
      </c>
      <c r="E219" s="17">
        <f>SUMIFS(tblOrdenes[horas_efectivas],tblOrdenes[especialidad],$A219,tblOrdenes[semana],$B219,tblOrdenes[clasificacion],"preventiva")</f>
        <v/>
      </c>
      <c r="F219" s="17">
        <f>SUMIFS(tblOrdenes[horas_efectivas],tblOrdenes[especialidad],$A219,tblOrdenes[semana],$B219,tblOrdenes[clasificacion],"correctiva")</f>
        <v/>
      </c>
      <c r="G219" s="17">
        <f>E219+F219</f>
        <v/>
      </c>
      <c r="H219" s="17">
        <f>D219-G219</f>
        <v/>
      </c>
      <c r="I219" s="18">
        <f>IF(D219=0,"",G219/D219)</f>
        <v/>
      </c>
    </row>
    <row r="220" hidden="1">
      <c r="A220" s="3" t="inlineStr">
        <is>
          <t>MEC</t>
        </is>
      </c>
      <c r="B220" s="3">
        <f>$O$58</f>
        <v/>
      </c>
      <c r="C220" s="17">
        <f>SUMIFS(tblAsignaciones[horas_disponibles],tblAsignaciones[especialidad],$A220,tblAsignaciones[semana],$B220)</f>
        <v/>
      </c>
      <c r="D220" s="17">
        <f>C220*p_factor_productividad</f>
        <v/>
      </c>
      <c r="E220" s="17">
        <f>SUMIFS(tblOrdenes[horas_efectivas],tblOrdenes[especialidad],$A220,tblOrdenes[semana],$B220,tblOrdenes[clasificacion],"preventiva")</f>
        <v/>
      </c>
      <c r="F220" s="17">
        <f>SUMIFS(tblOrdenes[horas_efectivas],tblOrdenes[especialidad],$A220,tblOrdenes[semana],$B220,tblOrdenes[clasificacion],"correctiva")</f>
        <v/>
      </c>
      <c r="G220" s="17">
        <f>E220+F220</f>
        <v/>
      </c>
      <c r="H220" s="17">
        <f>D220-G220</f>
        <v/>
      </c>
      <c r="I220" s="18">
        <f>IF(D220=0,"",G220/D220)</f>
        <v/>
      </c>
    </row>
    <row r="221" hidden="1">
      <c r="A221" s="3" t="inlineStr">
        <is>
          <t>ELE</t>
        </is>
      </c>
      <c r="B221" s="3">
        <f>$O$58</f>
        <v/>
      </c>
      <c r="C221" s="17">
        <f>SUMIFS(tblAsignaciones[horas_disponibles],tblAsignaciones[especialidad],$A221,tblAsignaciones[semana],$B221)</f>
        <v/>
      </c>
      <c r="D221" s="17">
        <f>C221*p_factor_productividad</f>
        <v/>
      </c>
      <c r="E221" s="17">
        <f>SUMIFS(tblOrdenes[horas_efectivas],tblOrdenes[especialidad],$A221,tblOrdenes[semana],$B221,tblOrdenes[clasificacion],"preventiva")</f>
        <v/>
      </c>
      <c r="F221" s="17">
        <f>SUMIFS(tblOrdenes[horas_efectivas],tblOrdenes[especialidad],$A221,tblOrdenes[semana],$B221,tblOrdenes[clasificacion],"correctiva")</f>
        <v/>
      </c>
      <c r="G221" s="17">
        <f>E221+F221</f>
        <v/>
      </c>
      <c r="H221" s="17">
        <f>D221-G221</f>
        <v/>
      </c>
      <c r="I221" s="18">
        <f>IF(D221=0,"",G221/D221)</f>
        <v/>
      </c>
    </row>
    <row r="222" hidden="1">
      <c r="A222" s="3" t="inlineStr">
        <is>
          <t>AUT</t>
        </is>
      </c>
      <c r="B222" s="3">
        <f>$O$58</f>
        <v/>
      </c>
      <c r="C222" s="17">
        <f>SUMIFS(tblAsignaciones[horas_disponibles],tblAsignaciones[especialidad],$A222,tblAsignaciones[semana],$B222)</f>
        <v/>
      </c>
      <c r="D222" s="17">
        <f>C222*p_factor_productividad</f>
        <v/>
      </c>
      <c r="E222" s="17">
        <f>SUMIFS(tblOrdenes[horas_efectivas],tblOrdenes[especialidad],$A222,tblOrdenes[semana],$B222,tblOrdenes[clasificacion],"preventiva")</f>
        <v/>
      </c>
      <c r="F222" s="17">
        <f>SUMIFS(tblOrdenes[horas_efectivas],tblOrdenes[especialidad],$A222,tblOrdenes[semana],$B222,tblOrdenes[clasificacion],"correctiva")</f>
        <v/>
      </c>
      <c r="G222" s="17">
        <f>E222+F222</f>
        <v/>
      </c>
      <c r="H222" s="17">
        <f>D222-G222</f>
        <v/>
      </c>
      <c r="I222" s="18">
        <f>IF(D222=0,"",G222/D222)</f>
        <v/>
      </c>
    </row>
    <row r="223" hidden="1">
      <c r="A223" s="3" t="inlineStr">
        <is>
          <t>TERCERO</t>
        </is>
      </c>
      <c r="B223" s="3">
        <f>$O$58</f>
        <v/>
      </c>
      <c r="C223" s="17">
        <f>SUMIFS(tblAsignaciones[horas_disponibles],tblAsignaciones[especialidad],$A223,tblAsignaciones[semana],$B223)</f>
        <v/>
      </c>
      <c r="D223" s="17">
        <f>C223*p_factor_productividad</f>
        <v/>
      </c>
      <c r="E223" s="17">
        <f>SUMIFS(tblOrdenes[horas_efectivas],tblOrdenes[especialidad],$A223,tblOrdenes[semana],$B223,tblOrdenes[clasificacion],"preventiva")</f>
        <v/>
      </c>
      <c r="F223" s="17">
        <f>SUMIFS(tblOrdenes[horas_efectivas],tblOrdenes[especialidad],$A223,tblOrdenes[semana],$B223,tblOrdenes[clasificacion],"correctiva")</f>
        <v/>
      </c>
      <c r="G223" s="17">
        <f>E223+F223</f>
        <v/>
      </c>
      <c r="H223" s="17">
        <f>D223-G223</f>
        <v/>
      </c>
      <c r="I223" s="18">
        <f>IF(D223=0,"",G223/D223)</f>
        <v/>
      </c>
    </row>
    <row r="224" hidden="1">
      <c r="A224" s="3" t="inlineStr">
        <is>
          <t>MEC</t>
        </is>
      </c>
      <c r="B224" s="3">
        <f>$O$59</f>
        <v/>
      </c>
      <c r="C224" s="17">
        <f>SUMIFS(tblAsignaciones[horas_disponibles],tblAsignaciones[especialidad],$A224,tblAsignaciones[semana],$B224)</f>
        <v/>
      </c>
      <c r="D224" s="17">
        <f>C224*p_factor_productividad</f>
        <v/>
      </c>
      <c r="E224" s="17">
        <f>SUMIFS(tblOrdenes[horas_efectivas],tblOrdenes[especialidad],$A224,tblOrdenes[semana],$B224,tblOrdenes[clasificacion],"preventiva")</f>
        <v/>
      </c>
      <c r="F224" s="17">
        <f>SUMIFS(tblOrdenes[horas_efectivas],tblOrdenes[especialidad],$A224,tblOrdenes[semana],$B224,tblOrdenes[clasificacion],"correctiva")</f>
        <v/>
      </c>
      <c r="G224" s="17">
        <f>E224+F224</f>
        <v/>
      </c>
      <c r="H224" s="17">
        <f>D224-G224</f>
        <v/>
      </c>
      <c r="I224" s="18">
        <f>IF(D224=0,"",G224/D224)</f>
        <v/>
      </c>
    </row>
    <row r="225" hidden="1">
      <c r="A225" s="3" t="inlineStr">
        <is>
          <t>ELE</t>
        </is>
      </c>
      <c r="B225" s="3">
        <f>$O$59</f>
        <v/>
      </c>
      <c r="C225" s="17">
        <f>SUMIFS(tblAsignaciones[horas_disponibles],tblAsignaciones[especialidad],$A225,tblAsignaciones[semana],$B225)</f>
        <v/>
      </c>
      <c r="D225" s="17">
        <f>C225*p_factor_productividad</f>
        <v/>
      </c>
      <c r="E225" s="17">
        <f>SUMIFS(tblOrdenes[horas_efectivas],tblOrdenes[especialidad],$A225,tblOrdenes[semana],$B225,tblOrdenes[clasificacion],"preventiva")</f>
        <v/>
      </c>
      <c r="F225" s="17">
        <f>SUMIFS(tblOrdenes[horas_efectivas],tblOrdenes[especialidad],$A225,tblOrdenes[semana],$B225,tblOrdenes[clasificacion],"correctiva")</f>
        <v/>
      </c>
      <c r="G225" s="17">
        <f>E225+F225</f>
        <v/>
      </c>
      <c r="H225" s="17">
        <f>D225-G225</f>
        <v/>
      </c>
      <c r="I225" s="18">
        <f>IF(D225=0,"",G225/D225)</f>
        <v/>
      </c>
    </row>
    <row r="226" hidden="1">
      <c r="A226" s="3" t="inlineStr">
        <is>
          <t>AUT</t>
        </is>
      </c>
      <c r="B226" s="3">
        <f>$O$59</f>
        <v/>
      </c>
      <c r="C226" s="17">
        <f>SUMIFS(tblAsignaciones[horas_disponibles],tblAsignaciones[especialidad],$A226,tblAsignaciones[semana],$B226)</f>
        <v/>
      </c>
      <c r="D226" s="17">
        <f>C226*p_factor_productividad</f>
        <v/>
      </c>
      <c r="E226" s="17">
        <f>SUMIFS(tblOrdenes[horas_efectivas],tblOrdenes[especialidad],$A226,tblOrdenes[semana],$B226,tblOrdenes[clasificacion],"preventiva")</f>
        <v/>
      </c>
      <c r="F226" s="17">
        <f>SUMIFS(tblOrdenes[horas_efectivas],tblOrdenes[especialidad],$A226,tblOrdenes[semana],$B226,tblOrdenes[clasificacion],"correctiva")</f>
        <v/>
      </c>
      <c r="G226" s="17">
        <f>E226+F226</f>
        <v/>
      </c>
      <c r="H226" s="17">
        <f>D226-G226</f>
        <v/>
      </c>
      <c r="I226" s="18">
        <f>IF(D226=0,"",G226/D226)</f>
        <v/>
      </c>
    </row>
    <row r="227" hidden="1">
      <c r="A227" s="3" t="inlineStr">
        <is>
          <t>TERCERO</t>
        </is>
      </c>
      <c r="B227" s="3">
        <f>$O$59</f>
        <v/>
      </c>
      <c r="C227" s="17">
        <f>SUMIFS(tblAsignaciones[horas_disponibles],tblAsignaciones[especialidad],$A227,tblAsignaciones[semana],$B227)</f>
        <v/>
      </c>
      <c r="D227" s="17">
        <f>C227*p_factor_productividad</f>
        <v/>
      </c>
      <c r="E227" s="17">
        <f>SUMIFS(tblOrdenes[horas_efectivas],tblOrdenes[especialidad],$A227,tblOrdenes[semana],$B227,tblOrdenes[clasificacion],"preventiva")</f>
        <v/>
      </c>
      <c r="F227" s="17">
        <f>SUMIFS(tblOrdenes[horas_efectivas],tblOrdenes[especialidad],$A227,tblOrdenes[semana],$B227,tblOrdenes[clasificacion],"correctiva")</f>
        <v/>
      </c>
      <c r="G227" s="17">
        <f>E227+F227</f>
        <v/>
      </c>
      <c r="H227" s="17">
        <f>D227-G227</f>
        <v/>
      </c>
      <c r="I227" s="18">
        <f>IF(D227=0,"",G227/D227)</f>
        <v/>
      </c>
    </row>
    <row r="228" hidden="1">
      <c r="A228" s="3" t="inlineStr">
        <is>
          <t>MEC</t>
        </is>
      </c>
      <c r="B228" s="3">
        <f>$O$60</f>
        <v/>
      </c>
      <c r="C228" s="17">
        <f>SUMIFS(tblAsignaciones[horas_disponibles],tblAsignaciones[especialidad],$A228,tblAsignaciones[semana],$B228)</f>
        <v/>
      </c>
      <c r="D228" s="17">
        <f>C228*p_factor_productividad</f>
        <v/>
      </c>
      <c r="E228" s="17">
        <f>SUMIFS(tblOrdenes[horas_efectivas],tblOrdenes[especialidad],$A228,tblOrdenes[semana],$B228,tblOrdenes[clasificacion],"preventiva")</f>
        <v/>
      </c>
      <c r="F228" s="17">
        <f>SUMIFS(tblOrdenes[horas_efectivas],tblOrdenes[especialidad],$A228,tblOrdenes[semana],$B228,tblOrdenes[clasificacion],"correctiva")</f>
        <v/>
      </c>
      <c r="G228" s="17">
        <f>E228+F228</f>
        <v/>
      </c>
      <c r="H228" s="17">
        <f>D228-G228</f>
        <v/>
      </c>
      <c r="I228" s="18">
        <f>IF(D228=0,"",G228/D228)</f>
        <v/>
      </c>
    </row>
    <row r="229" hidden="1">
      <c r="A229" s="3" t="inlineStr">
        <is>
          <t>ELE</t>
        </is>
      </c>
      <c r="B229" s="3">
        <f>$O$60</f>
        <v/>
      </c>
      <c r="C229" s="17">
        <f>SUMIFS(tblAsignaciones[horas_disponibles],tblAsignaciones[especialidad],$A229,tblAsignaciones[semana],$B229)</f>
        <v/>
      </c>
      <c r="D229" s="17">
        <f>C229*p_factor_productividad</f>
        <v/>
      </c>
      <c r="E229" s="17">
        <f>SUMIFS(tblOrdenes[horas_efectivas],tblOrdenes[especialidad],$A229,tblOrdenes[semana],$B229,tblOrdenes[clasificacion],"preventiva")</f>
        <v/>
      </c>
      <c r="F229" s="17">
        <f>SUMIFS(tblOrdenes[horas_efectivas],tblOrdenes[especialidad],$A229,tblOrdenes[semana],$B229,tblOrdenes[clasificacion],"correctiva")</f>
        <v/>
      </c>
      <c r="G229" s="17">
        <f>E229+F229</f>
        <v/>
      </c>
      <c r="H229" s="17">
        <f>D229-G229</f>
        <v/>
      </c>
      <c r="I229" s="18">
        <f>IF(D229=0,"",G229/D229)</f>
        <v/>
      </c>
    </row>
    <row r="230" hidden="1">
      <c r="A230" s="3" t="inlineStr">
        <is>
          <t>AUT</t>
        </is>
      </c>
      <c r="B230" s="3">
        <f>$O$60</f>
        <v/>
      </c>
      <c r="C230" s="17">
        <f>SUMIFS(tblAsignaciones[horas_disponibles],tblAsignaciones[especialidad],$A230,tblAsignaciones[semana],$B230)</f>
        <v/>
      </c>
      <c r="D230" s="17">
        <f>C230*p_factor_productividad</f>
        <v/>
      </c>
      <c r="E230" s="17">
        <f>SUMIFS(tblOrdenes[horas_efectivas],tblOrdenes[especialidad],$A230,tblOrdenes[semana],$B230,tblOrdenes[clasificacion],"preventiva")</f>
        <v/>
      </c>
      <c r="F230" s="17">
        <f>SUMIFS(tblOrdenes[horas_efectivas],tblOrdenes[especialidad],$A230,tblOrdenes[semana],$B230,tblOrdenes[clasificacion],"correctiva")</f>
        <v/>
      </c>
      <c r="G230" s="17">
        <f>E230+F230</f>
        <v/>
      </c>
      <c r="H230" s="17">
        <f>D230-G230</f>
        <v/>
      </c>
      <c r="I230" s="18">
        <f>IF(D230=0,"",G230/D230)</f>
        <v/>
      </c>
    </row>
    <row r="231" hidden="1">
      <c r="A231" s="3" t="inlineStr">
        <is>
          <t>TERCERO</t>
        </is>
      </c>
      <c r="B231" s="3">
        <f>$O$60</f>
        <v/>
      </c>
      <c r="C231" s="17">
        <f>SUMIFS(tblAsignaciones[horas_disponibles],tblAsignaciones[especialidad],$A231,tblAsignaciones[semana],$B231)</f>
        <v/>
      </c>
      <c r="D231" s="17">
        <f>C231*p_factor_productividad</f>
        <v/>
      </c>
      <c r="E231" s="17">
        <f>SUMIFS(tblOrdenes[horas_efectivas],tblOrdenes[especialidad],$A231,tblOrdenes[semana],$B231,tblOrdenes[clasificacion],"preventiva")</f>
        <v/>
      </c>
      <c r="F231" s="17">
        <f>SUMIFS(tblOrdenes[horas_efectivas],tblOrdenes[especialidad],$A231,tblOrdenes[semana],$B231,tblOrdenes[clasificacion],"correctiva")</f>
        <v/>
      </c>
      <c r="G231" s="17">
        <f>E231+F231</f>
        <v/>
      </c>
      <c r="H231" s="17">
        <f>D231-G231</f>
        <v/>
      </c>
      <c r="I231" s="18">
        <f>IF(D231=0,"",G231/D231)</f>
        <v/>
      </c>
    </row>
    <row r="232" hidden="1">
      <c r="A232" s="3" t="inlineStr">
        <is>
          <t>MEC</t>
        </is>
      </c>
      <c r="B232" s="3">
        <f>$O$61</f>
        <v/>
      </c>
      <c r="C232" s="17">
        <f>SUMIFS(tblAsignaciones[horas_disponibles],tblAsignaciones[especialidad],$A232,tblAsignaciones[semana],$B232)</f>
        <v/>
      </c>
      <c r="D232" s="17">
        <f>C232*p_factor_productividad</f>
        <v/>
      </c>
      <c r="E232" s="17">
        <f>SUMIFS(tblOrdenes[horas_efectivas],tblOrdenes[especialidad],$A232,tblOrdenes[semana],$B232,tblOrdenes[clasificacion],"preventiva")</f>
        <v/>
      </c>
      <c r="F232" s="17">
        <f>SUMIFS(tblOrdenes[horas_efectivas],tblOrdenes[especialidad],$A232,tblOrdenes[semana],$B232,tblOrdenes[clasificacion],"correctiva")</f>
        <v/>
      </c>
      <c r="G232" s="17">
        <f>E232+F232</f>
        <v/>
      </c>
      <c r="H232" s="17">
        <f>D232-G232</f>
        <v/>
      </c>
      <c r="I232" s="18">
        <f>IF(D232=0,"",G232/D232)</f>
        <v/>
      </c>
    </row>
    <row r="233" hidden="1">
      <c r="A233" s="3" t="inlineStr">
        <is>
          <t>ELE</t>
        </is>
      </c>
      <c r="B233" s="3">
        <f>$O$61</f>
        <v/>
      </c>
      <c r="C233" s="17">
        <f>SUMIFS(tblAsignaciones[horas_disponibles],tblAsignaciones[especialidad],$A233,tblAsignaciones[semana],$B233)</f>
        <v/>
      </c>
      <c r="D233" s="17">
        <f>C233*p_factor_productividad</f>
        <v/>
      </c>
      <c r="E233" s="17">
        <f>SUMIFS(tblOrdenes[horas_efectivas],tblOrdenes[especialidad],$A233,tblOrdenes[semana],$B233,tblOrdenes[clasificacion],"preventiva")</f>
        <v/>
      </c>
      <c r="F233" s="17">
        <f>SUMIFS(tblOrdenes[horas_efectivas],tblOrdenes[especialidad],$A233,tblOrdenes[semana],$B233,tblOrdenes[clasificacion],"correctiva")</f>
        <v/>
      </c>
      <c r="G233" s="17">
        <f>E233+F233</f>
        <v/>
      </c>
      <c r="H233" s="17">
        <f>D233-G233</f>
        <v/>
      </c>
      <c r="I233" s="18">
        <f>IF(D233=0,"",G233/D233)</f>
        <v/>
      </c>
    </row>
    <row r="234" hidden="1">
      <c r="A234" s="3" t="inlineStr">
        <is>
          <t>AUT</t>
        </is>
      </c>
      <c r="B234" s="3">
        <f>$O$61</f>
        <v/>
      </c>
      <c r="C234" s="17">
        <f>SUMIFS(tblAsignaciones[horas_disponibles],tblAsignaciones[especialidad],$A234,tblAsignaciones[semana],$B234)</f>
        <v/>
      </c>
      <c r="D234" s="17">
        <f>C234*p_factor_productividad</f>
        <v/>
      </c>
      <c r="E234" s="17">
        <f>SUMIFS(tblOrdenes[horas_efectivas],tblOrdenes[especialidad],$A234,tblOrdenes[semana],$B234,tblOrdenes[clasificacion],"preventiva")</f>
        <v/>
      </c>
      <c r="F234" s="17">
        <f>SUMIFS(tblOrdenes[horas_efectivas],tblOrdenes[especialidad],$A234,tblOrdenes[semana],$B234,tblOrdenes[clasificacion],"correctiva")</f>
        <v/>
      </c>
      <c r="G234" s="17">
        <f>E234+F234</f>
        <v/>
      </c>
      <c r="H234" s="17">
        <f>D234-G234</f>
        <v/>
      </c>
      <c r="I234" s="18">
        <f>IF(D234=0,"",G234/D234)</f>
        <v/>
      </c>
    </row>
    <row r="235" hidden="1">
      <c r="A235" s="3" t="inlineStr">
        <is>
          <t>TERCERO</t>
        </is>
      </c>
      <c r="B235" s="3">
        <f>$O$61</f>
        <v/>
      </c>
      <c r="C235" s="17">
        <f>SUMIFS(tblAsignaciones[horas_disponibles],tblAsignaciones[especialidad],$A235,tblAsignaciones[semana],$B235)</f>
        <v/>
      </c>
      <c r="D235" s="17">
        <f>C235*p_factor_productividad</f>
        <v/>
      </c>
      <c r="E235" s="17">
        <f>SUMIFS(tblOrdenes[horas_efectivas],tblOrdenes[especialidad],$A235,tblOrdenes[semana],$B235,tblOrdenes[clasificacion],"preventiva")</f>
        <v/>
      </c>
      <c r="F235" s="17">
        <f>SUMIFS(tblOrdenes[horas_efectivas],tblOrdenes[especialidad],$A235,tblOrdenes[semana],$B235,tblOrdenes[clasificacion],"correctiva")</f>
        <v/>
      </c>
      <c r="G235" s="17">
        <f>E235+F235</f>
        <v/>
      </c>
      <c r="H235" s="17">
        <f>D235-G235</f>
        <v/>
      </c>
      <c r="I235" s="18">
        <f>IF(D235=0,"",G235/D235)</f>
        <v/>
      </c>
    </row>
    <row r="236" hidden="1">
      <c r="A236" s="3" t="inlineStr">
        <is>
          <t>MEC</t>
        </is>
      </c>
      <c r="B236" s="3">
        <f>$O$62</f>
        <v/>
      </c>
      <c r="C236" s="17">
        <f>SUMIFS(tblAsignaciones[horas_disponibles],tblAsignaciones[especialidad],$A236,tblAsignaciones[semana],$B236)</f>
        <v/>
      </c>
      <c r="D236" s="17">
        <f>C236*p_factor_productividad</f>
        <v/>
      </c>
      <c r="E236" s="17">
        <f>SUMIFS(tblOrdenes[horas_efectivas],tblOrdenes[especialidad],$A236,tblOrdenes[semana],$B236,tblOrdenes[clasificacion],"preventiva")</f>
        <v/>
      </c>
      <c r="F236" s="17">
        <f>SUMIFS(tblOrdenes[horas_efectivas],tblOrdenes[especialidad],$A236,tblOrdenes[semana],$B236,tblOrdenes[clasificacion],"correctiva")</f>
        <v/>
      </c>
      <c r="G236" s="17">
        <f>E236+F236</f>
        <v/>
      </c>
      <c r="H236" s="17">
        <f>D236-G236</f>
        <v/>
      </c>
      <c r="I236" s="18">
        <f>IF(D236=0,"",G236/D236)</f>
        <v/>
      </c>
    </row>
    <row r="237" hidden="1">
      <c r="A237" s="3" t="inlineStr">
        <is>
          <t>ELE</t>
        </is>
      </c>
      <c r="B237" s="3">
        <f>$O$62</f>
        <v/>
      </c>
      <c r="C237" s="17">
        <f>SUMIFS(tblAsignaciones[horas_disponibles],tblAsignaciones[especialidad],$A237,tblAsignaciones[semana],$B237)</f>
        <v/>
      </c>
      <c r="D237" s="17">
        <f>C237*p_factor_productividad</f>
        <v/>
      </c>
      <c r="E237" s="17">
        <f>SUMIFS(tblOrdenes[horas_efectivas],tblOrdenes[especialidad],$A237,tblOrdenes[semana],$B237,tblOrdenes[clasificacion],"preventiva")</f>
        <v/>
      </c>
      <c r="F237" s="17">
        <f>SUMIFS(tblOrdenes[horas_efectivas],tblOrdenes[especialidad],$A237,tblOrdenes[semana],$B237,tblOrdenes[clasificacion],"correctiva")</f>
        <v/>
      </c>
      <c r="G237" s="17">
        <f>E237+F237</f>
        <v/>
      </c>
      <c r="H237" s="17">
        <f>D237-G237</f>
        <v/>
      </c>
      <c r="I237" s="18">
        <f>IF(D237=0,"",G237/D237)</f>
        <v/>
      </c>
    </row>
    <row r="238" hidden="1">
      <c r="A238" s="3" t="inlineStr">
        <is>
          <t>AUT</t>
        </is>
      </c>
      <c r="B238" s="3">
        <f>$O$62</f>
        <v/>
      </c>
      <c r="C238" s="17">
        <f>SUMIFS(tblAsignaciones[horas_disponibles],tblAsignaciones[especialidad],$A238,tblAsignaciones[semana],$B238)</f>
        <v/>
      </c>
      <c r="D238" s="17">
        <f>C238*p_factor_productividad</f>
        <v/>
      </c>
      <c r="E238" s="17">
        <f>SUMIFS(tblOrdenes[horas_efectivas],tblOrdenes[especialidad],$A238,tblOrdenes[semana],$B238,tblOrdenes[clasificacion],"preventiva")</f>
        <v/>
      </c>
      <c r="F238" s="17">
        <f>SUMIFS(tblOrdenes[horas_efectivas],tblOrdenes[especialidad],$A238,tblOrdenes[semana],$B238,tblOrdenes[clasificacion],"correctiva")</f>
        <v/>
      </c>
      <c r="G238" s="17">
        <f>E238+F238</f>
        <v/>
      </c>
      <c r="H238" s="17">
        <f>D238-G238</f>
        <v/>
      </c>
      <c r="I238" s="18">
        <f>IF(D238=0,"",G238/D238)</f>
        <v/>
      </c>
    </row>
    <row r="239" hidden="1">
      <c r="A239" s="3" t="inlineStr">
        <is>
          <t>TERCERO</t>
        </is>
      </c>
      <c r="B239" s="3">
        <f>$O$62</f>
        <v/>
      </c>
      <c r="C239" s="17">
        <f>SUMIFS(tblAsignaciones[horas_disponibles],tblAsignaciones[especialidad],$A239,tblAsignaciones[semana],$B239)</f>
        <v/>
      </c>
      <c r="D239" s="17">
        <f>C239*p_factor_productividad</f>
        <v/>
      </c>
      <c r="E239" s="17">
        <f>SUMIFS(tblOrdenes[horas_efectivas],tblOrdenes[especialidad],$A239,tblOrdenes[semana],$B239,tblOrdenes[clasificacion],"preventiva")</f>
        <v/>
      </c>
      <c r="F239" s="17">
        <f>SUMIFS(tblOrdenes[horas_efectivas],tblOrdenes[especialidad],$A239,tblOrdenes[semana],$B239,tblOrdenes[clasificacion],"correctiva")</f>
        <v/>
      </c>
      <c r="G239" s="17">
        <f>E239+F239</f>
        <v/>
      </c>
      <c r="H239" s="17">
        <f>D239-G239</f>
        <v/>
      </c>
      <c r="I239" s="18">
        <f>IF(D239=0,"",G239/D239)</f>
        <v/>
      </c>
    </row>
    <row r="240" hidden="1">
      <c r="A240" s="3" t="inlineStr">
        <is>
          <t>MEC</t>
        </is>
      </c>
      <c r="B240" s="3">
        <f>$O$63</f>
        <v/>
      </c>
      <c r="C240" s="17">
        <f>SUMIFS(tblAsignaciones[horas_disponibles],tblAsignaciones[especialidad],$A240,tblAsignaciones[semana],$B240)</f>
        <v/>
      </c>
      <c r="D240" s="17">
        <f>C240*p_factor_productividad</f>
        <v/>
      </c>
      <c r="E240" s="17">
        <f>SUMIFS(tblOrdenes[horas_efectivas],tblOrdenes[especialidad],$A240,tblOrdenes[semana],$B240,tblOrdenes[clasificacion],"preventiva")</f>
        <v/>
      </c>
      <c r="F240" s="17">
        <f>SUMIFS(tblOrdenes[horas_efectivas],tblOrdenes[especialidad],$A240,tblOrdenes[semana],$B240,tblOrdenes[clasificacion],"correctiva")</f>
        <v/>
      </c>
      <c r="G240" s="17">
        <f>E240+F240</f>
        <v/>
      </c>
      <c r="H240" s="17">
        <f>D240-G240</f>
        <v/>
      </c>
      <c r="I240" s="18">
        <f>IF(D240=0,"",G240/D240)</f>
        <v/>
      </c>
    </row>
    <row r="241" hidden="1">
      <c r="A241" s="3" t="inlineStr">
        <is>
          <t>ELE</t>
        </is>
      </c>
      <c r="B241" s="3">
        <f>$O$63</f>
        <v/>
      </c>
      <c r="C241" s="17">
        <f>SUMIFS(tblAsignaciones[horas_disponibles],tblAsignaciones[especialidad],$A241,tblAsignaciones[semana],$B241)</f>
        <v/>
      </c>
      <c r="D241" s="17">
        <f>C241*p_factor_productividad</f>
        <v/>
      </c>
      <c r="E241" s="17">
        <f>SUMIFS(tblOrdenes[horas_efectivas],tblOrdenes[especialidad],$A241,tblOrdenes[semana],$B241,tblOrdenes[clasificacion],"preventiva")</f>
        <v/>
      </c>
      <c r="F241" s="17">
        <f>SUMIFS(tblOrdenes[horas_efectivas],tblOrdenes[especialidad],$A241,tblOrdenes[semana],$B241,tblOrdenes[clasificacion],"correctiva")</f>
        <v/>
      </c>
      <c r="G241" s="17">
        <f>E241+F241</f>
        <v/>
      </c>
      <c r="H241" s="17">
        <f>D241-G241</f>
        <v/>
      </c>
      <c r="I241" s="18">
        <f>IF(D241=0,"",G241/D241)</f>
        <v/>
      </c>
    </row>
    <row r="242" hidden="1">
      <c r="A242" s="3" t="inlineStr">
        <is>
          <t>AUT</t>
        </is>
      </c>
      <c r="B242" s="3">
        <f>$O$63</f>
        <v/>
      </c>
      <c r="C242" s="17">
        <f>SUMIFS(tblAsignaciones[horas_disponibles],tblAsignaciones[especialidad],$A242,tblAsignaciones[semana],$B242)</f>
        <v/>
      </c>
      <c r="D242" s="17">
        <f>C242*p_factor_productividad</f>
        <v/>
      </c>
      <c r="E242" s="17">
        <f>SUMIFS(tblOrdenes[horas_efectivas],tblOrdenes[especialidad],$A242,tblOrdenes[semana],$B242,tblOrdenes[clasificacion],"preventiva")</f>
        <v/>
      </c>
      <c r="F242" s="17">
        <f>SUMIFS(tblOrdenes[horas_efectivas],tblOrdenes[especialidad],$A242,tblOrdenes[semana],$B242,tblOrdenes[clasificacion],"correctiva")</f>
        <v/>
      </c>
      <c r="G242" s="17">
        <f>E242+F242</f>
        <v/>
      </c>
      <c r="H242" s="17">
        <f>D242-G242</f>
        <v/>
      </c>
      <c r="I242" s="18">
        <f>IF(D242=0,"",G242/D242)</f>
        <v/>
      </c>
    </row>
    <row r="243" hidden="1">
      <c r="A243" s="3" t="inlineStr">
        <is>
          <t>TERCERO</t>
        </is>
      </c>
      <c r="B243" s="3">
        <f>$O$63</f>
        <v/>
      </c>
      <c r="C243" s="17">
        <f>SUMIFS(tblAsignaciones[horas_disponibles],tblAsignaciones[especialidad],$A243,tblAsignaciones[semana],$B243)</f>
        <v/>
      </c>
      <c r="D243" s="17">
        <f>C243*p_factor_productividad</f>
        <v/>
      </c>
      <c r="E243" s="17">
        <f>SUMIFS(tblOrdenes[horas_efectivas],tblOrdenes[especialidad],$A243,tblOrdenes[semana],$B243,tblOrdenes[clasificacion],"preventiva")</f>
        <v/>
      </c>
      <c r="F243" s="17">
        <f>SUMIFS(tblOrdenes[horas_efectivas],tblOrdenes[especialidad],$A243,tblOrdenes[semana],$B243,tblOrdenes[clasificacion],"correctiva")</f>
        <v/>
      </c>
      <c r="G243" s="17">
        <f>E243+F243</f>
        <v/>
      </c>
      <c r="H243" s="17">
        <f>D243-G243</f>
        <v/>
      </c>
      <c r="I243" s="18">
        <f>IF(D243=0,"",G243/D243)</f>
        <v/>
      </c>
    </row>
    <row r="245">
      <c r="A245" s="4" t="inlineStr">
        <is>
          <t>MATRIZ % CARGA — semana × especialidad. Semáforo: verde &lt; 85 %, amarillo 85–100 %, rojo &gt; 100 %. Semanas sin datos ocultas.</t>
        </is>
      </c>
    </row>
    <row r="246">
      <c r="A246" s="5" t="inlineStr">
        <is>
          <t>semana</t>
        </is>
      </c>
      <c r="B246" s="5" t="inlineStr">
        <is>
          <t>MEC</t>
        </is>
      </c>
      <c r="C246" s="5" t="inlineStr">
        <is>
          <t>ELE</t>
        </is>
      </c>
      <c r="D246" s="5" t="inlineStr">
        <is>
          <t>AUT</t>
        </is>
      </c>
      <c r="E246" s="5" t="inlineStr">
        <is>
          <t>TERCERO</t>
        </is>
      </c>
    </row>
    <row r="247">
      <c r="A247" s="3">
        <f>$O$4</f>
        <v/>
      </c>
      <c r="B247" s="18">
        <f>$I$4</f>
        <v/>
      </c>
      <c r="C247" s="18">
        <f>$I$5</f>
        <v/>
      </c>
      <c r="D247" s="18">
        <f>$I$6</f>
        <v/>
      </c>
      <c r="E247" s="18">
        <f>$I$7</f>
        <v/>
      </c>
    </row>
    <row r="248" hidden="1">
      <c r="A248" s="3">
        <f>$O$5</f>
        <v/>
      </c>
      <c r="B248" s="18">
        <f>$I$8</f>
        <v/>
      </c>
      <c r="C248" s="18">
        <f>$I$9</f>
        <v/>
      </c>
      <c r="D248" s="18">
        <f>$I$10</f>
        <v/>
      </c>
      <c r="E248" s="18">
        <f>$I$11</f>
        <v/>
      </c>
    </row>
    <row r="249">
      <c r="A249" s="3">
        <f>$O$6</f>
        <v/>
      </c>
      <c r="B249" s="18">
        <f>$I$12</f>
        <v/>
      </c>
      <c r="C249" s="18">
        <f>$I$13</f>
        <v/>
      </c>
      <c r="D249" s="18">
        <f>$I$14</f>
        <v/>
      </c>
      <c r="E249" s="18">
        <f>$I$15</f>
        <v/>
      </c>
    </row>
    <row r="250">
      <c r="A250" s="3">
        <f>$O$7</f>
        <v/>
      </c>
      <c r="B250" s="18">
        <f>$I$16</f>
        <v/>
      </c>
      <c r="C250" s="18">
        <f>$I$17</f>
        <v/>
      </c>
      <c r="D250" s="18">
        <f>$I$18</f>
        <v/>
      </c>
      <c r="E250" s="18">
        <f>$I$19</f>
        <v/>
      </c>
    </row>
    <row r="251">
      <c r="A251" s="3">
        <f>$O$8</f>
        <v/>
      </c>
      <c r="B251" s="18">
        <f>$I$20</f>
        <v/>
      </c>
      <c r="C251" s="18">
        <f>$I$21</f>
        <v/>
      </c>
      <c r="D251" s="18">
        <f>$I$22</f>
        <v/>
      </c>
      <c r="E251" s="18">
        <f>$I$23</f>
        <v/>
      </c>
    </row>
    <row r="252">
      <c r="A252" s="3">
        <f>$O$9</f>
        <v/>
      </c>
      <c r="B252" s="18">
        <f>$I$24</f>
        <v/>
      </c>
      <c r="C252" s="18">
        <f>$I$25</f>
        <v/>
      </c>
      <c r="D252" s="18">
        <f>$I$26</f>
        <v/>
      </c>
      <c r="E252" s="18">
        <f>$I$27</f>
        <v/>
      </c>
    </row>
    <row r="253">
      <c r="A253" s="3">
        <f>$O$10</f>
        <v/>
      </c>
      <c r="B253" s="18">
        <f>$I$28</f>
        <v/>
      </c>
      <c r="C253" s="18">
        <f>$I$29</f>
        <v/>
      </c>
      <c r="D253" s="18">
        <f>$I$30</f>
        <v/>
      </c>
      <c r="E253" s="18">
        <f>$I$31</f>
        <v/>
      </c>
    </row>
    <row r="254">
      <c r="A254" s="3">
        <f>$O$11</f>
        <v/>
      </c>
      <c r="B254" s="18">
        <f>$I$32</f>
        <v/>
      </c>
      <c r="C254" s="18">
        <f>$I$33</f>
        <v/>
      </c>
      <c r="D254" s="18">
        <f>$I$34</f>
        <v/>
      </c>
      <c r="E254" s="18">
        <f>$I$35</f>
        <v/>
      </c>
    </row>
    <row r="255">
      <c r="A255" s="3">
        <f>$O$12</f>
        <v/>
      </c>
      <c r="B255" s="18">
        <f>$I$36</f>
        <v/>
      </c>
      <c r="C255" s="18">
        <f>$I$37</f>
        <v/>
      </c>
      <c r="D255" s="18">
        <f>$I$38</f>
        <v/>
      </c>
      <c r="E255" s="18">
        <f>$I$39</f>
        <v/>
      </c>
    </row>
    <row r="256">
      <c r="A256" s="3">
        <f>$O$13</f>
        <v/>
      </c>
      <c r="B256" s="18">
        <f>$I$40</f>
        <v/>
      </c>
      <c r="C256" s="18">
        <f>$I$41</f>
        <v/>
      </c>
      <c r="D256" s="18">
        <f>$I$42</f>
        <v/>
      </c>
      <c r="E256" s="18">
        <f>$I$43</f>
        <v/>
      </c>
    </row>
    <row r="257">
      <c r="A257" s="3">
        <f>$O$14</f>
        <v/>
      </c>
      <c r="B257" s="18">
        <f>$I$44</f>
        <v/>
      </c>
      <c r="C257" s="18">
        <f>$I$45</f>
        <v/>
      </c>
      <c r="D257" s="18">
        <f>$I$46</f>
        <v/>
      </c>
      <c r="E257" s="18">
        <f>$I$47</f>
        <v/>
      </c>
    </row>
    <row r="258">
      <c r="A258" s="3">
        <f>$O$15</f>
        <v/>
      </c>
      <c r="B258" s="18">
        <f>$I$48</f>
        <v/>
      </c>
      <c r="C258" s="18">
        <f>$I$49</f>
        <v/>
      </c>
      <c r="D258" s="18">
        <f>$I$50</f>
        <v/>
      </c>
      <c r="E258" s="18">
        <f>$I$51</f>
        <v/>
      </c>
    </row>
    <row r="259">
      <c r="A259" s="3">
        <f>$O$16</f>
        <v/>
      </c>
      <c r="B259" s="18">
        <f>$I$52</f>
        <v/>
      </c>
      <c r="C259" s="18">
        <f>$I$53</f>
        <v/>
      </c>
      <c r="D259" s="18">
        <f>$I$54</f>
        <v/>
      </c>
      <c r="E259" s="18">
        <f>$I$55</f>
        <v/>
      </c>
    </row>
    <row r="260">
      <c r="A260" s="3">
        <f>$O$17</f>
        <v/>
      </c>
      <c r="B260" s="18">
        <f>$I$56</f>
        <v/>
      </c>
      <c r="C260" s="18">
        <f>$I$57</f>
        <v/>
      </c>
      <c r="D260" s="18">
        <f>$I$58</f>
        <v/>
      </c>
      <c r="E260" s="18">
        <f>$I$59</f>
        <v/>
      </c>
    </row>
    <row r="261">
      <c r="A261" s="3">
        <f>$O$18</f>
        <v/>
      </c>
      <c r="B261" s="18">
        <f>$I$60</f>
        <v/>
      </c>
      <c r="C261" s="18">
        <f>$I$61</f>
        <v/>
      </c>
      <c r="D261" s="18">
        <f>$I$62</f>
        <v/>
      </c>
      <c r="E261" s="18">
        <f>$I$63</f>
        <v/>
      </c>
    </row>
    <row r="262">
      <c r="A262" s="3">
        <f>$O$19</f>
        <v/>
      </c>
      <c r="B262" s="18">
        <f>$I$64</f>
        <v/>
      </c>
      <c r="C262" s="18">
        <f>$I$65</f>
        <v/>
      </c>
      <c r="D262" s="18">
        <f>$I$66</f>
        <v/>
      </c>
      <c r="E262" s="18">
        <f>$I$67</f>
        <v/>
      </c>
    </row>
    <row r="263">
      <c r="A263" s="3">
        <f>$O$20</f>
        <v/>
      </c>
      <c r="B263" s="18">
        <f>$I$68</f>
        <v/>
      </c>
      <c r="C263" s="18">
        <f>$I$69</f>
        <v/>
      </c>
      <c r="D263" s="18">
        <f>$I$70</f>
        <v/>
      </c>
      <c r="E263" s="18">
        <f>$I$71</f>
        <v/>
      </c>
    </row>
    <row r="264">
      <c r="A264" s="3">
        <f>$O$21</f>
        <v/>
      </c>
      <c r="B264" s="18">
        <f>$I$72</f>
        <v/>
      </c>
      <c r="C264" s="18">
        <f>$I$73</f>
        <v/>
      </c>
      <c r="D264" s="18">
        <f>$I$74</f>
        <v/>
      </c>
      <c r="E264" s="18">
        <f>$I$75</f>
        <v/>
      </c>
    </row>
    <row r="265" hidden="1">
      <c r="A265" s="3">
        <f>$O$22</f>
        <v/>
      </c>
      <c r="B265" s="18">
        <f>$I$76</f>
        <v/>
      </c>
      <c r="C265" s="18">
        <f>$I$77</f>
        <v/>
      </c>
      <c r="D265" s="18">
        <f>$I$78</f>
        <v/>
      </c>
      <c r="E265" s="18">
        <f>$I$79</f>
        <v/>
      </c>
    </row>
    <row r="266" hidden="1">
      <c r="A266" s="3">
        <f>$O$23</f>
        <v/>
      </c>
      <c r="B266" s="18">
        <f>$I$80</f>
        <v/>
      </c>
      <c r="C266" s="18">
        <f>$I$81</f>
        <v/>
      </c>
      <c r="D266" s="18">
        <f>$I$82</f>
        <v/>
      </c>
      <c r="E266" s="18">
        <f>$I$83</f>
        <v/>
      </c>
    </row>
    <row r="267" hidden="1">
      <c r="A267" s="3">
        <f>$O$24</f>
        <v/>
      </c>
      <c r="B267" s="18">
        <f>$I$84</f>
        <v/>
      </c>
      <c r="C267" s="18">
        <f>$I$85</f>
        <v/>
      </c>
      <c r="D267" s="18">
        <f>$I$86</f>
        <v/>
      </c>
      <c r="E267" s="18">
        <f>$I$87</f>
        <v/>
      </c>
    </row>
    <row r="268">
      <c r="A268" s="3">
        <f>$O$25</f>
        <v/>
      </c>
      <c r="B268" s="18">
        <f>$I$88</f>
        <v/>
      </c>
      <c r="C268" s="18">
        <f>$I$89</f>
        <v/>
      </c>
      <c r="D268" s="18">
        <f>$I$90</f>
        <v/>
      </c>
      <c r="E268" s="18">
        <f>$I$91</f>
        <v/>
      </c>
    </row>
    <row r="269">
      <c r="A269" s="3">
        <f>$O$26</f>
        <v/>
      </c>
      <c r="B269" s="18">
        <f>$I$92</f>
        <v/>
      </c>
      <c r="C269" s="18">
        <f>$I$93</f>
        <v/>
      </c>
      <c r="D269" s="18">
        <f>$I$94</f>
        <v/>
      </c>
      <c r="E269" s="18">
        <f>$I$95</f>
        <v/>
      </c>
    </row>
    <row r="270">
      <c r="A270" s="3">
        <f>$O$27</f>
        <v/>
      </c>
      <c r="B270" s="18">
        <f>$I$96</f>
        <v/>
      </c>
      <c r="C270" s="18">
        <f>$I$97</f>
        <v/>
      </c>
      <c r="D270" s="18">
        <f>$I$98</f>
        <v/>
      </c>
      <c r="E270" s="18">
        <f>$I$99</f>
        <v/>
      </c>
    </row>
    <row r="271">
      <c r="A271" s="3">
        <f>$O$28</f>
        <v/>
      </c>
      <c r="B271" s="18">
        <f>$I$100</f>
        <v/>
      </c>
      <c r="C271" s="18">
        <f>$I$101</f>
        <v/>
      </c>
      <c r="D271" s="18">
        <f>$I$102</f>
        <v/>
      </c>
      <c r="E271" s="18">
        <f>$I$103</f>
        <v/>
      </c>
    </row>
    <row r="272" hidden="1">
      <c r="A272" s="3">
        <f>$O$29</f>
        <v/>
      </c>
      <c r="B272" s="18">
        <f>$I$104</f>
        <v/>
      </c>
      <c r="C272" s="18">
        <f>$I$105</f>
        <v/>
      </c>
      <c r="D272" s="18">
        <f>$I$106</f>
        <v/>
      </c>
      <c r="E272" s="18">
        <f>$I$107</f>
        <v/>
      </c>
    </row>
    <row r="273" hidden="1">
      <c r="A273" s="3">
        <f>$O$30</f>
        <v/>
      </c>
      <c r="B273" s="18">
        <f>$I$108</f>
        <v/>
      </c>
      <c r="C273" s="18">
        <f>$I$109</f>
        <v/>
      </c>
      <c r="D273" s="18">
        <f>$I$110</f>
        <v/>
      </c>
      <c r="E273" s="18">
        <f>$I$111</f>
        <v/>
      </c>
    </row>
    <row r="274">
      <c r="A274" s="3">
        <f>$O$31</f>
        <v/>
      </c>
      <c r="B274" s="18">
        <f>$I$112</f>
        <v/>
      </c>
      <c r="C274" s="18">
        <f>$I$113</f>
        <v/>
      </c>
      <c r="D274" s="18">
        <f>$I$114</f>
        <v/>
      </c>
      <c r="E274" s="18">
        <f>$I$115</f>
        <v/>
      </c>
    </row>
    <row r="275" hidden="1">
      <c r="A275" s="3">
        <f>$O$32</f>
        <v/>
      </c>
      <c r="B275" s="18">
        <f>$I$116</f>
        <v/>
      </c>
      <c r="C275" s="18">
        <f>$I$117</f>
        <v/>
      </c>
      <c r="D275" s="18">
        <f>$I$118</f>
        <v/>
      </c>
      <c r="E275" s="18">
        <f>$I$119</f>
        <v/>
      </c>
    </row>
    <row r="276" hidden="1">
      <c r="A276" s="3">
        <f>$O$33</f>
        <v/>
      </c>
      <c r="B276" s="18">
        <f>$I$120</f>
        <v/>
      </c>
      <c r="C276" s="18">
        <f>$I$121</f>
        <v/>
      </c>
      <c r="D276" s="18">
        <f>$I$122</f>
        <v/>
      </c>
      <c r="E276" s="18">
        <f>$I$123</f>
        <v/>
      </c>
    </row>
    <row r="277" hidden="1">
      <c r="A277" s="3">
        <f>$O$34</f>
        <v/>
      </c>
      <c r="B277" s="18">
        <f>$I$124</f>
        <v/>
      </c>
      <c r="C277" s="18">
        <f>$I$125</f>
        <v/>
      </c>
      <c r="D277" s="18">
        <f>$I$126</f>
        <v/>
      </c>
      <c r="E277" s="18">
        <f>$I$127</f>
        <v/>
      </c>
    </row>
    <row r="278" hidden="1">
      <c r="A278" s="3">
        <f>$O$35</f>
        <v/>
      </c>
      <c r="B278" s="18">
        <f>$I$128</f>
        <v/>
      </c>
      <c r="C278" s="18">
        <f>$I$129</f>
        <v/>
      </c>
      <c r="D278" s="18">
        <f>$I$130</f>
        <v/>
      </c>
      <c r="E278" s="18">
        <f>$I$131</f>
        <v/>
      </c>
    </row>
    <row r="279" hidden="1">
      <c r="A279" s="3">
        <f>$O$36</f>
        <v/>
      </c>
      <c r="B279" s="18">
        <f>$I$132</f>
        <v/>
      </c>
      <c r="C279" s="18">
        <f>$I$133</f>
        <v/>
      </c>
      <c r="D279" s="18">
        <f>$I$134</f>
        <v/>
      </c>
      <c r="E279" s="18">
        <f>$I$135</f>
        <v/>
      </c>
    </row>
    <row r="280" hidden="1">
      <c r="A280" s="3">
        <f>$O$37</f>
        <v/>
      </c>
      <c r="B280" s="18">
        <f>$I$136</f>
        <v/>
      </c>
      <c r="C280" s="18">
        <f>$I$137</f>
        <v/>
      </c>
      <c r="D280" s="18">
        <f>$I$138</f>
        <v/>
      </c>
      <c r="E280" s="18">
        <f>$I$139</f>
        <v/>
      </c>
    </row>
    <row r="281" hidden="1">
      <c r="A281" s="3">
        <f>$O$38</f>
        <v/>
      </c>
      <c r="B281" s="18">
        <f>$I$140</f>
        <v/>
      </c>
      <c r="C281" s="18">
        <f>$I$141</f>
        <v/>
      </c>
      <c r="D281" s="18">
        <f>$I$142</f>
        <v/>
      </c>
      <c r="E281" s="18">
        <f>$I$143</f>
        <v/>
      </c>
    </row>
    <row r="282" hidden="1">
      <c r="A282" s="3">
        <f>$O$39</f>
        <v/>
      </c>
      <c r="B282" s="18">
        <f>$I$144</f>
        <v/>
      </c>
      <c r="C282" s="18">
        <f>$I$145</f>
        <v/>
      </c>
      <c r="D282" s="18">
        <f>$I$146</f>
        <v/>
      </c>
      <c r="E282" s="18">
        <f>$I$147</f>
        <v/>
      </c>
    </row>
    <row r="283">
      <c r="A283" s="3">
        <f>$O$40</f>
        <v/>
      </c>
      <c r="B283" s="18">
        <f>$I$148</f>
        <v/>
      </c>
      <c r="C283" s="18">
        <f>$I$149</f>
        <v/>
      </c>
      <c r="D283" s="18">
        <f>$I$150</f>
        <v/>
      </c>
      <c r="E283" s="18">
        <f>$I$151</f>
        <v/>
      </c>
    </row>
    <row r="284" hidden="1">
      <c r="A284" s="3">
        <f>$O$41</f>
        <v/>
      </c>
      <c r="B284" s="18">
        <f>$I$152</f>
        <v/>
      </c>
      <c r="C284" s="18">
        <f>$I$153</f>
        <v/>
      </c>
      <c r="D284" s="18">
        <f>$I$154</f>
        <v/>
      </c>
      <c r="E284" s="18">
        <f>$I$155</f>
        <v/>
      </c>
    </row>
    <row r="285" hidden="1">
      <c r="A285" s="3">
        <f>$O$42</f>
        <v/>
      </c>
      <c r="B285" s="18">
        <f>$I$156</f>
        <v/>
      </c>
      <c r="C285" s="18">
        <f>$I$157</f>
        <v/>
      </c>
      <c r="D285" s="18">
        <f>$I$158</f>
        <v/>
      </c>
      <c r="E285" s="18">
        <f>$I$159</f>
        <v/>
      </c>
    </row>
    <row r="286" hidden="1">
      <c r="A286" s="3">
        <f>$O$43</f>
        <v/>
      </c>
      <c r="B286" s="18">
        <f>$I$160</f>
        <v/>
      </c>
      <c r="C286" s="18">
        <f>$I$161</f>
        <v/>
      </c>
      <c r="D286" s="18">
        <f>$I$162</f>
        <v/>
      </c>
      <c r="E286" s="18">
        <f>$I$163</f>
        <v/>
      </c>
    </row>
    <row r="287" hidden="1">
      <c r="A287" s="3">
        <f>$O$44</f>
        <v/>
      </c>
      <c r="B287" s="18">
        <f>$I$164</f>
        <v/>
      </c>
      <c r="C287" s="18">
        <f>$I$165</f>
        <v/>
      </c>
      <c r="D287" s="18">
        <f>$I$166</f>
        <v/>
      </c>
      <c r="E287" s="18">
        <f>$I$167</f>
        <v/>
      </c>
    </row>
    <row r="288" hidden="1">
      <c r="A288" s="3">
        <f>$O$45</f>
        <v/>
      </c>
      <c r="B288" s="18">
        <f>$I$168</f>
        <v/>
      </c>
      <c r="C288" s="18">
        <f>$I$169</f>
        <v/>
      </c>
      <c r="D288" s="18">
        <f>$I$170</f>
        <v/>
      </c>
      <c r="E288" s="18">
        <f>$I$171</f>
        <v/>
      </c>
    </row>
    <row r="289" hidden="1">
      <c r="A289" s="3">
        <f>$O$46</f>
        <v/>
      </c>
      <c r="B289" s="18">
        <f>$I$172</f>
        <v/>
      </c>
      <c r="C289" s="18">
        <f>$I$173</f>
        <v/>
      </c>
      <c r="D289" s="18">
        <f>$I$174</f>
        <v/>
      </c>
      <c r="E289" s="18">
        <f>$I$175</f>
        <v/>
      </c>
    </row>
    <row r="290" hidden="1">
      <c r="A290" s="3">
        <f>$O$47</f>
        <v/>
      </c>
      <c r="B290" s="18">
        <f>$I$176</f>
        <v/>
      </c>
      <c r="C290" s="18">
        <f>$I$177</f>
        <v/>
      </c>
      <c r="D290" s="18">
        <f>$I$178</f>
        <v/>
      </c>
      <c r="E290" s="18">
        <f>$I$179</f>
        <v/>
      </c>
    </row>
    <row r="291">
      <c r="A291" s="3">
        <f>$O$48</f>
        <v/>
      </c>
      <c r="B291" s="18">
        <f>$I$180</f>
        <v/>
      </c>
      <c r="C291" s="18">
        <f>$I$181</f>
        <v/>
      </c>
      <c r="D291" s="18">
        <f>$I$182</f>
        <v/>
      </c>
      <c r="E291" s="18">
        <f>$I$183</f>
        <v/>
      </c>
    </row>
    <row r="292">
      <c r="A292" s="3">
        <f>$O$49</f>
        <v/>
      </c>
      <c r="B292" s="18">
        <f>$I$184</f>
        <v/>
      </c>
      <c r="C292" s="18">
        <f>$I$185</f>
        <v/>
      </c>
      <c r="D292" s="18">
        <f>$I$186</f>
        <v/>
      </c>
      <c r="E292" s="18">
        <f>$I$187</f>
        <v/>
      </c>
    </row>
    <row r="293" hidden="1">
      <c r="A293" s="3">
        <f>$O$50</f>
        <v/>
      </c>
      <c r="B293" s="18">
        <f>$I$188</f>
        <v/>
      </c>
      <c r="C293" s="18">
        <f>$I$189</f>
        <v/>
      </c>
      <c r="D293" s="18">
        <f>$I$190</f>
        <v/>
      </c>
      <c r="E293" s="18">
        <f>$I$191</f>
        <v/>
      </c>
    </row>
    <row r="294" hidden="1">
      <c r="A294" s="3">
        <f>$O$51</f>
        <v/>
      </c>
      <c r="B294" s="18">
        <f>$I$192</f>
        <v/>
      </c>
      <c r="C294" s="18">
        <f>$I$193</f>
        <v/>
      </c>
      <c r="D294" s="18">
        <f>$I$194</f>
        <v/>
      </c>
      <c r="E294" s="18">
        <f>$I$195</f>
        <v/>
      </c>
    </row>
    <row r="295" hidden="1">
      <c r="A295" s="3">
        <f>$O$52</f>
        <v/>
      </c>
      <c r="B295" s="18">
        <f>$I$196</f>
        <v/>
      </c>
      <c r="C295" s="18">
        <f>$I$197</f>
        <v/>
      </c>
      <c r="D295" s="18">
        <f>$I$198</f>
        <v/>
      </c>
      <c r="E295" s="18">
        <f>$I$199</f>
        <v/>
      </c>
    </row>
    <row r="296" hidden="1">
      <c r="A296" s="3">
        <f>$O$53</f>
        <v/>
      </c>
      <c r="B296" s="18">
        <f>$I$200</f>
        <v/>
      </c>
      <c r="C296" s="18">
        <f>$I$201</f>
        <v/>
      </c>
      <c r="D296" s="18">
        <f>$I$202</f>
        <v/>
      </c>
      <c r="E296" s="18">
        <f>$I$203</f>
        <v/>
      </c>
    </row>
    <row r="297" hidden="1">
      <c r="A297" s="3">
        <f>$O$54</f>
        <v/>
      </c>
      <c r="B297" s="18">
        <f>$I$204</f>
        <v/>
      </c>
      <c r="C297" s="18">
        <f>$I$205</f>
        <v/>
      </c>
      <c r="D297" s="18">
        <f>$I$206</f>
        <v/>
      </c>
      <c r="E297" s="18">
        <f>$I$207</f>
        <v/>
      </c>
    </row>
    <row r="298" hidden="1">
      <c r="A298" s="3">
        <f>$O$55</f>
        <v/>
      </c>
      <c r="B298" s="18">
        <f>$I$208</f>
        <v/>
      </c>
      <c r="C298" s="18">
        <f>$I$209</f>
        <v/>
      </c>
      <c r="D298" s="18">
        <f>$I$210</f>
        <v/>
      </c>
      <c r="E298" s="18">
        <f>$I$211</f>
        <v/>
      </c>
    </row>
    <row r="299" hidden="1">
      <c r="A299" s="3">
        <f>$O$56</f>
        <v/>
      </c>
      <c r="B299" s="18">
        <f>$I$212</f>
        <v/>
      </c>
      <c r="C299" s="18">
        <f>$I$213</f>
        <v/>
      </c>
      <c r="D299" s="18">
        <f>$I$214</f>
        <v/>
      </c>
      <c r="E299" s="18">
        <f>$I$215</f>
        <v/>
      </c>
    </row>
    <row r="300" hidden="1">
      <c r="A300" s="3">
        <f>$O$57</f>
        <v/>
      </c>
      <c r="B300" s="18">
        <f>$I$216</f>
        <v/>
      </c>
      <c r="C300" s="18">
        <f>$I$217</f>
        <v/>
      </c>
      <c r="D300" s="18">
        <f>$I$218</f>
        <v/>
      </c>
      <c r="E300" s="18">
        <f>$I$219</f>
        <v/>
      </c>
    </row>
    <row r="301" hidden="1">
      <c r="A301" s="3">
        <f>$O$58</f>
        <v/>
      </c>
      <c r="B301" s="18">
        <f>$I$220</f>
        <v/>
      </c>
      <c r="C301" s="18">
        <f>$I$221</f>
        <v/>
      </c>
      <c r="D301" s="18">
        <f>$I$222</f>
        <v/>
      </c>
      <c r="E301" s="18">
        <f>$I$223</f>
        <v/>
      </c>
    </row>
    <row r="302" hidden="1">
      <c r="A302" s="3">
        <f>$O$59</f>
        <v/>
      </c>
      <c r="B302" s="18">
        <f>$I$224</f>
        <v/>
      </c>
      <c r="C302" s="18">
        <f>$I$225</f>
        <v/>
      </c>
      <c r="D302" s="18">
        <f>$I$226</f>
        <v/>
      </c>
      <c r="E302" s="18">
        <f>$I$227</f>
        <v/>
      </c>
    </row>
    <row r="303" hidden="1">
      <c r="A303" s="3">
        <f>$O$60</f>
        <v/>
      </c>
      <c r="B303" s="18">
        <f>$I$228</f>
        <v/>
      </c>
      <c r="C303" s="18">
        <f>$I$229</f>
        <v/>
      </c>
      <c r="D303" s="18">
        <f>$I$230</f>
        <v/>
      </c>
      <c r="E303" s="18">
        <f>$I$231</f>
        <v/>
      </c>
    </row>
    <row r="304" hidden="1">
      <c r="A304" s="3">
        <f>$O$61</f>
        <v/>
      </c>
      <c r="B304" s="18">
        <f>$I$232</f>
        <v/>
      </c>
      <c r="C304" s="18">
        <f>$I$233</f>
        <v/>
      </c>
      <c r="D304" s="18">
        <f>$I$234</f>
        <v/>
      </c>
      <c r="E304" s="18">
        <f>$I$235</f>
        <v/>
      </c>
    </row>
    <row r="305" hidden="1">
      <c r="A305" s="3">
        <f>$O$62</f>
        <v/>
      </c>
      <c r="B305" s="18">
        <f>$I$236</f>
        <v/>
      </c>
      <c r="C305" s="18">
        <f>$I$237</f>
        <v/>
      </c>
      <c r="D305" s="18">
        <f>$I$238</f>
        <v/>
      </c>
      <c r="E305" s="18">
        <f>$I$239</f>
        <v/>
      </c>
    </row>
    <row r="306" hidden="1">
      <c r="A306" s="3">
        <f>$O$63</f>
        <v/>
      </c>
      <c r="B306" s="18">
        <f>$I$240</f>
        <v/>
      </c>
      <c r="C306" s="18">
        <f>$I$241</f>
        <v/>
      </c>
      <c r="D306" s="18">
        <f>$I$242</f>
        <v/>
      </c>
      <c r="E306" s="18">
        <f>$I$243</f>
        <v/>
      </c>
    </row>
    <row r="308">
      <c r="A308" s="4" t="inlineStr">
        <is>
          <t>RATIO CORRECTIVO/PREVENTIVO POR SEMANA (REGLA-9) — meta: correctivo ≤ 20 % de las HH</t>
        </is>
      </c>
    </row>
    <row r="309">
      <c r="A309" s="5" t="inlineStr">
        <is>
          <t>semana</t>
        </is>
      </c>
      <c r="B309" s="5" t="inlineStr">
        <is>
          <t>hh_preventiva</t>
        </is>
      </c>
      <c r="C309" s="5" t="inlineStr">
        <is>
          <t>hh_correctiva</t>
        </is>
      </c>
      <c r="D309" s="5" t="inlineStr">
        <is>
          <t>ratio_corr_prev</t>
        </is>
      </c>
      <c r="E309" s="5" t="inlineStr">
        <is>
          <t>pct_correctivo</t>
        </is>
      </c>
      <c r="F309" s="5" t="inlineStr">
        <is>
          <t>cumple_meta</t>
        </is>
      </c>
    </row>
    <row r="310">
      <c r="A310" s="3">
        <f>$O$4</f>
        <v/>
      </c>
      <c r="B310" s="17">
        <f>SUMIFS(tblOrdenes[horas_efectivas],tblOrdenes[semana],$A310,tblOrdenes[clasificacion],"preventiva")</f>
        <v/>
      </c>
      <c r="C310" s="17">
        <f>SUMIFS(tblOrdenes[horas_efectivas],tblOrdenes[semana],$A310,tblOrdenes[clasificacion],"correctiva")</f>
        <v/>
      </c>
      <c r="D310" s="18">
        <f>IF(B310=0,"",C310/B310)</f>
        <v/>
      </c>
      <c r="E310" s="18">
        <f>IF(B310+C310=0,"",C310/(B310+C310))</f>
        <v/>
      </c>
      <c r="F310" s="3">
        <f>IF(E310="","",IF(E310&lt;=1-p_meta_ratio_prev_corr,"SI","NO"))</f>
        <v/>
      </c>
    </row>
    <row r="311" hidden="1">
      <c r="A311" s="3">
        <f>$O$5</f>
        <v/>
      </c>
      <c r="B311" s="17">
        <f>SUMIFS(tblOrdenes[horas_efectivas],tblOrdenes[semana],$A311,tblOrdenes[clasificacion],"preventiva")</f>
        <v/>
      </c>
      <c r="C311" s="17">
        <f>SUMIFS(tblOrdenes[horas_efectivas],tblOrdenes[semana],$A311,tblOrdenes[clasificacion],"correctiva")</f>
        <v/>
      </c>
      <c r="D311" s="18">
        <f>IF(B311=0,"",C311/B311)</f>
        <v/>
      </c>
      <c r="E311" s="18">
        <f>IF(B311+C311=0,"",C311/(B311+C311))</f>
        <v/>
      </c>
      <c r="F311" s="3">
        <f>IF(E311="","",IF(E311&lt;=1-p_meta_ratio_prev_corr,"SI","NO"))</f>
        <v/>
      </c>
    </row>
    <row r="312">
      <c r="A312" s="3">
        <f>$O$6</f>
        <v/>
      </c>
      <c r="B312" s="17">
        <f>SUMIFS(tblOrdenes[horas_efectivas],tblOrdenes[semana],$A312,tblOrdenes[clasificacion],"preventiva")</f>
        <v/>
      </c>
      <c r="C312" s="17">
        <f>SUMIFS(tblOrdenes[horas_efectivas],tblOrdenes[semana],$A312,tblOrdenes[clasificacion],"correctiva")</f>
        <v/>
      </c>
      <c r="D312" s="18">
        <f>IF(B312=0,"",C312/B312)</f>
        <v/>
      </c>
      <c r="E312" s="18">
        <f>IF(B312+C312=0,"",C312/(B312+C312))</f>
        <v/>
      </c>
      <c r="F312" s="3">
        <f>IF(E312="","",IF(E312&lt;=1-p_meta_ratio_prev_corr,"SI","NO"))</f>
        <v/>
      </c>
    </row>
    <row r="313">
      <c r="A313" s="3">
        <f>$O$7</f>
        <v/>
      </c>
      <c r="B313" s="17">
        <f>SUMIFS(tblOrdenes[horas_efectivas],tblOrdenes[semana],$A313,tblOrdenes[clasificacion],"preventiva")</f>
        <v/>
      </c>
      <c r="C313" s="17">
        <f>SUMIFS(tblOrdenes[horas_efectivas],tblOrdenes[semana],$A313,tblOrdenes[clasificacion],"correctiva")</f>
        <v/>
      </c>
      <c r="D313" s="18">
        <f>IF(B313=0,"",C313/B313)</f>
        <v/>
      </c>
      <c r="E313" s="18">
        <f>IF(B313+C313=0,"",C313/(B313+C313))</f>
        <v/>
      </c>
      <c r="F313" s="3">
        <f>IF(E313="","",IF(E313&lt;=1-p_meta_ratio_prev_corr,"SI","NO"))</f>
        <v/>
      </c>
    </row>
    <row r="314">
      <c r="A314" s="3">
        <f>$O$8</f>
        <v/>
      </c>
      <c r="B314" s="17">
        <f>SUMIFS(tblOrdenes[horas_efectivas],tblOrdenes[semana],$A314,tblOrdenes[clasificacion],"preventiva")</f>
        <v/>
      </c>
      <c r="C314" s="17">
        <f>SUMIFS(tblOrdenes[horas_efectivas],tblOrdenes[semana],$A314,tblOrdenes[clasificacion],"correctiva")</f>
        <v/>
      </c>
      <c r="D314" s="18">
        <f>IF(B314=0,"",C314/B314)</f>
        <v/>
      </c>
      <c r="E314" s="18">
        <f>IF(B314+C314=0,"",C314/(B314+C314))</f>
        <v/>
      </c>
      <c r="F314" s="3">
        <f>IF(E314="","",IF(E314&lt;=1-p_meta_ratio_prev_corr,"SI","NO"))</f>
        <v/>
      </c>
    </row>
    <row r="315">
      <c r="A315" s="3">
        <f>$O$9</f>
        <v/>
      </c>
      <c r="B315" s="17">
        <f>SUMIFS(tblOrdenes[horas_efectivas],tblOrdenes[semana],$A315,tblOrdenes[clasificacion],"preventiva")</f>
        <v/>
      </c>
      <c r="C315" s="17">
        <f>SUMIFS(tblOrdenes[horas_efectivas],tblOrdenes[semana],$A315,tblOrdenes[clasificacion],"correctiva")</f>
        <v/>
      </c>
      <c r="D315" s="18">
        <f>IF(B315=0,"",C315/B315)</f>
        <v/>
      </c>
      <c r="E315" s="18">
        <f>IF(B315+C315=0,"",C315/(B315+C315))</f>
        <v/>
      </c>
      <c r="F315" s="3">
        <f>IF(E315="","",IF(E315&lt;=1-p_meta_ratio_prev_corr,"SI","NO"))</f>
        <v/>
      </c>
    </row>
    <row r="316">
      <c r="A316" s="3">
        <f>$O$10</f>
        <v/>
      </c>
      <c r="B316" s="17">
        <f>SUMIFS(tblOrdenes[horas_efectivas],tblOrdenes[semana],$A316,tblOrdenes[clasificacion],"preventiva")</f>
        <v/>
      </c>
      <c r="C316" s="17">
        <f>SUMIFS(tblOrdenes[horas_efectivas],tblOrdenes[semana],$A316,tblOrdenes[clasificacion],"correctiva")</f>
        <v/>
      </c>
      <c r="D316" s="18">
        <f>IF(B316=0,"",C316/B316)</f>
        <v/>
      </c>
      <c r="E316" s="18">
        <f>IF(B316+C316=0,"",C316/(B316+C316))</f>
        <v/>
      </c>
      <c r="F316" s="3">
        <f>IF(E316="","",IF(E316&lt;=1-p_meta_ratio_prev_corr,"SI","NO"))</f>
        <v/>
      </c>
    </row>
    <row r="317">
      <c r="A317" s="3">
        <f>$O$11</f>
        <v/>
      </c>
      <c r="B317" s="17">
        <f>SUMIFS(tblOrdenes[horas_efectivas],tblOrdenes[semana],$A317,tblOrdenes[clasificacion],"preventiva")</f>
        <v/>
      </c>
      <c r="C317" s="17">
        <f>SUMIFS(tblOrdenes[horas_efectivas],tblOrdenes[semana],$A317,tblOrdenes[clasificacion],"correctiva")</f>
        <v/>
      </c>
      <c r="D317" s="18">
        <f>IF(B317=0,"",C317/B317)</f>
        <v/>
      </c>
      <c r="E317" s="18">
        <f>IF(B317+C317=0,"",C317/(B317+C317))</f>
        <v/>
      </c>
      <c r="F317" s="3">
        <f>IF(E317="","",IF(E317&lt;=1-p_meta_ratio_prev_corr,"SI","NO"))</f>
        <v/>
      </c>
    </row>
    <row r="318">
      <c r="A318" s="3">
        <f>$O$12</f>
        <v/>
      </c>
      <c r="B318" s="17">
        <f>SUMIFS(tblOrdenes[horas_efectivas],tblOrdenes[semana],$A318,tblOrdenes[clasificacion],"preventiva")</f>
        <v/>
      </c>
      <c r="C318" s="17">
        <f>SUMIFS(tblOrdenes[horas_efectivas],tblOrdenes[semana],$A318,tblOrdenes[clasificacion],"correctiva")</f>
        <v/>
      </c>
      <c r="D318" s="18">
        <f>IF(B318=0,"",C318/B318)</f>
        <v/>
      </c>
      <c r="E318" s="18">
        <f>IF(B318+C318=0,"",C318/(B318+C318))</f>
        <v/>
      </c>
      <c r="F318" s="3">
        <f>IF(E318="","",IF(E318&lt;=1-p_meta_ratio_prev_corr,"SI","NO"))</f>
        <v/>
      </c>
    </row>
    <row r="319">
      <c r="A319" s="3">
        <f>$O$13</f>
        <v/>
      </c>
      <c r="B319" s="17">
        <f>SUMIFS(tblOrdenes[horas_efectivas],tblOrdenes[semana],$A319,tblOrdenes[clasificacion],"preventiva")</f>
        <v/>
      </c>
      <c r="C319" s="17">
        <f>SUMIFS(tblOrdenes[horas_efectivas],tblOrdenes[semana],$A319,tblOrdenes[clasificacion],"correctiva")</f>
        <v/>
      </c>
      <c r="D319" s="18">
        <f>IF(B319=0,"",C319/B319)</f>
        <v/>
      </c>
      <c r="E319" s="18">
        <f>IF(B319+C319=0,"",C319/(B319+C319))</f>
        <v/>
      </c>
      <c r="F319" s="3">
        <f>IF(E319="","",IF(E319&lt;=1-p_meta_ratio_prev_corr,"SI","NO"))</f>
        <v/>
      </c>
    </row>
    <row r="320">
      <c r="A320" s="3">
        <f>$O$14</f>
        <v/>
      </c>
      <c r="B320" s="17">
        <f>SUMIFS(tblOrdenes[horas_efectivas],tblOrdenes[semana],$A320,tblOrdenes[clasificacion],"preventiva")</f>
        <v/>
      </c>
      <c r="C320" s="17">
        <f>SUMIFS(tblOrdenes[horas_efectivas],tblOrdenes[semana],$A320,tblOrdenes[clasificacion],"correctiva")</f>
        <v/>
      </c>
      <c r="D320" s="18">
        <f>IF(B320=0,"",C320/B320)</f>
        <v/>
      </c>
      <c r="E320" s="18">
        <f>IF(B320+C320=0,"",C320/(B320+C320))</f>
        <v/>
      </c>
      <c r="F320" s="3">
        <f>IF(E320="","",IF(E320&lt;=1-p_meta_ratio_prev_corr,"SI","NO"))</f>
        <v/>
      </c>
    </row>
    <row r="321">
      <c r="A321" s="3">
        <f>$O$15</f>
        <v/>
      </c>
      <c r="B321" s="17">
        <f>SUMIFS(tblOrdenes[horas_efectivas],tblOrdenes[semana],$A321,tblOrdenes[clasificacion],"preventiva")</f>
        <v/>
      </c>
      <c r="C321" s="17">
        <f>SUMIFS(tblOrdenes[horas_efectivas],tblOrdenes[semana],$A321,tblOrdenes[clasificacion],"correctiva")</f>
        <v/>
      </c>
      <c r="D321" s="18">
        <f>IF(B321=0,"",C321/B321)</f>
        <v/>
      </c>
      <c r="E321" s="18">
        <f>IF(B321+C321=0,"",C321/(B321+C321))</f>
        <v/>
      </c>
      <c r="F321" s="3">
        <f>IF(E321="","",IF(E321&lt;=1-p_meta_ratio_prev_corr,"SI","NO"))</f>
        <v/>
      </c>
    </row>
    <row r="322">
      <c r="A322" s="3">
        <f>$O$16</f>
        <v/>
      </c>
      <c r="B322" s="17">
        <f>SUMIFS(tblOrdenes[horas_efectivas],tblOrdenes[semana],$A322,tblOrdenes[clasificacion],"preventiva")</f>
        <v/>
      </c>
      <c r="C322" s="17">
        <f>SUMIFS(tblOrdenes[horas_efectivas],tblOrdenes[semana],$A322,tblOrdenes[clasificacion],"correctiva")</f>
        <v/>
      </c>
      <c r="D322" s="18">
        <f>IF(B322=0,"",C322/B322)</f>
        <v/>
      </c>
      <c r="E322" s="18">
        <f>IF(B322+C322=0,"",C322/(B322+C322))</f>
        <v/>
      </c>
      <c r="F322" s="3">
        <f>IF(E322="","",IF(E322&lt;=1-p_meta_ratio_prev_corr,"SI","NO"))</f>
        <v/>
      </c>
    </row>
    <row r="323">
      <c r="A323" s="3">
        <f>$O$17</f>
        <v/>
      </c>
      <c r="B323" s="17">
        <f>SUMIFS(tblOrdenes[horas_efectivas],tblOrdenes[semana],$A323,tblOrdenes[clasificacion],"preventiva")</f>
        <v/>
      </c>
      <c r="C323" s="17">
        <f>SUMIFS(tblOrdenes[horas_efectivas],tblOrdenes[semana],$A323,tblOrdenes[clasificacion],"correctiva")</f>
        <v/>
      </c>
      <c r="D323" s="18">
        <f>IF(B323=0,"",C323/B323)</f>
        <v/>
      </c>
      <c r="E323" s="18">
        <f>IF(B323+C323=0,"",C323/(B323+C323))</f>
        <v/>
      </c>
      <c r="F323" s="3">
        <f>IF(E323="","",IF(E323&lt;=1-p_meta_ratio_prev_corr,"SI","NO"))</f>
        <v/>
      </c>
    </row>
    <row r="324">
      <c r="A324" s="3">
        <f>$O$18</f>
        <v/>
      </c>
      <c r="B324" s="17">
        <f>SUMIFS(tblOrdenes[horas_efectivas],tblOrdenes[semana],$A324,tblOrdenes[clasificacion],"preventiva")</f>
        <v/>
      </c>
      <c r="C324" s="17">
        <f>SUMIFS(tblOrdenes[horas_efectivas],tblOrdenes[semana],$A324,tblOrdenes[clasificacion],"correctiva")</f>
        <v/>
      </c>
      <c r="D324" s="18">
        <f>IF(B324=0,"",C324/B324)</f>
        <v/>
      </c>
      <c r="E324" s="18">
        <f>IF(B324+C324=0,"",C324/(B324+C324))</f>
        <v/>
      </c>
      <c r="F324" s="3">
        <f>IF(E324="","",IF(E324&lt;=1-p_meta_ratio_prev_corr,"SI","NO"))</f>
        <v/>
      </c>
    </row>
    <row r="325">
      <c r="A325" s="3">
        <f>$O$19</f>
        <v/>
      </c>
      <c r="B325" s="17">
        <f>SUMIFS(tblOrdenes[horas_efectivas],tblOrdenes[semana],$A325,tblOrdenes[clasificacion],"preventiva")</f>
        <v/>
      </c>
      <c r="C325" s="17">
        <f>SUMIFS(tblOrdenes[horas_efectivas],tblOrdenes[semana],$A325,tblOrdenes[clasificacion],"correctiva")</f>
        <v/>
      </c>
      <c r="D325" s="18">
        <f>IF(B325=0,"",C325/B325)</f>
        <v/>
      </c>
      <c r="E325" s="18">
        <f>IF(B325+C325=0,"",C325/(B325+C325))</f>
        <v/>
      </c>
      <c r="F325" s="3">
        <f>IF(E325="","",IF(E325&lt;=1-p_meta_ratio_prev_corr,"SI","NO"))</f>
        <v/>
      </c>
    </row>
    <row r="326">
      <c r="A326" s="3">
        <f>$O$20</f>
        <v/>
      </c>
      <c r="B326" s="17">
        <f>SUMIFS(tblOrdenes[horas_efectivas],tblOrdenes[semana],$A326,tblOrdenes[clasificacion],"preventiva")</f>
        <v/>
      </c>
      <c r="C326" s="17">
        <f>SUMIFS(tblOrdenes[horas_efectivas],tblOrdenes[semana],$A326,tblOrdenes[clasificacion],"correctiva")</f>
        <v/>
      </c>
      <c r="D326" s="18">
        <f>IF(B326=0,"",C326/B326)</f>
        <v/>
      </c>
      <c r="E326" s="18">
        <f>IF(B326+C326=0,"",C326/(B326+C326))</f>
        <v/>
      </c>
      <c r="F326" s="3">
        <f>IF(E326="","",IF(E326&lt;=1-p_meta_ratio_prev_corr,"SI","NO"))</f>
        <v/>
      </c>
    </row>
    <row r="327">
      <c r="A327" s="3">
        <f>$O$21</f>
        <v/>
      </c>
      <c r="B327" s="17">
        <f>SUMIFS(tblOrdenes[horas_efectivas],tblOrdenes[semana],$A327,tblOrdenes[clasificacion],"preventiva")</f>
        <v/>
      </c>
      <c r="C327" s="17">
        <f>SUMIFS(tblOrdenes[horas_efectivas],tblOrdenes[semana],$A327,tblOrdenes[clasificacion],"correctiva")</f>
        <v/>
      </c>
      <c r="D327" s="18">
        <f>IF(B327=0,"",C327/B327)</f>
        <v/>
      </c>
      <c r="E327" s="18">
        <f>IF(B327+C327=0,"",C327/(B327+C327))</f>
        <v/>
      </c>
      <c r="F327" s="3">
        <f>IF(E327="","",IF(E327&lt;=1-p_meta_ratio_prev_corr,"SI","NO"))</f>
        <v/>
      </c>
    </row>
    <row r="328" hidden="1">
      <c r="A328" s="3">
        <f>$O$22</f>
        <v/>
      </c>
      <c r="B328" s="17">
        <f>SUMIFS(tblOrdenes[horas_efectivas],tblOrdenes[semana],$A328,tblOrdenes[clasificacion],"preventiva")</f>
        <v/>
      </c>
      <c r="C328" s="17">
        <f>SUMIFS(tblOrdenes[horas_efectivas],tblOrdenes[semana],$A328,tblOrdenes[clasificacion],"correctiva")</f>
        <v/>
      </c>
      <c r="D328" s="18">
        <f>IF(B328=0,"",C328/B328)</f>
        <v/>
      </c>
      <c r="E328" s="18">
        <f>IF(B328+C328=0,"",C328/(B328+C328))</f>
        <v/>
      </c>
      <c r="F328" s="3">
        <f>IF(E328="","",IF(E328&lt;=1-p_meta_ratio_prev_corr,"SI","NO"))</f>
        <v/>
      </c>
    </row>
    <row r="329" hidden="1">
      <c r="A329" s="3">
        <f>$O$23</f>
        <v/>
      </c>
      <c r="B329" s="17">
        <f>SUMIFS(tblOrdenes[horas_efectivas],tblOrdenes[semana],$A329,tblOrdenes[clasificacion],"preventiva")</f>
        <v/>
      </c>
      <c r="C329" s="17">
        <f>SUMIFS(tblOrdenes[horas_efectivas],tblOrdenes[semana],$A329,tblOrdenes[clasificacion],"correctiva")</f>
        <v/>
      </c>
      <c r="D329" s="18">
        <f>IF(B329=0,"",C329/B329)</f>
        <v/>
      </c>
      <c r="E329" s="18">
        <f>IF(B329+C329=0,"",C329/(B329+C329))</f>
        <v/>
      </c>
      <c r="F329" s="3">
        <f>IF(E329="","",IF(E329&lt;=1-p_meta_ratio_prev_corr,"SI","NO"))</f>
        <v/>
      </c>
    </row>
    <row r="330" hidden="1">
      <c r="A330" s="3">
        <f>$O$24</f>
        <v/>
      </c>
      <c r="B330" s="17">
        <f>SUMIFS(tblOrdenes[horas_efectivas],tblOrdenes[semana],$A330,tblOrdenes[clasificacion],"preventiva")</f>
        <v/>
      </c>
      <c r="C330" s="17">
        <f>SUMIFS(tblOrdenes[horas_efectivas],tblOrdenes[semana],$A330,tblOrdenes[clasificacion],"correctiva")</f>
        <v/>
      </c>
      <c r="D330" s="18">
        <f>IF(B330=0,"",C330/B330)</f>
        <v/>
      </c>
      <c r="E330" s="18">
        <f>IF(B330+C330=0,"",C330/(B330+C330))</f>
        <v/>
      </c>
      <c r="F330" s="3">
        <f>IF(E330="","",IF(E330&lt;=1-p_meta_ratio_prev_corr,"SI","NO"))</f>
        <v/>
      </c>
    </row>
    <row r="331">
      <c r="A331" s="3">
        <f>$O$25</f>
        <v/>
      </c>
      <c r="B331" s="17">
        <f>SUMIFS(tblOrdenes[horas_efectivas],tblOrdenes[semana],$A331,tblOrdenes[clasificacion],"preventiva")</f>
        <v/>
      </c>
      <c r="C331" s="17">
        <f>SUMIFS(tblOrdenes[horas_efectivas],tblOrdenes[semana],$A331,tblOrdenes[clasificacion],"correctiva")</f>
        <v/>
      </c>
      <c r="D331" s="18">
        <f>IF(B331=0,"",C331/B331)</f>
        <v/>
      </c>
      <c r="E331" s="18">
        <f>IF(B331+C331=0,"",C331/(B331+C331))</f>
        <v/>
      </c>
      <c r="F331" s="3">
        <f>IF(E331="","",IF(E331&lt;=1-p_meta_ratio_prev_corr,"SI","NO"))</f>
        <v/>
      </c>
    </row>
    <row r="332">
      <c r="A332" s="3">
        <f>$O$26</f>
        <v/>
      </c>
      <c r="B332" s="17">
        <f>SUMIFS(tblOrdenes[horas_efectivas],tblOrdenes[semana],$A332,tblOrdenes[clasificacion],"preventiva")</f>
        <v/>
      </c>
      <c r="C332" s="17">
        <f>SUMIFS(tblOrdenes[horas_efectivas],tblOrdenes[semana],$A332,tblOrdenes[clasificacion],"correctiva")</f>
        <v/>
      </c>
      <c r="D332" s="18">
        <f>IF(B332=0,"",C332/B332)</f>
        <v/>
      </c>
      <c r="E332" s="18">
        <f>IF(B332+C332=0,"",C332/(B332+C332))</f>
        <v/>
      </c>
      <c r="F332" s="3">
        <f>IF(E332="","",IF(E332&lt;=1-p_meta_ratio_prev_corr,"SI","NO"))</f>
        <v/>
      </c>
    </row>
    <row r="333">
      <c r="A333" s="3">
        <f>$O$27</f>
        <v/>
      </c>
      <c r="B333" s="17">
        <f>SUMIFS(tblOrdenes[horas_efectivas],tblOrdenes[semana],$A333,tblOrdenes[clasificacion],"preventiva")</f>
        <v/>
      </c>
      <c r="C333" s="17">
        <f>SUMIFS(tblOrdenes[horas_efectivas],tblOrdenes[semana],$A333,tblOrdenes[clasificacion],"correctiva")</f>
        <v/>
      </c>
      <c r="D333" s="18">
        <f>IF(B333=0,"",C333/B333)</f>
        <v/>
      </c>
      <c r="E333" s="18">
        <f>IF(B333+C333=0,"",C333/(B333+C333))</f>
        <v/>
      </c>
      <c r="F333" s="3">
        <f>IF(E333="","",IF(E333&lt;=1-p_meta_ratio_prev_corr,"SI","NO"))</f>
        <v/>
      </c>
    </row>
    <row r="334">
      <c r="A334" s="3">
        <f>$O$28</f>
        <v/>
      </c>
      <c r="B334" s="17">
        <f>SUMIFS(tblOrdenes[horas_efectivas],tblOrdenes[semana],$A334,tblOrdenes[clasificacion],"preventiva")</f>
        <v/>
      </c>
      <c r="C334" s="17">
        <f>SUMIFS(tblOrdenes[horas_efectivas],tblOrdenes[semana],$A334,tblOrdenes[clasificacion],"correctiva")</f>
        <v/>
      </c>
      <c r="D334" s="18">
        <f>IF(B334=0,"",C334/B334)</f>
        <v/>
      </c>
      <c r="E334" s="18">
        <f>IF(B334+C334=0,"",C334/(B334+C334))</f>
        <v/>
      </c>
      <c r="F334" s="3">
        <f>IF(E334="","",IF(E334&lt;=1-p_meta_ratio_prev_corr,"SI","NO"))</f>
        <v/>
      </c>
    </row>
    <row r="335" hidden="1">
      <c r="A335" s="3">
        <f>$O$29</f>
        <v/>
      </c>
      <c r="B335" s="17">
        <f>SUMIFS(tblOrdenes[horas_efectivas],tblOrdenes[semana],$A335,tblOrdenes[clasificacion],"preventiva")</f>
        <v/>
      </c>
      <c r="C335" s="17">
        <f>SUMIFS(tblOrdenes[horas_efectivas],tblOrdenes[semana],$A335,tblOrdenes[clasificacion],"correctiva")</f>
        <v/>
      </c>
      <c r="D335" s="18">
        <f>IF(B335=0,"",C335/B335)</f>
        <v/>
      </c>
      <c r="E335" s="18">
        <f>IF(B335+C335=0,"",C335/(B335+C335))</f>
        <v/>
      </c>
      <c r="F335" s="3">
        <f>IF(E335="","",IF(E335&lt;=1-p_meta_ratio_prev_corr,"SI","NO"))</f>
        <v/>
      </c>
    </row>
    <row r="336" hidden="1">
      <c r="A336" s="3">
        <f>$O$30</f>
        <v/>
      </c>
      <c r="B336" s="17">
        <f>SUMIFS(tblOrdenes[horas_efectivas],tblOrdenes[semana],$A336,tblOrdenes[clasificacion],"preventiva")</f>
        <v/>
      </c>
      <c r="C336" s="17">
        <f>SUMIFS(tblOrdenes[horas_efectivas],tblOrdenes[semana],$A336,tblOrdenes[clasificacion],"correctiva")</f>
        <v/>
      </c>
      <c r="D336" s="18">
        <f>IF(B336=0,"",C336/B336)</f>
        <v/>
      </c>
      <c r="E336" s="18">
        <f>IF(B336+C336=0,"",C336/(B336+C336))</f>
        <v/>
      </c>
      <c r="F336" s="3">
        <f>IF(E336="","",IF(E336&lt;=1-p_meta_ratio_prev_corr,"SI","NO"))</f>
        <v/>
      </c>
    </row>
    <row r="337">
      <c r="A337" s="3">
        <f>$O$31</f>
        <v/>
      </c>
      <c r="B337" s="17">
        <f>SUMIFS(tblOrdenes[horas_efectivas],tblOrdenes[semana],$A337,tblOrdenes[clasificacion],"preventiva")</f>
        <v/>
      </c>
      <c r="C337" s="17">
        <f>SUMIFS(tblOrdenes[horas_efectivas],tblOrdenes[semana],$A337,tblOrdenes[clasificacion],"correctiva")</f>
        <v/>
      </c>
      <c r="D337" s="18">
        <f>IF(B337=0,"",C337/B337)</f>
        <v/>
      </c>
      <c r="E337" s="18">
        <f>IF(B337+C337=0,"",C337/(B337+C337))</f>
        <v/>
      </c>
      <c r="F337" s="3">
        <f>IF(E337="","",IF(E337&lt;=1-p_meta_ratio_prev_corr,"SI","NO"))</f>
        <v/>
      </c>
    </row>
    <row r="338" hidden="1">
      <c r="A338" s="3">
        <f>$O$32</f>
        <v/>
      </c>
      <c r="B338" s="17">
        <f>SUMIFS(tblOrdenes[horas_efectivas],tblOrdenes[semana],$A338,tblOrdenes[clasificacion],"preventiva")</f>
        <v/>
      </c>
      <c r="C338" s="17">
        <f>SUMIFS(tblOrdenes[horas_efectivas],tblOrdenes[semana],$A338,tblOrdenes[clasificacion],"correctiva")</f>
        <v/>
      </c>
      <c r="D338" s="18">
        <f>IF(B338=0,"",C338/B338)</f>
        <v/>
      </c>
      <c r="E338" s="18">
        <f>IF(B338+C338=0,"",C338/(B338+C338))</f>
        <v/>
      </c>
      <c r="F338" s="3">
        <f>IF(E338="","",IF(E338&lt;=1-p_meta_ratio_prev_corr,"SI","NO"))</f>
        <v/>
      </c>
    </row>
    <row r="339" hidden="1">
      <c r="A339" s="3">
        <f>$O$33</f>
        <v/>
      </c>
      <c r="B339" s="17">
        <f>SUMIFS(tblOrdenes[horas_efectivas],tblOrdenes[semana],$A339,tblOrdenes[clasificacion],"preventiva")</f>
        <v/>
      </c>
      <c r="C339" s="17">
        <f>SUMIFS(tblOrdenes[horas_efectivas],tblOrdenes[semana],$A339,tblOrdenes[clasificacion],"correctiva")</f>
        <v/>
      </c>
      <c r="D339" s="18">
        <f>IF(B339=0,"",C339/B339)</f>
        <v/>
      </c>
      <c r="E339" s="18">
        <f>IF(B339+C339=0,"",C339/(B339+C339))</f>
        <v/>
      </c>
      <c r="F339" s="3">
        <f>IF(E339="","",IF(E339&lt;=1-p_meta_ratio_prev_corr,"SI","NO"))</f>
        <v/>
      </c>
    </row>
    <row r="340" hidden="1">
      <c r="A340" s="3">
        <f>$O$34</f>
        <v/>
      </c>
      <c r="B340" s="17">
        <f>SUMIFS(tblOrdenes[horas_efectivas],tblOrdenes[semana],$A340,tblOrdenes[clasificacion],"preventiva")</f>
        <v/>
      </c>
      <c r="C340" s="17">
        <f>SUMIFS(tblOrdenes[horas_efectivas],tblOrdenes[semana],$A340,tblOrdenes[clasificacion],"correctiva")</f>
        <v/>
      </c>
      <c r="D340" s="18">
        <f>IF(B340=0,"",C340/B340)</f>
        <v/>
      </c>
      <c r="E340" s="18">
        <f>IF(B340+C340=0,"",C340/(B340+C340))</f>
        <v/>
      </c>
      <c r="F340" s="3">
        <f>IF(E340="","",IF(E340&lt;=1-p_meta_ratio_prev_corr,"SI","NO"))</f>
        <v/>
      </c>
    </row>
    <row r="341" hidden="1">
      <c r="A341" s="3">
        <f>$O$35</f>
        <v/>
      </c>
      <c r="B341" s="17">
        <f>SUMIFS(tblOrdenes[horas_efectivas],tblOrdenes[semana],$A341,tblOrdenes[clasificacion],"preventiva")</f>
        <v/>
      </c>
      <c r="C341" s="17">
        <f>SUMIFS(tblOrdenes[horas_efectivas],tblOrdenes[semana],$A341,tblOrdenes[clasificacion],"correctiva")</f>
        <v/>
      </c>
      <c r="D341" s="18">
        <f>IF(B341=0,"",C341/B341)</f>
        <v/>
      </c>
      <c r="E341" s="18">
        <f>IF(B341+C341=0,"",C341/(B341+C341))</f>
        <v/>
      </c>
      <c r="F341" s="3">
        <f>IF(E341="","",IF(E341&lt;=1-p_meta_ratio_prev_corr,"SI","NO"))</f>
        <v/>
      </c>
    </row>
    <row r="342" hidden="1">
      <c r="A342" s="3">
        <f>$O$36</f>
        <v/>
      </c>
      <c r="B342" s="17">
        <f>SUMIFS(tblOrdenes[horas_efectivas],tblOrdenes[semana],$A342,tblOrdenes[clasificacion],"preventiva")</f>
        <v/>
      </c>
      <c r="C342" s="17">
        <f>SUMIFS(tblOrdenes[horas_efectivas],tblOrdenes[semana],$A342,tblOrdenes[clasificacion],"correctiva")</f>
        <v/>
      </c>
      <c r="D342" s="18">
        <f>IF(B342=0,"",C342/B342)</f>
        <v/>
      </c>
      <c r="E342" s="18">
        <f>IF(B342+C342=0,"",C342/(B342+C342))</f>
        <v/>
      </c>
      <c r="F342" s="3">
        <f>IF(E342="","",IF(E342&lt;=1-p_meta_ratio_prev_corr,"SI","NO"))</f>
        <v/>
      </c>
    </row>
    <row r="343" hidden="1">
      <c r="A343" s="3">
        <f>$O$37</f>
        <v/>
      </c>
      <c r="B343" s="17">
        <f>SUMIFS(tblOrdenes[horas_efectivas],tblOrdenes[semana],$A343,tblOrdenes[clasificacion],"preventiva")</f>
        <v/>
      </c>
      <c r="C343" s="17">
        <f>SUMIFS(tblOrdenes[horas_efectivas],tblOrdenes[semana],$A343,tblOrdenes[clasificacion],"correctiva")</f>
        <v/>
      </c>
      <c r="D343" s="18">
        <f>IF(B343=0,"",C343/B343)</f>
        <v/>
      </c>
      <c r="E343" s="18">
        <f>IF(B343+C343=0,"",C343/(B343+C343))</f>
        <v/>
      </c>
      <c r="F343" s="3">
        <f>IF(E343="","",IF(E343&lt;=1-p_meta_ratio_prev_corr,"SI","NO"))</f>
        <v/>
      </c>
    </row>
    <row r="344" hidden="1">
      <c r="A344" s="3">
        <f>$O$38</f>
        <v/>
      </c>
      <c r="B344" s="17">
        <f>SUMIFS(tblOrdenes[horas_efectivas],tblOrdenes[semana],$A344,tblOrdenes[clasificacion],"preventiva")</f>
        <v/>
      </c>
      <c r="C344" s="17">
        <f>SUMIFS(tblOrdenes[horas_efectivas],tblOrdenes[semana],$A344,tblOrdenes[clasificacion],"correctiva")</f>
        <v/>
      </c>
      <c r="D344" s="18">
        <f>IF(B344=0,"",C344/B344)</f>
        <v/>
      </c>
      <c r="E344" s="18">
        <f>IF(B344+C344=0,"",C344/(B344+C344))</f>
        <v/>
      </c>
      <c r="F344" s="3">
        <f>IF(E344="","",IF(E344&lt;=1-p_meta_ratio_prev_corr,"SI","NO"))</f>
        <v/>
      </c>
    </row>
    <row r="345" hidden="1">
      <c r="A345" s="3">
        <f>$O$39</f>
        <v/>
      </c>
      <c r="B345" s="17">
        <f>SUMIFS(tblOrdenes[horas_efectivas],tblOrdenes[semana],$A345,tblOrdenes[clasificacion],"preventiva")</f>
        <v/>
      </c>
      <c r="C345" s="17">
        <f>SUMIFS(tblOrdenes[horas_efectivas],tblOrdenes[semana],$A345,tblOrdenes[clasificacion],"correctiva")</f>
        <v/>
      </c>
      <c r="D345" s="18">
        <f>IF(B345=0,"",C345/B345)</f>
        <v/>
      </c>
      <c r="E345" s="18">
        <f>IF(B345+C345=0,"",C345/(B345+C345))</f>
        <v/>
      </c>
      <c r="F345" s="3">
        <f>IF(E345="","",IF(E345&lt;=1-p_meta_ratio_prev_corr,"SI","NO"))</f>
        <v/>
      </c>
    </row>
    <row r="346">
      <c r="A346" s="3">
        <f>$O$40</f>
        <v/>
      </c>
      <c r="B346" s="17">
        <f>SUMIFS(tblOrdenes[horas_efectivas],tblOrdenes[semana],$A346,tblOrdenes[clasificacion],"preventiva")</f>
        <v/>
      </c>
      <c r="C346" s="17">
        <f>SUMIFS(tblOrdenes[horas_efectivas],tblOrdenes[semana],$A346,tblOrdenes[clasificacion],"correctiva")</f>
        <v/>
      </c>
      <c r="D346" s="18">
        <f>IF(B346=0,"",C346/B346)</f>
        <v/>
      </c>
      <c r="E346" s="18">
        <f>IF(B346+C346=0,"",C346/(B346+C346))</f>
        <v/>
      </c>
      <c r="F346" s="3">
        <f>IF(E346="","",IF(E346&lt;=1-p_meta_ratio_prev_corr,"SI","NO"))</f>
        <v/>
      </c>
    </row>
    <row r="347" hidden="1">
      <c r="A347" s="3">
        <f>$O$41</f>
        <v/>
      </c>
      <c r="B347" s="17">
        <f>SUMIFS(tblOrdenes[horas_efectivas],tblOrdenes[semana],$A347,tblOrdenes[clasificacion],"preventiva")</f>
        <v/>
      </c>
      <c r="C347" s="17">
        <f>SUMIFS(tblOrdenes[horas_efectivas],tblOrdenes[semana],$A347,tblOrdenes[clasificacion],"correctiva")</f>
        <v/>
      </c>
      <c r="D347" s="18">
        <f>IF(B347=0,"",C347/B347)</f>
        <v/>
      </c>
      <c r="E347" s="18">
        <f>IF(B347+C347=0,"",C347/(B347+C347))</f>
        <v/>
      </c>
      <c r="F347" s="3">
        <f>IF(E347="","",IF(E347&lt;=1-p_meta_ratio_prev_corr,"SI","NO"))</f>
        <v/>
      </c>
    </row>
    <row r="348" hidden="1">
      <c r="A348" s="3">
        <f>$O$42</f>
        <v/>
      </c>
      <c r="B348" s="17">
        <f>SUMIFS(tblOrdenes[horas_efectivas],tblOrdenes[semana],$A348,tblOrdenes[clasificacion],"preventiva")</f>
        <v/>
      </c>
      <c r="C348" s="17">
        <f>SUMIFS(tblOrdenes[horas_efectivas],tblOrdenes[semana],$A348,tblOrdenes[clasificacion],"correctiva")</f>
        <v/>
      </c>
      <c r="D348" s="18">
        <f>IF(B348=0,"",C348/B348)</f>
        <v/>
      </c>
      <c r="E348" s="18">
        <f>IF(B348+C348=0,"",C348/(B348+C348))</f>
        <v/>
      </c>
      <c r="F348" s="3">
        <f>IF(E348="","",IF(E348&lt;=1-p_meta_ratio_prev_corr,"SI","NO"))</f>
        <v/>
      </c>
    </row>
    <row r="349" hidden="1">
      <c r="A349" s="3">
        <f>$O$43</f>
        <v/>
      </c>
      <c r="B349" s="17">
        <f>SUMIFS(tblOrdenes[horas_efectivas],tblOrdenes[semana],$A349,tblOrdenes[clasificacion],"preventiva")</f>
        <v/>
      </c>
      <c r="C349" s="17">
        <f>SUMIFS(tblOrdenes[horas_efectivas],tblOrdenes[semana],$A349,tblOrdenes[clasificacion],"correctiva")</f>
        <v/>
      </c>
      <c r="D349" s="18">
        <f>IF(B349=0,"",C349/B349)</f>
        <v/>
      </c>
      <c r="E349" s="18">
        <f>IF(B349+C349=0,"",C349/(B349+C349))</f>
        <v/>
      </c>
      <c r="F349" s="3">
        <f>IF(E349="","",IF(E349&lt;=1-p_meta_ratio_prev_corr,"SI","NO"))</f>
        <v/>
      </c>
    </row>
    <row r="350" hidden="1">
      <c r="A350" s="3">
        <f>$O$44</f>
        <v/>
      </c>
      <c r="B350" s="17">
        <f>SUMIFS(tblOrdenes[horas_efectivas],tblOrdenes[semana],$A350,tblOrdenes[clasificacion],"preventiva")</f>
        <v/>
      </c>
      <c r="C350" s="17">
        <f>SUMIFS(tblOrdenes[horas_efectivas],tblOrdenes[semana],$A350,tblOrdenes[clasificacion],"correctiva")</f>
        <v/>
      </c>
      <c r="D350" s="18">
        <f>IF(B350=0,"",C350/B350)</f>
        <v/>
      </c>
      <c r="E350" s="18">
        <f>IF(B350+C350=0,"",C350/(B350+C350))</f>
        <v/>
      </c>
      <c r="F350" s="3">
        <f>IF(E350="","",IF(E350&lt;=1-p_meta_ratio_prev_corr,"SI","NO"))</f>
        <v/>
      </c>
    </row>
    <row r="351" hidden="1">
      <c r="A351" s="3">
        <f>$O$45</f>
        <v/>
      </c>
      <c r="B351" s="17">
        <f>SUMIFS(tblOrdenes[horas_efectivas],tblOrdenes[semana],$A351,tblOrdenes[clasificacion],"preventiva")</f>
        <v/>
      </c>
      <c r="C351" s="17">
        <f>SUMIFS(tblOrdenes[horas_efectivas],tblOrdenes[semana],$A351,tblOrdenes[clasificacion],"correctiva")</f>
        <v/>
      </c>
      <c r="D351" s="18">
        <f>IF(B351=0,"",C351/B351)</f>
        <v/>
      </c>
      <c r="E351" s="18">
        <f>IF(B351+C351=0,"",C351/(B351+C351))</f>
        <v/>
      </c>
      <c r="F351" s="3">
        <f>IF(E351="","",IF(E351&lt;=1-p_meta_ratio_prev_corr,"SI","NO"))</f>
        <v/>
      </c>
    </row>
    <row r="352" hidden="1">
      <c r="A352" s="3">
        <f>$O$46</f>
        <v/>
      </c>
      <c r="B352" s="17">
        <f>SUMIFS(tblOrdenes[horas_efectivas],tblOrdenes[semana],$A352,tblOrdenes[clasificacion],"preventiva")</f>
        <v/>
      </c>
      <c r="C352" s="17">
        <f>SUMIFS(tblOrdenes[horas_efectivas],tblOrdenes[semana],$A352,tblOrdenes[clasificacion],"correctiva")</f>
        <v/>
      </c>
      <c r="D352" s="18">
        <f>IF(B352=0,"",C352/B352)</f>
        <v/>
      </c>
      <c r="E352" s="18">
        <f>IF(B352+C352=0,"",C352/(B352+C352))</f>
        <v/>
      </c>
      <c r="F352" s="3">
        <f>IF(E352="","",IF(E352&lt;=1-p_meta_ratio_prev_corr,"SI","NO"))</f>
        <v/>
      </c>
    </row>
    <row r="353" hidden="1">
      <c r="A353" s="3">
        <f>$O$47</f>
        <v/>
      </c>
      <c r="B353" s="17">
        <f>SUMIFS(tblOrdenes[horas_efectivas],tblOrdenes[semana],$A353,tblOrdenes[clasificacion],"preventiva")</f>
        <v/>
      </c>
      <c r="C353" s="17">
        <f>SUMIFS(tblOrdenes[horas_efectivas],tblOrdenes[semana],$A353,tblOrdenes[clasificacion],"correctiva")</f>
        <v/>
      </c>
      <c r="D353" s="18">
        <f>IF(B353=0,"",C353/B353)</f>
        <v/>
      </c>
      <c r="E353" s="18">
        <f>IF(B353+C353=0,"",C353/(B353+C353))</f>
        <v/>
      </c>
      <c r="F353" s="3">
        <f>IF(E353="","",IF(E353&lt;=1-p_meta_ratio_prev_corr,"SI","NO"))</f>
        <v/>
      </c>
    </row>
    <row r="354">
      <c r="A354" s="3">
        <f>$O$48</f>
        <v/>
      </c>
      <c r="B354" s="17">
        <f>SUMIFS(tblOrdenes[horas_efectivas],tblOrdenes[semana],$A354,tblOrdenes[clasificacion],"preventiva")</f>
        <v/>
      </c>
      <c r="C354" s="17">
        <f>SUMIFS(tblOrdenes[horas_efectivas],tblOrdenes[semana],$A354,tblOrdenes[clasificacion],"correctiva")</f>
        <v/>
      </c>
      <c r="D354" s="18">
        <f>IF(B354=0,"",C354/B354)</f>
        <v/>
      </c>
      <c r="E354" s="18">
        <f>IF(B354+C354=0,"",C354/(B354+C354))</f>
        <v/>
      </c>
      <c r="F354" s="3">
        <f>IF(E354="","",IF(E354&lt;=1-p_meta_ratio_prev_corr,"SI","NO"))</f>
        <v/>
      </c>
    </row>
    <row r="355">
      <c r="A355" s="3">
        <f>$O$49</f>
        <v/>
      </c>
      <c r="B355" s="17">
        <f>SUMIFS(tblOrdenes[horas_efectivas],tblOrdenes[semana],$A355,tblOrdenes[clasificacion],"preventiva")</f>
        <v/>
      </c>
      <c r="C355" s="17">
        <f>SUMIFS(tblOrdenes[horas_efectivas],tblOrdenes[semana],$A355,tblOrdenes[clasificacion],"correctiva")</f>
        <v/>
      </c>
      <c r="D355" s="18">
        <f>IF(B355=0,"",C355/B355)</f>
        <v/>
      </c>
      <c r="E355" s="18">
        <f>IF(B355+C355=0,"",C355/(B355+C355))</f>
        <v/>
      </c>
      <c r="F355" s="3">
        <f>IF(E355="","",IF(E355&lt;=1-p_meta_ratio_prev_corr,"SI","NO"))</f>
        <v/>
      </c>
    </row>
    <row r="356" hidden="1">
      <c r="A356" s="3">
        <f>$O$50</f>
        <v/>
      </c>
      <c r="B356" s="17">
        <f>SUMIFS(tblOrdenes[horas_efectivas],tblOrdenes[semana],$A356,tblOrdenes[clasificacion],"preventiva")</f>
        <v/>
      </c>
      <c r="C356" s="17">
        <f>SUMIFS(tblOrdenes[horas_efectivas],tblOrdenes[semana],$A356,tblOrdenes[clasificacion],"correctiva")</f>
        <v/>
      </c>
      <c r="D356" s="18">
        <f>IF(B356=0,"",C356/B356)</f>
        <v/>
      </c>
      <c r="E356" s="18">
        <f>IF(B356+C356=0,"",C356/(B356+C356))</f>
        <v/>
      </c>
      <c r="F356" s="3">
        <f>IF(E356="","",IF(E356&lt;=1-p_meta_ratio_prev_corr,"SI","NO"))</f>
        <v/>
      </c>
    </row>
    <row r="357" hidden="1">
      <c r="A357" s="3">
        <f>$O$51</f>
        <v/>
      </c>
      <c r="B357" s="17">
        <f>SUMIFS(tblOrdenes[horas_efectivas],tblOrdenes[semana],$A357,tblOrdenes[clasificacion],"preventiva")</f>
        <v/>
      </c>
      <c r="C357" s="17">
        <f>SUMIFS(tblOrdenes[horas_efectivas],tblOrdenes[semana],$A357,tblOrdenes[clasificacion],"correctiva")</f>
        <v/>
      </c>
      <c r="D357" s="18">
        <f>IF(B357=0,"",C357/B357)</f>
        <v/>
      </c>
      <c r="E357" s="18">
        <f>IF(B357+C357=0,"",C357/(B357+C357))</f>
        <v/>
      </c>
      <c r="F357" s="3">
        <f>IF(E357="","",IF(E357&lt;=1-p_meta_ratio_prev_corr,"SI","NO"))</f>
        <v/>
      </c>
    </row>
    <row r="358" hidden="1">
      <c r="A358" s="3">
        <f>$O$52</f>
        <v/>
      </c>
      <c r="B358" s="17">
        <f>SUMIFS(tblOrdenes[horas_efectivas],tblOrdenes[semana],$A358,tblOrdenes[clasificacion],"preventiva")</f>
        <v/>
      </c>
      <c r="C358" s="17">
        <f>SUMIFS(tblOrdenes[horas_efectivas],tblOrdenes[semana],$A358,tblOrdenes[clasificacion],"correctiva")</f>
        <v/>
      </c>
      <c r="D358" s="18">
        <f>IF(B358=0,"",C358/B358)</f>
        <v/>
      </c>
      <c r="E358" s="18">
        <f>IF(B358+C358=0,"",C358/(B358+C358))</f>
        <v/>
      </c>
      <c r="F358" s="3">
        <f>IF(E358="","",IF(E358&lt;=1-p_meta_ratio_prev_corr,"SI","NO"))</f>
        <v/>
      </c>
    </row>
    <row r="359" hidden="1">
      <c r="A359" s="3">
        <f>$O$53</f>
        <v/>
      </c>
      <c r="B359" s="17">
        <f>SUMIFS(tblOrdenes[horas_efectivas],tblOrdenes[semana],$A359,tblOrdenes[clasificacion],"preventiva")</f>
        <v/>
      </c>
      <c r="C359" s="17">
        <f>SUMIFS(tblOrdenes[horas_efectivas],tblOrdenes[semana],$A359,tblOrdenes[clasificacion],"correctiva")</f>
        <v/>
      </c>
      <c r="D359" s="18">
        <f>IF(B359=0,"",C359/B359)</f>
        <v/>
      </c>
      <c r="E359" s="18">
        <f>IF(B359+C359=0,"",C359/(B359+C359))</f>
        <v/>
      </c>
      <c r="F359" s="3">
        <f>IF(E359="","",IF(E359&lt;=1-p_meta_ratio_prev_corr,"SI","NO"))</f>
        <v/>
      </c>
    </row>
    <row r="360" hidden="1">
      <c r="A360" s="3">
        <f>$O$54</f>
        <v/>
      </c>
      <c r="B360" s="17">
        <f>SUMIFS(tblOrdenes[horas_efectivas],tblOrdenes[semana],$A360,tblOrdenes[clasificacion],"preventiva")</f>
        <v/>
      </c>
      <c r="C360" s="17">
        <f>SUMIFS(tblOrdenes[horas_efectivas],tblOrdenes[semana],$A360,tblOrdenes[clasificacion],"correctiva")</f>
        <v/>
      </c>
      <c r="D360" s="18">
        <f>IF(B360=0,"",C360/B360)</f>
        <v/>
      </c>
      <c r="E360" s="18">
        <f>IF(B360+C360=0,"",C360/(B360+C360))</f>
        <v/>
      </c>
      <c r="F360" s="3">
        <f>IF(E360="","",IF(E360&lt;=1-p_meta_ratio_prev_corr,"SI","NO"))</f>
        <v/>
      </c>
    </row>
    <row r="361" hidden="1">
      <c r="A361" s="3">
        <f>$O$55</f>
        <v/>
      </c>
      <c r="B361" s="17">
        <f>SUMIFS(tblOrdenes[horas_efectivas],tblOrdenes[semana],$A361,tblOrdenes[clasificacion],"preventiva")</f>
        <v/>
      </c>
      <c r="C361" s="17">
        <f>SUMIFS(tblOrdenes[horas_efectivas],tblOrdenes[semana],$A361,tblOrdenes[clasificacion],"correctiva")</f>
        <v/>
      </c>
      <c r="D361" s="18">
        <f>IF(B361=0,"",C361/B361)</f>
        <v/>
      </c>
      <c r="E361" s="18">
        <f>IF(B361+C361=0,"",C361/(B361+C361))</f>
        <v/>
      </c>
      <c r="F361" s="3">
        <f>IF(E361="","",IF(E361&lt;=1-p_meta_ratio_prev_corr,"SI","NO"))</f>
        <v/>
      </c>
    </row>
    <row r="362" hidden="1">
      <c r="A362" s="3">
        <f>$O$56</f>
        <v/>
      </c>
      <c r="B362" s="17">
        <f>SUMIFS(tblOrdenes[horas_efectivas],tblOrdenes[semana],$A362,tblOrdenes[clasificacion],"preventiva")</f>
        <v/>
      </c>
      <c r="C362" s="17">
        <f>SUMIFS(tblOrdenes[horas_efectivas],tblOrdenes[semana],$A362,tblOrdenes[clasificacion],"correctiva")</f>
        <v/>
      </c>
      <c r="D362" s="18">
        <f>IF(B362=0,"",C362/B362)</f>
        <v/>
      </c>
      <c r="E362" s="18">
        <f>IF(B362+C362=0,"",C362/(B362+C362))</f>
        <v/>
      </c>
      <c r="F362" s="3">
        <f>IF(E362="","",IF(E362&lt;=1-p_meta_ratio_prev_corr,"SI","NO"))</f>
        <v/>
      </c>
    </row>
    <row r="363" hidden="1">
      <c r="A363" s="3">
        <f>$O$57</f>
        <v/>
      </c>
      <c r="B363" s="17">
        <f>SUMIFS(tblOrdenes[horas_efectivas],tblOrdenes[semana],$A363,tblOrdenes[clasificacion],"preventiva")</f>
        <v/>
      </c>
      <c r="C363" s="17">
        <f>SUMIFS(tblOrdenes[horas_efectivas],tblOrdenes[semana],$A363,tblOrdenes[clasificacion],"correctiva")</f>
        <v/>
      </c>
      <c r="D363" s="18">
        <f>IF(B363=0,"",C363/B363)</f>
        <v/>
      </c>
      <c r="E363" s="18">
        <f>IF(B363+C363=0,"",C363/(B363+C363))</f>
        <v/>
      </c>
      <c r="F363" s="3">
        <f>IF(E363="","",IF(E363&lt;=1-p_meta_ratio_prev_corr,"SI","NO"))</f>
        <v/>
      </c>
    </row>
    <row r="364" hidden="1">
      <c r="A364" s="3">
        <f>$O$58</f>
        <v/>
      </c>
      <c r="B364" s="17">
        <f>SUMIFS(tblOrdenes[horas_efectivas],tblOrdenes[semana],$A364,tblOrdenes[clasificacion],"preventiva")</f>
        <v/>
      </c>
      <c r="C364" s="17">
        <f>SUMIFS(tblOrdenes[horas_efectivas],tblOrdenes[semana],$A364,tblOrdenes[clasificacion],"correctiva")</f>
        <v/>
      </c>
      <c r="D364" s="18">
        <f>IF(B364=0,"",C364/B364)</f>
        <v/>
      </c>
      <c r="E364" s="18">
        <f>IF(B364+C364=0,"",C364/(B364+C364))</f>
        <v/>
      </c>
      <c r="F364" s="3">
        <f>IF(E364="","",IF(E364&lt;=1-p_meta_ratio_prev_corr,"SI","NO"))</f>
        <v/>
      </c>
    </row>
    <row r="365" hidden="1">
      <c r="A365" s="3">
        <f>$O$59</f>
        <v/>
      </c>
      <c r="B365" s="17">
        <f>SUMIFS(tblOrdenes[horas_efectivas],tblOrdenes[semana],$A365,tblOrdenes[clasificacion],"preventiva")</f>
        <v/>
      </c>
      <c r="C365" s="17">
        <f>SUMIFS(tblOrdenes[horas_efectivas],tblOrdenes[semana],$A365,tblOrdenes[clasificacion],"correctiva")</f>
        <v/>
      </c>
      <c r="D365" s="18">
        <f>IF(B365=0,"",C365/B365)</f>
        <v/>
      </c>
      <c r="E365" s="18">
        <f>IF(B365+C365=0,"",C365/(B365+C365))</f>
        <v/>
      </c>
      <c r="F365" s="3">
        <f>IF(E365="","",IF(E365&lt;=1-p_meta_ratio_prev_corr,"SI","NO"))</f>
        <v/>
      </c>
    </row>
    <row r="366" hidden="1">
      <c r="A366" s="3">
        <f>$O$60</f>
        <v/>
      </c>
      <c r="B366" s="17">
        <f>SUMIFS(tblOrdenes[horas_efectivas],tblOrdenes[semana],$A366,tblOrdenes[clasificacion],"preventiva")</f>
        <v/>
      </c>
      <c r="C366" s="17">
        <f>SUMIFS(tblOrdenes[horas_efectivas],tblOrdenes[semana],$A366,tblOrdenes[clasificacion],"correctiva")</f>
        <v/>
      </c>
      <c r="D366" s="18">
        <f>IF(B366=0,"",C366/B366)</f>
        <v/>
      </c>
      <c r="E366" s="18">
        <f>IF(B366+C366=0,"",C366/(B366+C366))</f>
        <v/>
      </c>
      <c r="F366" s="3">
        <f>IF(E366="","",IF(E366&lt;=1-p_meta_ratio_prev_corr,"SI","NO"))</f>
        <v/>
      </c>
    </row>
    <row r="367" hidden="1">
      <c r="A367" s="3">
        <f>$O$61</f>
        <v/>
      </c>
      <c r="B367" s="17">
        <f>SUMIFS(tblOrdenes[horas_efectivas],tblOrdenes[semana],$A367,tblOrdenes[clasificacion],"preventiva")</f>
        <v/>
      </c>
      <c r="C367" s="17">
        <f>SUMIFS(tblOrdenes[horas_efectivas],tblOrdenes[semana],$A367,tblOrdenes[clasificacion],"correctiva")</f>
        <v/>
      </c>
      <c r="D367" s="18">
        <f>IF(B367=0,"",C367/B367)</f>
        <v/>
      </c>
      <c r="E367" s="18">
        <f>IF(B367+C367=0,"",C367/(B367+C367))</f>
        <v/>
      </c>
      <c r="F367" s="3">
        <f>IF(E367="","",IF(E367&lt;=1-p_meta_ratio_prev_corr,"SI","NO"))</f>
        <v/>
      </c>
    </row>
    <row r="368" hidden="1">
      <c r="A368" s="3">
        <f>$O$62</f>
        <v/>
      </c>
      <c r="B368" s="17">
        <f>SUMIFS(tblOrdenes[horas_efectivas],tblOrdenes[semana],$A368,tblOrdenes[clasificacion],"preventiva")</f>
        <v/>
      </c>
      <c r="C368" s="17">
        <f>SUMIFS(tblOrdenes[horas_efectivas],tblOrdenes[semana],$A368,tblOrdenes[clasificacion],"correctiva")</f>
        <v/>
      </c>
      <c r="D368" s="18">
        <f>IF(B368=0,"",C368/B368)</f>
        <v/>
      </c>
      <c r="E368" s="18">
        <f>IF(B368+C368=0,"",C368/(B368+C368))</f>
        <v/>
      </c>
      <c r="F368" s="3">
        <f>IF(E368="","",IF(E368&lt;=1-p_meta_ratio_prev_corr,"SI","NO"))</f>
        <v/>
      </c>
    </row>
    <row r="369" hidden="1">
      <c r="A369" s="3">
        <f>$O$63</f>
        <v/>
      </c>
      <c r="B369" s="17">
        <f>SUMIFS(tblOrdenes[horas_efectivas],tblOrdenes[semana],$A369,tblOrdenes[clasificacion],"preventiva")</f>
        <v/>
      </c>
      <c r="C369" s="17">
        <f>SUMIFS(tblOrdenes[horas_efectivas],tblOrdenes[semana],$A369,tblOrdenes[clasificacion],"correctiva")</f>
        <v/>
      </c>
      <c r="D369" s="18">
        <f>IF(B369=0,"",C369/B369)</f>
        <v/>
      </c>
      <c r="E369" s="18">
        <f>IF(B369+C369=0,"",C369/(B369+C369))</f>
        <v/>
      </c>
      <c r="F369" s="3">
        <f>IF(E369="","",IF(E369&lt;=1-p_meta_ratio_prev_corr,"SI","NO"))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9" t="inlineStr">
        <is>
          <t>2026-S31</t>
        </is>
      </c>
      <c r="C3" s="4" t="inlineStr">
        <is>
          <t>día:</t>
        </is>
      </c>
      <c r="D3" s="19" t="inlineStr">
        <is>
          <t>(todos)</t>
        </is>
      </c>
      <c r="E3" s="4" t="inlineStr">
        <is>
          <t>turno:</t>
        </is>
      </c>
      <c r="F3" s="19" t="inlineStr">
        <is>
          <t>(todos)</t>
        </is>
      </c>
      <c r="G3" s="4" t="inlineStr">
        <is>
          <t>coordinador:</t>
        </is>
      </c>
      <c r="H3" s="19" t="inlineStr">
        <is>
          <t>(todos)</t>
        </is>
      </c>
      <c r="I3" s="4" t="inlineStr">
        <is>
          <t>área:</t>
        </is>
      </c>
      <c r="J3" s="19" t="inlineStr">
        <is>
          <t>(todos)</t>
        </is>
      </c>
      <c r="K3" s="4" t="inlineStr">
        <is>
          <t>especialidad:</t>
        </is>
      </c>
      <c r="L3" s="19" t="inlineStr">
        <is>
          <t>(todos)</t>
        </is>
      </c>
      <c r="M3" s="4" t="inlineStr">
        <is>
          <t>sub-área:</t>
        </is>
      </c>
      <c r="N3" s="19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("&amp;_xlfn.XLOOKUP($B$3&amp;"|"&amp;$D$3&amp;"|"&amp;$P4,tblAsignaciones[clave],tblAsignaciones[turno],"")&amp;")")</f>
        <v/>
      </c>
      <c r="S4" s="17">
        <f>IF(AND($L$3&lt;&gt;"(todos)",$Q4&lt;&gt;$L$3),NA(),SUMIFS(tblOrdenes[horas_efectiv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4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("&amp;_xlfn.XLOOKUP($B$3&amp;"|"&amp;$D$3&amp;"|"&amp;$P5,tblAsignaciones[clave],tblAsignaciones[turno],"")&amp;")")</f>
        <v/>
      </c>
      <c r="S5" s="17">
        <f>IF(AND($L$3&lt;&gt;"(todos)",$Q5&lt;&gt;$L$3),NA(),SUMIFS(tblOrdenes[horas_efectiv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("&amp;_xlfn.XLOOKUP($B$3&amp;"|"&amp;$D$3&amp;"|"&amp;$P6,tblAsignaciones[clave],tblAsignaciones[turno],"")&amp;")")</f>
        <v/>
      </c>
      <c r="S6" s="17">
        <f>IF(AND($L$3&lt;&gt;"(todos)",$Q6&lt;&gt;$L$3),NA(),SUMIFS(tblOrdenes[horas_efectiv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("&amp;_xlfn.XLOOKUP($B$3&amp;"|"&amp;$D$3&amp;"|"&amp;$P7,tblAsignaciones[clave],tblAsignaciones[turno],"")&amp;")")</f>
        <v/>
      </c>
      <c r="S7" s="17">
        <f>IF(AND($L$3&lt;&gt;"(todos)",$Q7&lt;&gt;$L$3),NA(),SUMIFS(tblOrdenes[horas_efectiv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</row>
    <row r="8">
      <c r="P8" s="3" t="inlineStr">
        <is>
          <t>Técnico 05</t>
        </is>
      </c>
      <c r="Q8" s="3" t="inlineStr">
        <is>
          <t>MEC</t>
        </is>
      </c>
      <c r="R8" s="3">
        <f>IF(OR($B$3="(todos)",$D$3="(todos)"),$P8,$P8&amp;" ("&amp;_xlfn.XLOOKUP($B$3&amp;"|"&amp;$D$3&amp;"|"&amp;$P8,tblAsignaciones[clave],tblAsignaciones[turno],"")&amp;")")</f>
        <v/>
      </c>
      <c r="S8" s="17">
        <f>IF(AND($L$3&lt;&gt;"(todos)",$Q8&lt;&gt;$L$3),NA(),SUMIFS(tblOrdenes[horas_efectiv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</row>
    <row r="9">
      <c r="P9" s="3" t="inlineStr">
        <is>
          <t>Técnico 06</t>
        </is>
      </c>
      <c r="Q9" s="3" t="inlineStr">
        <is>
          <t>MEC</t>
        </is>
      </c>
      <c r="R9" s="3">
        <f>IF(OR($B$3="(todos)",$D$3="(todos)"),$P9,$P9&amp;" ("&amp;_xlfn.XLOOKUP($B$3&amp;"|"&amp;$D$3&amp;"|"&amp;$P9,tblAsignaciones[clave],tblAsignaciones[turno],"")&amp;")")</f>
        <v/>
      </c>
      <c r="S9" s="17">
        <f>IF(AND($L$3&lt;&gt;"(todos)",$Q9&lt;&gt;$L$3),NA(),SUMIFS(tblOrdenes[horas_efectiv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</row>
    <row r="10">
      <c r="P10" s="3" t="inlineStr">
        <is>
          <t>Técnico 07</t>
        </is>
      </c>
      <c r="Q10" s="3" t="inlineStr">
        <is>
          <t>MEC</t>
        </is>
      </c>
      <c r="R10" s="3">
        <f>IF(OR($B$3="(todos)",$D$3="(todos)"),$P10,$P10&amp;" ("&amp;_xlfn.XLOOKUP($B$3&amp;"|"&amp;$D$3&amp;"|"&amp;$P10,tblAsignaciones[clave],tblAsignaciones[turno],"")&amp;")")</f>
        <v/>
      </c>
      <c r="S10" s="17">
        <f>IF(AND($L$3&lt;&gt;"(todos)",$Q10&lt;&gt;$L$3),NA(),SUMIFS(tblOrdenes[horas_efectiv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</row>
    <row r="11">
      <c r="P11" s="3" t="inlineStr">
        <is>
          <t>Técnico 08</t>
        </is>
      </c>
      <c r="Q11" s="3" t="inlineStr">
        <is>
          <t>ELE</t>
        </is>
      </c>
      <c r="R11" s="3">
        <f>IF(OR($B$3="(todos)",$D$3="(todos)"),$P11,$P11&amp;" ("&amp;_xlfn.XLOOKUP($B$3&amp;"|"&amp;$D$3&amp;"|"&amp;$P11,tblAsignaciones[clave],tblAsignaciones[turno],"")&amp;")")</f>
        <v/>
      </c>
      <c r="S11" s="17">
        <f>IF(AND($L$3&lt;&gt;"(todos)",$Q11&lt;&gt;$L$3),NA(),SUMIFS(tblOrdenes[horas_efectiv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</row>
    <row r="12">
      <c r="P12" s="3" t="inlineStr">
        <is>
          <t>Técnico 09</t>
        </is>
      </c>
      <c r="Q12" s="3" t="inlineStr">
        <is>
          <t>ELE</t>
        </is>
      </c>
      <c r="R12" s="3">
        <f>IF(OR($B$3="(todos)",$D$3="(todos)"),$P12,$P12&amp;" ("&amp;_xlfn.XLOOKUP($B$3&amp;"|"&amp;$D$3&amp;"|"&amp;$P12,tblAsignaciones[clave],tblAsignaciones[turno],"")&amp;")")</f>
        <v/>
      </c>
      <c r="S12" s="17">
        <f>IF(AND($L$3&lt;&gt;"(todos)",$Q12&lt;&gt;$L$3),NA(),SUMIFS(tblOrdenes[horas_efectiv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</row>
    <row r="13">
      <c r="P13" s="3" t="inlineStr">
        <is>
          <t>Técnico 10</t>
        </is>
      </c>
      <c r="Q13" s="3" t="inlineStr">
        <is>
          <t>ELE</t>
        </is>
      </c>
      <c r="R13" s="3">
        <f>IF(OR($B$3="(todos)",$D$3="(todos)"),$P13,$P13&amp;" ("&amp;_xlfn.XLOOKUP($B$3&amp;"|"&amp;$D$3&amp;"|"&amp;$P13,tblAsignaciones[clave],tblAsignaciones[turno],"")&amp;")")</f>
        <v/>
      </c>
      <c r="S13" s="17">
        <f>IF(AND($L$3&lt;&gt;"(todos)",$Q13&lt;&gt;$L$3),NA(),SUMIFS(tblOrdenes[horas_efectiv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</row>
    <row r="14">
      <c r="P14" s="3" t="inlineStr">
        <is>
          <t>Técnico 11</t>
        </is>
      </c>
      <c r="Q14" s="3" t="inlineStr">
        <is>
          <t>ELE</t>
        </is>
      </c>
      <c r="R14" s="3">
        <f>IF(OR($B$3="(todos)",$D$3="(todos)"),$P14,$P14&amp;" ("&amp;_xlfn.XLOOKUP($B$3&amp;"|"&amp;$D$3&amp;"|"&amp;$P14,tblAsignaciones[clave],tblAsignaciones[turno],"")&amp;")")</f>
        <v/>
      </c>
      <c r="S14" s="17">
        <f>IF(AND($L$3&lt;&gt;"(todos)",$Q14&lt;&gt;$L$3),NA(),SUMIFS(tblOrdenes[horas_efectiv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</row>
    <row r="15">
      <c r="P15" s="3" t="inlineStr">
        <is>
          <t>Técnico 12</t>
        </is>
      </c>
      <c r="Q15" s="3" t="inlineStr">
        <is>
          <t>ELE</t>
        </is>
      </c>
      <c r="R15" s="3">
        <f>IF(OR($B$3="(todos)",$D$3="(todos)"),$P15,$P15&amp;" ("&amp;_xlfn.XLOOKUP($B$3&amp;"|"&amp;$D$3&amp;"|"&amp;$P15,tblAsignaciones[clave],tblAsignaciones[turno],"")&amp;")")</f>
        <v/>
      </c>
      <c r="S15" s="17">
        <f>IF(AND($L$3&lt;&gt;"(todos)",$Q15&lt;&gt;$L$3),NA(),SUMIFS(tblOrdenes[horas_efectiv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</row>
    <row r="16">
      <c r="P16" s="3" t="inlineStr">
        <is>
          <t>Técnico 13</t>
        </is>
      </c>
      <c r="Q16" s="3" t="inlineStr">
        <is>
          <t>ELE</t>
        </is>
      </c>
      <c r="R16" s="3">
        <f>IF(OR($B$3="(todos)",$D$3="(todos)"),$P16,$P16&amp;" ("&amp;_xlfn.XLOOKUP($B$3&amp;"|"&amp;$D$3&amp;"|"&amp;$P16,tblAsignaciones[clave],tblAsignaciones[turno],"")&amp;")")</f>
        <v/>
      </c>
      <c r="S16" s="17">
        <f>IF(AND($L$3&lt;&gt;"(todos)",$Q16&lt;&gt;$L$3),NA(),SUMIFS(tblOrdenes[horas_efectivas],tblOrdenes[tecnico_asignado],$P16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6" s="17">
        <f>IF(ISNA($S16),NA(),MIN($S16,$V16))</f>
        <v/>
      </c>
      <c r="U16" s="17">
        <f>IF(ISNA($S16),NA(),MAX(0,$S16-$V16))</f>
        <v/>
      </c>
      <c r="V16" s="17">
        <f>IF(AND($L$3&lt;&gt;"(todos)",$Q16&lt;&gt;$L$3),NA(),p_factor_productividad*SUMIFS(tblAsignaciones[horas_disponibles],tblAsignaciones[tecnico],$P16,tblAsignaciones[semana],IF($B$3="(todos)","*",$B$3),tblAsignaciones[dia],IF($D$3="(todos)","*",$D$3)))</f>
        <v/>
      </c>
    </row>
    <row r="17">
      <c r="P17" s="3" t="inlineStr">
        <is>
          <t>Técnico 14</t>
        </is>
      </c>
      <c r="Q17" s="3" t="inlineStr">
        <is>
          <t>ELE</t>
        </is>
      </c>
      <c r="R17" s="3">
        <f>IF(OR($B$3="(todos)",$D$3="(todos)"),$P17,$P17&amp;" ("&amp;_xlfn.XLOOKUP($B$3&amp;"|"&amp;$D$3&amp;"|"&amp;$P17,tblAsignaciones[clave],tblAsignaciones[turno],"")&amp;")")</f>
        <v/>
      </c>
      <c r="S17" s="17">
        <f>IF(AND($L$3&lt;&gt;"(todos)",$Q17&lt;&gt;$L$3),NA(),SUMIFS(tblOrdenes[horas_efectivas],tblOrdenes[tecnico_asignado],$P17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7" s="17">
        <f>IF(ISNA($S17),NA(),MIN($S17,$V17))</f>
        <v/>
      </c>
      <c r="U17" s="17">
        <f>IF(ISNA($S17),NA(),MAX(0,$S17-$V17))</f>
        <v/>
      </c>
      <c r="V17" s="17">
        <f>IF(AND($L$3&lt;&gt;"(todos)",$Q17&lt;&gt;$L$3),NA(),p_factor_productividad*SUMIFS(tblAsignaciones[horas_disponibles],tblAsignaciones[tecnico],$P17,tblAsignaciones[semana],IF($B$3="(todos)","*",$B$3),tblAsignaciones[dia],IF($D$3="(todos)","*",$D$3)))</f>
        <v/>
      </c>
    </row>
    <row r="18">
      <c r="P18" s="3" t="inlineStr">
        <is>
          <t>Técnico 15</t>
        </is>
      </c>
      <c r="Q18" s="3" t="inlineStr">
        <is>
          <t>AUT</t>
        </is>
      </c>
      <c r="R18" s="3">
        <f>IF(OR($B$3="(todos)",$D$3="(todos)"),$P18,$P18&amp;" ("&amp;_xlfn.XLOOKUP($B$3&amp;"|"&amp;$D$3&amp;"|"&amp;$P18,tblAsignaciones[clave],tblAsignaciones[turno],"")&amp;")")</f>
        <v/>
      </c>
      <c r="S18" s="17">
        <f>IF(AND($L$3&lt;&gt;"(todos)",$Q18&lt;&gt;$L$3),NA(),SUMIFS(tblOrdenes[horas_efectivas],tblOrdenes[tecnico_asignado],$P18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8" s="17">
        <f>IF(ISNA($S18),NA(),MIN($S18,$V18))</f>
        <v/>
      </c>
      <c r="U18" s="17">
        <f>IF(ISNA($S18),NA(),MAX(0,$S18-$V18))</f>
        <v/>
      </c>
      <c r="V18" s="17">
        <f>IF(AND($L$3&lt;&gt;"(todos)",$Q18&lt;&gt;$L$3),NA(),p_factor_productividad*SUMIFS(tblAsignaciones[horas_disponibles],tblAsignaciones[tecnico],$P18,tblAsignaciones[semana],IF($B$3="(todos)","*",$B$3),tblAsignaciones[dia],IF($D$3="(todos)","*",$D$3)))</f>
        <v/>
      </c>
    </row>
    <row r="19">
      <c r="P19" s="3" t="inlineStr">
        <is>
          <t>Técnico 16</t>
        </is>
      </c>
      <c r="Q19" s="3" t="inlineStr">
        <is>
          <t>AUT</t>
        </is>
      </c>
      <c r="R19" s="3">
        <f>IF(OR($B$3="(todos)",$D$3="(todos)"),$P19,$P19&amp;" ("&amp;_xlfn.XLOOKUP($B$3&amp;"|"&amp;$D$3&amp;"|"&amp;$P19,tblAsignaciones[clave],tblAsignaciones[turno],"")&amp;")")</f>
        <v/>
      </c>
      <c r="S19" s="17">
        <f>IF(AND($L$3&lt;&gt;"(todos)",$Q19&lt;&gt;$L$3),NA(),SUMIFS(tblOrdenes[horas_efectivas],tblOrdenes[tecnico_asignado],$P19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9" s="17">
        <f>IF(ISNA($S19),NA(),MIN($S19,$V19))</f>
        <v/>
      </c>
      <c r="U19" s="17">
        <f>IF(ISNA($S19),NA(),MAX(0,$S19-$V19))</f>
        <v/>
      </c>
      <c r="V19" s="17">
        <f>IF(AND($L$3&lt;&gt;"(todos)",$Q19&lt;&gt;$L$3),NA(),p_factor_productividad*SUMIFS(tblAsignaciones[horas_disponibles],tblAsignaciones[tecnico],$P19,tblAsignaciones[semana],IF($B$3="(todos)","*",$B$3),tblAsignaciones[dia],IF($D$3="(todos)","*",$D$3)))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sub_area</t>
        </is>
      </c>
      <c r="H25" s="5" t="inlineStr">
        <is>
          <t>tecnico</t>
        </is>
      </c>
      <c r="I25" s="5" t="inlineStr">
        <is>
          <t>id_operacion</t>
        </is>
      </c>
      <c r="J25" s="5" t="inlineStr">
        <is>
          <t>descripcion_operacion</t>
        </is>
      </c>
      <c r="K25" s="5" t="inlineStr">
        <is>
          <t>equipo</t>
        </is>
      </c>
      <c r="L25" s="5" t="inlineStr">
        <is>
          <t>horas</t>
        </is>
      </c>
      <c r="M25" s="5" t="inlineStr">
        <is>
          <t>estado</t>
        </is>
      </c>
      <c r="N25" s="5" t="inlineStr">
        <is>
          <t>en_plan</t>
        </is>
      </c>
    </row>
    <row r="26">
      <c r="A26" s="3">
        <f>IF('ORDENES'!$A4="","",IF('ORDENES'!$O4="","-",'ORDENES'!$O4))</f>
        <v/>
      </c>
      <c r="B26" s="3">
        <f>IF('ORDENES'!$A4="","",IF('ORDENES'!$R4="","-",'ORDENES'!$R4))</f>
        <v/>
      </c>
      <c r="C26" s="3">
        <f>IF('ORDENES'!$A4="","",IF('ORDENES'!$AF4="","-",'ORDENES'!$AF4))</f>
        <v/>
      </c>
      <c r="D26" s="3">
        <f>IF('ORDENES'!$A4="","",IF('ORDENES'!$X4="","-",'ORDENES'!$X4))</f>
        <v/>
      </c>
      <c r="E26" s="3">
        <f>IF('ORDENES'!$A4="","",IF('ORDENES'!$V4="","-",'ORDENES'!$V4))</f>
        <v/>
      </c>
      <c r="F26" s="3">
        <f>IF('ORDENES'!$A4="","",IF('ORDENES'!$Y4="","-",'ORDENES'!$Y4))</f>
        <v/>
      </c>
      <c r="G26" s="3">
        <f>IF('ORDENES'!$A4="","",IF('ORDENES'!$W4="","-",'ORDENES'!$W4))</f>
        <v/>
      </c>
      <c r="H26" s="3">
        <f>IF('ORDENES'!$A4="","",IF('ORDENES'!$AE4="","-",'ORDENES'!$AE4))</f>
        <v/>
      </c>
      <c r="I26" s="3">
        <f>IF('ORDENES'!$A4="","",IF('ORDENES'!$AQ4="","-",'ORDENES'!$AQ4))</f>
        <v/>
      </c>
      <c r="J26" s="3">
        <f>IF('ORDENES'!$A4="","",IF('ORDENES'!$D4="","-",'ORDENES'!$D4))</f>
        <v/>
      </c>
      <c r="K26" s="3">
        <f>IF('ORDENES'!$A4="","",IF('ORDENES'!$E4="","-",'ORDENES'!$E4))</f>
        <v/>
      </c>
      <c r="L26" s="13">
        <f>IF('ORDENES'!$A4="","",IF('ORDENES'!$M4="",0,'ORDENES'!$M4))</f>
        <v/>
      </c>
      <c r="M26" s="3">
        <f>IF('ORDENES'!$A4="","",IF('ORDENES'!$N4="","-",'ORDENES'!$N4))</f>
        <v/>
      </c>
      <c r="N26" s="3">
        <f>IF('ORDENES'!$A4="","",'ORDENES'!$AD4)</f>
        <v/>
      </c>
    </row>
    <row r="27">
      <c r="A27" s="3">
        <f>IF('ORDENES'!$A5="","",IF('ORDENES'!$O5="","-",'ORDENES'!$O5))</f>
        <v/>
      </c>
      <c r="B27" s="3">
        <f>IF('ORDENES'!$A5="","",IF('ORDENES'!$R5="","-",'ORDENES'!$R5))</f>
        <v/>
      </c>
      <c r="C27" s="3">
        <f>IF('ORDENES'!$A5="","",IF('ORDENES'!$AF5="","-",'ORDENES'!$AF5))</f>
        <v/>
      </c>
      <c r="D27" s="3">
        <f>IF('ORDENES'!$A5="","",IF('ORDENES'!$X5="","-",'ORDENES'!$X5))</f>
        <v/>
      </c>
      <c r="E27" s="3">
        <f>IF('ORDENES'!$A5="","",IF('ORDENES'!$V5="","-",'ORDENES'!$V5))</f>
        <v/>
      </c>
      <c r="F27" s="3">
        <f>IF('ORDENES'!$A5="","",IF('ORDENES'!$Y5="","-",'ORDENES'!$Y5))</f>
        <v/>
      </c>
      <c r="G27" s="3">
        <f>IF('ORDENES'!$A5="","",IF('ORDENES'!$W5="","-",'ORDENES'!$W5))</f>
        <v/>
      </c>
      <c r="H27" s="3">
        <f>IF('ORDENES'!$A5="","",IF('ORDENES'!$AE5="","-",'ORDENES'!$AE5))</f>
        <v/>
      </c>
      <c r="I27" s="3">
        <f>IF('ORDENES'!$A5="","",IF('ORDENES'!$AQ5="","-",'ORDENES'!$AQ5))</f>
        <v/>
      </c>
      <c r="J27" s="3">
        <f>IF('ORDENES'!$A5="","",IF('ORDENES'!$D5="","-",'ORDENES'!$D5))</f>
        <v/>
      </c>
      <c r="K27" s="3">
        <f>IF('ORDENES'!$A5="","",IF('ORDENES'!$E5="","-",'ORDENES'!$E5))</f>
        <v/>
      </c>
      <c r="L27" s="13">
        <f>IF('ORDENES'!$A5="","",IF('ORDENES'!$M5="",0,'ORDENES'!$M5))</f>
        <v/>
      </c>
      <c r="M27" s="3">
        <f>IF('ORDENES'!$A5="","",IF('ORDENES'!$N5="","-",'ORDENES'!$N5))</f>
        <v/>
      </c>
      <c r="N27" s="3">
        <f>IF('ORDENES'!$A5="","",'ORDENES'!$AD5)</f>
        <v/>
      </c>
    </row>
    <row r="28">
      <c r="A28" s="3">
        <f>IF('ORDENES'!$A6="","",IF('ORDENES'!$O6="","-",'ORDENES'!$O6))</f>
        <v/>
      </c>
      <c r="B28" s="3">
        <f>IF('ORDENES'!$A6="","",IF('ORDENES'!$R6="","-",'ORDENES'!$R6))</f>
        <v/>
      </c>
      <c r="C28" s="3">
        <f>IF('ORDENES'!$A6="","",IF('ORDENES'!$AF6="","-",'ORDENES'!$AF6))</f>
        <v/>
      </c>
      <c r="D28" s="3">
        <f>IF('ORDENES'!$A6="","",IF('ORDENES'!$X6="","-",'ORDENES'!$X6))</f>
        <v/>
      </c>
      <c r="E28" s="3">
        <f>IF('ORDENES'!$A6="","",IF('ORDENES'!$V6="","-",'ORDENES'!$V6))</f>
        <v/>
      </c>
      <c r="F28" s="3">
        <f>IF('ORDENES'!$A6="","",IF('ORDENES'!$Y6="","-",'ORDENES'!$Y6))</f>
        <v/>
      </c>
      <c r="G28" s="3">
        <f>IF('ORDENES'!$A6="","",IF('ORDENES'!$W6="","-",'ORDENES'!$W6))</f>
        <v/>
      </c>
      <c r="H28" s="3">
        <f>IF('ORDENES'!$A6="","",IF('ORDENES'!$AE6="","-",'ORDENES'!$AE6))</f>
        <v/>
      </c>
      <c r="I28" s="3">
        <f>IF('ORDENES'!$A6="","",IF('ORDENES'!$AQ6="","-",'ORDENES'!$AQ6))</f>
        <v/>
      </c>
      <c r="J28" s="3">
        <f>IF('ORDENES'!$A6="","",IF('ORDENES'!$D6="","-",'ORDENES'!$D6))</f>
        <v/>
      </c>
      <c r="K28" s="3">
        <f>IF('ORDENES'!$A6="","",IF('ORDENES'!$E6="","-",'ORDENES'!$E6))</f>
        <v/>
      </c>
      <c r="L28" s="13">
        <f>IF('ORDENES'!$A6="","",IF('ORDENES'!$M6="",0,'ORDENES'!$M6))</f>
        <v/>
      </c>
      <c r="M28" s="3">
        <f>IF('ORDENES'!$A6="","",IF('ORDENES'!$N6="","-",'ORDENES'!$N6))</f>
        <v/>
      </c>
      <c r="N28" s="3">
        <f>IF('ORDENES'!$A6="","",'ORDENES'!$AD6)</f>
        <v/>
      </c>
    </row>
    <row r="29">
      <c r="A29" s="3">
        <f>IF('ORDENES'!$A7="","",IF('ORDENES'!$O7="","-",'ORDENES'!$O7))</f>
        <v/>
      </c>
      <c r="B29" s="3">
        <f>IF('ORDENES'!$A7="","",IF('ORDENES'!$R7="","-",'ORDENES'!$R7))</f>
        <v/>
      </c>
      <c r="C29" s="3">
        <f>IF('ORDENES'!$A7="","",IF('ORDENES'!$AF7="","-",'ORDENES'!$AF7))</f>
        <v/>
      </c>
      <c r="D29" s="3">
        <f>IF('ORDENES'!$A7="","",IF('ORDENES'!$X7="","-",'ORDENES'!$X7))</f>
        <v/>
      </c>
      <c r="E29" s="3">
        <f>IF('ORDENES'!$A7="","",IF('ORDENES'!$V7="","-",'ORDENES'!$V7))</f>
        <v/>
      </c>
      <c r="F29" s="3">
        <f>IF('ORDENES'!$A7="","",IF('ORDENES'!$Y7="","-",'ORDENES'!$Y7))</f>
        <v/>
      </c>
      <c r="G29" s="3">
        <f>IF('ORDENES'!$A7="","",IF('ORDENES'!$W7="","-",'ORDENES'!$W7))</f>
        <v/>
      </c>
      <c r="H29" s="3">
        <f>IF('ORDENES'!$A7="","",IF('ORDENES'!$AE7="","-",'ORDENES'!$AE7))</f>
        <v/>
      </c>
      <c r="I29" s="3">
        <f>IF('ORDENES'!$A7="","",IF('ORDENES'!$AQ7="","-",'ORDENES'!$AQ7))</f>
        <v/>
      </c>
      <c r="J29" s="3">
        <f>IF('ORDENES'!$A7="","",IF('ORDENES'!$D7="","-",'ORDENES'!$D7))</f>
        <v/>
      </c>
      <c r="K29" s="3">
        <f>IF('ORDENES'!$A7="","",IF('ORDENES'!$E7="","-",'ORDENES'!$E7))</f>
        <v/>
      </c>
      <c r="L29" s="13">
        <f>IF('ORDENES'!$A7="","",IF('ORDENES'!$M7="",0,'ORDENES'!$M7))</f>
        <v/>
      </c>
      <c r="M29" s="3">
        <f>IF('ORDENES'!$A7="","",IF('ORDENES'!$N7="","-",'ORDENES'!$N7))</f>
        <v/>
      </c>
      <c r="N29" s="3">
        <f>IF('ORDENES'!$A7="","",'ORDENES'!$AD7)</f>
        <v/>
      </c>
    </row>
    <row r="30">
      <c r="A30" s="3">
        <f>IF('ORDENES'!$A8="","",IF('ORDENES'!$O8="","-",'ORDENES'!$O8))</f>
        <v/>
      </c>
      <c r="B30" s="3">
        <f>IF('ORDENES'!$A8="","",IF('ORDENES'!$R8="","-",'ORDENES'!$R8))</f>
        <v/>
      </c>
      <c r="C30" s="3">
        <f>IF('ORDENES'!$A8="","",IF('ORDENES'!$AF8="","-",'ORDENES'!$AF8))</f>
        <v/>
      </c>
      <c r="D30" s="3">
        <f>IF('ORDENES'!$A8="","",IF('ORDENES'!$X8="","-",'ORDENES'!$X8))</f>
        <v/>
      </c>
      <c r="E30" s="3">
        <f>IF('ORDENES'!$A8="","",IF('ORDENES'!$V8="","-",'ORDENES'!$V8))</f>
        <v/>
      </c>
      <c r="F30" s="3">
        <f>IF('ORDENES'!$A8="","",IF('ORDENES'!$Y8="","-",'ORDENES'!$Y8))</f>
        <v/>
      </c>
      <c r="G30" s="3">
        <f>IF('ORDENES'!$A8="","",IF('ORDENES'!$W8="","-",'ORDENES'!$W8))</f>
        <v/>
      </c>
      <c r="H30" s="3">
        <f>IF('ORDENES'!$A8="","",IF('ORDENES'!$AE8="","-",'ORDENES'!$AE8))</f>
        <v/>
      </c>
      <c r="I30" s="3">
        <f>IF('ORDENES'!$A8="","",IF('ORDENES'!$AQ8="","-",'ORDENES'!$AQ8))</f>
        <v/>
      </c>
      <c r="J30" s="3">
        <f>IF('ORDENES'!$A8="","",IF('ORDENES'!$D8="","-",'ORDENES'!$D8))</f>
        <v/>
      </c>
      <c r="K30" s="3">
        <f>IF('ORDENES'!$A8="","",IF('ORDENES'!$E8="","-",'ORDENES'!$E8))</f>
        <v/>
      </c>
      <c r="L30" s="13">
        <f>IF('ORDENES'!$A8="","",IF('ORDENES'!$M8="",0,'ORDENES'!$M8))</f>
        <v/>
      </c>
      <c r="M30" s="3">
        <f>IF('ORDENES'!$A8="","",IF('ORDENES'!$N8="","-",'ORDENES'!$N8))</f>
        <v/>
      </c>
      <c r="N30" s="3">
        <f>IF('ORDENES'!$A8="","",'ORDENES'!$AD8)</f>
        <v/>
      </c>
    </row>
    <row r="31">
      <c r="A31" s="3">
        <f>IF('ORDENES'!$A9="","",IF('ORDENES'!$O9="","-",'ORDENES'!$O9))</f>
        <v/>
      </c>
      <c r="B31" s="3">
        <f>IF('ORDENES'!$A9="","",IF('ORDENES'!$R9="","-",'ORDENES'!$R9))</f>
        <v/>
      </c>
      <c r="C31" s="3">
        <f>IF('ORDENES'!$A9="","",IF('ORDENES'!$AF9="","-",'ORDENES'!$AF9))</f>
        <v/>
      </c>
      <c r="D31" s="3">
        <f>IF('ORDENES'!$A9="","",IF('ORDENES'!$X9="","-",'ORDENES'!$X9))</f>
        <v/>
      </c>
      <c r="E31" s="3">
        <f>IF('ORDENES'!$A9="","",IF('ORDENES'!$V9="","-",'ORDENES'!$V9))</f>
        <v/>
      </c>
      <c r="F31" s="3">
        <f>IF('ORDENES'!$A9="","",IF('ORDENES'!$Y9="","-",'ORDENES'!$Y9))</f>
        <v/>
      </c>
      <c r="G31" s="3">
        <f>IF('ORDENES'!$A9="","",IF('ORDENES'!$W9="","-",'ORDENES'!$W9))</f>
        <v/>
      </c>
      <c r="H31" s="3">
        <f>IF('ORDENES'!$A9="","",IF('ORDENES'!$AE9="","-",'ORDENES'!$AE9))</f>
        <v/>
      </c>
      <c r="I31" s="3">
        <f>IF('ORDENES'!$A9="","",IF('ORDENES'!$AQ9="","-",'ORDENES'!$AQ9))</f>
        <v/>
      </c>
      <c r="J31" s="3">
        <f>IF('ORDENES'!$A9="","",IF('ORDENES'!$D9="","-",'ORDENES'!$D9))</f>
        <v/>
      </c>
      <c r="K31" s="3">
        <f>IF('ORDENES'!$A9="","",IF('ORDENES'!$E9="","-",'ORDENES'!$E9))</f>
        <v/>
      </c>
      <c r="L31" s="13">
        <f>IF('ORDENES'!$A9="","",IF('ORDENES'!$M9="",0,'ORDENES'!$M9))</f>
        <v/>
      </c>
      <c r="M31" s="3">
        <f>IF('ORDENES'!$A9="","",IF('ORDENES'!$N9="","-",'ORDENES'!$N9))</f>
        <v/>
      </c>
      <c r="N31" s="3">
        <f>IF('ORDENES'!$A9="","",'ORDENES'!$AD9)</f>
        <v/>
      </c>
    </row>
    <row r="32">
      <c r="A32" s="3">
        <f>IF('ORDENES'!$A10="","",IF('ORDENES'!$O10="","-",'ORDENES'!$O10))</f>
        <v/>
      </c>
      <c r="B32" s="3">
        <f>IF('ORDENES'!$A10="","",IF('ORDENES'!$R10="","-",'ORDENES'!$R10))</f>
        <v/>
      </c>
      <c r="C32" s="3">
        <f>IF('ORDENES'!$A10="","",IF('ORDENES'!$AF10="","-",'ORDENES'!$AF10))</f>
        <v/>
      </c>
      <c r="D32" s="3">
        <f>IF('ORDENES'!$A10="","",IF('ORDENES'!$X10="","-",'ORDENES'!$X10))</f>
        <v/>
      </c>
      <c r="E32" s="3">
        <f>IF('ORDENES'!$A10="","",IF('ORDENES'!$V10="","-",'ORDENES'!$V10))</f>
        <v/>
      </c>
      <c r="F32" s="3">
        <f>IF('ORDENES'!$A10="","",IF('ORDENES'!$Y10="","-",'ORDENES'!$Y10))</f>
        <v/>
      </c>
      <c r="G32" s="3">
        <f>IF('ORDENES'!$A10="","",IF('ORDENES'!$W10="","-",'ORDENES'!$W10))</f>
        <v/>
      </c>
      <c r="H32" s="3">
        <f>IF('ORDENES'!$A10="","",IF('ORDENES'!$AE10="","-",'ORDENES'!$AE10))</f>
        <v/>
      </c>
      <c r="I32" s="3">
        <f>IF('ORDENES'!$A10="","",IF('ORDENES'!$AQ10="","-",'ORDENES'!$AQ10))</f>
        <v/>
      </c>
      <c r="J32" s="3">
        <f>IF('ORDENES'!$A10="","",IF('ORDENES'!$D10="","-",'ORDENES'!$D10))</f>
        <v/>
      </c>
      <c r="K32" s="3">
        <f>IF('ORDENES'!$A10="","",IF('ORDENES'!$E10="","-",'ORDENES'!$E10))</f>
        <v/>
      </c>
      <c r="L32" s="13">
        <f>IF('ORDENES'!$A10="","",IF('ORDENES'!$M10="",0,'ORDENES'!$M10))</f>
        <v/>
      </c>
      <c r="M32" s="3">
        <f>IF('ORDENES'!$A10="","",IF('ORDENES'!$N10="","-",'ORDENES'!$N10))</f>
        <v/>
      </c>
      <c r="N32" s="3">
        <f>IF('ORDENES'!$A10="","",'ORDENES'!$AD10)</f>
        <v/>
      </c>
    </row>
    <row r="33">
      <c r="A33" s="3">
        <f>IF('ORDENES'!$A11="","",IF('ORDENES'!$O11="","-",'ORDENES'!$O11))</f>
        <v/>
      </c>
      <c r="B33" s="3">
        <f>IF('ORDENES'!$A11="","",IF('ORDENES'!$R11="","-",'ORDENES'!$R11))</f>
        <v/>
      </c>
      <c r="C33" s="3">
        <f>IF('ORDENES'!$A11="","",IF('ORDENES'!$AF11="","-",'ORDENES'!$AF11))</f>
        <v/>
      </c>
      <c r="D33" s="3">
        <f>IF('ORDENES'!$A11="","",IF('ORDENES'!$X11="","-",'ORDENES'!$X11))</f>
        <v/>
      </c>
      <c r="E33" s="3">
        <f>IF('ORDENES'!$A11="","",IF('ORDENES'!$V11="","-",'ORDENES'!$V11))</f>
        <v/>
      </c>
      <c r="F33" s="3">
        <f>IF('ORDENES'!$A11="","",IF('ORDENES'!$Y11="","-",'ORDENES'!$Y11))</f>
        <v/>
      </c>
      <c r="G33" s="3">
        <f>IF('ORDENES'!$A11="","",IF('ORDENES'!$W11="","-",'ORDENES'!$W11))</f>
        <v/>
      </c>
      <c r="H33" s="3">
        <f>IF('ORDENES'!$A11="","",IF('ORDENES'!$AE11="","-",'ORDENES'!$AE11))</f>
        <v/>
      </c>
      <c r="I33" s="3">
        <f>IF('ORDENES'!$A11="","",IF('ORDENES'!$AQ11="","-",'ORDENES'!$AQ11))</f>
        <v/>
      </c>
      <c r="J33" s="3">
        <f>IF('ORDENES'!$A11="","",IF('ORDENES'!$D11="","-",'ORDENES'!$D11))</f>
        <v/>
      </c>
      <c r="K33" s="3">
        <f>IF('ORDENES'!$A11="","",IF('ORDENES'!$E11="","-",'ORDENES'!$E11))</f>
        <v/>
      </c>
      <c r="L33" s="13">
        <f>IF('ORDENES'!$A11="","",IF('ORDENES'!$M11="",0,'ORDENES'!$M11))</f>
        <v/>
      </c>
      <c r="M33" s="3">
        <f>IF('ORDENES'!$A11="","",IF('ORDENES'!$N11="","-",'ORDENES'!$N11))</f>
        <v/>
      </c>
      <c r="N33" s="3">
        <f>IF('ORDENES'!$A11="","",'ORDENES'!$AD11)</f>
        <v/>
      </c>
    </row>
    <row r="34">
      <c r="A34" s="3">
        <f>IF('ORDENES'!$A12="","",IF('ORDENES'!$O12="","-",'ORDENES'!$O12))</f>
        <v/>
      </c>
      <c r="B34" s="3">
        <f>IF('ORDENES'!$A12="","",IF('ORDENES'!$R12="","-",'ORDENES'!$R12))</f>
        <v/>
      </c>
      <c r="C34" s="3">
        <f>IF('ORDENES'!$A12="","",IF('ORDENES'!$AF12="","-",'ORDENES'!$AF12))</f>
        <v/>
      </c>
      <c r="D34" s="3">
        <f>IF('ORDENES'!$A12="","",IF('ORDENES'!$X12="","-",'ORDENES'!$X12))</f>
        <v/>
      </c>
      <c r="E34" s="3">
        <f>IF('ORDENES'!$A12="","",IF('ORDENES'!$V12="","-",'ORDENES'!$V12))</f>
        <v/>
      </c>
      <c r="F34" s="3">
        <f>IF('ORDENES'!$A12="","",IF('ORDENES'!$Y12="","-",'ORDENES'!$Y12))</f>
        <v/>
      </c>
      <c r="G34" s="3">
        <f>IF('ORDENES'!$A12="","",IF('ORDENES'!$W12="","-",'ORDENES'!$W12))</f>
        <v/>
      </c>
      <c r="H34" s="3">
        <f>IF('ORDENES'!$A12="","",IF('ORDENES'!$AE12="","-",'ORDENES'!$AE12))</f>
        <v/>
      </c>
      <c r="I34" s="3">
        <f>IF('ORDENES'!$A12="","",IF('ORDENES'!$AQ12="","-",'ORDENES'!$AQ12))</f>
        <v/>
      </c>
      <c r="J34" s="3">
        <f>IF('ORDENES'!$A12="","",IF('ORDENES'!$D12="","-",'ORDENES'!$D12))</f>
        <v/>
      </c>
      <c r="K34" s="3">
        <f>IF('ORDENES'!$A12="","",IF('ORDENES'!$E12="","-",'ORDENES'!$E12))</f>
        <v/>
      </c>
      <c r="L34" s="13">
        <f>IF('ORDENES'!$A12="","",IF('ORDENES'!$M12="",0,'ORDENES'!$M12))</f>
        <v/>
      </c>
      <c r="M34" s="3">
        <f>IF('ORDENES'!$A12="","",IF('ORDENES'!$N12="","-",'ORDENES'!$N12))</f>
        <v/>
      </c>
      <c r="N34" s="3">
        <f>IF('ORDENES'!$A12="","",'ORDENES'!$AD12)</f>
        <v/>
      </c>
    </row>
    <row r="35">
      <c r="A35" s="3">
        <f>IF('ORDENES'!$A13="","",IF('ORDENES'!$O13="","-",'ORDENES'!$O13))</f>
        <v/>
      </c>
      <c r="B35" s="3">
        <f>IF('ORDENES'!$A13="","",IF('ORDENES'!$R13="","-",'ORDENES'!$R13))</f>
        <v/>
      </c>
      <c r="C35" s="3">
        <f>IF('ORDENES'!$A13="","",IF('ORDENES'!$AF13="","-",'ORDENES'!$AF13))</f>
        <v/>
      </c>
      <c r="D35" s="3">
        <f>IF('ORDENES'!$A13="","",IF('ORDENES'!$X13="","-",'ORDENES'!$X13))</f>
        <v/>
      </c>
      <c r="E35" s="3">
        <f>IF('ORDENES'!$A13="","",IF('ORDENES'!$V13="","-",'ORDENES'!$V13))</f>
        <v/>
      </c>
      <c r="F35" s="3">
        <f>IF('ORDENES'!$A13="","",IF('ORDENES'!$Y13="","-",'ORDENES'!$Y13))</f>
        <v/>
      </c>
      <c r="G35" s="3">
        <f>IF('ORDENES'!$A13="","",IF('ORDENES'!$W13="","-",'ORDENES'!$W13))</f>
        <v/>
      </c>
      <c r="H35" s="3">
        <f>IF('ORDENES'!$A13="","",IF('ORDENES'!$AE13="","-",'ORDENES'!$AE13))</f>
        <v/>
      </c>
      <c r="I35" s="3">
        <f>IF('ORDENES'!$A13="","",IF('ORDENES'!$AQ13="","-",'ORDENES'!$AQ13))</f>
        <v/>
      </c>
      <c r="J35" s="3">
        <f>IF('ORDENES'!$A13="","",IF('ORDENES'!$D13="","-",'ORDENES'!$D13))</f>
        <v/>
      </c>
      <c r="K35" s="3">
        <f>IF('ORDENES'!$A13="","",IF('ORDENES'!$E13="","-",'ORDENES'!$E13))</f>
        <v/>
      </c>
      <c r="L35" s="13">
        <f>IF('ORDENES'!$A13="","",IF('ORDENES'!$M13="",0,'ORDENES'!$M13))</f>
        <v/>
      </c>
      <c r="M35" s="3">
        <f>IF('ORDENES'!$A13="","",IF('ORDENES'!$N13="","-",'ORDENES'!$N13))</f>
        <v/>
      </c>
      <c r="N35" s="3">
        <f>IF('ORDENES'!$A13="","",'ORDENES'!$AD13)</f>
        <v/>
      </c>
    </row>
    <row r="36">
      <c r="A36" s="3">
        <f>IF('ORDENES'!$A14="","",IF('ORDENES'!$O14="","-",'ORDENES'!$O14))</f>
        <v/>
      </c>
      <c r="B36" s="3">
        <f>IF('ORDENES'!$A14="","",IF('ORDENES'!$R14="","-",'ORDENES'!$R14))</f>
        <v/>
      </c>
      <c r="C36" s="3">
        <f>IF('ORDENES'!$A14="","",IF('ORDENES'!$AF14="","-",'ORDENES'!$AF14))</f>
        <v/>
      </c>
      <c r="D36" s="3">
        <f>IF('ORDENES'!$A14="","",IF('ORDENES'!$X14="","-",'ORDENES'!$X14))</f>
        <v/>
      </c>
      <c r="E36" s="3">
        <f>IF('ORDENES'!$A14="","",IF('ORDENES'!$V14="","-",'ORDENES'!$V14))</f>
        <v/>
      </c>
      <c r="F36" s="3">
        <f>IF('ORDENES'!$A14="","",IF('ORDENES'!$Y14="","-",'ORDENES'!$Y14))</f>
        <v/>
      </c>
      <c r="G36" s="3">
        <f>IF('ORDENES'!$A14="","",IF('ORDENES'!$W14="","-",'ORDENES'!$W14))</f>
        <v/>
      </c>
      <c r="H36" s="3">
        <f>IF('ORDENES'!$A14="","",IF('ORDENES'!$AE14="","-",'ORDENES'!$AE14))</f>
        <v/>
      </c>
      <c r="I36" s="3">
        <f>IF('ORDENES'!$A14="","",IF('ORDENES'!$AQ14="","-",'ORDENES'!$AQ14))</f>
        <v/>
      </c>
      <c r="J36" s="3">
        <f>IF('ORDENES'!$A14="","",IF('ORDENES'!$D14="","-",'ORDENES'!$D14))</f>
        <v/>
      </c>
      <c r="K36" s="3">
        <f>IF('ORDENES'!$A14="","",IF('ORDENES'!$E14="","-",'ORDENES'!$E14))</f>
        <v/>
      </c>
      <c r="L36" s="13">
        <f>IF('ORDENES'!$A14="","",IF('ORDENES'!$M14="",0,'ORDENES'!$M14))</f>
        <v/>
      </c>
      <c r="M36" s="3">
        <f>IF('ORDENES'!$A14="","",IF('ORDENES'!$N14="","-",'ORDENES'!$N14))</f>
        <v/>
      </c>
      <c r="N36" s="3">
        <f>IF('ORDENES'!$A14="","",'ORDENES'!$AD14)</f>
        <v/>
      </c>
    </row>
    <row r="37">
      <c r="A37" s="3">
        <f>IF('ORDENES'!$A15="","",IF('ORDENES'!$O15="","-",'ORDENES'!$O15))</f>
        <v/>
      </c>
      <c r="B37" s="3">
        <f>IF('ORDENES'!$A15="","",IF('ORDENES'!$R15="","-",'ORDENES'!$R15))</f>
        <v/>
      </c>
      <c r="C37" s="3">
        <f>IF('ORDENES'!$A15="","",IF('ORDENES'!$AF15="","-",'ORDENES'!$AF15))</f>
        <v/>
      </c>
      <c r="D37" s="3">
        <f>IF('ORDENES'!$A15="","",IF('ORDENES'!$X15="","-",'ORDENES'!$X15))</f>
        <v/>
      </c>
      <c r="E37" s="3">
        <f>IF('ORDENES'!$A15="","",IF('ORDENES'!$V15="","-",'ORDENES'!$V15))</f>
        <v/>
      </c>
      <c r="F37" s="3">
        <f>IF('ORDENES'!$A15="","",IF('ORDENES'!$Y15="","-",'ORDENES'!$Y15))</f>
        <v/>
      </c>
      <c r="G37" s="3">
        <f>IF('ORDENES'!$A15="","",IF('ORDENES'!$W15="","-",'ORDENES'!$W15))</f>
        <v/>
      </c>
      <c r="H37" s="3">
        <f>IF('ORDENES'!$A15="","",IF('ORDENES'!$AE15="","-",'ORDENES'!$AE15))</f>
        <v/>
      </c>
      <c r="I37" s="3">
        <f>IF('ORDENES'!$A15="","",IF('ORDENES'!$AQ15="","-",'ORDENES'!$AQ15))</f>
        <v/>
      </c>
      <c r="J37" s="3">
        <f>IF('ORDENES'!$A15="","",IF('ORDENES'!$D15="","-",'ORDENES'!$D15))</f>
        <v/>
      </c>
      <c r="K37" s="3">
        <f>IF('ORDENES'!$A15="","",IF('ORDENES'!$E15="","-",'ORDENES'!$E15))</f>
        <v/>
      </c>
      <c r="L37" s="13">
        <f>IF('ORDENES'!$A15="","",IF('ORDENES'!$M15="",0,'ORDENES'!$M15))</f>
        <v/>
      </c>
      <c r="M37" s="3">
        <f>IF('ORDENES'!$A15="","",IF('ORDENES'!$N15="","-",'ORDENES'!$N15))</f>
        <v/>
      </c>
      <c r="N37" s="3">
        <f>IF('ORDENES'!$A15="","",'ORDENES'!$AD15)</f>
        <v/>
      </c>
    </row>
    <row r="38">
      <c r="A38" s="3">
        <f>IF('ORDENES'!$A16="","",IF('ORDENES'!$O16="","-",'ORDENES'!$O16))</f>
        <v/>
      </c>
      <c r="B38" s="3">
        <f>IF('ORDENES'!$A16="","",IF('ORDENES'!$R16="","-",'ORDENES'!$R16))</f>
        <v/>
      </c>
      <c r="C38" s="3">
        <f>IF('ORDENES'!$A16="","",IF('ORDENES'!$AF16="","-",'ORDENES'!$AF16))</f>
        <v/>
      </c>
      <c r="D38" s="3">
        <f>IF('ORDENES'!$A16="","",IF('ORDENES'!$X16="","-",'ORDENES'!$X16))</f>
        <v/>
      </c>
      <c r="E38" s="3">
        <f>IF('ORDENES'!$A16="","",IF('ORDENES'!$V16="","-",'ORDENES'!$V16))</f>
        <v/>
      </c>
      <c r="F38" s="3">
        <f>IF('ORDENES'!$A16="","",IF('ORDENES'!$Y16="","-",'ORDENES'!$Y16))</f>
        <v/>
      </c>
      <c r="G38" s="3">
        <f>IF('ORDENES'!$A16="","",IF('ORDENES'!$W16="","-",'ORDENES'!$W16))</f>
        <v/>
      </c>
      <c r="H38" s="3">
        <f>IF('ORDENES'!$A16="","",IF('ORDENES'!$AE16="","-",'ORDENES'!$AE16))</f>
        <v/>
      </c>
      <c r="I38" s="3">
        <f>IF('ORDENES'!$A16="","",IF('ORDENES'!$AQ16="","-",'ORDENES'!$AQ16))</f>
        <v/>
      </c>
      <c r="J38" s="3">
        <f>IF('ORDENES'!$A16="","",IF('ORDENES'!$D16="","-",'ORDENES'!$D16))</f>
        <v/>
      </c>
      <c r="K38" s="3">
        <f>IF('ORDENES'!$A16="","",IF('ORDENES'!$E16="","-",'ORDENES'!$E16))</f>
        <v/>
      </c>
      <c r="L38" s="13">
        <f>IF('ORDENES'!$A16="","",IF('ORDENES'!$M16="",0,'ORDENES'!$M16))</f>
        <v/>
      </c>
      <c r="M38" s="3">
        <f>IF('ORDENES'!$A16="","",IF('ORDENES'!$N16="","-",'ORDENES'!$N16))</f>
        <v/>
      </c>
      <c r="N38" s="3">
        <f>IF('ORDENES'!$A16="","",'ORDENES'!$AD16)</f>
        <v/>
      </c>
    </row>
    <row r="39">
      <c r="A39" s="3">
        <f>IF('ORDENES'!$A17="","",IF('ORDENES'!$O17="","-",'ORDENES'!$O17))</f>
        <v/>
      </c>
      <c r="B39" s="3">
        <f>IF('ORDENES'!$A17="","",IF('ORDENES'!$R17="","-",'ORDENES'!$R17))</f>
        <v/>
      </c>
      <c r="C39" s="3">
        <f>IF('ORDENES'!$A17="","",IF('ORDENES'!$AF17="","-",'ORDENES'!$AF17))</f>
        <v/>
      </c>
      <c r="D39" s="3">
        <f>IF('ORDENES'!$A17="","",IF('ORDENES'!$X17="","-",'ORDENES'!$X17))</f>
        <v/>
      </c>
      <c r="E39" s="3">
        <f>IF('ORDENES'!$A17="","",IF('ORDENES'!$V17="","-",'ORDENES'!$V17))</f>
        <v/>
      </c>
      <c r="F39" s="3">
        <f>IF('ORDENES'!$A17="","",IF('ORDENES'!$Y17="","-",'ORDENES'!$Y17))</f>
        <v/>
      </c>
      <c r="G39" s="3">
        <f>IF('ORDENES'!$A17="","",IF('ORDENES'!$W17="","-",'ORDENES'!$W17))</f>
        <v/>
      </c>
      <c r="H39" s="3">
        <f>IF('ORDENES'!$A17="","",IF('ORDENES'!$AE17="","-",'ORDENES'!$AE17))</f>
        <v/>
      </c>
      <c r="I39" s="3">
        <f>IF('ORDENES'!$A17="","",IF('ORDENES'!$AQ17="","-",'ORDENES'!$AQ17))</f>
        <v/>
      </c>
      <c r="J39" s="3">
        <f>IF('ORDENES'!$A17="","",IF('ORDENES'!$D17="","-",'ORDENES'!$D17))</f>
        <v/>
      </c>
      <c r="K39" s="3">
        <f>IF('ORDENES'!$A17="","",IF('ORDENES'!$E17="","-",'ORDENES'!$E17))</f>
        <v/>
      </c>
      <c r="L39" s="13">
        <f>IF('ORDENES'!$A17="","",IF('ORDENES'!$M17="",0,'ORDENES'!$M17))</f>
        <v/>
      </c>
      <c r="M39" s="3">
        <f>IF('ORDENES'!$A17="","",IF('ORDENES'!$N17="","-",'ORDENES'!$N17))</f>
        <v/>
      </c>
      <c r="N39" s="3">
        <f>IF('ORDENES'!$A17="","",'ORDENES'!$AD17)</f>
        <v/>
      </c>
    </row>
    <row r="40">
      <c r="A40" s="3">
        <f>IF('ORDENES'!$A18="","",IF('ORDENES'!$O18="","-",'ORDENES'!$O18))</f>
        <v/>
      </c>
      <c r="B40" s="3">
        <f>IF('ORDENES'!$A18="","",IF('ORDENES'!$R18="","-",'ORDENES'!$R18))</f>
        <v/>
      </c>
      <c r="C40" s="3">
        <f>IF('ORDENES'!$A18="","",IF('ORDENES'!$AF18="","-",'ORDENES'!$AF18))</f>
        <v/>
      </c>
      <c r="D40" s="3">
        <f>IF('ORDENES'!$A18="","",IF('ORDENES'!$X18="","-",'ORDENES'!$X18))</f>
        <v/>
      </c>
      <c r="E40" s="3">
        <f>IF('ORDENES'!$A18="","",IF('ORDENES'!$V18="","-",'ORDENES'!$V18))</f>
        <v/>
      </c>
      <c r="F40" s="3">
        <f>IF('ORDENES'!$A18="","",IF('ORDENES'!$Y18="","-",'ORDENES'!$Y18))</f>
        <v/>
      </c>
      <c r="G40" s="3">
        <f>IF('ORDENES'!$A18="","",IF('ORDENES'!$W18="","-",'ORDENES'!$W18))</f>
        <v/>
      </c>
      <c r="H40" s="3">
        <f>IF('ORDENES'!$A18="","",IF('ORDENES'!$AE18="","-",'ORDENES'!$AE18))</f>
        <v/>
      </c>
      <c r="I40" s="3">
        <f>IF('ORDENES'!$A18="","",IF('ORDENES'!$AQ18="","-",'ORDENES'!$AQ18))</f>
        <v/>
      </c>
      <c r="J40" s="3">
        <f>IF('ORDENES'!$A18="","",IF('ORDENES'!$D18="","-",'ORDENES'!$D18))</f>
        <v/>
      </c>
      <c r="K40" s="3">
        <f>IF('ORDENES'!$A18="","",IF('ORDENES'!$E18="","-",'ORDENES'!$E18))</f>
        <v/>
      </c>
      <c r="L40" s="13">
        <f>IF('ORDENES'!$A18="","",IF('ORDENES'!$M18="",0,'ORDENES'!$M18))</f>
        <v/>
      </c>
      <c r="M40" s="3">
        <f>IF('ORDENES'!$A18="","",IF('ORDENES'!$N18="","-",'ORDENES'!$N18))</f>
        <v/>
      </c>
      <c r="N40" s="3">
        <f>IF('ORDENES'!$A18="","",'ORDENES'!$AD18)</f>
        <v/>
      </c>
    </row>
    <row r="41">
      <c r="A41" s="3">
        <f>IF('ORDENES'!$A19="","",IF('ORDENES'!$O19="","-",'ORDENES'!$O19))</f>
        <v/>
      </c>
      <c r="B41" s="3">
        <f>IF('ORDENES'!$A19="","",IF('ORDENES'!$R19="","-",'ORDENES'!$R19))</f>
        <v/>
      </c>
      <c r="C41" s="3">
        <f>IF('ORDENES'!$A19="","",IF('ORDENES'!$AF19="","-",'ORDENES'!$AF19))</f>
        <v/>
      </c>
      <c r="D41" s="3">
        <f>IF('ORDENES'!$A19="","",IF('ORDENES'!$X19="","-",'ORDENES'!$X19))</f>
        <v/>
      </c>
      <c r="E41" s="3">
        <f>IF('ORDENES'!$A19="","",IF('ORDENES'!$V19="","-",'ORDENES'!$V19))</f>
        <v/>
      </c>
      <c r="F41" s="3">
        <f>IF('ORDENES'!$A19="","",IF('ORDENES'!$Y19="","-",'ORDENES'!$Y19))</f>
        <v/>
      </c>
      <c r="G41" s="3">
        <f>IF('ORDENES'!$A19="","",IF('ORDENES'!$W19="","-",'ORDENES'!$W19))</f>
        <v/>
      </c>
      <c r="H41" s="3">
        <f>IF('ORDENES'!$A19="","",IF('ORDENES'!$AE19="","-",'ORDENES'!$AE19))</f>
        <v/>
      </c>
      <c r="I41" s="3">
        <f>IF('ORDENES'!$A19="","",IF('ORDENES'!$AQ19="","-",'ORDENES'!$AQ19))</f>
        <v/>
      </c>
      <c r="J41" s="3">
        <f>IF('ORDENES'!$A19="","",IF('ORDENES'!$D19="","-",'ORDENES'!$D19))</f>
        <v/>
      </c>
      <c r="K41" s="3">
        <f>IF('ORDENES'!$A19="","",IF('ORDENES'!$E19="","-",'ORDENES'!$E19))</f>
        <v/>
      </c>
      <c r="L41" s="13">
        <f>IF('ORDENES'!$A19="","",IF('ORDENES'!$M19="",0,'ORDENES'!$M19))</f>
        <v/>
      </c>
      <c r="M41" s="3">
        <f>IF('ORDENES'!$A19="","",IF('ORDENES'!$N19="","-",'ORDENES'!$N19))</f>
        <v/>
      </c>
      <c r="N41" s="3">
        <f>IF('ORDENES'!$A19="","",'ORDENES'!$AD19)</f>
        <v/>
      </c>
    </row>
    <row r="42">
      <c r="A42" s="3">
        <f>IF('ORDENES'!$A20="","",IF('ORDENES'!$O20="","-",'ORDENES'!$O20))</f>
        <v/>
      </c>
      <c r="B42" s="3">
        <f>IF('ORDENES'!$A20="","",IF('ORDENES'!$R20="","-",'ORDENES'!$R20))</f>
        <v/>
      </c>
      <c r="C42" s="3">
        <f>IF('ORDENES'!$A20="","",IF('ORDENES'!$AF20="","-",'ORDENES'!$AF20))</f>
        <v/>
      </c>
      <c r="D42" s="3">
        <f>IF('ORDENES'!$A20="","",IF('ORDENES'!$X20="","-",'ORDENES'!$X20))</f>
        <v/>
      </c>
      <c r="E42" s="3">
        <f>IF('ORDENES'!$A20="","",IF('ORDENES'!$V20="","-",'ORDENES'!$V20))</f>
        <v/>
      </c>
      <c r="F42" s="3">
        <f>IF('ORDENES'!$A20="","",IF('ORDENES'!$Y20="","-",'ORDENES'!$Y20))</f>
        <v/>
      </c>
      <c r="G42" s="3">
        <f>IF('ORDENES'!$A20="","",IF('ORDENES'!$W20="","-",'ORDENES'!$W20))</f>
        <v/>
      </c>
      <c r="H42" s="3">
        <f>IF('ORDENES'!$A20="","",IF('ORDENES'!$AE20="","-",'ORDENES'!$AE20))</f>
        <v/>
      </c>
      <c r="I42" s="3">
        <f>IF('ORDENES'!$A20="","",IF('ORDENES'!$AQ20="","-",'ORDENES'!$AQ20))</f>
        <v/>
      </c>
      <c r="J42" s="3">
        <f>IF('ORDENES'!$A20="","",IF('ORDENES'!$D20="","-",'ORDENES'!$D20))</f>
        <v/>
      </c>
      <c r="K42" s="3">
        <f>IF('ORDENES'!$A20="","",IF('ORDENES'!$E20="","-",'ORDENES'!$E20))</f>
        <v/>
      </c>
      <c r="L42" s="13">
        <f>IF('ORDENES'!$A20="","",IF('ORDENES'!$M20="",0,'ORDENES'!$M20))</f>
        <v/>
      </c>
      <c r="M42" s="3">
        <f>IF('ORDENES'!$A20="","",IF('ORDENES'!$N20="","-",'ORDENES'!$N20))</f>
        <v/>
      </c>
      <c r="N42" s="3">
        <f>IF('ORDENES'!$A20="","",'ORDENES'!$AD20)</f>
        <v/>
      </c>
    </row>
    <row r="43">
      <c r="A43" s="3">
        <f>IF('ORDENES'!$A21="","",IF('ORDENES'!$O21="","-",'ORDENES'!$O21))</f>
        <v/>
      </c>
      <c r="B43" s="3">
        <f>IF('ORDENES'!$A21="","",IF('ORDENES'!$R21="","-",'ORDENES'!$R21))</f>
        <v/>
      </c>
      <c r="C43" s="3">
        <f>IF('ORDENES'!$A21="","",IF('ORDENES'!$AF21="","-",'ORDENES'!$AF21))</f>
        <v/>
      </c>
      <c r="D43" s="3">
        <f>IF('ORDENES'!$A21="","",IF('ORDENES'!$X21="","-",'ORDENES'!$X21))</f>
        <v/>
      </c>
      <c r="E43" s="3">
        <f>IF('ORDENES'!$A21="","",IF('ORDENES'!$V21="","-",'ORDENES'!$V21))</f>
        <v/>
      </c>
      <c r="F43" s="3">
        <f>IF('ORDENES'!$A21="","",IF('ORDENES'!$Y21="","-",'ORDENES'!$Y21))</f>
        <v/>
      </c>
      <c r="G43" s="3">
        <f>IF('ORDENES'!$A21="","",IF('ORDENES'!$W21="","-",'ORDENES'!$W21))</f>
        <v/>
      </c>
      <c r="H43" s="3">
        <f>IF('ORDENES'!$A21="","",IF('ORDENES'!$AE21="","-",'ORDENES'!$AE21))</f>
        <v/>
      </c>
      <c r="I43" s="3">
        <f>IF('ORDENES'!$A21="","",IF('ORDENES'!$AQ21="","-",'ORDENES'!$AQ21))</f>
        <v/>
      </c>
      <c r="J43" s="3">
        <f>IF('ORDENES'!$A21="","",IF('ORDENES'!$D21="","-",'ORDENES'!$D21))</f>
        <v/>
      </c>
      <c r="K43" s="3">
        <f>IF('ORDENES'!$A21="","",IF('ORDENES'!$E21="","-",'ORDENES'!$E21))</f>
        <v/>
      </c>
      <c r="L43" s="13">
        <f>IF('ORDENES'!$A21="","",IF('ORDENES'!$M21="",0,'ORDENES'!$M21))</f>
        <v/>
      </c>
      <c r="M43" s="3">
        <f>IF('ORDENES'!$A21="","",IF('ORDENES'!$N21="","-",'ORDENES'!$N21))</f>
        <v/>
      </c>
      <c r="N43" s="3">
        <f>IF('ORDENES'!$A21="","",'ORDENES'!$AD21)</f>
        <v/>
      </c>
    </row>
    <row r="44">
      <c r="A44" s="3">
        <f>IF('ORDENES'!$A22="","",IF('ORDENES'!$O22="","-",'ORDENES'!$O22))</f>
        <v/>
      </c>
      <c r="B44" s="3">
        <f>IF('ORDENES'!$A22="","",IF('ORDENES'!$R22="","-",'ORDENES'!$R22))</f>
        <v/>
      </c>
      <c r="C44" s="3">
        <f>IF('ORDENES'!$A22="","",IF('ORDENES'!$AF22="","-",'ORDENES'!$AF22))</f>
        <v/>
      </c>
      <c r="D44" s="3">
        <f>IF('ORDENES'!$A22="","",IF('ORDENES'!$X22="","-",'ORDENES'!$X22))</f>
        <v/>
      </c>
      <c r="E44" s="3">
        <f>IF('ORDENES'!$A22="","",IF('ORDENES'!$V22="","-",'ORDENES'!$V22))</f>
        <v/>
      </c>
      <c r="F44" s="3">
        <f>IF('ORDENES'!$A22="","",IF('ORDENES'!$Y22="","-",'ORDENES'!$Y22))</f>
        <v/>
      </c>
      <c r="G44" s="3">
        <f>IF('ORDENES'!$A22="","",IF('ORDENES'!$W22="","-",'ORDENES'!$W22))</f>
        <v/>
      </c>
      <c r="H44" s="3">
        <f>IF('ORDENES'!$A22="","",IF('ORDENES'!$AE22="","-",'ORDENES'!$AE22))</f>
        <v/>
      </c>
      <c r="I44" s="3">
        <f>IF('ORDENES'!$A22="","",IF('ORDENES'!$AQ22="","-",'ORDENES'!$AQ22))</f>
        <v/>
      </c>
      <c r="J44" s="3">
        <f>IF('ORDENES'!$A22="","",IF('ORDENES'!$D22="","-",'ORDENES'!$D22))</f>
        <v/>
      </c>
      <c r="K44" s="3">
        <f>IF('ORDENES'!$A22="","",IF('ORDENES'!$E22="","-",'ORDENES'!$E22))</f>
        <v/>
      </c>
      <c r="L44" s="13">
        <f>IF('ORDENES'!$A22="","",IF('ORDENES'!$M22="",0,'ORDENES'!$M22))</f>
        <v/>
      </c>
      <c r="M44" s="3">
        <f>IF('ORDENES'!$A22="","",IF('ORDENES'!$N22="","-",'ORDENES'!$N22))</f>
        <v/>
      </c>
      <c r="N44" s="3">
        <f>IF('ORDENES'!$A22="","",'ORDENES'!$AD22)</f>
        <v/>
      </c>
    </row>
    <row r="45">
      <c r="A45" s="3">
        <f>IF('ORDENES'!$A23="","",IF('ORDENES'!$O23="","-",'ORDENES'!$O23))</f>
        <v/>
      </c>
      <c r="B45" s="3">
        <f>IF('ORDENES'!$A23="","",IF('ORDENES'!$R23="","-",'ORDENES'!$R23))</f>
        <v/>
      </c>
      <c r="C45" s="3">
        <f>IF('ORDENES'!$A23="","",IF('ORDENES'!$AF23="","-",'ORDENES'!$AF23))</f>
        <v/>
      </c>
      <c r="D45" s="3">
        <f>IF('ORDENES'!$A23="","",IF('ORDENES'!$X23="","-",'ORDENES'!$X23))</f>
        <v/>
      </c>
      <c r="E45" s="3">
        <f>IF('ORDENES'!$A23="","",IF('ORDENES'!$V23="","-",'ORDENES'!$V23))</f>
        <v/>
      </c>
      <c r="F45" s="3">
        <f>IF('ORDENES'!$A23="","",IF('ORDENES'!$Y23="","-",'ORDENES'!$Y23))</f>
        <v/>
      </c>
      <c r="G45" s="3">
        <f>IF('ORDENES'!$A23="","",IF('ORDENES'!$W23="","-",'ORDENES'!$W23))</f>
        <v/>
      </c>
      <c r="H45" s="3">
        <f>IF('ORDENES'!$A23="","",IF('ORDENES'!$AE23="","-",'ORDENES'!$AE23))</f>
        <v/>
      </c>
      <c r="I45" s="3">
        <f>IF('ORDENES'!$A23="","",IF('ORDENES'!$AQ23="","-",'ORDENES'!$AQ23))</f>
        <v/>
      </c>
      <c r="J45" s="3">
        <f>IF('ORDENES'!$A23="","",IF('ORDENES'!$D23="","-",'ORDENES'!$D23))</f>
        <v/>
      </c>
      <c r="K45" s="3">
        <f>IF('ORDENES'!$A23="","",IF('ORDENES'!$E23="","-",'ORDENES'!$E23))</f>
        <v/>
      </c>
      <c r="L45" s="13">
        <f>IF('ORDENES'!$A23="","",IF('ORDENES'!$M23="",0,'ORDENES'!$M23))</f>
        <v/>
      </c>
      <c r="M45" s="3">
        <f>IF('ORDENES'!$A23="","",IF('ORDENES'!$N23="","-",'ORDENES'!$N23))</f>
        <v/>
      </c>
      <c r="N45" s="3">
        <f>IF('ORDENES'!$A23="","",'ORDENES'!$AD23)</f>
        <v/>
      </c>
    </row>
    <row r="46">
      <c r="A46" s="3">
        <f>IF('ORDENES'!$A24="","",IF('ORDENES'!$O24="","-",'ORDENES'!$O24))</f>
        <v/>
      </c>
      <c r="B46" s="3">
        <f>IF('ORDENES'!$A24="","",IF('ORDENES'!$R24="","-",'ORDENES'!$R24))</f>
        <v/>
      </c>
      <c r="C46" s="3">
        <f>IF('ORDENES'!$A24="","",IF('ORDENES'!$AF24="","-",'ORDENES'!$AF24))</f>
        <v/>
      </c>
      <c r="D46" s="3">
        <f>IF('ORDENES'!$A24="","",IF('ORDENES'!$X24="","-",'ORDENES'!$X24))</f>
        <v/>
      </c>
      <c r="E46" s="3">
        <f>IF('ORDENES'!$A24="","",IF('ORDENES'!$V24="","-",'ORDENES'!$V24))</f>
        <v/>
      </c>
      <c r="F46" s="3">
        <f>IF('ORDENES'!$A24="","",IF('ORDENES'!$Y24="","-",'ORDENES'!$Y24))</f>
        <v/>
      </c>
      <c r="G46" s="3">
        <f>IF('ORDENES'!$A24="","",IF('ORDENES'!$W24="","-",'ORDENES'!$W24))</f>
        <v/>
      </c>
      <c r="H46" s="3">
        <f>IF('ORDENES'!$A24="","",IF('ORDENES'!$AE24="","-",'ORDENES'!$AE24))</f>
        <v/>
      </c>
      <c r="I46" s="3">
        <f>IF('ORDENES'!$A24="","",IF('ORDENES'!$AQ24="","-",'ORDENES'!$AQ24))</f>
        <v/>
      </c>
      <c r="J46" s="3">
        <f>IF('ORDENES'!$A24="","",IF('ORDENES'!$D24="","-",'ORDENES'!$D24))</f>
        <v/>
      </c>
      <c r="K46" s="3">
        <f>IF('ORDENES'!$A24="","",IF('ORDENES'!$E24="","-",'ORDENES'!$E24))</f>
        <v/>
      </c>
      <c r="L46" s="13">
        <f>IF('ORDENES'!$A24="","",IF('ORDENES'!$M24="",0,'ORDENES'!$M24))</f>
        <v/>
      </c>
      <c r="M46" s="3">
        <f>IF('ORDENES'!$A24="","",IF('ORDENES'!$N24="","-",'ORDENES'!$N24))</f>
        <v/>
      </c>
      <c r="N46" s="3">
        <f>IF('ORDENES'!$A24="","",'ORDENES'!$AD24)</f>
        <v/>
      </c>
    </row>
    <row r="47">
      <c r="A47" s="3">
        <f>IF('ORDENES'!$A25="","",IF('ORDENES'!$O25="","-",'ORDENES'!$O25))</f>
        <v/>
      </c>
      <c r="B47" s="3">
        <f>IF('ORDENES'!$A25="","",IF('ORDENES'!$R25="","-",'ORDENES'!$R25))</f>
        <v/>
      </c>
      <c r="C47" s="3">
        <f>IF('ORDENES'!$A25="","",IF('ORDENES'!$AF25="","-",'ORDENES'!$AF25))</f>
        <v/>
      </c>
      <c r="D47" s="3">
        <f>IF('ORDENES'!$A25="","",IF('ORDENES'!$X25="","-",'ORDENES'!$X25))</f>
        <v/>
      </c>
      <c r="E47" s="3">
        <f>IF('ORDENES'!$A25="","",IF('ORDENES'!$V25="","-",'ORDENES'!$V25))</f>
        <v/>
      </c>
      <c r="F47" s="3">
        <f>IF('ORDENES'!$A25="","",IF('ORDENES'!$Y25="","-",'ORDENES'!$Y25))</f>
        <v/>
      </c>
      <c r="G47" s="3">
        <f>IF('ORDENES'!$A25="","",IF('ORDENES'!$W25="","-",'ORDENES'!$W25))</f>
        <v/>
      </c>
      <c r="H47" s="3">
        <f>IF('ORDENES'!$A25="","",IF('ORDENES'!$AE25="","-",'ORDENES'!$AE25))</f>
        <v/>
      </c>
      <c r="I47" s="3">
        <f>IF('ORDENES'!$A25="","",IF('ORDENES'!$AQ25="","-",'ORDENES'!$AQ25))</f>
        <v/>
      </c>
      <c r="J47" s="3">
        <f>IF('ORDENES'!$A25="","",IF('ORDENES'!$D25="","-",'ORDENES'!$D25))</f>
        <v/>
      </c>
      <c r="K47" s="3">
        <f>IF('ORDENES'!$A25="","",IF('ORDENES'!$E25="","-",'ORDENES'!$E25))</f>
        <v/>
      </c>
      <c r="L47" s="13">
        <f>IF('ORDENES'!$A25="","",IF('ORDENES'!$M25="",0,'ORDENES'!$M25))</f>
        <v/>
      </c>
      <c r="M47" s="3">
        <f>IF('ORDENES'!$A25="","",IF('ORDENES'!$N25="","-",'ORDENES'!$N25))</f>
        <v/>
      </c>
      <c r="N47" s="3">
        <f>IF('ORDENES'!$A25="","",'ORDENES'!$AD25)</f>
        <v/>
      </c>
    </row>
    <row r="48">
      <c r="A48" s="3">
        <f>IF('ORDENES'!$A26="","",IF('ORDENES'!$O26="","-",'ORDENES'!$O26))</f>
        <v/>
      </c>
      <c r="B48" s="3">
        <f>IF('ORDENES'!$A26="","",IF('ORDENES'!$R26="","-",'ORDENES'!$R26))</f>
        <v/>
      </c>
      <c r="C48" s="3">
        <f>IF('ORDENES'!$A26="","",IF('ORDENES'!$AF26="","-",'ORDENES'!$AF26))</f>
        <v/>
      </c>
      <c r="D48" s="3">
        <f>IF('ORDENES'!$A26="","",IF('ORDENES'!$X26="","-",'ORDENES'!$X26))</f>
        <v/>
      </c>
      <c r="E48" s="3">
        <f>IF('ORDENES'!$A26="","",IF('ORDENES'!$V26="","-",'ORDENES'!$V26))</f>
        <v/>
      </c>
      <c r="F48" s="3">
        <f>IF('ORDENES'!$A26="","",IF('ORDENES'!$Y26="","-",'ORDENES'!$Y26))</f>
        <v/>
      </c>
      <c r="G48" s="3">
        <f>IF('ORDENES'!$A26="","",IF('ORDENES'!$W26="","-",'ORDENES'!$W26))</f>
        <v/>
      </c>
      <c r="H48" s="3">
        <f>IF('ORDENES'!$A26="","",IF('ORDENES'!$AE26="","-",'ORDENES'!$AE26))</f>
        <v/>
      </c>
      <c r="I48" s="3">
        <f>IF('ORDENES'!$A26="","",IF('ORDENES'!$AQ26="","-",'ORDENES'!$AQ26))</f>
        <v/>
      </c>
      <c r="J48" s="3">
        <f>IF('ORDENES'!$A26="","",IF('ORDENES'!$D26="","-",'ORDENES'!$D26))</f>
        <v/>
      </c>
      <c r="K48" s="3">
        <f>IF('ORDENES'!$A26="","",IF('ORDENES'!$E26="","-",'ORDENES'!$E26))</f>
        <v/>
      </c>
      <c r="L48" s="13">
        <f>IF('ORDENES'!$A26="","",IF('ORDENES'!$M26="",0,'ORDENES'!$M26))</f>
        <v/>
      </c>
      <c r="M48" s="3">
        <f>IF('ORDENES'!$A26="","",IF('ORDENES'!$N26="","-",'ORDENES'!$N26))</f>
        <v/>
      </c>
      <c r="N48" s="3">
        <f>IF('ORDENES'!$A26="","",'ORDENES'!$AD26)</f>
        <v/>
      </c>
    </row>
    <row r="49">
      <c r="A49" s="3">
        <f>IF('ORDENES'!$A27="","",IF('ORDENES'!$O27="","-",'ORDENES'!$O27))</f>
        <v/>
      </c>
      <c r="B49" s="3">
        <f>IF('ORDENES'!$A27="","",IF('ORDENES'!$R27="","-",'ORDENES'!$R27))</f>
        <v/>
      </c>
      <c r="C49" s="3">
        <f>IF('ORDENES'!$A27="","",IF('ORDENES'!$AF27="","-",'ORDENES'!$AF27))</f>
        <v/>
      </c>
      <c r="D49" s="3">
        <f>IF('ORDENES'!$A27="","",IF('ORDENES'!$X27="","-",'ORDENES'!$X27))</f>
        <v/>
      </c>
      <c r="E49" s="3">
        <f>IF('ORDENES'!$A27="","",IF('ORDENES'!$V27="","-",'ORDENES'!$V27))</f>
        <v/>
      </c>
      <c r="F49" s="3">
        <f>IF('ORDENES'!$A27="","",IF('ORDENES'!$Y27="","-",'ORDENES'!$Y27))</f>
        <v/>
      </c>
      <c r="G49" s="3">
        <f>IF('ORDENES'!$A27="","",IF('ORDENES'!$W27="","-",'ORDENES'!$W27))</f>
        <v/>
      </c>
      <c r="H49" s="3">
        <f>IF('ORDENES'!$A27="","",IF('ORDENES'!$AE27="","-",'ORDENES'!$AE27))</f>
        <v/>
      </c>
      <c r="I49" s="3">
        <f>IF('ORDENES'!$A27="","",IF('ORDENES'!$AQ27="","-",'ORDENES'!$AQ27))</f>
        <v/>
      </c>
      <c r="J49" s="3">
        <f>IF('ORDENES'!$A27="","",IF('ORDENES'!$D27="","-",'ORDENES'!$D27))</f>
        <v/>
      </c>
      <c r="K49" s="3">
        <f>IF('ORDENES'!$A27="","",IF('ORDENES'!$E27="","-",'ORDENES'!$E27))</f>
        <v/>
      </c>
      <c r="L49" s="13">
        <f>IF('ORDENES'!$A27="","",IF('ORDENES'!$M27="",0,'ORDENES'!$M27))</f>
        <v/>
      </c>
      <c r="M49" s="3">
        <f>IF('ORDENES'!$A27="","",IF('ORDENES'!$N27="","-",'ORDENES'!$N27))</f>
        <v/>
      </c>
      <c r="N49" s="3">
        <f>IF('ORDENES'!$A27="","",'ORDENES'!$AD27)</f>
        <v/>
      </c>
    </row>
    <row r="50">
      <c r="A50" s="3">
        <f>IF('ORDENES'!$A28="","",IF('ORDENES'!$O28="","-",'ORDENES'!$O28))</f>
        <v/>
      </c>
      <c r="B50" s="3">
        <f>IF('ORDENES'!$A28="","",IF('ORDENES'!$R28="","-",'ORDENES'!$R28))</f>
        <v/>
      </c>
      <c r="C50" s="3">
        <f>IF('ORDENES'!$A28="","",IF('ORDENES'!$AF28="","-",'ORDENES'!$AF28))</f>
        <v/>
      </c>
      <c r="D50" s="3">
        <f>IF('ORDENES'!$A28="","",IF('ORDENES'!$X28="","-",'ORDENES'!$X28))</f>
        <v/>
      </c>
      <c r="E50" s="3">
        <f>IF('ORDENES'!$A28="","",IF('ORDENES'!$V28="","-",'ORDENES'!$V28))</f>
        <v/>
      </c>
      <c r="F50" s="3">
        <f>IF('ORDENES'!$A28="","",IF('ORDENES'!$Y28="","-",'ORDENES'!$Y28))</f>
        <v/>
      </c>
      <c r="G50" s="3">
        <f>IF('ORDENES'!$A28="","",IF('ORDENES'!$W28="","-",'ORDENES'!$W28))</f>
        <v/>
      </c>
      <c r="H50" s="3">
        <f>IF('ORDENES'!$A28="","",IF('ORDENES'!$AE28="","-",'ORDENES'!$AE28))</f>
        <v/>
      </c>
      <c r="I50" s="3">
        <f>IF('ORDENES'!$A28="","",IF('ORDENES'!$AQ28="","-",'ORDENES'!$AQ28))</f>
        <v/>
      </c>
      <c r="J50" s="3">
        <f>IF('ORDENES'!$A28="","",IF('ORDENES'!$D28="","-",'ORDENES'!$D28))</f>
        <v/>
      </c>
      <c r="K50" s="3">
        <f>IF('ORDENES'!$A28="","",IF('ORDENES'!$E28="","-",'ORDENES'!$E28))</f>
        <v/>
      </c>
      <c r="L50" s="13">
        <f>IF('ORDENES'!$A28="","",IF('ORDENES'!$M28="",0,'ORDENES'!$M28))</f>
        <v/>
      </c>
      <c r="M50" s="3">
        <f>IF('ORDENES'!$A28="","",IF('ORDENES'!$N28="","-",'ORDENES'!$N28))</f>
        <v/>
      </c>
      <c r="N50" s="3">
        <f>IF('ORDENES'!$A28="","",'ORDENES'!$AD28)</f>
        <v/>
      </c>
    </row>
    <row r="51">
      <c r="A51" s="3">
        <f>IF('ORDENES'!$A29="","",IF('ORDENES'!$O29="","-",'ORDENES'!$O29))</f>
        <v/>
      </c>
      <c r="B51" s="3">
        <f>IF('ORDENES'!$A29="","",IF('ORDENES'!$R29="","-",'ORDENES'!$R29))</f>
        <v/>
      </c>
      <c r="C51" s="3">
        <f>IF('ORDENES'!$A29="","",IF('ORDENES'!$AF29="","-",'ORDENES'!$AF29))</f>
        <v/>
      </c>
      <c r="D51" s="3">
        <f>IF('ORDENES'!$A29="","",IF('ORDENES'!$X29="","-",'ORDENES'!$X29))</f>
        <v/>
      </c>
      <c r="E51" s="3">
        <f>IF('ORDENES'!$A29="","",IF('ORDENES'!$V29="","-",'ORDENES'!$V29))</f>
        <v/>
      </c>
      <c r="F51" s="3">
        <f>IF('ORDENES'!$A29="","",IF('ORDENES'!$Y29="","-",'ORDENES'!$Y29))</f>
        <v/>
      </c>
      <c r="G51" s="3">
        <f>IF('ORDENES'!$A29="","",IF('ORDENES'!$W29="","-",'ORDENES'!$W29))</f>
        <v/>
      </c>
      <c r="H51" s="3">
        <f>IF('ORDENES'!$A29="","",IF('ORDENES'!$AE29="","-",'ORDENES'!$AE29))</f>
        <v/>
      </c>
      <c r="I51" s="3">
        <f>IF('ORDENES'!$A29="","",IF('ORDENES'!$AQ29="","-",'ORDENES'!$AQ29))</f>
        <v/>
      </c>
      <c r="J51" s="3">
        <f>IF('ORDENES'!$A29="","",IF('ORDENES'!$D29="","-",'ORDENES'!$D29))</f>
        <v/>
      </c>
      <c r="K51" s="3">
        <f>IF('ORDENES'!$A29="","",IF('ORDENES'!$E29="","-",'ORDENES'!$E29))</f>
        <v/>
      </c>
      <c r="L51" s="13">
        <f>IF('ORDENES'!$A29="","",IF('ORDENES'!$M29="",0,'ORDENES'!$M29))</f>
        <v/>
      </c>
      <c r="M51" s="3">
        <f>IF('ORDENES'!$A29="","",IF('ORDENES'!$N29="","-",'ORDENES'!$N29))</f>
        <v/>
      </c>
      <c r="N51" s="3">
        <f>IF('ORDENES'!$A29="","",'ORDENES'!$AD29)</f>
        <v/>
      </c>
    </row>
    <row r="52">
      <c r="A52" s="3">
        <f>IF('ORDENES'!$A30="","",IF('ORDENES'!$O30="","-",'ORDENES'!$O30))</f>
        <v/>
      </c>
      <c r="B52" s="3">
        <f>IF('ORDENES'!$A30="","",IF('ORDENES'!$R30="","-",'ORDENES'!$R30))</f>
        <v/>
      </c>
      <c r="C52" s="3">
        <f>IF('ORDENES'!$A30="","",IF('ORDENES'!$AF30="","-",'ORDENES'!$AF30))</f>
        <v/>
      </c>
      <c r="D52" s="3">
        <f>IF('ORDENES'!$A30="","",IF('ORDENES'!$X30="","-",'ORDENES'!$X30))</f>
        <v/>
      </c>
      <c r="E52" s="3">
        <f>IF('ORDENES'!$A30="","",IF('ORDENES'!$V30="","-",'ORDENES'!$V30))</f>
        <v/>
      </c>
      <c r="F52" s="3">
        <f>IF('ORDENES'!$A30="","",IF('ORDENES'!$Y30="","-",'ORDENES'!$Y30))</f>
        <v/>
      </c>
      <c r="G52" s="3">
        <f>IF('ORDENES'!$A30="","",IF('ORDENES'!$W30="","-",'ORDENES'!$W30))</f>
        <v/>
      </c>
      <c r="H52" s="3">
        <f>IF('ORDENES'!$A30="","",IF('ORDENES'!$AE30="","-",'ORDENES'!$AE30))</f>
        <v/>
      </c>
      <c r="I52" s="3">
        <f>IF('ORDENES'!$A30="","",IF('ORDENES'!$AQ30="","-",'ORDENES'!$AQ30))</f>
        <v/>
      </c>
      <c r="J52" s="3">
        <f>IF('ORDENES'!$A30="","",IF('ORDENES'!$D30="","-",'ORDENES'!$D30))</f>
        <v/>
      </c>
      <c r="K52" s="3">
        <f>IF('ORDENES'!$A30="","",IF('ORDENES'!$E30="","-",'ORDENES'!$E30))</f>
        <v/>
      </c>
      <c r="L52" s="13">
        <f>IF('ORDENES'!$A30="","",IF('ORDENES'!$M30="",0,'ORDENES'!$M30))</f>
        <v/>
      </c>
      <c r="M52" s="3">
        <f>IF('ORDENES'!$A30="","",IF('ORDENES'!$N30="","-",'ORDENES'!$N30))</f>
        <v/>
      </c>
      <c r="N52" s="3">
        <f>IF('ORDENES'!$A30="","",'ORDENES'!$AD30)</f>
        <v/>
      </c>
    </row>
    <row r="53">
      <c r="A53" s="3">
        <f>IF('ORDENES'!$A31="","",IF('ORDENES'!$O31="","-",'ORDENES'!$O31))</f>
        <v/>
      </c>
      <c r="B53" s="3">
        <f>IF('ORDENES'!$A31="","",IF('ORDENES'!$R31="","-",'ORDENES'!$R31))</f>
        <v/>
      </c>
      <c r="C53" s="3">
        <f>IF('ORDENES'!$A31="","",IF('ORDENES'!$AF31="","-",'ORDENES'!$AF31))</f>
        <v/>
      </c>
      <c r="D53" s="3">
        <f>IF('ORDENES'!$A31="","",IF('ORDENES'!$X31="","-",'ORDENES'!$X31))</f>
        <v/>
      </c>
      <c r="E53" s="3">
        <f>IF('ORDENES'!$A31="","",IF('ORDENES'!$V31="","-",'ORDENES'!$V31))</f>
        <v/>
      </c>
      <c r="F53" s="3">
        <f>IF('ORDENES'!$A31="","",IF('ORDENES'!$Y31="","-",'ORDENES'!$Y31))</f>
        <v/>
      </c>
      <c r="G53" s="3">
        <f>IF('ORDENES'!$A31="","",IF('ORDENES'!$W31="","-",'ORDENES'!$W31))</f>
        <v/>
      </c>
      <c r="H53" s="3">
        <f>IF('ORDENES'!$A31="","",IF('ORDENES'!$AE31="","-",'ORDENES'!$AE31))</f>
        <v/>
      </c>
      <c r="I53" s="3">
        <f>IF('ORDENES'!$A31="","",IF('ORDENES'!$AQ31="","-",'ORDENES'!$AQ31))</f>
        <v/>
      </c>
      <c r="J53" s="3">
        <f>IF('ORDENES'!$A31="","",IF('ORDENES'!$D31="","-",'ORDENES'!$D31))</f>
        <v/>
      </c>
      <c r="K53" s="3">
        <f>IF('ORDENES'!$A31="","",IF('ORDENES'!$E31="","-",'ORDENES'!$E31))</f>
        <v/>
      </c>
      <c r="L53" s="13">
        <f>IF('ORDENES'!$A31="","",IF('ORDENES'!$M31="",0,'ORDENES'!$M31))</f>
        <v/>
      </c>
      <c r="M53" s="3">
        <f>IF('ORDENES'!$A31="","",IF('ORDENES'!$N31="","-",'ORDENES'!$N31))</f>
        <v/>
      </c>
      <c r="N53" s="3">
        <f>IF('ORDENES'!$A31="","",'ORDENES'!$AD31)</f>
        <v/>
      </c>
    </row>
    <row r="54">
      <c r="A54" s="3">
        <f>IF('ORDENES'!$A32="","",IF('ORDENES'!$O32="","-",'ORDENES'!$O32))</f>
        <v/>
      </c>
      <c r="B54" s="3">
        <f>IF('ORDENES'!$A32="","",IF('ORDENES'!$R32="","-",'ORDENES'!$R32))</f>
        <v/>
      </c>
      <c r="C54" s="3">
        <f>IF('ORDENES'!$A32="","",IF('ORDENES'!$AF32="","-",'ORDENES'!$AF32))</f>
        <v/>
      </c>
      <c r="D54" s="3">
        <f>IF('ORDENES'!$A32="","",IF('ORDENES'!$X32="","-",'ORDENES'!$X32))</f>
        <v/>
      </c>
      <c r="E54" s="3">
        <f>IF('ORDENES'!$A32="","",IF('ORDENES'!$V32="","-",'ORDENES'!$V32))</f>
        <v/>
      </c>
      <c r="F54" s="3">
        <f>IF('ORDENES'!$A32="","",IF('ORDENES'!$Y32="","-",'ORDENES'!$Y32))</f>
        <v/>
      </c>
      <c r="G54" s="3">
        <f>IF('ORDENES'!$A32="","",IF('ORDENES'!$W32="","-",'ORDENES'!$W32))</f>
        <v/>
      </c>
      <c r="H54" s="3">
        <f>IF('ORDENES'!$A32="","",IF('ORDENES'!$AE32="","-",'ORDENES'!$AE32))</f>
        <v/>
      </c>
      <c r="I54" s="3">
        <f>IF('ORDENES'!$A32="","",IF('ORDENES'!$AQ32="","-",'ORDENES'!$AQ32))</f>
        <v/>
      </c>
      <c r="J54" s="3">
        <f>IF('ORDENES'!$A32="","",IF('ORDENES'!$D32="","-",'ORDENES'!$D32))</f>
        <v/>
      </c>
      <c r="K54" s="3">
        <f>IF('ORDENES'!$A32="","",IF('ORDENES'!$E32="","-",'ORDENES'!$E32))</f>
        <v/>
      </c>
      <c r="L54" s="13">
        <f>IF('ORDENES'!$A32="","",IF('ORDENES'!$M32="",0,'ORDENES'!$M32))</f>
        <v/>
      </c>
      <c r="M54" s="3">
        <f>IF('ORDENES'!$A32="","",IF('ORDENES'!$N32="","-",'ORDENES'!$N32))</f>
        <v/>
      </c>
      <c r="N54" s="3">
        <f>IF('ORDENES'!$A32="","",'ORDENES'!$AD32)</f>
        <v/>
      </c>
    </row>
    <row r="55">
      <c r="A55" s="3">
        <f>IF('ORDENES'!$A33="","",IF('ORDENES'!$O33="","-",'ORDENES'!$O33))</f>
        <v/>
      </c>
      <c r="B55" s="3">
        <f>IF('ORDENES'!$A33="","",IF('ORDENES'!$R33="","-",'ORDENES'!$R33))</f>
        <v/>
      </c>
      <c r="C55" s="3">
        <f>IF('ORDENES'!$A33="","",IF('ORDENES'!$AF33="","-",'ORDENES'!$AF33))</f>
        <v/>
      </c>
      <c r="D55" s="3">
        <f>IF('ORDENES'!$A33="","",IF('ORDENES'!$X33="","-",'ORDENES'!$X33))</f>
        <v/>
      </c>
      <c r="E55" s="3">
        <f>IF('ORDENES'!$A33="","",IF('ORDENES'!$V33="","-",'ORDENES'!$V33))</f>
        <v/>
      </c>
      <c r="F55" s="3">
        <f>IF('ORDENES'!$A33="","",IF('ORDENES'!$Y33="","-",'ORDENES'!$Y33))</f>
        <v/>
      </c>
      <c r="G55" s="3">
        <f>IF('ORDENES'!$A33="","",IF('ORDENES'!$W33="","-",'ORDENES'!$W33))</f>
        <v/>
      </c>
      <c r="H55" s="3">
        <f>IF('ORDENES'!$A33="","",IF('ORDENES'!$AE33="","-",'ORDENES'!$AE33))</f>
        <v/>
      </c>
      <c r="I55" s="3">
        <f>IF('ORDENES'!$A33="","",IF('ORDENES'!$AQ33="","-",'ORDENES'!$AQ33))</f>
        <v/>
      </c>
      <c r="J55" s="3">
        <f>IF('ORDENES'!$A33="","",IF('ORDENES'!$D33="","-",'ORDENES'!$D33))</f>
        <v/>
      </c>
      <c r="K55" s="3">
        <f>IF('ORDENES'!$A33="","",IF('ORDENES'!$E33="","-",'ORDENES'!$E33))</f>
        <v/>
      </c>
      <c r="L55" s="13">
        <f>IF('ORDENES'!$A33="","",IF('ORDENES'!$M33="",0,'ORDENES'!$M33))</f>
        <v/>
      </c>
      <c r="M55" s="3">
        <f>IF('ORDENES'!$A33="","",IF('ORDENES'!$N33="","-",'ORDENES'!$N33))</f>
        <v/>
      </c>
      <c r="N55" s="3">
        <f>IF('ORDENES'!$A33="","",'ORDENES'!$AD33)</f>
        <v/>
      </c>
    </row>
    <row r="56">
      <c r="A56" s="3">
        <f>IF('ORDENES'!$A34="","",IF('ORDENES'!$O34="","-",'ORDENES'!$O34))</f>
        <v/>
      </c>
      <c r="B56" s="3">
        <f>IF('ORDENES'!$A34="","",IF('ORDENES'!$R34="","-",'ORDENES'!$R34))</f>
        <v/>
      </c>
      <c r="C56" s="3">
        <f>IF('ORDENES'!$A34="","",IF('ORDENES'!$AF34="","-",'ORDENES'!$AF34))</f>
        <v/>
      </c>
      <c r="D56" s="3">
        <f>IF('ORDENES'!$A34="","",IF('ORDENES'!$X34="","-",'ORDENES'!$X34))</f>
        <v/>
      </c>
      <c r="E56" s="3">
        <f>IF('ORDENES'!$A34="","",IF('ORDENES'!$V34="","-",'ORDENES'!$V34))</f>
        <v/>
      </c>
      <c r="F56" s="3">
        <f>IF('ORDENES'!$A34="","",IF('ORDENES'!$Y34="","-",'ORDENES'!$Y34))</f>
        <v/>
      </c>
      <c r="G56" s="3">
        <f>IF('ORDENES'!$A34="","",IF('ORDENES'!$W34="","-",'ORDENES'!$W34))</f>
        <v/>
      </c>
      <c r="H56" s="3">
        <f>IF('ORDENES'!$A34="","",IF('ORDENES'!$AE34="","-",'ORDENES'!$AE34))</f>
        <v/>
      </c>
      <c r="I56" s="3">
        <f>IF('ORDENES'!$A34="","",IF('ORDENES'!$AQ34="","-",'ORDENES'!$AQ34))</f>
        <v/>
      </c>
      <c r="J56" s="3">
        <f>IF('ORDENES'!$A34="","",IF('ORDENES'!$D34="","-",'ORDENES'!$D34))</f>
        <v/>
      </c>
      <c r="K56" s="3">
        <f>IF('ORDENES'!$A34="","",IF('ORDENES'!$E34="","-",'ORDENES'!$E34))</f>
        <v/>
      </c>
      <c r="L56" s="13">
        <f>IF('ORDENES'!$A34="","",IF('ORDENES'!$M34="",0,'ORDENES'!$M34))</f>
        <v/>
      </c>
      <c r="M56" s="3">
        <f>IF('ORDENES'!$A34="","",IF('ORDENES'!$N34="","-",'ORDENES'!$N34))</f>
        <v/>
      </c>
      <c r="N56" s="3">
        <f>IF('ORDENES'!$A34="","",'ORDENES'!$AD34)</f>
        <v/>
      </c>
    </row>
    <row r="57">
      <c r="A57" s="3">
        <f>IF('ORDENES'!$A35="","",IF('ORDENES'!$O35="","-",'ORDENES'!$O35))</f>
        <v/>
      </c>
      <c r="B57" s="3">
        <f>IF('ORDENES'!$A35="","",IF('ORDENES'!$R35="","-",'ORDENES'!$R35))</f>
        <v/>
      </c>
      <c r="C57" s="3">
        <f>IF('ORDENES'!$A35="","",IF('ORDENES'!$AF35="","-",'ORDENES'!$AF35))</f>
        <v/>
      </c>
      <c r="D57" s="3">
        <f>IF('ORDENES'!$A35="","",IF('ORDENES'!$X35="","-",'ORDENES'!$X35))</f>
        <v/>
      </c>
      <c r="E57" s="3">
        <f>IF('ORDENES'!$A35="","",IF('ORDENES'!$V35="","-",'ORDENES'!$V35))</f>
        <v/>
      </c>
      <c r="F57" s="3">
        <f>IF('ORDENES'!$A35="","",IF('ORDENES'!$Y35="","-",'ORDENES'!$Y35))</f>
        <v/>
      </c>
      <c r="G57" s="3">
        <f>IF('ORDENES'!$A35="","",IF('ORDENES'!$W35="","-",'ORDENES'!$W35))</f>
        <v/>
      </c>
      <c r="H57" s="3">
        <f>IF('ORDENES'!$A35="","",IF('ORDENES'!$AE35="","-",'ORDENES'!$AE35))</f>
        <v/>
      </c>
      <c r="I57" s="3">
        <f>IF('ORDENES'!$A35="","",IF('ORDENES'!$AQ35="","-",'ORDENES'!$AQ35))</f>
        <v/>
      </c>
      <c r="J57" s="3">
        <f>IF('ORDENES'!$A35="","",IF('ORDENES'!$D35="","-",'ORDENES'!$D35))</f>
        <v/>
      </c>
      <c r="K57" s="3">
        <f>IF('ORDENES'!$A35="","",IF('ORDENES'!$E35="","-",'ORDENES'!$E35))</f>
        <v/>
      </c>
      <c r="L57" s="13">
        <f>IF('ORDENES'!$A35="","",IF('ORDENES'!$M35="",0,'ORDENES'!$M35))</f>
        <v/>
      </c>
      <c r="M57" s="3">
        <f>IF('ORDENES'!$A35="","",IF('ORDENES'!$N35="","-",'ORDENES'!$N35))</f>
        <v/>
      </c>
      <c r="N57" s="3">
        <f>IF('ORDENES'!$A35="","",'ORDENES'!$AD35)</f>
        <v/>
      </c>
    </row>
    <row r="58">
      <c r="A58" s="3">
        <f>IF('ORDENES'!$A36="","",IF('ORDENES'!$O36="","-",'ORDENES'!$O36))</f>
        <v/>
      </c>
      <c r="B58" s="3">
        <f>IF('ORDENES'!$A36="","",IF('ORDENES'!$R36="","-",'ORDENES'!$R36))</f>
        <v/>
      </c>
      <c r="C58" s="3">
        <f>IF('ORDENES'!$A36="","",IF('ORDENES'!$AF36="","-",'ORDENES'!$AF36))</f>
        <v/>
      </c>
      <c r="D58" s="3">
        <f>IF('ORDENES'!$A36="","",IF('ORDENES'!$X36="","-",'ORDENES'!$X36))</f>
        <v/>
      </c>
      <c r="E58" s="3">
        <f>IF('ORDENES'!$A36="","",IF('ORDENES'!$V36="","-",'ORDENES'!$V36))</f>
        <v/>
      </c>
      <c r="F58" s="3">
        <f>IF('ORDENES'!$A36="","",IF('ORDENES'!$Y36="","-",'ORDENES'!$Y36))</f>
        <v/>
      </c>
      <c r="G58" s="3">
        <f>IF('ORDENES'!$A36="","",IF('ORDENES'!$W36="","-",'ORDENES'!$W36))</f>
        <v/>
      </c>
      <c r="H58" s="3">
        <f>IF('ORDENES'!$A36="","",IF('ORDENES'!$AE36="","-",'ORDENES'!$AE36))</f>
        <v/>
      </c>
      <c r="I58" s="3">
        <f>IF('ORDENES'!$A36="","",IF('ORDENES'!$AQ36="","-",'ORDENES'!$AQ36))</f>
        <v/>
      </c>
      <c r="J58" s="3">
        <f>IF('ORDENES'!$A36="","",IF('ORDENES'!$D36="","-",'ORDENES'!$D36))</f>
        <v/>
      </c>
      <c r="K58" s="3">
        <f>IF('ORDENES'!$A36="","",IF('ORDENES'!$E36="","-",'ORDENES'!$E36))</f>
        <v/>
      </c>
      <c r="L58" s="13">
        <f>IF('ORDENES'!$A36="","",IF('ORDENES'!$M36="",0,'ORDENES'!$M36))</f>
        <v/>
      </c>
      <c r="M58" s="3">
        <f>IF('ORDENES'!$A36="","",IF('ORDENES'!$N36="","-",'ORDENES'!$N36))</f>
        <v/>
      </c>
      <c r="N58" s="3">
        <f>IF('ORDENES'!$A36="","",'ORDENES'!$AD36)</f>
        <v/>
      </c>
    </row>
    <row r="59">
      <c r="A59" s="3">
        <f>IF('ORDENES'!$A37="","",IF('ORDENES'!$O37="","-",'ORDENES'!$O37))</f>
        <v/>
      </c>
      <c r="B59" s="3">
        <f>IF('ORDENES'!$A37="","",IF('ORDENES'!$R37="","-",'ORDENES'!$R37))</f>
        <v/>
      </c>
      <c r="C59" s="3">
        <f>IF('ORDENES'!$A37="","",IF('ORDENES'!$AF37="","-",'ORDENES'!$AF37))</f>
        <v/>
      </c>
      <c r="D59" s="3">
        <f>IF('ORDENES'!$A37="","",IF('ORDENES'!$X37="","-",'ORDENES'!$X37))</f>
        <v/>
      </c>
      <c r="E59" s="3">
        <f>IF('ORDENES'!$A37="","",IF('ORDENES'!$V37="","-",'ORDENES'!$V37))</f>
        <v/>
      </c>
      <c r="F59" s="3">
        <f>IF('ORDENES'!$A37="","",IF('ORDENES'!$Y37="","-",'ORDENES'!$Y37))</f>
        <v/>
      </c>
      <c r="G59" s="3">
        <f>IF('ORDENES'!$A37="","",IF('ORDENES'!$W37="","-",'ORDENES'!$W37))</f>
        <v/>
      </c>
      <c r="H59" s="3">
        <f>IF('ORDENES'!$A37="","",IF('ORDENES'!$AE37="","-",'ORDENES'!$AE37))</f>
        <v/>
      </c>
      <c r="I59" s="3">
        <f>IF('ORDENES'!$A37="","",IF('ORDENES'!$AQ37="","-",'ORDENES'!$AQ37))</f>
        <v/>
      </c>
      <c r="J59" s="3">
        <f>IF('ORDENES'!$A37="","",IF('ORDENES'!$D37="","-",'ORDENES'!$D37))</f>
        <v/>
      </c>
      <c r="K59" s="3">
        <f>IF('ORDENES'!$A37="","",IF('ORDENES'!$E37="","-",'ORDENES'!$E37))</f>
        <v/>
      </c>
      <c r="L59" s="13">
        <f>IF('ORDENES'!$A37="","",IF('ORDENES'!$M37="",0,'ORDENES'!$M37))</f>
        <v/>
      </c>
      <c r="M59" s="3">
        <f>IF('ORDENES'!$A37="","",IF('ORDENES'!$N37="","-",'ORDENES'!$N37))</f>
        <v/>
      </c>
      <c r="N59" s="3">
        <f>IF('ORDENES'!$A37="","",'ORDENES'!$AD37)</f>
        <v/>
      </c>
    </row>
    <row r="60">
      <c r="A60" s="3">
        <f>IF('ORDENES'!$A38="","",IF('ORDENES'!$O38="","-",'ORDENES'!$O38))</f>
        <v/>
      </c>
      <c r="B60" s="3">
        <f>IF('ORDENES'!$A38="","",IF('ORDENES'!$R38="","-",'ORDENES'!$R38))</f>
        <v/>
      </c>
      <c r="C60" s="3">
        <f>IF('ORDENES'!$A38="","",IF('ORDENES'!$AF38="","-",'ORDENES'!$AF38))</f>
        <v/>
      </c>
      <c r="D60" s="3">
        <f>IF('ORDENES'!$A38="","",IF('ORDENES'!$X38="","-",'ORDENES'!$X38))</f>
        <v/>
      </c>
      <c r="E60" s="3">
        <f>IF('ORDENES'!$A38="","",IF('ORDENES'!$V38="","-",'ORDENES'!$V38))</f>
        <v/>
      </c>
      <c r="F60" s="3">
        <f>IF('ORDENES'!$A38="","",IF('ORDENES'!$Y38="","-",'ORDENES'!$Y38))</f>
        <v/>
      </c>
      <c r="G60" s="3">
        <f>IF('ORDENES'!$A38="","",IF('ORDENES'!$W38="","-",'ORDENES'!$W38))</f>
        <v/>
      </c>
      <c r="H60" s="3">
        <f>IF('ORDENES'!$A38="","",IF('ORDENES'!$AE38="","-",'ORDENES'!$AE38))</f>
        <v/>
      </c>
      <c r="I60" s="3">
        <f>IF('ORDENES'!$A38="","",IF('ORDENES'!$AQ38="","-",'ORDENES'!$AQ38))</f>
        <v/>
      </c>
      <c r="J60" s="3">
        <f>IF('ORDENES'!$A38="","",IF('ORDENES'!$D38="","-",'ORDENES'!$D38))</f>
        <v/>
      </c>
      <c r="K60" s="3">
        <f>IF('ORDENES'!$A38="","",IF('ORDENES'!$E38="","-",'ORDENES'!$E38))</f>
        <v/>
      </c>
      <c r="L60" s="13">
        <f>IF('ORDENES'!$A38="","",IF('ORDENES'!$M38="",0,'ORDENES'!$M38))</f>
        <v/>
      </c>
      <c r="M60" s="3">
        <f>IF('ORDENES'!$A38="","",IF('ORDENES'!$N38="","-",'ORDENES'!$N38))</f>
        <v/>
      </c>
      <c r="N60" s="3">
        <f>IF('ORDENES'!$A38="","",'ORDENES'!$AD38)</f>
        <v/>
      </c>
    </row>
    <row r="61">
      <c r="A61" s="3">
        <f>IF('ORDENES'!$A39="","",IF('ORDENES'!$O39="","-",'ORDENES'!$O39))</f>
        <v/>
      </c>
      <c r="B61" s="3">
        <f>IF('ORDENES'!$A39="","",IF('ORDENES'!$R39="","-",'ORDENES'!$R39))</f>
        <v/>
      </c>
      <c r="C61" s="3">
        <f>IF('ORDENES'!$A39="","",IF('ORDENES'!$AF39="","-",'ORDENES'!$AF39))</f>
        <v/>
      </c>
      <c r="D61" s="3">
        <f>IF('ORDENES'!$A39="","",IF('ORDENES'!$X39="","-",'ORDENES'!$X39))</f>
        <v/>
      </c>
      <c r="E61" s="3">
        <f>IF('ORDENES'!$A39="","",IF('ORDENES'!$V39="","-",'ORDENES'!$V39))</f>
        <v/>
      </c>
      <c r="F61" s="3">
        <f>IF('ORDENES'!$A39="","",IF('ORDENES'!$Y39="","-",'ORDENES'!$Y39))</f>
        <v/>
      </c>
      <c r="G61" s="3">
        <f>IF('ORDENES'!$A39="","",IF('ORDENES'!$W39="","-",'ORDENES'!$W39))</f>
        <v/>
      </c>
      <c r="H61" s="3">
        <f>IF('ORDENES'!$A39="","",IF('ORDENES'!$AE39="","-",'ORDENES'!$AE39))</f>
        <v/>
      </c>
      <c r="I61" s="3">
        <f>IF('ORDENES'!$A39="","",IF('ORDENES'!$AQ39="","-",'ORDENES'!$AQ39))</f>
        <v/>
      </c>
      <c r="J61" s="3">
        <f>IF('ORDENES'!$A39="","",IF('ORDENES'!$D39="","-",'ORDENES'!$D39))</f>
        <v/>
      </c>
      <c r="K61" s="3">
        <f>IF('ORDENES'!$A39="","",IF('ORDENES'!$E39="","-",'ORDENES'!$E39))</f>
        <v/>
      </c>
      <c r="L61" s="13">
        <f>IF('ORDENES'!$A39="","",IF('ORDENES'!$M39="",0,'ORDENES'!$M39))</f>
        <v/>
      </c>
      <c r="M61" s="3">
        <f>IF('ORDENES'!$A39="","",IF('ORDENES'!$N39="","-",'ORDENES'!$N39))</f>
        <v/>
      </c>
      <c r="N61" s="3">
        <f>IF('ORDENES'!$A39="","",'ORDENES'!$AD39)</f>
        <v/>
      </c>
    </row>
    <row r="62">
      <c r="A62" s="3">
        <f>IF('ORDENES'!$A40="","",IF('ORDENES'!$O40="","-",'ORDENES'!$O40))</f>
        <v/>
      </c>
      <c r="B62" s="3">
        <f>IF('ORDENES'!$A40="","",IF('ORDENES'!$R40="","-",'ORDENES'!$R40))</f>
        <v/>
      </c>
      <c r="C62" s="3">
        <f>IF('ORDENES'!$A40="","",IF('ORDENES'!$AF40="","-",'ORDENES'!$AF40))</f>
        <v/>
      </c>
      <c r="D62" s="3">
        <f>IF('ORDENES'!$A40="","",IF('ORDENES'!$X40="","-",'ORDENES'!$X40))</f>
        <v/>
      </c>
      <c r="E62" s="3">
        <f>IF('ORDENES'!$A40="","",IF('ORDENES'!$V40="","-",'ORDENES'!$V40))</f>
        <v/>
      </c>
      <c r="F62" s="3">
        <f>IF('ORDENES'!$A40="","",IF('ORDENES'!$Y40="","-",'ORDENES'!$Y40))</f>
        <v/>
      </c>
      <c r="G62" s="3">
        <f>IF('ORDENES'!$A40="","",IF('ORDENES'!$W40="","-",'ORDENES'!$W40))</f>
        <v/>
      </c>
      <c r="H62" s="3">
        <f>IF('ORDENES'!$A40="","",IF('ORDENES'!$AE40="","-",'ORDENES'!$AE40))</f>
        <v/>
      </c>
      <c r="I62" s="3">
        <f>IF('ORDENES'!$A40="","",IF('ORDENES'!$AQ40="","-",'ORDENES'!$AQ40))</f>
        <v/>
      </c>
      <c r="J62" s="3">
        <f>IF('ORDENES'!$A40="","",IF('ORDENES'!$D40="","-",'ORDENES'!$D40))</f>
        <v/>
      </c>
      <c r="K62" s="3">
        <f>IF('ORDENES'!$A40="","",IF('ORDENES'!$E40="","-",'ORDENES'!$E40))</f>
        <v/>
      </c>
      <c r="L62" s="13">
        <f>IF('ORDENES'!$A40="","",IF('ORDENES'!$M40="",0,'ORDENES'!$M40))</f>
        <v/>
      </c>
      <c r="M62" s="3">
        <f>IF('ORDENES'!$A40="","",IF('ORDENES'!$N40="","-",'ORDENES'!$N40))</f>
        <v/>
      </c>
      <c r="N62" s="3">
        <f>IF('ORDENES'!$A40="","",'ORDENES'!$AD40)</f>
        <v/>
      </c>
    </row>
    <row r="63">
      <c r="A63" s="3">
        <f>IF('ORDENES'!$A41="","",IF('ORDENES'!$O41="","-",'ORDENES'!$O41))</f>
        <v/>
      </c>
      <c r="B63" s="3">
        <f>IF('ORDENES'!$A41="","",IF('ORDENES'!$R41="","-",'ORDENES'!$R41))</f>
        <v/>
      </c>
      <c r="C63" s="3">
        <f>IF('ORDENES'!$A41="","",IF('ORDENES'!$AF41="","-",'ORDENES'!$AF41))</f>
        <v/>
      </c>
      <c r="D63" s="3">
        <f>IF('ORDENES'!$A41="","",IF('ORDENES'!$X41="","-",'ORDENES'!$X41))</f>
        <v/>
      </c>
      <c r="E63" s="3">
        <f>IF('ORDENES'!$A41="","",IF('ORDENES'!$V41="","-",'ORDENES'!$V41))</f>
        <v/>
      </c>
      <c r="F63" s="3">
        <f>IF('ORDENES'!$A41="","",IF('ORDENES'!$Y41="","-",'ORDENES'!$Y41))</f>
        <v/>
      </c>
      <c r="G63" s="3">
        <f>IF('ORDENES'!$A41="","",IF('ORDENES'!$W41="","-",'ORDENES'!$W41))</f>
        <v/>
      </c>
      <c r="H63" s="3">
        <f>IF('ORDENES'!$A41="","",IF('ORDENES'!$AE41="","-",'ORDENES'!$AE41))</f>
        <v/>
      </c>
      <c r="I63" s="3">
        <f>IF('ORDENES'!$A41="","",IF('ORDENES'!$AQ41="","-",'ORDENES'!$AQ41))</f>
        <v/>
      </c>
      <c r="J63" s="3">
        <f>IF('ORDENES'!$A41="","",IF('ORDENES'!$D41="","-",'ORDENES'!$D41))</f>
        <v/>
      </c>
      <c r="K63" s="3">
        <f>IF('ORDENES'!$A41="","",IF('ORDENES'!$E41="","-",'ORDENES'!$E41))</f>
        <v/>
      </c>
      <c r="L63" s="13">
        <f>IF('ORDENES'!$A41="","",IF('ORDENES'!$M41="",0,'ORDENES'!$M41))</f>
        <v/>
      </c>
      <c r="M63" s="3">
        <f>IF('ORDENES'!$A41="","",IF('ORDENES'!$N41="","-",'ORDENES'!$N41))</f>
        <v/>
      </c>
      <c r="N63" s="3">
        <f>IF('ORDENES'!$A41="","",'ORDENES'!$AD41)</f>
        <v/>
      </c>
    </row>
    <row r="64">
      <c r="A64" s="3">
        <f>IF('ORDENES'!$A42="","",IF('ORDENES'!$O42="","-",'ORDENES'!$O42))</f>
        <v/>
      </c>
      <c r="B64" s="3">
        <f>IF('ORDENES'!$A42="","",IF('ORDENES'!$R42="","-",'ORDENES'!$R42))</f>
        <v/>
      </c>
      <c r="C64" s="3">
        <f>IF('ORDENES'!$A42="","",IF('ORDENES'!$AF42="","-",'ORDENES'!$AF42))</f>
        <v/>
      </c>
      <c r="D64" s="3">
        <f>IF('ORDENES'!$A42="","",IF('ORDENES'!$X42="","-",'ORDENES'!$X42))</f>
        <v/>
      </c>
      <c r="E64" s="3">
        <f>IF('ORDENES'!$A42="","",IF('ORDENES'!$V42="","-",'ORDENES'!$V42))</f>
        <v/>
      </c>
      <c r="F64" s="3">
        <f>IF('ORDENES'!$A42="","",IF('ORDENES'!$Y42="","-",'ORDENES'!$Y42))</f>
        <v/>
      </c>
      <c r="G64" s="3">
        <f>IF('ORDENES'!$A42="","",IF('ORDENES'!$W42="","-",'ORDENES'!$W42))</f>
        <v/>
      </c>
      <c r="H64" s="3">
        <f>IF('ORDENES'!$A42="","",IF('ORDENES'!$AE42="","-",'ORDENES'!$AE42))</f>
        <v/>
      </c>
      <c r="I64" s="3">
        <f>IF('ORDENES'!$A42="","",IF('ORDENES'!$AQ42="","-",'ORDENES'!$AQ42))</f>
        <v/>
      </c>
      <c r="J64" s="3">
        <f>IF('ORDENES'!$A42="","",IF('ORDENES'!$D42="","-",'ORDENES'!$D42))</f>
        <v/>
      </c>
      <c r="K64" s="3">
        <f>IF('ORDENES'!$A42="","",IF('ORDENES'!$E42="","-",'ORDENES'!$E42))</f>
        <v/>
      </c>
      <c r="L64" s="13">
        <f>IF('ORDENES'!$A42="","",IF('ORDENES'!$M42="",0,'ORDENES'!$M42))</f>
        <v/>
      </c>
      <c r="M64" s="3">
        <f>IF('ORDENES'!$A42="","",IF('ORDENES'!$N42="","-",'ORDENES'!$N42))</f>
        <v/>
      </c>
      <c r="N64" s="3">
        <f>IF('ORDENES'!$A42="","",'ORDENES'!$AD42)</f>
        <v/>
      </c>
    </row>
    <row r="65">
      <c r="A65" s="3">
        <f>IF('ORDENES'!$A43="","",IF('ORDENES'!$O43="","-",'ORDENES'!$O43))</f>
        <v/>
      </c>
      <c r="B65" s="3">
        <f>IF('ORDENES'!$A43="","",IF('ORDENES'!$R43="","-",'ORDENES'!$R43))</f>
        <v/>
      </c>
      <c r="C65" s="3">
        <f>IF('ORDENES'!$A43="","",IF('ORDENES'!$AF43="","-",'ORDENES'!$AF43))</f>
        <v/>
      </c>
      <c r="D65" s="3">
        <f>IF('ORDENES'!$A43="","",IF('ORDENES'!$X43="","-",'ORDENES'!$X43))</f>
        <v/>
      </c>
      <c r="E65" s="3">
        <f>IF('ORDENES'!$A43="","",IF('ORDENES'!$V43="","-",'ORDENES'!$V43))</f>
        <v/>
      </c>
      <c r="F65" s="3">
        <f>IF('ORDENES'!$A43="","",IF('ORDENES'!$Y43="","-",'ORDENES'!$Y43))</f>
        <v/>
      </c>
      <c r="G65" s="3">
        <f>IF('ORDENES'!$A43="","",IF('ORDENES'!$W43="","-",'ORDENES'!$W43))</f>
        <v/>
      </c>
      <c r="H65" s="3">
        <f>IF('ORDENES'!$A43="","",IF('ORDENES'!$AE43="","-",'ORDENES'!$AE43))</f>
        <v/>
      </c>
      <c r="I65" s="3">
        <f>IF('ORDENES'!$A43="","",IF('ORDENES'!$AQ43="","-",'ORDENES'!$AQ43))</f>
        <v/>
      </c>
      <c r="J65" s="3">
        <f>IF('ORDENES'!$A43="","",IF('ORDENES'!$D43="","-",'ORDENES'!$D43))</f>
        <v/>
      </c>
      <c r="K65" s="3">
        <f>IF('ORDENES'!$A43="","",IF('ORDENES'!$E43="","-",'ORDENES'!$E43))</f>
        <v/>
      </c>
      <c r="L65" s="13">
        <f>IF('ORDENES'!$A43="","",IF('ORDENES'!$M43="",0,'ORDENES'!$M43))</f>
        <v/>
      </c>
      <c r="M65" s="3">
        <f>IF('ORDENES'!$A43="","",IF('ORDENES'!$N43="","-",'ORDENES'!$N43))</f>
        <v/>
      </c>
      <c r="N65" s="3">
        <f>IF('ORDENES'!$A43="","",'ORDENES'!$AD43)</f>
        <v/>
      </c>
    </row>
    <row r="66">
      <c r="A66" s="3">
        <f>IF('ORDENES'!$A44="","",IF('ORDENES'!$O44="","-",'ORDENES'!$O44))</f>
        <v/>
      </c>
      <c r="B66" s="3">
        <f>IF('ORDENES'!$A44="","",IF('ORDENES'!$R44="","-",'ORDENES'!$R44))</f>
        <v/>
      </c>
      <c r="C66" s="3">
        <f>IF('ORDENES'!$A44="","",IF('ORDENES'!$AF44="","-",'ORDENES'!$AF44))</f>
        <v/>
      </c>
      <c r="D66" s="3">
        <f>IF('ORDENES'!$A44="","",IF('ORDENES'!$X44="","-",'ORDENES'!$X44))</f>
        <v/>
      </c>
      <c r="E66" s="3">
        <f>IF('ORDENES'!$A44="","",IF('ORDENES'!$V44="","-",'ORDENES'!$V44))</f>
        <v/>
      </c>
      <c r="F66" s="3">
        <f>IF('ORDENES'!$A44="","",IF('ORDENES'!$Y44="","-",'ORDENES'!$Y44))</f>
        <v/>
      </c>
      <c r="G66" s="3">
        <f>IF('ORDENES'!$A44="","",IF('ORDENES'!$W44="","-",'ORDENES'!$W44))</f>
        <v/>
      </c>
      <c r="H66" s="3">
        <f>IF('ORDENES'!$A44="","",IF('ORDENES'!$AE44="","-",'ORDENES'!$AE44))</f>
        <v/>
      </c>
      <c r="I66" s="3">
        <f>IF('ORDENES'!$A44="","",IF('ORDENES'!$AQ44="","-",'ORDENES'!$AQ44))</f>
        <v/>
      </c>
      <c r="J66" s="3">
        <f>IF('ORDENES'!$A44="","",IF('ORDENES'!$D44="","-",'ORDENES'!$D44))</f>
        <v/>
      </c>
      <c r="K66" s="3">
        <f>IF('ORDENES'!$A44="","",IF('ORDENES'!$E44="","-",'ORDENES'!$E44))</f>
        <v/>
      </c>
      <c r="L66" s="13">
        <f>IF('ORDENES'!$A44="","",IF('ORDENES'!$M44="",0,'ORDENES'!$M44))</f>
        <v/>
      </c>
      <c r="M66" s="3">
        <f>IF('ORDENES'!$A44="","",IF('ORDENES'!$N44="","-",'ORDENES'!$N44))</f>
        <v/>
      </c>
      <c r="N66" s="3">
        <f>IF('ORDENES'!$A44="","",'ORDENES'!$AD44)</f>
        <v/>
      </c>
    </row>
    <row r="67">
      <c r="A67" s="3">
        <f>IF('ORDENES'!$A45="","",IF('ORDENES'!$O45="","-",'ORDENES'!$O45))</f>
        <v/>
      </c>
      <c r="B67" s="3">
        <f>IF('ORDENES'!$A45="","",IF('ORDENES'!$R45="","-",'ORDENES'!$R45))</f>
        <v/>
      </c>
      <c r="C67" s="3">
        <f>IF('ORDENES'!$A45="","",IF('ORDENES'!$AF45="","-",'ORDENES'!$AF45))</f>
        <v/>
      </c>
      <c r="D67" s="3">
        <f>IF('ORDENES'!$A45="","",IF('ORDENES'!$X45="","-",'ORDENES'!$X45))</f>
        <v/>
      </c>
      <c r="E67" s="3">
        <f>IF('ORDENES'!$A45="","",IF('ORDENES'!$V45="","-",'ORDENES'!$V45))</f>
        <v/>
      </c>
      <c r="F67" s="3">
        <f>IF('ORDENES'!$A45="","",IF('ORDENES'!$Y45="","-",'ORDENES'!$Y45))</f>
        <v/>
      </c>
      <c r="G67" s="3">
        <f>IF('ORDENES'!$A45="","",IF('ORDENES'!$W45="","-",'ORDENES'!$W45))</f>
        <v/>
      </c>
      <c r="H67" s="3">
        <f>IF('ORDENES'!$A45="","",IF('ORDENES'!$AE45="","-",'ORDENES'!$AE45))</f>
        <v/>
      </c>
      <c r="I67" s="3">
        <f>IF('ORDENES'!$A45="","",IF('ORDENES'!$AQ45="","-",'ORDENES'!$AQ45))</f>
        <v/>
      </c>
      <c r="J67" s="3">
        <f>IF('ORDENES'!$A45="","",IF('ORDENES'!$D45="","-",'ORDENES'!$D45))</f>
        <v/>
      </c>
      <c r="K67" s="3">
        <f>IF('ORDENES'!$A45="","",IF('ORDENES'!$E45="","-",'ORDENES'!$E45))</f>
        <v/>
      </c>
      <c r="L67" s="13">
        <f>IF('ORDENES'!$A45="","",IF('ORDENES'!$M45="",0,'ORDENES'!$M45))</f>
        <v/>
      </c>
      <c r="M67" s="3">
        <f>IF('ORDENES'!$A45="","",IF('ORDENES'!$N45="","-",'ORDENES'!$N45))</f>
        <v/>
      </c>
      <c r="N67" s="3">
        <f>IF('ORDENES'!$A45="","",'ORDENES'!$AD45)</f>
        <v/>
      </c>
    </row>
    <row r="68">
      <c r="A68" s="3">
        <f>IF('ORDENES'!$A46="","",IF('ORDENES'!$O46="","-",'ORDENES'!$O46))</f>
        <v/>
      </c>
      <c r="B68" s="3">
        <f>IF('ORDENES'!$A46="","",IF('ORDENES'!$R46="","-",'ORDENES'!$R46))</f>
        <v/>
      </c>
      <c r="C68" s="3">
        <f>IF('ORDENES'!$A46="","",IF('ORDENES'!$AF46="","-",'ORDENES'!$AF46))</f>
        <v/>
      </c>
      <c r="D68" s="3">
        <f>IF('ORDENES'!$A46="","",IF('ORDENES'!$X46="","-",'ORDENES'!$X46))</f>
        <v/>
      </c>
      <c r="E68" s="3">
        <f>IF('ORDENES'!$A46="","",IF('ORDENES'!$V46="","-",'ORDENES'!$V46))</f>
        <v/>
      </c>
      <c r="F68" s="3">
        <f>IF('ORDENES'!$A46="","",IF('ORDENES'!$Y46="","-",'ORDENES'!$Y46))</f>
        <v/>
      </c>
      <c r="G68" s="3">
        <f>IF('ORDENES'!$A46="","",IF('ORDENES'!$W46="","-",'ORDENES'!$W46))</f>
        <v/>
      </c>
      <c r="H68" s="3">
        <f>IF('ORDENES'!$A46="","",IF('ORDENES'!$AE46="","-",'ORDENES'!$AE46))</f>
        <v/>
      </c>
      <c r="I68" s="3">
        <f>IF('ORDENES'!$A46="","",IF('ORDENES'!$AQ46="","-",'ORDENES'!$AQ46))</f>
        <v/>
      </c>
      <c r="J68" s="3">
        <f>IF('ORDENES'!$A46="","",IF('ORDENES'!$D46="","-",'ORDENES'!$D46))</f>
        <v/>
      </c>
      <c r="K68" s="3">
        <f>IF('ORDENES'!$A46="","",IF('ORDENES'!$E46="","-",'ORDENES'!$E46))</f>
        <v/>
      </c>
      <c r="L68" s="13">
        <f>IF('ORDENES'!$A46="","",IF('ORDENES'!$M46="",0,'ORDENES'!$M46))</f>
        <v/>
      </c>
      <c r="M68" s="3">
        <f>IF('ORDENES'!$A46="","",IF('ORDENES'!$N46="","-",'ORDENES'!$N46))</f>
        <v/>
      </c>
      <c r="N68" s="3">
        <f>IF('ORDENES'!$A46="","",'ORDENES'!$AD46)</f>
        <v/>
      </c>
    </row>
    <row r="69">
      <c r="A69" s="3">
        <f>IF('ORDENES'!$A47="","",IF('ORDENES'!$O47="","-",'ORDENES'!$O47))</f>
        <v/>
      </c>
      <c r="B69" s="3">
        <f>IF('ORDENES'!$A47="","",IF('ORDENES'!$R47="","-",'ORDENES'!$R47))</f>
        <v/>
      </c>
      <c r="C69" s="3">
        <f>IF('ORDENES'!$A47="","",IF('ORDENES'!$AF47="","-",'ORDENES'!$AF47))</f>
        <v/>
      </c>
      <c r="D69" s="3">
        <f>IF('ORDENES'!$A47="","",IF('ORDENES'!$X47="","-",'ORDENES'!$X47))</f>
        <v/>
      </c>
      <c r="E69" s="3">
        <f>IF('ORDENES'!$A47="","",IF('ORDENES'!$V47="","-",'ORDENES'!$V47))</f>
        <v/>
      </c>
      <c r="F69" s="3">
        <f>IF('ORDENES'!$A47="","",IF('ORDENES'!$Y47="","-",'ORDENES'!$Y47))</f>
        <v/>
      </c>
      <c r="G69" s="3">
        <f>IF('ORDENES'!$A47="","",IF('ORDENES'!$W47="","-",'ORDENES'!$W47))</f>
        <v/>
      </c>
      <c r="H69" s="3">
        <f>IF('ORDENES'!$A47="","",IF('ORDENES'!$AE47="","-",'ORDENES'!$AE47))</f>
        <v/>
      </c>
      <c r="I69" s="3">
        <f>IF('ORDENES'!$A47="","",IF('ORDENES'!$AQ47="","-",'ORDENES'!$AQ47))</f>
        <v/>
      </c>
      <c r="J69" s="3">
        <f>IF('ORDENES'!$A47="","",IF('ORDENES'!$D47="","-",'ORDENES'!$D47))</f>
        <v/>
      </c>
      <c r="K69" s="3">
        <f>IF('ORDENES'!$A47="","",IF('ORDENES'!$E47="","-",'ORDENES'!$E47))</f>
        <v/>
      </c>
      <c r="L69" s="13">
        <f>IF('ORDENES'!$A47="","",IF('ORDENES'!$M47="",0,'ORDENES'!$M47))</f>
        <v/>
      </c>
      <c r="M69" s="3">
        <f>IF('ORDENES'!$A47="","",IF('ORDENES'!$N47="","-",'ORDENES'!$N47))</f>
        <v/>
      </c>
      <c r="N69" s="3">
        <f>IF('ORDENES'!$A47="","",'ORDENES'!$AD47)</f>
        <v/>
      </c>
    </row>
    <row r="70">
      <c r="A70" s="3">
        <f>IF('ORDENES'!$A48="","",IF('ORDENES'!$O48="","-",'ORDENES'!$O48))</f>
        <v/>
      </c>
      <c r="B70" s="3">
        <f>IF('ORDENES'!$A48="","",IF('ORDENES'!$R48="","-",'ORDENES'!$R48))</f>
        <v/>
      </c>
      <c r="C70" s="3">
        <f>IF('ORDENES'!$A48="","",IF('ORDENES'!$AF48="","-",'ORDENES'!$AF48))</f>
        <v/>
      </c>
      <c r="D70" s="3">
        <f>IF('ORDENES'!$A48="","",IF('ORDENES'!$X48="","-",'ORDENES'!$X48))</f>
        <v/>
      </c>
      <c r="E70" s="3">
        <f>IF('ORDENES'!$A48="","",IF('ORDENES'!$V48="","-",'ORDENES'!$V48))</f>
        <v/>
      </c>
      <c r="F70" s="3">
        <f>IF('ORDENES'!$A48="","",IF('ORDENES'!$Y48="","-",'ORDENES'!$Y48))</f>
        <v/>
      </c>
      <c r="G70" s="3">
        <f>IF('ORDENES'!$A48="","",IF('ORDENES'!$W48="","-",'ORDENES'!$W48))</f>
        <v/>
      </c>
      <c r="H70" s="3">
        <f>IF('ORDENES'!$A48="","",IF('ORDENES'!$AE48="","-",'ORDENES'!$AE48))</f>
        <v/>
      </c>
      <c r="I70" s="3">
        <f>IF('ORDENES'!$A48="","",IF('ORDENES'!$AQ48="","-",'ORDENES'!$AQ48))</f>
        <v/>
      </c>
      <c r="J70" s="3">
        <f>IF('ORDENES'!$A48="","",IF('ORDENES'!$D48="","-",'ORDENES'!$D48))</f>
        <v/>
      </c>
      <c r="K70" s="3">
        <f>IF('ORDENES'!$A48="","",IF('ORDENES'!$E48="","-",'ORDENES'!$E48))</f>
        <v/>
      </c>
      <c r="L70" s="13">
        <f>IF('ORDENES'!$A48="","",IF('ORDENES'!$M48="",0,'ORDENES'!$M48))</f>
        <v/>
      </c>
      <c r="M70" s="3">
        <f>IF('ORDENES'!$A48="","",IF('ORDENES'!$N48="","-",'ORDENES'!$N48))</f>
        <v/>
      </c>
      <c r="N70" s="3">
        <f>IF('ORDENES'!$A48="","",'ORDENES'!$AD48)</f>
        <v/>
      </c>
    </row>
    <row r="71">
      <c r="A71" s="3">
        <f>IF('ORDENES'!$A49="","",IF('ORDENES'!$O49="","-",'ORDENES'!$O49))</f>
        <v/>
      </c>
      <c r="B71" s="3">
        <f>IF('ORDENES'!$A49="","",IF('ORDENES'!$R49="","-",'ORDENES'!$R49))</f>
        <v/>
      </c>
      <c r="C71" s="3">
        <f>IF('ORDENES'!$A49="","",IF('ORDENES'!$AF49="","-",'ORDENES'!$AF49))</f>
        <v/>
      </c>
      <c r="D71" s="3">
        <f>IF('ORDENES'!$A49="","",IF('ORDENES'!$X49="","-",'ORDENES'!$X49))</f>
        <v/>
      </c>
      <c r="E71" s="3">
        <f>IF('ORDENES'!$A49="","",IF('ORDENES'!$V49="","-",'ORDENES'!$V49))</f>
        <v/>
      </c>
      <c r="F71" s="3">
        <f>IF('ORDENES'!$A49="","",IF('ORDENES'!$Y49="","-",'ORDENES'!$Y49))</f>
        <v/>
      </c>
      <c r="G71" s="3">
        <f>IF('ORDENES'!$A49="","",IF('ORDENES'!$W49="","-",'ORDENES'!$W49))</f>
        <v/>
      </c>
      <c r="H71" s="3">
        <f>IF('ORDENES'!$A49="","",IF('ORDENES'!$AE49="","-",'ORDENES'!$AE49))</f>
        <v/>
      </c>
      <c r="I71" s="3">
        <f>IF('ORDENES'!$A49="","",IF('ORDENES'!$AQ49="","-",'ORDENES'!$AQ49))</f>
        <v/>
      </c>
      <c r="J71" s="3">
        <f>IF('ORDENES'!$A49="","",IF('ORDENES'!$D49="","-",'ORDENES'!$D49))</f>
        <v/>
      </c>
      <c r="K71" s="3">
        <f>IF('ORDENES'!$A49="","",IF('ORDENES'!$E49="","-",'ORDENES'!$E49))</f>
        <v/>
      </c>
      <c r="L71" s="13">
        <f>IF('ORDENES'!$A49="","",IF('ORDENES'!$M49="",0,'ORDENES'!$M49))</f>
        <v/>
      </c>
      <c r="M71" s="3">
        <f>IF('ORDENES'!$A49="","",IF('ORDENES'!$N49="","-",'ORDENES'!$N49))</f>
        <v/>
      </c>
      <c r="N71" s="3">
        <f>IF('ORDENES'!$A49="","",'ORDENES'!$AD49)</f>
        <v/>
      </c>
    </row>
    <row r="72">
      <c r="A72" s="3">
        <f>IF('ORDENES'!$A50="","",IF('ORDENES'!$O50="","-",'ORDENES'!$O50))</f>
        <v/>
      </c>
      <c r="B72" s="3">
        <f>IF('ORDENES'!$A50="","",IF('ORDENES'!$R50="","-",'ORDENES'!$R50))</f>
        <v/>
      </c>
      <c r="C72" s="3">
        <f>IF('ORDENES'!$A50="","",IF('ORDENES'!$AF50="","-",'ORDENES'!$AF50))</f>
        <v/>
      </c>
      <c r="D72" s="3">
        <f>IF('ORDENES'!$A50="","",IF('ORDENES'!$X50="","-",'ORDENES'!$X50))</f>
        <v/>
      </c>
      <c r="E72" s="3">
        <f>IF('ORDENES'!$A50="","",IF('ORDENES'!$V50="","-",'ORDENES'!$V50))</f>
        <v/>
      </c>
      <c r="F72" s="3">
        <f>IF('ORDENES'!$A50="","",IF('ORDENES'!$Y50="","-",'ORDENES'!$Y50))</f>
        <v/>
      </c>
      <c r="G72" s="3">
        <f>IF('ORDENES'!$A50="","",IF('ORDENES'!$W50="","-",'ORDENES'!$W50))</f>
        <v/>
      </c>
      <c r="H72" s="3">
        <f>IF('ORDENES'!$A50="","",IF('ORDENES'!$AE50="","-",'ORDENES'!$AE50))</f>
        <v/>
      </c>
      <c r="I72" s="3">
        <f>IF('ORDENES'!$A50="","",IF('ORDENES'!$AQ50="","-",'ORDENES'!$AQ50))</f>
        <v/>
      </c>
      <c r="J72" s="3">
        <f>IF('ORDENES'!$A50="","",IF('ORDENES'!$D50="","-",'ORDENES'!$D50))</f>
        <v/>
      </c>
      <c r="K72" s="3">
        <f>IF('ORDENES'!$A50="","",IF('ORDENES'!$E50="","-",'ORDENES'!$E50))</f>
        <v/>
      </c>
      <c r="L72" s="13">
        <f>IF('ORDENES'!$A50="","",IF('ORDENES'!$M50="",0,'ORDENES'!$M50))</f>
        <v/>
      </c>
      <c r="M72" s="3">
        <f>IF('ORDENES'!$A50="","",IF('ORDENES'!$N50="","-",'ORDENES'!$N50))</f>
        <v/>
      </c>
      <c r="N72" s="3">
        <f>IF('ORDENES'!$A50="","",'ORDENES'!$AD50)</f>
        <v/>
      </c>
    </row>
    <row r="73">
      <c r="A73" s="3">
        <f>IF('ORDENES'!$A51="","",IF('ORDENES'!$O51="","-",'ORDENES'!$O51))</f>
        <v/>
      </c>
      <c r="B73" s="3">
        <f>IF('ORDENES'!$A51="","",IF('ORDENES'!$R51="","-",'ORDENES'!$R51))</f>
        <v/>
      </c>
      <c r="C73" s="3">
        <f>IF('ORDENES'!$A51="","",IF('ORDENES'!$AF51="","-",'ORDENES'!$AF51))</f>
        <v/>
      </c>
      <c r="D73" s="3">
        <f>IF('ORDENES'!$A51="","",IF('ORDENES'!$X51="","-",'ORDENES'!$X51))</f>
        <v/>
      </c>
      <c r="E73" s="3">
        <f>IF('ORDENES'!$A51="","",IF('ORDENES'!$V51="","-",'ORDENES'!$V51))</f>
        <v/>
      </c>
      <c r="F73" s="3">
        <f>IF('ORDENES'!$A51="","",IF('ORDENES'!$Y51="","-",'ORDENES'!$Y51))</f>
        <v/>
      </c>
      <c r="G73" s="3">
        <f>IF('ORDENES'!$A51="","",IF('ORDENES'!$W51="","-",'ORDENES'!$W51))</f>
        <v/>
      </c>
      <c r="H73" s="3">
        <f>IF('ORDENES'!$A51="","",IF('ORDENES'!$AE51="","-",'ORDENES'!$AE51))</f>
        <v/>
      </c>
      <c r="I73" s="3">
        <f>IF('ORDENES'!$A51="","",IF('ORDENES'!$AQ51="","-",'ORDENES'!$AQ51))</f>
        <v/>
      </c>
      <c r="J73" s="3">
        <f>IF('ORDENES'!$A51="","",IF('ORDENES'!$D51="","-",'ORDENES'!$D51))</f>
        <v/>
      </c>
      <c r="K73" s="3">
        <f>IF('ORDENES'!$A51="","",IF('ORDENES'!$E51="","-",'ORDENES'!$E51))</f>
        <v/>
      </c>
      <c r="L73" s="13">
        <f>IF('ORDENES'!$A51="","",IF('ORDENES'!$M51="",0,'ORDENES'!$M51))</f>
        <v/>
      </c>
      <c r="M73" s="3">
        <f>IF('ORDENES'!$A51="","",IF('ORDENES'!$N51="","-",'ORDENES'!$N51))</f>
        <v/>
      </c>
      <c r="N73" s="3">
        <f>IF('ORDENES'!$A51="","",'ORDENES'!$AD51)</f>
        <v/>
      </c>
    </row>
    <row r="74">
      <c r="A74" s="3">
        <f>IF('ORDENES'!$A52="","",IF('ORDENES'!$O52="","-",'ORDENES'!$O52))</f>
        <v/>
      </c>
      <c r="B74" s="3">
        <f>IF('ORDENES'!$A52="","",IF('ORDENES'!$R52="","-",'ORDENES'!$R52))</f>
        <v/>
      </c>
      <c r="C74" s="3">
        <f>IF('ORDENES'!$A52="","",IF('ORDENES'!$AF52="","-",'ORDENES'!$AF52))</f>
        <v/>
      </c>
      <c r="D74" s="3">
        <f>IF('ORDENES'!$A52="","",IF('ORDENES'!$X52="","-",'ORDENES'!$X52))</f>
        <v/>
      </c>
      <c r="E74" s="3">
        <f>IF('ORDENES'!$A52="","",IF('ORDENES'!$V52="","-",'ORDENES'!$V52))</f>
        <v/>
      </c>
      <c r="F74" s="3">
        <f>IF('ORDENES'!$A52="","",IF('ORDENES'!$Y52="","-",'ORDENES'!$Y52))</f>
        <v/>
      </c>
      <c r="G74" s="3">
        <f>IF('ORDENES'!$A52="","",IF('ORDENES'!$W52="","-",'ORDENES'!$W52))</f>
        <v/>
      </c>
      <c r="H74" s="3">
        <f>IF('ORDENES'!$A52="","",IF('ORDENES'!$AE52="","-",'ORDENES'!$AE52))</f>
        <v/>
      </c>
      <c r="I74" s="3">
        <f>IF('ORDENES'!$A52="","",IF('ORDENES'!$AQ52="","-",'ORDENES'!$AQ52))</f>
        <v/>
      </c>
      <c r="J74" s="3">
        <f>IF('ORDENES'!$A52="","",IF('ORDENES'!$D52="","-",'ORDENES'!$D52))</f>
        <v/>
      </c>
      <c r="K74" s="3">
        <f>IF('ORDENES'!$A52="","",IF('ORDENES'!$E52="","-",'ORDENES'!$E52))</f>
        <v/>
      </c>
      <c r="L74" s="13">
        <f>IF('ORDENES'!$A52="","",IF('ORDENES'!$M52="",0,'ORDENES'!$M52))</f>
        <v/>
      </c>
      <c r="M74" s="3">
        <f>IF('ORDENES'!$A52="","",IF('ORDENES'!$N52="","-",'ORDENES'!$N52))</f>
        <v/>
      </c>
      <c r="N74" s="3">
        <f>IF('ORDENES'!$A52="","",'ORDENES'!$AD52)</f>
        <v/>
      </c>
    </row>
    <row r="75">
      <c r="A75" s="3">
        <f>IF('ORDENES'!$A53="","",IF('ORDENES'!$O53="","-",'ORDENES'!$O53))</f>
        <v/>
      </c>
      <c r="B75" s="3">
        <f>IF('ORDENES'!$A53="","",IF('ORDENES'!$R53="","-",'ORDENES'!$R53))</f>
        <v/>
      </c>
      <c r="C75" s="3">
        <f>IF('ORDENES'!$A53="","",IF('ORDENES'!$AF53="","-",'ORDENES'!$AF53))</f>
        <v/>
      </c>
      <c r="D75" s="3">
        <f>IF('ORDENES'!$A53="","",IF('ORDENES'!$X53="","-",'ORDENES'!$X53))</f>
        <v/>
      </c>
      <c r="E75" s="3">
        <f>IF('ORDENES'!$A53="","",IF('ORDENES'!$V53="","-",'ORDENES'!$V53))</f>
        <v/>
      </c>
      <c r="F75" s="3">
        <f>IF('ORDENES'!$A53="","",IF('ORDENES'!$Y53="","-",'ORDENES'!$Y53))</f>
        <v/>
      </c>
      <c r="G75" s="3">
        <f>IF('ORDENES'!$A53="","",IF('ORDENES'!$W53="","-",'ORDENES'!$W53))</f>
        <v/>
      </c>
      <c r="H75" s="3">
        <f>IF('ORDENES'!$A53="","",IF('ORDENES'!$AE53="","-",'ORDENES'!$AE53))</f>
        <v/>
      </c>
      <c r="I75" s="3">
        <f>IF('ORDENES'!$A53="","",IF('ORDENES'!$AQ53="","-",'ORDENES'!$AQ53))</f>
        <v/>
      </c>
      <c r="J75" s="3">
        <f>IF('ORDENES'!$A53="","",IF('ORDENES'!$D53="","-",'ORDENES'!$D53))</f>
        <v/>
      </c>
      <c r="K75" s="3">
        <f>IF('ORDENES'!$A53="","",IF('ORDENES'!$E53="","-",'ORDENES'!$E53))</f>
        <v/>
      </c>
      <c r="L75" s="13">
        <f>IF('ORDENES'!$A53="","",IF('ORDENES'!$M53="",0,'ORDENES'!$M53))</f>
        <v/>
      </c>
      <c r="M75" s="3">
        <f>IF('ORDENES'!$A53="","",IF('ORDENES'!$N53="","-",'ORDENES'!$N53))</f>
        <v/>
      </c>
      <c r="N75" s="3">
        <f>IF('ORDENES'!$A53="","",'ORDENES'!$AD53)</f>
        <v/>
      </c>
    </row>
    <row r="76">
      <c r="A76" s="3">
        <f>IF('ORDENES'!$A54="","",IF('ORDENES'!$O54="","-",'ORDENES'!$O54))</f>
        <v/>
      </c>
      <c r="B76" s="3">
        <f>IF('ORDENES'!$A54="","",IF('ORDENES'!$R54="","-",'ORDENES'!$R54))</f>
        <v/>
      </c>
      <c r="C76" s="3">
        <f>IF('ORDENES'!$A54="","",IF('ORDENES'!$AF54="","-",'ORDENES'!$AF54))</f>
        <v/>
      </c>
      <c r="D76" s="3">
        <f>IF('ORDENES'!$A54="","",IF('ORDENES'!$X54="","-",'ORDENES'!$X54))</f>
        <v/>
      </c>
      <c r="E76" s="3">
        <f>IF('ORDENES'!$A54="","",IF('ORDENES'!$V54="","-",'ORDENES'!$V54))</f>
        <v/>
      </c>
      <c r="F76" s="3">
        <f>IF('ORDENES'!$A54="","",IF('ORDENES'!$Y54="","-",'ORDENES'!$Y54))</f>
        <v/>
      </c>
      <c r="G76" s="3">
        <f>IF('ORDENES'!$A54="","",IF('ORDENES'!$W54="","-",'ORDENES'!$W54))</f>
        <v/>
      </c>
      <c r="H76" s="3">
        <f>IF('ORDENES'!$A54="","",IF('ORDENES'!$AE54="","-",'ORDENES'!$AE54))</f>
        <v/>
      </c>
      <c r="I76" s="3">
        <f>IF('ORDENES'!$A54="","",IF('ORDENES'!$AQ54="","-",'ORDENES'!$AQ54))</f>
        <v/>
      </c>
      <c r="J76" s="3">
        <f>IF('ORDENES'!$A54="","",IF('ORDENES'!$D54="","-",'ORDENES'!$D54))</f>
        <v/>
      </c>
      <c r="K76" s="3">
        <f>IF('ORDENES'!$A54="","",IF('ORDENES'!$E54="","-",'ORDENES'!$E54))</f>
        <v/>
      </c>
      <c r="L76" s="13">
        <f>IF('ORDENES'!$A54="","",IF('ORDENES'!$M54="",0,'ORDENES'!$M54))</f>
        <v/>
      </c>
      <c r="M76" s="3">
        <f>IF('ORDENES'!$A54="","",IF('ORDENES'!$N54="","-",'ORDENES'!$N54))</f>
        <v/>
      </c>
      <c r="N76" s="3">
        <f>IF('ORDENES'!$A54="","",'ORDENES'!$AD54)</f>
        <v/>
      </c>
    </row>
    <row r="77">
      <c r="A77" s="3">
        <f>IF('ORDENES'!$A55="","",IF('ORDENES'!$O55="","-",'ORDENES'!$O55))</f>
        <v/>
      </c>
      <c r="B77" s="3">
        <f>IF('ORDENES'!$A55="","",IF('ORDENES'!$R55="","-",'ORDENES'!$R55))</f>
        <v/>
      </c>
      <c r="C77" s="3">
        <f>IF('ORDENES'!$A55="","",IF('ORDENES'!$AF55="","-",'ORDENES'!$AF55))</f>
        <v/>
      </c>
      <c r="D77" s="3">
        <f>IF('ORDENES'!$A55="","",IF('ORDENES'!$X55="","-",'ORDENES'!$X55))</f>
        <v/>
      </c>
      <c r="E77" s="3">
        <f>IF('ORDENES'!$A55="","",IF('ORDENES'!$V55="","-",'ORDENES'!$V55))</f>
        <v/>
      </c>
      <c r="F77" s="3">
        <f>IF('ORDENES'!$A55="","",IF('ORDENES'!$Y55="","-",'ORDENES'!$Y55))</f>
        <v/>
      </c>
      <c r="G77" s="3">
        <f>IF('ORDENES'!$A55="","",IF('ORDENES'!$W55="","-",'ORDENES'!$W55))</f>
        <v/>
      </c>
      <c r="H77" s="3">
        <f>IF('ORDENES'!$A55="","",IF('ORDENES'!$AE55="","-",'ORDENES'!$AE55))</f>
        <v/>
      </c>
      <c r="I77" s="3">
        <f>IF('ORDENES'!$A55="","",IF('ORDENES'!$AQ55="","-",'ORDENES'!$AQ55))</f>
        <v/>
      </c>
      <c r="J77" s="3">
        <f>IF('ORDENES'!$A55="","",IF('ORDENES'!$D55="","-",'ORDENES'!$D55))</f>
        <v/>
      </c>
      <c r="K77" s="3">
        <f>IF('ORDENES'!$A55="","",IF('ORDENES'!$E55="","-",'ORDENES'!$E55))</f>
        <v/>
      </c>
      <c r="L77" s="13">
        <f>IF('ORDENES'!$A55="","",IF('ORDENES'!$M55="",0,'ORDENES'!$M55))</f>
        <v/>
      </c>
      <c r="M77" s="3">
        <f>IF('ORDENES'!$A55="","",IF('ORDENES'!$N55="","-",'ORDENES'!$N55))</f>
        <v/>
      </c>
      <c r="N77" s="3">
        <f>IF('ORDENES'!$A55="","",'ORDENES'!$AD55)</f>
        <v/>
      </c>
    </row>
    <row r="78">
      <c r="A78" s="3">
        <f>IF('ORDENES'!$A56="","",IF('ORDENES'!$O56="","-",'ORDENES'!$O56))</f>
        <v/>
      </c>
      <c r="B78" s="3">
        <f>IF('ORDENES'!$A56="","",IF('ORDENES'!$R56="","-",'ORDENES'!$R56))</f>
        <v/>
      </c>
      <c r="C78" s="3">
        <f>IF('ORDENES'!$A56="","",IF('ORDENES'!$AF56="","-",'ORDENES'!$AF56))</f>
        <v/>
      </c>
      <c r="D78" s="3">
        <f>IF('ORDENES'!$A56="","",IF('ORDENES'!$X56="","-",'ORDENES'!$X56))</f>
        <v/>
      </c>
      <c r="E78" s="3">
        <f>IF('ORDENES'!$A56="","",IF('ORDENES'!$V56="","-",'ORDENES'!$V56))</f>
        <v/>
      </c>
      <c r="F78" s="3">
        <f>IF('ORDENES'!$A56="","",IF('ORDENES'!$Y56="","-",'ORDENES'!$Y56))</f>
        <v/>
      </c>
      <c r="G78" s="3">
        <f>IF('ORDENES'!$A56="","",IF('ORDENES'!$W56="","-",'ORDENES'!$W56))</f>
        <v/>
      </c>
      <c r="H78" s="3">
        <f>IF('ORDENES'!$A56="","",IF('ORDENES'!$AE56="","-",'ORDENES'!$AE56))</f>
        <v/>
      </c>
      <c r="I78" s="3">
        <f>IF('ORDENES'!$A56="","",IF('ORDENES'!$AQ56="","-",'ORDENES'!$AQ56))</f>
        <v/>
      </c>
      <c r="J78" s="3">
        <f>IF('ORDENES'!$A56="","",IF('ORDENES'!$D56="","-",'ORDENES'!$D56))</f>
        <v/>
      </c>
      <c r="K78" s="3">
        <f>IF('ORDENES'!$A56="","",IF('ORDENES'!$E56="","-",'ORDENES'!$E56))</f>
        <v/>
      </c>
      <c r="L78" s="13">
        <f>IF('ORDENES'!$A56="","",IF('ORDENES'!$M56="",0,'ORDENES'!$M56))</f>
        <v/>
      </c>
      <c r="M78" s="3">
        <f>IF('ORDENES'!$A56="","",IF('ORDENES'!$N56="","-",'ORDENES'!$N56))</f>
        <v/>
      </c>
      <c r="N78" s="3">
        <f>IF('ORDENES'!$A56="","",'ORDENES'!$AD56)</f>
        <v/>
      </c>
    </row>
    <row r="79">
      <c r="A79" s="3">
        <f>IF('ORDENES'!$A57="","",IF('ORDENES'!$O57="","-",'ORDENES'!$O57))</f>
        <v/>
      </c>
      <c r="B79" s="3">
        <f>IF('ORDENES'!$A57="","",IF('ORDENES'!$R57="","-",'ORDENES'!$R57))</f>
        <v/>
      </c>
      <c r="C79" s="3">
        <f>IF('ORDENES'!$A57="","",IF('ORDENES'!$AF57="","-",'ORDENES'!$AF57))</f>
        <v/>
      </c>
      <c r="D79" s="3">
        <f>IF('ORDENES'!$A57="","",IF('ORDENES'!$X57="","-",'ORDENES'!$X57))</f>
        <v/>
      </c>
      <c r="E79" s="3">
        <f>IF('ORDENES'!$A57="","",IF('ORDENES'!$V57="","-",'ORDENES'!$V57))</f>
        <v/>
      </c>
      <c r="F79" s="3">
        <f>IF('ORDENES'!$A57="","",IF('ORDENES'!$Y57="","-",'ORDENES'!$Y57))</f>
        <v/>
      </c>
      <c r="G79" s="3">
        <f>IF('ORDENES'!$A57="","",IF('ORDENES'!$W57="","-",'ORDENES'!$W57))</f>
        <v/>
      </c>
      <c r="H79" s="3">
        <f>IF('ORDENES'!$A57="","",IF('ORDENES'!$AE57="","-",'ORDENES'!$AE57))</f>
        <v/>
      </c>
      <c r="I79" s="3">
        <f>IF('ORDENES'!$A57="","",IF('ORDENES'!$AQ57="","-",'ORDENES'!$AQ57))</f>
        <v/>
      </c>
      <c r="J79" s="3">
        <f>IF('ORDENES'!$A57="","",IF('ORDENES'!$D57="","-",'ORDENES'!$D57))</f>
        <v/>
      </c>
      <c r="K79" s="3">
        <f>IF('ORDENES'!$A57="","",IF('ORDENES'!$E57="","-",'ORDENES'!$E57))</f>
        <v/>
      </c>
      <c r="L79" s="13">
        <f>IF('ORDENES'!$A57="","",IF('ORDENES'!$M57="",0,'ORDENES'!$M57))</f>
        <v/>
      </c>
      <c r="M79" s="3">
        <f>IF('ORDENES'!$A57="","",IF('ORDENES'!$N57="","-",'ORDENES'!$N57))</f>
        <v/>
      </c>
      <c r="N79" s="3">
        <f>IF('ORDENES'!$A57="","",'ORDENES'!$AD57)</f>
        <v/>
      </c>
    </row>
    <row r="80">
      <c r="A80" s="3">
        <f>IF('ORDENES'!$A58="","",IF('ORDENES'!$O58="","-",'ORDENES'!$O58))</f>
        <v/>
      </c>
      <c r="B80" s="3">
        <f>IF('ORDENES'!$A58="","",IF('ORDENES'!$R58="","-",'ORDENES'!$R58))</f>
        <v/>
      </c>
      <c r="C80" s="3">
        <f>IF('ORDENES'!$A58="","",IF('ORDENES'!$AF58="","-",'ORDENES'!$AF58))</f>
        <v/>
      </c>
      <c r="D80" s="3">
        <f>IF('ORDENES'!$A58="","",IF('ORDENES'!$X58="","-",'ORDENES'!$X58))</f>
        <v/>
      </c>
      <c r="E80" s="3">
        <f>IF('ORDENES'!$A58="","",IF('ORDENES'!$V58="","-",'ORDENES'!$V58))</f>
        <v/>
      </c>
      <c r="F80" s="3">
        <f>IF('ORDENES'!$A58="","",IF('ORDENES'!$Y58="","-",'ORDENES'!$Y58))</f>
        <v/>
      </c>
      <c r="G80" s="3">
        <f>IF('ORDENES'!$A58="","",IF('ORDENES'!$W58="","-",'ORDENES'!$W58))</f>
        <v/>
      </c>
      <c r="H80" s="3">
        <f>IF('ORDENES'!$A58="","",IF('ORDENES'!$AE58="","-",'ORDENES'!$AE58))</f>
        <v/>
      </c>
      <c r="I80" s="3">
        <f>IF('ORDENES'!$A58="","",IF('ORDENES'!$AQ58="","-",'ORDENES'!$AQ58))</f>
        <v/>
      </c>
      <c r="J80" s="3">
        <f>IF('ORDENES'!$A58="","",IF('ORDENES'!$D58="","-",'ORDENES'!$D58))</f>
        <v/>
      </c>
      <c r="K80" s="3">
        <f>IF('ORDENES'!$A58="","",IF('ORDENES'!$E58="","-",'ORDENES'!$E58))</f>
        <v/>
      </c>
      <c r="L80" s="13">
        <f>IF('ORDENES'!$A58="","",IF('ORDENES'!$M58="",0,'ORDENES'!$M58))</f>
        <v/>
      </c>
      <c r="M80" s="3">
        <f>IF('ORDENES'!$A58="","",IF('ORDENES'!$N58="","-",'ORDENES'!$N58))</f>
        <v/>
      </c>
      <c r="N80" s="3">
        <f>IF('ORDENES'!$A58="","",'ORDENES'!$AD58)</f>
        <v/>
      </c>
    </row>
    <row r="81">
      <c r="A81" s="3">
        <f>IF('ORDENES'!$A59="","",IF('ORDENES'!$O59="","-",'ORDENES'!$O59))</f>
        <v/>
      </c>
      <c r="B81" s="3">
        <f>IF('ORDENES'!$A59="","",IF('ORDENES'!$R59="","-",'ORDENES'!$R59))</f>
        <v/>
      </c>
      <c r="C81" s="3">
        <f>IF('ORDENES'!$A59="","",IF('ORDENES'!$AF59="","-",'ORDENES'!$AF59))</f>
        <v/>
      </c>
      <c r="D81" s="3">
        <f>IF('ORDENES'!$A59="","",IF('ORDENES'!$X59="","-",'ORDENES'!$X59))</f>
        <v/>
      </c>
      <c r="E81" s="3">
        <f>IF('ORDENES'!$A59="","",IF('ORDENES'!$V59="","-",'ORDENES'!$V59))</f>
        <v/>
      </c>
      <c r="F81" s="3">
        <f>IF('ORDENES'!$A59="","",IF('ORDENES'!$Y59="","-",'ORDENES'!$Y59))</f>
        <v/>
      </c>
      <c r="G81" s="3">
        <f>IF('ORDENES'!$A59="","",IF('ORDENES'!$W59="","-",'ORDENES'!$W59))</f>
        <v/>
      </c>
      <c r="H81" s="3">
        <f>IF('ORDENES'!$A59="","",IF('ORDENES'!$AE59="","-",'ORDENES'!$AE59))</f>
        <v/>
      </c>
      <c r="I81" s="3">
        <f>IF('ORDENES'!$A59="","",IF('ORDENES'!$AQ59="","-",'ORDENES'!$AQ59))</f>
        <v/>
      </c>
      <c r="J81" s="3">
        <f>IF('ORDENES'!$A59="","",IF('ORDENES'!$D59="","-",'ORDENES'!$D59))</f>
        <v/>
      </c>
      <c r="K81" s="3">
        <f>IF('ORDENES'!$A59="","",IF('ORDENES'!$E59="","-",'ORDENES'!$E59))</f>
        <v/>
      </c>
      <c r="L81" s="13">
        <f>IF('ORDENES'!$A59="","",IF('ORDENES'!$M59="",0,'ORDENES'!$M59))</f>
        <v/>
      </c>
      <c r="M81" s="3">
        <f>IF('ORDENES'!$A59="","",IF('ORDENES'!$N59="","-",'ORDENES'!$N59))</f>
        <v/>
      </c>
      <c r="N81" s="3">
        <f>IF('ORDENES'!$A59="","",'ORDENES'!$AD59)</f>
        <v/>
      </c>
    </row>
    <row r="82">
      <c r="A82" s="3">
        <f>IF('ORDENES'!$A60="","",IF('ORDENES'!$O60="","-",'ORDENES'!$O60))</f>
        <v/>
      </c>
      <c r="B82" s="3">
        <f>IF('ORDENES'!$A60="","",IF('ORDENES'!$R60="","-",'ORDENES'!$R60))</f>
        <v/>
      </c>
      <c r="C82" s="3">
        <f>IF('ORDENES'!$A60="","",IF('ORDENES'!$AF60="","-",'ORDENES'!$AF60))</f>
        <v/>
      </c>
      <c r="D82" s="3">
        <f>IF('ORDENES'!$A60="","",IF('ORDENES'!$X60="","-",'ORDENES'!$X60))</f>
        <v/>
      </c>
      <c r="E82" s="3">
        <f>IF('ORDENES'!$A60="","",IF('ORDENES'!$V60="","-",'ORDENES'!$V60))</f>
        <v/>
      </c>
      <c r="F82" s="3">
        <f>IF('ORDENES'!$A60="","",IF('ORDENES'!$Y60="","-",'ORDENES'!$Y60))</f>
        <v/>
      </c>
      <c r="G82" s="3">
        <f>IF('ORDENES'!$A60="","",IF('ORDENES'!$W60="","-",'ORDENES'!$W60))</f>
        <v/>
      </c>
      <c r="H82" s="3">
        <f>IF('ORDENES'!$A60="","",IF('ORDENES'!$AE60="","-",'ORDENES'!$AE60))</f>
        <v/>
      </c>
      <c r="I82" s="3">
        <f>IF('ORDENES'!$A60="","",IF('ORDENES'!$AQ60="","-",'ORDENES'!$AQ60))</f>
        <v/>
      </c>
      <c r="J82" s="3">
        <f>IF('ORDENES'!$A60="","",IF('ORDENES'!$D60="","-",'ORDENES'!$D60))</f>
        <v/>
      </c>
      <c r="K82" s="3">
        <f>IF('ORDENES'!$A60="","",IF('ORDENES'!$E60="","-",'ORDENES'!$E60))</f>
        <v/>
      </c>
      <c r="L82" s="13">
        <f>IF('ORDENES'!$A60="","",IF('ORDENES'!$M60="",0,'ORDENES'!$M60))</f>
        <v/>
      </c>
      <c r="M82" s="3">
        <f>IF('ORDENES'!$A60="","",IF('ORDENES'!$N60="","-",'ORDENES'!$N60))</f>
        <v/>
      </c>
      <c r="N82" s="3">
        <f>IF('ORDENES'!$A60="","",'ORDENES'!$AD60)</f>
        <v/>
      </c>
    </row>
    <row r="83">
      <c r="A83" s="3">
        <f>IF('ORDENES'!$A61="","",IF('ORDENES'!$O61="","-",'ORDENES'!$O61))</f>
        <v/>
      </c>
      <c r="B83" s="3">
        <f>IF('ORDENES'!$A61="","",IF('ORDENES'!$R61="","-",'ORDENES'!$R61))</f>
        <v/>
      </c>
      <c r="C83" s="3">
        <f>IF('ORDENES'!$A61="","",IF('ORDENES'!$AF61="","-",'ORDENES'!$AF61))</f>
        <v/>
      </c>
      <c r="D83" s="3">
        <f>IF('ORDENES'!$A61="","",IF('ORDENES'!$X61="","-",'ORDENES'!$X61))</f>
        <v/>
      </c>
      <c r="E83" s="3">
        <f>IF('ORDENES'!$A61="","",IF('ORDENES'!$V61="","-",'ORDENES'!$V61))</f>
        <v/>
      </c>
      <c r="F83" s="3">
        <f>IF('ORDENES'!$A61="","",IF('ORDENES'!$Y61="","-",'ORDENES'!$Y61))</f>
        <v/>
      </c>
      <c r="G83" s="3">
        <f>IF('ORDENES'!$A61="","",IF('ORDENES'!$W61="","-",'ORDENES'!$W61))</f>
        <v/>
      </c>
      <c r="H83" s="3">
        <f>IF('ORDENES'!$A61="","",IF('ORDENES'!$AE61="","-",'ORDENES'!$AE61))</f>
        <v/>
      </c>
      <c r="I83" s="3">
        <f>IF('ORDENES'!$A61="","",IF('ORDENES'!$AQ61="","-",'ORDENES'!$AQ61))</f>
        <v/>
      </c>
      <c r="J83" s="3">
        <f>IF('ORDENES'!$A61="","",IF('ORDENES'!$D61="","-",'ORDENES'!$D61))</f>
        <v/>
      </c>
      <c r="K83" s="3">
        <f>IF('ORDENES'!$A61="","",IF('ORDENES'!$E61="","-",'ORDENES'!$E61))</f>
        <v/>
      </c>
      <c r="L83" s="13">
        <f>IF('ORDENES'!$A61="","",IF('ORDENES'!$M61="",0,'ORDENES'!$M61))</f>
        <v/>
      </c>
      <c r="M83" s="3">
        <f>IF('ORDENES'!$A61="","",IF('ORDENES'!$N61="","-",'ORDENES'!$N61))</f>
        <v/>
      </c>
      <c r="N83" s="3">
        <f>IF('ORDENES'!$A61="","",'ORDENES'!$AD61)</f>
        <v/>
      </c>
    </row>
    <row r="84">
      <c r="A84" s="3">
        <f>IF('ORDENES'!$A62="","",IF('ORDENES'!$O62="","-",'ORDENES'!$O62))</f>
        <v/>
      </c>
      <c r="B84" s="3">
        <f>IF('ORDENES'!$A62="","",IF('ORDENES'!$R62="","-",'ORDENES'!$R62))</f>
        <v/>
      </c>
      <c r="C84" s="3">
        <f>IF('ORDENES'!$A62="","",IF('ORDENES'!$AF62="","-",'ORDENES'!$AF62))</f>
        <v/>
      </c>
      <c r="D84" s="3">
        <f>IF('ORDENES'!$A62="","",IF('ORDENES'!$X62="","-",'ORDENES'!$X62))</f>
        <v/>
      </c>
      <c r="E84" s="3">
        <f>IF('ORDENES'!$A62="","",IF('ORDENES'!$V62="","-",'ORDENES'!$V62))</f>
        <v/>
      </c>
      <c r="F84" s="3">
        <f>IF('ORDENES'!$A62="","",IF('ORDENES'!$Y62="","-",'ORDENES'!$Y62))</f>
        <v/>
      </c>
      <c r="G84" s="3">
        <f>IF('ORDENES'!$A62="","",IF('ORDENES'!$W62="","-",'ORDENES'!$W62))</f>
        <v/>
      </c>
      <c r="H84" s="3">
        <f>IF('ORDENES'!$A62="","",IF('ORDENES'!$AE62="","-",'ORDENES'!$AE62))</f>
        <v/>
      </c>
      <c r="I84" s="3">
        <f>IF('ORDENES'!$A62="","",IF('ORDENES'!$AQ62="","-",'ORDENES'!$AQ62))</f>
        <v/>
      </c>
      <c r="J84" s="3">
        <f>IF('ORDENES'!$A62="","",IF('ORDENES'!$D62="","-",'ORDENES'!$D62))</f>
        <v/>
      </c>
      <c r="K84" s="3">
        <f>IF('ORDENES'!$A62="","",IF('ORDENES'!$E62="","-",'ORDENES'!$E62))</f>
        <v/>
      </c>
      <c r="L84" s="13">
        <f>IF('ORDENES'!$A62="","",IF('ORDENES'!$M62="",0,'ORDENES'!$M62))</f>
        <v/>
      </c>
      <c r="M84" s="3">
        <f>IF('ORDENES'!$A62="","",IF('ORDENES'!$N62="","-",'ORDENES'!$N62))</f>
        <v/>
      </c>
      <c r="N84" s="3">
        <f>IF('ORDENES'!$A62="","",'ORDENES'!$AD62)</f>
        <v/>
      </c>
    </row>
    <row r="85">
      <c r="A85" s="3">
        <f>IF('ORDENES'!$A63="","",IF('ORDENES'!$O63="","-",'ORDENES'!$O63))</f>
        <v/>
      </c>
      <c r="B85" s="3">
        <f>IF('ORDENES'!$A63="","",IF('ORDENES'!$R63="","-",'ORDENES'!$R63))</f>
        <v/>
      </c>
      <c r="C85" s="3">
        <f>IF('ORDENES'!$A63="","",IF('ORDENES'!$AF63="","-",'ORDENES'!$AF63))</f>
        <v/>
      </c>
      <c r="D85" s="3">
        <f>IF('ORDENES'!$A63="","",IF('ORDENES'!$X63="","-",'ORDENES'!$X63))</f>
        <v/>
      </c>
      <c r="E85" s="3">
        <f>IF('ORDENES'!$A63="","",IF('ORDENES'!$V63="","-",'ORDENES'!$V63))</f>
        <v/>
      </c>
      <c r="F85" s="3">
        <f>IF('ORDENES'!$A63="","",IF('ORDENES'!$Y63="","-",'ORDENES'!$Y63))</f>
        <v/>
      </c>
      <c r="G85" s="3">
        <f>IF('ORDENES'!$A63="","",IF('ORDENES'!$W63="","-",'ORDENES'!$W63))</f>
        <v/>
      </c>
      <c r="H85" s="3">
        <f>IF('ORDENES'!$A63="","",IF('ORDENES'!$AE63="","-",'ORDENES'!$AE63))</f>
        <v/>
      </c>
      <c r="I85" s="3">
        <f>IF('ORDENES'!$A63="","",IF('ORDENES'!$AQ63="","-",'ORDENES'!$AQ63))</f>
        <v/>
      </c>
      <c r="J85" s="3">
        <f>IF('ORDENES'!$A63="","",IF('ORDENES'!$D63="","-",'ORDENES'!$D63))</f>
        <v/>
      </c>
      <c r="K85" s="3">
        <f>IF('ORDENES'!$A63="","",IF('ORDENES'!$E63="","-",'ORDENES'!$E63))</f>
        <v/>
      </c>
      <c r="L85" s="13">
        <f>IF('ORDENES'!$A63="","",IF('ORDENES'!$M63="",0,'ORDENES'!$M63))</f>
        <v/>
      </c>
      <c r="M85" s="3">
        <f>IF('ORDENES'!$A63="","",IF('ORDENES'!$N63="","-",'ORDENES'!$N63))</f>
        <v/>
      </c>
      <c r="N85" s="3">
        <f>IF('ORDENES'!$A63="","",'ORDENES'!$AD63)</f>
        <v/>
      </c>
    </row>
    <row r="86">
      <c r="A86" s="3">
        <f>IF('ORDENES'!$A64="","",IF('ORDENES'!$O64="","-",'ORDENES'!$O64))</f>
        <v/>
      </c>
      <c r="B86" s="3">
        <f>IF('ORDENES'!$A64="","",IF('ORDENES'!$R64="","-",'ORDENES'!$R64))</f>
        <v/>
      </c>
      <c r="C86" s="3">
        <f>IF('ORDENES'!$A64="","",IF('ORDENES'!$AF64="","-",'ORDENES'!$AF64))</f>
        <v/>
      </c>
      <c r="D86" s="3">
        <f>IF('ORDENES'!$A64="","",IF('ORDENES'!$X64="","-",'ORDENES'!$X64))</f>
        <v/>
      </c>
      <c r="E86" s="3">
        <f>IF('ORDENES'!$A64="","",IF('ORDENES'!$V64="","-",'ORDENES'!$V64))</f>
        <v/>
      </c>
      <c r="F86" s="3">
        <f>IF('ORDENES'!$A64="","",IF('ORDENES'!$Y64="","-",'ORDENES'!$Y64))</f>
        <v/>
      </c>
      <c r="G86" s="3">
        <f>IF('ORDENES'!$A64="","",IF('ORDENES'!$W64="","-",'ORDENES'!$W64))</f>
        <v/>
      </c>
      <c r="H86" s="3">
        <f>IF('ORDENES'!$A64="","",IF('ORDENES'!$AE64="","-",'ORDENES'!$AE64))</f>
        <v/>
      </c>
      <c r="I86" s="3">
        <f>IF('ORDENES'!$A64="","",IF('ORDENES'!$AQ64="","-",'ORDENES'!$AQ64))</f>
        <v/>
      </c>
      <c r="J86" s="3">
        <f>IF('ORDENES'!$A64="","",IF('ORDENES'!$D64="","-",'ORDENES'!$D64))</f>
        <v/>
      </c>
      <c r="K86" s="3">
        <f>IF('ORDENES'!$A64="","",IF('ORDENES'!$E64="","-",'ORDENES'!$E64))</f>
        <v/>
      </c>
      <c r="L86" s="13">
        <f>IF('ORDENES'!$A64="","",IF('ORDENES'!$M64="",0,'ORDENES'!$M64))</f>
        <v/>
      </c>
      <c r="M86" s="3">
        <f>IF('ORDENES'!$A64="","",IF('ORDENES'!$N64="","-",'ORDENES'!$N64))</f>
        <v/>
      </c>
      <c r="N86" s="3">
        <f>IF('ORDENES'!$A64="","",'ORDENES'!$AD64)</f>
        <v/>
      </c>
    </row>
    <row r="87">
      <c r="A87" s="3">
        <f>IF('ORDENES'!$A65="","",IF('ORDENES'!$O65="","-",'ORDENES'!$O65))</f>
        <v/>
      </c>
      <c r="B87" s="3">
        <f>IF('ORDENES'!$A65="","",IF('ORDENES'!$R65="","-",'ORDENES'!$R65))</f>
        <v/>
      </c>
      <c r="C87" s="3">
        <f>IF('ORDENES'!$A65="","",IF('ORDENES'!$AF65="","-",'ORDENES'!$AF65))</f>
        <v/>
      </c>
      <c r="D87" s="3">
        <f>IF('ORDENES'!$A65="","",IF('ORDENES'!$X65="","-",'ORDENES'!$X65))</f>
        <v/>
      </c>
      <c r="E87" s="3">
        <f>IF('ORDENES'!$A65="","",IF('ORDENES'!$V65="","-",'ORDENES'!$V65))</f>
        <v/>
      </c>
      <c r="F87" s="3">
        <f>IF('ORDENES'!$A65="","",IF('ORDENES'!$Y65="","-",'ORDENES'!$Y65))</f>
        <v/>
      </c>
      <c r="G87" s="3">
        <f>IF('ORDENES'!$A65="","",IF('ORDENES'!$W65="","-",'ORDENES'!$W65))</f>
        <v/>
      </c>
      <c r="H87" s="3">
        <f>IF('ORDENES'!$A65="","",IF('ORDENES'!$AE65="","-",'ORDENES'!$AE65))</f>
        <v/>
      </c>
      <c r="I87" s="3">
        <f>IF('ORDENES'!$A65="","",IF('ORDENES'!$AQ65="","-",'ORDENES'!$AQ65))</f>
        <v/>
      </c>
      <c r="J87" s="3">
        <f>IF('ORDENES'!$A65="","",IF('ORDENES'!$D65="","-",'ORDENES'!$D65))</f>
        <v/>
      </c>
      <c r="K87" s="3">
        <f>IF('ORDENES'!$A65="","",IF('ORDENES'!$E65="","-",'ORDENES'!$E65))</f>
        <v/>
      </c>
      <c r="L87" s="13">
        <f>IF('ORDENES'!$A65="","",IF('ORDENES'!$M65="",0,'ORDENES'!$M65))</f>
        <v/>
      </c>
      <c r="M87" s="3">
        <f>IF('ORDENES'!$A65="","",IF('ORDENES'!$N65="","-",'ORDENES'!$N65))</f>
        <v/>
      </c>
      <c r="N87" s="3">
        <f>IF('ORDENES'!$A65="","",'ORDENES'!$AD65)</f>
        <v/>
      </c>
    </row>
    <row r="88">
      <c r="A88" s="3">
        <f>IF('ORDENES'!$A66="","",IF('ORDENES'!$O66="","-",'ORDENES'!$O66))</f>
        <v/>
      </c>
      <c r="B88" s="3">
        <f>IF('ORDENES'!$A66="","",IF('ORDENES'!$R66="","-",'ORDENES'!$R66))</f>
        <v/>
      </c>
      <c r="C88" s="3">
        <f>IF('ORDENES'!$A66="","",IF('ORDENES'!$AF66="","-",'ORDENES'!$AF66))</f>
        <v/>
      </c>
      <c r="D88" s="3">
        <f>IF('ORDENES'!$A66="","",IF('ORDENES'!$X66="","-",'ORDENES'!$X66))</f>
        <v/>
      </c>
      <c r="E88" s="3">
        <f>IF('ORDENES'!$A66="","",IF('ORDENES'!$V66="","-",'ORDENES'!$V66))</f>
        <v/>
      </c>
      <c r="F88" s="3">
        <f>IF('ORDENES'!$A66="","",IF('ORDENES'!$Y66="","-",'ORDENES'!$Y66))</f>
        <v/>
      </c>
      <c r="G88" s="3">
        <f>IF('ORDENES'!$A66="","",IF('ORDENES'!$W66="","-",'ORDENES'!$W66))</f>
        <v/>
      </c>
      <c r="H88" s="3">
        <f>IF('ORDENES'!$A66="","",IF('ORDENES'!$AE66="","-",'ORDENES'!$AE66))</f>
        <v/>
      </c>
      <c r="I88" s="3">
        <f>IF('ORDENES'!$A66="","",IF('ORDENES'!$AQ66="","-",'ORDENES'!$AQ66))</f>
        <v/>
      </c>
      <c r="J88" s="3">
        <f>IF('ORDENES'!$A66="","",IF('ORDENES'!$D66="","-",'ORDENES'!$D66))</f>
        <v/>
      </c>
      <c r="K88" s="3">
        <f>IF('ORDENES'!$A66="","",IF('ORDENES'!$E66="","-",'ORDENES'!$E66))</f>
        <v/>
      </c>
      <c r="L88" s="13">
        <f>IF('ORDENES'!$A66="","",IF('ORDENES'!$M66="",0,'ORDENES'!$M66))</f>
        <v/>
      </c>
      <c r="M88" s="3">
        <f>IF('ORDENES'!$A66="","",IF('ORDENES'!$N66="","-",'ORDENES'!$N66))</f>
        <v/>
      </c>
      <c r="N88" s="3">
        <f>IF('ORDENES'!$A66="","",'ORDENES'!$AD66)</f>
        <v/>
      </c>
    </row>
    <row r="89">
      <c r="A89" s="3">
        <f>IF('ORDENES'!$A67="","",IF('ORDENES'!$O67="","-",'ORDENES'!$O67))</f>
        <v/>
      </c>
      <c r="B89" s="3">
        <f>IF('ORDENES'!$A67="","",IF('ORDENES'!$R67="","-",'ORDENES'!$R67))</f>
        <v/>
      </c>
      <c r="C89" s="3">
        <f>IF('ORDENES'!$A67="","",IF('ORDENES'!$AF67="","-",'ORDENES'!$AF67))</f>
        <v/>
      </c>
      <c r="D89" s="3">
        <f>IF('ORDENES'!$A67="","",IF('ORDENES'!$X67="","-",'ORDENES'!$X67))</f>
        <v/>
      </c>
      <c r="E89" s="3">
        <f>IF('ORDENES'!$A67="","",IF('ORDENES'!$V67="","-",'ORDENES'!$V67))</f>
        <v/>
      </c>
      <c r="F89" s="3">
        <f>IF('ORDENES'!$A67="","",IF('ORDENES'!$Y67="","-",'ORDENES'!$Y67))</f>
        <v/>
      </c>
      <c r="G89" s="3">
        <f>IF('ORDENES'!$A67="","",IF('ORDENES'!$W67="","-",'ORDENES'!$W67))</f>
        <v/>
      </c>
      <c r="H89" s="3">
        <f>IF('ORDENES'!$A67="","",IF('ORDENES'!$AE67="","-",'ORDENES'!$AE67))</f>
        <v/>
      </c>
      <c r="I89" s="3">
        <f>IF('ORDENES'!$A67="","",IF('ORDENES'!$AQ67="","-",'ORDENES'!$AQ67))</f>
        <v/>
      </c>
      <c r="J89" s="3">
        <f>IF('ORDENES'!$A67="","",IF('ORDENES'!$D67="","-",'ORDENES'!$D67))</f>
        <v/>
      </c>
      <c r="K89" s="3">
        <f>IF('ORDENES'!$A67="","",IF('ORDENES'!$E67="","-",'ORDENES'!$E67))</f>
        <v/>
      </c>
      <c r="L89" s="13">
        <f>IF('ORDENES'!$A67="","",IF('ORDENES'!$M67="",0,'ORDENES'!$M67))</f>
        <v/>
      </c>
      <c r="M89" s="3">
        <f>IF('ORDENES'!$A67="","",IF('ORDENES'!$N67="","-",'ORDENES'!$N67))</f>
        <v/>
      </c>
      <c r="N89" s="3">
        <f>IF('ORDENES'!$A67="","",'ORDENES'!$AD67)</f>
        <v/>
      </c>
    </row>
    <row r="90">
      <c r="A90" s="3">
        <f>IF('ORDENES'!$A68="","",IF('ORDENES'!$O68="","-",'ORDENES'!$O68))</f>
        <v/>
      </c>
      <c r="B90" s="3">
        <f>IF('ORDENES'!$A68="","",IF('ORDENES'!$R68="","-",'ORDENES'!$R68))</f>
        <v/>
      </c>
      <c r="C90" s="3">
        <f>IF('ORDENES'!$A68="","",IF('ORDENES'!$AF68="","-",'ORDENES'!$AF68))</f>
        <v/>
      </c>
      <c r="D90" s="3">
        <f>IF('ORDENES'!$A68="","",IF('ORDENES'!$X68="","-",'ORDENES'!$X68))</f>
        <v/>
      </c>
      <c r="E90" s="3">
        <f>IF('ORDENES'!$A68="","",IF('ORDENES'!$V68="","-",'ORDENES'!$V68))</f>
        <v/>
      </c>
      <c r="F90" s="3">
        <f>IF('ORDENES'!$A68="","",IF('ORDENES'!$Y68="","-",'ORDENES'!$Y68))</f>
        <v/>
      </c>
      <c r="G90" s="3">
        <f>IF('ORDENES'!$A68="","",IF('ORDENES'!$W68="","-",'ORDENES'!$W68))</f>
        <v/>
      </c>
      <c r="H90" s="3">
        <f>IF('ORDENES'!$A68="","",IF('ORDENES'!$AE68="","-",'ORDENES'!$AE68))</f>
        <v/>
      </c>
      <c r="I90" s="3">
        <f>IF('ORDENES'!$A68="","",IF('ORDENES'!$AQ68="","-",'ORDENES'!$AQ68))</f>
        <v/>
      </c>
      <c r="J90" s="3">
        <f>IF('ORDENES'!$A68="","",IF('ORDENES'!$D68="","-",'ORDENES'!$D68))</f>
        <v/>
      </c>
      <c r="K90" s="3">
        <f>IF('ORDENES'!$A68="","",IF('ORDENES'!$E68="","-",'ORDENES'!$E68))</f>
        <v/>
      </c>
      <c r="L90" s="13">
        <f>IF('ORDENES'!$A68="","",IF('ORDENES'!$M68="",0,'ORDENES'!$M68))</f>
        <v/>
      </c>
      <c r="M90" s="3">
        <f>IF('ORDENES'!$A68="","",IF('ORDENES'!$N68="","-",'ORDENES'!$N68))</f>
        <v/>
      </c>
      <c r="N90" s="3">
        <f>IF('ORDENES'!$A68="","",'ORDENES'!$AD68)</f>
        <v/>
      </c>
    </row>
    <row r="91">
      <c r="A91" s="3">
        <f>IF('ORDENES'!$A69="","",IF('ORDENES'!$O69="","-",'ORDENES'!$O69))</f>
        <v/>
      </c>
      <c r="B91" s="3">
        <f>IF('ORDENES'!$A69="","",IF('ORDENES'!$R69="","-",'ORDENES'!$R69))</f>
        <v/>
      </c>
      <c r="C91" s="3">
        <f>IF('ORDENES'!$A69="","",IF('ORDENES'!$AF69="","-",'ORDENES'!$AF69))</f>
        <v/>
      </c>
      <c r="D91" s="3">
        <f>IF('ORDENES'!$A69="","",IF('ORDENES'!$X69="","-",'ORDENES'!$X69))</f>
        <v/>
      </c>
      <c r="E91" s="3">
        <f>IF('ORDENES'!$A69="","",IF('ORDENES'!$V69="","-",'ORDENES'!$V69))</f>
        <v/>
      </c>
      <c r="F91" s="3">
        <f>IF('ORDENES'!$A69="","",IF('ORDENES'!$Y69="","-",'ORDENES'!$Y69))</f>
        <v/>
      </c>
      <c r="G91" s="3">
        <f>IF('ORDENES'!$A69="","",IF('ORDENES'!$W69="","-",'ORDENES'!$W69))</f>
        <v/>
      </c>
      <c r="H91" s="3">
        <f>IF('ORDENES'!$A69="","",IF('ORDENES'!$AE69="","-",'ORDENES'!$AE69))</f>
        <v/>
      </c>
      <c r="I91" s="3">
        <f>IF('ORDENES'!$A69="","",IF('ORDENES'!$AQ69="","-",'ORDENES'!$AQ69))</f>
        <v/>
      </c>
      <c r="J91" s="3">
        <f>IF('ORDENES'!$A69="","",IF('ORDENES'!$D69="","-",'ORDENES'!$D69))</f>
        <v/>
      </c>
      <c r="K91" s="3">
        <f>IF('ORDENES'!$A69="","",IF('ORDENES'!$E69="","-",'ORDENES'!$E69))</f>
        <v/>
      </c>
      <c r="L91" s="13">
        <f>IF('ORDENES'!$A69="","",IF('ORDENES'!$M69="",0,'ORDENES'!$M69))</f>
        <v/>
      </c>
      <c r="M91" s="3">
        <f>IF('ORDENES'!$A69="","",IF('ORDENES'!$N69="","-",'ORDENES'!$N69))</f>
        <v/>
      </c>
      <c r="N91" s="3">
        <f>IF('ORDENES'!$A69="","",'ORDENES'!$AD69)</f>
        <v/>
      </c>
    </row>
    <row r="92">
      <c r="A92" s="3">
        <f>IF('ORDENES'!$A70="","",IF('ORDENES'!$O70="","-",'ORDENES'!$O70))</f>
        <v/>
      </c>
      <c r="B92" s="3">
        <f>IF('ORDENES'!$A70="","",IF('ORDENES'!$R70="","-",'ORDENES'!$R70))</f>
        <v/>
      </c>
      <c r="C92" s="3">
        <f>IF('ORDENES'!$A70="","",IF('ORDENES'!$AF70="","-",'ORDENES'!$AF70))</f>
        <v/>
      </c>
      <c r="D92" s="3">
        <f>IF('ORDENES'!$A70="","",IF('ORDENES'!$X70="","-",'ORDENES'!$X70))</f>
        <v/>
      </c>
      <c r="E92" s="3">
        <f>IF('ORDENES'!$A70="","",IF('ORDENES'!$V70="","-",'ORDENES'!$V70))</f>
        <v/>
      </c>
      <c r="F92" s="3">
        <f>IF('ORDENES'!$A70="","",IF('ORDENES'!$Y70="","-",'ORDENES'!$Y70))</f>
        <v/>
      </c>
      <c r="G92" s="3">
        <f>IF('ORDENES'!$A70="","",IF('ORDENES'!$W70="","-",'ORDENES'!$W70))</f>
        <v/>
      </c>
      <c r="H92" s="3">
        <f>IF('ORDENES'!$A70="","",IF('ORDENES'!$AE70="","-",'ORDENES'!$AE70))</f>
        <v/>
      </c>
      <c r="I92" s="3">
        <f>IF('ORDENES'!$A70="","",IF('ORDENES'!$AQ70="","-",'ORDENES'!$AQ70))</f>
        <v/>
      </c>
      <c r="J92" s="3">
        <f>IF('ORDENES'!$A70="","",IF('ORDENES'!$D70="","-",'ORDENES'!$D70))</f>
        <v/>
      </c>
      <c r="K92" s="3">
        <f>IF('ORDENES'!$A70="","",IF('ORDENES'!$E70="","-",'ORDENES'!$E70))</f>
        <v/>
      </c>
      <c r="L92" s="13">
        <f>IF('ORDENES'!$A70="","",IF('ORDENES'!$M70="",0,'ORDENES'!$M70))</f>
        <v/>
      </c>
      <c r="M92" s="3">
        <f>IF('ORDENES'!$A70="","",IF('ORDENES'!$N70="","-",'ORDENES'!$N70))</f>
        <v/>
      </c>
      <c r="N92" s="3">
        <f>IF('ORDENES'!$A70="","",'ORDENES'!$AD70)</f>
        <v/>
      </c>
    </row>
    <row r="93">
      <c r="A93" s="3">
        <f>IF('ORDENES'!$A71="","",IF('ORDENES'!$O71="","-",'ORDENES'!$O71))</f>
        <v/>
      </c>
      <c r="B93" s="3">
        <f>IF('ORDENES'!$A71="","",IF('ORDENES'!$R71="","-",'ORDENES'!$R71))</f>
        <v/>
      </c>
      <c r="C93" s="3">
        <f>IF('ORDENES'!$A71="","",IF('ORDENES'!$AF71="","-",'ORDENES'!$AF71))</f>
        <v/>
      </c>
      <c r="D93" s="3">
        <f>IF('ORDENES'!$A71="","",IF('ORDENES'!$X71="","-",'ORDENES'!$X71))</f>
        <v/>
      </c>
      <c r="E93" s="3">
        <f>IF('ORDENES'!$A71="","",IF('ORDENES'!$V71="","-",'ORDENES'!$V71))</f>
        <v/>
      </c>
      <c r="F93" s="3">
        <f>IF('ORDENES'!$A71="","",IF('ORDENES'!$Y71="","-",'ORDENES'!$Y71))</f>
        <v/>
      </c>
      <c r="G93" s="3">
        <f>IF('ORDENES'!$A71="","",IF('ORDENES'!$W71="","-",'ORDENES'!$W71))</f>
        <v/>
      </c>
      <c r="H93" s="3">
        <f>IF('ORDENES'!$A71="","",IF('ORDENES'!$AE71="","-",'ORDENES'!$AE71))</f>
        <v/>
      </c>
      <c r="I93" s="3">
        <f>IF('ORDENES'!$A71="","",IF('ORDENES'!$AQ71="","-",'ORDENES'!$AQ71))</f>
        <v/>
      </c>
      <c r="J93" s="3">
        <f>IF('ORDENES'!$A71="","",IF('ORDENES'!$D71="","-",'ORDENES'!$D71))</f>
        <v/>
      </c>
      <c r="K93" s="3">
        <f>IF('ORDENES'!$A71="","",IF('ORDENES'!$E71="","-",'ORDENES'!$E71))</f>
        <v/>
      </c>
      <c r="L93" s="13">
        <f>IF('ORDENES'!$A71="","",IF('ORDENES'!$M71="",0,'ORDENES'!$M71))</f>
        <v/>
      </c>
      <c r="M93" s="3">
        <f>IF('ORDENES'!$A71="","",IF('ORDENES'!$N71="","-",'ORDENES'!$N71))</f>
        <v/>
      </c>
      <c r="N93" s="3">
        <f>IF('ORDENES'!$A71="","",'ORDENES'!$AD71)</f>
        <v/>
      </c>
    </row>
    <row r="94">
      <c r="A94" s="3">
        <f>IF('ORDENES'!$A72="","",IF('ORDENES'!$O72="","-",'ORDENES'!$O72))</f>
        <v/>
      </c>
      <c r="B94" s="3">
        <f>IF('ORDENES'!$A72="","",IF('ORDENES'!$R72="","-",'ORDENES'!$R72))</f>
        <v/>
      </c>
      <c r="C94" s="3">
        <f>IF('ORDENES'!$A72="","",IF('ORDENES'!$AF72="","-",'ORDENES'!$AF72))</f>
        <v/>
      </c>
      <c r="D94" s="3">
        <f>IF('ORDENES'!$A72="","",IF('ORDENES'!$X72="","-",'ORDENES'!$X72))</f>
        <v/>
      </c>
      <c r="E94" s="3">
        <f>IF('ORDENES'!$A72="","",IF('ORDENES'!$V72="","-",'ORDENES'!$V72))</f>
        <v/>
      </c>
      <c r="F94" s="3">
        <f>IF('ORDENES'!$A72="","",IF('ORDENES'!$Y72="","-",'ORDENES'!$Y72))</f>
        <v/>
      </c>
      <c r="G94" s="3">
        <f>IF('ORDENES'!$A72="","",IF('ORDENES'!$W72="","-",'ORDENES'!$W72))</f>
        <v/>
      </c>
      <c r="H94" s="3">
        <f>IF('ORDENES'!$A72="","",IF('ORDENES'!$AE72="","-",'ORDENES'!$AE72))</f>
        <v/>
      </c>
      <c r="I94" s="3">
        <f>IF('ORDENES'!$A72="","",IF('ORDENES'!$AQ72="","-",'ORDENES'!$AQ72))</f>
        <v/>
      </c>
      <c r="J94" s="3">
        <f>IF('ORDENES'!$A72="","",IF('ORDENES'!$D72="","-",'ORDENES'!$D72))</f>
        <v/>
      </c>
      <c r="K94" s="3">
        <f>IF('ORDENES'!$A72="","",IF('ORDENES'!$E72="","-",'ORDENES'!$E72))</f>
        <v/>
      </c>
      <c r="L94" s="13">
        <f>IF('ORDENES'!$A72="","",IF('ORDENES'!$M72="",0,'ORDENES'!$M72))</f>
        <v/>
      </c>
      <c r="M94" s="3">
        <f>IF('ORDENES'!$A72="","",IF('ORDENES'!$N72="","-",'ORDENES'!$N72))</f>
        <v/>
      </c>
      <c r="N94" s="3">
        <f>IF('ORDENES'!$A72="","",'ORDENES'!$AD72)</f>
        <v/>
      </c>
    </row>
    <row r="95">
      <c r="A95" s="3">
        <f>IF('ORDENES'!$A73="","",IF('ORDENES'!$O73="","-",'ORDENES'!$O73))</f>
        <v/>
      </c>
      <c r="B95" s="3">
        <f>IF('ORDENES'!$A73="","",IF('ORDENES'!$R73="","-",'ORDENES'!$R73))</f>
        <v/>
      </c>
      <c r="C95" s="3">
        <f>IF('ORDENES'!$A73="","",IF('ORDENES'!$AF73="","-",'ORDENES'!$AF73))</f>
        <v/>
      </c>
      <c r="D95" s="3">
        <f>IF('ORDENES'!$A73="","",IF('ORDENES'!$X73="","-",'ORDENES'!$X73))</f>
        <v/>
      </c>
      <c r="E95" s="3">
        <f>IF('ORDENES'!$A73="","",IF('ORDENES'!$V73="","-",'ORDENES'!$V73))</f>
        <v/>
      </c>
      <c r="F95" s="3">
        <f>IF('ORDENES'!$A73="","",IF('ORDENES'!$Y73="","-",'ORDENES'!$Y73))</f>
        <v/>
      </c>
      <c r="G95" s="3">
        <f>IF('ORDENES'!$A73="","",IF('ORDENES'!$W73="","-",'ORDENES'!$W73))</f>
        <v/>
      </c>
      <c r="H95" s="3">
        <f>IF('ORDENES'!$A73="","",IF('ORDENES'!$AE73="","-",'ORDENES'!$AE73))</f>
        <v/>
      </c>
      <c r="I95" s="3">
        <f>IF('ORDENES'!$A73="","",IF('ORDENES'!$AQ73="","-",'ORDENES'!$AQ73))</f>
        <v/>
      </c>
      <c r="J95" s="3">
        <f>IF('ORDENES'!$A73="","",IF('ORDENES'!$D73="","-",'ORDENES'!$D73))</f>
        <v/>
      </c>
      <c r="K95" s="3">
        <f>IF('ORDENES'!$A73="","",IF('ORDENES'!$E73="","-",'ORDENES'!$E73))</f>
        <v/>
      </c>
      <c r="L95" s="13">
        <f>IF('ORDENES'!$A73="","",IF('ORDENES'!$M73="",0,'ORDENES'!$M73))</f>
        <v/>
      </c>
      <c r="M95" s="3">
        <f>IF('ORDENES'!$A73="","",IF('ORDENES'!$N73="","-",'ORDENES'!$N73))</f>
        <v/>
      </c>
      <c r="N95" s="3">
        <f>IF('ORDENES'!$A73="","",'ORDENES'!$AD73)</f>
        <v/>
      </c>
    </row>
    <row r="96">
      <c r="A96" s="3">
        <f>IF('ORDENES'!$A74="","",IF('ORDENES'!$O74="","-",'ORDENES'!$O74))</f>
        <v/>
      </c>
      <c r="B96" s="3">
        <f>IF('ORDENES'!$A74="","",IF('ORDENES'!$R74="","-",'ORDENES'!$R74))</f>
        <v/>
      </c>
      <c r="C96" s="3">
        <f>IF('ORDENES'!$A74="","",IF('ORDENES'!$AF74="","-",'ORDENES'!$AF74))</f>
        <v/>
      </c>
      <c r="D96" s="3">
        <f>IF('ORDENES'!$A74="","",IF('ORDENES'!$X74="","-",'ORDENES'!$X74))</f>
        <v/>
      </c>
      <c r="E96" s="3">
        <f>IF('ORDENES'!$A74="","",IF('ORDENES'!$V74="","-",'ORDENES'!$V74))</f>
        <v/>
      </c>
      <c r="F96" s="3">
        <f>IF('ORDENES'!$A74="","",IF('ORDENES'!$Y74="","-",'ORDENES'!$Y74))</f>
        <v/>
      </c>
      <c r="G96" s="3">
        <f>IF('ORDENES'!$A74="","",IF('ORDENES'!$W74="","-",'ORDENES'!$W74))</f>
        <v/>
      </c>
      <c r="H96" s="3">
        <f>IF('ORDENES'!$A74="","",IF('ORDENES'!$AE74="","-",'ORDENES'!$AE74))</f>
        <v/>
      </c>
      <c r="I96" s="3">
        <f>IF('ORDENES'!$A74="","",IF('ORDENES'!$AQ74="","-",'ORDENES'!$AQ74))</f>
        <v/>
      </c>
      <c r="J96" s="3">
        <f>IF('ORDENES'!$A74="","",IF('ORDENES'!$D74="","-",'ORDENES'!$D74))</f>
        <v/>
      </c>
      <c r="K96" s="3">
        <f>IF('ORDENES'!$A74="","",IF('ORDENES'!$E74="","-",'ORDENES'!$E74))</f>
        <v/>
      </c>
      <c r="L96" s="13">
        <f>IF('ORDENES'!$A74="","",IF('ORDENES'!$M74="",0,'ORDENES'!$M74))</f>
        <v/>
      </c>
      <c r="M96" s="3">
        <f>IF('ORDENES'!$A74="","",IF('ORDENES'!$N74="","-",'ORDENES'!$N74))</f>
        <v/>
      </c>
      <c r="N96" s="3">
        <f>IF('ORDENES'!$A74="","",'ORDENES'!$AD74)</f>
        <v/>
      </c>
    </row>
    <row r="97">
      <c r="A97" s="3">
        <f>IF('ORDENES'!$A75="","",IF('ORDENES'!$O75="","-",'ORDENES'!$O75))</f>
        <v/>
      </c>
      <c r="B97" s="3">
        <f>IF('ORDENES'!$A75="","",IF('ORDENES'!$R75="","-",'ORDENES'!$R75))</f>
        <v/>
      </c>
      <c r="C97" s="3">
        <f>IF('ORDENES'!$A75="","",IF('ORDENES'!$AF75="","-",'ORDENES'!$AF75))</f>
        <v/>
      </c>
      <c r="D97" s="3">
        <f>IF('ORDENES'!$A75="","",IF('ORDENES'!$X75="","-",'ORDENES'!$X75))</f>
        <v/>
      </c>
      <c r="E97" s="3">
        <f>IF('ORDENES'!$A75="","",IF('ORDENES'!$V75="","-",'ORDENES'!$V75))</f>
        <v/>
      </c>
      <c r="F97" s="3">
        <f>IF('ORDENES'!$A75="","",IF('ORDENES'!$Y75="","-",'ORDENES'!$Y75))</f>
        <v/>
      </c>
      <c r="G97" s="3">
        <f>IF('ORDENES'!$A75="","",IF('ORDENES'!$W75="","-",'ORDENES'!$W75))</f>
        <v/>
      </c>
      <c r="H97" s="3">
        <f>IF('ORDENES'!$A75="","",IF('ORDENES'!$AE75="","-",'ORDENES'!$AE75))</f>
        <v/>
      </c>
      <c r="I97" s="3">
        <f>IF('ORDENES'!$A75="","",IF('ORDENES'!$AQ75="","-",'ORDENES'!$AQ75))</f>
        <v/>
      </c>
      <c r="J97" s="3">
        <f>IF('ORDENES'!$A75="","",IF('ORDENES'!$D75="","-",'ORDENES'!$D75))</f>
        <v/>
      </c>
      <c r="K97" s="3">
        <f>IF('ORDENES'!$A75="","",IF('ORDENES'!$E75="","-",'ORDENES'!$E75))</f>
        <v/>
      </c>
      <c r="L97" s="13">
        <f>IF('ORDENES'!$A75="","",IF('ORDENES'!$M75="",0,'ORDENES'!$M75))</f>
        <v/>
      </c>
      <c r="M97" s="3">
        <f>IF('ORDENES'!$A75="","",IF('ORDENES'!$N75="","-",'ORDENES'!$N75))</f>
        <v/>
      </c>
      <c r="N97" s="3">
        <f>IF('ORDENES'!$A75="","",'ORDENES'!$AD75)</f>
        <v/>
      </c>
    </row>
    <row r="98">
      <c r="A98" s="3">
        <f>IF('ORDENES'!$A76="","",IF('ORDENES'!$O76="","-",'ORDENES'!$O76))</f>
        <v/>
      </c>
      <c r="B98" s="3">
        <f>IF('ORDENES'!$A76="","",IF('ORDENES'!$R76="","-",'ORDENES'!$R76))</f>
        <v/>
      </c>
      <c r="C98" s="3">
        <f>IF('ORDENES'!$A76="","",IF('ORDENES'!$AF76="","-",'ORDENES'!$AF76))</f>
        <v/>
      </c>
      <c r="D98" s="3">
        <f>IF('ORDENES'!$A76="","",IF('ORDENES'!$X76="","-",'ORDENES'!$X76))</f>
        <v/>
      </c>
      <c r="E98" s="3">
        <f>IF('ORDENES'!$A76="","",IF('ORDENES'!$V76="","-",'ORDENES'!$V76))</f>
        <v/>
      </c>
      <c r="F98" s="3">
        <f>IF('ORDENES'!$A76="","",IF('ORDENES'!$Y76="","-",'ORDENES'!$Y76))</f>
        <v/>
      </c>
      <c r="G98" s="3">
        <f>IF('ORDENES'!$A76="","",IF('ORDENES'!$W76="","-",'ORDENES'!$W76))</f>
        <v/>
      </c>
      <c r="H98" s="3">
        <f>IF('ORDENES'!$A76="","",IF('ORDENES'!$AE76="","-",'ORDENES'!$AE76))</f>
        <v/>
      </c>
      <c r="I98" s="3">
        <f>IF('ORDENES'!$A76="","",IF('ORDENES'!$AQ76="","-",'ORDENES'!$AQ76))</f>
        <v/>
      </c>
      <c r="J98" s="3">
        <f>IF('ORDENES'!$A76="","",IF('ORDENES'!$D76="","-",'ORDENES'!$D76))</f>
        <v/>
      </c>
      <c r="K98" s="3">
        <f>IF('ORDENES'!$A76="","",IF('ORDENES'!$E76="","-",'ORDENES'!$E76))</f>
        <v/>
      </c>
      <c r="L98" s="13">
        <f>IF('ORDENES'!$A76="","",IF('ORDENES'!$M76="",0,'ORDENES'!$M76))</f>
        <v/>
      </c>
      <c r="M98" s="3">
        <f>IF('ORDENES'!$A76="","",IF('ORDENES'!$N76="","-",'ORDENES'!$N76))</f>
        <v/>
      </c>
      <c r="N98" s="3">
        <f>IF('ORDENES'!$A76="","",'ORDENES'!$AD76)</f>
        <v/>
      </c>
    </row>
    <row r="99">
      <c r="A99" s="3">
        <f>IF('ORDENES'!$A77="","",IF('ORDENES'!$O77="","-",'ORDENES'!$O77))</f>
        <v/>
      </c>
      <c r="B99" s="3">
        <f>IF('ORDENES'!$A77="","",IF('ORDENES'!$R77="","-",'ORDENES'!$R77))</f>
        <v/>
      </c>
      <c r="C99" s="3">
        <f>IF('ORDENES'!$A77="","",IF('ORDENES'!$AF77="","-",'ORDENES'!$AF77))</f>
        <v/>
      </c>
      <c r="D99" s="3">
        <f>IF('ORDENES'!$A77="","",IF('ORDENES'!$X77="","-",'ORDENES'!$X77))</f>
        <v/>
      </c>
      <c r="E99" s="3">
        <f>IF('ORDENES'!$A77="","",IF('ORDENES'!$V77="","-",'ORDENES'!$V77))</f>
        <v/>
      </c>
      <c r="F99" s="3">
        <f>IF('ORDENES'!$A77="","",IF('ORDENES'!$Y77="","-",'ORDENES'!$Y77))</f>
        <v/>
      </c>
      <c r="G99" s="3">
        <f>IF('ORDENES'!$A77="","",IF('ORDENES'!$W77="","-",'ORDENES'!$W77))</f>
        <v/>
      </c>
      <c r="H99" s="3">
        <f>IF('ORDENES'!$A77="","",IF('ORDENES'!$AE77="","-",'ORDENES'!$AE77))</f>
        <v/>
      </c>
      <c r="I99" s="3">
        <f>IF('ORDENES'!$A77="","",IF('ORDENES'!$AQ77="","-",'ORDENES'!$AQ77))</f>
        <v/>
      </c>
      <c r="J99" s="3">
        <f>IF('ORDENES'!$A77="","",IF('ORDENES'!$D77="","-",'ORDENES'!$D77))</f>
        <v/>
      </c>
      <c r="K99" s="3">
        <f>IF('ORDENES'!$A77="","",IF('ORDENES'!$E77="","-",'ORDENES'!$E77))</f>
        <v/>
      </c>
      <c r="L99" s="13">
        <f>IF('ORDENES'!$A77="","",IF('ORDENES'!$M77="",0,'ORDENES'!$M77))</f>
        <v/>
      </c>
      <c r="M99" s="3">
        <f>IF('ORDENES'!$A77="","",IF('ORDENES'!$N77="","-",'ORDENES'!$N77))</f>
        <v/>
      </c>
      <c r="N99" s="3">
        <f>IF('ORDENES'!$A77="","",'ORDENES'!$AD77)</f>
        <v/>
      </c>
    </row>
    <row r="100">
      <c r="A100" s="3">
        <f>IF('ORDENES'!$A78="","",IF('ORDENES'!$O78="","-",'ORDENES'!$O78))</f>
        <v/>
      </c>
      <c r="B100" s="3">
        <f>IF('ORDENES'!$A78="","",IF('ORDENES'!$R78="","-",'ORDENES'!$R78))</f>
        <v/>
      </c>
      <c r="C100" s="3">
        <f>IF('ORDENES'!$A78="","",IF('ORDENES'!$AF78="","-",'ORDENES'!$AF78))</f>
        <v/>
      </c>
      <c r="D100" s="3">
        <f>IF('ORDENES'!$A78="","",IF('ORDENES'!$X78="","-",'ORDENES'!$X78))</f>
        <v/>
      </c>
      <c r="E100" s="3">
        <f>IF('ORDENES'!$A78="","",IF('ORDENES'!$V78="","-",'ORDENES'!$V78))</f>
        <v/>
      </c>
      <c r="F100" s="3">
        <f>IF('ORDENES'!$A78="","",IF('ORDENES'!$Y78="","-",'ORDENES'!$Y78))</f>
        <v/>
      </c>
      <c r="G100" s="3">
        <f>IF('ORDENES'!$A78="","",IF('ORDENES'!$W78="","-",'ORDENES'!$W78))</f>
        <v/>
      </c>
      <c r="H100" s="3">
        <f>IF('ORDENES'!$A78="","",IF('ORDENES'!$AE78="","-",'ORDENES'!$AE78))</f>
        <v/>
      </c>
      <c r="I100" s="3">
        <f>IF('ORDENES'!$A78="","",IF('ORDENES'!$AQ78="","-",'ORDENES'!$AQ78))</f>
        <v/>
      </c>
      <c r="J100" s="3">
        <f>IF('ORDENES'!$A78="","",IF('ORDENES'!$D78="","-",'ORDENES'!$D78))</f>
        <v/>
      </c>
      <c r="K100" s="3">
        <f>IF('ORDENES'!$A78="","",IF('ORDENES'!$E78="","-",'ORDENES'!$E78))</f>
        <v/>
      </c>
      <c r="L100" s="13">
        <f>IF('ORDENES'!$A78="","",IF('ORDENES'!$M78="",0,'ORDENES'!$M78))</f>
        <v/>
      </c>
      <c r="M100" s="3">
        <f>IF('ORDENES'!$A78="","",IF('ORDENES'!$N78="","-",'ORDENES'!$N78))</f>
        <v/>
      </c>
      <c r="N100" s="3">
        <f>IF('ORDENES'!$A78="","",'ORDENES'!$AD78)</f>
        <v/>
      </c>
    </row>
    <row r="101">
      <c r="A101" s="3">
        <f>IF('ORDENES'!$A79="","",IF('ORDENES'!$O79="","-",'ORDENES'!$O79))</f>
        <v/>
      </c>
      <c r="B101" s="3">
        <f>IF('ORDENES'!$A79="","",IF('ORDENES'!$R79="","-",'ORDENES'!$R79))</f>
        <v/>
      </c>
      <c r="C101" s="3">
        <f>IF('ORDENES'!$A79="","",IF('ORDENES'!$AF79="","-",'ORDENES'!$AF79))</f>
        <v/>
      </c>
      <c r="D101" s="3">
        <f>IF('ORDENES'!$A79="","",IF('ORDENES'!$X79="","-",'ORDENES'!$X79))</f>
        <v/>
      </c>
      <c r="E101" s="3">
        <f>IF('ORDENES'!$A79="","",IF('ORDENES'!$V79="","-",'ORDENES'!$V79))</f>
        <v/>
      </c>
      <c r="F101" s="3">
        <f>IF('ORDENES'!$A79="","",IF('ORDENES'!$Y79="","-",'ORDENES'!$Y79))</f>
        <v/>
      </c>
      <c r="G101" s="3">
        <f>IF('ORDENES'!$A79="","",IF('ORDENES'!$W79="","-",'ORDENES'!$W79))</f>
        <v/>
      </c>
      <c r="H101" s="3">
        <f>IF('ORDENES'!$A79="","",IF('ORDENES'!$AE79="","-",'ORDENES'!$AE79))</f>
        <v/>
      </c>
      <c r="I101" s="3">
        <f>IF('ORDENES'!$A79="","",IF('ORDENES'!$AQ79="","-",'ORDENES'!$AQ79))</f>
        <v/>
      </c>
      <c r="J101" s="3">
        <f>IF('ORDENES'!$A79="","",IF('ORDENES'!$D79="","-",'ORDENES'!$D79))</f>
        <v/>
      </c>
      <c r="K101" s="3">
        <f>IF('ORDENES'!$A79="","",IF('ORDENES'!$E79="","-",'ORDENES'!$E79))</f>
        <v/>
      </c>
      <c r="L101" s="13">
        <f>IF('ORDENES'!$A79="","",IF('ORDENES'!$M79="",0,'ORDENES'!$M79))</f>
        <v/>
      </c>
      <c r="M101" s="3">
        <f>IF('ORDENES'!$A79="","",IF('ORDENES'!$N79="","-",'ORDENES'!$N79))</f>
        <v/>
      </c>
      <c r="N101" s="3">
        <f>IF('ORDENES'!$A79="","",'ORDENES'!$AD79)</f>
        <v/>
      </c>
    </row>
    <row r="102">
      <c r="A102" s="3">
        <f>IF('ORDENES'!$A80="","",IF('ORDENES'!$O80="","-",'ORDENES'!$O80))</f>
        <v/>
      </c>
      <c r="B102" s="3">
        <f>IF('ORDENES'!$A80="","",IF('ORDENES'!$R80="","-",'ORDENES'!$R80))</f>
        <v/>
      </c>
      <c r="C102" s="3">
        <f>IF('ORDENES'!$A80="","",IF('ORDENES'!$AF80="","-",'ORDENES'!$AF80))</f>
        <v/>
      </c>
      <c r="D102" s="3">
        <f>IF('ORDENES'!$A80="","",IF('ORDENES'!$X80="","-",'ORDENES'!$X80))</f>
        <v/>
      </c>
      <c r="E102" s="3">
        <f>IF('ORDENES'!$A80="","",IF('ORDENES'!$V80="","-",'ORDENES'!$V80))</f>
        <v/>
      </c>
      <c r="F102" s="3">
        <f>IF('ORDENES'!$A80="","",IF('ORDENES'!$Y80="","-",'ORDENES'!$Y80))</f>
        <v/>
      </c>
      <c r="G102" s="3">
        <f>IF('ORDENES'!$A80="","",IF('ORDENES'!$W80="","-",'ORDENES'!$W80))</f>
        <v/>
      </c>
      <c r="H102" s="3">
        <f>IF('ORDENES'!$A80="","",IF('ORDENES'!$AE80="","-",'ORDENES'!$AE80))</f>
        <v/>
      </c>
      <c r="I102" s="3">
        <f>IF('ORDENES'!$A80="","",IF('ORDENES'!$AQ80="","-",'ORDENES'!$AQ80))</f>
        <v/>
      </c>
      <c r="J102" s="3">
        <f>IF('ORDENES'!$A80="","",IF('ORDENES'!$D80="","-",'ORDENES'!$D80))</f>
        <v/>
      </c>
      <c r="K102" s="3">
        <f>IF('ORDENES'!$A80="","",IF('ORDENES'!$E80="","-",'ORDENES'!$E80))</f>
        <v/>
      </c>
      <c r="L102" s="13">
        <f>IF('ORDENES'!$A80="","",IF('ORDENES'!$M80="",0,'ORDENES'!$M80))</f>
        <v/>
      </c>
      <c r="M102" s="3">
        <f>IF('ORDENES'!$A80="","",IF('ORDENES'!$N80="","-",'ORDENES'!$N80))</f>
        <v/>
      </c>
      <c r="N102" s="3">
        <f>IF('ORDENES'!$A80="","",'ORDENES'!$AD80)</f>
        <v/>
      </c>
    </row>
    <row r="103">
      <c r="A103" s="3">
        <f>IF('ORDENES'!$A81="","",IF('ORDENES'!$O81="","-",'ORDENES'!$O81))</f>
        <v/>
      </c>
      <c r="B103" s="3">
        <f>IF('ORDENES'!$A81="","",IF('ORDENES'!$R81="","-",'ORDENES'!$R81))</f>
        <v/>
      </c>
      <c r="C103" s="3">
        <f>IF('ORDENES'!$A81="","",IF('ORDENES'!$AF81="","-",'ORDENES'!$AF81))</f>
        <v/>
      </c>
      <c r="D103" s="3">
        <f>IF('ORDENES'!$A81="","",IF('ORDENES'!$X81="","-",'ORDENES'!$X81))</f>
        <v/>
      </c>
      <c r="E103" s="3">
        <f>IF('ORDENES'!$A81="","",IF('ORDENES'!$V81="","-",'ORDENES'!$V81))</f>
        <v/>
      </c>
      <c r="F103" s="3">
        <f>IF('ORDENES'!$A81="","",IF('ORDENES'!$Y81="","-",'ORDENES'!$Y81))</f>
        <v/>
      </c>
      <c r="G103" s="3">
        <f>IF('ORDENES'!$A81="","",IF('ORDENES'!$W81="","-",'ORDENES'!$W81))</f>
        <v/>
      </c>
      <c r="H103" s="3">
        <f>IF('ORDENES'!$A81="","",IF('ORDENES'!$AE81="","-",'ORDENES'!$AE81))</f>
        <v/>
      </c>
      <c r="I103" s="3">
        <f>IF('ORDENES'!$A81="","",IF('ORDENES'!$AQ81="","-",'ORDENES'!$AQ81))</f>
        <v/>
      </c>
      <c r="J103" s="3">
        <f>IF('ORDENES'!$A81="","",IF('ORDENES'!$D81="","-",'ORDENES'!$D81))</f>
        <v/>
      </c>
      <c r="K103" s="3">
        <f>IF('ORDENES'!$A81="","",IF('ORDENES'!$E81="","-",'ORDENES'!$E81))</f>
        <v/>
      </c>
      <c r="L103" s="13">
        <f>IF('ORDENES'!$A81="","",IF('ORDENES'!$M81="",0,'ORDENES'!$M81))</f>
        <v/>
      </c>
      <c r="M103" s="3">
        <f>IF('ORDENES'!$A81="","",IF('ORDENES'!$N81="","-",'ORDENES'!$N81))</f>
        <v/>
      </c>
      <c r="N103" s="3">
        <f>IF('ORDENES'!$A81="","",'ORDENES'!$AD81)</f>
        <v/>
      </c>
    </row>
    <row r="104">
      <c r="A104" s="3">
        <f>IF('ORDENES'!$A82="","",IF('ORDENES'!$O82="","-",'ORDENES'!$O82))</f>
        <v/>
      </c>
      <c r="B104" s="3">
        <f>IF('ORDENES'!$A82="","",IF('ORDENES'!$R82="","-",'ORDENES'!$R82))</f>
        <v/>
      </c>
      <c r="C104" s="3">
        <f>IF('ORDENES'!$A82="","",IF('ORDENES'!$AF82="","-",'ORDENES'!$AF82))</f>
        <v/>
      </c>
      <c r="D104" s="3">
        <f>IF('ORDENES'!$A82="","",IF('ORDENES'!$X82="","-",'ORDENES'!$X82))</f>
        <v/>
      </c>
      <c r="E104" s="3">
        <f>IF('ORDENES'!$A82="","",IF('ORDENES'!$V82="","-",'ORDENES'!$V82))</f>
        <v/>
      </c>
      <c r="F104" s="3">
        <f>IF('ORDENES'!$A82="","",IF('ORDENES'!$Y82="","-",'ORDENES'!$Y82))</f>
        <v/>
      </c>
      <c r="G104" s="3">
        <f>IF('ORDENES'!$A82="","",IF('ORDENES'!$W82="","-",'ORDENES'!$W82))</f>
        <v/>
      </c>
      <c r="H104" s="3">
        <f>IF('ORDENES'!$A82="","",IF('ORDENES'!$AE82="","-",'ORDENES'!$AE82))</f>
        <v/>
      </c>
      <c r="I104" s="3">
        <f>IF('ORDENES'!$A82="","",IF('ORDENES'!$AQ82="","-",'ORDENES'!$AQ82))</f>
        <v/>
      </c>
      <c r="J104" s="3">
        <f>IF('ORDENES'!$A82="","",IF('ORDENES'!$D82="","-",'ORDENES'!$D82))</f>
        <v/>
      </c>
      <c r="K104" s="3">
        <f>IF('ORDENES'!$A82="","",IF('ORDENES'!$E82="","-",'ORDENES'!$E82))</f>
        <v/>
      </c>
      <c r="L104" s="13">
        <f>IF('ORDENES'!$A82="","",IF('ORDENES'!$M82="",0,'ORDENES'!$M82))</f>
        <v/>
      </c>
      <c r="M104" s="3">
        <f>IF('ORDENES'!$A82="","",IF('ORDENES'!$N82="","-",'ORDENES'!$N82))</f>
        <v/>
      </c>
      <c r="N104" s="3">
        <f>IF('ORDENES'!$A82="","",'ORDENES'!$AD82)</f>
        <v/>
      </c>
    </row>
    <row r="105">
      <c r="A105" s="3">
        <f>IF('ORDENES'!$A83="","",IF('ORDENES'!$O83="","-",'ORDENES'!$O83))</f>
        <v/>
      </c>
      <c r="B105" s="3">
        <f>IF('ORDENES'!$A83="","",IF('ORDENES'!$R83="","-",'ORDENES'!$R83))</f>
        <v/>
      </c>
      <c r="C105" s="3">
        <f>IF('ORDENES'!$A83="","",IF('ORDENES'!$AF83="","-",'ORDENES'!$AF83))</f>
        <v/>
      </c>
      <c r="D105" s="3">
        <f>IF('ORDENES'!$A83="","",IF('ORDENES'!$X83="","-",'ORDENES'!$X83))</f>
        <v/>
      </c>
      <c r="E105" s="3">
        <f>IF('ORDENES'!$A83="","",IF('ORDENES'!$V83="","-",'ORDENES'!$V83))</f>
        <v/>
      </c>
      <c r="F105" s="3">
        <f>IF('ORDENES'!$A83="","",IF('ORDENES'!$Y83="","-",'ORDENES'!$Y83))</f>
        <v/>
      </c>
      <c r="G105" s="3">
        <f>IF('ORDENES'!$A83="","",IF('ORDENES'!$W83="","-",'ORDENES'!$W83))</f>
        <v/>
      </c>
      <c r="H105" s="3">
        <f>IF('ORDENES'!$A83="","",IF('ORDENES'!$AE83="","-",'ORDENES'!$AE83))</f>
        <v/>
      </c>
      <c r="I105" s="3">
        <f>IF('ORDENES'!$A83="","",IF('ORDENES'!$AQ83="","-",'ORDENES'!$AQ83))</f>
        <v/>
      </c>
      <c r="J105" s="3">
        <f>IF('ORDENES'!$A83="","",IF('ORDENES'!$D83="","-",'ORDENES'!$D83))</f>
        <v/>
      </c>
      <c r="K105" s="3">
        <f>IF('ORDENES'!$A83="","",IF('ORDENES'!$E83="","-",'ORDENES'!$E83))</f>
        <v/>
      </c>
      <c r="L105" s="13">
        <f>IF('ORDENES'!$A83="","",IF('ORDENES'!$M83="",0,'ORDENES'!$M83))</f>
        <v/>
      </c>
      <c r="M105" s="3">
        <f>IF('ORDENES'!$A83="","",IF('ORDENES'!$N83="","-",'ORDENES'!$N83))</f>
        <v/>
      </c>
      <c r="N105" s="3">
        <f>IF('ORDENES'!$A83="","",'ORDENES'!$AD83)</f>
        <v/>
      </c>
    </row>
    <row r="106">
      <c r="A106" s="3">
        <f>IF('ORDENES'!$A84="","",IF('ORDENES'!$O84="","-",'ORDENES'!$O84))</f>
        <v/>
      </c>
      <c r="B106" s="3">
        <f>IF('ORDENES'!$A84="","",IF('ORDENES'!$R84="","-",'ORDENES'!$R84))</f>
        <v/>
      </c>
      <c r="C106" s="3">
        <f>IF('ORDENES'!$A84="","",IF('ORDENES'!$AF84="","-",'ORDENES'!$AF84))</f>
        <v/>
      </c>
      <c r="D106" s="3">
        <f>IF('ORDENES'!$A84="","",IF('ORDENES'!$X84="","-",'ORDENES'!$X84))</f>
        <v/>
      </c>
      <c r="E106" s="3">
        <f>IF('ORDENES'!$A84="","",IF('ORDENES'!$V84="","-",'ORDENES'!$V84))</f>
        <v/>
      </c>
      <c r="F106" s="3">
        <f>IF('ORDENES'!$A84="","",IF('ORDENES'!$Y84="","-",'ORDENES'!$Y84))</f>
        <v/>
      </c>
      <c r="G106" s="3">
        <f>IF('ORDENES'!$A84="","",IF('ORDENES'!$W84="","-",'ORDENES'!$W84))</f>
        <v/>
      </c>
      <c r="H106" s="3">
        <f>IF('ORDENES'!$A84="","",IF('ORDENES'!$AE84="","-",'ORDENES'!$AE84))</f>
        <v/>
      </c>
      <c r="I106" s="3">
        <f>IF('ORDENES'!$A84="","",IF('ORDENES'!$AQ84="","-",'ORDENES'!$AQ84))</f>
        <v/>
      </c>
      <c r="J106" s="3">
        <f>IF('ORDENES'!$A84="","",IF('ORDENES'!$D84="","-",'ORDENES'!$D84))</f>
        <v/>
      </c>
      <c r="K106" s="3">
        <f>IF('ORDENES'!$A84="","",IF('ORDENES'!$E84="","-",'ORDENES'!$E84))</f>
        <v/>
      </c>
      <c r="L106" s="13">
        <f>IF('ORDENES'!$A84="","",IF('ORDENES'!$M84="",0,'ORDENES'!$M84))</f>
        <v/>
      </c>
      <c r="M106" s="3">
        <f>IF('ORDENES'!$A84="","",IF('ORDENES'!$N84="","-",'ORDENES'!$N84))</f>
        <v/>
      </c>
      <c r="N106" s="3">
        <f>IF('ORDENES'!$A84="","",'ORDENES'!$AD84)</f>
        <v/>
      </c>
    </row>
    <row r="107">
      <c r="A107" s="3">
        <f>IF('ORDENES'!$A85="","",IF('ORDENES'!$O85="","-",'ORDENES'!$O85))</f>
        <v/>
      </c>
      <c r="B107" s="3">
        <f>IF('ORDENES'!$A85="","",IF('ORDENES'!$R85="","-",'ORDENES'!$R85))</f>
        <v/>
      </c>
      <c r="C107" s="3">
        <f>IF('ORDENES'!$A85="","",IF('ORDENES'!$AF85="","-",'ORDENES'!$AF85))</f>
        <v/>
      </c>
      <c r="D107" s="3">
        <f>IF('ORDENES'!$A85="","",IF('ORDENES'!$X85="","-",'ORDENES'!$X85))</f>
        <v/>
      </c>
      <c r="E107" s="3">
        <f>IF('ORDENES'!$A85="","",IF('ORDENES'!$V85="","-",'ORDENES'!$V85))</f>
        <v/>
      </c>
      <c r="F107" s="3">
        <f>IF('ORDENES'!$A85="","",IF('ORDENES'!$Y85="","-",'ORDENES'!$Y85))</f>
        <v/>
      </c>
      <c r="G107" s="3">
        <f>IF('ORDENES'!$A85="","",IF('ORDENES'!$W85="","-",'ORDENES'!$W85))</f>
        <v/>
      </c>
      <c r="H107" s="3">
        <f>IF('ORDENES'!$A85="","",IF('ORDENES'!$AE85="","-",'ORDENES'!$AE85))</f>
        <v/>
      </c>
      <c r="I107" s="3">
        <f>IF('ORDENES'!$A85="","",IF('ORDENES'!$AQ85="","-",'ORDENES'!$AQ85))</f>
        <v/>
      </c>
      <c r="J107" s="3">
        <f>IF('ORDENES'!$A85="","",IF('ORDENES'!$D85="","-",'ORDENES'!$D85))</f>
        <v/>
      </c>
      <c r="K107" s="3">
        <f>IF('ORDENES'!$A85="","",IF('ORDENES'!$E85="","-",'ORDENES'!$E85))</f>
        <v/>
      </c>
      <c r="L107" s="13">
        <f>IF('ORDENES'!$A85="","",IF('ORDENES'!$M85="",0,'ORDENES'!$M85))</f>
        <v/>
      </c>
      <c r="M107" s="3">
        <f>IF('ORDENES'!$A85="","",IF('ORDENES'!$N85="","-",'ORDENES'!$N85))</f>
        <v/>
      </c>
      <c r="N107" s="3">
        <f>IF('ORDENES'!$A85="","",'ORDENES'!$AD85)</f>
        <v/>
      </c>
    </row>
    <row r="108">
      <c r="A108" s="3">
        <f>IF('ORDENES'!$A86="","",IF('ORDENES'!$O86="","-",'ORDENES'!$O86))</f>
        <v/>
      </c>
      <c r="B108" s="3">
        <f>IF('ORDENES'!$A86="","",IF('ORDENES'!$R86="","-",'ORDENES'!$R86))</f>
        <v/>
      </c>
      <c r="C108" s="3">
        <f>IF('ORDENES'!$A86="","",IF('ORDENES'!$AF86="","-",'ORDENES'!$AF86))</f>
        <v/>
      </c>
      <c r="D108" s="3">
        <f>IF('ORDENES'!$A86="","",IF('ORDENES'!$X86="","-",'ORDENES'!$X86))</f>
        <v/>
      </c>
      <c r="E108" s="3">
        <f>IF('ORDENES'!$A86="","",IF('ORDENES'!$V86="","-",'ORDENES'!$V86))</f>
        <v/>
      </c>
      <c r="F108" s="3">
        <f>IF('ORDENES'!$A86="","",IF('ORDENES'!$Y86="","-",'ORDENES'!$Y86))</f>
        <v/>
      </c>
      <c r="G108" s="3">
        <f>IF('ORDENES'!$A86="","",IF('ORDENES'!$W86="","-",'ORDENES'!$W86))</f>
        <v/>
      </c>
      <c r="H108" s="3">
        <f>IF('ORDENES'!$A86="","",IF('ORDENES'!$AE86="","-",'ORDENES'!$AE86))</f>
        <v/>
      </c>
      <c r="I108" s="3">
        <f>IF('ORDENES'!$A86="","",IF('ORDENES'!$AQ86="","-",'ORDENES'!$AQ86))</f>
        <v/>
      </c>
      <c r="J108" s="3">
        <f>IF('ORDENES'!$A86="","",IF('ORDENES'!$D86="","-",'ORDENES'!$D86))</f>
        <v/>
      </c>
      <c r="K108" s="3">
        <f>IF('ORDENES'!$A86="","",IF('ORDENES'!$E86="","-",'ORDENES'!$E86))</f>
        <v/>
      </c>
      <c r="L108" s="13">
        <f>IF('ORDENES'!$A86="","",IF('ORDENES'!$M86="",0,'ORDENES'!$M86))</f>
        <v/>
      </c>
      <c r="M108" s="3">
        <f>IF('ORDENES'!$A86="","",IF('ORDENES'!$N86="","-",'ORDENES'!$N86))</f>
        <v/>
      </c>
      <c r="N108" s="3">
        <f>IF('ORDENES'!$A86="","",'ORDENES'!$AD86)</f>
        <v/>
      </c>
    </row>
    <row r="109">
      <c r="A109" s="3">
        <f>IF('ORDENES'!$A87="","",IF('ORDENES'!$O87="","-",'ORDENES'!$O87))</f>
        <v/>
      </c>
      <c r="B109" s="3">
        <f>IF('ORDENES'!$A87="","",IF('ORDENES'!$R87="","-",'ORDENES'!$R87))</f>
        <v/>
      </c>
      <c r="C109" s="3">
        <f>IF('ORDENES'!$A87="","",IF('ORDENES'!$AF87="","-",'ORDENES'!$AF87))</f>
        <v/>
      </c>
      <c r="D109" s="3">
        <f>IF('ORDENES'!$A87="","",IF('ORDENES'!$X87="","-",'ORDENES'!$X87))</f>
        <v/>
      </c>
      <c r="E109" s="3">
        <f>IF('ORDENES'!$A87="","",IF('ORDENES'!$V87="","-",'ORDENES'!$V87))</f>
        <v/>
      </c>
      <c r="F109" s="3">
        <f>IF('ORDENES'!$A87="","",IF('ORDENES'!$Y87="","-",'ORDENES'!$Y87))</f>
        <v/>
      </c>
      <c r="G109" s="3">
        <f>IF('ORDENES'!$A87="","",IF('ORDENES'!$W87="","-",'ORDENES'!$W87))</f>
        <v/>
      </c>
      <c r="H109" s="3">
        <f>IF('ORDENES'!$A87="","",IF('ORDENES'!$AE87="","-",'ORDENES'!$AE87))</f>
        <v/>
      </c>
      <c r="I109" s="3">
        <f>IF('ORDENES'!$A87="","",IF('ORDENES'!$AQ87="","-",'ORDENES'!$AQ87))</f>
        <v/>
      </c>
      <c r="J109" s="3">
        <f>IF('ORDENES'!$A87="","",IF('ORDENES'!$D87="","-",'ORDENES'!$D87))</f>
        <v/>
      </c>
      <c r="K109" s="3">
        <f>IF('ORDENES'!$A87="","",IF('ORDENES'!$E87="","-",'ORDENES'!$E87))</f>
        <v/>
      </c>
      <c r="L109" s="13">
        <f>IF('ORDENES'!$A87="","",IF('ORDENES'!$M87="",0,'ORDENES'!$M87))</f>
        <v/>
      </c>
      <c r="M109" s="3">
        <f>IF('ORDENES'!$A87="","",IF('ORDENES'!$N87="","-",'ORDENES'!$N87))</f>
        <v/>
      </c>
      <c r="N109" s="3">
        <f>IF('ORDENES'!$A87="","",'ORDENES'!$AD87)</f>
        <v/>
      </c>
    </row>
    <row r="110">
      <c r="A110" s="3">
        <f>IF('ORDENES'!$A88="","",IF('ORDENES'!$O88="","-",'ORDENES'!$O88))</f>
        <v/>
      </c>
      <c r="B110" s="3">
        <f>IF('ORDENES'!$A88="","",IF('ORDENES'!$R88="","-",'ORDENES'!$R88))</f>
        <v/>
      </c>
      <c r="C110" s="3">
        <f>IF('ORDENES'!$A88="","",IF('ORDENES'!$AF88="","-",'ORDENES'!$AF88))</f>
        <v/>
      </c>
      <c r="D110" s="3">
        <f>IF('ORDENES'!$A88="","",IF('ORDENES'!$X88="","-",'ORDENES'!$X88))</f>
        <v/>
      </c>
      <c r="E110" s="3">
        <f>IF('ORDENES'!$A88="","",IF('ORDENES'!$V88="","-",'ORDENES'!$V88))</f>
        <v/>
      </c>
      <c r="F110" s="3">
        <f>IF('ORDENES'!$A88="","",IF('ORDENES'!$Y88="","-",'ORDENES'!$Y88))</f>
        <v/>
      </c>
      <c r="G110" s="3">
        <f>IF('ORDENES'!$A88="","",IF('ORDENES'!$W88="","-",'ORDENES'!$W88))</f>
        <v/>
      </c>
      <c r="H110" s="3">
        <f>IF('ORDENES'!$A88="","",IF('ORDENES'!$AE88="","-",'ORDENES'!$AE88))</f>
        <v/>
      </c>
      <c r="I110" s="3">
        <f>IF('ORDENES'!$A88="","",IF('ORDENES'!$AQ88="","-",'ORDENES'!$AQ88))</f>
        <v/>
      </c>
      <c r="J110" s="3">
        <f>IF('ORDENES'!$A88="","",IF('ORDENES'!$D88="","-",'ORDENES'!$D88))</f>
        <v/>
      </c>
      <c r="K110" s="3">
        <f>IF('ORDENES'!$A88="","",IF('ORDENES'!$E88="","-",'ORDENES'!$E88))</f>
        <v/>
      </c>
      <c r="L110" s="13">
        <f>IF('ORDENES'!$A88="","",IF('ORDENES'!$M88="",0,'ORDENES'!$M88))</f>
        <v/>
      </c>
      <c r="M110" s="3">
        <f>IF('ORDENES'!$A88="","",IF('ORDENES'!$N88="","-",'ORDENES'!$N88))</f>
        <v/>
      </c>
      <c r="N110" s="3">
        <f>IF('ORDENES'!$A88="","",'ORDENES'!$AD88)</f>
        <v/>
      </c>
    </row>
    <row r="111">
      <c r="A111" s="3">
        <f>IF('ORDENES'!$A89="","",IF('ORDENES'!$O89="","-",'ORDENES'!$O89))</f>
        <v/>
      </c>
      <c r="B111" s="3">
        <f>IF('ORDENES'!$A89="","",IF('ORDENES'!$R89="","-",'ORDENES'!$R89))</f>
        <v/>
      </c>
      <c r="C111" s="3">
        <f>IF('ORDENES'!$A89="","",IF('ORDENES'!$AF89="","-",'ORDENES'!$AF89))</f>
        <v/>
      </c>
      <c r="D111" s="3">
        <f>IF('ORDENES'!$A89="","",IF('ORDENES'!$X89="","-",'ORDENES'!$X89))</f>
        <v/>
      </c>
      <c r="E111" s="3">
        <f>IF('ORDENES'!$A89="","",IF('ORDENES'!$V89="","-",'ORDENES'!$V89))</f>
        <v/>
      </c>
      <c r="F111" s="3">
        <f>IF('ORDENES'!$A89="","",IF('ORDENES'!$Y89="","-",'ORDENES'!$Y89))</f>
        <v/>
      </c>
      <c r="G111" s="3">
        <f>IF('ORDENES'!$A89="","",IF('ORDENES'!$W89="","-",'ORDENES'!$W89))</f>
        <v/>
      </c>
      <c r="H111" s="3">
        <f>IF('ORDENES'!$A89="","",IF('ORDENES'!$AE89="","-",'ORDENES'!$AE89))</f>
        <v/>
      </c>
      <c r="I111" s="3">
        <f>IF('ORDENES'!$A89="","",IF('ORDENES'!$AQ89="","-",'ORDENES'!$AQ89))</f>
        <v/>
      </c>
      <c r="J111" s="3">
        <f>IF('ORDENES'!$A89="","",IF('ORDENES'!$D89="","-",'ORDENES'!$D89))</f>
        <v/>
      </c>
      <c r="K111" s="3">
        <f>IF('ORDENES'!$A89="","",IF('ORDENES'!$E89="","-",'ORDENES'!$E89))</f>
        <v/>
      </c>
      <c r="L111" s="13">
        <f>IF('ORDENES'!$A89="","",IF('ORDENES'!$M89="",0,'ORDENES'!$M89))</f>
        <v/>
      </c>
      <c r="M111" s="3">
        <f>IF('ORDENES'!$A89="","",IF('ORDENES'!$N89="","-",'ORDENES'!$N89))</f>
        <v/>
      </c>
      <c r="N111" s="3">
        <f>IF('ORDENES'!$A89="","",'ORDENES'!$AD89)</f>
        <v/>
      </c>
    </row>
    <row r="112">
      <c r="A112" s="3">
        <f>IF('ORDENES'!$A90="","",IF('ORDENES'!$O90="","-",'ORDENES'!$O90))</f>
        <v/>
      </c>
      <c r="B112" s="3">
        <f>IF('ORDENES'!$A90="","",IF('ORDENES'!$R90="","-",'ORDENES'!$R90))</f>
        <v/>
      </c>
      <c r="C112" s="3">
        <f>IF('ORDENES'!$A90="","",IF('ORDENES'!$AF90="","-",'ORDENES'!$AF90))</f>
        <v/>
      </c>
      <c r="D112" s="3">
        <f>IF('ORDENES'!$A90="","",IF('ORDENES'!$X90="","-",'ORDENES'!$X90))</f>
        <v/>
      </c>
      <c r="E112" s="3">
        <f>IF('ORDENES'!$A90="","",IF('ORDENES'!$V90="","-",'ORDENES'!$V90))</f>
        <v/>
      </c>
      <c r="F112" s="3">
        <f>IF('ORDENES'!$A90="","",IF('ORDENES'!$Y90="","-",'ORDENES'!$Y90))</f>
        <v/>
      </c>
      <c r="G112" s="3">
        <f>IF('ORDENES'!$A90="","",IF('ORDENES'!$W90="","-",'ORDENES'!$W90))</f>
        <v/>
      </c>
      <c r="H112" s="3">
        <f>IF('ORDENES'!$A90="","",IF('ORDENES'!$AE90="","-",'ORDENES'!$AE90))</f>
        <v/>
      </c>
      <c r="I112" s="3">
        <f>IF('ORDENES'!$A90="","",IF('ORDENES'!$AQ90="","-",'ORDENES'!$AQ90))</f>
        <v/>
      </c>
      <c r="J112" s="3">
        <f>IF('ORDENES'!$A90="","",IF('ORDENES'!$D90="","-",'ORDENES'!$D90))</f>
        <v/>
      </c>
      <c r="K112" s="3">
        <f>IF('ORDENES'!$A90="","",IF('ORDENES'!$E90="","-",'ORDENES'!$E90))</f>
        <v/>
      </c>
      <c r="L112" s="13">
        <f>IF('ORDENES'!$A90="","",IF('ORDENES'!$M90="",0,'ORDENES'!$M90))</f>
        <v/>
      </c>
      <c r="M112" s="3">
        <f>IF('ORDENES'!$A90="","",IF('ORDENES'!$N90="","-",'ORDENES'!$N90))</f>
        <v/>
      </c>
      <c r="N112" s="3">
        <f>IF('ORDENES'!$A90="","",'ORDENES'!$AD90)</f>
        <v/>
      </c>
    </row>
    <row r="113">
      <c r="A113" s="3">
        <f>IF('ORDENES'!$A91="","",IF('ORDENES'!$O91="","-",'ORDENES'!$O91))</f>
        <v/>
      </c>
      <c r="B113" s="3">
        <f>IF('ORDENES'!$A91="","",IF('ORDENES'!$R91="","-",'ORDENES'!$R91))</f>
        <v/>
      </c>
      <c r="C113" s="3">
        <f>IF('ORDENES'!$A91="","",IF('ORDENES'!$AF91="","-",'ORDENES'!$AF91))</f>
        <v/>
      </c>
      <c r="D113" s="3">
        <f>IF('ORDENES'!$A91="","",IF('ORDENES'!$X91="","-",'ORDENES'!$X91))</f>
        <v/>
      </c>
      <c r="E113" s="3">
        <f>IF('ORDENES'!$A91="","",IF('ORDENES'!$V91="","-",'ORDENES'!$V91))</f>
        <v/>
      </c>
      <c r="F113" s="3">
        <f>IF('ORDENES'!$A91="","",IF('ORDENES'!$Y91="","-",'ORDENES'!$Y91))</f>
        <v/>
      </c>
      <c r="G113" s="3">
        <f>IF('ORDENES'!$A91="","",IF('ORDENES'!$W91="","-",'ORDENES'!$W91))</f>
        <v/>
      </c>
      <c r="H113" s="3">
        <f>IF('ORDENES'!$A91="","",IF('ORDENES'!$AE91="","-",'ORDENES'!$AE91))</f>
        <v/>
      </c>
      <c r="I113" s="3">
        <f>IF('ORDENES'!$A91="","",IF('ORDENES'!$AQ91="","-",'ORDENES'!$AQ91))</f>
        <v/>
      </c>
      <c r="J113" s="3">
        <f>IF('ORDENES'!$A91="","",IF('ORDENES'!$D91="","-",'ORDENES'!$D91))</f>
        <v/>
      </c>
      <c r="K113" s="3">
        <f>IF('ORDENES'!$A91="","",IF('ORDENES'!$E91="","-",'ORDENES'!$E91))</f>
        <v/>
      </c>
      <c r="L113" s="13">
        <f>IF('ORDENES'!$A91="","",IF('ORDENES'!$M91="",0,'ORDENES'!$M91))</f>
        <v/>
      </c>
      <c r="M113" s="3">
        <f>IF('ORDENES'!$A91="","",IF('ORDENES'!$N91="","-",'ORDENES'!$N91))</f>
        <v/>
      </c>
      <c r="N113" s="3">
        <f>IF('ORDENES'!$A91="","",'ORDENES'!$AD91)</f>
        <v/>
      </c>
    </row>
    <row r="114">
      <c r="A114" s="3">
        <f>IF('ORDENES'!$A92="","",IF('ORDENES'!$O92="","-",'ORDENES'!$O92))</f>
        <v/>
      </c>
      <c r="B114" s="3">
        <f>IF('ORDENES'!$A92="","",IF('ORDENES'!$R92="","-",'ORDENES'!$R92))</f>
        <v/>
      </c>
      <c r="C114" s="3">
        <f>IF('ORDENES'!$A92="","",IF('ORDENES'!$AF92="","-",'ORDENES'!$AF92))</f>
        <v/>
      </c>
      <c r="D114" s="3">
        <f>IF('ORDENES'!$A92="","",IF('ORDENES'!$X92="","-",'ORDENES'!$X92))</f>
        <v/>
      </c>
      <c r="E114" s="3">
        <f>IF('ORDENES'!$A92="","",IF('ORDENES'!$V92="","-",'ORDENES'!$V92))</f>
        <v/>
      </c>
      <c r="F114" s="3">
        <f>IF('ORDENES'!$A92="","",IF('ORDENES'!$Y92="","-",'ORDENES'!$Y92))</f>
        <v/>
      </c>
      <c r="G114" s="3">
        <f>IF('ORDENES'!$A92="","",IF('ORDENES'!$W92="","-",'ORDENES'!$W92))</f>
        <v/>
      </c>
      <c r="H114" s="3">
        <f>IF('ORDENES'!$A92="","",IF('ORDENES'!$AE92="","-",'ORDENES'!$AE92))</f>
        <v/>
      </c>
      <c r="I114" s="3">
        <f>IF('ORDENES'!$A92="","",IF('ORDENES'!$AQ92="","-",'ORDENES'!$AQ92))</f>
        <v/>
      </c>
      <c r="J114" s="3">
        <f>IF('ORDENES'!$A92="","",IF('ORDENES'!$D92="","-",'ORDENES'!$D92))</f>
        <v/>
      </c>
      <c r="K114" s="3">
        <f>IF('ORDENES'!$A92="","",IF('ORDENES'!$E92="","-",'ORDENES'!$E92))</f>
        <v/>
      </c>
      <c r="L114" s="13">
        <f>IF('ORDENES'!$A92="","",IF('ORDENES'!$M92="",0,'ORDENES'!$M92))</f>
        <v/>
      </c>
      <c r="M114" s="3">
        <f>IF('ORDENES'!$A92="","",IF('ORDENES'!$N92="","-",'ORDENES'!$N92))</f>
        <v/>
      </c>
      <c r="N114" s="3">
        <f>IF('ORDENES'!$A92="","",'ORDENES'!$AD92)</f>
        <v/>
      </c>
    </row>
    <row r="115">
      <c r="A115" s="3">
        <f>IF('ORDENES'!$A93="","",IF('ORDENES'!$O93="","-",'ORDENES'!$O93))</f>
        <v/>
      </c>
      <c r="B115" s="3">
        <f>IF('ORDENES'!$A93="","",IF('ORDENES'!$R93="","-",'ORDENES'!$R93))</f>
        <v/>
      </c>
      <c r="C115" s="3">
        <f>IF('ORDENES'!$A93="","",IF('ORDENES'!$AF93="","-",'ORDENES'!$AF93))</f>
        <v/>
      </c>
      <c r="D115" s="3">
        <f>IF('ORDENES'!$A93="","",IF('ORDENES'!$X93="","-",'ORDENES'!$X93))</f>
        <v/>
      </c>
      <c r="E115" s="3">
        <f>IF('ORDENES'!$A93="","",IF('ORDENES'!$V93="","-",'ORDENES'!$V93))</f>
        <v/>
      </c>
      <c r="F115" s="3">
        <f>IF('ORDENES'!$A93="","",IF('ORDENES'!$Y93="","-",'ORDENES'!$Y93))</f>
        <v/>
      </c>
      <c r="G115" s="3">
        <f>IF('ORDENES'!$A93="","",IF('ORDENES'!$W93="","-",'ORDENES'!$W93))</f>
        <v/>
      </c>
      <c r="H115" s="3">
        <f>IF('ORDENES'!$A93="","",IF('ORDENES'!$AE93="","-",'ORDENES'!$AE93))</f>
        <v/>
      </c>
      <c r="I115" s="3">
        <f>IF('ORDENES'!$A93="","",IF('ORDENES'!$AQ93="","-",'ORDENES'!$AQ93))</f>
        <v/>
      </c>
      <c r="J115" s="3">
        <f>IF('ORDENES'!$A93="","",IF('ORDENES'!$D93="","-",'ORDENES'!$D93))</f>
        <v/>
      </c>
      <c r="K115" s="3">
        <f>IF('ORDENES'!$A93="","",IF('ORDENES'!$E93="","-",'ORDENES'!$E93))</f>
        <v/>
      </c>
      <c r="L115" s="13">
        <f>IF('ORDENES'!$A93="","",IF('ORDENES'!$M93="",0,'ORDENES'!$M93))</f>
        <v/>
      </c>
      <c r="M115" s="3">
        <f>IF('ORDENES'!$A93="","",IF('ORDENES'!$N93="","-",'ORDENES'!$N93))</f>
        <v/>
      </c>
      <c r="N115" s="3">
        <f>IF('ORDENES'!$A93="","",'ORDENES'!$AD93)</f>
        <v/>
      </c>
    </row>
    <row r="116">
      <c r="A116" s="3">
        <f>IF('ORDENES'!$A94="","",IF('ORDENES'!$O94="","-",'ORDENES'!$O94))</f>
        <v/>
      </c>
      <c r="B116" s="3">
        <f>IF('ORDENES'!$A94="","",IF('ORDENES'!$R94="","-",'ORDENES'!$R94))</f>
        <v/>
      </c>
      <c r="C116" s="3">
        <f>IF('ORDENES'!$A94="","",IF('ORDENES'!$AF94="","-",'ORDENES'!$AF94))</f>
        <v/>
      </c>
      <c r="D116" s="3">
        <f>IF('ORDENES'!$A94="","",IF('ORDENES'!$X94="","-",'ORDENES'!$X94))</f>
        <v/>
      </c>
      <c r="E116" s="3">
        <f>IF('ORDENES'!$A94="","",IF('ORDENES'!$V94="","-",'ORDENES'!$V94))</f>
        <v/>
      </c>
      <c r="F116" s="3">
        <f>IF('ORDENES'!$A94="","",IF('ORDENES'!$Y94="","-",'ORDENES'!$Y94))</f>
        <v/>
      </c>
      <c r="G116" s="3">
        <f>IF('ORDENES'!$A94="","",IF('ORDENES'!$W94="","-",'ORDENES'!$W94))</f>
        <v/>
      </c>
      <c r="H116" s="3">
        <f>IF('ORDENES'!$A94="","",IF('ORDENES'!$AE94="","-",'ORDENES'!$AE94))</f>
        <v/>
      </c>
      <c r="I116" s="3">
        <f>IF('ORDENES'!$A94="","",IF('ORDENES'!$AQ94="","-",'ORDENES'!$AQ94))</f>
        <v/>
      </c>
      <c r="J116" s="3">
        <f>IF('ORDENES'!$A94="","",IF('ORDENES'!$D94="","-",'ORDENES'!$D94))</f>
        <v/>
      </c>
      <c r="K116" s="3">
        <f>IF('ORDENES'!$A94="","",IF('ORDENES'!$E94="","-",'ORDENES'!$E94))</f>
        <v/>
      </c>
      <c r="L116" s="13">
        <f>IF('ORDENES'!$A94="","",IF('ORDENES'!$M94="",0,'ORDENES'!$M94))</f>
        <v/>
      </c>
      <c r="M116" s="3">
        <f>IF('ORDENES'!$A94="","",IF('ORDENES'!$N94="","-",'ORDENES'!$N94))</f>
        <v/>
      </c>
      <c r="N116" s="3">
        <f>IF('ORDENES'!$A94="","",'ORDENES'!$AD94)</f>
        <v/>
      </c>
    </row>
    <row r="117">
      <c r="A117" s="3">
        <f>IF('ORDENES'!$A95="","",IF('ORDENES'!$O95="","-",'ORDENES'!$O95))</f>
        <v/>
      </c>
      <c r="B117" s="3">
        <f>IF('ORDENES'!$A95="","",IF('ORDENES'!$R95="","-",'ORDENES'!$R95))</f>
        <v/>
      </c>
      <c r="C117" s="3">
        <f>IF('ORDENES'!$A95="","",IF('ORDENES'!$AF95="","-",'ORDENES'!$AF95))</f>
        <v/>
      </c>
      <c r="D117" s="3">
        <f>IF('ORDENES'!$A95="","",IF('ORDENES'!$X95="","-",'ORDENES'!$X95))</f>
        <v/>
      </c>
      <c r="E117" s="3">
        <f>IF('ORDENES'!$A95="","",IF('ORDENES'!$V95="","-",'ORDENES'!$V95))</f>
        <v/>
      </c>
      <c r="F117" s="3">
        <f>IF('ORDENES'!$A95="","",IF('ORDENES'!$Y95="","-",'ORDENES'!$Y95))</f>
        <v/>
      </c>
      <c r="G117" s="3">
        <f>IF('ORDENES'!$A95="","",IF('ORDENES'!$W95="","-",'ORDENES'!$W95))</f>
        <v/>
      </c>
      <c r="H117" s="3">
        <f>IF('ORDENES'!$A95="","",IF('ORDENES'!$AE95="","-",'ORDENES'!$AE95))</f>
        <v/>
      </c>
      <c r="I117" s="3">
        <f>IF('ORDENES'!$A95="","",IF('ORDENES'!$AQ95="","-",'ORDENES'!$AQ95))</f>
        <v/>
      </c>
      <c r="J117" s="3">
        <f>IF('ORDENES'!$A95="","",IF('ORDENES'!$D95="","-",'ORDENES'!$D95))</f>
        <v/>
      </c>
      <c r="K117" s="3">
        <f>IF('ORDENES'!$A95="","",IF('ORDENES'!$E95="","-",'ORDENES'!$E95))</f>
        <v/>
      </c>
      <c r="L117" s="13">
        <f>IF('ORDENES'!$A95="","",IF('ORDENES'!$M95="",0,'ORDENES'!$M95))</f>
        <v/>
      </c>
      <c r="M117" s="3">
        <f>IF('ORDENES'!$A95="","",IF('ORDENES'!$N95="","-",'ORDENES'!$N95))</f>
        <v/>
      </c>
      <c r="N117" s="3">
        <f>IF('ORDENES'!$A95="","",'ORDENES'!$AD95)</f>
        <v/>
      </c>
    </row>
    <row r="118">
      <c r="A118" s="3">
        <f>IF('ORDENES'!$A96="","",IF('ORDENES'!$O96="","-",'ORDENES'!$O96))</f>
        <v/>
      </c>
      <c r="B118" s="3">
        <f>IF('ORDENES'!$A96="","",IF('ORDENES'!$R96="","-",'ORDENES'!$R96))</f>
        <v/>
      </c>
      <c r="C118" s="3">
        <f>IF('ORDENES'!$A96="","",IF('ORDENES'!$AF96="","-",'ORDENES'!$AF96))</f>
        <v/>
      </c>
      <c r="D118" s="3">
        <f>IF('ORDENES'!$A96="","",IF('ORDENES'!$X96="","-",'ORDENES'!$X96))</f>
        <v/>
      </c>
      <c r="E118" s="3">
        <f>IF('ORDENES'!$A96="","",IF('ORDENES'!$V96="","-",'ORDENES'!$V96))</f>
        <v/>
      </c>
      <c r="F118" s="3">
        <f>IF('ORDENES'!$A96="","",IF('ORDENES'!$Y96="","-",'ORDENES'!$Y96))</f>
        <v/>
      </c>
      <c r="G118" s="3">
        <f>IF('ORDENES'!$A96="","",IF('ORDENES'!$W96="","-",'ORDENES'!$W96))</f>
        <v/>
      </c>
      <c r="H118" s="3">
        <f>IF('ORDENES'!$A96="","",IF('ORDENES'!$AE96="","-",'ORDENES'!$AE96))</f>
        <v/>
      </c>
      <c r="I118" s="3">
        <f>IF('ORDENES'!$A96="","",IF('ORDENES'!$AQ96="","-",'ORDENES'!$AQ96))</f>
        <v/>
      </c>
      <c r="J118" s="3">
        <f>IF('ORDENES'!$A96="","",IF('ORDENES'!$D96="","-",'ORDENES'!$D96))</f>
        <v/>
      </c>
      <c r="K118" s="3">
        <f>IF('ORDENES'!$A96="","",IF('ORDENES'!$E96="","-",'ORDENES'!$E96))</f>
        <v/>
      </c>
      <c r="L118" s="13">
        <f>IF('ORDENES'!$A96="","",IF('ORDENES'!$M96="",0,'ORDENES'!$M96))</f>
        <v/>
      </c>
      <c r="M118" s="3">
        <f>IF('ORDENES'!$A96="","",IF('ORDENES'!$N96="","-",'ORDENES'!$N96))</f>
        <v/>
      </c>
      <c r="N118" s="3">
        <f>IF('ORDENES'!$A96="","",'ORDENES'!$AD96)</f>
        <v/>
      </c>
    </row>
    <row r="119">
      <c r="A119" s="3">
        <f>IF('ORDENES'!$A97="","",IF('ORDENES'!$O97="","-",'ORDENES'!$O97))</f>
        <v/>
      </c>
      <c r="B119" s="3">
        <f>IF('ORDENES'!$A97="","",IF('ORDENES'!$R97="","-",'ORDENES'!$R97))</f>
        <v/>
      </c>
      <c r="C119" s="3">
        <f>IF('ORDENES'!$A97="","",IF('ORDENES'!$AF97="","-",'ORDENES'!$AF97))</f>
        <v/>
      </c>
      <c r="D119" s="3">
        <f>IF('ORDENES'!$A97="","",IF('ORDENES'!$X97="","-",'ORDENES'!$X97))</f>
        <v/>
      </c>
      <c r="E119" s="3">
        <f>IF('ORDENES'!$A97="","",IF('ORDENES'!$V97="","-",'ORDENES'!$V97))</f>
        <v/>
      </c>
      <c r="F119" s="3">
        <f>IF('ORDENES'!$A97="","",IF('ORDENES'!$Y97="","-",'ORDENES'!$Y97))</f>
        <v/>
      </c>
      <c r="G119" s="3">
        <f>IF('ORDENES'!$A97="","",IF('ORDENES'!$W97="","-",'ORDENES'!$W97))</f>
        <v/>
      </c>
      <c r="H119" s="3">
        <f>IF('ORDENES'!$A97="","",IF('ORDENES'!$AE97="","-",'ORDENES'!$AE97))</f>
        <v/>
      </c>
      <c r="I119" s="3">
        <f>IF('ORDENES'!$A97="","",IF('ORDENES'!$AQ97="","-",'ORDENES'!$AQ97))</f>
        <v/>
      </c>
      <c r="J119" s="3">
        <f>IF('ORDENES'!$A97="","",IF('ORDENES'!$D97="","-",'ORDENES'!$D97))</f>
        <v/>
      </c>
      <c r="K119" s="3">
        <f>IF('ORDENES'!$A97="","",IF('ORDENES'!$E97="","-",'ORDENES'!$E97))</f>
        <v/>
      </c>
      <c r="L119" s="13">
        <f>IF('ORDENES'!$A97="","",IF('ORDENES'!$M97="",0,'ORDENES'!$M97))</f>
        <v/>
      </c>
      <c r="M119" s="3">
        <f>IF('ORDENES'!$A97="","",IF('ORDENES'!$N97="","-",'ORDENES'!$N97))</f>
        <v/>
      </c>
      <c r="N119" s="3">
        <f>IF('ORDENES'!$A97="","",'ORDENES'!$AD97)</f>
        <v/>
      </c>
    </row>
    <row r="120">
      <c r="A120" s="3">
        <f>IF('ORDENES'!$A98="","",IF('ORDENES'!$O98="","-",'ORDENES'!$O98))</f>
        <v/>
      </c>
      <c r="B120" s="3">
        <f>IF('ORDENES'!$A98="","",IF('ORDENES'!$R98="","-",'ORDENES'!$R98))</f>
        <v/>
      </c>
      <c r="C120" s="3">
        <f>IF('ORDENES'!$A98="","",IF('ORDENES'!$AF98="","-",'ORDENES'!$AF98))</f>
        <v/>
      </c>
      <c r="D120" s="3">
        <f>IF('ORDENES'!$A98="","",IF('ORDENES'!$X98="","-",'ORDENES'!$X98))</f>
        <v/>
      </c>
      <c r="E120" s="3">
        <f>IF('ORDENES'!$A98="","",IF('ORDENES'!$V98="","-",'ORDENES'!$V98))</f>
        <v/>
      </c>
      <c r="F120" s="3">
        <f>IF('ORDENES'!$A98="","",IF('ORDENES'!$Y98="","-",'ORDENES'!$Y98))</f>
        <v/>
      </c>
      <c r="G120" s="3">
        <f>IF('ORDENES'!$A98="","",IF('ORDENES'!$W98="","-",'ORDENES'!$W98))</f>
        <v/>
      </c>
      <c r="H120" s="3">
        <f>IF('ORDENES'!$A98="","",IF('ORDENES'!$AE98="","-",'ORDENES'!$AE98))</f>
        <v/>
      </c>
      <c r="I120" s="3">
        <f>IF('ORDENES'!$A98="","",IF('ORDENES'!$AQ98="","-",'ORDENES'!$AQ98))</f>
        <v/>
      </c>
      <c r="J120" s="3">
        <f>IF('ORDENES'!$A98="","",IF('ORDENES'!$D98="","-",'ORDENES'!$D98))</f>
        <v/>
      </c>
      <c r="K120" s="3">
        <f>IF('ORDENES'!$A98="","",IF('ORDENES'!$E98="","-",'ORDENES'!$E98))</f>
        <v/>
      </c>
      <c r="L120" s="13">
        <f>IF('ORDENES'!$A98="","",IF('ORDENES'!$M98="",0,'ORDENES'!$M98))</f>
        <v/>
      </c>
      <c r="M120" s="3">
        <f>IF('ORDENES'!$A98="","",IF('ORDENES'!$N98="","-",'ORDENES'!$N98))</f>
        <v/>
      </c>
      <c r="N120" s="3">
        <f>IF('ORDENES'!$A98="","",'ORDENES'!$AD98)</f>
        <v/>
      </c>
    </row>
    <row r="121">
      <c r="A121" s="3">
        <f>IF('ORDENES'!$A99="","",IF('ORDENES'!$O99="","-",'ORDENES'!$O99))</f>
        <v/>
      </c>
      <c r="B121" s="3">
        <f>IF('ORDENES'!$A99="","",IF('ORDENES'!$R99="","-",'ORDENES'!$R99))</f>
        <v/>
      </c>
      <c r="C121" s="3">
        <f>IF('ORDENES'!$A99="","",IF('ORDENES'!$AF99="","-",'ORDENES'!$AF99))</f>
        <v/>
      </c>
      <c r="D121" s="3">
        <f>IF('ORDENES'!$A99="","",IF('ORDENES'!$X99="","-",'ORDENES'!$X99))</f>
        <v/>
      </c>
      <c r="E121" s="3">
        <f>IF('ORDENES'!$A99="","",IF('ORDENES'!$V99="","-",'ORDENES'!$V99))</f>
        <v/>
      </c>
      <c r="F121" s="3">
        <f>IF('ORDENES'!$A99="","",IF('ORDENES'!$Y99="","-",'ORDENES'!$Y99))</f>
        <v/>
      </c>
      <c r="G121" s="3">
        <f>IF('ORDENES'!$A99="","",IF('ORDENES'!$W99="","-",'ORDENES'!$W99))</f>
        <v/>
      </c>
      <c r="H121" s="3">
        <f>IF('ORDENES'!$A99="","",IF('ORDENES'!$AE99="","-",'ORDENES'!$AE99))</f>
        <v/>
      </c>
      <c r="I121" s="3">
        <f>IF('ORDENES'!$A99="","",IF('ORDENES'!$AQ99="","-",'ORDENES'!$AQ99))</f>
        <v/>
      </c>
      <c r="J121" s="3">
        <f>IF('ORDENES'!$A99="","",IF('ORDENES'!$D99="","-",'ORDENES'!$D99))</f>
        <v/>
      </c>
      <c r="K121" s="3">
        <f>IF('ORDENES'!$A99="","",IF('ORDENES'!$E99="","-",'ORDENES'!$E99))</f>
        <v/>
      </c>
      <c r="L121" s="13">
        <f>IF('ORDENES'!$A99="","",IF('ORDENES'!$M99="",0,'ORDENES'!$M99))</f>
        <v/>
      </c>
      <c r="M121" s="3">
        <f>IF('ORDENES'!$A99="","",IF('ORDENES'!$N99="","-",'ORDENES'!$N99))</f>
        <v/>
      </c>
      <c r="N121" s="3">
        <f>IF('ORDENES'!$A99="","",'ORDENES'!$AD99)</f>
        <v/>
      </c>
    </row>
    <row r="122">
      <c r="A122" s="3">
        <f>IF('ORDENES'!$A100="","",IF('ORDENES'!$O100="","-",'ORDENES'!$O100))</f>
        <v/>
      </c>
      <c r="B122" s="3">
        <f>IF('ORDENES'!$A100="","",IF('ORDENES'!$R100="","-",'ORDENES'!$R100))</f>
        <v/>
      </c>
      <c r="C122" s="3">
        <f>IF('ORDENES'!$A100="","",IF('ORDENES'!$AF100="","-",'ORDENES'!$AF100))</f>
        <v/>
      </c>
      <c r="D122" s="3">
        <f>IF('ORDENES'!$A100="","",IF('ORDENES'!$X100="","-",'ORDENES'!$X100))</f>
        <v/>
      </c>
      <c r="E122" s="3">
        <f>IF('ORDENES'!$A100="","",IF('ORDENES'!$V100="","-",'ORDENES'!$V100))</f>
        <v/>
      </c>
      <c r="F122" s="3">
        <f>IF('ORDENES'!$A100="","",IF('ORDENES'!$Y100="","-",'ORDENES'!$Y100))</f>
        <v/>
      </c>
      <c r="G122" s="3">
        <f>IF('ORDENES'!$A100="","",IF('ORDENES'!$W100="","-",'ORDENES'!$W100))</f>
        <v/>
      </c>
      <c r="H122" s="3">
        <f>IF('ORDENES'!$A100="","",IF('ORDENES'!$AE100="","-",'ORDENES'!$AE100))</f>
        <v/>
      </c>
      <c r="I122" s="3">
        <f>IF('ORDENES'!$A100="","",IF('ORDENES'!$AQ100="","-",'ORDENES'!$AQ100))</f>
        <v/>
      </c>
      <c r="J122" s="3">
        <f>IF('ORDENES'!$A100="","",IF('ORDENES'!$D100="","-",'ORDENES'!$D100))</f>
        <v/>
      </c>
      <c r="K122" s="3">
        <f>IF('ORDENES'!$A100="","",IF('ORDENES'!$E100="","-",'ORDENES'!$E100))</f>
        <v/>
      </c>
      <c r="L122" s="13">
        <f>IF('ORDENES'!$A100="","",IF('ORDENES'!$M100="",0,'ORDENES'!$M100))</f>
        <v/>
      </c>
      <c r="M122" s="3">
        <f>IF('ORDENES'!$A100="","",IF('ORDENES'!$N100="","-",'ORDENES'!$N100))</f>
        <v/>
      </c>
      <c r="N122" s="3">
        <f>IF('ORDENES'!$A100="","",'ORDENES'!$AD100)</f>
        <v/>
      </c>
    </row>
    <row r="123">
      <c r="A123" s="3">
        <f>IF('ORDENES'!$A101="","",IF('ORDENES'!$O101="","-",'ORDENES'!$O101))</f>
        <v/>
      </c>
      <c r="B123" s="3">
        <f>IF('ORDENES'!$A101="","",IF('ORDENES'!$R101="","-",'ORDENES'!$R101))</f>
        <v/>
      </c>
      <c r="C123" s="3">
        <f>IF('ORDENES'!$A101="","",IF('ORDENES'!$AF101="","-",'ORDENES'!$AF101))</f>
        <v/>
      </c>
      <c r="D123" s="3">
        <f>IF('ORDENES'!$A101="","",IF('ORDENES'!$X101="","-",'ORDENES'!$X101))</f>
        <v/>
      </c>
      <c r="E123" s="3">
        <f>IF('ORDENES'!$A101="","",IF('ORDENES'!$V101="","-",'ORDENES'!$V101))</f>
        <v/>
      </c>
      <c r="F123" s="3">
        <f>IF('ORDENES'!$A101="","",IF('ORDENES'!$Y101="","-",'ORDENES'!$Y101))</f>
        <v/>
      </c>
      <c r="G123" s="3">
        <f>IF('ORDENES'!$A101="","",IF('ORDENES'!$W101="","-",'ORDENES'!$W101))</f>
        <v/>
      </c>
      <c r="H123" s="3">
        <f>IF('ORDENES'!$A101="","",IF('ORDENES'!$AE101="","-",'ORDENES'!$AE101))</f>
        <v/>
      </c>
      <c r="I123" s="3">
        <f>IF('ORDENES'!$A101="","",IF('ORDENES'!$AQ101="","-",'ORDENES'!$AQ101))</f>
        <v/>
      </c>
      <c r="J123" s="3">
        <f>IF('ORDENES'!$A101="","",IF('ORDENES'!$D101="","-",'ORDENES'!$D101))</f>
        <v/>
      </c>
      <c r="K123" s="3">
        <f>IF('ORDENES'!$A101="","",IF('ORDENES'!$E101="","-",'ORDENES'!$E101))</f>
        <v/>
      </c>
      <c r="L123" s="13">
        <f>IF('ORDENES'!$A101="","",IF('ORDENES'!$M101="",0,'ORDENES'!$M101))</f>
        <v/>
      </c>
      <c r="M123" s="3">
        <f>IF('ORDENES'!$A101="","",IF('ORDENES'!$N101="","-",'ORDENES'!$N101))</f>
        <v/>
      </c>
      <c r="N123" s="3">
        <f>IF('ORDENES'!$A101="","",'ORDENES'!$AD101)</f>
        <v/>
      </c>
    </row>
    <row r="124">
      <c r="A124" s="3">
        <f>IF('ORDENES'!$A102="","",IF('ORDENES'!$O102="","-",'ORDENES'!$O102))</f>
        <v/>
      </c>
      <c r="B124" s="3">
        <f>IF('ORDENES'!$A102="","",IF('ORDENES'!$R102="","-",'ORDENES'!$R102))</f>
        <v/>
      </c>
      <c r="C124" s="3">
        <f>IF('ORDENES'!$A102="","",IF('ORDENES'!$AF102="","-",'ORDENES'!$AF102))</f>
        <v/>
      </c>
      <c r="D124" s="3">
        <f>IF('ORDENES'!$A102="","",IF('ORDENES'!$X102="","-",'ORDENES'!$X102))</f>
        <v/>
      </c>
      <c r="E124" s="3">
        <f>IF('ORDENES'!$A102="","",IF('ORDENES'!$V102="","-",'ORDENES'!$V102))</f>
        <v/>
      </c>
      <c r="F124" s="3">
        <f>IF('ORDENES'!$A102="","",IF('ORDENES'!$Y102="","-",'ORDENES'!$Y102))</f>
        <v/>
      </c>
      <c r="G124" s="3">
        <f>IF('ORDENES'!$A102="","",IF('ORDENES'!$W102="","-",'ORDENES'!$W102))</f>
        <v/>
      </c>
      <c r="H124" s="3">
        <f>IF('ORDENES'!$A102="","",IF('ORDENES'!$AE102="","-",'ORDENES'!$AE102))</f>
        <v/>
      </c>
      <c r="I124" s="3">
        <f>IF('ORDENES'!$A102="","",IF('ORDENES'!$AQ102="","-",'ORDENES'!$AQ102))</f>
        <v/>
      </c>
      <c r="J124" s="3">
        <f>IF('ORDENES'!$A102="","",IF('ORDENES'!$D102="","-",'ORDENES'!$D102))</f>
        <v/>
      </c>
      <c r="K124" s="3">
        <f>IF('ORDENES'!$A102="","",IF('ORDENES'!$E102="","-",'ORDENES'!$E102))</f>
        <v/>
      </c>
      <c r="L124" s="13">
        <f>IF('ORDENES'!$A102="","",IF('ORDENES'!$M102="",0,'ORDENES'!$M102))</f>
        <v/>
      </c>
      <c r="M124" s="3">
        <f>IF('ORDENES'!$A102="","",IF('ORDENES'!$N102="","-",'ORDENES'!$N102))</f>
        <v/>
      </c>
      <c r="N124" s="3">
        <f>IF('ORDENES'!$A102="","",'ORDENES'!$AD102)</f>
        <v/>
      </c>
    </row>
    <row r="125">
      <c r="A125" s="3">
        <f>IF('ORDENES'!$A103="","",IF('ORDENES'!$O103="","-",'ORDENES'!$O103))</f>
        <v/>
      </c>
      <c r="B125" s="3">
        <f>IF('ORDENES'!$A103="","",IF('ORDENES'!$R103="","-",'ORDENES'!$R103))</f>
        <v/>
      </c>
      <c r="C125" s="3">
        <f>IF('ORDENES'!$A103="","",IF('ORDENES'!$AF103="","-",'ORDENES'!$AF103))</f>
        <v/>
      </c>
      <c r="D125" s="3">
        <f>IF('ORDENES'!$A103="","",IF('ORDENES'!$X103="","-",'ORDENES'!$X103))</f>
        <v/>
      </c>
      <c r="E125" s="3">
        <f>IF('ORDENES'!$A103="","",IF('ORDENES'!$V103="","-",'ORDENES'!$V103))</f>
        <v/>
      </c>
      <c r="F125" s="3">
        <f>IF('ORDENES'!$A103="","",IF('ORDENES'!$Y103="","-",'ORDENES'!$Y103))</f>
        <v/>
      </c>
      <c r="G125" s="3">
        <f>IF('ORDENES'!$A103="","",IF('ORDENES'!$W103="","-",'ORDENES'!$W103))</f>
        <v/>
      </c>
      <c r="H125" s="3">
        <f>IF('ORDENES'!$A103="","",IF('ORDENES'!$AE103="","-",'ORDENES'!$AE103))</f>
        <v/>
      </c>
      <c r="I125" s="3">
        <f>IF('ORDENES'!$A103="","",IF('ORDENES'!$AQ103="","-",'ORDENES'!$AQ103))</f>
        <v/>
      </c>
      <c r="J125" s="3">
        <f>IF('ORDENES'!$A103="","",IF('ORDENES'!$D103="","-",'ORDENES'!$D103))</f>
        <v/>
      </c>
      <c r="K125" s="3">
        <f>IF('ORDENES'!$A103="","",IF('ORDENES'!$E103="","-",'ORDENES'!$E103))</f>
        <v/>
      </c>
      <c r="L125" s="13">
        <f>IF('ORDENES'!$A103="","",IF('ORDENES'!$M103="",0,'ORDENES'!$M103))</f>
        <v/>
      </c>
      <c r="M125" s="3">
        <f>IF('ORDENES'!$A103="","",IF('ORDENES'!$N103="","-",'ORDENES'!$N103))</f>
        <v/>
      </c>
      <c r="N125" s="3">
        <f>IF('ORDENES'!$A103="","",'ORDENES'!$AD103)</f>
        <v/>
      </c>
    </row>
    <row r="126">
      <c r="A126" s="3">
        <f>IF('ORDENES'!$A104="","",IF('ORDENES'!$O104="","-",'ORDENES'!$O104))</f>
        <v/>
      </c>
      <c r="B126" s="3">
        <f>IF('ORDENES'!$A104="","",IF('ORDENES'!$R104="","-",'ORDENES'!$R104))</f>
        <v/>
      </c>
      <c r="C126" s="3">
        <f>IF('ORDENES'!$A104="","",IF('ORDENES'!$AF104="","-",'ORDENES'!$AF104))</f>
        <v/>
      </c>
      <c r="D126" s="3">
        <f>IF('ORDENES'!$A104="","",IF('ORDENES'!$X104="","-",'ORDENES'!$X104))</f>
        <v/>
      </c>
      <c r="E126" s="3">
        <f>IF('ORDENES'!$A104="","",IF('ORDENES'!$V104="","-",'ORDENES'!$V104))</f>
        <v/>
      </c>
      <c r="F126" s="3">
        <f>IF('ORDENES'!$A104="","",IF('ORDENES'!$Y104="","-",'ORDENES'!$Y104))</f>
        <v/>
      </c>
      <c r="G126" s="3">
        <f>IF('ORDENES'!$A104="","",IF('ORDENES'!$W104="","-",'ORDENES'!$W104))</f>
        <v/>
      </c>
      <c r="H126" s="3">
        <f>IF('ORDENES'!$A104="","",IF('ORDENES'!$AE104="","-",'ORDENES'!$AE104))</f>
        <v/>
      </c>
      <c r="I126" s="3">
        <f>IF('ORDENES'!$A104="","",IF('ORDENES'!$AQ104="","-",'ORDENES'!$AQ104))</f>
        <v/>
      </c>
      <c r="J126" s="3">
        <f>IF('ORDENES'!$A104="","",IF('ORDENES'!$D104="","-",'ORDENES'!$D104))</f>
        <v/>
      </c>
      <c r="K126" s="3">
        <f>IF('ORDENES'!$A104="","",IF('ORDENES'!$E104="","-",'ORDENES'!$E104))</f>
        <v/>
      </c>
      <c r="L126" s="13">
        <f>IF('ORDENES'!$A104="","",IF('ORDENES'!$M104="",0,'ORDENES'!$M104))</f>
        <v/>
      </c>
      <c r="M126" s="3">
        <f>IF('ORDENES'!$A104="","",IF('ORDENES'!$N104="","-",'ORDENES'!$N104))</f>
        <v/>
      </c>
      <c r="N126" s="3">
        <f>IF('ORDENES'!$A104="","",'ORDENES'!$AD104)</f>
        <v/>
      </c>
    </row>
    <row r="127">
      <c r="A127" s="3">
        <f>IF('ORDENES'!$A105="","",IF('ORDENES'!$O105="","-",'ORDENES'!$O105))</f>
        <v/>
      </c>
      <c r="B127" s="3">
        <f>IF('ORDENES'!$A105="","",IF('ORDENES'!$R105="","-",'ORDENES'!$R105))</f>
        <v/>
      </c>
      <c r="C127" s="3">
        <f>IF('ORDENES'!$A105="","",IF('ORDENES'!$AF105="","-",'ORDENES'!$AF105))</f>
        <v/>
      </c>
      <c r="D127" s="3">
        <f>IF('ORDENES'!$A105="","",IF('ORDENES'!$X105="","-",'ORDENES'!$X105))</f>
        <v/>
      </c>
      <c r="E127" s="3">
        <f>IF('ORDENES'!$A105="","",IF('ORDENES'!$V105="","-",'ORDENES'!$V105))</f>
        <v/>
      </c>
      <c r="F127" s="3">
        <f>IF('ORDENES'!$A105="","",IF('ORDENES'!$Y105="","-",'ORDENES'!$Y105))</f>
        <v/>
      </c>
      <c r="G127" s="3">
        <f>IF('ORDENES'!$A105="","",IF('ORDENES'!$W105="","-",'ORDENES'!$W105))</f>
        <v/>
      </c>
      <c r="H127" s="3">
        <f>IF('ORDENES'!$A105="","",IF('ORDENES'!$AE105="","-",'ORDENES'!$AE105))</f>
        <v/>
      </c>
      <c r="I127" s="3">
        <f>IF('ORDENES'!$A105="","",IF('ORDENES'!$AQ105="","-",'ORDENES'!$AQ105))</f>
        <v/>
      </c>
      <c r="J127" s="3">
        <f>IF('ORDENES'!$A105="","",IF('ORDENES'!$D105="","-",'ORDENES'!$D105))</f>
        <v/>
      </c>
      <c r="K127" s="3">
        <f>IF('ORDENES'!$A105="","",IF('ORDENES'!$E105="","-",'ORDENES'!$E105))</f>
        <v/>
      </c>
      <c r="L127" s="13">
        <f>IF('ORDENES'!$A105="","",IF('ORDENES'!$M105="",0,'ORDENES'!$M105))</f>
        <v/>
      </c>
      <c r="M127" s="3">
        <f>IF('ORDENES'!$A105="","",IF('ORDENES'!$N105="","-",'ORDENES'!$N105))</f>
        <v/>
      </c>
      <c r="N127" s="3">
        <f>IF('ORDENES'!$A105="","",'ORDENES'!$AD105)</f>
        <v/>
      </c>
    </row>
    <row r="128">
      <c r="A128" s="3">
        <f>IF('ORDENES'!$A106="","",IF('ORDENES'!$O106="","-",'ORDENES'!$O106))</f>
        <v/>
      </c>
      <c r="B128" s="3">
        <f>IF('ORDENES'!$A106="","",IF('ORDENES'!$R106="","-",'ORDENES'!$R106))</f>
        <v/>
      </c>
      <c r="C128" s="3">
        <f>IF('ORDENES'!$A106="","",IF('ORDENES'!$AF106="","-",'ORDENES'!$AF106))</f>
        <v/>
      </c>
      <c r="D128" s="3">
        <f>IF('ORDENES'!$A106="","",IF('ORDENES'!$X106="","-",'ORDENES'!$X106))</f>
        <v/>
      </c>
      <c r="E128" s="3">
        <f>IF('ORDENES'!$A106="","",IF('ORDENES'!$V106="","-",'ORDENES'!$V106))</f>
        <v/>
      </c>
      <c r="F128" s="3">
        <f>IF('ORDENES'!$A106="","",IF('ORDENES'!$Y106="","-",'ORDENES'!$Y106))</f>
        <v/>
      </c>
      <c r="G128" s="3">
        <f>IF('ORDENES'!$A106="","",IF('ORDENES'!$W106="","-",'ORDENES'!$W106))</f>
        <v/>
      </c>
      <c r="H128" s="3">
        <f>IF('ORDENES'!$A106="","",IF('ORDENES'!$AE106="","-",'ORDENES'!$AE106))</f>
        <v/>
      </c>
      <c r="I128" s="3">
        <f>IF('ORDENES'!$A106="","",IF('ORDENES'!$AQ106="","-",'ORDENES'!$AQ106))</f>
        <v/>
      </c>
      <c r="J128" s="3">
        <f>IF('ORDENES'!$A106="","",IF('ORDENES'!$D106="","-",'ORDENES'!$D106))</f>
        <v/>
      </c>
      <c r="K128" s="3">
        <f>IF('ORDENES'!$A106="","",IF('ORDENES'!$E106="","-",'ORDENES'!$E106))</f>
        <v/>
      </c>
      <c r="L128" s="13">
        <f>IF('ORDENES'!$A106="","",IF('ORDENES'!$M106="",0,'ORDENES'!$M106))</f>
        <v/>
      </c>
      <c r="M128" s="3">
        <f>IF('ORDENES'!$A106="","",IF('ORDENES'!$N106="","-",'ORDENES'!$N106))</f>
        <v/>
      </c>
      <c r="N128" s="3">
        <f>IF('ORDENES'!$A106="","",'ORDENES'!$AD106)</f>
        <v/>
      </c>
    </row>
    <row r="129">
      <c r="A129" s="3">
        <f>IF('ORDENES'!$A107="","",IF('ORDENES'!$O107="","-",'ORDENES'!$O107))</f>
        <v/>
      </c>
      <c r="B129" s="3">
        <f>IF('ORDENES'!$A107="","",IF('ORDENES'!$R107="","-",'ORDENES'!$R107))</f>
        <v/>
      </c>
      <c r="C129" s="3">
        <f>IF('ORDENES'!$A107="","",IF('ORDENES'!$AF107="","-",'ORDENES'!$AF107))</f>
        <v/>
      </c>
      <c r="D129" s="3">
        <f>IF('ORDENES'!$A107="","",IF('ORDENES'!$X107="","-",'ORDENES'!$X107))</f>
        <v/>
      </c>
      <c r="E129" s="3">
        <f>IF('ORDENES'!$A107="","",IF('ORDENES'!$V107="","-",'ORDENES'!$V107))</f>
        <v/>
      </c>
      <c r="F129" s="3">
        <f>IF('ORDENES'!$A107="","",IF('ORDENES'!$Y107="","-",'ORDENES'!$Y107))</f>
        <v/>
      </c>
      <c r="G129" s="3">
        <f>IF('ORDENES'!$A107="","",IF('ORDENES'!$W107="","-",'ORDENES'!$W107))</f>
        <v/>
      </c>
      <c r="H129" s="3">
        <f>IF('ORDENES'!$A107="","",IF('ORDENES'!$AE107="","-",'ORDENES'!$AE107))</f>
        <v/>
      </c>
      <c r="I129" s="3">
        <f>IF('ORDENES'!$A107="","",IF('ORDENES'!$AQ107="","-",'ORDENES'!$AQ107))</f>
        <v/>
      </c>
      <c r="J129" s="3">
        <f>IF('ORDENES'!$A107="","",IF('ORDENES'!$D107="","-",'ORDENES'!$D107))</f>
        <v/>
      </c>
      <c r="K129" s="3">
        <f>IF('ORDENES'!$A107="","",IF('ORDENES'!$E107="","-",'ORDENES'!$E107))</f>
        <v/>
      </c>
      <c r="L129" s="13">
        <f>IF('ORDENES'!$A107="","",IF('ORDENES'!$M107="",0,'ORDENES'!$M107))</f>
        <v/>
      </c>
      <c r="M129" s="3">
        <f>IF('ORDENES'!$A107="","",IF('ORDENES'!$N107="","-",'ORDENES'!$N107))</f>
        <v/>
      </c>
      <c r="N129" s="3">
        <f>IF('ORDENES'!$A107="","",'ORDENES'!$AD107)</f>
        <v/>
      </c>
    </row>
    <row r="130">
      <c r="A130" s="3">
        <f>IF('ORDENES'!$A108="","",IF('ORDENES'!$O108="","-",'ORDENES'!$O108))</f>
        <v/>
      </c>
      <c r="B130" s="3">
        <f>IF('ORDENES'!$A108="","",IF('ORDENES'!$R108="","-",'ORDENES'!$R108))</f>
        <v/>
      </c>
      <c r="C130" s="3">
        <f>IF('ORDENES'!$A108="","",IF('ORDENES'!$AF108="","-",'ORDENES'!$AF108))</f>
        <v/>
      </c>
      <c r="D130" s="3">
        <f>IF('ORDENES'!$A108="","",IF('ORDENES'!$X108="","-",'ORDENES'!$X108))</f>
        <v/>
      </c>
      <c r="E130" s="3">
        <f>IF('ORDENES'!$A108="","",IF('ORDENES'!$V108="","-",'ORDENES'!$V108))</f>
        <v/>
      </c>
      <c r="F130" s="3">
        <f>IF('ORDENES'!$A108="","",IF('ORDENES'!$Y108="","-",'ORDENES'!$Y108))</f>
        <v/>
      </c>
      <c r="G130" s="3">
        <f>IF('ORDENES'!$A108="","",IF('ORDENES'!$W108="","-",'ORDENES'!$W108))</f>
        <v/>
      </c>
      <c r="H130" s="3">
        <f>IF('ORDENES'!$A108="","",IF('ORDENES'!$AE108="","-",'ORDENES'!$AE108))</f>
        <v/>
      </c>
      <c r="I130" s="3">
        <f>IF('ORDENES'!$A108="","",IF('ORDENES'!$AQ108="","-",'ORDENES'!$AQ108))</f>
        <v/>
      </c>
      <c r="J130" s="3">
        <f>IF('ORDENES'!$A108="","",IF('ORDENES'!$D108="","-",'ORDENES'!$D108))</f>
        <v/>
      </c>
      <c r="K130" s="3">
        <f>IF('ORDENES'!$A108="","",IF('ORDENES'!$E108="","-",'ORDENES'!$E108))</f>
        <v/>
      </c>
      <c r="L130" s="13">
        <f>IF('ORDENES'!$A108="","",IF('ORDENES'!$M108="",0,'ORDENES'!$M108))</f>
        <v/>
      </c>
      <c r="M130" s="3">
        <f>IF('ORDENES'!$A108="","",IF('ORDENES'!$N108="","-",'ORDENES'!$N108))</f>
        <v/>
      </c>
      <c r="N130" s="3">
        <f>IF('ORDENES'!$A108="","",'ORDENES'!$AD108)</f>
        <v/>
      </c>
    </row>
    <row r="131">
      <c r="A131" s="3">
        <f>IF('ORDENES'!$A109="","",IF('ORDENES'!$O109="","-",'ORDENES'!$O109))</f>
        <v/>
      </c>
      <c r="B131" s="3">
        <f>IF('ORDENES'!$A109="","",IF('ORDENES'!$R109="","-",'ORDENES'!$R109))</f>
        <v/>
      </c>
      <c r="C131" s="3">
        <f>IF('ORDENES'!$A109="","",IF('ORDENES'!$AF109="","-",'ORDENES'!$AF109))</f>
        <v/>
      </c>
      <c r="D131" s="3">
        <f>IF('ORDENES'!$A109="","",IF('ORDENES'!$X109="","-",'ORDENES'!$X109))</f>
        <v/>
      </c>
      <c r="E131" s="3">
        <f>IF('ORDENES'!$A109="","",IF('ORDENES'!$V109="","-",'ORDENES'!$V109))</f>
        <v/>
      </c>
      <c r="F131" s="3">
        <f>IF('ORDENES'!$A109="","",IF('ORDENES'!$Y109="","-",'ORDENES'!$Y109))</f>
        <v/>
      </c>
      <c r="G131" s="3">
        <f>IF('ORDENES'!$A109="","",IF('ORDENES'!$W109="","-",'ORDENES'!$W109))</f>
        <v/>
      </c>
      <c r="H131" s="3">
        <f>IF('ORDENES'!$A109="","",IF('ORDENES'!$AE109="","-",'ORDENES'!$AE109))</f>
        <v/>
      </c>
      <c r="I131" s="3">
        <f>IF('ORDENES'!$A109="","",IF('ORDENES'!$AQ109="","-",'ORDENES'!$AQ109))</f>
        <v/>
      </c>
      <c r="J131" s="3">
        <f>IF('ORDENES'!$A109="","",IF('ORDENES'!$D109="","-",'ORDENES'!$D109))</f>
        <v/>
      </c>
      <c r="K131" s="3">
        <f>IF('ORDENES'!$A109="","",IF('ORDENES'!$E109="","-",'ORDENES'!$E109))</f>
        <v/>
      </c>
      <c r="L131" s="13">
        <f>IF('ORDENES'!$A109="","",IF('ORDENES'!$M109="",0,'ORDENES'!$M109))</f>
        <v/>
      </c>
      <c r="M131" s="3">
        <f>IF('ORDENES'!$A109="","",IF('ORDENES'!$N109="","-",'ORDENES'!$N109))</f>
        <v/>
      </c>
      <c r="N131" s="3">
        <f>IF('ORDENES'!$A109="","",'ORDENES'!$AD109)</f>
        <v/>
      </c>
    </row>
    <row r="132">
      <c r="A132" s="3">
        <f>IF('ORDENES'!$A110="","",IF('ORDENES'!$O110="","-",'ORDENES'!$O110))</f>
        <v/>
      </c>
      <c r="B132" s="3">
        <f>IF('ORDENES'!$A110="","",IF('ORDENES'!$R110="","-",'ORDENES'!$R110))</f>
        <v/>
      </c>
      <c r="C132" s="3">
        <f>IF('ORDENES'!$A110="","",IF('ORDENES'!$AF110="","-",'ORDENES'!$AF110))</f>
        <v/>
      </c>
      <c r="D132" s="3">
        <f>IF('ORDENES'!$A110="","",IF('ORDENES'!$X110="","-",'ORDENES'!$X110))</f>
        <v/>
      </c>
      <c r="E132" s="3">
        <f>IF('ORDENES'!$A110="","",IF('ORDENES'!$V110="","-",'ORDENES'!$V110))</f>
        <v/>
      </c>
      <c r="F132" s="3">
        <f>IF('ORDENES'!$A110="","",IF('ORDENES'!$Y110="","-",'ORDENES'!$Y110))</f>
        <v/>
      </c>
      <c r="G132" s="3">
        <f>IF('ORDENES'!$A110="","",IF('ORDENES'!$W110="","-",'ORDENES'!$W110))</f>
        <v/>
      </c>
      <c r="H132" s="3">
        <f>IF('ORDENES'!$A110="","",IF('ORDENES'!$AE110="","-",'ORDENES'!$AE110))</f>
        <v/>
      </c>
      <c r="I132" s="3">
        <f>IF('ORDENES'!$A110="","",IF('ORDENES'!$AQ110="","-",'ORDENES'!$AQ110))</f>
        <v/>
      </c>
      <c r="J132" s="3">
        <f>IF('ORDENES'!$A110="","",IF('ORDENES'!$D110="","-",'ORDENES'!$D110))</f>
        <v/>
      </c>
      <c r="K132" s="3">
        <f>IF('ORDENES'!$A110="","",IF('ORDENES'!$E110="","-",'ORDENES'!$E110))</f>
        <v/>
      </c>
      <c r="L132" s="13">
        <f>IF('ORDENES'!$A110="","",IF('ORDENES'!$M110="",0,'ORDENES'!$M110))</f>
        <v/>
      </c>
      <c r="M132" s="3">
        <f>IF('ORDENES'!$A110="","",IF('ORDENES'!$N110="","-",'ORDENES'!$N110))</f>
        <v/>
      </c>
      <c r="N132" s="3">
        <f>IF('ORDENES'!$A110="","",'ORDENES'!$AD110)</f>
        <v/>
      </c>
    </row>
    <row r="133">
      <c r="A133" s="3">
        <f>IF('ORDENES'!$A111="","",IF('ORDENES'!$O111="","-",'ORDENES'!$O111))</f>
        <v/>
      </c>
      <c r="B133" s="3">
        <f>IF('ORDENES'!$A111="","",IF('ORDENES'!$R111="","-",'ORDENES'!$R111))</f>
        <v/>
      </c>
      <c r="C133" s="3">
        <f>IF('ORDENES'!$A111="","",IF('ORDENES'!$AF111="","-",'ORDENES'!$AF111))</f>
        <v/>
      </c>
      <c r="D133" s="3">
        <f>IF('ORDENES'!$A111="","",IF('ORDENES'!$X111="","-",'ORDENES'!$X111))</f>
        <v/>
      </c>
      <c r="E133" s="3">
        <f>IF('ORDENES'!$A111="","",IF('ORDENES'!$V111="","-",'ORDENES'!$V111))</f>
        <v/>
      </c>
      <c r="F133" s="3">
        <f>IF('ORDENES'!$A111="","",IF('ORDENES'!$Y111="","-",'ORDENES'!$Y111))</f>
        <v/>
      </c>
      <c r="G133" s="3">
        <f>IF('ORDENES'!$A111="","",IF('ORDENES'!$W111="","-",'ORDENES'!$W111))</f>
        <v/>
      </c>
      <c r="H133" s="3">
        <f>IF('ORDENES'!$A111="","",IF('ORDENES'!$AE111="","-",'ORDENES'!$AE111))</f>
        <v/>
      </c>
      <c r="I133" s="3">
        <f>IF('ORDENES'!$A111="","",IF('ORDENES'!$AQ111="","-",'ORDENES'!$AQ111))</f>
        <v/>
      </c>
      <c r="J133" s="3">
        <f>IF('ORDENES'!$A111="","",IF('ORDENES'!$D111="","-",'ORDENES'!$D111))</f>
        <v/>
      </c>
      <c r="K133" s="3">
        <f>IF('ORDENES'!$A111="","",IF('ORDENES'!$E111="","-",'ORDENES'!$E111))</f>
        <v/>
      </c>
      <c r="L133" s="13">
        <f>IF('ORDENES'!$A111="","",IF('ORDENES'!$M111="",0,'ORDENES'!$M111))</f>
        <v/>
      </c>
      <c r="M133" s="3">
        <f>IF('ORDENES'!$A111="","",IF('ORDENES'!$N111="","-",'ORDENES'!$N111))</f>
        <v/>
      </c>
      <c r="N133" s="3">
        <f>IF('ORDENES'!$A111="","",'ORDENES'!$AD111)</f>
        <v/>
      </c>
    </row>
    <row r="134">
      <c r="A134" s="3">
        <f>IF('ORDENES'!$A112="","",IF('ORDENES'!$O112="","-",'ORDENES'!$O112))</f>
        <v/>
      </c>
      <c r="B134" s="3">
        <f>IF('ORDENES'!$A112="","",IF('ORDENES'!$R112="","-",'ORDENES'!$R112))</f>
        <v/>
      </c>
      <c r="C134" s="3">
        <f>IF('ORDENES'!$A112="","",IF('ORDENES'!$AF112="","-",'ORDENES'!$AF112))</f>
        <v/>
      </c>
      <c r="D134" s="3">
        <f>IF('ORDENES'!$A112="","",IF('ORDENES'!$X112="","-",'ORDENES'!$X112))</f>
        <v/>
      </c>
      <c r="E134" s="3">
        <f>IF('ORDENES'!$A112="","",IF('ORDENES'!$V112="","-",'ORDENES'!$V112))</f>
        <v/>
      </c>
      <c r="F134" s="3">
        <f>IF('ORDENES'!$A112="","",IF('ORDENES'!$Y112="","-",'ORDENES'!$Y112))</f>
        <v/>
      </c>
      <c r="G134" s="3">
        <f>IF('ORDENES'!$A112="","",IF('ORDENES'!$W112="","-",'ORDENES'!$W112))</f>
        <v/>
      </c>
      <c r="H134" s="3">
        <f>IF('ORDENES'!$A112="","",IF('ORDENES'!$AE112="","-",'ORDENES'!$AE112))</f>
        <v/>
      </c>
      <c r="I134" s="3">
        <f>IF('ORDENES'!$A112="","",IF('ORDENES'!$AQ112="","-",'ORDENES'!$AQ112))</f>
        <v/>
      </c>
      <c r="J134" s="3">
        <f>IF('ORDENES'!$A112="","",IF('ORDENES'!$D112="","-",'ORDENES'!$D112))</f>
        <v/>
      </c>
      <c r="K134" s="3">
        <f>IF('ORDENES'!$A112="","",IF('ORDENES'!$E112="","-",'ORDENES'!$E112))</f>
        <v/>
      </c>
      <c r="L134" s="13">
        <f>IF('ORDENES'!$A112="","",IF('ORDENES'!$M112="",0,'ORDENES'!$M112))</f>
        <v/>
      </c>
      <c r="M134" s="3">
        <f>IF('ORDENES'!$A112="","",IF('ORDENES'!$N112="","-",'ORDENES'!$N112))</f>
        <v/>
      </c>
      <c r="N134" s="3">
        <f>IF('ORDENES'!$A112="","",'ORDENES'!$AD112)</f>
        <v/>
      </c>
    </row>
    <row r="135">
      <c r="A135" s="3">
        <f>IF('ORDENES'!$A113="","",IF('ORDENES'!$O113="","-",'ORDENES'!$O113))</f>
        <v/>
      </c>
      <c r="B135" s="3">
        <f>IF('ORDENES'!$A113="","",IF('ORDENES'!$R113="","-",'ORDENES'!$R113))</f>
        <v/>
      </c>
      <c r="C135" s="3">
        <f>IF('ORDENES'!$A113="","",IF('ORDENES'!$AF113="","-",'ORDENES'!$AF113))</f>
        <v/>
      </c>
      <c r="D135" s="3">
        <f>IF('ORDENES'!$A113="","",IF('ORDENES'!$X113="","-",'ORDENES'!$X113))</f>
        <v/>
      </c>
      <c r="E135" s="3">
        <f>IF('ORDENES'!$A113="","",IF('ORDENES'!$V113="","-",'ORDENES'!$V113))</f>
        <v/>
      </c>
      <c r="F135" s="3">
        <f>IF('ORDENES'!$A113="","",IF('ORDENES'!$Y113="","-",'ORDENES'!$Y113))</f>
        <v/>
      </c>
      <c r="G135" s="3">
        <f>IF('ORDENES'!$A113="","",IF('ORDENES'!$W113="","-",'ORDENES'!$W113))</f>
        <v/>
      </c>
      <c r="H135" s="3">
        <f>IF('ORDENES'!$A113="","",IF('ORDENES'!$AE113="","-",'ORDENES'!$AE113))</f>
        <v/>
      </c>
      <c r="I135" s="3">
        <f>IF('ORDENES'!$A113="","",IF('ORDENES'!$AQ113="","-",'ORDENES'!$AQ113))</f>
        <v/>
      </c>
      <c r="J135" s="3">
        <f>IF('ORDENES'!$A113="","",IF('ORDENES'!$D113="","-",'ORDENES'!$D113))</f>
        <v/>
      </c>
      <c r="K135" s="3">
        <f>IF('ORDENES'!$A113="","",IF('ORDENES'!$E113="","-",'ORDENES'!$E113))</f>
        <v/>
      </c>
      <c r="L135" s="13">
        <f>IF('ORDENES'!$A113="","",IF('ORDENES'!$M113="",0,'ORDENES'!$M113))</f>
        <v/>
      </c>
      <c r="M135" s="3">
        <f>IF('ORDENES'!$A113="","",IF('ORDENES'!$N113="","-",'ORDENES'!$N113))</f>
        <v/>
      </c>
      <c r="N135" s="3">
        <f>IF('ORDENES'!$A113="","",'ORDENES'!$AD113)</f>
        <v/>
      </c>
    </row>
    <row r="136">
      <c r="A136" s="3">
        <f>IF('ORDENES'!$A114="","",IF('ORDENES'!$O114="","-",'ORDENES'!$O114))</f>
        <v/>
      </c>
      <c r="B136" s="3">
        <f>IF('ORDENES'!$A114="","",IF('ORDENES'!$R114="","-",'ORDENES'!$R114))</f>
        <v/>
      </c>
      <c r="C136" s="3">
        <f>IF('ORDENES'!$A114="","",IF('ORDENES'!$AF114="","-",'ORDENES'!$AF114))</f>
        <v/>
      </c>
      <c r="D136" s="3">
        <f>IF('ORDENES'!$A114="","",IF('ORDENES'!$X114="","-",'ORDENES'!$X114))</f>
        <v/>
      </c>
      <c r="E136" s="3">
        <f>IF('ORDENES'!$A114="","",IF('ORDENES'!$V114="","-",'ORDENES'!$V114))</f>
        <v/>
      </c>
      <c r="F136" s="3">
        <f>IF('ORDENES'!$A114="","",IF('ORDENES'!$Y114="","-",'ORDENES'!$Y114))</f>
        <v/>
      </c>
      <c r="G136" s="3">
        <f>IF('ORDENES'!$A114="","",IF('ORDENES'!$W114="","-",'ORDENES'!$W114))</f>
        <v/>
      </c>
      <c r="H136" s="3">
        <f>IF('ORDENES'!$A114="","",IF('ORDENES'!$AE114="","-",'ORDENES'!$AE114))</f>
        <v/>
      </c>
      <c r="I136" s="3">
        <f>IF('ORDENES'!$A114="","",IF('ORDENES'!$AQ114="","-",'ORDENES'!$AQ114))</f>
        <v/>
      </c>
      <c r="J136" s="3">
        <f>IF('ORDENES'!$A114="","",IF('ORDENES'!$D114="","-",'ORDENES'!$D114))</f>
        <v/>
      </c>
      <c r="K136" s="3">
        <f>IF('ORDENES'!$A114="","",IF('ORDENES'!$E114="","-",'ORDENES'!$E114))</f>
        <v/>
      </c>
      <c r="L136" s="13">
        <f>IF('ORDENES'!$A114="","",IF('ORDENES'!$M114="",0,'ORDENES'!$M114))</f>
        <v/>
      </c>
      <c r="M136" s="3">
        <f>IF('ORDENES'!$A114="","",IF('ORDENES'!$N114="","-",'ORDENES'!$N114))</f>
        <v/>
      </c>
      <c r="N136" s="3">
        <f>IF('ORDENES'!$A114="","",'ORDENES'!$AD114)</f>
        <v/>
      </c>
    </row>
    <row r="137">
      <c r="A137" s="3">
        <f>IF('ORDENES'!$A115="","",IF('ORDENES'!$O115="","-",'ORDENES'!$O115))</f>
        <v/>
      </c>
      <c r="B137" s="3">
        <f>IF('ORDENES'!$A115="","",IF('ORDENES'!$R115="","-",'ORDENES'!$R115))</f>
        <v/>
      </c>
      <c r="C137" s="3">
        <f>IF('ORDENES'!$A115="","",IF('ORDENES'!$AF115="","-",'ORDENES'!$AF115))</f>
        <v/>
      </c>
      <c r="D137" s="3">
        <f>IF('ORDENES'!$A115="","",IF('ORDENES'!$X115="","-",'ORDENES'!$X115))</f>
        <v/>
      </c>
      <c r="E137" s="3">
        <f>IF('ORDENES'!$A115="","",IF('ORDENES'!$V115="","-",'ORDENES'!$V115))</f>
        <v/>
      </c>
      <c r="F137" s="3">
        <f>IF('ORDENES'!$A115="","",IF('ORDENES'!$Y115="","-",'ORDENES'!$Y115))</f>
        <v/>
      </c>
      <c r="G137" s="3">
        <f>IF('ORDENES'!$A115="","",IF('ORDENES'!$W115="","-",'ORDENES'!$W115))</f>
        <v/>
      </c>
      <c r="H137" s="3">
        <f>IF('ORDENES'!$A115="","",IF('ORDENES'!$AE115="","-",'ORDENES'!$AE115))</f>
        <v/>
      </c>
      <c r="I137" s="3">
        <f>IF('ORDENES'!$A115="","",IF('ORDENES'!$AQ115="","-",'ORDENES'!$AQ115))</f>
        <v/>
      </c>
      <c r="J137" s="3">
        <f>IF('ORDENES'!$A115="","",IF('ORDENES'!$D115="","-",'ORDENES'!$D115))</f>
        <v/>
      </c>
      <c r="K137" s="3">
        <f>IF('ORDENES'!$A115="","",IF('ORDENES'!$E115="","-",'ORDENES'!$E115))</f>
        <v/>
      </c>
      <c r="L137" s="13">
        <f>IF('ORDENES'!$A115="","",IF('ORDENES'!$M115="",0,'ORDENES'!$M115))</f>
        <v/>
      </c>
      <c r="M137" s="3">
        <f>IF('ORDENES'!$A115="","",IF('ORDENES'!$N115="","-",'ORDENES'!$N115))</f>
        <v/>
      </c>
      <c r="N137" s="3">
        <f>IF('ORDENES'!$A115="","",'ORDENES'!$AD115)</f>
        <v/>
      </c>
    </row>
    <row r="138">
      <c r="A138" s="3">
        <f>IF('ORDENES'!$A116="","",IF('ORDENES'!$O116="","-",'ORDENES'!$O116))</f>
        <v/>
      </c>
      <c r="B138" s="3">
        <f>IF('ORDENES'!$A116="","",IF('ORDENES'!$R116="","-",'ORDENES'!$R116))</f>
        <v/>
      </c>
      <c r="C138" s="3">
        <f>IF('ORDENES'!$A116="","",IF('ORDENES'!$AF116="","-",'ORDENES'!$AF116))</f>
        <v/>
      </c>
      <c r="D138" s="3">
        <f>IF('ORDENES'!$A116="","",IF('ORDENES'!$X116="","-",'ORDENES'!$X116))</f>
        <v/>
      </c>
      <c r="E138" s="3">
        <f>IF('ORDENES'!$A116="","",IF('ORDENES'!$V116="","-",'ORDENES'!$V116))</f>
        <v/>
      </c>
      <c r="F138" s="3">
        <f>IF('ORDENES'!$A116="","",IF('ORDENES'!$Y116="","-",'ORDENES'!$Y116))</f>
        <v/>
      </c>
      <c r="G138" s="3">
        <f>IF('ORDENES'!$A116="","",IF('ORDENES'!$W116="","-",'ORDENES'!$W116))</f>
        <v/>
      </c>
      <c r="H138" s="3">
        <f>IF('ORDENES'!$A116="","",IF('ORDENES'!$AE116="","-",'ORDENES'!$AE116))</f>
        <v/>
      </c>
      <c r="I138" s="3">
        <f>IF('ORDENES'!$A116="","",IF('ORDENES'!$AQ116="","-",'ORDENES'!$AQ116))</f>
        <v/>
      </c>
      <c r="J138" s="3">
        <f>IF('ORDENES'!$A116="","",IF('ORDENES'!$D116="","-",'ORDENES'!$D116))</f>
        <v/>
      </c>
      <c r="K138" s="3">
        <f>IF('ORDENES'!$A116="","",IF('ORDENES'!$E116="","-",'ORDENES'!$E116))</f>
        <v/>
      </c>
      <c r="L138" s="13">
        <f>IF('ORDENES'!$A116="","",IF('ORDENES'!$M116="",0,'ORDENES'!$M116))</f>
        <v/>
      </c>
      <c r="M138" s="3">
        <f>IF('ORDENES'!$A116="","",IF('ORDENES'!$N116="","-",'ORDENES'!$N116))</f>
        <v/>
      </c>
      <c r="N138" s="3">
        <f>IF('ORDENES'!$A116="","",'ORDENES'!$AD116)</f>
        <v/>
      </c>
    </row>
    <row r="139">
      <c r="A139" s="3">
        <f>IF('ORDENES'!$A117="","",IF('ORDENES'!$O117="","-",'ORDENES'!$O117))</f>
        <v/>
      </c>
      <c r="B139" s="3">
        <f>IF('ORDENES'!$A117="","",IF('ORDENES'!$R117="","-",'ORDENES'!$R117))</f>
        <v/>
      </c>
      <c r="C139" s="3">
        <f>IF('ORDENES'!$A117="","",IF('ORDENES'!$AF117="","-",'ORDENES'!$AF117))</f>
        <v/>
      </c>
      <c r="D139" s="3">
        <f>IF('ORDENES'!$A117="","",IF('ORDENES'!$X117="","-",'ORDENES'!$X117))</f>
        <v/>
      </c>
      <c r="E139" s="3">
        <f>IF('ORDENES'!$A117="","",IF('ORDENES'!$V117="","-",'ORDENES'!$V117))</f>
        <v/>
      </c>
      <c r="F139" s="3">
        <f>IF('ORDENES'!$A117="","",IF('ORDENES'!$Y117="","-",'ORDENES'!$Y117))</f>
        <v/>
      </c>
      <c r="G139" s="3">
        <f>IF('ORDENES'!$A117="","",IF('ORDENES'!$W117="","-",'ORDENES'!$W117))</f>
        <v/>
      </c>
      <c r="H139" s="3">
        <f>IF('ORDENES'!$A117="","",IF('ORDENES'!$AE117="","-",'ORDENES'!$AE117))</f>
        <v/>
      </c>
      <c r="I139" s="3">
        <f>IF('ORDENES'!$A117="","",IF('ORDENES'!$AQ117="","-",'ORDENES'!$AQ117))</f>
        <v/>
      </c>
      <c r="J139" s="3">
        <f>IF('ORDENES'!$A117="","",IF('ORDENES'!$D117="","-",'ORDENES'!$D117))</f>
        <v/>
      </c>
      <c r="K139" s="3">
        <f>IF('ORDENES'!$A117="","",IF('ORDENES'!$E117="","-",'ORDENES'!$E117))</f>
        <v/>
      </c>
      <c r="L139" s="13">
        <f>IF('ORDENES'!$A117="","",IF('ORDENES'!$M117="",0,'ORDENES'!$M117))</f>
        <v/>
      </c>
      <c r="M139" s="3">
        <f>IF('ORDENES'!$A117="","",IF('ORDENES'!$N117="","-",'ORDENES'!$N117))</f>
        <v/>
      </c>
      <c r="N139" s="3">
        <f>IF('ORDENES'!$A117="","",'ORDENES'!$AD117)</f>
        <v/>
      </c>
    </row>
    <row r="140">
      <c r="A140" s="3">
        <f>IF('ORDENES'!$A118="","",IF('ORDENES'!$O118="","-",'ORDENES'!$O118))</f>
        <v/>
      </c>
      <c r="B140" s="3">
        <f>IF('ORDENES'!$A118="","",IF('ORDENES'!$R118="","-",'ORDENES'!$R118))</f>
        <v/>
      </c>
      <c r="C140" s="3">
        <f>IF('ORDENES'!$A118="","",IF('ORDENES'!$AF118="","-",'ORDENES'!$AF118))</f>
        <v/>
      </c>
      <c r="D140" s="3">
        <f>IF('ORDENES'!$A118="","",IF('ORDENES'!$X118="","-",'ORDENES'!$X118))</f>
        <v/>
      </c>
      <c r="E140" s="3">
        <f>IF('ORDENES'!$A118="","",IF('ORDENES'!$V118="","-",'ORDENES'!$V118))</f>
        <v/>
      </c>
      <c r="F140" s="3">
        <f>IF('ORDENES'!$A118="","",IF('ORDENES'!$Y118="","-",'ORDENES'!$Y118))</f>
        <v/>
      </c>
      <c r="G140" s="3">
        <f>IF('ORDENES'!$A118="","",IF('ORDENES'!$W118="","-",'ORDENES'!$W118))</f>
        <v/>
      </c>
      <c r="H140" s="3">
        <f>IF('ORDENES'!$A118="","",IF('ORDENES'!$AE118="","-",'ORDENES'!$AE118))</f>
        <v/>
      </c>
      <c r="I140" s="3">
        <f>IF('ORDENES'!$A118="","",IF('ORDENES'!$AQ118="","-",'ORDENES'!$AQ118))</f>
        <v/>
      </c>
      <c r="J140" s="3">
        <f>IF('ORDENES'!$A118="","",IF('ORDENES'!$D118="","-",'ORDENES'!$D118))</f>
        <v/>
      </c>
      <c r="K140" s="3">
        <f>IF('ORDENES'!$A118="","",IF('ORDENES'!$E118="","-",'ORDENES'!$E118))</f>
        <v/>
      </c>
      <c r="L140" s="13">
        <f>IF('ORDENES'!$A118="","",IF('ORDENES'!$M118="",0,'ORDENES'!$M118))</f>
        <v/>
      </c>
      <c r="M140" s="3">
        <f>IF('ORDENES'!$A118="","",IF('ORDENES'!$N118="","-",'ORDENES'!$N118))</f>
        <v/>
      </c>
      <c r="N140" s="3">
        <f>IF('ORDENES'!$A118="","",'ORDENES'!$AD118)</f>
        <v/>
      </c>
    </row>
    <row r="141">
      <c r="A141" s="3">
        <f>IF('ORDENES'!$A119="","",IF('ORDENES'!$O119="","-",'ORDENES'!$O119))</f>
        <v/>
      </c>
      <c r="B141" s="3">
        <f>IF('ORDENES'!$A119="","",IF('ORDENES'!$R119="","-",'ORDENES'!$R119))</f>
        <v/>
      </c>
      <c r="C141" s="3">
        <f>IF('ORDENES'!$A119="","",IF('ORDENES'!$AF119="","-",'ORDENES'!$AF119))</f>
        <v/>
      </c>
      <c r="D141" s="3">
        <f>IF('ORDENES'!$A119="","",IF('ORDENES'!$X119="","-",'ORDENES'!$X119))</f>
        <v/>
      </c>
      <c r="E141" s="3">
        <f>IF('ORDENES'!$A119="","",IF('ORDENES'!$V119="","-",'ORDENES'!$V119))</f>
        <v/>
      </c>
      <c r="F141" s="3">
        <f>IF('ORDENES'!$A119="","",IF('ORDENES'!$Y119="","-",'ORDENES'!$Y119))</f>
        <v/>
      </c>
      <c r="G141" s="3">
        <f>IF('ORDENES'!$A119="","",IF('ORDENES'!$W119="","-",'ORDENES'!$W119))</f>
        <v/>
      </c>
      <c r="H141" s="3">
        <f>IF('ORDENES'!$A119="","",IF('ORDENES'!$AE119="","-",'ORDENES'!$AE119))</f>
        <v/>
      </c>
      <c r="I141" s="3">
        <f>IF('ORDENES'!$A119="","",IF('ORDENES'!$AQ119="","-",'ORDENES'!$AQ119))</f>
        <v/>
      </c>
      <c r="J141" s="3">
        <f>IF('ORDENES'!$A119="","",IF('ORDENES'!$D119="","-",'ORDENES'!$D119))</f>
        <v/>
      </c>
      <c r="K141" s="3">
        <f>IF('ORDENES'!$A119="","",IF('ORDENES'!$E119="","-",'ORDENES'!$E119))</f>
        <v/>
      </c>
      <c r="L141" s="13">
        <f>IF('ORDENES'!$A119="","",IF('ORDENES'!$M119="",0,'ORDENES'!$M119))</f>
        <v/>
      </c>
      <c r="M141" s="3">
        <f>IF('ORDENES'!$A119="","",IF('ORDENES'!$N119="","-",'ORDENES'!$N119))</f>
        <v/>
      </c>
      <c r="N141" s="3">
        <f>IF('ORDENES'!$A119="","",'ORDENES'!$AD119)</f>
        <v/>
      </c>
    </row>
    <row r="142">
      <c r="A142" s="3">
        <f>IF('ORDENES'!$A120="","",IF('ORDENES'!$O120="","-",'ORDENES'!$O120))</f>
        <v/>
      </c>
      <c r="B142" s="3">
        <f>IF('ORDENES'!$A120="","",IF('ORDENES'!$R120="","-",'ORDENES'!$R120))</f>
        <v/>
      </c>
      <c r="C142" s="3">
        <f>IF('ORDENES'!$A120="","",IF('ORDENES'!$AF120="","-",'ORDENES'!$AF120))</f>
        <v/>
      </c>
      <c r="D142" s="3">
        <f>IF('ORDENES'!$A120="","",IF('ORDENES'!$X120="","-",'ORDENES'!$X120))</f>
        <v/>
      </c>
      <c r="E142" s="3">
        <f>IF('ORDENES'!$A120="","",IF('ORDENES'!$V120="","-",'ORDENES'!$V120))</f>
        <v/>
      </c>
      <c r="F142" s="3">
        <f>IF('ORDENES'!$A120="","",IF('ORDENES'!$Y120="","-",'ORDENES'!$Y120))</f>
        <v/>
      </c>
      <c r="G142" s="3">
        <f>IF('ORDENES'!$A120="","",IF('ORDENES'!$W120="","-",'ORDENES'!$W120))</f>
        <v/>
      </c>
      <c r="H142" s="3">
        <f>IF('ORDENES'!$A120="","",IF('ORDENES'!$AE120="","-",'ORDENES'!$AE120))</f>
        <v/>
      </c>
      <c r="I142" s="3">
        <f>IF('ORDENES'!$A120="","",IF('ORDENES'!$AQ120="","-",'ORDENES'!$AQ120))</f>
        <v/>
      </c>
      <c r="J142" s="3">
        <f>IF('ORDENES'!$A120="","",IF('ORDENES'!$D120="","-",'ORDENES'!$D120))</f>
        <v/>
      </c>
      <c r="K142" s="3">
        <f>IF('ORDENES'!$A120="","",IF('ORDENES'!$E120="","-",'ORDENES'!$E120))</f>
        <v/>
      </c>
      <c r="L142" s="13">
        <f>IF('ORDENES'!$A120="","",IF('ORDENES'!$M120="",0,'ORDENES'!$M120))</f>
        <v/>
      </c>
      <c r="M142" s="3">
        <f>IF('ORDENES'!$A120="","",IF('ORDENES'!$N120="","-",'ORDENES'!$N120))</f>
        <v/>
      </c>
      <c r="N142" s="3">
        <f>IF('ORDENES'!$A120="","",'ORDENES'!$AD120)</f>
        <v/>
      </c>
    </row>
    <row r="143">
      <c r="A143" s="3">
        <f>IF('ORDENES'!$A121="","",IF('ORDENES'!$O121="","-",'ORDENES'!$O121))</f>
        <v/>
      </c>
      <c r="B143" s="3">
        <f>IF('ORDENES'!$A121="","",IF('ORDENES'!$R121="","-",'ORDENES'!$R121))</f>
        <v/>
      </c>
      <c r="C143" s="3">
        <f>IF('ORDENES'!$A121="","",IF('ORDENES'!$AF121="","-",'ORDENES'!$AF121))</f>
        <v/>
      </c>
      <c r="D143" s="3">
        <f>IF('ORDENES'!$A121="","",IF('ORDENES'!$X121="","-",'ORDENES'!$X121))</f>
        <v/>
      </c>
      <c r="E143" s="3">
        <f>IF('ORDENES'!$A121="","",IF('ORDENES'!$V121="","-",'ORDENES'!$V121))</f>
        <v/>
      </c>
      <c r="F143" s="3">
        <f>IF('ORDENES'!$A121="","",IF('ORDENES'!$Y121="","-",'ORDENES'!$Y121))</f>
        <v/>
      </c>
      <c r="G143" s="3">
        <f>IF('ORDENES'!$A121="","",IF('ORDENES'!$W121="","-",'ORDENES'!$W121))</f>
        <v/>
      </c>
      <c r="H143" s="3">
        <f>IF('ORDENES'!$A121="","",IF('ORDENES'!$AE121="","-",'ORDENES'!$AE121))</f>
        <v/>
      </c>
      <c r="I143" s="3">
        <f>IF('ORDENES'!$A121="","",IF('ORDENES'!$AQ121="","-",'ORDENES'!$AQ121))</f>
        <v/>
      </c>
      <c r="J143" s="3">
        <f>IF('ORDENES'!$A121="","",IF('ORDENES'!$D121="","-",'ORDENES'!$D121))</f>
        <v/>
      </c>
      <c r="K143" s="3">
        <f>IF('ORDENES'!$A121="","",IF('ORDENES'!$E121="","-",'ORDENES'!$E121))</f>
        <v/>
      </c>
      <c r="L143" s="13">
        <f>IF('ORDENES'!$A121="","",IF('ORDENES'!$M121="",0,'ORDENES'!$M121))</f>
        <v/>
      </c>
      <c r="M143" s="3">
        <f>IF('ORDENES'!$A121="","",IF('ORDENES'!$N121="","-",'ORDENES'!$N121))</f>
        <v/>
      </c>
      <c r="N143" s="3">
        <f>IF('ORDENES'!$A121="","",'ORDENES'!$AD121)</f>
        <v/>
      </c>
    </row>
    <row r="144">
      <c r="A144" s="3">
        <f>IF('ORDENES'!$A122="","",IF('ORDENES'!$O122="","-",'ORDENES'!$O122))</f>
        <v/>
      </c>
      <c r="B144" s="3">
        <f>IF('ORDENES'!$A122="","",IF('ORDENES'!$R122="","-",'ORDENES'!$R122))</f>
        <v/>
      </c>
      <c r="C144" s="3">
        <f>IF('ORDENES'!$A122="","",IF('ORDENES'!$AF122="","-",'ORDENES'!$AF122))</f>
        <v/>
      </c>
      <c r="D144" s="3">
        <f>IF('ORDENES'!$A122="","",IF('ORDENES'!$X122="","-",'ORDENES'!$X122))</f>
        <v/>
      </c>
      <c r="E144" s="3">
        <f>IF('ORDENES'!$A122="","",IF('ORDENES'!$V122="","-",'ORDENES'!$V122))</f>
        <v/>
      </c>
      <c r="F144" s="3">
        <f>IF('ORDENES'!$A122="","",IF('ORDENES'!$Y122="","-",'ORDENES'!$Y122))</f>
        <v/>
      </c>
      <c r="G144" s="3">
        <f>IF('ORDENES'!$A122="","",IF('ORDENES'!$W122="","-",'ORDENES'!$W122))</f>
        <v/>
      </c>
      <c r="H144" s="3">
        <f>IF('ORDENES'!$A122="","",IF('ORDENES'!$AE122="","-",'ORDENES'!$AE122))</f>
        <v/>
      </c>
      <c r="I144" s="3">
        <f>IF('ORDENES'!$A122="","",IF('ORDENES'!$AQ122="","-",'ORDENES'!$AQ122))</f>
        <v/>
      </c>
      <c r="J144" s="3">
        <f>IF('ORDENES'!$A122="","",IF('ORDENES'!$D122="","-",'ORDENES'!$D122))</f>
        <v/>
      </c>
      <c r="K144" s="3">
        <f>IF('ORDENES'!$A122="","",IF('ORDENES'!$E122="","-",'ORDENES'!$E122))</f>
        <v/>
      </c>
      <c r="L144" s="13">
        <f>IF('ORDENES'!$A122="","",IF('ORDENES'!$M122="",0,'ORDENES'!$M122))</f>
        <v/>
      </c>
      <c r="M144" s="3">
        <f>IF('ORDENES'!$A122="","",IF('ORDENES'!$N122="","-",'ORDENES'!$N122))</f>
        <v/>
      </c>
      <c r="N144" s="3">
        <f>IF('ORDENES'!$A122="","",'ORDENES'!$AD122)</f>
        <v/>
      </c>
    </row>
    <row r="145">
      <c r="A145" s="3">
        <f>IF('ORDENES'!$A123="","",IF('ORDENES'!$O123="","-",'ORDENES'!$O123))</f>
        <v/>
      </c>
      <c r="B145" s="3">
        <f>IF('ORDENES'!$A123="","",IF('ORDENES'!$R123="","-",'ORDENES'!$R123))</f>
        <v/>
      </c>
      <c r="C145" s="3">
        <f>IF('ORDENES'!$A123="","",IF('ORDENES'!$AF123="","-",'ORDENES'!$AF123))</f>
        <v/>
      </c>
      <c r="D145" s="3">
        <f>IF('ORDENES'!$A123="","",IF('ORDENES'!$X123="","-",'ORDENES'!$X123))</f>
        <v/>
      </c>
      <c r="E145" s="3">
        <f>IF('ORDENES'!$A123="","",IF('ORDENES'!$V123="","-",'ORDENES'!$V123))</f>
        <v/>
      </c>
      <c r="F145" s="3">
        <f>IF('ORDENES'!$A123="","",IF('ORDENES'!$Y123="","-",'ORDENES'!$Y123))</f>
        <v/>
      </c>
      <c r="G145" s="3">
        <f>IF('ORDENES'!$A123="","",IF('ORDENES'!$W123="","-",'ORDENES'!$W123))</f>
        <v/>
      </c>
      <c r="H145" s="3">
        <f>IF('ORDENES'!$A123="","",IF('ORDENES'!$AE123="","-",'ORDENES'!$AE123))</f>
        <v/>
      </c>
      <c r="I145" s="3">
        <f>IF('ORDENES'!$A123="","",IF('ORDENES'!$AQ123="","-",'ORDENES'!$AQ123))</f>
        <v/>
      </c>
      <c r="J145" s="3">
        <f>IF('ORDENES'!$A123="","",IF('ORDENES'!$D123="","-",'ORDENES'!$D123))</f>
        <v/>
      </c>
      <c r="K145" s="3">
        <f>IF('ORDENES'!$A123="","",IF('ORDENES'!$E123="","-",'ORDENES'!$E123))</f>
        <v/>
      </c>
      <c r="L145" s="13">
        <f>IF('ORDENES'!$A123="","",IF('ORDENES'!$M123="",0,'ORDENES'!$M123))</f>
        <v/>
      </c>
      <c r="M145" s="3">
        <f>IF('ORDENES'!$A123="","",IF('ORDENES'!$N123="","-",'ORDENES'!$N123))</f>
        <v/>
      </c>
      <c r="N145" s="3">
        <f>IF('ORDENES'!$A123="","",'ORDENES'!$AD123)</f>
        <v/>
      </c>
    </row>
    <row r="146">
      <c r="A146" s="3">
        <f>IF('ORDENES'!$A124="","",IF('ORDENES'!$O124="","-",'ORDENES'!$O124))</f>
        <v/>
      </c>
      <c r="B146" s="3">
        <f>IF('ORDENES'!$A124="","",IF('ORDENES'!$R124="","-",'ORDENES'!$R124))</f>
        <v/>
      </c>
      <c r="C146" s="3">
        <f>IF('ORDENES'!$A124="","",IF('ORDENES'!$AF124="","-",'ORDENES'!$AF124))</f>
        <v/>
      </c>
      <c r="D146" s="3">
        <f>IF('ORDENES'!$A124="","",IF('ORDENES'!$X124="","-",'ORDENES'!$X124))</f>
        <v/>
      </c>
      <c r="E146" s="3">
        <f>IF('ORDENES'!$A124="","",IF('ORDENES'!$V124="","-",'ORDENES'!$V124))</f>
        <v/>
      </c>
      <c r="F146" s="3">
        <f>IF('ORDENES'!$A124="","",IF('ORDENES'!$Y124="","-",'ORDENES'!$Y124))</f>
        <v/>
      </c>
      <c r="G146" s="3">
        <f>IF('ORDENES'!$A124="","",IF('ORDENES'!$W124="","-",'ORDENES'!$W124))</f>
        <v/>
      </c>
      <c r="H146" s="3">
        <f>IF('ORDENES'!$A124="","",IF('ORDENES'!$AE124="","-",'ORDENES'!$AE124))</f>
        <v/>
      </c>
      <c r="I146" s="3">
        <f>IF('ORDENES'!$A124="","",IF('ORDENES'!$AQ124="","-",'ORDENES'!$AQ124))</f>
        <v/>
      </c>
      <c r="J146" s="3">
        <f>IF('ORDENES'!$A124="","",IF('ORDENES'!$D124="","-",'ORDENES'!$D124))</f>
        <v/>
      </c>
      <c r="K146" s="3">
        <f>IF('ORDENES'!$A124="","",IF('ORDENES'!$E124="","-",'ORDENES'!$E124))</f>
        <v/>
      </c>
      <c r="L146" s="13">
        <f>IF('ORDENES'!$A124="","",IF('ORDENES'!$M124="",0,'ORDENES'!$M124))</f>
        <v/>
      </c>
      <c r="M146" s="3">
        <f>IF('ORDENES'!$A124="","",IF('ORDENES'!$N124="","-",'ORDENES'!$N124))</f>
        <v/>
      </c>
      <c r="N146" s="3">
        <f>IF('ORDENES'!$A124="","",'ORDENES'!$AD124)</f>
        <v/>
      </c>
    </row>
    <row r="147">
      <c r="A147" s="3">
        <f>IF('ORDENES'!$A125="","",IF('ORDENES'!$O125="","-",'ORDENES'!$O125))</f>
        <v/>
      </c>
      <c r="B147" s="3">
        <f>IF('ORDENES'!$A125="","",IF('ORDENES'!$R125="","-",'ORDENES'!$R125))</f>
        <v/>
      </c>
      <c r="C147" s="3">
        <f>IF('ORDENES'!$A125="","",IF('ORDENES'!$AF125="","-",'ORDENES'!$AF125))</f>
        <v/>
      </c>
      <c r="D147" s="3">
        <f>IF('ORDENES'!$A125="","",IF('ORDENES'!$X125="","-",'ORDENES'!$X125))</f>
        <v/>
      </c>
      <c r="E147" s="3">
        <f>IF('ORDENES'!$A125="","",IF('ORDENES'!$V125="","-",'ORDENES'!$V125))</f>
        <v/>
      </c>
      <c r="F147" s="3">
        <f>IF('ORDENES'!$A125="","",IF('ORDENES'!$Y125="","-",'ORDENES'!$Y125))</f>
        <v/>
      </c>
      <c r="G147" s="3">
        <f>IF('ORDENES'!$A125="","",IF('ORDENES'!$W125="","-",'ORDENES'!$W125))</f>
        <v/>
      </c>
      <c r="H147" s="3">
        <f>IF('ORDENES'!$A125="","",IF('ORDENES'!$AE125="","-",'ORDENES'!$AE125))</f>
        <v/>
      </c>
      <c r="I147" s="3">
        <f>IF('ORDENES'!$A125="","",IF('ORDENES'!$AQ125="","-",'ORDENES'!$AQ125))</f>
        <v/>
      </c>
      <c r="J147" s="3">
        <f>IF('ORDENES'!$A125="","",IF('ORDENES'!$D125="","-",'ORDENES'!$D125))</f>
        <v/>
      </c>
      <c r="K147" s="3">
        <f>IF('ORDENES'!$A125="","",IF('ORDENES'!$E125="","-",'ORDENES'!$E125))</f>
        <v/>
      </c>
      <c r="L147" s="13">
        <f>IF('ORDENES'!$A125="","",IF('ORDENES'!$M125="",0,'ORDENES'!$M125))</f>
        <v/>
      </c>
      <c r="M147" s="3">
        <f>IF('ORDENES'!$A125="","",IF('ORDENES'!$N125="","-",'ORDENES'!$N125))</f>
        <v/>
      </c>
      <c r="N147" s="3">
        <f>IF('ORDENES'!$A125="","",'ORDENES'!$AD125)</f>
        <v/>
      </c>
    </row>
    <row r="148">
      <c r="A148" s="3">
        <f>IF('ORDENES'!$A126="","",IF('ORDENES'!$O126="","-",'ORDENES'!$O126))</f>
        <v/>
      </c>
      <c r="B148" s="3">
        <f>IF('ORDENES'!$A126="","",IF('ORDENES'!$R126="","-",'ORDENES'!$R126))</f>
        <v/>
      </c>
      <c r="C148" s="3">
        <f>IF('ORDENES'!$A126="","",IF('ORDENES'!$AF126="","-",'ORDENES'!$AF126))</f>
        <v/>
      </c>
      <c r="D148" s="3">
        <f>IF('ORDENES'!$A126="","",IF('ORDENES'!$X126="","-",'ORDENES'!$X126))</f>
        <v/>
      </c>
      <c r="E148" s="3">
        <f>IF('ORDENES'!$A126="","",IF('ORDENES'!$V126="","-",'ORDENES'!$V126))</f>
        <v/>
      </c>
      <c r="F148" s="3">
        <f>IF('ORDENES'!$A126="","",IF('ORDENES'!$Y126="","-",'ORDENES'!$Y126))</f>
        <v/>
      </c>
      <c r="G148" s="3">
        <f>IF('ORDENES'!$A126="","",IF('ORDENES'!$W126="","-",'ORDENES'!$W126))</f>
        <v/>
      </c>
      <c r="H148" s="3">
        <f>IF('ORDENES'!$A126="","",IF('ORDENES'!$AE126="","-",'ORDENES'!$AE126))</f>
        <v/>
      </c>
      <c r="I148" s="3">
        <f>IF('ORDENES'!$A126="","",IF('ORDENES'!$AQ126="","-",'ORDENES'!$AQ126))</f>
        <v/>
      </c>
      <c r="J148" s="3">
        <f>IF('ORDENES'!$A126="","",IF('ORDENES'!$D126="","-",'ORDENES'!$D126))</f>
        <v/>
      </c>
      <c r="K148" s="3">
        <f>IF('ORDENES'!$A126="","",IF('ORDENES'!$E126="","-",'ORDENES'!$E126))</f>
        <v/>
      </c>
      <c r="L148" s="13">
        <f>IF('ORDENES'!$A126="","",IF('ORDENES'!$M126="",0,'ORDENES'!$M126))</f>
        <v/>
      </c>
      <c r="M148" s="3">
        <f>IF('ORDENES'!$A126="","",IF('ORDENES'!$N126="","-",'ORDENES'!$N126))</f>
        <v/>
      </c>
      <c r="N148" s="3">
        <f>IF('ORDENES'!$A126="","",'ORDENES'!$AD126)</f>
        <v/>
      </c>
    </row>
    <row r="149">
      <c r="A149" s="3">
        <f>IF('ORDENES'!$A127="","",IF('ORDENES'!$O127="","-",'ORDENES'!$O127))</f>
        <v/>
      </c>
      <c r="B149" s="3">
        <f>IF('ORDENES'!$A127="","",IF('ORDENES'!$R127="","-",'ORDENES'!$R127))</f>
        <v/>
      </c>
      <c r="C149" s="3">
        <f>IF('ORDENES'!$A127="","",IF('ORDENES'!$AF127="","-",'ORDENES'!$AF127))</f>
        <v/>
      </c>
      <c r="D149" s="3">
        <f>IF('ORDENES'!$A127="","",IF('ORDENES'!$X127="","-",'ORDENES'!$X127))</f>
        <v/>
      </c>
      <c r="E149" s="3">
        <f>IF('ORDENES'!$A127="","",IF('ORDENES'!$V127="","-",'ORDENES'!$V127))</f>
        <v/>
      </c>
      <c r="F149" s="3">
        <f>IF('ORDENES'!$A127="","",IF('ORDENES'!$Y127="","-",'ORDENES'!$Y127))</f>
        <v/>
      </c>
      <c r="G149" s="3">
        <f>IF('ORDENES'!$A127="","",IF('ORDENES'!$W127="","-",'ORDENES'!$W127))</f>
        <v/>
      </c>
      <c r="H149" s="3">
        <f>IF('ORDENES'!$A127="","",IF('ORDENES'!$AE127="","-",'ORDENES'!$AE127))</f>
        <v/>
      </c>
      <c r="I149" s="3">
        <f>IF('ORDENES'!$A127="","",IF('ORDENES'!$AQ127="","-",'ORDENES'!$AQ127))</f>
        <v/>
      </c>
      <c r="J149" s="3">
        <f>IF('ORDENES'!$A127="","",IF('ORDENES'!$D127="","-",'ORDENES'!$D127))</f>
        <v/>
      </c>
      <c r="K149" s="3">
        <f>IF('ORDENES'!$A127="","",IF('ORDENES'!$E127="","-",'ORDENES'!$E127))</f>
        <v/>
      </c>
      <c r="L149" s="13">
        <f>IF('ORDENES'!$A127="","",IF('ORDENES'!$M127="",0,'ORDENES'!$M127))</f>
        <v/>
      </c>
      <c r="M149" s="3">
        <f>IF('ORDENES'!$A127="","",IF('ORDENES'!$N127="","-",'ORDENES'!$N127))</f>
        <v/>
      </c>
      <c r="N149" s="3">
        <f>IF('ORDENES'!$A127="","",'ORDENES'!$AD127)</f>
        <v/>
      </c>
    </row>
    <row r="150">
      <c r="A150" s="3">
        <f>IF('ORDENES'!$A128="","",IF('ORDENES'!$O128="","-",'ORDENES'!$O128))</f>
        <v/>
      </c>
      <c r="B150" s="3">
        <f>IF('ORDENES'!$A128="","",IF('ORDENES'!$R128="","-",'ORDENES'!$R128))</f>
        <v/>
      </c>
      <c r="C150" s="3">
        <f>IF('ORDENES'!$A128="","",IF('ORDENES'!$AF128="","-",'ORDENES'!$AF128))</f>
        <v/>
      </c>
      <c r="D150" s="3">
        <f>IF('ORDENES'!$A128="","",IF('ORDENES'!$X128="","-",'ORDENES'!$X128))</f>
        <v/>
      </c>
      <c r="E150" s="3">
        <f>IF('ORDENES'!$A128="","",IF('ORDENES'!$V128="","-",'ORDENES'!$V128))</f>
        <v/>
      </c>
      <c r="F150" s="3">
        <f>IF('ORDENES'!$A128="","",IF('ORDENES'!$Y128="","-",'ORDENES'!$Y128))</f>
        <v/>
      </c>
      <c r="G150" s="3">
        <f>IF('ORDENES'!$A128="","",IF('ORDENES'!$W128="","-",'ORDENES'!$W128))</f>
        <v/>
      </c>
      <c r="H150" s="3">
        <f>IF('ORDENES'!$A128="","",IF('ORDENES'!$AE128="","-",'ORDENES'!$AE128))</f>
        <v/>
      </c>
      <c r="I150" s="3">
        <f>IF('ORDENES'!$A128="","",IF('ORDENES'!$AQ128="","-",'ORDENES'!$AQ128))</f>
        <v/>
      </c>
      <c r="J150" s="3">
        <f>IF('ORDENES'!$A128="","",IF('ORDENES'!$D128="","-",'ORDENES'!$D128))</f>
        <v/>
      </c>
      <c r="K150" s="3">
        <f>IF('ORDENES'!$A128="","",IF('ORDENES'!$E128="","-",'ORDENES'!$E128))</f>
        <v/>
      </c>
      <c r="L150" s="13">
        <f>IF('ORDENES'!$A128="","",IF('ORDENES'!$M128="",0,'ORDENES'!$M128))</f>
        <v/>
      </c>
      <c r="M150" s="3">
        <f>IF('ORDENES'!$A128="","",IF('ORDENES'!$N128="","-",'ORDENES'!$N128))</f>
        <v/>
      </c>
      <c r="N150" s="3">
        <f>IF('ORDENES'!$A128="","",'ORDENES'!$AD128)</f>
        <v/>
      </c>
    </row>
    <row r="151">
      <c r="A151" s="3">
        <f>IF('ORDENES'!$A129="","",IF('ORDENES'!$O129="","-",'ORDENES'!$O129))</f>
        <v/>
      </c>
      <c r="B151" s="3">
        <f>IF('ORDENES'!$A129="","",IF('ORDENES'!$R129="","-",'ORDENES'!$R129))</f>
        <v/>
      </c>
      <c r="C151" s="3">
        <f>IF('ORDENES'!$A129="","",IF('ORDENES'!$AF129="","-",'ORDENES'!$AF129))</f>
        <v/>
      </c>
      <c r="D151" s="3">
        <f>IF('ORDENES'!$A129="","",IF('ORDENES'!$X129="","-",'ORDENES'!$X129))</f>
        <v/>
      </c>
      <c r="E151" s="3">
        <f>IF('ORDENES'!$A129="","",IF('ORDENES'!$V129="","-",'ORDENES'!$V129))</f>
        <v/>
      </c>
      <c r="F151" s="3">
        <f>IF('ORDENES'!$A129="","",IF('ORDENES'!$Y129="","-",'ORDENES'!$Y129))</f>
        <v/>
      </c>
      <c r="G151" s="3">
        <f>IF('ORDENES'!$A129="","",IF('ORDENES'!$W129="","-",'ORDENES'!$W129))</f>
        <v/>
      </c>
      <c r="H151" s="3">
        <f>IF('ORDENES'!$A129="","",IF('ORDENES'!$AE129="","-",'ORDENES'!$AE129))</f>
        <v/>
      </c>
      <c r="I151" s="3">
        <f>IF('ORDENES'!$A129="","",IF('ORDENES'!$AQ129="","-",'ORDENES'!$AQ129))</f>
        <v/>
      </c>
      <c r="J151" s="3">
        <f>IF('ORDENES'!$A129="","",IF('ORDENES'!$D129="","-",'ORDENES'!$D129))</f>
        <v/>
      </c>
      <c r="K151" s="3">
        <f>IF('ORDENES'!$A129="","",IF('ORDENES'!$E129="","-",'ORDENES'!$E129))</f>
        <v/>
      </c>
      <c r="L151" s="13">
        <f>IF('ORDENES'!$A129="","",IF('ORDENES'!$M129="",0,'ORDENES'!$M129))</f>
        <v/>
      </c>
      <c r="M151" s="3">
        <f>IF('ORDENES'!$A129="","",IF('ORDENES'!$N129="","-",'ORDENES'!$N129))</f>
        <v/>
      </c>
      <c r="N151" s="3">
        <f>IF('ORDENES'!$A129="","",'ORDENES'!$AD129)</f>
        <v/>
      </c>
    </row>
    <row r="152">
      <c r="A152" s="3">
        <f>IF('ORDENES'!$A130="","",IF('ORDENES'!$O130="","-",'ORDENES'!$O130))</f>
        <v/>
      </c>
      <c r="B152" s="3">
        <f>IF('ORDENES'!$A130="","",IF('ORDENES'!$R130="","-",'ORDENES'!$R130))</f>
        <v/>
      </c>
      <c r="C152" s="3">
        <f>IF('ORDENES'!$A130="","",IF('ORDENES'!$AF130="","-",'ORDENES'!$AF130))</f>
        <v/>
      </c>
      <c r="D152" s="3">
        <f>IF('ORDENES'!$A130="","",IF('ORDENES'!$X130="","-",'ORDENES'!$X130))</f>
        <v/>
      </c>
      <c r="E152" s="3">
        <f>IF('ORDENES'!$A130="","",IF('ORDENES'!$V130="","-",'ORDENES'!$V130))</f>
        <v/>
      </c>
      <c r="F152" s="3">
        <f>IF('ORDENES'!$A130="","",IF('ORDENES'!$Y130="","-",'ORDENES'!$Y130))</f>
        <v/>
      </c>
      <c r="G152" s="3">
        <f>IF('ORDENES'!$A130="","",IF('ORDENES'!$W130="","-",'ORDENES'!$W130))</f>
        <v/>
      </c>
      <c r="H152" s="3">
        <f>IF('ORDENES'!$A130="","",IF('ORDENES'!$AE130="","-",'ORDENES'!$AE130))</f>
        <v/>
      </c>
      <c r="I152" s="3">
        <f>IF('ORDENES'!$A130="","",IF('ORDENES'!$AQ130="","-",'ORDENES'!$AQ130))</f>
        <v/>
      </c>
      <c r="J152" s="3">
        <f>IF('ORDENES'!$A130="","",IF('ORDENES'!$D130="","-",'ORDENES'!$D130))</f>
        <v/>
      </c>
      <c r="K152" s="3">
        <f>IF('ORDENES'!$A130="","",IF('ORDENES'!$E130="","-",'ORDENES'!$E130))</f>
        <v/>
      </c>
      <c r="L152" s="13">
        <f>IF('ORDENES'!$A130="","",IF('ORDENES'!$M130="",0,'ORDENES'!$M130))</f>
        <v/>
      </c>
      <c r="M152" s="3">
        <f>IF('ORDENES'!$A130="","",IF('ORDENES'!$N130="","-",'ORDENES'!$N130))</f>
        <v/>
      </c>
      <c r="N152" s="3">
        <f>IF('ORDENES'!$A130="","",'ORDENES'!$AD130)</f>
        <v/>
      </c>
    </row>
    <row r="153">
      <c r="A153" s="3">
        <f>IF('ORDENES'!$A131="","",IF('ORDENES'!$O131="","-",'ORDENES'!$O131))</f>
        <v/>
      </c>
      <c r="B153" s="3">
        <f>IF('ORDENES'!$A131="","",IF('ORDENES'!$R131="","-",'ORDENES'!$R131))</f>
        <v/>
      </c>
      <c r="C153" s="3">
        <f>IF('ORDENES'!$A131="","",IF('ORDENES'!$AF131="","-",'ORDENES'!$AF131))</f>
        <v/>
      </c>
      <c r="D153" s="3">
        <f>IF('ORDENES'!$A131="","",IF('ORDENES'!$X131="","-",'ORDENES'!$X131))</f>
        <v/>
      </c>
      <c r="E153" s="3">
        <f>IF('ORDENES'!$A131="","",IF('ORDENES'!$V131="","-",'ORDENES'!$V131))</f>
        <v/>
      </c>
      <c r="F153" s="3">
        <f>IF('ORDENES'!$A131="","",IF('ORDENES'!$Y131="","-",'ORDENES'!$Y131))</f>
        <v/>
      </c>
      <c r="G153" s="3">
        <f>IF('ORDENES'!$A131="","",IF('ORDENES'!$W131="","-",'ORDENES'!$W131))</f>
        <v/>
      </c>
      <c r="H153" s="3">
        <f>IF('ORDENES'!$A131="","",IF('ORDENES'!$AE131="","-",'ORDENES'!$AE131))</f>
        <v/>
      </c>
      <c r="I153" s="3">
        <f>IF('ORDENES'!$A131="","",IF('ORDENES'!$AQ131="","-",'ORDENES'!$AQ131))</f>
        <v/>
      </c>
      <c r="J153" s="3">
        <f>IF('ORDENES'!$A131="","",IF('ORDENES'!$D131="","-",'ORDENES'!$D131))</f>
        <v/>
      </c>
      <c r="K153" s="3">
        <f>IF('ORDENES'!$A131="","",IF('ORDENES'!$E131="","-",'ORDENES'!$E131))</f>
        <v/>
      </c>
      <c r="L153" s="13">
        <f>IF('ORDENES'!$A131="","",IF('ORDENES'!$M131="",0,'ORDENES'!$M131))</f>
        <v/>
      </c>
      <c r="M153" s="3">
        <f>IF('ORDENES'!$A131="","",IF('ORDENES'!$N131="","-",'ORDENES'!$N131))</f>
        <v/>
      </c>
      <c r="N153" s="3">
        <f>IF('ORDENES'!$A131="","",'ORDENES'!$AD131)</f>
        <v/>
      </c>
    </row>
    <row r="154">
      <c r="A154" s="3">
        <f>IF('ORDENES'!$A132="","",IF('ORDENES'!$O132="","-",'ORDENES'!$O132))</f>
        <v/>
      </c>
      <c r="B154" s="3">
        <f>IF('ORDENES'!$A132="","",IF('ORDENES'!$R132="","-",'ORDENES'!$R132))</f>
        <v/>
      </c>
      <c r="C154" s="3">
        <f>IF('ORDENES'!$A132="","",IF('ORDENES'!$AF132="","-",'ORDENES'!$AF132))</f>
        <v/>
      </c>
      <c r="D154" s="3">
        <f>IF('ORDENES'!$A132="","",IF('ORDENES'!$X132="","-",'ORDENES'!$X132))</f>
        <v/>
      </c>
      <c r="E154" s="3">
        <f>IF('ORDENES'!$A132="","",IF('ORDENES'!$V132="","-",'ORDENES'!$V132))</f>
        <v/>
      </c>
      <c r="F154" s="3">
        <f>IF('ORDENES'!$A132="","",IF('ORDENES'!$Y132="","-",'ORDENES'!$Y132))</f>
        <v/>
      </c>
      <c r="G154" s="3">
        <f>IF('ORDENES'!$A132="","",IF('ORDENES'!$W132="","-",'ORDENES'!$W132))</f>
        <v/>
      </c>
      <c r="H154" s="3">
        <f>IF('ORDENES'!$A132="","",IF('ORDENES'!$AE132="","-",'ORDENES'!$AE132))</f>
        <v/>
      </c>
      <c r="I154" s="3">
        <f>IF('ORDENES'!$A132="","",IF('ORDENES'!$AQ132="","-",'ORDENES'!$AQ132))</f>
        <v/>
      </c>
      <c r="J154" s="3">
        <f>IF('ORDENES'!$A132="","",IF('ORDENES'!$D132="","-",'ORDENES'!$D132))</f>
        <v/>
      </c>
      <c r="K154" s="3">
        <f>IF('ORDENES'!$A132="","",IF('ORDENES'!$E132="","-",'ORDENES'!$E132))</f>
        <v/>
      </c>
      <c r="L154" s="13">
        <f>IF('ORDENES'!$A132="","",IF('ORDENES'!$M132="",0,'ORDENES'!$M132))</f>
        <v/>
      </c>
      <c r="M154" s="3">
        <f>IF('ORDENES'!$A132="","",IF('ORDENES'!$N132="","-",'ORDENES'!$N132))</f>
        <v/>
      </c>
      <c r="N154" s="3">
        <f>IF('ORDENES'!$A132="","",'ORDENES'!$AD132)</f>
        <v/>
      </c>
    </row>
    <row r="155">
      <c r="A155" s="3">
        <f>IF('ORDENES'!$A133="","",IF('ORDENES'!$O133="","-",'ORDENES'!$O133))</f>
        <v/>
      </c>
      <c r="B155" s="3">
        <f>IF('ORDENES'!$A133="","",IF('ORDENES'!$R133="","-",'ORDENES'!$R133))</f>
        <v/>
      </c>
      <c r="C155" s="3">
        <f>IF('ORDENES'!$A133="","",IF('ORDENES'!$AF133="","-",'ORDENES'!$AF133))</f>
        <v/>
      </c>
      <c r="D155" s="3">
        <f>IF('ORDENES'!$A133="","",IF('ORDENES'!$X133="","-",'ORDENES'!$X133))</f>
        <v/>
      </c>
      <c r="E155" s="3">
        <f>IF('ORDENES'!$A133="","",IF('ORDENES'!$V133="","-",'ORDENES'!$V133))</f>
        <v/>
      </c>
      <c r="F155" s="3">
        <f>IF('ORDENES'!$A133="","",IF('ORDENES'!$Y133="","-",'ORDENES'!$Y133))</f>
        <v/>
      </c>
      <c r="G155" s="3">
        <f>IF('ORDENES'!$A133="","",IF('ORDENES'!$W133="","-",'ORDENES'!$W133))</f>
        <v/>
      </c>
      <c r="H155" s="3">
        <f>IF('ORDENES'!$A133="","",IF('ORDENES'!$AE133="","-",'ORDENES'!$AE133))</f>
        <v/>
      </c>
      <c r="I155" s="3">
        <f>IF('ORDENES'!$A133="","",IF('ORDENES'!$AQ133="","-",'ORDENES'!$AQ133))</f>
        <v/>
      </c>
      <c r="J155" s="3">
        <f>IF('ORDENES'!$A133="","",IF('ORDENES'!$D133="","-",'ORDENES'!$D133))</f>
        <v/>
      </c>
      <c r="K155" s="3">
        <f>IF('ORDENES'!$A133="","",IF('ORDENES'!$E133="","-",'ORDENES'!$E133))</f>
        <v/>
      </c>
      <c r="L155" s="13">
        <f>IF('ORDENES'!$A133="","",IF('ORDENES'!$M133="",0,'ORDENES'!$M133))</f>
        <v/>
      </c>
      <c r="M155" s="3">
        <f>IF('ORDENES'!$A133="","",IF('ORDENES'!$N133="","-",'ORDENES'!$N133))</f>
        <v/>
      </c>
      <c r="N155" s="3">
        <f>IF('ORDENES'!$A133="","",'ORDENES'!$AD133)</f>
        <v/>
      </c>
    </row>
    <row r="156">
      <c r="A156" s="3">
        <f>IF('ORDENES'!$A134="","",IF('ORDENES'!$O134="","-",'ORDENES'!$O134))</f>
        <v/>
      </c>
      <c r="B156" s="3">
        <f>IF('ORDENES'!$A134="","",IF('ORDENES'!$R134="","-",'ORDENES'!$R134))</f>
        <v/>
      </c>
      <c r="C156" s="3">
        <f>IF('ORDENES'!$A134="","",IF('ORDENES'!$AF134="","-",'ORDENES'!$AF134))</f>
        <v/>
      </c>
      <c r="D156" s="3">
        <f>IF('ORDENES'!$A134="","",IF('ORDENES'!$X134="","-",'ORDENES'!$X134))</f>
        <v/>
      </c>
      <c r="E156" s="3">
        <f>IF('ORDENES'!$A134="","",IF('ORDENES'!$V134="","-",'ORDENES'!$V134))</f>
        <v/>
      </c>
      <c r="F156" s="3">
        <f>IF('ORDENES'!$A134="","",IF('ORDENES'!$Y134="","-",'ORDENES'!$Y134))</f>
        <v/>
      </c>
      <c r="G156" s="3">
        <f>IF('ORDENES'!$A134="","",IF('ORDENES'!$W134="","-",'ORDENES'!$W134))</f>
        <v/>
      </c>
      <c r="H156" s="3">
        <f>IF('ORDENES'!$A134="","",IF('ORDENES'!$AE134="","-",'ORDENES'!$AE134))</f>
        <v/>
      </c>
      <c r="I156" s="3">
        <f>IF('ORDENES'!$A134="","",IF('ORDENES'!$AQ134="","-",'ORDENES'!$AQ134))</f>
        <v/>
      </c>
      <c r="J156" s="3">
        <f>IF('ORDENES'!$A134="","",IF('ORDENES'!$D134="","-",'ORDENES'!$D134))</f>
        <v/>
      </c>
      <c r="K156" s="3">
        <f>IF('ORDENES'!$A134="","",IF('ORDENES'!$E134="","-",'ORDENES'!$E134))</f>
        <v/>
      </c>
      <c r="L156" s="13">
        <f>IF('ORDENES'!$A134="","",IF('ORDENES'!$M134="",0,'ORDENES'!$M134))</f>
        <v/>
      </c>
      <c r="M156" s="3">
        <f>IF('ORDENES'!$A134="","",IF('ORDENES'!$N134="","-",'ORDENES'!$N134))</f>
        <v/>
      </c>
      <c r="N156" s="3">
        <f>IF('ORDENES'!$A134="","",'ORDENES'!$AD134)</f>
        <v/>
      </c>
    </row>
    <row r="157">
      <c r="A157" s="3">
        <f>IF('ORDENES'!$A135="","",IF('ORDENES'!$O135="","-",'ORDENES'!$O135))</f>
        <v/>
      </c>
      <c r="B157" s="3">
        <f>IF('ORDENES'!$A135="","",IF('ORDENES'!$R135="","-",'ORDENES'!$R135))</f>
        <v/>
      </c>
      <c r="C157" s="3">
        <f>IF('ORDENES'!$A135="","",IF('ORDENES'!$AF135="","-",'ORDENES'!$AF135))</f>
        <v/>
      </c>
      <c r="D157" s="3">
        <f>IF('ORDENES'!$A135="","",IF('ORDENES'!$X135="","-",'ORDENES'!$X135))</f>
        <v/>
      </c>
      <c r="E157" s="3">
        <f>IF('ORDENES'!$A135="","",IF('ORDENES'!$V135="","-",'ORDENES'!$V135))</f>
        <v/>
      </c>
      <c r="F157" s="3">
        <f>IF('ORDENES'!$A135="","",IF('ORDENES'!$Y135="","-",'ORDENES'!$Y135))</f>
        <v/>
      </c>
      <c r="G157" s="3">
        <f>IF('ORDENES'!$A135="","",IF('ORDENES'!$W135="","-",'ORDENES'!$W135))</f>
        <v/>
      </c>
      <c r="H157" s="3">
        <f>IF('ORDENES'!$A135="","",IF('ORDENES'!$AE135="","-",'ORDENES'!$AE135))</f>
        <v/>
      </c>
      <c r="I157" s="3">
        <f>IF('ORDENES'!$A135="","",IF('ORDENES'!$AQ135="","-",'ORDENES'!$AQ135))</f>
        <v/>
      </c>
      <c r="J157" s="3">
        <f>IF('ORDENES'!$A135="","",IF('ORDENES'!$D135="","-",'ORDENES'!$D135))</f>
        <v/>
      </c>
      <c r="K157" s="3">
        <f>IF('ORDENES'!$A135="","",IF('ORDENES'!$E135="","-",'ORDENES'!$E135))</f>
        <v/>
      </c>
      <c r="L157" s="13">
        <f>IF('ORDENES'!$A135="","",IF('ORDENES'!$M135="",0,'ORDENES'!$M135))</f>
        <v/>
      </c>
      <c r="M157" s="3">
        <f>IF('ORDENES'!$A135="","",IF('ORDENES'!$N135="","-",'ORDENES'!$N135))</f>
        <v/>
      </c>
      <c r="N157" s="3">
        <f>IF('ORDENES'!$A135="","",'ORDENES'!$AD135)</f>
        <v/>
      </c>
    </row>
    <row r="158">
      <c r="A158" s="3">
        <f>IF('ORDENES'!$A136="","",IF('ORDENES'!$O136="","-",'ORDENES'!$O136))</f>
        <v/>
      </c>
      <c r="B158" s="3">
        <f>IF('ORDENES'!$A136="","",IF('ORDENES'!$R136="","-",'ORDENES'!$R136))</f>
        <v/>
      </c>
      <c r="C158" s="3">
        <f>IF('ORDENES'!$A136="","",IF('ORDENES'!$AF136="","-",'ORDENES'!$AF136))</f>
        <v/>
      </c>
      <c r="D158" s="3">
        <f>IF('ORDENES'!$A136="","",IF('ORDENES'!$X136="","-",'ORDENES'!$X136))</f>
        <v/>
      </c>
      <c r="E158" s="3">
        <f>IF('ORDENES'!$A136="","",IF('ORDENES'!$V136="","-",'ORDENES'!$V136))</f>
        <v/>
      </c>
      <c r="F158" s="3">
        <f>IF('ORDENES'!$A136="","",IF('ORDENES'!$Y136="","-",'ORDENES'!$Y136))</f>
        <v/>
      </c>
      <c r="G158" s="3">
        <f>IF('ORDENES'!$A136="","",IF('ORDENES'!$W136="","-",'ORDENES'!$W136))</f>
        <v/>
      </c>
      <c r="H158" s="3">
        <f>IF('ORDENES'!$A136="","",IF('ORDENES'!$AE136="","-",'ORDENES'!$AE136))</f>
        <v/>
      </c>
      <c r="I158" s="3">
        <f>IF('ORDENES'!$A136="","",IF('ORDENES'!$AQ136="","-",'ORDENES'!$AQ136))</f>
        <v/>
      </c>
      <c r="J158" s="3">
        <f>IF('ORDENES'!$A136="","",IF('ORDENES'!$D136="","-",'ORDENES'!$D136))</f>
        <v/>
      </c>
      <c r="K158" s="3">
        <f>IF('ORDENES'!$A136="","",IF('ORDENES'!$E136="","-",'ORDENES'!$E136))</f>
        <v/>
      </c>
      <c r="L158" s="13">
        <f>IF('ORDENES'!$A136="","",IF('ORDENES'!$M136="",0,'ORDENES'!$M136))</f>
        <v/>
      </c>
      <c r="M158" s="3">
        <f>IF('ORDENES'!$A136="","",IF('ORDENES'!$N136="","-",'ORDENES'!$N136))</f>
        <v/>
      </c>
      <c r="N158" s="3">
        <f>IF('ORDENES'!$A136="","",'ORDENES'!$AD136)</f>
        <v/>
      </c>
    </row>
    <row r="159">
      <c r="A159" s="3">
        <f>IF('ORDENES'!$A137="","",IF('ORDENES'!$O137="","-",'ORDENES'!$O137))</f>
        <v/>
      </c>
      <c r="B159" s="3">
        <f>IF('ORDENES'!$A137="","",IF('ORDENES'!$R137="","-",'ORDENES'!$R137))</f>
        <v/>
      </c>
      <c r="C159" s="3">
        <f>IF('ORDENES'!$A137="","",IF('ORDENES'!$AF137="","-",'ORDENES'!$AF137))</f>
        <v/>
      </c>
      <c r="D159" s="3">
        <f>IF('ORDENES'!$A137="","",IF('ORDENES'!$X137="","-",'ORDENES'!$X137))</f>
        <v/>
      </c>
      <c r="E159" s="3">
        <f>IF('ORDENES'!$A137="","",IF('ORDENES'!$V137="","-",'ORDENES'!$V137))</f>
        <v/>
      </c>
      <c r="F159" s="3">
        <f>IF('ORDENES'!$A137="","",IF('ORDENES'!$Y137="","-",'ORDENES'!$Y137))</f>
        <v/>
      </c>
      <c r="G159" s="3">
        <f>IF('ORDENES'!$A137="","",IF('ORDENES'!$W137="","-",'ORDENES'!$W137))</f>
        <v/>
      </c>
      <c r="H159" s="3">
        <f>IF('ORDENES'!$A137="","",IF('ORDENES'!$AE137="","-",'ORDENES'!$AE137))</f>
        <v/>
      </c>
      <c r="I159" s="3">
        <f>IF('ORDENES'!$A137="","",IF('ORDENES'!$AQ137="","-",'ORDENES'!$AQ137))</f>
        <v/>
      </c>
      <c r="J159" s="3">
        <f>IF('ORDENES'!$A137="","",IF('ORDENES'!$D137="","-",'ORDENES'!$D137))</f>
        <v/>
      </c>
      <c r="K159" s="3">
        <f>IF('ORDENES'!$A137="","",IF('ORDENES'!$E137="","-",'ORDENES'!$E137))</f>
        <v/>
      </c>
      <c r="L159" s="13">
        <f>IF('ORDENES'!$A137="","",IF('ORDENES'!$M137="",0,'ORDENES'!$M137))</f>
        <v/>
      </c>
      <c r="M159" s="3">
        <f>IF('ORDENES'!$A137="","",IF('ORDENES'!$N137="","-",'ORDENES'!$N137))</f>
        <v/>
      </c>
      <c r="N159" s="3">
        <f>IF('ORDENES'!$A137="","",'ORDENES'!$AD137)</f>
        <v/>
      </c>
    </row>
    <row r="160">
      <c r="A160" s="3">
        <f>IF('ORDENES'!$A138="","",IF('ORDENES'!$O138="","-",'ORDENES'!$O138))</f>
        <v/>
      </c>
      <c r="B160" s="3">
        <f>IF('ORDENES'!$A138="","",IF('ORDENES'!$R138="","-",'ORDENES'!$R138))</f>
        <v/>
      </c>
      <c r="C160" s="3">
        <f>IF('ORDENES'!$A138="","",IF('ORDENES'!$AF138="","-",'ORDENES'!$AF138))</f>
        <v/>
      </c>
      <c r="D160" s="3">
        <f>IF('ORDENES'!$A138="","",IF('ORDENES'!$X138="","-",'ORDENES'!$X138))</f>
        <v/>
      </c>
      <c r="E160" s="3">
        <f>IF('ORDENES'!$A138="","",IF('ORDENES'!$V138="","-",'ORDENES'!$V138))</f>
        <v/>
      </c>
      <c r="F160" s="3">
        <f>IF('ORDENES'!$A138="","",IF('ORDENES'!$Y138="","-",'ORDENES'!$Y138))</f>
        <v/>
      </c>
      <c r="G160" s="3">
        <f>IF('ORDENES'!$A138="","",IF('ORDENES'!$W138="","-",'ORDENES'!$W138))</f>
        <v/>
      </c>
      <c r="H160" s="3">
        <f>IF('ORDENES'!$A138="","",IF('ORDENES'!$AE138="","-",'ORDENES'!$AE138))</f>
        <v/>
      </c>
      <c r="I160" s="3">
        <f>IF('ORDENES'!$A138="","",IF('ORDENES'!$AQ138="","-",'ORDENES'!$AQ138))</f>
        <v/>
      </c>
      <c r="J160" s="3">
        <f>IF('ORDENES'!$A138="","",IF('ORDENES'!$D138="","-",'ORDENES'!$D138))</f>
        <v/>
      </c>
      <c r="K160" s="3">
        <f>IF('ORDENES'!$A138="","",IF('ORDENES'!$E138="","-",'ORDENES'!$E138))</f>
        <v/>
      </c>
      <c r="L160" s="13">
        <f>IF('ORDENES'!$A138="","",IF('ORDENES'!$M138="",0,'ORDENES'!$M138))</f>
        <v/>
      </c>
      <c r="M160" s="3">
        <f>IF('ORDENES'!$A138="","",IF('ORDENES'!$N138="","-",'ORDENES'!$N138))</f>
        <v/>
      </c>
      <c r="N160" s="3">
        <f>IF('ORDENES'!$A138="","",'ORDENES'!$AD138)</f>
        <v/>
      </c>
    </row>
    <row r="161">
      <c r="A161" s="3">
        <f>IF('ORDENES'!$A139="","",IF('ORDENES'!$O139="","-",'ORDENES'!$O139))</f>
        <v/>
      </c>
      <c r="B161" s="3">
        <f>IF('ORDENES'!$A139="","",IF('ORDENES'!$R139="","-",'ORDENES'!$R139))</f>
        <v/>
      </c>
      <c r="C161" s="3">
        <f>IF('ORDENES'!$A139="","",IF('ORDENES'!$AF139="","-",'ORDENES'!$AF139))</f>
        <v/>
      </c>
      <c r="D161" s="3">
        <f>IF('ORDENES'!$A139="","",IF('ORDENES'!$X139="","-",'ORDENES'!$X139))</f>
        <v/>
      </c>
      <c r="E161" s="3">
        <f>IF('ORDENES'!$A139="","",IF('ORDENES'!$V139="","-",'ORDENES'!$V139))</f>
        <v/>
      </c>
      <c r="F161" s="3">
        <f>IF('ORDENES'!$A139="","",IF('ORDENES'!$Y139="","-",'ORDENES'!$Y139))</f>
        <v/>
      </c>
      <c r="G161" s="3">
        <f>IF('ORDENES'!$A139="","",IF('ORDENES'!$W139="","-",'ORDENES'!$W139))</f>
        <v/>
      </c>
      <c r="H161" s="3">
        <f>IF('ORDENES'!$A139="","",IF('ORDENES'!$AE139="","-",'ORDENES'!$AE139))</f>
        <v/>
      </c>
      <c r="I161" s="3">
        <f>IF('ORDENES'!$A139="","",IF('ORDENES'!$AQ139="","-",'ORDENES'!$AQ139))</f>
        <v/>
      </c>
      <c r="J161" s="3">
        <f>IF('ORDENES'!$A139="","",IF('ORDENES'!$D139="","-",'ORDENES'!$D139))</f>
        <v/>
      </c>
      <c r="K161" s="3">
        <f>IF('ORDENES'!$A139="","",IF('ORDENES'!$E139="","-",'ORDENES'!$E139))</f>
        <v/>
      </c>
      <c r="L161" s="13">
        <f>IF('ORDENES'!$A139="","",IF('ORDENES'!$M139="",0,'ORDENES'!$M139))</f>
        <v/>
      </c>
      <c r="M161" s="3">
        <f>IF('ORDENES'!$A139="","",IF('ORDENES'!$N139="","-",'ORDENES'!$N139))</f>
        <v/>
      </c>
      <c r="N161" s="3">
        <f>IF('ORDENES'!$A139="","",'ORDENES'!$AD139)</f>
        <v/>
      </c>
    </row>
    <row r="162">
      <c r="A162" s="3">
        <f>IF('ORDENES'!$A140="","",IF('ORDENES'!$O140="","-",'ORDENES'!$O140))</f>
        <v/>
      </c>
      <c r="B162" s="3">
        <f>IF('ORDENES'!$A140="","",IF('ORDENES'!$R140="","-",'ORDENES'!$R140))</f>
        <v/>
      </c>
      <c r="C162" s="3">
        <f>IF('ORDENES'!$A140="","",IF('ORDENES'!$AF140="","-",'ORDENES'!$AF140))</f>
        <v/>
      </c>
      <c r="D162" s="3">
        <f>IF('ORDENES'!$A140="","",IF('ORDENES'!$X140="","-",'ORDENES'!$X140))</f>
        <v/>
      </c>
      <c r="E162" s="3">
        <f>IF('ORDENES'!$A140="","",IF('ORDENES'!$V140="","-",'ORDENES'!$V140))</f>
        <v/>
      </c>
      <c r="F162" s="3">
        <f>IF('ORDENES'!$A140="","",IF('ORDENES'!$Y140="","-",'ORDENES'!$Y140))</f>
        <v/>
      </c>
      <c r="G162" s="3">
        <f>IF('ORDENES'!$A140="","",IF('ORDENES'!$W140="","-",'ORDENES'!$W140))</f>
        <v/>
      </c>
      <c r="H162" s="3">
        <f>IF('ORDENES'!$A140="","",IF('ORDENES'!$AE140="","-",'ORDENES'!$AE140))</f>
        <v/>
      </c>
      <c r="I162" s="3">
        <f>IF('ORDENES'!$A140="","",IF('ORDENES'!$AQ140="","-",'ORDENES'!$AQ140))</f>
        <v/>
      </c>
      <c r="J162" s="3">
        <f>IF('ORDENES'!$A140="","",IF('ORDENES'!$D140="","-",'ORDENES'!$D140))</f>
        <v/>
      </c>
      <c r="K162" s="3">
        <f>IF('ORDENES'!$A140="","",IF('ORDENES'!$E140="","-",'ORDENES'!$E140))</f>
        <v/>
      </c>
      <c r="L162" s="13">
        <f>IF('ORDENES'!$A140="","",IF('ORDENES'!$M140="",0,'ORDENES'!$M140))</f>
        <v/>
      </c>
      <c r="M162" s="3">
        <f>IF('ORDENES'!$A140="","",IF('ORDENES'!$N140="","-",'ORDENES'!$N140))</f>
        <v/>
      </c>
      <c r="N162" s="3">
        <f>IF('ORDENES'!$A140="","",'ORDENES'!$AD140)</f>
        <v/>
      </c>
    </row>
    <row r="163">
      <c r="A163" s="3">
        <f>IF('ORDENES'!$A141="","",IF('ORDENES'!$O141="","-",'ORDENES'!$O141))</f>
        <v/>
      </c>
      <c r="B163" s="3">
        <f>IF('ORDENES'!$A141="","",IF('ORDENES'!$R141="","-",'ORDENES'!$R141))</f>
        <v/>
      </c>
      <c r="C163" s="3">
        <f>IF('ORDENES'!$A141="","",IF('ORDENES'!$AF141="","-",'ORDENES'!$AF141))</f>
        <v/>
      </c>
      <c r="D163" s="3">
        <f>IF('ORDENES'!$A141="","",IF('ORDENES'!$X141="","-",'ORDENES'!$X141))</f>
        <v/>
      </c>
      <c r="E163" s="3">
        <f>IF('ORDENES'!$A141="","",IF('ORDENES'!$V141="","-",'ORDENES'!$V141))</f>
        <v/>
      </c>
      <c r="F163" s="3">
        <f>IF('ORDENES'!$A141="","",IF('ORDENES'!$Y141="","-",'ORDENES'!$Y141))</f>
        <v/>
      </c>
      <c r="G163" s="3">
        <f>IF('ORDENES'!$A141="","",IF('ORDENES'!$W141="","-",'ORDENES'!$W141))</f>
        <v/>
      </c>
      <c r="H163" s="3">
        <f>IF('ORDENES'!$A141="","",IF('ORDENES'!$AE141="","-",'ORDENES'!$AE141))</f>
        <v/>
      </c>
      <c r="I163" s="3">
        <f>IF('ORDENES'!$A141="","",IF('ORDENES'!$AQ141="","-",'ORDENES'!$AQ141))</f>
        <v/>
      </c>
      <c r="J163" s="3">
        <f>IF('ORDENES'!$A141="","",IF('ORDENES'!$D141="","-",'ORDENES'!$D141))</f>
        <v/>
      </c>
      <c r="K163" s="3">
        <f>IF('ORDENES'!$A141="","",IF('ORDENES'!$E141="","-",'ORDENES'!$E141))</f>
        <v/>
      </c>
      <c r="L163" s="13">
        <f>IF('ORDENES'!$A141="","",IF('ORDENES'!$M141="",0,'ORDENES'!$M141))</f>
        <v/>
      </c>
      <c r="M163" s="3">
        <f>IF('ORDENES'!$A141="","",IF('ORDENES'!$N141="","-",'ORDENES'!$N141))</f>
        <v/>
      </c>
      <c r="N163" s="3">
        <f>IF('ORDENES'!$A141="","",'ORDENES'!$AD141)</f>
        <v/>
      </c>
    </row>
    <row r="164">
      <c r="A164" s="3">
        <f>IF('ORDENES'!$A142="","",IF('ORDENES'!$O142="","-",'ORDENES'!$O142))</f>
        <v/>
      </c>
      <c r="B164" s="3">
        <f>IF('ORDENES'!$A142="","",IF('ORDENES'!$R142="","-",'ORDENES'!$R142))</f>
        <v/>
      </c>
      <c r="C164" s="3">
        <f>IF('ORDENES'!$A142="","",IF('ORDENES'!$AF142="","-",'ORDENES'!$AF142))</f>
        <v/>
      </c>
      <c r="D164" s="3">
        <f>IF('ORDENES'!$A142="","",IF('ORDENES'!$X142="","-",'ORDENES'!$X142))</f>
        <v/>
      </c>
      <c r="E164" s="3">
        <f>IF('ORDENES'!$A142="","",IF('ORDENES'!$V142="","-",'ORDENES'!$V142))</f>
        <v/>
      </c>
      <c r="F164" s="3">
        <f>IF('ORDENES'!$A142="","",IF('ORDENES'!$Y142="","-",'ORDENES'!$Y142))</f>
        <v/>
      </c>
      <c r="G164" s="3">
        <f>IF('ORDENES'!$A142="","",IF('ORDENES'!$W142="","-",'ORDENES'!$W142))</f>
        <v/>
      </c>
      <c r="H164" s="3">
        <f>IF('ORDENES'!$A142="","",IF('ORDENES'!$AE142="","-",'ORDENES'!$AE142))</f>
        <v/>
      </c>
      <c r="I164" s="3">
        <f>IF('ORDENES'!$A142="","",IF('ORDENES'!$AQ142="","-",'ORDENES'!$AQ142))</f>
        <v/>
      </c>
      <c r="J164" s="3">
        <f>IF('ORDENES'!$A142="","",IF('ORDENES'!$D142="","-",'ORDENES'!$D142))</f>
        <v/>
      </c>
      <c r="K164" s="3">
        <f>IF('ORDENES'!$A142="","",IF('ORDENES'!$E142="","-",'ORDENES'!$E142))</f>
        <v/>
      </c>
      <c r="L164" s="13">
        <f>IF('ORDENES'!$A142="","",IF('ORDENES'!$M142="",0,'ORDENES'!$M142))</f>
        <v/>
      </c>
      <c r="M164" s="3">
        <f>IF('ORDENES'!$A142="","",IF('ORDENES'!$N142="","-",'ORDENES'!$N142))</f>
        <v/>
      </c>
      <c r="N164" s="3">
        <f>IF('ORDENES'!$A142="","",'ORDENES'!$AD142)</f>
        <v/>
      </c>
    </row>
    <row r="165">
      <c r="A165" s="3">
        <f>IF('ORDENES'!$A143="","",IF('ORDENES'!$O143="","-",'ORDENES'!$O143))</f>
        <v/>
      </c>
      <c r="B165" s="3">
        <f>IF('ORDENES'!$A143="","",IF('ORDENES'!$R143="","-",'ORDENES'!$R143))</f>
        <v/>
      </c>
      <c r="C165" s="3">
        <f>IF('ORDENES'!$A143="","",IF('ORDENES'!$AF143="","-",'ORDENES'!$AF143))</f>
        <v/>
      </c>
      <c r="D165" s="3">
        <f>IF('ORDENES'!$A143="","",IF('ORDENES'!$X143="","-",'ORDENES'!$X143))</f>
        <v/>
      </c>
      <c r="E165" s="3">
        <f>IF('ORDENES'!$A143="","",IF('ORDENES'!$V143="","-",'ORDENES'!$V143))</f>
        <v/>
      </c>
      <c r="F165" s="3">
        <f>IF('ORDENES'!$A143="","",IF('ORDENES'!$Y143="","-",'ORDENES'!$Y143))</f>
        <v/>
      </c>
      <c r="G165" s="3">
        <f>IF('ORDENES'!$A143="","",IF('ORDENES'!$W143="","-",'ORDENES'!$W143))</f>
        <v/>
      </c>
      <c r="H165" s="3">
        <f>IF('ORDENES'!$A143="","",IF('ORDENES'!$AE143="","-",'ORDENES'!$AE143))</f>
        <v/>
      </c>
      <c r="I165" s="3">
        <f>IF('ORDENES'!$A143="","",IF('ORDENES'!$AQ143="","-",'ORDENES'!$AQ143))</f>
        <v/>
      </c>
      <c r="J165" s="3">
        <f>IF('ORDENES'!$A143="","",IF('ORDENES'!$D143="","-",'ORDENES'!$D143))</f>
        <v/>
      </c>
      <c r="K165" s="3">
        <f>IF('ORDENES'!$A143="","",IF('ORDENES'!$E143="","-",'ORDENES'!$E143))</f>
        <v/>
      </c>
      <c r="L165" s="13">
        <f>IF('ORDENES'!$A143="","",IF('ORDENES'!$M143="",0,'ORDENES'!$M143))</f>
        <v/>
      </c>
      <c r="M165" s="3">
        <f>IF('ORDENES'!$A143="","",IF('ORDENES'!$N143="","-",'ORDENES'!$N143))</f>
        <v/>
      </c>
      <c r="N165" s="3">
        <f>IF('ORDENES'!$A143="","",'ORDENES'!$AD143)</f>
        <v/>
      </c>
    </row>
    <row r="166">
      <c r="A166" s="3">
        <f>IF('ORDENES'!$A144="","",IF('ORDENES'!$O144="","-",'ORDENES'!$O144))</f>
        <v/>
      </c>
      <c r="B166" s="3">
        <f>IF('ORDENES'!$A144="","",IF('ORDENES'!$R144="","-",'ORDENES'!$R144))</f>
        <v/>
      </c>
      <c r="C166" s="3">
        <f>IF('ORDENES'!$A144="","",IF('ORDENES'!$AF144="","-",'ORDENES'!$AF144))</f>
        <v/>
      </c>
      <c r="D166" s="3">
        <f>IF('ORDENES'!$A144="","",IF('ORDENES'!$X144="","-",'ORDENES'!$X144))</f>
        <v/>
      </c>
      <c r="E166" s="3">
        <f>IF('ORDENES'!$A144="","",IF('ORDENES'!$V144="","-",'ORDENES'!$V144))</f>
        <v/>
      </c>
      <c r="F166" s="3">
        <f>IF('ORDENES'!$A144="","",IF('ORDENES'!$Y144="","-",'ORDENES'!$Y144))</f>
        <v/>
      </c>
      <c r="G166" s="3">
        <f>IF('ORDENES'!$A144="","",IF('ORDENES'!$W144="","-",'ORDENES'!$W144))</f>
        <v/>
      </c>
      <c r="H166" s="3">
        <f>IF('ORDENES'!$A144="","",IF('ORDENES'!$AE144="","-",'ORDENES'!$AE144))</f>
        <v/>
      </c>
      <c r="I166" s="3">
        <f>IF('ORDENES'!$A144="","",IF('ORDENES'!$AQ144="","-",'ORDENES'!$AQ144))</f>
        <v/>
      </c>
      <c r="J166" s="3">
        <f>IF('ORDENES'!$A144="","",IF('ORDENES'!$D144="","-",'ORDENES'!$D144))</f>
        <v/>
      </c>
      <c r="K166" s="3">
        <f>IF('ORDENES'!$A144="","",IF('ORDENES'!$E144="","-",'ORDENES'!$E144))</f>
        <v/>
      </c>
      <c r="L166" s="13">
        <f>IF('ORDENES'!$A144="","",IF('ORDENES'!$M144="",0,'ORDENES'!$M144))</f>
        <v/>
      </c>
      <c r="M166" s="3">
        <f>IF('ORDENES'!$A144="","",IF('ORDENES'!$N144="","-",'ORDENES'!$N144))</f>
        <v/>
      </c>
      <c r="N166" s="3">
        <f>IF('ORDENES'!$A144="","",'ORDENES'!$AD144)</f>
        <v/>
      </c>
    </row>
    <row r="167">
      <c r="A167" s="3">
        <f>IF('ORDENES'!$A145="","",IF('ORDENES'!$O145="","-",'ORDENES'!$O145))</f>
        <v/>
      </c>
      <c r="B167" s="3">
        <f>IF('ORDENES'!$A145="","",IF('ORDENES'!$R145="","-",'ORDENES'!$R145))</f>
        <v/>
      </c>
      <c r="C167" s="3">
        <f>IF('ORDENES'!$A145="","",IF('ORDENES'!$AF145="","-",'ORDENES'!$AF145))</f>
        <v/>
      </c>
      <c r="D167" s="3">
        <f>IF('ORDENES'!$A145="","",IF('ORDENES'!$X145="","-",'ORDENES'!$X145))</f>
        <v/>
      </c>
      <c r="E167" s="3">
        <f>IF('ORDENES'!$A145="","",IF('ORDENES'!$V145="","-",'ORDENES'!$V145))</f>
        <v/>
      </c>
      <c r="F167" s="3">
        <f>IF('ORDENES'!$A145="","",IF('ORDENES'!$Y145="","-",'ORDENES'!$Y145))</f>
        <v/>
      </c>
      <c r="G167" s="3">
        <f>IF('ORDENES'!$A145="","",IF('ORDENES'!$W145="","-",'ORDENES'!$W145))</f>
        <v/>
      </c>
      <c r="H167" s="3">
        <f>IF('ORDENES'!$A145="","",IF('ORDENES'!$AE145="","-",'ORDENES'!$AE145))</f>
        <v/>
      </c>
      <c r="I167" s="3">
        <f>IF('ORDENES'!$A145="","",IF('ORDENES'!$AQ145="","-",'ORDENES'!$AQ145))</f>
        <v/>
      </c>
      <c r="J167" s="3">
        <f>IF('ORDENES'!$A145="","",IF('ORDENES'!$D145="","-",'ORDENES'!$D145))</f>
        <v/>
      </c>
      <c r="K167" s="3">
        <f>IF('ORDENES'!$A145="","",IF('ORDENES'!$E145="","-",'ORDENES'!$E145))</f>
        <v/>
      </c>
      <c r="L167" s="13">
        <f>IF('ORDENES'!$A145="","",IF('ORDENES'!$M145="",0,'ORDENES'!$M145))</f>
        <v/>
      </c>
      <c r="M167" s="3">
        <f>IF('ORDENES'!$A145="","",IF('ORDENES'!$N145="","-",'ORDENES'!$N145))</f>
        <v/>
      </c>
      <c r="N167" s="3">
        <f>IF('ORDENES'!$A145="","",'ORDENES'!$AD145)</f>
        <v/>
      </c>
    </row>
    <row r="168">
      <c r="A168" s="3">
        <f>IF('ORDENES'!$A146="","",IF('ORDENES'!$O146="","-",'ORDENES'!$O146))</f>
        <v/>
      </c>
      <c r="B168" s="3">
        <f>IF('ORDENES'!$A146="","",IF('ORDENES'!$R146="","-",'ORDENES'!$R146))</f>
        <v/>
      </c>
      <c r="C168" s="3">
        <f>IF('ORDENES'!$A146="","",IF('ORDENES'!$AF146="","-",'ORDENES'!$AF146))</f>
        <v/>
      </c>
      <c r="D168" s="3">
        <f>IF('ORDENES'!$A146="","",IF('ORDENES'!$X146="","-",'ORDENES'!$X146))</f>
        <v/>
      </c>
      <c r="E168" s="3">
        <f>IF('ORDENES'!$A146="","",IF('ORDENES'!$V146="","-",'ORDENES'!$V146))</f>
        <v/>
      </c>
      <c r="F168" s="3">
        <f>IF('ORDENES'!$A146="","",IF('ORDENES'!$Y146="","-",'ORDENES'!$Y146))</f>
        <v/>
      </c>
      <c r="G168" s="3">
        <f>IF('ORDENES'!$A146="","",IF('ORDENES'!$W146="","-",'ORDENES'!$W146))</f>
        <v/>
      </c>
      <c r="H168" s="3">
        <f>IF('ORDENES'!$A146="","",IF('ORDENES'!$AE146="","-",'ORDENES'!$AE146))</f>
        <v/>
      </c>
      <c r="I168" s="3">
        <f>IF('ORDENES'!$A146="","",IF('ORDENES'!$AQ146="","-",'ORDENES'!$AQ146))</f>
        <v/>
      </c>
      <c r="J168" s="3">
        <f>IF('ORDENES'!$A146="","",IF('ORDENES'!$D146="","-",'ORDENES'!$D146))</f>
        <v/>
      </c>
      <c r="K168" s="3">
        <f>IF('ORDENES'!$A146="","",IF('ORDENES'!$E146="","-",'ORDENES'!$E146))</f>
        <v/>
      </c>
      <c r="L168" s="13">
        <f>IF('ORDENES'!$A146="","",IF('ORDENES'!$M146="",0,'ORDENES'!$M146))</f>
        <v/>
      </c>
      <c r="M168" s="3">
        <f>IF('ORDENES'!$A146="","",IF('ORDENES'!$N146="","-",'ORDENES'!$N146))</f>
        <v/>
      </c>
      <c r="N168" s="3">
        <f>IF('ORDENES'!$A146="","",'ORDENES'!$AD146)</f>
        <v/>
      </c>
    </row>
    <row r="169">
      <c r="A169" s="3">
        <f>IF('ORDENES'!$A147="","",IF('ORDENES'!$O147="","-",'ORDENES'!$O147))</f>
        <v/>
      </c>
      <c r="B169" s="3">
        <f>IF('ORDENES'!$A147="","",IF('ORDENES'!$R147="","-",'ORDENES'!$R147))</f>
        <v/>
      </c>
      <c r="C169" s="3">
        <f>IF('ORDENES'!$A147="","",IF('ORDENES'!$AF147="","-",'ORDENES'!$AF147))</f>
        <v/>
      </c>
      <c r="D169" s="3">
        <f>IF('ORDENES'!$A147="","",IF('ORDENES'!$X147="","-",'ORDENES'!$X147))</f>
        <v/>
      </c>
      <c r="E169" s="3">
        <f>IF('ORDENES'!$A147="","",IF('ORDENES'!$V147="","-",'ORDENES'!$V147))</f>
        <v/>
      </c>
      <c r="F169" s="3">
        <f>IF('ORDENES'!$A147="","",IF('ORDENES'!$Y147="","-",'ORDENES'!$Y147))</f>
        <v/>
      </c>
      <c r="G169" s="3">
        <f>IF('ORDENES'!$A147="","",IF('ORDENES'!$W147="","-",'ORDENES'!$W147))</f>
        <v/>
      </c>
      <c r="H169" s="3">
        <f>IF('ORDENES'!$A147="","",IF('ORDENES'!$AE147="","-",'ORDENES'!$AE147))</f>
        <v/>
      </c>
      <c r="I169" s="3">
        <f>IF('ORDENES'!$A147="","",IF('ORDENES'!$AQ147="","-",'ORDENES'!$AQ147))</f>
        <v/>
      </c>
      <c r="J169" s="3">
        <f>IF('ORDENES'!$A147="","",IF('ORDENES'!$D147="","-",'ORDENES'!$D147))</f>
        <v/>
      </c>
      <c r="K169" s="3">
        <f>IF('ORDENES'!$A147="","",IF('ORDENES'!$E147="","-",'ORDENES'!$E147))</f>
        <v/>
      </c>
      <c r="L169" s="13">
        <f>IF('ORDENES'!$A147="","",IF('ORDENES'!$M147="",0,'ORDENES'!$M147))</f>
        <v/>
      </c>
      <c r="M169" s="3">
        <f>IF('ORDENES'!$A147="","",IF('ORDENES'!$N147="","-",'ORDENES'!$N147))</f>
        <v/>
      </c>
      <c r="N169" s="3">
        <f>IF('ORDENES'!$A147="","",'ORDENES'!$AD147)</f>
        <v/>
      </c>
    </row>
    <row r="170">
      <c r="A170" s="3">
        <f>IF('ORDENES'!$A148="","",IF('ORDENES'!$O148="","-",'ORDENES'!$O148))</f>
        <v/>
      </c>
      <c r="B170" s="3">
        <f>IF('ORDENES'!$A148="","",IF('ORDENES'!$R148="","-",'ORDENES'!$R148))</f>
        <v/>
      </c>
      <c r="C170" s="3">
        <f>IF('ORDENES'!$A148="","",IF('ORDENES'!$AF148="","-",'ORDENES'!$AF148))</f>
        <v/>
      </c>
      <c r="D170" s="3">
        <f>IF('ORDENES'!$A148="","",IF('ORDENES'!$X148="","-",'ORDENES'!$X148))</f>
        <v/>
      </c>
      <c r="E170" s="3">
        <f>IF('ORDENES'!$A148="","",IF('ORDENES'!$V148="","-",'ORDENES'!$V148))</f>
        <v/>
      </c>
      <c r="F170" s="3">
        <f>IF('ORDENES'!$A148="","",IF('ORDENES'!$Y148="","-",'ORDENES'!$Y148))</f>
        <v/>
      </c>
      <c r="G170" s="3">
        <f>IF('ORDENES'!$A148="","",IF('ORDENES'!$W148="","-",'ORDENES'!$W148))</f>
        <v/>
      </c>
      <c r="H170" s="3">
        <f>IF('ORDENES'!$A148="","",IF('ORDENES'!$AE148="","-",'ORDENES'!$AE148))</f>
        <v/>
      </c>
      <c r="I170" s="3">
        <f>IF('ORDENES'!$A148="","",IF('ORDENES'!$AQ148="","-",'ORDENES'!$AQ148))</f>
        <v/>
      </c>
      <c r="J170" s="3">
        <f>IF('ORDENES'!$A148="","",IF('ORDENES'!$D148="","-",'ORDENES'!$D148))</f>
        <v/>
      </c>
      <c r="K170" s="3">
        <f>IF('ORDENES'!$A148="","",IF('ORDENES'!$E148="","-",'ORDENES'!$E148))</f>
        <v/>
      </c>
      <c r="L170" s="13">
        <f>IF('ORDENES'!$A148="","",IF('ORDENES'!$M148="",0,'ORDENES'!$M148))</f>
        <v/>
      </c>
      <c r="M170" s="3">
        <f>IF('ORDENES'!$A148="","",IF('ORDENES'!$N148="","-",'ORDENES'!$N148))</f>
        <v/>
      </c>
      <c r="N170" s="3">
        <f>IF('ORDENES'!$A148="","",'ORDENES'!$AD148)</f>
        <v/>
      </c>
    </row>
    <row r="171">
      <c r="A171" s="3">
        <f>IF('ORDENES'!$A149="","",IF('ORDENES'!$O149="","-",'ORDENES'!$O149))</f>
        <v/>
      </c>
      <c r="B171" s="3">
        <f>IF('ORDENES'!$A149="","",IF('ORDENES'!$R149="","-",'ORDENES'!$R149))</f>
        <v/>
      </c>
      <c r="C171" s="3">
        <f>IF('ORDENES'!$A149="","",IF('ORDENES'!$AF149="","-",'ORDENES'!$AF149))</f>
        <v/>
      </c>
      <c r="D171" s="3">
        <f>IF('ORDENES'!$A149="","",IF('ORDENES'!$X149="","-",'ORDENES'!$X149))</f>
        <v/>
      </c>
      <c r="E171" s="3">
        <f>IF('ORDENES'!$A149="","",IF('ORDENES'!$V149="","-",'ORDENES'!$V149))</f>
        <v/>
      </c>
      <c r="F171" s="3">
        <f>IF('ORDENES'!$A149="","",IF('ORDENES'!$Y149="","-",'ORDENES'!$Y149))</f>
        <v/>
      </c>
      <c r="G171" s="3">
        <f>IF('ORDENES'!$A149="","",IF('ORDENES'!$W149="","-",'ORDENES'!$W149))</f>
        <v/>
      </c>
      <c r="H171" s="3">
        <f>IF('ORDENES'!$A149="","",IF('ORDENES'!$AE149="","-",'ORDENES'!$AE149))</f>
        <v/>
      </c>
      <c r="I171" s="3">
        <f>IF('ORDENES'!$A149="","",IF('ORDENES'!$AQ149="","-",'ORDENES'!$AQ149))</f>
        <v/>
      </c>
      <c r="J171" s="3">
        <f>IF('ORDENES'!$A149="","",IF('ORDENES'!$D149="","-",'ORDENES'!$D149))</f>
        <v/>
      </c>
      <c r="K171" s="3">
        <f>IF('ORDENES'!$A149="","",IF('ORDENES'!$E149="","-",'ORDENES'!$E149))</f>
        <v/>
      </c>
      <c r="L171" s="13">
        <f>IF('ORDENES'!$A149="","",IF('ORDENES'!$M149="",0,'ORDENES'!$M149))</f>
        <v/>
      </c>
      <c r="M171" s="3">
        <f>IF('ORDENES'!$A149="","",IF('ORDENES'!$N149="","-",'ORDENES'!$N149))</f>
        <v/>
      </c>
      <c r="N171" s="3">
        <f>IF('ORDENES'!$A149="","",'ORDENES'!$AD149)</f>
        <v/>
      </c>
    </row>
    <row r="172">
      <c r="A172" s="3">
        <f>IF('ORDENES'!$A150="","",IF('ORDENES'!$O150="","-",'ORDENES'!$O150))</f>
        <v/>
      </c>
      <c r="B172" s="3">
        <f>IF('ORDENES'!$A150="","",IF('ORDENES'!$R150="","-",'ORDENES'!$R150))</f>
        <v/>
      </c>
      <c r="C172" s="3">
        <f>IF('ORDENES'!$A150="","",IF('ORDENES'!$AF150="","-",'ORDENES'!$AF150))</f>
        <v/>
      </c>
      <c r="D172" s="3">
        <f>IF('ORDENES'!$A150="","",IF('ORDENES'!$X150="","-",'ORDENES'!$X150))</f>
        <v/>
      </c>
      <c r="E172" s="3">
        <f>IF('ORDENES'!$A150="","",IF('ORDENES'!$V150="","-",'ORDENES'!$V150))</f>
        <v/>
      </c>
      <c r="F172" s="3">
        <f>IF('ORDENES'!$A150="","",IF('ORDENES'!$Y150="","-",'ORDENES'!$Y150))</f>
        <v/>
      </c>
      <c r="G172" s="3">
        <f>IF('ORDENES'!$A150="","",IF('ORDENES'!$W150="","-",'ORDENES'!$W150))</f>
        <v/>
      </c>
      <c r="H172" s="3">
        <f>IF('ORDENES'!$A150="","",IF('ORDENES'!$AE150="","-",'ORDENES'!$AE150))</f>
        <v/>
      </c>
      <c r="I172" s="3">
        <f>IF('ORDENES'!$A150="","",IF('ORDENES'!$AQ150="","-",'ORDENES'!$AQ150))</f>
        <v/>
      </c>
      <c r="J172" s="3">
        <f>IF('ORDENES'!$A150="","",IF('ORDENES'!$D150="","-",'ORDENES'!$D150))</f>
        <v/>
      </c>
      <c r="K172" s="3">
        <f>IF('ORDENES'!$A150="","",IF('ORDENES'!$E150="","-",'ORDENES'!$E150))</f>
        <v/>
      </c>
      <c r="L172" s="13">
        <f>IF('ORDENES'!$A150="","",IF('ORDENES'!$M150="",0,'ORDENES'!$M150))</f>
        <v/>
      </c>
      <c r="M172" s="3">
        <f>IF('ORDENES'!$A150="","",IF('ORDENES'!$N150="","-",'ORDENES'!$N150))</f>
        <v/>
      </c>
      <c r="N172" s="3">
        <f>IF('ORDENES'!$A150="","",'ORDENES'!$AD150)</f>
        <v/>
      </c>
    </row>
    <row r="173">
      <c r="A173" s="3">
        <f>IF('ORDENES'!$A151="","",IF('ORDENES'!$O151="","-",'ORDENES'!$O151))</f>
        <v/>
      </c>
      <c r="B173" s="3">
        <f>IF('ORDENES'!$A151="","",IF('ORDENES'!$R151="","-",'ORDENES'!$R151))</f>
        <v/>
      </c>
      <c r="C173" s="3">
        <f>IF('ORDENES'!$A151="","",IF('ORDENES'!$AF151="","-",'ORDENES'!$AF151))</f>
        <v/>
      </c>
      <c r="D173" s="3">
        <f>IF('ORDENES'!$A151="","",IF('ORDENES'!$X151="","-",'ORDENES'!$X151))</f>
        <v/>
      </c>
      <c r="E173" s="3">
        <f>IF('ORDENES'!$A151="","",IF('ORDENES'!$V151="","-",'ORDENES'!$V151))</f>
        <v/>
      </c>
      <c r="F173" s="3">
        <f>IF('ORDENES'!$A151="","",IF('ORDENES'!$Y151="","-",'ORDENES'!$Y151))</f>
        <v/>
      </c>
      <c r="G173" s="3">
        <f>IF('ORDENES'!$A151="","",IF('ORDENES'!$W151="","-",'ORDENES'!$W151))</f>
        <v/>
      </c>
      <c r="H173" s="3">
        <f>IF('ORDENES'!$A151="","",IF('ORDENES'!$AE151="","-",'ORDENES'!$AE151))</f>
        <v/>
      </c>
      <c r="I173" s="3">
        <f>IF('ORDENES'!$A151="","",IF('ORDENES'!$AQ151="","-",'ORDENES'!$AQ151))</f>
        <v/>
      </c>
      <c r="J173" s="3">
        <f>IF('ORDENES'!$A151="","",IF('ORDENES'!$D151="","-",'ORDENES'!$D151))</f>
        <v/>
      </c>
      <c r="K173" s="3">
        <f>IF('ORDENES'!$A151="","",IF('ORDENES'!$E151="","-",'ORDENES'!$E151))</f>
        <v/>
      </c>
      <c r="L173" s="13">
        <f>IF('ORDENES'!$A151="","",IF('ORDENES'!$M151="",0,'ORDENES'!$M151))</f>
        <v/>
      </c>
      <c r="M173" s="3">
        <f>IF('ORDENES'!$A151="","",IF('ORDENES'!$N151="","-",'ORDENES'!$N151))</f>
        <v/>
      </c>
      <c r="N173" s="3">
        <f>IF('ORDENES'!$A151="","",'ORDENES'!$AD151)</f>
        <v/>
      </c>
    </row>
    <row r="174">
      <c r="A174" s="3">
        <f>IF('ORDENES'!$A152="","",IF('ORDENES'!$O152="","-",'ORDENES'!$O152))</f>
        <v/>
      </c>
      <c r="B174" s="3">
        <f>IF('ORDENES'!$A152="","",IF('ORDENES'!$R152="","-",'ORDENES'!$R152))</f>
        <v/>
      </c>
      <c r="C174" s="3">
        <f>IF('ORDENES'!$A152="","",IF('ORDENES'!$AF152="","-",'ORDENES'!$AF152))</f>
        <v/>
      </c>
      <c r="D174" s="3">
        <f>IF('ORDENES'!$A152="","",IF('ORDENES'!$X152="","-",'ORDENES'!$X152))</f>
        <v/>
      </c>
      <c r="E174" s="3">
        <f>IF('ORDENES'!$A152="","",IF('ORDENES'!$V152="","-",'ORDENES'!$V152))</f>
        <v/>
      </c>
      <c r="F174" s="3">
        <f>IF('ORDENES'!$A152="","",IF('ORDENES'!$Y152="","-",'ORDENES'!$Y152))</f>
        <v/>
      </c>
      <c r="G174" s="3">
        <f>IF('ORDENES'!$A152="","",IF('ORDENES'!$W152="","-",'ORDENES'!$W152))</f>
        <v/>
      </c>
      <c r="H174" s="3">
        <f>IF('ORDENES'!$A152="","",IF('ORDENES'!$AE152="","-",'ORDENES'!$AE152))</f>
        <v/>
      </c>
      <c r="I174" s="3">
        <f>IF('ORDENES'!$A152="","",IF('ORDENES'!$AQ152="","-",'ORDENES'!$AQ152))</f>
        <v/>
      </c>
      <c r="J174" s="3">
        <f>IF('ORDENES'!$A152="","",IF('ORDENES'!$D152="","-",'ORDENES'!$D152))</f>
        <v/>
      </c>
      <c r="K174" s="3">
        <f>IF('ORDENES'!$A152="","",IF('ORDENES'!$E152="","-",'ORDENES'!$E152))</f>
        <v/>
      </c>
      <c r="L174" s="13">
        <f>IF('ORDENES'!$A152="","",IF('ORDENES'!$M152="",0,'ORDENES'!$M152))</f>
        <v/>
      </c>
      <c r="M174" s="3">
        <f>IF('ORDENES'!$A152="","",IF('ORDENES'!$N152="","-",'ORDENES'!$N152))</f>
        <v/>
      </c>
      <c r="N174" s="3">
        <f>IF('ORDENES'!$A152="","",'ORDENES'!$AD152)</f>
        <v/>
      </c>
    </row>
    <row r="175">
      <c r="A175" s="3">
        <f>IF('ORDENES'!$A153="","",IF('ORDENES'!$O153="","-",'ORDENES'!$O153))</f>
        <v/>
      </c>
      <c r="B175" s="3">
        <f>IF('ORDENES'!$A153="","",IF('ORDENES'!$R153="","-",'ORDENES'!$R153))</f>
        <v/>
      </c>
      <c r="C175" s="3">
        <f>IF('ORDENES'!$A153="","",IF('ORDENES'!$AF153="","-",'ORDENES'!$AF153))</f>
        <v/>
      </c>
      <c r="D175" s="3">
        <f>IF('ORDENES'!$A153="","",IF('ORDENES'!$X153="","-",'ORDENES'!$X153))</f>
        <v/>
      </c>
      <c r="E175" s="3">
        <f>IF('ORDENES'!$A153="","",IF('ORDENES'!$V153="","-",'ORDENES'!$V153))</f>
        <v/>
      </c>
      <c r="F175" s="3">
        <f>IF('ORDENES'!$A153="","",IF('ORDENES'!$Y153="","-",'ORDENES'!$Y153))</f>
        <v/>
      </c>
      <c r="G175" s="3">
        <f>IF('ORDENES'!$A153="","",IF('ORDENES'!$W153="","-",'ORDENES'!$W153))</f>
        <v/>
      </c>
      <c r="H175" s="3">
        <f>IF('ORDENES'!$A153="","",IF('ORDENES'!$AE153="","-",'ORDENES'!$AE153))</f>
        <v/>
      </c>
      <c r="I175" s="3">
        <f>IF('ORDENES'!$A153="","",IF('ORDENES'!$AQ153="","-",'ORDENES'!$AQ153))</f>
        <v/>
      </c>
      <c r="J175" s="3">
        <f>IF('ORDENES'!$A153="","",IF('ORDENES'!$D153="","-",'ORDENES'!$D153))</f>
        <v/>
      </c>
      <c r="K175" s="3">
        <f>IF('ORDENES'!$A153="","",IF('ORDENES'!$E153="","-",'ORDENES'!$E153))</f>
        <v/>
      </c>
      <c r="L175" s="13">
        <f>IF('ORDENES'!$A153="","",IF('ORDENES'!$M153="",0,'ORDENES'!$M153))</f>
        <v/>
      </c>
      <c r="M175" s="3">
        <f>IF('ORDENES'!$A153="","",IF('ORDENES'!$N153="","-",'ORDENES'!$N153))</f>
        <v/>
      </c>
      <c r="N175" s="3">
        <f>IF('ORDENES'!$A153="","",'ORDENES'!$AD153)</f>
        <v/>
      </c>
    </row>
    <row r="176">
      <c r="A176" s="3">
        <f>IF('ORDENES'!$A154="","",IF('ORDENES'!$O154="","-",'ORDENES'!$O154))</f>
        <v/>
      </c>
      <c r="B176" s="3">
        <f>IF('ORDENES'!$A154="","",IF('ORDENES'!$R154="","-",'ORDENES'!$R154))</f>
        <v/>
      </c>
      <c r="C176" s="3">
        <f>IF('ORDENES'!$A154="","",IF('ORDENES'!$AF154="","-",'ORDENES'!$AF154))</f>
        <v/>
      </c>
      <c r="D176" s="3">
        <f>IF('ORDENES'!$A154="","",IF('ORDENES'!$X154="","-",'ORDENES'!$X154))</f>
        <v/>
      </c>
      <c r="E176" s="3">
        <f>IF('ORDENES'!$A154="","",IF('ORDENES'!$V154="","-",'ORDENES'!$V154))</f>
        <v/>
      </c>
      <c r="F176" s="3">
        <f>IF('ORDENES'!$A154="","",IF('ORDENES'!$Y154="","-",'ORDENES'!$Y154))</f>
        <v/>
      </c>
      <c r="G176" s="3">
        <f>IF('ORDENES'!$A154="","",IF('ORDENES'!$W154="","-",'ORDENES'!$W154))</f>
        <v/>
      </c>
      <c r="H176" s="3">
        <f>IF('ORDENES'!$A154="","",IF('ORDENES'!$AE154="","-",'ORDENES'!$AE154))</f>
        <v/>
      </c>
      <c r="I176" s="3">
        <f>IF('ORDENES'!$A154="","",IF('ORDENES'!$AQ154="","-",'ORDENES'!$AQ154))</f>
        <v/>
      </c>
      <c r="J176" s="3">
        <f>IF('ORDENES'!$A154="","",IF('ORDENES'!$D154="","-",'ORDENES'!$D154))</f>
        <v/>
      </c>
      <c r="K176" s="3">
        <f>IF('ORDENES'!$A154="","",IF('ORDENES'!$E154="","-",'ORDENES'!$E154))</f>
        <v/>
      </c>
      <c r="L176" s="13">
        <f>IF('ORDENES'!$A154="","",IF('ORDENES'!$M154="",0,'ORDENES'!$M154))</f>
        <v/>
      </c>
      <c r="M176" s="3">
        <f>IF('ORDENES'!$A154="","",IF('ORDENES'!$N154="","-",'ORDENES'!$N154))</f>
        <v/>
      </c>
      <c r="N176" s="3">
        <f>IF('ORDENES'!$A154="","",'ORDENES'!$AD154)</f>
        <v/>
      </c>
    </row>
    <row r="177">
      <c r="A177" s="3">
        <f>IF('ORDENES'!$A155="","",IF('ORDENES'!$O155="","-",'ORDENES'!$O155))</f>
        <v/>
      </c>
      <c r="B177" s="3">
        <f>IF('ORDENES'!$A155="","",IF('ORDENES'!$R155="","-",'ORDENES'!$R155))</f>
        <v/>
      </c>
      <c r="C177" s="3">
        <f>IF('ORDENES'!$A155="","",IF('ORDENES'!$AF155="","-",'ORDENES'!$AF155))</f>
        <v/>
      </c>
      <c r="D177" s="3">
        <f>IF('ORDENES'!$A155="","",IF('ORDENES'!$X155="","-",'ORDENES'!$X155))</f>
        <v/>
      </c>
      <c r="E177" s="3">
        <f>IF('ORDENES'!$A155="","",IF('ORDENES'!$V155="","-",'ORDENES'!$V155))</f>
        <v/>
      </c>
      <c r="F177" s="3">
        <f>IF('ORDENES'!$A155="","",IF('ORDENES'!$Y155="","-",'ORDENES'!$Y155))</f>
        <v/>
      </c>
      <c r="G177" s="3">
        <f>IF('ORDENES'!$A155="","",IF('ORDENES'!$W155="","-",'ORDENES'!$W155))</f>
        <v/>
      </c>
      <c r="H177" s="3">
        <f>IF('ORDENES'!$A155="","",IF('ORDENES'!$AE155="","-",'ORDENES'!$AE155))</f>
        <v/>
      </c>
      <c r="I177" s="3">
        <f>IF('ORDENES'!$A155="","",IF('ORDENES'!$AQ155="","-",'ORDENES'!$AQ155))</f>
        <v/>
      </c>
      <c r="J177" s="3">
        <f>IF('ORDENES'!$A155="","",IF('ORDENES'!$D155="","-",'ORDENES'!$D155))</f>
        <v/>
      </c>
      <c r="K177" s="3">
        <f>IF('ORDENES'!$A155="","",IF('ORDENES'!$E155="","-",'ORDENES'!$E155))</f>
        <v/>
      </c>
      <c r="L177" s="13">
        <f>IF('ORDENES'!$A155="","",IF('ORDENES'!$M155="",0,'ORDENES'!$M155))</f>
        <v/>
      </c>
      <c r="M177" s="3">
        <f>IF('ORDENES'!$A155="","",IF('ORDENES'!$N155="","-",'ORDENES'!$N155))</f>
        <v/>
      </c>
      <c r="N177" s="3">
        <f>IF('ORDENES'!$A155="","",'ORDENES'!$AD155)</f>
        <v/>
      </c>
    </row>
    <row r="178">
      <c r="A178" s="3">
        <f>IF('ORDENES'!$A156="","",IF('ORDENES'!$O156="","-",'ORDENES'!$O156))</f>
        <v/>
      </c>
      <c r="B178" s="3">
        <f>IF('ORDENES'!$A156="","",IF('ORDENES'!$R156="","-",'ORDENES'!$R156))</f>
        <v/>
      </c>
      <c r="C178" s="3">
        <f>IF('ORDENES'!$A156="","",IF('ORDENES'!$AF156="","-",'ORDENES'!$AF156))</f>
        <v/>
      </c>
      <c r="D178" s="3">
        <f>IF('ORDENES'!$A156="","",IF('ORDENES'!$X156="","-",'ORDENES'!$X156))</f>
        <v/>
      </c>
      <c r="E178" s="3">
        <f>IF('ORDENES'!$A156="","",IF('ORDENES'!$V156="","-",'ORDENES'!$V156))</f>
        <v/>
      </c>
      <c r="F178" s="3">
        <f>IF('ORDENES'!$A156="","",IF('ORDENES'!$Y156="","-",'ORDENES'!$Y156))</f>
        <v/>
      </c>
      <c r="G178" s="3">
        <f>IF('ORDENES'!$A156="","",IF('ORDENES'!$W156="","-",'ORDENES'!$W156))</f>
        <v/>
      </c>
      <c r="H178" s="3">
        <f>IF('ORDENES'!$A156="","",IF('ORDENES'!$AE156="","-",'ORDENES'!$AE156))</f>
        <v/>
      </c>
      <c r="I178" s="3">
        <f>IF('ORDENES'!$A156="","",IF('ORDENES'!$AQ156="","-",'ORDENES'!$AQ156))</f>
        <v/>
      </c>
      <c r="J178" s="3">
        <f>IF('ORDENES'!$A156="","",IF('ORDENES'!$D156="","-",'ORDENES'!$D156))</f>
        <v/>
      </c>
      <c r="K178" s="3">
        <f>IF('ORDENES'!$A156="","",IF('ORDENES'!$E156="","-",'ORDENES'!$E156))</f>
        <v/>
      </c>
      <c r="L178" s="13">
        <f>IF('ORDENES'!$A156="","",IF('ORDENES'!$M156="",0,'ORDENES'!$M156))</f>
        <v/>
      </c>
      <c r="M178" s="3">
        <f>IF('ORDENES'!$A156="","",IF('ORDENES'!$N156="","-",'ORDENES'!$N156))</f>
        <v/>
      </c>
      <c r="N178" s="3">
        <f>IF('ORDENES'!$A156="","",'ORDENES'!$AD156)</f>
        <v/>
      </c>
    </row>
    <row r="179">
      <c r="A179" s="3">
        <f>IF('ORDENES'!$A157="","",IF('ORDENES'!$O157="","-",'ORDENES'!$O157))</f>
        <v/>
      </c>
      <c r="B179" s="3">
        <f>IF('ORDENES'!$A157="","",IF('ORDENES'!$R157="","-",'ORDENES'!$R157))</f>
        <v/>
      </c>
      <c r="C179" s="3">
        <f>IF('ORDENES'!$A157="","",IF('ORDENES'!$AF157="","-",'ORDENES'!$AF157))</f>
        <v/>
      </c>
      <c r="D179" s="3">
        <f>IF('ORDENES'!$A157="","",IF('ORDENES'!$X157="","-",'ORDENES'!$X157))</f>
        <v/>
      </c>
      <c r="E179" s="3">
        <f>IF('ORDENES'!$A157="","",IF('ORDENES'!$V157="","-",'ORDENES'!$V157))</f>
        <v/>
      </c>
      <c r="F179" s="3">
        <f>IF('ORDENES'!$A157="","",IF('ORDENES'!$Y157="","-",'ORDENES'!$Y157))</f>
        <v/>
      </c>
      <c r="G179" s="3">
        <f>IF('ORDENES'!$A157="","",IF('ORDENES'!$W157="","-",'ORDENES'!$W157))</f>
        <v/>
      </c>
      <c r="H179" s="3">
        <f>IF('ORDENES'!$A157="","",IF('ORDENES'!$AE157="","-",'ORDENES'!$AE157))</f>
        <v/>
      </c>
      <c r="I179" s="3">
        <f>IF('ORDENES'!$A157="","",IF('ORDENES'!$AQ157="","-",'ORDENES'!$AQ157))</f>
        <v/>
      </c>
      <c r="J179" s="3">
        <f>IF('ORDENES'!$A157="","",IF('ORDENES'!$D157="","-",'ORDENES'!$D157))</f>
        <v/>
      </c>
      <c r="K179" s="3">
        <f>IF('ORDENES'!$A157="","",IF('ORDENES'!$E157="","-",'ORDENES'!$E157))</f>
        <v/>
      </c>
      <c r="L179" s="13">
        <f>IF('ORDENES'!$A157="","",IF('ORDENES'!$M157="",0,'ORDENES'!$M157))</f>
        <v/>
      </c>
      <c r="M179" s="3">
        <f>IF('ORDENES'!$A157="","",IF('ORDENES'!$N157="","-",'ORDENES'!$N157))</f>
        <v/>
      </c>
      <c r="N179" s="3">
        <f>IF('ORDENES'!$A157="","",'ORDENES'!$AD157)</f>
        <v/>
      </c>
    </row>
    <row r="180">
      <c r="A180" s="3">
        <f>IF('ORDENES'!$A158="","",IF('ORDENES'!$O158="","-",'ORDENES'!$O158))</f>
        <v/>
      </c>
      <c r="B180" s="3">
        <f>IF('ORDENES'!$A158="","",IF('ORDENES'!$R158="","-",'ORDENES'!$R158))</f>
        <v/>
      </c>
      <c r="C180" s="3">
        <f>IF('ORDENES'!$A158="","",IF('ORDENES'!$AF158="","-",'ORDENES'!$AF158))</f>
        <v/>
      </c>
      <c r="D180" s="3">
        <f>IF('ORDENES'!$A158="","",IF('ORDENES'!$X158="","-",'ORDENES'!$X158))</f>
        <v/>
      </c>
      <c r="E180" s="3">
        <f>IF('ORDENES'!$A158="","",IF('ORDENES'!$V158="","-",'ORDENES'!$V158))</f>
        <v/>
      </c>
      <c r="F180" s="3">
        <f>IF('ORDENES'!$A158="","",IF('ORDENES'!$Y158="","-",'ORDENES'!$Y158))</f>
        <v/>
      </c>
      <c r="G180" s="3">
        <f>IF('ORDENES'!$A158="","",IF('ORDENES'!$W158="","-",'ORDENES'!$W158))</f>
        <v/>
      </c>
      <c r="H180" s="3">
        <f>IF('ORDENES'!$A158="","",IF('ORDENES'!$AE158="","-",'ORDENES'!$AE158))</f>
        <v/>
      </c>
      <c r="I180" s="3">
        <f>IF('ORDENES'!$A158="","",IF('ORDENES'!$AQ158="","-",'ORDENES'!$AQ158))</f>
        <v/>
      </c>
      <c r="J180" s="3">
        <f>IF('ORDENES'!$A158="","",IF('ORDENES'!$D158="","-",'ORDENES'!$D158))</f>
        <v/>
      </c>
      <c r="K180" s="3">
        <f>IF('ORDENES'!$A158="","",IF('ORDENES'!$E158="","-",'ORDENES'!$E158))</f>
        <v/>
      </c>
      <c r="L180" s="13">
        <f>IF('ORDENES'!$A158="","",IF('ORDENES'!$M158="",0,'ORDENES'!$M158))</f>
        <v/>
      </c>
      <c r="M180" s="3">
        <f>IF('ORDENES'!$A158="","",IF('ORDENES'!$N158="","-",'ORDENES'!$N158))</f>
        <v/>
      </c>
      <c r="N180" s="3">
        <f>IF('ORDENES'!$A158="","",'ORDENES'!$AD158)</f>
        <v/>
      </c>
    </row>
    <row r="181">
      <c r="A181" s="3">
        <f>IF('ORDENES'!$A159="","",IF('ORDENES'!$O159="","-",'ORDENES'!$O159))</f>
        <v/>
      </c>
      <c r="B181" s="3">
        <f>IF('ORDENES'!$A159="","",IF('ORDENES'!$R159="","-",'ORDENES'!$R159))</f>
        <v/>
      </c>
      <c r="C181" s="3">
        <f>IF('ORDENES'!$A159="","",IF('ORDENES'!$AF159="","-",'ORDENES'!$AF159))</f>
        <v/>
      </c>
      <c r="D181" s="3">
        <f>IF('ORDENES'!$A159="","",IF('ORDENES'!$X159="","-",'ORDENES'!$X159))</f>
        <v/>
      </c>
      <c r="E181" s="3">
        <f>IF('ORDENES'!$A159="","",IF('ORDENES'!$V159="","-",'ORDENES'!$V159))</f>
        <v/>
      </c>
      <c r="F181" s="3">
        <f>IF('ORDENES'!$A159="","",IF('ORDENES'!$Y159="","-",'ORDENES'!$Y159))</f>
        <v/>
      </c>
      <c r="G181" s="3">
        <f>IF('ORDENES'!$A159="","",IF('ORDENES'!$W159="","-",'ORDENES'!$W159))</f>
        <v/>
      </c>
      <c r="H181" s="3">
        <f>IF('ORDENES'!$A159="","",IF('ORDENES'!$AE159="","-",'ORDENES'!$AE159))</f>
        <v/>
      </c>
      <c r="I181" s="3">
        <f>IF('ORDENES'!$A159="","",IF('ORDENES'!$AQ159="","-",'ORDENES'!$AQ159))</f>
        <v/>
      </c>
      <c r="J181" s="3">
        <f>IF('ORDENES'!$A159="","",IF('ORDENES'!$D159="","-",'ORDENES'!$D159))</f>
        <v/>
      </c>
      <c r="K181" s="3">
        <f>IF('ORDENES'!$A159="","",IF('ORDENES'!$E159="","-",'ORDENES'!$E159))</f>
        <v/>
      </c>
      <c r="L181" s="13">
        <f>IF('ORDENES'!$A159="","",IF('ORDENES'!$M159="",0,'ORDENES'!$M159))</f>
        <v/>
      </c>
      <c r="M181" s="3">
        <f>IF('ORDENES'!$A159="","",IF('ORDENES'!$N159="","-",'ORDENES'!$N159))</f>
        <v/>
      </c>
      <c r="N181" s="3">
        <f>IF('ORDENES'!$A159="","",'ORDENES'!$AD159)</f>
        <v/>
      </c>
    </row>
    <row r="182">
      <c r="A182" s="3">
        <f>IF('ORDENES'!$A160="","",IF('ORDENES'!$O160="","-",'ORDENES'!$O160))</f>
        <v/>
      </c>
      <c r="B182" s="3">
        <f>IF('ORDENES'!$A160="","",IF('ORDENES'!$R160="","-",'ORDENES'!$R160))</f>
        <v/>
      </c>
      <c r="C182" s="3">
        <f>IF('ORDENES'!$A160="","",IF('ORDENES'!$AF160="","-",'ORDENES'!$AF160))</f>
        <v/>
      </c>
      <c r="D182" s="3">
        <f>IF('ORDENES'!$A160="","",IF('ORDENES'!$X160="","-",'ORDENES'!$X160))</f>
        <v/>
      </c>
      <c r="E182" s="3">
        <f>IF('ORDENES'!$A160="","",IF('ORDENES'!$V160="","-",'ORDENES'!$V160))</f>
        <v/>
      </c>
      <c r="F182" s="3">
        <f>IF('ORDENES'!$A160="","",IF('ORDENES'!$Y160="","-",'ORDENES'!$Y160))</f>
        <v/>
      </c>
      <c r="G182" s="3">
        <f>IF('ORDENES'!$A160="","",IF('ORDENES'!$W160="","-",'ORDENES'!$W160))</f>
        <v/>
      </c>
      <c r="H182" s="3">
        <f>IF('ORDENES'!$A160="","",IF('ORDENES'!$AE160="","-",'ORDENES'!$AE160))</f>
        <v/>
      </c>
      <c r="I182" s="3">
        <f>IF('ORDENES'!$A160="","",IF('ORDENES'!$AQ160="","-",'ORDENES'!$AQ160))</f>
        <v/>
      </c>
      <c r="J182" s="3">
        <f>IF('ORDENES'!$A160="","",IF('ORDENES'!$D160="","-",'ORDENES'!$D160))</f>
        <v/>
      </c>
      <c r="K182" s="3">
        <f>IF('ORDENES'!$A160="","",IF('ORDENES'!$E160="","-",'ORDENES'!$E160))</f>
        <v/>
      </c>
      <c r="L182" s="13">
        <f>IF('ORDENES'!$A160="","",IF('ORDENES'!$M160="",0,'ORDENES'!$M160))</f>
        <v/>
      </c>
      <c r="M182" s="3">
        <f>IF('ORDENES'!$A160="","",IF('ORDENES'!$N160="","-",'ORDENES'!$N160))</f>
        <v/>
      </c>
      <c r="N182" s="3">
        <f>IF('ORDENES'!$A160="","",'ORDENES'!$AD160)</f>
        <v/>
      </c>
    </row>
    <row r="183">
      <c r="A183" s="3">
        <f>IF('ORDENES'!$A161="","",IF('ORDENES'!$O161="","-",'ORDENES'!$O161))</f>
        <v/>
      </c>
      <c r="B183" s="3">
        <f>IF('ORDENES'!$A161="","",IF('ORDENES'!$R161="","-",'ORDENES'!$R161))</f>
        <v/>
      </c>
      <c r="C183" s="3">
        <f>IF('ORDENES'!$A161="","",IF('ORDENES'!$AF161="","-",'ORDENES'!$AF161))</f>
        <v/>
      </c>
      <c r="D183" s="3">
        <f>IF('ORDENES'!$A161="","",IF('ORDENES'!$X161="","-",'ORDENES'!$X161))</f>
        <v/>
      </c>
      <c r="E183" s="3">
        <f>IF('ORDENES'!$A161="","",IF('ORDENES'!$V161="","-",'ORDENES'!$V161))</f>
        <v/>
      </c>
      <c r="F183" s="3">
        <f>IF('ORDENES'!$A161="","",IF('ORDENES'!$Y161="","-",'ORDENES'!$Y161))</f>
        <v/>
      </c>
      <c r="G183" s="3">
        <f>IF('ORDENES'!$A161="","",IF('ORDENES'!$W161="","-",'ORDENES'!$W161))</f>
        <v/>
      </c>
      <c r="H183" s="3">
        <f>IF('ORDENES'!$A161="","",IF('ORDENES'!$AE161="","-",'ORDENES'!$AE161))</f>
        <v/>
      </c>
      <c r="I183" s="3">
        <f>IF('ORDENES'!$A161="","",IF('ORDENES'!$AQ161="","-",'ORDENES'!$AQ161))</f>
        <v/>
      </c>
      <c r="J183" s="3">
        <f>IF('ORDENES'!$A161="","",IF('ORDENES'!$D161="","-",'ORDENES'!$D161))</f>
        <v/>
      </c>
      <c r="K183" s="3">
        <f>IF('ORDENES'!$A161="","",IF('ORDENES'!$E161="","-",'ORDENES'!$E161))</f>
        <v/>
      </c>
      <c r="L183" s="13">
        <f>IF('ORDENES'!$A161="","",IF('ORDENES'!$M161="",0,'ORDENES'!$M161))</f>
        <v/>
      </c>
      <c r="M183" s="3">
        <f>IF('ORDENES'!$A161="","",IF('ORDENES'!$N161="","-",'ORDENES'!$N161))</f>
        <v/>
      </c>
      <c r="N183" s="3">
        <f>IF('ORDENES'!$A161="","",'ORDENES'!$AD161)</f>
        <v/>
      </c>
    </row>
    <row r="184">
      <c r="A184" s="3">
        <f>IF('ORDENES'!$A162="","",IF('ORDENES'!$O162="","-",'ORDENES'!$O162))</f>
        <v/>
      </c>
      <c r="B184" s="3">
        <f>IF('ORDENES'!$A162="","",IF('ORDENES'!$R162="","-",'ORDENES'!$R162))</f>
        <v/>
      </c>
      <c r="C184" s="3">
        <f>IF('ORDENES'!$A162="","",IF('ORDENES'!$AF162="","-",'ORDENES'!$AF162))</f>
        <v/>
      </c>
      <c r="D184" s="3">
        <f>IF('ORDENES'!$A162="","",IF('ORDENES'!$X162="","-",'ORDENES'!$X162))</f>
        <v/>
      </c>
      <c r="E184" s="3">
        <f>IF('ORDENES'!$A162="","",IF('ORDENES'!$V162="","-",'ORDENES'!$V162))</f>
        <v/>
      </c>
      <c r="F184" s="3">
        <f>IF('ORDENES'!$A162="","",IF('ORDENES'!$Y162="","-",'ORDENES'!$Y162))</f>
        <v/>
      </c>
      <c r="G184" s="3">
        <f>IF('ORDENES'!$A162="","",IF('ORDENES'!$W162="","-",'ORDENES'!$W162))</f>
        <v/>
      </c>
      <c r="H184" s="3">
        <f>IF('ORDENES'!$A162="","",IF('ORDENES'!$AE162="","-",'ORDENES'!$AE162))</f>
        <v/>
      </c>
      <c r="I184" s="3">
        <f>IF('ORDENES'!$A162="","",IF('ORDENES'!$AQ162="","-",'ORDENES'!$AQ162))</f>
        <v/>
      </c>
      <c r="J184" s="3">
        <f>IF('ORDENES'!$A162="","",IF('ORDENES'!$D162="","-",'ORDENES'!$D162))</f>
        <v/>
      </c>
      <c r="K184" s="3">
        <f>IF('ORDENES'!$A162="","",IF('ORDENES'!$E162="","-",'ORDENES'!$E162))</f>
        <v/>
      </c>
      <c r="L184" s="13">
        <f>IF('ORDENES'!$A162="","",IF('ORDENES'!$M162="",0,'ORDENES'!$M162))</f>
        <v/>
      </c>
      <c r="M184" s="3">
        <f>IF('ORDENES'!$A162="","",IF('ORDENES'!$N162="","-",'ORDENES'!$N162))</f>
        <v/>
      </c>
      <c r="N184" s="3">
        <f>IF('ORDENES'!$A162="","",'ORDENES'!$AD162)</f>
        <v/>
      </c>
    </row>
    <row r="185">
      <c r="A185" s="3">
        <f>IF('ORDENES'!$A163="","",IF('ORDENES'!$O163="","-",'ORDENES'!$O163))</f>
        <v/>
      </c>
      <c r="B185" s="3">
        <f>IF('ORDENES'!$A163="","",IF('ORDENES'!$R163="","-",'ORDENES'!$R163))</f>
        <v/>
      </c>
      <c r="C185" s="3">
        <f>IF('ORDENES'!$A163="","",IF('ORDENES'!$AF163="","-",'ORDENES'!$AF163))</f>
        <v/>
      </c>
      <c r="D185" s="3">
        <f>IF('ORDENES'!$A163="","",IF('ORDENES'!$X163="","-",'ORDENES'!$X163))</f>
        <v/>
      </c>
      <c r="E185" s="3">
        <f>IF('ORDENES'!$A163="","",IF('ORDENES'!$V163="","-",'ORDENES'!$V163))</f>
        <v/>
      </c>
      <c r="F185" s="3">
        <f>IF('ORDENES'!$A163="","",IF('ORDENES'!$Y163="","-",'ORDENES'!$Y163))</f>
        <v/>
      </c>
      <c r="G185" s="3">
        <f>IF('ORDENES'!$A163="","",IF('ORDENES'!$W163="","-",'ORDENES'!$W163))</f>
        <v/>
      </c>
      <c r="H185" s="3">
        <f>IF('ORDENES'!$A163="","",IF('ORDENES'!$AE163="","-",'ORDENES'!$AE163))</f>
        <v/>
      </c>
      <c r="I185" s="3">
        <f>IF('ORDENES'!$A163="","",IF('ORDENES'!$AQ163="","-",'ORDENES'!$AQ163))</f>
        <v/>
      </c>
      <c r="J185" s="3">
        <f>IF('ORDENES'!$A163="","",IF('ORDENES'!$D163="","-",'ORDENES'!$D163))</f>
        <v/>
      </c>
      <c r="K185" s="3">
        <f>IF('ORDENES'!$A163="","",IF('ORDENES'!$E163="","-",'ORDENES'!$E163))</f>
        <v/>
      </c>
      <c r="L185" s="13">
        <f>IF('ORDENES'!$A163="","",IF('ORDENES'!$M163="",0,'ORDENES'!$M163))</f>
        <v/>
      </c>
      <c r="M185" s="3">
        <f>IF('ORDENES'!$A163="","",IF('ORDENES'!$N163="","-",'ORDENES'!$N163))</f>
        <v/>
      </c>
      <c r="N185" s="3">
        <f>IF('ORDENES'!$A163="","",'ORDENES'!$AD163)</f>
        <v/>
      </c>
    </row>
    <row r="186">
      <c r="A186" s="3">
        <f>IF('ORDENES'!$A164="","",IF('ORDENES'!$O164="","-",'ORDENES'!$O164))</f>
        <v/>
      </c>
      <c r="B186" s="3">
        <f>IF('ORDENES'!$A164="","",IF('ORDENES'!$R164="","-",'ORDENES'!$R164))</f>
        <v/>
      </c>
      <c r="C186" s="3">
        <f>IF('ORDENES'!$A164="","",IF('ORDENES'!$AF164="","-",'ORDENES'!$AF164))</f>
        <v/>
      </c>
      <c r="D186" s="3">
        <f>IF('ORDENES'!$A164="","",IF('ORDENES'!$X164="","-",'ORDENES'!$X164))</f>
        <v/>
      </c>
      <c r="E186" s="3">
        <f>IF('ORDENES'!$A164="","",IF('ORDENES'!$V164="","-",'ORDENES'!$V164))</f>
        <v/>
      </c>
      <c r="F186" s="3">
        <f>IF('ORDENES'!$A164="","",IF('ORDENES'!$Y164="","-",'ORDENES'!$Y164))</f>
        <v/>
      </c>
      <c r="G186" s="3">
        <f>IF('ORDENES'!$A164="","",IF('ORDENES'!$W164="","-",'ORDENES'!$W164))</f>
        <v/>
      </c>
      <c r="H186" s="3">
        <f>IF('ORDENES'!$A164="","",IF('ORDENES'!$AE164="","-",'ORDENES'!$AE164))</f>
        <v/>
      </c>
      <c r="I186" s="3">
        <f>IF('ORDENES'!$A164="","",IF('ORDENES'!$AQ164="","-",'ORDENES'!$AQ164))</f>
        <v/>
      </c>
      <c r="J186" s="3">
        <f>IF('ORDENES'!$A164="","",IF('ORDENES'!$D164="","-",'ORDENES'!$D164))</f>
        <v/>
      </c>
      <c r="K186" s="3">
        <f>IF('ORDENES'!$A164="","",IF('ORDENES'!$E164="","-",'ORDENES'!$E164))</f>
        <v/>
      </c>
      <c r="L186" s="13">
        <f>IF('ORDENES'!$A164="","",IF('ORDENES'!$M164="",0,'ORDENES'!$M164))</f>
        <v/>
      </c>
      <c r="M186" s="3">
        <f>IF('ORDENES'!$A164="","",IF('ORDENES'!$N164="","-",'ORDENES'!$N164))</f>
        <v/>
      </c>
      <c r="N186" s="3">
        <f>IF('ORDENES'!$A164="","",'ORDENES'!$AD164)</f>
        <v/>
      </c>
    </row>
    <row r="187">
      <c r="A187" s="3">
        <f>IF('ORDENES'!$A165="","",IF('ORDENES'!$O165="","-",'ORDENES'!$O165))</f>
        <v/>
      </c>
      <c r="B187" s="3">
        <f>IF('ORDENES'!$A165="","",IF('ORDENES'!$R165="","-",'ORDENES'!$R165))</f>
        <v/>
      </c>
      <c r="C187" s="3">
        <f>IF('ORDENES'!$A165="","",IF('ORDENES'!$AF165="","-",'ORDENES'!$AF165))</f>
        <v/>
      </c>
      <c r="D187" s="3">
        <f>IF('ORDENES'!$A165="","",IF('ORDENES'!$X165="","-",'ORDENES'!$X165))</f>
        <v/>
      </c>
      <c r="E187" s="3">
        <f>IF('ORDENES'!$A165="","",IF('ORDENES'!$V165="","-",'ORDENES'!$V165))</f>
        <v/>
      </c>
      <c r="F187" s="3">
        <f>IF('ORDENES'!$A165="","",IF('ORDENES'!$Y165="","-",'ORDENES'!$Y165))</f>
        <v/>
      </c>
      <c r="G187" s="3">
        <f>IF('ORDENES'!$A165="","",IF('ORDENES'!$W165="","-",'ORDENES'!$W165))</f>
        <v/>
      </c>
      <c r="H187" s="3">
        <f>IF('ORDENES'!$A165="","",IF('ORDENES'!$AE165="","-",'ORDENES'!$AE165))</f>
        <v/>
      </c>
      <c r="I187" s="3">
        <f>IF('ORDENES'!$A165="","",IF('ORDENES'!$AQ165="","-",'ORDENES'!$AQ165))</f>
        <v/>
      </c>
      <c r="J187" s="3">
        <f>IF('ORDENES'!$A165="","",IF('ORDENES'!$D165="","-",'ORDENES'!$D165))</f>
        <v/>
      </c>
      <c r="K187" s="3">
        <f>IF('ORDENES'!$A165="","",IF('ORDENES'!$E165="","-",'ORDENES'!$E165))</f>
        <v/>
      </c>
      <c r="L187" s="13">
        <f>IF('ORDENES'!$A165="","",IF('ORDENES'!$M165="",0,'ORDENES'!$M165))</f>
        <v/>
      </c>
      <c r="M187" s="3">
        <f>IF('ORDENES'!$A165="","",IF('ORDENES'!$N165="","-",'ORDENES'!$N165))</f>
        <v/>
      </c>
      <c r="N187" s="3">
        <f>IF('ORDENES'!$A165="","",'ORDENES'!$AD165)</f>
        <v/>
      </c>
    </row>
    <row r="188">
      <c r="A188" s="3">
        <f>IF('ORDENES'!$A166="","",IF('ORDENES'!$O166="","-",'ORDENES'!$O166))</f>
        <v/>
      </c>
      <c r="B188" s="3">
        <f>IF('ORDENES'!$A166="","",IF('ORDENES'!$R166="","-",'ORDENES'!$R166))</f>
        <v/>
      </c>
      <c r="C188" s="3">
        <f>IF('ORDENES'!$A166="","",IF('ORDENES'!$AF166="","-",'ORDENES'!$AF166))</f>
        <v/>
      </c>
      <c r="D188" s="3">
        <f>IF('ORDENES'!$A166="","",IF('ORDENES'!$X166="","-",'ORDENES'!$X166))</f>
        <v/>
      </c>
      <c r="E188" s="3">
        <f>IF('ORDENES'!$A166="","",IF('ORDENES'!$V166="","-",'ORDENES'!$V166))</f>
        <v/>
      </c>
      <c r="F188" s="3">
        <f>IF('ORDENES'!$A166="","",IF('ORDENES'!$Y166="","-",'ORDENES'!$Y166))</f>
        <v/>
      </c>
      <c r="G188" s="3">
        <f>IF('ORDENES'!$A166="","",IF('ORDENES'!$W166="","-",'ORDENES'!$W166))</f>
        <v/>
      </c>
      <c r="H188" s="3">
        <f>IF('ORDENES'!$A166="","",IF('ORDENES'!$AE166="","-",'ORDENES'!$AE166))</f>
        <v/>
      </c>
      <c r="I188" s="3">
        <f>IF('ORDENES'!$A166="","",IF('ORDENES'!$AQ166="","-",'ORDENES'!$AQ166))</f>
        <v/>
      </c>
      <c r="J188" s="3">
        <f>IF('ORDENES'!$A166="","",IF('ORDENES'!$D166="","-",'ORDENES'!$D166))</f>
        <v/>
      </c>
      <c r="K188" s="3">
        <f>IF('ORDENES'!$A166="","",IF('ORDENES'!$E166="","-",'ORDENES'!$E166))</f>
        <v/>
      </c>
      <c r="L188" s="13">
        <f>IF('ORDENES'!$A166="","",IF('ORDENES'!$M166="",0,'ORDENES'!$M166))</f>
        <v/>
      </c>
      <c r="M188" s="3">
        <f>IF('ORDENES'!$A166="","",IF('ORDENES'!$N166="","-",'ORDENES'!$N166))</f>
        <v/>
      </c>
      <c r="N188" s="3">
        <f>IF('ORDENES'!$A166="","",'ORDENES'!$AD166)</f>
        <v/>
      </c>
    </row>
    <row r="189">
      <c r="A189" s="3">
        <f>IF('ORDENES'!$A167="","",IF('ORDENES'!$O167="","-",'ORDENES'!$O167))</f>
        <v/>
      </c>
      <c r="B189" s="3">
        <f>IF('ORDENES'!$A167="","",IF('ORDENES'!$R167="","-",'ORDENES'!$R167))</f>
        <v/>
      </c>
      <c r="C189" s="3">
        <f>IF('ORDENES'!$A167="","",IF('ORDENES'!$AF167="","-",'ORDENES'!$AF167))</f>
        <v/>
      </c>
      <c r="D189" s="3">
        <f>IF('ORDENES'!$A167="","",IF('ORDENES'!$X167="","-",'ORDENES'!$X167))</f>
        <v/>
      </c>
      <c r="E189" s="3">
        <f>IF('ORDENES'!$A167="","",IF('ORDENES'!$V167="","-",'ORDENES'!$V167))</f>
        <v/>
      </c>
      <c r="F189" s="3">
        <f>IF('ORDENES'!$A167="","",IF('ORDENES'!$Y167="","-",'ORDENES'!$Y167))</f>
        <v/>
      </c>
      <c r="G189" s="3">
        <f>IF('ORDENES'!$A167="","",IF('ORDENES'!$W167="","-",'ORDENES'!$W167))</f>
        <v/>
      </c>
      <c r="H189" s="3">
        <f>IF('ORDENES'!$A167="","",IF('ORDENES'!$AE167="","-",'ORDENES'!$AE167))</f>
        <v/>
      </c>
      <c r="I189" s="3">
        <f>IF('ORDENES'!$A167="","",IF('ORDENES'!$AQ167="","-",'ORDENES'!$AQ167))</f>
        <v/>
      </c>
      <c r="J189" s="3">
        <f>IF('ORDENES'!$A167="","",IF('ORDENES'!$D167="","-",'ORDENES'!$D167))</f>
        <v/>
      </c>
      <c r="K189" s="3">
        <f>IF('ORDENES'!$A167="","",IF('ORDENES'!$E167="","-",'ORDENES'!$E167))</f>
        <v/>
      </c>
      <c r="L189" s="13">
        <f>IF('ORDENES'!$A167="","",IF('ORDENES'!$M167="",0,'ORDENES'!$M167))</f>
        <v/>
      </c>
      <c r="M189" s="3">
        <f>IF('ORDENES'!$A167="","",IF('ORDENES'!$N167="","-",'ORDENES'!$N167))</f>
        <v/>
      </c>
      <c r="N189" s="3">
        <f>IF('ORDENES'!$A167="","",'ORDENES'!$AD167)</f>
        <v/>
      </c>
    </row>
    <row r="190">
      <c r="A190" s="3">
        <f>IF('ORDENES'!$A168="","",IF('ORDENES'!$O168="","-",'ORDENES'!$O168))</f>
        <v/>
      </c>
      <c r="B190" s="3">
        <f>IF('ORDENES'!$A168="","",IF('ORDENES'!$R168="","-",'ORDENES'!$R168))</f>
        <v/>
      </c>
      <c r="C190" s="3">
        <f>IF('ORDENES'!$A168="","",IF('ORDENES'!$AF168="","-",'ORDENES'!$AF168))</f>
        <v/>
      </c>
      <c r="D190" s="3">
        <f>IF('ORDENES'!$A168="","",IF('ORDENES'!$X168="","-",'ORDENES'!$X168))</f>
        <v/>
      </c>
      <c r="E190" s="3">
        <f>IF('ORDENES'!$A168="","",IF('ORDENES'!$V168="","-",'ORDENES'!$V168))</f>
        <v/>
      </c>
      <c r="F190" s="3">
        <f>IF('ORDENES'!$A168="","",IF('ORDENES'!$Y168="","-",'ORDENES'!$Y168))</f>
        <v/>
      </c>
      <c r="G190" s="3">
        <f>IF('ORDENES'!$A168="","",IF('ORDENES'!$W168="","-",'ORDENES'!$W168))</f>
        <v/>
      </c>
      <c r="H190" s="3">
        <f>IF('ORDENES'!$A168="","",IF('ORDENES'!$AE168="","-",'ORDENES'!$AE168))</f>
        <v/>
      </c>
      <c r="I190" s="3">
        <f>IF('ORDENES'!$A168="","",IF('ORDENES'!$AQ168="","-",'ORDENES'!$AQ168))</f>
        <v/>
      </c>
      <c r="J190" s="3">
        <f>IF('ORDENES'!$A168="","",IF('ORDENES'!$D168="","-",'ORDENES'!$D168))</f>
        <v/>
      </c>
      <c r="K190" s="3">
        <f>IF('ORDENES'!$A168="","",IF('ORDENES'!$E168="","-",'ORDENES'!$E168))</f>
        <v/>
      </c>
      <c r="L190" s="13">
        <f>IF('ORDENES'!$A168="","",IF('ORDENES'!$M168="",0,'ORDENES'!$M168))</f>
        <v/>
      </c>
      <c r="M190" s="3">
        <f>IF('ORDENES'!$A168="","",IF('ORDENES'!$N168="","-",'ORDENES'!$N168))</f>
        <v/>
      </c>
      <c r="N190" s="3">
        <f>IF('ORDENES'!$A168="","",'ORDENES'!$AD168)</f>
        <v/>
      </c>
    </row>
    <row r="191">
      <c r="A191" s="3">
        <f>IF('ORDENES'!$A169="","",IF('ORDENES'!$O169="","-",'ORDENES'!$O169))</f>
        <v/>
      </c>
      <c r="B191" s="3">
        <f>IF('ORDENES'!$A169="","",IF('ORDENES'!$R169="","-",'ORDENES'!$R169))</f>
        <v/>
      </c>
      <c r="C191" s="3">
        <f>IF('ORDENES'!$A169="","",IF('ORDENES'!$AF169="","-",'ORDENES'!$AF169))</f>
        <v/>
      </c>
      <c r="D191" s="3">
        <f>IF('ORDENES'!$A169="","",IF('ORDENES'!$X169="","-",'ORDENES'!$X169))</f>
        <v/>
      </c>
      <c r="E191" s="3">
        <f>IF('ORDENES'!$A169="","",IF('ORDENES'!$V169="","-",'ORDENES'!$V169))</f>
        <v/>
      </c>
      <c r="F191" s="3">
        <f>IF('ORDENES'!$A169="","",IF('ORDENES'!$Y169="","-",'ORDENES'!$Y169))</f>
        <v/>
      </c>
      <c r="G191" s="3">
        <f>IF('ORDENES'!$A169="","",IF('ORDENES'!$W169="","-",'ORDENES'!$W169))</f>
        <v/>
      </c>
      <c r="H191" s="3">
        <f>IF('ORDENES'!$A169="","",IF('ORDENES'!$AE169="","-",'ORDENES'!$AE169))</f>
        <v/>
      </c>
      <c r="I191" s="3">
        <f>IF('ORDENES'!$A169="","",IF('ORDENES'!$AQ169="","-",'ORDENES'!$AQ169))</f>
        <v/>
      </c>
      <c r="J191" s="3">
        <f>IF('ORDENES'!$A169="","",IF('ORDENES'!$D169="","-",'ORDENES'!$D169))</f>
        <v/>
      </c>
      <c r="K191" s="3">
        <f>IF('ORDENES'!$A169="","",IF('ORDENES'!$E169="","-",'ORDENES'!$E169))</f>
        <v/>
      </c>
      <c r="L191" s="13">
        <f>IF('ORDENES'!$A169="","",IF('ORDENES'!$M169="",0,'ORDENES'!$M169))</f>
        <v/>
      </c>
      <c r="M191" s="3">
        <f>IF('ORDENES'!$A169="","",IF('ORDENES'!$N169="","-",'ORDENES'!$N169))</f>
        <v/>
      </c>
      <c r="N191" s="3">
        <f>IF('ORDENES'!$A169="","",'ORDENES'!$AD169)</f>
        <v/>
      </c>
    </row>
    <row r="192">
      <c r="A192" s="3">
        <f>IF('ORDENES'!$A170="","",IF('ORDENES'!$O170="","-",'ORDENES'!$O170))</f>
        <v/>
      </c>
      <c r="B192" s="3">
        <f>IF('ORDENES'!$A170="","",IF('ORDENES'!$R170="","-",'ORDENES'!$R170))</f>
        <v/>
      </c>
      <c r="C192" s="3">
        <f>IF('ORDENES'!$A170="","",IF('ORDENES'!$AF170="","-",'ORDENES'!$AF170))</f>
        <v/>
      </c>
      <c r="D192" s="3">
        <f>IF('ORDENES'!$A170="","",IF('ORDENES'!$X170="","-",'ORDENES'!$X170))</f>
        <v/>
      </c>
      <c r="E192" s="3">
        <f>IF('ORDENES'!$A170="","",IF('ORDENES'!$V170="","-",'ORDENES'!$V170))</f>
        <v/>
      </c>
      <c r="F192" s="3">
        <f>IF('ORDENES'!$A170="","",IF('ORDENES'!$Y170="","-",'ORDENES'!$Y170))</f>
        <v/>
      </c>
      <c r="G192" s="3">
        <f>IF('ORDENES'!$A170="","",IF('ORDENES'!$W170="","-",'ORDENES'!$W170))</f>
        <v/>
      </c>
      <c r="H192" s="3">
        <f>IF('ORDENES'!$A170="","",IF('ORDENES'!$AE170="","-",'ORDENES'!$AE170))</f>
        <v/>
      </c>
      <c r="I192" s="3">
        <f>IF('ORDENES'!$A170="","",IF('ORDENES'!$AQ170="","-",'ORDENES'!$AQ170))</f>
        <v/>
      </c>
      <c r="J192" s="3">
        <f>IF('ORDENES'!$A170="","",IF('ORDENES'!$D170="","-",'ORDENES'!$D170))</f>
        <v/>
      </c>
      <c r="K192" s="3">
        <f>IF('ORDENES'!$A170="","",IF('ORDENES'!$E170="","-",'ORDENES'!$E170))</f>
        <v/>
      </c>
      <c r="L192" s="13">
        <f>IF('ORDENES'!$A170="","",IF('ORDENES'!$M170="",0,'ORDENES'!$M170))</f>
        <v/>
      </c>
      <c r="M192" s="3">
        <f>IF('ORDENES'!$A170="","",IF('ORDENES'!$N170="","-",'ORDENES'!$N170))</f>
        <v/>
      </c>
      <c r="N192" s="3">
        <f>IF('ORDENES'!$A170="","",'ORDENES'!$AD170)</f>
        <v/>
      </c>
    </row>
    <row r="193">
      <c r="A193" s="3">
        <f>IF('ORDENES'!$A171="","",IF('ORDENES'!$O171="","-",'ORDENES'!$O171))</f>
        <v/>
      </c>
      <c r="B193" s="3">
        <f>IF('ORDENES'!$A171="","",IF('ORDENES'!$R171="","-",'ORDENES'!$R171))</f>
        <v/>
      </c>
      <c r="C193" s="3">
        <f>IF('ORDENES'!$A171="","",IF('ORDENES'!$AF171="","-",'ORDENES'!$AF171))</f>
        <v/>
      </c>
      <c r="D193" s="3">
        <f>IF('ORDENES'!$A171="","",IF('ORDENES'!$X171="","-",'ORDENES'!$X171))</f>
        <v/>
      </c>
      <c r="E193" s="3">
        <f>IF('ORDENES'!$A171="","",IF('ORDENES'!$V171="","-",'ORDENES'!$V171))</f>
        <v/>
      </c>
      <c r="F193" s="3">
        <f>IF('ORDENES'!$A171="","",IF('ORDENES'!$Y171="","-",'ORDENES'!$Y171))</f>
        <v/>
      </c>
      <c r="G193" s="3">
        <f>IF('ORDENES'!$A171="","",IF('ORDENES'!$W171="","-",'ORDENES'!$W171))</f>
        <v/>
      </c>
      <c r="H193" s="3">
        <f>IF('ORDENES'!$A171="","",IF('ORDENES'!$AE171="","-",'ORDENES'!$AE171))</f>
        <v/>
      </c>
      <c r="I193" s="3">
        <f>IF('ORDENES'!$A171="","",IF('ORDENES'!$AQ171="","-",'ORDENES'!$AQ171))</f>
        <v/>
      </c>
      <c r="J193" s="3">
        <f>IF('ORDENES'!$A171="","",IF('ORDENES'!$D171="","-",'ORDENES'!$D171))</f>
        <v/>
      </c>
      <c r="K193" s="3">
        <f>IF('ORDENES'!$A171="","",IF('ORDENES'!$E171="","-",'ORDENES'!$E171))</f>
        <v/>
      </c>
      <c r="L193" s="13">
        <f>IF('ORDENES'!$A171="","",IF('ORDENES'!$M171="",0,'ORDENES'!$M171))</f>
        <v/>
      </c>
      <c r="M193" s="3">
        <f>IF('ORDENES'!$A171="","",IF('ORDENES'!$N171="","-",'ORDENES'!$N171))</f>
        <v/>
      </c>
      <c r="N193" s="3">
        <f>IF('ORDENES'!$A171="","",'ORDENES'!$AD171)</f>
        <v/>
      </c>
    </row>
    <row r="194">
      <c r="A194" s="3">
        <f>IF('ORDENES'!$A172="","",IF('ORDENES'!$O172="","-",'ORDENES'!$O172))</f>
        <v/>
      </c>
      <c r="B194" s="3">
        <f>IF('ORDENES'!$A172="","",IF('ORDENES'!$R172="","-",'ORDENES'!$R172))</f>
        <v/>
      </c>
      <c r="C194" s="3">
        <f>IF('ORDENES'!$A172="","",IF('ORDENES'!$AF172="","-",'ORDENES'!$AF172))</f>
        <v/>
      </c>
      <c r="D194" s="3">
        <f>IF('ORDENES'!$A172="","",IF('ORDENES'!$X172="","-",'ORDENES'!$X172))</f>
        <v/>
      </c>
      <c r="E194" s="3">
        <f>IF('ORDENES'!$A172="","",IF('ORDENES'!$V172="","-",'ORDENES'!$V172))</f>
        <v/>
      </c>
      <c r="F194" s="3">
        <f>IF('ORDENES'!$A172="","",IF('ORDENES'!$Y172="","-",'ORDENES'!$Y172))</f>
        <v/>
      </c>
      <c r="G194" s="3">
        <f>IF('ORDENES'!$A172="","",IF('ORDENES'!$W172="","-",'ORDENES'!$W172))</f>
        <v/>
      </c>
      <c r="H194" s="3">
        <f>IF('ORDENES'!$A172="","",IF('ORDENES'!$AE172="","-",'ORDENES'!$AE172))</f>
        <v/>
      </c>
      <c r="I194" s="3">
        <f>IF('ORDENES'!$A172="","",IF('ORDENES'!$AQ172="","-",'ORDENES'!$AQ172))</f>
        <v/>
      </c>
      <c r="J194" s="3">
        <f>IF('ORDENES'!$A172="","",IF('ORDENES'!$D172="","-",'ORDENES'!$D172))</f>
        <v/>
      </c>
      <c r="K194" s="3">
        <f>IF('ORDENES'!$A172="","",IF('ORDENES'!$E172="","-",'ORDENES'!$E172))</f>
        <v/>
      </c>
      <c r="L194" s="13">
        <f>IF('ORDENES'!$A172="","",IF('ORDENES'!$M172="",0,'ORDENES'!$M172))</f>
        <v/>
      </c>
      <c r="M194" s="3">
        <f>IF('ORDENES'!$A172="","",IF('ORDENES'!$N172="","-",'ORDENES'!$N172))</f>
        <v/>
      </c>
      <c r="N194" s="3">
        <f>IF('ORDENES'!$A172="","",'ORDENES'!$AD172)</f>
        <v/>
      </c>
    </row>
    <row r="195">
      <c r="A195" s="3">
        <f>IF('ORDENES'!$A173="","",IF('ORDENES'!$O173="","-",'ORDENES'!$O173))</f>
        <v/>
      </c>
      <c r="B195" s="3">
        <f>IF('ORDENES'!$A173="","",IF('ORDENES'!$R173="","-",'ORDENES'!$R173))</f>
        <v/>
      </c>
      <c r="C195" s="3">
        <f>IF('ORDENES'!$A173="","",IF('ORDENES'!$AF173="","-",'ORDENES'!$AF173))</f>
        <v/>
      </c>
      <c r="D195" s="3">
        <f>IF('ORDENES'!$A173="","",IF('ORDENES'!$X173="","-",'ORDENES'!$X173))</f>
        <v/>
      </c>
      <c r="E195" s="3">
        <f>IF('ORDENES'!$A173="","",IF('ORDENES'!$V173="","-",'ORDENES'!$V173))</f>
        <v/>
      </c>
      <c r="F195" s="3">
        <f>IF('ORDENES'!$A173="","",IF('ORDENES'!$Y173="","-",'ORDENES'!$Y173))</f>
        <v/>
      </c>
      <c r="G195" s="3">
        <f>IF('ORDENES'!$A173="","",IF('ORDENES'!$W173="","-",'ORDENES'!$W173))</f>
        <v/>
      </c>
      <c r="H195" s="3">
        <f>IF('ORDENES'!$A173="","",IF('ORDENES'!$AE173="","-",'ORDENES'!$AE173))</f>
        <v/>
      </c>
      <c r="I195" s="3">
        <f>IF('ORDENES'!$A173="","",IF('ORDENES'!$AQ173="","-",'ORDENES'!$AQ173))</f>
        <v/>
      </c>
      <c r="J195" s="3">
        <f>IF('ORDENES'!$A173="","",IF('ORDENES'!$D173="","-",'ORDENES'!$D173))</f>
        <v/>
      </c>
      <c r="K195" s="3">
        <f>IF('ORDENES'!$A173="","",IF('ORDENES'!$E173="","-",'ORDENES'!$E173))</f>
        <v/>
      </c>
      <c r="L195" s="13">
        <f>IF('ORDENES'!$A173="","",IF('ORDENES'!$M173="",0,'ORDENES'!$M173))</f>
        <v/>
      </c>
      <c r="M195" s="3">
        <f>IF('ORDENES'!$A173="","",IF('ORDENES'!$N173="","-",'ORDENES'!$N173))</f>
        <v/>
      </c>
      <c r="N195" s="3">
        <f>IF('ORDENES'!$A173="","",'ORDENES'!$AD173)</f>
        <v/>
      </c>
    </row>
    <row r="196">
      <c r="A196" s="3">
        <f>IF('ORDENES'!$A174="","",IF('ORDENES'!$O174="","-",'ORDENES'!$O174))</f>
        <v/>
      </c>
      <c r="B196" s="3">
        <f>IF('ORDENES'!$A174="","",IF('ORDENES'!$R174="","-",'ORDENES'!$R174))</f>
        <v/>
      </c>
      <c r="C196" s="3">
        <f>IF('ORDENES'!$A174="","",IF('ORDENES'!$AF174="","-",'ORDENES'!$AF174))</f>
        <v/>
      </c>
      <c r="D196" s="3">
        <f>IF('ORDENES'!$A174="","",IF('ORDENES'!$X174="","-",'ORDENES'!$X174))</f>
        <v/>
      </c>
      <c r="E196" s="3">
        <f>IF('ORDENES'!$A174="","",IF('ORDENES'!$V174="","-",'ORDENES'!$V174))</f>
        <v/>
      </c>
      <c r="F196" s="3">
        <f>IF('ORDENES'!$A174="","",IF('ORDENES'!$Y174="","-",'ORDENES'!$Y174))</f>
        <v/>
      </c>
      <c r="G196" s="3">
        <f>IF('ORDENES'!$A174="","",IF('ORDENES'!$W174="","-",'ORDENES'!$W174))</f>
        <v/>
      </c>
      <c r="H196" s="3">
        <f>IF('ORDENES'!$A174="","",IF('ORDENES'!$AE174="","-",'ORDENES'!$AE174))</f>
        <v/>
      </c>
      <c r="I196" s="3">
        <f>IF('ORDENES'!$A174="","",IF('ORDENES'!$AQ174="","-",'ORDENES'!$AQ174))</f>
        <v/>
      </c>
      <c r="J196" s="3">
        <f>IF('ORDENES'!$A174="","",IF('ORDENES'!$D174="","-",'ORDENES'!$D174))</f>
        <v/>
      </c>
      <c r="K196" s="3">
        <f>IF('ORDENES'!$A174="","",IF('ORDENES'!$E174="","-",'ORDENES'!$E174))</f>
        <v/>
      </c>
      <c r="L196" s="13">
        <f>IF('ORDENES'!$A174="","",IF('ORDENES'!$M174="",0,'ORDENES'!$M174))</f>
        <v/>
      </c>
      <c r="M196" s="3">
        <f>IF('ORDENES'!$A174="","",IF('ORDENES'!$N174="","-",'ORDENES'!$N174))</f>
        <v/>
      </c>
      <c r="N196" s="3">
        <f>IF('ORDENES'!$A174="","",'ORDENES'!$AD174)</f>
        <v/>
      </c>
    </row>
    <row r="197">
      <c r="A197" s="3">
        <f>IF('ORDENES'!$A175="","",IF('ORDENES'!$O175="","-",'ORDENES'!$O175))</f>
        <v/>
      </c>
      <c r="B197" s="3">
        <f>IF('ORDENES'!$A175="","",IF('ORDENES'!$R175="","-",'ORDENES'!$R175))</f>
        <v/>
      </c>
      <c r="C197" s="3">
        <f>IF('ORDENES'!$A175="","",IF('ORDENES'!$AF175="","-",'ORDENES'!$AF175))</f>
        <v/>
      </c>
      <c r="D197" s="3">
        <f>IF('ORDENES'!$A175="","",IF('ORDENES'!$X175="","-",'ORDENES'!$X175))</f>
        <v/>
      </c>
      <c r="E197" s="3">
        <f>IF('ORDENES'!$A175="","",IF('ORDENES'!$V175="","-",'ORDENES'!$V175))</f>
        <v/>
      </c>
      <c r="F197" s="3">
        <f>IF('ORDENES'!$A175="","",IF('ORDENES'!$Y175="","-",'ORDENES'!$Y175))</f>
        <v/>
      </c>
      <c r="G197" s="3">
        <f>IF('ORDENES'!$A175="","",IF('ORDENES'!$W175="","-",'ORDENES'!$W175))</f>
        <v/>
      </c>
      <c r="H197" s="3">
        <f>IF('ORDENES'!$A175="","",IF('ORDENES'!$AE175="","-",'ORDENES'!$AE175))</f>
        <v/>
      </c>
      <c r="I197" s="3">
        <f>IF('ORDENES'!$A175="","",IF('ORDENES'!$AQ175="","-",'ORDENES'!$AQ175))</f>
        <v/>
      </c>
      <c r="J197" s="3">
        <f>IF('ORDENES'!$A175="","",IF('ORDENES'!$D175="","-",'ORDENES'!$D175))</f>
        <v/>
      </c>
      <c r="K197" s="3">
        <f>IF('ORDENES'!$A175="","",IF('ORDENES'!$E175="","-",'ORDENES'!$E175))</f>
        <v/>
      </c>
      <c r="L197" s="13">
        <f>IF('ORDENES'!$A175="","",IF('ORDENES'!$M175="",0,'ORDENES'!$M175))</f>
        <v/>
      </c>
      <c r="M197" s="3">
        <f>IF('ORDENES'!$A175="","",IF('ORDENES'!$N175="","-",'ORDENES'!$N175))</f>
        <v/>
      </c>
      <c r="N197" s="3">
        <f>IF('ORDENES'!$A175="","",'ORDENES'!$AD175)</f>
        <v/>
      </c>
    </row>
    <row r="198">
      <c r="A198" s="3">
        <f>IF('ORDENES'!$A176="","",IF('ORDENES'!$O176="","-",'ORDENES'!$O176))</f>
        <v/>
      </c>
      <c r="B198" s="3">
        <f>IF('ORDENES'!$A176="","",IF('ORDENES'!$R176="","-",'ORDENES'!$R176))</f>
        <v/>
      </c>
      <c r="C198" s="3">
        <f>IF('ORDENES'!$A176="","",IF('ORDENES'!$AF176="","-",'ORDENES'!$AF176))</f>
        <v/>
      </c>
      <c r="D198" s="3">
        <f>IF('ORDENES'!$A176="","",IF('ORDENES'!$X176="","-",'ORDENES'!$X176))</f>
        <v/>
      </c>
      <c r="E198" s="3">
        <f>IF('ORDENES'!$A176="","",IF('ORDENES'!$V176="","-",'ORDENES'!$V176))</f>
        <v/>
      </c>
      <c r="F198" s="3">
        <f>IF('ORDENES'!$A176="","",IF('ORDENES'!$Y176="","-",'ORDENES'!$Y176))</f>
        <v/>
      </c>
      <c r="G198" s="3">
        <f>IF('ORDENES'!$A176="","",IF('ORDENES'!$W176="","-",'ORDENES'!$W176))</f>
        <v/>
      </c>
      <c r="H198" s="3">
        <f>IF('ORDENES'!$A176="","",IF('ORDENES'!$AE176="","-",'ORDENES'!$AE176))</f>
        <v/>
      </c>
      <c r="I198" s="3">
        <f>IF('ORDENES'!$A176="","",IF('ORDENES'!$AQ176="","-",'ORDENES'!$AQ176))</f>
        <v/>
      </c>
      <c r="J198" s="3">
        <f>IF('ORDENES'!$A176="","",IF('ORDENES'!$D176="","-",'ORDENES'!$D176))</f>
        <v/>
      </c>
      <c r="K198" s="3">
        <f>IF('ORDENES'!$A176="","",IF('ORDENES'!$E176="","-",'ORDENES'!$E176))</f>
        <v/>
      </c>
      <c r="L198" s="13">
        <f>IF('ORDENES'!$A176="","",IF('ORDENES'!$M176="",0,'ORDENES'!$M176))</f>
        <v/>
      </c>
      <c r="M198" s="3">
        <f>IF('ORDENES'!$A176="","",IF('ORDENES'!$N176="","-",'ORDENES'!$N176))</f>
        <v/>
      </c>
      <c r="N198" s="3">
        <f>IF('ORDENES'!$A176="","",'ORDENES'!$AD176)</f>
        <v/>
      </c>
    </row>
    <row r="199">
      <c r="A199" s="3">
        <f>IF('ORDENES'!$A177="","",IF('ORDENES'!$O177="","-",'ORDENES'!$O177))</f>
        <v/>
      </c>
      <c r="B199" s="3">
        <f>IF('ORDENES'!$A177="","",IF('ORDENES'!$R177="","-",'ORDENES'!$R177))</f>
        <v/>
      </c>
      <c r="C199" s="3">
        <f>IF('ORDENES'!$A177="","",IF('ORDENES'!$AF177="","-",'ORDENES'!$AF177))</f>
        <v/>
      </c>
      <c r="D199" s="3">
        <f>IF('ORDENES'!$A177="","",IF('ORDENES'!$X177="","-",'ORDENES'!$X177))</f>
        <v/>
      </c>
      <c r="E199" s="3">
        <f>IF('ORDENES'!$A177="","",IF('ORDENES'!$V177="","-",'ORDENES'!$V177))</f>
        <v/>
      </c>
      <c r="F199" s="3">
        <f>IF('ORDENES'!$A177="","",IF('ORDENES'!$Y177="","-",'ORDENES'!$Y177))</f>
        <v/>
      </c>
      <c r="G199" s="3">
        <f>IF('ORDENES'!$A177="","",IF('ORDENES'!$W177="","-",'ORDENES'!$W177))</f>
        <v/>
      </c>
      <c r="H199" s="3">
        <f>IF('ORDENES'!$A177="","",IF('ORDENES'!$AE177="","-",'ORDENES'!$AE177))</f>
        <v/>
      </c>
      <c r="I199" s="3">
        <f>IF('ORDENES'!$A177="","",IF('ORDENES'!$AQ177="","-",'ORDENES'!$AQ177))</f>
        <v/>
      </c>
      <c r="J199" s="3">
        <f>IF('ORDENES'!$A177="","",IF('ORDENES'!$D177="","-",'ORDENES'!$D177))</f>
        <v/>
      </c>
      <c r="K199" s="3">
        <f>IF('ORDENES'!$A177="","",IF('ORDENES'!$E177="","-",'ORDENES'!$E177))</f>
        <v/>
      </c>
      <c r="L199" s="13">
        <f>IF('ORDENES'!$A177="","",IF('ORDENES'!$M177="",0,'ORDENES'!$M177))</f>
        <v/>
      </c>
      <c r="M199" s="3">
        <f>IF('ORDENES'!$A177="","",IF('ORDENES'!$N177="","-",'ORDENES'!$N177))</f>
        <v/>
      </c>
      <c r="N199" s="3">
        <f>IF('ORDENES'!$A177="","",'ORDENES'!$AD177)</f>
        <v/>
      </c>
    </row>
    <row r="200">
      <c r="A200" s="3">
        <f>IF('ORDENES'!$A178="","",IF('ORDENES'!$O178="","-",'ORDENES'!$O178))</f>
        <v/>
      </c>
      <c r="B200" s="3">
        <f>IF('ORDENES'!$A178="","",IF('ORDENES'!$R178="","-",'ORDENES'!$R178))</f>
        <v/>
      </c>
      <c r="C200" s="3">
        <f>IF('ORDENES'!$A178="","",IF('ORDENES'!$AF178="","-",'ORDENES'!$AF178))</f>
        <v/>
      </c>
      <c r="D200" s="3">
        <f>IF('ORDENES'!$A178="","",IF('ORDENES'!$X178="","-",'ORDENES'!$X178))</f>
        <v/>
      </c>
      <c r="E200" s="3">
        <f>IF('ORDENES'!$A178="","",IF('ORDENES'!$V178="","-",'ORDENES'!$V178))</f>
        <v/>
      </c>
      <c r="F200" s="3">
        <f>IF('ORDENES'!$A178="","",IF('ORDENES'!$Y178="","-",'ORDENES'!$Y178))</f>
        <v/>
      </c>
      <c r="G200" s="3">
        <f>IF('ORDENES'!$A178="","",IF('ORDENES'!$W178="","-",'ORDENES'!$W178))</f>
        <v/>
      </c>
      <c r="H200" s="3">
        <f>IF('ORDENES'!$A178="","",IF('ORDENES'!$AE178="","-",'ORDENES'!$AE178))</f>
        <v/>
      </c>
      <c r="I200" s="3">
        <f>IF('ORDENES'!$A178="","",IF('ORDENES'!$AQ178="","-",'ORDENES'!$AQ178))</f>
        <v/>
      </c>
      <c r="J200" s="3">
        <f>IF('ORDENES'!$A178="","",IF('ORDENES'!$D178="","-",'ORDENES'!$D178))</f>
        <v/>
      </c>
      <c r="K200" s="3">
        <f>IF('ORDENES'!$A178="","",IF('ORDENES'!$E178="","-",'ORDENES'!$E178))</f>
        <v/>
      </c>
      <c r="L200" s="13">
        <f>IF('ORDENES'!$A178="","",IF('ORDENES'!$M178="",0,'ORDENES'!$M178))</f>
        <v/>
      </c>
      <c r="M200" s="3">
        <f>IF('ORDENES'!$A178="","",IF('ORDENES'!$N178="","-",'ORDENES'!$N178))</f>
        <v/>
      </c>
      <c r="N200" s="3">
        <f>IF('ORDENES'!$A178="","",'ORDENES'!$AD178)</f>
        <v/>
      </c>
    </row>
    <row r="201">
      <c r="A201" s="3">
        <f>IF('ORDENES'!$A179="","",IF('ORDENES'!$O179="","-",'ORDENES'!$O179))</f>
        <v/>
      </c>
      <c r="B201" s="3">
        <f>IF('ORDENES'!$A179="","",IF('ORDENES'!$R179="","-",'ORDENES'!$R179))</f>
        <v/>
      </c>
      <c r="C201" s="3">
        <f>IF('ORDENES'!$A179="","",IF('ORDENES'!$AF179="","-",'ORDENES'!$AF179))</f>
        <v/>
      </c>
      <c r="D201" s="3">
        <f>IF('ORDENES'!$A179="","",IF('ORDENES'!$X179="","-",'ORDENES'!$X179))</f>
        <v/>
      </c>
      <c r="E201" s="3">
        <f>IF('ORDENES'!$A179="","",IF('ORDENES'!$V179="","-",'ORDENES'!$V179))</f>
        <v/>
      </c>
      <c r="F201" s="3">
        <f>IF('ORDENES'!$A179="","",IF('ORDENES'!$Y179="","-",'ORDENES'!$Y179))</f>
        <v/>
      </c>
      <c r="G201" s="3">
        <f>IF('ORDENES'!$A179="","",IF('ORDENES'!$W179="","-",'ORDENES'!$W179))</f>
        <v/>
      </c>
      <c r="H201" s="3">
        <f>IF('ORDENES'!$A179="","",IF('ORDENES'!$AE179="","-",'ORDENES'!$AE179))</f>
        <v/>
      </c>
      <c r="I201" s="3">
        <f>IF('ORDENES'!$A179="","",IF('ORDENES'!$AQ179="","-",'ORDENES'!$AQ179))</f>
        <v/>
      </c>
      <c r="J201" s="3">
        <f>IF('ORDENES'!$A179="","",IF('ORDENES'!$D179="","-",'ORDENES'!$D179))</f>
        <v/>
      </c>
      <c r="K201" s="3">
        <f>IF('ORDENES'!$A179="","",IF('ORDENES'!$E179="","-",'ORDENES'!$E179))</f>
        <v/>
      </c>
      <c r="L201" s="13">
        <f>IF('ORDENES'!$A179="","",IF('ORDENES'!$M179="",0,'ORDENES'!$M179))</f>
        <v/>
      </c>
      <c r="M201" s="3">
        <f>IF('ORDENES'!$A179="","",IF('ORDENES'!$N179="","-",'ORDENES'!$N179))</f>
        <v/>
      </c>
      <c r="N201" s="3">
        <f>IF('ORDENES'!$A179="","",'ORDENES'!$AD179)</f>
        <v/>
      </c>
    </row>
    <row r="202">
      <c r="A202" s="3">
        <f>IF('ORDENES'!$A180="","",IF('ORDENES'!$O180="","-",'ORDENES'!$O180))</f>
        <v/>
      </c>
      <c r="B202" s="3">
        <f>IF('ORDENES'!$A180="","",IF('ORDENES'!$R180="","-",'ORDENES'!$R180))</f>
        <v/>
      </c>
      <c r="C202" s="3">
        <f>IF('ORDENES'!$A180="","",IF('ORDENES'!$AF180="","-",'ORDENES'!$AF180))</f>
        <v/>
      </c>
      <c r="D202" s="3">
        <f>IF('ORDENES'!$A180="","",IF('ORDENES'!$X180="","-",'ORDENES'!$X180))</f>
        <v/>
      </c>
      <c r="E202" s="3">
        <f>IF('ORDENES'!$A180="","",IF('ORDENES'!$V180="","-",'ORDENES'!$V180))</f>
        <v/>
      </c>
      <c r="F202" s="3">
        <f>IF('ORDENES'!$A180="","",IF('ORDENES'!$Y180="","-",'ORDENES'!$Y180))</f>
        <v/>
      </c>
      <c r="G202" s="3">
        <f>IF('ORDENES'!$A180="","",IF('ORDENES'!$W180="","-",'ORDENES'!$W180))</f>
        <v/>
      </c>
      <c r="H202" s="3">
        <f>IF('ORDENES'!$A180="","",IF('ORDENES'!$AE180="","-",'ORDENES'!$AE180))</f>
        <v/>
      </c>
      <c r="I202" s="3">
        <f>IF('ORDENES'!$A180="","",IF('ORDENES'!$AQ180="","-",'ORDENES'!$AQ180))</f>
        <v/>
      </c>
      <c r="J202" s="3">
        <f>IF('ORDENES'!$A180="","",IF('ORDENES'!$D180="","-",'ORDENES'!$D180))</f>
        <v/>
      </c>
      <c r="K202" s="3">
        <f>IF('ORDENES'!$A180="","",IF('ORDENES'!$E180="","-",'ORDENES'!$E180))</f>
        <v/>
      </c>
      <c r="L202" s="13">
        <f>IF('ORDENES'!$A180="","",IF('ORDENES'!$M180="",0,'ORDENES'!$M180))</f>
        <v/>
      </c>
      <c r="M202" s="3">
        <f>IF('ORDENES'!$A180="","",IF('ORDENES'!$N180="","-",'ORDENES'!$N180))</f>
        <v/>
      </c>
      <c r="N202" s="3">
        <f>IF('ORDENES'!$A180="","",'ORDENES'!$AD180)</f>
        <v/>
      </c>
    </row>
    <row r="203">
      <c r="A203" s="3">
        <f>IF('ORDENES'!$A181="","",IF('ORDENES'!$O181="","-",'ORDENES'!$O181))</f>
        <v/>
      </c>
      <c r="B203" s="3">
        <f>IF('ORDENES'!$A181="","",IF('ORDENES'!$R181="","-",'ORDENES'!$R181))</f>
        <v/>
      </c>
      <c r="C203" s="3">
        <f>IF('ORDENES'!$A181="","",IF('ORDENES'!$AF181="","-",'ORDENES'!$AF181))</f>
        <v/>
      </c>
      <c r="D203" s="3">
        <f>IF('ORDENES'!$A181="","",IF('ORDENES'!$X181="","-",'ORDENES'!$X181))</f>
        <v/>
      </c>
      <c r="E203" s="3">
        <f>IF('ORDENES'!$A181="","",IF('ORDENES'!$V181="","-",'ORDENES'!$V181))</f>
        <v/>
      </c>
      <c r="F203" s="3">
        <f>IF('ORDENES'!$A181="","",IF('ORDENES'!$Y181="","-",'ORDENES'!$Y181))</f>
        <v/>
      </c>
      <c r="G203" s="3">
        <f>IF('ORDENES'!$A181="","",IF('ORDENES'!$W181="","-",'ORDENES'!$W181))</f>
        <v/>
      </c>
      <c r="H203" s="3">
        <f>IF('ORDENES'!$A181="","",IF('ORDENES'!$AE181="","-",'ORDENES'!$AE181))</f>
        <v/>
      </c>
      <c r="I203" s="3">
        <f>IF('ORDENES'!$A181="","",IF('ORDENES'!$AQ181="","-",'ORDENES'!$AQ181))</f>
        <v/>
      </c>
      <c r="J203" s="3">
        <f>IF('ORDENES'!$A181="","",IF('ORDENES'!$D181="","-",'ORDENES'!$D181))</f>
        <v/>
      </c>
      <c r="K203" s="3">
        <f>IF('ORDENES'!$A181="","",IF('ORDENES'!$E181="","-",'ORDENES'!$E181))</f>
        <v/>
      </c>
      <c r="L203" s="13">
        <f>IF('ORDENES'!$A181="","",IF('ORDENES'!$M181="",0,'ORDENES'!$M181))</f>
        <v/>
      </c>
      <c r="M203" s="3">
        <f>IF('ORDENES'!$A181="","",IF('ORDENES'!$N181="","-",'ORDENES'!$N181))</f>
        <v/>
      </c>
      <c r="N203" s="3">
        <f>IF('ORDENES'!$A181="","",'ORDENES'!$AD181)</f>
        <v/>
      </c>
    </row>
    <row r="204">
      <c r="A204" s="3">
        <f>IF('ORDENES'!$A182="","",IF('ORDENES'!$O182="","-",'ORDENES'!$O182))</f>
        <v/>
      </c>
      <c r="B204" s="3">
        <f>IF('ORDENES'!$A182="","",IF('ORDENES'!$R182="","-",'ORDENES'!$R182))</f>
        <v/>
      </c>
      <c r="C204" s="3">
        <f>IF('ORDENES'!$A182="","",IF('ORDENES'!$AF182="","-",'ORDENES'!$AF182))</f>
        <v/>
      </c>
      <c r="D204" s="3">
        <f>IF('ORDENES'!$A182="","",IF('ORDENES'!$X182="","-",'ORDENES'!$X182))</f>
        <v/>
      </c>
      <c r="E204" s="3">
        <f>IF('ORDENES'!$A182="","",IF('ORDENES'!$V182="","-",'ORDENES'!$V182))</f>
        <v/>
      </c>
      <c r="F204" s="3">
        <f>IF('ORDENES'!$A182="","",IF('ORDENES'!$Y182="","-",'ORDENES'!$Y182))</f>
        <v/>
      </c>
      <c r="G204" s="3">
        <f>IF('ORDENES'!$A182="","",IF('ORDENES'!$W182="","-",'ORDENES'!$W182))</f>
        <v/>
      </c>
      <c r="H204" s="3">
        <f>IF('ORDENES'!$A182="","",IF('ORDENES'!$AE182="","-",'ORDENES'!$AE182))</f>
        <v/>
      </c>
      <c r="I204" s="3">
        <f>IF('ORDENES'!$A182="","",IF('ORDENES'!$AQ182="","-",'ORDENES'!$AQ182))</f>
        <v/>
      </c>
      <c r="J204" s="3">
        <f>IF('ORDENES'!$A182="","",IF('ORDENES'!$D182="","-",'ORDENES'!$D182))</f>
        <v/>
      </c>
      <c r="K204" s="3">
        <f>IF('ORDENES'!$A182="","",IF('ORDENES'!$E182="","-",'ORDENES'!$E182))</f>
        <v/>
      </c>
      <c r="L204" s="13">
        <f>IF('ORDENES'!$A182="","",IF('ORDENES'!$M182="",0,'ORDENES'!$M182))</f>
        <v/>
      </c>
      <c r="M204" s="3">
        <f>IF('ORDENES'!$A182="","",IF('ORDENES'!$N182="","-",'ORDENES'!$N182))</f>
        <v/>
      </c>
      <c r="N204" s="3">
        <f>IF('ORDENES'!$A182="","",'ORDENES'!$AD182)</f>
        <v/>
      </c>
    </row>
    <row r="205">
      <c r="A205" s="3">
        <f>IF('ORDENES'!$A183="","",IF('ORDENES'!$O183="","-",'ORDENES'!$O183))</f>
        <v/>
      </c>
      <c r="B205" s="3">
        <f>IF('ORDENES'!$A183="","",IF('ORDENES'!$R183="","-",'ORDENES'!$R183))</f>
        <v/>
      </c>
      <c r="C205" s="3">
        <f>IF('ORDENES'!$A183="","",IF('ORDENES'!$AF183="","-",'ORDENES'!$AF183))</f>
        <v/>
      </c>
      <c r="D205" s="3">
        <f>IF('ORDENES'!$A183="","",IF('ORDENES'!$X183="","-",'ORDENES'!$X183))</f>
        <v/>
      </c>
      <c r="E205" s="3">
        <f>IF('ORDENES'!$A183="","",IF('ORDENES'!$V183="","-",'ORDENES'!$V183))</f>
        <v/>
      </c>
      <c r="F205" s="3">
        <f>IF('ORDENES'!$A183="","",IF('ORDENES'!$Y183="","-",'ORDENES'!$Y183))</f>
        <v/>
      </c>
      <c r="G205" s="3">
        <f>IF('ORDENES'!$A183="","",IF('ORDENES'!$W183="","-",'ORDENES'!$W183))</f>
        <v/>
      </c>
      <c r="H205" s="3">
        <f>IF('ORDENES'!$A183="","",IF('ORDENES'!$AE183="","-",'ORDENES'!$AE183))</f>
        <v/>
      </c>
      <c r="I205" s="3">
        <f>IF('ORDENES'!$A183="","",IF('ORDENES'!$AQ183="","-",'ORDENES'!$AQ183))</f>
        <v/>
      </c>
      <c r="J205" s="3">
        <f>IF('ORDENES'!$A183="","",IF('ORDENES'!$D183="","-",'ORDENES'!$D183))</f>
        <v/>
      </c>
      <c r="K205" s="3">
        <f>IF('ORDENES'!$A183="","",IF('ORDENES'!$E183="","-",'ORDENES'!$E183))</f>
        <v/>
      </c>
      <c r="L205" s="13">
        <f>IF('ORDENES'!$A183="","",IF('ORDENES'!$M183="",0,'ORDENES'!$M183))</f>
        <v/>
      </c>
      <c r="M205" s="3">
        <f>IF('ORDENES'!$A183="","",IF('ORDENES'!$N183="","-",'ORDENES'!$N183))</f>
        <v/>
      </c>
      <c r="N205" s="3">
        <f>IF('ORDENES'!$A183="","",'ORDENES'!$AD183)</f>
        <v/>
      </c>
    </row>
    <row r="206">
      <c r="A206" s="3">
        <f>IF('ORDENES'!$A184="","",IF('ORDENES'!$O184="","-",'ORDENES'!$O184))</f>
        <v/>
      </c>
      <c r="B206" s="3">
        <f>IF('ORDENES'!$A184="","",IF('ORDENES'!$R184="","-",'ORDENES'!$R184))</f>
        <v/>
      </c>
      <c r="C206" s="3">
        <f>IF('ORDENES'!$A184="","",IF('ORDENES'!$AF184="","-",'ORDENES'!$AF184))</f>
        <v/>
      </c>
      <c r="D206" s="3">
        <f>IF('ORDENES'!$A184="","",IF('ORDENES'!$X184="","-",'ORDENES'!$X184))</f>
        <v/>
      </c>
      <c r="E206" s="3">
        <f>IF('ORDENES'!$A184="","",IF('ORDENES'!$V184="","-",'ORDENES'!$V184))</f>
        <v/>
      </c>
      <c r="F206" s="3">
        <f>IF('ORDENES'!$A184="","",IF('ORDENES'!$Y184="","-",'ORDENES'!$Y184))</f>
        <v/>
      </c>
      <c r="G206" s="3">
        <f>IF('ORDENES'!$A184="","",IF('ORDENES'!$W184="","-",'ORDENES'!$W184))</f>
        <v/>
      </c>
      <c r="H206" s="3">
        <f>IF('ORDENES'!$A184="","",IF('ORDENES'!$AE184="","-",'ORDENES'!$AE184))</f>
        <v/>
      </c>
      <c r="I206" s="3">
        <f>IF('ORDENES'!$A184="","",IF('ORDENES'!$AQ184="","-",'ORDENES'!$AQ184))</f>
        <v/>
      </c>
      <c r="J206" s="3">
        <f>IF('ORDENES'!$A184="","",IF('ORDENES'!$D184="","-",'ORDENES'!$D184))</f>
        <v/>
      </c>
      <c r="K206" s="3">
        <f>IF('ORDENES'!$A184="","",IF('ORDENES'!$E184="","-",'ORDENES'!$E184))</f>
        <v/>
      </c>
      <c r="L206" s="13">
        <f>IF('ORDENES'!$A184="","",IF('ORDENES'!$M184="",0,'ORDENES'!$M184))</f>
        <v/>
      </c>
      <c r="M206" s="3">
        <f>IF('ORDENES'!$A184="","",IF('ORDENES'!$N184="","-",'ORDENES'!$N184))</f>
        <v/>
      </c>
      <c r="N206" s="3">
        <f>IF('ORDENES'!$A184="","",'ORDENES'!$AD184)</f>
        <v/>
      </c>
    </row>
    <row r="207">
      <c r="A207" s="3">
        <f>IF('ORDENES'!$A185="","",IF('ORDENES'!$O185="","-",'ORDENES'!$O185))</f>
        <v/>
      </c>
      <c r="B207" s="3">
        <f>IF('ORDENES'!$A185="","",IF('ORDENES'!$R185="","-",'ORDENES'!$R185))</f>
        <v/>
      </c>
      <c r="C207" s="3">
        <f>IF('ORDENES'!$A185="","",IF('ORDENES'!$AF185="","-",'ORDENES'!$AF185))</f>
        <v/>
      </c>
      <c r="D207" s="3">
        <f>IF('ORDENES'!$A185="","",IF('ORDENES'!$X185="","-",'ORDENES'!$X185))</f>
        <v/>
      </c>
      <c r="E207" s="3">
        <f>IF('ORDENES'!$A185="","",IF('ORDENES'!$V185="","-",'ORDENES'!$V185))</f>
        <v/>
      </c>
      <c r="F207" s="3">
        <f>IF('ORDENES'!$A185="","",IF('ORDENES'!$Y185="","-",'ORDENES'!$Y185))</f>
        <v/>
      </c>
      <c r="G207" s="3">
        <f>IF('ORDENES'!$A185="","",IF('ORDENES'!$W185="","-",'ORDENES'!$W185))</f>
        <v/>
      </c>
      <c r="H207" s="3">
        <f>IF('ORDENES'!$A185="","",IF('ORDENES'!$AE185="","-",'ORDENES'!$AE185))</f>
        <v/>
      </c>
      <c r="I207" s="3">
        <f>IF('ORDENES'!$A185="","",IF('ORDENES'!$AQ185="","-",'ORDENES'!$AQ185))</f>
        <v/>
      </c>
      <c r="J207" s="3">
        <f>IF('ORDENES'!$A185="","",IF('ORDENES'!$D185="","-",'ORDENES'!$D185))</f>
        <v/>
      </c>
      <c r="K207" s="3">
        <f>IF('ORDENES'!$A185="","",IF('ORDENES'!$E185="","-",'ORDENES'!$E185))</f>
        <v/>
      </c>
      <c r="L207" s="13">
        <f>IF('ORDENES'!$A185="","",IF('ORDENES'!$M185="",0,'ORDENES'!$M185))</f>
        <v/>
      </c>
      <c r="M207" s="3">
        <f>IF('ORDENES'!$A185="","",IF('ORDENES'!$N185="","-",'ORDENES'!$N185))</f>
        <v/>
      </c>
      <c r="N207" s="3">
        <f>IF('ORDENES'!$A185="","",'ORDENES'!$AD185)</f>
        <v/>
      </c>
    </row>
    <row r="208">
      <c r="A208" s="3">
        <f>IF('ORDENES'!$A186="","",IF('ORDENES'!$O186="","-",'ORDENES'!$O186))</f>
        <v/>
      </c>
      <c r="B208" s="3">
        <f>IF('ORDENES'!$A186="","",IF('ORDENES'!$R186="","-",'ORDENES'!$R186))</f>
        <v/>
      </c>
      <c r="C208" s="3">
        <f>IF('ORDENES'!$A186="","",IF('ORDENES'!$AF186="","-",'ORDENES'!$AF186))</f>
        <v/>
      </c>
      <c r="D208" s="3">
        <f>IF('ORDENES'!$A186="","",IF('ORDENES'!$X186="","-",'ORDENES'!$X186))</f>
        <v/>
      </c>
      <c r="E208" s="3">
        <f>IF('ORDENES'!$A186="","",IF('ORDENES'!$V186="","-",'ORDENES'!$V186))</f>
        <v/>
      </c>
      <c r="F208" s="3">
        <f>IF('ORDENES'!$A186="","",IF('ORDENES'!$Y186="","-",'ORDENES'!$Y186))</f>
        <v/>
      </c>
      <c r="G208" s="3">
        <f>IF('ORDENES'!$A186="","",IF('ORDENES'!$W186="","-",'ORDENES'!$W186))</f>
        <v/>
      </c>
      <c r="H208" s="3">
        <f>IF('ORDENES'!$A186="","",IF('ORDENES'!$AE186="","-",'ORDENES'!$AE186))</f>
        <v/>
      </c>
      <c r="I208" s="3">
        <f>IF('ORDENES'!$A186="","",IF('ORDENES'!$AQ186="","-",'ORDENES'!$AQ186))</f>
        <v/>
      </c>
      <c r="J208" s="3">
        <f>IF('ORDENES'!$A186="","",IF('ORDENES'!$D186="","-",'ORDENES'!$D186))</f>
        <v/>
      </c>
      <c r="K208" s="3">
        <f>IF('ORDENES'!$A186="","",IF('ORDENES'!$E186="","-",'ORDENES'!$E186))</f>
        <v/>
      </c>
      <c r="L208" s="13">
        <f>IF('ORDENES'!$A186="","",IF('ORDENES'!$M186="",0,'ORDENES'!$M186))</f>
        <v/>
      </c>
      <c r="M208" s="3">
        <f>IF('ORDENES'!$A186="","",IF('ORDENES'!$N186="","-",'ORDENES'!$N186))</f>
        <v/>
      </c>
      <c r="N208" s="3">
        <f>IF('ORDENES'!$A186="","",'ORDENES'!$AD186)</f>
        <v/>
      </c>
    </row>
    <row r="209">
      <c r="A209" s="3">
        <f>IF('ORDENES'!$A187="","",IF('ORDENES'!$O187="","-",'ORDENES'!$O187))</f>
        <v/>
      </c>
      <c r="B209" s="3">
        <f>IF('ORDENES'!$A187="","",IF('ORDENES'!$R187="","-",'ORDENES'!$R187))</f>
        <v/>
      </c>
      <c r="C209" s="3">
        <f>IF('ORDENES'!$A187="","",IF('ORDENES'!$AF187="","-",'ORDENES'!$AF187))</f>
        <v/>
      </c>
      <c r="D209" s="3">
        <f>IF('ORDENES'!$A187="","",IF('ORDENES'!$X187="","-",'ORDENES'!$X187))</f>
        <v/>
      </c>
      <c r="E209" s="3">
        <f>IF('ORDENES'!$A187="","",IF('ORDENES'!$V187="","-",'ORDENES'!$V187))</f>
        <v/>
      </c>
      <c r="F209" s="3">
        <f>IF('ORDENES'!$A187="","",IF('ORDENES'!$Y187="","-",'ORDENES'!$Y187))</f>
        <v/>
      </c>
      <c r="G209" s="3">
        <f>IF('ORDENES'!$A187="","",IF('ORDENES'!$W187="","-",'ORDENES'!$W187))</f>
        <v/>
      </c>
      <c r="H209" s="3">
        <f>IF('ORDENES'!$A187="","",IF('ORDENES'!$AE187="","-",'ORDENES'!$AE187))</f>
        <v/>
      </c>
      <c r="I209" s="3">
        <f>IF('ORDENES'!$A187="","",IF('ORDENES'!$AQ187="","-",'ORDENES'!$AQ187))</f>
        <v/>
      </c>
      <c r="J209" s="3">
        <f>IF('ORDENES'!$A187="","",IF('ORDENES'!$D187="","-",'ORDENES'!$D187))</f>
        <v/>
      </c>
      <c r="K209" s="3">
        <f>IF('ORDENES'!$A187="","",IF('ORDENES'!$E187="","-",'ORDENES'!$E187))</f>
        <v/>
      </c>
      <c r="L209" s="13">
        <f>IF('ORDENES'!$A187="","",IF('ORDENES'!$M187="",0,'ORDENES'!$M187))</f>
        <v/>
      </c>
      <c r="M209" s="3">
        <f>IF('ORDENES'!$A187="","",IF('ORDENES'!$N187="","-",'ORDENES'!$N187))</f>
        <v/>
      </c>
      <c r="N209" s="3">
        <f>IF('ORDENES'!$A187="","",'ORDENES'!$AD187)</f>
        <v/>
      </c>
    </row>
    <row r="210">
      <c r="A210" s="3">
        <f>IF('ORDENES'!$A188="","",IF('ORDENES'!$O188="","-",'ORDENES'!$O188))</f>
        <v/>
      </c>
      <c r="B210" s="3">
        <f>IF('ORDENES'!$A188="","",IF('ORDENES'!$R188="","-",'ORDENES'!$R188))</f>
        <v/>
      </c>
      <c r="C210" s="3">
        <f>IF('ORDENES'!$A188="","",IF('ORDENES'!$AF188="","-",'ORDENES'!$AF188))</f>
        <v/>
      </c>
      <c r="D210" s="3">
        <f>IF('ORDENES'!$A188="","",IF('ORDENES'!$X188="","-",'ORDENES'!$X188))</f>
        <v/>
      </c>
      <c r="E210" s="3">
        <f>IF('ORDENES'!$A188="","",IF('ORDENES'!$V188="","-",'ORDENES'!$V188))</f>
        <v/>
      </c>
      <c r="F210" s="3">
        <f>IF('ORDENES'!$A188="","",IF('ORDENES'!$Y188="","-",'ORDENES'!$Y188))</f>
        <v/>
      </c>
      <c r="G210" s="3">
        <f>IF('ORDENES'!$A188="","",IF('ORDENES'!$W188="","-",'ORDENES'!$W188))</f>
        <v/>
      </c>
      <c r="H210" s="3">
        <f>IF('ORDENES'!$A188="","",IF('ORDENES'!$AE188="","-",'ORDENES'!$AE188))</f>
        <v/>
      </c>
      <c r="I210" s="3">
        <f>IF('ORDENES'!$A188="","",IF('ORDENES'!$AQ188="","-",'ORDENES'!$AQ188))</f>
        <v/>
      </c>
      <c r="J210" s="3">
        <f>IF('ORDENES'!$A188="","",IF('ORDENES'!$D188="","-",'ORDENES'!$D188))</f>
        <v/>
      </c>
      <c r="K210" s="3">
        <f>IF('ORDENES'!$A188="","",IF('ORDENES'!$E188="","-",'ORDENES'!$E188))</f>
        <v/>
      </c>
      <c r="L210" s="13">
        <f>IF('ORDENES'!$A188="","",IF('ORDENES'!$M188="",0,'ORDENES'!$M188))</f>
        <v/>
      </c>
      <c r="M210" s="3">
        <f>IF('ORDENES'!$A188="","",IF('ORDENES'!$N188="","-",'ORDENES'!$N188))</f>
        <v/>
      </c>
      <c r="N210" s="3">
        <f>IF('ORDENES'!$A188="","",'ORDENES'!$AD188)</f>
        <v/>
      </c>
    </row>
    <row r="211">
      <c r="A211" s="3">
        <f>IF('ORDENES'!$A189="","",IF('ORDENES'!$O189="","-",'ORDENES'!$O189))</f>
        <v/>
      </c>
      <c r="B211" s="3">
        <f>IF('ORDENES'!$A189="","",IF('ORDENES'!$R189="","-",'ORDENES'!$R189))</f>
        <v/>
      </c>
      <c r="C211" s="3">
        <f>IF('ORDENES'!$A189="","",IF('ORDENES'!$AF189="","-",'ORDENES'!$AF189))</f>
        <v/>
      </c>
      <c r="D211" s="3">
        <f>IF('ORDENES'!$A189="","",IF('ORDENES'!$X189="","-",'ORDENES'!$X189))</f>
        <v/>
      </c>
      <c r="E211" s="3">
        <f>IF('ORDENES'!$A189="","",IF('ORDENES'!$V189="","-",'ORDENES'!$V189))</f>
        <v/>
      </c>
      <c r="F211" s="3">
        <f>IF('ORDENES'!$A189="","",IF('ORDENES'!$Y189="","-",'ORDENES'!$Y189))</f>
        <v/>
      </c>
      <c r="G211" s="3">
        <f>IF('ORDENES'!$A189="","",IF('ORDENES'!$W189="","-",'ORDENES'!$W189))</f>
        <v/>
      </c>
      <c r="H211" s="3">
        <f>IF('ORDENES'!$A189="","",IF('ORDENES'!$AE189="","-",'ORDENES'!$AE189))</f>
        <v/>
      </c>
      <c r="I211" s="3">
        <f>IF('ORDENES'!$A189="","",IF('ORDENES'!$AQ189="","-",'ORDENES'!$AQ189))</f>
        <v/>
      </c>
      <c r="J211" s="3">
        <f>IF('ORDENES'!$A189="","",IF('ORDENES'!$D189="","-",'ORDENES'!$D189))</f>
        <v/>
      </c>
      <c r="K211" s="3">
        <f>IF('ORDENES'!$A189="","",IF('ORDENES'!$E189="","-",'ORDENES'!$E189))</f>
        <v/>
      </c>
      <c r="L211" s="13">
        <f>IF('ORDENES'!$A189="","",IF('ORDENES'!$M189="",0,'ORDENES'!$M189))</f>
        <v/>
      </c>
      <c r="M211" s="3">
        <f>IF('ORDENES'!$A189="","",IF('ORDENES'!$N189="","-",'ORDENES'!$N189))</f>
        <v/>
      </c>
      <c r="N211" s="3">
        <f>IF('ORDENES'!$A189="","",'ORDENES'!$AD189)</f>
        <v/>
      </c>
    </row>
    <row r="212">
      <c r="A212" s="3">
        <f>IF('ORDENES'!$A190="","",IF('ORDENES'!$O190="","-",'ORDENES'!$O190))</f>
        <v/>
      </c>
      <c r="B212" s="3">
        <f>IF('ORDENES'!$A190="","",IF('ORDENES'!$R190="","-",'ORDENES'!$R190))</f>
        <v/>
      </c>
      <c r="C212" s="3">
        <f>IF('ORDENES'!$A190="","",IF('ORDENES'!$AF190="","-",'ORDENES'!$AF190))</f>
        <v/>
      </c>
      <c r="D212" s="3">
        <f>IF('ORDENES'!$A190="","",IF('ORDENES'!$X190="","-",'ORDENES'!$X190))</f>
        <v/>
      </c>
      <c r="E212" s="3">
        <f>IF('ORDENES'!$A190="","",IF('ORDENES'!$V190="","-",'ORDENES'!$V190))</f>
        <v/>
      </c>
      <c r="F212" s="3">
        <f>IF('ORDENES'!$A190="","",IF('ORDENES'!$Y190="","-",'ORDENES'!$Y190))</f>
        <v/>
      </c>
      <c r="G212" s="3">
        <f>IF('ORDENES'!$A190="","",IF('ORDENES'!$W190="","-",'ORDENES'!$W190))</f>
        <v/>
      </c>
      <c r="H212" s="3">
        <f>IF('ORDENES'!$A190="","",IF('ORDENES'!$AE190="","-",'ORDENES'!$AE190))</f>
        <v/>
      </c>
      <c r="I212" s="3">
        <f>IF('ORDENES'!$A190="","",IF('ORDENES'!$AQ190="","-",'ORDENES'!$AQ190))</f>
        <v/>
      </c>
      <c r="J212" s="3">
        <f>IF('ORDENES'!$A190="","",IF('ORDENES'!$D190="","-",'ORDENES'!$D190))</f>
        <v/>
      </c>
      <c r="K212" s="3">
        <f>IF('ORDENES'!$A190="","",IF('ORDENES'!$E190="","-",'ORDENES'!$E190))</f>
        <v/>
      </c>
      <c r="L212" s="13">
        <f>IF('ORDENES'!$A190="","",IF('ORDENES'!$M190="",0,'ORDENES'!$M190))</f>
        <v/>
      </c>
      <c r="M212" s="3">
        <f>IF('ORDENES'!$A190="","",IF('ORDENES'!$N190="","-",'ORDENES'!$N190))</f>
        <v/>
      </c>
      <c r="N212" s="3">
        <f>IF('ORDENES'!$A190="","",'ORDENES'!$AD190)</f>
        <v/>
      </c>
    </row>
    <row r="213">
      <c r="A213" s="3">
        <f>IF('ORDENES'!$A191="","",IF('ORDENES'!$O191="","-",'ORDENES'!$O191))</f>
        <v/>
      </c>
      <c r="B213" s="3">
        <f>IF('ORDENES'!$A191="","",IF('ORDENES'!$R191="","-",'ORDENES'!$R191))</f>
        <v/>
      </c>
      <c r="C213" s="3">
        <f>IF('ORDENES'!$A191="","",IF('ORDENES'!$AF191="","-",'ORDENES'!$AF191))</f>
        <v/>
      </c>
      <c r="D213" s="3">
        <f>IF('ORDENES'!$A191="","",IF('ORDENES'!$X191="","-",'ORDENES'!$X191))</f>
        <v/>
      </c>
      <c r="E213" s="3">
        <f>IF('ORDENES'!$A191="","",IF('ORDENES'!$V191="","-",'ORDENES'!$V191))</f>
        <v/>
      </c>
      <c r="F213" s="3">
        <f>IF('ORDENES'!$A191="","",IF('ORDENES'!$Y191="","-",'ORDENES'!$Y191))</f>
        <v/>
      </c>
      <c r="G213" s="3">
        <f>IF('ORDENES'!$A191="","",IF('ORDENES'!$W191="","-",'ORDENES'!$W191))</f>
        <v/>
      </c>
      <c r="H213" s="3">
        <f>IF('ORDENES'!$A191="","",IF('ORDENES'!$AE191="","-",'ORDENES'!$AE191))</f>
        <v/>
      </c>
      <c r="I213" s="3">
        <f>IF('ORDENES'!$A191="","",IF('ORDENES'!$AQ191="","-",'ORDENES'!$AQ191))</f>
        <v/>
      </c>
      <c r="J213" s="3">
        <f>IF('ORDENES'!$A191="","",IF('ORDENES'!$D191="","-",'ORDENES'!$D191))</f>
        <v/>
      </c>
      <c r="K213" s="3">
        <f>IF('ORDENES'!$A191="","",IF('ORDENES'!$E191="","-",'ORDENES'!$E191))</f>
        <v/>
      </c>
      <c r="L213" s="13">
        <f>IF('ORDENES'!$A191="","",IF('ORDENES'!$M191="",0,'ORDENES'!$M191))</f>
        <v/>
      </c>
      <c r="M213" s="3">
        <f>IF('ORDENES'!$A191="","",IF('ORDENES'!$N191="","-",'ORDENES'!$N191))</f>
        <v/>
      </c>
      <c r="N213" s="3">
        <f>IF('ORDENES'!$A191="","",'ORDENES'!$AD191)</f>
        <v/>
      </c>
    </row>
    <row r="214">
      <c r="A214" s="3">
        <f>IF('ORDENES'!$A192="","",IF('ORDENES'!$O192="","-",'ORDENES'!$O192))</f>
        <v/>
      </c>
      <c r="B214" s="3">
        <f>IF('ORDENES'!$A192="","",IF('ORDENES'!$R192="","-",'ORDENES'!$R192))</f>
        <v/>
      </c>
      <c r="C214" s="3">
        <f>IF('ORDENES'!$A192="","",IF('ORDENES'!$AF192="","-",'ORDENES'!$AF192))</f>
        <v/>
      </c>
      <c r="D214" s="3">
        <f>IF('ORDENES'!$A192="","",IF('ORDENES'!$X192="","-",'ORDENES'!$X192))</f>
        <v/>
      </c>
      <c r="E214" s="3">
        <f>IF('ORDENES'!$A192="","",IF('ORDENES'!$V192="","-",'ORDENES'!$V192))</f>
        <v/>
      </c>
      <c r="F214" s="3">
        <f>IF('ORDENES'!$A192="","",IF('ORDENES'!$Y192="","-",'ORDENES'!$Y192))</f>
        <v/>
      </c>
      <c r="G214" s="3">
        <f>IF('ORDENES'!$A192="","",IF('ORDENES'!$W192="","-",'ORDENES'!$W192))</f>
        <v/>
      </c>
      <c r="H214" s="3">
        <f>IF('ORDENES'!$A192="","",IF('ORDENES'!$AE192="","-",'ORDENES'!$AE192))</f>
        <v/>
      </c>
      <c r="I214" s="3">
        <f>IF('ORDENES'!$A192="","",IF('ORDENES'!$AQ192="","-",'ORDENES'!$AQ192))</f>
        <v/>
      </c>
      <c r="J214" s="3">
        <f>IF('ORDENES'!$A192="","",IF('ORDENES'!$D192="","-",'ORDENES'!$D192))</f>
        <v/>
      </c>
      <c r="K214" s="3">
        <f>IF('ORDENES'!$A192="","",IF('ORDENES'!$E192="","-",'ORDENES'!$E192))</f>
        <v/>
      </c>
      <c r="L214" s="13">
        <f>IF('ORDENES'!$A192="","",IF('ORDENES'!$M192="",0,'ORDENES'!$M192))</f>
        <v/>
      </c>
      <c r="M214" s="3">
        <f>IF('ORDENES'!$A192="","",IF('ORDENES'!$N192="","-",'ORDENES'!$N192))</f>
        <v/>
      </c>
      <c r="N214" s="3">
        <f>IF('ORDENES'!$A192="","",'ORDENES'!$AD192)</f>
        <v/>
      </c>
    </row>
    <row r="215">
      <c r="A215" s="3">
        <f>IF('ORDENES'!$A193="","",IF('ORDENES'!$O193="","-",'ORDENES'!$O193))</f>
        <v/>
      </c>
      <c r="B215" s="3">
        <f>IF('ORDENES'!$A193="","",IF('ORDENES'!$R193="","-",'ORDENES'!$R193))</f>
        <v/>
      </c>
      <c r="C215" s="3">
        <f>IF('ORDENES'!$A193="","",IF('ORDENES'!$AF193="","-",'ORDENES'!$AF193))</f>
        <v/>
      </c>
      <c r="D215" s="3">
        <f>IF('ORDENES'!$A193="","",IF('ORDENES'!$X193="","-",'ORDENES'!$X193))</f>
        <v/>
      </c>
      <c r="E215" s="3">
        <f>IF('ORDENES'!$A193="","",IF('ORDENES'!$V193="","-",'ORDENES'!$V193))</f>
        <v/>
      </c>
      <c r="F215" s="3">
        <f>IF('ORDENES'!$A193="","",IF('ORDENES'!$Y193="","-",'ORDENES'!$Y193))</f>
        <v/>
      </c>
      <c r="G215" s="3">
        <f>IF('ORDENES'!$A193="","",IF('ORDENES'!$W193="","-",'ORDENES'!$W193))</f>
        <v/>
      </c>
      <c r="H215" s="3">
        <f>IF('ORDENES'!$A193="","",IF('ORDENES'!$AE193="","-",'ORDENES'!$AE193))</f>
        <v/>
      </c>
      <c r="I215" s="3">
        <f>IF('ORDENES'!$A193="","",IF('ORDENES'!$AQ193="","-",'ORDENES'!$AQ193))</f>
        <v/>
      </c>
      <c r="J215" s="3">
        <f>IF('ORDENES'!$A193="","",IF('ORDENES'!$D193="","-",'ORDENES'!$D193))</f>
        <v/>
      </c>
      <c r="K215" s="3">
        <f>IF('ORDENES'!$A193="","",IF('ORDENES'!$E193="","-",'ORDENES'!$E193))</f>
        <v/>
      </c>
      <c r="L215" s="13">
        <f>IF('ORDENES'!$A193="","",IF('ORDENES'!$M193="",0,'ORDENES'!$M193))</f>
        <v/>
      </c>
      <c r="M215" s="3">
        <f>IF('ORDENES'!$A193="","",IF('ORDENES'!$N193="","-",'ORDENES'!$N193))</f>
        <v/>
      </c>
      <c r="N215" s="3">
        <f>IF('ORDENES'!$A193="","",'ORDENES'!$AD193)</f>
        <v/>
      </c>
    </row>
    <row r="216">
      <c r="A216" s="3">
        <f>IF('ORDENES'!$A194="","",IF('ORDENES'!$O194="","-",'ORDENES'!$O194))</f>
        <v/>
      </c>
      <c r="B216" s="3">
        <f>IF('ORDENES'!$A194="","",IF('ORDENES'!$R194="","-",'ORDENES'!$R194))</f>
        <v/>
      </c>
      <c r="C216" s="3">
        <f>IF('ORDENES'!$A194="","",IF('ORDENES'!$AF194="","-",'ORDENES'!$AF194))</f>
        <v/>
      </c>
      <c r="D216" s="3">
        <f>IF('ORDENES'!$A194="","",IF('ORDENES'!$X194="","-",'ORDENES'!$X194))</f>
        <v/>
      </c>
      <c r="E216" s="3">
        <f>IF('ORDENES'!$A194="","",IF('ORDENES'!$V194="","-",'ORDENES'!$V194))</f>
        <v/>
      </c>
      <c r="F216" s="3">
        <f>IF('ORDENES'!$A194="","",IF('ORDENES'!$Y194="","-",'ORDENES'!$Y194))</f>
        <v/>
      </c>
      <c r="G216" s="3">
        <f>IF('ORDENES'!$A194="","",IF('ORDENES'!$W194="","-",'ORDENES'!$W194))</f>
        <v/>
      </c>
      <c r="H216" s="3">
        <f>IF('ORDENES'!$A194="","",IF('ORDENES'!$AE194="","-",'ORDENES'!$AE194))</f>
        <v/>
      </c>
      <c r="I216" s="3">
        <f>IF('ORDENES'!$A194="","",IF('ORDENES'!$AQ194="","-",'ORDENES'!$AQ194))</f>
        <v/>
      </c>
      <c r="J216" s="3">
        <f>IF('ORDENES'!$A194="","",IF('ORDENES'!$D194="","-",'ORDENES'!$D194))</f>
        <v/>
      </c>
      <c r="K216" s="3">
        <f>IF('ORDENES'!$A194="","",IF('ORDENES'!$E194="","-",'ORDENES'!$E194))</f>
        <v/>
      </c>
      <c r="L216" s="13">
        <f>IF('ORDENES'!$A194="","",IF('ORDENES'!$M194="",0,'ORDENES'!$M194))</f>
        <v/>
      </c>
      <c r="M216" s="3">
        <f>IF('ORDENES'!$A194="","",IF('ORDENES'!$N194="","-",'ORDENES'!$N194))</f>
        <v/>
      </c>
      <c r="N216" s="3">
        <f>IF('ORDENES'!$A194="","",'ORDENES'!$AD194)</f>
        <v/>
      </c>
    </row>
    <row r="217">
      <c r="A217" s="3">
        <f>IF('ORDENES'!$A195="","",IF('ORDENES'!$O195="","-",'ORDENES'!$O195))</f>
        <v/>
      </c>
      <c r="B217" s="3">
        <f>IF('ORDENES'!$A195="","",IF('ORDENES'!$R195="","-",'ORDENES'!$R195))</f>
        <v/>
      </c>
      <c r="C217" s="3">
        <f>IF('ORDENES'!$A195="","",IF('ORDENES'!$AF195="","-",'ORDENES'!$AF195))</f>
        <v/>
      </c>
      <c r="D217" s="3">
        <f>IF('ORDENES'!$A195="","",IF('ORDENES'!$X195="","-",'ORDENES'!$X195))</f>
        <v/>
      </c>
      <c r="E217" s="3">
        <f>IF('ORDENES'!$A195="","",IF('ORDENES'!$V195="","-",'ORDENES'!$V195))</f>
        <v/>
      </c>
      <c r="F217" s="3">
        <f>IF('ORDENES'!$A195="","",IF('ORDENES'!$Y195="","-",'ORDENES'!$Y195))</f>
        <v/>
      </c>
      <c r="G217" s="3">
        <f>IF('ORDENES'!$A195="","",IF('ORDENES'!$W195="","-",'ORDENES'!$W195))</f>
        <v/>
      </c>
      <c r="H217" s="3">
        <f>IF('ORDENES'!$A195="","",IF('ORDENES'!$AE195="","-",'ORDENES'!$AE195))</f>
        <v/>
      </c>
      <c r="I217" s="3">
        <f>IF('ORDENES'!$A195="","",IF('ORDENES'!$AQ195="","-",'ORDENES'!$AQ195))</f>
        <v/>
      </c>
      <c r="J217" s="3">
        <f>IF('ORDENES'!$A195="","",IF('ORDENES'!$D195="","-",'ORDENES'!$D195))</f>
        <v/>
      </c>
      <c r="K217" s="3">
        <f>IF('ORDENES'!$A195="","",IF('ORDENES'!$E195="","-",'ORDENES'!$E195))</f>
        <v/>
      </c>
      <c r="L217" s="13">
        <f>IF('ORDENES'!$A195="","",IF('ORDENES'!$M195="",0,'ORDENES'!$M195))</f>
        <v/>
      </c>
      <c r="M217" s="3">
        <f>IF('ORDENES'!$A195="","",IF('ORDENES'!$N195="","-",'ORDENES'!$N195))</f>
        <v/>
      </c>
      <c r="N217" s="3">
        <f>IF('ORDENES'!$A195="","",'ORDENES'!$AD195)</f>
        <v/>
      </c>
    </row>
    <row r="218">
      <c r="A218" s="3">
        <f>IF('ORDENES'!$A196="","",IF('ORDENES'!$O196="","-",'ORDENES'!$O196))</f>
        <v/>
      </c>
      <c r="B218" s="3">
        <f>IF('ORDENES'!$A196="","",IF('ORDENES'!$R196="","-",'ORDENES'!$R196))</f>
        <v/>
      </c>
      <c r="C218" s="3">
        <f>IF('ORDENES'!$A196="","",IF('ORDENES'!$AF196="","-",'ORDENES'!$AF196))</f>
        <v/>
      </c>
      <c r="D218" s="3">
        <f>IF('ORDENES'!$A196="","",IF('ORDENES'!$X196="","-",'ORDENES'!$X196))</f>
        <v/>
      </c>
      <c r="E218" s="3">
        <f>IF('ORDENES'!$A196="","",IF('ORDENES'!$V196="","-",'ORDENES'!$V196))</f>
        <v/>
      </c>
      <c r="F218" s="3">
        <f>IF('ORDENES'!$A196="","",IF('ORDENES'!$Y196="","-",'ORDENES'!$Y196))</f>
        <v/>
      </c>
      <c r="G218" s="3">
        <f>IF('ORDENES'!$A196="","",IF('ORDENES'!$W196="","-",'ORDENES'!$W196))</f>
        <v/>
      </c>
      <c r="H218" s="3">
        <f>IF('ORDENES'!$A196="","",IF('ORDENES'!$AE196="","-",'ORDENES'!$AE196))</f>
        <v/>
      </c>
      <c r="I218" s="3">
        <f>IF('ORDENES'!$A196="","",IF('ORDENES'!$AQ196="","-",'ORDENES'!$AQ196))</f>
        <v/>
      </c>
      <c r="J218" s="3">
        <f>IF('ORDENES'!$A196="","",IF('ORDENES'!$D196="","-",'ORDENES'!$D196))</f>
        <v/>
      </c>
      <c r="K218" s="3">
        <f>IF('ORDENES'!$A196="","",IF('ORDENES'!$E196="","-",'ORDENES'!$E196))</f>
        <v/>
      </c>
      <c r="L218" s="13">
        <f>IF('ORDENES'!$A196="","",IF('ORDENES'!$M196="",0,'ORDENES'!$M196))</f>
        <v/>
      </c>
      <c r="M218" s="3">
        <f>IF('ORDENES'!$A196="","",IF('ORDENES'!$N196="","-",'ORDENES'!$N196))</f>
        <v/>
      </c>
      <c r="N218" s="3">
        <f>IF('ORDENES'!$A196="","",'ORDENES'!$AD196)</f>
        <v/>
      </c>
    </row>
    <row r="219">
      <c r="A219" s="3">
        <f>IF('ORDENES'!$A197="","",IF('ORDENES'!$O197="","-",'ORDENES'!$O197))</f>
        <v/>
      </c>
      <c r="B219" s="3">
        <f>IF('ORDENES'!$A197="","",IF('ORDENES'!$R197="","-",'ORDENES'!$R197))</f>
        <v/>
      </c>
      <c r="C219" s="3">
        <f>IF('ORDENES'!$A197="","",IF('ORDENES'!$AF197="","-",'ORDENES'!$AF197))</f>
        <v/>
      </c>
      <c r="D219" s="3">
        <f>IF('ORDENES'!$A197="","",IF('ORDENES'!$X197="","-",'ORDENES'!$X197))</f>
        <v/>
      </c>
      <c r="E219" s="3">
        <f>IF('ORDENES'!$A197="","",IF('ORDENES'!$V197="","-",'ORDENES'!$V197))</f>
        <v/>
      </c>
      <c r="F219" s="3">
        <f>IF('ORDENES'!$A197="","",IF('ORDENES'!$Y197="","-",'ORDENES'!$Y197))</f>
        <v/>
      </c>
      <c r="G219" s="3">
        <f>IF('ORDENES'!$A197="","",IF('ORDENES'!$W197="","-",'ORDENES'!$W197))</f>
        <v/>
      </c>
      <c r="H219" s="3">
        <f>IF('ORDENES'!$A197="","",IF('ORDENES'!$AE197="","-",'ORDENES'!$AE197))</f>
        <v/>
      </c>
      <c r="I219" s="3">
        <f>IF('ORDENES'!$A197="","",IF('ORDENES'!$AQ197="","-",'ORDENES'!$AQ197))</f>
        <v/>
      </c>
      <c r="J219" s="3">
        <f>IF('ORDENES'!$A197="","",IF('ORDENES'!$D197="","-",'ORDENES'!$D197))</f>
        <v/>
      </c>
      <c r="K219" s="3">
        <f>IF('ORDENES'!$A197="","",IF('ORDENES'!$E197="","-",'ORDENES'!$E197))</f>
        <v/>
      </c>
      <c r="L219" s="13">
        <f>IF('ORDENES'!$A197="","",IF('ORDENES'!$M197="",0,'ORDENES'!$M197))</f>
        <v/>
      </c>
      <c r="M219" s="3">
        <f>IF('ORDENES'!$A197="","",IF('ORDENES'!$N197="","-",'ORDENES'!$N197))</f>
        <v/>
      </c>
      <c r="N219" s="3">
        <f>IF('ORDENES'!$A197="","",'ORDENES'!$AD197)</f>
        <v/>
      </c>
    </row>
    <row r="220">
      <c r="A220" s="3">
        <f>IF('ORDENES'!$A198="","",IF('ORDENES'!$O198="","-",'ORDENES'!$O198))</f>
        <v/>
      </c>
      <c r="B220" s="3">
        <f>IF('ORDENES'!$A198="","",IF('ORDENES'!$R198="","-",'ORDENES'!$R198))</f>
        <v/>
      </c>
      <c r="C220" s="3">
        <f>IF('ORDENES'!$A198="","",IF('ORDENES'!$AF198="","-",'ORDENES'!$AF198))</f>
        <v/>
      </c>
      <c r="D220" s="3">
        <f>IF('ORDENES'!$A198="","",IF('ORDENES'!$X198="","-",'ORDENES'!$X198))</f>
        <v/>
      </c>
      <c r="E220" s="3">
        <f>IF('ORDENES'!$A198="","",IF('ORDENES'!$V198="","-",'ORDENES'!$V198))</f>
        <v/>
      </c>
      <c r="F220" s="3">
        <f>IF('ORDENES'!$A198="","",IF('ORDENES'!$Y198="","-",'ORDENES'!$Y198))</f>
        <v/>
      </c>
      <c r="G220" s="3">
        <f>IF('ORDENES'!$A198="","",IF('ORDENES'!$W198="","-",'ORDENES'!$W198))</f>
        <v/>
      </c>
      <c r="H220" s="3">
        <f>IF('ORDENES'!$A198="","",IF('ORDENES'!$AE198="","-",'ORDENES'!$AE198))</f>
        <v/>
      </c>
      <c r="I220" s="3">
        <f>IF('ORDENES'!$A198="","",IF('ORDENES'!$AQ198="","-",'ORDENES'!$AQ198))</f>
        <v/>
      </c>
      <c r="J220" s="3">
        <f>IF('ORDENES'!$A198="","",IF('ORDENES'!$D198="","-",'ORDENES'!$D198))</f>
        <v/>
      </c>
      <c r="K220" s="3">
        <f>IF('ORDENES'!$A198="","",IF('ORDENES'!$E198="","-",'ORDENES'!$E198))</f>
        <v/>
      </c>
      <c r="L220" s="13">
        <f>IF('ORDENES'!$A198="","",IF('ORDENES'!$M198="",0,'ORDENES'!$M198))</f>
        <v/>
      </c>
      <c r="M220" s="3">
        <f>IF('ORDENES'!$A198="","",IF('ORDENES'!$N198="","-",'ORDENES'!$N198))</f>
        <v/>
      </c>
      <c r="N220" s="3">
        <f>IF('ORDENES'!$A198="","",'ORDENES'!$AD198)</f>
        <v/>
      </c>
    </row>
    <row r="221">
      <c r="A221" s="3">
        <f>IF('ORDENES'!$A199="","",IF('ORDENES'!$O199="","-",'ORDENES'!$O199))</f>
        <v/>
      </c>
      <c r="B221" s="3">
        <f>IF('ORDENES'!$A199="","",IF('ORDENES'!$R199="","-",'ORDENES'!$R199))</f>
        <v/>
      </c>
      <c r="C221" s="3">
        <f>IF('ORDENES'!$A199="","",IF('ORDENES'!$AF199="","-",'ORDENES'!$AF199))</f>
        <v/>
      </c>
      <c r="D221" s="3">
        <f>IF('ORDENES'!$A199="","",IF('ORDENES'!$X199="","-",'ORDENES'!$X199))</f>
        <v/>
      </c>
      <c r="E221" s="3">
        <f>IF('ORDENES'!$A199="","",IF('ORDENES'!$V199="","-",'ORDENES'!$V199))</f>
        <v/>
      </c>
      <c r="F221" s="3">
        <f>IF('ORDENES'!$A199="","",IF('ORDENES'!$Y199="","-",'ORDENES'!$Y199))</f>
        <v/>
      </c>
      <c r="G221" s="3">
        <f>IF('ORDENES'!$A199="","",IF('ORDENES'!$W199="","-",'ORDENES'!$W199))</f>
        <v/>
      </c>
      <c r="H221" s="3">
        <f>IF('ORDENES'!$A199="","",IF('ORDENES'!$AE199="","-",'ORDENES'!$AE199))</f>
        <v/>
      </c>
      <c r="I221" s="3">
        <f>IF('ORDENES'!$A199="","",IF('ORDENES'!$AQ199="","-",'ORDENES'!$AQ199))</f>
        <v/>
      </c>
      <c r="J221" s="3">
        <f>IF('ORDENES'!$A199="","",IF('ORDENES'!$D199="","-",'ORDENES'!$D199))</f>
        <v/>
      </c>
      <c r="K221" s="3">
        <f>IF('ORDENES'!$A199="","",IF('ORDENES'!$E199="","-",'ORDENES'!$E199))</f>
        <v/>
      </c>
      <c r="L221" s="13">
        <f>IF('ORDENES'!$A199="","",IF('ORDENES'!$M199="",0,'ORDENES'!$M199))</f>
        <v/>
      </c>
      <c r="M221" s="3">
        <f>IF('ORDENES'!$A199="","",IF('ORDENES'!$N199="","-",'ORDENES'!$N199))</f>
        <v/>
      </c>
      <c r="N221" s="3">
        <f>IF('ORDENES'!$A199="","",'ORDENES'!$AD199)</f>
        <v/>
      </c>
    </row>
    <row r="222">
      <c r="A222" s="3">
        <f>IF('ORDENES'!$A200="","",IF('ORDENES'!$O200="","-",'ORDENES'!$O200))</f>
        <v/>
      </c>
      <c r="B222" s="3">
        <f>IF('ORDENES'!$A200="","",IF('ORDENES'!$R200="","-",'ORDENES'!$R200))</f>
        <v/>
      </c>
      <c r="C222" s="3">
        <f>IF('ORDENES'!$A200="","",IF('ORDENES'!$AF200="","-",'ORDENES'!$AF200))</f>
        <v/>
      </c>
      <c r="D222" s="3">
        <f>IF('ORDENES'!$A200="","",IF('ORDENES'!$X200="","-",'ORDENES'!$X200))</f>
        <v/>
      </c>
      <c r="E222" s="3">
        <f>IF('ORDENES'!$A200="","",IF('ORDENES'!$V200="","-",'ORDENES'!$V200))</f>
        <v/>
      </c>
      <c r="F222" s="3">
        <f>IF('ORDENES'!$A200="","",IF('ORDENES'!$Y200="","-",'ORDENES'!$Y200))</f>
        <v/>
      </c>
      <c r="G222" s="3">
        <f>IF('ORDENES'!$A200="","",IF('ORDENES'!$W200="","-",'ORDENES'!$W200))</f>
        <v/>
      </c>
      <c r="H222" s="3">
        <f>IF('ORDENES'!$A200="","",IF('ORDENES'!$AE200="","-",'ORDENES'!$AE200))</f>
        <v/>
      </c>
      <c r="I222" s="3">
        <f>IF('ORDENES'!$A200="","",IF('ORDENES'!$AQ200="","-",'ORDENES'!$AQ200))</f>
        <v/>
      </c>
      <c r="J222" s="3">
        <f>IF('ORDENES'!$A200="","",IF('ORDENES'!$D200="","-",'ORDENES'!$D200))</f>
        <v/>
      </c>
      <c r="K222" s="3">
        <f>IF('ORDENES'!$A200="","",IF('ORDENES'!$E200="","-",'ORDENES'!$E200))</f>
        <v/>
      </c>
      <c r="L222" s="13">
        <f>IF('ORDENES'!$A200="","",IF('ORDENES'!$M200="",0,'ORDENES'!$M200))</f>
        <v/>
      </c>
      <c r="M222" s="3">
        <f>IF('ORDENES'!$A200="","",IF('ORDENES'!$N200="","-",'ORDENES'!$N200))</f>
        <v/>
      </c>
      <c r="N222" s="3">
        <f>IF('ORDENES'!$A200="","",'ORDENES'!$AD200)</f>
        <v/>
      </c>
    </row>
    <row r="223">
      <c r="A223" s="3">
        <f>IF('ORDENES'!$A201="","",IF('ORDENES'!$O201="","-",'ORDENES'!$O201))</f>
        <v/>
      </c>
      <c r="B223" s="3">
        <f>IF('ORDENES'!$A201="","",IF('ORDENES'!$R201="","-",'ORDENES'!$R201))</f>
        <v/>
      </c>
      <c r="C223" s="3">
        <f>IF('ORDENES'!$A201="","",IF('ORDENES'!$AF201="","-",'ORDENES'!$AF201))</f>
        <v/>
      </c>
      <c r="D223" s="3">
        <f>IF('ORDENES'!$A201="","",IF('ORDENES'!$X201="","-",'ORDENES'!$X201))</f>
        <v/>
      </c>
      <c r="E223" s="3">
        <f>IF('ORDENES'!$A201="","",IF('ORDENES'!$V201="","-",'ORDENES'!$V201))</f>
        <v/>
      </c>
      <c r="F223" s="3">
        <f>IF('ORDENES'!$A201="","",IF('ORDENES'!$Y201="","-",'ORDENES'!$Y201))</f>
        <v/>
      </c>
      <c r="G223" s="3">
        <f>IF('ORDENES'!$A201="","",IF('ORDENES'!$W201="","-",'ORDENES'!$W201))</f>
        <v/>
      </c>
      <c r="H223" s="3">
        <f>IF('ORDENES'!$A201="","",IF('ORDENES'!$AE201="","-",'ORDENES'!$AE201))</f>
        <v/>
      </c>
      <c r="I223" s="3">
        <f>IF('ORDENES'!$A201="","",IF('ORDENES'!$AQ201="","-",'ORDENES'!$AQ201))</f>
        <v/>
      </c>
      <c r="J223" s="3">
        <f>IF('ORDENES'!$A201="","",IF('ORDENES'!$D201="","-",'ORDENES'!$D201))</f>
        <v/>
      </c>
      <c r="K223" s="3">
        <f>IF('ORDENES'!$A201="","",IF('ORDENES'!$E201="","-",'ORDENES'!$E201))</f>
        <v/>
      </c>
      <c r="L223" s="13">
        <f>IF('ORDENES'!$A201="","",IF('ORDENES'!$M201="",0,'ORDENES'!$M201))</f>
        <v/>
      </c>
      <c r="M223" s="3">
        <f>IF('ORDENES'!$A201="","",IF('ORDENES'!$N201="","-",'ORDENES'!$N201))</f>
        <v/>
      </c>
      <c r="N223" s="3">
        <f>IF('ORDENES'!$A201="","",'ORDENES'!$AD201)</f>
        <v/>
      </c>
    </row>
    <row r="224">
      <c r="A224" s="3">
        <f>IF('ORDENES'!$A202="","",IF('ORDENES'!$O202="","-",'ORDENES'!$O202))</f>
        <v/>
      </c>
      <c r="B224" s="3">
        <f>IF('ORDENES'!$A202="","",IF('ORDENES'!$R202="","-",'ORDENES'!$R202))</f>
        <v/>
      </c>
      <c r="C224" s="3">
        <f>IF('ORDENES'!$A202="","",IF('ORDENES'!$AF202="","-",'ORDENES'!$AF202))</f>
        <v/>
      </c>
      <c r="D224" s="3">
        <f>IF('ORDENES'!$A202="","",IF('ORDENES'!$X202="","-",'ORDENES'!$X202))</f>
        <v/>
      </c>
      <c r="E224" s="3">
        <f>IF('ORDENES'!$A202="","",IF('ORDENES'!$V202="","-",'ORDENES'!$V202))</f>
        <v/>
      </c>
      <c r="F224" s="3">
        <f>IF('ORDENES'!$A202="","",IF('ORDENES'!$Y202="","-",'ORDENES'!$Y202))</f>
        <v/>
      </c>
      <c r="G224" s="3">
        <f>IF('ORDENES'!$A202="","",IF('ORDENES'!$W202="","-",'ORDENES'!$W202))</f>
        <v/>
      </c>
      <c r="H224" s="3">
        <f>IF('ORDENES'!$A202="","",IF('ORDENES'!$AE202="","-",'ORDENES'!$AE202))</f>
        <v/>
      </c>
      <c r="I224" s="3">
        <f>IF('ORDENES'!$A202="","",IF('ORDENES'!$AQ202="","-",'ORDENES'!$AQ202))</f>
        <v/>
      </c>
      <c r="J224" s="3">
        <f>IF('ORDENES'!$A202="","",IF('ORDENES'!$D202="","-",'ORDENES'!$D202))</f>
        <v/>
      </c>
      <c r="K224" s="3">
        <f>IF('ORDENES'!$A202="","",IF('ORDENES'!$E202="","-",'ORDENES'!$E202))</f>
        <v/>
      </c>
      <c r="L224" s="13">
        <f>IF('ORDENES'!$A202="","",IF('ORDENES'!$M202="",0,'ORDENES'!$M202))</f>
        <v/>
      </c>
      <c r="M224" s="3">
        <f>IF('ORDENES'!$A202="","",IF('ORDENES'!$N202="","-",'ORDENES'!$N202))</f>
        <v/>
      </c>
      <c r="N224" s="3">
        <f>IF('ORDENES'!$A202="","",'ORDENES'!$AD202)</f>
        <v/>
      </c>
    </row>
    <row r="225">
      <c r="A225" s="3">
        <f>IF('ORDENES'!$A203="","",IF('ORDENES'!$O203="","-",'ORDENES'!$O203))</f>
        <v/>
      </c>
      <c r="B225" s="3">
        <f>IF('ORDENES'!$A203="","",IF('ORDENES'!$R203="","-",'ORDENES'!$R203))</f>
        <v/>
      </c>
      <c r="C225" s="3">
        <f>IF('ORDENES'!$A203="","",IF('ORDENES'!$AF203="","-",'ORDENES'!$AF203))</f>
        <v/>
      </c>
      <c r="D225" s="3">
        <f>IF('ORDENES'!$A203="","",IF('ORDENES'!$X203="","-",'ORDENES'!$X203))</f>
        <v/>
      </c>
      <c r="E225" s="3">
        <f>IF('ORDENES'!$A203="","",IF('ORDENES'!$V203="","-",'ORDENES'!$V203))</f>
        <v/>
      </c>
      <c r="F225" s="3">
        <f>IF('ORDENES'!$A203="","",IF('ORDENES'!$Y203="","-",'ORDENES'!$Y203))</f>
        <v/>
      </c>
      <c r="G225" s="3">
        <f>IF('ORDENES'!$A203="","",IF('ORDENES'!$W203="","-",'ORDENES'!$W203))</f>
        <v/>
      </c>
      <c r="H225" s="3">
        <f>IF('ORDENES'!$A203="","",IF('ORDENES'!$AE203="","-",'ORDENES'!$AE203))</f>
        <v/>
      </c>
      <c r="I225" s="3">
        <f>IF('ORDENES'!$A203="","",IF('ORDENES'!$AQ203="","-",'ORDENES'!$AQ203))</f>
        <v/>
      </c>
      <c r="J225" s="3">
        <f>IF('ORDENES'!$A203="","",IF('ORDENES'!$D203="","-",'ORDENES'!$D203))</f>
        <v/>
      </c>
      <c r="K225" s="3">
        <f>IF('ORDENES'!$A203="","",IF('ORDENES'!$E203="","-",'ORDENES'!$E203))</f>
        <v/>
      </c>
      <c r="L225" s="13">
        <f>IF('ORDENES'!$A203="","",IF('ORDENES'!$M203="",0,'ORDENES'!$M203))</f>
        <v/>
      </c>
      <c r="M225" s="3">
        <f>IF('ORDENES'!$A203="","",IF('ORDENES'!$N203="","-",'ORDENES'!$N203))</f>
        <v/>
      </c>
      <c r="N225" s="3">
        <f>IF('ORDENES'!$A203="","",'ORDENES'!$AD203)</f>
        <v/>
      </c>
    </row>
    <row r="226">
      <c r="A226" s="3">
        <f>IF('ORDENES'!$A204="","",IF('ORDENES'!$O204="","-",'ORDENES'!$O204))</f>
        <v/>
      </c>
      <c r="B226" s="3">
        <f>IF('ORDENES'!$A204="","",IF('ORDENES'!$R204="","-",'ORDENES'!$R204))</f>
        <v/>
      </c>
      <c r="C226" s="3">
        <f>IF('ORDENES'!$A204="","",IF('ORDENES'!$AF204="","-",'ORDENES'!$AF204))</f>
        <v/>
      </c>
      <c r="D226" s="3">
        <f>IF('ORDENES'!$A204="","",IF('ORDENES'!$X204="","-",'ORDENES'!$X204))</f>
        <v/>
      </c>
      <c r="E226" s="3">
        <f>IF('ORDENES'!$A204="","",IF('ORDENES'!$V204="","-",'ORDENES'!$V204))</f>
        <v/>
      </c>
      <c r="F226" s="3">
        <f>IF('ORDENES'!$A204="","",IF('ORDENES'!$Y204="","-",'ORDENES'!$Y204))</f>
        <v/>
      </c>
      <c r="G226" s="3">
        <f>IF('ORDENES'!$A204="","",IF('ORDENES'!$W204="","-",'ORDENES'!$W204))</f>
        <v/>
      </c>
      <c r="H226" s="3">
        <f>IF('ORDENES'!$A204="","",IF('ORDENES'!$AE204="","-",'ORDENES'!$AE204))</f>
        <v/>
      </c>
      <c r="I226" s="3">
        <f>IF('ORDENES'!$A204="","",IF('ORDENES'!$AQ204="","-",'ORDENES'!$AQ204))</f>
        <v/>
      </c>
      <c r="J226" s="3">
        <f>IF('ORDENES'!$A204="","",IF('ORDENES'!$D204="","-",'ORDENES'!$D204))</f>
        <v/>
      </c>
      <c r="K226" s="3">
        <f>IF('ORDENES'!$A204="","",IF('ORDENES'!$E204="","-",'ORDENES'!$E204))</f>
        <v/>
      </c>
      <c r="L226" s="13">
        <f>IF('ORDENES'!$A204="","",IF('ORDENES'!$M204="",0,'ORDENES'!$M204))</f>
        <v/>
      </c>
      <c r="M226" s="3">
        <f>IF('ORDENES'!$A204="","",IF('ORDENES'!$N204="","-",'ORDENES'!$N204))</f>
        <v/>
      </c>
      <c r="N226" s="3">
        <f>IF('ORDENES'!$A204="","",'ORDENES'!$AD204)</f>
        <v/>
      </c>
    </row>
    <row r="227">
      <c r="A227" s="3">
        <f>IF('ORDENES'!$A205="","",IF('ORDENES'!$O205="","-",'ORDENES'!$O205))</f>
        <v/>
      </c>
      <c r="B227" s="3">
        <f>IF('ORDENES'!$A205="","",IF('ORDENES'!$R205="","-",'ORDENES'!$R205))</f>
        <v/>
      </c>
      <c r="C227" s="3">
        <f>IF('ORDENES'!$A205="","",IF('ORDENES'!$AF205="","-",'ORDENES'!$AF205))</f>
        <v/>
      </c>
      <c r="D227" s="3">
        <f>IF('ORDENES'!$A205="","",IF('ORDENES'!$X205="","-",'ORDENES'!$X205))</f>
        <v/>
      </c>
      <c r="E227" s="3">
        <f>IF('ORDENES'!$A205="","",IF('ORDENES'!$V205="","-",'ORDENES'!$V205))</f>
        <v/>
      </c>
      <c r="F227" s="3">
        <f>IF('ORDENES'!$A205="","",IF('ORDENES'!$Y205="","-",'ORDENES'!$Y205))</f>
        <v/>
      </c>
      <c r="G227" s="3">
        <f>IF('ORDENES'!$A205="","",IF('ORDENES'!$W205="","-",'ORDENES'!$W205))</f>
        <v/>
      </c>
      <c r="H227" s="3">
        <f>IF('ORDENES'!$A205="","",IF('ORDENES'!$AE205="","-",'ORDENES'!$AE205))</f>
        <v/>
      </c>
      <c r="I227" s="3">
        <f>IF('ORDENES'!$A205="","",IF('ORDENES'!$AQ205="","-",'ORDENES'!$AQ205))</f>
        <v/>
      </c>
      <c r="J227" s="3">
        <f>IF('ORDENES'!$A205="","",IF('ORDENES'!$D205="","-",'ORDENES'!$D205))</f>
        <v/>
      </c>
      <c r="K227" s="3">
        <f>IF('ORDENES'!$A205="","",IF('ORDENES'!$E205="","-",'ORDENES'!$E205))</f>
        <v/>
      </c>
      <c r="L227" s="13">
        <f>IF('ORDENES'!$A205="","",IF('ORDENES'!$M205="",0,'ORDENES'!$M205))</f>
        <v/>
      </c>
      <c r="M227" s="3">
        <f>IF('ORDENES'!$A205="","",IF('ORDENES'!$N205="","-",'ORDENES'!$N205))</f>
        <v/>
      </c>
      <c r="N227" s="3">
        <f>IF('ORDENES'!$A205="","",'ORDENES'!$AD205)</f>
        <v/>
      </c>
    </row>
    <row r="228">
      <c r="A228" s="3">
        <f>IF('ORDENES'!$A206="","",IF('ORDENES'!$O206="","-",'ORDENES'!$O206))</f>
        <v/>
      </c>
      <c r="B228" s="3">
        <f>IF('ORDENES'!$A206="","",IF('ORDENES'!$R206="","-",'ORDENES'!$R206))</f>
        <v/>
      </c>
      <c r="C228" s="3">
        <f>IF('ORDENES'!$A206="","",IF('ORDENES'!$AF206="","-",'ORDENES'!$AF206))</f>
        <v/>
      </c>
      <c r="D228" s="3">
        <f>IF('ORDENES'!$A206="","",IF('ORDENES'!$X206="","-",'ORDENES'!$X206))</f>
        <v/>
      </c>
      <c r="E228" s="3">
        <f>IF('ORDENES'!$A206="","",IF('ORDENES'!$V206="","-",'ORDENES'!$V206))</f>
        <v/>
      </c>
      <c r="F228" s="3">
        <f>IF('ORDENES'!$A206="","",IF('ORDENES'!$Y206="","-",'ORDENES'!$Y206))</f>
        <v/>
      </c>
      <c r="G228" s="3">
        <f>IF('ORDENES'!$A206="","",IF('ORDENES'!$W206="","-",'ORDENES'!$W206))</f>
        <v/>
      </c>
      <c r="H228" s="3">
        <f>IF('ORDENES'!$A206="","",IF('ORDENES'!$AE206="","-",'ORDENES'!$AE206))</f>
        <v/>
      </c>
      <c r="I228" s="3">
        <f>IF('ORDENES'!$A206="","",IF('ORDENES'!$AQ206="","-",'ORDENES'!$AQ206))</f>
        <v/>
      </c>
      <c r="J228" s="3">
        <f>IF('ORDENES'!$A206="","",IF('ORDENES'!$D206="","-",'ORDENES'!$D206))</f>
        <v/>
      </c>
      <c r="K228" s="3">
        <f>IF('ORDENES'!$A206="","",IF('ORDENES'!$E206="","-",'ORDENES'!$E206))</f>
        <v/>
      </c>
      <c r="L228" s="13">
        <f>IF('ORDENES'!$A206="","",IF('ORDENES'!$M206="",0,'ORDENES'!$M206))</f>
        <v/>
      </c>
      <c r="M228" s="3">
        <f>IF('ORDENES'!$A206="","",IF('ORDENES'!$N206="","-",'ORDENES'!$N206))</f>
        <v/>
      </c>
      <c r="N228" s="3">
        <f>IF('ORDENES'!$A206="","",'ORDENES'!$AD206)</f>
        <v/>
      </c>
    </row>
    <row r="229">
      <c r="A229" s="3">
        <f>IF('ORDENES'!$A207="","",IF('ORDENES'!$O207="","-",'ORDENES'!$O207))</f>
        <v/>
      </c>
      <c r="B229" s="3">
        <f>IF('ORDENES'!$A207="","",IF('ORDENES'!$R207="","-",'ORDENES'!$R207))</f>
        <v/>
      </c>
      <c r="C229" s="3">
        <f>IF('ORDENES'!$A207="","",IF('ORDENES'!$AF207="","-",'ORDENES'!$AF207))</f>
        <v/>
      </c>
      <c r="D229" s="3">
        <f>IF('ORDENES'!$A207="","",IF('ORDENES'!$X207="","-",'ORDENES'!$X207))</f>
        <v/>
      </c>
      <c r="E229" s="3">
        <f>IF('ORDENES'!$A207="","",IF('ORDENES'!$V207="","-",'ORDENES'!$V207))</f>
        <v/>
      </c>
      <c r="F229" s="3">
        <f>IF('ORDENES'!$A207="","",IF('ORDENES'!$Y207="","-",'ORDENES'!$Y207))</f>
        <v/>
      </c>
      <c r="G229" s="3">
        <f>IF('ORDENES'!$A207="","",IF('ORDENES'!$W207="","-",'ORDENES'!$W207))</f>
        <v/>
      </c>
      <c r="H229" s="3">
        <f>IF('ORDENES'!$A207="","",IF('ORDENES'!$AE207="","-",'ORDENES'!$AE207))</f>
        <v/>
      </c>
      <c r="I229" s="3">
        <f>IF('ORDENES'!$A207="","",IF('ORDENES'!$AQ207="","-",'ORDENES'!$AQ207))</f>
        <v/>
      </c>
      <c r="J229" s="3">
        <f>IF('ORDENES'!$A207="","",IF('ORDENES'!$D207="","-",'ORDENES'!$D207))</f>
        <v/>
      </c>
      <c r="K229" s="3">
        <f>IF('ORDENES'!$A207="","",IF('ORDENES'!$E207="","-",'ORDENES'!$E207))</f>
        <v/>
      </c>
      <c r="L229" s="13">
        <f>IF('ORDENES'!$A207="","",IF('ORDENES'!$M207="",0,'ORDENES'!$M207))</f>
        <v/>
      </c>
      <c r="M229" s="3">
        <f>IF('ORDENES'!$A207="","",IF('ORDENES'!$N207="","-",'ORDENES'!$N207))</f>
        <v/>
      </c>
      <c r="N229" s="3">
        <f>IF('ORDENES'!$A207="","",'ORDENES'!$AD207)</f>
        <v/>
      </c>
    </row>
    <row r="230">
      <c r="A230" s="3">
        <f>IF('ORDENES'!$A208="","",IF('ORDENES'!$O208="","-",'ORDENES'!$O208))</f>
        <v/>
      </c>
      <c r="B230" s="3">
        <f>IF('ORDENES'!$A208="","",IF('ORDENES'!$R208="","-",'ORDENES'!$R208))</f>
        <v/>
      </c>
      <c r="C230" s="3">
        <f>IF('ORDENES'!$A208="","",IF('ORDENES'!$AF208="","-",'ORDENES'!$AF208))</f>
        <v/>
      </c>
      <c r="D230" s="3">
        <f>IF('ORDENES'!$A208="","",IF('ORDENES'!$X208="","-",'ORDENES'!$X208))</f>
        <v/>
      </c>
      <c r="E230" s="3">
        <f>IF('ORDENES'!$A208="","",IF('ORDENES'!$V208="","-",'ORDENES'!$V208))</f>
        <v/>
      </c>
      <c r="F230" s="3">
        <f>IF('ORDENES'!$A208="","",IF('ORDENES'!$Y208="","-",'ORDENES'!$Y208))</f>
        <v/>
      </c>
      <c r="G230" s="3">
        <f>IF('ORDENES'!$A208="","",IF('ORDENES'!$W208="","-",'ORDENES'!$W208))</f>
        <v/>
      </c>
      <c r="H230" s="3">
        <f>IF('ORDENES'!$A208="","",IF('ORDENES'!$AE208="","-",'ORDENES'!$AE208))</f>
        <v/>
      </c>
      <c r="I230" s="3">
        <f>IF('ORDENES'!$A208="","",IF('ORDENES'!$AQ208="","-",'ORDENES'!$AQ208))</f>
        <v/>
      </c>
      <c r="J230" s="3">
        <f>IF('ORDENES'!$A208="","",IF('ORDENES'!$D208="","-",'ORDENES'!$D208))</f>
        <v/>
      </c>
      <c r="K230" s="3">
        <f>IF('ORDENES'!$A208="","",IF('ORDENES'!$E208="","-",'ORDENES'!$E208))</f>
        <v/>
      </c>
      <c r="L230" s="13">
        <f>IF('ORDENES'!$A208="","",IF('ORDENES'!$M208="",0,'ORDENES'!$M208))</f>
        <v/>
      </c>
      <c r="M230" s="3">
        <f>IF('ORDENES'!$A208="","",IF('ORDENES'!$N208="","-",'ORDENES'!$N208))</f>
        <v/>
      </c>
      <c r="N230" s="3">
        <f>IF('ORDENES'!$A208="","",'ORDENES'!$AD208)</f>
        <v/>
      </c>
    </row>
    <row r="231">
      <c r="A231" s="3">
        <f>IF('ORDENES'!$A209="","",IF('ORDENES'!$O209="","-",'ORDENES'!$O209))</f>
        <v/>
      </c>
      <c r="B231" s="3">
        <f>IF('ORDENES'!$A209="","",IF('ORDENES'!$R209="","-",'ORDENES'!$R209))</f>
        <v/>
      </c>
      <c r="C231" s="3">
        <f>IF('ORDENES'!$A209="","",IF('ORDENES'!$AF209="","-",'ORDENES'!$AF209))</f>
        <v/>
      </c>
      <c r="D231" s="3">
        <f>IF('ORDENES'!$A209="","",IF('ORDENES'!$X209="","-",'ORDENES'!$X209))</f>
        <v/>
      </c>
      <c r="E231" s="3">
        <f>IF('ORDENES'!$A209="","",IF('ORDENES'!$V209="","-",'ORDENES'!$V209))</f>
        <v/>
      </c>
      <c r="F231" s="3">
        <f>IF('ORDENES'!$A209="","",IF('ORDENES'!$Y209="","-",'ORDENES'!$Y209))</f>
        <v/>
      </c>
      <c r="G231" s="3">
        <f>IF('ORDENES'!$A209="","",IF('ORDENES'!$W209="","-",'ORDENES'!$W209))</f>
        <v/>
      </c>
      <c r="H231" s="3">
        <f>IF('ORDENES'!$A209="","",IF('ORDENES'!$AE209="","-",'ORDENES'!$AE209))</f>
        <v/>
      </c>
      <c r="I231" s="3">
        <f>IF('ORDENES'!$A209="","",IF('ORDENES'!$AQ209="","-",'ORDENES'!$AQ209))</f>
        <v/>
      </c>
      <c r="J231" s="3">
        <f>IF('ORDENES'!$A209="","",IF('ORDENES'!$D209="","-",'ORDENES'!$D209))</f>
        <v/>
      </c>
      <c r="K231" s="3">
        <f>IF('ORDENES'!$A209="","",IF('ORDENES'!$E209="","-",'ORDENES'!$E209))</f>
        <v/>
      </c>
      <c r="L231" s="13">
        <f>IF('ORDENES'!$A209="","",IF('ORDENES'!$M209="",0,'ORDENES'!$M209))</f>
        <v/>
      </c>
      <c r="M231" s="3">
        <f>IF('ORDENES'!$A209="","",IF('ORDENES'!$N209="","-",'ORDENES'!$N209))</f>
        <v/>
      </c>
      <c r="N231" s="3">
        <f>IF('ORDENES'!$A209="","",'ORDENES'!$AD209)</f>
        <v/>
      </c>
    </row>
    <row r="232">
      <c r="A232" s="3">
        <f>IF('ORDENES'!$A210="","",IF('ORDENES'!$O210="","-",'ORDENES'!$O210))</f>
        <v/>
      </c>
      <c r="B232" s="3">
        <f>IF('ORDENES'!$A210="","",IF('ORDENES'!$R210="","-",'ORDENES'!$R210))</f>
        <v/>
      </c>
      <c r="C232" s="3">
        <f>IF('ORDENES'!$A210="","",IF('ORDENES'!$AF210="","-",'ORDENES'!$AF210))</f>
        <v/>
      </c>
      <c r="D232" s="3">
        <f>IF('ORDENES'!$A210="","",IF('ORDENES'!$X210="","-",'ORDENES'!$X210))</f>
        <v/>
      </c>
      <c r="E232" s="3">
        <f>IF('ORDENES'!$A210="","",IF('ORDENES'!$V210="","-",'ORDENES'!$V210))</f>
        <v/>
      </c>
      <c r="F232" s="3">
        <f>IF('ORDENES'!$A210="","",IF('ORDENES'!$Y210="","-",'ORDENES'!$Y210))</f>
        <v/>
      </c>
      <c r="G232" s="3">
        <f>IF('ORDENES'!$A210="","",IF('ORDENES'!$W210="","-",'ORDENES'!$W210))</f>
        <v/>
      </c>
      <c r="H232" s="3">
        <f>IF('ORDENES'!$A210="","",IF('ORDENES'!$AE210="","-",'ORDENES'!$AE210))</f>
        <v/>
      </c>
      <c r="I232" s="3">
        <f>IF('ORDENES'!$A210="","",IF('ORDENES'!$AQ210="","-",'ORDENES'!$AQ210))</f>
        <v/>
      </c>
      <c r="J232" s="3">
        <f>IF('ORDENES'!$A210="","",IF('ORDENES'!$D210="","-",'ORDENES'!$D210))</f>
        <v/>
      </c>
      <c r="K232" s="3">
        <f>IF('ORDENES'!$A210="","",IF('ORDENES'!$E210="","-",'ORDENES'!$E210))</f>
        <v/>
      </c>
      <c r="L232" s="13">
        <f>IF('ORDENES'!$A210="","",IF('ORDENES'!$M210="",0,'ORDENES'!$M210))</f>
        <v/>
      </c>
      <c r="M232" s="3">
        <f>IF('ORDENES'!$A210="","",IF('ORDENES'!$N210="","-",'ORDENES'!$N210))</f>
        <v/>
      </c>
      <c r="N232" s="3">
        <f>IF('ORDENES'!$A210="","",'ORDENES'!$AD210)</f>
        <v/>
      </c>
    </row>
    <row r="233">
      <c r="A233" s="3">
        <f>IF('ORDENES'!$A211="","",IF('ORDENES'!$O211="","-",'ORDENES'!$O211))</f>
        <v/>
      </c>
      <c r="B233" s="3">
        <f>IF('ORDENES'!$A211="","",IF('ORDENES'!$R211="","-",'ORDENES'!$R211))</f>
        <v/>
      </c>
      <c r="C233" s="3">
        <f>IF('ORDENES'!$A211="","",IF('ORDENES'!$AF211="","-",'ORDENES'!$AF211))</f>
        <v/>
      </c>
      <c r="D233" s="3">
        <f>IF('ORDENES'!$A211="","",IF('ORDENES'!$X211="","-",'ORDENES'!$X211))</f>
        <v/>
      </c>
      <c r="E233" s="3">
        <f>IF('ORDENES'!$A211="","",IF('ORDENES'!$V211="","-",'ORDENES'!$V211))</f>
        <v/>
      </c>
      <c r="F233" s="3">
        <f>IF('ORDENES'!$A211="","",IF('ORDENES'!$Y211="","-",'ORDENES'!$Y211))</f>
        <v/>
      </c>
      <c r="G233" s="3">
        <f>IF('ORDENES'!$A211="","",IF('ORDENES'!$W211="","-",'ORDENES'!$W211))</f>
        <v/>
      </c>
      <c r="H233" s="3">
        <f>IF('ORDENES'!$A211="","",IF('ORDENES'!$AE211="","-",'ORDENES'!$AE211))</f>
        <v/>
      </c>
      <c r="I233" s="3">
        <f>IF('ORDENES'!$A211="","",IF('ORDENES'!$AQ211="","-",'ORDENES'!$AQ211))</f>
        <v/>
      </c>
      <c r="J233" s="3">
        <f>IF('ORDENES'!$A211="","",IF('ORDENES'!$D211="","-",'ORDENES'!$D211))</f>
        <v/>
      </c>
      <c r="K233" s="3">
        <f>IF('ORDENES'!$A211="","",IF('ORDENES'!$E211="","-",'ORDENES'!$E211))</f>
        <v/>
      </c>
      <c r="L233" s="13">
        <f>IF('ORDENES'!$A211="","",IF('ORDENES'!$M211="",0,'ORDENES'!$M211))</f>
        <v/>
      </c>
      <c r="M233" s="3">
        <f>IF('ORDENES'!$A211="","",IF('ORDENES'!$N211="","-",'ORDENES'!$N211))</f>
        <v/>
      </c>
      <c r="N233" s="3">
        <f>IF('ORDENES'!$A211="","",'ORDENES'!$AD211)</f>
        <v/>
      </c>
    </row>
    <row r="234">
      <c r="A234" s="3">
        <f>IF('ORDENES'!$A212="","",IF('ORDENES'!$O212="","-",'ORDENES'!$O212))</f>
        <v/>
      </c>
      <c r="B234" s="3">
        <f>IF('ORDENES'!$A212="","",IF('ORDENES'!$R212="","-",'ORDENES'!$R212))</f>
        <v/>
      </c>
      <c r="C234" s="3">
        <f>IF('ORDENES'!$A212="","",IF('ORDENES'!$AF212="","-",'ORDENES'!$AF212))</f>
        <v/>
      </c>
      <c r="D234" s="3">
        <f>IF('ORDENES'!$A212="","",IF('ORDENES'!$X212="","-",'ORDENES'!$X212))</f>
        <v/>
      </c>
      <c r="E234" s="3">
        <f>IF('ORDENES'!$A212="","",IF('ORDENES'!$V212="","-",'ORDENES'!$V212))</f>
        <v/>
      </c>
      <c r="F234" s="3">
        <f>IF('ORDENES'!$A212="","",IF('ORDENES'!$Y212="","-",'ORDENES'!$Y212))</f>
        <v/>
      </c>
      <c r="G234" s="3">
        <f>IF('ORDENES'!$A212="","",IF('ORDENES'!$W212="","-",'ORDENES'!$W212))</f>
        <v/>
      </c>
      <c r="H234" s="3">
        <f>IF('ORDENES'!$A212="","",IF('ORDENES'!$AE212="","-",'ORDENES'!$AE212))</f>
        <v/>
      </c>
      <c r="I234" s="3">
        <f>IF('ORDENES'!$A212="","",IF('ORDENES'!$AQ212="","-",'ORDENES'!$AQ212))</f>
        <v/>
      </c>
      <c r="J234" s="3">
        <f>IF('ORDENES'!$A212="","",IF('ORDENES'!$D212="","-",'ORDENES'!$D212))</f>
        <v/>
      </c>
      <c r="K234" s="3">
        <f>IF('ORDENES'!$A212="","",IF('ORDENES'!$E212="","-",'ORDENES'!$E212))</f>
        <v/>
      </c>
      <c r="L234" s="13">
        <f>IF('ORDENES'!$A212="","",IF('ORDENES'!$M212="",0,'ORDENES'!$M212))</f>
        <v/>
      </c>
      <c r="M234" s="3">
        <f>IF('ORDENES'!$A212="","",IF('ORDENES'!$N212="","-",'ORDENES'!$N212))</f>
        <v/>
      </c>
      <c r="N234" s="3">
        <f>IF('ORDENES'!$A212="","",'ORDENES'!$AD212)</f>
        <v/>
      </c>
    </row>
    <row r="235">
      <c r="A235" s="3">
        <f>IF('ORDENES'!$A213="","",IF('ORDENES'!$O213="","-",'ORDENES'!$O213))</f>
        <v/>
      </c>
      <c r="B235" s="3">
        <f>IF('ORDENES'!$A213="","",IF('ORDENES'!$R213="","-",'ORDENES'!$R213))</f>
        <v/>
      </c>
      <c r="C235" s="3">
        <f>IF('ORDENES'!$A213="","",IF('ORDENES'!$AF213="","-",'ORDENES'!$AF213))</f>
        <v/>
      </c>
      <c r="D235" s="3">
        <f>IF('ORDENES'!$A213="","",IF('ORDENES'!$X213="","-",'ORDENES'!$X213))</f>
        <v/>
      </c>
      <c r="E235" s="3">
        <f>IF('ORDENES'!$A213="","",IF('ORDENES'!$V213="","-",'ORDENES'!$V213))</f>
        <v/>
      </c>
      <c r="F235" s="3">
        <f>IF('ORDENES'!$A213="","",IF('ORDENES'!$Y213="","-",'ORDENES'!$Y213))</f>
        <v/>
      </c>
      <c r="G235" s="3">
        <f>IF('ORDENES'!$A213="","",IF('ORDENES'!$W213="","-",'ORDENES'!$W213))</f>
        <v/>
      </c>
      <c r="H235" s="3">
        <f>IF('ORDENES'!$A213="","",IF('ORDENES'!$AE213="","-",'ORDENES'!$AE213))</f>
        <v/>
      </c>
      <c r="I235" s="3">
        <f>IF('ORDENES'!$A213="","",IF('ORDENES'!$AQ213="","-",'ORDENES'!$AQ213))</f>
        <v/>
      </c>
      <c r="J235" s="3">
        <f>IF('ORDENES'!$A213="","",IF('ORDENES'!$D213="","-",'ORDENES'!$D213))</f>
        <v/>
      </c>
      <c r="K235" s="3">
        <f>IF('ORDENES'!$A213="","",IF('ORDENES'!$E213="","-",'ORDENES'!$E213))</f>
        <v/>
      </c>
      <c r="L235" s="13">
        <f>IF('ORDENES'!$A213="","",IF('ORDENES'!$M213="",0,'ORDENES'!$M213))</f>
        <v/>
      </c>
      <c r="M235" s="3">
        <f>IF('ORDENES'!$A213="","",IF('ORDENES'!$N213="","-",'ORDENES'!$N213))</f>
        <v/>
      </c>
      <c r="N235" s="3">
        <f>IF('ORDENES'!$A213="","",'ORDENES'!$AD213)</f>
        <v/>
      </c>
    </row>
    <row r="236">
      <c r="A236" s="3">
        <f>IF('ORDENES'!$A214="","",IF('ORDENES'!$O214="","-",'ORDENES'!$O214))</f>
        <v/>
      </c>
      <c r="B236" s="3">
        <f>IF('ORDENES'!$A214="","",IF('ORDENES'!$R214="","-",'ORDENES'!$R214))</f>
        <v/>
      </c>
      <c r="C236" s="3">
        <f>IF('ORDENES'!$A214="","",IF('ORDENES'!$AF214="","-",'ORDENES'!$AF214))</f>
        <v/>
      </c>
      <c r="D236" s="3">
        <f>IF('ORDENES'!$A214="","",IF('ORDENES'!$X214="","-",'ORDENES'!$X214))</f>
        <v/>
      </c>
      <c r="E236" s="3">
        <f>IF('ORDENES'!$A214="","",IF('ORDENES'!$V214="","-",'ORDENES'!$V214))</f>
        <v/>
      </c>
      <c r="F236" s="3">
        <f>IF('ORDENES'!$A214="","",IF('ORDENES'!$Y214="","-",'ORDENES'!$Y214))</f>
        <v/>
      </c>
      <c r="G236" s="3">
        <f>IF('ORDENES'!$A214="","",IF('ORDENES'!$W214="","-",'ORDENES'!$W214))</f>
        <v/>
      </c>
      <c r="H236" s="3">
        <f>IF('ORDENES'!$A214="","",IF('ORDENES'!$AE214="","-",'ORDENES'!$AE214))</f>
        <v/>
      </c>
      <c r="I236" s="3">
        <f>IF('ORDENES'!$A214="","",IF('ORDENES'!$AQ214="","-",'ORDENES'!$AQ214))</f>
        <v/>
      </c>
      <c r="J236" s="3">
        <f>IF('ORDENES'!$A214="","",IF('ORDENES'!$D214="","-",'ORDENES'!$D214))</f>
        <v/>
      </c>
      <c r="K236" s="3">
        <f>IF('ORDENES'!$A214="","",IF('ORDENES'!$E214="","-",'ORDENES'!$E214))</f>
        <v/>
      </c>
      <c r="L236" s="13">
        <f>IF('ORDENES'!$A214="","",IF('ORDENES'!$M214="",0,'ORDENES'!$M214))</f>
        <v/>
      </c>
      <c r="M236" s="3">
        <f>IF('ORDENES'!$A214="","",IF('ORDENES'!$N214="","-",'ORDENES'!$N214))</f>
        <v/>
      </c>
      <c r="N236" s="3">
        <f>IF('ORDENES'!$A214="","",'ORDENES'!$AD214)</f>
        <v/>
      </c>
    </row>
    <row r="237">
      <c r="A237" s="3">
        <f>IF('ORDENES'!$A215="","",IF('ORDENES'!$O215="","-",'ORDENES'!$O215))</f>
        <v/>
      </c>
      <c r="B237" s="3">
        <f>IF('ORDENES'!$A215="","",IF('ORDENES'!$R215="","-",'ORDENES'!$R215))</f>
        <v/>
      </c>
      <c r="C237" s="3">
        <f>IF('ORDENES'!$A215="","",IF('ORDENES'!$AF215="","-",'ORDENES'!$AF215))</f>
        <v/>
      </c>
      <c r="D237" s="3">
        <f>IF('ORDENES'!$A215="","",IF('ORDENES'!$X215="","-",'ORDENES'!$X215))</f>
        <v/>
      </c>
      <c r="E237" s="3">
        <f>IF('ORDENES'!$A215="","",IF('ORDENES'!$V215="","-",'ORDENES'!$V215))</f>
        <v/>
      </c>
      <c r="F237" s="3">
        <f>IF('ORDENES'!$A215="","",IF('ORDENES'!$Y215="","-",'ORDENES'!$Y215))</f>
        <v/>
      </c>
      <c r="G237" s="3">
        <f>IF('ORDENES'!$A215="","",IF('ORDENES'!$W215="","-",'ORDENES'!$W215))</f>
        <v/>
      </c>
      <c r="H237" s="3">
        <f>IF('ORDENES'!$A215="","",IF('ORDENES'!$AE215="","-",'ORDENES'!$AE215))</f>
        <v/>
      </c>
      <c r="I237" s="3">
        <f>IF('ORDENES'!$A215="","",IF('ORDENES'!$AQ215="","-",'ORDENES'!$AQ215))</f>
        <v/>
      </c>
      <c r="J237" s="3">
        <f>IF('ORDENES'!$A215="","",IF('ORDENES'!$D215="","-",'ORDENES'!$D215))</f>
        <v/>
      </c>
      <c r="K237" s="3">
        <f>IF('ORDENES'!$A215="","",IF('ORDENES'!$E215="","-",'ORDENES'!$E215))</f>
        <v/>
      </c>
      <c r="L237" s="13">
        <f>IF('ORDENES'!$A215="","",IF('ORDENES'!$M215="",0,'ORDENES'!$M215))</f>
        <v/>
      </c>
      <c r="M237" s="3">
        <f>IF('ORDENES'!$A215="","",IF('ORDENES'!$N215="","-",'ORDENES'!$N215))</f>
        <v/>
      </c>
      <c r="N237" s="3">
        <f>IF('ORDENES'!$A215="","",'ORDENES'!$AD215)</f>
        <v/>
      </c>
    </row>
    <row r="238">
      <c r="A238" s="3">
        <f>IF('ORDENES'!$A216="","",IF('ORDENES'!$O216="","-",'ORDENES'!$O216))</f>
        <v/>
      </c>
      <c r="B238" s="3">
        <f>IF('ORDENES'!$A216="","",IF('ORDENES'!$R216="","-",'ORDENES'!$R216))</f>
        <v/>
      </c>
      <c r="C238" s="3">
        <f>IF('ORDENES'!$A216="","",IF('ORDENES'!$AF216="","-",'ORDENES'!$AF216))</f>
        <v/>
      </c>
      <c r="D238" s="3">
        <f>IF('ORDENES'!$A216="","",IF('ORDENES'!$X216="","-",'ORDENES'!$X216))</f>
        <v/>
      </c>
      <c r="E238" s="3">
        <f>IF('ORDENES'!$A216="","",IF('ORDENES'!$V216="","-",'ORDENES'!$V216))</f>
        <v/>
      </c>
      <c r="F238" s="3">
        <f>IF('ORDENES'!$A216="","",IF('ORDENES'!$Y216="","-",'ORDENES'!$Y216))</f>
        <v/>
      </c>
      <c r="G238" s="3">
        <f>IF('ORDENES'!$A216="","",IF('ORDENES'!$W216="","-",'ORDENES'!$W216))</f>
        <v/>
      </c>
      <c r="H238" s="3">
        <f>IF('ORDENES'!$A216="","",IF('ORDENES'!$AE216="","-",'ORDENES'!$AE216))</f>
        <v/>
      </c>
      <c r="I238" s="3">
        <f>IF('ORDENES'!$A216="","",IF('ORDENES'!$AQ216="","-",'ORDENES'!$AQ216))</f>
        <v/>
      </c>
      <c r="J238" s="3">
        <f>IF('ORDENES'!$A216="","",IF('ORDENES'!$D216="","-",'ORDENES'!$D216))</f>
        <v/>
      </c>
      <c r="K238" s="3">
        <f>IF('ORDENES'!$A216="","",IF('ORDENES'!$E216="","-",'ORDENES'!$E216))</f>
        <v/>
      </c>
      <c r="L238" s="13">
        <f>IF('ORDENES'!$A216="","",IF('ORDENES'!$M216="",0,'ORDENES'!$M216))</f>
        <v/>
      </c>
      <c r="M238" s="3">
        <f>IF('ORDENES'!$A216="","",IF('ORDENES'!$N216="","-",'ORDENES'!$N216))</f>
        <v/>
      </c>
      <c r="N238" s="3">
        <f>IF('ORDENES'!$A216="","",'ORDENES'!$AD216)</f>
        <v/>
      </c>
    </row>
    <row r="239">
      <c r="A239" s="3">
        <f>IF('ORDENES'!$A217="","",IF('ORDENES'!$O217="","-",'ORDENES'!$O217))</f>
        <v/>
      </c>
      <c r="B239" s="3">
        <f>IF('ORDENES'!$A217="","",IF('ORDENES'!$R217="","-",'ORDENES'!$R217))</f>
        <v/>
      </c>
      <c r="C239" s="3">
        <f>IF('ORDENES'!$A217="","",IF('ORDENES'!$AF217="","-",'ORDENES'!$AF217))</f>
        <v/>
      </c>
      <c r="D239" s="3">
        <f>IF('ORDENES'!$A217="","",IF('ORDENES'!$X217="","-",'ORDENES'!$X217))</f>
        <v/>
      </c>
      <c r="E239" s="3">
        <f>IF('ORDENES'!$A217="","",IF('ORDENES'!$V217="","-",'ORDENES'!$V217))</f>
        <v/>
      </c>
      <c r="F239" s="3">
        <f>IF('ORDENES'!$A217="","",IF('ORDENES'!$Y217="","-",'ORDENES'!$Y217))</f>
        <v/>
      </c>
      <c r="G239" s="3">
        <f>IF('ORDENES'!$A217="","",IF('ORDENES'!$W217="","-",'ORDENES'!$W217))</f>
        <v/>
      </c>
      <c r="H239" s="3">
        <f>IF('ORDENES'!$A217="","",IF('ORDENES'!$AE217="","-",'ORDENES'!$AE217))</f>
        <v/>
      </c>
      <c r="I239" s="3">
        <f>IF('ORDENES'!$A217="","",IF('ORDENES'!$AQ217="","-",'ORDENES'!$AQ217))</f>
        <v/>
      </c>
      <c r="J239" s="3">
        <f>IF('ORDENES'!$A217="","",IF('ORDENES'!$D217="","-",'ORDENES'!$D217))</f>
        <v/>
      </c>
      <c r="K239" s="3">
        <f>IF('ORDENES'!$A217="","",IF('ORDENES'!$E217="","-",'ORDENES'!$E217))</f>
        <v/>
      </c>
      <c r="L239" s="13">
        <f>IF('ORDENES'!$A217="","",IF('ORDENES'!$M217="",0,'ORDENES'!$M217))</f>
        <v/>
      </c>
      <c r="M239" s="3">
        <f>IF('ORDENES'!$A217="","",IF('ORDENES'!$N217="","-",'ORDENES'!$N217))</f>
        <v/>
      </c>
      <c r="N239" s="3">
        <f>IF('ORDENES'!$A217="","",'ORDENES'!$AD217)</f>
        <v/>
      </c>
    </row>
    <row r="240">
      <c r="A240" s="3">
        <f>IF('ORDENES'!$A218="","",IF('ORDENES'!$O218="","-",'ORDENES'!$O218))</f>
        <v/>
      </c>
      <c r="B240" s="3">
        <f>IF('ORDENES'!$A218="","",IF('ORDENES'!$R218="","-",'ORDENES'!$R218))</f>
        <v/>
      </c>
      <c r="C240" s="3">
        <f>IF('ORDENES'!$A218="","",IF('ORDENES'!$AF218="","-",'ORDENES'!$AF218))</f>
        <v/>
      </c>
      <c r="D240" s="3">
        <f>IF('ORDENES'!$A218="","",IF('ORDENES'!$X218="","-",'ORDENES'!$X218))</f>
        <v/>
      </c>
      <c r="E240" s="3">
        <f>IF('ORDENES'!$A218="","",IF('ORDENES'!$V218="","-",'ORDENES'!$V218))</f>
        <v/>
      </c>
      <c r="F240" s="3">
        <f>IF('ORDENES'!$A218="","",IF('ORDENES'!$Y218="","-",'ORDENES'!$Y218))</f>
        <v/>
      </c>
      <c r="G240" s="3">
        <f>IF('ORDENES'!$A218="","",IF('ORDENES'!$W218="","-",'ORDENES'!$W218))</f>
        <v/>
      </c>
      <c r="H240" s="3">
        <f>IF('ORDENES'!$A218="","",IF('ORDENES'!$AE218="","-",'ORDENES'!$AE218))</f>
        <v/>
      </c>
      <c r="I240" s="3">
        <f>IF('ORDENES'!$A218="","",IF('ORDENES'!$AQ218="","-",'ORDENES'!$AQ218))</f>
        <v/>
      </c>
      <c r="J240" s="3">
        <f>IF('ORDENES'!$A218="","",IF('ORDENES'!$D218="","-",'ORDENES'!$D218))</f>
        <v/>
      </c>
      <c r="K240" s="3">
        <f>IF('ORDENES'!$A218="","",IF('ORDENES'!$E218="","-",'ORDENES'!$E218))</f>
        <v/>
      </c>
      <c r="L240" s="13">
        <f>IF('ORDENES'!$A218="","",IF('ORDENES'!$M218="",0,'ORDENES'!$M218))</f>
        <v/>
      </c>
      <c r="M240" s="3">
        <f>IF('ORDENES'!$A218="","",IF('ORDENES'!$N218="","-",'ORDENES'!$N218))</f>
        <v/>
      </c>
      <c r="N240" s="3">
        <f>IF('ORDENES'!$A218="","",'ORDENES'!$AD218)</f>
        <v/>
      </c>
    </row>
    <row r="241">
      <c r="A241" s="3">
        <f>IF('ORDENES'!$A219="","",IF('ORDENES'!$O219="","-",'ORDENES'!$O219))</f>
        <v/>
      </c>
      <c r="B241" s="3">
        <f>IF('ORDENES'!$A219="","",IF('ORDENES'!$R219="","-",'ORDENES'!$R219))</f>
        <v/>
      </c>
      <c r="C241" s="3">
        <f>IF('ORDENES'!$A219="","",IF('ORDENES'!$AF219="","-",'ORDENES'!$AF219))</f>
        <v/>
      </c>
      <c r="D241" s="3">
        <f>IF('ORDENES'!$A219="","",IF('ORDENES'!$X219="","-",'ORDENES'!$X219))</f>
        <v/>
      </c>
      <c r="E241" s="3">
        <f>IF('ORDENES'!$A219="","",IF('ORDENES'!$V219="","-",'ORDENES'!$V219))</f>
        <v/>
      </c>
      <c r="F241" s="3">
        <f>IF('ORDENES'!$A219="","",IF('ORDENES'!$Y219="","-",'ORDENES'!$Y219))</f>
        <v/>
      </c>
      <c r="G241" s="3">
        <f>IF('ORDENES'!$A219="","",IF('ORDENES'!$W219="","-",'ORDENES'!$W219))</f>
        <v/>
      </c>
      <c r="H241" s="3">
        <f>IF('ORDENES'!$A219="","",IF('ORDENES'!$AE219="","-",'ORDENES'!$AE219))</f>
        <v/>
      </c>
      <c r="I241" s="3">
        <f>IF('ORDENES'!$A219="","",IF('ORDENES'!$AQ219="","-",'ORDENES'!$AQ219))</f>
        <v/>
      </c>
      <c r="J241" s="3">
        <f>IF('ORDENES'!$A219="","",IF('ORDENES'!$D219="","-",'ORDENES'!$D219))</f>
        <v/>
      </c>
      <c r="K241" s="3">
        <f>IF('ORDENES'!$A219="","",IF('ORDENES'!$E219="","-",'ORDENES'!$E219))</f>
        <v/>
      </c>
      <c r="L241" s="13">
        <f>IF('ORDENES'!$A219="","",IF('ORDENES'!$M219="",0,'ORDENES'!$M219))</f>
        <v/>
      </c>
      <c r="M241" s="3">
        <f>IF('ORDENES'!$A219="","",IF('ORDENES'!$N219="","-",'ORDENES'!$N219))</f>
        <v/>
      </c>
      <c r="N241" s="3">
        <f>IF('ORDENES'!$A219="","",'ORDENES'!$AD219)</f>
        <v/>
      </c>
    </row>
    <row r="242">
      <c r="A242" s="3">
        <f>IF('ORDENES'!$A220="","",IF('ORDENES'!$O220="","-",'ORDENES'!$O220))</f>
        <v/>
      </c>
      <c r="B242" s="3">
        <f>IF('ORDENES'!$A220="","",IF('ORDENES'!$R220="","-",'ORDENES'!$R220))</f>
        <v/>
      </c>
      <c r="C242" s="3">
        <f>IF('ORDENES'!$A220="","",IF('ORDENES'!$AF220="","-",'ORDENES'!$AF220))</f>
        <v/>
      </c>
      <c r="D242" s="3">
        <f>IF('ORDENES'!$A220="","",IF('ORDENES'!$X220="","-",'ORDENES'!$X220))</f>
        <v/>
      </c>
      <c r="E242" s="3">
        <f>IF('ORDENES'!$A220="","",IF('ORDENES'!$V220="","-",'ORDENES'!$V220))</f>
        <v/>
      </c>
      <c r="F242" s="3">
        <f>IF('ORDENES'!$A220="","",IF('ORDENES'!$Y220="","-",'ORDENES'!$Y220))</f>
        <v/>
      </c>
      <c r="G242" s="3">
        <f>IF('ORDENES'!$A220="","",IF('ORDENES'!$W220="","-",'ORDENES'!$W220))</f>
        <v/>
      </c>
      <c r="H242" s="3">
        <f>IF('ORDENES'!$A220="","",IF('ORDENES'!$AE220="","-",'ORDENES'!$AE220))</f>
        <v/>
      </c>
      <c r="I242" s="3">
        <f>IF('ORDENES'!$A220="","",IF('ORDENES'!$AQ220="","-",'ORDENES'!$AQ220))</f>
        <v/>
      </c>
      <c r="J242" s="3">
        <f>IF('ORDENES'!$A220="","",IF('ORDENES'!$D220="","-",'ORDENES'!$D220))</f>
        <v/>
      </c>
      <c r="K242" s="3">
        <f>IF('ORDENES'!$A220="","",IF('ORDENES'!$E220="","-",'ORDENES'!$E220))</f>
        <v/>
      </c>
      <c r="L242" s="13">
        <f>IF('ORDENES'!$A220="","",IF('ORDENES'!$M220="",0,'ORDENES'!$M220))</f>
        <v/>
      </c>
      <c r="M242" s="3">
        <f>IF('ORDENES'!$A220="","",IF('ORDENES'!$N220="","-",'ORDENES'!$N220))</f>
        <v/>
      </c>
      <c r="N242" s="3">
        <f>IF('ORDENES'!$A220="","",'ORDENES'!$AD220)</f>
        <v/>
      </c>
    </row>
    <row r="243">
      <c r="A243" s="3">
        <f>IF('ORDENES'!$A221="","",IF('ORDENES'!$O221="","-",'ORDENES'!$O221))</f>
        <v/>
      </c>
      <c r="B243" s="3">
        <f>IF('ORDENES'!$A221="","",IF('ORDENES'!$R221="","-",'ORDENES'!$R221))</f>
        <v/>
      </c>
      <c r="C243" s="3">
        <f>IF('ORDENES'!$A221="","",IF('ORDENES'!$AF221="","-",'ORDENES'!$AF221))</f>
        <v/>
      </c>
      <c r="D243" s="3">
        <f>IF('ORDENES'!$A221="","",IF('ORDENES'!$X221="","-",'ORDENES'!$X221))</f>
        <v/>
      </c>
      <c r="E243" s="3">
        <f>IF('ORDENES'!$A221="","",IF('ORDENES'!$V221="","-",'ORDENES'!$V221))</f>
        <v/>
      </c>
      <c r="F243" s="3">
        <f>IF('ORDENES'!$A221="","",IF('ORDENES'!$Y221="","-",'ORDENES'!$Y221))</f>
        <v/>
      </c>
      <c r="G243" s="3">
        <f>IF('ORDENES'!$A221="","",IF('ORDENES'!$W221="","-",'ORDENES'!$W221))</f>
        <v/>
      </c>
      <c r="H243" s="3">
        <f>IF('ORDENES'!$A221="","",IF('ORDENES'!$AE221="","-",'ORDENES'!$AE221))</f>
        <v/>
      </c>
      <c r="I243" s="3">
        <f>IF('ORDENES'!$A221="","",IF('ORDENES'!$AQ221="","-",'ORDENES'!$AQ221))</f>
        <v/>
      </c>
      <c r="J243" s="3">
        <f>IF('ORDENES'!$A221="","",IF('ORDENES'!$D221="","-",'ORDENES'!$D221))</f>
        <v/>
      </c>
      <c r="K243" s="3">
        <f>IF('ORDENES'!$A221="","",IF('ORDENES'!$E221="","-",'ORDENES'!$E221))</f>
        <v/>
      </c>
      <c r="L243" s="13">
        <f>IF('ORDENES'!$A221="","",IF('ORDENES'!$M221="",0,'ORDENES'!$M221))</f>
        <v/>
      </c>
      <c r="M243" s="3">
        <f>IF('ORDENES'!$A221="","",IF('ORDENES'!$N221="","-",'ORDENES'!$N221))</f>
        <v/>
      </c>
      <c r="N243" s="3">
        <f>IF('ORDENES'!$A221="","",'ORDENES'!$AD221)</f>
        <v/>
      </c>
    </row>
    <row r="244">
      <c r="A244" s="3">
        <f>IF('ORDENES'!$A222="","",IF('ORDENES'!$O222="","-",'ORDENES'!$O222))</f>
        <v/>
      </c>
      <c r="B244" s="3">
        <f>IF('ORDENES'!$A222="","",IF('ORDENES'!$R222="","-",'ORDENES'!$R222))</f>
        <v/>
      </c>
      <c r="C244" s="3">
        <f>IF('ORDENES'!$A222="","",IF('ORDENES'!$AF222="","-",'ORDENES'!$AF222))</f>
        <v/>
      </c>
      <c r="D244" s="3">
        <f>IF('ORDENES'!$A222="","",IF('ORDENES'!$X222="","-",'ORDENES'!$X222))</f>
        <v/>
      </c>
      <c r="E244" s="3">
        <f>IF('ORDENES'!$A222="","",IF('ORDENES'!$V222="","-",'ORDENES'!$V222))</f>
        <v/>
      </c>
      <c r="F244" s="3">
        <f>IF('ORDENES'!$A222="","",IF('ORDENES'!$Y222="","-",'ORDENES'!$Y222))</f>
        <v/>
      </c>
      <c r="G244" s="3">
        <f>IF('ORDENES'!$A222="","",IF('ORDENES'!$W222="","-",'ORDENES'!$W222))</f>
        <v/>
      </c>
      <c r="H244" s="3">
        <f>IF('ORDENES'!$A222="","",IF('ORDENES'!$AE222="","-",'ORDENES'!$AE222))</f>
        <v/>
      </c>
      <c r="I244" s="3">
        <f>IF('ORDENES'!$A222="","",IF('ORDENES'!$AQ222="","-",'ORDENES'!$AQ222))</f>
        <v/>
      </c>
      <c r="J244" s="3">
        <f>IF('ORDENES'!$A222="","",IF('ORDENES'!$D222="","-",'ORDENES'!$D222))</f>
        <v/>
      </c>
      <c r="K244" s="3">
        <f>IF('ORDENES'!$A222="","",IF('ORDENES'!$E222="","-",'ORDENES'!$E222))</f>
        <v/>
      </c>
      <c r="L244" s="13">
        <f>IF('ORDENES'!$A222="","",IF('ORDENES'!$M222="",0,'ORDENES'!$M222))</f>
        <v/>
      </c>
      <c r="M244" s="3">
        <f>IF('ORDENES'!$A222="","",IF('ORDENES'!$N222="","-",'ORDENES'!$N222))</f>
        <v/>
      </c>
      <c r="N244" s="3">
        <f>IF('ORDENES'!$A222="","",'ORDENES'!$AD222)</f>
        <v/>
      </c>
    </row>
    <row r="245">
      <c r="A245" s="3">
        <f>IF('ORDENES'!$A223="","",IF('ORDENES'!$O223="","-",'ORDENES'!$O223))</f>
        <v/>
      </c>
      <c r="B245" s="3">
        <f>IF('ORDENES'!$A223="","",IF('ORDENES'!$R223="","-",'ORDENES'!$R223))</f>
        <v/>
      </c>
      <c r="C245" s="3">
        <f>IF('ORDENES'!$A223="","",IF('ORDENES'!$AF223="","-",'ORDENES'!$AF223))</f>
        <v/>
      </c>
      <c r="D245" s="3">
        <f>IF('ORDENES'!$A223="","",IF('ORDENES'!$X223="","-",'ORDENES'!$X223))</f>
        <v/>
      </c>
      <c r="E245" s="3">
        <f>IF('ORDENES'!$A223="","",IF('ORDENES'!$V223="","-",'ORDENES'!$V223))</f>
        <v/>
      </c>
      <c r="F245" s="3">
        <f>IF('ORDENES'!$A223="","",IF('ORDENES'!$Y223="","-",'ORDENES'!$Y223))</f>
        <v/>
      </c>
      <c r="G245" s="3">
        <f>IF('ORDENES'!$A223="","",IF('ORDENES'!$W223="","-",'ORDENES'!$W223))</f>
        <v/>
      </c>
      <c r="H245" s="3">
        <f>IF('ORDENES'!$A223="","",IF('ORDENES'!$AE223="","-",'ORDENES'!$AE223))</f>
        <v/>
      </c>
      <c r="I245" s="3">
        <f>IF('ORDENES'!$A223="","",IF('ORDENES'!$AQ223="","-",'ORDENES'!$AQ223))</f>
        <v/>
      </c>
      <c r="J245" s="3">
        <f>IF('ORDENES'!$A223="","",IF('ORDENES'!$D223="","-",'ORDENES'!$D223))</f>
        <v/>
      </c>
      <c r="K245" s="3">
        <f>IF('ORDENES'!$A223="","",IF('ORDENES'!$E223="","-",'ORDENES'!$E223))</f>
        <v/>
      </c>
      <c r="L245" s="13">
        <f>IF('ORDENES'!$A223="","",IF('ORDENES'!$M223="",0,'ORDENES'!$M223))</f>
        <v/>
      </c>
      <c r="M245" s="3">
        <f>IF('ORDENES'!$A223="","",IF('ORDENES'!$N223="","-",'ORDENES'!$N223))</f>
        <v/>
      </c>
      <c r="N245" s="3">
        <f>IF('ORDENES'!$A223="","",'ORDENES'!$AD223)</f>
        <v/>
      </c>
    </row>
    <row r="246">
      <c r="A246" s="3">
        <f>IF('ORDENES'!$A224="","",IF('ORDENES'!$O224="","-",'ORDENES'!$O224))</f>
        <v/>
      </c>
      <c r="B246" s="3">
        <f>IF('ORDENES'!$A224="","",IF('ORDENES'!$R224="","-",'ORDENES'!$R224))</f>
        <v/>
      </c>
      <c r="C246" s="3">
        <f>IF('ORDENES'!$A224="","",IF('ORDENES'!$AF224="","-",'ORDENES'!$AF224))</f>
        <v/>
      </c>
      <c r="D246" s="3">
        <f>IF('ORDENES'!$A224="","",IF('ORDENES'!$X224="","-",'ORDENES'!$X224))</f>
        <v/>
      </c>
      <c r="E246" s="3">
        <f>IF('ORDENES'!$A224="","",IF('ORDENES'!$V224="","-",'ORDENES'!$V224))</f>
        <v/>
      </c>
      <c r="F246" s="3">
        <f>IF('ORDENES'!$A224="","",IF('ORDENES'!$Y224="","-",'ORDENES'!$Y224))</f>
        <v/>
      </c>
      <c r="G246" s="3">
        <f>IF('ORDENES'!$A224="","",IF('ORDENES'!$W224="","-",'ORDENES'!$W224))</f>
        <v/>
      </c>
      <c r="H246" s="3">
        <f>IF('ORDENES'!$A224="","",IF('ORDENES'!$AE224="","-",'ORDENES'!$AE224))</f>
        <v/>
      </c>
      <c r="I246" s="3">
        <f>IF('ORDENES'!$A224="","",IF('ORDENES'!$AQ224="","-",'ORDENES'!$AQ224))</f>
        <v/>
      </c>
      <c r="J246" s="3">
        <f>IF('ORDENES'!$A224="","",IF('ORDENES'!$D224="","-",'ORDENES'!$D224))</f>
        <v/>
      </c>
      <c r="K246" s="3">
        <f>IF('ORDENES'!$A224="","",IF('ORDENES'!$E224="","-",'ORDENES'!$E224))</f>
        <v/>
      </c>
      <c r="L246" s="13">
        <f>IF('ORDENES'!$A224="","",IF('ORDENES'!$M224="",0,'ORDENES'!$M224))</f>
        <v/>
      </c>
      <c r="M246" s="3">
        <f>IF('ORDENES'!$A224="","",IF('ORDENES'!$N224="","-",'ORDENES'!$N224))</f>
        <v/>
      </c>
      <c r="N246" s="3">
        <f>IF('ORDENES'!$A224="","",'ORDENES'!$AD224)</f>
        <v/>
      </c>
    </row>
    <row r="247">
      <c r="A247" s="3">
        <f>IF('ORDENES'!$A225="","",IF('ORDENES'!$O225="","-",'ORDENES'!$O225))</f>
        <v/>
      </c>
      <c r="B247" s="3">
        <f>IF('ORDENES'!$A225="","",IF('ORDENES'!$R225="","-",'ORDENES'!$R225))</f>
        <v/>
      </c>
      <c r="C247" s="3">
        <f>IF('ORDENES'!$A225="","",IF('ORDENES'!$AF225="","-",'ORDENES'!$AF225))</f>
        <v/>
      </c>
      <c r="D247" s="3">
        <f>IF('ORDENES'!$A225="","",IF('ORDENES'!$X225="","-",'ORDENES'!$X225))</f>
        <v/>
      </c>
      <c r="E247" s="3">
        <f>IF('ORDENES'!$A225="","",IF('ORDENES'!$V225="","-",'ORDENES'!$V225))</f>
        <v/>
      </c>
      <c r="F247" s="3">
        <f>IF('ORDENES'!$A225="","",IF('ORDENES'!$Y225="","-",'ORDENES'!$Y225))</f>
        <v/>
      </c>
      <c r="G247" s="3">
        <f>IF('ORDENES'!$A225="","",IF('ORDENES'!$W225="","-",'ORDENES'!$W225))</f>
        <v/>
      </c>
      <c r="H247" s="3">
        <f>IF('ORDENES'!$A225="","",IF('ORDENES'!$AE225="","-",'ORDENES'!$AE225))</f>
        <v/>
      </c>
      <c r="I247" s="3">
        <f>IF('ORDENES'!$A225="","",IF('ORDENES'!$AQ225="","-",'ORDENES'!$AQ225))</f>
        <v/>
      </c>
      <c r="J247" s="3">
        <f>IF('ORDENES'!$A225="","",IF('ORDENES'!$D225="","-",'ORDENES'!$D225))</f>
        <v/>
      </c>
      <c r="K247" s="3">
        <f>IF('ORDENES'!$A225="","",IF('ORDENES'!$E225="","-",'ORDENES'!$E225))</f>
        <v/>
      </c>
      <c r="L247" s="13">
        <f>IF('ORDENES'!$A225="","",IF('ORDENES'!$M225="",0,'ORDENES'!$M225))</f>
        <v/>
      </c>
      <c r="M247" s="3">
        <f>IF('ORDENES'!$A225="","",IF('ORDENES'!$N225="","-",'ORDENES'!$N225))</f>
        <v/>
      </c>
      <c r="N247" s="3">
        <f>IF('ORDENES'!$A225="","",'ORDENES'!$AD225)</f>
        <v/>
      </c>
    </row>
    <row r="248">
      <c r="A248" s="3">
        <f>IF('ORDENES'!$A226="","",IF('ORDENES'!$O226="","-",'ORDENES'!$O226))</f>
        <v/>
      </c>
      <c r="B248" s="3">
        <f>IF('ORDENES'!$A226="","",IF('ORDENES'!$R226="","-",'ORDENES'!$R226))</f>
        <v/>
      </c>
      <c r="C248" s="3">
        <f>IF('ORDENES'!$A226="","",IF('ORDENES'!$AF226="","-",'ORDENES'!$AF226))</f>
        <v/>
      </c>
      <c r="D248" s="3">
        <f>IF('ORDENES'!$A226="","",IF('ORDENES'!$X226="","-",'ORDENES'!$X226))</f>
        <v/>
      </c>
      <c r="E248" s="3">
        <f>IF('ORDENES'!$A226="","",IF('ORDENES'!$V226="","-",'ORDENES'!$V226))</f>
        <v/>
      </c>
      <c r="F248" s="3">
        <f>IF('ORDENES'!$A226="","",IF('ORDENES'!$Y226="","-",'ORDENES'!$Y226))</f>
        <v/>
      </c>
      <c r="G248" s="3">
        <f>IF('ORDENES'!$A226="","",IF('ORDENES'!$W226="","-",'ORDENES'!$W226))</f>
        <v/>
      </c>
      <c r="H248" s="3">
        <f>IF('ORDENES'!$A226="","",IF('ORDENES'!$AE226="","-",'ORDENES'!$AE226))</f>
        <v/>
      </c>
      <c r="I248" s="3">
        <f>IF('ORDENES'!$A226="","",IF('ORDENES'!$AQ226="","-",'ORDENES'!$AQ226))</f>
        <v/>
      </c>
      <c r="J248" s="3">
        <f>IF('ORDENES'!$A226="","",IF('ORDENES'!$D226="","-",'ORDENES'!$D226))</f>
        <v/>
      </c>
      <c r="K248" s="3">
        <f>IF('ORDENES'!$A226="","",IF('ORDENES'!$E226="","-",'ORDENES'!$E226))</f>
        <v/>
      </c>
      <c r="L248" s="13">
        <f>IF('ORDENES'!$A226="","",IF('ORDENES'!$M226="",0,'ORDENES'!$M226))</f>
        <v/>
      </c>
      <c r="M248" s="3">
        <f>IF('ORDENES'!$A226="","",IF('ORDENES'!$N226="","-",'ORDENES'!$N226))</f>
        <v/>
      </c>
      <c r="N248" s="3">
        <f>IF('ORDENES'!$A226="","",'ORDENES'!$AD226)</f>
        <v/>
      </c>
    </row>
    <row r="249">
      <c r="A249" s="3">
        <f>IF('ORDENES'!$A227="","",IF('ORDENES'!$O227="","-",'ORDENES'!$O227))</f>
        <v/>
      </c>
      <c r="B249" s="3">
        <f>IF('ORDENES'!$A227="","",IF('ORDENES'!$R227="","-",'ORDENES'!$R227))</f>
        <v/>
      </c>
      <c r="C249" s="3">
        <f>IF('ORDENES'!$A227="","",IF('ORDENES'!$AF227="","-",'ORDENES'!$AF227))</f>
        <v/>
      </c>
      <c r="D249" s="3">
        <f>IF('ORDENES'!$A227="","",IF('ORDENES'!$X227="","-",'ORDENES'!$X227))</f>
        <v/>
      </c>
      <c r="E249" s="3">
        <f>IF('ORDENES'!$A227="","",IF('ORDENES'!$V227="","-",'ORDENES'!$V227))</f>
        <v/>
      </c>
      <c r="F249" s="3">
        <f>IF('ORDENES'!$A227="","",IF('ORDENES'!$Y227="","-",'ORDENES'!$Y227))</f>
        <v/>
      </c>
      <c r="G249" s="3">
        <f>IF('ORDENES'!$A227="","",IF('ORDENES'!$W227="","-",'ORDENES'!$W227))</f>
        <v/>
      </c>
      <c r="H249" s="3">
        <f>IF('ORDENES'!$A227="","",IF('ORDENES'!$AE227="","-",'ORDENES'!$AE227))</f>
        <v/>
      </c>
      <c r="I249" s="3">
        <f>IF('ORDENES'!$A227="","",IF('ORDENES'!$AQ227="","-",'ORDENES'!$AQ227))</f>
        <v/>
      </c>
      <c r="J249" s="3">
        <f>IF('ORDENES'!$A227="","",IF('ORDENES'!$D227="","-",'ORDENES'!$D227))</f>
        <v/>
      </c>
      <c r="K249" s="3">
        <f>IF('ORDENES'!$A227="","",IF('ORDENES'!$E227="","-",'ORDENES'!$E227))</f>
        <v/>
      </c>
      <c r="L249" s="13">
        <f>IF('ORDENES'!$A227="","",IF('ORDENES'!$M227="",0,'ORDENES'!$M227))</f>
        <v/>
      </c>
      <c r="M249" s="3">
        <f>IF('ORDENES'!$A227="","",IF('ORDENES'!$N227="","-",'ORDENES'!$N227))</f>
        <v/>
      </c>
      <c r="N249" s="3">
        <f>IF('ORDENES'!$A227="","",'ORDENES'!$AD227)</f>
        <v/>
      </c>
    </row>
    <row r="250">
      <c r="A250" s="3">
        <f>IF('ORDENES'!$A228="","",IF('ORDENES'!$O228="","-",'ORDENES'!$O228))</f>
        <v/>
      </c>
      <c r="B250" s="3">
        <f>IF('ORDENES'!$A228="","",IF('ORDENES'!$R228="","-",'ORDENES'!$R228))</f>
        <v/>
      </c>
      <c r="C250" s="3">
        <f>IF('ORDENES'!$A228="","",IF('ORDENES'!$AF228="","-",'ORDENES'!$AF228))</f>
        <v/>
      </c>
      <c r="D250" s="3">
        <f>IF('ORDENES'!$A228="","",IF('ORDENES'!$X228="","-",'ORDENES'!$X228))</f>
        <v/>
      </c>
      <c r="E250" s="3">
        <f>IF('ORDENES'!$A228="","",IF('ORDENES'!$V228="","-",'ORDENES'!$V228))</f>
        <v/>
      </c>
      <c r="F250" s="3">
        <f>IF('ORDENES'!$A228="","",IF('ORDENES'!$Y228="","-",'ORDENES'!$Y228))</f>
        <v/>
      </c>
      <c r="G250" s="3">
        <f>IF('ORDENES'!$A228="","",IF('ORDENES'!$W228="","-",'ORDENES'!$W228))</f>
        <v/>
      </c>
      <c r="H250" s="3">
        <f>IF('ORDENES'!$A228="","",IF('ORDENES'!$AE228="","-",'ORDENES'!$AE228))</f>
        <v/>
      </c>
      <c r="I250" s="3">
        <f>IF('ORDENES'!$A228="","",IF('ORDENES'!$AQ228="","-",'ORDENES'!$AQ228))</f>
        <v/>
      </c>
      <c r="J250" s="3">
        <f>IF('ORDENES'!$A228="","",IF('ORDENES'!$D228="","-",'ORDENES'!$D228))</f>
        <v/>
      </c>
      <c r="K250" s="3">
        <f>IF('ORDENES'!$A228="","",IF('ORDENES'!$E228="","-",'ORDENES'!$E228))</f>
        <v/>
      </c>
      <c r="L250" s="13">
        <f>IF('ORDENES'!$A228="","",IF('ORDENES'!$M228="",0,'ORDENES'!$M228))</f>
        <v/>
      </c>
      <c r="M250" s="3">
        <f>IF('ORDENES'!$A228="","",IF('ORDENES'!$N228="","-",'ORDENES'!$N228))</f>
        <v/>
      </c>
      <c r="N250" s="3">
        <f>IF('ORDENES'!$A228="","",'ORDENES'!$AD228)</f>
        <v/>
      </c>
    </row>
    <row r="251">
      <c r="A251" s="3">
        <f>IF('ORDENES'!$A229="","",IF('ORDENES'!$O229="","-",'ORDENES'!$O229))</f>
        <v/>
      </c>
      <c r="B251" s="3">
        <f>IF('ORDENES'!$A229="","",IF('ORDENES'!$R229="","-",'ORDENES'!$R229))</f>
        <v/>
      </c>
      <c r="C251" s="3">
        <f>IF('ORDENES'!$A229="","",IF('ORDENES'!$AF229="","-",'ORDENES'!$AF229))</f>
        <v/>
      </c>
      <c r="D251" s="3">
        <f>IF('ORDENES'!$A229="","",IF('ORDENES'!$X229="","-",'ORDENES'!$X229))</f>
        <v/>
      </c>
      <c r="E251" s="3">
        <f>IF('ORDENES'!$A229="","",IF('ORDENES'!$V229="","-",'ORDENES'!$V229))</f>
        <v/>
      </c>
      <c r="F251" s="3">
        <f>IF('ORDENES'!$A229="","",IF('ORDENES'!$Y229="","-",'ORDENES'!$Y229))</f>
        <v/>
      </c>
      <c r="G251" s="3">
        <f>IF('ORDENES'!$A229="","",IF('ORDENES'!$W229="","-",'ORDENES'!$W229))</f>
        <v/>
      </c>
      <c r="H251" s="3">
        <f>IF('ORDENES'!$A229="","",IF('ORDENES'!$AE229="","-",'ORDENES'!$AE229))</f>
        <v/>
      </c>
      <c r="I251" s="3">
        <f>IF('ORDENES'!$A229="","",IF('ORDENES'!$AQ229="","-",'ORDENES'!$AQ229))</f>
        <v/>
      </c>
      <c r="J251" s="3">
        <f>IF('ORDENES'!$A229="","",IF('ORDENES'!$D229="","-",'ORDENES'!$D229))</f>
        <v/>
      </c>
      <c r="K251" s="3">
        <f>IF('ORDENES'!$A229="","",IF('ORDENES'!$E229="","-",'ORDENES'!$E229))</f>
        <v/>
      </c>
      <c r="L251" s="13">
        <f>IF('ORDENES'!$A229="","",IF('ORDENES'!$M229="",0,'ORDENES'!$M229))</f>
        <v/>
      </c>
      <c r="M251" s="3">
        <f>IF('ORDENES'!$A229="","",IF('ORDENES'!$N229="","-",'ORDENES'!$N229))</f>
        <v/>
      </c>
      <c r="N251" s="3">
        <f>IF('ORDENES'!$A229="","",'ORDENES'!$AD229)</f>
        <v/>
      </c>
    </row>
    <row r="252">
      <c r="A252" s="3">
        <f>IF('ORDENES'!$A230="","",IF('ORDENES'!$O230="","-",'ORDENES'!$O230))</f>
        <v/>
      </c>
      <c r="B252" s="3">
        <f>IF('ORDENES'!$A230="","",IF('ORDENES'!$R230="","-",'ORDENES'!$R230))</f>
        <v/>
      </c>
      <c r="C252" s="3">
        <f>IF('ORDENES'!$A230="","",IF('ORDENES'!$AF230="","-",'ORDENES'!$AF230))</f>
        <v/>
      </c>
      <c r="D252" s="3">
        <f>IF('ORDENES'!$A230="","",IF('ORDENES'!$X230="","-",'ORDENES'!$X230))</f>
        <v/>
      </c>
      <c r="E252" s="3">
        <f>IF('ORDENES'!$A230="","",IF('ORDENES'!$V230="","-",'ORDENES'!$V230))</f>
        <v/>
      </c>
      <c r="F252" s="3">
        <f>IF('ORDENES'!$A230="","",IF('ORDENES'!$Y230="","-",'ORDENES'!$Y230))</f>
        <v/>
      </c>
      <c r="G252" s="3">
        <f>IF('ORDENES'!$A230="","",IF('ORDENES'!$W230="","-",'ORDENES'!$W230))</f>
        <v/>
      </c>
      <c r="H252" s="3">
        <f>IF('ORDENES'!$A230="","",IF('ORDENES'!$AE230="","-",'ORDENES'!$AE230))</f>
        <v/>
      </c>
      <c r="I252" s="3">
        <f>IF('ORDENES'!$A230="","",IF('ORDENES'!$AQ230="","-",'ORDENES'!$AQ230))</f>
        <v/>
      </c>
      <c r="J252" s="3">
        <f>IF('ORDENES'!$A230="","",IF('ORDENES'!$D230="","-",'ORDENES'!$D230))</f>
        <v/>
      </c>
      <c r="K252" s="3">
        <f>IF('ORDENES'!$A230="","",IF('ORDENES'!$E230="","-",'ORDENES'!$E230))</f>
        <v/>
      </c>
      <c r="L252" s="13">
        <f>IF('ORDENES'!$A230="","",IF('ORDENES'!$M230="",0,'ORDENES'!$M230))</f>
        <v/>
      </c>
      <c r="M252" s="3">
        <f>IF('ORDENES'!$A230="","",IF('ORDENES'!$N230="","-",'ORDENES'!$N230))</f>
        <v/>
      </c>
      <c r="N252" s="3">
        <f>IF('ORDENES'!$A230="","",'ORDENES'!$AD230)</f>
        <v/>
      </c>
    </row>
    <row r="253">
      <c r="A253" s="3">
        <f>IF('ORDENES'!$A231="","",IF('ORDENES'!$O231="","-",'ORDENES'!$O231))</f>
        <v/>
      </c>
      <c r="B253" s="3">
        <f>IF('ORDENES'!$A231="","",IF('ORDENES'!$R231="","-",'ORDENES'!$R231))</f>
        <v/>
      </c>
      <c r="C253" s="3">
        <f>IF('ORDENES'!$A231="","",IF('ORDENES'!$AF231="","-",'ORDENES'!$AF231))</f>
        <v/>
      </c>
      <c r="D253" s="3">
        <f>IF('ORDENES'!$A231="","",IF('ORDENES'!$X231="","-",'ORDENES'!$X231))</f>
        <v/>
      </c>
      <c r="E253" s="3">
        <f>IF('ORDENES'!$A231="","",IF('ORDENES'!$V231="","-",'ORDENES'!$V231))</f>
        <v/>
      </c>
      <c r="F253" s="3">
        <f>IF('ORDENES'!$A231="","",IF('ORDENES'!$Y231="","-",'ORDENES'!$Y231))</f>
        <v/>
      </c>
      <c r="G253" s="3">
        <f>IF('ORDENES'!$A231="","",IF('ORDENES'!$W231="","-",'ORDENES'!$W231))</f>
        <v/>
      </c>
      <c r="H253" s="3">
        <f>IF('ORDENES'!$A231="","",IF('ORDENES'!$AE231="","-",'ORDENES'!$AE231))</f>
        <v/>
      </c>
      <c r="I253" s="3">
        <f>IF('ORDENES'!$A231="","",IF('ORDENES'!$AQ231="","-",'ORDENES'!$AQ231))</f>
        <v/>
      </c>
      <c r="J253" s="3">
        <f>IF('ORDENES'!$A231="","",IF('ORDENES'!$D231="","-",'ORDENES'!$D231))</f>
        <v/>
      </c>
      <c r="K253" s="3">
        <f>IF('ORDENES'!$A231="","",IF('ORDENES'!$E231="","-",'ORDENES'!$E231))</f>
        <v/>
      </c>
      <c r="L253" s="13">
        <f>IF('ORDENES'!$A231="","",IF('ORDENES'!$M231="",0,'ORDENES'!$M231))</f>
        <v/>
      </c>
      <c r="M253" s="3">
        <f>IF('ORDENES'!$A231="","",IF('ORDENES'!$N231="","-",'ORDENES'!$N231))</f>
        <v/>
      </c>
      <c r="N253" s="3">
        <f>IF('ORDENES'!$A231="","",'ORDENES'!$AD231)</f>
        <v/>
      </c>
    </row>
    <row r="254">
      <c r="A254" s="3">
        <f>IF('ORDENES'!$A232="","",IF('ORDENES'!$O232="","-",'ORDENES'!$O232))</f>
        <v/>
      </c>
      <c r="B254" s="3">
        <f>IF('ORDENES'!$A232="","",IF('ORDENES'!$R232="","-",'ORDENES'!$R232))</f>
        <v/>
      </c>
      <c r="C254" s="3">
        <f>IF('ORDENES'!$A232="","",IF('ORDENES'!$AF232="","-",'ORDENES'!$AF232))</f>
        <v/>
      </c>
      <c r="D254" s="3">
        <f>IF('ORDENES'!$A232="","",IF('ORDENES'!$X232="","-",'ORDENES'!$X232))</f>
        <v/>
      </c>
      <c r="E254" s="3">
        <f>IF('ORDENES'!$A232="","",IF('ORDENES'!$V232="","-",'ORDENES'!$V232))</f>
        <v/>
      </c>
      <c r="F254" s="3">
        <f>IF('ORDENES'!$A232="","",IF('ORDENES'!$Y232="","-",'ORDENES'!$Y232))</f>
        <v/>
      </c>
      <c r="G254" s="3">
        <f>IF('ORDENES'!$A232="","",IF('ORDENES'!$W232="","-",'ORDENES'!$W232))</f>
        <v/>
      </c>
      <c r="H254" s="3">
        <f>IF('ORDENES'!$A232="","",IF('ORDENES'!$AE232="","-",'ORDENES'!$AE232))</f>
        <v/>
      </c>
      <c r="I254" s="3">
        <f>IF('ORDENES'!$A232="","",IF('ORDENES'!$AQ232="","-",'ORDENES'!$AQ232))</f>
        <v/>
      </c>
      <c r="J254" s="3">
        <f>IF('ORDENES'!$A232="","",IF('ORDENES'!$D232="","-",'ORDENES'!$D232))</f>
        <v/>
      </c>
      <c r="K254" s="3">
        <f>IF('ORDENES'!$A232="","",IF('ORDENES'!$E232="","-",'ORDENES'!$E232))</f>
        <v/>
      </c>
      <c r="L254" s="13">
        <f>IF('ORDENES'!$A232="","",IF('ORDENES'!$M232="",0,'ORDENES'!$M232))</f>
        <v/>
      </c>
      <c r="M254" s="3">
        <f>IF('ORDENES'!$A232="","",IF('ORDENES'!$N232="","-",'ORDENES'!$N232))</f>
        <v/>
      </c>
      <c r="N254" s="3">
        <f>IF('ORDENES'!$A232="","",'ORDENES'!$AD232)</f>
        <v/>
      </c>
    </row>
    <row r="255">
      <c r="A255" s="3">
        <f>IF('ORDENES'!$A233="","",IF('ORDENES'!$O233="","-",'ORDENES'!$O233))</f>
        <v/>
      </c>
      <c r="B255" s="3">
        <f>IF('ORDENES'!$A233="","",IF('ORDENES'!$R233="","-",'ORDENES'!$R233))</f>
        <v/>
      </c>
      <c r="C255" s="3">
        <f>IF('ORDENES'!$A233="","",IF('ORDENES'!$AF233="","-",'ORDENES'!$AF233))</f>
        <v/>
      </c>
      <c r="D255" s="3">
        <f>IF('ORDENES'!$A233="","",IF('ORDENES'!$X233="","-",'ORDENES'!$X233))</f>
        <v/>
      </c>
      <c r="E255" s="3">
        <f>IF('ORDENES'!$A233="","",IF('ORDENES'!$V233="","-",'ORDENES'!$V233))</f>
        <v/>
      </c>
      <c r="F255" s="3">
        <f>IF('ORDENES'!$A233="","",IF('ORDENES'!$Y233="","-",'ORDENES'!$Y233))</f>
        <v/>
      </c>
      <c r="G255" s="3">
        <f>IF('ORDENES'!$A233="","",IF('ORDENES'!$W233="","-",'ORDENES'!$W233))</f>
        <v/>
      </c>
      <c r="H255" s="3">
        <f>IF('ORDENES'!$A233="","",IF('ORDENES'!$AE233="","-",'ORDENES'!$AE233))</f>
        <v/>
      </c>
      <c r="I255" s="3">
        <f>IF('ORDENES'!$A233="","",IF('ORDENES'!$AQ233="","-",'ORDENES'!$AQ233))</f>
        <v/>
      </c>
      <c r="J255" s="3">
        <f>IF('ORDENES'!$A233="","",IF('ORDENES'!$D233="","-",'ORDENES'!$D233))</f>
        <v/>
      </c>
      <c r="K255" s="3">
        <f>IF('ORDENES'!$A233="","",IF('ORDENES'!$E233="","-",'ORDENES'!$E233))</f>
        <v/>
      </c>
      <c r="L255" s="13">
        <f>IF('ORDENES'!$A233="","",IF('ORDENES'!$M233="",0,'ORDENES'!$M233))</f>
        <v/>
      </c>
      <c r="M255" s="3">
        <f>IF('ORDENES'!$A233="","",IF('ORDENES'!$N233="","-",'ORDENES'!$N233))</f>
        <v/>
      </c>
      <c r="N255" s="3">
        <f>IF('ORDENES'!$A233="","",'ORDENES'!$AD233)</f>
        <v/>
      </c>
    </row>
    <row r="256">
      <c r="A256" s="3">
        <f>IF('ORDENES'!$A234="","",IF('ORDENES'!$O234="","-",'ORDENES'!$O234))</f>
        <v/>
      </c>
      <c r="B256" s="3">
        <f>IF('ORDENES'!$A234="","",IF('ORDENES'!$R234="","-",'ORDENES'!$R234))</f>
        <v/>
      </c>
      <c r="C256" s="3">
        <f>IF('ORDENES'!$A234="","",IF('ORDENES'!$AF234="","-",'ORDENES'!$AF234))</f>
        <v/>
      </c>
      <c r="D256" s="3">
        <f>IF('ORDENES'!$A234="","",IF('ORDENES'!$X234="","-",'ORDENES'!$X234))</f>
        <v/>
      </c>
      <c r="E256" s="3">
        <f>IF('ORDENES'!$A234="","",IF('ORDENES'!$V234="","-",'ORDENES'!$V234))</f>
        <v/>
      </c>
      <c r="F256" s="3">
        <f>IF('ORDENES'!$A234="","",IF('ORDENES'!$Y234="","-",'ORDENES'!$Y234))</f>
        <v/>
      </c>
      <c r="G256" s="3">
        <f>IF('ORDENES'!$A234="","",IF('ORDENES'!$W234="","-",'ORDENES'!$W234))</f>
        <v/>
      </c>
      <c r="H256" s="3">
        <f>IF('ORDENES'!$A234="","",IF('ORDENES'!$AE234="","-",'ORDENES'!$AE234))</f>
        <v/>
      </c>
      <c r="I256" s="3">
        <f>IF('ORDENES'!$A234="","",IF('ORDENES'!$AQ234="","-",'ORDENES'!$AQ234))</f>
        <v/>
      </c>
      <c r="J256" s="3">
        <f>IF('ORDENES'!$A234="","",IF('ORDENES'!$D234="","-",'ORDENES'!$D234))</f>
        <v/>
      </c>
      <c r="K256" s="3">
        <f>IF('ORDENES'!$A234="","",IF('ORDENES'!$E234="","-",'ORDENES'!$E234))</f>
        <v/>
      </c>
      <c r="L256" s="13">
        <f>IF('ORDENES'!$A234="","",IF('ORDENES'!$M234="",0,'ORDENES'!$M234))</f>
        <v/>
      </c>
      <c r="M256" s="3">
        <f>IF('ORDENES'!$A234="","",IF('ORDENES'!$N234="","-",'ORDENES'!$N234))</f>
        <v/>
      </c>
      <c r="N256" s="3">
        <f>IF('ORDENES'!$A234="","",'ORDENES'!$AD234)</f>
        <v/>
      </c>
    </row>
    <row r="257">
      <c r="A257" s="3">
        <f>IF('ORDENES'!$A235="","",IF('ORDENES'!$O235="","-",'ORDENES'!$O235))</f>
        <v/>
      </c>
      <c r="B257" s="3">
        <f>IF('ORDENES'!$A235="","",IF('ORDENES'!$R235="","-",'ORDENES'!$R235))</f>
        <v/>
      </c>
      <c r="C257" s="3">
        <f>IF('ORDENES'!$A235="","",IF('ORDENES'!$AF235="","-",'ORDENES'!$AF235))</f>
        <v/>
      </c>
      <c r="D257" s="3">
        <f>IF('ORDENES'!$A235="","",IF('ORDENES'!$X235="","-",'ORDENES'!$X235))</f>
        <v/>
      </c>
      <c r="E257" s="3">
        <f>IF('ORDENES'!$A235="","",IF('ORDENES'!$V235="","-",'ORDENES'!$V235))</f>
        <v/>
      </c>
      <c r="F257" s="3">
        <f>IF('ORDENES'!$A235="","",IF('ORDENES'!$Y235="","-",'ORDENES'!$Y235))</f>
        <v/>
      </c>
      <c r="G257" s="3">
        <f>IF('ORDENES'!$A235="","",IF('ORDENES'!$W235="","-",'ORDENES'!$W235))</f>
        <v/>
      </c>
      <c r="H257" s="3">
        <f>IF('ORDENES'!$A235="","",IF('ORDENES'!$AE235="","-",'ORDENES'!$AE235))</f>
        <v/>
      </c>
      <c r="I257" s="3">
        <f>IF('ORDENES'!$A235="","",IF('ORDENES'!$AQ235="","-",'ORDENES'!$AQ235))</f>
        <v/>
      </c>
      <c r="J257" s="3">
        <f>IF('ORDENES'!$A235="","",IF('ORDENES'!$D235="","-",'ORDENES'!$D235))</f>
        <v/>
      </c>
      <c r="K257" s="3">
        <f>IF('ORDENES'!$A235="","",IF('ORDENES'!$E235="","-",'ORDENES'!$E235))</f>
        <v/>
      </c>
      <c r="L257" s="13">
        <f>IF('ORDENES'!$A235="","",IF('ORDENES'!$M235="",0,'ORDENES'!$M235))</f>
        <v/>
      </c>
      <c r="M257" s="3">
        <f>IF('ORDENES'!$A235="","",IF('ORDENES'!$N235="","-",'ORDENES'!$N235))</f>
        <v/>
      </c>
      <c r="N257" s="3">
        <f>IF('ORDENES'!$A235="","",'ORDENES'!$AD235)</f>
        <v/>
      </c>
    </row>
    <row r="258">
      <c r="A258" s="3">
        <f>IF('ORDENES'!$A236="","",IF('ORDENES'!$O236="","-",'ORDENES'!$O236))</f>
        <v/>
      </c>
      <c r="B258" s="3">
        <f>IF('ORDENES'!$A236="","",IF('ORDENES'!$R236="","-",'ORDENES'!$R236))</f>
        <v/>
      </c>
      <c r="C258" s="3">
        <f>IF('ORDENES'!$A236="","",IF('ORDENES'!$AF236="","-",'ORDENES'!$AF236))</f>
        <v/>
      </c>
      <c r="D258" s="3">
        <f>IF('ORDENES'!$A236="","",IF('ORDENES'!$X236="","-",'ORDENES'!$X236))</f>
        <v/>
      </c>
      <c r="E258" s="3">
        <f>IF('ORDENES'!$A236="","",IF('ORDENES'!$V236="","-",'ORDENES'!$V236))</f>
        <v/>
      </c>
      <c r="F258" s="3">
        <f>IF('ORDENES'!$A236="","",IF('ORDENES'!$Y236="","-",'ORDENES'!$Y236))</f>
        <v/>
      </c>
      <c r="G258" s="3">
        <f>IF('ORDENES'!$A236="","",IF('ORDENES'!$W236="","-",'ORDENES'!$W236))</f>
        <v/>
      </c>
      <c r="H258" s="3">
        <f>IF('ORDENES'!$A236="","",IF('ORDENES'!$AE236="","-",'ORDENES'!$AE236))</f>
        <v/>
      </c>
      <c r="I258" s="3">
        <f>IF('ORDENES'!$A236="","",IF('ORDENES'!$AQ236="","-",'ORDENES'!$AQ236))</f>
        <v/>
      </c>
      <c r="J258" s="3">
        <f>IF('ORDENES'!$A236="","",IF('ORDENES'!$D236="","-",'ORDENES'!$D236))</f>
        <v/>
      </c>
      <c r="K258" s="3">
        <f>IF('ORDENES'!$A236="","",IF('ORDENES'!$E236="","-",'ORDENES'!$E236))</f>
        <v/>
      </c>
      <c r="L258" s="13">
        <f>IF('ORDENES'!$A236="","",IF('ORDENES'!$M236="",0,'ORDENES'!$M236))</f>
        <v/>
      </c>
      <c r="M258" s="3">
        <f>IF('ORDENES'!$A236="","",IF('ORDENES'!$N236="","-",'ORDENES'!$N236))</f>
        <v/>
      </c>
      <c r="N258" s="3">
        <f>IF('ORDENES'!$A236="","",'ORDENES'!$AD236)</f>
        <v/>
      </c>
    </row>
    <row r="259">
      <c r="A259" s="3">
        <f>IF('ORDENES'!$A237="","",IF('ORDENES'!$O237="","-",'ORDENES'!$O237))</f>
        <v/>
      </c>
      <c r="B259" s="3">
        <f>IF('ORDENES'!$A237="","",IF('ORDENES'!$R237="","-",'ORDENES'!$R237))</f>
        <v/>
      </c>
      <c r="C259" s="3">
        <f>IF('ORDENES'!$A237="","",IF('ORDENES'!$AF237="","-",'ORDENES'!$AF237))</f>
        <v/>
      </c>
      <c r="D259" s="3">
        <f>IF('ORDENES'!$A237="","",IF('ORDENES'!$X237="","-",'ORDENES'!$X237))</f>
        <v/>
      </c>
      <c r="E259" s="3">
        <f>IF('ORDENES'!$A237="","",IF('ORDENES'!$V237="","-",'ORDENES'!$V237))</f>
        <v/>
      </c>
      <c r="F259" s="3">
        <f>IF('ORDENES'!$A237="","",IF('ORDENES'!$Y237="","-",'ORDENES'!$Y237))</f>
        <v/>
      </c>
      <c r="G259" s="3">
        <f>IF('ORDENES'!$A237="","",IF('ORDENES'!$W237="","-",'ORDENES'!$W237))</f>
        <v/>
      </c>
      <c r="H259" s="3">
        <f>IF('ORDENES'!$A237="","",IF('ORDENES'!$AE237="","-",'ORDENES'!$AE237))</f>
        <v/>
      </c>
      <c r="I259" s="3">
        <f>IF('ORDENES'!$A237="","",IF('ORDENES'!$AQ237="","-",'ORDENES'!$AQ237))</f>
        <v/>
      </c>
      <c r="J259" s="3">
        <f>IF('ORDENES'!$A237="","",IF('ORDENES'!$D237="","-",'ORDENES'!$D237))</f>
        <v/>
      </c>
      <c r="K259" s="3">
        <f>IF('ORDENES'!$A237="","",IF('ORDENES'!$E237="","-",'ORDENES'!$E237))</f>
        <v/>
      </c>
      <c r="L259" s="13">
        <f>IF('ORDENES'!$A237="","",IF('ORDENES'!$M237="",0,'ORDENES'!$M237))</f>
        <v/>
      </c>
      <c r="M259" s="3">
        <f>IF('ORDENES'!$A237="","",IF('ORDENES'!$N237="","-",'ORDENES'!$N237))</f>
        <v/>
      </c>
      <c r="N259" s="3">
        <f>IF('ORDENES'!$A237="","",'ORDENES'!$AD237)</f>
        <v/>
      </c>
    </row>
    <row r="260">
      <c r="A260" s="3">
        <f>IF('ORDENES'!$A238="","",IF('ORDENES'!$O238="","-",'ORDENES'!$O238))</f>
        <v/>
      </c>
      <c r="B260" s="3">
        <f>IF('ORDENES'!$A238="","",IF('ORDENES'!$R238="","-",'ORDENES'!$R238))</f>
        <v/>
      </c>
      <c r="C260" s="3">
        <f>IF('ORDENES'!$A238="","",IF('ORDENES'!$AF238="","-",'ORDENES'!$AF238))</f>
        <v/>
      </c>
      <c r="D260" s="3">
        <f>IF('ORDENES'!$A238="","",IF('ORDENES'!$X238="","-",'ORDENES'!$X238))</f>
        <v/>
      </c>
      <c r="E260" s="3">
        <f>IF('ORDENES'!$A238="","",IF('ORDENES'!$V238="","-",'ORDENES'!$V238))</f>
        <v/>
      </c>
      <c r="F260" s="3">
        <f>IF('ORDENES'!$A238="","",IF('ORDENES'!$Y238="","-",'ORDENES'!$Y238))</f>
        <v/>
      </c>
      <c r="G260" s="3">
        <f>IF('ORDENES'!$A238="","",IF('ORDENES'!$W238="","-",'ORDENES'!$W238))</f>
        <v/>
      </c>
      <c r="H260" s="3">
        <f>IF('ORDENES'!$A238="","",IF('ORDENES'!$AE238="","-",'ORDENES'!$AE238))</f>
        <v/>
      </c>
      <c r="I260" s="3">
        <f>IF('ORDENES'!$A238="","",IF('ORDENES'!$AQ238="","-",'ORDENES'!$AQ238))</f>
        <v/>
      </c>
      <c r="J260" s="3">
        <f>IF('ORDENES'!$A238="","",IF('ORDENES'!$D238="","-",'ORDENES'!$D238))</f>
        <v/>
      </c>
      <c r="K260" s="3">
        <f>IF('ORDENES'!$A238="","",IF('ORDENES'!$E238="","-",'ORDENES'!$E238))</f>
        <v/>
      </c>
      <c r="L260" s="13">
        <f>IF('ORDENES'!$A238="","",IF('ORDENES'!$M238="",0,'ORDENES'!$M238))</f>
        <v/>
      </c>
      <c r="M260" s="3">
        <f>IF('ORDENES'!$A238="","",IF('ORDENES'!$N238="","-",'ORDENES'!$N238))</f>
        <v/>
      </c>
      <c r="N260" s="3">
        <f>IF('ORDENES'!$A238="","",'ORDENES'!$AD238)</f>
        <v/>
      </c>
    </row>
    <row r="261">
      <c r="A261" s="3">
        <f>IF('ORDENES'!$A239="","",IF('ORDENES'!$O239="","-",'ORDENES'!$O239))</f>
        <v/>
      </c>
      <c r="B261" s="3">
        <f>IF('ORDENES'!$A239="","",IF('ORDENES'!$R239="","-",'ORDENES'!$R239))</f>
        <v/>
      </c>
      <c r="C261" s="3">
        <f>IF('ORDENES'!$A239="","",IF('ORDENES'!$AF239="","-",'ORDENES'!$AF239))</f>
        <v/>
      </c>
      <c r="D261" s="3">
        <f>IF('ORDENES'!$A239="","",IF('ORDENES'!$X239="","-",'ORDENES'!$X239))</f>
        <v/>
      </c>
      <c r="E261" s="3">
        <f>IF('ORDENES'!$A239="","",IF('ORDENES'!$V239="","-",'ORDENES'!$V239))</f>
        <v/>
      </c>
      <c r="F261" s="3">
        <f>IF('ORDENES'!$A239="","",IF('ORDENES'!$Y239="","-",'ORDENES'!$Y239))</f>
        <v/>
      </c>
      <c r="G261" s="3">
        <f>IF('ORDENES'!$A239="","",IF('ORDENES'!$W239="","-",'ORDENES'!$W239))</f>
        <v/>
      </c>
      <c r="H261" s="3">
        <f>IF('ORDENES'!$A239="","",IF('ORDENES'!$AE239="","-",'ORDENES'!$AE239))</f>
        <v/>
      </c>
      <c r="I261" s="3">
        <f>IF('ORDENES'!$A239="","",IF('ORDENES'!$AQ239="","-",'ORDENES'!$AQ239))</f>
        <v/>
      </c>
      <c r="J261" s="3">
        <f>IF('ORDENES'!$A239="","",IF('ORDENES'!$D239="","-",'ORDENES'!$D239))</f>
        <v/>
      </c>
      <c r="K261" s="3">
        <f>IF('ORDENES'!$A239="","",IF('ORDENES'!$E239="","-",'ORDENES'!$E239))</f>
        <v/>
      </c>
      <c r="L261" s="13">
        <f>IF('ORDENES'!$A239="","",IF('ORDENES'!$M239="",0,'ORDENES'!$M239))</f>
        <v/>
      </c>
      <c r="M261" s="3">
        <f>IF('ORDENES'!$A239="","",IF('ORDENES'!$N239="","-",'ORDENES'!$N239))</f>
        <v/>
      </c>
      <c r="N261" s="3">
        <f>IF('ORDENES'!$A239="","",'ORDENES'!$AD239)</f>
        <v/>
      </c>
    </row>
    <row r="262">
      <c r="A262" s="3">
        <f>IF('ORDENES'!$A240="","",IF('ORDENES'!$O240="","-",'ORDENES'!$O240))</f>
        <v/>
      </c>
      <c r="B262" s="3">
        <f>IF('ORDENES'!$A240="","",IF('ORDENES'!$R240="","-",'ORDENES'!$R240))</f>
        <v/>
      </c>
      <c r="C262" s="3">
        <f>IF('ORDENES'!$A240="","",IF('ORDENES'!$AF240="","-",'ORDENES'!$AF240))</f>
        <v/>
      </c>
      <c r="D262" s="3">
        <f>IF('ORDENES'!$A240="","",IF('ORDENES'!$X240="","-",'ORDENES'!$X240))</f>
        <v/>
      </c>
      <c r="E262" s="3">
        <f>IF('ORDENES'!$A240="","",IF('ORDENES'!$V240="","-",'ORDENES'!$V240))</f>
        <v/>
      </c>
      <c r="F262" s="3">
        <f>IF('ORDENES'!$A240="","",IF('ORDENES'!$Y240="","-",'ORDENES'!$Y240))</f>
        <v/>
      </c>
      <c r="G262" s="3">
        <f>IF('ORDENES'!$A240="","",IF('ORDENES'!$W240="","-",'ORDENES'!$W240))</f>
        <v/>
      </c>
      <c r="H262" s="3">
        <f>IF('ORDENES'!$A240="","",IF('ORDENES'!$AE240="","-",'ORDENES'!$AE240))</f>
        <v/>
      </c>
      <c r="I262" s="3">
        <f>IF('ORDENES'!$A240="","",IF('ORDENES'!$AQ240="","-",'ORDENES'!$AQ240))</f>
        <v/>
      </c>
      <c r="J262" s="3">
        <f>IF('ORDENES'!$A240="","",IF('ORDENES'!$D240="","-",'ORDENES'!$D240))</f>
        <v/>
      </c>
      <c r="K262" s="3">
        <f>IF('ORDENES'!$A240="","",IF('ORDENES'!$E240="","-",'ORDENES'!$E240))</f>
        <v/>
      </c>
      <c r="L262" s="13">
        <f>IF('ORDENES'!$A240="","",IF('ORDENES'!$M240="",0,'ORDENES'!$M240))</f>
        <v/>
      </c>
      <c r="M262" s="3">
        <f>IF('ORDENES'!$A240="","",IF('ORDENES'!$N240="","-",'ORDENES'!$N240))</f>
        <v/>
      </c>
      <c r="N262" s="3">
        <f>IF('ORDENES'!$A240="","",'ORDENES'!$AD240)</f>
        <v/>
      </c>
    </row>
    <row r="263">
      <c r="A263" s="3">
        <f>IF('ORDENES'!$A241="","",IF('ORDENES'!$O241="","-",'ORDENES'!$O241))</f>
        <v/>
      </c>
      <c r="B263" s="3">
        <f>IF('ORDENES'!$A241="","",IF('ORDENES'!$R241="","-",'ORDENES'!$R241))</f>
        <v/>
      </c>
      <c r="C263" s="3">
        <f>IF('ORDENES'!$A241="","",IF('ORDENES'!$AF241="","-",'ORDENES'!$AF241))</f>
        <v/>
      </c>
      <c r="D263" s="3">
        <f>IF('ORDENES'!$A241="","",IF('ORDENES'!$X241="","-",'ORDENES'!$X241))</f>
        <v/>
      </c>
      <c r="E263" s="3">
        <f>IF('ORDENES'!$A241="","",IF('ORDENES'!$V241="","-",'ORDENES'!$V241))</f>
        <v/>
      </c>
      <c r="F263" s="3">
        <f>IF('ORDENES'!$A241="","",IF('ORDENES'!$Y241="","-",'ORDENES'!$Y241))</f>
        <v/>
      </c>
      <c r="G263" s="3">
        <f>IF('ORDENES'!$A241="","",IF('ORDENES'!$W241="","-",'ORDENES'!$W241))</f>
        <v/>
      </c>
      <c r="H263" s="3">
        <f>IF('ORDENES'!$A241="","",IF('ORDENES'!$AE241="","-",'ORDENES'!$AE241))</f>
        <v/>
      </c>
      <c r="I263" s="3">
        <f>IF('ORDENES'!$A241="","",IF('ORDENES'!$AQ241="","-",'ORDENES'!$AQ241))</f>
        <v/>
      </c>
      <c r="J263" s="3">
        <f>IF('ORDENES'!$A241="","",IF('ORDENES'!$D241="","-",'ORDENES'!$D241))</f>
        <v/>
      </c>
      <c r="K263" s="3">
        <f>IF('ORDENES'!$A241="","",IF('ORDENES'!$E241="","-",'ORDENES'!$E241))</f>
        <v/>
      </c>
      <c r="L263" s="13">
        <f>IF('ORDENES'!$A241="","",IF('ORDENES'!$M241="",0,'ORDENES'!$M241))</f>
        <v/>
      </c>
      <c r="M263" s="3">
        <f>IF('ORDENES'!$A241="","",IF('ORDENES'!$N241="","-",'ORDENES'!$N241))</f>
        <v/>
      </c>
      <c r="N263" s="3">
        <f>IF('ORDENES'!$A241="","",'ORDENES'!$AD241)</f>
        <v/>
      </c>
    </row>
    <row r="264">
      <c r="A264" s="3">
        <f>IF('ORDENES'!$A242="","",IF('ORDENES'!$O242="","-",'ORDENES'!$O242))</f>
        <v/>
      </c>
      <c r="B264" s="3">
        <f>IF('ORDENES'!$A242="","",IF('ORDENES'!$R242="","-",'ORDENES'!$R242))</f>
        <v/>
      </c>
      <c r="C264" s="3">
        <f>IF('ORDENES'!$A242="","",IF('ORDENES'!$AF242="","-",'ORDENES'!$AF242))</f>
        <v/>
      </c>
      <c r="D264" s="3">
        <f>IF('ORDENES'!$A242="","",IF('ORDENES'!$X242="","-",'ORDENES'!$X242))</f>
        <v/>
      </c>
      <c r="E264" s="3">
        <f>IF('ORDENES'!$A242="","",IF('ORDENES'!$V242="","-",'ORDENES'!$V242))</f>
        <v/>
      </c>
      <c r="F264" s="3">
        <f>IF('ORDENES'!$A242="","",IF('ORDENES'!$Y242="","-",'ORDENES'!$Y242))</f>
        <v/>
      </c>
      <c r="G264" s="3">
        <f>IF('ORDENES'!$A242="","",IF('ORDENES'!$W242="","-",'ORDENES'!$W242))</f>
        <v/>
      </c>
      <c r="H264" s="3">
        <f>IF('ORDENES'!$A242="","",IF('ORDENES'!$AE242="","-",'ORDENES'!$AE242))</f>
        <v/>
      </c>
      <c r="I264" s="3">
        <f>IF('ORDENES'!$A242="","",IF('ORDENES'!$AQ242="","-",'ORDENES'!$AQ242))</f>
        <v/>
      </c>
      <c r="J264" s="3">
        <f>IF('ORDENES'!$A242="","",IF('ORDENES'!$D242="","-",'ORDENES'!$D242))</f>
        <v/>
      </c>
      <c r="K264" s="3">
        <f>IF('ORDENES'!$A242="","",IF('ORDENES'!$E242="","-",'ORDENES'!$E242))</f>
        <v/>
      </c>
      <c r="L264" s="13">
        <f>IF('ORDENES'!$A242="","",IF('ORDENES'!$M242="",0,'ORDENES'!$M242))</f>
        <v/>
      </c>
      <c r="M264" s="3">
        <f>IF('ORDENES'!$A242="","",IF('ORDENES'!$N242="","-",'ORDENES'!$N242))</f>
        <v/>
      </c>
      <c r="N264" s="3">
        <f>IF('ORDENES'!$A242="","",'ORDENES'!$AD242)</f>
        <v/>
      </c>
    </row>
    <row r="265">
      <c r="A265" s="3">
        <f>IF('ORDENES'!$A243="","",IF('ORDENES'!$O243="","-",'ORDENES'!$O243))</f>
        <v/>
      </c>
      <c r="B265" s="3">
        <f>IF('ORDENES'!$A243="","",IF('ORDENES'!$R243="","-",'ORDENES'!$R243))</f>
        <v/>
      </c>
      <c r="C265" s="3">
        <f>IF('ORDENES'!$A243="","",IF('ORDENES'!$AF243="","-",'ORDENES'!$AF243))</f>
        <v/>
      </c>
      <c r="D265" s="3">
        <f>IF('ORDENES'!$A243="","",IF('ORDENES'!$X243="","-",'ORDENES'!$X243))</f>
        <v/>
      </c>
      <c r="E265" s="3">
        <f>IF('ORDENES'!$A243="","",IF('ORDENES'!$V243="","-",'ORDENES'!$V243))</f>
        <v/>
      </c>
      <c r="F265" s="3">
        <f>IF('ORDENES'!$A243="","",IF('ORDENES'!$Y243="","-",'ORDENES'!$Y243))</f>
        <v/>
      </c>
      <c r="G265" s="3">
        <f>IF('ORDENES'!$A243="","",IF('ORDENES'!$W243="","-",'ORDENES'!$W243))</f>
        <v/>
      </c>
      <c r="H265" s="3">
        <f>IF('ORDENES'!$A243="","",IF('ORDENES'!$AE243="","-",'ORDENES'!$AE243))</f>
        <v/>
      </c>
      <c r="I265" s="3">
        <f>IF('ORDENES'!$A243="","",IF('ORDENES'!$AQ243="","-",'ORDENES'!$AQ243))</f>
        <v/>
      </c>
      <c r="J265" s="3">
        <f>IF('ORDENES'!$A243="","",IF('ORDENES'!$D243="","-",'ORDENES'!$D243))</f>
        <v/>
      </c>
      <c r="K265" s="3">
        <f>IF('ORDENES'!$A243="","",IF('ORDENES'!$E243="","-",'ORDENES'!$E243))</f>
        <v/>
      </c>
      <c r="L265" s="13">
        <f>IF('ORDENES'!$A243="","",IF('ORDENES'!$M243="",0,'ORDENES'!$M243))</f>
        <v/>
      </c>
      <c r="M265" s="3">
        <f>IF('ORDENES'!$A243="","",IF('ORDENES'!$N243="","-",'ORDENES'!$N243))</f>
        <v/>
      </c>
      <c r="N265" s="3">
        <f>IF('ORDENES'!$A243="","",'ORDENES'!$AD243)</f>
        <v/>
      </c>
    </row>
    <row r="266">
      <c r="A266" s="3">
        <f>IF('ORDENES'!$A244="","",IF('ORDENES'!$O244="","-",'ORDENES'!$O244))</f>
        <v/>
      </c>
      <c r="B266" s="3">
        <f>IF('ORDENES'!$A244="","",IF('ORDENES'!$R244="","-",'ORDENES'!$R244))</f>
        <v/>
      </c>
      <c r="C266" s="3">
        <f>IF('ORDENES'!$A244="","",IF('ORDENES'!$AF244="","-",'ORDENES'!$AF244))</f>
        <v/>
      </c>
      <c r="D266" s="3">
        <f>IF('ORDENES'!$A244="","",IF('ORDENES'!$X244="","-",'ORDENES'!$X244))</f>
        <v/>
      </c>
      <c r="E266" s="3">
        <f>IF('ORDENES'!$A244="","",IF('ORDENES'!$V244="","-",'ORDENES'!$V244))</f>
        <v/>
      </c>
      <c r="F266" s="3">
        <f>IF('ORDENES'!$A244="","",IF('ORDENES'!$Y244="","-",'ORDENES'!$Y244))</f>
        <v/>
      </c>
      <c r="G266" s="3">
        <f>IF('ORDENES'!$A244="","",IF('ORDENES'!$W244="","-",'ORDENES'!$W244))</f>
        <v/>
      </c>
      <c r="H266" s="3">
        <f>IF('ORDENES'!$A244="","",IF('ORDENES'!$AE244="","-",'ORDENES'!$AE244))</f>
        <v/>
      </c>
      <c r="I266" s="3">
        <f>IF('ORDENES'!$A244="","",IF('ORDENES'!$AQ244="","-",'ORDENES'!$AQ244))</f>
        <v/>
      </c>
      <c r="J266" s="3">
        <f>IF('ORDENES'!$A244="","",IF('ORDENES'!$D244="","-",'ORDENES'!$D244))</f>
        <v/>
      </c>
      <c r="K266" s="3">
        <f>IF('ORDENES'!$A244="","",IF('ORDENES'!$E244="","-",'ORDENES'!$E244))</f>
        <v/>
      </c>
      <c r="L266" s="13">
        <f>IF('ORDENES'!$A244="","",IF('ORDENES'!$M244="",0,'ORDENES'!$M244))</f>
        <v/>
      </c>
      <c r="M266" s="3">
        <f>IF('ORDENES'!$A244="","",IF('ORDENES'!$N244="","-",'ORDENES'!$N244))</f>
        <v/>
      </c>
      <c r="N266" s="3">
        <f>IF('ORDENES'!$A244="","",'ORDENES'!$AD244)</f>
        <v/>
      </c>
    </row>
    <row r="267">
      <c r="A267" s="3">
        <f>IF('ORDENES'!$A245="","",IF('ORDENES'!$O245="","-",'ORDENES'!$O245))</f>
        <v/>
      </c>
      <c r="B267" s="3">
        <f>IF('ORDENES'!$A245="","",IF('ORDENES'!$R245="","-",'ORDENES'!$R245))</f>
        <v/>
      </c>
      <c r="C267" s="3">
        <f>IF('ORDENES'!$A245="","",IF('ORDENES'!$AF245="","-",'ORDENES'!$AF245))</f>
        <v/>
      </c>
      <c r="D267" s="3">
        <f>IF('ORDENES'!$A245="","",IF('ORDENES'!$X245="","-",'ORDENES'!$X245))</f>
        <v/>
      </c>
      <c r="E267" s="3">
        <f>IF('ORDENES'!$A245="","",IF('ORDENES'!$V245="","-",'ORDENES'!$V245))</f>
        <v/>
      </c>
      <c r="F267" s="3">
        <f>IF('ORDENES'!$A245="","",IF('ORDENES'!$Y245="","-",'ORDENES'!$Y245))</f>
        <v/>
      </c>
      <c r="G267" s="3">
        <f>IF('ORDENES'!$A245="","",IF('ORDENES'!$W245="","-",'ORDENES'!$W245))</f>
        <v/>
      </c>
      <c r="H267" s="3">
        <f>IF('ORDENES'!$A245="","",IF('ORDENES'!$AE245="","-",'ORDENES'!$AE245))</f>
        <v/>
      </c>
      <c r="I267" s="3">
        <f>IF('ORDENES'!$A245="","",IF('ORDENES'!$AQ245="","-",'ORDENES'!$AQ245))</f>
        <v/>
      </c>
      <c r="J267" s="3">
        <f>IF('ORDENES'!$A245="","",IF('ORDENES'!$D245="","-",'ORDENES'!$D245))</f>
        <v/>
      </c>
      <c r="K267" s="3">
        <f>IF('ORDENES'!$A245="","",IF('ORDENES'!$E245="","-",'ORDENES'!$E245))</f>
        <v/>
      </c>
      <c r="L267" s="13">
        <f>IF('ORDENES'!$A245="","",IF('ORDENES'!$M245="",0,'ORDENES'!$M245))</f>
        <v/>
      </c>
      <c r="M267" s="3">
        <f>IF('ORDENES'!$A245="","",IF('ORDENES'!$N245="","-",'ORDENES'!$N245))</f>
        <v/>
      </c>
      <c r="N267" s="3">
        <f>IF('ORDENES'!$A245="","",'ORDENES'!$AD245)</f>
        <v/>
      </c>
    </row>
    <row r="268">
      <c r="A268" s="3">
        <f>IF('ORDENES'!$A246="","",IF('ORDENES'!$O246="","-",'ORDENES'!$O246))</f>
        <v/>
      </c>
      <c r="B268" s="3">
        <f>IF('ORDENES'!$A246="","",IF('ORDENES'!$R246="","-",'ORDENES'!$R246))</f>
        <v/>
      </c>
      <c r="C268" s="3">
        <f>IF('ORDENES'!$A246="","",IF('ORDENES'!$AF246="","-",'ORDENES'!$AF246))</f>
        <v/>
      </c>
      <c r="D268" s="3">
        <f>IF('ORDENES'!$A246="","",IF('ORDENES'!$X246="","-",'ORDENES'!$X246))</f>
        <v/>
      </c>
      <c r="E268" s="3">
        <f>IF('ORDENES'!$A246="","",IF('ORDENES'!$V246="","-",'ORDENES'!$V246))</f>
        <v/>
      </c>
      <c r="F268" s="3">
        <f>IF('ORDENES'!$A246="","",IF('ORDENES'!$Y246="","-",'ORDENES'!$Y246))</f>
        <v/>
      </c>
      <c r="G268" s="3">
        <f>IF('ORDENES'!$A246="","",IF('ORDENES'!$W246="","-",'ORDENES'!$W246))</f>
        <v/>
      </c>
      <c r="H268" s="3">
        <f>IF('ORDENES'!$A246="","",IF('ORDENES'!$AE246="","-",'ORDENES'!$AE246))</f>
        <v/>
      </c>
      <c r="I268" s="3">
        <f>IF('ORDENES'!$A246="","",IF('ORDENES'!$AQ246="","-",'ORDENES'!$AQ246))</f>
        <v/>
      </c>
      <c r="J268" s="3">
        <f>IF('ORDENES'!$A246="","",IF('ORDENES'!$D246="","-",'ORDENES'!$D246))</f>
        <v/>
      </c>
      <c r="K268" s="3">
        <f>IF('ORDENES'!$A246="","",IF('ORDENES'!$E246="","-",'ORDENES'!$E246))</f>
        <v/>
      </c>
      <c r="L268" s="13">
        <f>IF('ORDENES'!$A246="","",IF('ORDENES'!$M246="",0,'ORDENES'!$M246))</f>
        <v/>
      </c>
      <c r="M268" s="3">
        <f>IF('ORDENES'!$A246="","",IF('ORDENES'!$N246="","-",'ORDENES'!$N246))</f>
        <v/>
      </c>
      <c r="N268" s="3">
        <f>IF('ORDENES'!$A246="","",'ORDENES'!$AD246)</f>
        <v/>
      </c>
    </row>
    <row r="269">
      <c r="A269" s="3">
        <f>IF('ORDENES'!$A247="","",IF('ORDENES'!$O247="","-",'ORDENES'!$O247))</f>
        <v/>
      </c>
      <c r="B269" s="3">
        <f>IF('ORDENES'!$A247="","",IF('ORDENES'!$R247="","-",'ORDENES'!$R247))</f>
        <v/>
      </c>
      <c r="C269" s="3">
        <f>IF('ORDENES'!$A247="","",IF('ORDENES'!$AF247="","-",'ORDENES'!$AF247))</f>
        <v/>
      </c>
      <c r="D269" s="3">
        <f>IF('ORDENES'!$A247="","",IF('ORDENES'!$X247="","-",'ORDENES'!$X247))</f>
        <v/>
      </c>
      <c r="E269" s="3">
        <f>IF('ORDENES'!$A247="","",IF('ORDENES'!$V247="","-",'ORDENES'!$V247))</f>
        <v/>
      </c>
      <c r="F269" s="3">
        <f>IF('ORDENES'!$A247="","",IF('ORDENES'!$Y247="","-",'ORDENES'!$Y247))</f>
        <v/>
      </c>
      <c r="G269" s="3">
        <f>IF('ORDENES'!$A247="","",IF('ORDENES'!$W247="","-",'ORDENES'!$W247))</f>
        <v/>
      </c>
      <c r="H269" s="3">
        <f>IF('ORDENES'!$A247="","",IF('ORDENES'!$AE247="","-",'ORDENES'!$AE247))</f>
        <v/>
      </c>
      <c r="I269" s="3">
        <f>IF('ORDENES'!$A247="","",IF('ORDENES'!$AQ247="","-",'ORDENES'!$AQ247))</f>
        <v/>
      </c>
      <c r="J269" s="3">
        <f>IF('ORDENES'!$A247="","",IF('ORDENES'!$D247="","-",'ORDENES'!$D247))</f>
        <v/>
      </c>
      <c r="K269" s="3">
        <f>IF('ORDENES'!$A247="","",IF('ORDENES'!$E247="","-",'ORDENES'!$E247))</f>
        <v/>
      </c>
      <c r="L269" s="13">
        <f>IF('ORDENES'!$A247="","",IF('ORDENES'!$M247="",0,'ORDENES'!$M247))</f>
        <v/>
      </c>
      <c r="M269" s="3">
        <f>IF('ORDENES'!$A247="","",IF('ORDENES'!$N247="","-",'ORDENES'!$N247))</f>
        <v/>
      </c>
      <c r="N269" s="3">
        <f>IF('ORDENES'!$A247="","",'ORDENES'!$AD247)</f>
        <v/>
      </c>
    </row>
    <row r="270">
      <c r="A270" s="3">
        <f>IF('ORDENES'!$A248="","",IF('ORDENES'!$O248="","-",'ORDENES'!$O248))</f>
        <v/>
      </c>
      <c r="B270" s="3">
        <f>IF('ORDENES'!$A248="","",IF('ORDENES'!$R248="","-",'ORDENES'!$R248))</f>
        <v/>
      </c>
      <c r="C270" s="3">
        <f>IF('ORDENES'!$A248="","",IF('ORDENES'!$AF248="","-",'ORDENES'!$AF248))</f>
        <v/>
      </c>
      <c r="D270" s="3">
        <f>IF('ORDENES'!$A248="","",IF('ORDENES'!$X248="","-",'ORDENES'!$X248))</f>
        <v/>
      </c>
      <c r="E270" s="3">
        <f>IF('ORDENES'!$A248="","",IF('ORDENES'!$V248="","-",'ORDENES'!$V248))</f>
        <v/>
      </c>
      <c r="F270" s="3">
        <f>IF('ORDENES'!$A248="","",IF('ORDENES'!$Y248="","-",'ORDENES'!$Y248))</f>
        <v/>
      </c>
      <c r="G270" s="3">
        <f>IF('ORDENES'!$A248="","",IF('ORDENES'!$W248="","-",'ORDENES'!$W248))</f>
        <v/>
      </c>
      <c r="H270" s="3">
        <f>IF('ORDENES'!$A248="","",IF('ORDENES'!$AE248="","-",'ORDENES'!$AE248))</f>
        <v/>
      </c>
      <c r="I270" s="3">
        <f>IF('ORDENES'!$A248="","",IF('ORDENES'!$AQ248="","-",'ORDENES'!$AQ248))</f>
        <v/>
      </c>
      <c r="J270" s="3">
        <f>IF('ORDENES'!$A248="","",IF('ORDENES'!$D248="","-",'ORDENES'!$D248))</f>
        <v/>
      </c>
      <c r="K270" s="3">
        <f>IF('ORDENES'!$A248="","",IF('ORDENES'!$E248="","-",'ORDENES'!$E248))</f>
        <v/>
      </c>
      <c r="L270" s="13">
        <f>IF('ORDENES'!$A248="","",IF('ORDENES'!$M248="",0,'ORDENES'!$M248))</f>
        <v/>
      </c>
      <c r="M270" s="3">
        <f>IF('ORDENES'!$A248="","",IF('ORDENES'!$N248="","-",'ORDENES'!$N248))</f>
        <v/>
      </c>
      <c r="N270" s="3">
        <f>IF('ORDENES'!$A248="","",'ORDENES'!$AD248)</f>
        <v/>
      </c>
    </row>
    <row r="271">
      <c r="A271" s="3">
        <f>IF('ORDENES'!$A249="","",IF('ORDENES'!$O249="","-",'ORDENES'!$O249))</f>
        <v/>
      </c>
      <c r="B271" s="3">
        <f>IF('ORDENES'!$A249="","",IF('ORDENES'!$R249="","-",'ORDENES'!$R249))</f>
        <v/>
      </c>
      <c r="C271" s="3">
        <f>IF('ORDENES'!$A249="","",IF('ORDENES'!$AF249="","-",'ORDENES'!$AF249))</f>
        <v/>
      </c>
      <c r="D271" s="3">
        <f>IF('ORDENES'!$A249="","",IF('ORDENES'!$X249="","-",'ORDENES'!$X249))</f>
        <v/>
      </c>
      <c r="E271" s="3">
        <f>IF('ORDENES'!$A249="","",IF('ORDENES'!$V249="","-",'ORDENES'!$V249))</f>
        <v/>
      </c>
      <c r="F271" s="3">
        <f>IF('ORDENES'!$A249="","",IF('ORDENES'!$Y249="","-",'ORDENES'!$Y249))</f>
        <v/>
      </c>
      <c r="G271" s="3">
        <f>IF('ORDENES'!$A249="","",IF('ORDENES'!$W249="","-",'ORDENES'!$W249))</f>
        <v/>
      </c>
      <c r="H271" s="3">
        <f>IF('ORDENES'!$A249="","",IF('ORDENES'!$AE249="","-",'ORDENES'!$AE249))</f>
        <v/>
      </c>
      <c r="I271" s="3">
        <f>IF('ORDENES'!$A249="","",IF('ORDENES'!$AQ249="","-",'ORDENES'!$AQ249))</f>
        <v/>
      </c>
      <c r="J271" s="3">
        <f>IF('ORDENES'!$A249="","",IF('ORDENES'!$D249="","-",'ORDENES'!$D249))</f>
        <v/>
      </c>
      <c r="K271" s="3">
        <f>IF('ORDENES'!$A249="","",IF('ORDENES'!$E249="","-",'ORDENES'!$E249))</f>
        <v/>
      </c>
      <c r="L271" s="13">
        <f>IF('ORDENES'!$A249="","",IF('ORDENES'!$M249="",0,'ORDENES'!$M249))</f>
        <v/>
      </c>
      <c r="M271" s="3">
        <f>IF('ORDENES'!$A249="","",IF('ORDENES'!$N249="","-",'ORDENES'!$N249))</f>
        <v/>
      </c>
      <c r="N271" s="3">
        <f>IF('ORDENES'!$A249="","",'ORDENES'!$AD249)</f>
        <v/>
      </c>
    </row>
    <row r="272">
      <c r="A272" s="3">
        <f>IF('ORDENES'!$A250="","",IF('ORDENES'!$O250="","-",'ORDENES'!$O250))</f>
        <v/>
      </c>
      <c r="B272" s="3">
        <f>IF('ORDENES'!$A250="","",IF('ORDENES'!$R250="","-",'ORDENES'!$R250))</f>
        <v/>
      </c>
      <c r="C272" s="3">
        <f>IF('ORDENES'!$A250="","",IF('ORDENES'!$AF250="","-",'ORDENES'!$AF250))</f>
        <v/>
      </c>
      <c r="D272" s="3">
        <f>IF('ORDENES'!$A250="","",IF('ORDENES'!$X250="","-",'ORDENES'!$X250))</f>
        <v/>
      </c>
      <c r="E272" s="3">
        <f>IF('ORDENES'!$A250="","",IF('ORDENES'!$V250="","-",'ORDENES'!$V250))</f>
        <v/>
      </c>
      <c r="F272" s="3">
        <f>IF('ORDENES'!$A250="","",IF('ORDENES'!$Y250="","-",'ORDENES'!$Y250))</f>
        <v/>
      </c>
      <c r="G272" s="3">
        <f>IF('ORDENES'!$A250="","",IF('ORDENES'!$W250="","-",'ORDENES'!$W250))</f>
        <v/>
      </c>
      <c r="H272" s="3">
        <f>IF('ORDENES'!$A250="","",IF('ORDENES'!$AE250="","-",'ORDENES'!$AE250))</f>
        <v/>
      </c>
      <c r="I272" s="3">
        <f>IF('ORDENES'!$A250="","",IF('ORDENES'!$AQ250="","-",'ORDENES'!$AQ250))</f>
        <v/>
      </c>
      <c r="J272" s="3">
        <f>IF('ORDENES'!$A250="","",IF('ORDENES'!$D250="","-",'ORDENES'!$D250))</f>
        <v/>
      </c>
      <c r="K272" s="3">
        <f>IF('ORDENES'!$A250="","",IF('ORDENES'!$E250="","-",'ORDENES'!$E250))</f>
        <v/>
      </c>
      <c r="L272" s="13">
        <f>IF('ORDENES'!$A250="","",IF('ORDENES'!$M250="",0,'ORDENES'!$M250))</f>
        <v/>
      </c>
      <c r="M272" s="3">
        <f>IF('ORDENES'!$A250="","",IF('ORDENES'!$N250="","-",'ORDENES'!$N250))</f>
        <v/>
      </c>
      <c r="N272" s="3">
        <f>IF('ORDENES'!$A250="","",'ORDENES'!$AD250)</f>
        <v/>
      </c>
    </row>
    <row r="273">
      <c r="A273" s="3">
        <f>IF('ORDENES'!$A251="","",IF('ORDENES'!$O251="","-",'ORDENES'!$O251))</f>
        <v/>
      </c>
      <c r="B273" s="3">
        <f>IF('ORDENES'!$A251="","",IF('ORDENES'!$R251="","-",'ORDENES'!$R251))</f>
        <v/>
      </c>
      <c r="C273" s="3">
        <f>IF('ORDENES'!$A251="","",IF('ORDENES'!$AF251="","-",'ORDENES'!$AF251))</f>
        <v/>
      </c>
      <c r="D273" s="3">
        <f>IF('ORDENES'!$A251="","",IF('ORDENES'!$X251="","-",'ORDENES'!$X251))</f>
        <v/>
      </c>
      <c r="E273" s="3">
        <f>IF('ORDENES'!$A251="","",IF('ORDENES'!$V251="","-",'ORDENES'!$V251))</f>
        <v/>
      </c>
      <c r="F273" s="3">
        <f>IF('ORDENES'!$A251="","",IF('ORDENES'!$Y251="","-",'ORDENES'!$Y251))</f>
        <v/>
      </c>
      <c r="G273" s="3">
        <f>IF('ORDENES'!$A251="","",IF('ORDENES'!$W251="","-",'ORDENES'!$W251))</f>
        <v/>
      </c>
      <c r="H273" s="3">
        <f>IF('ORDENES'!$A251="","",IF('ORDENES'!$AE251="","-",'ORDENES'!$AE251))</f>
        <v/>
      </c>
      <c r="I273" s="3">
        <f>IF('ORDENES'!$A251="","",IF('ORDENES'!$AQ251="","-",'ORDENES'!$AQ251))</f>
        <v/>
      </c>
      <c r="J273" s="3">
        <f>IF('ORDENES'!$A251="","",IF('ORDENES'!$D251="","-",'ORDENES'!$D251))</f>
        <v/>
      </c>
      <c r="K273" s="3">
        <f>IF('ORDENES'!$A251="","",IF('ORDENES'!$E251="","-",'ORDENES'!$E251))</f>
        <v/>
      </c>
      <c r="L273" s="13">
        <f>IF('ORDENES'!$A251="","",IF('ORDENES'!$M251="",0,'ORDENES'!$M251))</f>
        <v/>
      </c>
      <c r="M273" s="3">
        <f>IF('ORDENES'!$A251="","",IF('ORDENES'!$N251="","-",'ORDENES'!$N251))</f>
        <v/>
      </c>
      <c r="N273" s="3">
        <f>IF('ORDENES'!$A251="","",'ORDENES'!$AD251)</f>
        <v/>
      </c>
    </row>
    <row r="274">
      <c r="A274" s="3">
        <f>IF('ORDENES'!$A252="","",IF('ORDENES'!$O252="","-",'ORDENES'!$O252))</f>
        <v/>
      </c>
      <c r="B274" s="3">
        <f>IF('ORDENES'!$A252="","",IF('ORDENES'!$R252="","-",'ORDENES'!$R252))</f>
        <v/>
      </c>
      <c r="C274" s="3">
        <f>IF('ORDENES'!$A252="","",IF('ORDENES'!$AF252="","-",'ORDENES'!$AF252))</f>
        <v/>
      </c>
      <c r="D274" s="3">
        <f>IF('ORDENES'!$A252="","",IF('ORDENES'!$X252="","-",'ORDENES'!$X252))</f>
        <v/>
      </c>
      <c r="E274" s="3">
        <f>IF('ORDENES'!$A252="","",IF('ORDENES'!$V252="","-",'ORDENES'!$V252))</f>
        <v/>
      </c>
      <c r="F274" s="3">
        <f>IF('ORDENES'!$A252="","",IF('ORDENES'!$Y252="","-",'ORDENES'!$Y252))</f>
        <v/>
      </c>
      <c r="G274" s="3">
        <f>IF('ORDENES'!$A252="","",IF('ORDENES'!$W252="","-",'ORDENES'!$W252))</f>
        <v/>
      </c>
      <c r="H274" s="3">
        <f>IF('ORDENES'!$A252="","",IF('ORDENES'!$AE252="","-",'ORDENES'!$AE252))</f>
        <v/>
      </c>
      <c r="I274" s="3">
        <f>IF('ORDENES'!$A252="","",IF('ORDENES'!$AQ252="","-",'ORDENES'!$AQ252))</f>
        <v/>
      </c>
      <c r="J274" s="3">
        <f>IF('ORDENES'!$A252="","",IF('ORDENES'!$D252="","-",'ORDENES'!$D252))</f>
        <v/>
      </c>
      <c r="K274" s="3">
        <f>IF('ORDENES'!$A252="","",IF('ORDENES'!$E252="","-",'ORDENES'!$E252))</f>
        <v/>
      </c>
      <c r="L274" s="13">
        <f>IF('ORDENES'!$A252="","",IF('ORDENES'!$M252="",0,'ORDENES'!$M252))</f>
        <v/>
      </c>
      <c r="M274" s="3">
        <f>IF('ORDENES'!$A252="","",IF('ORDENES'!$N252="","-",'ORDENES'!$N252))</f>
        <v/>
      </c>
      <c r="N274" s="3">
        <f>IF('ORDENES'!$A252="","",'ORDENES'!$AD252)</f>
        <v/>
      </c>
    </row>
    <row r="275">
      <c r="A275" s="3">
        <f>IF('ORDENES'!$A253="","",IF('ORDENES'!$O253="","-",'ORDENES'!$O253))</f>
        <v/>
      </c>
      <c r="B275" s="3">
        <f>IF('ORDENES'!$A253="","",IF('ORDENES'!$R253="","-",'ORDENES'!$R253))</f>
        <v/>
      </c>
      <c r="C275" s="3">
        <f>IF('ORDENES'!$A253="","",IF('ORDENES'!$AF253="","-",'ORDENES'!$AF253))</f>
        <v/>
      </c>
      <c r="D275" s="3">
        <f>IF('ORDENES'!$A253="","",IF('ORDENES'!$X253="","-",'ORDENES'!$X253))</f>
        <v/>
      </c>
      <c r="E275" s="3">
        <f>IF('ORDENES'!$A253="","",IF('ORDENES'!$V253="","-",'ORDENES'!$V253))</f>
        <v/>
      </c>
      <c r="F275" s="3">
        <f>IF('ORDENES'!$A253="","",IF('ORDENES'!$Y253="","-",'ORDENES'!$Y253))</f>
        <v/>
      </c>
      <c r="G275" s="3">
        <f>IF('ORDENES'!$A253="","",IF('ORDENES'!$W253="","-",'ORDENES'!$W253))</f>
        <v/>
      </c>
      <c r="H275" s="3">
        <f>IF('ORDENES'!$A253="","",IF('ORDENES'!$AE253="","-",'ORDENES'!$AE253))</f>
        <v/>
      </c>
      <c r="I275" s="3">
        <f>IF('ORDENES'!$A253="","",IF('ORDENES'!$AQ253="","-",'ORDENES'!$AQ253))</f>
        <v/>
      </c>
      <c r="J275" s="3">
        <f>IF('ORDENES'!$A253="","",IF('ORDENES'!$D253="","-",'ORDENES'!$D253))</f>
        <v/>
      </c>
      <c r="K275" s="3">
        <f>IF('ORDENES'!$A253="","",IF('ORDENES'!$E253="","-",'ORDENES'!$E253))</f>
        <v/>
      </c>
      <c r="L275" s="13">
        <f>IF('ORDENES'!$A253="","",IF('ORDENES'!$M253="",0,'ORDENES'!$M253))</f>
        <v/>
      </c>
      <c r="M275" s="3">
        <f>IF('ORDENES'!$A253="","",IF('ORDENES'!$N253="","-",'ORDENES'!$N253))</f>
        <v/>
      </c>
      <c r="N275" s="3">
        <f>IF('ORDENES'!$A253="","",'ORDENES'!$AD253)</f>
        <v/>
      </c>
    </row>
    <row r="276">
      <c r="A276" s="3">
        <f>IF('ORDENES'!$A254="","",IF('ORDENES'!$O254="","-",'ORDENES'!$O254))</f>
        <v/>
      </c>
      <c r="B276" s="3">
        <f>IF('ORDENES'!$A254="","",IF('ORDENES'!$R254="","-",'ORDENES'!$R254))</f>
        <v/>
      </c>
      <c r="C276" s="3">
        <f>IF('ORDENES'!$A254="","",IF('ORDENES'!$AF254="","-",'ORDENES'!$AF254))</f>
        <v/>
      </c>
      <c r="D276" s="3">
        <f>IF('ORDENES'!$A254="","",IF('ORDENES'!$X254="","-",'ORDENES'!$X254))</f>
        <v/>
      </c>
      <c r="E276" s="3">
        <f>IF('ORDENES'!$A254="","",IF('ORDENES'!$V254="","-",'ORDENES'!$V254))</f>
        <v/>
      </c>
      <c r="F276" s="3">
        <f>IF('ORDENES'!$A254="","",IF('ORDENES'!$Y254="","-",'ORDENES'!$Y254))</f>
        <v/>
      </c>
      <c r="G276" s="3">
        <f>IF('ORDENES'!$A254="","",IF('ORDENES'!$W254="","-",'ORDENES'!$W254))</f>
        <v/>
      </c>
      <c r="H276" s="3">
        <f>IF('ORDENES'!$A254="","",IF('ORDENES'!$AE254="","-",'ORDENES'!$AE254))</f>
        <v/>
      </c>
      <c r="I276" s="3">
        <f>IF('ORDENES'!$A254="","",IF('ORDENES'!$AQ254="","-",'ORDENES'!$AQ254))</f>
        <v/>
      </c>
      <c r="J276" s="3">
        <f>IF('ORDENES'!$A254="","",IF('ORDENES'!$D254="","-",'ORDENES'!$D254))</f>
        <v/>
      </c>
      <c r="K276" s="3">
        <f>IF('ORDENES'!$A254="","",IF('ORDENES'!$E254="","-",'ORDENES'!$E254))</f>
        <v/>
      </c>
      <c r="L276" s="13">
        <f>IF('ORDENES'!$A254="","",IF('ORDENES'!$M254="",0,'ORDENES'!$M254))</f>
        <v/>
      </c>
      <c r="M276" s="3">
        <f>IF('ORDENES'!$A254="","",IF('ORDENES'!$N254="","-",'ORDENES'!$N254))</f>
        <v/>
      </c>
      <c r="N276" s="3">
        <f>IF('ORDENES'!$A254="","",'ORDENES'!$AD254)</f>
        <v/>
      </c>
    </row>
    <row r="277">
      <c r="A277" s="3">
        <f>IF('ORDENES'!$A255="","",IF('ORDENES'!$O255="","-",'ORDENES'!$O255))</f>
        <v/>
      </c>
      <c r="B277" s="3">
        <f>IF('ORDENES'!$A255="","",IF('ORDENES'!$R255="","-",'ORDENES'!$R255))</f>
        <v/>
      </c>
      <c r="C277" s="3">
        <f>IF('ORDENES'!$A255="","",IF('ORDENES'!$AF255="","-",'ORDENES'!$AF255))</f>
        <v/>
      </c>
      <c r="D277" s="3">
        <f>IF('ORDENES'!$A255="","",IF('ORDENES'!$X255="","-",'ORDENES'!$X255))</f>
        <v/>
      </c>
      <c r="E277" s="3">
        <f>IF('ORDENES'!$A255="","",IF('ORDENES'!$V255="","-",'ORDENES'!$V255))</f>
        <v/>
      </c>
      <c r="F277" s="3">
        <f>IF('ORDENES'!$A255="","",IF('ORDENES'!$Y255="","-",'ORDENES'!$Y255))</f>
        <v/>
      </c>
      <c r="G277" s="3">
        <f>IF('ORDENES'!$A255="","",IF('ORDENES'!$W255="","-",'ORDENES'!$W255))</f>
        <v/>
      </c>
      <c r="H277" s="3">
        <f>IF('ORDENES'!$A255="","",IF('ORDENES'!$AE255="","-",'ORDENES'!$AE255))</f>
        <v/>
      </c>
      <c r="I277" s="3">
        <f>IF('ORDENES'!$A255="","",IF('ORDENES'!$AQ255="","-",'ORDENES'!$AQ255))</f>
        <v/>
      </c>
      <c r="J277" s="3">
        <f>IF('ORDENES'!$A255="","",IF('ORDENES'!$D255="","-",'ORDENES'!$D255))</f>
        <v/>
      </c>
      <c r="K277" s="3">
        <f>IF('ORDENES'!$A255="","",IF('ORDENES'!$E255="","-",'ORDENES'!$E255))</f>
        <v/>
      </c>
      <c r="L277" s="13">
        <f>IF('ORDENES'!$A255="","",IF('ORDENES'!$M255="",0,'ORDENES'!$M255))</f>
        <v/>
      </c>
      <c r="M277" s="3">
        <f>IF('ORDENES'!$A255="","",IF('ORDENES'!$N255="","-",'ORDENES'!$N255))</f>
        <v/>
      </c>
      <c r="N277" s="3">
        <f>IF('ORDENES'!$A255="","",'ORDENES'!$AD255)</f>
        <v/>
      </c>
    </row>
    <row r="278">
      <c r="A278" s="3">
        <f>IF('ORDENES'!$A256="","",IF('ORDENES'!$O256="","-",'ORDENES'!$O256))</f>
        <v/>
      </c>
      <c r="B278" s="3">
        <f>IF('ORDENES'!$A256="","",IF('ORDENES'!$R256="","-",'ORDENES'!$R256))</f>
        <v/>
      </c>
      <c r="C278" s="3">
        <f>IF('ORDENES'!$A256="","",IF('ORDENES'!$AF256="","-",'ORDENES'!$AF256))</f>
        <v/>
      </c>
      <c r="D278" s="3">
        <f>IF('ORDENES'!$A256="","",IF('ORDENES'!$X256="","-",'ORDENES'!$X256))</f>
        <v/>
      </c>
      <c r="E278" s="3">
        <f>IF('ORDENES'!$A256="","",IF('ORDENES'!$V256="","-",'ORDENES'!$V256))</f>
        <v/>
      </c>
      <c r="F278" s="3">
        <f>IF('ORDENES'!$A256="","",IF('ORDENES'!$Y256="","-",'ORDENES'!$Y256))</f>
        <v/>
      </c>
      <c r="G278" s="3">
        <f>IF('ORDENES'!$A256="","",IF('ORDENES'!$W256="","-",'ORDENES'!$W256))</f>
        <v/>
      </c>
      <c r="H278" s="3">
        <f>IF('ORDENES'!$A256="","",IF('ORDENES'!$AE256="","-",'ORDENES'!$AE256))</f>
        <v/>
      </c>
      <c r="I278" s="3">
        <f>IF('ORDENES'!$A256="","",IF('ORDENES'!$AQ256="","-",'ORDENES'!$AQ256))</f>
        <v/>
      </c>
      <c r="J278" s="3">
        <f>IF('ORDENES'!$A256="","",IF('ORDENES'!$D256="","-",'ORDENES'!$D256))</f>
        <v/>
      </c>
      <c r="K278" s="3">
        <f>IF('ORDENES'!$A256="","",IF('ORDENES'!$E256="","-",'ORDENES'!$E256))</f>
        <v/>
      </c>
      <c r="L278" s="13">
        <f>IF('ORDENES'!$A256="","",IF('ORDENES'!$M256="",0,'ORDENES'!$M256))</f>
        <v/>
      </c>
      <c r="M278" s="3">
        <f>IF('ORDENES'!$A256="","",IF('ORDENES'!$N256="","-",'ORDENES'!$N256))</f>
        <v/>
      </c>
      <c r="N278" s="3">
        <f>IF('ORDENES'!$A256="","",'ORDENES'!$AD256)</f>
        <v/>
      </c>
    </row>
    <row r="279">
      <c r="A279" s="3">
        <f>IF('ORDENES'!$A257="","",IF('ORDENES'!$O257="","-",'ORDENES'!$O257))</f>
        <v/>
      </c>
      <c r="B279" s="3">
        <f>IF('ORDENES'!$A257="","",IF('ORDENES'!$R257="","-",'ORDENES'!$R257))</f>
        <v/>
      </c>
      <c r="C279" s="3">
        <f>IF('ORDENES'!$A257="","",IF('ORDENES'!$AF257="","-",'ORDENES'!$AF257))</f>
        <v/>
      </c>
      <c r="D279" s="3">
        <f>IF('ORDENES'!$A257="","",IF('ORDENES'!$X257="","-",'ORDENES'!$X257))</f>
        <v/>
      </c>
      <c r="E279" s="3">
        <f>IF('ORDENES'!$A257="","",IF('ORDENES'!$V257="","-",'ORDENES'!$V257))</f>
        <v/>
      </c>
      <c r="F279" s="3">
        <f>IF('ORDENES'!$A257="","",IF('ORDENES'!$Y257="","-",'ORDENES'!$Y257))</f>
        <v/>
      </c>
      <c r="G279" s="3">
        <f>IF('ORDENES'!$A257="","",IF('ORDENES'!$W257="","-",'ORDENES'!$W257))</f>
        <v/>
      </c>
      <c r="H279" s="3">
        <f>IF('ORDENES'!$A257="","",IF('ORDENES'!$AE257="","-",'ORDENES'!$AE257))</f>
        <v/>
      </c>
      <c r="I279" s="3">
        <f>IF('ORDENES'!$A257="","",IF('ORDENES'!$AQ257="","-",'ORDENES'!$AQ257))</f>
        <v/>
      </c>
      <c r="J279" s="3">
        <f>IF('ORDENES'!$A257="","",IF('ORDENES'!$D257="","-",'ORDENES'!$D257))</f>
        <v/>
      </c>
      <c r="K279" s="3">
        <f>IF('ORDENES'!$A257="","",IF('ORDENES'!$E257="","-",'ORDENES'!$E257))</f>
        <v/>
      </c>
      <c r="L279" s="13">
        <f>IF('ORDENES'!$A257="","",IF('ORDENES'!$M257="",0,'ORDENES'!$M257))</f>
        <v/>
      </c>
      <c r="M279" s="3">
        <f>IF('ORDENES'!$A257="","",IF('ORDENES'!$N257="","-",'ORDENES'!$N257))</f>
        <v/>
      </c>
      <c r="N279" s="3">
        <f>IF('ORDENES'!$A257="","",'ORDENES'!$AD257)</f>
        <v/>
      </c>
    </row>
    <row r="280">
      <c r="A280" s="3">
        <f>IF('ORDENES'!$A258="","",IF('ORDENES'!$O258="","-",'ORDENES'!$O258))</f>
        <v/>
      </c>
      <c r="B280" s="3">
        <f>IF('ORDENES'!$A258="","",IF('ORDENES'!$R258="","-",'ORDENES'!$R258))</f>
        <v/>
      </c>
      <c r="C280" s="3">
        <f>IF('ORDENES'!$A258="","",IF('ORDENES'!$AF258="","-",'ORDENES'!$AF258))</f>
        <v/>
      </c>
      <c r="D280" s="3">
        <f>IF('ORDENES'!$A258="","",IF('ORDENES'!$X258="","-",'ORDENES'!$X258))</f>
        <v/>
      </c>
      <c r="E280" s="3">
        <f>IF('ORDENES'!$A258="","",IF('ORDENES'!$V258="","-",'ORDENES'!$V258))</f>
        <v/>
      </c>
      <c r="F280" s="3">
        <f>IF('ORDENES'!$A258="","",IF('ORDENES'!$Y258="","-",'ORDENES'!$Y258))</f>
        <v/>
      </c>
      <c r="G280" s="3">
        <f>IF('ORDENES'!$A258="","",IF('ORDENES'!$W258="","-",'ORDENES'!$W258))</f>
        <v/>
      </c>
      <c r="H280" s="3">
        <f>IF('ORDENES'!$A258="","",IF('ORDENES'!$AE258="","-",'ORDENES'!$AE258))</f>
        <v/>
      </c>
      <c r="I280" s="3">
        <f>IF('ORDENES'!$A258="","",IF('ORDENES'!$AQ258="","-",'ORDENES'!$AQ258))</f>
        <v/>
      </c>
      <c r="J280" s="3">
        <f>IF('ORDENES'!$A258="","",IF('ORDENES'!$D258="","-",'ORDENES'!$D258))</f>
        <v/>
      </c>
      <c r="K280" s="3">
        <f>IF('ORDENES'!$A258="","",IF('ORDENES'!$E258="","-",'ORDENES'!$E258))</f>
        <v/>
      </c>
      <c r="L280" s="13">
        <f>IF('ORDENES'!$A258="","",IF('ORDENES'!$M258="",0,'ORDENES'!$M258))</f>
        <v/>
      </c>
      <c r="M280" s="3">
        <f>IF('ORDENES'!$A258="","",IF('ORDENES'!$N258="","-",'ORDENES'!$N258))</f>
        <v/>
      </c>
      <c r="N280" s="3">
        <f>IF('ORDENES'!$A258="","",'ORDENES'!$AD258)</f>
        <v/>
      </c>
    </row>
    <row r="281">
      <c r="A281" s="3">
        <f>IF('ORDENES'!$A259="","",IF('ORDENES'!$O259="","-",'ORDENES'!$O259))</f>
        <v/>
      </c>
      <c r="B281" s="3">
        <f>IF('ORDENES'!$A259="","",IF('ORDENES'!$R259="","-",'ORDENES'!$R259))</f>
        <v/>
      </c>
      <c r="C281" s="3">
        <f>IF('ORDENES'!$A259="","",IF('ORDENES'!$AF259="","-",'ORDENES'!$AF259))</f>
        <v/>
      </c>
      <c r="D281" s="3">
        <f>IF('ORDENES'!$A259="","",IF('ORDENES'!$X259="","-",'ORDENES'!$X259))</f>
        <v/>
      </c>
      <c r="E281" s="3">
        <f>IF('ORDENES'!$A259="","",IF('ORDENES'!$V259="","-",'ORDENES'!$V259))</f>
        <v/>
      </c>
      <c r="F281" s="3">
        <f>IF('ORDENES'!$A259="","",IF('ORDENES'!$Y259="","-",'ORDENES'!$Y259))</f>
        <v/>
      </c>
      <c r="G281" s="3">
        <f>IF('ORDENES'!$A259="","",IF('ORDENES'!$W259="","-",'ORDENES'!$W259))</f>
        <v/>
      </c>
      <c r="H281" s="3">
        <f>IF('ORDENES'!$A259="","",IF('ORDENES'!$AE259="","-",'ORDENES'!$AE259))</f>
        <v/>
      </c>
      <c r="I281" s="3">
        <f>IF('ORDENES'!$A259="","",IF('ORDENES'!$AQ259="","-",'ORDENES'!$AQ259))</f>
        <v/>
      </c>
      <c r="J281" s="3">
        <f>IF('ORDENES'!$A259="","",IF('ORDENES'!$D259="","-",'ORDENES'!$D259))</f>
        <v/>
      </c>
      <c r="K281" s="3">
        <f>IF('ORDENES'!$A259="","",IF('ORDENES'!$E259="","-",'ORDENES'!$E259))</f>
        <v/>
      </c>
      <c r="L281" s="13">
        <f>IF('ORDENES'!$A259="","",IF('ORDENES'!$M259="",0,'ORDENES'!$M259))</f>
        <v/>
      </c>
      <c r="M281" s="3">
        <f>IF('ORDENES'!$A259="","",IF('ORDENES'!$N259="","-",'ORDENES'!$N259))</f>
        <v/>
      </c>
      <c r="N281" s="3">
        <f>IF('ORDENES'!$A259="","",'ORDENES'!$AD259)</f>
        <v/>
      </c>
    </row>
    <row r="282">
      <c r="A282" s="3">
        <f>IF('ORDENES'!$A260="","",IF('ORDENES'!$O260="","-",'ORDENES'!$O260))</f>
        <v/>
      </c>
      <c r="B282" s="3">
        <f>IF('ORDENES'!$A260="","",IF('ORDENES'!$R260="","-",'ORDENES'!$R260))</f>
        <v/>
      </c>
      <c r="C282" s="3">
        <f>IF('ORDENES'!$A260="","",IF('ORDENES'!$AF260="","-",'ORDENES'!$AF260))</f>
        <v/>
      </c>
      <c r="D282" s="3">
        <f>IF('ORDENES'!$A260="","",IF('ORDENES'!$X260="","-",'ORDENES'!$X260))</f>
        <v/>
      </c>
      <c r="E282" s="3">
        <f>IF('ORDENES'!$A260="","",IF('ORDENES'!$V260="","-",'ORDENES'!$V260))</f>
        <v/>
      </c>
      <c r="F282" s="3">
        <f>IF('ORDENES'!$A260="","",IF('ORDENES'!$Y260="","-",'ORDENES'!$Y260))</f>
        <v/>
      </c>
      <c r="G282" s="3">
        <f>IF('ORDENES'!$A260="","",IF('ORDENES'!$W260="","-",'ORDENES'!$W260))</f>
        <v/>
      </c>
      <c r="H282" s="3">
        <f>IF('ORDENES'!$A260="","",IF('ORDENES'!$AE260="","-",'ORDENES'!$AE260))</f>
        <v/>
      </c>
      <c r="I282" s="3">
        <f>IF('ORDENES'!$A260="","",IF('ORDENES'!$AQ260="","-",'ORDENES'!$AQ260))</f>
        <v/>
      </c>
      <c r="J282" s="3">
        <f>IF('ORDENES'!$A260="","",IF('ORDENES'!$D260="","-",'ORDENES'!$D260))</f>
        <v/>
      </c>
      <c r="K282" s="3">
        <f>IF('ORDENES'!$A260="","",IF('ORDENES'!$E260="","-",'ORDENES'!$E260))</f>
        <v/>
      </c>
      <c r="L282" s="13">
        <f>IF('ORDENES'!$A260="","",IF('ORDENES'!$M260="",0,'ORDENES'!$M260))</f>
        <v/>
      </c>
      <c r="M282" s="3">
        <f>IF('ORDENES'!$A260="","",IF('ORDENES'!$N260="","-",'ORDENES'!$N260))</f>
        <v/>
      </c>
      <c r="N282" s="3">
        <f>IF('ORDENES'!$A260="","",'ORDENES'!$AD260)</f>
        <v/>
      </c>
    </row>
    <row r="283">
      <c r="A283" s="3">
        <f>IF('ORDENES'!$A261="","",IF('ORDENES'!$O261="","-",'ORDENES'!$O261))</f>
        <v/>
      </c>
      <c r="B283" s="3">
        <f>IF('ORDENES'!$A261="","",IF('ORDENES'!$R261="","-",'ORDENES'!$R261))</f>
        <v/>
      </c>
      <c r="C283" s="3">
        <f>IF('ORDENES'!$A261="","",IF('ORDENES'!$AF261="","-",'ORDENES'!$AF261))</f>
        <v/>
      </c>
      <c r="D283" s="3">
        <f>IF('ORDENES'!$A261="","",IF('ORDENES'!$X261="","-",'ORDENES'!$X261))</f>
        <v/>
      </c>
      <c r="E283" s="3">
        <f>IF('ORDENES'!$A261="","",IF('ORDENES'!$V261="","-",'ORDENES'!$V261))</f>
        <v/>
      </c>
      <c r="F283" s="3">
        <f>IF('ORDENES'!$A261="","",IF('ORDENES'!$Y261="","-",'ORDENES'!$Y261))</f>
        <v/>
      </c>
      <c r="G283" s="3">
        <f>IF('ORDENES'!$A261="","",IF('ORDENES'!$W261="","-",'ORDENES'!$W261))</f>
        <v/>
      </c>
      <c r="H283" s="3">
        <f>IF('ORDENES'!$A261="","",IF('ORDENES'!$AE261="","-",'ORDENES'!$AE261))</f>
        <v/>
      </c>
      <c r="I283" s="3">
        <f>IF('ORDENES'!$A261="","",IF('ORDENES'!$AQ261="","-",'ORDENES'!$AQ261))</f>
        <v/>
      </c>
      <c r="J283" s="3">
        <f>IF('ORDENES'!$A261="","",IF('ORDENES'!$D261="","-",'ORDENES'!$D261))</f>
        <v/>
      </c>
      <c r="K283" s="3">
        <f>IF('ORDENES'!$A261="","",IF('ORDENES'!$E261="","-",'ORDENES'!$E261))</f>
        <v/>
      </c>
      <c r="L283" s="13">
        <f>IF('ORDENES'!$A261="","",IF('ORDENES'!$M261="",0,'ORDENES'!$M261))</f>
        <v/>
      </c>
      <c r="M283" s="3">
        <f>IF('ORDENES'!$A261="","",IF('ORDENES'!$N261="","-",'ORDENES'!$N261))</f>
        <v/>
      </c>
      <c r="N283" s="3">
        <f>IF('ORDENES'!$A261="","",'ORDENES'!$AD261)</f>
        <v/>
      </c>
    </row>
    <row r="284">
      <c r="A284" s="3">
        <f>IF('ORDENES'!$A262="","",IF('ORDENES'!$O262="","-",'ORDENES'!$O262))</f>
        <v/>
      </c>
      <c r="B284" s="3">
        <f>IF('ORDENES'!$A262="","",IF('ORDENES'!$R262="","-",'ORDENES'!$R262))</f>
        <v/>
      </c>
      <c r="C284" s="3">
        <f>IF('ORDENES'!$A262="","",IF('ORDENES'!$AF262="","-",'ORDENES'!$AF262))</f>
        <v/>
      </c>
      <c r="D284" s="3">
        <f>IF('ORDENES'!$A262="","",IF('ORDENES'!$X262="","-",'ORDENES'!$X262))</f>
        <v/>
      </c>
      <c r="E284" s="3">
        <f>IF('ORDENES'!$A262="","",IF('ORDENES'!$V262="","-",'ORDENES'!$V262))</f>
        <v/>
      </c>
      <c r="F284" s="3">
        <f>IF('ORDENES'!$A262="","",IF('ORDENES'!$Y262="","-",'ORDENES'!$Y262))</f>
        <v/>
      </c>
      <c r="G284" s="3">
        <f>IF('ORDENES'!$A262="","",IF('ORDENES'!$W262="","-",'ORDENES'!$W262))</f>
        <v/>
      </c>
      <c r="H284" s="3">
        <f>IF('ORDENES'!$A262="","",IF('ORDENES'!$AE262="","-",'ORDENES'!$AE262))</f>
        <v/>
      </c>
      <c r="I284" s="3">
        <f>IF('ORDENES'!$A262="","",IF('ORDENES'!$AQ262="","-",'ORDENES'!$AQ262))</f>
        <v/>
      </c>
      <c r="J284" s="3">
        <f>IF('ORDENES'!$A262="","",IF('ORDENES'!$D262="","-",'ORDENES'!$D262))</f>
        <v/>
      </c>
      <c r="K284" s="3">
        <f>IF('ORDENES'!$A262="","",IF('ORDENES'!$E262="","-",'ORDENES'!$E262))</f>
        <v/>
      </c>
      <c r="L284" s="13">
        <f>IF('ORDENES'!$A262="","",IF('ORDENES'!$M262="",0,'ORDENES'!$M262))</f>
        <v/>
      </c>
      <c r="M284" s="3">
        <f>IF('ORDENES'!$A262="","",IF('ORDENES'!$N262="","-",'ORDENES'!$N262))</f>
        <v/>
      </c>
      <c r="N284" s="3">
        <f>IF('ORDENES'!$A262="","",'ORDENES'!$AD262)</f>
        <v/>
      </c>
    </row>
    <row r="285">
      <c r="A285" s="3">
        <f>IF('ORDENES'!$A263="","",IF('ORDENES'!$O263="","-",'ORDENES'!$O263))</f>
        <v/>
      </c>
      <c r="B285" s="3">
        <f>IF('ORDENES'!$A263="","",IF('ORDENES'!$R263="","-",'ORDENES'!$R263))</f>
        <v/>
      </c>
      <c r="C285" s="3">
        <f>IF('ORDENES'!$A263="","",IF('ORDENES'!$AF263="","-",'ORDENES'!$AF263))</f>
        <v/>
      </c>
      <c r="D285" s="3">
        <f>IF('ORDENES'!$A263="","",IF('ORDENES'!$X263="","-",'ORDENES'!$X263))</f>
        <v/>
      </c>
      <c r="E285" s="3">
        <f>IF('ORDENES'!$A263="","",IF('ORDENES'!$V263="","-",'ORDENES'!$V263))</f>
        <v/>
      </c>
      <c r="F285" s="3">
        <f>IF('ORDENES'!$A263="","",IF('ORDENES'!$Y263="","-",'ORDENES'!$Y263))</f>
        <v/>
      </c>
      <c r="G285" s="3">
        <f>IF('ORDENES'!$A263="","",IF('ORDENES'!$W263="","-",'ORDENES'!$W263))</f>
        <v/>
      </c>
      <c r="H285" s="3">
        <f>IF('ORDENES'!$A263="","",IF('ORDENES'!$AE263="","-",'ORDENES'!$AE263))</f>
        <v/>
      </c>
      <c r="I285" s="3">
        <f>IF('ORDENES'!$A263="","",IF('ORDENES'!$AQ263="","-",'ORDENES'!$AQ263))</f>
        <v/>
      </c>
      <c r="J285" s="3">
        <f>IF('ORDENES'!$A263="","",IF('ORDENES'!$D263="","-",'ORDENES'!$D263))</f>
        <v/>
      </c>
      <c r="K285" s="3">
        <f>IF('ORDENES'!$A263="","",IF('ORDENES'!$E263="","-",'ORDENES'!$E263))</f>
        <v/>
      </c>
      <c r="L285" s="13">
        <f>IF('ORDENES'!$A263="","",IF('ORDENES'!$M263="",0,'ORDENES'!$M263))</f>
        <v/>
      </c>
      <c r="M285" s="3">
        <f>IF('ORDENES'!$A263="","",IF('ORDENES'!$N263="","-",'ORDENES'!$N263))</f>
        <v/>
      </c>
      <c r="N285" s="3">
        <f>IF('ORDENES'!$A263="","",'ORDENES'!$AD263)</f>
        <v/>
      </c>
    </row>
    <row r="286">
      <c r="A286" s="3">
        <f>IF('ORDENES'!$A264="","",IF('ORDENES'!$O264="","-",'ORDENES'!$O264))</f>
        <v/>
      </c>
      <c r="B286" s="3">
        <f>IF('ORDENES'!$A264="","",IF('ORDENES'!$R264="","-",'ORDENES'!$R264))</f>
        <v/>
      </c>
      <c r="C286" s="3">
        <f>IF('ORDENES'!$A264="","",IF('ORDENES'!$AF264="","-",'ORDENES'!$AF264))</f>
        <v/>
      </c>
      <c r="D286" s="3">
        <f>IF('ORDENES'!$A264="","",IF('ORDENES'!$X264="","-",'ORDENES'!$X264))</f>
        <v/>
      </c>
      <c r="E286" s="3">
        <f>IF('ORDENES'!$A264="","",IF('ORDENES'!$V264="","-",'ORDENES'!$V264))</f>
        <v/>
      </c>
      <c r="F286" s="3">
        <f>IF('ORDENES'!$A264="","",IF('ORDENES'!$Y264="","-",'ORDENES'!$Y264))</f>
        <v/>
      </c>
      <c r="G286" s="3">
        <f>IF('ORDENES'!$A264="","",IF('ORDENES'!$W264="","-",'ORDENES'!$W264))</f>
        <v/>
      </c>
      <c r="H286" s="3">
        <f>IF('ORDENES'!$A264="","",IF('ORDENES'!$AE264="","-",'ORDENES'!$AE264))</f>
        <v/>
      </c>
      <c r="I286" s="3">
        <f>IF('ORDENES'!$A264="","",IF('ORDENES'!$AQ264="","-",'ORDENES'!$AQ264))</f>
        <v/>
      </c>
      <c r="J286" s="3">
        <f>IF('ORDENES'!$A264="","",IF('ORDENES'!$D264="","-",'ORDENES'!$D264))</f>
        <v/>
      </c>
      <c r="K286" s="3">
        <f>IF('ORDENES'!$A264="","",IF('ORDENES'!$E264="","-",'ORDENES'!$E264))</f>
        <v/>
      </c>
      <c r="L286" s="13">
        <f>IF('ORDENES'!$A264="","",IF('ORDENES'!$M264="",0,'ORDENES'!$M264))</f>
        <v/>
      </c>
      <c r="M286" s="3">
        <f>IF('ORDENES'!$A264="","",IF('ORDENES'!$N264="","-",'ORDENES'!$N264))</f>
        <v/>
      </c>
      <c r="N286" s="3">
        <f>IF('ORDENES'!$A264="","",'ORDENES'!$AD264)</f>
        <v/>
      </c>
    </row>
    <row r="287">
      <c r="A287" s="3">
        <f>IF('ORDENES'!$A265="","",IF('ORDENES'!$O265="","-",'ORDENES'!$O265))</f>
        <v/>
      </c>
      <c r="B287" s="3">
        <f>IF('ORDENES'!$A265="","",IF('ORDENES'!$R265="","-",'ORDENES'!$R265))</f>
        <v/>
      </c>
      <c r="C287" s="3">
        <f>IF('ORDENES'!$A265="","",IF('ORDENES'!$AF265="","-",'ORDENES'!$AF265))</f>
        <v/>
      </c>
      <c r="D287" s="3">
        <f>IF('ORDENES'!$A265="","",IF('ORDENES'!$X265="","-",'ORDENES'!$X265))</f>
        <v/>
      </c>
      <c r="E287" s="3">
        <f>IF('ORDENES'!$A265="","",IF('ORDENES'!$V265="","-",'ORDENES'!$V265))</f>
        <v/>
      </c>
      <c r="F287" s="3">
        <f>IF('ORDENES'!$A265="","",IF('ORDENES'!$Y265="","-",'ORDENES'!$Y265))</f>
        <v/>
      </c>
      <c r="G287" s="3">
        <f>IF('ORDENES'!$A265="","",IF('ORDENES'!$W265="","-",'ORDENES'!$W265))</f>
        <v/>
      </c>
      <c r="H287" s="3">
        <f>IF('ORDENES'!$A265="","",IF('ORDENES'!$AE265="","-",'ORDENES'!$AE265))</f>
        <v/>
      </c>
      <c r="I287" s="3">
        <f>IF('ORDENES'!$A265="","",IF('ORDENES'!$AQ265="","-",'ORDENES'!$AQ265))</f>
        <v/>
      </c>
      <c r="J287" s="3">
        <f>IF('ORDENES'!$A265="","",IF('ORDENES'!$D265="","-",'ORDENES'!$D265))</f>
        <v/>
      </c>
      <c r="K287" s="3">
        <f>IF('ORDENES'!$A265="","",IF('ORDENES'!$E265="","-",'ORDENES'!$E265))</f>
        <v/>
      </c>
      <c r="L287" s="13">
        <f>IF('ORDENES'!$A265="","",IF('ORDENES'!$M265="",0,'ORDENES'!$M265))</f>
        <v/>
      </c>
      <c r="M287" s="3">
        <f>IF('ORDENES'!$A265="","",IF('ORDENES'!$N265="","-",'ORDENES'!$N265))</f>
        <v/>
      </c>
      <c r="N287" s="3">
        <f>IF('ORDENES'!$A265="","",'ORDENES'!$AD265)</f>
        <v/>
      </c>
    </row>
    <row r="288">
      <c r="A288" s="3">
        <f>IF('ORDENES'!$A266="","",IF('ORDENES'!$O266="","-",'ORDENES'!$O266))</f>
        <v/>
      </c>
      <c r="B288" s="3">
        <f>IF('ORDENES'!$A266="","",IF('ORDENES'!$R266="","-",'ORDENES'!$R266))</f>
        <v/>
      </c>
      <c r="C288" s="3">
        <f>IF('ORDENES'!$A266="","",IF('ORDENES'!$AF266="","-",'ORDENES'!$AF266))</f>
        <v/>
      </c>
      <c r="D288" s="3">
        <f>IF('ORDENES'!$A266="","",IF('ORDENES'!$X266="","-",'ORDENES'!$X266))</f>
        <v/>
      </c>
      <c r="E288" s="3">
        <f>IF('ORDENES'!$A266="","",IF('ORDENES'!$V266="","-",'ORDENES'!$V266))</f>
        <v/>
      </c>
      <c r="F288" s="3">
        <f>IF('ORDENES'!$A266="","",IF('ORDENES'!$Y266="","-",'ORDENES'!$Y266))</f>
        <v/>
      </c>
      <c r="G288" s="3">
        <f>IF('ORDENES'!$A266="","",IF('ORDENES'!$W266="","-",'ORDENES'!$W266))</f>
        <v/>
      </c>
      <c r="H288" s="3">
        <f>IF('ORDENES'!$A266="","",IF('ORDENES'!$AE266="","-",'ORDENES'!$AE266))</f>
        <v/>
      </c>
      <c r="I288" s="3">
        <f>IF('ORDENES'!$A266="","",IF('ORDENES'!$AQ266="","-",'ORDENES'!$AQ266))</f>
        <v/>
      </c>
      <c r="J288" s="3">
        <f>IF('ORDENES'!$A266="","",IF('ORDENES'!$D266="","-",'ORDENES'!$D266))</f>
        <v/>
      </c>
      <c r="K288" s="3">
        <f>IF('ORDENES'!$A266="","",IF('ORDENES'!$E266="","-",'ORDENES'!$E266))</f>
        <v/>
      </c>
      <c r="L288" s="13">
        <f>IF('ORDENES'!$A266="","",IF('ORDENES'!$M266="",0,'ORDENES'!$M266))</f>
        <v/>
      </c>
      <c r="M288" s="3">
        <f>IF('ORDENES'!$A266="","",IF('ORDENES'!$N266="","-",'ORDENES'!$N266))</f>
        <v/>
      </c>
      <c r="N288" s="3">
        <f>IF('ORDENES'!$A266="","",'ORDENES'!$AD266)</f>
        <v/>
      </c>
    </row>
    <row r="289">
      <c r="A289" s="3">
        <f>IF('ORDENES'!$A267="","",IF('ORDENES'!$O267="","-",'ORDENES'!$O267))</f>
        <v/>
      </c>
      <c r="B289" s="3">
        <f>IF('ORDENES'!$A267="","",IF('ORDENES'!$R267="","-",'ORDENES'!$R267))</f>
        <v/>
      </c>
      <c r="C289" s="3">
        <f>IF('ORDENES'!$A267="","",IF('ORDENES'!$AF267="","-",'ORDENES'!$AF267))</f>
        <v/>
      </c>
      <c r="D289" s="3">
        <f>IF('ORDENES'!$A267="","",IF('ORDENES'!$X267="","-",'ORDENES'!$X267))</f>
        <v/>
      </c>
      <c r="E289" s="3">
        <f>IF('ORDENES'!$A267="","",IF('ORDENES'!$V267="","-",'ORDENES'!$V267))</f>
        <v/>
      </c>
      <c r="F289" s="3">
        <f>IF('ORDENES'!$A267="","",IF('ORDENES'!$Y267="","-",'ORDENES'!$Y267))</f>
        <v/>
      </c>
      <c r="G289" s="3">
        <f>IF('ORDENES'!$A267="","",IF('ORDENES'!$W267="","-",'ORDENES'!$W267))</f>
        <v/>
      </c>
      <c r="H289" s="3">
        <f>IF('ORDENES'!$A267="","",IF('ORDENES'!$AE267="","-",'ORDENES'!$AE267))</f>
        <v/>
      </c>
      <c r="I289" s="3">
        <f>IF('ORDENES'!$A267="","",IF('ORDENES'!$AQ267="","-",'ORDENES'!$AQ267))</f>
        <v/>
      </c>
      <c r="J289" s="3">
        <f>IF('ORDENES'!$A267="","",IF('ORDENES'!$D267="","-",'ORDENES'!$D267))</f>
        <v/>
      </c>
      <c r="K289" s="3">
        <f>IF('ORDENES'!$A267="","",IF('ORDENES'!$E267="","-",'ORDENES'!$E267))</f>
        <v/>
      </c>
      <c r="L289" s="13">
        <f>IF('ORDENES'!$A267="","",IF('ORDENES'!$M267="",0,'ORDENES'!$M267))</f>
        <v/>
      </c>
      <c r="M289" s="3">
        <f>IF('ORDENES'!$A267="","",IF('ORDENES'!$N267="","-",'ORDENES'!$N267))</f>
        <v/>
      </c>
      <c r="N289" s="3">
        <f>IF('ORDENES'!$A267="","",'ORDENES'!$AD267)</f>
        <v/>
      </c>
    </row>
    <row r="290">
      <c r="A290" s="3">
        <f>IF('ORDENES'!$A268="","",IF('ORDENES'!$O268="","-",'ORDENES'!$O268))</f>
        <v/>
      </c>
      <c r="B290" s="3">
        <f>IF('ORDENES'!$A268="","",IF('ORDENES'!$R268="","-",'ORDENES'!$R268))</f>
        <v/>
      </c>
      <c r="C290" s="3">
        <f>IF('ORDENES'!$A268="","",IF('ORDENES'!$AF268="","-",'ORDENES'!$AF268))</f>
        <v/>
      </c>
      <c r="D290" s="3">
        <f>IF('ORDENES'!$A268="","",IF('ORDENES'!$X268="","-",'ORDENES'!$X268))</f>
        <v/>
      </c>
      <c r="E290" s="3">
        <f>IF('ORDENES'!$A268="","",IF('ORDENES'!$V268="","-",'ORDENES'!$V268))</f>
        <v/>
      </c>
      <c r="F290" s="3">
        <f>IF('ORDENES'!$A268="","",IF('ORDENES'!$Y268="","-",'ORDENES'!$Y268))</f>
        <v/>
      </c>
      <c r="G290" s="3">
        <f>IF('ORDENES'!$A268="","",IF('ORDENES'!$W268="","-",'ORDENES'!$W268))</f>
        <v/>
      </c>
      <c r="H290" s="3">
        <f>IF('ORDENES'!$A268="","",IF('ORDENES'!$AE268="","-",'ORDENES'!$AE268))</f>
        <v/>
      </c>
      <c r="I290" s="3">
        <f>IF('ORDENES'!$A268="","",IF('ORDENES'!$AQ268="","-",'ORDENES'!$AQ268))</f>
        <v/>
      </c>
      <c r="J290" s="3">
        <f>IF('ORDENES'!$A268="","",IF('ORDENES'!$D268="","-",'ORDENES'!$D268))</f>
        <v/>
      </c>
      <c r="K290" s="3">
        <f>IF('ORDENES'!$A268="","",IF('ORDENES'!$E268="","-",'ORDENES'!$E268))</f>
        <v/>
      </c>
      <c r="L290" s="13">
        <f>IF('ORDENES'!$A268="","",IF('ORDENES'!$M268="",0,'ORDENES'!$M268))</f>
        <v/>
      </c>
      <c r="M290" s="3">
        <f>IF('ORDENES'!$A268="","",IF('ORDENES'!$N268="","-",'ORDENES'!$N268))</f>
        <v/>
      </c>
      <c r="N290" s="3">
        <f>IF('ORDENES'!$A268="","",'ORDENES'!$AD268)</f>
        <v/>
      </c>
    </row>
    <row r="291">
      <c r="A291" s="3">
        <f>IF('ORDENES'!$A269="","",IF('ORDENES'!$O269="","-",'ORDENES'!$O269))</f>
        <v/>
      </c>
      <c r="B291" s="3">
        <f>IF('ORDENES'!$A269="","",IF('ORDENES'!$R269="","-",'ORDENES'!$R269))</f>
        <v/>
      </c>
      <c r="C291" s="3">
        <f>IF('ORDENES'!$A269="","",IF('ORDENES'!$AF269="","-",'ORDENES'!$AF269))</f>
        <v/>
      </c>
      <c r="D291" s="3">
        <f>IF('ORDENES'!$A269="","",IF('ORDENES'!$X269="","-",'ORDENES'!$X269))</f>
        <v/>
      </c>
      <c r="E291" s="3">
        <f>IF('ORDENES'!$A269="","",IF('ORDENES'!$V269="","-",'ORDENES'!$V269))</f>
        <v/>
      </c>
      <c r="F291" s="3">
        <f>IF('ORDENES'!$A269="","",IF('ORDENES'!$Y269="","-",'ORDENES'!$Y269))</f>
        <v/>
      </c>
      <c r="G291" s="3">
        <f>IF('ORDENES'!$A269="","",IF('ORDENES'!$W269="","-",'ORDENES'!$W269))</f>
        <v/>
      </c>
      <c r="H291" s="3">
        <f>IF('ORDENES'!$A269="","",IF('ORDENES'!$AE269="","-",'ORDENES'!$AE269))</f>
        <v/>
      </c>
      <c r="I291" s="3">
        <f>IF('ORDENES'!$A269="","",IF('ORDENES'!$AQ269="","-",'ORDENES'!$AQ269))</f>
        <v/>
      </c>
      <c r="J291" s="3">
        <f>IF('ORDENES'!$A269="","",IF('ORDENES'!$D269="","-",'ORDENES'!$D269))</f>
        <v/>
      </c>
      <c r="K291" s="3">
        <f>IF('ORDENES'!$A269="","",IF('ORDENES'!$E269="","-",'ORDENES'!$E269))</f>
        <v/>
      </c>
      <c r="L291" s="13">
        <f>IF('ORDENES'!$A269="","",IF('ORDENES'!$M269="",0,'ORDENES'!$M269))</f>
        <v/>
      </c>
      <c r="M291" s="3">
        <f>IF('ORDENES'!$A269="","",IF('ORDENES'!$N269="","-",'ORDENES'!$N269))</f>
        <v/>
      </c>
      <c r="N291" s="3">
        <f>IF('ORDENES'!$A269="","",'ORDENES'!$AD269)</f>
        <v/>
      </c>
    </row>
    <row r="292">
      <c r="A292" s="3">
        <f>IF('ORDENES'!$A270="","",IF('ORDENES'!$O270="","-",'ORDENES'!$O270))</f>
        <v/>
      </c>
      <c r="B292" s="3">
        <f>IF('ORDENES'!$A270="","",IF('ORDENES'!$R270="","-",'ORDENES'!$R270))</f>
        <v/>
      </c>
      <c r="C292" s="3">
        <f>IF('ORDENES'!$A270="","",IF('ORDENES'!$AF270="","-",'ORDENES'!$AF270))</f>
        <v/>
      </c>
      <c r="D292" s="3">
        <f>IF('ORDENES'!$A270="","",IF('ORDENES'!$X270="","-",'ORDENES'!$X270))</f>
        <v/>
      </c>
      <c r="E292" s="3">
        <f>IF('ORDENES'!$A270="","",IF('ORDENES'!$V270="","-",'ORDENES'!$V270))</f>
        <v/>
      </c>
      <c r="F292" s="3">
        <f>IF('ORDENES'!$A270="","",IF('ORDENES'!$Y270="","-",'ORDENES'!$Y270))</f>
        <v/>
      </c>
      <c r="G292" s="3">
        <f>IF('ORDENES'!$A270="","",IF('ORDENES'!$W270="","-",'ORDENES'!$W270))</f>
        <v/>
      </c>
      <c r="H292" s="3">
        <f>IF('ORDENES'!$A270="","",IF('ORDENES'!$AE270="","-",'ORDENES'!$AE270))</f>
        <v/>
      </c>
      <c r="I292" s="3">
        <f>IF('ORDENES'!$A270="","",IF('ORDENES'!$AQ270="","-",'ORDENES'!$AQ270))</f>
        <v/>
      </c>
      <c r="J292" s="3">
        <f>IF('ORDENES'!$A270="","",IF('ORDENES'!$D270="","-",'ORDENES'!$D270))</f>
        <v/>
      </c>
      <c r="K292" s="3">
        <f>IF('ORDENES'!$A270="","",IF('ORDENES'!$E270="","-",'ORDENES'!$E270))</f>
        <v/>
      </c>
      <c r="L292" s="13">
        <f>IF('ORDENES'!$A270="","",IF('ORDENES'!$M270="",0,'ORDENES'!$M270))</f>
        <v/>
      </c>
      <c r="M292" s="3">
        <f>IF('ORDENES'!$A270="","",IF('ORDENES'!$N270="","-",'ORDENES'!$N270))</f>
        <v/>
      </c>
      <c r="N292" s="3">
        <f>IF('ORDENES'!$A270="","",'ORDENES'!$AD270)</f>
        <v/>
      </c>
    </row>
    <row r="293">
      <c r="A293" s="3">
        <f>IF('ORDENES'!$A271="","",IF('ORDENES'!$O271="","-",'ORDENES'!$O271))</f>
        <v/>
      </c>
      <c r="B293" s="3">
        <f>IF('ORDENES'!$A271="","",IF('ORDENES'!$R271="","-",'ORDENES'!$R271))</f>
        <v/>
      </c>
      <c r="C293" s="3">
        <f>IF('ORDENES'!$A271="","",IF('ORDENES'!$AF271="","-",'ORDENES'!$AF271))</f>
        <v/>
      </c>
      <c r="D293" s="3">
        <f>IF('ORDENES'!$A271="","",IF('ORDENES'!$X271="","-",'ORDENES'!$X271))</f>
        <v/>
      </c>
      <c r="E293" s="3">
        <f>IF('ORDENES'!$A271="","",IF('ORDENES'!$V271="","-",'ORDENES'!$V271))</f>
        <v/>
      </c>
      <c r="F293" s="3">
        <f>IF('ORDENES'!$A271="","",IF('ORDENES'!$Y271="","-",'ORDENES'!$Y271))</f>
        <v/>
      </c>
      <c r="G293" s="3">
        <f>IF('ORDENES'!$A271="","",IF('ORDENES'!$W271="","-",'ORDENES'!$W271))</f>
        <v/>
      </c>
      <c r="H293" s="3">
        <f>IF('ORDENES'!$A271="","",IF('ORDENES'!$AE271="","-",'ORDENES'!$AE271))</f>
        <v/>
      </c>
      <c r="I293" s="3">
        <f>IF('ORDENES'!$A271="","",IF('ORDENES'!$AQ271="","-",'ORDENES'!$AQ271))</f>
        <v/>
      </c>
      <c r="J293" s="3">
        <f>IF('ORDENES'!$A271="","",IF('ORDENES'!$D271="","-",'ORDENES'!$D271))</f>
        <v/>
      </c>
      <c r="K293" s="3">
        <f>IF('ORDENES'!$A271="","",IF('ORDENES'!$E271="","-",'ORDENES'!$E271))</f>
        <v/>
      </c>
      <c r="L293" s="13">
        <f>IF('ORDENES'!$A271="","",IF('ORDENES'!$M271="",0,'ORDENES'!$M271))</f>
        <v/>
      </c>
      <c r="M293" s="3">
        <f>IF('ORDENES'!$A271="","",IF('ORDENES'!$N271="","-",'ORDENES'!$N271))</f>
        <v/>
      </c>
      <c r="N293" s="3">
        <f>IF('ORDENES'!$A271="","",'ORDENES'!$AD271)</f>
        <v/>
      </c>
    </row>
    <row r="294">
      <c r="A294" s="3">
        <f>IF('ORDENES'!$A272="","",IF('ORDENES'!$O272="","-",'ORDENES'!$O272))</f>
        <v/>
      </c>
      <c r="B294" s="3">
        <f>IF('ORDENES'!$A272="","",IF('ORDENES'!$R272="","-",'ORDENES'!$R272))</f>
        <v/>
      </c>
      <c r="C294" s="3">
        <f>IF('ORDENES'!$A272="","",IF('ORDENES'!$AF272="","-",'ORDENES'!$AF272))</f>
        <v/>
      </c>
      <c r="D294" s="3">
        <f>IF('ORDENES'!$A272="","",IF('ORDENES'!$X272="","-",'ORDENES'!$X272))</f>
        <v/>
      </c>
      <c r="E294" s="3">
        <f>IF('ORDENES'!$A272="","",IF('ORDENES'!$V272="","-",'ORDENES'!$V272))</f>
        <v/>
      </c>
      <c r="F294" s="3">
        <f>IF('ORDENES'!$A272="","",IF('ORDENES'!$Y272="","-",'ORDENES'!$Y272))</f>
        <v/>
      </c>
      <c r="G294" s="3">
        <f>IF('ORDENES'!$A272="","",IF('ORDENES'!$W272="","-",'ORDENES'!$W272))</f>
        <v/>
      </c>
      <c r="H294" s="3">
        <f>IF('ORDENES'!$A272="","",IF('ORDENES'!$AE272="","-",'ORDENES'!$AE272))</f>
        <v/>
      </c>
      <c r="I294" s="3">
        <f>IF('ORDENES'!$A272="","",IF('ORDENES'!$AQ272="","-",'ORDENES'!$AQ272))</f>
        <v/>
      </c>
      <c r="J294" s="3">
        <f>IF('ORDENES'!$A272="","",IF('ORDENES'!$D272="","-",'ORDENES'!$D272))</f>
        <v/>
      </c>
      <c r="K294" s="3">
        <f>IF('ORDENES'!$A272="","",IF('ORDENES'!$E272="","-",'ORDENES'!$E272))</f>
        <v/>
      </c>
      <c r="L294" s="13">
        <f>IF('ORDENES'!$A272="","",IF('ORDENES'!$M272="",0,'ORDENES'!$M272))</f>
        <v/>
      </c>
      <c r="M294" s="3">
        <f>IF('ORDENES'!$A272="","",IF('ORDENES'!$N272="","-",'ORDENES'!$N272))</f>
        <v/>
      </c>
      <c r="N294" s="3">
        <f>IF('ORDENES'!$A272="","",'ORDENES'!$AD272)</f>
        <v/>
      </c>
    </row>
    <row r="295">
      <c r="A295" s="3">
        <f>IF('ORDENES'!$A273="","",IF('ORDENES'!$O273="","-",'ORDENES'!$O273))</f>
        <v/>
      </c>
      <c r="B295" s="3">
        <f>IF('ORDENES'!$A273="","",IF('ORDENES'!$R273="","-",'ORDENES'!$R273))</f>
        <v/>
      </c>
      <c r="C295" s="3">
        <f>IF('ORDENES'!$A273="","",IF('ORDENES'!$AF273="","-",'ORDENES'!$AF273))</f>
        <v/>
      </c>
      <c r="D295" s="3">
        <f>IF('ORDENES'!$A273="","",IF('ORDENES'!$X273="","-",'ORDENES'!$X273))</f>
        <v/>
      </c>
      <c r="E295" s="3">
        <f>IF('ORDENES'!$A273="","",IF('ORDENES'!$V273="","-",'ORDENES'!$V273))</f>
        <v/>
      </c>
      <c r="F295" s="3">
        <f>IF('ORDENES'!$A273="","",IF('ORDENES'!$Y273="","-",'ORDENES'!$Y273))</f>
        <v/>
      </c>
      <c r="G295" s="3">
        <f>IF('ORDENES'!$A273="","",IF('ORDENES'!$W273="","-",'ORDENES'!$W273))</f>
        <v/>
      </c>
      <c r="H295" s="3">
        <f>IF('ORDENES'!$A273="","",IF('ORDENES'!$AE273="","-",'ORDENES'!$AE273))</f>
        <v/>
      </c>
      <c r="I295" s="3">
        <f>IF('ORDENES'!$A273="","",IF('ORDENES'!$AQ273="","-",'ORDENES'!$AQ273))</f>
        <v/>
      </c>
      <c r="J295" s="3">
        <f>IF('ORDENES'!$A273="","",IF('ORDENES'!$D273="","-",'ORDENES'!$D273))</f>
        <v/>
      </c>
      <c r="K295" s="3">
        <f>IF('ORDENES'!$A273="","",IF('ORDENES'!$E273="","-",'ORDENES'!$E273))</f>
        <v/>
      </c>
      <c r="L295" s="13">
        <f>IF('ORDENES'!$A273="","",IF('ORDENES'!$M273="",0,'ORDENES'!$M273))</f>
        <v/>
      </c>
      <c r="M295" s="3">
        <f>IF('ORDENES'!$A273="","",IF('ORDENES'!$N273="","-",'ORDENES'!$N273))</f>
        <v/>
      </c>
      <c r="N295" s="3">
        <f>IF('ORDENES'!$A273="","",'ORDENES'!$AD273)</f>
        <v/>
      </c>
    </row>
    <row r="296">
      <c r="A296" s="3">
        <f>IF('ORDENES'!$A274="","",IF('ORDENES'!$O274="","-",'ORDENES'!$O274))</f>
        <v/>
      </c>
      <c r="B296" s="3">
        <f>IF('ORDENES'!$A274="","",IF('ORDENES'!$R274="","-",'ORDENES'!$R274))</f>
        <v/>
      </c>
      <c r="C296" s="3">
        <f>IF('ORDENES'!$A274="","",IF('ORDENES'!$AF274="","-",'ORDENES'!$AF274))</f>
        <v/>
      </c>
      <c r="D296" s="3">
        <f>IF('ORDENES'!$A274="","",IF('ORDENES'!$X274="","-",'ORDENES'!$X274))</f>
        <v/>
      </c>
      <c r="E296" s="3">
        <f>IF('ORDENES'!$A274="","",IF('ORDENES'!$V274="","-",'ORDENES'!$V274))</f>
        <v/>
      </c>
      <c r="F296" s="3">
        <f>IF('ORDENES'!$A274="","",IF('ORDENES'!$Y274="","-",'ORDENES'!$Y274))</f>
        <v/>
      </c>
      <c r="G296" s="3">
        <f>IF('ORDENES'!$A274="","",IF('ORDENES'!$W274="","-",'ORDENES'!$W274))</f>
        <v/>
      </c>
      <c r="H296" s="3">
        <f>IF('ORDENES'!$A274="","",IF('ORDENES'!$AE274="","-",'ORDENES'!$AE274))</f>
        <v/>
      </c>
      <c r="I296" s="3">
        <f>IF('ORDENES'!$A274="","",IF('ORDENES'!$AQ274="","-",'ORDENES'!$AQ274))</f>
        <v/>
      </c>
      <c r="J296" s="3">
        <f>IF('ORDENES'!$A274="","",IF('ORDENES'!$D274="","-",'ORDENES'!$D274))</f>
        <v/>
      </c>
      <c r="K296" s="3">
        <f>IF('ORDENES'!$A274="","",IF('ORDENES'!$E274="","-",'ORDENES'!$E274))</f>
        <v/>
      </c>
      <c r="L296" s="13">
        <f>IF('ORDENES'!$A274="","",IF('ORDENES'!$M274="",0,'ORDENES'!$M274))</f>
        <v/>
      </c>
      <c r="M296" s="3">
        <f>IF('ORDENES'!$A274="","",IF('ORDENES'!$N274="","-",'ORDENES'!$N274))</f>
        <v/>
      </c>
      <c r="N296" s="3">
        <f>IF('ORDENES'!$A274="","",'ORDENES'!$AD274)</f>
        <v/>
      </c>
    </row>
    <row r="297">
      <c r="A297" s="3">
        <f>IF('ORDENES'!$A275="","",IF('ORDENES'!$O275="","-",'ORDENES'!$O275))</f>
        <v/>
      </c>
      <c r="B297" s="3">
        <f>IF('ORDENES'!$A275="","",IF('ORDENES'!$R275="","-",'ORDENES'!$R275))</f>
        <v/>
      </c>
      <c r="C297" s="3">
        <f>IF('ORDENES'!$A275="","",IF('ORDENES'!$AF275="","-",'ORDENES'!$AF275))</f>
        <v/>
      </c>
      <c r="D297" s="3">
        <f>IF('ORDENES'!$A275="","",IF('ORDENES'!$X275="","-",'ORDENES'!$X275))</f>
        <v/>
      </c>
      <c r="E297" s="3">
        <f>IF('ORDENES'!$A275="","",IF('ORDENES'!$V275="","-",'ORDENES'!$V275))</f>
        <v/>
      </c>
      <c r="F297" s="3">
        <f>IF('ORDENES'!$A275="","",IF('ORDENES'!$Y275="","-",'ORDENES'!$Y275))</f>
        <v/>
      </c>
      <c r="G297" s="3">
        <f>IF('ORDENES'!$A275="","",IF('ORDENES'!$W275="","-",'ORDENES'!$W275))</f>
        <v/>
      </c>
      <c r="H297" s="3">
        <f>IF('ORDENES'!$A275="","",IF('ORDENES'!$AE275="","-",'ORDENES'!$AE275))</f>
        <v/>
      </c>
      <c r="I297" s="3">
        <f>IF('ORDENES'!$A275="","",IF('ORDENES'!$AQ275="","-",'ORDENES'!$AQ275))</f>
        <v/>
      </c>
      <c r="J297" s="3">
        <f>IF('ORDENES'!$A275="","",IF('ORDENES'!$D275="","-",'ORDENES'!$D275))</f>
        <v/>
      </c>
      <c r="K297" s="3">
        <f>IF('ORDENES'!$A275="","",IF('ORDENES'!$E275="","-",'ORDENES'!$E275))</f>
        <v/>
      </c>
      <c r="L297" s="13">
        <f>IF('ORDENES'!$A275="","",IF('ORDENES'!$M275="",0,'ORDENES'!$M275))</f>
        <v/>
      </c>
      <c r="M297" s="3">
        <f>IF('ORDENES'!$A275="","",IF('ORDENES'!$N275="","-",'ORDENES'!$N275))</f>
        <v/>
      </c>
      <c r="N297" s="3">
        <f>IF('ORDENES'!$A275="","",'ORDENES'!$AD275)</f>
        <v/>
      </c>
    </row>
    <row r="298">
      <c r="A298" s="3">
        <f>IF('ORDENES'!$A276="","",IF('ORDENES'!$O276="","-",'ORDENES'!$O276))</f>
        <v/>
      </c>
      <c r="B298" s="3">
        <f>IF('ORDENES'!$A276="","",IF('ORDENES'!$R276="","-",'ORDENES'!$R276))</f>
        <v/>
      </c>
      <c r="C298" s="3">
        <f>IF('ORDENES'!$A276="","",IF('ORDENES'!$AF276="","-",'ORDENES'!$AF276))</f>
        <v/>
      </c>
      <c r="D298" s="3">
        <f>IF('ORDENES'!$A276="","",IF('ORDENES'!$X276="","-",'ORDENES'!$X276))</f>
        <v/>
      </c>
      <c r="E298" s="3">
        <f>IF('ORDENES'!$A276="","",IF('ORDENES'!$V276="","-",'ORDENES'!$V276))</f>
        <v/>
      </c>
      <c r="F298" s="3">
        <f>IF('ORDENES'!$A276="","",IF('ORDENES'!$Y276="","-",'ORDENES'!$Y276))</f>
        <v/>
      </c>
      <c r="G298" s="3">
        <f>IF('ORDENES'!$A276="","",IF('ORDENES'!$W276="","-",'ORDENES'!$W276))</f>
        <v/>
      </c>
      <c r="H298" s="3">
        <f>IF('ORDENES'!$A276="","",IF('ORDENES'!$AE276="","-",'ORDENES'!$AE276))</f>
        <v/>
      </c>
      <c r="I298" s="3">
        <f>IF('ORDENES'!$A276="","",IF('ORDENES'!$AQ276="","-",'ORDENES'!$AQ276))</f>
        <v/>
      </c>
      <c r="J298" s="3">
        <f>IF('ORDENES'!$A276="","",IF('ORDENES'!$D276="","-",'ORDENES'!$D276))</f>
        <v/>
      </c>
      <c r="K298" s="3">
        <f>IF('ORDENES'!$A276="","",IF('ORDENES'!$E276="","-",'ORDENES'!$E276))</f>
        <v/>
      </c>
      <c r="L298" s="13">
        <f>IF('ORDENES'!$A276="","",IF('ORDENES'!$M276="",0,'ORDENES'!$M276))</f>
        <v/>
      </c>
      <c r="M298" s="3">
        <f>IF('ORDENES'!$A276="","",IF('ORDENES'!$N276="","-",'ORDENES'!$N276))</f>
        <v/>
      </c>
      <c r="N298" s="3">
        <f>IF('ORDENES'!$A276="","",'ORDENES'!$AD276)</f>
        <v/>
      </c>
    </row>
    <row r="299">
      <c r="A299" s="3">
        <f>IF('ORDENES'!$A277="","",IF('ORDENES'!$O277="","-",'ORDENES'!$O277))</f>
        <v/>
      </c>
      <c r="B299" s="3">
        <f>IF('ORDENES'!$A277="","",IF('ORDENES'!$R277="","-",'ORDENES'!$R277))</f>
        <v/>
      </c>
      <c r="C299" s="3">
        <f>IF('ORDENES'!$A277="","",IF('ORDENES'!$AF277="","-",'ORDENES'!$AF277))</f>
        <v/>
      </c>
      <c r="D299" s="3">
        <f>IF('ORDENES'!$A277="","",IF('ORDENES'!$X277="","-",'ORDENES'!$X277))</f>
        <v/>
      </c>
      <c r="E299" s="3">
        <f>IF('ORDENES'!$A277="","",IF('ORDENES'!$V277="","-",'ORDENES'!$V277))</f>
        <v/>
      </c>
      <c r="F299" s="3">
        <f>IF('ORDENES'!$A277="","",IF('ORDENES'!$Y277="","-",'ORDENES'!$Y277))</f>
        <v/>
      </c>
      <c r="G299" s="3">
        <f>IF('ORDENES'!$A277="","",IF('ORDENES'!$W277="","-",'ORDENES'!$W277))</f>
        <v/>
      </c>
      <c r="H299" s="3">
        <f>IF('ORDENES'!$A277="","",IF('ORDENES'!$AE277="","-",'ORDENES'!$AE277))</f>
        <v/>
      </c>
      <c r="I299" s="3">
        <f>IF('ORDENES'!$A277="","",IF('ORDENES'!$AQ277="","-",'ORDENES'!$AQ277))</f>
        <v/>
      </c>
      <c r="J299" s="3">
        <f>IF('ORDENES'!$A277="","",IF('ORDENES'!$D277="","-",'ORDENES'!$D277))</f>
        <v/>
      </c>
      <c r="K299" s="3">
        <f>IF('ORDENES'!$A277="","",IF('ORDENES'!$E277="","-",'ORDENES'!$E277))</f>
        <v/>
      </c>
      <c r="L299" s="13">
        <f>IF('ORDENES'!$A277="","",IF('ORDENES'!$M277="",0,'ORDENES'!$M277))</f>
        <v/>
      </c>
      <c r="M299" s="3">
        <f>IF('ORDENES'!$A277="","",IF('ORDENES'!$N277="","-",'ORDENES'!$N277))</f>
        <v/>
      </c>
      <c r="N299" s="3">
        <f>IF('ORDENES'!$A277="","",'ORDENES'!$AD277)</f>
        <v/>
      </c>
    </row>
    <row r="300">
      <c r="A300" s="3">
        <f>IF('ORDENES'!$A278="","",IF('ORDENES'!$O278="","-",'ORDENES'!$O278))</f>
        <v/>
      </c>
      <c r="B300" s="3">
        <f>IF('ORDENES'!$A278="","",IF('ORDENES'!$R278="","-",'ORDENES'!$R278))</f>
        <v/>
      </c>
      <c r="C300" s="3">
        <f>IF('ORDENES'!$A278="","",IF('ORDENES'!$AF278="","-",'ORDENES'!$AF278))</f>
        <v/>
      </c>
      <c r="D300" s="3">
        <f>IF('ORDENES'!$A278="","",IF('ORDENES'!$X278="","-",'ORDENES'!$X278))</f>
        <v/>
      </c>
      <c r="E300" s="3">
        <f>IF('ORDENES'!$A278="","",IF('ORDENES'!$V278="","-",'ORDENES'!$V278))</f>
        <v/>
      </c>
      <c r="F300" s="3">
        <f>IF('ORDENES'!$A278="","",IF('ORDENES'!$Y278="","-",'ORDENES'!$Y278))</f>
        <v/>
      </c>
      <c r="G300" s="3">
        <f>IF('ORDENES'!$A278="","",IF('ORDENES'!$W278="","-",'ORDENES'!$W278))</f>
        <v/>
      </c>
      <c r="H300" s="3">
        <f>IF('ORDENES'!$A278="","",IF('ORDENES'!$AE278="","-",'ORDENES'!$AE278))</f>
        <v/>
      </c>
      <c r="I300" s="3">
        <f>IF('ORDENES'!$A278="","",IF('ORDENES'!$AQ278="","-",'ORDENES'!$AQ278))</f>
        <v/>
      </c>
      <c r="J300" s="3">
        <f>IF('ORDENES'!$A278="","",IF('ORDENES'!$D278="","-",'ORDENES'!$D278))</f>
        <v/>
      </c>
      <c r="K300" s="3">
        <f>IF('ORDENES'!$A278="","",IF('ORDENES'!$E278="","-",'ORDENES'!$E278))</f>
        <v/>
      </c>
      <c r="L300" s="13">
        <f>IF('ORDENES'!$A278="","",IF('ORDENES'!$M278="",0,'ORDENES'!$M278))</f>
        <v/>
      </c>
      <c r="M300" s="3">
        <f>IF('ORDENES'!$A278="","",IF('ORDENES'!$N278="","-",'ORDENES'!$N278))</f>
        <v/>
      </c>
      <c r="N300" s="3">
        <f>IF('ORDENES'!$A278="","",'ORDENES'!$AD278)</f>
        <v/>
      </c>
    </row>
    <row r="301">
      <c r="A301" s="3">
        <f>IF('ORDENES'!$A279="","",IF('ORDENES'!$O279="","-",'ORDENES'!$O279))</f>
        <v/>
      </c>
      <c r="B301" s="3">
        <f>IF('ORDENES'!$A279="","",IF('ORDENES'!$R279="","-",'ORDENES'!$R279))</f>
        <v/>
      </c>
      <c r="C301" s="3">
        <f>IF('ORDENES'!$A279="","",IF('ORDENES'!$AF279="","-",'ORDENES'!$AF279))</f>
        <v/>
      </c>
      <c r="D301" s="3">
        <f>IF('ORDENES'!$A279="","",IF('ORDENES'!$X279="","-",'ORDENES'!$X279))</f>
        <v/>
      </c>
      <c r="E301" s="3">
        <f>IF('ORDENES'!$A279="","",IF('ORDENES'!$V279="","-",'ORDENES'!$V279))</f>
        <v/>
      </c>
      <c r="F301" s="3">
        <f>IF('ORDENES'!$A279="","",IF('ORDENES'!$Y279="","-",'ORDENES'!$Y279))</f>
        <v/>
      </c>
      <c r="G301" s="3">
        <f>IF('ORDENES'!$A279="","",IF('ORDENES'!$W279="","-",'ORDENES'!$W279))</f>
        <v/>
      </c>
      <c r="H301" s="3">
        <f>IF('ORDENES'!$A279="","",IF('ORDENES'!$AE279="","-",'ORDENES'!$AE279))</f>
        <v/>
      </c>
      <c r="I301" s="3">
        <f>IF('ORDENES'!$A279="","",IF('ORDENES'!$AQ279="","-",'ORDENES'!$AQ279))</f>
        <v/>
      </c>
      <c r="J301" s="3">
        <f>IF('ORDENES'!$A279="","",IF('ORDENES'!$D279="","-",'ORDENES'!$D279))</f>
        <v/>
      </c>
      <c r="K301" s="3">
        <f>IF('ORDENES'!$A279="","",IF('ORDENES'!$E279="","-",'ORDENES'!$E279))</f>
        <v/>
      </c>
      <c r="L301" s="13">
        <f>IF('ORDENES'!$A279="","",IF('ORDENES'!$M279="",0,'ORDENES'!$M279))</f>
        <v/>
      </c>
      <c r="M301" s="3">
        <f>IF('ORDENES'!$A279="","",IF('ORDENES'!$N279="","-",'ORDENES'!$N279))</f>
        <v/>
      </c>
      <c r="N301" s="3">
        <f>IF('ORDENES'!$A279="","",'ORDENES'!$AD279)</f>
        <v/>
      </c>
    </row>
    <row r="302">
      <c r="A302" s="3">
        <f>IF('ORDENES'!$A280="","",IF('ORDENES'!$O280="","-",'ORDENES'!$O280))</f>
        <v/>
      </c>
      <c r="B302" s="3">
        <f>IF('ORDENES'!$A280="","",IF('ORDENES'!$R280="","-",'ORDENES'!$R280))</f>
        <v/>
      </c>
      <c r="C302" s="3">
        <f>IF('ORDENES'!$A280="","",IF('ORDENES'!$AF280="","-",'ORDENES'!$AF280))</f>
        <v/>
      </c>
      <c r="D302" s="3">
        <f>IF('ORDENES'!$A280="","",IF('ORDENES'!$X280="","-",'ORDENES'!$X280))</f>
        <v/>
      </c>
      <c r="E302" s="3">
        <f>IF('ORDENES'!$A280="","",IF('ORDENES'!$V280="","-",'ORDENES'!$V280))</f>
        <v/>
      </c>
      <c r="F302" s="3">
        <f>IF('ORDENES'!$A280="","",IF('ORDENES'!$Y280="","-",'ORDENES'!$Y280))</f>
        <v/>
      </c>
      <c r="G302" s="3">
        <f>IF('ORDENES'!$A280="","",IF('ORDENES'!$W280="","-",'ORDENES'!$W280))</f>
        <v/>
      </c>
      <c r="H302" s="3">
        <f>IF('ORDENES'!$A280="","",IF('ORDENES'!$AE280="","-",'ORDENES'!$AE280))</f>
        <v/>
      </c>
      <c r="I302" s="3">
        <f>IF('ORDENES'!$A280="","",IF('ORDENES'!$AQ280="","-",'ORDENES'!$AQ280))</f>
        <v/>
      </c>
      <c r="J302" s="3">
        <f>IF('ORDENES'!$A280="","",IF('ORDENES'!$D280="","-",'ORDENES'!$D280))</f>
        <v/>
      </c>
      <c r="K302" s="3">
        <f>IF('ORDENES'!$A280="","",IF('ORDENES'!$E280="","-",'ORDENES'!$E280))</f>
        <v/>
      </c>
      <c r="L302" s="13">
        <f>IF('ORDENES'!$A280="","",IF('ORDENES'!$M280="",0,'ORDENES'!$M280))</f>
        <v/>
      </c>
      <c r="M302" s="3">
        <f>IF('ORDENES'!$A280="","",IF('ORDENES'!$N280="","-",'ORDENES'!$N280))</f>
        <v/>
      </c>
      <c r="N302" s="3">
        <f>IF('ORDENES'!$A280="","",'ORDENES'!$AD280)</f>
        <v/>
      </c>
    </row>
    <row r="303">
      <c r="A303" s="3">
        <f>IF('ORDENES'!$A281="","",IF('ORDENES'!$O281="","-",'ORDENES'!$O281))</f>
        <v/>
      </c>
      <c r="B303" s="3">
        <f>IF('ORDENES'!$A281="","",IF('ORDENES'!$R281="","-",'ORDENES'!$R281))</f>
        <v/>
      </c>
      <c r="C303" s="3">
        <f>IF('ORDENES'!$A281="","",IF('ORDENES'!$AF281="","-",'ORDENES'!$AF281))</f>
        <v/>
      </c>
      <c r="D303" s="3">
        <f>IF('ORDENES'!$A281="","",IF('ORDENES'!$X281="","-",'ORDENES'!$X281))</f>
        <v/>
      </c>
      <c r="E303" s="3">
        <f>IF('ORDENES'!$A281="","",IF('ORDENES'!$V281="","-",'ORDENES'!$V281))</f>
        <v/>
      </c>
      <c r="F303" s="3">
        <f>IF('ORDENES'!$A281="","",IF('ORDENES'!$Y281="","-",'ORDENES'!$Y281))</f>
        <v/>
      </c>
      <c r="G303" s="3">
        <f>IF('ORDENES'!$A281="","",IF('ORDENES'!$W281="","-",'ORDENES'!$W281))</f>
        <v/>
      </c>
      <c r="H303" s="3">
        <f>IF('ORDENES'!$A281="","",IF('ORDENES'!$AE281="","-",'ORDENES'!$AE281))</f>
        <v/>
      </c>
      <c r="I303" s="3">
        <f>IF('ORDENES'!$A281="","",IF('ORDENES'!$AQ281="","-",'ORDENES'!$AQ281))</f>
        <v/>
      </c>
      <c r="J303" s="3">
        <f>IF('ORDENES'!$A281="","",IF('ORDENES'!$D281="","-",'ORDENES'!$D281))</f>
        <v/>
      </c>
      <c r="K303" s="3">
        <f>IF('ORDENES'!$A281="","",IF('ORDENES'!$E281="","-",'ORDENES'!$E281))</f>
        <v/>
      </c>
      <c r="L303" s="13">
        <f>IF('ORDENES'!$A281="","",IF('ORDENES'!$M281="",0,'ORDENES'!$M281))</f>
        <v/>
      </c>
      <c r="M303" s="3">
        <f>IF('ORDENES'!$A281="","",IF('ORDENES'!$N281="","-",'ORDENES'!$N281))</f>
        <v/>
      </c>
      <c r="N303" s="3">
        <f>IF('ORDENES'!$A281="","",'ORDENES'!$AD281)</f>
        <v/>
      </c>
    </row>
    <row r="304">
      <c r="A304" s="3">
        <f>IF('ORDENES'!$A282="","",IF('ORDENES'!$O282="","-",'ORDENES'!$O282))</f>
        <v/>
      </c>
      <c r="B304" s="3">
        <f>IF('ORDENES'!$A282="","",IF('ORDENES'!$R282="","-",'ORDENES'!$R282))</f>
        <v/>
      </c>
      <c r="C304" s="3">
        <f>IF('ORDENES'!$A282="","",IF('ORDENES'!$AF282="","-",'ORDENES'!$AF282))</f>
        <v/>
      </c>
      <c r="D304" s="3">
        <f>IF('ORDENES'!$A282="","",IF('ORDENES'!$X282="","-",'ORDENES'!$X282))</f>
        <v/>
      </c>
      <c r="E304" s="3">
        <f>IF('ORDENES'!$A282="","",IF('ORDENES'!$V282="","-",'ORDENES'!$V282))</f>
        <v/>
      </c>
      <c r="F304" s="3">
        <f>IF('ORDENES'!$A282="","",IF('ORDENES'!$Y282="","-",'ORDENES'!$Y282))</f>
        <v/>
      </c>
      <c r="G304" s="3">
        <f>IF('ORDENES'!$A282="","",IF('ORDENES'!$W282="","-",'ORDENES'!$W282))</f>
        <v/>
      </c>
      <c r="H304" s="3">
        <f>IF('ORDENES'!$A282="","",IF('ORDENES'!$AE282="","-",'ORDENES'!$AE282))</f>
        <v/>
      </c>
      <c r="I304" s="3">
        <f>IF('ORDENES'!$A282="","",IF('ORDENES'!$AQ282="","-",'ORDENES'!$AQ282))</f>
        <v/>
      </c>
      <c r="J304" s="3">
        <f>IF('ORDENES'!$A282="","",IF('ORDENES'!$D282="","-",'ORDENES'!$D282))</f>
        <v/>
      </c>
      <c r="K304" s="3">
        <f>IF('ORDENES'!$A282="","",IF('ORDENES'!$E282="","-",'ORDENES'!$E282))</f>
        <v/>
      </c>
      <c r="L304" s="13">
        <f>IF('ORDENES'!$A282="","",IF('ORDENES'!$M282="",0,'ORDENES'!$M282))</f>
        <v/>
      </c>
      <c r="M304" s="3">
        <f>IF('ORDENES'!$A282="","",IF('ORDENES'!$N282="","-",'ORDENES'!$N282))</f>
        <v/>
      </c>
      <c r="N304" s="3">
        <f>IF('ORDENES'!$A282="","",'ORDENES'!$AD282)</f>
        <v/>
      </c>
    </row>
    <row r="305">
      <c r="A305" s="3">
        <f>IF('ORDENES'!$A283="","",IF('ORDENES'!$O283="","-",'ORDENES'!$O283))</f>
        <v/>
      </c>
      <c r="B305" s="3">
        <f>IF('ORDENES'!$A283="","",IF('ORDENES'!$R283="","-",'ORDENES'!$R283))</f>
        <v/>
      </c>
      <c r="C305" s="3">
        <f>IF('ORDENES'!$A283="","",IF('ORDENES'!$AF283="","-",'ORDENES'!$AF283))</f>
        <v/>
      </c>
      <c r="D305" s="3">
        <f>IF('ORDENES'!$A283="","",IF('ORDENES'!$X283="","-",'ORDENES'!$X283))</f>
        <v/>
      </c>
      <c r="E305" s="3">
        <f>IF('ORDENES'!$A283="","",IF('ORDENES'!$V283="","-",'ORDENES'!$V283))</f>
        <v/>
      </c>
      <c r="F305" s="3">
        <f>IF('ORDENES'!$A283="","",IF('ORDENES'!$Y283="","-",'ORDENES'!$Y283))</f>
        <v/>
      </c>
      <c r="G305" s="3">
        <f>IF('ORDENES'!$A283="","",IF('ORDENES'!$W283="","-",'ORDENES'!$W283))</f>
        <v/>
      </c>
      <c r="H305" s="3">
        <f>IF('ORDENES'!$A283="","",IF('ORDENES'!$AE283="","-",'ORDENES'!$AE283))</f>
        <v/>
      </c>
      <c r="I305" s="3">
        <f>IF('ORDENES'!$A283="","",IF('ORDENES'!$AQ283="","-",'ORDENES'!$AQ283))</f>
        <v/>
      </c>
      <c r="J305" s="3">
        <f>IF('ORDENES'!$A283="","",IF('ORDENES'!$D283="","-",'ORDENES'!$D283))</f>
        <v/>
      </c>
      <c r="K305" s="3">
        <f>IF('ORDENES'!$A283="","",IF('ORDENES'!$E283="","-",'ORDENES'!$E283))</f>
        <v/>
      </c>
      <c r="L305" s="13">
        <f>IF('ORDENES'!$A283="","",IF('ORDENES'!$M283="",0,'ORDENES'!$M283))</f>
        <v/>
      </c>
      <c r="M305" s="3">
        <f>IF('ORDENES'!$A283="","",IF('ORDENES'!$N283="","-",'ORDENES'!$N283))</f>
        <v/>
      </c>
      <c r="N305" s="3">
        <f>IF('ORDENES'!$A283="","",'ORDENES'!$AD283)</f>
        <v/>
      </c>
    </row>
    <row r="306">
      <c r="A306" s="3">
        <f>IF('ORDENES'!$A284="","",IF('ORDENES'!$O284="","-",'ORDENES'!$O284))</f>
        <v/>
      </c>
      <c r="B306" s="3">
        <f>IF('ORDENES'!$A284="","",IF('ORDENES'!$R284="","-",'ORDENES'!$R284))</f>
        <v/>
      </c>
      <c r="C306" s="3">
        <f>IF('ORDENES'!$A284="","",IF('ORDENES'!$AF284="","-",'ORDENES'!$AF284))</f>
        <v/>
      </c>
      <c r="D306" s="3">
        <f>IF('ORDENES'!$A284="","",IF('ORDENES'!$X284="","-",'ORDENES'!$X284))</f>
        <v/>
      </c>
      <c r="E306" s="3">
        <f>IF('ORDENES'!$A284="","",IF('ORDENES'!$V284="","-",'ORDENES'!$V284))</f>
        <v/>
      </c>
      <c r="F306" s="3">
        <f>IF('ORDENES'!$A284="","",IF('ORDENES'!$Y284="","-",'ORDENES'!$Y284))</f>
        <v/>
      </c>
      <c r="G306" s="3">
        <f>IF('ORDENES'!$A284="","",IF('ORDENES'!$W284="","-",'ORDENES'!$W284))</f>
        <v/>
      </c>
      <c r="H306" s="3">
        <f>IF('ORDENES'!$A284="","",IF('ORDENES'!$AE284="","-",'ORDENES'!$AE284))</f>
        <v/>
      </c>
      <c r="I306" s="3">
        <f>IF('ORDENES'!$A284="","",IF('ORDENES'!$AQ284="","-",'ORDENES'!$AQ284))</f>
        <v/>
      </c>
      <c r="J306" s="3">
        <f>IF('ORDENES'!$A284="","",IF('ORDENES'!$D284="","-",'ORDENES'!$D284))</f>
        <v/>
      </c>
      <c r="K306" s="3">
        <f>IF('ORDENES'!$A284="","",IF('ORDENES'!$E284="","-",'ORDENES'!$E284))</f>
        <v/>
      </c>
      <c r="L306" s="13">
        <f>IF('ORDENES'!$A284="","",IF('ORDENES'!$M284="",0,'ORDENES'!$M284))</f>
        <v/>
      </c>
      <c r="M306" s="3">
        <f>IF('ORDENES'!$A284="","",IF('ORDENES'!$N284="","-",'ORDENES'!$N284))</f>
        <v/>
      </c>
      <c r="N306" s="3">
        <f>IF('ORDENES'!$A284="","",'ORDENES'!$AD284)</f>
        <v/>
      </c>
    </row>
    <row r="307">
      <c r="A307" s="3">
        <f>IF('ORDENES'!$A285="","",IF('ORDENES'!$O285="","-",'ORDENES'!$O285))</f>
        <v/>
      </c>
      <c r="B307" s="3">
        <f>IF('ORDENES'!$A285="","",IF('ORDENES'!$R285="","-",'ORDENES'!$R285))</f>
        <v/>
      </c>
      <c r="C307" s="3">
        <f>IF('ORDENES'!$A285="","",IF('ORDENES'!$AF285="","-",'ORDENES'!$AF285))</f>
        <v/>
      </c>
      <c r="D307" s="3">
        <f>IF('ORDENES'!$A285="","",IF('ORDENES'!$X285="","-",'ORDENES'!$X285))</f>
        <v/>
      </c>
      <c r="E307" s="3">
        <f>IF('ORDENES'!$A285="","",IF('ORDENES'!$V285="","-",'ORDENES'!$V285))</f>
        <v/>
      </c>
      <c r="F307" s="3">
        <f>IF('ORDENES'!$A285="","",IF('ORDENES'!$Y285="","-",'ORDENES'!$Y285))</f>
        <v/>
      </c>
      <c r="G307" s="3">
        <f>IF('ORDENES'!$A285="","",IF('ORDENES'!$W285="","-",'ORDENES'!$W285))</f>
        <v/>
      </c>
      <c r="H307" s="3">
        <f>IF('ORDENES'!$A285="","",IF('ORDENES'!$AE285="","-",'ORDENES'!$AE285))</f>
        <v/>
      </c>
      <c r="I307" s="3">
        <f>IF('ORDENES'!$A285="","",IF('ORDENES'!$AQ285="","-",'ORDENES'!$AQ285))</f>
        <v/>
      </c>
      <c r="J307" s="3">
        <f>IF('ORDENES'!$A285="","",IF('ORDENES'!$D285="","-",'ORDENES'!$D285))</f>
        <v/>
      </c>
      <c r="K307" s="3">
        <f>IF('ORDENES'!$A285="","",IF('ORDENES'!$E285="","-",'ORDENES'!$E285))</f>
        <v/>
      </c>
      <c r="L307" s="13">
        <f>IF('ORDENES'!$A285="","",IF('ORDENES'!$M285="",0,'ORDENES'!$M285))</f>
        <v/>
      </c>
      <c r="M307" s="3">
        <f>IF('ORDENES'!$A285="","",IF('ORDENES'!$N285="","-",'ORDENES'!$N285))</f>
        <v/>
      </c>
      <c r="N307" s="3">
        <f>IF('ORDENES'!$A285="","",'ORDENES'!$AD285)</f>
        <v/>
      </c>
    </row>
    <row r="308">
      <c r="A308" s="3">
        <f>IF('ORDENES'!$A286="","",IF('ORDENES'!$O286="","-",'ORDENES'!$O286))</f>
        <v/>
      </c>
      <c r="B308" s="3">
        <f>IF('ORDENES'!$A286="","",IF('ORDENES'!$R286="","-",'ORDENES'!$R286))</f>
        <v/>
      </c>
      <c r="C308" s="3">
        <f>IF('ORDENES'!$A286="","",IF('ORDENES'!$AF286="","-",'ORDENES'!$AF286))</f>
        <v/>
      </c>
      <c r="D308" s="3">
        <f>IF('ORDENES'!$A286="","",IF('ORDENES'!$X286="","-",'ORDENES'!$X286))</f>
        <v/>
      </c>
      <c r="E308" s="3">
        <f>IF('ORDENES'!$A286="","",IF('ORDENES'!$V286="","-",'ORDENES'!$V286))</f>
        <v/>
      </c>
      <c r="F308" s="3">
        <f>IF('ORDENES'!$A286="","",IF('ORDENES'!$Y286="","-",'ORDENES'!$Y286))</f>
        <v/>
      </c>
      <c r="G308" s="3">
        <f>IF('ORDENES'!$A286="","",IF('ORDENES'!$W286="","-",'ORDENES'!$W286))</f>
        <v/>
      </c>
      <c r="H308" s="3">
        <f>IF('ORDENES'!$A286="","",IF('ORDENES'!$AE286="","-",'ORDENES'!$AE286))</f>
        <v/>
      </c>
      <c r="I308" s="3">
        <f>IF('ORDENES'!$A286="","",IF('ORDENES'!$AQ286="","-",'ORDENES'!$AQ286))</f>
        <v/>
      </c>
      <c r="J308" s="3">
        <f>IF('ORDENES'!$A286="","",IF('ORDENES'!$D286="","-",'ORDENES'!$D286))</f>
        <v/>
      </c>
      <c r="K308" s="3">
        <f>IF('ORDENES'!$A286="","",IF('ORDENES'!$E286="","-",'ORDENES'!$E286))</f>
        <v/>
      </c>
      <c r="L308" s="13">
        <f>IF('ORDENES'!$A286="","",IF('ORDENES'!$M286="",0,'ORDENES'!$M286))</f>
        <v/>
      </c>
      <c r="M308" s="3">
        <f>IF('ORDENES'!$A286="","",IF('ORDENES'!$N286="","-",'ORDENES'!$N286))</f>
        <v/>
      </c>
      <c r="N308" s="3">
        <f>IF('ORDENES'!$A286="","",'ORDENES'!$AD286)</f>
        <v/>
      </c>
    </row>
    <row r="309">
      <c r="A309" s="3">
        <f>IF('ORDENES'!$A287="","",IF('ORDENES'!$O287="","-",'ORDENES'!$O287))</f>
        <v/>
      </c>
      <c r="B309" s="3">
        <f>IF('ORDENES'!$A287="","",IF('ORDENES'!$R287="","-",'ORDENES'!$R287))</f>
        <v/>
      </c>
      <c r="C309" s="3">
        <f>IF('ORDENES'!$A287="","",IF('ORDENES'!$AF287="","-",'ORDENES'!$AF287))</f>
        <v/>
      </c>
      <c r="D309" s="3">
        <f>IF('ORDENES'!$A287="","",IF('ORDENES'!$X287="","-",'ORDENES'!$X287))</f>
        <v/>
      </c>
      <c r="E309" s="3">
        <f>IF('ORDENES'!$A287="","",IF('ORDENES'!$V287="","-",'ORDENES'!$V287))</f>
        <v/>
      </c>
      <c r="F309" s="3">
        <f>IF('ORDENES'!$A287="","",IF('ORDENES'!$Y287="","-",'ORDENES'!$Y287))</f>
        <v/>
      </c>
      <c r="G309" s="3">
        <f>IF('ORDENES'!$A287="","",IF('ORDENES'!$W287="","-",'ORDENES'!$W287))</f>
        <v/>
      </c>
      <c r="H309" s="3">
        <f>IF('ORDENES'!$A287="","",IF('ORDENES'!$AE287="","-",'ORDENES'!$AE287))</f>
        <v/>
      </c>
      <c r="I309" s="3">
        <f>IF('ORDENES'!$A287="","",IF('ORDENES'!$AQ287="","-",'ORDENES'!$AQ287))</f>
        <v/>
      </c>
      <c r="J309" s="3">
        <f>IF('ORDENES'!$A287="","",IF('ORDENES'!$D287="","-",'ORDENES'!$D287))</f>
        <v/>
      </c>
      <c r="K309" s="3">
        <f>IF('ORDENES'!$A287="","",IF('ORDENES'!$E287="","-",'ORDENES'!$E287))</f>
        <v/>
      </c>
      <c r="L309" s="13">
        <f>IF('ORDENES'!$A287="","",IF('ORDENES'!$M287="",0,'ORDENES'!$M287))</f>
        <v/>
      </c>
      <c r="M309" s="3">
        <f>IF('ORDENES'!$A287="","",IF('ORDENES'!$N287="","-",'ORDENES'!$N287))</f>
        <v/>
      </c>
      <c r="N309" s="3">
        <f>IF('ORDENES'!$A287="","",'ORDENES'!$AD287)</f>
        <v/>
      </c>
    </row>
    <row r="310">
      <c r="A310" s="3">
        <f>IF('ORDENES'!$A288="","",IF('ORDENES'!$O288="","-",'ORDENES'!$O288))</f>
        <v/>
      </c>
      <c r="B310" s="3">
        <f>IF('ORDENES'!$A288="","",IF('ORDENES'!$R288="","-",'ORDENES'!$R288))</f>
        <v/>
      </c>
      <c r="C310" s="3">
        <f>IF('ORDENES'!$A288="","",IF('ORDENES'!$AF288="","-",'ORDENES'!$AF288))</f>
        <v/>
      </c>
      <c r="D310" s="3">
        <f>IF('ORDENES'!$A288="","",IF('ORDENES'!$X288="","-",'ORDENES'!$X288))</f>
        <v/>
      </c>
      <c r="E310" s="3">
        <f>IF('ORDENES'!$A288="","",IF('ORDENES'!$V288="","-",'ORDENES'!$V288))</f>
        <v/>
      </c>
      <c r="F310" s="3">
        <f>IF('ORDENES'!$A288="","",IF('ORDENES'!$Y288="","-",'ORDENES'!$Y288))</f>
        <v/>
      </c>
      <c r="G310" s="3">
        <f>IF('ORDENES'!$A288="","",IF('ORDENES'!$W288="","-",'ORDENES'!$W288))</f>
        <v/>
      </c>
      <c r="H310" s="3">
        <f>IF('ORDENES'!$A288="","",IF('ORDENES'!$AE288="","-",'ORDENES'!$AE288))</f>
        <v/>
      </c>
      <c r="I310" s="3">
        <f>IF('ORDENES'!$A288="","",IF('ORDENES'!$AQ288="","-",'ORDENES'!$AQ288))</f>
        <v/>
      </c>
      <c r="J310" s="3">
        <f>IF('ORDENES'!$A288="","",IF('ORDENES'!$D288="","-",'ORDENES'!$D288))</f>
        <v/>
      </c>
      <c r="K310" s="3">
        <f>IF('ORDENES'!$A288="","",IF('ORDENES'!$E288="","-",'ORDENES'!$E288))</f>
        <v/>
      </c>
      <c r="L310" s="13">
        <f>IF('ORDENES'!$A288="","",IF('ORDENES'!$M288="",0,'ORDENES'!$M288))</f>
        <v/>
      </c>
      <c r="M310" s="3">
        <f>IF('ORDENES'!$A288="","",IF('ORDENES'!$N288="","-",'ORDENES'!$N288))</f>
        <v/>
      </c>
      <c r="N310" s="3">
        <f>IF('ORDENES'!$A288="","",'ORDENES'!$AD288)</f>
        <v/>
      </c>
    </row>
    <row r="311">
      <c r="A311" s="3">
        <f>IF('ORDENES'!$A289="","",IF('ORDENES'!$O289="","-",'ORDENES'!$O289))</f>
        <v/>
      </c>
      <c r="B311" s="3">
        <f>IF('ORDENES'!$A289="","",IF('ORDENES'!$R289="","-",'ORDENES'!$R289))</f>
        <v/>
      </c>
      <c r="C311" s="3">
        <f>IF('ORDENES'!$A289="","",IF('ORDENES'!$AF289="","-",'ORDENES'!$AF289))</f>
        <v/>
      </c>
      <c r="D311" s="3">
        <f>IF('ORDENES'!$A289="","",IF('ORDENES'!$X289="","-",'ORDENES'!$X289))</f>
        <v/>
      </c>
      <c r="E311" s="3">
        <f>IF('ORDENES'!$A289="","",IF('ORDENES'!$V289="","-",'ORDENES'!$V289))</f>
        <v/>
      </c>
      <c r="F311" s="3">
        <f>IF('ORDENES'!$A289="","",IF('ORDENES'!$Y289="","-",'ORDENES'!$Y289))</f>
        <v/>
      </c>
      <c r="G311" s="3">
        <f>IF('ORDENES'!$A289="","",IF('ORDENES'!$W289="","-",'ORDENES'!$W289))</f>
        <v/>
      </c>
      <c r="H311" s="3">
        <f>IF('ORDENES'!$A289="","",IF('ORDENES'!$AE289="","-",'ORDENES'!$AE289))</f>
        <v/>
      </c>
      <c r="I311" s="3">
        <f>IF('ORDENES'!$A289="","",IF('ORDENES'!$AQ289="","-",'ORDENES'!$AQ289))</f>
        <v/>
      </c>
      <c r="J311" s="3">
        <f>IF('ORDENES'!$A289="","",IF('ORDENES'!$D289="","-",'ORDENES'!$D289))</f>
        <v/>
      </c>
      <c r="K311" s="3">
        <f>IF('ORDENES'!$A289="","",IF('ORDENES'!$E289="","-",'ORDENES'!$E289))</f>
        <v/>
      </c>
      <c r="L311" s="13">
        <f>IF('ORDENES'!$A289="","",IF('ORDENES'!$M289="",0,'ORDENES'!$M289))</f>
        <v/>
      </c>
      <c r="M311" s="3">
        <f>IF('ORDENES'!$A289="","",IF('ORDENES'!$N289="","-",'ORDENES'!$N289))</f>
        <v/>
      </c>
      <c r="N311" s="3">
        <f>IF('ORDENES'!$A289="","",'ORDENES'!$AD289)</f>
        <v/>
      </c>
    </row>
    <row r="312">
      <c r="A312" s="3">
        <f>IF('ORDENES'!$A290="","",IF('ORDENES'!$O290="","-",'ORDENES'!$O290))</f>
        <v/>
      </c>
      <c r="B312" s="3">
        <f>IF('ORDENES'!$A290="","",IF('ORDENES'!$R290="","-",'ORDENES'!$R290))</f>
        <v/>
      </c>
      <c r="C312" s="3">
        <f>IF('ORDENES'!$A290="","",IF('ORDENES'!$AF290="","-",'ORDENES'!$AF290))</f>
        <v/>
      </c>
      <c r="D312" s="3">
        <f>IF('ORDENES'!$A290="","",IF('ORDENES'!$X290="","-",'ORDENES'!$X290))</f>
        <v/>
      </c>
      <c r="E312" s="3">
        <f>IF('ORDENES'!$A290="","",IF('ORDENES'!$V290="","-",'ORDENES'!$V290))</f>
        <v/>
      </c>
      <c r="F312" s="3">
        <f>IF('ORDENES'!$A290="","",IF('ORDENES'!$Y290="","-",'ORDENES'!$Y290))</f>
        <v/>
      </c>
      <c r="G312" s="3">
        <f>IF('ORDENES'!$A290="","",IF('ORDENES'!$W290="","-",'ORDENES'!$W290))</f>
        <v/>
      </c>
      <c r="H312" s="3">
        <f>IF('ORDENES'!$A290="","",IF('ORDENES'!$AE290="","-",'ORDENES'!$AE290))</f>
        <v/>
      </c>
      <c r="I312" s="3">
        <f>IF('ORDENES'!$A290="","",IF('ORDENES'!$AQ290="","-",'ORDENES'!$AQ290))</f>
        <v/>
      </c>
      <c r="J312" s="3">
        <f>IF('ORDENES'!$A290="","",IF('ORDENES'!$D290="","-",'ORDENES'!$D290))</f>
        <v/>
      </c>
      <c r="K312" s="3">
        <f>IF('ORDENES'!$A290="","",IF('ORDENES'!$E290="","-",'ORDENES'!$E290))</f>
        <v/>
      </c>
      <c r="L312" s="13">
        <f>IF('ORDENES'!$A290="","",IF('ORDENES'!$M290="",0,'ORDENES'!$M290))</f>
        <v/>
      </c>
      <c r="M312" s="3">
        <f>IF('ORDENES'!$A290="","",IF('ORDENES'!$N290="","-",'ORDENES'!$N290))</f>
        <v/>
      </c>
      <c r="N312" s="3">
        <f>IF('ORDENES'!$A290="","",'ORDENES'!$AD290)</f>
        <v/>
      </c>
    </row>
    <row r="313">
      <c r="A313" s="3">
        <f>IF('ORDENES'!$A291="","",IF('ORDENES'!$O291="","-",'ORDENES'!$O291))</f>
        <v/>
      </c>
      <c r="B313" s="3">
        <f>IF('ORDENES'!$A291="","",IF('ORDENES'!$R291="","-",'ORDENES'!$R291))</f>
        <v/>
      </c>
      <c r="C313" s="3">
        <f>IF('ORDENES'!$A291="","",IF('ORDENES'!$AF291="","-",'ORDENES'!$AF291))</f>
        <v/>
      </c>
      <c r="D313" s="3">
        <f>IF('ORDENES'!$A291="","",IF('ORDENES'!$X291="","-",'ORDENES'!$X291))</f>
        <v/>
      </c>
      <c r="E313" s="3">
        <f>IF('ORDENES'!$A291="","",IF('ORDENES'!$V291="","-",'ORDENES'!$V291))</f>
        <v/>
      </c>
      <c r="F313" s="3">
        <f>IF('ORDENES'!$A291="","",IF('ORDENES'!$Y291="","-",'ORDENES'!$Y291))</f>
        <v/>
      </c>
      <c r="G313" s="3">
        <f>IF('ORDENES'!$A291="","",IF('ORDENES'!$W291="","-",'ORDENES'!$W291))</f>
        <v/>
      </c>
      <c r="H313" s="3">
        <f>IF('ORDENES'!$A291="","",IF('ORDENES'!$AE291="","-",'ORDENES'!$AE291))</f>
        <v/>
      </c>
      <c r="I313" s="3">
        <f>IF('ORDENES'!$A291="","",IF('ORDENES'!$AQ291="","-",'ORDENES'!$AQ291))</f>
        <v/>
      </c>
      <c r="J313" s="3">
        <f>IF('ORDENES'!$A291="","",IF('ORDENES'!$D291="","-",'ORDENES'!$D291))</f>
        <v/>
      </c>
      <c r="K313" s="3">
        <f>IF('ORDENES'!$A291="","",IF('ORDENES'!$E291="","-",'ORDENES'!$E291))</f>
        <v/>
      </c>
      <c r="L313" s="13">
        <f>IF('ORDENES'!$A291="","",IF('ORDENES'!$M291="",0,'ORDENES'!$M291))</f>
        <v/>
      </c>
      <c r="M313" s="3">
        <f>IF('ORDENES'!$A291="","",IF('ORDENES'!$N291="","-",'ORDENES'!$N291))</f>
        <v/>
      </c>
      <c r="N313" s="3">
        <f>IF('ORDENES'!$A291="","",'ORDENES'!$AD291)</f>
        <v/>
      </c>
    </row>
    <row r="314">
      <c r="A314" s="3">
        <f>IF('ORDENES'!$A292="","",IF('ORDENES'!$O292="","-",'ORDENES'!$O292))</f>
        <v/>
      </c>
      <c r="B314" s="3">
        <f>IF('ORDENES'!$A292="","",IF('ORDENES'!$R292="","-",'ORDENES'!$R292))</f>
        <v/>
      </c>
      <c r="C314" s="3">
        <f>IF('ORDENES'!$A292="","",IF('ORDENES'!$AF292="","-",'ORDENES'!$AF292))</f>
        <v/>
      </c>
      <c r="D314" s="3">
        <f>IF('ORDENES'!$A292="","",IF('ORDENES'!$X292="","-",'ORDENES'!$X292))</f>
        <v/>
      </c>
      <c r="E314" s="3">
        <f>IF('ORDENES'!$A292="","",IF('ORDENES'!$V292="","-",'ORDENES'!$V292))</f>
        <v/>
      </c>
      <c r="F314" s="3">
        <f>IF('ORDENES'!$A292="","",IF('ORDENES'!$Y292="","-",'ORDENES'!$Y292))</f>
        <v/>
      </c>
      <c r="G314" s="3">
        <f>IF('ORDENES'!$A292="","",IF('ORDENES'!$W292="","-",'ORDENES'!$W292))</f>
        <v/>
      </c>
      <c r="H314" s="3">
        <f>IF('ORDENES'!$A292="","",IF('ORDENES'!$AE292="","-",'ORDENES'!$AE292))</f>
        <v/>
      </c>
      <c r="I314" s="3">
        <f>IF('ORDENES'!$A292="","",IF('ORDENES'!$AQ292="","-",'ORDENES'!$AQ292))</f>
        <v/>
      </c>
      <c r="J314" s="3">
        <f>IF('ORDENES'!$A292="","",IF('ORDENES'!$D292="","-",'ORDENES'!$D292))</f>
        <v/>
      </c>
      <c r="K314" s="3">
        <f>IF('ORDENES'!$A292="","",IF('ORDENES'!$E292="","-",'ORDENES'!$E292))</f>
        <v/>
      </c>
      <c r="L314" s="13">
        <f>IF('ORDENES'!$A292="","",IF('ORDENES'!$M292="",0,'ORDENES'!$M292))</f>
        <v/>
      </c>
      <c r="M314" s="3">
        <f>IF('ORDENES'!$A292="","",IF('ORDENES'!$N292="","-",'ORDENES'!$N292))</f>
        <v/>
      </c>
      <c r="N314" s="3">
        <f>IF('ORDENES'!$A292="","",'ORDENES'!$AD292)</f>
        <v/>
      </c>
    </row>
    <row r="315">
      <c r="A315" s="3">
        <f>IF('ORDENES'!$A293="","",IF('ORDENES'!$O293="","-",'ORDENES'!$O293))</f>
        <v/>
      </c>
      <c r="B315" s="3">
        <f>IF('ORDENES'!$A293="","",IF('ORDENES'!$R293="","-",'ORDENES'!$R293))</f>
        <v/>
      </c>
      <c r="C315" s="3">
        <f>IF('ORDENES'!$A293="","",IF('ORDENES'!$AF293="","-",'ORDENES'!$AF293))</f>
        <v/>
      </c>
      <c r="D315" s="3">
        <f>IF('ORDENES'!$A293="","",IF('ORDENES'!$X293="","-",'ORDENES'!$X293))</f>
        <v/>
      </c>
      <c r="E315" s="3">
        <f>IF('ORDENES'!$A293="","",IF('ORDENES'!$V293="","-",'ORDENES'!$V293))</f>
        <v/>
      </c>
      <c r="F315" s="3">
        <f>IF('ORDENES'!$A293="","",IF('ORDENES'!$Y293="","-",'ORDENES'!$Y293))</f>
        <v/>
      </c>
      <c r="G315" s="3">
        <f>IF('ORDENES'!$A293="","",IF('ORDENES'!$W293="","-",'ORDENES'!$W293))</f>
        <v/>
      </c>
      <c r="H315" s="3">
        <f>IF('ORDENES'!$A293="","",IF('ORDENES'!$AE293="","-",'ORDENES'!$AE293))</f>
        <v/>
      </c>
      <c r="I315" s="3">
        <f>IF('ORDENES'!$A293="","",IF('ORDENES'!$AQ293="","-",'ORDENES'!$AQ293))</f>
        <v/>
      </c>
      <c r="J315" s="3">
        <f>IF('ORDENES'!$A293="","",IF('ORDENES'!$D293="","-",'ORDENES'!$D293))</f>
        <v/>
      </c>
      <c r="K315" s="3">
        <f>IF('ORDENES'!$A293="","",IF('ORDENES'!$E293="","-",'ORDENES'!$E293))</f>
        <v/>
      </c>
      <c r="L315" s="13">
        <f>IF('ORDENES'!$A293="","",IF('ORDENES'!$M293="",0,'ORDENES'!$M293))</f>
        <v/>
      </c>
      <c r="M315" s="3">
        <f>IF('ORDENES'!$A293="","",IF('ORDENES'!$N293="","-",'ORDENES'!$N293))</f>
        <v/>
      </c>
      <c r="N315" s="3">
        <f>IF('ORDENES'!$A293="","",'ORDENES'!$AD293)</f>
        <v/>
      </c>
    </row>
    <row r="316">
      <c r="A316" s="3">
        <f>IF('ORDENES'!$A294="","",IF('ORDENES'!$O294="","-",'ORDENES'!$O294))</f>
        <v/>
      </c>
      <c r="B316" s="3">
        <f>IF('ORDENES'!$A294="","",IF('ORDENES'!$R294="","-",'ORDENES'!$R294))</f>
        <v/>
      </c>
      <c r="C316" s="3">
        <f>IF('ORDENES'!$A294="","",IF('ORDENES'!$AF294="","-",'ORDENES'!$AF294))</f>
        <v/>
      </c>
      <c r="D316" s="3">
        <f>IF('ORDENES'!$A294="","",IF('ORDENES'!$X294="","-",'ORDENES'!$X294))</f>
        <v/>
      </c>
      <c r="E316" s="3">
        <f>IF('ORDENES'!$A294="","",IF('ORDENES'!$V294="","-",'ORDENES'!$V294))</f>
        <v/>
      </c>
      <c r="F316" s="3">
        <f>IF('ORDENES'!$A294="","",IF('ORDENES'!$Y294="","-",'ORDENES'!$Y294))</f>
        <v/>
      </c>
      <c r="G316" s="3">
        <f>IF('ORDENES'!$A294="","",IF('ORDENES'!$W294="","-",'ORDENES'!$W294))</f>
        <v/>
      </c>
      <c r="H316" s="3">
        <f>IF('ORDENES'!$A294="","",IF('ORDENES'!$AE294="","-",'ORDENES'!$AE294))</f>
        <v/>
      </c>
      <c r="I316" s="3">
        <f>IF('ORDENES'!$A294="","",IF('ORDENES'!$AQ294="","-",'ORDENES'!$AQ294))</f>
        <v/>
      </c>
      <c r="J316" s="3">
        <f>IF('ORDENES'!$A294="","",IF('ORDENES'!$D294="","-",'ORDENES'!$D294))</f>
        <v/>
      </c>
      <c r="K316" s="3">
        <f>IF('ORDENES'!$A294="","",IF('ORDENES'!$E294="","-",'ORDENES'!$E294))</f>
        <v/>
      </c>
      <c r="L316" s="13">
        <f>IF('ORDENES'!$A294="","",IF('ORDENES'!$M294="",0,'ORDENES'!$M294))</f>
        <v/>
      </c>
      <c r="M316" s="3">
        <f>IF('ORDENES'!$A294="","",IF('ORDENES'!$N294="","-",'ORDENES'!$N294))</f>
        <v/>
      </c>
      <c r="N316" s="3">
        <f>IF('ORDENES'!$A294="","",'ORDENES'!$AD294)</f>
        <v/>
      </c>
    </row>
    <row r="317">
      <c r="A317" s="3">
        <f>IF('ORDENES'!$A295="","",IF('ORDENES'!$O295="","-",'ORDENES'!$O295))</f>
        <v/>
      </c>
      <c r="B317" s="3">
        <f>IF('ORDENES'!$A295="","",IF('ORDENES'!$R295="","-",'ORDENES'!$R295))</f>
        <v/>
      </c>
      <c r="C317" s="3">
        <f>IF('ORDENES'!$A295="","",IF('ORDENES'!$AF295="","-",'ORDENES'!$AF295))</f>
        <v/>
      </c>
      <c r="D317" s="3">
        <f>IF('ORDENES'!$A295="","",IF('ORDENES'!$X295="","-",'ORDENES'!$X295))</f>
        <v/>
      </c>
      <c r="E317" s="3">
        <f>IF('ORDENES'!$A295="","",IF('ORDENES'!$V295="","-",'ORDENES'!$V295))</f>
        <v/>
      </c>
      <c r="F317" s="3">
        <f>IF('ORDENES'!$A295="","",IF('ORDENES'!$Y295="","-",'ORDENES'!$Y295))</f>
        <v/>
      </c>
      <c r="G317" s="3">
        <f>IF('ORDENES'!$A295="","",IF('ORDENES'!$W295="","-",'ORDENES'!$W295))</f>
        <v/>
      </c>
      <c r="H317" s="3">
        <f>IF('ORDENES'!$A295="","",IF('ORDENES'!$AE295="","-",'ORDENES'!$AE295))</f>
        <v/>
      </c>
      <c r="I317" s="3">
        <f>IF('ORDENES'!$A295="","",IF('ORDENES'!$AQ295="","-",'ORDENES'!$AQ295))</f>
        <v/>
      </c>
      <c r="J317" s="3">
        <f>IF('ORDENES'!$A295="","",IF('ORDENES'!$D295="","-",'ORDENES'!$D295))</f>
        <v/>
      </c>
      <c r="K317" s="3">
        <f>IF('ORDENES'!$A295="","",IF('ORDENES'!$E295="","-",'ORDENES'!$E295))</f>
        <v/>
      </c>
      <c r="L317" s="13">
        <f>IF('ORDENES'!$A295="","",IF('ORDENES'!$M295="",0,'ORDENES'!$M295))</f>
        <v/>
      </c>
      <c r="M317" s="3">
        <f>IF('ORDENES'!$A295="","",IF('ORDENES'!$N295="","-",'ORDENES'!$N295))</f>
        <v/>
      </c>
      <c r="N317" s="3">
        <f>IF('ORDENES'!$A295="","",'ORDENES'!$AD295)</f>
        <v/>
      </c>
    </row>
    <row r="318">
      <c r="A318" s="3">
        <f>IF('ORDENES'!$A296="","",IF('ORDENES'!$O296="","-",'ORDENES'!$O296))</f>
        <v/>
      </c>
      <c r="B318" s="3">
        <f>IF('ORDENES'!$A296="","",IF('ORDENES'!$R296="","-",'ORDENES'!$R296))</f>
        <v/>
      </c>
      <c r="C318" s="3">
        <f>IF('ORDENES'!$A296="","",IF('ORDENES'!$AF296="","-",'ORDENES'!$AF296))</f>
        <v/>
      </c>
      <c r="D318" s="3">
        <f>IF('ORDENES'!$A296="","",IF('ORDENES'!$X296="","-",'ORDENES'!$X296))</f>
        <v/>
      </c>
      <c r="E318" s="3">
        <f>IF('ORDENES'!$A296="","",IF('ORDENES'!$V296="","-",'ORDENES'!$V296))</f>
        <v/>
      </c>
      <c r="F318" s="3">
        <f>IF('ORDENES'!$A296="","",IF('ORDENES'!$Y296="","-",'ORDENES'!$Y296))</f>
        <v/>
      </c>
      <c r="G318" s="3">
        <f>IF('ORDENES'!$A296="","",IF('ORDENES'!$W296="","-",'ORDENES'!$W296))</f>
        <v/>
      </c>
      <c r="H318" s="3">
        <f>IF('ORDENES'!$A296="","",IF('ORDENES'!$AE296="","-",'ORDENES'!$AE296))</f>
        <v/>
      </c>
      <c r="I318" s="3">
        <f>IF('ORDENES'!$A296="","",IF('ORDENES'!$AQ296="","-",'ORDENES'!$AQ296))</f>
        <v/>
      </c>
      <c r="J318" s="3">
        <f>IF('ORDENES'!$A296="","",IF('ORDENES'!$D296="","-",'ORDENES'!$D296))</f>
        <v/>
      </c>
      <c r="K318" s="3">
        <f>IF('ORDENES'!$A296="","",IF('ORDENES'!$E296="","-",'ORDENES'!$E296))</f>
        <v/>
      </c>
      <c r="L318" s="13">
        <f>IF('ORDENES'!$A296="","",IF('ORDENES'!$M296="",0,'ORDENES'!$M296))</f>
        <v/>
      </c>
      <c r="M318" s="3">
        <f>IF('ORDENES'!$A296="","",IF('ORDENES'!$N296="","-",'ORDENES'!$N296))</f>
        <v/>
      </c>
      <c r="N318" s="3">
        <f>IF('ORDENES'!$A296="","",'ORDENES'!$AD296)</f>
        <v/>
      </c>
    </row>
    <row r="319">
      <c r="A319" s="3">
        <f>IF('ORDENES'!$A297="","",IF('ORDENES'!$O297="","-",'ORDENES'!$O297))</f>
        <v/>
      </c>
      <c r="B319" s="3">
        <f>IF('ORDENES'!$A297="","",IF('ORDENES'!$R297="","-",'ORDENES'!$R297))</f>
        <v/>
      </c>
      <c r="C319" s="3">
        <f>IF('ORDENES'!$A297="","",IF('ORDENES'!$AF297="","-",'ORDENES'!$AF297))</f>
        <v/>
      </c>
      <c r="D319" s="3">
        <f>IF('ORDENES'!$A297="","",IF('ORDENES'!$X297="","-",'ORDENES'!$X297))</f>
        <v/>
      </c>
      <c r="E319" s="3">
        <f>IF('ORDENES'!$A297="","",IF('ORDENES'!$V297="","-",'ORDENES'!$V297))</f>
        <v/>
      </c>
      <c r="F319" s="3">
        <f>IF('ORDENES'!$A297="","",IF('ORDENES'!$Y297="","-",'ORDENES'!$Y297))</f>
        <v/>
      </c>
      <c r="G319" s="3">
        <f>IF('ORDENES'!$A297="","",IF('ORDENES'!$W297="","-",'ORDENES'!$W297))</f>
        <v/>
      </c>
      <c r="H319" s="3">
        <f>IF('ORDENES'!$A297="","",IF('ORDENES'!$AE297="","-",'ORDENES'!$AE297))</f>
        <v/>
      </c>
      <c r="I319" s="3">
        <f>IF('ORDENES'!$A297="","",IF('ORDENES'!$AQ297="","-",'ORDENES'!$AQ297))</f>
        <v/>
      </c>
      <c r="J319" s="3">
        <f>IF('ORDENES'!$A297="","",IF('ORDENES'!$D297="","-",'ORDENES'!$D297))</f>
        <v/>
      </c>
      <c r="K319" s="3">
        <f>IF('ORDENES'!$A297="","",IF('ORDENES'!$E297="","-",'ORDENES'!$E297))</f>
        <v/>
      </c>
      <c r="L319" s="13">
        <f>IF('ORDENES'!$A297="","",IF('ORDENES'!$M297="",0,'ORDENES'!$M297))</f>
        <v/>
      </c>
      <c r="M319" s="3">
        <f>IF('ORDENES'!$A297="","",IF('ORDENES'!$N297="","-",'ORDENES'!$N297))</f>
        <v/>
      </c>
      <c r="N319" s="3">
        <f>IF('ORDENES'!$A297="","",'ORDENES'!$AD297)</f>
        <v/>
      </c>
    </row>
    <row r="320">
      <c r="A320" s="3">
        <f>IF('ORDENES'!$A298="","",IF('ORDENES'!$O298="","-",'ORDENES'!$O298))</f>
        <v/>
      </c>
      <c r="B320" s="3">
        <f>IF('ORDENES'!$A298="","",IF('ORDENES'!$R298="","-",'ORDENES'!$R298))</f>
        <v/>
      </c>
      <c r="C320" s="3">
        <f>IF('ORDENES'!$A298="","",IF('ORDENES'!$AF298="","-",'ORDENES'!$AF298))</f>
        <v/>
      </c>
      <c r="D320" s="3">
        <f>IF('ORDENES'!$A298="","",IF('ORDENES'!$X298="","-",'ORDENES'!$X298))</f>
        <v/>
      </c>
      <c r="E320" s="3">
        <f>IF('ORDENES'!$A298="","",IF('ORDENES'!$V298="","-",'ORDENES'!$V298))</f>
        <v/>
      </c>
      <c r="F320" s="3">
        <f>IF('ORDENES'!$A298="","",IF('ORDENES'!$Y298="","-",'ORDENES'!$Y298))</f>
        <v/>
      </c>
      <c r="G320" s="3">
        <f>IF('ORDENES'!$A298="","",IF('ORDENES'!$W298="","-",'ORDENES'!$W298))</f>
        <v/>
      </c>
      <c r="H320" s="3">
        <f>IF('ORDENES'!$A298="","",IF('ORDENES'!$AE298="","-",'ORDENES'!$AE298))</f>
        <v/>
      </c>
      <c r="I320" s="3">
        <f>IF('ORDENES'!$A298="","",IF('ORDENES'!$AQ298="","-",'ORDENES'!$AQ298))</f>
        <v/>
      </c>
      <c r="J320" s="3">
        <f>IF('ORDENES'!$A298="","",IF('ORDENES'!$D298="","-",'ORDENES'!$D298))</f>
        <v/>
      </c>
      <c r="K320" s="3">
        <f>IF('ORDENES'!$A298="","",IF('ORDENES'!$E298="","-",'ORDENES'!$E298))</f>
        <v/>
      </c>
      <c r="L320" s="13">
        <f>IF('ORDENES'!$A298="","",IF('ORDENES'!$M298="",0,'ORDENES'!$M298))</f>
        <v/>
      </c>
      <c r="M320" s="3">
        <f>IF('ORDENES'!$A298="","",IF('ORDENES'!$N298="","-",'ORDENES'!$N298))</f>
        <v/>
      </c>
      <c r="N320" s="3">
        <f>IF('ORDENES'!$A298="","",'ORDENES'!$AD298)</f>
        <v/>
      </c>
    </row>
    <row r="321">
      <c r="A321" s="3">
        <f>IF('ORDENES'!$A299="","",IF('ORDENES'!$O299="","-",'ORDENES'!$O299))</f>
        <v/>
      </c>
      <c r="B321" s="3">
        <f>IF('ORDENES'!$A299="","",IF('ORDENES'!$R299="","-",'ORDENES'!$R299))</f>
        <v/>
      </c>
      <c r="C321" s="3">
        <f>IF('ORDENES'!$A299="","",IF('ORDENES'!$AF299="","-",'ORDENES'!$AF299))</f>
        <v/>
      </c>
      <c r="D321" s="3">
        <f>IF('ORDENES'!$A299="","",IF('ORDENES'!$X299="","-",'ORDENES'!$X299))</f>
        <v/>
      </c>
      <c r="E321" s="3">
        <f>IF('ORDENES'!$A299="","",IF('ORDENES'!$V299="","-",'ORDENES'!$V299))</f>
        <v/>
      </c>
      <c r="F321" s="3">
        <f>IF('ORDENES'!$A299="","",IF('ORDENES'!$Y299="","-",'ORDENES'!$Y299))</f>
        <v/>
      </c>
      <c r="G321" s="3">
        <f>IF('ORDENES'!$A299="","",IF('ORDENES'!$W299="","-",'ORDENES'!$W299))</f>
        <v/>
      </c>
      <c r="H321" s="3">
        <f>IF('ORDENES'!$A299="","",IF('ORDENES'!$AE299="","-",'ORDENES'!$AE299))</f>
        <v/>
      </c>
      <c r="I321" s="3">
        <f>IF('ORDENES'!$A299="","",IF('ORDENES'!$AQ299="","-",'ORDENES'!$AQ299))</f>
        <v/>
      </c>
      <c r="J321" s="3">
        <f>IF('ORDENES'!$A299="","",IF('ORDENES'!$D299="","-",'ORDENES'!$D299))</f>
        <v/>
      </c>
      <c r="K321" s="3">
        <f>IF('ORDENES'!$A299="","",IF('ORDENES'!$E299="","-",'ORDENES'!$E299))</f>
        <v/>
      </c>
      <c r="L321" s="13">
        <f>IF('ORDENES'!$A299="","",IF('ORDENES'!$M299="",0,'ORDENES'!$M299))</f>
        <v/>
      </c>
      <c r="M321" s="3">
        <f>IF('ORDENES'!$A299="","",IF('ORDENES'!$N299="","-",'ORDENES'!$N299))</f>
        <v/>
      </c>
      <c r="N321" s="3">
        <f>IF('ORDENES'!$A299="","",'ORDENES'!$AD299)</f>
        <v/>
      </c>
    </row>
    <row r="322">
      <c r="A322" s="3">
        <f>IF('ORDENES'!$A300="","",IF('ORDENES'!$O300="","-",'ORDENES'!$O300))</f>
        <v/>
      </c>
      <c r="B322" s="3">
        <f>IF('ORDENES'!$A300="","",IF('ORDENES'!$R300="","-",'ORDENES'!$R300))</f>
        <v/>
      </c>
      <c r="C322" s="3">
        <f>IF('ORDENES'!$A300="","",IF('ORDENES'!$AF300="","-",'ORDENES'!$AF300))</f>
        <v/>
      </c>
      <c r="D322" s="3">
        <f>IF('ORDENES'!$A300="","",IF('ORDENES'!$X300="","-",'ORDENES'!$X300))</f>
        <v/>
      </c>
      <c r="E322" s="3">
        <f>IF('ORDENES'!$A300="","",IF('ORDENES'!$V300="","-",'ORDENES'!$V300))</f>
        <v/>
      </c>
      <c r="F322" s="3">
        <f>IF('ORDENES'!$A300="","",IF('ORDENES'!$Y300="","-",'ORDENES'!$Y300))</f>
        <v/>
      </c>
      <c r="G322" s="3">
        <f>IF('ORDENES'!$A300="","",IF('ORDENES'!$W300="","-",'ORDENES'!$W300))</f>
        <v/>
      </c>
      <c r="H322" s="3">
        <f>IF('ORDENES'!$A300="","",IF('ORDENES'!$AE300="","-",'ORDENES'!$AE300))</f>
        <v/>
      </c>
      <c r="I322" s="3">
        <f>IF('ORDENES'!$A300="","",IF('ORDENES'!$AQ300="","-",'ORDENES'!$AQ300))</f>
        <v/>
      </c>
      <c r="J322" s="3">
        <f>IF('ORDENES'!$A300="","",IF('ORDENES'!$D300="","-",'ORDENES'!$D300))</f>
        <v/>
      </c>
      <c r="K322" s="3">
        <f>IF('ORDENES'!$A300="","",IF('ORDENES'!$E300="","-",'ORDENES'!$E300))</f>
        <v/>
      </c>
      <c r="L322" s="13">
        <f>IF('ORDENES'!$A300="","",IF('ORDENES'!$M300="",0,'ORDENES'!$M300))</f>
        <v/>
      </c>
      <c r="M322" s="3">
        <f>IF('ORDENES'!$A300="","",IF('ORDENES'!$N300="","-",'ORDENES'!$N300))</f>
        <v/>
      </c>
      <c r="N322" s="3">
        <f>IF('ORDENES'!$A300="","",'ORDENES'!$AD300)</f>
        <v/>
      </c>
    </row>
    <row r="323">
      <c r="A323" s="3">
        <f>IF('ORDENES'!$A301="","",IF('ORDENES'!$O301="","-",'ORDENES'!$O301))</f>
        <v/>
      </c>
      <c r="B323" s="3">
        <f>IF('ORDENES'!$A301="","",IF('ORDENES'!$R301="","-",'ORDENES'!$R301))</f>
        <v/>
      </c>
      <c r="C323" s="3">
        <f>IF('ORDENES'!$A301="","",IF('ORDENES'!$AF301="","-",'ORDENES'!$AF301))</f>
        <v/>
      </c>
      <c r="D323" s="3">
        <f>IF('ORDENES'!$A301="","",IF('ORDENES'!$X301="","-",'ORDENES'!$X301))</f>
        <v/>
      </c>
      <c r="E323" s="3">
        <f>IF('ORDENES'!$A301="","",IF('ORDENES'!$V301="","-",'ORDENES'!$V301))</f>
        <v/>
      </c>
      <c r="F323" s="3">
        <f>IF('ORDENES'!$A301="","",IF('ORDENES'!$Y301="","-",'ORDENES'!$Y301))</f>
        <v/>
      </c>
      <c r="G323" s="3">
        <f>IF('ORDENES'!$A301="","",IF('ORDENES'!$W301="","-",'ORDENES'!$W301))</f>
        <v/>
      </c>
      <c r="H323" s="3">
        <f>IF('ORDENES'!$A301="","",IF('ORDENES'!$AE301="","-",'ORDENES'!$AE301))</f>
        <v/>
      </c>
      <c r="I323" s="3">
        <f>IF('ORDENES'!$A301="","",IF('ORDENES'!$AQ301="","-",'ORDENES'!$AQ301))</f>
        <v/>
      </c>
      <c r="J323" s="3">
        <f>IF('ORDENES'!$A301="","",IF('ORDENES'!$D301="","-",'ORDENES'!$D301))</f>
        <v/>
      </c>
      <c r="K323" s="3">
        <f>IF('ORDENES'!$A301="","",IF('ORDENES'!$E301="","-",'ORDENES'!$E301))</f>
        <v/>
      </c>
      <c r="L323" s="13">
        <f>IF('ORDENES'!$A301="","",IF('ORDENES'!$M301="",0,'ORDENES'!$M301))</f>
        <v/>
      </c>
      <c r="M323" s="3">
        <f>IF('ORDENES'!$A301="","",IF('ORDENES'!$N301="","-",'ORDENES'!$N301))</f>
        <v/>
      </c>
      <c r="N323" s="3">
        <f>IF('ORDENES'!$A301="","",'ORDENES'!$AD301)</f>
        <v/>
      </c>
    </row>
    <row r="324">
      <c r="A324" s="3">
        <f>IF('ORDENES'!$A302="","",IF('ORDENES'!$O302="","-",'ORDENES'!$O302))</f>
        <v/>
      </c>
      <c r="B324" s="3">
        <f>IF('ORDENES'!$A302="","",IF('ORDENES'!$R302="","-",'ORDENES'!$R302))</f>
        <v/>
      </c>
      <c r="C324" s="3">
        <f>IF('ORDENES'!$A302="","",IF('ORDENES'!$AF302="","-",'ORDENES'!$AF302))</f>
        <v/>
      </c>
      <c r="D324" s="3">
        <f>IF('ORDENES'!$A302="","",IF('ORDENES'!$X302="","-",'ORDENES'!$X302))</f>
        <v/>
      </c>
      <c r="E324" s="3">
        <f>IF('ORDENES'!$A302="","",IF('ORDENES'!$V302="","-",'ORDENES'!$V302))</f>
        <v/>
      </c>
      <c r="F324" s="3">
        <f>IF('ORDENES'!$A302="","",IF('ORDENES'!$Y302="","-",'ORDENES'!$Y302))</f>
        <v/>
      </c>
      <c r="G324" s="3">
        <f>IF('ORDENES'!$A302="","",IF('ORDENES'!$W302="","-",'ORDENES'!$W302))</f>
        <v/>
      </c>
      <c r="H324" s="3">
        <f>IF('ORDENES'!$A302="","",IF('ORDENES'!$AE302="","-",'ORDENES'!$AE302))</f>
        <v/>
      </c>
      <c r="I324" s="3">
        <f>IF('ORDENES'!$A302="","",IF('ORDENES'!$AQ302="","-",'ORDENES'!$AQ302))</f>
        <v/>
      </c>
      <c r="J324" s="3">
        <f>IF('ORDENES'!$A302="","",IF('ORDENES'!$D302="","-",'ORDENES'!$D302))</f>
        <v/>
      </c>
      <c r="K324" s="3">
        <f>IF('ORDENES'!$A302="","",IF('ORDENES'!$E302="","-",'ORDENES'!$E302))</f>
        <v/>
      </c>
      <c r="L324" s="13">
        <f>IF('ORDENES'!$A302="","",IF('ORDENES'!$M302="",0,'ORDENES'!$M302))</f>
        <v/>
      </c>
      <c r="M324" s="3">
        <f>IF('ORDENES'!$A302="","",IF('ORDENES'!$N302="","-",'ORDENES'!$N302))</f>
        <v/>
      </c>
      <c r="N324" s="3">
        <f>IF('ORDENES'!$A302="","",'ORDENES'!$AD302)</f>
        <v/>
      </c>
    </row>
    <row r="325">
      <c r="A325" s="3">
        <f>IF('ORDENES'!$A303="","",IF('ORDENES'!$O303="","-",'ORDENES'!$O303))</f>
        <v/>
      </c>
      <c r="B325" s="3">
        <f>IF('ORDENES'!$A303="","",IF('ORDENES'!$R303="","-",'ORDENES'!$R303))</f>
        <v/>
      </c>
      <c r="C325" s="3">
        <f>IF('ORDENES'!$A303="","",IF('ORDENES'!$AF303="","-",'ORDENES'!$AF303))</f>
        <v/>
      </c>
      <c r="D325" s="3">
        <f>IF('ORDENES'!$A303="","",IF('ORDENES'!$X303="","-",'ORDENES'!$X303))</f>
        <v/>
      </c>
      <c r="E325" s="3">
        <f>IF('ORDENES'!$A303="","",IF('ORDENES'!$V303="","-",'ORDENES'!$V303))</f>
        <v/>
      </c>
      <c r="F325" s="3">
        <f>IF('ORDENES'!$A303="","",IF('ORDENES'!$Y303="","-",'ORDENES'!$Y303))</f>
        <v/>
      </c>
      <c r="G325" s="3">
        <f>IF('ORDENES'!$A303="","",IF('ORDENES'!$W303="","-",'ORDENES'!$W303))</f>
        <v/>
      </c>
      <c r="H325" s="3">
        <f>IF('ORDENES'!$A303="","",IF('ORDENES'!$AE303="","-",'ORDENES'!$AE303))</f>
        <v/>
      </c>
      <c r="I325" s="3">
        <f>IF('ORDENES'!$A303="","",IF('ORDENES'!$AQ303="","-",'ORDENES'!$AQ303))</f>
        <v/>
      </c>
      <c r="J325" s="3">
        <f>IF('ORDENES'!$A303="","",IF('ORDENES'!$D303="","-",'ORDENES'!$D303))</f>
        <v/>
      </c>
      <c r="K325" s="3">
        <f>IF('ORDENES'!$A303="","",IF('ORDENES'!$E303="","-",'ORDENES'!$E303))</f>
        <v/>
      </c>
      <c r="L325" s="13">
        <f>IF('ORDENES'!$A303="","",IF('ORDENES'!$M303="",0,'ORDENES'!$M303))</f>
        <v/>
      </c>
      <c r="M325" s="3">
        <f>IF('ORDENES'!$A303="","",IF('ORDENES'!$N303="","-",'ORDENES'!$N303))</f>
        <v/>
      </c>
      <c r="N325" s="3">
        <f>IF('ORDENES'!$A303="","",'ORDENES'!$AD303)</f>
        <v/>
      </c>
    </row>
    <row r="326">
      <c r="A326" s="3">
        <f>IF('ORDENES'!$A304="","",IF('ORDENES'!$O304="","-",'ORDENES'!$O304))</f>
        <v/>
      </c>
      <c r="B326" s="3">
        <f>IF('ORDENES'!$A304="","",IF('ORDENES'!$R304="","-",'ORDENES'!$R304))</f>
        <v/>
      </c>
      <c r="C326" s="3">
        <f>IF('ORDENES'!$A304="","",IF('ORDENES'!$AF304="","-",'ORDENES'!$AF304))</f>
        <v/>
      </c>
      <c r="D326" s="3">
        <f>IF('ORDENES'!$A304="","",IF('ORDENES'!$X304="","-",'ORDENES'!$X304))</f>
        <v/>
      </c>
      <c r="E326" s="3">
        <f>IF('ORDENES'!$A304="","",IF('ORDENES'!$V304="","-",'ORDENES'!$V304))</f>
        <v/>
      </c>
      <c r="F326" s="3">
        <f>IF('ORDENES'!$A304="","",IF('ORDENES'!$Y304="","-",'ORDENES'!$Y304))</f>
        <v/>
      </c>
      <c r="G326" s="3">
        <f>IF('ORDENES'!$A304="","",IF('ORDENES'!$W304="","-",'ORDENES'!$W304))</f>
        <v/>
      </c>
      <c r="H326" s="3">
        <f>IF('ORDENES'!$A304="","",IF('ORDENES'!$AE304="","-",'ORDENES'!$AE304))</f>
        <v/>
      </c>
      <c r="I326" s="3">
        <f>IF('ORDENES'!$A304="","",IF('ORDENES'!$AQ304="","-",'ORDENES'!$AQ304))</f>
        <v/>
      </c>
      <c r="J326" s="3">
        <f>IF('ORDENES'!$A304="","",IF('ORDENES'!$D304="","-",'ORDENES'!$D304))</f>
        <v/>
      </c>
      <c r="K326" s="3">
        <f>IF('ORDENES'!$A304="","",IF('ORDENES'!$E304="","-",'ORDENES'!$E304))</f>
        <v/>
      </c>
      <c r="L326" s="13">
        <f>IF('ORDENES'!$A304="","",IF('ORDENES'!$M304="",0,'ORDENES'!$M304))</f>
        <v/>
      </c>
      <c r="M326" s="3">
        <f>IF('ORDENES'!$A304="","",IF('ORDENES'!$N304="","-",'ORDENES'!$N304))</f>
        <v/>
      </c>
      <c r="N326" s="3">
        <f>IF('ORDENES'!$A304="","",'ORDENES'!$AD304)</f>
        <v/>
      </c>
    </row>
    <row r="327">
      <c r="A327" s="3">
        <f>IF('ORDENES'!$A305="","",IF('ORDENES'!$O305="","-",'ORDENES'!$O305))</f>
        <v/>
      </c>
      <c r="B327" s="3">
        <f>IF('ORDENES'!$A305="","",IF('ORDENES'!$R305="","-",'ORDENES'!$R305))</f>
        <v/>
      </c>
      <c r="C327" s="3">
        <f>IF('ORDENES'!$A305="","",IF('ORDENES'!$AF305="","-",'ORDENES'!$AF305))</f>
        <v/>
      </c>
      <c r="D327" s="3">
        <f>IF('ORDENES'!$A305="","",IF('ORDENES'!$X305="","-",'ORDENES'!$X305))</f>
        <v/>
      </c>
      <c r="E327" s="3">
        <f>IF('ORDENES'!$A305="","",IF('ORDENES'!$V305="","-",'ORDENES'!$V305))</f>
        <v/>
      </c>
      <c r="F327" s="3">
        <f>IF('ORDENES'!$A305="","",IF('ORDENES'!$Y305="","-",'ORDENES'!$Y305))</f>
        <v/>
      </c>
      <c r="G327" s="3">
        <f>IF('ORDENES'!$A305="","",IF('ORDENES'!$W305="","-",'ORDENES'!$W305))</f>
        <v/>
      </c>
      <c r="H327" s="3">
        <f>IF('ORDENES'!$A305="","",IF('ORDENES'!$AE305="","-",'ORDENES'!$AE305))</f>
        <v/>
      </c>
      <c r="I327" s="3">
        <f>IF('ORDENES'!$A305="","",IF('ORDENES'!$AQ305="","-",'ORDENES'!$AQ305))</f>
        <v/>
      </c>
      <c r="J327" s="3">
        <f>IF('ORDENES'!$A305="","",IF('ORDENES'!$D305="","-",'ORDENES'!$D305))</f>
        <v/>
      </c>
      <c r="K327" s="3">
        <f>IF('ORDENES'!$A305="","",IF('ORDENES'!$E305="","-",'ORDENES'!$E305))</f>
        <v/>
      </c>
      <c r="L327" s="13">
        <f>IF('ORDENES'!$A305="","",IF('ORDENES'!$M305="",0,'ORDENES'!$M305))</f>
        <v/>
      </c>
      <c r="M327" s="3">
        <f>IF('ORDENES'!$A305="","",IF('ORDENES'!$N305="","-",'ORDENES'!$N305))</f>
        <v/>
      </c>
      <c r="N327" s="3">
        <f>IF('ORDENES'!$A305="","",'ORDENES'!$AD305)</f>
        <v/>
      </c>
    </row>
    <row r="328">
      <c r="A328" s="3">
        <f>IF('ORDENES'!$A306="","",IF('ORDENES'!$O306="","-",'ORDENES'!$O306))</f>
        <v/>
      </c>
      <c r="B328" s="3">
        <f>IF('ORDENES'!$A306="","",IF('ORDENES'!$R306="","-",'ORDENES'!$R306))</f>
        <v/>
      </c>
      <c r="C328" s="3">
        <f>IF('ORDENES'!$A306="","",IF('ORDENES'!$AF306="","-",'ORDENES'!$AF306))</f>
        <v/>
      </c>
      <c r="D328" s="3">
        <f>IF('ORDENES'!$A306="","",IF('ORDENES'!$X306="","-",'ORDENES'!$X306))</f>
        <v/>
      </c>
      <c r="E328" s="3">
        <f>IF('ORDENES'!$A306="","",IF('ORDENES'!$V306="","-",'ORDENES'!$V306))</f>
        <v/>
      </c>
      <c r="F328" s="3">
        <f>IF('ORDENES'!$A306="","",IF('ORDENES'!$Y306="","-",'ORDENES'!$Y306))</f>
        <v/>
      </c>
      <c r="G328" s="3">
        <f>IF('ORDENES'!$A306="","",IF('ORDENES'!$W306="","-",'ORDENES'!$W306))</f>
        <v/>
      </c>
      <c r="H328" s="3">
        <f>IF('ORDENES'!$A306="","",IF('ORDENES'!$AE306="","-",'ORDENES'!$AE306))</f>
        <v/>
      </c>
      <c r="I328" s="3">
        <f>IF('ORDENES'!$A306="","",IF('ORDENES'!$AQ306="","-",'ORDENES'!$AQ306))</f>
        <v/>
      </c>
      <c r="J328" s="3">
        <f>IF('ORDENES'!$A306="","",IF('ORDENES'!$D306="","-",'ORDENES'!$D306))</f>
        <v/>
      </c>
      <c r="K328" s="3">
        <f>IF('ORDENES'!$A306="","",IF('ORDENES'!$E306="","-",'ORDENES'!$E306))</f>
        <v/>
      </c>
      <c r="L328" s="13">
        <f>IF('ORDENES'!$A306="","",IF('ORDENES'!$M306="",0,'ORDENES'!$M306))</f>
        <v/>
      </c>
      <c r="M328" s="3">
        <f>IF('ORDENES'!$A306="","",IF('ORDENES'!$N306="","-",'ORDENES'!$N306))</f>
        <v/>
      </c>
      <c r="N328" s="3">
        <f>IF('ORDENES'!$A306="","",'ORDENES'!$AD306)</f>
        <v/>
      </c>
    </row>
    <row r="329">
      <c r="A329" s="3">
        <f>IF('ORDENES'!$A307="","",IF('ORDENES'!$O307="","-",'ORDENES'!$O307))</f>
        <v/>
      </c>
      <c r="B329" s="3">
        <f>IF('ORDENES'!$A307="","",IF('ORDENES'!$R307="","-",'ORDENES'!$R307))</f>
        <v/>
      </c>
      <c r="C329" s="3">
        <f>IF('ORDENES'!$A307="","",IF('ORDENES'!$AF307="","-",'ORDENES'!$AF307))</f>
        <v/>
      </c>
      <c r="D329" s="3">
        <f>IF('ORDENES'!$A307="","",IF('ORDENES'!$X307="","-",'ORDENES'!$X307))</f>
        <v/>
      </c>
      <c r="E329" s="3">
        <f>IF('ORDENES'!$A307="","",IF('ORDENES'!$V307="","-",'ORDENES'!$V307))</f>
        <v/>
      </c>
      <c r="F329" s="3">
        <f>IF('ORDENES'!$A307="","",IF('ORDENES'!$Y307="","-",'ORDENES'!$Y307))</f>
        <v/>
      </c>
      <c r="G329" s="3">
        <f>IF('ORDENES'!$A307="","",IF('ORDENES'!$W307="","-",'ORDENES'!$W307))</f>
        <v/>
      </c>
      <c r="H329" s="3">
        <f>IF('ORDENES'!$A307="","",IF('ORDENES'!$AE307="","-",'ORDENES'!$AE307))</f>
        <v/>
      </c>
      <c r="I329" s="3">
        <f>IF('ORDENES'!$A307="","",IF('ORDENES'!$AQ307="","-",'ORDENES'!$AQ307))</f>
        <v/>
      </c>
      <c r="J329" s="3">
        <f>IF('ORDENES'!$A307="","",IF('ORDENES'!$D307="","-",'ORDENES'!$D307))</f>
        <v/>
      </c>
      <c r="K329" s="3">
        <f>IF('ORDENES'!$A307="","",IF('ORDENES'!$E307="","-",'ORDENES'!$E307))</f>
        <v/>
      </c>
      <c r="L329" s="13">
        <f>IF('ORDENES'!$A307="","",IF('ORDENES'!$M307="",0,'ORDENES'!$M307))</f>
        <v/>
      </c>
      <c r="M329" s="3">
        <f>IF('ORDENES'!$A307="","",IF('ORDENES'!$N307="","-",'ORDENES'!$N307))</f>
        <v/>
      </c>
      <c r="N329" s="3">
        <f>IF('ORDENES'!$A307="","",'ORDENES'!$AD307)</f>
        <v/>
      </c>
    </row>
    <row r="330">
      <c r="A330" s="3">
        <f>IF('ORDENES'!$A308="","",IF('ORDENES'!$O308="","-",'ORDENES'!$O308))</f>
        <v/>
      </c>
      <c r="B330" s="3">
        <f>IF('ORDENES'!$A308="","",IF('ORDENES'!$R308="","-",'ORDENES'!$R308))</f>
        <v/>
      </c>
      <c r="C330" s="3">
        <f>IF('ORDENES'!$A308="","",IF('ORDENES'!$AF308="","-",'ORDENES'!$AF308))</f>
        <v/>
      </c>
      <c r="D330" s="3">
        <f>IF('ORDENES'!$A308="","",IF('ORDENES'!$X308="","-",'ORDENES'!$X308))</f>
        <v/>
      </c>
      <c r="E330" s="3">
        <f>IF('ORDENES'!$A308="","",IF('ORDENES'!$V308="","-",'ORDENES'!$V308))</f>
        <v/>
      </c>
      <c r="F330" s="3">
        <f>IF('ORDENES'!$A308="","",IF('ORDENES'!$Y308="","-",'ORDENES'!$Y308))</f>
        <v/>
      </c>
      <c r="G330" s="3">
        <f>IF('ORDENES'!$A308="","",IF('ORDENES'!$W308="","-",'ORDENES'!$W308))</f>
        <v/>
      </c>
      <c r="H330" s="3">
        <f>IF('ORDENES'!$A308="","",IF('ORDENES'!$AE308="","-",'ORDENES'!$AE308))</f>
        <v/>
      </c>
      <c r="I330" s="3">
        <f>IF('ORDENES'!$A308="","",IF('ORDENES'!$AQ308="","-",'ORDENES'!$AQ308))</f>
        <v/>
      </c>
      <c r="J330" s="3">
        <f>IF('ORDENES'!$A308="","",IF('ORDENES'!$D308="","-",'ORDENES'!$D308))</f>
        <v/>
      </c>
      <c r="K330" s="3">
        <f>IF('ORDENES'!$A308="","",IF('ORDENES'!$E308="","-",'ORDENES'!$E308))</f>
        <v/>
      </c>
      <c r="L330" s="13">
        <f>IF('ORDENES'!$A308="","",IF('ORDENES'!$M308="",0,'ORDENES'!$M308))</f>
        <v/>
      </c>
      <c r="M330" s="3">
        <f>IF('ORDENES'!$A308="","",IF('ORDENES'!$N308="","-",'ORDENES'!$N308))</f>
        <v/>
      </c>
      <c r="N330" s="3">
        <f>IF('ORDENES'!$A308="","",'ORDENES'!$AD308)</f>
        <v/>
      </c>
    </row>
    <row r="331">
      <c r="A331" s="3">
        <f>IF('ORDENES'!$A309="","",IF('ORDENES'!$O309="","-",'ORDENES'!$O309))</f>
        <v/>
      </c>
      <c r="B331" s="3">
        <f>IF('ORDENES'!$A309="","",IF('ORDENES'!$R309="","-",'ORDENES'!$R309))</f>
        <v/>
      </c>
      <c r="C331" s="3">
        <f>IF('ORDENES'!$A309="","",IF('ORDENES'!$AF309="","-",'ORDENES'!$AF309))</f>
        <v/>
      </c>
      <c r="D331" s="3">
        <f>IF('ORDENES'!$A309="","",IF('ORDENES'!$X309="","-",'ORDENES'!$X309))</f>
        <v/>
      </c>
      <c r="E331" s="3">
        <f>IF('ORDENES'!$A309="","",IF('ORDENES'!$V309="","-",'ORDENES'!$V309))</f>
        <v/>
      </c>
      <c r="F331" s="3">
        <f>IF('ORDENES'!$A309="","",IF('ORDENES'!$Y309="","-",'ORDENES'!$Y309))</f>
        <v/>
      </c>
      <c r="G331" s="3">
        <f>IF('ORDENES'!$A309="","",IF('ORDENES'!$W309="","-",'ORDENES'!$W309))</f>
        <v/>
      </c>
      <c r="H331" s="3">
        <f>IF('ORDENES'!$A309="","",IF('ORDENES'!$AE309="","-",'ORDENES'!$AE309))</f>
        <v/>
      </c>
      <c r="I331" s="3">
        <f>IF('ORDENES'!$A309="","",IF('ORDENES'!$AQ309="","-",'ORDENES'!$AQ309))</f>
        <v/>
      </c>
      <c r="J331" s="3">
        <f>IF('ORDENES'!$A309="","",IF('ORDENES'!$D309="","-",'ORDENES'!$D309))</f>
        <v/>
      </c>
      <c r="K331" s="3">
        <f>IF('ORDENES'!$A309="","",IF('ORDENES'!$E309="","-",'ORDENES'!$E309))</f>
        <v/>
      </c>
      <c r="L331" s="13">
        <f>IF('ORDENES'!$A309="","",IF('ORDENES'!$M309="",0,'ORDENES'!$M309))</f>
        <v/>
      </c>
      <c r="M331" s="3">
        <f>IF('ORDENES'!$A309="","",IF('ORDENES'!$N309="","-",'ORDENES'!$N309))</f>
        <v/>
      </c>
      <c r="N331" s="3">
        <f>IF('ORDENES'!$A309="","",'ORDENES'!$AD309)</f>
        <v/>
      </c>
    </row>
    <row r="332">
      <c r="A332" s="3">
        <f>IF('ORDENES'!$A310="","",IF('ORDENES'!$O310="","-",'ORDENES'!$O310))</f>
        <v/>
      </c>
      <c r="B332" s="3">
        <f>IF('ORDENES'!$A310="","",IF('ORDENES'!$R310="","-",'ORDENES'!$R310))</f>
        <v/>
      </c>
      <c r="C332" s="3">
        <f>IF('ORDENES'!$A310="","",IF('ORDENES'!$AF310="","-",'ORDENES'!$AF310))</f>
        <v/>
      </c>
      <c r="D332" s="3">
        <f>IF('ORDENES'!$A310="","",IF('ORDENES'!$X310="","-",'ORDENES'!$X310))</f>
        <v/>
      </c>
      <c r="E332" s="3">
        <f>IF('ORDENES'!$A310="","",IF('ORDENES'!$V310="","-",'ORDENES'!$V310))</f>
        <v/>
      </c>
      <c r="F332" s="3">
        <f>IF('ORDENES'!$A310="","",IF('ORDENES'!$Y310="","-",'ORDENES'!$Y310))</f>
        <v/>
      </c>
      <c r="G332" s="3">
        <f>IF('ORDENES'!$A310="","",IF('ORDENES'!$W310="","-",'ORDENES'!$W310))</f>
        <v/>
      </c>
      <c r="H332" s="3">
        <f>IF('ORDENES'!$A310="","",IF('ORDENES'!$AE310="","-",'ORDENES'!$AE310))</f>
        <v/>
      </c>
      <c r="I332" s="3">
        <f>IF('ORDENES'!$A310="","",IF('ORDENES'!$AQ310="","-",'ORDENES'!$AQ310))</f>
        <v/>
      </c>
      <c r="J332" s="3">
        <f>IF('ORDENES'!$A310="","",IF('ORDENES'!$D310="","-",'ORDENES'!$D310))</f>
        <v/>
      </c>
      <c r="K332" s="3">
        <f>IF('ORDENES'!$A310="","",IF('ORDENES'!$E310="","-",'ORDENES'!$E310))</f>
        <v/>
      </c>
      <c r="L332" s="13">
        <f>IF('ORDENES'!$A310="","",IF('ORDENES'!$M310="",0,'ORDENES'!$M310))</f>
        <v/>
      </c>
      <c r="M332" s="3">
        <f>IF('ORDENES'!$A310="","",IF('ORDENES'!$N310="","-",'ORDENES'!$N310))</f>
        <v/>
      </c>
      <c r="N332" s="3">
        <f>IF('ORDENES'!$A310="","",'ORDENES'!$AD310)</f>
        <v/>
      </c>
    </row>
    <row r="333">
      <c r="A333" s="3">
        <f>IF('ORDENES'!$A311="","",IF('ORDENES'!$O311="","-",'ORDENES'!$O311))</f>
        <v/>
      </c>
      <c r="B333" s="3">
        <f>IF('ORDENES'!$A311="","",IF('ORDENES'!$R311="","-",'ORDENES'!$R311))</f>
        <v/>
      </c>
      <c r="C333" s="3">
        <f>IF('ORDENES'!$A311="","",IF('ORDENES'!$AF311="","-",'ORDENES'!$AF311))</f>
        <v/>
      </c>
      <c r="D333" s="3">
        <f>IF('ORDENES'!$A311="","",IF('ORDENES'!$X311="","-",'ORDENES'!$X311))</f>
        <v/>
      </c>
      <c r="E333" s="3">
        <f>IF('ORDENES'!$A311="","",IF('ORDENES'!$V311="","-",'ORDENES'!$V311))</f>
        <v/>
      </c>
      <c r="F333" s="3">
        <f>IF('ORDENES'!$A311="","",IF('ORDENES'!$Y311="","-",'ORDENES'!$Y311))</f>
        <v/>
      </c>
      <c r="G333" s="3">
        <f>IF('ORDENES'!$A311="","",IF('ORDENES'!$W311="","-",'ORDENES'!$W311))</f>
        <v/>
      </c>
      <c r="H333" s="3">
        <f>IF('ORDENES'!$A311="","",IF('ORDENES'!$AE311="","-",'ORDENES'!$AE311))</f>
        <v/>
      </c>
      <c r="I333" s="3">
        <f>IF('ORDENES'!$A311="","",IF('ORDENES'!$AQ311="","-",'ORDENES'!$AQ311))</f>
        <v/>
      </c>
      <c r="J333" s="3">
        <f>IF('ORDENES'!$A311="","",IF('ORDENES'!$D311="","-",'ORDENES'!$D311))</f>
        <v/>
      </c>
      <c r="K333" s="3">
        <f>IF('ORDENES'!$A311="","",IF('ORDENES'!$E311="","-",'ORDENES'!$E311))</f>
        <v/>
      </c>
      <c r="L333" s="13">
        <f>IF('ORDENES'!$A311="","",IF('ORDENES'!$M311="",0,'ORDENES'!$M311))</f>
        <v/>
      </c>
      <c r="M333" s="3">
        <f>IF('ORDENES'!$A311="","",IF('ORDENES'!$N311="","-",'ORDENES'!$N311))</f>
        <v/>
      </c>
      <c r="N333" s="3">
        <f>IF('ORDENES'!$A311="","",'ORDENES'!$AD311)</f>
        <v/>
      </c>
    </row>
    <row r="334">
      <c r="A334" s="3">
        <f>IF('ORDENES'!$A312="","",IF('ORDENES'!$O312="","-",'ORDENES'!$O312))</f>
        <v/>
      </c>
      <c r="B334" s="3">
        <f>IF('ORDENES'!$A312="","",IF('ORDENES'!$R312="","-",'ORDENES'!$R312))</f>
        <v/>
      </c>
      <c r="C334" s="3">
        <f>IF('ORDENES'!$A312="","",IF('ORDENES'!$AF312="","-",'ORDENES'!$AF312))</f>
        <v/>
      </c>
      <c r="D334" s="3">
        <f>IF('ORDENES'!$A312="","",IF('ORDENES'!$X312="","-",'ORDENES'!$X312))</f>
        <v/>
      </c>
      <c r="E334" s="3">
        <f>IF('ORDENES'!$A312="","",IF('ORDENES'!$V312="","-",'ORDENES'!$V312))</f>
        <v/>
      </c>
      <c r="F334" s="3">
        <f>IF('ORDENES'!$A312="","",IF('ORDENES'!$Y312="","-",'ORDENES'!$Y312))</f>
        <v/>
      </c>
      <c r="G334" s="3">
        <f>IF('ORDENES'!$A312="","",IF('ORDENES'!$W312="","-",'ORDENES'!$W312))</f>
        <v/>
      </c>
      <c r="H334" s="3">
        <f>IF('ORDENES'!$A312="","",IF('ORDENES'!$AE312="","-",'ORDENES'!$AE312))</f>
        <v/>
      </c>
      <c r="I334" s="3">
        <f>IF('ORDENES'!$A312="","",IF('ORDENES'!$AQ312="","-",'ORDENES'!$AQ312))</f>
        <v/>
      </c>
      <c r="J334" s="3">
        <f>IF('ORDENES'!$A312="","",IF('ORDENES'!$D312="","-",'ORDENES'!$D312))</f>
        <v/>
      </c>
      <c r="K334" s="3">
        <f>IF('ORDENES'!$A312="","",IF('ORDENES'!$E312="","-",'ORDENES'!$E312))</f>
        <v/>
      </c>
      <c r="L334" s="13">
        <f>IF('ORDENES'!$A312="","",IF('ORDENES'!$M312="",0,'ORDENES'!$M312))</f>
        <v/>
      </c>
      <c r="M334" s="3">
        <f>IF('ORDENES'!$A312="","",IF('ORDENES'!$N312="","-",'ORDENES'!$N312))</f>
        <v/>
      </c>
      <c r="N334" s="3">
        <f>IF('ORDENES'!$A312="","",'ORDENES'!$AD312)</f>
        <v/>
      </c>
    </row>
    <row r="335">
      <c r="A335" s="3">
        <f>IF('ORDENES'!$A313="","",IF('ORDENES'!$O313="","-",'ORDENES'!$O313))</f>
        <v/>
      </c>
      <c r="B335" s="3">
        <f>IF('ORDENES'!$A313="","",IF('ORDENES'!$R313="","-",'ORDENES'!$R313))</f>
        <v/>
      </c>
      <c r="C335" s="3">
        <f>IF('ORDENES'!$A313="","",IF('ORDENES'!$AF313="","-",'ORDENES'!$AF313))</f>
        <v/>
      </c>
      <c r="D335" s="3">
        <f>IF('ORDENES'!$A313="","",IF('ORDENES'!$X313="","-",'ORDENES'!$X313))</f>
        <v/>
      </c>
      <c r="E335" s="3">
        <f>IF('ORDENES'!$A313="","",IF('ORDENES'!$V313="","-",'ORDENES'!$V313))</f>
        <v/>
      </c>
      <c r="F335" s="3">
        <f>IF('ORDENES'!$A313="","",IF('ORDENES'!$Y313="","-",'ORDENES'!$Y313))</f>
        <v/>
      </c>
      <c r="G335" s="3">
        <f>IF('ORDENES'!$A313="","",IF('ORDENES'!$W313="","-",'ORDENES'!$W313))</f>
        <v/>
      </c>
      <c r="H335" s="3">
        <f>IF('ORDENES'!$A313="","",IF('ORDENES'!$AE313="","-",'ORDENES'!$AE313))</f>
        <v/>
      </c>
      <c r="I335" s="3">
        <f>IF('ORDENES'!$A313="","",IF('ORDENES'!$AQ313="","-",'ORDENES'!$AQ313))</f>
        <v/>
      </c>
      <c r="J335" s="3">
        <f>IF('ORDENES'!$A313="","",IF('ORDENES'!$D313="","-",'ORDENES'!$D313))</f>
        <v/>
      </c>
      <c r="K335" s="3">
        <f>IF('ORDENES'!$A313="","",IF('ORDENES'!$E313="","-",'ORDENES'!$E313))</f>
        <v/>
      </c>
      <c r="L335" s="13">
        <f>IF('ORDENES'!$A313="","",IF('ORDENES'!$M313="",0,'ORDENES'!$M313))</f>
        <v/>
      </c>
      <c r="M335" s="3">
        <f>IF('ORDENES'!$A313="","",IF('ORDENES'!$N313="","-",'ORDENES'!$N313))</f>
        <v/>
      </c>
      <c r="N335" s="3">
        <f>IF('ORDENES'!$A313="","",'ORDENES'!$AD313)</f>
        <v/>
      </c>
    </row>
    <row r="336">
      <c r="A336" s="3">
        <f>IF('ORDENES'!$A314="","",IF('ORDENES'!$O314="","-",'ORDENES'!$O314))</f>
        <v/>
      </c>
      <c r="B336" s="3">
        <f>IF('ORDENES'!$A314="","",IF('ORDENES'!$R314="","-",'ORDENES'!$R314))</f>
        <v/>
      </c>
      <c r="C336" s="3">
        <f>IF('ORDENES'!$A314="","",IF('ORDENES'!$AF314="","-",'ORDENES'!$AF314))</f>
        <v/>
      </c>
      <c r="D336" s="3">
        <f>IF('ORDENES'!$A314="","",IF('ORDENES'!$X314="","-",'ORDENES'!$X314))</f>
        <v/>
      </c>
      <c r="E336" s="3">
        <f>IF('ORDENES'!$A314="","",IF('ORDENES'!$V314="","-",'ORDENES'!$V314))</f>
        <v/>
      </c>
      <c r="F336" s="3">
        <f>IF('ORDENES'!$A314="","",IF('ORDENES'!$Y314="","-",'ORDENES'!$Y314))</f>
        <v/>
      </c>
      <c r="G336" s="3">
        <f>IF('ORDENES'!$A314="","",IF('ORDENES'!$W314="","-",'ORDENES'!$W314))</f>
        <v/>
      </c>
      <c r="H336" s="3">
        <f>IF('ORDENES'!$A314="","",IF('ORDENES'!$AE314="","-",'ORDENES'!$AE314))</f>
        <v/>
      </c>
      <c r="I336" s="3">
        <f>IF('ORDENES'!$A314="","",IF('ORDENES'!$AQ314="","-",'ORDENES'!$AQ314))</f>
        <v/>
      </c>
      <c r="J336" s="3">
        <f>IF('ORDENES'!$A314="","",IF('ORDENES'!$D314="","-",'ORDENES'!$D314))</f>
        <v/>
      </c>
      <c r="K336" s="3">
        <f>IF('ORDENES'!$A314="","",IF('ORDENES'!$E314="","-",'ORDENES'!$E314))</f>
        <v/>
      </c>
      <c r="L336" s="13">
        <f>IF('ORDENES'!$A314="","",IF('ORDENES'!$M314="",0,'ORDENES'!$M314))</f>
        <v/>
      </c>
      <c r="M336" s="3">
        <f>IF('ORDENES'!$A314="","",IF('ORDENES'!$N314="","-",'ORDENES'!$N314))</f>
        <v/>
      </c>
      <c r="N336" s="3">
        <f>IF('ORDENES'!$A314="","",'ORDENES'!$AD314)</f>
        <v/>
      </c>
    </row>
    <row r="337">
      <c r="A337" s="3">
        <f>IF('ORDENES'!$A315="","",IF('ORDENES'!$O315="","-",'ORDENES'!$O315))</f>
        <v/>
      </c>
      <c r="B337" s="3">
        <f>IF('ORDENES'!$A315="","",IF('ORDENES'!$R315="","-",'ORDENES'!$R315))</f>
        <v/>
      </c>
      <c r="C337" s="3">
        <f>IF('ORDENES'!$A315="","",IF('ORDENES'!$AF315="","-",'ORDENES'!$AF315))</f>
        <v/>
      </c>
      <c r="D337" s="3">
        <f>IF('ORDENES'!$A315="","",IF('ORDENES'!$X315="","-",'ORDENES'!$X315))</f>
        <v/>
      </c>
      <c r="E337" s="3">
        <f>IF('ORDENES'!$A315="","",IF('ORDENES'!$V315="","-",'ORDENES'!$V315))</f>
        <v/>
      </c>
      <c r="F337" s="3">
        <f>IF('ORDENES'!$A315="","",IF('ORDENES'!$Y315="","-",'ORDENES'!$Y315))</f>
        <v/>
      </c>
      <c r="G337" s="3">
        <f>IF('ORDENES'!$A315="","",IF('ORDENES'!$W315="","-",'ORDENES'!$W315))</f>
        <v/>
      </c>
      <c r="H337" s="3">
        <f>IF('ORDENES'!$A315="","",IF('ORDENES'!$AE315="","-",'ORDENES'!$AE315))</f>
        <v/>
      </c>
      <c r="I337" s="3">
        <f>IF('ORDENES'!$A315="","",IF('ORDENES'!$AQ315="","-",'ORDENES'!$AQ315))</f>
        <v/>
      </c>
      <c r="J337" s="3">
        <f>IF('ORDENES'!$A315="","",IF('ORDENES'!$D315="","-",'ORDENES'!$D315))</f>
        <v/>
      </c>
      <c r="K337" s="3">
        <f>IF('ORDENES'!$A315="","",IF('ORDENES'!$E315="","-",'ORDENES'!$E315))</f>
        <v/>
      </c>
      <c r="L337" s="13">
        <f>IF('ORDENES'!$A315="","",IF('ORDENES'!$M315="",0,'ORDENES'!$M315))</f>
        <v/>
      </c>
      <c r="M337" s="3">
        <f>IF('ORDENES'!$A315="","",IF('ORDENES'!$N315="","-",'ORDENES'!$N315))</f>
        <v/>
      </c>
      <c r="N337" s="3">
        <f>IF('ORDENES'!$A315="","",'ORDENES'!$AD315)</f>
        <v/>
      </c>
    </row>
    <row r="338">
      <c r="A338" s="3">
        <f>IF('ORDENES'!$A316="","",IF('ORDENES'!$O316="","-",'ORDENES'!$O316))</f>
        <v/>
      </c>
      <c r="B338" s="3">
        <f>IF('ORDENES'!$A316="","",IF('ORDENES'!$R316="","-",'ORDENES'!$R316))</f>
        <v/>
      </c>
      <c r="C338" s="3">
        <f>IF('ORDENES'!$A316="","",IF('ORDENES'!$AF316="","-",'ORDENES'!$AF316))</f>
        <v/>
      </c>
      <c r="D338" s="3">
        <f>IF('ORDENES'!$A316="","",IF('ORDENES'!$X316="","-",'ORDENES'!$X316))</f>
        <v/>
      </c>
      <c r="E338" s="3">
        <f>IF('ORDENES'!$A316="","",IF('ORDENES'!$V316="","-",'ORDENES'!$V316))</f>
        <v/>
      </c>
      <c r="F338" s="3">
        <f>IF('ORDENES'!$A316="","",IF('ORDENES'!$Y316="","-",'ORDENES'!$Y316))</f>
        <v/>
      </c>
      <c r="G338" s="3">
        <f>IF('ORDENES'!$A316="","",IF('ORDENES'!$W316="","-",'ORDENES'!$W316))</f>
        <v/>
      </c>
      <c r="H338" s="3">
        <f>IF('ORDENES'!$A316="","",IF('ORDENES'!$AE316="","-",'ORDENES'!$AE316))</f>
        <v/>
      </c>
      <c r="I338" s="3">
        <f>IF('ORDENES'!$A316="","",IF('ORDENES'!$AQ316="","-",'ORDENES'!$AQ316))</f>
        <v/>
      </c>
      <c r="J338" s="3">
        <f>IF('ORDENES'!$A316="","",IF('ORDENES'!$D316="","-",'ORDENES'!$D316))</f>
        <v/>
      </c>
      <c r="K338" s="3">
        <f>IF('ORDENES'!$A316="","",IF('ORDENES'!$E316="","-",'ORDENES'!$E316))</f>
        <v/>
      </c>
      <c r="L338" s="13">
        <f>IF('ORDENES'!$A316="","",IF('ORDENES'!$M316="",0,'ORDENES'!$M316))</f>
        <v/>
      </c>
      <c r="M338" s="3">
        <f>IF('ORDENES'!$A316="","",IF('ORDENES'!$N316="","-",'ORDENES'!$N316))</f>
        <v/>
      </c>
      <c r="N338" s="3">
        <f>IF('ORDENES'!$A316="","",'ORDENES'!$AD316)</f>
        <v/>
      </c>
    </row>
    <row r="339">
      <c r="A339" s="3">
        <f>IF('ORDENES'!$A317="","",IF('ORDENES'!$O317="","-",'ORDENES'!$O317))</f>
        <v/>
      </c>
      <c r="B339" s="3">
        <f>IF('ORDENES'!$A317="","",IF('ORDENES'!$R317="","-",'ORDENES'!$R317))</f>
        <v/>
      </c>
      <c r="C339" s="3">
        <f>IF('ORDENES'!$A317="","",IF('ORDENES'!$AF317="","-",'ORDENES'!$AF317))</f>
        <v/>
      </c>
      <c r="D339" s="3">
        <f>IF('ORDENES'!$A317="","",IF('ORDENES'!$X317="","-",'ORDENES'!$X317))</f>
        <v/>
      </c>
      <c r="E339" s="3">
        <f>IF('ORDENES'!$A317="","",IF('ORDENES'!$V317="","-",'ORDENES'!$V317))</f>
        <v/>
      </c>
      <c r="F339" s="3">
        <f>IF('ORDENES'!$A317="","",IF('ORDENES'!$Y317="","-",'ORDENES'!$Y317))</f>
        <v/>
      </c>
      <c r="G339" s="3">
        <f>IF('ORDENES'!$A317="","",IF('ORDENES'!$W317="","-",'ORDENES'!$W317))</f>
        <v/>
      </c>
      <c r="H339" s="3">
        <f>IF('ORDENES'!$A317="","",IF('ORDENES'!$AE317="","-",'ORDENES'!$AE317))</f>
        <v/>
      </c>
      <c r="I339" s="3">
        <f>IF('ORDENES'!$A317="","",IF('ORDENES'!$AQ317="","-",'ORDENES'!$AQ317))</f>
        <v/>
      </c>
      <c r="J339" s="3">
        <f>IF('ORDENES'!$A317="","",IF('ORDENES'!$D317="","-",'ORDENES'!$D317))</f>
        <v/>
      </c>
      <c r="K339" s="3">
        <f>IF('ORDENES'!$A317="","",IF('ORDENES'!$E317="","-",'ORDENES'!$E317))</f>
        <v/>
      </c>
      <c r="L339" s="13">
        <f>IF('ORDENES'!$A317="","",IF('ORDENES'!$M317="",0,'ORDENES'!$M317))</f>
        <v/>
      </c>
      <c r="M339" s="3">
        <f>IF('ORDENES'!$A317="","",IF('ORDENES'!$N317="","-",'ORDENES'!$N317))</f>
        <v/>
      </c>
      <c r="N339" s="3">
        <f>IF('ORDENES'!$A317="","",'ORDENES'!$AD317)</f>
        <v/>
      </c>
    </row>
    <row r="340">
      <c r="A340" s="3">
        <f>IF('ORDENES'!$A318="","",IF('ORDENES'!$O318="","-",'ORDENES'!$O318))</f>
        <v/>
      </c>
      <c r="B340" s="3">
        <f>IF('ORDENES'!$A318="","",IF('ORDENES'!$R318="","-",'ORDENES'!$R318))</f>
        <v/>
      </c>
      <c r="C340" s="3">
        <f>IF('ORDENES'!$A318="","",IF('ORDENES'!$AF318="","-",'ORDENES'!$AF318))</f>
        <v/>
      </c>
      <c r="D340" s="3">
        <f>IF('ORDENES'!$A318="","",IF('ORDENES'!$X318="","-",'ORDENES'!$X318))</f>
        <v/>
      </c>
      <c r="E340" s="3">
        <f>IF('ORDENES'!$A318="","",IF('ORDENES'!$V318="","-",'ORDENES'!$V318))</f>
        <v/>
      </c>
      <c r="F340" s="3">
        <f>IF('ORDENES'!$A318="","",IF('ORDENES'!$Y318="","-",'ORDENES'!$Y318))</f>
        <v/>
      </c>
      <c r="G340" s="3">
        <f>IF('ORDENES'!$A318="","",IF('ORDENES'!$W318="","-",'ORDENES'!$W318))</f>
        <v/>
      </c>
      <c r="H340" s="3">
        <f>IF('ORDENES'!$A318="","",IF('ORDENES'!$AE318="","-",'ORDENES'!$AE318))</f>
        <v/>
      </c>
      <c r="I340" s="3">
        <f>IF('ORDENES'!$A318="","",IF('ORDENES'!$AQ318="","-",'ORDENES'!$AQ318))</f>
        <v/>
      </c>
      <c r="J340" s="3">
        <f>IF('ORDENES'!$A318="","",IF('ORDENES'!$D318="","-",'ORDENES'!$D318))</f>
        <v/>
      </c>
      <c r="K340" s="3">
        <f>IF('ORDENES'!$A318="","",IF('ORDENES'!$E318="","-",'ORDENES'!$E318))</f>
        <v/>
      </c>
      <c r="L340" s="13">
        <f>IF('ORDENES'!$A318="","",IF('ORDENES'!$M318="",0,'ORDENES'!$M318))</f>
        <v/>
      </c>
      <c r="M340" s="3">
        <f>IF('ORDENES'!$A318="","",IF('ORDENES'!$N318="","-",'ORDENES'!$N318))</f>
        <v/>
      </c>
      <c r="N340" s="3">
        <f>IF('ORDENES'!$A318="","",'ORDENES'!$AD318)</f>
        <v/>
      </c>
    </row>
    <row r="341">
      <c r="A341" s="3">
        <f>IF('ORDENES'!$A319="","",IF('ORDENES'!$O319="","-",'ORDENES'!$O319))</f>
        <v/>
      </c>
      <c r="B341" s="3">
        <f>IF('ORDENES'!$A319="","",IF('ORDENES'!$R319="","-",'ORDENES'!$R319))</f>
        <v/>
      </c>
      <c r="C341" s="3">
        <f>IF('ORDENES'!$A319="","",IF('ORDENES'!$AF319="","-",'ORDENES'!$AF319))</f>
        <v/>
      </c>
      <c r="D341" s="3">
        <f>IF('ORDENES'!$A319="","",IF('ORDENES'!$X319="","-",'ORDENES'!$X319))</f>
        <v/>
      </c>
      <c r="E341" s="3">
        <f>IF('ORDENES'!$A319="","",IF('ORDENES'!$V319="","-",'ORDENES'!$V319))</f>
        <v/>
      </c>
      <c r="F341" s="3">
        <f>IF('ORDENES'!$A319="","",IF('ORDENES'!$Y319="","-",'ORDENES'!$Y319))</f>
        <v/>
      </c>
      <c r="G341" s="3">
        <f>IF('ORDENES'!$A319="","",IF('ORDENES'!$W319="","-",'ORDENES'!$W319))</f>
        <v/>
      </c>
      <c r="H341" s="3">
        <f>IF('ORDENES'!$A319="","",IF('ORDENES'!$AE319="","-",'ORDENES'!$AE319))</f>
        <v/>
      </c>
      <c r="I341" s="3">
        <f>IF('ORDENES'!$A319="","",IF('ORDENES'!$AQ319="","-",'ORDENES'!$AQ319))</f>
        <v/>
      </c>
      <c r="J341" s="3">
        <f>IF('ORDENES'!$A319="","",IF('ORDENES'!$D319="","-",'ORDENES'!$D319))</f>
        <v/>
      </c>
      <c r="K341" s="3">
        <f>IF('ORDENES'!$A319="","",IF('ORDENES'!$E319="","-",'ORDENES'!$E319))</f>
        <v/>
      </c>
      <c r="L341" s="13">
        <f>IF('ORDENES'!$A319="","",IF('ORDENES'!$M319="",0,'ORDENES'!$M319))</f>
        <v/>
      </c>
      <c r="M341" s="3">
        <f>IF('ORDENES'!$A319="","",IF('ORDENES'!$N319="","-",'ORDENES'!$N319))</f>
        <v/>
      </c>
      <c r="N341" s="3">
        <f>IF('ORDENES'!$A319="","",'ORDENES'!$AD319)</f>
        <v/>
      </c>
    </row>
    <row r="342">
      <c r="A342" s="3">
        <f>IF('ORDENES'!$A320="","",IF('ORDENES'!$O320="","-",'ORDENES'!$O320))</f>
        <v/>
      </c>
      <c r="B342" s="3">
        <f>IF('ORDENES'!$A320="","",IF('ORDENES'!$R320="","-",'ORDENES'!$R320))</f>
        <v/>
      </c>
      <c r="C342" s="3">
        <f>IF('ORDENES'!$A320="","",IF('ORDENES'!$AF320="","-",'ORDENES'!$AF320))</f>
        <v/>
      </c>
      <c r="D342" s="3">
        <f>IF('ORDENES'!$A320="","",IF('ORDENES'!$X320="","-",'ORDENES'!$X320))</f>
        <v/>
      </c>
      <c r="E342" s="3">
        <f>IF('ORDENES'!$A320="","",IF('ORDENES'!$V320="","-",'ORDENES'!$V320))</f>
        <v/>
      </c>
      <c r="F342" s="3">
        <f>IF('ORDENES'!$A320="","",IF('ORDENES'!$Y320="","-",'ORDENES'!$Y320))</f>
        <v/>
      </c>
      <c r="G342" s="3">
        <f>IF('ORDENES'!$A320="","",IF('ORDENES'!$W320="","-",'ORDENES'!$W320))</f>
        <v/>
      </c>
      <c r="H342" s="3">
        <f>IF('ORDENES'!$A320="","",IF('ORDENES'!$AE320="","-",'ORDENES'!$AE320))</f>
        <v/>
      </c>
      <c r="I342" s="3">
        <f>IF('ORDENES'!$A320="","",IF('ORDENES'!$AQ320="","-",'ORDENES'!$AQ320))</f>
        <v/>
      </c>
      <c r="J342" s="3">
        <f>IF('ORDENES'!$A320="","",IF('ORDENES'!$D320="","-",'ORDENES'!$D320))</f>
        <v/>
      </c>
      <c r="K342" s="3">
        <f>IF('ORDENES'!$A320="","",IF('ORDENES'!$E320="","-",'ORDENES'!$E320))</f>
        <v/>
      </c>
      <c r="L342" s="13">
        <f>IF('ORDENES'!$A320="","",IF('ORDENES'!$M320="",0,'ORDENES'!$M320))</f>
        <v/>
      </c>
      <c r="M342" s="3">
        <f>IF('ORDENES'!$A320="","",IF('ORDENES'!$N320="","-",'ORDENES'!$N320))</f>
        <v/>
      </c>
      <c r="N342" s="3">
        <f>IF('ORDENES'!$A320="","",'ORDENES'!$AD320)</f>
        <v/>
      </c>
    </row>
    <row r="343">
      <c r="A343" s="3">
        <f>IF('ORDENES'!$A321="","",IF('ORDENES'!$O321="","-",'ORDENES'!$O321))</f>
        <v/>
      </c>
      <c r="B343" s="3">
        <f>IF('ORDENES'!$A321="","",IF('ORDENES'!$R321="","-",'ORDENES'!$R321))</f>
        <v/>
      </c>
      <c r="C343" s="3">
        <f>IF('ORDENES'!$A321="","",IF('ORDENES'!$AF321="","-",'ORDENES'!$AF321))</f>
        <v/>
      </c>
      <c r="D343" s="3">
        <f>IF('ORDENES'!$A321="","",IF('ORDENES'!$X321="","-",'ORDENES'!$X321))</f>
        <v/>
      </c>
      <c r="E343" s="3">
        <f>IF('ORDENES'!$A321="","",IF('ORDENES'!$V321="","-",'ORDENES'!$V321))</f>
        <v/>
      </c>
      <c r="F343" s="3">
        <f>IF('ORDENES'!$A321="","",IF('ORDENES'!$Y321="","-",'ORDENES'!$Y321))</f>
        <v/>
      </c>
      <c r="G343" s="3">
        <f>IF('ORDENES'!$A321="","",IF('ORDENES'!$W321="","-",'ORDENES'!$W321))</f>
        <v/>
      </c>
      <c r="H343" s="3">
        <f>IF('ORDENES'!$A321="","",IF('ORDENES'!$AE321="","-",'ORDENES'!$AE321))</f>
        <v/>
      </c>
      <c r="I343" s="3">
        <f>IF('ORDENES'!$A321="","",IF('ORDENES'!$AQ321="","-",'ORDENES'!$AQ321))</f>
        <v/>
      </c>
      <c r="J343" s="3">
        <f>IF('ORDENES'!$A321="","",IF('ORDENES'!$D321="","-",'ORDENES'!$D321))</f>
        <v/>
      </c>
      <c r="K343" s="3">
        <f>IF('ORDENES'!$A321="","",IF('ORDENES'!$E321="","-",'ORDENES'!$E321))</f>
        <v/>
      </c>
      <c r="L343" s="13">
        <f>IF('ORDENES'!$A321="","",IF('ORDENES'!$M321="",0,'ORDENES'!$M321))</f>
        <v/>
      </c>
      <c r="M343" s="3">
        <f>IF('ORDENES'!$A321="","",IF('ORDENES'!$N321="","-",'ORDENES'!$N321))</f>
        <v/>
      </c>
      <c r="N343" s="3">
        <f>IF('ORDENES'!$A321="","",'ORDENES'!$AD321)</f>
        <v/>
      </c>
    </row>
    <row r="344">
      <c r="A344" s="3">
        <f>IF('ORDENES'!$A322="","",IF('ORDENES'!$O322="","-",'ORDENES'!$O322))</f>
        <v/>
      </c>
      <c r="B344" s="3">
        <f>IF('ORDENES'!$A322="","",IF('ORDENES'!$R322="","-",'ORDENES'!$R322))</f>
        <v/>
      </c>
      <c r="C344" s="3">
        <f>IF('ORDENES'!$A322="","",IF('ORDENES'!$AF322="","-",'ORDENES'!$AF322))</f>
        <v/>
      </c>
      <c r="D344" s="3">
        <f>IF('ORDENES'!$A322="","",IF('ORDENES'!$X322="","-",'ORDENES'!$X322))</f>
        <v/>
      </c>
      <c r="E344" s="3">
        <f>IF('ORDENES'!$A322="","",IF('ORDENES'!$V322="","-",'ORDENES'!$V322))</f>
        <v/>
      </c>
      <c r="F344" s="3">
        <f>IF('ORDENES'!$A322="","",IF('ORDENES'!$Y322="","-",'ORDENES'!$Y322))</f>
        <v/>
      </c>
      <c r="G344" s="3">
        <f>IF('ORDENES'!$A322="","",IF('ORDENES'!$W322="","-",'ORDENES'!$W322))</f>
        <v/>
      </c>
      <c r="H344" s="3">
        <f>IF('ORDENES'!$A322="","",IF('ORDENES'!$AE322="","-",'ORDENES'!$AE322))</f>
        <v/>
      </c>
      <c r="I344" s="3">
        <f>IF('ORDENES'!$A322="","",IF('ORDENES'!$AQ322="","-",'ORDENES'!$AQ322))</f>
        <v/>
      </c>
      <c r="J344" s="3">
        <f>IF('ORDENES'!$A322="","",IF('ORDENES'!$D322="","-",'ORDENES'!$D322))</f>
        <v/>
      </c>
      <c r="K344" s="3">
        <f>IF('ORDENES'!$A322="","",IF('ORDENES'!$E322="","-",'ORDENES'!$E322))</f>
        <v/>
      </c>
      <c r="L344" s="13">
        <f>IF('ORDENES'!$A322="","",IF('ORDENES'!$M322="",0,'ORDENES'!$M322))</f>
        <v/>
      </c>
      <c r="M344" s="3">
        <f>IF('ORDENES'!$A322="","",IF('ORDENES'!$N322="","-",'ORDENES'!$N322))</f>
        <v/>
      </c>
      <c r="N344" s="3">
        <f>IF('ORDENES'!$A322="","",'ORDENES'!$AD322)</f>
        <v/>
      </c>
    </row>
    <row r="345">
      <c r="A345" s="3">
        <f>IF('ORDENES'!$A323="","",IF('ORDENES'!$O323="","-",'ORDENES'!$O323))</f>
        <v/>
      </c>
      <c r="B345" s="3">
        <f>IF('ORDENES'!$A323="","",IF('ORDENES'!$R323="","-",'ORDENES'!$R323))</f>
        <v/>
      </c>
      <c r="C345" s="3">
        <f>IF('ORDENES'!$A323="","",IF('ORDENES'!$AF323="","-",'ORDENES'!$AF323))</f>
        <v/>
      </c>
      <c r="D345" s="3">
        <f>IF('ORDENES'!$A323="","",IF('ORDENES'!$X323="","-",'ORDENES'!$X323))</f>
        <v/>
      </c>
      <c r="E345" s="3">
        <f>IF('ORDENES'!$A323="","",IF('ORDENES'!$V323="","-",'ORDENES'!$V323))</f>
        <v/>
      </c>
      <c r="F345" s="3">
        <f>IF('ORDENES'!$A323="","",IF('ORDENES'!$Y323="","-",'ORDENES'!$Y323))</f>
        <v/>
      </c>
      <c r="G345" s="3">
        <f>IF('ORDENES'!$A323="","",IF('ORDENES'!$W323="","-",'ORDENES'!$W323))</f>
        <v/>
      </c>
      <c r="H345" s="3">
        <f>IF('ORDENES'!$A323="","",IF('ORDENES'!$AE323="","-",'ORDENES'!$AE323))</f>
        <v/>
      </c>
      <c r="I345" s="3">
        <f>IF('ORDENES'!$A323="","",IF('ORDENES'!$AQ323="","-",'ORDENES'!$AQ323))</f>
        <v/>
      </c>
      <c r="J345" s="3">
        <f>IF('ORDENES'!$A323="","",IF('ORDENES'!$D323="","-",'ORDENES'!$D323))</f>
        <v/>
      </c>
      <c r="K345" s="3">
        <f>IF('ORDENES'!$A323="","",IF('ORDENES'!$E323="","-",'ORDENES'!$E323))</f>
        <v/>
      </c>
      <c r="L345" s="13">
        <f>IF('ORDENES'!$A323="","",IF('ORDENES'!$M323="",0,'ORDENES'!$M323))</f>
        <v/>
      </c>
      <c r="M345" s="3">
        <f>IF('ORDENES'!$A323="","",IF('ORDENES'!$N323="","-",'ORDENES'!$N323))</f>
        <v/>
      </c>
      <c r="N345" s="3">
        <f>IF('ORDENES'!$A323="","",'ORDENES'!$AD323)</f>
        <v/>
      </c>
    </row>
    <row r="346">
      <c r="A346" s="3">
        <f>IF('ORDENES'!$A324="","",IF('ORDENES'!$O324="","-",'ORDENES'!$O324))</f>
        <v/>
      </c>
      <c r="B346" s="3">
        <f>IF('ORDENES'!$A324="","",IF('ORDENES'!$R324="","-",'ORDENES'!$R324))</f>
        <v/>
      </c>
      <c r="C346" s="3">
        <f>IF('ORDENES'!$A324="","",IF('ORDENES'!$AF324="","-",'ORDENES'!$AF324))</f>
        <v/>
      </c>
      <c r="D346" s="3">
        <f>IF('ORDENES'!$A324="","",IF('ORDENES'!$X324="","-",'ORDENES'!$X324))</f>
        <v/>
      </c>
      <c r="E346" s="3">
        <f>IF('ORDENES'!$A324="","",IF('ORDENES'!$V324="","-",'ORDENES'!$V324))</f>
        <v/>
      </c>
      <c r="F346" s="3">
        <f>IF('ORDENES'!$A324="","",IF('ORDENES'!$Y324="","-",'ORDENES'!$Y324))</f>
        <v/>
      </c>
      <c r="G346" s="3">
        <f>IF('ORDENES'!$A324="","",IF('ORDENES'!$W324="","-",'ORDENES'!$W324))</f>
        <v/>
      </c>
      <c r="H346" s="3">
        <f>IF('ORDENES'!$A324="","",IF('ORDENES'!$AE324="","-",'ORDENES'!$AE324))</f>
        <v/>
      </c>
      <c r="I346" s="3">
        <f>IF('ORDENES'!$A324="","",IF('ORDENES'!$AQ324="","-",'ORDENES'!$AQ324))</f>
        <v/>
      </c>
      <c r="J346" s="3">
        <f>IF('ORDENES'!$A324="","",IF('ORDENES'!$D324="","-",'ORDENES'!$D324))</f>
        <v/>
      </c>
      <c r="K346" s="3">
        <f>IF('ORDENES'!$A324="","",IF('ORDENES'!$E324="","-",'ORDENES'!$E324))</f>
        <v/>
      </c>
      <c r="L346" s="13">
        <f>IF('ORDENES'!$A324="","",IF('ORDENES'!$M324="",0,'ORDENES'!$M324))</f>
        <v/>
      </c>
      <c r="M346" s="3">
        <f>IF('ORDENES'!$A324="","",IF('ORDENES'!$N324="","-",'ORDENES'!$N324))</f>
        <v/>
      </c>
      <c r="N346" s="3">
        <f>IF('ORDENES'!$A324="","",'ORDENES'!$AD324)</f>
        <v/>
      </c>
    </row>
    <row r="347">
      <c r="A347" s="3">
        <f>IF('ORDENES'!$A325="","",IF('ORDENES'!$O325="","-",'ORDENES'!$O325))</f>
        <v/>
      </c>
      <c r="B347" s="3">
        <f>IF('ORDENES'!$A325="","",IF('ORDENES'!$R325="","-",'ORDENES'!$R325))</f>
        <v/>
      </c>
      <c r="C347" s="3">
        <f>IF('ORDENES'!$A325="","",IF('ORDENES'!$AF325="","-",'ORDENES'!$AF325))</f>
        <v/>
      </c>
      <c r="D347" s="3">
        <f>IF('ORDENES'!$A325="","",IF('ORDENES'!$X325="","-",'ORDENES'!$X325))</f>
        <v/>
      </c>
      <c r="E347" s="3">
        <f>IF('ORDENES'!$A325="","",IF('ORDENES'!$V325="","-",'ORDENES'!$V325))</f>
        <v/>
      </c>
      <c r="F347" s="3">
        <f>IF('ORDENES'!$A325="","",IF('ORDENES'!$Y325="","-",'ORDENES'!$Y325))</f>
        <v/>
      </c>
      <c r="G347" s="3">
        <f>IF('ORDENES'!$A325="","",IF('ORDENES'!$W325="","-",'ORDENES'!$W325))</f>
        <v/>
      </c>
      <c r="H347" s="3">
        <f>IF('ORDENES'!$A325="","",IF('ORDENES'!$AE325="","-",'ORDENES'!$AE325))</f>
        <v/>
      </c>
      <c r="I347" s="3">
        <f>IF('ORDENES'!$A325="","",IF('ORDENES'!$AQ325="","-",'ORDENES'!$AQ325))</f>
        <v/>
      </c>
      <c r="J347" s="3">
        <f>IF('ORDENES'!$A325="","",IF('ORDENES'!$D325="","-",'ORDENES'!$D325))</f>
        <v/>
      </c>
      <c r="K347" s="3">
        <f>IF('ORDENES'!$A325="","",IF('ORDENES'!$E325="","-",'ORDENES'!$E325))</f>
        <v/>
      </c>
      <c r="L347" s="13">
        <f>IF('ORDENES'!$A325="","",IF('ORDENES'!$M325="",0,'ORDENES'!$M325))</f>
        <v/>
      </c>
      <c r="M347" s="3">
        <f>IF('ORDENES'!$A325="","",IF('ORDENES'!$N325="","-",'ORDENES'!$N325))</f>
        <v/>
      </c>
      <c r="N347" s="3">
        <f>IF('ORDENES'!$A325="","",'ORDENES'!$AD325)</f>
        <v/>
      </c>
    </row>
    <row r="348">
      <c r="A348" s="3">
        <f>IF('ORDENES'!$A326="","",IF('ORDENES'!$O326="","-",'ORDENES'!$O326))</f>
        <v/>
      </c>
      <c r="B348" s="3">
        <f>IF('ORDENES'!$A326="","",IF('ORDENES'!$R326="","-",'ORDENES'!$R326))</f>
        <v/>
      </c>
      <c r="C348" s="3">
        <f>IF('ORDENES'!$A326="","",IF('ORDENES'!$AF326="","-",'ORDENES'!$AF326))</f>
        <v/>
      </c>
      <c r="D348" s="3">
        <f>IF('ORDENES'!$A326="","",IF('ORDENES'!$X326="","-",'ORDENES'!$X326))</f>
        <v/>
      </c>
      <c r="E348" s="3">
        <f>IF('ORDENES'!$A326="","",IF('ORDENES'!$V326="","-",'ORDENES'!$V326))</f>
        <v/>
      </c>
      <c r="F348" s="3">
        <f>IF('ORDENES'!$A326="","",IF('ORDENES'!$Y326="","-",'ORDENES'!$Y326))</f>
        <v/>
      </c>
      <c r="G348" s="3">
        <f>IF('ORDENES'!$A326="","",IF('ORDENES'!$W326="","-",'ORDENES'!$W326))</f>
        <v/>
      </c>
      <c r="H348" s="3">
        <f>IF('ORDENES'!$A326="","",IF('ORDENES'!$AE326="","-",'ORDENES'!$AE326))</f>
        <v/>
      </c>
      <c r="I348" s="3">
        <f>IF('ORDENES'!$A326="","",IF('ORDENES'!$AQ326="","-",'ORDENES'!$AQ326))</f>
        <v/>
      </c>
      <c r="J348" s="3">
        <f>IF('ORDENES'!$A326="","",IF('ORDENES'!$D326="","-",'ORDENES'!$D326))</f>
        <v/>
      </c>
      <c r="K348" s="3">
        <f>IF('ORDENES'!$A326="","",IF('ORDENES'!$E326="","-",'ORDENES'!$E326))</f>
        <v/>
      </c>
      <c r="L348" s="13">
        <f>IF('ORDENES'!$A326="","",IF('ORDENES'!$M326="",0,'ORDENES'!$M326))</f>
        <v/>
      </c>
      <c r="M348" s="3">
        <f>IF('ORDENES'!$A326="","",IF('ORDENES'!$N326="","-",'ORDENES'!$N326))</f>
        <v/>
      </c>
      <c r="N348" s="3">
        <f>IF('ORDENES'!$A326="","",'ORDENES'!$AD326)</f>
        <v/>
      </c>
    </row>
    <row r="349">
      <c r="A349" s="3">
        <f>IF('ORDENES'!$A327="","",IF('ORDENES'!$O327="","-",'ORDENES'!$O327))</f>
        <v/>
      </c>
      <c r="B349" s="3">
        <f>IF('ORDENES'!$A327="","",IF('ORDENES'!$R327="","-",'ORDENES'!$R327))</f>
        <v/>
      </c>
      <c r="C349" s="3">
        <f>IF('ORDENES'!$A327="","",IF('ORDENES'!$AF327="","-",'ORDENES'!$AF327))</f>
        <v/>
      </c>
      <c r="D349" s="3">
        <f>IF('ORDENES'!$A327="","",IF('ORDENES'!$X327="","-",'ORDENES'!$X327))</f>
        <v/>
      </c>
      <c r="E349" s="3">
        <f>IF('ORDENES'!$A327="","",IF('ORDENES'!$V327="","-",'ORDENES'!$V327))</f>
        <v/>
      </c>
      <c r="F349" s="3">
        <f>IF('ORDENES'!$A327="","",IF('ORDENES'!$Y327="","-",'ORDENES'!$Y327))</f>
        <v/>
      </c>
      <c r="G349" s="3">
        <f>IF('ORDENES'!$A327="","",IF('ORDENES'!$W327="","-",'ORDENES'!$W327))</f>
        <v/>
      </c>
      <c r="H349" s="3">
        <f>IF('ORDENES'!$A327="","",IF('ORDENES'!$AE327="","-",'ORDENES'!$AE327))</f>
        <v/>
      </c>
      <c r="I349" s="3">
        <f>IF('ORDENES'!$A327="","",IF('ORDENES'!$AQ327="","-",'ORDENES'!$AQ327))</f>
        <v/>
      </c>
      <c r="J349" s="3">
        <f>IF('ORDENES'!$A327="","",IF('ORDENES'!$D327="","-",'ORDENES'!$D327))</f>
        <v/>
      </c>
      <c r="K349" s="3">
        <f>IF('ORDENES'!$A327="","",IF('ORDENES'!$E327="","-",'ORDENES'!$E327))</f>
        <v/>
      </c>
      <c r="L349" s="13">
        <f>IF('ORDENES'!$A327="","",IF('ORDENES'!$M327="",0,'ORDENES'!$M327))</f>
        <v/>
      </c>
      <c r="M349" s="3">
        <f>IF('ORDENES'!$A327="","",IF('ORDENES'!$N327="","-",'ORDENES'!$N327))</f>
        <v/>
      </c>
      <c r="N349" s="3">
        <f>IF('ORDENES'!$A327="","",'ORDENES'!$AD327)</f>
        <v/>
      </c>
    </row>
    <row r="350">
      <c r="A350" s="3">
        <f>IF('ORDENES'!$A328="","",IF('ORDENES'!$O328="","-",'ORDENES'!$O328))</f>
        <v/>
      </c>
      <c r="B350" s="3">
        <f>IF('ORDENES'!$A328="","",IF('ORDENES'!$R328="","-",'ORDENES'!$R328))</f>
        <v/>
      </c>
      <c r="C350" s="3">
        <f>IF('ORDENES'!$A328="","",IF('ORDENES'!$AF328="","-",'ORDENES'!$AF328))</f>
        <v/>
      </c>
      <c r="D350" s="3">
        <f>IF('ORDENES'!$A328="","",IF('ORDENES'!$X328="","-",'ORDENES'!$X328))</f>
        <v/>
      </c>
      <c r="E350" s="3">
        <f>IF('ORDENES'!$A328="","",IF('ORDENES'!$V328="","-",'ORDENES'!$V328))</f>
        <v/>
      </c>
      <c r="F350" s="3">
        <f>IF('ORDENES'!$A328="","",IF('ORDENES'!$Y328="","-",'ORDENES'!$Y328))</f>
        <v/>
      </c>
      <c r="G350" s="3">
        <f>IF('ORDENES'!$A328="","",IF('ORDENES'!$W328="","-",'ORDENES'!$W328))</f>
        <v/>
      </c>
      <c r="H350" s="3">
        <f>IF('ORDENES'!$A328="","",IF('ORDENES'!$AE328="","-",'ORDENES'!$AE328))</f>
        <v/>
      </c>
      <c r="I350" s="3">
        <f>IF('ORDENES'!$A328="","",IF('ORDENES'!$AQ328="","-",'ORDENES'!$AQ328))</f>
        <v/>
      </c>
      <c r="J350" s="3">
        <f>IF('ORDENES'!$A328="","",IF('ORDENES'!$D328="","-",'ORDENES'!$D328))</f>
        <v/>
      </c>
      <c r="K350" s="3">
        <f>IF('ORDENES'!$A328="","",IF('ORDENES'!$E328="","-",'ORDENES'!$E328))</f>
        <v/>
      </c>
      <c r="L350" s="13">
        <f>IF('ORDENES'!$A328="","",IF('ORDENES'!$M328="",0,'ORDENES'!$M328))</f>
        <v/>
      </c>
      <c r="M350" s="3">
        <f>IF('ORDENES'!$A328="","",IF('ORDENES'!$N328="","-",'ORDENES'!$N328))</f>
        <v/>
      </c>
      <c r="N350" s="3">
        <f>IF('ORDENES'!$A328="","",'ORDENES'!$AD328)</f>
        <v/>
      </c>
    </row>
    <row r="351">
      <c r="A351" s="3">
        <f>IF('ORDENES'!$A329="","",IF('ORDENES'!$O329="","-",'ORDENES'!$O329))</f>
        <v/>
      </c>
      <c r="B351" s="3">
        <f>IF('ORDENES'!$A329="","",IF('ORDENES'!$R329="","-",'ORDENES'!$R329))</f>
        <v/>
      </c>
      <c r="C351" s="3">
        <f>IF('ORDENES'!$A329="","",IF('ORDENES'!$AF329="","-",'ORDENES'!$AF329))</f>
        <v/>
      </c>
      <c r="D351" s="3">
        <f>IF('ORDENES'!$A329="","",IF('ORDENES'!$X329="","-",'ORDENES'!$X329))</f>
        <v/>
      </c>
      <c r="E351" s="3">
        <f>IF('ORDENES'!$A329="","",IF('ORDENES'!$V329="","-",'ORDENES'!$V329))</f>
        <v/>
      </c>
      <c r="F351" s="3">
        <f>IF('ORDENES'!$A329="","",IF('ORDENES'!$Y329="","-",'ORDENES'!$Y329))</f>
        <v/>
      </c>
      <c r="G351" s="3">
        <f>IF('ORDENES'!$A329="","",IF('ORDENES'!$W329="","-",'ORDENES'!$W329))</f>
        <v/>
      </c>
      <c r="H351" s="3">
        <f>IF('ORDENES'!$A329="","",IF('ORDENES'!$AE329="","-",'ORDENES'!$AE329))</f>
        <v/>
      </c>
      <c r="I351" s="3">
        <f>IF('ORDENES'!$A329="","",IF('ORDENES'!$AQ329="","-",'ORDENES'!$AQ329))</f>
        <v/>
      </c>
      <c r="J351" s="3">
        <f>IF('ORDENES'!$A329="","",IF('ORDENES'!$D329="","-",'ORDENES'!$D329))</f>
        <v/>
      </c>
      <c r="K351" s="3">
        <f>IF('ORDENES'!$A329="","",IF('ORDENES'!$E329="","-",'ORDENES'!$E329))</f>
        <v/>
      </c>
      <c r="L351" s="13">
        <f>IF('ORDENES'!$A329="","",IF('ORDENES'!$M329="",0,'ORDENES'!$M329))</f>
        <v/>
      </c>
      <c r="M351" s="3">
        <f>IF('ORDENES'!$A329="","",IF('ORDENES'!$N329="","-",'ORDENES'!$N329))</f>
        <v/>
      </c>
      <c r="N351" s="3">
        <f>IF('ORDENES'!$A329="","",'ORDENES'!$AD329)</f>
        <v/>
      </c>
    </row>
    <row r="352">
      <c r="A352" s="3">
        <f>IF('ORDENES'!$A330="","",IF('ORDENES'!$O330="","-",'ORDENES'!$O330))</f>
        <v/>
      </c>
      <c r="B352" s="3">
        <f>IF('ORDENES'!$A330="","",IF('ORDENES'!$R330="","-",'ORDENES'!$R330))</f>
        <v/>
      </c>
      <c r="C352" s="3">
        <f>IF('ORDENES'!$A330="","",IF('ORDENES'!$AF330="","-",'ORDENES'!$AF330))</f>
        <v/>
      </c>
      <c r="D352" s="3">
        <f>IF('ORDENES'!$A330="","",IF('ORDENES'!$X330="","-",'ORDENES'!$X330))</f>
        <v/>
      </c>
      <c r="E352" s="3">
        <f>IF('ORDENES'!$A330="","",IF('ORDENES'!$V330="","-",'ORDENES'!$V330))</f>
        <v/>
      </c>
      <c r="F352" s="3">
        <f>IF('ORDENES'!$A330="","",IF('ORDENES'!$Y330="","-",'ORDENES'!$Y330))</f>
        <v/>
      </c>
      <c r="G352" s="3">
        <f>IF('ORDENES'!$A330="","",IF('ORDENES'!$W330="","-",'ORDENES'!$W330))</f>
        <v/>
      </c>
      <c r="H352" s="3">
        <f>IF('ORDENES'!$A330="","",IF('ORDENES'!$AE330="","-",'ORDENES'!$AE330))</f>
        <v/>
      </c>
      <c r="I352" s="3">
        <f>IF('ORDENES'!$A330="","",IF('ORDENES'!$AQ330="","-",'ORDENES'!$AQ330))</f>
        <v/>
      </c>
      <c r="J352" s="3">
        <f>IF('ORDENES'!$A330="","",IF('ORDENES'!$D330="","-",'ORDENES'!$D330))</f>
        <v/>
      </c>
      <c r="K352" s="3">
        <f>IF('ORDENES'!$A330="","",IF('ORDENES'!$E330="","-",'ORDENES'!$E330))</f>
        <v/>
      </c>
      <c r="L352" s="13">
        <f>IF('ORDENES'!$A330="","",IF('ORDENES'!$M330="",0,'ORDENES'!$M330))</f>
        <v/>
      </c>
      <c r="M352" s="3">
        <f>IF('ORDENES'!$A330="","",IF('ORDENES'!$N330="","-",'ORDENES'!$N330))</f>
        <v/>
      </c>
      <c r="N352" s="3">
        <f>IF('ORDENES'!$A330="","",'ORDENES'!$AD330)</f>
        <v/>
      </c>
    </row>
    <row r="353">
      <c r="A353" s="3">
        <f>IF('ORDENES'!$A331="","",IF('ORDENES'!$O331="","-",'ORDENES'!$O331))</f>
        <v/>
      </c>
      <c r="B353" s="3">
        <f>IF('ORDENES'!$A331="","",IF('ORDENES'!$R331="","-",'ORDENES'!$R331))</f>
        <v/>
      </c>
      <c r="C353" s="3">
        <f>IF('ORDENES'!$A331="","",IF('ORDENES'!$AF331="","-",'ORDENES'!$AF331))</f>
        <v/>
      </c>
      <c r="D353" s="3">
        <f>IF('ORDENES'!$A331="","",IF('ORDENES'!$X331="","-",'ORDENES'!$X331))</f>
        <v/>
      </c>
      <c r="E353" s="3">
        <f>IF('ORDENES'!$A331="","",IF('ORDENES'!$V331="","-",'ORDENES'!$V331))</f>
        <v/>
      </c>
      <c r="F353" s="3">
        <f>IF('ORDENES'!$A331="","",IF('ORDENES'!$Y331="","-",'ORDENES'!$Y331))</f>
        <v/>
      </c>
      <c r="G353" s="3">
        <f>IF('ORDENES'!$A331="","",IF('ORDENES'!$W331="","-",'ORDENES'!$W331))</f>
        <v/>
      </c>
      <c r="H353" s="3">
        <f>IF('ORDENES'!$A331="","",IF('ORDENES'!$AE331="","-",'ORDENES'!$AE331))</f>
        <v/>
      </c>
      <c r="I353" s="3">
        <f>IF('ORDENES'!$A331="","",IF('ORDENES'!$AQ331="","-",'ORDENES'!$AQ331))</f>
        <v/>
      </c>
      <c r="J353" s="3">
        <f>IF('ORDENES'!$A331="","",IF('ORDENES'!$D331="","-",'ORDENES'!$D331))</f>
        <v/>
      </c>
      <c r="K353" s="3">
        <f>IF('ORDENES'!$A331="","",IF('ORDENES'!$E331="","-",'ORDENES'!$E331))</f>
        <v/>
      </c>
      <c r="L353" s="13">
        <f>IF('ORDENES'!$A331="","",IF('ORDENES'!$M331="",0,'ORDENES'!$M331))</f>
        <v/>
      </c>
      <c r="M353" s="3">
        <f>IF('ORDENES'!$A331="","",IF('ORDENES'!$N331="","-",'ORDENES'!$N331))</f>
        <v/>
      </c>
      <c r="N353" s="3">
        <f>IF('ORDENES'!$A331="","",'ORDENES'!$AD331)</f>
        <v/>
      </c>
    </row>
    <row r="354">
      <c r="A354" s="3">
        <f>IF('ORDENES'!$A332="","",IF('ORDENES'!$O332="","-",'ORDENES'!$O332))</f>
        <v/>
      </c>
      <c r="B354" s="3">
        <f>IF('ORDENES'!$A332="","",IF('ORDENES'!$R332="","-",'ORDENES'!$R332))</f>
        <v/>
      </c>
      <c r="C354" s="3">
        <f>IF('ORDENES'!$A332="","",IF('ORDENES'!$AF332="","-",'ORDENES'!$AF332))</f>
        <v/>
      </c>
      <c r="D354" s="3">
        <f>IF('ORDENES'!$A332="","",IF('ORDENES'!$X332="","-",'ORDENES'!$X332))</f>
        <v/>
      </c>
      <c r="E354" s="3">
        <f>IF('ORDENES'!$A332="","",IF('ORDENES'!$V332="","-",'ORDENES'!$V332))</f>
        <v/>
      </c>
      <c r="F354" s="3">
        <f>IF('ORDENES'!$A332="","",IF('ORDENES'!$Y332="","-",'ORDENES'!$Y332))</f>
        <v/>
      </c>
      <c r="G354" s="3">
        <f>IF('ORDENES'!$A332="","",IF('ORDENES'!$W332="","-",'ORDENES'!$W332))</f>
        <v/>
      </c>
      <c r="H354" s="3">
        <f>IF('ORDENES'!$A332="","",IF('ORDENES'!$AE332="","-",'ORDENES'!$AE332))</f>
        <v/>
      </c>
      <c r="I354" s="3">
        <f>IF('ORDENES'!$A332="","",IF('ORDENES'!$AQ332="","-",'ORDENES'!$AQ332))</f>
        <v/>
      </c>
      <c r="J354" s="3">
        <f>IF('ORDENES'!$A332="","",IF('ORDENES'!$D332="","-",'ORDENES'!$D332))</f>
        <v/>
      </c>
      <c r="K354" s="3">
        <f>IF('ORDENES'!$A332="","",IF('ORDENES'!$E332="","-",'ORDENES'!$E332))</f>
        <v/>
      </c>
      <c r="L354" s="13">
        <f>IF('ORDENES'!$A332="","",IF('ORDENES'!$M332="",0,'ORDENES'!$M332))</f>
        <v/>
      </c>
      <c r="M354" s="3">
        <f>IF('ORDENES'!$A332="","",IF('ORDENES'!$N332="","-",'ORDENES'!$N332))</f>
        <v/>
      </c>
      <c r="N354" s="3">
        <f>IF('ORDENES'!$A332="","",'ORDENES'!$AD332)</f>
        <v/>
      </c>
    </row>
    <row r="355">
      <c r="A355" s="3">
        <f>IF('ORDENES'!$A333="","",IF('ORDENES'!$O333="","-",'ORDENES'!$O333))</f>
        <v/>
      </c>
      <c r="B355" s="3">
        <f>IF('ORDENES'!$A333="","",IF('ORDENES'!$R333="","-",'ORDENES'!$R333))</f>
        <v/>
      </c>
      <c r="C355" s="3">
        <f>IF('ORDENES'!$A333="","",IF('ORDENES'!$AF333="","-",'ORDENES'!$AF333))</f>
        <v/>
      </c>
      <c r="D355" s="3">
        <f>IF('ORDENES'!$A333="","",IF('ORDENES'!$X333="","-",'ORDENES'!$X333))</f>
        <v/>
      </c>
      <c r="E355" s="3">
        <f>IF('ORDENES'!$A333="","",IF('ORDENES'!$V333="","-",'ORDENES'!$V333))</f>
        <v/>
      </c>
      <c r="F355" s="3">
        <f>IF('ORDENES'!$A333="","",IF('ORDENES'!$Y333="","-",'ORDENES'!$Y333))</f>
        <v/>
      </c>
      <c r="G355" s="3">
        <f>IF('ORDENES'!$A333="","",IF('ORDENES'!$W333="","-",'ORDENES'!$W333))</f>
        <v/>
      </c>
      <c r="H355" s="3">
        <f>IF('ORDENES'!$A333="","",IF('ORDENES'!$AE333="","-",'ORDENES'!$AE333))</f>
        <v/>
      </c>
      <c r="I355" s="3">
        <f>IF('ORDENES'!$A333="","",IF('ORDENES'!$AQ333="","-",'ORDENES'!$AQ333))</f>
        <v/>
      </c>
      <c r="J355" s="3">
        <f>IF('ORDENES'!$A333="","",IF('ORDENES'!$D333="","-",'ORDENES'!$D333))</f>
        <v/>
      </c>
      <c r="K355" s="3">
        <f>IF('ORDENES'!$A333="","",IF('ORDENES'!$E333="","-",'ORDENES'!$E333))</f>
        <v/>
      </c>
      <c r="L355" s="13">
        <f>IF('ORDENES'!$A333="","",IF('ORDENES'!$M333="",0,'ORDENES'!$M333))</f>
        <v/>
      </c>
      <c r="M355" s="3">
        <f>IF('ORDENES'!$A333="","",IF('ORDENES'!$N333="","-",'ORDENES'!$N333))</f>
        <v/>
      </c>
      <c r="N355" s="3">
        <f>IF('ORDENES'!$A333="","",'ORDENES'!$AD333)</f>
        <v/>
      </c>
    </row>
    <row r="356">
      <c r="A356" s="3">
        <f>IF('ORDENES'!$A334="","",IF('ORDENES'!$O334="","-",'ORDENES'!$O334))</f>
        <v/>
      </c>
      <c r="B356" s="3">
        <f>IF('ORDENES'!$A334="","",IF('ORDENES'!$R334="","-",'ORDENES'!$R334))</f>
        <v/>
      </c>
      <c r="C356" s="3">
        <f>IF('ORDENES'!$A334="","",IF('ORDENES'!$AF334="","-",'ORDENES'!$AF334))</f>
        <v/>
      </c>
      <c r="D356" s="3">
        <f>IF('ORDENES'!$A334="","",IF('ORDENES'!$X334="","-",'ORDENES'!$X334))</f>
        <v/>
      </c>
      <c r="E356" s="3">
        <f>IF('ORDENES'!$A334="","",IF('ORDENES'!$V334="","-",'ORDENES'!$V334))</f>
        <v/>
      </c>
      <c r="F356" s="3">
        <f>IF('ORDENES'!$A334="","",IF('ORDENES'!$Y334="","-",'ORDENES'!$Y334))</f>
        <v/>
      </c>
      <c r="G356" s="3">
        <f>IF('ORDENES'!$A334="","",IF('ORDENES'!$W334="","-",'ORDENES'!$W334))</f>
        <v/>
      </c>
      <c r="H356" s="3">
        <f>IF('ORDENES'!$A334="","",IF('ORDENES'!$AE334="","-",'ORDENES'!$AE334))</f>
        <v/>
      </c>
      <c r="I356" s="3">
        <f>IF('ORDENES'!$A334="","",IF('ORDENES'!$AQ334="","-",'ORDENES'!$AQ334))</f>
        <v/>
      </c>
      <c r="J356" s="3">
        <f>IF('ORDENES'!$A334="","",IF('ORDENES'!$D334="","-",'ORDENES'!$D334))</f>
        <v/>
      </c>
      <c r="K356" s="3">
        <f>IF('ORDENES'!$A334="","",IF('ORDENES'!$E334="","-",'ORDENES'!$E334))</f>
        <v/>
      </c>
      <c r="L356" s="13">
        <f>IF('ORDENES'!$A334="","",IF('ORDENES'!$M334="",0,'ORDENES'!$M334))</f>
        <v/>
      </c>
      <c r="M356" s="3">
        <f>IF('ORDENES'!$A334="","",IF('ORDENES'!$N334="","-",'ORDENES'!$N334))</f>
        <v/>
      </c>
      <c r="N356" s="3">
        <f>IF('ORDENES'!$A334="","",'ORDENES'!$AD334)</f>
        <v/>
      </c>
    </row>
    <row r="357">
      <c r="A357" s="3">
        <f>IF('ORDENES'!$A335="","",IF('ORDENES'!$O335="","-",'ORDENES'!$O335))</f>
        <v/>
      </c>
      <c r="B357" s="3">
        <f>IF('ORDENES'!$A335="","",IF('ORDENES'!$R335="","-",'ORDENES'!$R335))</f>
        <v/>
      </c>
      <c r="C357" s="3">
        <f>IF('ORDENES'!$A335="","",IF('ORDENES'!$AF335="","-",'ORDENES'!$AF335))</f>
        <v/>
      </c>
      <c r="D357" s="3">
        <f>IF('ORDENES'!$A335="","",IF('ORDENES'!$X335="","-",'ORDENES'!$X335))</f>
        <v/>
      </c>
      <c r="E357" s="3">
        <f>IF('ORDENES'!$A335="","",IF('ORDENES'!$V335="","-",'ORDENES'!$V335))</f>
        <v/>
      </c>
      <c r="F357" s="3">
        <f>IF('ORDENES'!$A335="","",IF('ORDENES'!$Y335="","-",'ORDENES'!$Y335))</f>
        <v/>
      </c>
      <c r="G357" s="3">
        <f>IF('ORDENES'!$A335="","",IF('ORDENES'!$W335="","-",'ORDENES'!$W335))</f>
        <v/>
      </c>
      <c r="H357" s="3">
        <f>IF('ORDENES'!$A335="","",IF('ORDENES'!$AE335="","-",'ORDENES'!$AE335))</f>
        <v/>
      </c>
      <c r="I357" s="3">
        <f>IF('ORDENES'!$A335="","",IF('ORDENES'!$AQ335="","-",'ORDENES'!$AQ335))</f>
        <v/>
      </c>
      <c r="J357" s="3">
        <f>IF('ORDENES'!$A335="","",IF('ORDENES'!$D335="","-",'ORDENES'!$D335))</f>
        <v/>
      </c>
      <c r="K357" s="3">
        <f>IF('ORDENES'!$A335="","",IF('ORDENES'!$E335="","-",'ORDENES'!$E335))</f>
        <v/>
      </c>
      <c r="L357" s="13">
        <f>IF('ORDENES'!$A335="","",IF('ORDENES'!$M335="",0,'ORDENES'!$M335))</f>
        <v/>
      </c>
      <c r="M357" s="3">
        <f>IF('ORDENES'!$A335="","",IF('ORDENES'!$N335="","-",'ORDENES'!$N335))</f>
        <v/>
      </c>
      <c r="N357" s="3">
        <f>IF('ORDENES'!$A335="","",'ORDENES'!$AD335)</f>
        <v/>
      </c>
    </row>
    <row r="358">
      <c r="A358" s="3">
        <f>IF('ORDENES'!$A336="","",IF('ORDENES'!$O336="","-",'ORDENES'!$O336))</f>
        <v/>
      </c>
      <c r="B358" s="3">
        <f>IF('ORDENES'!$A336="","",IF('ORDENES'!$R336="","-",'ORDENES'!$R336))</f>
        <v/>
      </c>
      <c r="C358" s="3">
        <f>IF('ORDENES'!$A336="","",IF('ORDENES'!$AF336="","-",'ORDENES'!$AF336))</f>
        <v/>
      </c>
      <c r="D358" s="3">
        <f>IF('ORDENES'!$A336="","",IF('ORDENES'!$X336="","-",'ORDENES'!$X336))</f>
        <v/>
      </c>
      <c r="E358" s="3">
        <f>IF('ORDENES'!$A336="","",IF('ORDENES'!$V336="","-",'ORDENES'!$V336))</f>
        <v/>
      </c>
      <c r="F358" s="3">
        <f>IF('ORDENES'!$A336="","",IF('ORDENES'!$Y336="","-",'ORDENES'!$Y336))</f>
        <v/>
      </c>
      <c r="G358" s="3">
        <f>IF('ORDENES'!$A336="","",IF('ORDENES'!$W336="","-",'ORDENES'!$W336))</f>
        <v/>
      </c>
      <c r="H358" s="3">
        <f>IF('ORDENES'!$A336="","",IF('ORDENES'!$AE336="","-",'ORDENES'!$AE336))</f>
        <v/>
      </c>
      <c r="I358" s="3">
        <f>IF('ORDENES'!$A336="","",IF('ORDENES'!$AQ336="","-",'ORDENES'!$AQ336))</f>
        <v/>
      </c>
      <c r="J358" s="3">
        <f>IF('ORDENES'!$A336="","",IF('ORDENES'!$D336="","-",'ORDENES'!$D336))</f>
        <v/>
      </c>
      <c r="K358" s="3">
        <f>IF('ORDENES'!$A336="","",IF('ORDENES'!$E336="","-",'ORDENES'!$E336))</f>
        <v/>
      </c>
      <c r="L358" s="13">
        <f>IF('ORDENES'!$A336="","",IF('ORDENES'!$M336="",0,'ORDENES'!$M336))</f>
        <v/>
      </c>
      <c r="M358" s="3">
        <f>IF('ORDENES'!$A336="","",IF('ORDENES'!$N336="","-",'ORDENES'!$N336))</f>
        <v/>
      </c>
      <c r="N358" s="3">
        <f>IF('ORDENES'!$A336="","",'ORDENES'!$AD336)</f>
        <v/>
      </c>
    </row>
    <row r="359">
      <c r="A359" s="3">
        <f>IF('ORDENES'!$A337="","",IF('ORDENES'!$O337="","-",'ORDENES'!$O337))</f>
        <v/>
      </c>
      <c r="B359" s="3">
        <f>IF('ORDENES'!$A337="","",IF('ORDENES'!$R337="","-",'ORDENES'!$R337))</f>
        <v/>
      </c>
      <c r="C359" s="3">
        <f>IF('ORDENES'!$A337="","",IF('ORDENES'!$AF337="","-",'ORDENES'!$AF337))</f>
        <v/>
      </c>
      <c r="D359" s="3">
        <f>IF('ORDENES'!$A337="","",IF('ORDENES'!$X337="","-",'ORDENES'!$X337))</f>
        <v/>
      </c>
      <c r="E359" s="3">
        <f>IF('ORDENES'!$A337="","",IF('ORDENES'!$V337="","-",'ORDENES'!$V337))</f>
        <v/>
      </c>
      <c r="F359" s="3">
        <f>IF('ORDENES'!$A337="","",IF('ORDENES'!$Y337="","-",'ORDENES'!$Y337))</f>
        <v/>
      </c>
      <c r="G359" s="3">
        <f>IF('ORDENES'!$A337="","",IF('ORDENES'!$W337="","-",'ORDENES'!$W337))</f>
        <v/>
      </c>
      <c r="H359" s="3">
        <f>IF('ORDENES'!$A337="","",IF('ORDENES'!$AE337="","-",'ORDENES'!$AE337))</f>
        <v/>
      </c>
      <c r="I359" s="3">
        <f>IF('ORDENES'!$A337="","",IF('ORDENES'!$AQ337="","-",'ORDENES'!$AQ337))</f>
        <v/>
      </c>
      <c r="J359" s="3">
        <f>IF('ORDENES'!$A337="","",IF('ORDENES'!$D337="","-",'ORDENES'!$D337))</f>
        <v/>
      </c>
      <c r="K359" s="3">
        <f>IF('ORDENES'!$A337="","",IF('ORDENES'!$E337="","-",'ORDENES'!$E337))</f>
        <v/>
      </c>
      <c r="L359" s="13">
        <f>IF('ORDENES'!$A337="","",IF('ORDENES'!$M337="",0,'ORDENES'!$M337))</f>
        <v/>
      </c>
      <c r="M359" s="3">
        <f>IF('ORDENES'!$A337="","",IF('ORDENES'!$N337="","-",'ORDENES'!$N337))</f>
        <v/>
      </c>
      <c r="N359" s="3">
        <f>IF('ORDENES'!$A337="","",'ORDENES'!$AD337)</f>
        <v/>
      </c>
    </row>
    <row r="360">
      <c r="A360" s="3">
        <f>IF('ORDENES'!$A338="","",IF('ORDENES'!$O338="","-",'ORDENES'!$O338))</f>
        <v/>
      </c>
      <c r="B360" s="3">
        <f>IF('ORDENES'!$A338="","",IF('ORDENES'!$R338="","-",'ORDENES'!$R338))</f>
        <v/>
      </c>
      <c r="C360" s="3">
        <f>IF('ORDENES'!$A338="","",IF('ORDENES'!$AF338="","-",'ORDENES'!$AF338))</f>
        <v/>
      </c>
      <c r="D360" s="3">
        <f>IF('ORDENES'!$A338="","",IF('ORDENES'!$X338="","-",'ORDENES'!$X338))</f>
        <v/>
      </c>
      <c r="E360" s="3">
        <f>IF('ORDENES'!$A338="","",IF('ORDENES'!$V338="","-",'ORDENES'!$V338))</f>
        <v/>
      </c>
      <c r="F360" s="3">
        <f>IF('ORDENES'!$A338="","",IF('ORDENES'!$Y338="","-",'ORDENES'!$Y338))</f>
        <v/>
      </c>
      <c r="G360" s="3">
        <f>IF('ORDENES'!$A338="","",IF('ORDENES'!$W338="","-",'ORDENES'!$W338))</f>
        <v/>
      </c>
      <c r="H360" s="3">
        <f>IF('ORDENES'!$A338="","",IF('ORDENES'!$AE338="","-",'ORDENES'!$AE338))</f>
        <v/>
      </c>
      <c r="I360" s="3">
        <f>IF('ORDENES'!$A338="","",IF('ORDENES'!$AQ338="","-",'ORDENES'!$AQ338))</f>
        <v/>
      </c>
      <c r="J360" s="3">
        <f>IF('ORDENES'!$A338="","",IF('ORDENES'!$D338="","-",'ORDENES'!$D338))</f>
        <v/>
      </c>
      <c r="K360" s="3">
        <f>IF('ORDENES'!$A338="","",IF('ORDENES'!$E338="","-",'ORDENES'!$E338))</f>
        <v/>
      </c>
      <c r="L360" s="13">
        <f>IF('ORDENES'!$A338="","",IF('ORDENES'!$M338="",0,'ORDENES'!$M338))</f>
        <v/>
      </c>
      <c r="M360" s="3">
        <f>IF('ORDENES'!$A338="","",IF('ORDENES'!$N338="","-",'ORDENES'!$N338))</f>
        <v/>
      </c>
      <c r="N360" s="3">
        <f>IF('ORDENES'!$A338="","",'ORDENES'!$AD338)</f>
        <v/>
      </c>
    </row>
    <row r="361">
      <c r="A361" s="3">
        <f>IF('ORDENES'!$A339="","",IF('ORDENES'!$O339="","-",'ORDENES'!$O339))</f>
        <v/>
      </c>
      <c r="B361" s="3">
        <f>IF('ORDENES'!$A339="","",IF('ORDENES'!$R339="","-",'ORDENES'!$R339))</f>
        <v/>
      </c>
      <c r="C361" s="3">
        <f>IF('ORDENES'!$A339="","",IF('ORDENES'!$AF339="","-",'ORDENES'!$AF339))</f>
        <v/>
      </c>
      <c r="D361" s="3">
        <f>IF('ORDENES'!$A339="","",IF('ORDENES'!$X339="","-",'ORDENES'!$X339))</f>
        <v/>
      </c>
      <c r="E361" s="3">
        <f>IF('ORDENES'!$A339="","",IF('ORDENES'!$V339="","-",'ORDENES'!$V339))</f>
        <v/>
      </c>
      <c r="F361" s="3">
        <f>IF('ORDENES'!$A339="","",IF('ORDENES'!$Y339="","-",'ORDENES'!$Y339))</f>
        <v/>
      </c>
      <c r="G361" s="3">
        <f>IF('ORDENES'!$A339="","",IF('ORDENES'!$W339="","-",'ORDENES'!$W339))</f>
        <v/>
      </c>
      <c r="H361" s="3">
        <f>IF('ORDENES'!$A339="","",IF('ORDENES'!$AE339="","-",'ORDENES'!$AE339))</f>
        <v/>
      </c>
      <c r="I361" s="3">
        <f>IF('ORDENES'!$A339="","",IF('ORDENES'!$AQ339="","-",'ORDENES'!$AQ339))</f>
        <v/>
      </c>
      <c r="J361" s="3">
        <f>IF('ORDENES'!$A339="","",IF('ORDENES'!$D339="","-",'ORDENES'!$D339))</f>
        <v/>
      </c>
      <c r="K361" s="3">
        <f>IF('ORDENES'!$A339="","",IF('ORDENES'!$E339="","-",'ORDENES'!$E339))</f>
        <v/>
      </c>
      <c r="L361" s="13">
        <f>IF('ORDENES'!$A339="","",IF('ORDENES'!$M339="",0,'ORDENES'!$M339))</f>
        <v/>
      </c>
      <c r="M361" s="3">
        <f>IF('ORDENES'!$A339="","",IF('ORDENES'!$N339="","-",'ORDENES'!$N339))</f>
        <v/>
      </c>
      <c r="N361" s="3">
        <f>IF('ORDENES'!$A339="","",'ORDENES'!$AD339)</f>
        <v/>
      </c>
    </row>
    <row r="362">
      <c r="A362" s="3">
        <f>IF('ORDENES'!$A340="","",IF('ORDENES'!$O340="","-",'ORDENES'!$O340))</f>
        <v/>
      </c>
      <c r="B362" s="3">
        <f>IF('ORDENES'!$A340="","",IF('ORDENES'!$R340="","-",'ORDENES'!$R340))</f>
        <v/>
      </c>
      <c r="C362" s="3">
        <f>IF('ORDENES'!$A340="","",IF('ORDENES'!$AF340="","-",'ORDENES'!$AF340))</f>
        <v/>
      </c>
      <c r="D362" s="3">
        <f>IF('ORDENES'!$A340="","",IF('ORDENES'!$X340="","-",'ORDENES'!$X340))</f>
        <v/>
      </c>
      <c r="E362" s="3">
        <f>IF('ORDENES'!$A340="","",IF('ORDENES'!$V340="","-",'ORDENES'!$V340))</f>
        <v/>
      </c>
      <c r="F362" s="3">
        <f>IF('ORDENES'!$A340="","",IF('ORDENES'!$Y340="","-",'ORDENES'!$Y340))</f>
        <v/>
      </c>
      <c r="G362" s="3">
        <f>IF('ORDENES'!$A340="","",IF('ORDENES'!$W340="","-",'ORDENES'!$W340))</f>
        <v/>
      </c>
      <c r="H362" s="3">
        <f>IF('ORDENES'!$A340="","",IF('ORDENES'!$AE340="","-",'ORDENES'!$AE340))</f>
        <v/>
      </c>
      <c r="I362" s="3">
        <f>IF('ORDENES'!$A340="","",IF('ORDENES'!$AQ340="","-",'ORDENES'!$AQ340))</f>
        <v/>
      </c>
      <c r="J362" s="3">
        <f>IF('ORDENES'!$A340="","",IF('ORDENES'!$D340="","-",'ORDENES'!$D340))</f>
        <v/>
      </c>
      <c r="K362" s="3">
        <f>IF('ORDENES'!$A340="","",IF('ORDENES'!$E340="","-",'ORDENES'!$E340))</f>
        <v/>
      </c>
      <c r="L362" s="13">
        <f>IF('ORDENES'!$A340="","",IF('ORDENES'!$M340="",0,'ORDENES'!$M340))</f>
        <v/>
      </c>
      <c r="M362" s="3">
        <f>IF('ORDENES'!$A340="","",IF('ORDENES'!$N340="","-",'ORDENES'!$N340))</f>
        <v/>
      </c>
      <c r="N362" s="3">
        <f>IF('ORDENES'!$A340="","",'ORDENES'!$AD340)</f>
        <v/>
      </c>
    </row>
    <row r="363">
      <c r="A363" s="3">
        <f>IF('ORDENES'!$A341="","",IF('ORDENES'!$O341="","-",'ORDENES'!$O341))</f>
        <v/>
      </c>
      <c r="B363" s="3">
        <f>IF('ORDENES'!$A341="","",IF('ORDENES'!$R341="","-",'ORDENES'!$R341))</f>
        <v/>
      </c>
      <c r="C363" s="3">
        <f>IF('ORDENES'!$A341="","",IF('ORDENES'!$AF341="","-",'ORDENES'!$AF341))</f>
        <v/>
      </c>
      <c r="D363" s="3">
        <f>IF('ORDENES'!$A341="","",IF('ORDENES'!$X341="","-",'ORDENES'!$X341))</f>
        <v/>
      </c>
      <c r="E363" s="3">
        <f>IF('ORDENES'!$A341="","",IF('ORDENES'!$V341="","-",'ORDENES'!$V341))</f>
        <v/>
      </c>
      <c r="F363" s="3">
        <f>IF('ORDENES'!$A341="","",IF('ORDENES'!$Y341="","-",'ORDENES'!$Y341))</f>
        <v/>
      </c>
      <c r="G363" s="3">
        <f>IF('ORDENES'!$A341="","",IF('ORDENES'!$W341="","-",'ORDENES'!$W341))</f>
        <v/>
      </c>
      <c r="H363" s="3">
        <f>IF('ORDENES'!$A341="","",IF('ORDENES'!$AE341="","-",'ORDENES'!$AE341))</f>
        <v/>
      </c>
      <c r="I363" s="3">
        <f>IF('ORDENES'!$A341="","",IF('ORDENES'!$AQ341="","-",'ORDENES'!$AQ341))</f>
        <v/>
      </c>
      <c r="J363" s="3">
        <f>IF('ORDENES'!$A341="","",IF('ORDENES'!$D341="","-",'ORDENES'!$D341))</f>
        <v/>
      </c>
      <c r="K363" s="3">
        <f>IF('ORDENES'!$A341="","",IF('ORDENES'!$E341="","-",'ORDENES'!$E341))</f>
        <v/>
      </c>
      <c r="L363" s="13">
        <f>IF('ORDENES'!$A341="","",IF('ORDENES'!$M341="",0,'ORDENES'!$M341))</f>
        <v/>
      </c>
      <c r="M363" s="3">
        <f>IF('ORDENES'!$A341="","",IF('ORDENES'!$N341="","-",'ORDENES'!$N341))</f>
        <v/>
      </c>
      <c r="N363" s="3">
        <f>IF('ORDENES'!$A341="","",'ORDENES'!$AD341)</f>
        <v/>
      </c>
    </row>
    <row r="364">
      <c r="A364" s="3">
        <f>IF('ORDENES'!$A342="","",IF('ORDENES'!$O342="","-",'ORDENES'!$O342))</f>
        <v/>
      </c>
      <c r="B364" s="3">
        <f>IF('ORDENES'!$A342="","",IF('ORDENES'!$R342="","-",'ORDENES'!$R342))</f>
        <v/>
      </c>
      <c r="C364" s="3">
        <f>IF('ORDENES'!$A342="","",IF('ORDENES'!$AF342="","-",'ORDENES'!$AF342))</f>
        <v/>
      </c>
      <c r="D364" s="3">
        <f>IF('ORDENES'!$A342="","",IF('ORDENES'!$X342="","-",'ORDENES'!$X342))</f>
        <v/>
      </c>
      <c r="E364" s="3">
        <f>IF('ORDENES'!$A342="","",IF('ORDENES'!$V342="","-",'ORDENES'!$V342))</f>
        <v/>
      </c>
      <c r="F364" s="3">
        <f>IF('ORDENES'!$A342="","",IF('ORDENES'!$Y342="","-",'ORDENES'!$Y342))</f>
        <v/>
      </c>
      <c r="G364" s="3">
        <f>IF('ORDENES'!$A342="","",IF('ORDENES'!$W342="","-",'ORDENES'!$W342))</f>
        <v/>
      </c>
      <c r="H364" s="3">
        <f>IF('ORDENES'!$A342="","",IF('ORDENES'!$AE342="","-",'ORDENES'!$AE342))</f>
        <v/>
      </c>
      <c r="I364" s="3">
        <f>IF('ORDENES'!$A342="","",IF('ORDENES'!$AQ342="","-",'ORDENES'!$AQ342))</f>
        <v/>
      </c>
      <c r="J364" s="3">
        <f>IF('ORDENES'!$A342="","",IF('ORDENES'!$D342="","-",'ORDENES'!$D342))</f>
        <v/>
      </c>
      <c r="K364" s="3">
        <f>IF('ORDENES'!$A342="","",IF('ORDENES'!$E342="","-",'ORDENES'!$E342))</f>
        <v/>
      </c>
      <c r="L364" s="13">
        <f>IF('ORDENES'!$A342="","",IF('ORDENES'!$M342="",0,'ORDENES'!$M342))</f>
        <v/>
      </c>
      <c r="M364" s="3">
        <f>IF('ORDENES'!$A342="","",IF('ORDENES'!$N342="","-",'ORDENES'!$N342))</f>
        <v/>
      </c>
      <c r="N364" s="3">
        <f>IF('ORDENES'!$A342="","",'ORDENES'!$AD342)</f>
        <v/>
      </c>
    </row>
    <row r="365">
      <c r="A365" s="3">
        <f>IF('ORDENES'!$A343="","",IF('ORDENES'!$O343="","-",'ORDENES'!$O343))</f>
        <v/>
      </c>
      <c r="B365" s="3">
        <f>IF('ORDENES'!$A343="","",IF('ORDENES'!$R343="","-",'ORDENES'!$R343))</f>
        <v/>
      </c>
      <c r="C365" s="3">
        <f>IF('ORDENES'!$A343="","",IF('ORDENES'!$AF343="","-",'ORDENES'!$AF343))</f>
        <v/>
      </c>
      <c r="D365" s="3">
        <f>IF('ORDENES'!$A343="","",IF('ORDENES'!$X343="","-",'ORDENES'!$X343))</f>
        <v/>
      </c>
      <c r="E365" s="3">
        <f>IF('ORDENES'!$A343="","",IF('ORDENES'!$V343="","-",'ORDENES'!$V343))</f>
        <v/>
      </c>
      <c r="F365" s="3">
        <f>IF('ORDENES'!$A343="","",IF('ORDENES'!$Y343="","-",'ORDENES'!$Y343))</f>
        <v/>
      </c>
      <c r="G365" s="3">
        <f>IF('ORDENES'!$A343="","",IF('ORDENES'!$W343="","-",'ORDENES'!$W343))</f>
        <v/>
      </c>
      <c r="H365" s="3">
        <f>IF('ORDENES'!$A343="","",IF('ORDENES'!$AE343="","-",'ORDENES'!$AE343))</f>
        <v/>
      </c>
      <c r="I365" s="3">
        <f>IF('ORDENES'!$A343="","",IF('ORDENES'!$AQ343="","-",'ORDENES'!$AQ343))</f>
        <v/>
      </c>
      <c r="J365" s="3">
        <f>IF('ORDENES'!$A343="","",IF('ORDENES'!$D343="","-",'ORDENES'!$D343))</f>
        <v/>
      </c>
      <c r="K365" s="3">
        <f>IF('ORDENES'!$A343="","",IF('ORDENES'!$E343="","-",'ORDENES'!$E343))</f>
        <v/>
      </c>
      <c r="L365" s="13">
        <f>IF('ORDENES'!$A343="","",IF('ORDENES'!$M343="",0,'ORDENES'!$M343))</f>
        <v/>
      </c>
      <c r="M365" s="3">
        <f>IF('ORDENES'!$A343="","",IF('ORDENES'!$N343="","-",'ORDENES'!$N343))</f>
        <v/>
      </c>
      <c r="N365" s="3">
        <f>IF('ORDENES'!$A343="","",'ORDENES'!$AD343)</f>
        <v/>
      </c>
    </row>
    <row r="366">
      <c r="A366" s="3">
        <f>IF('ORDENES'!$A344="","",IF('ORDENES'!$O344="","-",'ORDENES'!$O344))</f>
        <v/>
      </c>
      <c r="B366" s="3">
        <f>IF('ORDENES'!$A344="","",IF('ORDENES'!$R344="","-",'ORDENES'!$R344))</f>
        <v/>
      </c>
      <c r="C366" s="3">
        <f>IF('ORDENES'!$A344="","",IF('ORDENES'!$AF344="","-",'ORDENES'!$AF344))</f>
        <v/>
      </c>
      <c r="D366" s="3">
        <f>IF('ORDENES'!$A344="","",IF('ORDENES'!$X344="","-",'ORDENES'!$X344))</f>
        <v/>
      </c>
      <c r="E366" s="3">
        <f>IF('ORDENES'!$A344="","",IF('ORDENES'!$V344="","-",'ORDENES'!$V344))</f>
        <v/>
      </c>
      <c r="F366" s="3">
        <f>IF('ORDENES'!$A344="","",IF('ORDENES'!$Y344="","-",'ORDENES'!$Y344))</f>
        <v/>
      </c>
      <c r="G366" s="3">
        <f>IF('ORDENES'!$A344="","",IF('ORDENES'!$W344="","-",'ORDENES'!$W344))</f>
        <v/>
      </c>
      <c r="H366" s="3">
        <f>IF('ORDENES'!$A344="","",IF('ORDENES'!$AE344="","-",'ORDENES'!$AE344))</f>
        <v/>
      </c>
      <c r="I366" s="3">
        <f>IF('ORDENES'!$A344="","",IF('ORDENES'!$AQ344="","-",'ORDENES'!$AQ344))</f>
        <v/>
      </c>
      <c r="J366" s="3">
        <f>IF('ORDENES'!$A344="","",IF('ORDENES'!$D344="","-",'ORDENES'!$D344))</f>
        <v/>
      </c>
      <c r="K366" s="3">
        <f>IF('ORDENES'!$A344="","",IF('ORDENES'!$E344="","-",'ORDENES'!$E344))</f>
        <v/>
      </c>
      <c r="L366" s="13">
        <f>IF('ORDENES'!$A344="","",IF('ORDENES'!$M344="",0,'ORDENES'!$M344))</f>
        <v/>
      </c>
      <c r="M366" s="3">
        <f>IF('ORDENES'!$A344="","",IF('ORDENES'!$N344="","-",'ORDENES'!$N344))</f>
        <v/>
      </c>
      <c r="N366" s="3">
        <f>IF('ORDENES'!$A344="","",'ORDENES'!$AD344)</f>
        <v/>
      </c>
    </row>
    <row r="367">
      <c r="A367" s="3">
        <f>IF('ORDENES'!$A345="","",IF('ORDENES'!$O345="","-",'ORDENES'!$O345))</f>
        <v/>
      </c>
      <c r="B367" s="3">
        <f>IF('ORDENES'!$A345="","",IF('ORDENES'!$R345="","-",'ORDENES'!$R345))</f>
        <v/>
      </c>
      <c r="C367" s="3">
        <f>IF('ORDENES'!$A345="","",IF('ORDENES'!$AF345="","-",'ORDENES'!$AF345))</f>
        <v/>
      </c>
      <c r="D367" s="3">
        <f>IF('ORDENES'!$A345="","",IF('ORDENES'!$X345="","-",'ORDENES'!$X345))</f>
        <v/>
      </c>
      <c r="E367" s="3">
        <f>IF('ORDENES'!$A345="","",IF('ORDENES'!$V345="","-",'ORDENES'!$V345))</f>
        <v/>
      </c>
      <c r="F367" s="3">
        <f>IF('ORDENES'!$A345="","",IF('ORDENES'!$Y345="","-",'ORDENES'!$Y345))</f>
        <v/>
      </c>
      <c r="G367" s="3">
        <f>IF('ORDENES'!$A345="","",IF('ORDENES'!$W345="","-",'ORDENES'!$W345))</f>
        <v/>
      </c>
      <c r="H367" s="3">
        <f>IF('ORDENES'!$A345="","",IF('ORDENES'!$AE345="","-",'ORDENES'!$AE345))</f>
        <v/>
      </c>
      <c r="I367" s="3">
        <f>IF('ORDENES'!$A345="","",IF('ORDENES'!$AQ345="","-",'ORDENES'!$AQ345))</f>
        <v/>
      </c>
      <c r="J367" s="3">
        <f>IF('ORDENES'!$A345="","",IF('ORDENES'!$D345="","-",'ORDENES'!$D345))</f>
        <v/>
      </c>
      <c r="K367" s="3">
        <f>IF('ORDENES'!$A345="","",IF('ORDENES'!$E345="","-",'ORDENES'!$E345))</f>
        <v/>
      </c>
      <c r="L367" s="13">
        <f>IF('ORDENES'!$A345="","",IF('ORDENES'!$M345="",0,'ORDENES'!$M345))</f>
        <v/>
      </c>
      <c r="M367" s="3">
        <f>IF('ORDENES'!$A345="","",IF('ORDENES'!$N345="","-",'ORDENES'!$N345))</f>
        <v/>
      </c>
      <c r="N367" s="3">
        <f>IF('ORDENES'!$A345="","",'ORDENES'!$AD345)</f>
        <v/>
      </c>
    </row>
    <row r="368">
      <c r="A368" s="3">
        <f>IF('ORDENES'!$A346="","",IF('ORDENES'!$O346="","-",'ORDENES'!$O346))</f>
        <v/>
      </c>
      <c r="B368" s="3">
        <f>IF('ORDENES'!$A346="","",IF('ORDENES'!$R346="","-",'ORDENES'!$R346))</f>
        <v/>
      </c>
      <c r="C368" s="3">
        <f>IF('ORDENES'!$A346="","",IF('ORDENES'!$AF346="","-",'ORDENES'!$AF346))</f>
        <v/>
      </c>
      <c r="D368" s="3">
        <f>IF('ORDENES'!$A346="","",IF('ORDENES'!$X346="","-",'ORDENES'!$X346))</f>
        <v/>
      </c>
      <c r="E368" s="3">
        <f>IF('ORDENES'!$A346="","",IF('ORDENES'!$V346="","-",'ORDENES'!$V346))</f>
        <v/>
      </c>
      <c r="F368" s="3">
        <f>IF('ORDENES'!$A346="","",IF('ORDENES'!$Y346="","-",'ORDENES'!$Y346))</f>
        <v/>
      </c>
      <c r="G368" s="3">
        <f>IF('ORDENES'!$A346="","",IF('ORDENES'!$W346="","-",'ORDENES'!$W346))</f>
        <v/>
      </c>
      <c r="H368" s="3">
        <f>IF('ORDENES'!$A346="","",IF('ORDENES'!$AE346="","-",'ORDENES'!$AE346))</f>
        <v/>
      </c>
      <c r="I368" s="3">
        <f>IF('ORDENES'!$A346="","",IF('ORDENES'!$AQ346="","-",'ORDENES'!$AQ346))</f>
        <v/>
      </c>
      <c r="J368" s="3">
        <f>IF('ORDENES'!$A346="","",IF('ORDENES'!$D346="","-",'ORDENES'!$D346))</f>
        <v/>
      </c>
      <c r="K368" s="3">
        <f>IF('ORDENES'!$A346="","",IF('ORDENES'!$E346="","-",'ORDENES'!$E346))</f>
        <v/>
      </c>
      <c r="L368" s="13">
        <f>IF('ORDENES'!$A346="","",IF('ORDENES'!$M346="",0,'ORDENES'!$M346))</f>
        <v/>
      </c>
      <c r="M368" s="3">
        <f>IF('ORDENES'!$A346="","",IF('ORDENES'!$N346="","-",'ORDENES'!$N346))</f>
        <v/>
      </c>
      <c r="N368" s="3">
        <f>IF('ORDENES'!$A346="","",'ORDENES'!$AD346)</f>
        <v/>
      </c>
    </row>
    <row r="369">
      <c r="A369" s="3">
        <f>IF('ORDENES'!$A347="","",IF('ORDENES'!$O347="","-",'ORDENES'!$O347))</f>
        <v/>
      </c>
      <c r="B369" s="3">
        <f>IF('ORDENES'!$A347="","",IF('ORDENES'!$R347="","-",'ORDENES'!$R347))</f>
        <v/>
      </c>
      <c r="C369" s="3">
        <f>IF('ORDENES'!$A347="","",IF('ORDENES'!$AF347="","-",'ORDENES'!$AF347))</f>
        <v/>
      </c>
      <c r="D369" s="3">
        <f>IF('ORDENES'!$A347="","",IF('ORDENES'!$X347="","-",'ORDENES'!$X347))</f>
        <v/>
      </c>
      <c r="E369" s="3">
        <f>IF('ORDENES'!$A347="","",IF('ORDENES'!$V347="","-",'ORDENES'!$V347))</f>
        <v/>
      </c>
      <c r="F369" s="3">
        <f>IF('ORDENES'!$A347="","",IF('ORDENES'!$Y347="","-",'ORDENES'!$Y347))</f>
        <v/>
      </c>
      <c r="G369" s="3">
        <f>IF('ORDENES'!$A347="","",IF('ORDENES'!$W347="","-",'ORDENES'!$W347))</f>
        <v/>
      </c>
      <c r="H369" s="3">
        <f>IF('ORDENES'!$A347="","",IF('ORDENES'!$AE347="","-",'ORDENES'!$AE347))</f>
        <v/>
      </c>
      <c r="I369" s="3">
        <f>IF('ORDENES'!$A347="","",IF('ORDENES'!$AQ347="","-",'ORDENES'!$AQ347))</f>
        <v/>
      </c>
      <c r="J369" s="3">
        <f>IF('ORDENES'!$A347="","",IF('ORDENES'!$D347="","-",'ORDENES'!$D347))</f>
        <v/>
      </c>
      <c r="K369" s="3">
        <f>IF('ORDENES'!$A347="","",IF('ORDENES'!$E347="","-",'ORDENES'!$E347))</f>
        <v/>
      </c>
      <c r="L369" s="13">
        <f>IF('ORDENES'!$A347="","",IF('ORDENES'!$M347="",0,'ORDENES'!$M347))</f>
        <v/>
      </c>
      <c r="M369" s="3">
        <f>IF('ORDENES'!$A347="","",IF('ORDENES'!$N347="","-",'ORDENES'!$N347))</f>
        <v/>
      </c>
      <c r="N369" s="3">
        <f>IF('ORDENES'!$A347="","",'ORDENES'!$AD347)</f>
        <v/>
      </c>
    </row>
    <row r="370">
      <c r="A370" s="3">
        <f>IF('ORDENES'!$A348="","",IF('ORDENES'!$O348="","-",'ORDENES'!$O348))</f>
        <v/>
      </c>
      <c r="B370" s="3">
        <f>IF('ORDENES'!$A348="","",IF('ORDENES'!$R348="","-",'ORDENES'!$R348))</f>
        <v/>
      </c>
      <c r="C370" s="3">
        <f>IF('ORDENES'!$A348="","",IF('ORDENES'!$AF348="","-",'ORDENES'!$AF348))</f>
        <v/>
      </c>
      <c r="D370" s="3">
        <f>IF('ORDENES'!$A348="","",IF('ORDENES'!$X348="","-",'ORDENES'!$X348))</f>
        <v/>
      </c>
      <c r="E370" s="3">
        <f>IF('ORDENES'!$A348="","",IF('ORDENES'!$V348="","-",'ORDENES'!$V348))</f>
        <v/>
      </c>
      <c r="F370" s="3">
        <f>IF('ORDENES'!$A348="","",IF('ORDENES'!$Y348="","-",'ORDENES'!$Y348))</f>
        <v/>
      </c>
      <c r="G370" s="3">
        <f>IF('ORDENES'!$A348="","",IF('ORDENES'!$W348="","-",'ORDENES'!$W348))</f>
        <v/>
      </c>
      <c r="H370" s="3">
        <f>IF('ORDENES'!$A348="","",IF('ORDENES'!$AE348="","-",'ORDENES'!$AE348))</f>
        <v/>
      </c>
      <c r="I370" s="3">
        <f>IF('ORDENES'!$A348="","",IF('ORDENES'!$AQ348="","-",'ORDENES'!$AQ348))</f>
        <v/>
      </c>
      <c r="J370" s="3">
        <f>IF('ORDENES'!$A348="","",IF('ORDENES'!$D348="","-",'ORDENES'!$D348))</f>
        <v/>
      </c>
      <c r="K370" s="3">
        <f>IF('ORDENES'!$A348="","",IF('ORDENES'!$E348="","-",'ORDENES'!$E348))</f>
        <v/>
      </c>
      <c r="L370" s="13">
        <f>IF('ORDENES'!$A348="","",IF('ORDENES'!$M348="",0,'ORDENES'!$M348))</f>
        <v/>
      </c>
      <c r="M370" s="3">
        <f>IF('ORDENES'!$A348="","",IF('ORDENES'!$N348="","-",'ORDENES'!$N348))</f>
        <v/>
      </c>
      <c r="N370" s="3">
        <f>IF('ORDENES'!$A348="","",'ORDENES'!$AD348)</f>
        <v/>
      </c>
    </row>
    <row r="371">
      <c r="A371" s="3">
        <f>IF('ORDENES'!$A349="","",IF('ORDENES'!$O349="","-",'ORDENES'!$O349))</f>
        <v/>
      </c>
      <c r="B371" s="3">
        <f>IF('ORDENES'!$A349="","",IF('ORDENES'!$R349="","-",'ORDENES'!$R349))</f>
        <v/>
      </c>
      <c r="C371" s="3">
        <f>IF('ORDENES'!$A349="","",IF('ORDENES'!$AF349="","-",'ORDENES'!$AF349))</f>
        <v/>
      </c>
      <c r="D371" s="3">
        <f>IF('ORDENES'!$A349="","",IF('ORDENES'!$X349="","-",'ORDENES'!$X349))</f>
        <v/>
      </c>
      <c r="E371" s="3">
        <f>IF('ORDENES'!$A349="","",IF('ORDENES'!$V349="","-",'ORDENES'!$V349))</f>
        <v/>
      </c>
      <c r="F371" s="3">
        <f>IF('ORDENES'!$A349="","",IF('ORDENES'!$Y349="","-",'ORDENES'!$Y349))</f>
        <v/>
      </c>
      <c r="G371" s="3">
        <f>IF('ORDENES'!$A349="","",IF('ORDENES'!$W349="","-",'ORDENES'!$W349))</f>
        <v/>
      </c>
      <c r="H371" s="3">
        <f>IF('ORDENES'!$A349="","",IF('ORDENES'!$AE349="","-",'ORDENES'!$AE349))</f>
        <v/>
      </c>
      <c r="I371" s="3">
        <f>IF('ORDENES'!$A349="","",IF('ORDENES'!$AQ349="","-",'ORDENES'!$AQ349))</f>
        <v/>
      </c>
      <c r="J371" s="3">
        <f>IF('ORDENES'!$A349="","",IF('ORDENES'!$D349="","-",'ORDENES'!$D349))</f>
        <v/>
      </c>
      <c r="K371" s="3">
        <f>IF('ORDENES'!$A349="","",IF('ORDENES'!$E349="","-",'ORDENES'!$E349))</f>
        <v/>
      </c>
      <c r="L371" s="13">
        <f>IF('ORDENES'!$A349="","",IF('ORDENES'!$M349="",0,'ORDENES'!$M349))</f>
        <v/>
      </c>
      <c r="M371" s="3">
        <f>IF('ORDENES'!$A349="","",IF('ORDENES'!$N349="","-",'ORDENES'!$N349))</f>
        <v/>
      </c>
      <c r="N371" s="3">
        <f>IF('ORDENES'!$A349="","",'ORDENES'!$AD349)</f>
        <v/>
      </c>
    </row>
    <row r="372">
      <c r="A372" s="3">
        <f>IF('ORDENES'!$A350="","",IF('ORDENES'!$O350="","-",'ORDENES'!$O350))</f>
        <v/>
      </c>
      <c r="B372" s="3">
        <f>IF('ORDENES'!$A350="","",IF('ORDENES'!$R350="","-",'ORDENES'!$R350))</f>
        <v/>
      </c>
      <c r="C372" s="3">
        <f>IF('ORDENES'!$A350="","",IF('ORDENES'!$AF350="","-",'ORDENES'!$AF350))</f>
        <v/>
      </c>
      <c r="D372" s="3">
        <f>IF('ORDENES'!$A350="","",IF('ORDENES'!$X350="","-",'ORDENES'!$X350))</f>
        <v/>
      </c>
      <c r="E372" s="3">
        <f>IF('ORDENES'!$A350="","",IF('ORDENES'!$V350="","-",'ORDENES'!$V350))</f>
        <v/>
      </c>
      <c r="F372" s="3">
        <f>IF('ORDENES'!$A350="","",IF('ORDENES'!$Y350="","-",'ORDENES'!$Y350))</f>
        <v/>
      </c>
      <c r="G372" s="3">
        <f>IF('ORDENES'!$A350="","",IF('ORDENES'!$W350="","-",'ORDENES'!$W350))</f>
        <v/>
      </c>
      <c r="H372" s="3">
        <f>IF('ORDENES'!$A350="","",IF('ORDENES'!$AE350="","-",'ORDENES'!$AE350))</f>
        <v/>
      </c>
      <c r="I372" s="3">
        <f>IF('ORDENES'!$A350="","",IF('ORDENES'!$AQ350="","-",'ORDENES'!$AQ350))</f>
        <v/>
      </c>
      <c r="J372" s="3">
        <f>IF('ORDENES'!$A350="","",IF('ORDENES'!$D350="","-",'ORDENES'!$D350))</f>
        <v/>
      </c>
      <c r="K372" s="3">
        <f>IF('ORDENES'!$A350="","",IF('ORDENES'!$E350="","-",'ORDENES'!$E350))</f>
        <v/>
      </c>
      <c r="L372" s="13">
        <f>IF('ORDENES'!$A350="","",IF('ORDENES'!$M350="",0,'ORDENES'!$M350))</f>
        <v/>
      </c>
      <c r="M372" s="3">
        <f>IF('ORDENES'!$A350="","",IF('ORDENES'!$N350="","-",'ORDENES'!$N350))</f>
        <v/>
      </c>
      <c r="N372" s="3">
        <f>IF('ORDENES'!$A350="","",'ORDENES'!$AD350)</f>
        <v/>
      </c>
    </row>
    <row r="373">
      <c r="A373" s="3">
        <f>IF('ORDENES'!$A351="","",IF('ORDENES'!$O351="","-",'ORDENES'!$O351))</f>
        <v/>
      </c>
      <c r="B373" s="3">
        <f>IF('ORDENES'!$A351="","",IF('ORDENES'!$R351="","-",'ORDENES'!$R351))</f>
        <v/>
      </c>
      <c r="C373" s="3">
        <f>IF('ORDENES'!$A351="","",IF('ORDENES'!$AF351="","-",'ORDENES'!$AF351))</f>
        <v/>
      </c>
      <c r="D373" s="3">
        <f>IF('ORDENES'!$A351="","",IF('ORDENES'!$X351="","-",'ORDENES'!$X351))</f>
        <v/>
      </c>
      <c r="E373" s="3">
        <f>IF('ORDENES'!$A351="","",IF('ORDENES'!$V351="","-",'ORDENES'!$V351))</f>
        <v/>
      </c>
      <c r="F373" s="3">
        <f>IF('ORDENES'!$A351="","",IF('ORDENES'!$Y351="","-",'ORDENES'!$Y351))</f>
        <v/>
      </c>
      <c r="G373" s="3">
        <f>IF('ORDENES'!$A351="","",IF('ORDENES'!$W351="","-",'ORDENES'!$W351))</f>
        <v/>
      </c>
      <c r="H373" s="3">
        <f>IF('ORDENES'!$A351="","",IF('ORDENES'!$AE351="","-",'ORDENES'!$AE351))</f>
        <v/>
      </c>
      <c r="I373" s="3">
        <f>IF('ORDENES'!$A351="","",IF('ORDENES'!$AQ351="","-",'ORDENES'!$AQ351))</f>
        <v/>
      </c>
      <c r="J373" s="3">
        <f>IF('ORDENES'!$A351="","",IF('ORDENES'!$D351="","-",'ORDENES'!$D351))</f>
        <v/>
      </c>
      <c r="K373" s="3">
        <f>IF('ORDENES'!$A351="","",IF('ORDENES'!$E351="","-",'ORDENES'!$E351))</f>
        <v/>
      </c>
      <c r="L373" s="13">
        <f>IF('ORDENES'!$A351="","",IF('ORDENES'!$M351="",0,'ORDENES'!$M351))</f>
        <v/>
      </c>
      <c r="M373" s="3">
        <f>IF('ORDENES'!$A351="","",IF('ORDENES'!$N351="","-",'ORDENES'!$N351))</f>
        <v/>
      </c>
      <c r="N373" s="3">
        <f>IF('ORDENES'!$A351="","",'ORDENES'!$AD351)</f>
        <v/>
      </c>
    </row>
    <row r="374">
      <c r="A374" s="3">
        <f>IF('ORDENES'!$A352="","",IF('ORDENES'!$O352="","-",'ORDENES'!$O352))</f>
        <v/>
      </c>
      <c r="B374" s="3">
        <f>IF('ORDENES'!$A352="","",IF('ORDENES'!$R352="","-",'ORDENES'!$R352))</f>
        <v/>
      </c>
      <c r="C374" s="3">
        <f>IF('ORDENES'!$A352="","",IF('ORDENES'!$AF352="","-",'ORDENES'!$AF352))</f>
        <v/>
      </c>
      <c r="D374" s="3">
        <f>IF('ORDENES'!$A352="","",IF('ORDENES'!$X352="","-",'ORDENES'!$X352))</f>
        <v/>
      </c>
      <c r="E374" s="3">
        <f>IF('ORDENES'!$A352="","",IF('ORDENES'!$V352="","-",'ORDENES'!$V352))</f>
        <v/>
      </c>
      <c r="F374" s="3">
        <f>IF('ORDENES'!$A352="","",IF('ORDENES'!$Y352="","-",'ORDENES'!$Y352))</f>
        <v/>
      </c>
      <c r="G374" s="3">
        <f>IF('ORDENES'!$A352="","",IF('ORDENES'!$W352="","-",'ORDENES'!$W352))</f>
        <v/>
      </c>
      <c r="H374" s="3">
        <f>IF('ORDENES'!$A352="","",IF('ORDENES'!$AE352="","-",'ORDENES'!$AE352))</f>
        <v/>
      </c>
      <c r="I374" s="3">
        <f>IF('ORDENES'!$A352="","",IF('ORDENES'!$AQ352="","-",'ORDENES'!$AQ352))</f>
        <v/>
      </c>
      <c r="J374" s="3">
        <f>IF('ORDENES'!$A352="","",IF('ORDENES'!$D352="","-",'ORDENES'!$D352))</f>
        <v/>
      </c>
      <c r="K374" s="3">
        <f>IF('ORDENES'!$A352="","",IF('ORDENES'!$E352="","-",'ORDENES'!$E352))</f>
        <v/>
      </c>
      <c r="L374" s="13">
        <f>IF('ORDENES'!$A352="","",IF('ORDENES'!$M352="",0,'ORDENES'!$M352))</f>
        <v/>
      </c>
      <c r="M374" s="3">
        <f>IF('ORDENES'!$A352="","",IF('ORDENES'!$N352="","-",'ORDENES'!$N352))</f>
        <v/>
      </c>
      <c r="N374" s="3">
        <f>IF('ORDENES'!$A352="","",'ORDENES'!$AD352)</f>
        <v/>
      </c>
    </row>
    <row r="375">
      <c r="A375" s="3">
        <f>IF('ORDENES'!$A353="","",IF('ORDENES'!$O353="","-",'ORDENES'!$O353))</f>
        <v/>
      </c>
      <c r="B375" s="3">
        <f>IF('ORDENES'!$A353="","",IF('ORDENES'!$R353="","-",'ORDENES'!$R353))</f>
        <v/>
      </c>
      <c r="C375" s="3">
        <f>IF('ORDENES'!$A353="","",IF('ORDENES'!$AF353="","-",'ORDENES'!$AF353))</f>
        <v/>
      </c>
      <c r="D375" s="3">
        <f>IF('ORDENES'!$A353="","",IF('ORDENES'!$X353="","-",'ORDENES'!$X353))</f>
        <v/>
      </c>
      <c r="E375" s="3">
        <f>IF('ORDENES'!$A353="","",IF('ORDENES'!$V353="","-",'ORDENES'!$V353))</f>
        <v/>
      </c>
      <c r="F375" s="3">
        <f>IF('ORDENES'!$A353="","",IF('ORDENES'!$Y353="","-",'ORDENES'!$Y353))</f>
        <v/>
      </c>
      <c r="G375" s="3">
        <f>IF('ORDENES'!$A353="","",IF('ORDENES'!$W353="","-",'ORDENES'!$W353))</f>
        <v/>
      </c>
      <c r="H375" s="3">
        <f>IF('ORDENES'!$A353="","",IF('ORDENES'!$AE353="","-",'ORDENES'!$AE353))</f>
        <v/>
      </c>
      <c r="I375" s="3">
        <f>IF('ORDENES'!$A353="","",IF('ORDENES'!$AQ353="","-",'ORDENES'!$AQ353))</f>
        <v/>
      </c>
      <c r="J375" s="3">
        <f>IF('ORDENES'!$A353="","",IF('ORDENES'!$D353="","-",'ORDENES'!$D353))</f>
        <v/>
      </c>
      <c r="K375" s="3">
        <f>IF('ORDENES'!$A353="","",IF('ORDENES'!$E353="","-",'ORDENES'!$E353))</f>
        <v/>
      </c>
      <c r="L375" s="13">
        <f>IF('ORDENES'!$A353="","",IF('ORDENES'!$M353="",0,'ORDENES'!$M353))</f>
        <v/>
      </c>
      <c r="M375" s="3">
        <f>IF('ORDENES'!$A353="","",IF('ORDENES'!$N353="","-",'ORDENES'!$N353))</f>
        <v/>
      </c>
      <c r="N375" s="3">
        <f>IF('ORDENES'!$A353="","",'ORDENES'!$AD353)</f>
        <v/>
      </c>
    </row>
    <row r="376">
      <c r="A376" s="3">
        <f>IF('ORDENES'!$A354="","",IF('ORDENES'!$O354="","-",'ORDENES'!$O354))</f>
        <v/>
      </c>
      <c r="B376" s="3">
        <f>IF('ORDENES'!$A354="","",IF('ORDENES'!$R354="","-",'ORDENES'!$R354))</f>
        <v/>
      </c>
      <c r="C376" s="3">
        <f>IF('ORDENES'!$A354="","",IF('ORDENES'!$AF354="","-",'ORDENES'!$AF354))</f>
        <v/>
      </c>
      <c r="D376" s="3">
        <f>IF('ORDENES'!$A354="","",IF('ORDENES'!$X354="","-",'ORDENES'!$X354))</f>
        <v/>
      </c>
      <c r="E376" s="3">
        <f>IF('ORDENES'!$A354="","",IF('ORDENES'!$V354="","-",'ORDENES'!$V354))</f>
        <v/>
      </c>
      <c r="F376" s="3">
        <f>IF('ORDENES'!$A354="","",IF('ORDENES'!$Y354="","-",'ORDENES'!$Y354))</f>
        <v/>
      </c>
      <c r="G376" s="3">
        <f>IF('ORDENES'!$A354="","",IF('ORDENES'!$W354="","-",'ORDENES'!$W354))</f>
        <v/>
      </c>
      <c r="H376" s="3">
        <f>IF('ORDENES'!$A354="","",IF('ORDENES'!$AE354="","-",'ORDENES'!$AE354))</f>
        <v/>
      </c>
      <c r="I376" s="3">
        <f>IF('ORDENES'!$A354="","",IF('ORDENES'!$AQ354="","-",'ORDENES'!$AQ354))</f>
        <v/>
      </c>
      <c r="J376" s="3">
        <f>IF('ORDENES'!$A354="","",IF('ORDENES'!$D354="","-",'ORDENES'!$D354))</f>
        <v/>
      </c>
      <c r="K376" s="3">
        <f>IF('ORDENES'!$A354="","",IF('ORDENES'!$E354="","-",'ORDENES'!$E354))</f>
        <v/>
      </c>
      <c r="L376" s="13">
        <f>IF('ORDENES'!$A354="","",IF('ORDENES'!$M354="",0,'ORDENES'!$M354))</f>
        <v/>
      </c>
      <c r="M376" s="3">
        <f>IF('ORDENES'!$A354="","",IF('ORDENES'!$N354="","-",'ORDENES'!$N354))</f>
        <v/>
      </c>
      <c r="N376" s="3">
        <f>IF('ORDENES'!$A354="","",'ORDENES'!$AD354)</f>
        <v/>
      </c>
    </row>
    <row r="377">
      <c r="A377" s="3">
        <f>IF('ORDENES'!$A355="","",IF('ORDENES'!$O355="","-",'ORDENES'!$O355))</f>
        <v/>
      </c>
      <c r="B377" s="3">
        <f>IF('ORDENES'!$A355="","",IF('ORDENES'!$R355="","-",'ORDENES'!$R355))</f>
        <v/>
      </c>
      <c r="C377" s="3">
        <f>IF('ORDENES'!$A355="","",IF('ORDENES'!$AF355="","-",'ORDENES'!$AF355))</f>
        <v/>
      </c>
      <c r="D377" s="3">
        <f>IF('ORDENES'!$A355="","",IF('ORDENES'!$X355="","-",'ORDENES'!$X355))</f>
        <v/>
      </c>
      <c r="E377" s="3">
        <f>IF('ORDENES'!$A355="","",IF('ORDENES'!$V355="","-",'ORDENES'!$V355))</f>
        <v/>
      </c>
      <c r="F377" s="3">
        <f>IF('ORDENES'!$A355="","",IF('ORDENES'!$Y355="","-",'ORDENES'!$Y355))</f>
        <v/>
      </c>
      <c r="G377" s="3">
        <f>IF('ORDENES'!$A355="","",IF('ORDENES'!$W355="","-",'ORDENES'!$W355))</f>
        <v/>
      </c>
      <c r="H377" s="3">
        <f>IF('ORDENES'!$A355="","",IF('ORDENES'!$AE355="","-",'ORDENES'!$AE355))</f>
        <v/>
      </c>
      <c r="I377" s="3">
        <f>IF('ORDENES'!$A355="","",IF('ORDENES'!$AQ355="","-",'ORDENES'!$AQ355))</f>
        <v/>
      </c>
      <c r="J377" s="3">
        <f>IF('ORDENES'!$A355="","",IF('ORDENES'!$D355="","-",'ORDENES'!$D355))</f>
        <v/>
      </c>
      <c r="K377" s="3">
        <f>IF('ORDENES'!$A355="","",IF('ORDENES'!$E355="","-",'ORDENES'!$E355))</f>
        <v/>
      </c>
      <c r="L377" s="13">
        <f>IF('ORDENES'!$A355="","",IF('ORDENES'!$M355="",0,'ORDENES'!$M355))</f>
        <v/>
      </c>
      <c r="M377" s="3">
        <f>IF('ORDENES'!$A355="","",IF('ORDENES'!$N355="","-",'ORDENES'!$N355))</f>
        <v/>
      </c>
      <c r="N377" s="3">
        <f>IF('ORDENES'!$A355="","",'ORDENES'!$AD355)</f>
        <v/>
      </c>
    </row>
    <row r="378">
      <c r="A378" s="3">
        <f>IF('ORDENES'!$A356="","",IF('ORDENES'!$O356="","-",'ORDENES'!$O356))</f>
        <v/>
      </c>
      <c r="B378" s="3">
        <f>IF('ORDENES'!$A356="","",IF('ORDENES'!$R356="","-",'ORDENES'!$R356))</f>
        <v/>
      </c>
      <c r="C378" s="3">
        <f>IF('ORDENES'!$A356="","",IF('ORDENES'!$AF356="","-",'ORDENES'!$AF356))</f>
        <v/>
      </c>
      <c r="D378" s="3">
        <f>IF('ORDENES'!$A356="","",IF('ORDENES'!$X356="","-",'ORDENES'!$X356))</f>
        <v/>
      </c>
      <c r="E378" s="3">
        <f>IF('ORDENES'!$A356="","",IF('ORDENES'!$V356="","-",'ORDENES'!$V356))</f>
        <v/>
      </c>
      <c r="F378" s="3">
        <f>IF('ORDENES'!$A356="","",IF('ORDENES'!$Y356="","-",'ORDENES'!$Y356))</f>
        <v/>
      </c>
      <c r="G378" s="3">
        <f>IF('ORDENES'!$A356="","",IF('ORDENES'!$W356="","-",'ORDENES'!$W356))</f>
        <v/>
      </c>
      <c r="H378" s="3">
        <f>IF('ORDENES'!$A356="","",IF('ORDENES'!$AE356="","-",'ORDENES'!$AE356))</f>
        <v/>
      </c>
      <c r="I378" s="3">
        <f>IF('ORDENES'!$A356="","",IF('ORDENES'!$AQ356="","-",'ORDENES'!$AQ356))</f>
        <v/>
      </c>
      <c r="J378" s="3">
        <f>IF('ORDENES'!$A356="","",IF('ORDENES'!$D356="","-",'ORDENES'!$D356))</f>
        <v/>
      </c>
      <c r="K378" s="3">
        <f>IF('ORDENES'!$A356="","",IF('ORDENES'!$E356="","-",'ORDENES'!$E356))</f>
        <v/>
      </c>
      <c r="L378" s="13">
        <f>IF('ORDENES'!$A356="","",IF('ORDENES'!$M356="",0,'ORDENES'!$M356))</f>
        <v/>
      </c>
      <c r="M378" s="3">
        <f>IF('ORDENES'!$A356="","",IF('ORDENES'!$N356="","-",'ORDENES'!$N356))</f>
        <v/>
      </c>
      <c r="N378" s="3">
        <f>IF('ORDENES'!$A356="","",'ORDENES'!$AD356)</f>
        <v/>
      </c>
    </row>
    <row r="379">
      <c r="A379" s="3">
        <f>IF('ORDENES'!$A357="","",IF('ORDENES'!$O357="","-",'ORDENES'!$O357))</f>
        <v/>
      </c>
      <c r="B379" s="3">
        <f>IF('ORDENES'!$A357="","",IF('ORDENES'!$R357="","-",'ORDENES'!$R357))</f>
        <v/>
      </c>
      <c r="C379" s="3">
        <f>IF('ORDENES'!$A357="","",IF('ORDENES'!$AF357="","-",'ORDENES'!$AF357))</f>
        <v/>
      </c>
      <c r="D379" s="3">
        <f>IF('ORDENES'!$A357="","",IF('ORDENES'!$X357="","-",'ORDENES'!$X357))</f>
        <v/>
      </c>
      <c r="E379" s="3">
        <f>IF('ORDENES'!$A357="","",IF('ORDENES'!$V357="","-",'ORDENES'!$V357))</f>
        <v/>
      </c>
      <c r="F379" s="3">
        <f>IF('ORDENES'!$A357="","",IF('ORDENES'!$Y357="","-",'ORDENES'!$Y357))</f>
        <v/>
      </c>
      <c r="G379" s="3">
        <f>IF('ORDENES'!$A357="","",IF('ORDENES'!$W357="","-",'ORDENES'!$W357))</f>
        <v/>
      </c>
      <c r="H379" s="3">
        <f>IF('ORDENES'!$A357="","",IF('ORDENES'!$AE357="","-",'ORDENES'!$AE357))</f>
        <v/>
      </c>
      <c r="I379" s="3">
        <f>IF('ORDENES'!$A357="","",IF('ORDENES'!$AQ357="","-",'ORDENES'!$AQ357))</f>
        <v/>
      </c>
      <c r="J379" s="3">
        <f>IF('ORDENES'!$A357="","",IF('ORDENES'!$D357="","-",'ORDENES'!$D357))</f>
        <v/>
      </c>
      <c r="K379" s="3">
        <f>IF('ORDENES'!$A357="","",IF('ORDENES'!$E357="","-",'ORDENES'!$E357))</f>
        <v/>
      </c>
      <c r="L379" s="13">
        <f>IF('ORDENES'!$A357="","",IF('ORDENES'!$M357="",0,'ORDENES'!$M357))</f>
        <v/>
      </c>
      <c r="M379" s="3">
        <f>IF('ORDENES'!$A357="","",IF('ORDENES'!$N357="","-",'ORDENES'!$N357))</f>
        <v/>
      </c>
      <c r="N379" s="3">
        <f>IF('ORDENES'!$A357="","",'ORDENES'!$AD357)</f>
        <v/>
      </c>
    </row>
    <row r="380">
      <c r="A380" s="3">
        <f>IF('ORDENES'!$A358="","",IF('ORDENES'!$O358="","-",'ORDENES'!$O358))</f>
        <v/>
      </c>
      <c r="B380" s="3">
        <f>IF('ORDENES'!$A358="","",IF('ORDENES'!$R358="","-",'ORDENES'!$R358))</f>
        <v/>
      </c>
      <c r="C380" s="3">
        <f>IF('ORDENES'!$A358="","",IF('ORDENES'!$AF358="","-",'ORDENES'!$AF358))</f>
        <v/>
      </c>
      <c r="D380" s="3">
        <f>IF('ORDENES'!$A358="","",IF('ORDENES'!$X358="","-",'ORDENES'!$X358))</f>
        <v/>
      </c>
      <c r="E380" s="3">
        <f>IF('ORDENES'!$A358="","",IF('ORDENES'!$V358="","-",'ORDENES'!$V358))</f>
        <v/>
      </c>
      <c r="F380" s="3">
        <f>IF('ORDENES'!$A358="","",IF('ORDENES'!$Y358="","-",'ORDENES'!$Y358))</f>
        <v/>
      </c>
      <c r="G380" s="3">
        <f>IF('ORDENES'!$A358="","",IF('ORDENES'!$W358="","-",'ORDENES'!$W358))</f>
        <v/>
      </c>
      <c r="H380" s="3">
        <f>IF('ORDENES'!$A358="","",IF('ORDENES'!$AE358="","-",'ORDENES'!$AE358))</f>
        <v/>
      </c>
      <c r="I380" s="3">
        <f>IF('ORDENES'!$A358="","",IF('ORDENES'!$AQ358="","-",'ORDENES'!$AQ358))</f>
        <v/>
      </c>
      <c r="J380" s="3">
        <f>IF('ORDENES'!$A358="","",IF('ORDENES'!$D358="","-",'ORDENES'!$D358))</f>
        <v/>
      </c>
      <c r="K380" s="3">
        <f>IF('ORDENES'!$A358="","",IF('ORDENES'!$E358="","-",'ORDENES'!$E358))</f>
        <v/>
      </c>
      <c r="L380" s="13">
        <f>IF('ORDENES'!$A358="","",IF('ORDENES'!$M358="",0,'ORDENES'!$M358))</f>
        <v/>
      </c>
      <c r="M380" s="3">
        <f>IF('ORDENES'!$A358="","",IF('ORDENES'!$N358="","-",'ORDENES'!$N358))</f>
        <v/>
      </c>
      <c r="N380" s="3">
        <f>IF('ORDENES'!$A358="","",'ORDENES'!$AD358)</f>
        <v/>
      </c>
    </row>
    <row r="381">
      <c r="A381" s="3">
        <f>IF('ORDENES'!$A359="","",IF('ORDENES'!$O359="","-",'ORDENES'!$O359))</f>
        <v/>
      </c>
      <c r="B381" s="3">
        <f>IF('ORDENES'!$A359="","",IF('ORDENES'!$R359="","-",'ORDENES'!$R359))</f>
        <v/>
      </c>
      <c r="C381" s="3">
        <f>IF('ORDENES'!$A359="","",IF('ORDENES'!$AF359="","-",'ORDENES'!$AF359))</f>
        <v/>
      </c>
      <c r="D381" s="3">
        <f>IF('ORDENES'!$A359="","",IF('ORDENES'!$X359="","-",'ORDENES'!$X359))</f>
        <v/>
      </c>
      <c r="E381" s="3">
        <f>IF('ORDENES'!$A359="","",IF('ORDENES'!$V359="","-",'ORDENES'!$V359))</f>
        <v/>
      </c>
      <c r="F381" s="3">
        <f>IF('ORDENES'!$A359="","",IF('ORDENES'!$Y359="","-",'ORDENES'!$Y359))</f>
        <v/>
      </c>
      <c r="G381" s="3">
        <f>IF('ORDENES'!$A359="","",IF('ORDENES'!$W359="","-",'ORDENES'!$W359))</f>
        <v/>
      </c>
      <c r="H381" s="3">
        <f>IF('ORDENES'!$A359="","",IF('ORDENES'!$AE359="","-",'ORDENES'!$AE359))</f>
        <v/>
      </c>
      <c r="I381" s="3">
        <f>IF('ORDENES'!$A359="","",IF('ORDENES'!$AQ359="","-",'ORDENES'!$AQ359))</f>
        <v/>
      </c>
      <c r="J381" s="3">
        <f>IF('ORDENES'!$A359="","",IF('ORDENES'!$D359="","-",'ORDENES'!$D359))</f>
        <v/>
      </c>
      <c r="K381" s="3">
        <f>IF('ORDENES'!$A359="","",IF('ORDENES'!$E359="","-",'ORDENES'!$E359))</f>
        <v/>
      </c>
      <c r="L381" s="13">
        <f>IF('ORDENES'!$A359="","",IF('ORDENES'!$M359="",0,'ORDENES'!$M359))</f>
        <v/>
      </c>
      <c r="M381" s="3">
        <f>IF('ORDENES'!$A359="","",IF('ORDENES'!$N359="","-",'ORDENES'!$N359))</f>
        <v/>
      </c>
      <c r="N381" s="3">
        <f>IF('ORDENES'!$A359="","",'ORDENES'!$AD359)</f>
        <v/>
      </c>
    </row>
    <row r="382">
      <c r="A382" s="3">
        <f>IF('ORDENES'!$A360="","",IF('ORDENES'!$O360="","-",'ORDENES'!$O360))</f>
        <v/>
      </c>
      <c r="B382" s="3">
        <f>IF('ORDENES'!$A360="","",IF('ORDENES'!$R360="","-",'ORDENES'!$R360))</f>
        <v/>
      </c>
      <c r="C382" s="3">
        <f>IF('ORDENES'!$A360="","",IF('ORDENES'!$AF360="","-",'ORDENES'!$AF360))</f>
        <v/>
      </c>
      <c r="D382" s="3">
        <f>IF('ORDENES'!$A360="","",IF('ORDENES'!$X360="","-",'ORDENES'!$X360))</f>
        <v/>
      </c>
      <c r="E382" s="3">
        <f>IF('ORDENES'!$A360="","",IF('ORDENES'!$V360="","-",'ORDENES'!$V360))</f>
        <v/>
      </c>
      <c r="F382" s="3">
        <f>IF('ORDENES'!$A360="","",IF('ORDENES'!$Y360="","-",'ORDENES'!$Y360))</f>
        <v/>
      </c>
      <c r="G382" s="3">
        <f>IF('ORDENES'!$A360="","",IF('ORDENES'!$W360="","-",'ORDENES'!$W360))</f>
        <v/>
      </c>
      <c r="H382" s="3">
        <f>IF('ORDENES'!$A360="","",IF('ORDENES'!$AE360="","-",'ORDENES'!$AE360))</f>
        <v/>
      </c>
      <c r="I382" s="3">
        <f>IF('ORDENES'!$A360="","",IF('ORDENES'!$AQ360="","-",'ORDENES'!$AQ360))</f>
        <v/>
      </c>
      <c r="J382" s="3">
        <f>IF('ORDENES'!$A360="","",IF('ORDENES'!$D360="","-",'ORDENES'!$D360))</f>
        <v/>
      </c>
      <c r="K382" s="3">
        <f>IF('ORDENES'!$A360="","",IF('ORDENES'!$E360="","-",'ORDENES'!$E360))</f>
        <v/>
      </c>
      <c r="L382" s="13">
        <f>IF('ORDENES'!$A360="","",IF('ORDENES'!$M360="",0,'ORDENES'!$M360))</f>
        <v/>
      </c>
      <c r="M382" s="3">
        <f>IF('ORDENES'!$A360="","",IF('ORDENES'!$N360="","-",'ORDENES'!$N360))</f>
        <v/>
      </c>
      <c r="N382" s="3">
        <f>IF('ORDENES'!$A360="","",'ORDENES'!$AD360)</f>
        <v/>
      </c>
    </row>
    <row r="383">
      <c r="A383" s="3">
        <f>IF('ORDENES'!$A361="","",IF('ORDENES'!$O361="","-",'ORDENES'!$O361))</f>
        <v/>
      </c>
      <c r="B383" s="3">
        <f>IF('ORDENES'!$A361="","",IF('ORDENES'!$R361="","-",'ORDENES'!$R361))</f>
        <v/>
      </c>
      <c r="C383" s="3">
        <f>IF('ORDENES'!$A361="","",IF('ORDENES'!$AF361="","-",'ORDENES'!$AF361))</f>
        <v/>
      </c>
      <c r="D383" s="3">
        <f>IF('ORDENES'!$A361="","",IF('ORDENES'!$X361="","-",'ORDENES'!$X361))</f>
        <v/>
      </c>
      <c r="E383" s="3">
        <f>IF('ORDENES'!$A361="","",IF('ORDENES'!$V361="","-",'ORDENES'!$V361))</f>
        <v/>
      </c>
      <c r="F383" s="3">
        <f>IF('ORDENES'!$A361="","",IF('ORDENES'!$Y361="","-",'ORDENES'!$Y361))</f>
        <v/>
      </c>
      <c r="G383" s="3">
        <f>IF('ORDENES'!$A361="","",IF('ORDENES'!$W361="","-",'ORDENES'!$W361))</f>
        <v/>
      </c>
      <c r="H383" s="3">
        <f>IF('ORDENES'!$A361="","",IF('ORDENES'!$AE361="","-",'ORDENES'!$AE361))</f>
        <v/>
      </c>
      <c r="I383" s="3">
        <f>IF('ORDENES'!$A361="","",IF('ORDENES'!$AQ361="","-",'ORDENES'!$AQ361))</f>
        <v/>
      </c>
      <c r="J383" s="3">
        <f>IF('ORDENES'!$A361="","",IF('ORDENES'!$D361="","-",'ORDENES'!$D361))</f>
        <v/>
      </c>
      <c r="K383" s="3">
        <f>IF('ORDENES'!$A361="","",IF('ORDENES'!$E361="","-",'ORDENES'!$E361))</f>
        <v/>
      </c>
      <c r="L383" s="13">
        <f>IF('ORDENES'!$A361="","",IF('ORDENES'!$M361="",0,'ORDENES'!$M361))</f>
        <v/>
      </c>
      <c r="M383" s="3">
        <f>IF('ORDENES'!$A361="","",IF('ORDENES'!$N361="","-",'ORDENES'!$N361))</f>
        <v/>
      </c>
      <c r="N383" s="3">
        <f>IF('ORDENES'!$A361="","",'ORDENES'!$AD361)</f>
        <v/>
      </c>
    </row>
    <row r="384">
      <c r="A384" s="3">
        <f>IF('ORDENES'!$A362="","",IF('ORDENES'!$O362="","-",'ORDENES'!$O362))</f>
        <v/>
      </c>
      <c r="B384" s="3">
        <f>IF('ORDENES'!$A362="","",IF('ORDENES'!$R362="","-",'ORDENES'!$R362))</f>
        <v/>
      </c>
      <c r="C384" s="3">
        <f>IF('ORDENES'!$A362="","",IF('ORDENES'!$AF362="","-",'ORDENES'!$AF362))</f>
        <v/>
      </c>
      <c r="D384" s="3">
        <f>IF('ORDENES'!$A362="","",IF('ORDENES'!$X362="","-",'ORDENES'!$X362))</f>
        <v/>
      </c>
      <c r="E384" s="3">
        <f>IF('ORDENES'!$A362="","",IF('ORDENES'!$V362="","-",'ORDENES'!$V362))</f>
        <v/>
      </c>
      <c r="F384" s="3">
        <f>IF('ORDENES'!$A362="","",IF('ORDENES'!$Y362="","-",'ORDENES'!$Y362))</f>
        <v/>
      </c>
      <c r="G384" s="3">
        <f>IF('ORDENES'!$A362="","",IF('ORDENES'!$W362="","-",'ORDENES'!$W362))</f>
        <v/>
      </c>
      <c r="H384" s="3">
        <f>IF('ORDENES'!$A362="","",IF('ORDENES'!$AE362="","-",'ORDENES'!$AE362))</f>
        <v/>
      </c>
      <c r="I384" s="3">
        <f>IF('ORDENES'!$A362="","",IF('ORDENES'!$AQ362="","-",'ORDENES'!$AQ362))</f>
        <v/>
      </c>
      <c r="J384" s="3">
        <f>IF('ORDENES'!$A362="","",IF('ORDENES'!$D362="","-",'ORDENES'!$D362))</f>
        <v/>
      </c>
      <c r="K384" s="3">
        <f>IF('ORDENES'!$A362="","",IF('ORDENES'!$E362="","-",'ORDENES'!$E362))</f>
        <v/>
      </c>
      <c r="L384" s="13">
        <f>IF('ORDENES'!$A362="","",IF('ORDENES'!$M362="",0,'ORDENES'!$M362))</f>
        <v/>
      </c>
      <c r="M384" s="3">
        <f>IF('ORDENES'!$A362="","",IF('ORDENES'!$N362="","-",'ORDENES'!$N362))</f>
        <v/>
      </c>
      <c r="N384" s="3">
        <f>IF('ORDENES'!$A362="","",'ORDENES'!$AD362)</f>
        <v/>
      </c>
    </row>
    <row r="385">
      <c r="A385" s="3">
        <f>IF('ORDENES'!$A363="","",IF('ORDENES'!$O363="","-",'ORDENES'!$O363))</f>
        <v/>
      </c>
      <c r="B385" s="3">
        <f>IF('ORDENES'!$A363="","",IF('ORDENES'!$R363="","-",'ORDENES'!$R363))</f>
        <v/>
      </c>
      <c r="C385" s="3">
        <f>IF('ORDENES'!$A363="","",IF('ORDENES'!$AF363="","-",'ORDENES'!$AF363))</f>
        <v/>
      </c>
      <c r="D385" s="3">
        <f>IF('ORDENES'!$A363="","",IF('ORDENES'!$X363="","-",'ORDENES'!$X363))</f>
        <v/>
      </c>
      <c r="E385" s="3">
        <f>IF('ORDENES'!$A363="","",IF('ORDENES'!$V363="","-",'ORDENES'!$V363))</f>
        <v/>
      </c>
      <c r="F385" s="3">
        <f>IF('ORDENES'!$A363="","",IF('ORDENES'!$Y363="","-",'ORDENES'!$Y363))</f>
        <v/>
      </c>
      <c r="G385" s="3">
        <f>IF('ORDENES'!$A363="","",IF('ORDENES'!$W363="","-",'ORDENES'!$W363))</f>
        <v/>
      </c>
      <c r="H385" s="3">
        <f>IF('ORDENES'!$A363="","",IF('ORDENES'!$AE363="","-",'ORDENES'!$AE363))</f>
        <v/>
      </c>
      <c r="I385" s="3">
        <f>IF('ORDENES'!$A363="","",IF('ORDENES'!$AQ363="","-",'ORDENES'!$AQ363))</f>
        <v/>
      </c>
      <c r="J385" s="3">
        <f>IF('ORDENES'!$A363="","",IF('ORDENES'!$D363="","-",'ORDENES'!$D363))</f>
        <v/>
      </c>
      <c r="K385" s="3">
        <f>IF('ORDENES'!$A363="","",IF('ORDENES'!$E363="","-",'ORDENES'!$E363))</f>
        <v/>
      </c>
      <c r="L385" s="13">
        <f>IF('ORDENES'!$A363="","",IF('ORDENES'!$M363="",0,'ORDENES'!$M363))</f>
        <v/>
      </c>
      <c r="M385" s="3">
        <f>IF('ORDENES'!$A363="","",IF('ORDENES'!$N363="","-",'ORDENES'!$N363))</f>
        <v/>
      </c>
      <c r="N385" s="3">
        <f>IF('ORDENES'!$A363="","",'ORDENES'!$AD363)</f>
        <v/>
      </c>
    </row>
    <row r="386">
      <c r="A386" s="3">
        <f>IF('ORDENES'!$A364="","",IF('ORDENES'!$O364="","-",'ORDENES'!$O364))</f>
        <v/>
      </c>
      <c r="B386" s="3">
        <f>IF('ORDENES'!$A364="","",IF('ORDENES'!$R364="","-",'ORDENES'!$R364))</f>
        <v/>
      </c>
      <c r="C386" s="3">
        <f>IF('ORDENES'!$A364="","",IF('ORDENES'!$AF364="","-",'ORDENES'!$AF364))</f>
        <v/>
      </c>
      <c r="D386" s="3">
        <f>IF('ORDENES'!$A364="","",IF('ORDENES'!$X364="","-",'ORDENES'!$X364))</f>
        <v/>
      </c>
      <c r="E386" s="3">
        <f>IF('ORDENES'!$A364="","",IF('ORDENES'!$V364="","-",'ORDENES'!$V364))</f>
        <v/>
      </c>
      <c r="F386" s="3">
        <f>IF('ORDENES'!$A364="","",IF('ORDENES'!$Y364="","-",'ORDENES'!$Y364))</f>
        <v/>
      </c>
      <c r="G386" s="3">
        <f>IF('ORDENES'!$A364="","",IF('ORDENES'!$W364="","-",'ORDENES'!$W364))</f>
        <v/>
      </c>
      <c r="H386" s="3">
        <f>IF('ORDENES'!$A364="","",IF('ORDENES'!$AE364="","-",'ORDENES'!$AE364))</f>
        <v/>
      </c>
      <c r="I386" s="3">
        <f>IF('ORDENES'!$A364="","",IF('ORDENES'!$AQ364="","-",'ORDENES'!$AQ364))</f>
        <v/>
      </c>
      <c r="J386" s="3">
        <f>IF('ORDENES'!$A364="","",IF('ORDENES'!$D364="","-",'ORDENES'!$D364))</f>
        <v/>
      </c>
      <c r="K386" s="3">
        <f>IF('ORDENES'!$A364="","",IF('ORDENES'!$E364="","-",'ORDENES'!$E364))</f>
        <v/>
      </c>
      <c r="L386" s="13">
        <f>IF('ORDENES'!$A364="","",IF('ORDENES'!$M364="",0,'ORDENES'!$M364))</f>
        <v/>
      </c>
      <c r="M386" s="3">
        <f>IF('ORDENES'!$A364="","",IF('ORDENES'!$N364="","-",'ORDENES'!$N364))</f>
        <v/>
      </c>
      <c r="N386" s="3">
        <f>IF('ORDENES'!$A364="","",'ORDENES'!$AD364)</f>
        <v/>
      </c>
    </row>
    <row r="387">
      <c r="A387" s="3">
        <f>IF('ORDENES'!$A365="","",IF('ORDENES'!$O365="","-",'ORDENES'!$O365))</f>
        <v/>
      </c>
      <c r="B387" s="3">
        <f>IF('ORDENES'!$A365="","",IF('ORDENES'!$R365="","-",'ORDENES'!$R365))</f>
        <v/>
      </c>
      <c r="C387" s="3">
        <f>IF('ORDENES'!$A365="","",IF('ORDENES'!$AF365="","-",'ORDENES'!$AF365))</f>
        <v/>
      </c>
      <c r="D387" s="3">
        <f>IF('ORDENES'!$A365="","",IF('ORDENES'!$X365="","-",'ORDENES'!$X365))</f>
        <v/>
      </c>
      <c r="E387" s="3">
        <f>IF('ORDENES'!$A365="","",IF('ORDENES'!$V365="","-",'ORDENES'!$V365))</f>
        <v/>
      </c>
      <c r="F387" s="3">
        <f>IF('ORDENES'!$A365="","",IF('ORDENES'!$Y365="","-",'ORDENES'!$Y365))</f>
        <v/>
      </c>
      <c r="G387" s="3">
        <f>IF('ORDENES'!$A365="","",IF('ORDENES'!$W365="","-",'ORDENES'!$W365))</f>
        <v/>
      </c>
      <c r="H387" s="3">
        <f>IF('ORDENES'!$A365="","",IF('ORDENES'!$AE365="","-",'ORDENES'!$AE365))</f>
        <v/>
      </c>
      <c r="I387" s="3">
        <f>IF('ORDENES'!$A365="","",IF('ORDENES'!$AQ365="","-",'ORDENES'!$AQ365))</f>
        <v/>
      </c>
      <c r="J387" s="3">
        <f>IF('ORDENES'!$A365="","",IF('ORDENES'!$D365="","-",'ORDENES'!$D365))</f>
        <v/>
      </c>
      <c r="K387" s="3">
        <f>IF('ORDENES'!$A365="","",IF('ORDENES'!$E365="","-",'ORDENES'!$E365))</f>
        <v/>
      </c>
      <c r="L387" s="13">
        <f>IF('ORDENES'!$A365="","",IF('ORDENES'!$M365="",0,'ORDENES'!$M365))</f>
        <v/>
      </c>
      <c r="M387" s="3">
        <f>IF('ORDENES'!$A365="","",IF('ORDENES'!$N365="","-",'ORDENES'!$N365))</f>
        <v/>
      </c>
      <c r="N387" s="3">
        <f>IF('ORDENES'!$A365="","",'ORDENES'!$AD365)</f>
        <v/>
      </c>
    </row>
    <row r="388">
      <c r="A388" s="3">
        <f>IF('ORDENES'!$A366="","",IF('ORDENES'!$O366="","-",'ORDENES'!$O366))</f>
        <v/>
      </c>
      <c r="B388" s="3">
        <f>IF('ORDENES'!$A366="","",IF('ORDENES'!$R366="","-",'ORDENES'!$R366))</f>
        <v/>
      </c>
      <c r="C388" s="3">
        <f>IF('ORDENES'!$A366="","",IF('ORDENES'!$AF366="","-",'ORDENES'!$AF366))</f>
        <v/>
      </c>
      <c r="D388" s="3">
        <f>IF('ORDENES'!$A366="","",IF('ORDENES'!$X366="","-",'ORDENES'!$X366))</f>
        <v/>
      </c>
      <c r="E388" s="3">
        <f>IF('ORDENES'!$A366="","",IF('ORDENES'!$V366="","-",'ORDENES'!$V366))</f>
        <v/>
      </c>
      <c r="F388" s="3">
        <f>IF('ORDENES'!$A366="","",IF('ORDENES'!$Y366="","-",'ORDENES'!$Y366))</f>
        <v/>
      </c>
      <c r="G388" s="3">
        <f>IF('ORDENES'!$A366="","",IF('ORDENES'!$W366="","-",'ORDENES'!$W366))</f>
        <v/>
      </c>
      <c r="H388" s="3">
        <f>IF('ORDENES'!$A366="","",IF('ORDENES'!$AE366="","-",'ORDENES'!$AE366))</f>
        <v/>
      </c>
      <c r="I388" s="3">
        <f>IF('ORDENES'!$A366="","",IF('ORDENES'!$AQ366="","-",'ORDENES'!$AQ366))</f>
        <v/>
      </c>
      <c r="J388" s="3">
        <f>IF('ORDENES'!$A366="","",IF('ORDENES'!$D366="","-",'ORDENES'!$D366))</f>
        <v/>
      </c>
      <c r="K388" s="3">
        <f>IF('ORDENES'!$A366="","",IF('ORDENES'!$E366="","-",'ORDENES'!$E366))</f>
        <v/>
      </c>
      <c r="L388" s="13">
        <f>IF('ORDENES'!$A366="","",IF('ORDENES'!$M366="",0,'ORDENES'!$M366))</f>
        <v/>
      </c>
      <c r="M388" s="3">
        <f>IF('ORDENES'!$A366="","",IF('ORDENES'!$N366="","-",'ORDENES'!$N366))</f>
        <v/>
      </c>
      <c r="N388" s="3">
        <f>IF('ORDENES'!$A366="","",'ORDENES'!$AD366)</f>
        <v/>
      </c>
    </row>
    <row r="389">
      <c r="A389" s="3">
        <f>IF('ORDENES'!$A367="","",IF('ORDENES'!$O367="","-",'ORDENES'!$O367))</f>
        <v/>
      </c>
      <c r="B389" s="3">
        <f>IF('ORDENES'!$A367="","",IF('ORDENES'!$R367="","-",'ORDENES'!$R367))</f>
        <v/>
      </c>
      <c r="C389" s="3">
        <f>IF('ORDENES'!$A367="","",IF('ORDENES'!$AF367="","-",'ORDENES'!$AF367))</f>
        <v/>
      </c>
      <c r="D389" s="3">
        <f>IF('ORDENES'!$A367="","",IF('ORDENES'!$X367="","-",'ORDENES'!$X367))</f>
        <v/>
      </c>
      <c r="E389" s="3">
        <f>IF('ORDENES'!$A367="","",IF('ORDENES'!$V367="","-",'ORDENES'!$V367))</f>
        <v/>
      </c>
      <c r="F389" s="3">
        <f>IF('ORDENES'!$A367="","",IF('ORDENES'!$Y367="","-",'ORDENES'!$Y367))</f>
        <v/>
      </c>
      <c r="G389" s="3">
        <f>IF('ORDENES'!$A367="","",IF('ORDENES'!$W367="","-",'ORDENES'!$W367))</f>
        <v/>
      </c>
      <c r="H389" s="3">
        <f>IF('ORDENES'!$A367="","",IF('ORDENES'!$AE367="","-",'ORDENES'!$AE367))</f>
        <v/>
      </c>
      <c r="I389" s="3">
        <f>IF('ORDENES'!$A367="","",IF('ORDENES'!$AQ367="","-",'ORDENES'!$AQ367))</f>
        <v/>
      </c>
      <c r="J389" s="3">
        <f>IF('ORDENES'!$A367="","",IF('ORDENES'!$D367="","-",'ORDENES'!$D367))</f>
        <v/>
      </c>
      <c r="K389" s="3">
        <f>IF('ORDENES'!$A367="","",IF('ORDENES'!$E367="","-",'ORDENES'!$E367))</f>
        <v/>
      </c>
      <c r="L389" s="13">
        <f>IF('ORDENES'!$A367="","",IF('ORDENES'!$M367="",0,'ORDENES'!$M367))</f>
        <v/>
      </c>
      <c r="M389" s="3">
        <f>IF('ORDENES'!$A367="","",IF('ORDENES'!$N367="","-",'ORDENES'!$N367))</f>
        <v/>
      </c>
      <c r="N389" s="3">
        <f>IF('ORDENES'!$A367="","",'ORDENES'!$AD367)</f>
        <v/>
      </c>
    </row>
    <row r="390">
      <c r="A390" s="3">
        <f>IF('ORDENES'!$A368="","",IF('ORDENES'!$O368="","-",'ORDENES'!$O368))</f>
        <v/>
      </c>
      <c r="B390" s="3">
        <f>IF('ORDENES'!$A368="","",IF('ORDENES'!$R368="","-",'ORDENES'!$R368))</f>
        <v/>
      </c>
      <c r="C390" s="3">
        <f>IF('ORDENES'!$A368="","",IF('ORDENES'!$AF368="","-",'ORDENES'!$AF368))</f>
        <v/>
      </c>
      <c r="D390" s="3">
        <f>IF('ORDENES'!$A368="","",IF('ORDENES'!$X368="","-",'ORDENES'!$X368))</f>
        <v/>
      </c>
      <c r="E390" s="3">
        <f>IF('ORDENES'!$A368="","",IF('ORDENES'!$V368="","-",'ORDENES'!$V368))</f>
        <v/>
      </c>
      <c r="F390" s="3">
        <f>IF('ORDENES'!$A368="","",IF('ORDENES'!$Y368="","-",'ORDENES'!$Y368))</f>
        <v/>
      </c>
      <c r="G390" s="3">
        <f>IF('ORDENES'!$A368="","",IF('ORDENES'!$W368="","-",'ORDENES'!$W368))</f>
        <v/>
      </c>
      <c r="H390" s="3">
        <f>IF('ORDENES'!$A368="","",IF('ORDENES'!$AE368="","-",'ORDENES'!$AE368))</f>
        <v/>
      </c>
      <c r="I390" s="3">
        <f>IF('ORDENES'!$A368="","",IF('ORDENES'!$AQ368="","-",'ORDENES'!$AQ368))</f>
        <v/>
      </c>
      <c r="J390" s="3">
        <f>IF('ORDENES'!$A368="","",IF('ORDENES'!$D368="","-",'ORDENES'!$D368))</f>
        <v/>
      </c>
      <c r="K390" s="3">
        <f>IF('ORDENES'!$A368="","",IF('ORDENES'!$E368="","-",'ORDENES'!$E368))</f>
        <v/>
      </c>
      <c r="L390" s="13">
        <f>IF('ORDENES'!$A368="","",IF('ORDENES'!$M368="",0,'ORDENES'!$M368))</f>
        <v/>
      </c>
      <c r="M390" s="3">
        <f>IF('ORDENES'!$A368="","",IF('ORDENES'!$N368="","-",'ORDENES'!$N368))</f>
        <v/>
      </c>
      <c r="N390" s="3">
        <f>IF('ORDENES'!$A368="","",'ORDENES'!$AD368)</f>
        <v/>
      </c>
    </row>
    <row r="391">
      <c r="A391" s="3">
        <f>IF('ORDENES'!$A369="","",IF('ORDENES'!$O369="","-",'ORDENES'!$O369))</f>
        <v/>
      </c>
      <c r="B391" s="3">
        <f>IF('ORDENES'!$A369="","",IF('ORDENES'!$R369="","-",'ORDENES'!$R369))</f>
        <v/>
      </c>
      <c r="C391" s="3">
        <f>IF('ORDENES'!$A369="","",IF('ORDENES'!$AF369="","-",'ORDENES'!$AF369))</f>
        <v/>
      </c>
      <c r="D391" s="3">
        <f>IF('ORDENES'!$A369="","",IF('ORDENES'!$X369="","-",'ORDENES'!$X369))</f>
        <v/>
      </c>
      <c r="E391" s="3">
        <f>IF('ORDENES'!$A369="","",IF('ORDENES'!$V369="","-",'ORDENES'!$V369))</f>
        <v/>
      </c>
      <c r="F391" s="3">
        <f>IF('ORDENES'!$A369="","",IF('ORDENES'!$Y369="","-",'ORDENES'!$Y369))</f>
        <v/>
      </c>
      <c r="G391" s="3">
        <f>IF('ORDENES'!$A369="","",IF('ORDENES'!$W369="","-",'ORDENES'!$W369))</f>
        <v/>
      </c>
      <c r="H391" s="3">
        <f>IF('ORDENES'!$A369="","",IF('ORDENES'!$AE369="","-",'ORDENES'!$AE369))</f>
        <v/>
      </c>
      <c r="I391" s="3">
        <f>IF('ORDENES'!$A369="","",IF('ORDENES'!$AQ369="","-",'ORDENES'!$AQ369))</f>
        <v/>
      </c>
      <c r="J391" s="3">
        <f>IF('ORDENES'!$A369="","",IF('ORDENES'!$D369="","-",'ORDENES'!$D369))</f>
        <v/>
      </c>
      <c r="K391" s="3">
        <f>IF('ORDENES'!$A369="","",IF('ORDENES'!$E369="","-",'ORDENES'!$E369))</f>
        <v/>
      </c>
      <c r="L391" s="13">
        <f>IF('ORDENES'!$A369="","",IF('ORDENES'!$M369="",0,'ORDENES'!$M369))</f>
        <v/>
      </c>
      <c r="M391" s="3">
        <f>IF('ORDENES'!$A369="","",IF('ORDENES'!$N369="","-",'ORDENES'!$N369))</f>
        <v/>
      </c>
      <c r="N391" s="3">
        <f>IF('ORDENES'!$A369="","",'ORDENES'!$AD369)</f>
        <v/>
      </c>
    </row>
    <row r="392">
      <c r="A392" s="3">
        <f>IF('ORDENES'!$A370="","",IF('ORDENES'!$O370="","-",'ORDENES'!$O370))</f>
        <v/>
      </c>
      <c r="B392" s="3">
        <f>IF('ORDENES'!$A370="","",IF('ORDENES'!$R370="","-",'ORDENES'!$R370))</f>
        <v/>
      </c>
      <c r="C392" s="3">
        <f>IF('ORDENES'!$A370="","",IF('ORDENES'!$AF370="","-",'ORDENES'!$AF370))</f>
        <v/>
      </c>
      <c r="D392" s="3">
        <f>IF('ORDENES'!$A370="","",IF('ORDENES'!$X370="","-",'ORDENES'!$X370))</f>
        <v/>
      </c>
      <c r="E392" s="3">
        <f>IF('ORDENES'!$A370="","",IF('ORDENES'!$V370="","-",'ORDENES'!$V370))</f>
        <v/>
      </c>
      <c r="F392" s="3">
        <f>IF('ORDENES'!$A370="","",IF('ORDENES'!$Y370="","-",'ORDENES'!$Y370))</f>
        <v/>
      </c>
      <c r="G392" s="3">
        <f>IF('ORDENES'!$A370="","",IF('ORDENES'!$W370="","-",'ORDENES'!$W370))</f>
        <v/>
      </c>
      <c r="H392" s="3">
        <f>IF('ORDENES'!$A370="","",IF('ORDENES'!$AE370="","-",'ORDENES'!$AE370))</f>
        <v/>
      </c>
      <c r="I392" s="3">
        <f>IF('ORDENES'!$A370="","",IF('ORDENES'!$AQ370="","-",'ORDENES'!$AQ370))</f>
        <v/>
      </c>
      <c r="J392" s="3">
        <f>IF('ORDENES'!$A370="","",IF('ORDENES'!$D370="","-",'ORDENES'!$D370))</f>
        <v/>
      </c>
      <c r="K392" s="3">
        <f>IF('ORDENES'!$A370="","",IF('ORDENES'!$E370="","-",'ORDENES'!$E370))</f>
        <v/>
      </c>
      <c r="L392" s="13">
        <f>IF('ORDENES'!$A370="","",IF('ORDENES'!$M370="",0,'ORDENES'!$M370))</f>
        <v/>
      </c>
      <c r="M392" s="3">
        <f>IF('ORDENES'!$A370="","",IF('ORDENES'!$N370="","-",'ORDENES'!$N370))</f>
        <v/>
      </c>
      <c r="N392" s="3">
        <f>IF('ORDENES'!$A370="","",'ORDENES'!$AD370)</f>
        <v/>
      </c>
    </row>
    <row r="393">
      <c r="A393" s="3">
        <f>IF('ORDENES'!$A371="","",IF('ORDENES'!$O371="","-",'ORDENES'!$O371))</f>
        <v/>
      </c>
      <c r="B393" s="3">
        <f>IF('ORDENES'!$A371="","",IF('ORDENES'!$R371="","-",'ORDENES'!$R371))</f>
        <v/>
      </c>
      <c r="C393" s="3">
        <f>IF('ORDENES'!$A371="","",IF('ORDENES'!$AF371="","-",'ORDENES'!$AF371))</f>
        <v/>
      </c>
      <c r="D393" s="3">
        <f>IF('ORDENES'!$A371="","",IF('ORDENES'!$X371="","-",'ORDENES'!$X371))</f>
        <v/>
      </c>
      <c r="E393" s="3">
        <f>IF('ORDENES'!$A371="","",IF('ORDENES'!$V371="","-",'ORDENES'!$V371))</f>
        <v/>
      </c>
      <c r="F393" s="3">
        <f>IF('ORDENES'!$A371="","",IF('ORDENES'!$Y371="","-",'ORDENES'!$Y371))</f>
        <v/>
      </c>
      <c r="G393" s="3">
        <f>IF('ORDENES'!$A371="","",IF('ORDENES'!$W371="","-",'ORDENES'!$W371))</f>
        <v/>
      </c>
      <c r="H393" s="3">
        <f>IF('ORDENES'!$A371="","",IF('ORDENES'!$AE371="","-",'ORDENES'!$AE371))</f>
        <v/>
      </c>
      <c r="I393" s="3">
        <f>IF('ORDENES'!$A371="","",IF('ORDENES'!$AQ371="","-",'ORDENES'!$AQ371))</f>
        <v/>
      </c>
      <c r="J393" s="3">
        <f>IF('ORDENES'!$A371="","",IF('ORDENES'!$D371="","-",'ORDENES'!$D371))</f>
        <v/>
      </c>
      <c r="K393" s="3">
        <f>IF('ORDENES'!$A371="","",IF('ORDENES'!$E371="","-",'ORDENES'!$E371))</f>
        <v/>
      </c>
      <c r="L393" s="13">
        <f>IF('ORDENES'!$A371="","",IF('ORDENES'!$M371="",0,'ORDENES'!$M371))</f>
        <v/>
      </c>
      <c r="M393" s="3">
        <f>IF('ORDENES'!$A371="","",IF('ORDENES'!$N371="","-",'ORDENES'!$N371))</f>
        <v/>
      </c>
      <c r="N393" s="3">
        <f>IF('ORDENES'!$A371="","",'ORDENES'!$AD371)</f>
        <v/>
      </c>
    </row>
    <row r="394">
      <c r="A394" s="3">
        <f>IF('ORDENES'!$A372="","",IF('ORDENES'!$O372="","-",'ORDENES'!$O372))</f>
        <v/>
      </c>
      <c r="B394" s="3">
        <f>IF('ORDENES'!$A372="","",IF('ORDENES'!$R372="","-",'ORDENES'!$R372))</f>
        <v/>
      </c>
      <c r="C394" s="3">
        <f>IF('ORDENES'!$A372="","",IF('ORDENES'!$AF372="","-",'ORDENES'!$AF372))</f>
        <v/>
      </c>
      <c r="D394" s="3">
        <f>IF('ORDENES'!$A372="","",IF('ORDENES'!$X372="","-",'ORDENES'!$X372))</f>
        <v/>
      </c>
      <c r="E394" s="3">
        <f>IF('ORDENES'!$A372="","",IF('ORDENES'!$V372="","-",'ORDENES'!$V372))</f>
        <v/>
      </c>
      <c r="F394" s="3">
        <f>IF('ORDENES'!$A372="","",IF('ORDENES'!$Y372="","-",'ORDENES'!$Y372))</f>
        <v/>
      </c>
      <c r="G394" s="3">
        <f>IF('ORDENES'!$A372="","",IF('ORDENES'!$W372="","-",'ORDENES'!$W372))</f>
        <v/>
      </c>
      <c r="H394" s="3">
        <f>IF('ORDENES'!$A372="","",IF('ORDENES'!$AE372="","-",'ORDENES'!$AE372))</f>
        <v/>
      </c>
      <c r="I394" s="3">
        <f>IF('ORDENES'!$A372="","",IF('ORDENES'!$AQ372="","-",'ORDENES'!$AQ372))</f>
        <v/>
      </c>
      <c r="J394" s="3">
        <f>IF('ORDENES'!$A372="","",IF('ORDENES'!$D372="","-",'ORDENES'!$D372))</f>
        <v/>
      </c>
      <c r="K394" s="3">
        <f>IF('ORDENES'!$A372="","",IF('ORDENES'!$E372="","-",'ORDENES'!$E372))</f>
        <v/>
      </c>
      <c r="L394" s="13">
        <f>IF('ORDENES'!$A372="","",IF('ORDENES'!$M372="",0,'ORDENES'!$M372))</f>
        <v/>
      </c>
      <c r="M394" s="3">
        <f>IF('ORDENES'!$A372="","",IF('ORDENES'!$N372="","-",'ORDENES'!$N372))</f>
        <v/>
      </c>
      <c r="N394" s="3">
        <f>IF('ORDENES'!$A372="","",'ORDENES'!$AD372)</f>
        <v/>
      </c>
    </row>
    <row r="395">
      <c r="A395" s="3">
        <f>IF('ORDENES'!$A373="","",IF('ORDENES'!$O373="","-",'ORDENES'!$O373))</f>
        <v/>
      </c>
      <c r="B395" s="3">
        <f>IF('ORDENES'!$A373="","",IF('ORDENES'!$R373="","-",'ORDENES'!$R373))</f>
        <v/>
      </c>
      <c r="C395" s="3">
        <f>IF('ORDENES'!$A373="","",IF('ORDENES'!$AF373="","-",'ORDENES'!$AF373))</f>
        <v/>
      </c>
      <c r="D395" s="3">
        <f>IF('ORDENES'!$A373="","",IF('ORDENES'!$X373="","-",'ORDENES'!$X373))</f>
        <v/>
      </c>
      <c r="E395" s="3">
        <f>IF('ORDENES'!$A373="","",IF('ORDENES'!$V373="","-",'ORDENES'!$V373))</f>
        <v/>
      </c>
      <c r="F395" s="3">
        <f>IF('ORDENES'!$A373="","",IF('ORDENES'!$Y373="","-",'ORDENES'!$Y373))</f>
        <v/>
      </c>
      <c r="G395" s="3">
        <f>IF('ORDENES'!$A373="","",IF('ORDENES'!$W373="","-",'ORDENES'!$W373))</f>
        <v/>
      </c>
      <c r="H395" s="3">
        <f>IF('ORDENES'!$A373="","",IF('ORDENES'!$AE373="","-",'ORDENES'!$AE373))</f>
        <v/>
      </c>
      <c r="I395" s="3">
        <f>IF('ORDENES'!$A373="","",IF('ORDENES'!$AQ373="","-",'ORDENES'!$AQ373))</f>
        <v/>
      </c>
      <c r="J395" s="3">
        <f>IF('ORDENES'!$A373="","",IF('ORDENES'!$D373="","-",'ORDENES'!$D373))</f>
        <v/>
      </c>
      <c r="K395" s="3">
        <f>IF('ORDENES'!$A373="","",IF('ORDENES'!$E373="","-",'ORDENES'!$E373))</f>
        <v/>
      </c>
      <c r="L395" s="13">
        <f>IF('ORDENES'!$A373="","",IF('ORDENES'!$M373="",0,'ORDENES'!$M373))</f>
        <v/>
      </c>
      <c r="M395" s="3">
        <f>IF('ORDENES'!$A373="","",IF('ORDENES'!$N373="","-",'ORDENES'!$N373))</f>
        <v/>
      </c>
      <c r="N395" s="3">
        <f>IF('ORDENES'!$A373="","",'ORDENES'!$AD373)</f>
        <v/>
      </c>
    </row>
    <row r="396">
      <c r="A396" s="3">
        <f>IF('ORDENES'!$A374="","",IF('ORDENES'!$O374="","-",'ORDENES'!$O374))</f>
        <v/>
      </c>
      <c r="B396" s="3">
        <f>IF('ORDENES'!$A374="","",IF('ORDENES'!$R374="","-",'ORDENES'!$R374))</f>
        <v/>
      </c>
      <c r="C396" s="3">
        <f>IF('ORDENES'!$A374="","",IF('ORDENES'!$AF374="","-",'ORDENES'!$AF374))</f>
        <v/>
      </c>
      <c r="D396" s="3">
        <f>IF('ORDENES'!$A374="","",IF('ORDENES'!$X374="","-",'ORDENES'!$X374))</f>
        <v/>
      </c>
      <c r="E396" s="3">
        <f>IF('ORDENES'!$A374="","",IF('ORDENES'!$V374="","-",'ORDENES'!$V374))</f>
        <v/>
      </c>
      <c r="F396" s="3">
        <f>IF('ORDENES'!$A374="","",IF('ORDENES'!$Y374="","-",'ORDENES'!$Y374))</f>
        <v/>
      </c>
      <c r="G396" s="3">
        <f>IF('ORDENES'!$A374="","",IF('ORDENES'!$W374="","-",'ORDENES'!$W374))</f>
        <v/>
      </c>
      <c r="H396" s="3">
        <f>IF('ORDENES'!$A374="","",IF('ORDENES'!$AE374="","-",'ORDENES'!$AE374))</f>
        <v/>
      </c>
      <c r="I396" s="3">
        <f>IF('ORDENES'!$A374="","",IF('ORDENES'!$AQ374="","-",'ORDENES'!$AQ374))</f>
        <v/>
      </c>
      <c r="J396" s="3">
        <f>IF('ORDENES'!$A374="","",IF('ORDENES'!$D374="","-",'ORDENES'!$D374))</f>
        <v/>
      </c>
      <c r="K396" s="3">
        <f>IF('ORDENES'!$A374="","",IF('ORDENES'!$E374="","-",'ORDENES'!$E374))</f>
        <v/>
      </c>
      <c r="L396" s="13">
        <f>IF('ORDENES'!$A374="","",IF('ORDENES'!$M374="",0,'ORDENES'!$M374))</f>
        <v/>
      </c>
      <c r="M396" s="3">
        <f>IF('ORDENES'!$A374="","",IF('ORDENES'!$N374="","-",'ORDENES'!$N374))</f>
        <v/>
      </c>
      <c r="N396" s="3">
        <f>IF('ORDENES'!$A374="","",'ORDENES'!$AD374)</f>
        <v/>
      </c>
    </row>
    <row r="397">
      <c r="A397" s="3">
        <f>IF('ORDENES'!$A375="","",IF('ORDENES'!$O375="","-",'ORDENES'!$O375))</f>
        <v/>
      </c>
      <c r="B397" s="3">
        <f>IF('ORDENES'!$A375="","",IF('ORDENES'!$R375="","-",'ORDENES'!$R375))</f>
        <v/>
      </c>
      <c r="C397" s="3">
        <f>IF('ORDENES'!$A375="","",IF('ORDENES'!$AF375="","-",'ORDENES'!$AF375))</f>
        <v/>
      </c>
      <c r="D397" s="3">
        <f>IF('ORDENES'!$A375="","",IF('ORDENES'!$X375="","-",'ORDENES'!$X375))</f>
        <v/>
      </c>
      <c r="E397" s="3">
        <f>IF('ORDENES'!$A375="","",IF('ORDENES'!$V375="","-",'ORDENES'!$V375))</f>
        <v/>
      </c>
      <c r="F397" s="3">
        <f>IF('ORDENES'!$A375="","",IF('ORDENES'!$Y375="","-",'ORDENES'!$Y375))</f>
        <v/>
      </c>
      <c r="G397" s="3">
        <f>IF('ORDENES'!$A375="","",IF('ORDENES'!$W375="","-",'ORDENES'!$W375))</f>
        <v/>
      </c>
      <c r="H397" s="3">
        <f>IF('ORDENES'!$A375="","",IF('ORDENES'!$AE375="","-",'ORDENES'!$AE375))</f>
        <v/>
      </c>
      <c r="I397" s="3">
        <f>IF('ORDENES'!$A375="","",IF('ORDENES'!$AQ375="","-",'ORDENES'!$AQ375))</f>
        <v/>
      </c>
      <c r="J397" s="3">
        <f>IF('ORDENES'!$A375="","",IF('ORDENES'!$D375="","-",'ORDENES'!$D375))</f>
        <v/>
      </c>
      <c r="K397" s="3">
        <f>IF('ORDENES'!$A375="","",IF('ORDENES'!$E375="","-",'ORDENES'!$E375))</f>
        <v/>
      </c>
      <c r="L397" s="13">
        <f>IF('ORDENES'!$A375="","",IF('ORDENES'!$M375="",0,'ORDENES'!$M375))</f>
        <v/>
      </c>
      <c r="M397" s="3">
        <f>IF('ORDENES'!$A375="","",IF('ORDENES'!$N375="","-",'ORDENES'!$N375))</f>
        <v/>
      </c>
      <c r="N397" s="3">
        <f>IF('ORDENES'!$A375="","",'ORDENES'!$AD375)</f>
        <v/>
      </c>
    </row>
    <row r="398">
      <c r="A398" s="3">
        <f>IF('ORDENES'!$A376="","",IF('ORDENES'!$O376="","-",'ORDENES'!$O376))</f>
        <v/>
      </c>
      <c r="B398" s="3">
        <f>IF('ORDENES'!$A376="","",IF('ORDENES'!$R376="","-",'ORDENES'!$R376))</f>
        <v/>
      </c>
      <c r="C398" s="3">
        <f>IF('ORDENES'!$A376="","",IF('ORDENES'!$AF376="","-",'ORDENES'!$AF376))</f>
        <v/>
      </c>
      <c r="D398" s="3">
        <f>IF('ORDENES'!$A376="","",IF('ORDENES'!$X376="","-",'ORDENES'!$X376))</f>
        <v/>
      </c>
      <c r="E398" s="3">
        <f>IF('ORDENES'!$A376="","",IF('ORDENES'!$V376="","-",'ORDENES'!$V376))</f>
        <v/>
      </c>
      <c r="F398" s="3">
        <f>IF('ORDENES'!$A376="","",IF('ORDENES'!$Y376="","-",'ORDENES'!$Y376))</f>
        <v/>
      </c>
      <c r="G398" s="3">
        <f>IF('ORDENES'!$A376="","",IF('ORDENES'!$W376="","-",'ORDENES'!$W376))</f>
        <v/>
      </c>
      <c r="H398" s="3">
        <f>IF('ORDENES'!$A376="","",IF('ORDENES'!$AE376="","-",'ORDENES'!$AE376))</f>
        <v/>
      </c>
      <c r="I398" s="3">
        <f>IF('ORDENES'!$A376="","",IF('ORDENES'!$AQ376="","-",'ORDENES'!$AQ376))</f>
        <v/>
      </c>
      <c r="J398" s="3">
        <f>IF('ORDENES'!$A376="","",IF('ORDENES'!$D376="","-",'ORDENES'!$D376))</f>
        <v/>
      </c>
      <c r="K398" s="3">
        <f>IF('ORDENES'!$A376="","",IF('ORDENES'!$E376="","-",'ORDENES'!$E376))</f>
        <v/>
      </c>
      <c r="L398" s="13">
        <f>IF('ORDENES'!$A376="","",IF('ORDENES'!$M376="",0,'ORDENES'!$M376))</f>
        <v/>
      </c>
      <c r="M398" s="3">
        <f>IF('ORDENES'!$A376="","",IF('ORDENES'!$N376="","-",'ORDENES'!$N376))</f>
        <v/>
      </c>
      <c r="N398" s="3">
        <f>IF('ORDENES'!$A376="","",'ORDENES'!$AD376)</f>
        <v/>
      </c>
    </row>
    <row r="399">
      <c r="A399" s="3">
        <f>IF('ORDENES'!$A377="","",IF('ORDENES'!$O377="","-",'ORDENES'!$O377))</f>
        <v/>
      </c>
      <c r="B399" s="3">
        <f>IF('ORDENES'!$A377="","",IF('ORDENES'!$R377="","-",'ORDENES'!$R377))</f>
        <v/>
      </c>
      <c r="C399" s="3">
        <f>IF('ORDENES'!$A377="","",IF('ORDENES'!$AF377="","-",'ORDENES'!$AF377))</f>
        <v/>
      </c>
      <c r="D399" s="3">
        <f>IF('ORDENES'!$A377="","",IF('ORDENES'!$X377="","-",'ORDENES'!$X377))</f>
        <v/>
      </c>
      <c r="E399" s="3">
        <f>IF('ORDENES'!$A377="","",IF('ORDENES'!$V377="","-",'ORDENES'!$V377))</f>
        <v/>
      </c>
      <c r="F399" s="3">
        <f>IF('ORDENES'!$A377="","",IF('ORDENES'!$Y377="","-",'ORDENES'!$Y377))</f>
        <v/>
      </c>
      <c r="G399" s="3">
        <f>IF('ORDENES'!$A377="","",IF('ORDENES'!$W377="","-",'ORDENES'!$W377))</f>
        <v/>
      </c>
      <c r="H399" s="3">
        <f>IF('ORDENES'!$A377="","",IF('ORDENES'!$AE377="","-",'ORDENES'!$AE377))</f>
        <v/>
      </c>
      <c r="I399" s="3">
        <f>IF('ORDENES'!$A377="","",IF('ORDENES'!$AQ377="","-",'ORDENES'!$AQ377))</f>
        <v/>
      </c>
      <c r="J399" s="3">
        <f>IF('ORDENES'!$A377="","",IF('ORDENES'!$D377="","-",'ORDENES'!$D377))</f>
        <v/>
      </c>
      <c r="K399" s="3">
        <f>IF('ORDENES'!$A377="","",IF('ORDENES'!$E377="","-",'ORDENES'!$E377))</f>
        <v/>
      </c>
      <c r="L399" s="13">
        <f>IF('ORDENES'!$A377="","",IF('ORDENES'!$M377="",0,'ORDENES'!$M377))</f>
        <v/>
      </c>
      <c r="M399" s="3">
        <f>IF('ORDENES'!$A377="","",IF('ORDENES'!$N377="","-",'ORDENES'!$N377))</f>
        <v/>
      </c>
      <c r="N399" s="3">
        <f>IF('ORDENES'!$A377="","",'ORDENES'!$AD377)</f>
        <v/>
      </c>
    </row>
    <row r="400">
      <c r="A400" s="3">
        <f>IF('ORDENES'!$A378="","",IF('ORDENES'!$O378="","-",'ORDENES'!$O378))</f>
        <v/>
      </c>
      <c r="B400" s="3">
        <f>IF('ORDENES'!$A378="","",IF('ORDENES'!$R378="","-",'ORDENES'!$R378))</f>
        <v/>
      </c>
      <c r="C400" s="3">
        <f>IF('ORDENES'!$A378="","",IF('ORDENES'!$AF378="","-",'ORDENES'!$AF378))</f>
        <v/>
      </c>
      <c r="D400" s="3">
        <f>IF('ORDENES'!$A378="","",IF('ORDENES'!$X378="","-",'ORDENES'!$X378))</f>
        <v/>
      </c>
      <c r="E400" s="3">
        <f>IF('ORDENES'!$A378="","",IF('ORDENES'!$V378="","-",'ORDENES'!$V378))</f>
        <v/>
      </c>
      <c r="F400" s="3">
        <f>IF('ORDENES'!$A378="","",IF('ORDENES'!$Y378="","-",'ORDENES'!$Y378))</f>
        <v/>
      </c>
      <c r="G400" s="3">
        <f>IF('ORDENES'!$A378="","",IF('ORDENES'!$W378="","-",'ORDENES'!$W378))</f>
        <v/>
      </c>
      <c r="H400" s="3">
        <f>IF('ORDENES'!$A378="","",IF('ORDENES'!$AE378="","-",'ORDENES'!$AE378))</f>
        <v/>
      </c>
      <c r="I400" s="3">
        <f>IF('ORDENES'!$A378="","",IF('ORDENES'!$AQ378="","-",'ORDENES'!$AQ378))</f>
        <v/>
      </c>
      <c r="J400" s="3">
        <f>IF('ORDENES'!$A378="","",IF('ORDENES'!$D378="","-",'ORDENES'!$D378))</f>
        <v/>
      </c>
      <c r="K400" s="3">
        <f>IF('ORDENES'!$A378="","",IF('ORDENES'!$E378="","-",'ORDENES'!$E378))</f>
        <v/>
      </c>
      <c r="L400" s="13">
        <f>IF('ORDENES'!$A378="","",IF('ORDENES'!$M378="",0,'ORDENES'!$M378))</f>
        <v/>
      </c>
      <c r="M400" s="3">
        <f>IF('ORDENES'!$A378="","",IF('ORDENES'!$N378="","-",'ORDENES'!$N378))</f>
        <v/>
      </c>
      <c r="N400" s="3">
        <f>IF('ORDENES'!$A378="","",'ORDENES'!$AD378)</f>
        <v/>
      </c>
    </row>
    <row r="401">
      <c r="A401" s="3">
        <f>IF('ORDENES'!$A379="","",IF('ORDENES'!$O379="","-",'ORDENES'!$O379))</f>
        <v/>
      </c>
      <c r="B401" s="3">
        <f>IF('ORDENES'!$A379="","",IF('ORDENES'!$R379="","-",'ORDENES'!$R379))</f>
        <v/>
      </c>
      <c r="C401" s="3">
        <f>IF('ORDENES'!$A379="","",IF('ORDENES'!$AF379="","-",'ORDENES'!$AF379))</f>
        <v/>
      </c>
      <c r="D401" s="3">
        <f>IF('ORDENES'!$A379="","",IF('ORDENES'!$X379="","-",'ORDENES'!$X379))</f>
        <v/>
      </c>
      <c r="E401" s="3">
        <f>IF('ORDENES'!$A379="","",IF('ORDENES'!$V379="","-",'ORDENES'!$V379))</f>
        <v/>
      </c>
      <c r="F401" s="3">
        <f>IF('ORDENES'!$A379="","",IF('ORDENES'!$Y379="","-",'ORDENES'!$Y379))</f>
        <v/>
      </c>
      <c r="G401" s="3">
        <f>IF('ORDENES'!$A379="","",IF('ORDENES'!$W379="","-",'ORDENES'!$W379))</f>
        <v/>
      </c>
      <c r="H401" s="3">
        <f>IF('ORDENES'!$A379="","",IF('ORDENES'!$AE379="","-",'ORDENES'!$AE379))</f>
        <v/>
      </c>
      <c r="I401" s="3">
        <f>IF('ORDENES'!$A379="","",IF('ORDENES'!$AQ379="","-",'ORDENES'!$AQ379))</f>
        <v/>
      </c>
      <c r="J401" s="3">
        <f>IF('ORDENES'!$A379="","",IF('ORDENES'!$D379="","-",'ORDENES'!$D379))</f>
        <v/>
      </c>
      <c r="K401" s="3">
        <f>IF('ORDENES'!$A379="","",IF('ORDENES'!$E379="","-",'ORDENES'!$E379))</f>
        <v/>
      </c>
      <c r="L401" s="13">
        <f>IF('ORDENES'!$A379="","",IF('ORDENES'!$M379="",0,'ORDENES'!$M379))</f>
        <v/>
      </c>
      <c r="M401" s="3">
        <f>IF('ORDENES'!$A379="","",IF('ORDENES'!$N379="","-",'ORDENES'!$N379))</f>
        <v/>
      </c>
      <c r="N401" s="3">
        <f>IF('ORDENES'!$A379="","",'ORDENES'!$AD379)</f>
        <v/>
      </c>
    </row>
    <row r="402">
      <c r="A402" s="3">
        <f>IF('ORDENES'!$A380="","",IF('ORDENES'!$O380="","-",'ORDENES'!$O380))</f>
        <v/>
      </c>
      <c r="B402" s="3">
        <f>IF('ORDENES'!$A380="","",IF('ORDENES'!$R380="","-",'ORDENES'!$R380))</f>
        <v/>
      </c>
      <c r="C402" s="3">
        <f>IF('ORDENES'!$A380="","",IF('ORDENES'!$AF380="","-",'ORDENES'!$AF380))</f>
        <v/>
      </c>
      <c r="D402" s="3">
        <f>IF('ORDENES'!$A380="","",IF('ORDENES'!$X380="","-",'ORDENES'!$X380))</f>
        <v/>
      </c>
      <c r="E402" s="3">
        <f>IF('ORDENES'!$A380="","",IF('ORDENES'!$V380="","-",'ORDENES'!$V380))</f>
        <v/>
      </c>
      <c r="F402" s="3">
        <f>IF('ORDENES'!$A380="","",IF('ORDENES'!$Y380="","-",'ORDENES'!$Y380))</f>
        <v/>
      </c>
      <c r="G402" s="3">
        <f>IF('ORDENES'!$A380="","",IF('ORDENES'!$W380="","-",'ORDENES'!$W380))</f>
        <v/>
      </c>
      <c r="H402" s="3">
        <f>IF('ORDENES'!$A380="","",IF('ORDENES'!$AE380="","-",'ORDENES'!$AE380))</f>
        <v/>
      </c>
      <c r="I402" s="3">
        <f>IF('ORDENES'!$A380="","",IF('ORDENES'!$AQ380="","-",'ORDENES'!$AQ380))</f>
        <v/>
      </c>
      <c r="J402" s="3">
        <f>IF('ORDENES'!$A380="","",IF('ORDENES'!$D380="","-",'ORDENES'!$D380))</f>
        <v/>
      </c>
      <c r="K402" s="3">
        <f>IF('ORDENES'!$A380="","",IF('ORDENES'!$E380="","-",'ORDENES'!$E380))</f>
        <v/>
      </c>
      <c r="L402" s="13">
        <f>IF('ORDENES'!$A380="","",IF('ORDENES'!$M380="",0,'ORDENES'!$M380))</f>
        <v/>
      </c>
      <c r="M402" s="3">
        <f>IF('ORDENES'!$A380="","",IF('ORDENES'!$N380="","-",'ORDENES'!$N380))</f>
        <v/>
      </c>
      <c r="N402" s="3">
        <f>IF('ORDENES'!$A380="","",'ORDENES'!$AD380)</f>
        <v/>
      </c>
    </row>
    <row r="403">
      <c r="A403" s="3">
        <f>IF('ORDENES'!$A381="","",IF('ORDENES'!$O381="","-",'ORDENES'!$O381))</f>
        <v/>
      </c>
      <c r="B403" s="3">
        <f>IF('ORDENES'!$A381="","",IF('ORDENES'!$R381="","-",'ORDENES'!$R381))</f>
        <v/>
      </c>
      <c r="C403" s="3">
        <f>IF('ORDENES'!$A381="","",IF('ORDENES'!$AF381="","-",'ORDENES'!$AF381))</f>
        <v/>
      </c>
      <c r="D403" s="3">
        <f>IF('ORDENES'!$A381="","",IF('ORDENES'!$X381="","-",'ORDENES'!$X381))</f>
        <v/>
      </c>
      <c r="E403" s="3">
        <f>IF('ORDENES'!$A381="","",IF('ORDENES'!$V381="","-",'ORDENES'!$V381))</f>
        <v/>
      </c>
      <c r="F403" s="3">
        <f>IF('ORDENES'!$A381="","",IF('ORDENES'!$Y381="","-",'ORDENES'!$Y381))</f>
        <v/>
      </c>
      <c r="G403" s="3">
        <f>IF('ORDENES'!$A381="","",IF('ORDENES'!$W381="","-",'ORDENES'!$W381))</f>
        <v/>
      </c>
      <c r="H403" s="3">
        <f>IF('ORDENES'!$A381="","",IF('ORDENES'!$AE381="","-",'ORDENES'!$AE381))</f>
        <v/>
      </c>
      <c r="I403" s="3">
        <f>IF('ORDENES'!$A381="","",IF('ORDENES'!$AQ381="","-",'ORDENES'!$AQ381))</f>
        <v/>
      </c>
      <c r="J403" s="3">
        <f>IF('ORDENES'!$A381="","",IF('ORDENES'!$D381="","-",'ORDENES'!$D381))</f>
        <v/>
      </c>
      <c r="K403" s="3">
        <f>IF('ORDENES'!$A381="","",IF('ORDENES'!$E381="","-",'ORDENES'!$E381))</f>
        <v/>
      </c>
      <c r="L403" s="13">
        <f>IF('ORDENES'!$A381="","",IF('ORDENES'!$M381="",0,'ORDENES'!$M381))</f>
        <v/>
      </c>
      <c r="M403" s="3">
        <f>IF('ORDENES'!$A381="","",IF('ORDENES'!$N381="","-",'ORDENES'!$N381))</f>
        <v/>
      </c>
      <c r="N403" s="3">
        <f>IF('ORDENES'!$A381="","",'ORDENES'!$AD381)</f>
        <v/>
      </c>
    </row>
    <row r="404">
      <c r="A404" s="3">
        <f>IF('ORDENES'!$A382="","",IF('ORDENES'!$O382="","-",'ORDENES'!$O382))</f>
        <v/>
      </c>
      <c r="B404" s="3">
        <f>IF('ORDENES'!$A382="","",IF('ORDENES'!$R382="","-",'ORDENES'!$R382))</f>
        <v/>
      </c>
      <c r="C404" s="3">
        <f>IF('ORDENES'!$A382="","",IF('ORDENES'!$AF382="","-",'ORDENES'!$AF382))</f>
        <v/>
      </c>
      <c r="D404" s="3">
        <f>IF('ORDENES'!$A382="","",IF('ORDENES'!$X382="","-",'ORDENES'!$X382))</f>
        <v/>
      </c>
      <c r="E404" s="3">
        <f>IF('ORDENES'!$A382="","",IF('ORDENES'!$V382="","-",'ORDENES'!$V382))</f>
        <v/>
      </c>
      <c r="F404" s="3">
        <f>IF('ORDENES'!$A382="","",IF('ORDENES'!$Y382="","-",'ORDENES'!$Y382))</f>
        <v/>
      </c>
      <c r="G404" s="3">
        <f>IF('ORDENES'!$A382="","",IF('ORDENES'!$W382="","-",'ORDENES'!$W382))</f>
        <v/>
      </c>
      <c r="H404" s="3">
        <f>IF('ORDENES'!$A382="","",IF('ORDENES'!$AE382="","-",'ORDENES'!$AE382))</f>
        <v/>
      </c>
      <c r="I404" s="3">
        <f>IF('ORDENES'!$A382="","",IF('ORDENES'!$AQ382="","-",'ORDENES'!$AQ382))</f>
        <v/>
      </c>
      <c r="J404" s="3">
        <f>IF('ORDENES'!$A382="","",IF('ORDENES'!$D382="","-",'ORDENES'!$D382))</f>
        <v/>
      </c>
      <c r="K404" s="3">
        <f>IF('ORDENES'!$A382="","",IF('ORDENES'!$E382="","-",'ORDENES'!$E382))</f>
        <v/>
      </c>
      <c r="L404" s="13">
        <f>IF('ORDENES'!$A382="","",IF('ORDENES'!$M382="",0,'ORDENES'!$M382))</f>
        <v/>
      </c>
      <c r="M404" s="3">
        <f>IF('ORDENES'!$A382="","",IF('ORDENES'!$N382="","-",'ORDENES'!$N382))</f>
        <v/>
      </c>
      <c r="N404" s="3">
        <f>IF('ORDENES'!$A382="","",'ORDENES'!$AD382)</f>
        <v/>
      </c>
    </row>
    <row r="405">
      <c r="A405" s="3">
        <f>IF('ORDENES'!$A383="","",IF('ORDENES'!$O383="","-",'ORDENES'!$O383))</f>
        <v/>
      </c>
      <c r="B405" s="3">
        <f>IF('ORDENES'!$A383="","",IF('ORDENES'!$R383="","-",'ORDENES'!$R383))</f>
        <v/>
      </c>
      <c r="C405" s="3">
        <f>IF('ORDENES'!$A383="","",IF('ORDENES'!$AF383="","-",'ORDENES'!$AF383))</f>
        <v/>
      </c>
      <c r="D405" s="3">
        <f>IF('ORDENES'!$A383="","",IF('ORDENES'!$X383="","-",'ORDENES'!$X383))</f>
        <v/>
      </c>
      <c r="E405" s="3">
        <f>IF('ORDENES'!$A383="","",IF('ORDENES'!$V383="","-",'ORDENES'!$V383))</f>
        <v/>
      </c>
      <c r="F405" s="3">
        <f>IF('ORDENES'!$A383="","",IF('ORDENES'!$Y383="","-",'ORDENES'!$Y383))</f>
        <v/>
      </c>
      <c r="G405" s="3">
        <f>IF('ORDENES'!$A383="","",IF('ORDENES'!$W383="","-",'ORDENES'!$W383))</f>
        <v/>
      </c>
      <c r="H405" s="3">
        <f>IF('ORDENES'!$A383="","",IF('ORDENES'!$AE383="","-",'ORDENES'!$AE383))</f>
        <v/>
      </c>
      <c r="I405" s="3">
        <f>IF('ORDENES'!$A383="","",IF('ORDENES'!$AQ383="","-",'ORDENES'!$AQ383))</f>
        <v/>
      </c>
      <c r="J405" s="3">
        <f>IF('ORDENES'!$A383="","",IF('ORDENES'!$D383="","-",'ORDENES'!$D383))</f>
        <v/>
      </c>
      <c r="K405" s="3">
        <f>IF('ORDENES'!$A383="","",IF('ORDENES'!$E383="","-",'ORDENES'!$E383))</f>
        <v/>
      </c>
      <c r="L405" s="13">
        <f>IF('ORDENES'!$A383="","",IF('ORDENES'!$M383="",0,'ORDENES'!$M383))</f>
        <v/>
      </c>
      <c r="M405" s="3">
        <f>IF('ORDENES'!$A383="","",IF('ORDENES'!$N383="","-",'ORDENES'!$N383))</f>
        <v/>
      </c>
      <c r="N405" s="3">
        <f>IF('ORDENES'!$A383="","",'ORDENES'!$AD383)</f>
        <v/>
      </c>
    </row>
    <row r="406">
      <c r="A406" s="3">
        <f>IF('ORDENES'!$A384="","",IF('ORDENES'!$O384="","-",'ORDENES'!$O384))</f>
        <v/>
      </c>
      <c r="B406" s="3">
        <f>IF('ORDENES'!$A384="","",IF('ORDENES'!$R384="","-",'ORDENES'!$R384))</f>
        <v/>
      </c>
      <c r="C406" s="3">
        <f>IF('ORDENES'!$A384="","",IF('ORDENES'!$AF384="","-",'ORDENES'!$AF384))</f>
        <v/>
      </c>
      <c r="D406" s="3">
        <f>IF('ORDENES'!$A384="","",IF('ORDENES'!$X384="","-",'ORDENES'!$X384))</f>
        <v/>
      </c>
      <c r="E406" s="3">
        <f>IF('ORDENES'!$A384="","",IF('ORDENES'!$V384="","-",'ORDENES'!$V384))</f>
        <v/>
      </c>
      <c r="F406" s="3">
        <f>IF('ORDENES'!$A384="","",IF('ORDENES'!$Y384="","-",'ORDENES'!$Y384))</f>
        <v/>
      </c>
      <c r="G406" s="3">
        <f>IF('ORDENES'!$A384="","",IF('ORDENES'!$W384="","-",'ORDENES'!$W384))</f>
        <v/>
      </c>
      <c r="H406" s="3">
        <f>IF('ORDENES'!$A384="","",IF('ORDENES'!$AE384="","-",'ORDENES'!$AE384))</f>
        <v/>
      </c>
      <c r="I406" s="3">
        <f>IF('ORDENES'!$A384="","",IF('ORDENES'!$AQ384="","-",'ORDENES'!$AQ384))</f>
        <v/>
      </c>
      <c r="J406" s="3">
        <f>IF('ORDENES'!$A384="","",IF('ORDENES'!$D384="","-",'ORDENES'!$D384))</f>
        <v/>
      </c>
      <c r="K406" s="3">
        <f>IF('ORDENES'!$A384="","",IF('ORDENES'!$E384="","-",'ORDENES'!$E384))</f>
        <v/>
      </c>
      <c r="L406" s="13">
        <f>IF('ORDENES'!$A384="","",IF('ORDENES'!$M384="",0,'ORDENES'!$M384))</f>
        <v/>
      </c>
      <c r="M406" s="3">
        <f>IF('ORDENES'!$A384="","",IF('ORDENES'!$N384="","-",'ORDENES'!$N384))</f>
        <v/>
      </c>
      <c r="N406" s="3">
        <f>IF('ORDENES'!$A384="","",'ORDENES'!$AD384)</f>
        <v/>
      </c>
    </row>
    <row r="407">
      <c r="A407" s="3">
        <f>IF('ORDENES'!$A385="","",IF('ORDENES'!$O385="","-",'ORDENES'!$O385))</f>
        <v/>
      </c>
      <c r="B407" s="3">
        <f>IF('ORDENES'!$A385="","",IF('ORDENES'!$R385="","-",'ORDENES'!$R385))</f>
        <v/>
      </c>
      <c r="C407" s="3">
        <f>IF('ORDENES'!$A385="","",IF('ORDENES'!$AF385="","-",'ORDENES'!$AF385))</f>
        <v/>
      </c>
      <c r="D407" s="3">
        <f>IF('ORDENES'!$A385="","",IF('ORDENES'!$X385="","-",'ORDENES'!$X385))</f>
        <v/>
      </c>
      <c r="E407" s="3">
        <f>IF('ORDENES'!$A385="","",IF('ORDENES'!$V385="","-",'ORDENES'!$V385))</f>
        <v/>
      </c>
      <c r="F407" s="3">
        <f>IF('ORDENES'!$A385="","",IF('ORDENES'!$Y385="","-",'ORDENES'!$Y385))</f>
        <v/>
      </c>
      <c r="G407" s="3">
        <f>IF('ORDENES'!$A385="","",IF('ORDENES'!$W385="","-",'ORDENES'!$W385))</f>
        <v/>
      </c>
      <c r="H407" s="3">
        <f>IF('ORDENES'!$A385="","",IF('ORDENES'!$AE385="","-",'ORDENES'!$AE385))</f>
        <v/>
      </c>
      <c r="I407" s="3">
        <f>IF('ORDENES'!$A385="","",IF('ORDENES'!$AQ385="","-",'ORDENES'!$AQ385))</f>
        <v/>
      </c>
      <c r="J407" s="3">
        <f>IF('ORDENES'!$A385="","",IF('ORDENES'!$D385="","-",'ORDENES'!$D385))</f>
        <v/>
      </c>
      <c r="K407" s="3">
        <f>IF('ORDENES'!$A385="","",IF('ORDENES'!$E385="","-",'ORDENES'!$E385))</f>
        <v/>
      </c>
      <c r="L407" s="13">
        <f>IF('ORDENES'!$A385="","",IF('ORDENES'!$M385="",0,'ORDENES'!$M385))</f>
        <v/>
      </c>
      <c r="M407" s="3">
        <f>IF('ORDENES'!$A385="","",IF('ORDENES'!$N385="","-",'ORDENES'!$N385))</f>
        <v/>
      </c>
      <c r="N407" s="3">
        <f>IF('ORDENES'!$A385="","",'ORDENES'!$AD385)</f>
        <v/>
      </c>
    </row>
    <row r="408">
      <c r="A408" s="3">
        <f>IF('ORDENES'!$A386="","",IF('ORDENES'!$O386="","-",'ORDENES'!$O386))</f>
        <v/>
      </c>
      <c r="B408" s="3">
        <f>IF('ORDENES'!$A386="","",IF('ORDENES'!$R386="","-",'ORDENES'!$R386))</f>
        <v/>
      </c>
      <c r="C408" s="3">
        <f>IF('ORDENES'!$A386="","",IF('ORDENES'!$AF386="","-",'ORDENES'!$AF386))</f>
        <v/>
      </c>
      <c r="D408" s="3">
        <f>IF('ORDENES'!$A386="","",IF('ORDENES'!$X386="","-",'ORDENES'!$X386))</f>
        <v/>
      </c>
      <c r="E408" s="3">
        <f>IF('ORDENES'!$A386="","",IF('ORDENES'!$V386="","-",'ORDENES'!$V386))</f>
        <v/>
      </c>
      <c r="F408" s="3">
        <f>IF('ORDENES'!$A386="","",IF('ORDENES'!$Y386="","-",'ORDENES'!$Y386))</f>
        <v/>
      </c>
      <c r="G408" s="3">
        <f>IF('ORDENES'!$A386="","",IF('ORDENES'!$W386="","-",'ORDENES'!$W386))</f>
        <v/>
      </c>
      <c r="H408" s="3">
        <f>IF('ORDENES'!$A386="","",IF('ORDENES'!$AE386="","-",'ORDENES'!$AE386))</f>
        <v/>
      </c>
      <c r="I408" s="3">
        <f>IF('ORDENES'!$A386="","",IF('ORDENES'!$AQ386="","-",'ORDENES'!$AQ386))</f>
        <v/>
      </c>
      <c r="J408" s="3">
        <f>IF('ORDENES'!$A386="","",IF('ORDENES'!$D386="","-",'ORDENES'!$D386))</f>
        <v/>
      </c>
      <c r="K408" s="3">
        <f>IF('ORDENES'!$A386="","",IF('ORDENES'!$E386="","-",'ORDENES'!$E386))</f>
        <v/>
      </c>
      <c r="L408" s="13">
        <f>IF('ORDENES'!$A386="","",IF('ORDENES'!$M386="",0,'ORDENES'!$M386))</f>
        <v/>
      </c>
      <c r="M408" s="3">
        <f>IF('ORDENES'!$A386="","",IF('ORDENES'!$N386="","-",'ORDENES'!$N386))</f>
        <v/>
      </c>
      <c r="N408" s="3">
        <f>IF('ORDENES'!$A386="","",'ORDENES'!$AD386)</f>
        <v/>
      </c>
    </row>
    <row r="409">
      <c r="A409" s="3">
        <f>IF('ORDENES'!$A387="","",IF('ORDENES'!$O387="","-",'ORDENES'!$O387))</f>
        <v/>
      </c>
      <c r="B409" s="3">
        <f>IF('ORDENES'!$A387="","",IF('ORDENES'!$R387="","-",'ORDENES'!$R387))</f>
        <v/>
      </c>
      <c r="C409" s="3">
        <f>IF('ORDENES'!$A387="","",IF('ORDENES'!$AF387="","-",'ORDENES'!$AF387))</f>
        <v/>
      </c>
      <c r="D409" s="3">
        <f>IF('ORDENES'!$A387="","",IF('ORDENES'!$X387="","-",'ORDENES'!$X387))</f>
        <v/>
      </c>
      <c r="E409" s="3">
        <f>IF('ORDENES'!$A387="","",IF('ORDENES'!$V387="","-",'ORDENES'!$V387))</f>
        <v/>
      </c>
      <c r="F409" s="3">
        <f>IF('ORDENES'!$A387="","",IF('ORDENES'!$Y387="","-",'ORDENES'!$Y387))</f>
        <v/>
      </c>
      <c r="G409" s="3">
        <f>IF('ORDENES'!$A387="","",IF('ORDENES'!$W387="","-",'ORDENES'!$W387))</f>
        <v/>
      </c>
      <c r="H409" s="3">
        <f>IF('ORDENES'!$A387="","",IF('ORDENES'!$AE387="","-",'ORDENES'!$AE387))</f>
        <v/>
      </c>
      <c r="I409" s="3">
        <f>IF('ORDENES'!$A387="","",IF('ORDENES'!$AQ387="","-",'ORDENES'!$AQ387))</f>
        <v/>
      </c>
      <c r="J409" s="3">
        <f>IF('ORDENES'!$A387="","",IF('ORDENES'!$D387="","-",'ORDENES'!$D387))</f>
        <v/>
      </c>
      <c r="K409" s="3">
        <f>IF('ORDENES'!$A387="","",IF('ORDENES'!$E387="","-",'ORDENES'!$E387))</f>
        <v/>
      </c>
      <c r="L409" s="13">
        <f>IF('ORDENES'!$A387="","",IF('ORDENES'!$M387="",0,'ORDENES'!$M387))</f>
        <v/>
      </c>
      <c r="M409" s="3">
        <f>IF('ORDENES'!$A387="","",IF('ORDENES'!$N387="","-",'ORDENES'!$N387))</f>
        <v/>
      </c>
      <c r="N409" s="3">
        <f>IF('ORDENES'!$A387="","",'ORDENES'!$AD387)</f>
        <v/>
      </c>
    </row>
    <row r="410">
      <c r="A410" s="3">
        <f>IF('ORDENES'!$A388="","",IF('ORDENES'!$O388="","-",'ORDENES'!$O388))</f>
        <v/>
      </c>
      <c r="B410" s="3">
        <f>IF('ORDENES'!$A388="","",IF('ORDENES'!$R388="","-",'ORDENES'!$R388))</f>
        <v/>
      </c>
      <c r="C410" s="3">
        <f>IF('ORDENES'!$A388="","",IF('ORDENES'!$AF388="","-",'ORDENES'!$AF388))</f>
        <v/>
      </c>
      <c r="D410" s="3">
        <f>IF('ORDENES'!$A388="","",IF('ORDENES'!$X388="","-",'ORDENES'!$X388))</f>
        <v/>
      </c>
      <c r="E410" s="3">
        <f>IF('ORDENES'!$A388="","",IF('ORDENES'!$V388="","-",'ORDENES'!$V388))</f>
        <v/>
      </c>
      <c r="F410" s="3">
        <f>IF('ORDENES'!$A388="","",IF('ORDENES'!$Y388="","-",'ORDENES'!$Y388))</f>
        <v/>
      </c>
      <c r="G410" s="3">
        <f>IF('ORDENES'!$A388="","",IF('ORDENES'!$W388="","-",'ORDENES'!$W388))</f>
        <v/>
      </c>
      <c r="H410" s="3">
        <f>IF('ORDENES'!$A388="","",IF('ORDENES'!$AE388="","-",'ORDENES'!$AE388))</f>
        <v/>
      </c>
      <c r="I410" s="3">
        <f>IF('ORDENES'!$A388="","",IF('ORDENES'!$AQ388="","-",'ORDENES'!$AQ388))</f>
        <v/>
      </c>
      <c r="J410" s="3">
        <f>IF('ORDENES'!$A388="","",IF('ORDENES'!$D388="","-",'ORDENES'!$D388))</f>
        <v/>
      </c>
      <c r="K410" s="3">
        <f>IF('ORDENES'!$A388="","",IF('ORDENES'!$E388="","-",'ORDENES'!$E388))</f>
        <v/>
      </c>
      <c r="L410" s="13">
        <f>IF('ORDENES'!$A388="","",IF('ORDENES'!$M388="",0,'ORDENES'!$M388))</f>
        <v/>
      </c>
      <c r="M410" s="3">
        <f>IF('ORDENES'!$A388="","",IF('ORDENES'!$N388="","-",'ORDENES'!$N388))</f>
        <v/>
      </c>
      <c r="N410" s="3">
        <f>IF('ORDENES'!$A388="","",'ORDENES'!$AD388)</f>
        <v/>
      </c>
    </row>
    <row r="411">
      <c r="A411" s="3">
        <f>IF('ORDENES'!$A389="","",IF('ORDENES'!$O389="","-",'ORDENES'!$O389))</f>
        <v/>
      </c>
      <c r="B411" s="3">
        <f>IF('ORDENES'!$A389="","",IF('ORDENES'!$R389="","-",'ORDENES'!$R389))</f>
        <v/>
      </c>
      <c r="C411" s="3">
        <f>IF('ORDENES'!$A389="","",IF('ORDENES'!$AF389="","-",'ORDENES'!$AF389))</f>
        <v/>
      </c>
      <c r="D411" s="3">
        <f>IF('ORDENES'!$A389="","",IF('ORDENES'!$X389="","-",'ORDENES'!$X389))</f>
        <v/>
      </c>
      <c r="E411" s="3">
        <f>IF('ORDENES'!$A389="","",IF('ORDENES'!$V389="","-",'ORDENES'!$V389))</f>
        <v/>
      </c>
      <c r="F411" s="3">
        <f>IF('ORDENES'!$A389="","",IF('ORDENES'!$Y389="","-",'ORDENES'!$Y389))</f>
        <v/>
      </c>
      <c r="G411" s="3">
        <f>IF('ORDENES'!$A389="","",IF('ORDENES'!$W389="","-",'ORDENES'!$W389))</f>
        <v/>
      </c>
      <c r="H411" s="3">
        <f>IF('ORDENES'!$A389="","",IF('ORDENES'!$AE389="","-",'ORDENES'!$AE389))</f>
        <v/>
      </c>
      <c r="I411" s="3">
        <f>IF('ORDENES'!$A389="","",IF('ORDENES'!$AQ389="","-",'ORDENES'!$AQ389))</f>
        <v/>
      </c>
      <c r="J411" s="3">
        <f>IF('ORDENES'!$A389="","",IF('ORDENES'!$D389="","-",'ORDENES'!$D389))</f>
        <v/>
      </c>
      <c r="K411" s="3">
        <f>IF('ORDENES'!$A389="","",IF('ORDENES'!$E389="","-",'ORDENES'!$E389))</f>
        <v/>
      </c>
      <c r="L411" s="13">
        <f>IF('ORDENES'!$A389="","",IF('ORDENES'!$M389="",0,'ORDENES'!$M389))</f>
        <v/>
      </c>
      <c r="M411" s="3">
        <f>IF('ORDENES'!$A389="","",IF('ORDENES'!$N389="","-",'ORDENES'!$N389))</f>
        <v/>
      </c>
      <c r="N411" s="3">
        <f>IF('ORDENES'!$A389="","",'ORDENES'!$AD389)</f>
        <v/>
      </c>
    </row>
    <row r="412">
      <c r="A412" s="3">
        <f>IF('ORDENES'!$A390="","",IF('ORDENES'!$O390="","-",'ORDENES'!$O390))</f>
        <v/>
      </c>
      <c r="B412" s="3">
        <f>IF('ORDENES'!$A390="","",IF('ORDENES'!$R390="","-",'ORDENES'!$R390))</f>
        <v/>
      </c>
      <c r="C412" s="3">
        <f>IF('ORDENES'!$A390="","",IF('ORDENES'!$AF390="","-",'ORDENES'!$AF390))</f>
        <v/>
      </c>
      <c r="D412" s="3">
        <f>IF('ORDENES'!$A390="","",IF('ORDENES'!$X390="","-",'ORDENES'!$X390))</f>
        <v/>
      </c>
      <c r="E412" s="3">
        <f>IF('ORDENES'!$A390="","",IF('ORDENES'!$V390="","-",'ORDENES'!$V390))</f>
        <v/>
      </c>
      <c r="F412" s="3">
        <f>IF('ORDENES'!$A390="","",IF('ORDENES'!$Y390="","-",'ORDENES'!$Y390))</f>
        <v/>
      </c>
      <c r="G412" s="3">
        <f>IF('ORDENES'!$A390="","",IF('ORDENES'!$W390="","-",'ORDENES'!$W390))</f>
        <v/>
      </c>
      <c r="H412" s="3">
        <f>IF('ORDENES'!$A390="","",IF('ORDENES'!$AE390="","-",'ORDENES'!$AE390))</f>
        <v/>
      </c>
      <c r="I412" s="3">
        <f>IF('ORDENES'!$A390="","",IF('ORDENES'!$AQ390="","-",'ORDENES'!$AQ390))</f>
        <v/>
      </c>
      <c r="J412" s="3">
        <f>IF('ORDENES'!$A390="","",IF('ORDENES'!$D390="","-",'ORDENES'!$D390))</f>
        <v/>
      </c>
      <c r="K412" s="3">
        <f>IF('ORDENES'!$A390="","",IF('ORDENES'!$E390="","-",'ORDENES'!$E390))</f>
        <v/>
      </c>
      <c r="L412" s="13">
        <f>IF('ORDENES'!$A390="","",IF('ORDENES'!$M390="",0,'ORDENES'!$M390))</f>
        <v/>
      </c>
      <c r="M412" s="3">
        <f>IF('ORDENES'!$A390="","",IF('ORDENES'!$N390="","-",'ORDENES'!$N390))</f>
        <v/>
      </c>
      <c r="N412" s="3">
        <f>IF('ORDENES'!$A390="","",'ORDENES'!$AD390)</f>
        <v/>
      </c>
    </row>
    <row r="413">
      <c r="A413" s="3">
        <f>IF('ORDENES'!$A391="","",IF('ORDENES'!$O391="","-",'ORDENES'!$O391))</f>
        <v/>
      </c>
      <c r="B413" s="3">
        <f>IF('ORDENES'!$A391="","",IF('ORDENES'!$R391="","-",'ORDENES'!$R391))</f>
        <v/>
      </c>
      <c r="C413" s="3">
        <f>IF('ORDENES'!$A391="","",IF('ORDENES'!$AF391="","-",'ORDENES'!$AF391))</f>
        <v/>
      </c>
      <c r="D413" s="3">
        <f>IF('ORDENES'!$A391="","",IF('ORDENES'!$X391="","-",'ORDENES'!$X391))</f>
        <v/>
      </c>
      <c r="E413" s="3">
        <f>IF('ORDENES'!$A391="","",IF('ORDENES'!$V391="","-",'ORDENES'!$V391))</f>
        <v/>
      </c>
      <c r="F413" s="3">
        <f>IF('ORDENES'!$A391="","",IF('ORDENES'!$Y391="","-",'ORDENES'!$Y391))</f>
        <v/>
      </c>
      <c r="G413" s="3">
        <f>IF('ORDENES'!$A391="","",IF('ORDENES'!$W391="","-",'ORDENES'!$W391))</f>
        <v/>
      </c>
      <c r="H413" s="3">
        <f>IF('ORDENES'!$A391="","",IF('ORDENES'!$AE391="","-",'ORDENES'!$AE391))</f>
        <v/>
      </c>
      <c r="I413" s="3">
        <f>IF('ORDENES'!$A391="","",IF('ORDENES'!$AQ391="","-",'ORDENES'!$AQ391))</f>
        <v/>
      </c>
      <c r="J413" s="3">
        <f>IF('ORDENES'!$A391="","",IF('ORDENES'!$D391="","-",'ORDENES'!$D391))</f>
        <v/>
      </c>
      <c r="K413" s="3">
        <f>IF('ORDENES'!$A391="","",IF('ORDENES'!$E391="","-",'ORDENES'!$E391))</f>
        <v/>
      </c>
      <c r="L413" s="13">
        <f>IF('ORDENES'!$A391="","",IF('ORDENES'!$M391="",0,'ORDENES'!$M391))</f>
        <v/>
      </c>
      <c r="M413" s="3">
        <f>IF('ORDENES'!$A391="","",IF('ORDENES'!$N391="","-",'ORDENES'!$N391))</f>
        <v/>
      </c>
      <c r="N413" s="3">
        <f>IF('ORDENES'!$A391="","",'ORDENES'!$AD391)</f>
        <v/>
      </c>
    </row>
    <row r="414">
      <c r="A414" s="3">
        <f>IF('ORDENES'!$A392="","",IF('ORDENES'!$O392="","-",'ORDENES'!$O392))</f>
        <v/>
      </c>
      <c r="B414" s="3">
        <f>IF('ORDENES'!$A392="","",IF('ORDENES'!$R392="","-",'ORDENES'!$R392))</f>
        <v/>
      </c>
      <c r="C414" s="3">
        <f>IF('ORDENES'!$A392="","",IF('ORDENES'!$AF392="","-",'ORDENES'!$AF392))</f>
        <v/>
      </c>
      <c r="D414" s="3">
        <f>IF('ORDENES'!$A392="","",IF('ORDENES'!$X392="","-",'ORDENES'!$X392))</f>
        <v/>
      </c>
      <c r="E414" s="3">
        <f>IF('ORDENES'!$A392="","",IF('ORDENES'!$V392="","-",'ORDENES'!$V392))</f>
        <v/>
      </c>
      <c r="F414" s="3">
        <f>IF('ORDENES'!$A392="","",IF('ORDENES'!$Y392="","-",'ORDENES'!$Y392))</f>
        <v/>
      </c>
      <c r="G414" s="3">
        <f>IF('ORDENES'!$A392="","",IF('ORDENES'!$W392="","-",'ORDENES'!$W392))</f>
        <v/>
      </c>
      <c r="H414" s="3">
        <f>IF('ORDENES'!$A392="","",IF('ORDENES'!$AE392="","-",'ORDENES'!$AE392))</f>
        <v/>
      </c>
      <c r="I414" s="3">
        <f>IF('ORDENES'!$A392="","",IF('ORDENES'!$AQ392="","-",'ORDENES'!$AQ392))</f>
        <v/>
      </c>
      <c r="J414" s="3">
        <f>IF('ORDENES'!$A392="","",IF('ORDENES'!$D392="","-",'ORDENES'!$D392))</f>
        <v/>
      </c>
      <c r="K414" s="3">
        <f>IF('ORDENES'!$A392="","",IF('ORDENES'!$E392="","-",'ORDENES'!$E392))</f>
        <v/>
      </c>
      <c r="L414" s="13">
        <f>IF('ORDENES'!$A392="","",IF('ORDENES'!$M392="",0,'ORDENES'!$M392))</f>
        <v/>
      </c>
      <c r="M414" s="3">
        <f>IF('ORDENES'!$A392="","",IF('ORDENES'!$N392="","-",'ORDENES'!$N392))</f>
        <v/>
      </c>
      <c r="N414" s="3">
        <f>IF('ORDENES'!$A392="","",'ORDENES'!$AD392)</f>
        <v/>
      </c>
    </row>
    <row r="415">
      <c r="A415" s="3">
        <f>IF('ORDENES'!$A393="","",IF('ORDENES'!$O393="","-",'ORDENES'!$O393))</f>
        <v/>
      </c>
      <c r="B415" s="3">
        <f>IF('ORDENES'!$A393="","",IF('ORDENES'!$R393="","-",'ORDENES'!$R393))</f>
        <v/>
      </c>
      <c r="C415" s="3">
        <f>IF('ORDENES'!$A393="","",IF('ORDENES'!$AF393="","-",'ORDENES'!$AF393))</f>
        <v/>
      </c>
      <c r="D415" s="3">
        <f>IF('ORDENES'!$A393="","",IF('ORDENES'!$X393="","-",'ORDENES'!$X393))</f>
        <v/>
      </c>
      <c r="E415" s="3">
        <f>IF('ORDENES'!$A393="","",IF('ORDENES'!$V393="","-",'ORDENES'!$V393))</f>
        <v/>
      </c>
      <c r="F415" s="3">
        <f>IF('ORDENES'!$A393="","",IF('ORDENES'!$Y393="","-",'ORDENES'!$Y393))</f>
        <v/>
      </c>
      <c r="G415" s="3">
        <f>IF('ORDENES'!$A393="","",IF('ORDENES'!$W393="","-",'ORDENES'!$W393))</f>
        <v/>
      </c>
      <c r="H415" s="3">
        <f>IF('ORDENES'!$A393="","",IF('ORDENES'!$AE393="","-",'ORDENES'!$AE393))</f>
        <v/>
      </c>
      <c r="I415" s="3">
        <f>IF('ORDENES'!$A393="","",IF('ORDENES'!$AQ393="","-",'ORDENES'!$AQ393))</f>
        <v/>
      </c>
      <c r="J415" s="3">
        <f>IF('ORDENES'!$A393="","",IF('ORDENES'!$D393="","-",'ORDENES'!$D393))</f>
        <v/>
      </c>
      <c r="K415" s="3">
        <f>IF('ORDENES'!$A393="","",IF('ORDENES'!$E393="","-",'ORDENES'!$E393))</f>
        <v/>
      </c>
      <c r="L415" s="13">
        <f>IF('ORDENES'!$A393="","",IF('ORDENES'!$M393="",0,'ORDENES'!$M393))</f>
        <v/>
      </c>
      <c r="M415" s="3">
        <f>IF('ORDENES'!$A393="","",IF('ORDENES'!$N393="","-",'ORDENES'!$N393))</f>
        <v/>
      </c>
      <c r="N415" s="3">
        <f>IF('ORDENES'!$A393="","",'ORDENES'!$AD393)</f>
        <v/>
      </c>
    </row>
    <row r="416">
      <c r="A416" s="3">
        <f>IF('ORDENES'!$A394="","",IF('ORDENES'!$O394="","-",'ORDENES'!$O394))</f>
        <v/>
      </c>
      <c r="B416" s="3">
        <f>IF('ORDENES'!$A394="","",IF('ORDENES'!$R394="","-",'ORDENES'!$R394))</f>
        <v/>
      </c>
      <c r="C416" s="3">
        <f>IF('ORDENES'!$A394="","",IF('ORDENES'!$AF394="","-",'ORDENES'!$AF394))</f>
        <v/>
      </c>
      <c r="D416" s="3">
        <f>IF('ORDENES'!$A394="","",IF('ORDENES'!$X394="","-",'ORDENES'!$X394))</f>
        <v/>
      </c>
      <c r="E416" s="3">
        <f>IF('ORDENES'!$A394="","",IF('ORDENES'!$V394="","-",'ORDENES'!$V394))</f>
        <v/>
      </c>
      <c r="F416" s="3">
        <f>IF('ORDENES'!$A394="","",IF('ORDENES'!$Y394="","-",'ORDENES'!$Y394))</f>
        <v/>
      </c>
      <c r="G416" s="3">
        <f>IF('ORDENES'!$A394="","",IF('ORDENES'!$W394="","-",'ORDENES'!$W394))</f>
        <v/>
      </c>
      <c r="H416" s="3">
        <f>IF('ORDENES'!$A394="","",IF('ORDENES'!$AE394="","-",'ORDENES'!$AE394))</f>
        <v/>
      </c>
      <c r="I416" s="3">
        <f>IF('ORDENES'!$A394="","",IF('ORDENES'!$AQ394="","-",'ORDENES'!$AQ394))</f>
        <v/>
      </c>
      <c r="J416" s="3">
        <f>IF('ORDENES'!$A394="","",IF('ORDENES'!$D394="","-",'ORDENES'!$D394))</f>
        <v/>
      </c>
      <c r="K416" s="3">
        <f>IF('ORDENES'!$A394="","",IF('ORDENES'!$E394="","-",'ORDENES'!$E394))</f>
        <v/>
      </c>
      <c r="L416" s="13">
        <f>IF('ORDENES'!$A394="","",IF('ORDENES'!$M394="",0,'ORDENES'!$M394))</f>
        <v/>
      </c>
      <c r="M416" s="3">
        <f>IF('ORDENES'!$A394="","",IF('ORDENES'!$N394="","-",'ORDENES'!$N394))</f>
        <v/>
      </c>
      <c r="N416" s="3">
        <f>IF('ORDENES'!$A394="","",'ORDENES'!$AD394)</f>
        <v/>
      </c>
    </row>
    <row r="417">
      <c r="A417" s="3">
        <f>IF('ORDENES'!$A395="","",IF('ORDENES'!$O395="","-",'ORDENES'!$O395))</f>
        <v/>
      </c>
      <c r="B417" s="3">
        <f>IF('ORDENES'!$A395="","",IF('ORDENES'!$R395="","-",'ORDENES'!$R395))</f>
        <v/>
      </c>
      <c r="C417" s="3">
        <f>IF('ORDENES'!$A395="","",IF('ORDENES'!$AF395="","-",'ORDENES'!$AF395))</f>
        <v/>
      </c>
      <c r="D417" s="3">
        <f>IF('ORDENES'!$A395="","",IF('ORDENES'!$X395="","-",'ORDENES'!$X395))</f>
        <v/>
      </c>
      <c r="E417" s="3">
        <f>IF('ORDENES'!$A395="","",IF('ORDENES'!$V395="","-",'ORDENES'!$V395))</f>
        <v/>
      </c>
      <c r="F417" s="3">
        <f>IF('ORDENES'!$A395="","",IF('ORDENES'!$Y395="","-",'ORDENES'!$Y395))</f>
        <v/>
      </c>
      <c r="G417" s="3">
        <f>IF('ORDENES'!$A395="","",IF('ORDENES'!$W395="","-",'ORDENES'!$W395))</f>
        <v/>
      </c>
      <c r="H417" s="3">
        <f>IF('ORDENES'!$A395="","",IF('ORDENES'!$AE395="","-",'ORDENES'!$AE395))</f>
        <v/>
      </c>
      <c r="I417" s="3">
        <f>IF('ORDENES'!$A395="","",IF('ORDENES'!$AQ395="","-",'ORDENES'!$AQ395))</f>
        <v/>
      </c>
      <c r="J417" s="3">
        <f>IF('ORDENES'!$A395="","",IF('ORDENES'!$D395="","-",'ORDENES'!$D395))</f>
        <v/>
      </c>
      <c r="K417" s="3">
        <f>IF('ORDENES'!$A395="","",IF('ORDENES'!$E395="","-",'ORDENES'!$E395))</f>
        <v/>
      </c>
      <c r="L417" s="13">
        <f>IF('ORDENES'!$A395="","",IF('ORDENES'!$M395="",0,'ORDENES'!$M395))</f>
        <v/>
      </c>
      <c r="M417" s="3">
        <f>IF('ORDENES'!$A395="","",IF('ORDENES'!$N395="","-",'ORDENES'!$N395))</f>
        <v/>
      </c>
      <c r="N417" s="3">
        <f>IF('ORDENES'!$A395="","",'ORDENES'!$AD395)</f>
        <v/>
      </c>
    </row>
    <row r="418">
      <c r="A418" s="3">
        <f>IF('ORDENES'!$A396="","",IF('ORDENES'!$O396="","-",'ORDENES'!$O396))</f>
        <v/>
      </c>
      <c r="B418" s="3">
        <f>IF('ORDENES'!$A396="","",IF('ORDENES'!$R396="","-",'ORDENES'!$R396))</f>
        <v/>
      </c>
      <c r="C418" s="3">
        <f>IF('ORDENES'!$A396="","",IF('ORDENES'!$AF396="","-",'ORDENES'!$AF396))</f>
        <v/>
      </c>
      <c r="D418" s="3">
        <f>IF('ORDENES'!$A396="","",IF('ORDENES'!$X396="","-",'ORDENES'!$X396))</f>
        <v/>
      </c>
      <c r="E418" s="3">
        <f>IF('ORDENES'!$A396="","",IF('ORDENES'!$V396="","-",'ORDENES'!$V396))</f>
        <v/>
      </c>
      <c r="F418" s="3">
        <f>IF('ORDENES'!$A396="","",IF('ORDENES'!$Y396="","-",'ORDENES'!$Y396))</f>
        <v/>
      </c>
      <c r="G418" s="3">
        <f>IF('ORDENES'!$A396="","",IF('ORDENES'!$W396="","-",'ORDENES'!$W396))</f>
        <v/>
      </c>
      <c r="H418" s="3">
        <f>IF('ORDENES'!$A396="","",IF('ORDENES'!$AE396="","-",'ORDENES'!$AE396))</f>
        <v/>
      </c>
      <c r="I418" s="3">
        <f>IF('ORDENES'!$A396="","",IF('ORDENES'!$AQ396="","-",'ORDENES'!$AQ396))</f>
        <v/>
      </c>
      <c r="J418" s="3">
        <f>IF('ORDENES'!$A396="","",IF('ORDENES'!$D396="","-",'ORDENES'!$D396))</f>
        <v/>
      </c>
      <c r="K418" s="3">
        <f>IF('ORDENES'!$A396="","",IF('ORDENES'!$E396="","-",'ORDENES'!$E396))</f>
        <v/>
      </c>
      <c r="L418" s="13">
        <f>IF('ORDENES'!$A396="","",IF('ORDENES'!$M396="",0,'ORDENES'!$M396))</f>
        <v/>
      </c>
      <c r="M418" s="3">
        <f>IF('ORDENES'!$A396="","",IF('ORDENES'!$N396="","-",'ORDENES'!$N396))</f>
        <v/>
      </c>
      <c r="N418" s="3">
        <f>IF('ORDENES'!$A396="","",'ORDENES'!$AD396)</f>
        <v/>
      </c>
    </row>
    <row r="419">
      <c r="A419" s="3">
        <f>IF('ORDENES'!$A397="","",IF('ORDENES'!$O397="","-",'ORDENES'!$O397))</f>
        <v/>
      </c>
      <c r="B419" s="3">
        <f>IF('ORDENES'!$A397="","",IF('ORDENES'!$R397="","-",'ORDENES'!$R397))</f>
        <v/>
      </c>
      <c r="C419" s="3">
        <f>IF('ORDENES'!$A397="","",IF('ORDENES'!$AF397="","-",'ORDENES'!$AF397))</f>
        <v/>
      </c>
      <c r="D419" s="3">
        <f>IF('ORDENES'!$A397="","",IF('ORDENES'!$X397="","-",'ORDENES'!$X397))</f>
        <v/>
      </c>
      <c r="E419" s="3">
        <f>IF('ORDENES'!$A397="","",IF('ORDENES'!$V397="","-",'ORDENES'!$V397))</f>
        <v/>
      </c>
      <c r="F419" s="3">
        <f>IF('ORDENES'!$A397="","",IF('ORDENES'!$Y397="","-",'ORDENES'!$Y397))</f>
        <v/>
      </c>
      <c r="G419" s="3">
        <f>IF('ORDENES'!$A397="","",IF('ORDENES'!$W397="","-",'ORDENES'!$W397))</f>
        <v/>
      </c>
      <c r="H419" s="3">
        <f>IF('ORDENES'!$A397="","",IF('ORDENES'!$AE397="","-",'ORDENES'!$AE397))</f>
        <v/>
      </c>
      <c r="I419" s="3">
        <f>IF('ORDENES'!$A397="","",IF('ORDENES'!$AQ397="","-",'ORDENES'!$AQ397))</f>
        <v/>
      </c>
      <c r="J419" s="3">
        <f>IF('ORDENES'!$A397="","",IF('ORDENES'!$D397="","-",'ORDENES'!$D397))</f>
        <v/>
      </c>
      <c r="K419" s="3">
        <f>IF('ORDENES'!$A397="","",IF('ORDENES'!$E397="","-",'ORDENES'!$E397))</f>
        <v/>
      </c>
      <c r="L419" s="13">
        <f>IF('ORDENES'!$A397="","",IF('ORDENES'!$M397="",0,'ORDENES'!$M397))</f>
        <v/>
      </c>
      <c r="M419" s="3">
        <f>IF('ORDENES'!$A397="","",IF('ORDENES'!$N397="","-",'ORDENES'!$N397))</f>
        <v/>
      </c>
      <c r="N419" s="3">
        <f>IF('ORDENES'!$A397="","",'ORDENES'!$AD397)</f>
        <v/>
      </c>
    </row>
    <row r="420">
      <c r="A420" s="3">
        <f>IF('ORDENES'!$A398="","",IF('ORDENES'!$O398="","-",'ORDENES'!$O398))</f>
        <v/>
      </c>
      <c r="B420" s="3">
        <f>IF('ORDENES'!$A398="","",IF('ORDENES'!$R398="","-",'ORDENES'!$R398))</f>
        <v/>
      </c>
      <c r="C420" s="3">
        <f>IF('ORDENES'!$A398="","",IF('ORDENES'!$AF398="","-",'ORDENES'!$AF398))</f>
        <v/>
      </c>
      <c r="D420" s="3">
        <f>IF('ORDENES'!$A398="","",IF('ORDENES'!$X398="","-",'ORDENES'!$X398))</f>
        <v/>
      </c>
      <c r="E420" s="3">
        <f>IF('ORDENES'!$A398="","",IF('ORDENES'!$V398="","-",'ORDENES'!$V398))</f>
        <v/>
      </c>
      <c r="F420" s="3">
        <f>IF('ORDENES'!$A398="","",IF('ORDENES'!$Y398="","-",'ORDENES'!$Y398))</f>
        <v/>
      </c>
      <c r="G420" s="3">
        <f>IF('ORDENES'!$A398="","",IF('ORDENES'!$W398="","-",'ORDENES'!$W398))</f>
        <v/>
      </c>
      <c r="H420" s="3">
        <f>IF('ORDENES'!$A398="","",IF('ORDENES'!$AE398="","-",'ORDENES'!$AE398))</f>
        <v/>
      </c>
      <c r="I420" s="3">
        <f>IF('ORDENES'!$A398="","",IF('ORDENES'!$AQ398="","-",'ORDENES'!$AQ398))</f>
        <v/>
      </c>
      <c r="J420" s="3">
        <f>IF('ORDENES'!$A398="","",IF('ORDENES'!$D398="","-",'ORDENES'!$D398))</f>
        <v/>
      </c>
      <c r="K420" s="3">
        <f>IF('ORDENES'!$A398="","",IF('ORDENES'!$E398="","-",'ORDENES'!$E398))</f>
        <v/>
      </c>
      <c r="L420" s="13">
        <f>IF('ORDENES'!$A398="","",IF('ORDENES'!$M398="",0,'ORDENES'!$M398))</f>
        <v/>
      </c>
      <c r="M420" s="3">
        <f>IF('ORDENES'!$A398="","",IF('ORDENES'!$N398="","-",'ORDENES'!$N398))</f>
        <v/>
      </c>
      <c r="N420" s="3">
        <f>IF('ORDENES'!$A398="","",'ORDENES'!$AD398)</f>
        <v/>
      </c>
    </row>
    <row r="421">
      <c r="A421" s="3">
        <f>IF('ORDENES'!$A399="","",IF('ORDENES'!$O399="","-",'ORDENES'!$O399))</f>
        <v/>
      </c>
      <c r="B421" s="3">
        <f>IF('ORDENES'!$A399="","",IF('ORDENES'!$R399="","-",'ORDENES'!$R399))</f>
        <v/>
      </c>
      <c r="C421" s="3">
        <f>IF('ORDENES'!$A399="","",IF('ORDENES'!$AF399="","-",'ORDENES'!$AF399))</f>
        <v/>
      </c>
      <c r="D421" s="3">
        <f>IF('ORDENES'!$A399="","",IF('ORDENES'!$X399="","-",'ORDENES'!$X399))</f>
        <v/>
      </c>
      <c r="E421" s="3">
        <f>IF('ORDENES'!$A399="","",IF('ORDENES'!$V399="","-",'ORDENES'!$V399))</f>
        <v/>
      </c>
      <c r="F421" s="3">
        <f>IF('ORDENES'!$A399="","",IF('ORDENES'!$Y399="","-",'ORDENES'!$Y399))</f>
        <v/>
      </c>
      <c r="G421" s="3">
        <f>IF('ORDENES'!$A399="","",IF('ORDENES'!$W399="","-",'ORDENES'!$W399))</f>
        <v/>
      </c>
      <c r="H421" s="3">
        <f>IF('ORDENES'!$A399="","",IF('ORDENES'!$AE399="","-",'ORDENES'!$AE399))</f>
        <v/>
      </c>
      <c r="I421" s="3">
        <f>IF('ORDENES'!$A399="","",IF('ORDENES'!$AQ399="","-",'ORDENES'!$AQ399))</f>
        <v/>
      </c>
      <c r="J421" s="3">
        <f>IF('ORDENES'!$A399="","",IF('ORDENES'!$D399="","-",'ORDENES'!$D399))</f>
        <v/>
      </c>
      <c r="K421" s="3">
        <f>IF('ORDENES'!$A399="","",IF('ORDENES'!$E399="","-",'ORDENES'!$E399))</f>
        <v/>
      </c>
      <c r="L421" s="13">
        <f>IF('ORDENES'!$A399="","",IF('ORDENES'!$M399="",0,'ORDENES'!$M399))</f>
        <v/>
      </c>
      <c r="M421" s="3">
        <f>IF('ORDENES'!$A399="","",IF('ORDENES'!$N399="","-",'ORDENES'!$N399))</f>
        <v/>
      </c>
      <c r="N421" s="3">
        <f>IF('ORDENES'!$A399="","",'ORDENES'!$AD399)</f>
        <v/>
      </c>
    </row>
    <row r="422">
      <c r="A422" s="3">
        <f>IF('ORDENES'!$A400="","",IF('ORDENES'!$O400="","-",'ORDENES'!$O400))</f>
        <v/>
      </c>
      <c r="B422" s="3">
        <f>IF('ORDENES'!$A400="","",IF('ORDENES'!$R400="","-",'ORDENES'!$R400))</f>
        <v/>
      </c>
      <c r="C422" s="3">
        <f>IF('ORDENES'!$A400="","",IF('ORDENES'!$AF400="","-",'ORDENES'!$AF400))</f>
        <v/>
      </c>
      <c r="D422" s="3">
        <f>IF('ORDENES'!$A400="","",IF('ORDENES'!$X400="","-",'ORDENES'!$X400))</f>
        <v/>
      </c>
      <c r="E422" s="3">
        <f>IF('ORDENES'!$A400="","",IF('ORDENES'!$V400="","-",'ORDENES'!$V400))</f>
        <v/>
      </c>
      <c r="F422" s="3">
        <f>IF('ORDENES'!$A400="","",IF('ORDENES'!$Y400="","-",'ORDENES'!$Y400))</f>
        <v/>
      </c>
      <c r="G422" s="3">
        <f>IF('ORDENES'!$A400="","",IF('ORDENES'!$W400="","-",'ORDENES'!$W400))</f>
        <v/>
      </c>
      <c r="H422" s="3">
        <f>IF('ORDENES'!$A400="","",IF('ORDENES'!$AE400="","-",'ORDENES'!$AE400))</f>
        <v/>
      </c>
      <c r="I422" s="3">
        <f>IF('ORDENES'!$A400="","",IF('ORDENES'!$AQ400="","-",'ORDENES'!$AQ400))</f>
        <v/>
      </c>
      <c r="J422" s="3">
        <f>IF('ORDENES'!$A400="","",IF('ORDENES'!$D400="","-",'ORDENES'!$D400))</f>
        <v/>
      </c>
      <c r="K422" s="3">
        <f>IF('ORDENES'!$A400="","",IF('ORDENES'!$E400="","-",'ORDENES'!$E400))</f>
        <v/>
      </c>
      <c r="L422" s="13">
        <f>IF('ORDENES'!$A400="","",IF('ORDENES'!$M400="",0,'ORDENES'!$M400))</f>
        <v/>
      </c>
      <c r="M422" s="3">
        <f>IF('ORDENES'!$A400="","",IF('ORDENES'!$N400="","-",'ORDENES'!$N400))</f>
        <v/>
      </c>
      <c r="N422" s="3">
        <f>IF('ORDENES'!$A400="","",'ORDENES'!$AD400)</f>
        <v/>
      </c>
    </row>
    <row r="423">
      <c r="A423" s="3">
        <f>IF('ORDENES'!$A401="","",IF('ORDENES'!$O401="","-",'ORDENES'!$O401))</f>
        <v/>
      </c>
      <c r="B423" s="3">
        <f>IF('ORDENES'!$A401="","",IF('ORDENES'!$R401="","-",'ORDENES'!$R401))</f>
        <v/>
      </c>
      <c r="C423" s="3">
        <f>IF('ORDENES'!$A401="","",IF('ORDENES'!$AF401="","-",'ORDENES'!$AF401))</f>
        <v/>
      </c>
      <c r="D423" s="3">
        <f>IF('ORDENES'!$A401="","",IF('ORDENES'!$X401="","-",'ORDENES'!$X401))</f>
        <v/>
      </c>
      <c r="E423" s="3">
        <f>IF('ORDENES'!$A401="","",IF('ORDENES'!$V401="","-",'ORDENES'!$V401))</f>
        <v/>
      </c>
      <c r="F423" s="3">
        <f>IF('ORDENES'!$A401="","",IF('ORDENES'!$Y401="","-",'ORDENES'!$Y401))</f>
        <v/>
      </c>
      <c r="G423" s="3">
        <f>IF('ORDENES'!$A401="","",IF('ORDENES'!$W401="","-",'ORDENES'!$W401))</f>
        <v/>
      </c>
      <c r="H423" s="3">
        <f>IF('ORDENES'!$A401="","",IF('ORDENES'!$AE401="","-",'ORDENES'!$AE401))</f>
        <v/>
      </c>
      <c r="I423" s="3">
        <f>IF('ORDENES'!$A401="","",IF('ORDENES'!$AQ401="","-",'ORDENES'!$AQ401))</f>
        <v/>
      </c>
      <c r="J423" s="3">
        <f>IF('ORDENES'!$A401="","",IF('ORDENES'!$D401="","-",'ORDENES'!$D401))</f>
        <v/>
      </c>
      <c r="K423" s="3">
        <f>IF('ORDENES'!$A401="","",IF('ORDENES'!$E401="","-",'ORDENES'!$E401))</f>
        <v/>
      </c>
      <c r="L423" s="13">
        <f>IF('ORDENES'!$A401="","",IF('ORDENES'!$M401="",0,'ORDENES'!$M401))</f>
        <v/>
      </c>
      <c r="M423" s="3">
        <f>IF('ORDENES'!$A401="","",IF('ORDENES'!$N401="","-",'ORDENES'!$N401))</f>
        <v/>
      </c>
      <c r="N423" s="3">
        <f>IF('ORDENES'!$A401="","",'ORDENES'!$AD401)</f>
        <v/>
      </c>
    </row>
    <row r="424">
      <c r="A424" s="3">
        <f>IF('ORDENES'!$A402="","",IF('ORDENES'!$O402="","-",'ORDENES'!$O402))</f>
        <v/>
      </c>
      <c r="B424" s="3">
        <f>IF('ORDENES'!$A402="","",IF('ORDENES'!$R402="","-",'ORDENES'!$R402))</f>
        <v/>
      </c>
      <c r="C424" s="3">
        <f>IF('ORDENES'!$A402="","",IF('ORDENES'!$AF402="","-",'ORDENES'!$AF402))</f>
        <v/>
      </c>
      <c r="D424" s="3">
        <f>IF('ORDENES'!$A402="","",IF('ORDENES'!$X402="","-",'ORDENES'!$X402))</f>
        <v/>
      </c>
      <c r="E424" s="3">
        <f>IF('ORDENES'!$A402="","",IF('ORDENES'!$V402="","-",'ORDENES'!$V402))</f>
        <v/>
      </c>
      <c r="F424" s="3">
        <f>IF('ORDENES'!$A402="","",IF('ORDENES'!$Y402="","-",'ORDENES'!$Y402))</f>
        <v/>
      </c>
      <c r="G424" s="3">
        <f>IF('ORDENES'!$A402="","",IF('ORDENES'!$W402="","-",'ORDENES'!$W402))</f>
        <v/>
      </c>
      <c r="H424" s="3">
        <f>IF('ORDENES'!$A402="","",IF('ORDENES'!$AE402="","-",'ORDENES'!$AE402))</f>
        <v/>
      </c>
      <c r="I424" s="3">
        <f>IF('ORDENES'!$A402="","",IF('ORDENES'!$AQ402="","-",'ORDENES'!$AQ402))</f>
        <v/>
      </c>
      <c r="J424" s="3">
        <f>IF('ORDENES'!$A402="","",IF('ORDENES'!$D402="","-",'ORDENES'!$D402))</f>
        <v/>
      </c>
      <c r="K424" s="3">
        <f>IF('ORDENES'!$A402="","",IF('ORDENES'!$E402="","-",'ORDENES'!$E402))</f>
        <v/>
      </c>
      <c r="L424" s="13">
        <f>IF('ORDENES'!$A402="","",IF('ORDENES'!$M402="",0,'ORDENES'!$M402))</f>
        <v/>
      </c>
      <c r="M424" s="3">
        <f>IF('ORDENES'!$A402="","",IF('ORDENES'!$N402="","-",'ORDENES'!$N402))</f>
        <v/>
      </c>
      <c r="N424" s="3">
        <f>IF('ORDENES'!$A402="","",'ORDENES'!$AD402)</f>
        <v/>
      </c>
    </row>
    <row r="425">
      <c r="A425" s="3">
        <f>IF('ORDENES'!$A403="","",IF('ORDENES'!$O403="","-",'ORDENES'!$O403))</f>
        <v/>
      </c>
      <c r="B425" s="3">
        <f>IF('ORDENES'!$A403="","",IF('ORDENES'!$R403="","-",'ORDENES'!$R403))</f>
        <v/>
      </c>
      <c r="C425" s="3">
        <f>IF('ORDENES'!$A403="","",IF('ORDENES'!$AF403="","-",'ORDENES'!$AF403))</f>
        <v/>
      </c>
      <c r="D425" s="3">
        <f>IF('ORDENES'!$A403="","",IF('ORDENES'!$X403="","-",'ORDENES'!$X403))</f>
        <v/>
      </c>
      <c r="E425" s="3">
        <f>IF('ORDENES'!$A403="","",IF('ORDENES'!$V403="","-",'ORDENES'!$V403))</f>
        <v/>
      </c>
      <c r="F425" s="3">
        <f>IF('ORDENES'!$A403="","",IF('ORDENES'!$Y403="","-",'ORDENES'!$Y403))</f>
        <v/>
      </c>
      <c r="G425" s="3">
        <f>IF('ORDENES'!$A403="","",IF('ORDENES'!$W403="","-",'ORDENES'!$W403))</f>
        <v/>
      </c>
      <c r="H425" s="3">
        <f>IF('ORDENES'!$A403="","",IF('ORDENES'!$AE403="","-",'ORDENES'!$AE403))</f>
        <v/>
      </c>
      <c r="I425" s="3">
        <f>IF('ORDENES'!$A403="","",IF('ORDENES'!$AQ403="","-",'ORDENES'!$AQ403))</f>
        <v/>
      </c>
      <c r="J425" s="3">
        <f>IF('ORDENES'!$A403="","",IF('ORDENES'!$D403="","-",'ORDENES'!$D403))</f>
        <v/>
      </c>
      <c r="K425" s="3">
        <f>IF('ORDENES'!$A403="","",IF('ORDENES'!$E403="","-",'ORDENES'!$E403))</f>
        <v/>
      </c>
      <c r="L425" s="13">
        <f>IF('ORDENES'!$A403="","",IF('ORDENES'!$M403="",0,'ORDENES'!$M403))</f>
        <v/>
      </c>
      <c r="M425" s="3">
        <f>IF('ORDENES'!$A403="","",IF('ORDENES'!$N403="","-",'ORDENES'!$N403))</f>
        <v/>
      </c>
      <c r="N425" s="3">
        <f>IF('ORDENES'!$A403="","",'ORDENES'!$AD403)</f>
        <v/>
      </c>
    </row>
    <row r="426">
      <c r="A426" s="3">
        <f>IF('ORDENES'!$A404="","",IF('ORDENES'!$O404="","-",'ORDENES'!$O404))</f>
        <v/>
      </c>
      <c r="B426" s="3">
        <f>IF('ORDENES'!$A404="","",IF('ORDENES'!$R404="","-",'ORDENES'!$R404))</f>
        <v/>
      </c>
      <c r="C426" s="3">
        <f>IF('ORDENES'!$A404="","",IF('ORDENES'!$AF404="","-",'ORDENES'!$AF404))</f>
        <v/>
      </c>
      <c r="D426" s="3">
        <f>IF('ORDENES'!$A404="","",IF('ORDENES'!$X404="","-",'ORDENES'!$X404))</f>
        <v/>
      </c>
      <c r="E426" s="3">
        <f>IF('ORDENES'!$A404="","",IF('ORDENES'!$V404="","-",'ORDENES'!$V404))</f>
        <v/>
      </c>
      <c r="F426" s="3">
        <f>IF('ORDENES'!$A404="","",IF('ORDENES'!$Y404="","-",'ORDENES'!$Y404))</f>
        <v/>
      </c>
      <c r="G426" s="3">
        <f>IF('ORDENES'!$A404="","",IF('ORDENES'!$W404="","-",'ORDENES'!$W404))</f>
        <v/>
      </c>
      <c r="H426" s="3">
        <f>IF('ORDENES'!$A404="","",IF('ORDENES'!$AE404="","-",'ORDENES'!$AE404))</f>
        <v/>
      </c>
      <c r="I426" s="3">
        <f>IF('ORDENES'!$A404="","",IF('ORDENES'!$AQ404="","-",'ORDENES'!$AQ404))</f>
        <v/>
      </c>
      <c r="J426" s="3">
        <f>IF('ORDENES'!$A404="","",IF('ORDENES'!$D404="","-",'ORDENES'!$D404))</f>
        <v/>
      </c>
      <c r="K426" s="3">
        <f>IF('ORDENES'!$A404="","",IF('ORDENES'!$E404="","-",'ORDENES'!$E404))</f>
        <v/>
      </c>
      <c r="L426" s="13">
        <f>IF('ORDENES'!$A404="","",IF('ORDENES'!$M404="",0,'ORDENES'!$M404))</f>
        <v/>
      </c>
      <c r="M426" s="3">
        <f>IF('ORDENES'!$A404="","",IF('ORDENES'!$N404="","-",'ORDENES'!$N404))</f>
        <v/>
      </c>
      <c r="N426" s="3">
        <f>IF('ORDENES'!$A404="","",'ORDENES'!$AD404)</f>
        <v/>
      </c>
    </row>
    <row r="427">
      <c r="A427" s="3">
        <f>IF('ORDENES'!$A405="","",IF('ORDENES'!$O405="","-",'ORDENES'!$O405))</f>
        <v/>
      </c>
      <c r="B427" s="3">
        <f>IF('ORDENES'!$A405="","",IF('ORDENES'!$R405="","-",'ORDENES'!$R405))</f>
        <v/>
      </c>
      <c r="C427" s="3">
        <f>IF('ORDENES'!$A405="","",IF('ORDENES'!$AF405="","-",'ORDENES'!$AF405))</f>
        <v/>
      </c>
      <c r="D427" s="3">
        <f>IF('ORDENES'!$A405="","",IF('ORDENES'!$X405="","-",'ORDENES'!$X405))</f>
        <v/>
      </c>
      <c r="E427" s="3">
        <f>IF('ORDENES'!$A405="","",IF('ORDENES'!$V405="","-",'ORDENES'!$V405))</f>
        <v/>
      </c>
      <c r="F427" s="3">
        <f>IF('ORDENES'!$A405="","",IF('ORDENES'!$Y405="","-",'ORDENES'!$Y405))</f>
        <v/>
      </c>
      <c r="G427" s="3">
        <f>IF('ORDENES'!$A405="","",IF('ORDENES'!$W405="","-",'ORDENES'!$W405))</f>
        <v/>
      </c>
      <c r="H427" s="3">
        <f>IF('ORDENES'!$A405="","",IF('ORDENES'!$AE405="","-",'ORDENES'!$AE405))</f>
        <v/>
      </c>
      <c r="I427" s="3">
        <f>IF('ORDENES'!$A405="","",IF('ORDENES'!$AQ405="","-",'ORDENES'!$AQ405))</f>
        <v/>
      </c>
      <c r="J427" s="3">
        <f>IF('ORDENES'!$A405="","",IF('ORDENES'!$D405="","-",'ORDENES'!$D405))</f>
        <v/>
      </c>
      <c r="K427" s="3">
        <f>IF('ORDENES'!$A405="","",IF('ORDENES'!$E405="","-",'ORDENES'!$E405))</f>
        <v/>
      </c>
      <c r="L427" s="13">
        <f>IF('ORDENES'!$A405="","",IF('ORDENES'!$M405="",0,'ORDENES'!$M405))</f>
        <v/>
      </c>
      <c r="M427" s="3">
        <f>IF('ORDENES'!$A405="","",IF('ORDENES'!$N405="","-",'ORDENES'!$N405))</f>
        <v/>
      </c>
      <c r="N427" s="3">
        <f>IF('ORDENES'!$A405="","",'ORDENES'!$AD405)</f>
        <v/>
      </c>
    </row>
    <row r="428">
      <c r="A428" s="3">
        <f>IF('ORDENES'!$A406="","",IF('ORDENES'!$O406="","-",'ORDENES'!$O406))</f>
        <v/>
      </c>
      <c r="B428" s="3">
        <f>IF('ORDENES'!$A406="","",IF('ORDENES'!$R406="","-",'ORDENES'!$R406))</f>
        <v/>
      </c>
      <c r="C428" s="3">
        <f>IF('ORDENES'!$A406="","",IF('ORDENES'!$AF406="","-",'ORDENES'!$AF406))</f>
        <v/>
      </c>
      <c r="D428" s="3">
        <f>IF('ORDENES'!$A406="","",IF('ORDENES'!$X406="","-",'ORDENES'!$X406))</f>
        <v/>
      </c>
      <c r="E428" s="3">
        <f>IF('ORDENES'!$A406="","",IF('ORDENES'!$V406="","-",'ORDENES'!$V406))</f>
        <v/>
      </c>
      <c r="F428" s="3">
        <f>IF('ORDENES'!$A406="","",IF('ORDENES'!$Y406="","-",'ORDENES'!$Y406))</f>
        <v/>
      </c>
      <c r="G428" s="3">
        <f>IF('ORDENES'!$A406="","",IF('ORDENES'!$W406="","-",'ORDENES'!$W406))</f>
        <v/>
      </c>
      <c r="H428" s="3">
        <f>IF('ORDENES'!$A406="","",IF('ORDENES'!$AE406="","-",'ORDENES'!$AE406))</f>
        <v/>
      </c>
      <c r="I428" s="3">
        <f>IF('ORDENES'!$A406="","",IF('ORDENES'!$AQ406="","-",'ORDENES'!$AQ406))</f>
        <v/>
      </c>
      <c r="J428" s="3">
        <f>IF('ORDENES'!$A406="","",IF('ORDENES'!$D406="","-",'ORDENES'!$D406))</f>
        <v/>
      </c>
      <c r="K428" s="3">
        <f>IF('ORDENES'!$A406="","",IF('ORDENES'!$E406="","-",'ORDENES'!$E406))</f>
        <v/>
      </c>
      <c r="L428" s="13">
        <f>IF('ORDENES'!$A406="","",IF('ORDENES'!$M406="",0,'ORDENES'!$M406))</f>
        <v/>
      </c>
      <c r="M428" s="3">
        <f>IF('ORDENES'!$A406="","",IF('ORDENES'!$N406="","-",'ORDENES'!$N406))</f>
        <v/>
      </c>
      <c r="N428" s="3">
        <f>IF('ORDENES'!$A406="","",'ORDENES'!$AD406)</f>
        <v/>
      </c>
    </row>
    <row r="429">
      <c r="A429" s="3">
        <f>IF('ORDENES'!$A407="","",IF('ORDENES'!$O407="","-",'ORDENES'!$O407))</f>
        <v/>
      </c>
      <c r="B429" s="3">
        <f>IF('ORDENES'!$A407="","",IF('ORDENES'!$R407="","-",'ORDENES'!$R407))</f>
        <v/>
      </c>
      <c r="C429" s="3">
        <f>IF('ORDENES'!$A407="","",IF('ORDENES'!$AF407="","-",'ORDENES'!$AF407))</f>
        <v/>
      </c>
      <c r="D429" s="3">
        <f>IF('ORDENES'!$A407="","",IF('ORDENES'!$X407="","-",'ORDENES'!$X407))</f>
        <v/>
      </c>
      <c r="E429" s="3">
        <f>IF('ORDENES'!$A407="","",IF('ORDENES'!$V407="","-",'ORDENES'!$V407))</f>
        <v/>
      </c>
      <c r="F429" s="3">
        <f>IF('ORDENES'!$A407="","",IF('ORDENES'!$Y407="","-",'ORDENES'!$Y407))</f>
        <v/>
      </c>
      <c r="G429" s="3">
        <f>IF('ORDENES'!$A407="","",IF('ORDENES'!$W407="","-",'ORDENES'!$W407))</f>
        <v/>
      </c>
      <c r="H429" s="3">
        <f>IF('ORDENES'!$A407="","",IF('ORDENES'!$AE407="","-",'ORDENES'!$AE407))</f>
        <v/>
      </c>
      <c r="I429" s="3">
        <f>IF('ORDENES'!$A407="","",IF('ORDENES'!$AQ407="","-",'ORDENES'!$AQ407))</f>
        <v/>
      </c>
      <c r="J429" s="3">
        <f>IF('ORDENES'!$A407="","",IF('ORDENES'!$D407="","-",'ORDENES'!$D407))</f>
        <v/>
      </c>
      <c r="K429" s="3">
        <f>IF('ORDENES'!$A407="","",IF('ORDENES'!$E407="","-",'ORDENES'!$E407))</f>
        <v/>
      </c>
      <c r="L429" s="13">
        <f>IF('ORDENES'!$A407="","",IF('ORDENES'!$M407="",0,'ORDENES'!$M407))</f>
        <v/>
      </c>
      <c r="M429" s="3">
        <f>IF('ORDENES'!$A407="","",IF('ORDENES'!$N407="","-",'ORDENES'!$N407))</f>
        <v/>
      </c>
      <c r="N429" s="3">
        <f>IF('ORDENES'!$A407="","",'ORDENES'!$AD407)</f>
        <v/>
      </c>
    </row>
    <row r="430">
      <c r="A430" s="3">
        <f>IF('ORDENES'!$A408="","",IF('ORDENES'!$O408="","-",'ORDENES'!$O408))</f>
        <v/>
      </c>
      <c r="B430" s="3">
        <f>IF('ORDENES'!$A408="","",IF('ORDENES'!$R408="","-",'ORDENES'!$R408))</f>
        <v/>
      </c>
      <c r="C430" s="3">
        <f>IF('ORDENES'!$A408="","",IF('ORDENES'!$AF408="","-",'ORDENES'!$AF408))</f>
        <v/>
      </c>
      <c r="D430" s="3">
        <f>IF('ORDENES'!$A408="","",IF('ORDENES'!$X408="","-",'ORDENES'!$X408))</f>
        <v/>
      </c>
      <c r="E430" s="3">
        <f>IF('ORDENES'!$A408="","",IF('ORDENES'!$V408="","-",'ORDENES'!$V408))</f>
        <v/>
      </c>
      <c r="F430" s="3">
        <f>IF('ORDENES'!$A408="","",IF('ORDENES'!$Y408="","-",'ORDENES'!$Y408))</f>
        <v/>
      </c>
      <c r="G430" s="3">
        <f>IF('ORDENES'!$A408="","",IF('ORDENES'!$W408="","-",'ORDENES'!$W408))</f>
        <v/>
      </c>
      <c r="H430" s="3">
        <f>IF('ORDENES'!$A408="","",IF('ORDENES'!$AE408="","-",'ORDENES'!$AE408))</f>
        <v/>
      </c>
      <c r="I430" s="3">
        <f>IF('ORDENES'!$A408="","",IF('ORDENES'!$AQ408="","-",'ORDENES'!$AQ408))</f>
        <v/>
      </c>
      <c r="J430" s="3">
        <f>IF('ORDENES'!$A408="","",IF('ORDENES'!$D408="","-",'ORDENES'!$D408))</f>
        <v/>
      </c>
      <c r="K430" s="3">
        <f>IF('ORDENES'!$A408="","",IF('ORDENES'!$E408="","-",'ORDENES'!$E408))</f>
        <v/>
      </c>
      <c r="L430" s="13">
        <f>IF('ORDENES'!$A408="","",IF('ORDENES'!$M408="",0,'ORDENES'!$M408))</f>
        <v/>
      </c>
      <c r="M430" s="3">
        <f>IF('ORDENES'!$A408="","",IF('ORDENES'!$N408="","-",'ORDENES'!$N408))</f>
        <v/>
      </c>
      <c r="N430" s="3">
        <f>IF('ORDENES'!$A408="","",'ORDENES'!$AD408)</f>
        <v/>
      </c>
    </row>
    <row r="431">
      <c r="A431" s="3">
        <f>IF('ORDENES'!$A409="","",IF('ORDENES'!$O409="","-",'ORDENES'!$O409))</f>
        <v/>
      </c>
      <c r="B431" s="3">
        <f>IF('ORDENES'!$A409="","",IF('ORDENES'!$R409="","-",'ORDENES'!$R409))</f>
        <v/>
      </c>
      <c r="C431" s="3">
        <f>IF('ORDENES'!$A409="","",IF('ORDENES'!$AF409="","-",'ORDENES'!$AF409))</f>
        <v/>
      </c>
      <c r="D431" s="3">
        <f>IF('ORDENES'!$A409="","",IF('ORDENES'!$X409="","-",'ORDENES'!$X409))</f>
        <v/>
      </c>
      <c r="E431" s="3">
        <f>IF('ORDENES'!$A409="","",IF('ORDENES'!$V409="","-",'ORDENES'!$V409))</f>
        <v/>
      </c>
      <c r="F431" s="3">
        <f>IF('ORDENES'!$A409="","",IF('ORDENES'!$Y409="","-",'ORDENES'!$Y409))</f>
        <v/>
      </c>
      <c r="G431" s="3">
        <f>IF('ORDENES'!$A409="","",IF('ORDENES'!$W409="","-",'ORDENES'!$W409))</f>
        <v/>
      </c>
      <c r="H431" s="3">
        <f>IF('ORDENES'!$A409="","",IF('ORDENES'!$AE409="","-",'ORDENES'!$AE409))</f>
        <v/>
      </c>
      <c r="I431" s="3">
        <f>IF('ORDENES'!$A409="","",IF('ORDENES'!$AQ409="","-",'ORDENES'!$AQ409))</f>
        <v/>
      </c>
      <c r="J431" s="3">
        <f>IF('ORDENES'!$A409="","",IF('ORDENES'!$D409="","-",'ORDENES'!$D409))</f>
        <v/>
      </c>
      <c r="K431" s="3">
        <f>IF('ORDENES'!$A409="","",IF('ORDENES'!$E409="","-",'ORDENES'!$E409))</f>
        <v/>
      </c>
      <c r="L431" s="13">
        <f>IF('ORDENES'!$A409="","",IF('ORDENES'!$M409="",0,'ORDENES'!$M409))</f>
        <v/>
      </c>
      <c r="M431" s="3">
        <f>IF('ORDENES'!$A409="","",IF('ORDENES'!$N409="","-",'ORDENES'!$N409))</f>
        <v/>
      </c>
      <c r="N431" s="3">
        <f>IF('ORDENES'!$A409="","",'ORDENES'!$AD409)</f>
        <v/>
      </c>
    </row>
    <row r="432">
      <c r="A432" s="3">
        <f>IF('ORDENES'!$A410="","",IF('ORDENES'!$O410="","-",'ORDENES'!$O410))</f>
        <v/>
      </c>
      <c r="B432" s="3">
        <f>IF('ORDENES'!$A410="","",IF('ORDENES'!$R410="","-",'ORDENES'!$R410))</f>
        <v/>
      </c>
      <c r="C432" s="3">
        <f>IF('ORDENES'!$A410="","",IF('ORDENES'!$AF410="","-",'ORDENES'!$AF410))</f>
        <v/>
      </c>
      <c r="D432" s="3">
        <f>IF('ORDENES'!$A410="","",IF('ORDENES'!$X410="","-",'ORDENES'!$X410))</f>
        <v/>
      </c>
      <c r="E432" s="3">
        <f>IF('ORDENES'!$A410="","",IF('ORDENES'!$V410="","-",'ORDENES'!$V410))</f>
        <v/>
      </c>
      <c r="F432" s="3">
        <f>IF('ORDENES'!$A410="","",IF('ORDENES'!$Y410="","-",'ORDENES'!$Y410))</f>
        <v/>
      </c>
      <c r="G432" s="3">
        <f>IF('ORDENES'!$A410="","",IF('ORDENES'!$W410="","-",'ORDENES'!$W410))</f>
        <v/>
      </c>
      <c r="H432" s="3">
        <f>IF('ORDENES'!$A410="","",IF('ORDENES'!$AE410="","-",'ORDENES'!$AE410))</f>
        <v/>
      </c>
      <c r="I432" s="3">
        <f>IF('ORDENES'!$A410="","",IF('ORDENES'!$AQ410="","-",'ORDENES'!$AQ410))</f>
        <v/>
      </c>
      <c r="J432" s="3">
        <f>IF('ORDENES'!$A410="","",IF('ORDENES'!$D410="","-",'ORDENES'!$D410))</f>
        <v/>
      </c>
      <c r="K432" s="3">
        <f>IF('ORDENES'!$A410="","",IF('ORDENES'!$E410="","-",'ORDENES'!$E410))</f>
        <v/>
      </c>
      <c r="L432" s="13">
        <f>IF('ORDENES'!$A410="","",IF('ORDENES'!$M410="",0,'ORDENES'!$M410))</f>
        <v/>
      </c>
      <c r="M432" s="3">
        <f>IF('ORDENES'!$A410="","",IF('ORDENES'!$N410="","-",'ORDENES'!$N410))</f>
        <v/>
      </c>
      <c r="N432" s="3">
        <f>IF('ORDENES'!$A410="","",'ORDENES'!$AD410)</f>
        <v/>
      </c>
    </row>
    <row r="433">
      <c r="A433" s="3">
        <f>IF('ORDENES'!$A411="","",IF('ORDENES'!$O411="","-",'ORDENES'!$O411))</f>
        <v/>
      </c>
      <c r="B433" s="3">
        <f>IF('ORDENES'!$A411="","",IF('ORDENES'!$R411="","-",'ORDENES'!$R411))</f>
        <v/>
      </c>
      <c r="C433" s="3">
        <f>IF('ORDENES'!$A411="","",IF('ORDENES'!$AF411="","-",'ORDENES'!$AF411))</f>
        <v/>
      </c>
      <c r="D433" s="3">
        <f>IF('ORDENES'!$A411="","",IF('ORDENES'!$X411="","-",'ORDENES'!$X411))</f>
        <v/>
      </c>
      <c r="E433" s="3">
        <f>IF('ORDENES'!$A411="","",IF('ORDENES'!$V411="","-",'ORDENES'!$V411))</f>
        <v/>
      </c>
      <c r="F433" s="3">
        <f>IF('ORDENES'!$A411="","",IF('ORDENES'!$Y411="","-",'ORDENES'!$Y411))</f>
        <v/>
      </c>
      <c r="G433" s="3">
        <f>IF('ORDENES'!$A411="","",IF('ORDENES'!$W411="","-",'ORDENES'!$W411))</f>
        <v/>
      </c>
      <c r="H433" s="3">
        <f>IF('ORDENES'!$A411="","",IF('ORDENES'!$AE411="","-",'ORDENES'!$AE411))</f>
        <v/>
      </c>
      <c r="I433" s="3">
        <f>IF('ORDENES'!$A411="","",IF('ORDENES'!$AQ411="","-",'ORDENES'!$AQ411))</f>
        <v/>
      </c>
      <c r="J433" s="3">
        <f>IF('ORDENES'!$A411="","",IF('ORDENES'!$D411="","-",'ORDENES'!$D411))</f>
        <v/>
      </c>
      <c r="K433" s="3">
        <f>IF('ORDENES'!$A411="","",IF('ORDENES'!$E411="","-",'ORDENES'!$E411))</f>
        <v/>
      </c>
      <c r="L433" s="13">
        <f>IF('ORDENES'!$A411="","",IF('ORDENES'!$M411="",0,'ORDENES'!$M411))</f>
        <v/>
      </c>
      <c r="M433" s="3">
        <f>IF('ORDENES'!$A411="","",IF('ORDENES'!$N411="","-",'ORDENES'!$N411))</f>
        <v/>
      </c>
      <c r="N433" s="3">
        <f>IF('ORDENES'!$A411="","",'ORDENES'!$AD411)</f>
        <v/>
      </c>
    </row>
    <row r="434">
      <c r="A434" s="3">
        <f>IF('ORDENES'!$A412="","",IF('ORDENES'!$O412="","-",'ORDENES'!$O412))</f>
        <v/>
      </c>
      <c r="B434" s="3">
        <f>IF('ORDENES'!$A412="","",IF('ORDENES'!$R412="","-",'ORDENES'!$R412))</f>
        <v/>
      </c>
      <c r="C434" s="3">
        <f>IF('ORDENES'!$A412="","",IF('ORDENES'!$AF412="","-",'ORDENES'!$AF412))</f>
        <v/>
      </c>
      <c r="D434" s="3">
        <f>IF('ORDENES'!$A412="","",IF('ORDENES'!$X412="","-",'ORDENES'!$X412))</f>
        <v/>
      </c>
      <c r="E434" s="3">
        <f>IF('ORDENES'!$A412="","",IF('ORDENES'!$V412="","-",'ORDENES'!$V412))</f>
        <v/>
      </c>
      <c r="F434" s="3">
        <f>IF('ORDENES'!$A412="","",IF('ORDENES'!$Y412="","-",'ORDENES'!$Y412))</f>
        <v/>
      </c>
      <c r="G434" s="3">
        <f>IF('ORDENES'!$A412="","",IF('ORDENES'!$W412="","-",'ORDENES'!$W412))</f>
        <v/>
      </c>
      <c r="H434" s="3">
        <f>IF('ORDENES'!$A412="","",IF('ORDENES'!$AE412="","-",'ORDENES'!$AE412))</f>
        <v/>
      </c>
      <c r="I434" s="3">
        <f>IF('ORDENES'!$A412="","",IF('ORDENES'!$AQ412="","-",'ORDENES'!$AQ412))</f>
        <v/>
      </c>
      <c r="J434" s="3">
        <f>IF('ORDENES'!$A412="","",IF('ORDENES'!$D412="","-",'ORDENES'!$D412))</f>
        <v/>
      </c>
      <c r="K434" s="3">
        <f>IF('ORDENES'!$A412="","",IF('ORDENES'!$E412="","-",'ORDENES'!$E412))</f>
        <v/>
      </c>
      <c r="L434" s="13">
        <f>IF('ORDENES'!$A412="","",IF('ORDENES'!$M412="",0,'ORDENES'!$M412))</f>
        <v/>
      </c>
      <c r="M434" s="3">
        <f>IF('ORDENES'!$A412="","",IF('ORDENES'!$N412="","-",'ORDENES'!$N412))</f>
        <v/>
      </c>
      <c r="N434" s="3">
        <f>IF('ORDENES'!$A412="","",'ORDENES'!$AD412)</f>
        <v/>
      </c>
    </row>
    <row r="435">
      <c r="A435" s="3">
        <f>IF('ORDENES'!$A413="","",IF('ORDENES'!$O413="","-",'ORDENES'!$O413))</f>
        <v/>
      </c>
      <c r="B435" s="3">
        <f>IF('ORDENES'!$A413="","",IF('ORDENES'!$R413="","-",'ORDENES'!$R413))</f>
        <v/>
      </c>
      <c r="C435" s="3">
        <f>IF('ORDENES'!$A413="","",IF('ORDENES'!$AF413="","-",'ORDENES'!$AF413))</f>
        <v/>
      </c>
      <c r="D435" s="3">
        <f>IF('ORDENES'!$A413="","",IF('ORDENES'!$X413="","-",'ORDENES'!$X413))</f>
        <v/>
      </c>
      <c r="E435" s="3">
        <f>IF('ORDENES'!$A413="","",IF('ORDENES'!$V413="","-",'ORDENES'!$V413))</f>
        <v/>
      </c>
      <c r="F435" s="3">
        <f>IF('ORDENES'!$A413="","",IF('ORDENES'!$Y413="","-",'ORDENES'!$Y413))</f>
        <v/>
      </c>
      <c r="G435" s="3">
        <f>IF('ORDENES'!$A413="","",IF('ORDENES'!$W413="","-",'ORDENES'!$W413))</f>
        <v/>
      </c>
      <c r="H435" s="3">
        <f>IF('ORDENES'!$A413="","",IF('ORDENES'!$AE413="","-",'ORDENES'!$AE413))</f>
        <v/>
      </c>
      <c r="I435" s="3">
        <f>IF('ORDENES'!$A413="","",IF('ORDENES'!$AQ413="","-",'ORDENES'!$AQ413))</f>
        <v/>
      </c>
      <c r="J435" s="3">
        <f>IF('ORDENES'!$A413="","",IF('ORDENES'!$D413="","-",'ORDENES'!$D413))</f>
        <v/>
      </c>
      <c r="K435" s="3">
        <f>IF('ORDENES'!$A413="","",IF('ORDENES'!$E413="","-",'ORDENES'!$E413))</f>
        <v/>
      </c>
      <c r="L435" s="13">
        <f>IF('ORDENES'!$A413="","",IF('ORDENES'!$M413="",0,'ORDENES'!$M413))</f>
        <v/>
      </c>
      <c r="M435" s="3">
        <f>IF('ORDENES'!$A413="","",IF('ORDENES'!$N413="","-",'ORDENES'!$N413))</f>
        <v/>
      </c>
      <c r="N435" s="3">
        <f>IF('ORDENES'!$A413="","",'ORDENES'!$AD413)</f>
        <v/>
      </c>
    </row>
    <row r="436">
      <c r="A436" s="3">
        <f>IF('ORDENES'!$A414="","",IF('ORDENES'!$O414="","-",'ORDENES'!$O414))</f>
        <v/>
      </c>
      <c r="B436" s="3">
        <f>IF('ORDENES'!$A414="","",IF('ORDENES'!$R414="","-",'ORDENES'!$R414))</f>
        <v/>
      </c>
      <c r="C436" s="3">
        <f>IF('ORDENES'!$A414="","",IF('ORDENES'!$AF414="","-",'ORDENES'!$AF414))</f>
        <v/>
      </c>
      <c r="D436" s="3">
        <f>IF('ORDENES'!$A414="","",IF('ORDENES'!$X414="","-",'ORDENES'!$X414))</f>
        <v/>
      </c>
      <c r="E436" s="3">
        <f>IF('ORDENES'!$A414="","",IF('ORDENES'!$V414="","-",'ORDENES'!$V414))</f>
        <v/>
      </c>
      <c r="F436" s="3">
        <f>IF('ORDENES'!$A414="","",IF('ORDENES'!$Y414="","-",'ORDENES'!$Y414))</f>
        <v/>
      </c>
      <c r="G436" s="3">
        <f>IF('ORDENES'!$A414="","",IF('ORDENES'!$W414="","-",'ORDENES'!$W414))</f>
        <v/>
      </c>
      <c r="H436" s="3">
        <f>IF('ORDENES'!$A414="","",IF('ORDENES'!$AE414="","-",'ORDENES'!$AE414))</f>
        <v/>
      </c>
      <c r="I436" s="3">
        <f>IF('ORDENES'!$A414="","",IF('ORDENES'!$AQ414="","-",'ORDENES'!$AQ414))</f>
        <v/>
      </c>
      <c r="J436" s="3">
        <f>IF('ORDENES'!$A414="","",IF('ORDENES'!$D414="","-",'ORDENES'!$D414))</f>
        <v/>
      </c>
      <c r="K436" s="3">
        <f>IF('ORDENES'!$A414="","",IF('ORDENES'!$E414="","-",'ORDENES'!$E414))</f>
        <v/>
      </c>
      <c r="L436" s="13">
        <f>IF('ORDENES'!$A414="","",IF('ORDENES'!$M414="",0,'ORDENES'!$M414))</f>
        <v/>
      </c>
      <c r="M436" s="3">
        <f>IF('ORDENES'!$A414="","",IF('ORDENES'!$N414="","-",'ORDENES'!$N414))</f>
        <v/>
      </c>
      <c r="N436" s="3">
        <f>IF('ORDENES'!$A414="","",'ORDENES'!$AD414)</f>
        <v/>
      </c>
    </row>
    <row r="437">
      <c r="A437" s="3">
        <f>IF('ORDENES'!$A415="","",IF('ORDENES'!$O415="","-",'ORDENES'!$O415))</f>
        <v/>
      </c>
      <c r="B437" s="3">
        <f>IF('ORDENES'!$A415="","",IF('ORDENES'!$R415="","-",'ORDENES'!$R415))</f>
        <v/>
      </c>
      <c r="C437" s="3">
        <f>IF('ORDENES'!$A415="","",IF('ORDENES'!$AF415="","-",'ORDENES'!$AF415))</f>
        <v/>
      </c>
      <c r="D437" s="3">
        <f>IF('ORDENES'!$A415="","",IF('ORDENES'!$X415="","-",'ORDENES'!$X415))</f>
        <v/>
      </c>
      <c r="E437" s="3">
        <f>IF('ORDENES'!$A415="","",IF('ORDENES'!$V415="","-",'ORDENES'!$V415))</f>
        <v/>
      </c>
      <c r="F437" s="3">
        <f>IF('ORDENES'!$A415="","",IF('ORDENES'!$Y415="","-",'ORDENES'!$Y415))</f>
        <v/>
      </c>
      <c r="G437" s="3">
        <f>IF('ORDENES'!$A415="","",IF('ORDENES'!$W415="","-",'ORDENES'!$W415))</f>
        <v/>
      </c>
      <c r="H437" s="3">
        <f>IF('ORDENES'!$A415="","",IF('ORDENES'!$AE415="","-",'ORDENES'!$AE415))</f>
        <v/>
      </c>
      <c r="I437" s="3">
        <f>IF('ORDENES'!$A415="","",IF('ORDENES'!$AQ415="","-",'ORDENES'!$AQ415))</f>
        <v/>
      </c>
      <c r="J437" s="3">
        <f>IF('ORDENES'!$A415="","",IF('ORDENES'!$D415="","-",'ORDENES'!$D415))</f>
        <v/>
      </c>
      <c r="K437" s="3">
        <f>IF('ORDENES'!$A415="","",IF('ORDENES'!$E415="","-",'ORDENES'!$E415))</f>
        <v/>
      </c>
      <c r="L437" s="13">
        <f>IF('ORDENES'!$A415="","",IF('ORDENES'!$M415="",0,'ORDENES'!$M415))</f>
        <v/>
      </c>
      <c r="M437" s="3">
        <f>IF('ORDENES'!$A415="","",IF('ORDENES'!$N415="","-",'ORDENES'!$N415))</f>
        <v/>
      </c>
      <c r="N437" s="3">
        <f>IF('ORDENES'!$A415="","",'ORDENES'!$AD415)</f>
        <v/>
      </c>
    </row>
    <row r="438">
      <c r="A438" s="3">
        <f>IF('ORDENES'!$A416="","",IF('ORDENES'!$O416="","-",'ORDENES'!$O416))</f>
        <v/>
      </c>
      <c r="B438" s="3">
        <f>IF('ORDENES'!$A416="","",IF('ORDENES'!$R416="","-",'ORDENES'!$R416))</f>
        <v/>
      </c>
      <c r="C438" s="3">
        <f>IF('ORDENES'!$A416="","",IF('ORDENES'!$AF416="","-",'ORDENES'!$AF416))</f>
        <v/>
      </c>
      <c r="D438" s="3">
        <f>IF('ORDENES'!$A416="","",IF('ORDENES'!$X416="","-",'ORDENES'!$X416))</f>
        <v/>
      </c>
      <c r="E438" s="3">
        <f>IF('ORDENES'!$A416="","",IF('ORDENES'!$V416="","-",'ORDENES'!$V416))</f>
        <v/>
      </c>
      <c r="F438" s="3">
        <f>IF('ORDENES'!$A416="","",IF('ORDENES'!$Y416="","-",'ORDENES'!$Y416))</f>
        <v/>
      </c>
      <c r="G438" s="3">
        <f>IF('ORDENES'!$A416="","",IF('ORDENES'!$W416="","-",'ORDENES'!$W416))</f>
        <v/>
      </c>
      <c r="H438" s="3">
        <f>IF('ORDENES'!$A416="","",IF('ORDENES'!$AE416="","-",'ORDENES'!$AE416))</f>
        <v/>
      </c>
      <c r="I438" s="3">
        <f>IF('ORDENES'!$A416="","",IF('ORDENES'!$AQ416="","-",'ORDENES'!$AQ416))</f>
        <v/>
      </c>
      <c r="J438" s="3">
        <f>IF('ORDENES'!$A416="","",IF('ORDENES'!$D416="","-",'ORDENES'!$D416))</f>
        <v/>
      </c>
      <c r="K438" s="3">
        <f>IF('ORDENES'!$A416="","",IF('ORDENES'!$E416="","-",'ORDENES'!$E416))</f>
        <v/>
      </c>
      <c r="L438" s="13">
        <f>IF('ORDENES'!$A416="","",IF('ORDENES'!$M416="",0,'ORDENES'!$M416))</f>
        <v/>
      </c>
      <c r="M438" s="3">
        <f>IF('ORDENES'!$A416="","",IF('ORDENES'!$N416="","-",'ORDENES'!$N416))</f>
        <v/>
      </c>
      <c r="N438" s="3">
        <f>IF('ORDENES'!$A416="","",'ORDENES'!$AD416)</f>
        <v/>
      </c>
    </row>
    <row r="439">
      <c r="A439" s="3">
        <f>IF('ORDENES'!$A417="","",IF('ORDENES'!$O417="","-",'ORDENES'!$O417))</f>
        <v/>
      </c>
      <c r="B439" s="3">
        <f>IF('ORDENES'!$A417="","",IF('ORDENES'!$R417="","-",'ORDENES'!$R417))</f>
        <v/>
      </c>
      <c r="C439" s="3">
        <f>IF('ORDENES'!$A417="","",IF('ORDENES'!$AF417="","-",'ORDENES'!$AF417))</f>
        <v/>
      </c>
      <c r="D439" s="3">
        <f>IF('ORDENES'!$A417="","",IF('ORDENES'!$X417="","-",'ORDENES'!$X417))</f>
        <v/>
      </c>
      <c r="E439" s="3">
        <f>IF('ORDENES'!$A417="","",IF('ORDENES'!$V417="","-",'ORDENES'!$V417))</f>
        <v/>
      </c>
      <c r="F439" s="3">
        <f>IF('ORDENES'!$A417="","",IF('ORDENES'!$Y417="","-",'ORDENES'!$Y417))</f>
        <v/>
      </c>
      <c r="G439" s="3">
        <f>IF('ORDENES'!$A417="","",IF('ORDENES'!$W417="","-",'ORDENES'!$W417))</f>
        <v/>
      </c>
      <c r="H439" s="3">
        <f>IF('ORDENES'!$A417="","",IF('ORDENES'!$AE417="","-",'ORDENES'!$AE417))</f>
        <v/>
      </c>
      <c r="I439" s="3">
        <f>IF('ORDENES'!$A417="","",IF('ORDENES'!$AQ417="","-",'ORDENES'!$AQ417))</f>
        <v/>
      </c>
      <c r="J439" s="3">
        <f>IF('ORDENES'!$A417="","",IF('ORDENES'!$D417="","-",'ORDENES'!$D417))</f>
        <v/>
      </c>
      <c r="K439" s="3">
        <f>IF('ORDENES'!$A417="","",IF('ORDENES'!$E417="","-",'ORDENES'!$E417))</f>
        <v/>
      </c>
      <c r="L439" s="13">
        <f>IF('ORDENES'!$A417="","",IF('ORDENES'!$M417="",0,'ORDENES'!$M417))</f>
        <v/>
      </c>
      <c r="M439" s="3">
        <f>IF('ORDENES'!$A417="","",IF('ORDENES'!$N417="","-",'ORDENES'!$N417))</f>
        <v/>
      </c>
      <c r="N439" s="3">
        <f>IF('ORDENES'!$A417="","",'ORDENES'!$AD417)</f>
        <v/>
      </c>
    </row>
    <row r="440">
      <c r="A440" s="3">
        <f>IF('ORDENES'!$A418="","",IF('ORDENES'!$O418="","-",'ORDENES'!$O418))</f>
        <v/>
      </c>
      <c r="B440" s="3">
        <f>IF('ORDENES'!$A418="","",IF('ORDENES'!$R418="","-",'ORDENES'!$R418))</f>
        <v/>
      </c>
      <c r="C440" s="3">
        <f>IF('ORDENES'!$A418="","",IF('ORDENES'!$AF418="","-",'ORDENES'!$AF418))</f>
        <v/>
      </c>
      <c r="D440" s="3">
        <f>IF('ORDENES'!$A418="","",IF('ORDENES'!$X418="","-",'ORDENES'!$X418))</f>
        <v/>
      </c>
      <c r="E440" s="3">
        <f>IF('ORDENES'!$A418="","",IF('ORDENES'!$V418="","-",'ORDENES'!$V418))</f>
        <v/>
      </c>
      <c r="F440" s="3">
        <f>IF('ORDENES'!$A418="","",IF('ORDENES'!$Y418="","-",'ORDENES'!$Y418))</f>
        <v/>
      </c>
      <c r="G440" s="3">
        <f>IF('ORDENES'!$A418="","",IF('ORDENES'!$W418="","-",'ORDENES'!$W418))</f>
        <v/>
      </c>
      <c r="H440" s="3">
        <f>IF('ORDENES'!$A418="","",IF('ORDENES'!$AE418="","-",'ORDENES'!$AE418))</f>
        <v/>
      </c>
      <c r="I440" s="3">
        <f>IF('ORDENES'!$A418="","",IF('ORDENES'!$AQ418="","-",'ORDENES'!$AQ418))</f>
        <v/>
      </c>
      <c r="J440" s="3">
        <f>IF('ORDENES'!$A418="","",IF('ORDENES'!$D418="","-",'ORDENES'!$D418))</f>
        <v/>
      </c>
      <c r="K440" s="3">
        <f>IF('ORDENES'!$A418="","",IF('ORDENES'!$E418="","-",'ORDENES'!$E418))</f>
        <v/>
      </c>
      <c r="L440" s="13">
        <f>IF('ORDENES'!$A418="","",IF('ORDENES'!$M418="",0,'ORDENES'!$M418))</f>
        <v/>
      </c>
      <c r="M440" s="3">
        <f>IF('ORDENES'!$A418="","",IF('ORDENES'!$N418="","-",'ORDENES'!$N418))</f>
        <v/>
      </c>
      <c r="N440" s="3">
        <f>IF('ORDENES'!$A418="","",'ORDENES'!$AD418)</f>
        <v/>
      </c>
    </row>
    <row r="441">
      <c r="A441" s="3">
        <f>IF('ORDENES'!$A419="","",IF('ORDENES'!$O419="","-",'ORDENES'!$O419))</f>
        <v/>
      </c>
      <c r="B441" s="3">
        <f>IF('ORDENES'!$A419="","",IF('ORDENES'!$R419="","-",'ORDENES'!$R419))</f>
        <v/>
      </c>
      <c r="C441" s="3">
        <f>IF('ORDENES'!$A419="","",IF('ORDENES'!$AF419="","-",'ORDENES'!$AF419))</f>
        <v/>
      </c>
      <c r="D441" s="3">
        <f>IF('ORDENES'!$A419="","",IF('ORDENES'!$X419="","-",'ORDENES'!$X419))</f>
        <v/>
      </c>
      <c r="E441" s="3">
        <f>IF('ORDENES'!$A419="","",IF('ORDENES'!$V419="","-",'ORDENES'!$V419))</f>
        <v/>
      </c>
      <c r="F441" s="3">
        <f>IF('ORDENES'!$A419="","",IF('ORDENES'!$Y419="","-",'ORDENES'!$Y419))</f>
        <v/>
      </c>
      <c r="G441" s="3">
        <f>IF('ORDENES'!$A419="","",IF('ORDENES'!$W419="","-",'ORDENES'!$W419))</f>
        <v/>
      </c>
      <c r="H441" s="3">
        <f>IF('ORDENES'!$A419="","",IF('ORDENES'!$AE419="","-",'ORDENES'!$AE419))</f>
        <v/>
      </c>
      <c r="I441" s="3">
        <f>IF('ORDENES'!$A419="","",IF('ORDENES'!$AQ419="","-",'ORDENES'!$AQ419))</f>
        <v/>
      </c>
      <c r="J441" s="3">
        <f>IF('ORDENES'!$A419="","",IF('ORDENES'!$D419="","-",'ORDENES'!$D419))</f>
        <v/>
      </c>
      <c r="K441" s="3">
        <f>IF('ORDENES'!$A419="","",IF('ORDENES'!$E419="","-",'ORDENES'!$E419))</f>
        <v/>
      </c>
      <c r="L441" s="13">
        <f>IF('ORDENES'!$A419="","",IF('ORDENES'!$M419="",0,'ORDENES'!$M419))</f>
        <v/>
      </c>
      <c r="M441" s="3">
        <f>IF('ORDENES'!$A419="","",IF('ORDENES'!$N419="","-",'ORDENES'!$N419))</f>
        <v/>
      </c>
      <c r="N441" s="3">
        <f>IF('ORDENES'!$A419="","",'ORDENES'!$AD419)</f>
        <v/>
      </c>
    </row>
    <row r="442">
      <c r="A442" s="3">
        <f>IF('ORDENES'!$A420="","",IF('ORDENES'!$O420="","-",'ORDENES'!$O420))</f>
        <v/>
      </c>
      <c r="B442" s="3">
        <f>IF('ORDENES'!$A420="","",IF('ORDENES'!$R420="","-",'ORDENES'!$R420))</f>
        <v/>
      </c>
      <c r="C442" s="3">
        <f>IF('ORDENES'!$A420="","",IF('ORDENES'!$AF420="","-",'ORDENES'!$AF420))</f>
        <v/>
      </c>
      <c r="D442" s="3">
        <f>IF('ORDENES'!$A420="","",IF('ORDENES'!$X420="","-",'ORDENES'!$X420))</f>
        <v/>
      </c>
      <c r="E442" s="3">
        <f>IF('ORDENES'!$A420="","",IF('ORDENES'!$V420="","-",'ORDENES'!$V420))</f>
        <v/>
      </c>
      <c r="F442" s="3">
        <f>IF('ORDENES'!$A420="","",IF('ORDENES'!$Y420="","-",'ORDENES'!$Y420))</f>
        <v/>
      </c>
      <c r="G442" s="3">
        <f>IF('ORDENES'!$A420="","",IF('ORDENES'!$W420="","-",'ORDENES'!$W420))</f>
        <v/>
      </c>
      <c r="H442" s="3">
        <f>IF('ORDENES'!$A420="","",IF('ORDENES'!$AE420="","-",'ORDENES'!$AE420))</f>
        <v/>
      </c>
      <c r="I442" s="3">
        <f>IF('ORDENES'!$A420="","",IF('ORDENES'!$AQ420="","-",'ORDENES'!$AQ420))</f>
        <v/>
      </c>
      <c r="J442" s="3">
        <f>IF('ORDENES'!$A420="","",IF('ORDENES'!$D420="","-",'ORDENES'!$D420))</f>
        <v/>
      </c>
      <c r="K442" s="3">
        <f>IF('ORDENES'!$A420="","",IF('ORDENES'!$E420="","-",'ORDENES'!$E420))</f>
        <v/>
      </c>
      <c r="L442" s="13">
        <f>IF('ORDENES'!$A420="","",IF('ORDENES'!$M420="",0,'ORDENES'!$M420))</f>
        <v/>
      </c>
      <c r="M442" s="3">
        <f>IF('ORDENES'!$A420="","",IF('ORDENES'!$N420="","-",'ORDENES'!$N420))</f>
        <v/>
      </c>
      <c r="N442" s="3">
        <f>IF('ORDENES'!$A420="","",'ORDENES'!$AD420)</f>
        <v/>
      </c>
    </row>
    <row r="443">
      <c r="A443" s="3">
        <f>IF('ORDENES'!$A421="","",IF('ORDENES'!$O421="","-",'ORDENES'!$O421))</f>
        <v/>
      </c>
      <c r="B443" s="3">
        <f>IF('ORDENES'!$A421="","",IF('ORDENES'!$R421="","-",'ORDENES'!$R421))</f>
        <v/>
      </c>
      <c r="C443" s="3">
        <f>IF('ORDENES'!$A421="","",IF('ORDENES'!$AF421="","-",'ORDENES'!$AF421))</f>
        <v/>
      </c>
      <c r="D443" s="3">
        <f>IF('ORDENES'!$A421="","",IF('ORDENES'!$X421="","-",'ORDENES'!$X421))</f>
        <v/>
      </c>
      <c r="E443" s="3">
        <f>IF('ORDENES'!$A421="","",IF('ORDENES'!$V421="","-",'ORDENES'!$V421))</f>
        <v/>
      </c>
      <c r="F443" s="3">
        <f>IF('ORDENES'!$A421="","",IF('ORDENES'!$Y421="","-",'ORDENES'!$Y421))</f>
        <v/>
      </c>
      <c r="G443" s="3">
        <f>IF('ORDENES'!$A421="","",IF('ORDENES'!$W421="","-",'ORDENES'!$W421))</f>
        <v/>
      </c>
      <c r="H443" s="3">
        <f>IF('ORDENES'!$A421="","",IF('ORDENES'!$AE421="","-",'ORDENES'!$AE421))</f>
        <v/>
      </c>
      <c r="I443" s="3">
        <f>IF('ORDENES'!$A421="","",IF('ORDENES'!$AQ421="","-",'ORDENES'!$AQ421))</f>
        <v/>
      </c>
      <c r="J443" s="3">
        <f>IF('ORDENES'!$A421="","",IF('ORDENES'!$D421="","-",'ORDENES'!$D421))</f>
        <v/>
      </c>
      <c r="K443" s="3">
        <f>IF('ORDENES'!$A421="","",IF('ORDENES'!$E421="","-",'ORDENES'!$E421))</f>
        <v/>
      </c>
      <c r="L443" s="13">
        <f>IF('ORDENES'!$A421="","",IF('ORDENES'!$M421="",0,'ORDENES'!$M421))</f>
        <v/>
      </c>
      <c r="M443" s="3">
        <f>IF('ORDENES'!$A421="","",IF('ORDENES'!$N421="","-",'ORDENES'!$N421))</f>
        <v/>
      </c>
      <c r="N443" s="3">
        <f>IF('ORDENES'!$A421="","",'ORDENES'!$AD421)</f>
        <v/>
      </c>
    </row>
    <row r="444">
      <c r="A444" s="3">
        <f>IF('ORDENES'!$A422="","",IF('ORDENES'!$O422="","-",'ORDENES'!$O422))</f>
        <v/>
      </c>
      <c r="B444" s="3">
        <f>IF('ORDENES'!$A422="","",IF('ORDENES'!$R422="","-",'ORDENES'!$R422))</f>
        <v/>
      </c>
      <c r="C444" s="3">
        <f>IF('ORDENES'!$A422="","",IF('ORDENES'!$AF422="","-",'ORDENES'!$AF422))</f>
        <v/>
      </c>
      <c r="D444" s="3">
        <f>IF('ORDENES'!$A422="","",IF('ORDENES'!$X422="","-",'ORDENES'!$X422))</f>
        <v/>
      </c>
      <c r="E444" s="3">
        <f>IF('ORDENES'!$A422="","",IF('ORDENES'!$V422="","-",'ORDENES'!$V422))</f>
        <v/>
      </c>
      <c r="F444" s="3">
        <f>IF('ORDENES'!$A422="","",IF('ORDENES'!$Y422="","-",'ORDENES'!$Y422))</f>
        <v/>
      </c>
      <c r="G444" s="3">
        <f>IF('ORDENES'!$A422="","",IF('ORDENES'!$W422="","-",'ORDENES'!$W422))</f>
        <v/>
      </c>
      <c r="H444" s="3">
        <f>IF('ORDENES'!$A422="","",IF('ORDENES'!$AE422="","-",'ORDENES'!$AE422))</f>
        <v/>
      </c>
      <c r="I444" s="3">
        <f>IF('ORDENES'!$A422="","",IF('ORDENES'!$AQ422="","-",'ORDENES'!$AQ422))</f>
        <v/>
      </c>
      <c r="J444" s="3">
        <f>IF('ORDENES'!$A422="","",IF('ORDENES'!$D422="","-",'ORDENES'!$D422))</f>
        <v/>
      </c>
      <c r="K444" s="3">
        <f>IF('ORDENES'!$A422="","",IF('ORDENES'!$E422="","-",'ORDENES'!$E422))</f>
        <v/>
      </c>
      <c r="L444" s="13">
        <f>IF('ORDENES'!$A422="","",IF('ORDENES'!$M422="",0,'ORDENES'!$M422))</f>
        <v/>
      </c>
      <c r="M444" s="3">
        <f>IF('ORDENES'!$A422="","",IF('ORDENES'!$N422="","-",'ORDENES'!$N422))</f>
        <v/>
      </c>
      <c r="N444" s="3">
        <f>IF('ORDENES'!$A422="","",'ORDENES'!$AD422)</f>
        <v/>
      </c>
    </row>
    <row r="445">
      <c r="A445" s="3">
        <f>IF('ORDENES'!$A423="","",IF('ORDENES'!$O423="","-",'ORDENES'!$O423))</f>
        <v/>
      </c>
      <c r="B445" s="3">
        <f>IF('ORDENES'!$A423="","",IF('ORDENES'!$R423="","-",'ORDENES'!$R423))</f>
        <v/>
      </c>
      <c r="C445" s="3">
        <f>IF('ORDENES'!$A423="","",IF('ORDENES'!$AF423="","-",'ORDENES'!$AF423))</f>
        <v/>
      </c>
      <c r="D445" s="3">
        <f>IF('ORDENES'!$A423="","",IF('ORDENES'!$X423="","-",'ORDENES'!$X423))</f>
        <v/>
      </c>
      <c r="E445" s="3">
        <f>IF('ORDENES'!$A423="","",IF('ORDENES'!$V423="","-",'ORDENES'!$V423))</f>
        <v/>
      </c>
      <c r="F445" s="3">
        <f>IF('ORDENES'!$A423="","",IF('ORDENES'!$Y423="","-",'ORDENES'!$Y423))</f>
        <v/>
      </c>
      <c r="G445" s="3">
        <f>IF('ORDENES'!$A423="","",IF('ORDENES'!$W423="","-",'ORDENES'!$W423))</f>
        <v/>
      </c>
      <c r="H445" s="3">
        <f>IF('ORDENES'!$A423="","",IF('ORDENES'!$AE423="","-",'ORDENES'!$AE423))</f>
        <v/>
      </c>
      <c r="I445" s="3">
        <f>IF('ORDENES'!$A423="","",IF('ORDENES'!$AQ423="","-",'ORDENES'!$AQ423))</f>
        <v/>
      </c>
      <c r="J445" s="3">
        <f>IF('ORDENES'!$A423="","",IF('ORDENES'!$D423="","-",'ORDENES'!$D423))</f>
        <v/>
      </c>
      <c r="K445" s="3">
        <f>IF('ORDENES'!$A423="","",IF('ORDENES'!$E423="","-",'ORDENES'!$E423))</f>
        <v/>
      </c>
      <c r="L445" s="13">
        <f>IF('ORDENES'!$A423="","",IF('ORDENES'!$M423="",0,'ORDENES'!$M423))</f>
        <v/>
      </c>
      <c r="M445" s="3">
        <f>IF('ORDENES'!$A423="","",IF('ORDENES'!$N423="","-",'ORDENES'!$N423))</f>
        <v/>
      </c>
      <c r="N445" s="3">
        <f>IF('ORDENES'!$A423="","",'ORDENES'!$AD423)</f>
        <v/>
      </c>
    </row>
    <row r="446">
      <c r="A446" s="3">
        <f>IF('ORDENES'!$A424="","",IF('ORDENES'!$O424="","-",'ORDENES'!$O424))</f>
        <v/>
      </c>
      <c r="B446" s="3">
        <f>IF('ORDENES'!$A424="","",IF('ORDENES'!$R424="","-",'ORDENES'!$R424))</f>
        <v/>
      </c>
      <c r="C446" s="3">
        <f>IF('ORDENES'!$A424="","",IF('ORDENES'!$AF424="","-",'ORDENES'!$AF424))</f>
        <v/>
      </c>
      <c r="D446" s="3">
        <f>IF('ORDENES'!$A424="","",IF('ORDENES'!$X424="","-",'ORDENES'!$X424))</f>
        <v/>
      </c>
      <c r="E446" s="3">
        <f>IF('ORDENES'!$A424="","",IF('ORDENES'!$V424="","-",'ORDENES'!$V424))</f>
        <v/>
      </c>
      <c r="F446" s="3">
        <f>IF('ORDENES'!$A424="","",IF('ORDENES'!$Y424="","-",'ORDENES'!$Y424))</f>
        <v/>
      </c>
      <c r="G446" s="3">
        <f>IF('ORDENES'!$A424="","",IF('ORDENES'!$W424="","-",'ORDENES'!$W424))</f>
        <v/>
      </c>
      <c r="H446" s="3">
        <f>IF('ORDENES'!$A424="","",IF('ORDENES'!$AE424="","-",'ORDENES'!$AE424))</f>
        <v/>
      </c>
      <c r="I446" s="3">
        <f>IF('ORDENES'!$A424="","",IF('ORDENES'!$AQ424="","-",'ORDENES'!$AQ424))</f>
        <v/>
      </c>
      <c r="J446" s="3">
        <f>IF('ORDENES'!$A424="","",IF('ORDENES'!$D424="","-",'ORDENES'!$D424))</f>
        <v/>
      </c>
      <c r="K446" s="3">
        <f>IF('ORDENES'!$A424="","",IF('ORDENES'!$E424="","-",'ORDENES'!$E424))</f>
        <v/>
      </c>
      <c r="L446" s="13">
        <f>IF('ORDENES'!$A424="","",IF('ORDENES'!$M424="",0,'ORDENES'!$M424))</f>
        <v/>
      </c>
      <c r="M446" s="3">
        <f>IF('ORDENES'!$A424="","",IF('ORDENES'!$N424="","-",'ORDENES'!$N424))</f>
        <v/>
      </c>
      <c r="N446" s="3">
        <f>IF('ORDENES'!$A424="","",'ORDENES'!$AD424)</f>
        <v/>
      </c>
    </row>
    <row r="447">
      <c r="A447" s="3">
        <f>IF('ORDENES'!$A425="","",IF('ORDENES'!$O425="","-",'ORDENES'!$O425))</f>
        <v/>
      </c>
      <c r="B447" s="3">
        <f>IF('ORDENES'!$A425="","",IF('ORDENES'!$R425="","-",'ORDENES'!$R425))</f>
        <v/>
      </c>
      <c r="C447" s="3">
        <f>IF('ORDENES'!$A425="","",IF('ORDENES'!$AF425="","-",'ORDENES'!$AF425))</f>
        <v/>
      </c>
      <c r="D447" s="3">
        <f>IF('ORDENES'!$A425="","",IF('ORDENES'!$X425="","-",'ORDENES'!$X425))</f>
        <v/>
      </c>
      <c r="E447" s="3">
        <f>IF('ORDENES'!$A425="","",IF('ORDENES'!$V425="","-",'ORDENES'!$V425))</f>
        <v/>
      </c>
      <c r="F447" s="3">
        <f>IF('ORDENES'!$A425="","",IF('ORDENES'!$Y425="","-",'ORDENES'!$Y425))</f>
        <v/>
      </c>
      <c r="G447" s="3">
        <f>IF('ORDENES'!$A425="","",IF('ORDENES'!$W425="","-",'ORDENES'!$W425))</f>
        <v/>
      </c>
      <c r="H447" s="3">
        <f>IF('ORDENES'!$A425="","",IF('ORDENES'!$AE425="","-",'ORDENES'!$AE425))</f>
        <v/>
      </c>
      <c r="I447" s="3">
        <f>IF('ORDENES'!$A425="","",IF('ORDENES'!$AQ425="","-",'ORDENES'!$AQ425))</f>
        <v/>
      </c>
      <c r="J447" s="3">
        <f>IF('ORDENES'!$A425="","",IF('ORDENES'!$D425="","-",'ORDENES'!$D425))</f>
        <v/>
      </c>
      <c r="K447" s="3">
        <f>IF('ORDENES'!$A425="","",IF('ORDENES'!$E425="","-",'ORDENES'!$E425))</f>
        <v/>
      </c>
      <c r="L447" s="13">
        <f>IF('ORDENES'!$A425="","",IF('ORDENES'!$M425="",0,'ORDENES'!$M425))</f>
        <v/>
      </c>
      <c r="M447" s="3">
        <f>IF('ORDENES'!$A425="","",IF('ORDENES'!$N425="","-",'ORDENES'!$N425))</f>
        <v/>
      </c>
      <c r="N447" s="3">
        <f>IF('ORDENES'!$A425="","",'ORDENES'!$AD425)</f>
        <v/>
      </c>
    </row>
    <row r="448">
      <c r="A448" s="3">
        <f>IF('ORDENES'!$A426="","",IF('ORDENES'!$O426="","-",'ORDENES'!$O426))</f>
        <v/>
      </c>
      <c r="B448" s="3">
        <f>IF('ORDENES'!$A426="","",IF('ORDENES'!$R426="","-",'ORDENES'!$R426))</f>
        <v/>
      </c>
      <c r="C448" s="3">
        <f>IF('ORDENES'!$A426="","",IF('ORDENES'!$AF426="","-",'ORDENES'!$AF426))</f>
        <v/>
      </c>
      <c r="D448" s="3">
        <f>IF('ORDENES'!$A426="","",IF('ORDENES'!$X426="","-",'ORDENES'!$X426))</f>
        <v/>
      </c>
      <c r="E448" s="3">
        <f>IF('ORDENES'!$A426="","",IF('ORDENES'!$V426="","-",'ORDENES'!$V426))</f>
        <v/>
      </c>
      <c r="F448" s="3">
        <f>IF('ORDENES'!$A426="","",IF('ORDENES'!$Y426="","-",'ORDENES'!$Y426))</f>
        <v/>
      </c>
      <c r="G448" s="3">
        <f>IF('ORDENES'!$A426="","",IF('ORDENES'!$W426="","-",'ORDENES'!$W426))</f>
        <v/>
      </c>
      <c r="H448" s="3">
        <f>IF('ORDENES'!$A426="","",IF('ORDENES'!$AE426="","-",'ORDENES'!$AE426))</f>
        <v/>
      </c>
      <c r="I448" s="3">
        <f>IF('ORDENES'!$A426="","",IF('ORDENES'!$AQ426="","-",'ORDENES'!$AQ426))</f>
        <v/>
      </c>
      <c r="J448" s="3">
        <f>IF('ORDENES'!$A426="","",IF('ORDENES'!$D426="","-",'ORDENES'!$D426))</f>
        <v/>
      </c>
      <c r="K448" s="3">
        <f>IF('ORDENES'!$A426="","",IF('ORDENES'!$E426="","-",'ORDENES'!$E426))</f>
        <v/>
      </c>
      <c r="L448" s="13">
        <f>IF('ORDENES'!$A426="","",IF('ORDENES'!$M426="",0,'ORDENES'!$M426))</f>
        <v/>
      </c>
      <c r="M448" s="3">
        <f>IF('ORDENES'!$A426="","",IF('ORDENES'!$N426="","-",'ORDENES'!$N426))</f>
        <v/>
      </c>
      <c r="N448" s="3">
        <f>IF('ORDENES'!$A426="","",'ORDENES'!$AD426)</f>
        <v/>
      </c>
    </row>
    <row r="449">
      <c r="A449" s="3">
        <f>IF('ORDENES'!$A427="","",IF('ORDENES'!$O427="","-",'ORDENES'!$O427))</f>
        <v/>
      </c>
      <c r="B449" s="3">
        <f>IF('ORDENES'!$A427="","",IF('ORDENES'!$R427="","-",'ORDENES'!$R427))</f>
        <v/>
      </c>
      <c r="C449" s="3">
        <f>IF('ORDENES'!$A427="","",IF('ORDENES'!$AF427="","-",'ORDENES'!$AF427))</f>
        <v/>
      </c>
      <c r="D449" s="3">
        <f>IF('ORDENES'!$A427="","",IF('ORDENES'!$X427="","-",'ORDENES'!$X427))</f>
        <v/>
      </c>
      <c r="E449" s="3">
        <f>IF('ORDENES'!$A427="","",IF('ORDENES'!$V427="","-",'ORDENES'!$V427))</f>
        <v/>
      </c>
      <c r="F449" s="3">
        <f>IF('ORDENES'!$A427="","",IF('ORDENES'!$Y427="","-",'ORDENES'!$Y427))</f>
        <v/>
      </c>
      <c r="G449" s="3">
        <f>IF('ORDENES'!$A427="","",IF('ORDENES'!$W427="","-",'ORDENES'!$W427))</f>
        <v/>
      </c>
      <c r="H449" s="3">
        <f>IF('ORDENES'!$A427="","",IF('ORDENES'!$AE427="","-",'ORDENES'!$AE427))</f>
        <v/>
      </c>
      <c r="I449" s="3">
        <f>IF('ORDENES'!$A427="","",IF('ORDENES'!$AQ427="","-",'ORDENES'!$AQ427))</f>
        <v/>
      </c>
      <c r="J449" s="3">
        <f>IF('ORDENES'!$A427="","",IF('ORDENES'!$D427="","-",'ORDENES'!$D427))</f>
        <v/>
      </c>
      <c r="K449" s="3">
        <f>IF('ORDENES'!$A427="","",IF('ORDENES'!$E427="","-",'ORDENES'!$E427))</f>
        <v/>
      </c>
      <c r="L449" s="13">
        <f>IF('ORDENES'!$A427="","",IF('ORDENES'!$M427="",0,'ORDENES'!$M427))</f>
        <v/>
      </c>
      <c r="M449" s="3">
        <f>IF('ORDENES'!$A427="","",IF('ORDENES'!$N427="","-",'ORDENES'!$N427))</f>
        <v/>
      </c>
      <c r="N449" s="3">
        <f>IF('ORDENES'!$A427="","",'ORDENES'!$AD427)</f>
        <v/>
      </c>
    </row>
    <row r="450">
      <c r="A450" s="3">
        <f>IF('ORDENES'!$A428="","",IF('ORDENES'!$O428="","-",'ORDENES'!$O428))</f>
        <v/>
      </c>
      <c r="B450" s="3">
        <f>IF('ORDENES'!$A428="","",IF('ORDENES'!$R428="","-",'ORDENES'!$R428))</f>
        <v/>
      </c>
      <c r="C450" s="3">
        <f>IF('ORDENES'!$A428="","",IF('ORDENES'!$AF428="","-",'ORDENES'!$AF428))</f>
        <v/>
      </c>
      <c r="D450" s="3">
        <f>IF('ORDENES'!$A428="","",IF('ORDENES'!$X428="","-",'ORDENES'!$X428))</f>
        <v/>
      </c>
      <c r="E450" s="3">
        <f>IF('ORDENES'!$A428="","",IF('ORDENES'!$V428="","-",'ORDENES'!$V428))</f>
        <v/>
      </c>
      <c r="F450" s="3">
        <f>IF('ORDENES'!$A428="","",IF('ORDENES'!$Y428="","-",'ORDENES'!$Y428))</f>
        <v/>
      </c>
      <c r="G450" s="3">
        <f>IF('ORDENES'!$A428="","",IF('ORDENES'!$W428="","-",'ORDENES'!$W428))</f>
        <v/>
      </c>
      <c r="H450" s="3">
        <f>IF('ORDENES'!$A428="","",IF('ORDENES'!$AE428="","-",'ORDENES'!$AE428))</f>
        <v/>
      </c>
      <c r="I450" s="3">
        <f>IF('ORDENES'!$A428="","",IF('ORDENES'!$AQ428="","-",'ORDENES'!$AQ428))</f>
        <v/>
      </c>
      <c r="J450" s="3">
        <f>IF('ORDENES'!$A428="","",IF('ORDENES'!$D428="","-",'ORDENES'!$D428))</f>
        <v/>
      </c>
      <c r="K450" s="3">
        <f>IF('ORDENES'!$A428="","",IF('ORDENES'!$E428="","-",'ORDENES'!$E428))</f>
        <v/>
      </c>
      <c r="L450" s="13">
        <f>IF('ORDENES'!$A428="","",IF('ORDENES'!$M428="",0,'ORDENES'!$M428))</f>
        <v/>
      </c>
      <c r="M450" s="3">
        <f>IF('ORDENES'!$A428="","",IF('ORDENES'!$N428="","-",'ORDENES'!$N428))</f>
        <v/>
      </c>
      <c r="N450" s="3">
        <f>IF('ORDENES'!$A428="","",'ORDENES'!$AD428)</f>
        <v/>
      </c>
    </row>
    <row r="451">
      <c r="A451" s="3">
        <f>IF('ORDENES'!$A429="","",IF('ORDENES'!$O429="","-",'ORDENES'!$O429))</f>
        <v/>
      </c>
      <c r="B451" s="3">
        <f>IF('ORDENES'!$A429="","",IF('ORDENES'!$R429="","-",'ORDENES'!$R429))</f>
        <v/>
      </c>
      <c r="C451" s="3">
        <f>IF('ORDENES'!$A429="","",IF('ORDENES'!$AF429="","-",'ORDENES'!$AF429))</f>
        <v/>
      </c>
      <c r="D451" s="3">
        <f>IF('ORDENES'!$A429="","",IF('ORDENES'!$X429="","-",'ORDENES'!$X429))</f>
        <v/>
      </c>
      <c r="E451" s="3">
        <f>IF('ORDENES'!$A429="","",IF('ORDENES'!$V429="","-",'ORDENES'!$V429))</f>
        <v/>
      </c>
      <c r="F451" s="3">
        <f>IF('ORDENES'!$A429="","",IF('ORDENES'!$Y429="","-",'ORDENES'!$Y429))</f>
        <v/>
      </c>
      <c r="G451" s="3">
        <f>IF('ORDENES'!$A429="","",IF('ORDENES'!$W429="","-",'ORDENES'!$W429))</f>
        <v/>
      </c>
      <c r="H451" s="3">
        <f>IF('ORDENES'!$A429="","",IF('ORDENES'!$AE429="","-",'ORDENES'!$AE429))</f>
        <v/>
      </c>
      <c r="I451" s="3">
        <f>IF('ORDENES'!$A429="","",IF('ORDENES'!$AQ429="","-",'ORDENES'!$AQ429))</f>
        <v/>
      </c>
      <c r="J451" s="3">
        <f>IF('ORDENES'!$A429="","",IF('ORDENES'!$D429="","-",'ORDENES'!$D429))</f>
        <v/>
      </c>
      <c r="K451" s="3">
        <f>IF('ORDENES'!$A429="","",IF('ORDENES'!$E429="","-",'ORDENES'!$E429))</f>
        <v/>
      </c>
      <c r="L451" s="13">
        <f>IF('ORDENES'!$A429="","",IF('ORDENES'!$M429="",0,'ORDENES'!$M429))</f>
        <v/>
      </c>
      <c r="M451" s="3">
        <f>IF('ORDENES'!$A429="","",IF('ORDENES'!$N429="","-",'ORDENES'!$N429))</f>
        <v/>
      </c>
      <c r="N451" s="3">
        <f>IF('ORDENES'!$A429="","",'ORDENES'!$AD429)</f>
        <v/>
      </c>
    </row>
    <row r="452">
      <c r="A452" s="3">
        <f>IF('ORDENES'!$A430="","",IF('ORDENES'!$O430="","-",'ORDENES'!$O430))</f>
        <v/>
      </c>
      <c r="B452" s="3">
        <f>IF('ORDENES'!$A430="","",IF('ORDENES'!$R430="","-",'ORDENES'!$R430))</f>
        <v/>
      </c>
      <c r="C452" s="3">
        <f>IF('ORDENES'!$A430="","",IF('ORDENES'!$AF430="","-",'ORDENES'!$AF430))</f>
        <v/>
      </c>
      <c r="D452" s="3">
        <f>IF('ORDENES'!$A430="","",IF('ORDENES'!$X430="","-",'ORDENES'!$X430))</f>
        <v/>
      </c>
      <c r="E452" s="3">
        <f>IF('ORDENES'!$A430="","",IF('ORDENES'!$V430="","-",'ORDENES'!$V430))</f>
        <v/>
      </c>
      <c r="F452" s="3">
        <f>IF('ORDENES'!$A430="","",IF('ORDENES'!$Y430="","-",'ORDENES'!$Y430))</f>
        <v/>
      </c>
      <c r="G452" s="3">
        <f>IF('ORDENES'!$A430="","",IF('ORDENES'!$W430="","-",'ORDENES'!$W430))</f>
        <v/>
      </c>
      <c r="H452" s="3">
        <f>IF('ORDENES'!$A430="","",IF('ORDENES'!$AE430="","-",'ORDENES'!$AE430))</f>
        <v/>
      </c>
      <c r="I452" s="3">
        <f>IF('ORDENES'!$A430="","",IF('ORDENES'!$AQ430="","-",'ORDENES'!$AQ430))</f>
        <v/>
      </c>
      <c r="J452" s="3">
        <f>IF('ORDENES'!$A430="","",IF('ORDENES'!$D430="","-",'ORDENES'!$D430))</f>
        <v/>
      </c>
      <c r="K452" s="3">
        <f>IF('ORDENES'!$A430="","",IF('ORDENES'!$E430="","-",'ORDENES'!$E430))</f>
        <v/>
      </c>
      <c r="L452" s="13">
        <f>IF('ORDENES'!$A430="","",IF('ORDENES'!$M430="",0,'ORDENES'!$M430))</f>
        <v/>
      </c>
      <c r="M452" s="3">
        <f>IF('ORDENES'!$A430="","",IF('ORDENES'!$N430="","-",'ORDENES'!$N430))</f>
        <v/>
      </c>
      <c r="N452" s="3">
        <f>IF('ORDENES'!$A430="","",'ORDENES'!$AD430)</f>
        <v/>
      </c>
    </row>
    <row r="453">
      <c r="A453" s="3">
        <f>IF('ORDENES'!$A431="","",IF('ORDENES'!$O431="","-",'ORDENES'!$O431))</f>
        <v/>
      </c>
      <c r="B453" s="3">
        <f>IF('ORDENES'!$A431="","",IF('ORDENES'!$R431="","-",'ORDENES'!$R431))</f>
        <v/>
      </c>
      <c r="C453" s="3">
        <f>IF('ORDENES'!$A431="","",IF('ORDENES'!$AF431="","-",'ORDENES'!$AF431))</f>
        <v/>
      </c>
      <c r="D453" s="3">
        <f>IF('ORDENES'!$A431="","",IF('ORDENES'!$X431="","-",'ORDENES'!$X431))</f>
        <v/>
      </c>
      <c r="E453" s="3">
        <f>IF('ORDENES'!$A431="","",IF('ORDENES'!$V431="","-",'ORDENES'!$V431))</f>
        <v/>
      </c>
      <c r="F453" s="3">
        <f>IF('ORDENES'!$A431="","",IF('ORDENES'!$Y431="","-",'ORDENES'!$Y431))</f>
        <v/>
      </c>
      <c r="G453" s="3">
        <f>IF('ORDENES'!$A431="","",IF('ORDENES'!$W431="","-",'ORDENES'!$W431))</f>
        <v/>
      </c>
      <c r="H453" s="3">
        <f>IF('ORDENES'!$A431="","",IF('ORDENES'!$AE431="","-",'ORDENES'!$AE431))</f>
        <v/>
      </c>
      <c r="I453" s="3">
        <f>IF('ORDENES'!$A431="","",IF('ORDENES'!$AQ431="","-",'ORDENES'!$AQ431))</f>
        <v/>
      </c>
      <c r="J453" s="3">
        <f>IF('ORDENES'!$A431="","",IF('ORDENES'!$D431="","-",'ORDENES'!$D431))</f>
        <v/>
      </c>
      <c r="K453" s="3">
        <f>IF('ORDENES'!$A431="","",IF('ORDENES'!$E431="","-",'ORDENES'!$E431))</f>
        <v/>
      </c>
      <c r="L453" s="13">
        <f>IF('ORDENES'!$A431="","",IF('ORDENES'!$M431="",0,'ORDENES'!$M431))</f>
        <v/>
      </c>
      <c r="M453" s="3">
        <f>IF('ORDENES'!$A431="","",IF('ORDENES'!$N431="","-",'ORDENES'!$N431))</f>
        <v/>
      </c>
      <c r="N453" s="3">
        <f>IF('ORDENES'!$A431="","",'ORDENES'!$AD431)</f>
        <v/>
      </c>
    </row>
    <row r="454">
      <c r="A454" s="3">
        <f>IF('ORDENES'!$A432="","",IF('ORDENES'!$O432="","-",'ORDENES'!$O432))</f>
        <v/>
      </c>
      <c r="B454" s="3">
        <f>IF('ORDENES'!$A432="","",IF('ORDENES'!$R432="","-",'ORDENES'!$R432))</f>
        <v/>
      </c>
      <c r="C454" s="3">
        <f>IF('ORDENES'!$A432="","",IF('ORDENES'!$AF432="","-",'ORDENES'!$AF432))</f>
        <v/>
      </c>
      <c r="D454" s="3">
        <f>IF('ORDENES'!$A432="","",IF('ORDENES'!$X432="","-",'ORDENES'!$X432))</f>
        <v/>
      </c>
      <c r="E454" s="3">
        <f>IF('ORDENES'!$A432="","",IF('ORDENES'!$V432="","-",'ORDENES'!$V432))</f>
        <v/>
      </c>
      <c r="F454" s="3">
        <f>IF('ORDENES'!$A432="","",IF('ORDENES'!$Y432="","-",'ORDENES'!$Y432))</f>
        <v/>
      </c>
      <c r="G454" s="3">
        <f>IF('ORDENES'!$A432="","",IF('ORDENES'!$W432="","-",'ORDENES'!$W432))</f>
        <v/>
      </c>
      <c r="H454" s="3">
        <f>IF('ORDENES'!$A432="","",IF('ORDENES'!$AE432="","-",'ORDENES'!$AE432))</f>
        <v/>
      </c>
      <c r="I454" s="3">
        <f>IF('ORDENES'!$A432="","",IF('ORDENES'!$AQ432="","-",'ORDENES'!$AQ432))</f>
        <v/>
      </c>
      <c r="J454" s="3">
        <f>IF('ORDENES'!$A432="","",IF('ORDENES'!$D432="","-",'ORDENES'!$D432))</f>
        <v/>
      </c>
      <c r="K454" s="3">
        <f>IF('ORDENES'!$A432="","",IF('ORDENES'!$E432="","-",'ORDENES'!$E432))</f>
        <v/>
      </c>
      <c r="L454" s="13">
        <f>IF('ORDENES'!$A432="","",IF('ORDENES'!$M432="",0,'ORDENES'!$M432))</f>
        <v/>
      </c>
      <c r="M454" s="3">
        <f>IF('ORDENES'!$A432="","",IF('ORDENES'!$N432="","-",'ORDENES'!$N432))</f>
        <v/>
      </c>
      <c r="N454" s="3">
        <f>IF('ORDENES'!$A432="","",'ORDENES'!$AD432)</f>
        <v/>
      </c>
    </row>
    <row r="455">
      <c r="A455" s="3">
        <f>IF('ORDENES'!$A433="","",IF('ORDENES'!$O433="","-",'ORDENES'!$O433))</f>
        <v/>
      </c>
      <c r="B455" s="3">
        <f>IF('ORDENES'!$A433="","",IF('ORDENES'!$R433="","-",'ORDENES'!$R433))</f>
        <v/>
      </c>
      <c r="C455" s="3">
        <f>IF('ORDENES'!$A433="","",IF('ORDENES'!$AF433="","-",'ORDENES'!$AF433))</f>
        <v/>
      </c>
      <c r="D455" s="3">
        <f>IF('ORDENES'!$A433="","",IF('ORDENES'!$X433="","-",'ORDENES'!$X433))</f>
        <v/>
      </c>
      <c r="E455" s="3">
        <f>IF('ORDENES'!$A433="","",IF('ORDENES'!$V433="","-",'ORDENES'!$V433))</f>
        <v/>
      </c>
      <c r="F455" s="3">
        <f>IF('ORDENES'!$A433="","",IF('ORDENES'!$Y433="","-",'ORDENES'!$Y433))</f>
        <v/>
      </c>
      <c r="G455" s="3">
        <f>IF('ORDENES'!$A433="","",IF('ORDENES'!$W433="","-",'ORDENES'!$W433))</f>
        <v/>
      </c>
      <c r="H455" s="3">
        <f>IF('ORDENES'!$A433="","",IF('ORDENES'!$AE433="","-",'ORDENES'!$AE433))</f>
        <v/>
      </c>
      <c r="I455" s="3">
        <f>IF('ORDENES'!$A433="","",IF('ORDENES'!$AQ433="","-",'ORDENES'!$AQ433))</f>
        <v/>
      </c>
      <c r="J455" s="3">
        <f>IF('ORDENES'!$A433="","",IF('ORDENES'!$D433="","-",'ORDENES'!$D433))</f>
        <v/>
      </c>
      <c r="K455" s="3">
        <f>IF('ORDENES'!$A433="","",IF('ORDENES'!$E433="","-",'ORDENES'!$E433))</f>
        <v/>
      </c>
      <c r="L455" s="13">
        <f>IF('ORDENES'!$A433="","",IF('ORDENES'!$M433="",0,'ORDENES'!$M433))</f>
        <v/>
      </c>
      <c r="M455" s="3">
        <f>IF('ORDENES'!$A433="","",IF('ORDENES'!$N433="","-",'ORDENES'!$N433))</f>
        <v/>
      </c>
      <c r="N455" s="3">
        <f>IF('ORDENES'!$A433="","",'ORDENES'!$AD433)</f>
        <v/>
      </c>
    </row>
    <row r="456">
      <c r="A456" s="3">
        <f>IF('ORDENES'!$A434="","",IF('ORDENES'!$O434="","-",'ORDENES'!$O434))</f>
        <v/>
      </c>
      <c r="B456" s="3">
        <f>IF('ORDENES'!$A434="","",IF('ORDENES'!$R434="","-",'ORDENES'!$R434))</f>
        <v/>
      </c>
      <c r="C456" s="3">
        <f>IF('ORDENES'!$A434="","",IF('ORDENES'!$AF434="","-",'ORDENES'!$AF434))</f>
        <v/>
      </c>
      <c r="D456" s="3">
        <f>IF('ORDENES'!$A434="","",IF('ORDENES'!$X434="","-",'ORDENES'!$X434))</f>
        <v/>
      </c>
      <c r="E456" s="3">
        <f>IF('ORDENES'!$A434="","",IF('ORDENES'!$V434="","-",'ORDENES'!$V434))</f>
        <v/>
      </c>
      <c r="F456" s="3">
        <f>IF('ORDENES'!$A434="","",IF('ORDENES'!$Y434="","-",'ORDENES'!$Y434))</f>
        <v/>
      </c>
      <c r="G456" s="3">
        <f>IF('ORDENES'!$A434="","",IF('ORDENES'!$W434="","-",'ORDENES'!$W434))</f>
        <v/>
      </c>
      <c r="H456" s="3">
        <f>IF('ORDENES'!$A434="","",IF('ORDENES'!$AE434="","-",'ORDENES'!$AE434))</f>
        <v/>
      </c>
      <c r="I456" s="3">
        <f>IF('ORDENES'!$A434="","",IF('ORDENES'!$AQ434="","-",'ORDENES'!$AQ434))</f>
        <v/>
      </c>
      <c r="J456" s="3">
        <f>IF('ORDENES'!$A434="","",IF('ORDENES'!$D434="","-",'ORDENES'!$D434))</f>
        <v/>
      </c>
      <c r="K456" s="3">
        <f>IF('ORDENES'!$A434="","",IF('ORDENES'!$E434="","-",'ORDENES'!$E434))</f>
        <v/>
      </c>
      <c r="L456" s="13">
        <f>IF('ORDENES'!$A434="","",IF('ORDENES'!$M434="",0,'ORDENES'!$M434))</f>
        <v/>
      </c>
      <c r="M456" s="3">
        <f>IF('ORDENES'!$A434="","",IF('ORDENES'!$N434="","-",'ORDENES'!$N434))</f>
        <v/>
      </c>
      <c r="N456" s="3">
        <f>IF('ORDENES'!$A434="","",'ORDENES'!$AD434)</f>
        <v/>
      </c>
    </row>
    <row r="457">
      <c r="A457" s="3">
        <f>IF('ORDENES'!$A435="","",IF('ORDENES'!$O435="","-",'ORDENES'!$O435))</f>
        <v/>
      </c>
      <c r="B457" s="3">
        <f>IF('ORDENES'!$A435="","",IF('ORDENES'!$R435="","-",'ORDENES'!$R435))</f>
        <v/>
      </c>
      <c r="C457" s="3">
        <f>IF('ORDENES'!$A435="","",IF('ORDENES'!$AF435="","-",'ORDENES'!$AF435))</f>
        <v/>
      </c>
      <c r="D457" s="3">
        <f>IF('ORDENES'!$A435="","",IF('ORDENES'!$X435="","-",'ORDENES'!$X435))</f>
        <v/>
      </c>
      <c r="E457" s="3">
        <f>IF('ORDENES'!$A435="","",IF('ORDENES'!$V435="","-",'ORDENES'!$V435))</f>
        <v/>
      </c>
      <c r="F457" s="3">
        <f>IF('ORDENES'!$A435="","",IF('ORDENES'!$Y435="","-",'ORDENES'!$Y435))</f>
        <v/>
      </c>
      <c r="G457" s="3">
        <f>IF('ORDENES'!$A435="","",IF('ORDENES'!$W435="","-",'ORDENES'!$W435))</f>
        <v/>
      </c>
      <c r="H457" s="3">
        <f>IF('ORDENES'!$A435="","",IF('ORDENES'!$AE435="","-",'ORDENES'!$AE435))</f>
        <v/>
      </c>
      <c r="I457" s="3">
        <f>IF('ORDENES'!$A435="","",IF('ORDENES'!$AQ435="","-",'ORDENES'!$AQ435))</f>
        <v/>
      </c>
      <c r="J457" s="3">
        <f>IF('ORDENES'!$A435="","",IF('ORDENES'!$D435="","-",'ORDENES'!$D435))</f>
        <v/>
      </c>
      <c r="K457" s="3">
        <f>IF('ORDENES'!$A435="","",IF('ORDENES'!$E435="","-",'ORDENES'!$E435))</f>
        <v/>
      </c>
      <c r="L457" s="13">
        <f>IF('ORDENES'!$A435="","",IF('ORDENES'!$M435="",0,'ORDENES'!$M435))</f>
        <v/>
      </c>
      <c r="M457" s="3">
        <f>IF('ORDENES'!$A435="","",IF('ORDENES'!$N435="","-",'ORDENES'!$N435))</f>
        <v/>
      </c>
      <c r="N457" s="3">
        <f>IF('ORDENES'!$A435="","",'ORDENES'!$AD435)</f>
        <v/>
      </c>
    </row>
    <row r="458">
      <c r="A458" s="3">
        <f>IF('ORDENES'!$A436="","",IF('ORDENES'!$O436="","-",'ORDENES'!$O436))</f>
        <v/>
      </c>
      <c r="B458" s="3">
        <f>IF('ORDENES'!$A436="","",IF('ORDENES'!$R436="","-",'ORDENES'!$R436))</f>
        <v/>
      </c>
      <c r="C458" s="3">
        <f>IF('ORDENES'!$A436="","",IF('ORDENES'!$AF436="","-",'ORDENES'!$AF436))</f>
        <v/>
      </c>
      <c r="D458" s="3">
        <f>IF('ORDENES'!$A436="","",IF('ORDENES'!$X436="","-",'ORDENES'!$X436))</f>
        <v/>
      </c>
      <c r="E458" s="3">
        <f>IF('ORDENES'!$A436="","",IF('ORDENES'!$V436="","-",'ORDENES'!$V436))</f>
        <v/>
      </c>
      <c r="F458" s="3">
        <f>IF('ORDENES'!$A436="","",IF('ORDENES'!$Y436="","-",'ORDENES'!$Y436))</f>
        <v/>
      </c>
      <c r="G458" s="3">
        <f>IF('ORDENES'!$A436="","",IF('ORDENES'!$W436="","-",'ORDENES'!$W436))</f>
        <v/>
      </c>
      <c r="H458" s="3">
        <f>IF('ORDENES'!$A436="","",IF('ORDENES'!$AE436="","-",'ORDENES'!$AE436))</f>
        <v/>
      </c>
      <c r="I458" s="3">
        <f>IF('ORDENES'!$A436="","",IF('ORDENES'!$AQ436="","-",'ORDENES'!$AQ436))</f>
        <v/>
      </c>
      <c r="J458" s="3">
        <f>IF('ORDENES'!$A436="","",IF('ORDENES'!$D436="","-",'ORDENES'!$D436))</f>
        <v/>
      </c>
      <c r="K458" s="3">
        <f>IF('ORDENES'!$A436="","",IF('ORDENES'!$E436="","-",'ORDENES'!$E436))</f>
        <v/>
      </c>
      <c r="L458" s="13">
        <f>IF('ORDENES'!$A436="","",IF('ORDENES'!$M436="",0,'ORDENES'!$M436))</f>
        <v/>
      </c>
      <c r="M458" s="3">
        <f>IF('ORDENES'!$A436="","",IF('ORDENES'!$N436="","-",'ORDENES'!$N436))</f>
        <v/>
      </c>
      <c r="N458" s="3">
        <f>IF('ORDENES'!$A436="","",'ORDENES'!$AD436)</f>
        <v/>
      </c>
    </row>
    <row r="459">
      <c r="A459" s="3">
        <f>IF('ORDENES'!$A437="","",IF('ORDENES'!$O437="","-",'ORDENES'!$O437))</f>
        <v/>
      </c>
      <c r="B459" s="3">
        <f>IF('ORDENES'!$A437="","",IF('ORDENES'!$R437="","-",'ORDENES'!$R437))</f>
        <v/>
      </c>
      <c r="C459" s="3">
        <f>IF('ORDENES'!$A437="","",IF('ORDENES'!$AF437="","-",'ORDENES'!$AF437))</f>
        <v/>
      </c>
      <c r="D459" s="3">
        <f>IF('ORDENES'!$A437="","",IF('ORDENES'!$X437="","-",'ORDENES'!$X437))</f>
        <v/>
      </c>
      <c r="E459" s="3">
        <f>IF('ORDENES'!$A437="","",IF('ORDENES'!$V437="","-",'ORDENES'!$V437))</f>
        <v/>
      </c>
      <c r="F459" s="3">
        <f>IF('ORDENES'!$A437="","",IF('ORDENES'!$Y437="","-",'ORDENES'!$Y437))</f>
        <v/>
      </c>
      <c r="G459" s="3">
        <f>IF('ORDENES'!$A437="","",IF('ORDENES'!$W437="","-",'ORDENES'!$W437))</f>
        <v/>
      </c>
      <c r="H459" s="3">
        <f>IF('ORDENES'!$A437="","",IF('ORDENES'!$AE437="","-",'ORDENES'!$AE437))</f>
        <v/>
      </c>
      <c r="I459" s="3">
        <f>IF('ORDENES'!$A437="","",IF('ORDENES'!$AQ437="","-",'ORDENES'!$AQ437))</f>
        <v/>
      </c>
      <c r="J459" s="3">
        <f>IF('ORDENES'!$A437="","",IF('ORDENES'!$D437="","-",'ORDENES'!$D437))</f>
        <v/>
      </c>
      <c r="K459" s="3">
        <f>IF('ORDENES'!$A437="","",IF('ORDENES'!$E437="","-",'ORDENES'!$E437))</f>
        <v/>
      </c>
      <c r="L459" s="13">
        <f>IF('ORDENES'!$A437="","",IF('ORDENES'!$M437="",0,'ORDENES'!$M437))</f>
        <v/>
      </c>
      <c r="M459" s="3">
        <f>IF('ORDENES'!$A437="","",IF('ORDENES'!$N437="","-",'ORDENES'!$N437))</f>
        <v/>
      </c>
      <c r="N459" s="3">
        <f>IF('ORDENES'!$A437="","",'ORDENES'!$AD437)</f>
        <v/>
      </c>
    </row>
    <row r="460">
      <c r="A460" s="3">
        <f>IF('ORDENES'!$A438="","",IF('ORDENES'!$O438="","-",'ORDENES'!$O438))</f>
        <v/>
      </c>
      <c r="B460" s="3">
        <f>IF('ORDENES'!$A438="","",IF('ORDENES'!$R438="","-",'ORDENES'!$R438))</f>
        <v/>
      </c>
      <c r="C460" s="3">
        <f>IF('ORDENES'!$A438="","",IF('ORDENES'!$AF438="","-",'ORDENES'!$AF438))</f>
        <v/>
      </c>
      <c r="D460" s="3">
        <f>IF('ORDENES'!$A438="","",IF('ORDENES'!$X438="","-",'ORDENES'!$X438))</f>
        <v/>
      </c>
      <c r="E460" s="3">
        <f>IF('ORDENES'!$A438="","",IF('ORDENES'!$V438="","-",'ORDENES'!$V438))</f>
        <v/>
      </c>
      <c r="F460" s="3">
        <f>IF('ORDENES'!$A438="","",IF('ORDENES'!$Y438="","-",'ORDENES'!$Y438))</f>
        <v/>
      </c>
      <c r="G460" s="3">
        <f>IF('ORDENES'!$A438="","",IF('ORDENES'!$W438="","-",'ORDENES'!$W438))</f>
        <v/>
      </c>
      <c r="H460" s="3">
        <f>IF('ORDENES'!$A438="","",IF('ORDENES'!$AE438="","-",'ORDENES'!$AE438))</f>
        <v/>
      </c>
      <c r="I460" s="3">
        <f>IF('ORDENES'!$A438="","",IF('ORDENES'!$AQ438="","-",'ORDENES'!$AQ438))</f>
        <v/>
      </c>
      <c r="J460" s="3">
        <f>IF('ORDENES'!$A438="","",IF('ORDENES'!$D438="","-",'ORDENES'!$D438))</f>
        <v/>
      </c>
      <c r="K460" s="3">
        <f>IF('ORDENES'!$A438="","",IF('ORDENES'!$E438="","-",'ORDENES'!$E438))</f>
        <v/>
      </c>
      <c r="L460" s="13">
        <f>IF('ORDENES'!$A438="","",IF('ORDENES'!$M438="",0,'ORDENES'!$M438))</f>
        <v/>
      </c>
      <c r="M460" s="3">
        <f>IF('ORDENES'!$A438="","",IF('ORDENES'!$N438="","-",'ORDENES'!$N438))</f>
        <v/>
      </c>
      <c r="N460" s="3">
        <f>IF('ORDENES'!$A438="","",'ORDENES'!$AD438)</f>
        <v/>
      </c>
    </row>
    <row r="461">
      <c r="A461" s="3">
        <f>IF('ORDENES'!$A439="","",IF('ORDENES'!$O439="","-",'ORDENES'!$O439))</f>
        <v/>
      </c>
      <c r="B461" s="3">
        <f>IF('ORDENES'!$A439="","",IF('ORDENES'!$R439="","-",'ORDENES'!$R439))</f>
        <v/>
      </c>
      <c r="C461" s="3">
        <f>IF('ORDENES'!$A439="","",IF('ORDENES'!$AF439="","-",'ORDENES'!$AF439))</f>
        <v/>
      </c>
      <c r="D461" s="3">
        <f>IF('ORDENES'!$A439="","",IF('ORDENES'!$X439="","-",'ORDENES'!$X439))</f>
        <v/>
      </c>
      <c r="E461" s="3">
        <f>IF('ORDENES'!$A439="","",IF('ORDENES'!$V439="","-",'ORDENES'!$V439))</f>
        <v/>
      </c>
      <c r="F461" s="3">
        <f>IF('ORDENES'!$A439="","",IF('ORDENES'!$Y439="","-",'ORDENES'!$Y439))</f>
        <v/>
      </c>
      <c r="G461" s="3">
        <f>IF('ORDENES'!$A439="","",IF('ORDENES'!$W439="","-",'ORDENES'!$W439))</f>
        <v/>
      </c>
      <c r="H461" s="3">
        <f>IF('ORDENES'!$A439="","",IF('ORDENES'!$AE439="","-",'ORDENES'!$AE439))</f>
        <v/>
      </c>
      <c r="I461" s="3">
        <f>IF('ORDENES'!$A439="","",IF('ORDENES'!$AQ439="","-",'ORDENES'!$AQ439))</f>
        <v/>
      </c>
      <c r="J461" s="3">
        <f>IF('ORDENES'!$A439="","",IF('ORDENES'!$D439="","-",'ORDENES'!$D439))</f>
        <v/>
      </c>
      <c r="K461" s="3">
        <f>IF('ORDENES'!$A439="","",IF('ORDENES'!$E439="","-",'ORDENES'!$E439))</f>
        <v/>
      </c>
      <c r="L461" s="13">
        <f>IF('ORDENES'!$A439="","",IF('ORDENES'!$M439="",0,'ORDENES'!$M439))</f>
        <v/>
      </c>
      <c r="M461" s="3">
        <f>IF('ORDENES'!$A439="","",IF('ORDENES'!$N439="","-",'ORDENES'!$N439))</f>
        <v/>
      </c>
      <c r="N461" s="3">
        <f>IF('ORDENES'!$A439="","",'ORDENES'!$AD439)</f>
        <v/>
      </c>
    </row>
    <row r="462">
      <c r="A462" s="3">
        <f>IF('ORDENES'!$A440="","",IF('ORDENES'!$O440="","-",'ORDENES'!$O440))</f>
        <v/>
      </c>
      <c r="B462" s="3">
        <f>IF('ORDENES'!$A440="","",IF('ORDENES'!$R440="","-",'ORDENES'!$R440))</f>
        <v/>
      </c>
      <c r="C462" s="3">
        <f>IF('ORDENES'!$A440="","",IF('ORDENES'!$AF440="","-",'ORDENES'!$AF440))</f>
        <v/>
      </c>
      <c r="D462" s="3">
        <f>IF('ORDENES'!$A440="","",IF('ORDENES'!$X440="","-",'ORDENES'!$X440))</f>
        <v/>
      </c>
      <c r="E462" s="3">
        <f>IF('ORDENES'!$A440="","",IF('ORDENES'!$V440="","-",'ORDENES'!$V440))</f>
        <v/>
      </c>
      <c r="F462" s="3">
        <f>IF('ORDENES'!$A440="","",IF('ORDENES'!$Y440="","-",'ORDENES'!$Y440))</f>
        <v/>
      </c>
      <c r="G462" s="3">
        <f>IF('ORDENES'!$A440="","",IF('ORDENES'!$W440="","-",'ORDENES'!$W440))</f>
        <v/>
      </c>
      <c r="H462" s="3">
        <f>IF('ORDENES'!$A440="","",IF('ORDENES'!$AE440="","-",'ORDENES'!$AE440))</f>
        <v/>
      </c>
      <c r="I462" s="3">
        <f>IF('ORDENES'!$A440="","",IF('ORDENES'!$AQ440="","-",'ORDENES'!$AQ440))</f>
        <v/>
      </c>
      <c r="J462" s="3">
        <f>IF('ORDENES'!$A440="","",IF('ORDENES'!$D440="","-",'ORDENES'!$D440))</f>
        <v/>
      </c>
      <c r="K462" s="3">
        <f>IF('ORDENES'!$A440="","",IF('ORDENES'!$E440="","-",'ORDENES'!$E440))</f>
        <v/>
      </c>
      <c r="L462" s="13">
        <f>IF('ORDENES'!$A440="","",IF('ORDENES'!$M440="",0,'ORDENES'!$M440))</f>
        <v/>
      </c>
      <c r="M462" s="3">
        <f>IF('ORDENES'!$A440="","",IF('ORDENES'!$N440="","-",'ORDENES'!$N440))</f>
        <v/>
      </c>
      <c r="N462" s="3">
        <f>IF('ORDENES'!$A440="","",'ORDENES'!$AD440)</f>
        <v/>
      </c>
    </row>
    <row r="463">
      <c r="A463" s="3">
        <f>IF('ORDENES'!$A441="","",IF('ORDENES'!$O441="","-",'ORDENES'!$O441))</f>
        <v/>
      </c>
      <c r="B463" s="3">
        <f>IF('ORDENES'!$A441="","",IF('ORDENES'!$R441="","-",'ORDENES'!$R441))</f>
        <v/>
      </c>
      <c r="C463" s="3">
        <f>IF('ORDENES'!$A441="","",IF('ORDENES'!$AF441="","-",'ORDENES'!$AF441))</f>
        <v/>
      </c>
      <c r="D463" s="3">
        <f>IF('ORDENES'!$A441="","",IF('ORDENES'!$X441="","-",'ORDENES'!$X441))</f>
        <v/>
      </c>
      <c r="E463" s="3">
        <f>IF('ORDENES'!$A441="","",IF('ORDENES'!$V441="","-",'ORDENES'!$V441))</f>
        <v/>
      </c>
      <c r="F463" s="3">
        <f>IF('ORDENES'!$A441="","",IF('ORDENES'!$Y441="","-",'ORDENES'!$Y441))</f>
        <v/>
      </c>
      <c r="G463" s="3">
        <f>IF('ORDENES'!$A441="","",IF('ORDENES'!$W441="","-",'ORDENES'!$W441))</f>
        <v/>
      </c>
      <c r="H463" s="3">
        <f>IF('ORDENES'!$A441="","",IF('ORDENES'!$AE441="","-",'ORDENES'!$AE441))</f>
        <v/>
      </c>
      <c r="I463" s="3">
        <f>IF('ORDENES'!$A441="","",IF('ORDENES'!$AQ441="","-",'ORDENES'!$AQ441))</f>
        <v/>
      </c>
      <c r="J463" s="3">
        <f>IF('ORDENES'!$A441="","",IF('ORDENES'!$D441="","-",'ORDENES'!$D441))</f>
        <v/>
      </c>
      <c r="K463" s="3">
        <f>IF('ORDENES'!$A441="","",IF('ORDENES'!$E441="","-",'ORDENES'!$E441))</f>
        <v/>
      </c>
      <c r="L463" s="13">
        <f>IF('ORDENES'!$A441="","",IF('ORDENES'!$M441="",0,'ORDENES'!$M441))</f>
        <v/>
      </c>
      <c r="M463" s="3">
        <f>IF('ORDENES'!$A441="","",IF('ORDENES'!$N441="","-",'ORDENES'!$N441))</f>
        <v/>
      </c>
      <c r="N463" s="3">
        <f>IF('ORDENES'!$A441="","",'ORDENES'!$AD441)</f>
        <v/>
      </c>
    </row>
    <row r="464">
      <c r="A464" s="3">
        <f>IF('ORDENES'!$A442="","",IF('ORDENES'!$O442="","-",'ORDENES'!$O442))</f>
        <v/>
      </c>
      <c r="B464" s="3">
        <f>IF('ORDENES'!$A442="","",IF('ORDENES'!$R442="","-",'ORDENES'!$R442))</f>
        <v/>
      </c>
      <c r="C464" s="3">
        <f>IF('ORDENES'!$A442="","",IF('ORDENES'!$AF442="","-",'ORDENES'!$AF442))</f>
        <v/>
      </c>
      <c r="D464" s="3">
        <f>IF('ORDENES'!$A442="","",IF('ORDENES'!$X442="","-",'ORDENES'!$X442))</f>
        <v/>
      </c>
      <c r="E464" s="3">
        <f>IF('ORDENES'!$A442="","",IF('ORDENES'!$V442="","-",'ORDENES'!$V442))</f>
        <v/>
      </c>
      <c r="F464" s="3">
        <f>IF('ORDENES'!$A442="","",IF('ORDENES'!$Y442="","-",'ORDENES'!$Y442))</f>
        <v/>
      </c>
      <c r="G464" s="3">
        <f>IF('ORDENES'!$A442="","",IF('ORDENES'!$W442="","-",'ORDENES'!$W442))</f>
        <v/>
      </c>
      <c r="H464" s="3">
        <f>IF('ORDENES'!$A442="","",IF('ORDENES'!$AE442="","-",'ORDENES'!$AE442))</f>
        <v/>
      </c>
      <c r="I464" s="3">
        <f>IF('ORDENES'!$A442="","",IF('ORDENES'!$AQ442="","-",'ORDENES'!$AQ442))</f>
        <v/>
      </c>
      <c r="J464" s="3">
        <f>IF('ORDENES'!$A442="","",IF('ORDENES'!$D442="","-",'ORDENES'!$D442))</f>
        <v/>
      </c>
      <c r="K464" s="3">
        <f>IF('ORDENES'!$A442="","",IF('ORDENES'!$E442="","-",'ORDENES'!$E442))</f>
        <v/>
      </c>
      <c r="L464" s="13">
        <f>IF('ORDENES'!$A442="","",IF('ORDENES'!$M442="",0,'ORDENES'!$M442))</f>
        <v/>
      </c>
      <c r="M464" s="3">
        <f>IF('ORDENES'!$A442="","",IF('ORDENES'!$N442="","-",'ORDENES'!$N442))</f>
        <v/>
      </c>
      <c r="N464" s="3">
        <f>IF('ORDENES'!$A442="","",'ORDENES'!$AD442)</f>
        <v/>
      </c>
    </row>
    <row r="465">
      <c r="A465" s="3">
        <f>IF('ORDENES'!$A443="","",IF('ORDENES'!$O443="","-",'ORDENES'!$O443))</f>
        <v/>
      </c>
      <c r="B465" s="3">
        <f>IF('ORDENES'!$A443="","",IF('ORDENES'!$R443="","-",'ORDENES'!$R443))</f>
        <v/>
      </c>
      <c r="C465" s="3">
        <f>IF('ORDENES'!$A443="","",IF('ORDENES'!$AF443="","-",'ORDENES'!$AF443))</f>
        <v/>
      </c>
      <c r="D465" s="3">
        <f>IF('ORDENES'!$A443="","",IF('ORDENES'!$X443="","-",'ORDENES'!$X443))</f>
        <v/>
      </c>
      <c r="E465" s="3">
        <f>IF('ORDENES'!$A443="","",IF('ORDENES'!$V443="","-",'ORDENES'!$V443))</f>
        <v/>
      </c>
      <c r="F465" s="3">
        <f>IF('ORDENES'!$A443="","",IF('ORDENES'!$Y443="","-",'ORDENES'!$Y443))</f>
        <v/>
      </c>
      <c r="G465" s="3">
        <f>IF('ORDENES'!$A443="","",IF('ORDENES'!$W443="","-",'ORDENES'!$W443))</f>
        <v/>
      </c>
      <c r="H465" s="3">
        <f>IF('ORDENES'!$A443="","",IF('ORDENES'!$AE443="","-",'ORDENES'!$AE443))</f>
        <v/>
      </c>
      <c r="I465" s="3">
        <f>IF('ORDENES'!$A443="","",IF('ORDENES'!$AQ443="","-",'ORDENES'!$AQ443))</f>
        <v/>
      </c>
      <c r="J465" s="3">
        <f>IF('ORDENES'!$A443="","",IF('ORDENES'!$D443="","-",'ORDENES'!$D443))</f>
        <v/>
      </c>
      <c r="K465" s="3">
        <f>IF('ORDENES'!$A443="","",IF('ORDENES'!$E443="","-",'ORDENES'!$E443))</f>
        <v/>
      </c>
      <c r="L465" s="13">
        <f>IF('ORDENES'!$A443="","",IF('ORDENES'!$M443="",0,'ORDENES'!$M443))</f>
        <v/>
      </c>
      <c r="M465" s="3">
        <f>IF('ORDENES'!$A443="","",IF('ORDENES'!$N443="","-",'ORDENES'!$N443))</f>
        <v/>
      </c>
      <c r="N465" s="3">
        <f>IF('ORDENES'!$A443="","",'ORDENES'!$AD443)</f>
        <v/>
      </c>
    </row>
    <row r="466">
      <c r="A466" s="3">
        <f>IF('ORDENES'!$A444="","",IF('ORDENES'!$O444="","-",'ORDENES'!$O444))</f>
        <v/>
      </c>
      <c r="B466" s="3">
        <f>IF('ORDENES'!$A444="","",IF('ORDENES'!$R444="","-",'ORDENES'!$R444))</f>
        <v/>
      </c>
      <c r="C466" s="3">
        <f>IF('ORDENES'!$A444="","",IF('ORDENES'!$AF444="","-",'ORDENES'!$AF444))</f>
        <v/>
      </c>
      <c r="D466" s="3">
        <f>IF('ORDENES'!$A444="","",IF('ORDENES'!$X444="","-",'ORDENES'!$X444))</f>
        <v/>
      </c>
      <c r="E466" s="3">
        <f>IF('ORDENES'!$A444="","",IF('ORDENES'!$V444="","-",'ORDENES'!$V444))</f>
        <v/>
      </c>
      <c r="F466" s="3">
        <f>IF('ORDENES'!$A444="","",IF('ORDENES'!$Y444="","-",'ORDENES'!$Y444))</f>
        <v/>
      </c>
      <c r="G466" s="3">
        <f>IF('ORDENES'!$A444="","",IF('ORDENES'!$W444="","-",'ORDENES'!$W444))</f>
        <v/>
      </c>
      <c r="H466" s="3">
        <f>IF('ORDENES'!$A444="","",IF('ORDENES'!$AE444="","-",'ORDENES'!$AE444))</f>
        <v/>
      </c>
      <c r="I466" s="3">
        <f>IF('ORDENES'!$A444="","",IF('ORDENES'!$AQ444="","-",'ORDENES'!$AQ444))</f>
        <v/>
      </c>
      <c r="J466" s="3">
        <f>IF('ORDENES'!$A444="","",IF('ORDENES'!$D444="","-",'ORDENES'!$D444))</f>
        <v/>
      </c>
      <c r="K466" s="3">
        <f>IF('ORDENES'!$A444="","",IF('ORDENES'!$E444="","-",'ORDENES'!$E444))</f>
        <v/>
      </c>
      <c r="L466" s="13">
        <f>IF('ORDENES'!$A444="","",IF('ORDENES'!$M444="",0,'ORDENES'!$M444))</f>
        <v/>
      </c>
      <c r="M466" s="3">
        <f>IF('ORDENES'!$A444="","",IF('ORDENES'!$N444="","-",'ORDENES'!$N444))</f>
        <v/>
      </c>
      <c r="N466" s="3">
        <f>IF('ORDENES'!$A444="","",'ORDENES'!$AD444)</f>
        <v/>
      </c>
    </row>
    <row r="467">
      <c r="A467" s="3">
        <f>IF('ORDENES'!$A445="","",IF('ORDENES'!$O445="","-",'ORDENES'!$O445))</f>
        <v/>
      </c>
      <c r="B467" s="3">
        <f>IF('ORDENES'!$A445="","",IF('ORDENES'!$R445="","-",'ORDENES'!$R445))</f>
        <v/>
      </c>
      <c r="C467" s="3">
        <f>IF('ORDENES'!$A445="","",IF('ORDENES'!$AF445="","-",'ORDENES'!$AF445))</f>
        <v/>
      </c>
      <c r="D467" s="3">
        <f>IF('ORDENES'!$A445="","",IF('ORDENES'!$X445="","-",'ORDENES'!$X445))</f>
        <v/>
      </c>
      <c r="E467" s="3">
        <f>IF('ORDENES'!$A445="","",IF('ORDENES'!$V445="","-",'ORDENES'!$V445))</f>
        <v/>
      </c>
      <c r="F467" s="3">
        <f>IF('ORDENES'!$A445="","",IF('ORDENES'!$Y445="","-",'ORDENES'!$Y445))</f>
        <v/>
      </c>
      <c r="G467" s="3">
        <f>IF('ORDENES'!$A445="","",IF('ORDENES'!$W445="","-",'ORDENES'!$W445))</f>
        <v/>
      </c>
      <c r="H467" s="3">
        <f>IF('ORDENES'!$A445="","",IF('ORDENES'!$AE445="","-",'ORDENES'!$AE445))</f>
        <v/>
      </c>
      <c r="I467" s="3">
        <f>IF('ORDENES'!$A445="","",IF('ORDENES'!$AQ445="","-",'ORDENES'!$AQ445))</f>
        <v/>
      </c>
      <c r="J467" s="3">
        <f>IF('ORDENES'!$A445="","",IF('ORDENES'!$D445="","-",'ORDENES'!$D445))</f>
        <v/>
      </c>
      <c r="K467" s="3">
        <f>IF('ORDENES'!$A445="","",IF('ORDENES'!$E445="","-",'ORDENES'!$E445))</f>
        <v/>
      </c>
      <c r="L467" s="13">
        <f>IF('ORDENES'!$A445="","",IF('ORDENES'!$M445="",0,'ORDENES'!$M445))</f>
        <v/>
      </c>
      <c r="M467" s="3">
        <f>IF('ORDENES'!$A445="","",IF('ORDENES'!$N445="","-",'ORDENES'!$N445))</f>
        <v/>
      </c>
      <c r="N467" s="3">
        <f>IF('ORDENES'!$A445="","",'ORDENES'!$AD445)</f>
        <v/>
      </c>
    </row>
    <row r="468">
      <c r="A468" s="3">
        <f>IF('ORDENES'!$A446="","",IF('ORDENES'!$O446="","-",'ORDENES'!$O446))</f>
        <v/>
      </c>
      <c r="B468" s="3">
        <f>IF('ORDENES'!$A446="","",IF('ORDENES'!$R446="","-",'ORDENES'!$R446))</f>
        <v/>
      </c>
      <c r="C468" s="3">
        <f>IF('ORDENES'!$A446="","",IF('ORDENES'!$AF446="","-",'ORDENES'!$AF446))</f>
        <v/>
      </c>
      <c r="D468" s="3">
        <f>IF('ORDENES'!$A446="","",IF('ORDENES'!$X446="","-",'ORDENES'!$X446))</f>
        <v/>
      </c>
      <c r="E468" s="3">
        <f>IF('ORDENES'!$A446="","",IF('ORDENES'!$V446="","-",'ORDENES'!$V446))</f>
        <v/>
      </c>
      <c r="F468" s="3">
        <f>IF('ORDENES'!$A446="","",IF('ORDENES'!$Y446="","-",'ORDENES'!$Y446))</f>
        <v/>
      </c>
      <c r="G468" s="3">
        <f>IF('ORDENES'!$A446="","",IF('ORDENES'!$W446="","-",'ORDENES'!$W446))</f>
        <v/>
      </c>
      <c r="H468" s="3">
        <f>IF('ORDENES'!$A446="","",IF('ORDENES'!$AE446="","-",'ORDENES'!$AE446))</f>
        <v/>
      </c>
      <c r="I468" s="3">
        <f>IF('ORDENES'!$A446="","",IF('ORDENES'!$AQ446="","-",'ORDENES'!$AQ446))</f>
        <v/>
      </c>
      <c r="J468" s="3">
        <f>IF('ORDENES'!$A446="","",IF('ORDENES'!$D446="","-",'ORDENES'!$D446))</f>
        <v/>
      </c>
      <c r="K468" s="3">
        <f>IF('ORDENES'!$A446="","",IF('ORDENES'!$E446="","-",'ORDENES'!$E446))</f>
        <v/>
      </c>
      <c r="L468" s="13">
        <f>IF('ORDENES'!$A446="","",IF('ORDENES'!$M446="",0,'ORDENES'!$M446))</f>
        <v/>
      </c>
      <c r="M468" s="3">
        <f>IF('ORDENES'!$A446="","",IF('ORDENES'!$N446="","-",'ORDENES'!$N446))</f>
        <v/>
      </c>
      <c r="N468" s="3">
        <f>IF('ORDENES'!$A446="","",'ORDENES'!$AD446)</f>
        <v/>
      </c>
    </row>
    <row r="469">
      <c r="A469" s="3">
        <f>IF('ORDENES'!$A447="","",IF('ORDENES'!$O447="","-",'ORDENES'!$O447))</f>
        <v/>
      </c>
      <c r="B469" s="3">
        <f>IF('ORDENES'!$A447="","",IF('ORDENES'!$R447="","-",'ORDENES'!$R447))</f>
        <v/>
      </c>
      <c r="C469" s="3">
        <f>IF('ORDENES'!$A447="","",IF('ORDENES'!$AF447="","-",'ORDENES'!$AF447))</f>
        <v/>
      </c>
      <c r="D469" s="3">
        <f>IF('ORDENES'!$A447="","",IF('ORDENES'!$X447="","-",'ORDENES'!$X447))</f>
        <v/>
      </c>
      <c r="E469" s="3">
        <f>IF('ORDENES'!$A447="","",IF('ORDENES'!$V447="","-",'ORDENES'!$V447))</f>
        <v/>
      </c>
      <c r="F469" s="3">
        <f>IF('ORDENES'!$A447="","",IF('ORDENES'!$Y447="","-",'ORDENES'!$Y447))</f>
        <v/>
      </c>
      <c r="G469" s="3">
        <f>IF('ORDENES'!$A447="","",IF('ORDENES'!$W447="","-",'ORDENES'!$W447))</f>
        <v/>
      </c>
      <c r="H469" s="3">
        <f>IF('ORDENES'!$A447="","",IF('ORDENES'!$AE447="","-",'ORDENES'!$AE447))</f>
        <v/>
      </c>
      <c r="I469" s="3">
        <f>IF('ORDENES'!$A447="","",IF('ORDENES'!$AQ447="","-",'ORDENES'!$AQ447))</f>
        <v/>
      </c>
      <c r="J469" s="3">
        <f>IF('ORDENES'!$A447="","",IF('ORDENES'!$D447="","-",'ORDENES'!$D447))</f>
        <v/>
      </c>
      <c r="K469" s="3">
        <f>IF('ORDENES'!$A447="","",IF('ORDENES'!$E447="","-",'ORDENES'!$E447))</f>
        <v/>
      </c>
      <c r="L469" s="13">
        <f>IF('ORDENES'!$A447="","",IF('ORDENES'!$M447="",0,'ORDENES'!$M447))</f>
        <v/>
      </c>
      <c r="M469" s="3">
        <f>IF('ORDENES'!$A447="","",IF('ORDENES'!$N447="","-",'ORDENES'!$N447))</f>
        <v/>
      </c>
      <c r="N469" s="3">
        <f>IF('ORDENES'!$A447="","",'ORDENES'!$AD447)</f>
        <v/>
      </c>
    </row>
    <row r="470">
      <c r="A470" s="3">
        <f>IF('ORDENES'!$A448="","",IF('ORDENES'!$O448="","-",'ORDENES'!$O448))</f>
        <v/>
      </c>
      <c r="B470" s="3">
        <f>IF('ORDENES'!$A448="","",IF('ORDENES'!$R448="","-",'ORDENES'!$R448))</f>
        <v/>
      </c>
      <c r="C470" s="3">
        <f>IF('ORDENES'!$A448="","",IF('ORDENES'!$AF448="","-",'ORDENES'!$AF448))</f>
        <v/>
      </c>
      <c r="D470" s="3">
        <f>IF('ORDENES'!$A448="","",IF('ORDENES'!$X448="","-",'ORDENES'!$X448))</f>
        <v/>
      </c>
      <c r="E470" s="3">
        <f>IF('ORDENES'!$A448="","",IF('ORDENES'!$V448="","-",'ORDENES'!$V448))</f>
        <v/>
      </c>
      <c r="F470" s="3">
        <f>IF('ORDENES'!$A448="","",IF('ORDENES'!$Y448="","-",'ORDENES'!$Y448))</f>
        <v/>
      </c>
      <c r="G470" s="3">
        <f>IF('ORDENES'!$A448="","",IF('ORDENES'!$W448="","-",'ORDENES'!$W448))</f>
        <v/>
      </c>
      <c r="H470" s="3">
        <f>IF('ORDENES'!$A448="","",IF('ORDENES'!$AE448="","-",'ORDENES'!$AE448))</f>
        <v/>
      </c>
      <c r="I470" s="3">
        <f>IF('ORDENES'!$A448="","",IF('ORDENES'!$AQ448="","-",'ORDENES'!$AQ448))</f>
        <v/>
      </c>
      <c r="J470" s="3">
        <f>IF('ORDENES'!$A448="","",IF('ORDENES'!$D448="","-",'ORDENES'!$D448))</f>
        <v/>
      </c>
      <c r="K470" s="3">
        <f>IF('ORDENES'!$A448="","",IF('ORDENES'!$E448="","-",'ORDENES'!$E448))</f>
        <v/>
      </c>
      <c r="L470" s="13">
        <f>IF('ORDENES'!$A448="","",IF('ORDENES'!$M448="",0,'ORDENES'!$M448))</f>
        <v/>
      </c>
      <c r="M470" s="3">
        <f>IF('ORDENES'!$A448="","",IF('ORDENES'!$N448="","-",'ORDENES'!$N448))</f>
        <v/>
      </c>
      <c r="N470" s="3">
        <f>IF('ORDENES'!$A448="","",'ORDENES'!$AD448)</f>
        <v/>
      </c>
    </row>
    <row r="471">
      <c r="A471" s="3">
        <f>IF('ORDENES'!$A449="","",IF('ORDENES'!$O449="","-",'ORDENES'!$O449))</f>
        <v/>
      </c>
      <c r="B471" s="3">
        <f>IF('ORDENES'!$A449="","",IF('ORDENES'!$R449="","-",'ORDENES'!$R449))</f>
        <v/>
      </c>
      <c r="C471" s="3">
        <f>IF('ORDENES'!$A449="","",IF('ORDENES'!$AF449="","-",'ORDENES'!$AF449))</f>
        <v/>
      </c>
      <c r="D471" s="3">
        <f>IF('ORDENES'!$A449="","",IF('ORDENES'!$X449="","-",'ORDENES'!$X449))</f>
        <v/>
      </c>
      <c r="E471" s="3">
        <f>IF('ORDENES'!$A449="","",IF('ORDENES'!$V449="","-",'ORDENES'!$V449))</f>
        <v/>
      </c>
      <c r="F471" s="3">
        <f>IF('ORDENES'!$A449="","",IF('ORDENES'!$Y449="","-",'ORDENES'!$Y449))</f>
        <v/>
      </c>
      <c r="G471" s="3">
        <f>IF('ORDENES'!$A449="","",IF('ORDENES'!$W449="","-",'ORDENES'!$W449))</f>
        <v/>
      </c>
      <c r="H471" s="3">
        <f>IF('ORDENES'!$A449="","",IF('ORDENES'!$AE449="","-",'ORDENES'!$AE449))</f>
        <v/>
      </c>
      <c r="I471" s="3">
        <f>IF('ORDENES'!$A449="","",IF('ORDENES'!$AQ449="","-",'ORDENES'!$AQ449))</f>
        <v/>
      </c>
      <c r="J471" s="3">
        <f>IF('ORDENES'!$A449="","",IF('ORDENES'!$D449="","-",'ORDENES'!$D449))</f>
        <v/>
      </c>
      <c r="K471" s="3">
        <f>IF('ORDENES'!$A449="","",IF('ORDENES'!$E449="","-",'ORDENES'!$E449))</f>
        <v/>
      </c>
      <c r="L471" s="13">
        <f>IF('ORDENES'!$A449="","",IF('ORDENES'!$M449="",0,'ORDENES'!$M449))</f>
        <v/>
      </c>
      <c r="M471" s="3">
        <f>IF('ORDENES'!$A449="","",IF('ORDENES'!$N449="","-",'ORDENES'!$N449))</f>
        <v/>
      </c>
      <c r="N471" s="3">
        <f>IF('ORDENES'!$A449="","",'ORDENES'!$AD449)</f>
        <v/>
      </c>
    </row>
    <row r="472">
      <c r="A472" s="3">
        <f>IF('ORDENES'!$A450="","",IF('ORDENES'!$O450="","-",'ORDENES'!$O450))</f>
        <v/>
      </c>
      <c r="B472" s="3">
        <f>IF('ORDENES'!$A450="","",IF('ORDENES'!$R450="","-",'ORDENES'!$R450))</f>
        <v/>
      </c>
      <c r="C472" s="3">
        <f>IF('ORDENES'!$A450="","",IF('ORDENES'!$AF450="","-",'ORDENES'!$AF450))</f>
        <v/>
      </c>
      <c r="D472" s="3">
        <f>IF('ORDENES'!$A450="","",IF('ORDENES'!$X450="","-",'ORDENES'!$X450))</f>
        <v/>
      </c>
      <c r="E472" s="3">
        <f>IF('ORDENES'!$A450="","",IF('ORDENES'!$V450="","-",'ORDENES'!$V450))</f>
        <v/>
      </c>
      <c r="F472" s="3">
        <f>IF('ORDENES'!$A450="","",IF('ORDENES'!$Y450="","-",'ORDENES'!$Y450))</f>
        <v/>
      </c>
      <c r="G472" s="3">
        <f>IF('ORDENES'!$A450="","",IF('ORDENES'!$W450="","-",'ORDENES'!$W450))</f>
        <v/>
      </c>
      <c r="H472" s="3">
        <f>IF('ORDENES'!$A450="","",IF('ORDENES'!$AE450="","-",'ORDENES'!$AE450))</f>
        <v/>
      </c>
      <c r="I472" s="3">
        <f>IF('ORDENES'!$A450="","",IF('ORDENES'!$AQ450="","-",'ORDENES'!$AQ450))</f>
        <v/>
      </c>
      <c r="J472" s="3">
        <f>IF('ORDENES'!$A450="","",IF('ORDENES'!$D450="","-",'ORDENES'!$D450))</f>
        <v/>
      </c>
      <c r="K472" s="3">
        <f>IF('ORDENES'!$A450="","",IF('ORDENES'!$E450="","-",'ORDENES'!$E450))</f>
        <v/>
      </c>
      <c r="L472" s="13">
        <f>IF('ORDENES'!$A450="","",IF('ORDENES'!$M450="",0,'ORDENES'!$M450))</f>
        <v/>
      </c>
      <c r="M472" s="3">
        <f>IF('ORDENES'!$A450="","",IF('ORDENES'!$N450="","-",'ORDENES'!$N450))</f>
        <v/>
      </c>
      <c r="N472" s="3">
        <f>IF('ORDENES'!$A450="","",'ORDENES'!$AD450)</f>
        <v/>
      </c>
    </row>
    <row r="473">
      <c r="A473" s="3">
        <f>IF('ORDENES'!$A451="","",IF('ORDENES'!$O451="","-",'ORDENES'!$O451))</f>
        <v/>
      </c>
      <c r="B473" s="3">
        <f>IF('ORDENES'!$A451="","",IF('ORDENES'!$R451="","-",'ORDENES'!$R451))</f>
        <v/>
      </c>
      <c r="C473" s="3">
        <f>IF('ORDENES'!$A451="","",IF('ORDENES'!$AF451="","-",'ORDENES'!$AF451))</f>
        <v/>
      </c>
      <c r="D473" s="3">
        <f>IF('ORDENES'!$A451="","",IF('ORDENES'!$X451="","-",'ORDENES'!$X451))</f>
        <v/>
      </c>
      <c r="E473" s="3">
        <f>IF('ORDENES'!$A451="","",IF('ORDENES'!$V451="","-",'ORDENES'!$V451))</f>
        <v/>
      </c>
      <c r="F473" s="3">
        <f>IF('ORDENES'!$A451="","",IF('ORDENES'!$Y451="","-",'ORDENES'!$Y451))</f>
        <v/>
      </c>
      <c r="G473" s="3">
        <f>IF('ORDENES'!$A451="","",IF('ORDENES'!$W451="","-",'ORDENES'!$W451))</f>
        <v/>
      </c>
      <c r="H473" s="3">
        <f>IF('ORDENES'!$A451="","",IF('ORDENES'!$AE451="","-",'ORDENES'!$AE451))</f>
        <v/>
      </c>
      <c r="I473" s="3">
        <f>IF('ORDENES'!$A451="","",IF('ORDENES'!$AQ451="","-",'ORDENES'!$AQ451))</f>
        <v/>
      </c>
      <c r="J473" s="3">
        <f>IF('ORDENES'!$A451="","",IF('ORDENES'!$D451="","-",'ORDENES'!$D451))</f>
        <v/>
      </c>
      <c r="K473" s="3">
        <f>IF('ORDENES'!$A451="","",IF('ORDENES'!$E451="","-",'ORDENES'!$E451))</f>
        <v/>
      </c>
      <c r="L473" s="13">
        <f>IF('ORDENES'!$A451="","",IF('ORDENES'!$M451="",0,'ORDENES'!$M451))</f>
        <v/>
      </c>
      <c r="M473" s="3">
        <f>IF('ORDENES'!$A451="","",IF('ORDENES'!$N451="","-",'ORDENES'!$N451))</f>
        <v/>
      </c>
      <c r="N473" s="3">
        <f>IF('ORDENES'!$A451="","",'ORDENES'!$AD451)</f>
        <v/>
      </c>
    </row>
    <row r="474">
      <c r="A474" s="3">
        <f>IF('ORDENES'!$A452="","",IF('ORDENES'!$O452="","-",'ORDENES'!$O452))</f>
        <v/>
      </c>
      <c r="B474" s="3">
        <f>IF('ORDENES'!$A452="","",IF('ORDENES'!$R452="","-",'ORDENES'!$R452))</f>
        <v/>
      </c>
      <c r="C474" s="3">
        <f>IF('ORDENES'!$A452="","",IF('ORDENES'!$AF452="","-",'ORDENES'!$AF452))</f>
        <v/>
      </c>
      <c r="D474" s="3">
        <f>IF('ORDENES'!$A452="","",IF('ORDENES'!$X452="","-",'ORDENES'!$X452))</f>
        <v/>
      </c>
      <c r="E474" s="3">
        <f>IF('ORDENES'!$A452="","",IF('ORDENES'!$V452="","-",'ORDENES'!$V452))</f>
        <v/>
      </c>
      <c r="F474" s="3">
        <f>IF('ORDENES'!$A452="","",IF('ORDENES'!$Y452="","-",'ORDENES'!$Y452))</f>
        <v/>
      </c>
      <c r="G474" s="3">
        <f>IF('ORDENES'!$A452="","",IF('ORDENES'!$W452="","-",'ORDENES'!$W452))</f>
        <v/>
      </c>
      <c r="H474" s="3">
        <f>IF('ORDENES'!$A452="","",IF('ORDENES'!$AE452="","-",'ORDENES'!$AE452))</f>
        <v/>
      </c>
      <c r="I474" s="3">
        <f>IF('ORDENES'!$A452="","",IF('ORDENES'!$AQ452="","-",'ORDENES'!$AQ452))</f>
        <v/>
      </c>
      <c r="J474" s="3">
        <f>IF('ORDENES'!$A452="","",IF('ORDENES'!$D452="","-",'ORDENES'!$D452))</f>
        <v/>
      </c>
      <c r="K474" s="3">
        <f>IF('ORDENES'!$A452="","",IF('ORDENES'!$E452="","-",'ORDENES'!$E452))</f>
        <v/>
      </c>
      <c r="L474" s="13">
        <f>IF('ORDENES'!$A452="","",IF('ORDENES'!$M452="",0,'ORDENES'!$M452))</f>
        <v/>
      </c>
      <c r="M474" s="3">
        <f>IF('ORDENES'!$A452="","",IF('ORDENES'!$N452="","-",'ORDENES'!$N452))</f>
        <v/>
      </c>
      <c r="N474" s="3">
        <f>IF('ORDENES'!$A452="","",'ORDENES'!$AD452)</f>
        <v/>
      </c>
    </row>
    <row r="475">
      <c r="A475" s="3">
        <f>IF('ORDENES'!$A453="","",IF('ORDENES'!$O453="","-",'ORDENES'!$O453))</f>
        <v/>
      </c>
      <c r="B475" s="3">
        <f>IF('ORDENES'!$A453="","",IF('ORDENES'!$R453="","-",'ORDENES'!$R453))</f>
        <v/>
      </c>
      <c r="C475" s="3">
        <f>IF('ORDENES'!$A453="","",IF('ORDENES'!$AF453="","-",'ORDENES'!$AF453))</f>
        <v/>
      </c>
      <c r="D475" s="3">
        <f>IF('ORDENES'!$A453="","",IF('ORDENES'!$X453="","-",'ORDENES'!$X453))</f>
        <v/>
      </c>
      <c r="E475" s="3">
        <f>IF('ORDENES'!$A453="","",IF('ORDENES'!$V453="","-",'ORDENES'!$V453))</f>
        <v/>
      </c>
      <c r="F475" s="3">
        <f>IF('ORDENES'!$A453="","",IF('ORDENES'!$Y453="","-",'ORDENES'!$Y453))</f>
        <v/>
      </c>
      <c r="G475" s="3">
        <f>IF('ORDENES'!$A453="","",IF('ORDENES'!$W453="","-",'ORDENES'!$W453))</f>
        <v/>
      </c>
      <c r="H475" s="3">
        <f>IF('ORDENES'!$A453="","",IF('ORDENES'!$AE453="","-",'ORDENES'!$AE453))</f>
        <v/>
      </c>
      <c r="I475" s="3">
        <f>IF('ORDENES'!$A453="","",IF('ORDENES'!$AQ453="","-",'ORDENES'!$AQ453))</f>
        <v/>
      </c>
      <c r="J475" s="3">
        <f>IF('ORDENES'!$A453="","",IF('ORDENES'!$D453="","-",'ORDENES'!$D453))</f>
        <v/>
      </c>
      <c r="K475" s="3">
        <f>IF('ORDENES'!$A453="","",IF('ORDENES'!$E453="","-",'ORDENES'!$E453))</f>
        <v/>
      </c>
      <c r="L475" s="13">
        <f>IF('ORDENES'!$A453="","",IF('ORDENES'!$M453="",0,'ORDENES'!$M453))</f>
        <v/>
      </c>
      <c r="M475" s="3">
        <f>IF('ORDENES'!$A453="","",IF('ORDENES'!$N453="","-",'ORDENES'!$N453))</f>
        <v/>
      </c>
      <c r="N475" s="3">
        <f>IF('ORDENES'!$A453="","",'ORDENES'!$AD453)</f>
        <v/>
      </c>
    </row>
    <row r="476">
      <c r="A476" s="3">
        <f>IF('ORDENES'!$A454="","",IF('ORDENES'!$O454="","-",'ORDENES'!$O454))</f>
        <v/>
      </c>
      <c r="B476" s="3">
        <f>IF('ORDENES'!$A454="","",IF('ORDENES'!$R454="","-",'ORDENES'!$R454))</f>
        <v/>
      </c>
      <c r="C476" s="3">
        <f>IF('ORDENES'!$A454="","",IF('ORDENES'!$AF454="","-",'ORDENES'!$AF454))</f>
        <v/>
      </c>
      <c r="D476" s="3">
        <f>IF('ORDENES'!$A454="","",IF('ORDENES'!$X454="","-",'ORDENES'!$X454))</f>
        <v/>
      </c>
      <c r="E476" s="3">
        <f>IF('ORDENES'!$A454="","",IF('ORDENES'!$V454="","-",'ORDENES'!$V454))</f>
        <v/>
      </c>
      <c r="F476" s="3">
        <f>IF('ORDENES'!$A454="","",IF('ORDENES'!$Y454="","-",'ORDENES'!$Y454))</f>
        <v/>
      </c>
      <c r="G476" s="3">
        <f>IF('ORDENES'!$A454="","",IF('ORDENES'!$W454="","-",'ORDENES'!$W454))</f>
        <v/>
      </c>
      <c r="H476" s="3">
        <f>IF('ORDENES'!$A454="","",IF('ORDENES'!$AE454="","-",'ORDENES'!$AE454))</f>
        <v/>
      </c>
      <c r="I476" s="3">
        <f>IF('ORDENES'!$A454="","",IF('ORDENES'!$AQ454="","-",'ORDENES'!$AQ454))</f>
        <v/>
      </c>
      <c r="J476" s="3">
        <f>IF('ORDENES'!$A454="","",IF('ORDENES'!$D454="","-",'ORDENES'!$D454))</f>
        <v/>
      </c>
      <c r="K476" s="3">
        <f>IF('ORDENES'!$A454="","",IF('ORDENES'!$E454="","-",'ORDENES'!$E454))</f>
        <v/>
      </c>
      <c r="L476" s="13">
        <f>IF('ORDENES'!$A454="","",IF('ORDENES'!$M454="",0,'ORDENES'!$M454))</f>
        <v/>
      </c>
      <c r="M476" s="3">
        <f>IF('ORDENES'!$A454="","",IF('ORDENES'!$N454="","-",'ORDENES'!$N454))</f>
        <v/>
      </c>
      <c r="N476" s="3">
        <f>IF('ORDENES'!$A454="","",'ORDENES'!$AD454)</f>
        <v/>
      </c>
    </row>
    <row r="477">
      <c r="A477" s="3">
        <f>IF('ORDENES'!$A455="","",IF('ORDENES'!$O455="","-",'ORDENES'!$O455))</f>
        <v/>
      </c>
      <c r="B477" s="3">
        <f>IF('ORDENES'!$A455="","",IF('ORDENES'!$R455="","-",'ORDENES'!$R455))</f>
        <v/>
      </c>
      <c r="C477" s="3">
        <f>IF('ORDENES'!$A455="","",IF('ORDENES'!$AF455="","-",'ORDENES'!$AF455))</f>
        <v/>
      </c>
      <c r="D477" s="3">
        <f>IF('ORDENES'!$A455="","",IF('ORDENES'!$X455="","-",'ORDENES'!$X455))</f>
        <v/>
      </c>
      <c r="E477" s="3">
        <f>IF('ORDENES'!$A455="","",IF('ORDENES'!$V455="","-",'ORDENES'!$V455))</f>
        <v/>
      </c>
      <c r="F477" s="3">
        <f>IF('ORDENES'!$A455="","",IF('ORDENES'!$Y455="","-",'ORDENES'!$Y455))</f>
        <v/>
      </c>
      <c r="G477" s="3">
        <f>IF('ORDENES'!$A455="","",IF('ORDENES'!$W455="","-",'ORDENES'!$W455))</f>
        <v/>
      </c>
      <c r="H477" s="3">
        <f>IF('ORDENES'!$A455="","",IF('ORDENES'!$AE455="","-",'ORDENES'!$AE455))</f>
        <v/>
      </c>
      <c r="I477" s="3">
        <f>IF('ORDENES'!$A455="","",IF('ORDENES'!$AQ455="","-",'ORDENES'!$AQ455))</f>
        <v/>
      </c>
      <c r="J477" s="3">
        <f>IF('ORDENES'!$A455="","",IF('ORDENES'!$D455="","-",'ORDENES'!$D455))</f>
        <v/>
      </c>
      <c r="K477" s="3">
        <f>IF('ORDENES'!$A455="","",IF('ORDENES'!$E455="","-",'ORDENES'!$E455))</f>
        <v/>
      </c>
      <c r="L477" s="13">
        <f>IF('ORDENES'!$A455="","",IF('ORDENES'!$M455="",0,'ORDENES'!$M455))</f>
        <v/>
      </c>
      <c r="M477" s="3">
        <f>IF('ORDENES'!$A455="","",IF('ORDENES'!$N455="","-",'ORDENES'!$N455))</f>
        <v/>
      </c>
      <c r="N477" s="3">
        <f>IF('ORDENES'!$A455="","",'ORDENES'!$AD455)</f>
        <v/>
      </c>
    </row>
    <row r="478">
      <c r="A478" s="3">
        <f>IF('ORDENES'!$A456="","",IF('ORDENES'!$O456="","-",'ORDENES'!$O456))</f>
        <v/>
      </c>
      <c r="B478" s="3">
        <f>IF('ORDENES'!$A456="","",IF('ORDENES'!$R456="","-",'ORDENES'!$R456))</f>
        <v/>
      </c>
      <c r="C478" s="3">
        <f>IF('ORDENES'!$A456="","",IF('ORDENES'!$AF456="","-",'ORDENES'!$AF456))</f>
        <v/>
      </c>
      <c r="D478" s="3">
        <f>IF('ORDENES'!$A456="","",IF('ORDENES'!$X456="","-",'ORDENES'!$X456))</f>
        <v/>
      </c>
      <c r="E478" s="3">
        <f>IF('ORDENES'!$A456="","",IF('ORDENES'!$V456="","-",'ORDENES'!$V456))</f>
        <v/>
      </c>
      <c r="F478" s="3">
        <f>IF('ORDENES'!$A456="","",IF('ORDENES'!$Y456="","-",'ORDENES'!$Y456))</f>
        <v/>
      </c>
      <c r="G478" s="3">
        <f>IF('ORDENES'!$A456="","",IF('ORDENES'!$W456="","-",'ORDENES'!$W456))</f>
        <v/>
      </c>
      <c r="H478" s="3">
        <f>IF('ORDENES'!$A456="","",IF('ORDENES'!$AE456="","-",'ORDENES'!$AE456))</f>
        <v/>
      </c>
      <c r="I478" s="3">
        <f>IF('ORDENES'!$A456="","",IF('ORDENES'!$AQ456="","-",'ORDENES'!$AQ456))</f>
        <v/>
      </c>
      <c r="J478" s="3">
        <f>IF('ORDENES'!$A456="","",IF('ORDENES'!$D456="","-",'ORDENES'!$D456))</f>
        <v/>
      </c>
      <c r="K478" s="3">
        <f>IF('ORDENES'!$A456="","",IF('ORDENES'!$E456="","-",'ORDENES'!$E456))</f>
        <v/>
      </c>
      <c r="L478" s="13">
        <f>IF('ORDENES'!$A456="","",IF('ORDENES'!$M456="",0,'ORDENES'!$M456))</f>
        <v/>
      </c>
      <c r="M478" s="3">
        <f>IF('ORDENES'!$A456="","",IF('ORDENES'!$N456="","-",'ORDENES'!$N456))</f>
        <v/>
      </c>
      <c r="N478" s="3">
        <f>IF('ORDENES'!$A456="","",'ORDENES'!$AD456)</f>
        <v/>
      </c>
    </row>
    <row r="479">
      <c r="A479" s="3">
        <f>IF('ORDENES'!$A457="","",IF('ORDENES'!$O457="","-",'ORDENES'!$O457))</f>
        <v/>
      </c>
      <c r="B479" s="3">
        <f>IF('ORDENES'!$A457="","",IF('ORDENES'!$R457="","-",'ORDENES'!$R457))</f>
        <v/>
      </c>
      <c r="C479" s="3">
        <f>IF('ORDENES'!$A457="","",IF('ORDENES'!$AF457="","-",'ORDENES'!$AF457))</f>
        <v/>
      </c>
      <c r="D479" s="3">
        <f>IF('ORDENES'!$A457="","",IF('ORDENES'!$X457="","-",'ORDENES'!$X457))</f>
        <v/>
      </c>
      <c r="E479" s="3">
        <f>IF('ORDENES'!$A457="","",IF('ORDENES'!$V457="","-",'ORDENES'!$V457))</f>
        <v/>
      </c>
      <c r="F479" s="3">
        <f>IF('ORDENES'!$A457="","",IF('ORDENES'!$Y457="","-",'ORDENES'!$Y457))</f>
        <v/>
      </c>
      <c r="G479" s="3">
        <f>IF('ORDENES'!$A457="","",IF('ORDENES'!$W457="","-",'ORDENES'!$W457))</f>
        <v/>
      </c>
      <c r="H479" s="3">
        <f>IF('ORDENES'!$A457="","",IF('ORDENES'!$AE457="","-",'ORDENES'!$AE457))</f>
        <v/>
      </c>
      <c r="I479" s="3">
        <f>IF('ORDENES'!$A457="","",IF('ORDENES'!$AQ457="","-",'ORDENES'!$AQ457))</f>
        <v/>
      </c>
      <c r="J479" s="3">
        <f>IF('ORDENES'!$A457="","",IF('ORDENES'!$D457="","-",'ORDENES'!$D457))</f>
        <v/>
      </c>
      <c r="K479" s="3">
        <f>IF('ORDENES'!$A457="","",IF('ORDENES'!$E457="","-",'ORDENES'!$E457))</f>
        <v/>
      </c>
      <c r="L479" s="13">
        <f>IF('ORDENES'!$A457="","",IF('ORDENES'!$M457="",0,'ORDENES'!$M457))</f>
        <v/>
      </c>
      <c r="M479" s="3">
        <f>IF('ORDENES'!$A457="","",IF('ORDENES'!$N457="","-",'ORDENES'!$N457))</f>
        <v/>
      </c>
      <c r="N479" s="3">
        <f>IF('ORDENES'!$A457="","",'ORDENES'!$AD457)</f>
        <v/>
      </c>
    </row>
    <row r="480">
      <c r="A480" s="3">
        <f>IF('ORDENES'!$A458="","",IF('ORDENES'!$O458="","-",'ORDENES'!$O458))</f>
        <v/>
      </c>
      <c r="B480" s="3">
        <f>IF('ORDENES'!$A458="","",IF('ORDENES'!$R458="","-",'ORDENES'!$R458))</f>
        <v/>
      </c>
      <c r="C480" s="3">
        <f>IF('ORDENES'!$A458="","",IF('ORDENES'!$AF458="","-",'ORDENES'!$AF458))</f>
        <v/>
      </c>
      <c r="D480" s="3">
        <f>IF('ORDENES'!$A458="","",IF('ORDENES'!$X458="","-",'ORDENES'!$X458))</f>
        <v/>
      </c>
      <c r="E480" s="3">
        <f>IF('ORDENES'!$A458="","",IF('ORDENES'!$V458="","-",'ORDENES'!$V458))</f>
        <v/>
      </c>
      <c r="F480" s="3">
        <f>IF('ORDENES'!$A458="","",IF('ORDENES'!$Y458="","-",'ORDENES'!$Y458))</f>
        <v/>
      </c>
      <c r="G480" s="3">
        <f>IF('ORDENES'!$A458="","",IF('ORDENES'!$W458="","-",'ORDENES'!$W458))</f>
        <v/>
      </c>
      <c r="H480" s="3">
        <f>IF('ORDENES'!$A458="","",IF('ORDENES'!$AE458="","-",'ORDENES'!$AE458))</f>
        <v/>
      </c>
      <c r="I480" s="3">
        <f>IF('ORDENES'!$A458="","",IF('ORDENES'!$AQ458="","-",'ORDENES'!$AQ458))</f>
        <v/>
      </c>
      <c r="J480" s="3">
        <f>IF('ORDENES'!$A458="","",IF('ORDENES'!$D458="","-",'ORDENES'!$D458))</f>
        <v/>
      </c>
      <c r="K480" s="3">
        <f>IF('ORDENES'!$A458="","",IF('ORDENES'!$E458="","-",'ORDENES'!$E458))</f>
        <v/>
      </c>
      <c r="L480" s="13">
        <f>IF('ORDENES'!$A458="","",IF('ORDENES'!$M458="",0,'ORDENES'!$M458))</f>
        <v/>
      </c>
      <c r="M480" s="3">
        <f>IF('ORDENES'!$A458="","",IF('ORDENES'!$N458="","-",'ORDENES'!$N458))</f>
        <v/>
      </c>
      <c r="N480" s="3">
        <f>IF('ORDENES'!$A458="","",'ORDENES'!$AD458)</f>
        <v/>
      </c>
    </row>
    <row r="481">
      <c r="A481" s="3">
        <f>IF('ORDENES'!$A459="","",IF('ORDENES'!$O459="","-",'ORDENES'!$O459))</f>
        <v/>
      </c>
      <c r="B481" s="3">
        <f>IF('ORDENES'!$A459="","",IF('ORDENES'!$R459="","-",'ORDENES'!$R459))</f>
        <v/>
      </c>
      <c r="C481" s="3">
        <f>IF('ORDENES'!$A459="","",IF('ORDENES'!$AF459="","-",'ORDENES'!$AF459))</f>
        <v/>
      </c>
      <c r="D481" s="3">
        <f>IF('ORDENES'!$A459="","",IF('ORDENES'!$X459="","-",'ORDENES'!$X459))</f>
        <v/>
      </c>
      <c r="E481" s="3">
        <f>IF('ORDENES'!$A459="","",IF('ORDENES'!$V459="","-",'ORDENES'!$V459))</f>
        <v/>
      </c>
      <c r="F481" s="3">
        <f>IF('ORDENES'!$A459="","",IF('ORDENES'!$Y459="","-",'ORDENES'!$Y459))</f>
        <v/>
      </c>
      <c r="G481" s="3">
        <f>IF('ORDENES'!$A459="","",IF('ORDENES'!$W459="","-",'ORDENES'!$W459))</f>
        <v/>
      </c>
      <c r="H481" s="3">
        <f>IF('ORDENES'!$A459="","",IF('ORDENES'!$AE459="","-",'ORDENES'!$AE459))</f>
        <v/>
      </c>
      <c r="I481" s="3">
        <f>IF('ORDENES'!$A459="","",IF('ORDENES'!$AQ459="","-",'ORDENES'!$AQ459))</f>
        <v/>
      </c>
      <c r="J481" s="3">
        <f>IF('ORDENES'!$A459="","",IF('ORDENES'!$D459="","-",'ORDENES'!$D459))</f>
        <v/>
      </c>
      <c r="K481" s="3">
        <f>IF('ORDENES'!$A459="","",IF('ORDENES'!$E459="","-",'ORDENES'!$E459))</f>
        <v/>
      </c>
      <c r="L481" s="13">
        <f>IF('ORDENES'!$A459="","",IF('ORDENES'!$M459="",0,'ORDENES'!$M459))</f>
        <v/>
      </c>
      <c r="M481" s="3">
        <f>IF('ORDENES'!$A459="","",IF('ORDENES'!$N459="","-",'ORDENES'!$N459))</f>
        <v/>
      </c>
      <c r="N481" s="3">
        <f>IF('ORDENES'!$A459="","",'ORDENES'!$AD459)</f>
        <v/>
      </c>
    </row>
    <row r="482">
      <c r="A482" s="3">
        <f>IF('ORDENES'!$A460="","",IF('ORDENES'!$O460="","-",'ORDENES'!$O460))</f>
        <v/>
      </c>
      <c r="B482" s="3">
        <f>IF('ORDENES'!$A460="","",IF('ORDENES'!$R460="","-",'ORDENES'!$R460))</f>
        <v/>
      </c>
      <c r="C482" s="3">
        <f>IF('ORDENES'!$A460="","",IF('ORDENES'!$AF460="","-",'ORDENES'!$AF460))</f>
        <v/>
      </c>
      <c r="D482" s="3">
        <f>IF('ORDENES'!$A460="","",IF('ORDENES'!$X460="","-",'ORDENES'!$X460))</f>
        <v/>
      </c>
      <c r="E482" s="3">
        <f>IF('ORDENES'!$A460="","",IF('ORDENES'!$V460="","-",'ORDENES'!$V460))</f>
        <v/>
      </c>
      <c r="F482" s="3">
        <f>IF('ORDENES'!$A460="","",IF('ORDENES'!$Y460="","-",'ORDENES'!$Y460))</f>
        <v/>
      </c>
      <c r="G482" s="3">
        <f>IF('ORDENES'!$A460="","",IF('ORDENES'!$W460="","-",'ORDENES'!$W460))</f>
        <v/>
      </c>
      <c r="H482" s="3">
        <f>IF('ORDENES'!$A460="","",IF('ORDENES'!$AE460="","-",'ORDENES'!$AE460))</f>
        <v/>
      </c>
      <c r="I482" s="3">
        <f>IF('ORDENES'!$A460="","",IF('ORDENES'!$AQ460="","-",'ORDENES'!$AQ460))</f>
        <v/>
      </c>
      <c r="J482" s="3">
        <f>IF('ORDENES'!$A460="","",IF('ORDENES'!$D460="","-",'ORDENES'!$D460))</f>
        <v/>
      </c>
      <c r="K482" s="3">
        <f>IF('ORDENES'!$A460="","",IF('ORDENES'!$E460="","-",'ORDENES'!$E460))</f>
        <v/>
      </c>
      <c r="L482" s="13">
        <f>IF('ORDENES'!$A460="","",IF('ORDENES'!$M460="",0,'ORDENES'!$M460))</f>
        <v/>
      </c>
      <c r="M482" s="3">
        <f>IF('ORDENES'!$A460="","",IF('ORDENES'!$N460="","-",'ORDENES'!$N460))</f>
        <v/>
      </c>
      <c r="N482" s="3">
        <f>IF('ORDENES'!$A460="","",'ORDENES'!$AD460)</f>
        <v/>
      </c>
    </row>
    <row r="483">
      <c r="A483" s="3">
        <f>IF('ORDENES'!$A461="","",IF('ORDENES'!$O461="","-",'ORDENES'!$O461))</f>
        <v/>
      </c>
      <c r="B483" s="3">
        <f>IF('ORDENES'!$A461="","",IF('ORDENES'!$R461="","-",'ORDENES'!$R461))</f>
        <v/>
      </c>
      <c r="C483" s="3">
        <f>IF('ORDENES'!$A461="","",IF('ORDENES'!$AF461="","-",'ORDENES'!$AF461))</f>
        <v/>
      </c>
      <c r="D483" s="3">
        <f>IF('ORDENES'!$A461="","",IF('ORDENES'!$X461="","-",'ORDENES'!$X461))</f>
        <v/>
      </c>
      <c r="E483" s="3">
        <f>IF('ORDENES'!$A461="","",IF('ORDENES'!$V461="","-",'ORDENES'!$V461))</f>
        <v/>
      </c>
      <c r="F483" s="3">
        <f>IF('ORDENES'!$A461="","",IF('ORDENES'!$Y461="","-",'ORDENES'!$Y461))</f>
        <v/>
      </c>
      <c r="G483" s="3">
        <f>IF('ORDENES'!$A461="","",IF('ORDENES'!$W461="","-",'ORDENES'!$W461))</f>
        <v/>
      </c>
      <c r="H483" s="3">
        <f>IF('ORDENES'!$A461="","",IF('ORDENES'!$AE461="","-",'ORDENES'!$AE461))</f>
        <v/>
      </c>
      <c r="I483" s="3">
        <f>IF('ORDENES'!$A461="","",IF('ORDENES'!$AQ461="","-",'ORDENES'!$AQ461))</f>
        <v/>
      </c>
      <c r="J483" s="3">
        <f>IF('ORDENES'!$A461="","",IF('ORDENES'!$D461="","-",'ORDENES'!$D461))</f>
        <v/>
      </c>
      <c r="K483" s="3">
        <f>IF('ORDENES'!$A461="","",IF('ORDENES'!$E461="","-",'ORDENES'!$E461))</f>
        <v/>
      </c>
      <c r="L483" s="13">
        <f>IF('ORDENES'!$A461="","",IF('ORDENES'!$M461="",0,'ORDENES'!$M461))</f>
        <v/>
      </c>
      <c r="M483" s="3">
        <f>IF('ORDENES'!$A461="","",IF('ORDENES'!$N461="","-",'ORDENES'!$N461))</f>
        <v/>
      </c>
      <c r="N483" s="3">
        <f>IF('ORDENES'!$A461="","",'ORDENES'!$AD461)</f>
        <v/>
      </c>
    </row>
    <row r="484">
      <c r="A484" s="3">
        <f>IF('ORDENES'!$A462="","",IF('ORDENES'!$O462="","-",'ORDENES'!$O462))</f>
        <v/>
      </c>
      <c r="B484" s="3">
        <f>IF('ORDENES'!$A462="","",IF('ORDENES'!$R462="","-",'ORDENES'!$R462))</f>
        <v/>
      </c>
      <c r="C484" s="3">
        <f>IF('ORDENES'!$A462="","",IF('ORDENES'!$AF462="","-",'ORDENES'!$AF462))</f>
        <v/>
      </c>
      <c r="D484" s="3">
        <f>IF('ORDENES'!$A462="","",IF('ORDENES'!$X462="","-",'ORDENES'!$X462))</f>
        <v/>
      </c>
      <c r="E484" s="3">
        <f>IF('ORDENES'!$A462="","",IF('ORDENES'!$V462="","-",'ORDENES'!$V462))</f>
        <v/>
      </c>
      <c r="F484" s="3">
        <f>IF('ORDENES'!$A462="","",IF('ORDENES'!$Y462="","-",'ORDENES'!$Y462))</f>
        <v/>
      </c>
      <c r="G484" s="3">
        <f>IF('ORDENES'!$A462="","",IF('ORDENES'!$W462="","-",'ORDENES'!$W462))</f>
        <v/>
      </c>
      <c r="H484" s="3">
        <f>IF('ORDENES'!$A462="","",IF('ORDENES'!$AE462="","-",'ORDENES'!$AE462))</f>
        <v/>
      </c>
      <c r="I484" s="3">
        <f>IF('ORDENES'!$A462="","",IF('ORDENES'!$AQ462="","-",'ORDENES'!$AQ462))</f>
        <v/>
      </c>
      <c r="J484" s="3">
        <f>IF('ORDENES'!$A462="","",IF('ORDENES'!$D462="","-",'ORDENES'!$D462))</f>
        <v/>
      </c>
      <c r="K484" s="3">
        <f>IF('ORDENES'!$A462="","",IF('ORDENES'!$E462="","-",'ORDENES'!$E462))</f>
        <v/>
      </c>
      <c r="L484" s="13">
        <f>IF('ORDENES'!$A462="","",IF('ORDENES'!$M462="",0,'ORDENES'!$M462))</f>
        <v/>
      </c>
      <c r="M484" s="3">
        <f>IF('ORDENES'!$A462="","",IF('ORDENES'!$N462="","-",'ORDENES'!$N462))</f>
        <v/>
      </c>
      <c r="N484" s="3">
        <f>IF('ORDENES'!$A462="","",'ORDENES'!$AD462)</f>
        <v/>
      </c>
    </row>
    <row r="485">
      <c r="A485" s="3">
        <f>IF('ORDENES'!$A463="","",IF('ORDENES'!$O463="","-",'ORDENES'!$O463))</f>
        <v/>
      </c>
      <c r="B485" s="3">
        <f>IF('ORDENES'!$A463="","",IF('ORDENES'!$R463="","-",'ORDENES'!$R463))</f>
        <v/>
      </c>
      <c r="C485" s="3">
        <f>IF('ORDENES'!$A463="","",IF('ORDENES'!$AF463="","-",'ORDENES'!$AF463))</f>
        <v/>
      </c>
      <c r="D485" s="3">
        <f>IF('ORDENES'!$A463="","",IF('ORDENES'!$X463="","-",'ORDENES'!$X463))</f>
        <v/>
      </c>
      <c r="E485" s="3">
        <f>IF('ORDENES'!$A463="","",IF('ORDENES'!$V463="","-",'ORDENES'!$V463))</f>
        <v/>
      </c>
      <c r="F485" s="3">
        <f>IF('ORDENES'!$A463="","",IF('ORDENES'!$Y463="","-",'ORDENES'!$Y463))</f>
        <v/>
      </c>
      <c r="G485" s="3">
        <f>IF('ORDENES'!$A463="","",IF('ORDENES'!$W463="","-",'ORDENES'!$W463))</f>
        <v/>
      </c>
      <c r="H485" s="3">
        <f>IF('ORDENES'!$A463="","",IF('ORDENES'!$AE463="","-",'ORDENES'!$AE463))</f>
        <v/>
      </c>
      <c r="I485" s="3">
        <f>IF('ORDENES'!$A463="","",IF('ORDENES'!$AQ463="","-",'ORDENES'!$AQ463))</f>
        <v/>
      </c>
      <c r="J485" s="3">
        <f>IF('ORDENES'!$A463="","",IF('ORDENES'!$D463="","-",'ORDENES'!$D463))</f>
        <v/>
      </c>
      <c r="K485" s="3">
        <f>IF('ORDENES'!$A463="","",IF('ORDENES'!$E463="","-",'ORDENES'!$E463))</f>
        <v/>
      </c>
      <c r="L485" s="13">
        <f>IF('ORDENES'!$A463="","",IF('ORDENES'!$M463="",0,'ORDENES'!$M463))</f>
        <v/>
      </c>
      <c r="M485" s="3">
        <f>IF('ORDENES'!$A463="","",IF('ORDENES'!$N463="","-",'ORDENES'!$N463))</f>
        <v/>
      </c>
      <c r="N485" s="3">
        <f>IF('ORDENES'!$A463="","",'ORDENES'!$AD463)</f>
        <v/>
      </c>
    </row>
    <row r="486">
      <c r="A486" s="3">
        <f>IF('ORDENES'!$A464="","",IF('ORDENES'!$O464="","-",'ORDENES'!$O464))</f>
        <v/>
      </c>
      <c r="B486" s="3">
        <f>IF('ORDENES'!$A464="","",IF('ORDENES'!$R464="","-",'ORDENES'!$R464))</f>
        <v/>
      </c>
      <c r="C486" s="3">
        <f>IF('ORDENES'!$A464="","",IF('ORDENES'!$AF464="","-",'ORDENES'!$AF464))</f>
        <v/>
      </c>
      <c r="D486" s="3">
        <f>IF('ORDENES'!$A464="","",IF('ORDENES'!$X464="","-",'ORDENES'!$X464))</f>
        <v/>
      </c>
      <c r="E486" s="3">
        <f>IF('ORDENES'!$A464="","",IF('ORDENES'!$V464="","-",'ORDENES'!$V464))</f>
        <v/>
      </c>
      <c r="F486" s="3">
        <f>IF('ORDENES'!$A464="","",IF('ORDENES'!$Y464="","-",'ORDENES'!$Y464))</f>
        <v/>
      </c>
      <c r="G486" s="3">
        <f>IF('ORDENES'!$A464="","",IF('ORDENES'!$W464="","-",'ORDENES'!$W464))</f>
        <v/>
      </c>
      <c r="H486" s="3">
        <f>IF('ORDENES'!$A464="","",IF('ORDENES'!$AE464="","-",'ORDENES'!$AE464))</f>
        <v/>
      </c>
      <c r="I486" s="3">
        <f>IF('ORDENES'!$A464="","",IF('ORDENES'!$AQ464="","-",'ORDENES'!$AQ464))</f>
        <v/>
      </c>
      <c r="J486" s="3">
        <f>IF('ORDENES'!$A464="","",IF('ORDENES'!$D464="","-",'ORDENES'!$D464))</f>
        <v/>
      </c>
      <c r="K486" s="3">
        <f>IF('ORDENES'!$A464="","",IF('ORDENES'!$E464="","-",'ORDENES'!$E464))</f>
        <v/>
      </c>
      <c r="L486" s="13">
        <f>IF('ORDENES'!$A464="","",IF('ORDENES'!$M464="",0,'ORDENES'!$M464))</f>
        <v/>
      </c>
      <c r="M486" s="3">
        <f>IF('ORDENES'!$A464="","",IF('ORDENES'!$N464="","-",'ORDENES'!$N464))</f>
        <v/>
      </c>
      <c r="N486" s="3">
        <f>IF('ORDENES'!$A464="","",'ORDENES'!$AD464)</f>
        <v/>
      </c>
    </row>
    <row r="487">
      <c r="A487" s="3">
        <f>IF('ORDENES'!$A465="","",IF('ORDENES'!$O465="","-",'ORDENES'!$O465))</f>
        <v/>
      </c>
      <c r="B487" s="3">
        <f>IF('ORDENES'!$A465="","",IF('ORDENES'!$R465="","-",'ORDENES'!$R465))</f>
        <v/>
      </c>
      <c r="C487" s="3">
        <f>IF('ORDENES'!$A465="","",IF('ORDENES'!$AF465="","-",'ORDENES'!$AF465))</f>
        <v/>
      </c>
      <c r="D487" s="3">
        <f>IF('ORDENES'!$A465="","",IF('ORDENES'!$X465="","-",'ORDENES'!$X465))</f>
        <v/>
      </c>
      <c r="E487" s="3">
        <f>IF('ORDENES'!$A465="","",IF('ORDENES'!$V465="","-",'ORDENES'!$V465))</f>
        <v/>
      </c>
      <c r="F487" s="3">
        <f>IF('ORDENES'!$A465="","",IF('ORDENES'!$Y465="","-",'ORDENES'!$Y465))</f>
        <v/>
      </c>
      <c r="G487" s="3">
        <f>IF('ORDENES'!$A465="","",IF('ORDENES'!$W465="","-",'ORDENES'!$W465))</f>
        <v/>
      </c>
      <c r="H487" s="3">
        <f>IF('ORDENES'!$A465="","",IF('ORDENES'!$AE465="","-",'ORDENES'!$AE465))</f>
        <v/>
      </c>
      <c r="I487" s="3">
        <f>IF('ORDENES'!$A465="","",IF('ORDENES'!$AQ465="","-",'ORDENES'!$AQ465))</f>
        <v/>
      </c>
      <c r="J487" s="3">
        <f>IF('ORDENES'!$A465="","",IF('ORDENES'!$D465="","-",'ORDENES'!$D465))</f>
        <v/>
      </c>
      <c r="K487" s="3">
        <f>IF('ORDENES'!$A465="","",IF('ORDENES'!$E465="","-",'ORDENES'!$E465))</f>
        <v/>
      </c>
      <c r="L487" s="13">
        <f>IF('ORDENES'!$A465="","",IF('ORDENES'!$M465="",0,'ORDENES'!$M465))</f>
        <v/>
      </c>
      <c r="M487" s="3">
        <f>IF('ORDENES'!$A465="","",IF('ORDENES'!$N465="","-",'ORDENES'!$N465))</f>
        <v/>
      </c>
      <c r="N487" s="3">
        <f>IF('ORDENES'!$A465="","",'ORDENES'!$AD465)</f>
        <v/>
      </c>
    </row>
    <row r="488">
      <c r="A488" s="3">
        <f>IF('ORDENES'!$A466="","",IF('ORDENES'!$O466="","-",'ORDENES'!$O466))</f>
        <v/>
      </c>
      <c r="B488" s="3">
        <f>IF('ORDENES'!$A466="","",IF('ORDENES'!$R466="","-",'ORDENES'!$R466))</f>
        <v/>
      </c>
      <c r="C488" s="3">
        <f>IF('ORDENES'!$A466="","",IF('ORDENES'!$AF466="","-",'ORDENES'!$AF466))</f>
        <v/>
      </c>
      <c r="D488" s="3">
        <f>IF('ORDENES'!$A466="","",IF('ORDENES'!$X466="","-",'ORDENES'!$X466))</f>
        <v/>
      </c>
      <c r="E488" s="3">
        <f>IF('ORDENES'!$A466="","",IF('ORDENES'!$V466="","-",'ORDENES'!$V466))</f>
        <v/>
      </c>
      <c r="F488" s="3">
        <f>IF('ORDENES'!$A466="","",IF('ORDENES'!$Y466="","-",'ORDENES'!$Y466))</f>
        <v/>
      </c>
      <c r="G488" s="3">
        <f>IF('ORDENES'!$A466="","",IF('ORDENES'!$W466="","-",'ORDENES'!$W466))</f>
        <v/>
      </c>
      <c r="H488" s="3">
        <f>IF('ORDENES'!$A466="","",IF('ORDENES'!$AE466="","-",'ORDENES'!$AE466))</f>
        <v/>
      </c>
      <c r="I488" s="3">
        <f>IF('ORDENES'!$A466="","",IF('ORDENES'!$AQ466="","-",'ORDENES'!$AQ466))</f>
        <v/>
      </c>
      <c r="J488" s="3">
        <f>IF('ORDENES'!$A466="","",IF('ORDENES'!$D466="","-",'ORDENES'!$D466))</f>
        <v/>
      </c>
      <c r="K488" s="3">
        <f>IF('ORDENES'!$A466="","",IF('ORDENES'!$E466="","-",'ORDENES'!$E466))</f>
        <v/>
      </c>
      <c r="L488" s="13">
        <f>IF('ORDENES'!$A466="","",IF('ORDENES'!$M466="",0,'ORDENES'!$M466))</f>
        <v/>
      </c>
      <c r="M488" s="3">
        <f>IF('ORDENES'!$A466="","",IF('ORDENES'!$N466="","-",'ORDENES'!$N466))</f>
        <v/>
      </c>
      <c r="N488" s="3">
        <f>IF('ORDENES'!$A466="","",'ORDENES'!$AD466)</f>
        <v/>
      </c>
    </row>
    <row r="489">
      <c r="A489" s="3">
        <f>IF('ORDENES'!$A467="","",IF('ORDENES'!$O467="","-",'ORDENES'!$O467))</f>
        <v/>
      </c>
      <c r="B489" s="3">
        <f>IF('ORDENES'!$A467="","",IF('ORDENES'!$R467="","-",'ORDENES'!$R467))</f>
        <v/>
      </c>
      <c r="C489" s="3">
        <f>IF('ORDENES'!$A467="","",IF('ORDENES'!$AF467="","-",'ORDENES'!$AF467))</f>
        <v/>
      </c>
      <c r="D489" s="3">
        <f>IF('ORDENES'!$A467="","",IF('ORDENES'!$X467="","-",'ORDENES'!$X467))</f>
        <v/>
      </c>
      <c r="E489" s="3">
        <f>IF('ORDENES'!$A467="","",IF('ORDENES'!$V467="","-",'ORDENES'!$V467))</f>
        <v/>
      </c>
      <c r="F489" s="3">
        <f>IF('ORDENES'!$A467="","",IF('ORDENES'!$Y467="","-",'ORDENES'!$Y467))</f>
        <v/>
      </c>
      <c r="G489" s="3">
        <f>IF('ORDENES'!$A467="","",IF('ORDENES'!$W467="","-",'ORDENES'!$W467))</f>
        <v/>
      </c>
      <c r="H489" s="3">
        <f>IF('ORDENES'!$A467="","",IF('ORDENES'!$AE467="","-",'ORDENES'!$AE467))</f>
        <v/>
      </c>
      <c r="I489" s="3">
        <f>IF('ORDENES'!$A467="","",IF('ORDENES'!$AQ467="","-",'ORDENES'!$AQ467))</f>
        <v/>
      </c>
      <c r="J489" s="3">
        <f>IF('ORDENES'!$A467="","",IF('ORDENES'!$D467="","-",'ORDENES'!$D467))</f>
        <v/>
      </c>
      <c r="K489" s="3">
        <f>IF('ORDENES'!$A467="","",IF('ORDENES'!$E467="","-",'ORDENES'!$E467))</f>
        <v/>
      </c>
      <c r="L489" s="13">
        <f>IF('ORDENES'!$A467="","",IF('ORDENES'!$M467="",0,'ORDENES'!$M467))</f>
        <v/>
      </c>
      <c r="M489" s="3">
        <f>IF('ORDENES'!$A467="","",IF('ORDENES'!$N467="","-",'ORDENES'!$N467))</f>
        <v/>
      </c>
      <c r="N489" s="3">
        <f>IF('ORDENES'!$A467="","",'ORDENES'!$AD467)</f>
        <v/>
      </c>
    </row>
    <row r="490">
      <c r="A490" s="3">
        <f>IF('ORDENES'!$A468="","",IF('ORDENES'!$O468="","-",'ORDENES'!$O468))</f>
        <v/>
      </c>
      <c r="B490" s="3">
        <f>IF('ORDENES'!$A468="","",IF('ORDENES'!$R468="","-",'ORDENES'!$R468))</f>
        <v/>
      </c>
      <c r="C490" s="3">
        <f>IF('ORDENES'!$A468="","",IF('ORDENES'!$AF468="","-",'ORDENES'!$AF468))</f>
        <v/>
      </c>
      <c r="D490" s="3">
        <f>IF('ORDENES'!$A468="","",IF('ORDENES'!$X468="","-",'ORDENES'!$X468))</f>
        <v/>
      </c>
      <c r="E490" s="3">
        <f>IF('ORDENES'!$A468="","",IF('ORDENES'!$V468="","-",'ORDENES'!$V468))</f>
        <v/>
      </c>
      <c r="F490" s="3">
        <f>IF('ORDENES'!$A468="","",IF('ORDENES'!$Y468="","-",'ORDENES'!$Y468))</f>
        <v/>
      </c>
      <c r="G490" s="3">
        <f>IF('ORDENES'!$A468="","",IF('ORDENES'!$W468="","-",'ORDENES'!$W468))</f>
        <v/>
      </c>
      <c r="H490" s="3">
        <f>IF('ORDENES'!$A468="","",IF('ORDENES'!$AE468="","-",'ORDENES'!$AE468))</f>
        <v/>
      </c>
      <c r="I490" s="3">
        <f>IF('ORDENES'!$A468="","",IF('ORDENES'!$AQ468="","-",'ORDENES'!$AQ468))</f>
        <v/>
      </c>
      <c r="J490" s="3">
        <f>IF('ORDENES'!$A468="","",IF('ORDENES'!$D468="","-",'ORDENES'!$D468))</f>
        <v/>
      </c>
      <c r="K490" s="3">
        <f>IF('ORDENES'!$A468="","",IF('ORDENES'!$E468="","-",'ORDENES'!$E468))</f>
        <v/>
      </c>
      <c r="L490" s="13">
        <f>IF('ORDENES'!$A468="","",IF('ORDENES'!$M468="",0,'ORDENES'!$M468))</f>
        <v/>
      </c>
      <c r="M490" s="3">
        <f>IF('ORDENES'!$A468="","",IF('ORDENES'!$N468="","-",'ORDENES'!$N468))</f>
        <v/>
      </c>
      <c r="N490" s="3">
        <f>IF('ORDENES'!$A468="","",'ORDENES'!$AD468)</f>
        <v/>
      </c>
    </row>
    <row r="491">
      <c r="A491" s="3">
        <f>IF('ORDENES'!$A469="","",IF('ORDENES'!$O469="","-",'ORDENES'!$O469))</f>
        <v/>
      </c>
      <c r="B491" s="3">
        <f>IF('ORDENES'!$A469="","",IF('ORDENES'!$R469="","-",'ORDENES'!$R469))</f>
        <v/>
      </c>
      <c r="C491" s="3">
        <f>IF('ORDENES'!$A469="","",IF('ORDENES'!$AF469="","-",'ORDENES'!$AF469))</f>
        <v/>
      </c>
      <c r="D491" s="3">
        <f>IF('ORDENES'!$A469="","",IF('ORDENES'!$X469="","-",'ORDENES'!$X469))</f>
        <v/>
      </c>
      <c r="E491" s="3">
        <f>IF('ORDENES'!$A469="","",IF('ORDENES'!$V469="","-",'ORDENES'!$V469))</f>
        <v/>
      </c>
      <c r="F491" s="3">
        <f>IF('ORDENES'!$A469="","",IF('ORDENES'!$Y469="","-",'ORDENES'!$Y469))</f>
        <v/>
      </c>
      <c r="G491" s="3">
        <f>IF('ORDENES'!$A469="","",IF('ORDENES'!$W469="","-",'ORDENES'!$W469))</f>
        <v/>
      </c>
      <c r="H491" s="3">
        <f>IF('ORDENES'!$A469="","",IF('ORDENES'!$AE469="","-",'ORDENES'!$AE469))</f>
        <v/>
      </c>
      <c r="I491" s="3">
        <f>IF('ORDENES'!$A469="","",IF('ORDENES'!$AQ469="","-",'ORDENES'!$AQ469))</f>
        <v/>
      </c>
      <c r="J491" s="3">
        <f>IF('ORDENES'!$A469="","",IF('ORDENES'!$D469="","-",'ORDENES'!$D469))</f>
        <v/>
      </c>
      <c r="K491" s="3">
        <f>IF('ORDENES'!$A469="","",IF('ORDENES'!$E469="","-",'ORDENES'!$E469))</f>
        <v/>
      </c>
      <c r="L491" s="13">
        <f>IF('ORDENES'!$A469="","",IF('ORDENES'!$M469="",0,'ORDENES'!$M469))</f>
        <v/>
      </c>
      <c r="M491" s="3">
        <f>IF('ORDENES'!$A469="","",IF('ORDENES'!$N469="","-",'ORDENES'!$N469))</f>
        <v/>
      </c>
      <c r="N491" s="3">
        <f>IF('ORDENES'!$A469="","",'ORDENES'!$AD469)</f>
        <v/>
      </c>
    </row>
    <row r="492">
      <c r="A492" s="3">
        <f>IF('ORDENES'!$A470="","",IF('ORDENES'!$O470="","-",'ORDENES'!$O470))</f>
        <v/>
      </c>
      <c r="B492" s="3">
        <f>IF('ORDENES'!$A470="","",IF('ORDENES'!$R470="","-",'ORDENES'!$R470))</f>
        <v/>
      </c>
      <c r="C492" s="3">
        <f>IF('ORDENES'!$A470="","",IF('ORDENES'!$AF470="","-",'ORDENES'!$AF470))</f>
        <v/>
      </c>
      <c r="D492" s="3">
        <f>IF('ORDENES'!$A470="","",IF('ORDENES'!$X470="","-",'ORDENES'!$X470))</f>
        <v/>
      </c>
      <c r="E492" s="3">
        <f>IF('ORDENES'!$A470="","",IF('ORDENES'!$V470="","-",'ORDENES'!$V470))</f>
        <v/>
      </c>
      <c r="F492" s="3">
        <f>IF('ORDENES'!$A470="","",IF('ORDENES'!$Y470="","-",'ORDENES'!$Y470))</f>
        <v/>
      </c>
      <c r="G492" s="3">
        <f>IF('ORDENES'!$A470="","",IF('ORDENES'!$W470="","-",'ORDENES'!$W470))</f>
        <v/>
      </c>
      <c r="H492" s="3">
        <f>IF('ORDENES'!$A470="","",IF('ORDENES'!$AE470="","-",'ORDENES'!$AE470))</f>
        <v/>
      </c>
      <c r="I492" s="3">
        <f>IF('ORDENES'!$A470="","",IF('ORDENES'!$AQ470="","-",'ORDENES'!$AQ470))</f>
        <v/>
      </c>
      <c r="J492" s="3">
        <f>IF('ORDENES'!$A470="","",IF('ORDENES'!$D470="","-",'ORDENES'!$D470))</f>
        <v/>
      </c>
      <c r="K492" s="3">
        <f>IF('ORDENES'!$A470="","",IF('ORDENES'!$E470="","-",'ORDENES'!$E470))</f>
        <v/>
      </c>
      <c r="L492" s="13">
        <f>IF('ORDENES'!$A470="","",IF('ORDENES'!$M470="",0,'ORDENES'!$M470))</f>
        <v/>
      </c>
      <c r="M492" s="3">
        <f>IF('ORDENES'!$A470="","",IF('ORDENES'!$N470="","-",'ORDENES'!$N470))</f>
        <v/>
      </c>
      <c r="N492" s="3">
        <f>IF('ORDENES'!$A470="","",'ORDENES'!$AD470)</f>
        <v/>
      </c>
    </row>
    <row r="493">
      <c r="A493" s="3">
        <f>IF('ORDENES'!$A471="","",IF('ORDENES'!$O471="","-",'ORDENES'!$O471))</f>
        <v/>
      </c>
      <c r="B493" s="3">
        <f>IF('ORDENES'!$A471="","",IF('ORDENES'!$R471="","-",'ORDENES'!$R471))</f>
        <v/>
      </c>
      <c r="C493" s="3">
        <f>IF('ORDENES'!$A471="","",IF('ORDENES'!$AF471="","-",'ORDENES'!$AF471))</f>
        <v/>
      </c>
      <c r="D493" s="3">
        <f>IF('ORDENES'!$A471="","",IF('ORDENES'!$X471="","-",'ORDENES'!$X471))</f>
        <v/>
      </c>
      <c r="E493" s="3">
        <f>IF('ORDENES'!$A471="","",IF('ORDENES'!$V471="","-",'ORDENES'!$V471))</f>
        <v/>
      </c>
      <c r="F493" s="3">
        <f>IF('ORDENES'!$A471="","",IF('ORDENES'!$Y471="","-",'ORDENES'!$Y471))</f>
        <v/>
      </c>
      <c r="G493" s="3">
        <f>IF('ORDENES'!$A471="","",IF('ORDENES'!$W471="","-",'ORDENES'!$W471))</f>
        <v/>
      </c>
      <c r="H493" s="3">
        <f>IF('ORDENES'!$A471="","",IF('ORDENES'!$AE471="","-",'ORDENES'!$AE471))</f>
        <v/>
      </c>
      <c r="I493" s="3">
        <f>IF('ORDENES'!$A471="","",IF('ORDENES'!$AQ471="","-",'ORDENES'!$AQ471))</f>
        <v/>
      </c>
      <c r="J493" s="3">
        <f>IF('ORDENES'!$A471="","",IF('ORDENES'!$D471="","-",'ORDENES'!$D471))</f>
        <v/>
      </c>
      <c r="K493" s="3">
        <f>IF('ORDENES'!$A471="","",IF('ORDENES'!$E471="","-",'ORDENES'!$E471))</f>
        <v/>
      </c>
      <c r="L493" s="13">
        <f>IF('ORDENES'!$A471="","",IF('ORDENES'!$M471="",0,'ORDENES'!$M471))</f>
        <v/>
      </c>
      <c r="M493" s="3">
        <f>IF('ORDENES'!$A471="","",IF('ORDENES'!$N471="","-",'ORDENES'!$N471))</f>
        <v/>
      </c>
      <c r="N493" s="3">
        <f>IF('ORDENES'!$A471="","",'ORDENES'!$AD471)</f>
        <v/>
      </c>
    </row>
    <row r="494">
      <c r="A494" s="3">
        <f>IF('ORDENES'!$A472="","",IF('ORDENES'!$O472="","-",'ORDENES'!$O472))</f>
        <v/>
      </c>
      <c r="B494" s="3">
        <f>IF('ORDENES'!$A472="","",IF('ORDENES'!$R472="","-",'ORDENES'!$R472))</f>
        <v/>
      </c>
      <c r="C494" s="3">
        <f>IF('ORDENES'!$A472="","",IF('ORDENES'!$AF472="","-",'ORDENES'!$AF472))</f>
        <v/>
      </c>
      <c r="D494" s="3">
        <f>IF('ORDENES'!$A472="","",IF('ORDENES'!$X472="","-",'ORDENES'!$X472))</f>
        <v/>
      </c>
      <c r="E494" s="3">
        <f>IF('ORDENES'!$A472="","",IF('ORDENES'!$V472="","-",'ORDENES'!$V472))</f>
        <v/>
      </c>
      <c r="F494" s="3">
        <f>IF('ORDENES'!$A472="","",IF('ORDENES'!$Y472="","-",'ORDENES'!$Y472))</f>
        <v/>
      </c>
      <c r="G494" s="3">
        <f>IF('ORDENES'!$A472="","",IF('ORDENES'!$W472="","-",'ORDENES'!$W472))</f>
        <v/>
      </c>
      <c r="H494" s="3">
        <f>IF('ORDENES'!$A472="","",IF('ORDENES'!$AE472="","-",'ORDENES'!$AE472))</f>
        <v/>
      </c>
      <c r="I494" s="3">
        <f>IF('ORDENES'!$A472="","",IF('ORDENES'!$AQ472="","-",'ORDENES'!$AQ472))</f>
        <v/>
      </c>
      <c r="J494" s="3">
        <f>IF('ORDENES'!$A472="","",IF('ORDENES'!$D472="","-",'ORDENES'!$D472))</f>
        <v/>
      </c>
      <c r="K494" s="3">
        <f>IF('ORDENES'!$A472="","",IF('ORDENES'!$E472="","-",'ORDENES'!$E472))</f>
        <v/>
      </c>
      <c r="L494" s="13">
        <f>IF('ORDENES'!$A472="","",IF('ORDENES'!$M472="",0,'ORDENES'!$M472))</f>
        <v/>
      </c>
      <c r="M494" s="3">
        <f>IF('ORDENES'!$A472="","",IF('ORDENES'!$N472="","-",'ORDENES'!$N472))</f>
        <v/>
      </c>
      <c r="N494" s="3">
        <f>IF('ORDENES'!$A472="","",'ORDENES'!$AD472)</f>
        <v/>
      </c>
    </row>
    <row r="495">
      <c r="A495" s="3">
        <f>IF('ORDENES'!$A473="","",IF('ORDENES'!$O473="","-",'ORDENES'!$O473))</f>
        <v/>
      </c>
      <c r="B495" s="3">
        <f>IF('ORDENES'!$A473="","",IF('ORDENES'!$R473="","-",'ORDENES'!$R473))</f>
        <v/>
      </c>
      <c r="C495" s="3">
        <f>IF('ORDENES'!$A473="","",IF('ORDENES'!$AF473="","-",'ORDENES'!$AF473))</f>
        <v/>
      </c>
      <c r="D495" s="3">
        <f>IF('ORDENES'!$A473="","",IF('ORDENES'!$X473="","-",'ORDENES'!$X473))</f>
        <v/>
      </c>
      <c r="E495" s="3">
        <f>IF('ORDENES'!$A473="","",IF('ORDENES'!$V473="","-",'ORDENES'!$V473))</f>
        <v/>
      </c>
      <c r="F495" s="3">
        <f>IF('ORDENES'!$A473="","",IF('ORDENES'!$Y473="","-",'ORDENES'!$Y473))</f>
        <v/>
      </c>
      <c r="G495" s="3">
        <f>IF('ORDENES'!$A473="","",IF('ORDENES'!$W473="","-",'ORDENES'!$W473))</f>
        <v/>
      </c>
      <c r="H495" s="3">
        <f>IF('ORDENES'!$A473="","",IF('ORDENES'!$AE473="","-",'ORDENES'!$AE473))</f>
        <v/>
      </c>
      <c r="I495" s="3">
        <f>IF('ORDENES'!$A473="","",IF('ORDENES'!$AQ473="","-",'ORDENES'!$AQ473))</f>
        <v/>
      </c>
      <c r="J495" s="3">
        <f>IF('ORDENES'!$A473="","",IF('ORDENES'!$D473="","-",'ORDENES'!$D473))</f>
        <v/>
      </c>
      <c r="K495" s="3">
        <f>IF('ORDENES'!$A473="","",IF('ORDENES'!$E473="","-",'ORDENES'!$E473))</f>
        <v/>
      </c>
      <c r="L495" s="13">
        <f>IF('ORDENES'!$A473="","",IF('ORDENES'!$M473="",0,'ORDENES'!$M473))</f>
        <v/>
      </c>
      <c r="M495" s="3">
        <f>IF('ORDENES'!$A473="","",IF('ORDENES'!$N473="","-",'ORDENES'!$N473))</f>
        <v/>
      </c>
      <c r="N495" s="3">
        <f>IF('ORDENES'!$A473="","",'ORDENES'!$AD473)</f>
        <v/>
      </c>
    </row>
    <row r="496">
      <c r="A496" s="3">
        <f>IF('ORDENES'!$A474="","",IF('ORDENES'!$O474="","-",'ORDENES'!$O474))</f>
        <v/>
      </c>
      <c r="B496" s="3">
        <f>IF('ORDENES'!$A474="","",IF('ORDENES'!$R474="","-",'ORDENES'!$R474))</f>
        <v/>
      </c>
      <c r="C496" s="3">
        <f>IF('ORDENES'!$A474="","",IF('ORDENES'!$AF474="","-",'ORDENES'!$AF474))</f>
        <v/>
      </c>
      <c r="D496" s="3">
        <f>IF('ORDENES'!$A474="","",IF('ORDENES'!$X474="","-",'ORDENES'!$X474))</f>
        <v/>
      </c>
      <c r="E496" s="3">
        <f>IF('ORDENES'!$A474="","",IF('ORDENES'!$V474="","-",'ORDENES'!$V474))</f>
        <v/>
      </c>
      <c r="F496" s="3">
        <f>IF('ORDENES'!$A474="","",IF('ORDENES'!$Y474="","-",'ORDENES'!$Y474))</f>
        <v/>
      </c>
      <c r="G496" s="3">
        <f>IF('ORDENES'!$A474="","",IF('ORDENES'!$W474="","-",'ORDENES'!$W474))</f>
        <v/>
      </c>
      <c r="H496" s="3">
        <f>IF('ORDENES'!$A474="","",IF('ORDENES'!$AE474="","-",'ORDENES'!$AE474))</f>
        <v/>
      </c>
      <c r="I496" s="3">
        <f>IF('ORDENES'!$A474="","",IF('ORDENES'!$AQ474="","-",'ORDENES'!$AQ474))</f>
        <v/>
      </c>
      <c r="J496" s="3">
        <f>IF('ORDENES'!$A474="","",IF('ORDENES'!$D474="","-",'ORDENES'!$D474))</f>
        <v/>
      </c>
      <c r="K496" s="3">
        <f>IF('ORDENES'!$A474="","",IF('ORDENES'!$E474="","-",'ORDENES'!$E474))</f>
        <v/>
      </c>
      <c r="L496" s="13">
        <f>IF('ORDENES'!$A474="","",IF('ORDENES'!$M474="",0,'ORDENES'!$M474))</f>
        <v/>
      </c>
      <c r="M496" s="3">
        <f>IF('ORDENES'!$A474="","",IF('ORDENES'!$N474="","-",'ORDENES'!$N474))</f>
        <v/>
      </c>
      <c r="N496" s="3">
        <f>IF('ORDENES'!$A474="","",'ORDENES'!$AD474)</f>
        <v/>
      </c>
    </row>
    <row r="497">
      <c r="A497" s="3">
        <f>IF('ORDENES'!$A475="","",IF('ORDENES'!$O475="","-",'ORDENES'!$O475))</f>
        <v/>
      </c>
      <c r="B497" s="3">
        <f>IF('ORDENES'!$A475="","",IF('ORDENES'!$R475="","-",'ORDENES'!$R475))</f>
        <v/>
      </c>
      <c r="C497" s="3">
        <f>IF('ORDENES'!$A475="","",IF('ORDENES'!$AF475="","-",'ORDENES'!$AF475))</f>
        <v/>
      </c>
      <c r="D497" s="3">
        <f>IF('ORDENES'!$A475="","",IF('ORDENES'!$X475="","-",'ORDENES'!$X475))</f>
        <v/>
      </c>
      <c r="E497" s="3">
        <f>IF('ORDENES'!$A475="","",IF('ORDENES'!$V475="","-",'ORDENES'!$V475))</f>
        <v/>
      </c>
      <c r="F497" s="3">
        <f>IF('ORDENES'!$A475="","",IF('ORDENES'!$Y475="","-",'ORDENES'!$Y475))</f>
        <v/>
      </c>
      <c r="G497" s="3">
        <f>IF('ORDENES'!$A475="","",IF('ORDENES'!$W475="","-",'ORDENES'!$W475))</f>
        <v/>
      </c>
      <c r="H497" s="3">
        <f>IF('ORDENES'!$A475="","",IF('ORDENES'!$AE475="","-",'ORDENES'!$AE475))</f>
        <v/>
      </c>
      <c r="I497" s="3">
        <f>IF('ORDENES'!$A475="","",IF('ORDENES'!$AQ475="","-",'ORDENES'!$AQ475))</f>
        <v/>
      </c>
      <c r="J497" s="3">
        <f>IF('ORDENES'!$A475="","",IF('ORDENES'!$D475="","-",'ORDENES'!$D475))</f>
        <v/>
      </c>
      <c r="K497" s="3">
        <f>IF('ORDENES'!$A475="","",IF('ORDENES'!$E475="","-",'ORDENES'!$E475))</f>
        <v/>
      </c>
      <c r="L497" s="13">
        <f>IF('ORDENES'!$A475="","",IF('ORDENES'!$M475="",0,'ORDENES'!$M475))</f>
        <v/>
      </c>
      <c r="M497" s="3">
        <f>IF('ORDENES'!$A475="","",IF('ORDENES'!$N475="","-",'ORDENES'!$N475))</f>
        <v/>
      </c>
      <c r="N497" s="3">
        <f>IF('ORDENES'!$A475="","",'ORDENES'!$AD475)</f>
        <v/>
      </c>
    </row>
    <row r="498">
      <c r="A498" s="3">
        <f>IF('ORDENES'!$A476="","",IF('ORDENES'!$O476="","-",'ORDENES'!$O476))</f>
        <v/>
      </c>
      <c r="B498" s="3">
        <f>IF('ORDENES'!$A476="","",IF('ORDENES'!$R476="","-",'ORDENES'!$R476))</f>
        <v/>
      </c>
      <c r="C498" s="3">
        <f>IF('ORDENES'!$A476="","",IF('ORDENES'!$AF476="","-",'ORDENES'!$AF476))</f>
        <v/>
      </c>
      <c r="D498" s="3">
        <f>IF('ORDENES'!$A476="","",IF('ORDENES'!$X476="","-",'ORDENES'!$X476))</f>
        <v/>
      </c>
      <c r="E498" s="3">
        <f>IF('ORDENES'!$A476="","",IF('ORDENES'!$V476="","-",'ORDENES'!$V476))</f>
        <v/>
      </c>
      <c r="F498" s="3">
        <f>IF('ORDENES'!$A476="","",IF('ORDENES'!$Y476="","-",'ORDENES'!$Y476))</f>
        <v/>
      </c>
      <c r="G498" s="3">
        <f>IF('ORDENES'!$A476="","",IF('ORDENES'!$W476="","-",'ORDENES'!$W476))</f>
        <v/>
      </c>
      <c r="H498" s="3">
        <f>IF('ORDENES'!$A476="","",IF('ORDENES'!$AE476="","-",'ORDENES'!$AE476))</f>
        <v/>
      </c>
      <c r="I498" s="3">
        <f>IF('ORDENES'!$A476="","",IF('ORDENES'!$AQ476="","-",'ORDENES'!$AQ476))</f>
        <v/>
      </c>
      <c r="J498" s="3">
        <f>IF('ORDENES'!$A476="","",IF('ORDENES'!$D476="","-",'ORDENES'!$D476))</f>
        <v/>
      </c>
      <c r="K498" s="3">
        <f>IF('ORDENES'!$A476="","",IF('ORDENES'!$E476="","-",'ORDENES'!$E476))</f>
        <v/>
      </c>
      <c r="L498" s="13">
        <f>IF('ORDENES'!$A476="","",IF('ORDENES'!$M476="",0,'ORDENES'!$M476))</f>
        <v/>
      </c>
      <c r="M498" s="3">
        <f>IF('ORDENES'!$A476="","",IF('ORDENES'!$N476="","-",'ORDENES'!$N476))</f>
        <v/>
      </c>
      <c r="N498" s="3">
        <f>IF('ORDENES'!$A476="","",'ORDENES'!$AD476)</f>
        <v/>
      </c>
    </row>
    <row r="499">
      <c r="A499" s="3">
        <f>IF('ORDENES'!$A477="","",IF('ORDENES'!$O477="","-",'ORDENES'!$O477))</f>
        <v/>
      </c>
      <c r="B499" s="3">
        <f>IF('ORDENES'!$A477="","",IF('ORDENES'!$R477="","-",'ORDENES'!$R477))</f>
        <v/>
      </c>
      <c r="C499" s="3">
        <f>IF('ORDENES'!$A477="","",IF('ORDENES'!$AF477="","-",'ORDENES'!$AF477))</f>
        <v/>
      </c>
      <c r="D499" s="3">
        <f>IF('ORDENES'!$A477="","",IF('ORDENES'!$X477="","-",'ORDENES'!$X477))</f>
        <v/>
      </c>
      <c r="E499" s="3">
        <f>IF('ORDENES'!$A477="","",IF('ORDENES'!$V477="","-",'ORDENES'!$V477))</f>
        <v/>
      </c>
      <c r="F499" s="3">
        <f>IF('ORDENES'!$A477="","",IF('ORDENES'!$Y477="","-",'ORDENES'!$Y477))</f>
        <v/>
      </c>
      <c r="G499" s="3">
        <f>IF('ORDENES'!$A477="","",IF('ORDENES'!$W477="","-",'ORDENES'!$W477))</f>
        <v/>
      </c>
      <c r="H499" s="3">
        <f>IF('ORDENES'!$A477="","",IF('ORDENES'!$AE477="","-",'ORDENES'!$AE477))</f>
        <v/>
      </c>
      <c r="I499" s="3">
        <f>IF('ORDENES'!$A477="","",IF('ORDENES'!$AQ477="","-",'ORDENES'!$AQ477))</f>
        <v/>
      </c>
      <c r="J499" s="3">
        <f>IF('ORDENES'!$A477="","",IF('ORDENES'!$D477="","-",'ORDENES'!$D477))</f>
        <v/>
      </c>
      <c r="K499" s="3">
        <f>IF('ORDENES'!$A477="","",IF('ORDENES'!$E477="","-",'ORDENES'!$E477))</f>
        <v/>
      </c>
      <c r="L499" s="13">
        <f>IF('ORDENES'!$A477="","",IF('ORDENES'!$M477="",0,'ORDENES'!$M477))</f>
        <v/>
      </c>
      <c r="M499" s="3">
        <f>IF('ORDENES'!$A477="","",IF('ORDENES'!$N477="","-",'ORDENES'!$N477))</f>
        <v/>
      </c>
      <c r="N499" s="3">
        <f>IF('ORDENES'!$A477="","",'ORDENES'!$AD477)</f>
        <v/>
      </c>
    </row>
    <row r="500">
      <c r="A500" s="3">
        <f>IF('ORDENES'!$A478="","",IF('ORDENES'!$O478="","-",'ORDENES'!$O478))</f>
        <v/>
      </c>
      <c r="B500" s="3">
        <f>IF('ORDENES'!$A478="","",IF('ORDENES'!$R478="","-",'ORDENES'!$R478))</f>
        <v/>
      </c>
      <c r="C500" s="3">
        <f>IF('ORDENES'!$A478="","",IF('ORDENES'!$AF478="","-",'ORDENES'!$AF478))</f>
        <v/>
      </c>
      <c r="D500" s="3">
        <f>IF('ORDENES'!$A478="","",IF('ORDENES'!$X478="","-",'ORDENES'!$X478))</f>
        <v/>
      </c>
      <c r="E500" s="3">
        <f>IF('ORDENES'!$A478="","",IF('ORDENES'!$V478="","-",'ORDENES'!$V478))</f>
        <v/>
      </c>
      <c r="F500" s="3">
        <f>IF('ORDENES'!$A478="","",IF('ORDENES'!$Y478="","-",'ORDENES'!$Y478))</f>
        <v/>
      </c>
      <c r="G500" s="3">
        <f>IF('ORDENES'!$A478="","",IF('ORDENES'!$W478="","-",'ORDENES'!$W478))</f>
        <v/>
      </c>
      <c r="H500" s="3">
        <f>IF('ORDENES'!$A478="","",IF('ORDENES'!$AE478="","-",'ORDENES'!$AE478))</f>
        <v/>
      </c>
      <c r="I500" s="3">
        <f>IF('ORDENES'!$A478="","",IF('ORDENES'!$AQ478="","-",'ORDENES'!$AQ478))</f>
        <v/>
      </c>
      <c r="J500" s="3">
        <f>IF('ORDENES'!$A478="","",IF('ORDENES'!$D478="","-",'ORDENES'!$D478))</f>
        <v/>
      </c>
      <c r="K500" s="3">
        <f>IF('ORDENES'!$A478="","",IF('ORDENES'!$E478="","-",'ORDENES'!$E478))</f>
        <v/>
      </c>
      <c r="L500" s="13">
        <f>IF('ORDENES'!$A478="","",IF('ORDENES'!$M478="",0,'ORDENES'!$M478))</f>
        <v/>
      </c>
      <c r="M500" s="3">
        <f>IF('ORDENES'!$A478="","",IF('ORDENES'!$N478="","-",'ORDENES'!$N478))</f>
        <v/>
      </c>
      <c r="N500" s="3">
        <f>IF('ORDENES'!$A478="","",'ORDENES'!$AD478)</f>
        <v/>
      </c>
    </row>
    <row r="501">
      <c r="A501" s="3">
        <f>IF('ORDENES'!$A479="","",IF('ORDENES'!$O479="","-",'ORDENES'!$O479))</f>
        <v/>
      </c>
      <c r="B501" s="3">
        <f>IF('ORDENES'!$A479="","",IF('ORDENES'!$R479="","-",'ORDENES'!$R479))</f>
        <v/>
      </c>
      <c r="C501" s="3">
        <f>IF('ORDENES'!$A479="","",IF('ORDENES'!$AF479="","-",'ORDENES'!$AF479))</f>
        <v/>
      </c>
      <c r="D501" s="3">
        <f>IF('ORDENES'!$A479="","",IF('ORDENES'!$X479="","-",'ORDENES'!$X479))</f>
        <v/>
      </c>
      <c r="E501" s="3">
        <f>IF('ORDENES'!$A479="","",IF('ORDENES'!$V479="","-",'ORDENES'!$V479))</f>
        <v/>
      </c>
      <c r="F501" s="3">
        <f>IF('ORDENES'!$A479="","",IF('ORDENES'!$Y479="","-",'ORDENES'!$Y479))</f>
        <v/>
      </c>
      <c r="G501" s="3">
        <f>IF('ORDENES'!$A479="","",IF('ORDENES'!$W479="","-",'ORDENES'!$W479))</f>
        <v/>
      </c>
      <c r="H501" s="3">
        <f>IF('ORDENES'!$A479="","",IF('ORDENES'!$AE479="","-",'ORDENES'!$AE479))</f>
        <v/>
      </c>
      <c r="I501" s="3">
        <f>IF('ORDENES'!$A479="","",IF('ORDENES'!$AQ479="","-",'ORDENES'!$AQ479))</f>
        <v/>
      </c>
      <c r="J501" s="3">
        <f>IF('ORDENES'!$A479="","",IF('ORDENES'!$D479="","-",'ORDENES'!$D479))</f>
        <v/>
      </c>
      <c r="K501" s="3">
        <f>IF('ORDENES'!$A479="","",IF('ORDENES'!$E479="","-",'ORDENES'!$E479))</f>
        <v/>
      </c>
      <c r="L501" s="13">
        <f>IF('ORDENES'!$A479="","",IF('ORDENES'!$M479="",0,'ORDENES'!$M479))</f>
        <v/>
      </c>
      <c r="M501" s="3">
        <f>IF('ORDENES'!$A479="","",IF('ORDENES'!$N479="","-",'ORDENES'!$N479))</f>
        <v/>
      </c>
      <c r="N501" s="3">
        <f>IF('ORDENES'!$A479="","",'ORDENES'!$AD479)</f>
        <v/>
      </c>
    </row>
    <row r="502">
      <c r="A502" s="3">
        <f>IF('ORDENES'!$A480="","",IF('ORDENES'!$O480="","-",'ORDENES'!$O480))</f>
        <v/>
      </c>
      <c r="B502" s="3">
        <f>IF('ORDENES'!$A480="","",IF('ORDENES'!$R480="","-",'ORDENES'!$R480))</f>
        <v/>
      </c>
      <c r="C502" s="3">
        <f>IF('ORDENES'!$A480="","",IF('ORDENES'!$AF480="","-",'ORDENES'!$AF480))</f>
        <v/>
      </c>
      <c r="D502" s="3">
        <f>IF('ORDENES'!$A480="","",IF('ORDENES'!$X480="","-",'ORDENES'!$X480))</f>
        <v/>
      </c>
      <c r="E502" s="3">
        <f>IF('ORDENES'!$A480="","",IF('ORDENES'!$V480="","-",'ORDENES'!$V480))</f>
        <v/>
      </c>
      <c r="F502" s="3">
        <f>IF('ORDENES'!$A480="","",IF('ORDENES'!$Y480="","-",'ORDENES'!$Y480))</f>
        <v/>
      </c>
      <c r="G502" s="3">
        <f>IF('ORDENES'!$A480="","",IF('ORDENES'!$W480="","-",'ORDENES'!$W480))</f>
        <v/>
      </c>
      <c r="H502" s="3">
        <f>IF('ORDENES'!$A480="","",IF('ORDENES'!$AE480="","-",'ORDENES'!$AE480))</f>
        <v/>
      </c>
      <c r="I502" s="3">
        <f>IF('ORDENES'!$A480="","",IF('ORDENES'!$AQ480="","-",'ORDENES'!$AQ480))</f>
        <v/>
      </c>
      <c r="J502" s="3">
        <f>IF('ORDENES'!$A480="","",IF('ORDENES'!$D480="","-",'ORDENES'!$D480))</f>
        <v/>
      </c>
      <c r="K502" s="3">
        <f>IF('ORDENES'!$A480="","",IF('ORDENES'!$E480="","-",'ORDENES'!$E480))</f>
        <v/>
      </c>
      <c r="L502" s="13">
        <f>IF('ORDENES'!$A480="","",IF('ORDENES'!$M480="",0,'ORDENES'!$M480))</f>
        <v/>
      </c>
      <c r="M502" s="3">
        <f>IF('ORDENES'!$A480="","",IF('ORDENES'!$N480="","-",'ORDENES'!$N480))</f>
        <v/>
      </c>
      <c r="N502" s="3">
        <f>IF('ORDENES'!$A480="","",'ORDENES'!$AD480)</f>
        <v/>
      </c>
    </row>
    <row r="503">
      <c r="A503" s="3">
        <f>IF('ORDENES'!$A481="","",IF('ORDENES'!$O481="","-",'ORDENES'!$O481))</f>
        <v/>
      </c>
      <c r="B503" s="3">
        <f>IF('ORDENES'!$A481="","",IF('ORDENES'!$R481="","-",'ORDENES'!$R481))</f>
        <v/>
      </c>
      <c r="C503" s="3">
        <f>IF('ORDENES'!$A481="","",IF('ORDENES'!$AF481="","-",'ORDENES'!$AF481))</f>
        <v/>
      </c>
      <c r="D503" s="3">
        <f>IF('ORDENES'!$A481="","",IF('ORDENES'!$X481="","-",'ORDENES'!$X481))</f>
        <v/>
      </c>
      <c r="E503" s="3">
        <f>IF('ORDENES'!$A481="","",IF('ORDENES'!$V481="","-",'ORDENES'!$V481))</f>
        <v/>
      </c>
      <c r="F503" s="3">
        <f>IF('ORDENES'!$A481="","",IF('ORDENES'!$Y481="","-",'ORDENES'!$Y481))</f>
        <v/>
      </c>
      <c r="G503" s="3">
        <f>IF('ORDENES'!$A481="","",IF('ORDENES'!$W481="","-",'ORDENES'!$W481))</f>
        <v/>
      </c>
      <c r="H503" s="3">
        <f>IF('ORDENES'!$A481="","",IF('ORDENES'!$AE481="","-",'ORDENES'!$AE481))</f>
        <v/>
      </c>
      <c r="I503" s="3">
        <f>IF('ORDENES'!$A481="","",IF('ORDENES'!$AQ481="","-",'ORDENES'!$AQ481))</f>
        <v/>
      </c>
      <c r="J503" s="3">
        <f>IF('ORDENES'!$A481="","",IF('ORDENES'!$D481="","-",'ORDENES'!$D481))</f>
        <v/>
      </c>
      <c r="K503" s="3">
        <f>IF('ORDENES'!$A481="","",IF('ORDENES'!$E481="","-",'ORDENES'!$E481))</f>
        <v/>
      </c>
      <c r="L503" s="13">
        <f>IF('ORDENES'!$A481="","",IF('ORDENES'!$M481="",0,'ORDENES'!$M481))</f>
        <v/>
      </c>
      <c r="M503" s="3">
        <f>IF('ORDENES'!$A481="","",IF('ORDENES'!$N481="","-",'ORDENES'!$N481))</f>
        <v/>
      </c>
      <c r="N503" s="3">
        <f>IF('ORDENES'!$A481="","",'ORDENES'!$AD481)</f>
        <v/>
      </c>
    </row>
    <row r="504">
      <c r="A504" s="3">
        <f>IF('ORDENES'!$A482="","",IF('ORDENES'!$O482="","-",'ORDENES'!$O482))</f>
        <v/>
      </c>
      <c r="B504" s="3">
        <f>IF('ORDENES'!$A482="","",IF('ORDENES'!$R482="","-",'ORDENES'!$R482))</f>
        <v/>
      </c>
      <c r="C504" s="3">
        <f>IF('ORDENES'!$A482="","",IF('ORDENES'!$AF482="","-",'ORDENES'!$AF482))</f>
        <v/>
      </c>
      <c r="D504" s="3">
        <f>IF('ORDENES'!$A482="","",IF('ORDENES'!$X482="","-",'ORDENES'!$X482))</f>
        <v/>
      </c>
      <c r="E504" s="3">
        <f>IF('ORDENES'!$A482="","",IF('ORDENES'!$V482="","-",'ORDENES'!$V482))</f>
        <v/>
      </c>
      <c r="F504" s="3">
        <f>IF('ORDENES'!$A482="","",IF('ORDENES'!$Y482="","-",'ORDENES'!$Y482))</f>
        <v/>
      </c>
      <c r="G504" s="3">
        <f>IF('ORDENES'!$A482="","",IF('ORDENES'!$W482="","-",'ORDENES'!$W482))</f>
        <v/>
      </c>
      <c r="H504" s="3">
        <f>IF('ORDENES'!$A482="","",IF('ORDENES'!$AE482="","-",'ORDENES'!$AE482))</f>
        <v/>
      </c>
      <c r="I504" s="3">
        <f>IF('ORDENES'!$A482="","",IF('ORDENES'!$AQ482="","-",'ORDENES'!$AQ482))</f>
        <v/>
      </c>
      <c r="J504" s="3">
        <f>IF('ORDENES'!$A482="","",IF('ORDENES'!$D482="","-",'ORDENES'!$D482))</f>
        <v/>
      </c>
      <c r="K504" s="3">
        <f>IF('ORDENES'!$A482="","",IF('ORDENES'!$E482="","-",'ORDENES'!$E482))</f>
        <v/>
      </c>
      <c r="L504" s="13">
        <f>IF('ORDENES'!$A482="","",IF('ORDENES'!$M482="",0,'ORDENES'!$M482))</f>
        <v/>
      </c>
      <c r="M504" s="3">
        <f>IF('ORDENES'!$A482="","",IF('ORDENES'!$N482="","-",'ORDENES'!$N482))</f>
        <v/>
      </c>
      <c r="N504" s="3">
        <f>IF('ORDENES'!$A482="","",'ORDENES'!$AD482)</f>
        <v/>
      </c>
    </row>
    <row r="505">
      <c r="A505" s="3">
        <f>IF('ORDENES'!$A483="","",IF('ORDENES'!$O483="","-",'ORDENES'!$O483))</f>
        <v/>
      </c>
      <c r="B505" s="3">
        <f>IF('ORDENES'!$A483="","",IF('ORDENES'!$R483="","-",'ORDENES'!$R483))</f>
        <v/>
      </c>
      <c r="C505" s="3">
        <f>IF('ORDENES'!$A483="","",IF('ORDENES'!$AF483="","-",'ORDENES'!$AF483))</f>
        <v/>
      </c>
      <c r="D505" s="3">
        <f>IF('ORDENES'!$A483="","",IF('ORDENES'!$X483="","-",'ORDENES'!$X483))</f>
        <v/>
      </c>
      <c r="E505" s="3">
        <f>IF('ORDENES'!$A483="","",IF('ORDENES'!$V483="","-",'ORDENES'!$V483))</f>
        <v/>
      </c>
      <c r="F505" s="3">
        <f>IF('ORDENES'!$A483="","",IF('ORDENES'!$Y483="","-",'ORDENES'!$Y483))</f>
        <v/>
      </c>
      <c r="G505" s="3">
        <f>IF('ORDENES'!$A483="","",IF('ORDENES'!$W483="","-",'ORDENES'!$W483))</f>
        <v/>
      </c>
      <c r="H505" s="3">
        <f>IF('ORDENES'!$A483="","",IF('ORDENES'!$AE483="","-",'ORDENES'!$AE483))</f>
        <v/>
      </c>
      <c r="I505" s="3">
        <f>IF('ORDENES'!$A483="","",IF('ORDENES'!$AQ483="","-",'ORDENES'!$AQ483))</f>
        <v/>
      </c>
      <c r="J505" s="3">
        <f>IF('ORDENES'!$A483="","",IF('ORDENES'!$D483="","-",'ORDENES'!$D483))</f>
        <v/>
      </c>
      <c r="K505" s="3">
        <f>IF('ORDENES'!$A483="","",IF('ORDENES'!$E483="","-",'ORDENES'!$E483))</f>
        <v/>
      </c>
      <c r="L505" s="13">
        <f>IF('ORDENES'!$A483="","",IF('ORDENES'!$M483="",0,'ORDENES'!$M483))</f>
        <v/>
      </c>
      <c r="M505" s="3">
        <f>IF('ORDENES'!$A483="","",IF('ORDENES'!$N483="","-",'ORDENES'!$N483))</f>
        <v/>
      </c>
      <c r="N505" s="3">
        <f>IF('ORDENES'!$A483="","",'ORDENES'!$AD483)</f>
        <v/>
      </c>
    </row>
    <row r="506">
      <c r="A506" s="3">
        <f>IF('ORDENES'!$A484="","",IF('ORDENES'!$O484="","-",'ORDENES'!$O484))</f>
        <v/>
      </c>
      <c r="B506" s="3">
        <f>IF('ORDENES'!$A484="","",IF('ORDENES'!$R484="","-",'ORDENES'!$R484))</f>
        <v/>
      </c>
      <c r="C506" s="3">
        <f>IF('ORDENES'!$A484="","",IF('ORDENES'!$AF484="","-",'ORDENES'!$AF484))</f>
        <v/>
      </c>
      <c r="D506" s="3">
        <f>IF('ORDENES'!$A484="","",IF('ORDENES'!$X484="","-",'ORDENES'!$X484))</f>
        <v/>
      </c>
      <c r="E506" s="3">
        <f>IF('ORDENES'!$A484="","",IF('ORDENES'!$V484="","-",'ORDENES'!$V484))</f>
        <v/>
      </c>
      <c r="F506" s="3">
        <f>IF('ORDENES'!$A484="","",IF('ORDENES'!$Y484="","-",'ORDENES'!$Y484))</f>
        <v/>
      </c>
      <c r="G506" s="3">
        <f>IF('ORDENES'!$A484="","",IF('ORDENES'!$W484="","-",'ORDENES'!$W484))</f>
        <v/>
      </c>
      <c r="H506" s="3">
        <f>IF('ORDENES'!$A484="","",IF('ORDENES'!$AE484="","-",'ORDENES'!$AE484))</f>
        <v/>
      </c>
      <c r="I506" s="3">
        <f>IF('ORDENES'!$A484="","",IF('ORDENES'!$AQ484="","-",'ORDENES'!$AQ484))</f>
        <v/>
      </c>
      <c r="J506" s="3">
        <f>IF('ORDENES'!$A484="","",IF('ORDENES'!$D484="","-",'ORDENES'!$D484))</f>
        <v/>
      </c>
      <c r="K506" s="3">
        <f>IF('ORDENES'!$A484="","",IF('ORDENES'!$E484="","-",'ORDENES'!$E484))</f>
        <v/>
      </c>
      <c r="L506" s="13">
        <f>IF('ORDENES'!$A484="","",IF('ORDENES'!$M484="",0,'ORDENES'!$M484))</f>
        <v/>
      </c>
      <c r="M506" s="3">
        <f>IF('ORDENES'!$A484="","",IF('ORDENES'!$N484="","-",'ORDENES'!$N484))</f>
        <v/>
      </c>
      <c r="N506" s="3">
        <f>IF('ORDENES'!$A484="","",'ORDENES'!$AD484)</f>
        <v/>
      </c>
    </row>
    <row r="507">
      <c r="A507" s="3">
        <f>IF('ORDENES'!$A485="","",IF('ORDENES'!$O485="","-",'ORDENES'!$O485))</f>
        <v/>
      </c>
      <c r="B507" s="3">
        <f>IF('ORDENES'!$A485="","",IF('ORDENES'!$R485="","-",'ORDENES'!$R485))</f>
        <v/>
      </c>
      <c r="C507" s="3">
        <f>IF('ORDENES'!$A485="","",IF('ORDENES'!$AF485="","-",'ORDENES'!$AF485))</f>
        <v/>
      </c>
      <c r="D507" s="3">
        <f>IF('ORDENES'!$A485="","",IF('ORDENES'!$X485="","-",'ORDENES'!$X485))</f>
        <v/>
      </c>
      <c r="E507" s="3">
        <f>IF('ORDENES'!$A485="","",IF('ORDENES'!$V485="","-",'ORDENES'!$V485))</f>
        <v/>
      </c>
      <c r="F507" s="3">
        <f>IF('ORDENES'!$A485="","",IF('ORDENES'!$Y485="","-",'ORDENES'!$Y485))</f>
        <v/>
      </c>
      <c r="G507" s="3">
        <f>IF('ORDENES'!$A485="","",IF('ORDENES'!$W485="","-",'ORDENES'!$W485))</f>
        <v/>
      </c>
      <c r="H507" s="3">
        <f>IF('ORDENES'!$A485="","",IF('ORDENES'!$AE485="","-",'ORDENES'!$AE485))</f>
        <v/>
      </c>
      <c r="I507" s="3">
        <f>IF('ORDENES'!$A485="","",IF('ORDENES'!$AQ485="","-",'ORDENES'!$AQ485))</f>
        <v/>
      </c>
      <c r="J507" s="3">
        <f>IF('ORDENES'!$A485="","",IF('ORDENES'!$D485="","-",'ORDENES'!$D485))</f>
        <v/>
      </c>
      <c r="K507" s="3">
        <f>IF('ORDENES'!$A485="","",IF('ORDENES'!$E485="","-",'ORDENES'!$E485))</f>
        <v/>
      </c>
      <c r="L507" s="13">
        <f>IF('ORDENES'!$A485="","",IF('ORDENES'!$M485="",0,'ORDENES'!$M485))</f>
        <v/>
      </c>
      <c r="M507" s="3">
        <f>IF('ORDENES'!$A485="","",IF('ORDENES'!$N485="","-",'ORDENES'!$N485))</f>
        <v/>
      </c>
      <c r="N507" s="3">
        <f>IF('ORDENES'!$A485="","",'ORDENES'!$AD485)</f>
        <v/>
      </c>
    </row>
    <row r="508">
      <c r="A508" s="3">
        <f>IF('ORDENES'!$A486="","",IF('ORDENES'!$O486="","-",'ORDENES'!$O486))</f>
        <v/>
      </c>
      <c r="B508" s="3">
        <f>IF('ORDENES'!$A486="","",IF('ORDENES'!$R486="","-",'ORDENES'!$R486))</f>
        <v/>
      </c>
      <c r="C508" s="3">
        <f>IF('ORDENES'!$A486="","",IF('ORDENES'!$AF486="","-",'ORDENES'!$AF486))</f>
        <v/>
      </c>
      <c r="D508" s="3">
        <f>IF('ORDENES'!$A486="","",IF('ORDENES'!$X486="","-",'ORDENES'!$X486))</f>
        <v/>
      </c>
      <c r="E508" s="3">
        <f>IF('ORDENES'!$A486="","",IF('ORDENES'!$V486="","-",'ORDENES'!$V486))</f>
        <v/>
      </c>
      <c r="F508" s="3">
        <f>IF('ORDENES'!$A486="","",IF('ORDENES'!$Y486="","-",'ORDENES'!$Y486))</f>
        <v/>
      </c>
      <c r="G508" s="3">
        <f>IF('ORDENES'!$A486="","",IF('ORDENES'!$W486="","-",'ORDENES'!$W486))</f>
        <v/>
      </c>
      <c r="H508" s="3">
        <f>IF('ORDENES'!$A486="","",IF('ORDENES'!$AE486="","-",'ORDENES'!$AE486))</f>
        <v/>
      </c>
      <c r="I508" s="3">
        <f>IF('ORDENES'!$A486="","",IF('ORDENES'!$AQ486="","-",'ORDENES'!$AQ486))</f>
        <v/>
      </c>
      <c r="J508" s="3">
        <f>IF('ORDENES'!$A486="","",IF('ORDENES'!$D486="","-",'ORDENES'!$D486))</f>
        <v/>
      </c>
      <c r="K508" s="3">
        <f>IF('ORDENES'!$A486="","",IF('ORDENES'!$E486="","-",'ORDENES'!$E486))</f>
        <v/>
      </c>
      <c r="L508" s="13">
        <f>IF('ORDENES'!$A486="","",IF('ORDENES'!$M486="",0,'ORDENES'!$M486))</f>
        <v/>
      </c>
      <c r="M508" s="3">
        <f>IF('ORDENES'!$A486="","",IF('ORDENES'!$N486="","-",'ORDENES'!$N486))</f>
        <v/>
      </c>
      <c r="N508" s="3">
        <f>IF('ORDENES'!$A486="","",'ORDENES'!$AD486)</f>
        <v/>
      </c>
    </row>
    <row r="509">
      <c r="A509" s="3">
        <f>IF('ORDENES'!$A487="","",IF('ORDENES'!$O487="","-",'ORDENES'!$O487))</f>
        <v/>
      </c>
      <c r="B509" s="3">
        <f>IF('ORDENES'!$A487="","",IF('ORDENES'!$R487="","-",'ORDENES'!$R487))</f>
        <v/>
      </c>
      <c r="C509" s="3">
        <f>IF('ORDENES'!$A487="","",IF('ORDENES'!$AF487="","-",'ORDENES'!$AF487))</f>
        <v/>
      </c>
      <c r="D509" s="3">
        <f>IF('ORDENES'!$A487="","",IF('ORDENES'!$X487="","-",'ORDENES'!$X487))</f>
        <v/>
      </c>
      <c r="E509" s="3">
        <f>IF('ORDENES'!$A487="","",IF('ORDENES'!$V487="","-",'ORDENES'!$V487))</f>
        <v/>
      </c>
      <c r="F509" s="3">
        <f>IF('ORDENES'!$A487="","",IF('ORDENES'!$Y487="","-",'ORDENES'!$Y487))</f>
        <v/>
      </c>
      <c r="G509" s="3">
        <f>IF('ORDENES'!$A487="","",IF('ORDENES'!$W487="","-",'ORDENES'!$W487))</f>
        <v/>
      </c>
      <c r="H509" s="3">
        <f>IF('ORDENES'!$A487="","",IF('ORDENES'!$AE487="","-",'ORDENES'!$AE487))</f>
        <v/>
      </c>
      <c r="I509" s="3">
        <f>IF('ORDENES'!$A487="","",IF('ORDENES'!$AQ487="","-",'ORDENES'!$AQ487))</f>
        <v/>
      </c>
      <c r="J509" s="3">
        <f>IF('ORDENES'!$A487="","",IF('ORDENES'!$D487="","-",'ORDENES'!$D487))</f>
        <v/>
      </c>
      <c r="K509" s="3">
        <f>IF('ORDENES'!$A487="","",IF('ORDENES'!$E487="","-",'ORDENES'!$E487))</f>
        <v/>
      </c>
      <c r="L509" s="13">
        <f>IF('ORDENES'!$A487="","",IF('ORDENES'!$M487="",0,'ORDENES'!$M487))</f>
        <v/>
      </c>
      <c r="M509" s="3">
        <f>IF('ORDENES'!$A487="","",IF('ORDENES'!$N487="","-",'ORDENES'!$N487))</f>
        <v/>
      </c>
      <c r="N509" s="3">
        <f>IF('ORDENES'!$A487="","",'ORDENES'!$AD487)</f>
        <v/>
      </c>
    </row>
    <row r="510">
      <c r="A510" s="3">
        <f>IF('ORDENES'!$A488="","",IF('ORDENES'!$O488="","-",'ORDENES'!$O488))</f>
        <v/>
      </c>
      <c r="B510" s="3">
        <f>IF('ORDENES'!$A488="","",IF('ORDENES'!$R488="","-",'ORDENES'!$R488))</f>
        <v/>
      </c>
      <c r="C510" s="3">
        <f>IF('ORDENES'!$A488="","",IF('ORDENES'!$AF488="","-",'ORDENES'!$AF488))</f>
        <v/>
      </c>
      <c r="D510" s="3">
        <f>IF('ORDENES'!$A488="","",IF('ORDENES'!$X488="","-",'ORDENES'!$X488))</f>
        <v/>
      </c>
      <c r="E510" s="3">
        <f>IF('ORDENES'!$A488="","",IF('ORDENES'!$V488="","-",'ORDENES'!$V488))</f>
        <v/>
      </c>
      <c r="F510" s="3">
        <f>IF('ORDENES'!$A488="","",IF('ORDENES'!$Y488="","-",'ORDENES'!$Y488))</f>
        <v/>
      </c>
      <c r="G510" s="3">
        <f>IF('ORDENES'!$A488="","",IF('ORDENES'!$W488="","-",'ORDENES'!$W488))</f>
        <v/>
      </c>
      <c r="H510" s="3">
        <f>IF('ORDENES'!$A488="","",IF('ORDENES'!$AE488="","-",'ORDENES'!$AE488))</f>
        <v/>
      </c>
      <c r="I510" s="3">
        <f>IF('ORDENES'!$A488="","",IF('ORDENES'!$AQ488="","-",'ORDENES'!$AQ488))</f>
        <v/>
      </c>
      <c r="J510" s="3">
        <f>IF('ORDENES'!$A488="","",IF('ORDENES'!$D488="","-",'ORDENES'!$D488))</f>
        <v/>
      </c>
      <c r="K510" s="3">
        <f>IF('ORDENES'!$A488="","",IF('ORDENES'!$E488="","-",'ORDENES'!$E488))</f>
        <v/>
      </c>
      <c r="L510" s="13">
        <f>IF('ORDENES'!$A488="","",IF('ORDENES'!$M488="",0,'ORDENES'!$M488))</f>
        <v/>
      </c>
      <c r="M510" s="3">
        <f>IF('ORDENES'!$A488="","",IF('ORDENES'!$N488="","-",'ORDENES'!$N488))</f>
        <v/>
      </c>
      <c r="N510" s="3">
        <f>IF('ORDENES'!$A488="","",'ORDENES'!$AD488)</f>
        <v/>
      </c>
    </row>
    <row r="511">
      <c r="A511" s="3">
        <f>IF('ORDENES'!$A489="","",IF('ORDENES'!$O489="","-",'ORDENES'!$O489))</f>
        <v/>
      </c>
      <c r="B511" s="3">
        <f>IF('ORDENES'!$A489="","",IF('ORDENES'!$R489="","-",'ORDENES'!$R489))</f>
        <v/>
      </c>
      <c r="C511" s="3">
        <f>IF('ORDENES'!$A489="","",IF('ORDENES'!$AF489="","-",'ORDENES'!$AF489))</f>
        <v/>
      </c>
      <c r="D511" s="3">
        <f>IF('ORDENES'!$A489="","",IF('ORDENES'!$X489="","-",'ORDENES'!$X489))</f>
        <v/>
      </c>
      <c r="E511" s="3">
        <f>IF('ORDENES'!$A489="","",IF('ORDENES'!$V489="","-",'ORDENES'!$V489))</f>
        <v/>
      </c>
      <c r="F511" s="3">
        <f>IF('ORDENES'!$A489="","",IF('ORDENES'!$Y489="","-",'ORDENES'!$Y489))</f>
        <v/>
      </c>
      <c r="G511" s="3">
        <f>IF('ORDENES'!$A489="","",IF('ORDENES'!$W489="","-",'ORDENES'!$W489))</f>
        <v/>
      </c>
      <c r="H511" s="3">
        <f>IF('ORDENES'!$A489="","",IF('ORDENES'!$AE489="","-",'ORDENES'!$AE489))</f>
        <v/>
      </c>
      <c r="I511" s="3">
        <f>IF('ORDENES'!$A489="","",IF('ORDENES'!$AQ489="","-",'ORDENES'!$AQ489))</f>
        <v/>
      </c>
      <c r="J511" s="3">
        <f>IF('ORDENES'!$A489="","",IF('ORDENES'!$D489="","-",'ORDENES'!$D489))</f>
        <v/>
      </c>
      <c r="K511" s="3">
        <f>IF('ORDENES'!$A489="","",IF('ORDENES'!$E489="","-",'ORDENES'!$E489))</f>
        <v/>
      </c>
      <c r="L511" s="13">
        <f>IF('ORDENES'!$A489="","",IF('ORDENES'!$M489="",0,'ORDENES'!$M489))</f>
        <v/>
      </c>
      <c r="M511" s="3">
        <f>IF('ORDENES'!$A489="","",IF('ORDENES'!$N489="","-",'ORDENES'!$N489))</f>
        <v/>
      </c>
      <c r="N511" s="3">
        <f>IF('ORDENES'!$A489="","",'ORDENES'!$AD489)</f>
        <v/>
      </c>
    </row>
    <row r="512">
      <c r="A512" s="3">
        <f>IF('ORDENES'!$A490="","",IF('ORDENES'!$O490="","-",'ORDENES'!$O490))</f>
        <v/>
      </c>
      <c r="B512" s="3">
        <f>IF('ORDENES'!$A490="","",IF('ORDENES'!$R490="","-",'ORDENES'!$R490))</f>
        <v/>
      </c>
      <c r="C512" s="3">
        <f>IF('ORDENES'!$A490="","",IF('ORDENES'!$AF490="","-",'ORDENES'!$AF490))</f>
        <v/>
      </c>
      <c r="D512" s="3">
        <f>IF('ORDENES'!$A490="","",IF('ORDENES'!$X490="","-",'ORDENES'!$X490))</f>
        <v/>
      </c>
      <c r="E512" s="3">
        <f>IF('ORDENES'!$A490="","",IF('ORDENES'!$V490="","-",'ORDENES'!$V490))</f>
        <v/>
      </c>
      <c r="F512" s="3">
        <f>IF('ORDENES'!$A490="","",IF('ORDENES'!$Y490="","-",'ORDENES'!$Y490))</f>
        <v/>
      </c>
      <c r="G512" s="3">
        <f>IF('ORDENES'!$A490="","",IF('ORDENES'!$W490="","-",'ORDENES'!$W490))</f>
        <v/>
      </c>
      <c r="H512" s="3">
        <f>IF('ORDENES'!$A490="","",IF('ORDENES'!$AE490="","-",'ORDENES'!$AE490))</f>
        <v/>
      </c>
      <c r="I512" s="3">
        <f>IF('ORDENES'!$A490="","",IF('ORDENES'!$AQ490="","-",'ORDENES'!$AQ490))</f>
        <v/>
      </c>
      <c r="J512" s="3">
        <f>IF('ORDENES'!$A490="","",IF('ORDENES'!$D490="","-",'ORDENES'!$D490))</f>
        <v/>
      </c>
      <c r="K512" s="3">
        <f>IF('ORDENES'!$A490="","",IF('ORDENES'!$E490="","-",'ORDENES'!$E490))</f>
        <v/>
      </c>
      <c r="L512" s="13">
        <f>IF('ORDENES'!$A490="","",IF('ORDENES'!$M490="",0,'ORDENES'!$M490))</f>
        <v/>
      </c>
      <c r="M512" s="3">
        <f>IF('ORDENES'!$A490="","",IF('ORDENES'!$N490="","-",'ORDENES'!$N490))</f>
        <v/>
      </c>
      <c r="N512" s="3">
        <f>IF('ORDENES'!$A490="","",'ORDENES'!$AD490)</f>
        <v/>
      </c>
    </row>
    <row r="513">
      <c r="A513" s="3">
        <f>IF('ORDENES'!$A491="","",IF('ORDENES'!$O491="","-",'ORDENES'!$O491))</f>
        <v/>
      </c>
      <c r="B513" s="3">
        <f>IF('ORDENES'!$A491="","",IF('ORDENES'!$R491="","-",'ORDENES'!$R491))</f>
        <v/>
      </c>
      <c r="C513" s="3">
        <f>IF('ORDENES'!$A491="","",IF('ORDENES'!$AF491="","-",'ORDENES'!$AF491))</f>
        <v/>
      </c>
      <c r="D513" s="3">
        <f>IF('ORDENES'!$A491="","",IF('ORDENES'!$X491="","-",'ORDENES'!$X491))</f>
        <v/>
      </c>
      <c r="E513" s="3">
        <f>IF('ORDENES'!$A491="","",IF('ORDENES'!$V491="","-",'ORDENES'!$V491))</f>
        <v/>
      </c>
      <c r="F513" s="3">
        <f>IF('ORDENES'!$A491="","",IF('ORDENES'!$Y491="","-",'ORDENES'!$Y491))</f>
        <v/>
      </c>
      <c r="G513" s="3">
        <f>IF('ORDENES'!$A491="","",IF('ORDENES'!$W491="","-",'ORDENES'!$W491))</f>
        <v/>
      </c>
      <c r="H513" s="3">
        <f>IF('ORDENES'!$A491="","",IF('ORDENES'!$AE491="","-",'ORDENES'!$AE491))</f>
        <v/>
      </c>
      <c r="I513" s="3">
        <f>IF('ORDENES'!$A491="","",IF('ORDENES'!$AQ491="","-",'ORDENES'!$AQ491))</f>
        <v/>
      </c>
      <c r="J513" s="3">
        <f>IF('ORDENES'!$A491="","",IF('ORDENES'!$D491="","-",'ORDENES'!$D491))</f>
        <v/>
      </c>
      <c r="K513" s="3">
        <f>IF('ORDENES'!$A491="","",IF('ORDENES'!$E491="","-",'ORDENES'!$E491))</f>
        <v/>
      </c>
      <c r="L513" s="13">
        <f>IF('ORDENES'!$A491="","",IF('ORDENES'!$M491="",0,'ORDENES'!$M491))</f>
        <v/>
      </c>
      <c r="M513" s="3">
        <f>IF('ORDENES'!$A491="","",IF('ORDENES'!$N491="","-",'ORDENES'!$N491))</f>
        <v/>
      </c>
      <c r="N513" s="3">
        <f>IF('ORDENES'!$A491="","",'ORDENES'!$AD491)</f>
        <v/>
      </c>
    </row>
    <row r="514">
      <c r="A514" s="3">
        <f>IF('ORDENES'!$A492="","",IF('ORDENES'!$O492="","-",'ORDENES'!$O492))</f>
        <v/>
      </c>
      <c r="B514" s="3">
        <f>IF('ORDENES'!$A492="","",IF('ORDENES'!$R492="","-",'ORDENES'!$R492))</f>
        <v/>
      </c>
      <c r="C514" s="3">
        <f>IF('ORDENES'!$A492="","",IF('ORDENES'!$AF492="","-",'ORDENES'!$AF492))</f>
        <v/>
      </c>
      <c r="D514" s="3">
        <f>IF('ORDENES'!$A492="","",IF('ORDENES'!$X492="","-",'ORDENES'!$X492))</f>
        <v/>
      </c>
      <c r="E514" s="3">
        <f>IF('ORDENES'!$A492="","",IF('ORDENES'!$V492="","-",'ORDENES'!$V492))</f>
        <v/>
      </c>
      <c r="F514" s="3">
        <f>IF('ORDENES'!$A492="","",IF('ORDENES'!$Y492="","-",'ORDENES'!$Y492))</f>
        <v/>
      </c>
      <c r="G514" s="3">
        <f>IF('ORDENES'!$A492="","",IF('ORDENES'!$W492="","-",'ORDENES'!$W492))</f>
        <v/>
      </c>
      <c r="H514" s="3">
        <f>IF('ORDENES'!$A492="","",IF('ORDENES'!$AE492="","-",'ORDENES'!$AE492))</f>
        <v/>
      </c>
      <c r="I514" s="3">
        <f>IF('ORDENES'!$A492="","",IF('ORDENES'!$AQ492="","-",'ORDENES'!$AQ492))</f>
        <v/>
      </c>
      <c r="J514" s="3">
        <f>IF('ORDENES'!$A492="","",IF('ORDENES'!$D492="","-",'ORDENES'!$D492))</f>
        <v/>
      </c>
      <c r="K514" s="3">
        <f>IF('ORDENES'!$A492="","",IF('ORDENES'!$E492="","-",'ORDENES'!$E492))</f>
        <v/>
      </c>
      <c r="L514" s="13">
        <f>IF('ORDENES'!$A492="","",IF('ORDENES'!$M492="",0,'ORDENES'!$M492))</f>
        <v/>
      </c>
      <c r="M514" s="3">
        <f>IF('ORDENES'!$A492="","",IF('ORDENES'!$N492="","-",'ORDENES'!$N492))</f>
        <v/>
      </c>
      <c r="N514" s="3">
        <f>IF('ORDENES'!$A492="","",'ORDENES'!$AD492)</f>
        <v/>
      </c>
    </row>
    <row r="515">
      <c r="A515" s="3">
        <f>IF('ORDENES'!$A493="","",IF('ORDENES'!$O493="","-",'ORDENES'!$O493))</f>
        <v/>
      </c>
      <c r="B515" s="3">
        <f>IF('ORDENES'!$A493="","",IF('ORDENES'!$R493="","-",'ORDENES'!$R493))</f>
        <v/>
      </c>
      <c r="C515" s="3">
        <f>IF('ORDENES'!$A493="","",IF('ORDENES'!$AF493="","-",'ORDENES'!$AF493))</f>
        <v/>
      </c>
      <c r="D515" s="3">
        <f>IF('ORDENES'!$A493="","",IF('ORDENES'!$X493="","-",'ORDENES'!$X493))</f>
        <v/>
      </c>
      <c r="E515" s="3">
        <f>IF('ORDENES'!$A493="","",IF('ORDENES'!$V493="","-",'ORDENES'!$V493))</f>
        <v/>
      </c>
      <c r="F515" s="3">
        <f>IF('ORDENES'!$A493="","",IF('ORDENES'!$Y493="","-",'ORDENES'!$Y493))</f>
        <v/>
      </c>
      <c r="G515" s="3">
        <f>IF('ORDENES'!$A493="","",IF('ORDENES'!$W493="","-",'ORDENES'!$W493))</f>
        <v/>
      </c>
      <c r="H515" s="3">
        <f>IF('ORDENES'!$A493="","",IF('ORDENES'!$AE493="","-",'ORDENES'!$AE493))</f>
        <v/>
      </c>
      <c r="I515" s="3">
        <f>IF('ORDENES'!$A493="","",IF('ORDENES'!$AQ493="","-",'ORDENES'!$AQ493))</f>
        <v/>
      </c>
      <c r="J515" s="3">
        <f>IF('ORDENES'!$A493="","",IF('ORDENES'!$D493="","-",'ORDENES'!$D493))</f>
        <v/>
      </c>
      <c r="K515" s="3">
        <f>IF('ORDENES'!$A493="","",IF('ORDENES'!$E493="","-",'ORDENES'!$E493))</f>
        <v/>
      </c>
      <c r="L515" s="13">
        <f>IF('ORDENES'!$A493="","",IF('ORDENES'!$M493="",0,'ORDENES'!$M493))</f>
        <v/>
      </c>
      <c r="M515" s="3">
        <f>IF('ORDENES'!$A493="","",IF('ORDENES'!$N493="","-",'ORDENES'!$N493))</f>
        <v/>
      </c>
      <c r="N515" s="3">
        <f>IF('ORDENES'!$A493="","",'ORDENES'!$AD493)</f>
        <v/>
      </c>
    </row>
    <row r="516">
      <c r="A516" s="3">
        <f>IF('ORDENES'!$A494="","",IF('ORDENES'!$O494="","-",'ORDENES'!$O494))</f>
        <v/>
      </c>
      <c r="B516" s="3">
        <f>IF('ORDENES'!$A494="","",IF('ORDENES'!$R494="","-",'ORDENES'!$R494))</f>
        <v/>
      </c>
      <c r="C516" s="3">
        <f>IF('ORDENES'!$A494="","",IF('ORDENES'!$AF494="","-",'ORDENES'!$AF494))</f>
        <v/>
      </c>
      <c r="D516" s="3">
        <f>IF('ORDENES'!$A494="","",IF('ORDENES'!$X494="","-",'ORDENES'!$X494))</f>
        <v/>
      </c>
      <c r="E516" s="3">
        <f>IF('ORDENES'!$A494="","",IF('ORDENES'!$V494="","-",'ORDENES'!$V494))</f>
        <v/>
      </c>
      <c r="F516" s="3">
        <f>IF('ORDENES'!$A494="","",IF('ORDENES'!$Y494="","-",'ORDENES'!$Y494))</f>
        <v/>
      </c>
      <c r="G516" s="3">
        <f>IF('ORDENES'!$A494="","",IF('ORDENES'!$W494="","-",'ORDENES'!$W494))</f>
        <v/>
      </c>
      <c r="H516" s="3">
        <f>IF('ORDENES'!$A494="","",IF('ORDENES'!$AE494="","-",'ORDENES'!$AE494))</f>
        <v/>
      </c>
      <c r="I516" s="3">
        <f>IF('ORDENES'!$A494="","",IF('ORDENES'!$AQ494="","-",'ORDENES'!$AQ494))</f>
        <v/>
      </c>
      <c r="J516" s="3">
        <f>IF('ORDENES'!$A494="","",IF('ORDENES'!$D494="","-",'ORDENES'!$D494))</f>
        <v/>
      </c>
      <c r="K516" s="3">
        <f>IF('ORDENES'!$A494="","",IF('ORDENES'!$E494="","-",'ORDENES'!$E494))</f>
        <v/>
      </c>
      <c r="L516" s="13">
        <f>IF('ORDENES'!$A494="","",IF('ORDENES'!$M494="",0,'ORDENES'!$M494))</f>
        <v/>
      </c>
      <c r="M516" s="3">
        <f>IF('ORDENES'!$A494="","",IF('ORDENES'!$N494="","-",'ORDENES'!$N494))</f>
        <v/>
      </c>
      <c r="N516" s="3">
        <f>IF('ORDENES'!$A494="","",'ORDENES'!$AD494)</f>
        <v/>
      </c>
    </row>
    <row r="517">
      <c r="A517" s="3">
        <f>IF('ORDENES'!$A495="","",IF('ORDENES'!$O495="","-",'ORDENES'!$O495))</f>
        <v/>
      </c>
      <c r="B517" s="3">
        <f>IF('ORDENES'!$A495="","",IF('ORDENES'!$R495="","-",'ORDENES'!$R495))</f>
        <v/>
      </c>
      <c r="C517" s="3">
        <f>IF('ORDENES'!$A495="","",IF('ORDENES'!$AF495="","-",'ORDENES'!$AF495))</f>
        <v/>
      </c>
      <c r="D517" s="3">
        <f>IF('ORDENES'!$A495="","",IF('ORDENES'!$X495="","-",'ORDENES'!$X495))</f>
        <v/>
      </c>
      <c r="E517" s="3">
        <f>IF('ORDENES'!$A495="","",IF('ORDENES'!$V495="","-",'ORDENES'!$V495))</f>
        <v/>
      </c>
      <c r="F517" s="3">
        <f>IF('ORDENES'!$A495="","",IF('ORDENES'!$Y495="","-",'ORDENES'!$Y495))</f>
        <v/>
      </c>
      <c r="G517" s="3">
        <f>IF('ORDENES'!$A495="","",IF('ORDENES'!$W495="","-",'ORDENES'!$W495))</f>
        <v/>
      </c>
      <c r="H517" s="3">
        <f>IF('ORDENES'!$A495="","",IF('ORDENES'!$AE495="","-",'ORDENES'!$AE495))</f>
        <v/>
      </c>
      <c r="I517" s="3">
        <f>IF('ORDENES'!$A495="","",IF('ORDENES'!$AQ495="","-",'ORDENES'!$AQ495))</f>
        <v/>
      </c>
      <c r="J517" s="3">
        <f>IF('ORDENES'!$A495="","",IF('ORDENES'!$D495="","-",'ORDENES'!$D495))</f>
        <v/>
      </c>
      <c r="K517" s="3">
        <f>IF('ORDENES'!$A495="","",IF('ORDENES'!$E495="","-",'ORDENES'!$E495))</f>
        <v/>
      </c>
      <c r="L517" s="13">
        <f>IF('ORDENES'!$A495="","",IF('ORDENES'!$M495="",0,'ORDENES'!$M495))</f>
        <v/>
      </c>
      <c r="M517" s="3">
        <f>IF('ORDENES'!$A495="","",IF('ORDENES'!$N495="","-",'ORDENES'!$N495))</f>
        <v/>
      </c>
      <c r="N517" s="3">
        <f>IF('ORDENES'!$A495="","",'ORDENES'!$AD495)</f>
        <v/>
      </c>
    </row>
    <row r="518">
      <c r="A518" s="3">
        <f>IF('ORDENES'!$A496="","",IF('ORDENES'!$O496="","-",'ORDENES'!$O496))</f>
        <v/>
      </c>
      <c r="B518" s="3">
        <f>IF('ORDENES'!$A496="","",IF('ORDENES'!$R496="","-",'ORDENES'!$R496))</f>
        <v/>
      </c>
      <c r="C518" s="3">
        <f>IF('ORDENES'!$A496="","",IF('ORDENES'!$AF496="","-",'ORDENES'!$AF496))</f>
        <v/>
      </c>
      <c r="D518" s="3">
        <f>IF('ORDENES'!$A496="","",IF('ORDENES'!$X496="","-",'ORDENES'!$X496))</f>
        <v/>
      </c>
      <c r="E518" s="3">
        <f>IF('ORDENES'!$A496="","",IF('ORDENES'!$V496="","-",'ORDENES'!$V496))</f>
        <v/>
      </c>
      <c r="F518" s="3">
        <f>IF('ORDENES'!$A496="","",IF('ORDENES'!$Y496="","-",'ORDENES'!$Y496))</f>
        <v/>
      </c>
      <c r="G518" s="3">
        <f>IF('ORDENES'!$A496="","",IF('ORDENES'!$W496="","-",'ORDENES'!$W496))</f>
        <v/>
      </c>
      <c r="H518" s="3">
        <f>IF('ORDENES'!$A496="","",IF('ORDENES'!$AE496="","-",'ORDENES'!$AE496))</f>
        <v/>
      </c>
      <c r="I518" s="3">
        <f>IF('ORDENES'!$A496="","",IF('ORDENES'!$AQ496="","-",'ORDENES'!$AQ496))</f>
        <v/>
      </c>
      <c r="J518" s="3">
        <f>IF('ORDENES'!$A496="","",IF('ORDENES'!$D496="","-",'ORDENES'!$D496))</f>
        <v/>
      </c>
      <c r="K518" s="3">
        <f>IF('ORDENES'!$A496="","",IF('ORDENES'!$E496="","-",'ORDENES'!$E496))</f>
        <v/>
      </c>
      <c r="L518" s="13">
        <f>IF('ORDENES'!$A496="","",IF('ORDENES'!$M496="",0,'ORDENES'!$M496))</f>
        <v/>
      </c>
      <c r="M518" s="3">
        <f>IF('ORDENES'!$A496="","",IF('ORDENES'!$N496="","-",'ORDENES'!$N496))</f>
        <v/>
      </c>
      <c r="N518" s="3">
        <f>IF('ORDENES'!$A496="","",'ORDENES'!$AD496)</f>
        <v/>
      </c>
    </row>
    <row r="519">
      <c r="A519" s="3">
        <f>IF('ORDENES'!$A497="","",IF('ORDENES'!$O497="","-",'ORDENES'!$O497))</f>
        <v/>
      </c>
      <c r="B519" s="3">
        <f>IF('ORDENES'!$A497="","",IF('ORDENES'!$R497="","-",'ORDENES'!$R497))</f>
        <v/>
      </c>
      <c r="C519" s="3">
        <f>IF('ORDENES'!$A497="","",IF('ORDENES'!$AF497="","-",'ORDENES'!$AF497))</f>
        <v/>
      </c>
      <c r="D519" s="3">
        <f>IF('ORDENES'!$A497="","",IF('ORDENES'!$X497="","-",'ORDENES'!$X497))</f>
        <v/>
      </c>
      <c r="E519" s="3">
        <f>IF('ORDENES'!$A497="","",IF('ORDENES'!$V497="","-",'ORDENES'!$V497))</f>
        <v/>
      </c>
      <c r="F519" s="3">
        <f>IF('ORDENES'!$A497="","",IF('ORDENES'!$Y497="","-",'ORDENES'!$Y497))</f>
        <v/>
      </c>
      <c r="G519" s="3">
        <f>IF('ORDENES'!$A497="","",IF('ORDENES'!$W497="","-",'ORDENES'!$W497))</f>
        <v/>
      </c>
      <c r="H519" s="3">
        <f>IF('ORDENES'!$A497="","",IF('ORDENES'!$AE497="","-",'ORDENES'!$AE497))</f>
        <v/>
      </c>
      <c r="I519" s="3">
        <f>IF('ORDENES'!$A497="","",IF('ORDENES'!$AQ497="","-",'ORDENES'!$AQ497))</f>
        <v/>
      </c>
      <c r="J519" s="3">
        <f>IF('ORDENES'!$A497="","",IF('ORDENES'!$D497="","-",'ORDENES'!$D497))</f>
        <v/>
      </c>
      <c r="K519" s="3">
        <f>IF('ORDENES'!$A497="","",IF('ORDENES'!$E497="","-",'ORDENES'!$E497))</f>
        <v/>
      </c>
      <c r="L519" s="13">
        <f>IF('ORDENES'!$A497="","",IF('ORDENES'!$M497="",0,'ORDENES'!$M497))</f>
        <v/>
      </c>
      <c r="M519" s="3">
        <f>IF('ORDENES'!$A497="","",IF('ORDENES'!$N497="","-",'ORDENES'!$N497))</f>
        <v/>
      </c>
      <c r="N519" s="3">
        <f>IF('ORDENES'!$A497="","",'ORDENES'!$AD497)</f>
        <v/>
      </c>
    </row>
    <row r="520">
      <c r="A520" s="3">
        <f>IF('ORDENES'!$A498="","",IF('ORDENES'!$O498="","-",'ORDENES'!$O498))</f>
        <v/>
      </c>
      <c r="B520" s="3">
        <f>IF('ORDENES'!$A498="","",IF('ORDENES'!$R498="","-",'ORDENES'!$R498))</f>
        <v/>
      </c>
      <c r="C520" s="3">
        <f>IF('ORDENES'!$A498="","",IF('ORDENES'!$AF498="","-",'ORDENES'!$AF498))</f>
        <v/>
      </c>
      <c r="D520" s="3">
        <f>IF('ORDENES'!$A498="","",IF('ORDENES'!$X498="","-",'ORDENES'!$X498))</f>
        <v/>
      </c>
      <c r="E520" s="3">
        <f>IF('ORDENES'!$A498="","",IF('ORDENES'!$V498="","-",'ORDENES'!$V498))</f>
        <v/>
      </c>
      <c r="F520" s="3">
        <f>IF('ORDENES'!$A498="","",IF('ORDENES'!$Y498="","-",'ORDENES'!$Y498))</f>
        <v/>
      </c>
      <c r="G520" s="3">
        <f>IF('ORDENES'!$A498="","",IF('ORDENES'!$W498="","-",'ORDENES'!$W498))</f>
        <v/>
      </c>
      <c r="H520" s="3">
        <f>IF('ORDENES'!$A498="","",IF('ORDENES'!$AE498="","-",'ORDENES'!$AE498))</f>
        <v/>
      </c>
      <c r="I520" s="3">
        <f>IF('ORDENES'!$A498="","",IF('ORDENES'!$AQ498="","-",'ORDENES'!$AQ498))</f>
        <v/>
      </c>
      <c r="J520" s="3">
        <f>IF('ORDENES'!$A498="","",IF('ORDENES'!$D498="","-",'ORDENES'!$D498))</f>
        <v/>
      </c>
      <c r="K520" s="3">
        <f>IF('ORDENES'!$A498="","",IF('ORDENES'!$E498="","-",'ORDENES'!$E498))</f>
        <v/>
      </c>
      <c r="L520" s="13">
        <f>IF('ORDENES'!$A498="","",IF('ORDENES'!$M498="",0,'ORDENES'!$M498))</f>
        <v/>
      </c>
      <c r="M520" s="3">
        <f>IF('ORDENES'!$A498="","",IF('ORDENES'!$N498="","-",'ORDENES'!$N498))</f>
        <v/>
      </c>
      <c r="N520" s="3">
        <f>IF('ORDENES'!$A498="","",'ORDENES'!$AD498)</f>
        <v/>
      </c>
    </row>
    <row r="521">
      <c r="A521" s="3">
        <f>IF('ORDENES'!$A499="","",IF('ORDENES'!$O499="","-",'ORDENES'!$O499))</f>
        <v/>
      </c>
      <c r="B521" s="3">
        <f>IF('ORDENES'!$A499="","",IF('ORDENES'!$R499="","-",'ORDENES'!$R499))</f>
        <v/>
      </c>
      <c r="C521" s="3">
        <f>IF('ORDENES'!$A499="","",IF('ORDENES'!$AF499="","-",'ORDENES'!$AF499))</f>
        <v/>
      </c>
      <c r="D521" s="3">
        <f>IF('ORDENES'!$A499="","",IF('ORDENES'!$X499="","-",'ORDENES'!$X499))</f>
        <v/>
      </c>
      <c r="E521" s="3">
        <f>IF('ORDENES'!$A499="","",IF('ORDENES'!$V499="","-",'ORDENES'!$V499))</f>
        <v/>
      </c>
      <c r="F521" s="3">
        <f>IF('ORDENES'!$A499="","",IF('ORDENES'!$Y499="","-",'ORDENES'!$Y499))</f>
        <v/>
      </c>
      <c r="G521" s="3">
        <f>IF('ORDENES'!$A499="","",IF('ORDENES'!$W499="","-",'ORDENES'!$W499))</f>
        <v/>
      </c>
      <c r="H521" s="3">
        <f>IF('ORDENES'!$A499="","",IF('ORDENES'!$AE499="","-",'ORDENES'!$AE499))</f>
        <v/>
      </c>
      <c r="I521" s="3">
        <f>IF('ORDENES'!$A499="","",IF('ORDENES'!$AQ499="","-",'ORDENES'!$AQ499))</f>
        <v/>
      </c>
      <c r="J521" s="3">
        <f>IF('ORDENES'!$A499="","",IF('ORDENES'!$D499="","-",'ORDENES'!$D499))</f>
        <v/>
      </c>
      <c r="K521" s="3">
        <f>IF('ORDENES'!$A499="","",IF('ORDENES'!$E499="","-",'ORDENES'!$E499))</f>
        <v/>
      </c>
      <c r="L521" s="13">
        <f>IF('ORDENES'!$A499="","",IF('ORDENES'!$M499="",0,'ORDENES'!$M499))</f>
        <v/>
      </c>
      <c r="M521" s="3">
        <f>IF('ORDENES'!$A499="","",IF('ORDENES'!$N499="","-",'ORDENES'!$N499))</f>
        <v/>
      </c>
      <c r="N521" s="3">
        <f>IF('ORDENES'!$A499="","",'ORDENES'!$AD499)</f>
        <v/>
      </c>
    </row>
    <row r="522">
      <c r="A522" s="3">
        <f>IF('ORDENES'!$A500="","",IF('ORDENES'!$O500="","-",'ORDENES'!$O500))</f>
        <v/>
      </c>
      <c r="B522" s="3">
        <f>IF('ORDENES'!$A500="","",IF('ORDENES'!$R500="","-",'ORDENES'!$R500))</f>
        <v/>
      </c>
      <c r="C522" s="3">
        <f>IF('ORDENES'!$A500="","",IF('ORDENES'!$AF500="","-",'ORDENES'!$AF500))</f>
        <v/>
      </c>
      <c r="D522" s="3">
        <f>IF('ORDENES'!$A500="","",IF('ORDENES'!$X500="","-",'ORDENES'!$X500))</f>
        <v/>
      </c>
      <c r="E522" s="3">
        <f>IF('ORDENES'!$A500="","",IF('ORDENES'!$V500="","-",'ORDENES'!$V500))</f>
        <v/>
      </c>
      <c r="F522" s="3">
        <f>IF('ORDENES'!$A500="","",IF('ORDENES'!$Y500="","-",'ORDENES'!$Y500))</f>
        <v/>
      </c>
      <c r="G522" s="3">
        <f>IF('ORDENES'!$A500="","",IF('ORDENES'!$W500="","-",'ORDENES'!$W500))</f>
        <v/>
      </c>
      <c r="H522" s="3">
        <f>IF('ORDENES'!$A500="","",IF('ORDENES'!$AE500="","-",'ORDENES'!$AE500))</f>
        <v/>
      </c>
      <c r="I522" s="3">
        <f>IF('ORDENES'!$A500="","",IF('ORDENES'!$AQ500="","-",'ORDENES'!$AQ500))</f>
        <v/>
      </c>
      <c r="J522" s="3">
        <f>IF('ORDENES'!$A500="","",IF('ORDENES'!$D500="","-",'ORDENES'!$D500))</f>
        <v/>
      </c>
      <c r="K522" s="3">
        <f>IF('ORDENES'!$A500="","",IF('ORDENES'!$E500="","-",'ORDENES'!$E500))</f>
        <v/>
      </c>
      <c r="L522" s="13">
        <f>IF('ORDENES'!$A500="","",IF('ORDENES'!$M500="",0,'ORDENES'!$M500))</f>
        <v/>
      </c>
      <c r="M522" s="3">
        <f>IF('ORDENES'!$A500="","",IF('ORDENES'!$N500="","-",'ORDENES'!$N500))</f>
        <v/>
      </c>
      <c r="N522" s="3">
        <f>IF('ORDENES'!$A500="","",'ORDENES'!$AD500)</f>
        <v/>
      </c>
    </row>
    <row r="523">
      <c r="A523" s="3">
        <f>IF('ORDENES'!$A501="","",IF('ORDENES'!$O501="","-",'ORDENES'!$O501))</f>
        <v/>
      </c>
      <c r="B523" s="3">
        <f>IF('ORDENES'!$A501="","",IF('ORDENES'!$R501="","-",'ORDENES'!$R501))</f>
        <v/>
      </c>
      <c r="C523" s="3">
        <f>IF('ORDENES'!$A501="","",IF('ORDENES'!$AF501="","-",'ORDENES'!$AF501))</f>
        <v/>
      </c>
      <c r="D523" s="3">
        <f>IF('ORDENES'!$A501="","",IF('ORDENES'!$X501="","-",'ORDENES'!$X501))</f>
        <v/>
      </c>
      <c r="E523" s="3">
        <f>IF('ORDENES'!$A501="","",IF('ORDENES'!$V501="","-",'ORDENES'!$V501))</f>
        <v/>
      </c>
      <c r="F523" s="3">
        <f>IF('ORDENES'!$A501="","",IF('ORDENES'!$Y501="","-",'ORDENES'!$Y501))</f>
        <v/>
      </c>
      <c r="G523" s="3">
        <f>IF('ORDENES'!$A501="","",IF('ORDENES'!$W501="","-",'ORDENES'!$W501))</f>
        <v/>
      </c>
      <c r="H523" s="3">
        <f>IF('ORDENES'!$A501="","",IF('ORDENES'!$AE501="","-",'ORDENES'!$AE501))</f>
        <v/>
      </c>
      <c r="I523" s="3">
        <f>IF('ORDENES'!$A501="","",IF('ORDENES'!$AQ501="","-",'ORDENES'!$AQ501))</f>
        <v/>
      </c>
      <c r="J523" s="3">
        <f>IF('ORDENES'!$A501="","",IF('ORDENES'!$D501="","-",'ORDENES'!$D501))</f>
        <v/>
      </c>
      <c r="K523" s="3">
        <f>IF('ORDENES'!$A501="","",IF('ORDENES'!$E501="","-",'ORDENES'!$E501))</f>
        <v/>
      </c>
      <c r="L523" s="13">
        <f>IF('ORDENES'!$A501="","",IF('ORDENES'!$M501="",0,'ORDENES'!$M501))</f>
        <v/>
      </c>
      <c r="M523" s="3">
        <f>IF('ORDENES'!$A501="","",IF('ORDENES'!$N501="","-",'ORDENES'!$N501))</f>
        <v/>
      </c>
      <c r="N523" s="3">
        <f>IF('ORDENES'!$A501="","",'ORDENES'!$AD501)</f>
        <v/>
      </c>
    </row>
    <row r="524">
      <c r="A524" s="3">
        <f>IF('ORDENES'!$A502="","",IF('ORDENES'!$O502="","-",'ORDENES'!$O502))</f>
        <v/>
      </c>
      <c r="B524" s="3">
        <f>IF('ORDENES'!$A502="","",IF('ORDENES'!$R502="","-",'ORDENES'!$R502))</f>
        <v/>
      </c>
      <c r="C524" s="3">
        <f>IF('ORDENES'!$A502="","",IF('ORDENES'!$AF502="","-",'ORDENES'!$AF502))</f>
        <v/>
      </c>
      <c r="D524" s="3">
        <f>IF('ORDENES'!$A502="","",IF('ORDENES'!$X502="","-",'ORDENES'!$X502))</f>
        <v/>
      </c>
      <c r="E524" s="3">
        <f>IF('ORDENES'!$A502="","",IF('ORDENES'!$V502="","-",'ORDENES'!$V502))</f>
        <v/>
      </c>
      <c r="F524" s="3">
        <f>IF('ORDENES'!$A502="","",IF('ORDENES'!$Y502="","-",'ORDENES'!$Y502))</f>
        <v/>
      </c>
      <c r="G524" s="3">
        <f>IF('ORDENES'!$A502="","",IF('ORDENES'!$W502="","-",'ORDENES'!$W502))</f>
        <v/>
      </c>
      <c r="H524" s="3">
        <f>IF('ORDENES'!$A502="","",IF('ORDENES'!$AE502="","-",'ORDENES'!$AE502))</f>
        <v/>
      </c>
      <c r="I524" s="3">
        <f>IF('ORDENES'!$A502="","",IF('ORDENES'!$AQ502="","-",'ORDENES'!$AQ502))</f>
        <v/>
      </c>
      <c r="J524" s="3">
        <f>IF('ORDENES'!$A502="","",IF('ORDENES'!$D502="","-",'ORDENES'!$D502))</f>
        <v/>
      </c>
      <c r="K524" s="3">
        <f>IF('ORDENES'!$A502="","",IF('ORDENES'!$E502="","-",'ORDENES'!$E502))</f>
        <v/>
      </c>
      <c r="L524" s="13">
        <f>IF('ORDENES'!$A502="","",IF('ORDENES'!$M502="",0,'ORDENES'!$M502))</f>
        <v/>
      </c>
      <c r="M524" s="3">
        <f>IF('ORDENES'!$A502="","",IF('ORDENES'!$N502="","-",'ORDENES'!$N502))</f>
        <v/>
      </c>
      <c r="N524" s="3">
        <f>IF('ORDENES'!$A502="","",'ORDENES'!$AD502)</f>
        <v/>
      </c>
    </row>
    <row r="525">
      <c r="A525" s="3">
        <f>IF('ORDENES'!$A503="","",IF('ORDENES'!$O503="","-",'ORDENES'!$O503))</f>
        <v/>
      </c>
      <c r="B525" s="3">
        <f>IF('ORDENES'!$A503="","",IF('ORDENES'!$R503="","-",'ORDENES'!$R503))</f>
        <v/>
      </c>
      <c r="C525" s="3">
        <f>IF('ORDENES'!$A503="","",IF('ORDENES'!$AF503="","-",'ORDENES'!$AF503))</f>
        <v/>
      </c>
      <c r="D525" s="3">
        <f>IF('ORDENES'!$A503="","",IF('ORDENES'!$X503="","-",'ORDENES'!$X503))</f>
        <v/>
      </c>
      <c r="E525" s="3">
        <f>IF('ORDENES'!$A503="","",IF('ORDENES'!$V503="","-",'ORDENES'!$V503))</f>
        <v/>
      </c>
      <c r="F525" s="3">
        <f>IF('ORDENES'!$A503="","",IF('ORDENES'!$Y503="","-",'ORDENES'!$Y503))</f>
        <v/>
      </c>
      <c r="G525" s="3">
        <f>IF('ORDENES'!$A503="","",IF('ORDENES'!$W503="","-",'ORDENES'!$W503))</f>
        <v/>
      </c>
      <c r="H525" s="3">
        <f>IF('ORDENES'!$A503="","",IF('ORDENES'!$AE503="","-",'ORDENES'!$AE503))</f>
        <v/>
      </c>
      <c r="I525" s="3">
        <f>IF('ORDENES'!$A503="","",IF('ORDENES'!$AQ503="","-",'ORDENES'!$AQ503))</f>
        <v/>
      </c>
      <c r="J525" s="3">
        <f>IF('ORDENES'!$A503="","",IF('ORDENES'!$D503="","-",'ORDENES'!$D503))</f>
        <v/>
      </c>
      <c r="K525" s="3">
        <f>IF('ORDENES'!$A503="","",IF('ORDENES'!$E503="","-",'ORDENES'!$E503))</f>
        <v/>
      </c>
      <c r="L525" s="13">
        <f>IF('ORDENES'!$A503="","",IF('ORDENES'!$M503="",0,'ORDENES'!$M503))</f>
        <v/>
      </c>
      <c r="M525" s="3">
        <f>IF('ORDENES'!$A503="","",IF('ORDENES'!$N503="","-",'ORDENES'!$N503))</f>
        <v/>
      </c>
      <c r="N525" s="3">
        <f>IF('ORDENES'!$A503="","",'ORDENES'!$AD503)</f>
        <v/>
      </c>
    </row>
    <row r="526">
      <c r="A526" s="3">
        <f>IF('ORDENES'!$A504="","",IF('ORDENES'!$O504="","-",'ORDENES'!$O504))</f>
        <v/>
      </c>
      <c r="B526" s="3">
        <f>IF('ORDENES'!$A504="","",IF('ORDENES'!$R504="","-",'ORDENES'!$R504))</f>
        <v/>
      </c>
      <c r="C526" s="3">
        <f>IF('ORDENES'!$A504="","",IF('ORDENES'!$AF504="","-",'ORDENES'!$AF504))</f>
        <v/>
      </c>
      <c r="D526" s="3">
        <f>IF('ORDENES'!$A504="","",IF('ORDENES'!$X504="","-",'ORDENES'!$X504))</f>
        <v/>
      </c>
      <c r="E526" s="3">
        <f>IF('ORDENES'!$A504="","",IF('ORDENES'!$V504="","-",'ORDENES'!$V504))</f>
        <v/>
      </c>
      <c r="F526" s="3">
        <f>IF('ORDENES'!$A504="","",IF('ORDENES'!$Y504="","-",'ORDENES'!$Y504))</f>
        <v/>
      </c>
      <c r="G526" s="3">
        <f>IF('ORDENES'!$A504="","",IF('ORDENES'!$W504="","-",'ORDENES'!$W504))</f>
        <v/>
      </c>
      <c r="H526" s="3">
        <f>IF('ORDENES'!$A504="","",IF('ORDENES'!$AE504="","-",'ORDENES'!$AE504))</f>
        <v/>
      </c>
      <c r="I526" s="3">
        <f>IF('ORDENES'!$A504="","",IF('ORDENES'!$AQ504="","-",'ORDENES'!$AQ504))</f>
        <v/>
      </c>
      <c r="J526" s="3">
        <f>IF('ORDENES'!$A504="","",IF('ORDENES'!$D504="","-",'ORDENES'!$D504))</f>
        <v/>
      </c>
      <c r="K526" s="3">
        <f>IF('ORDENES'!$A504="","",IF('ORDENES'!$E504="","-",'ORDENES'!$E504))</f>
        <v/>
      </c>
      <c r="L526" s="13">
        <f>IF('ORDENES'!$A504="","",IF('ORDENES'!$M504="",0,'ORDENES'!$M504))</f>
        <v/>
      </c>
      <c r="M526" s="3">
        <f>IF('ORDENES'!$A504="","",IF('ORDENES'!$N504="","-",'ORDENES'!$N504))</f>
        <v/>
      </c>
      <c r="N526" s="3">
        <f>IF('ORDENES'!$A504="","",'ORDENES'!$AD504)</f>
        <v/>
      </c>
    </row>
    <row r="527">
      <c r="A527" s="3">
        <f>IF('ORDENES'!$A505="","",IF('ORDENES'!$O505="","-",'ORDENES'!$O505))</f>
        <v/>
      </c>
      <c r="B527" s="3">
        <f>IF('ORDENES'!$A505="","",IF('ORDENES'!$R505="","-",'ORDENES'!$R505))</f>
        <v/>
      </c>
      <c r="C527" s="3">
        <f>IF('ORDENES'!$A505="","",IF('ORDENES'!$AF505="","-",'ORDENES'!$AF505))</f>
        <v/>
      </c>
      <c r="D527" s="3">
        <f>IF('ORDENES'!$A505="","",IF('ORDENES'!$X505="","-",'ORDENES'!$X505))</f>
        <v/>
      </c>
      <c r="E527" s="3">
        <f>IF('ORDENES'!$A505="","",IF('ORDENES'!$V505="","-",'ORDENES'!$V505))</f>
        <v/>
      </c>
      <c r="F527" s="3">
        <f>IF('ORDENES'!$A505="","",IF('ORDENES'!$Y505="","-",'ORDENES'!$Y505))</f>
        <v/>
      </c>
      <c r="G527" s="3">
        <f>IF('ORDENES'!$A505="","",IF('ORDENES'!$W505="","-",'ORDENES'!$W505))</f>
        <v/>
      </c>
      <c r="H527" s="3">
        <f>IF('ORDENES'!$A505="","",IF('ORDENES'!$AE505="","-",'ORDENES'!$AE505))</f>
        <v/>
      </c>
      <c r="I527" s="3">
        <f>IF('ORDENES'!$A505="","",IF('ORDENES'!$AQ505="","-",'ORDENES'!$AQ505))</f>
        <v/>
      </c>
      <c r="J527" s="3">
        <f>IF('ORDENES'!$A505="","",IF('ORDENES'!$D505="","-",'ORDENES'!$D505))</f>
        <v/>
      </c>
      <c r="K527" s="3">
        <f>IF('ORDENES'!$A505="","",IF('ORDENES'!$E505="","-",'ORDENES'!$E505))</f>
        <v/>
      </c>
      <c r="L527" s="13">
        <f>IF('ORDENES'!$A505="","",IF('ORDENES'!$M505="",0,'ORDENES'!$M505))</f>
        <v/>
      </c>
      <c r="M527" s="3">
        <f>IF('ORDENES'!$A505="","",IF('ORDENES'!$N505="","-",'ORDENES'!$N505))</f>
        <v/>
      </c>
      <c r="N527" s="3">
        <f>IF('ORDENES'!$A505="","",'ORDENES'!$AD505)</f>
        <v/>
      </c>
    </row>
    <row r="528">
      <c r="A528" s="3">
        <f>IF('ORDENES'!$A506="","",IF('ORDENES'!$O506="","-",'ORDENES'!$O506))</f>
        <v/>
      </c>
      <c r="B528" s="3">
        <f>IF('ORDENES'!$A506="","",IF('ORDENES'!$R506="","-",'ORDENES'!$R506))</f>
        <v/>
      </c>
      <c r="C528" s="3">
        <f>IF('ORDENES'!$A506="","",IF('ORDENES'!$AF506="","-",'ORDENES'!$AF506))</f>
        <v/>
      </c>
      <c r="D528" s="3">
        <f>IF('ORDENES'!$A506="","",IF('ORDENES'!$X506="","-",'ORDENES'!$X506))</f>
        <v/>
      </c>
      <c r="E528" s="3">
        <f>IF('ORDENES'!$A506="","",IF('ORDENES'!$V506="","-",'ORDENES'!$V506))</f>
        <v/>
      </c>
      <c r="F528" s="3">
        <f>IF('ORDENES'!$A506="","",IF('ORDENES'!$Y506="","-",'ORDENES'!$Y506))</f>
        <v/>
      </c>
      <c r="G528" s="3">
        <f>IF('ORDENES'!$A506="","",IF('ORDENES'!$W506="","-",'ORDENES'!$W506))</f>
        <v/>
      </c>
      <c r="H528" s="3">
        <f>IF('ORDENES'!$A506="","",IF('ORDENES'!$AE506="","-",'ORDENES'!$AE506))</f>
        <v/>
      </c>
      <c r="I528" s="3">
        <f>IF('ORDENES'!$A506="","",IF('ORDENES'!$AQ506="","-",'ORDENES'!$AQ506))</f>
        <v/>
      </c>
      <c r="J528" s="3">
        <f>IF('ORDENES'!$A506="","",IF('ORDENES'!$D506="","-",'ORDENES'!$D506))</f>
        <v/>
      </c>
      <c r="K528" s="3">
        <f>IF('ORDENES'!$A506="","",IF('ORDENES'!$E506="","-",'ORDENES'!$E506))</f>
        <v/>
      </c>
      <c r="L528" s="13">
        <f>IF('ORDENES'!$A506="","",IF('ORDENES'!$M506="",0,'ORDENES'!$M506))</f>
        <v/>
      </c>
      <c r="M528" s="3">
        <f>IF('ORDENES'!$A506="","",IF('ORDENES'!$N506="","-",'ORDENES'!$N506))</f>
        <v/>
      </c>
      <c r="N528" s="3">
        <f>IF('ORDENES'!$A506="","",'ORDENES'!$AD506)</f>
        <v/>
      </c>
    </row>
    <row r="529">
      <c r="A529" s="3">
        <f>IF('ORDENES'!$A507="","",IF('ORDENES'!$O507="","-",'ORDENES'!$O507))</f>
        <v/>
      </c>
      <c r="B529" s="3">
        <f>IF('ORDENES'!$A507="","",IF('ORDENES'!$R507="","-",'ORDENES'!$R507))</f>
        <v/>
      </c>
      <c r="C529" s="3">
        <f>IF('ORDENES'!$A507="","",IF('ORDENES'!$AF507="","-",'ORDENES'!$AF507))</f>
        <v/>
      </c>
      <c r="D529" s="3">
        <f>IF('ORDENES'!$A507="","",IF('ORDENES'!$X507="","-",'ORDENES'!$X507))</f>
        <v/>
      </c>
      <c r="E529" s="3">
        <f>IF('ORDENES'!$A507="","",IF('ORDENES'!$V507="","-",'ORDENES'!$V507))</f>
        <v/>
      </c>
      <c r="F529" s="3">
        <f>IF('ORDENES'!$A507="","",IF('ORDENES'!$Y507="","-",'ORDENES'!$Y507))</f>
        <v/>
      </c>
      <c r="G529" s="3">
        <f>IF('ORDENES'!$A507="","",IF('ORDENES'!$W507="","-",'ORDENES'!$W507))</f>
        <v/>
      </c>
      <c r="H529" s="3">
        <f>IF('ORDENES'!$A507="","",IF('ORDENES'!$AE507="","-",'ORDENES'!$AE507))</f>
        <v/>
      </c>
      <c r="I529" s="3">
        <f>IF('ORDENES'!$A507="","",IF('ORDENES'!$AQ507="","-",'ORDENES'!$AQ507))</f>
        <v/>
      </c>
      <c r="J529" s="3">
        <f>IF('ORDENES'!$A507="","",IF('ORDENES'!$D507="","-",'ORDENES'!$D507))</f>
        <v/>
      </c>
      <c r="K529" s="3">
        <f>IF('ORDENES'!$A507="","",IF('ORDENES'!$E507="","-",'ORDENES'!$E507))</f>
        <v/>
      </c>
      <c r="L529" s="13">
        <f>IF('ORDENES'!$A507="","",IF('ORDENES'!$M507="",0,'ORDENES'!$M507))</f>
        <v/>
      </c>
      <c r="M529" s="3">
        <f>IF('ORDENES'!$A507="","",IF('ORDENES'!$N507="","-",'ORDENES'!$N507))</f>
        <v/>
      </c>
      <c r="N529" s="3">
        <f>IF('ORDENES'!$A507="","",'ORDENES'!$AD507)</f>
        <v/>
      </c>
    </row>
    <row r="530">
      <c r="A530" s="3">
        <f>IF('ORDENES'!$A508="","",IF('ORDENES'!$O508="","-",'ORDENES'!$O508))</f>
        <v/>
      </c>
      <c r="B530" s="3">
        <f>IF('ORDENES'!$A508="","",IF('ORDENES'!$R508="","-",'ORDENES'!$R508))</f>
        <v/>
      </c>
      <c r="C530" s="3">
        <f>IF('ORDENES'!$A508="","",IF('ORDENES'!$AF508="","-",'ORDENES'!$AF508))</f>
        <v/>
      </c>
      <c r="D530" s="3">
        <f>IF('ORDENES'!$A508="","",IF('ORDENES'!$X508="","-",'ORDENES'!$X508))</f>
        <v/>
      </c>
      <c r="E530" s="3">
        <f>IF('ORDENES'!$A508="","",IF('ORDENES'!$V508="","-",'ORDENES'!$V508))</f>
        <v/>
      </c>
      <c r="F530" s="3">
        <f>IF('ORDENES'!$A508="","",IF('ORDENES'!$Y508="","-",'ORDENES'!$Y508))</f>
        <v/>
      </c>
      <c r="G530" s="3">
        <f>IF('ORDENES'!$A508="","",IF('ORDENES'!$W508="","-",'ORDENES'!$W508))</f>
        <v/>
      </c>
      <c r="H530" s="3">
        <f>IF('ORDENES'!$A508="","",IF('ORDENES'!$AE508="","-",'ORDENES'!$AE508))</f>
        <v/>
      </c>
      <c r="I530" s="3">
        <f>IF('ORDENES'!$A508="","",IF('ORDENES'!$AQ508="","-",'ORDENES'!$AQ508))</f>
        <v/>
      </c>
      <c r="J530" s="3">
        <f>IF('ORDENES'!$A508="","",IF('ORDENES'!$D508="","-",'ORDENES'!$D508))</f>
        <v/>
      </c>
      <c r="K530" s="3">
        <f>IF('ORDENES'!$A508="","",IF('ORDENES'!$E508="","-",'ORDENES'!$E508))</f>
        <v/>
      </c>
      <c r="L530" s="13">
        <f>IF('ORDENES'!$A508="","",IF('ORDENES'!$M508="",0,'ORDENES'!$M508))</f>
        <v/>
      </c>
      <c r="M530" s="3">
        <f>IF('ORDENES'!$A508="","",IF('ORDENES'!$N508="","-",'ORDENES'!$N508))</f>
        <v/>
      </c>
      <c r="N530" s="3">
        <f>IF('ORDENES'!$A508="","",'ORDENES'!$AD508)</f>
        <v/>
      </c>
    </row>
    <row r="531">
      <c r="A531" s="3">
        <f>IF('ORDENES'!$A509="","",IF('ORDENES'!$O509="","-",'ORDENES'!$O509))</f>
        <v/>
      </c>
      <c r="B531" s="3">
        <f>IF('ORDENES'!$A509="","",IF('ORDENES'!$R509="","-",'ORDENES'!$R509))</f>
        <v/>
      </c>
      <c r="C531" s="3">
        <f>IF('ORDENES'!$A509="","",IF('ORDENES'!$AF509="","-",'ORDENES'!$AF509))</f>
        <v/>
      </c>
      <c r="D531" s="3">
        <f>IF('ORDENES'!$A509="","",IF('ORDENES'!$X509="","-",'ORDENES'!$X509))</f>
        <v/>
      </c>
      <c r="E531" s="3">
        <f>IF('ORDENES'!$A509="","",IF('ORDENES'!$V509="","-",'ORDENES'!$V509))</f>
        <v/>
      </c>
      <c r="F531" s="3">
        <f>IF('ORDENES'!$A509="","",IF('ORDENES'!$Y509="","-",'ORDENES'!$Y509))</f>
        <v/>
      </c>
      <c r="G531" s="3">
        <f>IF('ORDENES'!$A509="","",IF('ORDENES'!$W509="","-",'ORDENES'!$W509))</f>
        <v/>
      </c>
      <c r="H531" s="3">
        <f>IF('ORDENES'!$A509="","",IF('ORDENES'!$AE509="","-",'ORDENES'!$AE509))</f>
        <v/>
      </c>
      <c r="I531" s="3">
        <f>IF('ORDENES'!$A509="","",IF('ORDENES'!$AQ509="","-",'ORDENES'!$AQ509))</f>
        <v/>
      </c>
      <c r="J531" s="3">
        <f>IF('ORDENES'!$A509="","",IF('ORDENES'!$D509="","-",'ORDENES'!$D509))</f>
        <v/>
      </c>
      <c r="K531" s="3">
        <f>IF('ORDENES'!$A509="","",IF('ORDENES'!$E509="","-",'ORDENES'!$E509))</f>
        <v/>
      </c>
      <c r="L531" s="13">
        <f>IF('ORDENES'!$A509="","",IF('ORDENES'!$M509="",0,'ORDENES'!$M509))</f>
        <v/>
      </c>
      <c r="M531" s="3">
        <f>IF('ORDENES'!$A509="","",IF('ORDENES'!$N509="","-",'ORDENES'!$N509))</f>
        <v/>
      </c>
      <c r="N531" s="3">
        <f>IF('ORDENES'!$A509="","",'ORDENES'!$AD509)</f>
        <v/>
      </c>
    </row>
    <row r="532">
      <c r="A532" s="3">
        <f>IF('ORDENES'!$A510="","",IF('ORDENES'!$O510="","-",'ORDENES'!$O510))</f>
        <v/>
      </c>
      <c r="B532" s="3">
        <f>IF('ORDENES'!$A510="","",IF('ORDENES'!$R510="","-",'ORDENES'!$R510))</f>
        <v/>
      </c>
      <c r="C532" s="3">
        <f>IF('ORDENES'!$A510="","",IF('ORDENES'!$AF510="","-",'ORDENES'!$AF510))</f>
        <v/>
      </c>
      <c r="D532" s="3">
        <f>IF('ORDENES'!$A510="","",IF('ORDENES'!$X510="","-",'ORDENES'!$X510))</f>
        <v/>
      </c>
      <c r="E532" s="3">
        <f>IF('ORDENES'!$A510="","",IF('ORDENES'!$V510="","-",'ORDENES'!$V510))</f>
        <v/>
      </c>
      <c r="F532" s="3">
        <f>IF('ORDENES'!$A510="","",IF('ORDENES'!$Y510="","-",'ORDENES'!$Y510))</f>
        <v/>
      </c>
      <c r="G532" s="3">
        <f>IF('ORDENES'!$A510="","",IF('ORDENES'!$W510="","-",'ORDENES'!$W510))</f>
        <v/>
      </c>
      <c r="H532" s="3">
        <f>IF('ORDENES'!$A510="","",IF('ORDENES'!$AE510="","-",'ORDENES'!$AE510))</f>
        <v/>
      </c>
      <c r="I532" s="3">
        <f>IF('ORDENES'!$A510="","",IF('ORDENES'!$AQ510="","-",'ORDENES'!$AQ510))</f>
        <v/>
      </c>
      <c r="J532" s="3">
        <f>IF('ORDENES'!$A510="","",IF('ORDENES'!$D510="","-",'ORDENES'!$D510))</f>
        <v/>
      </c>
      <c r="K532" s="3">
        <f>IF('ORDENES'!$A510="","",IF('ORDENES'!$E510="","-",'ORDENES'!$E510))</f>
        <v/>
      </c>
      <c r="L532" s="13">
        <f>IF('ORDENES'!$A510="","",IF('ORDENES'!$M510="",0,'ORDENES'!$M510))</f>
        <v/>
      </c>
      <c r="M532" s="3">
        <f>IF('ORDENES'!$A510="","",IF('ORDENES'!$N510="","-",'ORDENES'!$N510))</f>
        <v/>
      </c>
      <c r="N532" s="3">
        <f>IF('ORDENES'!$A510="","",'ORDENES'!$AD510)</f>
        <v/>
      </c>
    </row>
    <row r="533">
      <c r="A533" s="3">
        <f>IF('ORDENES'!$A511="","",IF('ORDENES'!$O511="","-",'ORDENES'!$O511))</f>
        <v/>
      </c>
      <c r="B533" s="3">
        <f>IF('ORDENES'!$A511="","",IF('ORDENES'!$R511="","-",'ORDENES'!$R511))</f>
        <v/>
      </c>
      <c r="C533" s="3">
        <f>IF('ORDENES'!$A511="","",IF('ORDENES'!$AF511="","-",'ORDENES'!$AF511))</f>
        <v/>
      </c>
      <c r="D533" s="3">
        <f>IF('ORDENES'!$A511="","",IF('ORDENES'!$X511="","-",'ORDENES'!$X511))</f>
        <v/>
      </c>
      <c r="E533" s="3">
        <f>IF('ORDENES'!$A511="","",IF('ORDENES'!$V511="","-",'ORDENES'!$V511))</f>
        <v/>
      </c>
      <c r="F533" s="3">
        <f>IF('ORDENES'!$A511="","",IF('ORDENES'!$Y511="","-",'ORDENES'!$Y511))</f>
        <v/>
      </c>
      <c r="G533" s="3">
        <f>IF('ORDENES'!$A511="","",IF('ORDENES'!$W511="","-",'ORDENES'!$W511))</f>
        <v/>
      </c>
      <c r="H533" s="3">
        <f>IF('ORDENES'!$A511="","",IF('ORDENES'!$AE511="","-",'ORDENES'!$AE511))</f>
        <v/>
      </c>
      <c r="I533" s="3">
        <f>IF('ORDENES'!$A511="","",IF('ORDENES'!$AQ511="","-",'ORDENES'!$AQ511))</f>
        <v/>
      </c>
      <c r="J533" s="3">
        <f>IF('ORDENES'!$A511="","",IF('ORDENES'!$D511="","-",'ORDENES'!$D511))</f>
        <v/>
      </c>
      <c r="K533" s="3">
        <f>IF('ORDENES'!$A511="","",IF('ORDENES'!$E511="","-",'ORDENES'!$E511))</f>
        <v/>
      </c>
      <c r="L533" s="13">
        <f>IF('ORDENES'!$A511="","",IF('ORDENES'!$M511="",0,'ORDENES'!$M511))</f>
        <v/>
      </c>
      <c r="M533" s="3">
        <f>IF('ORDENES'!$A511="","",IF('ORDENES'!$N511="","-",'ORDENES'!$N511))</f>
        <v/>
      </c>
      <c r="N533" s="3">
        <f>IF('ORDENES'!$A511="","",'ORDENES'!$AD511)</f>
        <v/>
      </c>
    </row>
    <row r="534">
      <c r="A534" s="3">
        <f>IF('ORDENES'!$A512="","",IF('ORDENES'!$O512="","-",'ORDENES'!$O512))</f>
        <v/>
      </c>
      <c r="B534" s="3">
        <f>IF('ORDENES'!$A512="","",IF('ORDENES'!$R512="","-",'ORDENES'!$R512))</f>
        <v/>
      </c>
      <c r="C534" s="3">
        <f>IF('ORDENES'!$A512="","",IF('ORDENES'!$AF512="","-",'ORDENES'!$AF512))</f>
        <v/>
      </c>
      <c r="D534" s="3">
        <f>IF('ORDENES'!$A512="","",IF('ORDENES'!$X512="","-",'ORDENES'!$X512))</f>
        <v/>
      </c>
      <c r="E534" s="3">
        <f>IF('ORDENES'!$A512="","",IF('ORDENES'!$V512="","-",'ORDENES'!$V512))</f>
        <v/>
      </c>
      <c r="F534" s="3">
        <f>IF('ORDENES'!$A512="","",IF('ORDENES'!$Y512="","-",'ORDENES'!$Y512))</f>
        <v/>
      </c>
      <c r="G534" s="3">
        <f>IF('ORDENES'!$A512="","",IF('ORDENES'!$W512="","-",'ORDENES'!$W512))</f>
        <v/>
      </c>
      <c r="H534" s="3">
        <f>IF('ORDENES'!$A512="","",IF('ORDENES'!$AE512="","-",'ORDENES'!$AE512))</f>
        <v/>
      </c>
      <c r="I534" s="3">
        <f>IF('ORDENES'!$A512="","",IF('ORDENES'!$AQ512="","-",'ORDENES'!$AQ512))</f>
        <v/>
      </c>
      <c r="J534" s="3">
        <f>IF('ORDENES'!$A512="","",IF('ORDENES'!$D512="","-",'ORDENES'!$D512))</f>
        <v/>
      </c>
      <c r="K534" s="3">
        <f>IF('ORDENES'!$A512="","",IF('ORDENES'!$E512="","-",'ORDENES'!$E512))</f>
        <v/>
      </c>
      <c r="L534" s="13">
        <f>IF('ORDENES'!$A512="","",IF('ORDENES'!$M512="",0,'ORDENES'!$M512))</f>
        <v/>
      </c>
      <c r="M534" s="3">
        <f>IF('ORDENES'!$A512="","",IF('ORDENES'!$N512="","-",'ORDENES'!$N512))</f>
        <v/>
      </c>
      <c r="N534" s="3">
        <f>IF('ORDENES'!$A512="","",'ORDENES'!$AD512)</f>
        <v/>
      </c>
    </row>
    <row r="535">
      <c r="A535" s="3">
        <f>IF('ORDENES'!$A513="","",IF('ORDENES'!$O513="","-",'ORDENES'!$O513))</f>
        <v/>
      </c>
      <c r="B535" s="3">
        <f>IF('ORDENES'!$A513="","",IF('ORDENES'!$R513="","-",'ORDENES'!$R513))</f>
        <v/>
      </c>
      <c r="C535" s="3">
        <f>IF('ORDENES'!$A513="","",IF('ORDENES'!$AF513="","-",'ORDENES'!$AF513))</f>
        <v/>
      </c>
      <c r="D535" s="3">
        <f>IF('ORDENES'!$A513="","",IF('ORDENES'!$X513="","-",'ORDENES'!$X513))</f>
        <v/>
      </c>
      <c r="E535" s="3">
        <f>IF('ORDENES'!$A513="","",IF('ORDENES'!$V513="","-",'ORDENES'!$V513))</f>
        <v/>
      </c>
      <c r="F535" s="3">
        <f>IF('ORDENES'!$A513="","",IF('ORDENES'!$Y513="","-",'ORDENES'!$Y513))</f>
        <v/>
      </c>
      <c r="G535" s="3">
        <f>IF('ORDENES'!$A513="","",IF('ORDENES'!$W513="","-",'ORDENES'!$W513))</f>
        <v/>
      </c>
      <c r="H535" s="3">
        <f>IF('ORDENES'!$A513="","",IF('ORDENES'!$AE513="","-",'ORDENES'!$AE513))</f>
        <v/>
      </c>
      <c r="I535" s="3">
        <f>IF('ORDENES'!$A513="","",IF('ORDENES'!$AQ513="","-",'ORDENES'!$AQ513))</f>
        <v/>
      </c>
      <c r="J535" s="3">
        <f>IF('ORDENES'!$A513="","",IF('ORDENES'!$D513="","-",'ORDENES'!$D513))</f>
        <v/>
      </c>
      <c r="K535" s="3">
        <f>IF('ORDENES'!$A513="","",IF('ORDENES'!$E513="","-",'ORDENES'!$E513))</f>
        <v/>
      </c>
      <c r="L535" s="13">
        <f>IF('ORDENES'!$A513="","",IF('ORDENES'!$M513="",0,'ORDENES'!$M513))</f>
        <v/>
      </c>
      <c r="M535" s="3">
        <f>IF('ORDENES'!$A513="","",IF('ORDENES'!$N513="","-",'ORDENES'!$N513))</f>
        <v/>
      </c>
      <c r="N535" s="3">
        <f>IF('ORDENES'!$A513="","",'ORDENES'!$AD513)</f>
        <v/>
      </c>
    </row>
    <row r="536">
      <c r="A536" s="3">
        <f>IF('ORDENES'!$A514="","",IF('ORDENES'!$O514="","-",'ORDENES'!$O514))</f>
        <v/>
      </c>
      <c r="B536" s="3">
        <f>IF('ORDENES'!$A514="","",IF('ORDENES'!$R514="","-",'ORDENES'!$R514))</f>
        <v/>
      </c>
      <c r="C536" s="3">
        <f>IF('ORDENES'!$A514="","",IF('ORDENES'!$AF514="","-",'ORDENES'!$AF514))</f>
        <v/>
      </c>
      <c r="D536" s="3">
        <f>IF('ORDENES'!$A514="","",IF('ORDENES'!$X514="","-",'ORDENES'!$X514))</f>
        <v/>
      </c>
      <c r="E536" s="3">
        <f>IF('ORDENES'!$A514="","",IF('ORDENES'!$V514="","-",'ORDENES'!$V514))</f>
        <v/>
      </c>
      <c r="F536" s="3">
        <f>IF('ORDENES'!$A514="","",IF('ORDENES'!$Y514="","-",'ORDENES'!$Y514))</f>
        <v/>
      </c>
      <c r="G536" s="3">
        <f>IF('ORDENES'!$A514="","",IF('ORDENES'!$W514="","-",'ORDENES'!$W514))</f>
        <v/>
      </c>
      <c r="H536" s="3">
        <f>IF('ORDENES'!$A514="","",IF('ORDENES'!$AE514="","-",'ORDENES'!$AE514))</f>
        <v/>
      </c>
      <c r="I536" s="3">
        <f>IF('ORDENES'!$A514="","",IF('ORDENES'!$AQ514="","-",'ORDENES'!$AQ514))</f>
        <v/>
      </c>
      <c r="J536" s="3">
        <f>IF('ORDENES'!$A514="","",IF('ORDENES'!$D514="","-",'ORDENES'!$D514))</f>
        <v/>
      </c>
      <c r="K536" s="3">
        <f>IF('ORDENES'!$A514="","",IF('ORDENES'!$E514="","-",'ORDENES'!$E514))</f>
        <v/>
      </c>
      <c r="L536" s="13">
        <f>IF('ORDENES'!$A514="","",IF('ORDENES'!$M514="",0,'ORDENES'!$M514))</f>
        <v/>
      </c>
      <c r="M536" s="3">
        <f>IF('ORDENES'!$A514="","",IF('ORDENES'!$N514="","-",'ORDENES'!$N514))</f>
        <v/>
      </c>
      <c r="N536" s="3">
        <f>IF('ORDENES'!$A514="","",'ORDENES'!$AD514)</f>
        <v/>
      </c>
    </row>
    <row r="537">
      <c r="A537" s="3">
        <f>IF('ORDENES'!$A515="","",IF('ORDENES'!$O515="","-",'ORDENES'!$O515))</f>
        <v/>
      </c>
      <c r="B537" s="3">
        <f>IF('ORDENES'!$A515="","",IF('ORDENES'!$R515="","-",'ORDENES'!$R515))</f>
        <v/>
      </c>
      <c r="C537" s="3">
        <f>IF('ORDENES'!$A515="","",IF('ORDENES'!$AF515="","-",'ORDENES'!$AF515))</f>
        <v/>
      </c>
      <c r="D537" s="3">
        <f>IF('ORDENES'!$A515="","",IF('ORDENES'!$X515="","-",'ORDENES'!$X515))</f>
        <v/>
      </c>
      <c r="E537" s="3">
        <f>IF('ORDENES'!$A515="","",IF('ORDENES'!$V515="","-",'ORDENES'!$V515))</f>
        <v/>
      </c>
      <c r="F537" s="3">
        <f>IF('ORDENES'!$A515="","",IF('ORDENES'!$Y515="","-",'ORDENES'!$Y515))</f>
        <v/>
      </c>
      <c r="G537" s="3">
        <f>IF('ORDENES'!$A515="","",IF('ORDENES'!$W515="","-",'ORDENES'!$W515))</f>
        <v/>
      </c>
      <c r="H537" s="3">
        <f>IF('ORDENES'!$A515="","",IF('ORDENES'!$AE515="","-",'ORDENES'!$AE515))</f>
        <v/>
      </c>
      <c r="I537" s="3">
        <f>IF('ORDENES'!$A515="","",IF('ORDENES'!$AQ515="","-",'ORDENES'!$AQ515))</f>
        <v/>
      </c>
      <c r="J537" s="3">
        <f>IF('ORDENES'!$A515="","",IF('ORDENES'!$D515="","-",'ORDENES'!$D515))</f>
        <v/>
      </c>
      <c r="K537" s="3">
        <f>IF('ORDENES'!$A515="","",IF('ORDENES'!$E515="","-",'ORDENES'!$E515))</f>
        <v/>
      </c>
      <c r="L537" s="13">
        <f>IF('ORDENES'!$A515="","",IF('ORDENES'!$M515="",0,'ORDENES'!$M515))</f>
        <v/>
      </c>
      <c r="M537" s="3">
        <f>IF('ORDENES'!$A515="","",IF('ORDENES'!$N515="","-",'ORDENES'!$N515))</f>
        <v/>
      </c>
      <c r="N537" s="3">
        <f>IF('ORDENES'!$A515="","",'ORDENES'!$AD515)</f>
        <v/>
      </c>
    </row>
    <row r="538">
      <c r="A538" s="3">
        <f>IF('ORDENES'!$A516="","",IF('ORDENES'!$O516="","-",'ORDENES'!$O516))</f>
        <v/>
      </c>
      <c r="B538" s="3">
        <f>IF('ORDENES'!$A516="","",IF('ORDENES'!$R516="","-",'ORDENES'!$R516))</f>
        <v/>
      </c>
      <c r="C538" s="3">
        <f>IF('ORDENES'!$A516="","",IF('ORDENES'!$AF516="","-",'ORDENES'!$AF516))</f>
        <v/>
      </c>
      <c r="D538" s="3">
        <f>IF('ORDENES'!$A516="","",IF('ORDENES'!$X516="","-",'ORDENES'!$X516))</f>
        <v/>
      </c>
      <c r="E538" s="3">
        <f>IF('ORDENES'!$A516="","",IF('ORDENES'!$V516="","-",'ORDENES'!$V516))</f>
        <v/>
      </c>
      <c r="F538" s="3">
        <f>IF('ORDENES'!$A516="","",IF('ORDENES'!$Y516="","-",'ORDENES'!$Y516))</f>
        <v/>
      </c>
      <c r="G538" s="3">
        <f>IF('ORDENES'!$A516="","",IF('ORDENES'!$W516="","-",'ORDENES'!$W516))</f>
        <v/>
      </c>
      <c r="H538" s="3">
        <f>IF('ORDENES'!$A516="","",IF('ORDENES'!$AE516="","-",'ORDENES'!$AE516))</f>
        <v/>
      </c>
      <c r="I538" s="3">
        <f>IF('ORDENES'!$A516="","",IF('ORDENES'!$AQ516="","-",'ORDENES'!$AQ516))</f>
        <v/>
      </c>
      <c r="J538" s="3">
        <f>IF('ORDENES'!$A516="","",IF('ORDENES'!$D516="","-",'ORDENES'!$D516))</f>
        <v/>
      </c>
      <c r="K538" s="3">
        <f>IF('ORDENES'!$A516="","",IF('ORDENES'!$E516="","-",'ORDENES'!$E516))</f>
        <v/>
      </c>
      <c r="L538" s="13">
        <f>IF('ORDENES'!$A516="","",IF('ORDENES'!$M516="",0,'ORDENES'!$M516))</f>
        <v/>
      </c>
      <c r="M538" s="3">
        <f>IF('ORDENES'!$A516="","",IF('ORDENES'!$N516="","-",'ORDENES'!$N516))</f>
        <v/>
      </c>
      <c r="N538" s="3">
        <f>IF('ORDENES'!$A516="","",'ORDENES'!$AD516)</f>
        <v/>
      </c>
    </row>
    <row r="539">
      <c r="A539" s="3">
        <f>IF('ORDENES'!$A517="","",IF('ORDENES'!$O517="","-",'ORDENES'!$O517))</f>
        <v/>
      </c>
      <c r="B539" s="3">
        <f>IF('ORDENES'!$A517="","",IF('ORDENES'!$R517="","-",'ORDENES'!$R517))</f>
        <v/>
      </c>
      <c r="C539" s="3">
        <f>IF('ORDENES'!$A517="","",IF('ORDENES'!$AF517="","-",'ORDENES'!$AF517))</f>
        <v/>
      </c>
      <c r="D539" s="3">
        <f>IF('ORDENES'!$A517="","",IF('ORDENES'!$X517="","-",'ORDENES'!$X517))</f>
        <v/>
      </c>
      <c r="E539" s="3">
        <f>IF('ORDENES'!$A517="","",IF('ORDENES'!$V517="","-",'ORDENES'!$V517))</f>
        <v/>
      </c>
      <c r="F539" s="3">
        <f>IF('ORDENES'!$A517="","",IF('ORDENES'!$Y517="","-",'ORDENES'!$Y517))</f>
        <v/>
      </c>
      <c r="G539" s="3">
        <f>IF('ORDENES'!$A517="","",IF('ORDENES'!$W517="","-",'ORDENES'!$W517))</f>
        <v/>
      </c>
      <c r="H539" s="3">
        <f>IF('ORDENES'!$A517="","",IF('ORDENES'!$AE517="","-",'ORDENES'!$AE517))</f>
        <v/>
      </c>
      <c r="I539" s="3">
        <f>IF('ORDENES'!$A517="","",IF('ORDENES'!$AQ517="","-",'ORDENES'!$AQ517))</f>
        <v/>
      </c>
      <c r="J539" s="3">
        <f>IF('ORDENES'!$A517="","",IF('ORDENES'!$D517="","-",'ORDENES'!$D517))</f>
        <v/>
      </c>
      <c r="K539" s="3">
        <f>IF('ORDENES'!$A517="","",IF('ORDENES'!$E517="","-",'ORDENES'!$E517))</f>
        <v/>
      </c>
      <c r="L539" s="13">
        <f>IF('ORDENES'!$A517="","",IF('ORDENES'!$M517="",0,'ORDENES'!$M517))</f>
        <v/>
      </c>
      <c r="M539" s="3">
        <f>IF('ORDENES'!$A517="","",IF('ORDENES'!$N517="","-",'ORDENES'!$N517))</f>
        <v/>
      </c>
      <c r="N539" s="3">
        <f>IF('ORDENES'!$A517="","",'ORDENES'!$AD517)</f>
        <v/>
      </c>
    </row>
    <row r="540">
      <c r="A540" s="3">
        <f>IF('ORDENES'!$A518="","",IF('ORDENES'!$O518="","-",'ORDENES'!$O518))</f>
        <v/>
      </c>
      <c r="B540" s="3">
        <f>IF('ORDENES'!$A518="","",IF('ORDENES'!$R518="","-",'ORDENES'!$R518))</f>
        <v/>
      </c>
      <c r="C540" s="3">
        <f>IF('ORDENES'!$A518="","",IF('ORDENES'!$AF518="","-",'ORDENES'!$AF518))</f>
        <v/>
      </c>
      <c r="D540" s="3">
        <f>IF('ORDENES'!$A518="","",IF('ORDENES'!$X518="","-",'ORDENES'!$X518))</f>
        <v/>
      </c>
      <c r="E540" s="3">
        <f>IF('ORDENES'!$A518="","",IF('ORDENES'!$V518="","-",'ORDENES'!$V518))</f>
        <v/>
      </c>
      <c r="F540" s="3">
        <f>IF('ORDENES'!$A518="","",IF('ORDENES'!$Y518="","-",'ORDENES'!$Y518))</f>
        <v/>
      </c>
      <c r="G540" s="3">
        <f>IF('ORDENES'!$A518="","",IF('ORDENES'!$W518="","-",'ORDENES'!$W518))</f>
        <v/>
      </c>
      <c r="H540" s="3">
        <f>IF('ORDENES'!$A518="","",IF('ORDENES'!$AE518="","-",'ORDENES'!$AE518))</f>
        <v/>
      </c>
      <c r="I540" s="3">
        <f>IF('ORDENES'!$A518="","",IF('ORDENES'!$AQ518="","-",'ORDENES'!$AQ518))</f>
        <v/>
      </c>
      <c r="J540" s="3">
        <f>IF('ORDENES'!$A518="","",IF('ORDENES'!$D518="","-",'ORDENES'!$D518))</f>
        <v/>
      </c>
      <c r="K540" s="3">
        <f>IF('ORDENES'!$A518="","",IF('ORDENES'!$E518="","-",'ORDENES'!$E518))</f>
        <v/>
      </c>
      <c r="L540" s="13">
        <f>IF('ORDENES'!$A518="","",IF('ORDENES'!$M518="",0,'ORDENES'!$M518))</f>
        <v/>
      </c>
      <c r="M540" s="3">
        <f>IF('ORDENES'!$A518="","",IF('ORDENES'!$N518="","-",'ORDENES'!$N518))</f>
        <v/>
      </c>
      <c r="N540" s="3">
        <f>IF('ORDENES'!$A518="","",'ORDENES'!$AD518)</f>
        <v/>
      </c>
    </row>
    <row r="541">
      <c r="A541" s="3">
        <f>IF('ORDENES'!$A519="","",IF('ORDENES'!$O519="","-",'ORDENES'!$O519))</f>
        <v/>
      </c>
      <c r="B541" s="3">
        <f>IF('ORDENES'!$A519="","",IF('ORDENES'!$R519="","-",'ORDENES'!$R519))</f>
        <v/>
      </c>
      <c r="C541" s="3">
        <f>IF('ORDENES'!$A519="","",IF('ORDENES'!$AF519="","-",'ORDENES'!$AF519))</f>
        <v/>
      </c>
      <c r="D541" s="3">
        <f>IF('ORDENES'!$A519="","",IF('ORDENES'!$X519="","-",'ORDENES'!$X519))</f>
        <v/>
      </c>
      <c r="E541" s="3">
        <f>IF('ORDENES'!$A519="","",IF('ORDENES'!$V519="","-",'ORDENES'!$V519))</f>
        <v/>
      </c>
      <c r="F541" s="3">
        <f>IF('ORDENES'!$A519="","",IF('ORDENES'!$Y519="","-",'ORDENES'!$Y519))</f>
        <v/>
      </c>
      <c r="G541" s="3">
        <f>IF('ORDENES'!$A519="","",IF('ORDENES'!$W519="","-",'ORDENES'!$W519))</f>
        <v/>
      </c>
      <c r="H541" s="3">
        <f>IF('ORDENES'!$A519="","",IF('ORDENES'!$AE519="","-",'ORDENES'!$AE519))</f>
        <v/>
      </c>
      <c r="I541" s="3">
        <f>IF('ORDENES'!$A519="","",IF('ORDENES'!$AQ519="","-",'ORDENES'!$AQ519))</f>
        <v/>
      </c>
      <c r="J541" s="3">
        <f>IF('ORDENES'!$A519="","",IF('ORDENES'!$D519="","-",'ORDENES'!$D519))</f>
        <v/>
      </c>
      <c r="K541" s="3">
        <f>IF('ORDENES'!$A519="","",IF('ORDENES'!$E519="","-",'ORDENES'!$E519))</f>
        <v/>
      </c>
      <c r="L541" s="13">
        <f>IF('ORDENES'!$A519="","",IF('ORDENES'!$M519="",0,'ORDENES'!$M519))</f>
        <v/>
      </c>
      <c r="M541" s="3">
        <f>IF('ORDENES'!$A519="","",IF('ORDENES'!$N519="","-",'ORDENES'!$N519))</f>
        <v/>
      </c>
      <c r="N541" s="3">
        <f>IF('ORDENES'!$A519="","",'ORDENES'!$AD519)</f>
        <v/>
      </c>
    </row>
    <row r="542">
      <c r="A542" s="3">
        <f>IF('ORDENES'!$A520="","",IF('ORDENES'!$O520="","-",'ORDENES'!$O520))</f>
        <v/>
      </c>
      <c r="B542" s="3">
        <f>IF('ORDENES'!$A520="","",IF('ORDENES'!$R520="","-",'ORDENES'!$R520))</f>
        <v/>
      </c>
      <c r="C542" s="3">
        <f>IF('ORDENES'!$A520="","",IF('ORDENES'!$AF520="","-",'ORDENES'!$AF520))</f>
        <v/>
      </c>
      <c r="D542" s="3">
        <f>IF('ORDENES'!$A520="","",IF('ORDENES'!$X520="","-",'ORDENES'!$X520))</f>
        <v/>
      </c>
      <c r="E542" s="3">
        <f>IF('ORDENES'!$A520="","",IF('ORDENES'!$V520="","-",'ORDENES'!$V520))</f>
        <v/>
      </c>
      <c r="F542" s="3">
        <f>IF('ORDENES'!$A520="","",IF('ORDENES'!$Y520="","-",'ORDENES'!$Y520))</f>
        <v/>
      </c>
      <c r="G542" s="3">
        <f>IF('ORDENES'!$A520="","",IF('ORDENES'!$W520="","-",'ORDENES'!$W520))</f>
        <v/>
      </c>
      <c r="H542" s="3">
        <f>IF('ORDENES'!$A520="","",IF('ORDENES'!$AE520="","-",'ORDENES'!$AE520))</f>
        <v/>
      </c>
      <c r="I542" s="3">
        <f>IF('ORDENES'!$A520="","",IF('ORDENES'!$AQ520="","-",'ORDENES'!$AQ520))</f>
        <v/>
      </c>
      <c r="J542" s="3">
        <f>IF('ORDENES'!$A520="","",IF('ORDENES'!$D520="","-",'ORDENES'!$D520))</f>
        <v/>
      </c>
      <c r="K542" s="3">
        <f>IF('ORDENES'!$A520="","",IF('ORDENES'!$E520="","-",'ORDENES'!$E520))</f>
        <v/>
      </c>
      <c r="L542" s="13">
        <f>IF('ORDENES'!$A520="","",IF('ORDENES'!$M520="",0,'ORDENES'!$M520))</f>
        <v/>
      </c>
      <c r="M542" s="3">
        <f>IF('ORDENES'!$A520="","",IF('ORDENES'!$N520="","-",'ORDENES'!$N520))</f>
        <v/>
      </c>
      <c r="N542" s="3">
        <f>IF('ORDENES'!$A520="","",'ORDENES'!$AD520)</f>
        <v/>
      </c>
    </row>
    <row r="543">
      <c r="A543" s="3">
        <f>IF('ORDENES'!$A521="","",IF('ORDENES'!$O521="","-",'ORDENES'!$O521))</f>
        <v/>
      </c>
      <c r="B543" s="3">
        <f>IF('ORDENES'!$A521="","",IF('ORDENES'!$R521="","-",'ORDENES'!$R521))</f>
        <v/>
      </c>
      <c r="C543" s="3">
        <f>IF('ORDENES'!$A521="","",IF('ORDENES'!$AF521="","-",'ORDENES'!$AF521))</f>
        <v/>
      </c>
      <c r="D543" s="3">
        <f>IF('ORDENES'!$A521="","",IF('ORDENES'!$X521="","-",'ORDENES'!$X521))</f>
        <v/>
      </c>
      <c r="E543" s="3">
        <f>IF('ORDENES'!$A521="","",IF('ORDENES'!$V521="","-",'ORDENES'!$V521))</f>
        <v/>
      </c>
      <c r="F543" s="3">
        <f>IF('ORDENES'!$A521="","",IF('ORDENES'!$Y521="","-",'ORDENES'!$Y521))</f>
        <v/>
      </c>
      <c r="G543" s="3">
        <f>IF('ORDENES'!$A521="","",IF('ORDENES'!$W521="","-",'ORDENES'!$W521))</f>
        <v/>
      </c>
      <c r="H543" s="3">
        <f>IF('ORDENES'!$A521="","",IF('ORDENES'!$AE521="","-",'ORDENES'!$AE521))</f>
        <v/>
      </c>
      <c r="I543" s="3">
        <f>IF('ORDENES'!$A521="","",IF('ORDENES'!$AQ521="","-",'ORDENES'!$AQ521))</f>
        <v/>
      </c>
      <c r="J543" s="3">
        <f>IF('ORDENES'!$A521="","",IF('ORDENES'!$D521="","-",'ORDENES'!$D521))</f>
        <v/>
      </c>
      <c r="K543" s="3">
        <f>IF('ORDENES'!$A521="","",IF('ORDENES'!$E521="","-",'ORDENES'!$E521))</f>
        <v/>
      </c>
      <c r="L543" s="13">
        <f>IF('ORDENES'!$A521="","",IF('ORDENES'!$M521="",0,'ORDENES'!$M521))</f>
        <v/>
      </c>
      <c r="M543" s="3">
        <f>IF('ORDENES'!$A521="","",IF('ORDENES'!$N521="","-",'ORDENES'!$N521))</f>
        <v/>
      </c>
      <c r="N543" s="3">
        <f>IF('ORDENES'!$A521="","",'ORDENES'!$AD521)</f>
        <v/>
      </c>
    </row>
    <row r="544">
      <c r="A544" s="3">
        <f>IF('ORDENES'!$A522="","",IF('ORDENES'!$O522="","-",'ORDENES'!$O522))</f>
        <v/>
      </c>
      <c r="B544" s="3">
        <f>IF('ORDENES'!$A522="","",IF('ORDENES'!$R522="","-",'ORDENES'!$R522))</f>
        <v/>
      </c>
      <c r="C544" s="3">
        <f>IF('ORDENES'!$A522="","",IF('ORDENES'!$AF522="","-",'ORDENES'!$AF522))</f>
        <v/>
      </c>
      <c r="D544" s="3">
        <f>IF('ORDENES'!$A522="","",IF('ORDENES'!$X522="","-",'ORDENES'!$X522))</f>
        <v/>
      </c>
      <c r="E544" s="3">
        <f>IF('ORDENES'!$A522="","",IF('ORDENES'!$V522="","-",'ORDENES'!$V522))</f>
        <v/>
      </c>
      <c r="F544" s="3">
        <f>IF('ORDENES'!$A522="","",IF('ORDENES'!$Y522="","-",'ORDENES'!$Y522))</f>
        <v/>
      </c>
      <c r="G544" s="3">
        <f>IF('ORDENES'!$A522="","",IF('ORDENES'!$W522="","-",'ORDENES'!$W522))</f>
        <v/>
      </c>
      <c r="H544" s="3">
        <f>IF('ORDENES'!$A522="","",IF('ORDENES'!$AE522="","-",'ORDENES'!$AE522))</f>
        <v/>
      </c>
      <c r="I544" s="3">
        <f>IF('ORDENES'!$A522="","",IF('ORDENES'!$AQ522="","-",'ORDENES'!$AQ522))</f>
        <v/>
      </c>
      <c r="J544" s="3">
        <f>IF('ORDENES'!$A522="","",IF('ORDENES'!$D522="","-",'ORDENES'!$D522))</f>
        <v/>
      </c>
      <c r="K544" s="3">
        <f>IF('ORDENES'!$A522="","",IF('ORDENES'!$E522="","-",'ORDENES'!$E522))</f>
        <v/>
      </c>
      <c r="L544" s="13">
        <f>IF('ORDENES'!$A522="","",IF('ORDENES'!$M522="",0,'ORDENES'!$M522))</f>
        <v/>
      </c>
      <c r="M544" s="3">
        <f>IF('ORDENES'!$A522="","",IF('ORDENES'!$N522="","-",'ORDENES'!$N522))</f>
        <v/>
      </c>
      <c r="N544" s="3">
        <f>IF('ORDENES'!$A522="","",'ORDENES'!$AD522)</f>
        <v/>
      </c>
    </row>
    <row r="545">
      <c r="A545" s="3">
        <f>IF('ORDENES'!$A523="","",IF('ORDENES'!$O523="","-",'ORDENES'!$O523))</f>
        <v/>
      </c>
      <c r="B545" s="3">
        <f>IF('ORDENES'!$A523="","",IF('ORDENES'!$R523="","-",'ORDENES'!$R523))</f>
        <v/>
      </c>
      <c r="C545" s="3">
        <f>IF('ORDENES'!$A523="","",IF('ORDENES'!$AF523="","-",'ORDENES'!$AF523))</f>
        <v/>
      </c>
      <c r="D545" s="3">
        <f>IF('ORDENES'!$A523="","",IF('ORDENES'!$X523="","-",'ORDENES'!$X523))</f>
        <v/>
      </c>
      <c r="E545" s="3">
        <f>IF('ORDENES'!$A523="","",IF('ORDENES'!$V523="","-",'ORDENES'!$V523))</f>
        <v/>
      </c>
      <c r="F545" s="3">
        <f>IF('ORDENES'!$A523="","",IF('ORDENES'!$Y523="","-",'ORDENES'!$Y523))</f>
        <v/>
      </c>
      <c r="G545" s="3">
        <f>IF('ORDENES'!$A523="","",IF('ORDENES'!$W523="","-",'ORDENES'!$W523))</f>
        <v/>
      </c>
      <c r="H545" s="3">
        <f>IF('ORDENES'!$A523="","",IF('ORDENES'!$AE523="","-",'ORDENES'!$AE523))</f>
        <v/>
      </c>
      <c r="I545" s="3">
        <f>IF('ORDENES'!$A523="","",IF('ORDENES'!$AQ523="","-",'ORDENES'!$AQ523))</f>
        <v/>
      </c>
      <c r="J545" s="3">
        <f>IF('ORDENES'!$A523="","",IF('ORDENES'!$D523="","-",'ORDENES'!$D523))</f>
        <v/>
      </c>
      <c r="K545" s="3">
        <f>IF('ORDENES'!$A523="","",IF('ORDENES'!$E523="","-",'ORDENES'!$E523))</f>
        <v/>
      </c>
      <c r="L545" s="13">
        <f>IF('ORDENES'!$A523="","",IF('ORDENES'!$M523="",0,'ORDENES'!$M523))</f>
        <v/>
      </c>
      <c r="M545" s="3">
        <f>IF('ORDENES'!$A523="","",IF('ORDENES'!$N523="","-",'ORDENES'!$N523))</f>
        <v/>
      </c>
      <c r="N545" s="3">
        <f>IF('ORDENES'!$A523="","",'ORDENES'!$AD523)</f>
        <v/>
      </c>
    </row>
    <row r="546">
      <c r="A546" s="3">
        <f>IF('ORDENES'!$A524="","",IF('ORDENES'!$O524="","-",'ORDENES'!$O524))</f>
        <v/>
      </c>
      <c r="B546" s="3">
        <f>IF('ORDENES'!$A524="","",IF('ORDENES'!$R524="","-",'ORDENES'!$R524))</f>
        <v/>
      </c>
      <c r="C546" s="3">
        <f>IF('ORDENES'!$A524="","",IF('ORDENES'!$AF524="","-",'ORDENES'!$AF524))</f>
        <v/>
      </c>
      <c r="D546" s="3">
        <f>IF('ORDENES'!$A524="","",IF('ORDENES'!$X524="","-",'ORDENES'!$X524))</f>
        <v/>
      </c>
      <c r="E546" s="3">
        <f>IF('ORDENES'!$A524="","",IF('ORDENES'!$V524="","-",'ORDENES'!$V524))</f>
        <v/>
      </c>
      <c r="F546" s="3">
        <f>IF('ORDENES'!$A524="","",IF('ORDENES'!$Y524="","-",'ORDENES'!$Y524))</f>
        <v/>
      </c>
      <c r="G546" s="3">
        <f>IF('ORDENES'!$A524="","",IF('ORDENES'!$W524="","-",'ORDENES'!$W524))</f>
        <v/>
      </c>
      <c r="H546" s="3">
        <f>IF('ORDENES'!$A524="","",IF('ORDENES'!$AE524="","-",'ORDENES'!$AE524))</f>
        <v/>
      </c>
      <c r="I546" s="3">
        <f>IF('ORDENES'!$A524="","",IF('ORDENES'!$AQ524="","-",'ORDENES'!$AQ524))</f>
        <v/>
      </c>
      <c r="J546" s="3">
        <f>IF('ORDENES'!$A524="","",IF('ORDENES'!$D524="","-",'ORDENES'!$D524))</f>
        <v/>
      </c>
      <c r="K546" s="3">
        <f>IF('ORDENES'!$A524="","",IF('ORDENES'!$E524="","-",'ORDENES'!$E524))</f>
        <v/>
      </c>
      <c r="L546" s="13">
        <f>IF('ORDENES'!$A524="","",IF('ORDENES'!$M524="",0,'ORDENES'!$M524))</f>
        <v/>
      </c>
      <c r="M546" s="3">
        <f>IF('ORDENES'!$A524="","",IF('ORDENES'!$N524="","-",'ORDENES'!$N524))</f>
        <v/>
      </c>
      <c r="N546" s="3">
        <f>IF('ORDENES'!$A524="","",'ORDENES'!$AD524)</f>
        <v/>
      </c>
    </row>
    <row r="547">
      <c r="A547" s="3">
        <f>IF('ORDENES'!$A525="","",IF('ORDENES'!$O525="","-",'ORDENES'!$O525))</f>
        <v/>
      </c>
      <c r="B547" s="3">
        <f>IF('ORDENES'!$A525="","",IF('ORDENES'!$R525="","-",'ORDENES'!$R525))</f>
        <v/>
      </c>
      <c r="C547" s="3">
        <f>IF('ORDENES'!$A525="","",IF('ORDENES'!$AF525="","-",'ORDENES'!$AF525))</f>
        <v/>
      </c>
      <c r="D547" s="3">
        <f>IF('ORDENES'!$A525="","",IF('ORDENES'!$X525="","-",'ORDENES'!$X525))</f>
        <v/>
      </c>
      <c r="E547" s="3">
        <f>IF('ORDENES'!$A525="","",IF('ORDENES'!$V525="","-",'ORDENES'!$V525))</f>
        <v/>
      </c>
      <c r="F547" s="3">
        <f>IF('ORDENES'!$A525="","",IF('ORDENES'!$Y525="","-",'ORDENES'!$Y525))</f>
        <v/>
      </c>
      <c r="G547" s="3">
        <f>IF('ORDENES'!$A525="","",IF('ORDENES'!$W525="","-",'ORDENES'!$W525))</f>
        <v/>
      </c>
      <c r="H547" s="3">
        <f>IF('ORDENES'!$A525="","",IF('ORDENES'!$AE525="","-",'ORDENES'!$AE525))</f>
        <v/>
      </c>
      <c r="I547" s="3">
        <f>IF('ORDENES'!$A525="","",IF('ORDENES'!$AQ525="","-",'ORDENES'!$AQ525))</f>
        <v/>
      </c>
      <c r="J547" s="3">
        <f>IF('ORDENES'!$A525="","",IF('ORDENES'!$D525="","-",'ORDENES'!$D525))</f>
        <v/>
      </c>
      <c r="K547" s="3">
        <f>IF('ORDENES'!$A525="","",IF('ORDENES'!$E525="","-",'ORDENES'!$E525))</f>
        <v/>
      </c>
      <c r="L547" s="13">
        <f>IF('ORDENES'!$A525="","",IF('ORDENES'!$M525="",0,'ORDENES'!$M525))</f>
        <v/>
      </c>
      <c r="M547" s="3">
        <f>IF('ORDENES'!$A525="","",IF('ORDENES'!$N525="","-",'ORDENES'!$N525))</f>
        <v/>
      </c>
      <c r="N547" s="3">
        <f>IF('ORDENES'!$A525="","",'ORDENES'!$AD525)</f>
        <v/>
      </c>
    </row>
    <row r="548">
      <c r="A548" s="3">
        <f>IF('ORDENES'!$A526="","",IF('ORDENES'!$O526="","-",'ORDENES'!$O526))</f>
        <v/>
      </c>
      <c r="B548" s="3">
        <f>IF('ORDENES'!$A526="","",IF('ORDENES'!$R526="","-",'ORDENES'!$R526))</f>
        <v/>
      </c>
      <c r="C548" s="3">
        <f>IF('ORDENES'!$A526="","",IF('ORDENES'!$AF526="","-",'ORDENES'!$AF526))</f>
        <v/>
      </c>
      <c r="D548" s="3">
        <f>IF('ORDENES'!$A526="","",IF('ORDENES'!$X526="","-",'ORDENES'!$X526))</f>
        <v/>
      </c>
      <c r="E548" s="3">
        <f>IF('ORDENES'!$A526="","",IF('ORDENES'!$V526="","-",'ORDENES'!$V526))</f>
        <v/>
      </c>
      <c r="F548" s="3">
        <f>IF('ORDENES'!$A526="","",IF('ORDENES'!$Y526="","-",'ORDENES'!$Y526))</f>
        <v/>
      </c>
      <c r="G548" s="3">
        <f>IF('ORDENES'!$A526="","",IF('ORDENES'!$W526="","-",'ORDENES'!$W526))</f>
        <v/>
      </c>
      <c r="H548" s="3">
        <f>IF('ORDENES'!$A526="","",IF('ORDENES'!$AE526="","-",'ORDENES'!$AE526))</f>
        <v/>
      </c>
      <c r="I548" s="3">
        <f>IF('ORDENES'!$A526="","",IF('ORDENES'!$AQ526="","-",'ORDENES'!$AQ526))</f>
        <v/>
      </c>
      <c r="J548" s="3">
        <f>IF('ORDENES'!$A526="","",IF('ORDENES'!$D526="","-",'ORDENES'!$D526))</f>
        <v/>
      </c>
      <c r="K548" s="3">
        <f>IF('ORDENES'!$A526="","",IF('ORDENES'!$E526="","-",'ORDENES'!$E526))</f>
        <v/>
      </c>
      <c r="L548" s="13">
        <f>IF('ORDENES'!$A526="","",IF('ORDENES'!$M526="",0,'ORDENES'!$M526))</f>
        <v/>
      </c>
      <c r="M548" s="3">
        <f>IF('ORDENES'!$A526="","",IF('ORDENES'!$N526="","-",'ORDENES'!$N526))</f>
        <v/>
      </c>
      <c r="N548" s="3">
        <f>IF('ORDENES'!$A526="","",'ORDENES'!$AD526)</f>
        <v/>
      </c>
    </row>
    <row r="549">
      <c r="A549" s="3">
        <f>IF('ORDENES'!$A527="","",IF('ORDENES'!$O527="","-",'ORDENES'!$O527))</f>
        <v/>
      </c>
      <c r="B549" s="3">
        <f>IF('ORDENES'!$A527="","",IF('ORDENES'!$R527="","-",'ORDENES'!$R527))</f>
        <v/>
      </c>
      <c r="C549" s="3">
        <f>IF('ORDENES'!$A527="","",IF('ORDENES'!$AF527="","-",'ORDENES'!$AF527))</f>
        <v/>
      </c>
      <c r="D549" s="3">
        <f>IF('ORDENES'!$A527="","",IF('ORDENES'!$X527="","-",'ORDENES'!$X527))</f>
        <v/>
      </c>
      <c r="E549" s="3">
        <f>IF('ORDENES'!$A527="","",IF('ORDENES'!$V527="","-",'ORDENES'!$V527))</f>
        <v/>
      </c>
      <c r="F549" s="3">
        <f>IF('ORDENES'!$A527="","",IF('ORDENES'!$Y527="","-",'ORDENES'!$Y527))</f>
        <v/>
      </c>
      <c r="G549" s="3">
        <f>IF('ORDENES'!$A527="","",IF('ORDENES'!$W527="","-",'ORDENES'!$W527))</f>
        <v/>
      </c>
      <c r="H549" s="3">
        <f>IF('ORDENES'!$A527="","",IF('ORDENES'!$AE527="","-",'ORDENES'!$AE527))</f>
        <v/>
      </c>
      <c r="I549" s="3">
        <f>IF('ORDENES'!$A527="","",IF('ORDENES'!$AQ527="","-",'ORDENES'!$AQ527))</f>
        <v/>
      </c>
      <c r="J549" s="3">
        <f>IF('ORDENES'!$A527="","",IF('ORDENES'!$D527="","-",'ORDENES'!$D527))</f>
        <v/>
      </c>
      <c r="K549" s="3">
        <f>IF('ORDENES'!$A527="","",IF('ORDENES'!$E527="","-",'ORDENES'!$E527))</f>
        <v/>
      </c>
      <c r="L549" s="13">
        <f>IF('ORDENES'!$A527="","",IF('ORDENES'!$M527="",0,'ORDENES'!$M527))</f>
        <v/>
      </c>
      <c r="M549" s="3">
        <f>IF('ORDENES'!$A527="","",IF('ORDENES'!$N527="","-",'ORDENES'!$N527))</f>
        <v/>
      </c>
      <c r="N549" s="3">
        <f>IF('ORDENES'!$A527="","",'ORDENES'!$AD527)</f>
        <v/>
      </c>
    </row>
    <row r="550">
      <c r="A550" s="3">
        <f>IF('ORDENES'!$A528="","",IF('ORDENES'!$O528="","-",'ORDENES'!$O528))</f>
        <v/>
      </c>
      <c r="B550" s="3">
        <f>IF('ORDENES'!$A528="","",IF('ORDENES'!$R528="","-",'ORDENES'!$R528))</f>
        <v/>
      </c>
      <c r="C550" s="3">
        <f>IF('ORDENES'!$A528="","",IF('ORDENES'!$AF528="","-",'ORDENES'!$AF528))</f>
        <v/>
      </c>
      <c r="D550" s="3">
        <f>IF('ORDENES'!$A528="","",IF('ORDENES'!$X528="","-",'ORDENES'!$X528))</f>
        <v/>
      </c>
      <c r="E550" s="3">
        <f>IF('ORDENES'!$A528="","",IF('ORDENES'!$V528="","-",'ORDENES'!$V528))</f>
        <v/>
      </c>
      <c r="F550" s="3">
        <f>IF('ORDENES'!$A528="","",IF('ORDENES'!$Y528="","-",'ORDENES'!$Y528))</f>
        <v/>
      </c>
      <c r="G550" s="3">
        <f>IF('ORDENES'!$A528="","",IF('ORDENES'!$W528="","-",'ORDENES'!$W528))</f>
        <v/>
      </c>
      <c r="H550" s="3">
        <f>IF('ORDENES'!$A528="","",IF('ORDENES'!$AE528="","-",'ORDENES'!$AE528))</f>
        <v/>
      </c>
      <c r="I550" s="3">
        <f>IF('ORDENES'!$A528="","",IF('ORDENES'!$AQ528="","-",'ORDENES'!$AQ528))</f>
        <v/>
      </c>
      <c r="J550" s="3">
        <f>IF('ORDENES'!$A528="","",IF('ORDENES'!$D528="","-",'ORDENES'!$D528))</f>
        <v/>
      </c>
      <c r="K550" s="3">
        <f>IF('ORDENES'!$A528="","",IF('ORDENES'!$E528="","-",'ORDENES'!$E528))</f>
        <v/>
      </c>
      <c r="L550" s="13">
        <f>IF('ORDENES'!$A528="","",IF('ORDENES'!$M528="",0,'ORDENES'!$M528))</f>
        <v/>
      </c>
      <c r="M550" s="3">
        <f>IF('ORDENES'!$A528="","",IF('ORDENES'!$N528="","-",'ORDENES'!$N528))</f>
        <v/>
      </c>
      <c r="N550" s="3">
        <f>IF('ORDENES'!$A528="","",'ORDENES'!$AD528)</f>
        <v/>
      </c>
    </row>
    <row r="551">
      <c r="A551" s="3">
        <f>IF('ORDENES'!$A529="","",IF('ORDENES'!$O529="","-",'ORDENES'!$O529))</f>
        <v/>
      </c>
      <c r="B551" s="3">
        <f>IF('ORDENES'!$A529="","",IF('ORDENES'!$R529="","-",'ORDENES'!$R529))</f>
        <v/>
      </c>
      <c r="C551" s="3">
        <f>IF('ORDENES'!$A529="","",IF('ORDENES'!$AF529="","-",'ORDENES'!$AF529))</f>
        <v/>
      </c>
      <c r="D551" s="3">
        <f>IF('ORDENES'!$A529="","",IF('ORDENES'!$X529="","-",'ORDENES'!$X529))</f>
        <v/>
      </c>
      <c r="E551" s="3">
        <f>IF('ORDENES'!$A529="","",IF('ORDENES'!$V529="","-",'ORDENES'!$V529))</f>
        <v/>
      </c>
      <c r="F551" s="3">
        <f>IF('ORDENES'!$A529="","",IF('ORDENES'!$Y529="","-",'ORDENES'!$Y529))</f>
        <v/>
      </c>
      <c r="G551" s="3">
        <f>IF('ORDENES'!$A529="","",IF('ORDENES'!$W529="","-",'ORDENES'!$W529))</f>
        <v/>
      </c>
      <c r="H551" s="3">
        <f>IF('ORDENES'!$A529="","",IF('ORDENES'!$AE529="","-",'ORDENES'!$AE529))</f>
        <v/>
      </c>
      <c r="I551" s="3">
        <f>IF('ORDENES'!$A529="","",IF('ORDENES'!$AQ529="","-",'ORDENES'!$AQ529))</f>
        <v/>
      </c>
      <c r="J551" s="3">
        <f>IF('ORDENES'!$A529="","",IF('ORDENES'!$D529="","-",'ORDENES'!$D529))</f>
        <v/>
      </c>
      <c r="K551" s="3">
        <f>IF('ORDENES'!$A529="","",IF('ORDENES'!$E529="","-",'ORDENES'!$E529))</f>
        <v/>
      </c>
      <c r="L551" s="13">
        <f>IF('ORDENES'!$A529="","",IF('ORDENES'!$M529="",0,'ORDENES'!$M529))</f>
        <v/>
      </c>
      <c r="M551" s="3">
        <f>IF('ORDENES'!$A529="","",IF('ORDENES'!$N529="","-",'ORDENES'!$N529))</f>
        <v/>
      </c>
      <c r="N551" s="3">
        <f>IF('ORDENES'!$A529="","",'ORDENES'!$AD529)</f>
        <v/>
      </c>
    </row>
    <row r="552">
      <c r="A552" s="3">
        <f>IF('ORDENES'!$A530="","",IF('ORDENES'!$O530="","-",'ORDENES'!$O530))</f>
        <v/>
      </c>
      <c r="B552" s="3">
        <f>IF('ORDENES'!$A530="","",IF('ORDENES'!$R530="","-",'ORDENES'!$R530))</f>
        <v/>
      </c>
      <c r="C552" s="3">
        <f>IF('ORDENES'!$A530="","",IF('ORDENES'!$AF530="","-",'ORDENES'!$AF530))</f>
        <v/>
      </c>
      <c r="D552" s="3">
        <f>IF('ORDENES'!$A530="","",IF('ORDENES'!$X530="","-",'ORDENES'!$X530))</f>
        <v/>
      </c>
      <c r="E552" s="3">
        <f>IF('ORDENES'!$A530="","",IF('ORDENES'!$V530="","-",'ORDENES'!$V530))</f>
        <v/>
      </c>
      <c r="F552" s="3">
        <f>IF('ORDENES'!$A530="","",IF('ORDENES'!$Y530="","-",'ORDENES'!$Y530))</f>
        <v/>
      </c>
      <c r="G552" s="3">
        <f>IF('ORDENES'!$A530="","",IF('ORDENES'!$W530="","-",'ORDENES'!$W530))</f>
        <v/>
      </c>
      <c r="H552" s="3">
        <f>IF('ORDENES'!$A530="","",IF('ORDENES'!$AE530="","-",'ORDENES'!$AE530))</f>
        <v/>
      </c>
      <c r="I552" s="3">
        <f>IF('ORDENES'!$A530="","",IF('ORDENES'!$AQ530="","-",'ORDENES'!$AQ530))</f>
        <v/>
      </c>
      <c r="J552" s="3">
        <f>IF('ORDENES'!$A530="","",IF('ORDENES'!$D530="","-",'ORDENES'!$D530))</f>
        <v/>
      </c>
      <c r="K552" s="3">
        <f>IF('ORDENES'!$A530="","",IF('ORDENES'!$E530="","-",'ORDENES'!$E530))</f>
        <v/>
      </c>
      <c r="L552" s="13">
        <f>IF('ORDENES'!$A530="","",IF('ORDENES'!$M530="",0,'ORDENES'!$M530))</f>
        <v/>
      </c>
      <c r="M552" s="3">
        <f>IF('ORDENES'!$A530="","",IF('ORDENES'!$N530="","-",'ORDENES'!$N530))</f>
        <v/>
      </c>
      <c r="N552" s="3">
        <f>IF('ORDENES'!$A530="","",'ORDENES'!$AD530)</f>
        <v/>
      </c>
    </row>
    <row r="553">
      <c r="A553" s="3">
        <f>IF('ORDENES'!$A531="","",IF('ORDENES'!$O531="","-",'ORDENES'!$O531))</f>
        <v/>
      </c>
      <c r="B553" s="3">
        <f>IF('ORDENES'!$A531="","",IF('ORDENES'!$R531="","-",'ORDENES'!$R531))</f>
        <v/>
      </c>
      <c r="C553" s="3">
        <f>IF('ORDENES'!$A531="","",IF('ORDENES'!$AF531="","-",'ORDENES'!$AF531))</f>
        <v/>
      </c>
      <c r="D553" s="3">
        <f>IF('ORDENES'!$A531="","",IF('ORDENES'!$X531="","-",'ORDENES'!$X531))</f>
        <v/>
      </c>
      <c r="E553" s="3">
        <f>IF('ORDENES'!$A531="","",IF('ORDENES'!$V531="","-",'ORDENES'!$V531))</f>
        <v/>
      </c>
      <c r="F553" s="3">
        <f>IF('ORDENES'!$A531="","",IF('ORDENES'!$Y531="","-",'ORDENES'!$Y531))</f>
        <v/>
      </c>
      <c r="G553" s="3">
        <f>IF('ORDENES'!$A531="","",IF('ORDENES'!$W531="","-",'ORDENES'!$W531))</f>
        <v/>
      </c>
      <c r="H553" s="3">
        <f>IF('ORDENES'!$A531="","",IF('ORDENES'!$AE531="","-",'ORDENES'!$AE531))</f>
        <v/>
      </c>
      <c r="I553" s="3">
        <f>IF('ORDENES'!$A531="","",IF('ORDENES'!$AQ531="","-",'ORDENES'!$AQ531))</f>
        <v/>
      </c>
      <c r="J553" s="3">
        <f>IF('ORDENES'!$A531="","",IF('ORDENES'!$D531="","-",'ORDENES'!$D531))</f>
        <v/>
      </c>
      <c r="K553" s="3">
        <f>IF('ORDENES'!$A531="","",IF('ORDENES'!$E531="","-",'ORDENES'!$E531))</f>
        <v/>
      </c>
      <c r="L553" s="13">
        <f>IF('ORDENES'!$A531="","",IF('ORDENES'!$M531="",0,'ORDENES'!$M531))</f>
        <v/>
      </c>
      <c r="M553" s="3">
        <f>IF('ORDENES'!$A531="","",IF('ORDENES'!$N531="","-",'ORDENES'!$N531))</f>
        <v/>
      </c>
      <c r="N553" s="3">
        <f>IF('ORDENES'!$A531="","",'ORDENES'!$AD531)</f>
        <v/>
      </c>
    </row>
    <row r="554">
      <c r="A554" s="3">
        <f>IF('ORDENES'!$A532="","",IF('ORDENES'!$O532="","-",'ORDENES'!$O532))</f>
        <v/>
      </c>
      <c r="B554" s="3">
        <f>IF('ORDENES'!$A532="","",IF('ORDENES'!$R532="","-",'ORDENES'!$R532))</f>
        <v/>
      </c>
      <c r="C554" s="3">
        <f>IF('ORDENES'!$A532="","",IF('ORDENES'!$AF532="","-",'ORDENES'!$AF532))</f>
        <v/>
      </c>
      <c r="D554" s="3">
        <f>IF('ORDENES'!$A532="","",IF('ORDENES'!$X532="","-",'ORDENES'!$X532))</f>
        <v/>
      </c>
      <c r="E554" s="3">
        <f>IF('ORDENES'!$A532="","",IF('ORDENES'!$V532="","-",'ORDENES'!$V532))</f>
        <v/>
      </c>
      <c r="F554" s="3">
        <f>IF('ORDENES'!$A532="","",IF('ORDENES'!$Y532="","-",'ORDENES'!$Y532))</f>
        <v/>
      </c>
      <c r="G554" s="3">
        <f>IF('ORDENES'!$A532="","",IF('ORDENES'!$W532="","-",'ORDENES'!$W532))</f>
        <v/>
      </c>
      <c r="H554" s="3">
        <f>IF('ORDENES'!$A532="","",IF('ORDENES'!$AE532="","-",'ORDENES'!$AE532))</f>
        <v/>
      </c>
      <c r="I554" s="3">
        <f>IF('ORDENES'!$A532="","",IF('ORDENES'!$AQ532="","-",'ORDENES'!$AQ532))</f>
        <v/>
      </c>
      <c r="J554" s="3">
        <f>IF('ORDENES'!$A532="","",IF('ORDENES'!$D532="","-",'ORDENES'!$D532))</f>
        <v/>
      </c>
      <c r="K554" s="3">
        <f>IF('ORDENES'!$A532="","",IF('ORDENES'!$E532="","-",'ORDENES'!$E532))</f>
        <v/>
      </c>
      <c r="L554" s="13">
        <f>IF('ORDENES'!$A532="","",IF('ORDENES'!$M532="",0,'ORDENES'!$M532))</f>
        <v/>
      </c>
      <c r="M554" s="3">
        <f>IF('ORDENES'!$A532="","",IF('ORDENES'!$N532="","-",'ORDENES'!$N532))</f>
        <v/>
      </c>
      <c r="N554" s="3">
        <f>IF('ORDENES'!$A532="","",'ORDENES'!$AD532)</f>
        <v/>
      </c>
    </row>
    <row r="555">
      <c r="A555" s="3">
        <f>IF('ORDENES'!$A533="","",IF('ORDENES'!$O533="","-",'ORDENES'!$O533))</f>
        <v/>
      </c>
      <c r="B555" s="3">
        <f>IF('ORDENES'!$A533="","",IF('ORDENES'!$R533="","-",'ORDENES'!$R533))</f>
        <v/>
      </c>
      <c r="C555" s="3">
        <f>IF('ORDENES'!$A533="","",IF('ORDENES'!$AF533="","-",'ORDENES'!$AF533))</f>
        <v/>
      </c>
      <c r="D555" s="3">
        <f>IF('ORDENES'!$A533="","",IF('ORDENES'!$X533="","-",'ORDENES'!$X533))</f>
        <v/>
      </c>
      <c r="E555" s="3">
        <f>IF('ORDENES'!$A533="","",IF('ORDENES'!$V533="","-",'ORDENES'!$V533))</f>
        <v/>
      </c>
      <c r="F555" s="3">
        <f>IF('ORDENES'!$A533="","",IF('ORDENES'!$Y533="","-",'ORDENES'!$Y533))</f>
        <v/>
      </c>
      <c r="G555" s="3">
        <f>IF('ORDENES'!$A533="","",IF('ORDENES'!$W533="","-",'ORDENES'!$W533))</f>
        <v/>
      </c>
      <c r="H555" s="3">
        <f>IF('ORDENES'!$A533="","",IF('ORDENES'!$AE533="","-",'ORDENES'!$AE533))</f>
        <v/>
      </c>
      <c r="I555" s="3">
        <f>IF('ORDENES'!$A533="","",IF('ORDENES'!$AQ533="","-",'ORDENES'!$AQ533))</f>
        <v/>
      </c>
      <c r="J555" s="3">
        <f>IF('ORDENES'!$A533="","",IF('ORDENES'!$D533="","-",'ORDENES'!$D533))</f>
        <v/>
      </c>
      <c r="K555" s="3">
        <f>IF('ORDENES'!$A533="","",IF('ORDENES'!$E533="","-",'ORDENES'!$E533))</f>
        <v/>
      </c>
      <c r="L555" s="13">
        <f>IF('ORDENES'!$A533="","",IF('ORDENES'!$M533="",0,'ORDENES'!$M533))</f>
        <v/>
      </c>
      <c r="M555" s="3">
        <f>IF('ORDENES'!$A533="","",IF('ORDENES'!$N533="","-",'ORDENES'!$N533))</f>
        <v/>
      </c>
      <c r="N555" s="3">
        <f>IF('ORDENES'!$A533="","",'ORDENES'!$AD533)</f>
        <v/>
      </c>
    </row>
    <row r="556">
      <c r="A556" s="3">
        <f>IF('ORDENES'!$A534="","",IF('ORDENES'!$O534="","-",'ORDENES'!$O534))</f>
        <v/>
      </c>
      <c r="B556" s="3">
        <f>IF('ORDENES'!$A534="","",IF('ORDENES'!$R534="","-",'ORDENES'!$R534))</f>
        <v/>
      </c>
      <c r="C556" s="3">
        <f>IF('ORDENES'!$A534="","",IF('ORDENES'!$AF534="","-",'ORDENES'!$AF534))</f>
        <v/>
      </c>
      <c r="D556" s="3">
        <f>IF('ORDENES'!$A534="","",IF('ORDENES'!$X534="","-",'ORDENES'!$X534))</f>
        <v/>
      </c>
      <c r="E556" s="3">
        <f>IF('ORDENES'!$A534="","",IF('ORDENES'!$V534="","-",'ORDENES'!$V534))</f>
        <v/>
      </c>
      <c r="F556" s="3">
        <f>IF('ORDENES'!$A534="","",IF('ORDENES'!$Y534="","-",'ORDENES'!$Y534))</f>
        <v/>
      </c>
      <c r="G556" s="3">
        <f>IF('ORDENES'!$A534="","",IF('ORDENES'!$W534="","-",'ORDENES'!$W534))</f>
        <v/>
      </c>
      <c r="H556" s="3">
        <f>IF('ORDENES'!$A534="","",IF('ORDENES'!$AE534="","-",'ORDENES'!$AE534))</f>
        <v/>
      </c>
      <c r="I556" s="3">
        <f>IF('ORDENES'!$A534="","",IF('ORDENES'!$AQ534="","-",'ORDENES'!$AQ534))</f>
        <v/>
      </c>
      <c r="J556" s="3">
        <f>IF('ORDENES'!$A534="","",IF('ORDENES'!$D534="","-",'ORDENES'!$D534))</f>
        <v/>
      </c>
      <c r="K556" s="3">
        <f>IF('ORDENES'!$A534="","",IF('ORDENES'!$E534="","-",'ORDENES'!$E534))</f>
        <v/>
      </c>
      <c r="L556" s="13">
        <f>IF('ORDENES'!$A534="","",IF('ORDENES'!$M534="",0,'ORDENES'!$M534))</f>
        <v/>
      </c>
      <c r="M556" s="3">
        <f>IF('ORDENES'!$A534="","",IF('ORDENES'!$N534="","-",'ORDENES'!$N534))</f>
        <v/>
      </c>
      <c r="N556" s="3">
        <f>IF('ORDENES'!$A534="","",'ORDENES'!$AD534)</f>
        <v/>
      </c>
    </row>
    <row r="557">
      <c r="A557" s="3">
        <f>IF('ORDENES'!$A535="","",IF('ORDENES'!$O535="","-",'ORDENES'!$O535))</f>
        <v/>
      </c>
      <c r="B557" s="3">
        <f>IF('ORDENES'!$A535="","",IF('ORDENES'!$R535="","-",'ORDENES'!$R535))</f>
        <v/>
      </c>
      <c r="C557" s="3">
        <f>IF('ORDENES'!$A535="","",IF('ORDENES'!$AF535="","-",'ORDENES'!$AF535))</f>
        <v/>
      </c>
      <c r="D557" s="3">
        <f>IF('ORDENES'!$A535="","",IF('ORDENES'!$X535="","-",'ORDENES'!$X535))</f>
        <v/>
      </c>
      <c r="E557" s="3">
        <f>IF('ORDENES'!$A535="","",IF('ORDENES'!$V535="","-",'ORDENES'!$V535))</f>
        <v/>
      </c>
      <c r="F557" s="3">
        <f>IF('ORDENES'!$A535="","",IF('ORDENES'!$Y535="","-",'ORDENES'!$Y535))</f>
        <v/>
      </c>
      <c r="G557" s="3">
        <f>IF('ORDENES'!$A535="","",IF('ORDENES'!$W535="","-",'ORDENES'!$W535))</f>
        <v/>
      </c>
      <c r="H557" s="3">
        <f>IF('ORDENES'!$A535="","",IF('ORDENES'!$AE535="","-",'ORDENES'!$AE535))</f>
        <v/>
      </c>
      <c r="I557" s="3">
        <f>IF('ORDENES'!$A535="","",IF('ORDENES'!$AQ535="","-",'ORDENES'!$AQ535))</f>
        <v/>
      </c>
      <c r="J557" s="3">
        <f>IF('ORDENES'!$A535="","",IF('ORDENES'!$D535="","-",'ORDENES'!$D535))</f>
        <v/>
      </c>
      <c r="K557" s="3">
        <f>IF('ORDENES'!$A535="","",IF('ORDENES'!$E535="","-",'ORDENES'!$E535))</f>
        <v/>
      </c>
      <c r="L557" s="13">
        <f>IF('ORDENES'!$A535="","",IF('ORDENES'!$M535="",0,'ORDENES'!$M535))</f>
        <v/>
      </c>
      <c r="M557" s="3">
        <f>IF('ORDENES'!$A535="","",IF('ORDENES'!$N535="","-",'ORDENES'!$N535))</f>
        <v/>
      </c>
      <c r="N557" s="3">
        <f>IF('ORDENES'!$A535="","",'ORDENES'!$AD535)</f>
        <v/>
      </c>
    </row>
    <row r="558">
      <c r="A558" s="3">
        <f>IF('ORDENES'!$A536="","",IF('ORDENES'!$O536="","-",'ORDENES'!$O536))</f>
        <v/>
      </c>
      <c r="B558" s="3">
        <f>IF('ORDENES'!$A536="","",IF('ORDENES'!$R536="","-",'ORDENES'!$R536))</f>
        <v/>
      </c>
      <c r="C558" s="3">
        <f>IF('ORDENES'!$A536="","",IF('ORDENES'!$AF536="","-",'ORDENES'!$AF536))</f>
        <v/>
      </c>
      <c r="D558" s="3">
        <f>IF('ORDENES'!$A536="","",IF('ORDENES'!$X536="","-",'ORDENES'!$X536))</f>
        <v/>
      </c>
      <c r="E558" s="3">
        <f>IF('ORDENES'!$A536="","",IF('ORDENES'!$V536="","-",'ORDENES'!$V536))</f>
        <v/>
      </c>
      <c r="F558" s="3">
        <f>IF('ORDENES'!$A536="","",IF('ORDENES'!$Y536="","-",'ORDENES'!$Y536))</f>
        <v/>
      </c>
      <c r="G558" s="3">
        <f>IF('ORDENES'!$A536="","",IF('ORDENES'!$W536="","-",'ORDENES'!$W536))</f>
        <v/>
      </c>
      <c r="H558" s="3">
        <f>IF('ORDENES'!$A536="","",IF('ORDENES'!$AE536="","-",'ORDENES'!$AE536))</f>
        <v/>
      </c>
      <c r="I558" s="3">
        <f>IF('ORDENES'!$A536="","",IF('ORDENES'!$AQ536="","-",'ORDENES'!$AQ536))</f>
        <v/>
      </c>
      <c r="J558" s="3">
        <f>IF('ORDENES'!$A536="","",IF('ORDENES'!$D536="","-",'ORDENES'!$D536))</f>
        <v/>
      </c>
      <c r="K558" s="3">
        <f>IF('ORDENES'!$A536="","",IF('ORDENES'!$E536="","-",'ORDENES'!$E536))</f>
        <v/>
      </c>
      <c r="L558" s="13">
        <f>IF('ORDENES'!$A536="","",IF('ORDENES'!$M536="",0,'ORDENES'!$M536))</f>
        <v/>
      </c>
      <c r="M558" s="3">
        <f>IF('ORDENES'!$A536="","",IF('ORDENES'!$N536="","-",'ORDENES'!$N536))</f>
        <v/>
      </c>
      <c r="N558" s="3">
        <f>IF('ORDENES'!$A536="","",'ORDENES'!$AD536)</f>
        <v/>
      </c>
    </row>
    <row r="559">
      <c r="A559" s="3">
        <f>IF('ORDENES'!$A537="","",IF('ORDENES'!$O537="","-",'ORDENES'!$O537))</f>
        <v/>
      </c>
      <c r="B559" s="3">
        <f>IF('ORDENES'!$A537="","",IF('ORDENES'!$R537="","-",'ORDENES'!$R537))</f>
        <v/>
      </c>
      <c r="C559" s="3">
        <f>IF('ORDENES'!$A537="","",IF('ORDENES'!$AF537="","-",'ORDENES'!$AF537))</f>
        <v/>
      </c>
      <c r="D559" s="3">
        <f>IF('ORDENES'!$A537="","",IF('ORDENES'!$X537="","-",'ORDENES'!$X537))</f>
        <v/>
      </c>
      <c r="E559" s="3">
        <f>IF('ORDENES'!$A537="","",IF('ORDENES'!$V537="","-",'ORDENES'!$V537))</f>
        <v/>
      </c>
      <c r="F559" s="3">
        <f>IF('ORDENES'!$A537="","",IF('ORDENES'!$Y537="","-",'ORDENES'!$Y537))</f>
        <v/>
      </c>
      <c r="G559" s="3">
        <f>IF('ORDENES'!$A537="","",IF('ORDENES'!$W537="","-",'ORDENES'!$W537))</f>
        <v/>
      </c>
      <c r="H559" s="3">
        <f>IF('ORDENES'!$A537="","",IF('ORDENES'!$AE537="","-",'ORDENES'!$AE537))</f>
        <v/>
      </c>
      <c r="I559" s="3">
        <f>IF('ORDENES'!$A537="","",IF('ORDENES'!$AQ537="","-",'ORDENES'!$AQ537))</f>
        <v/>
      </c>
      <c r="J559" s="3">
        <f>IF('ORDENES'!$A537="","",IF('ORDENES'!$D537="","-",'ORDENES'!$D537))</f>
        <v/>
      </c>
      <c r="K559" s="3">
        <f>IF('ORDENES'!$A537="","",IF('ORDENES'!$E537="","-",'ORDENES'!$E537))</f>
        <v/>
      </c>
      <c r="L559" s="13">
        <f>IF('ORDENES'!$A537="","",IF('ORDENES'!$M537="",0,'ORDENES'!$M537))</f>
        <v/>
      </c>
      <c r="M559" s="3">
        <f>IF('ORDENES'!$A537="","",IF('ORDENES'!$N537="","-",'ORDENES'!$N537))</f>
        <v/>
      </c>
      <c r="N559" s="3">
        <f>IF('ORDENES'!$A537="","",'ORDENES'!$AD537)</f>
        <v/>
      </c>
    </row>
    <row r="560">
      <c r="A560" s="3">
        <f>IF('ORDENES'!$A538="","",IF('ORDENES'!$O538="","-",'ORDENES'!$O538))</f>
        <v/>
      </c>
      <c r="B560" s="3">
        <f>IF('ORDENES'!$A538="","",IF('ORDENES'!$R538="","-",'ORDENES'!$R538))</f>
        <v/>
      </c>
      <c r="C560" s="3">
        <f>IF('ORDENES'!$A538="","",IF('ORDENES'!$AF538="","-",'ORDENES'!$AF538))</f>
        <v/>
      </c>
      <c r="D560" s="3">
        <f>IF('ORDENES'!$A538="","",IF('ORDENES'!$X538="","-",'ORDENES'!$X538))</f>
        <v/>
      </c>
      <c r="E560" s="3">
        <f>IF('ORDENES'!$A538="","",IF('ORDENES'!$V538="","-",'ORDENES'!$V538))</f>
        <v/>
      </c>
      <c r="F560" s="3">
        <f>IF('ORDENES'!$A538="","",IF('ORDENES'!$Y538="","-",'ORDENES'!$Y538))</f>
        <v/>
      </c>
      <c r="G560" s="3">
        <f>IF('ORDENES'!$A538="","",IF('ORDENES'!$W538="","-",'ORDENES'!$W538))</f>
        <v/>
      </c>
      <c r="H560" s="3">
        <f>IF('ORDENES'!$A538="","",IF('ORDENES'!$AE538="","-",'ORDENES'!$AE538))</f>
        <v/>
      </c>
      <c r="I560" s="3">
        <f>IF('ORDENES'!$A538="","",IF('ORDENES'!$AQ538="","-",'ORDENES'!$AQ538))</f>
        <v/>
      </c>
      <c r="J560" s="3">
        <f>IF('ORDENES'!$A538="","",IF('ORDENES'!$D538="","-",'ORDENES'!$D538))</f>
        <v/>
      </c>
      <c r="K560" s="3">
        <f>IF('ORDENES'!$A538="","",IF('ORDENES'!$E538="","-",'ORDENES'!$E538))</f>
        <v/>
      </c>
      <c r="L560" s="13">
        <f>IF('ORDENES'!$A538="","",IF('ORDENES'!$M538="",0,'ORDENES'!$M538))</f>
        <v/>
      </c>
      <c r="M560" s="3">
        <f>IF('ORDENES'!$A538="","",IF('ORDENES'!$N538="","-",'ORDENES'!$N538))</f>
        <v/>
      </c>
      <c r="N560" s="3">
        <f>IF('ORDENES'!$A538="","",'ORDENES'!$AD538)</f>
        <v/>
      </c>
    </row>
    <row r="561">
      <c r="A561" s="3">
        <f>IF('ORDENES'!$A539="","",IF('ORDENES'!$O539="","-",'ORDENES'!$O539))</f>
        <v/>
      </c>
      <c r="B561" s="3">
        <f>IF('ORDENES'!$A539="","",IF('ORDENES'!$R539="","-",'ORDENES'!$R539))</f>
        <v/>
      </c>
      <c r="C561" s="3">
        <f>IF('ORDENES'!$A539="","",IF('ORDENES'!$AF539="","-",'ORDENES'!$AF539))</f>
        <v/>
      </c>
      <c r="D561" s="3">
        <f>IF('ORDENES'!$A539="","",IF('ORDENES'!$X539="","-",'ORDENES'!$X539))</f>
        <v/>
      </c>
      <c r="E561" s="3">
        <f>IF('ORDENES'!$A539="","",IF('ORDENES'!$V539="","-",'ORDENES'!$V539))</f>
        <v/>
      </c>
      <c r="F561" s="3">
        <f>IF('ORDENES'!$A539="","",IF('ORDENES'!$Y539="","-",'ORDENES'!$Y539))</f>
        <v/>
      </c>
      <c r="G561" s="3">
        <f>IF('ORDENES'!$A539="","",IF('ORDENES'!$W539="","-",'ORDENES'!$W539))</f>
        <v/>
      </c>
      <c r="H561" s="3">
        <f>IF('ORDENES'!$A539="","",IF('ORDENES'!$AE539="","-",'ORDENES'!$AE539))</f>
        <v/>
      </c>
      <c r="I561" s="3">
        <f>IF('ORDENES'!$A539="","",IF('ORDENES'!$AQ539="","-",'ORDENES'!$AQ539))</f>
        <v/>
      </c>
      <c r="J561" s="3">
        <f>IF('ORDENES'!$A539="","",IF('ORDENES'!$D539="","-",'ORDENES'!$D539))</f>
        <v/>
      </c>
      <c r="K561" s="3">
        <f>IF('ORDENES'!$A539="","",IF('ORDENES'!$E539="","-",'ORDENES'!$E539))</f>
        <v/>
      </c>
      <c r="L561" s="13">
        <f>IF('ORDENES'!$A539="","",IF('ORDENES'!$M539="",0,'ORDENES'!$M539))</f>
        <v/>
      </c>
      <c r="M561" s="3">
        <f>IF('ORDENES'!$A539="","",IF('ORDENES'!$N539="","-",'ORDENES'!$N539))</f>
        <v/>
      </c>
      <c r="N561" s="3">
        <f>IF('ORDENES'!$A539="","",'ORDENES'!$AD539)</f>
        <v/>
      </c>
    </row>
    <row r="562">
      <c r="A562" s="3">
        <f>IF('ORDENES'!$A540="","",IF('ORDENES'!$O540="","-",'ORDENES'!$O540))</f>
        <v/>
      </c>
      <c r="B562" s="3">
        <f>IF('ORDENES'!$A540="","",IF('ORDENES'!$R540="","-",'ORDENES'!$R540))</f>
        <v/>
      </c>
      <c r="C562" s="3">
        <f>IF('ORDENES'!$A540="","",IF('ORDENES'!$AF540="","-",'ORDENES'!$AF540))</f>
        <v/>
      </c>
      <c r="D562" s="3">
        <f>IF('ORDENES'!$A540="","",IF('ORDENES'!$X540="","-",'ORDENES'!$X540))</f>
        <v/>
      </c>
      <c r="E562" s="3">
        <f>IF('ORDENES'!$A540="","",IF('ORDENES'!$V540="","-",'ORDENES'!$V540))</f>
        <v/>
      </c>
      <c r="F562" s="3">
        <f>IF('ORDENES'!$A540="","",IF('ORDENES'!$Y540="","-",'ORDENES'!$Y540))</f>
        <v/>
      </c>
      <c r="G562" s="3">
        <f>IF('ORDENES'!$A540="","",IF('ORDENES'!$W540="","-",'ORDENES'!$W540))</f>
        <v/>
      </c>
      <c r="H562" s="3">
        <f>IF('ORDENES'!$A540="","",IF('ORDENES'!$AE540="","-",'ORDENES'!$AE540))</f>
        <v/>
      </c>
      <c r="I562" s="3">
        <f>IF('ORDENES'!$A540="","",IF('ORDENES'!$AQ540="","-",'ORDENES'!$AQ540))</f>
        <v/>
      </c>
      <c r="J562" s="3">
        <f>IF('ORDENES'!$A540="","",IF('ORDENES'!$D540="","-",'ORDENES'!$D540))</f>
        <v/>
      </c>
      <c r="K562" s="3">
        <f>IF('ORDENES'!$A540="","",IF('ORDENES'!$E540="","-",'ORDENES'!$E540))</f>
        <v/>
      </c>
      <c r="L562" s="13">
        <f>IF('ORDENES'!$A540="","",IF('ORDENES'!$M540="",0,'ORDENES'!$M540))</f>
        <v/>
      </c>
      <c r="M562" s="3">
        <f>IF('ORDENES'!$A540="","",IF('ORDENES'!$N540="","-",'ORDENES'!$N540))</f>
        <v/>
      </c>
      <c r="N562" s="3">
        <f>IF('ORDENES'!$A540="","",'ORDENES'!$AD540)</f>
        <v/>
      </c>
    </row>
    <row r="563">
      <c r="A563" s="3">
        <f>IF('ORDENES'!$A541="","",IF('ORDENES'!$O541="","-",'ORDENES'!$O541))</f>
        <v/>
      </c>
      <c r="B563" s="3">
        <f>IF('ORDENES'!$A541="","",IF('ORDENES'!$R541="","-",'ORDENES'!$R541))</f>
        <v/>
      </c>
      <c r="C563" s="3">
        <f>IF('ORDENES'!$A541="","",IF('ORDENES'!$AF541="","-",'ORDENES'!$AF541))</f>
        <v/>
      </c>
      <c r="D563" s="3">
        <f>IF('ORDENES'!$A541="","",IF('ORDENES'!$X541="","-",'ORDENES'!$X541))</f>
        <v/>
      </c>
      <c r="E563" s="3">
        <f>IF('ORDENES'!$A541="","",IF('ORDENES'!$V541="","-",'ORDENES'!$V541))</f>
        <v/>
      </c>
      <c r="F563" s="3">
        <f>IF('ORDENES'!$A541="","",IF('ORDENES'!$Y541="","-",'ORDENES'!$Y541))</f>
        <v/>
      </c>
      <c r="G563" s="3">
        <f>IF('ORDENES'!$A541="","",IF('ORDENES'!$W541="","-",'ORDENES'!$W541))</f>
        <v/>
      </c>
      <c r="H563" s="3">
        <f>IF('ORDENES'!$A541="","",IF('ORDENES'!$AE541="","-",'ORDENES'!$AE541))</f>
        <v/>
      </c>
      <c r="I563" s="3">
        <f>IF('ORDENES'!$A541="","",IF('ORDENES'!$AQ541="","-",'ORDENES'!$AQ541))</f>
        <v/>
      </c>
      <c r="J563" s="3">
        <f>IF('ORDENES'!$A541="","",IF('ORDENES'!$D541="","-",'ORDENES'!$D541))</f>
        <v/>
      </c>
      <c r="K563" s="3">
        <f>IF('ORDENES'!$A541="","",IF('ORDENES'!$E541="","-",'ORDENES'!$E541))</f>
        <v/>
      </c>
      <c r="L563" s="13">
        <f>IF('ORDENES'!$A541="","",IF('ORDENES'!$M541="",0,'ORDENES'!$M541))</f>
        <v/>
      </c>
      <c r="M563" s="3">
        <f>IF('ORDENES'!$A541="","",IF('ORDENES'!$N541="","-",'ORDENES'!$N541))</f>
        <v/>
      </c>
      <c r="N563" s="3">
        <f>IF('ORDENES'!$A541="","",'ORDENES'!$AD541)</f>
        <v/>
      </c>
    </row>
    <row r="564">
      <c r="A564" s="3">
        <f>IF('ORDENES'!$A542="","",IF('ORDENES'!$O542="","-",'ORDENES'!$O542))</f>
        <v/>
      </c>
      <c r="B564" s="3">
        <f>IF('ORDENES'!$A542="","",IF('ORDENES'!$R542="","-",'ORDENES'!$R542))</f>
        <v/>
      </c>
      <c r="C564" s="3">
        <f>IF('ORDENES'!$A542="","",IF('ORDENES'!$AF542="","-",'ORDENES'!$AF542))</f>
        <v/>
      </c>
      <c r="D564" s="3">
        <f>IF('ORDENES'!$A542="","",IF('ORDENES'!$X542="","-",'ORDENES'!$X542))</f>
        <v/>
      </c>
      <c r="E564" s="3">
        <f>IF('ORDENES'!$A542="","",IF('ORDENES'!$V542="","-",'ORDENES'!$V542))</f>
        <v/>
      </c>
      <c r="F564" s="3">
        <f>IF('ORDENES'!$A542="","",IF('ORDENES'!$Y542="","-",'ORDENES'!$Y542))</f>
        <v/>
      </c>
      <c r="G564" s="3">
        <f>IF('ORDENES'!$A542="","",IF('ORDENES'!$W542="","-",'ORDENES'!$W542))</f>
        <v/>
      </c>
      <c r="H564" s="3">
        <f>IF('ORDENES'!$A542="","",IF('ORDENES'!$AE542="","-",'ORDENES'!$AE542))</f>
        <v/>
      </c>
      <c r="I564" s="3">
        <f>IF('ORDENES'!$A542="","",IF('ORDENES'!$AQ542="","-",'ORDENES'!$AQ542))</f>
        <v/>
      </c>
      <c r="J564" s="3">
        <f>IF('ORDENES'!$A542="","",IF('ORDENES'!$D542="","-",'ORDENES'!$D542))</f>
        <v/>
      </c>
      <c r="K564" s="3">
        <f>IF('ORDENES'!$A542="","",IF('ORDENES'!$E542="","-",'ORDENES'!$E542))</f>
        <v/>
      </c>
      <c r="L564" s="13">
        <f>IF('ORDENES'!$A542="","",IF('ORDENES'!$M542="",0,'ORDENES'!$M542))</f>
        <v/>
      </c>
      <c r="M564" s="3">
        <f>IF('ORDENES'!$A542="","",IF('ORDENES'!$N542="","-",'ORDENES'!$N542))</f>
        <v/>
      </c>
      <c r="N564" s="3">
        <f>IF('ORDENES'!$A542="","",'ORDENES'!$AD542)</f>
        <v/>
      </c>
    </row>
    <row r="565">
      <c r="A565" s="3">
        <f>IF('ORDENES'!$A543="","",IF('ORDENES'!$O543="","-",'ORDENES'!$O543))</f>
        <v/>
      </c>
      <c r="B565" s="3">
        <f>IF('ORDENES'!$A543="","",IF('ORDENES'!$R543="","-",'ORDENES'!$R543))</f>
        <v/>
      </c>
      <c r="C565" s="3">
        <f>IF('ORDENES'!$A543="","",IF('ORDENES'!$AF543="","-",'ORDENES'!$AF543))</f>
        <v/>
      </c>
      <c r="D565" s="3">
        <f>IF('ORDENES'!$A543="","",IF('ORDENES'!$X543="","-",'ORDENES'!$X543))</f>
        <v/>
      </c>
      <c r="E565" s="3">
        <f>IF('ORDENES'!$A543="","",IF('ORDENES'!$V543="","-",'ORDENES'!$V543))</f>
        <v/>
      </c>
      <c r="F565" s="3">
        <f>IF('ORDENES'!$A543="","",IF('ORDENES'!$Y543="","-",'ORDENES'!$Y543))</f>
        <v/>
      </c>
      <c r="G565" s="3">
        <f>IF('ORDENES'!$A543="","",IF('ORDENES'!$W543="","-",'ORDENES'!$W543))</f>
        <v/>
      </c>
      <c r="H565" s="3">
        <f>IF('ORDENES'!$A543="","",IF('ORDENES'!$AE543="","-",'ORDENES'!$AE543))</f>
        <v/>
      </c>
      <c r="I565" s="3">
        <f>IF('ORDENES'!$A543="","",IF('ORDENES'!$AQ543="","-",'ORDENES'!$AQ543))</f>
        <v/>
      </c>
      <c r="J565" s="3">
        <f>IF('ORDENES'!$A543="","",IF('ORDENES'!$D543="","-",'ORDENES'!$D543))</f>
        <v/>
      </c>
      <c r="K565" s="3">
        <f>IF('ORDENES'!$A543="","",IF('ORDENES'!$E543="","-",'ORDENES'!$E543))</f>
        <v/>
      </c>
      <c r="L565" s="13">
        <f>IF('ORDENES'!$A543="","",IF('ORDENES'!$M543="",0,'ORDENES'!$M543))</f>
        <v/>
      </c>
      <c r="M565" s="3">
        <f>IF('ORDENES'!$A543="","",IF('ORDENES'!$N543="","-",'ORDENES'!$N543))</f>
        <v/>
      </c>
      <c r="N565" s="3">
        <f>IF('ORDENES'!$A543="","",'ORDENES'!$AD543)</f>
        <v/>
      </c>
    </row>
    <row r="566">
      <c r="A566" s="3">
        <f>IF('ORDENES'!$A544="","",IF('ORDENES'!$O544="","-",'ORDENES'!$O544))</f>
        <v/>
      </c>
      <c r="B566" s="3">
        <f>IF('ORDENES'!$A544="","",IF('ORDENES'!$R544="","-",'ORDENES'!$R544))</f>
        <v/>
      </c>
      <c r="C566" s="3">
        <f>IF('ORDENES'!$A544="","",IF('ORDENES'!$AF544="","-",'ORDENES'!$AF544))</f>
        <v/>
      </c>
      <c r="D566" s="3">
        <f>IF('ORDENES'!$A544="","",IF('ORDENES'!$X544="","-",'ORDENES'!$X544))</f>
        <v/>
      </c>
      <c r="E566" s="3">
        <f>IF('ORDENES'!$A544="","",IF('ORDENES'!$V544="","-",'ORDENES'!$V544))</f>
        <v/>
      </c>
      <c r="F566" s="3">
        <f>IF('ORDENES'!$A544="","",IF('ORDENES'!$Y544="","-",'ORDENES'!$Y544))</f>
        <v/>
      </c>
      <c r="G566" s="3">
        <f>IF('ORDENES'!$A544="","",IF('ORDENES'!$W544="","-",'ORDENES'!$W544))</f>
        <v/>
      </c>
      <c r="H566" s="3">
        <f>IF('ORDENES'!$A544="","",IF('ORDENES'!$AE544="","-",'ORDENES'!$AE544))</f>
        <v/>
      </c>
      <c r="I566" s="3">
        <f>IF('ORDENES'!$A544="","",IF('ORDENES'!$AQ544="","-",'ORDENES'!$AQ544))</f>
        <v/>
      </c>
      <c r="J566" s="3">
        <f>IF('ORDENES'!$A544="","",IF('ORDENES'!$D544="","-",'ORDENES'!$D544))</f>
        <v/>
      </c>
      <c r="K566" s="3">
        <f>IF('ORDENES'!$A544="","",IF('ORDENES'!$E544="","-",'ORDENES'!$E544))</f>
        <v/>
      </c>
      <c r="L566" s="13">
        <f>IF('ORDENES'!$A544="","",IF('ORDENES'!$M544="",0,'ORDENES'!$M544))</f>
        <v/>
      </c>
      <c r="M566" s="3">
        <f>IF('ORDENES'!$A544="","",IF('ORDENES'!$N544="","-",'ORDENES'!$N544))</f>
        <v/>
      </c>
      <c r="N566" s="3">
        <f>IF('ORDENES'!$A544="","",'ORDENES'!$AD544)</f>
        <v/>
      </c>
    </row>
    <row r="567">
      <c r="A567" s="3">
        <f>IF('ORDENES'!$A545="","",IF('ORDENES'!$O545="","-",'ORDENES'!$O545))</f>
        <v/>
      </c>
      <c r="B567" s="3">
        <f>IF('ORDENES'!$A545="","",IF('ORDENES'!$R545="","-",'ORDENES'!$R545))</f>
        <v/>
      </c>
      <c r="C567" s="3">
        <f>IF('ORDENES'!$A545="","",IF('ORDENES'!$AF545="","-",'ORDENES'!$AF545))</f>
        <v/>
      </c>
      <c r="D567" s="3">
        <f>IF('ORDENES'!$A545="","",IF('ORDENES'!$X545="","-",'ORDENES'!$X545))</f>
        <v/>
      </c>
      <c r="E567" s="3">
        <f>IF('ORDENES'!$A545="","",IF('ORDENES'!$V545="","-",'ORDENES'!$V545))</f>
        <v/>
      </c>
      <c r="F567" s="3">
        <f>IF('ORDENES'!$A545="","",IF('ORDENES'!$Y545="","-",'ORDENES'!$Y545))</f>
        <v/>
      </c>
      <c r="G567" s="3">
        <f>IF('ORDENES'!$A545="","",IF('ORDENES'!$W545="","-",'ORDENES'!$W545))</f>
        <v/>
      </c>
      <c r="H567" s="3">
        <f>IF('ORDENES'!$A545="","",IF('ORDENES'!$AE545="","-",'ORDENES'!$AE545))</f>
        <v/>
      </c>
      <c r="I567" s="3">
        <f>IF('ORDENES'!$A545="","",IF('ORDENES'!$AQ545="","-",'ORDENES'!$AQ545))</f>
        <v/>
      </c>
      <c r="J567" s="3">
        <f>IF('ORDENES'!$A545="","",IF('ORDENES'!$D545="","-",'ORDENES'!$D545))</f>
        <v/>
      </c>
      <c r="K567" s="3">
        <f>IF('ORDENES'!$A545="","",IF('ORDENES'!$E545="","-",'ORDENES'!$E545))</f>
        <v/>
      </c>
      <c r="L567" s="13">
        <f>IF('ORDENES'!$A545="","",IF('ORDENES'!$M545="",0,'ORDENES'!$M545))</f>
        <v/>
      </c>
      <c r="M567" s="3">
        <f>IF('ORDENES'!$A545="","",IF('ORDENES'!$N545="","-",'ORDENES'!$N545))</f>
        <v/>
      </c>
      <c r="N567" s="3">
        <f>IF('ORDENES'!$A545="","",'ORDENES'!$AD545)</f>
        <v/>
      </c>
    </row>
    <row r="568">
      <c r="A568" s="3">
        <f>IF('ORDENES'!$A546="","",IF('ORDENES'!$O546="","-",'ORDENES'!$O546))</f>
        <v/>
      </c>
      <c r="B568" s="3">
        <f>IF('ORDENES'!$A546="","",IF('ORDENES'!$R546="","-",'ORDENES'!$R546))</f>
        <v/>
      </c>
      <c r="C568" s="3">
        <f>IF('ORDENES'!$A546="","",IF('ORDENES'!$AF546="","-",'ORDENES'!$AF546))</f>
        <v/>
      </c>
      <c r="D568" s="3">
        <f>IF('ORDENES'!$A546="","",IF('ORDENES'!$X546="","-",'ORDENES'!$X546))</f>
        <v/>
      </c>
      <c r="E568" s="3">
        <f>IF('ORDENES'!$A546="","",IF('ORDENES'!$V546="","-",'ORDENES'!$V546))</f>
        <v/>
      </c>
      <c r="F568" s="3">
        <f>IF('ORDENES'!$A546="","",IF('ORDENES'!$Y546="","-",'ORDENES'!$Y546))</f>
        <v/>
      </c>
      <c r="G568" s="3">
        <f>IF('ORDENES'!$A546="","",IF('ORDENES'!$W546="","-",'ORDENES'!$W546))</f>
        <v/>
      </c>
      <c r="H568" s="3">
        <f>IF('ORDENES'!$A546="","",IF('ORDENES'!$AE546="","-",'ORDENES'!$AE546))</f>
        <v/>
      </c>
      <c r="I568" s="3">
        <f>IF('ORDENES'!$A546="","",IF('ORDENES'!$AQ546="","-",'ORDENES'!$AQ546))</f>
        <v/>
      </c>
      <c r="J568" s="3">
        <f>IF('ORDENES'!$A546="","",IF('ORDENES'!$D546="","-",'ORDENES'!$D546))</f>
        <v/>
      </c>
      <c r="K568" s="3">
        <f>IF('ORDENES'!$A546="","",IF('ORDENES'!$E546="","-",'ORDENES'!$E546))</f>
        <v/>
      </c>
      <c r="L568" s="13">
        <f>IF('ORDENES'!$A546="","",IF('ORDENES'!$M546="",0,'ORDENES'!$M546))</f>
        <v/>
      </c>
      <c r="M568" s="3">
        <f>IF('ORDENES'!$A546="","",IF('ORDENES'!$N546="","-",'ORDENES'!$N546))</f>
        <v/>
      </c>
      <c r="N568" s="3">
        <f>IF('ORDENES'!$A546="","",'ORDENES'!$AD546)</f>
        <v/>
      </c>
    </row>
    <row r="569">
      <c r="A569" s="3">
        <f>IF('ORDENES'!$A547="","",IF('ORDENES'!$O547="","-",'ORDENES'!$O547))</f>
        <v/>
      </c>
      <c r="B569" s="3">
        <f>IF('ORDENES'!$A547="","",IF('ORDENES'!$R547="","-",'ORDENES'!$R547))</f>
        <v/>
      </c>
      <c r="C569" s="3">
        <f>IF('ORDENES'!$A547="","",IF('ORDENES'!$AF547="","-",'ORDENES'!$AF547))</f>
        <v/>
      </c>
      <c r="D569" s="3">
        <f>IF('ORDENES'!$A547="","",IF('ORDENES'!$X547="","-",'ORDENES'!$X547))</f>
        <v/>
      </c>
      <c r="E569" s="3">
        <f>IF('ORDENES'!$A547="","",IF('ORDENES'!$V547="","-",'ORDENES'!$V547))</f>
        <v/>
      </c>
      <c r="F569" s="3">
        <f>IF('ORDENES'!$A547="","",IF('ORDENES'!$Y547="","-",'ORDENES'!$Y547))</f>
        <v/>
      </c>
      <c r="G569" s="3">
        <f>IF('ORDENES'!$A547="","",IF('ORDENES'!$W547="","-",'ORDENES'!$W547))</f>
        <v/>
      </c>
      <c r="H569" s="3">
        <f>IF('ORDENES'!$A547="","",IF('ORDENES'!$AE547="","-",'ORDENES'!$AE547))</f>
        <v/>
      </c>
      <c r="I569" s="3">
        <f>IF('ORDENES'!$A547="","",IF('ORDENES'!$AQ547="","-",'ORDENES'!$AQ547))</f>
        <v/>
      </c>
      <c r="J569" s="3">
        <f>IF('ORDENES'!$A547="","",IF('ORDENES'!$D547="","-",'ORDENES'!$D547))</f>
        <v/>
      </c>
      <c r="K569" s="3">
        <f>IF('ORDENES'!$A547="","",IF('ORDENES'!$E547="","-",'ORDENES'!$E547))</f>
        <v/>
      </c>
      <c r="L569" s="13">
        <f>IF('ORDENES'!$A547="","",IF('ORDENES'!$M547="",0,'ORDENES'!$M547))</f>
        <v/>
      </c>
      <c r="M569" s="3">
        <f>IF('ORDENES'!$A547="","",IF('ORDENES'!$N547="","-",'ORDENES'!$N547))</f>
        <v/>
      </c>
      <c r="N569" s="3">
        <f>IF('ORDENES'!$A547="","",'ORDENES'!$AD547)</f>
        <v/>
      </c>
    </row>
    <row r="570">
      <c r="A570" s="3">
        <f>IF('ORDENES'!$A548="","",IF('ORDENES'!$O548="","-",'ORDENES'!$O548))</f>
        <v/>
      </c>
      <c r="B570" s="3">
        <f>IF('ORDENES'!$A548="","",IF('ORDENES'!$R548="","-",'ORDENES'!$R548))</f>
        <v/>
      </c>
      <c r="C570" s="3">
        <f>IF('ORDENES'!$A548="","",IF('ORDENES'!$AF548="","-",'ORDENES'!$AF548))</f>
        <v/>
      </c>
      <c r="D570" s="3">
        <f>IF('ORDENES'!$A548="","",IF('ORDENES'!$X548="","-",'ORDENES'!$X548))</f>
        <v/>
      </c>
      <c r="E570" s="3">
        <f>IF('ORDENES'!$A548="","",IF('ORDENES'!$V548="","-",'ORDENES'!$V548))</f>
        <v/>
      </c>
      <c r="F570" s="3">
        <f>IF('ORDENES'!$A548="","",IF('ORDENES'!$Y548="","-",'ORDENES'!$Y548))</f>
        <v/>
      </c>
      <c r="G570" s="3">
        <f>IF('ORDENES'!$A548="","",IF('ORDENES'!$W548="","-",'ORDENES'!$W548))</f>
        <v/>
      </c>
      <c r="H570" s="3">
        <f>IF('ORDENES'!$A548="","",IF('ORDENES'!$AE548="","-",'ORDENES'!$AE548))</f>
        <v/>
      </c>
      <c r="I570" s="3">
        <f>IF('ORDENES'!$A548="","",IF('ORDENES'!$AQ548="","-",'ORDENES'!$AQ548))</f>
        <v/>
      </c>
      <c r="J570" s="3">
        <f>IF('ORDENES'!$A548="","",IF('ORDENES'!$D548="","-",'ORDENES'!$D548))</f>
        <v/>
      </c>
      <c r="K570" s="3">
        <f>IF('ORDENES'!$A548="","",IF('ORDENES'!$E548="","-",'ORDENES'!$E548))</f>
        <v/>
      </c>
      <c r="L570" s="13">
        <f>IF('ORDENES'!$A548="","",IF('ORDENES'!$M548="",0,'ORDENES'!$M548))</f>
        <v/>
      </c>
      <c r="M570" s="3">
        <f>IF('ORDENES'!$A548="","",IF('ORDENES'!$N548="","-",'ORDENES'!$N548))</f>
        <v/>
      </c>
      <c r="N570" s="3">
        <f>IF('ORDENES'!$A548="","",'ORDENES'!$AD548)</f>
        <v/>
      </c>
    </row>
    <row r="571">
      <c r="A571" s="3">
        <f>IF('ORDENES'!$A549="","",IF('ORDENES'!$O549="","-",'ORDENES'!$O549))</f>
        <v/>
      </c>
      <c r="B571" s="3">
        <f>IF('ORDENES'!$A549="","",IF('ORDENES'!$R549="","-",'ORDENES'!$R549))</f>
        <v/>
      </c>
      <c r="C571" s="3">
        <f>IF('ORDENES'!$A549="","",IF('ORDENES'!$AF549="","-",'ORDENES'!$AF549))</f>
        <v/>
      </c>
      <c r="D571" s="3">
        <f>IF('ORDENES'!$A549="","",IF('ORDENES'!$X549="","-",'ORDENES'!$X549))</f>
        <v/>
      </c>
      <c r="E571" s="3">
        <f>IF('ORDENES'!$A549="","",IF('ORDENES'!$V549="","-",'ORDENES'!$V549))</f>
        <v/>
      </c>
      <c r="F571" s="3">
        <f>IF('ORDENES'!$A549="","",IF('ORDENES'!$Y549="","-",'ORDENES'!$Y549))</f>
        <v/>
      </c>
      <c r="G571" s="3">
        <f>IF('ORDENES'!$A549="","",IF('ORDENES'!$W549="","-",'ORDENES'!$W549))</f>
        <v/>
      </c>
      <c r="H571" s="3">
        <f>IF('ORDENES'!$A549="","",IF('ORDENES'!$AE549="","-",'ORDENES'!$AE549))</f>
        <v/>
      </c>
      <c r="I571" s="3">
        <f>IF('ORDENES'!$A549="","",IF('ORDENES'!$AQ549="","-",'ORDENES'!$AQ549))</f>
        <v/>
      </c>
      <c r="J571" s="3">
        <f>IF('ORDENES'!$A549="","",IF('ORDENES'!$D549="","-",'ORDENES'!$D549))</f>
        <v/>
      </c>
      <c r="K571" s="3">
        <f>IF('ORDENES'!$A549="","",IF('ORDENES'!$E549="","-",'ORDENES'!$E549))</f>
        <v/>
      </c>
      <c r="L571" s="13">
        <f>IF('ORDENES'!$A549="","",IF('ORDENES'!$M549="",0,'ORDENES'!$M549))</f>
        <v/>
      </c>
      <c r="M571" s="3">
        <f>IF('ORDENES'!$A549="","",IF('ORDENES'!$N549="","-",'ORDENES'!$N549))</f>
        <v/>
      </c>
      <c r="N571" s="3">
        <f>IF('ORDENES'!$A549="","",'ORDENES'!$AD549)</f>
        <v/>
      </c>
    </row>
    <row r="572">
      <c r="A572" s="3">
        <f>IF('ORDENES'!$A550="","",IF('ORDENES'!$O550="","-",'ORDENES'!$O550))</f>
        <v/>
      </c>
      <c r="B572" s="3">
        <f>IF('ORDENES'!$A550="","",IF('ORDENES'!$R550="","-",'ORDENES'!$R550))</f>
        <v/>
      </c>
      <c r="C572" s="3">
        <f>IF('ORDENES'!$A550="","",IF('ORDENES'!$AF550="","-",'ORDENES'!$AF550))</f>
        <v/>
      </c>
      <c r="D572" s="3">
        <f>IF('ORDENES'!$A550="","",IF('ORDENES'!$X550="","-",'ORDENES'!$X550))</f>
        <v/>
      </c>
      <c r="E572" s="3">
        <f>IF('ORDENES'!$A550="","",IF('ORDENES'!$V550="","-",'ORDENES'!$V550))</f>
        <v/>
      </c>
      <c r="F572" s="3">
        <f>IF('ORDENES'!$A550="","",IF('ORDENES'!$Y550="","-",'ORDENES'!$Y550))</f>
        <v/>
      </c>
      <c r="G572" s="3">
        <f>IF('ORDENES'!$A550="","",IF('ORDENES'!$W550="","-",'ORDENES'!$W550))</f>
        <v/>
      </c>
      <c r="H572" s="3">
        <f>IF('ORDENES'!$A550="","",IF('ORDENES'!$AE550="","-",'ORDENES'!$AE550))</f>
        <v/>
      </c>
      <c r="I572" s="3">
        <f>IF('ORDENES'!$A550="","",IF('ORDENES'!$AQ550="","-",'ORDENES'!$AQ550))</f>
        <v/>
      </c>
      <c r="J572" s="3">
        <f>IF('ORDENES'!$A550="","",IF('ORDENES'!$D550="","-",'ORDENES'!$D550))</f>
        <v/>
      </c>
      <c r="K572" s="3">
        <f>IF('ORDENES'!$A550="","",IF('ORDENES'!$E550="","-",'ORDENES'!$E550))</f>
        <v/>
      </c>
      <c r="L572" s="13">
        <f>IF('ORDENES'!$A550="","",IF('ORDENES'!$M550="",0,'ORDENES'!$M550))</f>
        <v/>
      </c>
      <c r="M572" s="3">
        <f>IF('ORDENES'!$A550="","",IF('ORDENES'!$N550="","-",'ORDENES'!$N550))</f>
        <v/>
      </c>
      <c r="N572" s="3">
        <f>IF('ORDENES'!$A550="","",'ORDENES'!$AD550)</f>
        <v/>
      </c>
    </row>
    <row r="573">
      <c r="A573" s="3">
        <f>IF('ORDENES'!$A551="","",IF('ORDENES'!$O551="","-",'ORDENES'!$O551))</f>
        <v/>
      </c>
      <c r="B573" s="3">
        <f>IF('ORDENES'!$A551="","",IF('ORDENES'!$R551="","-",'ORDENES'!$R551))</f>
        <v/>
      </c>
      <c r="C573" s="3">
        <f>IF('ORDENES'!$A551="","",IF('ORDENES'!$AF551="","-",'ORDENES'!$AF551))</f>
        <v/>
      </c>
      <c r="D573" s="3">
        <f>IF('ORDENES'!$A551="","",IF('ORDENES'!$X551="","-",'ORDENES'!$X551))</f>
        <v/>
      </c>
      <c r="E573" s="3">
        <f>IF('ORDENES'!$A551="","",IF('ORDENES'!$V551="","-",'ORDENES'!$V551))</f>
        <v/>
      </c>
      <c r="F573" s="3">
        <f>IF('ORDENES'!$A551="","",IF('ORDENES'!$Y551="","-",'ORDENES'!$Y551))</f>
        <v/>
      </c>
      <c r="G573" s="3">
        <f>IF('ORDENES'!$A551="","",IF('ORDENES'!$W551="","-",'ORDENES'!$W551))</f>
        <v/>
      </c>
      <c r="H573" s="3">
        <f>IF('ORDENES'!$A551="","",IF('ORDENES'!$AE551="","-",'ORDENES'!$AE551))</f>
        <v/>
      </c>
      <c r="I573" s="3">
        <f>IF('ORDENES'!$A551="","",IF('ORDENES'!$AQ551="","-",'ORDENES'!$AQ551))</f>
        <v/>
      </c>
      <c r="J573" s="3">
        <f>IF('ORDENES'!$A551="","",IF('ORDENES'!$D551="","-",'ORDENES'!$D551))</f>
        <v/>
      </c>
      <c r="K573" s="3">
        <f>IF('ORDENES'!$A551="","",IF('ORDENES'!$E551="","-",'ORDENES'!$E551))</f>
        <v/>
      </c>
      <c r="L573" s="13">
        <f>IF('ORDENES'!$A551="","",IF('ORDENES'!$M551="",0,'ORDENES'!$M551))</f>
        <v/>
      </c>
      <c r="M573" s="3">
        <f>IF('ORDENES'!$A551="","",IF('ORDENES'!$N551="","-",'ORDENES'!$N551))</f>
        <v/>
      </c>
      <c r="N573" s="3">
        <f>IF('ORDENES'!$A551="","",'ORDENES'!$AD551)</f>
        <v/>
      </c>
    </row>
    <row r="574">
      <c r="A574" s="3">
        <f>IF('ORDENES'!$A552="","",IF('ORDENES'!$O552="","-",'ORDENES'!$O552))</f>
        <v/>
      </c>
      <c r="B574" s="3">
        <f>IF('ORDENES'!$A552="","",IF('ORDENES'!$R552="","-",'ORDENES'!$R552))</f>
        <v/>
      </c>
      <c r="C574" s="3">
        <f>IF('ORDENES'!$A552="","",IF('ORDENES'!$AF552="","-",'ORDENES'!$AF552))</f>
        <v/>
      </c>
      <c r="D574" s="3">
        <f>IF('ORDENES'!$A552="","",IF('ORDENES'!$X552="","-",'ORDENES'!$X552))</f>
        <v/>
      </c>
      <c r="E574" s="3">
        <f>IF('ORDENES'!$A552="","",IF('ORDENES'!$V552="","-",'ORDENES'!$V552))</f>
        <v/>
      </c>
      <c r="F574" s="3">
        <f>IF('ORDENES'!$A552="","",IF('ORDENES'!$Y552="","-",'ORDENES'!$Y552))</f>
        <v/>
      </c>
      <c r="G574" s="3">
        <f>IF('ORDENES'!$A552="","",IF('ORDENES'!$W552="","-",'ORDENES'!$W552))</f>
        <v/>
      </c>
      <c r="H574" s="3">
        <f>IF('ORDENES'!$A552="","",IF('ORDENES'!$AE552="","-",'ORDENES'!$AE552))</f>
        <v/>
      </c>
      <c r="I574" s="3">
        <f>IF('ORDENES'!$A552="","",IF('ORDENES'!$AQ552="","-",'ORDENES'!$AQ552))</f>
        <v/>
      </c>
      <c r="J574" s="3">
        <f>IF('ORDENES'!$A552="","",IF('ORDENES'!$D552="","-",'ORDENES'!$D552))</f>
        <v/>
      </c>
      <c r="K574" s="3">
        <f>IF('ORDENES'!$A552="","",IF('ORDENES'!$E552="","-",'ORDENES'!$E552))</f>
        <v/>
      </c>
      <c r="L574" s="13">
        <f>IF('ORDENES'!$A552="","",IF('ORDENES'!$M552="",0,'ORDENES'!$M552))</f>
        <v/>
      </c>
      <c r="M574" s="3">
        <f>IF('ORDENES'!$A552="","",IF('ORDENES'!$N552="","-",'ORDENES'!$N552))</f>
        <v/>
      </c>
      <c r="N574" s="3">
        <f>IF('ORDENES'!$A552="","",'ORDENES'!$AD552)</f>
        <v/>
      </c>
    </row>
    <row r="575">
      <c r="A575" s="3">
        <f>IF('ORDENES'!$A553="","",IF('ORDENES'!$O553="","-",'ORDENES'!$O553))</f>
        <v/>
      </c>
      <c r="B575" s="3">
        <f>IF('ORDENES'!$A553="","",IF('ORDENES'!$R553="","-",'ORDENES'!$R553))</f>
        <v/>
      </c>
      <c r="C575" s="3">
        <f>IF('ORDENES'!$A553="","",IF('ORDENES'!$AF553="","-",'ORDENES'!$AF553))</f>
        <v/>
      </c>
      <c r="D575" s="3">
        <f>IF('ORDENES'!$A553="","",IF('ORDENES'!$X553="","-",'ORDENES'!$X553))</f>
        <v/>
      </c>
      <c r="E575" s="3">
        <f>IF('ORDENES'!$A553="","",IF('ORDENES'!$V553="","-",'ORDENES'!$V553))</f>
        <v/>
      </c>
      <c r="F575" s="3">
        <f>IF('ORDENES'!$A553="","",IF('ORDENES'!$Y553="","-",'ORDENES'!$Y553))</f>
        <v/>
      </c>
      <c r="G575" s="3">
        <f>IF('ORDENES'!$A553="","",IF('ORDENES'!$W553="","-",'ORDENES'!$W553))</f>
        <v/>
      </c>
      <c r="H575" s="3">
        <f>IF('ORDENES'!$A553="","",IF('ORDENES'!$AE553="","-",'ORDENES'!$AE553))</f>
        <v/>
      </c>
      <c r="I575" s="3">
        <f>IF('ORDENES'!$A553="","",IF('ORDENES'!$AQ553="","-",'ORDENES'!$AQ553))</f>
        <v/>
      </c>
      <c r="J575" s="3">
        <f>IF('ORDENES'!$A553="","",IF('ORDENES'!$D553="","-",'ORDENES'!$D553))</f>
        <v/>
      </c>
      <c r="K575" s="3">
        <f>IF('ORDENES'!$A553="","",IF('ORDENES'!$E553="","-",'ORDENES'!$E553))</f>
        <v/>
      </c>
      <c r="L575" s="13">
        <f>IF('ORDENES'!$A553="","",IF('ORDENES'!$M553="",0,'ORDENES'!$M553))</f>
        <v/>
      </c>
      <c r="M575" s="3">
        <f>IF('ORDENES'!$A553="","",IF('ORDENES'!$N553="","-",'ORDENES'!$N553))</f>
        <v/>
      </c>
      <c r="N575" s="3">
        <f>IF('ORDENES'!$A553="","",'ORDENES'!$AD553)</f>
        <v/>
      </c>
    </row>
    <row r="576">
      <c r="A576" s="3">
        <f>IF('ORDENES'!$A554="","",IF('ORDENES'!$O554="","-",'ORDENES'!$O554))</f>
        <v/>
      </c>
      <c r="B576" s="3">
        <f>IF('ORDENES'!$A554="","",IF('ORDENES'!$R554="","-",'ORDENES'!$R554))</f>
        <v/>
      </c>
      <c r="C576" s="3">
        <f>IF('ORDENES'!$A554="","",IF('ORDENES'!$AF554="","-",'ORDENES'!$AF554))</f>
        <v/>
      </c>
      <c r="D576" s="3">
        <f>IF('ORDENES'!$A554="","",IF('ORDENES'!$X554="","-",'ORDENES'!$X554))</f>
        <v/>
      </c>
      <c r="E576" s="3">
        <f>IF('ORDENES'!$A554="","",IF('ORDENES'!$V554="","-",'ORDENES'!$V554))</f>
        <v/>
      </c>
      <c r="F576" s="3">
        <f>IF('ORDENES'!$A554="","",IF('ORDENES'!$Y554="","-",'ORDENES'!$Y554))</f>
        <v/>
      </c>
      <c r="G576" s="3">
        <f>IF('ORDENES'!$A554="","",IF('ORDENES'!$W554="","-",'ORDENES'!$W554))</f>
        <v/>
      </c>
      <c r="H576" s="3">
        <f>IF('ORDENES'!$A554="","",IF('ORDENES'!$AE554="","-",'ORDENES'!$AE554))</f>
        <v/>
      </c>
      <c r="I576" s="3">
        <f>IF('ORDENES'!$A554="","",IF('ORDENES'!$AQ554="","-",'ORDENES'!$AQ554))</f>
        <v/>
      </c>
      <c r="J576" s="3">
        <f>IF('ORDENES'!$A554="","",IF('ORDENES'!$D554="","-",'ORDENES'!$D554))</f>
        <v/>
      </c>
      <c r="K576" s="3">
        <f>IF('ORDENES'!$A554="","",IF('ORDENES'!$E554="","-",'ORDENES'!$E554))</f>
        <v/>
      </c>
      <c r="L576" s="13">
        <f>IF('ORDENES'!$A554="","",IF('ORDENES'!$M554="",0,'ORDENES'!$M554))</f>
        <v/>
      </c>
      <c r="M576" s="3">
        <f>IF('ORDENES'!$A554="","",IF('ORDENES'!$N554="","-",'ORDENES'!$N554))</f>
        <v/>
      </c>
      <c r="N576" s="3">
        <f>IF('ORDENES'!$A554="","",'ORDENES'!$AD554)</f>
        <v/>
      </c>
    </row>
    <row r="577">
      <c r="A577" s="3">
        <f>IF('ORDENES'!$A555="","",IF('ORDENES'!$O555="","-",'ORDENES'!$O555))</f>
        <v/>
      </c>
      <c r="B577" s="3">
        <f>IF('ORDENES'!$A555="","",IF('ORDENES'!$R555="","-",'ORDENES'!$R555))</f>
        <v/>
      </c>
      <c r="C577" s="3">
        <f>IF('ORDENES'!$A555="","",IF('ORDENES'!$AF555="","-",'ORDENES'!$AF555))</f>
        <v/>
      </c>
      <c r="D577" s="3">
        <f>IF('ORDENES'!$A555="","",IF('ORDENES'!$X555="","-",'ORDENES'!$X555))</f>
        <v/>
      </c>
      <c r="E577" s="3">
        <f>IF('ORDENES'!$A555="","",IF('ORDENES'!$V555="","-",'ORDENES'!$V555))</f>
        <v/>
      </c>
      <c r="F577" s="3">
        <f>IF('ORDENES'!$A555="","",IF('ORDENES'!$Y555="","-",'ORDENES'!$Y555))</f>
        <v/>
      </c>
      <c r="G577" s="3">
        <f>IF('ORDENES'!$A555="","",IF('ORDENES'!$W555="","-",'ORDENES'!$W555))</f>
        <v/>
      </c>
      <c r="H577" s="3">
        <f>IF('ORDENES'!$A555="","",IF('ORDENES'!$AE555="","-",'ORDENES'!$AE555))</f>
        <v/>
      </c>
      <c r="I577" s="3">
        <f>IF('ORDENES'!$A555="","",IF('ORDENES'!$AQ555="","-",'ORDENES'!$AQ555))</f>
        <v/>
      </c>
      <c r="J577" s="3">
        <f>IF('ORDENES'!$A555="","",IF('ORDENES'!$D555="","-",'ORDENES'!$D555))</f>
        <v/>
      </c>
      <c r="K577" s="3">
        <f>IF('ORDENES'!$A555="","",IF('ORDENES'!$E555="","-",'ORDENES'!$E555))</f>
        <v/>
      </c>
      <c r="L577" s="13">
        <f>IF('ORDENES'!$A555="","",IF('ORDENES'!$M555="",0,'ORDENES'!$M555))</f>
        <v/>
      </c>
      <c r="M577" s="3">
        <f>IF('ORDENES'!$A555="","",IF('ORDENES'!$N555="","-",'ORDENES'!$N555))</f>
        <v/>
      </c>
      <c r="N577" s="3">
        <f>IF('ORDENES'!$A555="","",'ORDENES'!$AD555)</f>
        <v/>
      </c>
    </row>
    <row r="578">
      <c r="A578" s="3">
        <f>IF('ORDENES'!$A556="","",IF('ORDENES'!$O556="","-",'ORDENES'!$O556))</f>
        <v/>
      </c>
      <c r="B578" s="3">
        <f>IF('ORDENES'!$A556="","",IF('ORDENES'!$R556="","-",'ORDENES'!$R556))</f>
        <v/>
      </c>
      <c r="C578" s="3">
        <f>IF('ORDENES'!$A556="","",IF('ORDENES'!$AF556="","-",'ORDENES'!$AF556))</f>
        <v/>
      </c>
      <c r="D578" s="3">
        <f>IF('ORDENES'!$A556="","",IF('ORDENES'!$X556="","-",'ORDENES'!$X556))</f>
        <v/>
      </c>
      <c r="E578" s="3">
        <f>IF('ORDENES'!$A556="","",IF('ORDENES'!$V556="","-",'ORDENES'!$V556))</f>
        <v/>
      </c>
      <c r="F578" s="3">
        <f>IF('ORDENES'!$A556="","",IF('ORDENES'!$Y556="","-",'ORDENES'!$Y556))</f>
        <v/>
      </c>
      <c r="G578" s="3">
        <f>IF('ORDENES'!$A556="","",IF('ORDENES'!$W556="","-",'ORDENES'!$W556))</f>
        <v/>
      </c>
      <c r="H578" s="3">
        <f>IF('ORDENES'!$A556="","",IF('ORDENES'!$AE556="","-",'ORDENES'!$AE556))</f>
        <v/>
      </c>
      <c r="I578" s="3">
        <f>IF('ORDENES'!$A556="","",IF('ORDENES'!$AQ556="","-",'ORDENES'!$AQ556))</f>
        <v/>
      </c>
      <c r="J578" s="3">
        <f>IF('ORDENES'!$A556="","",IF('ORDENES'!$D556="","-",'ORDENES'!$D556))</f>
        <v/>
      </c>
      <c r="K578" s="3">
        <f>IF('ORDENES'!$A556="","",IF('ORDENES'!$E556="","-",'ORDENES'!$E556))</f>
        <v/>
      </c>
      <c r="L578" s="13">
        <f>IF('ORDENES'!$A556="","",IF('ORDENES'!$M556="",0,'ORDENES'!$M556))</f>
        <v/>
      </c>
      <c r="M578" s="3">
        <f>IF('ORDENES'!$A556="","",IF('ORDENES'!$N556="","-",'ORDENES'!$N556))</f>
        <v/>
      </c>
      <c r="N578" s="3">
        <f>IF('ORDENES'!$A556="","",'ORDENES'!$AD556)</f>
        <v/>
      </c>
    </row>
    <row r="579">
      <c r="A579" s="3">
        <f>IF('ORDENES'!$A557="","",IF('ORDENES'!$O557="","-",'ORDENES'!$O557))</f>
        <v/>
      </c>
      <c r="B579" s="3">
        <f>IF('ORDENES'!$A557="","",IF('ORDENES'!$R557="","-",'ORDENES'!$R557))</f>
        <v/>
      </c>
      <c r="C579" s="3">
        <f>IF('ORDENES'!$A557="","",IF('ORDENES'!$AF557="","-",'ORDENES'!$AF557))</f>
        <v/>
      </c>
      <c r="D579" s="3">
        <f>IF('ORDENES'!$A557="","",IF('ORDENES'!$X557="","-",'ORDENES'!$X557))</f>
        <v/>
      </c>
      <c r="E579" s="3">
        <f>IF('ORDENES'!$A557="","",IF('ORDENES'!$V557="","-",'ORDENES'!$V557))</f>
        <v/>
      </c>
      <c r="F579" s="3">
        <f>IF('ORDENES'!$A557="","",IF('ORDENES'!$Y557="","-",'ORDENES'!$Y557))</f>
        <v/>
      </c>
      <c r="G579" s="3">
        <f>IF('ORDENES'!$A557="","",IF('ORDENES'!$W557="","-",'ORDENES'!$W557))</f>
        <v/>
      </c>
      <c r="H579" s="3">
        <f>IF('ORDENES'!$A557="","",IF('ORDENES'!$AE557="","-",'ORDENES'!$AE557))</f>
        <v/>
      </c>
      <c r="I579" s="3">
        <f>IF('ORDENES'!$A557="","",IF('ORDENES'!$AQ557="","-",'ORDENES'!$AQ557))</f>
        <v/>
      </c>
      <c r="J579" s="3">
        <f>IF('ORDENES'!$A557="","",IF('ORDENES'!$D557="","-",'ORDENES'!$D557))</f>
        <v/>
      </c>
      <c r="K579" s="3">
        <f>IF('ORDENES'!$A557="","",IF('ORDENES'!$E557="","-",'ORDENES'!$E557))</f>
        <v/>
      </c>
      <c r="L579" s="13">
        <f>IF('ORDENES'!$A557="","",IF('ORDENES'!$M557="",0,'ORDENES'!$M557))</f>
        <v/>
      </c>
      <c r="M579" s="3">
        <f>IF('ORDENES'!$A557="","",IF('ORDENES'!$N557="","-",'ORDENES'!$N557))</f>
        <v/>
      </c>
      <c r="N579" s="3">
        <f>IF('ORDENES'!$A557="","",'ORDENES'!$AD557)</f>
        <v/>
      </c>
    </row>
    <row r="580">
      <c r="A580" s="3">
        <f>IF('ORDENES'!$A558="","",IF('ORDENES'!$O558="","-",'ORDENES'!$O558))</f>
        <v/>
      </c>
      <c r="B580" s="3">
        <f>IF('ORDENES'!$A558="","",IF('ORDENES'!$R558="","-",'ORDENES'!$R558))</f>
        <v/>
      </c>
      <c r="C580" s="3">
        <f>IF('ORDENES'!$A558="","",IF('ORDENES'!$AF558="","-",'ORDENES'!$AF558))</f>
        <v/>
      </c>
      <c r="D580" s="3">
        <f>IF('ORDENES'!$A558="","",IF('ORDENES'!$X558="","-",'ORDENES'!$X558))</f>
        <v/>
      </c>
      <c r="E580" s="3">
        <f>IF('ORDENES'!$A558="","",IF('ORDENES'!$V558="","-",'ORDENES'!$V558))</f>
        <v/>
      </c>
      <c r="F580" s="3">
        <f>IF('ORDENES'!$A558="","",IF('ORDENES'!$Y558="","-",'ORDENES'!$Y558))</f>
        <v/>
      </c>
      <c r="G580" s="3">
        <f>IF('ORDENES'!$A558="","",IF('ORDENES'!$W558="","-",'ORDENES'!$W558))</f>
        <v/>
      </c>
      <c r="H580" s="3">
        <f>IF('ORDENES'!$A558="","",IF('ORDENES'!$AE558="","-",'ORDENES'!$AE558))</f>
        <v/>
      </c>
      <c r="I580" s="3">
        <f>IF('ORDENES'!$A558="","",IF('ORDENES'!$AQ558="","-",'ORDENES'!$AQ558))</f>
        <v/>
      </c>
      <c r="J580" s="3">
        <f>IF('ORDENES'!$A558="","",IF('ORDENES'!$D558="","-",'ORDENES'!$D558))</f>
        <v/>
      </c>
      <c r="K580" s="3">
        <f>IF('ORDENES'!$A558="","",IF('ORDENES'!$E558="","-",'ORDENES'!$E558))</f>
        <v/>
      </c>
      <c r="L580" s="13">
        <f>IF('ORDENES'!$A558="","",IF('ORDENES'!$M558="",0,'ORDENES'!$M558))</f>
        <v/>
      </c>
      <c r="M580" s="3">
        <f>IF('ORDENES'!$A558="","",IF('ORDENES'!$N558="","-",'ORDENES'!$N558))</f>
        <v/>
      </c>
      <c r="N580" s="3">
        <f>IF('ORDENES'!$A558="","",'ORDENES'!$AD558)</f>
        <v/>
      </c>
    </row>
    <row r="581">
      <c r="A581" s="3">
        <f>IF('ORDENES'!$A559="","",IF('ORDENES'!$O559="","-",'ORDENES'!$O559))</f>
        <v/>
      </c>
      <c r="B581" s="3">
        <f>IF('ORDENES'!$A559="","",IF('ORDENES'!$R559="","-",'ORDENES'!$R559))</f>
        <v/>
      </c>
      <c r="C581" s="3">
        <f>IF('ORDENES'!$A559="","",IF('ORDENES'!$AF559="","-",'ORDENES'!$AF559))</f>
        <v/>
      </c>
      <c r="D581" s="3">
        <f>IF('ORDENES'!$A559="","",IF('ORDENES'!$X559="","-",'ORDENES'!$X559))</f>
        <v/>
      </c>
      <c r="E581" s="3">
        <f>IF('ORDENES'!$A559="","",IF('ORDENES'!$V559="","-",'ORDENES'!$V559))</f>
        <v/>
      </c>
      <c r="F581" s="3">
        <f>IF('ORDENES'!$A559="","",IF('ORDENES'!$Y559="","-",'ORDENES'!$Y559))</f>
        <v/>
      </c>
      <c r="G581" s="3">
        <f>IF('ORDENES'!$A559="","",IF('ORDENES'!$W559="","-",'ORDENES'!$W559))</f>
        <v/>
      </c>
      <c r="H581" s="3">
        <f>IF('ORDENES'!$A559="","",IF('ORDENES'!$AE559="","-",'ORDENES'!$AE559))</f>
        <v/>
      </c>
      <c r="I581" s="3">
        <f>IF('ORDENES'!$A559="","",IF('ORDENES'!$AQ559="","-",'ORDENES'!$AQ559))</f>
        <v/>
      </c>
      <c r="J581" s="3">
        <f>IF('ORDENES'!$A559="","",IF('ORDENES'!$D559="","-",'ORDENES'!$D559))</f>
        <v/>
      </c>
      <c r="K581" s="3">
        <f>IF('ORDENES'!$A559="","",IF('ORDENES'!$E559="","-",'ORDENES'!$E559))</f>
        <v/>
      </c>
      <c r="L581" s="13">
        <f>IF('ORDENES'!$A559="","",IF('ORDENES'!$M559="",0,'ORDENES'!$M559))</f>
        <v/>
      </c>
      <c r="M581" s="3">
        <f>IF('ORDENES'!$A559="","",IF('ORDENES'!$N559="","-",'ORDENES'!$N559))</f>
        <v/>
      </c>
      <c r="N581" s="3">
        <f>IF('ORDENES'!$A559="","",'ORDENES'!$AD559)</f>
        <v/>
      </c>
    </row>
    <row r="582">
      <c r="A582" s="3">
        <f>IF('ORDENES'!$A560="","",IF('ORDENES'!$O560="","-",'ORDENES'!$O560))</f>
        <v/>
      </c>
      <c r="B582" s="3">
        <f>IF('ORDENES'!$A560="","",IF('ORDENES'!$R560="","-",'ORDENES'!$R560))</f>
        <v/>
      </c>
      <c r="C582" s="3">
        <f>IF('ORDENES'!$A560="","",IF('ORDENES'!$AF560="","-",'ORDENES'!$AF560))</f>
        <v/>
      </c>
      <c r="D582" s="3">
        <f>IF('ORDENES'!$A560="","",IF('ORDENES'!$X560="","-",'ORDENES'!$X560))</f>
        <v/>
      </c>
      <c r="E582" s="3">
        <f>IF('ORDENES'!$A560="","",IF('ORDENES'!$V560="","-",'ORDENES'!$V560))</f>
        <v/>
      </c>
      <c r="F582" s="3">
        <f>IF('ORDENES'!$A560="","",IF('ORDENES'!$Y560="","-",'ORDENES'!$Y560))</f>
        <v/>
      </c>
      <c r="G582" s="3">
        <f>IF('ORDENES'!$A560="","",IF('ORDENES'!$W560="","-",'ORDENES'!$W560))</f>
        <v/>
      </c>
      <c r="H582" s="3">
        <f>IF('ORDENES'!$A560="","",IF('ORDENES'!$AE560="","-",'ORDENES'!$AE560))</f>
        <v/>
      </c>
      <c r="I582" s="3">
        <f>IF('ORDENES'!$A560="","",IF('ORDENES'!$AQ560="","-",'ORDENES'!$AQ560))</f>
        <v/>
      </c>
      <c r="J582" s="3">
        <f>IF('ORDENES'!$A560="","",IF('ORDENES'!$D560="","-",'ORDENES'!$D560))</f>
        <v/>
      </c>
      <c r="K582" s="3">
        <f>IF('ORDENES'!$A560="","",IF('ORDENES'!$E560="","-",'ORDENES'!$E560))</f>
        <v/>
      </c>
      <c r="L582" s="13">
        <f>IF('ORDENES'!$A560="","",IF('ORDENES'!$M560="",0,'ORDENES'!$M560))</f>
        <v/>
      </c>
      <c r="M582" s="3">
        <f>IF('ORDENES'!$A560="","",IF('ORDENES'!$N560="","-",'ORDENES'!$N560))</f>
        <v/>
      </c>
      <c r="N582" s="3">
        <f>IF('ORDENES'!$A560="","",'ORDENES'!$AD560)</f>
        <v/>
      </c>
    </row>
    <row r="583">
      <c r="A583" s="3">
        <f>IF('ORDENES'!$A561="","",IF('ORDENES'!$O561="","-",'ORDENES'!$O561))</f>
        <v/>
      </c>
      <c r="B583" s="3">
        <f>IF('ORDENES'!$A561="","",IF('ORDENES'!$R561="","-",'ORDENES'!$R561))</f>
        <v/>
      </c>
      <c r="C583" s="3">
        <f>IF('ORDENES'!$A561="","",IF('ORDENES'!$AF561="","-",'ORDENES'!$AF561))</f>
        <v/>
      </c>
      <c r="D583" s="3">
        <f>IF('ORDENES'!$A561="","",IF('ORDENES'!$X561="","-",'ORDENES'!$X561))</f>
        <v/>
      </c>
      <c r="E583" s="3">
        <f>IF('ORDENES'!$A561="","",IF('ORDENES'!$V561="","-",'ORDENES'!$V561))</f>
        <v/>
      </c>
      <c r="F583" s="3">
        <f>IF('ORDENES'!$A561="","",IF('ORDENES'!$Y561="","-",'ORDENES'!$Y561))</f>
        <v/>
      </c>
      <c r="G583" s="3">
        <f>IF('ORDENES'!$A561="","",IF('ORDENES'!$W561="","-",'ORDENES'!$W561))</f>
        <v/>
      </c>
      <c r="H583" s="3">
        <f>IF('ORDENES'!$A561="","",IF('ORDENES'!$AE561="","-",'ORDENES'!$AE561))</f>
        <v/>
      </c>
      <c r="I583" s="3">
        <f>IF('ORDENES'!$A561="","",IF('ORDENES'!$AQ561="","-",'ORDENES'!$AQ561))</f>
        <v/>
      </c>
      <c r="J583" s="3">
        <f>IF('ORDENES'!$A561="","",IF('ORDENES'!$D561="","-",'ORDENES'!$D561))</f>
        <v/>
      </c>
      <c r="K583" s="3">
        <f>IF('ORDENES'!$A561="","",IF('ORDENES'!$E561="","-",'ORDENES'!$E561))</f>
        <v/>
      </c>
      <c r="L583" s="13">
        <f>IF('ORDENES'!$A561="","",IF('ORDENES'!$M561="",0,'ORDENES'!$M561))</f>
        <v/>
      </c>
      <c r="M583" s="3">
        <f>IF('ORDENES'!$A561="","",IF('ORDENES'!$N561="","-",'ORDENES'!$N561))</f>
        <v/>
      </c>
      <c r="N583" s="3">
        <f>IF('ORDENES'!$A561="","",'ORDENES'!$AD561)</f>
        <v/>
      </c>
    </row>
    <row r="584">
      <c r="A584" s="3">
        <f>IF('ORDENES'!$A562="","",IF('ORDENES'!$O562="","-",'ORDENES'!$O562))</f>
        <v/>
      </c>
      <c r="B584" s="3">
        <f>IF('ORDENES'!$A562="","",IF('ORDENES'!$R562="","-",'ORDENES'!$R562))</f>
        <v/>
      </c>
      <c r="C584" s="3">
        <f>IF('ORDENES'!$A562="","",IF('ORDENES'!$AF562="","-",'ORDENES'!$AF562))</f>
        <v/>
      </c>
      <c r="D584" s="3">
        <f>IF('ORDENES'!$A562="","",IF('ORDENES'!$X562="","-",'ORDENES'!$X562))</f>
        <v/>
      </c>
      <c r="E584" s="3">
        <f>IF('ORDENES'!$A562="","",IF('ORDENES'!$V562="","-",'ORDENES'!$V562))</f>
        <v/>
      </c>
      <c r="F584" s="3">
        <f>IF('ORDENES'!$A562="","",IF('ORDENES'!$Y562="","-",'ORDENES'!$Y562))</f>
        <v/>
      </c>
      <c r="G584" s="3">
        <f>IF('ORDENES'!$A562="","",IF('ORDENES'!$W562="","-",'ORDENES'!$W562))</f>
        <v/>
      </c>
      <c r="H584" s="3">
        <f>IF('ORDENES'!$A562="","",IF('ORDENES'!$AE562="","-",'ORDENES'!$AE562))</f>
        <v/>
      </c>
      <c r="I584" s="3">
        <f>IF('ORDENES'!$A562="","",IF('ORDENES'!$AQ562="","-",'ORDENES'!$AQ562))</f>
        <v/>
      </c>
      <c r="J584" s="3">
        <f>IF('ORDENES'!$A562="","",IF('ORDENES'!$D562="","-",'ORDENES'!$D562))</f>
        <v/>
      </c>
      <c r="K584" s="3">
        <f>IF('ORDENES'!$A562="","",IF('ORDENES'!$E562="","-",'ORDENES'!$E562))</f>
        <v/>
      </c>
      <c r="L584" s="13">
        <f>IF('ORDENES'!$A562="","",IF('ORDENES'!$M562="",0,'ORDENES'!$M562))</f>
        <v/>
      </c>
      <c r="M584" s="3">
        <f>IF('ORDENES'!$A562="","",IF('ORDENES'!$N562="","-",'ORDENES'!$N562))</f>
        <v/>
      </c>
      <c r="N584" s="3">
        <f>IF('ORDENES'!$A562="","",'ORDENES'!$AD562)</f>
        <v/>
      </c>
    </row>
    <row r="585">
      <c r="A585" s="3">
        <f>IF('ORDENES'!$A563="","",IF('ORDENES'!$O563="","-",'ORDENES'!$O563))</f>
        <v/>
      </c>
      <c r="B585" s="3">
        <f>IF('ORDENES'!$A563="","",IF('ORDENES'!$R563="","-",'ORDENES'!$R563))</f>
        <v/>
      </c>
      <c r="C585" s="3">
        <f>IF('ORDENES'!$A563="","",IF('ORDENES'!$AF563="","-",'ORDENES'!$AF563))</f>
        <v/>
      </c>
      <c r="D585" s="3">
        <f>IF('ORDENES'!$A563="","",IF('ORDENES'!$X563="","-",'ORDENES'!$X563))</f>
        <v/>
      </c>
      <c r="E585" s="3">
        <f>IF('ORDENES'!$A563="","",IF('ORDENES'!$V563="","-",'ORDENES'!$V563))</f>
        <v/>
      </c>
      <c r="F585" s="3">
        <f>IF('ORDENES'!$A563="","",IF('ORDENES'!$Y563="","-",'ORDENES'!$Y563))</f>
        <v/>
      </c>
      <c r="G585" s="3">
        <f>IF('ORDENES'!$A563="","",IF('ORDENES'!$W563="","-",'ORDENES'!$W563))</f>
        <v/>
      </c>
      <c r="H585" s="3">
        <f>IF('ORDENES'!$A563="","",IF('ORDENES'!$AE563="","-",'ORDENES'!$AE563))</f>
        <v/>
      </c>
      <c r="I585" s="3">
        <f>IF('ORDENES'!$A563="","",IF('ORDENES'!$AQ563="","-",'ORDENES'!$AQ563))</f>
        <v/>
      </c>
      <c r="J585" s="3">
        <f>IF('ORDENES'!$A563="","",IF('ORDENES'!$D563="","-",'ORDENES'!$D563))</f>
        <v/>
      </c>
      <c r="K585" s="3">
        <f>IF('ORDENES'!$A563="","",IF('ORDENES'!$E563="","-",'ORDENES'!$E563))</f>
        <v/>
      </c>
      <c r="L585" s="13">
        <f>IF('ORDENES'!$A563="","",IF('ORDENES'!$M563="",0,'ORDENES'!$M563))</f>
        <v/>
      </c>
      <c r="M585" s="3">
        <f>IF('ORDENES'!$A563="","",IF('ORDENES'!$N563="","-",'ORDENES'!$N563))</f>
        <v/>
      </c>
      <c r="N585" s="3">
        <f>IF('ORDENES'!$A563="","",'ORDENES'!$AD563)</f>
        <v/>
      </c>
    </row>
    <row r="586">
      <c r="A586" s="3">
        <f>IF('ORDENES'!$A564="","",IF('ORDENES'!$O564="","-",'ORDENES'!$O564))</f>
        <v/>
      </c>
      <c r="B586" s="3">
        <f>IF('ORDENES'!$A564="","",IF('ORDENES'!$R564="","-",'ORDENES'!$R564))</f>
        <v/>
      </c>
      <c r="C586" s="3">
        <f>IF('ORDENES'!$A564="","",IF('ORDENES'!$AF564="","-",'ORDENES'!$AF564))</f>
        <v/>
      </c>
      <c r="D586" s="3">
        <f>IF('ORDENES'!$A564="","",IF('ORDENES'!$X564="","-",'ORDENES'!$X564))</f>
        <v/>
      </c>
      <c r="E586" s="3">
        <f>IF('ORDENES'!$A564="","",IF('ORDENES'!$V564="","-",'ORDENES'!$V564))</f>
        <v/>
      </c>
      <c r="F586" s="3">
        <f>IF('ORDENES'!$A564="","",IF('ORDENES'!$Y564="","-",'ORDENES'!$Y564))</f>
        <v/>
      </c>
      <c r="G586" s="3">
        <f>IF('ORDENES'!$A564="","",IF('ORDENES'!$W564="","-",'ORDENES'!$W564))</f>
        <v/>
      </c>
      <c r="H586" s="3">
        <f>IF('ORDENES'!$A564="","",IF('ORDENES'!$AE564="","-",'ORDENES'!$AE564))</f>
        <v/>
      </c>
      <c r="I586" s="3">
        <f>IF('ORDENES'!$A564="","",IF('ORDENES'!$AQ564="","-",'ORDENES'!$AQ564))</f>
        <v/>
      </c>
      <c r="J586" s="3">
        <f>IF('ORDENES'!$A564="","",IF('ORDENES'!$D564="","-",'ORDENES'!$D564))</f>
        <v/>
      </c>
      <c r="K586" s="3">
        <f>IF('ORDENES'!$A564="","",IF('ORDENES'!$E564="","-",'ORDENES'!$E564))</f>
        <v/>
      </c>
      <c r="L586" s="13">
        <f>IF('ORDENES'!$A564="","",IF('ORDENES'!$M564="",0,'ORDENES'!$M564))</f>
        <v/>
      </c>
      <c r="M586" s="3">
        <f>IF('ORDENES'!$A564="","",IF('ORDENES'!$N564="","-",'ORDENES'!$N564))</f>
        <v/>
      </c>
      <c r="N586" s="3">
        <f>IF('ORDENES'!$A564="","",'ORDENES'!$AD564)</f>
        <v/>
      </c>
    </row>
    <row r="587">
      <c r="A587" s="3">
        <f>IF('ORDENES'!$A565="","",IF('ORDENES'!$O565="","-",'ORDENES'!$O565))</f>
        <v/>
      </c>
      <c r="B587" s="3">
        <f>IF('ORDENES'!$A565="","",IF('ORDENES'!$R565="","-",'ORDENES'!$R565))</f>
        <v/>
      </c>
      <c r="C587" s="3">
        <f>IF('ORDENES'!$A565="","",IF('ORDENES'!$AF565="","-",'ORDENES'!$AF565))</f>
        <v/>
      </c>
      <c r="D587" s="3">
        <f>IF('ORDENES'!$A565="","",IF('ORDENES'!$X565="","-",'ORDENES'!$X565))</f>
        <v/>
      </c>
      <c r="E587" s="3">
        <f>IF('ORDENES'!$A565="","",IF('ORDENES'!$V565="","-",'ORDENES'!$V565))</f>
        <v/>
      </c>
      <c r="F587" s="3">
        <f>IF('ORDENES'!$A565="","",IF('ORDENES'!$Y565="","-",'ORDENES'!$Y565))</f>
        <v/>
      </c>
      <c r="G587" s="3">
        <f>IF('ORDENES'!$A565="","",IF('ORDENES'!$W565="","-",'ORDENES'!$W565))</f>
        <v/>
      </c>
      <c r="H587" s="3">
        <f>IF('ORDENES'!$A565="","",IF('ORDENES'!$AE565="","-",'ORDENES'!$AE565))</f>
        <v/>
      </c>
      <c r="I587" s="3">
        <f>IF('ORDENES'!$A565="","",IF('ORDENES'!$AQ565="","-",'ORDENES'!$AQ565))</f>
        <v/>
      </c>
      <c r="J587" s="3">
        <f>IF('ORDENES'!$A565="","",IF('ORDENES'!$D565="","-",'ORDENES'!$D565))</f>
        <v/>
      </c>
      <c r="K587" s="3">
        <f>IF('ORDENES'!$A565="","",IF('ORDENES'!$E565="","-",'ORDENES'!$E565))</f>
        <v/>
      </c>
      <c r="L587" s="13">
        <f>IF('ORDENES'!$A565="","",IF('ORDENES'!$M565="",0,'ORDENES'!$M565))</f>
        <v/>
      </c>
      <c r="M587" s="3">
        <f>IF('ORDENES'!$A565="","",IF('ORDENES'!$N565="","-",'ORDENES'!$N565))</f>
        <v/>
      </c>
      <c r="N587" s="3">
        <f>IF('ORDENES'!$A565="","",'ORDENES'!$AD565)</f>
        <v/>
      </c>
    </row>
    <row r="588">
      <c r="A588" s="3">
        <f>IF('ORDENES'!$A566="","",IF('ORDENES'!$O566="","-",'ORDENES'!$O566))</f>
        <v/>
      </c>
      <c r="B588" s="3">
        <f>IF('ORDENES'!$A566="","",IF('ORDENES'!$R566="","-",'ORDENES'!$R566))</f>
        <v/>
      </c>
      <c r="C588" s="3">
        <f>IF('ORDENES'!$A566="","",IF('ORDENES'!$AF566="","-",'ORDENES'!$AF566))</f>
        <v/>
      </c>
      <c r="D588" s="3">
        <f>IF('ORDENES'!$A566="","",IF('ORDENES'!$X566="","-",'ORDENES'!$X566))</f>
        <v/>
      </c>
      <c r="E588" s="3">
        <f>IF('ORDENES'!$A566="","",IF('ORDENES'!$V566="","-",'ORDENES'!$V566))</f>
        <v/>
      </c>
      <c r="F588" s="3">
        <f>IF('ORDENES'!$A566="","",IF('ORDENES'!$Y566="","-",'ORDENES'!$Y566))</f>
        <v/>
      </c>
      <c r="G588" s="3">
        <f>IF('ORDENES'!$A566="","",IF('ORDENES'!$W566="","-",'ORDENES'!$W566))</f>
        <v/>
      </c>
      <c r="H588" s="3">
        <f>IF('ORDENES'!$A566="","",IF('ORDENES'!$AE566="","-",'ORDENES'!$AE566))</f>
        <v/>
      </c>
      <c r="I588" s="3">
        <f>IF('ORDENES'!$A566="","",IF('ORDENES'!$AQ566="","-",'ORDENES'!$AQ566))</f>
        <v/>
      </c>
      <c r="J588" s="3">
        <f>IF('ORDENES'!$A566="","",IF('ORDENES'!$D566="","-",'ORDENES'!$D566))</f>
        <v/>
      </c>
      <c r="K588" s="3">
        <f>IF('ORDENES'!$A566="","",IF('ORDENES'!$E566="","-",'ORDENES'!$E566))</f>
        <v/>
      </c>
      <c r="L588" s="13">
        <f>IF('ORDENES'!$A566="","",IF('ORDENES'!$M566="",0,'ORDENES'!$M566))</f>
        <v/>
      </c>
      <c r="M588" s="3">
        <f>IF('ORDENES'!$A566="","",IF('ORDENES'!$N566="","-",'ORDENES'!$N566))</f>
        <v/>
      </c>
      <c r="N588" s="3">
        <f>IF('ORDENES'!$A566="","",'ORDENES'!$AD566)</f>
        <v/>
      </c>
    </row>
    <row r="589">
      <c r="A589" s="3">
        <f>IF('ORDENES'!$A567="","",IF('ORDENES'!$O567="","-",'ORDENES'!$O567))</f>
        <v/>
      </c>
      <c r="B589" s="3">
        <f>IF('ORDENES'!$A567="","",IF('ORDENES'!$R567="","-",'ORDENES'!$R567))</f>
        <v/>
      </c>
      <c r="C589" s="3">
        <f>IF('ORDENES'!$A567="","",IF('ORDENES'!$AF567="","-",'ORDENES'!$AF567))</f>
        <v/>
      </c>
      <c r="D589" s="3">
        <f>IF('ORDENES'!$A567="","",IF('ORDENES'!$X567="","-",'ORDENES'!$X567))</f>
        <v/>
      </c>
      <c r="E589" s="3">
        <f>IF('ORDENES'!$A567="","",IF('ORDENES'!$V567="","-",'ORDENES'!$V567))</f>
        <v/>
      </c>
      <c r="F589" s="3">
        <f>IF('ORDENES'!$A567="","",IF('ORDENES'!$Y567="","-",'ORDENES'!$Y567))</f>
        <v/>
      </c>
      <c r="G589" s="3">
        <f>IF('ORDENES'!$A567="","",IF('ORDENES'!$W567="","-",'ORDENES'!$W567))</f>
        <v/>
      </c>
      <c r="H589" s="3">
        <f>IF('ORDENES'!$A567="","",IF('ORDENES'!$AE567="","-",'ORDENES'!$AE567))</f>
        <v/>
      </c>
      <c r="I589" s="3">
        <f>IF('ORDENES'!$A567="","",IF('ORDENES'!$AQ567="","-",'ORDENES'!$AQ567))</f>
        <v/>
      </c>
      <c r="J589" s="3">
        <f>IF('ORDENES'!$A567="","",IF('ORDENES'!$D567="","-",'ORDENES'!$D567))</f>
        <v/>
      </c>
      <c r="K589" s="3">
        <f>IF('ORDENES'!$A567="","",IF('ORDENES'!$E567="","-",'ORDENES'!$E567))</f>
        <v/>
      </c>
      <c r="L589" s="13">
        <f>IF('ORDENES'!$A567="","",IF('ORDENES'!$M567="",0,'ORDENES'!$M567))</f>
        <v/>
      </c>
      <c r="M589" s="3">
        <f>IF('ORDENES'!$A567="","",IF('ORDENES'!$N567="","-",'ORDENES'!$N567))</f>
        <v/>
      </c>
      <c r="N589" s="3">
        <f>IF('ORDENES'!$A567="","",'ORDENES'!$AD567)</f>
        <v/>
      </c>
    </row>
    <row r="590">
      <c r="A590" s="3">
        <f>IF('ORDENES'!$A568="","",IF('ORDENES'!$O568="","-",'ORDENES'!$O568))</f>
        <v/>
      </c>
      <c r="B590" s="3">
        <f>IF('ORDENES'!$A568="","",IF('ORDENES'!$R568="","-",'ORDENES'!$R568))</f>
        <v/>
      </c>
      <c r="C590" s="3">
        <f>IF('ORDENES'!$A568="","",IF('ORDENES'!$AF568="","-",'ORDENES'!$AF568))</f>
        <v/>
      </c>
      <c r="D590" s="3">
        <f>IF('ORDENES'!$A568="","",IF('ORDENES'!$X568="","-",'ORDENES'!$X568))</f>
        <v/>
      </c>
      <c r="E590" s="3">
        <f>IF('ORDENES'!$A568="","",IF('ORDENES'!$V568="","-",'ORDENES'!$V568))</f>
        <v/>
      </c>
      <c r="F590" s="3">
        <f>IF('ORDENES'!$A568="","",IF('ORDENES'!$Y568="","-",'ORDENES'!$Y568))</f>
        <v/>
      </c>
      <c r="G590" s="3">
        <f>IF('ORDENES'!$A568="","",IF('ORDENES'!$W568="","-",'ORDENES'!$W568))</f>
        <v/>
      </c>
      <c r="H590" s="3">
        <f>IF('ORDENES'!$A568="","",IF('ORDENES'!$AE568="","-",'ORDENES'!$AE568))</f>
        <v/>
      </c>
      <c r="I590" s="3">
        <f>IF('ORDENES'!$A568="","",IF('ORDENES'!$AQ568="","-",'ORDENES'!$AQ568))</f>
        <v/>
      </c>
      <c r="J590" s="3">
        <f>IF('ORDENES'!$A568="","",IF('ORDENES'!$D568="","-",'ORDENES'!$D568))</f>
        <v/>
      </c>
      <c r="K590" s="3">
        <f>IF('ORDENES'!$A568="","",IF('ORDENES'!$E568="","-",'ORDENES'!$E568))</f>
        <v/>
      </c>
      <c r="L590" s="13">
        <f>IF('ORDENES'!$A568="","",IF('ORDENES'!$M568="",0,'ORDENES'!$M568))</f>
        <v/>
      </c>
      <c r="M590" s="3">
        <f>IF('ORDENES'!$A568="","",IF('ORDENES'!$N568="","-",'ORDENES'!$N568))</f>
        <v/>
      </c>
      <c r="N590" s="3">
        <f>IF('ORDENES'!$A568="","",'ORDENES'!$AD568)</f>
        <v/>
      </c>
    </row>
    <row r="591">
      <c r="A591" s="3">
        <f>IF('ORDENES'!$A569="","",IF('ORDENES'!$O569="","-",'ORDENES'!$O569))</f>
        <v/>
      </c>
      <c r="B591" s="3">
        <f>IF('ORDENES'!$A569="","",IF('ORDENES'!$R569="","-",'ORDENES'!$R569))</f>
        <v/>
      </c>
      <c r="C591" s="3">
        <f>IF('ORDENES'!$A569="","",IF('ORDENES'!$AF569="","-",'ORDENES'!$AF569))</f>
        <v/>
      </c>
      <c r="D591" s="3">
        <f>IF('ORDENES'!$A569="","",IF('ORDENES'!$X569="","-",'ORDENES'!$X569))</f>
        <v/>
      </c>
      <c r="E591" s="3">
        <f>IF('ORDENES'!$A569="","",IF('ORDENES'!$V569="","-",'ORDENES'!$V569))</f>
        <v/>
      </c>
      <c r="F591" s="3">
        <f>IF('ORDENES'!$A569="","",IF('ORDENES'!$Y569="","-",'ORDENES'!$Y569))</f>
        <v/>
      </c>
      <c r="G591" s="3">
        <f>IF('ORDENES'!$A569="","",IF('ORDENES'!$W569="","-",'ORDENES'!$W569))</f>
        <v/>
      </c>
      <c r="H591" s="3">
        <f>IF('ORDENES'!$A569="","",IF('ORDENES'!$AE569="","-",'ORDENES'!$AE569))</f>
        <v/>
      </c>
      <c r="I591" s="3">
        <f>IF('ORDENES'!$A569="","",IF('ORDENES'!$AQ569="","-",'ORDENES'!$AQ569))</f>
        <v/>
      </c>
      <c r="J591" s="3">
        <f>IF('ORDENES'!$A569="","",IF('ORDENES'!$D569="","-",'ORDENES'!$D569))</f>
        <v/>
      </c>
      <c r="K591" s="3">
        <f>IF('ORDENES'!$A569="","",IF('ORDENES'!$E569="","-",'ORDENES'!$E569))</f>
        <v/>
      </c>
      <c r="L591" s="13">
        <f>IF('ORDENES'!$A569="","",IF('ORDENES'!$M569="",0,'ORDENES'!$M569))</f>
        <v/>
      </c>
      <c r="M591" s="3">
        <f>IF('ORDENES'!$A569="","",IF('ORDENES'!$N569="","-",'ORDENES'!$N569))</f>
        <v/>
      </c>
      <c r="N591" s="3">
        <f>IF('ORDENES'!$A569="","",'ORDENES'!$AD569)</f>
        <v/>
      </c>
    </row>
    <row r="592">
      <c r="A592" s="3">
        <f>IF('ORDENES'!$A570="","",IF('ORDENES'!$O570="","-",'ORDENES'!$O570))</f>
        <v/>
      </c>
      <c r="B592" s="3">
        <f>IF('ORDENES'!$A570="","",IF('ORDENES'!$R570="","-",'ORDENES'!$R570))</f>
        <v/>
      </c>
      <c r="C592" s="3">
        <f>IF('ORDENES'!$A570="","",IF('ORDENES'!$AF570="","-",'ORDENES'!$AF570))</f>
        <v/>
      </c>
      <c r="D592" s="3">
        <f>IF('ORDENES'!$A570="","",IF('ORDENES'!$X570="","-",'ORDENES'!$X570))</f>
        <v/>
      </c>
      <c r="E592" s="3">
        <f>IF('ORDENES'!$A570="","",IF('ORDENES'!$V570="","-",'ORDENES'!$V570))</f>
        <v/>
      </c>
      <c r="F592" s="3">
        <f>IF('ORDENES'!$A570="","",IF('ORDENES'!$Y570="","-",'ORDENES'!$Y570))</f>
        <v/>
      </c>
      <c r="G592" s="3">
        <f>IF('ORDENES'!$A570="","",IF('ORDENES'!$W570="","-",'ORDENES'!$W570))</f>
        <v/>
      </c>
      <c r="H592" s="3">
        <f>IF('ORDENES'!$A570="","",IF('ORDENES'!$AE570="","-",'ORDENES'!$AE570))</f>
        <v/>
      </c>
      <c r="I592" s="3">
        <f>IF('ORDENES'!$A570="","",IF('ORDENES'!$AQ570="","-",'ORDENES'!$AQ570))</f>
        <v/>
      </c>
      <c r="J592" s="3">
        <f>IF('ORDENES'!$A570="","",IF('ORDENES'!$D570="","-",'ORDENES'!$D570))</f>
        <v/>
      </c>
      <c r="K592" s="3">
        <f>IF('ORDENES'!$A570="","",IF('ORDENES'!$E570="","-",'ORDENES'!$E570))</f>
        <v/>
      </c>
      <c r="L592" s="13">
        <f>IF('ORDENES'!$A570="","",IF('ORDENES'!$M570="",0,'ORDENES'!$M570))</f>
        <v/>
      </c>
      <c r="M592" s="3">
        <f>IF('ORDENES'!$A570="","",IF('ORDENES'!$N570="","-",'ORDENES'!$N570))</f>
        <v/>
      </c>
      <c r="N592" s="3">
        <f>IF('ORDENES'!$A570="","",'ORDENES'!$AD570)</f>
        <v/>
      </c>
    </row>
    <row r="593">
      <c r="A593" s="3">
        <f>IF('ORDENES'!$A571="","",IF('ORDENES'!$O571="","-",'ORDENES'!$O571))</f>
        <v/>
      </c>
      <c r="B593" s="3">
        <f>IF('ORDENES'!$A571="","",IF('ORDENES'!$R571="","-",'ORDENES'!$R571))</f>
        <v/>
      </c>
      <c r="C593" s="3">
        <f>IF('ORDENES'!$A571="","",IF('ORDENES'!$AF571="","-",'ORDENES'!$AF571))</f>
        <v/>
      </c>
      <c r="D593" s="3">
        <f>IF('ORDENES'!$A571="","",IF('ORDENES'!$X571="","-",'ORDENES'!$X571))</f>
        <v/>
      </c>
      <c r="E593" s="3">
        <f>IF('ORDENES'!$A571="","",IF('ORDENES'!$V571="","-",'ORDENES'!$V571))</f>
        <v/>
      </c>
      <c r="F593" s="3">
        <f>IF('ORDENES'!$A571="","",IF('ORDENES'!$Y571="","-",'ORDENES'!$Y571))</f>
        <v/>
      </c>
      <c r="G593" s="3">
        <f>IF('ORDENES'!$A571="","",IF('ORDENES'!$W571="","-",'ORDENES'!$W571))</f>
        <v/>
      </c>
      <c r="H593" s="3">
        <f>IF('ORDENES'!$A571="","",IF('ORDENES'!$AE571="","-",'ORDENES'!$AE571))</f>
        <v/>
      </c>
      <c r="I593" s="3">
        <f>IF('ORDENES'!$A571="","",IF('ORDENES'!$AQ571="","-",'ORDENES'!$AQ571))</f>
        <v/>
      </c>
      <c r="J593" s="3">
        <f>IF('ORDENES'!$A571="","",IF('ORDENES'!$D571="","-",'ORDENES'!$D571))</f>
        <v/>
      </c>
      <c r="K593" s="3">
        <f>IF('ORDENES'!$A571="","",IF('ORDENES'!$E571="","-",'ORDENES'!$E571))</f>
        <v/>
      </c>
      <c r="L593" s="13">
        <f>IF('ORDENES'!$A571="","",IF('ORDENES'!$M571="",0,'ORDENES'!$M571))</f>
        <v/>
      </c>
      <c r="M593" s="3">
        <f>IF('ORDENES'!$A571="","",IF('ORDENES'!$N571="","-",'ORDENES'!$N571))</f>
        <v/>
      </c>
      <c r="N593" s="3">
        <f>IF('ORDENES'!$A571="","",'ORDENES'!$AD571)</f>
        <v/>
      </c>
    </row>
    <row r="594">
      <c r="A594" s="3">
        <f>IF('ORDENES'!$A572="","",IF('ORDENES'!$O572="","-",'ORDENES'!$O572))</f>
        <v/>
      </c>
      <c r="B594" s="3">
        <f>IF('ORDENES'!$A572="","",IF('ORDENES'!$R572="","-",'ORDENES'!$R572))</f>
        <v/>
      </c>
      <c r="C594" s="3">
        <f>IF('ORDENES'!$A572="","",IF('ORDENES'!$AF572="","-",'ORDENES'!$AF572))</f>
        <v/>
      </c>
      <c r="D594" s="3">
        <f>IF('ORDENES'!$A572="","",IF('ORDENES'!$X572="","-",'ORDENES'!$X572))</f>
        <v/>
      </c>
      <c r="E594" s="3">
        <f>IF('ORDENES'!$A572="","",IF('ORDENES'!$V572="","-",'ORDENES'!$V572))</f>
        <v/>
      </c>
      <c r="F594" s="3">
        <f>IF('ORDENES'!$A572="","",IF('ORDENES'!$Y572="","-",'ORDENES'!$Y572))</f>
        <v/>
      </c>
      <c r="G594" s="3">
        <f>IF('ORDENES'!$A572="","",IF('ORDENES'!$W572="","-",'ORDENES'!$W572))</f>
        <v/>
      </c>
      <c r="H594" s="3">
        <f>IF('ORDENES'!$A572="","",IF('ORDENES'!$AE572="","-",'ORDENES'!$AE572))</f>
        <v/>
      </c>
      <c r="I594" s="3">
        <f>IF('ORDENES'!$A572="","",IF('ORDENES'!$AQ572="","-",'ORDENES'!$AQ572))</f>
        <v/>
      </c>
      <c r="J594" s="3">
        <f>IF('ORDENES'!$A572="","",IF('ORDENES'!$D572="","-",'ORDENES'!$D572))</f>
        <v/>
      </c>
      <c r="K594" s="3">
        <f>IF('ORDENES'!$A572="","",IF('ORDENES'!$E572="","-",'ORDENES'!$E572))</f>
        <v/>
      </c>
      <c r="L594" s="13">
        <f>IF('ORDENES'!$A572="","",IF('ORDENES'!$M572="",0,'ORDENES'!$M572))</f>
        <v/>
      </c>
      <c r="M594" s="3">
        <f>IF('ORDENES'!$A572="","",IF('ORDENES'!$N572="","-",'ORDENES'!$N572))</f>
        <v/>
      </c>
      <c r="N594" s="3">
        <f>IF('ORDENES'!$A572="","",'ORDENES'!$AD572)</f>
        <v/>
      </c>
    </row>
    <row r="595">
      <c r="A595" s="3">
        <f>IF('ORDENES'!$A573="","",IF('ORDENES'!$O573="","-",'ORDENES'!$O573))</f>
        <v/>
      </c>
      <c r="B595" s="3">
        <f>IF('ORDENES'!$A573="","",IF('ORDENES'!$R573="","-",'ORDENES'!$R573))</f>
        <v/>
      </c>
      <c r="C595" s="3">
        <f>IF('ORDENES'!$A573="","",IF('ORDENES'!$AF573="","-",'ORDENES'!$AF573))</f>
        <v/>
      </c>
      <c r="D595" s="3">
        <f>IF('ORDENES'!$A573="","",IF('ORDENES'!$X573="","-",'ORDENES'!$X573))</f>
        <v/>
      </c>
      <c r="E595" s="3">
        <f>IF('ORDENES'!$A573="","",IF('ORDENES'!$V573="","-",'ORDENES'!$V573))</f>
        <v/>
      </c>
      <c r="F595" s="3">
        <f>IF('ORDENES'!$A573="","",IF('ORDENES'!$Y573="","-",'ORDENES'!$Y573))</f>
        <v/>
      </c>
      <c r="G595" s="3">
        <f>IF('ORDENES'!$A573="","",IF('ORDENES'!$W573="","-",'ORDENES'!$W573))</f>
        <v/>
      </c>
      <c r="H595" s="3">
        <f>IF('ORDENES'!$A573="","",IF('ORDENES'!$AE573="","-",'ORDENES'!$AE573))</f>
        <v/>
      </c>
      <c r="I595" s="3">
        <f>IF('ORDENES'!$A573="","",IF('ORDENES'!$AQ573="","-",'ORDENES'!$AQ573))</f>
        <v/>
      </c>
      <c r="J595" s="3">
        <f>IF('ORDENES'!$A573="","",IF('ORDENES'!$D573="","-",'ORDENES'!$D573))</f>
        <v/>
      </c>
      <c r="K595" s="3">
        <f>IF('ORDENES'!$A573="","",IF('ORDENES'!$E573="","-",'ORDENES'!$E573))</f>
        <v/>
      </c>
      <c r="L595" s="13">
        <f>IF('ORDENES'!$A573="","",IF('ORDENES'!$M573="",0,'ORDENES'!$M573))</f>
        <v/>
      </c>
      <c r="M595" s="3">
        <f>IF('ORDENES'!$A573="","",IF('ORDENES'!$N573="","-",'ORDENES'!$N573))</f>
        <v/>
      </c>
      <c r="N595" s="3">
        <f>IF('ORDENES'!$A573="","",'ORDENES'!$AD573)</f>
        <v/>
      </c>
    </row>
    <row r="596">
      <c r="A596" s="3">
        <f>IF('ORDENES'!$A574="","",IF('ORDENES'!$O574="","-",'ORDENES'!$O574))</f>
        <v/>
      </c>
      <c r="B596" s="3">
        <f>IF('ORDENES'!$A574="","",IF('ORDENES'!$R574="","-",'ORDENES'!$R574))</f>
        <v/>
      </c>
      <c r="C596" s="3">
        <f>IF('ORDENES'!$A574="","",IF('ORDENES'!$AF574="","-",'ORDENES'!$AF574))</f>
        <v/>
      </c>
      <c r="D596" s="3">
        <f>IF('ORDENES'!$A574="","",IF('ORDENES'!$X574="","-",'ORDENES'!$X574))</f>
        <v/>
      </c>
      <c r="E596" s="3">
        <f>IF('ORDENES'!$A574="","",IF('ORDENES'!$V574="","-",'ORDENES'!$V574))</f>
        <v/>
      </c>
      <c r="F596" s="3">
        <f>IF('ORDENES'!$A574="","",IF('ORDENES'!$Y574="","-",'ORDENES'!$Y574))</f>
        <v/>
      </c>
      <c r="G596" s="3">
        <f>IF('ORDENES'!$A574="","",IF('ORDENES'!$W574="","-",'ORDENES'!$W574))</f>
        <v/>
      </c>
      <c r="H596" s="3">
        <f>IF('ORDENES'!$A574="","",IF('ORDENES'!$AE574="","-",'ORDENES'!$AE574))</f>
        <v/>
      </c>
      <c r="I596" s="3">
        <f>IF('ORDENES'!$A574="","",IF('ORDENES'!$AQ574="","-",'ORDENES'!$AQ574))</f>
        <v/>
      </c>
      <c r="J596" s="3">
        <f>IF('ORDENES'!$A574="","",IF('ORDENES'!$D574="","-",'ORDENES'!$D574))</f>
        <v/>
      </c>
      <c r="K596" s="3">
        <f>IF('ORDENES'!$A574="","",IF('ORDENES'!$E574="","-",'ORDENES'!$E574))</f>
        <v/>
      </c>
      <c r="L596" s="13">
        <f>IF('ORDENES'!$A574="","",IF('ORDENES'!$M574="",0,'ORDENES'!$M574))</f>
        <v/>
      </c>
      <c r="M596" s="3">
        <f>IF('ORDENES'!$A574="","",IF('ORDENES'!$N574="","-",'ORDENES'!$N574))</f>
        <v/>
      </c>
      <c r="N596" s="3">
        <f>IF('ORDENES'!$A574="","",'ORDENES'!$AD574)</f>
        <v/>
      </c>
    </row>
    <row r="597">
      <c r="A597" s="3">
        <f>IF('ORDENES'!$A575="","",IF('ORDENES'!$O575="","-",'ORDENES'!$O575))</f>
        <v/>
      </c>
      <c r="B597" s="3">
        <f>IF('ORDENES'!$A575="","",IF('ORDENES'!$R575="","-",'ORDENES'!$R575))</f>
        <v/>
      </c>
      <c r="C597" s="3">
        <f>IF('ORDENES'!$A575="","",IF('ORDENES'!$AF575="","-",'ORDENES'!$AF575))</f>
        <v/>
      </c>
      <c r="D597" s="3">
        <f>IF('ORDENES'!$A575="","",IF('ORDENES'!$X575="","-",'ORDENES'!$X575))</f>
        <v/>
      </c>
      <c r="E597" s="3">
        <f>IF('ORDENES'!$A575="","",IF('ORDENES'!$V575="","-",'ORDENES'!$V575))</f>
        <v/>
      </c>
      <c r="F597" s="3">
        <f>IF('ORDENES'!$A575="","",IF('ORDENES'!$Y575="","-",'ORDENES'!$Y575))</f>
        <v/>
      </c>
      <c r="G597" s="3">
        <f>IF('ORDENES'!$A575="","",IF('ORDENES'!$W575="","-",'ORDENES'!$W575))</f>
        <v/>
      </c>
      <c r="H597" s="3">
        <f>IF('ORDENES'!$A575="","",IF('ORDENES'!$AE575="","-",'ORDENES'!$AE575))</f>
        <v/>
      </c>
      <c r="I597" s="3">
        <f>IF('ORDENES'!$A575="","",IF('ORDENES'!$AQ575="","-",'ORDENES'!$AQ575))</f>
        <v/>
      </c>
      <c r="J597" s="3">
        <f>IF('ORDENES'!$A575="","",IF('ORDENES'!$D575="","-",'ORDENES'!$D575))</f>
        <v/>
      </c>
      <c r="K597" s="3">
        <f>IF('ORDENES'!$A575="","",IF('ORDENES'!$E575="","-",'ORDENES'!$E575))</f>
        <v/>
      </c>
      <c r="L597" s="13">
        <f>IF('ORDENES'!$A575="","",IF('ORDENES'!$M575="",0,'ORDENES'!$M575))</f>
        <v/>
      </c>
      <c r="M597" s="3">
        <f>IF('ORDENES'!$A575="","",IF('ORDENES'!$N575="","-",'ORDENES'!$N575))</f>
        <v/>
      </c>
      <c r="N597" s="3">
        <f>IF('ORDENES'!$A575="","",'ORDENES'!$AD575)</f>
        <v/>
      </c>
    </row>
    <row r="598">
      <c r="A598" s="3">
        <f>IF('ORDENES'!$A576="","",IF('ORDENES'!$O576="","-",'ORDENES'!$O576))</f>
        <v/>
      </c>
      <c r="B598" s="3">
        <f>IF('ORDENES'!$A576="","",IF('ORDENES'!$R576="","-",'ORDENES'!$R576))</f>
        <v/>
      </c>
      <c r="C598" s="3">
        <f>IF('ORDENES'!$A576="","",IF('ORDENES'!$AF576="","-",'ORDENES'!$AF576))</f>
        <v/>
      </c>
      <c r="D598" s="3">
        <f>IF('ORDENES'!$A576="","",IF('ORDENES'!$X576="","-",'ORDENES'!$X576))</f>
        <v/>
      </c>
      <c r="E598" s="3">
        <f>IF('ORDENES'!$A576="","",IF('ORDENES'!$V576="","-",'ORDENES'!$V576))</f>
        <v/>
      </c>
      <c r="F598" s="3">
        <f>IF('ORDENES'!$A576="","",IF('ORDENES'!$Y576="","-",'ORDENES'!$Y576))</f>
        <v/>
      </c>
      <c r="G598" s="3">
        <f>IF('ORDENES'!$A576="","",IF('ORDENES'!$W576="","-",'ORDENES'!$W576))</f>
        <v/>
      </c>
      <c r="H598" s="3">
        <f>IF('ORDENES'!$A576="","",IF('ORDENES'!$AE576="","-",'ORDENES'!$AE576))</f>
        <v/>
      </c>
      <c r="I598" s="3">
        <f>IF('ORDENES'!$A576="","",IF('ORDENES'!$AQ576="","-",'ORDENES'!$AQ576))</f>
        <v/>
      </c>
      <c r="J598" s="3">
        <f>IF('ORDENES'!$A576="","",IF('ORDENES'!$D576="","-",'ORDENES'!$D576))</f>
        <v/>
      </c>
      <c r="K598" s="3">
        <f>IF('ORDENES'!$A576="","",IF('ORDENES'!$E576="","-",'ORDENES'!$E576))</f>
        <v/>
      </c>
      <c r="L598" s="13">
        <f>IF('ORDENES'!$A576="","",IF('ORDENES'!$M576="",0,'ORDENES'!$M576))</f>
        <v/>
      </c>
      <c r="M598" s="3">
        <f>IF('ORDENES'!$A576="","",IF('ORDENES'!$N576="","-",'ORDENES'!$N576))</f>
        <v/>
      </c>
      <c r="N598" s="3">
        <f>IF('ORDENES'!$A576="","",'ORDENES'!$AD576)</f>
        <v/>
      </c>
    </row>
    <row r="599">
      <c r="A599" s="3">
        <f>IF('ORDENES'!$A577="","",IF('ORDENES'!$O577="","-",'ORDENES'!$O577))</f>
        <v/>
      </c>
      <c r="B599" s="3">
        <f>IF('ORDENES'!$A577="","",IF('ORDENES'!$R577="","-",'ORDENES'!$R577))</f>
        <v/>
      </c>
      <c r="C599" s="3">
        <f>IF('ORDENES'!$A577="","",IF('ORDENES'!$AF577="","-",'ORDENES'!$AF577))</f>
        <v/>
      </c>
      <c r="D599" s="3">
        <f>IF('ORDENES'!$A577="","",IF('ORDENES'!$X577="","-",'ORDENES'!$X577))</f>
        <v/>
      </c>
      <c r="E599" s="3">
        <f>IF('ORDENES'!$A577="","",IF('ORDENES'!$V577="","-",'ORDENES'!$V577))</f>
        <v/>
      </c>
      <c r="F599" s="3">
        <f>IF('ORDENES'!$A577="","",IF('ORDENES'!$Y577="","-",'ORDENES'!$Y577))</f>
        <v/>
      </c>
      <c r="G599" s="3">
        <f>IF('ORDENES'!$A577="","",IF('ORDENES'!$W577="","-",'ORDENES'!$W577))</f>
        <v/>
      </c>
      <c r="H599" s="3">
        <f>IF('ORDENES'!$A577="","",IF('ORDENES'!$AE577="","-",'ORDENES'!$AE577))</f>
        <v/>
      </c>
      <c r="I599" s="3">
        <f>IF('ORDENES'!$A577="","",IF('ORDENES'!$AQ577="","-",'ORDENES'!$AQ577))</f>
        <v/>
      </c>
      <c r="J599" s="3">
        <f>IF('ORDENES'!$A577="","",IF('ORDENES'!$D577="","-",'ORDENES'!$D577))</f>
        <v/>
      </c>
      <c r="K599" s="3">
        <f>IF('ORDENES'!$A577="","",IF('ORDENES'!$E577="","-",'ORDENES'!$E577))</f>
        <v/>
      </c>
      <c r="L599" s="13">
        <f>IF('ORDENES'!$A577="","",IF('ORDENES'!$M577="",0,'ORDENES'!$M577))</f>
        <v/>
      </c>
      <c r="M599" s="3">
        <f>IF('ORDENES'!$A577="","",IF('ORDENES'!$N577="","-",'ORDENES'!$N577))</f>
        <v/>
      </c>
      <c r="N599" s="3">
        <f>IF('ORDENES'!$A577="","",'ORDENES'!$AD577)</f>
        <v/>
      </c>
    </row>
    <row r="600">
      <c r="A600" s="3">
        <f>IF('ORDENES'!$A578="","",IF('ORDENES'!$O578="","-",'ORDENES'!$O578))</f>
        <v/>
      </c>
      <c r="B600" s="3">
        <f>IF('ORDENES'!$A578="","",IF('ORDENES'!$R578="","-",'ORDENES'!$R578))</f>
        <v/>
      </c>
      <c r="C600" s="3">
        <f>IF('ORDENES'!$A578="","",IF('ORDENES'!$AF578="","-",'ORDENES'!$AF578))</f>
        <v/>
      </c>
      <c r="D600" s="3">
        <f>IF('ORDENES'!$A578="","",IF('ORDENES'!$X578="","-",'ORDENES'!$X578))</f>
        <v/>
      </c>
      <c r="E600" s="3">
        <f>IF('ORDENES'!$A578="","",IF('ORDENES'!$V578="","-",'ORDENES'!$V578))</f>
        <v/>
      </c>
      <c r="F600" s="3">
        <f>IF('ORDENES'!$A578="","",IF('ORDENES'!$Y578="","-",'ORDENES'!$Y578))</f>
        <v/>
      </c>
      <c r="G600" s="3">
        <f>IF('ORDENES'!$A578="","",IF('ORDENES'!$W578="","-",'ORDENES'!$W578))</f>
        <v/>
      </c>
      <c r="H600" s="3">
        <f>IF('ORDENES'!$A578="","",IF('ORDENES'!$AE578="","-",'ORDENES'!$AE578))</f>
        <v/>
      </c>
      <c r="I600" s="3">
        <f>IF('ORDENES'!$A578="","",IF('ORDENES'!$AQ578="","-",'ORDENES'!$AQ578))</f>
        <v/>
      </c>
      <c r="J600" s="3">
        <f>IF('ORDENES'!$A578="","",IF('ORDENES'!$D578="","-",'ORDENES'!$D578))</f>
        <v/>
      </c>
      <c r="K600" s="3">
        <f>IF('ORDENES'!$A578="","",IF('ORDENES'!$E578="","-",'ORDENES'!$E578))</f>
        <v/>
      </c>
      <c r="L600" s="13">
        <f>IF('ORDENES'!$A578="","",IF('ORDENES'!$M578="",0,'ORDENES'!$M578))</f>
        <v/>
      </c>
      <c r="M600" s="3">
        <f>IF('ORDENES'!$A578="","",IF('ORDENES'!$N578="","-",'ORDENES'!$N578))</f>
        <v/>
      </c>
      <c r="N600" s="3">
        <f>IF('ORDENES'!$A578="","",'ORDENES'!$AD578)</f>
        <v/>
      </c>
    </row>
    <row r="601">
      <c r="A601" s="3">
        <f>IF('ORDENES'!$A579="","",IF('ORDENES'!$O579="","-",'ORDENES'!$O579))</f>
        <v/>
      </c>
      <c r="B601" s="3">
        <f>IF('ORDENES'!$A579="","",IF('ORDENES'!$R579="","-",'ORDENES'!$R579))</f>
        <v/>
      </c>
      <c r="C601" s="3">
        <f>IF('ORDENES'!$A579="","",IF('ORDENES'!$AF579="","-",'ORDENES'!$AF579))</f>
        <v/>
      </c>
      <c r="D601" s="3">
        <f>IF('ORDENES'!$A579="","",IF('ORDENES'!$X579="","-",'ORDENES'!$X579))</f>
        <v/>
      </c>
      <c r="E601" s="3">
        <f>IF('ORDENES'!$A579="","",IF('ORDENES'!$V579="","-",'ORDENES'!$V579))</f>
        <v/>
      </c>
      <c r="F601" s="3">
        <f>IF('ORDENES'!$A579="","",IF('ORDENES'!$Y579="","-",'ORDENES'!$Y579))</f>
        <v/>
      </c>
      <c r="G601" s="3">
        <f>IF('ORDENES'!$A579="","",IF('ORDENES'!$W579="","-",'ORDENES'!$W579))</f>
        <v/>
      </c>
      <c r="H601" s="3">
        <f>IF('ORDENES'!$A579="","",IF('ORDENES'!$AE579="","-",'ORDENES'!$AE579))</f>
        <v/>
      </c>
      <c r="I601" s="3">
        <f>IF('ORDENES'!$A579="","",IF('ORDENES'!$AQ579="","-",'ORDENES'!$AQ579))</f>
        <v/>
      </c>
      <c r="J601" s="3">
        <f>IF('ORDENES'!$A579="","",IF('ORDENES'!$D579="","-",'ORDENES'!$D579))</f>
        <v/>
      </c>
      <c r="K601" s="3">
        <f>IF('ORDENES'!$A579="","",IF('ORDENES'!$E579="","-",'ORDENES'!$E579))</f>
        <v/>
      </c>
      <c r="L601" s="13">
        <f>IF('ORDENES'!$A579="","",IF('ORDENES'!$M579="",0,'ORDENES'!$M579))</f>
        <v/>
      </c>
      <c r="M601" s="3">
        <f>IF('ORDENES'!$A579="","",IF('ORDENES'!$N579="","-",'ORDENES'!$N579))</f>
        <v/>
      </c>
      <c r="N601" s="3">
        <f>IF('ORDENES'!$A579="","",'ORDENES'!$AD579)</f>
        <v/>
      </c>
    </row>
    <row r="602">
      <c r="A602" s="3">
        <f>IF('ORDENES'!$A580="","",IF('ORDENES'!$O580="","-",'ORDENES'!$O580))</f>
        <v/>
      </c>
      <c r="B602" s="3">
        <f>IF('ORDENES'!$A580="","",IF('ORDENES'!$R580="","-",'ORDENES'!$R580))</f>
        <v/>
      </c>
      <c r="C602" s="3">
        <f>IF('ORDENES'!$A580="","",IF('ORDENES'!$AF580="","-",'ORDENES'!$AF580))</f>
        <v/>
      </c>
      <c r="D602" s="3">
        <f>IF('ORDENES'!$A580="","",IF('ORDENES'!$X580="","-",'ORDENES'!$X580))</f>
        <v/>
      </c>
      <c r="E602" s="3">
        <f>IF('ORDENES'!$A580="","",IF('ORDENES'!$V580="","-",'ORDENES'!$V580))</f>
        <v/>
      </c>
      <c r="F602" s="3">
        <f>IF('ORDENES'!$A580="","",IF('ORDENES'!$Y580="","-",'ORDENES'!$Y580))</f>
        <v/>
      </c>
      <c r="G602" s="3">
        <f>IF('ORDENES'!$A580="","",IF('ORDENES'!$W580="","-",'ORDENES'!$W580))</f>
        <v/>
      </c>
      <c r="H602" s="3">
        <f>IF('ORDENES'!$A580="","",IF('ORDENES'!$AE580="","-",'ORDENES'!$AE580))</f>
        <v/>
      </c>
      <c r="I602" s="3">
        <f>IF('ORDENES'!$A580="","",IF('ORDENES'!$AQ580="","-",'ORDENES'!$AQ580))</f>
        <v/>
      </c>
      <c r="J602" s="3">
        <f>IF('ORDENES'!$A580="","",IF('ORDENES'!$D580="","-",'ORDENES'!$D580))</f>
        <v/>
      </c>
      <c r="K602" s="3">
        <f>IF('ORDENES'!$A580="","",IF('ORDENES'!$E580="","-",'ORDENES'!$E580))</f>
        <v/>
      </c>
      <c r="L602" s="13">
        <f>IF('ORDENES'!$A580="","",IF('ORDENES'!$M580="",0,'ORDENES'!$M580))</f>
        <v/>
      </c>
      <c r="M602" s="3">
        <f>IF('ORDENES'!$A580="","",IF('ORDENES'!$N580="","-",'ORDENES'!$N580))</f>
        <v/>
      </c>
      <c r="N602" s="3">
        <f>IF('ORDENES'!$A580="","",'ORDENES'!$AD580)</f>
        <v/>
      </c>
    </row>
    <row r="603">
      <c r="A603" s="3">
        <f>IF('ORDENES'!$A581="","",IF('ORDENES'!$O581="","-",'ORDENES'!$O581))</f>
        <v/>
      </c>
      <c r="B603" s="3">
        <f>IF('ORDENES'!$A581="","",IF('ORDENES'!$R581="","-",'ORDENES'!$R581))</f>
        <v/>
      </c>
      <c r="C603" s="3">
        <f>IF('ORDENES'!$A581="","",IF('ORDENES'!$AF581="","-",'ORDENES'!$AF581))</f>
        <v/>
      </c>
      <c r="D603" s="3">
        <f>IF('ORDENES'!$A581="","",IF('ORDENES'!$X581="","-",'ORDENES'!$X581))</f>
        <v/>
      </c>
      <c r="E603" s="3">
        <f>IF('ORDENES'!$A581="","",IF('ORDENES'!$V581="","-",'ORDENES'!$V581))</f>
        <v/>
      </c>
      <c r="F603" s="3">
        <f>IF('ORDENES'!$A581="","",IF('ORDENES'!$Y581="","-",'ORDENES'!$Y581))</f>
        <v/>
      </c>
      <c r="G603" s="3">
        <f>IF('ORDENES'!$A581="","",IF('ORDENES'!$W581="","-",'ORDENES'!$W581))</f>
        <v/>
      </c>
      <c r="H603" s="3">
        <f>IF('ORDENES'!$A581="","",IF('ORDENES'!$AE581="","-",'ORDENES'!$AE581))</f>
        <v/>
      </c>
      <c r="I603" s="3">
        <f>IF('ORDENES'!$A581="","",IF('ORDENES'!$AQ581="","-",'ORDENES'!$AQ581))</f>
        <v/>
      </c>
      <c r="J603" s="3">
        <f>IF('ORDENES'!$A581="","",IF('ORDENES'!$D581="","-",'ORDENES'!$D581))</f>
        <v/>
      </c>
      <c r="K603" s="3">
        <f>IF('ORDENES'!$A581="","",IF('ORDENES'!$E581="","-",'ORDENES'!$E581))</f>
        <v/>
      </c>
      <c r="L603" s="13">
        <f>IF('ORDENES'!$A581="","",IF('ORDENES'!$M581="",0,'ORDENES'!$M581))</f>
        <v/>
      </c>
      <c r="M603" s="3">
        <f>IF('ORDENES'!$A581="","",IF('ORDENES'!$N581="","-",'ORDENES'!$N581))</f>
        <v/>
      </c>
      <c r="N603" s="3">
        <f>IF('ORDENES'!$A581="","",'ORDENES'!$AD581)</f>
        <v/>
      </c>
    </row>
    <row r="604">
      <c r="A604" s="3">
        <f>IF('ORDENES'!$A582="","",IF('ORDENES'!$O582="","-",'ORDENES'!$O582))</f>
        <v/>
      </c>
      <c r="B604" s="3">
        <f>IF('ORDENES'!$A582="","",IF('ORDENES'!$R582="","-",'ORDENES'!$R582))</f>
        <v/>
      </c>
      <c r="C604" s="3">
        <f>IF('ORDENES'!$A582="","",IF('ORDENES'!$AF582="","-",'ORDENES'!$AF582))</f>
        <v/>
      </c>
      <c r="D604" s="3">
        <f>IF('ORDENES'!$A582="","",IF('ORDENES'!$X582="","-",'ORDENES'!$X582))</f>
        <v/>
      </c>
      <c r="E604" s="3">
        <f>IF('ORDENES'!$A582="","",IF('ORDENES'!$V582="","-",'ORDENES'!$V582))</f>
        <v/>
      </c>
      <c r="F604" s="3">
        <f>IF('ORDENES'!$A582="","",IF('ORDENES'!$Y582="","-",'ORDENES'!$Y582))</f>
        <v/>
      </c>
      <c r="G604" s="3">
        <f>IF('ORDENES'!$A582="","",IF('ORDENES'!$W582="","-",'ORDENES'!$W582))</f>
        <v/>
      </c>
      <c r="H604" s="3">
        <f>IF('ORDENES'!$A582="","",IF('ORDENES'!$AE582="","-",'ORDENES'!$AE582))</f>
        <v/>
      </c>
      <c r="I604" s="3">
        <f>IF('ORDENES'!$A582="","",IF('ORDENES'!$AQ582="","-",'ORDENES'!$AQ582))</f>
        <v/>
      </c>
      <c r="J604" s="3">
        <f>IF('ORDENES'!$A582="","",IF('ORDENES'!$D582="","-",'ORDENES'!$D582))</f>
        <v/>
      </c>
      <c r="K604" s="3">
        <f>IF('ORDENES'!$A582="","",IF('ORDENES'!$E582="","-",'ORDENES'!$E582))</f>
        <v/>
      </c>
      <c r="L604" s="13">
        <f>IF('ORDENES'!$A582="","",IF('ORDENES'!$M582="",0,'ORDENES'!$M582))</f>
        <v/>
      </c>
      <c r="M604" s="3">
        <f>IF('ORDENES'!$A582="","",IF('ORDENES'!$N582="","-",'ORDENES'!$N582))</f>
        <v/>
      </c>
      <c r="N604" s="3">
        <f>IF('ORDENES'!$A582="","",'ORDENES'!$AD582)</f>
        <v/>
      </c>
    </row>
    <row r="605">
      <c r="A605" s="3">
        <f>IF('ORDENES'!$A583="","",IF('ORDENES'!$O583="","-",'ORDENES'!$O583))</f>
        <v/>
      </c>
      <c r="B605" s="3">
        <f>IF('ORDENES'!$A583="","",IF('ORDENES'!$R583="","-",'ORDENES'!$R583))</f>
        <v/>
      </c>
      <c r="C605" s="3">
        <f>IF('ORDENES'!$A583="","",IF('ORDENES'!$AF583="","-",'ORDENES'!$AF583))</f>
        <v/>
      </c>
      <c r="D605" s="3">
        <f>IF('ORDENES'!$A583="","",IF('ORDENES'!$X583="","-",'ORDENES'!$X583))</f>
        <v/>
      </c>
      <c r="E605" s="3">
        <f>IF('ORDENES'!$A583="","",IF('ORDENES'!$V583="","-",'ORDENES'!$V583))</f>
        <v/>
      </c>
      <c r="F605" s="3">
        <f>IF('ORDENES'!$A583="","",IF('ORDENES'!$Y583="","-",'ORDENES'!$Y583))</f>
        <v/>
      </c>
      <c r="G605" s="3">
        <f>IF('ORDENES'!$A583="","",IF('ORDENES'!$W583="","-",'ORDENES'!$W583))</f>
        <v/>
      </c>
      <c r="H605" s="3">
        <f>IF('ORDENES'!$A583="","",IF('ORDENES'!$AE583="","-",'ORDENES'!$AE583))</f>
        <v/>
      </c>
      <c r="I605" s="3">
        <f>IF('ORDENES'!$A583="","",IF('ORDENES'!$AQ583="","-",'ORDENES'!$AQ583))</f>
        <v/>
      </c>
      <c r="J605" s="3">
        <f>IF('ORDENES'!$A583="","",IF('ORDENES'!$D583="","-",'ORDENES'!$D583))</f>
        <v/>
      </c>
      <c r="K605" s="3">
        <f>IF('ORDENES'!$A583="","",IF('ORDENES'!$E583="","-",'ORDENES'!$E583))</f>
        <v/>
      </c>
      <c r="L605" s="13">
        <f>IF('ORDENES'!$A583="","",IF('ORDENES'!$M583="",0,'ORDENES'!$M583))</f>
        <v/>
      </c>
      <c r="M605" s="3">
        <f>IF('ORDENES'!$A583="","",IF('ORDENES'!$N583="","-",'ORDENES'!$N583))</f>
        <v/>
      </c>
      <c r="N605" s="3">
        <f>IF('ORDENES'!$A583="","",'ORDENES'!$AD583)</f>
        <v/>
      </c>
    </row>
    <row r="606">
      <c r="A606" s="3">
        <f>IF('ORDENES'!$A584="","",IF('ORDENES'!$O584="","-",'ORDENES'!$O584))</f>
        <v/>
      </c>
      <c r="B606" s="3">
        <f>IF('ORDENES'!$A584="","",IF('ORDENES'!$R584="","-",'ORDENES'!$R584))</f>
        <v/>
      </c>
      <c r="C606" s="3">
        <f>IF('ORDENES'!$A584="","",IF('ORDENES'!$AF584="","-",'ORDENES'!$AF584))</f>
        <v/>
      </c>
      <c r="D606" s="3">
        <f>IF('ORDENES'!$A584="","",IF('ORDENES'!$X584="","-",'ORDENES'!$X584))</f>
        <v/>
      </c>
      <c r="E606" s="3">
        <f>IF('ORDENES'!$A584="","",IF('ORDENES'!$V584="","-",'ORDENES'!$V584))</f>
        <v/>
      </c>
      <c r="F606" s="3">
        <f>IF('ORDENES'!$A584="","",IF('ORDENES'!$Y584="","-",'ORDENES'!$Y584))</f>
        <v/>
      </c>
      <c r="G606" s="3">
        <f>IF('ORDENES'!$A584="","",IF('ORDENES'!$W584="","-",'ORDENES'!$W584))</f>
        <v/>
      </c>
      <c r="H606" s="3">
        <f>IF('ORDENES'!$A584="","",IF('ORDENES'!$AE584="","-",'ORDENES'!$AE584))</f>
        <v/>
      </c>
      <c r="I606" s="3">
        <f>IF('ORDENES'!$A584="","",IF('ORDENES'!$AQ584="","-",'ORDENES'!$AQ584))</f>
        <v/>
      </c>
      <c r="J606" s="3">
        <f>IF('ORDENES'!$A584="","",IF('ORDENES'!$D584="","-",'ORDENES'!$D584))</f>
        <v/>
      </c>
      <c r="K606" s="3">
        <f>IF('ORDENES'!$A584="","",IF('ORDENES'!$E584="","-",'ORDENES'!$E584))</f>
        <v/>
      </c>
      <c r="L606" s="13">
        <f>IF('ORDENES'!$A584="","",IF('ORDENES'!$M584="",0,'ORDENES'!$M584))</f>
        <v/>
      </c>
      <c r="M606" s="3">
        <f>IF('ORDENES'!$A584="","",IF('ORDENES'!$N584="","-",'ORDENES'!$N584))</f>
        <v/>
      </c>
      <c r="N606" s="3">
        <f>IF('ORDENES'!$A584="","",'ORDENES'!$AD584)</f>
        <v/>
      </c>
    </row>
    <row r="607">
      <c r="A607" s="3">
        <f>IF('ORDENES'!$A585="","",IF('ORDENES'!$O585="","-",'ORDENES'!$O585))</f>
        <v/>
      </c>
      <c r="B607" s="3">
        <f>IF('ORDENES'!$A585="","",IF('ORDENES'!$R585="","-",'ORDENES'!$R585))</f>
        <v/>
      </c>
      <c r="C607" s="3">
        <f>IF('ORDENES'!$A585="","",IF('ORDENES'!$AF585="","-",'ORDENES'!$AF585))</f>
        <v/>
      </c>
      <c r="D607" s="3">
        <f>IF('ORDENES'!$A585="","",IF('ORDENES'!$X585="","-",'ORDENES'!$X585))</f>
        <v/>
      </c>
      <c r="E607" s="3">
        <f>IF('ORDENES'!$A585="","",IF('ORDENES'!$V585="","-",'ORDENES'!$V585))</f>
        <v/>
      </c>
      <c r="F607" s="3">
        <f>IF('ORDENES'!$A585="","",IF('ORDENES'!$Y585="","-",'ORDENES'!$Y585))</f>
        <v/>
      </c>
      <c r="G607" s="3">
        <f>IF('ORDENES'!$A585="","",IF('ORDENES'!$W585="","-",'ORDENES'!$W585))</f>
        <v/>
      </c>
      <c r="H607" s="3">
        <f>IF('ORDENES'!$A585="","",IF('ORDENES'!$AE585="","-",'ORDENES'!$AE585))</f>
        <v/>
      </c>
      <c r="I607" s="3">
        <f>IF('ORDENES'!$A585="","",IF('ORDENES'!$AQ585="","-",'ORDENES'!$AQ585))</f>
        <v/>
      </c>
      <c r="J607" s="3">
        <f>IF('ORDENES'!$A585="","",IF('ORDENES'!$D585="","-",'ORDENES'!$D585))</f>
        <v/>
      </c>
      <c r="K607" s="3">
        <f>IF('ORDENES'!$A585="","",IF('ORDENES'!$E585="","-",'ORDENES'!$E585))</f>
        <v/>
      </c>
      <c r="L607" s="13">
        <f>IF('ORDENES'!$A585="","",IF('ORDENES'!$M585="",0,'ORDENES'!$M585))</f>
        <v/>
      </c>
      <c r="M607" s="3">
        <f>IF('ORDENES'!$A585="","",IF('ORDENES'!$N585="","-",'ORDENES'!$N585))</f>
        <v/>
      </c>
      <c r="N607" s="3">
        <f>IF('ORDENES'!$A585="","",'ORDENES'!$AD585)</f>
        <v/>
      </c>
    </row>
    <row r="608">
      <c r="A608" s="3">
        <f>IF('ORDENES'!$A586="","",IF('ORDENES'!$O586="","-",'ORDENES'!$O586))</f>
        <v/>
      </c>
      <c r="B608" s="3">
        <f>IF('ORDENES'!$A586="","",IF('ORDENES'!$R586="","-",'ORDENES'!$R586))</f>
        <v/>
      </c>
      <c r="C608" s="3">
        <f>IF('ORDENES'!$A586="","",IF('ORDENES'!$AF586="","-",'ORDENES'!$AF586))</f>
        <v/>
      </c>
      <c r="D608" s="3">
        <f>IF('ORDENES'!$A586="","",IF('ORDENES'!$X586="","-",'ORDENES'!$X586))</f>
        <v/>
      </c>
      <c r="E608" s="3">
        <f>IF('ORDENES'!$A586="","",IF('ORDENES'!$V586="","-",'ORDENES'!$V586))</f>
        <v/>
      </c>
      <c r="F608" s="3">
        <f>IF('ORDENES'!$A586="","",IF('ORDENES'!$Y586="","-",'ORDENES'!$Y586))</f>
        <v/>
      </c>
      <c r="G608" s="3">
        <f>IF('ORDENES'!$A586="","",IF('ORDENES'!$W586="","-",'ORDENES'!$W586))</f>
        <v/>
      </c>
      <c r="H608" s="3">
        <f>IF('ORDENES'!$A586="","",IF('ORDENES'!$AE586="","-",'ORDENES'!$AE586))</f>
        <v/>
      </c>
      <c r="I608" s="3">
        <f>IF('ORDENES'!$A586="","",IF('ORDENES'!$AQ586="","-",'ORDENES'!$AQ586))</f>
        <v/>
      </c>
      <c r="J608" s="3">
        <f>IF('ORDENES'!$A586="","",IF('ORDENES'!$D586="","-",'ORDENES'!$D586))</f>
        <v/>
      </c>
      <c r="K608" s="3">
        <f>IF('ORDENES'!$A586="","",IF('ORDENES'!$E586="","-",'ORDENES'!$E586))</f>
        <v/>
      </c>
      <c r="L608" s="13">
        <f>IF('ORDENES'!$A586="","",IF('ORDENES'!$M586="",0,'ORDENES'!$M586))</f>
        <v/>
      </c>
      <c r="M608" s="3">
        <f>IF('ORDENES'!$A586="","",IF('ORDENES'!$N586="","-",'ORDENES'!$N586))</f>
        <v/>
      </c>
      <c r="N608" s="3">
        <f>IF('ORDENES'!$A586="","",'ORDENES'!$AD586)</f>
        <v/>
      </c>
    </row>
    <row r="609">
      <c r="A609" s="3">
        <f>IF('ORDENES'!$A587="","",IF('ORDENES'!$O587="","-",'ORDENES'!$O587))</f>
        <v/>
      </c>
      <c r="B609" s="3">
        <f>IF('ORDENES'!$A587="","",IF('ORDENES'!$R587="","-",'ORDENES'!$R587))</f>
        <v/>
      </c>
      <c r="C609" s="3">
        <f>IF('ORDENES'!$A587="","",IF('ORDENES'!$AF587="","-",'ORDENES'!$AF587))</f>
        <v/>
      </c>
      <c r="D609" s="3">
        <f>IF('ORDENES'!$A587="","",IF('ORDENES'!$X587="","-",'ORDENES'!$X587))</f>
        <v/>
      </c>
      <c r="E609" s="3">
        <f>IF('ORDENES'!$A587="","",IF('ORDENES'!$V587="","-",'ORDENES'!$V587))</f>
        <v/>
      </c>
      <c r="F609" s="3">
        <f>IF('ORDENES'!$A587="","",IF('ORDENES'!$Y587="","-",'ORDENES'!$Y587))</f>
        <v/>
      </c>
      <c r="G609" s="3">
        <f>IF('ORDENES'!$A587="","",IF('ORDENES'!$W587="","-",'ORDENES'!$W587))</f>
        <v/>
      </c>
      <c r="H609" s="3">
        <f>IF('ORDENES'!$A587="","",IF('ORDENES'!$AE587="","-",'ORDENES'!$AE587))</f>
        <v/>
      </c>
      <c r="I609" s="3">
        <f>IF('ORDENES'!$A587="","",IF('ORDENES'!$AQ587="","-",'ORDENES'!$AQ587))</f>
        <v/>
      </c>
      <c r="J609" s="3">
        <f>IF('ORDENES'!$A587="","",IF('ORDENES'!$D587="","-",'ORDENES'!$D587))</f>
        <v/>
      </c>
      <c r="K609" s="3">
        <f>IF('ORDENES'!$A587="","",IF('ORDENES'!$E587="","-",'ORDENES'!$E587))</f>
        <v/>
      </c>
      <c r="L609" s="13">
        <f>IF('ORDENES'!$A587="","",IF('ORDENES'!$M587="",0,'ORDENES'!$M587))</f>
        <v/>
      </c>
      <c r="M609" s="3">
        <f>IF('ORDENES'!$A587="","",IF('ORDENES'!$N587="","-",'ORDENES'!$N587))</f>
        <v/>
      </c>
      <c r="N609" s="3">
        <f>IF('ORDENES'!$A587="","",'ORDENES'!$AD587)</f>
        <v/>
      </c>
    </row>
    <row r="610">
      <c r="A610" s="3">
        <f>IF('ORDENES'!$A588="","",IF('ORDENES'!$O588="","-",'ORDENES'!$O588))</f>
        <v/>
      </c>
      <c r="B610" s="3">
        <f>IF('ORDENES'!$A588="","",IF('ORDENES'!$R588="","-",'ORDENES'!$R588))</f>
        <v/>
      </c>
      <c r="C610" s="3">
        <f>IF('ORDENES'!$A588="","",IF('ORDENES'!$AF588="","-",'ORDENES'!$AF588))</f>
        <v/>
      </c>
      <c r="D610" s="3">
        <f>IF('ORDENES'!$A588="","",IF('ORDENES'!$X588="","-",'ORDENES'!$X588))</f>
        <v/>
      </c>
      <c r="E610" s="3">
        <f>IF('ORDENES'!$A588="","",IF('ORDENES'!$V588="","-",'ORDENES'!$V588))</f>
        <v/>
      </c>
      <c r="F610" s="3">
        <f>IF('ORDENES'!$A588="","",IF('ORDENES'!$Y588="","-",'ORDENES'!$Y588))</f>
        <v/>
      </c>
      <c r="G610" s="3">
        <f>IF('ORDENES'!$A588="","",IF('ORDENES'!$W588="","-",'ORDENES'!$W588))</f>
        <v/>
      </c>
      <c r="H610" s="3">
        <f>IF('ORDENES'!$A588="","",IF('ORDENES'!$AE588="","-",'ORDENES'!$AE588))</f>
        <v/>
      </c>
      <c r="I610" s="3">
        <f>IF('ORDENES'!$A588="","",IF('ORDENES'!$AQ588="","-",'ORDENES'!$AQ588))</f>
        <v/>
      </c>
      <c r="J610" s="3">
        <f>IF('ORDENES'!$A588="","",IF('ORDENES'!$D588="","-",'ORDENES'!$D588))</f>
        <v/>
      </c>
      <c r="K610" s="3">
        <f>IF('ORDENES'!$A588="","",IF('ORDENES'!$E588="","-",'ORDENES'!$E588))</f>
        <v/>
      </c>
      <c r="L610" s="13">
        <f>IF('ORDENES'!$A588="","",IF('ORDENES'!$M588="",0,'ORDENES'!$M588))</f>
        <v/>
      </c>
      <c r="M610" s="3">
        <f>IF('ORDENES'!$A588="","",IF('ORDENES'!$N588="","-",'ORDENES'!$N588))</f>
        <v/>
      </c>
      <c r="N610" s="3">
        <f>IF('ORDENES'!$A588="","",'ORDENES'!$AD588)</f>
        <v/>
      </c>
    </row>
    <row r="611">
      <c r="A611" s="3">
        <f>IF('ORDENES'!$A589="","",IF('ORDENES'!$O589="","-",'ORDENES'!$O589))</f>
        <v/>
      </c>
      <c r="B611" s="3">
        <f>IF('ORDENES'!$A589="","",IF('ORDENES'!$R589="","-",'ORDENES'!$R589))</f>
        <v/>
      </c>
      <c r="C611" s="3">
        <f>IF('ORDENES'!$A589="","",IF('ORDENES'!$AF589="","-",'ORDENES'!$AF589))</f>
        <v/>
      </c>
      <c r="D611" s="3">
        <f>IF('ORDENES'!$A589="","",IF('ORDENES'!$X589="","-",'ORDENES'!$X589))</f>
        <v/>
      </c>
      <c r="E611" s="3">
        <f>IF('ORDENES'!$A589="","",IF('ORDENES'!$V589="","-",'ORDENES'!$V589))</f>
        <v/>
      </c>
      <c r="F611" s="3">
        <f>IF('ORDENES'!$A589="","",IF('ORDENES'!$Y589="","-",'ORDENES'!$Y589))</f>
        <v/>
      </c>
      <c r="G611" s="3">
        <f>IF('ORDENES'!$A589="","",IF('ORDENES'!$W589="","-",'ORDENES'!$W589))</f>
        <v/>
      </c>
      <c r="H611" s="3">
        <f>IF('ORDENES'!$A589="","",IF('ORDENES'!$AE589="","-",'ORDENES'!$AE589))</f>
        <v/>
      </c>
      <c r="I611" s="3">
        <f>IF('ORDENES'!$A589="","",IF('ORDENES'!$AQ589="","-",'ORDENES'!$AQ589))</f>
        <v/>
      </c>
      <c r="J611" s="3">
        <f>IF('ORDENES'!$A589="","",IF('ORDENES'!$D589="","-",'ORDENES'!$D589))</f>
        <v/>
      </c>
      <c r="K611" s="3">
        <f>IF('ORDENES'!$A589="","",IF('ORDENES'!$E589="","-",'ORDENES'!$E589))</f>
        <v/>
      </c>
      <c r="L611" s="13">
        <f>IF('ORDENES'!$A589="","",IF('ORDENES'!$M589="",0,'ORDENES'!$M589))</f>
        <v/>
      </c>
      <c r="M611" s="3">
        <f>IF('ORDENES'!$A589="","",IF('ORDENES'!$N589="","-",'ORDENES'!$N589))</f>
        <v/>
      </c>
      <c r="N611" s="3">
        <f>IF('ORDENES'!$A589="","",'ORDENES'!$AD589)</f>
        <v/>
      </c>
    </row>
    <row r="612">
      <c r="A612" s="3">
        <f>IF('ORDENES'!$A590="","",IF('ORDENES'!$O590="","-",'ORDENES'!$O590))</f>
        <v/>
      </c>
      <c r="B612" s="3">
        <f>IF('ORDENES'!$A590="","",IF('ORDENES'!$R590="","-",'ORDENES'!$R590))</f>
        <v/>
      </c>
      <c r="C612" s="3">
        <f>IF('ORDENES'!$A590="","",IF('ORDENES'!$AF590="","-",'ORDENES'!$AF590))</f>
        <v/>
      </c>
      <c r="D612" s="3">
        <f>IF('ORDENES'!$A590="","",IF('ORDENES'!$X590="","-",'ORDENES'!$X590))</f>
        <v/>
      </c>
      <c r="E612" s="3">
        <f>IF('ORDENES'!$A590="","",IF('ORDENES'!$V590="","-",'ORDENES'!$V590))</f>
        <v/>
      </c>
      <c r="F612" s="3">
        <f>IF('ORDENES'!$A590="","",IF('ORDENES'!$Y590="","-",'ORDENES'!$Y590))</f>
        <v/>
      </c>
      <c r="G612" s="3">
        <f>IF('ORDENES'!$A590="","",IF('ORDENES'!$W590="","-",'ORDENES'!$W590))</f>
        <v/>
      </c>
      <c r="H612" s="3">
        <f>IF('ORDENES'!$A590="","",IF('ORDENES'!$AE590="","-",'ORDENES'!$AE590))</f>
        <v/>
      </c>
      <c r="I612" s="3">
        <f>IF('ORDENES'!$A590="","",IF('ORDENES'!$AQ590="","-",'ORDENES'!$AQ590))</f>
        <v/>
      </c>
      <c r="J612" s="3">
        <f>IF('ORDENES'!$A590="","",IF('ORDENES'!$D590="","-",'ORDENES'!$D590))</f>
        <v/>
      </c>
      <c r="K612" s="3">
        <f>IF('ORDENES'!$A590="","",IF('ORDENES'!$E590="","-",'ORDENES'!$E590))</f>
        <v/>
      </c>
      <c r="L612" s="13">
        <f>IF('ORDENES'!$A590="","",IF('ORDENES'!$M590="",0,'ORDENES'!$M590))</f>
        <v/>
      </c>
      <c r="M612" s="3">
        <f>IF('ORDENES'!$A590="","",IF('ORDENES'!$N590="","-",'ORDENES'!$N590))</f>
        <v/>
      </c>
      <c r="N612" s="3">
        <f>IF('ORDENES'!$A590="","",'ORDENES'!$AD590)</f>
        <v/>
      </c>
    </row>
    <row r="613">
      <c r="A613" s="3">
        <f>IF('ORDENES'!$A591="","",IF('ORDENES'!$O591="","-",'ORDENES'!$O591))</f>
        <v/>
      </c>
      <c r="B613" s="3">
        <f>IF('ORDENES'!$A591="","",IF('ORDENES'!$R591="","-",'ORDENES'!$R591))</f>
        <v/>
      </c>
      <c r="C613" s="3">
        <f>IF('ORDENES'!$A591="","",IF('ORDENES'!$AF591="","-",'ORDENES'!$AF591))</f>
        <v/>
      </c>
      <c r="D613" s="3">
        <f>IF('ORDENES'!$A591="","",IF('ORDENES'!$X591="","-",'ORDENES'!$X591))</f>
        <v/>
      </c>
      <c r="E613" s="3">
        <f>IF('ORDENES'!$A591="","",IF('ORDENES'!$V591="","-",'ORDENES'!$V591))</f>
        <v/>
      </c>
      <c r="F613" s="3">
        <f>IF('ORDENES'!$A591="","",IF('ORDENES'!$Y591="","-",'ORDENES'!$Y591))</f>
        <v/>
      </c>
      <c r="G613" s="3">
        <f>IF('ORDENES'!$A591="","",IF('ORDENES'!$W591="","-",'ORDENES'!$W591))</f>
        <v/>
      </c>
      <c r="H613" s="3">
        <f>IF('ORDENES'!$A591="","",IF('ORDENES'!$AE591="","-",'ORDENES'!$AE591))</f>
        <v/>
      </c>
      <c r="I613" s="3">
        <f>IF('ORDENES'!$A591="","",IF('ORDENES'!$AQ591="","-",'ORDENES'!$AQ591))</f>
        <v/>
      </c>
      <c r="J613" s="3">
        <f>IF('ORDENES'!$A591="","",IF('ORDENES'!$D591="","-",'ORDENES'!$D591))</f>
        <v/>
      </c>
      <c r="K613" s="3">
        <f>IF('ORDENES'!$A591="","",IF('ORDENES'!$E591="","-",'ORDENES'!$E591))</f>
        <v/>
      </c>
      <c r="L613" s="13">
        <f>IF('ORDENES'!$A591="","",IF('ORDENES'!$M591="",0,'ORDENES'!$M591))</f>
        <v/>
      </c>
      <c r="M613" s="3">
        <f>IF('ORDENES'!$A591="","",IF('ORDENES'!$N591="","-",'ORDENES'!$N591))</f>
        <v/>
      </c>
      <c r="N613" s="3">
        <f>IF('ORDENES'!$A591="","",'ORDENES'!$AD591)</f>
        <v/>
      </c>
    </row>
    <row r="614">
      <c r="A614" s="3">
        <f>IF('ORDENES'!$A592="","",IF('ORDENES'!$O592="","-",'ORDENES'!$O592))</f>
        <v/>
      </c>
      <c r="B614" s="3">
        <f>IF('ORDENES'!$A592="","",IF('ORDENES'!$R592="","-",'ORDENES'!$R592))</f>
        <v/>
      </c>
      <c r="C614" s="3">
        <f>IF('ORDENES'!$A592="","",IF('ORDENES'!$AF592="","-",'ORDENES'!$AF592))</f>
        <v/>
      </c>
      <c r="D614" s="3">
        <f>IF('ORDENES'!$A592="","",IF('ORDENES'!$X592="","-",'ORDENES'!$X592))</f>
        <v/>
      </c>
      <c r="E614" s="3">
        <f>IF('ORDENES'!$A592="","",IF('ORDENES'!$V592="","-",'ORDENES'!$V592))</f>
        <v/>
      </c>
      <c r="F614" s="3">
        <f>IF('ORDENES'!$A592="","",IF('ORDENES'!$Y592="","-",'ORDENES'!$Y592))</f>
        <v/>
      </c>
      <c r="G614" s="3">
        <f>IF('ORDENES'!$A592="","",IF('ORDENES'!$W592="","-",'ORDENES'!$W592))</f>
        <v/>
      </c>
      <c r="H614" s="3">
        <f>IF('ORDENES'!$A592="","",IF('ORDENES'!$AE592="","-",'ORDENES'!$AE592))</f>
        <v/>
      </c>
      <c r="I614" s="3">
        <f>IF('ORDENES'!$A592="","",IF('ORDENES'!$AQ592="","-",'ORDENES'!$AQ592))</f>
        <v/>
      </c>
      <c r="J614" s="3">
        <f>IF('ORDENES'!$A592="","",IF('ORDENES'!$D592="","-",'ORDENES'!$D592))</f>
        <v/>
      </c>
      <c r="K614" s="3">
        <f>IF('ORDENES'!$A592="","",IF('ORDENES'!$E592="","-",'ORDENES'!$E592))</f>
        <v/>
      </c>
      <c r="L614" s="13">
        <f>IF('ORDENES'!$A592="","",IF('ORDENES'!$M592="",0,'ORDENES'!$M592))</f>
        <v/>
      </c>
      <c r="M614" s="3">
        <f>IF('ORDENES'!$A592="","",IF('ORDENES'!$N592="","-",'ORDENES'!$N592))</f>
        <v/>
      </c>
      <c r="N614" s="3">
        <f>IF('ORDENES'!$A592="","",'ORDENES'!$AD592)</f>
        <v/>
      </c>
    </row>
    <row r="615">
      <c r="A615" s="3">
        <f>IF('ORDENES'!$A593="","",IF('ORDENES'!$O593="","-",'ORDENES'!$O593))</f>
        <v/>
      </c>
      <c r="B615" s="3">
        <f>IF('ORDENES'!$A593="","",IF('ORDENES'!$R593="","-",'ORDENES'!$R593))</f>
        <v/>
      </c>
      <c r="C615" s="3">
        <f>IF('ORDENES'!$A593="","",IF('ORDENES'!$AF593="","-",'ORDENES'!$AF593))</f>
        <v/>
      </c>
      <c r="D615" s="3">
        <f>IF('ORDENES'!$A593="","",IF('ORDENES'!$X593="","-",'ORDENES'!$X593))</f>
        <v/>
      </c>
      <c r="E615" s="3">
        <f>IF('ORDENES'!$A593="","",IF('ORDENES'!$V593="","-",'ORDENES'!$V593))</f>
        <v/>
      </c>
      <c r="F615" s="3">
        <f>IF('ORDENES'!$A593="","",IF('ORDENES'!$Y593="","-",'ORDENES'!$Y593))</f>
        <v/>
      </c>
      <c r="G615" s="3">
        <f>IF('ORDENES'!$A593="","",IF('ORDENES'!$W593="","-",'ORDENES'!$W593))</f>
        <v/>
      </c>
      <c r="H615" s="3">
        <f>IF('ORDENES'!$A593="","",IF('ORDENES'!$AE593="","-",'ORDENES'!$AE593))</f>
        <v/>
      </c>
      <c r="I615" s="3">
        <f>IF('ORDENES'!$A593="","",IF('ORDENES'!$AQ593="","-",'ORDENES'!$AQ593))</f>
        <v/>
      </c>
      <c r="J615" s="3">
        <f>IF('ORDENES'!$A593="","",IF('ORDENES'!$D593="","-",'ORDENES'!$D593))</f>
        <v/>
      </c>
      <c r="K615" s="3">
        <f>IF('ORDENES'!$A593="","",IF('ORDENES'!$E593="","-",'ORDENES'!$E593))</f>
        <v/>
      </c>
      <c r="L615" s="13">
        <f>IF('ORDENES'!$A593="","",IF('ORDENES'!$M593="",0,'ORDENES'!$M593))</f>
        <v/>
      </c>
      <c r="M615" s="3">
        <f>IF('ORDENES'!$A593="","",IF('ORDENES'!$N593="","-",'ORDENES'!$N593))</f>
        <v/>
      </c>
      <c r="N615" s="3">
        <f>IF('ORDENES'!$A593="","",'ORDENES'!$AD593)</f>
        <v/>
      </c>
    </row>
    <row r="616">
      <c r="A616" s="3">
        <f>IF('ORDENES'!$A594="","",IF('ORDENES'!$O594="","-",'ORDENES'!$O594))</f>
        <v/>
      </c>
      <c r="B616" s="3">
        <f>IF('ORDENES'!$A594="","",IF('ORDENES'!$R594="","-",'ORDENES'!$R594))</f>
        <v/>
      </c>
      <c r="C616" s="3">
        <f>IF('ORDENES'!$A594="","",IF('ORDENES'!$AF594="","-",'ORDENES'!$AF594))</f>
        <v/>
      </c>
      <c r="D616" s="3">
        <f>IF('ORDENES'!$A594="","",IF('ORDENES'!$X594="","-",'ORDENES'!$X594))</f>
        <v/>
      </c>
      <c r="E616" s="3">
        <f>IF('ORDENES'!$A594="","",IF('ORDENES'!$V594="","-",'ORDENES'!$V594))</f>
        <v/>
      </c>
      <c r="F616" s="3">
        <f>IF('ORDENES'!$A594="","",IF('ORDENES'!$Y594="","-",'ORDENES'!$Y594))</f>
        <v/>
      </c>
      <c r="G616" s="3">
        <f>IF('ORDENES'!$A594="","",IF('ORDENES'!$W594="","-",'ORDENES'!$W594))</f>
        <v/>
      </c>
      <c r="H616" s="3">
        <f>IF('ORDENES'!$A594="","",IF('ORDENES'!$AE594="","-",'ORDENES'!$AE594))</f>
        <v/>
      </c>
      <c r="I616" s="3">
        <f>IF('ORDENES'!$A594="","",IF('ORDENES'!$AQ594="","-",'ORDENES'!$AQ594))</f>
        <v/>
      </c>
      <c r="J616" s="3">
        <f>IF('ORDENES'!$A594="","",IF('ORDENES'!$D594="","-",'ORDENES'!$D594))</f>
        <v/>
      </c>
      <c r="K616" s="3">
        <f>IF('ORDENES'!$A594="","",IF('ORDENES'!$E594="","-",'ORDENES'!$E594))</f>
        <v/>
      </c>
      <c r="L616" s="13">
        <f>IF('ORDENES'!$A594="","",IF('ORDENES'!$M594="",0,'ORDENES'!$M594))</f>
        <v/>
      </c>
      <c r="M616" s="3">
        <f>IF('ORDENES'!$A594="","",IF('ORDENES'!$N594="","-",'ORDENES'!$N594))</f>
        <v/>
      </c>
      <c r="N616" s="3">
        <f>IF('ORDENES'!$A594="","",'ORDENES'!$AD594)</f>
        <v/>
      </c>
    </row>
    <row r="617">
      <c r="A617" s="3">
        <f>IF('ORDENES'!$A595="","",IF('ORDENES'!$O595="","-",'ORDENES'!$O595))</f>
        <v/>
      </c>
      <c r="B617" s="3">
        <f>IF('ORDENES'!$A595="","",IF('ORDENES'!$R595="","-",'ORDENES'!$R595))</f>
        <v/>
      </c>
      <c r="C617" s="3">
        <f>IF('ORDENES'!$A595="","",IF('ORDENES'!$AF595="","-",'ORDENES'!$AF595))</f>
        <v/>
      </c>
      <c r="D617" s="3">
        <f>IF('ORDENES'!$A595="","",IF('ORDENES'!$X595="","-",'ORDENES'!$X595))</f>
        <v/>
      </c>
      <c r="E617" s="3">
        <f>IF('ORDENES'!$A595="","",IF('ORDENES'!$V595="","-",'ORDENES'!$V595))</f>
        <v/>
      </c>
      <c r="F617" s="3">
        <f>IF('ORDENES'!$A595="","",IF('ORDENES'!$Y595="","-",'ORDENES'!$Y595))</f>
        <v/>
      </c>
      <c r="G617" s="3">
        <f>IF('ORDENES'!$A595="","",IF('ORDENES'!$W595="","-",'ORDENES'!$W595))</f>
        <v/>
      </c>
      <c r="H617" s="3">
        <f>IF('ORDENES'!$A595="","",IF('ORDENES'!$AE595="","-",'ORDENES'!$AE595))</f>
        <v/>
      </c>
      <c r="I617" s="3">
        <f>IF('ORDENES'!$A595="","",IF('ORDENES'!$AQ595="","-",'ORDENES'!$AQ595))</f>
        <v/>
      </c>
      <c r="J617" s="3">
        <f>IF('ORDENES'!$A595="","",IF('ORDENES'!$D595="","-",'ORDENES'!$D595))</f>
        <v/>
      </c>
      <c r="K617" s="3">
        <f>IF('ORDENES'!$A595="","",IF('ORDENES'!$E595="","-",'ORDENES'!$E595))</f>
        <v/>
      </c>
      <c r="L617" s="13">
        <f>IF('ORDENES'!$A595="","",IF('ORDENES'!$M595="",0,'ORDENES'!$M595))</f>
        <v/>
      </c>
      <c r="M617" s="3">
        <f>IF('ORDENES'!$A595="","",IF('ORDENES'!$N595="","-",'ORDENES'!$N595))</f>
        <v/>
      </c>
      <c r="N617" s="3">
        <f>IF('ORDENES'!$A595="","",'ORDENES'!$AD595)</f>
        <v/>
      </c>
    </row>
    <row r="618">
      <c r="A618" s="3">
        <f>IF('ORDENES'!$A596="","",IF('ORDENES'!$O596="","-",'ORDENES'!$O596))</f>
        <v/>
      </c>
      <c r="B618" s="3">
        <f>IF('ORDENES'!$A596="","",IF('ORDENES'!$R596="","-",'ORDENES'!$R596))</f>
        <v/>
      </c>
      <c r="C618" s="3">
        <f>IF('ORDENES'!$A596="","",IF('ORDENES'!$AF596="","-",'ORDENES'!$AF596))</f>
        <v/>
      </c>
      <c r="D618" s="3">
        <f>IF('ORDENES'!$A596="","",IF('ORDENES'!$X596="","-",'ORDENES'!$X596))</f>
        <v/>
      </c>
      <c r="E618" s="3">
        <f>IF('ORDENES'!$A596="","",IF('ORDENES'!$V596="","-",'ORDENES'!$V596))</f>
        <v/>
      </c>
      <c r="F618" s="3">
        <f>IF('ORDENES'!$A596="","",IF('ORDENES'!$Y596="","-",'ORDENES'!$Y596))</f>
        <v/>
      </c>
      <c r="G618" s="3">
        <f>IF('ORDENES'!$A596="","",IF('ORDENES'!$W596="","-",'ORDENES'!$W596))</f>
        <v/>
      </c>
      <c r="H618" s="3">
        <f>IF('ORDENES'!$A596="","",IF('ORDENES'!$AE596="","-",'ORDENES'!$AE596))</f>
        <v/>
      </c>
      <c r="I618" s="3">
        <f>IF('ORDENES'!$A596="","",IF('ORDENES'!$AQ596="","-",'ORDENES'!$AQ596))</f>
        <v/>
      </c>
      <c r="J618" s="3">
        <f>IF('ORDENES'!$A596="","",IF('ORDENES'!$D596="","-",'ORDENES'!$D596))</f>
        <v/>
      </c>
      <c r="K618" s="3">
        <f>IF('ORDENES'!$A596="","",IF('ORDENES'!$E596="","-",'ORDENES'!$E596))</f>
        <v/>
      </c>
      <c r="L618" s="13">
        <f>IF('ORDENES'!$A596="","",IF('ORDENES'!$M596="",0,'ORDENES'!$M596))</f>
        <v/>
      </c>
      <c r="M618" s="3">
        <f>IF('ORDENES'!$A596="","",IF('ORDENES'!$N596="","-",'ORDENES'!$N596))</f>
        <v/>
      </c>
      <c r="N618" s="3">
        <f>IF('ORDENES'!$A596="","",'ORDENES'!$AD596)</f>
        <v/>
      </c>
    </row>
    <row r="619">
      <c r="A619" s="3">
        <f>IF('ORDENES'!$A597="","",IF('ORDENES'!$O597="","-",'ORDENES'!$O597))</f>
        <v/>
      </c>
      <c r="B619" s="3">
        <f>IF('ORDENES'!$A597="","",IF('ORDENES'!$R597="","-",'ORDENES'!$R597))</f>
        <v/>
      </c>
      <c r="C619" s="3">
        <f>IF('ORDENES'!$A597="","",IF('ORDENES'!$AF597="","-",'ORDENES'!$AF597))</f>
        <v/>
      </c>
      <c r="D619" s="3">
        <f>IF('ORDENES'!$A597="","",IF('ORDENES'!$X597="","-",'ORDENES'!$X597))</f>
        <v/>
      </c>
      <c r="E619" s="3">
        <f>IF('ORDENES'!$A597="","",IF('ORDENES'!$V597="","-",'ORDENES'!$V597))</f>
        <v/>
      </c>
      <c r="F619" s="3">
        <f>IF('ORDENES'!$A597="","",IF('ORDENES'!$Y597="","-",'ORDENES'!$Y597))</f>
        <v/>
      </c>
      <c r="G619" s="3">
        <f>IF('ORDENES'!$A597="","",IF('ORDENES'!$W597="","-",'ORDENES'!$W597))</f>
        <v/>
      </c>
      <c r="H619" s="3">
        <f>IF('ORDENES'!$A597="","",IF('ORDENES'!$AE597="","-",'ORDENES'!$AE597))</f>
        <v/>
      </c>
      <c r="I619" s="3">
        <f>IF('ORDENES'!$A597="","",IF('ORDENES'!$AQ597="","-",'ORDENES'!$AQ597))</f>
        <v/>
      </c>
      <c r="J619" s="3">
        <f>IF('ORDENES'!$A597="","",IF('ORDENES'!$D597="","-",'ORDENES'!$D597))</f>
        <v/>
      </c>
      <c r="K619" s="3">
        <f>IF('ORDENES'!$A597="","",IF('ORDENES'!$E597="","-",'ORDENES'!$E597))</f>
        <v/>
      </c>
      <c r="L619" s="13">
        <f>IF('ORDENES'!$A597="","",IF('ORDENES'!$M597="",0,'ORDENES'!$M597))</f>
        <v/>
      </c>
      <c r="M619" s="3">
        <f>IF('ORDENES'!$A597="","",IF('ORDENES'!$N597="","-",'ORDENES'!$N597))</f>
        <v/>
      </c>
      <c r="N619" s="3">
        <f>IF('ORDENES'!$A597="","",'ORDENES'!$AD597)</f>
        <v/>
      </c>
    </row>
    <row r="620">
      <c r="A620" s="3">
        <f>IF('ORDENES'!$A598="","",IF('ORDENES'!$O598="","-",'ORDENES'!$O598))</f>
        <v/>
      </c>
      <c r="B620" s="3">
        <f>IF('ORDENES'!$A598="","",IF('ORDENES'!$R598="","-",'ORDENES'!$R598))</f>
        <v/>
      </c>
      <c r="C620" s="3">
        <f>IF('ORDENES'!$A598="","",IF('ORDENES'!$AF598="","-",'ORDENES'!$AF598))</f>
        <v/>
      </c>
      <c r="D620" s="3">
        <f>IF('ORDENES'!$A598="","",IF('ORDENES'!$X598="","-",'ORDENES'!$X598))</f>
        <v/>
      </c>
      <c r="E620" s="3">
        <f>IF('ORDENES'!$A598="","",IF('ORDENES'!$V598="","-",'ORDENES'!$V598))</f>
        <v/>
      </c>
      <c r="F620" s="3">
        <f>IF('ORDENES'!$A598="","",IF('ORDENES'!$Y598="","-",'ORDENES'!$Y598))</f>
        <v/>
      </c>
      <c r="G620" s="3">
        <f>IF('ORDENES'!$A598="","",IF('ORDENES'!$W598="","-",'ORDENES'!$W598))</f>
        <v/>
      </c>
      <c r="H620" s="3">
        <f>IF('ORDENES'!$A598="","",IF('ORDENES'!$AE598="","-",'ORDENES'!$AE598))</f>
        <v/>
      </c>
      <c r="I620" s="3">
        <f>IF('ORDENES'!$A598="","",IF('ORDENES'!$AQ598="","-",'ORDENES'!$AQ598))</f>
        <v/>
      </c>
      <c r="J620" s="3">
        <f>IF('ORDENES'!$A598="","",IF('ORDENES'!$D598="","-",'ORDENES'!$D598))</f>
        <v/>
      </c>
      <c r="K620" s="3">
        <f>IF('ORDENES'!$A598="","",IF('ORDENES'!$E598="","-",'ORDENES'!$E598))</f>
        <v/>
      </c>
      <c r="L620" s="13">
        <f>IF('ORDENES'!$A598="","",IF('ORDENES'!$M598="",0,'ORDENES'!$M598))</f>
        <v/>
      </c>
      <c r="M620" s="3">
        <f>IF('ORDENES'!$A598="","",IF('ORDENES'!$N598="","-",'ORDENES'!$N598))</f>
        <v/>
      </c>
      <c r="N620" s="3">
        <f>IF('ORDENES'!$A598="","",'ORDENES'!$AD598)</f>
        <v/>
      </c>
    </row>
    <row r="621">
      <c r="A621" s="3">
        <f>IF('ORDENES'!$A599="","",IF('ORDENES'!$O599="","-",'ORDENES'!$O599))</f>
        <v/>
      </c>
      <c r="B621" s="3">
        <f>IF('ORDENES'!$A599="","",IF('ORDENES'!$R599="","-",'ORDENES'!$R599))</f>
        <v/>
      </c>
      <c r="C621" s="3">
        <f>IF('ORDENES'!$A599="","",IF('ORDENES'!$AF599="","-",'ORDENES'!$AF599))</f>
        <v/>
      </c>
      <c r="D621" s="3">
        <f>IF('ORDENES'!$A599="","",IF('ORDENES'!$X599="","-",'ORDENES'!$X599))</f>
        <v/>
      </c>
      <c r="E621" s="3">
        <f>IF('ORDENES'!$A599="","",IF('ORDENES'!$V599="","-",'ORDENES'!$V599))</f>
        <v/>
      </c>
      <c r="F621" s="3">
        <f>IF('ORDENES'!$A599="","",IF('ORDENES'!$Y599="","-",'ORDENES'!$Y599))</f>
        <v/>
      </c>
      <c r="G621" s="3">
        <f>IF('ORDENES'!$A599="","",IF('ORDENES'!$W599="","-",'ORDENES'!$W599))</f>
        <v/>
      </c>
      <c r="H621" s="3">
        <f>IF('ORDENES'!$A599="","",IF('ORDENES'!$AE599="","-",'ORDENES'!$AE599))</f>
        <v/>
      </c>
      <c r="I621" s="3">
        <f>IF('ORDENES'!$A599="","",IF('ORDENES'!$AQ599="","-",'ORDENES'!$AQ599))</f>
        <v/>
      </c>
      <c r="J621" s="3">
        <f>IF('ORDENES'!$A599="","",IF('ORDENES'!$D599="","-",'ORDENES'!$D599))</f>
        <v/>
      </c>
      <c r="K621" s="3">
        <f>IF('ORDENES'!$A599="","",IF('ORDENES'!$E599="","-",'ORDENES'!$E599))</f>
        <v/>
      </c>
      <c r="L621" s="13">
        <f>IF('ORDENES'!$A599="","",IF('ORDENES'!$M599="",0,'ORDENES'!$M599))</f>
        <v/>
      </c>
      <c r="M621" s="3">
        <f>IF('ORDENES'!$A599="","",IF('ORDENES'!$N599="","-",'ORDENES'!$N599))</f>
        <v/>
      </c>
      <c r="N621" s="3">
        <f>IF('ORDENES'!$A599="","",'ORDENES'!$AD599)</f>
        <v/>
      </c>
    </row>
    <row r="622">
      <c r="A622" s="3">
        <f>IF('ORDENES'!$A600="","",IF('ORDENES'!$O600="","-",'ORDENES'!$O600))</f>
        <v/>
      </c>
      <c r="B622" s="3">
        <f>IF('ORDENES'!$A600="","",IF('ORDENES'!$R600="","-",'ORDENES'!$R600))</f>
        <v/>
      </c>
      <c r="C622" s="3">
        <f>IF('ORDENES'!$A600="","",IF('ORDENES'!$AF600="","-",'ORDENES'!$AF600))</f>
        <v/>
      </c>
      <c r="D622" s="3">
        <f>IF('ORDENES'!$A600="","",IF('ORDENES'!$X600="","-",'ORDENES'!$X600))</f>
        <v/>
      </c>
      <c r="E622" s="3">
        <f>IF('ORDENES'!$A600="","",IF('ORDENES'!$V600="","-",'ORDENES'!$V600))</f>
        <v/>
      </c>
      <c r="F622" s="3">
        <f>IF('ORDENES'!$A600="","",IF('ORDENES'!$Y600="","-",'ORDENES'!$Y600))</f>
        <v/>
      </c>
      <c r="G622" s="3">
        <f>IF('ORDENES'!$A600="","",IF('ORDENES'!$W600="","-",'ORDENES'!$W600))</f>
        <v/>
      </c>
      <c r="H622" s="3">
        <f>IF('ORDENES'!$A600="","",IF('ORDENES'!$AE600="","-",'ORDENES'!$AE600))</f>
        <v/>
      </c>
      <c r="I622" s="3">
        <f>IF('ORDENES'!$A600="","",IF('ORDENES'!$AQ600="","-",'ORDENES'!$AQ600))</f>
        <v/>
      </c>
      <c r="J622" s="3">
        <f>IF('ORDENES'!$A600="","",IF('ORDENES'!$D600="","-",'ORDENES'!$D600))</f>
        <v/>
      </c>
      <c r="K622" s="3">
        <f>IF('ORDENES'!$A600="","",IF('ORDENES'!$E600="","-",'ORDENES'!$E600))</f>
        <v/>
      </c>
      <c r="L622" s="13">
        <f>IF('ORDENES'!$A600="","",IF('ORDENES'!$M600="",0,'ORDENES'!$M600))</f>
        <v/>
      </c>
      <c r="M622" s="3">
        <f>IF('ORDENES'!$A600="","",IF('ORDENES'!$N600="","-",'ORDENES'!$N600))</f>
        <v/>
      </c>
      <c r="N622" s="3">
        <f>IF('ORDENES'!$A600="","",'ORDENES'!$AD600)</f>
        <v/>
      </c>
    </row>
    <row r="623">
      <c r="A623" s="3">
        <f>IF('ORDENES'!$A601="","",IF('ORDENES'!$O601="","-",'ORDENES'!$O601))</f>
        <v/>
      </c>
      <c r="B623" s="3">
        <f>IF('ORDENES'!$A601="","",IF('ORDENES'!$R601="","-",'ORDENES'!$R601))</f>
        <v/>
      </c>
      <c r="C623" s="3">
        <f>IF('ORDENES'!$A601="","",IF('ORDENES'!$AF601="","-",'ORDENES'!$AF601))</f>
        <v/>
      </c>
      <c r="D623" s="3">
        <f>IF('ORDENES'!$A601="","",IF('ORDENES'!$X601="","-",'ORDENES'!$X601))</f>
        <v/>
      </c>
      <c r="E623" s="3">
        <f>IF('ORDENES'!$A601="","",IF('ORDENES'!$V601="","-",'ORDENES'!$V601))</f>
        <v/>
      </c>
      <c r="F623" s="3">
        <f>IF('ORDENES'!$A601="","",IF('ORDENES'!$Y601="","-",'ORDENES'!$Y601))</f>
        <v/>
      </c>
      <c r="G623" s="3">
        <f>IF('ORDENES'!$A601="","",IF('ORDENES'!$W601="","-",'ORDENES'!$W601))</f>
        <v/>
      </c>
      <c r="H623" s="3">
        <f>IF('ORDENES'!$A601="","",IF('ORDENES'!$AE601="","-",'ORDENES'!$AE601))</f>
        <v/>
      </c>
      <c r="I623" s="3">
        <f>IF('ORDENES'!$A601="","",IF('ORDENES'!$AQ601="","-",'ORDENES'!$AQ601))</f>
        <v/>
      </c>
      <c r="J623" s="3">
        <f>IF('ORDENES'!$A601="","",IF('ORDENES'!$D601="","-",'ORDENES'!$D601))</f>
        <v/>
      </c>
      <c r="K623" s="3">
        <f>IF('ORDENES'!$A601="","",IF('ORDENES'!$E601="","-",'ORDENES'!$E601))</f>
        <v/>
      </c>
      <c r="L623" s="13">
        <f>IF('ORDENES'!$A601="","",IF('ORDENES'!$M601="",0,'ORDENES'!$M601))</f>
        <v/>
      </c>
      <c r="M623" s="3">
        <f>IF('ORDENES'!$A601="","",IF('ORDENES'!$N601="","-",'ORDENES'!$N601))</f>
        <v/>
      </c>
      <c r="N623" s="3">
        <f>IF('ORDENES'!$A601="","",'ORDENES'!$AD601)</f>
        <v/>
      </c>
    </row>
    <row r="624">
      <c r="A624" s="3">
        <f>IF('ORDENES'!$A602="","",IF('ORDENES'!$O602="","-",'ORDENES'!$O602))</f>
        <v/>
      </c>
      <c r="B624" s="3">
        <f>IF('ORDENES'!$A602="","",IF('ORDENES'!$R602="","-",'ORDENES'!$R602))</f>
        <v/>
      </c>
      <c r="C624" s="3">
        <f>IF('ORDENES'!$A602="","",IF('ORDENES'!$AF602="","-",'ORDENES'!$AF602))</f>
        <v/>
      </c>
      <c r="D624" s="3">
        <f>IF('ORDENES'!$A602="","",IF('ORDENES'!$X602="","-",'ORDENES'!$X602))</f>
        <v/>
      </c>
      <c r="E624" s="3">
        <f>IF('ORDENES'!$A602="","",IF('ORDENES'!$V602="","-",'ORDENES'!$V602))</f>
        <v/>
      </c>
      <c r="F624" s="3">
        <f>IF('ORDENES'!$A602="","",IF('ORDENES'!$Y602="","-",'ORDENES'!$Y602))</f>
        <v/>
      </c>
      <c r="G624" s="3">
        <f>IF('ORDENES'!$A602="","",IF('ORDENES'!$W602="","-",'ORDENES'!$W602))</f>
        <v/>
      </c>
      <c r="H624" s="3">
        <f>IF('ORDENES'!$A602="","",IF('ORDENES'!$AE602="","-",'ORDENES'!$AE602))</f>
        <v/>
      </c>
      <c r="I624" s="3">
        <f>IF('ORDENES'!$A602="","",IF('ORDENES'!$AQ602="","-",'ORDENES'!$AQ602))</f>
        <v/>
      </c>
      <c r="J624" s="3">
        <f>IF('ORDENES'!$A602="","",IF('ORDENES'!$D602="","-",'ORDENES'!$D602))</f>
        <v/>
      </c>
      <c r="K624" s="3">
        <f>IF('ORDENES'!$A602="","",IF('ORDENES'!$E602="","-",'ORDENES'!$E602))</f>
        <v/>
      </c>
      <c r="L624" s="13">
        <f>IF('ORDENES'!$A602="","",IF('ORDENES'!$M602="",0,'ORDENES'!$M602))</f>
        <v/>
      </c>
      <c r="M624" s="3">
        <f>IF('ORDENES'!$A602="","",IF('ORDENES'!$N602="","-",'ORDENES'!$N602))</f>
        <v/>
      </c>
      <c r="N624" s="3">
        <f>IF('ORDENES'!$A602="","",'ORDENES'!$AD602)</f>
        <v/>
      </c>
    </row>
    <row r="625">
      <c r="A625" s="3">
        <f>IF('ORDENES'!$A603="","",IF('ORDENES'!$O603="","-",'ORDENES'!$O603))</f>
        <v/>
      </c>
      <c r="B625" s="3">
        <f>IF('ORDENES'!$A603="","",IF('ORDENES'!$R603="","-",'ORDENES'!$R603))</f>
        <v/>
      </c>
      <c r="C625" s="3">
        <f>IF('ORDENES'!$A603="","",IF('ORDENES'!$AF603="","-",'ORDENES'!$AF603))</f>
        <v/>
      </c>
      <c r="D625" s="3">
        <f>IF('ORDENES'!$A603="","",IF('ORDENES'!$X603="","-",'ORDENES'!$X603))</f>
        <v/>
      </c>
      <c r="E625" s="3">
        <f>IF('ORDENES'!$A603="","",IF('ORDENES'!$V603="","-",'ORDENES'!$V603))</f>
        <v/>
      </c>
      <c r="F625" s="3">
        <f>IF('ORDENES'!$A603="","",IF('ORDENES'!$Y603="","-",'ORDENES'!$Y603))</f>
        <v/>
      </c>
      <c r="G625" s="3">
        <f>IF('ORDENES'!$A603="","",IF('ORDENES'!$W603="","-",'ORDENES'!$W603))</f>
        <v/>
      </c>
      <c r="H625" s="3">
        <f>IF('ORDENES'!$A603="","",IF('ORDENES'!$AE603="","-",'ORDENES'!$AE603))</f>
        <v/>
      </c>
      <c r="I625" s="3">
        <f>IF('ORDENES'!$A603="","",IF('ORDENES'!$AQ603="","-",'ORDENES'!$AQ603))</f>
        <v/>
      </c>
      <c r="J625" s="3">
        <f>IF('ORDENES'!$A603="","",IF('ORDENES'!$D603="","-",'ORDENES'!$D603))</f>
        <v/>
      </c>
      <c r="K625" s="3">
        <f>IF('ORDENES'!$A603="","",IF('ORDENES'!$E603="","-",'ORDENES'!$E603))</f>
        <v/>
      </c>
      <c r="L625" s="13">
        <f>IF('ORDENES'!$A603="","",IF('ORDENES'!$M603="",0,'ORDENES'!$M603))</f>
        <v/>
      </c>
      <c r="M625" s="3">
        <f>IF('ORDENES'!$A603="","",IF('ORDENES'!$N603="","-",'ORDENES'!$N603))</f>
        <v/>
      </c>
      <c r="N625" s="3">
        <f>IF('ORDENES'!$A603="","",'ORDENES'!$AD603)</f>
        <v/>
      </c>
    </row>
    <row r="626">
      <c r="A626" s="3">
        <f>IF('ORDENES'!$A604="","",IF('ORDENES'!$O604="","-",'ORDENES'!$O604))</f>
        <v/>
      </c>
      <c r="B626" s="3">
        <f>IF('ORDENES'!$A604="","",IF('ORDENES'!$R604="","-",'ORDENES'!$R604))</f>
        <v/>
      </c>
      <c r="C626" s="3">
        <f>IF('ORDENES'!$A604="","",IF('ORDENES'!$AF604="","-",'ORDENES'!$AF604))</f>
        <v/>
      </c>
      <c r="D626" s="3">
        <f>IF('ORDENES'!$A604="","",IF('ORDENES'!$X604="","-",'ORDENES'!$X604))</f>
        <v/>
      </c>
      <c r="E626" s="3">
        <f>IF('ORDENES'!$A604="","",IF('ORDENES'!$V604="","-",'ORDENES'!$V604))</f>
        <v/>
      </c>
      <c r="F626" s="3">
        <f>IF('ORDENES'!$A604="","",IF('ORDENES'!$Y604="","-",'ORDENES'!$Y604))</f>
        <v/>
      </c>
      <c r="G626" s="3">
        <f>IF('ORDENES'!$A604="","",IF('ORDENES'!$W604="","-",'ORDENES'!$W604))</f>
        <v/>
      </c>
      <c r="H626" s="3">
        <f>IF('ORDENES'!$A604="","",IF('ORDENES'!$AE604="","-",'ORDENES'!$AE604))</f>
        <v/>
      </c>
      <c r="I626" s="3">
        <f>IF('ORDENES'!$A604="","",IF('ORDENES'!$AQ604="","-",'ORDENES'!$AQ604))</f>
        <v/>
      </c>
      <c r="J626" s="3">
        <f>IF('ORDENES'!$A604="","",IF('ORDENES'!$D604="","-",'ORDENES'!$D604))</f>
        <v/>
      </c>
      <c r="K626" s="3">
        <f>IF('ORDENES'!$A604="","",IF('ORDENES'!$E604="","-",'ORDENES'!$E604))</f>
        <v/>
      </c>
      <c r="L626" s="13">
        <f>IF('ORDENES'!$A604="","",IF('ORDENES'!$M604="",0,'ORDENES'!$M604))</f>
        <v/>
      </c>
      <c r="M626" s="3">
        <f>IF('ORDENES'!$A604="","",IF('ORDENES'!$N604="","-",'ORDENES'!$N604))</f>
        <v/>
      </c>
      <c r="N626" s="3">
        <f>IF('ORDENES'!$A604="","",'ORDENES'!$AD604)</f>
        <v/>
      </c>
    </row>
    <row r="627">
      <c r="A627" s="3">
        <f>IF('ORDENES'!$A605="","",IF('ORDENES'!$O605="","-",'ORDENES'!$O605))</f>
        <v/>
      </c>
      <c r="B627" s="3">
        <f>IF('ORDENES'!$A605="","",IF('ORDENES'!$R605="","-",'ORDENES'!$R605))</f>
        <v/>
      </c>
      <c r="C627" s="3">
        <f>IF('ORDENES'!$A605="","",IF('ORDENES'!$AF605="","-",'ORDENES'!$AF605))</f>
        <v/>
      </c>
      <c r="D627" s="3">
        <f>IF('ORDENES'!$A605="","",IF('ORDENES'!$X605="","-",'ORDENES'!$X605))</f>
        <v/>
      </c>
      <c r="E627" s="3">
        <f>IF('ORDENES'!$A605="","",IF('ORDENES'!$V605="","-",'ORDENES'!$V605))</f>
        <v/>
      </c>
      <c r="F627" s="3">
        <f>IF('ORDENES'!$A605="","",IF('ORDENES'!$Y605="","-",'ORDENES'!$Y605))</f>
        <v/>
      </c>
      <c r="G627" s="3">
        <f>IF('ORDENES'!$A605="","",IF('ORDENES'!$W605="","-",'ORDENES'!$W605))</f>
        <v/>
      </c>
      <c r="H627" s="3">
        <f>IF('ORDENES'!$A605="","",IF('ORDENES'!$AE605="","-",'ORDENES'!$AE605))</f>
        <v/>
      </c>
      <c r="I627" s="3">
        <f>IF('ORDENES'!$A605="","",IF('ORDENES'!$AQ605="","-",'ORDENES'!$AQ605))</f>
        <v/>
      </c>
      <c r="J627" s="3">
        <f>IF('ORDENES'!$A605="","",IF('ORDENES'!$D605="","-",'ORDENES'!$D605))</f>
        <v/>
      </c>
      <c r="K627" s="3">
        <f>IF('ORDENES'!$A605="","",IF('ORDENES'!$E605="","-",'ORDENES'!$E605))</f>
        <v/>
      </c>
      <c r="L627" s="13">
        <f>IF('ORDENES'!$A605="","",IF('ORDENES'!$M605="",0,'ORDENES'!$M605))</f>
        <v/>
      </c>
      <c r="M627" s="3">
        <f>IF('ORDENES'!$A605="","",IF('ORDENES'!$N605="","-",'ORDENES'!$N605))</f>
        <v/>
      </c>
      <c r="N627" s="3">
        <f>IF('ORDENES'!$A605="","",'ORDENES'!$AD605)</f>
        <v/>
      </c>
    </row>
    <row r="628">
      <c r="A628" s="3">
        <f>IF('ORDENES'!$A606="","",IF('ORDENES'!$O606="","-",'ORDENES'!$O606))</f>
        <v/>
      </c>
      <c r="B628" s="3">
        <f>IF('ORDENES'!$A606="","",IF('ORDENES'!$R606="","-",'ORDENES'!$R606))</f>
        <v/>
      </c>
      <c r="C628" s="3">
        <f>IF('ORDENES'!$A606="","",IF('ORDENES'!$AF606="","-",'ORDENES'!$AF606))</f>
        <v/>
      </c>
      <c r="D628" s="3">
        <f>IF('ORDENES'!$A606="","",IF('ORDENES'!$X606="","-",'ORDENES'!$X606))</f>
        <v/>
      </c>
      <c r="E628" s="3">
        <f>IF('ORDENES'!$A606="","",IF('ORDENES'!$V606="","-",'ORDENES'!$V606))</f>
        <v/>
      </c>
      <c r="F628" s="3">
        <f>IF('ORDENES'!$A606="","",IF('ORDENES'!$Y606="","-",'ORDENES'!$Y606))</f>
        <v/>
      </c>
      <c r="G628" s="3">
        <f>IF('ORDENES'!$A606="","",IF('ORDENES'!$W606="","-",'ORDENES'!$W606))</f>
        <v/>
      </c>
      <c r="H628" s="3">
        <f>IF('ORDENES'!$A606="","",IF('ORDENES'!$AE606="","-",'ORDENES'!$AE606))</f>
        <v/>
      </c>
      <c r="I628" s="3">
        <f>IF('ORDENES'!$A606="","",IF('ORDENES'!$AQ606="","-",'ORDENES'!$AQ606))</f>
        <v/>
      </c>
      <c r="J628" s="3">
        <f>IF('ORDENES'!$A606="","",IF('ORDENES'!$D606="","-",'ORDENES'!$D606))</f>
        <v/>
      </c>
      <c r="K628" s="3">
        <f>IF('ORDENES'!$A606="","",IF('ORDENES'!$E606="","-",'ORDENES'!$E606))</f>
        <v/>
      </c>
      <c r="L628" s="13">
        <f>IF('ORDENES'!$A606="","",IF('ORDENES'!$M606="",0,'ORDENES'!$M606))</f>
        <v/>
      </c>
      <c r="M628" s="3">
        <f>IF('ORDENES'!$A606="","",IF('ORDENES'!$N606="","-",'ORDENES'!$N606))</f>
        <v/>
      </c>
      <c r="N628" s="3">
        <f>IF('ORDENES'!$A606="","",'ORDENES'!$AD606)</f>
        <v/>
      </c>
    </row>
    <row r="629">
      <c r="A629" s="3">
        <f>IF('ORDENES'!$A607="","",IF('ORDENES'!$O607="","-",'ORDENES'!$O607))</f>
        <v/>
      </c>
      <c r="B629" s="3">
        <f>IF('ORDENES'!$A607="","",IF('ORDENES'!$R607="","-",'ORDENES'!$R607))</f>
        <v/>
      </c>
      <c r="C629" s="3">
        <f>IF('ORDENES'!$A607="","",IF('ORDENES'!$AF607="","-",'ORDENES'!$AF607))</f>
        <v/>
      </c>
      <c r="D629" s="3">
        <f>IF('ORDENES'!$A607="","",IF('ORDENES'!$X607="","-",'ORDENES'!$X607))</f>
        <v/>
      </c>
      <c r="E629" s="3">
        <f>IF('ORDENES'!$A607="","",IF('ORDENES'!$V607="","-",'ORDENES'!$V607))</f>
        <v/>
      </c>
      <c r="F629" s="3">
        <f>IF('ORDENES'!$A607="","",IF('ORDENES'!$Y607="","-",'ORDENES'!$Y607))</f>
        <v/>
      </c>
      <c r="G629" s="3">
        <f>IF('ORDENES'!$A607="","",IF('ORDENES'!$W607="","-",'ORDENES'!$W607))</f>
        <v/>
      </c>
      <c r="H629" s="3">
        <f>IF('ORDENES'!$A607="","",IF('ORDENES'!$AE607="","-",'ORDENES'!$AE607))</f>
        <v/>
      </c>
      <c r="I629" s="3">
        <f>IF('ORDENES'!$A607="","",IF('ORDENES'!$AQ607="","-",'ORDENES'!$AQ607))</f>
        <v/>
      </c>
      <c r="J629" s="3">
        <f>IF('ORDENES'!$A607="","",IF('ORDENES'!$D607="","-",'ORDENES'!$D607))</f>
        <v/>
      </c>
      <c r="K629" s="3">
        <f>IF('ORDENES'!$A607="","",IF('ORDENES'!$E607="","-",'ORDENES'!$E607))</f>
        <v/>
      </c>
      <c r="L629" s="13">
        <f>IF('ORDENES'!$A607="","",IF('ORDENES'!$M607="",0,'ORDENES'!$M607))</f>
        <v/>
      </c>
      <c r="M629" s="3">
        <f>IF('ORDENES'!$A607="","",IF('ORDENES'!$N607="","-",'ORDENES'!$N607))</f>
        <v/>
      </c>
      <c r="N629" s="3">
        <f>IF('ORDENES'!$A607="","",'ORDENES'!$AD607)</f>
        <v/>
      </c>
    </row>
    <row r="630">
      <c r="A630" s="3">
        <f>IF('ORDENES'!$A608="","",IF('ORDENES'!$O608="","-",'ORDENES'!$O608))</f>
        <v/>
      </c>
      <c r="B630" s="3">
        <f>IF('ORDENES'!$A608="","",IF('ORDENES'!$R608="","-",'ORDENES'!$R608))</f>
        <v/>
      </c>
      <c r="C630" s="3">
        <f>IF('ORDENES'!$A608="","",IF('ORDENES'!$AF608="","-",'ORDENES'!$AF608))</f>
        <v/>
      </c>
      <c r="D630" s="3">
        <f>IF('ORDENES'!$A608="","",IF('ORDENES'!$X608="","-",'ORDENES'!$X608))</f>
        <v/>
      </c>
      <c r="E630" s="3">
        <f>IF('ORDENES'!$A608="","",IF('ORDENES'!$V608="","-",'ORDENES'!$V608))</f>
        <v/>
      </c>
      <c r="F630" s="3">
        <f>IF('ORDENES'!$A608="","",IF('ORDENES'!$Y608="","-",'ORDENES'!$Y608))</f>
        <v/>
      </c>
      <c r="G630" s="3">
        <f>IF('ORDENES'!$A608="","",IF('ORDENES'!$W608="","-",'ORDENES'!$W608))</f>
        <v/>
      </c>
      <c r="H630" s="3">
        <f>IF('ORDENES'!$A608="","",IF('ORDENES'!$AE608="","-",'ORDENES'!$AE608))</f>
        <v/>
      </c>
      <c r="I630" s="3">
        <f>IF('ORDENES'!$A608="","",IF('ORDENES'!$AQ608="","-",'ORDENES'!$AQ608))</f>
        <v/>
      </c>
      <c r="J630" s="3">
        <f>IF('ORDENES'!$A608="","",IF('ORDENES'!$D608="","-",'ORDENES'!$D608))</f>
        <v/>
      </c>
      <c r="K630" s="3">
        <f>IF('ORDENES'!$A608="","",IF('ORDENES'!$E608="","-",'ORDENES'!$E608))</f>
        <v/>
      </c>
      <c r="L630" s="13">
        <f>IF('ORDENES'!$A608="","",IF('ORDENES'!$M608="",0,'ORDENES'!$M608))</f>
        <v/>
      </c>
      <c r="M630" s="3">
        <f>IF('ORDENES'!$A608="","",IF('ORDENES'!$N608="","-",'ORDENES'!$N608))</f>
        <v/>
      </c>
      <c r="N630" s="3">
        <f>IF('ORDENES'!$A608="","",'ORDENES'!$AD608)</f>
        <v/>
      </c>
    </row>
    <row r="631">
      <c r="A631" s="3">
        <f>IF('ORDENES'!$A609="","",IF('ORDENES'!$O609="","-",'ORDENES'!$O609))</f>
        <v/>
      </c>
      <c r="B631" s="3">
        <f>IF('ORDENES'!$A609="","",IF('ORDENES'!$R609="","-",'ORDENES'!$R609))</f>
        <v/>
      </c>
      <c r="C631" s="3">
        <f>IF('ORDENES'!$A609="","",IF('ORDENES'!$AF609="","-",'ORDENES'!$AF609))</f>
        <v/>
      </c>
      <c r="D631" s="3">
        <f>IF('ORDENES'!$A609="","",IF('ORDENES'!$X609="","-",'ORDENES'!$X609))</f>
        <v/>
      </c>
      <c r="E631" s="3">
        <f>IF('ORDENES'!$A609="","",IF('ORDENES'!$V609="","-",'ORDENES'!$V609))</f>
        <v/>
      </c>
      <c r="F631" s="3">
        <f>IF('ORDENES'!$A609="","",IF('ORDENES'!$Y609="","-",'ORDENES'!$Y609))</f>
        <v/>
      </c>
      <c r="G631" s="3">
        <f>IF('ORDENES'!$A609="","",IF('ORDENES'!$W609="","-",'ORDENES'!$W609))</f>
        <v/>
      </c>
      <c r="H631" s="3">
        <f>IF('ORDENES'!$A609="","",IF('ORDENES'!$AE609="","-",'ORDENES'!$AE609))</f>
        <v/>
      </c>
      <c r="I631" s="3">
        <f>IF('ORDENES'!$A609="","",IF('ORDENES'!$AQ609="","-",'ORDENES'!$AQ609))</f>
        <v/>
      </c>
      <c r="J631" s="3">
        <f>IF('ORDENES'!$A609="","",IF('ORDENES'!$D609="","-",'ORDENES'!$D609))</f>
        <v/>
      </c>
      <c r="K631" s="3">
        <f>IF('ORDENES'!$A609="","",IF('ORDENES'!$E609="","-",'ORDENES'!$E609))</f>
        <v/>
      </c>
      <c r="L631" s="13">
        <f>IF('ORDENES'!$A609="","",IF('ORDENES'!$M609="",0,'ORDENES'!$M609))</f>
        <v/>
      </c>
      <c r="M631" s="3">
        <f>IF('ORDENES'!$A609="","",IF('ORDENES'!$N609="","-",'ORDENES'!$N609))</f>
        <v/>
      </c>
      <c r="N631" s="3">
        <f>IF('ORDENES'!$A609="","",'ORDENES'!$AD609)</f>
        <v/>
      </c>
    </row>
    <row r="632">
      <c r="A632" s="3">
        <f>IF('ORDENES'!$A610="","",IF('ORDENES'!$O610="","-",'ORDENES'!$O610))</f>
        <v/>
      </c>
      <c r="B632" s="3">
        <f>IF('ORDENES'!$A610="","",IF('ORDENES'!$R610="","-",'ORDENES'!$R610))</f>
        <v/>
      </c>
      <c r="C632" s="3">
        <f>IF('ORDENES'!$A610="","",IF('ORDENES'!$AF610="","-",'ORDENES'!$AF610))</f>
        <v/>
      </c>
      <c r="D632" s="3">
        <f>IF('ORDENES'!$A610="","",IF('ORDENES'!$X610="","-",'ORDENES'!$X610))</f>
        <v/>
      </c>
      <c r="E632" s="3">
        <f>IF('ORDENES'!$A610="","",IF('ORDENES'!$V610="","-",'ORDENES'!$V610))</f>
        <v/>
      </c>
      <c r="F632" s="3">
        <f>IF('ORDENES'!$A610="","",IF('ORDENES'!$Y610="","-",'ORDENES'!$Y610))</f>
        <v/>
      </c>
      <c r="G632" s="3">
        <f>IF('ORDENES'!$A610="","",IF('ORDENES'!$W610="","-",'ORDENES'!$W610))</f>
        <v/>
      </c>
      <c r="H632" s="3">
        <f>IF('ORDENES'!$A610="","",IF('ORDENES'!$AE610="","-",'ORDENES'!$AE610))</f>
        <v/>
      </c>
      <c r="I632" s="3">
        <f>IF('ORDENES'!$A610="","",IF('ORDENES'!$AQ610="","-",'ORDENES'!$AQ610))</f>
        <v/>
      </c>
      <c r="J632" s="3">
        <f>IF('ORDENES'!$A610="","",IF('ORDENES'!$D610="","-",'ORDENES'!$D610))</f>
        <v/>
      </c>
      <c r="K632" s="3">
        <f>IF('ORDENES'!$A610="","",IF('ORDENES'!$E610="","-",'ORDENES'!$E610))</f>
        <v/>
      </c>
      <c r="L632" s="13">
        <f>IF('ORDENES'!$A610="","",IF('ORDENES'!$M610="",0,'ORDENES'!$M610))</f>
        <v/>
      </c>
      <c r="M632" s="3">
        <f>IF('ORDENES'!$A610="","",IF('ORDENES'!$N610="","-",'ORDENES'!$N610))</f>
        <v/>
      </c>
      <c r="N632" s="3">
        <f>IF('ORDENES'!$A610="","",'ORDENES'!$AD610)</f>
        <v/>
      </c>
    </row>
    <row r="633">
      <c r="A633" s="3">
        <f>IF('ORDENES'!$A611="","",IF('ORDENES'!$O611="","-",'ORDENES'!$O611))</f>
        <v/>
      </c>
      <c r="B633" s="3">
        <f>IF('ORDENES'!$A611="","",IF('ORDENES'!$R611="","-",'ORDENES'!$R611))</f>
        <v/>
      </c>
      <c r="C633" s="3">
        <f>IF('ORDENES'!$A611="","",IF('ORDENES'!$AF611="","-",'ORDENES'!$AF611))</f>
        <v/>
      </c>
      <c r="D633" s="3">
        <f>IF('ORDENES'!$A611="","",IF('ORDENES'!$X611="","-",'ORDENES'!$X611))</f>
        <v/>
      </c>
      <c r="E633" s="3">
        <f>IF('ORDENES'!$A611="","",IF('ORDENES'!$V611="","-",'ORDENES'!$V611))</f>
        <v/>
      </c>
      <c r="F633" s="3">
        <f>IF('ORDENES'!$A611="","",IF('ORDENES'!$Y611="","-",'ORDENES'!$Y611))</f>
        <v/>
      </c>
      <c r="G633" s="3">
        <f>IF('ORDENES'!$A611="","",IF('ORDENES'!$W611="","-",'ORDENES'!$W611))</f>
        <v/>
      </c>
      <c r="H633" s="3">
        <f>IF('ORDENES'!$A611="","",IF('ORDENES'!$AE611="","-",'ORDENES'!$AE611))</f>
        <v/>
      </c>
      <c r="I633" s="3">
        <f>IF('ORDENES'!$A611="","",IF('ORDENES'!$AQ611="","-",'ORDENES'!$AQ611))</f>
        <v/>
      </c>
      <c r="J633" s="3">
        <f>IF('ORDENES'!$A611="","",IF('ORDENES'!$D611="","-",'ORDENES'!$D611))</f>
        <v/>
      </c>
      <c r="K633" s="3">
        <f>IF('ORDENES'!$A611="","",IF('ORDENES'!$E611="","-",'ORDENES'!$E611))</f>
        <v/>
      </c>
      <c r="L633" s="13">
        <f>IF('ORDENES'!$A611="","",IF('ORDENES'!$M611="",0,'ORDENES'!$M611))</f>
        <v/>
      </c>
      <c r="M633" s="3">
        <f>IF('ORDENES'!$A611="","",IF('ORDENES'!$N611="","-",'ORDENES'!$N611))</f>
        <v/>
      </c>
      <c r="N633" s="3">
        <f>IF('ORDENES'!$A611="","",'ORDENES'!$AD611)</f>
        <v/>
      </c>
    </row>
    <row r="634">
      <c r="A634" s="3">
        <f>IF('ORDENES'!$A612="","",IF('ORDENES'!$O612="","-",'ORDENES'!$O612))</f>
        <v/>
      </c>
      <c r="B634" s="3">
        <f>IF('ORDENES'!$A612="","",IF('ORDENES'!$R612="","-",'ORDENES'!$R612))</f>
        <v/>
      </c>
      <c r="C634" s="3">
        <f>IF('ORDENES'!$A612="","",IF('ORDENES'!$AF612="","-",'ORDENES'!$AF612))</f>
        <v/>
      </c>
      <c r="D634" s="3">
        <f>IF('ORDENES'!$A612="","",IF('ORDENES'!$X612="","-",'ORDENES'!$X612))</f>
        <v/>
      </c>
      <c r="E634" s="3">
        <f>IF('ORDENES'!$A612="","",IF('ORDENES'!$V612="","-",'ORDENES'!$V612))</f>
        <v/>
      </c>
      <c r="F634" s="3">
        <f>IF('ORDENES'!$A612="","",IF('ORDENES'!$Y612="","-",'ORDENES'!$Y612))</f>
        <v/>
      </c>
      <c r="G634" s="3">
        <f>IF('ORDENES'!$A612="","",IF('ORDENES'!$W612="","-",'ORDENES'!$W612))</f>
        <v/>
      </c>
      <c r="H634" s="3">
        <f>IF('ORDENES'!$A612="","",IF('ORDENES'!$AE612="","-",'ORDENES'!$AE612))</f>
        <v/>
      </c>
      <c r="I634" s="3">
        <f>IF('ORDENES'!$A612="","",IF('ORDENES'!$AQ612="","-",'ORDENES'!$AQ612))</f>
        <v/>
      </c>
      <c r="J634" s="3">
        <f>IF('ORDENES'!$A612="","",IF('ORDENES'!$D612="","-",'ORDENES'!$D612))</f>
        <v/>
      </c>
      <c r="K634" s="3">
        <f>IF('ORDENES'!$A612="","",IF('ORDENES'!$E612="","-",'ORDENES'!$E612))</f>
        <v/>
      </c>
      <c r="L634" s="13">
        <f>IF('ORDENES'!$A612="","",IF('ORDENES'!$M612="",0,'ORDENES'!$M612))</f>
        <v/>
      </c>
      <c r="M634" s="3">
        <f>IF('ORDENES'!$A612="","",IF('ORDENES'!$N612="","-",'ORDENES'!$N612))</f>
        <v/>
      </c>
      <c r="N634" s="3">
        <f>IF('ORDENES'!$A612="","",'ORDENES'!$AD612)</f>
        <v/>
      </c>
    </row>
    <row r="635">
      <c r="A635" s="3">
        <f>IF('ORDENES'!$A613="","",IF('ORDENES'!$O613="","-",'ORDENES'!$O613))</f>
        <v/>
      </c>
      <c r="B635" s="3">
        <f>IF('ORDENES'!$A613="","",IF('ORDENES'!$R613="","-",'ORDENES'!$R613))</f>
        <v/>
      </c>
      <c r="C635" s="3">
        <f>IF('ORDENES'!$A613="","",IF('ORDENES'!$AF613="","-",'ORDENES'!$AF613))</f>
        <v/>
      </c>
      <c r="D635" s="3">
        <f>IF('ORDENES'!$A613="","",IF('ORDENES'!$X613="","-",'ORDENES'!$X613))</f>
        <v/>
      </c>
      <c r="E635" s="3">
        <f>IF('ORDENES'!$A613="","",IF('ORDENES'!$V613="","-",'ORDENES'!$V613))</f>
        <v/>
      </c>
      <c r="F635" s="3">
        <f>IF('ORDENES'!$A613="","",IF('ORDENES'!$Y613="","-",'ORDENES'!$Y613))</f>
        <v/>
      </c>
      <c r="G635" s="3">
        <f>IF('ORDENES'!$A613="","",IF('ORDENES'!$W613="","-",'ORDENES'!$W613))</f>
        <v/>
      </c>
      <c r="H635" s="3">
        <f>IF('ORDENES'!$A613="","",IF('ORDENES'!$AE613="","-",'ORDENES'!$AE613))</f>
        <v/>
      </c>
      <c r="I635" s="3">
        <f>IF('ORDENES'!$A613="","",IF('ORDENES'!$AQ613="","-",'ORDENES'!$AQ613))</f>
        <v/>
      </c>
      <c r="J635" s="3">
        <f>IF('ORDENES'!$A613="","",IF('ORDENES'!$D613="","-",'ORDENES'!$D613))</f>
        <v/>
      </c>
      <c r="K635" s="3">
        <f>IF('ORDENES'!$A613="","",IF('ORDENES'!$E613="","-",'ORDENES'!$E613))</f>
        <v/>
      </c>
      <c r="L635" s="13">
        <f>IF('ORDENES'!$A613="","",IF('ORDENES'!$M613="",0,'ORDENES'!$M613))</f>
        <v/>
      </c>
      <c r="M635" s="3">
        <f>IF('ORDENES'!$A613="","",IF('ORDENES'!$N613="","-",'ORDENES'!$N613))</f>
        <v/>
      </c>
      <c r="N635" s="3">
        <f>IF('ORDENES'!$A613="","",'ORDENES'!$AD613)</f>
        <v/>
      </c>
    </row>
    <row r="636">
      <c r="A636" s="3">
        <f>IF('ORDENES'!$A614="","",IF('ORDENES'!$O614="","-",'ORDENES'!$O614))</f>
        <v/>
      </c>
      <c r="B636" s="3">
        <f>IF('ORDENES'!$A614="","",IF('ORDENES'!$R614="","-",'ORDENES'!$R614))</f>
        <v/>
      </c>
      <c r="C636" s="3">
        <f>IF('ORDENES'!$A614="","",IF('ORDENES'!$AF614="","-",'ORDENES'!$AF614))</f>
        <v/>
      </c>
      <c r="D636" s="3">
        <f>IF('ORDENES'!$A614="","",IF('ORDENES'!$X614="","-",'ORDENES'!$X614))</f>
        <v/>
      </c>
      <c r="E636" s="3">
        <f>IF('ORDENES'!$A614="","",IF('ORDENES'!$V614="","-",'ORDENES'!$V614))</f>
        <v/>
      </c>
      <c r="F636" s="3">
        <f>IF('ORDENES'!$A614="","",IF('ORDENES'!$Y614="","-",'ORDENES'!$Y614))</f>
        <v/>
      </c>
      <c r="G636" s="3">
        <f>IF('ORDENES'!$A614="","",IF('ORDENES'!$W614="","-",'ORDENES'!$W614))</f>
        <v/>
      </c>
      <c r="H636" s="3">
        <f>IF('ORDENES'!$A614="","",IF('ORDENES'!$AE614="","-",'ORDENES'!$AE614))</f>
        <v/>
      </c>
      <c r="I636" s="3">
        <f>IF('ORDENES'!$A614="","",IF('ORDENES'!$AQ614="","-",'ORDENES'!$AQ614))</f>
        <v/>
      </c>
      <c r="J636" s="3">
        <f>IF('ORDENES'!$A614="","",IF('ORDENES'!$D614="","-",'ORDENES'!$D614))</f>
        <v/>
      </c>
      <c r="K636" s="3">
        <f>IF('ORDENES'!$A614="","",IF('ORDENES'!$E614="","-",'ORDENES'!$E614))</f>
        <v/>
      </c>
      <c r="L636" s="13">
        <f>IF('ORDENES'!$A614="","",IF('ORDENES'!$M614="",0,'ORDENES'!$M614))</f>
        <v/>
      </c>
      <c r="M636" s="3">
        <f>IF('ORDENES'!$A614="","",IF('ORDENES'!$N614="","-",'ORDENES'!$N614))</f>
        <v/>
      </c>
      <c r="N636" s="3">
        <f>IF('ORDENES'!$A614="","",'ORDENES'!$AD614)</f>
        <v/>
      </c>
    </row>
    <row r="637">
      <c r="A637" s="3">
        <f>IF('ORDENES'!$A615="","",IF('ORDENES'!$O615="","-",'ORDENES'!$O615))</f>
        <v/>
      </c>
      <c r="B637" s="3">
        <f>IF('ORDENES'!$A615="","",IF('ORDENES'!$R615="","-",'ORDENES'!$R615))</f>
        <v/>
      </c>
      <c r="C637" s="3">
        <f>IF('ORDENES'!$A615="","",IF('ORDENES'!$AF615="","-",'ORDENES'!$AF615))</f>
        <v/>
      </c>
      <c r="D637" s="3">
        <f>IF('ORDENES'!$A615="","",IF('ORDENES'!$X615="","-",'ORDENES'!$X615))</f>
        <v/>
      </c>
      <c r="E637" s="3">
        <f>IF('ORDENES'!$A615="","",IF('ORDENES'!$V615="","-",'ORDENES'!$V615))</f>
        <v/>
      </c>
      <c r="F637" s="3">
        <f>IF('ORDENES'!$A615="","",IF('ORDENES'!$Y615="","-",'ORDENES'!$Y615))</f>
        <v/>
      </c>
      <c r="G637" s="3">
        <f>IF('ORDENES'!$A615="","",IF('ORDENES'!$W615="","-",'ORDENES'!$W615))</f>
        <v/>
      </c>
      <c r="H637" s="3">
        <f>IF('ORDENES'!$A615="","",IF('ORDENES'!$AE615="","-",'ORDENES'!$AE615))</f>
        <v/>
      </c>
      <c r="I637" s="3">
        <f>IF('ORDENES'!$A615="","",IF('ORDENES'!$AQ615="","-",'ORDENES'!$AQ615))</f>
        <v/>
      </c>
      <c r="J637" s="3">
        <f>IF('ORDENES'!$A615="","",IF('ORDENES'!$D615="","-",'ORDENES'!$D615))</f>
        <v/>
      </c>
      <c r="K637" s="3">
        <f>IF('ORDENES'!$A615="","",IF('ORDENES'!$E615="","-",'ORDENES'!$E615))</f>
        <v/>
      </c>
      <c r="L637" s="13">
        <f>IF('ORDENES'!$A615="","",IF('ORDENES'!$M615="",0,'ORDENES'!$M615))</f>
        <v/>
      </c>
      <c r="M637" s="3">
        <f>IF('ORDENES'!$A615="","",IF('ORDENES'!$N615="","-",'ORDENES'!$N615))</f>
        <v/>
      </c>
      <c r="N637" s="3">
        <f>IF('ORDENES'!$A615="","",'ORDENES'!$AD615)</f>
        <v/>
      </c>
    </row>
    <row r="638">
      <c r="A638" s="3">
        <f>IF('ORDENES'!$A616="","",IF('ORDENES'!$O616="","-",'ORDENES'!$O616))</f>
        <v/>
      </c>
      <c r="B638" s="3">
        <f>IF('ORDENES'!$A616="","",IF('ORDENES'!$R616="","-",'ORDENES'!$R616))</f>
        <v/>
      </c>
      <c r="C638" s="3">
        <f>IF('ORDENES'!$A616="","",IF('ORDENES'!$AF616="","-",'ORDENES'!$AF616))</f>
        <v/>
      </c>
      <c r="D638" s="3">
        <f>IF('ORDENES'!$A616="","",IF('ORDENES'!$X616="","-",'ORDENES'!$X616))</f>
        <v/>
      </c>
      <c r="E638" s="3">
        <f>IF('ORDENES'!$A616="","",IF('ORDENES'!$V616="","-",'ORDENES'!$V616))</f>
        <v/>
      </c>
      <c r="F638" s="3">
        <f>IF('ORDENES'!$A616="","",IF('ORDENES'!$Y616="","-",'ORDENES'!$Y616))</f>
        <v/>
      </c>
      <c r="G638" s="3">
        <f>IF('ORDENES'!$A616="","",IF('ORDENES'!$W616="","-",'ORDENES'!$W616))</f>
        <v/>
      </c>
      <c r="H638" s="3">
        <f>IF('ORDENES'!$A616="","",IF('ORDENES'!$AE616="","-",'ORDENES'!$AE616))</f>
        <v/>
      </c>
      <c r="I638" s="3">
        <f>IF('ORDENES'!$A616="","",IF('ORDENES'!$AQ616="","-",'ORDENES'!$AQ616))</f>
        <v/>
      </c>
      <c r="J638" s="3">
        <f>IF('ORDENES'!$A616="","",IF('ORDENES'!$D616="","-",'ORDENES'!$D616))</f>
        <v/>
      </c>
      <c r="K638" s="3">
        <f>IF('ORDENES'!$A616="","",IF('ORDENES'!$E616="","-",'ORDENES'!$E616))</f>
        <v/>
      </c>
      <c r="L638" s="13">
        <f>IF('ORDENES'!$A616="","",IF('ORDENES'!$M616="",0,'ORDENES'!$M616))</f>
        <v/>
      </c>
      <c r="M638" s="3">
        <f>IF('ORDENES'!$A616="","",IF('ORDENES'!$N616="","-",'ORDENES'!$N616))</f>
        <v/>
      </c>
      <c r="N638" s="3">
        <f>IF('ORDENES'!$A616="","",'ORDENES'!$AD616)</f>
        <v/>
      </c>
    </row>
    <row r="639">
      <c r="A639" s="3">
        <f>IF('ORDENES'!$A617="","",IF('ORDENES'!$O617="","-",'ORDENES'!$O617))</f>
        <v/>
      </c>
      <c r="B639" s="3">
        <f>IF('ORDENES'!$A617="","",IF('ORDENES'!$R617="","-",'ORDENES'!$R617))</f>
        <v/>
      </c>
      <c r="C639" s="3">
        <f>IF('ORDENES'!$A617="","",IF('ORDENES'!$AF617="","-",'ORDENES'!$AF617))</f>
        <v/>
      </c>
      <c r="D639" s="3">
        <f>IF('ORDENES'!$A617="","",IF('ORDENES'!$X617="","-",'ORDENES'!$X617))</f>
        <v/>
      </c>
      <c r="E639" s="3">
        <f>IF('ORDENES'!$A617="","",IF('ORDENES'!$V617="","-",'ORDENES'!$V617))</f>
        <v/>
      </c>
      <c r="F639" s="3">
        <f>IF('ORDENES'!$A617="","",IF('ORDENES'!$Y617="","-",'ORDENES'!$Y617))</f>
        <v/>
      </c>
      <c r="G639" s="3">
        <f>IF('ORDENES'!$A617="","",IF('ORDENES'!$W617="","-",'ORDENES'!$W617))</f>
        <v/>
      </c>
      <c r="H639" s="3">
        <f>IF('ORDENES'!$A617="","",IF('ORDENES'!$AE617="","-",'ORDENES'!$AE617))</f>
        <v/>
      </c>
      <c r="I639" s="3">
        <f>IF('ORDENES'!$A617="","",IF('ORDENES'!$AQ617="","-",'ORDENES'!$AQ617))</f>
        <v/>
      </c>
      <c r="J639" s="3">
        <f>IF('ORDENES'!$A617="","",IF('ORDENES'!$D617="","-",'ORDENES'!$D617))</f>
        <v/>
      </c>
      <c r="K639" s="3">
        <f>IF('ORDENES'!$A617="","",IF('ORDENES'!$E617="","-",'ORDENES'!$E617))</f>
        <v/>
      </c>
      <c r="L639" s="13">
        <f>IF('ORDENES'!$A617="","",IF('ORDENES'!$M617="",0,'ORDENES'!$M617))</f>
        <v/>
      </c>
      <c r="M639" s="3">
        <f>IF('ORDENES'!$A617="","",IF('ORDENES'!$N617="","-",'ORDENES'!$N617))</f>
        <v/>
      </c>
      <c r="N639" s="3">
        <f>IF('ORDENES'!$A617="","",'ORDENES'!$AD617)</f>
        <v/>
      </c>
    </row>
    <row r="640">
      <c r="A640" s="3">
        <f>IF('ORDENES'!$A618="","",IF('ORDENES'!$O618="","-",'ORDENES'!$O618))</f>
        <v/>
      </c>
      <c r="B640" s="3">
        <f>IF('ORDENES'!$A618="","",IF('ORDENES'!$R618="","-",'ORDENES'!$R618))</f>
        <v/>
      </c>
      <c r="C640" s="3">
        <f>IF('ORDENES'!$A618="","",IF('ORDENES'!$AF618="","-",'ORDENES'!$AF618))</f>
        <v/>
      </c>
      <c r="D640" s="3">
        <f>IF('ORDENES'!$A618="","",IF('ORDENES'!$X618="","-",'ORDENES'!$X618))</f>
        <v/>
      </c>
      <c r="E640" s="3">
        <f>IF('ORDENES'!$A618="","",IF('ORDENES'!$V618="","-",'ORDENES'!$V618))</f>
        <v/>
      </c>
      <c r="F640" s="3">
        <f>IF('ORDENES'!$A618="","",IF('ORDENES'!$Y618="","-",'ORDENES'!$Y618))</f>
        <v/>
      </c>
      <c r="G640" s="3">
        <f>IF('ORDENES'!$A618="","",IF('ORDENES'!$W618="","-",'ORDENES'!$W618))</f>
        <v/>
      </c>
      <c r="H640" s="3">
        <f>IF('ORDENES'!$A618="","",IF('ORDENES'!$AE618="","-",'ORDENES'!$AE618))</f>
        <v/>
      </c>
      <c r="I640" s="3">
        <f>IF('ORDENES'!$A618="","",IF('ORDENES'!$AQ618="","-",'ORDENES'!$AQ618))</f>
        <v/>
      </c>
      <c r="J640" s="3">
        <f>IF('ORDENES'!$A618="","",IF('ORDENES'!$D618="","-",'ORDENES'!$D618))</f>
        <v/>
      </c>
      <c r="K640" s="3">
        <f>IF('ORDENES'!$A618="","",IF('ORDENES'!$E618="","-",'ORDENES'!$E618))</f>
        <v/>
      </c>
      <c r="L640" s="13">
        <f>IF('ORDENES'!$A618="","",IF('ORDENES'!$M618="",0,'ORDENES'!$M618))</f>
        <v/>
      </c>
      <c r="M640" s="3">
        <f>IF('ORDENES'!$A618="","",IF('ORDENES'!$N618="","-",'ORDENES'!$N618))</f>
        <v/>
      </c>
      <c r="N640" s="3">
        <f>IF('ORDENES'!$A618="","",'ORDENES'!$AD618)</f>
        <v/>
      </c>
    </row>
    <row r="641">
      <c r="A641" s="3">
        <f>IF('ORDENES'!$A619="","",IF('ORDENES'!$O619="","-",'ORDENES'!$O619))</f>
        <v/>
      </c>
      <c r="B641" s="3">
        <f>IF('ORDENES'!$A619="","",IF('ORDENES'!$R619="","-",'ORDENES'!$R619))</f>
        <v/>
      </c>
      <c r="C641" s="3">
        <f>IF('ORDENES'!$A619="","",IF('ORDENES'!$AF619="","-",'ORDENES'!$AF619))</f>
        <v/>
      </c>
      <c r="D641" s="3">
        <f>IF('ORDENES'!$A619="","",IF('ORDENES'!$X619="","-",'ORDENES'!$X619))</f>
        <v/>
      </c>
      <c r="E641" s="3">
        <f>IF('ORDENES'!$A619="","",IF('ORDENES'!$V619="","-",'ORDENES'!$V619))</f>
        <v/>
      </c>
      <c r="F641" s="3">
        <f>IF('ORDENES'!$A619="","",IF('ORDENES'!$Y619="","-",'ORDENES'!$Y619))</f>
        <v/>
      </c>
      <c r="G641" s="3">
        <f>IF('ORDENES'!$A619="","",IF('ORDENES'!$W619="","-",'ORDENES'!$W619))</f>
        <v/>
      </c>
      <c r="H641" s="3">
        <f>IF('ORDENES'!$A619="","",IF('ORDENES'!$AE619="","-",'ORDENES'!$AE619))</f>
        <v/>
      </c>
      <c r="I641" s="3">
        <f>IF('ORDENES'!$A619="","",IF('ORDENES'!$AQ619="","-",'ORDENES'!$AQ619))</f>
        <v/>
      </c>
      <c r="J641" s="3">
        <f>IF('ORDENES'!$A619="","",IF('ORDENES'!$D619="","-",'ORDENES'!$D619))</f>
        <v/>
      </c>
      <c r="K641" s="3">
        <f>IF('ORDENES'!$A619="","",IF('ORDENES'!$E619="","-",'ORDENES'!$E619))</f>
        <v/>
      </c>
      <c r="L641" s="13">
        <f>IF('ORDENES'!$A619="","",IF('ORDENES'!$M619="",0,'ORDENES'!$M619))</f>
        <v/>
      </c>
      <c r="M641" s="3">
        <f>IF('ORDENES'!$A619="","",IF('ORDENES'!$N619="","-",'ORDENES'!$N619))</f>
        <v/>
      </c>
      <c r="N641" s="3">
        <f>IF('ORDENES'!$A619="","",'ORDENES'!$AD619)</f>
        <v/>
      </c>
    </row>
    <row r="642">
      <c r="A642" s="3">
        <f>IF('ORDENES'!$A620="","",IF('ORDENES'!$O620="","-",'ORDENES'!$O620))</f>
        <v/>
      </c>
      <c r="B642" s="3">
        <f>IF('ORDENES'!$A620="","",IF('ORDENES'!$R620="","-",'ORDENES'!$R620))</f>
        <v/>
      </c>
      <c r="C642" s="3">
        <f>IF('ORDENES'!$A620="","",IF('ORDENES'!$AF620="","-",'ORDENES'!$AF620))</f>
        <v/>
      </c>
      <c r="D642" s="3">
        <f>IF('ORDENES'!$A620="","",IF('ORDENES'!$X620="","-",'ORDENES'!$X620))</f>
        <v/>
      </c>
      <c r="E642" s="3">
        <f>IF('ORDENES'!$A620="","",IF('ORDENES'!$V620="","-",'ORDENES'!$V620))</f>
        <v/>
      </c>
      <c r="F642" s="3">
        <f>IF('ORDENES'!$A620="","",IF('ORDENES'!$Y620="","-",'ORDENES'!$Y620))</f>
        <v/>
      </c>
      <c r="G642" s="3">
        <f>IF('ORDENES'!$A620="","",IF('ORDENES'!$W620="","-",'ORDENES'!$W620))</f>
        <v/>
      </c>
      <c r="H642" s="3">
        <f>IF('ORDENES'!$A620="","",IF('ORDENES'!$AE620="","-",'ORDENES'!$AE620))</f>
        <v/>
      </c>
      <c r="I642" s="3">
        <f>IF('ORDENES'!$A620="","",IF('ORDENES'!$AQ620="","-",'ORDENES'!$AQ620))</f>
        <v/>
      </c>
      <c r="J642" s="3">
        <f>IF('ORDENES'!$A620="","",IF('ORDENES'!$D620="","-",'ORDENES'!$D620))</f>
        <v/>
      </c>
      <c r="K642" s="3">
        <f>IF('ORDENES'!$A620="","",IF('ORDENES'!$E620="","-",'ORDENES'!$E620))</f>
        <v/>
      </c>
      <c r="L642" s="13">
        <f>IF('ORDENES'!$A620="","",IF('ORDENES'!$M620="",0,'ORDENES'!$M620))</f>
        <v/>
      </c>
      <c r="M642" s="3">
        <f>IF('ORDENES'!$A620="","",IF('ORDENES'!$N620="","-",'ORDENES'!$N620))</f>
        <v/>
      </c>
      <c r="N642" s="3">
        <f>IF('ORDENES'!$A620="","",'ORDENES'!$AD620)</f>
        <v/>
      </c>
    </row>
    <row r="643">
      <c r="A643" s="3">
        <f>IF('ORDENES'!$A621="","",IF('ORDENES'!$O621="","-",'ORDENES'!$O621))</f>
        <v/>
      </c>
      <c r="B643" s="3">
        <f>IF('ORDENES'!$A621="","",IF('ORDENES'!$R621="","-",'ORDENES'!$R621))</f>
        <v/>
      </c>
      <c r="C643" s="3">
        <f>IF('ORDENES'!$A621="","",IF('ORDENES'!$AF621="","-",'ORDENES'!$AF621))</f>
        <v/>
      </c>
      <c r="D643" s="3">
        <f>IF('ORDENES'!$A621="","",IF('ORDENES'!$X621="","-",'ORDENES'!$X621))</f>
        <v/>
      </c>
      <c r="E643" s="3">
        <f>IF('ORDENES'!$A621="","",IF('ORDENES'!$V621="","-",'ORDENES'!$V621))</f>
        <v/>
      </c>
      <c r="F643" s="3">
        <f>IF('ORDENES'!$A621="","",IF('ORDENES'!$Y621="","-",'ORDENES'!$Y621))</f>
        <v/>
      </c>
      <c r="G643" s="3">
        <f>IF('ORDENES'!$A621="","",IF('ORDENES'!$W621="","-",'ORDENES'!$W621))</f>
        <v/>
      </c>
      <c r="H643" s="3">
        <f>IF('ORDENES'!$A621="","",IF('ORDENES'!$AE621="","-",'ORDENES'!$AE621))</f>
        <v/>
      </c>
      <c r="I643" s="3">
        <f>IF('ORDENES'!$A621="","",IF('ORDENES'!$AQ621="","-",'ORDENES'!$AQ621))</f>
        <v/>
      </c>
      <c r="J643" s="3">
        <f>IF('ORDENES'!$A621="","",IF('ORDENES'!$D621="","-",'ORDENES'!$D621))</f>
        <v/>
      </c>
      <c r="K643" s="3">
        <f>IF('ORDENES'!$A621="","",IF('ORDENES'!$E621="","-",'ORDENES'!$E621))</f>
        <v/>
      </c>
      <c r="L643" s="13">
        <f>IF('ORDENES'!$A621="","",IF('ORDENES'!$M621="",0,'ORDENES'!$M621))</f>
        <v/>
      </c>
      <c r="M643" s="3">
        <f>IF('ORDENES'!$A621="","",IF('ORDENES'!$N621="","-",'ORDENES'!$N621))</f>
        <v/>
      </c>
      <c r="N643" s="3">
        <f>IF('ORDENES'!$A621="","",'ORDENES'!$AD621)</f>
        <v/>
      </c>
    </row>
    <row r="644">
      <c r="A644" s="3">
        <f>IF('ORDENES'!$A622="","",IF('ORDENES'!$O622="","-",'ORDENES'!$O622))</f>
        <v/>
      </c>
      <c r="B644" s="3">
        <f>IF('ORDENES'!$A622="","",IF('ORDENES'!$R622="","-",'ORDENES'!$R622))</f>
        <v/>
      </c>
      <c r="C644" s="3">
        <f>IF('ORDENES'!$A622="","",IF('ORDENES'!$AF622="","-",'ORDENES'!$AF622))</f>
        <v/>
      </c>
      <c r="D644" s="3">
        <f>IF('ORDENES'!$A622="","",IF('ORDENES'!$X622="","-",'ORDENES'!$X622))</f>
        <v/>
      </c>
      <c r="E644" s="3">
        <f>IF('ORDENES'!$A622="","",IF('ORDENES'!$V622="","-",'ORDENES'!$V622))</f>
        <v/>
      </c>
      <c r="F644" s="3">
        <f>IF('ORDENES'!$A622="","",IF('ORDENES'!$Y622="","-",'ORDENES'!$Y622))</f>
        <v/>
      </c>
      <c r="G644" s="3">
        <f>IF('ORDENES'!$A622="","",IF('ORDENES'!$W622="","-",'ORDENES'!$W622))</f>
        <v/>
      </c>
      <c r="H644" s="3">
        <f>IF('ORDENES'!$A622="","",IF('ORDENES'!$AE622="","-",'ORDENES'!$AE622))</f>
        <v/>
      </c>
      <c r="I644" s="3">
        <f>IF('ORDENES'!$A622="","",IF('ORDENES'!$AQ622="","-",'ORDENES'!$AQ622))</f>
        <v/>
      </c>
      <c r="J644" s="3">
        <f>IF('ORDENES'!$A622="","",IF('ORDENES'!$D622="","-",'ORDENES'!$D622))</f>
        <v/>
      </c>
      <c r="K644" s="3">
        <f>IF('ORDENES'!$A622="","",IF('ORDENES'!$E622="","-",'ORDENES'!$E622))</f>
        <v/>
      </c>
      <c r="L644" s="13">
        <f>IF('ORDENES'!$A622="","",IF('ORDENES'!$M622="",0,'ORDENES'!$M622))</f>
        <v/>
      </c>
      <c r="M644" s="3">
        <f>IF('ORDENES'!$A622="","",IF('ORDENES'!$N622="","-",'ORDENES'!$N622))</f>
        <v/>
      </c>
      <c r="N644" s="3">
        <f>IF('ORDENES'!$A622="","",'ORDENES'!$AD622)</f>
        <v/>
      </c>
    </row>
    <row r="645">
      <c r="A645" s="3">
        <f>IF('ORDENES'!$A623="","",IF('ORDENES'!$O623="","-",'ORDENES'!$O623))</f>
        <v/>
      </c>
      <c r="B645" s="3">
        <f>IF('ORDENES'!$A623="","",IF('ORDENES'!$R623="","-",'ORDENES'!$R623))</f>
        <v/>
      </c>
      <c r="C645" s="3">
        <f>IF('ORDENES'!$A623="","",IF('ORDENES'!$AF623="","-",'ORDENES'!$AF623))</f>
        <v/>
      </c>
      <c r="D645" s="3">
        <f>IF('ORDENES'!$A623="","",IF('ORDENES'!$X623="","-",'ORDENES'!$X623))</f>
        <v/>
      </c>
      <c r="E645" s="3">
        <f>IF('ORDENES'!$A623="","",IF('ORDENES'!$V623="","-",'ORDENES'!$V623))</f>
        <v/>
      </c>
      <c r="F645" s="3">
        <f>IF('ORDENES'!$A623="","",IF('ORDENES'!$Y623="","-",'ORDENES'!$Y623))</f>
        <v/>
      </c>
      <c r="G645" s="3">
        <f>IF('ORDENES'!$A623="","",IF('ORDENES'!$W623="","-",'ORDENES'!$W623))</f>
        <v/>
      </c>
      <c r="H645" s="3">
        <f>IF('ORDENES'!$A623="","",IF('ORDENES'!$AE623="","-",'ORDENES'!$AE623))</f>
        <v/>
      </c>
      <c r="I645" s="3">
        <f>IF('ORDENES'!$A623="","",IF('ORDENES'!$AQ623="","-",'ORDENES'!$AQ623))</f>
        <v/>
      </c>
      <c r="J645" s="3">
        <f>IF('ORDENES'!$A623="","",IF('ORDENES'!$D623="","-",'ORDENES'!$D623))</f>
        <v/>
      </c>
      <c r="K645" s="3">
        <f>IF('ORDENES'!$A623="","",IF('ORDENES'!$E623="","-",'ORDENES'!$E623))</f>
        <v/>
      </c>
      <c r="L645" s="13">
        <f>IF('ORDENES'!$A623="","",IF('ORDENES'!$M623="",0,'ORDENES'!$M623))</f>
        <v/>
      </c>
      <c r="M645" s="3">
        <f>IF('ORDENES'!$A623="","",IF('ORDENES'!$N623="","-",'ORDENES'!$N623))</f>
        <v/>
      </c>
      <c r="N645" s="3">
        <f>IF('ORDENES'!$A623="","",'ORDENES'!$AD623)</f>
        <v/>
      </c>
    </row>
    <row r="646">
      <c r="A646" s="3">
        <f>IF('ORDENES'!$A624="","",IF('ORDENES'!$O624="","-",'ORDENES'!$O624))</f>
        <v/>
      </c>
      <c r="B646" s="3">
        <f>IF('ORDENES'!$A624="","",IF('ORDENES'!$R624="","-",'ORDENES'!$R624))</f>
        <v/>
      </c>
      <c r="C646" s="3">
        <f>IF('ORDENES'!$A624="","",IF('ORDENES'!$AF624="","-",'ORDENES'!$AF624))</f>
        <v/>
      </c>
      <c r="D646" s="3">
        <f>IF('ORDENES'!$A624="","",IF('ORDENES'!$X624="","-",'ORDENES'!$X624))</f>
        <v/>
      </c>
      <c r="E646" s="3">
        <f>IF('ORDENES'!$A624="","",IF('ORDENES'!$V624="","-",'ORDENES'!$V624))</f>
        <v/>
      </c>
      <c r="F646" s="3">
        <f>IF('ORDENES'!$A624="","",IF('ORDENES'!$Y624="","-",'ORDENES'!$Y624))</f>
        <v/>
      </c>
      <c r="G646" s="3">
        <f>IF('ORDENES'!$A624="","",IF('ORDENES'!$W624="","-",'ORDENES'!$W624))</f>
        <v/>
      </c>
      <c r="H646" s="3">
        <f>IF('ORDENES'!$A624="","",IF('ORDENES'!$AE624="","-",'ORDENES'!$AE624))</f>
        <v/>
      </c>
      <c r="I646" s="3">
        <f>IF('ORDENES'!$A624="","",IF('ORDENES'!$AQ624="","-",'ORDENES'!$AQ624))</f>
        <v/>
      </c>
      <c r="J646" s="3">
        <f>IF('ORDENES'!$A624="","",IF('ORDENES'!$D624="","-",'ORDENES'!$D624))</f>
        <v/>
      </c>
      <c r="K646" s="3">
        <f>IF('ORDENES'!$A624="","",IF('ORDENES'!$E624="","-",'ORDENES'!$E624))</f>
        <v/>
      </c>
      <c r="L646" s="13">
        <f>IF('ORDENES'!$A624="","",IF('ORDENES'!$M624="",0,'ORDENES'!$M624))</f>
        <v/>
      </c>
      <c r="M646" s="3">
        <f>IF('ORDENES'!$A624="","",IF('ORDENES'!$N624="","-",'ORDENES'!$N624))</f>
        <v/>
      </c>
      <c r="N646" s="3">
        <f>IF('ORDENES'!$A624="","",'ORDENES'!$AD624)</f>
        <v/>
      </c>
    </row>
    <row r="647">
      <c r="A647" s="3">
        <f>IF('ORDENES'!$A625="","",IF('ORDENES'!$O625="","-",'ORDENES'!$O625))</f>
        <v/>
      </c>
      <c r="B647" s="3">
        <f>IF('ORDENES'!$A625="","",IF('ORDENES'!$R625="","-",'ORDENES'!$R625))</f>
        <v/>
      </c>
      <c r="C647" s="3">
        <f>IF('ORDENES'!$A625="","",IF('ORDENES'!$AF625="","-",'ORDENES'!$AF625))</f>
        <v/>
      </c>
      <c r="D647" s="3">
        <f>IF('ORDENES'!$A625="","",IF('ORDENES'!$X625="","-",'ORDENES'!$X625))</f>
        <v/>
      </c>
      <c r="E647" s="3">
        <f>IF('ORDENES'!$A625="","",IF('ORDENES'!$V625="","-",'ORDENES'!$V625))</f>
        <v/>
      </c>
      <c r="F647" s="3">
        <f>IF('ORDENES'!$A625="","",IF('ORDENES'!$Y625="","-",'ORDENES'!$Y625))</f>
        <v/>
      </c>
      <c r="G647" s="3">
        <f>IF('ORDENES'!$A625="","",IF('ORDENES'!$W625="","-",'ORDENES'!$W625))</f>
        <v/>
      </c>
      <c r="H647" s="3">
        <f>IF('ORDENES'!$A625="","",IF('ORDENES'!$AE625="","-",'ORDENES'!$AE625))</f>
        <v/>
      </c>
      <c r="I647" s="3">
        <f>IF('ORDENES'!$A625="","",IF('ORDENES'!$AQ625="","-",'ORDENES'!$AQ625))</f>
        <v/>
      </c>
      <c r="J647" s="3">
        <f>IF('ORDENES'!$A625="","",IF('ORDENES'!$D625="","-",'ORDENES'!$D625))</f>
        <v/>
      </c>
      <c r="K647" s="3">
        <f>IF('ORDENES'!$A625="","",IF('ORDENES'!$E625="","-",'ORDENES'!$E625))</f>
        <v/>
      </c>
      <c r="L647" s="13">
        <f>IF('ORDENES'!$A625="","",IF('ORDENES'!$M625="",0,'ORDENES'!$M625))</f>
        <v/>
      </c>
      <c r="M647" s="3">
        <f>IF('ORDENES'!$A625="","",IF('ORDENES'!$N625="","-",'ORDENES'!$N625))</f>
        <v/>
      </c>
      <c r="N647" s="3">
        <f>IF('ORDENES'!$A625="","",'ORDENES'!$AD625)</f>
        <v/>
      </c>
    </row>
    <row r="648">
      <c r="A648" s="3">
        <f>IF('ORDENES'!$A626="","",IF('ORDENES'!$O626="","-",'ORDENES'!$O626))</f>
        <v/>
      </c>
      <c r="B648" s="3">
        <f>IF('ORDENES'!$A626="","",IF('ORDENES'!$R626="","-",'ORDENES'!$R626))</f>
        <v/>
      </c>
      <c r="C648" s="3">
        <f>IF('ORDENES'!$A626="","",IF('ORDENES'!$AF626="","-",'ORDENES'!$AF626))</f>
        <v/>
      </c>
      <c r="D648" s="3">
        <f>IF('ORDENES'!$A626="","",IF('ORDENES'!$X626="","-",'ORDENES'!$X626))</f>
        <v/>
      </c>
      <c r="E648" s="3">
        <f>IF('ORDENES'!$A626="","",IF('ORDENES'!$V626="","-",'ORDENES'!$V626))</f>
        <v/>
      </c>
      <c r="F648" s="3">
        <f>IF('ORDENES'!$A626="","",IF('ORDENES'!$Y626="","-",'ORDENES'!$Y626))</f>
        <v/>
      </c>
      <c r="G648" s="3">
        <f>IF('ORDENES'!$A626="","",IF('ORDENES'!$W626="","-",'ORDENES'!$W626))</f>
        <v/>
      </c>
      <c r="H648" s="3">
        <f>IF('ORDENES'!$A626="","",IF('ORDENES'!$AE626="","-",'ORDENES'!$AE626))</f>
        <v/>
      </c>
      <c r="I648" s="3">
        <f>IF('ORDENES'!$A626="","",IF('ORDENES'!$AQ626="","-",'ORDENES'!$AQ626))</f>
        <v/>
      </c>
      <c r="J648" s="3">
        <f>IF('ORDENES'!$A626="","",IF('ORDENES'!$D626="","-",'ORDENES'!$D626))</f>
        <v/>
      </c>
      <c r="K648" s="3">
        <f>IF('ORDENES'!$A626="","",IF('ORDENES'!$E626="","-",'ORDENES'!$E626))</f>
        <v/>
      </c>
      <c r="L648" s="13">
        <f>IF('ORDENES'!$A626="","",IF('ORDENES'!$M626="",0,'ORDENES'!$M626))</f>
        <v/>
      </c>
      <c r="M648" s="3">
        <f>IF('ORDENES'!$A626="","",IF('ORDENES'!$N626="","-",'ORDENES'!$N626))</f>
        <v/>
      </c>
      <c r="N648" s="3">
        <f>IF('ORDENES'!$A626="","",'ORDENES'!$AD626)</f>
        <v/>
      </c>
    </row>
    <row r="649">
      <c r="A649" s="3">
        <f>IF('ORDENES'!$A627="","",IF('ORDENES'!$O627="","-",'ORDENES'!$O627))</f>
        <v/>
      </c>
      <c r="B649" s="3">
        <f>IF('ORDENES'!$A627="","",IF('ORDENES'!$R627="","-",'ORDENES'!$R627))</f>
        <v/>
      </c>
      <c r="C649" s="3">
        <f>IF('ORDENES'!$A627="","",IF('ORDENES'!$AF627="","-",'ORDENES'!$AF627))</f>
        <v/>
      </c>
      <c r="D649" s="3">
        <f>IF('ORDENES'!$A627="","",IF('ORDENES'!$X627="","-",'ORDENES'!$X627))</f>
        <v/>
      </c>
      <c r="E649" s="3">
        <f>IF('ORDENES'!$A627="","",IF('ORDENES'!$V627="","-",'ORDENES'!$V627))</f>
        <v/>
      </c>
      <c r="F649" s="3">
        <f>IF('ORDENES'!$A627="","",IF('ORDENES'!$Y627="","-",'ORDENES'!$Y627))</f>
        <v/>
      </c>
      <c r="G649" s="3">
        <f>IF('ORDENES'!$A627="","",IF('ORDENES'!$W627="","-",'ORDENES'!$W627))</f>
        <v/>
      </c>
      <c r="H649" s="3">
        <f>IF('ORDENES'!$A627="","",IF('ORDENES'!$AE627="","-",'ORDENES'!$AE627))</f>
        <v/>
      </c>
      <c r="I649" s="3">
        <f>IF('ORDENES'!$A627="","",IF('ORDENES'!$AQ627="","-",'ORDENES'!$AQ627))</f>
        <v/>
      </c>
      <c r="J649" s="3">
        <f>IF('ORDENES'!$A627="","",IF('ORDENES'!$D627="","-",'ORDENES'!$D627))</f>
        <v/>
      </c>
      <c r="K649" s="3">
        <f>IF('ORDENES'!$A627="","",IF('ORDENES'!$E627="","-",'ORDENES'!$E627))</f>
        <v/>
      </c>
      <c r="L649" s="13">
        <f>IF('ORDENES'!$A627="","",IF('ORDENES'!$M627="",0,'ORDENES'!$M627))</f>
        <v/>
      </c>
      <c r="M649" s="3">
        <f>IF('ORDENES'!$A627="","",IF('ORDENES'!$N627="","-",'ORDENES'!$N627))</f>
        <v/>
      </c>
      <c r="N649" s="3">
        <f>IF('ORDENES'!$A627="","",'ORDENES'!$AD627)</f>
        <v/>
      </c>
    </row>
    <row r="650">
      <c r="A650" s="3">
        <f>IF('ORDENES'!$A628="","",IF('ORDENES'!$O628="","-",'ORDENES'!$O628))</f>
        <v/>
      </c>
      <c r="B650" s="3">
        <f>IF('ORDENES'!$A628="","",IF('ORDENES'!$R628="","-",'ORDENES'!$R628))</f>
        <v/>
      </c>
      <c r="C650" s="3">
        <f>IF('ORDENES'!$A628="","",IF('ORDENES'!$AF628="","-",'ORDENES'!$AF628))</f>
        <v/>
      </c>
      <c r="D650" s="3">
        <f>IF('ORDENES'!$A628="","",IF('ORDENES'!$X628="","-",'ORDENES'!$X628))</f>
        <v/>
      </c>
      <c r="E650" s="3">
        <f>IF('ORDENES'!$A628="","",IF('ORDENES'!$V628="","-",'ORDENES'!$V628))</f>
        <v/>
      </c>
      <c r="F650" s="3">
        <f>IF('ORDENES'!$A628="","",IF('ORDENES'!$Y628="","-",'ORDENES'!$Y628))</f>
        <v/>
      </c>
      <c r="G650" s="3">
        <f>IF('ORDENES'!$A628="","",IF('ORDENES'!$W628="","-",'ORDENES'!$W628))</f>
        <v/>
      </c>
      <c r="H650" s="3">
        <f>IF('ORDENES'!$A628="","",IF('ORDENES'!$AE628="","-",'ORDENES'!$AE628))</f>
        <v/>
      </c>
      <c r="I650" s="3">
        <f>IF('ORDENES'!$A628="","",IF('ORDENES'!$AQ628="","-",'ORDENES'!$AQ628))</f>
        <v/>
      </c>
      <c r="J650" s="3">
        <f>IF('ORDENES'!$A628="","",IF('ORDENES'!$D628="","-",'ORDENES'!$D628))</f>
        <v/>
      </c>
      <c r="K650" s="3">
        <f>IF('ORDENES'!$A628="","",IF('ORDENES'!$E628="","-",'ORDENES'!$E628))</f>
        <v/>
      </c>
      <c r="L650" s="13">
        <f>IF('ORDENES'!$A628="","",IF('ORDENES'!$M628="",0,'ORDENES'!$M628))</f>
        <v/>
      </c>
      <c r="M650" s="3">
        <f>IF('ORDENES'!$A628="","",IF('ORDENES'!$N628="","-",'ORDENES'!$N628))</f>
        <v/>
      </c>
      <c r="N650" s="3">
        <f>IF('ORDENES'!$A628="","",'ORDENES'!$AD628)</f>
        <v/>
      </c>
    </row>
    <row r="651">
      <c r="A651" s="3">
        <f>IF('ORDENES'!$A629="","",IF('ORDENES'!$O629="","-",'ORDENES'!$O629))</f>
        <v/>
      </c>
      <c r="B651" s="3">
        <f>IF('ORDENES'!$A629="","",IF('ORDENES'!$R629="","-",'ORDENES'!$R629))</f>
        <v/>
      </c>
      <c r="C651" s="3">
        <f>IF('ORDENES'!$A629="","",IF('ORDENES'!$AF629="","-",'ORDENES'!$AF629))</f>
        <v/>
      </c>
      <c r="D651" s="3">
        <f>IF('ORDENES'!$A629="","",IF('ORDENES'!$X629="","-",'ORDENES'!$X629))</f>
        <v/>
      </c>
      <c r="E651" s="3">
        <f>IF('ORDENES'!$A629="","",IF('ORDENES'!$V629="","-",'ORDENES'!$V629))</f>
        <v/>
      </c>
      <c r="F651" s="3">
        <f>IF('ORDENES'!$A629="","",IF('ORDENES'!$Y629="","-",'ORDENES'!$Y629))</f>
        <v/>
      </c>
      <c r="G651" s="3">
        <f>IF('ORDENES'!$A629="","",IF('ORDENES'!$W629="","-",'ORDENES'!$W629))</f>
        <v/>
      </c>
      <c r="H651" s="3">
        <f>IF('ORDENES'!$A629="","",IF('ORDENES'!$AE629="","-",'ORDENES'!$AE629))</f>
        <v/>
      </c>
      <c r="I651" s="3">
        <f>IF('ORDENES'!$A629="","",IF('ORDENES'!$AQ629="","-",'ORDENES'!$AQ629))</f>
        <v/>
      </c>
      <c r="J651" s="3">
        <f>IF('ORDENES'!$A629="","",IF('ORDENES'!$D629="","-",'ORDENES'!$D629))</f>
        <v/>
      </c>
      <c r="K651" s="3">
        <f>IF('ORDENES'!$A629="","",IF('ORDENES'!$E629="","-",'ORDENES'!$E629))</f>
        <v/>
      </c>
      <c r="L651" s="13">
        <f>IF('ORDENES'!$A629="","",IF('ORDENES'!$M629="",0,'ORDENES'!$M629))</f>
        <v/>
      </c>
      <c r="M651" s="3">
        <f>IF('ORDENES'!$A629="","",IF('ORDENES'!$N629="","-",'ORDENES'!$N629))</f>
        <v/>
      </c>
      <c r="N651" s="3">
        <f>IF('ORDENES'!$A629="","",'ORDENES'!$AD629)</f>
        <v/>
      </c>
    </row>
    <row r="652">
      <c r="A652" s="3">
        <f>IF('ORDENES'!$A630="","",IF('ORDENES'!$O630="","-",'ORDENES'!$O630))</f>
        <v/>
      </c>
      <c r="B652" s="3">
        <f>IF('ORDENES'!$A630="","",IF('ORDENES'!$R630="","-",'ORDENES'!$R630))</f>
        <v/>
      </c>
      <c r="C652" s="3">
        <f>IF('ORDENES'!$A630="","",IF('ORDENES'!$AF630="","-",'ORDENES'!$AF630))</f>
        <v/>
      </c>
      <c r="D652" s="3">
        <f>IF('ORDENES'!$A630="","",IF('ORDENES'!$X630="","-",'ORDENES'!$X630))</f>
        <v/>
      </c>
      <c r="E652" s="3">
        <f>IF('ORDENES'!$A630="","",IF('ORDENES'!$V630="","-",'ORDENES'!$V630))</f>
        <v/>
      </c>
      <c r="F652" s="3">
        <f>IF('ORDENES'!$A630="","",IF('ORDENES'!$Y630="","-",'ORDENES'!$Y630))</f>
        <v/>
      </c>
      <c r="G652" s="3">
        <f>IF('ORDENES'!$A630="","",IF('ORDENES'!$W630="","-",'ORDENES'!$W630))</f>
        <v/>
      </c>
      <c r="H652" s="3">
        <f>IF('ORDENES'!$A630="","",IF('ORDENES'!$AE630="","-",'ORDENES'!$AE630))</f>
        <v/>
      </c>
      <c r="I652" s="3">
        <f>IF('ORDENES'!$A630="","",IF('ORDENES'!$AQ630="","-",'ORDENES'!$AQ630))</f>
        <v/>
      </c>
      <c r="J652" s="3">
        <f>IF('ORDENES'!$A630="","",IF('ORDENES'!$D630="","-",'ORDENES'!$D630))</f>
        <v/>
      </c>
      <c r="K652" s="3">
        <f>IF('ORDENES'!$A630="","",IF('ORDENES'!$E630="","-",'ORDENES'!$E630))</f>
        <v/>
      </c>
      <c r="L652" s="13">
        <f>IF('ORDENES'!$A630="","",IF('ORDENES'!$M630="",0,'ORDENES'!$M630))</f>
        <v/>
      </c>
      <c r="M652" s="3">
        <f>IF('ORDENES'!$A630="","",IF('ORDENES'!$N630="","-",'ORDENES'!$N630))</f>
        <v/>
      </c>
      <c r="N652" s="3">
        <f>IF('ORDENES'!$A630="","",'ORDENES'!$AD630)</f>
        <v/>
      </c>
    </row>
    <row r="653">
      <c r="A653" s="3">
        <f>IF('ORDENES'!$A631="","",IF('ORDENES'!$O631="","-",'ORDENES'!$O631))</f>
        <v/>
      </c>
      <c r="B653" s="3">
        <f>IF('ORDENES'!$A631="","",IF('ORDENES'!$R631="","-",'ORDENES'!$R631))</f>
        <v/>
      </c>
      <c r="C653" s="3">
        <f>IF('ORDENES'!$A631="","",IF('ORDENES'!$AF631="","-",'ORDENES'!$AF631))</f>
        <v/>
      </c>
      <c r="D653" s="3">
        <f>IF('ORDENES'!$A631="","",IF('ORDENES'!$X631="","-",'ORDENES'!$X631))</f>
        <v/>
      </c>
      <c r="E653" s="3">
        <f>IF('ORDENES'!$A631="","",IF('ORDENES'!$V631="","-",'ORDENES'!$V631))</f>
        <v/>
      </c>
      <c r="F653" s="3">
        <f>IF('ORDENES'!$A631="","",IF('ORDENES'!$Y631="","-",'ORDENES'!$Y631))</f>
        <v/>
      </c>
      <c r="G653" s="3">
        <f>IF('ORDENES'!$A631="","",IF('ORDENES'!$W631="","-",'ORDENES'!$W631))</f>
        <v/>
      </c>
      <c r="H653" s="3">
        <f>IF('ORDENES'!$A631="","",IF('ORDENES'!$AE631="","-",'ORDENES'!$AE631))</f>
        <v/>
      </c>
      <c r="I653" s="3">
        <f>IF('ORDENES'!$A631="","",IF('ORDENES'!$AQ631="","-",'ORDENES'!$AQ631))</f>
        <v/>
      </c>
      <c r="J653" s="3">
        <f>IF('ORDENES'!$A631="","",IF('ORDENES'!$D631="","-",'ORDENES'!$D631))</f>
        <v/>
      </c>
      <c r="K653" s="3">
        <f>IF('ORDENES'!$A631="","",IF('ORDENES'!$E631="","-",'ORDENES'!$E631))</f>
        <v/>
      </c>
      <c r="L653" s="13">
        <f>IF('ORDENES'!$A631="","",IF('ORDENES'!$M631="",0,'ORDENES'!$M631))</f>
        <v/>
      </c>
      <c r="M653" s="3">
        <f>IF('ORDENES'!$A631="","",IF('ORDENES'!$N631="","-",'ORDENES'!$N631))</f>
        <v/>
      </c>
      <c r="N653" s="3">
        <f>IF('ORDENES'!$A631="","",'ORDENES'!$AD631)</f>
        <v/>
      </c>
    </row>
    <row r="654">
      <c r="A654" s="3">
        <f>IF('ORDENES'!$A632="","",IF('ORDENES'!$O632="","-",'ORDENES'!$O632))</f>
        <v/>
      </c>
      <c r="B654" s="3">
        <f>IF('ORDENES'!$A632="","",IF('ORDENES'!$R632="","-",'ORDENES'!$R632))</f>
        <v/>
      </c>
      <c r="C654" s="3">
        <f>IF('ORDENES'!$A632="","",IF('ORDENES'!$AF632="","-",'ORDENES'!$AF632))</f>
        <v/>
      </c>
      <c r="D654" s="3">
        <f>IF('ORDENES'!$A632="","",IF('ORDENES'!$X632="","-",'ORDENES'!$X632))</f>
        <v/>
      </c>
      <c r="E654" s="3">
        <f>IF('ORDENES'!$A632="","",IF('ORDENES'!$V632="","-",'ORDENES'!$V632))</f>
        <v/>
      </c>
      <c r="F654" s="3">
        <f>IF('ORDENES'!$A632="","",IF('ORDENES'!$Y632="","-",'ORDENES'!$Y632))</f>
        <v/>
      </c>
      <c r="G654" s="3">
        <f>IF('ORDENES'!$A632="","",IF('ORDENES'!$W632="","-",'ORDENES'!$W632))</f>
        <v/>
      </c>
      <c r="H654" s="3">
        <f>IF('ORDENES'!$A632="","",IF('ORDENES'!$AE632="","-",'ORDENES'!$AE632))</f>
        <v/>
      </c>
      <c r="I654" s="3">
        <f>IF('ORDENES'!$A632="","",IF('ORDENES'!$AQ632="","-",'ORDENES'!$AQ632))</f>
        <v/>
      </c>
      <c r="J654" s="3">
        <f>IF('ORDENES'!$A632="","",IF('ORDENES'!$D632="","-",'ORDENES'!$D632))</f>
        <v/>
      </c>
      <c r="K654" s="3">
        <f>IF('ORDENES'!$A632="","",IF('ORDENES'!$E632="","-",'ORDENES'!$E632))</f>
        <v/>
      </c>
      <c r="L654" s="13">
        <f>IF('ORDENES'!$A632="","",IF('ORDENES'!$M632="",0,'ORDENES'!$M632))</f>
        <v/>
      </c>
      <c r="M654" s="3">
        <f>IF('ORDENES'!$A632="","",IF('ORDENES'!$N632="","-",'ORDENES'!$N632))</f>
        <v/>
      </c>
      <c r="N654" s="3">
        <f>IF('ORDENES'!$A632="","",'ORDENES'!$AD632)</f>
        <v/>
      </c>
    </row>
    <row r="655">
      <c r="A655" s="3">
        <f>IF('ORDENES'!$A633="","",IF('ORDENES'!$O633="","-",'ORDENES'!$O633))</f>
        <v/>
      </c>
      <c r="B655" s="3">
        <f>IF('ORDENES'!$A633="","",IF('ORDENES'!$R633="","-",'ORDENES'!$R633))</f>
        <v/>
      </c>
      <c r="C655" s="3">
        <f>IF('ORDENES'!$A633="","",IF('ORDENES'!$AF633="","-",'ORDENES'!$AF633))</f>
        <v/>
      </c>
      <c r="D655" s="3">
        <f>IF('ORDENES'!$A633="","",IF('ORDENES'!$X633="","-",'ORDENES'!$X633))</f>
        <v/>
      </c>
      <c r="E655" s="3">
        <f>IF('ORDENES'!$A633="","",IF('ORDENES'!$V633="","-",'ORDENES'!$V633))</f>
        <v/>
      </c>
      <c r="F655" s="3">
        <f>IF('ORDENES'!$A633="","",IF('ORDENES'!$Y633="","-",'ORDENES'!$Y633))</f>
        <v/>
      </c>
      <c r="G655" s="3">
        <f>IF('ORDENES'!$A633="","",IF('ORDENES'!$W633="","-",'ORDENES'!$W633))</f>
        <v/>
      </c>
      <c r="H655" s="3">
        <f>IF('ORDENES'!$A633="","",IF('ORDENES'!$AE633="","-",'ORDENES'!$AE633))</f>
        <v/>
      </c>
      <c r="I655" s="3">
        <f>IF('ORDENES'!$A633="","",IF('ORDENES'!$AQ633="","-",'ORDENES'!$AQ633))</f>
        <v/>
      </c>
      <c r="J655" s="3">
        <f>IF('ORDENES'!$A633="","",IF('ORDENES'!$D633="","-",'ORDENES'!$D633))</f>
        <v/>
      </c>
      <c r="K655" s="3">
        <f>IF('ORDENES'!$A633="","",IF('ORDENES'!$E633="","-",'ORDENES'!$E633))</f>
        <v/>
      </c>
      <c r="L655" s="13">
        <f>IF('ORDENES'!$A633="","",IF('ORDENES'!$M633="",0,'ORDENES'!$M633))</f>
        <v/>
      </c>
      <c r="M655" s="3">
        <f>IF('ORDENES'!$A633="","",IF('ORDENES'!$N633="","-",'ORDENES'!$N633))</f>
        <v/>
      </c>
      <c r="N655" s="3">
        <f>IF('ORDENES'!$A633="","",'ORDENES'!$AD633)</f>
        <v/>
      </c>
    </row>
    <row r="656">
      <c r="A656" s="3">
        <f>IF('ORDENES'!$A634="","",IF('ORDENES'!$O634="","-",'ORDENES'!$O634))</f>
        <v/>
      </c>
      <c r="B656" s="3">
        <f>IF('ORDENES'!$A634="","",IF('ORDENES'!$R634="","-",'ORDENES'!$R634))</f>
        <v/>
      </c>
      <c r="C656" s="3">
        <f>IF('ORDENES'!$A634="","",IF('ORDENES'!$AF634="","-",'ORDENES'!$AF634))</f>
        <v/>
      </c>
      <c r="D656" s="3">
        <f>IF('ORDENES'!$A634="","",IF('ORDENES'!$X634="","-",'ORDENES'!$X634))</f>
        <v/>
      </c>
      <c r="E656" s="3">
        <f>IF('ORDENES'!$A634="","",IF('ORDENES'!$V634="","-",'ORDENES'!$V634))</f>
        <v/>
      </c>
      <c r="F656" s="3">
        <f>IF('ORDENES'!$A634="","",IF('ORDENES'!$Y634="","-",'ORDENES'!$Y634))</f>
        <v/>
      </c>
      <c r="G656" s="3">
        <f>IF('ORDENES'!$A634="","",IF('ORDENES'!$W634="","-",'ORDENES'!$W634))</f>
        <v/>
      </c>
      <c r="H656" s="3">
        <f>IF('ORDENES'!$A634="","",IF('ORDENES'!$AE634="","-",'ORDENES'!$AE634))</f>
        <v/>
      </c>
      <c r="I656" s="3">
        <f>IF('ORDENES'!$A634="","",IF('ORDENES'!$AQ634="","-",'ORDENES'!$AQ634))</f>
        <v/>
      </c>
      <c r="J656" s="3">
        <f>IF('ORDENES'!$A634="","",IF('ORDENES'!$D634="","-",'ORDENES'!$D634))</f>
        <v/>
      </c>
      <c r="K656" s="3">
        <f>IF('ORDENES'!$A634="","",IF('ORDENES'!$E634="","-",'ORDENES'!$E634))</f>
        <v/>
      </c>
      <c r="L656" s="13">
        <f>IF('ORDENES'!$A634="","",IF('ORDENES'!$M634="",0,'ORDENES'!$M634))</f>
        <v/>
      </c>
      <c r="M656" s="3">
        <f>IF('ORDENES'!$A634="","",IF('ORDENES'!$N634="","-",'ORDENES'!$N634))</f>
        <v/>
      </c>
      <c r="N656" s="3">
        <f>IF('ORDENES'!$A634="","",'ORDENES'!$AD634)</f>
        <v/>
      </c>
    </row>
    <row r="657">
      <c r="A657" s="3">
        <f>IF('ORDENES'!$A635="","",IF('ORDENES'!$O635="","-",'ORDENES'!$O635))</f>
        <v/>
      </c>
      <c r="B657" s="3">
        <f>IF('ORDENES'!$A635="","",IF('ORDENES'!$R635="","-",'ORDENES'!$R635))</f>
        <v/>
      </c>
      <c r="C657" s="3">
        <f>IF('ORDENES'!$A635="","",IF('ORDENES'!$AF635="","-",'ORDENES'!$AF635))</f>
        <v/>
      </c>
      <c r="D657" s="3">
        <f>IF('ORDENES'!$A635="","",IF('ORDENES'!$X635="","-",'ORDENES'!$X635))</f>
        <v/>
      </c>
      <c r="E657" s="3">
        <f>IF('ORDENES'!$A635="","",IF('ORDENES'!$V635="","-",'ORDENES'!$V635))</f>
        <v/>
      </c>
      <c r="F657" s="3">
        <f>IF('ORDENES'!$A635="","",IF('ORDENES'!$Y635="","-",'ORDENES'!$Y635))</f>
        <v/>
      </c>
      <c r="G657" s="3">
        <f>IF('ORDENES'!$A635="","",IF('ORDENES'!$W635="","-",'ORDENES'!$W635))</f>
        <v/>
      </c>
      <c r="H657" s="3">
        <f>IF('ORDENES'!$A635="","",IF('ORDENES'!$AE635="","-",'ORDENES'!$AE635))</f>
        <v/>
      </c>
      <c r="I657" s="3">
        <f>IF('ORDENES'!$A635="","",IF('ORDENES'!$AQ635="","-",'ORDENES'!$AQ635))</f>
        <v/>
      </c>
      <c r="J657" s="3">
        <f>IF('ORDENES'!$A635="","",IF('ORDENES'!$D635="","-",'ORDENES'!$D635))</f>
        <v/>
      </c>
      <c r="K657" s="3">
        <f>IF('ORDENES'!$A635="","",IF('ORDENES'!$E635="","-",'ORDENES'!$E635))</f>
        <v/>
      </c>
      <c r="L657" s="13">
        <f>IF('ORDENES'!$A635="","",IF('ORDENES'!$M635="",0,'ORDENES'!$M635))</f>
        <v/>
      </c>
      <c r="M657" s="3">
        <f>IF('ORDENES'!$A635="","",IF('ORDENES'!$N635="","-",'ORDENES'!$N635))</f>
        <v/>
      </c>
      <c r="N657" s="3">
        <f>IF('ORDENES'!$A635="","",'ORDENES'!$AD635)</f>
        <v/>
      </c>
    </row>
    <row r="658">
      <c r="A658" s="3">
        <f>IF('ORDENES'!$A636="","",IF('ORDENES'!$O636="","-",'ORDENES'!$O636))</f>
        <v/>
      </c>
      <c r="B658" s="3">
        <f>IF('ORDENES'!$A636="","",IF('ORDENES'!$R636="","-",'ORDENES'!$R636))</f>
        <v/>
      </c>
      <c r="C658" s="3">
        <f>IF('ORDENES'!$A636="","",IF('ORDENES'!$AF636="","-",'ORDENES'!$AF636))</f>
        <v/>
      </c>
      <c r="D658" s="3">
        <f>IF('ORDENES'!$A636="","",IF('ORDENES'!$X636="","-",'ORDENES'!$X636))</f>
        <v/>
      </c>
      <c r="E658" s="3">
        <f>IF('ORDENES'!$A636="","",IF('ORDENES'!$V636="","-",'ORDENES'!$V636))</f>
        <v/>
      </c>
      <c r="F658" s="3">
        <f>IF('ORDENES'!$A636="","",IF('ORDENES'!$Y636="","-",'ORDENES'!$Y636))</f>
        <v/>
      </c>
      <c r="G658" s="3">
        <f>IF('ORDENES'!$A636="","",IF('ORDENES'!$W636="","-",'ORDENES'!$W636))</f>
        <v/>
      </c>
      <c r="H658" s="3">
        <f>IF('ORDENES'!$A636="","",IF('ORDENES'!$AE636="","-",'ORDENES'!$AE636))</f>
        <v/>
      </c>
      <c r="I658" s="3">
        <f>IF('ORDENES'!$A636="","",IF('ORDENES'!$AQ636="","-",'ORDENES'!$AQ636))</f>
        <v/>
      </c>
      <c r="J658" s="3">
        <f>IF('ORDENES'!$A636="","",IF('ORDENES'!$D636="","-",'ORDENES'!$D636))</f>
        <v/>
      </c>
      <c r="K658" s="3">
        <f>IF('ORDENES'!$A636="","",IF('ORDENES'!$E636="","-",'ORDENES'!$E636))</f>
        <v/>
      </c>
      <c r="L658" s="13">
        <f>IF('ORDENES'!$A636="","",IF('ORDENES'!$M636="",0,'ORDENES'!$M636))</f>
        <v/>
      </c>
      <c r="M658" s="3">
        <f>IF('ORDENES'!$A636="","",IF('ORDENES'!$N636="","-",'ORDENES'!$N636))</f>
        <v/>
      </c>
      <c r="N658" s="3">
        <f>IF('ORDENES'!$A636="","",'ORDENES'!$AD636)</f>
        <v/>
      </c>
    </row>
    <row r="659">
      <c r="A659" s="3">
        <f>IF('ORDENES'!$A637="","",IF('ORDENES'!$O637="","-",'ORDENES'!$O637))</f>
        <v/>
      </c>
      <c r="B659" s="3">
        <f>IF('ORDENES'!$A637="","",IF('ORDENES'!$R637="","-",'ORDENES'!$R637))</f>
        <v/>
      </c>
      <c r="C659" s="3">
        <f>IF('ORDENES'!$A637="","",IF('ORDENES'!$AF637="","-",'ORDENES'!$AF637))</f>
        <v/>
      </c>
      <c r="D659" s="3">
        <f>IF('ORDENES'!$A637="","",IF('ORDENES'!$X637="","-",'ORDENES'!$X637))</f>
        <v/>
      </c>
      <c r="E659" s="3">
        <f>IF('ORDENES'!$A637="","",IF('ORDENES'!$V637="","-",'ORDENES'!$V637))</f>
        <v/>
      </c>
      <c r="F659" s="3">
        <f>IF('ORDENES'!$A637="","",IF('ORDENES'!$Y637="","-",'ORDENES'!$Y637))</f>
        <v/>
      </c>
      <c r="G659" s="3">
        <f>IF('ORDENES'!$A637="","",IF('ORDENES'!$W637="","-",'ORDENES'!$W637))</f>
        <v/>
      </c>
      <c r="H659" s="3">
        <f>IF('ORDENES'!$A637="","",IF('ORDENES'!$AE637="","-",'ORDENES'!$AE637))</f>
        <v/>
      </c>
      <c r="I659" s="3">
        <f>IF('ORDENES'!$A637="","",IF('ORDENES'!$AQ637="","-",'ORDENES'!$AQ637))</f>
        <v/>
      </c>
      <c r="J659" s="3">
        <f>IF('ORDENES'!$A637="","",IF('ORDENES'!$D637="","-",'ORDENES'!$D637))</f>
        <v/>
      </c>
      <c r="K659" s="3">
        <f>IF('ORDENES'!$A637="","",IF('ORDENES'!$E637="","-",'ORDENES'!$E637))</f>
        <v/>
      </c>
      <c r="L659" s="13">
        <f>IF('ORDENES'!$A637="","",IF('ORDENES'!$M637="",0,'ORDENES'!$M637))</f>
        <v/>
      </c>
      <c r="M659" s="3">
        <f>IF('ORDENES'!$A637="","",IF('ORDENES'!$N637="","-",'ORDENES'!$N637))</f>
        <v/>
      </c>
      <c r="N659" s="3">
        <f>IF('ORDENES'!$A637="","",'ORDENES'!$AD637)</f>
        <v/>
      </c>
    </row>
    <row r="660">
      <c r="A660" s="3">
        <f>IF('ORDENES'!$A638="","",IF('ORDENES'!$O638="","-",'ORDENES'!$O638))</f>
        <v/>
      </c>
      <c r="B660" s="3">
        <f>IF('ORDENES'!$A638="","",IF('ORDENES'!$R638="","-",'ORDENES'!$R638))</f>
        <v/>
      </c>
      <c r="C660" s="3">
        <f>IF('ORDENES'!$A638="","",IF('ORDENES'!$AF638="","-",'ORDENES'!$AF638))</f>
        <v/>
      </c>
      <c r="D660" s="3">
        <f>IF('ORDENES'!$A638="","",IF('ORDENES'!$X638="","-",'ORDENES'!$X638))</f>
        <v/>
      </c>
      <c r="E660" s="3">
        <f>IF('ORDENES'!$A638="","",IF('ORDENES'!$V638="","-",'ORDENES'!$V638))</f>
        <v/>
      </c>
      <c r="F660" s="3">
        <f>IF('ORDENES'!$A638="","",IF('ORDENES'!$Y638="","-",'ORDENES'!$Y638))</f>
        <v/>
      </c>
      <c r="G660" s="3">
        <f>IF('ORDENES'!$A638="","",IF('ORDENES'!$W638="","-",'ORDENES'!$W638))</f>
        <v/>
      </c>
      <c r="H660" s="3">
        <f>IF('ORDENES'!$A638="","",IF('ORDENES'!$AE638="","-",'ORDENES'!$AE638))</f>
        <v/>
      </c>
      <c r="I660" s="3">
        <f>IF('ORDENES'!$A638="","",IF('ORDENES'!$AQ638="","-",'ORDENES'!$AQ638))</f>
        <v/>
      </c>
      <c r="J660" s="3">
        <f>IF('ORDENES'!$A638="","",IF('ORDENES'!$D638="","-",'ORDENES'!$D638))</f>
        <v/>
      </c>
      <c r="K660" s="3">
        <f>IF('ORDENES'!$A638="","",IF('ORDENES'!$E638="","-",'ORDENES'!$E638))</f>
        <v/>
      </c>
      <c r="L660" s="13">
        <f>IF('ORDENES'!$A638="","",IF('ORDENES'!$M638="",0,'ORDENES'!$M638))</f>
        <v/>
      </c>
      <c r="M660" s="3">
        <f>IF('ORDENES'!$A638="","",IF('ORDENES'!$N638="","-",'ORDENES'!$N638))</f>
        <v/>
      </c>
      <c r="N660" s="3">
        <f>IF('ORDENES'!$A638="","",'ORDENES'!$AD638)</f>
        <v/>
      </c>
    </row>
    <row r="661">
      <c r="A661" s="3">
        <f>IF('ORDENES'!$A639="","",IF('ORDENES'!$O639="","-",'ORDENES'!$O639))</f>
        <v/>
      </c>
      <c r="B661" s="3">
        <f>IF('ORDENES'!$A639="","",IF('ORDENES'!$R639="","-",'ORDENES'!$R639))</f>
        <v/>
      </c>
      <c r="C661" s="3">
        <f>IF('ORDENES'!$A639="","",IF('ORDENES'!$AF639="","-",'ORDENES'!$AF639))</f>
        <v/>
      </c>
      <c r="D661" s="3">
        <f>IF('ORDENES'!$A639="","",IF('ORDENES'!$X639="","-",'ORDENES'!$X639))</f>
        <v/>
      </c>
      <c r="E661" s="3">
        <f>IF('ORDENES'!$A639="","",IF('ORDENES'!$V639="","-",'ORDENES'!$V639))</f>
        <v/>
      </c>
      <c r="F661" s="3">
        <f>IF('ORDENES'!$A639="","",IF('ORDENES'!$Y639="","-",'ORDENES'!$Y639))</f>
        <v/>
      </c>
      <c r="G661" s="3">
        <f>IF('ORDENES'!$A639="","",IF('ORDENES'!$W639="","-",'ORDENES'!$W639))</f>
        <v/>
      </c>
      <c r="H661" s="3">
        <f>IF('ORDENES'!$A639="","",IF('ORDENES'!$AE639="","-",'ORDENES'!$AE639))</f>
        <v/>
      </c>
      <c r="I661" s="3">
        <f>IF('ORDENES'!$A639="","",IF('ORDENES'!$AQ639="","-",'ORDENES'!$AQ639))</f>
        <v/>
      </c>
      <c r="J661" s="3">
        <f>IF('ORDENES'!$A639="","",IF('ORDENES'!$D639="","-",'ORDENES'!$D639))</f>
        <v/>
      </c>
      <c r="K661" s="3">
        <f>IF('ORDENES'!$A639="","",IF('ORDENES'!$E639="","-",'ORDENES'!$E639))</f>
        <v/>
      </c>
      <c r="L661" s="13">
        <f>IF('ORDENES'!$A639="","",IF('ORDENES'!$M639="",0,'ORDENES'!$M639))</f>
        <v/>
      </c>
      <c r="M661" s="3">
        <f>IF('ORDENES'!$A639="","",IF('ORDENES'!$N639="","-",'ORDENES'!$N639))</f>
        <v/>
      </c>
      <c r="N661" s="3">
        <f>IF('ORDENES'!$A639="","",'ORDENES'!$AD639)</f>
        <v/>
      </c>
    </row>
    <row r="662">
      <c r="A662" s="3">
        <f>IF('ORDENES'!$A640="","",IF('ORDENES'!$O640="","-",'ORDENES'!$O640))</f>
        <v/>
      </c>
      <c r="B662" s="3">
        <f>IF('ORDENES'!$A640="","",IF('ORDENES'!$R640="","-",'ORDENES'!$R640))</f>
        <v/>
      </c>
      <c r="C662" s="3">
        <f>IF('ORDENES'!$A640="","",IF('ORDENES'!$AF640="","-",'ORDENES'!$AF640))</f>
        <v/>
      </c>
      <c r="D662" s="3">
        <f>IF('ORDENES'!$A640="","",IF('ORDENES'!$X640="","-",'ORDENES'!$X640))</f>
        <v/>
      </c>
      <c r="E662" s="3">
        <f>IF('ORDENES'!$A640="","",IF('ORDENES'!$V640="","-",'ORDENES'!$V640))</f>
        <v/>
      </c>
      <c r="F662" s="3">
        <f>IF('ORDENES'!$A640="","",IF('ORDENES'!$Y640="","-",'ORDENES'!$Y640))</f>
        <v/>
      </c>
      <c r="G662" s="3">
        <f>IF('ORDENES'!$A640="","",IF('ORDENES'!$W640="","-",'ORDENES'!$W640))</f>
        <v/>
      </c>
      <c r="H662" s="3">
        <f>IF('ORDENES'!$A640="","",IF('ORDENES'!$AE640="","-",'ORDENES'!$AE640))</f>
        <v/>
      </c>
      <c r="I662" s="3">
        <f>IF('ORDENES'!$A640="","",IF('ORDENES'!$AQ640="","-",'ORDENES'!$AQ640))</f>
        <v/>
      </c>
      <c r="J662" s="3">
        <f>IF('ORDENES'!$A640="","",IF('ORDENES'!$D640="","-",'ORDENES'!$D640))</f>
        <v/>
      </c>
      <c r="K662" s="3">
        <f>IF('ORDENES'!$A640="","",IF('ORDENES'!$E640="","-",'ORDENES'!$E640))</f>
        <v/>
      </c>
      <c r="L662" s="13">
        <f>IF('ORDENES'!$A640="","",IF('ORDENES'!$M640="",0,'ORDENES'!$M640))</f>
        <v/>
      </c>
      <c r="M662" s="3">
        <f>IF('ORDENES'!$A640="","",IF('ORDENES'!$N640="","-",'ORDENES'!$N640))</f>
        <v/>
      </c>
      <c r="N662" s="3">
        <f>IF('ORDENES'!$A640="","",'ORDENES'!$AD640)</f>
        <v/>
      </c>
    </row>
    <row r="663">
      <c r="A663" s="3">
        <f>IF('ORDENES'!$A641="","",IF('ORDENES'!$O641="","-",'ORDENES'!$O641))</f>
        <v/>
      </c>
      <c r="B663" s="3">
        <f>IF('ORDENES'!$A641="","",IF('ORDENES'!$R641="","-",'ORDENES'!$R641))</f>
        <v/>
      </c>
      <c r="C663" s="3">
        <f>IF('ORDENES'!$A641="","",IF('ORDENES'!$AF641="","-",'ORDENES'!$AF641))</f>
        <v/>
      </c>
      <c r="D663" s="3">
        <f>IF('ORDENES'!$A641="","",IF('ORDENES'!$X641="","-",'ORDENES'!$X641))</f>
        <v/>
      </c>
      <c r="E663" s="3">
        <f>IF('ORDENES'!$A641="","",IF('ORDENES'!$V641="","-",'ORDENES'!$V641))</f>
        <v/>
      </c>
      <c r="F663" s="3">
        <f>IF('ORDENES'!$A641="","",IF('ORDENES'!$Y641="","-",'ORDENES'!$Y641))</f>
        <v/>
      </c>
      <c r="G663" s="3">
        <f>IF('ORDENES'!$A641="","",IF('ORDENES'!$W641="","-",'ORDENES'!$W641))</f>
        <v/>
      </c>
      <c r="H663" s="3">
        <f>IF('ORDENES'!$A641="","",IF('ORDENES'!$AE641="","-",'ORDENES'!$AE641))</f>
        <v/>
      </c>
      <c r="I663" s="3">
        <f>IF('ORDENES'!$A641="","",IF('ORDENES'!$AQ641="","-",'ORDENES'!$AQ641))</f>
        <v/>
      </c>
      <c r="J663" s="3">
        <f>IF('ORDENES'!$A641="","",IF('ORDENES'!$D641="","-",'ORDENES'!$D641))</f>
        <v/>
      </c>
      <c r="K663" s="3">
        <f>IF('ORDENES'!$A641="","",IF('ORDENES'!$E641="","-",'ORDENES'!$E641))</f>
        <v/>
      </c>
      <c r="L663" s="13">
        <f>IF('ORDENES'!$A641="","",IF('ORDENES'!$M641="",0,'ORDENES'!$M641))</f>
        <v/>
      </c>
      <c r="M663" s="3">
        <f>IF('ORDENES'!$A641="","",IF('ORDENES'!$N641="","-",'ORDENES'!$N641))</f>
        <v/>
      </c>
      <c r="N663" s="3">
        <f>IF('ORDENES'!$A641="","",'ORDENES'!$AD641)</f>
        <v/>
      </c>
    </row>
    <row r="664">
      <c r="A664" s="3">
        <f>IF('ORDENES'!$A642="","",IF('ORDENES'!$O642="","-",'ORDENES'!$O642))</f>
        <v/>
      </c>
      <c r="B664" s="3">
        <f>IF('ORDENES'!$A642="","",IF('ORDENES'!$R642="","-",'ORDENES'!$R642))</f>
        <v/>
      </c>
      <c r="C664" s="3">
        <f>IF('ORDENES'!$A642="","",IF('ORDENES'!$AF642="","-",'ORDENES'!$AF642))</f>
        <v/>
      </c>
      <c r="D664" s="3">
        <f>IF('ORDENES'!$A642="","",IF('ORDENES'!$X642="","-",'ORDENES'!$X642))</f>
        <v/>
      </c>
      <c r="E664" s="3">
        <f>IF('ORDENES'!$A642="","",IF('ORDENES'!$V642="","-",'ORDENES'!$V642))</f>
        <v/>
      </c>
      <c r="F664" s="3">
        <f>IF('ORDENES'!$A642="","",IF('ORDENES'!$Y642="","-",'ORDENES'!$Y642))</f>
        <v/>
      </c>
      <c r="G664" s="3">
        <f>IF('ORDENES'!$A642="","",IF('ORDENES'!$W642="","-",'ORDENES'!$W642))</f>
        <v/>
      </c>
      <c r="H664" s="3">
        <f>IF('ORDENES'!$A642="","",IF('ORDENES'!$AE642="","-",'ORDENES'!$AE642))</f>
        <v/>
      </c>
      <c r="I664" s="3">
        <f>IF('ORDENES'!$A642="","",IF('ORDENES'!$AQ642="","-",'ORDENES'!$AQ642))</f>
        <v/>
      </c>
      <c r="J664" s="3">
        <f>IF('ORDENES'!$A642="","",IF('ORDENES'!$D642="","-",'ORDENES'!$D642))</f>
        <v/>
      </c>
      <c r="K664" s="3">
        <f>IF('ORDENES'!$A642="","",IF('ORDENES'!$E642="","-",'ORDENES'!$E642))</f>
        <v/>
      </c>
      <c r="L664" s="13">
        <f>IF('ORDENES'!$A642="","",IF('ORDENES'!$M642="",0,'ORDENES'!$M642))</f>
        <v/>
      </c>
      <c r="M664" s="3">
        <f>IF('ORDENES'!$A642="","",IF('ORDENES'!$N642="","-",'ORDENES'!$N642))</f>
        <v/>
      </c>
      <c r="N664" s="3">
        <f>IF('ORDENES'!$A642="","",'ORDENES'!$AD642)</f>
        <v/>
      </c>
    </row>
    <row r="665">
      <c r="A665" s="3">
        <f>IF('ORDENES'!$A643="","",IF('ORDENES'!$O643="","-",'ORDENES'!$O643))</f>
        <v/>
      </c>
      <c r="B665" s="3">
        <f>IF('ORDENES'!$A643="","",IF('ORDENES'!$R643="","-",'ORDENES'!$R643))</f>
        <v/>
      </c>
      <c r="C665" s="3">
        <f>IF('ORDENES'!$A643="","",IF('ORDENES'!$AF643="","-",'ORDENES'!$AF643))</f>
        <v/>
      </c>
      <c r="D665" s="3">
        <f>IF('ORDENES'!$A643="","",IF('ORDENES'!$X643="","-",'ORDENES'!$X643))</f>
        <v/>
      </c>
      <c r="E665" s="3">
        <f>IF('ORDENES'!$A643="","",IF('ORDENES'!$V643="","-",'ORDENES'!$V643))</f>
        <v/>
      </c>
      <c r="F665" s="3">
        <f>IF('ORDENES'!$A643="","",IF('ORDENES'!$Y643="","-",'ORDENES'!$Y643))</f>
        <v/>
      </c>
      <c r="G665" s="3">
        <f>IF('ORDENES'!$A643="","",IF('ORDENES'!$W643="","-",'ORDENES'!$W643))</f>
        <v/>
      </c>
      <c r="H665" s="3">
        <f>IF('ORDENES'!$A643="","",IF('ORDENES'!$AE643="","-",'ORDENES'!$AE643))</f>
        <v/>
      </c>
      <c r="I665" s="3">
        <f>IF('ORDENES'!$A643="","",IF('ORDENES'!$AQ643="","-",'ORDENES'!$AQ643))</f>
        <v/>
      </c>
      <c r="J665" s="3">
        <f>IF('ORDENES'!$A643="","",IF('ORDENES'!$D643="","-",'ORDENES'!$D643))</f>
        <v/>
      </c>
      <c r="K665" s="3">
        <f>IF('ORDENES'!$A643="","",IF('ORDENES'!$E643="","-",'ORDENES'!$E643))</f>
        <v/>
      </c>
      <c r="L665" s="13">
        <f>IF('ORDENES'!$A643="","",IF('ORDENES'!$M643="",0,'ORDENES'!$M643))</f>
        <v/>
      </c>
      <c r="M665" s="3">
        <f>IF('ORDENES'!$A643="","",IF('ORDENES'!$N643="","-",'ORDENES'!$N643))</f>
        <v/>
      </c>
      <c r="N665" s="3">
        <f>IF('ORDENES'!$A643="","",'ORDENES'!$AD643)</f>
        <v/>
      </c>
    </row>
    <row r="666">
      <c r="A666" s="3">
        <f>IF('ORDENES'!$A644="","",IF('ORDENES'!$O644="","-",'ORDENES'!$O644))</f>
        <v/>
      </c>
      <c r="B666" s="3">
        <f>IF('ORDENES'!$A644="","",IF('ORDENES'!$R644="","-",'ORDENES'!$R644))</f>
        <v/>
      </c>
      <c r="C666" s="3">
        <f>IF('ORDENES'!$A644="","",IF('ORDENES'!$AF644="","-",'ORDENES'!$AF644))</f>
        <v/>
      </c>
      <c r="D666" s="3">
        <f>IF('ORDENES'!$A644="","",IF('ORDENES'!$X644="","-",'ORDENES'!$X644))</f>
        <v/>
      </c>
      <c r="E666" s="3">
        <f>IF('ORDENES'!$A644="","",IF('ORDENES'!$V644="","-",'ORDENES'!$V644))</f>
        <v/>
      </c>
      <c r="F666" s="3">
        <f>IF('ORDENES'!$A644="","",IF('ORDENES'!$Y644="","-",'ORDENES'!$Y644))</f>
        <v/>
      </c>
      <c r="G666" s="3">
        <f>IF('ORDENES'!$A644="","",IF('ORDENES'!$W644="","-",'ORDENES'!$W644))</f>
        <v/>
      </c>
      <c r="H666" s="3">
        <f>IF('ORDENES'!$A644="","",IF('ORDENES'!$AE644="","-",'ORDENES'!$AE644))</f>
        <v/>
      </c>
      <c r="I666" s="3">
        <f>IF('ORDENES'!$A644="","",IF('ORDENES'!$AQ644="","-",'ORDENES'!$AQ644))</f>
        <v/>
      </c>
      <c r="J666" s="3">
        <f>IF('ORDENES'!$A644="","",IF('ORDENES'!$D644="","-",'ORDENES'!$D644))</f>
        <v/>
      </c>
      <c r="K666" s="3">
        <f>IF('ORDENES'!$A644="","",IF('ORDENES'!$E644="","-",'ORDENES'!$E644))</f>
        <v/>
      </c>
      <c r="L666" s="13">
        <f>IF('ORDENES'!$A644="","",IF('ORDENES'!$M644="",0,'ORDENES'!$M644))</f>
        <v/>
      </c>
      <c r="M666" s="3">
        <f>IF('ORDENES'!$A644="","",IF('ORDENES'!$N644="","-",'ORDENES'!$N644))</f>
        <v/>
      </c>
      <c r="N666" s="3">
        <f>IF('ORDENES'!$A644="","",'ORDENES'!$AD644)</f>
        <v/>
      </c>
    </row>
    <row r="667">
      <c r="A667" s="3">
        <f>IF('ORDENES'!$A645="","",IF('ORDENES'!$O645="","-",'ORDENES'!$O645))</f>
        <v/>
      </c>
      <c r="B667" s="3">
        <f>IF('ORDENES'!$A645="","",IF('ORDENES'!$R645="","-",'ORDENES'!$R645))</f>
        <v/>
      </c>
      <c r="C667" s="3">
        <f>IF('ORDENES'!$A645="","",IF('ORDENES'!$AF645="","-",'ORDENES'!$AF645))</f>
        <v/>
      </c>
      <c r="D667" s="3">
        <f>IF('ORDENES'!$A645="","",IF('ORDENES'!$X645="","-",'ORDENES'!$X645))</f>
        <v/>
      </c>
      <c r="E667" s="3">
        <f>IF('ORDENES'!$A645="","",IF('ORDENES'!$V645="","-",'ORDENES'!$V645))</f>
        <v/>
      </c>
      <c r="F667" s="3">
        <f>IF('ORDENES'!$A645="","",IF('ORDENES'!$Y645="","-",'ORDENES'!$Y645))</f>
        <v/>
      </c>
      <c r="G667" s="3">
        <f>IF('ORDENES'!$A645="","",IF('ORDENES'!$W645="","-",'ORDENES'!$W645))</f>
        <v/>
      </c>
      <c r="H667" s="3">
        <f>IF('ORDENES'!$A645="","",IF('ORDENES'!$AE645="","-",'ORDENES'!$AE645))</f>
        <v/>
      </c>
      <c r="I667" s="3">
        <f>IF('ORDENES'!$A645="","",IF('ORDENES'!$AQ645="","-",'ORDENES'!$AQ645))</f>
        <v/>
      </c>
      <c r="J667" s="3">
        <f>IF('ORDENES'!$A645="","",IF('ORDENES'!$D645="","-",'ORDENES'!$D645))</f>
        <v/>
      </c>
      <c r="K667" s="3">
        <f>IF('ORDENES'!$A645="","",IF('ORDENES'!$E645="","-",'ORDENES'!$E645))</f>
        <v/>
      </c>
      <c r="L667" s="13">
        <f>IF('ORDENES'!$A645="","",IF('ORDENES'!$M645="",0,'ORDENES'!$M645))</f>
        <v/>
      </c>
      <c r="M667" s="3">
        <f>IF('ORDENES'!$A645="","",IF('ORDENES'!$N645="","-",'ORDENES'!$N645))</f>
        <v/>
      </c>
      <c r="N667" s="3">
        <f>IF('ORDENES'!$A645="","",'ORDENES'!$AD645)</f>
        <v/>
      </c>
    </row>
    <row r="668">
      <c r="A668" s="3">
        <f>IF('ORDENES'!$A646="","",IF('ORDENES'!$O646="","-",'ORDENES'!$O646))</f>
        <v/>
      </c>
      <c r="B668" s="3">
        <f>IF('ORDENES'!$A646="","",IF('ORDENES'!$R646="","-",'ORDENES'!$R646))</f>
        <v/>
      </c>
      <c r="C668" s="3">
        <f>IF('ORDENES'!$A646="","",IF('ORDENES'!$AF646="","-",'ORDENES'!$AF646))</f>
        <v/>
      </c>
      <c r="D668" s="3">
        <f>IF('ORDENES'!$A646="","",IF('ORDENES'!$X646="","-",'ORDENES'!$X646))</f>
        <v/>
      </c>
      <c r="E668" s="3">
        <f>IF('ORDENES'!$A646="","",IF('ORDENES'!$V646="","-",'ORDENES'!$V646))</f>
        <v/>
      </c>
      <c r="F668" s="3">
        <f>IF('ORDENES'!$A646="","",IF('ORDENES'!$Y646="","-",'ORDENES'!$Y646))</f>
        <v/>
      </c>
      <c r="G668" s="3">
        <f>IF('ORDENES'!$A646="","",IF('ORDENES'!$W646="","-",'ORDENES'!$W646))</f>
        <v/>
      </c>
      <c r="H668" s="3">
        <f>IF('ORDENES'!$A646="","",IF('ORDENES'!$AE646="","-",'ORDENES'!$AE646))</f>
        <v/>
      </c>
      <c r="I668" s="3">
        <f>IF('ORDENES'!$A646="","",IF('ORDENES'!$AQ646="","-",'ORDENES'!$AQ646))</f>
        <v/>
      </c>
      <c r="J668" s="3">
        <f>IF('ORDENES'!$A646="","",IF('ORDENES'!$D646="","-",'ORDENES'!$D646))</f>
        <v/>
      </c>
      <c r="K668" s="3">
        <f>IF('ORDENES'!$A646="","",IF('ORDENES'!$E646="","-",'ORDENES'!$E646))</f>
        <v/>
      </c>
      <c r="L668" s="13">
        <f>IF('ORDENES'!$A646="","",IF('ORDENES'!$M646="",0,'ORDENES'!$M646))</f>
        <v/>
      </c>
      <c r="M668" s="3">
        <f>IF('ORDENES'!$A646="","",IF('ORDENES'!$N646="","-",'ORDENES'!$N646))</f>
        <v/>
      </c>
      <c r="N668" s="3">
        <f>IF('ORDENES'!$A646="","",'ORDENES'!$AD646)</f>
        <v/>
      </c>
    </row>
    <row r="669">
      <c r="A669" s="3">
        <f>IF('ORDENES'!$A647="","",IF('ORDENES'!$O647="","-",'ORDENES'!$O647))</f>
        <v/>
      </c>
      <c r="B669" s="3">
        <f>IF('ORDENES'!$A647="","",IF('ORDENES'!$R647="","-",'ORDENES'!$R647))</f>
        <v/>
      </c>
      <c r="C669" s="3">
        <f>IF('ORDENES'!$A647="","",IF('ORDENES'!$AF647="","-",'ORDENES'!$AF647))</f>
        <v/>
      </c>
      <c r="D669" s="3">
        <f>IF('ORDENES'!$A647="","",IF('ORDENES'!$X647="","-",'ORDENES'!$X647))</f>
        <v/>
      </c>
      <c r="E669" s="3">
        <f>IF('ORDENES'!$A647="","",IF('ORDENES'!$V647="","-",'ORDENES'!$V647))</f>
        <v/>
      </c>
      <c r="F669" s="3">
        <f>IF('ORDENES'!$A647="","",IF('ORDENES'!$Y647="","-",'ORDENES'!$Y647))</f>
        <v/>
      </c>
      <c r="G669" s="3">
        <f>IF('ORDENES'!$A647="","",IF('ORDENES'!$W647="","-",'ORDENES'!$W647))</f>
        <v/>
      </c>
      <c r="H669" s="3">
        <f>IF('ORDENES'!$A647="","",IF('ORDENES'!$AE647="","-",'ORDENES'!$AE647))</f>
        <v/>
      </c>
      <c r="I669" s="3">
        <f>IF('ORDENES'!$A647="","",IF('ORDENES'!$AQ647="","-",'ORDENES'!$AQ647))</f>
        <v/>
      </c>
      <c r="J669" s="3">
        <f>IF('ORDENES'!$A647="","",IF('ORDENES'!$D647="","-",'ORDENES'!$D647))</f>
        <v/>
      </c>
      <c r="K669" s="3">
        <f>IF('ORDENES'!$A647="","",IF('ORDENES'!$E647="","-",'ORDENES'!$E647))</f>
        <v/>
      </c>
      <c r="L669" s="13">
        <f>IF('ORDENES'!$A647="","",IF('ORDENES'!$M647="",0,'ORDENES'!$M647))</f>
        <v/>
      </c>
      <c r="M669" s="3">
        <f>IF('ORDENES'!$A647="","",IF('ORDENES'!$N647="","-",'ORDENES'!$N647))</f>
        <v/>
      </c>
      <c r="N669" s="3">
        <f>IF('ORDENES'!$A647="","",'ORDENES'!$AD647)</f>
        <v/>
      </c>
    </row>
    <row r="670">
      <c r="A670" s="3">
        <f>IF('ORDENES'!$A648="","",IF('ORDENES'!$O648="","-",'ORDENES'!$O648))</f>
        <v/>
      </c>
      <c r="B670" s="3">
        <f>IF('ORDENES'!$A648="","",IF('ORDENES'!$R648="","-",'ORDENES'!$R648))</f>
        <v/>
      </c>
      <c r="C670" s="3">
        <f>IF('ORDENES'!$A648="","",IF('ORDENES'!$AF648="","-",'ORDENES'!$AF648))</f>
        <v/>
      </c>
      <c r="D670" s="3">
        <f>IF('ORDENES'!$A648="","",IF('ORDENES'!$X648="","-",'ORDENES'!$X648))</f>
        <v/>
      </c>
      <c r="E670" s="3">
        <f>IF('ORDENES'!$A648="","",IF('ORDENES'!$V648="","-",'ORDENES'!$V648))</f>
        <v/>
      </c>
      <c r="F670" s="3">
        <f>IF('ORDENES'!$A648="","",IF('ORDENES'!$Y648="","-",'ORDENES'!$Y648))</f>
        <v/>
      </c>
      <c r="G670" s="3">
        <f>IF('ORDENES'!$A648="","",IF('ORDENES'!$W648="","-",'ORDENES'!$W648))</f>
        <v/>
      </c>
      <c r="H670" s="3">
        <f>IF('ORDENES'!$A648="","",IF('ORDENES'!$AE648="","-",'ORDENES'!$AE648))</f>
        <v/>
      </c>
      <c r="I670" s="3">
        <f>IF('ORDENES'!$A648="","",IF('ORDENES'!$AQ648="","-",'ORDENES'!$AQ648))</f>
        <v/>
      </c>
      <c r="J670" s="3">
        <f>IF('ORDENES'!$A648="","",IF('ORDENES'!$D648="","-",'ORDENES'!$D648))</f>
        <v/>
      </c>
      <c r="K670" s="3">
        <f>IF('ORDENES'!$A648="","",IF('ORDENES'!$E648="","-",'ORDENES'!$E648))</f>
        <v/>
      </c>
      <c r="L670" s="13">
        <f>IF('ORDENES'!$A648="","",IF('ORDENES'!$M648="",0,'ORDENES'!$M648))</f>
        <v/>
      </c>
      <c r="M670" s="3">
        <f>IF('ORDENES'!$A648="","",IF('ORDENES'!$N648="","-",'ORDENES'!$N648))</f>
        <v/>
      </c>
      <c r="N670" s="3">
        <f>IF('ORDENES'!$A648="","",'ORDENES'!$AD648)</f>
        <v/>
      </c>
    </row>
    <row r="671">
      <c r="A671" s="3">
        <f>IF('ORDENES'!$A649="","",IF('ORDENES'!$O649="","-",'ORDENES'!$O649))</f>
        <v/>
      </c>
      <c r="B671" s="3">
        <f>IF('ORDENES'!$A649="","",IF('ORDENES'!$R649="","-",'ORDENES'!$R649))</f>
        <v/>
      </c>
      <c r="C671" s="3">
        <f>IF('ORDENES'!$A649="","",IF('ORDENES'!$AF649="","-",'ORDENES'!$AF649))</f>
        <v/>
      </c>
      <c r="D671" s="3">
        <f>IF('ORDENES'!$A649="","",IF('ORDENES'!$X649="","-",'ORDENES'!$X649))</f>
        <v/>
      </c>
      <c r="E671" s="3">
        <f>IF('ORDENES'!$A649="","",IF('ORDENES'!$V649="","-",'ORDENES'!$V649))</f>
        <v/>
      </c>
      <c r="F671" s="3">
        <f>IF('ORDENES'!$A649="","",IF('ORDENES'!$Y649="","-",'ORDENES'!$Y649))</f>
        <v/>
      </c>
      <c r="G671" s="3">
        <f>IF('ORDENES'!$A649="","",IF('ORDENES'!$W649="","-",'ORDENES'!$W649))</f>
        <v/>
      </c>
      <c r="H671" s="3">
        <f>IF('ORDENES'!$A649="","",IF('ORDENES'!$AE649="","-",'ORDENES'!$AE649))</f>
        <v/>
      </c>
      <c r="I671" s="3">
        <f>IF('ORDENES'!$A649="","",IF('ORDENES'!$AQ649="","-",'ORDENES'!$AQ649))</f>
        <v/>
      </c>
      <c r="J671" s="3">
        <f>IF('ORDENES'!$A649="","",IF('ORDENES'!$D649="","-",'ORDENES'!$D649))</f>
        <v/>
      </c>
      <c r="K671" s="3">
        <f>IF('ORDENES'!$A649="","",IF('ORDENES'!$E649="","-",'ORDENES'!$E649))</f>
        <v/>
      </c>
      <c r="L671" s="13">
        <f>IF('ORDENES'!$A649="","",IF('ORDENES'!$M649="",0,'ORDENES'!$M649))</f>
        <v/>
      </c>
      <c r="M671" s="3">
        <f>IF('ORDENES'!$A649="","",IF('ORDENES'!$N649="","-",'ORDENES'!$N649))</f>
        <v/>
      </c>
      <c r="N671" s="3">
        <f>IF('ORDENES'!$A649="","",'ORDENES'!$AD649)</f>
        <v/>
      </c>
    </row>
    <row r="672">
      <c r="A672" s="3">
        <f>IF('ORDENES'!$A650="","",IF('ORDENES'!$O650="","-",'ORDENES'!$O650))</f>
        <v/>
      </c>
      <c r="B672" s="3">
        <f>IF('ORDENES'!$A650="","",IF('ORDENES'!$R650="","-",'ORDENES'!$R650))</f>
        <v/>
      </c>
      <c r="C672" s="3">
        <f>IF('ORDENES'!$A650="","",IF('ORDENES'!$AF650="","-",'ORDENES'!$AF650))</f>
        <v/>
      </c>
      <c r="D672" s="3">
        <f>IF('ORDENES'!$A650="","",IF('ORDENES'!$X650="","-",'ORDENES'!$X650))</f>
        <v/>
      </c>
      <c r="E672" s="3">
        <f>IF('ORDENES'!$A650="","",IF('ORDENES'!$V650="","-",'ORDENES'!$V650))</f>
        <v/>
      </c>
      <c r="F672" s="3">
        <f>IF('ORDENES'!$A650="","",IF('ORDENES'!$Y650="","-",'ORDENES'!$Y650))</f>
        <v/>
      </c>
      <c r="G672" s="3">
        <f>IF('ORDENES'!$A650="","",IF('ORDENES'!$W650="","-",'ORDENES'!$W650))</f>
        <v/>
      </c>
      <c r="H672" s="3">
        <f>IF('ORDENES'!$A650="","",IF('ORDENES'!$AE650="","-",'ORDENES'!$AE650))</f>
        <v/>
      </c>
      <c r="I672" s="3">
        <f>IF('ORDENES'!$A650="","",IF('ORDENES'!$AQ650="","-",'ORDENES'!$AQ650))</f>
        <v/>
      </c>
      <c r="J672" s="3">
        <f>IF('ORDENES'!$A650="","",IF('ORDENES'!$D650="","-",'ORDENES'!$D650))</f>
        <v/>
      </c>
      <c r="K672" s="3">
        <f>IF('ORDENES'!$A650="","",IF('ORDENES'!$E650="","-",'ORDENES'!$E650))</f>
        <v/>
      </c>
      <c r="L672" s="13">
        <f>IF('ORDENES'!$A650="","",IF('ORDENES'!$M650="",0,'ORDENES'!$M650))</f>
        <v/>
      </c>
      <c r="M672" s="3">
        <f>IF('ORDENES'!$A650="","",IF('ORDENES'!$N650="","-",'ORDENES'!$N650))</f>
        <v/>
      </c>
      <c r="N672" s="3">
        <f>IF('ORDENES'!$A650="","",'ORDENES'!$AD650)</f>
        <v/>
      </c>
    </row>
    <row r="673">
      <c r="A673" s="3">
        <f>IF('ORDENES'!$A651="","",IF('ORDENES'!$O651="","-",'ORDENES'!$O651))</f>
        <v/>
      </c>
      <c r="B673" s="3">
        <f>IF('ORDENES'!$A651="","",IF('ORDENES'!$R651="","-",'ORDENES'!$R651))</f>
        <v/>
      </c>
      <c r="C673" s="3">
        <f>IF('ORDENES'!$A651="","",IF('ORDENES'!$AF651="","-",'ORDENES'!$AF651))</f>
        <v/>
      </c>
      <c r="D673" s="3">
        <f>IF('ORDENES'!$A651="","",IF('ORDENES'!$X651="","-",'ORDENES'!$X651))</f>
        <v/>
      </c>
      <c r="E673" s="3">
        <f>IF('ORDENES'!$A651="","",IF('ORDENES'!$V651="","-",'ORDENES'!$V651))</f>
        <v/>
      </c>
      <c r="F673" s="3">
        <f>IF('ORDENES'!$A651="","",IF('ORDENES'!$Y651="","-",'ORDENES'!$Y651))</f>
        <v/>
      </c>
      <c r="G673" s="3">
        <f>IF('ORDENES'!$A651="","",IF('ORDENES'!$W651="","-",'ORDENES'!$W651))</f>
        <v/>
      </c>
      <c r="H673" s="3">
        <f>IF('ORDENES'!$A651="","",IF('ORDENES'!$AE651="","-",'ORDENES'!$AE651))</f>
        <v/>
      </c>
      <c r="I673" s="3">
        <f>IF('ORDENES'!$A651="","",IF('ORDENES'!$AQ651="","-",'ORDENES'!$AQ651))</f>
        <v/>
      </c>
      <c r="J673" s="3">
        <f>IF('ORDENES'!$A651="","",IF('ORDENES'!$D651="","-",'ORDENES'!$D651))</f>
        <v/>
      </c>
      <c r="K673" s="3">
        <f>IF('ORDENES'!$A651="","",IF('ORDENES'!$E651="","-",'ORDENES'!$E651))</f>
        <v/>
      </c>
      <c r="L673" s="13">
        <f>IF('ORDENES'!$A651="","",IF('ORDENES'!$M651="",0,'ORDENES'!$M651))</f>
        <v/>
      </c>
      <c r="M673" s="3">
        <f>IF('ORDENES'!$A651="","",IF('ORDENES'!$N651="","-",'ORDENES'!$N651))</f>
        <v/>
      </c>
      <c r="N673" s="3">
        <f>IF('ORDENES'!$A651="","",'ORDENES'!$AD651)</f>
        <v/>
      </c>
    </row>
    <row r="674">
      <c r="A674" s="3">
        <f>IF('ORDENES'!$A652="","",IF('ORDENES'!$O652="","-",'ORDENES'!$O652))</f>
        <v/>
      </c>
      <c r="B674" s="3">
        <f>IF('ORDENES'!$A652="","",IF('ORDENES'!$R652="","-",'ORDENES'!$R652))</f>
        <v/>
      </c>
      <c r="C674" s="3">
        <f>IF('ORDENES'!$A652="","",IF('ORDENES'!$AF652="","-",'ORDENES'!$AF652))</f>
        <v/>
      </c>
      <c r="D674" s="3">
        <f>IF('ORDENES'!$A652="","",IF('ORDENES'!$X652="","-",'ORDENES'!$X652))</f>
        <v/>
      </c>
      <c r="E674" s="3">
        <f>IF('ORDENES'!$A652="","",IF('ORDENES'!$V652="","-",'ORDENES'!$V652))</f>
        <v/>
      </c>
      <c r="F674" s="3">
        <f>IF('ORDENES'!$A652="","",IF('ORDENES'!$Y652="","-",'ORDENES'!$Y652))</f>
        <v/>
      </c>
      <c r="G674" s="3">
        <f>IF('ORDENES'!$A652="","",IF('ORDENES'!$W652="","-",'ORDENES'!$W652))</f>
        <v/>
      </c>
      <c r="H674" s="3">
        <f>IF('ORDENES'!$A652="","",IF('ORDENES'!$AE652="","-",'ORDENES'!$AE652))</f>
        <v/>
      </c>
      <c r="I674" s="3">
        <f>IF('ORDENES'!$A652="","",IF('ORDENES'!$AQ652="","-",'ORDENES'!$AQ652))</f>
        <v/>
      </c>
      <c r="J674" s="3">
        <f>IF('ORDENES'!$A652="","",IF('ORDENES'!$D652="","-",'ORDENES'!$D652))</f>
        <v/>
      </c>
      <c r="K674" s="3">
        <f>IF('ORDENES'!$A652="","",IF('ORDENES'!$E652="","-",'ORDENES'!$E652))</f>
        <v/>
      </c>
      <c r="L674" s="13">
        <f>IF('ORDENES'!$A652="","",IF('ORDENES'!$M652="",0,'ORDENES'!$M652))</f>
        <v/>
      </c>
      <c r="M674" s="3">
        <f>IF('ORDENES'!$A652="","",IF('ORDENES'!$N652="","-",'ORDENES'!$N652))</f>
        <v/>
      </c>
      <c r="N674" s="3">
        <f>IF('ORDENES'!$A652="","",'ORDENES'!$AD652)</f>
        <v/>
      </c>
    </row>
    <row r="675">
      <c r="A675" s="3">
        <f>IF('ORDENES'!$A653="","",IF('ORDENES'!$O653="","-",'ORDENES'!$O653))</f>
        <v/>
      </c>
      <c r="B675" s="3">
        <f>IF('ORDENES'!$A653="","",IF('ORDENES'!$R653="","-",'ORDENES'!$R653))</f>
        <v/>
      </c>
      <c r="C675" s="3">
        <f>IF('ORDENES'!$A653="","",IF('ORDENES'!$AF653="","-",'ORDENES'!$AF653))</f>
        <v/>
      </c>
      <c r="D675" s="3">
        <f>IF('ORDENES'!$A653="","",IF('ORDENES'!$X653="","-",'ORDENES'!$X653))</f>
        <v/>
      </c>
      <c r="E675" s="3">
        <f>IF('ORDENES'!$A653="","",IF('ORDENES'!$V653="","-",'ORDENES'!$V653))</f>
        <v/>
      </c>
      <c r="F675" s="3">
        <f>IF('ORDENES'!$A653="","",IF('ORDENES'!$Y653="","-",'ORDENES'!$Y653))</f>
        <v/>
      </c>
      <c r="G675" s="3">
        <f>IF('ORDENES'!$A653="","",IF('ORDENES'!$W653="","-",'ORDENES'!$W653))</f>
        <v/>
      </c>
      <c r="H675" s="3">
        <f>IF('ORDENES'!$A653="","",IF('ORDENES'!$AE653="","-",'ORDENES'!$AE653))</f>
        <v/>
      </c>
      <c r="I675" s="3">
        <f>IF('ORDENES'!$A653="","",IF('ORDENES'!$AQ653="","-",'ORDENES'!$AQ653))</f>
        <v/>
      </c>
      <c r="J675" s="3">
        <f>IF('ORDENES'!$A653="","",IF('ORDENES'!$D653="","-",'ORDENES'!$D653))</f>
        <v/>
      </c>
      <c r="K675" s="3">
        <f>IF('ORDENES'!$A653="","",IF('ORDENES'!$E653="","-",'ORDENES'!$E653))</f>
        <v/>
      </c>
      <c r="L675" s="13">
        <f>IF('ORDENES'!$A653="","",IF('ORDENES'!$M653="",0,'ORDENES'!$M653))</f>
        <v/>
      </c>
      <c r="M675" s="3">
        <f>IF('ORDENES'!$A653="","",IF('ORDENES'!$N653="","-",'ORDENES'!$N653))</f>
        <v/>
      </c>
      <c r="N675" s="3">
        <f>IF('ORDENES'!$A653="","",'ORDENES'!$AD653)</f>
        <v/>
      </c>
    </row>
    <row r="676">
      <c r="A676" s="3">
        <f>IF('ORDENES'!$A654="","",IF('ORDENES'!$O654="","-",'ORDENES'!$O654))</f>
        <v/>
      </c>
      <c r="B676" s="3">
        <f>IF('ORDENES'!$A654="","",IF('ORDENES'!$R654="","-",'ORDENES'!$R654))</f>
        <v/>
      </c>
      <c r="C676" s="3">
        <f>IF('ORDENES'!$A654="","",IF('ORDENES'!$AF654="","-",'ORDENES'!$AF654))</f>
        <v/>
      </c>
      <c r="D676" s="3">
        <f>IF('ORDENES'!$A654="","",IF('ORDENES'!$X654="","-",'ORDENES'!$X654))</f>
        <v/>
      </c>
      <c r="E676" s="3">
        <f>IF('ORDENES'!$A654="","",IF('ORDENES'!$V654="","-",'ORDENES'!$V654))</f>
        <v/>
      </c>
      <c r="F676" s="3">
        <f>IF('ORDENES'!$A654="","",IF('ORDENES'!$Y654="","-",'ORDENES'!$Y654))</f>
        <v/>
      </c>
      <c r="G676" s="3">
        <f>IF('ORDENES'!$A654="","",IF('ORDENES'!$W654="","-",'ORDENES'!$W654))</f>
        <v/>
      </c>
      <c r="H676" s="3">
        <f>IF('ORDENES'!$A654="","",IF('ORDENES'!$AE654="","-",'ORDENES'!$AE654))</f>
        <v/>
      </c>
      <c r="I676" s="3">
        <f>IF('ORDENES'!$A654="","",IF('ORDENES'!$AQ654="","-",'ORDENES'!$AQ654))</f>
        <v/>
      </c>
      <c r="J676" s="3">
        <f>IF('ORDENES'!$A654="","",IF('ORDENES'!$D654="","-",'ORDENES'!$D654))</f>
        <v/>
      </c>
      <c r="K676" s="3">
        <f>IF('ORDENES'!$A654="","",IF('ORDENES'!$E654="","-",'ORDENES'!$E654))</f>
        <v/>
      </c>
      <c r="L676" s="13">
        <f>IF('ORDENES'!$A654="","",IF('ORDENES'!$M654="",0,'ORDENES'!$M654))</f>
        <v/>
      </c>
      <c r="M676" s="3">
        <f>IF('ORDENES'!$A654="","",IF('ORDENES'!$N654="","-",'ORDENES'!$N654))</f>
        <v/>
      </c>
      <c r="N676" s="3">
        <f>IF('ORDENES'!$A654="","",'ORDENES'!$AD654)</f>
        <v/>
      </c>
    </row>
    <row r="677">
      <c r="A677" s="3">
        <f>IF('ORDENES'!$A655="","",IF('ORDENES'!$O655="","-",'ORDENES'!$O655))</f>
        <v/>
      </c>
      <c r="B677" s="3">
        <f>IF('ORDENES'!$A655="","",IF('ORDENES'!$R655="","-",'ORDENES'!$R655))</f>
        <v/>
      </c>
      <c r="C677" s="3">
        <f>IF('ORDENES'!$A655="","",IF('ORDENES'!$AF655="","-",'ORDENES'!$AF655))</f>
        <v/>
      </c>
      <c r="D677" s="3">
        <f>IF('ORDENES'!$A655="","",IF('ORDENES'!$X655="","-",'ORDENES'!$X655))</f>
        <v/>
      </c>
      <c r="E677" s="3">
        <f>IF('ORDENES'!$A655="","",IF('ORDENES'!$V655="","-",'ORDENES'!$V655))</f>
        <v/>
      </c>
      <c r="F677" s="3">
        <f>IF('ORDENES'!$A655="","",IF('ORDENES'!$Y655="","-",'ORDENES'!$Y655))</f>
        <v/>
      </c>
      <c r="G677" s="3">
        <f>IF('ORDENES'!$A655="","",IF('ORDENES'!$W655="","-",'ORDENES'!$W655))</f>
        <v/>
      </c>
      <c r="H677" s="3">
        <f>IF('ORDENES'!$A655="","",IF('ORDENES'!$AE655="","-",'ORDENES'!$AE655))</f>
        <v/>
      </c>
      <c r="I677" s="3">
        <f>IF('ORDENES'!$A655="","",IF('ORDENES'!$AQ655="","-",'ORDENES'!$AQ655))</f>
        <v/>
      </c>
      <c r="J677" s="3">
        <f>IF('ORDENES'!$A655="","",IF('ORDENES'!$D655="","-",'ORDENES'!$D655))</f>
        <v/>
      </c>
      <c r="K677" s="3">
        <f>IF('ORDENES'!$A655="","",IF('ORDENES'!$E655="","-",'ORDENES'!$E655))</f>
        <v/>
      </c>
      <c r="L677" s="13">
        <f>IF('ORDENES'!$A655="","",IF('ORDENES'!$M655="",0,'ORDENES'!$M655))</f>
        <v/>
      </c>
      <c r="M677" s="3">
        <f>IF('ORDENES'!$A655="","",IF('ORDENES'!$N655="","-",'ORDENES'!$N655))</f>
        <v/>
      </c>
      <c r="N677" s="3">
        <f>IF('ORDENES'!$A655="","",'ORDENES'!$AD655)</f>
        <v/>
      </c>
    </row>
    <row r="678">
      <c r="A678" s="3">
        <f>IF('ORDENES'!$A656="","",IF('ORDENES'!$O656="","-",'ORDENES'!$O656))</f>
        <v/>
      </c>
      <c r="B678" s="3">
        <f>IF('ORDENES'!$A656="","",IF('ORDENES'!$R656="","-",'ORDENES'!$R656))</f>
        <v/>
      </c>
      <c r="C678" s="3">
        <f>IF('ORDENES'!$A656="","",IF('ORDENES'!$AF656="","-",'ORDENES'!$AF656))</f>
        <v/>
      </c>
      <c r="D678" s="3">
        <f>IF('ORDENES'!$A656="","",IF('ORDENES'!$X656="","-",'ORDENES'!$X656))</f>
        <v/>
      </c>
      <c r="E678" s="3">
        <f>IF('ORDENES'!$A656="","",IF('ORDENES'!$V656="","-",'ORDENES'!$V656))</f>
        <v/>
      </c>
      <c r="F678" s="3">
        <f>IF('ORDENES'!$A656="","",IF('ORDENES'!$Y656="","-",'ORDENES'!$Y656))</f>
        <v/>
      </c>
      <c r="G678" s="3">
        <f>IF('ORDENES'!$A656="","",IF('ORDENES'!$W656="","-",'ORDENES'!$W656))</f>
        <v/>
      </c>
      <c r="H678" s="3">
        <f>IF('ORDENES'!$A656="","",IF('ORDENES'!$AE656="","-",'ORDENES'!$AE656))</f>
        <v/>
      </c>
      <c r="I678" s="3">
        <f>IF('ORDENES'!$A656="","",IF('ORDENES'!$AQ656="","-",'ORDENES'!$AQ656))</f>
        <v/>
      </c>
      <c r="J678" s="3">
        <f>IF('ORDENES'!$A656="","",IF('ORDENES'!$D656="","-",'ORDENES'!$D656))</f>
        <v/>
      </c>
      <c r="K678" s="3">
        <f>IF('ORDENES'!$A656="","",IF('ORDENES'!$E656="","-",'ORDENES'!$E656))</f>
        <v/>
      </c>
      <c r="L678" s="13">
        <f>IF('ORDENES'!$A656="","",IF('ORDENES'!$M656="",0,'ORDENES'!$M656))</f>
        <v/>
      </c>
      <c r="M678" s="3">
        <f>IF('ORDENES'!$A656="","",IF('ORDENES'!$N656="","-",'ORDENES'!$N656))</f>
        <v/>
      </c>
      <c r="N678" s="3">
        <f>IF('ORDENES'!$A656="","",'ORDENES'!$AD656)</f>
        <v/>
      </c>
    </row>
    <row r="679">
      <c r="A679" s="3">
        <f>IF('ORDENES'!$A657="","",IF('ORDENES'!$O657="","-",'ORDENES'!$O657))</f>
        <v/>
      </c>
      <c r="B679" s="3">
        <f>IF('ORDENES'!$A657="","",IF('ORDENES'!$R657="","-",'ORDENES'!$R657))</f>
        <v/>
      </c>
      <c r="C679" s="3">
        <f>IF('ORDENES'!$A657="","",IF('ORDENES'!$AF657="","-",'ORDENES'!$AF657))</f>
        <v/>
      </c>
      <c r="D679" s="3">
        <f>IF('ORDENES'!$A657="","",IF('ORDENES'!$X657="","-",'ORDENES'!$X657))</f>
        <v/>
      </c>
      <c r="E679" s="3">
        <f>IF('ORDENES'!$A657="","",IF('ORDENES'!$V657="","-",'ORDENES'!$V657))</f>
        <v/>
      </c>
      <c r="F679" s="3">
        <f>IF('ORDENES'!$A657="","",IF('ORDENES'!$Y657="","-",'ORDENES'!$Y657))</f>
        <v/>
      </c>
      <c r="G679" s="3">
        <f>IF('ORDENES'!$A657="","",IF('ORDENES'!$W657="","-",'ORDENES'!$W657))</f>
        <v/>
      </c>
      <c r="H679" s="3">
        <f>IF('ORDENES'!$A657="","",IF('ORDENES'!$AE657="","-",'ORDENES'!$AE657))</f>
        <v/>
      </c>
      <c r="I679" s="3">
        <f>IF('ORDENES'!$A657="","",IF('ORDENES'!$AQ657="","-",'ORDENES'!$AQ657))</f>
        <v/>
      </c>
      <c r="J679" s="3">
        <f>IF('ORDENES'!$A657="","",IF('ORDENES'!$D657="","-",'ORDENES'!$D657))</f>
        <v/>
      </c>
      <c r="K679" s="3">
        <f>IF('ORDENES'!$A657="","",IF('ORDENES'!$E657="","-",'ORDENES'!$E657))</f>
        <v/>
      </c>
      <c r="L679" s="13">
        <f>IF('ORDENES'!$A657="","",IF('ORDENES'!$M657="",0,'ORDENES'!$M657))</f>
        <v/>
      </c>
      <c r="M679" s="3">
        <f>IF('ORDENES'!$A657="","",IF('ORDENES'!$N657="","-",'ORDENES'!$N657))</f>
        <v/>
      </c>
      <c r="N679" s="3">
        <f>IF('ORDENES'!$A657="","",'ORDENES'!$AD657)</f>
        <v/>
      </c>
    </row>
    <row r="680">
      <c r="A680" s="3">
        <f>IF('ORDENES'!$A658="","",IF('ORDENES'!$O658="","-",'ORDENES'!$O658))</f>
        <v/>
      </c>
      <c r="B680" s="3">
        <f>IF('ORDENES'!$A658="","",IF('ORDENES'!$R658="","-",'ORDENES'!$R658))</f>
        <v/>
      </c>
      <c r="C680" s="3">
        <f>IF('ORDENES'!$A658="","",IF('ORDENES'!$AF658="","-",'ORDENES'!$AF658))</f>
        <v/>
      </c>
      <c r="D680" s="3">
        <f>IF('ORDENES'!$A658="","",IF('ORDENES'!$X658="","-",'ORDENES'!$X658))</f>
        <v/>
      </c>
      <c r="E680" s="3">
        <f>IF('ORDENES'!$A658="","",IF('ORDENES'!$V658="","-",'ORDENES'!$V658))</f>
        <v/>
      </c>
      <c r="F680" s="3">
        <f>IF('ORDENES'!$A658="","",IF('ORDENES'!$Y658="","-",'ORDENES'!$Y658))</f>
        <v/>
      </c>
      <c r="G680" s="3">
        <f>IF('ORDENES'!$A658="","",IF('ORDENES'!$W658="","-",'ORDENES'!$W658))</f>
        <v/>
      </c>
      <c r="H680" s="3">
        <f>IF('ORDENES'!$A658="","",IF('ORDENES'!$AE658="","-",'ORDENES'!$AE658))</f>
        <v/>
      </c>
      <c r="I680" s="3">
        <f>IF('ORDENES'!$A658="","",IF('ORDENES'!$AQ658="","-",'ORDENES'!$AQ658))</f>
        <v/>
      </c>
      <c r="J680" s="3">
        <f>IF('ORDENES'!$A658="","",IF('ORDENES'!$D658="","-",'ORDENES'!$D658))</f>
        <v/>
      </c>
      <c r="K680" s="3">
        <f>IF('ORDENES'!$A658="","",IF('ORDENES'!$E658="","-",'ORDENES'!$E658))</f>
        <v/>
      </c>
      <c r="L680" s="13">
        <f>IF('ORDENES'!$A658="","",IF('ORDENES'!$M658="",0,'ORDENES'!$M658))</f>
        <v/>
      </c>
      <c r="M680" s="3">
        <f>IF('ORDENES'!$A658="","",IF('ORDENES'!$N658="","-",'ORDENES'!$N658))</f>
        <v/>
      </c>
      <c r="N680" s="3">
        <f>IF('ORDENES'!$A658="","",'ORDENES'!$AD658)</f>
        <v/>
      </c>
    </row>
    <row r="681">
      <c r="A681" s="3">
        <f>IF('ORDENES'!$A659="","",IF('ORDENES'!$O659="","-",'ORDENES'!$O659))</f>
        <v/>
      </c>
      <c r="B681" s="3">
        <f>IF('ORDENES'!$A659="","",IF('ORDENES'!$R659="","-",'ORDENES'!$R659))</f>
        <v/>
      </c>
      <c r="C681" s="3">
        <f>IF('ORDENES'!$A659="","",IF('ORDENES'!$AF659="","-",'ORDENES'!$AF659))</f>
        <v/>
      </c>
      <c r="D681" s="3">
        <f>IF('ORDENES'!$A659="","",IF('ORDENES'!$X659="","-",'ORDENES'!$X659))</f>
        <v/>
      </c>
      <c r="E681" s="3">
        <f>IF('ORDENES'!$A659="","",IF('ORDENES'!$V659="","-",'ORDENES'!$V659))</f>
        <v/>
      </c>
      <c r="F681" s="3">
        <f>IF('ORDENES'!$A659="","",IF('ORDENES'!$Y659="","-",'ORDENES'!$Y659))</f>
        <v/>
      </c>
      <c r="G681" s="3">
        <f>IF('ORDENES'!$A659="","",IF('ORDENES'!$W659="","-",'ORDENES'!$W659))</f>
        <v/>
      </c>
      <c r="H681" s="3">
        <f>IF('ORDENES'!$A659="","",IF('ORDENES'!$AE659="","-",'ORDENES'!$AE659))</f>
        <v/>
      </c>
      <c r="I681" s="3">
        <f>IF('ORDENES'!$A659="","",IF('ORDENES'!$AQ659="","-",'ORDENES'!$AQ659))</f>
        <v/>
      </c>
      <c r="J681" s="3">
        <f>IF('ORDENES'!$A659="","",IF('ORDENES'!$D659="","-",'ORDENES'!$D659))</f>
        <v/>
      </c>
      <c r="K681" s="3">
        <f>IF('ORDENES'!$A659="","",IF('ORDENES'!$E659="","-",'ORDENES'!$E659))</f>
        <v/>
      </c>
      <c r="L681" s="13">
        <f>IF('ORDENES'!$A659="","",IF('ORDENES'!$M659="",0,'ORDENES'!$M659))</f>
        <v/>
      </c>
      <c r="M681" s="3">
        <f>IF('ORDENES'!$A659="","",IF('ORDENES'!$N659="","-",'ORDENES'!$N659))</f>
        <v/>
      </c>
      <c r="N681" s="3">
        <f>IF('ORDENES'!$A659="","",'ORDENES'!$AD659)</f>
        <v/>
      </c>
    </row>
    <row r="682">
      <c r="A682" s="3">
        <f>IF('ORDENES'!$A660="","",IF('ORDENES'!$O660="","-",'ORDENES'!$O660))</f>
        <v/>
      </c>
      <c r="B682" s="3">
        <f>IF('ORDENES'!$A660="","",IF('ORDENES'!$R660="","-",'ORDENES'!$R660))</f>
        <v/>
      </c>
      <c r="C682" s="3">
        <f>IF('ORDENES'!$A660="","",IF('ORDENES'!$AF660="","-",'ORDENES'!$AF660))</f>
        <v/>
      </c>
      <c r="D682" s="3">
        <f>IF('ORDENES'!$A660="","",IF('ORDENES'!$X660="","-",'ORDENES'!$X660))</f>
        <v/>
      </c>
      <c r="E682" s="3">
        <f>IF('ORDENES'!$A660="","",IF('ORDENES'!$V660="","-",'ORDENES'!$V660))</f>
        <v/>
      </c>
      <c r="F682" s="3">
        <f>IF('ORDENES'!$A660="","",IF('ORDENES'!$Y660="","-",'ORDENES'!$Y660))</f>
        <v/>
      </c>
      <c r="G682" s="3">
        <f>IF('ORDENES'!$A660="","",IF('ORDENES'!$W660="","-",'ORDENES'!$W660))</f>
        <v/>
      </c>
      <c r="H682" s="3">
        <f>IF('ORDENES'!$A660="","",IF('ORDENES'!$AE660="","-",'ORDENES'!$AE660))</f>
        <v/>
      </c>
      <c r="I682" s="3">
        <f>IF('ORDENES'!$A660="","",IF('ORDENES'!$AQ660="","-",'ORDENES'!$AQ660))</f>
        <v/>
      </c>
      <c r="J682" s="3">
        <f>IF('ORDENES'!$A660="","",IF('ORDENES'!$D660="","-",'ORDENES'!$D660))</f>
        <v/>
      </c>
      <c r="K682" s="3">
        <f>IF('ORDENES'!$A660="","",IF('ORDENES'!$E660="","-",'ORDENES'!$E660))</f>
        <v/>
      </c>
      <c r="L682" s="13">
        <f>IF('ORDENES'!$A660="","",IF('ORDENES'!$M660="",0,'ORDENES'!$M660))</f>
        <v/>
      </c>
      <c r="M682" s="3">
        <f>IF('ORDENES'!$A660="","",IF('ORDENES'!$N660="","-",'ORDENES'!$N660))</f>
        <v/>
      </c>
      <c r="N682" s="3">
        <f>IF('ORDENES'!$A660="","",'ORDENES'!$AD660)</f>
        <v/>
      </c>
    </row>
    <row r="683">
      <c r="A683" s="3">
        <f>IF('ORDENES'!$A661="","",IF('ORDENES'!$O661="","-",'ORDENES'!$O661))</f>
        <v/>
      </c>
      <c r="B683" s="3">
        <f>IF('ORDENES'!$A661="","",IF('ORDENES'!$R661="","-",'ORDENES'!$R661))</f>
        <v/>
      </c>
      <c r="C683" s="3">
        <f>IF('ORDENES'!$A661="","",IF('ORDENES'!$AF661="","-",'ORDENES'!$AF661))</f>
        <v/>
      </c>
      <c r="D683" s="3">
        <f>IF('ORDENES'!$A661="","",IF('ORDENES'!$X661="","-",'ORDENES'!$X661))</f>
        <v/>
      </c>
      <c r="E683" s="3">
        <f>IF('ORDENES'!$A661="","",IF('ORDENES'!$V661="","-",'ORDENES'!$V661))</f>
        <v/>
      </c>
      <c r="F683" s="3">
        <f>IF('ORDENES'!$A661="","",IF('ORDENES'!$Y661="","-",'ORDENES'!$Y661))</f>
        <v/>
      </c>
      <c r="G683" s="3">
        <f>IF('ORDENES'!$A661="","",IF('ORDENES'!$W661="","-",'ORDENES'!$W661))</f>
        <v/>
      </c>
      <c r="H683" s="3">
        <f>IF('ORDENES'!$A661="","",IF('ORDENES'!$AE661="","-",'ORDENES'!$AE661))</f>
        <v/>
      </c>
      <c r="I683" s="3">
        <f>IF('ORDENES'!$A661="","",IF('ORDENES'!$AQ661="","-",'ORDENES'!$AQ661))</f>
        <v/>
      </c>
      <c r="J683" s="3">
        <f>IF('ORDENES'!$A661="","",IF('ORDENES'!$D661="","-",'ORDENES'!$D661))</f>
        <v/>
      </c>
      <c r="K683" s="3">
        <f>IF('ORDENES'!$A661="","",IF('ORDENES'!$E661="","-",'ORDENES'!$E661))</f>
        <v/>
      </c>
      <c r="L683" s="13">
        <f>IF('ORDENES'!$A661="","",IF('ORDENES'!$M661="",0,'ORDENES'!$M661))</f>
        <v/>
      </c>
      <c r="M683" s="3">
        <f>IF('ORDENES'!$A661="","",IF('ORDENES'!$N661="","-",'ORDENES'!$N661))</f>
        <v/>
      </c>
      <c r="N683" s="3">
        <f>IF('ORDENES'!$A661="","",'ORDENES'!$AD661)</f>
        <v/>
      </c>
    </row>
    <row r="684">
      <c r="A684" s="3">
        <f>IF('ORDENES'!$A662="","",IF('ORDENES'!$O662="","-",'ORDENES'!$O662))</f>
        <v/>
      </c>
      <c r="B684" s="3">
        <f>IF('ORDENES'!$A662="","",IF('ORDENES'!$R662="","-",'ORDENES'!$R662))</f>
        <v/>
      </c>
      <c r="C684" s="3">
        <f>IF('ORDENES'!$A662="","",IF('ORDENES'!$AF662="","-",'ORDENES'!$AF662))</f>
        <v/>
      </c>
      <c r="D684" s="3">
        <f>IF('ORDENES'!$A662="","",IF('ORDENES'!$X662="","-",'ORDENES'!$X662))</f>
        <v/>
      </c>
      <c r="E684" s="3">
        <f>IF('ORDENES'!$A662="","",IF('ORDENES'!$V662="","-",'ORDENES'!$V662))</f>
        <v/>
      </c>
      <c r="F684" s="3">
        <f>IF('ORDENES'!$A662="","",IF('ORDENES'!$Y662="","-",'ORDENES'!$Y662))</f>
        <v/>
      </c>
      <c r="G684" s="3">
        <f>IF('ORDENES'!$A662="","",IF('ORDENES'!$W662="","-",'ORDENES'!$W662))</f>
        <v/>
      </c>
      <c r="H684" s="3">
        <f>IF('ORDENES'!$A662="","",IF('ORDENES'!$AE662="","-",'ORDENES'!$AE662))</f>
        <v/>
      </c>
      <c r="I684" s="3">
        <f>IF('ORDENES'!$A662="","",IF('ORDENES'!$AQ662="","-",'ORDENES'!$AQ662))</f>
        <v/>
      </c>
      <c r="J684" s="3">
        <f>IF('ORDENES'!$A662="","",IF('ORDENES'!$D662="","-",'ORDENES'!$D662))</f>
        <v/>
      </c>
      <c r="K684" s="3">
        <f>IF('ORDENES'!$A662="","",IF('ORDENES'!$E662="","-",'ORDENES'!$E662))</f>
        <v/>
      </c>
      <c r="L684" s="13">
        <f>IF('ORDENES'!$A662="","",IF('ORDENES'!$M662="",0,'ORDENES'!$M662))</f>
        <v/>
      </c>
      <c r="M684" s="3">
        <f>IF('ORDENES'!$A662="","",IF('ORDENES'!$N662="","-",'ORDENES'!$N662))</f>
        <v/>
      </c>
      <c r="N684" s="3">
        <f>IF('ORDENES'!$A662="","",'ORDENES'!$AD662)</f>
        <v/>
      </c>
    </row>
    <row r="685">
      <c r="A685" s="3">
        <f>IF('ORDENES'!$A663="","",IF('ORDENES'!$O663="","-",'ORDENES'!$O663))</f>
        <v/>
      </c>
      <c r="B685" s="3">
        <f>IF('ORDENES'!$A663="","",IF('ORDENES'!$R663="","-",'ORDENES'!$R663))</f>
        <v/>
      </c>
      <c r="C685" s="3">
        <f>IF('ORDENES'!$A663="","",IF('ORDENES'!$AF663="","-",'ORDENES'!$AF663))</f>
        <v/>
      </c>
      <c r="D685" s="3">
        <f>IF('ORDENES'!$A663="","",IF('ORDENES'!$X663="","-",'ORDENES'!$X663))</f>
        <v/>
      </c>
      <c r="E685" s="3">
        <f>IF('ORDENES'!$A663="","",IF('ORDENES'!$V663="","-",'ORDENES'!$V663))</f>
        <v/>
      </c>
      <c r="F685" s="3">
        <f>IF('ORDENES'!$A663="","",IF('ORDENES'!$Y663="","-",'ORDENES'!$Y663))</f>
        <v/>
      </c>
      <c r="G685" s="3">
        <f>IF('ORDENES'!$A663="","",IF('ORDENES'!$W663="","-",'ORDENES'!$W663))</f>
        <v/>
      </c>
      <c r="H685" s="3">
        <f>IF('ORDENES'!$A663="","",IF('ORDENES'!$AE663="","-",'ORDENES'!$AE663))</f>
        <v/>
      </c>
      <c r="I685" s="3">
        <f>IF('ORDENES'!$A663="","",IF('ORDENES'!$AQ663="","-",'ORDENES'!$AQ663))</f>
        <v/>
      </c>
      <c r="J685" s="3">
        <f>IF('ORDENES'!$A663="","",IF('ORDENES'!$D663="","-",'ORDENES'!$D663))</f>
        <v/>
      </c>
      <c r="K685" s="3">
        <f>IF('ORDENES'!$A663="","",IF('ORDENES'!$E663="","-",'ORDENES'!$E663))</f>
        <v/>
      </c>
      <c r="L685" s="13">
        <f>IF('ORDENES'!$A663="","",IF('ORDENES'!$M663="",0,'ORDENES'!$M663))</f>
        <v/>
      </c>
      <c r="M685" s="3">
        <f>IF('ORDENES'!$A663="","",IF('ORDENES'!$N663="","-",'ORDENES'!$N663))</f>
        <v/>
      </c>
      <c r="N685" s="3">
        <f>IF('ORDENES'!$A663="","",'ORDENES'!$AD663)</f>
        <v/>
      </c>
    </row>
    <row r="686">
      <c r="A686" s="3">
        <f>IF('ORDENES'!$A664="","",IF('ORDENES'!$O664="","-",'ORDENES'!$O664))</f>
        <v/>
      </c>
      <c r="B686" s="3">
        <f>IF('ORDENES'!$A664="","",IF('ORDENES'!$R664="","-",'ORDENES'!$R664))</f>
        <v/>
      </c>
      <c r="C686" s="3">
        <f>IF('ORDENES'!$A664="","",IF('ORDENES'!$AF664="","-",'ORDENES'!$AF664))</f>
        <v/>
      </c>
      <c r="D686" s="3">
        <f>IF('ORDENES'!$A664="","",IF('ORDENES'!$X664="","-",'ORDENES'!$X664))</f>
        <v/>
      </c>
      <c r="E686" s="3">
        <f>IF('ORDENES'!$A664="","",IF('ORDENES'!$V664="","-",'ORDENES'!$V664))</f>
        <v/>
      </c>
      <c r="F686" s="3">
        <f>IF('ORDENES'!$A664="","",IF('ORDENES'!$Y664="","-",'ORDENES'!$Y664))</f>
        <v/>
      </c>
      <c r="G686" s="3">
        <f>IF('ORDENES'!$A664="","",IF('ORDENES'!$W664="","-",'ORDENES'!$W664))</f>
        <v/>
      </c>
      <c r="H686" s="3">
        <f>IF('ORDENES'!$A664="","",IF('ORDENES'!$AE664="","-",'ORDENES'!$AE664))</f>
        <v/>
      </c>
      <c r="I686" s="3">
        <f>IF('ORDENES'!$A664="","",IF('ORDENES'!$AQ664="","-",'ORDENES'!$AQ664))</f>
        <v/>
      </c>
      <c r="J686" s="3">
        <f>IF('ORDENES'!$A664="","",IF('ORDENES'!$D664="","-",'ORDENES'!$D664))</f>
        <v/>
      </c>
      <c r="K686" s="3">
        <f>IF('ORDENES'!$A664="","",IF('ORDENES'!$E664="","-",'ORDENES'!$E664))</f>
        <v/>
      </c>
      <c r="L686" s="13">
        <f>IF('ORDENES'!$A664="","",IF('ORDENES'!$M664="",0,'ORDENES'!$M664))</f>
        <v/>
      </c>
      <c r="M686" s="3">
        <f>IF('ORDENES'!$A664="","",IF('ORDENES'!$N664="","-",'ORDENES'!$N664))</f>
        <v/>
      </c>
      <c r="N686" s="3">
        <f>IF('ORDENES'!$A664="","",'ORDENES'!$AD664)</f>
        <v/>
      </c>
    </row>
    <row r="687">
      <c r="A687" s="3">
        <f>IF('ORDENES'!$A665="","",IF('ORDENES'!$O665="","-",'ORDENES'!$O665))</f>
        <v/>
      </c>
      <c r="B687" s="3">
        <f>IF('ORDENES'!$A665="","",IF('ORDENES'!$R665="","-",'ORDENES'!$R665))</f>
        <v/>
      </c>
      <c r="C687" s="3">
        <f>IF('ORDENES'!$A665="","",IF('ORDENES'!$AF665="","-",'ORDENES'!$AF665))</f>
        <v/>
      </c>
      <c r="D687" s="3">
        <f>IF('ORDENES'!$A665="","",IF('ORDENES'!$X665="","-",'ORDENES'!$X665))</f>
        <v/>
      </c>
      <c r="E687" s="3">
        <f>IF('ORDENES'!$A665="","",IF('ORDENES'!$V665="","-",'ORDENES'!$V665))</f>
        <v/>
      </c>
      <c r="F687" s="3">
        <f>IF('ORDENES'!$A665="","",IF('ORDENES'!$Y665="","-",'ORDENES'!$Y665))</f>
        <v/>
      </c>
      <c r="G687" s="3">
        <f>IF('ORDENES'!$A665="","",IF('ORDENES'!$W665="","-",'ORDENES'!$W665))</f>
        <v/>
      </c>
      <c r="H687" s="3">
        <f>IF('ORDENES'!$A665="","",IF('ORDENES'!$AE665="","-",'ORDENES'!$AE665))</f>
        <v/>
      </c>
      <c r="I687" s="3">
        <f>IF('ORDENES'!$A665="","",IF('ORDENES'!$AQ665="","-",'ORDENES'!$AQ665))</f>
        <v/>
      </c>
      <c r="J687" s="3">
        <f>IF('ORDENES'!$A665="","",IF('ORDENES'!$D665="","-",'ORDENES'!$D665))</f>
        <v/>
      </c>
      <c r="K687" s="3">
        <f>IF('ORDENES'!$A665="","",IF('ORDENES'!$E665="","-",'ORDENES'!$E665))</f>
        <v/>
      </c>
      <c r="L687" s="13">
        <f>IF('ORDENES'!$A665="","",IF('ORDENES'!$M665="",0,'ORDENES'!$M665))</f>
        <v/>
      </c>
      <c r="M687" s="3">
        <f>IF('ORDENES'!$A665="","",IF('ORDENES'!$N665="","-",'ORDENES'!$N665))</f>
        <v/>
      </c>
      <c r="N687" s="3">
        <f>IF('ORDENES'!$A665="","",'ORDENES'!$AD665)</f>
        <v/>
      </c>
    </row>
    <row r="688">
      <c r="A688" s="3">
        <f>IF('ORDENES'!$A666="","",IF('ORDENES'!$O666="","-",'ORDENES'!$O666))</f>
        <v/>
      </c>
      <c r="B688" s="3">
        <f>IF('ORDENES'!$A666="","",IF('ORDENES'!$R666="","-",'ORDENES'!$R666))</f>
        <v/>
      </c>
      <c r="C688" s="3">
        <f>IF('ORDENES'!$A666="","",IF('ORDENES'!$AF666="","-",'ORDENES'!$AF666))</f>
        <v/>
      </c>
      <c r="D688" s="3">
        <f>IF('ORDENES'!$A666="","",IF('ORDENES'!$X666="","-",'ORDENES'!$X666))</f>
        <v/>
      </c>
      <c r="E688" s="3">
        <f>IF('ORDENES'!$A666="","",IF('ORDENES'!$V666="","-",'ORDENES'!$V666))</f>
        <v/>
      </c>
      <c r="F688" s="3">
        <f>IF('ORDENES'!$A666="","",IF('ORDENES'!$Y666="","-",'ORDENES'!$Y666))</f>
        <v/>
      </c>
      <c r="G688" s="3">
        <f>IF('ORDENES'!$A666="","",IF('ORDENES'!$W666="","-",'ORDENES'!$W666))</f>
        <v/>
      </c>
      <c r="H688" s="3">
        <f>IF('ORDENES'!$A666="","",IF('ORDENES'!$AE666="","-",'ORDENES'!$AE666))</f>
        <v/>
      </c>
      <c r="I688" s="3">
        <f>IF('ORDENES'!$A666="","",IF('ORDENES'!$AQ666="","-",'ORDENES'!$AQ666))</f>
        <v/>
      </c>
      <c r="J688" s="3">
        <f>IF('ORDENES'!$A666="","",IF('ORDENES'!$D666="","-",'ORDENES'!$D666))</f>
        <v/>
      </c>
      <c r="K688" s="3">
        <f>IF('ORDENES'!$A666="","",IF('ORDENES'!$E666="","-",'ORDENES'!$E666))</f>
        <v/>
      </c>
      <c r="L688" s="13">
        <f>IF('ORDENES'!$A666="","",IF('ORDENES'!$M666="",0,'ORDENES'!$M666))</f>
        <v/>
      </c>
      <c r="M688" s="3">
        <f>IF('ORDENES'!$A666="","",IF('ORDENES'!$N666="","-",'ORDENES'!$N666))</f>
        <v/>
      </c>
      <c r="N688" s="3">
        <f>IF('ORDENES'!$A666="","",'ORDENES'!$AD666)</f>
        <v/>
      </c>
    </row>
    <row r="689">
      <c r="A689" s="3">
        <f>IF('ORDENES'!$A667="","",IF('ORDENES'!$O667="","-",'ORDENES'!$O667))</f>
        <v/>
      </c>
      <c r="B689" s="3">
        <f>IF('ORDENES'!$A667="","",IF('ORDENES'!$R667="","-",'ORDENES'!$R667))</f>
        <v/>
      </c>
      <c r="C689" s="3">
        <f>IF('ORDENES'!$A667="","",IF('ORDENES'!$AF667="","-",'ORDENES'!$AF667))</f>
        <v/>
      </c>
      <c r="D689" s="3">
        <f>IF('ORDENES'!$A667="","",IF('ORDENES'!$X667="","-",'ORDENES'!$X667))</f>
        <v/>
      </c>
      <c r="E689" s="3">
        <f>IF('ORDENES'!$A667="","",IF('ORDENES'!$V667="","-",'ORDENES'!$V667))</f>
        <v/>
      </c>
      <c r="F689" s="3">
        <f>IF('ORDENES'!$A667="","",IF('ORDENES'!$Y667="","-",'ORDENES'!$Y667))</f>
        <v/>
      </c>
      <c r="G689" s="3">
        <f>IF('ORDENES'!$A667="","",IF('ORDENES'!$W667="","-",'ORDENES'!$W667))</f>
        <v/>
      </c>
      <c r="H689" s="3">
        <f>IF('ORDENES'!$A667="","",IF('ORDENES'!$AE667="","-",'ORDENES'!$AE667))</f>
        <v/>
      </c>
      <c r="I689" s="3">
        <f>IF('ORDENES'!$A667="","",IF('ORDENES'!$AQ667="","-",'ORDENES'!$AQ667))</f>
        <v/>
      </c>
      <c r="J689" s="3">
        <f>IF('ORDENES'!$A667="","",IF('ORDENES'!$D667="","-",'ORDENES'!$D667))</f>
        <v/>
      </c>
      <c r="K689" s="3">
        <f>IF('ORDENES'!$A667="","",IF('ORDENES'!$E667="","-",'ORDENES'!$E667))</f>
        <v/>
      </c>
      <c r="L689" s="13">
        <f>IF('ORDENES'!$A667="","",IF('ORDENES'!$M667="",0,'ORDENES'!$M667))</f>
        <v/>
      </c>
      <c r="M689" s="3">
        <f>IF('ORDENES'!$A667="","",IF('ORDENES'!$N667="","-",'ORDENES'!$N667))</f>
        <v/>
      </c>
      <c r="N689" s="3">
        <f>IF('ORDENES'!$A667="","",'ORDENES'!$AD667)</f>
        <v/>
      </c>
    </row>
    <row r="690">
      <c r="A690" s="3">
        <f>IF('ORDENES'!$A668="","",IF('ORDENES'!$O668="","-",'ORDENES'!$O668))</f>
        <v/>
      </c>
      <c r="B690" s="3">
        <f>IF('ORDENES'!$A668="","",IF('ORDENES'!$R668="","-",'ORDENES'!$R668))</f>
        <v/>
      </c>
      <c r="C690" s="3">
        <f>IF('ORDENES'!$A668="","",IF('ORDENES'!$AF668="","-",'ORDENES'!$AF668))</f>
        <v/>
      </c>
      <c r="D690" s="3">
        <f>IF('ORDENES'!$A668="","",IF('ORDENES'!$X668="","-",'ORDENES'!$X668))</f>
        <v/>
      </c>
      <c r="E690" s="3">
        <f>IF('ORDENES'!$A668="","",IF('ORDENES'!$V668="","-",'ORDENES'!$V668))</f>
        <v/>
      </c>
      <c r="F690" s="3">
        <f>IF('ORDENES'!$A668="","",IF('ORDENES'!$Y668="","-",'ORDENES'!$Y668))</f>
        <v/>
      </c>
      <c r="G690" s="3">
        <f>IF('ORDENES'!$A668="","",IF('ORDENES'!$W668="","-",'ORDENES'!$W668))</f>
        <v/>
      </c>
      <c r="H690" s="3">
        <f>IF('ORDENES'!$A668="","",IF('ORDENES'!$AE668="","-",'ORDENES'!$AE668))</f>
        <v/>
      </c>
      <c r="I690" s="3">
        <f>IF('ORDENES'!$A668="","",IF('ORDENES'!$AQ668="","-",'ORDENES'!$AQ668))</f>
        <v/>
      </c>
      <c r="J690" s="3">
        <f>IF('ORDENES'!$A668="","",IF('ORDENES'!$D668="","-",'ORDENES'!$D668))</f>
        <v/>
      </c>
      <c r="K690" s="3">
        <f>IF('ORDENES'!$A668="","",IF('ORDENES'!$E668="","-",'ORDENES'!$E668))</f>
        <v/>
      </c>
      <c r="L690" s="13">
        <f>IF('ORDENES'!$A668="","",IF('ORDENES'!$M668="",0,'ORDENES'!$M668))</f>
        <v/>
      </c>
      <c r="M690" s="3">
        <f>IF('ORDENES'!$A668="","",IF('ORDENES'!$N668="","-",'ORDENES'!$N668))</f>
        <v/>
      </c>
      <c r="N690" s="3">
        <f>IF('ORDENES'!$A668="","",'ORDENES'!$AD668)</f>
        <v/>
      </c>
    </row>
    <row r="691">
      <c r="A691" s="3">
        <f>IF('ORDENES'!$A669="","",IF('ORDENES'!$O669="","-",'ORDENES'!$O669))</f>
        <v/>
      </c>
      <c r="B691" s="3">
        <f>IF('ORDENES'!$A669="","",IF('ORDENES'!$R669="","-",'ORDENES'!$R669))</f>
        <v/>
      </c>
      <c r="C691" s="3">
        <f>IF('ORDENES'!$A669="","",IF('ORDENES'!$AF669="","-",'ORDENES'!$AF669))</f>
        <v/>
      </c>
      <c r="D691" s="3">
        <f>IF('ORDENES'!$A669="","",IF('ORDENES'!$X669="","-",'ORDENES'!$X669))</f>
        <v/>
      </c>
      <c r="E691" s="3">
        <f>IF('ORDENES'!$A669="","",IF('ORDENES'!$V669="","-",'ORDENES'!$V669))</f>
        <v/>
      </c>
      <c r="F691" s="3">
        <f>IF('ORDENES'!$A669="","",IF('ORDENES'!$Y669="","-",'ORDENES'!$Y669))</f>
        <v/>
      </c>
      <c r="G691" s="3">
        <f>IF('ORDENES'!$A669="","",IF('ORDENES'!$W669="","-",'ORDENES'!$W669))</f>
        <v/>
      </c>
      <c r="H691" s="3">
        <f>IF('ORDENES'!$A669="","",IF('ORDENES'!$AE669="","-",'ORDENES'!$AE669))</f>
        <v/>
      </c>
      <c r="I691" s="3">
        <f>IF('ORDENES'!$A669="","",IF('ORDENES'!$AQ669="","-",'ORDENES'!$AQ669))</f>
        <v/>
      </c>
      <c r="J691" s="3">
        <f>IF('ORDENES'!$A669="","",IF('ORDENES'!$D669="","-",'ORDENES'!$D669))</f>
        <v/>
      </c>
      <c r="K691" s="3">
        <f>IF('ORDENES'!$A669="","",IF('ORDENES'!$E669="","-",'ORDENES'!$E669))</f>
        <v/>
      </c>
      <c r="L691" s="13">
        <f>IF('ORDENES'!$A669="","",IF('ORDENES'!$M669="",0,'ORDENES'!$M669))</f>
        <v/>
      </c>
      <c r="M691" s="3">
        <f>IF('ORDENES'!$A669="","",IF('ORDENES'!$N669="","-",'ORDENES'!$N669))</f>
        <v/>
      </c>
      <c r="N691" s="3">
        <f>IF('ORDENES'!$A669="","",'ORDENES'!$AD669)</f>
        <v/>
      </c>
    </row>
    <row r="692">
      <c r="A692" s="3">
        <f>IF('ORDENES'!$A670="","",IF('ORDENES'!$O670="","-",'ORDENES'!$O670))</f>
        <v/>
      </c>
      <c r="B692" s="3">
        <f>IF('ORDENES'!$A670="","",IF('ORDENES'!$R670="","-",'ORDENES'!$R670))</f>
        <v/>
      </c>
      <c r="C692" s="3">
        <f>IF('ORDENES'!$A670="","",IF('ORDENES'!$AF670="","-",'ORDENES'!$AF670))</f>
        <v/>
      </c>
      <c r="D692" s="3">
        <f>IF('ORDENES'!$A670="","",IF('ORDENES'!$X670="","-",'ORDENES'!$X670))</f>
        <v/>
      </c>
      <c r="E692" s="3">
        <f>IF('ORDENES'!$A670="","",IF('ORDENES'!$V670="","-",'ORDENES'!$V670))</f>
        <v/>
      </c>
      <c r="F692" s="3">
        <f>IF('ORDENES'!$A670="","",IF('ORDENES'!$Y670="","-",'ORDENES'!$Y670))</f>
        <v/>
      </c>
      <c r="G692" s="3">
        <f>IF('ORDENES'!$A670="","",IF('ORDENES'!$W670="","-",'ORDENES'!$W670))</f>
        <v/>
      </c>
      <c r="H692" s="3">
        <f>IF('ORDENES'!$A670="","",IF('ORDENES'!$AE670="","-",'ORDENES'!$AE670))</f>
        <v/>
      </c>
      <c r="I692" s="3">
        <f>IF('ORDENES'!$A670="","",IF('ORDENES'!$AQ670="","-",'ORDENES'!$AQ670))</f>
        <v/>
      </c>
      <c r="J692" s="3">
        <f>IF('ORDENES'!$A670="","",IF('ORDENES'!$D670="","-",'ORDENES'!$D670))</f>
        <v/>
      </c>
      <c r="K692" s="3">
        <f>IF('ORDENES'!$A670="","",IF('ORDENES'!$E670="","-",'ORDENES'!$E670))</f>
        <v/>
      </c>
      <c r="L692" s="13">
        <f>IF('ORDENES'!$A670="","",IF('ORDENES'!$M670="",0,'ORDENES'!$M670))</f>
        <v/>
      </c>
      <c r="M692" s="3">
        <f>IF('ORDENES'!$A670="","",IF('ORDENES'!$N670="","-",'ORDENES'!$N670))</f>
        <v/>
      </c>
      <c r="N692" s="3">
        <f>IF('ORDENES'!$A670="","",'ORDENES'!$AD670)</f>
        <v/>
      </c>
    </row>
    <row r="693">
      <c r="A693" s="3">
        <f>IF('ORDENES'!$A671="","",IF('ORDENES'!$O671="","-",'ORDENES'!$O671))</f>
        <v/>
      </c>
      <c r="B693" s="3">
        <f>IF('ORDENES'!$A671="","",IF('ORDENES'!$R671="","-",'ORDENES'!$R671))</f>
        <v/>
      </c>
      <c r="C693" s="3">
        <f>IF('ORDENES'!$A671="","",IF('ORDENES'!$AF671="","-",'ORDENES'!$AF671))</f>
        <v/>
      </c>
      <c r="D693" s="3">
        <f>IF('ORDENES'!$A671="","",IF('ORDENES'!$X671="","-",'ORDENES'!$X671))</f>
        <v/>
      </c>
      <c r="E693" s="3">
        <f>IF('ORDENES'!$A671="","",IF('ORDENES'!$V671="","-",'ORDENES'!$V671))</f>
        <v/>
      </c>
      <c r="F693" s="3">
        <f>IF('ORDENES'!$A671="","",IF('ORDENES'!$Y671="","-",'ORDENES'!$Y671))</f>
        <v/>
      </c>
      <c r="G693" s="3">
        <f>IF('ORDENES'!$A671="","",IF('ORDENES'!$W671="","-",'ORDENES'!$W671))</f>
        <v/>
      </c>
      <c r="H693" s="3">
        <f>IF('ORDENES'!$A671="","",IF('ORDENES'!$AE671="","-",'ORDENES'!$AE671))</f>
        <v/>
      </c>
      <c r="I693" s="3">
        <f>IF('ORDENES'!$A671="","",IF('ORDENES'!$AQ671="","-",'ORDENES'!$AQ671))</f>
        <v/>
      </c>
      <c r="J693" s="3">
        <f>IF('ORDENES'!$A671="","",IF('ORDENES'!$D671="","-",'ORDENES'!$D671))</f>
        <v/>
      </c>
      <c r="K693" s="3">
        <f>IF('ORDENES'!$A671="","",IF('ORDENES'!$E671="","-",'ORDENES'!$E671))</f>
        <v/>
      </c>
      <c r="L693" s="13">
        <f>IF('ORDENES'!$A671="","",IF('ORDENES'!$M671="",0,'ORDENES'!$M671))</f>
        <v/>
      </c>
      <c r="M693" s="3">
        <f>IF('ORDENES'!$A671="","",IF('ORDENES'!$N671="","-",'ORDENES'!$N671))</f>
        <v/>
      </c>
      <c r="N693" s="3">
        <f>IF('ORDENES'!$A671="","",'ORDENES'!$AD671)</f>
        <v/>
      </c>
    </row>
    <row r="694">
      <c r="A694" s="3">
        <f>IF('ORDENES'!$A672="","",IF('ORDENES'!$O672="","-",'ORDENES'!$O672))</f>
        <v/>
      </c>
      <c r="B694" s="3">
        <f>IF('ORDENES'!$A672="","",IF('ORDENES'!$R672="","-",'ORDENES'!$R672))</f>
        <v/>
      </c>
      <c r="C694" s="3">
        <f>IF('ORDENES'!$A672="","",IF('ORDENES'!$AF672="","-",'ORDENES'!$AF672))</f>
        <v/>
      </c>
      <c r="D694" s="3">
        <f>IF('ORDENES'!$A672="","",IF('ORDENES'!$X672="","-",'ORDENES'!$X672))</f>
        <v/>
      </c>
      <c r="E694" s="3">
        <f>IF('ORDENES'!$A672="","",IF('ORDENES'!$V672="","-",'ORDENES'!$V672))</f>
        <v/>
      </c>
      <c r="F694" s="3">
        <f>IF('ORDENES'!$A672="","",IF('ORDENES'!$Y672="","-",'ORDENES'!$Y672))</f>
        <v/>
      </c>
      <c r="G694" s="3">
        <f>IF('ORDENES'!$A672="","",IF('ORDENES'!$W672="","-",'ORDENES'!$W672))</f>
        <v/>
      </c>
      <c r="H694" s="3">
        <f>IF('ORDENES'!$A672="","",IF('ORDENES'!$AE672="","-",'ORDENES'!$AE672))</f>
        <v/>
      </c>
      <c r="I694" s="3">
        <f>IF('ORDENES'!$A672="","",IF('ORDENES'!$AQ672="","-",'ORDENES'!$AQ672))</f>
        <v/>
      </c>
      <c r="J694" s="3">
        <f>IF('ORDENES'!$A672="","",IF('ORDENES'!$D672="","-",'ORDENES'!$D672))</f>
        <v/>
      </c>
      <c r="K694" s="3">
        <f>IF('ORDENES'!$A672="","",IF('ORDENES'!$E672="","-",'ORDENES'!$E672))</f>
        <v/>
      </c>
      <c r="L694" s="13">
        <f>IF('ORDENES'!$A672="","",IF('ORDENES'!$M672="",0,'ORDENES'!$M672))</f>
        <v/>
      </c>
      <c r="M694" s="3">
        <f>IF('ORDENES'!$A672="","",IF('ORDENES'!$N672="","-",'ORDENES'!$N672))</f>
        <v/>
      </c>
      <c r="N694" s="3">
        <f>IF('ORDENES'!$A672="","",'ORDENES'!$AD672)</f>
        <v/>
      </c>
    </row>
    <row r="695">
      <c r="A695" s="3">
        <f>IF('ORDENES'!$A673="","",IF('ORDENES'!$O673="","-",'ORDENES'!$O673))</f>
        <v/>
      </c>
      <c r="B695" s="3">
        <f>IF('ORDENES'!$A673="","",IF('ORDENES'!$R673="","-",'ORDENES'!$R673))</f>
        <v/>
      </c>
      <c r="C695" s="3">
        <f>IF('ORDENES'!$A673="","",IF('ORDENES'!$AF673="","-",'ORDENES'!$AF673))</f>
        <v/>
      </c>
      <c r="D695" s="3">
        <f>IF('ORDENES'!$A673="","",IF('ORDENES'!$X673="","-",'ORDENES'!$X673))</f>
        <v/>
      </c>
      <c r="E695" s="3">
        <f>IF('ORDENES'!$A673="","",IF('ORDENES'!$V673="","-",'ORDENES'!$V673))</f>
        <v/>
      </c>
      <c r="F695" s="3">
        <f>IF('ORDENES'!$A673="","",IF('ORDENES'!$Y673="","-",'ORDENES'!$Y673))</f>
        <v/>
      </c>
      <c r="G695" s="3">
        <f>IF('ORDENES'!$A673="","",IF('ORDENES'!$W673="","-",'ORDENES'!$W673))</f>
        <v/>
      </c>
      <c r="H695" s="3">
        <f>IF('ORDENES'!$A673="","",IF('ORDENES'!$AE673="","-",'ORDENES'!$AE673))</f>
        <v/>
      </c>
      <c r="I695" s="3">
        <f>IF('ORDENES'!$A673="","",IF('ORDENES'!$AQ673="","-",'ORDENES'!$AQ673))</f>
        <v/>
      </c>
      <c r="J695" s="3">
        <f>IF('ORDENES'!$A673="","",IF('ORDENES'!$D673="","-",'ORDENES'!$D673))</f>
        <v/>
      </c>
      <c r="K695" s="3">
        <f>IF('ORDENES'!$A673="","",IF('ORDENES'!$E673="","-",'ORDENES'!$E673))</f>
        <v/>
      </c>
      <c r="L695" s="13">
        <f>IF('ORDENES'!$A673="","",IF('ORDENES'!$M673="",0,'ORDENES'!$M673))</f>
        <v/>
      </c>
      <c r="M695" s="3">
        <f>IF('ORDENES'!$A673="","",IF('ORDENES'!$N673="","-",'ORDENES'!$N673))</f>
        <v/>
      </c>
      <c r="N695" s="3">
        <f>IF('ORDENES'!$A673="","",'ORDENES'!$AD673)</f>
        <v/>
      </c>
    </row>
    <row r="696">
      <c r="A696" s="3">
        <f>IF('ORDENES'!$A674="","",IF('ORDENES'!$O674="","-",'ORDENES'!$O674))</f>
        <v/>
      </c>
      <c r="B696" s="3">
        <f>IF('ORDENES'!$A674="","",IF('ORDENES'!$R674="","-",'ORDENES'!$R674))</f>
        <v/>
      </c>
      <c r="C696" s="3">
        <f>IF('ORDENES'!$A674="","",IF('ORDENES'!$AF674="","-",'ORDENES'!$AF674))</f>
        <v/>
      </c>
      <c r="D696" s="3">
        <f>IF('ORDENES'!$A674="","",IF('ORDENES'!$X674="","-",'ORDENES'!$X674))</f>
        <v/>
      </c>
      <c r="E696" s="3">
        <f>IF('ORDENES'!$A674="","",IF('ORDENES'!$V674="","-",'ORDENES'!$V674))</f>
        <v/>
      </c>
      <c r="F696" s="3">
        <f>IF('ORDENES'!$A674="","",IF('ORDENES'!$Y674="","-",'ORDENES'!$Y674))</f>
        <v/>
      </c>
      <c r="G696" s="3">
        <f>IF('ORDENES'!$A674="","",IF('ORDENES'!$W674="","-",'ORDENES'!$W674))</f>
        <v/>
      </c>
      <c r="H696" s="3">
        <f>IF('ORDENES'!$A674="","",IF('ORDENES'!$AE674="","-",'ORDENES'!$AE674))</f>
        <v/>
      </c>
      <c r="I696" s="3">
        <f>IF('ORDENES'!$A674="","",IF('ORDENES'!$AQ674="","-",'ORDENES'!$AQ674))</f>
        <v/>
      </c>
      <c r="J696" s="3">
        <f>IF('ORDENES'!$A674="","",IF('ORDENES'!$D674="","-",'ORDENES'!$D674))</f>
        <v/>
      </c>
      <c r="K696" s="3">
        <f>IF('ORDENES'!$A674="","",IF('ORDENES'!$E674="","-",'ORDENES'!$E674))</f>
        <v/>
      </c>
      <c r="L696" s="13">
        <f>IF('ORDENES'!$A674="","",IF('ORDENES'!$M674="",0,'ORDENES'!$M674))</f>
        <v/>
      </c>
      <c r="M696" s="3">
        <f>IF('ORDENES'!$A674="","",IF('ORDENES'!$N674="","-",'ORDENES'!$N674))</f>
        <v/>
      </c>
      <c r="N696" s="3">
        <f>IF('ORDENES'!$A674="","",'ORDENES'!$AD674)</f>
        <v/>
      </c>
    </row>
    <row r="697">
      <c r="A697" s="3">
        <f>IF('ORDENES'!$A675="","",IF('ORDENES'!$O675="","-",'ORDENES'!$O675))</f>
        <v/>
      </c>
      <c r="B697" s="3">
        <f>IF('ORDENES'!$A675="","",IF('ORDENES'!$R675="","-",'ORDENES'!$R675))</f>
        <v/>
      </c>
      <c r="C697" s="3">
        <f>IF('ORDENES'!$A675="","",IF('ORDENES'!$AF675="","-",'ORDENES'!$AF675))</f>
        <v/>
      </c>
      <c r="D697" s="3">
        <f>IF('ORDENES'!$A675="","",IF('ORDENES'!$X675="","-",'ORDENES'!$X675))</f>
        <v/>
      </c>
      <c r="E697" s="3">
        <f>IF('ORDENES'!$A675="","",IF('ORDENES'!$V675="","-",'ORDENES'!$V675))</f>
        <v/>
      </c>
      <c r="F697" s="3">
        <f>IF('ORDENES'!$A675="","",IF('ORDENES'!$Y675="","-",'ORDENES'!$Y675))</f>
        <v/>
      </c>
      <c r="G697" s="3">
        <f>IF('ORDENES'!$A675="","",IF('ORDENES'!$W675="","-",'ORDENES'!$W675))</f>
        <v/>
      </c>
      <c r="H697" s="3">
        <f>IF('ORDENES'!$A675="","",IF('ORDENES'!$AE675="","-",'ORDENES'!$AE675))</f>
        <v/>
      </c>
      <c r="I697" s="3">
        <f>IF('ORDENES'!$A675="","",IF('ORDENES'!$AQ675="","-",'ORDENES'!$AQ675))</f>
        <v/>
      </c>
      <c r="J697" s="3">
        <f>IF('ORDENES'!$A675="","",IF('ORDENES'!$D675="","-",'ORDENES'!$D675))</f>
        <v/>
      </c>
      <c r="K697" s="3">
        <f>IF('ORDENES'!$A675="","",IF('ORDENES'!$E675="","-",'ORDENES'!$E675))</f>
        <v/>
      </c>
      <c r="L697" s="13">
        <f>IF('ORDENES'!$A675="","",IF('ORDENES'!$M675="",0,'ORDENES'!$M675))</f>
        <v/>
      </c>
      <c r="M697" s="3">
        <f>IF('ORDENES'!$A675="","",IF('ORDENES'!$N675="","-",'ORDENES'!$N675))</f>
        <v/>
      </c>
      <c r="N697" s="3">
        <f>IF('ORDENES'!$A675="","",'ORDENES'!$AD675)</f>
        <v/>
      </c>
    </row>
    <row r="698">
      <c r="A698" s="3">
        <f>IF('ORDENES'!$A676="","",IF('ORDENES'!$O676="","-",'ORDENES'!$O676))</f>
        <v/>
      </c>
      <c r="B698" s="3">
        <f>IF('ORDENES'!$A676="","",IF('ORDENES'!$R676="","-",'ORDENES'!$R676))</f>
        <v/>
      </c>
      <c r="C698" s="3">
        <f>IF('ORDENES'!$A676="","",IF('ORDENES'!$AF676="","-",'ORDENES'!$AF676))</f>
        <v/>
      </c>
      <c r="D698" s="3">
        <f>IF('ORDENES'!$A676="","",IF('ORDENES'!$X676="","-",'ORDENES'!$X676))</f>
        <v/>
      </c>
      <c r="E698" s="3">
        <f>IF('ORDENES'!$A676="","",IF('ORDENES'!$V676="","-",'ORDENES'!$V676))</f>
        <v/>
      </c>
      <c r="F698" s="3">
        <f>IF('ORDENES'!$A676="","",IF('ORDENES'!$Y676="","-",'ORDENES'!$Y676))</f>
        <v/>
      </c>
      <c r="G698" s="3">
        <f>IF('ORDENES'!$A676="","",IF('ORDENES'!$W676="","-",'ORDENES'!$W676))</f>
        <v/>
      </c>
      <c r="H698" s="3">
        <f>IF('ORDENES'!$A676="","",IF('ORDENES'!$AE676="","-",'ORDENES'!$AE676))</f>
        <v/>
      </c>
      <c r="I698" s="3">
        <f>IF('ORDENES'!$A676="","",IF('ORDENES'!$AQ676="","-",'ORDENES'!$AQ676))</f>
        <v/>
      </c>
      <c r="J698" s="3">
        <f>IF('ORDENES'!$A676="","",IF('ORDENES'!$D676="","-",'ORDENES'!$D676))</f>
        <v/>
      </c>
      <c r="K698" s="3">
        <f>IF('ORDENES'!$A676="","",IF('ORDENES'!$E676="","-",'ORDENES'!$E676))</f>
        <v/>
      </c>
      <c r="L698" s="13">
        <f>IF('ORDENES'!$A676="","",IF('ORDENES'!$M676="",0,'ORDENES'!$M676))</f>
        <v/>
      </c>
      <c r="M698" s="3">
        <f>IF('ORDENES'!$A676="","",IF('ORDENES'!$N676="","-",'ORDENES'!$N676))</f>
        <v/>
      </c>
      <c r="N698" s="3">
        <f>IF('ORDENES'!$A676="","",'ORDENES'!$AD676)</f>
        <v/>
      </c>
    </row>
    <row r="699">
      <c r="A699" s="3">
        <f>IF('ORDENES'!$A677="","",IF('ORDENES'!$O677="","-",'ORDENES'!$O677))</f>
        <v/>
      </c>
      <c r="B699" s="3">
        <f>IF('ORDENES'!$A677="","",IF('ORDENES'!$R677="","-",'ORDENES'!$R677))</f>
        <v/>
      </c>
      <c r="C699" s="3">
        <f>IF('ORDENES'!$A677="","",IF('ORDENES'!$AF677="","-",'ORDENES'!$AF677))</f>
        <v/>
      </c>
      <c r="D699" s="3">
        <f>IF('ORDENES'!$A677="","",IF('ORDENES'!$X677="","-",'ORDENES'!$X677))</f>
        <v/>
      </c>
      <c r="E699" s="3">
        <f>IF('ORDENES'!$A677="","",IF('ORDENES'!$V677="","-",'ORDENES'!$V677))</f>
        <v/>
      </c>
      <c r="F699" s="3">
        <f>IF('ORDENES'!$A677="","",IF('ORDENES'!$Y677="","-",'ORDENES'!$Y677))</f>
        <v/>
      </c>
      <c r="G699" s="3">
        <f>IF('ORDENES'!$A677="","",IF('ORDENES'!$W677="","-",'ORDENES'!$W677))</f>
        <v/>
      </c>
      <c r="H699" s="3">
        <f>IF('ORDENES'!$A677="","",IF('ORDENES'!$AE677="","-",'ORDENES'!$AE677))</f>
        <v/>
      </c>
      <c r="I699" s="3">
        <f>IF('ORDENES'!$A677="","",IF('ORDENES'!$AQ677="","-",'ORDENES'!$AQ677))</f>
        <v/>
      </c>
      <c r="J699" s="3">
        <f>IF('ORDENES'!$A677="","",IF('ORDENES'!$D677="","-",'ORDENES'!$D677))</f>
        <v/>
      </c>
      <c r="K699" s="3">
        <f>IF('ORDENES'!$A677="","",IF('ORDENES'!$E677="","-",'ORDENES'!$E677))</f>
        <v/>
      </c>
      <c r="L699" s="13">
        <f>IF('ORDENES'!$A677="","",IF('ORDENES'!$M677="",0,'ORDENES'!$M677))</f>
        <v/>
      </c>
      <c r="M699" s="3">
        <f>IF('ORDENES'!$A677="","",IF('ORDENES'!$N677="","-",'ORDENES'!$N677))</f>
        <v/>
      </c>
      <c r="N699" s="3">
        <f>IF('ORDENES'!$A677="","",'ORDENES'!$AD677)</f>
        <v/>
      </c>
    </row>
    <row r="700">
      <c r="A700" s="3">
        <f>IF('ORDENES'!$A678="","",IF('ORDENES'!$O678="","-",'ORDENES'!$O678))</f>
        <v/>
      </c>
      <c r="B700" s="3">
        <f>IF('ORDENES'!$A678="","",IF('ORDENES'!$R678="","-",'ORDENES'!$R678))</f>
        <v/>
      </c>
      <c r="C700" s="3">
        <f>IF('ORDENES'!$A678="","",IF('ORDENES'!$AF678="","-",'ORDENES'!$AF678))</f>
        <v/>
      </c>
      <c r="D700" s="3">
        <f>IF('ORDENES'!$A678="","",IF('ORDENES'!$X678="","-",'ORDENES'!$X678))</f>
        <v/>
      </c>
      <c r="E700" s="3">
        <f>IF('ORDENES'!$A678="","",IF('ORDENES'!$V678="","-",'ORDENES'!$V678))</f>
        <v/>
      </c>
      <c r="F700" s="3">
        <f>IF('ORDENES'!$A678="","",IF('ORDENES'!$Y678="","-",'ORDENES'!$Y678))</f>
        <v/>
      </c>
      <c r="G700" s="3">
        <f>IF('ORDENES'!$A678="","",IF('ORDENES'!$W678="","-",'ORDENES'!$W678))</f>
        <v/>
      </c>
      <c r="H700" s="3">
        <f>IF('ORDENES'!$A678="","",IF('ORDENES'!$AE678="","-",'ORDENES'!$AE678))</f>
        <v/>
      </c>
      <c r="I700" s="3">
        <f>IF('ORDENES'!$A678="","",IF('ORDENES'!$AQ678="","-",'ORDENES'!$AQ678))</f>
        <v/>
      </c>
      <c r="J700" s="3">
        <f>IF('ORDENES'!$A678="","",IF('ORDENES'!$D678="","-",'ORDENES'!$D678))</f>
        <v/>
      </c>
      <c r="K700" s="3">
        <f>IF('ORDENES'!$A678="","",IF('ORDENES'!$E678="","-",'ORDENES'!$E678))</f>
        <v/>
      </c>
      <c r="L700" s="13">
        <f>IF('ORDENES'!$A678="","",IF('ORDENES'!$M678="",0,'ORDENES'!$M678))</f>
        <v/>
      </c>
      <c r="M700" s="3">
        <f>IF('ORDENES'!$A678="","",IF('ORDENES'!$N678="","-",'ORDENES'!$N678))</f>
        <v/>
      </c>
      <c r="N700" s="3">
        <f>IF('ORDENES'!$A678="","",'ORDENES'!$AD678)</f>
        <v/>
      </c>
    </row>
    <row r="701">
      <c r="A701" s="3">
        <f>IF('ORDENES'!$A679="","",IF('ORDENES'!$O679="","-",'ORDENES'!$O679))</f>
        <v/>
      </c>
      <c r="B701" s="3">
        <f>IF('ORDENES'!$A679="","",IF('ORDENES'!$R679="","-",'ORDENES'!$R679))</f>
        <v/>
      </c>
      <c r="C701" s="3">
        <f>IF('ORDENES'!$A679="","",IF('ORDENES'!$AF679="","-",'ORDENES'!$AF679))</f>
        <v/>
      </c>
      <c r="D701" s="3">
        <f>IF('ORDENES'!$A679="","",IF('ORDENES'!$X679="","-",'ORDENES'!$X679))</f>
        <v/>
      </c>
      <c r="E701" s="3">
        <f>IF('ORDENES'!$A679="","",IF('ORDENES'!$V679="","-",'ORDENES'!$V679))</f>
        <v/>
      </c>
      <c r="F701" s="3">
        <f>IF('ORDENES'!$A679="","",IF('ORDENES'!$Y679="","-",'ORDENES'!$Y679))</f>
        <v/>
      </c>
      <c r="G701" s="3">
        <f>IF('ORDENES'!$A679="","",IF('ORDENES'!$W679="","-",'ORDENES'!$W679))</f>
        <v/>
      </c>
      <c r="H701" s="3">
        <f>IF('ORDENES'!$A679="","",IF('ORDENES'!$AE679="","-",'ORDENES'!$AE679))</f>
        <v/>
      </c>
      <c r="I701" s="3">
        <f>IF('ORDENES'!$A679="","",IF('ORDENES'!$AQ679="","-",'ORDENES'!$AQ679))</f>
        <v/>
      </c>
      <c r="J701" s="3">
        <f>IF('ORDENES'!$A679="","",IF('ORDENES'!$D679="","-",'ORDENES'!$D679))</f>
        <v/>
      </c>
      <c r="K701" s="3">
        <f>IF('ORDENES'!$A679="","",IF('ORDENES'!$E679="","-",'ORDENES'!$E679))</f>
        <v/>
      </c>
      <c r="L701" s="13">
        <f>IF('ORDENES'!$A679="","",IF('ORDENES'!$M679="",0,'ORDENES'!$M679))</f>
        <v/>
      </c>
      <c r="M701" s="3">
        <f>IF('ORDENES'!$A679="","",IF('ORDENES'!$N679="","-",'ORDENES'!$N679))</f>
        <v/>
      </c>
      <c r="N701" s="3">
        <f>IF('ORDENES'!$A679="","",'ORDENES'!$AD679)</f>
        <v/>
      </c>
    </row>
    <row r="702">
      <c r="A702" s="3">
        <f>IF('ORDENES'!$A680="","",IF('ORDENES'!$O680="","-",'ORDENES'!$O680))</f>
        <v/>
      </c>
      <c r="B702" s="3">
        <f>IF('ORDENES'!$A680="","",IF('ORDENES'!$R680="","-",'ORDENES'!$R680))</f>
        <v/>
      </c>
      <c r="C702" s="3">
        <f>IF('ORDENES'!$A680="","",IF('ORDENES'!$AF680="","-",'ORDENES'!$AF680))</f>
        <v/>
      </c>
      <c r="D702" s="3">
        <f>IF('ORDENES'!$A680="","",IF('ORDENES'!$X680="","-",'ORDENES'!$X680))</f>
        <v/>
      </c>
      <c r="E702" s="3">
        <f>IF('ORDENES'!$A680="","",IF('ORDENES'!$V680="","-",'ORDENES'!$V680))</f>
        <v/>
      </c>
      <c r="F702" s="3">
        <f>IF('ORDENES'!$A680="","",IF('ORDENES'!$Y680="","-",'ORDENES'!$Y680))</f>
        <v/>
      </c>
      <c r="G702" s="3">
        <f>IF('ORDENES'!$A680="","",IF('ORDENES'!$W680="","-",'ORDENES'!$W680))</f>
        <v/>
      </c>
      <c r="H702" s="3">
        <f>IF('ORDENES'!$A680="","",IF('ORDENES'!$AE680="","-",'ORDENES'!$AE680))</f>
        <v/>
      </c>
      <c r="I702" s="3">
        <f>IF('ORDENES'!$A680="","",IF('ORDENES'!$AQ680="","-",'ORDENES'!$AQ680))</f>
        <v/>
      </c>
      <c r="J702" s="3">
        <f>IF('ORDENES'!$A680="","",IF('ORDENES'!$D680="","-",'ORDENES'!$D680))</f>
        <v/>
      </c>
      <c r="K702" s="3">
        <f>IF('ORDENES'!$A680="","",IF('ORDENES'!$E680="","-",'ORDENES'!$E680))</f>
        <v/>
      </c>
      <c r="L702" s="13">
        <f>IF('ORDENES'!$A680="","",IF('ORDENES'!$M680="",0,'ORDENES'!$M680))</f>
        <v/>
      </c>
      <c r="M702" s="3">
        <f>IF('ORDENES'!$A680="","",IF('ORDENES'!$N680="","-",'ORDENES'!$N680))</f>
        <v/>
      </c>
      <c r="N702" s="3">
        <f>IF('ORDENES'!$A680="","",'ORDENES'!$AD680)</f>
        <v/>
      </c>
    </row>
    <row r="703">
      <c r="A703" s="3">
        <f>IF('ORDENES'!$A681="","",IF('ORDENES'!$O681="","-",'ORDENES'!$O681))</f>
        <v/>
      </c>
      <c r="B703" s="3">
        <f>IF('ORDENES'!$A681="","",IF('ORDENES'!$R681="","-",'ORDENES'!$R681))</f>
        <v/>
      </c>
      <c r="C703" s="3">
        <f>IF('ORDENES'!$A681="","",IF('ORDENES'!$AF681="","-",'ORDENES'!$AF681))</f>
        <v/>
      </c>
      <c r="D703" s="3">
        <f>IF('ORDENES'!$A681="","",IF('ORDENES'!$X681="","-",'ORDENES'!$X681))</f>
        <v/>
      </c>
      <c r="E703" s="3">
        <f>IF('ORDENES'!$A681="","",IF('ORDENES'!$V681="","-",'ORDENES'!$V681))</f>
        <v/>
      </c>
      <c r="F703" s="3">
        <f>IF('ORDENES'!$A681="","",IF('ORDENES'!$Y681="","-",'ORDENES'!$Y681))</f>
        <v/>
      </c>
      <c r="G703" s="3">
        <f>IF('ORDENES'!$A681="","",IF('ORDENES'!$W681="","-",'ORDENES'!$W681))</f>
        <v/>
      </c>
      <c r="H703" s="3">
        <f>IF('ORDENES'!$A681="","",IF('ORDENES'!$AE681="","-",'ORDENES'!$AE681))</f>
        <v/>
      </c>
      <c r="I703" s="3">
        <f>IF('ORDENES'!$A681="","",IF('ORDENES'!$AQ681="","-",'ORDENES'!$AQ681))</f>
        <v/>
      </c>
      <c r="J703" s="3">
        <f>IF('ORDENES'!$A681="","",IF('ORDENES'!$D681="","-",'ORDENES'!$D681))</f>
        <v/>
      </c>
      <c r="K703" s="3">
        <f>IF('ORDENES'!$A681="","",IF('ORDENES'!$E681="","-",'ORDENES'!$E681))</f>
        <v/>
      </c>
      <c r="L703" s="13">
        <f>IF('ORDENES'!$A681="","",IF('ORDENES'!$M681="",0,'ORDENES'!$M681))</f>
        <v/>
      </c>
      <c r="M703" s="3">
        <f>IF('ORDENES'!$A681="","",IF('ORDENES'!$N681="","-",'ORDENES'!$N681))</f>
        <v/>
      </c>
      <c r="N703" s="3">
        <f>IF('ORDENES'!$A681="","",'ORDENES'!$AD681)</f>
        <v/>
      </c>
    </row>
    <row r="704">
      <c r="A704" s="3">
        <f>IF('ORDENES'!$A682="","",IF('ORDENES'!$O682="","-",'ORDENES'!$O682))</f>
        <v/>
      </c>
      <c r="B704" s="3">
        <f>IF('ORDENES'!$A682="","",IF('ORDENES'!$R682="","-",'ORDENES'!$R682))</f>
        <v/>
      </c>
      <c r="C704" s="3">
        <f>IF('ORDENES'!$A682="","",IF('ORDENES'!$AF682="","-",'ORDENES'!$AF682))</f>
        <v/>
      </c>
      <c r="D704" s="3">
        <f>IF('ORDENES'!$A682="","",IF('ORDENES'!$X682="","-",'ORDENES'!$X682))</f>
        <v/>
      </c>
      <c r="E704" s="3">
        <f>IF('ORDENES'!$A682="","",IF('ORDENES'!$V682="","-",'ORDENES'!$V682))</f>
        <v/>
      </c>
      <c r="F704" s="3">
        <f>IF('ORDENES'!$A682="","",IF('ORDENES'!$Y682="","-",'ORDENES'!$Y682))</f>
        <v/>
      </c>
      <c r="G704" s="3">
        <f>IF('ORDENES'!$A682="","",IF('ORDENES'!$W682="","-",'ORDENES'!$W682))</f>
        <v/>
      </c>
      <c r="H704" s="3">
        <f>IF('ORDENES'!$A682="","",IF('ORDENES'!$AE682="","-",'ORDENES'!$AE682))</f>
        <v/>
      </c>
      <c r="I704" s="3">
        <f>IF('ORDENES'!$A682="","",IF('ORDENES'!$AQ682="","-",'ORDENES'!$AQ682))</f>
        <v/>
      </c>
      <c r="J704" s="3">
        <f>IF('ORDENES'!$A682="","",IF('ORDENES'!$D682="","-",'ORDENES'!$D682))</f>
        <v/>
      </c>
      <c r="K704" s="3">
        <f>IF('ORDENES'!$A682="","",IF('ORDENES'!$E682="","-",'ORDENES'!$E682))</f>
        <v/>
      </c>
      <c r="L704" s="13">
        <f>IF('ORDENES'!$A682="","",IF('ORDENES'!$M682="",0,'ORDENES'!$M682))</f>
        <v/>
      </c>
      <c r="M704" s="3">
        <f>IF('ORDENES'!$A682="","",IF('ORDENES'!$N682="","-",'ORDENES'!$N682))</f>
        <v/>
      </c>
      <c r="N704" s="3">
        <f>IF('ORDENES'!$A682="","",'ORDENES'!$AD682)</f>
        <v/>
      </c>
    </row>
    <row r="705">
      <c r="A705" s="3">
        <f>IF('ORDENES'!$A683="","",IF('ORDENES'!$O683="","-",'ORDENES'!$O683))</f>
        <v/>
      </c>
      <c r="B705" s="3">
        <f>IF('ORDENES'!$A683="","",IF('ORDENES'!$R683="","-",'ORDENES'!$R683))</f>
        <v/>
      </c>
      <c r="C705" s="3">
        <f>IF('ORDENES'!$A683="","",IF('ORDENES'!$AF683="","-",'ORDENES'!$AF683))</f>
        <v/>
      </c>
      <c r="D705" s="3">
        <f>IF('ORDENES'!$A683="","",IF('ORDENES'!$X683="","-",'ORDENES'!$X683))</f>
        <v/>
      </c>
      <c r="E705" s="3">
        <f>IF('ORDENES'!$A683="","",IF('ORDENES'!$V683="","-",'ORDENES'!$V683))</f>
        <v/>
      </c>
      <c r="F705" s="3">
        <f>IF('ORDENES'!$A683="","",IF('ORDENES'!$Y683="","-",'ORDENES'!$Y683))</f>
        <v/>
      </c>
      <c r="G705" s="3">
        <f>IF('ORDENES'!$A683="","",IF('ORDENES'!$W683="","-",'ORDENES'!$W683))</f>
        <v/>
      </c>
      <c r="H705" s="3">
        <f>IF('ORDENES'!$A683="","",IF('ORDENES'!$AE683="","-",'ORDENES'!$AE683))</f>
        <v/>
      </c>
      <c r="I705" s="3">
        <f>IF('ORDENES'!$A683="","",IF('ORDENES'!$AQ683="","-",'ORDENES'!$AQ683))</f>
        <v/>
      </c>
      <c r="J705" s="3">
        <f>IF('ORDENES'!$A683="","",IF('ORDENES'!$D683="","-",'ORDENES'!$D683))</f>
        <v/>
      </c>
      <c r="K705" s="3">
        <f>IF('ORDENES'!$A683="","",IF('ORDENES'!$E683="","-",'ORDENES'!$E683))</f>
        <v/>
      </c>
      <c r="L705" s="13">
        <f>IF('ORDENES'!$A683="","",IF('ORDENES'!$M683="",0,'ORDENES'!$M683))</f>
        <v/>
      </c>
      <c r="M705" s="3">
        <f>IF('ORDENES'!$A683="","",IF('ORDENES'!$N683="","-",'ORDENES'!$N683))</f>
        <v/>
      </c>
      <c r="N705" s="3">
        <f>IF('ORDENES'!$A683="","",'ORDENES'!$AD683)</f>
        <v/>
      </c>
    </row>
    <row r="706">
      <c r="A706" s="3">
        <f>IF('ORDENES'!$A684="","",IF('ORDENES'!$O684="","-",'ORDENES'!$O684))</f>
        <v/>
      </c>
      <c r="B706" s="3">
        <f>IF('ORDENES'!$A684="","",IF('ORDENES'!$R684="","-",'ORDENES'!$R684))</f>
        <v/>
      </c>
      <c r="C706" s="3">
        <f>IF('ORDENES'!$A684="","",IF('ORDENES'!$AF684="","-",'ORDENES'!$AF684))</f>
        <v/>
      </c>
      <c r="D706" s="3">
        <f>IF('ORDENES'!$A684="","",IF('ORDENES'!$X684="","-",'ORDENES'!$X684))</f>
        <v/>
      </c>
      <c r="E706" s="3">
        <f>IF('ORDENES'!$A684="","",IF('ORDENES'!$V684="","-",'ORDENES'!$V684))</f>
        <v/>
      </c>
      <c r="F706" s="3">
        <f>IF('ORDENES'!$A684="","",IF('ORDENES'!$Y684="","-",'ORDENES'!$Y684))</f>
        <v/>
      </c>
      <c r="G706" s="3">
        <f>IF('ORDENES'!$A684="","",IF('ORDENES'!$W684="","-",'ORDENES'!$W684))</f>
        <v/>
      </c>
      <c r="H706" s="3">
        <f>IF('ORDENES'!$A684="","",IF('ORDENES'!$AE684="","-",'ORDENES'!$AE684))</f>
        <v/>
      </c>
      <c r="I706" s="3">
        <f>IF('ORDENES'!$A684="","",IF('ORDENES'!$AQ684="","-",'ORDENES'!$AQ684))</f>
        <v/>
      </c>
      <c r="J706" s="3">
        <f>IF('ORDENES'!$A684="","",IF('ORDENES'!$D684="","-",'ORDENES'!$D684))</f>
        <v/>
      </c>
      <c r="K706" s="3">
        <f>IF('ORDENES'!$A684="","",IF('ORDENES'!$E684="","-",'ORDENES'!$E684))</f>
        <v/>
      </c>
      <c r="L706" s="13">
        <f>IF('ORDENES'!$A684="","",IF('ORDENES'!$M684="",0,'ORDENES'!$M684))</f>
        <v/>
      </c>
      <c r="M706" s="3">
        <f>IF('ORDENES'!$A684="","",IF('ORDENES'!$N684="","-",'ORDENES'!$N684))</f>
        <v/>
      </c>
      <c r="N706" s="3">
        <f>IF('ORDENES'!$A684="","",'ORDENES'!$AD684)</f>
        <v/>
      </c>
    </row>
    <row r="707">
      <c r="A707" s="3">
        <f>IF('ORDENES'!$A685="","",IF('ORDENES'!$O685="","-",'ORDENES'!$O685))</f>
        <v/>
      </c>
      <c r="B707" s="3">
        <f>IF('ORDENES'!$A685="","",IF('ORDENES'!$R685="","-",'ORDENES'!$R685))</f>
        <v/>
      </c>
      <c r="C707" s="3">
        <f>IF('ORDENES'!$A685="","",IF('ORDENES'!$AF685="","-",'ORDENES'!$AF685))</f>
        <v/>
      </c>
      <c r="D707" s="3">
        <f>IF('ORDENES'!$A685="","",IF('ORDENES'!$X685="","-",'ORDENES'!$X685))</f>
        <v/>
      </c>
      <c r="E707" s="3">
        <f>IF('ORDENES'!$A685="","",IF('ORDENES'!$V685="","-",'ORDENES'!$V685))</f>
        <v/>
      </c>
      <c r="F707" s="3">
        <f>IF('ORDENES'!$A685="","",IF('ORDENES'!$Y685="","-",'ORDENES'!$Y685))</f>
        <v/>
      </c>
      <c r="G707" s="3">
        <f>IF('ORDENES'!$A685="","",IF('ORDENES'!$W685="","-",'ORDENES'!$W685))</f>
        <v/>
      </c>
      <c r="H707" s="3">
        <f>IF('ORDENES'!$A685="","",IF('ORDENES'!$AE685="","-",'ORDENES'!$AE685))</f>
        <v/>
      </c>
      <c r="I707" s="3">
        <f>IF('ORDENES'!$A685="","",IF('ORDENES'!$AQ685="","-",'ORDENES'!$AQ685))</f>
        <v/>
      </c>
      <c r="J707" s="3">
        <f>IF('ORDENES'!$A685="","",IF('ORDENES'!$D685="","-",'ORDENES'!$D685))</f>
        <v/>
      </c>
      <c r="K707" s="3">
        <f>IF('ORDENES'!$A685="","",IF('ORDENES'!$E685="","-",'ORDENES'!$E685))</f>
        <v/>
      </c>
      <c r="L707" s="13">
        <f>IF('ORDENES'!$A685="","",IF('ORDENES'!$M685="",0,'ORDENES'!$M685))</f>
        <v/>
      </c>
      <c r="M707" s="3">
        <f>IF('ORDENES'!$A685="","",IF('ORDENES'!$N685="","-",'ORDENES'!$N685))</f>
        <v/>
      </c>
      <c r="N707" s="3">
        <f>IF('ORDENES'!$A685="","",'ORDENES'!$AD685)</f>
        <v/>
      </c>
    </row>
    <row r="708">
      <c r="A708" s="3">
        <f>IF('ORDENES'!$A686="","",IF('ORDENES'!$O686="","-",'ORDENES'!$O686))</f>
        <v/>
      </c>
      <c r="B708" s="3">
        <f>IF('ORDENES'!$A686="","",IF('ORDENES'!$R686="","-",'ORDENES'!$R686))</f>
        <v/>
      </c>
      <c r="C708" s="3">
        <f>IF('ORDENES'!$A686="","",IF('ORDENES'!$AF686="","-",'ORDENES'!$AF686))</f>
        <v/>
      </c>
      <c r="D708" s="3">
        <f>IF('ORDENES'!$A686="","",IF('ORDENES'!$X686="","-",'ORDENES'!$X686))</f>
        <v/>
      </c>
      <c r="E708" s="3">
        <f>IF('ORDENES'!$A686="","",IF('ORDENES'!$V686="","-",'ORDENES'!$V686))</f>
        <v/>
      </c>
      <c r="F708" s="3">
        <f>IF('ORDENES'!$A686="","",IF('ORDENES'!$Y686="","-",'ORDENES'!$Y686))</f>
        <v/>
      </c>
      <c r="G708" s="3">
        <f>IF('ORDENES'!$A686="","",IF('ORDENES'!$W686="","-",'ORDENES'!$W686))</f>
        <v/>
      </c>
      <c r="H708" s="3">
        <f>IF('ORDENES'!$A686="","",IF('ORDENES'!$AE686="","-",'ORDENES'!$AE686))</f>
        <v/>
      </c>
      <c r="I708" s="3">
        <f>IF('ORDENES'!$A686="","",IF('ORDENES'!$AQ686="","-",'ORDENES'!$AQ686))</f>
        <v/>
      </c>
      <c r="J708" s="3">
        <f>IF('ORDENES'!$A686="","",IF('ORDENES'!$D686="","-",'ORDENES'!$D686))</f>
        <v/>
      </c>
      <c r="K708" s="3">
        <f>IF('ORDENES'!$A686="","",IF('ORDENES'!$E686="","-",'ORDENES'!$E686))</f>
        <v/>
      </c>
      <c r="L708" s="13">
        <f>IF('ORDENES'!$A686="","",IF('ORDENES'!$M686="",0,'ORDENES'!$M686))</f>
        <v/>
      </c>
      <c r="M708" s="3">
        <f>IF('ORDENES'!$A686="","",IF('ORDENES'!$N686="","-",'ORDENES'!$N686))</f>
        <v/>
      </c>
      <c r="N708" s="3">
        <f>IF('ORDENES'!$A686="","",'ORDENES'!$AD686)</f>
        <v/>
      </c>
    </row>
    <row r="709">
      <c r="A709" s="3">
        <f>IF('ORDENES'!$A687="","",IF('ORDENES'!$O687="","-",'ORDENES'!$O687))</f>
        <v/>
      </c>
      <c r="B709" s="3">
        <f>IF('ORDENES'!$A687="","",IF('ORDENES'!$R687="","-",'ORDENES'!$R687))</f>
        <v/>
      </c>
      <c r="C709" s="3">
        <f>IF('ORDENES'!$A687="","",IF('ORDENES'!$AF687="","-",'ORDENES'!$AF687))</f>
        <v/>
      </c>
      <c r="D709" s="3">
        <f>IF('ORDENES'!$A687="","",IF('ORDENES'!$X687="","-",'ORDENES'!$X687))</f>
        <v/>
      </c>
      <c r="E709" s="3">
        <f>IF('ORDENES'!$A687="","",IF('ORDENES'!$V687="","-",'ORDENES'!$V687))</f>
        <v/>
      </c>
      <c r="F709" s="3">
        <f>IF('ORDENES'!$A687="","",IF('ORDENES'!$Y687="","-",'ORDENES'!$Y687))</f>
        <v/>
      </c>
      <c r="G709" s="3">
        <f>IF('ORDENES'!$A687="","",IF('ORDENES'!$W687="","-",'ORDENES'!$W687))</f>
        <v/>
      </c>
      <c r="H709" s="3">
        <f>IF('ORDENES'!$A687="","",IF('ORDENES'!$AE687="","-",'ORDENES'!$AE687))</f>
        <v/>
      </c>
      <c r="I709" s="3">
        <f>IF('ORDENES'!$A687="","",IF('ORDENES'!$AQ687="","-",'ORDENES'!$AQ687))</f>
        <v/>
      </c>
      <c r="J709" s="3">
        <f>IF('ORDENES'!$A687="","",IF('ORDENES'!$D687="","-",'ORDENES'!$D687))</f>
        <v/>
      </c>
      <c r="K709" s="3">
        <f>IF('ORDENES'!$A687="","",IF('ORDENES'!$E687="","-",'ORDENES'!$E687))</f>
        <v/>
      </c>
      <c r="L709" s="13">
        <f>IF('ORDENES'!$A687="","",IF('ORDENES'!$M687="",0,'ORDENES'!$M687))</f>
        <v/>
      </c>
      <c r="M709" s="3">
        <f>IF('ORDENES'!$A687="","",IF('ORDENES'!$N687="","-",'ORDENES'!$N687))</f>
        <v/>
      </c>
      <c r="N709" s="3">
        <f>IF('ORDENES'!$A687="","",'ORDENES'!$AD687)</f>
        <v/>
      </c>
    </row>
    <row r="710">
      <c r="A710" s="3">
        <f>IF('ORDENES'!$A688="","",IF('ORDENES'!$O688="","-",'ORDENES'!$O688))</f>
        <v/>
      </c>
      <c r="B710" s="3">
        <f>IF('ORDENES'!$A688="","",IF('ORDENES'!$R688="","-",'ORDENES'!$R688))</f>
        <v/>
      </c>
      <c r="C710" s="3">
        <f>IF('ORDENES'!$A688="","",IF('ORDENES'!$AF688="","-",'ORDENES'!$AF688))</f>
        <v/>
      </c>
      <c r="D710" s="3">
        <f>IF('ORDENES'!$A688="","",IF('ORDENES'!$X688="","-",'ORDENES'!$X688))</f>
        <v/>
      </c>
      <c r="E710" s="3">
        <f>IF('ORDENES'!$A688="","",IF('ORDENES'!$V688="","-",'ORDENES'!$V688))</f>
        <v/>
      </c>
      <c r="F710" s="3">
        <f>IF('ORDENES'!$A688="","",IF('ORDENES'!$Y688="","-",'ORDENES'!$Y688))</f>
        <v/>
      </c>
      <c r="G710" s="3">
        <f>IF('ORDENES'!$A688="","",IF('ORDENES'!$W688="","-",'ORDENES'!$W688))</f>
        <v/>
      </c>
      <c r="H710" s="3">
        <f>IF('ORDENES'!$A688="","",IF('ORDENES'!$AE688="","-",'ORDENES'!$AE688))</f>
        <v/>
      </c>
      <c r="I710" s="3">
        <f>IF('ORDENES'!$A688="","",IF('ORDENES'!$AQ688="","-",'ORDENES'!$AQ688))</f>
        <v/>
      </c>
      <c r="J710" s="3">
        <f>IF('ORDENES'!$A688="","",IF('ORDENES'!$D688="","-",'ORDENES'!$D688))</f>
        <v/>
      </c>
      <c r="K710" s="3">
        <f>IF('ORDENES'!$A688="","",IF('ORDENES'!$E688="","-",'ORDENES'!$E688))</f>
        <v/>
      </c>
      <c r="L710" s="13">
        <f>IF('ORDENES'!$A688="","",IF('ORDENES'!$M688="",0,'ORDENES'!$M688))</f>
        <v/>
      </c>
      <c r="M710" s="3">
        <f>IF('ORDENES'!$A688="","",IF('ORDENES'!$N688="","-",'ORDENES'!$N688))</f>
        <v/>
      </c>
      <c r="N710" s="3">
        <f>IF('ORDENES'!$A688="","",'ORDENES'!$AD688)</f>
        <v/>
      </c>
    </row>
    <row r="711">
      <c r="A711" s="3">
        <f>IF('ORDENES'!$A689="","",IF('ORDENES'!$O689="","-",'ORDENES'!$O689))</f>
        <v/>
      </c>
      <c r="B711" s="3">
        <f>IF('ORDENES'!$A689="","",IF('ORDENES'!$R689="","-",'ORDENES'!$R689))</f>
        <v/>
      </c>
      <c r="C711" s="3">
        <f>IF('ORDENES'!$A689="","",IF('ORDENES'!$AF689="","-",'ORDENES'!$AF689))</f>
        <v/>
      </c>
      <c r="D711" s="3">
        <f>IF('ORDENES'!$A689="","",IF('ORDENES'!$X689="","-",'ORDENES'!$X689))</f>
        <v/>
      </c>
      <c r="E711" s="3">
        <f>IF('ORDENES'!$A689="","",IF('ORDENES'!$V689="","-",'ORDENES'!$V689))</f>
        <v/>
      </c>
      <c r="F711" s="3">
        <f>IF('ORDENES'!$A689="","",IF('ORDENES'!$Y689="","-",'ORDENES'!$Y689))</f>
        <v/>
      </c>
      <c r="G711" s="3">
        <f>IF('ORDENES'!$A689="","",IF('ORDENES'!$W689="","-",'ORDENES'!$W689))</f>
        <v/>
      </c>
      <c r="H711" s="3">
        <f>IF('ORDENES'!$A689="","",IF('ORDENES'!$AE689="","-",'ORDENES'!$AE689))</f>
        <v/>
      </c>
      <c r="I711" s="3">
        <f>IF('ORDENES'!$A689="","",IF('ORDENES'!$AQ689="","-",'ORDENES'!$AQ689))</f>
        <v/>
      </c>
      <c r="J711" s="3">
        <f>IF('ORDENES'!$A689="","",IF('ORDENES'!$D689="","-",'ORDENES'!$D689))</f>
        <v/>
      </c>
      <c r="K711" s="3">
        <f>IF('ORDENES'!$A689="","",IF('ORDENES'!$E689="","-",'ORDENES'!$E689))</f>
        <v/>
      </c>
      <c r="L711" s="13">
        <f>IF('ORDENES'!$A689="","",IF('ORDENES'!$M689="",0,'ORDENES'!$M689))</f>
        <v/>
      </c>
      <c r="M711" s="3">
        <f>IF('ORDENES'!$A689="","",IF('ORDENES'!$N689="","-",'ORDENES'!$N689))</f>
        <v/>
      </c>
      <c r="N711" s="3">
        <f>IF('ORDENES'!$A689="","",'ORDENES'!$AD689)</f>
        <v/>
      </c>
    </row>
    <row r="712">
      <c r="A712" s="3">
        <f>IF('ORDENES'!$A690="","",IF('ORDENES'!$O690="","-",'ORDENES'!$O690))</f>
        <v/>
      </c>
      <c r="B712" s="3">
        <f>IF('ORDENES'!$A690="","",IF('ORDENES'!$R690="","-",'ORDENES'!$R690))</f>
        <v/>
      </c>
      <c r="C712" s="3">
        <f>IF('ORDENES'!$A690="","",IF('ORDENES'!$AF690="","-",'ORDENES'!$AF690))</f>
        <v/>
      </c>
      <c r="D712" s="3">
        <f>IF('ORDENES'!$A690="","",IF('ORDENES'!$X690="","-",'ORDENES'!$X690))</f>
        <v/>
      </c>
      <c r="E712" s="3">
        <f>IF('ORDENES'!$A690="","",IF('ORDENES'!$V690="","-",'ORDENES'!$V690))</f>
        <v/>
      </c>
      <c r="F712" s="3">
        <f>IF('ORDENES'!$A690="","",IF('ORDENES'!$Y690="","-",'ORDENES'!$Y690))</f>
        <v/>
      </c>
      <c r="G712" s="3">
        <f>IF('ORDENES'!$A690="","",IF('ORDENES'!$W690="","-",'ORDENES'!$W690))</f>
        <v/>
      </c>
      <c r="H712" s="3">
        <f>IF('ORDENES'!$A690="","",IF('ORDENES'!$AE690="","-",'ORDENES'!$AE690))</f>
        <v/>
      </c>
      <c r="I712" s="3">
        <f>IF('ORDENES'!$A690="","",IF('ORDENES'!$AQ690="","-",'ORDENES'!$AQ690))</f>
        <v/>
      </c>
      <c r="J712" s="3">
        <f>IF('ORDENES'!$A690="","",IF('ORDENES'!$D690="","-",'ORDENES'!$D690))</f>
        <v/>
      </c>
      <c r="K712" s="3">
        <f>IF('ORDENES'!$A690="","",IF('ORDENES'!$E690="","-",'ORDENES'!$E690))</f>
        <v/>
      </c>
      <c r="L712" s="13">
        <f>IF('ORDENES'!$A690="","",IF('ORDENES'!$M690="",0,'ORDENES'!$M690))</f>
        <v/>
      </c>
      <c r="M712" s="3">
        <f>IF('ORDENES'!$A690="","",IF('ORDENES'!$N690="","-",'ORDENES'!$N690))</f>
        <v/>
      </c>
      <c r="N712" s="3">
        <f>IF('ORDENES'!$A690="","",'ORDENES'!$AD690)</f>
        <v/>
      </c>
    </row>
    <row r="713">
      <c r="A713" s="3">
        <f>IF('ORDENES'!$A691="","",IF('ORDENES'!$O691="","-",'ORDENES'!$O691))</f>
        <v/>
      </c>
      <c r="B713" s="3">
        <f>IF('ORDENES'!$A691="","",IF('ORDENES'!$R691="","-",'ORDENES'!$R691))</f>
        <v/>
      </c>
      <c r="C713" s="3">
        <f>IF('ORDENES'!$A691="","",IF('ORDENES'!$AF691="","-",'ORDENES'!$AF691))</f>
        <v/>
      </c>
      <c r="D713" s="3">
        <f>IF('ORDENES'!$A691="","",IF('ORDENES'!$X691="","-",'ORDENES'!$X691))</f>
        <v/>
      </c>
      <c r="E713" s="3">
        <f>IF('ORDENES'!$A691="","",IF('ORDENES'!$V691="","-",'ORDENES'!$V691))</f>
        <v/>
      </c>
      <c r="F713" s="3">
        <f>IF('ORDENES'!$A691="","",IF('ORDENES'!$Y691="","-",'ORDENES'!$Y691))</f>
        <v/>
      </c>
      <c r="G713" s="3">
        <f>IF('ORDENES'!$A691="","",IF('ORDENES'!$W691="","-",'ORDENES'!$W691))</f>
        <v/>
      </c>
      <c r="H713" s="3">
        <f>IF('ORDENES'!$A691="","",IF('ORDENES'!$AE691="","-",'ORDENES'!$AE691))</f>
        <v/>
      </c>
      <c r="I713" s="3">
        <f>IF('ORDENES'!$A691="","",IF('ORDENES'!$AQ691="","-",'ORDENES'!$AQ691))</f>
        <v/>
      </c>
      <c r="J713" s="3">
        <f>IF('ORDENES'!$A691="","",IF('ORDENES'!$D691="","-",'ORDENES'!$D691))</f>
        <v/>
      </c>
      <c r="K713" s="3">
        <f>IF('ORDENES'!$A691="","",IF('ORDENES'!$E691="","-",'ORDENES'!$E691))</f>
        <v/>
      </c>
      <c r="L713" s="13">
        <f>IF('ORDENES'!$A691="","",IF('ORDENES'!$M691="",0,'ORDENES'!$M691))</f>
        <v/>
      </c>
      <c r="M713" s="3">
        <f>IF('ORDENES'!$A691="","",IF('ORDENES'!$N691="","-",'ORDENES'!$N691))</f>
        <v/>
      </c>
      <c r="N713" s="3">
        <f>IF('ORDENES'!$A691="","",'ORDENES'!$AD691)</f>
        <v/>
      </c>
    </row>
    <row r="714">
      <c r="A714" s="3">
        <f>IF('ORDENES'!$A692="","",IF('ORDENES'!$O692="","-",'ORDENES'!$O692))</f>
        <v/>
      </c>
      <c r="B714" s="3">
        <f>IF('ORDENES'!$A692="","",IF('ORDENES'!$R692="","-",'ORDENES'!$R692))</f>
        <v/>
      </c>
      <c r="C714" s="3">
        <f>IF('ORDENES'!$A692="","",IF('ORDENES'!$AF692="","-",'ORDENES'!$AF692))</f>
        <v/>
      </c>
      <c r="D714" s="3">
        <f>IF('ORDENES'!$A692="","",IF('ORDENES'!$X692="","-",'ORDENES'!$X692))</f>
        <v/>
      </c>
      <c r="E714" s="3">
        <f>IF('ORDENES'!$A692="","",IF('ORDENES'!$V692="","-",'ORDENES'!$V692))</f>
        <v/>
      </c>
      <c r="F714" s="3">
        <f>IF('ORDENES'!$A692="","",IF('ORDENES'!$Y692="","-",'ORDENES'!$Y692))</f>
        <v/>
      </c>
      <c r="G714" s="3">
        <f>IF('ORDENES'!$A692="","",IF('ORDENES'!$W692="","-",'ORDENES'!$W692))</f>
        <v/>
      </c>
      <c r="H714" s="3">
        <f>IF('ORDENES'!$A692="","",IF('ORDENES'!$AE692="","-",'ORDENES'!$AE692))</f>
        <v/>
      </c>
      <c r="I714" s="3">
        <f>IF('ORDENES'!$A692="","",IF('ORDENES'!$AQ692="","-",'ORDENES'!$AQ692))</f>
        <v/>
      </c>
      <c r="J714" s="3">
        <f>IF('ORDENES'!$A692="","",IF('ORDENES'!$D692="","-",'ORDENES'!$D692))</f>
        <v/>
      </c>
      <c r="K714" s="3">
        <f>IF('ORDENES'!$A692="","",IF('ORDENES'!$E692="","-",'ORDENES'!$E692))</f>
        <v/>
      </c>
      <c r="L714" s="13">
        <f>IF('ORDENES'!$A692="","",IF('ORDENES'!$M692="",0,'ORDENES'!$M692))</f>
        <v/>
      </c>
      <c r="M714" s="3">
        <f>IF('ORDENES'!$A692="","",IF('ORDENES'!$N692="","-",'ORDENES'!$N692))</f>
        <v/>
      </c>
      <c r="N714" s="3">
        <f>IF('ORDENES'!$A692="","",'ORDENES'!$AD692)</f>
        <v/>
      </c>
    </row>
    <row r="715">
      <c r="A715" s="3">
        <f>IF('ORDENES'!$A693="","",IF('ORDENES'!$O693="","-",'ORDENES'!$O693))</f>
        <v/>
      </c>
      <c r="B715" s="3">
        <f>IF('ORDENES'!$A693="","",IF('ORDENES'!$R693="","-",'ORDENES'!$R693))</f>
        <v/>
      </c>
      <c r="C715" s="3">
        <f>IF('ORDENES'!$A693="","",IF('ORDENES'!$AF693="","-",'ORDENES'!$AF693))</f>
        <v/>
      </c>
      <c r="D715" s="3">
        <f>IF('ORDENES'!$A693="","",IF('ORDENES'!$X693="","-",'ORDENES'!$X693))</f>
        <v/>
      </c>
      <c r="E715" s="3">
        <f>IF('ORDENES'!$A693="","",IF('ORDENES'!$V693="","-",'ORDENES'!$V693))</f>
        <v/>
      </c>
      <c r="F715" s="3">
        <f>IF('ORDENES'!$A693="","",IF('ORDENES'!$Y693="","-",'ORDENES'!$Y693))</f>
        <v/>
      </c>
      <c r="G715" s="3">
        <f>IF('ORDENES'!$A693="","",IF('ORDENES'!$W693="","-",'ORDENES'!$W693))</f>
        <v/>
      </c>
      <c r="H715" s="3">
        <f>IF('ORDENES'!$A693="","",IF('ORDENES'!$AE693="","-",'ORDENES'!$AE693))</f>
        <v/>
      </c>
      <c r="I715" s="3">
        <f>IF('ORDENES'!$A693="","",IF('ORDENES'!$AQ693="","-",'ORDENES'!$AQ693))</f>
        <v/>
      </c>
      <c r="J715" s="3">
        <f>IF('ORDENES'!$A693="","",IF('ORDENES'!$D693="","-",'ORDENES'!$D693))</f>
        <v/>
      </c>
      <c r="K715" s="3">
        <f>IF('ORDENES'!$A693="","",IF('ORDENES'!$E693="","-",'ORDENES'!$E693))</f>
        <v/>
      </c>
      <c r="L715" s="13">
        <f>IF('ORDENES'!$A693="","",IF('ORDENES'!$M693="",0,'ORDENES'!$M693))</f>
        <v/>
      </c>
      <c r="M715" s="3">
        <f>IF('ORDENES'!$A693="","",IF('ORDENES'!$N693="","-",'ORDENES'!$N693))</f>
        <v/>
      </c>
      <c r="N715" s="3">
        <f>IF('ORDENES'!$A693="","",'ORDENES'!$AD693)</f>
        <v/>
      </c>
    </row>
    <row r="716">
      <c r="A716" s="3">
        <f>IF('ORDENES'!$A694="","",IF('ORDENES'!$O694="","-",'ORDENES'!$O694))</f>
        <v/>
      </c>
      <c r="B716" s="3">
        <f>IF('ORDENES'!$A694="","",IF('ORDENES'!$R694="","-",'ORDENES'!$R694))</f>
        <v/>
      </c>
      <c r="C716" s="3">
        <f>IF('ORDENES'!$A694="","",IF('ORDENES'!$AF694="","-",'ORDENES'!$AF694))</f>
        <v/>
      </c>
      <c r="D716" s="3">
        <f>IF('ORDENES'!$A694="","",IF('ORDENES'!$X694="","-",'ORDENES'!$X694))</f>
        <v/>
      </c>
      <c r="E716" s="3">
        <f>IF('ORDENES'!$A694="","",IF('ORDENES'!$V694="","-",'ORDENES'!$V694))</f>
        <v/>
      </c>
      <c r="F716" s="3">
        <f>IF('ORDENES'!$A694="","",IF('ORDENES'!$Y694="","-",'ORDENES'!$Y694))</f>
        <v/>
      </c>
      <c r="G716" s="3">
        <f>IF('ORDENES'!$A694="","",IF('ORDENES'!$W694="","-",'ORDENES'!$W694))</f>
        <v/>
      </c>
      <c r="H716" s="3">
        <f>IF('ORDENES'!$A694="","",IF('ORDENES'!$AE694="","-",'ORDENES'!$AE694))</f>
        <v/>
      </c>
      <c r="I716" s="3">
        <f>IF('ORDENES'!$A694="","",IF('ORDENES'!$AQ694="","-",'ORDENES'!$AQ694))</f>
        <v/>
      </c>
      <c r="J716" s="3">
        <f>IF('ORDENES'!$A694="","",IF('ORDENES'!$D694="","-",'ORDENES'!$D694))</f>
        <v/>
      </c>
      <c r="K716" s="3">
        <f>IF('ORDENES'!$A694="","",IF('ORDENES'!$E694="","-",'ORDENES'!$E694))</f>
        <v/>
      </c>
      <c r="L716" s="13">
        <f>IF('ORDENES'!$A694="","",IF('ORDENES'!$M694="",0,'ORDENES'!$M694))</f>
        <v/>
      </c>
      <c r="M716" s="3">
        <f>IF('ORDENES'!$A694="","",IF('ORDENES'!$N694="","-",'ORDENES'!$N694))</f>
        <v/>
      </c>
      <c r="N716" s="3">
        <f>IF('ORDENES'!$A694="","",'ORDENES'!$AD694)</f>
        <v/>
      </c>
    </row>
    <row r="717">
      <c r="A717" s="3">
        <f>IF('ORDENES'!$A695="","",IF('ORDENES'!$O695="","-",'ORDENES'!$O695))</f>
        <v/>
      </c>
      <c r="B717" s="3">
        <f>IF('ORDENES'!$A695="","",IF('ORDENES'!$R695="","-",'ORDENES'!$R695))</f>
        <v/>
      </c>
      <c r="C717" s="3">
        <f>IF('ORDENES'!$A695="","",IF('ORDENES'!$AF695="","-",'ORDENES'!$AF695))</f>
        <v/>
      </c>
      <c r="D717" s="3">
        <f>IF('ORDENES'!$A695="","",IF('ORDENES'!$X695="","-",'ORDENES'!$X695))</f>
        <v/>
      </c>
      <c r="E717" s="3">
        <f>IF('ORDENES'!$A695="","",IF('ORDENES'!$V695="","-",'ORDENES'!$V695))</f>
        <v/>
      </c>
      <c r="F717" s="3">
        <f>IF('ORDENES'!$A695="","",IF('ORDENES'!$Y695="","-",'ORDENES'!$Y695))</f>
        <v/>
      </c>
      <c r="G717" s="3">
        <f>IF('ORDENES'!$A695="","",IF('ORDENES'!$W695="","-",'ORDENES'!$W695))</f>
        <v/>
      </c>
      <c r="H717" s="3">
        <f>IF('ORDENES'!$A695="","",IF('ORDENES'!$AE695="","-",'ORDENES'!$AE695))</f>
        <v/>
      </c>
      <c r="I717" s="3">
        <f>IF('ORDENES'!$A695="","",IF('ORDENES'!$AQ695="","-",'ORDENES'!$AQ695))</f>
        <v/>
      </c>
      <c r="J717" s="3">
        <f>IF('ORDENES'!$A695="","",IF('ORDENES'!$D695="","-",'ORDENES'!$D695))</f>
        <v/>
      </c>
      <c r="K717" s="3">
        <f>IF('ORDENES'!$A695="","",IF('ORDENES'!$E695="","-",'ORDENES'!$E695))</f>
        <v/>
      </c>
      <c r="L717" s="13">
        <f>IF('ORDENES'!$A695="","",IF('ORDENES'!$M695="",0,'ORDENES'!$M695))</f>
        <v/>
      </c>
      <c r="M717" s="3">
        <f>IF('ORDENES'!$A695="","",IF('ORDENES'!$N695="","-",'ORDENES'!$N695))</f>
        <v/>
      </c>
      <c r="N717" s="3">
        <f>IF('ORDENES'!$A695="","",'ORDENES'!$AD695)</f>
        <v/>
      </c>
    </row>
    <row r="718">
      <c r="A718" s="3">
        <f>IF('ORDENES'!$A696="","",IF('ORDENES'!$O696="","-",'ORDENES'!$O696))</f>
        <v/>
      </c>
      <c r="B718" s="3">
        <f>IF('ORDENES'!$A696="","",IF('ORDENES'!$R696="","-",'ORDENES'!$R696))</f>
        <v/>
      </c>
      <c r="C718" s="3">
        <f>IF('ORDENES'!$A696="","",IF('ORDENES'!$AF696="","-",'ORDENES'!$AF696))</f>
        <v/>
      </c>
      <c r="D718" s="3">
        <f>IF('ORDENES'!$A696="","",IF('ORDENES'!$X696="","-",'ORDENES'!$X696))</f>
        <v/>
      </c>
      <c r="E718" s="3">
        <f>IF('ORDENES'!$A696="","",IF('ORDENES'!$V696="","-",'ORDENES'!$V696))</f>
        <v/>
      </c>
      <c r="F718" s="3">
        <f>IF('ORDENES'!$A696="","",IF('ORDENES'!$Y696="","-",'ORDENES'!$Y696))</f>
        <v/>
      </c>
      <c r="G718" s="3">
        <f>IF('ORDENES'!$A696="","",IF('ORDENES'!$W696="","-",'ORDENES'!$W696))</f>
        <v/>
      </c>
      <c r="H718" s="3">
        <f>IF('ORDENES'!$A696="","",IF('ORDENES'!$AE696="","-",'ORDENES'!$AE696))</f>
        <v/>
      </c>
      <c r="I718" s="3">
        <f>IF('ORDENES'!$A696="","",IF('ORDENES'!$AQ696="","-",'ORDENES'!$AQ696))</f>
        <v/>
      </c>
      <c r="J718" s="3">
        <f>IF('ORDENES'!$A696="","",IF('ORDENES'!$D696="","-",'ORDENES'!$D696))</f>
        <v/>
      </c>
      <c r="K718" s="3">
        <f>IF('ORDENES'!$A696="","",IF('ORDENES'!$E696="","-",'ORDENES'!$E696))</f>
        <v/>
      </c>
      <c r="L718" s="13">
        <f>IF('ORDENES'!$A696="","",IF('ORDENES'!$M696="",0,'ORDENES'!$M696))</f>
        <v/>
      </c>
      <c r="M718" s="3">
        <f>IF('ORDENES'!$A696="","",IF('ORDENES'!$N696="","-",'ORDENES'!$N696))</f>
        <v/>
      </c>
      <c r="N718" s="3">
        <f>IF('ORDENES'!$A696="","",'ORDENES'!$AD696)</f>
        <v/>
      </c>
    </row>
    <row r="719">
      <c r="A719" s="3">
        <f>IF('ORDENES'!$A697="","",IF('ORDENES'!$O697="","-",'ORDENES'!$O697))</f>
        <v/>
      </c>
      <c r="B719" s="3">
        <f>IF('ORDENES'!$A697="","",IF('ORDENES'!$R697="","-",'ORDENES'!$R697))</f>
        <v/>
      </c>
      <c r="C719" s="3">
        <f>IF('ORDENES'!$A697="","",IF('ORDENES'!$AF697="","-",'ORDENES'!$AF697))</f>
        <v/>
      </c>
      <c r="D719" s="3">
        <f>IF('ORDENES'!$A697="","",IF('ORDENES'!$X697="","-",'ORDENES'!$X697))</f>
        <v/>
      </c>
      <c r="E719" s="3">
        <f>IF('ORDENES'!$A697="","",IF('ORDENES'!$V697="","-",'ORDENES'!$V697))</f>
        <v/>
      </c>
      <c r="F719" s="3">
        <f>IF('ORDENES'!$A697="","",IF('ORDENES'!$Y697="","-",'ORDENES'!$Y697))</f>
        <v/>
      </c>
      <c r="G719" s="3">
        <f>IF('ORDENES'!$A697="","",IF('ORDENES'!$W697="","-",'ORDENES'!$W697))</f>
        <v/>
      </c>
      <c r="H719" s="3">
        <f>IF('ORDENES'!$A697="","",IF('ORDENES'!$AE697="","-",'ORDENES'!$AE697))</f>
        <v/>
      </c>
      <c r="I719" s="3">
        <f>IF('ORDENES'!$A697="","",IF('ORDENES'!$AQ697="","-",'ORDENES'!$AQ697))</f>
        <v/>
      </c>
      <c r="J719" s="3">
        <f>IF('ORDENES'!$A697="","",IF('ORDENES'!$D697="","-",'ORDENES'!$D697))</f>
        <v/>
      </c>
      <c r="K719" s="3">
        <f>IF('ORDENES'!$A697="","",IF('ORDENES'!$E697="","-",'ORDENES'!$E697))</f>
        <v/>
      </c>
      <c r="L719" s="13">
        <f>IF('ORDENES'!$A697="","",IF('ORDENES'!$M697="",0,'ORDENES'!$M697))</f>
        <v/>
      </c>
      <c r="M719" s="3">
        <f>IF('ORDENES'!$A697="","",IF('ORDENES'!$N697="","-",'ORDENES'!$N697))</f>
        <v/>
      </c>
      <c r="N719" s="3">
        <f>IF('ORDENES'!$A697="","",'ORDENES'!$AD697)</f>
        <v/>
      </c>
    </row>
    <row r="720">
      <c r="A720" s="3">
        <f>IF('ORDENES'!$A698="","",IF('ORDENES'!$O698="","-",'ORDENES'!$O698))</f>
        <v/>
      </c>
      <c r="B720" s="3">
        <f>IF('ORDENES'!$A698="","",IF('ORDENES'!$R698="","-",'ORDENES'!$R698))</f>
        <v/>
      </c>
      <c r="C720" s="3">
        <f>IF('ORDENES'!$A698="","",IF('ORDENES'!$AF698="","-",'ORDENES'!$AF698))</f>
        <v/>
      </c>
      <c r="D720" s="3">
        <f>IF('ORDENES'!$A698="","",IF('ORDENES'!$X698="","-",'ORDENES'!$X698))</f>
        <v/>
      </c>
      <c r="E720" s="3">
        <f>IF('ORDENES'!$A698="","",IF('ORDENES'!$V698="","-",'ORDENES'!$V698))</f>
        <v/>
      </c>
      <c r="F720" s="3">
        <f>IF('ORDENES'!$A698="","",IF('ORDENES'!$Y698="","-",'ORDENES'!$Y698))</f>
        <v/>
      </c>
      <c r="G720" s="3">
        <f>IF('ORDENES'!$A698="","",IF('ORDENES'!$W698="","-",'ORDENES'!$W698))</f>
        <v/>
      </c>
      <c r="H720" s="3">
        <f>IF('ORDENES'!$A698="","",IF('ORDENES'!$AE698="","-",'ORDENES'!$AE698))</f>
        <v/>
      </c>
      <c r="I720" s="3">
        <f>IF('ORDENES'!$A698="","",IF('ORDENES'!$AQ698="","-",'ORDENES'!$AQ698))</f>
        <v/>
      </c>
      <c r="J720" s="3">
        <f>IF('ORDENES'!$A698="","",IF('ORDENES'!$D698="","-",'ORDENES'!$D698))</f>
        <v/>
      </c>
      <c r="K720" s="3">
        <f>IF('ORDENES'!$A698="","",IF('ORDENES'!$E698="","-",'ORDENES'!$E698))</f>
        <v/>
      </c>
      <c r="L720" s="13">
        <f>IF('ORDENES'!$A698="","",IF('ORDENES'!$M698="",0,'ORDENES'!$M698))</f>
        <v/>
      </c>
      <c r="M720" s="3">
        <f>IF('ORDENES'!$A698="","",IF('ORDENES'!$N698="","-",'ORDENES'!$N698))</f>
        <v/>
      </c>
      <c r="N720" s="3">
        <f>IF('ORDENES'!$A698="","",'ORDENES'!$AD698)</f>
        <v/>
      </c>
    </row>
    <row r="721">
      <c r="A721" s="3">
        <f>IF('ORDENES'!$A699="","",IF('ORDENES'!$O699="","-",'ORDENES'!$O699))</f>
        <v/>
      </c>
      <c r="B721" s="3">
        <f>IF('ORDENES'!$A699="","",IF('ORDENES'!$R699="","-",'ORDENES'!$R699))</f>
        <v/>
      </c>
      <c r="C721" s="3">
        <f>IF('ORDENES'!$A699="","",IF('ORDENES'!$AF699="","-",'ORDENES'!$AF699))</f>
        <v/>
      </c>
      <c r="D721" s="3">
        <f>IF('ORDENES'!$A699="","",IF('ORDENES'!$X699="","-",'ORDENES'!$X699))</f>
        <v/>
      </c>
      <c r="E721" s="3">
        <f>IF('ORDENES'!$A699="","",IF('ORDENES'!$V699="","-",'ORDENES'!$V699))</f>
        <v/>
      </c>
      <c r="F721" s="3">
        <f>IF('ORDENES'!$A699="","",IF('ORDENES'!$Y699="","-",'ORDENES'!$Y699))</f>
        <v/>
      </c>
      <c r="G721" s="3">
        <f>IF('ORDENES'!$A699="","",IF('ORDENES'!$W699="","-",'ORDENES'!$W699))</f>
        <v/>
      </c>
      <c r="H721" s="3">
        <f>IF('ORDENES'!$A699="","",IF('ORDENES'!$AE699="","-",'ORDENES'!$AE699))</f>
        <v/>
      </c>
      <c r="I721" s="3">
        <f>IF('ORDENES'!$A699="","",IF('ORDENES'!$AQ699="","-",'ORDENES'!$AQ699))</f>
        <v/>
      </c>
      <c r="J721" s="3">
        <f>IF('ORDENES'!$A699="","",IF('ORDENES'!$D699="","-",'ORDENES'!$D699))</f>
        <v/>
      </c>
      <c r="K721" s="3">
        <f>IF('ORDENES'!$A699="","",IF('ORDENES'!$E699="","-",'ORDENES'!$E699))</f>
        <v/>
      </c>
      <c r="L721" s="13">
        <f>IF('ORDENES'!$A699="","",IF('ORDENES'!$M699="",0,'ORDENES'!$M699))</f>
        <v/>
      </c>
      <c r="M721" s="3">
        <f>IF('ORDENES'!$A699="","",IF('ORDENES'!$N699="","-",'ORDENES'!$N699))</f>
        <v/>
      </c>
      <c r="N721" s="3">
        <f>IF('ORDENES'!$A699="","",'ORDENES'!$AD699)</f>
        <v/>
      </c>
    </row>
    <row r="722">
      <c r="A722" s="3">
        <f>IF('ORDENES'!$A700="","",IF('ORDENES'!$O700="","-",'ORDENES'!$O700))</f>
        <v/>
      </c>
      <c r="B722" s="3">
        <f>IF('ORDENES'!$A700="","",IF('ORDENES'!$R700="","-",'ORDENES'!$R700))</f>
        <v/>
      </c>
      <c r="C722" s="3">
        <f>IF('ORDENES'!$A700="","",IF('ORDENES'!$AF700="","-",'ORDENES'!$AF700))</f>
        <v/>
      </c>
      <c r="D722" s="3">
        <f>IF('ORDENES'!$A700="","",IF('ORDENES'!$X700="","-",'ORDENES'!$X700))</f>
        <v/>
      </c>
      <c r="E722" s="3">
        <f>IF('ORDENES'!$A700="","",IF('ORDENES'!$V700="","-",'ORDENES'!$V700))</f>
        <v/>
      </c>
      <c r="F722" s="3">
        <f>IF('ORDENES'!$A700="","",IF('ORDENES'!$Y700="","-",'ORDENES'!$Y700))</f>
        <v/>
      </c>
      <c r="G722" s="3">
        <f>IF('ORDENES'!$A700="","",IF('ORDENES'!$W700="","-",'ORDENES'!$W700))</f>
        <v/>
      </c>
      <c r="H722" s="3">
        <f>IF('ORDENES'!$A700="","",IF('ORDENES'!$AE700="","-",'ORDENES'!$AE700))</f>
        <v/>
      </c>
      <c r="I722" s="3">
        <f>IF('ORDENES'!$A700="","",IF('ORDENES'!$AQ700="","-",'ORDENES'!$AQ700))</f>
        <v/>
      </c>
      <c r="J722" s="3">
        <f>IF('ORDENES'!$A700="","",IF('ORDENES'!$D700="","-",'ORDENES'!$D700))</f>
        <v/>
      </c>
      <c r="K722" s="3">
        <f>IF('ORDENES'!$A700="","",IF('ORDENES'!$E700="","-",'ORDENES'!$E700))</f>
        <v/>
      </c>
      <c r="L722" s="13">
        <f>IF('ORDENES'!$A700="","",IF('ORDENES'!$M700="",0,'ORDENES'!$M700))</f>
        <v/>
      </c>
      <c r="M722" s="3">
        <f>IF('ORDENES'!$A700="","",IF('ORDENES'!$N700="","-",'ORDENES'!$N700))</f>
        <v/>
      </c>
      <c r="N722" s="3">
        <f>IF('ORDENES'!$A700="","",'ORDENES'!$AD700)</f>
        <v/>
      </c>
    </row>
    <row r="723">
      <c r="A723" s="3">
        <f>IF('ORDENES'!$A701="","",IF('ORDENES'!$O701="","-",'ORDENES'!$O701))</f>
        <v/>
      </c>
      <c r="B723" s="3">
        <f>IF('ORDENES'!$A701="","",IF('ORDENES'!$R701="","-",'ORDENES'!$R701))</f>
        <v/>
      </c>
      <c r="C723" s="3">
        <f>IF('ORDENES'!$A701="","",IF('ORDENES'!$AF701="","-",'ORDENES'!$AF701))</f>
        <v/>
      </c>
      <c r="D723" s="3">
        <f>IF('ORDENES'!$A701="","",IF('ORDENES'!$X701="","-",'ORDENES'!$X701))</f>
        <v/>
      </c>
      <c r="E723" s="3">
        <f>IF('ORDENES'!$A701="","",IF('ORDENES'!$V701="","-",'ORDENES'!$V701))</f>
        <v/>
      </c>
      <c r="F723" s="3">
        <f>IF('ORDENES'!$A701="","",IF('ORDENES'!$Y701="","-",'ORDENES'!$Y701))</f>
        <v/>
      </c>
      <c r="G723" s="3">
        <f>IF('ORDENES'!$A701="","",IF('ORDENES'!$W701="","-",'ORDENES'!$W701))</f>
        <v/>
      </c>
      <c r="H723" s="3">
        <f>IF('ORDENES'!$A701="","",IF('ORDENES'!$AE701="","-",'ORDENES'!$AE701))</f>
        <v/>
      </c>
      <c r="I723" s="3">
        <f>IF('ORDENES'!$A701="","",IF('ORDENES'!$AQ701="","-",'ORDENES'!$AQ701))</f>
        <v/>
      </c>
      <c r="J723" s="3">
        <f>IF('ORDENES'!$A701="","",IF('ORDENES'!$D701="","-",'ORDENES'!$D701))</f>
        <v/>
      </c>
      <c r="K723" s="3">
        <f>IF('ORDENES'!$A701="","",IF('ORDENES'!$E701="","-",'ORDENES'!$E701))</f>
        <v/>
      </c>
      <c r="L723" s="13">
        <f>IF('ORDENES'!$A701="","",IF('ORDENES'!$M701="",0,'ORDENES'!$M701))</f>
        <v/>
      </c>
      <c r="M723" s="3">
        <f>IF('ORDENES'!$A701="","",IF('ORDENES'!$N701="","-",'ORDENES'!$N701))</f>
        <v/>
      </c>
      <c r="N723" s="3">
        <f>IF('ORDENES'!$A701="","",'ORDENES'!$AD701)</f>
        <v/>
      </c>
    </row>
    <row r="724">
      <c r="A724" s="3">
        <f>IF('ORDENES'!$A702="","",IF('ORDENES'!$O702="","-",'ORDENES'!$O702))</f>
        <v/>
      </c>
      <c r="B724" s="3">
        <f>IF('ORDENES'!$A702="","",IF('ORDENES'!$R702="","-",'ORDENES'!$R702))</f>
        <v/>
      </c>
      <c r="C724" s="3">
        <f>IF('ORDENES'!$A702="","",IF('ORDENES'!$AF702="","-",'ORDENES'!$AF702))</f>
        <v/>
      </c>
      <c r="D724" s="3">
        <f>IF('ORDENES'!$A702="","",IF('ORDENES'!$X702="","-",'ORDENES'!$X702))</f>
        <v/>
      </c>
      <c r="E724" s="3">
        <f>IF('ORDENES'!$A702="","",IF('ORDENES'!$V702="","-",'ORDENES'!$V702))</f>
        <v/>
      </c>
      <c r="F724" s="3">
        <f>IF('ORDENES'!$A702="","",IF('ORDENES'!$Y702="","-",'ORDENES'!$Y702))</f>
        <v/>
      </c>
      <c r="G724" s="3">
        <f>IF('ORDENES'!$A702="","",IF('ORDENES'!$W702="","-",'ORDENES'!$W702))</f>
        <v/>
      </c>
      <c r="H724" s="3">
        <f>IF('ORDENES'!$A702="","",IF('ORDENES'!$AE702="","-",'ORDENES'!$AE702))</f>
        <v/>
      </c>
      <c r="I724" s="3">
        <f>IF('ORDENES'!$A702="","",IF('ORDENES'!$AQ702="","-",'ORDENES'!$AQ702))</f>
        <v/>
      </c>
      <c r="J724" s="3">
        <f>IF('ORDENES'!$A702="","",IF('ORDENES'!$D702="","-",'ORDENES'!$D702))</f>
        <v/>
      </c>
      <c r="K724" s="3">
        <f>IF('ORDENES'!$A702="","",IF('ORDENES'!$E702="","-",'ORDENES'!$E702))</f>
        <v/>
      </c>
      <c r="L724" s="13">
        <f>IF('ORDENES'!$A702="","",IF('ORDENES'!$M702="",0,'ORDENES'!$M702))</f>
        <v/>
      </c>
      <c r="M724" s="3">
        <f>IF('ORDENES'!$A702="","",IF('ORDENES'!$N702="","-",'ORDENES'!$N702))</f>
        <v/>
      </c>
      <c r="N724" s="3">
        <f>IF('ORDENES'!$A702="","",'ORDENES'!$AD702)</f>
        <v/>
      </c>
    </row>
    <row r="725">
      <c r="A725" s="3">
        <f>IF('ORDENES'!$A703="","",IF('ORDENES'!$O703="","-",'ORDENES'!$O703))</f>
        <v/>
      </c>
      <c r="B725" s="3">
        <f>IF('ORDENES'!$A703="","",IF('ORDENES'!$R703="","-",'ORDENES'!$R703))</f>
        <v/>
      </c>
      <c r="C725" s="3">
        <f>IF('ORDENES'!$A703="","",IF('ORDENES'!$AF703="","-",'ORDENES'!$AF703))</f>
        <v/>
      </c>
      <c r="D725" s="3">
        <f>IF('ORDENES'!$A703="","",IF('ORDENES'!$X703="","-",'ORDENES'!$X703))</f>
        <v/>
      </c>
      <c r="E725" s="3">
        <f>IF('ORDENES'!$A703="","",IF('ORDENES'!$V703="","-",'ORDENES'!$V703))</f>
        <v/>
      </c>
      <c r="F725" s="3">
        <f>IF('ORDENES'!$A703="","",IF('ORDENES'!$Y703="","-",'ORDENES'!$Y703))</f>
        <v/>
      </c>
      <c r="G725" s="3">
        <f>IF('ORDENES'!$A703="","",IF('ORDENES'!$W703="","-",'ORDENES'!$W703))</f>
        <v/>
      </c>
      <c r="H725" s="3">
        <f>IF('ORDENES'!$A703="","",IF('ORDENES'!$AE703="","-",'ORDENES'!$AE703))</f>
        <v/>
      </c>
      <c r="I725" s="3">
        <f>IF('ORDENES'!$A703="","",IF('ORDENES'!$AQ703="","-",'ORDENES'!$AQ703))</f>
        <v/>
      </c>
      <c r="J725" s="3">
        <f>IF('ORDENES'!$A703="","",IF('ORDENES'!$D703="","-",'ORDENES'!$D703))</f>
        <v/>
      </c>
      <c r="K725" s="3">
        <f>IF('ORDENES'!$A703="","",IF('ORDENES'!$E703="","-",'ORDENES'!$E703))</f>
        <v/>
      </c>
      <c r="L725" s="13">
        <f>IF('ORDENES'!$A703="","",IF('ORDENES'!$M703="",0,'ORDENES'!$M703))</f>
        <v/>
      </c>
      <c r="M725" s="3">
        <f>IF('ORDENES'!$A703="","",IF('ORDENES'!$N703="","-",'ORDENES'!$N703))</f>
        <v/>
      </c>
      <c r="N725" s="3">
        <f>IF('ORDENES'!$A703="","",'ORDENES'!$AD703)</f>
        <v/>
      </c>
    </row>
    <row r="726">
      <c r="A726" s="3">
        <f>IF('ORDENES'!$A704="","",IF('ORDENES'!$O704="","-",'ORDENES'!$O704))</f>
        <v/>
      </c>
      <c r="B726" s="3">
        <f>IF('ORDENES'!$A704="","",IF('ORDENES'!$R704="","-",'ORDENES'!$R704))</f>
        <v/>
      </c>
      <c r="C726" s="3">
        <f>IF('ORDENES'!$A704="","",IF('ORDENES'!$AF704="","-",'ORDENES'!$AF704))</f>
        <v/>
      </c>
      <c r="D726" s="3">
        <f>IF('ORDENES'!$A704="","",IF('ORDENES'!$X704="","-",'ORDENES'!$X704))</f>
        <v/>
      </c>
      <c r="E726" s="3">
        <f>IF('ORDENES'!$A704="","",IF('ORDENES'!$V704="","-",'ORDENES'!$V704))</f>
        <v/>
      </c>
      <c r="F726" s="3">
        <f>IF('ORDENES'!$A704="","",IF('ORDENES'!$Y704="","-",'ORDENES'!$Y704))</f>
        <v/>
      </c>
      <c r="G726" s="3">
        <f>IF('ORDENES'!$A704="","",IF('ORDENES'!$W704="","-",'ORDENES'!$W704))</f>
        <v/>
      </c>
      <c r="H726" s="3">
        <f>IF('ORDENES'!$A704="","",IF('ORDENES'!$AE704="","-",'ORDENES'!$AE704))</f>
        <v/>
      </c>
      <c r="I726" s="3">
        <f>IF('ORDENES'!$A704="","",IF('ORDENES'!$AQ704="","-",'ORDENES'!$AQ704))</f>
        <v/>
      </c>
      <c r="J726" s="3">
        <f>IF('ORDENES'!$A704="","",IF('ORDENES'!$D704="","-",'ORDENES'!$D704))</f>
        <v/>
      </c>
      <c r="K726" s="3">
        <f>IF('ORDENES'!$A704="","",IF('ORDENES'!$E704="","-",'ORDENES'!$E704))</f>
        <v/>
      </c>
      <c r="L726" s="13">
        <f>IF('ORDENES'!$A704="","",IF('ORDENES'!$M704="",0,'ORDENES'!$M704))</f>
        <v/>
      </c>
      <c r="M726" s="3">
        <f>IF('ORDENES'!$A704="","",IF('ORDENES'!$N704="","-",'ORDENES'!$N704))</f>
        <v/>
      </c>
      <c r="N726" s="3">
        <f>IF('ORDENES'!$A704="","",'ORDENES'!$AD704)</f>
        <v/>
      </c>
    </row>
    <row r="727">
      <c r="A727" s="3">
        <f>IF('ORDENES'!$A705="","",IF('ORDENES'!$O705="","-",'ORDENES'!$O705))</f>
        <v/>
      </c>
      <c r="B727" s="3">
        <f>IF('ORDENES'!$A705="","",IF('ORDENES'!$R705="","-",'ORDENES'!$R705))</f>
        <v/>
      </c>
      <c r="C727" s="3">
        <f>IF('ORDENES'!$A705="","",IF('ORDENES'!$AF705="","-",'ORDENES'!$AF705))</f>
        <v/>
      </c>
      <c r="D727" s="3">
        <f>IF('ORDENES'!$A705="","",IF('ORDENES'!$X705="","-",'ORDENES'!$X705))</f>
        <v/>
      </c>
      <c r="E727" s="3">
        <f>IF('ORDENES'!$A705="","",IF('ORDENES'!$V705="","-",'ORDENES'!$V705))</f>
        <v/>
      </c>
      <c r="F727" s="3">
        <f>IF('ORDENES'!$A705="","",IF('ORDENES'!$Y705="","-",'ORDENES'!$Y705))</f>
        <v/>
      </c>
      <c r="G727" s="3">
        <f>IF('ORDENES'!$A705="","",IF('ORDENES'!$W705="","-",'ORDENES'!$W705))</f>
        <v/>
      </c>
      <c r="H727" s="3">
        <f>IF('ORDENES'!$A705="","",IF('ORDENES'!$AE705="","-",'ORDENES'!$AE705))</f>
        <v/>
      </c>
      <c r="I727" s="3">
        <f>IF('ORDENES'!$A705="","",IF('ORDENES'!$AQ705="","-",'ORDENES'!$AQ705))</f>
        <v/>
      </c>
      <c r="J727" s="3">
        <f>IF('ORDENES'!$A705="","",IF('ORDENES'!$D705="","-",'ORDENES'!$D705))</f>
        <v/>
      </c>
      <c r="K727" s="3">
        <f>IF('ORDENES'!$A705="","",IF('ORDENES'!$E705="","-",'ORDENES'!$E705))</f>
        <v/>
      </c>
      <c r="L727" s="13">
        <f>IF('ORDENES'!$A705="","",IF('ORDENES'!$M705="",0,'ORDENES'!$M705))</f>
        <v/>
      </c>
      <c r="M727" s="3">
        <f>IF('ORDENES'!$A705="","",IF('ORDENES'!$N705="","-",'ORDENES'!$N705))</f>
        <v/>
      </c>
      <c r="N727" s="3">
        <f>IF('ORDENES'!$A705="","",'ORDENES'!$AD705)</f>
        <v/>
      </c>
    </row>
    <row r="728">
      <c r="A728" s="3">
        <f>IF('ORDENES'!$A706="","",IF('ORDENES'!$O706="","-",'ORDENES'!$O706))</f>
        <v/>
      </c>
      <c r="B728" s="3">
        <f>IF('ORDENES'!$A706="","",IF('ORDENES'!$R706="","-",'ORDENES'!$R706))</f>
        <v/>
      </c>
      <c r="C728" s="3">
        <f>IF('ORDENES'!$A706="","",IF('ORDENES'!$AF706="","-",'ORDENES'!$AF706))</f>
        <v/>
      </c>
      <c r="D728" s="3">
        <f>IF('ORDENES'!$A706="","",IF('ORDENES'!$X706="","-",'ORDENES'!$X706))</f>
        <v/>
      </c>
      <c r="E728" s="3">
        <f>IF('ORDENES'!$A706="","",IF('ORDENES'!$V706="","-",'ORDENES'!$V706))</f>
        <v/>
      </c>
      <c r="F728" s="3">
        <f>IF('ORDENES'!$A706="","",IF('ORDENES'!$Y706="","-",'ORDENES'!$Y706))</f>
        <v/>
      </c>
      <c r="G728" s="3">
        <f>IF('ORDENES'!$A706="","",IF('ORDENES'!$W706="","-",'ORDENES'!$W706))</f>
        <v/>
      </c>
      <c r="H728" s="3">
        <f>IF('ORDENES'!$A706="","",IF('ORDENES'!$AE706="","-",'ORDENES'!$AE706))</f>
        <v/>
      </c>
      <c r="I728" s="3">
        <f>IF('ORDENES'!$A706="","",IF('ORDENES'!$AQ706="","-",'ORDENES'!$AQ706))</f>
        <v/>
      </c>
      <c r="J728" s="3">
        <f>IF('ORDENES'!$A706="","",IF('ORDENES'!$D706="","-",'ORDENES'!$D706))</f>
        <v/>
      </c>
      <c r="K728" s="3">
        <f>IF('ORDENES'!$A706="","",IF('ORDENES'!$E706="","-",'ORDENES'!$E706))</f>
        <v/>
      </c>
      <c r="L728" s="13">
        <f>IF('ORDENES'!$A706="","",IF('ORDENES'!$M706="",0,'ORDENES'!$M706))</f>
        <v/>
      </c>
      <c r="M728" s="3">
        <f>IF('ORDENES'!$A706="","",IF('ORDENES'!$N706="","-",'ORDENES'!$N706))</f>
        <v/>
      </c>
      <c r="N728" s="3">
        <f>IF('ORDENES'!$A706="","",'ORDENES'!$AD706)</f>
        <v/>
      </c>
    </row>
    <row r="729">
      <c r="A729" s="3">
        <f>IF('ORDENES'!$A707="","",IF('ORDENES'!$O707="","-",'ORDENES'!$O707))</f>
        <v/>
      </c>
      <c r="B729" s="3">
        <f>IF('ORDENES'!$A707="","",IF('ORDENES'!$R707="","-",'ORDENES'!$R707))</f>
        <v/>
      </c>
      <c r="C729" s="3">
        <f>IF('ORDENES'!$A707="","",IF('ORDENES'!$AF707="","-",'ORDENES'!$AF707))</f>
        <v/>
      </c>
      <c r="D729" s="3">
        <f>IF('ORDENES'!$A707="","",IF('ORDENES'!$X707="","-",'ORDENES'!$X707))</f>
        <v/>
      </c>
      <c r="E729" s="3">
        <f>IF('ORDENES'!$A707="","",IF('ORDENES'!$V707="","-",'ORDENES'!$V707))</f>
        <v/>
      </c>
      <c r="F729" s="3">
        <f>IF('ORDENES'!$A707="","",IF('ORDENES'!$Y707="","-",'ORDENES'!$Y707))</f>
        <v/>
      </c>
      <c r="G729" s="3">
        <f>IF('ORDENES'!$A707="","",IF('ORDENES'!$W707="","-",'ORDENES'!$W707))</f>
        <v/>
      </c>
      <c r="H729" s="3">
        <f>IF('ORDENES'!$A707="","",IF('ORDENES'!$AE707="","-",'ORDENES'!$AE707))</f>
        <v/>
      </c>
      <c r="I729" s="3">
        <f>IF('ORDENES'!$A707="","",IF('ORDENES'!$AQ707="","-",'ORDENES'!$AQ707))</f>
        <v/>
      </c>
      <c r="J729" s="3">
        <f>IF('ORDENES'!$A707="","",IF('ORDENES'!$D707="","-",'ORDENES'!$D707))</f>
        <v/>
      </c>
      <c r="K729" s="3">
        <f>IF('ORDENES'!$A707="","",IF('ORDENES'!$E707="","-",'ORDENES'!$E707))</f>
        <v/>
      </c>
      <c r="L729" s="13">
        <f>IF('ORDENES'!$A707="","",IF('ORDENES'!$M707="",0,'ORDENES'!$M707))</f>
        <v/>
      </c>
      <c r="M729" s="3">
        <f>IF('ORDENES'!$A707="","",IF('ORDENES'!$N707="","-",'ORDENES'!$N707))</f>
        <v/>
      </c>
      <c r="N729" s="3">
        <f>IF('ORDENES'!$A707="","",'ORDENES'!$AD707)</f>
        <v/>
      </c>
    </row>
    <row r="730">
      <c r="A730" s="3">
        <f>IF('ORDENES'!$A708="","",IF('ORDENES'!$O708="","-",'ORDENES'!$O708))</f>
        <v/>
      </c>
      <c r="B730" s="3">
        <f>IF('ORDENES'!$A708="","",IF('ORDENES'!$R708="","-",'ORDENES'!$R708))</f>
        <v/>
      </c>
      <c r="C730" s="3">
        <f>IF('ORDENES'!$A708="","",IF('ORDENES'!$AF708="","-",'ORDENES'!$AF708))</f>
        <v/>
      </c>
      <c r="D730" s="3">
        <f>IF('ORDENES'!$A708="","",IF('ORDENES'!$X708="","-",'ORDENES'!$X708))</f>
        <v/>
      </c>
      <c r="E730" s="3">
        <f>IF('ORDENES'!$A708="","",IF('ORDENES'!$V708="","-",'ORDENES'!$V708))</f>
        <v/>
      </c>
      <c r="F730" s="3">
        <f>IF('ORDENES'!$A708="","",IF('ORDENES'!$Y708="","-",'ORDENES'!$Y708))</f>
        <v/>
      </c>
      <c r="G730" s="3">
        <f>IF('ORDENES'!$A708="","",IF('ORDENES'!$W708="","-",'ORDENES'!$W708))</f>
        <v/>
      </c>
      <c r="H730" s="3">
        <f>IF('ORDENES'!$A708="","",IF('ORDENES'!$AE708="","-",'ORDENES'!$AE708))</f>
        <v/>
      </c>
      <c r="I730" s="3">
        <f>IF('ORDENES'!$A708="","",IF('ORDENES'!$AQ708="","-",'ORDENES'!$AQ708))</f>
        <v/>
      </c>
      <c r="J730" s="3">
        <f>IF('ORDENES'!$A708="","",IF('ORDENES'!$D708="","-",'ORDENES'!$D708))</f>
        <v/>
      </c>
      <c r="K730" s="3">
        <f>IF('ORDENES'!$A708="","",IF('ORDENES'!$E708="","-",'ORDENES'!$E708))</f>
        <v/>
      </c>
      <c r="L730" s="13">
        <f>IF('ORDENES'!$A708="","",IF('ORDENES'!$M708="",0,'ORDENES'!$M708))</f>
        <v/>
      </c>
      <c r="M730" s="3">
        <f>IF('ORDENES'!$A708="","",IF('ORDENES'!$N708="","-",'ORDENES'!$N708))</f>
        <v/>
      </c>
      <c r="N730" s="3">
        <f>IF('ORDENES'!$A708="","",'ORDENES'!$AD708)</f>
        <v/>
      </c>
    </row>
    <row r="731">
      <c r="A731" s="3">
        <f>IF('ORDENES'!$A709="","",IF('ORDENES'!$O709="","-",'ORDENES'!$O709))</f>
        <v/>
      </c>
      <c r="B731" s="3">
        <f>IF('ORDENES'!$A709="","",IF('ORDENES'!$R709="","-",'ORDENES'!$R709))</f>
        <v/>
      </c>
      <c r="C731" s="3">
        <f>IF('ORDENES'!$A709="","",IF('ORDENES'!$AF709="","-",'ORDENES'!$AF709))</f>
        <v/>
      </c>
      <c r="D731" s="3">
        <f>IF('ORDENES'!$A709="","",IF('ORDENES'!$X709="","-",'ORDENES'!$X709))</f>
        <v/>
      </c>
      <c r="E731" s="3">
        <f>IF('ORDENES'!$A709="","",IF('ORDENES'!$V709="","-",'ORDENES'!$V709))</f>
        <v/>
      </c>
      <c r="F731" s="3">
        <f>IF('ORDENES'!$A709="","",IF('ORDENES'!$Y709="","-",'ORDENES'!$Y709))</f>
        <v/>
      </c>
      <c r="G731" s="3">
        <f>IF('ORDENES'!$A709="","",IF('ORDENES'!$W709="","-",'ORDENES'!$W709))</f>
        <v/>
      </c>
      <c r="H731" s="3">
        <f>IF('ORDENES'!$A709="","",IF('ORDENES'!$AE709="","-",'ORDENES'!$AE709))</f>
        <v/>
      </c>
      <c r="I731" s="3">
        <f>IF('ORDENES'!$A709="","",IF('ORDENES'!$AQ709="","-",'ORDENES'!$AQ709))</f>
        <v/>
      </c>
      <c r="J731" s="3">
        <f>IF('ORDENES'!$A709="","",IF('ORDENES'!$D709="","-",'ORDENES'!$D709))</f>
        <v/>
      </c>
      <c r="K731" s="3">
        <f>IF('ORDENES'!$A709="","",IF('ORDENES'!$E709="","-",'ORDENES'!$E709))</f>
        <v/>
      </c>
      <c r="L731" s="13">
        <f>IF('ORDENES'!$A709="","",IF('ORDENES'!$M709="",0,'ORDENES'!$M709))</f>
        <v/>
      </c>
      <c r="M731" s="3">
        <f>IF('ORDENES'!$A709="","",IF('ORDENES'!$N709="","-",'ORDENES'!$N709))</f>
        <v/>
      </c>
      <c r="N731" s="3">
        <f>IF('ORDENES'!$A709="","",'ORDENES'!$AD709)</f>
        <v/>
      </c>
    </row>
    <row r="732">
      <c r="A732" s="3">
        <f>IF('ORDENES'!$A710="","",IF('ORDENES'!$O710="","-",'ORDENES'!$O710))</f>
        <v/>
      </c>
      <c r="B732" s="3">
        <f>IF('ORDENES'!$A710="","",IF('ORDENES'!$R710="","-",'ORDENES'!$R710))</f>
        <v/>
      </c>
      <c r="C732" s="3">
        <f>IF('ORDENES'!$A710="","",IF('ORDENES'!$AF710="","-",'ORDENES'!$AF710))</f>
        <v/>
      </c>
      <c r="D732" s="3">
        <f>IF('ORDENES'!$A710="","",IF('ORDENES'!$X710="","-",'ORDENES'!$X710))</f>
        <v/>
      </c>
      <c r="E732" s="3">
        <f>IF('ORDENES'!$A710="","",IF('ORDENES'!$V710="","-",'ORDENES'!$V710))</f>
        <v/>
      </c>
      <c r="F732" s="3">
        <f>IF('ORDENES'!$A710="","",IF('ORDENES'!$Y710="","-",'ORDENES'!$Y710))</f>
        <v/>
      </c>
      <c r="G732" s="3">
        <f>IF('ORDENES'!$A710="","",IF('ORDENES'!$W710="","-",'ORDENES'!$W710))</f>
        <v/>
      </c>
      <c r="H732" s="3">
        <f>IF('ORDENES'!$A710="","",IF('ORDENES'!$AE710="","-",'ORDENES'!$AE710))</f>
        <v/>
      </c>
      <c r="I732" s="3">
        <f>IF('ORDENES'!$A710="","",IF('ORDENES'!$AQ710="","-",'ORDENES'!$AQ710))</f>
        <v/>
      </c>
      <c r="J732" s="3">
        <f>IF('ORDENES'!$A710="","",IF('ORDENES'!$D710="","-",'ORDENES'!$D710))</f>
        <v/>
      </c>
      <c r="K732" s="3">
        <f>IF('ORDENES'!$A710="","",IF('ORDENES'!$E710="","-",'ORDENES'!$E710))</f>
        <v/>
      </c>
      <c r="L732" s="13">
        <f>IF('ORDENES'!$A710="","",IF('ORDENES'!$M710="",0,'ORDENES'!$M710))</f>
        <v/>
      </c>
      <c r="M732" s="3">
        <f>IF('ORDENES'!$A710="","",IF('ORDENES'!$N710="","-",'ORDENES'!$N710))</f>
        <v/>
      </c>
      <c r="N732" s="3">
        <f>IF('ORDENES'!$A710="","",'ORDENES'!$AD710)</f>
        <v/>
      </c>
    </row>
    <row r="733">
      <c r="A733" s="3">
        <f>IF('ORDENES'!$A711="","",IF('ORDENES'!$O711="","-",'ORDENES'!$O711))</f>
        <v/>
      </c>
      <c r="B733" s="3">
        <f>IF('ORDENES'!$A711="","",IF('ORDENES'!$R711="","-",'ORDENES'!$R711))</f>
        <v/>
      </c>
      <c r="C733" s="3">
        <f>IF('ORDENES'!$A711="","",IF('ORDENES'!$AF711="","-",'ORDENES'!$AF711))</f>
        <v/>
      </c>
      <c r="D733" s="3">
        <f>IF('ORDENES'!$A711="","",IF('ORDENES'!$X711="","-",'ORDENES'!$X711))</f>
        <v/>
      </c>
      <c r="E733" s="3">
        <f>IF('ORDENES'!$A711="","",IF('ORDENES'!$V711="","-",'ORDENES'!$V711))</f>
        <v/>
      </c>
      <c r="F733" s="3">
        <f>IF('ORDENES'!$A711="","",IF('ORDENES'!$Y711="","-",'ORDENES'!$Y711))</f>
        <v/>
      </c>
      <c r="G733" s="3">
        <f>IF('ORDENES'!$A711="","",IF('ORDENES'!$W711="","-",'ORDENES'!$W711))</f>
        <v/>
      </c>
      <c r="H733" s="3">
        <f>IF('ORDENES'!$A711="","",IF('ORDENES'!$AE711="","-",'ORDENES'!$AE711))</f>
        <v/>
      </c>
      <c r="I733" s="3">
        <f>IF('ORDENES'!$A711="","",IF('ORDENES'!$AQ711="","-",'ORDENES'!$AQ711))</f>
        <v/>
      </c>
      <c r="J733" s="3">
        <f>IF('ORDENES'!$A711="","",IF('ORDENES'!$D711="","-",'ORDENES'!$D711))</f>
        <v/>
      </c>
      <c r="K733" s="3">
        <f>IF('ORDENES'!$A711="","",IF('ORDENES'!$E711="","-",'ORDENES'!$E711))</f>
        <v/>
      </c>
      <c r="L733" s="13">
        <f>IF('ORDENES'!$A711="","",IF('ORDENES'!$M711="",0,'ORDENES'!$M711))</f>
        <v/>
      </c>
      <c r="M733" s="3">
        <f>IF('ORDENES'!$A711="","",IF('ORDENES'!$N711="","-",'ORDENES'!$N711))</f>
        <v/>
      </c>
      <c r="N733" s="3">
        <f>IF('ORDENES'!$A711="","",'ORDENES'!$AD711)</f>
        <v/>
      </c>
    </row>
    <row r="734">
      <c r="A734" s="3">
        <f>IF('ORDENES'!$A712="","",IF('ORDENES'!$O712="","-",'ORDENES'!$O712))</f>
        <v/>
      </c>
      <c r="B734" s="3">
        <f>IF('ORDENES'!$A712="","",IF('ORDENES'!$R712="","-",'ORDENES'!$R712))</f>
        <v/>
      </c>
      <c r="C734" s="3">
        <f>IF('ORDENES'!$A712="","",IF('ORDENES'!$AF712="","-",'ORDENES'!$AF712))</f>
        <v/>
      </c>
      <c r="D734" s="3">
        <f>IF('ORDENES'!$A712="","",IF('ORDENES'!$X712="","-",'ORDENES'!$X712))</f>
        <v/>
      </c>
      <c r="E734" s="3">
        <f>IF('ORDENES'!$A712="","",IF('ORDENES'!$V712="","-",'ORDENES'!$V712))</f>
        <v/>
      </c>
      <c r="F734" s="3">
        <f>IF('ORDENES'!$A712="","",IF('ORDENES'!$Y712="","-",'ORDENES'!$Y712))</f>
        <v/>
      </c>
      <c r="G734" s="3">
        <f>IF('ORDENES'!$A712="","",IF('ORDENES'!$W712="","-",'ORDENES'!$W712))</f>
        <v/>
      </c>
      <c r="H734" s="3">
        <f>IF('ORDENES'!$A712="","",IF('ORDENES'!$AE712="","-",'ORDENES'!$AE712))</f>
        <v/>
      </c>
      <c r="I734" s="3">
        <f>IF('ORDENES'!$A712="","",IF('ORDENES'!$AQ712="","-",'ORDENES'!$AQ712))</f>
        <v/>
      </c>
      <c r="J734" s="3">
        <f>IF('ORDENES'!$A712="","",IF('ORDENES'!$D712="","-",'ORDENES'!$D712))</f>
        <v/>
      </c>
      <c r="K734" s="3">
        <f>IF('ORDENES'!$A712="","",IF('ORDENES'!$E712="","-",'ORDENES'!$E712))</f>
        <v/>
      </c>
      <c r="L734" s="13">
        <f>IF('ORDENES'!$A712="","",IF('ORDENES'!$M712="",0,'ORDENES'!$M712))</f>
        <v/>
      </c>
      <c r="M734" s="3">
        <f>IF('ORDENES'!$A712="","",IF('ORDENES'!$N712="","-",'ORDENES'!$N712))</f>
        <v/>
      </c>
      <c r="N734" s="3">
        <f>IF('ORDENES'!$A712="","",'ORDENES'!$AD712)</f>
        <v/>
      </c>
    </row>
    <row r="735">
      <c r="A735" s="3">
        <f>IF('ORDENES'!$A713="","",IF('ORDENES'!$O713="","-",'ORDENES'!$O713))</f>
        <v/>
      </c>
      <c r="B735" s="3">
        <f>IF('ORDENES'!$A713="","",IF('ORDENES'!$R713="","-",'ORDENES'!$R713))</f>
        <v/>
      </c>
      <c r="C735" s="3">
        <f>IF('ORDENES'!$A713="","",IF('ORDENES'!$AF713="","-",'ORDENES'!$AF713))</f>
        <v/>
      </c>
      <c r="D735" s="3">
        <f>IF('ORDENES'!$A713="","",IF('ORDENES'!$X713="","-",'ORDENES'!$X713))</f>
        <v/>
      </c>
      <c r="E735" s="3">
        <f>IF('ORDENES'!$A713="","",IF('ORDENES'!$V713="","-",'ORDENES'!$V713))</f>
        <v/>
      </c>
      <c r="F735" s="3">
        <f>IF('ORDENES'!$A713="","",IF('ORDENES'!$Y713="","-",'ORDENES'!$Y713))</f>
        <v/>
      </c>
      <c r="G735" s="3">
        <f>IF('ORDENES'!$A713="","",IF('ORDENES'!$W713="","-",'ORDENES'!$W713))</f>
        <v/>
      </c>
      <c r="H735" s="3">
        <f>IF('ORDENES'!$A713="","",IF('ORDENES'!$AE713="","-",'ORDENES'!$AE713))</f>
        <v/>
      </c>
      <c r="I735" s="3">
        <f>IF('ORDENES'!$A713="","",IF('ORDENES'!$AQ713="","-",'ORDENES'!$AQ713))</f>
        <v/>
      </c>
      <c r="J735" s="3">
        <f>IF('ORDENES'!$A713="","",IF('ORDENES'!$D713="","-",'ORDENES'!$D713))</f>
        <v/>
      </c>
      <c r="K735" s="3">
        <f>IF('ORDENES'!$A713="","",IF('ORDENES'!$E713="","-",'ORDENES'!$E713))</f>
        <v/>
      </c>
      <c r="L735" s="13">
        <f>IF('ORDENES'!$A713="","",IF('ORDENES'!$M713="",0,'ORDENES'!$M713))</f>
        <v/>
      </c>
      <c r="M735" s="3">
        <f>IF('ORDENES'!$A713="","",IF('ORDENES'!$N713="","-",'ORDENES'!$N713))</f>
        <v/>
      </c>
      <c r="N735" s="3">
        <f>IF('ORDENES'!$A713="","",'ORDENES'!$AD713)</f>
        <v/>
      </c>
    </row>
    <row r="736">
      <c r="A736" s="3">
        <f>IF('ORDENES'!$A714="","",IF('ORDENES'!$O714="","-",'ORDENES'!$O714))</f>
        <v/>
      </c>
      <c r="B736" s="3">
        <f>IF('ORDENES'!$A714="","",IF('ORDENES'!$R714="","-",'ORDENES'!$R714))</f>
        <v/>
      </c>
      <c r="C736" s="3">
        <f>IF('ORDENES'!$A714="","",IF('ORDENES'!$AF714="","-",'ORDENES'!$AF714))</f>
        <v/>
      </c>
      <c r="D736" s="3">
        <f>IF('ORDENES'!$A714="","",IF('ORDENES'!$X714="","-",'ORDENES'!$X714))</f>
        <v/>
      </c>
      <c r="E736" s="3">
        <f>IF('ORDENES'!$A714="","",IF('ORDENES'!$V714="","-",'ORDENES'!$V714))</f>
        <v/>
      </c>
      <c r="F736" s="3">
        <f>IF('ORDENES'!$A714="","",IF('ORDENES'!$Y714="","-",'ORDENES'!$Y714))</f>
        <v/>
      </c>
      <c r="G736" s="3">
        <f>IF('ORDENES'!$A714="","",IF('ORDENES'!$W714="","-",'ORDENES'!$W714))</f>
        <v/>
      </c>
      <c r="H736" s="3">
        <f>IF('ORDENES'!$A714="","",IF('ORDENES'!$AE714="","-",'ORDENES'!$AE714))</f>
        <v/>
      </c>
      <c r="I736" s="3">
        <f>IF('ORDENES'!$A714="","",IF('ORDENES'!$AQ714="","-",'ORDENES'!$AQ714))</f>
        <v/>
      </c>
      <c r="J736" s="3">
        <f>IF('ORDENES'!$A714="","",IF('ORDENES'!$D714="","-",'ORDENES'!$D714))</f>
        <v/>
      </c>
      <c r="K736" s="3">
        <f>IF('ORDENES'!$A714="","",IF('ORDENES'!$E714="","-",'ORDENES'!$E714))</f>
        <v/>
      </c>
      <c r="L736" s="13">
        <f>IF('ORDENES'!$A714="","",IF('ORDENES'!$M714="",0,'ORDENES'!$M714))</f>
        <v/>
      </c>
      <c r="M736" s="3">
        <f>IF('ORDENES'!$A714="","",IF('ORDENES'!$N714="","-",'ORDENES'!$N714))</f>
        <v/>
      </c>
      <c r="N736" s="3">
        <f>IF('ORDENES'!$A714="","",'ORDENES'!$AD714)</f>
        <v/>
      </c>
    </row>
    <row r="737">
      <c r="A737" s="3">
        <f>IF('ORDENES'!$A715="","",IF('ORDENES'!$O715="","-",'ORDENES'!$O715))</f>
        <v/>
      </c>
      <c r="B737" s="3">
        <f>IF('ORDENES'!$A715="","",IF('ORDENES'!$R715="","-",'ORDENES'!$R715))</f>
        <v/>
      </c>
      <c r="C737" s="3">
        <f>IF('ORDENES'!$A715="","",IF('ORDENES'!$AF715="","-",'ORDENES'!$AF715))</f>
        <v/>
      </c>
      <c r="D737" s="3">
        <f>IF('ORDENES'!$A715="","",IF('ORDENES'!$X715="","-",'ORDENES'!$X715))</f>
        <v/>
      </c>
      <c r="E737" s="3">
        <f>IF('ORDENES'!$A715="","",IF('ORDENES'!$V715="","-",'ORDENES'!$V715))</f>
        <v/>
      </c>
      <c r="F737" s="3">
        <f>IF('ORDENES'!$A715="","",IF('ORDENES'!$Y715="","-",'ORDENES'!$Y715))</f>
        <v/>
      </c>
      <c r="G737" s="3">
        <f>IF('ORDENES'!$A715="","",IF('ORDENES'!$W715="","-",'ORDENES'!$W715))</f>
        <v/>
      </c>
      <c r="H737" s="3">
        <f>IF('ORDENES'!$A715="","",IF('ORDENES'!$AE715="","-",'ORDENES'!$AE715))</f>
        <v/>
      </c>
      <c r="I737" s="3">
        <f>IF('ORDENES'!$A715="","",IF('ORDENES'!$AQ715="","-",'ORDENES'!$AQ715))</f>
        <v/>
      </c>
      <c r="J737" s="3">
        <f>IF('ORDENES'!$A715="","",IF('ORDENES'!$D715="","-",'ORDENES'!$D715))</f>
        <v/>
      </c>
      <c r="K737" s="3">
        <f>IF('ORDENES'!$A715="","",IF('ORDENES'!$E715="","-",'ORDENES'!$E715))</f>
        <v/>
      </c>
      <c r="L737" s="13">
        <f>IF('ORDENES'!$A715="","",IF('ORDENES'!$M715="",0,'ORDENES'!$M715))</f>
        <v/>
      </c>
      <c r="M737" s="3">
        <f>IF('ORDENES'!$A715="","",IF('ORDENES'!$N715="","-",'ORDENES'!$N715))</f>
        <v/>
      </c>
      <c r="N737" s="3">
        <f>IF('ORDENES'!$A715="","",'ORDENES'!$AD715)</f>
        <v/>
      </c>
    </row>
    <row r="738">
      <c r="A738" s="3">
        <f>IF('ORDENES'!$A716="","",IF('ORDENES'!$O716="","-",'ORDENES'!$O716))</f>
        <v/>
      </c>
      <c r="B738" s="3">
        <f>IF('ORDENES'!$A716="","",IF('ORDENES'!$R716="","-",'ORDENES'!$R716))</f>
        <v/>
      </c>
      <c r="C738" s="3">
        <f>IF('ORDENES'!$A716="","",IF('ORDENES'!$AF716="","-",'ORDENES'!$AF716))</f>
        <v/>
      </c>
      <c r="D738" s="3">
        <f>IF('ORDENES'!$A716="","",IF('ORDENES'!$X716="","-",'ORDENES'!$X716))</f>
        <v/>
      </c>
      <c r="E738" s="3">
        <f>IF('ORDENES'!$A716="","",IF('ORDENES'!$V716="","-",'ORDENES'!$V716))</f>
        <v/>
      </c>
      <c r="F738" s="3">
        <f>IF('ORDENES'!$A716="","",IF('ORDENES'!$Y716="","-",'ORDENES'!$Y716))</f>
        <v/>
      </c>
      <c r="G738" s="3">
        <f>IF('ORDENES'!$A716="","",IF('ORDENES'!$W716="","-",'ORDENES'!$W716))</f>
        <v/>
      </c>
      <c r="H738" s="3">
        <f>IF('ORDENES'!$A716="","",IF('ORDENES'!$AE716="","-",'ORDENES'!$AE716))</f>
        <v/>
      </c>
      <c r="I738" s="3">
        <f>IF('ORDENES'!$A716="","",IF('ORDENES'!$AQ716="","-",'ORDENES'!$AQ716))</f>
        <v/>
      </c>
      <c r="J738" s="3">
        <f>IF('ORDENES'!$A716="","",IF('ORDENES'!$D716="","-",'ORDENES'!$D716))</f>
        <v/>
      </c>
      <c r="K738" s="3">
        <f>IF('ORDENES'!$A716="","",IF('ORDENES'!$E716="","-",'ORDENES'!$E716))</f>
        <v/>
      </c>
      <c r="L738" s="13">
        <f>IF('ORDENES'!$A716="","",IF('ORDENES'!$M716="",0,'ORDENES'!$M716))</f>
        <v/>
      </c>
      <c r="M738" s="3">
        <f>IF('ORDENES'!$A716="","",IF('ORDENES'!$N716="","-",'ORDENES'!$N716))</f>
        <v/>
      </c>
      <c r="N738" s="3">
        <f>IF('ORDENES'!$A716="","",'ORDENES'!$AD716)</f>
        <v/>
      </c>
    </row>
    <row r="739">
      <c r="A739" s="3">
        <f>IF('ORDENES'!$A717="","",IF('ORDENES'!$O717="","-",'ORDENES'!$O717))</f>
        <v/>
      </c>
      <c r="B739" s="3">
        <f>IF('ORDENES'!$A717="","",IF('ORDENES'!$R717="","-",'ORDENES'!$R717))</f>
        <v/>
      </c>
      <c r="C739" s="3">
        <f>IF('ORDENES'!$A717="","",IF('ORDENES'!$AF717="","-",'ORDENES'!$AF717))</f>
        <v/>
      </c>
      <c r="D739" s="3">
        <f>IF('ORDENES'!$A717="","",IF('ORDENES'!$X717="","-",'ORDENES'!$X717))</f>
        <v/>
      </c>
      <c r="E739" s="3">
        <f>IF('ORDENES'!$A717="","",IF('ORDENES'!$V717="","-",'ORDENES'!$V717))</f>
        <v/>
      </c>
      <c r="F739" s="3">
        <f>IF('ORDENES'!$A717="","",IF('ORDENES'!$Y717="","-",'ORDENES'!$Y717))</f>
        <v/>
      </c>
      <c r="G739" s="3">
        <f>IF('ORDENES'!$A717="","",IF('ORDENES'!$W717="","-",'ORDENES'!$W717))</f>
        <v/>
      </c>
      <c r="H739" s="3">
        <f>IF('ORDENES'!$A717="","",IF('ORDENES'!$AE717="","-",'ORDENES'!$AE717))</f>
        <v/>
      </c>
      <c r="I739" s="3">
        <f>IF('ORDENES'!$A717="","",IF('ORDENES'!$AQ717="","-",'ORDENES'!$AQ717))</f>
        <v/>
      </c>
      <c r="J739" s="3">
        <f>IF('ORDENES'!$A717="","",IF('ORDENES'!$D717="","-",'ORDENES'!$D717))</f>
        <v/>
      </c>
      <c r="K739" s="3">
        <f>IF('ORDENES'!$A717="","",IF('ORDENES'!$E717="","-",'ORDENES'!$E717))</f>
        <v/>
      </c>
      <c r="L739" s="13">
        <f>IF('ORDENES'!$A717="","",IF('ORDENES'!$M717="",0,'ORDENES'!$M717))</f>
        <v/>
      </c>
      <c r="M739" s="3">
        <f>IF('ORDENES'!$A717="","",IF('ORDENES'!$N717="","-",'ORDENES'!$N717))</f>
        <v/>
      </c>
      <c r="N739" s="3">
        <f>IF('ORDENES'!$A717="","",'ORDENES'!$AD717)</f>
        <v/>
      </c>
    </row>
    <row r="740">
      <c r="A740" s="3">
        <f>IF('ORDENES'!$A718="","",IF('ORDENES'!$O718="","-",'ORDENES'!$O718))</f>
        <v/>
      </c>
      <c r="B740" s="3">
        <f>IF('ORDENES'!$A718="","",IF('ORDENES'!$R718="","-",'ORDENES'!$R718))</f>
        <v/>
      </c>
      <c r="C740" s="3">
        <f>IF('ORDENES'!$A718="","",IF('ORDENES'!$AF718="","-",'ORDENES'!$AF718))</f>
        <v/>
      </c>
      <c r="D740" s="3">
        <f>IF('ORDENES'!$A718="","",IF('ORDENES'!$X718="","-",'ORDENES'!$X718))</f>
        <v/>
      </c>
      <c r="E740" s="3">
        <f>IF('ORDENES'!$A718="","",IF('ORDENES'!$V718="","-",'ORDENES'!$V718))</f>
        <v/>
      </c>
      <c r="F740" s="3">
        <f>IF('ORDENES'!$A718="","",IF('ORDENES'!$Y718="","-",'ORDENES'!$Y718))</f>
        <v/>
      </c>
      <c r="G740" s="3">
        <f>IF('ORDENES'!$A718="","",IF('ORDENES'!$W718="","-",'ORDENES'!$W718))</f>
        <v/>
      </c>
      <c r="H740" s="3">
        <f>IF('ORDENES'!$A718="","",IF('ORDENES'!$AE718="","-",'ORDENES'!$AE718))</f>
        <v/>
      </c>
      <c r="I740" s="3">
        <f>IF('ORDENES'!$A718="","",IF('ORDENES'!$AQ718="","-",'ORDENES'!$AQ718))</f>
        <v/>
      </c>
      <c r="J740" s="3">
        <f>IF('ORDENES'!$A718="","",IF('ORDENES'!$D718="","-",'ORDENES'!$D718))</f>
        <v/>
      </c>
      <c r="K740" s="3">
        <f>IF('ORDENES'!$A718="","",IF('ORDENES'!$E718="","-",'ORDENES'!$E718))</f>
        <v/>
      </c>
      <c r="L740" s="13">
        <f>IF('ORDENES'!$A718="","",IF('ORDENES'!$M718="",0,'ORDENES'!$M718))</f>
        <v/>
      </c>
      <c r="M740" s="3">
        <f>IF('ORDENES'!$A718="","",IF('ORDENES'!$N718="","-",'ORDENES'!$N718))</f>
        <v/>
      </c>
      <c r="N740" s="3">
        <f>IF('ORDENES'!$A718="","",'ORDENES'!$AD718)</f>
        <v/>
      </c>
    </row>
    <row r="741">
      <c r="A741" s="3">
        <f>IF('ORDENES'!$A719="","",IF('ORDENES'!$O719="","-",'ORDENES'!$O719))</f>
        <v/>
      </c>
      <c r="B741" s="3">
        <f>IF('ORDENES'!$A719="","",IF('ORDENES'!$R719="","-",'ORDENES'!$R719))</f>
        <v/>
      </c>
      <c r="C741" s="3">
        <f>IF('ORDENES'!$A719="","",IF('ORDENES'!$AF719="","-",'ORDENES'!$AF719))</f>
        <v/>
      </c>
      <c r="D741" s="3">
        <f>IF('ORDENES'!$A719="","",IF('ORDENES'!$X719="","-",'ORDENES'!$X719))</f>
        <v/>
      </c>
      <c r="E741" s="3">
        <f>IF('ORDENES'!$A719="","",IF('ORDENES'!$V719="","-",'ORDENES'!$V719))</f>
        <v/>
      </c>
      <c r="F741" s="3">
        <f>IF('ORDENES'!$A719="","",IF('ORDENES'!$Y719="","-",'ORDENES'!$Y719))</f>
        <v/>
      </c>
      <c r="G741" s="3">
        <f>IF('ORDENES'!$A719="","",IF('ORDENES'!$W719="","-",'ORDENES'!$W719))</f>
        <v/>
      </c>
      <c r="H741" s="3">
        <f>IF('ORDENES'!$A719="","",IF('ORDENES'!$AE719="","-",'ORDENES'!$AE719))</f>
        <v/>
      </c>
      <c r="I741" s="3">
        <f>IF('ORDENES'!$A719="","",IF('ORDENES'!$AQ719="","-",'ORDENES'!$AQ719))</f>
        <v/>
      </c>
      <c r="J741" s="3">
        <f>IF('ORDENES'!$A719="","",IF('ORDENES'!$D719="","-",'ORDENES'!$D719))</f>
        <v/>
      </c>
      <c r="K741" s="3">
        <f>IF('ORDENES'!$A719="","",IF('ORDENES'!$E719="","-",'ORDENES'!$E719))</f>
        <v/>
      </c>
      <c r="L741" s="13">
        <f>IF('ORDENES'!$A719="","",IF('ORDENES'!$M719="",0,'ORDENES'!$M719))</f>
        <v/>
      </c>
      <c r="M741" s="3">
        <f>IF('ORDENES'!$A719="","",IF('ORDENES'!$N719="","-",'ORDENES'!$N719))</f>
        <v/>
      </c>
      <c r="N741" s="3">
        <f>IF('ORDENES'!$A719="","",'ORDENES'!$AD719)</f>
        <v/>
      </c>
    </row>
    <row r="742">
      <c r="A742" s="3">
        <f>IF('ORDENES'!$A720="","",IF('ORDENES'!$O720="","-",'ORDENES'!$O720))</f>
        <v/>
      </c>
      <c r="B742" s="3">
        <f>IF('ORDENES'!$A720="","",IF('ORDENES'!$R720="","-",'ORDENES'!$R720))</f>
        <v/>
      </c>
      <c r="C742" s="3">
        <f>IF('ORDENES'!$A720="","",IF('ORDENES'!$AF720="","-",'ORDENES'!$AF720))</f>
        <v/>
      </c>
      <c r="D742" s="3">
        <f>IF('ORDENES'!$A720="","",IF('ORDENES'!$X720="","-",'ORDENES'!$X720))</f>
        <v/>
      </c>
      <c r="E742" s="3">
        <f>IF('ORDENES'!$A720="","",IF('ORDENES'!$V720="","-",'ORDENES'!$V720))</f>
        <v/>
      </c>
      <c r="F742" s="3">
        <f>IF('ORDENES'!$A720="","",IF('ORDENES'!$Y720="","-",'ORDENES'!$Y720))</f>
        <v/>
      </c>
      <c r="G742" s="3">
        <f>IF('ORDENES'!$A720="","",IF('ORDENES'!$W720="","-",'ORDENES'!$W720))</f>
        <v/>
      </c>
      <c r="H742" s="3">
        <f>IF('ORDENES'!$A720="","",IF('ORDENES'!$AE720="","-",'ORDENES'!$AE720))</f>
        <v/>
      </c>
      <c r="I742" s="3">
        <f>IF('ORDENES'!$A720="","",IF('ORDENES'!$AQ720="","-",'ORDENES'!$AQ720))</f>
        <v/>
      </c>
      <c r="J742" s="3">
        <f>IF('ORDENES'!$A720="","",IF('ORDENES'!$D720="","-",'ORDENES'!$D720))</f>
        <v/>
      </c>
      <c r="K742" s="3">
        <f>IF('ORDENES'!$A720="","",IF('ORDENES'!$E720="","-",'ORDENES'!$E720))</f>
        <v/>
      </c>
      <c r="L742" s="13">
        <f>IF('ORDENES'!$A720="","",IF('ORDENES'!$M720="",0,'ORDENES'!$M720))</f>
        <v/>
      </c>
      <c r="M742" s="3">
        <f>IF('ORDENES'!$A720="","",IF('ORDENES'!$N720="","-",'ORDENES'!$N720))</f>
        <v/>
      </c>
      <c r="N742" s="3">
        <f>IF('ORDENES'!$A720="","",'ORDENES'!$AD720)</f>
        <v/>
      </c>
    </row>
    <row r="743">
      <c r="A743" s="3">
        <f>IF('ORDENES'!$A721="","",IF('ORDENES'!$O721="","-",'ORDENES'!$O721))</f>
        <v/>
      </c>
      <c r="B743" s="3">
        <f>IF('ORDENES'!$A721="","",IF('ORDENES'!$R721="","-",'ORDENES'!$R721))</f>
        <v/>
      </c>
      <c r="C743" s="3">
        <f>IF('ORDENES'!$A721="","",IF('ORDENES'!$AF721="","-",'ORDENES'!$AF721))</f>
        <v/>
      </c>
      <c r="D743" s="3">
        <f>IF('ORDENES'!$A721="","",IF('ORDENES'!$X721="","-",'ORDENES'!$X721))</f>
        <v/>
      </c>
      <c r="E743" s="3">
        <f>IF('ORDENES'!$A721="","",IF('ORDENES'!$V721="","-",'ORDENES'!$V721))</f>
        <v/>
      </c>
      <c r="F743" s="3">
        <f>IF('ORDENES'!$A721="","",IF('ORDENES'!$Y721="","-",'ORDENES'!$Y721))</f>
        <v/>
      </c>
      <c r="G743" s="3">
        <f>IF('ORDENES'!$A721="","",IF('ORDENES'!$W721="","-",'ORDENES'!$W721))</f>
        <v/>
      </c>
      <c r="H743" s="3">
        <f>IF('ORDENES'!$A721="","",IF('ORDENES'!$AE721="","-",'ORDENES'!$AE721))</f>
        <v/>
      </c>
      <c r="I743" s="3">
        <f>IF('ORDENES'!$A721="","",IF('ORDENES'!$AQ721="","-",'ORDENES'!$AQ721))</f>
        <v/>
      </c>
      <c r="J743" s="3">
        <f>IF('ORDENES'!$A721="","",IF('ORDENES'!$D721="","-",'ORDENES'!$D721))</f>
        <v/>
      </c>
      <c r="K743" s="3">
        <f>IF('ORDENES'!$A721="","",IF('ORDENES'!$E721="","-",'ORDENES'!$E721))</f>
        <v/>
      </c>
      <c r="L743" s="13">
        <f>IF('ORDENES'!$A721="","",IF('ORDENES'!$M721="",0,'ORDENES'!$M721))</f>
        <v/>
      </c>
      <c r="M743" s="3">
        <f>IF('ORDENES'!$A721="","",IF('ORDENES'!$N721="","-",'ORDENES'!$N721))</f>
        <v/>
      </c>
      <c r="N743" s="3">
        <f>IF('ORDENES'!$A721="","",'ORDENES'!$AD721)</f>
        <v/>
      </c>
    </row>
    <row r="744">
      <c r="A744" s="3">
        <f>IF('ORDENES'!$A722="","",IF('ORDENES'!$O722="","-",'ORDENES'!$O722))</f>
        <v/>
      </c>
      <c r="B744" s="3">
        <f>IF('ORDENES'!$A722="","",IF('ORDENES'!$R722="","-",'ORDENES'!$R722))</f>
        <v/>
      </c>
      <c r="C744" s="3">
        <f>IF('ORDENES'!$A722="","",IF('ORDENES'!$AF722="","-",'ORDENES'!$AF722))</f>
        <v/>
      </c>
      <c r="D744" s="3">
        <f>IF('ORDENES'!$A722="","",IF('ORDENES'!$X722="","-",'ORDENES'!$X722))</f>
        <v/>
      </c>
      <c r="E744" s="3">
        <f>IF('ORDENES'!$A722="","",IF('ORDENES'!$V722="","-",'ORDENES'!$V722))</f>
        <v/>
      </c>
      <c r="F744" s="3">
        <f>IF('ORDENES'!$A722="","",IF('ORDENES'!$Y722="","-",'ORDENES'!$Y722))</f>
        <v/>
      </c>
      <c r="G744" s="3">
        <f>IF('ORDENES'!$A722="","",IF('ORDENES'!$W722="","-",'ORDENES'!$W722))</f>
        <v/>
      </c>
      <c r="H744" s="3">
        <f>IF('ORDENES'!$A722="","",IF('ORDENES'!$AE722="","-",'ORDENES'!$AE722))</f>
        <v/>
      </c>
      <c r="I744" s="3">
        <f>IF('ORDENES'!$A722="","",IF('ORDENES'!$AQ722="","-",'ORDENES'!$AQ722))</f>
        <v/>
      </c>
      <c r="J744" s="3">
        <f>IF('ORDENES'!$A722="","",IF('ORDENES'!$D722="","-",'ORDENES'!$D722))</f>
        <v/>
      </c>
      <c r="K744" s="3">
        <f>IF('ORDENES'!$A722="","",IF('ORDENES'!$E722="","-",'ORDENES'!$E722))</f>
        <v/>
      </c>
      <c r="L744" s="13">
        <f>IF('ORDENES'!$A722="","",IF('ORDENES'!$M722="",0,'ORDENES'!$M722))</f>
        <v/>
      </c>
      <c r="M744" s="3">
        <f>IF('ORDENES'!$A722="","",IF('ORDENES'!$N722="","-",'ORDENES'!$N722))</f>
        <v/>
      </c>
      <c r="N744" s="3">
        <f>IF('ORDENES'!$A722="","",'ORDENES'!$AD722)</f>
        <v/>
      </c>
    </row>
    <row r="745">
      <c r="A745" s="3">
        <f>IF('ORDENES'!$A723="","",IF('ORDENES'!$O723="","-",'ORDENES'!$O723))</f>
        <v/>
      </c>
      <c r="B745" s="3">
        <f>IF('ORDENES'!$A723="","",IF('ORDENES'!$R723="","-",'ORDENES'!$R723))</f>
        <v/>
      </c>
      <c r="C745" s="3">
        <f>IF('ORDENES'!$A723="","",IF('ORDENES'!$AF723="","-",'ORDENES'!$AF723))</f>
        <v/>
      </c>
      <c r="D745" s="3">
        <f>IF('ORDENES'!$A723="","",IF('ORDENES'!$X723="","-",'ORDENES'!$X723))</f>
        <v/>
      </c>
      <c r="E745" s="3">
        <f>IF('ORDENES'!$A723="","",IF('ORDENES'!$V723="","-",'ORDENES'!$V723))</f>
        <v/>
      </c>
      <c r="F745" s="3">
        <f>IF('ORDENES'!$A723="","",IF('ORDENES'!$Y723="","-",'ORDENES'!$Y723))</f>
        <v/>
      </c>
      <c r="G745" s="3">
        <f>IF('ORDENES'!$A723="","",IF('ORDENES'!$W723="","-",'ORDENES'!$W723))</f>
        <v/>
      </c>
      <c r="H745" s="3">
        <f>IF('ORDENES'!$A723="","",IF('ORDENES'!$AE723="","-",'ORDENES'!$AE723))</f>
        <v/>
      </c>
      <c r="I745" s="3">
        <f>IF('ORDENES'!$A723="","",IF('ORDENES'!$AQ723="","-",'ORDENES'!$AQ723))</f>
        <v/>
      </c>
      <c r="J745" s="3">
        <f>IF('ORDENES'!$A723="","",IF('ORDENES'!$D723="","-",'ORDENES'!$D723))</f>
        <v/>
      </c>
      <c r="K745" s="3">
        <f>IF('ORDENES'!$A723="","",IF('ORDENES'!$E723="","-",'ORDENES'!$E723))</f>
        <v/>
      </c>
      <c r="L745" s="13">
        <f>IF('ORDENES'!$A723="","",IF('ORDENES'!$M723="",0,'ORDENES'!$M723))</f>
        <v/>
      </c>
      <c r="M745" s="3">
        <f>IF('ORDENES'!$A723="","",IF('ORDENES'!$N723="","-",'ORDENES'!$N723))</f>
        <v/>
      </c>
      <c r="N745" s="3">
        <f>IF('ORDENES'!$A723="","",'ORDENES'!$AD723)</f>
        <v/>
      </c>
    </row>
    <row r="746">
      <c r="A746" s="3">
        <f>IF('ORDENES'!$A724="","",IF('ORDENES'!$O724="","-",'ORDENES'!$O724))</f>
        <v/>
      </c>
      <c r="B746" s="3">
        <f>IF('ORDENES'!$A724="","",IF('ORDENES'!$R724="","-",'ORDENES'!$R724))</f>
        <v/>
      </c>
      <c r="C746" s="3">
        <f>IF('ORDENES'!$A724="","",IF('ORDENES'!$AF724="","-",'ORDENES'!$AF724))</f>
        <v/>
      </c>
      <c r="D746" s="3">
        <f>IF('ORDENES'!$A724="","",IF('ORDENES'!$X724="","-",'ORDENES'!$X724))</f>
        <v/>
      </c>
      <c r="E746" s="3">
        <f>IF('ORDENES'!$A724="","",IF('ORDENES'!$V724="","-",'ORDENES'!$V724))</f>
        <v/>
      </c>
      <c r="F746" s="3">
        <f>IF('ORDENES'!$A724="","",IF('ORDENES'!$Y724="","-",'ORDENES'!$Y724))</f>
        <v/>
      </c>
      <c r="G746" s="3">
        <f>IF('ORDENES'!$A724="","",IF('ORDENES'!$W724="","-",'ORDENES'!$W724))</f>
        <v/>
      </c>
      <c r="H746" s="3">
        <f>IF('ORDENES'!$A724="","",IF('ORDENES'!$AE724="","-",'ORDENES'!$AE724))</f>
        <v/>
      </c>
      <c r="I746" s="3">
        <f>IF('ORDENES'!$A724="","",IF('ORDENES'!$AQ724="","-",'ORDENES'!$AQ724))</f>
        <v/>
      </c>
      <c r="J746" s="3">
        <f>IF('ORDENES'!$A724="","",IF('ORDENES'!$D724="","-",'ORDENES'!$D724))</f>
        <v/>
      </c>
      <c r="K746" s="3">
        <f>IF('ORDENES'!$A724="","",IF('ORDENES'!$E724="","-",'ORDENES'!$E724))</f>
        <v/>
      </c>
      <c r="L746" s="13">
        <f>IF('ORDENES'!$A724="","",IF('ORDENES'!$M724="",0,'ORDENES'!$M724))</f>
        <v/>
      </c>
      <c r="M746" s="3">
        <f>IF('ORDENES'!$A724="","",IF('ORDENES'!$N724="","-",'ORDENES'!$N724))</f>
        <v/>
      </c>
      <c r="N746" s="3">
        <f>IF('ORDENES'!$A724="","",'ORDENES'!$AD724)</f>
        <v/>
      </c>
    </row>
    <row r="747">
      <c r="A747" s="3">
        <f>IF('ORDENES'!$A725="","",IF('ORDENES'!$O725="","-",'ORDENES'!$O725))</f>
        <v/>
      </c>
      <c r="B747" s="3">
        <f>IF('ORDENES'!$A725="","",IF('ORDENES'!$R725="","-",'ORDENES'!$R725))</f>
        <v/>
      </c>
      <c r="C747" s="3">
        <f>IF('ORDENES'!$A725="","",IF('ORDENES'!$AF725="","-",'ORDENES'!$AF725))</f>
        <v/>
      </c>
      <c r="D747" s="3">
        <f>IF('ORDENES'!$A725="","",IF('ORDENES'!$X725="","-",'ORDENES'!$X725))</f>
        <v/>
      </c>
      <c r="E747" s="3">
        <f>IF('ORDENES'!$A725="","",IF('ORDENES'!$V725="","-",'ORDENES'!$V725))</f>
        <v/>
      </c>
      <c r="F747" s="3">
        <f>IF('ORDENES'!$A725="","",IF('ORDENES'!$Y725="","-",'ORDENES'!$Y725))</f>
        <v/>
      </c>
      <c r="G747" s="3">
        <f>IF('ORDENES'!$A725="","",IF('ORDENES'!$W725="","-",'ORDENES'!$W725))</f>
        <v/>
      </c>
      <c r="H747" s="3">
        <f>IF('ORDENES'!$A725="","",IF('ORDENES'!$AE725="","-",'ORDENES'!$AE725))</f>
        <v/>
      </c>
      <c r="I747" s="3">
        <f>IF('ORDENES'!$A725="","",IF('ORDENES'!$AQ725="","-",'ORDENES'!$AQ725))</f>
        <v/>
      </c>
      <c r="J747" s="3">
        <f>IF('ORDENES'!$A725="","",IF('ORDENES'!$D725="","-",'ORDENES'!$D725))</f>
        <v/>
      </c>
      <c r="K747" s="3">
        <f>IF('ORDENES'!$A725="","",IF('ORDENES'!$E725="","-",'ORDENES'!$E725))</f>
        <v/>
      </c>
      <c r="L747" s="13">
        <f>IF('ORDENES'!$A725="","",IF('ORDENES'!$M725="",0,'ORDENES'!$M725))</f>
        <v/>
      </c>
      <c r="M747" s="3">
        <f>IF('ORDENES'!$A725="","",IF('ORDENES'!$N725="","-",'ORDENES'!$N725))</f>
        <v/>
      </c>
      <c r="N747" s="3">
        <f>IF('ORDENES'!$A725="","",'ORDENES'!$AD725)</f>
        <v/>
      </c>
    </row>
    <row r="748">
      <c r="A748" s="3">
        <f>IF('ORDENES'!$A726="","",IF('ORDENES'!$O726="","-",'ORDENES'!$O726))</f>
        <v/>
      </c>
      <c r="B748" s="3">
        <f>IF('ORDENES'!$A726="","",IF('ORDENES'!$R726="","-",'ORDENES'!$R726))</f>
        <v/>
      </c>
      <c r="C748" s="3">
        <f>IF('ORDENES'!$A726="","",IF('ORDENES'!$AF726="","-",'ORDENES'!$AF726))</f>
        <v/>
      </c>
      <c r="D748" s="3">
        <f>IF('ORDENES'!$A726="","",IF('ORDENES'!$X726="","-",'ORDENES'!$X726))</f>
        <v/>
      </c>
      <c r="E748" s="3">
        <f>IF('ORDENES'!$A726="","",IF('ORDENES'!$V726="","-",'ORDENES'!$V726))</f>
        <v/>
      </c>
      <c r="F748" s="3">
        <f>IF('ORDENES'!$A726="","",IF('ORDENES'!$Y726="","-",'ORDENES'!$Y726))</f>
        <v/>
      </c>
      <c r="G748" s="3">
        <f>IF('ORDENES'!$A726="","",IF('ORDENES'!$W726="","-",'ORDENES'!$W726))</f>
        <v/>
      </c>
      <c r="H748" s="3">
        <f>IF('ORDENES'!$A726="","",IF('ORDENES'!$AE726="","-",'ORDENES'!$AE726))</f>
        <v/>
      </c>
      <c r="I748" s="3">
        <f>IF('ORDENES'!$A726="","",IF('ORDENES'!$AQ726="","-",'ORDENES'!$AQ726))</f>
        <v/>
      </c>
      <c r="J748" s="3">
        <f>IF('ORDENES'!$A726="","",IF('ORDENES'!$D726="","-",'ORDENES'!$D726))</f>
        <v/>
      </c>
      <c r="K748" s="3">
        <f>IF('ORDENES'!$A726="","",IF('ORDENES'!$E726="","-",'ORDENES'!$E726))</f>
        <v/>
      </c>
      <c r="L748" s="13">
        <f>IF('ORDENES'!$A726="","",IF('ORDENES'!$M726="",0,'ORDENES'!$M726))</f>
        <v/>
      </c>
      <c r="M748" s="3">
        <f>IF('ORDENES'!$A726="","",IF('ORDENES'!$N726="","-",'ORDENES'!$N726))</f>
        <v/>
      </c>
      <c r="N748" s="3">
        <f>IF('ORDENES'!$A726="","",'ORDENES'!$AD726)</f>
        <v/>
      </c>
    </row>
    <row r="749">
      <c r="A749" s="3">
        <f>IF('ORDENES'!$A727="","",IF('ORDENES'!$O727="","-",'ORDENES'!$O727))</f>
        <v/>
      </c>
      <c r="B749" s="3">
        <f>IF('ORDENES'!$A727="","",IF('ORDENES'!$R727="","-",'ORDENES'!$R727))</f>
        <v/>
      </c>
      <c r="C749" s="3">
        <f>IF('ORDENES'!$A727="","",IF('ORDENES'!$AF727="","-",'ORDENES'!$AF727))</f>
        <v/>
      </c>
      <c r="D749" s="3">
        <f>IF('ORDENES'!$A727="","",IF('ORDENES'!$X727="","-",'ORDENES'!$X727))</f>
        <v/>
      </c>
      <c r="E749" s="3">
        <f>IF('ORDENES'!$A727="","",IF('ORDENES'!$V727="","-",'ORDENES'!$V727))</f>
        <v/>
      </c>
      <c r="F749" s="3">
        <f>IF('ORDENES'!$A727="","",IF('ORDENES'!$Y727="","-",'ORDENES'!$Y727))</f>
        <v/>
      </c>
      <c r="G749" s="3">
        <f>IF('ORDENES'!$A727="","",IF('ORDENES'!$W727="","-",'ORDENES'!$W727))</f>
        <v/>
      </c>
      <c r="H749" s="3">
        <f>IF('ORDENES'!$A727="","",IF('ORDENES'!$AE727="","-",'ORDENES'!$AE727))</f>
        <v/>
      </c>
      <c r="I749" s="3">
        <f>IF('ORDENES'!$A727="","",IF('ORDENES'!$AQ727="","-",'ORDENES'!$AQ727))</f>
        <v/>
      </c>
      <c r="J749" s="3">
        <f>IF('ORDENES'!$A727="","",IF('ORDENES'!$D727="","-",'ORDENES'!$D727))</f>
        <v/>
      </c>
      <c r="K749" s="3">
        <f>IF('ORDENES'!$A727="","",IF('ORDENES'!$E727="","-",'ORDENES'!$E727))</f>
        <v/>
      </c>
      <c r="L749" s="13">
        <f>IF('ORDENES'!$A727="","",IF('ORDENES'!$M727="",0,'ORDENES'!$M727))</f>
        <v/>
      </c>
      <c r="M749" s="3">
        <f>IF('ORDENES'!$A727="","",IF('ORDENES'!$N727="","-",'ORDENES'!$N727))</f>
        <v/>
      </c>
      <c r="N749" s="3">
        <f>IF('ORDENES'!$A727="","",'ORDENES'!$AD727)</f>
        <v/>
      </c>
    </row>
    <row r="750">
      <c r="A750" s="3">
        <f>IF('ORDENES'!$A728="","",IF('ORDENES'!$O728="","-",'ORDENES'!$O728))</f>
        <v/>
      </c>
      <c r="B750" s="3">
        <f>IF('ORDENES'!$A728="","",IF('ORDENES'!$R728="","-",'ORDENES'!$R728))</f>
        <v/>
      </c>
      <c r="C750" s="3">
        <f>IF('ORDENES'!$A728="","",IF('ORDENES'!$AF728="","-",'ORDENES'!$AF728))</f>
        <v/>
      </c>
      <c r="D750" s="3">
        <f>IF('ORDENES'!$A728="","",IF('ORDENES'!$X728="","-",'ORDENES'!$X728))</f>
        <v/>
      </c>
      <c r="E750" s="3">
        <f>IF('ORDENES'!$A728="","",IF('ORDENES'!$V728="","-",'ORDENES'!$V728))</f>
        <v/>
      </c>
      <c r="F750" s="3">
        <f>IF('ORDENES'!$A728="","",IF('ORDENES'!$Y728="","-",'ORDENES'!$Y728))</f>
        <v/>
      </c>
      <c r="G750" s="3">
        <f>IF('ORDENES'!$A728="","",IF('ORDENES'!$W728="","-",'ORDENES'!$W728))</f>
        <v/>
      </c>
      <c r="H750" s="3">
        <f>IF('ORDENES'!$A728="","",IF('ORDENES'!$AE728="","-",'ORDENES'!$AE728))</f>
        <v/>
      </c>
      <c r="I750" s="3">
        <f>IF('ORDENES'!$A728="","",IF('ORDENES'!$AQ728="","-",'ORDENES'!$AQ728))</f>
        <v/>
      </c>
      <c r="J750" s="3">
        <f>IF('ORDENES'!$A728="","",IF('ORDENES'!$D728="","-",'ORDENES'!$D728))</f>
        <v/>
      </c>
      <c r="K750" s="3">
        <f>IF('ORDENES'!$A728="","",IF('ORDENES'!$E728="","-",'ORDENES'!$E728))</f>
        <v/>
      </c>
      <c r="L750" s="13">
        <f>IF('ORDENES'!$A728="","",IF('ORDENES'!$M728="",0,'ORDENES'!$M728))</f>
        <v/>
      </c>
      <c r="M750" s="3">
        <f>IF('ORDENES'!$A728="","",IF('ORDENES'!$N728="","-",'ORDENES'!$N728))</f>
        <v/>
      </c>
      <c r="N750" s="3">
        <f>IF('ORDENES'!$A728="","",'ORDENES'!$AD728)</f>
        <v/>
      </c>
    </row>
    <row r="751">
      <c r="A751" s="3">
        <f>IF('ORDENES'!$A729="","",IF('ORDENES'!$O729="","-",'ORDENES'!$O729))</f>
        <v/>
      </c>
      <c r="B751" s="3">
        <f>IF('ORDENES'!$A729="","",IF('ORDENES'!$R729="","-",'ORDENES'!$R729))</f>
        <v/>
      </c>
      <c r="C751" s="3">
        <f>IF('ORDENES'!$A729="","",IF('ORDENES'!$AF729="","-",'ORDENES'!$AF729))</f>
        <v/>
      </c>
      <c r="D751" s="3">
        <f>IF('ORDENES'!$A729="","",IF('ORDENES'!$X729="","-",'ORDENES'!$X729))</f>
        <v/>
      </c>
      <c r="E751" s="3">
        <f>IF('ORDENES'!$A729="","",IF('ORDENES'!$V729="","-",'ORDENES'!$V729))</f>
        <v/>
      </c>
      <c r="F751" s="3">
        <f>IF('ORDENES'!$A729="","",IF('ORDENES'!$Y729="","-",'ORDENES'!$Y729))</f>
        <v/>
      </c>
      <c r="G751" s="3">
        <f>IF('ORDENES'!$A729="","",IF('ORDENES'!$W729="","-",'ORDENES'!$W729))</f>
        <v/>
      </c>
      <c r="H751" s="3">
        <f>IF('ORDENES'!$A729="","",IF('ORDENES'!$AE729="","-",'ORDENES'!$AE729))</f>
        <v/>
      </c>
      <c r="I751" s="3">
        <f>IF('ORDENES'!$A729="","",IF('ORDENES'!$AQ729="","-",'ORDENES'!$AQ729))</f>
        <v/>
      </c>
      <c r="J751" s="3">
        <f>IF('ORDENES'!$A729="","",IF('ORDENES'!$D729="","-",'ORDENES'!$D729))</f>
        <v/>
      </c>
      <c r="K751" s="3">
        <f>IF('ORDENES'!$A729="","",IF('ORDENES'!$E729="","-",'ORDENES'!$E729))</f>
        <v/>
      </c>
      <c r="L751" s="13">
        <f>IF('ORDENES'!$A729="","",IF('ORDENES'!$M729="",0,'ORDENES'!$M729))</f>
        <v/>
      </c>
      <c r="M751" s="3">
        <f>IF('ORDENES'!$A729="","",IF('ORDENES'!$N729="","-",'ORDENES'!$N729))</f>
        <v/>
      </c>
      <c r="N751" s="3">
        <f>IF('ORDENES'!$A729="","",'ORDENES'!$AD729)</f>
        <v/>
      </c>
    </row>
    <row r="752">
      <c r="A752" s="3">
        <f>IF('ORDENES'!$A730="","",IF('ORDENES'!$O730="","-",'ORDENES'!$O730))</f>
        <v/>
      </c>
      <c r="B752" s="3">
        <f>IF('ORDENES'!$A730="","",IF('ORDENES'!$R730="","-",'ORDENES'!$R730))</f>
        <v/>
      </c>
      <c r="C752" s="3">
        <f>IF('ORDENES'!$A730="","",IF('ORDENES'!$AF730="","-",'ORDENES'!$AF730))</f>
        <v/>
      </c>
      <c r="D752" s="3">
        <f>IF('ORDENES'!$A730="","",IF('ORDENES'!$X730="","-",'ORDENES'!$X730))</f>
        <v/>
      </c>
      <c r="E752" s="3">
        <f>IF('ORDENES'!$A730="","",IF('ORDENES'!$V730="","-",'ORDENES'!$V730))</f>
        <v/>
      </c>
      <c r="F752" s="3">
        <f>IF('ORDENES'!$A730="","",IF('ORDENES'!$Y730="","-",'ORDENES'!$Y730))</f>
        <v/>
      </c>
      <c r="G752" s="3">
        <f>IF('ORDENES'!$A730="","",IF('ORDENES'!$W730="","-",'ORDENES'!$W730))</f>
        <v/>
      </c>
      <c r="H752" s="3">
        <f>IF('ORDENES'!$A730="","",IF('ORDENES'!$AE730="","-",'ORDENES'!$AE730))</f>
        <v/>
      </c>
      <c r="I752" s="3">
        <f>IF('ORDENES'!$A730="","",IF('ORDENES'!$AQ730="","-",'ORDENES'!$AQ730))</f>
        <v/>
      </c>
      <c r="J752" s="3">
        <f>IF('ORDENES'!$A730="","",IF('ORDENES'!$D730="","-",'ORDENES'!$D730))</f>
        <v/>
      </c>
      <c r="K752" s="3">
        <f>IF('ORDENES'!$A730="","",IF('ORDENES'!$E730="","-",'ORDENES'!$E730))</f>
        <v/>
      </c>
      <c r="L752" s="13">
        <f>IF('ORDENES'!$A730="","",IF('ORDENES'!$M730="",0,'ORDENES'!$M730))</f>
        <v/>
      </c>
      <c r="M752" s="3">
        <f>IF('ORDENES'!$A730="","",IF('ORDENES'!$N730="","-",'ORDENES'!$N730))</f>
        <v/>
      </c>
      <c r="N752" s="3">
        <f>IF('ORDENES'!$A730="","",'ORDENES'!$AD730)</f>
        <v/>
      </c>
    </row>
    <row r="753">
      <c r="A753" s="3">
        <f>IF('ORDENES'!$A731="","",IF('ORDENES'!$O731="","-",'ORDENES'!$O731))</f>
        <v/>
      </c>
      <c r="B753" s="3">
        <f>IF('ORDENES'!$A731="","",IF('ORDENES'!$R731="","-",'ORDENES'!$R731))</f>
        <v/>
      </c>
      <c r="C753" s="3">
        <f>IF('ORDENES'!$A731="","",IF('ORDENES'!$AF731="","-",'ORDENES'!$AF731))</f>
        <v/>
      </c>
      <c r="D753" s="3">
        <f>IF('ORDENES'!$A731="","",IF('ORDENES'!$X731="","-",'ORDENES'!$X731))</f>
        <v/>
      </c>
      <c r="E753" s="3">
        <f>IF('ORDENES'!$A731="","",IF('ORDENES'!$V731="","-",'ORDENES'!$V731))</f>
        <v/>
      </c>
      <c r="F753" s="3">
        <f>IF('ORDENES'!$A731="","",IF('ORDENES'!$Y731="","-",'ORDENES'!$Y731))</f>
        <v/>
      </c>
      <c r="G753" s="3">
        <f>IF('ORDENES'!$A731="","",IF('ORDENES'!$W731="","-",'ORDENES'!$W731))</f>
        <v/>
      </c>
      <c r="H753" s="3">
        <f>IF('ORDENES'!$A731="","",IF('ORDENES'!$AE731="","-",'ORDENES'!$AE731))</f>
        <v/>
      </c>
      <c r="I753" s="3">
        <f>IF('ORDENES'!$A731="","",IF('ORDENES'!$AQ731="","-",'ORDENES'!$AQ731))</f>
        <v/>
      </c>
      <c r="J753" s="3">
        <f>IF('ORDENES'!$A731="","",IF('ORDENES'!$D731="","-",'ORDENES'!$D731))</f>
        <v/>
      </c>
      <c r="K753" s="3">
        <f>IF('ORDENES'!$A731="","",IF('ORDENES'!$E731="","-",'ORDENES'!$E731))</f>
        <v/>
      </c>
      <c r="L753" s="13">
        <f>IF('ORDENES'!$A731="","",IF('ORDENES'!$M731="",0,'ORDENES'!$M731))</f>
        <v/>
      </c>
      <c r="M753" s="3">
        <f>IF('ORDENES'!$A731="","",IF('ORDENES'!$N731="","-",'ORDENES'!$N731))</f>
        <v/>
      </c>
      <c r="N753" s="3">
        <f>IF('ORDENES'!$A731="","",'ORDENES'!$AD731)</f>
        <v/>
      </c>
    </row>
    <row r="754">
      <c r="A754" s="3">
        <f>IF('ORDENES'!$A732="","",IF('ORDENES'!$O732="","-",'ORDENES'!$O732))</f>
        <v/>
      </c>
      <c r="B754" s="3">
        <f>IF('ORDENES'!$A732="","",IF('ORDENES'!$R732="","-",'ORDENES'!$R732))</f>
        <v/>
      </c>
      <c r="C754" s="3">
        <f>IF('ORDENES'!$A732="","",IF('ORDENES'!$AF732="","-",'ORDENES'!$AF732))</f>
        <v/>
      </c>
      <c r="D754" s="3">
        <f>IF('ORDENES'!$A732="","",IF('ORDENES'!$X732="","-",'ORDENES'!$X732))</f>
        <v/>
      </c>
      <c r="E754" s="3">
        <f>IF('ORDENES'!$A732="","",IF('ORDENES'!$V732="","-",'ORDENES'!$V732))</f>
        <v/>
      </c>
      <c r="F754" s="3">
        <f>IF('ORDENES'!$A732="","",IF('ORDENES'!$Y732="","-",'ORDENES'!$Y732))</f>
        <v/>
      </c>
      <c r="G754" s="3">
        <f>IF('ORDENES'!$A732="","",IF('ORDENES'!$W732="","-",'ORDENES'!$W732))</f>
        <v/>
      </c>
      <c r="H754" s="3">
        <f>IF('ORDENES'!$A732="","",IF('ORDENES'!$AE732="","-",'ORDENES'!$AE732))</f>
        <v/>
      </c>
      <c r="I754" s="3">
        <f>IF('ORDENES'!$A732="","",IF('ORDENES'!$AQ732="","-",'ORDENES'!$AQ732))</f>
        <v/>
      </c>
      <c r="J754" s="3">
        <f>IF('ORDENES'!$A732="","",IF('ORDENES'!$D732="","-",'ORDENES'!$D732))</f>
        <v/>
      </c>
      <c r="K754" s="3">
        <f>IF('ORDENES'!$A732="","",IF('ORDENES'!$E732="","-",'ORDENES'!$E732))</f>
        <v/>
      </c>
      <c r="L754" s="13">
        <f>IF('ORDENES'!$A732="","",IF('ORDENES'!$M732="",0,'ORDENES'!$M732))</f>
        <v/>
      </c>
      <c r="M754" s="3">
        <f>IF('ORDENES'!$A732="","",IF('ORDENES'!$N732="","-",'ORDENES'!$N732))</f>
        <v/>
      </c>
      <c r="N754" s="3">
        <f>IF('ORDENES'!$A732="","",'ORDENES'!$AD732)</f>
        <v/>
      </c>
    </row>
    <row r="755">
      <c r="A755" s="3">
        <f>IF('ORDENES'!$A733="","",IF('ORDENES'!$O733="","-",'ORDENES'!$O733))</f>
        <v/>
      </c>
      <c r="B755" s="3">
        <f>IF('ORDENES'!$A733="","",IF('ORDENES'!$R733="","-",'ORDENES'!$R733))</f>
        <v/>
      </c>
      <c r="C755" s="3">
        <f>IF('ORDENES'!$A733="","",IF('ORDENES'!$AF733="","-",'ORDENES'!$AF733))</f>
        <v/>
      </c>
      <c r="D755" s="3">
        <f>IF('ORDENES'!$A733="","",IF('ORDENES'!$X733="","-",'ORDENES'!$X733))</f>
        <v/>
      </c>
      <c r="E755" s="3">
        <f>IF('ORDENES'!$A733="","",IF('ORDENES'!$V733="","-",'ORDENES'!$V733))</f>
        <v/>
      </c>
      <c r="F755" s="3">
        <f>IF('ORDENES'!$A733="","",IF('ORDENES'!$Y733="","-",'ORDENES'!$Y733))</f>
        <v/>
      </c>
      <c r="G755" s="3">
        <f>IF('ORDENES'!$A733="","",IF('ORDENES'!$W733="","-",'ORDENES'!$W733))</f>
        <v/>
      </c>
      <c r="H755" s="3">
        <f>IF('ORDENES'!$A733="","",IF('ORDENES'!$AE733="","-",'ORDENES'!$AE733))</f>
        <v/>
      </c>
      <c r="I755" s="3">
        <f>IF('ORDENES'!$A733="","",IF('ORDENES'!$AQ733="","-",'ORDENES'!$AQ733))</f>
        <v/>
      </c>
      <c r="J755" s="3">
        <f>IF('ORDENES'!$A733="","",IF('ORDENES'!$D733="","-",'ORDENES'!$D733))</f>
        <v/>
      </c>
      <c r="K755" s="3">
        <f>IF('ORDENES'!$A733="","",IF('ORDENES'!$E733="","-",'ORDENES'!$E733))</f>
        <v/>
      </c>
      <c r="L755" s="13">
        <f>IF('ORDENES'!$A733="","",IF('ORDENES'!$M733="",0,'ORDENES'!$M733))</f>
        <v/>
      </c>
      <c r="M755" s="3">
        <f>IF('ORDENES'!$A733="","",IF('ORDENES'!$N733="","-",'ORDENES'!$N733))</f>
        <v/>
      </c>
      <c r="N755" s="3">
        <f>IF('ORDENES'!$A733="","",'ORDENES'!$AD733)</f>
        <v/>
      </c>
    </row>
    <row r="756">
      <c r="A756" s="3">
        <f>IF('ORDENES'!$A734="","",IF('ORDENES'!$O734="","-",'ORDENES'!$O734))</f>
        <v/>
      </c>
      <c r="B756" s="3">
        <f>IF('ORDENES'!$A734="","",IF('ORDENES'!$R734="","-",'ORDENES'!$R734))</f>
        <v/>
      </c>
      <c r="C756" s="3">
        <f>IF('ORDENES'!$A734="","",IF('ORDENES'!$AF734="","-",'ORDENES'!$AF734))</f>
        <v/>
      </c>
      <c r="D756" s="3">
        <f>IF('ORDENES'!$A734="","",IF('ORDENES'!$X734="","-",'ORDENES'!$X734))</f>
        <v/>
      </c>
      <c r="E756" s="3">
        <f>IF('ORDENES'!$A734="","",IF('ORDENES'!$V734="","-",'ORDENES'!$V734))</f>
        <v/>
      </c>
      <c r="F756" s="3">
        <f>IF('ORDENES'!$A734="","",IF('ORDENES'!$Y734="","-",'ORDENES'!$Y734))</f>
        <v/>
      </c>
      <c r="G756" s="3">
        <f>IF('ORDENES'!$A734="","",IF('ORDENES'!$W734="","-",'ORDENES'!$W734))</f>
        <v/>
      </c>
      <c r="H756" s="3">
        <f>IF('ORDENES'!$A734="","",IF('ORDENES'!$AE734="","-",'ORDENES'!$AE734))</f>
        <v/>
      </c>
      <c r="I756" s="3">
        <f>IF('ORDENES'!$A734="","",IF('ORDENES'!$AQ734="","-",'ORDENES'!$AQ734))</f>
        <v/>
      </c>
      <c r="J756" s="3">
        <f>IF('ORDENES'!$A734="","",IF('ORDENES'!$D734="","-",'ORDENES'!$D734))</f>
        <v/>
      </c>
      <c r="K756" s="3">
        <f>IF('ORDENES'!$A734="","",IF('ORDENES'!$E734="","-",'ORDENES'!$E734))</f>
        <v/>
      </c>
      <c r="L756" s="13">
        <f>IF('ORDENES'!$A734="","",IF('ORDENES'!$M734="",0,'ORDENES'!$M734))</f>
        <v/>
      </c>
      <c r="M756" s="3">
        <f>IF('ORDENES'!$A734="","",IF('ORDENES'!$N734="","-",'ORDENES'!$N734))</f>
        <v/>
      </c>
      <c r="N756" s="3">
        <f>IF('ORDENES'!$A734="","",'ORDENES'!$AD734)</f>
        <v/>
      </c>
    </row>
    <row r="757">
      <c r="A757" s="3">
        <f>IF('ORDENES'!$A735="","",IF('ORDENES'!$O735="","-",'ORDENES'!$O735))</f>
        <v/>
      </c>
      <c r="B757" s="3">
        <f>IF('ORDENES'!$A735="","",IF('ORDENES'!$R735="","-",'ORDENES'!$R735))</f>
        <v/>
      </c>
      <c r="C757" s="3">
        <f>IF('ORDENES'!$A735="","",IF('ORDENES'!$AF735="","-",'ORDENES'!$AF735))</f>
        <v/>
      </c>
      <c r="D757" s="3">
        <f>IF('ORDENES'!$A735="","",IF('ORDENES'!$X735="","-",'ORDENES'!$X735))</f>
        <v/>
      </c>
      <c r="E757" s="3">
        <f>IF('ORDENES'!$A735="","",IF('ORDENES'!$V735="","-",'ORDENES'!$V735))</f>
        <v/>
      </c>
      <c r="F757" s="3">
        <f>IF('ORDENES'!$A735="","",IF('ORDENES'!$Y735="","-",'ORDENES'!$Y735))</f>
        <v/>
      </c>
      <c r="G757" s="3">
        <f>IF('ORDENES'!$A735="","",IF('ORDENES'!$W735="","-",'ORDENES'!$W735))</f>
        <v/>
      </c>
      <c r="H757" s="3">
        <f>IF('ORDENES'!$A735="","",IF('ORDENES'!$AE735="","-",'ORDENES'!$AE735))</f>
        <v/>
      </c>
      <c r="I757" s="3">
        <f>IF('ORDENES'!$A735="","",IF('ORDENES'!$AQ735="","-",'ORDENES'!$AQ735))</f>
        <v/>
      </c>
      <c r="J757" s="3">
        <f>IF('ORDENES'!$A735="","",IF('ORDENES'!$D735="","-",'ORDENES'!$D735))</f>
        <v/>
      </c>
      <c r="K757" s="3">
        <f>IF('ORDENES'!$A735="","",IF('ORDENES'!$E735="","-",'ORDENES'!$E735))</f>
        <v/>
      </c>
      <c r="L757" s="13">
        <f>IF('ORDENES'!$A735="","",IF('ORDENES'!$M735="",0,'ORDENES'!$M735))</f>
        <v/>
      </c>
      <c r="M757" s="3">
        <f>IF('ORDENES'!$A735="","",IF('ORDENES'!$N735="","-",'ORDENES'!$N735))</f>
        <v/>
      </c>
      <c r="N757" s="3">
        <f>IF('ORDENES'!$A735="","",'ORDENES'!$AD735)</f>
        <v/>
      </c>
    </row>
    <row r="758">
      <c r="A758" s="3">
        <f>IF('ORDENES'!$A736="","",IF('ORDENES'!$O736="","-",'ORDENES'!$O736))</f>
        <v/>
      </c>
      <c r="B758" s="3">
        <f>IF('ORDENES'!$A736="","",IF('ORDENES'!$R736="","-",'ORDENES'!$R736))</f>
        <v/>
      </c>
      <c r="C758" s="3">
        <f>IF('ORDENES'!$A736="","",IF('ORDENES'!$AF736="","-",'ORDENES'!$AF736))</f>
        <v/>
      </c>
      <c r="D758" s="3">
        <f>IF('ORDENES'!$A736="","",IF('ORDENES'!$X736="","-",'ORDENES'!$X736))</f>
        <v/>
      </c>
      <c r="E758" s="3">
        <f>IF('ORDENES'!$A736="","",IF('ORDENES'!$V736="","-",'ORDENES'!$V736))</f>
        <v/>
      </c>
      <c r="F758" s="3">
        <f>IF('ORDENES'!$A736="","",IF('ORDENES'!$Y736="","-",'ORDENES'!$Y736))</f>
        <v/>
      </c>
      <c r="G758" s="3">
        <f>IF('ORDENES'!$A736="","",IF('ORDENES'!$W736="","-",'ORDENES'!$W736))</f>
        <v/>
      </c>
      <c r="H758" s="3">
        <f>IF('ORDENES'!$A736="","",IF('ORDENES'!$AE736="","-",'ORDENES'!$AE736))</f>
        <v/>
      </c>
      <c r="I758" s="3">
        <f>IF('ORDENES'!$A736="","",IF('ORDENES'!$AQ736="","-",'ORDENES'!$AQ736))</f>
        <v/>
      </c>
      <c r="J758" s="3">
        <f>IF('ORDENES'!$A736="","",IF('ORDENES'!$D736="","-",'ORDENES'!$D736))</f>
        <v/>
      </c>
      <c r="K758" s="3">
        <f>IF('ORDENES'!$A736="","",IF('ORDENES'!$E736="","-",'ORDENES'!$E736))</f>
        <v/>
      </c>
      <c r="L758" s="13">
        <f>IF('ORDENES'!$A736="","",IF('ORDENES'!$M736="",0,'ORDENES'!$M736))</f>
        <v/>
      </c>
      <c r="M758" s="3">
        <f>IF('ORDENES'!$A736="","",IF('ORDENES'!$N736="","-",'ORDENES'!$N736))</f>
        <v/>
      </c>
      <c r="N758" s="3">
        <f>IF('ORDENES'!$A736="","",'ORDENES'!$AD736)</f>
        <v/>
      </c>
    </row>
    <row r="759">
      <c r="A759" s="3">
        <f>IF('ORDENES'!$A737="","",IF('ORDENES'!$O737="","-",'ORDENES'!$O737))</f>
        <v/>
      </c>
      <c r="B759" s="3">
        <f>IF('ORDENES'!$A737="","",IF('ORDENES'!$R737="","-",'ORDENES'!$R737))</f>
        <v/>
      </c>
      <c r="C759" s="3">
        <f>IF('ORDENES'!$A737="","",IF('ORDENES'!$AF737="","-",'ORDENES'!$AF737))</f>
        <v/>
      </c>
      <c r="D759" s="3">
        <f>IF('ORDENES'!$A737="","",IF('ORDENES'!$X737="","-",'ORDENES'!$X737))</f>
        <v/>
      </c>
      <c r="E759" s="3">
        <f>IF('ORDENES'!$A737="","",IF('ORDENES'!$V737="","-",'ORDENES'!$V737))</f>
        <v/>
      </c>
      <c r="F759" s="3">
        <f>IF('ORDENES'!$A737="","",IF('ORDENES'!$Y737="","-",'ORDENES'!$Y737))</f>
        <v/>
      </c>
      <c r="G759" s="3">
        <f>IF('ORDENES'!$A737="","",IF('ORDENES'!$W737="","-",'ORDENES'!$W737))</f>
        <v/>
      </c>
      <c r="H759" s="3">
        <f>IF('ORDENES'!$A737="","",IF('ORDENES'!$AE737="","-",'ORDENES'!$AE737))</f>
        <v/>
      </c>
      <c r="I759" s="3">
        <f>IF('ORDENES'!$A737="","",IF('ORDENES'!$AQ737="","-",'ORDENES'!$AQ737))</f>
        <v/>
      </c>
      <c r="J759" s="3">
        <f>IF('ORDENES'!$A737="","",IF('ORDENES'!$D737="","-",'ORDENES'!$D737))</f>
        <v/>
      </c>
      <c r="K759" s="3">
        <f>IF('ORDENES'!$A737="","",IF('ORDENES'!$E737="","-",'ORDENES'!$E737))</f>
        <v/>
      </c>
      <c r="L759" s="13">
        <f>IF('ORDENES'!$A737="","",IF('ORDENES'!$M737="",0,'ORDENES'!$M737))</f>
        <v/>
      </c>
      <c r="M759" s="3">
        <f>IF('ORDENES'!$A737="","",IF('ORDENES'!$N737="","-",'ORDENES'!$N737))</f>
        <v/>
      </c>
      <c r="N759" s="3">
        <f>IF('ORDENES'!$A737="","",'ORDENES'!$AD737)</f>
        <v/>
      </c>
    </row>
    <row r="760">
      <c r="A760" s="3">
        <f>IF('ORDENES'!$A738="","",IF('ORDENES'!$O738="","-",'ORDENES'!$O738))</f>
        <v/>
      </c>
      <c r="B760" s="3">
        <f>IF('ORDENES'!$A738="","",IF('ORDENES'!$R738="","-",'ORDENES'!$R738))</f>
        <v/>
      </c>
      <c r="C760" s="3">
        <f>IF('ORDENES'!$A738="","",IF('ORDENES'!$AF738="","-",'ORDENES'!$AF738))</f>
        <v/>
      </c>
      <c r="D760" s="3">
        <f>IF('ORDENES'!$A738="","",IF('ORDENES'!$X738="","-",'ORDENES'!$X738))</f>
        <v/>
      </c>
      <c r="E760" s="3">
        <f>IF('ORDENES'!$A738="","",IF('ORDENES'!$V738="","-",'ORDENES'!$V738))</f>
        <v/>
      </c>
      <c r="F760" s="3">
        <f>IF('ORDENES'!$A738="","",IF('ORDENES'!$Y738="","-",'ORDENES'!$Y738))</f>
        <v/>
      </c>
      <c r="G760" s="3">
        <f>IF('ORDENES'!$A738="","",IF('ORDENES'!$W738="","-",'ORDENES'!$W738))</f>
        <v/>
      </c>
      <c r="H760" s="3">
        <f>IF('ORDENES'!$A738="","",IF('ORDENES'!$AE738="","-",'ORDENES'!$AE738))</f>
        <v/>
      </c>
      <c r="I760" s="3">
        <f>IF('ORDENES'!$A738="","",IF('ORDENES'!$AQ738="","-",'ORDENES'!$AQ738))</f>
        <v/>
      </c>
      <c r="J760" s="3">
        <f>IF('ORDENES'!$A738="","",IF('ORDENES'!$D738="","-",'ORDENES'!$D738))</f>
        <v/>
      </c>
      <c r="K760" s="3">
        <f>IF('ORDENES'!$A738="","",IF('ORDENES'!$E738="","-",'ORDENES'!$E738))</f>
        <v/>
      </c>
      <c r="L760" s="13">
        <f>IF('ORDENES'!$A738="","",IF('ORDENES'!$M738="",0,'ORDENES'!$M738))</f>
        <v/>
      </c>
      <c r="M760" s="3">
        <f>IF('ORDENES'!$A738="","",IF('ORDENES'!$N738="","-",'ORDENES'!$N738))</f>
        <v/>
      </c>
      <c r="N760" s="3">
        <f>IF('ORDENES'!$A738="","",'ORDENES'!$AD738)</f>
        <v/>
      </c>
    </row>
    <row r="761">
      <c r="A761" s="3">
        <f>IF('ORDENES'!$A739="","",IF('ORDENES'!$O739="","-",'ORDENES'!$O739))</f>
        <v/>
      </c>
      <c r="B761" s="3">
        <f>IF('ORDENES'!$A739="","",IF('ORDENES'!$R739="","-",'ORDENES'!$R739))</f>
        <v/>
      </c>
      <c r="C761" s="3">
        <f>IF('ORDENES'!$A739="","",IF('ORDENES'!$AF739="","-",'ORDENES'!$AF739))</f>
        <v/>
      </c>
      <c r="D761" s="3">
        <f>IF('ORDENES'!$A739="","",IF('ORDENES'!$X739="","-",'ORDENES'!$X739))</f>
        <v/>
      </c>
      <c r="E761" s="3">
        <f>IF('ORDENES'!$A739="","",IF('ORDENES'!$V739="","-",'ORDENES'!$V739))</f>
        <v/>
      </c>
      <c r="F761" s="3">
        <f>IF('ORDENES'!$A739="","",IF('ORDENES'!$Y739="","-",'ORDENES'!$Y739))</f>
        <v/>
      </c>
      <c r="G761" s="3">
        <f>IF('ORDENES'!$A739="","",IF('ORDENES'!$W739="","-",'ORDENES'!$W739))</f>
        <v/>
      </c>
      <c r="H761" s="3">
        <f>IF('ORDENES'!$A739="","",IF('ORDENES'!$AE739="","-",'ORDENES'!$AE739))</f>
        <v/>
      </c>
      <c r="I761" s="3">
        <f>IF('ORDENES'!$A739="","",IF('ORDENES'!$AQ739="","-",'ORDENES'!$AQ739))</f>
        <v/>
      </c>
      <c r="J761" s="3">
        <f>IF('ORDENES'!$A739="","",IF('ORDENES'!$D739="","-",'ORDENES'!$D739))</f>
        <v/>
      </c>
      <c r="K761" s="3">
        <f>IF('ORDENES'!$A739="","",IF('ORDENES'!$E739="","-",'ORDENES'!$E739))</f>
        <v/>
      </c>
      <c r="L761" s="13">
        <f>IF('ORDENES'!$A739="","",IF('ORDENES'!$M739="",0,'ORDENES'!$M739))</f>
        <v/>
      </c>
      <c r="M761" s="3">
        <f>IF('ORDENES'!$A739="","",IF('ORDENES'!$N739="","-",'ORDENES'!$N739))</f>
        <v/>
      </c>
      <c r="N761" s="3">
        <f>IF('ORDENES'!$A739="","",'ORDENES'!$AD739)</f>
        <v/>
      </c>
    </row>
    <row r="762">
      <c r="A762" s="3">
        <f>IF('ORDENES'!$A740="","",IF('ORDENES'!$O740="","-",'ORDENES'!$O740))</f>
        <v/>
      </c>
      <c r="B762" s="3">
        <f>IF('ORDENES'!$A740="","",IF('ORDENES'!$R740="","-",'ORDENES'!$R740))</f>
        <v/>
      </c>
      <c r="C762" s="3">
        <f>IF('ORDENES'!$A740="","",IF('ORDENES'!$AF740="","-",'ORDENES'!$AF740))</f>
        <v/>
      </c>
      <c r="D762" s="3">
        <f>IF('ORDENES'!$A740="","",IF('ORDENES'!$X740="","-",'ORDENES'!$X740))</f>
        <v/>
      </c>
      <c r="E762" s="3">
        <f>IF('ORDENES'!$A740="","",IF('ORDENES'!$V740="","-",'ORDENES'!$V740))</f>
        <v/>
      </c>
      <c r="F762" s="3">
        <f>IF('ORDENES'!$A740="","",IF('ORDENES'!$Y740="","-",'ORDENES'!$Y740))</f>
        <v/>
      </c>
      <c r="G762" s="3">
        <f>IF('ORDENES'!$A740="","",IF('ORDENES'!$W740="","-",'ORDENES'!$W740))</f>
        <v/>
      </c>
      <c r="H762" s="3">
        <f>IF('ORDENES'!$A740="","",IF('ORDENES'!$AE740="","-",'ORDENES'!$AE740))</f>
        <v/>
      </c>
      <c r="I762" s="3">
        <f>IF('ORDENES'!$A740="","",IF('ORDENES'!$AQ740="","-",'ORDENES'!$AQ740))</f>
        <v/>
      </c>
      <c r="J762" s="3">
        <f>IF('ORDENES'!$A740="","",IF('ORDENES'!$D740="","-",'ORDENES'!$D740))</f>
        <v/>
      </c>
      <c r="K762" s="3">
        <f>IF('ORDENES'!$A740="","",IF('ORDENES'!$E740="","-",'ORDENES'!$E740))</f>
        <v/>
      </c>
      <c r="L762" s="13">
        <f>IF('ORDENES'!$A740="","",IF('ORDENES'!$M740="",0,'ORDENES'!$M740))</f>
        <v/>
      </c>
      <c r="M762" s="3">
        <f>IF('ORDENES'!$A740="","",IF('ORDENES'!$N740="","-",'ORDENES'!$N740))</f>
        <v/>
      </c>
      <c r="N762" s="3">
        <f>IF('ORDENES'!$A740="","",'ORDENES'!$AD740)</f>
        <v/>
      </c>
    </row>
    <row r="763">
      <c r="A763" s="3">
        <f>IF('ORDENES'!$A741="","",IF('ORDENES'!$O741="","-",'ORDENES'!$O741))</f>
        <v/>
      </c>
      <c r="B763" s="3">
        <f>IF('ORDENES'!$A741="","",IF('ORDENES'!$R741="","-",'ORDENES'!$R741))</f>
        <v/>
      </c>
      <c r="C763" s="3">
        <f>IF('ORDENES'!$A741="","",IF('ORDENES'!$AF741="","-",'ORDENES'!$AF741))</f>
        <v/>
      </c>
      <c r="D763" s="3">
        <f>IF('ORDENES'!$A741="","",IF('ORDENES'!$X741="","-",'ORDENES'!$X741))</f>
        <v/>
      </c>
      <c r="E763" s="3">
        <f>IF('ORDENES'!$A741="","",IF('ORDENES'!$V741="","-",'ORDENES'!$V741))</f>
        <v/>
      </c>
      <c r="F763" s="3">
        <f>IF('ORDENES'!$A741="","",IF('ORDENES'!$Y741="","-",'ORDENES'!$Y741))</f>
        <v/>
      </c>
      <c r="G763" s="3">
        <f>IF('ORDENES'!$A741="","",IF('ORDENES'!$W741="","-",'ORDENES'!$W741))</f>
        <v/>
      </c>
      <c r="H763" s="3">
        <f>IF('ORDENES'!$A741="","",IF('ORDENES'!$AE741="","-",'ORDENES'!$AE741))</f>
        <v/>
      </c>
      <c r="I763" s="3">
        <f>IF('ORDENES'!$A741="","",IF('ORDENES'!$AQ741="","-",'ORDENES'!$AQ741))</f>
        <v/>
      </c>
      <c r="J763" s="3">
        <f>IF('ORDENES'!$A741="","",IF('ORDENES'!$D741="","-",'ORDENES'!$D741))</f>
        <v/>
      </c>
      <c r="K763" s="3">
        <f>IF('ORDENES'!$A741="","",IF('ORDENES'!$E741="","-",'ORDENES'!$E741))</f>
        <v/>
      </c>
      <c r="L763" s="13">
        <f>IF('ORDENES'!$A741="","",IF('ORDENES'!$M741="",0,'ORDENES'!$M741))</f>
        <v/>
      </c>
      <c r="M763" s="3">
        <f>IF('ORDENES'!$A741="","",IF('ORDENES'!$N741="","-",'ORDENES'!$N741))</f>
        <v/>
      </c>
      <c r="N763" s="3">
        <f>IF('ORDENES'!$A741="","",'ORDENES'!$AD741)</f>
        <v/>
      </c>
    </row>
    <row r="764">
      <c r="A764" s="3">
        <f>IF('ORDENES'!$A742="","",IF('ORDENES'!$O742="","-",'ORDENES'!$O742))</f>
        <v/>
      </c>
      <c r="B764" s="3">
        <f>IF('ORDENES'!$A742="","",IF('ORDENES'!$R742="","-",'ORDENES'!$R742))</f>
        <v/>
      </c>
      <c r="C764" s="3">
        <f>IF('ORDENES'!$A742="","",IF('ORDENES'!$AF742="","-",'ORDENES'!$AF742))</f>
        <v/>
      </c>
      <c r="D764" s="3">
        <f>IF('ORDENES'!$A742="","",IF('ORDENES'!$X742="","-",'ORDENES'!$X742))</f>
        <v/>
      </c>
      <c r="E764" s="3">
        <f>IF('ORDENES'!$A742="","",IF('ORDENES'!$V742="","-",'ORDENES'!$V742))</f>
        <v/>
      </c>
      <c r="F764" s="3">
        <f>IF('ORDENES'!$A742="","",IF('ORDENES'!$Y742="","-",'ORDENES'!$Y742))</f>
        <v/>
      </c>
      <c r="G764" s="3">
        <f>IF('ORDENES'!$A742="","",IF('ORDENES'!$W742="","-",'ORDENES'!$W742))</f>
        <v/>
      </c>
      <c r="H764" s="3">
        <f>IF('ORDENES'!$A742="","",IF('ORDENES'!$AE742="","-",'ORDENES'!$AE742))</f>
        <v/>
      </c>
      <c r="I764" s="3">
        <f>IF('ORDENES'!$A742="","",IF('ORDENES'!$AQ742="","-",'ORDENES'!$AQ742))</f>
        <v/>
      </c>
      <c r="J764" s="3">
        <f>IF('ORDENES'!$A742="","",IF('ORDENES'!$D742="","-",'ORDENES'!$D742))</f>
        <v/>
      </c>
      <c r="K764" s="3">
        <f>IF('ORDENES'!$A742="","",IF('ORDENES'!$E742="","-",'ORDENES'!$E742))</f>
        <v/>
      </c>
      <c r="L764" s="13">
        <f>IF('ORDENES'!$A742="","",IF('ORDENES'!$M742="",0,'ORDENES'!$M742))</f>
        <v/>
      </c>
      <c r="M764" s="3">
        <f>IF('ORDENES'!$A742="","",IF('ORDENES'!$N742="","-",'ORDENES'!$N742))</f>
        <v/>
      </c>
      <c r="N764" s="3">
        <f>IF('ORDENES'!$A742="","",'ORDENES'!$AD742)</f>
        <v/>
      </c>
    </row>
    <row r="765">
      <c r="A765" s="3">
        <f>IF('ORDENES'!$A743="","",IF('ORDENES'!$O743="","-",'ORDENES'!$O743))</f>
        <v/>
      </c>
      <c r="B765" s="3">
        <f>IF('ORDENES'!$A743="","",IF('ORDENES'!$R743="","-",'ORDENES'!$R743))</f>
        <v/>
      </c>
      <c r="C765" s="3">
        <f>IF('ORDENES'!$A743="","",IF('ORDENES'!$AF743="","-",'ORDENES'!$AF743))</f>
        <v/>
      </c>
      <c r="D765" s="3">
        <f>IF('ORDENES'!$A743="","",IF('ORDENES'!$X743="","-",'ORDENES'!$X743))</f>
        <v/>
      </c>
      <c r="E765" s="3">
        <f>IF('ORDENES'!$A743="","",IF('ORDENES'!$V743="","-",'ORDENES'!$V743))</f>
        <v/>
      </c>
      <c r="F765" s="3">
        <f>IF('ORDENES'!$A743="","",IF('ORDENES'!$Y743="","-",'ORDENES'!$Y743))</f>
        <v/>
      </c>
      <c r="G765" s="3">
        <f>IF('ORDENES'!$A743="","",IF('ORDENES'!$W743="","-",'ORDENES'!$W743))</f>
        <v/>
      </c>
      <c r="H765" s="3">
        <f>IF('ORDENES'!$A743="","",IF('ORDENES'!$AE743="","-",'ORDENES'!$AE743))</f>
        <v/>
      </c>
      <c r="I765" s="3">
        <f>IF('ORDENES'!$A743="","",IF('ORDENES'!$AQ743="","-",'ORDENES'!$AQ743))</f>
        <v/>
      </c>
      <c r="J765" s="3">
        <f>IF('ORDENES'!$A743="","",IF('ORDENES'!$D743="","-",'ORDENES'!$D743))</f>
        <v/>
      </c>
      <c r="K765" s="3">
        <f>IF('ORDENES'!$A743="","",IF('ORDENES'!$E743="","-",'ORDENES'!$E743))</f>
        <v/>
      </c>
      <c r="L765" s="13">
        <f>IF('ORDENES'!$A743="","",IF('ORDENES'!$M743="",0,'ORDENES'!$M743))</f>
        <v/>
      </c>
      <c r="M765" s="3">
        <f>IF('ORDENES'!$A743="","",IF('ORDENES'!$N743="","-",'ORDENES'!$N743))</f>
        <v/>
      </c>
      <c r="N765" s="3">
        <f>IF('ORDENES'!$A743="","",'ORDENES'!$AD743)</f>
        <v/>
      </c>
    </row>
    <row r="766">
      <c r="A766" s="3">
        <f>IF('ORDENES'!$A744="","",IF('ORDENES'!$O744="","-",'ORDENES'!$O744))</f>
        <v/>
      </c>
      <c r="B766" s="3">
        <f>IF('ORDENES'!$A744="","",IF('ORDENES'!$R744="","-",'ORDENES'!$R744))</f>
        <v/>
      </c>
      <c r="C766" s="3">
        <f>IF('ORDENES'!$A744="","",IF('ORDENES'!$AF744="","-",'ORDENES'!$AF744))</f>
        <v/>
      </c>
      <c r="D766" s="3">
        <f>IF('ORDENES'!$A744="","",IF('ORDENES'!$X744="","-",'ORDENES'!$X744))</f>
        <v/>
      </c>
      <c r="E766" s="3">
        <f>IF('ORDENES'!$A744="","",IF('ORDENES'!$V744="","-",'ORDENES'!$V744))</f>
        <v/>
      </c>
      <c r="F766" s="3">
        <f>IF('ORDENES'!$A744="","",IF('ORDENES'!$Y744="","-",'ORDENES'!$Y744))</f>
        <v/>
      </c>
      <c r="G766" s="3">
        <f>IF('ORDENES'!$A744="","",IF('ORDENES'!$W744="","-",'ORDENES'!$W744))</f>
        <v/>
      </c>
      <c r="H766" s="3">
        <f>IF('ORDENES'!$A744="","",IF('ORDENES'!$AE744="","-",'ORDENES'!$AE744))</f>
        <v/>
      </c>
      <c r="I766" s="3">
        <f>IF('ORDENES'!$A744="","",IF('ORDENES'!$AQ744="","-",'ORDENES'!$AQ744))</f>
        <v/>
      </c>
      <c r="J766" s="3">
        <f>IF('ORDENES'!$A744="","",IF('ORDENES'!$D744="","-",'ORDENES'!$D744))</f>
        <v/>
      </c>
      <c r="K766" s="3">
        <f>IF('ORDENES'!$A744="","",IF('ORDENES'!$E744="","-",'ORDENES'!$E744))</f>
        <v/>
      </c>
      <c r="L766" s="13">
        <f>IF('ORDENES'!$A744="","",IF('ORDENES'!$M744="",0,'ORDENES'!$M744))</f>
        <v/>
      </c>
      <c r="M766" s="3">
        <f>IF('ORDENES'!$A744="","",IF('ORDENES'!$N744="","-",'ORDENES'!$N744))</f>
        <v/>
      </c>
      <c r="N766" s="3">
        <f>IF('ORDENES'!$A744="","",'ORDENES'!$AD744)</f>
        <v/>
      </c>
    </row>
    <row r="767">
      <c r="A767" s="3">
        <f>IF('ORDENES'!$A745="","",IF('ORDENES'!$O745="","-",'ORDENES'!$O745))</f>
        <v/>
      </c>
      <c r="B767" s="3">
        <f>IF('ORDENES'!$A745="","",IF('ORDENES'!$R745="","-",'ORDENES'!$R745))</f>
        <v/>
      </c>
      <c r="C767" s="3">
        <f>IF('ORDENES'!$A745="","",IF('ORDENES'!$AF745="","-",'ORDENES'!$AF745))</f>
        <v/>
      </c>
      <c r="D767" s="3">
        <f>IF('ORDENES'!$A745="","",IF('ORDENES'!$X745="","-",'ORDENES'!$X745))</f>
        <v/>
      </c>
      <c r="E767" s="3">
        <f>IF('ORDENES'!$A745="","",IF('ORDENES'!$V745="","-",'ORDENES'!$V745))</f>
        <v/>
      </c>
      <c r="F767" s="3">
        <f>IF('ORDENES'!$A745="","",IF('ORDENES'!$Y745="","-",'ORDENES'!$Y745))</f>
        <v/>
      </c>
      <c r="G767" s="3">
        <f>IF('ORDENES'!$A745="","",IF('ORDENES'!$W745="","-",'ORDENES'!$W745))</f>
        <v/>
      </c>
      <c r="H767" s="3">
        <f>IF('ORDENES'!$A745="","",IF('ORDENES'!$AE745="","-",'ORDENES'!$AE745))</f>
        <v/>
      </c>
      <c r="I767" s="3">
        <f>IF('ORDENES'!$A745="","",IF('ORDENES'!$AQ745="","-",'ORDENES'!$AQ745))</f>
        <v/>
      </c>
      <c r="J767" s="3">
        <f>IF('ORDENES'!$A745="","",IF('ORDENES'!$D745="","-",'ORDENES'!$D745))</f>
        <v/>
      </c>
      <c r="K767" s="3">
        <f>IF('ORDENES'!$A745="","",IF('ORDENES'!$E745="","-",'ORDENES'!$E745))</f>
        <v/>
      </c>
      <c r="L767" s="13">
        <f>IF('ORDENES'!$A745="","",IF('ORDENES'!$M745="",0,'ORDENES'!$M745))</f>
        <v/>
      </c>
      <c r="M767" s="3">
        <f>IF('ORDENES'!$A745="","",IF('ORDENES'!$N745="","-",'ORDENES'!$N745))</f>
        <v/>
      </c>
      <c r="N767" s="3">
        <f>IF('ORDENES'!$A745="","",'ORDENES'!$AD745)</f>
        <v/>
      </c>
    </row>
    <row r="768">
      <c r="A768" s="3">
        <f>IF('ORDENES'!$A746="","",IF('ORDENES'!$O746="","-",'ORDENES'!$O746))</f>
        <v/>
      </c>
      <c r="B768" s="3">
        <f>IF('ORDENES'!$A746="","",IF('ORDENES'!$R746="","-",'ORDENES'!$R746))</f>
        <v/>
      </c>
      <c r="C768" s="3">
        <f>IF('ORDENES'!$A746="","",IF('ORDENES'!$AF746="","-",'ORDENES'!$AF746))</f>
        <v/>
      </c>
      <c r="D768" s="3">
        <f>IF('ORDENES'!$A746="","",IF('ORDENES'!$X746="","-",'ORDENES'!$X746))</f>
        <v/>
      </c>
      <c r="E768" s="3">
        <f>IF('ORDENES'!$A746="","",IF('ORDENES'!$V746="","-",'ORDENES'!$V746))</f>
        <v/>
      </c>
      <c r="F768" s="3">
        <f>IF('ORDENES'!$A746="","",IF('ORDENES'!$Y746="","-",'ORDENES'!$Y746))</f>
        <v/>
      </c>
      <c r="G768" s="3">
        <f>IF('ORDENES'!$A746="","",IF('ORDENES'!$W746="","-",'ORDENES'!$W746))</f>
        <v/>
      </c>
      <c r="H768" s="3">
        <f>IF('ORDENES'!$A746="","",IF('ORDENES'!$AE746="","-",'ORDENES'!$AE746))</f>
        <v/>
      </c>
      <c r="I768" s="3">
        <f>IF('ORDENES'!$A746="","",IF('ORDENES'!$AQ746="","-",'ORDENES'!$AQ746))</f>
        <v/>
      </c>
      <c r="J768" s="3">
        <f>IF('ORDENES'!$A746="","",IF('ORDENES'!$D746="","-",'ORDENES'!$D746))</f>
        <v/>
      </c>
      <c r="K768" s="3">
        <f>IF('ORDENES'!$A746="","",IF('ORDENES'!$E746="","-",'ORDENES'!$E746))</f>
        <v/>
      </c>
      <c r="L768" s="13">
        <f>IF('ORDENES'!$A746="","",IF('ORDENES'!$M746="",0,'ORDENES'!$M746))</f>
        <v/>
      </c>
      <c r="M768" s="3">
        <f>IF('ORDENES'!$A746="","",IF('ORDENES'!$N746="","-",'ORDENES'!$N746))</f>
        <v/>
      </c>
      <c r="N768" s="3">
        <f>IF('ORDENES'!$A746="","",'ORDENES'!$AD746)</f>
        <v/>
      </c>
    </row>
    <row r="769">
      <c r="A769" s="3">
        <f>IF('ORDENES'!$A747="","",IF('ORDENES'!$O747="","-",'ORDENES'!$O747))</f>
        <v/>
      </c>
      <c r="B769" s="3">
        <f>IF('ORDENES'!$A747="","",IF('ORDENES'!$R747="","-",'ORDENES'!$R747))</f>
        <v/>
      </c>
      <c r="C769" s="3">
        <f>IF('ORDENES'!$A747="","",IF('ORDENES'!$AF747="","-",'ORDENES'!$AF747))</f>
        <v/>
      </c>
      <c r="D769" s="3">
        <f>IF('ORDENES'!$A747="","",IF('ORDENES'!$X747="","-",'ORDENES'!$X747))</f>
        <v/>
      </c>
      <c r="E769" s="3">
        <f>IF('ORDENES'!$A747="","",IF('ORDENES'!$V747="","-",'ORDENES'!$V747))</f>
        <v/>
      </c>
      <c r="F769" s="3">
        <f>IF('ORDENES'!$A747="","",IF('ORDENES'!$Y747="","-",'ORDENES'!$Y747))</f>
        <v/>
      </c>
      <c r="G769" s="3">
        <f>IF('ORDENES'!$A747="","",IF('ORDENES'!$W747="","-",'ORDENES'!$W747))</f>
        <v/>
      </c>
      <c r="H769" s="3">
        <f>IF('ORDENES'!$A747="","",IF('ORDENES'!$AE747="","-",'ORDENES'!$AE747))</f>
        <v/>
      </c>
      <c r="I769" s="3">
        <f>IF('ORDENES'!$A747="","",IF('ORDENES'!$AQ747="","-",'ORDENES'!$AQ747))</f>
        <v/>
      </c>
      <c r="J769" s="3">
        <f>IF('ORDENES'!$A747="","",IF('ORDENES'!$D747="","-",'ORDENES'!$D747))</f>
        <v/>
      </c>
      <c r="K769" s="3">
        <f>IF('ORDENES'!$A747="","",IF('ORDENES'!$E747="","-",'ORDENES'!$E747))</f>
        <v/>
      </c>
      <c r="L769" s="13">
        <f>IF('ORDENES'!$A747="","",IF('ORDENES'!$M747="",0,'ORDENES'!$M747))</f>
        <v/>
      </c>
      <c r="M769" s="3">
        <f>IF('ORDENES'!$A747="","",IF('ORDENES'!$N747="","-",'ORDENES'!$N747))</f>
        <v/>
      </c>
      <c r="N769" s="3">
        <f>IF('ORDENES'!$A747="","",'ORDENES'!$AD747)</f>
        <v/>
      </c>
    </row>
    <row r="770">
      <c r="A770" s="3">
        <f>IF('ORDENES'!$A748="","",IF('ORDENES'!$O748="","-",'ORDENES'!$O748))</f>
        <v/>
      </c>
      <c r="B770" s="3">
        <f>IF('ORDENES'!$A748="","",IF('ORDENES'!$R748="","-",'ORDENES'!$R748))</f>
        <v/>
      </c>
      <c r="C770" s="3">
        <f>IF('ORDENES'!$A748="","",IF('ORDENES'!$AF748="","-",'ORDENES'!$AF748))</f>
        <v/>
      </c>
      <c r="D770" s="3">
        <f>IF('ORDENES'!$A748="","",IF('ORDENES'!$X748="","-",'ORDENES'!$X748))</f>
        <v/>
      </c>
      <c r="E770" s="3">
        <f>IF('ORDENES'!$A748="","",IF('ORDENES'!$V748="","-",'ORDENES'!$V748))</f>
        <v/>
      </c>
      <c r="F770" s="3">
        <f>IF('ORDENES'!$A748="","",IF('ORDENES'!$Y748="","-",'ORDENES'!$Y748))</f>
        <v/>
      </c>
      <c r="G770" s="3">
        <f>IF('ORDENES'!$A748="","",IF('ORDENES'!$W748="","-",'ORDENES'!$W748))</f>
        <v/>
      </c>
      <c r="H770" s="3">
        <f>IF('ORDENES'!$A748="","",IF('ORDENES'!$AE748="","-",'ORDENES'!$AE748))</f>
        <v/>
      </c>
      <c r="I770" s="3">
        <f>IF('ORDENES'!$A748="","",IF('ORDENES'!$AQ748="","-",'ORDENES'!$AQ748))</f>
        <v/>
      </c>
      <c r="J770" s="3">
        <f>IF('ORDENES'!$A748="","",IF('ORDENES'!$D748="","-",'ORDENES'!$D748))</f>
        <v/>
      </c>
      <c r="K770" s="3">
        <f>IF('ORDENES'!$A748="","",IF('ORDENES'!$E748="","-",'ORDENES'!$E748))</f>
        <v/>
      </c>
      <c r="L770" s="13">
        <f>IF('ORDENES'!$A748="","",IF('ORDENES'!$M748="",0,'ORDENES'!$M748))</f>
        <v/>
      </c>
      <c r="M770" s="3">
        <f>IF('ORDENES'!$A748="","",IF('ORDENES'!$N748="","-",'ORDENES'!$N748))</f>
        <v/>
      </c>
      <c r="N770" s="3">
        <f>IF('ORDENES'!$A748="","",'ORDENES'!$AD748)</f>
        <v/>
      </c>
    </row>
    <row r="771">
      <c r="A771" s="3">
        <f>IF('ORDENES'!$A749="","",IF('ORDENES'!$O749="","-",'ORDENES'!$O749))</f>
        <v/>
      </c>
      <c r="B771" s="3">
        <f>IF('ORDENES'!$A749="","",IF('ORDENES'!$R749="","-",'ORDENES'!$R749))</f>
        <v/>
      </c>
      <c r="C771" s="3">
        <f>IF('ORDENES'!$A749="","",IF('ORDENES'!$AF749="","-",'ORDENES'!$AF749))</f>
        <v/>
      </c>
      <c r="D771" s="3">
        <f>IF('ORDENES'!$A749="","",IF('ORDENES'!$X749="","-",'ORDENES'!$X749))</f>
        <v/>
      </c>
      <c r="E771" s="3">
        <f>IF('ORDENES'!$A749="","",IF('ORDENES'!$V749="","-",'ORDENES'!$V749))</f>
        <v/>
      </c>
      <c r="F771" s="3">
        <f>IF('ORDENES'!$A749="","",IF('ORDENES'!$Y749="","-",'ORDENES'!$Y749))</f>
        <v/>
      </c>
      <c r="G771" s="3">
        <f>IF('ORDENES'!$A749="","",IF('ORDENES'!$W749="","-",'ORDENES'!$W749))</f>
        <v/>
      </c>
      <c r="H771" s="3">
        <f>IF('ORDENES'!$A749="","",IF('ORDENES'!$AE749="","-",'ORDENES'!$AE749))</f>
        <v/>
      </c>
      <c r="I771" s="3">
        <f>IF('ORDENES'!$A749="","",IF('ORDENES'!$AQ749="","-",'ORDENES'!$AQ749))</f>
        <v/>
      </c>
      <c r="J771" s="3">
        <f>IF('ORDENES'!$A749="","",IF('ORDENES'!$D749="","-",'ORDENES'!$D749))</f>
        <v/>
      </c>
      <c r="K771" s="3">
        <f>IF('ORDENES'!$A749="","",IF('ORDENES'!$E749="","-",'ORDENES'!$E749))</f>
        <v/>
      </c>
      <c r="L771" s="13">
        <f>IF('ORDENES'!$A749="","",IF('ORDENES'!$M749="",0,'ORDENES'!$M749))</f>
        <v/>
      </c>
      <c r="M771" s="3">
        <f>IF('ORDENES'!$A749="","",IF('ORDENES'!$N749="","-",'ORDENES'!$N749))</f>
        <v/>
      </c>
      <c r="N771" s="3">
        <f>IF('ORDENES'!$A749="","",'ORDENES'!$AD749)</f>
        <v/>
      </c>
    </row>
    <row r="772">
      <c r="A772" s="3">
        <f>IF('ORDENES'!$A750="","",IF('ORDENES'!$O750="","-",'ORDENES'!$O750))</f>
        <v/>
      </c>
      <c r="B772" s="3">
        <f>IF('ORDENES'!$A750="","",IF('ORDENES'!$R750="","-",'ORDENES'!$R750))</f>
        <v/>
      </c>
      <c r="C772" s="3">
        <f>IF('ORDENES'!$A750="","",IF('ORDENES'!$AF750="","-",'ORDENES'!$AF750))</f>
        <v/>
      </c>
      <c r="D772" s="3">
        <f>IF('ORDENES'!$A750="","",IF('ORDENES'!$X750="","-",'ORDENES'!$X750))</f>
        <v/>
      </c>
      <c r="E772" s="3">
        <f>IF('ORDENES'!$A750="","",IF('ORDENES'!$V750="","-",'ORDENES'!$V750))</f>
        <v/>
      </c>
      <c r="F772" s="3">
        <f>IF('ORDENES'!$A750="","",IF('ORDENES'!$Y750="","-",'ORDENES'!$Y750))</f>
        <v/>
      </c>
      <c r="G772" s="3">
        <f>IF('ORDENES'!$A750="","",IF('ORDENES'!$W750="","-",'ORDENES'!$W750))</f>
        <v/>
      </c>
      <c r="H772" s="3">
        <f>IF('ORDENES'!$A750="","",IF('ORDENES'!$AE750="","-",'ORDENES'!$AE750))</f>
        <v/>
      </c>
      <c r="I772" s="3">
        <f>IF('ORDENES'!$A750="","",IF('ORDENES'!$AQ750="","-",'ORDENES'!$AQ750))</f>
        <v/>
      </c>
      <c r="J772" s="3">
        <f>IF('ORDENES'!$A750="","",IF('ORDENES'!$D750="","-",'ORDENES'!$D750))</f>
        <v/>
      </c>
      <c r="K772" s="3">
        <f>IF('ORDENES'!$A750="","",IF('ORDENES'!$E750="","-",'ORDENES'!$E750))</f>
        <v/>
      </c>
      <c r="L772" s="13">
        <f>IF('ORDENES'!$A750="","",IF('ORDENES'!$M750="",0,'ORDENES'!$M750))</f>
        <v/>
      </c>
      <c r="M772" s="3">
        <f>IF('ORDENES'!$A750="","",IF('ORDENES'!$N750="","-",'ORDENES'!$N750))</f>
        <v/>
      </c>
      <c r="N772" s="3">
        <f>IF('ORDENES'!$A750="","",'ORDENES'!$AD750)</f>
        <v/>
      </c>
    </row>
    <row r="773">
      <c r="A773" s="3">
        <f>IF('ORDENES'!$A751="","",IF('ORDENES'!$O751="","-",'ORDENES'!$O751))</f>
        <v/>
      </c>
      <c r="B773" s="3">
        <f>IF('ORDENES'!$A751="","",IF('ORDENES'!$R751="","-",'ORDENES'!$R751))</f>
        <v/>
      </c>
      <c r="C773" s="3">
        <f>IF('ORDENES'!$A751="","",IF('ORDENES'!$AF751="","-",'ORDENES'!$AF751))</f>
        <v/>
      </c>
      <c r="D773" s="3">
        <f>IF('ORDENES'!$A751="","",IF('ORDENES'!$X751="","-",'ORDENES'!$X751))</f>
        <v/>
      </c>
      <c r="E773" s="3">
        <f>IF('ORDENES'!$A751="","",IF('ORDENES'!$V751="","-",'ORDENES'!$V751))</f>
        <v/>
      </c>
      <c r="F773" s="3">
        <f>IF('ORDENES'!$A751="","",IF('ORDENES'!$Y751="","-",'ORDENES'!$Y751))</f>
        <v/>
      </c>
      <c r="G773" s="3">
        <f>IF('ORDENES'!$A751="","",IF('ORDENES'!$W751="","-",'ORDENES'!$W751))</f>
        <v/>
      </c>
      <c r="H773" s="3">
        <f>IF('ORDENES'!$A751="","",IF('ORDENES'!$AE751="","-",'ORDENES'!$AE751))</f>
        <v/>
      </c>
      <c r="I773" s="3">
        <f>IF('ORDENES'!$A751="","",IF('ORDENES'!$AQ751="","-",'ORDENES'!$AQ751))</f>
        <v/>
      </c>
      <c r="J773" s="3">
        <f>IF('ORDENES'!$A751="","",IF('ORDENES'!$D751="","-",'ORDENES'!$D751))</f>
        <v/>
      </c>
      <c r="K773" s="3">
        <f>IF('ORDENES'!$A751="","",IF('ORDENES'!$E751="","-",'ORDENES'!$E751))</f>
        <v/>
      </c>
      <c r="L773" s="13">
        <f>IF('ORDENES'!$A751="","",IF('ORDENES'!$M751="",0,'ORDENES'!$M751))</f>
        <v/>
      </c>
      <c r="M773" s="3">
        <f>IF('ORDENES'!$A751="","",IF('ORDENES'!$N751="","-",'ORDENES'!$N751))</f>
        <v/>
      </c>
      <c r="N773" s="3">
        <f>IF('ORDENES'!$A751="","",'ORDENES'!$AD751)</f>
        <v/>
      </c>
    </row>
    <row r="774">
      <c r="A774" s="3">
        <f>IF('ORDENES'!$A752="","",IF('ORDENES'!$O752="","-",'ORDENES'!$O752))</f>
        <v/>
      </c>
      <c r="B774" s="3">
        <f>IF('ORDENES'!$A752="","",IF('ORDENES'!$R752="","-",'ORDENES'!$R752))</f>
        <v/>
      </c>
      <c r="C774" s="3">
        <f>IF('ORDENES'!$A752="","",IF('ORDENES'!$AF752="","-",'ORDENES'!$AF752))</f>
        <v/>
      </c>
      <c r="D774" s="3">
        <f>IF('ORDENES'!$A752="","",IF('ORDENES'!$X752="","-",'ORDENES'!$X752))</f>
        <v/>
      </c>
      <c r="E774" s="3">
        <f>IF('ORDENES'!$A752="","",IF('ORDENES'!$V752="","-",'ORDENES'!$V752))</f>
        <v/>
      </c>
      <c r="F774" s="3">
        <f>IF('ORDENES'!$A752="","",IF('ORDENES'!$Y752="","-",'ORDENES'!$Y752))</f>
        <v/>
      </c>
      <c r="G774" s="3">
        <f>IF('ORDENES'!$A752="","",IF('ORDENES'!$W752="","-",'ORDENES'!$W752))</f>
        <v/>
      </c>
      <c r="H774" s="3">
        <f>IF('ORDENES'!$A752="","",IF('ORDENES'!$AE752="","-",'ORDENES'!$AE752))</f>
        <v/>
      </c>
      <c r="I774" s="3">
        <f>IF('ORDENES'!$A752="","",IF('ORDENES'!$AQ752="","-",'ORDENES'!$AQ752))</f>
        <v/>
      </c>
      <c r="J774" s="3">
        <f>IF('ORDENES'!$A752="","",IF('ORDENES'!$D752="","-",'ORDENES'!$D752))</f>
        <v/>
      </c>
      <c r="K774" s="3">
        <f>IF('ORDENES'!$A752="","",IF('ORDENES'!$E752="","-",'ORDENES'!$E752))</f>
        <v/>
      </c>
      <c r="L774" s="13">
        <f>IF('ORDENES'!$A752="","",IF('ORDENES'!$M752="",0,'ORDENES'!$M752))</f>
        <v/>
      </c>
      <c r="M774" s="3">
        <f>IF('ORDENES'!$A752="","",IF('ORDENES'!$N752="","-",'ORDENES'!$N752))</f>
        <v/>
      </c>
      <c r="N774" s="3">
        <f>IF('ORDENES'!$A752="","",'ORDENES'!$AD752)</f>
        <v/>
      </c>
    </row>
    <row r="775">
      <c r="A775" s="3">
        <f>IF('ORDENES'!$A753="","",IF('ORDENES'!$O753="","-",'ORDENES'!$O753))</f>
        <v/>
      </c>
      <c r="B775" s="3">
        <f>IF('ORDENES'!$A753="","",IF('ORDENES'!$R753="","-",'ORDENES'!$R753))</f>
        <v/>
      </c>
      <c r="C775" s="3">
        <f>IF('ORDENES'!$A753="","",IF('ORDENES'!$AF753="","-",'ORDENES'!$AF753))</f>
        <v/>
      </c>
      <c r="D775" s="3">
        <f>IF('ORDENES'!$A753="","",IF('ORDENES'!$X753="","-",'ORDENES'!$X753))</f>
        <v/>
      </c>
      <c r="E775" s="3">
        <f>IF('ORDENES'!$A753="","",IF('ORDENES'!$V753="","-",'ORDENES'!$V753))</f>
        <v/>
      </c>
      <c r="F775" s="3">
        <f>IF('ORDENES'!$A753="","",IF('ORDENES'!$Y753="","-",'ORDENES'!$Y753))</f>
        <v/>
      </c>
      <c r="G775" s="3">
        <f>IF('ORDENES'!$A753="","",IF('ORDENES'!$W753="","-",'ORDENES'!$W753))</f>
        <v/>
      </c>
      <c r="H775" s="3">
        <f>IF('ORDENES'!$A753="","",IF('ORDENES'!$AE753="","-",'ORDENES'!$AE753))</f>
        <v/>
      </c>
      <c r="I775" s="3">
        <f>IF('ORDENES'!$A753="","",IF('ORDENES'!$AQ753="","-",'ORDENES'!$AQ753))</f>
        <v/>
      </c>
      <c r="J775" s="3">
        <f>IF('ORDENES'!$A753="","",IF('ORDENES'!$D753="","-",'ORDENES'!$D753))</f>
        <v/>
      </c>
      <c r="K775" s="3">
        <f>IF('ORDENES'!$A753="","",IF('ORDENES'!$E753="","-",'ORDENES'!$E753))</f>
        <v/>
      </c>
      <c r="L775" s="13">
        <f>IF('ORDENES'!$A753="","",IF('ORDENES'!$M753="",0,'ORDENES'!$M753))</f>
        <v/>
      </c>
      <c r="M775" s="3">
        <f>IF('ORDENES'!$A753="","",IF('ORDENES'!$N753="","-",'ORDENES'!$N753))</f>
        <v/>
      </c>
      <c r="N775" s="3">
        <f>IF('ORDENES'!$A753="","",'ORDENES'!$AD753)</f>
        <v/>
      </c>
    </row>
    <row r="776">
      <c r="A776" s="3">
        <f>IF('ORDENES'!$A754="","",IF('ORDENES'!$O754="","-",'ORDENES'!$O754))</f>
        <v/>
      </c>
      <c r="B776" s="3">
        <f>IF('ORDENES'!$A754="","",IF('ORDENES'!$R754="","-",'ORDENES'!$R754))</f>
        <v/>
      </c>
      <c r="C776" s="3">
        <f>IF('ORDENES'!$A754="","",IF('ORDENES'!$AF754="","-",'ORDENES'!$AF754))</f>
        <v/>
      </c>
      <c r="D776" s="3">
        <f>IF('ORDENES'!$A754="","",IF('ORDENES'!$X754="","-",'ORDENES'!$X754))</f>
        <v/>
      </c>
      <c r="E776" s="3">
        <f>IF('ORDENES'!$A754="","",IF('ORDENES'!$V754="","-",'ORDENES'!$V754))</f>
        <v/>
      </c>
      <c r="F776" s="3">
        <f>IF('ORDENES'!$A754="","",IF('ORDENES'!$Y754="","-",'ORDENES'!$Y754))</f>
        <v/>
      </c>
      <c r="G776" s="3">
        <f>IF('ORDENES'!$A754="","",IF('ORDENES'!$W754="","-",'ORDENES'!$W754))</f>
        <v/>
      </c>
      <c r="H776" s="3">
        <f>IF('ORDENES'!$A754="","",IF('ORDENES'!$AE754="","-",'ORDENES'!$AE754))</f>
        <v/>
      </c>
      <c r="I776" s="3">
        <f>IF('ORDENES'!$A754="","",IF('ORDENES'!$AQ754="","-",'ORDENES'!$AQ754))</f>
        <v/>
      </c>
      <c r="J776" s="3">
        <f>IF('ORDENES'!$A754="","",IF('ORDENES'!$D754="","-",'ORDENES'!$D754))</f>
        <v/>
      </c>
      <c r="K776" s="3">
        <f>IF('ORDENES'!$A754="","",IF('ORDENES'!$E754="","-",'ORDENES'!$E754))</f>
        <v/>
      </c>
      <c r="L776" s="13">
        <f>IF('ORDENES'!$A754="","",IF('ORDENES'!$M754="",0,'ORDENES'!$M754))</f>
        <v/>
      </c>
      <c r="M776" s="3">
        <f>IF('ORDENES'!$A754="","",IF('ORDENES'!$N754="","-",'ORDENES'!$N754))</f>
        <v/>
      </c>
      <c r="N776" s="3">
        <f>IF('ORDENES'!$A754="","",'ORDENES'!$AD754)</f>
        <v/>
      </c>
    </row>
    <row r="777">
      <c r="A777" s="3">
        <f>IF('ORDENES'!$A755="","",IF('ORDENES'!$O755="","-",'ORDENES'!$O755))</f>
        <v/>
      </c>
      <c r="B777" s="3">
        <f>IF('ORDENES'!$A755="","",IF('ORDENES'!$R755="","-",'ORDENES'!$R755))</f>
        <v/>
      </c>
      <c r="C777" s="3">
        <f>IF('ORDENES'!$A755="","",IF('ORDENES'!$AF755="","-",'ORDENES'!$AF755))</f>
        <v/>
      </c>
      <c r="D777" s="3">
        <f>IF('ORDENES'!$A755="","",IF('ORDENES'!$X755="","-",'ORDENES'!$X755))</f>
        <v/>
      </c>
      <c r="E777" s="3">
        <f>IF('ORDENES'!$A755="","",IF('ORDENES'!$V755="","-",'ORDENES'!$V755))</f>
        <v/>
      </c>
      <c r="F777" s="3">
        <f>IF('ORDENES'!$A755="","",IF('ORDENES'!$Y755="","-",'ORDENES'!$Y755))</f>
        <v/>
      </c>
      <c r="G777" s="3">
        <f>IF('ORDENES'!$A755="","",IF('ORDENES'!$W755="","-",'ORDENES'!$W755))</f>
        <v/>
      </c>
      <c r="H777" s="3">
        <f>IF('ORDENES'!$A755="","",IF('ORDENES'!$AE755="","-",'ORDENES'!$AE755))</f>
        <v/>
      </c>
      <c r="I777" s="3">
        <f>IF('ORDENES'!$A755="","",IF('ORDENES'!$AQ755="","-",'ORDENES'!$AQ755))</f>
        <v/>
      </c>
      <c r="J777" s="3">
        <f>IF('ORDENES'!$A755="","",IF('ORDENES'!$D755="","-",'ORDENES'!$D755))</f>
        <v/>
      </c>
      <c r="K777" s="3">
        <f>IF('ORDENES'!$A755="","",IF('ORDENES'!$E755="","-",'ORDENES'!$E755))</f>
        <v/>
      </c>
      <c r="L777" s="13">
        <f>IF('ORDENES'!$A755="","",IF('ORDENES'!$M755="",0,'ORDENES'!$M755))</f>
        <v/>
      </c>
      <c r="M777" s="3">
        <f>IF('ORDENES'!$A755="","",IF('ORDENES'!$N755="","-",'ORDENES'!$N755))</f>
        <v/>
      </c>
      <c r="N777" s="3">
        <f>IF('ORDENES'!$A755="","",'ORDENES'!$AD755)</f>
        <v/>
      </c>
    </row>
    <row r="778">
      <c r="A778" s="3">
        <f>IF('ORDENES'!$A756="","",IF('ORDENES'!$O756="","-",'ORDENES'!$O756))</f>
        <v/>
      </c>
      <c r="B778" s="3">
        <f>IF('ORDENES'!$A756="","",IF('ORDENES'!$R756="","-",'ORDENES'!$R756))</f>
        <v/>
      </c>
      <c r="C778" s="3">
        <f>IF('ORDENES'!$A756="","",IF('ORDENES'!$AF756="","-",'ORDENES'!$AF756))</f>
        <v/>
      </c>
      <c r="D778" s="3">
        <f>IF('ORDENES'!$A756="","",IF('ORDENES'!$X756="","-",'ORDENES'!$X756))</f>
        <v/>
      </c>
      <c r="E778" s="3">
        <f>IF('ORDENES'!$A756="","",IF('ORDENES'!$V756="","-",'ORDENES'!$V756))</f>
        <v/>
      </c>
      <c r="F778" s="3">
        <f>IF('ORDENES'!$A756="","",IF('ORDENES'!$Y756="","-",'ORDENES'!$Y756))</f>
        <v/>
      </c>
      <c r="G778" s="3">
        <f>IF('ORDENES'!$A756="","",IF('ORDENES'!$W756="","-",'ORDENES'!$W756))</f>
        <v/>
      </c>
      <c r="H778" s="3">
        <f>IF('ORDENES'!$A756="","",IF('ORDENES'!$AE756="","-",'ORDENES'!$AE756))</f>
        <v/>
      </c>
      <c r="I778" s="3">
        <f>IF('ORDENES'!$A756="","",IF('ORDENES'!$AQ756="","-",'ORDENES'!$AQ756))</f>
        <v/>
      </c>
      <c r="J778" s="3">
        <f>IF('ORDENES'!$A756="","",IF('ORDENES'!$D756="","-",'ORDENES'!$D756))</f>
        <v/>
      </c>
      <c r="K778" s="3">
        <f>IF('ORDENES'!$A756="","",IF('ORDENES'!$E756="","-",'ORDENES'!$E756))</f>
        <v/>
      </c>
      <c r="L778" s="13">
        <f>IF('ORDENES'!$A756="","",IF('ORDENES'!$M756="",0,'ORDENES'!$M756))</f>
        <v/>
      </c>
      <c r="M778" s="3">
        <f>IF('ORDENES'!$A756="","",IF('ORDENES'!$N756="","-",'ORDENES'!$N756))</f>
        <v/>
      </c>
      <c r="N778" s="3">
        <f>IF('ORDENES'!$A756="","",'ORDENES'!$AD756)</f>
        <v/>
      </c>
    </row>
    <row r="779">
      <c r="A779" s="3">
        <f>IF('ORDENES'!$A757="","",IF('ORDENES'!$O757="","-",'ORDENES'!$O757))</f>
        <v/>
      </c>
      <c r="B779" s="3">
        <f>IF('ORDENES'!$A757="","",IF('ORDENES'!$R757="","-",'ORDENES'!$R757))</f>
        <v/>
      </c>
      <c r="C779" s="3">
        <f>IF('ORDENES'!$A757="","",IF('ORDENES'!$AF757="","-",'ORDENES'!$AF757))</f>
        <v/>
      </c>
      <c r="D779" s="3">
        <f>IF('ORDENES'!$A757="","",IF('ORDENES'!$X757="","-",'ORDENES'!$X757))</f>
        <v/>
      </c>
      <c r="E779" s="3">
        <f>IF('ORDENES'!$A757="","",IF('ORDENES'!$V757="","-",'ORDENES'!$V757))</f>
        <v/>
      </c>
      <c r="F779" s="3">
        <f>IF('ORDENES'!$A757="","",IF('ORDENES'!$Y757="","-",'ORDENES'!$Y757))</f>
        <v/>
      </c>
      <c r="G779" s="3">
        <f>IF('ORDENES'!$A757="","",IF('ORDENES'!$W757="","-",'ORDENES'!$W757))</f>
        <v/>
      </c>
      <c r="H779" s="3">
        <f>IF('ORDENES'!$A757="","",IF('ORDENES'!$AE757="","-",'ORDENES'!$AE757))</f>
        <v/>
      </c>
      <c r="I779" s="3">
        <f>IF('ORDENES'!$A757="","",IF('ORDENES'!$AQ757="","-",'ORDENES'!$AQ757))</f>
        <v/>
      </c>
      <c r="J779" s="3">
        <f>IF('ORDENES'!$A757="","",IF('ORDENES'!$D757="","-",'ORDENES'!$D757))</f>
        <v/>
      </c>
      <c r="K779" s="3">
        <f>IF('ORDENES'!$A757="","",IF('ORDENES'!$E757="","-",'ORDENES'!$E757))</f>
        <v/>
      </c>
      <c r="L779" s="13">
        <f>IF('ORDENES'!$A757="","",IF('ORDENES'!$M757="",0,'ORDENES'!$M757))</f>
        <v/>
      </c>
      <c r="M779" s="3">
        <f>IF('ORDENES'!$A757="","",IF('ORDENES'!$N757="","-",'ORDENES'!$N757))</f>
        <v/>
      </c>
      <c r="N779" s="3">
        <f>IF('ORDENES'!$A757="","",'ORDENES'!$AD757)</f>
        <v/>
      </c>
    </row>
    <row r="780">
      <c r="A780" s="3">
        <f>IF('ORDENES'!$A758="","",IF('ORDENES'!$O758="","-",'ORDENES'!$O758))</f>
        <v/>
      </c>
      <c r="B780" s="3">
        <f>IF('ORDENES'!$A758="","",IF('ORDENES'!$R758="","-",'ORDENES'!$R758))</f>
        <v/>
      </c>
      <c r="C780" s="3">
        <f>IF('ORDENES'!$A758="","",IF('ORDENES'!$AF758="","-",'ORDENES'!$AF758))</f>
        <v/>
      </c>
      <c r="D780" s="3">
        <f>IF('ORDENES'!$A758="","",IF('ORDENES'!$X758="","-",'ORDENES'!$X758))</f>
        <v/>
      </c>
      <c r="E780" s="3">
        <f>IF('ORDENES'!$A758="","",IF('ORDENES'!$V758="","-",'ORDENES'!$V758))</f>
        <v/>
      </c>
      <c r="F780" s="3">
        <f>IF('ORDENES'!$A758="","",IF('ORDENES'!$Y758="","-",'ORDENES'!$Y758))</f>
        <v/>
      </c>
      <c r="G780" s="3">
        <f>IF('ORDENES'!$A758="","",IF('ORDENES'!$W758="","-",'ORDENES'!$W758))</f>
        <v/>
      </c>
      <c r="H780" s="3">
        <f>IF('ORDENES'!$A758="","",IF('ORDENES'!$AE758="","-",'ORDENES'!$AE758))</f>
        <v/>
      </c>
      <c r="I780" s="3">
        <f>IF('ORDENES'!$A758="","",IF('ORDENES'!$AQ758="","-",'ORDENES'!$AQ758))</f>
        <v/>
      </c>
      <c r="J780" s="3">
        <f>IF('ORDENES'!$A758="","",IF('ORDENES'!$D758="","-",'ORDENES'!$D758))</f>
        <v/>
      </c>
      <c r="K780" s="3">
        <f>IF('ORDENES'!$A758="","",IF('ORDENES'!$E758="","-",'ORDENES'!$E758))</f>
        <v/>
      </c>
      <c r="L780" s="13">
        <f>IF('ORDENES'!$A758="","",IF('ORDENES'!$M758="",0,'ORDENES'!$M758))</f>
        <v/>
      </c>
      <c r="M780" s="3">
        <f>IF('ORDENES'!$A758="","",IF('ORDENES'!$N758="","-",'ORDENES'!$N758))</f>
        <v/>
      </c>
      <c r="N780" s="3">
        <f>IF('ORDENES'!$A758="","",'ORDENES'!$AD758)</f>
        <v/>
      </c>
    </row>
    <row r="781">
      <c r="A781" s="3">
        <f>IF('ORDENES'!$A759="","",IF('ORDENES'!$O759="","-",'ORDENES'!$O759))</f>
        <v/>
      </c>
      <c r="B781" s="3">
        <f>IF('ORDENES'!$A759="","",IF('ORDENES'!$R759="","-",'ORDENES'!$R759))</f>
        <v/>
      </c>
      <c r="C781" s="3">
        <f>IF('ORDENES'!$A759="","",IF('ORDENES'!$AF759="","-",'ORDENES'!$AF759))</f>
        <v/>
      </c>
      <c r="D781" s="3">
        <f>IF('ORDENES'!$A759="","",IF('ORDENES'!$X759="","-",'ORDENES'!$X759))</f>
        <v/>
      </c>
      <c r="E781" s="3">
        <f>IF('ORDENES'!$A759="","",IF('ORDENES'!$V759="","-",'ORDENES'!$V759))</f>
        <v/>
      </c>
      <c r="F781" s="3">
        <f>IF('ORDENES'!$A759="","",IF('ORDENES'!$Y759="","-",'ORDENES'!$Y759))</f>
        <v/>
      </c>
      <c r="G781" s="3">
        <f>IF('ORDENES'!$A759="","",IF('ORDENES'!$W759="","-",'ORDENES'!$W759))</f>
        <v/>
      </c>
      <c r="H781" s="3">
        <f>IF('ORDENES'!$A759="","",IF('ORDENES'!$AE759="","-",'ORDENES'!$AE759))</f>
        <v/>
      </c>
      <c r="I781" s="3">
        <f>IF('ORDENES'!$A759="","",IF('ORDENES'!$AQ759="","-",'ORDENES'!$AQ759))</f>
        <v/>
      </c>
      <c r="J781" s="3">
        <f>IF('ORDENES'!$A759="","",IF('ORDENES'!$D759="","-",'ORDENES'!$D759))</f>
        <v/>
      </c>
      <c r="K781" s="3">
        <f>IF('ORDENES'!$A759="","",IF('ORDENES'!$E759="","-",'ORDENES'!$E759))</f>
        <v/>
      </c>
      <c r="L781" s="13">
        <f>IF('ORDENES'!$A759="","",IF('ORDENES'!$M759="",0,'ORDENES'!$M759))</f>
        <v/>
      </c>
      <c r="M781" s="3">
        <f>IF('ORDENES'!$A759="","",IF('ORDENES'!$N759="","-",'ORDENES'!$N759))</f>
        <v/>
      </c>
      <c r="N781" s="3">
        <f>IF('ORDENES'!$A759="","",'ORDENES'!$AD759)</f>
        <v/>
      </c>
    </row>
    <row r="782">
      <c r="A782" s="3">
        <f>IF('ORDENES'!$A760="","",IF('ORDENES'!$O760="","-",'ORDENES'!$O760))</f>
        <v/>
      </c>
      <c r="B782" s="3">
        <f>IF('ORDENES'!$A760="","",IF('ORDENES'!$R760="","-",'ORDENES'!$R760))</f>
        <v/>
      </c>
      <c r="C782" s="3">
        <f>IF('ORDENES'!$A760="","",IF('ORDENES'!$AF760="","-",'ORDENES'!$AF760))</f>
        <v/>
      </c>
      <c r="D782" s="3">
        <f>IF('ORDENES'!$A760="","",IF('ORDENES'!$X760="","-",'ORDENES'!$X760))</f>
        <v/>
      </c>
      <c r="E782" s="3">
        <f>IF('ORDENES'!$A760="","",IF('ORDENES'!$V760="","-",'ORDENES'!$V760))</f>
        <v/>
      </c>
      <c r="F782" s="3">
        <f>IF('ORDENES'!$A760="","",IF('ORDENES'!$Y760="","-",'ORDENES'!$Y760))</f>
        <v/>
      </c>
      <c r="G782" s="3">
        <f>IF('ORDENES'!$A760="","",IF('ORDENES'!$W760="","-",'ORDENES'!$W760))</f>
        <v/>
      </c>
      <c r="H782" s="3">
        <f>IF('ORDENES'!$A760="","",IF('ORDENES'!$AE760="","-",'ORDENES'!$AE760))</f>
        <v/>
      </c>
      <c r="I782" s="3">
        <f>IF('ORDENES'!$A760="","",IF('ORDENES'!$AQ760="","-",'ORDENES'!$AQ760))</f>
        <v/>
      </c>
      <c r="J782" s="3">
        <f>IF('ORDENES'!$A760="","",IF('ORDENES'!$D760="","-",'ORDENES'!$D760))</f>
        <v/>
      </c>
      <c r="K782" s="3">
        <f>IF('ORDENES'!$A760="","",IF('ORDENES'!$E760="","-",'ORDENES'!$E760))</f>
        <v/>
      </c>
      <c r="L782" s="13">
        <f>IF('ORDENES'!$A760="","",IF('ORDENES'!$M760="",0,'ORDENES'!$M760))</f>
        <v/>
      </c>
      <c r="M782" s="3">
        <f>IF('ORDENES'!$A760="","",IF('ORDENES'!$N760="","-",'ORDENES'!$N760))</f>
        <v/>
      </c>
      <c r="N782" s="3">
        <f>IF('ORDENES'!$A760="","",'ORDENES'!$AD760)</f>
        <v/>
      </c>
    </row>
    <row r="783">
      <c r="A783" s="3">
        <f>IF('ORDENES'!$A761="","",IF('ORDENES'!$O761="","-",'ORDENES'!$O761))</f>
        <v/>
      </c>
      <c r="B783" s="3">
        <f>IF('ORDENES'!$A761="","",IF('ORDENES'!$R761="","-",'ORDENES'!$R761))</f>
        <v/>
      </c>
      <c r="C783" s="3">
        <f>IF('ORDENES'!$A761="","",IF('ORDENES'!$AF761="","-",'ORDENES'!$AF761))</f>
        <v/>
      </c>
      <c r="D783" s="3">
        <f>IF('ORDENES'!$A761="","",IF('ORDENES'!$X761="","-",'ORDENES'!$X761))</f>
        <v/>
      </c>
      <c r="E783" s="3">
        <f>IF('ORDENES'!$A761="","",IF('ORDENES'!$V761="","-",'ORDENES'!$V761))</f>
        <v/>
      </c>
      <c r="F783" s="3">
        <f>IF('ORDENES'!$A761="","",IF('ORDENES'!$Y761="","-",'ORDENES'!$Y761))</f>
        <v/>
      </c>
      <c r="G783" s="3">
        <f>IF('ORDENES'!$A761="","",IF('ORDENES'!$W761="","-",'ORDENES'!$W761))</f>
        <v/>
      </c>
      <c r="H783" s="3">
        <f>IF('ORDENES'!$A761="","",IF('ORDENES'!$AE761="","-",'ORDENES'!$AE761))</f>
        <v/>
      </c>
      <c r="I783" s="3">
        <f>IF('ORDENES'!$A761="","",IF('ORDENES'!$AQ761="","-",'ORDENES'!$AQ761))</f>
        <v/>
      </c>
      <c r="J783" s="3">
        <f>IF('ORDENES'!$A761="","",IF('ORDENES'!$D761="","-",'ORDENES'!$D761))</f>
        <v/>
      </c>
      <c r="K783" s="3">
        <f>IF('ORDENES'!$A761="","",IF('ORDENES'!$E761="","-",'ORDENES'!$E761))</f>
        <v/>
      </c>
      <c r="L783" s="13">
        <f>IF('ORDENES'!$A761="","",IF('ORDENES'!$M761="",0,'ORDENES'!$M761))</f>
        <v/>
      </c>
      <c r="M783" s="3">
        <f>IF('ORDENES'!$A761="","",IF('ORDENES'!$N761="","-",'ORDENES'!$N761))</f>
        <v/>
      </c>
      <c r="N783" s="3">
        <f>IF('ORDENES'!$A761="","",'ORDENES'!$AD761)</f>
        <v/>
      </c>
    </row>
    <row r="784">
      <c r="A784" s="3">
        <f>IF('ORDENES'!$A762="","",IF('ORDENES'!$O762="","-",'ORDENES'!$O762))</f>
        <v/>
      </c>
      <c r="B784" s="3">
        <f>IF('ORDENES'!$A762="","",IF('ORDENES'!$R762="","-",'ORDENES'!$R762))</f>
        <v/>
      </c>
      <c r="C784" s="3">
        <f>IF('ORDENES'!$A762="","",IF('ORDENES'!$AF762="","-",'ORDENES'!$AF762))</f>
        <v/>
      </c>
      <c r="D784" s="3">
        <f>IF('ORDENES'!$A762="","",IF('ORDENES'!$X762="","-",'ORDENES'!$X762))</f>
        <v/>
      </c>
      <c r="E784" s="3">
        <f>IF('ORDENES'!$A762="","",IF('ORDENES'!$V762="","-",'ORDENES'!$V762))</f>
        <v/>
      </c>
      <c r="F784" s="3">
        <f>IF('ORDENES'!$A762="","",IF('ORDENES'!$Y762="","-",'ORDENES'!$Y762))</f>
        <v/>
      </c>
      <c r="G784" s="3">
        <f>IF('ORDENES'!$A762="","",IF('ORDENES'!$W762="","-",'ORDENES'!$W762))</f>
        <v/>
      </c>
      <c r="H784" s="3">
        <f>IF('ORDENES'!$A762="","",IF('ORDENES'!$AE762="","-",'ORDENES'!$AE762))</f>
        <v/>
      </c>
      <c r="I784" s="3">
        <f>IF('ORDENES'!$A762="","",IF('ORDENES'!$AQ762="","-",'ORDENES'!$AQ762))</f>
        <v/>
      </c>
      <c r="J784" s="3">
        <f>IF('ORDENES'!$A762="","",IF('ORDENES'!$D762="","-",'ORDENES'!$D762))</f>
        <v/>
      </c>
      <c r="K784" s="3">
        <f>IF('ORDENES'!$A762="","",IF('ORDENES'!$E762="","-",'ORDENES'!$E762))</f>
        <v/>
      </c>
      <c r="L784" s="13">
        <f>IF('ORDENES'!$A762="","",IF('ORDENES'!$M762="",0,'ORDENES'!$M762))</f>
        <v/>
      </c>
      <c r="M784" s="3">
        <f>IF('ORDENES'!$A762="","",IF('ORDENES'!$N762="","-",'ORDENES'!$N762))</f>
        <v/>
      </c>
      <c r="N784" s="3">
        <f>IF('ORDENES'!$A762="","",'ORDENES'!$AD762)</f>
        <v/>
      </c>
    </row>
    <row r="785">
      <c r="A785" s="3">
        <f>IF('ORDENES'!$A763="","",IF('ORDENES'!$O763="","-",'ORDENES'!$O763))</f>
        <v/>
      </c>
      <c r="B785" s="3">
        <f>IF('ORDENES'!$A763="","",IF('ORDENES'!$R763="","-",'ORDENES'!$R763))</f>
        <v/>
      </c>
      <c r="C785" s="3">
        <f>IF('ORDENES'!$A763="","",IF('ORDENES'!$AF763="","-",'ORDENES'!$AF763))</f>
        <v/>
      </c>
      <c r="D785" s="3">
        <f>IF('ORDENES'!$A763="","",IF('ORDENES'!$X763="","-",'ORDENES'!$X763))</f>
        <v/>
      </c>
      <c r="E785" s="3">
        <f>IF('ORDENES'!$A763="","",IF('ORDENES'!$V763="","-",'ORDENES'!$V763))</f>
        <v/>
      </c>
      <c r="F785" s="3">
        <f>IF('ORDENES'!$A763="","",IF('ORDENES'!$Y763="","-",'ORDENES'!$Y763))</f>
        <v/>
      </c>
      <c r="G785" s="3">
        <f>IF('ORDENES'!$A763="","",IF('ORDENES'!$W763="","-",'ORDENES'!$W763))</f>
        <v/>
      </c>
      <c r="H785" s="3">
        <f>IF('ORDENES'!$A763="","",IF('ORDENES'!$AE763="","-",'ORDENES'!$AE763))</f>
        <v/>
      </c>
      <c r="I785" s="3">
        <f>IF('ORDENES'!$A763="","",IF('ORDENES'!$AQ763="","-",'ORDENES'!$AQ763))</f>
        <v/>
      </c>
      <c r="J785" s="3">
        <f>IF('ORDENES'!$A763="","",IF('ORDENES'!$D763="","-",'ORDENES'!$D763))</f>
        <v/>
      </c>
      <c r="K785" s="3">
        <f>IF('ORDENES'!$A763="","",IF('ORDENES'!$E763="","-",'ORDENES'!$E763))</f>
        <v/>
      </c>
      <c r="L785" s="13">
        <f>IF('ORDENES'!$A763="","",IF('ORDENES'!$M763="",0,'ORDENES'!$M763))</f>
        <v/>
      </c>
      <c r="M785" s="3">
        <f>IF('ORDENES'!$A763="","",IF('ORDENES'!$N763="","-",'ORDENES'!$N763))</f>
        <v/>
      </c>
      <c r="N785" s="3">
        <f>IF('ORDENES'!$A763="","",'ORDENES'!$AD763)</f>
        <v/>
      </c>
    </row>
    <row r="786">
      <c r="A786" s="3">
        <f>IF('ORDENES'!$A764="","",IF('ORDENES'!$O764="","-",'ORDENES'!$O764))</f>
        <v/>
      </c>
      <c r="B786" s="3">
        <f>IF('ORDENES'!$A764="","",IF('ORDENES'!$R764="","-",'ORDENES'!$R764))</f>
        <v/>
      </c>
      <c r="C786" s="3">
        <f>IF('ORDENES'!$A764="","",IF('ORDENES'!$AF764="","-",'ORDENES'!$AF764))</f>
        <v/>
      </c>
      <c r="D786" s="3">
        <f>IF('ORDENES'!$A764="","",IF('ORDENES'!$X764="","-",'ORDENES'!$X764))</f>
        <v/>
      </c>
      <c r="E786" s="3">
        <f>IF('ORDENES'!$A764="","",IF('ORDENES'!$V764="","-",'ORDENES'!$V764))</f>
        <v/>
      </c>
      <c r="F786" s="3">
        <f>IF('ORDENES'!$A764="","",IF('ORDENES'!$Y764="","-",'ORDENES'!$Y764))</f>
        <v/>
      </c>
      <c r="G786" s="3">
        <f>IF('ORDENES'!$A764="","",IF('ORDENES'!$W764="","-",'ORDENES'!$W764))</f>
        <v/>
      </c>
      <c r="H786" s="3">
        <f>IF('ORDENES'!$A764="","",IF('ORDENES'!$AE764="","-",'ORDENES'!$AE764))</f>
        <v/>
      </c>
      <c r="I786" s="3">
        <f>IF('ORDENES'!$A764="","",IF('ORDENES'!$AQ764="","-",'ORDENES'!$AQ764))</f>
        <v/>
      </c>
      <c r="J786" s="3">
        <f>IF('ORDENES'!$A764="","",IF('ORDENES'!$D764="","-",'ORDENES'!$D764))</f>
        <v/>
      </c>
      <c r="K786" s="3">
        <f>IF('ORDENES'!$A764="","",IF('ORDENES'!$E764="","-",'ORDENES'!$E764))</f>
        <v/>
      </c>
      <c r="L786" s="13">
        <f>IF('ORDENES'!$A764="","",IF('ORDENES'!$M764="",0,'ORDENES'!$M764))</f>
        <v/>
      </c>
      <c r="M786" s="3">
        <f>IF('ORDENES'!$A764="","",IF('ORDENES'!$N764="","-",'ORDENES'!$N764))</f>
        <v/>
      </c>
      <c r="N786" s="3">
        <f>IF('ORDENES'!$A764="","",'ORDENES'!$AD764)</f>
        <v/>
      </c>
    </row>
    <row r="787">
      <c r="A787" s="3">
        <f>IF('ORDENES'!$A765="","",IF('ORDENES'!$O765="","-",'ORDENES'!$O765))</f>
        <v/>
      </c>
      <c r="B787" s="3">
        <f>IF('ORDENES'!$A765="","",IF('ORDENES'!$R765="","-",'ORDENES'!$R765))</f>
        <v/>
      </c>
      <c r="C787" s="3">
        <f>IF('ORDENES'!$A765="","",IF('ORDENES'!$AF765="","-",'ORDENES'!$AF765))</f>
        <v/>
      </c>
      <c r="D787" s="3">
        <f>IF('ORDENES'!$A765="","",IF('ORDENES'!$X765="","-",'ORDENES'!$X765))</f>
        <v/>
      </c>
      <c r="E787" s="3">
        <f>IF('ORDENES'!$A765="","",IF('ORDENES'!$V765="","-",'ORDENES'!$V765))</f>
        <v/>
      </c>
      <c r="F787" s="3">
        <f>IF('ORDENES'!$A765="","",IF('ORDENES'!$Y765="","-",'ORDENES'!$Y765))</f>
        <v/>
      </c>
      <c r="G787" s="3">
        <f>IF('ORDENES'!$A765="","",IF('ORDENES'!$W765="","-",'ORDENES'!$W765))</f>
        <v/>
      </c>
      <c r="H787" s="3">
        <f>IF('ORDENES'!$A765="","",IF('ORDENES'!$AE765="","-",'ORDENES'!$AE765))</f>
        <v/>
      </c>
      <c r="I787" s="3">
        <f>IF('ORDENES'!$A765="","",IF('ORDENES'!$AQ765="","-",'ORDENES'!$AQ765))</f>
        <v/>
      </c>
      <c r="J787" s="3">
        <f>IF('ORDENES'!$A765="","",IF('ORDENES'!$D765="","-",'ORDENES'!$D765))</f>
        <v/>
      </c>
      <c r="K787" s="3">
        <f>IF('ORDENES'!$A765="","",IF('ORDENES'!$E765="","-",'ORDENES'!$E765))</f>
        <v/>
      </c>
      <c r="L787" s="13">
        <f>IF('ORDENES'!$A765="","",IF('ORDENES'!$M765="",0,'ORDENES'!$M765))</f>
        <v/>
      </c>
      <c r="M787" s="3">
        <f>IF('ORDENES'!$A765="","",IF('ORDENES'!$N765="","-",'ORDENES'!$N765))</f>
        <v/>
      </c>
      <c r="N787" s="3">
        <f>IF('ORDENES'!$A765="","",'ORDENES'!$AD765)</f>
        <v/>
      </c>
    </row>
    <row r="788">
      <c r="A788" s="3">
        <f>IF('ORDENES'!$A766="","",IF('ORDENES'!$O766="","-",'ORDENES'!$O766))</f>
        <v/>
      </c>
      <c r="B788" s="3">
        <f>IF('ORDENES'!$A766="","",IF('ORDENES'!$R766="","-",'ORDENES'!$R766))</f>
        <v/>
      </c>
      <c r="C788" s="3">
        <f>IF('ORDENES'!$A766="","",IF('ORDENES'!$AF766="","-",'ORDENES'!$AF766))</f>
        <v/>
      </c>
      <c r="D788" s="3">
        <f>IF('ORDENES'!$A766="","",IF('ORDENES'!$X766="","-",'ORDENES'!$X766))</f>
        <v/>
      </c>
      <c r="E788" s="3">
        <f>IF('ORDENES'!$A766="","",IF('ORDENES'!$V766="","-",'ORDENES'!$V766))</f>
        <v/>
      </c>
      <c r="F788" s="3">
        <f>IF('ORDENES'!$A766="","",IF('ORDENES'!$Y766="","-",'ORDENES'!$Y766))</f>
        <v/>
      </c>
      <c r="G788" s="3">
        <f>IF('ORDENES'!$A766="","",IF('ORDENES'!$W766="","-",'ORDENES'!$W766))</f>
        <v/>
      </c>
      <c r="H788" s="3">
        <f>IF('ORDENES'!$A766="","",IF('ORDENES'!$AE766="","-",'ORDENES'!$AE766))</f>
        <v/>
      </c>
      <c r="I788" s="3">
        <f>IF('ORDENES'!$A766="","",IF('ORDENES'!$AQ766="","-",'ORDENES'!$AQ766))</f>
        <v/>
      </c>
      <c r="J788" s="3">
        <f>IF('ORDENES'!$A766="","",IF('ORDENES'!$D766="","-",'ORDENES'!$D766))</f>
        <v/>
      </c>
      <c r="K788" s="3">
        <f>IF('ORDENES'!$A766="","",IF('ORDENES'!$E766="","-",'ORDENES'!$E766))</f>
        <v/>
      </c>
      <c r="L788" s="13">
        <f>IF('ORDENES'!$A766="","",IF('ORDENES'!$M766="",0,'ORDENES'!$M766))</f>
        <v/>
      </c>
      <c r="M788" s="3">
        <f>IF('ORDENES'!$A766="","",IF('ORDENES'!$N766="","-",'ORDENES'!$N766))</f>
        <v/>
      </c>
      <c r="N788" s="3">
        <f>IF('ORDENES'!$A766="","",'ORDENES'!$AD766)</f>
        <v/>
      </c>
    </row>
    <row r="789">
      <c r="A789" s="3">
        <f>IF('ORDENES'!$A767="","",IF('ORDENES'!$O767="","-",'ORDENES'!$O767))</f>
        <v/>
      </c>
      <c r="B789" s="3">
        <f>IF('ORDENES'!$A767="","",IF('ORDENES'!$R767="","-",'ORDENES'!$R767))</f>
        <v/>
      </c>
      <c r="C789" s="3">
        <f>IF('ORDENES'!$A767="","",IF('ORDENES'!$AF767="","-",'ORDENES'!$AF767))</f>
        <v/>
      </c>
      <c r="D789" s="3">
        <f>IF('ORDENES'!$A767="","",IF('ORDENES'!$X767="","-",'ORDENES'!$X767))</f>
        <v/>
      </c>
      <c r="E789" s="3">
        <f>IF('ORDENES'!$A767="","",IF('ORDENES'!$V767="","-",'ORDENES'!$V767))</f>
        <v/>
      </c>
      <c r="F789" s="3">
        <f>IF('ORDENES'!$A767="","",IF('ORDENES'!$Y767="","-",'ORDENES'!$Y767))</f>
        <v/>
      </c>
      <c r="G789" s="3">
        <f>IF('ORDENES'!$A767="","",IF('ORDENES'!$W767="","-",'ORDENES'!$W767))</f>
        <v/>
      </c>
      <c r="H789" s="3">
        <f>IF('ORDENES'!$A767="","",IF('ORDENES'!$AE767="","-",'ORDENES'!$AE767))</f>
        <v/>
      </c>
      <c r="I789" s="3">
        <f>IF('ORDENES'!$A767="","",IF('ORDENES'!$AQ767="","-",'ORDENES'!$AQ767))</f>
        <v/>
      </c>
      <c r="J789" s="3">
        <f>IF('ORDENES'!$A767="","",IF('ORDENES'!$D767="","-",'ORDENES'!$D767))</f>
        <v/>
      </c>
      <c r="K789" s="3">
        <f>IF('ORDENES'!$A767="","",IF('ORDENES'!$E767="","-",'ORDENES'!$E767))</f>
        <v/>
      </c>
      <c r="L789" s="13">
        <f>IF('ORDENES'!$A767="","",IF('ORDENES'!$M767="",0,'ORDENES'!$M767))</f>
        <v/>
      </c>
      <c r="M789" s="3">
        <f>IF('ORDENES'!$A767="","",IF('ORDENES'!$N767="","-",'ORDENES'!$N767))</f>
        <v/>
      </c>
      <c r="N789" s="3">
        <f>IF('ORDENES'!$A767="","",'ORDENES'!$AD767)</f>
        <v/>
      </c>
    </row>
    <row r="790">
      <c r="A790" s="3">
        <f>IF('ORDENES'!$A768="","",IF('ORDENES'!$O768="","-",'ORDENES'!$O768))</f>
        <v/>
      </c>
      <c r="B790" s="3">
        <f>IF('ORDENES'!$A768="","",IF('ORDENES'!$R768="","-",'ORDENES'!$R768))</f>
        <v/>
      </c>
      <c r="C790" s="3">
        <f>IF('ORDENES'!$A768="","",IF('ORDENES'!$AF768="","-",'ORDENES'!$AF768))</f>
        <v/>
      </c>
      <c r="D790" s="3">
        <f>IF('ORDENES'!$A768="","",IF('ORDENES'!$X768="","-",'ORDENES'!$X768))</f>
        <v/>
      </c>
      <c r="E790" s="3">
        <f>IF('ORDENES'!$A768="","",IF('ORDENES'!$V768="","-",'ORDENES'!$V768))</f>
        <v/>
      </c>
      <c r="F790" s="3">
        <f>IF('ORDENES'!$A768="","",IF('ORDENES'!$Y768="","-",'ORDENES'!$Y768))</f>
        <v/>
      </c>
      <c r="G790" s="3">
        <f>IF('ORDENES'!$A768="","",IF('ORDENES'!$W768="","-",'ORDENES'!$W768))</f>
        <v/>
      </c>
      <c r="H790" s="3">
        <f>IF('ORDENES'!$A768="","",IF('ORDENES'!$AE768="","-",'ORDENES'!$AE768))</f>
        <v/>
      </c>
      <c r="I790" s="3">
        <f>IF('ORDENES'!$A768="","",IF('ORDENES'!$AQ768="","-",'ORDENES'!$AQ768))</f>
        <v/>
      </c>
      <c r="J790" s="3">
        <f>IF('ORDENES'!$A768="","",IF('ORDENES'!$D768="","-",'ORDENES'!$D768))</f>
        <v/>
      </c>
      <c r="K790" s="3">
        <f>IF('ORDENES'!$A768="","",IF('ORDENES'!$E768="","-",'ORDENES'!$E768))</f>
        <v/>
      </c>
      <c r="L790" s="13">
        <f>IF('ORDENES'!$A768="","",IF('ORDENES'!$M768="",0,'ORDENES'!$M768))</f>
        <v/>
      </c>
      <c r="M790" s="3">
        <f>IF('ORDENES'!$A768="","",IF('ORDENES'!$N768="","-",'ORDENES'!$N768))</f>
        <v/>
      </c>
      <c r="N790" s="3">
        <f>IF('ORDENES'!$A768="","",'ORDENES'!$AD768)</f>
        <v/>
      </c>
    </row>
    <row r="791">
      <c r="A791" s="3">
        <f>IF('ORDENES'!$A769="","",IF('ORDENES'!$O769="","-",'ORDENES'!$O769))</f>
        <v/>
      </c>
      <c r="B791" s="3">
        <f>IF('ORDENES'!$A769="","",IF('ORDENES'!$R769="","-",'ORDENES'!$R769))</f>
        <v/>
      </c>
      <c r="C791" s="3">
        <f>IF('ORDENES'!$A769="","",IF('ORDENES'!$AF769="","-",'ORDENES'!$AF769))</f>
        <v/>
      </c>
      <c r="D791" s="3">
        <f>IF('ORDENES'!$A769="","",IF('ORDENES'!$X769="","-",'ORDENES'!$X769))</f>
        <v/>
      </c>
      <c r="E791" s="3">
        <f>IF('ORDENES'!$A769="","",IF('ORDENES'!$V769="","-",'ORDENES'!$V769))</f>
        <v/>
      </c>
      <c r="F791" s="3">
        <f>IF('ORDENES'!$A769="","",IF('ORDENES'!$Y769="","-",'ORDENES'!$Y769))</f>
        <v/>
      </c>
      <c r="G791" s="3">
        <f>IF('ORDENES'!$A769="","",IF('ORDENES'!$W769="","-",'ORDENES'!$W769))</f>
        <v/>
      </c>
      <c r="H791" s="3">
        <f>IF('ORDENES'!$A769="","",IF('ORDENES'!$AE769="","-",'ORDENES'!$AE769))</f>
        <v/>
      </c>
      <c r="I791" s="3">
        <f>IF('ORDENES'!$A769="","",IF('ORDENES'!$AQ769="","-",'ORDENES'!$AQ769))</f>
        <v/>
      </c>
      <c r="J791" s="3">
        <f>IF('ORDENES'!$A769="","",IF('ORDENES'!$D769="","-",'ORDENES'!$D769))</f>
        <v/>
      </c>
      <c r="K791" s="3">
        <f>IF('ORDENES'!$A769="","",IF('ORDENES'!$E769="","-",'ORDENES'!$E769))</f>
        <v/>
      </c>
      <c r="L791" s="13">
        <f>IF('ORDENES'!$A769="","",IF('ORDENES'!$M769="",0,'ORDENES'!$M769))</f>
        <v/>
      </c>
      <c r="M791" s="3">
        <f>IF('ORDENES'!$A769="","",IF('ORDENES'!$N769="","-",'ORDENES'!$N769))</f>
        <v/>
      </c>
      <c r="N791" s="3">
        <f>IF('ORDENES'!$A769="","",'ORDENES'!$AD769)</f>
        <v/>
      </c>
    </row>
    <row r="792">
      <c r="A792" s="3">
        <f>IF('ORDENES'!$A770="","",IF('ORDENES'!$O770="","-",'ORDENES'!$O770))</f>
        <v/>
      </c>
      <c r="B792" s="3">
        <f>IF('ORDENES'!$A770="","",IF('ORDENES'!$R770="","-",'ORDENES'!$R770))</f>
        <v/>
      </c>
      <c r="C792" s="3">
        <f>IF('ORDENES'!$A770="","",IF('ORDENES'!$AF770="","-",'ORDENES'!$AF770))</f>
        <v/>
      </c>
      <c r="D792" s="3">
        <f>IF('ORDENES'!$A770="","",IF('ORDENES'!$X770="","-",'ORDENES'!$X770))</f>
        <v/>
      </c>
      <c r="E792" s="3">
        <f>IF('ORDENES'!$A770="","",IF('ORDENES'!$V770="","-",'ORDENES'!$V770))</f>
        <v/>
      </c>
      <c r="F792" s="3">
        <f>IF('ORDENES'!$A770="","",IF('ORDENES'!$Y770="","-",'ORDENES'!$Y770))</f>
        <v/>
      </c>
      <c r="G792" s="3">
        <f>IF('ORDENES'!$A770="","",IF('ORDENES'!$W770="","-",'ORDENES'!$W770))</f>
        <v/>
      </c>
      <c r="H792" s="3">
        <f>IF('ORDENES'!$A770="","",IF('ORDENES'!$AE770="","-",'ORDENES'!$AE770))</f>
        <v/>
      </c>
      <c r="I792" s="3">
        <f>IF('ORDENES'!$A770="","",IF('ORDENES'!$AQ770="","-",'ORDENES'!$AQ770))</f>
        <v/>
      </c>
      <c r="J792" s="3">
        <f>IF('ORDENES'!$A770="","",IF('ORDENES'!$D770="","-",'ORDENES'!$D770))</f>
        <v/>
      </c>
      <c r="K792" s="3">
        <f>IF('ORDENES'!$A770="","",IF('ORDENES'!$E770="","-",'ORDENES'!$E770))</f>
        <v/>
      </c>
      <c r="L792" s="13">
        <f>IF('ORDENES'!$A770="","",IF('ORDENES'!$M770="",0,'ORDENES'!$M770))</f>
        <v/>
      </c>
      <c r="M792" s="3">
        <f>IF('ORDENES'!$A770="","",IF('ORDENES'!$N770="","-",'ORDENES'!$N770))</f>
        <v/>
      </c>
      <c r="N792" s="3">
        <f>IF('ORDENES'!$A770="","",'ORDENES'!$AD770)</f>
        <v/>
      </c>
    </row>
    <row r="793">
      <c r="A793" s="3">
        <f>IF('ORDENES'!$A771="","",IF('ORDENES'!$O771="","-",'ORDENES'!$O771))</f>
        <v/>
      </c>
      <c r="B793" s="3">
        <f>IF('ORDENES'!$A771="","",IF('ORDENES'!$R771="","-",'ORDENES'!$R771))</f>
        <v/>
      </c>
      <c r="C793" s="3">
        <f>IF('ORDENES'!$A771="","",IF('ORDENES'!$AF771="","-",'ORDENES'!$AF771))</f>
        <v/>
      </c>
      <c r="D793" s="3">
        <f>IF('ORDENES'!$A771="","",IF('ORDENES'!$X771="","-",'ORDENES'!$X771))</f>
        <v/>
      </c>
      <c r="E793" s="3">
        <f>IF('ORDENES'!$A771="","",IF('ORDENES'!$V771="","-",'ORDENES'!$V771))</f>
        <v/>
      </c>
      <c r="F793" s="3">
        <f>IF('ORDENES'!$A771="","",IF('ORDENES'!$Y771="","-",'ORDENES'!$Y771))</f>
        <v/>
      </c>
      <c r="G793" s="3">
        <f>IF('ORDENES'!$A771="","",IF('ORDENES'!$W771="","-",'ORDENES'!$W771))</f>
        <v/>
      </c>
      <c r="H793" s="3">
        <f>IF('ORDENES'!$A771="","",IF('ORDENES'!$AE771="","-",'ORDENES'!$AE771))</f>
        <v/>
      </c>
      <c r="I793" s="3">
        <f>IF('ORDENES'!$A771="","",IF('ORDENES'!$AQ771="","-",'ORDENES'!$AQ771))</f>
        <v/>
      </c>
      <c r="J793" s="3">
        <f>IF('ORDENES'!$A771="","",IF('ORDENES'!$D771="","-",'ORDENES'!$D771))</f>
        <v/>
      </c>
      <c r="K793" s="3">
        <f>IF('ORDENES'!$A771="","",IF('ORDENES'!$E771="","-",'ORDENES'!$E771))</f>
        <v/>
      </c>
      <c r="L793" s="13">
        <f>IF('ORDENES'!$A771="","",IF('ORDENES'!$M771="",0,'ORDENES'!$M771))</f>
        <v/>
      </c>
      <c r="M793" s="3">
        <f>IF('ORDENES'!$A771="","",IF('ORDENES'!$N771="","-",'ORDENES'!$N771))</f>
        <v/>
      </c>
      <c r="N793" s="3">
        <f>IF('ORDENES'!$A771="","",'ORDENES'!$AD771)</f>
        <v/>
      </c>
    </row>
    <row r="794">
      <c r="A794" s="3">
        <f>IF('ORDENES'!$A772="","",IF('ORDENES'!$O772="","-",'ORDENES'!$O772))</f>
        <v/>
      </c>
      <c r="B794" s="3">
        <f>IF('ORDENES'!$A772="","",IF('ORDENES'!$R772="","-",'ORDENES'!$R772))</f>
        <v/>
      </c>
      <c r="C794" s="3">
        <f>IF('ORDENES'!$A772="","",IF('ORDENES'!$AF772="","-",'ORDENES'!$AF772))</f>
        <v/>
      </c>
      <c r="D794" s="3">
        <f>IF('ORDENES'!$A772="","",IF('ORDENES'!$X772="","-",'ORDENES'!$X772))</f>
        <v/>
      </c>
      <c r="E794" s="3">
        <f>IF('ORDENES'!$A772="","",IF('ORDENES'!$V772="","-",'ORDENES'!$V772))</f>
        <v/>
      </c>
      <c r="F794" s="3">
        <f>IF('ORDENES'!$A772="","",IF('ORDENES'!$Y772="","-",'ORDENES'!$Y772))</f>
        <v/>
      </c>
      <c r="G794" s="3">
        <f>IF('ORDENES'!$A772="","",IF('ORDENES'!$W772="","-",'ORDENES'!$W772))</f>
        <v/>
      </c>
      <c r="H794" s="3">
        <f>IF('ORDENES'!$A772="","",IF('ORDENES'!$AE772="","-",'ORDENES'!$AE772))</f>
        <v/>
      </c>
      <c r="I794" s="3">
        <f>IF('ORDENES'!$A772="","",IF('ORDENES'!$AQ772="","-",'ORDENES'!$AQ772))</f>
        <v/>
      </c>
      <c r="J794" s="3">
        <f>IF('ORDENES'!$A772="","",IF('ORDENES'!$D772="","-",'ORDENES'!$D772))</f>
        <v/>
      </c>
      <c r="K794" s="3">
        <f>IF('ORDENES'!$A772="","",IF('ORDENES'!$E772="","-",'ORDENES'!$E772))</f>
        <v/>
      </c>
      <c r="L794" s="13">
        <f>IF('ORDENES'!$A772="","",IF('ORDENES'!$M772="",0,'ORDENES'!$M772))</f>
        <v/>
      </c>
      <c r="M794" s="3">
        <f>IF('ORDENES'!$A772="","",IF('ORDENES'!$N772="","-",'ORDENES'!$N772))</f>
        <v/>
      </c>
      <c r="N794" s="3">
        <f>IF('ORDENES'!$A772="","",'ORDENES'!$AD772)</f>
        <v/>
      </c>
    </row>
    <row r="795">
      <c r="A795" s="3">
        <f>IF('ORDENES'!$A773="","",IF('ORDENES'!$O773="","-",'ORDENES'!$O773))</f>
        <v/>
      </c>
      <c r="B795" s="3">
        <f>IF('ORDENES'!$A773="","",IF('ORDENES'!$R773="","-",'ORDENES'!$R773))</f>
        <v/>
      </c>
      <c r="C795" s="3">
        <f>IF('ORDENES'!$A773="","",IF('ORDENES'!$AF773="","-",'ORDENES'!$AF773))</f>
        <v/>
      </c>
      <c r="D795" s="3">
        <f>IF('ORDENES'!$A773="","",IF('ORDENES'!$X773="","-",'ORDENES'!$X773))</f>
        <v/>
      </c>
      <c r="E795" s="3">
        <f>IF('ORDENES'!$A773="","",IF('ORDENES'!$V773="","-",'ORDENES'!$V773))</f>
        <v/>
      </c>
      <c r="F795" s="3">
        <f>IF('ORDENES'!$A773="","",IF('ORDENES'!$Y773="","-",'ORDENES'!$Y773))</f>
        <v/>
      </c>
      <c r="G795" s="3">
        <f>IF('ORDENES'!$A773="","",IF('ORDENES'!$W773="","-",'ORDENES'!$W773))</f>
        <v/>
      </c>
      <c r="H795" s="3">
        <f>IF('ORDENES'!$A773="","",IF('ORDENES'!$AE773="","-",'ORDENES'!$AE773))</f>
        <v/>
      </c>
      <c r="I795" s="3">
        <f>IF('ORDENES'!$A773="","",IF('ORDENES'!$AQ773="","-",'ORDENES'!$AQ773))</f>
        <v/>
      </c>
      <c r="J795" s="3">
        <f>IF('ORDENES'!$A773="","",IF('ORDENES'!$D773="","-",'ORDENES'!$D773))</f>
        <v/>
      </c>
      <c r="K795" s="3">
        <f>IF('ORDENES'!$A773="","",IF('ORDENES'!$E773="","-",'ORDENES'!$E773))</f>
        <v/>
      </c>
      <c r="L795" s="13">
        <f>IF('ORDENES'!$A773="","",IF('ORDENES'!$M773="",0,'ORDENES'!$M773))</f>
        <v/>
      </c>
      <c r="M795" s="3">
        <f>IF('ORDENES'!$A773="","",IF('ORDENES'!$N773="","-",'ORDENES'!$N773))</f>
        <v/>
      </c>
      <c r="N795" s="3">
        <f>IF('ORDENES'!$A773="","",'ORDENES'!$AD773)</f>
        <v/>
      </c>
    </row>
    <row r="796">
      <c r="A796" s="3">
        <f>IF('ORDENES'!$A774="","",IF('ORDENES'!$O774="","-",'ORDENES'!$O774))</f>
        <v/>
      </c>
      <c r="B796" s="3">
        <f>IF('ORDENES'!$A774="","",IF('ORDENES'!$R774="","-",'ORDENES'!$R774))</f>
        <v/>
      </c>
      <c r="C796" s="3">
        <f>IF('ORDENES'!$A774="","",IF('ORDENES'!$AF774="","-",'ORDENES'!$AF774))</f>
        <v/>
      </c>
      <c r="D796" s="3">
        <f>IF('ORDENES'!$A774="","",IF('ORDENES'!$X774="","-",'ORDENES'!$X774))</f>
        <v/>
      </c>
      <c r="E796" s="3">
        <f>IF('ORDENES'!$A774="","",IF('ORDENES'!$V774="","-",'ORDENES'!$V774))</f>
        <v/>
      </c>
      <c r="F796" s="3">
        <f>IF('ORDENES'!$A774="","",IF('ORDENES'!$Y774="","-",'ORDENES'!$Y774))</f>
        <v/>
      </c>
      <c r="G796" s="3">
        <f>IF('ORDENES'!$A774="","",IF('ORDENES'!$W774="","-",'ORDENES'!$W774))</f>
        <v/>
      </c>
      <c r="H796" s="3">
        <f>IF('ORDENES'!$A774="","",IF('ORDENES'!$AE774="","-",'ORDENES'!$AE774))</f>
        <v/>
      </c>
      <c r="I796" s="3">
        <f>IF('ORDENES'!$A774="","",IF('ORDENES'!$AQ774="","-",'ORDENES'!$AQ774))</f>
        <v/>
      </c>
      <c r="J796" s="3">
        <f>IF('ORDENES'!$A774="","",IF('ORDENES'!$D774="","-",'ORDENES'!$D774))</f>
        <v/>
      </c>
      <c r="K796" s="3">
        <f>IF('ORDENES'!$A774="","",IF('ORDENES'!$E774="","-",'ORDENES'!$E774))</f>
        <v/>
      </c>
      <c r="L796" s="13">
        <f>IF('ORDENES'!$A774="","",IF('ORDENES'!$M774="",0,'ORDENES'!$M774))</f>
        <v/>
      </c>
      <c r="M796" s="3">
        <f>IF('ORDENES'!$A774="","",IF('ORDENES'!$N774="","-",'ORDENES'!$N774))</f>
        <v/>
      </c>
      <c r="N796" s="3">
        <f>IF('ORDENES'!$A774="","",'ORDENES'!$AD774)</f>
        <v/>
      </c>
    </row>
    <row r="797">
      <c r="A797" s="3">
        <f>IF('ORDENES'!$A775="","",IF('ORDENES'!$O775="","-",'ORDENES'!$O775))</f>
        <v/>
      </c>
      <c r="B797" s="3">
        <f>IF('ORDENES'!$A775="","",IF('ORDENES'!$R775="","-",'ORDENES'!$R775))</f>
        <v/>
      </c>
      <c r="C797" s="3">
        <f>IF('ORDENES'!$A775="","",IF('ORDENES'!$AF775="","-",'ORDENES'!$AF775))</f>
        <v/>
      </c>
      <c r="D797" s="3">
        <f>IF('ORDENES'!$A775="","",IF('ORDENES'!$X775="","-",'ORDENES'!$X775))</f>
        <v/>
      </c>
      <c r="E797" s="3">
        <f>IF('ORDENES'!$A775="","",IF('ORDENES'!$V775="","-",'ORDENES'!$V775))</f>
        <v/>
      </c>
      <c r="F797" s="3">
        <f>IF('ORDENES'!$A775="","",IF('ORDENES'!$Y775="","-",'ORDENES'!$Y775))</f>
        <v/>
      </c>
      <c r="G797" s="3">
        <f>IF('ORDENES'!$A775="","",IF('ORDENES'!$W775="","-",'ORDENES'!$W775))</f>
        <v/>
      </c>
      <c r="H797" s="3">
        <f>IF('ORDENES'!$A775="","",IF('ORDENES'!$AE775="","-",'ORDENES'!$AE775))</f>
        <v/>
      </c>
      <c r="I797" s="3">
        <f>IF('ORDENES'!$A775="","",IF('ORDENES'!$AQ775="","-",'ORDENES'!$AQ775))</f>
        <v/>
      </c>
      <c r="J797" s="3">
        <f>IF('ORDENES'!$A775="","",IF('ORDENES'!$D775="","-",'ORDENES'!$D775))</f>
        <v/>
      </c>
      <c r="K797" s="3">
        <f>IF('ORDENES'!$A775="","",IF('ORDENES'!$E775="","-",'ORDENES'!$E775))</f>
        <v/>
      </c>
      <c r="L797" s="13">
        <f>IF('ORDENES'!$A775="","",IF('ORDENES'!$M775="",0,'ORDENES'!$M775))</f>
        <v/>
      </c>
      <c r="M797" s="3">
        <f>IF('ORDENES'!$A775="","",IF('ORDENES'!$N775="","-",'ORDENES'!$N775))</f>
        <v/>
      </c>
      <c r="N797" s="3">
        <f>IF('ORDENES'!$A775="","",'ORDENES'!$AD775)</f>
        <v/>
      </c>
    </row>
    <row r="798">
      <c r="A798" s="3">
        <f>IF('ORDENES'!$A776="","",IF('ORDENES'!$O776="","-",'ORDENES'!$O776))</f>
        <v/>
      </c>
      <c r="B798" s="3">
        <f>IF('ORDENES'!$A776="","",IF('ORDENES'!$R776="","-",'ORDENES'!$R776))</f>
        <v/>
      </c>
      <c r="C798" s="3">
        <f>IF('ORDENES'!$A776="","",IF('ORDENES'!$AF776="","-",'ORDENES'!$AF776))</f>
        <v/>
      </c>
      <c r="D798" s="3">
        <f>IF('ORDENES'!$A776="","",IF('ORDENES'!$X776="","-",'ORDENES'!$X776))</f>
        <v/>
      </c>
      <c r="E798" s="3">
        <f>IF('ORDENES'!$A776="","",IF('ORDENES'!$V776="","-",'ORDENES'!$V776))</f>
        <v/>
      </c>
      <c r="F798" s="3">
        <f>IF('ORDENES'!$A776="","",IF('ORDENES'!$Y776="","-",'ORDENES'!$Y776))</f>
        <v/>
      </c>
      <c r="G798" s="3">
        <f>IF('ORDENES'!$A776="","",IF('ORDENES'!$W776="","-",'ORDENES'!$W776))</f>
        <v/>
      </c>
      <c r="H798" s="3">
        <f>IF('ORDENES'!$A776="","",IF('ORDENES'!$AE776="","-",'ORDENES'!$AE776))</f>
        <v/>
      </c>
      <c r="I798" s="3">
        <f>IF('ORDENES'!$A776="","",IF('ORDENES'!$AQ776="","-",'ORDENES'!$AQ776))</f>
        <v/>
      </c>
      <c r="J798" s="3">
        <f>IF('ORDENES'!$A776="","",IF('ORDENES'!$D776="","-",'ORDENES'!$D776))</f>
        <v/>
      </c>
      <c r="K798" s="3">
        <f>IF('ORDENES'!$A776="","",IF('ORDENES'!$E776="","-",'ORDENES'!$E776))</f>
        <v/>
      </c>
      <c r="L798" s="13">
        <f>IF('ORDENES'!$A776="","",IF('ORDENES'!$M776="",0,'ORDENES'!$M776))</f>
        <v/>
      </c>
      <c r="M798" s="3">
        <f>IF('ORDENES'!$A776="","",IF('ORDENES'!$N776="","-",'ORDENES'!$N776))</f>
        <v/>
      </c>
      <c r="N798" s="3">
        <f>IF('ORDENES'!$A776="","",'ORDENES'!$AD776)</f>
        <v/>
      </c>
    </row>
    <row r="799">
      <c r="A799" s="3">
        <f>IF('ORDENES'!$A777="","",IF('ORDENES'!$O777="","-",'ORDENES'!$O777))</f>
        <v/>
      </c>
      <c r="B799" s="3">
        <f>IF('ORDENES'!$A777="","",IF('ORDENES'!$R777="","-",'ORDENES'!$R777))</f>
        <v/>
      </c>
      <c r="C799" s="3">
        <f>IF('ORDENES'!$A777="","",IF('ORDENES'!$AF777="","-",'ORDENES'!$AF777))</f>
        <v/>
      </c>
      <c r="D799" s="3">
        <f>IF('ORDENES'!$A777="","",IF('ORDENES'!$X777="","-",'ORDENES'!$X777))</f>
        <v/>
      </c>
      <c r="E799" s="3">
        <f>IF('ORDENES'!$A777="","",IF('ORDENES'!$V777="","-",'ORDENES'!$V777))</f>
        <v/>
      </c>
      <c r="F799" s="3">
        <f>IF('ORDENES'!$A777="","",IF('ORDENES'!$Y777="","-",'ORDENES'!$Y777))</f>
        <v/>
      </c>
      <c r="G799" s="3">
        <f>IF('ORDENES'!$A777="","",IF('ORDENES'!$W777="","-",'ORDENES'!$W777))</f>
        <v/>
      </c>
      <c r="H799" s="3">
        <f>IF('ORDENES'!$A777="","",IF('ORDENES'!$AE777="","-",'ORDENES'!$AE777))</f>
        <v/>
      </c>
      <c r="I799" s="3">
        <f>IF('ORDENES'!$A777="","",IF('ORDENES'!$AQ777="","-",'ORDENES'!$AQ777))</f>
        <v/>
      </c>
      <c r="J799" s="3">
        <f>IF('ORDENES'!$A777="","",IF('ORDENES'!$D777="","-",'ORDENES'!$D777))</f>
        <v/>
      </c>
      <c r="K799" s="3">
        <f>IF('ORDENES'!$A777="","",IF('ORDENES'!$E777="","-",'ORDENES'!$E777))</f>
        <v/>
      </c>
      <c r="L799" s="13">
        <f>IF('ORDENES'!$A777="","",IF('ORDENES'!$M777="",0,'ORDENES'!$M777))</f>
        <v/>
      </c>
      <c r="M799" s="3">
        <f>IF('ORDENES'!$A777="","",IF('ORDENES'!$N777="","-",'ORDENES'!$N777))</f>
        <v/>
      </c>
      <c r="N799" s="3">
        <f>IF('ORDENES'!$A777="","",'ORDENES'!$AD777)</f>
        <v/>
      </c>
    </row>
    <row r="800">
      <c r="A800" s="3">
        <f>IF('ORDENES'!$A778="","",IF('ORDENES'!$O778="","-",'ORDENES'!$O778))</f>
        <v/>
      </c>
      <c r="B800" s="3">
        <f>IF('ORDENES'!$A778="","",IF('ORDENES'!$R778="","-",'ORDENES'!$R778))</f>
        <v/>
      </c>
      <c r="C800" s="3">
        <f>IF('ORDENES'!$A778="","",IF('ORDENES'!$AF778="","-",'ORDENES'!$AF778))</f>
        <v/>
      </c>
      <c r="D800" s="3">
        <f>IF('ORDENES'!$A778="","",IF('ORDENES'!$X778="","-",'ORDENES'!$X778))</f>
        <v/>
      </c>
      <c r="E800" s="3">
        <f>IF('ORDENES'!$A778="","",IF('ORDENES'!$V778="","-",'ORDENES'!$V778))</f>
        <v/>
      </c>
      <c r="F800" s="3">
        <f>IF('ORDENES'!$A778="","",IF('ORDENES'!$Y778="","-",'ORDENES'!$Y778))</f>
        <v/>
      </c>
      <c r="G800" s="3">
        <f>IF('ORDENES'!$A778="","",IF('ORDENES'!$W778="","-",'ORDENES'!$W778))</f>
        <v/>
      </c>
      <c r="H800" s="3">
        <f>IF('ORDENES'!$A778="","",IF('ORDENES'!$AE778="","-",'ORDENES'!$AE778))</f>
        <v/>
      </c>
      <c r="I800" s="3">
        <f>IF('ORDENES'!$A778="","",IF('ORDENES'!$AQ778="","-",'ORDENES'!$AQ778))</f>
        <v/>
      </c>
      <c r="J800" s="3">
        <f>IF('ORDENES'!$A778="","",IF('ORDENES'!$D778="","-",'ORDENES'!$D778))</f>
        <v/>
      </c>
      <c r="K800" s="3">
        <f>IF('ORDENES'!$A778="","",IF('ORDENES'!$E778="","-",'ORDENES'!$E778))</f>
        <v/>
      </c>
      <c r="L800" s="13">
        <f>IF('ORDENES'!$A778="","",IF('ORDENES'!$M778="",0,'ORDENES'!$M778))</f>
        <v/>
      </c>
      <c r="M800" s="3">
        <f>IF('ORDENES'!$A778="","",IF('ORDENES'!$N778="","-",'ORDENES'!$N778))</f>
        <v/>
      </c>
      <c r="N800" s="3">
        <f>IF('ORDENES'!$A778="","",'ORDENES'!$AD778)</f>
        <v/>
      </c>
    </row>
    <row r="801">
      <c r="A801" s="3">
        <f>IF('ORDENES'!$A779="","",IF('ORDENES'!$O779="","-",'ORDENES'!$O779))</f>
        <v/>
      </c>
      <c r="B801" s="3">
        <f>IF('ORDENES'!$A779="","",IF('ORDENES'!$R779="","-",'ORDENES'!$R779))</f>
        <v/>
      </c>
      <c r="C801" s="3">
        <f>IF('ORDENES'!$A779="","",IF('ORDENES'!$AF779="","-",'ORDENES'!$AF779))</f>
        <v/>
      </c>
      <c r="D801" s="3">
        <f>IF('ORDENES'!$A779="","",IF('ORDENES'!$X779="","-",'ORDENES'!$X779))</f>
        <v/>
      </c>
      <c r="E801" s="3">
        <f>IF('ORDENES'!$A779="","",IF('ORDENES'!$V779="","-",'ORDENES'!$V779))</f>
        <v/>
      </c>
      <c r="F801" s="3">
        <f>IF('ORDENES'!$A779="","",IF('ORDENES'!$Y779="","-",'ORDENES'!$Y779))</f>
        <v/>
      </c>
      <c r="G801" s="3">
        <f>IF('ORDENES'!$A779="","",IF('ORDENES'!$W779="","-",'ORDENES'!$W779))</f>
        <v/>
      </c>
      <c r="H801" s="3">
        <f>IF('ORDENES'!$A779="","",IF('ORDENES'!$AE779="","-",'ORDENES'!$AE779))</f>
        <v/>
      </c>
      <c r="I801" s="3">
        <f>IF('ORDENES'!$A779="","",IF('ORDENES'!$AQ779="","-",'ORDENES'!$AQ779))</f>
        <v/>
      </c>
      <c r="J801" s="3">
        <f>IF('ORDENES'!$A779="","",IF('ORDENES'!$D779="","-",'ORDENES'!$D779))</f>
        <v/>
      </c>
      <c r="K801" s="3">
        <f>IF('ORDENES'!$A779="","",IF('ORDENES'!$E779="","-",'ORDENES'!$E779))</f>
        <v/>
      </c>
      <c r="L801" s="13">
        <f>IF('ORDENES'!$A779="","",IF('ORDENES'!$M779="",0,'ORDENES'!$M779))</f>
        <v/>
      </c>
      <c r="M801" s="3">
        <f>IF('ORDENES'!$A779="","",IF('ORDENES'!$N779="","-",'ORDENES'!$N779))</f>
        <v/>
      </c>
      <c r="N801" s="3">
        <f>IF('ORDENES'!$A779="","",'ORDENES'!$AD779)</f>
        <v/>
      </c>
    </row>
    <row r="802">
      <c r="A802" s="3">
        <f>IF('ORDENES'!$A780="","",IF('ORDENES'!$O780="","-",'ORDENES'!$O780))</f>
        <v/>
      </c>
      <c r="B802" s="3">
        <f>IF('ORDENES'!$A780="","",IF('ORDENES'!$R780="","-",'ORDENES'!$R780))</f>
        <v/>
      </c>
      <c r="C802" s="3">
        <f>IF('ORDENES'!$A780="","",IF('ORDENES'!$AF780="","-",'ORDENES'!$AF780))</f>
        <v/>
      </c>
      <c r="D802" s="3">
        <f>IF('ORDENES'!$A780="","",IF('ORDENES'!$X780="","-",'ORDENES'!$X780))</f>
        <v/>
      </c>
      <c r="E802" s="3">
        <f>IF('ORDENES'!$A780="","",IF('ORDENES'!$V780="","-",'ORDENES'!$V780))</f>
        <v/>
      </c>
      <c r="F802" s="3">
        <f>IF('ORDENES'!$A780="","",IF('ORDENES'!$Y780="","-",'ORDENES'!$Y780))</f>
        <v/>
      </c>
      <c r="G802" s="3">
        <f>IF('ORDENES'!$A780="","",IF('ORDENES'!$W780="","-",'ORDENES'!$W780))</f>
        <v/>
      </c>
      <c r="H802" s="3">
        <f>IF('ORDENES'!$A780="","",IF('ORDENES'!$AE780="","-",'ORDENES'!$AE780))</f>
        <v/>
      </c>
      <c r="I802" s="3">
        <f>IF('ORDENES'!$A780="","",IF('ORDENES'!$AQ780="","-",'ORDENES'!$AQ780))</f>
        <v/>
      </c>
      <c r="J802" s="3">
        <f>IF('ORDENES'!$A780="","",IF('ORDENES'!$D780="","-",'ORDENES'!$D780))</f>
        <v/>
      </c>
      <c r="K802" s="3">
        <f>IF('ORDENES'!$A780="","",IF('ORDENES'!$E780="","-",'ORDENES'!$E780))</f>
        <v/>
      </c>
      <c r="L802" s="13">
        <f>IF('ORDENES'!$A780="","",IF('ORDENES'!$M780="",0,'ORDENES'!$M780))</f>
        <v/>
      </c>
      <c r="M802" s="3">
        <f>IF('ORDENES'!$A780="","",IF('ORDENES'!$N780="","-",'ORDENES'!$N780))</f>
        <v/>
      </c>
      <c r="N802" s="3">
        <f>IF('ORDENES'!$A780="","",'ORDENES'!$AD780)</f>
        <v/>
      </c>
    </row>
    <row r="803">
      <c r="A803" s="3">
        <f>IF('ORDENES'!$A781="","",IF('ORDENES'!$O781="","-",'ORDENES'!$O781))</f>
        <v/>
      </c>
      <c r="B803" s="3">
        <f>IF('ORDENES'!$A781="","",IF('ORDENES'!$R781="","-",'ORDENES'!$R781))</f>
        <v/>
      </c>
      <c r="C803" s="3">
        <f>IF('ORDENES'!$A781="","",IF('ORDENES'!$AF781="","-",'ORDENES'!$AF781))</f>
        <v/>
      </c>
      <c r="D803" s="3">
        <f>IF('ORDENES'!$A781="","",IF('ORDENES'!$X781="","-",'ORDENES'!$X781))</f>
        <v/>
      </c>
      <c r="E803" s="3">
        <f>IF('ORDENES'!$A781="","",IF('ORDENES'!$V781="","-",'ORDENES'!$V781))</f>
        <v/>
      </c>
      <c r="F803" s="3">
        <f>IF('ORDENES'!$A781="","",IF('ORDENES'!$Y781="","-",'ORDENES'!$Y781))</f>
        <v/>
      </c>
      <c r="G803" s="3">
        <f>IF('ORDENES'!$A781="","",IF('ORDENES'!$W781="","-",'ORDENES'!$W781))</f>
        <v/>
      </c>
      <c r="H803" s="3">
        <f>IF('ORDENES'!$A781="","",IF('ORDENES'!$AE781="","-",'ORDENES'!$AE781))</f>
        <v/>
      </c>
      <c r="I803" s="3">
        <f>IF('ORDENES'!$A781="","",IF('ORDENES'!$AQ781="","-",'ORDENES'!$AQ781))</f>
        <v/>
      </c>
      <c r="J803" s="3">
        <f>IF('ORDENES'!$A781="","",IF('ORDENES'!$D781="","-",'ORDENES'!$D781))</f>
        <v/>
      </c>
      <c r="K803" s="3">
        <f>IF('ORDENES'!$A781="","",IF('ORDENES'!$E781="","-",'ORDENES'!$E781))</f>
        <v/>
      </c>
      <c r="L803" s="13">
        <f>IF('ORDENES'!$A781="","",IF('ORDENES'!$M781="",0,'ORDENES'!$M781))</f>
        <v/>
      </c>
      <c r="M803" s="3">
        <f>IF('ORDENES'!$A781="","",IF('ORDENES'!$N781="","-",'ORDENES'!$N781))</f>
        <v/>
      </c>
      <c r="N803" s="3">
        <f>IF('ORDENES'!$A781="","",'ORDENES'!$AD781)</f>
        <v/>
      </c>
    </row>
    <row r="804">
      <c r="A804" s="3">
        <f>IF('ORDENES'!$A782="","",IF('ORDENES'!$O782="","-",'ORDENES'!$O782))</f>
        <v/>
      </c>
      <c r="B804" s="3">
        <f>IF('ORDENES'!$A782="","",IF('ORDENES'!$R782="","-",'ORDENES'!$R782))</f>
        <v/>
      </c>
      <c r="C804" s="3">
        <f>IF('ORDENES'!$A782="","",IF('ORDENES'!$AF782="","-",'ORDENES'!$AF782))</f>
        <v/>
      </c>
      <c r="D804" s="3">
        <f>IF('ORDENES'!$A782="","",IF('ORDENES'!$X782="","-",'ORDENES'!$X782))</f>
        <v/>
      </c>
      <c r="E804" s="3">
        <f>IF('ORDENES'!$A782="","",IF('ORDENES'!$V782="","-",'ORDENES'!$V782))</f>
        <v/>
      </c>
      <c r="F804" s="3">
        <f>IF('ORDENES'!$A782="","",IF('ORDENES'!$Y782="","-",'ORDENES'!$Y782))</f>
        <v/>
      </c>
      <c r="G804" s="3">
        <f>IF('ORDENES'!$A782="","",IF('ORDENES'!$W782="","-",'ORDENES'!$W782))</f>
        <v/>
      </c>
      <c r="H804" s="3">
        <f>IF('ORDENES'!$A782="","",IF('ORDENES'!$AE782="","-",'ORDENES'!$AE782))</f>
        <v/>
      </c>
      <c r="I804" s="3">
        <f>IF('ORDENES'!$A782="","",IF('ORDENES'!$AQ782="","-",'ORDENES'!$AQ782))</f>
        <v/>
      </c>
      <c r="J804" s="3">
        <f>IF('ORDENES'!$A782="","",IF('ORDENES'!$D782="","-",'ORDENES'!$D782))</f>
        <v/>
      </c>
      <c r="K804" s="3">
        <f>IF('ORDENES'!$A782="","",IF('ORDENES'!$E782="","-",'ORDENES'!$E782))</f>
        <v/>
      </c>
      <c r="L804" s="13">
        <f>IF('ORDENES'!$A782="","",IF('ORDENES'!$M782="",0,'ORDENES'!$M782))</f>
        <v/>
      </c>
      <c r="M804" s="3">
        <f>IF('ORDENES'!$A782="","",IF('ORDENES'!$N782="","-",'ORDENES'!$N782))</f>
        <v/>
      </c>
      <c r="N804" s="3">
        <f>IF('ORDENES'!$A782="","",'ORDENES'!$AD782)</f>
        <v/>
      </c>
    </row>
    <row r="805">
      <c r="A805" s="3">
        <f>IF('ORDENES'!$A783="","",IF('ORDENES'!$O783="","-",'ORDENES'!$O783))</f>
        <v/>
      </c>
      <c r="B805" s="3">
        <f>IF('ORDENES'!$A783="","",IF('ORDENES'!$R783="","-",'ORDENES'!$R783))</f>
        <v/>
      </c>
      <c r="C805" s="3">
        <f>IF('ORDENES'!$A783="","",IF('ORDENES'!$AF783="","-",'ORDENES'!$AF783))</f>
        <v/>
      </c>
      <c r="D805" s="3">
        <f>IF('ORDENES'!$A783="","",IF('ORDENES'!$X783="","-",'ORDENES'!$X783))</f>
        <v/>
      </c>
      <c r="E805" s="3">
        <f>IF('ORDENES'!$A783="","",IF('ORDENES'!$V783="","-",'ORDENES'!$V783))</f>
        <v/>
      </c>
      <c r="F805" s="3">
        <f>IF('ORDENES'!$A783="","",IF('ORDENES'!$Y783="","-",'ORDENES'!$Y783))</f>
        <v/>
      </c>
      <c r="G805" s="3">
        <f>IF('ORDENES'!$A783="","",IF('ORDENES'!$W783="","-",'ORDENES'!$W783))</f>
        <v/>
      </c>
      <c r="H805" s="3">
        <f>IF('ORDENES'!$A783="","",IF('ORDENES'!$AE783="","-",'ORDENES'!$AE783))</f>
        <v/>
      </c>
      <c r="I805" s="3">
        <f>IF('ORDENES'!$A783="","",IF('ORDENES'!$AQ783="","-",'ORDENES'!$AQ783))</f>
        <v/>
      </c>
      <c r="J805" s="3">
        <f>IF('ORDENES'!$A783="","",IF('ORDENES'!$D783="","-",'ORDENES'!$D783))</f>
        <v/>
      </c>
      <c r="K805" s="3">
        <f>IF('ORDENES'!$A783="","",IF('ORDENES'!$E783="","-",'ORDENES'!$E783))</f>
        <v/>
      </c>
      <c r="L805" s="13">
        <f>IF('ORDENES'!$A783="","",IF('ORDENES'!$M783="",0,'ORDENES'!$M783))</f>
        <v/>
      </c>
      <c r="M805" s="3">
        <f>IF('ORDENES'!$A783="","",IF('ORDENES'!$N783="","-",'ORDENES'!$N783))</f>
        <v/>
      </c>
      <c r="N805" s="3">
        <f>IF('ORDENES'!$A783="","",'ORDENES'!$AD783)</f>
        <v/>
      </c>
    </row>
    <row r="806">
      <c r="A806" s="3">
        <f>IF('ORDENES'!$A784="","",IF('ORDENES'!$O784="","-",'ORDENES'!$O784))</f>
        <v/>
      </c>
      <c r="B806" s="3">
        <f>IF('ORDENES'!$A784="","",IF('ORDENES'!$R784="","-",'ORDENES'!$R784))</f>
        <v/>
      </c>
      <c r="C806" s="3">
        <f>IF('ORDENES'!$A784="","",IF('ORDENES'!$AF784="","-",'ORDENES'!$AF784))</f>
        <v/>
      </c>
      <c r="D806" s="3">
        <f>IF('ORDENES'!$A784="","",IF('ORDENES'!$X784="","-",'ORDENES'!$X784))</f>
        <v/>
      </c>
      <c r="E806" s="3">
        <f>IF('ORDENES'!$A784="","",IF('ORDENES'!$V784="","-",'ORDENES'!$V784))</f>
        <v/>
      </c>
      <c r="F806" s="3">
        <f>IF('ORDENES'!$A784="","",IF('ORDENES'!$Y784="","-",'ORDENES'!$Y784))</f>
        <v/>
      </c>
      <c r="G806" s="3">
        <f>IF('ORDENES'!$A784="","",IF('ORDENES'!$W784="","-",'ORDENES'!$W784))</f>
        <v/>
      </c>
      <c r="H806" s="3">
        <f>IF('ORDENES'!$A784="","",IF('ORDENES'!$AE784="","-",'ORDENES'!$AE784))</f>
        <v/>
      </c>
      <c r="I806" s="3">
        <f>IF('ORDENES'!$A784="","",IF('ORDENES'!$AQ784="","-",'ORDENES'!$AQ784))</f>
        <v/>
      </c>
      <c r="J806" s="3">
        <f>IF('ORDENES'!$A784="","",IF('ORDENES'!$D784="","-",'ORDENES'!$D784))</f>
        <v/>
      </c>
      <c r="K806" s="3">
        <f>IF('ORDENES'!$A784="","",IF('ORDENES'!$E784="","-",'ORDENES'!$E784))</f>
        <v/>
      </c>
      <c r="L806" s="13">
        <f>IF('ORDENES'!$A784="","",IF('ORDENES'!$M784="",0,'ORDENES'!$M784))</f>
        <v/>
      </c>
      <c r="M806" s="3">
        <f>IF('ORDENES'!$A784="","",IF('ORDENES'!$N784="","-",'ORDENES'!$N784))</f>
        <v/>
      </c>
      <c r="N806" s="3">
        <f>IF('ORDENES'!$A784="","",'ORDENES'!$AD784)</f>
        <v/>
      </c>
    </row>
    <row r="807">
      <c r="A807" s="3">
        <f>IF('ORDENES'!$A785="","",IF('ORDENES'!$O785="","-",'ORDENES'!$O785))</f>
        <v/>
      </c>
      <c r="B807" s="3">
        <f>IF('ORDENES'!$A785="","",IF('ORDENES'!$R785="","-",'ORDENES'!$R785))</f>
        <v/>
      </c>
      <c r="C807" s="3">
        <f>IF('ORDENES'!$A785="","",IF('ORDENES'!$AF785="","-",'ORDENES'!$AF785))</f>
        <v/>
      </c>
      <c r="D807" s="3">
        <f>IF('ORDENES'!$A785="","",IF('ORDENES'!$X785="","-",'ORDENES'!$X785))</f>
        <v/>
      </c>
      <c r="E807" s="3">
        <f>IF('ORDENES'!$A785="","",IF('ORDENES'!$V785="","-",'ORDENES'!$V785))</f>
        <v/>
      </c>
      <c r="F807" s="3">
        <f>IF('ORDENES'!$A785="","",IF('ORDENES'!$Y785="","-",'ORDENES'!$Y785))</f>
        <v/>
      </c>
      <c r="G807" s="3">
        <f>IF('ORDENES'!$A785="","",IF('ORDENES'!$W785="","-",'ORDENES'!$W785))</f>
        <v/>
      </c>
      <c r="H807" s="3">
        <f>IF('ORDENES'!$A785="","",IF('ORDENES'!$AE785="","-",'ORDENES'!$AE785))</f>
        <v/>
      </c>
      <c r="I807" s="3">
        <f>IF('ORDENES'!$A785="","",IF('ORDENES'!$AQ785="","-",'ORDENES'!$AQ785))</f>
        <v/>
      </c>
      <c r="J807" s="3">
        <f>IF('ORDENES'!$A785="","",IF('ORDENES'!$D785="","-",'ORDENES'!$D785))</f>
        <v/>
      </c>
      <c r="K807" s="3">
        <f>IF('ORDENES'!$A785="","",IF('ORDENES'!$E785="","-",'ORDENES'!$E785))</f>
        <v/>
      </c>
      <c r="L807" s="13">
        <f>IF('ORDENES'!$A785="","",IF('ORDENES'!$M785="",0,'ORDENES'!$M785))</f>
        <v/>
      </c>
      <c r="M807" s="3">
        <f>IF('ORDENES'!$A785="","",IF('ORDENES'!$N785="","-",'ORDENES'!$N785))</f>
        <v/>
      </c>
      <c r="N807" s="3">
        <f>IF('ORDENES'!$A785="","",'ORDENES'!$AD785)</f>
        <v/>
      </c>
    </row>
    <row r="808">
      <c r="A808" s="3">
        <f>IF('ORDENES'!$A786="","",IF('ORDENES'!$O786="","-",'ORDENES'!$O786))</f>
        <v/>
      </c>
      <c r="B808" s="3">
        <f>IF('ORDENES'!$A786="","",IF('ORDENES'!$R786="","-",'ORDENES'!$R786))</f>
        <v/>
      </c>
      <c r="C808" s="3">
        <f>IF('ORDENES'!$A786="","",IF('ORDENES'!$AF786="","-",'ORDENES'!$AF786))</f>
        <v/>
      </c>
      <c r="D808" s="3">
        <f>IF('ORDENES'!$A786="","",IF('ORDENES'!$X786="","-",'ORDENES'!$X786))</f>
        <v/>
      </c>
      <c r="E808" s="3">
        <f>IF('ORDENES'!$A786="","",IF('ORDENES'!$V786="","-",'ORDENES'!$V786))</f>
        <v/>
      </c>
      <c r="F808" s="3">
        <f>IF('ORDENES'!$A786="","",IF('ORDENES'!$Y786="","-",'ORDENES'!$Y786))</f>
        <v/>
      </c>
      <c r="G808" s="3">
        <f>IF('ORDENES'!$A786="","",IF('ORDENES'!$W786="","-",'ORDENES'!$W786))</f>
        <v/>
      </c>
      <c r="H808" s="3">
        <f>IF('ORDENES'!$A786="","",IF('ORDENES'!$AE786="","-",'ORDENES'!$AE786))</f>
        <v/>
      </c>
      <c r="I808" s="3">
        <f>IF('ORDENES'!$A786="","",IF('ORDENES'!$AQ786="","-",'ORDENES'!$AQ786))</f>
        <v/>
      </c>
      <c r="J808" s="3">
        <f>IF('ORDENES'!$A786="","",IF('ORDENES'!$D786="","-",'ORDENES'!$D786))</f>
        <v/>
      </c>
      <c r="K808" s="3">
        <f>IF('ORDENES'!$A786="","",IF('ORDENES'!$E786="","-",'ORDENES'!$E786))</f>
        <v/>
      </c>
      <c r="L808" s="13">
        <f>IF('ORDENES'!$A786="","",IF('ORDENES'!$M786="",0,'ORDENES'!$M786))</f>
        <v/>
      </c>
      <c r="M808" s="3">
        <f>IF('ORDENES'!$A786="","",IF('ORDENES'!$N786="","-",'ORDENES'!$N786))</f>
        <v/>
      </c>
      <c r="N808" s="3">
        <f>IF('ORDENES'!$A786="","",'ORDENES'!$AD786)</f>
        <v/>
      </c>
    </row>
    <row r="809">
      <c r="A809" s="3">
        <f>IF('ORDENES'!$A787="","",IF('ORDENES'!$O787="","-",'ORDENES'!$O787))</f>
        <v/>
      </c>
      <c r="B809" s="3">
        <f>IF('ORDENES'!$A787="","",IF('ORDENES'!$R787="","-",'ORDENES'!$R787))</f>
        <v/>
      </c>
      <c r="C809" s="3">
        <f>IF('ORDENES'!$A787="","",IF('ORDENES'!$AF787="","-",'ORDENES'!$AF787))</f>
        <v/>
      </c>
      <c r="D809" s="3">
        <f>IF('ORDENES'!$A787="","",IF('ORDENES'!$X787="","-",'ORDENES'!$X787))</f>
        <v/>
      </c>
      <c r="E809" s="3">
        <f>IF('ORDENES'!$A787="","",IF('ORDENES'!$V787="","-",'ORDENES'!$V787))</f>
        <v/>
      </c>
      <c r="F809" s="3">
        <f>IF('ORDENES'!$A787="","",IF('ORDENES'!$Y787="","-",'ORDENES'!$Y787))</f>
        <v/>
      </c>
      <c r="G809" s="3">
        <f>IF('ORDENES'!$A787="","",IF('ORDENES'!$W787="","-",'ORDENES'!$W787))</f>
        <v/>
      </c>
      <c r="H809" s="3">
        <f>IF('ORDENES'!$A787="","",IF('ORDENES'!$AE787="","-",'ORDENES'!$AE787))</f>
        <v/>
      </c>
      <c r="I809" s="3">
        <f>IF('ORDENES'!$A787="","",IF('ORDENES'!$AQ787="","-",'ORDENES'!$AQ787))</f>
        <v/>
      </c>
      <c r="J809" s="3">
        <f>IF('ORDENES'!$A787="","",IF('ORDENES'!$D787="","-",'ORDENES'!$D787))</f>
        <v/>
      </c>
      <c r="K809" s="3">
        <f>IF('ORDENES'!$A787="","",IF('ORDENES'!$E787="","-",'ORDENES'!$E787))</f>
        <v/>
      </c>
      <c r="L809" s="13">
        <f>IF('ORDENES'!$A787="","",IF('ORDENES'!$M787="",0,'ORDENES'!$M787))</f>
        <v/>
      </c>
      <c r="M809" s="3">
        <f>IF('ORDENES'!$A787="","",IF('ORDENES'!$N787="","-",'ORDENES'!$N787))</f>
        <v/>
      </c>
      <c r="N809" s="3">
        <f>IF('ORDENES'!$A787="","",'ORDENES'!$AD787)</f>
        <v/>
      </c>
    </row>
    <row r="810">
      <c r="A810" s="3">
        <f>IF('ORDENES'!$A788="","",IF('ORDENES'!$O788="","-",'ORDENES'!$O788))</f>
        <v/>
      </c>
      <c r="B810" s="3">
        <f>IF('ORDENES'!$A788="","",IF('ORDENES'!$R788="","-",'ORDENES'!$R788))</f>
        <v/>
      </c>
      <c r="C810" s="3">
        <f>IF('ORDENES'!$A788="","",IF('ORDENES'!$AF788="","-",'ORDENES'!$AF788))</f>
        <v/>
      </c>
      <c r="D810" s="3">
        <f>IF('ORDENES'!$A788="","",IF('ORDENES'!$X788="","-",'ORDENES'!$X788))</f>
        <v/>
      </c>
      <c r="E810" s="3">
        <f>IF('ORDENES'!$A788="","",IF('ORDENES'!$V788="","-",'ORDENES'!$V788))</f>
        <v/>
      </c>
      <c r="F810" s="3">
        <f>IF('ORDENES'!$A788="","",IF('ORDENES'!$Y788="","-",'ORDENES'!$Y788))</f>
        <v/>
      </c>
      <c r="G810" s="3">
        <f>IF('ORDENES'!$A788="","",IF('ORDENES'!$W788="","-",'ORDENES'!$W788))</f>
        <v/>
      </c>
      <c r="H810" s="3">
        <f>IF('ORDENES'!$A788="","",IF('ORDENES'!$AE788="","-",'ORDENES'!$AE788))</f>
        <v/>
      </c>
      <c r="I810" s="3">
        <f>IF('ORDENES'!$A788="","",IF('ORDENES'!$AQ788="","-",'ORDENES'!$AQ788))</f>
        <v/>
      </c>
      <c r="J810" s="3">
        <f>IF('ORDENES'!$A788="","",IF('ORDENES'!$D788="","-",'ORDENES'!$D788))</f>
        <v/>
      </c>
      <c r="K810" s="3">
        <f>IF('ORDENES'!$A788="","",IF('ORDENES'!$E788="","-",'ORDENES'!$E788))</f>
        <v/>
      </c>
      <c r="L810" s="13">
        <f>IF('ORDENES'!$A788="","",IF('ORDENES'!$M788="",0,'ORDENES'!$M788))</f>
        <v/>
      </c>
      <c r="M810" s="3">
        <f>IF('ORDENES'!$A788="","",IF('ORDENES'!$N788="","-",'ORDENES'!$N788))</f>
        <v/>
      </c>
      <c r="N810" s="3">
        <f>IF('ORDENES'!$A788="","",'ORDENES'!$AD788)</f>
        <v/>
      </c>
    </row>
    <row r="811">
      <c r="A811" s="3">
        <f>IF('ORDENES'!$A789="","",IF('ORDENES'!$O789="","-",'ORDENES'!$O789))</f>
        <v/>
      </c>
      <c r="B811" s="3">
        <f>IF('ORDENES'!$A789="","",IF('ORDENES'!$R789="","-",'ORDENES'!$R789))</f>
        <v/>
      </c>
      <c r="C811" s="3">
        <f>IF('ORDENES'!$A789="","",IF('ORDENES'!$AF789="","-",'ORDENES'!$AF789))</f>
        <v/>
      </c>
      <c r="D811" s="3">
        <f>IF('ORDENES'!$A789="","",IF('ORDENES'!$X789="","-",'ORDENES'!$X789))</f>
        <v/>
      </c>
      <c r="E811" s="3">
        <f>IF('ORDENES'!$A789="","",IF('ORDENES'!$V789="","-",'ORDENES'!$V789))</f>
        <v/>
      </c>
      <c r="F811" s="3">
        <f>IF('ORDENES'!$A789="","",IF('ORDENES'!$Y789="","-",'ORDENES'!$Y789))</f>
        <v/>
      </c>
      <c r="G811" s="3">
        <f>IF('ORDENES'!$A789="","",IF('ORDENES'!$W789="","-",'ORDENES'!$W789))</f>
        <v/>
      </c>
      <c r="H811" s="3">
        <f>IF('ORDENES'!$A789="","",IF('ORDENES'!$AE789="","-",'ORDENES'!$AE789))</f>
        <v/>
      </c>
      <c r="I811" s="3">
        <f>IF('ORDENES'!$A789="","",IF('ORDENES'!$AQ789="","-",'ORDENES'!$AQ789))</f>
        <v/>
      </c>
      <c r="J811" s="3">
        <f>IF('ORDENES'!$A789="","",IF('ORDENES'!$D789="","-",'ORDENES'!$D789))</f>
        <v/>
      </c>
      <c r="K811" s="3">
        <f>IF('ORDENES'!$A789="","",IF('ORDENES'!$E789="","-",'ORDENES'!$E789))</f>
        <v/>
      </c>
      <c r="L811" s="13">
        <f>IF('ORDENES'!$A789="","",IF('ORDENES'!$M789="",0,'ORDENES'!$M789))</f>
        <v/>
      </c>
      <c r="M811" s="3">
        <f>IF('ORDENES'!$A789="","",IF('ORDENES'!$N789="","-",'ORDENES'!$N789))</f>
        <v/>
      </c>
      <c r="N811" s="3">
        <f>IF('ORDENES'!$A789="","",'ORDENES'!$AD789)</f>
        <v/>
      </c>
    </row>
    <row r="812">
      <c r="A812" s="3">
        <f>IF('ORDENES'!$A790="","",IF('ORDENES'!$O790="","-",'ORDENES'!$O790))</f>
        <v/>
      </c>
      <c r="B812" s="3">
        <f>IF('ORDENES'!$A790="","",IF('ORDENES'!$R790="","-",'ORDENES'!$R790))</f>
        <v/>
      </c>
      <c r="C812" s="3">
        <f>IF('ORDENES'!$A790="","",IF('ORDENES'!$AF790="","-",'ORDENES'!$AF790))</f>
        <v/>
      </c>
      <c r="D812" s="3">
        <f>IF('ORDENES'!$A790="","",IF('ORDENES'!$X790="","-",'ORDENES'!$X790))</f>
        <v/>
      </c>
      <c r="E812" s="3">
        <f>IF('ORDENES'!$A790="","",IF('ORDENES'!$V790="","-",'ORDENES'!$V790))</f>
        <v/>
      </c>
      <c r="F812" s="3">
        <f>IF('ORDENES'!$A790="","",IF('ORDENES'!$Y790="","-",'ORDENES'!$Y790))</f>
        <v/>
      </c>
      <c r="G812" s="3">
        <f>IF('ORDENES'!$A790="","",IF('ORDENES'!$W790="","-",'ORDENES'!$W790))</f>
        <v/>
      </c>
      <c r="H812" s="3">
        <f>IF('ORDENES'!$A790="","",IF('ORDENES'!$AE790="","-",'ORDENES'!$AE790))</f>
        <v/>
      </c>
      <c r="I812" s="3">
        <f>IF('ORDENES'!$A790="","",IF('ORDENES'!$AQ790="","-",'ORDENES'!$AQ790))</f>
        <v/>
      </c>
      <c r="J812" s="3">
        <f>IF('ORDENES'!$A790="","",IF('ORDENES'!$D790="","-",'ORDENES'!$D790))</f>
        <v/>
      </c>
      <c r="K812" s="3">
        <f>IF('ORDENES'!$A790="","",IF('ORDENES'!$E790="","-",'ORDENES'!$E790))</f>
        <v/>
      </c>
      <c r="L812" s="13">
        <f>IF('ORDENES'!$A790="","",IF('ORDENES'!$M790="",0,'ORDENES'!$M790))</f>
        <v/>
      </c>
      <c r="M812" s="3">
        <f>IF('ORDENES'!$A790="","",IF('ORDENES'!$N790="","-",'ORDENES'!$N790))</f>
        <v/>
      </c>
      <c r="N812" s="3">
        <f>IF('ORDENES'!$A790="","",'ORDENES'!$AD790)</f>
        <v/>
      </c>
    </row>
    <row r="813">
      <c r="A813" s="3">
        <f>IF('ORDENES'!$A791="","",IF('ORDENES'!$O791="","-",'ORDENES'!$O791))</f>
        <v/>
      </c>
      <c r="B813" s="3">
        <f>IF('ORDENES'!$A791="","",IF('ORDENES'!$R791="","-",'ORDENES'!$R791))</f>
        <v/>
      </c>
      <c r="C813" s="3">
        <f>IF('ORDENES'!$A791="","",IF('ORDENES'!$AF791="","-",'ORDENES'!$AF791))</f>
        <v/>
      </c>
      <c r="D813" s="3">
        <f>IF('ORDENES'!$A791="","",IF('ORDENES'!$X791="","-",'ORDENES'!$X791))</f>
        <v/>
      </c>
      <c r="E813" s="3">
        <f>IF('ORDENES'!$A791="","",IF('ORDENES'!$V791="","-",'ORDENES'!$V791))</f>
        <v/>
      </c>
      <c r="F813" s="3">
        <f>IF('ORDENES'!$A791="","",IF('ORDENES'!$Y791="","-",'ORDENES'!$Y791))</f>
        <v/>
      </c>
      <c r="G813" s="3">
        <f>IF('ORDENES'!$A791="","",IF('ORDENES'!$W791="","-",'ORDENES'!$W791))</f>
        <v/>
      </c>
      <c r="H813" s="3">
        <f>IF('ORDENES'!$A791="","",IF('ORDENES'!$AE791="","-",'ORDENES'!$AE791))</f>
        <v/>
      </c>
      <c r="I813" s="3">
        <f>IF('ORDENES'!$A791="","",IF('ORDENES'!$AQ791="","-",'ORDENES'!$AQ791))</f>
        <v/>
      </c>
      <c r="J813" s="3">
        <f>IF('ORDENES'!$A791="","",IF('ORDENES'!$D791="","-",'ORDENES'!$D791))</f>
        <v/>
      </c>
      <c r="K813" s="3">
        <f>IF('ORDENES'!$A791="","",IF('ORDENES'!$E791="","-",'ORDENES'!$E791))</f>
        <v/>
      </c>
      <c r="L813" s="13">
        <f>IF('ORDENES'!$A791="","",IF('ORDENES'!$M791="",0,'ORDENES'!$M791))</f>
        <v/>
      </c>
      <c r="M813" s="3">
        <f>IF('ORDENES'!$A791="","",IF('ORDENES'!$N791="","-",'ORDENES'!$N791))</f>
        <v/>
      </c>
      <c r="N813" s="3">
        <f>IF('ORDENES'!$A791="","",'ORDENES'!$AD791)</f>
        <v/>
      </c>
    </row>
    <row r="814">
      <c r="A814" s="3">
        <f>IF('ORDENES'!$A792="","",IF('ORDENES'!$O792="","-",'ORDENES'!$O792))</f>
        <v/>
      </c>
      <c r="B814" s="3">
        <f>IF('ORDENES'!$A792="","",IF('ORDENES'!$R792="","-",'ORDENES'!$R792))</f>
        <v/>
      </c>
      <c r="C814" s="3">
        <f>IF('ORDENES'!$A792="","",IF('ORDENES'!$AF792="","-",'ORDENES'!$AF792))</f>
        <v/>
      </c>
      <c r="D814" s="3">
        <f>IF('ORDENES'!$A792="","",IF('ORDENES'!$X792="","-",'ORDENES'!$X792))</f>
        <v/>
      </c>
      <c r="E814" s="3">
        <f>IF('ORDENES'!$A792="","",IF('ORDENES'!$V792="","-",'ORDENES'!$V792))</f>
        <v/>
      </c>
      <c r="F814" s="3">
        <f>IF('ORDENES'!$A792="","",IF('ORDENES'!$Y792="","-",'ORDENES'!$Y792))</f>
        <v/>
      </c>
      <c r="G814" s="3">
        <f>IF('ORDENES'!$A792="","",IF('ORDENES'!$W792="","-",'ORDENES'!$W792))</f>
        <v/>
      </c>
      <c r="H814" s="3">
        <f>IF('ORDENES'!$A792="","",IF('ORDENES'!$AE792="","-",'ORDENES'!$AE792))</f>
        <v/>
      </c>
      <c r="I814" s="3">
        <f>IF('ORDENES'!$A792="","",IF('ORDENES'!$AQ792="","-",'ORDENES'!$AQ792))</f>
        <v/>
      </c>
      <c r="J814" s="3">
        <f>IF('ORDENES'!$A792="","",IF('ORDENES'!$D792="","-",'ORDENES'!$D792))</f>
        <v/>
      </c>
      <c r="K814" s="3">
        <f>IF('ORDENES'!$A792="","",IF('ORDENES'!$E792="","-",'ORDENES'!$E792))</f>
        <v/>
      </c>
      <c r="L814" s="13">
        <f>IF('ORDENES'!$A792="","",IF('ORDENES'!$M792="",0,'ORDENES'!$M792))</f>
        <v/>
      </c>
      <c r="M814" s="3">
        <f>IF('ORDENES'!$A792="","",IF('ORDENES'!$N792="","-",'ORDENES'!$N792))</f>
        <v/>
      </c>
      <c r="N814" s="3">
        <f>IF('ORDENES'!$A792="","",'ORDENES'!$AD792)</f>
        <v/>
      </c>
    </row>
    <row r="815">
      <c r="A815" s="3">
        <f>IF('ORDENES'!$A793="","",IF('ORDENES'!$O793="","-",'ORDENES'!$O793))</f>
        <v/>
      </c>
      <c r="B815" s="3">
        <f>IF('ORDENES'!$A793="","",IF('ORDENES'!$R793="","-",'ORDENES'!$R793))</f>
        <v/>
      </c>
      <c r="C815" s="3">
        <f>IF('ORDENES'!$A793="","",IF('ORDENES'!$AF793="","-",'ORDENES'!$AF793))</f>
        <v/>
      </c>
      <c r="D815" s="3">
        <f>IF('ORDENES'!$A793="","",IF('ORDENES'!$X793="","-",'ORDENES'!$X793))</f>
        <v/>
      </c>
      <c r="E815" s="3">
        <f>IF('ORDENES'!$A793="","",IF('ORDENES'!$V793="","-",'ORDENES'!$V793))</f>
        <v/>
      </c>
      <c r="F815" s="3">
        <f>IF('ORDENES'!$A793="","",IF('ORDENES'!$Y793="","-",'ORDENES'!$Y793))</f>
        <v/>
      </c>
      <c r="G815" s="3">
        <f>IF('ORDENES'!$A793="","",IF('ORDENES'!$W793="","-",'ORDENES'!$W793))</f>
        <v/>
      </c>
      <c r="H815" s="3">
        <f>IF('ORDENES'!$A793="","",IF('ORDENES'!$AE793="","-",'ORDENES'!$AE793))</f>
        <v/>
      </c>
      <c r="I815" s="3">
        <f>IF('ORDENES'!$A793="","",IF('ORDENES'!$AQ793="","-",'ORDENES'!$AQ793))</f>
        <v/>
      </c>
      <c r="J815" s="3">
        <f>IF('ORDENES'!$A793="","",IF('ORDENES'!$D793="","-",'ORDENES'!$D793))</f>
        <v/>
      </c>
      <c r="K815" s="3">
        <f>IF('ORDENES'!$A793="","",IF('ORDENES'!$E793="","-",'ORDENES'!$E793))</f>
        <v/>
      </c>
      <c r="L815" s="13">
        <f>IF('ORDENES'!$A793="","",IF('ORDENES'!$M793="",0,'ORDENES'!$M793))</f>
        <v/>
      </c>
      <c r="M815" s="3">
        <f>IF('ORDENES'!$A793="","",IF('ORDENES'!$N793="","-",'ORDENES'!$N793))</f>
        <v/>
      </c>
      <c r="N815" s="3">
        <f>IF('ORDENES'!$A793="","",'ORDENES'!$AD793)</f>
        <v/>
      </c>
    </row>
    <row r="816">
      <c r="A816" s="3">
        <f>IF('ORDENES'!$A794="","",IF('ORDENES'!$O794="","-",'ORDENES'!$O794))</f>
        <v/>
      </c>
      <c r="B816" s="3">
        <f>IF('ORDENES'!$A794="","",IF('ORDENES'!$R794="","-",'ORDENES'!$R794))</f>
        <v/>
      </c>
      <c r="C816" s="3">
        <f>IF('ORDENES'!$A794="","",IF('ORDENES'!$AF794="","-",'ORDENES'!$AF794))</f>
        <v/>
      </c>
      <c r="D816" s="3">
        <f>IF('ORDENES'!$A794="","",IF('ORDENES'!$X794="","-",'ORDENES'!$X794))</f>
        <v/>
      </c>
      <c r="E816" s="3">
        <f>IF('ORDENES'!$A794="","",IF('ORDENES'!$V794="","-",'ORDENES'!$V794))</f>
        <v/>
      </c>
      <c r="F816" s="3">
        <f>IF('ORDENES'!$A794="","",IF('ORDENES'!$Y794="","-",'ORDENES'!$Y794))</f>
        <v/>
      </c>
      <c r="G816" s="3">
        <f>IF('ORDENES'!$A794="","",IF('ORDENES'!$W794="","-",'ORDENES'!$W794))</f>
        <v/>
      </c>
      <c r="H816" s="3">
        <f>IF('ORDENES'!$A794="","",IF('ORDENES'!$AE794="","-",'ORDENES'!$AE794))</f>
        <v/>
      </c>
      <c r="I816" s="3">
        <f>IF('ORDENES'!$A794="","",IF('ORDENES'!$AQ794="","-",'ORDENES'!$AQ794))</f>
        <v/>
      </c>
      <c r="J816" s="3">
        <f>IF('ORDENES'!$A794="","",IF('ORDENES'!$D794="","-",'ORDENES'!$D794))</f>
        <v/>
      </c>
      <c r="K816" s="3">
        <f>IF('ORDENES'!$A794="","",IF('ORDENES'!$E794="","-",'ORDENES'!$E794))</f>
        <v/>
      </c>
      <c r="L816" s="13">
        <f>IF('ORDENES'!$A794="","",IF('ORDENES'!$M794="",0,'ORDENES'!$M794))</f>
        <v/>
      </c>
      <c r="M816" s="3">
        <f>IF('ORDENES'!$A794="","",IF('ORDENES'!$N794="","-",'ORDENES'!$N794))</f>
        <v/>
      </c>
      <c r="N816" s="3">
        <f>IF('ORDENES'!$A794="","",'ORDENES'!$AD794)</f>
        <v/>
      </c>
    </row>
    <row r="817">
      <c r="A817" s="3">
        <f>IF('ORDENES'!$A795="","",IF('ORDENES'!$O795="","-",'ORDENES'!$O795))</f>
        <v/>
      </c>
      <c r="B817" s="3">
        <f>IF('ORDENES'!$A795="","",IF('ORDENES'!$R795="","-",'ORDENES'!$R795))</f>
        <v/>
      </c>
      <c r="C817" s="3">
        <f>IF('ORDENES'!$A795="","",IF('ORDENES'!$AF795="","-",'ORDENES'!$AF795))</f>
        <v/>
      </c>
      <c r="D817" s="3">
        <f>IF('ORDENES'!$A795="","",IF('ORDENES'!$X795="","-",'ORDENES'!$X795))</f>
        <v/>
      </c>
      <c r="E817" s="3">
        <f>IF('ORDENES'!$A795="","",IF('ORDENES'!$V795="","-",'ORDENES'!$V795))</f>
        <v/>
      </c>
      <c r="F817" s="3">
        <f>IF('ORDENES'!$A795="","",IF('ORDENES'!$Y795="","-",'ORDENES'!$Y795))</f>
        <v/>
      </c>
      <c r="G817" s="3">
        <f>IF('ORDENES'!$A795="","",IF('ORDENES'!$W795="","-",'ORDENES'!$W795))</f>
        <v/>
      </c>
      <c r="H817" s="3">
        <f>IF('ORDENES'!$A795="","",IF('ORDENES'!$AE795="","-",'ORDENES'!$AE795))</f>
        <v/>
      </c>
      <c r="I817" s="3">
        <f>IF('ORDENES'!$A795="","",IF('ORDENES'!$AQ795="","-",'ORDENES'!$AQ795))</f>
        <v/>
      </c>
      <c r="J817" s="3">
        <f>IF('ORDENES'!$A795="","",IF('ORDENES'!$D795="","-",'ORDENES'!$D795))</f>
        <v/>
      </c>
      <c r="K817" s="3">
        <f>IF('ORDENES'!$A795="","",IF('ORDENES'!$E795="","-",'ORDENES'!$E795))</f>
        <v/>
      </c>
      <c r="L817" s="13">
        <f>IF('ORDENES'!$A795="","",IF('ORDENES'!$M795="",0,'ORDENES'!$M795))</f>
        <v/>
      </c>
      <c r="M817" s="3">
        <f>IF('ORDENES'!$A795="","",IF('ORDENES'!$N795="","-",'ORDENES'!$N795))</f>
        <v/>
      </c>
      <c r="N817" s="3">
        <f>IF('ORDENES'!$A795="","",'ORDENES'!$AD795)</f>
        <v/>
      </c>
    </row>
    <row r="818">
      <c r="A818" s="3">
        <f>IF('ORDENES'!$A796="","",IF('ORDENES'!$O796="","-",'ORDENES'!$O796))</f>
        <v/>
      </c>
      <c r="B818" s="3">
        <f>IF('ORDENES'!$A796="","",IF('ORDENES'!$R796="","-",'ORDENES'!$R796))</f>
        <v/>
      </c>
      <c r="C818" s="3">
        <f>IF('ORDENES'!$A796="","",IF('ORDENES'!$AF796="","-",'ORDENES'!$AF796))</f>
        <v/>
      </c>
      <c r="D818" s="3">
        <f>IF('ORDENES'!$A796="","",IF('ORDENES'!$X796="","-",'ORDENES'!$X796))</f>
        <v/>
      </c>
      <c r="E818" s="3">
        <f>IF('ORDENES'!$A796="","",IF('ORDENES'!$V796="","-",'ORDENES'!$V796))</f>
        <v/>
      </c>
      <c r="F818" s="3">
        <f>IF('ORDENES'!$A796="","",IF('ORDENES'!$Y796="","-",'ORDENES'!$Y796))</f>
        <v/>
      </c>
      <c r="G818" s="3">
        <f>IF('ORDENES'!$A796="","",IF('ORDENES'!$W796="","-",'ORDENES'!$W796))</f>
        <v/>
      </c>
      <c r="H818" s="3">
        <f>IF('ORDENES'!$A796="","",IF('ORDENES'!$AE796="","-",'ORDENES'!$AE796))</f>
        <v/>
      </c>
      <c r="I818" s="3">
        <f>IF('ORDENES'!$A796="","",IF('ORDENES'!$AQ796="","-",'ORDENES'!$AQ796))</f>
        <v/>
      </c>
      <c r="J818" s="3">
        <f>IF('ORDENES'!$A796="","",IF('ORDENES'!$D796="","-",'ORDENES'!$D796))</f>
        <v/>
      </c>
      <c r="K818" s="3">
        <f>IF('ORDENES'!$A796="","",IF('ORDENES'!$E796="","-",'ORDENES'!$E796))</f>
        <v/>
      </c>
      <c r="L818" s="13">
        <f>IF('ORDENES'!$A796="","",IF('ORDENES'!$M796="",0,'ORDENES'!$M796))</f>
        <v/>
      </c>
      <c r="M818" s="3">
        <f>IF('ORDENES'!$A796="","",IF('ORDENES'!$N796="","-",'ORDENES'!$N796))</f>
        <v/>
      </c>
      <c r="N818" s="3">
        <f>IF('ORDENES'!$A796="","",'ORDENES'!$AD796)</f>
        <v/>
      </c>
    </row>
    <row r="819">
      <c r="A819" s="3">
        <f>IF('ORDENES'!$A797="","",IF('ORDENES'!$O797="","-",'ORDENES'!$O797))</f>
        <v/>
      </c>
      <c r="B819" s="3">
        <f>IF('ORDENES'!$A797="","",IF('ORDENES'!$R797="","-",'ORDENES'!$R797))</f>
        <v/>
      </c>
      <c r="C819" s="3">
        <f>IF('ORDENES'!$A797="","",IF('ORDENES'!$AF797="","-",'ORDENES'!$AF797))</f>
        <v/>
      </c>
      <c r="D819" s="3">
        <f>IF('ORDENES'!$A797="","",IF('ORDENES'!$X797="","-",'ORDENES'!$X797))</f>
        <v/>
      </c>
      <c r="E819" s="3">
        <f>IF('ORDENES'!$A797="","",IF('ORDENES'!$V797="","-",'ORDENES'!$V797))</f>
        <v/>
      </c>
      <c r="F819" s="3">
        <f>IF('ORDENES'!$A797="","",IF('ORDENES'!$Y797="","-",'ORDENES'!$Y797))</f>
        <v/>
      </c>
      <c r="G819" s="3">
        <f>IF('ORDENES'!$A797="","",IF('ORDENES'!$W797="","-",'ORDENES'!$W797))</f>
        <v/>
      </c>
      <c r="H819" s="3">
        <f>IF('ORDENES'!$A797="","",IF('ORDENES'!$AE797="","-",'ORDENES'!$AE797))</f>
        <v/>
      </c>
      <c r="I819" s="3">
        <f>IF('ORDENES'!$A797="","",IF('ORDENES'!$AQ797="","-",'ORDENES'!$AQ797))</f>
        <v/>
      </c>
      <c r="J819" s="3">
        <f>IF('ORDENES'!$A797="","",IF('ORDENES'!$D797="","-",'ORDENES'!$D797))</f>
        <v/>
      </c>
      <c r="K819" s="3">
        <f>IF('ORDENES'!$A797="","",IF('ORDENES'!$E797="","-",'ORDENES'!$E797))</f>
        <v/>
      </c>
      <c r="L819" s="13">
        <f>IF('ORDENES'!$A797="","",IF('ORDENES'!$M797="",0,'ORDENES'!$M797))</f>
        <v/>
      </c>
      <c r="M819" s="3">
        <f>IF('ORDENES'!$A797="","",IF('ORDENES'!$N797="","-",'ORDENES'!$N797))</f>
        <v/>
      </c>
      <c r="N819" s="3">
        <f>IF('ORDENES'!$A797="","",'ORDENES'!$AD797)</f>
        <v/>
      </c>
    </row>
    <row r="820">
      <c r="A820" s="3">
        <f>IF('ORDENES'!$A798="","",IF('ORDENES'!$O798="","-",'ORDENES'!$O798))</f>
        <v/>
      </c>
      <c r="B820" s="3">
        <f>IF('ORDENES'!$A798="","",IF('ORDENES'!$R798="","-",'ORDENES'!$R798))</f>
        <v/>
      </c>
      <c r="C820" s="3">
        <f>IF('ORDENES'!$A798="","",IF('ORDENES'!$AF798="","-",'ORDENES'!$AF798))</f>
        <v/>
      </c>
      <c r="D820" s="3">
        <f>IF('ORDENES'!$A798="","",IF('ORDENES'!$X798="","-",'ORDENES'!$X798))</f>
        <v/>
      </c>
      <c r="E820" s="3">
        <f>IF('ORDENES'!$A798="","",IF('ORDENES'!$V798="","-",'ORDENES'!$V798))</f>
        <v/>
      </c>
      <c r="F820" s="3">
        <f>IF('ORDENES'!$A798="","",IF('ORDENES'!$Y798="","-",'ORDENES'!$Y798))</f>
        <v/>
      </c>
      <c r="G820" s="3">
        <f>IF('ORDENES'!$A798="","",IF('ORDENES'!$W798="","-",'ORDENES'!$W798))</f>
        <v/>
      </c>
      <c r="H820" s="3">
        <f>IF('ORDENES'!$A798="","",IF('ORDENES'!$AE798="","-",'ORDENES'!$AE798))</f>
        <v/>
      </c>
      <c r="I820" s="3">
        <f>IF('ORDENES'!$A798="","",IF('ORDENES'!$AQ798="","-",'ORDENES'!$AQ798))</f>
        <v/>
      </c>
      <c r="J820" s="3">
        <f>IF('ORDENES'!$A798="","",IF('ORDENES'!$D798="","-",'ORDENES'!$D798))</f>
        <v/>
      </c>
      <c r="K820" s="3">
        <f>IF('ORDENES'!$A798="","",IF('ORDENES'!$E798="","-",'ORDENES'!$E798))</f>
        <v/>
      </c>
      <c r="L820" s="13">
        <f>IF('ORDENES'!$A798="","",IF('ORDENES'!$M798="",0,'ORDENES'!$M798))</f>
        <v/>
      </c>
      <c r="M820" s="3">
        <f>IF('ORDENES'!$A798="","",IF('ORDENES'!$N798="","-",'ORDENES'!$N798))</f>
        <v/>
      </c>
      <c r="N820" s="3">
        <f>IF('ORDENES'!$A798="","",'ORDENES'!$AD798)</f>
        <v/>
      </c>
    </row>
    <row r="821">
      <c r="A821" s="3">
        <f>IF('ORDENES'!$A799="","",IF('ORDENES'!$O799="","-",'ORDENES'!$O799))</f>
        <v/>
      </c>
      <c r="B821" s="3">
        <f>IF('ORDENES'!$A799="","",IF('ORDENES'!$R799="","-",'ORDENES'!$R799))</f>
        <v/>
      </c>
      <c r="C821" s="3">
        <f>IF('ORDENES'!$A799="","",IF('ORDENES'!$AF799="","-",'ORDENES'!$AF799))</f>
        <v/>
      </c>
      <c r="D821" s="3">
        <f>IF('ORDENES'!$A799="","",IF('ORDENES'!$X799="","-",'ORDENES'!$X799))</f>
        <v/>
      </c>
      <c r="E821" s="3">
        <f>IF('ORDENES'!$A799="","",IF('ORDENES'!$V799="","-",'ORDENES'!$V799))</f>
        <v/>
      </c>
      <c r="F821" s="3">
        <f>IF('ORDENES'!$A799="","",IF('ORDENES'!$Y799="","-",'ORDENES'!$Y799))</f>
        <v/>
      </c>
      <c r="G821" s="3">
        <f>IF('ORDENES'!$A799="","",IF('ORDENES'!$W799="","-",'ORDENES'!$W799))</f>
        <v/>
      </c>
      <c r="H821" s="3">
        <f>IF('ORDENES'!$A799="","",IF('ORDENES'!$AE799="","-",'ORDENES'!$AE799))</f>
        <v/>
      </c>
      <c r="I821" s="3">
        <f>IF('ORDENES'!$A799="","",IF('ORDENES'!$AQ799="","-",'ORDENES'!$AQ799))</f>
        <v/>
      </c>
      <c r="J821" s="3">
        <f>IF('ORDENES'!$A799="","",IF('ORDENES'!$D799="","-",'ORDENES'!$D799))</f>
        <v/>
      </c>
      <c r="K821" s="3">
        <f>IF('ORDENES'!$A799="","",IF('ORDENES'!$E799="","-",'ORDENES'!$E799))</f>
        <v/>
      </c>
      <c r="L821" s="13">
        <f>IF('ORDENES'!$A799="","",IF('ORDENES'!$M799="",0,'ORDENES'!$M799))</f>
        <v/>
      </c>
      <c r="M821" s="3">
        <f>IF('ORDENES'!$A799="","",IF('ORDENES'!$N799="","-",'ORDENES'!$N799))</f>
        <v/>
      </c>
      <c r="N821" s="3">
        <f>IF('ORDENES'!$A799="","",'ORDENES'!$AD799)</f>
        <v/>
      </c>
    </row>
    <row r="822">
      <c r="A822" s="3">
        <f>IF('ORDENES'!$A800="","",IF('ORDENES'!$O800="","-",'ORDENES'!$O800))</f>
        <v/>
      </c>
      <c r="B822" s="3">
        <f>IF('ORDENES'!$A800="","",IF('ORDENES'!$R800="","-",'ORDENES'!$R800))</f>
        <v/>
      </c>
      <c r="C822" s="3">
        <f>IF('ORDENES'!$A800="","",IF('ORDENES'!$AF800="","-",'ORDENES'!$AF800))</f>
        <v/>
      </c>
      <c r="D822" s="3">
        <f>IF('ORDENES'!$A800="","",IF('ORDENES'!$X800="","-",'ORDENES'!$X800))</f>
        <v/>
      </c>
      <c r="E822" s="3">
        <f>IF('ORDENES'!$A800="","",IF('ORDENES'!$V800="","-",'ORDENES'!$V800))</f>
        <v/>
      </c>
      <c r="F822" s="3">
        <f>IF('ORDENES'!$A800="","",IF('ORDENES'!$Y800="","-",'ORDENES'!$Y800))</f>
        <v/>
      </c>
      <c r="G822" s="3">
        <f>IF('ORDENES'!$A800="","",IF('ORDENES'!$W800="","-",'ORDENES'!$W800))</f>
        <v/>
      </c>
      <c r="H822" s="3">
        <f>IF('ORDENES'!$A800="","",IF('ORDENES'!$AE800="","-",'ORDENES'!$AE800))</f>
        <v/>
      </c>
      <c r="I822" s="3">
        <f>IF('ORDENES'!$A800="","",IF('ORDENES'!$AQ800="","-",'ORDENES'!$AQ800))</f>
        <v/>
      </c>
      <c r="J822" s="3">
        <f>IF('ORDENES'!$A800="","",IF('ORDENES'!$D800="","-",'ORDENES'!$D800))</f>
        <v/>
      </c>
      <c r="K822" s="3">
        <f>IF('ORDENES'!$A800="","",IF('ORDENES'!$E800="","-",'ORDENES'!$E800))</f>
        <v/>
      </c>
      <c r="L822" s="13">
        <f>IF('ORDENES'!$A800="","",IF('ORDENES'!$M800="",0,'ORDENES'!$M800))</f>
        <v/>
      </c>
      <c r="M822" s="3">
        <f>IF('ORDENES'!$A800="","",IF('ORDENES'!$N800="","-",'ORDENES'!$N800))</f>
        <v/>
      </c>
      <c r="N822" s="3">
        <f>IF('ORDENES'!$A800="","",'ORDENES'!$AD800)</f>
        <v/>
      </c>
    </row>
    <row r="823">
      <c r="A823" s="3">
        <f>IF('ORDENES'!$A801="","",IF('ORDENES'!$O801="","-",'ORDENES'!$O801))</f>
        <v/>
      </c>
      <c r="B823" s="3">
        <f>IF('ORDENES'!$A801="","",IF('ORDENES'!$R801="","-",'ORDENES'!$R801))</f>
        <v/>
      </c>
      <c r="C823" s="3">
        <f>IF('ORDENES'!$A801="","",IF('ORDENES'!$AF801="","-",'ORDENES'!$AF801))</f>
        <v/>
      </c>
      <c r="D823" s="3">
        <f>IF('ORDENES'!$A801="","",IF('ORDENES'!$X801="","-",'ORDENES'!$X801))</f>
        <v/>
      </c>
      <c r="E823" s="3">
        <f>IF('ORDENES'!$A801="","",IF('ORDENES'!$V801="","-",'ORDENES'!$V801))</f>
        <v/>
      </c>
      <c r="F823" s="3">
        <f>IF('ORDENES'!$A801="","",IF('ORDENES'!$Y801="","-",'ORDENES'!$Y801))</f>
        <v/>
      </c>
      <c r="G823" s="3">
        <f>IF('ORDENES'!$A801="","",IF('ORDENES'!$W801="","-",'ORDENES'!$W801))</f>
        <v/>
      </c>
      <c r="H823" s="3">
        <f>IF('ORDENES'!$A801="","",IF('ORDENES'!$AE801="","-",'ORDENES'!$AE801))</f>
        <v/>
      </c>
      <c r="I823" s="3">
        <f>IF('ORDENES'!$A801="","",IF('ORDENES'!$AQ801="","-",'ORDENES'!$AQ801))</f>
        <v/>
      </c>
      <c r="J823" s="3">
        <f>IF('ORDENES'!$A801="","",IF('ORDENES'!$D801="","-",'ORDENES'!$D801))</f>
        <v/>
      </c>
      <c r="K823" s="3">
        <f>IF('ORDENES'!$A801="","",IF('ORDENES'!$E801="","-",'ORDENES'!$E801))</f>
        <v/>
      </c>
      <c r="L823" s="13">
        <f>IF('ORDENES'!$A801="","",IF('ORDENES'!$M801="",0,'ORDENES'!$M801))</f>
        <v/>
      </c>
      <c r="M823" s="3">
        <f>IF('ORDENES'!$A801="","",IF('ORDENES'!$N801="","-",'ORDENES'!$N801))</f>
        <v/>
      </c>
      <c r="N823" s="3">
        <f>IF('ORDENES'!$A801="","",'ORDENES'!$AD801)</f>
        <v/>
      </c>
    </row>
    <row r="824">
      <c r="A824" s="3">
        <f>IF('ORDENES'!$A802="","",IF('ORDENES'!$O802="","-",'ORDENES'!$O802))</f>
        <v/>
      </c>
      <c r="B824" s="3">
        <f>IF('ORDENES'!$A802="","",IF('ORDENES'!$R802="","-",'ORDENES'!$R802))</f>
        <v/>
      </c>
      <c r="C824" s="3">
        <f>IF('ORDENES'!$A802="","",IF('ORDENES'!$AF802="","-",'ORDENES'!$AF802))</f>
        <v/>
      </c>
      <c r="D824" s="3">
        <f>IF('ORDENES'!$A802="","",IF('ORDENES'!$X802="","-",'ORDENES'!$X802))</f>
        <v/>
      </c>
      <c r="E824" s="3">
        <f>IF('ORDENES'!$A802="","",IF('ORDENES'!$V802="","-",'ORDENES'!$V802))</f>
        <v/>
      </c>
      <c r="F824" s="3">
        <f>IF('ORDENES'!$A802="","",IF('ORDENES'!$Y802="","-",'ORDENES'!$Y802))</f>
        <v/>
      </c>
      <c r="G824" s="3">
        <f>IF('ORDENES'!$A802="","",IF('ORDENES'!$W802="","-",'ORDENES'!$W802))</f>
        <v/>
      </c>
      <c r="H824" s="3">
        <f>IF('ORDENES'!$A802="","",IF('ORDENES'!$AE802="","-",'ORDENES'!$AE802))</f>
        <v/>
      </c>
      <c r="I824" s="3">
        <f>IF('ORDENES'!$A802="","",IF('ORDENES'!$AQ802="","-",'ORDENES'!$AQ802))</f>
        <v/>
      </c>
      <c r="J824" s="3">
        <f>IF('ORDENES'!$A802="","",IF('ORDENES'!$D802="","-",'ORDENES'!$D802))</f>
        <v/>
      </c>
      <c r="K824" s="3">
        <f>IF('ORDENES'!$A802="","",IF('ORDENES'!$E802="","-",'ORDENES'!$E802))</f>
        <v/>
      </c>
      <c r="L824" s="13">
        <f>IF('ORDENES'!$A802="","",IF('ORDENES'!$M802="",0,'ORDENES'!$M802))</f>
        <v/>
      </c>
      <c r="M824" s="3">
        <f>IF('ORDENES'!$A802="","",IF('ORDENES'!$N802="","-",'ORDENES'!$N802))</f>
        <v/>
      </c>
      <c r="N824" s="3">
        <f>IF('ORDENES'!$A802="","",'ORDENES'!$AD802)</f>
        <v/>
      </c>
    </row>
    <row r="825">
      <c r="A825" s="3">
        <f>IF('ORDENES'!$A803="","",IF('ORDENES'!$O803="","-",'ORDENES'!$O803))</f>
        <v/>
      </c>
      <c r="B825" s="3">
        <f>IF('ORDENES'!$A803="","",IF('ORDENES'!$R803="","-",'ORDENES'!$R803))</f>
        <v/>
      </c>
      <c r="C825" s="3">
        <f>IF('ORDENES'!$A803="","",IF('ORDENES'!$AF803="","-",'ORDENES'!$AF803))</f>
        <v/>
      </c>
      <c r="D825" s="3">
        <f>IF('ORDENES'!$A803="","",IF('ORDENES'!$X803="","-",'ORDENES'!$X803))</f>
        <v/>
      </c>
      <c r="E825" s="3">
        <f>IF('ORDENES'!$A803="","",IF('ORDENES'!$V803="","-",'ORDENES'!$V803))</f>
        <v/>
      </c>
      <c r="F825" s="3">
        <f>IF('ORDENES'!$A803="","",IF('ORDENES'!$Y803="","-",'ORDENES'!$Y803))</f>
        <v/>
      </c>
      <c r="G825" s="3">
        <f>IF('ORDENES'!$A803="","",IF('ORDENES'!$W803="","-",'ORDENES'!$W803))</f>
        <v/>
      </c>
      <c r="H825" s="3">
        <f>IF('ORDENES'!$A803="","",IF('ORDENES'!$AE803="","-",'ORDENES'!$AE803))</f>
        <v/>
      </c>
      <c r="I825" s="3">
        <f>IF('ORDENES'!$A803="","",IF('ORDENES'!$AQ803="","-",'ORDENES'!$AQ803))</f>
        <v/>
      </c>
      <c r="J825" s="3">
        <f>IF('ORDENES'!$A803="","",IF('ORDENES'!$D803="","-",'ORDENES'!$D803))</f>
        <v/>
      </c>
      <c r="K825" s="3">
        <f>IF('ORDENES'!$A803="","",IF('ORDENES'!$E803="","-",'ORDENES'!$E803))</f>
        <v/>
      </c>
      <c r="L825" s="13">
        <f>IF('ORDENES'!$A803="","",IF('ORDENES'!$M803="",0,'ORDENES'!$M803))</f>
        <v/>
      </c>
      <c r="M825" s="3">
        <f>IF('ORDENES'!$A803="","",IF('ORDENES'!$N803="","-",'ORDENES'!$N803))</f>
        <v/>
      </c>
      <c r="N825" s="3">
        <f>IF('ORDENES'!$A803="","",'ORDENES'!$AD803)</f>
        <v/>
      </c>
    </row>
    <row r="826">
      <c r="A826" s="3">
        <f>IF('ORDENES'!$A804="","",IF('ORDENES'!$O804="","-",'ORDENES'!$O804))</f>
        <v/>
      </c>
      <c r="B826" s="3">
        <f>IF('ORDENES'!$A804="","",IF('ORDENES'!$R804="","-",'ORDENES'!$R804))</f>
        <v/>
      </c>
      <c r="C826" s="3">
        <f>IF('ORDENES'!$A804="","",IF('ORDENES'!$AF804="","-",'ORDENES'!$AF804))</f>
        <v/>
      </c>
      <c r="D826" s="3">
        <f>IF('ORDENES'!$A804="","",IF('ORDENES'!$X804="","-",'ORDENES'!$X804))</f>
        <v/>
      </c>
      <c r="E826" s="3">
        <f>IF('ORDENES'!$A804="","",IF('ORDENES'!$V804="","-",'ORDENES'!$V804))</f>
        <v/>
      </c>
      <c r="F826" s="3">
        <f>IF('ORDENES'!$A804="","",IF('ORDENES'!$Y804="","-",'ORDENES'!$Y804))</f>
        <v/>
      </c>
      <c r="G826" s="3">
        <f>IF('ORDENES'!$A804="","",IF('ORDENES'!$W804="","-",'ORDENES'!$W804))</f>
        <v/>
      </c>
      <c r="H826" s="3">
        <f>IF('ORDENES'!$A804="","",IF('ORDENES'!$AE804="","-",'ORDENES'!$AE804))</f>
        <v/>
      </c>
      <c r="I826" s="3">
        <f>IF('ORDENES'!$A804="","",IF('ORDENES'!$AQ804="","-",'ORDENES'!$AQ804))</f>
        <v/>
      </c>
      <c r="J826" s="3">
        <f>IF('ORDENES'!$A804="","",IF('ORDENES'!$D804="","-",'ORDENES'!$D804))</f>
        <v/>
      </c>
      <c r="K826" s="3">
        <f>IF('ORDENES'!$A804="","",IF('ORDENES'!$E804="","-",'ORDENES'!$E804))</f>
        <v/>
      </c>
      <c r="L826" s="13">
        <f>IF('ORDENES'!$A804="","",IF('ORDENES'!$M804="",0,'ORDENES'!$M804))</f>
        <v/>
      </c>
      <c r="M826" s="3">
        <f>IF('ORDENES'!$A804="","",IF('ORDENES'!$N804="","-",'ORDENES'!$N804))</f>
        <v/>
      </c>
      <c r="N826" s="3">
        <f>IF('ORDENES'!$A804="","",'ORDENES'!$AD804)</f>
        <v/>
      </c>
    </row>
    <row r="827">
      <c r="A827" s="3">
        <f>IF('ORDENES'!$A805="","",IF('ORDENES'!$O805="","-",'ORDENES'!$O805))</f>
        <v/>
      </c>
      <c r="B827" s="3">
        <f>IF('ORDENES'!$A805="","",IF('ORDENES'!$R805="","-",'ORDENES'!$R805))</f>
        <v/>
      </c>
      <c r="C827" s="3">
        <f>IF('ORDENES'!$A805="","",IF('ORDENES'!$AF805="","-",'ORDENES'!$AF805))</f>
        <v/>
      </c>
      <c r="D827" s="3">
        <f>IF('ORDENES'!$A805="","",IF('ORDENES'!$X805="","-",'ORDENES'!$X805))</f>
        <v/>
      </c>
      <c r="E827" s="3">
        <f>IF('ORDENES'!$A805="","",IF('ORDENES'!$V805="","-",'ORDENES'!$V805))</f>
        <v/>
      </c>
      <c r="F827" s="3">
        <f>IF('ORDENES'!$A805="","",IF('ORDENES'!$Y805="","-",'ORDENES'!$Y805))</f>
        <v/>
      </c>
      <c r="G827" s="3">
        <f>IF('ORDENES'!$A805="","",IF('ORDENES'!$W805="","-",'ORDENES'!$W805))</f>
        <v/>
      </c>
      <c r="H827" s="3">
        <f>IF('ORDENES'!$A805="","",IF('ORDENES'!$AE805="","-",'ORDENES'!$AE805))</f>
        <v/>
      </c>
      <c r="I827" s="3">
        <f>IF('ORDENES'!$A805="","",IF('ORDENES'!$AQ805="","-",'ORDENES'!$AQ805))</f>
        <v/>
      </c>
      <c r="J827" s="3">
        <f>IF('ORDENES'!$A805="","",IF('ORDENES'!$D805="","-",'ORDENES'!$D805))</f>
        <v/>
      </c>
      <c r="K827" s="3">
        <f>IF('ORDENES'!$A805="","",IF('ORDENES'!$E805="","-",'ORDENES'!$E805))</f>
        <v/>
      </c>
      <c r="L827" s="13">
        <f>IF('ORDENES'!$A805="","",IF('ORDENES'!$M805="",0,'ORDENES'!$M805))</f>
        <v/>
      </c>
      <c r="M827" s="3">
        <f>IF('ORDENES'!$A805="","",IF('ORDENES'!$N805="","-",'ORDENES'!$N805))</f>
        <v/>
      </c>
      <c r="N827" s="3">
        <f>IF('ORDENES'!$A805="","",'ORDENES'!$AD805)</f>
        <v/>
      </c>
    </row>
    <row r="828">
      <c r="A828" s="3">
        <f>IF('ORDENES'!$A806="","",IF('ORDENES'!$O806="","-",'ORDENES'!$O806))</f>
        <v/>
      </c>
      <c r="B828" s="3">
        <f>IF('ORDENES'!$A806="","",IF('ORDENES'!$R806="","-",'ORDENES'!$R806))</f>
        <v/>
      </c>
      <c r="C828" s="3">
        <f>IF('ORDENES'!$A806="","",IF('ORDENES'!$AF806="","-",'ORDENES'!$AF806))</f>
        <v/>
      </c>
      <c r="D828" s="3">
        <f>IF('ORDENES'!$A806="","",IF('ORDENES'!$X806="","-",'ORDENES'!$X806))</f>
        <v/>
      </c>
      <c r="E828" s="3">
        <f>IF('ORDENES'!$A806="","",IF('ORDENES'!$V806="","-",'ORDENES'!$V806))</f>
        <v/>
      </c>
      <c r="F828" s="3">
        <f>IF('ORDENES'!$A806="","",IF('ORDENES'!$Y806="","-",'ORDENES'!$Y806))</f>
        <v/>
      </c>
      <c r="G828" s="3">
        <f>IF('ORDENES'!$A806="","",IF('ORDENES'!$W806="","-",'ORDENES'!$W806))</f>
        <v/>
      </c>
      <c r="H828" s="3">
        <f>IF('ORDENES'!$A806="","",IF('ORDENES'!$AE806="","-",'ORDENES'!$AE806))</f>
        <v/>
      </c>
      <c r="I828" s="3">
        <f>IF('ORDENES'!$A806="","",IF('ORDENES'!$AQ806="","-",'ORDENES'!$AQ806))</f>
        <v/>
      </c>
      <c r="J828" s="3">
        <f>IF('ORDENES'!$A806="","",IF('ORDENES'!$D806="","-",'ORDENES'!$D806))</f>
        <v/>
      </c>
      <c r="K828" s="3">
        <f>IF('ORDENES'!$A806="","",IF('ORDENES'!$E806="","-",'ORDENES'!$E806))</f>
        <v/>
      </c>
      <c r="L828" s="13">
        <f>IF('ORDENES'!$A806="","",IF('ORDENES'!$M806="",0,'ORDENES'!$M806))</f>
        <v/>
      </c>
      <c r="M828" s="3">
        <f>IF('ORDENES'!$A806="","",IF('ORDENES'!$N806="","-",'ORDENES'!$N806))</f>
        <v/>
      </c>
      <c r="N828" s="3">
        <f>IF('ORDENES'!$A806="","",'ORDENES'!$AD806)</f>
        <v/>
      </c>
    </row>
    <row r="829">
      <c r="A829" s="3">
        <f>IF('ORDENES'!$A807="","",IF('ORDENES'!$O807="","-",'ORDENES'!$O807))</f>
        <v/>
      </c>
      <c r="B829" s="3">
        <f>IF('ORDENES'!$A807="","",IF('ORDENES'!$R807="","-",'ORDENES'!$R807))</f>
        <v/>
      </c>
      <c r="C829" s="3">
        <f>IF('ORDENES'!$A807="","",IF('ORDENES'!$AF807="","-",'ORDENES'!$AF807))</f>
        <v/>
      </c>
      <c r="D829" s="3">
        <f>IF('ORDENES'!$A807="","",IF('ORDENES'!$X807="","-",'ORDENES'!$X807))</f>
        <v/>
      </c>
      <c r="E829" s="3">
        <f>IF('ORDENES'!$A807="","",IF('ORDENES'!$V807="","-",'ORDENES'!$V807))</f>
        <v/>
      </c>
      <c r="F829" s="3">
        <f>IF('ORDENES'!$A807="","",IF('ORDENES'!$Y807="","-",'ORDENES'!$Y807))</f>
        <v/>
      </c>
      <c r="G829" s="3">
        <f>IF('ORDENES'!$A807="","",IF('ORDENES'!$W807="","-",'ORDENES'!$W807))</f>
        <v/>
      </c>
      <c r="H829" s="3">
        <f>IF('ORDENES'!$A807="","",IF('ORDENES'!$AE807="","-",'ORDENES'!$AE807))</f>
        <v/>
      </c>
      <c r="I829" s="3">
        <f>IF('ORDENES'!$A807="","",IF('ORDENES'!$AQ807="","-",'ORDENES'!$AQ807))</f>
        <v/>
      </c>
      <c r="J829" s="3">
        <f>IF('ORDENES'!$A807="","",IF('ORDENES'!$D807="","-",'ORDENES'!$D807))</f>
        <v/>
      </c>
      <c r="K829" s="3">
        <f>IF('ORDENES'!$A807="","",IF('ORDENES'!$E807="","-",'ORDENES'!$E807))</f>
        <v/>
      </c>
      <c r="L829" s="13">
        <f>IF('ORDENES'!$A807="","",IF('ORDENES'!$M807="",0,'ORDENES'!$M807))</f>
        <v/>
      </c>
      <c r="M829" s="3">
        <f>IF('ORDENES'!$A807="","",IF('ORDENES'!$N807="","-",'ORDENES'!$N807))</f>
        <v/>
      </c>
      <c r="N829" s="3">
        <f>IF('ORDENES'!$A807="","",'ORDENES'!$AD807)</f>
        <v/>
      </c>
    </row>
    <row r="830">
      <c r="A830" s="3">
        <f>IF('ORDENES'!$A808="","",IF('ORDENES'!$O808="","-",'ORDENES'!$O808))</f>
        <v/>
      </c>
      <c r="B830" s="3">
        <f>IF('ORDENES'!$A808="","",IF('ORDENES'!$R808="","-",'ORDENES'!$R808))</f>
        <v/>
      </c>
      <c r="C830" s="3">
        <f>IF('ORDENES'!$A808="","",IF('ORDENES'!$AF808="","-",'ORDENES'!$AF808))</f>
        <v/>
      </c>
      <c r="D830" s="3">
        <f>IF('ORDENES'!$A808="","",IF('ORDENES'!$X808="","-",'ORDENES'!$X808))</f>
        <v/>
      </c>
      <c r="E830" s="3">
        <f>IF('ORDENES'!$A808="","",IF('ORDENES'!$V808="","-",'ORDENES'!$V808))</f>
        <v/>
      </c>
      <c r="F830" s="3">
        <f>IF('ORDENES'!$A808="","",IF('ORDENES'!$Y808="","-",'ORDENES'!$Y808))</f>
        <v/>
      </c>
      <c r="G830" s="3">
        <f>IF('ORDENES'!$A808="","",IF('ORDENES'!$W808="","-",'ORDENES'!$W808))</f>
        <v/>
      </c>
      <c r="H830" s="3">
        <f>IF('ORDENES'!$A808="","",IF('ORDENES'!$AE808="","-",'ORDENES'!$AE808))</f>
        <v/>
      </c>
      <c r="I830" s="3">
        <f>IF('ORDENES'!$A808="","",IF('ORDENES'!$AQ808="","-",'ORDENES'!$AQ808))</f>
        <v/>
      </c>
      <c r="J830" s="3">
        <f>IF('ORDENES'!$A808="","",IF('ORDENES'!$D808="","-",'ORDENES'!$D808))</f>
        <v/>
      </c>
      <c r="K830" s="3">
        <f>IF('ORDENES'!$A808="","",IF('ORDENES'!$E808="","-",'ORDENES'!$E808))</f>
        <v/>
      </c>
      <c r="L830" s="13">
        <f>IF('ORDENES'!$A808="","",IF('ORDENES'!$M808="",0,'ORDENES'!$M808))</f>
        <v/>
      </c>
      <c r="M830" s="3">
        <f>IF('ORDENES'!$A808="","",IF('ORDENES'!$N808="","-",'ORDENES'!$N808))</f>
        <v/>
      </c>
      <c r="N830" s="3">
        <f>IF('ORDENES'!$A808="","",'ORDENES'!$AD808)</f>
        <v/>
      </c>
    </row>
    <row r="831">
      <c r="A831" s="3">
        <f>IF('ORDENES'!$A809="","",IF('ORDENES'!$O809="","-",'ORDENES'!$O809))</f>
        <v/>
      </c>
      <c r="B831" s="3">
        <f>IF('ORDENES'!$A809="","",IF('ORDENES'!$R809="","-",'ORDENES'!$R809))</f>
        <v/>
      </c>
      <c r="C831" s="3">
        <f>IF('ORDENES'!$A809="","",IF('ORDENES'!$AF809="","-",'ORDENES'!$AF809))</f>
        <v/>
      </c>
      <c r="D831" s="3">
        <f>IF('ORDENES'!$A809="","",IF('ORDENES'!$X809="","-",'ORDENES'!$X809))</f>
        <v/>
      </c>
      <c r="E831" s="3">
        <f>IF('ORDENES'!$A809="","",IF('ORDENES'!$V809="","-",'ORDENES'!$V809))</f>
        <v/>
      </c>
      <c r="F831" s="3">
        <f>IF('ORDENES'!$A809="","",IF('ORDENES'!$Y809="","-",'ORDENES'!$Y809))</f>
        <v/>
      </c>
      <c r="G831" s="3">
        <f>IF('ORDENES'!$A809="","",IF('ORDENES'!$W809="","-",'ORDENES'!$W809))</f>
        <v/>
      </c>
      <c r="H831" s="3">
        <f>IF('ORDENES'!$A809="","",IF('ORDENES'!$AE809="","-",'ORDENES'!$AE809))</f>
        <v/>
      </c>
      <c r="I831" s="3">
        <f>IF('ORDENES'!$A809="","",IF('ORDENES'!$AQ809="","-",'ORDENES'!$AQ809))</f>
        <v/>
      </c>
      <c r="J831" s="3">
        <f>IF('ORDENES'!$A809="","",IF('ORDENES'!$D809="","-",'ORDENES'!$D809))</f>
        <v/>
      </c>
      <c r="K831" s="3">
        <f>IF('ORDENES'!$A809="","",IF('ORDENES'!$E809="","-",'ORDENES'!$E809))</f>
        <v/>
      </c>
      <c r="L831" s="13">
        <f>IF('ORDENES'!$A809="","",IF('ORDENES'!$M809="",0,'ORDENES'!$M809))</f>
        <v/>
      </c>
      <c r="M831" s="3">
        <f>IF('ORDENES'!$A809="","",IF('ORDENES'!$N809="","-",'ORDENES'!$N809))</f>
        <v/>
      </c>
      <c r="N831" s="3">
        <f>IF('ORDENES'!$A809="","",'ORDENES'!$AD809)</f>
        <v/>
      </c>
    </row>
    <row r="832">
      <c r="A832" s="3">
        <f>IF('ORDENES'!$A810="","",IF('ORDENES'!$O810="","-",'ORDENES'!$O810))</f>
        <v/>
      </c>
      <c r="B832" s="3">
        <f>IF('ORDENES'!$A810="","",IF('ORDENES'!$R810="","-",'ORDENES'!$R810))</f>
        <v/>
      </c>
      <c r="C832" s="3">
        <f>IF('ORDENES'!$A810="","",IF('ORDENES'!$AF810="","-",'ORDENES'!$AF810))</f>
        <v/>
      </c>
      <c r="D832" s="3">
        <f>IF('ORDENES'!$A810="","",IF('ORDENES'!$X810="","-",'ORDENES'!$X810))</f>
        <v/>
      </c>
      <c r="E832" s="3">
        <f>IF('ORDENES'!$A810="","",IF('ORDENES'!$V810="","-",'ORDENES'!$V810))</f>
        <v/>
      </c>
      <c r="F832" s="3">
        <f>IF('ORDENES'!$A810="","",IF('ORDENES'!$Y810="","-",'ORDENES'!$Y810))</f>
        <v/>
      </c>
      <c r="G832" s="3">
        <f>IF('ORDENES'!$A810="","",IF('ORDENES'!$W810="","-",'ORDENES'!$W810))</f>
        <v/>
      </c>
      <c r="H832" s="3">
        <f>IF('ORDENES'!$A810="","",IF('ORDENES'!$AE810="","-",'ORDENES'!$AE810))</f>
        <v/>
      </c>
      <c r="I832" s="3">
        <f>IF('ORDENES'!$A810="","",IF('ORDENES'!$AQ810="","-",'ORDENES'!$AQ810))</f>
        <v/>
      </c>
      <c r="J832" s="3">
        <f>IF('ORDENES'!$A810="","",IF('ORDENES'!$D810="","-",'ORDENES'!$D810))</f>
        <v/>
      </c>
      <c r="K832" s="3">
        <f>IF('ORDENES'!$A810="","",IF('ORDENES'!$E810="","-",'ORDENES'!$E810))</f>
        <v/>
      </c>
      <c r="L832" s="13">
        <f>IF('ORDENES'!$A810="","",IF('ORDENES'!$M810="",0,'ORDENES'!$M810))</f>
        <v/>
      </c>
      <c r="M832" s="3">
        <f>IF('ORDENES'!$A810="","",IF('ORDENES'!$N810="","-",'ORDENES'!$N810))</f>
        <v/>
      </c>
      <c r="N832" s="3">
        <f>IF('ORDENES'!$A810="","",'ORDENES'!$AD810)</f>
        <v/>
      </c>
    </row>
    <row r="833">
      <c r="A833" s="3">
        <f>IF('ORDENES'!$A811="","",IF('ORDENES'!$O811="","-",'ORDENES'!$O811))</f>
        <v/>
      </c>
      <c r="B833" s="3">
        <f>IF('ORDENES'!$A811="","",IF('ORDENES'!$R811="","-",'ORDENES'!$R811))</f>
        <v/>
      </c>
      <c r="C833" s="3">
        <f>IF('ORDENES'!$A811="","",IF('ORDENES'!$AF811="","-",'ORDENES'!$AF811))</f>
        <v/>
      </c>
      <c r="D833" s="3">
        <f>IF('ORDENES'!$A811="","",IF('ORDENES'!$X811="","-",'ORDENES'!$X811))</f>
        <v/>
      </c>
      <c r="E833" s="3">
        <f>IF('ORDENES'!$A811="","",IF('ORDENES'!$V811="","-",'ORDENES'!$V811))</f>
        <v/>
      </c>
      <c r="F833" s="3">
        <f>IF('ORDENES'!$A811="","",IF('ORDENES'!$Y811="","-",'ORDENES'!$Y811))</f>
        <v/>
      </c>
      <c r="G833" s="3">
        <f>IF('ORDENES'!$A811="","",IF('ORDENES'!$W811="","-",'ORDENES'!$W811))</f>
        <v/>
      </c>
      <c r="H833" s="3">
        <f>IF('ORDENES'!$A811="","",IF('ORDENES'!$AE811="","-",'ORDENES'!$AE811))</f>
        <v/>
      </c>
      <c r="I833" s="3">
        <f>IF('ORDENES'!$A811="","",IF('ORDENES'!$AQ811="","-",'ORDENES'!$AQ811))</f>
        <v/>
      </c>
      <c r="J833" s="3">
        <f>IF('ORDENES'!$A811="","",IF('ORDENES'!$D811="","-",'ORDENES'!$D811))</f>
        <v/>
      </c>
      <c r="K833" s="3">
        <f>IF('ORDENES'!$A811="","",IF('ORDENES'!$E811="","-",'ORDENES'!$E811))</f>
        <v/>
      </c>
      <c r="L833" s="13">
        <f>IF('ORDENES'!$A811="","",IF('ORDENES'!$M811="",0,'ORDENES'!$M811))</f>
        <v/>
      </c>
      <c r="M833" s="3">
        <f>IF('ORDENES'!$A811="","",IF('ORDENES'!$N811="","-",'ORDENES'!$N811))</f>
        <v/>
      </c>
      <c r="N833" s="3">
        <f>IF('ORDENES'!$A811="","",'ORDENES'!$AD811)</f>
        <v/>
      </c>
    </row>
    <row r="834">
      <c r="A834" s="3">
        <f>IF('ORDENES'!$A812="","",IF('ORDENES'!$O812="","-",'ORDENES'!$O812))</f>
        <v/>
      </c>
      <c r="B834" s="3">
        <f>IF('ORDENES'!$A812="","",IF('ORDENES'!$R812="","-",'ORDENES'!$R812))</f>
        <v/>
      </c>
      <c r="C834" s="3">
        <f>IF('ORDENES'!$A812="","",IF('ORDENES'!$AF812="","-",'ORDENES'!$AF812))</f>
        <v/>
      </c>
      <c r="D834" s="3">
        <f>IF('ORDENES'!$A812="","",IF('ORDENES'!$X812="","-",'ORDENES'!$X812))</f>
        <v/>
      </c>
      <c r="E834" s="3">
        <f>IF('ORDENES'!$A812="","",IF('ORDENES'!$V812="","-",'ORDENES'!$V812))</f>
        <v/>
      </c>
      <c r="F834" s="3">
        <f>IF('ORDENES'!$A812="","",IF('ORDENES'!$Y812="","-",'ORDENES'!$Y812))</f>
        <v/>
      </c>
      <c r="G834" s="3">
        <f>IF('ORDENES'!$A812="","",IF('ORDENES'!$W812="","-",'ORDENES'!$W812))</f>
        <v/>
      </c>
      <c r="H834" s="3">
        <f>IF('ORDENES'!$A812="","",IF('ORDENES'!$AE812="","-",'ORDENES'!$AE812))</f>
        <v/>
      </c>
      <c r="I834" s="3">
        <f>IF('ORDENES'!$A812="","",IF('ORDENES'!$AQ812="","-",'ORDENES'!$AQ812))</f>
        <v/>
      </c>
      <c r="J834" s="3">
        <f>IF('ORDENES'!$A812="","",IF('ORDENES'!$D812="","-",'ORDENES'!$D812))</f>
        <v/>
      </c>
      <c r="K834" s="3">
        <f>IF('ORDENES'!$A812="","",IF('ORDENES'!$E812="","-",'ORDENES'!$E812))</f>
        <v/>
      </c>
      <c r="L834" s="13">
        <f>IF('ORDENES'!$A812="","",IF('ORDENES'!$M812="",0,'ORDENES'!$M812))</f>
        <v/>
      </c>
      <c r="M834" s="3">
        <f>IF('ORDENES'!$A812="","",IF('ORDENES'!$N812="","-",'ORDENES'!$N812))</f>
        <v/>
      </c>
      <c r="N834" s="3">
        <f>IF('ORDENES'!$A812="","",'ORDENES'!$AD812)</f>
        <v/>
      </c>
    </row>
    <row r="835">
      <c r="A835" s="3">
        <f>IF('ORDENES'!$A813="","",IF('ORDENES'!$O813="","-",'ORDENES'!$O813))</f>
        <v/>
      </c>
      <c r="B835" s="3">
        <f>IF('ORDENES'!$A813="","",IF('ORDENES'!$R813="","-",'ORDENES'!$R813))</f>
        <v/>
      </c>
      <c r="C835" s="3">
        <f>IF('ORDENES'!$A813="","",IF('ORDENES'!$AF813="","-",'ORDENES'!$AF813))</f>
        <v/>
      </c>
      <c r="D835" s="3">
        <f>IF('ORDENES'!$A813="","",IF('ORDENES'!$X813="","-",'ORDENES'!$X813))</f>
        <v/>
      </c>
      <c r="E835" s="3">
        <f>IF('ORDENES'!$A813="","",IF('ORDENES'!$V813="","-",'ORDENES'!$V813))</f>
        <v/>
      </c>
      <c r="F835" s="3">
        <f>IF('ORDENES'!$A813="","",IF('ORDENES'!$Y813="","-",'ORDENES'!$Y813))</f>
        <v/>
      </c>
      <c r="G835" s="3">
        <f>IF('ORDENES'!$A813="","",IF('ORDENES'!$W813="","-",'ORDENES'!$W813))</f>
        <v/>
      </c>
      <c r="H835" s="3">
        <f>IF('ORDENES'!$A813="","",IF('ORDENES'!$AE813="","-",'ORDENES'!$AE813))</f>
        <v/>
      </c>
      <c r="I835" s="3">
        <f>IF('ORDENES'!$A813="","",IF('ORDENES'!$AQ813="","-",'ORDENES'!$AQ813))</f>
        <v/>
      </c>
      <c r="J835" s="3">
        <f>IF('ORDENES'!$A813="","",IF('ORDENES'!$D813="","-",'ORDENES'!$D813))</f>
        <v/>
      </c>
      <c r="K835" s="3">
        <f>IF('ORDENES'!$A813="","",IF('ORDENES'!$E813="","-",'ORDENES'!$E813))</f>
        <v/>
      </c>
      <c r="L835" s="13">
        <f>IF('ORDENES'!$A813="","",IF('ORDENES'!$M813="",0,'ORDENES'!$M813))</f>
        <v/>
      </c>
      <c r="M835" s="3">
        <f>IF('ORDENES'!$A813="","",IF('ORDENES'!$N813="","-",'ORDENES'!$N813))</f>
        <v/>
      </c>
      <c r="N835" s="3">
        <f>IF('ORDENES'!$A813="","",'ORDENES'!$AD813)</f>
        <v/>
      </c>
    </row>
    <row r="836">
      <c r="A836" s="3">
        <f>IF('ORDENES'!$A814="","",IF('ORDENES'!$O814="","-",'ORDENES'!$O814))</f>
        <v/>
      </c>
      <c r="B836" s="3">
        <f>IF('ORDENES'!$A814="","",IF('ORDENES'!$R814="","-",'ORDENES'!$R814))</f>
        <v/>
      </c>
      <c r="C836" s="3">
        <f>IF('ORDENES'!$A814="","",IF('ORDENES'!$AF814="","-",'ORDENES'!$AF814))</f>
        <v/>
      </c>
      <c r="D836" s="3">
        <f>IF('ORDENES'!$A814="","",IF('ORDENES'!$X814="","-",'ORDENES'!$X814))</f>
        <v/>
      </c>
      <c r="E836" s="3">
        <f>IF('ORDENES'!$A814="","",IF('ORDENES'!$V814="","-",'ORDENES'!$V814))</f>
        <v/>
      </c>
      <c r="F836" s="3">
        <f>IF('ORDENES'!$A814="","",IF('ORDENES'!$Y814="","-",'ORDENES'!$Y814))</f>
        <v/>
      </c>
      <c r="G836" s="3">
        <f>IF('ORDENES'!$A814="","",IF('ORDENES'!$W814="","-",'ORDENES'!$W814))</f>
        <v/>
      </c>
      <c r="H836" s="3">
        <f>IF('ORDENES'!$A814="","",IF('ORDENES'!$AE814="","-",'ORDENES'!$AE814))</f>
        <v/>
      </c>
      <c r="I836" s="3">
        <f>IF('ORDENES'!$A814="","",IF('ORDENES'!$AQ814="","-",'ORDENES'!$AQ814))</f>
        <v/>
      </c>
      <c r="J836" s="3">
        <f>IF('ORDENES'!$A814="","",IF('ORDENES'!$D814="","-",'ORDENES'!$D814))</f>
        <v/>
      </c>
      <c r="K836" s="3">
        <f>IF('ORDENES'!$A814="","",IF('ORDENES'!$E814="","-",'ORDENES'!$E814))</f>
        <v/>
      </c>
      <c r="L836" s="13">
        <f>IF('ORDENES'!$A814="","",IF('ORDENES'!$M814="",0,'ORDENES'!$M814))</f>
        <v/>
      </c>
      <c r="M836" s="3">
        <f>IF('ORDENES'!$A814="","",IF('ORDENES'!$N814="","-",'ORDENES'!$N814))</f>
        <v/>
      </c>
      <c r="N836" s="3">
        <f>IF('ORDENES'!$A814="","",'ORDENES'!$AD814)</f>
        <v/>
      </c>
    </row>
    <row r="837">
      <c r="A837" s="3">
        <f>IF('ORDENES'!$A815="","",IF('ORDENES'!$O815="","-",'ORDENES'!$O815))</f>
        <v/>
      </c>
      <c r="B837" s="3">
        <f>IF('ORDENES'!$A815="","",IF('ORDENES'!$R815="","-",'ORDENES'!$R815))</f>
        <v/>
      </c>
      <c r="C837" s="3">
        <f>IF('ORDENES'!$A815="","",IF('ORDENES'!$AF815="","-",'ORDENES'!$AF815))</f>
        <v/>
      </c>
      <c r="D837" s="3">
        <f>IF('ORDENES'!$A815="","",IF('ORDENES'!$X815="","-",'ORDENES'!$X815))</f>
        <v/>
      </c>
      <c r="E837" s="3">
        <f>IF('ORDENES'!$A815="","",IF('ORDENES'!$V815="","-",'ORDENES'!$V815))</f>
        <v/>
      </c>
      <c r="F837" s="3">
        <f>IF('ORDENES'!$A815="","",IF('ORDENES'!$Y815="","-",'ORDENES'!$Y815))</f>
        <v/>
      </c>
      <c r="G837" s="3">
        <f>IF('ORDENES'!$A815="","",IF('ORDENES'!$W815="","-",'ORDENES'!$W815))</f>
        <v/>
      </c>
      <c r="H837" s="3">
        <f>IF('ORDENES'!$A815="","",IF('ORDENES'!$AE815="","-",'ORDENES'!$AE815))</f>
        <v/>
      </c>
      <c r="I837" s="3">
        <f>IF('ORDENES'!$A815="","",IF('ORDENES'!$AQ815="","-",'ORDENES'!$AQ815))</f>
        <v/>
      </c>
      <c r="J837" s="3">
        <f>IF('ORDENES'!$A815="","",IF('ORDENES'!$D815="","-",'ORDENES'!$D815))</f>
        <v/>
      </c>
      <c r="K837" s="3">
        <f>IF('ORDENES'!$A815="","",IF('ORDENES'!$E815="","-",'ORDENES'!$E815))</f>
        <v/>
      </c>
      <c r="L837" s="13">
        <f>IF('ORDENES'!$A815="","",IF('ORDENES'!$M815="",0,'ORDENES'!$M815))</f>
        <v/>
      </c>
      <c r="M837" s="3">
        <f>IF('ORDENES'!$A815="","",IF('ORDENES'!$N815="","-",'ORDENES'!$N815))</f>
        <v/>
      </c>
      <c r="N837" s="3">
        <f>IF('ORDENES'!$A815="","",'ORDENES'!$AD815)</f>
        <v/>
      </c>
    </row>
    <row r="838">
      <c r="A838" s="3">
        <f>IF('ORDENES'!$A816="","",IF('ORDENES'!$O816="","-",'ORDENES'!$O816))</f>
        <v/>
      </c>
      <c r="B838" s="3">
        <f>IF('ORDENES'!$A816="","",IF('ORDENES'!$R816="","-",'ORDENES'!$R816))</f>
        <v/>
      </c>
      <c r="C838" s="3">
        <f>IF('ORDENES'!$A816="","",IF('ORDENES'!$AF816="","-",'ORDENES'!$AF816))</f>
        <v/>
      </c>
      <c r="D838" s="3">
        <f>IF('ORDENES'!$A816="","",IF('ORDENES'!$X816="","-",'ORDENES'!$X816))</f>
        <v/>
      </c>
      <c r="E838" s="3">
        <f>IF('ORDENES'!$A816="","",IF('ORDENES'!$V816="","-",'ORDENES'!$V816))</f>
        <v/>
      </c>
      <c r="F838" s="3">
        <f>IF('ORDENES'!$A816="","",IF('ORDENES'!$Y816="","-",'ORDENES'!$Y816))</f>
        <v/>
      </c>
      <c r="G838" s="3">
        <f>IF('ORDENES'!$A816="","",IF('ORDENES'!$W816="","-",'ORDENES'!$W816))</f>
        <v/>
      </c>
      <c r="H838" s="3">
        <f>IF('ORDENES'!$A816="","",IF('ORDENES'!$AE816="","-",'ORDENES'!$AE816))</f>
        <v/>
      </c>
      <c r="I838" s="3">
        <f>IF('ORDENES'!$A816="","",IF('ORDENES'!$AQ816="","-",'ORDENES'!$AQ816))</f>
        <v/>
      </c>
      <c r="J838" s="3">
        <f>IF('ORDENES'!$A816="","",IF('ORDENES'!$D816="","-",'ORDENES'!$D816))</f>
        <v/>
      </c>
      <c r="K838" s="3">
        <f>IF('ORDENES'!$A816="","",IF('ORDENES'!$E816="","-",'ORDENES'!$E816))</f>
        <v/>
      </c>
      <c r="L838" s="13">
        <f>IF('ORDENES'!$A816="","",IF('ORDENES'!$M816="",0,'ORDENES'!$M816))</f>
        <v/>
      </c>
      <c r="M838" s="3">
        <f>IF('ORDENES'!$A816="","",IF('ORDENES'!$N816="","-",'ORDENES'!$N816))</f>
        <v/>
      </c>
      <c r="N838" s="3">
        <f>IF('ORDENES'!$A816="","",'ORDENES'!$AD816)</f>
        <v/>
      </c>
    </row>
    <row r="839">
      <c r="A839" s="3">
        <f>IF('ORDENES'!$A817="","",IF('ORDENES'!$O817="","-",'ORDENES'!$O817))</f>
        <v/>
      </c>
      <c r="B839" s="3">
        <f>IF('ORDENES'!$A817="","",IF('ORDENES'!$R817="","-",'ORDENES'!$R817))</f>
        <v/>
      </c>
      <c r="C839" s="3">
        <f>IF('ORDENES'!$A817="","",IF('ORDENES'!$AF817="","-",'ORDENES'!$AF817))</f>
        <v/>
      </c>
      <c r="D839" s="3">
        <f>IF('ORDENES'!$A817="","",IF('ORDENES'!$X817="","-",'ORDENES'!$X817))</f>
        <v/>
      </c>
      <c r="E839" s="3">
        <f>IF('ORDENES'!$A817="","",IF('ORDENES'!$V817="","-",'ORDENES'!$V817))</f>
        <v/>
      </c>
      <c r="F839" s="3">
        <f>IF('ORDENES'!$A817="","",IF('ORDENES'!$Y817="","-",'ORDENES'!$Y817))</f>
        <v/>
      </c>
      <c r="G839" s="3">
        <f>IF('ORDENES'!$A817="","",IF('ORDENES'!$W817="","-",'ORDENES'!$W817))</f>
        <v/>
      </c>
      <c r="H839" s="3">
        <f>IF('ORDENES'!$A817="","",IF('ORDENES'!$AE817="","-",'ORDENES'!$AE817))</f>
        <v/>
      </c>
      <c r="I839" s="3">
        <f>IF('ORDENES'!$A817="","",IF('ORDENES'!$AQ817="","-",'ORDENES'!$AQ817))</f>
        <v/>
      </c>
      <c r="J839" s="3">
        <f>IF('ORDENES'!$A817="","",IF('ORDENES'!$D817="","-",'ORDENES'!$D817))</f>
        <v/>
      </c>
      <c r="K839" s="3">
        <f>IF('ORDENES'!$A817="","",IF('ORDENES'!$E817="","-",'ORDENES'!$E817))</f>
        <v/>
      </c>
      <c r="L839" s="13">
        <f>IF('ORDENES'!$A817="","",IF('ORDENES'!$M817="",0,'ORDENES'!$M817))</f>
        <v/>
      </c>
      <c r="M839" s="3">
        <f>IF('ORDENES'!$A817="","",IF('ORDENES'!$N817="","-",'ORDENES'!$N817))</f>
        <v/>
      </c>
      <c r="N839" s="3">
        <f>IF('ORDENES'!$A817="","",'ORDENES'!$AD817)</f>
        <v/>
      </c>
    </row>
    <row r="840">
      <c r="A840" s="3">
        <f>IF('ORDENES'!$A818="","",IF('ORDENES'!$O818="","-",'ORDENES'!$O818))</f>
        <v/>
      </c>
      <c r="B840" s="3">
        <f>IF('ORDENES'!$A818="","",IF('ORDENES'!$R818="","-",'ORDENES'!$R818))</f>
        <v/>
      </c>
      <c r="C840" s="3">
        <f>IF('ORDENES'!$A818="","",IF('ORDENES'!$AF818="","-",'ORDENES'!$AF818))</f>
        <v/>
      </c>
      <c r="D840" s="3">
        <f>IF('ORDENES'!$A818="","",IF('ORDENES'!$X818="","-",'ORDENES'!$X818))</f>
        <v/>
      </c>
      <c r="E840" s="3">
        <f>IF('ORDENES'!$A818="","",IF('ORDENES'!$V818="","-",'ORDENES'!$V818))</f>
        <v/>
      </c>
      <c r="F840" s="3">
        <f>IF('ORDENES'!$A818="","",IF('ORDENES'!$Y818="","-",'ORDENES'!$Y818))</f>
        <v/>
      </c>
      <c r="G840" s="3">
        <f>IF('ORDENES'!$A818="","",IF('ORDENES'!$W818="","-",'ORDENES'!$W818))</f>
        <v/>
      </c>
      <c r="H840" s="3">
        <f>IF('ORDENES'!$A818="","",IF('ORDENES'!$AE818="","-",'ORDENES'!$AE818))</f>
        <v/>
      </c>
      <c r="I840" s="3">
        <f>IF('ORDENES'!$A818="","",IF('ORDENES'!$AQ818="","-",'ORDENES'!$AQ818))</f>
        <v/>
      </c>
      <c r="J840" s="3">
        <f>IF('ORDENES'!$A818="","",IF('ORDENES'!$D818="","-",'ORDENES'!$D818))</f>
        <v/>
      </c>
      <c r="K840" s="3">
        <f>IF('ORDENES'!$A818="","",IF('ORDENES'!$E818="","-",'ORDENES'!$E818))</f>
        <v/>
      </c>
      <c r="L840" s="13">
        <f>IF('ORDENES'!$A818="","",IF('ORDENES'!$M818="",0,'ORDENES'!$M818))</f>
        <v/>
      </c>
      <c r="M840" s="3">
        <f>IF('ORDENES'!$A818="","",IF('ORDENES'!$N818="","-",'ORDENES'!$N818))</f>
        <v/>
      </c>
      <c r="N840" s="3">
        <f>IF('ORDENES'!$A818="","",'ORDENES'!$AD818)</f>
        <v/>
      </c>
    </row>
    <row r="841">
      <c r="A841" s="3">
        <f>IF('ORDENES'!$A819="","",IF('ORDENES'!$O819="","-",'ORDENES'!$O819))</f>
        <v/>
      </c>
      <c r="B841" s="3">
        <f>IF('ORDENES'!$A819="","",IF('ORDENES'!$R819="","-",'ORDENES'!$R819))</f>
        <v/>
      </c>
      <c r="C841" s="3">
        <f>IF('ORDENES'!$A819="","",IF('ORDENES'!$AF819="","-",'ORDENES'!$AF819))</f>
        <v/>
      </c>
      <c r="D841" s="3">
        <f>IF('ORDENES'!$A819="","",IF('ORDENES'!$X819="","-",'ORDENES'!$X819))</f>
        <v/>
      </c>
      <c r="E841" s="3">
        <f>IF('ORDENES'!$A819="","",IF('ORDENES'!$V819="","-",'ORDENES'!$V819))</f>
        <v/>
      </c>
      <c r="F841" s="3">
        <f>IF('ORDENES'!$A819="","",IF('ORDENES'!$Y819="","-",'ORDENES'!$Y819))</f>
        <v/>
      </c>
      <c r="G841" s="3">
        <f>IF('ORDENES'!$A819="","",IF('ORDENES'!$W819="","-",'ORDENES'!$W819))</f>
        <v/>
      </c>
      <c r="H841" s="3">
        <f>IF('ORDENES'!$A819="","",IF('ORDENES'!$AE819="","-",'ORDENES'!$AE819))</f>
        <v/>
      </c>
      <c r="I841" s="3">
        <f>IF('ORDENES'!$A819="","",IF('ORDENES'!$AQ819="","-",'ORDENES'!$AQ819))</f>
        <v/>
      </c>
      <c r="J841" s="3">
        <f>IF('ORDENES'!$A819="","",IF('ORDENES'!$D819="","-",'ORDENES'!$D819))</f>
        <v/>
      </c>
      <c r="K841" s="3">
        <f>IF('ORDENES'!$A819="","",IF('ORDENES'!$E819="","-",'ORDENES'!$E819))</f>
        <v/>
      </c>
      <c r="L841" s="13">
        <f>IF('ORDENES'!$A819="","",IF('ORDENES'!$M819="",0,'ORDENES'!$M819))</f>
        <v/>
      </c>
      <c r="M841" s="3">
        <f>IF('ORDENES'!$A819="","",IF('ORDENES'!$N819="","-",'ORDENES'!$N819))</f>
        <v/>
      </c>
      <c r="N841" s="3">
        <f>IF('ORDENES'!$A819="","",'ORDENES'!$AD819)</f>
        <v/>
      </c>
    </row>
    <row r="842">
      <c r="A842" s="3">
        <f>IF('ORDENES'!$A820="","",IF('ORDENES'!$O820="","-",'ORDENES'!$O820))</f>
        <v/>
      </c>
      <c r="B842" s="3">
        <f>IF('ORDENES'!$A820="","",IF('ORDENES'!$R820="","-",'ORDENES'!$R820))</f>
        <v/>
      </c>
      <c r="C842" s="3">
        <f>IF('ORDENES'!$A820="","",IF('ORDENES'!$AF820="","-",'ORDENES'!$AF820))</f>
        <v/>
      </c>
      <c r="D842" s="3">
        <f>IF('ORDENES'!$A820="","",IF('ORDENES'!$X820="","-",'ORDENES'!$X820))</f>
        <v/>
      </c>
      <c r="E842" s="3">
        <f>IF('ORDENES'!$A820="","",IF('ORDENES'!$V820="","-",'ORDENES'!$V820))</f>
        <v/>
      </c>
      <c r="F842" s="3">
        <f>IF('ORDENES'!$A820="","",IF('ORDENES'!$Y820="","-",'ORDENES'!$Y820))</f>
        <v/>
      </c>
      <c r="G842" s="3">
        <f>IF('ORDENES'!$A820="","",IF('ORDENES'!$W820="","-",'ORDENES'!$W820))</f>
        <v/>
      </c>
      <c r="H842" s="3">
        <f>IF('ORDENES'!$A820="","",IF('ORDENES'!$AE820="","-",'ORDENES'!$AE820))</f>
        <v/>
      </c>
      <c r="I842" s="3">
        <f>IF('ORDENES'!$A820="","",IF('ORDENES'!$AQ820="","-",'ORDENES'!$AQ820))</f>
        <v/>
      </c>
      <c r="J842" s="3">
        <f>IF('ORDENES'!$A820="","",IF('ORDENES'!$D820="","-",'ORDENES'!$D820))</f>
        <v/>
      </c>
      <c r="K842" s="3">
        <f>IF('ORDENES'!$A820="","",IF('ORDENES'!$E820="","-",'ORDENES'!$E820))</f>
        <v/>
      </c>
      <c r="L842" s="13">
        <f>IF('ORDENES'!$A820="","",IF('ORDENES'!$M820="",0,'ORDENES'!$M820))</f>
        <v/>
      </c>
      <c r="M842" s="3">
        <f>IF('ORDENES'!$A820="","",IF('ORDENES'!$N820="","-",'ORDENES'!$N820))</f>
        <v/>
      </c>
      <c r="N842" s="3">
        <f>IF('ORDENES'!$A820="","",'ORDENES'!$AD820)</f>
        <v/>
      </c>
    </row>
    <row r="843">
      <c r="A843" s="3">
        <f>IF('ORDENES'!$A821="","",IF('ORDENES'!$O821="","-",'ORDENES'!$O821))</f>
        <v/>
      </c>
      <c r="B843" s="3">
        <f>IF('ORDENES'!$A821="","",IF('ORDENES'!$R821="","-",'ORDENES'!$R821))</f>
        <v/>
      </c>
      <c r="C843" s="3">
        <f>IF('ORDENES'!$A821="","",IF('ORDENES'!$AF821="","-",'ORDENES'!$AF821))</f>
        <v/>
      </c>
      <c r="D843" s="3">
        <f>IF('ORDENES'!$A821="","",IF('ORDENES'!$X821="","-",'ORDENES'!$X821))</f>
        <v/>
      </c>
      <c r="E843" s="3">
        <f>IF('ORDENES'!$A821="","",IF('ORDENES'!$V821="","-",'ORDENES'!$V821))</f>
        <v/>
      </c>
      <c r="F843" s="3">
        <f>IF('ORDENES'!$A821="","",IF('ORDENES'!$Y821="","-",'ORDENES'!$Y821))</f>
        <v/>
      </c>
      <c r="G843" s="3">
        <f>IF('ORDENES'!$A821="","",IF('ORDENES'!$W821="","-",'ORDENES'!$W821))</f>
        <v/>
      </c>
      <c r="H843" s="3">
        <f>IF('ORDENES'!$A821="","",IF('ORDENES'!$AE821="","-",'ORDENES'!$AE821))</f>
        <v/>
      </c>
      <c r="I843" s="3">
        <f>IF('ORDENES'!$A821="","",IF('ORDENES'!$AQ821="","-",'ORDENES'!$AQ821))</f>
        <v/>
      </c>
      <c r="J843" s="3">
        <f>IF('ORDENES'!$A821="","",IF('ORDENES'!$D821="","-",'ORDENES'!$D821))</f>
        <v/>
      </c>
      <c r="K843" s="3">
        <f>IF('ORDENES'!$A821="","",IF('ORDENES'!$E821="","-",'ORDENES'!$E821))</f>
        <v/>
      </c>
      <c r="L843" s="13">
        <f>IF('ORDENES'!$A821="","",IF('ORDENES'!$M821="",0,'ORDENES'!$M821))</f>
        <v/>
      </c>
      <c r="M843" s="3">
        <f>IF('ORDENES'!$A821="","",IF('ORDENES'!$N821="","-",'ORDENES'!$N821))</f>
        <v/>
      </c>
      <c r="N843" s="3">
        <f>IF('ORDENES'!$A821="","",'ORDENES'!$AD821)</f>
        <v/>
      </c>
    </row>
    <row r="844">
      <c r="A844" s="3">
        <f>IF('ORDENES'!$A822="","",IF('ORDENES'!$O822="","-",'ORDENES'!$O822))</f>
        <v/>
      </c>
      <c r="B844" s="3">
        <f>IF('ORDENES'!$A822="","",IF('ORDENES'!$R822="","-",'ORDENES'!$R822))</f>
        <v/>
      </c>
      <c r="C844" s="3">
        <f>IF('ORDENES'!$A822="","",IF('ORDENES'!$AF822="","-",'ORDENES'!$AF822))</f>
        <v/>
      </c>
      <c r="D844" s="3">
        <f>IF('ORDENES'!$A822="","",IF('ORDENES'!$X822="","-",'ORDENES'!$X822))</f>
        <v/>
      </c>
      <c r="E844" s="3">
        <f>IF('ORDENES'!$A822="","",IF('ORDENES'!$V822="","-",'ORDENES'!$V822))</f>
        <v/>
      </c>
      <c r="F844" s="3">
        <f>IF('ORDENES'!$A822="","",IF('ORDENES'!$Y822="","-",'ORDENES'!$Y822))</f>
        <v/>
      </c>
      <c r="G844" s="3">
        <f>IF('ORDENES'!$A822="","",IF('ORDENES'!$W822="","-",'ORDENES'!$W822))</f>
        <v/>
      </c>
      <c r="H844" s="3">
        <f>IF('ORDENES'!$A822="","",IF('ORDENES'!$AE822="","-",'ORDENES'!$AE822))</f>
        <v/>
      </c>
      <c r="I844" s="3">
        <f>IF('ORDENES'!$A822="","",IF('ORDENES'!$AQ822="","-",'ORDENES'!$AQ822))</f>
        <v/>
      </c>
      <c r="J844" s="3">
        <f>IF('ORDENES'!$A822="","",IF('ORDENES'!$D822="","-",'ORDENES'!$D822))</f>
        <v/>
      </c>
      <c r="K844" s="3">
        <f>IF('ORDENES'!$A822="","",IF('ORDENES'!$E822="","-",'ORDENES'!$E822))</f>
        <v/>
      </c>
      <c r="L844" s="13">
        <f>IF('ORDENES'!$A822="","",IF('ORDENES'!$M822="",0,'ORDENES'!$M822))</f>
        <v/>
      </c>
      <c r="M844" s="3">
        <f>IF('ORDENES'!$A822="","",IF('ORDENES'!$N822="","-",'ORDENES'!$N822))</f>
        <v/>
      </c>
      <c r="N844" s="3">
        <f>IF('ORDENES'!$A822="","",'ORDENES'!$AD822)</f>
        <v/>
      </c>
    </row>
    <row r="845">
      <c r="A845" s="3">
        <f>IF('ORDENES'!$A823="","",IF('ORDENES'!$O823="","-",'ORDENES'!$O823))</f>
        <v/>
      </c>
      <c r="B845" s="3">
        <f>IF('ORDENES'!$A823="","",IF('ORDENES'!$R823="","-",'ORDENES'!$R823))</f>
        <v/>
      </c>
      <c r="C845" s="3">
        <f>IF('ORDENES'!$A823="","",IF('ORDENES'!$AF823="","-",'ORDENES'!$AF823))</f>
        <v/>
      </c>
      <c r="D845" s="3">
        <f>IF('ORDENES'!$A823="","",IF('ORDENES'!$X823="","-",'ORDENES'!$X823))</f>
        <v/>
      </c>
      <c r="E845" s="3">
        <f>IF('ORDENES'!$A823="","",IF('ORDENES'!$V823="","-",'ORDENES'!$V823))</f>
        <v/>
      </c>
      <c r="F845" s="3">
        <f>IF('ORDENES'!$A823="","",IF('ORDENES'!$Y823="","-",'ORDENES'!$Y823))</f>
        <v/>
      </c>
      <c r="G845" s="3">
        <f>IF('ORDENES'!$A823="","",IF('ORDENES'!$W823="","-",'ORDENES'!$W823))</f>
        <v/>
      </c>
      <c r="H845" s="3">
        <f>IF('ORDENES'!$A823="","",IF('ORDENES'!$AE823="","-",'ORDENES'!$AE823))</f>
        <v/>
      </c>
      <c r="I845" s="3">
        <f>IF('ORDENES'!$A823="","",IF('ORDENES'!$AQ823="","-",'ORDENES'!$AQ823))</f>
        <v/>
      </c>
      <c r="J845" s="3">
        <f>IF('ORDENES'!$A823="","",IF('ORDENES'!$D823="","-",'ORDENES'!$D823))</f>
        <v/>
      </c>
      <c r="K845" s="3">
        <f>IF('ORDENES'!$A823="","",IF('ORDENES'!$E823="","-",'ORDENES'!$E823))</f>
        <v/>
      </c>
      <c r="L845" s="13">
        <f>IF('ORDENES'!$A823="","",IF('ORDENES'!$M823="",0,'ORDENES'!$M823))</f>
        <v/>
      </c>
      <c r="M845" s="3">
        <f>IF('ORDENES'!$A823="","",IF('ORDENES'!$N823="","-",'ORDENES'!$N823))</f>
        <v/>
      </c>
      <c r="N845" s="3">
        <f>IF('ORDENES'!$A823="","",'ORDENES'!$AD823)</f>
        <v/>
      </c>
    </row>
    <row r="846">
      <c r="A846" s="3">
        <f>IF('ORDENES'!$A824="","",IF('ORDENES'!$O824="","-",'ORDENES'!$O824))</f>
        <v/>
      </c>
      <c r="B846" s="3">
        <f>IF('ORDENES'!$A824="","",IF('ORDENES'!$R824="","-",'ORDENES'!$R824))</f>
        <v/>
      </c>
      <c r="C846" s="3">
        <f>IF('ORDENES'!$A824="","",IF('ORDENES'!$AF824="","-",'ORDENES'!$AF824))</f>
        <v/>
      </c>
      <c r="D846" s="3">
        <f>IF('ORDENES'!$A824="","",IF('ORDENES'!$X824="","-",'ORDENES'!$X824))</f>
        <v/>
      </c>
      <c r="E846" s="3">
        <f>IF('ORDENES'!$A824="","",IF('ORDENES'!$V824="","-",'ORDENES'!$V824))</f>
        <v/>
      </c>
      <c r="F846" s="3">
        <f>IF('ORDENES'!$A824="","",IF('ORDENES'!$Y824="","-",'ORDENES'!$Y824))</f>
        <v/>
      </c>
      <c r="G846" s="3">
        <f>IF('ORDENES'!$A824="","",IF('ORDENES'!$W824="","-",'ORDENES'!$W824))</f>
        <v/>
      </c>
      <c r="H846" s="3">
        <f>IF('ORDENES'!$A824="","",IF('ORDENES'!$AE824="","-",'ORDENES'!$AE824))</f>
        <v/>
      </c>
      <c r="I846" s="3">
        <f>IF('ORDENES'!$A824="","",IF('ORDENES'!$AQ824="","-",'ORDENES'!$AQ824))</f>
        <v/>
      </c>
      <c r="J846" s="3">
        <f>IF('ORDENES'!$A824="","",IF('ORDENES'!$D824="","-",'ORDENES'!$D824))</f>
        <v/>
      </c>
      <c r="K846" s="3">
        <f>IF('ORDENES'!$A824="","",IF('ORDENES'!$E824="","-",'ORDENES'!$E824))</f>
        <v/>
      </c>
      <c r="L846" s="13">
        <f>IF('ORDENES'!$A824="","",IF('ORDENES'!$M824="",0,'ORDENES'!$M824))</f>
        <v/>
      </c>
      <c r="M846" s="3">
        <f>IF('ORDENES'!$A824="","",IF('ORDENES'!$N824="","-",'ORDENES'!$N824))</f>
        <v/>
      </c>
      <c r="N846" s="3">
        <f>IF('ORDENES'!$A824="","",'ORDENES'!$AD824)</f>
        <v/>
      </c>
    </row>
    <row r="847">
      <c r="A847" s="3">
        <f>IF('ORDENES'!$A825="","",IF('ORDENES'!$O825="","-",'ORDENES'!$O825))</f>
        <v/>
      </c>
      <c r="B847" s="3">
        <f>IF('ORDENES'!$A825="","",IF('ORDENES'!$R825="","-",'ORDENES'!$R825))</f>
        <v/>
      </c>
      <c r="C847" s="3">
        <f>IF('ORDENES'!$A825="","",IF('ORDENES'!$AF825="","-",'ORDENES'!$AF825))</f>
        <v/>
      </c>
      <c r="D847" s="3">
        <f>IF('ORDENES'!$A825="","",IF('ORDENES'!$X825="","-",'ORDENES'!$X825))</f>
        <v/>
      </c>
      <c r="E847" s="3">
        <f>IF('ORDENES'!$A825="","",IF('ORDENES'!$V825="","-",'ORDENES'!$V825))</f>
        <v/>
      </c>
      <c r="F847" s="3">
        <f>IF('ORDENES'!$A825="","",IF('ORDENES'!$Y825="","-",'ORDENES'!$Y825))</f>
        <v/>
      </c>
      <c r="G847" s="3">
        <f>IF('ORDENES'!$A825="","",IF('ORDENES'!$W825="","-",'ORDENES'!$W825))</f>
        <v/>
      </c>
      <c r="H847" s="3">
        <f>IF('ORDENES'!$A825="","",IF('ORDENES'!$AE825="","-",'ORDENES'!$AE825))</f>
        <v/>
      </c>
      <c r="I847" s="3">
        <f>IF('ORDENES'!$A825="","",IF('ORDENES'!$AQ825="","-",'ORDENES'!$AQ825))</f>
        <v/>
      </c>
      <c r="J847" s="3">
        <f>IF('ORDENES'!$A825="","",IF('ORDENES'!$D825="","-",'ORDENES'!$D825))</f>
        <v/>
      </c>
      <c r="K847" s="3">
        <f>IF('ORDENES'!$A825="","",IF('ORDENES'!$E825="","-",'ORDENES'!$E825))</f>
        <v/>
      </c>
      <c r="L847" s="13">
        <f>IF('ORDENES'!$A825="","",IF('ORDENES'!$M825="",0,'ORDENES'!$M825))</f>
        <v/>
      </c>
      <c r="M847" s="3">
        <f>IF('ORDENES'!$A825="","",IF('ORDENES'!$N825="","-",'ORDENES'!$N825))</f>
        <v/>
      </c>
      <c r="N847" s="3">
        <f>IF('ORDENES'!$A825="","",'ORDENES'!$AD825)</f>
        <v/>
      </c>
    </row>
    <row r="848">
      <c r="A848" s="3">
        <f>IF('ORDENES'!$A826="","",IF('ORDENES'!$O826="","-",'ORDENES'!$O826))</f>
        <v/>
      </c>
      <c r="B848" s="3">
        <f>IF('ORDENES'!$A826="","",IF('ORDENES'!$R826="","-",'ORDENES'!$R826))</f>
        <v/>
      </c>
      <c r="C848" s="3">
        <f>IF('ORDENES'!$A826="","",IF('ORDENES'!$AF826="","-",'ORDENES'!$AF826))</f>
        <v/>
      </c>
      <c r="D848" s="3">
        <f>IF('ORDENES'!$A826="","",IF('ORDENES'!$X826="","-",'ORDENES'!$X826))</f>
        <v/>
      </c>
      <c r="E848" s="3">
        <f>IF('ORDENES'!$A826="","",IF('ORDENES'!$V826="","-",'ORDENES'!$V826))</f>
        <v/>
      </c>
      <c r="F848" s="3">
        <f>IF('ORDENES'!$A826="","",IF('ORDENES'!$Y826="","-",'ORDENES'!$Y826))</f>
        <v/>
      </c>
      <c r="G848" s="3">
        <f>IF('ORDENES'!$A826="","",IF('ORDENES'!$W826="","-",'ORDENES'!$W826))</f>
        <v/>
      </c>
      <c r="H848" s="3">
        <f>IF('ORDENES'!$A826="","",IF('ORDENES'!$AE826="","-",'ORDENES'!$AE826))</f>
        <v/>
      </c>
      <c r="I848" s="3">
        <f>IF('ORDENES'!$A826="","",IF('ORDENES'!$AQ826="","-",'ORDENES'!$AQ826))</f>
        <v/>
      </c>
      <c r="J848" s="3">
        <f>IF('ORDENES'!$A826="","",IF('ORDENES'!$D826="","-",'ORDENES'!$D826))</f>
        <v/>
      </c>
      <c r="K848" s="3">
        <f>IF('ORDENES'!$A826="","",IF('ORDENES'!$E826="","-",'ORDENES'!$E826))</f>
        <v/>
      </c>
      <c r="L848" s="13">
        <f>IF('ORDENES'!$A826="","",IF('ORDENES'!$M826="",0,'ORDENES'!$M826))</f>
        <v/>
      </c>
      <c r="M848" s="3">
        <f>IF('ORDENES'!$A826="","",IF('ORDENES'!$N826="","-",'ORDENES'!$N826))</f>
        <v/>
      </c>
      <c r="N848" s="3">
        <f>IF('ORDENES'!$A826="","",'ORDENES'!$AD826)</f>
        <v/>
      </c>
    </row>
    <row r="849">
      <c r="A849" s="3">
        <f>IF('ORDENES'!$A827="","",IF('ORDENES'!$O827="","-",'ORDENES'!$O827))</f>
        <v/>
      </c>
      <c r="B849" s="3">
        <f>IF('ORDENES'!$A827="","",IF('ORDENES'!$R827="","-",'ORDENES'!$R827))</f>
        <v/>
      </c>
      <c r="C849" s="3">
        <f>IF('ORDENES'!$A827="","",IF('ORDENES'!$AF827="","-",'ORDENES'!$AF827))</f>
        <v/>
      </c>
      <c r="D849" s="3">
        <f>IF('ORDENES'!$A827="","",IF('ORDENES'!$X827="","-",'ORDENES'!$X827))</f>
        <v/>
      </c>
      <c r="E849" s="3">
        <f>IF('ORDENES'!$A827="","",IF('ORDENES'!$V827="","-",'ORDENES'!$V827))</f>
        <v/>
      </c>
      <c r="F849" s="3">
        <f>IF('ORDENES'!$A827="","",IF('ORDENES'!$Y827="","-",'ORDENES'!$Y827))</f>
        <v/>
      </c>
      <c r="G849" s="3">
        <f>IF('ORDENES'!$A827="","",IF('ORDENES'!$W827="","-",'ORDENES'!$W827))</f>
        <v/>
      </c>
      <c r="H849" s="3">
        <f>IF('ORDENES'!$A827="","",IF('ORDENES'!$AE827="","-",'ORDENES'!$AE827))</f>
        <v/>
      </c>
      <c r="I849" s="3">
        <f>IF('ORDENES'!$A827="","",IF('ORDENES'!$AQ827="","-",'ORDENES'!$AQ827))</f>
        <v/>
      </c>
      <c r="J849" s="3">
        <f>IF('ORDENES'!$A827="","",IF('ORDENES'!$D827="","-",'ORDENES'!$D827))</f>
        <v/>
      </c>
      <c r="K849" s="3">
        <f>IF('ORDENES'!$A827="","",IF('ORDENES'!$E827="","-",'ORDENES'!$E827))</f>
        <v/>
      </c>
      <c r="L849" s="13">
        <f>IF('ORDENES'!$A827="","",IF('ORDENES'!$M827="",0,'ORDENES'!$M827))</f>
        <v/>
      </c>
      <c r="M849" s="3">
        <f>IF('ORDENES'!$A827="","",IF('ORDENES'!$N827="","-",'ORDENES'!$N827))</f>
        <v/>
      </c>
      <c r="N849" s="3">
        <f>IF('ORDENES'!$A827="","",'ORDENES'!$AD827)</f>
        <v/>
      </c>
    </row>
    <row r="850">
      <c r="A850" s="3">
        <f>IF('ORDENES'!$A828="","",IF('ORDENES'!$O828="","-",'ORDENES'!$O828))</f>
        <v/>
      </c>
      <c r="B850" s="3">
        <f>IF('ORDENES'!$A828="","",IF('ORDENES'!$R828="","-",'ORDENES'!$R828))</f>
        <v/>
      </c>
      <c r="C850" s="3">
        <f>IF('ORDENES'!$A828="","",IF('ORDENES'!$AF828="","-",'ORDENES'!$AF828))</f>
        <v/>
      </c>
      <c r="D850" s="3">
        <f>IF('ORDENES'!$A828="","",IF('ORDENES'!$X828="","-",'ORDENES'!$X828))</f>
        <v/>
      </c>
      <c r="E850" s="3">
        <f>IF('ORDENES'!$A828="","",IF('ORDENES'!$V828="","-",'ORDENES'!$V828))</f>
        <v/>
      </c>
      <c r="F850" s="3">
        <f>IF('ORDENES'!$A828="","",IF('ORDENES'!$Y828="","-",'ORDENES'!$Y828))</f>
        <v/>
      </c>
      <c r="G850" s="3">
        <f>IF('ORDENES'!$A828="","",IF('ORDENES'!$W828="","-",'ORDENES'!$W828))</f>
        <v/>
      </c>
      <c r="H850" s="3">
        <f>IF('ORDENES'!$A828="","",IF('ORDENES'!$AE828="","-",'ORDENES'!$AE828))</f>
        <v/>
      </c>
      <c r="I850" s="3">
        <f>IF('ORDENES'!$A828="","",IF('ORDENES'!$AQ828="","-",'ORDENES'!$AQ828))</f>
        <v/>
      </c>
      <c r="J850" s="3">
        <f>IF('ORDENES'!$A828="","",IF('ORDENES'!$D828="","-",'ORDENES'!$D828))</f>
        <v/>
      </c>
      <c r="K850" s="3">
        <f>IF('ORDENES'!$A828="","",IF('ORDENES'!$E828="","-",'ORDENES'!$E828))</f>
        <v/>
      </c>
      <c r="L850" s="13">
        <f>IF('ORDENES'!$A828="","",IF('ORDENES'!$M828="",0,'ORDENES'!$M828))</f>
        <v/>
      </c>
      <c r="M850" s="3">
        <f>IF('ORDENES'!$A828="","",IF('ORDENES'!$N828="","-",'ORDENES'!$N828))</f>
        <v/>
      </c>
      <c r="N850" s="3">
        <f>IF('ORDENES'!$A828="","",'ORDENES'!$AD828)</f>
        <v/>
      </c>
    </row>
    <row r="851">
      <c r="A851" s="3">
        <f>IF('ORDENES'!$A829="","",IF('ORDENES'!$O829="","-",'ORDENES'!$O829))</f>
        <v/>
      </c>
      <c r="B851" s="3">
        <f>IF('ORDENES'!$A829="","",IF('ORDENES'!$R829="","-",'ORDENES'!$R829))</f>
        <v/>
      </c>
      <c r="C851" s="3">
        <f>IF('ORDENES'!$A829="","",IF('ORDENES'!$AF829="","-",'ORDENES'!$AF829))</f>
        <v/>
      </c>
      <c r="D851" s="3">
        <f>IF('ORDENES'!$A829="","",IF('ORDENES'!$X829="","-",'ORDENES'!$X829))</f>
        <v/>
      </c>
      <c r="E851" s="3">
        <f>IF('ORDENES'!$A829="","",IF('ORDENES'!$V829="","-",'ORDENES'!$V829))</f>
        <v/>
      </c>
      <c r="F851" s="3">
        <f>IF('ORDENES'!$A829="","",IF('ORDENES'!$Y829="","-",'ORDENES'!$Y829))</f>
        <v/>
      </c>
      <c r="G851" s="3">
        <f>IF('ORDENES'!$A829="","",IF('ORDENES'!$W829="","-",'ORDENES'!$W829))</f>
        <v/>
      </c>
      <c r="H851" s="3">
        <f>IF('ORDENES'!$A829="","",IF('ORDENES'!$AE829="","-",'ORDENES'!$AE829))</f>
        <v/>
      </c>
      <c r="I851" s="3">
        <f>IF('ORDENES'!$A829="","",IF('ORDENES'!$AQ829="","-",'ORDENES'!$AQ829))</f>
        <v/>
      </c>
      <c r="J851" s="3">
        <f>IF('ORDENES'!$A829="","",IF('ORDENES'!$D829="","-",'ORDENES'!$D829))</f>
        <v/>
      </c>
      <c r="K851" s="3">
        <f>IF('ORDENES'!$A829="","",IF('ORDENES'!$E829="","-",'ORDENES'!$E829))</f>
        <v/>
      </c>
      <c r="L851" s="13">
        <f>IF('ORDENES'!$A829="","",IF('ORDENES'!$M829="",0,'ORDENES'!$M829))</f>
        <v/>
      </c>
      <c r="M851" s="3">
        <f>IF('ORDENES'!$A829="","",IF('ORDENES'!$N829="","-",'ORDENES'!$N829))</f>
        <v/>
      </c>
      <c r="N851" s="3">
        <f>IF('ORDENES'!$A829="","",'ORDENES'!$AD829)</f>
        <v/>
      </c>
    </row>
    <row r="852">
      <c r="A852" s="3">
        <f>IF('ORDENES'!$A830="","",IF('ORDENES'!$O830="","-",'ORDENES'!$O830))</f>
        <v/>
      </c>
      <c r="B852" s="3">
        <f>IF('ORDENES'!$A830="","",IF('ORDENES'!$R830="","-",'ORDENES'!$R830))</f>
        <v/>
      </c>
      <c r="C852" s="3">
        <f>IF('ORDENES'!$A830="","",IF('ORDENES'!$AF830="","-",'ORDENES'!$AF830))</f>
        <v/>
      </c>
      <c r="D852" s="3">
        <f>IF('ORDENES'!$A830="","",IF('ORDENES'!$X830="","-",'ORDENES'!$X830))</f>
        <v/>
      </c>
      <c r="E852" s="3">
        <f>IF('ORDENES'!$A830="","",IF('ORDENES'!$V830="","-",'ORDENES'!$V830))</f>
        <v/>
      </c>
      <c r="F852" s="3">
        <f>IF('ORDENES'!$A830="","",IF('ORDENES'!$Y830="","-",'ORDENES'!$Y830))</f>
        <v/>
      </c>
      <c r="G852" s="3">
        <f>IF('ORDENES'!$A830="","",IF('ORDENES'!$W830="","-",'ORDENES'!$W830))</f>
        <v/>
      </c>
      <c r="H852" s="3">
        <f>IF('ORDENES'!$A830="","",IF('ORDENES'!$AE830="","-",'ORDENES'!$AE830))</f>
        <v/>
      </c>
      <c r="I852" s="3">
        <f>IF('ORDENES'!$A830="","",IF('ORDENES'!$AQ830="","-",'ORDENES'!$AQ830))</f>
        <v/>
      </c>
      <c r="J852" s="3">
        <f>IF('ORDENES'!$A830="","",IF('ORDENES'!$D830="","-",'ORDENES'!$D830))</f>
        <v/>
      </c>
      <c r="K852" s="3">
        <f>IF('ORDENES'!$A830="","",IF('ORDENES'!$E830="","-",'ORDENES'!$E830))</f>
        <v/>
      </c>
      <c r="L852" s="13">
        <f>IF('ORDENES'!$A830="","",IF('ORDENES'!$M830="",0,'ORDENES'!$M830))</f>
        <v/>
      </c>
      <c r="M852" s="3">
        <f>IF('ORDENES'!$A830="","",IF('ORDENES'!$N830="","-",'ORDENES'!$N830))</f>
        <v/>
      </c>
      <c r="N852" s="3">
        <f>IF('ORDENES'!$A830="","",'ORDENES'!$AD830)</f>
        <v/>
      </c>
    </row>
    <row r="853">
      <c r="A853" s="3">
        <f>IF('ORDENES'!$A831="","",IF('ORDENES'!$O831="","-",'ORDENES'!$O831))</f>
        <v/>
      </c>
      <c r="B853" s="3">
        <f>IF('ORDENES'!$A831="","",IF('ORDENES'!$R831="","-",'ORDENES'!$R831))</f>
        <v/>
      </c>
      <c r="C853" s="3">
        <f>IF('ORDENES'!$A831="","",IF('ORDENES'!$AF831="","-",'ORDENES'!$AF831))</f>
        <v/>
      </c>
      <c r="D853" s="3">
        <f>IF('ORDENES'!$A831="","",IF('ORDENES'!$X831="","-",'ORDENES'!$X831))</f>
        <v/>
      </c>
      <c r="E853" s="3">
        <f>IF('ORDENES'!$A831="","",IF('ORDENES'!$V831="","-",'ORDENES'!$V831))</f>
        <v/>
      </c>
      <c r="F853" s="3">
        <f>IF('ORDENES'!$A831="","",IF('ORDENES'!$Y831="","-",'ORDENES'!$Y831))</f>
        <v/>
      </c>
      <c r="G853" s="3">
        <f>IF('ORDENES'!$A831="","",IF('ORDENES'!$W831="","-",'ORDENES'!$W831))</f>
        <v/>
      </c>
      <c r="H853" s="3">
        <f>IF('ORDENES'!$A831="","",IF('ORDENES'!$AE831="","-",'ORDENES'!$AE831))</f>
        <v/>
      </c>
      <c r="I853" s="3">
        <f>IF('ORDENES'!$A831="","",IF('ORDENES'!$AQ831="","-",'ORDENES'!$AQ831))</f>
        <v/>
      </c>
      <c r="J853" s="3">
        <f>IF('ORDENES'!$A831="","",IF('ORDENES'!$D831="","-",'ORDENES'!$D831))</f>
        <v/>
      </c>
      <c r="K853" s="3">
        <f>IF('ORDENES'!$A831="","",IF('ORDENES'!$E831="","-",'ORDENES'!$E831))</f>
        <v/>
      </c>
      <c r="L853" s="13">
        <f>IF('ORDENES'!$A831="","",IF('ORDENES'!$M831="",0,'ORDENES'!$M831))</f>
        <v/>
      </c>
      <c r="M853" s="3">
        <f>IF('ORDENES'!$A831="","",IF('ORDENES'!$N831="","-",'ORDENES'!$N831))</f>
        <v/>
      </c>
      <c r="N853" s="3">
        <f>IF('ORDENES'!$A831="","",'ORDENES'!$AD831)</f>
        <v/>
      </c>
    </row>
    <row r="854">
      <c r="A854" s="3">
        <f>IF('ORDENES'!$A832="","",IF('ORDENES'!$O832="","-",'ORDENES'!$O832))</f>
        <v/>
      </c>
      <c r="B854" s="3">
        <f>IF('ORDENES'!$A832="","",IF('ORDENES'!$R832="","-",'ORDENES'!$R832))</f>
        <v/>
      </c>
      <c r="C854" s="3">
        <f>IF('ORDENES'!$A832="","",IF('ORDENES'!$AF832="","-",'ORDENES'!$AF832))</f>
        <v/>
      </c>
      <c r="D854" s="3">
        <f>IF('ORDENES'!$A832="","",IF('ORDENES'!$X832="","-",'ORDENES'!$X832))</f>
        <v/>
      </c>
      <c r="E854" s="3">
        <f>IF('ORDENES'!$A832="","",IF('ORDENES'!$V832="","-",'ORDENES'!$V832))</f>
        <v/>
      </c>
      <c r="F854" s="3">
        <f>IF('ORDENES'!$A832="","",IF('ORDENES'!$Y832="","-",'ORDENES'!$Y832))</f>
        <v/>
      </c>
      <c r="G854" s="3">
        <f>IF('ORDENES'!$A832="","",IF('ORDENES'!$W832="","-",'ORDENES'!$W832))</f>
        <v/>
      </c>
      <c r="H854" s="3">
        <f>IF('ORDENES'!$A832="","",IF('ORDENES'!$AE832="","-",'ORDENES'!$AE832))</f>
        <v/>
      </c>
      <c r="I854" s="3">
        <f>IF('ORDENES'!$A832="","",IF('ORDENES'!$AQ832="","-",'ORDENES'!$AQ832))</f>
        <v/>
      </c>
      <c r="J854" s="3">
        <f>IF('ORDENES'!$A832="","",IF('ORDENES'!$D832="","-",'ORDENES'!$D832))</f>
        <v/>
      </c>
      <c r="K854" s="3">
        <f>IF('ORDENES'!$A832="","",IF('ORDENES'!$E832="","-",'ORDENES'!$E832))</f>
        <v/>
      </c>
      <c r="L854" s="13">
        <f>IF('ORDENES'!$A832="","",IF('ORDENES'!$M832="",0,'ORDENES'!$M832))</f>
        <v/>
      </c>
      <c r="M854" s="3">
        <f>IF('ORDENES'!$A832="","",IF('ORDENES'!$N832="","-",'ORDENES'!$N832))</f>
        <v/>
      </c>
      <c r="N854" s="3">
        <f>IF('ORDENES'!$A832="","",'ORDENES'!$AD832)</f>
        <v/>
      </c>
    </row>
    <row r="855">
      <c r="A855" s="3">
        <f>IF('ORDENES'!$A833="","",IF('ORDENES'!$O833="","-",'ORDENES'!$O833))</f>
        <v/>
      </c>
      <c r="B855" s="3">
        <f>IF('ORDENES'!$A833="","",IF('ORDENES'!$R833="","-",'ORDENES'!$R833))</f>
        <v/>
      </c>
      <c r="C855" s="3">
        <f>IF('ORDENES'!$A833="","",IF('ORDENES'!$AF833="","-",'ORDENES'!$AF833))</f>
        <v/>
      </c>
      <c r="D855" s="3">
        <f>IF('ORDENES'!$A833="","",IF('ORDENES'!$X833="","-",'ORDENES'!$X833))</f>
        <v/>
      </c>
      <c r="E855" s="3">
        <f>IF('ORDENES'!$A833="","",IF('ORDENES'!$V833="","-",'ORDENES'!$V833))</f>
        <v/>
      </c>
      <c r="F855" s="3">
        <f>IF('ORDENES'!$A833="","",IF('ORDENES'!$Y833="","-",'ORDENES'!$Y833))</f>
        <v/>
      </c>
      <c r="G855" s="3">
        <f>IF('ORDENES'!$A833="","",IF('ORDENES'!$W833="","-",'ORDENES'!$W833))</f>
        <v/>
      </c>
      <c r="H855" s="3">
        <f>IF('ORDENES'!$A833="","",IF('ORDENES'!$AE833="","-",'ORDENES'!$AE833))</f>
        <v/>
      </c>
      <c r="I855" s="3">
        <f>IF('ORDENES'!$A833="","",IF('ORDENES'!$AQ833="","-",'ORDENES'!$AQ833))</f>
        <v/>
      </c>
      <c r="J855" s="3">
        <f>IF('ORDENES'!$A833="","",IF('ORDENES'!$D833="","-",'ORDENES'!$D833))</f>
        <v/>
      </c>
      <c r="K855" s="3">
        <f>IF('ORDENES'!$A833="","",IF('ORDENES'!$E833="","-",'ORDENES'!$E833))</f>
        <v/>
      </c>
      <c r="L855" s="13">
        <f>IF('ORDENES'!$A833="","",IF('ORDENES'!$M833="",0,'ORDENES'!$M833))</f>
        <v/>
      </c>
      <c r="M855" s="3">
        <f>IF('ORDENES'!$A833="","",IF('ORDENES'!$N833="","-",'ORDENES'!$N833))</f>
        <v/>
      </c>
      <c r="N855" s="3">
        <f>IF('ORDENES'!$A833="","",'ORDENES'!$AD833)</f>
        <v/>
      </c>
    </row>
    <row r="856">
      <c r="A856" s="3">
        <f>IF('ORDENES'!$A834="","",IF('ORDENES'!$O834="","-",'ORDENES'!$O834))</f>
        <v/>
      </c>
      <c r="B856" s="3">
        <f>IF('ORDENES'!$A834="","",IF('ORDENES'!$R834="","-",'ORDENES'!$R834))</f>
        <v/>
      </c>
      <c r="C856" s="3">
        <f>IF('ORDENES'!$A834="","",IF('ORDENES'!$AF834="","-",'ORDENES'!$AF834))</f>
        <v/>
      </c>
      <c r="D856" s="3">
        <f>IF('ORDENES'!$A834="","",IF('ORDENES'!$X834="","-",'ORDENES'!$X834))</f>
        <v/>
      </c>
      <c r="E856" s="3">
        <f>IF('ORDENES'!$A834="","",IF('ORDENES'!$V834="","-",'ORDENES'!$V834))</f>
        <v/>
      </c>
      <c r="F856" s="3">
        <f>IF('ORDENES'!$A834="","",IF('ORDENES'!$Y834="","-",'ORDENES'!$Y834))</f>
        <v/>
      </c>
      <c r="G856" s="3">
        <f>IF('ORDENES'!$A834="","",IF('ORDENES'!$W834="","-",'ORDENES'!$W834))</f>
        <v/>
      </c>
      <c r="H856" s="3">
        <f>IF('ORDENES'!$A834="","",IF('ORDENES'!$AE834="","-",'ORDENES'!$AE834))</f>
        <v/>
      </c>
      <c r="I856" s="3">
        <f>IF('ORDENES'!$A834="","",IF('ORDENES'!$AQ834="","-",'ORDENES'!$AQ834))</f>
        <v/>
      </c>
      <c r="J856" s="3">
        <f>IF('ORDENES'!$A834="","",IF('ORDENES'!$D834="","-",'ORDENES'!$D834))</f>
        <v/>
      </c>
      <c r="K856" s="3">
        <f>IF('ORDENES'!$A834="","",IF('ORDENES'!$E834="","-",'ORDENES'!$E834))</f>
        <v/>
      </c>
      <c r="L856" s="13">
        <f>IF('ORDENES'!$A834="","",IF('ORDENES'!$M834="",0,'ORDENES'!$M834))</f>
        <v/>
      </c>
      <c r="M856" s="3">
        <f>IF('ORDENES'!$A834="","",IF('ORDENES'!$N834="","-",'ORDENES'!$N834))</f>
        <v/>
      </c>
      <c r="N856" s="3">
        <f>IF('ORDENES'!$A834="","",'ORDENES'!$AD834)</f>
        <v/>
      </c>
    </row>
    <row r="857">
      <c r="A857" s="3">
        <f>IF('ORDENES'!$A835="","",IF('ORDENES'!$O835="","-",'ORDENES'!$O835))</f>
        <v/>
      </c>
      <c r="B857" s="3">
        <f>IF('ORDENES'!$A835="","",IF('ORDENES'!$R835="","-",'ORDENES'!$R835))</f>
        <v/>
      </c>
      <c r="C857" s="3">
        <f>IF('ORDENES'!$A835="","",IF('ORDENES'!$AF835="","-",'ORDENES'!$AF835))</f>
        <v/>
      </c>
      <c r="D857" s="3">
        <f>IF('ORDENES'!$A835="","",IF('ORDENES'!$X835="","-",'ORDENES'!$X835))</f>
        <v/>
      </c>
      <c r="E857" s="3">
        <f>IF('ORDENES'!$A835="","",IF('ORDENES'!$V835="","-",'ORDENES'!$V835))</f>
        <v/>
      </c>
      <c r="F857" s="3">
        <f>IF('ORDENES'!$A835="","",IF('ORDENES'!$Y835="","-",'ORDENES'!$Y835))</f>
        <v/>
      </c>
      <c r="G857" s="3">
        <f>IF('ORDENES'!$A835="","",IF('ORDENES'!$W835="","-",'ORDENES'!$W835))</f>
        <v/>
      </c>
      <c r="H857" s="3">
        <f>IF('ORDENES'!$A835="","",IF('ORDENES'!$AE835="","-",'ORDENES'!$AE835))</f>
        <v/>
      </c>
      <c r="I857" s="3">
        <f>IF('ORDENES'!$A835="","",IF('ORDENES'!$AQ835="","-",'ORDENES'!$AQ835))</f>
        <v/>
      </c>
      <c r="J857" s="3">
        <f>IF('ORDENES'!$A835="","",IF('ORDENES'!$D835="","-",'ORDENES'!$D835))</f>
        <v/>
      </c>
      <c r="K857" s="3">
        <f>IF('ORDENES'!$A835="","",IF('ORDENES'!$E835="","-",'ORDENES'!$E835))</f>
        <v/>
      </c>
      <c r="L857" s="13">
        <f>IF('ORDENES'!$A835="","",IF('ORDENES'!$M835="",0,'ORDENES'!$M835))</f>
        <v/>
      </c>
      <c r="M857" s="3">
        <f>IF('ORDENES'!$A835="","",IF('ORDENES'!$N835="","-",'ORDENES'!$N835))</f>
        <v/>
      </c>
      <c r="N857" s="3">
        <f>IF('ORDENES'!$A835="","",'ORDENES'!$AD835)</f>
        <v/>
      </c>
    </row>
    <row r="858">
      <c r="A858" s="3">
        <f>IF('ORDENES'!$A836="","",IF('ORDENES'!$O836="","-",'ORDENES'!$O836))</f>
        <v/>
      </c>
      <c r="B858" s="3">
        <f>IF('ORDENES'!$A836="","",IF('ORDENES'!$R836="","-",'ORDENES'!$R836))</f>
        <v/>
      </c>
      <c r="C858" s="3">
        <f>IF('ORDENES'!$A836="","",IF('ORDENES'!$AF836="","-",'ORDENES'!$AF836))</f>
        <v/>
      </c>
      <c r="D858" s="3">
        <f>IF('ORDENES'!$A836="","",IF('ORDENES'!$X836="","-",'ORDENES'!$X836))</f>
        <v/>
      </c>
      <c r="E858" s="3">
        <f>IF('ORDENES'!$A836="","",IF('ORDENES'!$V836="","-",'ORDENES'!$V836))</f>
        <v/>
      </c>
      <c r="F858" s="3">
        <f>IF('ORDENES'!$A836="","",IF('ORDENES'!$Y836="","-",'ORDENES'!$Y836))</f>
        <v/>
      </c>
      <c r="G858" s="3">
        <f>IF('ORDENES'!$A836="","",IF('ORDENES'!$W836="","-",'ORDENES'!$W836))</f>
        <v/>
      </c>
      <c r="H858" s="3">
        <f>IF('ORDENES'!$A836="","",IF('ORDENES'!$AE836="","-",'ORDENES'!$AE836))</f>
        <v/>
      </c>
      <c r="I858" s="3">
        <f>IF('ORDENES'!$A836="","",IF('ORDENES'!$AQ836="","-",'ORDENES'!$AQ836))</f>
        <v/>
      </c>
      <c r="J858" s="3">
        <f>IF('ORDENES'!$A836="","",IF('ORDENES'!$D836="","-",'ORDENES'!$D836))</f>
        <v/>
      </c>
      <c r="K858" s="3">
        <f>IF('ORDENES'!$A836="","",IF('ORDENES'!$E836="","-",'ORDENES'!$E836))</f>
        <v/>
      </c>
      <c r="L858" s="13">
        <f>IF('ORDENES'!$A836="","",IF('ORDENES'!$M836="",0,'ORDENES'!$M836))</f>
        <v/>
      </c>
      <c r="M858" s="3">
        <f>IF('ORDENES'!$A836="","",IF('ORDENES'!$N836="","-",'ORDENES'!$N836))</f>
        <v/>
      </c>
      <c r="N858" s="3">
        <f>IF('ORDENES'!$A836="","",'ORDENES'!$AD836)</f>
        <v/>
      </c>
    </row>
    <row r="859">
      <c r="A859" s="3">
        <f>IF('ORDENES'!$A837="","",IF('ORDENES'!$O837="","-",'ORDENES'!$O837))</f>
        <v/>
      </c>
      <c r="B859" s="3">
        <f>IF('ORDENES'!$A837="","",IF('ORDENES'!$R837="","-",'ORDENES'!$R837))</f>
        <v/>
      </c>
      <c r="C859" s="3">
        <f>IF('ORDENES'!$A837="","",IF('ORDENES'!$AF837="","-",'ORDENES'!$AF837))</f>
        <v/>
      </c>
      <c r="D859" s="3">
        <f>IF('ORDENES'!$A837="","",IF('ORDENES'!$X837="","-",'ORDENES'!$X837))</f>
        <v/>
      </c>
      <c r="E859" s="3">
        <f>IF('ORDENES'!$A837="","",IF('ORDENES'!$V837="","-",'ORDENES'!$V837))</f>
        <v/>
      </c>
      <c r="F859" s="3">
        <f>IF('ORDENES'!$A837="","",IF('ORDENES'!$Y837="","-",'ORDENES'!$Y837))</f>
        <v/>
      </c>
      <c r="G859" s="3">
        <f>IF('ORDENES'!$A837="","",IF('ORDENES'!$W837="","-",'ORDENES'!$W837))</f>
        <v/>
      </c>
      <c r="H859" s="3">
        <f>IF('ORDENES'!$A837="","",IF('ORDENES'!$AE837="","-",'ORDENES'!$AE837))</f>
        <v/>
      </c>
      <c r="I859" s="3">
        <f>IF('ORDENES'!$A837="","",IF('ORDENES'!$AQ837="","-",'ORDENES'!$AQ837))</f>
        <v/>
      </c>
      <c r="J859" s="3">
        <f>IF('ORDENES'!$A837="","",IF('ORDENES'!$D837="","-",'ORDENES'!$D837))</f>
        <v/>
      </c>
      <c r="K859" s="3">
        <f>IF('ORDENES'!$A837="","",IF('ORDENES'!$E837="","-",'ORDENES'!$E837))</f>
        <v/>
      </c>
      <c r="L859" s="13">
        <f>IF('ORDENES'!$A837="","",IF('ORDENES'!$M837="",0,'ORDENES'!$M837))</f>
        <v/>
      </c>
      <c r="M859" s="3">
        <f>IF('ORDENES'!$A837="","",IF('ORDENES'!$N837="","-",'ORDENES'!$N837))</f>
        <v/>
      </c>
      <c r="N859" s="3">
        <f>IF('ORDENES'!$A837="","",'ORDENES'!$AD837)</f>
        <v/>
      </c>
    </row>
    <row r="860">
      <c r="A860" s="3">
        <f>IF('ORDENES'!$A838="","",IF('ORDENES'!$O838="","-",'ORDENES'!$O838))</f>
        <v/>
      </c>
      <c r="B860" s="3">
        <f>IF('ORDENES'!$A838="","",IF('ORDENES'!$R838="","-",'ORDENES'!$R838))</f>
        <v/>
      </c>
      <c r="C860" s="3">
        <f>IF('ORDENES'!$A838="","",IF('ORDENES'!$AF838="","-",'ORDENES'!$AF838))</f>
        <v/>
      </c>
      <c r="D860" s="3">
        <f>IF('ORDENES'!$A838="","",IF('ORDENES'!$X838="","-",'ORDENES'!$X838))</f>
        <v/>
      </c>
      <c r="E860" s="3">
        <f>IF('ORDENES'!$A838="","",IF('ORDENES'!$V838="","-",'ORDENES'!$V838))</f>
        <v/>
      </c>
      <c r="F860" s="3">
        <f>IF('ORDENES'!$A838="","",IF('ORDENES'!$Y838="","-",'ORDENES'!$Y838))</f>
        <v/>
      </c>
      <c r="G860" s="3">
        <f>IF('ORDENES'!$A838="","",IF('ORDENES'!$W838="","-",'ORDENES'!$W838))</f>
        <v/>
      </c>
      <c r="H860" s="3">
        <f>IF('ORDENES'!$A838="","",IF('ORDENES'!$AE838="","-",'ORDENES'!$AE838))</f>
        <v/>
      </c>
      <c r="I860" s="3">
        <f>IF('ORDENES'!$A838="","",IF('ORDENES'!$AQ838="","-",'ORDENES'!$AQ838))</f>
        <v/>
      </c>
      <c r="J860" s="3">
        <f>IF('ORDENES'!$A838="","",IF('ORDENES'!$D838="","-",'ORDENES'!$D838))</f>
        <v/>
      </c>
      <c r="K860" s="3">
        <f>IF('ORDENES'!$A838="","",IF('ORDENES'!$E838="","-",'ORDENES'!$E838))</f>
        <v/>
      </c>
      <c r="L860" s="13">
        <f>IF('ORDENES'!$A838="","",IF('ORDENES'!$M838="",0,'ORDENES'!$M838))</f>
        <v/>
      </c>
      <c r="M860" s="3">
        <f>IF('ORDENES'!$A838="","",IF('ORDENES'!$N838="","-",'ORDENES'!$N838))</f>
        <v/>
      </c>
      <c r="N860" s="3">
        <f>IF('ORDENES'!$A838="","",'ORDENES'!$AD838)</f>
        <v/>
      </c>
    </row>
    <row r="861">
      <c r="A861" s="3">
        <f>IF('ORDENES'!$A839="","",IF('ORDENES'!$O839="","-",'ORDENES'!$O839))</f>
        <v/>
      </c>
      <c r="B861" s="3">
        <f>IF('ORDENES'!$A839="","",IF('ORDENES'!$R839="","-",'ORDENES'!$R839))</f>
        <v/>
      </c>
      <c r="C861" s="3">
        <f>IF('ORDENES'!$A839="","",IF('ORDENES'!$AF839="","-",'ORDENES'!$AF839))</f>
        <v/>
      </c>
      <c r="D861" s="3">
        <f>IF('ORDENES'!$A839="","",IF('ORDENES'!$X839="","-",'ORDENES'!$X839))</f>
        <v/>
      </c>
      <c r="E861" s="3">
        <f>IF('ORDENES'!$A839="","",IF('ORDENES'!$V839="","-",'ORDENES'!$V839))</f>
        <v/>
      </c>
      <c r="F861" s="3">
        <f>IF('ORDENES'!$A839="","",IF('ORDENES'!$Y839="","-",'ORDENES'!$Y839))</f>
        <v/>
      </c>
      <c r="G861" s="3">
        <f>IF('ORDENES'!$A839="","",IF('ORDENES'!$W839="","-",'ORDENES'!$W839))</f>
        <v/>
      </c>
      <c r="H861" s="3">
        <f>IF('ORDENES'!$A839="","",IF('ORDENES'!$AE839="","-",'ORDENES'!$AE839))</f>
        <v/>
      </c>
      <c r="I861" s="3">
        <f>IF('ORDENES'!$A839="","",IF('ORDENES'!$AQ839="","-",'ORDENES'!$AQ839))</f>
        <v/>
      </c>
      <c r="J861" s="3">
        <f>IF('ORDENES'!$A839="","",IF('ORDENES'!$D839="","-",'ORDENES'!$D839))</f>
        <v/>
      </c>
      <c r="K861" s="3">
        <f>IF('ORDENES'!$A839="","",IF('ORDENES'!$E839="","-",'ORDENES'!$E839))</f>
        <v/>
      </c>
      <c r="L861" s="13">
        <f>IF('ORDENES'!$A839="","",IF('ORDENES'!$M839="",0,'ORDENES'!$M839))</f>
        <v/>
      </c>
      <c r="M861" s="3">
        <f>IF('ORDENES'!$A839="","",IF('ORDENES'!$N839="","-",'ORDENES'!$N839))</f>
        <v/>
      </c>
      <c r="N861" s="3">
        <f>IF('ORDENES'!$A839="","",'ORDENES'!$AD839)</f>
        <v/>
      </c>
    </row>
    <row r="862">
      <c r="A862" s="3">
        <f>IF('ORDENES'!$A840="","",IF('ORDENES'!$O840="","-",'ORDENES'!$O840))</f>
        <v/>
      </c>
      <c r="B862" s="3">
        <f>IF('ORDENES'!$A840="","",IF('ORDENES'!$R840="","-",'ORDENES'!$R840))</f>
        <v/>
      </c>
      <c r="C862" s="3">
        <f>IF('ORDENES'!$A840="","",IF('ORDENES'!$AF840="","-",'ORDENES'!$AF840))</f>
        <v/>
      </c>
      <c r="D862" s="3">
        <f>IF('ORDENES'!$A840="","",IF('ORDENES'!$X840="","-",'ORDENES'!$X840))</f>
        <v/>
      </c>
      <c r="E862" s="3">
        <f>IF('ORDENES'!$A840="","",IF('ORDENES'!$V840="","-",'ORDENES'!$V840))</f>
        <v/>
      </c>
      <c r="F862" s="3">
        <f>IF('ORDENES'!$A840="","",IF('ORDENES'!$Y840="","-",'ORDENES'!$Y840))</f>
        <v/>
      </c>
      <c r="G862" s="3">
        <f>IF('ORDENES'!$A840="","",IF('ORDENES'!$W840="","-",'ORDENES'!$W840))</f>
        <v/>
      </c>
      <c r="H862" s="3">
        <f>IF('ORDENES'!$A840="","",IF('ORDENES'!$AE840="","-",'ORDENES'!$AE840))</f>
        <v/>
      </c>
      <c r="I862" s="3">
        <f>IF('ORDENES'!$A840="","",IF('ORDENES'!$AQ840="","-",'ORDENES'!$AQ840))</f>
        <v/>
      </c>
      <c r="J862" s="3">
        <f>IF('ORDENES'!$A840="","",IF('ORDENES'!$D840="","-",'ORDENES'!$D840))</f>
        <v/>
      </c>
      <c r="K862" s="3">
        <f>IF('ORDENES'!$A840="","",IF('ORDENES'!$E840="","-",'ORDENES'!$E840))</f>
        <v/>
      </c>
      <c r="L862" s="13">
        <f>IF('ORDENES'!$A840="","",IF('ORDENES'!$M840="",0,'ORDENES'!$M840))</f>
        <v/>
      </c>
      <c r="M862" s="3">
        <f>IF('ORDENES'!$A840="","",IF('ORDENES'!$N840="","-",'ORDENES'!$N840))</f>
        <v/>
      </c>
      <c r="N862" s="3">
        <f>IF('ORDENES'!$A840="","",'ORDENES'!$AD840)</f>
        <v/>
      </c>
    </row>
    <row r="863">
      <c r="A863" s="3">
        <f>IF('ORDENES'!$A841="","",IF('ORDENES'!$O841="","-",'ORDENES'!$O841))</f>
        <v/>
      </c>
      <c r="B863" s="3">
        <f>IF('ORDENES'!$A841="","",IF('ORDENES'!$R841="","-",'ORDENES'!$R841))</f>
        <v/>
      </c>
      <c r="C863" s="3">
        <f>IF('ORDENES'!$A841="","",IF('ORDENES'!$AF841="","-",'ORDENES'!$AF841))</f>
        <v/>
      </c>
      <c r="D863" s="3">
        <f>IF('ORDENES'!$A841="","",IF('ORDENES'!$X841="","-",'ORDENES'!$X841))</f>
        <v/>
      </c>
      <c r="E863" s="3">
        <f>IF('ORDENES'!$A841="","",IF('ORDENES'!$V841="","-",'ORDENES'!$V841))</f>
        <v/>
      </c>
      <c r="F863" s="3">
        <f>IF('ORDENES'!$A841="","",IF('ORDENES'!$Y841="","-",'ORDENES'!$Y841))</f>
        <v/>
      </c>
      <c r="G863" s="3">
        <f>IF('ORDENES'!$A841="","",IF('ORDENES'!$W841="","-",'ORDENES'!$W841))</f>
        <v/>
      </c>
      <c r="H863" s="3">
        <f>IF('ORDENES'!$A841="","",IF('ORDENES'!$AE841="","-",'ORDENES'!$AE841))</f>
        <v/>
      </c>
      <c r="I863" s="3">
        <f>IF('ORDENES'!$A841="","",IF('ORDENES'!$AQ841="","-",'ORDENES'!$AQ841))</f>
        <v/>
      </c>
      <c r="J863" s="3">
        <f>IF('ORDENES'!$A841="","",IF('ORDENES'!$D841="","-",'ORDENES'!$D841))</f>
        <v/>
      </c>
      <c r="K863" s="3">
        <f>IF('ORDENES'!$A841="","",IF('ORDENES'!$E841="","-",'ORDENES'!$E841))</f>
        <v/>
      </c>
      <c r="L863" s="13">
        <f>IF('ORDENES'!$A841="","",IF('ORDENES'!$M841="",0,'ORDENES'!$M841))</f>
        <v/>
      </c>
      <c r="M863" s="3">
        <f>IF('ORDENES'!$A841="","",IF('ORDENES'!$N841="","-",'ORDENES'!$N841))</f>
        <v/>
      </c>
      <c r="N863" s="3">
        <f>IF('ORDENES'!$A841="","",'ORDENES'!$AD841)</f>
        <v/>
      </c>
    </row>
    <row r="864">
      <c r="A864" s="3">
        <f>IF('ORDENES'!$A842="","",IF('ORDENES'!$O842="","-",'ORDENES'!$O842))</f>
        <v/>
      </c>
      <c r="B864" s="3">
        <f>IF('ORDENES'!$A842="","",IF('ORDENES'!$R842="","-",'ORDENES'!$R842))</f>
        <v/>
      </c>
      <c r="C864" s="3">
        <f>IF('ORDENES'!$A842="","",IF('ORDENES'!$AF842="","-",'ORDENES'!$AF842))</f>
        <v/>
      </c>
      <c r="D864" s="3">
        <f>IF('ORDENES'!$A842="","",IF('ORDENES'!$X842="","-",'ORDENES'!$X842))</f>
        <v/>
      </c>
      <c r="E864" s="3">
        <f>IF('ORDENES'!$A842="","",IF('ORDENES'!$V842="","-",'ORDENES'!$V842))</f>
        <v/>
      </c>
      <c r="F864" s="3">
        <f>IF('ORDENES'!$A842="","",IF('ORDENES'!$Y842="","-",'ORDENES'!$Y842))</f>
        <v/>
      </c>
      <c r="G864" s="3">
        <f>IF('ORDENES'!$A842="","",IF('ORDENES'!$W842="","-",'ORDENES'!$W842))</f>
        <v/>
      </c>
      <c r="H864" s="3">
        <f>IF('ORDENES'!$A842="","",IF('ORDENES'!$AE842="","-",'ORDENES'!$AE842))</f>
        <v/>
      </c>
      <c r="I864" s="3">
        <f>IF('ORDENES'!$A842="","",IF('ORDENES'!$AQ842="","-",'ORDENES'!$AQ842))</f>
        <v/>
      </c>
      <c r="J864" s="3">
        <f>IF('ORDENES'!$A842="","",IF('ORDENES'!$D842="","-",'ORDENES'!$D842))</f>
        <v/>
      </c>
      <c r="K864" s="3">
        <f>IF('ORDENES'!$A842="","",IF('ORDENES'!$E842="","-",'ORDENES'!$E842))</f>
        <v/>
      </c>
      <c r="L864" s="13">
        <f>IF('ORDENES'!$A842="","",IF('ORDENES'!$M842="",0,'ORDENES'!$M842))</f>
        <v/>
      </c>
      <c r="M864" s="3">
        <f>IF('ORDENES'!$A842="","",IF('ORDENES'!$N842="","-",'ORDENES'!$N842))</f>
        <v/>
      </c>
      <c r="N864" s="3">
        <f>IF('ORDENES'!$A842="","",'ORDENES'!$AD842)</f>
        <v/>
      </c>
    </row>
    <row r="865">
      <c r="A865" s="3">
        <f>IF('ORDENES'!$A843="","",IF('ORDENES'!$O843="","-",'ORDENES'!$O843))</f>
        <v/>
      </c>
      <c r="B865" s="3">
        <f>IF('ORDENES'!$A843="","",IF('ORDENES'!$R843="","-",'ORDENES'!$R843))</f>
        <v/>
      </c>
      <c r="C865" s="3">
        <f>IF('ORDENES'!$A843="","",IF('ORDENES'!$AF843="","-",'ORDENES'!$AF843))</f>
        <v/>
      </c>
      <c r="D865" s="3">
        <f>IF('ORDENES'!$A843="","",IF('ORDENES'!$X843="","-",'ORDENES'!$X843))</f>
        <v/>
      </c>
      <c r="E865" s="3">
        <f>IF('ORDENES'!$A843="","",IF('ORDENES'!$V843="","-",'ORDENES'!$V843))</f>
        <v/>
      </c>
      <c r="F865" s="3">
        <f>IF('ORDENES'!$A843="","",IF('ORDENES'!$Y843="","-",'ORDENES'!$Y843))</f>
        <v/>
      </c>
      <c r="G865" s="3">
        <f>IF('ORDENES'!$A843="","",IF('ORDENES'!$W843="","-",'ORDENES'!$W843))</f>
        <v/>
      </c>
      <c r="H865" s="3">
        <f>IF('ORDENES'!$A843="","",IF('ORDENES'!$AE843="","-",'ORDENES'!$AE843))</f>
        <v/>
      </c>
      <c r="I865" s="3">
        <f>IF('ORDENES'!$A843="","",IF('ORDENES'!$AQ843="","-",'ORDENES'!$AQ843))</f>
        <v/>
      </c>
      <c r="J865" s="3">
        <f>IF('ORDENES'!$A843="","",IF('ORDENES'!$D843="","-",'ORDENES'!$D843))</f>
        <v/>
      </c>
      <c r="K865" s="3">
        <f>IF('ORDENES'!$A843="","",IF('ORDENES'!$E843="","-",'ORDENES'!$E843))</f>
        <v/>
      </c>
      <c r="L865" s="13">
        <f>IF('ORDENES'!$A843="","",IF('ORDENES'!$M843="",0,'ORDENES'!$M843))</f>
        <v/>
      </c>
      <c r="M865" s="3">
        <f>IF('ORDENES'!$A843="","",IF('ORDENES'!$N843="","-",'ORDENES'!$N843))</f>
        <v/>
      </c>
      <c r="N865" s="3">
        <f>IF('ORDENES'!$A843="","",'ORDENES'!$AD843)</f>
        <v/>
      </c>
    </row>
    <row r="866">
      <c r="A866" s="3">
        <f>IF('ORDENES'!$A844="","",IF('ORDENES'!$O844="","-",'ORDENES'!$O844))</f>
        <v/>
      </c>
      <c r="B866" s="3">
        <f>IF('ORDENES'!$A844="","",IF('ORDENES'!$R844="","-",'ORDENES'!$R844))</f>
        <v/>
      </c>
      <c r="C866" s="3">
        <f>IF('ORDENES'!$A844="","",IF('ORDENES'!$AF844="","-",'ORDENES'!$AF844))</f>
        <v/>
      </c>
      <c r="D866" s="3">
        <f>IF('ORDENES'!$A844="","",IF('ORDENES'!$X844="","-",'ORDENES'!$X844))</f>
        <v/>
      </c>
      <c r="E866" s="3">
        <f>IF('ORDENES'!$A844="","",IF('ORDENES'!$V844="","-",'ORDENES'!$V844))</f>
        <v/>
      </c>
      <c r="F866" s="3">
        <f>IF('ORDENES'!$A844="","",IF('ORDENES'!$Y844="","-",'ORDENES'!$Y844))</f>
        <v/>
      </c>
      <c r="G866" s="3">
        <f>IF('ORDENES'!$A844="","",IF('ORDENES'!$W844="","-",'ORDENES'!$W844))</f>
        <v/>
      </c>
      <c r="H866" s="3">
        <f>IF('ORDENES'!$A844="","",IF('ORDENES'!$AE844="","-",'ORDENES'!$AE844))</f>
        <v/>
      </c>
      <c r="I866" s="3">
        <f>IF('ORDENES'!$A844="","",IF('ORDENES'!$AQ844="","-",'ORDENES'!$AQ844))</f>
        <v/>
      </c>
      <c r="J866" s="3">
        <f>IF('ORDENES'!$A844="","",IF('ORDENES'!$D844="","-",'ORDENES'!$D844))</f>
        <v/>
      </c>
      <c r="K866" s="3">
        <f>IF('ORDENES'!$A844="","",IF('ORDENES'!$E844="","-",'ORDENES'!$E844))</f>
        <v/>
      </c>
      <c r="L866" s="13">
        <f>IF('ORDENES'!$A844="","",IF('ORDENES'!$M844="",0,'ORDENES'!$M844))</f>
        <v/>
      </c>
      <c r="M866" s="3">
        <f>IF('ORDENES'!$A844="","",IF('ORDENES'!$N844="","-",'ORDENES'!$N844))</f>
        <v/>
      </c>
      <c r="N866" s="3">
        <f>IF('ORDENES'!$A844="","",'ORDENES'!$AD844)</f>
        <v/>
      </c>
    </row>
    <row r="867">
      <c r="A867" s="3">
        <f>IF('ORDENES'!$A845="","",IF('ORDENES'!$O845="","-",'ORDENES'!$O845))</f>
        <v/>
      </c>
      <c r="B867" s="3">
        <f>IF('ORDENES'!$A845="","",IF('ORDENES'!$R845="","-",'ORDENES'!$R845))</f>
        <v/>
      </c>
      <c r="C867" s="3">
        <f>IF('ORDENES'!$A845="","",IF('ORDENES'!$AF845="","-",'ORDENES'!$AF845))</f>
        <v/>
      </c>
      <c r="D867" s="3">
        <f>IF('ORDENES'!$A845="","",IF('ORDENES'!$X845="","-",'ORDENES'!$X845))</f>
        <v/>
      </c>
      <c r="E867" s="3">
        <f>IF('ORDENES'!$A845="","",IF('ORDENES'!$V845="","-",'ORDENES'!$V845))</f>
        <v/>
      </c>
      <c r="F867" s="3">
        <f>IF('ORDENES'!$A845="","",IF('ORDENES'!$Y845="","-",'ORDENES'!$Y845))</f>
        <v/>
      </c>
      <c r="G867" s="3">
        <f>IF('ORDENES'!$A845="","",IF('ORDENES'!$W845="","-",'ORDENES'!$W845))</f>
        <v/>
      </c>
      <c r="H867" s="3">
        <f>IF('ORDENES'!$A845="","",IF('ORDENES'!$AE845="","-",'ORDENES'!$AE845))</f>
        <v/>
      </c>
      <c r="I867" s="3">
        <f>IF('ORDENES'!$A845="","",IF('ORDENES'!$AQ845="","-",'ORDENES'!$AQ845))</f>
        <v/>
      </c>
      <c r="J867" s="3">
        <f>IF('ORDENES'!$A845="","",IF('ORDENES'!$D845="","-",'ORDENES'!$D845))</f>
        <v/>
      </c>
      <c r="K867" s="3">
        <f>IF('ORDENES'!$A845="","",IF('ORDENES'!$E845="","-",'ORDENES'!$E845))</f>
        <v/>
      </c>
      <c r="L867" s="13">
        <f>IF('ORDENES'!$A845="","",IF('ORDENES'!$M845="",0,'ORDENES'!$M845))</f>
        <v/>
      </c>
      <c r="M867" s="3">
        <f>IF('ORDENES'!$A845="","",IF('ORDENES'!$N845="","-",'ORDENES'!$N845))</f>
        <v/>
      </c>
      <c r="N867" s="3">
        <f>IF('ORDENES'!$A845="","",'ORDENES'!$AD845)</f>
        <v/>
      </c>
    </row>
    <row r="868">
      <c r="A868" s="3">
        <f>IF('ORDENES'!$A846="","",IF('ORDENES'!$O846="","-",'ORDENES'!$O846))</f>
        <v/>
      </c>
      <c r="B868" s="3">
        <f>IF('ORDENES'!$A846="","",IF('ORDENES'!$R846="","-",'ORDENES'!$R846))</f>
        <v/>
      </c>
      <c r="C868" s="3">
        <f>IF('ORDENES'!$A846="","",IF('ORDENES'!$AF846="","-",'ORDENES'!$AF846))</f>
        <v/>
      </c>
      <c r="D868" s="3">
        <f>IF('ORDENES'!$A846="","",IF('ORDENES'!$X846="","-",'ORDENES'!$X846))</f>
        <v/>
      </c>
      <c r="E868" s="3">
        <f>IF('ORDENES'!$A846="","",IF('ORDENES'!$V846="","-",'ORDENES'!$V846))</f>
        <v/>
      </c>
      <c r="F868" s="3">
        <f>IF('ORDENES'!$A846="","",IF('ORDENES'!$Y846="","-",'ORDENES'!$Y846))</f>
        <v/>
      </c>
      <c r="G868" s="3">
        <f>IF('ORDENES'!$A846="","",IF('ORDENES'!$W846="","-",'ORDENES'!$W846))</f>
        <v/>
      </c>
      <c r="H868" s="3">
        <f>IF('ORDENES'!$A846="","",IF('ORDENES'!$AE846="","-",'ORDENES'!$AE846))</f>
        <v/>
      </c>
      <c r="I868" s="3">
        <f>IF('ORDENES'!$A846="","",IF('ORDENES'!$AQ846="","-",'ORDENES'!$AQ846))</f>
        <v/>
      </c>
      <c r="J868" s="3">
        <f>IF('ORDENES'!$A846="","",IF('ORDENES'!$D846="","-",'ORDENES'!$D846))</f>
        <v/>
      </c>
      <c r="K868" s="3">
        <f>IF('ORDENES'!$A846="","",IF('ORDENES'!$E846="","-",'ORDENES'!$E846))</f>
        <v/>
      </c>
      <c r="L868" s="13">
        <f>IF('ORDENES'!$A846="","",IF('ORDENES'!$M846="",0,'ORDENES'!$M846))</f>
        <v/>
      </c>
      <c r="M868" s="3">
        <f>IF('ORDENES'!$A846="","",IF('ORDENES'!$N846="","-",'ORDENES'!$N846))</f>
        <v/>
      </c>
      <c r="N868" s="3">
        <f>IF('ORDENES'!$A846="","",'ORDENES'!$AD846)</f>
        <v/>
      </c>
    </row>
    <row r="869">
      <c r="A869" s="3">
        <f>IF('ORDENES'!$A847="","",IF('ORDENES'!$O847="","-",'ORDENES'!$O847))</f>
        <v/>
      </c>
      <c r="B869" s="3">
        <f>IF('ORDENES'!$A847="","",IF('ORDENES'!$R847="","-",'ORDENES'!$R847))</f>
        <v/>
      </c>
      <c r="C869" s="3">
        <f>IF('ORDENES'!$A847="","",IF('ORDENES'!$AF847="","-",'ORDENES'!$AF847))</f>
        <v/>
      </c>
      <c r="D869" s="3">
        <f>IF('ORDENES'!$A847="","",IF('ORDENES'!$X847="","-",'ORDENES'!$X847))</f>
        <v/>
      </c>
      <c r="E869" s="3">
        <f>IF('ORDENES'!$A847="","",IF('ORDENES'!$V847="","-",'ORDENES'!$V847))</f>
        <v/>
      </c>
      <c r="F869" s="3">
        <f>IF('ORDENES'!$A847="","",IF('ORDENES'!$Y847="","-",'ORDENES'!$Y847))</f>
        <v/>
      </c>
      <c r="G869" s="3">
        <f>IF('ORDENES'!$A847="","",IF('ORDENES'!$W847="","-",'ORDENES'!$W847))</f>
        <v/>
      </c>
      <c r="H869" s="3">
        <f>IF('ORDENES'!$A847="","",IF('ORDENES'!$AE847="","-",'ORDENES'!$AE847))</f>
        <v/>
      </c>
      <c r="I869" s="3">
        <f>IF('ORDENES'!$A847="","",IF('ORDENES'!$AQ847="","-",'ORDENES'!$AQ847))</f>
        <v/>
      </c>
      <c r="J869" s="3">
        <f>IF('ORDENES'!$A847="","",IF('ORDENES'!$D847="","-",'ORDENES'!$D847))</f>
        <v/>
      </c>
      <c r="K869" s="3">
        <f>IF('ORDENES'!$A847="","",IF('ORDENES'!$E847="","-",'ORDENES'!$E847))</f>
        <v/>
      </c>
      <c r="L869" s="13">
        <f>IF('ORDENES'!$A847="","",IF('ORDENES'!$M847="",0,'ORDENES'!$M847))</f>
        <v/>
      </c>
      <c r="M869" s="3">
        <f>IF('ORDENES'!$A847="","",IF('ORDENES'!$N847="","-",'ORDENES'!$N847))</f>
        <v/>
      </c>
      <c r="N869" s="3">
        <f>IF('ORDENES'!$A847="","",'ORDENES'!$AD847)</f>
        <v/>
      </c>
    </row>
    <row r="870">
      <c r="A870" s="3">
        <f>IF('ORDENES'!$A848="","",IF('ORDENES'!$O848="","-",'ORDENES'!$O848))</f>
        <v/>
      </c>
      <c r="B870" s="3">
        <f>IF('ORDENES'!$A848="","",IF('ORDENES'!$R848="","-",'ORDENES'!$R848))</f>
        <v/>
      </c>
      <c r="C870" s="3">
        <f>IF('ORDENES'!$A848="","",IF('ORDENES'!$AF848="","-",'ORDENES'!$AF848))</f>
        <v/>
      </c>
      <c r="D870" s="3">
        <f>IF('ORDENES'!$A848="","",IF('ORDENES'!$X848="","-",'ORDENES'!$X848))</f>
        <v/>
      </c>
      <c r="E870" s="3">
        <f>IF('ORDENES'!$A848="","",IF('ORDENES'!$V848="","-",'ORDENES'!$V848))</f>
        <v/>
      </c>
      <c r="F870" s="3">
        <f>IF('ORDENES'!$A848="","",IF('ORDENES'!$Y848="","-",'ORDENES'!$Y848))</f>
        <v/>
      </c>
      <c r="G870" s="3">
        <f>IF('ORDENES'!$A848="","",IF('ORDENES'!$W848="","-",'ORDENES'!$W848))</f>
        <v/>
      </c>
      <c r="H870" s="3">
        <f>IF('ORDENES'!$A848="","",IF('ORDENES'!$AE848="","-",'ORDENES'!$AE848))</f>
        <v/>
      </c>
      <c r="I870" s="3">
        <f>IF('ORDENES'!$A848="","",IF('ORDENES'!$AQ848="","-",'ORDENES'!$AQ848))</f>
        <v/>
      </c>
      <c r="J870" s="3">
        <f>IF('ORDENES'!$A848="","",IF('ORDENES'!$D848="","-",'ORDENES'!$D848))</f>
        <v/>
      </c>
      <c r="K870" s="3">
        <f>IF('ORDENES'!$A848="","",IF('ORDENES'!$E848="","-",'ORDENES'!$E848))</f>
        <v/>
      </c>
      <c r="L870" s="13">
        <f>IF('ORDENES'!$A848="","",IF('ORDENES'!$M848="",0,'ORDENES'!$M848))</f>
        <v/>
      </c>
      <c r="M870" s="3">
        <f>IF('ORDENES'!$A848="","",IF('ORDENES'!$N848="","-",'ORDENES'!$N848))</f>
        <v/>
      </c>
      <c r="N870" s="3">
        <f>IF('ORDENES'!$A848="","",'ORDENES'!$AD848)</f>
        <v/>
      </c>
    </row>
    <row r="871">
      <c r="A871" s="3">
        <f>IF('ORDENES'!$A849="","",IF('ORDENES'!$O849="","-",'ORDENES'!$O849))</f>
        <v/>
      </c>
      <c r="B871" s="3">
        <f>IF('ORDENES'!$A849="","",IF('ORDENES'!$R849="","-",'ORDENES'!$R849))</f>
        <v/>
      </c>
      <c r="C871" s="3">
        <f>IF('ORDENES'!$A849="","",IF('ORDENES'!$AF849="","-",'ORDENES'!$AF849))</f>
        <v/>
      </c>
      <c r="D871" s="3">
        <f>IF('ORDENES'!$A849="","",IF('ORDENES'!$X849="","-",'ORDENES'!$X849))</f>
        <v/>
      </c>
      <c r="E871" s="3">
        <f>IF('ORDENES'!$A849="","",IF('ORDENES'!$V849="","-",'ORDENES'!$V849))</f>
        <v/>
      </c>
      <c r="F871" s="3">
        <f>IF('ORDENES'!$A849="","",IF('ORDENES'!$Y849="","-",'ORDENES'!$Y849))</f>
        <v/>
      </c>
      <c r="G871" s="3">
        <f>IF('ORDENES'!$A849="","",IF('ORDENES'!$W849="","-",'ORDENES'!$W849))</f>
        <v/>
      </c>
      <c r="H871" s="3">
        <f>IF('ORDENES'!$A849="","",IF('ORDENES'!$AE849="","-",'ORDENES'!$AE849))</f>
        <v/>
      </c>
      <c r="I871" s="3">
        <f>IF('ORDENES'!$A849="","",IF('ORDENES'!$AQ849="","-",'ORDENES'!$AQ849))</f>
        <v/>
      </c>
      <c r="J871" s="3">
        <f>IF('ORDENES'!$A849="","",IF('ORDENES'!$D849="","-",'ORDENES'!$D849))</f>
        <v/>
      </c>
      <c r="K871" s="3">
        <f>IF('ORDENES'!$A849="","",IF('ORDENES'!$E849="","-",'ORDENES'!$E849))</f>
        <v/>
      </c>
      <c r="L871" s="13">
        <f>IF('ORDENES'!$A849="","",IF('ORDENES'!$M849="",0,'ORDENES'!$M849))</f>
        <v/>
      </c>
      <c r="M871" s="3">
        <f>IF('ORDENES'!$A849="","",IF('ORDENES'!$N849="","-",'ORDENES'!$N849))</f>
        <v/>
      </c>
      <c r="N871" s="3">
        <f>IF('ORDENES'!$A849="","",'ORDENES'!$AD849)</f>
        <v/>
      </c>
    </row>
    <row r="872">
      <c r="A872" s="3">
        <f>IF('ORDENES'!$A850="","",IF('ORDENES'!$O850="","-",'ORDENES'!$O850))</f>
        <v/>
      </c>
      <c r="B872" s="3">
        <f>IF('ORDENES'!$A850="","",IF('ORDENES'!$R850="","-",'ORDENES'!$R850))</f>
        <v/>
      </c>
      <c r="C872" s="3">
        <f>IF('ORDENES'!$A850="","",IF('ORDENES'!$AF850="","-",'ORDENES'!$AF850))</f>
        <v/>
      </c>
      <c r="D872" s="3">
        <f>IF('ORDENES'!$A850="","",IF('ORDENES'!$X850="","-",'ORDENES'!$X850))</f>
        <v/>
      </c>
      <c r="E872" s="3">
        <f>IF('ORDENES'!$A850="","",IF('ORDENES'!$V850="","-",'ORDENES'!$V850))</f>
        <v/>
      </c>
      <c r="F872" s="3">
        <f>IF('ORDENES'!$A850="","",IF('ORDENES'!$Y850="","-",'ORDENES'!$Y850))</f>
        <v/>
      </c>
      <c r="G872" s="3">
        <f>IF('ORDENES'!$A850="","",IF('ORDENES'!$W850="","-",'ORDENES'!$W850))</f>
        <v/>
      </c>
      <c r="H872" s="3">
        <f>IF('ORDENES'!$A850="","",IF('ORDENES'!$AE850="","-",'ORDENES'!$AE850))</f>
        <v/>
      </c>
      <c r="I872" s="3">
        <f>IF('ORDENES'!$A850="","",IF('ORDENES'!$AQ850="","-",'ORDENES'!$AQ850))</f>
        <v/>
      </c>
      <c r="J872" s="3">
        <f>IF('ORDENES'!$A850="","",IF('ORDENES'!$D850="","-",'ORDENES'!$D850))</f>
        <v/>
      </c>
      <c r="K872" s="3">
        <f>IF('ORDENES'!$A850="","",IF('ORDENES'!$E850="","-",'ORDENES'!$E850))</f>
        <v/>
      </c>
      <c r="L872" s="13">
        <f>IF('ORDENES'!$A850="","",IF('ORDENES'!$M850="",0,'ORDENES'!$M850))</f>
        <v/>
      </c>
      <c r="M872" s="3">
        <f>IF('ORDENES'!$A850="","",IF('ORDENES'!$N850="","-",'ORDENES'!$N850))</f>
        <v/>
      </c>
      <c r="N872" s="3">
        <f>IF('ORDENES'!$A850="","",'ORDENES'!$AD850)</f>
        <v/>
      </c>
    </row>
    <row r="873">
      <c r="A873" s="3">
        <f>IF('ORDENES'!$A851="","",IF('ORDENES'!$O851="","-",'ORDENES'!$O851))</f>
        <v/>
      </c>
      <c r="B873" s="3">
        <f>IF('ORDENES'!$A851="","",IF('ORDENES'!$R851="","-",'ORDENES'!$R851))</f>
        <v/>
      </c>
      <c r="C873" s="3">
        <f>IF('ORDENES'!$A851="","",IF('ORDENES'!$AF851="","-",'ORDENES'!$AF851))</f>
        <v/>
      </c>
      <c r="D873" s="3">
        <f>IF('ORDENES'!$A851="","",IF('ORDENES'!$X851="","-",'ORDENES'!$X851))</f>
        <v/>
      </c>
      <c r="E873" s="3">
        <f>IF('ORDENES'!$A851="","",IF('ORDENES'!$V851="","-",'ORDENES'!$V851))</f>
        <v/>
      </c>
      <c r="F873" s="3">
        <f>IF('ORDENES'!$A851="","",IF('ORDENES'!$Y851="","-",'ORDENES'!$Y851))</f>
        <v/>
      </c>
      <c r="G873" s="3">
        <f>IF('ORDENES'!$A851="","",IF('ORDENES'!$W851="","-",'ORDENES'!$W851))</f>
        <v/>
      </c>
      <c r="H873" s="3">
        <f>IF('ORDENES'!$A851="","",IF('ORDENES'!$AE851="","-",'ORDENES'!$AE851))</f>
        <v/>
      </c>
      <c r="I873" s="3">
        <f>IF('ORDENES'!$A851="","",IF('ORDENES'!$AQ851="","-",'ORDENES'!$AQ851))</f>
        <v/>
      </c>
      <c r="J873" s="3">
        <f>IF('ORDENES'!$A851="","",IF('ORDENES'!$D851="","-",'ORDENES'!$D851))</f>
        <v/>
      </c>
      <c r="K873" s="3">
        <f>IF('ORDENES'!$A851="","",IF('ORDENES'!$E851="","-",'ORDENES'!$E851))</f>
        <v/>
      </c>
      <c r="L873" s="13">
        <f>IF('ORDENES'!$A851="","",IF('ORDENES'!$M851="",0,'ORDENES'!$M851))</f>
        <v/>
      </c>
      <c r="M873" s="3">
        <f>IF('ORDENES'!$A851="","",IF('ORDENES'!$N851="","-",'ORDENES'!$N851))</f>
        <v/>
      </c>
      <c r="N873" s="3">
        <f>IF('ORDENES'!$A851="","",'ORDENES'!$AD851)</f>
        <v/>
      </c>
    </row>
    <row r="874">
      <c r="A874" s="3">
        <f>IF('ORDENES'!$A852="","",IF('ORDENES'!$O852="","-",'ORDENES'!$O852))</f>
        <v/>
      </c>
      <c r="B874" s="3">
        <f>IF('ORDENES'!$A852="","",IF('ORDENES'!$R852="","-",'ORDENES'!$R852))</f>
        <v/>
      </c>
      <c r="C874" s="3">
        <f>IF('ORDENES'!$A852="","",IF('ORDENES'!$AF852="","-",'ORDENES'!$AF852))</f>
        <v/>
      </c>
      <c r="D874" s="3">
        <f>IF('ORDENES'!$A852="","",IF('ORDENES'!$X852="","-",'ORDENES'!$X852))</f>
        <v/>
      </c>
      <c r="E874" s="3">
        <f>IF('ORDENES'!$A852="","",IF('ORDENES'!$V852="","-",'ORDENES'!$V852))</f>
        <v/>
      </c>
      <c r="F874" s="3">
        <f>IF('ORDENES'!$A852="","",IF('ORDENES'!$Y852="","-",'ORDENES'!$Y852))</f>
        <v/>
      </c>
      <c r="G874" s="3">
        <f>IF('ORDENES'!$A852="","",IF('ORDENES'!$W852="","-",'ORDENES'!$W852))</f>
        <v/>
      </c>
      <c r="H874" s="3">
        <f>IF('ORDENES'!$A852="","",IF('ORDENES'!$AE852="","-",'ORDENES'!$AE852))</f>
        <v/>
      </c>
      <c r="I874" s="3">
        <f>IF('ORDENES'!$A852="","",IF('ORDENES'!$AQ852="","-",'ORDENES'!$AQ852))</f>
        <v/>
      </c>
      <c r="J874" s="3">
        <f>IF('ORDENES'!$A852="","",IF('ORDENES'!$D852="","-",'ORDENES'!$D852))</f>
        <v/>
      </c>
      <c r="K874" s="3">
        <f>IF('ORDENES'!$A852="","",IF('ORDENES'!$E852="","-",'ORDENES'!$E852))</f>
        <v/>
      </c>
      <c r="L874" s="13">
        <f>IF('ORDENES'!$A852="","",IF('ORDENES'!$M852="",0,'ORDENES'!$M852))</f>
        <v/>
      </c>
      <c r="M874" s="3">
        <f>IF('ORDENES'!$A852="","",IF('ORDENES'!$N852="","-",'ORDENES'!$N852))</f>
        <v/>
      </c>
      <c r="N874" s="3">
        <f>IF('ORDENES'!$A852="","",'ORDENES'!$AD852)</f>
        <v/>
      </c>
    </row>
    <row r="875">
      <c r="A875" s="3">
        <f>IF('ORDENES'!$A853="","",IF('ORDENES'!$O853="","-",'ORDENES'!$O853))</f>
        <v/>
      </c>
      <c r="B875" s="3">
        <f>IF('ORDENES'!$A853="","",IF('ORDENES'!$R853="","-",'ORDENES'!$R853))</f>
        <v/>
      </c>
      <c r="C875" s="3">
        <f>IF('ORDENES'!$A853="","",IF('ORDENES'!$AF853="","-",'ORDENES'!$AF853))</f>
        <v/>
      </c>
      <c r="D875" s="3">
        <f>IF('ORDENES'!$A853="","",IF('ORDENES'!$X853="","-",'ORDENES'!$X853))</f>
        <v/>
      </c>
      <c r="E875" s="3">
        <f>IF('ORDENES'!$A853="","",IF('ORDENES'!$V853="","-",'ORDENES'!$V853))</f>
        <v/>
      </c>
      <c r="F875" s="3">
        <f>IF('ORDENES'!$A853="","",IF('ORDENES'!$Y853="","-",'ORDENES'!$Y853))</f>
        <v/>
      </c>
      <c r="G875" s="3">
        <f>IF('ORDENES'!$A853="","",IF('ORDENES'!$W853="","-",'ORDENES'!$W853))</f>
        <v/>
      </c>
      <c r="H875" s="3">
        <f>IF('ORDENES'!$A853="","",IF('ORDENES'!$AE853="","-",'ORDENES'!$AE853))</f>
        <v/>
      </c>
      <c r="I875" s="3">
        <f>IF('ORDENES'!$A853="","",IF('ORDENES'!$AQ853="","-",'ORDENES'!$AQ853))</f>
        <v/>
      </c>
      <c r="J875" s="3">
        <f>IF('ORDENES'!$A853="","",IF('ORDENES'!$D853="","-",'ORDENES'!$D853))</f>
        <v/>
      </c>
      <c r="K875" s="3">
        <f>IF('ORDENES'!$A853="","",IF('ORDENES'!$E853="","-",'ORDENES'!$E853))</f>
        <v/>
      </c>
      <c r="L875" s="13">
        <f>IF('ORDENES'!$A853="","",IF('ORDENES'!$M853="",0,'ORDENES'!$M853))</f>
        <v/>
      </c>
      <c r="M875" s="3">
        <f>IF('ORDENES'!$A853="","",IF('ORDENES'!$N853="","-",'ORDENES'!$N853))</f>
        <v/>
      </c>
      <c r="N875" s="3">
        <f>IF('ORDENES'!$A853="","",'ORDENES'!$AD853)</f>
        <v/>
      </c>
    </row>
    <row r="876">
      <c r="A876" s="3">
        <f>IF('ORDENES'!$A854="","",IF('ORDENES'!$O854="","-",'ORDENES'!$O854))</f>
        <v/>
      </c>
      <c r="B876" s="3">
        <f>IF('ORDENES'!$A854="","",IF('ORDENES'!$R854="","-",'ORDENES'!$R854))</f>
        <v/>
      </c>
      <c r="C876" s="3">
        <f>IF('ORDENES'!$A854="","",IF('ORDENES'!$AF854="","-",'ORDENES'!$AF854))</f>
        <v/>
      </c>
      <c r="D876" s="3">
        <f>IF('ORDENES'!$A854="","",IF('ORDENES'!$X854="","-",'ORDENES'!$X854))</f>
        <v/>
      </c>
      <c r="E876" s="3">
        <f>IF('ORDENES'!$A854="","",IF('ORDENES'!$V854="","-",'ORDENES'!$V854))</f>
        <v/>
      </c>
      <c r="F876" s="3">
        <f>IF('ORDENES'!$A854="","",IF('ORDENES'!$Y854="","-",'ORDENES'!$Y854))</f>
        <v/>
      </c>
      <c r="G876" s="3">
        <f>IF('ORDENES'!$A854="","",IF('ORDENES'!$W854="","-",'ORDENES'!$W854))</f>
        <v/>
      </c>
      <c r="H876" s="3">
        <f>IF('ORDENES'!$A854="","",IF('ORDENES'!$AE854="","-",'ORDENES'!$AE854))</f>
        <v/>
      </c>
      <c r="I876" s="3">
        <f>IF('ORDENES'!$A854="","",IF('ORDENES'!$AQ854="","-",'ORDENES'!$AQ854))</f>
        <v/>
      </c>
      <c r="J876" s="3">
        <f>IF('ORDENES'!$A854="","",IF('ORDENES'!$D854="","-",'ORDENES'!$D854))</f>
        <v/>
      </c>
      <c r="K876" s="3">
        <f>IF('ORDENES'!$A854="","",IF('ORDENES'!$E854="","-",'ORDENES'!$E854))</f>
        <v/>
      </c>
      <c r="L876" s="13">
        <f>IF('ORDENES'!$A854="","",IF('ORDENES'!$M854="",0,'ORDENES'!$M854))</f>
        <v/>
      </c>
      <c r="M876" s="3">
        <f>IF('ORDENES'!$A854="","",IF('ORDENES'!$N854="","-",'ORDENES'!$N854))</f>
        <v/>
      </c>
      <c r="N876" s="3">
        <f>IF('ORDENES'!$A854="","",'ORDENES'!$AD854)</f>
        <v/>
      </c>
    </row>
    <row r="877">
      <c r="A877" s="3">
        <f>IF('ORDENES'!$A855="","",IF('ORDENES'!$O855="","-",'ORDENES'!$O855))</f>
        <v/>
      </c>
      <c r="B877" s="3">
        <f>IF('ORDENES'!$A855="","",IF('ORDENES'!$R855="","-",'ORDENES'!$R855))</f>
        <v/>
      </c>
      <c r="C877" s="3">
        <f>IF('ORDENES'!$A855="","",IF('ORDENES'!$AF855="","-",'ORDENES'!$AF855))</f>
        <v/>
      </c>
      <c r="D877" s="3">
        <f>IF('ORDENES'!$A855="","",IF('ORDENES'!$X855="","-",'ORDENES'!$X855))</f>
        <v/>
      </c>
      <c r="E877" s="3">
        <f>IF('ORDENES'!$A855="","",IF('ORDENES'!$V855="","-",'ORDENES'!$V855))</f>
        <v/>
      </c>
      <c r="F877" s="3">
        <f>IF('ORDENES'!$A855="","",IF('ORDENES'!$Y855="","-",'ORDENES'!$Y855))</f>
        <v/>
      </c>
      <c r="G877" s="3">
        <f>IF('ORDENES'!$A855="","",IF('ORDENES'!$W855="","-",'ORDENES'!$W855))</f>
        <v/>
      </c>
      <c r="H877" s="3">
        <f>IF('ORDENES'!$A855="","",IF('ORDENES'!$AE855="","-",'ORDENES'!$AE855))</f>
        <v/>
      </c>
      <c r="I877" s="3">
        <f>IF('ORDENES'!$A855="","",IF('ORDENES'!$AQ855="","-",'ORDENES'!$AQ855))</f>
        <v/>
      </c>
      <c r="J877" s="3">
        <f>IF('ORDENES'!$A855="","",IF('ORDENES'!$D855="","-",'ORDENES'!$D855))</f>
        <v/>
      </c>
      <c r="K877" s="3">
        <f>IF('ORDENES'!$A855="","",IF('ORDENES'!$E855="","-",'ORDENES'!$E855))</f>
        <v/>
      </c>
      <c r="L877" s="13">
        <f>IF('ORDENES'!$A855="","",IF('ORDENES'!$M855="",0,'ORDENES'!$M855))</f>
        <v/>
      </c>
      <c r="M877" s="3">
        <f>IF('ORDENES'!$A855="","",IF('ORDENES'!$N855="","-",'ORDENES'!$N855))</f>
        <v/>
      </c>
      <c r="N877" s="3">
        <f>IF('ORDENES'!$A855="","",'ORDENES'!$AD855)</f>
        <v/>
      </c>
    </row>
    <row r="878">
      <c r="A878" s="3">
        <f>IF('ORDENES'!$A856="","",IF('ORDENES'!$O856="","-",'ORDENES'!$O856))</f>
        <v/>
      </c>
      <c r="B878" s="3">
        <f>IF('ORDENES'!$A856="","",IF('ORDENES'!$R856="","-",'ORDENES'!$R856))</f>
        <v/>
      </c>
      <c r="C878" s="3">
        <f>IF('ORDENES'!$A856="","",IF('ORDENES'!$AF856="","-",'ORDENES'!$AF856))</f>
        <v/>
      </c>
      <c r="D878" s="3">
        <f>IF('ORDENES'!$A856="","",IF('ORDENES'!$X856="","-",'ORDENES'!$X856))</f>
        <v/>
      </c>
      <c r="E878" s="3">
        <f>IF('ORDENES'!$A856="","",IF('ORDENES'!$V856="","-",'ORDENES'!$V856))</f>
        <v/>
      </c>
      <c r="F878" s="3">
        <f>IF('ORDENES'!$A856="","",IF('ORDENES'!$Y856="","-",'ORDENES'!$Y856))</f>
        <v/>
      </c>
      <c r="G878" s="3">
        <f>IF('ORDENES'!$A856="","",IF('ORDENES'!$W856="","-",'ORDENES'!$W856))</f>
        <v/>
      </c>
      <c r="H878" s="3">
        <f>IF('ORDENES'!$A856="","",IF('ORDENES'!$AE856="","-",'ORDENES'!$AE856))</f>
        <v/>
      </c>
      <c r="I878" s="3">
        <f>IF('ORDENES'!$A856="","",IF('ORDENES'!$AQ856="","-",'ORDENES'!$AQ856))</f>
        <v/>
      </c>
      <c r="J878" s="3">
        <f>IF('ORDENES'!$A856="","",IF('ORDENES'!$D856="","-",'ORDENES'!$D856))</f>
        <v/>
      </c>
      <c r="K878" s="3">
        <f>IF('ORDENES'!$A856="","",IF('ORDENES'!$E856="","-",'ORDENES'!$E856))</f>
        <v/>
      </c>
      <c r="L878" s="13">
        <f>IF('ORDENES'!$A856="","",IF('ORDENES'!$M856="",0,'ORDENES'!$M856))</f>
        <v/>
      </c>
      <c r="M878" s="3">
        <f>IF('ORDENES'!$A856="","",IF('ORDENES'!$N856="","-",'ORDENES'!$N856))</f>
        <v/>
      </c>
      <c r="N878" s="3">
        <f>IF('ORDENES'!$A856="","",'ORDENES'!$AD856)</f>
        <v/>
      </c>
    </row>
    <row r="879">
      <c r="A879" s="3">
        <f>IF('ORDENES'!$A857="","",IF('ORDENES'!$O857="","-",'ORDENES'!$O857))</f>
        <v/>
      </c>
      <c r="B879" s="3">
        <f>IF('ORDENES'!$A857="","",IF('ORDENES'!$R857="","-",'ORDENES'!$R857))</f>
        <v/>
      </c>
      <c r="C879" s="3">
        <f>IF('ORDENES'!$A857="","",IF('ORDENES'!$AF857="","-",'ORDENES'!$AF857))</f>
        <v/>
      </c>
      <c r="D879" s="3">
        <f>IF('ORDENES'!$A857="","",IF('ORDENES'!$X857="","-",'ORDENES'!$X857))</f>
        <v/>
      </c>
      <c r="E879" s="3">
        <f>IF('ORDENES'!$A857="","",IF('ORDENES'!$V857="","-",'ORDENES'!$V857))</f>
        <v/>
      </c>
      <c r="F879" s="3">
        <f>IF('ORDENES'!$A857="","",IF('ORDENES'!$Y857="","-",'ORDENES'!$Y857))</f>
        <v/>
      </c>
      <c r="G879" s="3">
        <f>IF('ORDENES'!$A857="","",IF('ORDENES'!$W857="","-",'ORDENES'!$W857))</f>
        <v/>
      </c>
      <c r="H879" s="3">
        <f>IF('ORDENES'!$A857="","",IF('ORDENES'!$AE857="","-",'ORDENES'!$AE857))</f>
        <v/>
      </c>
      <c r="I879" s="3">
        <f>IF('ORDENES'!$A857="","",IF('ORDENES'!$AQ857="","-",'ORDENES'!$AQ857))</f>
        <v/>
      </c>
      <c r="J879" s="3">
        <f>IF('ORDENES'!$A857="","",IF('ORDENES'!$D857="","-",'ORDENES'!$D857))</f>
        <v/>
      </c>
      <c r="K879" s="3">
        <f>IF('ORDENES'!$A857="","",IF('ORDENES'!$E857="","-",'ORDENES'!$E857))</f>
        <v/>
      </c>
      <c r="L879" s="13">
        <f>IF('ORDENES'!$A857="","",IF('ORDENES'!$M857="",0,'ORDENES'!$M857))</f>
        <v/>
      </c>
      <c r="M879" s="3">
        <f>IF('ORDENES'!$A857="","",IF('ORDENES'!$N857="","-",'ORDENES'!$N857))</f>
        <v/>
      </c>
      <c r="N879" s="3">
        <f>IF('ORDENES'!$A857="","",'ORDENES'!$AD857)</f>
        <v/>
      </c>
    </row>
    <row r="880">
      <c r="A880" s="3">
        <f>IF('ORDENES'!$A858="","",IF('ORDENES'!$O858="","-",'ORDENES'!$O858))</f>
        <v/>
      </c>
      <c r="B880" s="3">
        <f>IF('ORDENES'!$A858="","",IF('ORDENES'!$R858="","-",'ORDENES'!$R858))</f>
        <v/>
      </c>
      <c r="C880" s="3">
        <f>IF('ORDENES'!$A858="","",IF('ORDENES'!$AF858="","-",'ORDENES'!$AF858))</f>
        <v/>
      </c>
      <c r="D880" s="3">
        <f>IF('ORDENES'!$A858="","",IF('ORDENES'!$X858="","-",'ORDENES'!$X858))</f>
        <v/>
      </c>
      <c r="E880" s="3">
        <f>IF('ORDENES'!$A858="","",IF('ORDENES'!$V858="","-",'ORDENES'!$V858))</f>
        <v/>
      </c>
      <c r="F880" s="3">
        <f>IF('ORDENES'!$A858="","",IF('ORDENES'!$Y858="","-",'ORDENES'!$Y858))</f>
        <v/>
      </c>
      <c r="G880" s="3">
        <f>IF('ORDENES'!$A858="","",IF('ORDENES'!$W858="","-",'ORDENES'!$W858))</f>
        <v/>
      </c>
      <c r="H880" s="3">
        <f>IF('ORDENES'!$A858="","",IF('ORDENES'!$AE858="","-",'ORDENES'!$AE858))</f>
        <v/>
      </c>
      <c r="I880" s="3">
        <f>IF('ORDENES'!$A858="","",IF('ORDENES'!$AQ858="","-",'ORDENES'!$AQ858))</f>
        <v/>
      </c>
      <c r="J880" s="3">
        <f>IF('ORDENES'!$A858="","",IF('ORDENES'!$D858="","-",'ORDENES'!$D858))</f>
        <v/>
      </c>
      <c r="K880" s="3">
        <f>IF('ORDENES'!$A858="","",IF('ORDENES'!$E858="","-",'ORDENES'!$E858))</f>
        <v/>
      </c>
      <c r="L880" s="13">
        <f>IF('ORDENES'!$A858="","",IF('ORDENES'!$M858="",0,'ORDENES'!$M858))</f>
        <v/>
      </c>
      <c r="M880" s="3">
        <f>IF('ORDENES'!$A858="","",IF('ORDENES'!$N858="","-",'ORDENES'!$N858))</f>
        <v/>
      </c>
      <c r="N880" s="3">
        <f>IF('ORDENES'!$A858="","",'ORDENES'!$AD858)</f>
        <v/>
      </c>
    </row>
    <row r="881">
      <c r="A881" s="3">
        <f>IF('ORDENES'!$A859="","",IF('ORDENES'!$O859="","-",'ORDENES'!$O859))</f>
        <v/>
      </c>
      <c r="B881" s="3">
        <f>IF('ORDENES'!$A859="","",IF('ORDENES'!$R859="","-",'ORDENES'!$R859))</f>
        <v/>
      </c>
      <c r="C881" s="3">
        <f>IF('ORDENES'!$A859="","",IF('ORDENES'!$AF859="","-",'ORDENES'!$AF859))</f>
        <v/>
      </c>
      <c r="D881" s="3">
        <f>IF('ORDENES'!$A859="","",IF('ORDENES'!$X859="","-",'ORDENES'!$X859))</f>
        <v/>
      </c>
      <c r="E881" s="3">
        <f>IF('ORDENES'!$A859="","",IF('ORDENES'!$V859="","-",'ORDENES'!$V859))</f>
        <v/>
      </c>
      <c r="F881" s="3">
        <f>IF('ORDENES'!$A859="","",IF('ORDENES'!$Y859="","-",'ORDENES'!$Y859))</f>
        <v/>
      </c>
      <c r="G881" s="3">
        <f>IF('ORDENES'!$A859="","",IF('ORDENES'!$W859="","-",'ORDENES'!$W859))</f>
        <v/>
      </c>
      <c r="H881" s="3">
        <f>IF('ORDENES'!$A859="","",IF('ORDENES'!$AE859="","-",'ORDENES'!$AE859))</f>
        <v/>
      </c>
      <c r="I881" s="3">
        <f>IF('ORDENES'!$A859="","",IF('ORDENES'!$AQ859="","-",'ORDENES'!$AQ859))</f>
        <v/>
      </c>
      <c r="J881" s="3">
        <f>IF('ORDENES'!$A859="","",IF('ORDENES'!$D859="","-",'ORDENES'!$D859))</f>
        <v/>
      </c>
      <c r="K881" s="3">
        <f>IF('ORDENES'!$A859="","",IF('ORDENES'!$E859="","-",'ORDENES'!$E859))</f>
        <v/>
      </c>
      <c r="L881" s="13">
        <f>IF('ORDENES'!$A859="","",IF('ORDENES'!$M859="",0,'ORDENES'!$M859))</f>
        <v/>
      </c>
      <c r="M881" s="3">
        <f>IF('ORDENES'!$A859="","",IF('ORDENES'!$N859="","-",'ORDENES'!$N859))</f>
        <v/>
      </c>
      <c r="N881" s="3">
        <f>IF('ORDENES'!$A859="","",'ORDENES'!$AD859)</f>
        <v/>
      </c>
    </row>
    <row r="882">
      <c r="A882" s="3">
        <f>IF('ORDENES'!$A860="","",IF('ORDENES'!$O860="","-",'ORDENES'!$O860))</f>
        <v/>
      </c>
      <c r="B882" s="3">
        <f>IF('ORDENES'!$A860="","",IF('ORDENES'!$R860="","-",'ORDENES'!$R860))</f>
        <v/>
      </c>
      <c r="C882" s="3">
        <f>IF('ORDENES'!$A860="","",IF('ORDENES'!$AF860="","-",'ORDENES'!$AF860))</f>
        <v/>
      </c>
      <c r="D882" s="3">
        <f>IF('ORDENES'!$A860="","",IF('ORDENES'!$X860="","-",'ORDENES'!$X860))</f>
        <v/>
      </c>
      <c r="E882" s="3">
        <f>IF('ORDENES'!$A860="","",IF('ORDENES'!$V860="","-",'ORDENES'!$V860))</f>
        <v/>
      </c>
      <c r="F882" s="3">
        <f>IF('ORDENES'!$A860="","",IF('ORDENES'!$Y860="","-",'ORDENES'!$Y860))</f>
        <v/>
      </c>
      <c r="G882" s="3">
        <f>IF('ORDENES'!$A860="","",IF('ORDENES'!$W860="","-",'ORDENES'!$W860))</f>
        <v/>
      </c>
      <c r="H882" s="3">
        <f>IF('ORDENES'!$A860="","",IF('ORDENES'!$AE860="","-",'ORDENES'!$AE860))</f>
        <v/>
      </c>
      <c r="I882" s="3">
        <f>IF('ORDENES'!$A860="","",IF('ORDENES'!$AQ860="","-",'ORDENES'!$AQ860))</f>
        <v/>
      </c>
      <c r="J882" s="3">
        <f>IF('ORDENES'!$A860="","",IF('ORDENES'!$D860="","-",'ORDENES'!$D860))</f>
        <v/>
      </c>
      <c r="K882" s="3">
        <f>IF('ORDENES'!$A860="","",IF('ORDENES'!$E860="","-",'ORDENES'!$E860))</f>
        <v/>
      </c>
      <c r="L882" s="13">
        <f>IF('ORDENES'!$A860="","",IF('ORDENES'!$M860="",0,'ORDENES'!$M860))</f>
        <v/>
      </c>
      <c r="M882" s="3">
        <f>IF('ORDENES'!$A860="","",IF('ORDENES'!$N860="","-",'ORDENES'!$N860))</f>
        <v/>
      </c>
      <c r="N882" s="3">
        <f>IF('ORDENES'!$A860="","",'ORDENES'!$AD860)</f>
        <v/>
      </c>
    </row>
    <row r="883">
      <c r="A883" s="3">
        <f>IF('ORDENES'!$A861="","",IF('ORDENES'!$O861="","-",'ORDENES'!$O861))</f>
        <v/>
      </c>
      <c r="B883" s="3">
        <f>IF('ORDENES'!$A861="","",IF('ORDENES'!$R861="","-",'ORDENES'!$R861))</f>
        <v/>
      </c>
      <c r="C883" s="3">
        <f>IF('ORDENES'!$A861="","",IF('ORDENES'!$AF861="","-",'ORDENES'!$AF861))</f>
        <v/>
      </c>
      <c r="D883" s="3">
        <f>IF('ORDENES'!$A861="","",IF('ORDENES'!$X861="","-",'ORDENES'!$X861))</f>
        <v/>
      </c>
      <c r="E883" s="3">
        <f>IF('ORDENES'!$A861="","",IF('ORDENES'!$V861="","-",'ORDENES'!$V861))</f>
        <v/>
      </c>
      <c r="F883" s="3">
        <f>IF('ORDENES'!$A861="","",IF('ORDENES'!$Y861="","-",'ORDENES'!$Y861))</f>
        <v/>
      </c>
      <c r="G883" s="3">
        <f>IF('ORDENES'!$A861="","",IF('ORDENES'!$W861="","-",'ORDENES'!$W861))</f>
        <v/>
      </c>
      <c r="H883" s="3">
        <f>IF('ORDENES'!$A861="","",IF('ORDENES'!$AE861="","-",'ORDENES'!$AE861))</f>
        <v/>
      </c>
      <c r="I883" s="3">
        <f>IF('ORDENES'!$A861="","",IF('ORDENES'!$AQ861="","-",'ORDENES'!$AQ861))</f>
        <v/>
      </c>
      <c r="J883" s="3">
        <f>IF('ORDENES'!$A861="","",IF('ORDENES'!$D861="","-",'ORDENES'!$D861))</f>
        <v/>
      </c>
      <c r="K883" s="3">
        <f>IF('ORDENES'!$A861="","",IF('ORDENES'!$E861="","-",'ORDENES'!$E861))</f>
        <v/>
      </c>
      <c r="L883" s="13">
        <f>IF('ORDENES'!$A861="","",IF('ORDENES'!$M861="",0,'ORDENES'!$M861))</f>
        <v/>
      </c>
      <c r="M883" s="3">
        <f>IF('ORDENES'!$A861="","",IF('ORDENES'!$N861="","-",'ORDENES'!$N861))</f>
        <v/>
      </c>
      <c r="N883" s="3">
        <f>IF('ORDENES'!$A861="","",'ORDENES'!$AD861)</f>
        <v/>
      </c>
    </row>
    <row r="884">
      <c r="A884" s="3">
        <f>IF('ORDENES'!$A862="","",IF('ORDENES'!$O862="","-",'ORDENES'!$O862))</f>
        <v/>
      </c>
      <c r="B884" s="3">
        <f>IF('ORDENES'!$A862="","",IF('ORDENES'!$R862="","-",'ORDENES'!$R862))</f>
        <v/>
      </c>
      <c r="C884" s="3">
        <f>IF('ORDENES'!$A862="","",IF('ORDENES'!$AF862="","-",'ORDENES'!$AF862))</f>
        <v/>
      </c>
      <c r="D884" s="3">
        <f>IF('ORDENES'!$A862="","",IF('ORDENES'!$X862="","-",'ORDENES'!$X862))</f>
        <v/>
      </c>
      <c r="E884" s="3">
        <f>IF('ORDENES'!$A862="","",IF('ORDENES'!$V862="","-",'ORDENES'!$V862))</f>
        <v/>
      </c>
      <c r="F884" s="3">
        <f>IF('ORDENES'!$A862="","",IF('ORDENES'!$Y862="","-",'ORDENES'!$Y862))</f>
        <v/>
      </c>
      <c r="G884" s="3">
        <f>IF('ORDENES'!$A862="","",IF('ORDENES'!$W862="","-",'ORDENES'!$W862))</f>
        <v/>
      </c>
      <c r="H884" s="3">
        <f>IF('ORDENES'!$A862="","",IF('ORDENES'!$AE862="","-",'ORDENES'!$AE862))</f>
        <v/>
      </c>
      <c r="I884" s="3">
        <f>IF('ORDENES'!$A862="","",IF('ORDENES'!$AQ862="","-",'ORDENES'!$AQ862))</f>
        <v/>
      </c>
      <c r="J884" s="3">
        <f>IF('ORDENES'!$A862="","",IF('ORDENES'!$D862="","-",'ORDENES'!$D862))</f>
        <v/>
      </c>
      <c r="K884" s="3">
        <f>IF('ORDENES'!$A862="","",IF('ORDENES'!$E862="","-",'ORDENES'!$E862))</f>
        <v/>
      </c>
      <c r="L884" s="13">
        <f>IF('ORDENES'!$A862="","",IF('ORDENES'!$M862="",0,'ORDENES'!$M862))</f>
        <v/>
      </c>
      <c r="M884" s="3">
        <f>IF('ORDENES'!$A862="","",IF('ORDENES'!$N862="","-",'ORDENES'!$N862))</f>
        <v/>
      </c>
      <c r="N884" s="3">
        <f>IF('ORDENES'!$A862="","",'ORDENES'!$AD862)</f>
        <v/>
      </c>
    </row>
    <row r="885">
      <c r="A885" s="3">
        <f>IF('ORDENES'!$A863="","",IF('ORDENES'!$O863="","-",'ORDENES'!$O863))</f>
        <v/>
      </c>
      <c r="B885" s="3">
        <f>IF('ORDENES'!$A863="","",IF('ORDENES'!$R863="","-",'ORDENES'!$R863))</f>
        <v/>
      </c>
      <c r="C885" s="3">
        <f>IF('ORDENES'!$A863="","",IF('ORDENES'!$AF863="","-",'ORDENES'!$AF863))</f>
        <v/>
      </c>
      <c r="D885" s="3">
        <f>IF('ORDENES'!$A863="","",IF('ORDENES'!$X863="","-",'ORDENES'!$X863))</f>
        <v/>
      </c>
      <c r="E885" s="3">
        <f>IF('ORDENES'!$A863="","",IF('ORDENES'!$V863="","-",'ORDENES'!$V863))</f>
        <v/>
      </c>
      <c r="F885" s="3">
        <f>IF('ORDENES'!$A863="","",IF('ORDENES'!$Y863="","-",'ORDENES'!$Y863))</f>
        <v/>
      </c>
      <c r="G885" s="3">
        <f>IF('ORDENES'!$A863="","",IF('ORDENES'!$W863="","-",'ORDENES'!$W863))</f>
        <v/>
      </c>
      <c r="H885" s="3">
        <f>IF('ORDENES'!$A863="","",IF('ORDENES'!$AE863="","-",'ORDENES'!$AE863))</f>
        <v/>
      </c>
      <c r="I885" s="3">
        <f>IF('ORDENES'!$A863="","",IF('ORDENES'!$AQ863="","-",'ORDENES'!$AQ863))</f>
        <v/>
      </c>
      <c r="J885" s="3">
        <f>IF('ORDENES'!$A863="","",IF('ORDENES'!$D863="","-",'ORDENES'!$D863))</f>
        <v/>
      </c>
      <c r="K885" s="3">
        <f>IF('ORDENES'!$A863="","",IF('ORDENES'!$E863="","-",'ORDENES'!$E863))</f>
        <v/>
      </c>
      <c r="L885" s="13">
        <f>IF('ORDENES'!$A863="","",IF('ORDENES'!$M863="",0,'ORDENES'!$M863))</f>
        <v/>
      </c>
      <c r="M885" s="3">
        <f>IF('ORDENES'!$A863="","",IF('ORDENES'!$N863="","-",'ORDENES'!$N863))</f>
        <v/>
      </c>
      <c r="N885" s="3">
        <f>IF('ORDENES'!$A863="","",'ORDENES'!$AD863)</f>
        <v/>
      </c>
    </row>
    <row r="886">
      <c r="A886" s="3">
        <f>IF('ORDENES'!$A864="","",IF('ORDENES'!$O864="","-",'ORDENES'!$O864))</f>
        <v/>
      </c>
      <c r="B886" s="3">
        <f>IF('ORDENES'!$A864="","",IF('ORDENES'!$R864="","-",'ORDENES'!$R864))</f>
        <v/>
      </c>
      <c r="C886" s="3">
        <f>IF('ORDENES'!$A864="","",IF('ORDENES'!$AF864="","-",'ORDENES'!$AF864))</f>
        <v/>
      </c>
      <c r="D886" s="3">
        <f>IF('ORDENES'!$A864="","",IF('ORDENES'!$X864="","-",'ORDENES'!$X864))</f>
        <v/>
      </c>
      <c r="E886" s="3">
        <f>IF('ORDENES'!$A864="","",IF('ORDENES'!$V864="","-",'ORDENES'!$V864))</f>
        <v/>
      </c>
      <c r="F886" s="3">
        <f>IF('ORDENES'!$A864="","",IF('ORDENES'!$Y864="","-",'ORDENES'!$Y864))</f>
        <v/>
      </c>
      <c r="G886" s="3">
        <f>IF('ORDENES'!$A864="","",IF('ORDENES'!$W864="","-",'ORDENES'!$W864))</f>
        <v/>
      </c>
      <c r="H886" s="3">
        <f>IF('ORDENES'!$A864="","",IF('ORDENES'!$AE864="","-",'ORDENES'!$AE864))</f>
        <v/>
      </c>
      <c r="I886" s="3">
        <f>IF('ORDENES'!$A864="","",IF('ORDENES'!$AQ864="","-",'ORDENES'!$AQ864))</f>
        <v/>
      </c>
      <c r="J886" s="3">
        <f>IF('ORDENES'!$A864="","",IF('ORDENES'!$D864="","-",'ORDENES'!$D864))</f>
        <v/>
      </c>
      <c r="K886" s="3">
        <f>IF('ORDENES'!$A864="","",IF('ORDENES'!$E864="","-",'ORDENES'!$E864))</f>
        <v/>
      </c>
      <c r="L886" s="13">
        <f>IF('ORDENES'!$A864="","",IF('ORDENES'!$M864="",0,'ORDENES'!$M864))</f>
        <v/>
      </c>
      <c r="M886" s="3">
        <f>IF('ORDENES'!$A864="","",IF('ORDENES'!$N864="","-",'ORDENES'!$N864))</f>
        <v/>
      </c>
      <c r="N886" s="3">
        <f>IF('ORDENES'!$A864="","",'ORDENES'!$AD864)</f>
        <v/>
      </c>
    </row>
    <row r="887">
      <c r="A887" s="3">
        <f>IF('ORDENES'!$A865="","",IF('ORDENES'!$O865="","-",'ORDENES'!$O865))</f>
        <v/>
      </c>
      <c r="B887" s="3">
        <f>IF('ORDENES'!$A865="","",IF('ORDENES'!$R865="","-",'ORDENES'!$R865))</f>
        <v/>
      </c>
      <c r="C887" s="3">
        <f>IF('ORDENES'!$A865="","",IF('ORDENES'!$AF865="","-",'ORDENES'!$AF865))</f>
        <v/>
      </c>
      <c r="D887" s="3">
        <f>IF('ORDENES'!$A865="","",IF('ORDENES'!$X865="","-",'ORDENES'!$X865))</f>
        <v/>
      </c>
      <c r="E887" s="3">
        <f>IF('ORDENES'!$A865="","",IF('ORDENES'!$V865="","-",'ORDENES'!$V865))</f>
        <v/>
      </c>
      <c r="F887" s="3">
        <f>IF('ORDENES'!$A865="","",IF('ORDENES'!$Y865="","-",'ORDENES'!$Y865))</f>
        <v/>
      </c>
      <c r="G887" s="3">
        <f>IF('ORDENES'!$A865="","",IF('ORDENES'!$W865="","-",'ORDENES'!$W865))</f>
        <v/>
      </c>
      <c r="H887" s="3">
        <f>IF('ORDENES'!$A865="","",IF('ORDENES'!$AE865="","-",'ORDENES'!$AE865))</f>
        <v/>
      </c>
      <c r="I887" s="3">
        <f>IF('ORDENES'!$A865="","",IF('ORDENES'!$AQ865="","-",'ORDENES'!$AQ865))</f>
        <v/>
      </c>
      <c r="J887" s="3">
        <f>IF('ORDENES'!$A865="","",IF('ORDENES'!$D865="","-",'ORDENES'!$D865))</f>
        <v/>
      </c>
      <c r="K887" s="3">
        <f>IF('ORDENES'!$A865="","",IF('ORDENES'!$E865="","-",'ORDENES'!$E865))</f>
        <v/>
      </c>
      <c r="L887" s="13">
        <f>IF('ORDENES'!$A865="","",IF('ORDENES'!$M865="",0,'ORDENES'!$M865))</f>
        <v/>
      </c>
      <c r="M887" s="3">
        <f>IF('ORDENES'!$A865="","",IF('ORDENES'!$N865="","-",'ORDENES'!$N865))</f>
        <v/>
      </c>
      <c r="N887" s="3">
        <f>IF('ORDENES'!$A865="","",'ORDENES'!$AD865)</f>
        <v/>
      </c>
    </row>
    <row r="888">
      <c r="A888" s="3">
        <f>IF('ORDENES'!$A866="","",IF('ORDENES'!$O866="","-",'ORDENES'!$O866))</f>
        <v/>
      </c>
      <c r="B888" s="3">
        <f>IF('ORDENES'!$A866="","",IF('ORDENES'!$R866="","-",'ORDENES'!$R866))</f>
        <v/>
      </c>
      <c r="C888" s="3">
        <f>IF('ORDENES'!$A866="","",IF('ORDENES'!$AF866="","-",'ORDENES'!$AF866))</f>
        <v/>
      </c>
      <c r="D888" s="3">
        <f>IF('ORDENES'!$A866="","",IF('ORDENES'!$X866="","-",'ORDENES'!$X866))</f>
        <v/>
      </c>
      <c r="E888" s="3">
        <f>IF('ORDENES'!$A866="","",IF('ORDENES'!$V866="","-",'ORDENES'!$V866))</f>
        <v/>
      </c>
      <c r="F888" s="3">
        <f>IF('ORDENES'!$A866="","",IF('ORDENES'!$Y866="","-",'ORDENES'!$Y866))</f>
        <v/>
      </c>
      <c r="G888" s="3">
        <f>IF('ORDENES'!$A866="","",IF('ORDENES'!$W866="","-",'ORDENES'!$W866))</f>
        <v/>
      </c>
      <c r="H888" s="3">
        <f>IF('ORDENES'!$A866="","",IF('ORDENES'!$AE866="","-",'ORDENES'!$AE866))</f>
        <v/>
      </c>
      <c r="I888" s="3">
        <f>IF('ORDENES'!$A866="","",IF('ORDENES'!$AQ866="","-",'ORDENES'!$AQ866))</f>
        <v/>
      </c>
      <c r="J888" s="3">
        <f>IF('ORDENES'!$A866="","",IF('ORDENES'!$D866="","-",'ORDENES'!$D866))</f>
        <v/>
      </c>
      <c r="K888" s="3">
        <f>IF('ORDENES'!$A866="","",IF('ORDENES'!$E866="","-",'ORDENES'!$E866))</f>
        <v/>
      </c>
      <c r="L888" s="13">
        <f>IF('ORDENES'!$A866="","",IF('ORDENES'!$M866="",0,'ORDENES'!$M866))</f>
        <v/>
      </c>
      <c r="M888" s="3">
        <f>IF('ORDENES'!$A866="","",IF('ORDENES'!$N866="","-",'ORDENES'!$N866))</f>
        <v/>
      </c>
      <c r="N888" s="3">
        <f>IF('ORDENES'!$A866="","",'ORDENES'!$AD866)</f>
        <v/>
      </c>
    </row>
    <row r="889">
      <c r="A889" s="3">
        <f>IF('ORDENES'!$A867="","",IF('ORDENES'!$O867="","-",'ORDENES'!$O867))</f>
        <v/>
      </c>
      <c r="B889" s="3">
        <f>IF('ORDENES'!$A867="","",IF('ORDENES'!$R867="","-",'ORDENES'!$R867))</f>
        <v/>
      </c>
      <c r="C889" s="3">
        <f>IF('ORDENES'!$A867="","",IF('ORDENES'!$AF867="","-",'ORDENES'!$AF867))</f>
        <v/>
      </c>
      <c r="D889" s="3">
        <f>IF('ORDENES'!$A867="","",IF('ORDENES'!$X867="","-",'ORDENES'!$X867))</f>
        <v/>
      </c>
      <c r="E889" s="3">
        <f>IF('ORDENES'!$A867="","",IF('ORDENES'!$V867="","-",'ORDENES'!$V867))</f>
        <v/>
      </c>
      <c r="F889" s="3">
        <f>IF('ORDENES'!$A867="","",IF('ORDENES'!$Y867="","-",'ORDENES'!$Y867))</f>
        <v/>
      </c>
      <c r="G889" s="3">
        <f>IF('ORDENES'!$A867="","",IF('ORDENES'!$W867="","-",'ORDENES'!$W867))</f>
        <v/>
      </c>
      <c r="H889" s="3">
        <f>IF('ORDENES'!$A867="","",IF('ORDENES'!$AE867="","-",'ORDENES'!$AE867))</f>
        <v/>
      </c>
      <c r="I889" s="3">
        <f>IF('ORDENES'!$A867="","",IF('ORDENES'!$AQ867="","-",'ORDENES'!$AQ867))</f>
        <v/>
      </c>
      <c r="J889" s="3">
        <f>IF('ORDENES'!$A867="","",IF('ORDENES'!$D867="","-",'ORDENES'!$D867))</f>
        <v/>
      </c>
      <c r="K889" s="3">
        <f>IF('ORDENES'!$A867="","",IF('ORDENES'!$E867="","-",'ORDENES'!$E867))</f>
        <v/>
      </c>
      <c r="L889" s="13">
        <f>IF('ORDENES'!$A867="","",IF('ORDENES'!$M867="",0,'ORDENES'!$M867))</f>
        <v/>
      </c>
      <c r="M889" s="3">
        <f>IF('ORDENES'!$A867="","",IF('ORDENES'!$N867="","-",'ORDENES'!$N867))</f>
        <v/>
      </c>
      <c r="N889" s="3">
        <f>IF('ORDENES'!$A867="","",'ORDENES'!$AD867)</f>
        <v/>
      </c>
    </row>
    <row r="890">
      <c r="A890" s="3">
        <f>IF('ORDENES'!$A868="","",IF('ORDENES'!$O868="","-",'ORDENES'!$O868))</f>
        <v/>
      </c>
      <c r="B890" s="3">
        <f>IF('ORDENES'!$A868="","",IF('ORDENES'!$R868="","-",'ORDENES'!$R868))</f>
        <v/>
      </c>
      <c r="C890" s="3">
        <f>IF('ORDENES'!$A868="","",IF('ORDENES'!$AF868="","-",'ORDENES'!$AF868))</f>
        <v/>
      </c>
      <c r="D890" s="3">
        <f>IF('ORDENES'!$A868="","",IF('ORDENES'!$X868="","-",'ORDENES'!$X868))</f>
        <v/>
      </c>
      <c r="E890" s="3">
        <f>IF('ORDENES'!$A868="","",IF('ORDENES'!$V868="","-",'ORDENES'!$V868))</f>
        <v/>
      </c>
      <c r="F890" s="3">
        <f>IF('ORDENES'!$A868="","",IF('ORDENES'!$Y868="","-",'ORDENES'!$Y868))</f>
        <v/>
      </c>
      <c r="G890" s="3">
        <f>IF('ORDENES'!$A868="","",IF('ORDENES'!$W868="","-",'ORDENES'!$W868))</f>
        <v/>
      </c>
      <c r="H890" s="3">
        <f>IF('ORDENES'!$A868="","",IF('ORDENES'!$AE868="","-",'ORDENES'!$AE868))</f>
        <v/>
      </c>
      <c r="I890" s="3">
        <f>IF('ORDENES'!$A868="","",IF('ORDENES'!$AQ868="","-",'ORDENES'!$AQ868))</f>
        <v/>
      </c>
      <c r="J890" s="3">
        <f>IF('ORDENES'!$A868="","",IF('ORDENES'!$D868="","-",'ORDENES'!$D868))</f>
        <v/>
      </c>
      <c r="K890" s="3">
        <f>IF('ORDENES'!$A868="","",IF('ORDENES'!$E868="","-",'ORDENES'!$E868))</f>
        <v/>
      </c>
      <c r="L890" s="13">
        <f>IF('ORDENES'!$A868="","",IF('ORDENES'!$M868="",0,'ORDENES'!$M868))</f>
        <v/>
      </c>
      <c r="M890" s="3">
        <f>IF('ORDENES'!$A868="","",IF('ORDENES'!$N868="","-",'ORDENES'!$N868))</f>
        <v/>
      </c>
      <c r="N890" s="3">
        <f>IF('ORDENES'!$A868="","",'ORDENES'!$AD868)</f>
        <v/>
      </c>
    </row>
    <row r="891">
      <c r="A891" s="3">
        <f>IF('ORDENES'!$A869="","",IF('ORDENES'!$O869="","-",'ORDENES'!$O869))</f>
        <v/>
      </c>
      <c r="B891" s="3">
        <f>IF('ORDENES'!$A869="","",IF('ORDENES'!$R869="","-",'ORDENES'!$R869))</f>
        <v/>
      </c>
      <c r="C891" s="3">
        <f>IF('ORDENES'!$A869="","",IF('ORDENES'!$AF869="","-",'ORDENES'!$AF869))</f>
        <v/>
      </c>
      <c r="D891" s="3">
        <f>IF('ORDENES'!$A869="","",IF('ORDENES'!$X869="","-",'ORDENES'!$X869))</f>
        <v/>
      </c>
      <c r="E891" s="3">
        <f>IF('ORDENES'!$A869="","",IF('ORDENES'!$V869="","-",'ORDENES'!$V869))</f>
        <v/>
      </c>
      <c r="F891" s="3">
        <f>IF('ORDENES'!$A869="","",IF('ORDENES'!$Y869="","-",'ORDENES'!$Y869))</f>
        <v/>
      </c>
      <c r="G891" s="3">
        <f>IF('ORDENES'!$A869="","",IF('ORDENES'!$W869="","-",'ORDENES'!$W869))</f>
        <v/>
      </c>
      <c r="H891" s="3">
        <f>IF('ORDENES'!$A869="","",IF('ORDENES'!$AE869="","-",'ORDENES'!$AE869))</f>
        <v/>
      </c>
      <c r="I891" s="3">
        <f>IF('ORDENES'!$A869="","",IF('ORDENES'!$AQ869="","-",'ORDENES'!$AQ869))</f>
        <v/>
      </c>
      <c r="J891" s="3">
        <f>IF('ORDENES'!$A869="","",IF('ORDENES'!$D869="","-",'ORDENES'!$D869))</f>
        <v/>
      </c>
      <c r="K891" s="3">
        <f>IF('ORDENES'!$A869="","",IF('ORDENES'!$E869="","-",'ORDENES'!$E869))</f>
        <v/>
      </c>
      <c r="L891" s="13">
        <f>IF('ORDENES'!$A869="","",IF('ORDENES'!$M869="",0,'ORDENES'!$M869))</f>
        <v/>
      </c>
      <c r="M891" s="3">
        <f>IF('ORDENES'!$A869="","",IF('ORDENES'!$N869="","-",'ORDENES'!$N869))</f>
        <v/>
      </c>
      <c r="N891" s="3">
        <f>IF('ORDENES'!$A869="","",'ORDENES'!$AD869)</f>
        <v/>
      </c>
    </row>
    <row r="892">
      <c r="A892" s="3">
        <f>IF('ORDENES'!$A870="","",IF('ORDENES'!$O870="","-",'ORDENES'!$O870))</f>
        <v/>
      </c>
      <c r="B892" s="3">
        <f>IF('ORDENES'!$A870="","",IF('ORDENES'!$R870="","-",'ORDENES'!$R870))</f>
        <v/>
      </c>
      <c r="C892" s="3">
        <f>IF('ORDENES'!$A870="","",IF('ORDENES'!$AF870="","-",'ORDENES'!$AF870))</f>
        <v/>
      </c>
      <c r="D892" s="3">
        <f>IF('ORDENES'!$A870="","",IF('ORDENES'!$X870="","-",'ORDENES'!$X870))</f>
        <v/>
      </c>
      <c r="E892" s="3">
        <f>IF('ORDENES'!$A870="","",IF('ORDENES'!$V870="","-",'ORDENES'!$V870))</f>
        <v/>
      </c>
      <c r="F892" s="3">
        <f>IF('ORDENES'!$A870="","",IF('ORDENES'!$Y870="","-",'ORDENES'!$Y870))</f>
        <v/>
      </c>
      <c r="G892" s="3">
        <f>IF('ORDENES'!$A870="","",IF('ORDENES'!$W870="","-",'ORDENES'!$W870))</f>
        <v/>
      </c>
      <c r="H892" s="3">
        <f>IF('ORDENES'!$A870="","",IF('ORDENES'!$AE870="","-",'ORDENES'!$AE870))</f>
        <v/>
      </c>
      <c r="I892" s="3">
        <f>IF('ORDENES'!$A870="","",IF('ORDENES'!$AQ870="","-",'ORDENES'!$AQ870))</f>
        <v/>
      </c>
      <c r="J892" s="3">
        <f>IF('ORDENES'!$A870="","",IF('ORDENES'!$D870="","-",'ORDENES'!$D870))</f>
        <v/>
      </c>
      <c r="K892" s="3">
        <f>IF('ORDENES'!$A870="","",IF('ORDENES'!$E870="","-",'ORDENES'!$E870))</f>
        <v/>
      </c>
      <c r="L892" s="13">
        <f>IF('ORDENES'!$A870="","",IF('ORDENES'!$M870="",0,'ORDENES'!$M870))</f>
        <v/>
      </c>
      <c r="M892" s="3">
        <f>IF('ORDENES'!$A870="","",IF('ORDENES'!$N870="","-",'ORDENES'!$N870))</f>
        <v/>
      </c>
      <c r="N892" s="3">
        <f>IF('ORDENES'!$A870="","",'ORDENES'!$AD870)</f>
        <v/>
      </c>
    </row>
    <row r="893">
      <c r="A893" s="3">
        <f>IF('ORDENES'!$A871="","",IF('ORDENES'!$O871="","-",'ORDENES'!$O871))</f>
        <v/>
      </c>
      <c r="B893" s="3">
        <f>IF('ORDENES'!$A871="","",IF('ORDENES'!$R871="","-",'ORDENES'!$R871))</f>
        <v/>
      </c>
      <c r="C893" s="3">
        <f>IF('ORDENES'!$A871="","",IF('ORDENES'!$AF871="","-",'ORDENES'!$AF871))</f>
        <v/>
      </c>
      <c r="D893" s="3">
        <f>IF('ORDENES'!$A871="","",IF('ORDENES'!$X871="","-",'ORDENES'!$X871))</f>
        <v/>
      </c>
      <c r="E893" s="3">
        <f>IF('ORDENES'!$A871="","",IF('ORDENES'!$V871="","-",'ORDENES'!$V871))</f>
        <v/>
      </c>
      <c r="F893" s="3">
        <f>IF('ORDENES'!$A871="","",IF('ORDENES'!$Y871="","-",'ORDENES'!$Y871))</f>
        <v/>
      </c>
      <c r="G893" s="3">
        <f>IF('ORDENES'!$A871="","",IF('ORDENES'!$W871="","-",'ORDENES'!$W871))</f>
        <v/>
      </c>
      <c r="H893" s="3">
        <f>IF('ORDENES'!$A871="","",IF('ORDENES'!$AE871="","-",'ORDENES'!$AE871))</f>
        <v/>
      </c>
      <c r="I893" s="3">
        <f>IF('ORDENES'!$A871="","",IF('ORDENES'!$AQ871="","-",'ORDENES'!$AQ871))</f>
        <v/>
      </c>
      <c r="J893" s="3">
        <f>IF('ORDENES'!$A871="","",IF('ORDENES'!$D871="","-",'ORDENES'!$D871))</f>
        <v/>
      </c>
      <c r="K893" s="3">
        <f>IF('ORDENES'!$A871="","",IF('ORDENES'!$E871="","-",'ORDENES'!$E871))</f>
        <v/>
      </c>
      <c r="L893" s="13">
        <f>IF('ORDENES'!$A871="","",IF('ORDENES'!$M871="",0,'ORDENES'!$M871))</f>
        <v/>
      </c>
      <c r="M893" s="3">
        <f>IF('ORDENES'!$A871="","",IF('ORDENES'!$N871="","-",'ORDENES'!$N871))</f>
        <v/>
      </c>
      <c r="N893" s="3">
        <f>IF('ORDENES'!$A871="","",'ORDENES'!$AD871)</f>
        <v/>
      </c>
    </row>
    <row r="894">
      <c r="A894" s="3">
        <f>IF('ORDENES'!$A872="","",IF('ORDENES'!$O872="","-",'ORDENES'!$O872))</f>
        <v/>
      </c>
      <c r="B894" s="3">
        <f>IF('ORDENES'!$A872="","",IF('ORDENES'!$R872="","-",'ORDENES'!$R872))</f>
        <v/>
      </c>
      <c r="C894" s="3">
        <f>IF('ORDENES'!$A872="","",IF('ORDENES'!$AF872="","-",'ORDENES'!$AF872))</f>
        <v/>
      </c>
      <c r="D894" s="3">
        <f>IF('ORDENES'!$A872="","",IF('ORDENES'!$X872="","-",'ORDENES'!$X872))</f>
        <v/>
      </c>
      <c r="E894" s="3">
        <f>IF('ORDENES'!$A872="","",IF('ORDENES'!$V872="","-",'ORDENES'!$V872))</f>
        <v/>
      </c>
      <c r="F894" s="3">
        <f>IF('ORDENES'!$A872="","",IF('ORDENES'!$Y872="","-",'ORDENES'!$Y872))</f>
        <v/>
      </c>
      <c r="G894" s="3">
        <f>IF('ORDENES'!$A872="","",IF('ORDENES'!$W872="","-",'ORDENES'!$W872))</f>
        <v/>
      </c>
      <c r="H894" s="3">
        <f>IF('ORDENES'!$A872="","",IF('ORDENES'!$AE872="","-",'ORDENES'!$AE872))</f>
        <v/>
      </c>
      <c r="I894" s="3">
        <f>IF('ORDENES'!$A872="","",IF('ORDENES'!$AQ872="","-",'ORDENES'!$AQ872))</f>
        <v/>
      </c>
      <c r="J894" s="3">
        <f>IF('ORDENES'!$A872="","",IF('ORDENES'!$D872="","-",'ORDENES'!$D872))</f>
        <v/>
      </c>
      <c r="K894" s="3">
        <f>IF('ORDENES'!$A872="","",IF('ORDENES'!$E872="","-",'ORDENES'!$E872))</f>
        <v/>
      </c>
      <c r="L894" s="13">
        <f>IF('ORDENES'!$A872="","",IF('ORDENES'!$M872="",0,'ORDENES'!$M872))</f>
        <v/>
      </c>
      <c r="M894" s="3">
        <f>IF('ORDENES'!$A872="","",IF('ORDENES'!$N872="","-",'ORDENES'!$N872))</f>
        <v/>
      </c>
      <c r="N894" s="3">
        <f>IF('ORDENES'!$A872="","",'ORDENES'!$AD872)</f>
        <v/>
      </c>
    </row>
    <row r="895">
      <c r="A895" s="3">
        <f>IF('ORDENES'!$A873="","",IF('ORDENES'!$O873="","-",'ORDENES'!$O873))</f>
        <v/>
      </c>
      <c r="B895" s="3">
        <f>IF('ORDENES'!$A873="","",IF('ORDENES'!$R873="","-",'ORDENES'!$R873))</f>
        <v/>
      </c>
      <c r="C895" s="3">
        <f>IF('ORDENES'!$A873="","",IF('ORDENES'!$AF873="","-",'ORDENES'!$AF873))</f>
        <v/>
      </c>
      <c r="D895" s="3">
        <f>IF('ORDENES'!$A873="","",IF('ORDENES'!$X873="","-",'ORDENES'!$X873))</f>
        <v/>
      </c>
      <c r="E895" s="3">
        <f>IF('ORDENES'!$A873="","",IF('ORDENES'!$V873="","-",'ORDENES'!$V873))</f>
        <v/>
      </c>
      <c r="F895" s="3">
        <f>IF('ORDENES'!$A873="","",IF('ORDENES'!$Y873="","-",'ORDENES'!$Y873))</f>
        <v/>
      </c>
      <c r="G895" s="3">
        <f>IF('ORDENES'!$A873="","",IF('ORDENES'!$W873="","-",'ORDENES'!$W873))</f>
        <v/>
      </c>
      <c r="H895" s="3">
        <f>IF('ORDENES'!$A873="","",IF('ORDENES'!$AE873="","-",'ORDENES'!$AE873))</f>
        <v/>
      </c>
      <c r="I895" s="3">
        <f>IF('ORDENES'!$A873="","",IF('ORDENES'!$AQ873="","-",'ORDENES'!$AQ873))</f>
        <v/>
      </c>
      <c r="J895" s="3">
        <f>IF('ORDENES'!$A873="","",IF('ORDENES'!$D873="","-",'ORDENES'!$D873))</f>
        <v/>
      </c>
      <c r="K895" s="3">
        <f>IF('ORDENES'!$A873="","",IF('ORDENES'!$E873="","-",'ORDENES'!$E873))</f>
        <v/>
      </c>
      <c r="L895" s="13">
        <f>IF('ORDENES'!$A873="","",IF('ORDENES'!$M873="",0,'ORDENES'!$M873))</f>
        <v/>
      </c>
      <c r="M895" s="3">
        <f>IF('ORDENES'!$A873="","",IF('ORDENES'!$N873="","-",'ORDENES'!$N873))</f>
        <v/>
      </c>
      <c r="N895" s="3">
        <f>IF('ORDENES'!$A873="","",'ORDENES'!$AD873)</f>
        <v/>
      </c>
    </row>
    <row r="896">
      <c r="A896" s="3">
        <f>IF('ORDENES'!$A874="","",IF('ORDENES'!$O874="","-",'ORDENES'!$O874))</f>
        <v/>
      </c>
      <c r="B896" s="3">
        <f>IF('ORDENES'!$A874="","",IF('ORDENES'!$R874="","-",'ORDENES'!$R874))</f>
        <v/>
      </c>
      <c r="C896" s="3">
        <f>IF('ORDENES'!$A874="","",IF('ORDENES'!$AF874="","-",'ORDENES'!$AF874))</f>
        <v/>
      </c>
      <c r="D896" s="3">
        <f>IF('ORDENES'!$A874="","",IF('ORDENES'!$X874="","-",'ORDENES'!$X874))</f>
        <v/>
      </c>
      <c r="E896" s="3">
        <f>IF('ORDENES'!$A874="","",IF('ORDENES'!$V874="","-",'ORDENES'!$V874))</f>
        <v/>
      </c>
      <c r="F896" s="3">
        <f>IF('ORDENES'!$A874="","",IF('ORDENES'!$Y874="","-",'ORDENES'!$Y874))</f>
        <v/>
      </c>
      <c r="G896" s="3">
        <f>IF('ORDENES'!$A874="","",IF('ORDENES'!$W874="","-",'ORDENES'!$W874))</f>
        <v/>
      </c>
      <c r="H896" s="3">
        <f>IF('ORDENES'!$A874="","",IF('ORDENES'!$AE874="","-",'ORDENES'!$AE874))</f>
        <v/>
      </c>
      <c r="I896" s="3">
        <f>IF('ORDENES'!$A874="","",IF('ORDENES'!$AQ874="","-",'ORDENES'!$AQ874))</f>
        <v/>
      </c>
      <c r="J896" s="3">
        <f>IF('ORDENES'!$A874="","",IF('ORDENES'!$D874="","-",'ORDENES'!$D874))</f>
        <v/>
      </c>
      <c r="K896" s="3">
        <f>IF('ORDENES'!$A874="","",IF('ORDENES'!$E874="","-",'ORDENES'!$E874))</f>
        <v/>
      </c>
      <c r="L896" s="13">
        <f>IF('ORDENES'!$A874="","",IF('ORDENES'!$M874="",0,'ORDENES'!$M874))</f>
        <v/>
      </c>
      <c r="M896" s="3">
        <f>IF('ORDENES'!$A874="","",IF('ORDENES'!$N874="","-",'ORDENES'!$N874))</f>
        <v/>
      </c>
      <c r="N896" s="3">
        <f>IF('ORDENES'!$A874="","",'ORDENES'!$AD874)</f>
        <v/>
      </c>
    </row>
    <row r="897">
      <c r="A897" s="3">
        <f>IF('ORDENES'!$A875="","",IF('ORDENES'!$O875="","-",'ORDENES'!$O875))</f>
        <v/>
      </c>
      <c r="B897" s="3">
        <f>IF('ORDENES'!$A875="","",IF('ORDENES'!$R875="","-",'ORDENES'!$R875))</f>
        <v/>
      </c>
      <c r="C897" s="3">
        <f>IF('ORDENES'!$A875="","",IF('ORDENES'!$AF875="","-",'ORDENES'!$AF875))</f>
        <v/>
      </c>
      <c r="D897" s="3">
        <f>IF('ORDENES'!$A875="","",IF('ORDENES'!$X875="","-",'ORDENES'!$X875))</f>
        <v/>
      </c>
      <c r="E897" s="3">
        <f>IF('ORDENES'!$A875="","",IF('ORDENES'!$V875="","-",'ORDENES'!$V875))</f>
        <v/>
      </c>
      <c r="F897" s="3">
        <f>IF('ORDENES'!$A875="","",IF('ORDENES'!$Y875="","-",'ORDENES'!$Y875))</f>
        <v/>
      </c>
      <c r="G897" s="3">
        <f>IF('ORDENES'!$A875="","",IF('ORDENES'!$W875="","-",'ORDENES'!$W875))</f>
        <v/>
      </c>
      <c r="H897" s="3">
        <f>IF('ORDENES'!$A875="","",IF('ORDENES'!$AE875="","-",'ORDENES'!$AE875))</f>
        <v/>
      </c>
      <c r="I897" s="3">
        <f>IF('ORDENES'!$A875="","",IF('ORDENES'!$AQ875="","-",'ORDENES'!$AQ875))</f>
        <v/>
      </c>
      <c r="J897" s="3">
        <f>IF('ORDENES'!$A875="","",IF('ORDENES'!$D875="","-",'ORDENES'!$D875))</f>
        <v/>
      </c>
      <c r="K897" s="3">
        <f>IF('ORDENES'!$A875="","",IF('ORDENES'!$E875="","-",'ORDENES'!$E875))</f>
        <v/>
      </c>
      <c r="L897" s="13">
        <f>IF('ORDENES'!$A875="","",IF('ORDENES'!$M875="",0,'ORDENES'!$M875))</f>
        <v/>
      </c>
      <c r="M897" s="3">
        <f>IF('ORDENES'!$A875="","",IF('ORDENES'!$N875="","-",'ORDENES'!$N875))</f>
        <v/>
      </c>
      <c r="N897" s="3">
        <f>IF('ORDENES'!$A875="","",'ORDENES'!$AD875)</f>
        <v/>
      </c>
    </row>
    <row r="898">
      <c r="A898" s="3">
        <f>IF('ORDENES'!$A876="","",IF('ORDENES'!$O876="","-",'ORDENES'!$O876))</f>
        <v/>
      </c>
      <c r="B898" s="3">
        <f>IF('ORDENES'!$A876="","",IF('ORDENES'!$R876="","-",'ORDENES'!$R876))</f>
        <v/>
      </c>
      <c r="C898" s="3">
        <f>IF('ORDENES'!$A876="","",IF('ORDENES'!$AF876="","-",'ORDENES'!$AF876))</f>
        <v/>
      </c>
      <c r="D898" s="3">
        <f>IF('ORDENES'!$A876="","",IF('ORDENES'!$X876="","-",'ORDENES'!$X876))</f>
        <v/>
      </c>
      <c r="E898" s="3">
        <f>IF('ORDENES'!$A876="","",IF('ORDENES'!$V876="","-",'ORDENES'!$V876))</f>
        <v/>
      </c>
      <c r="F898" s="3">
        <f>IF('ORDENES'!$A876="","",IF('ORDENES'!$Y876="","-",'ORDENES'!$Y876))</f>
        <v/>
      </c>
      <c r="G898" s="3">
        <f>IF('ORDENES'!$A876="","",IF('ORDENES'!$W876="","-",'ORDENES'!$W876))</f>
        <v/>
      </c>
      <c r="H898" s="3">
        <f>IF('ORDENES'!$A876="","",IF('ORDENES'!$AE876="","-",'ORDENES'!$AE876))</f>
        <v/>
      </c>
      <c r="I898" s="3">
        <f>IF('ORDENES'!$A876="","",IF('ORDENES'!$AQ876="","-",'ORDENES'!$AQ876))</f>
        <v/>
      </c>
      <c r="J898" s="3">
        <f>IF('ORDENES'!$A876="","",IF('ORDENES'!$D876="","-",'ORDENES'!$D876))</f>
        <v/>
      </c>
      <c r="K898" s="3">
        <f>IF('ORDENES'!$A876="","",IF('ORDENES'!$E876="","-",'ORDENES'!$E876))</f>
        <v/>
      </c>
      <c r="L898" s="13">
        <f>IF('ORDENES'!$A876="","",IF('ORDENES'!$M876="",0,'ORDENES'!$M876))</f>
        <v/>
      </c>
      <c r="M898" s="3">
        <f>IF('ORDENES'!$A876="","",IF('ORDENES'!$N876="","-",'ORDENES'!$N876))</f>
        <v/>
      </c>
      <c r="N898" s="3">
        <f>IF('ORDENES'!$A876="","",'ORDENES'!$AD876)</f>
        <v/>
      </c>
    </row>
    <row r="899">
      <c r="A899" s="3">
        <f>IF('ORDENES'!$A877="","",IF('ORDENES'!$O877="","-",'ORDENES'!$O877))</f>
        <v/>
      </c>
      <c r="B899" s="3">
        <f>IF('ORDENES'!$A877="","",IF('ORDENES'!$R877="","-",'ORDENES'!$R877))</f>
        <v/>
      </c>
      <c r="C899" s="3">
        <f>IF('ORDENES'!$A877="","",IF('ORDENES'!$AF877="","-",'ORDENES'!$AF877))</f>
        <v/>
      </c>
      <c r="D899" s="3">
        <f>IF('ORDENES'!$A877="","",IF('ORDENES'!$X877="","-",'ORDENES'!$X877))</f>
        <v/>
      </c>
      <c r="E899" s="3">
        <f>IF('ORDENES'!$A877="","",IF('ORDENES'!$V877="","-",'ORDENES'!$V877))</f>
        <v/>
      </c>
      <c r="F899" s="3">
        <f>IF('ORDENES'!$A877="","",IF('ORDENES'!$Y877="","-",'ORDENES'!$Y877))</f>
        <v/>
      </c>
      <c r="G899" s="3">
        <f>IF('ORDENES'!$A877="","",IF('ORDENES'!$W877="","-",'ORDENES'!$W877))</f>
        <v/>
      </c>
      <c r="H899" s="3">
        <f>IF('ORDENES'!$A877="","",IF('ORDENES'!$AE877="","-",'ORDENES'!$AE877))</f>
        <v/>
      </c>
      <c r="I899" s="3">
        <f>IF('ORDENES'!$A877="","",IF('ORDENES'!$AQ877="","-",'ORDENES'!$AQ877))</f>
        <v/>
      </c>
      <c r="J899" s="3">
        <f>IF('ORDENES'!$A877="","",IF('ORDENES'!$D877="","-",'ORDENES'!$D877))</f>
        <v/>
      </c>
      <c r="K899" s="3">
        <f>IF('ORDENES'!$A877="","",IF('ORDENES'!$E877="","-",'ORDENES'!$E877))</f>
        <v/>
      </c>
      <c r="L899" s="13">
        <f>IF('ORDENES'!$A877="","",IF('ORDENES'!$M877="",0,'ORDENES'!$M877))</f>
        <v/>
      </c>
      <c r="M899" s="3">
        <f>IF('ORDENES'!$A877="","",IF('ORDENES'!$N877="","-",'ORDENES'!$N877))</f>
        <v/>
      </c>
      <c r="N899" s="3">
        <f>IF('ORDENES'!$A877="","",'ORDENES'!$AD877)</f>
        <v/>
      </c>
    </row>
    <row r="900">
      <c r="A900" s="3">
        <f>IF('ORDENES'!$A878="","",IF('ORDENES'!$O878="","-",'ORDENES'!$O878))</f>
        <v/>
      </c>
      <c r="B900" s="3">
        <f>IF('ORDENES'!$A878="","",IF('ORDENES'!$R878="","-",'ORDENES'!$R878))</f>
        <v/>
      </c>
      <c r="C900" s="3">
        <f>IF('ORDENES'!$A878="","",IF('ORDENES'!$AF878="","-",'ORDENES'!$AF878))</f>
        <v/>
      </c>
      <c r="D900" s="3">
        <f>IF('ORDENES'!$A878="","",IF('ORDENES'!$X878="","-",'ORDENES'!$X878))</f>
        <v/>
      </c>
      <c r="E900" s="3">
        <f>IF('ORDENES'!$A878="","",IF('ORDENES'!$V878="","-",'ORDENES'!$V878))</f>
        <v/>
      </c>
      <c r="F900" s="3">
        <f>IF('ORDENES'!$A878="","",IF('ORDENES'!$Y878="","-",'ORDENES'!$Y878))</f>
        <v/>
      </c>
      <c r="G900" s="3">
        <f>IF('ORDENES'!$A878="","",IF('ORDENES'!$W878="","-",'ORDENES'!$W878))</f>
        <v/>
      </c>
      <c r="H900" s="3">
        <f>IF('ORDENES'!$A878="","",IF('ORDENES'!$AE878="","-",'ORDENES'!$AE878))</f>
        <v/>
      </c>
      <c r="I900" s="3">
        <f>IF('ORDENES'!$A878="","",IF('ORDENES'!$AQ878="","-",'ORDENES'!$AQ878))</f>
        <v/>
      </c>
      <c r="J900" s="3">
        <f>IF('ORDENES'!$A878="","",IF('ORDENES'!$D878="","-",'ORDENES'!$D878))</f>
        <v/>
      </c>
      <c r="K900" s="3">
        <f>IF('ORDENES'!$A878="","",IF('ORDENES'!$E878="","-",'ORDENES'!$E878))</f>
        <v/>
      </c>
      <c r="L900" s="13">
        <f>IF('ORDENES'!$A878="","",IF('ORDENES'!$M878="",0,'ORDENES'!$M878))</f>
        <v/>
      </c>
      <c r="M900" s="3">
        <f>IF('ORDENES'!$A878="","",IF('ORDENES'!$N878="","-",'ORDENES'!$N878))</f>
        <v/>
      </c>
      <c r="N900" s="3">
        <f>IF('ORDENES'!$A878="","",'ORDENES'!$AD878)</f>
        <v/>
      </c>
    </row>
    <row r="901">
      <c r="A901" s="3">
        <f>IF('ORDENES'!$A879="","",IF('ORDENES'!$O879="","-",'ORDENES'!$O879))</f>
        <v/>
      </c>
      <c r="B901" s="3">
        <f>IF('ORDENES'!$A879="","",IF('ORDENES'!$R879="","-",'ORDENES'!$R879))</f>
        <v/>
      </c>
      <c r="C901" s="3">
        <f>IF('ORDENES'!$A879="","",IF('ORDENES'!$AF879="","-",'ORDENES'!$AF879))</f>
        <v/>
      </c>
      <c r="D901" s="3">
        <f>IF('ORDENES'!$A879="","",IF('ORDENES'!$X879="","-",'ORDENES'!$X879))</f>
        <v/>
      </c>
      <c r="E901" s="3">
        <f>IF('ORDENES'!$A879="","",IF('ORDENES'!$V879="","-",'ORDENES'!$V879))</f>
        <v/>
      </c>
      <c r="F901" s="3">
        <f>IF('ORDENES'!$A879="","",IF('ORDENES'!$Y879="","-",'ORDENES'!$Y879))</f>
        <v/>
      </c>
      <c r="G901" s="3">
        <f>IF('ORDENES'!$A879="","",IF('ORDENES'!$W879="","-",'ORDENES'!$W879))</f>
        <v/>
      </c>
      <c r="H901" s="3">
        <f>IF('ORDENES'!$A879="","",IF('ORDENES'!$AE879="","-",'ORDENES'!$AE879))</f>
        <v/>
      </c>
      <c r="I901" s="3">
        <f>IF('ORDENES'!$A879="","",IF('ORDENES'!$AQ879="","-",'ORDENES'!$AQ879))</f>
        <v/>
      </c>
      <c r="J901" s="3">
        <f>IF('ORDENES'!$A879="","",IF('ORDENES'!$D879="","-",'ORDENES'!$D879))</f>
        <v/>
      </c>
      <c r="K901" s="3">
        <f>IF('ORDENES'!$A879="","",IF('ORDENES'!$E879="","-",'ORDENES'!$E879))</f>
        <v/>
      </c>
      <c r="L901" s="13">
        <f>IF('ORDENES'!$A879="","",IF('ORDENES'!$M879="",0,'ORDENES'!$M879))</f>
        <v/>
      </c>
      <c r="M901" s="3">
        <f>IF('ORDENES'!$A879="","",IF('ORDENES'!$N879="","-",'ORDENES'!$N879))</f>
        <v/>
      </c>
      <c r="N901" s="3">
        <f>IF('ORDENES'!$A879="","",'ORDENES'!$AD879)</f>
        <v/>
      </c>
    </row>
    <row r="902">
      <c r="A902" s="3">
        <f>IF('ORDENES'!$A880="","",IF('ORDENES'!$O880="","-",'ORDENES'!$O880))</f>
        <v/>
      </c>
      <c r="B902" s="3">
        <f>IF('ORDENES'!$A880="","",IF('ORDENES'!$R880="","-",'ORDENES'!$R880))</f>
        <v/>
      </c>
      <c r="C902" s="3">
        <f>IF('ORDENES'!$A880="","",IF('ORDENES'!$AF880="","-",'ORDENES'!$AF880))</f>
        <v/>
      </c>
      <c r="D902" s="3">
        <f>IF('ORDENES'!$A880="","",IF('ORDENES'!$X880="","-",'ORDENES'!$X880))</f>
        <v/>
      </c>
      <c r="E902" s="3">
        <f>IF('ORDENES'!$A880="","",IF('ORDENES'!$V880="","-",'ORDENES'!$V880))</f>
        <v/>
      </c>
      <c r="F902" s="3">
        <f>IF('ORDENES'!$A880="","",IF('ORDENES'!$Y880="","-",'ORDENES'!$Y880))</f>
        <v/>
      </c>
      <c r="G902" s="3">
        <f>IF('ORDENES'!$A880="","",IF('ORDENES'!$W880="","-",'ORDENES'!$W880))</f>
        <v/>
      </c>
      <c r="H902" s="3">
        <f>IF('ORDENES'!$A880="","",IF('ORDENES'!$AE880="","-",'ORDENES'!$AE880))</f>
        <v/>
      </c>
      <c r="I902" s="3">
        <f>IF('ORDENES'!$A880="","",IF('ORDENES'!$AQ880="","-",'ORDENES'!$AQ880))</f>
        <v/>
      </c>
      <c r="J902" s="3">
        <f>IF('ORDENES'!$A880="","",IF('ORDENES'!$D880="","-",'ORDENES'!$D880))</f>
        <v/>
      </c>
      <c r="K902" s="3">
        <f>IF('ORDENES'!$A880="","",IF('ORDENES'!$E880="","-",'ORDENES'!$E880))</f>
        <v/>
      </c>
      <c r="L902" s="13">
        <f>IF('ORDENES'!$A880="","",IF('ORDENES'!$M880="",0,'ORDENES'!$M880))</f>
        <v/>
      </c>
      <c r="M902" s="3">
        <f>IF('ORDENES'!$A880="","",IF('ORDENES'!$N880="","-",'ORDENES'!$N880))</f>
        <v/>
      </c>
      <c r="N902" s="3">
        <f>IF('ORDENES'!$A880="","",'ORDENES'!$AD880)</f>
        <v/>
      </c>
    </row>
    <row r="903">
      <c r="A903" s="3">
        <f>IF('ORDENES'!$A881="","",IF('ORDENES'!$O881="","-",'ORDENES'!$O881))</f>
        <v/>
      </c>
      <c r="B903" s="3">
        <f>IF('ORDENES'!$A881="","",IF('ORDENES'!$R881="","-",'ORDENES'!$R881))</f>
        <v/>
      </c>
      <c r="C903" s="3">
        <f>IF('ORDENES'!$A881="","",IF('ORDENES'!$AF881="","-",'ORDENES'!$AF881))</f>
        <v/>
      </c>
      <c r="D903" s="3">
        <f>IF('ORDENES'!$A881="","",IF('ORDENES'!$X881="","-",'ORDENES'!$X881))</f>
        <v/>
      </c>
      <c r="E903" s="3">
        <f>IF('ORDENES'!$A881="","",IF('ORDENES'!$V881="","-",'ORDENES'!$V881))</f>
        <v/>
      </c>
      <c r="F903" s="3">
        <f>IF('ORDENES'!$A881="","",IF('ORDENES'!$Y881="","-",'ORDENES'!$Y881))</f>
        <v/>
      </c>
      <c r="G903" s="3">
        <f>IF('ORDENES'!$A881="","",IF('ORDENES'!$W881="","-",'ORDENES'!$W881))</f>
        <v/>
      </c>
      <c r="H903" s="3">
        <f>IF('ORDENES'!$A881="","",IF('ORDENES'!$AE881="","-",'ORDENES'!$AE881))</f>
        <v/>
      </c>
      <c r="I903" s="3">
        <f>IF('ORDENES'!$A881="","",IF('ORDENES'!$AQ881="","-",'ORDENES'!$AQ881))</f>
        <v/>
      </c>
      <c r="J903" s="3">
        <f>IF('ORDENES'!$A881="","",IF('ORDENES'!$D881="","-",'ORDENES'!$D881))</f>
        <v/>
      </c>
      <c r="K903" s="3">
        <f>IF('ORDENES'!$A881="","",IF('ORDENES'!$E881="","-",'ORDENES'!$E881))</f>
        <v/>
      </c>
      <c r="L903" s="13">
        <f>IF('ORDENES'!$A881="","",IF('ORDENES'!$M881="",0,'ORDENES'!$M881))</f>
        <v/>
      </c>
      <c r="M903" s="3">
        <f>IF('ORDENES'!$A881="","",IF('ORDENES'!$N881="","-",'ORDENES'!$N881))</f>
        <v/>
      </c>
      <c r="N903" s="3">
        <f>IF('ORDENES'!$A881="","",'ORDENES'!$AD881)</f>
        <v/>
      </c>
    </row>
    <row r="904">
      <c r="A904" s="3">
        <f>IF('ORDENES'!$A882="","",IF('ORDENES'!$O882="","-",'ORDENES'!$O882))</f>
        <v/>
      </c>
      <c r="B904" s="3">
        <f>IF('ORDENES'!$A882="","",IF('ORDENES'!$R882="","-",'ORDENES'!$R882))</f>
        <v/>
      </c>
      <c r="C904" s="3">
        <f>IF('ORDENES'!$A882="","",IF('ORDENES'!$AF882="","-",'ORDENES'!$AF882))</f>
        <v/>
      </c>
      <c r="D904" s="3">
        <f>IF('ORDENES'!$A882="","",IF('ORDENES'!$X882="","-",'ORDENES'!$X882))</f>
        <v/>
      </c>
      <c r="E904" s="3">
        <f>IF('ORDENES'!$A882="","",IF('ORDENES'!$V882="","-",'ORDENES'!$V882))</f>
        <v/>
      </c>
      <c r="F904" s="3">
        <f>IF('ORDENES'!$A882="","",IF('ORDENES'!$Y882="","-",'ORDENES'!$Y882))</f>
        <v/>
      </c>
      <c r="G904" s="3">
        <f>IF('ORDENES'!$A882="","",IF('ORDENES'!$W882="","-",'ORDENES'!$W882))</f>
        <v/>
      </c>
      <c r="H904" s="3">
        <f>IF('ORDENES'!$A882="","",IF('ORDENES'!$AE882="","-",'ORDENES'!$AE882))</f>
        <v/>
      </c>
      <c r="I904" s="3">
        <f>IF('ORDENES'!$A882="","",IF('ORDENES'!$AQ882="","-",'ORDENES'!$AQ882))</f>
        <v/>
      </c>
      <c r="J904" s="3">
        <f>IF('ORDENES'!$A882="","",IF('ORDENES'!$D882="","-",'ORDENES'!$D882))</f>
        <v/>
      </c>
      <c r="K904" s="3">
        <f>IF('ORDENES'!$A882="","",IF('ORDENES'!$E882="","-",'ORDENES'!$E882))</f>
        <v/>
      </c>
      <c r="L904" s="13">
        <f>IF('ORDENES'!$A882="","",IF('ORDENES'!$M882="",0,'ORDENES'!$M882))</f>
        <v/>
      </c>
      <c r="M904" s="3">
        <f>IF('ORDENES'!$A882="","",IF('ORDENES'!$N882="","-",'ORDENES'!$N882))</f>
        <v/>
      </c>
      <c r="N904" s="3">
        <f>IF('ORDENES'!$A882="","",'ORDENES'!$AD882)</f>
        <v/>
      </c>
    </row>
    <row r="905">
      <c r="A905" s="3">
        <f>IF('ORDENES'!$A883="","",IF('ORDENES'!$O883="","-",'ORDENES'!$O883))</f>
        <v/>
      </c>
      <c r="B905" s="3">
        <f>IF('ORDENES'!$A883="","",IF('ORDENES'!$R883="","-",'ORDENES'!$R883))</f>
        <v/>
      </c>
      <c r="C905" s="3">
        <f>IF('ORDENES'!$A883="","",IF('ORDENES'!$AF883="","-",'ORDENES'!$AF883))</f>
        <v/>
      </c>
      <c r="D905" s="3">
        <f>IF('ORDENES'!$A883="","",IF('ORDENES'!$X883="","-",'ORDENES'!$X883))</f>
        <v/>
      </c>
      <c r="E905" s="3">
        <f>IF('ORDENES'!$A883="","",IF('ORDENES'!$V883="","-",'ORDENES'!$V883))</f>
        <v/>
      </c>
      <c r="F905" s="3">
        <f>IF('ORDENES'!$A883="","",IF('ORDENES'!$Y883="","-",'ORDENES'!$Y883))</f>
        <v/>
      </c>
      <c r="G905" s="3">
        <f>IF('ORDENES'!$A883="","",IF('ORDENES'!$W883="","-",'ORDENES'!$W883))</f>
        <v/>
      </c>
      <c r="H905" s="3">
        <f>IF('ORDENES'!$A883="","",IF('ORDENES'!$AE883="","-",'ORDENES'!$AE883))</f>
        <v/>
      </c>
      <c r="I905" s="3">
        <f>IF('ORDENES'!$A883="","",IF('ORDENES'!$AQ883="","-",'ORDENES'!$AQ883))</f>
        <v/>
      </c>
      <c r="J905" s="3">
        <f>IF('ORDENES'!$A883="","",IF('ORDENES'!$D883="","-",'ORDENES'!$D883))</f>
        <v/>
      </c>
      <c r="K905" s="3">
        <f>IF('ORDENES'!$A883="","",IF('ORDENES'!$E883="","-",'ORDENES'!$E883))</f>
        <v/>
      </c>
      <c r="L905" s="13">
        <f>IF('ORDENES'!$A883="","",IF('ORDENES'!$M883="",0,'ORDENES'!$M883))</f>
        <v/>
      </c>
      <c r="M905" s="3">
        <f>IF('ORDENES'!$A883="","",IF('ORDENES'!$N883="","-",'ORDENES'!$N883))</f>
        <v/>
      </c>
      <c r="N905" s="3">
        <f>IF('ORDENES'!$A883="","",'ORDENES'!$AD883)</f>
        <v/>
      </c>
    </row>
    <row r="906">
      <c r="A906" s="3">
        <f>IF('ORDENES'!$A884="","",IF('ORDENES'!$O884="","-",'ORDENES'!$O884))</f>
        <v/>
      </c>
      <c r="B906" s="3">
        <f>IF('ORDENES'!$A884="","",IF('ORDENES'!$R884="","-",'ORDENES'!$R884))</f>
        <v/>
      </c>
      <c r="C906" s="3">
        <f>IF('ORDENES'!$A884="","",IF('ORDENES'!$AF884="","-",'ORDENES'!$AF884))</f>
        <v/>
      </c>
      <c r="D906" s="3">
        <f>IF('ORDENES'!$A884="","",IF('ORDENES'!$X884="","-",'ORDENES'!$X884))</f>
        <v/>
      </c>
      <c r="E906" s="3">
        <f>IF('ORDENES'!$A884="","",IF('ORDENES'!$V884="","-",'ORDENES'!$V884))</f>
        <v/>
      </c>
      <c r="F906" s="3">
        <f>IF('ORDENES'!$A884="","",IF('ORDENES'!$Y884="","-",'ORDENES'!$Y884))</f>
        <v/>
      </c>
      <c r="G906" s="3">
        <f>IF('ORDENES'!$A884="","",IF('ORDENES'!$W884="","-",'ORDENES'!$W884))</f>
        <v/>
      </c>
      <c r="H906" s="3">
        <f>IF('ORDENES'!$A884="","",IF('ORDENES'!$AE884="","-",'ORDENES'!$AE884))</f>
        <v/>
      </c>
      <c r="I906" s="3">
        <f>IF('ORDENES'!$A884="","",IF('ORDENES'!$AQ884="","-",'ORDENES'!$AQ884))</f>
        <v/>
      </c>
      <c r="J906" s="3">
        <f>IF('ORDENES'!$A884="","",IF('ORDENES'!$D884="","-",'ORDENES'!$D884))</f>
        <v/>
      </c>
      <c r="K906" s="3">
        <f>IF('ORDENES'!$A884="","",IF('ORDENES'!$E884="","-",'ORDENES'!$E884))</f>
        <v/>
      </c>
      <c r="L906" s="13">
        <f>IF('ORDENES'!$A884="","",IF('ORDENES'!$M884="",0,'ORDENES'!$M884))</f>
        <v/>
      </c>
      <c r="M906" s="3">
        <f>IF('ORDENES'!$A884="","",IF('ORDENES'!$N884="","-",'ORDENES'!$N884))</f>
        <v/>
      </c>
      <c r="N906" s="3">
        <f>IF('ORDENES'!$A884="","",'ORDENES'!$AD884)</f>
        <v/>
      </c>
    </row>
    <row r="907">
      <c r="A907" s="3">
        <f>IF('ORDENES'!$A885="","",IF('ORDENES'!$O885="","-",'ORDENES'!$O885))</f>
        <v/>
      </c>
      <c r="B907" s="3">
        <f>IF('ORDENES'!$A885="","",IF('ORDENES'!$R885="","-",'ORDENES'!$R885))</f>
        <v/>
      </c>
      <c r="C907" s="3">
        <f>IF('ORDENES'!$A885="","",IF('ORDENES'!$AF885="","-",'ORDENES'!$AF885))</f>
        <v/>
      </c>
      <c r="D907" s="3">
        <f>IF('ORDENES'!$A885="","",IF('ORDENES'!$X885="","-",'ORDENES'!$X885))</f>
        <v/>
      </c>
      <c r="E907" s="3">
        <f>IF('ORDENES'!$A885="","",IF('ORDENES'!$V885="","-",'ORDENES'!$V885))</f>
        <v/>
      </c>
      <c r="F907" s="3">
        <f>IF('ORDENES'!$A885="","",IF('ORDENES'!$Y885="","-",'ORDENES'!$Y885))</f>
        <v/>
      </c>
      <c r="G907" s="3">
        <f>IF('ORDENES'!$A885="","",IF('ORDENES'!$W885="","-",'ORDENES'!$W885))</f>
        <v/>
      </c>
      <c r="H907" s="3">
        <f>IF('ORDENES'!$A885="","",IF('ORDENES'!$AE885="","-",'ORDENES'!$AE885))</f>
        <v/>
      </c>
      <c r="I907" s="3">
        <f>IF('ORDENES'!$A885="","",IF('ORDENES'!$AQ885="","-",'ORDENES'!$AQ885))</f>
        <v/>
      </c>
      <c r="J907" s="3">
        <f>IF('ORDENES'!$A885="","",IF('ORDENES'!$D885="","-",'ORDENES'!$D885))</f>
        <v/>
      </c>
      <c r="K907" s="3">
        <f>IF('ORDENES'!$A885="","",IF('ORDENES'!$E885="","-",'ORDENES'!$E885))</f>
        <v/>
      </c>
      <c r="L907" s="13">
        <f>IF('ORDENES'!$A885="","",IF('ORDENES'!$M885="",0,'ORDENES'!$M885))</f>
        <v/>
      </c>
      <c r="M907" s="3">
        <f>IF('ORDENES'!$A885="","",IF('ORDENES'!$N885="","-",'ORDENES'!$N885))</f>
        <v/>
      </c>
      <c r="N907" s="3">
        <f>IF('ORDENES'!$A885="","",'ORDENES'!$AD885)</f>
        <v/>
      </c>
    </row>
    <row r="908">
      <c r="A908" s="3">
        <f>IF('ORDENES'!$A886="","",IF('ORDENES'!$O886="","-",'ORDENES'!$O886))</f>
        <v/>
      </c>
      <c r="B908" s="3">
        <f>IF('ORDENES'!$A886="","",IF('ORDENES'!$R886="","-",'ORDENES'!$R886))</f>
        <v/>
      </c>
      <c r="C908" s="3">
        <f>IF('ORDENES'!$A886="","",IF('ORDENES'!$AF886="","-",'ORDENES'!$AF886))</f>
        <v/>
      </c>
      <c r="D908" s="3">
        <f>IF('ORDENES'!$A886="","",IF('ORDENES'!$X886="","-",'ORDENES'!$X886))</f>
        <v/>
      </c>
      <c r="E908" s="3">
        <f>IF('ORDENES'!$A886="","",IF('ORDENES'!$V886="","-",'ORDENES'!$V886))</f>
        <v/>
      </c>
      <c r="F908" s="3">
        <f>IF('ORDENES'!$A886="","",IF('ORDENES'!$Y886="","-",'ORDENES'!$Y886))</f>
        <v/>
      </c>
      <c r="G908" s="3">
        <f>IF('ORDENES'!$A886="","",IF('ORDENES'!$W886="","-",'ORDENES'!$W886))</f>
        <v/>
      </c>
      <c r="H908" s="3">
        <f>IF('ORDENES'!$A886="","",IF('ORDENES'!$AE886="","-",'ORDENES'!$AE886))</f>
        <v/>
      </c>
      <c r="I908" s="3">
        <f>IF('ORDENES'!$A886="","",IF('ORDENES'!$AQ886="","-",'ORDENES'!$AQ886))</f>
        <v/>
      </c>
      <c r="J908" s="3">
        <f>IF('ORDENES'!$A886="","",IF('ORDENES'!$D886="","-",'ORDENES'!$D886))</f>
        <v/>
      </c>
      <c r="K908" s="3">
        <f>IF('ORDENES'!$A886="","",IF('ORDENES'!$E886="","-",'ORDENES'!$E886))</f>
        <v/>
      </c>
      <c r="L908" s="13">
        <f>IF('ORDENES'!$A886="","",IF('ORDENES'!$M886="",0,'ORDENES'!$M886))</f>
        <v/>
      </c>
      <c r="M908" s="3">
        <f>IF('ORDENES'!$A886="","",IF('ORDENES'!$N886="","-",'ORDENES'!$N886))</f>
        <v/>
      </c>
      <c r="N908" s="3">
        <f>IF('ORDENES'!$A886="","",'ORDENES'!$AD886)</f>
        <v/>
      </c>
    </row>
    <row r="909">
      <c r="A909" s="3">
        <f>IF('ORDENES'!$A887="","",IF('ORDENES'!$O887="","-",'ORDENES'!$O887))</f>
        <v/>
      </c>
      <c r="B909" s="3">
        <f>IF('ORDENES'!$A887="","",IF('ORDENES'!$R887="","-",'ORDENES'!$R887))</f>
        <v/>
      </c>
      <c r="C909" s="3">
        <f>IF('ORDENES'!$A887="","",IF('ORDENES'!$AF887="","-",'ORDENES'!$AF887))</f>
        <v/>
      </c>
      <c r="D909" s="3">
        <f>IF('ORDENES'!$A887="","",IF('ORDENES'!$X887="","-",'ORDENES'!$X887))</f>
        <v/>
      </c>
      <c r="E909" s="3">
        <f>IF('ORDENES'!$A887="","",IF('ORDENES'!$V887="","-",'ORDENES'!$V887))</f>
        <v/>
      </c>
      <c r="F909" s="3">
        <f>IF('ORDENES'!$A887="","",IF('ORDENES'!$Y887="","-",'ORDENES'!$Y887))</f>
        <v/>
      </c>
      <c r="G909" s="3">
        <f>IF('ORDENES'!$A887="","",IF('ORDENES'!$W887="","-",'ORDENES'!$W887))</f>
        <v/>
      </c>
      <c r="H909" s="3">
        <f>IF('ORDENES'!$A887="","",IF('ORDENES'!$AE887="","-",'ORDENES'!$AE887))</f>
        <v/>
      </c>
      <c r="I909" s="3">
        <f>IF('ORDENES'!$A887="","",IF('ORDENES'!$AQ887="","-",'ORDENES'!$AQ887))</f>
        <v/>
      </c>
      <c r="J909" s="3">
        <f>IF('ORDENES'!$A887="","",IF('ORDENES'!$D887="","-",'ORDENES'!$D887))</f>
        <v/>
      </c>
      <c r="K909" s="3">
        <f>IF('ORDENES'!$A887="","",IF('ORDENES'!$E887="","-",'ORDENES'!$E887))</f>
        <v/>
      </c>
      <c r="L909" s="13">
        <f>IF('ORDENES'!$A887="","",IF('ORDENES'!$M887="",0,'ORDENES'!$M887))</f>
        <v/>
      </c>
      <c r="M909" s="3">
        <f>IF('ORDENES'!$A887="","",IF('ORDENES'!$N887="","-",'ORDENES'!$N887))</f>
        <v/>
      </c>
      <c r="N909" s="3">
        <f>IF('ORDENES'!$A887="","",'ORDENES'!$AD887)</f>
        <v/>
      </c>
    </row>
    <row r="910">
      <c r="A910" s="3">
        <f>IF('ORDENES'!$A888="","",IF('ORDENES'!$O888="","-",'ORDENES'!$O888))</f>
        <v/>
      </c>
      <c r="B910" s="3">
        <f>IF('ORDENES'!$A888="","",IF('ORDENES'!$R888="","-",'ORDENES'!$R888))</f>
        <v/>
      </c>
      <c r="C910" s="3">
        <f>IF('ORDENES'!$A888="","",IF('ORDENES'!$AF888="","-",'ORDENES'!$AF888))</f>
        <v/>
      </c>
      <c r="D910" s="3">
        <f>IF('ORDENES'!$A888="","",IF('ORDENES'!$X888="","-",'ORDENES'!$X888))</f>
        <v/>
      </c>
      <c r="E910" s="3">
        <f>IF('ORDENES'!$A888="","",IF('ORDENES'!$V888="","-",'ORDENES'!$V888))</f>
        <v/>
      </c>
      <c r="F910" s="3">
        <f>IF('ORDENES'!$A888="","",IF('ORDENES'!$Y888="","-",'ORDENES'!$Y888))</f>
        <v/>
      </c>
      <c r="G910" s="3">
        <f>IF('ORDENES'!$A888="","",IF('ORDENES'!$W888="","-",'ORDENES'!$W888))</f>
        <v/>
      </c>
      <c r="H910" s="3">
        <f>IF('ORDENES'!$A888="","",IF('ORDENES'!$AE888="","-",'ORDENES'!$AE888))</f>
        <v/>
      </c>
      <c r="I910" s="3">
        <f>IF('ORDENES'!$A888="","",IF('ORDENES'!$AQ888="","-",'ORDENES'!$AQ888))</f>
        <v/>
      </c>
      <c r="J910" s="3">
        <f>IF('ORDENES'!$A888="","",IF('ORDENES'!$D888="","-",'ORDENES'!$D888))</f>
        <v/>
      </c>
      <c r="K910" s="3">
        <f>IF('ORDENES'!$A888="","",IF('ORDENES'!$E888="","-",'ORDENES'!$E888))</f>
        <v/>
      </c>
      <c r="L910" s="13">
        <f>IF('ORDENES'!$A888="","",IF('ORDENES'!$M888="",0,'ORDENES'!$M888))</f>
        <v/>
      </c>
      <c r="M910" s="3">
        <f>IF('ORDENES'!$A888="","",IF('ORDENES'!$N888="","-",'ORDENES'!$N888))</f>
        <v/>
      </c>
      <c r="N910" s="3">
        <f>IF('ORDENES'!$A888="","",'ORDENES'!$AD888)</f>
        <v/>
      </c>
    </row>
    <row r="911">
      <c r="A911" s="3">
        <f>IF('ORDENES'!$A889="","",IF('ORDENES'!$O889="","-",'ORDENES'!$O889))</f>
        <v/>
      </c>
      <c r="B911" s="3">
        <f>IF('ORDENES'!$A889="","",IF('ORDENES'!$R889="","-",'ORDENES'!$R889))</f>
        <v/>
      </c>
      <c r="C911" s="3">
        <f>IF('ORDENES'!$A889="","",IF('ORDENES'!$AF889="","-",'ORDENES'!$AF889))</f>
        <v/>
      </c>
      <c r="D911" s="3">
        <f>IF('ORDENES'!$A889="","",IF('ORDENES'!$X889="","-",'ORDENES'!$X889))</f>
        <v/>
      </c>
      <c r="E911" s="3">
        <f>IF('ORDENES'!$A889="","",IF('ORDENES'!$V889="","-",'ORDENES'!$V889))</f>
        <v/>
      </c>
      <c r="F911" s="3">
        <f>IF('ORDENES'!$A889="","",IF('ORDENES'!$Y889="","-",'ORDENES'!$Y889))</f>
        <v/>
      </c>
      <c r="G911" s="3">
        <f>IF('ORDENES'!$A889="","",IF('ORDENES'!$W889="","-",'ORDENES'!$W889))</f>
        <v/>
      </c>
      <c r="H911" s="3">
        <f>IF('ORDENES'!$A889="","",IF('ORDENES'!$AE889="","-",'ORDENES'!$AE889))</f>
        <v/>
      </c>
      <c r="I911" s="3">
        <f>IF('ORDENES'!$A889="","",IF('ORDENES'!$AQ889="","-",'ORDENES'!$AQ889))</f>
        <v/>
      </c>
      <c r="J911" s="3">
        <f>IF('ORDENES'!$A889="","",IF('ORDENES'!$D889="","-",'ORDENES'!$D889))</f>
        <v/>
      </c>
      <c r="K911" s="3">
        <f>IF('ORDENES'!$A889="","",IF('ORDENES'!$E889="","-",'ORDENES'!$E889))</f>
        <v/>
      </c>
      <c r="L911" s="13">
        <f>IF('ORDENES'!$A889="","",IF('ORDENES'!$M889="",0,'ORDENES'!$M889))</f>
        <v/>
      </c>
      <c r="M911" s="3">
        <f>IF('ORDENES'!$A889="","",IF('ORDENES'!$N889="","-",'ORDENES'!$N889))</f>
        <v/>
      </c>
      <c r="N911" s="3">
        <f>IF('ORDENES'!$A889="","",'ORDENES'!$AD889)</f>
        <v/>
      </c>
    </row>
    <row r="912">
      <c r="A912" s="3">
        <f>IF('ORDENES'!$A890="","",IF('ORDENES'!$O890="","-",'ORDENES'!$O890))</f>
        <v/>
      </c>
      <c r="B912" s="3">
        <f>IF('ORDENES'!$A890="","",IF('ORDENES'!$R890="","-",'ORDENES'!$R890))</f>
        <v/>
      </c>
      <c r="C912" s="3">
        <f>IF('ORDENES'!$A890="","",IF('ORDENES'!$AF890="","-",'ORDENES'!$AF890))</f>
        <v/>
      </c>
      <c r="D912" s="3">
        <f>IF('ORDENES'!$A890="","",IF('ORDENES'!$X890="","-",'ORDENES'!$X890))</f>
        <v/>
      </c>
      <c r="E912" s="3">
        <f>IF('ORDENES'!$A890="","",IF('ORDENES'!$V890="","-",'ORDENES'!$V890))</f>
        <v/>
      </c>
      <c r="F912" s="3">
        <f>IF('ORDENES'!$A890="","",IF('ORDENES'!$Y890="","-",'ORDENES'!$Y890))</f>
        <v/>
      </c>
      <c r="G912" s="3">
        <f>IF('ORDENES'!$A890="","",IF('ORDENES'!$W890="","-",'ORDENES'!$W890))</f>
        <v/>
      </c>
      <c r="H912" s="3">
        <f>IF('ORDENES'!$A890="","",IF('ORDENES'!$AE890="","-",'ORDENES'!$AE890))</f>
        <v/>
      </c>
      <c r="I912" s="3">
        <f>IF('ORDENES'!$A890="","",IF('ORDENES'!$AQ890="","-",'ORDENES'!$AQ890))</f>
        <v/>
      </c>
      <c r="J912" s="3">
        <f>IF('ORDENES'!$A890="","",IF('ORDENES'!$D890="","-",'ORDENES'!$D890))</f>
        <v/>
      </c>
      <c r="K912" s="3">
        <f>IF('ORDENES'!$A890="","",IF('ORDENES'!$E890="","-",'ORDENES'!$E890))</f>
        <v/>
      </c>
      <c r="L912" s="13">
        <f>IF('ORDENES'!$A890="","",IF('ORDENES'!$M890="",0,'ORDENES'!$M890))</f>
        <v/>
      </c>
      <c r="M912" s="3">
        <f>IF('ORDENES'!$A890="","",IF('ORDENES'!$N890="","-",'ORDENES'!$N890))</f>
        <v/>
      </c>
      <c r="N912" s="3">
        <f>IF('ORDENES'!$A890="","",'ORDENES'!$AD890)</f>
        <v/>
      </c>
    </row>
    <row r="913">
      <c r="A913" s="3">
        <f>IF('ORDENES'!$A891="","",IF('ORDENES'!$O891="","-",'ORDENES'!$O891))</f>
        <v/>
      </c>
      <c r="B913" s="3">
        <f>IF('ORDENES'!$A891="","",IF('ORDENES'!$R891="","-",'ORDENES'!$R891))</f>
        <v/>
      </c>
      <c r="C913" s="3">
        <f>IF('ORDENES'!$A891="","",IF('ORDENES'!$AF891="","-",'ORDENES'!$AF891))</f>
        <v/>
      </c>
      <c r="D913" s="3">
        <f>IF('ORDENES'!$A891="","",IF('ORDENES'!$X891="","-",'ORDENES'!$X891))</f>
        <v/>
      </c>
      <c r="E913" s="3">
        <f>IF('ORDENES'!$A891="","",IF('ORDENES'!$V891="","-",'ORDENES'!$V891))</f>
        <v/>
      </c>
      <c r="F913" s="3">
        <f>IF('ORDENES'!$A891="","",IF('ORDENES'!$Y891="","-",'ORDENES'!$Y891))</f>
        <v/>
      </c>
      <c r="G913" s="3">
        <f>IF('ORDENES'!$A891="","",IF('ORDENES'!$W891="","-",'ORDENES'!$W891))</f>
        <v/>
      </c>
      <c r="H913" s="3">
        <f>IF('ORDENES'!$A891="","",IF('ORDENES'!$AE891="","-",'ORDENES'!$AE891))</f>
        <v/>
      </c>
      <c r="I913" s="3">
        <f>IF('ORDENES'!$A891="","",IF('ORDENES'!$AQ891="","-",'ORDENES'!$AQ891))</f>
        <v/>
      </c>
      <c r="J913" s="3">
        <f>IF('ORDENES'!$A891="","",IF('ORDENES'!$D891="","-",'ORDENES'!$D891))</f>
        <v/>
      </c>
      <c r="K913" s="3">
        <f>IF('ORDENES'!$A891="","",IF('ORDENES'!$E891="","-",'ORDENES'!$E891))</f>
        <v/>
      </c>
      <c r="L913" s="13">
        <f>IF('ORDENES'!$A891="","",IF('ORDENES'!$M891="",0,'ORDENES'!$M891))</f>
        <v/>
      </c>
      <c r="M913" s="3">
        <f>IF('ORDENES'!$A891="","",IF('ORDENES'!$N891="","-",'ORDENES'!$N891))</f>
        <v/>
      </c>
      <c r="N913" s="3">
        <f>IF('ORDENES'!$A891="","",'ORDENES'!$AD891)</f>
        <v/>
      </c>
    </row>
    <row r="914">
      <c r="A914" s="3">
        <f>IF('ORDENES'!$A892="","",IF('ORDENES'!$O892="","-",'ORDENES'!$O892))</f>
        <v/>
      </c>
      <c r="B914" s="3">
        <f>IF('ORDENES'!$A892="","",IF('ORDENES'!$R892="","-",'ORDENES'!$R892))</f>
        <v/>
      </c>
      <c r="C914" s="3">
        <f>IF('ORDENES'!$A892="","",IF('ORDENES'!$AF892="","-",'ORDENES'!$AF892))</f>
        <v/>
      </c>
      <c r="D914" s="3">
        <f>IF('ORDENES'!$A892="","",IF('ORDENES'!$X892="","-",'ORDENES'!$X892))</f>
        <v/>
      </c>
      <c r="E914" s="3">
        <f>IF('ORDENES'!$A892="","",IF('ORDENES'!$V892="","-",'ORDENES'!$V892))</f>
        <v/>
      </c>
      <c r="F914" s="3">
        <f>IF('ORDENES'!$A892="","",IF('ORDENES'!$Y892="","-",'ORDENES'!$Y892))</f>
        <v/>
      </c>
      <c r="G914" s="3">
        <f>IF('ORDENES'!$A892="","",IF('ORDENES'!$W892="","-",'ORDENES'!$W892))</f>
        <v/>
      </c>
      <c r="H914" s="3">
        <f>IF('ORDENES'!$A892="","",IF('ORDENES'!$AE892="","-",'ORDENES'!$AE892))</f>
        <v/>
      </c>
      <c r="I914" s="3">
        <f>IF('ORDENES'!$A892="","",IF('ORDENES'!$AQ892="","-",'ORDENES'!$AQ892))</f>
        <v/>
      </c>
      <c r="J914" s="3">
        <f>IF('ORDENES'!$A892="","",IF('ORDENES'!$D892="","-",'ORDENES'!$D892))</f>
        <v/>
      </c>
      <c r="K914" s="3">
        <f>IF('ORDENES'!$A892="","",IF('ORDENES'!$E892="","-",'ORDENES'!$E892))</f>
        <v/>
      </c>
      <c r="L914" s="13">
        <f>IF('ORDENES'!$A892="","",IF('ORDENES'!$M892="",0,'ORDENES'!$M892))</f>
        <v/>
      </c>
      <c r="M914" s="3">
        <f>IF('ORDENES'!$A892="","",IF('ORDENES'!$N892="","-",'ORDENES'!$N892))</f>
        <v/>
      </c>
      <c r="N914" s="3">
        <f>IF('ORDENES'!$A892="","",'ORDENES'!$AD892)</f>
        <v/>
      </c>
    </row>
    <row r="915">
      <c r="A915" s="3">
        <f>IF('ORDENES'!$A893="","",IF('ORDENES'!$O893="","-",'ORDENES'!$O893))</f>
        <v/>
      </c>
      <c r="B915" s="3">
        <f>IF('ORDENES'!$A893="","",IF('ORDENES'!$R893="","-",'ORDENES'!$R893))</f>
        <v/>
      </c>
      <c r="C915" s="3">
        <f>IF('ORDENES'!$A893="","",IF('ORDENES'!$AF893="","-",'ORDENES'!$AF893))</f>
        <v/>
      </c>
      <c r="D915" s="3">
        <f>IF('ORDENES'!$A893="","",IF('ORDENES'!$X893="","-",'ORDENES'!$X893))</f>
        <v/>
      </c>
      <c r="E915" s="3">
        <f>IF('ORDENES'!$A893="","",IF('ORDENES'!$V893="","-",'ORDENES'!$V893))</f>
        <v/>
      </c>
      <c r="F915" s="3">
        <f>IF('ORDENES'!$A893="","",IF('ORDENES'!$Y893="","-",'ORDENES'!$Y893))</f>
        <v/>
      </c>
      <c r="G915" s="3">
        <f>IF('ORDENES'!$A893="","",IF('ORDENES'!$W893="","-",'ORDENES'!$W893))</f>
        <v/>
      </c>
      <c r="H915" s="3">
        <f>IF('ORDENES'!$A893="","",IF('ORDENES'!$AE893="","-",'ORDENES'!$AE893))</f>
        <v/>
      </c>
      <c r="I915" s="3">
        <f>IF('ORDENES'!$A893="","",IF('ORDENES'!$AQ893="","-",'ORDENES'!$AQ893))</f>
        <v/>
      </c>
      <c r="J915" s="3">
        <f>IF('ORDENES'!$A893="","",IF('ORDENES'!$D893="","-",'ORDENES'!$D893))</f>
        <v/>
      </c>
      <c r="K915" s="3">
        <f>IF('ORDENES'!$A893="","",IF('ORDENES'!$E893="","-",'ORDENES'!$E893))</f>
        <v/>
      </c>
      <c r="L915" s="13">
        <f>IF('ORDENES'!$A893="","",IF('ORDENES'!$M893="",0,'ORDENES'!$M893))</f>
        <v/>
      </c>
      <c r="M915" s="3">
        <f>IF('ORDENES'!$A893="","",IF('ORDENES'!$N893="","-",'ORDENES'!$N893))</f>
        <v/>
      </c>
      <c r="N915" s="3">
        <f>IF('ORDENES'!$A893="","",'ORDENES'!$AD893)</f>
        <v/>
      </c>
    </row>
    <row r="916">
      <c r="A916" s="3">
        <f>IF('ORDENES'!$A894="","",IF('ORDENES'!$O894="","-",'ORDENES'!$O894))</f>
        <v/>
      </c>
      <c r="B916" s="3">
        <f>IF('ORDENES'!$A894="","",IF('ORDENES'!$R894="","-",'ORDENES'!$R894))</f>
        <v/>
      </c>
      <c r="C916" s="3">
        <f>IF('ORDENES'!$A894="","",IF('ORDENES'!$AF894="","-",'ORDENES'!$AF894))</f>
        <v/>
      </c>
      <c r="D916" s="3">
        <f>IF('ORDENES'!$A894="","",IF('ORDENES'!$X894="","-",'ORDENES'!$X894))</f>
        <v/>
      </c>
      <c r="E916" s="3">
        <f>IF('ORDENES'!$A894="","",IF('ORDENES'!$V894="","-",'ORDENES'!$V894))</f>
        <v/>
      </c>
      <c r="F916" s="3">
        <f>IF('ORDENES'!$A894="","",IF('ORDENES'!$Y894="","-",'ORDENES'!$Y894))</f>
        <v/>
      </c>
      <c r="G916" s="3">
        <f>IF('ORDENES'!$A894="","",IF('ORDENES'!$W894="","-",'ORDENES'!$W894))</f>
        <v/>
      </c>
      <c r="H916" s="3">
        <f>IF('ORDENES'!$A894="","",IF('ORDENES'!$AE894="","-",'ORDENES'!$AE894))</f>
        <v/>
      </c>
      <c r="I916" s="3">
        <f>IF('ORDENES'!$A894="","",IF('ORDENES'!$AQ894="","-",'ORDENES'!$AQ894))</f>
        <v/>
      </c>
      <c r="J916" s="3">
        <f>IF('ORDENES'!$A894="","",IF('ORDENES'!$D894="","-",'ORDENES'!$D894))</f>
        <v/>
      </c>
      <c r="K916" s="3">
        <f>IF('ORDENES'!$A894="","",IF('ORDENES'!$E894="","-",'ORDENES'!$E894))</f>
        <v/>
      </c>
      <c r="L916" s="13">
        <f>IF('ORDENES'!$A894="","",IF('ORDENES'!$M894="",0,'ORDENES'!$M894))</f>
        <v/>
      </c>
      <c r="M916" s="3">
        <f>IF('ORDENES'!$A894="","",IF('ORDENES'!$N894="","-",'ORDENES'!$N894))</f>
        <v/>
      </c>
      <c r="N916" s="3">
        <f>IF('ORDENES'!$A894="","",'ORDENES'!$AD894)</f>
        <v/>
      </c>
    </row>
    <row r="917">
      <c r="A917" s="3">
        <f>IF('ORDENES'!$A895="","",IF('ORDENES'!$O895="","-",'ORDENES'!$O895))</f>
        <v/>
      </c>
      <c r="B917" s="3">
        <f>IF('ORDENES'!$A895="","",IF('ORDENES'!$R895="","-",'ORDENES'!$R895))</f>
        <v/>
      </c>
      <c r="C917" s="3">
        <f>IF('ORDENES'!$A895="","",IF('ORDENES'!$AF895="","-",'ORDENES'!$AF895))</f>
        <v/>
      </c>
      <c r="D917" s="3">
        <f>IF('ORDENES'!$A895="","",IF('ORDENES'!$X895="","-",'ORDENES'!$X895))</f>
        <v/>
      </c>
      <c r="E917" s="3">
        <f>IF('ORDENES'!$A895="","",IF('ORDENES'!$V895="","-",'ORDENES'!$V895))</f>
        <v/>
      </c>
      <c r="F917" s="3">
        <f>IF('ORDENES'!$A895="","",IF('ORDENES'!$Y895="","-",'ORDENES'!$Y895))</f>
        <v/>
      </c>
      <c r="G917" s="3">
        <f>IF('ORDENES'!$A895="","",IF('ORDENES'!$W895="","-",'ORDENES'!$W895))</f>
        <v/>
      </c>
      <c r="H917" s="3">
        <f>IF('ORDENES'!$A895="","",IF('ORDENES'!$AE895="","-",'ORDENES'!$AE895))</f>
        <v/>
      </c>
      <c r="I917" s="3">
        <f>IF('ORDENES'!$A895="","",IF('ORDENES'!$AQ895="","-",'ORDENES'!$AQ895))</f>
        <v/>
      </c>
      <c r="J917" s="3">
        <f>IF('ORDENES'!$A895="","",IF('ORDENES'!$D895="","-",'ORDENES'!$D895))</f>
        <v/>
      </c>
      <c r="K917" s="3">
        <f>IF('ORDENES'!$A895="","",IF('ORDENES'!$E895="","-",'ORDENES'!$E895))</f>
        <v/>
      </c>
      <c r="L917" s="13">
        <f>IF('ORDENES'!$A895="","",IF('ORDENES'!$M895="",0,'ORDENES'!$M895))</f>
        <v/>
      </c>
      <c r="M917" s="3">
        <f>IF('ORDENES'!$A895="","",IF('ORDENES'!$N895="","-",'ORDENES'!$N895))</f>
        <v/>
      </c>
      <c r="N917" s="3">
        <f>IF('ORDENES'!$A895="","",'ORDENES'!$AD895)</f>
        <v/>
      </c>
    </row>
    <row r="918">
      <c r="A918" s="3">
        <f>IF('ORDENES'!$A896="","",IF('ORDENES'!$O896="","-",'ORDENES'!$O896))</f>
        <v/>
      </c>
      <c r="B918" s="3">
        <f>IF('ORDENES'!$A896="","",IF('ORDENES'!$R896="","-",'ORDENES'!$R896))</f>
        <v/>
      </c>
      <c r="C918" s="3">
        <f>IF('ORDENES'!$A896="","",IF('ORDENES'!$AF896="","-",'ORDENES'!$AF896))</f>
        <v/>
      </c>
      <c r="D918" s="3">
        <f>IF('ORDENES'!$A896="","",IF('ORDENES'!$X896="","-",'ORDENES'!$X896))</f>
        <v/>
      </c>
      <c r="E918" s="3">
        <f>IF('ORDENES'!$A896="","",IF('ORDENES'!$V896="","-",'ORDENES'!$V896))</f>
        <v/>
      </c>
      <c r="F918" s="3">
        <f>IF('ORDENES'!$A896="","",IF('ORDENES'!$Y896="","-",'ORDENES'!$Y896))</f>
        <v/>
      </c>
      <c r="G918" s="3">
        <f>IF('ORDENES'!$A896="","",IF('ORDENES'!$W896="","-",'ORDENES'!$W896))</f>
        <v/>
      </c>
      <c r="H918" s="3">
        <f>IF('ORDENES'!$A896="","",IF('ORDENES'!$AE896="","-",'ORDENES'!$AE896))</f>
        <v/>
      </c>
      <c r="I918" s="3">
        <f>IF('ORDENES'!$A896="","",IF('ORDENES'!$AQ896="","-",'ORDENES'!$AQ896))</f>
        <v/>
      </c>
      <c r="J918" s="3">
        <f>IF('ORDENES'!$A896="","",IF('ORDENES'!$D896="","-",'ORDENES'!$D896))</f>
        <v/>
      </c>
      <c r="K918" s="3">
        <f>IF('ORDENES'!$A896="","",IF('ORDENES'!$E896="","-",'ORDENES'!$E896))</f>
        <v/>
      </c>
      <c r="L918" s="13">
        <f>IF('ORDENES'!$A896="","",IF('ORDENES'!$M896="",0,'ORDENES'!$M896))</f>
        <v/>
      </c>
      <c r="M918" s="3">
        <f>IF('ORDENES'!$A896="","",IF('ORDENES'!$N896="","-",'ORDENES'!$N896))</f>
        <v/>
      </c>
      <c r="N918" s="3">
        <f>IF('ORDENES'!$A896="","",'ORDENES'!$AD896)</f>
        <v/>
      </c>
    </row>
    <row r="919">
      <c r="A919" s="3">
        <f>IF('ORDENES'!$A897="","",IF('ORDENES'!$O897="","-",'ORDENES'!$O897))</f>
        <v/>
      </c>
      <c r="B919" s="3">
        <f>IF('ORDENES'!$A897="","",IF('ORDENES'!$R897="","-",'ORDENES'!$R897))</f>
        <v/>
      </c>
      <c r="C919" s="3">
        <f>IF('ORDENES'!$A897="","",IF('ORDENES'!$AF897="","-",'ORDENES'!$AF897))</f>
        <v/>
      </c>
      <c r="D919" s="3">
        <f>IF('ORDENES'!$A897="","",IF('ORDENES'!$X897="","-",'ORDENES'!$X897))</f>
        <v/>
      </c>
      <c r="E919" s="3">
        <f>IF('ORDENES'!$A897="","",IF('ORDENES'!$V897="","-",'ORDENES'!$V897))</f>
        <v/>
      </c>
      <c r="F919" s="3">
        <f>IF('ORDENES'!$A897="","",IF('ORDENES'!$Y897="","-",'ORDENES'!$Y897))</f>
        <v/>
      </c>
      <c r="G919" s="3">
        <f>IF('ORDENES'!$A897="","",IF('ORDENES'!$W897="","-",'ORDENES'!$W897))</f>
        <v/>
      </c>
      <c r="H919" s="3">
        <f>IF('ORDENES'!$A897="","",IF('ORDENES'!$AE897="","-",'ORDENES'!$AE897))</f>
        <v/>
      </c>
      <c r="I919" s="3">
        <f>IF('ORDENES'!$A897="","",IF('ORDENES'!$AQ897="","-",'ORDENES'!$AQ897))</f>
        <v/>
      </c>
      <c r="J919" s="3">
        <f>IF('ORDENES'!$A897="","",IF('ORDENES'!$D897="","-",'ORDENES'!$D897))</f>
        <v/>
      </c>
      <c r="K919" s="3">
        <f>IF('ORDENES'!$A897="","",IF('ORDENES'!$E897="","-",'ORDENES'!$E897))</f>
        <v/>
      </c>
      <c r="L919" s="13">
        <f>IF('ORDENES'!$A897="","",IF('ORDENES'!$M897="",0,'ORDENES'!$M897))</f>
        <v/>
      </c>
      <c r="M919" s="3">
        <f>IF('ORDENES'!$A897="","",IF('ORDENES'!$N897="","-",'ORDENES'!$N897))</f>
        <v/>
      </c>
      <c r="N919" s="3">
        <f>IF('ORDENES'!$A897="","",'ORDENES'!$AD897)</f>
        <v/>
      </c>
    </row>
    <row r="920">
      <c r="A920" s="3">
        <f>IF('ORDENES'!$A898="","",IF('ORDENES'!$O898="","-",'ORDENES'!$O898))</f>
        <v/>
      </c>
      <c r="B920" s="3">
        <f>IF('ORDENES'!$A898="","",IF('ORDENES'!$R898="","-",'ORDENES'!$R898))</f>
        <v/>
      </c>
      <c r="C920" s="3">
        <f>IF('ORDENES'!$A898="","",IF('ORDENES'!$AF898="","-",'ORDENES'!$AF898))</f>
        <v/>
      </c>
      <c r="D920" s="3">
        <f>IF('ORDENES'!$A898="","",IF('ORDENES'!$X898="","-",'ORDENES'!$X898))</f>
        <v/>
      </c>
      <c r="E920" s="3">
        <f>IF('ORDENES'!$A898="","",IF('ORDENES'!$V898="","-",'ORDENES'!$V898))</f>
        <v/>
      </c>
      <c r="F920" s="3">
        <f>IF('ORDENES'!$A898="","",IF('ORDENES'!$Y898="","-",'ORDENES'!$Y898))</f>
        <v/>
      </c>
      <c r="G920" s="3">
        <f>IF('ORDENES'!$A898="","",IF('ORDENES'!$W898="","-",'ORDENES'!$W898))</f>
        <v/>
      </c>
      <c r="H920" s="3">
        <f>IF('ORDENES'!$A898="","",IF('ORDENES'!$AE898="","-",'ORDENES'!$AE898))</f>
        <v/>
      </c>
      <c r="I920" s="3">
        <f>IF('ORDENES'!$A898="","",IF('ORDENES'!$AQ898="","-",'ORDENES'!$AQ898))</f>
        <v/>
      </c>
      <c r="J920" s="3">
        <f>IF('ORDENES'!$A898="","",IF('ORDENES'!$D898="","-",'ORDENES'!$D898))</f>
        <v/>
      </c>
      <c r="K920" s="3">
        <f>IF('ORDENES'!$A898="","",IF('ORDENES'!$E898="","-",'ORDENES'!$E898))</f>
        <v/>
      </c>
      <c r="L920" s="13">
        <f>IF('ORDENES'!$A898="","",IF('ORDENES'!$M898="",0,'ORDENES'!$M898))</f>
        <v/>
      </c>
      <c r="M920" s="3">
        <f>IF('ORDENES'!$A898="","",IF('ORDENES'!$N898="","-",'ORDENES'!$N898))</f>
        <v/>
      </c>
      <c r="N920" s="3">
        <f>IF('ORDENES'!$A898="","",'ORDENES'!$AD898)</f>
        <v/>
      </c>
    </row>
    <row r="921">
      <c r="A921" s="3">
        <f>IF('ORDENES'!$A899="","",IF('ORDENES'!$O899="","-",'ORDENES'!$O899))</f>
        <v/>
      </c>
      <c r="B921" s="3">
        <f>IF('ORDENES'!$A899="","",IF('ORDENES'!$R899="","-",'ORDENES'!$R899))</f>
        <v/>
      </c>
      <c r="C921" s="3">
        <f>IF('ORDENES'!$A899="","",IF('ORDENES'!$AF899="","-",'ORDENES'!$AF899))</f>
        <v/>
      </c>
      <c r="D921" s="3">
        <f>IF('ORDENES'!$A899="","",IF('ORDENES'!$X899="","-",'ORDENES'!$X899))</f>
        <v/>
      </c>
      <c r="E921" s="3">
        <f>IF('ORDENES'!$A899="","",IF('ORDENES'!$V899="","-",'ORDENES'!$V899))</f>
        <v/>
      </c>
      <c r="F921" s="3">
        <f>IF('ORDENES'!$A899="","",IF('ORDENES'!$Y899="","-",'ORDENES'!$Y899))</f>
        <v/>
      </c>
      <c r="G921" s="3">
        <f>IF('ORDENES'!$A899="","",IF('ORDENES'!$W899="","-",'ORDENES'!$W899))</f>
        <v/>
      </c>
      <c r="H921" s="3">
        <f>IF('ORDENES'!$A899="","",IF('ORDENES'!$AE899="","-",'ORDENES'!$AE899))</f>
        <v/>
      </c>
      <c r="I921" s="3">
        <f>IF('ORDENES'!$A899="","",IF('ORDENES'!$AQ899="","-",'ORDENES'!$AQ899))</f>
        <v/>
      </c>
      <c r="J921" s="3">
        <f>IF('ORDENES'!$A899="","",IF('ORDENES'!$D899="","-",'ORDENES'!$D899))</f>
        <v/>
      </c>
      <c r="K921" s="3">
        <f>IF('ORDENES'!$A899="","",IF('ORDENES'!$E899="","-",'ORDENES'!$E899))</f>
        <v/>
      </c>
      <c r="L921" s="13">
        <f>IF('ORDENES'!$A899="","",IF('ORDENES'!$M899="",0,'ORDENES'!$M899))</f>
        <v/>
      </c>
      <c r="M921" s="3">
        <f>IF('ORDENES'!$A899="","",IF('ORDENES'!$N899="","-",'ORDENES'!$N899))</f>
        <v/>
      </c>
      <c r="N921" s="3">
        <f>IF('ORDENES'!$A899="","",'ORDENES'!$AD899)</f>
        <v/>
      </c>
    </row>
    <row r="922">
      <c r="A922" s="3">
        <f>IF('ORDENES'!$A900="","",IF('ORDENES'!$O900="","-",'ORDENES'!$O900))</f>
        <v/>
      </c>
      <c r="B922" s="3">
        <f>IF('ORDENES'!$A900="","",IF('ORDENES'!$R900="","-",'ORDENES'!$R900))</f>
        <v/>
      </c>
      <c r="C922" s="3">
        <f>IF('ORDENES'!$A900="","",IF('ORDENES'!$AF900="","-",'ORDENES'!$AF900))</f>
        <v/>
      </c>
      <c r="D922" s="3">
        <f>IF('ORDENES'!$A900="","",IF('ORDENES'!$X900="","-",'ORDENES'!$X900))</f>
        <v/>
      </c>
      <c r="E922" s="3">
        <f>IF('ORDENES'!$A900="","",IF('ORDENES'!$V900="","-",'ORDENES'!$V900))</f>
        <v/>
      </c>
      <c r="F922" s="3">
        <f>IF('ORDENES'!$A900="","",IF('ORDENES'!$Y900="","-",'ORDENES'!$Y900))</f>
        <v/>
      </c>
      <c r="G922" s="3">
        <f>IF('ORDENES'!$A900="","",IF('ORDENES'!$W900="","-",'ORDENES'!$W900))</f>
        <v/>
      </c>
      <c r="H922" s="3">
        <f>IF('ORDENES'!$A900="","",IF('ORDENES'!$AE900="","-",'ORDENES'!$AE900))</f>
        <v/>
      </c>
      <c r="I922" s="3">
        <f>IF('ORDENES'!$A900="","",IF('ORDENES'!$AQ900="","-",'ORDENES'!$AQ900))</f>
        <v/>
      </c>
      <c r="J922" s="3">
        <f>IF('ORDENES'!$A900="","",IF('ORDENES'!$D900="","-",'ORDENES'!$D900))</f>
        <v/>
      </c>
      <c r="K922" s="3">
        <f>IF('ORDENES'!$A900="","",IF('ORDENES'!$E900="","-",'ORDENES'!$E900))</f>
        <v/>
      </c>
      <c r="L922" s="13">
        <f>IF('ORDENES'!$A900="","",IF('ORDENES'!$M900="",0,'ORDENES'!$M900))</f>
        <v/>
      </c>
      <c r="M922" s="3">
        <f>IF('ORDENES'!$A900="","",IF('ORDENES'!$N900="","-",'ORDENES'!$N900))</f>
        <v/>
      </c>
      <c r="N922" s="3">
        <f>IF('ORDENES'!$A900="","",'ORDENES'!$AD900)</f>
        <v/>
      </c>
    </row>
    <row r="923">
      <c r="A923" s="3">
        <f>IF('ORDENES'!$A901="","",IF('ORDENES'!$O901="","-",'ORDENES'!$O901))</f>
        <v/>
      </c>
      <c r="B923" s="3">
        <f>IF('ORDENES'!$A901="","",IF('ORDENES'!$R901="","-",'ORDENES'!$R901))</f>
        <v/>
      </c>
      <c r="C923" s="3">
        <f>IF('ORDENES'!$A901="","",IF('ORDENES'!$AF901="","-",'ORDENES'!$AF901))</f>
        <v/>
      </c>
      <c r="D923" s="3">
        <f>IF('ORDENES'!$A901="","",IF('ORDENES'!$X901="","-",'ORDENES'!$X901))</f>
        <v/>
      </c>
      <c r="E923" s="3">
        <f>IF('ORDENES'!$A901="","",IF('ORDENES'!$V901="","-",'ORDENES'!$V901))</f>
        <v/>
      </c>
      <c r="F923" s="3">
        <f>IF('ORDENES'!$A901="","",IF('ORDENES'!$Y901="","-",'ORDENES'!$Y901))</f>
        <v/>
      </c>
      <c r="G923" s="3">
        <f>IF('ORDENES'!$A901="","",IF('ORDENES'!$W901="","-",'ORDENES'!$W901))</f>
        <v/>
      </c>
      <c r="H923" s="3">
        <f>IF('ORDENES'!$A901="","",IF('ORDENES'!$AE901="","-",'ORDENES'!$AE901))</f>
        <v/>
      </c>
      <c r="I923" s="3">
        <f>IF('ORDENES'!$A901="","",IF('ORDENES'!$AQ901="","-",'ORDENES'!$AQ901))</f>
        <v/>
      </c>
      <c r="J923" s="3">
        <f>IF('ORDENES'!$A901="","",IF('ORDENES'!$D901="","-",'ORDENES'!$D901))</f>
        <v/>
      </c>
      <c r="K923" s="3">
        <f>IF('ORDENES'!$A901="","",IF('ORDENES'!$E901="","-",'ORDENES'!$E901))</f>
        <v/>
      </c>
      <c r="L923" s="13">
        <f>IF('ORDENES'!$A901="","",IF('ORDENES'!$M901="",0,'ORDENES'!$M901))</f>
        <v/>
      </c>
      <c r="M923" s="3">
        <f>IF('ORDENES'!$A901="","",IF('ORDENES'!$N901="","-",'ORDENES'!$N901))</f>
        <v/>
      </c>
      <c r="N923" s="3">
        <f>IF('ORDENES'!$A901="","",'ORDENES'!$AD901)</f>
        <v/>
      </c>
    </row>
    <row r="924">
      <c r="A924" s="3">
        <f>IF('ORDENES'!$A902="","",IF('ORDENES'!$O902="","-",'ORDENES'!$O902))</f>
        <v/>
      </c>
      <c r="B924" s="3">
        <f>IF('ORDENES'!$A902="","",IF('ORDENES'!$R902="","-",'ORDENES'!$R902))</f>
        <v/>
      </c>
      <c r="C924" s="3">
        <f>IF('ORDENES'!$A902="","",IF('ORDENES'!$AF902="","-",'ORDENES'!$AF902))</f>
        <v/>
      </c>
      <c r="D924" s="3">
        <f>IF('ORDENES'!$A902="","",IF('ORDENES'!$X902="","-",'ORDENES'!$X902))</f>
        <v/>
      </c>
      <c r="E924" s="3">
        <f>IF('ORDENES'!$A902="","",IF('ORDENES'!$V902="","-",'ORDENES'!$V902))</f>
        <v/>
      </c>
      <c r="F924" s="3">
        <f>IF('ORDENES'!$A902="","",IF('ORDENES'!$Y902="","-",'ORDENES'!$Y902))</f>
        <v/>
      </c>
      <c r="G924" s="3">
        <f>IF('ORDENES'!$A902="","",IF('ORDENES'!$W902="","-",'ORDENES'!$W902))</f>
        <v/>
      </c>
      <c r="H924" s="3">
        <f>IF('ORDENES'!$A902="","",IF('ORDENES'!$AE902="","-",'ORDENES'!$AE902))</f>
        <v/>
      </c>
      <c r="I924" s="3">
        <f>IF('ORDENES'!$A902="","",IF('ORDENES'!$AQ902="","-",'ORDENES'!$AQ902))</f>
        <v/>
      </c>
      <c r="J924" s="3">
        <f>IF('ORDENES'!$A902="","",IF('ORDENES'!$D902="","-",'ORDENES'!$D902))</f>
        <v/>
      </c>
      <c r="K924" s="3">
        <f>IF('ORDENES'!$A902="","",IF('ORDENES'!$E902="","-",'ORDENES'!$E902))</f>
        <v/>
      </c>
      <c r="L924" s="13">
        <f>IF('ORDENES'!$A902="","",IF('ORDENES'!$M902="",0,'ORDENES'!$M902))</f>
        <v/>
      </c>
      <c r="M924" s="3">
        <f>IF('ORDENES'!$A902="","",IF('ORDENES'!$N902="","-",'ORDENES'!$N902))</f>
        <v/>
      </c>
      <c r="N924" s="3">
        <f>IF('ORDENES'!$A902="","",'ORDENES'!$AD902)</f>
        <v/>
      </c>
    </row>
    <row r="925">
      <c r="A925" s="3">
        <f>IF('ORDENES'!$A903="","",IF('ORDENES'!$O903="","-",'ORDENES'!$O903))</f>
        <v/>
      </c>
      <c r="B925" s="3">
        <f>IF('ORDENES'!$A903="","",IF('ORDENES'!$R903="","-",'ORDENES'!$R903))</f>
        <v/>
      </c>
      <c r="C925" s="3">
        <f>IF('ORDENES'!$A903="","",IF('ORDENES'!$AF903="","-",'ORDENES'!$AF903))</f>
        <v/>
      </c>
      <c r="D925" s="3">
        <f>IF('ORDENES'!$A903="","",IF('ORDENES'!$X903="","-",'ORDENES'!$X903))</f>
        <v/>
      </c>
      <c r="E925" s="3">
        <f>IF('ORDENES'!$A903="","",IF('ORDENES'!$V903="","-",'ORDENES'!$V903))</f>
        <v/>
      </c>
      <c r="F925" s="3">
        <f>IF('ORDENES'!$A903="","",IF('ORDENES'!$Y903="","-",'ORDENES'!$Y903))</f>
        <v/>
      </c>
      <c r="G925" s="3">
        <f>IF('ORDENES'!$A903="","",IF('ORDENES'!$W903="","-",'ORDENES'!$W903))</f>
        <v/>
      </c>
      <c r="H925" s="3">
        <f>IF('ORDENES'!$A903="","",IF('ORDENES'!$AE903="","-",'ORDENES'!$AE903))</f>
        <v/>
      </c>
      <c r="I925" s="3">
        <f>IF('ORDENES'!$A903="","",IF('ORDENES'!$AQ903="","-",'ORDENES'!$AQ903))</f>
        <v/>
      </c>
      <c r="J925" s="3">
        <f>IF('ORDENES'!$A903="","",IF('ORDENES'!$D903="","-",'ORDENES'!$D903))</f>
        <v/>
      </c>
      <c r="K925" s="3">
        <f>IF('ORDENES'!$A903="","",IF('ORDENES'!$E903="","-",'ORDENES'!$E903))</f>
        <v/>
      </c>
      <c r="L925" s="13">
        <f>IF('ORDENES'!$A903="","",IF('ORDENES'!$M903="",0,'ORDENES'!$M903))</f>
        <v/>
      </c>
      <c r="M925" s="3">
        <f>IF('ORDENES'!$A903="","",IF('ORDENES'!$N903="","-",'ORDENES'!$N903))</f>
        <v/>
      </c>
      <c r="N925" s="3">
        <f>IF('ORDENES'!$A903="","",'ORDENES'!$AD903)</f>
        <v/>
      </c>
    </row>
    <row r="926">
      <c r="A926" s="3">
        <f>IF('ORDENES'!$A904="","",IF('ORDENES'!$O904="","-",'ORDENES'!$O904))</f>
        <v/>
      </c>
      <c r="B926" s="3">
        <f>IF('ORDENES'!$A904="","",IF('ORDENES'!$R904="","-",'ORDENES'!$R904))</f>
        <v/>
      </c>
      <c r="C926" s="3">
        <f>IF('ORDENES'!$A904="","",IF('ORDENES'!$AF904="","-",'ORDENES'!$AF904))</f>
        <v/>
      </c>
      <c r="D926" s="3">
        <f>IF('ORDENES'!$A904="","",IF('ORDENES'!$X904="","-",'ORDENES'!$X904))</f>
        <v/>
      </c>
      <c r="E926" s="3">
        <f>IF('ORDENES'!$A904="","",IF('ORDENES'!$V904="","-",'ORDENES'!$V904))</f>
        <v/>
      </c>
      <c r="F926" s="3">
        <f>IF('ORDENES'!$A904="","",IF('ORDENES'!$Y904="","-",'ORDENES'!$Y904))</f>
        <v/>
      </c>
      <c r="G926" s="3">
        <f>IF('ORDENES'!$A904="","",IF('ORDENES'!$W904="","-",'ORDENES'!$W904))</f>
        <v/>
      </c>
      <c r="H926" s="3">
        <f>IF('ORDENES'!$A904="","",IF('ORDENES'!$AE904="","-",'ORDENES'!$AE904))</f>
        <v/>
      </c>
      <c r="I926" s="3">
        <f>IF('ORDENES'!$A904="","",IF('ORDENES'!$AQ904="","-",'ORDENES'!$AQ904))</f>
        <v/>
      </c>
      <c r="J926" s="3">
        <f>IF('ORDENES'!$A904="","",IF('ORDENES'!$D904="","-",'ORDENES'!$D904))</f>
        <v/>
      </c>
      <c r="K926" s="3">
        <f>IF('ORDENES'!$A904="","",IF('ORDENES'!$E904="","-",'ORDENES'!$E904))</f>
        <v/>
      </c>
      <c r="L926" s="13">
        <f>IF('ORDENES'!$A904="","",IF('ORDENES'!$M904="",0,'ORDENES'!$M904))</f>
        <v/>
      </c>
      <c r="M926" s="3">
        <f>IF('ORDENES'!$A904="","",IF('ORDENES'!$N904="","-",'ORDENES'!$N904))</f>
        <v/>
      </c>
      <c r="N926" s="3">
        <f>IF('ORDENES'!$A904="","",'ORDENES'!$AD904)</f>
        <v/>
      </c>
    </row>
    <row r="927">
      <c r="A927" s="3">
        <f>IF('ORDENES'!$A905="","",IF('ORDENES'!$O905="","-",'ORDENES'!$O905))</f>
        <v/>
      </c>
      <c r="B927" s="3">
        <f>IF('ORDENES'!$A905="","",IF('ORDENES'!$R905="","-",'ORDENES'!$R905))</f>
        <v/>
      </c>
      <c r="C927" s="3">
        <f>IF('ORDENES'!$A905="","",IF('ORDENES'!$AF905="","-",'ORDENES'!$AF905))</f>
        <v/>
      </c>
      <c r="D927" s="3">
        <f>IF('ORDENES'!$A905="","",IF('ORDENES'!$X905="","-",'ORDENES'!$X905))</f>
        <v/>
      </c>
      <c r="E927" s="3">
        <f>IF('ORDENES'!$A905="","",IF('ORDENES'!$V905="","-",'ORDENES'!$V905))</f>
        <v/>
      </c>
      <c r="F927" s="3">
        <f>IF('ORDENES'!$A905="","",IF('ORDENES'!$Y905="","-",'ORDENES'!$Y905))</f>
        <v/>
      </c>
      <c r="G927" s="3">
        <f>IF('ORDENES'!$A905="","",IF('ORDENES'!$W905="","-",'ORDENES'!$W905))</f>
        <v/>
      </c>
      <c r="H927" s="3">
        <f>IF('ORDENES'!$A905="","",IF('ORDENES'!$AE905="","-",'ORDENES'!$AE905))</f>
        <v/>
      </c>
      <c r="I927" s="3">
        <f>IF('ORDENES'!$A905="","",IF('ORDENES'!$AQ905="","-",'ORDENES'!$AQ905))</f>
        <v/>
      </c>
      <c r="J927" s="3">
        <f>IF('ORDENES'!$A905="","",IF('ORDENES'!$D905="","-",'ORDENES'!$D905))</f>
        <v/>
      </c>
      <c r="K927" s="3">
        <f>IF('ORDENES'!$A905="","",IF('ORDENES'!$E905="","-",'ORDENES'!$E905))</f>
        <v/>
      </c>
      <c r="L927" s="13">
        <f>IF('ORDENES'!$A905="","",IF('ORDENES'!$M905="",0,'ORDENES'!$M905))</f>
        <v/>
      </c>
      <c r="M927" s="3">
        <f>IF('ORDENES'!$A905="","",IF('ORDENES'!$N905="","-",'ORDENES'!$N905))</f>
        <v/>
      </c>
      <c r="N927" s="3">
        <f>IF('ORDENES'!$A905="","",'ORDENES'!$AD905)</f>
        <v/>
      </c>
    </row>
    <row r="928">
      <c r="A928" s="3">
        <f>IF('ORDENES'!$A906="","",IF('ORDENES'!$O906="","-",'ORDENES'!$O906))</f>
        <v/>
      </c>
      <c r="B928" s="3">
        <f>IF('ORDENES'!$A906="","",IF('ORDENES'!$R906="","-",'ORDENES'!$R906))</f>
        <v/>
      </c>
      <c r="C928" s="3">
        <f>IF('ORDENES'!$A906="","",IF('ORDENES'!$AF906="","-",'ORDENES'!$AF906))</f>
        <v/>
      </c>
      <c r="D928" s="3">
        <f>IF('ORDENES'!$A906="","",IF('ORDENES'!$X906="","-",'ORDENES'!$X906))</f>
        <v/>
      </c>
      <c r="E928" s="3">
        <f>IF('ORDENES'!$A906="","",IF('ORDENES'!$V906="","-",'ORDENES'!$V906))</f>
        <v/>
      </c>
      <c r="F928" s="3">
        <f>IF('ORDENES'!$A906="","",IF('ORDENES'!$Y906="","-",'ORDENES'!$Y906))</f>
        <v/>
      </c>
      <c r="G928" s="3">
        <f>IF('ORDENES'!$A906="","",IF('ORDENES'!$W906="","-",'ORDENES'!$W906))</f>
        <v/>
      </c>
      <c r="H928" s="3">
        <f>IF('ORDENES'!$A906="","",IF('ORDENES'!$AE906="","-",'ORDENES'!$AE906))</f>
        <v/>
      </c>
      <c r="I928" s="3">
        <f>IF('ORDENES'!$A906="","",IF('ORDENES'!$AQ906="","-",'ORDENES'!$AQ906))</f>
        <v/>
      </c>
      <c r="J928" s="3">
        <f>IF('ORDENES'!$A906="","",IF('ORDENES'!$D906="","-",'ORDENES'!$D906))</f>
        <v/>
      </c>
      <c r="K928" s="3">
        <f>IF('ORDENES'!$A906="","",IF('ORDENES'!$E906="","-",'ORDENES'!$E906))</f>
        <v/>
      </c>
      <c r="L928" s="13">
        <f>IF('ORDENES'!$A906="","",IF('ORDENES'!$M906="",0,'ORDENES'!$M906))</f>
        <v/>
      </c>
      <c r="M928" s="3">
        <f>IF('ORDENES'!$A906="","",IF('ORDENES'!$N906="","-",'ORDENES'!$N906))</f>
        <v/>
      </c>
      <c r="N928" s="3">
        <f>IF('ORDENES'!$A906="","",'ORDENES'!$AD906)</f>
        <v/>
      </c>
    </row>
    <row r="929">
      <c r="A929" s="3">
        <f>IF('ORDENES'!$A907="","",IF('ORDENES'!$O907="","-",'ORDENES'!$O907))</f>
        <v/>
      </c>
      <c r="B929" s="3">
        <f>IF('ORDENES'!$A907="","",IF('ORDENES'!$R907="","-",'ORDENES'!$R907))</f>
        <v/>
      </c>
      <c r="C929" s="3">
        <f>IF('ORDENES'!$A907="","",IF('ORDENES'!$AF907="","-",'ORDENES'!$AF907))</f>
        <v/>
      </c>
      <c r="D929" s="3">
        <f>IF('ORDENES'!$A907="","",IF('ORDENES'!$X907="","-",'ORDENES'!$X907))</f>
        <v/>
      </c>
      <c r="E929" s="3">
        <f>IF('ORDENES'!$A907="","",IF('ORDENES'!$V907="","-",'ORDENES'!$V907))</f>
        <v/>
      </c>
      <c r="F929" s="3">
        <f>IF('ORDENES'!$A907="","",IF('ORDENES'!$Y907="","-",'ORDENES'!$Y907))</f>
        <v/>
      </c>
      <c r="G929" s="3">
        <f>IF('ORDENES'!$A907="","",IF('ORDENES'!$W907="","-",'ORDENES'!$W907))</f>
        <v/>
      </c>
      <c r="H929" s="3">
        <f>IF('ORDENES'!$A907="","",IF('ORDENES'!$AE907="","-",'ORDENES'!$AE907))</f>
        <v/>
      </c>
      <c r="I929" s="3">
        <f>IF('ORDENES'!$A907="","",IF('ORDENES'!$AQ907="","-",'ORDENES'!$AQ907))</f>
        <v/>
      </c>
      <c r="J929" s="3">
        <f>IF('ORDENES'!$A907="","",IF('ORDENES'!$D907="","-",'ORDENES'!$D907))</f>
        <v/>
      </c>
      <c r="K929" s="3">
        <f>IF('ORDENES'!$A907="","",IF('ORDENES'!$E907="","-",'ORDENES'!$E907))</f>
        <v/>
      </c>
      <c r="L929" s="13">
        <f>IF('ORDENES'!$A907="","",IF('ORDENES'!$M907="",0,'ORDENES'!$M907))</f>
        <v/>
      </c>
      <c r="M929" s="3">
        <f>IF('ORDENES'!$A907="","",IF('ORDENES'!$N907="","-",'ORDENES'!$N907))</f>
        <v/>
      </c>
      <c r="N929" s="3">
        <f>IF('ORDENES'!$A907="","",'ORDENES'!$AD907)</f>
        <v/>
      </c>
    </row>
    <row r="930">
      <c r="A930" s="3">
        <f>IF('ORDENES'!$A908="","",IF('ORDENES'!$O908="","-",'ORDENES'!$O908))</f>
        <v/>
      </c>
      <c r="B930" s="3">
        <f>IF('ORDENES'!$A908="","",IF('ORDENES'!$R908="","-",'ORDENES'!$R908))</f>
        <v/>
      </c>
      <c r="C930" s="3">
        <f>IF('ORDENES'!$A908="","",IF('ORDENES'!$AF908="","-",'ORDENES'!$AF908))</f>
        <v/>
      </c>
      <c r="D930" s="3">
        <f>IF('ORDENES'!$A908="","",IF('ORDENES'!$X908="","-",'ORDENES'!$X908))</f>
        <v/>
      </c>
      <c r="E930" s="3">
        <f>IF('ORDENES'!$A908="","",IF('ORDENES'!$V908="","-",'ORDENES'!$V908))</f>
        <v/>
      </c>
      <c r="F930" s="3">
        <f>IF('ORDENES'!$A908="","",IF('ORDENES'!$Y908="","-",'ORDENES'!$Y908))</f>
        <v/>
      </c>
      <c r="G930" s="3">
        <f>IF('ORDENES'!$A908="","",IF('ORDENES'!$W908="","-",'ORDENES'!$W908))</f>
        <v/>
      </c>
      <c r="H930" s="3">
        <f>IF('ORDENES'!$A908="","",IF('ORDENES'!$AE908="","-",'ORDENES'!$AE908))</f>
        <v/>
      </c>
      <c r="I930" s="3">
        <f>IF('ORDENES'!$A908="","",IF('ORDENES'!$AQ908="","-",'ORDENES'!$AQ908))</f>
        <v/>
      </c>
      <c r="J930" s="3">
        <f>IF('ORDENES'!$A908="","",IF('ORDENES'!$D908="","-",'ORDENES'!$D908))</f>
        <v/>
      </c>
      <c r="K930" s="3">
        <f>IF('ORDENES'!$A908="","",IF('ORDENES'!$E908="","-",'ORDENES'!$E908))</f>
        <v/>
      </c>
      <c r="L930" s="13">
        <f>IF('ORDENES'!$A908="","",IF('ORDENES'!$M908="",0,'ORDENES'!$M908))</f>
        <v/>
      </c>
      <c r="M930" s="3">
        <f>IF('ORDENES'!$A908="","",IF('ORDENES'!$N908="","-",'ORDENES'!$N908))</f>
        <v/>
      </c>
      <c r="N930" s="3">
        <f>IF('ORDENES'!$A908="","",'ORDENES'!$AD908)</f>
        <v/>
      </c>
    </row>
    <row r="931">
      <c r="A931" s="3">
        <f>IF('ORDENES'!$A909="","",IF('ORDENES'!$O909="","-",'ORDENES'!$O909))</f>
        <v/>
      </c>
      <c r="B931" s="3">
        <f>IF('ORDENES'!$A909="","",IF('ORDENES'!$R909="","-",'ORDENES'!$R909))</f>
        <v/>
      </c>
      <c r="C931" s="3">
        <f>IF('ORDENES'!$A909="","",IF('ORDENES'!$AF909="","-",'ORDENES'!$AF909))</f>
        <v/>
      </c>
      <c r="D931" s="3">
        <f>IF('ORDENES'!$A909="","",IF('ORDENES'!$X909="","-",'ORDENES'!$X909))</f>
        <v/>
      </c>
      <c r="E931" s="3">
        <f>IF('ORDENES'!$A909="","",IF('ORDENES'!$V909="","-",'ORDENES'!$V909))</f>
        <v/>
      </c>
      <c r="F931" s="3">
        <f>IF('ORDENES'!$A909="","",IF('ORDENES'!$Y909="","-",'ORDENES'!$Y909))</f>
        <v/>
      </c>
      <c r="G931" s="3">
        <f>IF('ORDENES'!$A909="","",IF('ORDENES'!$W909="","-",'ORDENES'!$W909))</f>
        <v/>
      </c>
      <c r="H931" s="3">
        <f>IF('ORDENES'!$A909="","",IF('ORDENES'!$AE909="","-",'ORDENES'!$AE909))</f>
        <v/>
      </c>
      <c r="I931" s="3">
        <f>IF('ORDENES'!$A909="","",IF('ORDENES'!$AQ909="","-",'ORDENES'!$AQ909))</f>
        <v/>
      </c>
      <c r="J931" s="3">
        <f>IF('ORDENES'!$A909="","",IF('ORDENES'!$D909="","-",'ORDENES'!$D909))</f>
        <v/>
      </c>
      <c r="K931" s="3">
        <f>IF('ORDENES'!$A909="","",IF('ORDENES'!$E909="","-",'ORDENES'!$E909))</f>
        <v/>
      </c>
      <c r="L931" s="13">
        <f>IF('ORDENES'!$A909="","",IF('ORDENES'!$M909="",0,'ORDENES'!$M909))</f>
        <v/>
      </c>
      <c r="M931" s="3">
        <f>IF('ORDENES'!$A909="","",IF('ORDENES'!$N909="","-",'ORDENES'!$N909))</f>
        <v/>
      </c>
      <c r="N931" s="3">
        <f>IF('ORDENES'!$A909="","",'ORDENES'!$AD909)</f>
        <v/>
      </c>
    </row>
    <row r="932">
      <c r="A932" s="3">
        <f>IF('ORDENES'!$A910="","",IF('ORDENES'!$O910="","-",'ORDENES'!$O910))</f>
        <v/>
      </c>
      <c r="B932" s="3">
        <f>IF('ORDENES'!$A910="","",IF('ORDENES'!$R910="","-",'ORDENES'!$R910))</f>
        <v/>
      </c>
      <c r="C932" s="3">
        <f>IF('ORDENES'!$A910="","",IF('ORDENES'!$AF910="","-",'ORDENES'!$AF910))</f>
        <v/>
      </c>
      <c r="D932" s="3">
        <f>IF('ORDENES'!$A910="","",IF('ORDENES'!$X910="","-",'ORDENES'!$X910))</f>
        <v/>
      </c>
      <c r="E932" s="3">
        <f>IF('ORDENES'!$A910="","",IF('ORDENES'!$V910="","-",'ORDENES'!$V910))</f>
        <v/>
      </c>
      <c r="F932" s="3">
        <f>IF('ORDENES'!$A910="","",IF('ORDENES'!$Y910="","-",'ORDENES'!$Y910))</f>
        <v/>
      </c>
      <c r="G932" s="3">
        <f>IF('ORDENES'!$A910="","",IF('ORDENES'!$W910="","-",'ORDENES'!$W910))</f>
        <v/>
      </c>
      <c r="H932" s="3">
        <f>IF('ORDENES'!$A910="","",IF('ORDENES'!$AE910="","-",'ORDENES'!$AE910))</f>
        <v/>
      </c>
      <c r="I932" s="3">
        <f>IF('ORDENES'!$A910="","",IF('ORDENES'!$AQ910="","-",'ORDENES'!$AQ910))</f>
        <v/>
      </c>
      <c r="J932" s="3">
        <f>IF('ORDENES'!$A910="","",IF('ORDENES'!$D910="","-",'ORDENES'!$D910))</f>
        <v/>
      </c>
      <c r="K932" s="3">
        <f>IF('ORDENES'!$A910="","",IF('ORDENES'!$E910="","-",'ORDENES'!$E910))</f>
        <v/>
      </c>
      <c r="L932" s="13">
        <f>IF('ORDENES'!$A910="","",IF('ORDENES'!$M910="",0,'ORDENES'!$M910))</f>
        <v/>
      </c>
      <c r="M932" s="3">
        <f>IF('ORDENES'!$A910="","",IF('ORDENES'!$N910="","-",'ORDENES'!$N910))</f>
        <v/>
      </c>
      <c r="N932" s="3">
        <f>IF('ORDENES'!$A910="","",'ORDENES'!$AD910)</f>
        <v/>
      </c>
    </row>
    <row r="933">
      <c r="A933" s="3">
        <f>IF('ORDENES'!$A911="","",IF('ORDENES'!$O911="","-",'ORDENES'!$O911))</f>
        <v/>
      </c>
      <c r="B933" s="3">
        <f>IF('ORDENES'!$A911="","",IF('ORDENES'!$R911="","-",'ORDENES'!$R911))</f>
        <v/>
      </c>
      <c r="C933" s="3">
        <f>IF('ORDENES'!$A911="","",IF('ORDENES'!$AF911="","-",'ORDENES'!$AF911))</f>
        <v/>
      </c>
      <c r="D933" s="3">
        <f>IF('ORDENES'!$A911="","",IF('ORDENES'!$X911="","-",'ORDENES'!$X911))</f>
        <v/>
      </c>
      <c r="E933" s="3">
        <f>IF('ORDENES'!$A911="","",IF('ORDENES'!$V911="","-",'ORDENES'!$V911))</f>
        <v/>
      </c>
      <c r="F933" s="3">
        <f>IF('ORDENES'!$A911="","",IF('ORDENES'!$Y911="","-",'ORDENES'!$Y911))</f>
        <v/>
      </c>
      <c r="G933" s="3">
        <f>IF('ORDENES'!$A911="","",IF('ORDENES'!$W911="","-",'ORDENES'!$W911))</f>
        <v/>
      </c>
      <c r="H933" s="3">
        <f>IF('ORDENES'!$A911="","",IF('ORDENES'!$AE911="","-",'ORDENES'!$AE911))</f>
        <v/>
      </c>
      <c r="I933" s="3">
        <f>IF('ORDENES'!$A911="","",IF('ORDENES'!$AQ911="","-",'ORDENES'!$AQ911))</f>
        <v/>
      </c>
      <c r="J933" s="3">
        <f>IF('ORDENES'!$A911="","",IF('ORDENES'!$D911="","-",'ORDENES'!$D911))</f>
        <v/>
      </c>
      <c r="K933" s="3">
        <f>IF('ORDENES'!$A911="","",IF('ORDENES'!$E911="","-",'ORDENES'!$E911))</f>
        <v/>
      </c>
      <c r="L933" s="13">
        <f>IF('ORDENES'!$A911="","",IF('ORDENES'!$M911="",0,'ORDENES'!$M911))</f>
        <v/>
      </c>
      <c r="M933" s="3">
        <f>IF('ORDENES'!$A911="","",IF('ORDENES'!$N911="","-",'ORDENES'!$N911))</f>
        <v/>
      </c>
      <c r="N933" s="3">
        <f>IF('ORDENES'!$A911="","",'ORDENES'!$AD911)</f>
        <v/>
      </c>
    </row>
    <row r="934">
      <c r="A934" s="3">
        <f>IF('ORDENES'!$A912="","",IF('ORDENES'!$O912="","-",'ORDENES'!$O912))</f>
        <v/>
      </c>
      <c r="B934" s="3">
        <f>IF('ORDENES'!$A912="","",IF('ORDENES'!$R912="","-",'ORDENES'!$R912))</f>
        <v/>
      </c>
      <c r="C934" s="3">
        <f>IF('ORDENES'!$A912="","",IF('ORDENES'!$AF912="","-",'ORDENES'!$AF912))</f>
        <v/>
      </c>
      <c r="D934" s="3">
        <f>IF('ORDENES'!$A912="","",IF('ORDENES'!$X912="","-",'ORDENES'!$X912))</f>
        <v/>
      </c>
      <c r="E934" s="3">
        <f>IF('ORDENES'!$A912="","",IF('ORDENES'!$V912="","-",'ORDENES'!$V912))</f>
        <v/>
      </c>
      <c r="F934" s="3">
        <f>IF('ORDENES'!$A912="","",IF('ORDENES'!$Y912="","-",'ORDENES'!$Y912))</f>
        <v/>
      </c>
      <c r="G934" s="3">
        <f>IF('ORDENES'!$A912="","",IF('ORDENES'!$W912="","-",'ORDENES'!$W912))</f>
        <v/>
      </c>
      <c r="H934" s="3">
        <f>IF('ORDENES'!$A912="","",IF('ORDENES'!$AE912="","-",'ORDENES'!$AE912))</f>
        <v/>
      </c>
      <c r="I934" s="3">
        <f>IF('ORDENES'!$A912="","",IF('ORDENES'!$AQ912="","-",'ORDENES'!$AQ912))</f>
        <v/>
      </c>
      <c r="J934" s="3">
        <f>IF('ORDENES'!$A912="","",IF('ORDENES'!$D912="","-",'ORDENES'!$D912))</f>
        <v/>
      </c>
      <c r="K934" s="3">
        <f>IF('ORDENES'!$A912="","",IF('ORDENES'!$E912="","-",'ORDENES'!$E912))</f>
        <v/>
      </c>
      <c r="L934" s="13">
        <f>IF('ORDENES'!$A912="","",IF('ORDENES'!$M912="",0,'ORDENES'!$M912))</f>
        <v/>
      </c>
      <c r="M934" s="3">
        <f>IF('ORDENES'!$A912="","",IF('ORDENES'!$N912="","-",'ORDENES'!$N912))</f>
        <v/>
      </c>
      <c r="N934" s="3">
        <f>IF('ORDENES'!$A912="","",'ORDENES'!$AD912)</f>
        <v/>
      </c>
    </row>
    <row r="935">
      <c r="A935" s="3">
        <f>IF('ORDENES'!$A913="","",IF('ORDENES'!$O913="","-",'ORDENES'!$O913))</f>
        <v/>
      </c>
      <c r="B935" s="3">
        <f>IF('ORDENES'!$A913="","",IF('ORDENES'!$R913="","-",'ORDENES'!$R913))</f>
        <v/>
      </c>
      <c r="C935" s="3">
        <f>IF('ORDENES'!$A913="","",IF('ORDENES'!$AF913="","-",'ORDENES'!$AF913))</f>
        <v/>
      </c>
      <c r="D935" s="3">
        <f>IF('ORDENES'!$A913="","",IF('ORDENES'!$X913="","-",'ORDENES'!$X913))</f>
        <v/>
      </c>
      <c r="E935" s="3">
        <f>IF('ORDENES'!$A913="","",IF('ORDENES'!$V913="","-",'ORDENES'!$V913))</f>
        <v/>
      </c>
      <c r="F935" s="3">
        <f>IF('ORDENES'!$A913="","",IF('ORDENES'!$Y913="","-",'ORDENES'!$Y913))</f>
        <v/>
      </c>
      <c r="G935" s="3">
        <f>IF('ORDENES'!$A913="","",IF('ORDENES'!$W913="","-",'ORDENES'!$W913))</f>
        <v/>
      </c>
      <c r="H935" s="3">
        <f>IF('ORDENES'!$A913="","",IF('ORDENES'!$AE913="","-",'ORDENES'!$AE913))</f>
        <v/>
      </c>
      <c r="I935" s="3">
        <f>IF('ORDENES'!$A913="","",IF('ORDENES'!$AQ913="","-",'ORDENES'!$AQ913))</f>
        <v/>
      </c>
      <c r="J935" s="3">
        <f>IF('ORDENES'!$A913="","",IF('ORDENES'!$D913="","-",'ORDENES'!$D913))</f>
        <v/>
      </c>
      <c r="K935" s="3">
        <f>IF('ORDENES'!$A913="","",IF('ORDENES'!$E913="","-",'ORDENES'!$E913))</f>
        <v/>
      </c>
      <c r="L935" s="13">
        <f>IF('ORDENES'!$A913="","",IF('ORDENES'!$M913="",0,'ORDENES'!$M913))</f>
        <v/>
      </c>
      <c r="M935" s="3">
        <f>IF('ORDENES'!$A913="","",IF('ORDENES'!$N913="","-",'ORDENES'!$N913))</f>
        <v/>
      </c>
      <c r="N935" s="3">
        <f>IF('ORDENES'!$A913="","",'ORDENES'!$AD913)</f>
        <v/>
      </c>
    </row>
    <row r="936">
      <c r="A936" s="3">
        <f>IF('ORDENES'!$A914="","",IF('ORDENES'!$O914="","-",'ORDENES'!$O914))</f>
        <v/>
      </c>
      <c r="B936" s="3">
        <f>IF('ORDENES'!$A914="","",IF('ORDENES'!$R914="","-",'ORDENES'!$R914))</f>
        <v/>
      </c>
      <c r="C936" s="3">
        <f>IF('ORDENES'!$A914="","",IF('ORDENES'!$AF914="","-",'ORDENES'!$AF914))</f>
        <v/>
      </c>
      <c r="D936" s="3">
        <f>IF('ORDENES'!$A914="","",IF('ORDENES'!$X914="","-",'ORDENES'!$X914))</f>
        <v/>
      </c>
      <c r="E936" s="3">
        <f>IF('ORDENES'!$A914="","",IF('ORDENES'!$V914="","-",'ORDENES'!$V914))</f>
        <v/>
      </c>
      <c r="F936" s="3">
        <f>IF('ORDENES'!$A914="","",IF('ORDENES'!$Y914="","-",'ORDENES'!$Y914))</f>
        <v/>
      </c>
      <c r="G936" s="3">
        <f>IF('ORDENES'!$A914="","",IF('ORDENES'!$W914="","-",'ORDENES'!$W914))</f>
        <v/>
      </c>
      <c r="H936" s="3">
        <f>IF('ORDENES'!$A914="","",IF('ORDENES'!$AE914="","-",'ORDENES'!$AE914))</f>
        <v/>
      </c>
      <c r="I936" s="3">
        <f>IF('ORDENES'!$A914="","",IF('ORDENES'!$AQ914="","-",'ORDENES'!$AQ914))</f>
        <v/>
      </c>
      <c r="J936" s="3">
        <f>IF('ORDENES'!$A914="","",IF('ORDENES'!$D914="","-",'ORDENES'!$D914))</f>
        <v/>
      </c>
      <c r="K936" s="3">
        <f>IF('ORDENES'!$A914="","",IF('ORDENES'!$E914="","-",'ORDENES'!$E914))</f>
        <v/>
      </c>
      <c r="L936" s="13">
        <f>IF('ORDENES'!$A914="","",IF('ORDENES'!$M914="",0,'ORDENES'!$M914))</f>
        <v/>
      </c>
      <c r="M936" s="3">
        <f>IF('ORDENES'!$A914="","",IF('ORDENES'!$N914="","-",'ORDENES'!$N914))</f>
        <v/>
      </c>
      <c r="N936" s="3">
        <f>IF('ORDENES'!$A914="","",'ORDENES'!$AD914)</f>
        <v/>
      </c>
    </row>
    <row r="937">
      <c r="A937" s="3">
        <f>IF('ORDENES'!$A915="","",IF('ORDENES'!$O915="","-",'ORDENES'!$O915))</f>
        <v/>
      </c>
      <c r="B937" s="3">
        <f>IF('ORDENES'!$A915="","",IF('ORDENES'!$R915="","-",'ORDENES'!$R915))</f>
        <v/>
      </c>
      <c r="C937" s="3">
        <f>IF('ORDENES'!$A915="","",IF('ORDENES'!$AF915="","-",'ORDENES'!$AF915))</f>
        <v/>
      </c>
      <c r="D937" s="3">
        <f>IF('ORDENES'!$A915="","",IF('ORDENES'!$X915="","-",'ORDENES'!$X915))</f>
        <v/>
      </c>
      <c r="E937" s="3">
        <f>IF('ORDENES'!$A915="","",IF('ORDENES'!$V915="","-",'ORDENES'!$V915))</f>
        <v/>
      </c>
      <c r="F937" s="3">
        <f>IF('ORDENES'!$A915="","",IF('ORDENES'!$Y915="","-",'ORDENES'!$Y915))</f>
        <v/>
      </c>
      <c r="G937" s="3">
        <f>IF('ORDENES'!$A915="","",IF('ORDENES'!$W915="","-",'ORDENES'!$W915))</f>
        <v/>
      </c>
      <c r="H937" s="3">
        <f>IF('ORDENES'!$A915="","",IF('ORDENES'!$AE915="","-",'ORDENES'!$AE915))</f>
        <v/>
      </c>
      <c r="I937" s="3">
        <f>IF('ORDENES'!$A915="","",IF('ORDENES'!$AQ915="","-",'ORDENES'!$AQ915))</f>
        <v/>
      </c>
      <c r="J937" s="3">
        <f>IF('ORDENES'!$A915="","",IF('ORDENES'!$D915="","-",'ORDENES'!$D915))</f>
        <v/>
      </c>
      <c r="K937" s="3">
        <f>IF('ORDENES'!$A915="","",IF('ORDENES'!$E915="","-",'ORDENES'!$E915))</f>
        <v/>
      </c>
      <c r="L937" s="13">
        <f>IF('ORDENES'!$A915="","",IF('ORDENES'!$M915="",0,'ORDENES'!$M915))</f>
        <v/>
      </c>
      <c r="M937" s="3">
        <f>IF('ORDENES'!$A915="","",IF('ORDENES'!$N915="","-",'ORDENES'!$N915))</f>
        <v/>
      </c>
      <c r="N937" s="3">
        <f>IF('ORDENES'!$A915="","",'ORDENES'!$AD915)</f>
        <v/>
      </c>
    </row>
    <row r="938">
      <c r="A938" s="3">
        <f>IF('ORDENES'!$A916="","",IF('ORDENES'!$O916="","-",'ORDENES'!$O916))</f>
        <v/>
      </c>
      <c r="B938" s="3">
        <f>IF('ORDENES'!$A916="","",IF('ORDENES'!$R916="","-",'ORDENES'!$R916))</f>
        <v/>
      </c>
      <c r="C938" s="3">
        <f>IF('ORDENES'!$A916="","",IF('ORDENES'!$AF916="","-",'ORDENES'!$AF916))</f>
        <v/>
      </c>
      <c r="D938" s="3">
        <f>IF('ORDENES'!$A916="","",IF('ORDENES'!$X916="","-",'ORDENES'!$X916))</f>
        <v/>
      </c>
      <c r="E938" s="3">
        <f>IF('ORDENES'!$A916="","",IF('ORDENES'!$V916="","-",'ORDENES'!$V916))</f>
        <v/>
      </c>
      <c r="F938" s="3">
        <f>IF('ORDENES'!$A916="","",IF('ORDENES'!$Y916="","-",'ORDENES'!$Y916))</f>
        <v/>
      </c>
      <c r="G938" s="3">
        <f>IF('ORDENES'!$A916="","",IF('ORDENES'!$W916="","-",'ORDENES'!$W916))</f>
        <v/>
      </c>
      <c r="H938" s="3">
        <f>IF('ORDENES'!$A916="","",IF('ORDENES'!$AE916="","-",'ORDENES'!$AE916))</f>
        <v/>
      </c>
      <c r="I938" s="3">
        <f>IF('ORDENES'!$A916="","",IF('ORDENES'!$AQ916="","-",'ORDENES'!$AQ916))</f>
        <v/>
      </c>
      <c r="J938" s="3">
        <f>IF('ORDENES'!$A916="","",IF('ORDENES'!$D916="","-",'ORDENES'!$D916))</f>
        <v/>
      </c>
      <c r="K938" s="3">
        <f>IF('ORDENES'!$A916="","",IF('ORDENES'!$E916="","-",'ORDENES'!$E916))</f>
        <v/>
      </c>
      <c r="L938" s="13">
        <f>IF('ORDENES'!$A916="","",IF('ORDENES'!$M916="",0,'ORDENES'!$M916))</f>
        <v/>
      </c>
      <c r="M938" s="3">
        <f>IF('ORDENES'!$A916="","",IF('ORDENES'!$N916="","-",'ORDENES'!$N916))</f>
        <v/>
      </c>
      <c r="N938" s="3">
        <f>IF('ORDENES'!$A916="","",'ORDENES'!$AD916)</f>
        <v/>
      </c>
    </row>
    <row r="939">
      <c r="A939" s="3">
        <f>IF('ORDENES'!$A917="","",IF('ORDENES'!$O917="","-",'ORDENES'!$O917))</f>
        <v/>
      </c>
      <c r="B939" s="3">
        <f>IF('ORDENES'!$A917="","",IF('ORDENES'!$R917="","-",'ORDENES'!$R917))</f>
        <v/>
      </c>
      <c r="C939" s="3">
        <f>IF('ORDENES'!$A917="","",IF('ORDENES'!$AF917="","-",'ORDENES'!$AF917))</f>
        <v/>
      </c>
      <c r="D939" s="3">
        <f>IF('ORDENES'!$A917="","",IF('ORDENES'!$X917="","-",'ORDENES'!$X917))</f>
        <v/>
      </c>
      <c r="E939" s="3">
        <f>IF('ORDENES'!$A917="","",IF('ORDENES'!$V917="","-",'ORDENES'!$V917))</f>
        <v/>
      </c>
      <c r="F939" s="3">
        <f>IF('ORDENES'!$A917="","",IF('ORDENES'!$Y917="","-",'ORDENES'!$Y917))</f>
        <v/>
      </c>
      <c r="G939" s="3">
        <f>IF('ORDENES'!$A917="","",IF('ORDENES'!$W917="","-",'ORDENES'!$W917))</f>
        <v/>
      </c>
      <c r="H939" s="3">
        <f>IF('ORDENES'!$A917="","",IF('ORDENES'!$AE917="","-",'ORDENES'!$AE917))</f>
        <v/>
      </c>
      <c r="I939" s="3">
        <f>IF('ORDENES'!$A917="","",IF('ORDENES'!$AQ917="","-",'ORDENES'!$AQ917))</f>
        <v/>
      </c>
      <c r="J939" s="3">
        <f>IF('ORDENES'!$A917="","",IF('ORDENES'!$D917="","-",'ORDENES'!$D917))</f>
        <v/>
      </c>
      <c r="K939" s="3">
        <f>IF('ORDENES'!$A917="","",IF('ORDENES'!$E917="","-",'ORDENES'!$E917))</f>
        <v/>
      </c>
      <c r="L939" s="13">
        <f>IF('ORDENES'!$A917="","",IF('ORDENES'!$M917="",0,'ORDENES'!$M917))</f>
        <v/>
      </c>
      <c r="M939" s="3">
        <f>IF('ORDENES'!$A917="","",IF('ORDENES'!$N917="","-",'ORDENES'!$N917))</f>
        <v/>
      </c>
      <c r="N939" s="3">
        <f>IF('ORDENES'!$A917="","",'ORDENES'!$AD917)</f>
        <v/>
      </c>
    </row>
    <row r="940">
      <c r="A940" s="3">
        <f>IF('ORDENES'!$A918="","",IF('ORDENES'!$O918="","-",'ORDENES'!$O918))</f>
        <v/>
      </c>
      <c r="B940" s="3">
        <f>IF('ORDENES'!$A918="","",IF('ORDENES'!$R918="","-",'ORDENES'!$R918))</f>
        <v/>
      </c>
      <c r="C940" s="3">
        <f>IF('ORDENES'!$A918="","",IF('ORDENES'!$AF918="","-",'ORDENES'!$AF918))</f>
        <v/>
      </c>
      <c r="D940" s="3">
        <f>IF('ORDENES'!$A918="","",IF('ORDENES'!$X918="","-",'ORDENES'!$X918))</f>
        <v/>
      </c>
      <c r="E940" s="3">
        <f>IF('ORDENES'!$A918="","",IF('ORDENES'!$V918="","-",'ORDENES'!$V918))</f>
        <v/>
      </c>
      <c r="F940" s="3">
        <f>IF('ORDENES'!$A918="","",IF('ORDENES'!$Y918="","-",'ORDENES'!$Y918))</f>
        <v/>
      </c>
      <c r="G940" s="3">
        <f>IF('ORDENES'!$A918="","",IF('ORDENES'!$W918="","-",'ORDENES'!$W918))</f>
        <v/>
      </c>
      <c r="H940" s="3">
        <f>IF('ORDENES'!$A918="","",IF('ORDENES'!$AE918="","-",'ORDENES'!$AE918))</f>
        <v/>
      </c>
      <c r="I940" s="3">
        <f>IF('ORDENES'!$A918="","",IF('ORDENES'!$AQ918="","-",'ORDENES'!$AQ918))</f>
        <v/>
      </c>
      <c r="J940" s="3">
        <f>IF('ORDENES'!$A918="","",IF('ORDENES'!$D918="","-",'ORDENES'!$D918))</f>
        <v/>
      </c>
      <c r="K940" s="3">
        <f>IF('ORDENES'!$A918="","",IF('ORDENES'!$E918="","-",'ORDENES'!$E918))</f>
        <v/>
      </c>
      <c r="L940" s="13">
        <f>IF('ORDENES'!$A918="","",IF('ORDENES'!$M918="",0,'ORDENES'!$M918))</f>
        <v/>
      </c>
      <c r="M940" s="3">
        <f>IF('ORDENES'!$A918="","",IF('ORDENES'!$N918="","-",'ORDENES'!$N918))</f>
        <v/>
      </c>
      <c r="N940" s="3">
        <f>IF('ORDENES'!$A918="","",'ORDENES'!$AD918)</f>
        <v/>
      </c>
    </row>
    <row r="941">
      <c r="A941" s="3">
        <f>IF('ORDENES'!$A919="","",IF('ORDENES'!$O919="","-",'ORDENES'!$O919))</f>
        <v/>
      </c>
      <c r="B941" s="3">
        <f>IF('ORDENES'!$A919="","",IF('ORDENES'!$R919="","-",'ORDENES'!$R919))</f>
        <v/>
      </c>
      <c r="C941" s="3">
        <f>IF('ORDENES'!$A919="","",IF('ORDENES'!$AF919="","-",'ORDENES'!$AF919))</f>
        <v/>
      </c>
      <c r="D941" s="3">
        <f>IF('ORDENES'!$A919="","",IF('ORDENES'!$X919="","-",'ORDENES'!$X919))</f>
        <v/>
      </c>
      <c r="E941" s="3">
        <f>IF('ORDENES'!$A919="","",IF('ORDENES'!$V919="","-",'ORDENES'!$V919))</f>
        <v/>
      </c>
      <c r="F941" s="3">
        <f>IF('ORDENES'!$A919="","",IF('ORDENES'!$Y919="","-",'ORDENES'!$Y919))</f>
        <v/>
      </c>
      <c r="G941" s="3">
        <f>IF('ORDENES'!$A919="","",IF('ORDENES'!$W919="","-",'ORDENES'!$W919))</f>
        <v/>
      </c>
      <c r="H941" s="3">
        <f>IF('ORDENES'!$A919="","",IF('ORDENES'!$AE919="","-",'ORDENES'!$AE919))</f>
        <v/>
      </c>
      <c r="I941" s="3">
        <f>IF('ORDENES'!$A919="","",IF('ORDENES'!$AQ919="","-",'ORDENES'!$AQ919))</f>
        <v/>
      </c>
      <c r="J941" s="3">
        <f>IF('ORDENES'!$A919="","",IF('ORDENES'!$D919="","-",'ORDENES'!$D919))</f>
        <v/>
      </c>
      <c r="K941" s="3">
        <f>IF('ORDENES'!$A919="","",IF('ORDENES'!$E919="","-",'ORDENES'!$E919))</f>
        <v/>
      </c>
      <c r="L941" s="13">
        <f>IF('ORDENES'!$A919="","",IF('ORDENES'!$M919="",0,'ORDENES'!$M919))</f>
        <v/>
      </c>
      <c r="M941" s="3">
        <f>IF('ORDENES'!$A919="","",IF('ORDENES'!$N919="","-",'ORDENES'!$N919))</f>
        <v/>
      </c>
      <c r="N941" s="3">
        <f>IF('ORDENES'!$A919="","",'ORDENES'!$AD919)</f>
        <v/>
      </c>
    </row>
    <row r="942">
      <c r="A942" s="3">
        <f>IF('ORDENES'!$A920="","",IF('ORDENES'!$O920="","-",'ORDENES'!$O920))</f>
        <v/>
      </c>
      <c r="B942" s="3">
        <f>IF('ORDENES'!$A920="","",IF('ORDENES'!$R920="","-",'ORDENES'!$R920))</f>
        <v/>
      </c>
      <c r="C942" s="3">
        <f>IF('ORDENES'!$A920="","",IF('ORDENES'!$AF920="","-",'ORDENES'!$AF920))</f>
        <v/>
      </c>
      <c r="D942" s="3">
        <f>IF('ORDENES'!$A920="","",IF('ORDENES'!$X920="","-",'ORDENES'!$X920))</f>
        <v/>
      </c>
      <c r="E942" s="3">
        <f>IF('ORDENES'!$A920="","",IF('ORDENES'!$V920="","-",'ORDENES'!$V920))</f>
        <v/>
      </c>
      <c r="F942" s="3">
        <f>IF('ORDENES'!$A920="","",IF('ORDENES'!$Y920="","-",'ORDENES'!$Y920))</f>
        <v/>
      </c>
      <c r="G942" s="3">
        <f>IF('ORDENES'!$A920="","",IF('ORDENES'!$W920="","-",'ORDENES'!$W920))</f>
        <v/>
      </c>
      <c r="H942" s="3">
        <f>IF('ORDENES'!$A920="","",IF('ORDENES'!$AE920="","-",'ORDENES'!$AE920))</f>
        <v/>
      </c>
      <c r="I942" s="3">
        <f>IF('ORDENES'!$A920="","",IF('ORDENES'!$AQ920="","-",'ORDENES'!$AQ920))</f>
        <v/>
      </c>
      <c r="J942" s="3">
        <f>IF('ORDENES'!$A920="","",IF('ORDENES'!$D920="","-",'ORDENES'!$D920))</f>
        <v/>
      </c>
      <c r="K942" s="3">
        <f>IF('ORDENES'!$A920="","",IF('ORDENES'!$E920="","-",'ORDENES'!$E920))</f>
        <v/>
      </c>
      <c r="L942" s="13">
        <f>IF('ORDENES'!$A920="","",IF('ORDENES'!$M920="",0,'ORDENES'!$M920))</f>
        <v/>
      </c>
      <c r="M942" s="3">
        <f>IF('ORDENES'!$A920="","",IF('ORDENES'!$N920="","-",'ORDENES'!$N920))</f>
        <v/>
      </c>
      <c r="N942" s="3">
        <f>IF('ORDENES'!$A920="","",'ORDENES'!$AD920)</f>
        <v/>
      </c>
    </row>
    <row r="943">
      <c r="A943" s="3">
        <f>IF('ORDENES'!$A921="","",IF('ORDENES'!$O921="","-",'ORDENES'!$O921))</f>
        <v/>
      </c>
      <c r="B943" s="3">
        <f>IF('ORDENES'!$A921="","",IF('ORDENES'!$R921="","-",'ORDENES'!$R921))</f>
        <v/>
      </c>
      <c r="C943" s="3">
        <f>IF('ORDENES'!$A921="","",IF('ORDENES'!$AF921="","-",'ORDENES'!$AF921))</f>
        <v/>
      </c>
      <c r="D943" s="3">
        <f>IF('ORDENES'!$A921="","",IF('ORDENES'!$X921="","-",'ORDENES'!$X921))</f>
        <v/>
      </c>
      <c r="E943" s="3">
        <f>IF('ORDENES'!$A921="","",IF('ORDENES'!$V921="","-",'ORDENES'!$V921))</f>
        <v/>
      </c>
      <c r="F943" s="3">
        <f>IF('ORDENES'!$A921="","",IF('ORDENES'!$Y921="","-",'ORDENES'!$Y921))</f>
        <v/>
      </c>
      <c r="G943" s="3">
        <f>IF('ORDENES'!$A921="","",IF('ORDENES'!$W921="","-",'ORDENES'!$W921))</f>
        <v/>
      </c>
      <c r="H943" s="3">
        <f>IF('ORDENES'!$A921="","",IF('ORDENES'!$AE921="","-",'ORDENES'!$AE921))</f>
        <v/>
      </c>
      <c r="I943" s="3">
        <f>IF('ORDENES'!$A921="","",IF('ORDENES'!$AQ921="","-",'ORDENES'!$AQ921))</f>
        <v/>
      </c>
      <c r="J943" s="3">
        <f>IF('ORDENES'!$A921="","",IF('ORDENES'!$D921="","-",'ORDENES'!$D921))</f>
        <v/>
      </c>
      <c r="K943" s="3">
        <f>IF('ORDENES'!$A921="","",IF('ORDENES'!$E921="","-",'ORDENES'!$E921))</f>
        <v/>
      </c>
      <c r="L943" s="13">
        <f>IF('ORDENES'!$A921="","",IF('ORDENES'!$M921="",0,'ORDENES'!$M921))</f>
        <v/>
      </c>
      <c r="M943" s="3">
        <f>IF('ORDENES'!$A921="","",IF('ORDENES'!$N921="","-",'ORDENES'!$N921))</f>
        <v/>
      </c>
      <c r="N943" s="3">
        <f>IF('ORDENES'!$A921="","",'ORDENES'!$AD921)</f>
        <v/>
      </c>
    </row>
    <row r="944">
      <c r="A944" s="3">
        <f>IF('ORDENES'!$A922="","",IF('ORDENES'!$O922="","-",'ORDENES'!$O922))</f>
        <v/>
      </c>
      <c r="B944" s="3">
        <f>IF('ORDENES'!$A922="","",IF('ORDENES'!$R922="","-",'ORDENES'!$R922))</f>
        <v/>
      </c>
      <c r="C944" s="3">
        <f>IF('ORDENES'!$A922="","",IF('ORDENES'!$AF922="","-",'ORDENES'!$AF922))</f>
        <v/>
      </c>
      <c r="D944" s="3">
        <f>IF('ORDENES'!$A922="","",IF('ORDENES'!$X922="","-",'ORDENES'!$X922))</f>
        <v/>
      </c>
      <c r="E944" s="3">
        <f>IF('ORDENES'!$A922="","",IF('ORDENES'!$V922="","-",'ORDENES'!$V922))</f>
        <v/>
      </c>
      <c r="F944" s="3">
        <f>IF('ORDENES'!$A922="","",IF('ORDENES'!$Y922="","-",'ORDENES'!$Y922))</f>
        <v/>
      </c>
      <c r="G944" s="3">
        <f>IF('ORDENES'!$A922="","",IF('ORDENES'!$W922="","-",'ORDENES'!$W922))</f>
        <v/>
      </c>
      <c r="H944" s="3">
        <f>IF('ORDENES'!$A922="","",IF('ORDENES'!$AE922="","-",'ORDENES'!$AE922))</f>
        <v/>
      </c>
      <c r="I944" s="3">
        <f>IF('ORDENES'!$A922="","",IF('ORDENES'!$AQ922="","-",'ORDENES'!$AQ922))</f>
        <v/>
      </c>
      <c r="J944" s="3">
        <f>IF('ORDENES'!$A922="","",IF('ORDENES'!$D922="","-",'ORDENES'!$D922))</f>
        <v/>
      </c>
      <c r="K944" s="3">
        <f>IF('ORDENES'!$A922="","",IF('ORDENES'!$E922="","-",'ORDENES'!$E922))</f>
        <v/>
      </c>
      <c r="L944" s="13">
        <f>IF('ORDENES'!$A922="","",IF('ORDENES'!$M922="",0,'ORDENES'!$M922))</f>
        <v/>
      </c>
      <c r="M944" s="3">
        <f>IF('ORDENES'!$A922="","",IF('ORDENES'!$N922="","-",'ORDENES'!$N922))</f>
        <v/>
      </c>
      <c r="N944" s="3">
        <f>IF('ORDENES'!$A922="","",'ORDENES'!$AD922)</f>
        <v/>
      </c>
    </row>
    <row r="945">
      <c r="A945" s="3">
        <f>IF('ORDENES'!$A923="","",IF('ORDENES'!$O923="","-",'ORDENES'!$O923))</f>
        <v/>
      </c>
      <c r="B945" s="3">
        <f>IF('ORDENES'!$A923="","",IF('ORDENES'!$R923="","-",'ORDENES'!$R923))</f>
        <v/>
      </c>
      <c r="C945" s="3">
        <f>IF('ORDENES'!$A923="","",IF('ORDENES'!$AF923="","-",'ORDENES'!$AF923))</f>
        <v/>
      </c>
      <c r="D945" s="3">
        <f>IF('ORDENES'!$A923="","",IF('ORDENES'!$X923="","-",'ORDENES'!$X923))</f>
        <v/>
      </c>
      <c r="E945" s="3">
        <f>IF('ORDENES'!$A923="","",IF('ORDENES'!$V923="","-",'ORDENES'!$V923))</f>
        <v/>
      </c>
      <c r="F945" s="3">
        <f>IF('ORDENES'!$A923="","",IF('ORDENES'!$Y923="","-",'ORDENES'!$Y923))</f>
        <v/>
      </c>
      <c r="G945" s="3">
        <f>IF('ORDENES'!$A923="","",IF('ORDENES'!$W923="","-",'ORDENES'!$W923))</f>
        <v/>
      </c>
      <c r="H945" s="3">
        <f>IF('ORDENES'!$A923="","",IF('ORDENES'!$AE923="","-",'ORDENES'!$AE923))</f>
        <v/>
      </c>
      <c r="I945" s="3">
        <f>IF('ORDENES'!$A923="","",IF('ORDENES'!$AQ923="","-",'ORDENES'!$AQ923))</f>
        <v/>
      </c>
      <c r="J945" s="3">
        <f>IF('ORDENES'!$A923="","",IF('ORDENES'!$D923="","-",'ORDENES'!$D923))</f>
        <v/>
      </c>
      <c r="K945" s="3">
        <f>IF('ORDENES'!$A923="","",IF('ORDENES'!$E923="","-",'ORDENES'!$E923))</f>
        <v/>
      </c>
      <c r="L945" s="13">
        <f>IF('ORDENES'!$A923="","",IF('ORDENES'!$M923="",0,'ORDENES'!$M923))</f>
        <v/>
      </c>
      <c r="M945" s="3">
        <f>IF('ORDENES'!$A923="","",IF('ORDENES'!$N923="","-",'ORDENES'!$N923))</f>
        <v/>
      </c>
      <c r="N945" s="3">
        <f>IF('ORDENES'!$A923="","",'ORDENES'!$AD923)</f>
        <v/>
      </c>
    </row>
    <row r="946">
      <c r="A946" s="3">
        <f>IF('ORDENES'!$A924="","",IF('ORDENES'!$O924="","-",'ORDENES'!$O924))</f>
        <v/>
      </c>
      <c r="B946" s="3">
        <f>IF('ORDENES'!$A924="","",IF('ORDENES'!$R924="","-",'ORDENES'!$R924))</f>
        <v/>
      </c>
      <c r="C946" s="3">
        <f>IF('ORDENES'!$A924="","",IF('ORDENES'!$AF924="","-",'ORDENES'!$AF924))</f>
        <v/>
      </c>
      <c r="D946" s="3">
        <f>IF('ORDENES'!$A924="","",IF('ORDENES'!$X924="","-",'ORDENES'!$X924))</f>
        <v/>
      </c>
      <c r="E946" s="3">
        <f>IF('ORDENES'!$A924="","",IF('ORDENES'!$V924="","-",'ORDENES'!$V924))</f>
        <v/>
      </c>
      <c r="F946" s="3">
        <f>IF('ORDENES'!$A924="","",IF('ORDENES'!$Y924="","-",'ORDENES'!$Y924))</f>
        <v/>
      </c>
      <c r="G946" s="3">
        <f>IF('ORDENES'!$A924="","",IF('ORDENES'!$W924="","-",'ORDENES'!$W924))</f>
        <v/>
      </c>
      <c r="H946" s="3">
        <f>IF('ORDENES'!$A924="","",IF('ORDENES'!$AE924="","-",'ORDENES'!$AE924))</f>
        <v/>
      </c>
      <c r="I946" s="3">
        <f>IF('ORDENES'!$A924="","",IF('ORDENES'!$AQ924="","-",'ORDENES'!$AQ924))</f>
        <v/>
      </c>
      <c r="J946" s="3">
        <f>IF('ORDENES'!$A924="","",IF('ORDENES'!$D924="","-",'ORDENES'!$D924))</f>
        <v/>
      </c>
      <c r="K946" s="3">
        <f>IF('ORDENES'!$A924="","",IF('ORDENES'!$E924="","-",'ORDENES'!$E924))</f>
        <v/>
      </c>
      <c r="L946" s="13">
        <f>IF('ORDENES'!$A924="","",IF('ORDENES'!$M924="",0,'ORDENES'!$M924))</f>
        <v/>
      </c>
      <c r="M946" s="3">
        <f>IF('ORDENES'!$A924="","",IF('ORDENES'!$N924="","-",'ORDENES'!$N924))</f>
        <v/>
      </c>
      <c r="N946" s="3">
        <f>IF('ORDENES'!$A924="","",'ORDENES'!$AD924)</f>
        <v/>
      </c>
    </row>
    <row r="947">
      <c r="A947" s="3">
        <f>IF('ORDENES'!$A925="","",IF('ORDENES'!$O925="","-",'ORDENES'!$O925))</f>
        <v/>
      </c>
      <c r="B947" s="3">
        <f>IF('ORDENES'!$A925="","",IF('ORDENES'!$R925="","-",'ORDENES'!$R925))</f>
        <v/>
      </c>
      <c r="C947" s="3">
        <f>IF('ORDENES'!$A925="","",IF('ORDENES'!$AF925="","-",'ORDENES'!$AF925))</f>
        <v/>
      </c>
      <c r="D947" s="3">
        <f>IF('ORDENES'!$A925="","",IF('ORDENES'!$X925="","-",'ORDENES'!$X925))</f>
        <v/>
      </c>
      <c r="E947" s="3">
        <f>IF('ORDENES'!$A925="","",IF('ORDENES'!$V925="","-",'ORDENES'!$V925))</f>
        <v/>
      </c>
      <c r="F947" s="3">
        <f>IF('ORDENES'!$A925="","",IF('ORDENES'!$Y925="","-",'ORDENES'!$Y925))</f>
        <v/>
      </c>
      <c r="G947" s="3">
        <f>IF('ORDENES'!$A925="","",IF('ORDENES'!$W925="","-",'ORDENES'!$W925))</f>
        <v/>
      </c>
      <c r="H947" s="3">
        <f>IF('ORDENES'!$A925="","",IF('ORDENES'!$AE925="","-",'ORDENES'!$AE925))</f>
        <v/>
      </c>
      <c r="I947" s="3">
        <f>IF('ORDENES'!$A925="","",IF('ORDENES'!$AQ925="","-",'ORDENES'!$AQ925))</f>
        <v/>
      </c>
      <c r="J947" s="3">
        <f>IF('ORDENES'!$A925="","",IF('ORDENES'!$D925="","-",'ORDENES'!$D925))</f>
        <v/>
      </c>
      <c r="K947" s="3">
        <f>IF('ORDENES'!$A925="","",IF('ORDENES'!$E925="","-",'ORDENES'!$E925))</f>
        <v/>
      </c>
      <c r="L947" s="13">
        <f>IF('ORDENES'!$A925="","",IF('ORDENES'!$M925="",0,'ORDENES'!$M925))</f>
        <v/>
      </c>
      <c r="M947" s="3">
        <f>IF('ORDENES'!$A925="","",IF('ORDENES'!$N925="","-",'ORDENES'!$N925))</f>
        <v/>
      </c>
      <c r="N947" s="3">
        <f>IF('ORDENES'!$A925="","",'ORDENES'!$AD925)</f>
        <v/>
      </c>
    </row>
    <row r="948">
      <c r="A948" s="3">
        <f>IF('ORDENES'!$A926="","",IF('ORDENES'!$O926="","-",'ORDENES'!$O926))</f>
        <v/>
      </c>
      <c r="B948" s="3">
        <f>IF('ORDENES'!$A926="","",IF('ORDENES'!$R926="","-",'ORDENES'!$R926))</f>
        <v/>
      </c>
      <c r="C948" s="3">
        <f>IF('ORDENES'!$A926="","",IF('ORDENES'!$AF926="","-",'ORDENES'!$AF926))</f>
        <v/>
      </c>
      <c r="D948" s="3">
        <f>IF('ORDENES'!$A926="","",IF('ORDENES'!$X926="","-",'ORDENES'!$X926))</f>
        <v/>
      </c>
      <c r="E948" s="3">
        <f>IF('ORDENES'!$A926="","",IF('ORDENES'!$V926="","-",'ORDENES'!$V926))</f>
        <v/>
      </c>
      <c r="F948" s="3">
        <f>IF('ORDENES'!$A926="","",IF('ORDENES'!$Y926="","-",'ORDENES'!$Y926))</f>
        <v/>
      </c>
      <c r="G948" s="3">
        <f>IF('ORDENES'!$A926="","",IF('ORDENES'!$W926="","-",'ORDENES'!$W926))</f>
        <v/>
      </c>
      <c r="H948" s="3">
        <f>IF('ORDENES'!$A926="","",IF('ORDENES'!$AE926="","-",'ORDENES'!$AE926))</f>
        <v/>
      </c>
      <c r="I948" s="3">
        <f>IF('ORDENES'!$A926="","",IF('ORDENES'!$AQ926="","-",'ORDENES'!$AQ926))</f>
        <v/>
      </c>
      <c r="J948" s="3">
        <f>IF('ORDENES'!$A926="","",IF('ORDENES'!$D926="","-",'ORDENES'!$D926))</f>
        <v/>
      </c>
      <c r="K948" s="3">
        <f>IF('ORDENES'!$A926="","",IF('ORDENES'!$E926="","-",'ORDENES'!$E926))</f>
        <v/>
      </c>
      <c r="L948" s="13">
        <f>IF('ORDENES'!$A926="","",IF('ORDENES'!$M926="",0,'ORDENES'!$M926))</f>
        <v/>
      </c>
      <c r="M948" s="3">
        <f>IF('ORDENES'!$A926="","",IF('ORDENES'!$N926="","-",'ORDENES'!$N926))</f>
        <v/>
      </c>
      <c r="N948" s="3">
        <f>IF('ORDENES'!$A926="","",'ORDENES'!$AD926)</f>
        <v/>
      </c>
    </row>
    <row r="949">
      <c r="A949" s="3">
        <f>IF('ORDENES'!$A927="","",IF('ORDENES'!$O927="","-",'ORDENES'!$O927))</f>
        <v/>
      </c>
      <c r="B949" s="3">
        <f>IF('ORDENES'!$A927="","",IF('ORDENES'!$R927="","-",'ORDENES'!$R927))</f>
        <v/>
      </c>
      <c r="C949" s="3">
        <f>IF('ORDENES'!$A927="","",IF('ORDENES'!$AF927="","-",'ORDENES'!$AF927))</f>
        <v/>
      </c>
      <c r="D949" s="3">
        <f>IF('ORDENES'!$A927="","",IF('ORDENES'!$X927="","-",'ORDENES'!$X927))</f>
        <v/>
      </c>
      <c r="E949" s="3">
        <f>IF('ORDENES'!$A927="","",IF('ORDENES'!$V927="","-",'ORDENES'!$V927))</f>
        <v/>
      </c>
      <c r="F949" s="3">
        <f>IF('ORDENES'!$A927="","",IF('ORDENES'!$Y927="","-",'ORDENES'!$Y927))</f>
        <v/>
      </c>
      <c r="G949" s="3">
        <f>IF('ORDENES'!$A927="","",IF('ORDENES'!$W927="","-",'ORDENES'!$W927))</f>
        <v/>
      </c>
      <c r="H949" s="3">
        <f>IF('ORDENES'!$A927="","",IF('ORDENES'!$AE927="","-",'ORDENES'!$AE927))</f>
        <v/>
      </c>
      <c r="I949" s="3">
        <f>IF('ORDENES'!$A927="","",IF('ORDENES'!$AQ927="","-",'ORDENES'!$AQ927))</f>
        <v/>
      </c>
      <c r="J949" s="3">
        <f>IF('ORDENES'!$A927="","",IF('ORDENES'!$D927="","-",'ORDENES'!$D927))</f>
        <v/>
      </c>
      <c r="K949" s="3">
        <f>IF('ORDENES'!$A927="","",IF('ORDENES'!$E927="","-",'ORDENES'!$E927))</f>
        <v/>
      </c>
      <c r="L949" s="13">
        <f>IF('ORDENES'!$A927="","",IF('ORDENES'!$M927="",0,'ORDENES'!$M927))</f>
        <v/>
      </c>
      <c r="M949" s="3">
        <f>IF('ORDENES'!$A927="","",IF('ORDENES'!$N927="","-",'ORDENES'!$N927))</f>
        <v/>
      </c>
      <c r="N949" s="3">
        <f>IF('ORDENES'!$A927="","",'ORDENES'!$AD927)</f>
        <v/>
      </c>
    </row>
    <row r="950">
      <c r="A950" s="3">
        <f>IF('ORDENES'!$A928="","",IF('ORDENES'!$O928="","-",'ORDENES'!$O928))</f>
        <v/>
      </c>
      <c r="B950" s="3">
        <f>IF('ORDENES'!$A928="","",IF('ORDENES'!$R928="","-",'ORDENES'!$R928))</f>
        <v/>
      </c>
      <c r="C950" s="3">
        <f>IF('ORDENES'!$A928="","",IF('ORDENES'!$AF928="","-",'ORDENES'!$AF928))</f>
        <v/>
      </c>
      <c r="D950" s="3">
        <f>IF('ORDENES'!$A928="","",IF('ORDENES'!$X928="","-",'ORDENES'!$X928))</f>
        <v/>
      </c>
      <c r="E950" s="3">
        <f>IF('ORDENES'!$A928="","",IF('ORDENES'!$V928="","-",'ORDENES'!$V928))</f>
        <v/>
      </c>
      <c r="F950" s="3">
        <f>IF('ORDENES'!$A928="","",IF('ORDENES'!$Y928="","-",'ORDENES'!$Y928))</f>
        <v/>
      </c>
      <c r="G950" s="3">
        <f>IF('ORDENES'!$A928="","",IF('ORDENES'!$W928="","-",'ORDENES'!$W928))</f>
        <v/>
      </c>
      <c r="H950" s="3">
        <f>IF('ORDENES'!$A928="","",IF('ORDENES'!$AE928="","-",'ORDENES'!$AE928))</f>
        <v/>
      </c>
      <c r="I950" s="3">
        <f>IF('ORDENES'!$A928="","",IF('ORDENES'!$AQ928="","-",'ORDENES'!$AQ928))</f>
        <v/>
      </c>
      <c r="J950" s="3">
        <f>IF('ORDENES'!$A928="","",IF('ORDENES'!$D928="","-",'ORDENES'!$D928))</f>
        <v/>
      </c>
      <c r="K950" s="3">
        <f>IF('ORDENES'!$A928="","",IF('ORDENES'!$E928="","-",'ORDENES'!$E928))</f>
        <v/>
      </c>
      <c r="L950" s="13">
        <f>IF('ORDENES'!$A928="","",IF('ORDENES'!$M928="",0,'ORDENES'!$M928))</f>
        <v/>
      </c>
      <c r="M950" s="3">
        <f>IF('ORDENES'!$A928="","",IF('ORDENES'!$N928="","-",'ORDENES'!$N928))</f>
        <v/>
      </c>
      <c r="N950" s="3">
        <f>IF('ORDENES'!$A928="","",'ORDENES'!$AD928)</f>
        <v/>
      </c>
    </row>
    <row r="951">
      <c r="A951" s="3">
        <f>IF('ORDENES'!$A929="","",IF('ORDENES'!$O929="","-",'ORDENES'!$O929))</f>
        <v/>
      </c>
      <c r="B951" s="3">
        <f>IF('ORDENES'!$A929="","",IF('ORDENES'!$R929="","-",'ORDENES'!$R929))</f>
        <v/>
      </c>
      <c r="C951" s="3">
        <f>IF('ORDENES'!$A929="","",IF('ORDENES'!$AF929="","-",'ORDENES'!$AF929))</f>
        <v/>
      </c>
      <c r="D951" s="3">
        <f>IF('ORDENES'!$A929="","",IF('ORDENES'!$X929="","-",'ORDENES'!$X929))</f>
        <v/>
      </c>
      <c r="E951" s="3">
        <f>IF('ORDENES'!$A929="","",IF('ORDENES'!$V929="","-",'ORDENES'!$V929))</f>
        <v/>
      </c>
      <c r="F951" s="3">
        <f>IF('ORDENES'!$A929="","",IF('ORDENES'!$Y929="","-",'ORDENES'!$Y929))</f>
        <v/>
      </c>
      <c r="G951" s="3">
        <f>IF('ORDENES'!$A929="","",IF('ORDENES'!$W929="","-",'ORDENES'!$W929))</f>
        <v/>
      </c>
      <c r="H951" s="3">
        <f>IF('ORDENES'!$A929="","",IF('ORDENES'!$AE929="","-",'ORDENES'!$AE929))</f>
        <v/>
      </c>
      <c r="I951" s="3">
        <f>IF('ORDENES'!$A929="","",IF('ORDENES'!$AQ929="","-",'ORDENES'!$AQ929))</f>
        <v/>
      </c>
      <c r="J951" s="3">
        <f>IF('ORDENES'!$A929="","",IF('ORDENES'!$D929="","-",'ORDENES'!$D929))</f>
        <v/>
      </c>
      <c r="K951" s="3">
        <f>IF('ORDENES'!$A929="","",IF('ORDENES'!$E929="","-",'ORDENES'!$E929))</f>
        <v/>
      </c>
      <c r="L951" s="13">
        <f>IF('ORDENES'!$A929="","",IF('ORDENES'!$M929="",0,'ORDENES'!$M929))</f>
        <v/>
      </c>
      <c r="M951" s="3">
        <f>IF('ORDENES'!$A929="","",IF('ORDENES'!$N929="","-",'ORDENES'!$N929))</f>
        <v/>
      </c>
      <c r="N951" s="3">
        <f>IF('ORDENES'!$A929="","",'ORDENES'!$AD929)</f>
        <v/>
      </c>
    </row>
    <row r="952">
      <c r="A952" s="3">
        <f>IF('ORDENES'!$A930="","",IF('ORDENES'!$O930="","-",'ORDENES'!$O930))</f>
        <v/>
      </c>
      <c r="B952" s="3">
        <f>IF('ORDENES'!$A930="","",IF('ORDENES'!$R930="","-",'ORDENES'!$R930))</f>
        <v/>
      </c>
      <c r="C952" s="3">
        <f>IF('ORDENES'!$A930="","",IF('ORDENES'!$AF930="","-",'ORDENES'!$AF930))</f>
        <v/>
      </c>
      <c r="D952" s="3">
        <f>IF('ORDENES'!$A930="","",IF('ORDENES'!$X930="","-",'ORDENES'!$X930))</f>
        <v/>
      </c>
      <c r="E952" s="3">
        <f>IF('ORDENES'!$A930="","",IF('ORDENES'!$V930="","-",'ORDENES'!$V930))</f>
        <v/>
      </c>
      <c r="F952" s="3">
        <f>IF('ORDENES'!$A930="","",IF('ORDENES'!$Y930="","-",'ORDENES'!$Y930))</f>
        <v/>
      </c>
      <c r="G952" s="3">
        <f>IF('ORDENES'!$A930="","",IF('ORDENES'!$W930="","-",'ORDENES'!$W930))</f>
        <v/>
      </c>
      <c r="H952" s="3">
        <f>IF('ORDENES'!$A930="","",IF('ORDENES'!$AE930="","-",'ORDENES'!$AE930))</f>
        <v/>
      </c>
      <c r="I952" s="3">
        <f>IF('ORDENES'!$A930="","",IF('ORDENES'!$AQ930="","-",'ORDENES'!$AQ930))</f>
        <v/>
      </c>
      <c r="J952" s="3">
        <f>IF('ORDENES'!$A930="","",IF('ORDENES'!$D930="","-",'ORDENES'!$D930))</f>
        <v/>
      </c>
      <c r="K952" s="3">
        <f>IF('ORDENES'!$A930="","",IF('ORDENES'!$E930="","-",'ORDENES'!$E930))</f>
        <v/>
      </c>
      <c r="L952" s="13">
        <f>IF('ORDENES'!$A930="","",IF('ORDENES'!$M930="",0,'ORDENES'!$M930))</f>
        <v/>
      </c>
      <c r="M952" s="3">
        <f>IF('ORDENES'!$A930="","",IF('ORDENES'!$N930="","-",'ORDENES'!$N930))</f>
        <v/>
      </c>
      <c r="N952" s="3">
        <f>IF('ORDENES'!$A930="","",'ORDENES'!$AD930)</f>
        <v/>
      </c>
    </row>
    <row r="953">
      <c r="A953" s="3">
        <f>IF('ORDENES'!$A931="","",IF('ORDENES'!$O931="","-",'ORDENES'!$O931))</f>
        <v/>
      </c>
      <c r="B953" s="3">
        <f>IF('ORDENES'!$A931="","",IF('ORDENES'!$R931="","-",'ORDENES'!$R931))</f>
        <v/>
      </c>
      <c r="C953" s="3">
        <f>IF('ORDENES'!$A931="","",IF('ORDENES'!$AF931="","-",'ORDENES'!$AF931))</f>
        <v/>
      </c>
      <c r="D953" s="3">
        <f>IF('ORDENES'!$A931="","",IF('ORDENES'!$X931="","-",'ORDENES'!$X931))</f>
        <v/>
      </c>
      <c r="E953" s="3">
        <f>IF('ORDENES'!$A931="","",IF('ORDENES'!$V931="","-",'ORDENES'!$V931))</f>
        <v/>
      </c>
      <c r="F953" s="3">
        <f>IF('ORDENES'!$A931="","",IF('ORDENES'!$Y931="","-",'ORDENES'!$Y931))</f>
        <v/>
      </c>
      <c r="G953" s="3">
        <f>IF('ORDENES'!$A931="","",IF('ORDENES'!$W931="","-",'ORDENES'!$W931))</f>
        <v/>
      </c>
      <c r="H953" s="3">
        <f>IF('ORDENES'!$A931="","",IF('ORDENES'!$AE931="","-",'ORDENES'!$AE931))</f>
        <v/>
      </c>
      <c r="I953" s="3">
        <f>IF('ORDENES'!$A931="","",IF('ORDENES'!$AQ931="","-",'ORDENES'!$AQ931))</f>
        <v/>
      </c>
      <c r="J953" s="3">
        <f>IF('ORDENES'!$A931="","",IF('ORDENES'!$D931="","-",'ORDENES'!$D931))</f>
        <v/>
      </c>
      <c r="K953" s="3">
        <f>IF('ORDENES'!$A931="","",IF('ORDENES'!$E931="","-",'ORDENES'!$E931))</f>
        <v/>
      </c>
      <c r="L953" s="13">
        <f>IF('ORDENES'!$A931="","",IF('ORDENES'!$M931="",0,'ORDENES'!$M931))</f>
        <v/>
      </c>
      <c r="M953" s="3">
        <f>IF('ORDENES'!$A931="","",IF('ORDENES'!$N931="","-",'ORDENES'!$N931))</f>
        <v/>
      </c>
      <c r="N953" s="3">
        <f>IF('ORDENES'!$A931="","",'ORDENES'!$AD931)</f>
        <v/>
      </c>
    </row>
    <row r="954">
      <c r="A954" s="3">
        <f>IF('ORDENES'!$A932="","",IF('ORDENES'!$O932="","-",'ORDENES'!$O932))</f>
        <v/>
      </c>
      <c r="B954" s="3">
        <f>IF('ORDENES'!$A932="","",IF('ORDENES'!$R932="","-",'ORDENES'!$R932))</f>
        <v/>
      </c>
      <c r="C954" s="3">
        <f>IF('ORDENES'!$A932="","",IF('ORDENES'!$AF932="","-",'ORDENES'!$AF932))</f>
        <v/>
      </c>
      <c r="D954" s="3">
        <f>IF('ORDENES'!$A932="","",IF('ORDENES'!$X932="","-",'ORDENES'!$X932))</f>
        <v/>
      </c>
      <c r="E954" s="3">
        <f>IF('ORDENES'!$A932="","",IF('ORDENES'!$V932="","-",'ORDENES'!$V932))</f>
        <v/>
      </c>
      <c r="F954" s="3">
        <f>IF('ORDENES'!$A932="","",IF('ORDENES'!$Y932="","-",'ORDENES'!$Y932))</f>
        <v/>
      </c>
      <c r="G954" s="3">
        <f>IF('ORDENES'!$A932="","",IF('ORDENES'!$W932="","-",'ORDENES'!$W932))</f>
        <v/>
      </c>
      <c r="H954" s="3">
        <f>IF('ORDENES'!$A932="","",IF('ORDENES'!$AE932="","-",'ORDENES'!$AE932))</f>
        <v/>
      </c>
      <c r="I954" s="3">
        <f>IF('ORDENES'!$A932="","",IF('ORDENES'!$AQ932="","-",'ORDENES'!$AQ932))</f>
        <v/>
      </c>
      <c r="J954" s="3">
        <f>IF('ORDENES'!$A932="","",IF('ORDENES'!$D932="","-",'ORDENES'!$D932))</f>
        <v/>
      </c>
      <c r="K954" s="3">
        <f>IF('ORDENES'!$A932="","",IF('ORDENES'!$E932="","-",'ORDENES'!$E932))</f>
        <v/>
      </c>
      <c r="L954" s="13">
        <f>IF('ORDENES'!$A932="","",IF('ORDENES'!$M932="",0,'ORDENES'!$M932))</f>
        <v/>
      </c>
      <c r="M954" s="3">
        <f>IF('ORDENES'!$A932="","",IF('ORDENES'!$N932="","-",'ORDENES'!$N932))</f>
        <v/>
      </c>
      <c r="N954" s="3">
        <f>IF('ORDENES'!$A932="","",'ORDENES'!$AD932)</f>
        <v/>
      </c>
    </row>
    <row r="955">
      <c r="A955" s="3">
        <f>IF('ORDENES'!$A933="","",IF('ORDENES'!$O933="","-",'ORDENES'!$O933))</f>
        <v/>
      </c>
      <c r="B955" s="3">
        <f>IF('ORDENES'!$A933="","",IF('ORDENES'!$R933="","-",'ORDENES'!$R933))</f>
        <v/>
      </c>
      <c r="C955" s="3">
        <f>IF('ORDENES'!$A933="","",IF('ORDENES'!$AF933="","-",'ORDENES'!$AF933))</f>
        <v/>
      </c>
      <c r="D955" s="3">
        <f>IF('ORDENES'!$A933="","",IF('ORDENES'!$X933="","-",'ORDENES'!$X933))</f>
        <v/>
      </c>
      <c r="E955" s="3">
        <f>IF('ORDENES'!$A933="","",IF('ORDENES'!$V933="","-",'ORDENES'!$V933))</f>
        <v/>
      </c>
      <c r="F955" s="3">
        <f>IF('ORDENES'!$A933="","",IF('ORDENES'!$Y933="","-",'ORDENES'!$Y933))</f>
        <v/>
      </c>
      <c r="G955" s="3">
        <f>IF('ORDENES'!$A933="","",IF('ORDENES'!$W933="","-",'ORDENES'!$W933))</f>
        <v/>
      </c>
      <c r="H955" s="3">
        <f>IF('ORDENES'!$A933="","",IF('ORDENES'!$AE933="","-",'ORDENES'!$AE933))</f>
        <v/>
      </c>
      <c r="I955" s="3">
        <f>IF('ORDENES'!$A933="","",IF('ORDENES'!$AQ933="","-",'ORDENES'!$AQ933))</f>
        <v/>
      </c>
      <c r="J955" s="3">
        <f>IF('ORDENES'!$A933="","",IF('ORDENES'!$D933="","-",'ORDENES'!$D933))</f>
        <v/>
      </c>
      <c r="K955" s="3">
        <f>IF('ORDENES'!$A933="","",IF('ORDENES'!$E933="","-",'ORDENES'!$E933))</f>
        <v/>
      </c>
      <c r="L955" s="13">
        <f>IF('ORDENES'!$A933="","",IF('ORDENES'!$M933="",0,'ORDENES'!$M933))</f>
        <v/>
      </c>
      <c r="M955" s="3">
        <f>IF('ORDENES'!$A933="","",IF('ORDENES'!$N933="","-",'ORDENES'!$N933))</f>
        <v/>
      </c>
      <c r="N955" s="3">
        <f>IF('ORDENES'!$A933="","",'ORDENES'!$AD933)</f>
        <v/>
      </c>
    </row>
    <row r="956">
      <c r="A956" s="3">
        <f>IF('ORDENES'!$A934="","",IF('ORDENES'!$O934="","-",'ORDENES'!$O934))</f>
        <v/>
      </c>
      <c r="B956" s="3">
        <f>IF('ORDENES'!$A934="","",IF('ORDENES'!$R934="","-",'ORDENES'!$R934))</f>
        <v/>
      </c>
      <c r="C956" s="3">
        <f>IF('ORDENES'!$A934="","",IF('ORDENES'!$AF934="","-",'ORDENES'!$AF934))</f>
        <v/>
      </c>
      <c r="D956" s="3">
        <f>IF('ORDENES'!$A934="","",IF('ORDENES'!$X934="","-",'ORDENES'!$X934))</f>
        <v/>
      </c>
      <c r="E956" s="3">
        <f>IF('ORDENES'!$A934="","",IF('ORDENES'!$V934="","-",'ORDENES'!$V934))</f>
        <v/>
      </c>
      <c r="F956" s="3">
        <f>IF('ORDENES'!$A934="","",IF('ORDENES'!$Y934="","-",'ORDENES'!$Y934))</f>
        <v/>
      </c>
      <c r="G956" s="3">
        <f>IF('ORDENES'!$A934="","",IF('ORDENES'!$W934="","-",'ORDENES'!$W934))</f>
        <v/>
      </c>
      <c r="H956" s="3">
        <f>IF('ORDENES'!$A934="","",IF('ORDENES'!$AE934="","-",'ORDENES'!$AE934))</f>
        <v/>
      </c>
      <c r="I956" s="3">
        <f>IF('ORDENES'!$A934="","",IF('ORDENES'!$AQ934="","-",'ORDENES'!$AQ934))</f>
        <v/>
      </c>
      <c r="J956" s="3">
        <f>IF('ORDENES'!$A934="","",IF('ORDENES'!$D934="","-",'ORDENES'!$D934))</f>
        <v/>
      </c>
      <c r="K956" s="3">
        <f>IF('ORDENES'!$A934="","",IF('ORDENES'!$E934="","-",'ORDENES'!$E934))</f>
        <v/>
      </c>
      <c r="L956" s="13">
        <f>IF('ORDENES'!$A934="","",IF('ORDENES'!$M934="",0,'ORDENES'!$M934))</f>
        <v/>
      </c>
      <c r="M956" s="3">
        <f>IF('ORDENES'!$A934="","",IF('ORDENES'!$N934="","-",'ORDENES'!$N934))</f>
        <v/>
      </c>
      <c r="N956" s="3">
        <f>IF('ORDENES'!$A934="","",'ORDENES'!$AD934)</f>
        <v/>
      </c>
    </row>
    <row r="957">
      <c r="A957" s="3">
        <f>IF('ORDENES'!$A935="","",IF('ORDENES'!$O935="","-",'ORDENES'!$O935))</f>
        <v/>
      </c>
      <c r="B957" s="3">
        <f>IF('ORDENES'!$A935="","",IF('ORDENES'!$R935="","-",'ORDENES'!$R935))</f>
        <v/>
      </c>
      <c r="C957" s="3">
        <f>IF('ORDENES'!$A935="","",IF('ORDENES'!$AF935="","-",'ORDENES'!$AF935))</f>
        <v/>
      </c>
      <c r="D957" s="3">
        <f>IF('ORDENES'!$A935="","",IF('ORDENES'!$X935="","-",'ORDENES'!$X935))</f>
        <v/>
      </c>
      <c r="E957" s="3">
        <f>IF('ORDENES'!$A935="","",IF('ORDENES'!$V935="","-",'ORDENES'!$V935))</f>
        <v/>
      </c>
      <c r="F957" s="3">
        <f>IF('ORDENES'!$A935="","",IF('ORDENES'!$Y935="","-",'ORDENES'!$Y935))</f>
        <v/>
      </c>
      <c r="G957" s="3">
        <f>IF('ORDENES'!$A935="","",IF('ORDENES'!$W935="","-",'ORDENES'!$W935))</f>
        <v/>
      </c>
      <c r="H957" s="3">
        <f>IF('ORDENES'!$A935="","",IF('ORDENES'!$AE935="","-",'ORDENES'!$AE935))</f>
        <v/>
      </c>
      <c r="I957" s="3">
        <f>IF('ORDENES'!$A935="","",IF('ORDENES'!$AQ935="","-",'ORDENES'!$AQ935))</f>
        <v/>
      </c>
      <c r="J957" s="3">
        <f>IF('ORDENES'!$A935="","",IF('ORDENES'!$D935="","-",'ORDENES'!$D935))</f>
        <v/>
      </c>
      <c r="K957" s="3">
        <f>IF('ORDENES'!$A935="","",IF('ORDENES'!$E935="","-",'ORDENES'!$E935))</f>
        <v/>
      </c>
      <c r="L957" s="13">
        <f>IF('ORDENES'!$A935="","",IF('ORDENES'!$M935="",0,'ORDENES'!$M935))</f>
        <v/>
      </c>
      <c r="M957" s="3">
        <f>IF('ORDENES'!$A935="","",IF('ORDENES'!$N935="","-",'ORDENES'!$N935))</f>
        <v/>
      </c>
      <c r="N957" s="3">
        <f>IF('ORDENES'!$A935="","",'ORDENES'!$AD935)</f>
        <v/>
      </c>
    </row>
    <row r="958">
      <c r="A958" s="3">
        <f>IF('ORDENES'!$A936="","",IF('ORDENES'!$O936="","-",'ORDENES'!$O936))</f>
        <v/>
      </c>
      <c r="B958" s="3">
        <f>IF('ORDENES'!$A936="","",IF('ORDENES'!$R936="","-",'ORDENES'!$R936))</f>
        <v/>
      </c>
      <c r="C958" s="3">
        <f>IF('ORDENES'!$A936="","",IF('ORDENES'!$AF936="","-",'ORDENES'!$AF936))</f>
        <v/>
      </c>
      <c r="D958" s="3">
        <f>IF('ORDENES'!$A936="","",IF('ORDENES'!$X936="","-",'ORDENES'!$X936))</f>
        <v/>
      </c>
      <c r="E958" s="3">
        <f>IF('ORDENES'!$A936="","",IF('ORDENES'!$V936="","-",'ORDENES'!$V936))</f>
        <v/>
      </c>
      <c r="F958" s="3">
        <f>IF('ORDENES'!$A936="","",IF('ORDENES'!$Y936="","-",'ORDENES'!$Y936))</f>
        <v/>
      </c>
      <c r="G958" s="3">
        <f>IF('ORDENES'!$A936="","",IF('ORDENES'!$W936="","-",'ORDENES'!$W936))</f>
        <v/>
      </c>
      <c r="H958" s="3">
        <f>IF('ORDENES'!$A936="","",IF('ORDENES'!$AE936="","-",'ORDENES'!$AE936))</f>
        <v/>
      </c>
      <c r="I958" s="3">
        <f>IF('ORDENES'!$A936="","",IF('ORDENES'!$AQ936="","-",'ORDENES'!$AQ936))</f>
        <v/>
      </c>
      <c r="J958" s="3">
        <f>IF('ORDENES'!$A936="","",IF('ORDENES'!$D936="","-",'ORDENES'!$D936))</f>
        <v/>
      </c>
      <c r="K958" s="3">
        <f>IF('ORDENES'!$A936="","",IF('ORDENES'!$E936="","-",'ORDENES'!$E936))</f>
        <v/>
      </c>
      <c r="L958" s="13">
        <f>IF('ORDENES'!$A936="","",IF('ORDENES'!$M936="",0,'ORDENES'!$M936))</f>
        <v/>
      </c>
      <c r="M958" s="3">
        <f>IF('ORDENES'!$A936="","",IF('ORDENES'!$N936="","-",'ORDENES'!$N936))</f>
        <v/>
      </c>
      <c r="N958" s="3">
        <f>IF('ORDENES'!$A936="","",'ORDENES'!$AD936)</f>
        <v/>
      </c>
    </row>
    <row r="959">
      <c r="A959" s="3">
        <f>IF('ORDENES'!$A937="","",IF('ORDENES'!$O937="","-",'ORDENES'!$O937))</f>
        <v/>
      </c>
      <c r="B959" s="3">
        <f>IF('ORDENES'!$A937="","",IF('ORDENES'!$R937="","-",'ORDENES'!$R937))</f>
        <v/>
      </c>
      <c r="C959" s="3">
        <f>IF('ORDENES'!$A937="","",IF('ORDENES'!$AF937="","-",'ORDENES'!$AF937))</f>
        <v/>
      </c>
      <c r="D959" s="3">
        <f>IF('ORDENES'!$A937="","",IF('ORDENES'!$X937="","-",'ORDENES'!$X937))</f>
        <v/>
      </c>
      <c r="E959" s="3">
        <f>IF('ORDENES'!$A937="","",IF('ORDENES'!$V937="","-",'ORDENES'!$V937))</f>
        <v/>
      </c>
      <c r="F959" s="3">
        <f>IF('ORDENES'!$A937="","",IF('ORDENES'!$Y937="","-",'ORDENES'!$Y937))</f>
        <v/>
      </c>
      <c r="G959" s="3">
        <f>IF('ORDENES'!$A937="","",IF('ORDENES'!$W937="","-",'ORDENES'!$W937))</f>
        <v/>
      </c>
      <c r="H959" s="3">
        <f>IF('ORDENES'!$A937="","",IF('ORDENES'!$AE937="","-",'ORDENES'!$AE937))</f>
        <v/>
      </c>
      <c r="I959" s="3">
        <f>IF('ORDENES'!$A937="","",IF('ORDENES'!$AQ937="","-",'ORDENES'!$AQ937))</f>
        <v/>
      </c>
      <c r="J959" s="3">
        <f>IF('ORDENES'!$A937="","",IF('ORDENES'!$D937="","-",'ORDENES'!$D937))</f>
        <v/>
      </c>
      <c r="K959" s="3">
        <f>IF('ORDENES'!$A937="","",IF('ORDENES'!$E937="","-",'ORDENES'!$E937))</f>
        <v/>
      </c>
      <c r="L959" s="13">
        <f>IF('ORDENES'!$A937="","",IF('ORDENES'!$M937="",0,'ORDENES'!$M937))</f>
        <v/>
      </c>
      <c r="M959" s="3">
        <f>IF('ORDENES'!$A937="","",IF('ORDENES'!$N937="","-",'ORDENES'!$N937))</f>
        <v/>
      </c>
      <c r="N959" s="3">
        <f>IF('ORDENES'!$A937="","",'ORDENES'!$AD937)</f>
        <v/>
      </c>
    </row>
    <row r="960">
      <c r="A960" s="3">
        <f>IF('ORDENES'!$A938="","",IF('ORDENES'!$O938="","-",'ORDENES'!$O938))</f>
        <v/>
      </c>
      <c r="B960" s="3">
        <f>IF('ORDENES'!$A938="","",IF('ORDENES'!$R938="","-",'ORDENES'!$R938))</f>
        <v/>
      </c>
      <c r="C960" s="3">
        <f>IF('ORDENES'!$A938="","",IF('ORDENES'!$AF938="","-",'ORDENES'!$AF938))</f>
        <v/>
      </c>
      <c r="D960" s="3">
        <f>IF('ORDENES'!$A938="","",IF('ORDENES'!$X938="","-",'ORDENES'!$X938))</f>
        <v/>
      </c>
      <c r="E960" s="3">
        <f>IF('ORDENES'!$A938="","",IF('ORDENES'!$V938="","-",'ORDENES'!$V938))</f>
        <v/>
      </c>
      <c r="F960" s="3">
        <f>IF('ORDENES'!$A938="","",IF('ORDENES'!$Y938="","-",'ORDENES'!$Y938))</f>
        <v/>
      </c>
      <c r="G960" s="3">
        <f>IF('ORDENES'!$A938="","",IF('ORDENES'!$W938="","-",'ORDENES'!$W938))</f>
        <v/>
      </c>
      <c r="H960" s="3">
        <f>IF('ORDENES'!$A938="","",IF('ORDENES'!$AE938="","-",'ORDENES'!$AE938))</f>
        <v/>
      </c>
      <c r="I960" s="3">
        <f>IF('ORDENES'!$A938="","",IF('ORDENES'!$AQ938="","-",'ORDENES'!$AQ938))</f>
        <v/>
      </c>
      <c r="J960" s="3">
        <f>IF('ORDENES'!$A938="","",IF('ORDENES'!$D938="","-",'ORDENES'!$D938))</f>
        <v/>
      </c>
      <c r="K960" s="3">
        <f>IF('ORDENES'!$A938="","",IF('ORDENES'!$E938="","-",'ORDENES'!$E938))</f>
        <v/>
      </c>
      <c r="L960" s="13">
        <f>IF('ORDENES'!$A938="","",IF('ORDENES'!$M938="",0,'ORDENES'!$M938))</f>
        <v/>
      </c>
      <c r="M960" s="3">
        <f>IF('ORDENES'!$A938="","",IF('ORDENES'!$N938="","-",'ORDENES'!$N938))</f>
        <v/>
      </c>
      <c r="N960" s="3">
        <f>IF('ORDENES'!$A938="","",'ORDENES'!$AD938)</f>
        <v/>
      </c>
    </row>
    <row r="961">
      <c r="A961" s="3">
        <f>IF('ORDENES'!$A939="","",IF('ORDENES'!$O939="","-",'ORDENES'!$O939))</f>
        <v/>
      </c>
      <c r="B961" s="3">
        <f>IF('ORDENES'!$A939="","",IF('ORDENES'!$R939="","-",'ORDENES'!$R939))</f>
        <v/>
      </c>
      <c r="C961" s="3">
        <f>IF('ORDENES'!$A939="","",IF('ORDENES'!$AF939="","-",'ORDENES'!$AF939))</f>
        <v/>
      </c>
      <c r="D961" s="3">
        <f>IF('ORDENES'!$A939="","",IF('ORDENES'!$X939="","-",'ORDENES'!$X939))</f>
        <v/>
      </c>
      <c r="E961" s="3">
        <f>IF('ORDENES'!$A939="","",IF('ORDENES'!$V939="","-",'ORDENES'!$V939))</f>
        <v/>
      </c>
      <c r="F961" s="3">
        <f>IF('ORDENES'!$A939="","",IF('ORDENES'!$Y939="","-",'ORDENES'!$Y939))</f>
        <v/>
      </c>
      <c r="G961" s="3">
        <f>IF('ORDENES'!$A939="","",IF('ORDENES'!$W939="","-",'ORDENES'!$W939))</f>
        <v/>
      </c>
      <c r="H961" s="3">
        <f>IF('ORDENES'!$A939="","",IF('ORDENES'!$AE939="","-",'ORDENES'!$AE939))</f>
        <v/>
      </c>
      <c r="I961" s="3">
        <f>IF('ORDENES'!$A939="","",IF('ORDENES'!$AQ939="","-",'ORDENES'!$AQ939))</f>
        <v/>
      </c>
      <c r="J961" s="3">
        <f>IF('ORDENES'!$A939="","",IF('ORDENES'!$D939="","-",'ORDENES'!$D939))</f>
        <v/>
      </c>
      <c r="K961" s="3">
        <f>IF('ORDENES'!$A939="","",IF('ORDENES'!$E939="","-",'ORDENES'!$E939))</f>
        <v/>
      </c>
      <c r="L961" s="13">
        <f>IF('ORDENES'!$A939="","",IF('ORDENES'!$M939="",0,'ORDENES'!$M939))</f>
        <v/>
      </c>
      <c r="M961" s="3">
        <f>IF('ORDENES'!$A939="","",IF('ORDENES'!$N939="","-",'ORDENES'!$N939))</f>
        <v/>
      </c>
      <c r="N961" s="3">
        <f>IF('ORDENES'!$A939="","",'ORDENES'!$AD939)</f>
        <v/>
      </c>
    </row>
    <row r="962">
      <c r="A962" s="3">
        <f>IF('ORDENES'!$A940="","",IF('ORDENES'!$O940="","-",'ORDENES'!$O940))</f>
        <v/>
      </c>
      <c r="B962" s="3">
        <f>IF('ORDENES'!$A940="","",IF('ORDENES'!$R940="","-",'ORDENES'!$R940))</f>
        <v/>
      </c>
      <c r="C962" s="3">
        <f>IF('ORDENES'!$A940="","",IF('ORDENES'!$AF940="","-",'ORDENES'!$AF940))</f>
        <v/>
      </c>
      <c r="D962" s="3">
        <f>IF('ORDENES'!$A940="","",IF('ORDENES'!$X940="","-",'ORDENES'!$X940))</f>
        <v/>
      </c>
      <c r="E962" s="3">
        <f>IF('ORDENES'!$A940="","",IF('ORDENES'!$V940="","-",'ORDENES'!$V940))</f>
        <v/>
      </c>
      <c r="F962" s="3">
        <f>IF('ORDENES'!$A940="","",IF('ORDENES'!$Y940="","-",'ORDENES'!$Y940))</f>
        <v/>
      </c>
      <c r="G962" s="3">
        <f>IF('ORDENES'!$A940="","",IF('ORDENES'!$W940="","-",'ORDENES'!$W940))</f>
        <v/>
      </c>
      <c r="H962" s="3">
        <f>IF('ORDENES'!$A940="","",IF('ORDENES'!$AE940="","-",'ORDENES'!$AE940))</f>
        <v/>
      </c>
      <c r="I962" s="3">
        <f>IF('ORDENES'!$A940="","",IF('ORDENES'!$AQ940="","-",'ORDENES'!$AQ940))</f>
        <v/>
      </c>
      <c r="J962" s="3">
        <f>IF('ORDENES'!$A940="","",IF('ORDENES'!$D940="","-",'ORDENES'!$D940))</f>
        <v/>
      </c>
      <c r="K962" s="3">
        <f>IF('ORDENES'!$A940="","",IF('ORDENES'!$E940="","-",'ORDENES'!$E940))</f>
        <v/>
      </c>
      <c r="L962" s="13">
        <f>IF('ORDENES'!$A940="","",IF('ORDENES'!$M940="",0,'ORDENES'!$M940))</f>
        <v/>
      </c>
      <c r="M962" s="3">
        <f>IF('ORDENES'!$A940="","",IF('ORDENES'!$N940="","-",'ORDENES'!$N940))</f>
        <v/>
      </c>
      <c r="N962" s="3">
        <f>IF('ORDENES'!$A940="","",'ORDENES'!$AD940)</f>
        <v/>
      </c>
    </row>
    <row r="963">
      <c r="A963" s="3">
        <f>IF('ORDENES'!$A941="","",IF('ORDENES'!$O941="","-",'ORDENES'!$O941))</f>
        <v/>
      </c>
      <c r="B963" s="3">
        <f>IF('ORDENES'!$A941="","",IF('ORDENES'!$R941="","-",'ORDENES'!$R941))</f>
        <v/>
      </c>
      <c r="C963" s="3">
        <f>IF('ORDENES'!$A941="","",IF('ORDENES'!$AF941="","-",'ORDENES'!$AF941))</f>
        <v/>
      </c>
      <c r="D963" s="3">
        <f>IF('ORDENES'!$A941="","",IF('ORDENES'!$X941="","-",'ORDENES'!$X941))</f>
        <v/>
      </c>
      <c r="E963" s="3">
        <f>IF('ORDENES'!$A941="","",IF('ORDENES'!$V941="","-",'ORDENES'!$V941))</f>
        <v/>
      </c>
      <c r="F963" s="3">
        <f>IF('ORDENES'!$A941="","",IF('ORDENES'!$Y941="","-",'ORDENES'!$Y941))</f>
        <v/>
      </c>
      <c r="G963" s="3">
        <f>IF('ORDENES'!$A941="","",IF('ORDENES'!$W941="","-",'ORDENES'!$W941))</f>
        <v/>
      </c>
      <c r="H963" s="3">
        <f>IF('ORDENES'!$A941="","",IF('ORDENES'!$AE941="","-",'ORDENES'!$AE941))</f>
        <v/>
      </c>
      <c r="I963" s="3">
        <f>IF('ORDENES'!$A941="","",IF('ORDENES'!$AQ941="","-",'ORDENES'!$AQ941))</f>
        <v/>
      </c>
      <c r="J963" s="3">
        <f>IF('ORDENES'!$A941="","",IF('ORDENES'!$D941="","-",'ORDENES'!$D941))</f>
        <v/>
      </c>
      <c r="K963" s="3">
        <f>IF('ORDENES'!$A941="","",IF('ORDENES'!$E941="","-",'ORDENES'!$E941))</f>
        <v/>
      </c>
      <c r="L963" s="13">
        <f>IF('ORDENES'!$A941="","",IF('ORDENES'!$M941="",0,'ORDENES'!$M941))</f>
        <v/>
      </c>
      <c r="M963" s="3">
        <f>IF('ORDENES'!$A941="","",IF('ORDENES'!$N941="","-",'ORDENES'!$N941))</f>
        <v/>
      </c>
      <c r="N963" s="3">
        <f>IF('ORDENES'!$A941="","",'ORDENES'!$AD941)</f>
        <v/>
      </c>
    </row>
    <row r="964">
      <c r="A964" s="3">
        <f>IF('ORDENES'!$A942="","",IF('ORDENES'!$O942="","-",'ORDENES'!$O942))</f>
        <v/>
      </c>
      <c r="B964" s="3">
        <f>IF('ORDENES'!$A942="","",IF('ORDENES'!$R942="","-",'ORDENES'!$R942))</f>
        <v/>
      </c>
      <c r="C964" s="3">
        <f>IF('ORDENES'!$A942="","",IF('ORDENES'!$AF942="","-",'ORDENES'!$AF942))</f>
        <v/>
      </c>
      <c r="D964" s="3">
        <f>IF('ORDENES'!$A942="","",IF('ORDENES'!$X942="","-",'ORDENES'!$X942))</f>
        <v/>
      </c>
      <c r="E964" s="3">
        <f>IF('ORDENES'!$A942="","",IF('ORDENES'!$V942="","-",'ORDENES'!$V942))</f>
        <v/>
      </c>
      <c r="F964" s="3">
        <f>IF('ORDENES'!$A942="","",IF('ORDENES'!$Y942="","-",'ORDENES'!$Y942))</f>
        <v/>
      </c>
      <c r="G964" s="3">
        <f>IF('ORDENES'!$A942="","",IF('ORDENES'!$W942="","-",'ORDENES'!$W942))</f>
        <v/>
      </c>
      <c r="H964" s="3">
        <f>IF('ORDENES'!$A942="","",IF('ORDENES'!$AE942="","-",'ORDENES'!$AE942))</f>
        <v/>
      </c>
      <c r="I964" s="3">
        <f>IF('ORDENES'!$A942="","",IF('ORDENES'!$AQ942="","-",'ORDENES'!$AQ942))</f>
        <v/>
      </c>
      <c r="J964" s="3">
        <f>IF('ORDENES'!$A942="","",IF('ORDENES'!$D942="","-",'ORDENES'!$D942))</f>
        <v/>
      </c>
      <c r="K964" s="3">
        <f>IF('ORDENES'!$A942="","",IF('ORDENES'!$E942="","-",'ORDENES'!$E942))</f>
        <v/>
      </c>
      <c r="L964" s="13">
        <f>IF('ORDENES'!$A942="","",IF('ORDENES'!$M942="",0,'ORDENES'!$M942))</f>
        <v/>
      </c>
      <c r="M964" s="3">
        <f>IF('ORDENES'!$A942="","",IF('ORDENES'!$N942="","-",'ORDENES'!$N942))</f>
        <v/>
      </c>
      <c r="N964" s="3">
        <f>IF('ORDENES'!$A942="","",'ORDENES'!$AD942)</f>
        <v/>
      </c>
    </row>
    <row r="965">
      <c r="A965" s="3">
        <f>IF('ORDENES'!$A943="","",IF('ORDENES'!$O943="","-",'ORDENES'!$O943))</f>
        <v/>
      </c>
      <c r="B965" s="3">
        <f>IF('ORDENES'!$A943="","",IF('ORDENES'!$R943="","-",'ORDENES'!$R943))</f>
        <v/>
      </c>
      <c r="C965" s="3">
        <f>IF('ORDENES'!$A943="","",IF('ORDENES'!$AF943="","-",'ORDENES'!$AF943))</f>
        <v/>
      </c>
      <c r="D965" s="3">
        <f>IF('ORDENES'!$A943="","",IF('ORDENES'!$X943="","-",'ORDENES'!$X943))</f>
        <v/>
      </c>
      <c r="E965" s="3">
        <f>IF('ORDENES'!$A943="","",IF('ORDENES'!$V943="","-",'ORDENES'!$V943))</f>
        <v/>
      </c>
      <c r="F965" s="3">
        <f>IF('ORDENES'!$A943="","",IF('ORDENES'!$Y943="","-",'ORDENES'!$Y943))</f>
        <v/>
      </c>
      <c r="G965" s="3">
        <f>IF('ORDENES'!$A943="","",IF('ORDENES'!$W943="","-",'ORDENES'!$W943))</f>
        <v/>
      </c>
      <c r="H965" s="3">
        <f>IF('ORDENES'!$A943="","",IF('ORDENES'!$AE943="","-",'ORDENES'!$AE943))</f>
        <v/>
      </c>
      <c r="I965" s="3">
        <f>IF('ORDENES'!$A943="","",IF('ORDENES'!$AQ943="","-",'ORDENES'!$AQ943))</f>
        <v/>
      </c>
      <c r="J965" s="3">
        <f>IF('ORDENES'!$A943="","",IF('ORDENES'!$D943="","-",'ORDENES'!$D943))</f>
        <v/>
      </c>
      <c r="K965" s="3">
        <f>IF('ORDENES'!$A943="","",IF('ORDENES'!$E943="","-",'ORDENES'!$E943))</f>
        <v/>
      </c>
      <c r="L965" s="13">
        <f>IF('ORDENES'!$A943="","",IF('ORDENES'!$M943="",0,'ORDENES'!$M943))</f>
        <v/>
      </c>
      <c r="M965" s="3">
        <f>IF('ORDENES'!$A943="","",IF('ORDENES'!$N943="","-",'ORDENES'!$N943))</f>
        <v/>
      </c>
      <c r="N965" s="3">
        <f>IF('ORDENES'!$A943="","",'ORDENES'!$AD943)</f>
        <v/>
      </c>
    </row>
    <row r="966">
      <c r="A966" s="3">
        <f>IF('ORDENES'!$A944="","",IF('ORDENES'!$O944="","-",'ORDENES'!$O944))</f>
        <v/>
      </c>
      <c r="B966" s="3">
        <f>IF('ORDENES'!$A944="","",IF('ORDENES'!$R944="","-",'ORDENES'!$R944))</f>
        <v/>
      </c>
      <c r="C966" s="3">
        <f>IF('ORDENES'!$A944="","",IF('ORDENES'!$AF944="","-",'ORDENES'!$AF944))</f>
        <v/>
      </c>
      <c r="D966" s="3">
        <f>IF('ORDENES'!$A944="","",IF('ORDENES'!$X944="","-",'ORDENES'!$X944))</f>
        <v/>
      </c>
      <c r="E966" s="3">
        <f>IF('ORDENES'!$A944="","",IF('ORDENES'!$V944="","-",'ORDENES'!$V944))</f>
        <v/>
      </c>
      <c r="F966" s="3">
        <f>IF('ORDENES'!$A944="","",IF('ORDENES'!$Y944="","-",'ORDENES'!$Y944))</f>
        <v/>
      </c>
      <c r="G966" s="3">
        <f>IF('ORDENES'!$A944="","",IF('ORDENES'!$W944="","-",'ORDENES'!$W944))</f>
        <v/>
      </c>
      <c r="H966" s="3">
        <f>IF('ORDENES'!$A944="","",IF('ORDENES'!$AE944="","-",'ORDENES'!$AE944))</f>
        <v/>
      </c>
      <c r="I966" s="3">
        <f>IF('ORDENES'!$A944="","",IF('ORDENES'!$AQ944="","-",'ORDENES'!$AQ944))</f>
        <v/>
      </c>
      <c r="J966" s="3">
        <f>IF('ORDENES'!$A944="","",IF('ORDENES'!$D944="","-",'ORDENES'!$D944))</f>
        <v/>
      </c>
      <c r="K966" s="3">
        <f>IF('ORDENES'!$A944="","",IF('ORDENES'!$E944="","-",'ORDENES'!$E944))</f>
        <v/>
      </c>
      <c r="L966" s="13">
        <f>IF('ORDENES'!$A944="","",IF('ORDENES'!$M944="",0,'ORDENES'!$M944))</f>
        <v/>
      </c>
      <c r="M966" s="3">
        <f>IF('ORDENES'!$A944="","",IF('ORDENES'!$N944="","-",'ORDENES'!$N944))</f>
        <v/>
      </c>
      <c r="N966" s="3">
        <f>IF('ORDENES'!$A944="","",'ORDENES'!$AD944)</f>
        <v/>
      </c>
    </row>
    <row r="967">
      <c r="A967" s="3">
        <f>IF('ORDENES'!$A945="","",IF('ORDENES'!$O945="","-",'ORDENES'!$O945))</f>
        <v/>
      </c>
      <c r="B967" s="3">
        <f>IF('ORDENES'!$A945="","",IF('ORDENES'!$R945="","-",'ORDENES'!$R945))</f>
        <v/>
      </c>
      <c r="C967" s="3">
        <f>IF('ORDENES'!$A945="","",IF('ORDENES'!$AF945="","-",'ORDENES'!$AF945))</f>
        <v/>
      </c>
      <c r="D967" s="3">
        <f>IF('ORDENES'!$A945="","",IF('ORDENES'!$X945="","-",'ORDENES'!$X945))</f>
        <v/>
      </c>
      <c r="E967" s="3">
        <f>IF('ORDENES'!$A945="","",IF('ORDENES'!$V945="","-",'ORDENES'!$V945))</f>
        <v/>
      </c>
      <c r="F967" s="3">
        <f>IF('ORDENES'!$A945="","",IF('ORDENES'!$Y945="","-",'ORDENES'!$Y945))</f>
        <v/>
      </c>
      <c r="G967" s="3">
        <f>IF('ORDENES'!$A945="","",IF('ORDENES'!$W945="","-",'ORDENES'!$W945))</f>
        <v/>
      </c>
      <c r="H967" s="3">
        <f>IF('ORDENES'!$A945="","",IF('ORDENES'!$AE945="","-",'ORDENES'!$AE945))</f>
        <v/>
      </c>
      <c r="I967" s="3">
        <f>IF('ORDENES'!$A945="","",IF('ORDENES'!$AQ945="","-",'ORDENES'!$AQ945))</f>
        <v/>
      </c>
      <c r="J967" s="3">
        <f>IF('ORDENES'!$A945="","",IF('ORDENES'!$D945="","-",'ORDENES'!$D945))</f>
        <v/>
      </c>
      <c r="K967" s="3">
        <f>IF('ORDENES'!$A945="","",IF('ORDENES'!$E945="","-",'ORDENES'!$E945))</f>
        <v/>
      </c>
      <c r="L967" s="13">
        <f>IF('ORDENES'!$A945="","",IF('ORDENES'!$M945="",0,'ORDENES'!$M945))</f>
        <v/>
      </c>
      <c r="M967" s="3">
        <f>IF('ORDENES'!$A945="","",IF('ORDENES'!$N945="","-",'ORDENES'!$N945))</f>
        <v/>
      </c>
      <c r="N967" s="3">
        <f>IF('ORDENES'!$A945="","",'ORDENES'!$AD945)</f>
        <v/>
      </c>
    </row>
    <row r="968">
      <c r="A968" s="3">
        <f>IF('ORDENES'!$A946="","",IF('ORDENES'!$O946="","-",'ORDENES'!$O946))</f>
        <v/>
      </c>
      <c r="B968" s="3">
        <f>IF('ORDENES'!$A946="","",IF('ORDENES'!$R946="","-",'ORDENES'!$R946))</f>
        <v/>
      </c>
      <c r="C968" s="3">
        <f>IF('ORDENES'!$A946="","",IF('ORDENES'!$AF946="","-",'ORDENES'!$AF946))</f>
        <v/>
      </c>
      <c r="D968" s="3">
        <f>IF('ORDENES'!$A946="","",IF('ORDENES'!$X946="","-",'ORDENES'!$X946))</f>
        <v/>
      </c>
      <c r="E968" s="3">
        <f>IF('ORDENES'!$A946="","",IF('ORDENES'!$V946="","-",'ORDENES'!$V946))</f>
        <v/>
      </c>
      <c r="F968" s="3">
        <f>IF('ORDENES'!$A946="","",IF('ORDENES'!$Y946="","-",'ORDENES'!$Y946))</f>
        <v/>
      </c>
      <c r="G968" s="3">
        <f>IF('ORDENES'!$A946="","",IF('ORDENES'!$W946="","-",'ORDENES'!$W946))</f>
        <v/>
      </c>
      <c r="H968" s="3">
        <f>IF('ORDENES'!$A946="","",IF('ORDENES'!$AE946="","-",'ORDENES'!$AE946))</f>
        <v/>
      </c>
      <c r="I968" s="3">
        <f>IF('ORDENES'!$A946="","",IF('ORDENES'!$AQ946="","-",'ORDENES'!$AQ946))</f>
        <v/>
      </c>
      <c r="J968" s="3">
        <f>IF('ORDENES'!$A946="","",IF('ORDENES'!$D946="","-",'ORDENES'!$D946))</f>
        <v/>
      </c>
      <c r="K968" s="3">
        <f>IF('ORDENES'!$A946="","",IF('ORDENES'!$E946="","-",'ORDENES'!$E946))</f>
        <v/>
      </c>
      <c r="L968" s="13">
        <f>IF('ORDENES'!$A946="","",IF('ORDENES'!$M946="",0,'ORDENES'!$M946))</f>
        <v/>
      </c>
      <c r="M968" s="3">
        <f>IF('ORDENES'!$A946="","",IF('ORDENES'!$N946="","-",'ORDENES'!$N946))</f>
        <v/>
      </c>
      <c r="N968" s="3">
        <f>IF('ORDENES'!$A946="","",'ORDENES'!$AD946)</f>
        <v/>
      </c>
    </row>
    <row r="969">
      <c r="A969" s="3">
        <f>IF('ORDENES'!$A947="","",IF('ORDENES'!$O947="","-",'ORDENES'!$O947))</f>
        <v/>
      </c>
      <c r="B969" s="3">
        <f>IF('ORDENES'!$A947="","",IF('ORDENES'!$R947="","-",'ORDENES'!$R947))</f>
        <v/>
      </c>
      <c r="C969" s="3">
        <f>IF('ORDENES'!$A947="","",IF('ORDENES'!$AF947="","-",'ORDENES'!$AF947))</f>
        <v/>
      </c>
      <c r="D969" s="3">
        <f>IF('ORDENES'!$A947="","",IF('ORDENES'!$X947="","-",'ORDENES'!$X947))</f>
        <v/>
      </c>
      <c r="E969" s="3">
        <f>IF('ORDENES'!$A947="","",IF('ORDENES'!$V947="","-",'ORDENES'!$V947))</f>
        <v/>
      </c>
      <c r="F969" s="3">
        <f>IF('ORDENES'!$A947="","",IF('ORDENES'!$Y947="","-",'ORDENES'!$Y947))</f>
        <v/>
      </c>
      <c r="G969" s="3">
        <f>IF('ORDENES'!$A947="","",IF('ORDENES'!$W947="","-",'ORDENES'!$W947))</f>
        <v/>
      </c>
      <c r="H969" s="3">
        <f>IF('ORDENES'!$A947="","",IF('ORDENES'!$AE947="","-",'ORDENES'!$AE947))</f>
        <v/>
      </c>
      <c r="I969" s="3">
        <f>IF('ORDENES'!$A947="","",IF('ORDENES'!$AQ947="","-",'ORDENES'!$AQ947))</f>
        <v/>
      </c>
      <c r="J969" s="3">
        <f>IF('ORDENES'!$A947="","",IF('ORDENES'!$D947="","-",'ORDENES'!$D947))</f>
        <v/>
      </c>
      <c r="K969" s="3">
        <f>IF('ORDENES'!$A947="","",IF('ORDENES'!$E947="","-",'ORDENES'!$E947))</f>
        <v/>
      </c>
      <c r="L969" s="13">
        <f>IF('ORDENES'!$A947="","",IF('ORDENES'!$M947="",0,'ORDENES'!$M947))</f>
        <v/>
      </c>
      <c r="M969" s="3">
        <f>IF('ORDENES'!$A947="","",IF('ORDENES'!$N947="","-",'ORDENES'!$N947))</f>
        <v/>
      </c>
      <c r="N969" s="3">
        <f>IF('ORDENES'!$A947="","",'ORDENES'!$AD947)</f>
        <v/>
      </c>
    </row>
    <row r="970">
      <c r="A970" s="3">
        <f>IF('ORDENES'!$A948="","",IF('ORDENES'!$O948="","-",'ORDENES'!$O948))</f>
        <v/>
      </c>
      <c r="B970" s="3">
        <f>IF('ORDENES'!$A948="","",IF('ORDENES'!$R948="","-",'ORDENES'!$R948))</f>
        <v/>
      </c>
      <c r="C970" s="3">
        <f>IF('ORDENES'!$A948="","",IF('ORDENES'!$AF948="","-",'ORDENES'!$AF948))</f>
        <v/>
      </c>
      <c r="D970" s="3">
        <f>IF('ORDENES'!$A948="","",IF('ORDENES'!$X948="","-",'ORDENES'!$X948))</f>
        <v/>
      </c>
      <c r="E970" s="3">
        <f>IF('ORDENES'!$A948="","",IF('ORDENES'!$V948="","-",'ORDENES'!$V948))</f>
        <v/>
      </c>
      <c r="F970" s="3">
        <f>IF('ORDENES'!$A948="","",IF('ORDENES'!$Y948="","-",'ORDENES'!$Y948))</f>
        <v/>
      </c>
      <c r="G970" s="3">
        <f>IF('ORDENES'!$A948="","",IF('ORDENES'!$W948="","-",'ORDENES'!$W948))</f>
        <v/>
      </c>
      <c r="H970" s="3">
        <f>IF('ORDENES'!$A948="","",IF('ORDENES'!$AE948="","-",'ORDENES'!$AE948))</f>
        <v/>
      </c>
      <c r="I970" s="3">
        <f>IF('ORDENES'!$A948="","",IF('ORDENES'!$AQ948="","-",'ORDENES'!$AQ948))</f>
        <v/>
      </c>
      <c r="J970" s="3">
        <f>IF('ORDENES'!$A948="","",IF('ORDENES'!$D948="","-",'ORDENES'!$D948))</f>
        <v/>
      </c>
      <c r="K970" s="3">
        <f>IF('ORDENES'!$A948="","",IF('ORDENES'!$E948="","-",'ORDENES'!$E948))</f>
        <v/>
      </c>
      <c r="L970" s="13">
        <f>IF('ORDENES'!$A948="","",IF('ORDENES'!$M948="",0,'ORDENES'!$M948))</f>
        <v/>
      </c>
      <c r="M970" s="3">
        <f>IF('ORDENES'!$A948="","",IF('ORDENES'!$N948="","-",'ORDENES'!$N948))</f>
        <v/>
      </c>
      <c r="N970" s="3">
        <f>IF('ORDENES'!$A948="","",'ORDENES'!$AD948)</f>
        <v/>
      </c>
    </row>
    <row r="971">
      <c r="A971" s="3">
        <f>IF('ORDENES'!$A949="","",IF('ORDENES'!$O949="","-",'ORDENES'!$O949))</f>
        <v/>
      </c>
      <c r="B971" s="3">
        <f>IF('ORDENES'!$A949="","",IF('ORDENES'!$R949="","-",'ORDENES'!$R949))</f>
        <v/>
      </c>
      <c r="C971" s="3">
        <f>IF('ORDENES'!$A949="","",IF('ORDENES'!$AF949="","-",'ORDENES'!$AF949))</f>
        <v/>
      </c>
      <c r="D971" s="3">
        <f>IF('ORDENES'!$A949="","",IF('ORDENES'!$X949="","-",'ORDENES'!$X949))</f>
        <v/>
      </c>
      <c r="E971" s="3">
        <f>IF('ORDENES'!$A949="","",IF('ORDENES'!$V949="","-",'ORDENES'!$V949))</f>
        <v/>
      </c>
      <c r="F971" s="3">
        <f>IF('ORDENES'!$A949="","",IF('ORDENES'!$Y949="","-",'ORDENES'!$Y949))</f>
        <v/>
      </c>
      <c r="G971" s="3">
        <f>IF('ORDENES'!$A949="","",IF('ORDENES'!$W949="","-",'ORDENES'!$W949))</f>
        <v/>
      </c>
      <c r="H971" s="3">
        <f>IF('ORDENES'!$A949="","",IF('ORDENES'!$AE949="","-",'ORDENES'!$AE949))</f>
        <v/>
      </c>
      <c r="I971" s="3">
        <f>IF('ORDENES'!$A949="","",IF('ORDENES'!$AQ949="","-",'ORDENES'!$AQ949))</f>
        <v/>
      </c>
      <c r="J971" s="3">
        <f>IF('ORDENES'!$A949="","",IF('ORDENES'!$D949="","-",'ORDENES'!$D949))</f>
        <v/>
      </c>
      <c r="K971" s="3">
        <f>IF('ORDENES'!$A949="","",IF('ORDENES'!$E949="","-",'ORDENES'!$E949))</f>
        <v/>
      </c>
      <c r="L971" s="13">
        <f>IF('ORDENES'!$A949="","",IF('ORDENES'!$M949="",0,'ORDENES'!$M949))</f>
        <v/>
      </c>
      <c r="M971" s="3">
        <f>IF('ORDENES'!$A949="","",IF('ORDENES'!$N949="","-",'ORDENES'!$N949))</f>
        <v/>
      </c>
      <c r="N971" s="3">
        <f>IF('ORDENES'!$A949="","",'ORDENES'!$AD949)</f>
        <v/>
      </c>
    </row>
    <row r="972">
      <c r="A972" s="3">
        <f>IF('ORDENES'!$A950="","",IF('ORDENES'!$O950="","-",'ORDENES'!$O950))</f>
        <v/>
      </c>
      <c r="B972" s="3">
        <f>IF('ORDENES'!$A950="","",IF('ORDENES'!$R950="","-",'ORDENES'!$R950))</f>
        <v/>
      </c>
      <c r="C972" s="3">
        <f>IF('ORDENES'!$A950="","",IF('ORDENES'!$AF950="","-",'ORDENES'!$AF950))</f>
        <v/>
      </c>
      <c r="D972" s="3">
        <f>IF('ORDENES'!$A950="","",IF('ORDENES'!$X950="","-",'ORDENES'!$X950))</f>
        <v/>
      </c>
      <c r="E972" s="3">
        <f>IF('ORDENES'!$A950="","",IF('ORDENES'!$V950="","-",'ORDENES'!$V950))</f>
        <v/>
      </c>
      <c r="F972" s="3">
        <f>IF('ORDENES'!$A950="","",IF('ORDENES'!$Y950="","-",'ORDENES'!$Y950))</f>
        <v/>
      </c>
      <c r="G972" s="3">
        <f>IF('ORDENES'!$A950="","",IF('ORDENES'!$W950="","-",'ORDENES'!$W950))</f>
        <v/>
      </c>
      <c r="H972" s="3">
        <f>IF('ORDENES'!$A950="","",IF('ORDENES'!$AE950="","-",'ORDENES'!$AE950))</f>
        <v/>
      </c>
      <c r="I972" s="3">
        <f>IF('ORDENES'!$A950="","",IF('ORDENES'!$AQ950="","-",'ORDENES'!$AQ950))</f>
        <v/>
      </c>
      <c r="J972" s="3">
        <f>IF('ORDENES'!$A950="","",IF('ORDENES'!$D950="","-",'ORDENES'!$D950))</f>
        <v/>
      </c>
      <c r="K972" s="3">
        <f>IF('ORDENES'!$A950="","",IF('ORDENES'!$E950="","-",'ORDENES'!$E950))</f>
        <v/>
      </c>
      <c r="L972" s="13">
        <f>IF('ORDENES'!$A950="","",IF('ORDENES'!$M950="",0,'ORDENES'!$M950))</f>
        <v/>
      </c>
      <c r="M972" s="3">
        <f>IF('ORDENES'!$A950="","",IF('ORDENES'!$N950="","-",'ORDENES'!$N950))</f>
        <v/>
      </c>
      <c r="N972" s="3">
        <f>IF('ORDENES'!$A950="","",'ORDENES'!$AD950)</f>
        <v/>
      </c>
    </row>
    <row r="973">
      <c r="A973" s="3">
        <f>IF('ORDENES'!$A951="","",IF('ORDENES'!$O951="","-",'ORDENES'!$O951))</f>
        <v/>
      </c>
      <c r="B973" s="3">
        <f>IF('ORDENES'!$A951="","",IF('ORDENES'!$R951="","-",'ORDENES'!$R951))</f>
        <v/>
      </c>
      <c r="C973" s="3">
        <f>IF('ORDENES'!$A951="","",IF('ORDENES'!$AF951="","-",'ORDENES'!$AF951))</f>
        <v/>
      </c>
      <c r="D973" s="3">
        <f>IF('ORDENES'!$A951="","",IF('ORDENES'!$X951="","-",'ORDENES'!$X951))</f>
        <v/>
      </c>
      <c r="E973" s="3">
        <f>IF('ORDENES'!$A951="","",IF('ORDENES'!$V951="","-",'ORDENES'!$V951))</f>
        <v/>
      </c>
      <c r="F973" s="3">
        <f>IF('ORDENES'!$A951="","",IF('ORDENES'!$Y951="","-",'ORDENES'!$Y951))</f>
        <v/>
      </c>
      <c r="G973" s="3">
        <f>IF('ORDENES'!$A951="","",IF('ORDENES'!$W951="","-",'ORDENES'!$W951))</f>
        <v/>
      </c>
      <c r="H973" s="3">
        <f>IF('ORDENES'!$A951="","",IF('ORDENES'!$AE951="","-",'ORDENES'!$AE951))</f>
        <v/>
      </c>
      <c r="I973" s="3">
        <f>IF('ORDENES'!$A951="","",IF('ORDENES'!$AQ951="","-",'ORDENES'!$AQ951))</f>
        <v/>
      </c>
      <c r="J973" s="3">
        <f>IF('ORDENES'!$A951="","",IF('ORDENES'!$D951="","-",'ORDENES'!$D951))</f>
        <v/>
      </c>
      <c r="K973" s="3">
        <f>IF('ORDENES'!$A951="","",IF('ORDENES'!$E951="","-",'ORDENES'!$E951))</f>
        <v/>
      </c>
      <c r="L973" s="13">
        <f>IF('ORDENES'!$A951="","",IF('ORDENES'!$M951="",0,'ORDENES'!$M951))</f>
        <v/>
      </c>
      <c r="M973" s="3">
        <f>IF('ORDENES'!$A951="","",IF('ORDENES'!$N951="","-",'ORDENES'!$N951))</f>
        <v/>
      </c>
      <c r="N973" s="3">
        <f>IF('ORDENES'!$A951="","",'ORDENES'!$AD951)</f>
        <v/>
      </c>
    </row>
    <row r="974">
      <c r="A974" s="3">
        <f>IF('ORDENES'!$A952="","",IF('ORDENES'!$O952="","-",'ORDENES'!$O952))</f>
        <v/>
      </c>
      <c r="B974" s="3">
        <f>IF('ORDENES'!$A952="","",IF('ORDENES'!$R952="","-",'ORDENES'!$R952))</f>
        <v/>
      </c>
      <c r="C974" s="3">
        <f>IF('ORDENES'!$A952="","",IF('ORDENES'!$AF952="","-",'ORDENES'!$AF952))</f>
        <v/>
      </c>
      <c r="D974" s="3">
        <f>IF('ORDENES'!$A952="","",IF('ORDENES'!$X952="","-",'ORDENES'!$X952))</f>
        <v/>
      </c>
      <c r="E974" s="3">
        <f>IF('ORDENES'!$A952="","",IF('ORDENES'!$V952="","-",'ORDENES'!$V952))</f>
        <v/>
      </c>
      <c r="F974" s="3">
        <f>IF('ORDENES'!$A952="","",IF('ORDENES'!$Y952="","-",'ORDENES'!$Y952))</f>
        <v/>
      </c>
      <c r="G974" s="3">
        <f>IF('ORDENES'!$A952="","",IF('ORDENES'!$W952="","-",'ORDENES'!$W952))</f>
        <v/>
      </c>
      <c r="H974" s="3">
        <f>IF('ORDENES'!$A952="","",IF('ORDENES'!$AE952="","-",'ORDENES'!$AE952))</f>
        <v/>
      </c>
      <c r="I974" s="3">
        <f>IF('ORDENES'!$A952="","",IF('ORDENES'!$AQ952="","-",'ORDENES'!$AQ952))</f>
        <v/>
      </c>
      <c r="J974" s="3">
        <f>IF('ORDENES'!$A952="","",IF('ORDENES'!$D952="","-",'ORDENES'!$D952))</f>
        <v/>
      </c>
      <c r="K974" s="3">
        <f>IF('ORDENES'!$A952="","",IF('ORDENES'!$E952="","-",'ORDENES'!$E952))</f>
        <v/>
      </c>
      <c r="L974" s="13">
        <f>IF('ORDENES'!$A952="","",IF('ORDENES'!$M952="",0,'ORDENES'!$M952))</f>
        <v/>
      </c>
      <c r="M974" s="3">
        <f>IF('ORDENES'!$A952="","",IF('ORDENES'!$N952="","-",'ORDENES'!$N952))</f>
        <v/>
      </c>
      <c r="N974" s="3">
        <f>IF('ORDENES'!$A952="","",'ORDENES'!$AD952)</f>
        <v/>
      </c>
    </row>
    <row r="975">
      <c r="A975" s="3">
        <f>IF('ORDENES'!$A953="","",IF('ORDENES'!$O953="","-",'ORDENES'!$O953))</f>
        <v/>
      </c>
      <c r="B975" s="3">
        <f>IF('ORDENES'!$A953="","",IF('ORDENES'!$R953="","-",'ORDENES'!$R953))</f>
        <v/>
      </c>
      <c r="C975" s="3">
        <f>IF('ORDENES'!$A953="","",IF('ORDENES'!$AF953="","-",'ORDENES'!$AF953))</f>
        <v/>
      </c>
      <c r="D975" s="3">
        <f>IF('ORDENES'!$A953="","",IF('ORDENES'!$X953="","-",'ORDENES'!$X953))</f>
        <v/>
      </c>
      <c r="E975" s="3">
        <f>IF('ORDENES'!$A953="","",IF('ORDENES'!$V953="","-",'ORDENES'!$V953))</f>
        <v/>
      </c>
      <c r="F975" s="3">
        <f>IF('ORDENES'!$A953="","",IF('ORDENES'!$Y953="","-",'ORDENES'!$Y953))</f>
        <v/>
      </c>
      <c r="G975" s="3">
        <f>IF('ORDENES'!$A953="","",IF('ORDENES'!$W953="","-",'ORDENES'!$W953))</f>
        <v/>
      </c>
      <c r="H975" s="3">
        <f>IF('ORDENES'!$A953="","",IF('ORDENES'!$AE953="","-",'ORDENES'!$AE953))</f>
        <v/>
      </c>
      <c r="I975" s="3">
        <f>IF('ORDENES'!$A953="","",IF('ORDENES'!$AQ953="","-",'ORDENES'!$AQ953))</f>
        <v/>
      </c>
      <c r="J975" s="3">
        <f>IF('ORDENES'!$A953="","",IF('ORDENES'!$D953="","-",'ORDENES'!$D953))</f>
        <v/>
      </c>
      <c r="K975" s="3">
        <f>IF('ORDENES'!$A953="","",IF('ORDENES'!$E953="","-",'ORDENES'!$E953))</f>
        <v/>
      </c>
      <c r="L975" s="13">
        <f>IF('ORDENES'!$A953="","",IF('ORDENES'!$M953="",0,'ORDENES'!$M953))</f>
        <v/>
      </c>
      <c r="M975" s="3">
        <f>IF('ORDENES'!$A953="","",IF('ORDENES'!$N953="","-",'ORDENES'!$N953))</f>
        <v/>
      </c>
      <c r="N975" s="3">
        <f>IF('ORDENES'!$A953="","",'ORDENES'!$AD953)</f>
        <v/>
      </c>
    </row>
    <row r="976">
      <c r="A976" s="3">
        <f>IF('ORDENES'!$A954="","",IF('ORDENES'!$O954="","-",'ORDENES'!$O954))</f>
        <v/>
      </c>
      <c r="B976" s="3">
        <f>IF('ORDENES'!$A954="","",IF('ORDENES'!$R954="","-",'ORDENES'!$R954))</f>
        <v/>
      </c>
      <c r="C976" s="3">
        <f>IF('ORDENES'!$A954="","",IF('ORDENES'!$AF954="","-",'ORDENES'!$AF954))</f>
        <v/>
      </c>
      <c r="D976" s="3">
        <f>IF('ORDENES'!$A954="","",IF('ORDENES'!$X954="","-",'ORDENES'!$X954))</f>
        <v/>
      </c>
      <c r="E976" s="3">
        <f>IF('ORDENES'!$A954="","",IF('ORDENES'!$V954="","-",'ORDENES'!$V954))</f>
        <v/>
      </c>
      <c r="F976" s="3">
        <f>IF('ORDENES'!$A954="","",IF('ORDENES'!$Y954="","-",'ORDENES'!$Y954))</f>
        <v/>
      </c>
      <c r="G976" s="3">
        <f>IF('ORDENES'!$A954="","",IF('ORDENES'!$W954="","-",'ORDENES'!$W954))</f>
        <v/>
      </c>
      <c r="H976" s="3">
        <f>IF('ORDENES'!$A954="","",IF('ORDENES'!$AE954="","-",'ORDENES'!$AE954))</f>
        <v/>
      </c>
      <c r="I976" s="3">
        <f>IF('ORDENES'!$A954="","",IF('ORDENES'!$AQ954="","-",'ORDENES'!$AQ954))</f>
        <v/>
      </c>
      <c r="J976" s="3">
        <f>IF('ORDENES'!$A954="","",IF('ORDENES'!$D954="","-",'ORDENES'!$D954))</f>
        <v/>
      </c>
      <c r="K976" s="3">
        <f>IF('ORDENES'!$A954="","",IF('ORDENES'!$E954="","-",'ORDENES'!$E954))</f>
        <v/>
      </c>
      <c r="L976" s="13">
        <f>IF('ORDENES'!$A954="","",IF('ORDENES'!$M954="",0,'ORDENES'!$M954))</f>
        <v/>
      </c>
      <c r="M976" s="3">
        <f>IF('ORDENES'!$A954="","",IF('ORDENES'!$N954="","-",'ORDENES'!$N954))</f>
        <v/>
      </c>
      <c r="N976" s="3">
        <f>IF('ORDENES'!$A954="","",'ORDENES'!$AD954)</f>
        <v/>
      </c>
    </row>
    <row r="977">
      <c r="A977" s="3">
        <f>IF('ORDENES'!$A955="","",IF('ORDENES'!$O955="","-",'ORDENES'!$O955))</f>
        <v/>
      </c>
      <c r="B977" s="3">
        <f>IF('ORDENES'!$A955="","",IF('ORDENES'!$R955="","-",'ORDENES'!$R955))</f>
        <v/>
      </c>
      <c r="C977" s="3">
        <f>IF('ORDENES'!$A955="","",IF('ORDENES'!$AF955="","-",'ORDENES'!$AF955))</f>
        <v/>
      </c>
      <c r="D977" s="3">
        <f>IF('ORDENES'!$A955="","",IF('ORDENES'!$X955="","-",'ORDENES'!$X955))</f>
        <v/>
      </c>
      <c r="E977" s="3">
        <f>IF('ORDENES'!$A955="","",IF('ORDENES'!$V955="","-",'ORDENES'!$V955))</f>
        <v/>
      </c>
      <c r="F977" s="3">
        <f>IF('ORDENES'!$A955="","",IF('ORDENES'!$Y955="","-",'ORDENES'!$Y955))</f>
        <v/>
      </c>
      <c r="G977" s="3">
        <f>IF('ORDENES'!$A955="","",IF('ORDENES'!$W955="","-",'ORDENES'!$W955))</f>
        <v/>
      </c>
      <c r="H977" s="3">
        <f>IF('ORDENES'!$A955="","",IF('ORDENES'!$AE955="","-",'ORDENES'!$AE955))</f>
        <v/>
      </c>
      <c r="I977" s="3">
        <f>IF('ORDENES'!$A955="","",IF('ORDENES'!$AQ955="","-",'ORDENES'!$AQ955))</f>
        <v/>
      </c>
      <c r="J977" s="3">
        <f>IF('ORDENES'!$A955="","",IF('ORDENES'!$D955="","-",'ORDENES'!$D955))</f>
        <v/>
      </c>
      <c r="K977" s="3">
        <f>IF('ORDENES'!$A955="","",IF('ORDENES'!$E955="","-",'ORDENES'!$E955))</f>
        <v/>
      </c>
      <c r="L977" s="13">
        <f>IF('ORDENES'!$A955="","",IF('ORDENES'!$M955="",0,'ORDENES'!$M955))</f>
        <v/>
      </c>
      <c r="M977" s="3">
        <f>IF('ORDENES'!$A955="","",IF('ORDENES'!$N955="","-",'ORDENES'!$N955))</f>
        <v/>
      </c>
      <c r="N977" s="3">
        <f>IF('ORDENES'!$A955="","",'ORDENES'!$AD955)</f>
        <v/>
      </c>
    </row>
    <row r="978">
      <c r="A978" s="3">
        <f>IF('ORDENES'!$A956="","",IF('ORDENES'!$O956="","-",'ORDENES'!$O956))</f>
        <v/>
      </c>
      <c r="B978" s="3">
        <f>IF('ORDENES'!$A956="","",IF('ORDENES'!$R956="","-",'ORDENES'!$R956))</f>
        <v/>
      </c>
      <c r="C978" s="3">
        <f>IF('ORDENES'!$A956="","",IF('ORDENES'!$AF956="","-",'ORDENES'!$AF956))</f>
        <v/>
      </c>
      <c r="D978" s="3">
        <f>IF('ORDENES'!$A956="","",IF('ORDENES'!$X956="","-",'ORDENES'!$X956))</f>
        <v/>
      </c>
      <c r="E978" s="3">
        <f>IF('ORDENES'!$A956="","",IF('ORDENES'!$V956="","-",'ORDENES'!$V956))</f>
        <v/>
      </c>
      <c r="F978" s="3">
        <f>IF('ORDENES'!$A956="","",IF('ORDENES'!$Y956="","-",'ORDENES'!$Y956))</f>
        <v/>
      </c>
      <c r="G978" s="3">
        <f>IF('ORDENES'!$A956="","",IF('ORDENES'!$W956="","-",'ORDENES'!$W956))</f>
        <v/>
      </c>
      <c r="H978" s="3">
        <f>IF('ORDENES'!$A956="","",IF('ORDENES'!$AE956="","-",'ORDENES'!$AE956))</f>
        <v/>
      </c>
      <c r="I978" s="3">
        <f>IF('ORDENES'!$A956="","",IF('ORDENES'!$AQ956="","-",'ORDENES'!$AQ956))</f>
        <v/>
      </c>
      <c r="J978" s="3">
        <f>IF('ORDENES'!$A956="","",IF('ORDENES'!$D956="","-",'ORDENES'!$D956))</f>
        <v/>
      </c>
      <c r="K978" s="3">
        <f>IF('ORDENES'!$A956="","",IF('ORDENES'!$E956="","-",'ORDENES'!$E956))</f>
        <v/>
      </c>
      <c r="L978" s="13">
        <f>IF('ORDENES'!$A956="","",IF('ORDENES'!$M956="",0,'ORDENES'!$M956))</f>
        <v/>
      </c>
      <c r="M978" s="3">
        <f>IF('ORDENES'!$A956="","",IF('ORDENES'!$N956="","-",'ORDENES'!$N956))</f>
        <v/>
      </c>
      <c r="N978" s="3">
        <f>IF('ORDENES'!$A956="","",'ORDENES'!$AD956)</f>
        <v/>
      </c>
    </row>
    <row r="979">
      <c r="A979" s="3">
        <f>IF('ORDENES'!$A957="","",IF('ORDENES'!$O957="","-",'ORDENES'!$O957))</f>
        <v/>
      </c>
      <c r="B979" s="3">
        <f>IF('ORDENES'!$A957="","",IF('ORDENES'!$R957="","-",'ORDENES'!$R957))</f>
        <v/>
      </c>
      <c r="C979" s="3">
        <f>IF('ORDENES'!$A957="","",IF('ORDENES'!$AF957="","-",'ORDENES'!$AF957))</f>
        <v/>
      </c>
      <c r="D979" s="3">
        <f>IF('ORDENES'!$A957="","",IF('ORDENES'!$X957="","-",'ORDENES'!$X957))</f>
        <v/>
      </c>
      <c r="E979" s="3">
        <f>IF('ORDENES'!$A957="","",IF('ORDENES'!$V957="","-",'ORDENES'!$V957))</f>
        <v/>
      </c>
      <c r="F979" s="3">
        <f>IF('ORDENES'!$A957="","",IF('ORDENES'!$Y957="","-",'ORDENES'!$Y957))</f>
        <v/>
      </c>
      <c r="G979" s="3">
        <f>IF('ORDENES'!$A957="","",IF('ORDENES'!$W957="","-",'ORDENES'!$W957))</f>
        <v/>
      </c>
      <c r="H979" s="3">
        <f>IF('ORDENES'!$A957="","",IF('ORDENES'!$AE957="","-",'ORDENES'!$AE957))</f>
        <v/>
      </c>
      <c r="I979" s="3">
        <f>IF('ORDENES'!$A957="","",IF('ORDENES'!$AQ957="","-",'ORDENES'!$AQ957))</f>
        <v/>
      </c>
      <c r="J979" s="3">
        <f>IF('ORDENES'!$A957="","",IF('ORDENES'!$D957="","-",'ORDENES'!$D957))</f>
        <v/>
      </c>
      <c r="K979" s="3">
        <f>IF('ORDENES'!$A957="","",IF('ORDENES'!$E957="","-",'ORDENES'!$E957))</f>
        <v/>
      </c>
      <c r="L979" s="13">
        <f>IF('ORDENES'!$A957="","",IF('ORDENES'!$M957="",0,'ORDENES'!$M957))</f>
        <v/>
      </c>
      <c r="M979" s="3">
        <f>IF('ORDENES'!$A957="","",IF('ORDENES'!$N957="","-",'ORDENES'!$N957))</f>
        <v/>
      </c>
      <c r="N979" s="3">
        <f>IF('ORDENES'!$A957="","",'ORDENES'!$AD957)</f>
        <v/>
      </c>
    </row>
    <row r="980">
      <c r="A980" s="3">
        <f>IF('ORDENES'!$A958="","",IF('ORDENES'!$O958="","-",'ORDENES'!$O958))</f>
        <v/>
      </c>
      <c r="B980" s="3">
        <f>IF('ORDENES'!$A958="","",IF('ORDENES'!$R958="","-",'ORDENES'!$R958))</f>
        <v/>
      </c>
      <c r="C980" s="3">
        <f>IF('ORDENES'!$A958="","",IF('ORDENES'!$AF958="","-",'ORDENES'!$AF958))</f>
        <v/>
      </c>
      <c r="D980" s="3">
        <f>IF('ORDENES'!$A958="","",IF('ORDENES'!$X958="","-",'ORDENES'!$X958))</f>
        <v/>
      </c>
      <c r="E980" s="3">
        <f>IF('ORDENES'!$A958="","",IF('ORDENES'!$V958="","-",'ORDENES'!$V958))</f>
        <v/>
      </c>
      <c r="F980" s="3">
        <f>IF('ORDENES'!$A958="","",IF('ORDENES'!$Y958="","-",'ORDENES'!$Y958))</f>
        <v/>
      </c>
      <c r="G980" s="3">
        <f>IF('ORDENES'!$A958="","",IF('ORDENES'!$W958="","-",'ORDENES'!$W958))</f>
        <v/>
      </c>
      <c r="H980" s="3">
        <f>IF('ORDENES'!$A958="","",IF('ORDENES'!$AE958="","-",'ORDENES'!$AE958))</f>
        <v/>
      </c>
      <c r="I980" s="3">
        <f>IF('ORDENES'!$A958="","",IF('ORDENES'!$AQ958="","-",'ORDENES'!$AQ958))</f>
        <v/>
      </c>
      <c r="J980" s="3">
        <f>IF('ORDENES'!$A958="","",IF('ORDENES'!$D958="","-",'ORDENES'!$D958))</f>
        <v/>
      </c>
      <c r="K980" s="3">
        <f>IF('ORDENES'!$A958="","",IF('ORDENES'!$E958="","-",'ORDENES'!$E958))</f>
        <v/>
      </c>
      <c r="L980" s="13">
        <f>IF('ORDENES'!$A958="","",IF('ORDENES'!$M958="",0,'ORDENES'!$M958))</f>
        <v/>
      </c>
      <c r="M980" s="3">
        <f>IF('ORDENES'!$A958="","",IF('ORDENES'!$N958="","-",'ORDENES'!$N958))</f>
        <v/>
      </c>
      <c r="N980" s="3">
        <f>IF('ORDENES'!$A958="","",'ORDENES'!$AD958)</f>
        <v/>
      </c>
    </row>
    <row r="981">
      <c r="A981" s="3">
        <f>IF('ORDENES'!$A959="","",IF('ORDENES'!$O959="","-",'ORDENES'!$O959))</f>
        <v/>
      </c>
      <c r="B981" s="3">
        <f>IF('ORDENES'!$A959="","",IF('ORDENES'!$R959="","-",'ORDENES'!$R959))</f>
        <v/>
      </c>
      <c r="C981" s="3">
        <f>IF('ORDENES'!$A959="","",IF('ORDENES'!$AF959="","-",'ORDENES'!$AF959))</f>
        <v/>
      </c>
      <c r="D981" s="3">
        <f>IF('ORDENES'!$A959="","",IF('ORDENES'!$X959="","-",'ORDENES'!$X959))</f>
        <v/>
      </c>
      <c r="E981" s="3">
        <f>IF('ORDENES'!$A959="","",IF('ORDENES'!$V959="","-",'ORDENES'!$V959))</f>
        <v/>
      </c>
      <c r="F981" s="3">
        <f>IF('ORDENES'!$A959="","",IF('ORDENES'!$Y959="","-",'ORDENES'!$Y959))</f>
        <v/>
      </c>
      <c r="G981" s="3">
        <f>IF('ORDENES'!$A959="","",IF('ORDENES'!$W959="","-",'ORDENES'!$W959))</f>
        <v/>
      </c>
      <c r="H981" s="3">
        <f>IF('ORDENES'!$A959="","",IF('ORDENES'!$AE959="","-",'ORDENES'!$AE959))</f>
        <v/>
      </c>
      <c r="I981" s="3">
        <f>IF('ORDENES'!$A959="","",IF('ORDENES'!$AQ959="","-",'ORDENES'!$AQ959))</f>
        <v/>
      </c>
      <c r="J981" s="3">
        <f>IF('ORDENES'!$A959="","",IF('ORDENES'!$D959="","-",'ORDENES'!$D959))</f>
        <v/>
      </c>
      <c r="K981" s="3">
        <f>IF('ORDENES'!$A959="","",IF('ORDENES'!$E959="","-",'ORDENES'!$E959))</f>
        <v/>
      </c>
      <c r="L981" s="13">
        <f>IF('ORDENES'!$A959="","",IF('ORDENES'!$M959="",0,'ORDENES'!$M959))</f>
        <v/>
      </c>
      <c r="M981" s="3">
        <f>IF('ORDENES'!$A959="","",IF('ORDENES'!$N959="","-",'ORDENES'!$N959))</f>
        <v/>
      </c>
      <c r="N981" s="3">
        <f>IF('ORDENES'!$A959="","",'ORDENES'!$AD959)</f>
        <v/>
      </c>
    </row>
    <row r="982">
      <c r="A982" s="3">
        <f>IF('ORDENES'!$A960="","",IF('ORDENES'!$O960="","-",'ORDENES'!$O960))</f>
        <v/>
      </c>
      <c r="B982" s="3">
        <f>IF('ORDENES'!$A960="","",IF('ORDENES'!$R960="","-",'ORDENES'!$R960))</f>
        <v/>
      </c>
      <c r="C982" s="3">
        <f>IF('ORDENES'!$A960="","",IF('ORDENES'!$AF960="","-",'ORDENES'!$AF960))</f>
        <v/>
      </c>
      <c r="D982" s="3">
        <f>IF('ORDENES'!$A960="","",IF('ORDENES'!$X960="","-",'ORDENES'!$X960))</f>
        <v/>
      </c>
      <c r="E982" s="3">
        <f>IF('ORDENES'!$A960="","",IF('ORDENES'!$V960="","-",'ORDENES'!$V960))</f>
        <v/>
      </c>
      <c r="F982" s="3">
        <f>IF('ORDENES'!$A960="","",IF('ORDENES'!$Y960="","-",'ORDENES'!$Y960))</f>
        <v/>
      </c>
      <c r="G982" s="3">
        <f>IF('ORDENES'!$A960="","",IF('ORDENES'!$W960="","-",'ORDENES'!$W960))</f>
        <v/>
      </c>
      <c r="H982" s="3">
        <f>IF('ORDENES'!$A960="","",IF('ORDENES'!$AE960="","-",'ORDENES'!$AE960))</f>
        <v/>
      </c>
      <c r="I982" s="3">
        <f>IF('ORDENES'!$A960="","",IF('ORDENES'!$AQ960="","-",'ORDENES'!$AQ960))</f>
        <v/>
      </c>
      <c r="J982" s="3">
        <f>IF('ORDENES'!$A960="","",IF('ORDENES'!$D960="","-",'ORDENES'!$D960))</f>
        <v/>
      </c>
      <c r="K982" s="3">
        <f>IF('ORDENES'!$A960="","",IF('ORDENES'!$E960="","-",'ORDENES'!$E960))</f>
        <v/>
      </c>
      <c r="L982" s="13">
        <f>IF('ORDENES'!$A960="","",IF('ORDENES'!$M960="",0,'ORDENES'!$M960))</f>
        <v/>
      </c>
      <c r="M982" s="3">
        <f>IF('ORDENES'!$A960="","",IF('ORDENES'!$N960="","-",'ORDENES'!$N960))</f>
        <v/>
      </c>
      <c r="N982" s="3">
        <f>IF('ORDENES'!$A960="","",'ORDENES'!$AD960)</f>
        <v/>
      </c>
    </row>
    <row r="983">
      <c r="A983" s="3">
        <f>IF('ORDENES'!$A961="","",IF('ORDENES'!$O961="","-",'ORDENES'!$O961))</f>
        <v/>
      </c>
      <c r="B983" s="3">
        <f>IF('ORDENES'!$A961="","",IF('ORDENES'!$R961="","-",'ORDENES'!$R961))</f>
        <v/>
      </c>
      <c r="C983" s="3">
        <f>IF('ORDENES'!$A961="","",IF('ORDENES'!$AF961="","-",'ORDENES'!$AF961))</f>
        <v/>
      </c>
      <c r="D983" s="3">
        <f>IF('ORDENES'!$A961="","",IF('ORDENES'!$X961="","-",'ORDENES'!$X961))</f>
        <v/>
      </c>
      <c r="E983" s="3">
        <f>IF('ORDENES'!$A961="","",IF('ORDENES'!$V961="","-",'ORDENES'!$V961))</f>
        <v/>
      </c>
      <c r="F983" s="3">
        <f>IF('ORDENES'!$A961="","",IF('ORDENES'!$Y961="","-",'ORDENES'!$Y961))</f>
        <v/>
      </c>
      <c r="G983" s="3">
        <f>IF('ORDENES'!$A961="","",IF('ORDENES'!$W961="","-",'ORDENES'!$W961))</f>
        <v/>
      </c>
      <c r="H983" s="3">
        <f>IF('ORDENES'!$A961="","",IF('ORDENES'!$AE961="","-",'ORDENES'!$AE961))</f>
        <v/>
      </c>
      <c r="I983" s="3">
        <f>IF('ORDENES'!$A961="","",IF('ORDENES'!$AQ961="","-",'ORDENES'!$AQ961))</f>
        <v/>
      </c>
      <c r="J983" s="3">
        <f>IF('ORDENES'!$A961="","",IF('ORDENES'!$D961="","-",'ORDENES'!$D961))</f>
        <v/>
      </c>
      <c r="K983" s="3">
        <f>IF('ORDENES'!$A961="","",IF('ORDENES'!$E961="","-",'ORDENES'!$E961))</f>
        <v/>
      </c>
      <c r="L983" s="13">
        <f>IF('ORDENES'!$A961="","",IF('ORDENES'!$M961="",0,'ORDENES'!$M961))</f>
        <v/>
      </c>
      <c r="M983" s="3">
        <f>IF('ORDENES'!$A961="","",IF('ORDENES'!$N961="","-",'ORDENES'!$N961))</f>
        <v/>
      </c>
      <c r="N983" s="3">
        <f>IF('ORDENES'!$A961="","",'ORDENES'!$AD961)</f>
        <v/>
      </c>
    </row>
    <row r="984">
      <c r="A984" s="3">
        <f>IF('ORDENES'!$A962="","",IF('ORDENES'!$O962="","-",'ORDENES'!$O962))</f>
        <v/>
      </c>
      <c r="B984" s="3">
        <f>IF('ORDENES'!$A962="","",IF('ORDENES'!$R962="","-",'ORDENES'!$R962))</f>
        <v/>
      </c>
      <c r="C984" s="3">
        <f>IF('ORDENES'!$A962="","",IF('ORDENES'!$AF962="","-",'ORDENES'!$AF962))</f>
        <v/>
      </c>
      <c r="D984" s="3">
        <f>IF('ORDENES'!$A962="","",IF('ORDENES'!$X962="","-",'ORDENES'!$X962))</f>
        <v/>
      </c>
      <c r="E984" s="3">
        <f>IF('ORDENES'!$A962="","",IF('ORDENES'!$V962="","-",'ORDENES'!$V962))</f>
        <v/>
      </c>
      <c r="F984" s="3">
        <f>IF('ORDENES'!$A962="","",IF('ORDENES'!$Y962="","-",'ORDENES'!$Y962))</f>
        <v/>
      </c>
      <c r="G984" s="3">
        <f>IF('ORDENES'!$A962="","",IF('ORDENES'!$W962="","-",'ORDENES'!$W962))</f>
        <v/>
      </c>
      <c r="H984" s="3">
        <f>IF('ORDENES'!$A962="","",IF('ORDENES'!$AE962="","-",'ORDENES'!$AE962))</f>
        <v/>
      </c>
      <c r="I984" s="3">
        <f>IF('ORDENES'!$A962="","",IF('ORDENES'!$AQ962="","-",'ORDENES'!$AQ962))</f>
        <v/>
      </c>
      <c r="J984" s="3">
        <f>IF('ORDENES'!$A962="","",IF('ORDENES'!$D962="","-",'ORDENES'!$D962))</f>
        <v/>
      </c>
      <c r="K984" s="3">
        <f>IF('ORDENES'!$A962="","",IF('ORDENES'!$E962="","-",'ORDENES'!$E962))</f>
        <v/>
      </c>
      <c r="L984" s="13">
        <f>IF('ORDENES'!$A962="","",IF('ORDENES'!$M962="",0,'ORDENES'!$M962))</f>
        <v/>
      </c>
      <c r="M984" s="3">
        <f>IF('ORDENES'!$A962="","",IF('ORDENES'!$N962="","-",'ORDENES'!$N962))</f>
        <v/>
      </c>
      <c r="N984" s="3">
        <f>IF('ORDENES'!$A962="","",'ORDENES'!$AD962)</f>
        <v/>
      </c>
    </row>
    <row r="985">
      <c r="A985" s="3">
        <f>IF('ORDENES'!$A963="","",IF('ORDENES'!$O963="","-",'ORDENES'!$O963))</f>
        <v/>
      </c>
      <c r="B985" s="3">
        <f>IF('ORDENES'!$A963="","",IF('ORDENES'!$R963="","-",'ORDENES'!$R963))</f>
        <v/>
      </c>
      <c r="C985" s="3">
        <f>IF('ORDENES'!$A963="","",IF('ORDENES'!$AF963="","-",'ORDENES'!$AF963))</f>
        <v/>
      </c>
      <c r="D985" s="3">
        <f>IF('ORDENES'!$A963="","",IF('ORDENES'!$X963="","-",'ORDENES'!$X963))</f>
        <v/>
      </c>
      <c r="E985" s="3">
        <f>IF('ORDENES'!$A963="","",IF('ORDENES'!$V963="","-",'ORDENES'!$V963))</f>
        <v/>
      </c>
      <c r="F985" s="3">
        <f>IF('ORDENES'!$A963="","",IF('ORDENES'!$Y963="","-",'ORDENES'!$Y963))</f>
        <v/>
      </c>
      <c r="G985" s="3">
        <f>IF('ORDENES'!$A963="","",IF('ORDENES'!$W963="","-",'ORDENES'!$W963))</f>
        <v/>
      </c>
      <c r="H985" s="3">
        <f>IF('ORDENES'!$A963="","",IF('ORDENES'!$AE963="","-",'ORDENES'!$AE963))</f>
        <v/>
      </c>
      <c r="I985" s="3">
        <f>IF('ORDENES'!$A963="","",IF('ORDENES'!$AQ963="","-",'ORDENES'!$AQ963))</f>
        <v/>
      </c>
      <c r="J985" s="3">
        <f>IF('ORDENES'!$A963="","",IF('ORDENES'!$D963="","-",'ORDENES'!$D963))</f>
        <v/>
      </c>
      <c r="K985" s="3">
        <f>IF('ORDENES'!$A963="","",IF('ORDENES'!$E963="","-",'ORDENES'!$E963))</f>
        <v/>
      </c>
      <c r="L985" s="13">
        <f>IF('ORDENES'!$A963="","",IF('ORDENES'!$M963="",0,'ORDENES'!$M963))</f>
        <v/>
      </c>
      <c r="M985" s="3">
        <f>IF('ORDENES'!$A963="","",IF('ORDENES'!$N963="","-",'ORDENES'!$N963))</f>
        <v/>
      </c>
      <c r="N985" s="3">
        <f>IF('ORDENES'!$A963="","",'ORDENES'!$AD963)</f>
        <v/>
      </c>
    </row>
    <row r="986">
      <c r="A986" s="3">
        <f>IF('ORDENES'!$A964="","",IF('ORDENES'!$O964="","-",'ORDENES'!$O964))</f>
        <v/>
      </c>
      <c r="B986" s="3">
        <f>IF('ORDENES'!$A964="","",IF('ORDENES'!$R964="","-",'ORDENES'!$R964))</f>
        <v/>
      </c>
      <c r="C986" s="3">
        <f>IF('ORDENES'!$A964="","",IF('ORDENES'!$AF964="","-",'ORDENES'!$AF964))</f>
        <v/>
      </c>
      <c r="D986" s="3">
        <f>IF('ORDENES'!$A964="","",IF('ORDENES'!$X964="","-",'ORDENES'!$X964))</f>
        <v/>
      </c>
      <c r="E986" s="3">
        <f>IF('ORDENES'!$A964="","",IF('ORDENES'!$V964="","-",'ORDENES'!$V964))</f>
        <v/>
      </c>
      <c r="F986" s="3">
        <f>IF('ORDENES'!$A964="","",IF('ORDENES'!$Y964="","-",'ORDENES'!$Y964))</f>
        <v/>
      </c>
      <c r="G986" s="3">
        <f>IF('ORDENES'!$A964="","",IF('ORDENES'!$W964="","-",'ORDENES'!$W964))</f>
        <v/>
      </c>
      <c r="H986" s="3">
        <f>IF('ORDENES'!$A964="","",IF('ORDENES'!$AE964="","-",'ORDENES'!$AE964))</f>
        <v/>
      </c>
      <c r="I986" s="3">
        <f>IF('ORDENES'!$A964="","",IF('ORDENES'!$AQ964="","-",'ORDENES'!$AQ964))</f>
        <v/>
      </c>
      <c r="J986" s="3">
        <f>IF('ORDENES'!$A964="","",IF('ORDENES'!$D964="","-",'ORDENES'!$D964))</f>
        <v/>
      </c>
      <c r="K986" s="3">
        <f>IF('ORDENES'!$A964="","",IF('ORDENES'!$E964="","-",'ORDENES'!$E964))</f>
        <v/>
      </c>
      <c r="L986" s="13">
        <f>IF('ORDENES'!$A964="","",IF('ORDENES'!$M964="",0,'ORDENES'!$M964))</f>
        <v/>
      </c>
      <c r="M986" s="3">
        <f>IF('ORDENES'!$A964="","",IF('ORDENES'!$N964="","-",'ORDENES'!$N964))</f>
        <v/>
      </c>
      <c r="N986" s="3">
        <f>IF('ORDENES'!$A964="","",'ORDENES'!$AD964)</f>
        <v/>
      </c>
    </row>
    <row r="987">
      <c r="A987" s="3">
        <f>IF('ORDENES'!$A965="","",IF('ORDENES'!$O965="","-",'ORDENES'!$O965))</f>
        <v/>
      </c>
      <c r="B987" s="3">
        <f>IF('ORDENES'!$A965="","",IF('ORDENES'!$R965="","-",'ORDENES'!$R965))</f>
        <v/>
      </c>
      <c r="C987" s="3">
        <f>IF('ORDENES'!$A965="","",IF('ORDENES'!$AF965="","-",'ORDENES'!$AF965))</f>
        <v/>
      </c>
      <c r="D987" s="3">
        <f>IF('ORDENES'!$A965="","",IF('ORDENES'!$X965="","-",'ORDENES'!$X965))</f>
        <v/>
      </c>
      <c r="E987" s="3">
        <f>IF('ORDENES'!$A965="","",IF('ORDENES'!$V965="","-",'ORDENES'!$V965))</f>
        <v/>
      </c>
      <c r="F987" s="3">
        <f>IF('ORDENES'!$A965="","",IF('ORDENES'!$Y965="","-",'ORDENES'!$Y965))</f>
        <v/>
      </c>
      <c r="G987" s="3">
        <f>IF('ORDENES'!$A965="","",IF('ORDENES'!$W965="","-",'ORDENES'!$W965))</f>
        <v/>
      </c>
      <c r="H987" s="3">
        <f>IF('ORDENES'!$A965="","",IF('ORDENES'!$AE965="","-",'ORDENES'!$AE965))</f>
        <v/>
      </c>
      <c r="I987" s="3">
        <f>IF('ORDENES'!$A965="","",IF('ORDENES'!$AQ965="","-",'ORDENES'!$AQ965))</f>
        <v/>
      </c>
      <c r="J987" s="3">
        <f>IF('ORDENES'!$A965="","",IF('ORDENES'!$D965="","-",'ORDENES'!$D965))</f>
        <v/>
      </c>
      <c r="K987" s="3">
        <f>IF('ORDENES'!$A965="","",IF('ORDENES'!$E965="","-",'ORDENES'!$E965))</f>
        <v/>
      </c>
      <c r="L987" s="13">
        <f>IF('ORDENES'!$A965="","",IF('ORDENES'!$M965="",0,'ORDENES'!$M965))</f>
        <v/>
      </c>
      <c r="M987" s="3">
        <f>IF('ORDENES'!$A965="","",IF('ORDENES'!$N965="","-",'ORDENES'!$N965))</f>
        <v/>
      </c>
      <c r="N987" s="3">
        <f>IF('ORDENES'!$A965="","",'ORDENES'!$AD965)</f>
        <v/>
      </c>
    </row>
    <row r="988">
      <c r="A988" s="3">
        <f>IF('ORDENES'!$A966="","",IF('ORDENES'!$O966="","-",'ORDENES'!$O966))</f>
        <v/>
      </c>
      <c r="B988" s="3">
        <f>IF('ORDENES'!$A966="","",IF('ORDENES'!$R966="","-",'ORDENES'!$R966))</f>
        <v/>
      </c>
      <c r="C988" s="3">
        <f>IF('ORDENES'!$A966="","",IF('ORDENES'!$AF966="","-",'ORDENES'!$AF966))</f>
        <v/>
      </c>
      <c r="D988" s="3">
        <f>IF('ORDENES'!$A966="","",IF('ORDENES'!$X966="","-",'ORDENES'!$X966))</f>
        <v/>
      </c>
      <c r="E988" s="3">
        <f>IF('ORDENES'!$A966="","",IF('ORDENES'!$V966="","-",'ORDENES'!$V966))</f>
        <v/>
      </c>
      <c r="F988" s="3">
        <f>IF('ORDENES'!$A966="","",IF('ORDENES'!$Y966="","-",'ORDENES'!$Y966))</f>
        <v/>
      </c>
      <c r="G988" s="3">
        <f>IF('ORDENES'!$A966="","",IF('ORDENES'!$W966="","-",'ORDENES'!$W966))</f>
        <v/>
      </c>
      <c r="H988" s="3">
        <f>IF('ORDENES'!$A966="","",IF('ORDENES'!$AE966="","-",'ORDENES'!$AE966))</f>
        <v/>
      </c>
      <c r="I988" s="3">
        <f>IF('ORDENES'!$A966="","",IF('ORDENES'!$AQ966="","-",'ORDENES'!$AQ966))</f>
        <v/>
      </c>
      <c r="J988" s="3">
        <f>IF('ORDENES'!$A966="","",IF('ORDENES'!$D966="","-",'ORDENES'!$D966))</f>
        <v/>
      </c>
      <c r="K988" s="3">
        <f>IF('ORDENES'!$A966="","",IF('ORDENES'!$E966="","-",'ORDENES'!$E966))</f>
        <v/>
      </c>
      <c r="L988" s="13">
        <f>IF('ORDENES'!$A966="","",IF('ORDENES'!$M966="",0,'ORDENES'!$M966))</f>
        <v/>
      </c>
      <c r="M988" s="3">
        <f>IF('ORDENES'!$A966="","",IF('ORDENES'!$N966="","-",'ORDENES'!$N966))</f>
        <v/>
      </c>
      <c r="N988" s="3">
        <f>IF('ORDENES'!$A966="","",'ORDENES'!$AD966)</f>
        <v/>
      </c>
    </row>
    <row r="989">
      <c r="A989" s="3">
        <f>IF('ORDENES'!$A967="","",IF('ORDENES'!$O967="","-",'ORDENES'!$O967))</f>
        <v/>
      </c>
      <c r="B989" s="3">
        <f>IF('ORDENES'!$A967="","",IF('ORDENES'!$R967="","-",'ORDENES'!$R967))</f>
        <v/>
      </c>
      <c r="C989" s="3">
        <f>IF('ORDENES'!$A967="","",IF('ORDENES'!$AF967="","-",'ORDENES'!$AF967))</f>
        <v/>
      </c>
      <c r="D989" s="3">
        <f>IF('ORDENES'!$A967="","",IF('ORDENES'!$X967="","-",'ORDENES'!$X967))</f>
        <v/>
      </c>
      <c r="E989" s="3">
        <f>IF('ORDENES'!$A967="","",IF('ORDENES'!$V967="","-",'ORDENES'!$V967))</f>
        <v/>
      </c>
      <c r="F989" s="3">
        <f>IF('ORDENES'!$A967="","",IF('ORDENES'!$Y967="","-",'ORDENES'!$Y967))</f>
        <v/>
      </c>
      <c r="G989" s="3">
        <f>IF('ORDENES'!$A967="","",IF('ORDENES'!$W967="","-",'ORDENES'!$W967))</f>
        <v/>
      </c>
      <c r="H989" s="3">
        <f>IF('ORDENES'!$A967="","",IF('ORDENES'!$AE967="","-",'ORDENES'!$AE967))</f>
        <v/>
      </c>
      <c r="I989" s="3">
        <f>IF('ORDENES'!$A967="","",IF('ORDENES'!$AQ967="","-",'ORDENES'!$AQ967))</f>
        <v/>
      </c>
      <c r="J989" s="3">
        <f>IF('ORDENES'!$A967="","",IF('ORDENES'!$D967="","-",'ORDENES'!$D967))</f>
        <v/>
      </c>
      <c r="K989" s="3">
        <f>IF('ORDENES'!$A967="","",IF('ORDENES'!$E967="","-",'ORDENES'!$E967))</f>
        <v/>
      </c>
      <c r="L989" s="13">
        <f>IF('ORDENES'!$A967="","",IF('ORDENES'!$M967="",0,'ORDENES'!$M967))</f>
        <v/>
      </c>
      <c r="M989" s="3">
        <f>IF('ORDENES'!$A967="","",IF('ORDENES'!$N967="","-",'ORDENES'!$N967))</f>
        <v/>
      </c>
      <c r="N989" s="3">
        <f>IF('ORDENES'!$A967="","",'ORDENES'!$AD967)</f>
        <v/>
      </c>
    </row>
    <row r="990">
      <c r="A990" s="3">
        <f>IF('ORDENES'!$A968="","",IF('ORDENES'!$O968="","-",'ORDENES'!$O968))</f>
        <v/>
      </c>
      <c r="B990" s="3">
        <f>IF('ORDENES'!$A968="","",IF('ORDENES'!$R968="","-",'ORDENES'!$R968))</f>
        <v/>
      </c>
      <c r="C990" s="3">
        <f>IF('ORDENES'!$A968="","",IF('ORDENES'!$AF968="","-",'ORDENES'!$AF968))</f>
        <v/>
      </c>
      <c r="D990" s="3">
        <f>IF('ORDENES'!$A968="","",IF('ORDENES'!$X968="","-",'ORDENES'!$X968))</f>
        <v/>
      </c>
      <c r="E990" s="3">
        <f>IF('ORDENES'!$A968="","",IF('ORDENES'!$V968="","-",'ORDENES'!$V968))</f>
        <v/>
      </c>
      <c r="F990" s="3">
        <f>IF('ORDENES'!$A968="","",IF('ORDENES'!$Y968="","-",'ORDENES'!$Y968))</f>
        <v/>
      </c>
      <c r="G990" s="3">
        <f>IF('ORDENES'!$A968="","",IF('ORDENES'!$W968="","-",'ORDENES'!$W968))</f>
        <v/>
      </c>
      <c r="H990" s="3">
        <f>IF('ORDENES'!$A968="","",IF('ORDENES'!$AE968="","-",'ORDENES'!$AE968))</f>
        <v/>
      </c>
      <c r="I990" s="3">
        <f>IF('ORDENES'!$A968="","",IF('ORDENES'!$AQ968="","-",'ORDENES'!$AQ968))</f>
        <v/>
      </c>
      <c r="J990" s="3">
        <f>IF('ORDENES'!$A968="","",IF('ORDENES'!$D968="","-",'ORDENES'!$D968))</f>
        <v/>
      </c>
      <c r="K990" s="3">
        <f>IF('ORDENES'!$A968="","",IF('ORDENES'!$E968="","-",'ORDENES'!$E968))</f>
        <v/>
      </c>
      <c r="L990" s="13">
        <f>IF('ORDENES'!$A968="","",IF('ORDENES'!$M968="",0,'ORDENES'!$M968))</f>
        <v/>
      </c>
      <c r="M990" s="3">
        <f>IF('ORDENES'!$A968="","",IF('ORDENES'!$N968="","-",'ORDENES'!$N968))</f>
        <v/>
      </c>
      <c r="N990" s="3">
        <f>IF('ORDENES'!$A968="","",'ORDENES'!$AD968)</f>
        <v/>
      </c>
    </row>
    <row r="991">
      <c r="A991" s="3">
        <f>IF('ORDENES'!$A969="","",IF('ORDENES'!$O969="","-",'ORDENES'!$O969))</f>
        <v/>
      </c>
      <c r="B991" s="3">
        <f>IF('ORDENES'!$A969="","",IF('ORDENES'!$R969="","-",'ORDENES'!$R969))</f>
        <v/>
      </c>
      <c r="C991" s="3">
        <f>IF('ORDENES'!$A969="","",IF('ORDENES'!$AF969="","-",'ORDENES'!$AF969))</f>
        <v/>
      </c>
      <c r="D991" s="3">
        <f>IF('ORDENES'!$A969="","",IF('ORDENES'!$X969="","-",'ORDENES'!$X969))</f>
        <v/>
      </c>
      <c r="E991" s="3">
        <f>IF('ORDENES'!$A969="","",IF('ORDENES'!$V969="","-",'ORDENES'!$V969))</f>
        <v/>
      </c>
      <c r="F991" s="3">
        <f>IF('ORDENES'!$A969="","",IF('ORDENES'!$Y969="","-",'ORDENES'!$Y969))</f>
        <v/>
      </c>
      <c r="G991" s="3">
        <f>IF('ORDENES'!$A969="","",IF('ORDENES'!$W969="","-",'ORDENES'!$W969))</f>
        <v/>
      </c>
      <c r="H991" s="3">
        <f>IF('ORDENES'!$A969="","",IF('ORDENES'!$AE969="","-",'ORDENES'!$AE969))</f>
        <v/>
      </c>
      <c r="I991" s="3">
        <f>IF('ORDENES'!$A969="","",IF('ORDENES'!$AQ969="","-",'ORDENES'!$AQ969))</f>
        <v/>
      </c>
      <c r="J991" s="3">
        <f>IF('ORDENES'!$A969="","",IF('ORDENES'!$D969="","-",'ORDENES'!$D969))</f>
        <v/>
      </c>
      <c r="K991" s="3">
        <f>IF('ORDENES'!$A969="","",IF('ORDENES'!$E969="","-",'ORDENES'!$E969))</f>
        <v/>
      </c>
      <c r="L991" s="13">
        <f>IF('ORDENES'!$A969="","",IF('ORDENES'!$M969="",0,'ORDENES'!$M969))</f>
        <v/>
      </c>
      <c r="M991" s="3">
        <f>IF('ORDENES'!$A969="","",IF('ORDENES'!$N969="","-",'ORDENES'!$N969))</f>
        <v/>
      </c>
      <c r="N991" s="3">
        <f>IF('ORDENES'!$A969="","",'ORDENES'!$AD969)</f>
        <v/>
      </c>
    </row>
    <row r="992">
      <c r="A992" s="3">
        <f>IF('ORDENES'!$A970="","",IF('ORDENES'!$O970="","-",'ORDENES'!$O970))</f>
        <v/>
      </c>
      <c r="B992" s="3">
        <f>IF('ORDENES'!$A970="","",IF('ORDENES'!$R970="","-",'ORDENES'!$R970))</f>
        <v/>
      </c>
      <c r="C992" s="3">
        <f>IF('ORDENES'!$A970="","",IF('ORDENES'!$AF970="","-",'ORDENES'!$AF970))</f>
        <v/>
      </c>
      <c r="D992" s="3">
        <f>IF('ORDENES'!$A970="","",IF('ORDENES'!$X970="","-",'ORDENES'!$X970))</f>
        <v/>
      </c>
      <c r="E992" s="3">
        <f>IF('ORDENES'!$A970="","",IF('ORDENES'!$V970="","-",'ORDENES'!$V970))</f>
        <v/>
      </c>
      <c r="F992" s="3">
        <f>IF('ORDENES'!$A970="","",IF('ORDENES'!$Y970="","-",'ORDENES'!$Y970))</f>
        <v/>
      </c>
      <c r="G992" s="3">
        <f>IF('ORDENES'!$A970="","",IF('ORDENES'!$W970="","-",'ORDENES'!$W970))</f>
        <v/>
      </c>
      <c r="H992" s="3">
        <f>IF('ORDENES'!$A970="","",IF('ORDENES'!$AE970="","-",'ORDENES'!$AE970))</f>
        <v/>
      </c>
      <c r="I992" s="3">
        <f>IF('ORDENES'!$A970="","",IF('ORDENES'!$AQ970="","-",'ORDENES'!$AQ970))</f>
        <v/>
      </c>
      <c r="J992" s="3">
        <f>IF('ORDENES'!$A970="","",IF('ORDENES'!$D970="","-",'ORDENES'!$D970))</f>
        <v/>
      </c>
      <c r="K992" s="3">
        <f>IF('ORDENES'!$A970="","",IF('ORDENES'!$E970="","-",'ORDENES'!$E970))</f>
        <v/>
      </c>
      <c r="L992" s="13">
        <f>IF('ORDENES'!$A970="","",IF('ORDENES'!$M970="",0,'ORDENES'!$M970))</f>
        <v/>
      </c>
      <c r="M992" s="3">
        <f>IF('ORDENES'!$A970="","",IF('ORDENES'!$N970="","-",'ORDENES'!$N970))</f>
        <v/>
      </c>
      <c r="N992" s="3">
        <f>IF('ORDENES'!$A970="","",'ORDENES'!$AD970)</f>
        <v/>
      </c>
    </row>
    <row r="993">
      <c r="A993" s="3">
        <f>IF('ORDENES'!$A971="","",IF('ORDENES'!$O971="","-",'ORDENES'!$O971))</f>
        <v/>
      </c>
      <c r="B993" s="3">
        <f>IF('ORDENES'!$A971="","",IF('ORDENES'!$R971="","-",'ORDENES'!$R971))</f>
        <v/>
      </c>
      <c r="C993" s="3">
        <f>IF('ORDENES'!$A971="","",IF('ORDENES'!$AF971="","-",'ORDENES'!$AF971))</f>
        <v/>
      </c>
      <c r="D993" s="3">
        <f>IF('ORDENES'!$A971="","",IF('ORDENES'!$X971="","-",'ORDENES'!$X971))</f>
        <v/>
      </c>
      <c r="E993" s="3">
        <f>IF('ORDENES'!$A971="","",IF('ORDENES'!$V971="","-",'ORDENES'!$V971))</f>
        <v/>
      </c>
      <c r="F993" s="3">
        <f>IF('ORDENES'!$A971="","",IF('ORDENES'!$Y971="","-",'ORDENES'!$Y971))</f>
        <v/>
      </c>
      <c r="G993" s="3">
        <f>IF('ORDENES'!$A971="","",IF('ORDENES'!$W971="","-",'ORDENES'!$W971))</f>
        <v/>
      </c>
      <c r="H993" s="3">
        <f>IF('ORDENES'!$A971="","",IF('ORDENES'!$AE971="","-",'ORDENES'!$AE971))</f>
        <v/>
      </c>
      <c r="I993" s="3">
        <f>IF('ORDENES'!$A971="","",IF('ORDENES'!$AQ971="","-",'ORDENES'!$AQ971))</f>
        <v/>
      </c>
      <c r="J993" s="3">
        <f>IF('ORDENES'!$A971="","",IF('ORDENES'!$D971="","-",'ORDENES'!$D971))</f>
        <v/>
      </c>
      <c r="K993" s="3">
        <f>IF('ORDENES'!$A971="","",IF('ORDENES'!$E971="","-",'ORDENES'!$E971))</f>
        <v/>
      </c>
      <c r="L993" s="13">
        <f>IF('ORDENES'!$A971="","",IF('ORDENES'!$M971="",0,'ORDENES'!$M971))</f>
        <v/>
      </c>
      <c r="M993" s="3">
        <f>IF('ORDENES'!$A971="","",IF('ORDENES'!$N971="","-",'ORDENES'!$N971))</f>
        <v/>
      </c>
      <c r="N993" s="3">
        <f>IF('ORDENES'!$A971="","",'ORDENES'!$AD971)</f>
        <v/>
      </c>
    </row>
    <row r="994">
      <c r="A994" s="3">
        <f>IF('ORDENES'!$A972="","",IF('ORDENES'!$O972="","-",'ORDENES'!$O972))</f>
        <v/>
      </c>
      <c r="B994" s="3">
        <f>IF('ORDENES'!$A972="","",IF('ORDENES'!$R972="","-",'ORDENES'!$R972))</f>
        <v/>
      </c>
      <c r="C994" s="3">
        <f>IF('ORDENES'!$A972="","",IF('ORDENES'!$AF972="","-",'ORDENES'!$AF972))</f>
        <v/>
      </c>
      <c r="D994" s="3">
        <f>IF('ORDENES'!$A972="","",IF('ORDENES'!$X972="","-",'ORDENES'!$X972))</f>
        <v/>
      </c>
      <c r="E994" s="3">
        <f>IF('ORDENES'!$A972="","",IF('ORDENES'!$V972="","-",'ORDENES'!$V972))</f>
        <v/>
      </c>
      <c r="F994" s="3">
        <f>IF('ORDENES'!$A972="","",IF('ORDENES'!$Y972="","-",'ORDENES'!$Y972))</f>
        <v/>
      </c>
      <c r="G994" s="3">
        <f>IF('ORDENES'!$A972="","",IF('ORDENES'!$W972="","-",'ORDENES'!$W972))</f>
        <v/>
      </c>
      <c r="H994" s="3">
        <f>IF('ORDENES'!$A972="","",IF('ORDENES'!$AE972="","-",'ORDENES'!$AE972))</f>
        <v/>
      </c>
      <c r="I994" s="3">
        <f>IF('ORDENES'!$A972="","",IF('ORDENES'!$AQ972="","-",'ORDENES'!$AQ972))</f>
        <v/>
      </c>
      <c r="J994" s="3">
        <f>IF('ORDENES'!$A972="","",IF('ORDENES'!$D972="","-",'ORDENES'!$D972))</f>
        <v/>
      </c>
      <c r="K994" s="3">
        <f>IF('ORDENES'!$A972="","",IF('ORDENES'!$E972="","-",'ORDENES'!$E972))</f>
        <v/>
      </c>
      <c r="L994" s="13">
        <f>IF('ORDENES'!$A972="","",IF('ORDENES'!$M972="",0,'ORDENES'!$M972))</f>
        <v/>
      </c>
      <c r="M994" s="3">
        <f>IF('ORDENES'!$A972="","",IF('ORDENES'!$N972="","-",'ORDENES'!$N972))</f>
        <v/>
      </c>
      <c r="N994" s="3">
        <f>IF('ORDENES'!$A972="","",'ORDENES'!$AD972)</f>
        <v/>
      </c>
    </row>
    <row r="995">
      <c r="A995" s="3">
        <f>IF('ORDENES'!$A973="","",IF('ORDENES'!$O973="","-",'ORDENES'!$O973))</f>
        <v/>
      </c>
      <c r="B995" s="3">
        <f>IF('ORDENES'!$A973="","",IF('ORDENES'!$R973="","-",'ORDENES'!$R973))</f>
        <v/>
      </c>
      <c r="C995" s="3">
        <f>IF('ORDENES'!$A973="","",IF('ORDENES'!$AF973="","-",'ORDENES'!$AF973))</f>
        <v/>
      </c>
      <c r="D995" s="3">
        <f>IF('ORDENES'!$A973="","",IF('ORDENES'!$X973="","-",'ORDENES'!$X973))</f>
        <v/>
      </c>
      <c r="E995" s="3">
        <f>IF('ORDENES'!$A973="","",IF('ORDENES'!$V973="","-",'ORDENES'!$V973))</f>
        <v/>
      </c>
      <c r="F995" s="3">
        <f>IF('ORDENES'!$A973="","",IF('ORDENES'!$Y973="","-",'ORDENES'!$Y973))</f>
        <v/>
      </c>
      <c r="G995" s="3">
        <f>IF('ORDENES'!$A973="","",IF('ORDENES'!$W973="","-",'ORDENES'!$W973))</f>
        <v/>
      </c>
      <c r="H995" s="3">
        <f>IF('ORDENES'!$A973="","",IF('ORDENES'!$AE973="","-",'ORDENES'!$AE973))</f>
        <v/>
      </c>
      <c r="I995" s="3">
        <f>IF('ORDENES'!$A973="","",IF('ORDENES'!$AQ973="","-",'ORDENES'!$AQ973))</f>
        <v/>
      </c>
      <c r="J995" s="3">
        <f>IF('ORDENES'!$A973="","",IF('ORDENES'!$D973="","-",'ORDENES'!$D973))</f>
        <v/>
      </c>
      <c r="K995" s="3">
        <f>IF('ORDENES'!$A973="","",IF('ORDENES'!$E973="","-",'ORDENES'!$E973))</f>
        <v/>
      </c>
      <c r="L995" s="13">
        <f>IF('ORDENES'!$A973="","",IF('ORDENES'!$M973="",0,'ORDENES'!$M973))</f>
        <v/>
      </c>
      <c r="M995" s="3">
        <f>IF('ORDENES'!$A973="","",IF('ORDENES'!$N973="","-",'ORDENES'!$N973))</f>
        <v/>
      </c>
      <c r="N995" s="3">
        <f>IF('ORDENES'!$A973="","",'ORDENES'!$AD973)</f>
        <v/>
      </c>
    </row>
    <row r="996">
      <c r="A996" s="3">
        <f>IF('ORDENES'!$A974="","",IF('ORDENES'!$O974="","-",'ORDENES'!$O974))</f>
        <v/>
      </c>
      <c r="B996" s="3">
        <f>IF('ORDENES'!$A974="","",IF('ORDENES'!$R974="","-",'ORDENES'!$R974))</f>
        <v/>
      </c>
      <c r="C996" s="3">
        <f>IF('ORDENES'!$A974="","",IF('ORDENES'!$AF974="","-",'ORDENES'!$AF974))</f>
        <v/>
      </c>
      <c r="D996" s="3">
        <f>IF('ORDENES'!$A974="","",IF('ORDENES'!$X974="","-",'ORDENES'!$X974))</f>
        <v/>
      </c>
      <c r="E996" s="3">
        <f>IF('ORDENES'!$A974="","",IF('ORDENES'!$V974="","-",'ORDENES'!$V974))</f>
        <v/>
      </c>
      <c r="F996" s="3">
        <f>IF('ORDENES'!$A974="","",IF('ORDENES'!$Y974="","-",'ORDENES'!$Y974))</f>
        <v/>
      </c>
      <c r="G996" s="3">
        <f>IF('ORDENES'!$A974="","",IF('ORDENES'!$W974="","-",'ORDENES'!$W974))</f>
        <v/>
      </c>
      <c r="H996" s="3">
        <f>IF('ORDENES'!$A974="","",IF('ORDENES'!$AE974="","-",'ORDENES'!$AE974))</f>
        <v/>
      </c>
      <c r="I996" s="3">
        <f>IF('ORDENES'!$A974="","",IF('ORDENES'!$AQ974="","-",'ORDENES'!$AQ974))</f>
        <v/>
      </c>
      <c r="J996" s="3">
        <f>IF('ORDENES'!$A974="","",IF('ORDENES'!$D974="","-",'ORDENES'!$D974))</f>
        <v/>
      </c>
      <c r="K996" s="3">
        <f>IF('ORDENES'!$A974="","",IF('ORDENES'!$E974="","-",'ORDENES'!$E974))</f>
        <v/>
      </c>
      <c r="L996" s="13">
        <f>IF('ORDENES'!$A974="","",IF('ORDENES'!$M974="",0,'ORDENES'!$M974))</f>
        <v/>
      </c>
      <c r="M996" s="3">
        <f>IF('ORDENES'!$A974="","",IF('ORDENES'!$N974="","-",'ORDENES'!$N974))</f>
        <v/>
      </c>
      <c r="N996" s="3">
        <f>IF('ORDENES'!$A974="","",'ORDENES'!$AD974)</f>
        <v/>
      </c>
    </row>
    <row r="997">
      <c r="A997" s="3">
        <f>IF('ORDENES'!$A975="","",IF('ORDENES'!$O975="","-",'ORDENES'!$O975))</f>
        <v/>
      </c>
      <c r="B997" s="3">
        <f>IF('ORDENES'!$A975="","",IF('ORDENES'!$R975="","-",'ORDENES'!$R975))</f>
        <v/>
      </c>
      <c r="C997" s="3">
        <f>IF('ORDENES'!$A975="","",IF('ORDENES'!$AF975="","-",'ORDENES'!$AF975))</f>
        <v/>
      </c>
      <c r="D997" s="3">
        <f>IF('ORDENES'!$A975="","",IF('ORDENES'!$X975="","-",'ORDENES'!$X975))</f>
        <v/>
      </c>
      <c r="E997" s="3">
        <f>IF('ORDENES'!$A975="","",IF('ORDENES'!$V975="","-",'ORDENES'!$V975))</f>
        <v/>
      </c>
      <c r="F997" s="3">
        <f>IF('ORDENES'!$A975="","",IF('ORDENES'!$Y975="","-",'ORDENES'!$Y975))</f>
        <v/>
      </c>
      <c r="G997" s="3">
        <f>IF('ORDENES'!$A975="","",IF('ORDENES'!$W975="","-",'ORDENES'!$W975))</f>
        <v/>
      </c>
      <c r="H997" s="3">
        <f>IF('ORDENES'!$A975="","",IF('ORDENES'!$AE975="","-",'ORDENES'!$AE975))</f>
        <v/>
      </c>
      <c r="I997" s="3">
        <f>IF('ORDENES'!$A975="","",IF('ORDENES'!$AQ975="","-",'ORDENES'!$AQ975))</f>
        <v/>
      </c>
      <c r="J997" s="3">
        <f>IF('ORDENES'!$A975="","",IF('ORDENES'!$D975="","-",'ORDENES'!$D975))</f>
        <v/>
      </c>
      <c r="K997" s="3">
        <f>IF('ORDENES'!$A975="","",IF('ORDENES'!$E975="","-",'ORDENES'!$E975))</f>
        <v/>
      </c>
      <c r="L997" s="13">
        <f>IF('ORDENES'!$A975="","",IF('ORDENES'!$M975="",0,'ORDENES'!$M975))</f>
        <v/>
      </c>
      <c r="M997" s="3">
        <f>IF('ORDENES'!$A975="","",IF('ORDENES'!$N975="","-",'ORDENES'!$N975))</f>
        <v/>
      </c>
      <c r="N997" s="3">
        <f>IF('ORDENES'!$A975="","",'ORDENES'!$AD975)</f>
        <v/>
      </c>
    </row>
    <row r="998">
      <c r="A998" s="3">
        <f>IF('ORDENES'!$A976="","",IF('ORDENES'!$O976="","-",'ORDENES'!$O976))</f>
        <v/>
      </c>
      <c r="B998" s="3">
        <f>IF('ORDENES'!$A976="","",IF('ORDENES'!$R976="","-",'ORDENES'!$R976))</f>
        <v/>
      </c>
      <c r="C998" s="3">
        <f>IF('ORDENES'!$A976="","",IF('ORDENES'!$AF976="","-",'ORDENES'!$AF976))</f>
        <v/>
      </c>
      <c r="D998" s="3">
        <f>IF('ORDENES'!$A976="","",IF('ORDENES'!$X976="","-",'ORDENES'!$X976))</f>
        <v/>
      </c>
      <c r="E998" s="3">
        <f>IF('ORDENES'!$A976="","",IF('ORDENES'!$V976="","-",'ORDENES'!$V976))</f>
        <v/>
      </c>
      <c r="F998" s="3">
        <f>IF('ORDENES'!$A976="","",IF('ORDENES'!$Y976="","-",'ORDENES'!$Y976))</f>
        <v/>
      </c>
      <c r="G998" s="3">
        <f>IF('ORDENES'!$A976="","",IF('ORDENES'!$W976="","-",'ORDENES'!$W976))</f>
        <v/>
      </c>
      <c r="H998" s="3">
        <f>IF('ORDENES'!$A976="","",IF('ORDENES'!$AE976="","-",'ORDENES'!$AE976))</f>
        <v/>
      </c>
      <c r="I998" s="3">
        <f>IF('ORDENES'!$A976="","",IF('ORDENES'!$AQ976="","-",'ORDENES'!$AQ976))</f>
        <v/>
      </c>
      <c r="J998" s="3">
        <f>IF('ORDENES'!$A976="","",IF('ORDENES'!$D976="","-",'ORDENES'!$D976))</f>
        <v/>
      </c>
      <c r="K998" s="3">
        <f>IF('ORDENES'!$A976="","",IF('ORDENES'!$E976="","-",'ORDENES'!$E976))</f>
        <v/>
      </c>
      <c r="L998" s="13">
        <f>IF('ORDENES'!$A976="","",IF('ORDENES'!$M976="",0,'ORDENES'!$M976))</f>
        <v/>
      </c>
      <c r="M998" s="3">
        <f>IF('ORDENES'!$A976="","",IF('ORDENES'!$N976="","-",'ORDENES'!$N976))</f>
        <v/>
      </c>
      <c r="N998" s="3">
        <f>IF('ORDENES'!$A976="","",'ORDENES'!$AD976)</f>
        <v/>
      </c>
    </row>
    <row r="999">
      <c r="A999" s="3">
        <f>IF('ORDENES'!$A977="","",IF('ORDENES'!$O977="","-",'ORDENES'!$O977))</f>
        <v/>
      </c>
      <c r="B999" s="3">
        <f>IF('ORDENES'!$A977="","",IF('ORDENES'!$R977="","-",'ORDENES'!$R977))</f>
        <v/>
      </c>
      <c r="C999" s="3">
        <f>IF('ORDENES'!$A977="","",IF('ORDENES'!$AF977="","-",'ORDENES'!$AF977))</f>
        <v/>
      </c>
      <c r="D999" s="3">
        <f>IF('ORDENES'!$A977="","",IF('ORDENES'!$X977="","-",'ORDENES'!$X977))</f>
        <v/>
      </c>
      <c r="E999" s="3">
        <f>IF('ORDENES'!$A977="","",IF('ORDENES'!$V977="","-",'ORDENES'!$V977))</f>
        <v/>
      </c>
      <c r="F999" s="3">
        <f>IF('ORDENES'!$A977="","",IF('ORDENES'!$Y977="","-",'ORDENES'!$Y977))</f>
        <v/>
      </c>
      <c r="G999" s="3">
        <f>IF('ORDENES'!$A977="","",IF('ORDENES'!$W977="","-",'ORDENES'!$W977))</f>
        <v/>
      </c>
      <c r="H999" s="3">
        <f>IF('ORDENES'!$A977="","",IF('ORDENES'!$AE977="","-",'ORDENES'!$AE977))</f>
        <v/>
      </c>
      <c r="I999" s="3">
        <f>IF('ORDENES'!$A977="","",IF('ORDENES'!$AQ977="","-",'ORDENES'!$AQ977))</f>
        <v/>
      </c>
      <c r="J999" s="3">
        <f>IF('ORDENES'!$A977="","",IF('ORDENES'!$D977="","-",'ORDENES'!$D977))</f>
        <v/>
      </c>
      <c r="K999" s="3">
        <f>IF('ORDENES'!$A977="","",IF('ORDENES'!$E977="","-",'ORDENES'!$E977))</f>
        <v/>
      </c>
      <c r="L999" s="13">
        <f>IF('ORDENES'!$A977="","",IF('ORDENES'!$M977="",0,'ORDENES'!$M977))</f>
        <v/>
      </c>
      <c r="M999" s="3">
        <f>IF('ORDENES'!$A977="","",IF('ORDENES'!$N977="","-",'ORDENES'!$N977))</f>
        <v/>
      </c>
      <c r="N999" s="3">
        <f>IF('ORDENES'!$A977="","",'ORDENES'!$AD977)</f>
        <v/>
      </c>
    </row>
    <row r="1000">
      <c r="A1000" s="3">
        <f>IF('ORDENES'!$A978="","",IF('ORDENES'!$O978="","-",'ORDENES'!$O978))</f>
        <v/>
      </c>
      <c r="B1000" s="3">
        <f>IF('ORDENES'!$A978="","",IF('ORDENES'!$R978="","-",'ORDENES'!$R978))</f>
        <v/>
      </c>
      <c r="C1000" s="3">
        <f>IF('ORDENES'!$A978="","",IF('ORDENES'!$AF978="","-",'ORDENES'!$AF978))</f>
        <v/>
      </c>
      <c r="D1000" s="3">
        <f>IF('ORDENES'!$A978="","",IF('ORDENES'!$X978="","-",'ORDENES'!$X978))</f>
        <v/>
      </c>
      <c r="E1000" s="3">
        <f>IF('ORDENES'!$A978="","",IF('ORDENES'!$V978="","-",'ORDENES'!$V978))</f>
        <v/>
      </c>
      <c r="F1000" s="3">
        <f>IF('ORDENES'!$A978="","",IF('ORDENES'!$Y978="","-",'ORDENES'!$Y978))</f>
        <v/>
      </c>
      <c r="G1000" s="3">
        <f>IF('ORDENES'!$A978="","",IF('ORDENES'!$W978="","-",'ORDENES'!$W978))</f>
        <v/>
      </c>
      <c r="H1000" s="3">
        <f>IF('ORDENES'!$A978="","",IF('ORDENES'!$AE978="","-",'ORDENES'!$AE978))</f>
        <v/>
      </c>
      <c r="I1000" s="3">
        <f>IF('ORDENES'!$A978="","",IF('ORDENES'!$AQ978="","-",'ORDENES'!$AQ978))</f>
        <v/>
      </c>
      <c r="J1000" s="3">
        <f>IF('ORDENES'!$A978="","",IF('ORDENES'!$D978="","-",'ORDENES'!$D978))</f>
        <v/>
      </c>
      <c r="K1000" s="3">
        <f>IF('ORDENES'!$A978="","",IF('ORDENES'!$E978="","-",'ORDENES'!$E978))</f>
        <v/>
      </c>
      <c r="L1000" s="13">
        <f>IF('ORDENES'!$A978="","",IF('ORDENES'!$M978="",0,'ORDENES'!$M978))</f>
        <v/>
      </c>
      <c r="M1000" s="3">
        <f>IF('ORDENES'!$A978="","",IF('ORDENES'!$N978="","-",'ORDENES'!$N978))</f>
        <v/>
      </c>
      <c r="N1000" s="3">
        <f>IF('ORDENES'!$A978="","",'ORDENES'!$AD978)</f>
        <v/>
      </c>
    </row>
    <row r="1001">
      <c r="A1001" s="3">
        <f>IF('ORDENES'!$A979="","",IF('ORDENES'!$O979="","-",'ORDENES'!$O979))</f>
        <v/>
      </c>
      <c r="B1001" s="3">
        <f>IF('ORDENES'!$A979="","",IF('ORDENES'!$R979="","-",'ORDENES'!$R979))</f>
        <v/>
      </c>
      <c r="C1001" s="3">
        <f>IF('ORDENES'!$A979="","",IF('ORDENES'!$AF979="","-",'ORDENES'!$AF979))</f>
        <v/>
      </c>
      <c r="D1001" s="3">
        <f>IF('ORDENES'!$A979="","",IF('ORDENES'!$X979="","-",'ORDENES'!$X979))</f>
        <v/>
      </c>
      <c r="E1001" s="3">
        <f>IF('ORDENES'!$A979="","",IF('ORDENES'!$V979="","-",'ORDENES'!$V979))</f>
        <v/>
      </c>
      <c r="F1001" s="3">
        <f>IF('ORDENES'!$A979="","",IF('ORDENES'!$Y979="","-",'ORDENES'!$Y979))</f>
        <v/>
      </c>
      <c r="G1001" s="3">
        <f>IF('ORDENES'!$A979="","",IF('ORDENES'!$W979="","-",'ORDENES'!$W979))</f>
        <v/>
      </c>
      <c r="H1001" s="3">
        <f>IF('ORDENES'!$A979="","",IF('ORDENES'!$AE979="","-",'ORDENES'!$AE979))</f>
        <v/>
      </c>
      <c r="I1001" s="3">
        <f>IF('ORDENES'!$A979="","",IF('ORDENES'!$AQ979="","-",'ORDENES'!$AQ979))</f>
        <v/>
      </c>
      <c r="J1001" s="3">
        <f>IF('ORDENES'!$A979="","",IF('ORDENES'!$D979="","-",'ORDENES'!$D979))</f>
        <v/>
      </c>
      <c r="K1001" s="3">
        <f>IF('ORDENES'!$A979="","",IF('ORDENES'!$E979="","-",'ORDENES'!$E979))</f>
        <v/>
      </c>
      <c r="L1001" s="13">
        <f>IF('ORDENES'!$A979="","",IF('ORDENES'!$M979="",0,'ORDENES'!$M979))</f>
        <v/>
      </c>
      <c r="M1001" s="3">
        <f>IF('ORDENES'!$A979="","",IF('ORDENES'!$N979="","-",'ORDENES'!$N979))</f>
        <v/>
      </c>
      <c r="N1001" s="3">
        <f>IF('ORDENES'!$A979="","",'ORDENES'!$AD979)</f>
        <v/>
      </c>
    </row>
    <row r="1002">
      <c r="A1002" s="3">
        <f>IF('ORDENES'!$A980="","",IF('ORDENES'!$O980="","-",'ORDENES'!$O980))</f>
        <v/>
      </c>
      <c r="B1002" s="3">
        <f>IF('ORDENES'!$A980="","",IF('ORDENES'!$R980="","-",'ORDENES'!$R980))</f>
        <v/>
      </c>
      <c r="C1002" s="3">
        <f>IF('ORDENES'!$A980="","",IF('ORDENES'!$AF980="","-",'ORDENES'!$AF980))</f>
        <v/>
      </c>
      <c r="D1002" s="3">
        <f>IF('ORDENES'!$A980="","",IF('ORDENES'!$X980="","-",'ORDENES'!$X980))</f>
        <v/>
      </c>
      <c r="E1002" s="3">
        <f>IF('ORDENES'!$A980="","",IF('ORDENES'!$V980="","-",'ORDENES'!$V980))</f>
        <v/>
      </c>
      <c r="F1002" s="3">
        <f>IF('ORDENES'!$A980="","",IF('ORDENES'!$Y980="","-",'ORDENES'!$Y980))</f>
        <v/>
      </c>
      <c r="G1002" s="3">
        <f>IF('ORDENES'!$A980="","",IF('ORDENES'!$W980="","-",'ORDENES'!$W980))</f>
        <v/>
      </c>
      <c r="H1002" s="3">
        <f>IF('ORDENES'!$A980="","",IF('ORDENES'!$AE980="","-",'ORDENES'!$AE980))</f>
        <v/>
      </c>
      <c r="I1002" s="3">
        <f>IF('ORDENES'!$A980="","",IF('ORDENES'!$AQ980="","-",'ORDENES'!$AQ980))</f>
        <v/>
      </c>
      <c r="J1002" s="3">
        <f>IF('ORDENES'!$A980="","",IF('ORDENES'!$D980="","-",'ORDENES'!$D980))</f>
        <v/>
      </c>
      <c r="K1002" s="3">
        <f>IF('ORDENES'!$A980="","",IF('ORDENES'!$E980="","-",'ORDENES'!$E980))</f>
        <v/>
      </c>
      <c r="L1002" s="13">
        <f>IF('ORDENES'!$A980="","",IF('ORDENES'!$M980="",0,'ORDENES'!$M980))</f>
        <v/>
      </c>
      <c r="M1002" s="3">
        <f>IF('ORDENES'!$A980="","",IF('ORDENES'!$N980="","-",'ORDENES'!$N980))</f>
        <v/>
      </c>
      <c r="N1002" s="3">
        <f>IF('ORDENES'!$A980="","",'ORDENES'!$AD980)</f>
        <v/>
      </c>
    </row>
    <row r="1003">
      <c r="A1003" s="3">
        <f>IF('ORDENES'!$A981="","",IF('ORDENES'!$O981="","-",'ORDENES'!$O981))</f>
        <v/>
      </c>
      <c r="B1003" s="3">
        <f>IF('ORDENES'!$A981="","",IF('ORDENES'!$R981="","-",'ORDENES'!$R981))</f>
        <v/>
      </c>
      <c r="C1003" s="3">
        <f>IF('ORDENES'!$A981="","",IF('ORDENES'!$AF981="","-",'ORDENES'!$AF981))</f>
        <v/>
      </c>
      <c r="D1003" s="3">
        <f>IF('ORDENES'!$A981="","",IF('ORDENES'!$X981="","-",'ORDENES'!$X981))</f>
        <v/>
      </c>
      <c r="E1003" s="3">
        <f>IF('ORDENES'!$A981="","",IF('ORDENES'!$V981="","-",'ORDENES'!$V981))</f>
        <v/>
      </c>
      <c r="F1003" s="3">
        <f>IF('ORDENES'!$A981="","",IF('ORDENES'!$Y981="","-",'ORDENES'!$Y981))</f>
        <v/>
      </c>
      <c r="G1003" s="3">
        <f>IF('ORDENES'!$A981="","",IF('ORDENES'!$W981="","-",'ORDENES'!$W981))</f>
        <v/>
      </c>
      <c r="H1003" s="3">
        <f>IF('ORDENES'!$A981="","",IF('ORDENES'!$AE981="","-",'ORDENES'!$AE981))</f>
        <v/>
      </c>
      <c r="I1003" s="3">
        <f>IF('ORDENES'!$A981="","",IF('ORDENES'!$AQ981="","-",'ORDENES'!$AQ981))</f>
        <v/>
      </c>
      <c r="J1003" s="3">
        <f>IF('ORDENES'!$A981="","",IF('ORDENES'!$D981="","-",'ORDENES'!$D981))</f>
        <v/>
      </c>
      <c r="K1003" s="3">
        <f>IF('ORDENES'!$A981="","",IF('ORDENES'!$E981="","-",'ORDENES'!$E981))</f>
        <v/>
      </c>
      <c r="L1003" s="13">
        <f>IF('ORDENES'!$A981="","",IF('ORDENES'!$M981="",0,'ORDENES'!$M981))</f>
        <v/>
      </c>
      <c r="M1003" s="3">
        <f>IF('ORDENES'!$A981="","",IF('ORDENES'!$N981="","-",'ORDENES'!$N981))</f>
        <v/>
      </c>
      <c r="N1003" s="3">
        <f>IF('ORDENES'!$A981="","",'ORDENES'!$AD981)</f>
        <v/>
      </c>
    </row>
    <row r="1004">
      <c r="A1004" s="3">
        <f>IF('ORDENES'!$A982="","",IF('ORDENES'!$O982="","-",'ORDENES'!$O982))</f>
        <v/>
      </c>
      <c r="B1004" s="3">
        <f>IF('ORDENES'!$A982="","",IF('ORDENES'!$R982="","-",'ORDENES'!$R982))</f>
        <v/>
      </c>
      <c r="C1004" s="3">
        <f>IF('ORDENES'!$A982="","",IF('ORDENES'!$AF982="","-",'ORDENES'!$AF982))</f>
        <v/>
      </c>
      <c r="D1004" s="3">
        <f>IF('ORDENES'!$A982="","",IF('ORDENES'!$X982="","-",'ORDENES'!$X982))</f>
        <v/>
      </c>
      <c r="E1004" s="3">
        <f>IF('ORDENES'!$A982="","",IF('ORDENES'!$V982="","-",'ORDENES'!$V982))</f>
        <v/>
      </c>
      <c r="F1004" s="3">
        <f>IF('ORDENES'!$A982="","",IF('ORDENES'!$Y982="","-",'ORDENES'!$Y982))</f>
        <v/>
      </c>
      <c r="G1004" s="3">
        <f>IF('ORDENES'!$A982="","",IF('ORDENES'!$W982="","-",'ORDENES'!$W982))</f>
        <v/>
      </c>
      <c r="H1004" s="3">
        <f>IF('ORDENES'!$A982="","",IF('ORDENES'!$AE982="","-",'ORDENES'!$AE982))</f>
        <v/>
      </c>
      <c r="I1004" s="3">
        <f>IF('ORDENES'!$A982="","",IF('ORDENES'!$AQ982="","-",'ORDENES'!$AQ982))</f>
        <v/>
      </c>
      <c r="J1004" s="3">
        <f>IF('ORDENES'!$A982="","",IF('ORDENES'!$D982="","-",'ORDENES'!$D982))</f>
        <v/>
      </c>
      <c r="K1004" s="3">
        <f>IF('ORDENES'!$A982="","",IF('ORDENES'!$E982="","-",'ORDENES'!$E982))</f>
        <v/>
      </c>
      <c r="L1004" s="13">
        <f>IF('ORDENES'!$A982="","",IF('ORDENES'!$M982="",0,'ORDENES'!$M982))</f>
        <v/>
      </c>
      <c r="M1004" s="3">
        <f>IF('ORDENES'!$A982="","",IF('ORDENES'!$N982="","-",'ORDENES'!$N982))</f>
        <v/>
      </c>
      <c r="N1004" s="3">
        <f>IF('ORDENES'!$A982="","",'ORDENES'!$AD982)</f>
        <v/>
      </c>
    </row>
    <row r="1005">
      <c r="A1005" s="3">
        <f>IF('ORDENES'!$A983="","",IF('ORDENES'!$O983="","-",'ORDENES'!$O983))</f>
        <v/>
      </c>
      <c r="B1005" s="3">
        <f>IF('ORDENES'!$A983="","",IF('ORDENES'!$R983="","-",'ORDENES'!$R983))</f>
        <v/>
      </c>
      <c r="C1005" s="3">
        <f>IF('ORDENES'!$A983="","",IF('ORDENES'!$AF983="","-",'ORDENES'!$AF983))</f>
        <v/>
      </c>
      <c r="D1005" s="3">
        <f>IF('ORDENES'!$A983="","",IF('ORDENES'!$X983="","-",'ORDENES'!$X983))</f>
        <v/>
      </c>
      <c r="E1005" s="3">
        <f>IF('ORDENES'!$A983="","",IF('ORDENES'!$V983="","-",'ORDENES'!$V983))</f>
        <v/>
      </c>
      <c r="F1005" s="3">
        <f>IF('ORDENES'!$A983="","",IF('ORDENES'!$Y983="","-",'ORDENES'!$Y983))</f>
        <v/>
      </c>
      <c r="G1005" s="3">
        <f>IF('ORDENES'!$A983="","",IF('ORDENES'!$W983="","-",'ORDENES'!$W983))</f>
        <v/>
      </c>
      <c r="H1005" s="3">
        <f>IF('ORDENES'!$A983="","",IF('ORDENES'!$AE983="","-",'ORDENES'!$AE983))</f>
        <v/>
      </c>
      <c r="I1005" s="3">
        <f>IF('ORDENES'!$A983="","",IF('ORDENES'!$AQ983="","-",'ORDENES'!$AQ983))</f>
        <v/>
      </c>
      <c r="J1005" s="3">
        <f>IF('ORDENES'!$A983="","",IF('ORDENES'!$D983="","-",'ORDENES'!$D983))</f>
        <v/>
      </c>
      <c r="K1005" s="3">
        <f>IF('ORDENES'!$A983="","",IF('ORDENES'!$E983="","-",'ORDENES'!$E983))</f>
        <v/>
      </c>
      <c r="L1005" s="13">
        <f>IF('ORDENES'!$A983="","",IF('ORDENES'!$M983="",0,'ORDENES'!$M983))</f>
        <v/>
      </c>
      <c r="M1005" s="3">
        <f>IF('ORDENES'!$A983="","",IF('ORDENES'!$N983="","-",'ORDENES'!$N983))</f>
        <v/>
      </c>
      <c r="N1005" s="3">
        <f>IF('ORDENES'!$A983="","",'ORDENES'!$AD983)</f>
        <v/>
      </c>
    </row>
    <row r="1006">
      <c r="A1006" s="3">
        <f>IF('ORDENES'!$A984="","",IF('ORDENES'!$O984="","-",'ORDENES'!$O984))</f>
        <v/>
      </c>
      <c r="B1006" s="3">
        <f>IF('ORDENES'!$A984="","",IF('ORDENES'!$R984="","-",'ORDENES'!$R984))</f>
        <v/>
      </c>
      <c r="C1006" s="3">
        <f>IF('ORDENES'!$A984="","",IF('ORDENES'!$AF984="","-",'ORDENES'!$AF984))</f>
        <v/>
      </c>
      <c r="D1006" s="3">
        <f>IF('ORDENES'!$A984="","",IF('ORDENES'!$X984="","-",'ORDENES'!$X984))</f>
        <v/>
      </c>
      <c r="E1006" s="3">
        <f>IF('ORDENES'!$A984="","",IF('ORDENES'!$V984="","-",'ORDENES'!$V984))</f>
        <v/>
      </c>
      <c r="F1006" s="3">
        <f>IF('ORDENES'!$A984="","",IF('ORDENES'!$Y984="","-",'ORDENES'!$Y984))</f>
        <v/>
      </c>
      <c r="G1006" s="3">
        <f>IF('ORDENES'!$A984="","",IF('ORDENES'!$W984="","-",'ORDENES'!$W984))</f>
        <v/>
      </c>
      <c r="H1006" s="3">
        <f>IF('ORDENES'!$A984="","",IF('ORDENES'!$AE984="","-",'ORDENES'!$AE984))</f>
        <v/>
      </c>
      <c r="I1006" s="3">
        <f>IF('ORDENES'!$A984="","",IF('ORDENES'!$AQ984="","-",'ORDENES'!$AQ984))</f>
        <v/>
      </c>
      <c r="J1006" s="3">
        <f>IF('ORDENES'!$A984="","",IF('ORDENES'!$D984="","-",'ORDENES'!$D984))</f>
        <v/>
      </c>
      <c r="K1006" s="3">
        <f>IF('ORDENES'!$A984="","",IF('ORDENES'!$E984="","-",'ORDENES'!$E984))</f>
        <v/>
      </c>
      <c r="L1006" s="13">
        <f>IF('ORDENES'!$A984="","",IF('ORDENES'!$M984="",0,'ORDENES'!$M984))</f>
        <v/>
      </c>
      <c r="M1006" s="3">
        <f>IF('ORDENES'!$A984="","",IF('ORDENES'!$N984="","-",'ORDENES'!$N984))</f>
        <v/>
      </c>
      <c r="N1006" s="3">
        <f>IF('ORDENES'!$A984="","",'ORDENES'!$AD984)</f>
        <v/>
      </c>
    </row>
    <row r="1007">
      <c r="A1007" s="3">
        <f>IF('ORDENES'!$A985="","",IF('ORDENES'!$O985="","-",'ORDENES'!$O985))</f>
        <v/>
      </c>
      <c r="B1007" s="3">
        <f>IF('ORDENES'!$A985="","",IF('ORDENES'!$R985="","-",'ORDENES'!$R985))</f>
        <v/>
      </c>
      <c r="C1007" s="3">
        <f>IF('ORDENES'!$A985="","",IF('ORDENES'!$AF985="","-",'ORDENES'!$AF985))</f>
        <v/>
      </c>
      <c r="D1007" s="3">
        <f>IF('ORDENES'!$A985="","",IF('ORDENES'!$X985="","-",'ORDENES'!$X985))</f>
        <v/>
      </c>
      <c r="E1007" s="3">
        <f>IF('ORDENES'!$A985="","",IF('ORDENES'!$V985="","-",'ORDENES'!$V985))</f>
        <v/>
      </c>
      <c r="F1007" s="3">
        <f>IF('ORDENES'!$A985="","",IF('ORDENES'!$Y985="","-",'ORDENES'!$Y985))</f>
        <v/>
      </c>
      <c r="G1007" s="3">
        <f>IF('ORDENES'!$A985="","",IF('ORDENES'!$W985="","-",'ORDENES'!$W985))</f>
        <v/>
      </c>
      <c r="H1007" s="3">
        <f>IF('ORDENES'!$A985="","",IF('ORDENES'!$AE985="","-",'ORDENES'!$AE985))</f>
        <v/>
      </c>
      <c r="I1007" s="3">
        <f>IF('ORDENES'!$A985="","",IF('ORDENES'!$AQ985="","-",'ORDENES'!$AQ985))</f>
        <v/>
      </c>
      <c r="J1007" s="3">
        <f>IF('ORDENES'!$A985="","",IF('ORDENES'!$D985="","-",'ORDENES'!$D985))</f>
        <v/>
      </c>
      <c r="K1007" s="3">
        <f>IF('ORDENES'!$A985="","",IF('ORDENES'!$E985="","-",'ORDENES'!$E985))</f>
        <v/>
      </c>
      <c r="L1007" s="13">
        <f>IF('ORDENES'!$A985="","",IF('ORDENES'!$M985="",0,'ORDENES'!$M985))</f>
        <v/>
      </c>
      <c r="M1007" s="3">
        <f>IF('ORDENES'!$A985="","",IF('ORDENES'!$N985="","-",'ORDENES'!$N985))</f>
        <v/>
      </c>
      <c r="N1007" s="3">
        <f>IF('ORDENES'!$A985="","",'ORDENES'!$AD985)</f>
        <v/>
      </c>
    </row>
    <row r="1008">
      <c r="A1008" s="3">
        <f>IF('ORDENES'!$A986="","",IF('ORDENES'!$O986="","-",'ORDENES'!$O986))</f>
        <v/>
      </c>
      <c r="B1008" s="3">
        <f>IF('ORDENES'!$A986="","",IF('ORDENES'!$R986="","-",'ORDENES'!$R986))</f>
        <v/>
      </c>
      <c r="C1008" s="3">
        <f>IF('ORDENES'!$A986="","",IF('ORDENES'!$AF986="","-",'ORDENES'!$AF986))</f>
        <v/>
      </c>
      <c r="D1008" s="3">
        <f>IF('ORDENES'!$A986="","",IF('ORDENES'!$X986="","-",'ORDENES'!$X986))</f>
        <v/>
      </c>
      <c r="E1008" s="3">
        <f>IF('ORDENES'!$A986="","",IF('ORDENES'!$V986="","-",'ORDENES'!$V986))</f>
        <v/>
      </c>
      <c r="F1008" s="3">
        <f>IF('ORDENES'!$A986="","",IF('ORDENES'!$Y986="","-",'ORDENES'!$Y986))</f>
        <v/>
      </c>
      <c r="G1008" s="3">
        <f>IF('ORDENES'!$A986="","",IF('ORDENES'!$W986="","-",'ORDENES'!$W986))</f>
        <v/>
      </c>
      <c r="H1008" s="3">
        <f>IF('ORDENES'!$A986="","",IF('ORDENES'!$AE986="","-",'ORDENES'!$AE986))</f>
        <v/>
      </c>
      <c r="I1008" s="3">
        <f>IF('ORDENES'!$A986="","",IF('ORDENES'!$AQ986="","-",'ORDENES'!$AQ986))</f>
        <v/>
      </c>
      <c r="J1008" s="3">
        <f>IF('ORDENES'!$A986="","",IF('ORDENES'!$D986="","-",'ORDENES'!$D986))</f>
        <v/>
      </c>
      <c r="K1008" s="3">
        <f>IF('ORDENES'!$A986="","",IF('ORDENES'!$E986="","-",'ORDENES'!$E986))</f>
        <v/>
      </c>
      <c r="L1008" s="13">
        <f>IF('ORDENES'!$A986="","",IF('ORDENES'!$M986="",0,'ORDENES'!$M986))</f>
        <v/>
      </c>
      <c r="M1008" s="3">
        <f>IF('ORDENES'!$A986="","",IF('ORDENES'!$N986="","-",'ORDENES'!$N986))</f>
        <v/>
      </c>
      <c r="N1008" s="3">
        <f>IF('ORDENES'!$A986="","",'ORDENES'!$AD986)</f>
        <v/>
      </c>
    </row>
    <row r="1009">
      <c r="A1009" s="3">
        <f>IF('ORDENES'!$A987="","",IF('ORDENES'!$O987="","-",'ORDENES'!$O987))</f>
        <v/>
      </c>
      <c r="B1009" s="3">
        <f>IF('ORDENES'!$A987="","",IF('ORDENES'!$R987="","-",'ORDENES'!$R987))</f>
        <v/>
      </c>
      <c r="C1009" s="3">
        <f>IF('ORDENES'!$A987="","",IF('ORDENES'!$AF987="","-",'ORDENES'!$AF987))</f>
        <v/>
      </c>
      <c r="D1009" s="3">
        <f>IF('ORDENES'!$A987="","",IF('ORDENES'!$X987="","-",'ORDENES'!$X987))</f>
        <v/>
      </c>
      <c r="E1009" s="3">
        <f>IF('ORDENES'!$A987="","",IF('ORDENES'!$V987="","-",'ORDENES'!$V987))</f>
        <v/>
      </c>
      <c r="F1009" s="3">
        <f>IF('ORDENES'!$A987="","",IF('ORDENES'!$Y987="","-",'ORDENES'!$Y987))</f>
        <v/>
      </c>
      <c r="G1009" s="3">
        <f>IF('ORDENES'!$A987="","",IF('ORDENES'!$W987="","-",'ORDENES'!$W987))</f>
        <v/>
      </c>
      <c r="H1009" s="3">
        <f>IF('ORDENES'!$A987="","",IF('ORDENES'!$AE987="","-",'ORDENES'!$AE987))</f>
        <v/>
      </c>
      <c r="I1009" s="3">
        <f>IF('ORDENES'!$A987="","",IF('ORDENES'!$AQ987="","-",'ORDENES'!$AQ987))</f>
        <v/>
      </c>
      <c r="J1009" s="3">
        <f>IF('ORDENES'!$A987="","",IF('ORDENES'!$D987="","-",'ORDENES'!$D987))</f>
        <v/>
      </c>
      <c r="K1009" s="3">
        <f>IF('ORDENES'!$A987="","",IF('ORDENES'!$E987="","-",'ORDENES'!$E987))</f>
        <v/>
      </c>
      <c r="L1009" s="13">
        <f>IF('ORDENES'!$A987="","",IF('ORDENES'!$M987="",0,'ORDENES'!$M987))</f>
        <v/>
      </c>
      <c r="M1009" s="3">
        <f>IF('ORDENES'!$A987="","",IF('ORDENES'!$N987="","-",'ORDENES'!$N987))</f>
        <v/>
      </c>
      <c r="N1009" s="3">
        <f>IF('ORDENES'!$A987="","",'ORDENES'!$AD987)</f>
        <v/>
      </c>
    </row>
    <row r="1010">
      <c r="A1010" s="3">
        <f>IF('ORDENES'!$A988="","",IF('ORDENES'!$O988="","-",'ORDENES'!$O988))</f>
        <v/>
      </c>
      <c r="B1010" s="3">
        <f>IF('ORDENES'!$A988="","",IF('ORDENES'!$R988="","-",'ORDENES'!$R988))</f>
        <v/>
      </c>
      <c r="C1010" s="3">
        <f>IF('ORDENES'!$A988="","",IF('ORDENES'!$AF988="","-",'ORDENES'!$AF988))</f>
        <v/>
      </c>
      <c r="D1010" s="3">
        <f>IF('ORDENES'!$A988="","",IF('ORDENES'!$X988="","-",'ORDENES'!$X988))</f>
        <v/>
      </c>
      <c r="E1010" s="3">
        <f>IF('ORDENES'!$A988="","",IF('ORDENES'!$V988="","-",'ORDENES'!$V988))</f>
        <v/>
      </c>
      <c r="F1010" s="3">
        <f>IF('ORDENES'!$A988="","",IF('ORDENES'!$Y988="","-",'ORDENES'!$Y988))</f>
        <v/>
      </c>
      <c r="G1010" s="3">
        <f>IF('ORDENES'!$A988="","",IF('ORDENES'!$W988="","-",'ORDENES'!$W988))</f>
        <v/>
      </c>
      <c r="H1010" s="3">
        <f>IF('ORDENES'!$A988="","",IF('ORDENES'!$AE988="","-",'ORDENES'!$AE988))</f>
        <v/>
      </c>
      <c r="I1010" s="3">
        <f>IF('ORDENES'!$A988="","",IF('ORDENES'!$AQ988="","-",'ORDENES'!$AQ988))</f>
        <v/>
      </c>
      <c r="J1010" s="3">
        <f>IF('ORDENES'!$A988="","",IF('ORDENES'!$D988="","-",'ORDENES'!$D988))</f>
        <v/>
      </c>
      <c r="K1010" s="3">
        <f>IF('ORDENES'!$A988="","",IF('ORDENES'!$E988="","-",'ORDENES'!$E988))</f>
        <v/>
      </c>
      <c r="L1010" s="13">
        <f>IF('ORDENES'!$A988="","",IF('ORDENES'!$M988="",0,'ORDENES'!$M988))</f>
        <v/>
      </c>
      <c r="M1010" s="3">
        <f>IF('ORDENES'!$A988="","",IF('ORDENES'!$N988="","-",'ORDENES'!$N988))</f>
        <v/>
      </c>
      <c r="N1010" s="3">
        <f>IF('ORDENES'!$A988="","",'ORDENES'!$AD988)</f>
        <v/>
      </c>
    </row>
    <row r="1011">
      <c r="A1011" s="3">
        <f>IF('ORDENES'!$A989="","",IF('ORDENES'!$O989="","-",'ORDENES'!$O989))</f>
        <v/>
      </c>
      <c r="B1011" s="3">
        <f>IF('ORDENES'!$A989="","",IF('ORDENES'!$R989="","-",'ORDENES'!$R989))</f>
        <v/>
      </c>
      <c r="C1011" s="3">
        <f>IF('ORDENES'!$A989="","",IF('ORDENES'!$AF989="","-",'ORDENES'!$AF989))</f>
        <v/>
      </c>
      <c r="D1011" s="3">
        <f>IF('ORDENES'!$A989="","",IF('ORDENES'!$X989="","-",'ORDENES'!$X989))</f>
        <v/>
      </c>
      <c r="E1011" s="3">
        <f>IF('ORDENES'!$A989="","",IF('ORDENES'!$V989="","-",'ORDENES'!$V989))</f>
        <v/>
      </c>
      <c r="F1011" s="3">
        <f>IF('ORDENES'!$A989="","",IF('ORDENES'!$Y989="","-",'ORDENES'!$Y989))</f>
        <v/>
      </c>
      <c r="G1011" s="3">
        <f>IF('ORDENES'!$A989="","",IF('ORDENES'!$W989="","-",'ORDENES'!$W989))</f>
        <v/>
      </c>
      <c r="H1011" s="3">
        <f>IF('ORDENES'!$A989="","",IF('ORDENES'!$AE989="","-",'ORDENES'!$AE989))</f>
        <v/>
      </c>
      <c r="I1011" s="3">
        <f>IF('ORDENES'!$A989="","",IF('ORDENES'!$AQ989="","-",'ORDENES'!$AQ989))</f>
        <v/>
      </c>
      <c r="J1011" s="3">
        <f>IF('ORDENES'!$A989="","",IF('ORDENES'!$D989="","-",'ORDENES'!$D989))</f>
        <v/>
      </c>
      <c r="K1011" s="3">
        <f>IF('ORDENES'!$A989="","",IF('ORDENES'!$E989="","-",'ORDENES'!$E989))</f>
        <v/>
      </c>
      <c r="L1011" s="13">
        <f>IF('ORDENES'!$A989="","",IF('ORDENES'!$M989="",0,'ORDENES'!$M989))</f>
        <v/>
      </c>
      <c r="M1011" s="3">
        <f>IF('ORDENES'!$A989="","",IF('ORDENES'!$N989="","-",'ORDENES'!$N989))</f>
        <v/>
      </c>
      <c r="N1011" s="3">
        <f>IF('ORDENES'!$A989="","",'ORDENES'!$AD989)</f>
        <v/>
      </c>
    </row>
    <row r="1012">
      <c r="A1012" s="3">
        <f>IF('ORDENES'!$A990="","",IF('ORDENES'!$O990="","-",'ORDENES'!$O990))</f>
        <v/>
      </c>
      <c r="B1012" s="3">
        <f>IF('ORDENES'!$A990="","",IF('ORDENES'!$R990="","-",'ORDENES'!$R990))</f>
        <v/>
      </c>
      <c r="C1012" s="3">
        <f>IF('ORDENES'!$A990="","",IF('ORDENES'!$AF990="","-",'ORDENES'!$AF990))</f>
        <v/>
      </c>
      <c r="D1012" s="3">
        <f>IF('ORDENES'!$A990="","",IF('ORDENES'!$X990="","-",'ORDENES'!$X990))</f>
        <v/>
      </c>
      <c r="E1012" s="3">
        <f>IF('ORDENES'!$A990="","",IF('ORDENES'!$V990="","-",'ORDENES'!$V990))</f>
        <v/>
      </c>
      <c r="F1012" s="3">
        <f>IF('ORDENES'!$A990="","",IF('ORDENES'!$Y990="","-",'ORDENES'!$Y990))</f>
        <v/>
      </c>
      <c r="G1012" s="3">
        <f>IF('ORDENES'!$A990="","",IF('ORDENES'!$W990="","-",'ORDENES'!$W990))</f>
        <v/>
      </c>
      <c r="H1012" s="3">
        <f>IF('ORDENES'!$A990="","",IF('ORDENES'!$AE990="","-",'ORDENES'!$AE990))</f>
        <v/>
      </c>
      <c r="I1012" s="3">
        <f>IF('ORDENES'!$A990="","",IF('ORDENES'!$AQ990="","-",'ORDENES'!$AQ990))</f>
        <v/>
      </c>
      <c r="J1012" s="3">
        <f>IF('ORDENES'!$A990="","",IF('ORDENES'!$D990="","-",'ORDENES'!$D990))</f>
        <v/>
      </c>
      <c r="K1012" s="3">
        <f>IF('ORDENES'!$A990="","",IF('ORDENES'!$E990="","-",'ORDENES'!$E990))</f>
        <v/>
      </c>
      <c r="L1012" s="13">
        <f>IF('ORDENES'!$A990="","",IF('ORDENES'!$M990="",0,'ORDENES'!$M990))</f>
        <v/>
      </c>
      <c r="M1012" s="3">
        <f>IF('ORDENES'!$A990="","",IF('ORDENES'!$N990="","-",'ORDENES'!$N990))</f>
        <v/>
      </c>
      <c r="N1012" s="3">
        <f>IF('ORDENES'!$A990="","",'ORDENES'!$AD990)</f>
        <v/>
      </c>
    </row>
    <row r="1013">
      <c r="A1013" s="3">
        <f>IF('ORDENES'!$A991="","",IF('ORDENES'!$O991="","-",'ORDENES'!$O991))</f>
        <v/>
      </c>
      <c r="B1013" s="3">
        <f>IF('ORDENES'!$A991="","",IF('ORDENES'!$R991="","-",'ORDENES'!$R991))</f>
        <v/>
      </c>
      <c r="C1013" s="3">
        <f>IF('ORDENES'!$A991="","",IF('ORDENES'!$AF991="","-",'ORDENES'!$AF991))</f>
        <v/>
      </c>
      <c r="D1013" s="3">
        <f>IF('ORDENES'!$A991="","",IF('ORDENES'!$X991="","-",'ORDENES'!$X991))</f>
        <v/>
      </c>
      <c r="E1013" s="3">
        <f>IF('ORDENES'!$A991="","",IF('ORDENES'!$V991="","-",'ORDENES'!$V991))</f>
        <v/>
      </c>
      <c r="F1013" s="3">
        <f>IF('ORDENES'!$A991="","",IF('ORDENES'!$Y991="","-",'ORDENES'!$Y991))</f>
        <v/>
      </c>
      <c r="G1013" s="3">
        <f>IF('ORDENES'!$A991="","",IF('ORDENES'!$W991="","-",'ORDENES'!$W991))</f>
        <v/>
      </c>
      <c r="H1013" s="3">
        <f>IF('ORDENES'!$A991="","",IF('ORDENES'!$AE991="","-",'ORDENES'!$AE991))</f>
        <v/>
      </c>
      <c r="I1013" s="3">
        <f>IF('ORDENES'!$A991="","",IF('ORDENES'!$AQ991="","-",'ORDENES'!$AQ991))</f>
        <v/>
      </c>
      <c r="J1013" s="3">
        <f>IF('ORDENES'!$A991="","",IF('ORDENES'!$D991="","-",'ORDENES'!$D991))</f>
        <v/>
      </c>
      <c r="K1013" s="3">
        <f>IF('ORDENES'!$A991="","",IF('ORDENES'!$E991="","-",'ORDENES'!$E991))</f>
        <v/>
      </c>
      <c r="L1013" s="13">
        <f>IF('ORDENES'!$A991="","",IF('ORDENES'!$M991="",0,'ORDENES'!$M991))</f>
        <v/>
      </c>
      <c r="M1013" s="3">
        <f>IF('ORDENES'!$A991="","",IF('ORDENES'!$N991="","-",'ORDENES'!$N991))</f>
        <v/>
      </c>
      <c r="N1013" s="3">
        <f>IF('ORDENES'!$A991="","",'ORDENES'!$AD991)</f>
        <v/>
      </c>
    </row>
    <row r="1014">
      <c r="A1014" s="3">
        <f>IF('ORDENES'!$A992="","",IF('ORDENES'!$O992="","-",'ORDENES'!$O992))</f>
        <v/>
      </c>
      <c r="B1014" s="3">
        <f>IF('ORDENES'!$A992="","",IF('ORDENES'!$R992="","-",'ORDENES'!$R992))</f>
        <v/>
      </c>
      <c r="C1014" s="3">
        <f>IF('ORDENES'!$A992="","",IF('ORDENES'!$AF992="","-",'ORDENES'!$AF992))</f>
        <v/>
      </c>
      <c r="D1014" s="3">
        <f>IF('ORDENES'!$A992="","",IF('ORDENES'!$X992="","-",'ORDENES'!$X992))</f>
        <v/>
      </c>
      <c r="E1014" s="3">
        <f>IF('ORDENES'!$A992="","",IF('ORDENES'!$V992="","-",'ORDENES'!$V992))</f>
        <v/>
      </c>
      <c r="F1014" s="3">
        <f>IF('ORDENES'!$A992="","",IF('ORDENES'!$Y992="","-",'ORDENES'!$Y992))</f>
        <v/>
      </c>
      <c r="G1014" s="3">
        <f>IF('ORDENES'!$A992="","",IF('ORDENES'!$W992="","-",'ORDENES'!$W992))</f>
        <v/>
      </c>
      <c r="H1014" s="3">
        <f>IF('ORDENES'!$A992="","",IF('ORDENES'!$AE992="","-",'ORDENES'!$AE992))</f>
        <v/>
      </c>
      <c r="I1014" s="3">
        <f>IF('ORDENES'!$A992="","",IF('ORDENES'!$AQ992="","-",'ORDENES'!$AQ992))</f>
        <v/>
      </c>
      <c r="J1014" s="3">
        <f>IF('ORDENES'!$A992="","",IF('ORDENES'!$D992="","-",'ORDENES'!$D992))</f>
        <v/>
      </c>
      <c r="K1014" s="3">
        <f>IF('ORDENES'!$A992="","",IF('ORDENES'!$E992="","-",'ORDENES'!$E992))</f>
        <v/>
      </c>
      <c r="L1014" s="13">
        <f>IF('ORDENES'!$A992="","",IF('ORDENES'!$M992="",0,'ORDENES'!$M992))</f>
        <v/>
      </c>
      <c r="M1014" s="3">
        <f>IF('ORDENES'!$A992="","",IF('ORDENES'!$N992="","-",'ORDENES'!$N992))</f>
        <v/>
      </c>
      <c r="N1014" s="3">
        <f>IF('ORDENES'!$A992="","",'ORDENES'!$AD992)</f>
        <v/>
      </c>
    </row>
    <row r="1015">
      <c r="A1015" s="3">
        <f>IF('ORDENES'!$A993="","",IF('ORDENES'!$O993="","-",'ORDENES'!$O993))</f>
        <v/>
      </c>
      <c r="B1015" s="3">
        <f>IF('ORDENES'!$A993="","",IF('ORDENES'!$R993="","-",'ORDENES'!$R993))</f>
        <v/>
      </c>
      <c r="C1015" s="3">
        <f>IF('ORDENES'!$A993="","",IF('ORDENES'!$AF993="","-",'ORDENES'!$AF993))</f>
        <v/>
      </c>
      <c r="D1015" s="3">
        <f>IF('ORDENES'!$A993="","",IF('ORDENES'!$X993="","-",'ORDENES'!$X993))</f>
        <v/>
      </c>
      <c r="E1015" s="3">
        <f>IF('ORDENES'!$A993="","",IF('ORDENES'!$V993="","-",'ORDENES'!$V993))</f>
        <v/>
      </c>
      <c r="F1015" s="3">
        <f>IF('ORDENES'!$A993="","",IF('ORDENES'!$Y993="","-",'ORDENES'!$Y993))</f>
        <v/>
      </c>
      <c r="G1015" s="3">
        <f>IF('ORDENES'!$A993="","",IF('ORDENES'!$W993="","-",'ORDENES'!$W993))</f>
        <v/>
      </c>
      <c r="H1015" s="3">
        <f>IF('ORDENES'!$A993="","",IF('ORDENES'!$AE993="","-",'ORDENES'!$AE993))</f>
        <v/>
      </c>
      <c r="I1015" s="3">
        <f>IF('ORDENES'!$A993="","",IF('ORDENES'!$AQ993="","-",'ORDENES'!$AQ993))</f>
        <v/>
      </c>
      <c r="J1015" s="3">
        <f>IF('ORDENES'!$A993="","",IF('ORDENES'!$D993="","-",'ORDENES'!$D993))</f>
        <v/>
      </c>
      <c r="K1015" s="3">
        <f>IF('ORDENES'!$A993="","",IF('ORDENES'!$E993="","-",'ORDENES'!$E993))</f>
        <v/>
      </c>
      <c r="L1015" s="13">
        <f>IF('ORDENES'!$A993="","",IF('ORDENES'!$M993="",0,'ORDENES'!$M993))</f>
        <v/>
      </c>
      <c r="M1015" s="3">
        <f>IF('ORDENES'!$A993="","",IF('ORDENES'!$N993="","-",'ORDENES'!$N993))</f>
        <v/>
      </c>
      <c r="N1015" s="3">
        <f>IF('ORDENES'!$A993="","",'ORDENES'!$AD993)</f>
        <v/>
      </c>
    </row>
    <row r="1016">
      <c r="A1016" s="3">
        <f>IF('ORDENES'!$A994="","",IF('ORDENES'!$O994="","-",'ORDENES'!$O994))</f>
        <v/>
      </c>
      <c r="B1016" s="3">
        <f>IF('ORDENES'!$A994="","",IF('ORDENES'!$R994="","-",'ORDENES'!$R994))</f>
        <v/>
      </c>
      <c r="C1016" s="3">
        <f>IF('ORDENES'!$A994="","",IF('ORDENES'!$AF994="","-",'ORDENES'!$AF994))</f>
        <v/>
      </c>
      <c r="D1016" s="3">
        <f>IF('ORDENES'!$A994="","",IF('ORDENES'!$X994="","-",'ORDENES'!$X994))</f>
        <v/>
      </c>
      <c r="E1016" s="3">
        <f>IF('ORDENES'!$A994="","",IF('ORDENES'!$V994="","-",'ORDENES'!$V994))</f>
        <v/>
      </c>
      <c r="F1016" s="3">
        <f>IF('ORDENES'!$A994="","",IF('ORDENES'!$Y994="","-",'ORDENES'!$Y994))</f>
        <v/>
      </c>
      <c r="G1016" s="3">
        <f>IF('ORDENES'!$A994="","",IF('ORDENES'!$W994="","-",'ORDENES'!$W994))</f>
        <v/>
      </c>
      <c r="H1016" s="3">
        <f>IF('ORDENES'!$A994="","",IF('ORDENES'!$AE994="","-",'ORDENES'!$AE994))</f>
        <v/>
      </c>
      <c r="I1016" s="3">
        <f>IF('ORDENES'!$A994="","",IF('ORDENES'!$AQ994="","-",'ORDENES'!$AQ994))</f>
        <v/>
      </c>
      <c r="J1016" s="3">
        <f>IF('ORDENES'!$A994="","",IF('ORDENES'!$D994="","-",'ORDENES'!$D994))</f>
        <v/>
      </c>
      <c r="K1016" s="3">
        <f>IF('ORDENES'!$A994="","",IF('ORDENES'!$E994="","-",'ORDENES'!$E994))</f>
        <v/>
      </c>
      <c r="L1016" s="13">
        <f>IF('ORDENES'!$A994="","",IF('ORDENES'!$M994="",0,'ORDENES'!$M994))</f>
        <v/>
      </c>
      <c r="M1016" s="3">
        <f>IF('ORDENES'!$A994="","",IF('ORDENES'!$N994="","-",'ORDENES'!$N994))</f>
        <v/>
      </c>
      <c r="N1016" s="3">
        <f>IF('ORDENES'!$A994="","",'ORDENES'!$AD994)</f>
        <v/>
      </c>
    </row>
    <row r="1017">
      <c r="A1017" s="3">
        <f>IF('ORDENES'!$A995="","",IF('ORDENES'!$O995="","-",'ORDENES'!$O995))</f>
        <v/>
      </c>
      <c r="B1017" s="3">
        <f>IF('ORDENES'!$A995="","",IF('ORDENES'!$R995="","-",'ORDENES'!$R995))</f>
        <v/>
      </c>
      <c r="C1017" s="3">
        <f>IF('ORDENES'!$A995="","",IF('ORDENES'!$AF995="","-",'ORDENES'!$AF995))</f>
        <v/>
      </c>
      <c r="D1017" s="3">
        <f>IF('ORDENES'!$A995="","",IF('ORDENES'!$X995="","-",'ORDENES'!$X995))</f>
        <v/>
      </c>
      <c r="E1017" s="3">
        <f>IF('ORDENES'!$A995="","",IF('ORDENES'!$V995="","-",'ORDENES'!$V995))</f>
        <v/>
      </c>
      <c r="F1017" s="3">
        <f>IF('ORDENES'!$A995="","",IF('ORDENES'!$Y995="","-",'ORDENES'!$Y995))</f>
        <v/>
      </c>
      <c r="G1017" s="3">
        <f>IF('ORDENES'!$A995="","",IF('ORDENES'!$W995="","-",'ORDENES'!$W995))</f>
        <v/>
      </c>
      <c r="H1017" s="3">
        <f>IF('ORDENES'!$A995="","",IF('ORDENES'!$AE995="","-",'ORDENES'!$AE995))</f>
        <v/>
      </c>
      <c r="I1017" s="3">
        <f>IF('ORDENES'!$A995="","",IF('ORDENES'!$AQ995="","-",'ORDENES'!$AQ995))</f>
        <v/>
      </c>
      <c r="J1017" s="3">
        <f>IF('ORDENES'!$A995="","",IF('ORDENES'!$D995="","-",'ORDENES'!$D995))</f>
        <v/>
      </c>
      <c r="K1017" s="3">
        <f>IF('ORDENES'!$A995="","",IF('ORDENES'!$E995="","-",'ORDENES'!$E995))</f>
        <v/>
      </c>
      <c r="L1017" s="13">
        <f>IF('ORDENES'!$A995="","",IF('ORDENES'!$M995="",0,'ORDENES'!$M995))</f>
        <v/>
      </c>
      <c r="M1017" s="3">
        <f>IF('ORDENES'!$A995="","",IF('ORDENES'!$N995="","-",'ORDENES'!$N995))</f>
        <v/>
      </c>
      <c r="N1017" s="3">
        <f>IF('ORDENES'!$A995="","",'ORDENES'!$AD995)</f>
        <v/>
      </c>
    </row>
    <row r="1018">
      <c r="A1018" s="3">
        <f>IF('ORDENES'!$A996="","",IF('ORDENES'!$O996="","-",'ORDENES'!$O996))</f>
        <v/>
      </c>
      <c r="B1018" s="3">
        <f>IF('ORDENES'!$A996="","",IF('ORDENES'!$R996="","-",'ORDENES'!$R996))</f>
        <v/>
      </c>
      <c r="C1018" s="3">
        <f>IF('ORDENES'!$A996="","",IF('ORDENES'!$AF996="","-",'ORDENES'!$AF996))</f>
        <v/>
      </c>
      <c r="D1018" s="3">
        <f>IF('ORDENES'!$A996="","",IF('ORDENES'!$X996="","-",'ORDENES'!$X996))</f>
        <v/>
      </c>
      <c r="E1018" s="3">
        <f>IF('ORDENES'!$A996="","",IF('ORDENES'!$V996="","-",'ORDENES'!$V996))</f>
        <v/>
      </c>
      <c r="F1018" s="3">
        <f>IF('ORDENES'!$A996="","",IF('ORDENES'!$Y996="","-",'ORDENES'!$Y996))</f>
        <v/>
      </c>
      <c r="G1018" s="3">
        <f>IF('ORDENES'!$A996="","",IF('ORDENES'!$W996="","-",'ORDENES'!$W996))</f>
        <v/>
      </c>
      <c r="H1018" s="3">
        <f>IF('ORDENES'!$A996="","",IF('ORDENES'!$AE996="","-",'ORDENES'!$AE996))</f>
        <v/>
      </c>
      <c r="I1018" s="3">
        <f>IF('ORDENES'!$A996="","",IF('ORDENES'!$AQ996="","-",'ORDENES'!$AQ996))</f>
        <v/>
      </c>
      <c r="J1018" s="3">
        <f>IF('ORDENES'!$A996="","",IF('ORDENES'!$D996="","-",'ORDENES'!$D996))</f>
        <v/>
      </c>
      <c r="K1018" s="3">
        <f>IF('ORDENES'!$A996="","",IF('ORDENES'!$E996="","-",'ORDENES'!$E996))</f>
        <v/>
      </c>
      <c r="L1018" s="13">
        <f>IF('ORDENES'!$A996="","",IF('ORDENES'!$M996="",0,'ORDENES'!$M996))</f>
        <v/>
      </c>
      <c r="M1018" s="3">
        <f>IF('ORDENES'!$A996="","",IF('ORDENES'!$N996="","-",'ORDENES'!$N996))</f>
        <v/>
      </c>
      <c r="N1018" s="3">
        <f>IF('ORDENES'!$A996="","",'ORDENES'!$AD996)</f>
        <v/>
      </c>
    </row>
    <row r="1019">
      <c r="A1019" s="3">
        <f>IF('ORDENES'!$A997="","",IF('ORDENES'!$O997="","-",'ORDENES'!$O997))</f>
        <v/>
      </c>
      <c r="B1019" s="3">
        <f>IF('ORDENES'!$A997="","",IF('ORDENES'!$R997="","-",'ORDENES'!$R997))</f>
        <v/>
      </c>
      <c r="C1019" s="3">
        <f>IF('ORDENES'!$A997="","",IF('ORDENES'!$AF997="","-",'ORDENES'!$AF997))</f>
        <v/>
      </c>
      <c r="D1019" s="3">
        <f>IF('ORDENES'!$A997="","",IF('ORDENES'!$X997="","-",'ORDENES'!$X997))</f>
        <v/>
      </c>
      <c r="E1019" s="3">
        <f>IF('ORDENES'!$A997="","",IF('ORDENES'!$V997="","-",'ORDENES'!$V997))</f>
        <v/>
      </c>
      <c r="F1019" s="3">
        <f>IF('ORDENES'!$A997="","",IF('ORDENES'!$Y997="","-",'ORDENES'!$Y997))</f>
        <v/>
      </c>
      <c r="G1019" s="3">
        <f>IF('ORDENES'!$A997="","",IF('ORDENES'!$W997="","-",'ORDENES'!$W997))</f>
        <v/>
      </c>
      <c r="H1019" s="3">
        <f>IF('ORDENES'!$A997="","",IF('ORDENES'!$AE997="","-",'ORDENES'!$AE997))</f>
        <v/>
      </c>
      <c r="I1019" s="3">
        <f>IF('ORDENES'!$A997="","",IF('ORDENES'!$AQ997="","-",'ORDENES'!$AQ997))</f>
        <v/>
      </c>
      <c r="J1019" s="3">
        <f>IF('ORDENES'!$A997="","",IF('ORDENES'!$D997="","-",'ORDENES'!$D997))</f>
        <v/>
      </c>
      <c r="K1019" s="3">
        <f>IF('ORDENES'!$A997="","",IF('ORDENES'!$E997="","-",'ORDENES'!$E997))</f>
        <v/>
      </c>
      <c r="L1019" s="13">
        <f>IF('ORDENES'!$A997="","",IF('ORDENES'!$M997="",0,'ORDENES'!$M997))</f>
        <v/>
      </c>
      <c r="M1019" s="3">
        <f>IF('ORDENES'!$A997="","",IF('ORDENES'!$N997="","-",'ORDENES'!$N997))</f>
        <v/>
      </c>
      <c r="N1019" s="3">
        <f>IF('ORDENES'!$A997="","",'ORDENES'!$AD997)</f>
        <v/>
      </c>
    </row>
    <row r="1020">
      <c r="A1020" s="3">
        <f>IF('ORDENES'!$A998="","",IF('ORDENES'!$O998="","-",'ORDENES'!$O998))</f>
        <v/>
      </c>
      <c r="B1020" s="3">
        <f>IF('ORDENES'!$A998="","",IF('ORDENES'!$R998="","-",'ORDENES'!$R998))</f>
        <v/>
      </c>
      <c r="C1020" s="3">
        <f>IF('ORDENES'!$A998="","",IF('ORDENES'!$AF998="","-",'ORDENES'!$AF998))</f>
        <v/>
      </c>
      <c r="D1020" s="3">
        <f>IF('ORDENES'!$A998="","",IF('ORDENES'!$X998="","-",'ORDENES'!$X998))</f>
        <v/>
      </c>
      <c r="E1020" s="3">
        <f>IF('ORDENES'!$A998="","",IF('ORDENES'!$V998="","-",'ORDENES'!$V998))</f>
        <v/>
      </c>
      <c r="F1020" s="3">
        <f>IF('ORDENES'!$A998="","",IF('ORDENES'!$Y998="","-",'ORDENES'!$Y998))</f>
        <v/>
      </c>
      <c r="G1020" s="3">
        <f>IF('ORDENES'!$A998="","",IF('ORDENES'!$W998="","-",'ORDENES'!$W998))</f>
        <v/>
      </c>
      <c r="H1020" s="3">
        <f>IF('ORDENES'!$A998="","",IF('ORDENES'!$AE998="","-",'ORDENES'!$AE998))</f>
        <v/>
      </c>
      <c r="I1020" s="3">
        <f>IF('ORDENES'!$A998="","",IF('ORDENES'!$AQ998="","-",'ORDENES'!$AQ998))</f>
        <v/>
      </c>
      <c r="J1020" s="3">
        <f>IF('ORDENES'!$A998="","",IF('ORDENES'!$D998="","-",'ORDENES'!$D998))</f>
        <v/>
      </c>
      <c r="K1020" s="3">
        <f>IF('ORDENES'!$A998="","",IF('ORDENES'!$E998="","-",'ORDENES'!$E998))</f>
        <v/>
      </c>
      <c r="L1020" s="13">
        <f>IF('ORDENES'!$A998="","",IF('ORDENES'!$M998="",0,'ORDENES'!$M998))</f>
        <v/>
      </c>
      <c r="M1020" s="3">
        <f>IF('ORDENES'!$A998="","",IF('ORDENES'!$N998="","-",'ORDENES'!$N998))</f>
        <v/>
      </c>
      <c r="N1020" s="3">
        <f>IF('ORDENES'!$A998="","",'ORDENES'!$AD998)</f>
        <v/>
      </c>
    </row>
    <row r="1021">
      <c r="A1021" s="3">
        <f>IF('ORDENES'!$A999="","",IF('ORDENES'!$O999="","-",'ORDENES'!$O999))</f>
        <v/>
      </c>
      <c r="B1021" s="3">
        <f>IF('ORDENES'!$A999="","",IF('ORDENES'!$R999="","-",'ORDENES'!$R999))</f>
        <v/>
      </c>
      <c r="C1021" s="3">
        <f>IF('ORDENES'!$A999="","",IF('ORDENES'!$AF999="","-",'ORDENES'!$AF999))</f>
        <v/>
      </c>
      <c r="D1021" s="3">
        <f>IF('ORDENES'!$A999="","",IF('ORDENES'!$X999="","-",'ORDENES'!$X999))</f>
        <v/>
      </c>
      <c r="E1021" s="3">
        <f>IF('ORDENES'!$A999="","",IF('ORDENES'!$V999="","-",'ORDENES'!$V999))</f>
        <v/>
      </c>
      <c r="F1021" s="3">
        <f>IF('ORDENES'!$A999="","",IF('ORDENES'!$Y999="","-",'ORDENES'!$Y999))</f>
        <v/>
      </c>
      <c r="G1021" s="3">
        <f>IF('ORDENES'!$A999="","",IF('ORDENES'!$W999="","-",'ORDENES'!$W999))</f>
        <v/>
      </c>
      <c r="H1021" s="3">
        <f>IF('ORDENES'!$A999="","",IF('ORDENES'!$AE999="","-",'ORDENES'!$AE999))</f>
        <v/>
      </c>
      <c r="I1021" s="3">
        <f>IF('ORDENES'!$A999="","",IF('ORDENES'!$AQ999="","-",'ORDENES'!$AQ999))</f>
        <v/>
      </c>
      <c r="J1021" s="3">
        <f>IF('ORDENES'!$A999="","",IF('ORDENES'!$D999="","-",'ORDENES'!$D999))</f>
        <v/>
      </c>
      <c r="K1021" s="3">
        <f>IF('ORDENES'!$A999="","",IF('ORDENES'!$E999="","-",'ORDENES'!$E999))</f>
        <v/>
      </c>
      <c r="L1021" s="13">
        <f>IF('ORDENES'!$A999="","",IF('ORDENES'!$M999="",0,'ORDENES'!$M999))</f>
        <v/>
      </c>
      <c r="M1021" s="3">
        <f>IF('ORDENES'!$A999="","",IF('ORDENES'!$N999="","-",'ORDENES'!$N999))</f>
        <v/>
      </c>
      <c r="N1021" s="3">
        <f>IF('ORDENES'!$A999="","",'ORDENES'!$AD999)</f>
        <v/>
      </c>
    </row>
    <row r="1022">
      <c r="A1022" s="3">
        <f>IF('ORDENES'!$A1000="","",IF('ORDENES'!$O1000="","-",'ORDENES'!$O1000))</f>
        <v/>
      </c>
      <c r="B1022" s="3">
        <f>IF('ORDENES'!$A1000="","",IF('ORDENES'!$R1000="","-",'ORDENES'!$R1000))</f>
        <v/>
      </c>
      <c r="C1022" s="3">
        <f>IF('ORDENES'!$A1000="","",IF('ORDENES'!$AF1000="","-",'ORDENES'!$AF1000))</f>
        <v/>
      </c>
      <c r="D1022" s="3">
        <f>IF('ORDENES'!$A1000="","",IF('ORDENES'!$X1000="","-",'ORDENES'!$X1000))</f>
        <v/>
      </c>
      <c r="E1022" s="3">
        <f>IF('ORDENES'!$A1000="","",IF('ORDENES'!$V1000="","-",'ORDENES'!$V1000))</f>
        <v/>
      </c>
      <c r="F1022" s="3">
        <f>IF('ORDENES'!$A1000="","",IF('ORDENES'!$Y1000="","-",'ORDENES'!$Y1000))</f>
        <v/>
      </c>
      <c r="G1022" s="3">
        <f>IF('ORDENES'!$A1000="","",IF('ORDENES'!$W1000="","-",'ORDENES'!$W1000))</f>
        <v/>
      </c>
      <c r="H1022" s="3">
        <f>IF('ORDENES'!$A1000="","",IF('ORDENES'!$AE1000="","-",'ORDENES'!$AE1000))</f>
        <v/>
      </c>
      <c r="I1022" s="3">
        <f>IF('ORDENES'!$A1000="","",IF('ORDENES'!$AQ1000="","-",'ORDENES'!$AQ1000))</f>
        <v/>
      </c>
      <c r="J1022" s="3">
        <f>IF('ORDENES'!$A1000="","",IF('ORDENES'!$D1000="","-",'ORDENES'!$D1000))</f>
        <v/>
      </c>
      <c r="K1022" s="3">
        <f>IF('ORDENES'!$A1000="","",IF('ORDENES'!$E1000="","-",'ORDENES'!$E1000))</f>
        <v/>
      </c>
      <c r="L1022" s="13">
        <f>IF('ORDENES'!$A1000="","",IF('ORDENES'!$M1000="",0,'ORDENES'!$M1000))</f>
        <v/>
      </c>
      <c r="M1022" s="3">
        <f>IF('ORDENES'!$A1000="","",IF('ORDENES'!$N1000="","-",'ORDENES'!$N1000))</f>
        <v/>
      </c>
      <c r="N1022" s="3">
        <f>IF('ORDENES'!$A1000="","",'ORDENES'!$AD1000)</f>
        <v/>
      </c>
    </row>
    <row r="1023">
      <c r="A1023" s="3">
        <f>IF('ORDENES'!$A1001="","",IF('ORDENES'!$O1001="","-",'ORDENES'!$O1001))</f>
        <v/>
      </c>
      <c r="B1023" s="3">
        <f>IF('ORDENES'!$A1001="","",IF('ORDENES'!$R1001="","-",'ORDENES'!$R1001))</f>
        <v/>
      </c>
      <c r="C1023" s="3">
        <f>IF('ORDENES'!$A1001="","",IF('ORDENES'!$AF1001="","-",'ORDENES'!$AF1001))</f>
        <v/>
      </c>
      <c r="D1023" s="3">
        <f>IF('ORDENES'!$A1001="","",IF('ORDENES'!$X1001="","-",'ORDENES'!$X1001))</f>
        <v/>
      </c>
      <c r="E1023" s="3">
        <f>IF('ORDENES'!$A1001="","",IF('ORDENES'!$V1001="","-",'ORDENES'!$V1001))</f>
        <v/>
      </c>
      <c r="F1023" s="3">
        <f>IF('ORDENES'!$A1001="","",IF('ORDENES'!$Y1001="","-",'ORDENES'!$Y1001))</f>
        <v/>
      </c>
      <c r="G1023" s="3">
        <f>IF('ORDENES'!$A1001="","",IF('ORDENES'!$W1001="","-",'ORDENES'!$W1001))</f>
        <v/>
      </c>
      <c r="H1023" s="3">
        <f>IF('ORDENES'!$A1001="","",IF('ORDENES'!$AE1001="","-",'ORDENES'!$AE1001))</f>
        <v/>
      </c>
      <c r="I1023" s="3">
        <f>IF('ORDENES'!$A1001="","",IF('ORDENES'!$AQ1001="","-",'ORDENES'!$AQ1001))</f>
        <v/>
      </c>
      <c r="J1023" s="3">
        <f>IF('ORDENES'!$A1001="","",IF('ORDENES'!$D1001="","-",'ORDENES'!$D1001))</f>
        <v/>
      </c>
      <c r="K1023" s="3">
        <f>IF('ORDENES'!$A1001="","",IF('ORDENES'!$E1001="","-",'ORDENES'!$E1001))</f>
        <v/>
      </c>
      <c r="L1023" s="13">
        <f>IF('ORDENES'!$A1001="","",IF('ORDENES'!$M1001="",0,'ORDENES'!$M1001))</f>
        <v/>
      </c>
      <c r="M1023" s="3">
        <f>IF('ORDENES'!$A1001="","",IF('ORDENES'!$N1001="","-",'ORDENES'!$N1001))</f>
        <v/>
      </c>
      <c r="N1023" s="3">
        <f>IF('ORDENES'!$A1001="","",'ORDENES'!$AD1001)</f>
        <v/>
      </c>
    </row>
    <row r="1024">
      <c r="A1024" s="3">
        <f>IF('ORDENES'!$A1002="","",IF('ORDENES'!$O1002="","-",'ORDENES'!$O1002))</f>
        <v/>
      </c>
      <c r="B1024" s="3">
        <f>IF('ORDENES'!$A1002="","",IF('ORDENES'!$R1002="","-",'ORDENES'!$R1002))</f>
        <v/>
      </c>
      <c r="C1024" s="3">
        <f>IF('ORDENES'!$A1002="","",IF('ORDENES'!$AF1002="","-",'ORDENES'!$AF1002))</f>
        <v/>
      </c>
      <c r="D1024" s="3">
        <f>IF('ORDENES'!$A1002="","",IF('ORDENES'!$X1002="","-",'ORDENES'!$X1002))</f>
        <v/>
      </c>
      <c r="E1024" s="3">
        <f>IF('ORDENES'!$A1002="","",IF('ORDENES'!$V1002="","-",'ORDENES'!$V1002))</f>
        <v/>
      </c>
      <c r="F1024" s="3">
        <f>IF('ORDENES'!$A1002="","",IF('ORDENES'!$Y1002="","-",'ORDENES'!$Y1002))</f>
        <v/>
      </c>
      <c r="G1024" s="3">
        <f>IF('ORDENES'!$A1002="","",IF('ORDENES'!$W1002="","-",'ORDENES'!$W1002))</f>
        <v/>
      </c>
      <c r="H1024" s="3">
        <f>IF('ORDENES'!$A1002="","",IF('ORDENES'!$AE1002="","-",'ORDENES'!$AE1002))</f>
        <v/>
      </c>
      <c r="I1024" s="3">
        <f>IF('ORDENES'!$A1002="","",IF('ORDENES'!$AQ1002="","-",'ORDENES'!$AQ1002))</f>
        <v/>
      </c>
      <c r="J1024" s="3">
        <f>IF('ORDENES'!$A1002="","",IF('ORDENES'!$D1002="","-",'ORDENES'!$D1002))</f>
        <v/>
      </c>
      <c r="K1024" s="3">
        <f>IF('ORDENES'!$A1002="","",IF('ORDENES'!$E1002="","-",'ORDENES'!$E1002))</f>
        <v/>
      </c>
      <c r="L1024" s="13">
        <f>IF('ORDENES'!$A1002="","",IF('ORDENES'!$M1002="",0,'ORDENES'!$M1002))</f>
        <v/>
      </c>
      <c r="M1024" s="3">
        <f>IF('ORDENES'!$A1002="","",IF('ORDENES'!$N1002="","-",'ORDENES'!$N1002))</f>
        <v/>
      </c>
      <c r="N1024" s="3">
        <f>IF('ORDENES'!$A1002="","",'ORDENES'!$AD1002)</f>
        <v/>
      </c>
    </row>
    <row r="1025">
      <c r="A1025" s="3">
        <f>IF('ORDENES'!$A1003="","",IF('ORDENES'!$O1003="","-",'ORDENES'!$O1003))</f>
        <v/>
      </c>
      <c r="B1025" s="3">
        <f>IF('ORDENES'!$A1003="","",IF('ORDENES'!$R1003="","-",'ORDENES'!$R1003))</f>
        <v/>
      </c>
      <c r="C1025" s="3">
        <f>IF('ORDENES'!$A1003="","",IF('ORDENES'!$AF1003="","-",'ORDENES'!$AF1003))</f>
        <v/>
      </c>
      <c r="D1025" s="3">
        <f>IF('ORDENES'!$A1003="","",IF('ORDENES'!$X1003="","-",'ORDENES'!$X1003))</f>
        <v/>
      </c>
      <c r="E1025" s="3">
        <f>IF('ORDENES'!$A1003="","",IF('ORDENES'!$V1003="","-",'ORDENES'!$V1003))</f>
        <v/>
      </c>
      <c r="F1025" s="3">
        <f>IF('ORDENES'!$A1003="","",IF('ORDENES'!$Y1003="","-",'ORDENES'!$Y1003))</f>
        <v/>
      </c>
      <c r="G1025" s="3">
        <f>IF('ORDENES'!$A1003="","",IF('ORDENES'!$W1003="","-",'ORDENES'!$W1003))</f>
        <v/>
      </c>
      <c r="H1025" s="3">
        <f>IF('ORDENES'!$A1003="","",IF('ORDENES'!$AE1003="","-",'ORDENES'!$AE1003))</f>
        <v/>
      </c>
      <c r="I1025" s="3">
        <f>IF('ORDENES'!$A1003="","",IF('ORDENES'!$AQ1003="","-",'ORDENES'!$AQ1003))</f>
        <v/>
      </c>
      <c r="J1025" s="3">
        <f>IF('ORDENES'!$A1003="","",IF('ORDENES'!$D1003="","-",'ORDENES'!$D1003))</f>
        <v/>
      </c>
      <c r="K1025" s="3">
        <f>IF('ORDENES'!$A1003="","",IF('ORDENES'!$E1003="","-",'ORDENES'!$E1003))</f>
        <v/>
      </c>
      <c r="L1025" s="13">
        <f>IF('ORDENES'!$A1003="","",IF('ORDENES'!$M1003="",0,'ORDENES'!$M1003))</f>
        <v/>
      </c>
      <c r="M1025" s="3">
        <f>IF('ORDENES'!$A1003="","",IF('ORDENES'!$N1003="","-",'ORDENES'!$N1003))</f>
        <v/>
      </c>
      <c r="N1025" s="3">
        <f>IF('ORDENES'!$A1003="","",'ORDENES'!$AD1003)</f>
        <v/>
      </c>
    </row>
    <row r="1026">
      <c r="A1026" s="3">
        <f>IF('ORDENES'!$A1004="","",IF('ORDENES'!$O1004="","-",'ORDENES'!$O1004))</f>
        <v/>
      </c>
      <c r="B1026" s="3">
        <f>IF('ORDENES'!$A1004="","",IF('ORDENES'!$R1004="","-",'ORDENES'!$R1004))</f>
        <v/>
      </c>
      <c r="C1026" s="3">
        <f>IF('ORDENES'!$A1004="","",IF('ORDENES'!$AF1004="","-",'ORDENES'!$AF1004))</f>
        <v/>
      </c>
      <c r="D1026" s="3">
        <f>IF('ORDENES'!$A1004="","",IF('ORDENES'!$X1004="","-",'ORDENES'!$X1004))</f>
        <v/>
      </c>
      <c r="E1026" s="3">
        <f>IF('ORDENES'!$A1004="","",IF('ORDENES'!$V1004="","-",'ORDENES'!$V1004))</f>
        <v/>
      </c>
      <c r="F1026" s="3">
        <f>IF('ORDENES'!$A1004="","",IF('ORDENES'!$Y1004="","-",'ORDENES'!$Y1004))</f>
        <v/>
      </c>
      <c r="G1026" s="3">
        <f>IF('ORDENES'!$A1004="","",IF('ORDENES'!$W1004="","-",'ORDENES'!$W1004))</f>
        <v/>
      </c>
      <c r="H1026" s="3">
        <f>IF('ORDENES'!$A1004="","",IF('ORDENES'!$AE1004="","-",'ORDENES'!$AE1004))</f>
        <v/>
      </c>
      <c r="I1026" s="3">
        <f>IF('ORDENES'!$A1004="","",IF('ORDENES'!$AQ1004="","-",'ORDENES'!$AQ1004))</f>
        <v/>
      </c>
      <c r="J1026" s="3">
        <f>IF('ORDENES'!$A1004="","",IF('ORDENES'!$D1004="","-",'ORDENES'!$D1004))</f>
        <v/>
      </c>
      <c r="K1026" s="3">
        <f>IF('ORDENES'!$A1004="","",IF('ORDENES'!$E1004="","-",'ORDENES'!$E1004))</f>
        <v/>
      </c>
      <c r="L1026" s="13">
        <f>IF('ORDENES'!$A1004="","",IF('ORDENES'!$M1004="",0,'ORDENES'!$M1004))</f>
        <v/>
      </c>
      <c r="M1026" s="3">
        <f>IF('ORDENES'!$A1004="","",IF('ORDENES'!$N1004="","-",'ORDENES'!$N1004))</f>
        <v/>
      </c>
      <c r="N1026" s="3">
        <f>IF('ORDENES'!$A1004="","",'ORDENES'!$AD1004)</f>
        <v/>
      </c>
    </row>
    <row r="1027">
      <c r="A1027" s="3">
        <f>IF('ORDENES'!$A1005="","",IF('ORDENES'!$O1005="","-",'ORDENES'!$O1005))</f>
        <v/>
      </c>
      <c r="B1027" s="3">
        <f>IF('ORDENES'!$A1005="","",IF('ORDENES'!$R1005="","-",'ORDENES'!$R1005))</f>
        <v/>
      </c>
      <c r="C1027" s="3">
        <f>IF('ORDENES'!$A1005="","",IF('ORDENES'!$AF1005="","-",'ORDENES'!$AF1005))</f>
        <v/>
      </c>
      <c r="D1027" s="3">
        <f>IF('ORDENES'!$A1005="","",IF('ORDENES'!$X1005="","-",'ORDENES'!$X1005))</f>
        <v/>
      </c>
      <c r="E1027" s="3">
        <f>IF('ORDENES'!$A1005="","",IF('ORDENES'!$V1005="","-",'ORDENES'!$V1005))</f>
        <v/>
      </c>
      <c r="F1027" s="3">
        <f>IF('ORDENES'!$A1005="","",IF('ORDENES'!$Y1005="","-",'ORDENES'!$Y1005))</f>
        <v/>
      </c>
      <c r="G1027" s="3">
        <f>IF('ORDENES'!$A1005="","",IF('ORDENES'!$W1005="","-",'ORDENES'!$W1005))</f>
        <v/>
      </c>
      <c r="H1027" s="3">
        <f>IF('ORDENES'!$A1005="","",IF('ORDENES'!$AE1005="","-",'ORDENES'!$AE1005))</f>
        <v/>
      </c>
      <c r="I1027" s="3">
        <f>IF('ORDENES'!$A1005="","",IF('ORDENES'!$AQ1005="","-",'ORDENES'!$AQ1005))</f>
        <v/>
      </c>
      <c r="J1027" s="3">
        <f>IF('ORDENES'!$A1005="","",IF('ORDENES'!$D1005="","-",'ORDENES'!$D1005))</f>
        <v/>
      </c>
      <c r="K1027" s="3">
        <f>IF('ORDENES'!$A1005="","",IF('ORDENES'!$E1005="","-",'ORDENES'!$E1005))</f>
        <v/>
      </c>
      <c r="L1027" s="13">
        <f>IF('ORDENES'!$A1005="","",IF('ORDENES'!$M1005="",0,'ORDENES'!$M1005))</f>
        <v/>
      </c>
      <c r="M1027" s="3">
        <f>IF('ORDENES'!$A1005="","",IF('ORDENES'!$N1005="","-",'ORDENES'!$N1005))</f>
        <v/>
      </c>
      <c r="N1027" s="3">
        <f>IF('ORDENES'!$A1005="","",'ORDENES'!$AD1005)</f>
        <v/>
      </c>
    </row>
    <row r="1028">
      <c r="A1028" s="3">
        <f>IF('ORDENES'!$A1006="","",IF('ORDENES'!$O1006="","-",'ORDENES'!$O1006))</f>
        <v/>
      </c>
      <c r="B1028" s="3">
        <f>IF('ORDENES'!$A1006="","",IF('ORDENES'!$R1006="","-",'ORDENES'!$R1006))</f>
        <v/>
      </c>
      <c r="C1028" s="3">
        <f>IF('ORDENES'!$A1006="","",IF('ORDENES'!$AF1006="","-",'ORDENES'!$AF1006))</f>
        <v/>
      </c>
      <c r="D1028" s="3">
        <f>IF('ORDENES'!$A1006="","",IF('ORDENES'!$X1006="","-",'ORDENES'!$X1006))</f>
        <v/>
      </c>
      <c r="E1028" s="3">
        <f>IF('ORDENES'!$A1006="","",IF('ORDENES'!$V1006="","-",'ORDENES'!$V1006))</f>
        <v/>
      </c>
      <c r="F1028" s="3">
        <f>IF('ORDENES'!$A1006="","",IF('ORDENES'!$Y1006="","-",'ORDENES'!$Y1006))</f>
        <v/>
      </c>
      <c r="G1028" s="3">
        <f>IF('ORDENES'!$A1006="","",IF('ORDENES'!$W1006="","-",'ORDENES'!$W1006))</f>
        <v/>
      </c>
      <c r="H1028" s="3">
        <f>IF('ORDENES'!$A1006="","",IF('ORDENES'!$AE1006="","-",'ORDENES'!$AE1006))</f>
        <v/>
      </c>
      <c r="I1028" s="3">
        <f>IF('ORDENES'!$A1006="","",IF('ORDENES'!$AQ1006="","-",'ORDENES'!$AQ1006))</f>
        <v/>
      </c>
      <c r="J1028" s="3">
        <f>IF('ORDENES'!$A1006="","",IF('ORDENES'!$D1006="","-",'ORDENES'!$D1006))</f>
        <v/>
      </c>
      <c r="K1028" s="3">
        <f>IF('ORDENES'!$A1006="","",IF('ORDENES'!$E1006="","-",'ORDENES'!$E1006))</f>
        <v/>
      </c>
      <c r="L1028" s="13">
        <f>IF('ORDENES'!$A1006="","",IF('ORDENES'!$M1006="",0,'ORDENES'!$M1006))</f>
        <v/>
      </c>
      <c r="M1028" s="3">
        <f>IF('ORDENES'!$A1006="","",IF('ORDENES'!$N1006="","-",'ORDENES'!$N1006))</f>
        <v/>
      </c>
      <c r="N1028" s="3">
        <f>IF('ORDENES'!$A1006="","",'ORDENES'!$AD1006)</f>
        <v/>
      </c>
    </row>
    <row r="1029">
      <c r="A1029" s="3">
        <f>IF('ORDENES'!$A1007="","",IF('ORDENES'!$O1007="","-",'ORDENES'!$O1007))</f>
        <v/>
      </c>
      <c r="B1029" s="3">
        <f>IF('ORDENES'!$A1007="","",IF('ORDENES'!$R1007="","-",'ORDENES'!$R1007))</f>
        <v/>
      </c>
      <c r="C1029" s="3">
        <f>IF('ORDENES'!$A1007="","",IF('ORDENES'!$AF1007="","-",'ORDENES'!$AF1007))</f>
        <v/>
      </c>
      <c r="D1029" s="3">
        <f>IF('ORDENES'!$A1007="","",IF('ORDENES'!$X1007="","-",'ORDENES'!$X1007))</f>
        <v/>
      </c>
      <c r="E1029" s="3">
        <f>IF('ORDENES'!$A1007="","",IF('ORDENES'!$V1007="","-",'ORDENES'!$V1007))</f>
        <v/>
      </c>
      <c r="F1029" s="3">
        <f>IF('ORDENES'!$A1007="","",IF('ORDENES'!$Y1007="","-",'ORDENES'!$Y1007))</f>
        <v/>
      </c>
      <c r="G1029" s="3">
        <f>IF('ORDENES'!$A1007="","",IF('ORDENES'!$W1007="","-",'ORDENES'!$W1007))</f>
        <v/>
      </c>
      <c r="H1029" s="3">
        <f>IF('ORDENES'!$A1007="","",IF('ORDENES'!$AE1007="","-",'ORDENES'!$AE1007))</f>
        <v/>
      </c>
      <c r="I1029" s="3">
        <f>IF('ORDENES'!$A1007="","",IF('ORDENES'!$AQ1007="","-",'ORDENES'!$AQ1007))</f>
        <v/>
      </c>
      <c r="J1029" s="3">
        <f>IF('ORDENES'!$A1007="","",IF('ORDENES'!$D1007="","-",'ORDENES'!$D1007))</f>
        <v/>
      </c>
      <c r="K1029" s="3">
        <f>IF('ORDENES'!$A1007="","",IF('ORDENES'!$E1007="","-",'ORDENES'!$E1007))</f>
        <v/>
      </c>
      <c r="L1029" s="13">
        <f>IF('ORDENES'!$A1007="","",IF('ORDENES'!$M1007="",0,'ORDENES'!$M1007))</f>
        <v/>
      </c>
      <c r="M1029" s="3">
        <f>IF('ORDENES'!$A1007="","",IF('ORDENES'!$N1007="","-",'ORDENES'!$N1007))</f>
        <v/>
      </c>
      <c r="N1029" s="3">
        <f>IF('ORDENES'!$A1007="","",'ORDENES'!$AD1007)</f>
        <v/>
      </c>
    </row>
    <row r="1030">
      <c r="A1030" s="3">
        <f>IF('ORDENES'!$A1008="","",IF('ORDENES'!$O1008="","-",'ORDENES'!$O1008))</f>
        <v/>
      </c>
      <c r="B1030" s="3">
        <f>IF('ORDENES'!$A1008="","",IF('ORDENES'!$R1008="","-",'ORDENES'!$R1008))</f>
        <v/>
      </c>
      <c r="C1030" s="3">
        <f>IF('ORDENES'!$A1008="","",IF('ORDENES'!$AF1008="","-",'ORDENES'!$AF1008))</f>
        <v/>
      </c>
      <c r="D1030" s="3">
        <f>IF('ORDENES'!$A1008="","",IF('ORDENES'!$X1008="","-",'ORDENES'!$X1008))</f>
        <v/>
      </c>
      <c r="E1030" s="3">
        <f>IF('ORDENES'!$A1008="","",IF('ORDENES'!$V1008="","-",'ORDENES'!$V1008))</f>
        <v/>
      </c>
      <c r="F1030" s="3">
        <f>IF('ORDENES'!$A1008="","",IF('ORDENES'!$Y1008="","-",'ORDENES'!$Y1008))</f>
        <v/>
      </c>
      <c r="G1030" s="3">
        <f>IF('ORDENES'!$A1008="","",IF('ORDENES'!$W1008="","-",'ORDENES'!$W1008))</f>
        <v/>
      </c>
      <c r="H1030" s="3">
        <f>IF('ORDENES'!$A1008="","",IF('ORDENES'!$AE1008="","-",'ORDENES'!$AE1008))</f>
        <v/>
      </c>
      <c r="I1030" s="3">
        <f>IF('ORDENES'!$A1008="","",IF('ORDENES'!$AQ1008="","-",'ORDENES'!$AQ1008))</f>
        <v/>
      </c>
      <c r="J1030" s="3">
        <f>IF('ORDENES'!$A1008="","",IF('ORDENES'!$D1008="","-",'ORDENES'!$D1008))</f>
        <v/>
      </c>
      <c r="K1030" s="3">
        <f>IF('ORDENES'!$A1008="","",IF('ORDENES'!$E1008="","-",'ORDENES'!$E1008))</f>
        <v/>
      </c>
      <c r="L1030" s="13">
        <f>IF('ORDENES'!$A1008="","",IF('ORDENES'!$M1008="",0,'ORDENES'!$M1008))</f>
        <v/>
      </c>
      <c r="M1030" s="3">
        <f>IF('ORDENES'!$A1008="","",IF('ORDENES'!$N1008="","-",'ORDENES'!$N1008))</f>
        <v/>
      </c>
      <c r="N1030" s="3">
        <f>IF('ORDENES'!$A1008="","",'ORDENES'!$AD1008)</f>
        <v/>
      </c>
    </row>
    <row r="1031">
      <c r="A1031" s="3">
        <f>IF('ORDENES'!$A1009="","",IF('ORDENES'!$O1009="","-",'ORDENES'!$O1009))</f>
        <v/>
      </c>
      <c r="B1031" s="3">
        <f>IF('ORDENES'!$A1009="","",IF('ORDENES'!$R1009="","-",'ORDENES'!$R1009))</f>
        <v/>
      </c>
      <c r="C1031" s="3">
        <f>IF('ORDENES'!$A1009="","",IF('ORDENES'!$AF1009="","-",'ORDENES'!$AF1009))</f>
        <v/>
      </c>
      <c r="D1031" s="3">
        <f>IF('ORDENES'!$A1009="","",IF('ORDENES'!$X1009="","-",'ORDENES'!$X1009))</f>
        <v/>
      </c>
      <c r="E1031" s="3">
        <f>IF('ORDENES'!$A1009="","",IF('ORDENES'!$V1009="","-",'ORDENES'!$V1009))</f>
        <v/>
      </c>
      <c r="F1031" s="3">
        <f>IF('ORDENES'!$A1009="","",IF('ORDENES'!$Y1009="","-",'ORDENES'!$Y1009))</f>
        <v/>
      </c>
      <c r="G1031" s="3">
        <f>IF('ORDENES'!$A1009="","",IF('ORDENES'!$W1009="","-",'ORDENES'!$W1009))</f>
        <v/>
      </c>
      <c r="H1031" s="3">
        <f>IF('ORDENES'!$A1009="","",IF('ORDENES'!$AE1009="","-",'ORDENES'!$AE1009))</f>
        <v/>
      </c>
      <c r="I1031" s="3">
        <f>IF('ORDENES'!$A1009="","",IF('ORDENES'!$AQ1009="","-",'ORDENES'!$AQ1009))</f>
        <v/>
      </c>
      <c r="J1031" s="3">
        <f>IF('ORDENES'!$A1009="","",IF('ORDENES'!$D1009="","-",'ORDENES'!$D1009))</f>
        <v/>
      </c>
      <c r="K1031" s="3">
        <f>IF('ORDENES'!$A1009="","",IF('ORDENES'!$E1009="","-",'ORDENES'!$E1009))</f>
        <v/>
      </c>
      <c r="L1031" s="13">
        <f>IF('ORDENES'!$A1009="","",IF('ORDENES'!$M1009="",0,'ORDENES'!$M1009))</f>
        <v/>
      </c>
      <c r="M1031" s="3">
        <f>IF('ORDENES'!$A1009="","",IF('ORDENES'!$N1009="","-",'ORDENES'!$N1009))</f>
        <v/>
      </c>
      <c r="N1031" s="3">
        <f>IF('ORDENES'!$A1009="","",'ORDENES'!$AD1009)</f>
        <v/>
      </c>
    </row>
    <row r="1032">
      <c r="A1032" s="3">
        <f>IF('ORDENES'!$A1010="","",IF('ORDENES'!$O1010="","-",'ORDENES'!$O1010))</f>
        <v/>
      </c>
      <c r="B1032" s="3">
        <f>IF('ORDENES'!$A1010="","",IF('ORDENES'!$R1010="","-",'ORDENES'!$R1010))</f>
        <v/>
      </c>
      <c r="C1032" s="3">
        <f>IF('ORDENES'!$A1010="","",IF('ORDENES'!$AF1010="","-",'ORDENES'!$AF1010))</f>
        <v/>
      </c>
      <c r="D1032" s="3">
        <f>IF('ORDENES'!$A1010="","",IF('ORDENES'!$X1010="","-",'ORDENES'!$X1010))</f>
        <v/>
      </c>
      <c r="E1032" s="3">
        <f>IF('ORDENES'!$A1010="","",IF('ORDENES'!$V1010="","-",'ORDENES'!$V1010))</f>
        <v/>
      </c>
      <c r="F1032" s="3">
        <f>IF('ORDENES'!$A1010="","",IF('ORDENES'!$Y1010="","-",'ORDENES'!$Y1010))</f>
        <v/>
      </c>
      <c r="G1032" s="3">
        <f>IF('ORDENES'!$A1010="","",IF('ORDENES'!$W1010="","-",'ORDENES'!$W1010))</f>
        <v/>
      </c>
      <c r="H1032" s="3">
        <f>IF('ORDENES'!$A1010="","",IF('ORDENES'!$AE1010="","-",'ORDENES'!$AE1010))</f>
        <v/>
      </c>
      <c r="I1032" s="3">
        <f>IF('ORDENES'!$A1010="","",IF('ORDENES'!$AQ1010="","-",'ORDENES'!$AQ1010))</f>
        <v/>
      </c>
      <c r="J1032" s="3">
        <f>IF('ORDENES'!$A1010="","",IF('ORDENES'!$D1010="","-",'ORDENES'!$D1010))</f>
        <v/>
      </c>
      <c r="K1032" s="3">
        <f>IF('ORDENES'!$A1010="","",IF('ORDENES'!$E1010="","-",'ORDENES'!$E1010))</f>
        <v/>
      </c>
      <c r="L1032" s="13">
        <f>IF('ORDENES'!$A1010="","",IF('ORDENES'!$M1010="",0,'ORDENES'!$M1010))</f>
        <v/>
      </c>
      <c r="M1032" s="3">
        <f>IF('ORDENES'!$A1010="","",IF('ORDENES'!$N1010="","-",'ORDENES'!$N1010))</f>
        <v/>
      </c>
      <c r="N1032" s="3">
        <f>IF('ORDENES'!$A1010="","",'ORDENES'!$AD1010)</f>
        <v/>
      </c>
    </row>
    <row r="1033">
      <c r="A1033" s="3">
        <f>IF('ORDENES'!$A1011="","",IF('ORDENES'!$O1011="","-",'ORDENES'!$O1011))</f>
        <v/>
      </c>
      <c r="B1033" s="3">
        <f>IF('ORDENES'!$A1011="","",IF('ORDENES'!$R1011="","-",'ORDENES'!$R1011))</f>
        <v/>
      </c>
      <c r="C1033" s="3">
        <f>IF('ORDENES'!$A1011="","",IF('ORDENES'!$AF1011="","-",'ORDENES'!$AF1011))</f>
        <v/>
      </c>
      <c r="D1033" s="3">
        <f>IF('ORDENES'!$A1011="","",IF('ORDENES'!$X1011="","-",'ORDENES'!$X1011))</f>
        <v/>
      </c>
      <c r="E1033" s="3">
        <f>IF('ORDENES'!$A1011="","",IF('ORDENES'!$V1011="","-",'ORDENES'!$V1011))</f>
        <v/>
      </c>
      <c r="F1033" s="3">
        <f>IF('ORDENES'!$A1011="","",IF('ORDENES'!$Y1011="","-",'ORDENES'!$Y1011))</f>
        <v/>
      </c>
      <c r="G1033" s="3">
        <f>IF('ORDENES'!$A1011="","",IF('ORDENES'!$W1011="","-",'ORDENES'!$W1011))</f>
        <v/>
      </c>
      <c r="H1033" s="3">
        <f>IF('ORDENES'!$A1011="","",IF('ORDENES'!$AE1011="","-",'ORDENES'!$AE1011))</f>
        <v/>
      </c>
      <c r="I1033" s="3">
        <f>IF('ORDENES'!$A1011="","",IF('ORDENES'!$AQ1011="","-",'ORDENES'!$AQ1011))</f>
        <v/>
      </c>
      <c r="J1033" s="3">
        <f>IF('ORDENES'!$A1011="","",IF('ORDENES'!$D1011="","-",'ORDENES'!$D1011))</f>
        <v/>
      </c>
      <c r="K1033" s="3">
        <f>IF('ORDENES'!$A1011="","",IF('ORDENES'!$E1011="","-",'ORDENES'!$E1011))</f>
        <v/>
      </c>
      <c r="L1033" s="13">
        <f>IF('ORDENES'!$A1011="","",IF('ORDENES'!$M1011="",0,'ORDENES'!$M1011))</f>
        <v/>
      </c>
      <c r="M1033" s="3">
        <f>IF('ORDENES'!$A1011="","",IF('ORDENES'!$N1011="","-",'ORDENES'!$N1011))</f>
        <v/>
      </c>
      <c r="N1033" s="3">
        <f>IF('ORDENES'!$A1011="","",'ORDENES'!$AD1011)</f>
        <v/>
      </c>
    </row>
    <row r="1034">
      <c r="A1034" s="3">
        <f>IF('ORDENES'!$A1012="","",IF('ORDENES'!$O1012="","-",'ORDENES'!$O1012))</f>
        <v/>
      </c>
      <c r="B1034" s="3">
        <f>IF('ORDENES'!$A1012="","",IF('ORDENES'!$R1012="","-",'ORDENES'!$R1012))</f>
        <v/>
      </c>
      <c r="C1034" s="3">
        <f>IF('ORDENES'!$A1012="","",IF('ORDENES'!$AF1012="","-",'ORDENES'!$AF1012))</f>
        <v/>
      </c>
      <c r="D1034" s="3">
        <f>IF('ORDENES'!$A1012="","",IF('ORDENES'!$X1012="","-",'ORDENES'!$X1012))</f>
        <v/>
      </c>
      <c r="E1034" s="3">
        <f>IF('ORDENES'!$A1012="","",IF('ORDENES'!$V1012="","-",'ORDENES'!$V1012))</f>
        <v/>
      </c>
      <c r="F1034" s="3">
        <f>IF('ORDENES'!$A1012="","",IF('ORDENES'!$Y1012="","-",'ORDENES'!$Y1012))</f>
        <v/>
      </c>
      <c r="G1034" s="3">
        <f>IF('ORDENES'!$A1012="","",IF('ORDENES'!$W1012="","-",'ORDENES'!$W1012))</f>
        <v/>
      </c>
      <c r="H1034" s="3">
        <f>IF('ORDENES'!$A1012="","",IF('ORDENES'!$AE1012="","-",'ORDENES'!$AE1012))</f>
        <v/>
      </c>
      <c r="I1034" s="3">
        <f>IF('ORDENES'!$A1012="","",IF('ORDENES'!$AQ1012="","-",'ORDENES'!$AQ1012))</f>
        <v/>
      </c>
      <c r="J1034" s="3">
        <f>IF('ORDENES'!$A1012="","",IF('ORDENES'!$D1012="","-",'ORDENES'!$D1012))</f>
        <v/>
      </c>
      <c r="K1034" s="3">
        <f>IF('ORDENES'!$A1012="","",IF('ORDENES'!$E1012="","-",'ORDENES'!$E1012))</f>
        <v/>
      </c>
      <c r="L1034" s="13">
        <f>IF('ORDENES'!$A1012="","",IF('ORDENES'!$M1012="",0,'ORDENES'!$M1012))</f>
        <v/>
      </c>
      <c r="M1034" s="3">
        <f>IF('ORDENES'!$A1012="","",IF('ORDENES'!$N1012="","-",'ORDENES'!$N1012))</f>
        <v/>
      </c>
      <c r="N1034" s="3">
        <f>IF('ORDENES'!$A1012="","",'ORDENES'!$AD1012)</f>
        <v/>
      </c>
    </row>
    <row r="1035">
      <c r="A1035" s="3">
        <f>IF('ORDENES'!$A1013="","",IF('ORDENES'!$O1013="","-",'ORDENES'!$O1013))</f>
        <v/>
      </c>
      <c r="B1035" s="3">
        <f>IF('ORDENES'!$A1013="","",IF('ORDENES'!$R1013="","-",'ORDENES'!$R1013))</f>
        <v/>
      </c>
      <c r="C1035" s="3">
        <f>IF('ORDENES'!$A1013="","",IF('ORDENES'!$AF1013="","-",'ORDENES'!$AF1013))</f>
        <v/>
      </c>
      <c r="D1035" s="3">
        <f>IF('ORDENES'!$A1013="","",IF('ORDENES'!$X1013="","-",'ORDENES'!$X1013))</f>
        <v/>
      </c>
      <c r="E1035" s="3">
        <f>IF('ORDENES'!$A1013="","",IF('ORDENES'!$V1013="","-",'ORDENES'!$V1013))</f>
        <v/>
      </c>
      <c r="F1035" s="3">
        <f>IF('ORDENES'!$A1013="","",IF('ORDENES'!$Y1013="","-",'ORDENES'!$Y1013))</f>
        <v/>
      </c>
      <c r="G1035" s="3">
        <f>IF('ORDENES'!$A1013="","",IF('ORDENES'!$W1013="","-",'ORDENES'!$W1013))</f>
        <v/>
      </c>
      <c r="H1035" s="3">
        <f>IF('ORDENES'!$A1013="","",IF('ORDENES'!$AE1013="","-",'ORDENES'!$AE1013))</f>
        <v/>
      </c>
      <c r="I1035" s="3">
        <f>IF('ORDENES'!$A1013="","",IF('ORDENES'!$AQ1013="","-",'ORDENES'!$AQ1013))</f>
        <v/>
      </c>
      <c r="J1035" s="3">
        <f>IF('ORDENES'!$A1013="","",IF('ORDENES'!$D1013="","-",'ORDENES'!$D1013))</f>
        <v/>
      </c>
      <c r="K1035" s="3">
        <f>IF('ORDENES'!$A1013="","",IF('ORDENES'!$E1013="","-",'ORDENES'!$E1013))</f>
        <v/>
      </c>
      <c r="L1035" s="13">
        <f>IF('ORDENES'!$A1013="","",IF('ORDENES'!$M1013="",0,'ORDENES'!$M1013))</f>
        <v/>
      </c>
      <c r="M1035" s="3">
        <f>IF('ORDENES'!$A1013="","",IF('ORDENES'!$N1013="","-",'ORDENES'!$N1013))</f>
        <v/>
      </c>
      <c r="N1035" s="3">
        <f>IF('ORDENES'!$A1013="","",'ORDENES'!$AD1013)</f>
        <v/>
      </c>
    </row>
    <row r="1036">
      <c r="A1036" s="3">
        <f>IF('ORDENES'!$A1014="","",IF('ORDENES'!$O1014="","-",'ORDENES'!$O1014))</f>
        <v/>
      </c>
      <c r="B1036" s="3">
        <f>IF('ORDENES'!$A1014="","",IF('ORDENES'!$R1014="","-",'ORDENES'!$R1014))</f>
        <v/>
      </c>
      <c r="C1036" s="3">
        <f>IF('ORDENES'!$A1014="","",IF('ORDENES'!$AF1014="","-",'ORDENES'!$AF1014))</f>
        <v/>
      </c>
      <c r="D1036" s="3">
        <f>IF('ORDENES'!$A1014="","",IF('ORDENES'!$X1014="","-",'ORDENES'!$X1014))</f>
        <v/>
      </c>
      <c r="E1036" s="3">
        <f>IF('ORDENES'!$A1014="","",IF('ORDENES'!$V1014="","-",'ORDENES'!$V1014))</f>
        <v/>
      </c>
      <c r="F1036" s="3">
        <f>IF('ORDENES'!$A1014="","",IF('ORDENES'!$Y1014="","-",'ORDENES'!$Y1014))</f>
        <v/>
      </c>
      <c r="G1036" s="3">
        <f>IF('ORDENES'!$A1014="","",IF('ORDENES'!$W1014="","-",'ORDENES'!$W1014))</f>
        <v/>
      </c>
      <c r="H1036" s="3">
        <f>IF('ORDENES'!$A1014="","",IF('ORDENES'!$AE1014="","-",'ORDENES'!$AE1014))</f>
        <v/>
      </c>
      <c r="I1036" s="3">
        <f>IF('ORDENES'!$A1014="","",IF('ORDENES'!$AQ1014="","-",'ORDENES'!$AQ1014))</f>
        <v/>
      </c>
      <c r="J1036" s="3">
        <f>IF('ORDENES'!$A1014="","",IF('ORDENES'!$D1014="","-",'ORDENES'!$D1014))</f>
        <v/>
      </c>
      <c r="K1036" s="3">
        <f>IF('ORDENES'!$A1014="","",IF('ORDENES'!$E1014="","-",'ORDENES'!$E1014))</f>
        <v/>
      </c>
      <c r="L1036" s="13">
        <f>IF('ORDENES'!$A1014="","",IF('ORDENES'!$M1014="",0,'ORDENES'!$M1014))</f>
        <v/>
      </c>
      <c r="M1036" s="3">
        <f>IF('ORDENES'!$A1014="","",IF('ORDENES'!$N1014="","-",'ORDENES'!$N1014))</f>
        <v/>
      </c>
      <c r="N1036" s="3">
        <f>IF('ORDENES'!$A1014="","",'ORDENES'!$AD1014)</f>
        <v/>
      </c>
    </row>
    <row r="1037">
      <c r="A1037" s="3">
        <f>IF('ORDENES'!$A1015="","",IF('ORDENES'!$O1015="","-",'ORDENES'!$O1015))</f>
        <v/>
      </c>
      <c r="B1037" s="3">
        <f>IF('ORDENES'!$A1015="","",IF('ORDENES'!$R1015="","-",'ORDENES'!$R1015))</f>
        <v/>
      </c>
      <c r="C1037" s="3">
        <f>IF('ORDENES'!$A1015="","",IF('ORDENES'!$AF1015="","-",'ORDENES'!$AF1015))</f>
        <v/>
      </c>
      <c r="D1037" s="3">
        <f>IF('ORDENES'!$A1015="","",IF('ORDENES'!$X1015="","-",'ORDENES'!$X1015))</f>
        <v/>
      </c>
      <c r="E1037" s="3">
        <f>IF('ORDENES'!$A1015="","",IF('ORDENES'!$V1015="","-",'ORDENES'!$V1015))</f>
        <v/>
      </c>
      <c r="F1037" s="3">
        <f>IF('ORDENES'!$A1015="","",IF('ORDENES'!$Y1015="","-",'ORDENES'!$Y1015))</f>
        <v/>
      </c>
      <c r="G1037" s="3">
        <f>IF('ORDENES'!$A1015="","",IF('ORDENES'!$W1015="","-",'ORDENES'!$W1015))</f>
        <v/>
      </c>
      <c r="H1037" s="3">
        <f>IF('ORDENES'!$A1015="","",IF('ORDENES'!$AE1015="","-",'ORDENES'!$AE1015))</f>
        <v/>
      </c>
      <c r="I1037" s="3">
        <f>IF('ORDENES'!$A1015="","",IF('ORDENES'!$AQ1015="","-",'ORDENES'!$AQ1015))</f>
        <v/>
      </c>
      <c r="J1037" s="3">
        <f>IF('ORDENES'!$A1015="","",IF('ORDENES'!$D1015="","-",'ORDENES'!$D1015))</f>
        <v/>
      </c>
      <c r="K1037" s="3">
        <f>IF('ORDENES'!$A1015="","",IF('ORDENES'!$E1015="","-",'ORDENES'!$E1015))</f>
        <v/>
      </c>
      <c r="L1037" s="13">
        <f>IF('ORDENES'!$A1015="","",IF('ORDENES'!$M1015="",0,'ORDENES'!$M1015))</f>
        <v/>
      </c>
      <c r="M1037" s="3">
        <f>IF('ORDENES'!$A1015="","",IF('ORDENES'!$N1015="","-",'ORDENES'!$N1015))</f>
        <v/>
      </c>
      <c r="N1037" s="3">
        <f>IF('ORDENES'!$A1015="","",'ORDENES'!$AD1015)</f>
        <v/>
      </c>
    </row>
    <row r="1038">
      <c r="A1038" s="3">
        <f>IF('ORDENES'!$A1016="","",IF('ORDENES'!$O1016="","-",'ORDENES'!$O1016))</f>
        <v/>
      </c>
      <c r="B1038" s="3">
        <f>IF('ORDENES'!$A1016="","",IF('ORDENES'!$R1016="","-",'ORDENES'!$R1016))</f>
        <v/>
      </c>
      <c r="C1038" s="3">
        <f>IF('ORDENES'!$A1016="","",IF('ORDENES'!$AF1016="","-",'ORDENES'!$AF1016))</f>
        <v/>
      </c>
      <c r="D1038" s="3">
        <f>IF('ORDENES'!$A1016="","",IF('ORDENES'!$X1016="","-",'ORDENES'!$X1016))</f>
        <v/>
      </c>
      <c r="E1038" s="3">
        <f>IF('ORDENES'!$A1016="","",IF('ORDENES'!$V1016="","-",'ORDENES'!$V1016))</f>
        <v/>
      </c>
      <c r="F1038" s="3">
        <f>IF('ORDENES'!$A1016="","",IF('ORDENES'!$Y1016="","-",'ORDENES'!$Y1016))</f>
        <v/>
      </c>
      <c r="G1038" s="3">
        <f>IF('ORDENES'!$A1016="","",IF('ORDENES'!$W1016="","-",'ORDENES'!$W1016))</f>
        <v/>
      </c>
      <c r="H1038" s="3">
        <f>IF('ORDENES'!$A1016="","",IF('ORDENES'!$AE1016="","-",'ORDENES'!$AE1016))</f>
        <v/>
      </c>
      <c r="I1038" s="3">
        <f>IF('ORDENES'!$A1016="","",IF('ORDENES'!$AQ1016="","-",'ORDENES'!$AQ1016))</f>
        <v/>
      </c>
      <c r="J1038" s="3">
        <f>IF('ORDENES'!$A1016="","",IF('ORDENES'!$D1016="","-",'ORDENES'!$D1016))</f>
        <v/>
      </c>
      <c r="K1038" s="3">
        <f>IF('ORDENES'!$A1016="","",IF('ORDENES'!$E1016="","-",'ORDENES'!$E1016))</f>
        <v/>
      </c>
      <c r="L1038" s="13">
        <f>IF('ORDENES'!$A1016="","",IF('ORDENES'!$M1016="",0,'ORDENES'!$M1016))</f>
        <v/>
      </c>
      <c r="M1038" s="3">
        <f>IF('ORDENES'!$A1016="","",IF('ORDENES'!$N1016="","-",'ORDENES'!$N1016))</f>
        <v/>
      </c>
      <c r="N1038" s="3">
        <f>IF('ORDENES'!$A1016="","",'ORDENES'!$AD1016)</f>
        <v/>
      </c>
    </row>
    <row r="1039">
      <c r="A1039" s="3">
        <f>IF('ORDENES'!$A1017="","",IF('ORDENES'!$O1017="","-",'ORDENES'!$O1017))</f>
        <v/>
      </c>
      <c r="B1039" s="3">
        <f>IF('ORDENES'!$A1017="","",IF('ORDENES'!$R1017="","-",'ORDENES'!$R1017))</f>
        <v/>
      </c>
      <c r="C1039" s="3">
        <f>IF('ORDENES'!$A1017="","",IF('ORDENES'!$AF1017="","-",'ORDENES'!$AF1017))</f>
        <v/>
      </c>
      <c r="D1039" s="3">
        <f>IF('ORDENES'!$A1017="","",IF('ORDENES'!$X1017="","-",'ORDENES'!$X1017))</f>
        <v/>
      </c>
      <c r="E1039" s="3">
        <f>IF('ORDENES'!$A1017="","",IF('ORDENES'!$V1017="","-",'ORDENES'!$V1017))</f>
        <v/>
      </c>
      <c r="F1039" s="3">
        <f>IF('ORDENES'!$A1017="","",IF('ORDENES'!$Y1017="","-",'ORDENES'!$Y1017))</f>
        <v/>
      </c>
      <c r="G1039" s="3">
        <f>IF('ORDENES'!$A1017="","",IF('ORDENES'!$W1017="","-",'ORDENES'!$W1017))</f>
        <v/>
      </c>
      <c r="H1039" s="3">
        <f>IF('ORDENES'!$A1017="","",IF('ORDENES'!$AE1017="","-",'ORDENES'!$AE1017))</f>
        <v/>
      </c>
      <c r="I1039" s="3">
        <f>IF('ORDENES'!$A1017="","",IF('ORDENES'!$AQ1017="","-",'ORDENES'!$AQ1017))</f>
        <v/>
      </c>
      <c r="J1039" s="3">
        <f>IF('ORDENES'!$A1017="","",IF('ORDENES'!$D1017="","-",'ORDENES'!$D1017))</f>
        <v/>
      </c>
      <c r="K1039" s="3">
        <f>IF('ORDENES'!$A1017="","",IF('ORDENES'!$E1017="","-",'ORDENES'!$E1017))</f>
        <v/>
      </c>
      <c r="L1039" s="13">
        <f>IF('ORDENES'!$A1017="","",IF('ORDENES'!$M1017="",0,'ORDENES'!$M1017))</f>
        <v/>
      </c>
      <c r="M1039" s="3">
        <f>IF('ORDENES'!$A1017="","",IF('ORDENES'!$N1017="","-",'ORDENES'!$N1017))</f>
        <v/>
      </c>
      <c r="N1039" s="3">
        <f>IF('ORDENES'!$A1017="","",'ORDENES'!$AD1017)</f>
        <v/>
      </c>
    </row>
    <row r="1040">
      <c r="A1040" s="3">
        <f>IF('ORDENES'!$A1018="","",IF('ORDENES'!$O1018="","-",'ORDENES'!$O1018))</f>
        <v/>
      </c>
      <c r="B1040" s="3">
        <f>IF('ORDENES'!$A1018="","",IF('ORDENES'!$R1018="","-",'ORDENES'!$R1018))</f>
        <v/>
      </c>
      <c r="C1040" s="3">
        <f>IF('ORDENES'!$A1018="","",IF('ORDENES'!$AF1018="","-",'ORDENES'!$AF1018))</f>
        <v/>
      </c>
      <c r="D1040" s="3">
        <f>IF('ORDENES'!$A1018="","",IF('ORDENES'!$X1018="","-",'ORDENES'!$X1018))</f>
        <v/>
      </c>
      <c r="E1040" s="3">
        <f>IF('ORDENES'!$A1018="","",IF('ORDENES'!$V1018="","-",'ORDENES'!$V1018))</f>
        <v/>
      </c>
      <c r="F1040" s="3">
        <f>IF('ORDENES'!$A1018="","",IF('ORDENES'!$Y1018="","-",'ORDENES'!$Y1018))</f>
        <v/>
      </c>
      <c r="G1040" s="3">
        <f>IF('ORDENES'!$A1018="","",IF('ORDENES'!$W1018="","-",'ORDENES'!$W1018))</f>
        <v/>
      </c>
      <c r="H1040" s="3">
        <f>IF('ORDENES'!$A1018="","",IF('ORDENES'!$AE1018="","-",'ORDENES'!$AE1018))</f>
        <v/>
      </c>
      <c r="I1040" s="3">
        <f>IF('ORDENES'!$A1018="","",IF('ORDENES'!$AQ1018="","-",'ORDENES'!$AQ1018))</f>
        <v/>
      </c>
      <c r="J1040" s="3">
        <f>IF('ORDENES'!$A1018="","",IF('ORDENES'!$D1018="","-",'ORDENES'!$D1018))</f>
        <v/>
      </c>
      <c r="K1040" s="3">
        <f>IF('ORDENES'!$A1018="","",IF('ORDENES'!$E1018="","-",'ORDENES'!$E1018))</f>
        <v/>
      </c>
      <c r="L1040" s="13">
        <f>IF('ORDENES'!$A1018="","",IF('ORDENES'!$M1018="",0,'ORDENES'!$M1018))</f>
        <v/>
      </c>
      <c r="M1040" s="3">
        <f>IF('ORDENES'!$A1018="","",IF('ORDENES'!$N1018="","-",'ORDENES'!$N1018))</f>
        <v/>
      </c>
      <c r="N1040" s="3">
        <f>IF('ORDENES'!$A1018="","",'ORDENES'!$AD1018)</f>
        <v/>
      </c>
    </row>
    <row r="1041">
      <c r="A1041" s="3">
        <f>IF('ORDENES'!$A1019="","",IF('ORDENES'!$O1019="","-",'ORDENES'!$O1019))</f>
        <v/>
      </c>
      <c r="B1041" s="3">
        <f>IF('ORDENES'!$A1019="","",IF('ORDENES'!$R1019="","-",'ORDENES'!$R1019))</f>
        <v/>
      </c>
      <c r="C1041" s="3">
        <f>IF('ORDENES'!$A1019="","",IF('ORDENES'!$AF1019="","-",'ORDENES'!$AF1019))</f>
        <v/>
      </c>
      <c r="D1041" s="3">
        <f>IF('ORDENES'!$A1019="","",IF('ORDENES'!$X1019="","-",'ORDENES'!$X1019))</f>
        <v/>
      </c>
      <c r="E1041" s="3">
        <f>IF('ORDENES'!$A1019="","",IF('ORDENES'!$V1019="","-",'ORDENES'!$V1019))</f>
        <v/>
      </c>
      <c r="F1041" s="3">
        <f>IF('ORDENES'!$A1019="","",IF('ORDENES'!$Y1019="","-",'ORDENES'!$Y1019))</f>
        <v/>
      </c>
      <c r="G1041" s="3">
        <f>IF('ORDENES'!$A1019="","",IF('ORDENES'!$W1019="","-",'ORDENES'!$W1019))</f>
        <v/>
      </c>
      <c r="H1041" s="3">
        <f>IF('ORDENES'!$A1019="","",IF('ORDENES'!$AE1019="","-",'ORDENES'!$AE1019))</f>
        <v/>
      </c>
      <c r="I1041" s="3">
        <f>IF('ORDENES'!$A1019="","",IF('ORDENES'!$AQ1019="","-",'ORDENES'!$AQ1019))</f>
        <v/>
      </c>
      <c r="J1041" s="3">
        <f>IF('ORDENES'!$A1019="","",IF('ORDENES'!$D1019="","-",'ORDENES'!$D1019))</f>
        <v/>
      </c>
      <c r="K1041" s="3">
        <f>IF('ORDENES'!$A1019="","",IF('ORDENES'!$E1019="","-",'ORDENES'!$E1019))</f>
        <v/>
      </c>
      <c r="L1041" s="13">
        <f>IF('ORDENES'!$A1019="","",IF('ORDENES'!$M1019="",0,'ORDENES'!$M1019))</f>
        <v/>
      </c>
      <c r="M1041" s="3">
        <f>IF('ORDENES'!$A1019="","",IF('ORDENES'!$N1019="","-",'ORDENES'!$N1019))</f>
        <v/>
      </c>
      <c r="N1041" s="3">
        <f>IF('ORDENES'!$A1019="","",'ORDENES'!$AD1019)</f>
        <v/>
      </c>
    </row>
    <row r="1042">
      <c r="A1042" s="3">
        <f>IF('ORDENES'!$A1020="","",IF('ORDENES'!$O1020="","-",'ORDENES'!$O1020))</f>
        <v/>
      </c>
      <c r="B1042" s="3">
        <f>IF('ORDENES'!$A1020="","",IF('ORDENES'!$R1020="","-",'ORDENES'!$R1020))</f>
        <v/>
      </c>
      <c r="C1042" s="3">
        <f>IF('ORDENES'!$A1020="","",IF('ORDENES'!$AF1020="","-",'ORDENES'!$AF1020))</f>
        <v/>
      </c>
      <c r="D1042" s="3">
        <f>IF('ORDENES'!$A1020="","",IF('ORDENES'!$X1020="","-",'ORDENES'!$X1020))</f>
        <v/>
      </c>
      <c r="E1042" s="3">
        <f>IF('ORDENES'!$A1020="","",IF('ORDENES'!$V1020="","-",'ORDENES'!$V1020))</f>
        <v/>
      </c>
      <c r="F1042" s="3">
        <f>IF('ORDENES'!$A1020="","",IF('ORDENES'!$Y1020="","-",'ORDENES'!$Y1020))</f>
        <v/>
      </c>
      <c r="G1042" s="3">
        <f>IF('ORDENES'!$A1020="","",IF('ORDENES'!$W1020="","-",'ORDENES'!$W1020))</f>
        <v/>
      </c>
      <c r="H1042" s="3">
        <f>IF('ORDENES'!$A1020="","",IF('ORDENES'!$AE1020="","-",'ORDENES'!$AE1020))</f>
        <v/>
      </c>
      <c r="I1042" s="3">
        <f>IF('ORDENES'!$A1020="","",IF('ORDENES'!$AQ1020="","-",'ORDENES'!$AQ1020))</f>
        <v/>
      </c>
      <c r="J1042" s="3">
        <f>IF('ORDENES'!$A1020="","",IF('ORDENES'!$D1020="","-",'ORDENES'!$D1020))</f>
        <v/>
      </c>
      <c r="K1042" s="3">
        <f>IF('ORDENES'!$A1020="","",IF('ORDENES'!$E1020="","-",'ORDENES'!$E1020))</f>
        <v/>
      </c>
      <c r="L1042" s="13">
        <f>IF('ORDENES'!$A1020="","",IF('ORDENES'!$M1020="",0,'ORDENES'!$M1020))</f>
        <v/>
      </c>
      <c r="M1042" s="3">
        <f>IF('ORDENES'!$A1020="","",IF('ORDENES'!$N1020="","-",'ORDENES'!$N1020))</f>
        <v/>
      </c>
      <c r="N1042" s="3">
        <f>IF('ORDENES'!$A1020="","",'ORDENES'!$AD1020)</f>
        <v/>
      </c>
    </row>
    <row r="1043">
      <c r="A1043" s="3">
        <f>IF('ORDENES'!$A1021="","",IF('ORDENES'!$O1021="","-",'ORDENES'!$O1021))</f>
        <v/>
      </c>
      <c r="B1043" s="3">
        <f>IF('ORDENES'!$A1021="","",IF('ORDENES'!$R1021="","-",'ORDENES'!$R1021))</f>
        <v/>
      </c>
      <c r="C1043" s="3">
        <f>IF('ORDENES'!$A1021="","",IF('ORDENES'!$AF1021="","-",'ORDENES'!$AF1021))</f>
        <v/>
      </c>
      <c r="D1043" s="3">
        <f>IF('ORDENES'!$A1021="","",IF('ORDENES'!$X1021="","-",'ORDENES'!$X1021))</f>
        <v/>
      </c>
      <c r="E1043" s="3">
        <f>IF('ORDENES'!$A1021="","",IF('ORDENES'!$V1021="","-",'ORDENES'!$V1021))</f>
        <v/>
      </c>
      <c r="F1043" s="3">
        <f>IF('ORDENES'!$A1021="","",IF('ORDENES'!$Y1021="","-",'ORDENES'!$Y1021))</f>
        <v/>
      </c>
      <c r="G1043" s="3">
        <f>IF('ORDENES'!$A1021="","",IF('ORDENES'!$W1021="","-",'ORDENES'!$W1021))</f>
        <v/>
      </c>
      <c r="H1043" s="3">
        <f>IF('ORDENES'!$A1021="","",IF('ORDENES'!$AE1021="","-",'ORDENES'!$AE1021))</f>
        <v/>
      </c>
      <c r="I1043" s="3">
        <f>IF('ORDENES'!$A1021="","",IF('ORDENES'!$AQ1021="","-",'ORDENES'!$AQ1021))</f>
        <v/>
      </c>
      <c r="J1043" s="3">
        <f>IF('ORDENES'!$A1021="","",IF('ORDENES'!$D1021="","-",'ORDENES'!$D1021))</f>
        <v/>
      </c>
      <c r="K1043" s="3">
        <f>IF('ORDENES'!$A1021="","",IF('ORDENES'!$E1021="","-",'ORDENES'!$E1021))</f>
        <v/>
      </c>
      <c r="L1043" s="13">
        <f>IF('ORDENES'!$A1021="","",IF('ORDENES'!$M1021="",0,'ORDENES'!$M1021))</f>
        <v/>
      </c>
      <c r="M1043" s="3">
        <f>IF('ORDENES'!$A1021="","",IF('ORDENES'!$N1021="","-",'ORDENES'!$N1021))</f>
        <v/>
      </c>
      <c r="N1043" s="3">
        <f>IF('ORDENES'!$A1021="","",'ORDENES'!$AD1021)</f>
        <v/>
      </c>
    </row>
    <row r="1044">
      <c r="A1044" s="3">
        <f>IF('ORDENES'!$A1022="","",IF('ORDENES'!$O1022="","-",'ORDENES'!$O1022))</f>
        <v/>
      </c>
      <c r="B1044" s="3">
        <f>IF('ORDENES'!$A1022="","",IF('ORDENES'!$R1022="","-",'ORDENES'!$R1022))</f>
        <v/>
      </c>
      <c r="C1044" s="3">
        <f>IF('ORDENES'!$A1022="","",IF('ORDENES'!$AF1022="","-",'ORDENES'!$AF1022))</f>
        <v/>
      </c>
      <c r="D1044" s="3">
        <f>IF('ORDENES'!$A1022="","",IF('ORDENES'!$X1022="","-",'ORDENES'!$X1022))</f>
        <v/>
      </c>
      <c r="E1044" s="3">
        <f>IF('ORDENES'!$A1022="","",IF('ORDENES'!$V1022="","-",'ORDENES'!$V1022))</f>
        <v/>
      </c>
      <c r="F1044" s="3">
        <f>IF('ORDENES'!$A1022="","",IF('ORDENES'!$Y1022="","-",'ORDENES'!$Y1022))</f>
        <v/>
      </c>
      <c r="G1044" s="3">
        <f>IF('ORDENES'!$A1022="","",IF('ORDENES'!$W1022="","-",'ORDENES'!$W1022))</f>
        <v/>
      </c>
      <c r="H1044" s="3">
        <f>IF('ORDENES'!$A1022="","",IF('ORDENES'!$AE1022="","-",'ORDENES'!$AE1022))</f>
        <v/>
      </c>
      <c r="I1044" s="3">
        <f>IF('ORDENES'!$A1022="","",IF('ORDENES'!$AQ1022="","-",'ORDENES'!$AQ1022))</f>
        <v/>
      </c>
      <c r="J1044" s="3">
        <f>IF('ORDENES'!$A1022="","",IF('ORDENES'!$D1022="","-",'ORDENES'!$D1022))</f>
        <v/>
      </c>
      <c r="K1044" s="3">
        <f>IF('ORDENES'!$A1022="","",IF('ORDENES'!$E1022="","-",'ORDENES'!$E1022))</f>
        <v/>
      </c>
      <c r="L1044" s="13">
        <f>IF('ORDENES'!$A1022="","",IF('ORDENES'!$M1022="",0,'ORDENES'!$M1022))</f>
        <v/>
      </c>
      <c r="M1044" s="3">
        <f>IF('ORDENES'!$A1022="","",IF('ORDENES'!$N1022="","-",'ORDENES'!$N1022))</f>
        <v/>
      </c>
      <c r="N1044" s="3">
        <f>IF('ORDENES'!$A1022="","",'ORDENES'!$AD1022)</f>
        <v/>
      </c>
    </row>
    <row r="1045">
      <c r="A1045" s="3">
        <f>IF('ORDENES'!$A1023="","",IF('ORDENES'!$O1023="","-",'ORDENES'!$O1023))</f>
        <v/>
      </c>
      <c r="B1045" s="3">
        <f>IF('ORDENES'!$A1023="","",IF('ORDENES'!$R1023="","-",'ORDENES'!$R1023))</f>
        <v/>
      </c>
      <c r="C1045" s="3">
        <f>IF('ORDENES'!$A1023="","",IF('ORDENES'!$AF1023="","-",'ORDENES'!$AF1023))</f>
        <v/>
      </c>
      <c r="D1045" s="3">
        <f>IF('ORDENES'!$A1023="","",IF('ORDENES'!$X1023="","-",'ORDENES'!$X1023))</f>
        <v/>
      </c>
      <c r="E1045" s="3">
        <f>IF('ORDENES'!$A1023="","",IF('ORDENES'!$V1023="","-",'ORDENES'!$V1023))</f>
        <v/>
      </c>
      <c r="F1045" s="3">
        <f>IF('ORDENES'!$A1023="","",IF('ORDENES'!$Y1023="","-",'ORDENES'!$Y1023))</f>
        <v/>
      </c>
      <c r="G1045" s="3">
        <f>IF('ORDENES'!$A1023="","",IF('ORDENES'!$W1023="","-",'ORDENES'!$W1023))</f>
        <v/>
      </c>
      <c r="H1045" s="3">
        <f>IF('ORDENES'!$A1023="","",IF('ORDENES'!$AE1023="","-",'ORDENES'!$AE1023))</f>
        <v/>
      </c>
      <c r="I1045" s="3">
        <f>IF('ORDENES'!$A1023="","",IF('ORDENES'!$AQ1023="","-",'ORDENES'!$AQ1023))</f>
        <v/>
      </c>
      <c r="J1045" s="3">
        <f>IF('ORDENES'!$A1023="","",IF('ORDENES'!$D1023="","-",'ORDENES'!$D1023))</f>
        <v/>
      </c>
      <c r="K1045" s="3">
        <f>IF('ORDENES'!$A1023="","",IF('ORDENES'!$E1023="","-",'ORDENES'!$E1023))</f>
        <v/>
      </c>
      <c r="L1045" s="13">
        <f>IF('ORDENES'!$A1023="","",IF('ORDENES'!$M1023="",0,'ORDENES'!$M1023))</f>
        <v/>
      </c>
      <c r="M1045" s="3">
        <f>IF('ORDENES'!$A1023="","",IF('ORDENES'!$N1023="","-",'ORDENES'!$N1023))</f>
        <v/>
      </c>
      <c r="N1045" s="3">
        <f>IF('ORDENES'!$A1023="","",'ORDENES'!$AD1023)</f>
        <v/>
      </c>
    </row>
    <row r="1046">
      <c r="A1046" s="3">
        <f>IF('ORDENES'!$A1024="","",IF('ORDENES'!$O1024="","-",'ORDENES'!$O1024))</f>
        <v/>
      </c>
      <c r="B1046" s="3">
        <f>IF('ORDENES'!$A1024="","",IF('ORDENES'!$R1024="","-",'ORDENES'!$R1024))</f>
        <v/>
      </c>
      <c r="C1046" s="3">
        <f>IF('ORDENES'!$A1024="","",IF('ORDENES'!$AF1024="","-",'ORDENES'!$AF1024))</f>
        <v/>
      </c>
      <c r="D1046" s="3">
        <f>IF('ORDENES'!$A1024="","",IF('ORDENES'!$X1024="","-",'ORDENES'!$X1024))</f>
        <v/>
      </c>
      <c r="E1046" s="3">
        <f>IF('ORDENES'!$A1024="","",IF('ORDENES'!$V1024="","-",'ORDENES'!$V1024))</f>
        <v/>
      </c>
      <c r="F1046" s="3">
        <f>IF('ORDENES'!$A1024="","",IF('ORDENES'!$Y1024="","-",'ORDENES'!$Y1024))</f>
        <v/>
      </c>
      <c r="G1046" s="3">
        <f>IF('ORDENES'!$A1024="","",IF('ORDENES'!$W1024="","-",'ORDENES'!$W1024))</f>
        <v/>
      </c>
      <c r="H1046" s="3">
        <f>IF('ORDENES'!$A1024="","",IF('ORDENES'!$AE1024="","-",'ORDENES'!$AE1024))</f>
        <v/>
      </c>
      <c r="I1046" s="3">
        <f>IF('ORDENES'!$A1024="","",IF('ORDENES'!$AQ1024="","-",'ORDENES'!$AQ1024))</f>
        <v/>
      </c>
      <c r="J1046" s="3">
        <f>IF('ORDENES'!$A1024="","",IF('ORDENES'!$D1024="","-",'ORDENES'!$D1024))</f>
        <v/>
      </c>
      <c r="K1046" s="3">
        <f>IF('ORDENES'!$A1024="","",IF('ORDENES'!$E1024="","-",'ORDENES'!$E1024))</f>
        <v/>
      </c>
      <c r="L1046" s="13">
        <f>IF('ORDENES'!$A1024="","",IF('ORDENES'!$M1024="",0,'ORDENES'!$M1024))</f>
        <v/>
      </c>
      <c r="M1046" s="3">
        <f>IF('ORDENES'!$A1024="","",IF('ORDENES'!$N1024="","-",'ORDENES'!$N1024))</f>
        <v/>
      </c>
      <c r="N1046" s="3">
        <f>IF('ORDENES'!$A1024="","",'ORDENES'!$AD1024)</f>
        <v/>
      </c>
    </row>
    <row r="1047">
      <c r="A1047" s="3">
        <f>IF('ORDENES'!$A1025="","",IF('ORDENES'!$O1025="","-",'ORDENES'!$O1025))</f>
        <v/>
      </c>
      <c r="B1047" s="3">
        <f>IF('ORDENES'!$A1025="","",IF('ORDENES'!$R1025="","-",'ORDENES'!$R1025))</f>
        <v/>
      </c>
      <c r="C1047" s="3">
        <f>IF('ORDENES'!$A1025="","",IF('ORDENES'!$AF1025="","-",'ORDENES'!$AF1025))</f>
        <v/>
      </c>
      <c r="D1047" s="3">
        <f>IF('ORDENES'!$A1025="","",IF('ORDENES'!$X1025="","-",'ORDENES'!$X1025))</f>
        <v/>
      </c>
      <c r="E1047" s="3">
        <f>IF('ORDENES'!$A1025="","",IF('ORDENES'!$V1025="","-",'ORDENES'!$V1025))</f>
        <v/>
      </c>
      <c r="F1047" s="3">
        <f>IF('ORDENES'!$A1025="","",IF('ORDENES'!$Y1025="","-",'ORDENES'!$Y1025))</f>
        <v/>
      </c>
      <c r="G1047" s="3">
        <f>IF('ORDENES'!$A1025="","",IF('ORDENES'!$W1025="","-",'ORDENES'!$W1025))</f>
        <v/>
      </c>
      <c r="H1047" s="3">
        <f>IF('ORDENES'!$A1025="","",IF('ORDENES'!$AE1025="","-",'ORDENES'!$AE1025))</f>
        <v/>
      </c>
      <c r="I1047" s="3">
        <f>IF('ORDENES'!$A1025="","",IF('ORDENES'!$AQ1025="","-",'ORDENES'!$AQ1025))</f>
        <v/>
      </c>
      <c r="J1047" s="3">
        <f>IF('ORDENES'!$A1025="","",IF('ORDENES'!$D1025="","-",'ORDENES'!$D1025))</f>
        <v/>
      </c>
      <c r="K1047" s="3">
        <f>IF('ORDENES'!$A1025="","",IF('ORDENES'!$E1025="","-",'ORDENES'!$E1025))</f>
        <v/>
      </c>
      <c r="L1047" s="13">
        <f>IF('ORDENES'!$A1025="","",IF('ORDENES'!$M1025="",0,'ORDENES'!$M1025))</f>
        <v/>
      </c>
      <c r="M1047" s="3">
        <f>IF('ORDENES'!$A1025="","",IF('ORDENES'!$N1025="","-",'ORDENES'!$N1025))</f>
        <v/>
      </c>
      <c r="N1047" s="3">
        <f>IF('ORDENES'!$A1025="","",'ORDENES'!$AD1025)</f>
        <v/>
      </c>
    </row>
    <row r="1048">
      <c r="A1048" s="3">
        <f>IF('ORDENES'!$A1026="","",IF('ORDENES'!$O1026="","-",'ORDENES'!$O1026))</f>
        <v/>
      </c>
      <c r="B1048" s="3">
        <f>IF('ORDENES'!$A1026="","",IF('ORDENES'!$R1026="","-",'ORDENES'!$R1026))</f>
        <v/>
      </c>
      <c r="C1048" s="3">
        <f>IF('ORDENES'!$A1026="","",IF('ORDENES'!$AF1026="","-",'ORDENES'!$AF1026))</f>
        <v/>
      </c>
      <c r="D1048" s="3">
        <f>IF('ORDENES'!$A1026="","",IF('ORDENES'!$X1026="","-",'ORDENES'!$X1026))</f>
        <v/>
      </c>
      <c r="E1048" s="3">
        <f>IF('ORDENES'!$A1026="","",IF('ORDENES'!$V1026="","-",'ORDENES'!$V1026))</f>
        <v/>
      </c>
      <c r="F1048" s="3">
        <f>IF('ORDENES'!$A1026="","",IF('ORDENES'!$Y1026="","-",'ORDENES'!$Y1026))</f>
        <v/>
      </c>
      <c r="G1048" s="3">
        <f>IF('ORDENES'!$A1026="","",IF('ORDENES'!$W1026="","-",'ORDENES'!$W1026))</f>
        <v/>
      </c>
      <c r="H1048" s="3">
        <f>IF('ORDENES'!$A1026="","",IF('ORDENES'!$AE1026="","-",'ORDENES'!$AE1026))</f>
        <v/>
      </c>
      <c r="I1048" s="3">
        <f>IF('ORDENES'!$A1026="","",IF('ORDENES'!$AQ1026="","-",'ORDENES'!$AQ1026))</f>
        <v/>
      </c>
      <c r="J1048" s="3">
        <f>IF('ORDENES'!$A1026="","",IF('ORDENES'!$D1026="","-",'ORDENES'!$D1026))</f>
        <v/>
      </c>
      <c r="K1048" s="3">
        <f>IF('ORDENES'!$A1026="","",IF('ORDENES'!$E1026="","-",'ORDENES'!$E1026))</f>
        <v/>
      </c>
      <c r="L1048" s="13">
        <f>IF('ORDENES'!$A1026="","",IF('ORDENES'!$M1026="",0,'ORDENES'!$M1026))</f>
        <v/>
      </c>
      <c r="M1048" s="3">
        <f>IF('ORDENES'!$A1026="","",IF('ORDENES'!$N1026="","-",'ORDENES'!$N1026))</f>
        <v/>
      </c>
      <c r="N1048" s="3">
        <f>IF('ORDENES'!$A1026="","",'ORDENES'!$AD1026)</f>
        <v/>
      </c>
    </row>
    <row r="1049">
      <c r="A1049" s="3">
        <f>IF('ORDENES'!$A1027="","",IF('ORDENES'!$O1027="","-",'ORDENES'!$O1027))</f>
        <v/>
      </c>
      <c r="B1049" s="3">
        <f>IF('ORDENES'!$A1027="","",IF('ORDENES'!$R1027="","-",'ORDENES'!$R1027))</f>
        <v/>
      </c>
      <c r="C1049" s="3">
        <f>IF('ORDENES'!$A1027="","",IF('ORDENES'!$AF1027="","-",'ORDENES'!$AF1027))</f>
        <v/>
      </c>
      <c r="D1049" s="3">
        <f>IF('ORDENES'!$A1027="","",IF('ORDENES'!$X1027="","-",'ORDENES'!$X1027))</f>
        <v/>
      </c>
      <c r="E1049" s="3">
        <f>IF('ORDENES'!$A1027="","",IF('ORDENES'!$V1027="","-",'ORDENES'!$V1027))</f>
        <v/>
      </c>
      <c r="F1049" s="3">
        <f>IF('ORDENES'!$A1027="","",IF('ORDENES'!$Y1027="","-",'ORDENES'!$Y1027))</f>
        <v/>
      </c>
      <c r="G1049" s="3">
        <f>IF('ORDENES'!$A1027="","",IF('ORDENES'!$W1027="","-",'ORDENES'!$W1027))</f>
        <v/>
      </c>
      <c r="H1049" s="3">
        <f>IF('ORDENES'!$A1027="","",IF('ORDENES'!$AE1027="","-",'ORDENES'!$AE1027))</f>
        <v/>
      </c>
      <c r="I1049" s="3">
        <f>IF('ORDENES'!$A1027="","",IF('ORDENES'!$AQ1027="","-",'ORDENES'!$AQ1027))</f>
        <v/>
      </c>
      <c r="J1049" s="3">
        <f>IF('ORDENES'!$A1027="","",IF('ORDENES'!$D1027="","-",'ORDENES'!$D1027))</f>
        <v/>
      </c>
      <c r="K1049" s="3">
        <f>IF('ORDENES'!$A1027="","",IF('ORDENES'!$E1027="","-",'ORDENES'!$E1027))</f>
        <v/>
      </c>
      <c r="L1049" s="13">
        <f>IF('ORDENES'!$A1027="","",IF('ORDENES'!$M1027="",0,'ORDENES'!$M1027))</f>
        <v/>
      </c>
      <c r="M1049" s="3">
        <f>IF('ORDENES'!$A1027="","",IF('ORDENES'!$N1027="","-",'ORDENES'!$N1027))</f>
        <v/>
      </c>
      <c r="N1049" s="3">
        <f>IF('ORDENES'!$A1027="","",'ORDENES'!$AD1027)</f>
        <v/>
      </c>
    </row>
    <row r="1050">
      <c r="A1050" s="3">
        <f>IF('ORDENES'!$A1028="","",IF('ORDENES'!$O1028="","-",'ORDENES'!$O1028))</f>
        <v/>
      </c>
      <c r="B1050" s="3">
        <f>IF('ORDENES'!$A1028="","",IF('ORDENES'!$R1028="","-",'ORDENES'!$R1028))</f>
        <v/>
      </c>
      <c r="C1050" s="3">
        <f>IF('ORDENES'!$A1028="","",IF('ORDENES'!$AF1028="","-",'ORDENES'!$AF1028))</f>
        <v/>
      </c>
      <c r="D1050" s="3">
        <f>IF('ORDENES'!$A1028="","",IF('ORDENES'!$X1028="","-",'ORDENES'!$X1028))</f>
        <v/>
      </c>
      <c r="E1050" s="3">
        <f>IF('ORDENES'!$A1028="","",IF('ORDENES'!$V1028="","-",'ORDENES'!$V1028))</f>
        <v/>
      </c>
      <c r="F1050" s="3">
        <f>IF('ORDENES'!$A1028="","",IF('ORDENES'!$Y1028="","-",'ORDENES'!$Y1028))</f>
        <v/>
      </c>
      <c r="G1050" s="3">
        <f>IF('ORDENES'!$A1028="","",IF('ORDENES'!$W1028="","-",'ORDENES'!$W1028))</f>
        <v/>
      </c>
      <c r="H1050" s="3">
        <f>IF('ORDENES'!$A1028="","",IF('ORDENES'!$AE1028="","-",'ORDENES'!$AE1028))</f>
        <v/>
      </c>
      <c r="I1050" s="3">
        <f>IF('ORDENES'!$A1028="","",IF('ORDENES'!$AQ1028="","-",'ORDENES'!$AQ1028))</f>
        <v/>
      </c>
      <c r="J1050" s="3">
        <f>IF('ORDENES'!$A1028="","",IF('ORDENES'!$D1028="","-",'ORDENES'!$D1028))</f>
        <v/>
      </c>
      <c r="K1050" s="3">
        <f>IF('ORDENES'!$A1028="","",IF('ORDENES'!$E1028="","-",'ORDENES'!$E1028))</f>
        <v/>
      </c>
      <c r="L1050" s="13">
        <f>IF('ORDENES'!$A1028="","",IF('ORDENES'!$M1028="",0,'ORDENES'!$M1028))</f>
        <v/>
      </c>
      <c r="M1050" s="3">
        <f>IF('ORDENES'!$A1028="","",IF('ORDENES'!$N1028="","-",'ORDENES'!$N1028))</f>
        <v/>
      </c>
      <c r="N1050" s="3">
        <f>IF('ORDENES'!$A1028="","",'ORDENES'!$AD1028)</f>
        <v/>
      </c>
    </row>
    <row r="1051">
      <c r="A1051" s="3">
        <f>IF('ORDENES'!$A1029="","",IF('ORDENES'!$O1029="","-",'ORDENES'!$O1029))</f>
        <v/>
      </c>
      <c r="B1051" s="3">
        <f>IF('ORDENES'!$A1029="","",IF('ORDENES'!$R1029="","-",'ORDENES'!$R1029))</f>
        <v/>
      </c>
      <c r="C1051" s="3">
        <f>IF('ORDENES'!$A1029="","",IF('ORDENES'!$AF1029="","-",'ORDENES'!$AF1029))</f>
        <v/>
      </c>
      <c r="D1051" s="3">
        <f>IF('ORDENES'!$A1029="","",IF('ORDENES'!$X1029="","-",'ORDENES'!$X1029))</f>
        <v/>
      </c>
      <c r="E1051" s="3">
        <f>IF('ORDENES'!$A1029="","",IF('ORDENES'!$V1029="","-",'ORDENES'!$V1029))</f>
        <v/>
      </c>
      <c r="F1051" s="3">
        <f>IF('ORDENES'!$A1029="","",IF('ORDENES'!$Y1029="","-",'ORDENES'!$Y1029))</f>
        <v/>
      </c>
      <c r="G1051" s="3">
        <f>IF('ORDENES'!$A1029="","",IF('ORDENES'!$W1029="","-",'ORDENES'!$W1029))</f>
        <v/>
      </c>
      <c r="H1051" s="3">
        <f>IF('ORDENES'!$A1029="","",IF('ORDENES'!$AE1029="","-",'ORDENES'!$AE1029))</f>
        <v/>
      </c>
      <c r="I1051" s="3">
        <f>IF('ORDENES'!$A1029="","",IF('ORDENES'!$AQ1029="","-",'ORDENES'!$AQ1029))</f>
        <v/>
      </c>
      <c r="J1051" s="3">
        <f>IF('ORDENES'!$A1029="","",IF('ORDENES'!$D1029="","-",'ORDENES'!$D1029))</f>
        <v/>
      </c>
      <c r="K1051" s="3">
        <f>IF('ORDENES'!$A1029="","",IF('ORDENES'!$E1029="","-",'ORDENES'!$E1029))</f>
        <v/>
      </c>
      <c r="L1051" s="13">
        <f>IF('ORDENES'!$A1029="","",IF('ORDENES'!$M1029="",0,'ORDENES'!$M1029))</f>
        <v/>
      </c>
      <c r="M1051" s="3">
        <f>IF('ORDENES'!$A1029="","",IF('ORDENES'!$N1029="","-",'ORDENES'!$N1029))</f>
        <v/>
      </c>
      <c r="N1051" s="3">
        <f>IF('ORDENES'!$A1029="","",'ORDENES'!$AD1029)</f>
        <v/>
      </c>
    </row>
    <row r="1052">
      <c r="A1052" s="3">
        <f>IF('ORDENES'!$A1030="","",IF('ORDENES'!$O1030="","-",'ORDENES'!$O1030))</f>
        <v/>
      </c>
      <c r="B1052" s="3">
        <f>IF('ORDENES'!$A1030="","",IF('ORDENES'!$R1030="","-",'ORDENES'!$R1030))</f>
        <v/>
      </c>
      <c r="C1052" s="3">
        <f>IF('ORDENES'!$A1030="","",IF('ORDENES'!$AF1030="","-",'ORDENES'!$AF1030))</f>
        <v/>
      </c>
      <c r="D1052" s="3">
        <f>IF('ORDENES'!$A1030="","",IF('ORDENES'!$X1030="","-",'ORDENES'!$X1030))</f>
        <v/>
      </c>
      <c r="E1052" s="3">
        <f>IF('ORDENES'!$A1030="","",IF('ORDENES'!$V1030="","-",'ORDENES'!$V1030))</f>
        <v/>
      </c>
      <c r="F1052" s="3">
        <f>IF('ORDENES'!$A1030="","",IF('ORDENES'!$Y1030="","-",'ORDENES'!$Y1030))</f>
        <v/>
      </c>
      <c r="G1052" s="3">
        <f>IF('ORDENES'!$A1030="","",IF('ORDENES'!$W1030="","-",'ORDENES'!$W1030))</f>
        <v/>
      </c>
      <c r="H1052" s="3">
        <f>IF('ORDENES'!$A1030="","",IF('ORDENES'!$AE1030="","-",'ORDENES'!$AE1030))</f>
        <v/>
      </c>
      <c r="I1052" s="3">
        <f>IF('ORDENES'!$A1030="","",IF('ORDENES'!$AQ1030="","-",'ORDENES'!$AQ1030))</f>
        <v/>
      </c>
      <c r="J1052" s="3">
        <f>IF('ORDENES'!$A1030="","",IF('ORDENES'!$D1030="","-",'ORDENES'!$D1030))</f>
        <v/>
      </c>
      <c r="K1052" s="3">
        <f>IF('ORDENES'!$A1030="","",IF('ORDENES'!$E1030="","-",'ORDENES'!$E1030))</f>
        <v/>
      </c>
      <c r="L1052" s="13">
        <f>IF('ORDENES'!$A1030="","",IF('ORDENES'!$M1030="",0,'ORDENES'!$M1030))</f>
        <v/>
      </c>
      <c r="M1052" s="3">
        <f>IF('ORDENES'!$A1030="","",IF('ORDENES'!$N1030="","-",'ORDENES'!$N1030))</f>
        <v/>
      </c>
      <c r="N1052" s="3">
        <f>IF('ORDENES'!$A1030="","",'ORDENES'!$AD1030)</f>
        <v/>
      </c>
    </row>
    <row r="1053">
      <c r="A1053" s="3">
        <f>IF('ORDENES'!$A1031="","",IF('ORDENES'!$O1031="","-",'ORDENES'!$O1031))</f>
        <v/>
      </c>
      <c r="B1053" s="3">
        <f>IF('ORDENES'!$A1031="","",IF('ORDENES'!$R1031="","-",'ORDENES'!$R1031))</f>
        <v/>
      </c>
      <c r="C1053" s="3">
        <f>IF('ORDENES'!$A1031="","",IF('ORDENES'!$AF1031="","-",'ORDENES'!$AF1031))</f>
        <v/>
      </c>
      <c r="D1053" s="3">
        <f>IF('ORDENES'!$A1031="","",IF('ORDENES'!$X1031="","-",'ORDENES'!$X1031))</f>
        <v/>
      </c>
      <c r="E1053" s="3">
        <f>IF('ORDENES'!$A1031="","",IF('ORDENES'!$V1031="","-",'ORDENES'!$V1031))</f>
        <v/>
      </c>
      <c r="F1053" s="3">
        <f>IF('ORDENES'!$A1031="","",IF('ORDENES'!$Y1031="","-",'ORDENES'!$Y1031))</f>
        <v/>
      </c>
      <c r="G1053" s="3">
        <f>IF('ORDENES'!$A1031="","",IF('ORDENES'!$W1031="","-",'ORDENES'!$W1031))</f>
        <v/>
      </c>
      <c r="H1053" s="3">
        <f>IF('ORDENES'!$A1031="","",IF('ORDENES'!$AE1031="","-",'ORDENES'!$AE1031))</f>
        <v/>
      </c>
      <c r="I1053" s="3">
        <f>IF('ORDENES'!$A1031="","",IF('ORDENES'!$AQ1031="","-",'ORDENES'!$AQ1031))</f>
        <v/>
      </c>
      <c r="J1053" s="3">
        <f>IF('ORDENES'!$A1031="","",IF('ORDENES'!$D1031="","-",'ORDENES'!$D1031))</f>
        <v/>
      </c>
      <c r="K1053" s="3">
        <f>IF('ORDENES'!$A1031="","",IF('ORDENES'!$E1031="","-",'ORDENES'!$E1031))</f>
        <v/>
      </c>
      <c r="L1053" s="13">
        <f>IF('ORDENES'!$A1031="","",IF('ORDENES'!$M1031="",0,'ORDENES'!$M1031))</f>
        <v/>
      </c>
      <c r="M1053" s="3">
        <f>IF('ORDENES'!$A1031="","",IF('ORDENES'!$N1031="","-",'ORDENES'!$N1031))</f>
        <v/>
      </c>
      <c r="N1053" s="3">
        <f>IF('ORDENES'!$A1031="","",'ORDENES'!$AD1031)</f>
        <v/>
      </c>
    </row>
    <row r="1054">
      <c r="A1054" s="3">
        <f>IF('ORDENES'!$A1032="","",IF('ORDENES'!$O1032="","-",'ORDENES'!$O1032))</f>
        <v/>
      </c>
      <c r="B1054" s="3">
        <f>IF('ORDENES'!$A1032="","",IF('ORDENES'!$R1032="","-",'ORDENES'!$R1032))</f>
        <v/>
      </c>
      <c r="C1054" s="3">
        <f>IF('ORDENES'!$A1032="","",IF('ORDENES'!$AF1032="","-",'ORDENES'!$AF1032))</f>
        <v/>
      </c>
      <c r="D1054" s="3">
        <f>IF('ORDENES'!$A1032="","",IF('ORDENES'!$X1032="","-",'ORDENES'!$X1032))</f>
        <v/>
      </c>
      <c r="E1054" s="3">
        <f>IF('ORDENES'!$A1032="","",IF('ORDENES'!$V1032="","-",'ORDENES'!$V1032))</f>
        <v/>
      </c>
      <c r="F1054" s="3">
        <f>IF('ORDENES'!$A1032="","",IF('ORDENES'!$Y1032="","-",'ORDENES'!$Y1032))</f>
        <v/>
      </c>
      <c r="G1054" s="3">
        <f>IF('ORDENES'!$A1032="","",IF('ORDENES'!$W1032="","-",'ORDENES'!$W1032))</f>
        <v/>
      </c>
      <c r="H1054" s="3">
        <f>IF('ORDENES'!$A1032="","",IF('ORDENES'!$AE1032="","-",'ORDENES'!$AE1032))</f>
        <v/>
      </c>
      <c r="I1054" s="3">
        <f>IF('ORDENES'!$A1032="","",IF('ORDENES'!$AQ1032="","-",'ORDENES'!$AQ1032))</f>
        <v/>
      </c>
      <c r="J1054" s="3">
        <f>IF('ORDENES'!$A1032="","",IF('ORDENES'!$D1032="","-",'ORDENES'!$D1032))</f>
        <v/>
      </c>
      <c r="K1054" s="3">
        <f>IF('ORDENES'!$A1032="","",IF('ORDENES'!$E1032="","-",'ORDENES'!$E1032))</f>
        <v/>
      </c>
      <c r="L1054" s="13">
        <f>IF('ORDENES'!$A1032="","",IF('ORDENES'!$M1032="",0,'ORDENES'!$M1032))</f>
        <v/>
      </c>
      <c r="M1054" s="3">
        <f>IF('ORDENES'!$A1032="","",IF('ORDENES'!$N1032="","-",'ORDENES'!$N1032))</f>
        <v/>
      </c>
      <c r="N1054" s="3">
        <f>IF('ORDENES'!$A1032="","",'ORDENES'!$AD1032)</f>
        <v/>
      </c>
    </row>
    <row r="1055">
      <c r="A1055" s="3">
        <f>IF('ORDENES'!$A1033="","",IF('ORDENES'!$O1033="","-",'ORDENES'!$O1033))</f>
        <v/>
      </c>
      <c r="B1055" s="3">
        <f>IF('ORDENES'!$A1033="","",IF('ORDENES'!$R1033="","-",'ORDENES'!$R1033))</f>
        <v/>
      </c>
      <c r="C1055" s="3">
        <f>IF('ORDENES'!$A1033="","",IF('ORDENES'!$AF1033="","-",'ORDENES'!$AF1033))</f>
        <v/>
      </c>
      <c r="D1055" s="3">
        <f>IF('ORDENES'!$A1033="","",IF('ORDENES'!$X1033="","-",'ORDENES'!$X1033))</f>
        <v/>
      </c>
      <c r="E1055" s="3">
        <f>IF('ORDENES'!$A1033="","",IF('ORDENES'!$V1033="","-",'ORDENES'!$V1033))</f>
        <v/>
      </c>
      <c r="F1055" s="3">
        <f>IF('ORDENES'!$A1033="","",IF('ORDENES'!$Y1033="","-",'ORDENES'!$Y1033))</f>
        <v/>
      </c>
      <c r="G1055" s="3">
        <f>IF('ORDENES'!$A1033="","",IF('ORDENES'!$W1033="","-",'ORDENES'!$W1033))</f>
        <v/>
      </c>
      <c r="H1055" s="3">
        <f>IF('ORDENES'!$A1033="","",IF('ORDENES'!$AE1033="","-",'ORDENES'!$AE1033))</f>
        <v/>
      </c>
      <c r="I1055" s="3">
        <f>IF('ORDENES'!$A1033="","",IF('ORDENES'!$AQ1033="","-",'ORDENES'!$AQ1033))</f>
        <v/>
      </c>
      <c r="J1055" s="3">
        <f>IF('ORDENES'!$A1033="","",IF('ORDENES'!$D1033="","-",'ORDENES'!$D1033))</f>
        <v/>
      </c>
      <c r="K1055" s="3">
        <f>IF('ORDENES'!$A1033="","",IF('ORDENES'!$E1033="","-",'ORDENES'!$E1033))</f>
        <v/>
      </c>
      <c r="L1055" s="13">
        <f>IF('ORDENES'!$A1033="","",IF('ORDENES'!$M1033="",0,'ORDENES'!$M1033))</f>
        <v/>
      </c>
      <c r="M1055" s="3">
        <f>IF('ORDENES'!$A1033="","",IF('ORDENES'!$N1033="","-",'ORDENES'!$N1033))</f>
        <v/>
      </c>
      <c r="N1055" s="3">
        <f>IF('ORDENES'!$A1033="","",'ORDENES'!$AD1033)</f>
        <v/>
      </c>
    </row>
    <row r="1056">
      <c r="A1056" s="3">
        <f>IF('ORDENES'!$A1034="","",IF('ORDENES'!$O1034="","-",'ORDENES'!$O1034))</f>
        <v/>
      </c>
      <c r="B1056" s="3">
        <f>IF('ORDENES'!$A1034="","",IF('ORDENES'!$R1034="","-",'ORDENES'!$R1034))</f>
        <v/>
      </c>
      <c r="C1056" s="3">
        <f>IF('ORDENES'!$A1034="","",IF('ORDENES'!$AF1034="","-",'ORDENES'!$AF1034))</f>
        <v/>
      </c>
      <c r="D1056" s="3">
        <f>IF('ORDENES'!$A1034="","",IF('ORDENES'!$X1034="","-",'ORDENES'!$X1034))</f>
        <v/>
      </c>
      <c r="E1056" s="3">
        <f>IF('ORDENES'!$A1034="","",IF('ORDENES'!$V1034="","-",'ORDENES'!$V1034))</f>
        <v/>
      </c>
      <c r="F1056" s="3">
        <f>IF('ORDENES'!$A1034="","",IF('ORDENES'!$Y1034="","-",'ORDENES'!$Y1034))</f>
        <v/>
      </c>
      <c r="G1056" s="3">
        <f>IF('ORDENES'!$A1034="","",IF('ORDENES'!$W1034="","-",'ORDENES'!$W1034))</f>
        <v/>
      </c>
      <c r="H1056" s="3">
        <f>IF('ORDENES'!$A1034="","",IF('ORDENES'!$AE1034="","-",'ORDENES'!$AE1034))</f>
        <v/>
      </c>
      <c r="I1056" s="3">
        <f>IF('ORDENES'!$A1034="","",IF('ORDENES'!$AQ1034="","-",'ORDENES'!$AQ1034))</f>
        <v/>
      </c>
      <c r="J1056" s="3">
        <f>IF('ORDENES'!$A1034="","",IF('ORDENES'!$D1034="","-",'ORDENES'!$D1034))</f>
        <v/>
      </c>
      <c r="K1056" s="3">
        <f>IF('ORDENES'!$A1034="","",IF('ORDENES'!$E1034="","-",'ORDENES'!$E1034))</f>
        <v/>
      </c>
      <c r="L1056" s="13">
        <f>IF('ORDENES'!$A1034="","",IF('ORDENES'!$M1034="",0,'ORDENES'!$M1034))</f>
        <v/>
      </c>
      <c r="M1056" s="3">
        <f>IF('ORDENES'!$A1034="","",IF('ORDENES'!$N1034="","-",'ORDENES'!$N1034))</f>
        <v/>
      </c>
      <c r="N1056" s="3">
        <f>IF('ORDENES'!$A1034="","",'ORDENES'!$AD1034)</f>
        <v/>
      </c>
    </row>
    <row r="1057">
      <c r="A1057" s="3">
        <f>IF('ORDENES'!$A1035="","",IF('ORDENES'!$O1035="","-",'ORDENES'!$O1035))</f>
        <v/>
      </c>
      <c r="B1057" s="3">
        <f>IF('ORDENES'!$A1035="","",IF('ORDENES'!$R1035="","-",'ORDENES'!$R1035))</f>
        <v/>
      </c>
      <c r="C1057" s="3">
        <f>IF('ORDENES'!$A1035="","",IF('ORDENES'!$AF1035="","-",'ORDENES'!$AF1035))</f>
        <v/>
      </c>
      <c r="D1057" s="3">
        <f>IF('ORDENES'!$A1035="","",IF('ORDENES'!$X1035="","-",'ORDENES'!$X1035))</f>
        <v/>
      </c>
      <c r="E1057" s="3">
        <f>IF('ORDENES'!$A1035="","",IF('ORDENES'!$V1035="","-",'ORDENES'!$V1035))</f>
        <v/>
      </c>
      <c r="F1057" s="3">
        <f>IF('ORDENES'!$A1035="","",IF('ORDENES'!$Y1035="","-",'ORDENES'!$Y1035))</f>
        <v/>
      </c>
      <c r="G1057" s="3">
        <f>IF('ORDENES'!$A1035="","",IF('ORDENES'!$W1035="","-",'ORDENES'!$W1035))</f>
        <v/>
      </c>
      <c r="H1057" s="3">
        <f>IF('ORDENES'!$A1035="","",IF('ORDENES'!$AE1035="","-",'ORDENES'!$AE1035))</f>
        <v/>
      </c>
      <c r="I1057" s="3">
        <f>IF('ORDENES'!$A1035="","",IF('ORDENES'!$AQ1035="","-",'ORDENES'!$AQ1035))</f>
        <v/>
      </c>
      <c r="J1057" s="3">
        <f>IF('ORDENES'!$A1035="","",IF('ORDENES'!$D1035="","-",'ORDENES'!$D1035))</f>
        <v/>
      </c>
      <c r="K1057" s="3">
        <f>IF('ORDENES'!$A1035="","",IF('ORDENES'!$E1035="","-",'ORDENES'!$E1035))</f>
        <v/>
      </c>
      <c r="L1057" s="13">
        <f>IF('ORDENES'!$A1035="","",IF('ORDENES'!$M1035="",0,'ORDENES'!$M1035))</f>
        <v/>
      </c>
      <c r="M1057" s="3">
        <f>IF('ORDENES'!$A1035="","",IF('ORDENES'!$N1035="","-",'ORDENES'!$N1035))</f>
        <v/>
      </c>
      <c r="N1057" s="3">
        <f>IF('ORDENES'!$A1035="","",'ORDENES'!$AD1035)</f>
        <v/>
      </c>
    </row>
    <row r="1058">
      <c r="A1058" s="3">
        <f>IF('ORDENES'!$A1036="","",IF('ORDENES'!$O1036="","-",'ORDENES'!$O1036))</f>
        <v/>
      </c>
      <c r="B1058" s="3">
        <f>IF('ORDENES'!$A1036="","",IF('ORDENES'!$R1036="","-",'ORDENES'!$R1036))</f>
        <v/>
      </c>
      <c r="C1058" s="3">
        <f>IF('ORDENES'!$A1036="","",IF('ORDENES'!$AF1036="","-",'ORDENES'!$AF1036))</f>
        <v/>
      </c>
      <c r="D1058" s="3">
        <f>IF('ORDENES'!$A1036="","",IF('ORDENES'!$X1036="","-",'ORDENES'!$X1036))</f>
        <v/>
      </c>
      <c r="E1058" s="3">
        <f>IF('ORDENES'!$A1036="","",IF('ORDENES'!$V1036="","-",'ORDENES'!$V1036))</f>
        <v/>
      </c>
      <c r="F1058" s="3">
        <f>IF('ORDENES'!$A1036="","",IF('ORDENES'!$Y1036="","-",'ORDENES'!$Y1036))</f>
        <v/>
      </c>
      <c r="G1058" s="3">
        <f>IF('ORDENES'!$A1036="","",IF('ORDENES'!$W1036="","-",'ORDENES'!$W1036))</f>
        <v/>
      </c>
      <c r="H1058" s="3">
        <f>IF('ORDENES'!$A1036="","",IF('ORDENES'!$AE1036="","-",'ORDENES'!$AE1036))</f>
        <v/>
      </c>
      <c r="I1058" s="3">
        <f>IF('ORDENES'!$A1036="","",IF('ORDENES'!$AQ1036="","-",'ORDENES'!$AQ1036))</f>
        <v/>
      </c>
      <c r="J1058" s="3">
        <f>IF('ORDENES'!$A1036="","",IF('ORDENES'!$D1036="","-",'ORDENES'!$D1036))</f>
        <v/>
      </c>
      <c r="K1058" s="3">
        <f>IF('ORDENES'!$A1036="","",IF('ORDENES'!$E1036="","-",'ORDENES'!$E1036))</f>
        <v/>
      </c>
      <c r="L1058" s="13">
        <f>IF('ORDENES'!$A1036="","",IF('ORDENES'!$M1036="",0,'ORDENES'!$M1036))</f>
        <v/>
      </c>
      <c r="M1058" s="3">
        <f>IF('ORDENES'!$A1036="","",IF('ORDENES'!$N1036="","-",'ORDENES'!$N1036))</f>
        <v/>
      </c>
      <c r="N1058" s="3">
        <f>IF('ORDENES'!$A1036="","",'ORDENES'!$AD1036)</f>
        <v/>
      </c>
    </row>
    <row r="1059">
      <c r="A1059" s="3">
        <f>IF('ORDENES'!$A1037="","",IF('ORDENES'!$O1037="","-",'ORDENES'!$O1037))</f>
        <v/>
      </c>
      <c r="B1059" s="3">
        <f>IF('ORDENES'!$A1037="","",IF('ORDENES'!$R1037="","-",'ORDENES'!$R1037))</f>
        <v/>
      </c>
      <c r="C1059" s="3">
        <f>IF('ORDENES'!$A1037="","",IF('ORDENES'!$AF1037="","-",'ORDENES'!$AF1037))</f>
        <v/>
      </c>
      <c r="D1059" s="3">
        <f>IF('ORDENES'!$A1037="","",IF('ORDENES'!$X1037="","-",'ORDENES'!$X1037))</f>
        <v/>
      </c>
      <c r="E1059" s="3">
        <f>IF('ORDENES'!$A1037="","",IF('ORDENES'!$V1037="","-",'ORDENES'!$V1037))</f>
        <v/>
      </c>
      <c r="F1059" s="3">
        <f>IF('ORDENES'!$A1037="","",IF('ORDENES'!$Y1037="","-",'ORDENES'!$Y1037))</f>
        <v/>
      </c>
      <c r="G1059" s="3">
        <f>IF('ORDENES'!$A1037="","",IF('ORDENES'!$W1037="","-",'ORDENES'!$W1037))</f>
        <v/>
      </c>
      <c r="H1059" s="3">
        <f>IF('ORDENES'!$A1037="","",IF('ORDENES'!$AE1037="","-",'ORDENES'!$AE1037))</f>
        <v/>
      </c>
      <c r="I1059" s="3">
        <f>IF('ORDENES'!$A1037="","",IF('ORDENES'!$AQ1037="","-",'ORDENES'!$AQ1037))</f>
        <v/>
      </c>
      <c r="J1059" s="3">
        <f>IF('ORDENES'!$A1037="","",IF('ORDENES'!$D1037="","-",'ORDENES'!$D1037))</f>
        <v/>
      </c>
      <c r="K1059" s="3">
        <f>IF('ORDENES'!$A1037="","",IF('ORDENES'!$E1037="","-",'ORDENES'!$E1037))</f>
        <v/>
      </c>
      <c r="L1059" s="13">
        <f>IF('ORDENES'!$A1037="","",IF('ORDENES'!$M1037="",0,'ORDENES'!$M1037))</f>
        <v/>
      </c>
      <c r="M1059" s="3">
        <f>IF('ORDENES'!$A1037="","",IF('ORDENES'!$N1037="","-",'ORDENES'!$N1037))</f>
        <v/>
      </c>
      <c r="N1059" s="3">
        <f>IF('ORDENES'!$A1037="","",'ORDENES'!$AD1037)</f>
        <v/>
      </c>
    </row>
    <row r="1060">
      <c r="A1060" s="3">
        <f>IF('ORDENES'!$A1038="","",IF('ORDENES'!$O1038="","-",'ORDENES'!$O1038))</f>
        <v/>
      </c>
      <c r="B1060" s="3">
        <f>IF('ORDENES'!$A1038="","",IF('ORDENES'!$R1038="","-",'ORDENES'!$R1038))</f>
        <v/>
      </c>
      <c r="C1060" s="3">
        <f>IF('ORDENES'!$A1038="","",IF('ORDENES'!$AF1038="","-",'ORDENES'!$AF1038))</f>
        <v/>
      </c>
      <c r="D1060" s="3">
        <f>IF('ORDENES'!$A1038="","",IF('ORDENES'!$X1038="","-",'ORDENES'!$X1038))</f>
        <v/>
      </c>
      <c r="E1060" s="3">
        <f>IF('ORDENES'!$A1038="","",IF('ORDENES'!$V1038="","-",'ORDENES'!$V1038))</f>
        <v/>
      </c>
      <c r="F1060" s="3">
        <f>IF('ORDENES'!$A1038="","",IF('ORDENES'!$Y1038="","-",'ORDENES'!$Y1038))</f>
        <v/>
      </c>
      <c r="G1060" s="3">
        <f>IF('ORDENES'!$A1038="","",IF('ORDENES'!$W1038="","-",'ORDENES'!$W1038))</f>
        <v/>
      </c>
      <c r="H1060" s="3">
        <f>IF('ORDENES'!$A1038="","",IF('ORDENES'!$AE1038="","-",'ORDENES'!$AE1038))</f>
        <v/>
      </c>
      <c r="I1060" s="3">
        <f>IF('ORDENES'!$A1038="","",IF('ORDENES'!$AQ1038="","-",'ORDENES'!$AQ1038))</f>
        <v/>
      </c>
      <c r="J1060" s="3">
        <f>IF('ORDENES'!$A1038="","",IF('ORDENES'!$D1038="","-",'ORDENES'!$D1038))</f>
        <v/>
      </c>
      <c r="K1060" s="3">
        <f>IF('ORDENES'!$A1038="","",IF('ORDENES'!$E1038="","-",'ORDENES'!$E1038))</f>
        <v/>
      </c>
      <c r="L1060" s="13">
        <f>IF('ORDENES'!$A1038="","",IF('ORDENES'!$M1038="",0,'ORDENES'!$M1038))</f>
        <v/>
      </c>
      <c r="M1060" s="3">
        <f>IF('ORDENES'!$A1038="","",IF('ORDENES'!$N1038="","-",'ORDENES'!$N1038))</f>
        <v/>
      </c>
      <c r="N1060" s="3">
        <f>IF('ORDENES'!$A1038="","",'ORDENES'!$AD1038)</f>
        <v/>
      </c>
    </row>
    <row r="1061">
      <c r="A1061" s="3">
        <f>IF('ORDENES'!$A1039="","",IF('ORDENES'!$O1039="","-",'ORDENES'!$O1039))</f>
        <v/>
      </c>
      <c r="B1061" s="3">
        <f>IF('ORDENES'!$A1039="","",IF('ORDENES'!$R1039="","-",'ORDENES'!$R1039))</f>
        <v/>
      </c>
      <c r="C1061" s="3">
        <f>IF('ORDENES'!$A1039="","",IF('ORDENES'!$AF1039="","-",'ORDENES'!$AF1039))</f>
        <v/>
      </c>
      <c r="D1061" s="3">
        <f>IF('ORDENES'!$A1039="","",IF('ORDENES'!$X1039="","-",'ORDENES'!$X1039))</f>
        <v/>
      </c>
      <c r="E1061" s="3">
        <f>IF('ORDENES'!$A1039="","",IF('ORDENES'!$V1039="","-",'ORDENES'!$V1039))</f>
        <v/>
      </c>
      <c r="F1061" s="3">
        <f>IF('ORDENES'!$A1039="","",IF('ORDENES'!$Y1039="","-",'ORDENES'!$Y1039))</f>
        <v/>
      </c>
      <c r="G1061" s="3">
        <f>IF('ORDENES'!$A1039="","",IF('ORDENES'!$W1039="","-",'ORDENES'!$W1039))</f>
        <v/>
      </c>
      <c r="H1061" s="3">
        <f>IF('ORDENES'!$A1039="","",IF('ORDENES'!$AE1039="","-",'ORDENES'!$AE1039))</f>
        <v/>
      </c>
      <c r="I1061" s="3">
        <f>IF('ORDENES'!$A1039="","",IF('ORDENES'!$AQ1039="","-",'ORDENES'!$AQ1039))</f>
        <v/>
      </c>
      <c r="J1061" s="3">
        <f>IF('ORDENES'!$A1039="","",IF('ORDENES'!$D1039="","-",'ORDENES'!$D1039))</f>
        <v/>
      </c>
      <c r="K1061" s="3">
        <f>IF('ORDENES'!$A1039="","",IF('ORDENES'!$E1039="","-",'ORDENES'!$E1039))</f>
        <v/>
      </c>
      <c r="L1061" s="13">
        <f>IF('ORDENES'!$A1039="","",IF('ORDENES'!$M1039="",0,'ORDENES'!$M1039))</f>
        <v/>
      </c>
      <c r="M1061" s="3">
        <f>IF('ORDENES'!$A1039="","",IF('ORDENES'!$N1039="","-",'ORDENES'!$N1039))</f>
        <v/>
      </c>
      <c r="N1061" s="3">
        <f>IF('ORDENES'!$A1039="","",'ORDENES'!$AD1039)</f>
        <v/>
      </c>
    </row>
    <row r="1062">
      <c r="A1062" s="3">
        <f>IF('ORDENES'!$A1040="","",IF('ORDENES'!$O1040="","-",'ORDENES'!$O1040))</f>
        <v/>
      </c>
      <c r="B1062" s="3">
        <f>IF('ORDENES'!$A1040="","",IF('ORDENES'!$R1040="","-",'ORDENES'!$R1040))</f>
        <v/>
      </c>
      <c r="C1062" s="3">
        <f>IF('ORDENES'!$A1040="","",IF('ORDENES'!$AF1040="","-",'ORDENES'!$AF1040))</f>
        <v/>
      </c>
      <c r="D1062" s="3">
        <f>IF('ORDENES'!$A1040="","",IF('ORDENES'!$X1040="","-",'ORDENES'!$X1040))</f>
        <v/>
      </c>
      <c r="E1062" s="3">
        <f>IF('ORDENES'!$A1040="","",IF('ORDENES'!$V1040="","-",'ORDENES'!$V1040))</f>
        <v/>
      </c>
      <c r="F1062" s="3">
        <f>IF('ORDENES'!$A1040="","",IF('ORDENES'!$Y1040="","-",'ORDENES'!$Y1040))</f>
        <v/>
      </c>
      <c r="G1062" s="3">
        <f>IF('ORDENES'!$A1040="","",IF('ORDENES'!$W1040="","-",'ORDENES'!$W1040))</f>
        <v/>
      </c>
      <c r="H1062" s="3">
        <f>IF('ORDENES'!$A1040="","",IF('ORDENES'!$AE1040="","-",'ORDENES'!$AE1040))</f>
        <v/>
      </c>
      <c r="I1062" s="3">
        <f>IF('ORDENES'!$A1040="","",IF('ORDENES'!$AQ1040="","-",'ORDENES'!$AQ1040))</f>
        <v/>
      </c>
      <c r="J1062" s="3">
        <f>IF('ORDENES'!$A1040="","",IF('ORDENES'!$D1040="","-",'ORDENES'!$D1040))</f>
        <v/>
      </c>
      <c r="K1062" s="3">
        <f>IF('ORDENES'!$A1040="","",IF('ORDENES'!$E1040="","-",'ORDENES'!$E1040))</f>
        <v/>
      </c>
      <c r="L1062" s="13">
        <f>IF('ORDENES'!$A1040="","",IF('ORDENES'!$M1040="",0,'ORDENES'!$M1040))</f>
        <v/>
      </c>
      <c r="M1062" s="3">
        <f>IF('ORDENES'!$A1040="","",IF('ORDENES'!$N1040="","-",'ORDENES'!$N1040))</f>
        <v/>
      </c>
      <c r="N1062" s="3">
        <f>IF('ORDENES'!$A1040="","",'ORDENES'!$AD1040)</f>
        <v/>
      </c>
    </row>
    <row r="1063">
      <c r="A1063" s="3">
        <f>IF('ORDENES'!$A1041="","",IF('ORDENES'!$O1041="","-",'ORDENES'!$O1041))</f>
        <v/>
      </c>
      <c r="B1063" s="3">
        <f>IF('ORDENES'!$A1041="","",IF('ORDENES'!$R1041="","-",'ORDENES'!$R1041))</f>
        <v/>
      </c>
      <c r="C1063" s="3">
        <f>IF('ORDENES'!$A1041="","",IF('ORDENES'!$AF1041="","-",'ORDENES'!$AF1041))</f>
        <v/>
      </c>
      <c r="D1063" s="3">
        <f>IF('ORDENES'!$A1041="","",IF('ORDENES'!$X1041="","-",'ORDENES'!$X1041))</f>
        <v/>
      </c>
      <c r="E1063" s="3">
        <f>IF('ORDENES'!$A1041="","",IF('ORDENES'!$V1041="","-",'ORDENES'!$V1041))</f>
        <v/>
      </c>
      <c r="F1063" s="3">
        <f>IF('ORDENES'!$A1041="","",IF('ORDENES'!$Y1041="","-",'ORDENES'!$Y1041))</f>
        <v/>
      </c>
      <c r="G1063" s="3">
        <f>IF('ORDENES'!$A1041="","",IF('ORDENES'!$W1041="","-",'ORDENES'!$W1041))</f>
        <v/>
      </c>
      <c r="H1063" s="3">
        <f>IF('ORDENES'!$A1041="","",IF('ORDENES'!$AE1041="","-",'ORDENES'!$AE1041))</f>
        <v/>
      </c>
      <c r="I1063" s="3">
        <f>IF('ORDENES'!$A1041="","",IF('ORDENES'!$AQ1041="","-",'ORDENES'!$AQ1041))</f>
        <v/>
      </c>
      <c r="J1063" s="3">
        <f>IF('ORDENES'!$A1041="","",IF('ORDENES'!$D1041="","-",'ORDENES'!$D1041))</f>
        <v/>
      </c>
      <c r="K1063" s="3">
        <f>IF('ORDENES'!$A1041="","",IF('ORDENES'!$E1041="","-",'ORDENES'!$E1041))</f>
        <v/>
      </c>
      <c r="L1063" s="13">
        <f>IF('ORDENES'!$A1041="","",IF('ORDENES'!$M1041="",0,'ORDENES'!$M1041))</f>
        <v/>
      </c>
      <c r="M1063" s="3">
        <f>IF('ORDENES'!$A1041="","",IF('ORDENES'!$N1041="","-",'ORDENES'!$N1041))</f>
        <v/>
      </c>
      <c r="N1063" s="3">
        <f>IF('ORDENES'!$A1041="","",'ORDENES'!$AD1041)</f>
        <v/>
      </c>
    </row>
    <row r="1064">
      <c r="A1064" s="3">
        <f>IF('ORDENES'!$A1042="","",IF('ORDENES'!$O1042="","-",'ORDENES'!$O1042))</f>
        <v/>
      </c>
      <c r="B1064" s="3">
        <f>IF('ORDENES'!$A1042="","",IF('ORDENES'!$R1042="","-",'ORDENES'!$R1042))</f>
        <v/>
      </c>
      <c r="C1064" s="3">
        <f>IF('ORDENES'!$A1042="","",IF('ORDENES'!$AF1042="","-",'ORDENES'!$AF1042))</f>
        <v/>
      </c>
      <c r="D1064" s="3">
        <f>IF('ORDENES'!$A1042="","",IF('ORDENES'!$X1042="","-",'ORDENES'!$X1042))</f>
        <v/>
      </c>
      <c r="E1064" s="3">
        <f>IF('ORDENES'!$A1042="","",IF('ORDENES'!$V1042="","-",'ORDENES'!$V1042))</f>
        <v/>
      </c>
      <c r="F1064" s="3">
        <f>IF('ORDENES'!$A1042="","",IF('ORDENES'!$Y1042="","-",'ORDENES'!$Y1042))</f>
        <v/>
      </c>
      <c r="G1064" s="3">
        <f>IF('ORDENES'!$A1042="","",IF('ORDENES'!$W1042="","-",'ORDENES'!$W1042))</f>
        <v/>
      </c>
      <c r="H1064" s="3">
        <f>IF('ORDENES'!$A1042="","",IF('ORDENES'!$AE1042="","-",'ORDENES'!$AE1042))</f>
        <v/>
      </c>
      <c r="I1064" s="3">
        <f>IF('ORDENES'!$A1042="","",IF('ORDENES'!$AQ1042="","-",'ORDENES'!$AQ1042))</f>
        <v/>
      </c>
      <c r="J1064" s="3">
        <f>IF('ORDENES'!$A1042="","",IF('ORDENES'!$D1042="","-",'ORDENES'!$D1042))</f>
        <v/>
      </c>
      <c r="K1064" s="3">
        <f>IF('ORDENES'!$A1042="","",IF('ORDENES'!$E1042="","-",'ORDENES'!$E1042))</f>
        <v/>
      </c>
      <c r="L1064" s="13">
        <f>IF('ORDENES'!$A1042="","",IF('ORDENES'!$M1042="",0,'ORDENES'!$M1042))</f>
        <v/>
      </c>
      <c r="M1064" s="3">
        <f>IF('ORDENES'!$A1042="","",IF('ORDENES'!$N1042="","-",'ORDENES'!$N1042))</f>
        <v/>
      </c>
      <c r="N1064" s="3">
        <f>IF('ORDENES'!$A1042="","",'ORDENES'!$AD1042)</f>
        <v/>
      </c>
    </row>
    <row r="1065">
      <c r="A1065" s="3">
        <f>IF('ORDENES'!$A1043="","",IF('ORDENES'!$O1043="","-",'ORDENES'!$O1043))</f>
        <v/>
      </c>
      <c r="B1065" s="3">
        <f>IF('ORDENES'!$A1043="","",IF('ORDENES'!$R1043="","-",'ORDENES'!$R1043))</f>
        <v/>
      </c>
      <c r="C1065" s="3">
        <f>IF('ORDENES'!$A1043="","",IF('ORDENES'!$AF1043="","-",'ORDENES'!$AF1043))</f>
        <v/>
      </c>
      <c r="D1065" s="3">
        <f>IF('ORDENES'!$A1043="","",IF('ORDENES'!$X1043="","-",'ORDENES'!$X1043))</f>
        <v/>
      </c>
      <c r="E1065" s="3">
        <f>IF('ORDENES'!$A1043="","",IF('ORDENES'!$V1043="","-",'ORDENES'!$V1043))</f>
        <v/>
      </c>
      <c r="F1065" s="3">
        <f>IF('ORDENES'!$A1043="","",IF('ORDENES'!$Y1043="","-",'ORDENES'!$Y1043))</f>
        <v/>
      </c>
      <c r="G1065" s="3">
        <f>IF('ORDENES'!$A1043="","",IF('ORDENES'!$W1043="","-",'ORDENES'!$W1043))</f>
        <v/>
      </c>
      <c r="H1065" s="3">
        <f>IF('ORDENES'!$A1043="","",IF('ORDENES'!$AE1043="","-",'ORDENES'!$AE1043))</f>
        <v/>
      </c>
      <c r="I1065" s="3">
        <f>IF('ORDENES'!$A1043="","",IF('ORDENES'!$AQ1043="","-",'ORDENES'!$AQ1043))</f>
        <v/>
      </c>
      <c r="J1065" s="3">
        <f>IF('ORDENES'!$A1043="","",IF('ORDENES'!$D1043="","-",'ORDENES'!$D1043))</f>
        <v/>
      </c>
      <c r="K1065" s="3">
        <f>IF('ORDENES'!$A1043="","",IF('ORDENES'!$E1043="","-",'ORDENES'!$E1043))</f>
        <v/>
      </c>
      <c r="L1065" s="13">
        <f>IF('ORDENES'!$A1043="","",IF('ORDENES'!$M1043="",0,'ORDENES'!$M1043))</f>
        <v/>
      </c>
      <c r="M1065" s="3">
        <f>IF('ORDENES'!$A1043="","",IF('ORDENES'!$N1043="","-",'ORDENES'!$N1043))</f>
        <v/>
      </c>
      <c r="N1065" s="3">
        <f>IF('ORDENES'!$A1043="","",'ORDENES'!$AD1043)</f>
        <v/>
      </c>
    </row>
    <row r="1066">
      <c r="A1066" s="3">
        <f>IF('ORDENES'!$A1044="","",IF('ORDENES'!$O1044="","-",'ORDENES'!$O1044))</f>
        <v/>
      </c>
      <c r="B1066" s="3">
        <f>IF('ORDENES'!$A1044="","",IF('ORDENES'!$R1044="","-",'ORDENES'!$R1044))</f>
        <v/>
      </c>
      <c r="C1066" s="3">
        <f>IF('ORDENES'!$A1044="","",IF('ORDENES'!$AF1044="","-",'ORDENES'!$AF1044))</f>
        <v/>
      </c>
      <c r="D1066" s="3">
        <f>IF('ORDENES'!$A1044="","",IF('ORDENES'!$X1044="","-",'ORDENES'!$X1044))</f>
        <v/>
      </c>
      <c r="E1066" s="3">
        <f>IF('ORDENES'!$A1044="","",IF('ORDENES'!$V1044="","-",'ORDENES'!$V1044))</f>
        <v/>
      </c>
      <c r="F1066" s="3">
        <f>IF('ORDENES'!$A1044="","",IF('ORDENES'!$Y1044="","-",'ORDENES'!$Y1044))</f>
        <v/>
      </c>
      <c r="G1066" s="3">
        <f>IF('ORDENES'!$A1044="","",IF('ORDENES'!$W1044="","-",'ORDENES'!$W1044))</f>
        <v/>
      </c>
      <c r="H1066" s="3">
        <f>IF('ORDENES'!$A1044="","",IF('ORDENES'!$AE1044="","-",'ORDENES'!$AE1044))</f>
        <v/>
      </c>
      <c r="I1066" s="3">
        <f>IF('ORDENES'!$A1044="","",IF('ORDENES'!$AQ1044="","-",'ORDENES'!$AQ1044))</f>
        <v/>
      </c>
      <c r="J1066" s="3">
        <f>IF('ORDENES'!$A1044="","",IF('ORDENES'!$D1044="","-",'ORDENES'!$D1044))</f>
        <v/>
      </c>
      <c r="K1066" s="3">
        <f>IF('ORDENES'!$A1044="","",IF('ORDENES'!$E1044="","-",'ORDENES'!$E1044))</f>
        <v/>
      </c>
      <c r="L1066" s="13">
        <f>IF('ORDENES'!$A1044="","",IF('ORDENES'!$M1044="",0,'ORDENES'!$M1044))</f>
        <v/>
      </c>
      <c r="M1066" s="3">
        <f>IF('ORDENES'!$A1044="","",IF('ORDENES'!$N1044="","-",'ORDENES'!$N1044))</f>
        <v/>
      </c>
      <c r="N1066" s="3">
        <f>IF('ORDENES'!$A1044="","",'ORDENES'!$AD1044)</f>
        <v/>
      </c>
    </row>
    <row r="1067">
      <c r="A1067" s="3">
        <f>IF('ORDENES'!$A1045="","",IF('ORDENES'!$O1045="","-",'ORDENES'!$O1045))</f>
        <v/>
      </c>
      <c r="B1067" s="3">
        <f>IF('ORDENES'!$A1045="","",IF('ORDENES'!$R1045="","-",'ORDENES'!$R1045))</f>
        <v/>
      </c>
      <c r="C1067" s="3">
        <f>IF('ORDENES'!$A1045="","",IF('ORDENES'!$AF1045="","-",'ORDENES'!$AF1045))</f>
        <v/>
      </c>
      <c r="D1067" s="3">
        <f>IF('ORDENES'!$A1045="","",IF('ORDENES'!$X1045="","-",'ORDENES'!$X1045))</f>
        <v/>
      </c>
      <c r="E1067" s="3">
        <f>IF('ORDENES'!$A1045="","",IF('ORDENES'!$V1045="","-",'ORDENES'!$V1045))</f>
        <v/>
      </c>
      <c r="F1067" s="3">
        <f>IF('ORDENES'!$A1045="","",IF('ORDENES'!$Y1045="","-",'ORDENES'!$Y1045))</f>
        <v/>
      </c>
      <c r="G1067" s="3">
        <f>IF('ORDENES'!$A1045="","",IF('ORDENES'!$W1045="","-",'ORDENES'!$W1045))</f>
        <v/>
      </c>
      <c r="H1067" s="3">
        <f>IF('ORDENES'!$A1045="","",IF('ORDENES'!$AE1045="","-",'ORDENES'!$AE1045))</f>
        <v/>
      </c>
      <c r="I1067" s="3">
        <f>IF('ORDENES'!$A1045="","",IF('ORDENES'!$AQ1045="","-",'ORDENES'!$AQ1045))</f>
        <v/>
      </c>
      <c r="J1067" s="3">
        <f>IF('ORDENES'!$A1045="","",IF('ORDENES'!$D1045="","-",'ORDENES'!$D1045))</f>
        <v/>
      </c>
      <c r="K1067" s="3">
        <f>IF('ORDENES'!$A1045="","",IF('ORDENES'!$E1045="","-",'ORDENES'!$E1045))</f>
        <v/>
      </c>
      <c r="L1067" s="13">
        <f>IF('ORDENES'!$A1045="","",IF('ORDENES'!$M1045="",0,'ORDENES'!$M1045))</f>
        <v/>
      </c>
      <c r="M1067" s="3">
        <f>IF('ORDENES'!$A1045="","",IF('ORDENES'!$N1045="","-",'ORDENES'!$N1045))</f>
        <v/>
      </c>
      <c r="N1067" s="3">
        <f>IF('ORDENES'!$A1045="","",'ORDENES'!$AD1045)</f>
        <v/>
      </c>
    </row>
    <row r="1068">
      <c r="A1068" s="3">
        <f>IF('ORDENES'!$A1046="","",IF('ORDENES'!$O1046="","-",'ORDENES'!$O1046))</f>
        <v/>
      </c>
      <c r="B1068" s="3">
        <f>IF('ORDENES'!$A1046="","",IF('ORDENES'!$R1046="","-",'ORDENES'!$R1046))</f>
        <v/>
      </c>
      <c r="C1068" s="3">
        <f>IF('ORDENES'!$A1046="","",IF('ORDENES'!$AF1046="","-",'ORDENES'!$AF1046))</f>
        <v/>
      </c>
      <c r="D1068" s="3">
        <f>IF('ORDENES'!$A1046="","",IF('ORDENES'!$X1046="","-",'ORDENES'!$X1046))</f>
        <v/>
      </c>
      <c r="E1068" s="3">
        <f>IF('ORDENES'!$A1046="","",IF('ORDENES'!$V1046="","-",'ORDENES'!$V1046))</f>
        <v/>
      </c>
      <c r="F1068" s="3">
        <f>IF('ORDENES'!$A1046="","",IF('ORDENES'!$Y1046="","-",'ORDENES'!$Y1046))</f>
        <v/>
      </c>
      <c r="G1068" s="3">
        <f>IF('ORDENES'!$A1046="","",IF('ORDENES'!$W1046="","-",'ORDENES'!$W1046))</f>
        <v/>
      </c>
      <c r="H1068" s="3">
        <f>IF('ORDENES'!$A1046="","",IF('ORDENES'!$AE1046="","-",'ORDENES'!$AE1046))</f>
        <v/>
      </c>
      <c r="I1068" s="3">
        <f>IF('ORDENES'!$A1046="","",IF('ORDENES'!$AQ1046="","-",'ORDENES'!$AQ1046))</f>
        <v/>
      </c>
      <c r="J1068" s="3">
        <f>IF('ORDENES'!$A1046="","",IF('ORDENES'!$D1046="","-",'ORDENES'!$D1046))</f>
        <v/>
      </c>
      <c r="K1068" s="3">
        <f>IF('ORDENES'!$A1046="","",IF('ORDENES'!$E1046="","-",'ORDENES'!$E1046))</f>
        <v/>
      </c>
      <c r="L1068" s="13">
        <f>IF('ORDENES'!$A1046="","",IF('ORDENES'!$M1046="",0,'ORDENES'!$M1046))</f>
        <v/>
      </c>
      <c r="M1068" s="3">
        <f>IF('ORDENES'!$A1046="","",IF('ORDENES'!$N1046="","-",'ORDENES'!$N1046))</f>
        <v/>
      </c>
      <c r="N1068" s="3">
        <f>IF('ORDENES'!$A1046="","",'ORDENES'!$AD1046)</f>
        <v/>
      </c>
    </row>
    <row r="1069">
      <c r="A1069" s="3">
        <f>IF('ORDENES'!$A1047="","",IF('ORDENES'!$O1047="","-",'ORDENES'!$O1047))</f>
        <v/>
      </c>
      <c r="B1069" s="3">
        <f>IF('ORDENES'!$A1047="","",IF('ORDENES'!$R1047="","-",'ORDENES'!$R1047))</f>
        <v/>
      </c>
      <c r="C1069" s="3">
        <f>IF('ORDENES'!$A1047="","",IF('ORDENES'!$AF1047="","-",'ORDENES'!$AF1047))</f>
        <v/>
      </c>
      <c r="D1069" s="3">
        <f>IF('ORDENES'!$A1047="","",IF('ORDENES'!$X1047="","-",'ORDENES'!$X1047))</f>
        <v/>
      </c>
      <c r="E1069" s="3">
        <f>IF('ORDENES'!$A1047="","",IF('ORDENES'!$V1047="","-",'ORDENES'!$V1047))</f>
        <v/>
      </c>
      <c r="F1069" s="3">
        <f>IF('ORDENES'!$A1047="","",IF('ORDENES'!$Y1047="","-",'ORDENES'!$Y1047))</f>
        <v/>
      </c>
      <c r="G1069" s="3">
        <f>IF('ORDENES'!$A1047="","",IF('ORDENES'!$W1047="","-",'ORDENES'!$W1047))</f>
        <v/>
      </c>
      <c r="H1069" s="3">
        <f>IF('ORDENES'!$A1047="","",IF('ORDENES'!$AE1047="","-",'ORDENES'!$AE1047))</f>
        <v/>
      </c>
      <c r="I1069" s="3">
        <f>IF('ORDENES'!$A1047="","",IF('ORDENES'!$AQ1047="","-",'ORDENES'!$AQ1047))</f>
        <v/>
      </c>
      <c r="J1069" s="3">
        <f>IF('ORDENES'!$A1047="","",IF('ORDENES'!$D1047="","-",'ORDENES'!$D1047))</f>
        <v/>
      </c>
      <c r="K1069" s="3">
        <f>IF('ORDENES'!$A1047="","",IF('ORDENES'!$E1047="","-",'ORDENES'!$E1047))</f>
        <v/>
      </c>
      <c r="L1069" s="13">
        <f>IF('ORDENES'!$A1047="","",IF('ORDENES'!$M1047="",0,'ORDENES'!$M1047))</f>
        <v/>
      </c>
      <c r="M1069" s="3">
        <f>IF('ORDENES'!$A1047="","",IF('ORDENES'!$N1047="","-",'ORDENES'!$N1047))</f>
        <v/>
      </c>
      <c r="N1069" s="3">
        <f>IF('ORDENES'!$A1047="","",'ORDENES'!$AD1047)</f>
        <v/>
      </c>
    </row>
    <row r="1070">
      <c r="A1070" s="3">
        <f>IF('ORDENES'!$A1048="","",IF('ORDENES'!$O1048="","-",'ORDENES'!$O1048))</f>
        <v/>
      </c>
      <c r="B1070" s="3">
        <f>IF('ORDENES'!$A1048="","",IF('ORDENES'!$R1048="","-",'ORDENES'!$R1048))</f>
        <v/>
      </c>
      <c r="C1070" s="3">
        <f>IF('ORDENES'!$A1048="","",IF('ORDENES'!$AF1048="","-",'ORDENES'!$AF1048))</f>
        <v/>
      </c>
      <c r="D1070" s="3">
        <f>IF('ORDENES'!$A1048="","",IF('ORDENES'!$X1048="","-",'ORDENES'!$X1048))</f>
        <v/>
      </c>
      <c r="E1070" s="3">
        <f>IF('ORDENES'!$A1048="","",IF('ORDENES'!$V1048="","-",'ORDENES'!$V1048))</f>
        <v/>
      </c>
      <c r="F1070" s="3">
        <f>IF('ORDENES'!$A1048="","",IF('ORDENES'!$Y1048="","-",'ORDENES'!$Y1048))</f>
        <v/>
      </c>
      <c r="G1070" s="3">
        <f>IF('ORDENES'!$A1048="","",IF('ORDENES'!$W1048="","-",'ORDENES'!$W1048))</f>
        <v/>
      </c>
      <c r="H1070" s="3">
        <f>IF('ORDENES'!$A1048="","",IF('ORDENES'!$AE1048="","-",'ORDENES'!$AE1048))</f>
        <v/>
      </c>
      <c r="I1070" s="3">
        <f>IF('ORDENES'!$A1048="","",IF('ORDENES'!$AQ1048="","-",'ORDENES'!$AQ1048))</f>
        <v/>
      </c>
      <c r="J1070" s="3">
        <f>IF('ORDENES'!$A1048="","",IF('ORDENES'!$D1048="","-",'ORDENES'!$D1048))</f>
        <v/>
      </c>
      <c r="K1070" s="3">
        <f>IF('ORDENES'!$A1048="","",IF('ORDENES'!$E1048="","-",'ORDENES'!$E1048))</f>
        <v/>
      </c>
      <c r="L1070" s="13">
        <f>IF('ORDENES'!$A1048="","",IF('ORDENES'!$M1048="",0,'ORDENES'!$M1048))</f>
        <v/>
      </c>
      <c r="M1070" s="3">
        <f>IF('ORDENES'!$A1048="","",IF('ORDENES'!$N1048="","-",'ORDENES'!$N1048))</f>
        <v/>
      </c>
      <c r="N1070" s="3">
        <f>IF('ORDENES'!$A1048="","",'ORDENES'!$AD1048)</f>
        <v/>
      </c>
    </row>
    <row r="1071">
      <c r="A1071" s="3">
        <f>IF('ORDENES'!$A1049="","",IF('ORDENES'!$O1049="","-",'ORDENES'!$O1049))</f>
        <v/>
      </c>
      <c r="B1071" s="3">
        <f>IF('ORDENES'!$A1049="","",IF('ORDENES'!$R1049="","-",'ORDENES'!$R1049))</f>
        <v/>
      </c>
      <c r="C1071" s="3">
        <f>IF('ORDENES'!$A1049="","",IF('ORDENES'!$AF1049="","-",'ORDENES'!$AF1049))</f>
        <v/>
      </c>
      <c r="D1071" s="3">
        <f>IF('ORDENES'!$A1049="","",IF('ORDENES'!$X1049="","-",'ORDENES'!$X1049))</f>
        <v/>
      </c>
      <c r="E1071" s="3">
        <f>IF('ORDENES'!$A1049="","",IF('ORDENES'!$V1049="","-",'ORDENES'!$V1049))</f>
        <v/>
      </c>
      <c r="F1071" s="3">
        <f>IF('ORDENES'!$A1049="","",IF('ORDENES'!$Y1049="","-",'ORDENES'!$Y1049))</f>
        <v/>
      </c>
      <c r="G1071" s="3">
        <f>IF('ORDENES'!$A1049="","",IF('ORDENES'!$W1049="","-",'ORDENES'!$W1049))</f>
        <v/>
      </c>
      <c r="H1071" s="3">
        <f>IF('ORDENES'!$A1049="","",IF('ORDENES'!$AE1049="","-",'ORDENES'!$AE1049))</f>
        <v/>
      </c>
      <c r="I1071" s="3">
        <f>IF('ORDENES'!$A1049="","",IF('ORDENES'!$AQ1049="","-",'ORDENES'!$AQ1049))</f>
        <v/>
      </c>
      <c r="J1071" s="3">
        <f>IF('ORDENES'!$A1049="","",IF('ORDENES'!$D1049="","-",'ORDENES'!$D1049))</f>
        <v/>
      </c>
      <c r="K1071" s="3">
        <f>IF('ORDENES'!$A1049="","",IF('ORDENES'!$E1049="","-",'ORDENES'!$E1049))</f>
        <v/>
      </c>
      <c r="L1071" s="13">
        <f>IF('ORDENES'!$A1049="","",IF('ORDENES'!$M1049="",0,'ORDENES'!$M1049))</f>
        <v/>
      </c>
      <c r="M1071" s="3">
        <f>IF('ORDENES'!$A1049="","",IF('ORDENES'!$N1049="","-",'ORDENES'!$N1049))</f>
        <v/>
      </c>
      <c r="N1071" s="3">
        <f>IF('ORDENES'!$A1049="","",'ORDENES'!$AD1049)</f>
        <v/>
      </c>
    </row>
    <row r="1072">
      <c r="A1072" s="3">
        <f>IF('ORDENES'!$A1050="","",IF('ORDENES'!$O1050="","-",'ORDENES'!$O1050))</f>
        <v/>
      </c>
      <c r="B1072" s="3">
        <f>IF('ORDENES'!$A1050="","",IF('ORDENES'!$R1050="","-",'ORDENES'!$R1050))</f>
        <v/>
      </c>
      <c r="C1072" s="3">
        <f>IF('ORDENES'!$A1050="","",IF('ORDENES'!$AF1050="","-",'ORDENES'!$AF1050))</f>
        <v/>
      </c>
      <c r="D1072" s="3">
        <f>IF('ORDENES'!$A1050="","",IF('ORDENES'!$X1050="","-",'ORDENES'!$X1050))</f>
        <v/>
      </c>
      <c r="E1072" s="3">
        <f>IF('ORDENES'!$A1050="","",IF('ORDENES'!$V1050="","-",'ORDENES'!$V1050))</f>
        <v/>
      </c>
      <c r="F1072" s="3">
        <f>IF('ORDENES'!$A1050="","",IF('ORDENES'!$Y1050="","-",'ORDENES'!$Y1050))</f>
        <v/>
      </c>
      <c r="G1072" s="3">
        <f>IF('ORDENES'!$A1050="","",IF('ORDENES'!$W1050="","-",'ORDENES'!$W1050))</f>
        <v/>
      </c>
      <c r="H1072" s="3">
        <f>IF('ORDENES'!$A1050="","",IF('ORDENES'!$AE1050="","-",'ORDENES'!$AE1050))</f>
        <v/>
      </c>
      <c r="I1072" s="3">
        <f>IF('ORDENES'!$A1050="","",IF('ORDENES'!$AQ1050="","-",'ORDENES'!$AQ1050))</f>
        <v/>
      </c>
      <c r="J1072" s="3">
        <f>IF('ORDENES'!$A1050="","",IF('ORDENES'!$D1050="","-",'ORDENES'!$D1050))</f>
        <v/>
      </c>
      <c r="K1072" s="3">
        <f>IF('ORDENES'!$A1050="","",IF('ORDENES'!$E1050="","-",'ORDENES'!$E1050))</f>
        <v/>
      </c>
      <c r="L1072" s="13">
        <f>IF('ORDENES'!$A1050="","",IF('ORDENES'!$M1050="",0,'ORDENES'!$M1050))</f>
        <v/>
      </c>
      <c r="M1072" s="3">
        <f>IF('ORDENES'!$A1050="","",IF('ORDENES'!$N1050="","-",'ORDENES'!$N1050))</f>
        <v/>
      </c>
      <c r="N1072" s="3">
        <f>IF('ORDENES'!$A1050="","",'ORDENES'!$AD1050)</f>
        <v/>
      </c>
    </row>
    <row r="1073">
      <c r="A1073" s="3">
        <f>IF('ORDENES'!$A1051="","",IF('ORDENES'!$O1051="","-",'ORDENES'!$O1051))</f>
        <v/>
      </c>
      <c r="B1073" s="3">
        <f>IF('ORDENES'!$A1051="","",IF('ORDENES'!$R1051="","-",'ORDENES'!$R1051))</f>
        <v/>
      </c>
      <c r="C1073" s="3">
        <f>IF('ORDENES'!$A1051="","",IF('ORDENES'!$AF1051="","-",'ORDENES'!$AF1051))</f>
        <v/>
      </c>
      <c r="D1073" s="3">
        <f>IF('ORDENES'!$A1051="","",IF('ORDENES'!$X1051="","-",'ORDENES'!$X1051))</f>
        <v/>
      </c>
      <c r="E1073" s="3">
        <f>IF('ORDENES'!$A1051="","",IF('ORDENES'!$V1051="","-",'ORDENES'!$V1051))</f>
        <v/>
      </c>
      <c r="F1073" s="3">
        <f>IF('ORDENES'!$A1051="","",IF('ORDENES'!$Y1051="","-",'ORDENES'!$Y1051))</f>
        <v/>
      </c>
      <c r="G1073" s="3">
        <f>IF('ORDENES'!$A1051="","",IF('ORDENES'!$W1051="","-",'ORDENES'!$W1051))</f>
        <v/>
      </c>
      <c r="H1073" s="3">
        <f>IF('ORDENES'!$A1051="","",IF('ORDENES'!$AE1051="","-",'ORDENES'!$AE1051))</f>
        <v/>
      </c>
      <c r="I1073" s="3">
        <f>IF('ORDENES'!$A1051="","",IF('ORDENES'!$AQ1051="","-",'ORDENES'!$AQ1051))</f>
        <v/>
      </c>
      <c r="J1073" s="3">
        <f>IF('ORDENES'!$A1051="","",IF('ORDENES'!$D1051="","-",'ORDENES'!$D1051))</f>
        <v/>
      </c>
      <c r="K1073" s="3">
        <f>IF('ORDENES'!$A1051="","",IF('ORDENES'!$E1051="","-",'ORDENES'!$E1051))</f>
        <v/>
      </c>
      <c r="L1073" s="13">
        <f>IF('ORDENES'!$A1051="","",IF('ORDENES'!$M1051="",0,'ORDENES'!$M1051))</f>
        <v/>
      </c>
      <c r="M1073" s="3">
        <f>IF('ORDENES'!$A1051="","",IF('ORDENES'!$N1051="","-",'ORDENES'!$N1051))</f>
        <v/>
      </c>
      <c r="N1073" s="3">
        <f>IF('ORDENES'!$A1051="","",'ORDENES'!$AD1051)</f>
        <v/>
      </c>
    </row>
    <row r="1074">
      <c r="A1074" s="3">
        <f>IF('ORDENES'!$A1052="","",IF('ORDENES'!$O1052="","-",'ORDENES'!$O1052))</f>
        <v/>
      </c>
      <c r="B1074" s="3">
        <f>IF('ORDENES'!$A1052="","",IF('ORDENES'!$R1052="","-",'ORDENES'!$R1052))</f>
        <v/>
      </c>
      <c r="C1074" s="3">
        <f>IF('ORDENES'!$A1052="","",IF('ORDENES'!$AF1052="","-",'ORDENES'!$AF1052))</f>
        <v/>
      </c>
      <c r="D1074" s="3">
        <f>IF('ORDENES'!$A1052="","",IF('ORDENES'!$X1052="","-",'ORDENES'!$X1052))</f>
        <v/>
      </c>
      <c r="E1074" s="3">
        <f>IF('ORDENES'!$A1052="","",IF('ORDENES'!$V1052="","-",'ORDENES'!$V1052))</f>
        <v/>
      </c>
      <c r="F1074" s="3">
        <f>IF('ORDENES'!$A1052="","",IF('ORDENES'!$Y1052="","-",'ORDENES'!$Y1052))</f>
        <v/>
      </c>
      <c r="G1074" s="3">
        <f>IF('ORDENES'!$A1052="","",IF('ORDENES'!$W1052="","-",'ORDENES'!$W1052))</f>
        <v/>
      </c>
      <c r="H1074" s="3">
        <f>IF('ORDENES'!$A1052="","",IF('ORDENES'!$AE1052="","-",'ORDENES'!$AE1052))</f>
        <v/>
      </c>
      <c r="I1074" s="3">
        <f>IF('ORDENES'!$A1052="","",IF('ORDENES'!$AQ1052="","-",'ORDENES'!$AQ1052))</f>
        <v/>
      </c>
      <c r="J1074" s="3">
        <f>IF('ORDENES'!$A1052="","",IF('ORDENES'!$D1052="","-",'ORDENES'!$D1052))</f>
        <v/>
      </c>
      <c r="K1074" s="3">
        <f>IF('ORDENES'!$A1052="","",IF('ORDENES'!$E1052="","-",'ORDENES'!$E1052))</f>
        <v/>
      </c>
      <c r="L1074" s="13">
        <f>IF('ORDENES'!$A1052="","",IF('ORDENES'!$M1052="",0,'ORDENES'!$M1052))</f>
        <v/>
      </c>
      <c r="M1074" s="3">
        <f>IF('ORDENES'!$A1052="","",IF('ORDENES'!$N1052="","-",'ORDENES'!$N1052))</f>
        <v/>
      </c>
      <c r="N1074" s="3">
        <f>IF('ORDENES'!$A1052="","",'ORDENES'!$AD1052)</f>
        <v/>
      </c>
    </row>
    <row r="1075">
      <c r="A1075" s="3">
        <f>IF('ORDENES'!$A1053="","",IF('ORDENES'!$O1053="","-",'ORDENES'!$O1053))</f>
        <v/>
      </c>
      <c r="B1075" s="3">
        <f>IF('ORDENES'!$A1053="","",IF('ORDENES'!$R1053="","-",'ORDENES'!$R1053))</f>
        <v/>
      </c>
      <c r="C1075" s="3">
        <f>IF('ORDENES'!$A1053="","",IF('ORDENES'!$AF1053="","-",'ORDENES'!$AF1053))</f>
        <v/>
      </c>
      <c r="D1075" s="3">
        <f>IF('ORDENES'!$A1053="","",IF('ORDENES'!$X1053="","-",'ORDENES'!$X1053))</f>
        <v/>
      </c>
      <c r="E1075" s="3">
        <f>IF('ORDENES'!$A1053="","",IF('ORDENES'!$V1053="","-",'ORDENES'!$V1053))</f>
        <v/>
      </c>
      <c r="F1075" s="3">
        <f>IF('ORDENES'!$A1053="","",IF('ORDENES'!$Y1053="","-",'ORDENES'!$Y1053))</f>
        <v/>
      </c>
      <c r="G1075" s="3">
        <f>IF('ORDENES'!$A1053="","",IF('ORDENES'!$W1053="","-",'ORDENES'!$W1053))</f>
        <v/>
      </c>
      <c r="H1075" s="3">
        <f>IF('ORDENES'!$A1053="","",IF('ORDENES'!$AE1053="","-",'ORDENES'!$AE1053))</f>
        <v/>
      </c>
      <c r="I1075" s="3">
        <f>IF('ORDENES'!$A1053="","",IF('ORDENES'!$AQ1053="","-",'ORDENES'!$AQ1053))</f>
        <v/>
      </c>
      <c r="J1075" s="3">
        <f>IF('ORDENES'!$A1053="","",IF('ORDENES'!$D1053="","-",'ORDENES'!$D1053))</f>
        <v/>
      </c>
      <c r="K1075" s="3">
        <f>IF('ORDENES'!$A1053="","",IF('ORDENES'!$E1053="","-",'ORDENES'!$E1053))</f>
        <v/>
      </c>
      <c r="L1075" s="13">
        <f>IF('ORDENES'!$A1053="","",IF('ORDENES'!$M1053="",0,'ORDENES'!$M1053))</f>
        <v/>
      </c>
      <c r="M1075" s="3">
        <f>IF('ORDENES'!$A1053="","",IF('ORDENES'!$N1053="","-",'ORDENES'!$N1053))</f>
        <v/>
      </c>
      <c r="N1075" s="3">
        <f>IF('ORDENES'!$A1053="","",'ORDENES'!$AD1053)</f>
        <v/>
      </c>
    </row>
    <row r="1076">
      <c r="A1076" s="3">
        <f>IF('ORDENES'!$A1054="","",IF('ORDENES'!$O1054="","-",'ORDENES'!$O1054))</f>
        <v/>
      </c>
      <c r="B1076" s="3">
        <f>IF('ORDENES'!$A1054="","",IF('ORDENES'!$R1054="","-",'ORDENES'!$R1054))</f>
        <v/>
      </c>
      <c r="C1076" s="3">
        <f>IF('ORDENES'!$A1054="","",IF('ORDENES'!$AF1054="","-",'ORDENES'!$AF1054))</f>
        <v/>
      </c>
      <c r="D1076" s="3">
        <f>IF('ORDENES'!$A1054="","",IF('ORDENES'!$X1054="","-",'ORDENES'!$X1054))</f>
        <v/>
      </c>
      <c r="E1076" s="3">
        <f>IF('ORDENES'!$A1054="","",IF('ORDENES'!$V1054="","-",'ORDENES'!$V1054))</f>
        <v/>
      </c>
      <c r="F1076" s="3">
        <f>IF('ORDENES'!$A1054="","",IF('ORDENES'!$Y1054="","-",'ORDENES'!$Y1054))</f>
        <v/>
      </c>
      <c r="G1076" s="3">
        <f>IF('ORDENES'!$A1054="","",IF('ORDENES'!$W1054="","-",'ORDENES'!$W1054))</f>
        <v/>
      </c>
      <c r="H1076" s="3">
        <f>IF('ORDENES'!$A1054="","",IF('ORDENES'!$AE1054="","-",'ORDENES'!$AE1054))</f>
        <v/>
      </c>
      <c r="I1076" s="3">
        <f>IF('ORDENES'!$A1054="","",IF('ORDENES'!$AQ1054="","-",'ORDENES'!$AQ1054))</f>
        <v/>
      </c>
      <c r="J1076" s="3">
        <f>IF('ORDENES'!$A1054="","",IF('ORDENES'!$D1054="","-",'ORDENES'!$D1054))</f>
        <v/>
      </c>
      <c r="K1076" s="3">
        <f>IF('ORDENES'!$A1054="","",IF('ORDENES'!$E1054="","-",'ORDENES'!$E1054))</f>
        <v/>
      </c>
      <c r="L1076" s="13">
        <f>IF('ORDENES'!$A1054="","",IF('ORDENES'!$M1054="",0,'ORDENES'!$M1054))</f>
        <v/>
      </c>
      <c r="M1076" s="3">
        <f>IF('ORDENES'!$A1054="","",IF('ORDENES'!$N1054="","-",'ORDENES'!$N1054))</f>
        <v/>
      </c>
      <c r="N1076" s="3">
        <f>IF('ORDENES'!$A1054="","",'ORDENES'!$AD1054)</f>
        <v/>
      </c>
    </row>
    <row r="1077">
      <c r="A1077" s="3">
        <f>IF('ORDENES'!$A1055="","",IF('ORDENES'!$O1055="","-",'ORDENES'!$O1055))</f>
        <v/>
      </c>
      <c r="B1077" s="3">
        <f>IF('ORDENES'!$A1055="","",IF('ORDENES'!$R1055="","-",'ORDENES'!$R1055))</f>
        <v/>
      </c>
      <c r="C1077" s="3">
        <f>IF('ORDENES'!$A1055="","",IF('ORDENES'!$AF1055="","-",'ORDENES'!$AF1055))</f>
        <v/>
      </c>
      <c r="D1077" s="3">
        <f>IF('ORDENES'!$A1055="","",IF('ORDENES'!$X1055="","-",'ORDENES'!$X1055))</f>
        <v/>
      </c>
      <c r="E1077" s="3">
        <f>IF('ORDENES'!$A1055="","",IF('ORDENES'!$V1055="","-",'ORDENES'!$V1055))</f>
        <v/>
      </c>
      <c r="F1077" s="3">
        <f>IF('ORDENES'!$A1055="","",IF('ORDENES'!$Y1055="","-",'ORDENES'!$Y1055))</f>
        <v/>
      </c>
      <c r="G1077" s="3">
        <f>IF('ORDENES'!$A1055="","",IF('ORDENES'!$W1055="","-",'ORDENES'!$W1055))</f>
        <v/>
      </c>
      <c r="H1077" s="3">
        <f>IF('ORDENES'!$A1055="","",IF('ORDENES'!$AE1055="","-",'ORDENES'!$AE1055))</f>
        <v/>
      </c>
      <c r="I1077" s="3">
        <f>IF('ORDENES'!$A1055="","",IF('ORDENES'!$AQ1055="","-",'ORDENES'!$AQ1055))</f>
        <v/>
      </c>
      <c r="J1077" s="3">
        <f>IF('ORDENES'!$A1055="","",IF('ORDENES'!$D1055="","-",'ORDENES'!$D1055))</f>
        <v/>
      </c>
      <c r="K1077" s="3">
        <f>IF('ORDENES'!$A1055="","",IF('ORDENES'!$E1055="","-",'ORDENES'!$E1055))</f>
        <v/>
      </c>
      <c r="L1077" s="13">
        <f>IF('ORDENES'!$A1055="","",IF('ORDENES'!$M1055="",0,'ORDENES'!$M1055))</f>
        <v/>
      </c>
      <c r="M1077" s="3">
        <f>IF('ORDENES'!$A1055="","",IF('ORDENES'!$N1055="","-",'ORDENES'!$N1055))</f>
        <v/>
      </c>
      <c r="N1077" s="3">
        <f>IF('ORDENES'!$A1055="","",'ORDENES'!$AD1055)</f>
        <v/>
      </c>
    </row>
    <row r="1078">
      <c r="A1078" s="3">
        <f>IF('ORDENES'!$A1056="","",IF('ORDENES'!$O1056="","-",'ORDENES'!$O1056))</f>
        <v/>
      </c>
      <c r="B1078" s="3">
        <f>IF('ORDENES'!$A1056="","",IF('ORDENES'!$R1056="","-",'ORDENES'!$R1056))</f>
        <v/>
      </c>
      <c r="C1078" s="3">
        <f>IF('ORDENES'!$A1056="","",IF('ORDENES'!$AF1056="","-",'ORDENES'!$AF1056))</f>
        <v/>
      </c>
      <c r="D1078" s="3">
        <f>IF('ORDENES'!$A1056="","",IF('ORDENES'!$X1056="","-",'ORDENES'!$X1056))</f>
        <v/>
      </c>
      <c r="E1078" s="3">
        <f>IF('ORDENES'!$A1056="","",IF('ORDENES'!$V1056="","-",'ORDENES'!$V1056))</f>
        <v/>
      </c>
      <c r="F1078" s="3">
        <f>IF('ORDENES'!$A1056="","",IF('ORDENES'!$Y1056="","-",'ORDENES'!$Y1056))</f>
        <v/>
      </c>
      <c r="G1078" s="3">
        <f>IF('ORDENES'!$A1056="","",IF('ORDENES'!$W1056="","-",'ORDENES'!$W1056))</f>
        <v/>
      </c>
      <c r="H1078" s="3">
        <f>IF('ORDENES'!$A1056="","",IF('ORDENES'!$AE1056="","-",'ORDENES'!$AE1056))</f>
        <v/>
      </c>
      <c r="I1078" s="3">
        <f>IF('ORDENES'!$A1056="","",IF('ORDENES'!$AQ1056="","-",'ORDENES'!$AQ1056))</f>
        <v/>
      </c>
      <c r="J1078" s="3">
        <f>IF('ORDENES'!$A1056="","",IF('ORDENES'!$D1056="","-",'ORDENES'!$D1056))</f>
        <v/>
      </c>
      <c r="K1078" s="3">
        <f>IF('ORDENES'!$A1056="","",IF('ORDENES'!$E1056="","-",'ORDENES'!$E1056))</f>
        <v/>
      </c>
      <c r="L1078" s="13">
        <f>IF('ORDENES'!$A1056="","",IF('ORDENES'!$M1056="",0,'ORDENES'!$M1056))</f>
        <v/>
      </c>
      <c r="M1078" s="3">
        <f>IF('ORDENES'!$A1056="","",IF('ORDENES'!$N1056="","-",'ORDENES'!$N1056))</f>
        <v/>
      </c>
      <c r="N1078" s="3">
        <f>IF('ORDENES'!$A1056="","",'ORDENES'!$AD1056)</f>
        <v/>
      </c>
    </row>
    <row r="1079">
      <c r="A1079" s="3">
        <f>IF('ORDENES'!$A1057="","",IF('ORDENES'!$O1057="","-",'ORDENES'!$O1057))</f>
        <v/>
      </c>
      <c r="B1079" s="3">
        <f>IF('ORDENES'!$A1057="","",IF('ORDENES'!$R1057="","-",'ORDENES'!$R1057))</f>
        <v/>
      </c>
      <c r="C1079" s="3">
        <f>IF('ORDENES'!$A1057="","",IF('ORDENES'!$AF1057="","-",'ORDENES'!$AF1057))</f>
        <v/>
      </c>
      <c r="D1079" s="3">
        <f>IF('ORDENES'!$A1057="","",IF('ORDENES'!$X1057="","-",'ORDENES'!$X1057))</f>
        <v/>
      </c>
      <c r="E1079" s="3">
        <f>IF('ORDENES'!$A1057="","",IF('ORDENES'!$V1057="","-",'ORDENES'!$V1057))</f>
        <v/>
      </c>
      <c r="F1079" s="3">
        <f>IF('ORDENES'!$A1057="","",IF('ORDENES'!$Y1057="","-",'ORDENES'!$Y1057))</f>
        <v/>
      </c>
      <c r="G1079" s="3">
        <f>IF('ORDENES'!$A1057="","",IF('ORDENES'!$W1057="","-",'ORDENES'!$W1057))</f>
        <v/>
      </c>
      <c r="H1079" s="3">
        <f>IF('ORDENES'!$A1057="","",IF('ORDENES'!$AE1057="","-",'ORDENES'!$AE1057))</f>
        <v/>
      </c>
      <c r="I1079" s="3">
        <f>IF('ORDENES'!$A1057="","",IF('ORDENES'!$AQ1057="","-",'ORDENES'!$AQ1057))</f>
        <v/>
      </c>
      <c r="J1079" s="3">
        <f>IF('ORDENES'!$A1057="","",IF('ORDENES'!$D1057="","-",'ORDENES'!$D1057))</f>
        <v/>
      </c>
      <c r="K1079" s="3">
        <f>IF('ORDENES'!$A1057="","",IF('ORDENES'!$E1057="","-",'ORDENES'!$E1057))</f>
        <v/>
      </c>
      <c r="L1079" s="13">
        <f>IF('ORDENES'!$A1057="","",IF('ORDENES'!$M1057="",0,'ORDENES'!$M1057))</f>
        <v/>
      </c>
      <c r="M1079" s="3">
        <f>IF('ORDENES'!$A1057="","",IF('ORDENES'!$N1057="","-",'ORDENES'!$N1057))</f>
        <v/>
      </c>
      <c r="N1079" s="3">
        <f>IF('ORDENES'!$A1057="","",'ORDENES'!$AD1057)</f>
        <v/>
      </c>
    </row>
    <row r="1080">
      <c r="A1080" s="3">
        <f>IF('ORDENES'!$A1058="","",IF('ORDENES'!$O1058="","-",'ORDENES'!$O1058))</f>
        <v/>
      </c>
      <c r="B1080" s="3">
        <f>IF('ORDENES'!$A1058="","",IF('ORDENES'!$R1058="","-",'ORDENES'!$R1058))</f>
        <v/>
      </c>
      <c r="C1080" s="3">
        <f>IF('ORDENES'!$A1058="","",IF('ORDENES'!$AF1058="","-",'ORDENES'!$AF1058))</f>
        <v/>
      </c>
      <c r="D1080" s="3">
        <f>IF('ORDENES'!$A1058="","",IF('ORDENES'!$X1058="","-",'ORDENES'!$X1058))</f>
        <v/>
      </c>
      <c r="E1080" s="3">
        <f>IF('ORDENES'!$A1058="","",IF('ORDENES'!$V1058="","-",'ORDENES'!$V1058))</f>
        <v/>
      </c>
      <c r="F1080" s="3">
        <f>IF('ORDENES'!$A1058="","",IF('ORDENES'!$Y1058="","-",'ORDENES'!$Y1058))</f>
        <v/>
      </c>
      <c r="G1080" s="3">
        <f>IF('ORDENES'!$A1058="","",IF('ORDENES'!$W1058="","-",'ORDENES'!$W1058))</f>
        <v/>
      </c>
      <c r="H1080" s="3">
        <f>IF('ORDENES'!$A1058="","",IF('ORDENES'!$AE1058="","-",'ORDENES'!$AE1058))</f>
        <v/>
      </c>
      <c r="I1080" s="3">
        <f>IF('ORDENES'!$A1058="","",IF('ORDENES'!$AQ1058="","-",'ORDENES'!$AQ1058))</f>
        <v/>
      </c>
      <c r="J1080" s="3">
        <f>IF('ORDENES'!$A1058="","",IF('ORDENES'!$D1058="","-",'ORDENES'!$D1058))</f>
        <v/>
      </c>
      <c r="K1080" s="3">
        <f>IF('ORDENES'!$A1058="","",IF('ORDENES'!$E1058="","-",'ORDENES'!$E1058))</f>
        <v/>
      </c>
      <c r="L1080" s="13">
        <f>IF('ORDENES'!$A1058="","",IF('ORDENES'!$M1058="",0,'ORDENES'!$M1058))</f>
        <v/>
      </c>
      <c r="M1080" s="3">
        <f>IF('ORDENES'!$A1058="","",IF('ORDENES'!$N1058="","-",'ORDENES'!$N1058))</f>
        <v/>
      </c>
      <c r="N1080" s="3">
        <f>IF('ORDENES'!$A1058="","",'ORDENES'!$AD1058)</f>
        <v/>
      </c>
    </row>
    <row r="1081">
      <c r="A1081" s="3">
        <f>IF('ORDENES'!$A1059="","",IF('ORDENES'!$O1059="","-",'ORDENES'!$O1059))</f>
        <v/>
      </c>
      <c r="B1081" s="3">
        <f>IF('ORDENES'!$A1059="","",IF('ORDENES'!$R1059="","-",'ORDENES'!$R1059))</f>
        <v/>
      </c>
      <c r="C1081" s="3">
        <f>IF('ORDENES'!$A1059="","",IF('ORDENES'!$AF1059="","-",'ORDENES'!$AF1059))</f>
        <v/>
      </c>
      <c r="D1081" s="3">
        <f>IF('ORDENES'!$A1059="","",IF('ORDENES'!$X1059="","-",'ORDENES'!$X1059))</f>
        <v/>
      </c>
      <c r="E1081" s="3">
        <f>IF('ORDENES'!$A1059="","",IF('ORDENES'!$V1059="","-",'ORDENES'!$V1059))</f>
        <v/>
      </c>
      <c r="F1081" s="3">
        <f>IF('ORDENES'!$A1059="","",IF('ORDENES'!$Y1059="","-",'ORDENES'!$Y1059))</f>
        <v/>
      </c>
      <c r="G1081" s="3">
        <f>IF('ORDENES'!$A1059="","",IF('ORDENES'!$W1059="","-",'ORDENES'!$W1059))</f>
        <v/>
      </c>
      <c r="H1081" s="3">
        <f>IF('ORDENES'!$A1059="","",IF('ORDENES'!$AE1059="","-",'ORDENES'!$AE1059))</f>
        <v/>
      </c>
      <c r="I1081" s="3">
        <f>IF('ORDENES'!$A1059="","",IF('ORDENES'!$AQ1059="","-",'ORDENES'!$AQ1059))</f>
        <v/>
      </c>
      <c r="J1081" s="3">
        <f>IF('ORDENES'!$A1059="","",IF('ORDENES'!$D1059="","-",'ORDENES'!$D1059))</f>
        <v/>
      </c>
      <c r="K1081" s="3">
        <f>IF('ORDENES'!$A1059="","",IF('ORDENES'!$E1059="","-",'ORDENES'!$E1059))</f>
        <v/>
      </c>
      <c r="L1081" s="13">
        <f>IF('ORDENES'!$A1059="","",IF('ORDENES'!$M1059="",0,'ORDENES'!$M1059))</f>
        <v/>
      </c>
      <c r="M1081" s="3">
        <f>IF('ORDENES'!$A1059="","",IF('ORDENES'!$N1059="","-",'ORDENES'!$N1059))</f>
        <v/>
      </c>
      <c r="N1081" s="3">
        <f>IF('ORDENES'!$A1059="","",'ORDENES'!$AD1059)</f>
        <v/>
      </c>
    </row>
    <row r="1082">
      <c r="A1082" s="3">
        <f>IF('ORDENES'!$A1060="","",IF('ORDENES'!$O1060="","-",'ORDENES'!$O1060))</f>
        <v/>
      </c>
      <c r="B1082" s="3">
        <f>IF('ORDENES'!$A1060="","",IF('ORDENES'!$R1060="","-",'ORDENES'!$R1060))</f>
        <v/>
      </c>
      <c r="C1082" s="3">
        <f>IF('ORDENES'!$A1060="","",IF('ORDENES'!$AF1060="","-",'ORDENES'!$AF1060))</f>
        <v/>
      </c>
      <c r="D1082" s="3">
        <f>IF('ORDENES'!$A1060="","",IF('ORDENES'!$X1060="","-",'ORDENES'!$X1060))</f>
        <v/>
      </c>
      <c r="E1082" s="3">
        <f>IF('ORDENES'!$A1060="","",IF('ORDENES'!$V1060="","-",'ORDENES'!$V1060))</f>
        <v/>
      </c>
      <c r="F1082" s="3">
        <f>IF('ORDENES'!$A1060="","",IF('ORDENES'!$Y1060="","-",'ORDENES'!$Y1060))</f>
        <v/>
      </c>
      <c r="G1082" s="3">
        <f>IF('ORDENES'!$A1060="","",IF('ORDENES'!$W1060="","-",'ORDENES'!$W1060))</f>
        <v/>
      </c>
      <c r="H1082" s="3">
        <f>IF('ORDENES'!$A1060="","",IF('ORDENES'!$AE1060="","-",'ORDENES'!$AE1060))</f>
        <v/>
      </c>
      <c r="I1082" s="3">
        <f>IF('ORDENES'!$A1060="","",IF('ORDENES'!$AQ1060="","-",'ORDENES'!$AQ1060))</f>
        <v/>
      </c>
      <c r="J1082" s="3">
        <f>IF('ORDENES'!$A1060="","",IF('ORDENES'!$D1060="","-",'ORDENES'!$D1060))</f>
        <v/>
      </c>
      <c r="K1082" s="3">
        <f>IF('ORDENES'!$A1060="","",IF('ORDENES'!$E1060="","-",'ORDENES'!$E1060))</f>
        <v/>
      </c>
      <c r="L1082" s="13">
        <f>IF('ORDENES'!$A1060="","",IF('ORDENES'!$M1060="",0,'ORDENES'!$M1060))</f>
        <v/>
      </c>
      <c r="M1082" s="3">
        <f>IF('ORDENES'!$A1060="","",IF('ORDENES'!$N1060="","-",'ORDENES'!$N1060))</f>
        <v/>
      </c>
      <c r="N1082" s="3">
        <f>IF('ORDENES'!$A1060="","",'ORDENES'!$AD1060)</f>
        <v/>
      </c>
    </row>
    <row r="1083">
      <c r="A1083" s="3">
        <f>IF('ORDENES'!$A1061="","",IF('ORDENES'!$O1061="","-",'ORDENES'!$O1061))</f>
        <v/>
      </c>
      <c r="B1083" s="3">
        <f>IF('ORDENES'!$A1061="","",IF('ORDENES'!$R1061="","-",'ORDENES'!$R1061))</f>
        <v/>
      </c>
      <c r="C1083" s="3">
        <f>IF('ORDENES'!$A1061="","",IF('ORDENES'!$AF1061="","-",'ORDENES'!$AF1061))</f>
        <v/>
      </c>
      <c r="D1083" s="3">
        <f>IF('ORDENES'!$A1061="","",IF('ORDENES'!$X1061="","-",'ORDENES'!$X1061))</f>
        <v/>
      </c>
      <c r="E1083" s="3">
        <f>IF('ORDENES'!$A1061="","",IF('ORDENES'!$V1061="","-",'ORDENES'!$V1061))</f>
        <v/>
      </c>
      <c r="F1083" s="3">
        <f>IF('ORDENES'!$A1061="","",IF('ORDENES'!$Y1061="","-",'ORDENES'!$Y1061))</f>
        <v/>
      </c>
      <c r="G1083" s="3">
        <f>IF('ORDENES'!$A1061="","",IF('ORDENES'!$W1061="","-",'ORDENES'!$W1061))</f>
        <v/>
      </c>
      <c r="H1083" s="3">
        <f>IF('ORDENES'!$A1061="","",IF('ORDENES'!$AE1061="","-",'ORDENES'!$AE1061))</f>
        <v/>
      </c>
      <c r="I1083" s="3">
        <f>IF('ORDENES'!$A1061="","",IF('ORDENES'!$AQ1061="","-",'ORDENES'!$AQ1061))</f>
        <v/>
      </c>
      <c r="J1083" s="3">
        <f>IF('ORDENES'!$A1061="","",IF('ORDENES'!$D1061="","-",'ORDENES'!$D1061))</f>
        <v/>
      </c>
      <c r="K1083" s="3">
        <f>IF('ORDENES'!$A1061="","",IF('ORDENES'!$E1061="","-",'ORDENES'!$E1061))</f>
        <v/>
      </c>
      <c r="L1083" s="13">
        <f>IF('ORDENES'!$A1061="","",IF('ORDENES'!$M1061="",0,'ORDENES'!$M1061))</f>
        <v/>
      </c>
      <c r="M1083" s="3">
        <f>IF('ORDENES'!$A1061="","",IF('ORDENES'!$N1061="","-",'ORDENES'!$N1061))</f>
        <v/>
      </c>
      <c r="N1083" s="3">
        <f>IF('ORDENES'!$A1061="","",'ORDENES'!$AD1061)</f>
        <v/>
      </c>
    </row>
    <row r="1084">
      <c r="A1084" s="3">
        <f>IF('ORDENES'!$A1062="","",IF('ORDENES'!$O1062="","-",'ORDENES'!$O1062))</f>
        <v/>
      </c>
      <c r="B1084" s="3">
        <f>IF('ORDENES'!$A1062="","",IF('ORDENES'!$R1062="","-",'ORDENES'!$R1062))</f>
        <v/>
      </c>
      <c r="C1084" s="3">
        <f>IF('ORDENES'!$A1062="","",IF('ORDENES'!$AF1062="","-",'ORDENES'!$AF1062))</f>
        <v/>
      </c>
      <c r="D1084" s="3">
        <f>IF('ORDENES'!$A1062="","",IF('ORDENES'!$X1062="","-",'ORDENES'!$X1062))</f>
        <v/>
      </c>
      <c r="E1084" s="3">
        <f>IF('ORDENES'!$A1062="","",IF('ORDENES'!$V1062="","-",'ORDENES'!$V1062))</f>
        <v/>
      </c>
      <c r="F1084" s="3">
        <f>IF('ORDENES'!$A1062="","",IF('ORDENES'!$Y1062="","-",'ORDENES'!$Y1062))</f>
        <v/>
      </c>
      <c r="G1084" s="3">
        <f>IF('ORDENES'!$A1062="","",IF('ORDENES'!$W1062="","-",'ORDENES'!$W1062))</f>
        <v/>
      </c>
      <c r="H1084" s="3">
        <f>IF('ORDENES'!$A1062="","",IF('ORDENES'!$AE1062="","-",'ORDENES'!$AE1062))</f>
        <v/>
      </c>
      <c r="I1084" s="3">
        <f>IF('ORDENES'!$A1062="","",IF('ORDENES'!$AQ1062="","-",'ORDENES'!$AQ1062))</f>
        <v/>
      </c>
      <c r="J1084" s="3">
        <f>IF('ORDENES'!$A1062="","",IF('ORDENES'!$D1062="","-",'ORDENES'!$D1062))</f>
        <v/>
      </c>
      <c r="K1084" s="3">
        <f>IF('ORDENES'!$A1062="","",IF('ORDENES'!$E1062="","-",'ORDENES'!$E1062))</f>
        <v/>
      </c>
      <c r="L1084" s="13">
        <f>IF('ORDENES'!$A1062="","",IF('ORDENES'!$M1062="",0,'ORDENES'!$M1062))</f>
        <v/>
      </c>
      <c r="M1084" s="3">
        <f>IF('ORDENES'!$A1062="","",IF('ORDENES'!$N1062="","-",'ORDENES'!$N1062))</f>
        <v/>
      </c>
      <c r="N1084" s="3">
        <f>IF('ORDENES'!$A1062="","",'ORDENES'!$AD1062)</f>
        <v/>
      </c>
    </row>
    <row r="1085">
      <c r="A1085" s="3">
        <f>IF('ORDENES'!$A1063="","",IF('ORDENES'!$O1063="","-",'ORDENES'!$O1063))</f>
        <v/>
      </c>
      <c r="B1085" s="3">
        <f>IF('ORDENES'!$A1063="","",IF('ORDENES'!$R1063="","-",'ORDENES'!$R1063))</f>
        <v/>
      </c>
      <c r="C1085" s="3">
        <f>IF('ORDENES'!$A1063="","",IF('ORDENES'!$AF1063="","-",'ORDENES'!$AF1063))</f>
        <v/>
      </c>
      <c r="D1085" s="3">
        <f>IF('ORDENES'!$A1063="","",IF('ORDENES'!$X1063="","-",'ORDENES'!$X1063))</f>
        <v/>
      </c>
      <c r="E1085" s="3">
        <f>IF('ORDENES'!$A1063="","",IF('ORDENES'!$V1063="","-",'ORDENES'!$V1063))</f>
        <v/>
      </c>
      <c r="F1085" s="3">
        <f>IF('ORDENES'!$A1063="","",IF('ORDENES'!$Y1063="","-",'ORDENES'!$Y1063))</f>
        <v/>
      </c>
      <c r="G1085" s="3">
        <f>IF('ORDENES'!$A1063="","",IF('ORDENES'!$W1063="","-",'ORDENES'!$W1063))</f>
        <v/>
      </c>
      <c r="H1085" s="3">
        <f>IF('ORDENES'!$A1063="","",IF('ORDENES'!$AE1063="","-",'ORDENES'!$AE1063))</f>
        <v/>
      </c>
      <c r="I1085" s="3">
        <f>IF('ORDENES'!$A1063="","",IF('ORDENES'!$AQ1063="","-",'ORDENES'!$AQ1063))</f>
        <v/>
      </c>
      <c r="J1085" s="3">
        <f>IF('ORDENES'!$A1063="","",IF('ORDENES'!$D1063="","-",'ORDENES'!$D1063))</f>
        <v/>
      </c>
      <c r="K1085" s="3">
        <f>IF('ORDENES'!$A1063="","",IF('ORDENES'!$E1063="","-",'ORDENES'!$E1063))</f>
        <v/>
      </c>
      <c r="L1085" s="13">
        <f>IF('ORDENES'!$A1063="","",IF('ORDENES'!$M1063="",0,'ORDENES'!$M1063))</f>
        <v/>
      </c>
      <c r="M1085" s="3">
        <f>IF('ORDENES'!$A1063="","",IF('ORDENES'!$N1063="","-",'ORDENES'!$N1063))</f>
        <v/>
      </c>
      <c r="N1085" s="3">
        <f>IF('ORDENES'!$A1063="","",'ORDENES'!$AD1063)</f>
        <v/>
      </c>
    </row>
    <row r="1086">
      <c r="A1086" s="3">
        <f>IF('ORDENES'!$A1064="","",IF('ORDENES'!$O1064="","-",'ORDENES'!$O1064))</f>
        <v/>
      </c>
      <c r="B1086" s="3">
        <f>IF('ORDENES'!$A1064="","",IF('ORDENES'!$R1064="","-",'ORDENES'!$R1064))</f>
        <v/>
      </c>
      <c r="C1086" s="3">
        <f>IF('ORDENES'!$A1064="","",IF('ORDENES'!$AF1064="","-",'ORDENES'!$AF1064))</f>
        <v/>
      </c>
      <c r="D1086" s="3">
        <f>IF('ORDENES'!$A1064="","",IF('ORDENES'!$X1064="","-",'ORDENES'!$X1064))</f>
        <v/>
      </c>
      <c r="E1086" s="3">
        <f>IF('ORDENES'!$A1064="","",IF('ORDENES'!$V1064="","-",'ORDENES'!$V1064))</f>
        <v/>
      </c>
      <c r="F1086" s="3">
        <f>IF('ORDENES'!$A1064="","",IF('ORDENES'!$Y1064="","-",'ORDENES'!$Y1064))</f>
        <v/>
      </c>
      <c r="G1086" s="3">
        <f>IF('ORDENES'!$A1064="","",IF('ORDENES'!$W1064="","-",'ORDENES'!$W1064))</f>
        <v/>
      </c>
      <c r="H1086" s="3">
        <f>IF('ORDENES'!$A1064="","",IF('ORDENES'!$AE1064="","-",'ORDENES'!$AE1064))</f>
        <v/>
      </c>
      <c r="I1086" s="3">
        <f>IF('ORDENES'!$A1064="","",IF('ORDENES'!$AQ1064="","-",'ORDENES'!$AQ1064))</f>
        <v/>
      </c>
      <c r="J1086" s="3">
        <f>IF('ORDENES'!$A1064="","",IF('ORDENES'!$D1064="","-",'ORDENES'!$D1064))</f>
        <v/>
      </c>
      <c r="K1086" s="3">
        <f>IF('ORDENES'!$A1064="","",IF('ORDENES'!$E1064="","-",'ORDENES'!$E1064))</f>
        <v/>
      </c>
      <c r="L1086" s="13">
        <f>IF('ORDENES'!$A1064="","",IF('ORDENES'!$M1064="",0,'ORDENES'!$M1064))</f>
        <v/>
      </c>
      <c r="M1086" s="3">
        <f>IF('ORDENES'!$A1064="","",IF('ORDENES'!$N1064="","-",'ORDENES'!$N1064))</f>
        <v/>
      </c>
      <c r="N1086" s="3">
        <f>IF('ORDENES'!$A1064="","",'ORDENES'!$AD1064)</f>
        <v/>
      </c>
    </row>
    <row r="1087">
      <c r="A1087" s="3">
        <f>IF('ORDENES'!$A1065="","",IF('ORDENES'!$O1065="","-",'ORDENES'!$O1065))</f>
        <v/>
      </c>
      <c r="B1087" s="3">
        <f>IF('ORDENES'!$A1065="","",IF('ORDENES'!$R1065="","-",'ORDENES'!$R1065))</f>
        <v/>
      </c>
      <c r="C1087" s="3">
        <f>IF('ORDENES'!$A1065="","",IF('ORDENES'!$AF1065="","-",'ORDENES'!$AF1065))</f>
        <v/>
      </c>
      <c r="D1087" s="3">
        <f>IF('ORDENES'!$A1065="","",IF('ORDENES'!$X1065="","-",'ORDENES'!$X1065))</f>
        <v/>
      </c>
      <c r="E1087" s="3">
        <f>IF('ORDENES'!$A1065="","",IF('ORDENES'!$V1065="","-",'ORDENES'!$V1065))</f>
        <v/>
      </c>
      <c r="F1087" s="3">
        <f>IF('ORDENES'!$A1065="","",IF('ORDENES'!$Y1065="","-",'ORDENES'!$Y1065))</f>
        <v/>
      </c>
      <c r="G1087" s="3">
        <f>IF('ORDENES'!$A1065="","",IF('ORDENES'!$W1065="","-",'ORDENES'!$W1065))</f>
        <v/>
      </c>
      <c r="H1087" s="3">
        <f>IF('ORDENES'!$A1065="","",IF('ORDENES'!$AE1065="","-",'ORDENES'!$AE1065))</f>
        <v/>
      </c>
      <c r="I1087" s="3">
        <f>IF('ORDENES'!$A1065="","",IF('ORDENES'!$AQ1065="","-",'ORDENES'!$AQ1065))</f>
        <v/>
      </c>
      <c r="J1087" s="3">
        <f>IF('ORDENES'!$A1065="","",IF('ORDENES'!$D1065="","-",'ORDENES'!$D1065))</f>
        <v/>
      </c>
      <c r="K1087" s="3">
        <f>IF('ORDENES'!$A1065="","",IF('ORDENES'!$E1065="","-",'ORDENES'!$E1065))</f>
        <v/>
      </c>
      <c r="L1087" s="13">
        <f>IF('ORDENES'!$A1065="","",IF('ORDENES'!$M1065="",0,'ORDENES'!$M1065))</f>
        <v/>
      </c>
      <c r="M1087" s="3">
        <f>IF('ORDENES'!$A1065="","",IF('ORDENES'!$N1065="","-",'ORDENES'!$N1065))</f>
        <v/>
      </c>
      <c r="N1087" s="3">
        <f>IF('ORDENES'!$A1065="","",'ORDENES'!$AD1065)</f>
        <v/>
      </c>
    </row>
    <row r="1088">
      <c r="A1088" s="3">
        <f>IF('ORDENES'!$A1066="","",IF('ORDENES'!$O1066="","-",'ORDENES'!$O1066))</f>
        <v/>
      </c>
      <c r="B1088" s="3">
        <f>IF('ORDENES'!$A1066="","",IF('ORDENES'!$R1066="","-",'ORDENES'!$R1066))</f>
        <v/>
      </c>
      <c r="C1088" s="3">
        <f>IF('ORDENES'!$A1066="","",IF('ORDENES'!$AF1066="","-",'ORDENES'!$AF1066))</f>
        <v/>
      </c>
      <c r="D1088" s="3">
        <f>IF('ORDENES'!$A1066="","",IF('ORDENES'!$X1066="","-",'ORDENES'!$X1066))</f>
        <v/>
      </c>
      <c r="E1088" s="3">
        <f>IF('ORDENES'!$A1066="","",IF('ORDENES'!$V1066="","-",'ORDENES'!$V1066))</f>
        <v/>
      </c>
      <c r="F1088" s="3">
        <f>IF('ORDENES'!$A1066="","",IF('ORDENES'!$Y1066="","-",'ORDENES'!$Y1066))</f>
        <v/>
      </c>
      <c r="G1088" s="3">
        <f>IF('ORDENES'!$A1066="","",IF('ORDENES'!$W1066="","-",'ORDENES'!$W1066))</f>
        <v/>
      </c>
      <c r="H1088" s="3">
        <f>IF('ORDENES'!$A1066="","",IF('ORDENES'!$AE1066="","-",'ORDENES'!$AE1066))</f>
        <v/>
      </c>
      <c r="I1088" s="3">
        <f>IF('ORDENES'!$A1066="","",IF('ORDENES'!$AQ1066="","-",'ORDENES'!$AQ1066))</f>
        <v/>
      </c>
      <c r="J1088" s="3">
        <f>IF('ORDENES'!$A1066="","",IF('ORDENES'!$D1066="","-",'ORDENES'!$D1066))</f>
        <v/>
      </c>
      <c r="K1088" s="3">
        <f>IF('ORDENES'!$A1066="","",IF('ORDENES'!$E1066="","-",'ORDENES'!$E1066))</f>
        <v/>
      </c>
      <c r="L1088" s="13">
        <f>IF('ORDENES'!$A1066="","",IF('ORDENES'!$M1066="",0,'ORDENES'!$M1066))</f>
        <v/>
      </c>
      <c r="M1088" s="3">
        <f>IF('ORDENES'!$A1066="","",IF('ORDENES'!$N1066="","-",'ORDENES'!$N1066))</f>
        <v/>
      </c>
      <c r="N1088" s="3">
        <f>IF('ORDENES'!$A1066="","",'ORDENES'!$AD1066)</f>
        <v/>
      </c>
    </row>
    <row r="1089">
      <c r="A1089" s="3">
        <f>IF('ORDENES'!$A1067="","",IF('ORDENES'!$O1067="","-",'ORDENES'!$O1067))</f>
        <v/>
      </c>
      <c r="B1089" s="3">
        <f>IF('ORDENES'!$A1067="","",IF('ORDENES'!$R1067="","-",'ORDENES'!$R1067))</f>
        <v/>
      </c>
      <c r="C1089" s="3">
        <f>IF('ORDENES'!$A1067="","",IF('ORDENES'!$AF1067="","-",'ORDENES'!$AF1067))</f>
        <v/>
      </c>
      <c r="D1089" s="3">
        <f>IF('ORDENES'!$A1067="","",IF('ORDENES'!$X1067="","-",'ORDENES'!$X1067))</f>
        <v/>
      </c>
      <c r="E1089" s="3">
        <f>IF('ORDENES'!$A1067="","",IF('ORDENES'!$V1067="","-",'ORDENES'!$V1067))</f>
        <v/>
      </c>
      <c r="F1089" s="3">
        <f>IF('ORDENES'!$A1067="","",IF('ORDENES'!$Y1067="","-",'ORDENES'!$Y1067))</f>
        <v/>
      </c>
      <c r="G1089" s="3">
        <f>IF('ORDENES'!$A1067="","",IF('ORDENES'!$W1067="","-",'ORDENES'!$W1067))</f>
        <v/>
      </c>
      <c r="H1089" s="3">
        <f>IF('ORDENES'!$A1067="","",IF('ORDENES'!$AE1067="","-",'ORDENES'!$AE1067))</f>
        <v/>
      </c>
      <c r="I1089" s="3">
        <f>IF('ORDENES'!$A1067="","",IF('ORDENES'!$AQ1067="","-",'ORDENES'!$AQ1067))</f>
        <v/>
      </c>
      <c r="J1089" s="3">
        <f>IF('ORDENES'!$A1067="","",IF('ORDENES'!$D1067="","-",'ORDENES'!$D1067))</f>
        <v/>
      </c>
      <c r="K1089" s="3">
        <f>IF('ORDENES'!$A1067="","",IF('ORDENES'!$E1067="","-",'ORDENES'!$E1067))</f>
        <v/>
      </c>
      <c r="L1089" s="13">
        <f>IF('ORDENES'!$A1067="","",IF('ORDENES'!$M1067="",0,'ORDENES'!$M1067))</f>
        <v/>
      </c>
      <c r="M1089" s="3">
        <f>IF('ORDENES'!$A1067="","",IF('ORDENES'!$N1067="","-",'ORDENES'!$N1067))</f>
        <v/>
      </c>
      <c r="N1089" s="3">
        <f>IF('ORDENES'!$A1067="","",'ORDENES'!$AD1067)</f>
        <v/>
      </c>
    </row>
    <row r="1090">
      <c r="A1090" s="3">
        <f>IF('ORDENES'!$A1068="","",IF('ORDENES'!$O1068="","-",'ORDENES'!$O1068))</f>
        <v/>
      </c>
      <c r="B1090" s="3">
        <f>IF('ORDENES'!$A1068="","",IF('ORDENES'!$R1068="","-",'ORDENES'!$R1068))</f>
        <v/>
      </c>
      <c r="C1090" s="3">
        <f>IF('ORDENES'!$A1068="","",IF('ORDENES'!$AF1068="","-",'ORDENES'!$AF1068))</f>
        <v/>
      </c>
      <c r="D1090" s="3">
        <f>IF('ORDENES'!$A1068="","",IF('ORDENES'!$X1068="","-",'ORDENES'!$X1068))</f>
        <v/>
      </c>
      <c r="E1090" s="3">
        <f>IF('ORDENES'!$A1068="","",IF('ORDENES'!$V1068="","-",'ORDENES'!$V1068))</f>
        <v/>
      </c>
      <c r="F1090" s="3">
        <f>IF('ORDENES'!$A1068="","",IF('ORDENES'!$Y1068="","-",'ORDENES'!$Y1068))</f>
        <v/>
      </c>
      <c r="G1090" s="3">
        <f>IF('ORDENES'!$A1068="","",IF('ORDENES'!$W1068="","-",'ORDENES'!$W1068))</f>
        <v/>
      </c>
      <c r="H1090" s="3">
        <f>IF('ORDENES'!$A1068="","",IF('ORDENES'!$AE1068="","-",'ORDENES'!$AE1068))</f>
        <v/>
      </c>
      <c r="I1090" s="3">
        <f>IF('ORDENES'!$A1068="","",IF('ORDENES'!$AQ1068="","-",'ORDENES'!$AQ1068))</f>
        <v/>
      </c>
      <c r="J1090" s="3">
        <f>IF('ORDENES'!$A1068="","",IF('ORDENES'!$D1068="","-",'ORDENES'!$D1068))</f>
        <v/>
      </c>
      <c r="K1090" s="3">
        <f>IF('ORDENES'!$A1068="","",IF('ORDENES'!$E1068="","-",'ORDENES'!$E1068))</f>
        <v/>
      </c>
      <c r="L1090" s="13">
        <f>IF('ORDENES'!$A1068="","",IF('ORDENES'!$M1068="",0,'ORDENES'!$M1068))</f>
        <v/>
      </c>
      <c r="M1090" s="3">
        <f>IF('ORDENES'!$A1068="","",IF('ORDENES'!$N1068="","-",'ORDENES'!$N1068))</f>
        <v/>
      </c>
      <c r="N1090" s="3">
        <f>IF('ORDENES'!$A1068="","",'ORDENES'!$AD1068)</f>
        <v/>
      </c>
    </row>
    <row r="1091">
      <c r="A1091" s="3">
        <f>IF('ORDENES'!$A1069="","",IF('ORDENES'!$O1069="","-",'ORDENES'!$O1069))</f>
        <v/>
      </c>
      <c r="B1091" s="3">
        <f>IF('ORDENES'!$A1069="","",IF('ORDENES'!$R1069="","-",'ORDENES'!$R1069))</f>
        <v/>
      </c>
      <c r="C1091" s="3">
        <f>IF('ORDENES'!$A1069="","",IF('ORDENES'!$AF1069="","-",'ORDENES'!$AF1069))</f>
        <v/>
      </c>
      <c r="D1091" s="3">
        <f>IF('ORDENES'!$A1069="","",IF('ORDENES'!$X1069="","-",'ORDENES'!$X1069))</f>
        <v/>
      </c>
      <c r="E1091" s="3">
        <f>IF('ORDENES'!$A1069="","",IF('ORDENES'!$V1069="","-",'ORDENES'!$V1069))</f>
        <v/>
      </c>
      <c r="F1091" s="3">
        <f>IF('ORDENES'!$A1069="","",IF('ORDENES'!$Y1069="","-",'ORDENES'!$Y1069))</f>
        <v/>
      </c>
      <c r="G1091" s="3">
        <f>IF('ORDENES'!$A1069="","",IF('ORDENES'!$W1069="","-",'ORDENES'!$W1069))</f>
        <v/>
      </c>
      <c r="H1091" s="3">
        <f>IF('ORDENES'!$A1069="","",IF('ORDENES'!$AE1069="","-",'ORDENES'!$AE1069))</f>
        <v/>
      </c>
      <c r="I1091" s="3">
        <f>IF('ORDENES'!$A1069="","",IF('ORDENES'!$AQ1069="","-",'ORDENES'!$AQ1069))</f>
        <v/>
      </c>
      <c r="J1091" s="3">
        <f>IF('ORDENES'!$A1069="","",IF('ORDENES'!$D1069="","-",'ORDENES'!$D1069))</f>
        <v/>
      </c>
      <c r="K1091" s="3">
        <f>IF('ORDENES'!$A1069="","",IF('ORDENES'!$E1069="","-",'ORDENES'!$E1069))</f>
        <v/>
      </c>
      <c r="L1091" s="13">
        <f>IF('ORDENES'!$A1069="","",IF('ORDENES'!$M1069="",0,'ORDENES'!$M1069))</f>
        <v/>
      </c>
      <c r="M1091" s="3">
        <f>IF('ORDENES'!$A1069="","",IF('ORDENES'!$N1069="","-",'ORDENES'!$N1069))</f>
        <v/>
      </c>
      <c r="N1091" s="3">
        <f>IF('ORDENES'!$A1069="","",'ORDENES'!$AD1069)</f>
        <v/>
      </c>
    </row>
    <row r="1092">
      <c r="A1092" s="3">
        <f>IF('ORDENES'!$A1070="","",IF('ORDENES'!$O1070="","-",'ORDENES'!$O1070))</f>
        <v/>
      </c>
      <c r="B1092" s="3">
        <f>IF('ORDENES'!$A1070="","",IF('ORDENES'!$R1070="","-",'ORDENES'!$R1070))</f>
        <v/>
      </c>
      <c r="C1092" s="3">
        <f>IF('ORDENES'!$A1070="","",IF('ORDENES'!$AF1070="","-",'ORDENES'!$AF1070))</f>
        <v/>
      </c>
      <c r="D1092" s="3">
        <f>IF('ORDENES'!$A1070="","",IF('ORDENES'!$X1070="","-",'ORDENES'!$X1070))</f>
        <v/>
      </c>
      <c r="E1092" s="3">
        <f>IF('ORDENES'!$A1070="","",IF('ORDENES'!$V1070="","-",'ORDENES'!$V1070))</f>
        <v/>
      </c>
      <c r="F1092" s="3">
        <f>IF('ORDENES'!$A1070="","",IF('ORDENES'!$Y1070="","-",'ORDENES'!$Y1070))</f>
        <v/>
      </c>
      <c r="G1092" s="3">
        <f>IF('ORDENES'!$A1070="","",IF('ORDENES'!$W1070="","-",'ORDENES'!$W1070))</f>
        <v/>
      </c>
      <c r="H1092" s="3">
        <f>IF('ORDENES'!$A1070="","",IF('ORDENES'!$AE1070="","-",'ORDENES'!$AE1070))</f>
        <v/>
      </c>
      <c r="I1092" s="3">
        <f>IF('ORDENES'!$A1070="","",IF('ORDENES'!$AQ1070="","-",'ORDENES'!$AQ1070))</f>
        <v/>
      </c>
      <c r="J1092" s="3">
        <f>IF('ORDENES'!$A1070="","",IF('ORDENES'!$D1070="","-",'ORDENES'!$D1070))</f>
        <v/>
      </c>
      <c r="K1092" s="3">
        <f>IF('ORDENES'!$A1070="","",IF('ORDENES'!$E1070="","-",'ORDENES'!$E1070))</f>
        <v/>
      </c>
      <c r="L1092" s="13">
        <f>IF('ORDENES'!$A1070="","",IF('ORDENES'!$M1070="",0,'ORDENES'!$M1070))</f>
        <v/>
      </c>
      <c r="M1092" s="3">
        <f>IF('ORDENES'!$A1070="","",IF('ORDENES'!$N1070="","-",'ORDENES'!$N1070))</f>
        <v/>
      </c>
      <c r="N1092" s="3">
        <f>IF('ORDENES'!$A1070="","",'ORDENES'!$AD1070)</f>
        <v/>
      </c>
    </row>
    <row r="1093">
      <c r="A1093" s="3">
        <f>IF('ORDENES'!$A1071="","",IF('ORDENES'!$O1071="","-",'ORDENES'!$O1071))</f>
        <v/>
      </c>
      <c r="B1093" s="3">
        <f>IF('ORDENES'!$A1071="","",IF('ORDENES'!$R1071="","-",'ORDENES'!$R1071))</f>
        <v/>
      </c>
      <c r="C1093" s="3">
        <f>IF('ORDENES'!$A1071="","",IF('ORDENES'!$AF1071="","-",'ORDENES'!$AF1071))</f>
        <v/>
      </c>
      <c r="D1093" s="3">
        <f>IF('ORDENES'!$A1071="","",IF('ORDENES'!$X1071="","-",'ORDENES'!$X1071))</f>
        <v/>
      </c>
      <c r="E1093" s="3">
        <f>IF('ORDENES'!$A1071="","",IF('ORDENES'!$V1071="","-",'ORDENES'!$V1071))</f>
        <v/>
      </c>
      <c r="F1093" s="3">
        <f>IF('ORDENES'!$A1071="","",IF('ORDENES'!$Y1071="","-",'ORDENES'!$Y1071))</f>
        <v/>
      </c>
      <c r="G1093" s="3">
        <f>IF('ORDENES'!$A1071="","",IF('ORDENES'!$W1071="","-",'ORDENES'!$W1071))</f>
        <v/>
      </c>
      <c r="H1093" s="3">
        <f>IF('ORDENES'!$A1071="","",IF('ORDENES'!$AE1071="","-",'ORDENES'!$AE1071))</f>
        <v/>
      </c>
      <c r="I1093" s="3">
        <f>IF('ORDENES'!$A1071="","",IF('ORDENES'!$AQ1071="","-",'ORDENES'!$AQ1071))</f>
        <v/>
      </c>
      <c r="J1093" s="3">
        <f>IF('ORDENES'!$A1071="","",IF('ORDENES'!$D1071="","-",'ORDENES'!$D1071))</f>
        <v/>
      </c>
      <c r="K1093" s="3">
        <f>IF('ORDENES'!$A1071="","",IF('ORDENES'!$E1071="","-",'ORDENES'!$E1071))</f>
        <v/>
      </c>
      <c r="L1093" s="13">
        <f>IF('ORDENES'!$A1071="","",IF('ORDENES'!$M1071="",0,'ORDENES'!$M1071))</f>
        <v/>
      </c>
      <c r="M1093" s="3">
        <f>IF('ORDENES'!$A1071="","",IF('ORDENES'!$N1071="","-",'ORDENES'!$N1071))</f>
        <v/>
      </c>
      <c r="N1093" s="3">
        <f>IF('ORDENES'!$A1071="","",'ORDENES'!$AD1071)</f>
        <v/>
      </c>
    </row>
    <row r="1094">
      <c r="A1094" s="3">
        <f>IF('ORDENES'!$A1072="","",IF('ORDENES'!$O1072="","-",'ORDENES'!$O1072))</f>
        <v/>
      </c>
      <c r="B1094" s="3">
        <f>IF('ORDENES'!$A1072="","",IF('ORDENES'!$R1072="","-",'ORDENES'!$R1072))</f>
        <v/>
      </c>
      <c r="C1094" s="3">
        <f>IF('ORDENES'!$A1072="","",IF('ORDENES'!$AF1072="","-",'ORDENES'!$AF1072))</f>
        <v/>
      </c>
      <c r="D1094" s="3">
        <f>IF('ORDENES'!$A1072="","",IF('ORDENES'!$X1072="","-",'ORDENES'!$X1072))</f>
        <v/>
      </c>
      <c r="E1094" s="3">
        <f>IF('ORDENES'!$A1072="","",IF('ORDENES'!$V1072="","-",'ORDENES'!$V1072))</f>
        <v/>
      </c>
      <c r="F1094" s="3">
        <f>IF('ORDENES'!$A1072="","",IF('ORDENES'!$Y1072="","-",'ORDENES'!$Y1072))</f>
        <v/>
      </c>
      <c r="G1094" s="3">
        <f>IF('ORDENES'!$A1072="","",IF('ORDENES'!$W1072="","-",'ORDENES'!$W1072))</f>
        <v/>
      </c>
      <c r="H1094" s="3">
        <f>IF('ORDENES'!$A1072="","",IF('ORDENES'!$AE1072="","-",'ORDENES'!$AE1072))</f>
        <v/>
      </c>
      <c r="I1094" s="3">
        <f>IF('ORDENES'!$A1072="","",IF('ORDENES'!$AQ1072="","-",'ORDENES'!$AQ1072))</f>
        <v/>
      </c>
      <c r="J1094" s="3">
        <f>IF('ORDENES'!$A1072="","",IF('ORDENES'!$D1072="","-",'ORDENES'!$D1072))</f>
        <v/>
      </c>
      <c r="K1094" s="3">
        <f>IF('ORDENES'!$A1072="","",IF('ORDENES'!$E1072="","-",'ORDENES'!$E1072))</f>
        <v/>
      </c>
      <c r="L1094" s="13">
        <f>IF('ORDENES'!$A1072="","",IF('ORDENES'!$M1072="",0,'ORDENES'!$M1072))</f>
        <v/>
      </c>
      <c r="M1094" s="3">
        <f>IF('ORDENES'!$A1072="","",IF('ORDENES'!$N1072="","-",'ORDENES'!$N1072))</f>
        <v/>
      </c>
      <c r="N1094" s="3">
        <f>IF('ORDENES'!$A1072="","",'ORDENES'!$AD1072)</f>
        <v/>
      </c>
    </row>
    <row r="1095">
      <c r="A1095" s="3">
        <f>IF('ORDENES'!$A1073="","",IF('ORDENES'!$O1073="","-",'ORDENES'!$O1073))</f>
        <v/>
      </c>
      <c r="B1095" s="3">
        <f>IF('ORDENES'!$A1073="","",IF('ORDENES'!$R1073="","-",'ORDENES'!$R1073))</f>
        <v/>
      </c>
      <c r="C1095" s="3">
        <f>IF('ORDENES'!$A1073="","",IF('ORDENES'!$AF1073="","-",'ORDENES'!$AF1073))</f>
        <v/>
      </c>
      <c r="D1095" s="3">
        <f>IF('ORDENES'!$A1073="","",IF('ORDENES'!$X1073="","-",'ORDENES'!$X1073))</f>
        <v/>
      </c>
      <c r="E1095" s="3">
        <f>IF('ORDENES'!$A1073="","",IF('ORDENES'!$V1073="","-",'ORDENES'!$V1073))</f>
        <v/>
      </c>
      <c r="F1095" s="3">
        <f>IF('ORDENES'!$A1073="","",IF('ORDENES'!$Y1073="","-",'ORDENES'!$Y1073))</f>
        <v/>
      </c>
      <c r="G1095" s="3">
        <f>IF('ORDENES'!$A1073="","",IF('ORDENES'!$W1073="","-",'ORDENES'!$W1073))</f>
        <v/>
      </c>
      <c r="H1095" s="3">
        <f>IF('ORDENES'!$A1073="","",IF('ORDENES'!$AE1073="","-",'ORDENES'!$AE1073))</f>
        <v/>
      </c>
      <c r="I1095" s="3">
        <f>IF('ORDENES'!$A1073="","",IF('ORDENES'!$AQ1073="","-",'ORDENES'!$AQ1073))</f>
        <v/>
      </c>
      <c r="J1095" s="3">
        <f>IF('ORDENES'!$A1073="","",IF('ORDENES'!$D1073="","-",'ORDENES'!$D1073))</f>
        <v/>
      </c>
      <c r="K1095" s="3">
        <f>IF('ORDENES'!$A1073="","",IF('ORDENES'!$E1073="","-",'ORDENES'!$E1073))</f>
        <v/>
      </c>
      <c r="L1095" s="13">
        <f>IF('ORDENES'!$A1073="","",IF('ORDENES'!$M1073="",0,'ORDENES'!$M1073))</f>
        <v/>
      </c>
      <c r="M1095" s="3">
        <f>IF('ORDENES'!$A1073="","",IF('ORDENES'!$N1073="","-",'ORDENES'!$N1073))</f>
        <v/>
      </c>
      <c r="N1095" s="3">
        <f>IF('ORDENES'!$A1073="","",'ORDENES'!$AD1073)</f>
        <v/>
      </c>
    </row>
    <row r="1096">
      <c r="A1096" s="3">
        <f>IF('ORDENES'!$A1074="","",IF('ORDENES'!$O1074="","-",'ORDENES'!$O1074))</f>
        <v/>
      </c>
      <c r="B1096" s="3">
        <f>IF('ORDENES'!$A1074="","",IF('ORDENES'!$R1074="","-",'ORDENES'!$R1074))</f>
        <v/>
      </c>
      <c r="C1096" s="3">
        <f>IF('ORDENES'!$A1074="","",IF('ORDENES'!$AF1074="","-",'ORDENES'!$AF1074))</f>
        <v/>
      </c>
      <c r="D1096" s="3">
        <f>IF('ORDENES'!$A1074="","",IF('ORDENES'!$X1074="","-",'ORDENES'!$X1074))</f>
        <v/>
      </c>
      <c r="E1096" s="3">
        <f>IF('ORDENES'!$A1074="","",IF('ORDENES'!$V1074="","-",'ORDENES'!$V1074))</f>
        <v/>
      </c>
      <c r="F1096" s="3">
        <f>IF('ORDENES'!$A1074="","",IF('ORDENES'!$Y1074="","-",'ORDENES'!$Y1074))</f>
        <v/>
      </c>
      <c r="G1096" s="3">
        <f>IF('ORDENES'!$A1074="","",IF('ORDENES'!$W1074="","-",'ORDENES'!$W1074))</f>
        <v/>
      </c>
      <c r="H1096" s="3">
        <f>IF('ORDENES'!$A1074="","",IF('ORDENES'!$AE1074="","-",'ORDENES'!$AE1074))</f>
        <v/>
      </c>
      <c r="I1096" s="3">
        <f>IF('ORDENES'!$A1074="","",IF('ORDENES'!$AQ1074="","-",'ORDENES'!$AQ1074))</f>
        <v/>
      </c>
      <c r="J1096" s="3">
        <f>IF('ORDENES'!$A1074="","",IF('ORDENES'!$D1074="","-",'ORDENES'!$D1074))</f>
        <v/>
      </c>
      <c r="K1096" s="3">
        <f>IF('ORDENES'!$A1074="","",IF('ORDENES'!$E1074="","-",'ORDENES'!$E1074))</f>
        <v/>
      </c>
      <c r="L1096" s="13">
        <f>IF('ORDENES'!$A1074="","",IF('ORDENES'!$M1074="",0,'ORDENES'!$M1074))</f>
        <v/>
      </c>
      <c r="M1096" s="3">
        <f>IF('ORDENES'!$A1074="","",IF('ORDENES'!$N1074="","-",'ORDENES'!$N1074))</f>
        <v/>
      </c>
      <c r="N1096" s="3">
        <f>IF('ORDENES'!$A1074="","",'ORDENES'!$AD1074)</f>
        <v/>
      </c>
    </row>
    <row r="1097">
      <c r="A1097" s="3">
        <f>IF('ORDENES'!$A1075="","",IF('ORDENES'!$O1075="","-",'ORDENES'!$O1075))</f>
        <v/>
      </c>
      <c r="B1097" s="3">
        <f>IF('ORDENES'!$A1075="","",IF('ORDENES'!$R1075="","-",'ORDENES'!$R1075))</f>
        <v/>
      </c>
      <c r="C1097" s="3">
        <f>IF('ORDENES'!$A1075="","",IF('ORDENES'!$AF1075="","-",'ORDENES'!$AF1075))</f>
        <v/>
      </c>
      <c r="D1097" s="3">
        <f>IF('ORDENES'!$A1075="","",IF('ORDENES'!$X1075="","-",'ORDENES'!$X1075))</f>
        <v/>
      </c>
      <c r="E1097" s="3">
        <f>IF('ORDENES'!$A1075="","",IF('ORDENES'!$V1075="","-",'ORDENES'!$V1075))</f>
        <v/>
      </c>
      <c r="F1097" s="3">
        <f>IF('ORDENES'!$A1075="","",IF('ORDENES'!$Y1075="","-",'ORDENES'!$Y1075))</f>
        <v/>
      </c>
      <c r="G1097" s="3">
        <f>IF('ORDENES'!$A1075="","",IF('ORDENES'!$W1075="","-",'ORDENES'!$W1075))</f>
        <v/>
      </c>
      <c r="H1097" s="3">
        <f>IF('ORDENES'!$A1075="","",IF('ORDENES'!$AE1075="","-",'ORDENES'!$AE1075))</f>
        <v/>
      </c>
      <c r="I1097" s="3">
        <f>IF('ORDENES'!$A1075="","",IF('ORDENES'!$AQ1075="","-",'ORDENES'!$AQ1075))</f>
        <v/>
      </c>
      <c r="J1097" s="3">
        <f>IF('ORDENES'!$A1075="","",IF('ORDENES'!$D1075="","-",'ORDENES'!$D1075))</f>
        <v/>
      </c>
      <c r="K1097" s="3">
        <f>IF('ORDENES'!$A1075="","",IF('ORDENES'!$E1075="","-",'ORDENES'!$E1075))</f>
        <v/>
      </c>
      <c r="L1097" s="13">
        <f>IF('ORDENES'!$A1075="","",IF('ORDENES'!$M1075="",0,'ORDENES'!$M1075))</f>
        <v/>
      </c>
      <c r="M1097" s="3">
        <f>IF('ORDENES'!$A1075="","",IF('ORDENES'!$N1075="","-",'ORDENES'!$N1075))</f>
        <v/>
      </c>
      <c r="N1097" s="3">
        <f>IF('ORDENES'!$A1075="","",'ORDENES'!$AD1075)</f>
        <v/>
      </c>
    </row>
    <row r="1098">
      <c r="A1098" s="3">
        <f>IF('ORDENES'!$A1076="","",IF('ORDENES'!$O1076="","-",'ORDENES'!$O1076))</f>
        <v/>
      </c>
      <c r="B1098" s="3">
        <f>IF('ORDENES'!$A1076="","",IF('ORDENES'!$R1076="","-",'ORDENES'!$R1076))</f>
        <v/>
      </c>
      <c r="C1098" s="3">
        <f>IF('ORDENES'!$A1076="","",IF('ORDENES'!$AF1076="","-",'ORDENES'!$AF1076))</f>
        <v/>
      </c>
      <c r="D1098" s="3">
        <f>IF('ORDENES'!$A1076="","",IF('ORDENES'!$X1076="","-",'ORDENES'!$X1076))</f>
        <v/>
      </c>
      <c r="E1098" s="3">
        <f>IF('ORDENES'!$A1076="","",IF('ORDENES'!$V1076="","-",'ORDENES'!$V1076))</f>
        <v/>
      </c>
      <c r="F1098" s="3">
        <f>IF('ORDENES'!$A1076="","",IF('ORDENES'!$Y1076="","-",'ORDENES'!$Y1076))</f>
        <v/>
      </c>
      <c r="G1098" s="3">
        <f>IF('ORDENES'!$A1076="","",IF('ORDENES'!$W1076="","-",'ORDENES'!$W1076))</f>
        <v/>
      </c>
      <c r="H1098" s="3">
        <f>IF('ORDENES'!$A1076="","",IF('ORDENES'!$AE1076="","-",'ORDENES'!$AE1076))</f>
        <v/>
      </c>
      <c r="I1098" s="3">
        <f>IF('ORDENES'!$A1076="","",IF('ORDENES'!$AQ1076="","-",'ORDENES'!$AQ1076))</f>
        <v/>
      </c>
      <c r="J1098" s="3">
        <f>IF('ORDENES'!$A1076="","",IF('ORDENES'!$D1076="","-",'ORDENES'!$D1076))</f>
        <v/>
      </c>
      <c r="K1098" s="3">
        <f>IF('ORDENES'!$A1076="","",IF('ORDENES'!$E1076="","-",'ORDENES'!$E1076))</f>
        <v/>
      </c>
      <c r="L1098" s="13">
        <f>IF('ORDENES'!$A1076="","",IF('ORDENES'!$M1076="",0,'ORDENES'!$M1076))</f>
        <v/>
      </c>
      <c r="M1098" s="3">
        <f>IF('ORDENES'!$A1076="","",IF('ORDENES'!$N1076="","-",'ORDENES'!$N1076))</f>
        <v/>
      </c>
      <c r="N1098" s="3">
        <f>IF('ORDENES'!$A1076="","",'ORDENES'!$AD1076)</f>
        <v/>
      </c>
    </row>
    <row r="1099">
      <c r="A1099" s="3">
        <f>IF('ORDENES'!$A1077="","",IF('ORDENES'!$O1077="","-",'ORDENES'!$O1077))</f>
        <v/>
      </c>
      <c r="B1099" s="3">
        <f>IF('ORDENES'!$A1077="","",IF('ORDENES'!$R1077="","-",'ORDENES'!$R1077))</f>
        <v/>
      </c>
      <c r="C1099" s="3">
        <f>IF('ORDENES'!$A1077="","",IF('ORDENES'!$AF1077="","-",'ORDENES'!$AF1077))</f>
        <v/>
      </c>
      <c r="D1099" s="3">
        <f>IF('ORDENES'!$A1077="","",IF('ORDENES'!$X1077="","-",'ORDENES'!$X1077))</f>
        <v/>
      </c>
      <c r="E1099" s="3">
        <f>IF('ORDENES'!$A1077="","",IF('ORDENES'!$V1077="","-",'ORDENES'!$V1077))</f>
        <v/>
      </c>
      <c r="F1099" s="3">
        <f>IF('ORDENES'!$A1077="","",IF('ORDENES'!$Y1077="","-",'ORDENES'!$Y1077))</f>
        <v/>
      </c>
      <c r="G1099" s="3">
        <f>IF('ORDENES'!$A1077="","",IF('ORDENES'!$W1077="","-",'ORDENES'!$W1077))</f>
        <v/>
      </c>
      <c r="H1099" s="3">
        <f>IF('ORDENES'!$A1077="","",IF('ORDENES'!$AE1077="","-",'ORDENES'!$AE1077))</f>
        <v/>
      </c>
      <c r="I1099" s="3">
        <f>IF('ORDENES'!$A1077="","",IF('ORDENES'!$AQ1077="","-",'ORDENES'!$AQ1077))</f>
        <v/>
      </c>
      <c r="J1099" s="3">
        <f>IF('ORDENES'!$A1077="","",IF('ORDENES'!$D1077="","-",'ORDENES'!$D1077))</f>
        <v/>
      </c>
      <c r="K1099" s="3">
        <f>IF('ORDENES'!$A1077="","",IF('ORDENES'!$E1077="","-",'ORDENES'!$E1077))</f>
        <v/>
      </c>
      <c r="L1099" s="13">
        <f>IF('ORDENES'!$A1077="","",IF('ORDENES'!$M1077="",0,'ORDENES'!$M1077))</f>
        <v/>
      </c>
      <c r="M1099" s="3">
        <f>IF('ORDENES'!$A1077="","",IF('ORDENES'!$N1077="","-",'ORDENES'!$N1077))</f>
        <v/>
      </c>
      <c r="N1099" s="3">
        <f>IF('ORDENES'!$A1077="","",'ORDENES'!$AD1077)</f>
        <v/>
      </c>
    </row>
    <row r="1100">
      <c r="A1100" s="3">
        <f>IF('ORDENES'!$A1078="","",IF('ORDENES'!$O1078="","-",'ORDENES'!$O1078))</f>
        <v/>
      </c>
      <c r="B1100" s="3">
        <f>IF('ORDENES'!$A1078="","",IF('ORDENES'!$R1078="","-",'ORDENES'!$R1078))</f>
        <v/>
      </c>
      <c r="C1100" s="3">
        <f>IF('ORDENES'!$A1078="","",IF('ORDENES'!$AF1078="","-",'ORDENES'!$AF1078))</f>
        <v/>
      </c>
      <c r="D1100" s="3">
        <f>IF('ORDENES'!$A1078="","",IF('ORDENES'!$X1078="","-",'ORDENES'!$X1078))</f>
        <v/>
      </c>
      <c r="E1100" s="3">
        <f>IF('ORDENES'!$A1078="","",IF('ORDENES'!$V1078="","-",'ORDENES'!$V1078))</f>
        <v/>
      </c>
      <c r="F1100" s="3">
        <f>IF('ORDENES'!$A1078="","",IF('ORDENES'!$Y1078="","-",'ORDENES'!$Y1078))</f>
        <v/>
      </c>
      <c r="G1100" s="3">
        <f>IF('ORDENES'!$A1078="","",IF('ORDENES'!$W1078="","-",'ORDENES'!$W1078))</f>
        <v/>
      </c>
      <c r="H1100" s="3">
        <f>IF('ORDENES'!$A1078="","",IF('ORDENES'!$AE1078="","-",'ORDENES'!$AE1078))</f>
        <v/>
      </c>
      <c r="I1100" s="3">
        <f>IF('ORDENES'!$A1078="","",IF('ORDENES'!$AQ1078="","-",'ORDENES'!$AQ1078))</f>
        <v/>
      </c>
      <c r="J1100" s="3">
        <f>IF('ORDENES'!$A1078="","",IF('ORDENES'!$D1078="","-",'ORDENES'!$D1078))</f>
        <v/>
      </c>
      <c r="K1100" s="3">
        <f>IF('ORDENES'!$A1078="","",IF('ORDENES'!$E1078="","-",'ORDENES'!$E1078))</f>
        <v/>
      </c>
      <c r="L1100" s="13">
        <f>IF('ORDENES'!$A1078="","",IF('ORDENES'!$M1078="",0,'ORDENES'!$M1078))</f>
        <v/>
      </c>
      <c r="M1100" s="3">
        <f>IF('ORDENES'!$A1078="","",IF('ORDENES'!$N1078="","-",'ORDENES'!$N1078))</f>
        <v/>
      </c>
      <c r="N1100" s="3">
        <f>IF('ORDENES'!$A1078="","",'ORDENES'!$AD1078)</f>
        <v/>
      </c>
    </row>
    <row r="1101">
      <c r="A1101" s="3">
        <f>IF('ORDENES'!$A1079="","",IF('ORDENES'!$O1079="","-",'ORDENES'!$O1079))</f>
        <v/>
      </c>
      <c r="B1101" s="3">
        <f>IF('ORDENES'!$A1079="","",IF('ORDENES'!$R1079="","-",'ORDENES'!$R1079))</f>
        <v/>
      </c>
      <c r="C1101" s="3">
        <f>IF('ORDENES'!$A1079="","",IF('ORDENES'!$AF1079="","-",'ORDENES'!$AF1079))</f>
        <v/>
      </c>
      <c r="D1101" s="3">
        <f>IF('ORDENES'!$A1079="","",IF('ORDENES'!$X1079="","-",'ORDENES'!$X1079))</f>
        <v/>
      </c>
      <c r="E1101" s="3">
        <f>IF('ORDENES'!$A1079="","",IF('ORDENES'!$V1079="","-",'ORDENES'!$V1079))</f>
        <v/>
      </c>
      <c r="F1101" s="3">
        <f>IF('ORDENES'!$A1079="","",IF('ORDENES'!$Y1079="","-",'ORDENES'!$Y1079))</f>
        <v/>
      </c>
      <c r="G1101" s="3">
        <f>IF('ORDENES'!$A1079="","",IF('ORDENES'!$W1079="","-",'ORDENES'!$W1079))</f>
        <v/>
      </c>
      <c r="H1101" s="3">
        <f>IF('ORDENES'!$A1079="","",IF('ORDENES'!$AE1079="","-",'ORDENES'!$AE1079))</f>
        <v/>
      </c>
      <c r="I1101" s="3">
        <f>IF('ORDENES'!$A1079="","",IF('ORDENES'!$AQ1079="","-",'ORDENES'!$AQ1079))</f>
        <v/>
      </c>
      <c r="J1101" s="3">
        <f>IF('ORDENES'!$A1079="","",IF('ORDENES'!$D1079="","-",'ORDENES'!$D1079))</f>
        <v/>
      </c>
      <c r="K1101" s="3">
        <f>IF('ORDENES'!$A1079="","",IF('ORDENES'!$E1079="","-",'ORDENES'!$E1079))</f>
        <v/>
      </c>
      <c r="L1101" s="13">
        <f>IF('ORDENES'!$A1079="","",IF('ORDENES'!$M1079="",0,'ORDENES'!$M1079))</f>
        <v/>
      </c>
      <c r="M1101" s="3">
        <f>IF('ORDENES'!$A1079="","",IF('ORDENES'!$N1079="","-",'ORDENES'!$N1079))</f>
        <v/>
      </c>
      <c r="N1101" s="3">
        <f>IF('ORDENES'!$A1079="","",'ORDENES'!$AD1079)</f>
        <v/>
      </c>
    </row>
    <row r="1102">
      <c r="A1102" s="3">
        <f>IF('ORDENES'!$A1080="","",IF('ORDENES'!$O1080="","-",'ORDENES'!$O1080))</f>
        <v/>
      </c>
      <c r="B1102" s="3">
        <f>IF('ORDENES'!$A1080="","",IF('ORDENES'!$R1080="","-",'ORDENES'!$R1080))</f>
        <v/>
      </c>
      <c r="C1102" s="3">
        <f>IF('ORDENES'!$A1080="","",IF('ORDENES'!$AF1080="","-",'ORDENES'!$AF1080))</f>
        <v/>
      </c>
      <c r="D1102" s="3">
        <f>IF('ORDENES'!$A1080="","",IF('ORDENES'!$X1080="","-",'ORDENES'!$X1080))</f>
        <v/>
      </c>
      <c r="E1102" s="3">
        <f>IF('ORDENES'!$A1080="","",IF('ORDENES'!$V1080="","-",'ORDENES'!$V1080))</f>
        <v/>
      </c>
      <c r="F1102" s="3">
        <f>IF('ORDENES'!$A1080="","",IF('ORDENES'!$Y1080="","-",'ORDENES'!$Y1080))</f>
        <v/>
      </c>
      <c r="G1102" s="3">
        <f>IF('ORDENES'!$A1080="","",IF('ORDENES'!$W1080="","-",'ORDENES'!$W1080))</f>
        <v/>
      </c>
      <c r="H1102" s="3">
        <f>IF('ORDENES'!$A1080="","",IF('ORDENES'!$AE1080="","-",'ORDENES'!$AE1080))</f>
        <v/>
      </c>
      <c r="I1102" s="3">
        <f>IF('ORDENES'!$A1080="","",IF('ORDENES'!$AQ1080="","-",'ORDENES'!$AQ1080))</f>
        <v/>
      </c>
      <c r="J1102" s="3">
        <f>IF('ORDENES'!$A1080="","",IF('ORDENES'!$D1080="","-",'ORDENES'!$D1080))</f>
        <v/>
      </c>
      <c r="K1102" s="3">
        <f>IF('ORDENES'!$A1080="","",IF('ORDENES'!$E1080="","-",'ORDENES'!$E1080))</f>
        <v/>
      </c>
      <c r="L1102" s="13">
        <f>IF('ORDENES'!$A1080="","",IF('ORDENES'!$M1080="",0,'ORDENES'!$M1080))</f>
        <v/>
      </c>
      <c r="M1102" s="3">
        <f>IF('ORDENES'!$A1080="","",IF('ORDENES'!$N1080="","-",'ORDENES'!$N1080))</f>
        <v/>
      </c>
      <c r="N1102" s="3">
        <f>IF('ORDENES'!$A1080="","",'ORDENES'!$AD1080)</f>
        <v/>
      </c>
    </row>
    <row r="1103">
      <c r="A1103" s="3">
        <f>IF('ORDENES'!$A1081="","",IF('ORDENES'!$O1081="","-",'ORDENES'!$O1081))</f>
        <v/>
      </c>
      <c r="B1103" s="3">
        <f>IF('ORDENES'!$A1081="","",IF('ORDENES'!$R1081="","-",'ORDENES'!$R1081))</f>
        <v/>
      </c>
      <c r="C1103" s="3">
        <f>IF('ORDENES'!$A1081="","",IF('ORDENES'!$AF1081="","-",'ORDENES'!$AF1081))</f>
        <v/>
      </c>
      <c r="D1103" s="3">
        <f>IF('ORDENES'!$A1081="","",IF('ORDENES'!$X1081="","-",'ORDENES'!$X1081))</f>
        <v/>
      </c>
      <c r="E1103" s="3">
        <f>IF('ORDENES'!$A1081="","",IF('ORDENES'!$V1081="","-",'ORDENES'!$V1081))</f>
        <v/>
      </c>
      <c r="F1103" s="3">
        <f>IF('ORDENES'!$A1081="","",IF('ORDENES'!$Y1081="","-",'ORDENES'!$Y1081))</f>
        <v/>
      </c>
      <c r="G1103" s="3">
        <f>IF('ORDENES'!$A1081="","",IF('ORDENES'!$W1081="","-",'ORDENES'!$W1081))</f>
        <v/>
      </c>
      <c r="H1103" s="3">
        <f>IF('ORDENES'!$A1081="","",IF('ORDENES'!$AE1081="","-",'ORDENES'!$AE1081))</f>
        <v/>
      </c>
      <c r="I1103" s="3">
        <f>IF('ORDENES'!$A1081="","",IF('ORDENES'!$AQ1081="","-",'ORDENES'!$AQ1081))</f>
        <v/>
      </c>
      <c r="J1103" s="3">
        <f>IF('ORDENES'!$A1081="","",IF('ORDENES'!$D1081="","-",'ORDENES'!$D1081))</f>
        <v/>
      </c>
      <c r="K1103" s="3">
        <f>IF('ORDENES'!$A1081="","",IF('ORDENES'!$E1081="","-",'ORDENES'!$E1081))</f>
        <v/>
      </c>
      <c r="L1103" s="13">
        <f>IF('ORDENES'!$A1081="","",IF('ORDENES'!$M1081="",0,'ORDENES'!$M1081))</f>
        <v/>
      </c>
      <c r="M1103" s="3">
        <f>IF('ORDENES'!$A1081="","",IF('ORDENES'!$N1081="","-",'ORDENES'!$N1081))</f>
        <v/>
      </c>
      <c r="N1103" s="3">
        <f>IF('ORDENES'!$A1081="","",'ORDENES'!$AD1081)</f>
        <v/>
      </c>
    </row>
    <row r="1104">
      <c r="A1104" s="3">
        <f>IF('ORDENES'!$A1082="","",IF('ORDENES'!$O1082="","-",'ORDENES'!$O1082))</f>
        <v/>
      </c>
      <c r="B1104" s="3">
        <f>IF('ORDENES'!$A1082="","",IF('ORDENES'!$R1082="","-",'ORDENES'!$R1082))</f>
        <v/>
      </c>
      <c r="C1104" s="3">
        <f>IF('ORDENES'!$A1082="","",IF('ORDENES'!$AF1082="","-",'ORDENES'!$AF1082))</f>
        <v/>
      </c>
      <c r="D1104" s="3">
        <f>IF('ORDENES'!$A1082="","",IF('ORDENES'!$X1082="","-",'ORDENES'!$X1082))</f>
        <v/>
      </c>
      <c r="E1104" s="3">
        <f>IF('ORDENES'!$A1082="","",IF('ORDENES'!$V1082="","-",'ORDENES'!$V1082))</f>
        <v/>
      </c>
      <c r="F1104" s="3">
        <f>IF('ORDENES'!$A1082="","",IF('ORDENES'!$Y1082="","-",'ORDENES'!$Y1082))</f>
        <v/>
      </c>
      <c r="G1104" s="3">
        <f>IF('ORDENES'!$A1082="","",IF('ORDENES'!$W1082="","-",'ORDENES'!$W1082))</f>
        <v/>
      </c>
      <c r="H1104" s="3">
        <f>IF('ORDENES'!$A1082="","",IF('ORDENES'!$AE1082="","-",'ORDENES'!$AE1082))</f>
        <v/>
      </c>
      <c r="I1104" s="3">
        <f>IF('ORDENES'!$A1082="","",IF('ORDENES'!$AQ1082="","-",'ORDENES'!$AQ1082))</f>
        <v/>
      </c>
      <c r="J1104" s="3">
        <f>IF('ORDENES'!$A1082="","",IF('ORDENES'!$D1082="","-",'ORDENES'!$D1082))</f>
        <v/>
      </c>
      <c r="K1104" s="3">
        <f>IF('ORDENES'!$A1082="","",IF('ORDENES'!$E1082="","-",'ORDENES'!$E1082))</f>
        <v/>
      </c>
      <c r="L1104" s="13">
        <f>IF('ORDENES'!$A1082="","",IF('ORDENES'!$M1082="",0,'ORDENES'!$M1082))</f>
        <v/>
      </c>
      <c r="M1104" s="3">
        <f>IF('ORDENES'!$A1082="","",IF('ORDENES'!$N1082="","-",'ORDENES'!$N1082))</f>
        <v/>
      </c>
      <c r="N1104" s="3">
        <f>IF('ORDENES'!$A1082="","",'ORDENES'!$AD1082)</f>
        <v/>
      </c>
    </row>
    <row r="1105">
      <c r="A1105" s="3">
        <f>IF('ORDENES'!$A1083="","",IF('ORDENES'!$O1083="","-",'ORDENES'!$O1083))</f>
        <v/>
      </c>
      <c r="B1105" s="3">
        <f>IF('ORDENES'!$A1083="","",IF('ORDENES'!$R1083="","-",'ORDENES'!$R1083))</f>
        <v/>
      </c>
      <c r="C1105" s="3">
        <f>IF('ORDENES'!$A1083="","",IF('ORDENES'!$AF1083="","-",'ORDENES'!$AF1083))</f>
        <v/>
      </c>
      <c r="D1105" s="3">
        <f>IF('ORDENES'!$A1083="","",IF('ORDENES'!$X1083="","-",'ORDENES'!$X1083))</f>
        <v/>
      </c>
      <c r="E1105" s="3">
        <f>IF('ORDENES'!$A1083="","",IF('ORDENES'!$V1083="","-",'ORDENES'!$V1083))</f>
        <v/>
      </c>
      <c r="F1105" s="3">
        <f>IF('ORDENES'!$A1083="","",IF('ORDENES'!$Y1083="","-",'ORDENES'!$Y1083))</f>
        <v/>
      </c>
      <c r="G1105" s="3">
        <f>IF('ORDENES'!$A1083="","",IF('ORDENES'!$W1083="","-",'ORDENES'!$W1083))</f>
        <v/>
      </c>
      <c r="H1105" s="3">
        <f>IF('ORDENES'!$A1083="","",IF('ORDENES'!$AE1083="","-",'ORDENES'!$AE1083))</f>
        <v/>
      </c>
      <c r="I1105" s="3">
        <f>IF('ORDENES'!$A1083="","",IF('ORDENES'!$AQ1083="","-",'ORDENES'!$AQ1083))</f>
        <v/>
      </c>
      <c r="J1105" s="3">
        <f>IF('ORDENES'!$A1083="","",IF('ORDENES'!$D1083="","-",'ORDENES'!$D1083))</f>
        <v/>
      </c>
      <c r="K1105" s="3">
        <f>IF('ORDENES'!$A1083="","",IF('ORDENES'!$E1083="","-",'ORDENES'!$E1083))</f>
        <v/>
      </c>
      <c r="L1105" s="13">
        <f>IF('ORDENES'!$A1083="","",IF('ORDENES'!$M1083="",0,'ORDENES'!$M1083))</f>
        <v/>
      </c>
      <c r="M1105" s="3">
        <f>IF('ORDENES'!$A1083="","",IF('ORDENES'!$N1083="","-",'ORDENES'!$N1083))</f>
        <v/>
      </c>
      <c r="N1105" s="3">
        <f>IF('ORDENES'!$A1083="","",'ORDENES'!$AD1083)</f>
        <v/>
      </c>
    </row>
    <row r="1106">
      <c r="A1106" s="3">
        <f>IF('ORDENES'!$A1084="","",IF('ORDENES'!$O1084="","-",'ORDENES'!$O1084))</f>
        <v/>
      </c>
      <c r="B1106" s="3">
        <f>IF('ORDENES'!$A1084="","",IF('ORDENES'!$R1084="","-",'ORDENES'!$R1084))</f>
        <v/>
      </c>
      <c r="C1106" s="3">
        <f>IF('ORDENES'!$A1084="","",IF('ORDENES'!$AF1084="","-",'ORDENES'!$AF1084))</f>
        <v/>
      </c>
      <c r="D1106" s="3">
        <f>IF('ORDENES'!$A1084="","",IF('ORDENES'!$X1084="","-",'ORDENES'!$X1084))</f>
        <v/>
      </c>
      <c r="E1106" s="3">
        <f>IF('ORDENES'!$A1084="","",IF('ORDENES'!$V1084="","-",'ORDENES'!$V1084))</f>
        <v/>
      </c>
      <c r="F1106" s="3">
        <f>IF('ORDENES'!$A1084="","",IF('ORDENES'!$Y1084="","-",'ORDENES'!$Y1084))</f>
        <v/>
      </c>
      <c r="G1106" s="3">
        <f>IF('ORDENES'!$A1084="","",IF('ORDENES'!$W1084="","-",'ORDENES'!$W1084))</f>
        <v/>
      </c>
      <c r="H1106" s="3">
        <f>IF('ORDENES'!$A1084="","",IF('ORDENES'!$AE1084="","-",'ORDENES'!$AE1084))</f>
        <v/>
      </c>
      <c r="I1106" s="3">
        <f>IF('ORDENES'!$A1084="","",IF('ORDENES'!$AQ1084="","-",'ORDENES'!$AQ1084))</f>
        <v/>
      </c>
      <c r="J1106" s="3">
        <f>IF('ORDENES'!$A1084="","",IF('ORDENES'!$D1084="","-",'ORDENES'!$D1084))</f>
        <v/>
      </c>
      <c r="K1106" s="3">
        <f>IF('ORDENES'!$A1084="","",IF('ORDENES'!$E1084="","-",'ORDENES'!$E1084))</f>
        <v/>
      </c>
      <c r="L1106" s="13">
        <f>IF('ORDENES'!$A1084="","",IF('ORDENES'!$M1084="",0,'ORDENES'!$M1084))</f>
        <v/>
      </c>
      <c r="M1106" s="3">
        <f>IF('ORDENES'!$A1084="","",IF('ORDENES'!$N1084="","-",'ORDENES'!$N1084))</f>
        <v/>
      </c>
      <c r="N1106" s="3">
        <f>IF('ORDENES'!$A1084="","",'ORDENES'!$AD1084)</f>
        <v/>
      </c>
    </row>
    <row r="1107">
      <c r="A1107" s="3">
        <f>IF('ORDENES'!$A1085="","",IF('ORDENES'!$O1085="","-",'ORDENES'!$O1085))</f>
        <v/>
      </c>
      <c r="B1107" s="3">
        <f>IF('ORDENES'!$A1085="","",IF('ORDENES'!$R1085="","-",'ORDENES'!$R1085))</f>
        <v/>
      </c>
      <c r="C1107" s="3">
        <f>IF('ORDENES'!$A1085="","",IF('ORDENES'!$AF1085="","-",'ORDENES'!$AF1085))</f>
        <v/>
      </c>
      <c r="D1107" s="3">
        <f>IF('ORDENES'!$A1085="","",IF('ORDENES'!$X1085="","-",'ORDENES'!$X1085))</f>
        <v/>
      </c>
      <c r="E1107" s="3">
        <f>IF('ORDENES'!$A1085="","",IF('ORDENES'!$V1085="","-",'ORDENES'!$V1085))</f>
        <v/>
      </c>
      <c r="F1107" s="3">
        <f>IF('ORDENES'!$A1085="","",IF('ORDENES'!$Y1085="","-",'ORDENES'!$Y1085))</f>
        <v/>
      </c>
      <c r="G1107" s="3">
        <f>IF('ORDENES'!$A1085="","",IF('ORDENES'!$W1085="","-",'ORDENES'!$W1085))</f>
        <v/>
      </c>
      <c r="H1107" s="3">
        <f>IF('ORDENES'!$A1085="","",IF('ORDENES'!$AE1085="","-",'ORDENES'!$AE1085))</f>
        <v/>
      </c>
      <c r="I1107" s="3">
        <f>IF('ORDENES'!$A1085="","",IF('ORDENES'!$AQ1085="","-",'ORDENES'!$AQ1085))</f>
        <v/>
      </c>
      <c r="J1107" s="3">
        <f>IF('ORDENES'!$A1085="","",IF('ORDENES'!$D1085="","-",'ORDENES'!$D1085))</f>
        <v/>
      </c>
      <c r="K1107" s="3">
        <f>IF('ORDENES'!$A1085="","",IF('ORDENES'!$E1085="","-",'ORDENES'!$E1085))</f>
        <v/>
      </c>
      <c r="L1107" s="13">
        <f>IF('ORDENES'!$A1085="","",IF('ORDENES'!$M1085="",0,'ORDENES'!$M1085))</f>
        <v/>
      </c>
      <c r="M1107" s="3">
        <f>IF('ORDENES'!$A1085="","",IF('ORDENES'!$N1085="","-",'ORDENES'!$N1085))</f>
        <v/>
      </c>
      <c r="N1107" s="3">
        <f>IF('ORDENES'!$A1085="","",'ORDENES'!$AD1085)</f>
        <v/>
      </c>
    </row>
    <row r="1108">
      <c r="A1108" s="3">
        <f>IF('ORDENES'!$A1086="","",IF('ORDENES'!$O1086="","-",'ORDENES'!$O1086))</f>
        <v/>
      </c>
      <c r="B1108" s="3">
        <f>IF('ORDENES'!$A1086="","",IF('ORDENES'!$R1086="","-",'ORDENES'!$R1086))</f>
        <v/>
      </c>
      <c r="C1108" s="3">
        <f>IF('ORDENES'!$A1086="","",IF('ORDENES'!$AF1086="","-",'ORDENES'!$AF1086))</f>
        <v/>
      </c>
      <c r="D1108" s="3">
        <f>IF('ORDENES'!$A1086="","",IF('ORDENES'!$X1086="","-",'ORDENES'!$X1086))</f>
        <v/>
      </c>
      <c r="E1108" s="3">
        <f>IF('ORDENES'!$A1086="","",IF('ORDENES'!$V1086="","-",'ORDENES'!$V1086))</f>
        <v/>
      </c>
      <c r="F1108" s="3">
        <f>IF('ORDENES'!$A1086="","",IF('ORDENES'!$Y1086="","-",'ORDENES'!$Y1086))</f>
        <v/>
      </c>
      <c r="G1108" s="3">
        <f>IF('ORDENES'!$A1086="","",IF('ORDENES'!$W1086="","-",'ORDENES'!$W1086))</f>
        <v/>
      </c>
      <c r="H1108" s="3">
        <f>IF('ORDENES'!$A1086="","",IF('ORDENES'!$AE1086="","-",'ORDENES'!$AE1086))</f>
        <v/>
      </c>
      <c r="I1108" s="3">
        <f>IF('ORDENES'!$A1086="","",IF('ORDENES'!$AQ1086="","-",'ORDENES'!$AQ1086))</f>
        <v/>
      </c>
      <c r="J1108" s="3">
        <f>IF('ORDENES'!$A1086="","",IF('ORDENES'!$D1086="","-",'ORDENES'!$D1086))</f>
        <v/>
      </c>
      <c r="K1108" s="3">
        <f>IF('ORDENES'!$A1086="","",IF('ORDENES'!$E1086="","-",'ORDENES'!$E1086))</f>
        <v/>
      </c>
      <c r="L1108" s="13">
        <f>IF('ORDENES'!$A1086="","",IF('ORDENES'!$M1086="",0,'ORDENES'!$M1086))</f>
        <v/>
      </c>
      <c r="M1108" s="3">
        <f>IF('ORDENES'!$A1086="","",IF('ORDENES'!$N1086="","-",'ORDENES'!$N1086))</f>
        <v/>
      </c>
      <c r="N1108" s="3">
        <f>IF('ORDENES'!$A1086="","",'ORDENES'!$AD1086)</f>
        <v/>
      </c>
    </row>
    <row r="1109">
      <c r="A1109" s="3">
        <f>IF('ORDENES'!$A1087="","",IF('ORDENES'!$O1087="","-",'ORDENES'!$O1087))</f>
        <v/>
      </c>
      <c r="B1109" s="3">
        <f>IF('ORDENES'!$A1087="","",IF('ORDENES'!$R1087="","-",'ORDENES'!$R1087))</f>
        <v/>
      </c>
      <c r="C1109" s="3">
        <f>IF('ORDENES'!$A1087="","",IF('ORDENES'!$AF1087="","-",'ORDENES'!$AF1087))</f>
        <v/>
      </c>
      <c r="D1109" s="3">
        <f>IF('ORDENES'!$A1087="","",IF('ORDENES'!$X1087="","-",'ORDENES'!$X1087))</f>
        <v/>
      </c>
      <c r="E1109" s="3">
        <f>IF('ORDENES'!$A1087="","",IF('ORDENES'!$V1087="","-",'ORDENES'!$V1087))</f>
        <v/>
      </c>
      <c r="F1109" s="3">
        <f>IF('ORDENES'!$A1087="","",IF('ORDENES'!$Y1087="","-",'ORDENES'!$Y1087))</f>
        <v/>
      </c>
      <c r="G1109" s="3">
        <f>IF('ORDENES'!$A1087="","",IF('ORDENES'!$W1087="","-",'ORDENES'!$W1087))</f>
        <v/>
      </c>
      <c r="H1109" s="3">
        <f>IF('ORDENES'!$A1087="","",IF('ORDENES'!$AE1087="","-",'ORDENES'!$AE1087))</f>
        <v/>
      </c>
      <c r="I1109" s="3">
        <f>IF('ORDENES'!$A1087="","",IF('ORDENES'!$AQ1087="","-",'ORDENES'!$AQ1087))</f>
        <v/>
      </c>
      <c r="J1109" s="3">
        <f>IF('ORDENES'!$A1087="","",IF('ORDENES'!$D1087="","-",'ORDENES'!$D1087))</f>
        <v/>
      </c>
      <c r="K1109" s="3">
        <f>IF('ORDENES'!$A1087="","",IF('ORDENES'!$E1087="","-",'ORDENES'!$E1087))</f>
        <v/>
      </c>
      <c r="L1109" s="13">
        <f>IF('ORDENES'!$A1087="","",IF('ORDENES'!$M1087="",0,'ORDENES'!$M1087))</f>
        <v/>
      </c>
      <c r="M1109" s="3">
        <f>IF('ORDENES'!$A1087="","",IF('ORDENES'!$N1087="","-",'ORDENES'!$N1087))</f>
        <v/>
      </c>
      <c r="N1109" s="3">
        <f>IF('ORDENES'!$A1087="","",'ORDENES'!$AD1087)</f>
        <v/>
      </c>
    </row>
    <row r="1110">
      <c r="A1110" s="3">
        <f>IF('ORDENES'!$A1088="","",IF('ORDENES'!$O1088="","-",'ORDENES'!$O1088))</f>
        <v/>
      </c>
      <c r="B1110" s="3">
        <f>IF('ORDENES'!$A1088="","",IF('ORDENES'!$R1088="","-",'ORDENES'!$R1088))</f>
        <v/>
      </c>
      <c r="C1110" s="3">
        <f>IF('ORDENES'!$A1088="","",IF('ORDENES'!$AF1088="","-",'ORDENES'!$AF1088))</f>
        <v/>
      </c>
      <c r="D1110" s="3">
        <f>IF('ORDENES'!$A1088="","",IF('ORDENES'!$X1088="","-",'ORDENES'!$X1088))</f>
        <v/>
      </c>
      <c r="E1110" s="3">
        <f>IF('ORDENES'!$A1088="","",IF('ORDENES'!$V1088="","-",'ORDENES'!$V1088))</f>
        <v/>
      </c>
      <c r="F1110" s="3">
        <f>IF('ORDENES'!$A1088="","",IF('ORDENES'!$Y1088="","-",'ORDENES'!$Y1088))</f>
        <v/>
      </c>
      <c r="G1110" s="3">
        <f>IF('ORDENES'!$A1088="","",IF('ORDENES'!$W1088="","-",'ORDENES'!$W1088))</f>
        <v/>
      </c>
      <c r="H1110" s="3">
        <f>IF('ORDENES'!$A1088="","",IF('ORDENES'!$AE1088="","-",'ORDENES'!$AE1088))</f>
        <v/>
      </c>
      <c r="I1110" s="3">
        <f>IF('ORDENES'!$A1088="","",IF('ORDENES'!$AQ1088="","-",'ORDENES'!$AQ1088))</f>
        <v/>
      </c>
      <c r="J1110" s="3">
        <f>IF('ORDENES'!$A1088="","",IF('ORDENES'!$D1088="","-",'ORDENES'!$D1088))</f>
        <v/>
      </c>
      <c r="K1110" s="3">
        <f>IF('ORDENES'!$A1088="","",IF('ORDENES'!$E1088="","-",'ORDENES'!$E1088))</f>
        <v/>
      </c>
      <c r="L1110" s="13">
        <f>IF('ORDENES'!$A1088="","",IF('ORDENES'!$M1088="",0,'ORDENES'!$M1088))</f>
        <v/>
      </c>
      <c r="M1110" s="3">
        <f>IF('ORDENES'!$A1088="","",IF('ORDENES'!$N1088="","-",'ORDENES'!$N1088))</f>
        <v/>
      </c>
      <c r="N1110" s="3">
        <f>IF('ORDENES'!$A1088="","",'ORDENES'!$AD1088)</f>
        <v/>
      </c>
    </row>
    <row r="1111">
      <c r="A1111" s="3">
        <f>IF('ORDENES'!$A1089="","",IF('ORDENES'!$O1089="","-",'ORDENES'!$O1089))</f>
        <v/>
      </c>
      <c r="B1111" s="3">
        <f>IF('ORDENES'!$A1089="","",IF('ORDENES'!$R1089="","-",'ORDENES'!$R1089))</f>
        <v/>
      </c>
      <c r="C1111" s="3">
        <f>IF('ORDENES'!$A1089="","",IF('ORDENES'!$AF1089="","-",'ORDENES'!$AF1089))</f>
        <v/>
      </c>
      <c r="D1111" s="3">
        <f>IF('ORDENES'!$A1089="","",IF('ORDENES'!$X1089="","-",'ORDENES'!$X1089))</f>
        <v/>
      </c>
      <c r="E1111" s="3">
        <f>IF('ORDENES'!$A1089="","",IF('ORDENES'!$V1089="","-",'ORDENES'!$V1089))</f>
        <v/>
      </c>
      <c r="F1111" s="3">
        <f>IF('ORDENES'!$A1089="","",IF('ORDENES'!$Y1089="","-",'ORDENES'!$Y1089))</f>
        <v/>
      </c>
      <c r="G1111" s="3">
        <f>IF('ORDENES'!$A1089="","",IF('ORDENES'!$W1089="","-",'ORDENES'!$W1089))</f>
        <v/>
      </c>
      <c r="H1111" s="3">
        <f>IF('ORDENES'!$A1089="","",IF('ORDENES'!$AE1089="","-",'ORDENES'!$AE1089))</f>
        <v/>
      </c>
      <c r="I1111" s="3">
        <f>IF('ORDENES'!$A1089="","",IF('ORDENES'!$AQ1089="","-",'ORDENES'!$AQ1089))</f>
        <v/>
      </c>
      <c r="J1111" s="3">
        <f>IF('ORDENES'!$A1089="","",IF('ORDENES'!$D1089="","-",'ORDENES'!$D1089))</f>
        <v/>
      </c>
      <c r="K1111" s="3">
        <f>IF('ORDENES'!$A1089="","",IF('ORDENES'!$E1089="","-",'ORDENES'!$E1089))</f>
        <v/>
      </c>
      <c r="L1111" s="13">
        <f>IF('ORDENES'!$A1089="","",IF('ORDENES'!$M1089="",0,'ORDENES'!$M1089))</f>
        <v/>
      </c>
      <c r="M1111" s="3">
        <f>IF('ORDENES'!$A1089="","",IF('ORDENES'!$N1089="","-",'ORDENES'!$N1089))</f>
        <v/>
      </c>
      <c r="N1111" s="3">
        <f>IF('ORDENES'!$A1089="","",'ORDENES'!$AD1089)</f>
        <v/>
      </c>
    </row>
    <row r="1112">
      <c r="A1112" s="3">
        <f>IF('ORDENES'!$A1090="","",IF('ORDENES'!$O1090="","-",'ORDENES'!$O1090))</f>
        <v/>
      </c>
      <c r="B1112" s="3">
        <f>IF('ORDENES'!$A1090="","",IF('ORDENES'!$R1090="","-",'ORDENES'!$R1090))</f>
        <v/>
      </c>
      <c r="C1112" s="3">
        <f>IF('ORDENES'!$A1090="","",IF('ORDENES'!$AF1090="","-",'ORDENES'!$AF1090))</f>
        <v/>
      </c>
      <c r="D1112" s="3">
        <f>IF('ORDENES'!$A1090="","",IF('ORDENES'!$X1090="","-",'ORDENES'!$X1090))</f>
        <v/>
      </c>
      <c r="E1112" s="3">
        <f>IF('ORDENES'!$A1090="","",IF('ORDENES'!$V1090="","-",'ORDENES'!$V1090))</f>
        <v/>
      </c>
      <c r="F1112" s="3">
        <f>IF('ORDENES'!$A1090="","",IF('ORDENES'!$Y1090="","-",'ORDENES'!$Y1090))</f>
        <v/>
      </c>
      <c r="G1112" s="3">
        <f>IF('ORDENES'!$A1090="","",IF('ORDENES'!$W1090="","-",'ORDENES'!$W1090))</f>
        <v/>
      </c>
      <c r="H1112" s="3">
        <f>IF('ORDENES'!$A1090="","",IF('ORDENES'!$AE1090="","-",'ORDENES'!$AE1090))</f>
        <v/>
      </c>
      <c r="I1112" s="3">
        <f>IF('ORDENES'!$A1090="","",IF('ORDENES'!$AQ1090="","-",'ORDENES'!$AQ1090))</f>
        <v/>
      </c>
      <c r="J1112" s="3">
        <f>IF('ORDENES'!$A1090="","",IF('ORDENES'!$D1090="","-",'ORDENES'!$D1090))</f>
        <v/>
      </c>
      <c r="K1112" s="3">
        <f>IF('ORDENES'!$A1090="","",IF('ORDENES'!$E1090="","-",'ORDENES'!$E1090))</f>
        <v/>
      </c>
      <c r="L1112" s="13">
        <f>IF('ORDENES'!$A1090="","",IF('ORDENES'!$M1090="",0,'ORDENES'!$M1090))</f>
        <v/>
      </c>
      <c r="M1112" s="3">
        <f>IF('ORDENES'!$A1090="","",IF('ORDENES'!$N1090="","-",'ORDENES'!$N1090))</f>
        <v/>
      </c>
      <c r="N1112" s="3">
        <f>IF('ORDENES'!$A1090="","",'ORDENES'!$AD1090)</f>
        <v/>
      </c>
    </row>
    <row r="1113">
      <c r="A1113" s="3">
        <f>IF('ORDENES'!$A1091="","",IF('ORDENES'!$O1091="","-",'ORDENES'!$O1091))</f>
        <v/>
      </c>
      <c r="B1113" s="3">
        <f>IF('ORDENES'!$A1091="","",IF('ORDENES'!$R1091="","-",'ORDENES'!$R1091))</f>
        <v/>
      </c>
      <c r="C1113" s="3">
        <f>IF('ORDENES'!$A1091="","",IF('ORDENES'!$AF1091="","-",'ORDENES'!$AF1091))</f>
        <v/>
      </c>
      <c r="D1113" s="3">
        <f>IF('ORDENES'!$A1091="","",IF('ORDENES'!$X1091="","-",'ORDENES'!$X1091))</f>
        <v/>
      </c>
      <c r="E1113" s="3">
        <f>IF('ORDENES'!$A1091="","",IF('ORDENES'!$V1091="","-",'ORDENES'!$V1091))</f>
        <v/>
      </c>
      <c r="F1113" s="3">
        <f>IF('ORDENES'!$A1091="","",IF('ORDENES'!$Y1091="","-",'ORDENES'!$Y1091))</f>
        <v/>
      </c>
      <c r="G1113" s="3">
        <f>IF('ORDENES'!$A1091="","",IF('ORDENES'!$W1091="","-",'ORDENES'!$W1091))</f>
        <v/>
      </c>
      <c r="H1113" s="3">
        <f>IF('ORDENES'!$A1091="","",IF('ORDENES'!$AE1091="","-",'ORDENES'!$AE1091))</f>
        <v/>
      </c>
      <c r="I1113" s="3">
        <f>IF('ORDENES'!$A1091="","",IF('ORDENES'!$AQ1091="","-",'ORDENES'!$AQ1091))</f>
        <v/>
      </c>
      <c r="J1113" s="3">
        <f>IF('ORDENES'!$A1091="","",IF('ORDENES'!$D1091="","-",'ORDENES'!$D1091))</f>
        <v/>
      </c>
      <c r="K1113" s="3">
        <f>IF('ORDENES'!$A1091="","",IF('ORDENES'!$E1091="","-",'ORDENES'!$E1091))</f>
        <v/>
      </c>
      <c r="L1113" s="13">
        <f>IF('ORDENES'!$A1091="","",IF('ORDENES'!$M1091="",0,'ORDENES'!$M1091))</f>
        <v/>
      </c>
      <c r="M1113" s="3">
        <f>IF('ORDENES'!$A1091="","",IF('ORDENES'!$N1091="","-",'ORDENES'!$N1091))</f>
        <v/>
      </c>
      <c r="N1113" s="3">
        <f>IF('ORDENES'!$A1091="","",'ORDENES'!$AD1091)</f>
        <v/>
      </c>
    </row>
    <row r="1114">
      <c r="A1114" s="3">
        <f>IF('ORDENES'!$A1092="","",IF('ORDENES'!$O1092="","-",'ORDENES'!$O1092))</f>
        <v/>
      </c>
      <c r="B1114" s="3">
        <f>IF('ORDENES'!$A1092="","",IF('ORDENES'!$R1092="","-",'ORDENES'!$R1092))</f>
        <v/>
      </c>
      <c r="C1114" s="3">
        <f>IF('ORDENES'!$A1092="","",IF('ORDENES'!$AF1092="","-",'ORDENES'!$AF1092))</f>
        <v/>
      </c>
      <c r="D1114" s="3">
        <f>IF('ORDENES'!$A1092="","",IF('ORDENES'!$X1092="","-",'ORDENES'!$X1092))</f>
        <v/>
      </c>
      <c r="E1114" s="3">
        <f>IF('ORDENES'!$A1092="","",IF('ORDENES'!$V1092="","-",'ORDENES'!$V1092))</f>
        <v/>
      </c>
      <c r="F1114" s="3">
        <f>IF('ORDENES'!$A1092="","",IF('ORDENES'!$Y1092="","-",'ORDENES'!$Y1092))</f>
        <v/>
      </c>
      <c r="G1114" s="3">
        <f>IF('ORDENES'!$A1092="","",IF('ORDENES'!$W1092="","-",'ORDENES'!$W1092))</f>
        <v/>
      </c>
      <c r="H1114" s="3">
        <f>IF('ORDENES'!$A1092="","",IF('ORDENES'!$AE1092="","-",'ORDENES'!$AE1092))</f>
        <v/>
      </c>
      <c r="I1114" s="3">
        <f>IF('ORDENES'!$A1092="","",IF('ORDENES'!$AQ1092="","-",'ORDENES'!$AQ1092))</f>
        <v/>
      </c>
      <c r="J1114" s="3">
        <f>IF('ORDENES'!$A1092="","",IF('ORDENES'!$D1092="","-",'ORDENES'!$D1092))</f>
        <v/>
      </c>
      <c r="K1114" s="3">
        <f>IF('ORDENES'!$A1092="","",IF('ORDENES'!$E1092="","-",'ORDENES'!$E1092))</f>
        <v/>
      </c>
      <c r="L1114" s="13">
        <f>IF('ORDENES'!$A1092="","",IF('ORDENES'!$M1092="",0,'ORDENES'!$M1092))</f>
        <v/>
      </c>
      <c r="M1114" s="3">
        <f>IF('ORDENES'!$A1092="","",IF('ORDENES'!$N1092="","-",'ORDENES'!$N1092))</f>
        <v/>
      </c>
      <c r="N1114" s="3">
        <f>IF('ORDENES'!$A1092="","",'ORDENES'!$AD1092)</f>
        <v/>
      </c>
    </row>
    <row r="1115">
      <c r="A1115" s="3">
        <f>IF('ORDENES'!$A1093="","",IF('ORDENES'!$O1093="","-",'ORDENES'!$O1093))</f>
        <v/>
      </c>
      <c r="B1115" s="3">
        <f>IF('ORDENES'!$A1093="","",IF('ORDENES'!$R1093="","-",'ORDENES'!$R1093))</f>
        <v/>
      </c>
      <c r="C1115" s="3">
        <f>IF('ORDENES'!$A1093="","",IF('ORDENES'!$AF1093="","-",'ORDENES'!$AF1093))</f>
        <v/>
      </c>
      <c r="D1115" s="3">
        <f>IF('ORDENES'!$A1093="","",IF('ORDENES'!$X1093="","-",'ORDENES'!$X1093))</f>
        <v/>
      </c>
      <c r="E1115" s="3">
        <f>IF('ORDENES'!$A1093="","",IF('ORDENES'!$V1093="","-",'ORDENES'!$V1093))</f>
        <v/>
      </c>
      <c r="F1115" s="3">
        <f>IF('ORDENES'!$A1093="","",IF('ORDENES'!$Y1093="","-",'ORDENES'!$Y1093))</f>
        <v/>
      </c>
      <c r="G1115" s="3">
        <f>IF('ORDENES'!$A1093="","",IF('ORDENES'!$W1093="","-",'ORDENES'!$W1093))</f>
        <v/>
      </c>
      <c r="H1115" s="3">
        <f>IF('ORDENES'!$A1093="","",IF('ORDENES'!$AE1093="","-",'ORDENES'!$AE1093))</f>
        <v/>
      </c>
      <c r="I1115" s="3">
        <f>IF('ORDENES'!$A1093="","",IF('ORDENES'!$AQ1093="","-",'ORDENES'!$AQ1093))</f>
        <v/>
      </c>
      <c r="J1115" s="3">
        <f>IF('ORDENES'!$A1093="","",IF('ORDENES'!$D1093="","-",'ORDENES'!$D1093))</f>
        <v/>
      </c>
      <c r="K1115" s="3">
        <f>IF('ORDENES'!$A1093="","",IF('ORDENES'!$E1093="","-",'ORDENES'!$E1093))</f>
        <v/>
      </c>
      <c r="L1115" s="13">
        <f>IF('ORDENES'!$A1093="","",IF('ORDENES'!$M1093="",0,'ORDENES'!$M1093))</f>
        <v/>
      </c>
      <c r="M1115" s="3">
        <f>IF('ORDENES'!$A1093="","",IF('ORDENES'!$N1093="","-",'ORDENES'!$N1093))</f>
        <v/>
      </c>
      <c r="N1115" s="3">
        <f>IF('ORDENES'!$A1093="","",'ORDENES'!$AD1093)</f>
        <v/>
      </c>
    </row>
    <row r="1116">
      <c r="A1116" s="3">
        <f>IF('ORDENES'!$A1094="","",IF('ORDENES'!$O1094="","-",'ORDENES'!$O1094))</f>
        <v/>
      </c>
      <c r="B1116" s="3">
        <f>IF('ORDENES'!$A1094="","",IF('ORDENES'!$R1094="","-",'ORDENES'!$R1094))</f>
        <v/>
      </c>
      <c r="C1116" s="3">
        <f>IF('ORDENES'!$A1094="","",IF('ORDENES'!$AF1094="","-",'ORDENES'!$AF1094))</f>
        <v/>
      </c>
      <c r="D1116" s="3">
        <f>IF('ORDENES'!$A1094="","",IF('ORDENES'!$X1094="","-",'ORDENES'!$X1094))</f>
        <v/>
      </c>
      <c r="E1116" s="3">
        <f>IF('ORDENES'!$A1094="","",IF('ORDENES'!$V1094="","-",'ORDENES'!$V1094))</f>
        <v/>
      </c>
      <c r="F1116" s="3">
        <f>IF('ORDENES'!$A1094="","",IF('ORDENES'!$Y1094="","-",'ORDENES'!$Y1094))</f>
        <v/>
      </c>
      <c r="G1116" s="3">
        <f>IF('ORDENES'!$A1094="","",IF('ORDENES'!$W1094="","-",'ORDENES'!$W1094))</f>
        <v/>
      </c>
      <c r="H1116" s="3">
        <f>IF('ORDENES'!$A1094="","",IF('ORDENES'!$AE1094="","-",'ORDENES'!$AE1094))</f>
        <v/>
      </c>
      <c r="I1116" s="3">
        <f>IF('ORDENES'!$A1094="","",IF('ORDENES'!$AQ1094="","-",'ORDENES'!$AQ1094))</f>
        <v/>
      </c>
      <c r="J1116" s="3">
        <f>IF('ORDENES'!$A1094="","",IF('ORDENES'!$D1094="","-",'ORDENES'!$D1094))</f>
        <v/>
      </c>
      <c r="K1116" s="3">
        <f>IF('ORDENES'!$A1094="","",IF('ORDENES'!$E1094="","-",'ORDENES'!$E1094))</f>
        <v/>
      </c>
      <c r="L1116" s="13">
        <f>IF('ORDENES'!$A1094="","",IF('ORDENES'!$M1094="",0,'ORDENES'!$M1094))</f>
        <v/>
      </c>
      <c r="M1116" s="3">
        <f>IF('ORDENES'!$A1094="","",IF('ORDENES'!$N1094="","-",'ORDENES'!$N1094))</f>
        <v/>
      </c>
      <c r="N1116" s="3">
        <f>IF('ORDENES'!$A1094="","",'ORDENES'!$AD1094)</f>
        <v/>
      </c>
    </row>
    <row r="1117">
      <c r="A1117" s="3">
        <f>IF('ORDENES'!$A1095="","",IF('ORDENES'!$O1095="","-",'ORDENES'!$O1095))</f>
        <v/>
      </c>
      <c r="B1117" s="3">
        <f>IF('ORDENES'!$A1095="","",IF('ORDENES'!$R1095="","-",'ORDENES'!$R1095))</f>
        <v/>
      </c>
      <c r="C1117" s="3">
        <f>IF('ORDENES'!$A1095="","",IF('ORDENES'!$AF1095="","-",'ORDENES'!$AF1095))</f>
        <v/>
      </c>
      <c r="D1117" s="3">
        <f>IF('ORDENES'!$A1095="","",IF('ORDENES'!$X1095="","-",'ORDENES'!$X1095))</f>
        <v/>
      </c>
      <c r="E1117" s="3">
        <f>IF('ORDENES'!$A1095="","",IF('ORDENES'!$V1095="","-",'ORDENES'!$V1095))</f>
        <v/>
      </c>
      <c r="F1117" s="3">
        <f>IF('ORDENES'!$A1095="","",IF('ORDENES'!$Y1095="","-",'ORDENES'!$Y1095))</f>
        <v/>
      </c>
      <c r="G1117" s="3">
        <f>IF('ORDENES'!$A1095="","",IF('ORDENES'!$W1095="","-",'ORDENES'!$W1095))</f>
        <v/>
      </c>
      <c r="H1117" s="3">
        <f>IF('ORDENES'!$A1095="","",IF('ORDENES'!$AE1095="","-",'ORDENES'!$AE1095))</f>
        <v/>
      </c>
      <c r="I1117" s="3">
        <f>IF('ORDENES'!$A1095="","",IF('ORDENES'!$AQ1095="","-",'ORDENES'!$AQ1095))</f>
        <v/>
      </c>
      <c r="J1117" s="3">
        <f>IF('ORDENES'!$A1095="","",IF('ORDENES'!$D1095="","-",'ORDENES'!$D1095))</f>
        <v/>
      </c>
      <c r="K1117" s="3">
        <f>IF('ORDENES'!$A1095="","",IF('ORDENES'!$E1095="","-",'ORDENES'!$E1095))</f>
        <v/>
      </c>
      <c r="L1117" s="13">
        <f>IF('ORDENES'!$A1095="","",IF('ORDENES'!$M1095="",0,'ORDENES'!$M1095))</f>
        <v/>
      </c>
      <c r="M1117" s="3">
        <f>IF('ORDENES'!$A1095="","",IF('ORDENES'!$N1095="","-",'ORDENES'!$N1095))</f>
        <v/>
      </c>
      <c r="N1117" s="3">
        <f>IF('ORDENES'!$A1095="","",'ORDENES'!$AD1095)</f>
        <v/>
      </c>
    </row>
    <row r="1118">
      <c r="A1118" s="3">
        <f>IF('ORDENES'!$A1096="","",IF('ORDENES'!$O1096="","-",'ORDENES'!$O1096))</f>
        <v/>
      </c>
      <c r="B1118" s="3">
        <f>IF('ORDENES'!$A1096="","",IF('ORDENES'!$R1096="","-",'ORDENES'!$R1096))</f>
        <v/>
      </c>
      <c r="C1118" s="3">
        <f>IF('ORDENES'!$A1096="","",IF('ORDENES'!$AF1096="","-",'ORDENES'!$AF1096))</f>
        <v/>
      </c>
      <c r="D1118" s="3">
        <f>IF('ORDENES'!$A1096="","",IF('ORDENES'!$X1096="","-",'ORDENES'!$X1096))</f>
        <v/>
      </c>
      <c r="E1118" s="3">
        <f>IF('ORDENES'!$A1096="","",IF('ORDENES'!$V1096="","-",'ORDENES'!$V1096))</f>
        <v/>
      </c>
      <c r="F1118" s="3">
        <f>IF('ORDENES'!$A1096="","",IF('ORDENES'!$Y1096="","-",'ORDENES'!$Y1096))</f>
        <v/>
      </c>
      <c r="G1118" s="3">
        <f>IF('ORDENES'!$A1096="","",IF('ORDENES'!$W1096="","-",'ORDENES'!$W1096))</f>
        <v/>
      </c>
      <c r="H1118" s="3">
        <f>IF('ORDENES'!$A1096="","",IF('ORDENES'!$AE1096="","-",'ORDENES'!$AE1096))</f>
        <v/>
      </c>
      <c r="I1118" s="3">
        <f>IF('ORDENES'!$A1096="","",IF('ORDENES'!$AQ1096="","-",'ORDENES'!$AQ1096))</f>
        <v/>
      </c>
      <c r="J1118" s="3">
        <f>IF('ORDENES'!$A1096="","",IF('ORDENES'!$D1096="","-",'ORDENES'!$D1096))</f>
        <v/>
      </c>
      <c r="K1118" s="3">
        <f>IF('ORDENES'!$A1096="","",IF('ORDENES'!$E1096="","-",'ORDENES'!$E1096))</f>
        <v/>
      </c>
      <c r="L1118" s="13">
        <f>IF('ORDENES'!$A1096="","",IF('ORDENES'!$M1096="",0,'ORDENES'!$M1096))</f>
        <v/>
      </c>
      <c r="M1118" s="3">
        <f>IF('ORDENES'!$A1096="","",IF('ORDENES'!$N1096="","-",'ORDENES'!$N1096))</f>
        <v/>
      </c>
      <c r="N1118" s="3">
        <f>IF('ORDENES'!$A1096="","",'ORDENES'!$AD1096)</f>
        <v/>
      </c>
    </row>
    <row r="1119">
      <c r="A1119" s="3">
        <f>IF('ORDENES'!$A1097="","",IF('ORDENES'!$O1097="","-",'ORDENES'!$O1097))</f>
        <v/>
      </c>
      <c r="B1119" s="3">
        <f>IF('ORDENES'!$A1097="","",IF('ORDENES'!$R1097="","-",'ORDENES'!$R1097))</f>
        <v/>
      </c>
      <c r="C1119" s="3">
        <f>IF('ORDENES'!$A1097="","",IF('ORDENES'!$AF1097="","-",'ORDENES'!$AF1097))</f>
        <v/>
      </c>
      <c r="D1119" s="3">
        <f>IF('ORDENES'!$A1097="","",IF('ORDENES'!$X1097="","-",'ORDENES'!$X1097))</f>
        <v/>
      </c>
      <c r="E1119" s="3">
        <f>IF('ORDENES'!$A1097="","",IF('ORDENES'!$V1097="","-",'ORDENES'!$V1097))</f>
        <v/>
      </c>
      <c r="F1119" s="3">
        <f>IF('ORDENES'!$A1097="","",IF('ORDENES'!$Y1097="","-",'ORDENES'!$Y1097))</f>
        <v/>
      </c>
      <c r="G1119" s="3">
        <f>IF('ORDENES'!$A1097="","",IF('ORDENES'!$W1097="","-",'ORDENES'!$W1097))</f>
        <v/>
      </c>
      <c r="H1119" s="3">
        <f>IF('ORDENES'!$A1097="","",IF('ORDENES'!$AE1097="","-",'ORDENES'!$AE1097))</f>
        <v/>
      </c>
      <c r="I1119" s="3">
        <f>IF('ORDENES'!$A1097="","",IF('ORDENES'!$AQ1097="","-",'ORDENES'!$AQ1097))</f>
        <v/>
      </c>
      <c r="J1119" s="3">
        <f>IF('ORDENES'!$A1097="","",IF('ORDENES'!$D1097="","-",'ORDENES'!$D1097))</f>
        <v/>
      </c>
      <c r="K1119" s="3">
        <f>IF('ORDENES'!$A1097="","",IF('ORDENES'!$E1097="","-",'ORDENES'!$E1097))</f>
        <v/>
      </c>
      <c r="L1119" s="13">
        <f>IF('ORDENES'!$A1097="","",IF('ORDENES'!$M1097="",0,'ORDENES'!$M1097))</f>
        <v/>
      </c>
      <c r="M1119" s="3">
        <f>IF('ORDENES'!$A1097="","",IF('ORDENES'!$N1097="","-",'ORDENES'!$N1097))</f>
        <v/>
      </c>
      <c r="N1119" s="3">
        <f>IF('ORDENES'!$A1097="","",'ORDENES'!$AD1097)</f>
        <v/>
      </c>
    </row>
    <row r="1120">
      <c r="A1120" s="3">
        <f>IF('ORDENES'!$A1098="","",IF('ORDENES'!$O1098="","-",'ORDENES'!$O1098))</f>
        <v/>
      </c>
      <c r="B1120" s="3">
        <f>IF('ORDENES'!$A1098="","",IF('ORDENES'!$R1098="","-",'ORDENES'!$R1098))</f>
        <v/>
      </c>
      <c r="C1120" s="3">
        <f>IF('ORDENES'!$A1098="","",IF('ORDENES'!$AF1098="","-",'ORDENES'!$AF1098))</f>
        <v/>
      </c>
      <c r="D1120" s="3">
        <f>IF('ORDENES'!$A1098="","",IF('ORDENES'!$X1098="","-",'ORDENES'!$X1098))</f>
        <v/>
      </c>
      <c r="E1120" s="3">
        <f>IF('ORDENES'!$A1098="","",IF('ORDENES'!$V1098="","-",'ORDENES'!$V1098))</f>
        <v/>
      </c>
      <c r="F1120" s="3">
        <f>IF('ORDENES'!$A1098="","",IF('ORDENES'!$Y1098="","-",'ORDENES'!$Y1098))</f>
        <v/>
      </c>
      <c r="G1120" s="3">
        <f>IF('ORDENES'!$A1098="","",IF('ORDENES'!$W1098="","-",'ORDENES'!$W1098))</f>
        <v/>
      </c>
      <c r="H1120" s="3">
        <f>IF('ORDENES'!$A1098="","",IF('ORDENES'!$AE1098="","-",'ORDENES'!$AE1098))</f>
        <v/>
      </c>
      <c r="I1120" s="3">
        <f>IF('ORDENES'!$A1098="","",IF('ORDENES'!$AQ1098="","-",'ORDENES'!$AQ1098))</f>
        <v/>
      </c>
      <c r="J1120" s="3">
        <f>IF('ORDENES'!$A1098="","",IF('ORDENES'!$D1098="","-",'ORDENES'!$D1098))</f>
        <v/>
      </c>
      <c r="K1120" s="3">
        <f>IF('ORDENES'!$A1098="","",IF('ORDENES'!$E1098="","-",'ORDENES'!$E1098))</f>
        <v/>
      </c>
      <c r="L1120" s="13">
        <f>IF('ORDENES'!$A1098="","",IF('ORDENES'!$M1098="",0,'ORDENES'!$M1098))</f>
        <v/>
      </c>
      <c r="M1120" s="3">
        <f>IF('ORDENES'!$A1098="","",IF('ORDENES'!$N1098="","-",'ORDENES'!$N1098))</f>
        <v/>
      </c>
      <c r="N1120" s="3">
        <f>IF('ORDENES'!$A1098="","",'ORDENES'!$AD1098)</f>
        <v/>
      </c>
    </row>
    <row r="1121">
      <c r="A1121" s="3">
        <f>IF('ORDENES'!$A1099="","",IF('ORDENES'!$O1099="","-",'ORDENES'!$O1099))</f>
        <v/>
      </c>
      <c r="B1121" s="3">
        <f>IF('ORDENES'!$A1099="","",IF('ORDENES'!$R1099="","-",'ORDENES'!$R1099))</f>
        <v/>
      </c>
      <c r="C1121" s="3">
        <f>IF('ORDENES'!$A1099="","",IF('ORDENES'!$AF1099="","-",'ORDENES'!$AF1099))</f>
        <v/>
      </c>
      <c r="D1121" s="3">
        <f>IF('ORDENES'!$A1099="","",IF('ORDENES'!$X1099="","-",'ORDENES'!$X1099))</f>
        <v/>
      </c>
      <c r="E1121" s="3">
        <f>IF('ORDENES'!$A1099="","",IF('ORDENES'!$V1099="","-",'ORDENES'!$V1099))</f>
        <v/>
      </c>
      <c r="F1121" s="3">
        <f>IF('ORDENES'!$A1099="","",IF('ORDENES'!$Y1099="","-",'ORDENES'!$Y1099))</f>
        <v/>
      </c>
      <c r="G1121" s="3">
        <f>IF('ORDENES'!$A1099="","",IF('ORDENES'!$W1099="","-",'ORDENES'!$W1099))</f>
        <v/>
      </c>
      <c r="H1121" s="3">
        <f>IF('ORDENES'!$A1099="","",IF('ORDENES'!$AE1099="","-",'ORDENES'!$AE1099))</f>
        <v/>
      </c>
      <c r="I1121" s="3">
        <f>IF('ORDENES'!$A1099="","",IF('ORDENES'!$AQ1099="","-",'ORDENES'!$AQ1099))</f>
        <v/>
      </c>
      <c r="J1121" s="3">
        <f>IF('ORDENES'!$A1099="","",IF('ORDENES'!$D1099="","-",'ORDENES'!$D1099))</f>
        <v/>
      </c>
      <c r="K1121" s="3">
        <f>IF('ORDENES'!$A1099="","",IF('ORDENES'!$E1099="","-",'ORDENES'!$E1099))</f>
        <v/>
      </c>
      <c r="L1121" s="13">
        <f>IF('ORDENES'!$A1099="","",IF('ORDENES'!$M1099="",0,'ORDENES'!$M1099))</f>
        <v/>
      </c>
      <c r="M1121" s="3">
        <f>IF('ORDENES'!$A1099="","",IF('ORDENES'!$N1099="","-",'ORDENES'!$N1099))</f>
        <v/>
      </c>
      <c r="N1121" s="3">
        <f>IF('ORDENES'!$A1099="","",'ORDENES'!$AD1099)</f>
        <v/>
      </c>
    </row>
    <row r="1122">
      <c r="A1122" s="3">
        <f>IF('ORDENES'!$A1100="","",IF('ORDENES'!$O1100="","-",'ORDENES'!$O1100))</f>
        <v/>
      </c>
      <c r="B1122" s="3">
        <f>IF('ORDENES'!$A1100="","",IF('ORDENES'!$R1100="","-",'ORDENES'!$R1100))</f>
        <v/>
      </c>
      <c r="C1122" s="3">
        <f>IF('ORDENES'!$A1100="","",IF('ORDENES'!$AF1100="","-",'ORDENES'!$AF1100))</f>
        <v/>
      </c>
      <c r="D1122" s="3">
        <f>IF('ORDENES'!$A1100="","",IF('ORDENES'!$X1100="","-",'ORDENES'!$X1100))</f>
        <v/>
      </c>
      <c r="E1122" s="3">
        <f>IF('ORDENES'!$A1100="","",IF('ORDENES'!$V1100="","-",'ORDENES'!$V1100))</f>
        <v/>
      </c>
      <c r="F1122" s="3">
        <f>IF('ORDENES'!$A1100="","",IF('ORDENES'!$Y1100="","-",'ORDENES'!$Y1100))</f>
        <v/>
      </c>
      <c r="G1122" s="3">
        <f>IF('ORDENES'!$A1100="","",IF('ORDENES'!$W1100="","-",'ORDENES'!$W1100))</f>
        <v/>
      </c>
      <c r="H1122" s="3">
        <f>IF('ORDENES'!$A1100="","",IF('ORDENES'!$AE1100="","-",'ORDENES'!$AE1100))</f>
        <v/>
      </c>
      <c r="I1122" s="3">
        <f>IF('ORDENES'!$A1100="","",IF('ORDENES'!$AQ1100="","-",'ORDENES'!$AQ1100))</f>
        <v/>
      </c>
      <c r="J1122" s="3">
        <f>IF('ORDENES'!$A1100="","",IF('ORDENES'!$D1100="","-",'ORDENES'!$D1100))</f>
        <v/>
      </c>
      <c r="K1122" s="3">
        <f>IF('ORDENES'!$A1100="","",IF('ORDENES'!$E1100="","-",'ORDENES'!$E1100))</f>
        <v/>
      </c>
      <c r="L1122" s="13">
        <f>IF('ORDENES'!$A1100="","",IF('ORDENES'!$M1100="",0,'ORDENES'!$M1100))</f>
        <v/>
      </c>
      <c r="M1122" s="3">
        <f>IF('ORDENES'!$A1100="","",IF('ORDENES'!$N1100="","-",'ORDENES'!$N1100))</f>
        <v/>
      </c>
      <c r="N1122" s="3">
        <f>IF('ORDENES'!$A1100="","",'ORDENES'!$AD1100)</f>
        <v/>
      </c>
    </row>
    <row r="1123">
      <c r="A1123" s="3">
        <f>IF('ORDENES'!$A1101="","",IF('ORDENES'!$O1101="","-",'ORDENES'!$O1101))</f>
        <v/>
      </c>
      <c r="B1123" s="3">
        <f>IF('ORDENES'!$A1101="","",IF('ORDENES'!$R1101="","-",'ORDENES'!$R1101))</f>
        <v/>
      </c>
      <c r="C1123" s="3">
        <f>IF('ORDENES'!$A1101="","",IF('ORDENES'!$AF1101="","-",'ORDENES'!$AF1101))</f>
        <v/>
      </c>
      <c r="D1123" s="3">
        <f>IF('ORDENES'!$A1101="","",IF('ORDENES'!$X1101="","-",'ORDENES'!$X1101))</f>
        <v/>
      </c>
      <c r="E1123" s="3">
        <f>IF('ORDENES'!$A1101="","",IF('ORDENES'!$V1101="","-",'ORDENES'!$V1101))</f>
        <v/>
      </c>
      <c r="F1123" s="3">
        <f>IF('ORDENES'!$A1101="","",IF('ORDENES'!$Y1101="","-",'ORDENES'!$Y1101))</f>
        <v/>
      </c>
      <c r="G1123" s="3">
        <f>IF('ORDENES'!$A1101="","",IF('ORDENES'!$W1101="","-",'ORDENES'!$W1101))</f>
        <v/>
      </c>
      <c r="H1123" s="3">
        <f>IF('ORDENES'!$A1101="","",IF('ORDENES'!$AE1101="","-",'ORDENES'!$AE1101))</f>
        <v/>
      </c>
      <c r="I1123" s="3">
        <f>IF('ORDENES'!$A1101="","",IF('ORDENES'!$AQ1101="","-",'ORDENES'!$AQ1101))</f>
        <v/>
      </c>
      <c r="J1123" s="3">
        <f>IF('ORDENES'!$A1101="","",IF('ORDENES'!$D1101="","-",'ORDENES'!$D1101))</f>
        <v/>
      </c>
      <c r="K1123" s="3">
        <f>IF('ORDENES'!$A1101="","",IF('ORDENES'!$E1101="","-",'ORDENES'!$E1101))</f>
        <v/>
      </c>
      <c r="L1123" s="13">
        <f>IF('ORDENES'!$A1101="","",IF('ORDENES'!$M1101="",0,'ORDENES'!$M1101))</f>
        <v/>
      </c>
      <c r="M1123" s="3">
        <f>IF('ORDENES'!$A1101="","",IF('ORDENES'!$N1101="","-",'ORDENES'!$N1101))</f>
        <v/>
      </c>
      <c r="N1123" s="3">
        <f>IF('ORDENES'!$A1101="","",'ORDENES'!$AD1101)</f>
        <v/>
      </c>
    </row>
    <row r="1124">
      <c r="A1124" s="3">
        <f>IF('ORDENES'!$A1102="","",IF('ORDENES'!$O1102="","-",'ORDENES'!$O1102))</f>
        <v/>
      </c>
      <c r="B1124" s="3">
        <f>IF('ORDENES'!$A1102="","",IF('ORDENES'!$R1102="","-",'ORDENES'!$R1102))</f>
        <v/>
      </c>
      <c r="C1124" s="3">
        <f>IF('ORDENES'!$A1102="","",IF('ORDENES'!$AF1102="","-",'ORDENES'!$AF1102))</f>
        <v/>
      </c>
      <c r="D1124" s="3">
        <f>IF('ORDENES'!$A1102="","",IF('ORDENES'!$X1102="","-",'ORDENES'!$X1102))</f>
        <v/>
      </c>
      <c r="E1124" s="3">
        <f>IF('ORDENES'!$A1102="","",IF('ORDENES'!$V1102="","-",'ORDENES'!$V1102))</f>
        <v/>
      </c>
      <c r="F1124" s="3">
        <f>IF('ORDENES'!$A1102="","",IF('ORDENES'!$Y1102="","-",'ORDENES'!$Y1102))</f>
        <v/>
      </c>
      <c r="G1124" s="3">
        <f>IF('ORDENES'!$A1102="","",IF('ORDENES'!$W1102="","-",'ORDENES'!$W1102))</f>
        <v/>
      </c>
      <c r="H1124" s="3">
        <f>IF('ORDENES'!$A1102="","",IF('ORDENES'!$AE1102="","-",'ORDENES'!$AE1102))</f>
        <v/>
      </c>
      <c r="I1124" s="3">
        <f>IF('ORDENES'!$A1102="","",IF('ORDENES'!$AQ1102="","-",'ORDENES'!$AQ1102))</f>
        <v/>
      </c>
      <c r="J1124" s="3">
        <f>IF('ORDENES'!$A1102="","",IF('ORDENES'!$D1102="","-",'ORDENES'!$D1102))</f>
        <v/>
      </c>
      <c r="K1124" s="3">
        <f>IF('ORDENES'!$A1102="","",IF('ORDENES'!$E1102="","-",'ORDENES'!$E1102))</f>
        <v/>
      </c>
      <c r="L1124" s="13">
        <f>IF('ORDENES'!$A1102="","",IF('ORDENES'!$M1102="",0,'ORDENES'!$M1102))</f>
        <v/>
      </c>
      <c r="M1124" s="3">
        <f>IF('ORDENES'!$A1102="","",IF('ORDENES'!$N1102="","-",'ORDENES'!$N1102))</f>
        <v/>
      </c>
      <c r="N1124" s="3">
        <f>IF('ORDENES'!$A1102="","",'ORDENES'!$AD1102)</f>
        <v/>
      </c>
    </row>
    <row r="1125">
      <c r="A1125" s="3">
        <f>IF('ORDENES'!$A1103="","",IF('ORDENES'!$O1103="","-",'ORDENES'!$O1103))</f>
        <v/>
      </c>
      <c r="B1125" s="3">
        <f>IF('ORDENES'!$A1103="","",IF('ORDENES'!$R1103="","-",'ORDENES'!$R1103))</f>
        <v/>
      </c>
      <c r="C1125" s="3">
        <f>IF('ORDENES'!$A1103="","",IF('ORDENES'!$AF1103="","-",'ORDENES'!$AF1103))</f>
        <v/>
      </c>
      <c r="D1125" s="3">
        <f>IF('ORDENES'!$A1103="","",IF('ORDENES'!$X1103="","-",'ORDENES'!$X1103))</f>
        <v/>
      </c>
      <c r="E1125" s="3">
        <f>IF('ORDENES'!$A1103="","",IF('ORDENES'!$V1103="","-",'ORDENES'!$V1103))</f>
        <v/>
      </c>
      <c r="F1125" s="3">
        <f>IF('ORDENES'!$A1103="","",IF('ORDENES'!$Y1103="","-",'ORDENES'!$Y1103))</f>
        <v/>
      </c>
      <c r="G1125" s="3">
        <f>IF('ORDENES'!$A1103="","",IF('ORDENES'!$W1103="","-",'ORDENES'!$W1103))</f>
        <v/>
      </c>
      <c r="H1125" s="3">
        <f>IF('ORDENES'!$A1103="","",IF('ORDENES'!$AE1103="","-",'ORDENES'!$AE1103))</f>
        <v/>
      </c>
      <c r="I1125" s="3">
        <f>IF('ORDENES'!$A1103="","",IF('ORDENES'!$AQ1103="","-",'ORDENES'!$AQ1103))</f>
        <v/>
      </c>
      <c r="J1125" s="3">
        <f>IF('ORDENES'!$A1103="","",IF('ORDENES'!$D1103="","-",'ORDENES'!$D1103))</f>
        <v/>
      </c>
      <c r="K1125" s="3">
        <f>IF('ORDENES'!$A1103="","",IF('ORDENES'!$E1103="","-",'ORDENES'!$E1103))</f>
        <v/>
      </c>
      <c r="L1125" s="13">
        <f>IF('ORDENES'!$A1103="","",IF('ORDENES'!$M1103="",0,'ORDENES'!$M1103))</f>
        <v/>
      </c>
      <c r="M1125" s="3">
        <f>IF('ORDENES'!$A1103="","",IF('ORDENES'!$N1103="","-",'ORDENES'!$N1103))</f>
        <v/>
      </c>
      <c r="N1125" s="3">
        <f>IF('ORDENES'!$A1103="","",'ORDENES'!$AD1103)</f>
        <v/>
      </c>
    </row>
    <row r="1126">
      <c r="A1126" s="3">
        <f>IF('ORDENES'!$A1104="","",IF('ORDENES'!$O1104="","-",'ORDENES'!$O1104))</f>
        <v/>
      </c>
      <c r="B1126" s="3">
        <f>IF('ORDENES'!$A1104="","",IF('ORDENES'!$R1104="","-",'ORDENES'!$R1104))</f>
        <v/>
      </c>
      <c r="C1126" s="3">
        <f>IF('ORDENES'!$A1104="","",IF('ORDENES'!$AF1104="","-",'ORDENES'!$AF1104))</f>
        <v/>
      </c>
      <c r="D1126" s="3">
        <f>IF('ORDENES'!$A1104="","",IF('ORDENES'!$X1104="","-",'ORDENES'!$X1104))</f>
        <v/>
      </c>
      <c r="E1126" s="3">
        <f>IF('ORDENES'!$A1104="","",IF('ORDENES'!$V1104="","-",'ORDENES'!$V1104))</f>
        <v/>
      </c>
      <c r="F1126" s="3">
        <f>IF('ORDENES'!$A1104="","",IF('ORDENES'!$Y1104="","-",'ORDENES'!$Y1104))</f>
        <v/>
      </c>
      <c r="G1126" s="3">
        <f>IF('ORDENES'!$A1104="","",IF('ORDENES'!$W1104="","-",'ORDENES'!$W1104))</f>
        <v/>
      </c>
      <c r="H1126" s="3">
        <f>IF('ORDENES'!$A1104="","",IF('ORDENES'!$AE1104="","-",'ORDENES'!$AE1104))</f>
        <v/>
      </c>
      <c r="I1126" s="3">
        <f>IF('ORDENES'!$A1104="","",IF('ORDENES'!$AQ1104="","-",'ORDENES'!$AQ1104))</f>
        <v/>
      </c>
      <c r="J1126" s="3">
        <f>IF('ORDENES'!$A1104="","",IF('ORDENES'!$D1104="","-",'ORDENES'!$D1104))</f>
        <v/>
      </c>
      <c r="K1126" s="3">
        <f>IF('ORDENES'!$A1104="","",IF('ORDENES'!$E1104="","-",'ORDENES'!$E1104))</f>
        <v/>
      </c>
      <c r="L1126" s="13">
        <f>IF('ORDENES'!$A1104="","",IF('ORDENES'!$M1104="",0,'ORDENES'!$M1104))</f>
        <v/>
      </c>
      <c r="M1126" s="3">
        <f>IF('ORDENES'!$A1104="","",IF('ORDENES'!$N1104="","-",'ORDENES'!$N1104))</f>
        <v/>
      </c>
      <c r="N1126" s="3">
        <f>IF('ORDENES'!$A1104="","",'ORDENES'!$AD1104)</f>
        <v/>
      </c>
    </row>
    <row r="1127">
      <c r="A1127" s="3">
        <f>IF('ORDENES'!$A1105="","",IF('ORDENES'!$O1105="","-",'ORDENES'!$O1105))</f>
        <v/>
      </c>
      <c r="B1127" s="3">
        <f>IF('ORDENES'!$A1105="","",IF('ORDENES'!$R1105="","-",'ORDENES'!$R1105))</f>
        <v/>
      </c>
      <c r="C1127" s="3">
        <f>IF('ORDENES'!$A1105="","",IF('ORDENES'!$AF1105="","-",'ORDENES'!$AF1105))</f>
        <v/>
      </c>
      <c r="D1127" s="3">
        <f>IF('ORDENES'!$A1105="","",IF('ORDENES'!$X1105="","-",'ORDENES'!$X1105))</f>
        <v/>
      </c>
      <c r="E1127" s="3">
        <f>IF('ORDENES'!$A1105="","",IF('ORDENES'!$V1105="","-",'ORDENES'!$V1105))</f>
        <v/>
      </c>
      <c r="F1127" s="3">
        <f>IF('ORDENES'!$A1105="","",IF('ORDENES'!$Y1105="","-",'ORDENES'!$Y1105))</f>
        <v/>
      </c>
      <c r="G1127" s="3">
        <f>IF('ORDENES'!$A1105="","",IF('ORDENES'!$W1105="","-",'ORDENES'!$W1105))</f>
        <v/>
      </c>
      <c r="H1127" s="3">
        <f>IF('ORDENES'!$A1105="","",IF('ORDENES'!$AE1105="","-",'ORDENES'!$AE1105))</f>
        <v/>
      </c>
      <c r="I1127" s="3">
        <f>IF('ORDENES'!$A1105="","",IF('ORDENES'!$AQ1105="","-",'ORDENES'!$AQ1105))</f>
        <v/>
      </c>
      <c r="J1127" s="3">
        <f>IF('ORDENES'!$A1105="","",IF('ORDENES'!$D1105="","-",'ORDENES'!$D1105))</f>
        <v/>
      </c>
      <c r="K1127" s="3">
        <f>IF('ORDENES'!$A1105="","",IF('ORDENES'!$E1105="","-",'ORDENES'!$E1105))</f>
        <v/>
      </c>
      <c r="L1127" s="13">
        <f>IF('ORDENES'!$A1105="","",IF('ORDENES'!$M1105="",0,'ORDENES'!$M1105))</f>
        <v/>
      </c>
      <c r="M1127" s="3">
        <f>IF('ORDENES'!$A1105="","",IF('ORDENES'!$N1105="","-",'ORDENES'!$N1105))</f>
        <v/>
      </c>
      <c r="N1127" s="3">
        <f>IF('ORDENES'!$A1105="","",'ORDENES'!$AD1105)</f>
        <v/>
      </c>
    </row>
    <row r="1128">
      <c r="A1128" s="3">
        <f>IF('ORDENES'!$A1106="","",IF('ORDENES'!$O1106="","-",'ORDENES'!$O1106))</f>
        <v/>
      </c>
      <c r="B1128" s="3">
        <f>IF('ORDENES'!$A1106="","",IF('ORDENES'!$R1106="","-",'ORDENES'!$R1106))</f>
        <v/>
      </c>
      <c r="C1128" s="3">
        <f>IF('ORDENES'!$A1106="","",IF('ORDENES'!$AF1106="","-",'ORDENES'!$AF1106))</f>
        <v/>
      </c>
      <c r="D1128" s="3">
        <f>IF('ORDENES'!$A1106="","",IF('ORDENES'!$X1106="","-",'ORDENES'!$X1106))</f>
        <v/>
      </c>
      <c r="E1128" s="3">
        <f>IF('ORDENES'!$A1106="","",IF('ORDENES'!$V1106="","-",'ORDENES'!$V1106))</f>
        <v/>
      </c>
      <c r="F1128" s="3">
        <f>IF('ORDENES'!$A1106="","",IF('ORDENES'!$Y1106="","-",'ORDENES'!$Y1106))</f>
        <v/>
      </c>
      <c r="G1128" s="3">
        <f>IF('ORDENES'!$A1106="","",IF('ORDENES'!$W1106="","-",'ORDENES'!$W1106))</f>
        <v/>
      </c>
      <c r="H1128" s="3">
        <f>IF('ORDENES'!$A1106="","",IF('ORDENES'!$AE1106="","-",'ORDENES'!$AE1106))</f>
        <v/>
      </c>
      <c r="I1128" s="3">
        <f>IF('ORDENES'!$A1106="","",IF('ORDENES'!$AQ1106="","-",'ORDENES'!$AQ1106))</f>
        <v/>
      </c>
      <c r="J1128" s="3">
        <f>IF('ORDENES'!$A1106="","",IF('ORDENES'!$D1106="","-",'ORDENES'!$D1106))</f>
        <v/>
      </c>
      <c r="K1128" s="3">
        <f>IF('ORDENES'!$A1106="","",IF('ORDENES'!$E1106="","-",'ORDENES'!$E1106))</f>
        <v/>
      </c>
      <c r="L1128" s="13">
        <f>IF('ORDENES'!$A1106="","",IF('ORDENES'!$M1106="",0,'ORDENES'!$M1106))</f>
        <v/>
      </c>
      <c r="M1128" s="3">
        <f>IF('ORDENES'!$A1106="","",IF('ORDENES'!$N1106="","-",'ORDENES'!$N1106))</f>
        <v/>
      </c>
      <c r="N1128" s="3">
        <f>IF('ORDENES'!$A1106="","",'ORDENES'!$AD1106)</f>
        <v/>
      </c>
    </row>
    <row r="1129">
      <c r="A1129" s="3">
        <f>IF('ORDENES'!$A1107="","",IF('ORDENES'!$O1107="","-",'ORDENES'!$O1107))</f>
        <v/>
      </c>
      <c r="B1129" s="3">
        <f>IF('ORDENES'!$A1107="","",IF('ORDENES'!$R1107="","-",'ORDENES'!$R1107))</f>
        <v/>
      </c>
      <c r="C1129" s="3">
        <f>IF('ORDENES'!$A1107="","",IF('ORDENES'!$AF1107="","-",'ORDENES'!$AF1107))</f>
        <v/>
      </c>
      <c r="D1129" s="3">
        <f>IF('ORDENES'!$A1107="","",IF('ORDENES'!$X1107="","-",'ORDENES'!$X1107))</f>
        <v/>
      </c>
      <c r="E1129" s="3">
        <f>IF('ORDENES'!$A1107="","",IF('ORDENES'!$V1107="","-",'ORDENES'!$V1107))</f>
        <v/>
      </c>
      <c r="F1129" s="3">
        <f>IF('ORDENES'!$A1107="","",IF('ORDENES'!$Y1107="","-",'ORDENES'!$Y1107))</f>
        <v/>
      </c>
      <c r="G1129" s="3">
        <f>IF('ORDENES'!$A1107="","",IF('ORDENES'!$W1107="","-",'ORDENES'!$W1107))</f>
        <v/>
      </c>
      <c r="H1129" s="3">
        <f>IF('ORDENES'!$A1107="","",IF('ORDENES'!$AE1107="","-",'ORDENES'!$AE1107))</f>
        <v/>
      </c>
      <c r="I1129" s="3">
        <f>IF('ORDENES'!$A1107="","",IF('ORDENES'!$AQ1107="","-",'ORDENES'!$AQ1107))</f>
        <v/>
      </c>
      <c r="J1129" s="3">
        <f>IF('ORDENES'!$A1107="","",IF('ORDENES'!$D1107="","-",'ORDENES'!$D1107))</f>
        <v/>
      </c>
      <c r="K1129" s="3">
        <f>IF('ORDENES'!$A1107="","",IF('ORDENES'!$E1107="","-",'ORDENES'!$E1107))</f>
        <v/>
      </c>
      <c r="L1129" s="13">
        <f>IF('ORDENES'!$A1107="","",IF('ORDENES'!$M1107="",0,'ORDENES'!$M1107))</f>
        <v/>
      </c>
      <c r="M1129" s="3">
        <f>IF('ORDENES'!$A1107="","",IF('ORDENES'!$N1107="","-",'ORDENES'!$N1107))</f>
        <v/>
      </c>
      <c r="N1129" s="3">
        <f>IF('ORDENES'!$A1107="","",'ORDENES'!$AD1107)</f>
        <v/>
      </c>
    </row>
    <row r="1130">
      <c r="A1130" s="3">
        <f>IF('ORDENES'!$A1108="","",IF('ORDENES'!$O1108="","-",'ORDENES'!$O1108))</f>
        <v/>
      </c>
      <c r="B1130" s="3">
        <f>IF('ORDENES'!$A1108="","",IF('ORDENES'!$R1108="","-",'ORDENES'!$R1108))</f>
        <v/>
      </c>
      <c r="C1130" s="3">
        <f>IF('ORDENES'!$A1108="","",IF('ORDENES'!$AF1108="","-",'ORDENES'!$AF1108))</f>
        <v/>
      </c>
      <c r="D1130" s="3">
        <f>IF('ORDENES'!$A1108="","",IF('ORDENES'!$X1108="","-",'ORDENES'!$X1108))</f>
        <v/>
      </c>
      <c r="E1130" s="3">
        <f>IF('ORDENES'!$A1108="","",IF('ORDENES'!$V1108="","-",'ORDENES'!$V1108))</f>
        <v/>
      </c>
      <c r="F1130" s="3">
        <f>IF('ORDENES'!$A1108="","",IF('ORDENES'!$Y1108="","-",'ORDENES'!$Y1108))</f>
        <v/>
      </c>
      <c r="G1130" s="3">
        <f>IF('ORDENES'!$A1108="","",IF('ORDENES'!$W1108="","-",'ORDENES'!$W1108))</f>
        <v/>
      </c>
      <c r="H1130" s="3">
        <f>IF('ORDENES'!$A1108="","",IF('ORDENES'!$AE1108="","-",'ORDENES'!$AE1108))</f>
        <v/>
      </c>
      <c r="I1130" s="3">
        <f>IF('ORDENES'!$A1108="","",IF('ORDENES'!$AQ1108="","-",'ORDENES'!$AQ1108))</f>
        <v/>
      </c>
      <c r="J1130" s="3">
        <f>IF('ORDENES'!$A1108="","",IF('ORDENES'!$D1108="","-",'ORDENES'!$D1108))</f>
        <v/>
      </c>
      <c r="K1130" s="3">
        <f>IF('ORDENES'!$A1108="","",IF('ORDENES'!$E1108="","-",'ORDENES'!$E1108))</f>
        <v/>
      </c>
      <c r="L1130" s="13">
        <f>IF('ORDENES'!$A1108="","",IF('ORDENES'!$M1108="",0,'ORDENES'!$M1108))</f>
        <v/>
      </c>
      <c r="M1130" s="3">
        <f>IF('ORDENES'!$A1108="","",IF('ORDENES'!$N1108="","-",'ORDENES'!$N1108))</f>
        <v/>
      </c>
      <c r="N1130" s="3">
        <f>IF('ORDENES'!$A1108="","",'ORDENES'!$AD1108)</f>
        <v/>
      </c>
    </row>
    <row r="1131">
      <c r="A1131" s="3">
        <f>IF('ORDENES'!$A1109="","",IF('ORDENES'!$O1109="","-",'ORDENES'!$O1109))</f>
        <v/>
      </c>
      <c r="B1131" s="3">
        <f>IF('ORDENES'!$A1109="","",IF('ORDENES'!$R1109="","-",'ORDENES'!$R1109))</f>
        <v/>
      </c>
      <c r="C1131" s="3">
        <f>IF('ORDENES'!$A1109="","",IF('ORDENES'!$AF1109="","-",'ORDENES'!$AF1109))</f>
        <v/>
      </c>
      <c r="D1131" s="3">
        <f>IF('ORDENES'!$A1109="","",IF('ORDENES'!$X1109="","-",'ORDENES'!$X1109))</f>
        <v/>
      </c>
      <c r="E1131" s="3">
        <f>IF('ORDENES'!$A1109="","",IF('ORDENES'!$V1109="","-",'ORDENES'!$V1109))</f>
        <v/>
      </c>
      <c r="F1131" s="3">
        <f>IF('ORDENES'!$A1109="","",IF('ORDENES'!$Y1109="","-",'ORDENES'!$Y1109))</f>
        <v/>
      </c>
      <c r="G1131" s="3">
        <f>IF('ORDENES'!$A1109="","",IF('ORDENES'!$W1109="","-",'ORDENES'!$W1109))</f>
        <v/>
      </c>
      <c r="H1131" s="3">
        <f>IF('ORDENES'!$A1109="","",IF('ORDENES'!$AE1109="","-",'ORDENES'!$AE1109))</f>
        <v/>
      </c>
      <c r="I1131" s="3">
        <f>IF('ORDENES'!$A1109="","",IF('ORDENES'!$AQ1109="","-",'ORDENES'!$AQ1109))</f>
        <v/>
      </c>
      <c r="J1131" s="3">
        <f>IF('ORDENES'!$A1109="","",IF('ORDENES'!$D1109="","-",'ORDENES'!$D1109))</f>
        <v/>
      </c>
      <c r="K1131" s="3">
        <f>IF('ORDENES'!$A1109="","",IF('ORDENES'!$E1109="","-",'ORDENES'!$E1109))</f>
        <v/>
      </c>
      <c r="L1131" s="13">
        <f>IF('ORDENES'!$A1109="","",IF('ORDENES'!$M1109="",0,'ORDENES'!$M1109))</f>
        <v/>
      </c>
      <c r="M1131" s="3">
        <f>IF('ORDENES'!$A1109="","",IF('ORDENES'!$N1109="","-",'ORDENES'!$N1109))</f>
        <v/>
      </c>
      <c r="N1131" s="3">
        <f>IF('ORDENES'!$A1109="","",'ORDENES'!$AD1109)</f>
        <v/>
      </c>
    </row>
    <row r="1132">
      <c r="A1132" s="3">
        <f>IF('ORDENES'!$A1110="","",IF('ORDENES'!$O1110="","-",'ORDENES'!$O1110))</f>
        <v/>
      </c>
      <c r="B1132" s="3">
        <f>IF('ORDENES'!$A1110="","",IF('ORDENES'!$R1110="","-",'ORDENES'!$R1110))</f>
        <v/>
      </c>
      <c r="C1132" s="3">
        <f>IF('ORDENES'!$A1110="","",IF('ORDENES'!$AF1110="","-",'ORDENES'!$AF1110))</f>
        <v/>
      </c>
      <c r="D1132" s="3">
        <f>IF('ORDENES'!$A1110="","",IF('ORDENES'!$X1110="","-",'ORDENES'!$X1110))</f>
        <v/>
      </c>
      <c r="E1132" s="3">
        <f>IF('ORDENES'!$A1110="","",IF('ORDENES'!$V1110="","-",'ORDENES'!$V1110))</f>
        <v/>
      </c>
      <c r="F1132" s="3">
        <f>IF('ORDENES'!$A1110="","",IF('ORDENES'!$Y1110="","-",'ORDENES'!$Y1110))</f>
        <v/>
      </c>
      <c r="G1132" s="3">
        <f>IF('ORDENES'!$A1110="","",IF('ORDENES'!$W1110="","-",'ORDENES'!$W1110))</f>
        <v/>
      </c>
      <c r="H1132" s="3">
        <f>IF('ORDENES'!$A1110="","",IF('ORDENES'!$AE1110="","-",'ORDENES'!$AE1110))</f>
        <v/>
      </c>
      <c r="I1132" s="3">
        <f>IF('ORDENES'!$A1110="","",IF('ORDENES'!$AQ1110="","-",'ORDENES'!$AQ1110))</f>
        <v/>
      </c>
      <c r="J1132" s="3">
        <f>IF('ORDENES'!$A1110="","",IF('ORDENES'!$D1110="","-",'ORDENES'!$D1110))</f>
        <v/>
      </c>
      <c r="K1132" s="3">
        <f>IF('ORDENES'!$A1110="","",IF('ORDENES'!$E1110="","-",'ORDENES'!$E1110))</f>
        <v/>
      </c>
      <c r="L1132" s="13">
        <f>IF('ORDENES'!$A1110="","",IF('ORDENES'!$M1110="",0,'ORDENES'!$M1110))</f>
        <v/>
      </c>
      <c r="M1132" s="3">
        <f>IF('ORDENES'!$A1110="","",IF('ORDENES'!$N1110="","-",'ORDENES'!$N1110))</f>
        <v/>
      </c>
      <c r="N1132" s="3">
        <f>IF('ORDENES'!$A1110="","",'ORDENES'!$AD1110)</f>
        <v/>
      </c>
    </row>
    <row r="1133">
      <c r="A1133" s="3">
        <f>IF('ORDENES'!$A1111="","",IF('ORDENES'!$O1111="","-",'ORDENES'!$O1111))</f>
        <v/>
      </c>
      <c r="B1133" s="3">
        <f>IF('ORDENES'!$A1111="","",IF('ORDENES'!$R1111="","-",'ORDENES'!$R1111))</f>
        <v/>
      </c>
      <c r="C1133" s="3">
        <f>IF('ORDENES'!$A1111="","",IF('ORDENES'!$AF1111="","-",'ORDENES'!$AF1111))</f>
        <v/>
      </c>
      <c r="D1133" s="3">
        <f>IF('ORDENES'!$A1111="","",IF('ORDENES'!$X1111="","-",'ORDENES'!$X1111))</f>
        <v/>
      </c>
      <c r="E1133" s="3">
        <f>IF('ORDENES'!$A1111="","",IF('ORDENES'!$V1111="","-",'ORDENES'!$V1111))</f>
        <v/>
      </c>
      <c r="F1133" s="3">
        <f>IF('ORDENES'!$A1111="","",IF('ORDENES'!$Y1111="","-",'ORDENES'!$Y1111))</f>
        <v/>
      </c>
      <c r="G1133" s="3">
        <f>IF('ORDENES'!$A1111="","",IF('ORDENES'!$W1111="","-",'ORDENES'!$W1111))</f>
        <v/>
      </c>
      <c r="H1133" s="3">
        <f>IF('ORDENES'!$A1111="","",IF('ORDENES'!$AE1111="","-",'ORDENES'!$AE1111))</f>
        <v/>
      </c>
      <c r="I1133" s="3">
        <f>IF('ORDENES'!$A1111="","",IF('ORDENES'!$AQ1111="","-",'ORDENES'!$AQ1111))</f>
        <v/>
      </c>
      <c r="J1133" s="3">
        <f>IF('ORDENES'!$A1111="","",IF('ORDENES'!$D1111="","-",'ORDENES'!$D1111))</f>
        <v/>
      </c>
      <c r="K1133" s="3">
        <f>IF('ORDENES'!$A1111="","",IF('ORDENES'!$E1111="","-",'ORDENES'!$E1111))</f>
        <v/>
      </c>
      <c r="L1133" s="13">
        <f>IF('ORDENES'!$A1111="","",IF('ORDENES'!$M1111="",0,'ORDENES'!$M1111))</f>
        <v/>
      </c>
      <c r="M1133" s="3">
        <f>IF('ORDENES'!$A1111="","",IF('ORDENES'!$N1111="","-",'ORDENES'!$N1111))</f>
        <v/>
      </c>
      <c r="N1133" s="3">
        <f>IF('ORDENES'!$A1111="","",'ORDENES'!$AD1111)</f>
        <v/>
      </c>
    </row>
    <row r="1134">
      <c r="A1134" s="3">
        <f>IF('ORDENES'!$A1112="","",IF('ORDENES'!$O1112="","-",'ORDENES'!$O1112))</f>
        <v/>
      </c>
      <c r="B1134" s="3">
        <f>IF('ORDENES'!$A1112="","",IF('ORDENES'!$R1112="","-",'ORDENES'!$R1112))</f>
        <v/>
      </c>
      <c r="C1134" s="3">
        <f>IF('ORDENES'!$A1112="","",IF('ORDENES'!$AF1112="","-",'ORDENES'!$AF1112))</f>
        <v/>
      </c>
      <c r="D1134" s="3">
        <f>IF('ORDENES'!$A1112="","",IF('ORDENES'!$X1112="","-",'ORDENES'!$X1112))</f>
        <v/>
      </c>
      <c r="E1134" s="3">
        <f>IF('ORDENES'!$A1112="","",IF('ORDENES'!$V1112="","-",'ORDENES'!$V1112))</f>
        <v/>
      </c>
      <c r="F1134" s="3">
        <f>IF('ORDENES'!$A1112="","",IF('ORDENES'!$Y1112="","-",'ORDENES'!$Y1112))</f>
        <v/>
      </c>
      <c r="G1134" s="3">
        <f>IF('ORDENES'!$A1112="","",IF('ORDENES'!$W1112="","-",'ORDENES'!$W1112))</f>
        <v/>
      </c>
      <c r="H1134" s="3">
        <f>IF('ORDENES'!$A1112="","",IF('ORDENES'!$AE1112="","-",'ORDENES'!$AE1112))</f>
        <v/>
      </c>
      <c r="I1134" s="3">
        <f>IF('ORDENES'!$A1112="","",IF('ORDENES'!$AQ1112="","-",'ORDENES'!$AQ1112))</f>
        <v/>
      </c>
      <c r="J1134" s="3">
        <f>IF('ORDENES'!$A1112="","",IF('ORDENES'!$D1112="","-",'ORDENES'!$D1112))</f>
        <v/>
      </c>
      <c r="K1134" s="3">
        <f>IF('ORDENES'!$A1112="","",IF('ORDENES'!$E1112="","-",'ORDENES'!$E1112))</f>
        <v/>
      </c>
      <c r="L1134" s="13">
        <f>IF('ORDENES'!$A1112="","",IF('ORDENES'!$M1112="",0,'ORDENES'!$M1112))</f>
        <v/>
      </c>
      <c r="M1134" s="3">
        <f>IF('ORDENES'!$A1112="","",IF('ORDENES'!$N1112="","-",'ORDENES'!$N1112))</f>
        <v/>
      </c>
      <c r="N1134" s="3">
        <f>IF('ORDENES'!$A1112="","",'ORDENES'!$AD1112)</f>
        <v/>
      </c>
    </row>
    <row r="1135">
      <c r="A1135" s="3">
        <f>IF('ORDENES'!$A1113="","",IF('ORDENES'!$O1113="","-",'ORDENES'!$O1113))</f>
        <v/>
      </c>
      <c r="B1135" s="3">
        <f>IF('ORDENES'!$A1113="","",IF('ORDENES'!$R1113="","-",'ORDENES'!$R1113))</f>
        <v/>
      </c>
      <c r="C1135" s="3">
        <f>IF('ORDENES'!$A1113="","",IF('ORDENES'!$AF1113="","-",'ORDENES'!$AF1113))</f>
        <v/>
      </c>
      <c r="D1135" s="3">
        <f>IF('ORDENES'!$A1113="","",IF('ORDENES'!$X1113="","-",'ORDENES'!$X1113))</f>
        <v/>
      </c>
      <c r="E1135" s="3">
        <f>IF('ORDENES'!$A1113="","",IF('ORDENES'!$V1113="","-",'ORDENES'!$V1113))</f>
        <v/>
      </c>
      <c r="F1135" s="3">
        <f>IF('ORDENES'!$A1113="","",IF('ORDENES'!$Y1113="","-",'ORDENES'!$Y1113))</f>
        <v/>
      </c>
      <c r="G1135" s="3">
        <f>IF('ORDENES'!$A1113="","",IF('ORDENES'!$W1113="","-",'ORDENES'!$W1113))</f>
        <v/>
      </c>
      <c r="H1135" s="3">
        <f>IF('ORDENES'!$A1113="","",IF('ORDENES'!$AE1113="","-",'ORDENES'!$AE1113))</f>
        <v/>
      </c>
      <c r="I1135" s="3">
        <f>IF('ORDENES'!$A1113="","",IF('ORDENES'!$AQ1113="","-",'ORDENES'!$AQ1113))</f>
        <v/>
      </c>
      <c r="J1135" s="3">
        <f>IF('ORDENES'!$A1113="","",IF('ORDENES'!$D1113="","-",'ORDENES'!$D1113))</f>
        <v/>
      </c>
      <c r="K1135" s="3">
        <f>IF('ORDENES'!$A1113="","",IF('ORDENES'!$E1113="","-",'ORDENES'!$E1113))</f>
        <v/>
      </c>
      <c r="L1135" s="13">
        <f>IF('ORDENES'!$A1113="","",IF('ORDENES'!$M1113="",0,'ORDENES'!$M1113))</f>
        <v/>
      </c>
      <c r="M1135" s="3">
        <f>IF('ORDENES'!$A1113="","",IF('ORDENES'!$N1113="","-",'ORDENES'!$N1113))</f>
        <v/>
      </c>
      <c r="N1135" s="3">
        <f>IF('ORDENES'!$A1113="","",'ORDENES'!$AD1113)</f>
        <v/>
      </c>
    </row>
    <row r="1136">
      <c r="A1136" s="3">
        <f>IF('ORDENES'!$A1114="","",IF('ORDENES'!$O1114="","-",'ORDENES'!$O1114))</f>
        <v/>
      </c>
      <c r="B1136" s="3">
        <f>IF('ORDENES'!$A1114="","",IF('ORDENES'!$R1114="","-",'ORDENES'!$R1114))</f>
        <v/>
      </c>
      <c r="C1136" s="3">
        <f>IF('ORDENES'!$A1114="","",IF('ORDENES'!$AF1114="","-",'ORDENES'!$AF1114))</f>
        <v/>
      </c>
      <c r="D1136" s="3">
        <f>IF('ORDENES'!$A1114="","",IF('ORDENES'!$X1114="","-",'ORDENES'!$X1114))</f>
        <v/>
      </c>
      <c r="E1136" s="3">
        <f>IF('ORDENES'!$A1114="","",IF('ORDENES'!$V1114="","-",'ORDENES'!$V1114))</f>
        <v/>
      </c>
      <c r="F1136" s="3">
        <f>IF('ORDENES'!$A1114="","",IF('ORDENES'!$Y1114="","-",'ORDENES'!$Y1114))</f>
        <v/>
      </c>
      <c r="G1136" s="3">
        <f>IF('ORDENES'!$A1114="","",IF('ORDENES'!$W1114="","-",'ORDENES'!$W1114))</f>
        <v/>
      </c>
      <c r="H1136" s="3">
        <f>IF('ORDENES'!$A1114="","",IF('ORDENES'!$AE1114="","-",'ORDENES'!$AE1114))</f>
        <v/>
      </c>
      <c r="I1136" s="3">
        <f>IF('ORDENES'!$A1114="","",IF('ORDENES'!$AQ1114="","-",'ORDENES'!$AQ1114))</f>
        <v/>
      </c>
      <c r="J1136" s="3">
        <f>IF('ORDENES'!$A1114="","",IF('ORDENES'!$D1114="","-",'ORDENES'!$D1114))</f>
        <v/>
      </c>
      <c r="K1136" s="3">
        <f>IF('ORDENES'!$A1114="","",IF('ORDENES'!$E1114="","-",'ORDENES'!$E1114))</f>
        <v/>
      </c>
      <c r="L1136" s="13">
        <f>IF('ORDENES'!$A1114="","",IF('ORDENES'!$M1114="",0,'ORDENES'!$M1114))</f>
        <v/>
      </c>
      <c r="M1136" s="3">
        <f>IF('ORDENES'!$A1114="","",IF('ORDENES'!$N1114="","-",'ORDENES'!$N1114))</f>
        <v/>
      </c>
      <c r="N1136" s="3">
        <f>IF('ORDENES'!$A1114="","",'ORDENES'!$AD1114)</f>
        <v/>
      </c>
    </row>
    <row r="1137">
      <c r="A1137" s="3">
        <f>IF('ORDENES'!$A1115="","",IF('ORDENES'!$O1115="","-",'ORDENES'!$O1115))</f>
        <v/>
      </c>
      <c r="B1137" s="3">
        <f>IF('ORDENES'!$A1115="","",IF('ORDENES'!$R1115="","-",'ORDENES'!$R1115))</f>
        <v/>
      </c>
      <c r="C1137" s="3">
        <f>IF('ORDENES'!$A1115="","",IF('ORDENES'!$AF1115="","-",'ORDENES'!$AF1115))</f>
        <v/>
      </c>
      <c r="D1137" s="3">
        <f>IF('ORDENES'!$A1115="","",IF('ORDENES'!$X1115="","-",'ORDENES'!$X1115))</f>
        <v/>
      </c>
      <c r="E1137" s="3">
        <f>IF('ORDENES'!$A1115="","",IF('ORDENES'!$V1115="","-",'ORDENES'!$V1115))</f>
        <v/>
      </c>
      <c r="F1137" s="3">
        <f>IF('ORDENES'!$A1115="","",IF('ORDENES'!$Y1115="","-",'ORDENES'!$Y1115))</f>
        <v/>
      </c>
      <c r="G1137" s="3">
        <f>IF('ORDENES'!$A1115="","",IF('ORDENES'!$W1115="","-",'ORDENES'!$W1115))</f>
        <v/>
      </c>
      <c r="H1137" s="3">
        <f>IF('ORDENES'!$A1115="","",IF('ORDENES'!$AE1115="","-",'ORDENES'!$AE1115))</f>
        <v/>
      </c>
      <c r="I1137" s="3">
        <f>IF('ORDENES'!$A1115="","",IF('ORDENES'!$AQ1115="","-",'ORDENES'!$AQ1115))</f>
        <v/>
      </c>
      <c r="J1137" s="3">
        <f>IF('ORDENES'!$A1115="","",IF('ORDENES'!$D1115="","-",'ORDENES'!$D1115))</f>
        <v/>
      </c>
      <c r="K1137" s="3">
        <f>IF('ORDENES'!$A1115="","",IF('ORDENES'!$E1115="","-",'ORDENES'!$E1115))</f>
        <v/>
      </c>
      <c r="L1137" s="13">
        <f>IF('ORDENES'!$A1115="","",IF('ORDENES'!$M1115="",0,'ORDENES'!$M1115))</f>
        <v/>
      </c>
      <c r="M1137" s="3">
        <f>IF('ORDENES'!$A1115="","",IF('ORDENES'!$N1115="","-",'ORDENES'!$N1115))</f>
        <v/>
      </c>
      <c r="N1137" s="3">
        <f>IF('ORDENES'!$A1115="","",'ORDENES'!$AD1115)</f>
        <v/>
      </c>
    </row>
    <row r="1138">
      <c r="A1138" s="3">
        <f>IF('ORDENES'!$A1116="","",IF('ORDENES'!$O1116="","-",'ORDENES'!$O1116))</f>
        <v/>
      </c>
      <c r="B1138" s="3">
        <f>IF('ORDENES'!$A1116="","",IF('ORDENES'!$R1116="","-",'ORDENES'!$R1116))</f>
        <v/>
      </c>
      <c r="C1138" s="3">
        <f>IF('ORDENES'!$A1116="","",IF('ORDENES'!$AF1116="","-",'ORDENES'!$AF1116))</f>
        <v/>
      </c>
      <c r="D1138" s="3">
        <f>IF('ORDENES'!$A1116="","",IF('ORDENES'!$X1116="","-",'ORDENES'!$X1116))</f>
        <v/>
      </c>
      <c r="E1138" s="3">
        <f>IF('ORDENES'!$A1116="","",IF('ORDENES'!$V1116="","-",'ORDENES'!$V1116))</f>
        <v/>
      </c>
      <c r="F1138" s="3">
        <f>IF('ORDENES'!$A1116="","",IF('ORDENES'!$Y1116="","-",'ORDENES'!$Y1116))</f>
        <v/>
      </c>
      <c r="G1138" s="3">
        <f>IF('ORDENES'!$A1116="","",IF('ORDENES'!$W1116="","-",'ORDENES'!$W1116))</f>
        <v/>
      </c>
      <c r="H1138" s="3">
        <f>IF('ORDENES'!$A1116="","",IF('ORDENES'!$AE1116="","-",'ORDENES'!$AE1116))</f>
        <v/>
      </c>
      <c r="I1138" s="3">
        <f>IF('ORDENES'!$A1116="","",IF('ORDENES'!$AQ1116="","-",'ORDENES'!$AQ1116))</f>
        <v/>
      </c>
      <c r="J1138" s="3">
        <f>IF('ORDENES'!$A1116="","",IF('ORDENES'!$D1116="","-",'ORDENES'!$D1116))</f>
        <v/>
      </c>
      <c r="K1138" s="3">
        <f>IF('ORDENES'!$A1116="","",IF('ORDENES'!$E1116="","-",'ORDENES'!$E1116))</f>
        <v/>
      </c>
      <c r="L1138" s="13">
        <f>IF('ORDENES'!$A1116="","",IF('ORDENES'!$M1116="",0,'ORDENES'!$M1116))</f>
        <v/>
      </c>
      <c r="M1138" s="3">
        <f>IF('ORDENES'!$A1116="","",IF('ORDENES'!$N1116="","-",'ORDENES'!$N1116))</f>
        <v/>
      </c>
      <c r="N1138" s="3">
        <f>IF('ORDENES'!$A1116="","",'ORDENES'!$AD1116)</f>
        <v/>
      </c>
    </row>
    <row r="1139">
      <c r="A1139" s="3">
        <f>IF('ORDENES'!$A1117="","",IF('ORDENES'!$O1117="","-",'ORDENES'!$O1117))</f>
        <v/>
      </c>
      <c r="B1139" s="3">
        <f>IF('ORDENES'!$A1117="","",IF('ORDENES'!$R1117="","-",'ORDENES'!$R1117))</f>
        <v/>
      </c>
      <c r="C1139" s="3">
        <f>IF('ORDENES'!$A1117="","",IF('ORDENES'!$AF1117="","-",'ORDENES'!$AF1117))</f>
        <v/>
      </c>
      <c r="D1139" s="3">
        <f>IF('ORDENES'!$A1117="","",IF('ORDENES'!$X1117="","-",'ORDENES'!$X1117))</f>
        <v/>
      </c>
      <c r="E1139" s="3">
        <f>IF('ORDENES'!$A1117="","",IF('ORDENES'!$V1117="","-",'ORDENES'!$V1117))</f>
        <v/>
      </c>
      <c r="F1139" s="3">
        <f>IF('ORDENES'!$A1117="","",IF('ORDENES'!$Y1117="","-",'ORDENES'!$Y1117))</f>
        <v/>
      </c>
      <c r="G1139" s="3">
        <f>IF('ORDENES'!$A1117="","",IF('ORDENES'!$W1117="","-",'ORDENES'!$W1117))</f>
        <v/>
      </c>
      <c r="H1139" s="3">
        <f>IF('ORDENES'!$A1117="","",IF('ORDENES'!$AE1117="","-",'ORDENES'!$AE1117))</f>
        <v/>
      </c>
      <c r="I1139" s="3">
        <f>IF('ORDENES'!$A1117="","",IF('ORDENES'!$AQ1117="","-",'ORDENES'!$AQ1117))</f>
        <v/>
      </c>
      <c r="J1139" s="3">
        <f>IF('ORDENES'!$A1117="","",IF('ORDENES'!$D1117="","-",'ORDENES'!$D1117))</f>
        <v/>
      </c>
      <c r="K1139" s="3">
        <f>IF('ORDENES'!$A1117="","",IF('ORDENES'!$E1117="","-",'ORDENES'!$E1117))</f>
        <v/>
      </c>
      <c r="L1139" s="13">
        <f>IF('ORDENES'!$A1117="","",IF('ORDENES'!$M1117="",0,'ORDENES'!$M1117))</f>
        <v/>
      </c>
      <c r="M1139" s="3">
        <f>IF('ORDENES'!$A1117="","",IF('ORDENES'!$N1117="","-",'ORDENES'!$N1117))</f>
        <v/>
      </c>
      <c r="N1139" s="3">
        <f>IF('ORDENES'!$A1117="","",'ORDENES'!$AD1117)</f>
        <v/>
      </c>
    </row>
    <row r="1140">
      <c r="A1140" s="3">
        <f>IF('ORDENES'!$A1118="","",IF('ORDENES'!$O1118="","-",'ORDENES'!$O1118))</f>
        <v/>
      </c>
      <c r="B1140" s="3">
        <f>IF('ORDENES'!$A1118="","",IF('ORDENES'!$R1118="","-",'ORDENES'!$R1118))</f>
        <v/>
      </c>
      <c r="C1140" s="3">
        <f>IF('ORDENES'!$A1118="","",IF('ORDENES'!$AF1118="","-",'ORDENES'!$AF1118))</f>
        <v/>
      </c>
      <c r="D1140" s="3">
        <f>IF('ORDENES'!$A1118="","",IF('ORDENES'!$X1118="","-",'ORDENES'!$X1118))</f>
        <v/>
      </c>
      <c r="E1140" s="3">
        <f>IF('ORDENES'!$A1118="","",IF('ORDENES'!$V1118="","-",'ORDENES'!$V1118))</f>
        <v/>
      </c>
      <c r="F1140" s="3">
        <f>IF('ORDENES'!$A1118="","",IF('ORDENES'!$Y1118="","-",'ORDENES'!$Y1118))</f>
        <v/>
      </c>
      <c r="G1140" s="3">
        <f>IF('ORDENES'!$A1118="","",IF('ORDENES'!$W1118="","-",'ORDENES'!$W1118))</f>
        <v/>
      </c>
      <c r="H1140" s="3">
        <f>IF('ORDENES'!$A1118="","",IF('ORDENES'!$AE1118="","-",'ORDENES'!$AE1118))</f>
        <v/>
      </c>
      <c r="I1140" s="3">
        <f>IF('ORDENES'!$A1118="","",IF('ORDENES'!$AQ1118="","-",'ORDENES'!$AQ1118))</f>
        <v/>
      </c>
      <c r="J1140" s="3">
        <f>IF('ORDENES'!$A1118="","",IF('ORDENES'!$D1118="","-",'ORDENES'!$D1118))</f>
        <v/>
      </c>
      <c r="K1140" s="3">
        <f>IF('ORDENES'!$A1118="","",IF('ORDENES'!$E1118="","-",'ORDENES'!$E1118))</f>
        <v/>
      </c>
      <c r="L1140" s="13">
        <f>IF('ORDENES'!$A1118="","",IF('ORDENES'!$M1118="",0,'ORDENES'!$M1118))</f>
        <v/>
      </c>
      <c r="M1140" s="3">
        <f>IF('ORDENES'!$A1118="","",IF('ORDENES'!$N1118="","-",'ORDENES'!$N1118))</f>
        <v/>
      </c>
      <c r="N1140" s="3">
        <f>IF('ORDENES'!$A1118="","",'ORDENES'!$AD1118)</f>
        <v/>
      </c>
    </row>
    <row r="1141">
      <c r="A1141" s="3">
        <f>IF('ORDENES'!$A1119="","",IF('ORDENES'!$O1119="","-",'ORDENES'!$O1119))</f>
        <v/>
      </c>
      <c r="B1141" s="3">
        <f>IF('ORDENES'!$A1119="","",IF('ORDENES'!$R1119="","-",'ORDENES'!$R1119))</f>
        <v/>
      </c>
      <c r="C1141" s="3">
        <f>IF('ORDENES'!$A1119="","",IF('ORDENES'!$AF1119="","-",'ORDENES'!$AF1119))</f>
        <v/>
      </c>
      <c r="D1141" s="3">
        <f>IF('ORDENES'!$A1119="","",IF('ORDENES'!$X1119="","-",'ORDENES'!$X1119))</f>
        <v/>
      </c>
      <c r="E1141" s="3">
        <f>IF('ORDENES'!$A1119="","",IF('ORDENES'!$V1119="","-",'ORDENES'!$V1119))</f>
        <v/>
      </c>
      <c r="F1141" s="3">
        <f>IF('ORDENES'!$A1119="","",IF('ORDENES'!$Y1119="","-",'ORDENES'!$Y1119))</f>
        <v/>
      </c>
      <c r="G1141" s="3">
        <f>IF('ORDENES'!$A1119="","",IF('ORDENES'!$W1119="","-",'ORDENES'!$W1119))</f>
        <v/>
      </c>
      <c r="H1141" s="3">
        <f>IF('ORDENES'!$A1119="","",IF('ORDENES'!$AE1119="","-",'ORDENES'!$AE1119))</f>
        <v/>
      </c>
      <c r="I1141" s="3">
        <f>IF('ORDENES'!$A1119="","",IF('ORDENES'!$AQ1119="","-",'ORDENES'!$AQ1119))</f>
        <v/>
      </c>
      <c r="J1141" s="3">
        <f>IF('ORDENES'!$A1119="","",IF('ORDENES'!$D1119="","-",'ORDENES'!$D1119))</f>
        <v/>
      </c>
      <c r="K1141" s="3">
        <f>IF('ORDENES'!$A1119="","",IF('ORDENES'!$E1119="","-",'ORDENES'!$E1119))</f>
        <v/>
      </c>
      <c r="L1141" s="13">
        <f>IF('ORDENES'!$A1119="","",IF('ORDENES'!$M1119="",0,'ORDENES'!$M1119))</f>
        <v/>
      </c>
      <c r="M1141" s="3">
        <f>IF('ORDENES'!$A1119="","",IF('ORDENES'!$N1119="","-",'ORDENES'!$N1119))</f>
        <v/>
      </c>
      <c r="N1141" s="3">
        <f>IF('ORDENES'!$A1119="","",'ORDENES'!$AD1119)</f>
        <v/>
      </c>
    </row>
    <row r="1142">
      <c r="A1142" s="3">
        <f>IF('ORDENES'!$A1120="","",IF('ORDENES'!$O1120="","-",'ORDENES'!$O1120))</f>
        <v/>
      </c>
      <c r="B1142" s="3">
        <f>IF('ORDENES'!$A1120="","",IF('ORDENES'!$R1120="","-",'ORDENES'!$R1120))</f>
        <v/>
      </c>
      <c r="C1142" s="3">
        <f>IF('ORDENES'!$A1120="","",IF('ORDENES'!$AF1120="","-",'ORDENES'!$AF1120))</f>
        <v/>
      </c>
      <c r="D1142" s="3">
        <f>IF('ORDENES'!$A1120="","",IF('ORDENES'!$X1120="","-",'ORDENES'!$X1120))</f>
        <v/>
      </c>
      <c r="E1142" s="3">
        <f>IF('ORDENES'!$A1120="","",IF('ORDENES'!$V1120="","-",'ORDENES'!$V1120))</f>
        <v/>
      </c>
      <c r="F1142" s="3">
        <f>IF('ORDENES'!$A1120="","",IF('ORDENES'!$Y1120="","-",'ORDENES'!$Y1120))</f>
        <v/>
      </c>
      <c r="G1142" s="3">
        <f>IF('ORDENES'!$A1120="","",IF('ORDENES'!$W1120="","-",'ORDENES'!$W1120))</f>
        <v/>
      </c>
      <c r="H1142" s="3">
        <f>IF('ORDENES'!$A1120="","",IF('ORDENES'!$AE1120="","-",'ORDENES'!$AE1120))</f>
        <v/>
      </c>
      <c r="I1142" s="3">
        <f>IF('ORDENES'!$A1120="","",IF('ORDENES'!$AQ1120="","-",'ORDENES'!$AQ1120))</f>
        <v/>
      </c>
      <c r="J1142" s="3">
        <f>IF('ORDENES'!$A1120="","",IF('ORDENES'!$D1120="","-",'ORDENES'!$D1120))</f>
        <v/>
      </c>
      <c r="K1142" s="3">
        <f>IF('ORDENES'!$A1120="","",IF('ORDENES'!$E1120="","-",'ORDENES'!$E1120))</f>
        <v/>
      </c>
      <c r="L1142" s="13">
        <f>IF('ORDENES'!$A1120="","",IF('ORDENES'!$M1120="",0,'ORDENES'!$M1120))</f>
        <v/>
      </c>
      <c r="M1142" s="3">
        <f>IF('ORDENES'!$A1120="","",IF('ORDENES'!$N1120="","-",'ORDENES'!$N1120))</f>
        <v/>
      </c>
      <c r="N1142" s="3">
        <f>IF('ORDENES'!$A1120="","",'ORDENES'!$AD1120)</f>
        <v/>
      </c>
    </row>
    <row r="1143">
      <c r="A1143" s="3">
        <f>IF('ORDENES'!$A1121="","",IF('ORDENES'!$O1121="","-",'ORDENES'!$O1121))</f>
        <v/>
      </c>
      <c r="B1143" s="3">
        <f>IF('ORDENES'!$A1121="","",IF('ORDENES'!$R1121="","-",'ORDENES'!$R1121))</f>
        <v/>
      </c>
      <c r="C1143" s="3">
        <f>IF('ORDENES'!$A1121="","",IF('ORDENES'!$AF1121="","-",'ORDENES'!$AF1121))</f>
        <v/>
      </c>
      <c r="D1143" s="3">
        <f>IF('ORDENES'!$A1121="","",IF('ORDENES'!$X1121="","-",'ORDENES'!$X1121))</f>
        <v/>
      </c>
      <c r="E1143" s="3">
        <f>IF('ORDENES'!$A1121="","",IF('ORDENES'!$V1121="","-",'ORDENES'!$V1121))</f>
        <v/>
      </c>
      <c r="F1143" s="3">
        <f>IF('ORDENES'!$A1121="","",IF('ORDENES'!$Y1121="","-",'ORDENES'!$Y1121))</f>
        <v/>
      </c>
      <c r="G1143" s="3">
        <f>IF('ORDENES'!$A1121="","",IF('ORDENES'!$W1121="","-",'ORDENES'!$W1121))</f>
        <v/>
      </c>
      <c r="H1143" s="3">
        <f>IF('ORDENES'!$A1121="","",IF('ORDENES'!$AE1121="","-",'ORDENES'!$AE1121))</f>
        <v/>
      </c>
      <c r="I1143" s="3">
        <f>IF('ORDENES'!$A1121="","",IF('ORDENES'!$AQ1121="","-",'ORDENES'!$AQ1121))</f>
        <v/>
      </c>
      <c r="J1143" s="3">
        <f>IF('ORDENES'!$A1121="","",IF('ORDENES'!$D1121="","-",'ORDENES'!$D1121))</f>
        <v/>
      </c>
      <c r="K1143" s="3">
        <f>IF('ORDENES'!$A1121="","",IF('ORDENES'!$E1121="","-",'ORDENES'!$E1121))</f>
        <v/>
      </c>
      <c r="L1143" s="13">
        <f>IF('ORDENES'!$A1121="","",IF('ORDENES'!$M1121="",0,'ORDENES'!$M1121))</f>
        <v/>
      </c>
      <c r="M1143" s="3">
        <f>IF('ORDENES'!$A1121="","",IF('ORDENES'!$N1121="","-",'ORDENES'!$N1121))</f>
        <v/>
      </c>
      <c r="N1143" s="3">
        <f>IF('ORDENES'!$A1121="","",'ORDENES'!$AD1121)</f>
        <v/>
      </c>
    </row>
    <row r="1144">
      <c r="A1144" s="3">
        <f>IF('ORDENES'!$A1122="","",IF('ORDENES'!$O1122="","-",'ORDENES'!$O1122))</f>
        <v/>
      </c>
      <c r="B1144" s="3">
        <f>IF('ORDENES'!$A1122="","",IF('ORDENES'!$R1122="","-",'ORDENES'!$R1122))</f>
        <v/>
      </c>
      <c r="C1144" s="3">
        <f>IF('ORDENES'!$A1122="","",IF('ORDENES'!$AF1122="","-",'ORDENES'!$AF1122))</f>
        <v/>
      </c>
      <c r="D1144" s="3">
        <f>IF('ORDENES'!$A1122="","",IF('ORDENES'!$X1122="","-",'ORDENES'!$X1122))</f>
        <v/>
      </c>
      <c r="E1144" s="3">
        <f>IF('ORDENES'!$A1122="","",IF('ORDENES'!$V1122="","-",'ORDENES'!$V1122))</f>
        <v/>
      </c>
      <c r="F1144" s="3">
        <f>IF('ORDENES'!$A1122="","",IF('ORDENES'!$Y1122="","-",'ORDENES'!$Y1122))</f>
        <v/>
      </c>
      <c r="G1144" s="3">
        <f>IF('ORDENES'!$A1122="","",IF('ORDENES'!$W1122="","-",'ORDENES'!$W1122))</f>
        <v/>
      </c>
      <c r="H1144" s="3">
        <f>IF('ORDENES'!$A1122="","",IF('ORDENES'!$AE1122="","-",'ORDENES'!$AE1122))</f>
        <v/>
      </c>
      <c r="I1144" s="3">
        <f>IF('ORDENES'!$A1122="","",IF('ORDENES'!$AQ1122="","-",'ORDENES'!$AQ1122))</f>
        <v/>
      </c>
      <c r="J1144" s="3">
        <f>IF('ORDENES'!$A1122="","",IF('ORDENES'!$D1122="","-",'ORDENES'!$D1122))</f>
        <v/>
      </c>
      <c r="K1144" s="3">
        <f>IF('ORDENES'!$A1122="","",IF('ORDENES'!$E1122="","-",'ORDENES'!$E1122))</f>
        <v/>
      </c>
      <c r="L1144" s="13">
        <f>IF('ORDENES'!$A1122="","",IF('ORDENES'!$M1122="",0,'ORDENES'!$M1122))</f>
        <v/>
      </c>
      <c r="M1144" s="3">
        <f>IF('ORDENES'!$A1122="","",IF('ORDENES'!$N1122="","-",'ORDENES'!$N1122))</f>
        <v/>
      </c>
      <c r="N1144" s="3">
        <f>IF('ORDENES'!$A1122="","",'ORDENES'!$AD1122)</f>
        <v/>
      </c>
    </row>
    <row r="1145">
      <c r="A1145" s="3">
        <f>IF('ORDENES'!$A1123="","",IF('ORDENES'!$O1123="","-",'ORDENES'!$O1123))</f>
        <v/>
      </c>
      <c r="B1145" s="3">
        <f>IF('ORDENES'!$A1123="","",IF('ORDENES'!$R1123="","-",'ORDENES'!$R1123))</f>
        <v/>
      </c>
      <c r="C1145" s="3">
        <f>IF('ORDENES'!$A1123="","",IF('ORDENES'!$AF1123="","-",'ORDENES'!$AF1123))</f>
        <v/>
      </c>
      <c r="D1145" s="3">
        <f>IF('ORDENES'!$A1123="","",IF('ORDENES'!$X1123="","-",'ORDENES'!$X1123))</f>
        <v/>
      </c>
      <c r="E1145" s="3">
        <f>IF('ORDENES'!$A1123="","",IF('ORDENES'!$V1123="","-",'ORDENES'!$V1123))</f>
        <v/>
      </c>
      <c r="F1145" s="3">
        <f>IF('ORDENES'!$A1123="","",IF('ORDENES'!$Y1123="","-",'ORDENES'!$Y1123))</f>
        <v/>
      </c>
      <c r="G1145" s="3">
        <f>IF('ORDENES'!$A1123="","",IF('ORDENES'!$W1123="","-",'ORDENES'!$W1123))</f>
        <v/>
      </c>
      <c r="H1145" s="3">
        <f>IF('ORDENES'!$A1123="","",IF('ORDENES'!$AE1123="","-",'ORDENES'!$AE1123))</f>
        <v/>
      </c>
      <c r="I1145" s="3">
        <f>IF('ORDENES'!$A1123="","",IF('ORDENES'!$AQ1123="","-",'ORDENES'!$AQ1123))</f>
        <v/>
      </c>
      <c r="J1145" s="3">
        <f>IF('ORDENES'!$A1123="","",IF('ORDENES'!$D1123="","-",'ORDENES'!$D1123))</f>
        <v/>
      </c>
      <c r="K1145" s="3">
        <f>IF('ORDENES'!$A1123="","",IF('ORDENES'!$E1123="","-",'ORDENES'!$E1123))</f>
        <v/>
      </c>
      <c r="L1145" s="13">
        <f>IF('ORDENES'!$A1123="","",IF('ORDENES'!$M1123="",0,'ORDENES'!$M1123))</f>
        <v/>
      </c>
      <c r="M1145" s="3">
        <f>IF('ORDENES'!$A1123="","",IF('ORDENES'!$N1123="","-",'ORDENES'!$N1123))</f>
        <v/>
      </c>
      <c r="N1145" s="3">
        <f>IF('ORDENES'!$A1123="","",'ORDENES'!$AD1123)</f>
        <v/>
      </c>
    </row>
    <row r="1146">
      <c r="A1146" s="3">
        <f>IF('ORDENES'!$A1124="","",IF('ORDENES'!$O1124="","-",'ORDENES'!$O1124))</f>
        <v/>
      </c>
      <c r="B1146" s="3">
        <f>IF('ORDENES'!$A1124="","",IF('ORDENES'!$R1124="","-",'ORDENES'!$R1124))</f>
        <v/>
      </c>
      <c r="C1146" s="3">
        <f>IF('ORDENES'!$A1124="","",IF('ORDENES'!$AF1124="","-",'ORDENES'!$AF1124))</f>
        <v/>
      </c>
      <c r="D1146" s="3">
        <f>IF('ORDENES'!$A1124="","",IF('ORDENES'!$X1124="","-",'ORDENES'!$X1124))</f>
        <v/>
      </c>
      <c r="E1146" s="3">
        <f>IF('ORDENES'!$A1124="","",IF('ORDENES'!$V1124="","-",'ORDENES'!$V1124))</f>
        <v/>
      </c>
      <c r="F1146" s="3">
        <f>IF('ORDENES'!$A1124="","",IF('ORDENES'!$Y1124="","-",'ORDENES'!$Y1124))</f>
        <v/>
      </c>
      <c r="G1146" s="3">
        <f>IF('ORDENES'!$A1124="","",IF('ORDENES'!$W1124="","-",'ORDENES'!$W1124))</f>
        <v/>
      </c>
      <c r="H1146" s="3">
        <f>IF('ORDENES'!$A1124="","",IF('ORDENES'!$AE1124="","-",'ORDENES'!$AE1124))</f>
        <v/>
      </c>
      <c r="I1146" s="3">
        <f>IF('ORDENES'!$A1124="","",IF('ORDENES'!$AQ1124="","-",'ORDENES'!$AQ1124))</f>
        <v/>
      </c>
      <c r="J1146" s="3">
        <f>IF('ORDENES'!$A1124="","",IF('ORDENES'!$D1124="","-",'ORDENES'!$D1124))</f>
        <v/>
      </c>
      <c r="K1146" s="3">
        <f>IF('ORDENES'!$A1124="","",IF('ORDENES'!$E1124="","-",'ORDENES'!$E1124))</f>
        <v/>
      </c>
      <c r="L1146" s="13">
        <f>IF('ORDENES'!$A1124="","",IF('ORDENES'!$M1124="",0,'ORDENES'!$M1124))</f>
        <v/>
      </c>
      <c r="M1146" s="3">
        <f>IF('ORDENES'!$A1124="","",IF('ORDENES'!$N1124="","-",'ORDENES'!$N1124))</f>
        <v/>
      </c>
      <c r="N1146" s="3">
        <f>IF('ORDENES'!$A1124="","",'ORDENES'!$AD1124)</f>
        <v/>
      </c>
    </row>
    <row r="1147">
      <c r="A1147" s="3">
        <f>IF('ORDENES'!$A1125="","",IF('ORDENES'!$O1125="","-",'ORDENES'!$O1125))</f>
        <v/>
      </c>
      <c r="B1147" s="3">
        <f>IF('ORDENES'!$A1125="","",IF('ORDENES'!$R1125="","-",'ORDENES'!$R1125))</f>
        <v/>
      </c>
      <c r="C1147" s="3">
        <f>IF('ORDENES'!$A1125="","",IF('ORDENES'!$AF1125="","-",'ORDENES'!$AF1125))</f>
        <v/>
      </c>
      <c r="D1147" s="3">
        <f>IF('ORDENES'!$A1125="","",IF('ORDENES'!$X1125="","-",'ORDENES'!$X1125))</f>
        <v/>
      </c>
      <c r="E1147" s="3">
        <f>IF('ORDENES'!$A1125="","",IF('ORDENES'!$V1125="","-",'ORDENES'!$V1125))</f>
        <v/>
      </c>
      <c r="F1147" s="3">
        <f>IF('ORDENES'!$A1125="","",IF('ORDENES'!$Y1125="","-",'ORDENES'!$Y1125))</f>
        <v/>
      </c>
      <c r="G1147" s="3">
        <f>IF('ORDENES'!$A1125="","",IF('ORDENES'!$W1125="","-",'ORDENES'!$W1125))</f>
        <v/>
      </c>
      <c r="H1147" s="3">
        <f>IF('ORDENES'!$A1125="","",IF('ORDENES'!$AE1125="","-",'ORDENES'!$AE1125))</f>
        <v/>
      </c>
      <c r="I1147" s="3">
        <f>IF('ORDENES'!$A1125="","",IF('ORDENES'!$AQ1125="","-",'ORDENES'!$AQ1125))</f>
        <v/>
      </c>
      <c r="J1147" s="3">
        <f>IF('ORDENES'!$A1125="","",IF('ORDENES'!$D1125="","-",'ORDENES'!$D1125))</f>
        <v/>
      </c>
      <c r="K1147" s="3">
        <f>IF('ORDENES'!$A1125="","",IF('ORDENES'!$E1125="","-",'ORDENES'!$E1125))</f>
        <v/>
      </c>
      <c r="L1147" s="13">
        <f>IF('ORDENES'!$A1125="","",IF('ORDENES'!$M1125="",0,'ORDENES'!$M1125))</f>
        <v/>
      </c>
      <c r="M1147" s="3">
        <f>IF('ORDENES'!$A1125="","",IF('ORDENES'!$N1125="","-",'ORDENES'!$N1125))</f>
        <v/>
      </c>
      <c r="N1147" s="3">
        <f>IF('ORDENES'!$A1125="","",'ORDENES'!$AD1125)</f>
        <v/>
      </c>
    </row>
    <row r="1148">
      <c r="A1148" s="3">
        <f>IF('ORDENES'!$A1126="","",IF('ORDENES'!$O1126="","-",'ORDENES'!$O1126))</f>
        <v/>
      </c>
      <c r="B1148" s="3">
        <f>IF('ORDENES'!$A1126="","",IF('ORDENES'!$R1126="","-",'ORDENES'!$R1126))</f>
        <v/>
      </c>
      <c r="C1148" s="3">
        <f>IF('ORDENES'!$A1126="","",IF('ORDENES'!$AF1126="","-",'ORDENES'!$AF1126))</f>
        <v/>
      </c>
      <c r="D1148" s="3">
        <f>IF('ORDENES'!$A1126="","",IF('ORDENES'!$X1126="","-",'ORDENES'!$X1126))</f>
        <v/>
      </c>
      <c r="E1148" s="3">
        <f>IF('ORDENES'!$A1126="","",IF('ORDENES'!$V1126="","-",'ORDENES'!$V1126))</f>
        <v/>
      </c>
      <c r="F1148" s="3">
        <f>IF('ORDENES'!$A1126="","",IF('ORDENES'!$Y1126="","-",'ORDENES'!$Y1126))</f>
        <v/>
      </c>
      <c r="G1148" s="3">
        <f>IF('ORDENES'!$A1126="","",IF('ORDENES'!$W1126="","-",'ORDENES'!$W1126))</f>
        <v/>
      </c>
      <c r="H1148" s="3">
        <f>IF('ORDENES'!$A1126="","",IF('ORDENES'!$AE1126="","-",'ORDENES'!$AE1126))</f>
        <v/>
      </c>
      <c r="I1148" s="3">
        <f>IF('ORDENES'!$A1126="","",IF('ORDENES'!$AQ1126="","-",'ORDENES'!$AQ1126))</f>
        <v/>
      </c>
      <c r="J1148" s="3">
        <f>IF('ORDENES'!$A1126="","",IF('ORDENES'!$D1126="","-",'ORDENES'!$D1126))</f>
        <v/>
      </c>
      <c r="K1148" s="3">
        <f>IF('ORDENES'!$A1126="","",IF('ORDENES'!$E1126="","-",'ORDENES'!$E1126))</f>
        <v/>
      </c>
      <c r="L1148" s="13">
        <f>IF('ORDENES'!$A1126="","",IF('ORDENES'!$M1126="",0,'ORDENES'!$M1126))</f>
        <v/>
      </c>
      <c r="M1148" s="3">
        <f>IF('ORDENES'!$A1126="","",IF('ORDENES'!$N1126="","-",'ORDENES'!$N1126))</f>
        <v/>
      </c>
      <c r="N1148" s="3">
        <f>IF('ORDENES'!$A1126="","",'ORDENES'!$AD1126)</f>
        <v/>
      </c>
    </row>
    <row r="1149">
      <c r="A1149" s="3">
        <f>IF('ORDENES'!$A1127="","",IF('ORDENES'!$O1127="","-",'ORDENES'!$O1127))</f>
        <v/>
      </c>
      <c r="B1149" s="3">
        <f>IF('ORDENES'!$A1127="","",IF('ORDENES'!$R1127="","-",'ORDENES'!$R1127))</f>
        <v/>
      </c>
      <c r="C1149" s="3">
        <f>IF('ORDENES'!$A1127="","",IF('ORDENES'!$AF1127="","-",'ORDENES'!$AF1127))</f>
        <v/>
      </c>
      <c r="D1149" s="3">
        <f>IF('ORDENES'!$A1127="","",IF('ORDENES'!$X1127="","-",'ORDENES'!$X1127))</f>
        <v/>
      </c>
      <c r="E1149" s="3">
        <f>IF('ORDENES'!$A1127="","",IF('ORDENES'!$V1127="","-",'ORDENES'!$V1127))</f>
        <v/>
      </c>
      <c r="F1149" s="3">
        <f>IF('ORDENES'!$A1127="","",IF('ORDENES'!$Y1127="","-",'ORDENES'!$Y1127))</f>
        <v/>
      </c>
      <c r="G1149" s="3">
        <f>IF('ORDENES'!$A1127="","",IF('ORDENES'!$W1127="","-",'ORDENES'!$W1127))</f>
        <v/>
      </c>
      <c r="H1149" s="3">
        <f>IF('ORDENES'!$A1127="","",IF('ORDENES'!$AE1127="","-",'ORDENES'!$AE1127))</f>
        <v/>
      </c>
      <c r="I1149" s="3">
        <f>IF('ORDENES'!$A1127="","",IF('ORDENES'!$AQ1127="","-",'ORDENES'!$AQ1127))</f>
        <v/>
      </c>
      <c r="J1149" s="3">
        <f>IF('ORDENES'!$A1127="","",IF('ORDENES'!$D1127="","-",'ORDENES'!$D1127))</f>
        <v/>
      </c>
      <c r="K1149" s="3">
        <f>IF('ORDENES'!$A1127="","",IF('ORDENES'!$E1127="","-",'ORDENES'!$E1127))</f>
        <v/>
      </c>
      <c r="L1149" s="13">
        <f>IF('ORDENES'!$A1127="","",IF('ORDENES'!$M1127="",0,'ORDENES'!$M1127))</f>
        <v/>
      </c>
      <c r="M1149" s="3">
        <f>IF('ORDENES'!$A1127="","",IF('ORDENES'!$N1127="","-",'ORDENES'!$N1127))</f>
        <v/>
      </c>
      <c r="N1149" s="3">
        <f>IF('ORDENES'!$A1127="","",'ORDENES'!$AD1127)</f>
        <v/>
      </c>
    </row>
    <row r="1150">
      <c r="A1150" s="3">
        <f>IF('ORDENES'!$A1128="","",IF('ORDENES'!$O1128="","-",'ORDENES'!$O1128))</f>
        <v/>
      </c>
      <c r="B1150" s="3">
        <f>IF('ORDENES'!$A1128="","",IF('ORDENES'!$R1128="","-",'ORDENES'!$R1128))</f>
        <v/>
      </c>
      <c r="C1150" s="3">
        <f>IF('ORDENES'!$A1128="","",IF('ORDENES'!$AF1128="","-",'ORDENES'!$AF1128))</f>
        <v/>
      </c>
      <c r="D1150" s="3">
        <f>IF('ORDENES'!$A1128="","",IF('ORDENES'!$X1128="","-",'ORDENES'!$X1128))</f>
        <v/>
      </c>
      <c r="E1150" s="3">
        <f>IF('ORDENES'!$A1128="","",IF('ORDENES'!$V1128="","-",'ORDENES'!$V1128))</f>
        <v/>
      </c>
      <c r="F1150" s="3">
        <f>IF('ORDENES'!$A1128="","",IF('ORDENES'!$Y1128="","-",'ORDENES'!$Y1128))</f>
        <v/>
      </c>
      <c r="G1150" s="3">
        <f>IF('ORDENES'!$A1128="","",IF('ORDENES'!$W1128="","-",'ORDENES'!$W1128))</f>
        <v/>
      </c>
      <c r="H1150" s="3">
        <f>IF('ORDENES'!$A1128="","",IF('ORDENES'!$AE1128="","-",'ORDENES'!$AE1128))</f>
        <v/>
      </c>
      <c r="I1150" s="3">
        <f>IF('ORDENES'!$A1128="","",IF('ORDENES'!$AQ1128="","-",'ORDENES'!$AQ1128))</f>
        <v/>
      </c>
      <c r="J1150" s="3">
        <f>IF('ORDENES'!$A1128="","",IF('ORDENES'!$D1128="","-",'ORDENES'!$D1128))</f>
        <v/>
      </c>
      <c r="K1150" s="3">
        <f>IF('ORDENES'!$A1128="","",IF('ORDENES'!$E1128="","-",'ORDENES'!$E1128))</f>
        <v/>
      </c>
      <c r="L1150" s="13">
        <f>IF('ORDENES'!$A1128="","",IF('ORDENES'!$M1128="",0,'ORDENES'!$M1128))</f>
        <v/>
      </c>
      <c r="M1150" s="3">
        <f>IF('ORDENES'!$A1128="","",IF('ORDENES'!$N1128="","-",'ORDENES'!$N1128))</f>
        <v/>
      </c>
      <c r="N1150" s="3">
        <f>IF('ORDENES'!$A1128="","",'ORDENES'!$AD1128)</f>
        <v/>
      </c>
    </row>
    <row r="1151">
      <c r="A1151" s="3">
        <f>IF('ORDENES'!$A1129="","",IF('ORDENES'!$O1129="","-",'ORDENES'!$O1129))</f>
        <v/>
      </c>
      <c r="B1151" s="3">
        <f>IF('ORDENES'!$A1129="","",IF('ORDENES'!$R1129="","-",'ORDENES'!$R1129))</f>
        <v/>
      </c>
      <c r="C1151" s="3">
        <f>IF('ORDENES'!$A1129="","",IF('ORDENES'!$AF1129="","-",'ORDENES'!$AF1129))</f>
        <v/>
      </c>
      <c r="D1151" s="3">
        <f>IF('ORDENES'!$A1129="","",IF('ORDENES'!$X1129="","-",'ORDENES'!$X1129))</f>
        <v/>
      </c>
      <c r="E1151" s="3">
        <f>IF('ORDENES'!$A1129="","",IF('ORDENES'!$V1129="","-",'ORDENES'!$V1129))</f>
        <v/>
      </c>
      <c r="F1151" s="3">
        <f>IF('ORDENES'!$A1129="","",IF('ORDENES'!$Y1129="","-",'ORDENES'!$Y1129))</f>
        <v/>
      </c>
      <c r="G1151" s="3">
        <f>IF('ORDENES'!$A1129="","",IF('ORDENES'!$W1129="","-",'ORDENES'!$W1129))</f>
        <v/>
      </c>
      <c r="H1151" s="3">
        <f>IF('ORDENES'!$A1129="","",IF('ORDENES'!$AE1129="","-",'ORDENES'!$AE1129))</f>
        <v/>
      </c>
      <c r="I1151" s="3">
        <f>IF('ORDENES'!$A1129="","",IF('ORDENES'!$AQ1129="","-",'ORDENES'!$AQ1129))</f>
        <v/>
      </c>
      <c r="J1151" s="3">
        <f>IF('ORDENES'!$A1129="","",IF('ORDENES'!$D1129="","-",'ORDENES'!$D1129))</f>
        <v/>
      </c>
      <c r="K1151" s="3">
        <f>IF('ORDENES'!$A1129="","",IF('ORDENES'!$E1129="","-",'ORDENES'!$E1129))</f>
        <v/>
      </c>
      <c r="L1151" s="13">
        <f>IF('ORDENES'!$A1129="","",IF('ORDENES'!$M1129="",0,'ORDENES'!$M1129))</f>
        <v/>
      </c>
      <c r="M1151" s="3">
        <f>IF('ORDENES'!$A1129="","",IF('ORDENES'!$N1129="","-",'ORDENES'!$N1129))</f>
        <v/>
      </c>
      <c r="N1151" s="3">
        <f>IF('ORDENES'!$A1129="","",'ORDENES'!$AD1129)</f>
        <v/>
      </c>
    </row>
    <row r="1152">
      <c r="A1152" s="3">
        <f>IF('ORDENES'!$A1130="","",IF('ORDENES'!$O1130="","-",'ORDENES'!$O1130))</f>
        <v/>
      </c>
      <c r="B1152" s="3">
        <f>IF('ORDENES'!$A1130="","",IF('ORDENES'!$R1130="","-",'ORDENES'!$R1130))</f>
        <v/>
      </c>
      <c r="C1152" s="3">
        <f>IF('ORDENES'!$A1130="","",IF('ORDENES'!$AF1130="","-",'ORDENES'!$AF1130))</f>
        <v/>
      </c>
      <c r="D1152" s="3">
        <f>IF('ORDENES'!$A1130="","",IF('ORDENES'!$X1130="","-",'ORDENES'!$X1130))</f>
        <v/>
      </c>
      <c r="E1152" s="3">
        <f>IF('ORDENES'!$A1130="","",IF('ORDENES'!$V1130="","-",'ORDENES'!$V1130))</f>
        <v/>
      </c>
      <c r="F1152" s="3">
        <f>IF('ORDENES'!$A1130="","",IF('ORDENES'!$Y1130="","-",'ORDENES'!$Y1130))</f>
        <v/>
      </c>
      <c r="G1152" s="3">
        <f>IF('ORDENES'!$A1130="","",IF('ORDENES'!$W1130="","-",'ORDENES'!$W1130))</f>
        <v/>
      </c>
      <c r="H1152" s="3">
        <f>IF('ORDENES'!$A1130="","",IF('ORDENES'!$AE1130="","-",'ORDENES'!$AE1130))</f>
        <v/>
      </c>
      <c r="I1152" s="3">
        <f>IF('ORDENES'!$A1130="","",IF('ORDENES'!$AQ1130="","-",'ORDENES'!$AQ1130))</f>
        <v/>
      </c>
      <c r="J1152" s="3">
        <f>IF('ORDENES'!$A1130="","",IF('ORDENES'!$D1130="","-",'ORDENES'!$D1130))</f>
        <v/>
      </c>
      <c r="K1152" s="3">
        <f>IF('ORDENES'!$A1130="","",IF('ORDENES'!$E1130="","-",'ORDENES'!$E1130))</f>
        <v/>
      </c>
      <c r="L1152" s="13">
        <f>IF('ORDENES'!$A1130="","",IF('ORDENES'!$M1130="",0,'ORDENES'!$M1130))</f>
        <v/>
      </c>
      <c r="M1152" s="3">
        <f>IF('ORDENES'!$A1130="","",IF('ORDENES'!$N1130="","-",'ORDENES'!$N1130))</f>
        <v/>
      </c>
      <c r="N1152" s="3">
        <f>IF('ORDENES'!$A1130="","",'ORDENES'!$AD1130)</f>
        <v/>
      </c>
    </row>
    <row r="1153">
      <c r="A1153" s="3">
        <f>IF('ORDENES'!$A1131="","",IF('ORDENES'!$O1131="","-",'ORDENES'!$O1131))</f>
        <v/>
      </c>
      <c r="B1153" s="3">
        <f>IF('ORDENES'!$A1131="","",IF('ORDENES'!$R1131="","-",'ORDENES'!$R1131))</f>
        <v/>
      </c>
      <c r="C1153" s="3">
        <f>IF('ORDENES'!$A1131="","",IF('ORDENES'!$AF1131="","-",'ORDENES'!$AF1131))</f>
        <v/>
      </c>
      <c r="D1153" s="3">
        <f>IF('ORDENES'!$A1131="","",IF('ORDENES'!$X1131="","-",'ORDENES'!$X1131))</f>
        <v/>
      </c>
      <c r="E1153" s="3">
        <f>IF('ORDENES'!$A1131="","",IF('ORDENES'!$V1131="","-",'ORDENES'!$V1131))</f>
        <v/>
      </c>
      <c r="F1153" s="3">
        <f>IF('ORDENES'!$A1131="","",IF('ORDENES'!$Y1131="","-",'ORDENES'!$Y1131))</f>
        <v/>
      </c>
      <c r="G1153" s="3">
        <f>IF('ORDENES'!$A1131="","",IF('ORDENES'!$W1131="","-",'ORDENES'!$W1131))</f>
        <v/>
      </c>
      <c r="H1153" s="3">
        <f>IF('ORDENES'!$A1131="","",IF('ORDENES'!$AE1131="","-",'ORDENES'!$AE1131))</f>
        <v/>
      </c>
      <c r="I1153" s="3">
        <f>IF('ORDENES'!$A1131="","",IF('ORDENES'!$AQ1131="","-",'ORDENES'!$AQ1131))</f>
        <v/>
      </c>
      <c r="J1153" s="3">
        <f>IF('ORDENES'!$A1131="","",IF('ORDENES'!$D1131="","-",'ORDENES'!$D1131))</f>
        <v/>
      </c>
      <c r="K1153" s="3">
        <f>IF('ORDENES'!$A1131="","",IF('ORDENES'!$E1131="","-",'ORDENES'!$E1131))</f>
        <v/>
      </c>
      <c r="L1153" s="13">
        <f>IF('ORDENES'!$A1131="","",IF('ORDENES'!$M1131="",0,'ORDENES'!$M1131))</f>
        <v/>
      </c>
      <c r="M1153" s="3">
        <f>IF('ORDENES'!$A1131="","",IF('ORDENES'!$N1131="","-",'ORDENES'!$N1131))</f>
        <v/>
      </c>
      <c r="N1153" s="3">
        <f>IF('ORDENES'!$A1131="","",'ORDENES'!$AD1131)</f>
        <v/>
      </c>
    </row>
    <row r="1154">
      <c r="A1154" s="3">
        <f>IF('ORDENES'!$A1132="","",IF('ORDENES'!$O1132="","-",'ORDENES'!$O1132))</f>
        <v/>
      </c>
      <c r="B1154" s="3">
        <f>IF('ORDENES'!$A1132="","",IF('ORDENES'!$R1132="","-",'ORDENES'!$R1132))</f>
        <v/>
      </c>
      <c r="C1154" s="3">
        <f>IF('ORDENES'!$A1132="","",IF('ORDENES'!$AF1132="","-",'ORDENES'!$AF1132))</f>
        <v/>
      </c>
      <c r="D1154" s="3">
        <f>IF('ORDENES'!$A1132="","",IF('ORDENES'!$X1132="","-",'ORDENES'!$X1132))</f>
        <v/>
      </c>
      <c r="E1154" s="3">
        <f>IF('ORDENES'!$A1132="","",IF('ORDENES'!$V1132="","-",'ORDENES'!$V1132))</f>
        <v/>
      </c>
      <c r="F1154" s="3">
        <f>IF('ORDENES'!$A1132="","",IF('ORDENES'!$Y1132="","-",'ORDENES'!$Y1132))</f>
        <v/>
      </c>
      <c r="G1154" s="3">
        <f>IF('ORDENES'!$A1132="","",IF('ORDENES'!$W1132="","-",'ORDENES'!$W1132))</f>
        <v/>
      </c>
      <c r="H1154" s="3">
        <f>IF('ORDENES'!$A1132="","",IF('ORDENES'!$AE1132="","-",'ORDENES'!$AE1132))</f>
        <v/>
      </c>
      <c r="I1154" s="3">
        <f>IF('ORDENES'!$A1132="","",IF('ORDENES'!$AQ1132="","-",'ORDENES'!$AQ1132))</f>
        <v/>
      </c>
      <c r="J1154" s="3">
        <f>IF('ORDENES'!$A1132="","",IF('ORDENES'!$D1132="","-",'ORDENES'!$D1132))</f>
        <v/>
      </c>
      <c r="K1154" s="3">
        <f>IF('ORDENES'!$A1132="","",IF('ORDENES'!$E1132="","-",'ORDENES'!$E1132))</f>
        <v/>
      </c>
      <c r="L1154" s="13">
        <f>IF('ORDENES'!$A1132="","",IF('ORDENES'!$M1132="",0,'ORDENES'!$M1132))</f>
        <v/>
      </c>
      <c r="M1154" s="3">
        <f>IF('ORDENES'!$A1132="","",IF('ORDENES'!$N1132="","-",'ORDENES'!$N1132))</f>
        <v/>
      </c>
      <c r="N1154" s="3">
        <f>IF('ORDENES'!$A1132="","",'ORDENES'!$AD1132)</f>
        <v/>
      </c>
    </row>
    <row r="1155">
      <c r="A1155" s="3">
        <f>IF('ORDENES'!$A1133="","",IF('ORDENES'!$O1133="","-",'ORDENES'!$O1133))</f>
        <v/>
      </c>
      <c r="B1155" s="3">
        <f>IF('ORDENES'!$A1133="","",IF('ORDENES'!$R1133="","-",'ORDENES'!$R1133))</f>
        <v/>
      </c>
      <c r="C1155" s="3">
        <f>IF('ORDENES'!$A1133="","",IF('ORDENES'!$AF1133="","-",'ORDENES'!$AF1133))</f>
        <v/>
      </c>
      <c r="D1155" s="3">
        <f>IF('ORDENES'!$A1133="","",IF('ORDENES'!$X1133="","-",'ORDENES'!$X1133))</f>
        <v/>
      </c>
      <c r="E1155" s="3">
        <f>IF('ORDENES'!$A1133="","",IF('ORDENES'!$V1133="","-",'ORDENES'!$V1133))</f>
        <v/>
      </c>
      <c r="F1155" s="3">
        <f>IF('ORDENES'!$A1133="","",IF('ORDENES'!$Y1133="","-",'ORDENES'!$Y1133))</f>
        <v/>
      </c>
      <c r="G1155" s="3">
        <f>IF('ORDENES'!$A1133="","",IF('ORDENES'!$W1133="","-",'ORDENES'!$W1133))</f>
        <v/>
      </c>
      <c r="H1155" s="3">
        <f>IF('ORDENES'!$A1133="","",IF('ORDENES'!$AE1133="","-",'ORDENES'!$AE1133))</f>
        <v/>
      </c>
      <c r="I1155" s="3">
        <f>IF('ORDENES'!$A1133="","",IF('ORDENES'!$AQ1133="","-",'ORDENES'!$AQ1133))</f>
        <v/>
      </c>
      <c r="J1155" s="3">
        <f>IF('ORDENES'!$A1133="","",IF('ORDENES'!$D1133="","-",'ORDENES'!$D1133))</f>
        <v/>
      </c>
      <c r="K1155" s="3">
        <f>IF('ORDENES'!$A1133="","",IF('ORDENES'!$E1133="","-",'ORDENES'!$E1133))</f>
        <v/>
      </c>
      <c r="L1155" s="13">
        <f>IF('ORDENES'!$A1133="","",IF('ORDENES'!$M1133="",0,'ORDENES'!$M1133))</f>
        <v/>
      </c>
      <c r="M1155" s="3">
        <f>IF('ORDENES'!$A1133="","",IF('ORDENES'!$N1133="","-",'ORDENES'!$N1133))</f>
        <v/>
      </c>
      <c r="N1155" s="3">
        <f>IF('ORDENES'!$A1133="","",'ORDENES'!$AD1133)</f>
        <v/>
      </c>
    </row>
    <row r="1156">
      <c r="A1156" s="3">
        <f>IF('ORDENES'!$A1134="","",IF('ORDENES'!$O1134="","-",'ORDENES'!$O1134))</f>
        <v/>
      </c>
      <c r="B1156" s="3">
        <f>IF('ORDENES'!$A1134="","",IF('ORDENES'!$R1134="","-",'ORDENES'!$R1134))</f>
        <v/>
      </c>
      <c r="C1156" s="3">
        <f>IF('ORDENES'!$A1134="","",IF('ORDENES'!$AF1134="","-",'ORDENES'!$AF1134))</f>
        <v/>
      </c>
      <c r="D1156" s="3">
        <f>IF('ORDENES'!$A1134="","",IF('ORDENES'!$X1134="","-",'ORDENES'!$X1134))</f>
        <v/>
      </c>
      <c r="E1156" s="3">
        <f>IF('ORDENES'!$A1134="","",IF('ORDENES'!$V1134="","-",'ORDENES'!$V1134))</f>
        <v/>
      </c>
      <c r="F1156" s="3">
        <f>IF('ORDENES'!$A1134="","",IF('ORDENES'!$Y1134="","-",'ORDENES'!$Y1134))</f>
        <v/>
      </c>
      <c r="G1156" s="3">
        <f>IF('ORDENES'!$A1134="","",IF('ORDENES'!$W1134="","-",'ORDENES'!$W1134))</f>
        <v/>
      </c>
      <c r="H1156" s="3">
        <f>IF('ORDENES'!$A1134="","",IF('ORDENES'!$AE1134="","-",'ORDENES'!$AE1134))</f>
        <v/>
      </c>
      <c r="I1156" s="3">
        <f>IF('ORDENES'!$A1134="","",IF('ORDENES'!$AQ1134="","-",'ORDENES'!$AQ1134))</f>
        <v/>
      </c>
      <c r="J1156" s="3">
        <f>IF('ORDENES'!$A1134="","",IF('ORDENES'!$D1134="","-",'ORDENES'!$D1134))</f>
        <v/>
      </c>
      <c r="K1156" s="3">
        <f>IF('ORDENES'!$A1134="","",IF('ORDENES'!$E1134="","-",'ORDENES'!$E1134))</f>
        <v/>
      </c>
      <c r="L1156" s="13">
        <f>IF('ORDENES'!$A1134="","",IF('ORDENES'!$M1134="",0,'ORDENES'!$M1134))</f>
        <v/>
      </c>
      <c r="M1156" s="3">
        <f>IF('ORDENES'!$A1134="","",IF('ORDENES'!$N1134="","-",'ORDENES'!$N1134))</f>
        <v/>
      </c>
      <c r="N1156" s="3">
        <f>IF('ORDENES'!$A1134="","",'ORDENES'!$AD1134)</f>
        <v/>
      </c>
    </row>
    <row r="1157">
      <c r="A1157" s="3">
        <f>IF('ORDENES'!$A1135="","",IF('ORDENES'!$O1135="","-",'ORDENES'!$O1135))</f>
        <v/>
      </c>
      <c r="B1157" s="3">
        <f>IF('ORDENES'!$A1135="","",IF('ORDENES'!$R1135="","-",'ORDENES'!$R1135))</f>
        <v/>
      </c>
      <c r="C1157" s="3">
        <f>IF('ORDENES'!$A1135="","",IF('ORDENES'!$AF1135="","-",'ORDENES'!$AF1135))</f>
        <v/>
      </c>
      <c r="D1157" s="3">
        <f>IF('ORDENES'!$A1135="","",IF('ORDENES'!$X1135="","-",'ORDENES'!$X1135))</f>
        <v/>
      </c>
      <c r="E1157" s="3">
        <f>IF('ORDENES'!$A1135="","",IF('ORDENES'!$V1135="","-",'ORDENES'!$V1135))</f>
        <v/>
      </c>
      <c r="F1157" s="3">
        <f>IF('ORDENES'!$A1135="","",IF('ORDENES'!$Y1135="","-",'ORDENES'!$Y1135))</f>
        <v/>
      </c>
      <c r="G1157" s="3">
        <f>IF('ORDENES'!$A1135="","",IF('ORDENES'!$W1135="","-",'ORDENES'!$W1135))</f>
        <v/>
      </c>
      <c r="H1157" s="3">
        <f>IF('ORDENES'!$A1135="","",IF('ORDENES'!$AE1135="","-",'ORDENES'!$AE1135))</f>
        <v/>
      </c>
      <c r="I1157" s="3">
        <f>IF('ORDENES'!$A1135="","",IF('ORDENES'!$AQ1135="","-",'ORDENES'!$AQ1135))</f>
        <v/>
      </c>
      <c r="J1157" s="3">
        <f>IF('ORDENES'!$A1135="","",IF('ORDENES'!$D1135="","-",'ORDENES'!$D1135))</f>
        <v/>
      </c>
      <c r="K1157" s="3">
        <f>IF('ORDENES'!$A1135="","",IF('ORDENES'!$E1135="","-",'ORDENES'!$E1135))</f>
        <v/>
      </c>
      <c r="L1157" s="13">
        <f>IF('ORDENES'!$A1135="","",IF('ORDENES'!$M1135="",0,'ORDENES'!$M1135))</f>
        <v/>
      </c>
      <c r="M1157" s="3">
        <f>IF('ORDENES'!$A1135="","",IF('ORDENES'!$N1135="","-",'ORDENES'!$N1135))</f>
        <v/>
      </c>
      <c r="N1157" s="3">
        <f>IF('ORDENES'!$A1135="","",'ORDENES'!$AD1135)</f>
        <v/>
      </c>
    </row>
    <row r="1158">
      <c r="A1158" s="3">
        <f>IF('ORDENES'!$A1136="","",IF('ORDENES'!$O1136="","-",'ORDENES'!$O1136))</f>
        <v/>
      </c>
      <c r="B1158" s="3">
        <f>IF('ORDENES'!$A1136="","",IF('ORDENES'!$R1136="","-",'ORDENES'!$R1136))</f>
        <v/>
      </c>
      <c r="C1158" s="3">
        <f>IF('ORDENES'!$A1136="","",IF('ORDENES'!$AF1136="","-",'ORDENES'!$AF1136))</f>
        <v/>
      </c>
      <c r="D1158" s="3">
        <f>IF('ORDENES'!$A1136="","",IF('ORDENES'!$X1136="","-",'ORDENES'!$X1136))</f>
        <v/>
      </c>
      <c r="E1158" s="3">
        <f>IF('ORDENES'!$A1136="","",IF('ORDENES'!$V1136="","-",'ORDENES'!$V1136))</f>
        <v/>
      </c>
      <c r="F1158" s="3">
        <f>IF('ORDENES'!$A1136="","",IF('ORDENES'!$Y1136="","-",'ORDENES'!$Y1136))</f>
        <v/>
      </c>
      <c r="G1158" s="3">
        <f>IF('ORDENES'!$A1136="","",IF('ORDENES'!$W1136="","-",'ORDENES'!$W1136))</f>
        <v/>
      </c>
      <c r="H1158" s="3">
        <f>IF('ORDENES'!$A1136="","",IF('ORDENES'!$AE1136="","-",'ORDENES'!$AE1136))</f>
        <v/>
      </c>
      <c r="I1158" s="3">
        <f>IF('ORDENES'!$A1136="","",IF('ORDENES'!$AQ1136="","-",'ORDENES'!$AQ1136))</f>
        <v/>
      </c>
      <c r="J1158" s="3">
        <f>IF('ORDENES'!$A1136="","",IF('ORDENES'!$D1136="","-",'ORDENES'!$D1136))</f>
        <v/>
      </c>
      <c r="K1158" s="3">
        <f>IF('ORDENES'!$A1136="","",IF('ORDENES'!$E1136="","-",'ORDENES'!$E1136))</f>
        <v/>
      </c>
      <c r="L1158" s="13">
        <f>IF('ORDENES'!$A1136="","",IF('ORDENES'!$M1136="",0,'ORDENES'!$M1136))</f>
        <v/>
      </c>
      <c r="M1158" s="3">
        <f>IF('ORDENES'!$A1136="","",IF('ORDENES'!$N1136="","-",'ORDENES'!$N1136))</f>
        <v/>
      </c>
      <c r="N1158" s="3">
        <f>IF('ORDENES'!$A1136="","",'ORDENES'!$AD1136)</f>
        <v/>
      </c>
    </row>
    <row r="1159">
      <c r="A1159" s="3">
        <f>IF('ORDENES'!$A1137="","",IF('ORDENES'!$O1137="","-",'ORDENES'!$O1137))</f>
        <v/>
      </c>
      <c r="B1159" s="3">
        <f>IF('ORDENES'!$A1137="","",IF('ORDENES'!$R1137="","-",'ORDENES'!$R1137))</f>
        <v/>
      </c>
      <c r="C1159" s="3">
        <f>IF('ORDENES'!$A1137="","",IF('ORDENES'!$AF1137="","-",'ORDENES'!$AF1137))</f>
        <v/>
      </c>
      <c r="D1159" s="3">
        <f>IF('ORDENES'!$A1137="","",IF('ORDENES'!$X1137="","-",'ORDENES'!$X1137))</f>
        <v/>
      </c>
      <c r="E1159" s="3">
        <f>IF('ORDENES'!$A1137="","",IF('ORDENES'!$V1137="","-",'ORDENES'!$V1137))</f>
        <v/>
      </c>
      <c r="F1159" s="3">
        <f>IF('ORDENES'!$A1137="","",IF('ORDENES'!$Y1137="","-",'ORDENES'!$Y1137))</f>
        <v/>
      </c>
      <c r="G1159" s="3">
        <f>IF('ORDENES'!$A1137="","",IF('ORDENES'!$W1137="","-",'ORDENES'!$W1137))</f>
        <v/>
      </c>
      <c r="H1159" s="3">
        <f>IF('ORDENES'!$A1137="","",IF('ORDENES'!$AE1137="","-",'ORDENES'!$AE1137))</f>
        <v/>
      </c>
      <c r="I1159" s="3">
        <f>IF('ORDENES'!$A1137="","",IF('ORDENES'!$AQ1137="","-",'ORDENES'!$AQ1137))</f>
        <v/>
      </c>
      <c r="J1159" s="3">
        <f>IF('ORDENES'!$A1137="","",IF('ORDENES'!$D1137="","-",'ORDENES'!$D1137))</f>
        <v/>
      </c>
      <c r="K1159" s="3">
        <f>IF('ORDENES'!$A1137="","",IF('ORDENES'!$E1137="","-",'ORDENES'!$E1137))</f>
        <v/>
      </c>
      <c r="L1159" s="13">
        <f>IF('ORDENES'!$A1137="","",IF('ORDENES'!$M1137="",0,'ORDENES'!$M1137))</f>
        <v/>
      </c>
      <c r="M1159" s="3">
        <f>IF('ORDENES'!$A1137="","",IF('ORDENES'!$N1137="","-",'ORDENES'!$N1137))</f>
        <v/>
      </c>
      <c r="N1159" s="3">
        <f>IF('ORDENES'!$A1137="","",'ORDENES'!$AD1137)</f>
        <v/>
      </c>
    </row>
    <row r="1160">
      <c r="A1160" s="3">
        <f>IF('ORDENES'!$A1138="","",IF('ORDENES'!$O1138="","-",'ORDENES'!$O1138))</f>
        <v/>
      </c>
      <c r="B1160" s="3">
        <f>IF('ORDENES'!$A1138="","",IF('ORDENES'!$R1138="","-",'ORDENES'!$R1138))</f>
        <v/>
      </c>
      <c r="C1160" s="3">
        <f>IF('ORDENES'!$A1138="","",IF('ORDENES'!$AF1138="","-",'ORDENES'!$AF1138))</f>
        <v/>
      </c>
      <c r="D1160" s="3">
        <f>IF('ORDENES'!$A1138="","",IF('ORDENES'!$X1138="","-",'ORDENES'!$X1138))</f>
        <v/>
      </c>
      <c r="E1160" s="3">
        <f>IF('ORDENES'!$A1138="","",IF('ORDENES'!$V1138="","-",'ORDENES'!$V1138))</f>
        <v/>
      </c>
      <c r="F1160" s="3">
        <f>IF('ORDENES'!$A1138="","",IF('ORDENES'!$Y1138="","-",'ORDENES'!$Y1138))</f>
        <v/>
      </c>
      <c r="G1160" s="3">
        <f>IF('ORDENES'!$A1138="","",IF('ORDENES'!$W1138="","-",'ORDENES'!$W1138))</f>
        <v/>
      </c>
      <c r="H1160" s="3">
        <f>IF('ORDENES'!$A1138="","",IF('ORDENES'!$AE1138="","-",'ORDENES'!$AE1138))</f>
        <v/>
      </c>
      <c r="I1160" s="3">
        <f>IF('ORDENES'!$A1138="","",IF('ORDENES'!$AQ1138="","-",'ORDENES'!$AQ1138))</f>
        <v/>
      </c>
      <c r="J1160" s="3">
        <f>IF('ORDENES'!$A1138="","",IF('ORDENES'!$D1138="","-",'ORDENES'!$D1138))</f>
        <v/>
      </c>
      <c r="K1160" s="3">
        <f>IF('ORDENES'!$A1138="","",IF('ORDENES'!$E1138="","-",'ORDENES'!$E1138))</f>
        <v/>
      </c>
      <c r="L1160" s="13">
        <f>IF('ORDENES'!$A1138="","",IF('ORDENES'!$M1138="",0,'ORDENES'!$M1138))</f>
        <v/>
      </c>
      <c r="M1160" s="3">
        <f>IF('ORDENES'!$A1138="","",IF('ORDENES'!$N1138="","-",'ORDENES'!$N1138))</f>
        <v/>
      </c>
      <c r="N1160" s="3">
        <f>IF('ORDENES'!$A1138="","",'ORDENES'!$AD1138)</f>
        <v/>
      </c>
    </row>
    <row r="1161">
      <c r="A1161" s="3">
        <f>IF('ORDENES'!$A1139="","",IF('ORDENES'!$O1139="","-",'ORDENES'!$O1139))</f>
        <v/>
      </c>
      <c r="B1161" s="3">
        <f>IF('ORDENES'!$A1139="","",IF('ORDENES'!$R1139="","-",'ORDENES'!$R1139))</f>
        <v/>
      </c>
      <c r="C1161" s="3">
        <f>IF('ORDENES'!$A1139="","",IF('ORDENES'!$AF1139="","-",'ORDENES'!$AF1139))</f>
        <v/>
      </c>
      <c r="D1161" s="3">
        <f>IF('ORDENES'!$A1139="","",IF('ORDENES'!$X1139="","-",'ORDENES'!$X1139))</f>
        <v/>
      </c>
      <c r="E1161" s="3">
        <f>IF('ORDENES'!$A1139="","",IF('ORDENES'!$V1139="","-",'ORDENES'!$V1139))</f>
        <v/>
      </c>
      <c r="F1161" s="3">
        <f>IF('ORDENES'!$A1139="","",IF('ORDENES'!$Y1139="","-",'ORDENES'!$Y1139))</f>
        <v/>
      </c>
      <c r="G1161" s="3">
        <f>IF('ORDENES'!$A1139="","",IF('ORDENES'!$W1139="","-",'ORDENES'!$W1139))</f>
        <v/>
      </c>
      <c r="H1161" s="3">
        <f>IF('ORDENES'!$A1139="","",IF('ORDENES'!$AE1139="","-",'ORDENES'!$AE1139))</f>
        <v/>
      </c>
      <c r="I1161" s="3">
        <f>IF('ORDENES'!$A1139="","",IF('ORDENES'!$AQ1139="","-",'ORDENES'!$AQ1139))</f>
        <v/>
      </c>
      <c r="J1161" s="3">
        <f>IF('ORDENES'!$A1139="","",IF('ORDENES'!$D1139="","-",'ORDENES'!$D1139))</f>
        <v/>
      </c>
      <c r="K1161" s="3">
        <f>IF('ORDENES'!$A1139="","",IF('ORDENES'!$E1139="","-",'ORDENES'!$E1139))</f>
        <v/>
      </c>
      <c r="L1161" s="13">
        <f>IF('ORDENES'!$A1139="","",IF('ORDENES'!$M1139="",0,'ORDENES'!$M1139))</f>
        <v/>
      </c>
      <c r="M1161" s="3">
        <f>IF('ORDENES'!$A1139="","",IF('ORDENES'!$N1139="","-",'ORDENES'!$N1139))</f>
        <v/>
      </c>
      <c r="N1161" s="3">
        <f>IF('ORDENES'!$A1139="","",'ORDENES'!$AD1139)</f>
        <v/>
      </c>
    </row>
    <row r="1162">
      <c r="A1162" s="3">
        <f>IF('ORDENES'!$A1140="","",IF('ORDENES'!$O1140="","-",'ORDENES'!$O1140))</f>
        <v/>
      </c>
      <c r="B1162" s="3">
        <f>IF('ORDENES'!$A1140="","",IF('ORDENES'!$R1140="","-",'ORDENES'!$R1140))</f>
        <v/>
      </c>
      <c r="C1162" s="3">
        <f>IF('ORDENES'!$A1140="","",IF('ORDENES'!$AF1140="","-",'ORDENES'!$AF1140))</f>
        <v/>
      </c>
      <c r="D1162" s="3">
        <f>IF('ORDENES'!$A1140="","",IF('ORDENES'!$X1140="","-",'ORDENES'!$X1140))</f>
        <v/>
      </c>
      <c r="E1162" s="3">
        <f>IF('ORDENES'!$A1140="","",IF('ORDENES'!$V1140="","-",'ORDENES'!$V1140))</f>
        <v/>
      </c>
      <c r="F1162" s="3">
        <f>IF('ORDENES'!$A1140="","",IF('ORDENES'!$Y1140="","-",'ORDENES'!$Y1140))</f>
        <v/>
      </c>
      <c r="G1162" s="3">
        <f>IF('ORDENES'!$A1140="","",IF('ORDENES'!$W1140="","-",'ORDENES'!$W1140))</f>
        <v/>
      </c>
      <c r="H1162" s="3">
        <f>IF('ORDENES'!$A1140="","",IF('ORDENES'!$AE1140="","-",'ORDENES'!$AE1140))</f>
        <v/>
      </c>
      <c r="I1162" s="3">
        <f>IF('ORDENES'!$A1140="","",IF('ORDENES'!$AQ1140="","-",'ORDENES'!$AQ1140))</f>
        <v/>
      </c>
      <c r="J1162" s="3">
        <f>IF('ORDENES'!$A1140="","",IF('ORDENES'!$D1140="","-",'ORDENES'!$D1140))</f>
        <v/>
      </c>
      <c r="K1162" s="3">
        <f>IF('ORDENES'!$A1140="","",IF('ORDENES'!$E1140="","-",'ORDENES'!$E1140))</f>
        <v/>
      </c>
      <c r="L1162" s="13">
        <f>IF('ORDENES'!$A1140="","",IF('ORDENES'!$M1140="",0,'ORDENES'!$M1140))</f>
        <v/>
      </c>
      <c r="M1162" s="3">
        <f>IF('ORDENES'!$A1140="","",IF('ORDENES'!$N1140="","-",'ORDENES'!$N1140))</f>
        <v/>
      </c>
      <c r="N1162" s="3">
        <f>IF('ORDENES'!$A1140="","",'ORDENES'!$AD1140)</f>
        <v/>
      </c>
    </row>
    <row r="1163">
      <c r="A1163" s="3">
        <f>IF('ORDENES'!$A1141="","",IF('ORDENES'!$O1141="","-",'ORDENES'!$O1141))</f>
        <v/>
      </c>
      <c r="B1163" s="3">
        <f>IF('ORDENES'!$A1141="","",IF('ORDENES'!$R1141="","-",'ORDENES'!$R1141))</f>
        <v/>
      </c>
      <c r="C1163" s="3">
        <f>IF('ORDENES'!$A1141="","",IF('ORDENES'!$AF1141="","-",'ORDENES'!$AF1141))</f>
        <v/>
      </c>
      <c r="D1163" s="3">
        <f>IF('ORDENES'!$A1141="","",IF('ORDENES'!$X1141="","-",'ORDENES'!$X1141))</f>
        <v/>
      </c>
      <c r="E1163" s="3">
        <f>IF('ORDENES'!$A1141="","",IF('ORDENES'!$V1141="","-",'ORDENES'!$V1141))</f>
        <v/>
      </c>
      <c r="F1163" s="3">
        <f>IF('ORDENES'!$A1141="","",IF('ORDENES'!$Y1141="","-",'ORDENES'!$Y1141))</f>
        <v/>
      </c>
      <c r="G1163" s="3">
        <f>IF('ORDENES'!$A1141="","",IF('ORDENES'!$W1141="","-",'ORDENES'!$W1141))</f>
        <v/>
      </c>
      <c r="H1163" s="3">
        <f>IF('ORDENES'!$A1141="","",IF('ORDENES'!$AE1141="","-",'ORDENES'!$AE1141))</f>
        <v/>
      </c>
      <c r="I1163" s="3">
        <f>IF('ORDENES'!$A1141="","",IF('ORDENES'!$AQ1141="","-",'ORDENES'!$AQ1141))</f>
        <v/>
      </c>
      <c r="J1163" s="3">
        <f>IF('ORDENES'!$A1141="","",IF('ORDENES'!$D1141="","-",'ORDENES'!$D1141))</f>
        <v/>
      </c>
      <c r="K1163" s="3">
        <f>IF('ORDENES'!$A1141="","",IF('ORDENES'!$E1141="","-",'ORDENES'!$E1141))</f>
        <v/>
      </c>
      <c r="L1163" s="13">
        <f>IF('ORDENES'!$A1141="","",IF('ORDENES'!$M1141="",0,'ORDENES'!$M1141))</f>
        <v/>
      </c>
      <c r="M1163" s="3">
        <f>IF('ORDENES'!$A1141="","",IF('ORDENES'!$N1141="","-",'ORDENES'!$N1141))</f>
        <v/>
      </c>
      <c r="N1163" s="3">
        <f>IF('ORDENES'!$A1141="","",'ORDENES'!$AD1141)</f>
        <v/>
      </c>
    </row>
    <row r="1164">
      <c r="A1164" s="3">
        <f>IF('ORDENES'!$A1142="","",IF('ORDENES'!$O1142="","-",'ORDENES'!$O1142))</f>
        <v/>
      </c>
      <c r="B1164" s="3">
        <f>IF('ORDENES'!$A1142="","",IF('ORDENES'!$R1142="","-",'ORDENES'!$R1142))</f>
        <v/>
      </c>
      <c r="C1164" s="3">
        <f>IF('ORDENES'!$A1142="","",IF('ORDENES'!$AF1142="","-",'ORDENES'!$AF1142))</f>
        <v/>
      </c>
      <c r="D1164" s="3">
        <f>IF('ORDENES'!$A1142="","",IF('ORDENES'!$X1142="","-",'ORDENES'!$X1142))</f>
        <v/>
      </c>
      <c r="E1164" s="3">
        <f>IF('ORDENES'!$A1142="","",IF('ORDENES'!$V1142="","-",'ORDENES'!$V1142))</f>
        <v/>
      </c>
      <c r="F1164" s="3">
        <f>IF('ORDENES'!$A1142="","",IF('ORDENES'!$Y1142="","-",'ORDENES'!$Y1142))</f>
        <v/>
      </c>
      <c r="G1164" s="3">
        <f>IF('ORDENES'!$A1142="","",IF('ORDENES'!$W1142="","-",'ORDENES'!$W1142))</f>
        <v/>
      </c>
      <c r="H1164" s="3">
        <f>IF('ORDENES'!$A1142="","",IF('ORDENES'!$AE1142="","-",'ORDENES'!$AE1142))</f>
        <v/>
      </c>
      <c r="I1164" s="3">
        <f>IF('ORDENES'!$A1142="","",IF('ORDENES'!$AQ1142="","-",'ORDENES'!$AQ1142))</f>
        <v/>
      </c>
      <c r="J1164" s="3">
        <f>IF('ORDENES'!$A1142="","",IF('ORDENES'!$D1142="","-",'ORDENES'!$D1142))</f>
        <v/>
      </c>
      <c r="K1164" s="3">
        <f>IF('ORDENES'!$A1142="","",IF('ORDENES'!$E1142="","-",'ORDENES'!$E1142))</f>
        <v/>
      </c>
      <c r="L1164" s="13">
        <f>IF('ORDENES'!$A1142="","",IF('ORDENES'!$M1142="",0,'ORDENES'!$M1142))</f>
        <v/>
      </c>
      <c r="M1164" s="3">
        <f>IF('ORDENES'!$A1142="","",IF('ORDENES'!$N1142="","-",'ORDENES'!$N1142))</f>
        <v/>
      </c>
      <c r="N1164" s="3">
        <f>IF('ORDENES'!$A1142="","",'ORDENES'!$AD1142)</f>
        <v/>
      </c>
    </row>
    <row r="1165">
      <c r="A1165" s="3">
        <f>IF('ORDENES'!$A1143="","",IF('ORDENES'!$O1143="","-",'ORDENES'!$O1143))</f>
        <v/>
      </c>
      <c r="B1165" s="3">
        <f>IF('ORDENES'!$A1143="","",IF('ORDENES'!$R1143="","-",'ORDENES'!$R1143))</f>
        <v/>
      </c>
      <c r="C1165" s="3">
        <f>IF('ORDENES'!$A1143="","",IF('ORDENES'!$AF1143="","-",'ORDENES'!$AF1143))</f>
        <v/>
      </c>
      <c r="D1165" s="3">
        <f>IF('ORDENES'!$A1143="","",IF('ORDENES'!$X1143="","-",'ORDENES'!$X1143))</f>
        <v/>
      </c>
      <c r="E1165" s="3">
        <f>IF('ORDENES'!$A1143="","",IF('ORDENES'!$V1143="","-",'ORDENES'!$V1143))</f>
        <v/>
      </c>
      <c r="F1165" s="3">
        <f>IF('ORDENES'!$A1143="","",IF('ORDENES'!$Y1143="","-",'ORDENES'!$Y1143))</f>
        <v/>
      </c>
      <c r="G1165" s="3">
        <f>IF('ORDENES'!$A1143="","",IF('ORDENES'!$W1143="","-",'ORDENES'!$W1143))</f>
        <v/>
      </c>
      <c r="H1165" s="3">
        <f>IF('ORDENES'!$A1143="","",IF('ORDENES'!$AE1143="","-",'ORDENES'!$AE1143))</f>
        <v/>
      </c>
      <c r="I1165" s="3">
        <f>IF('ORDENES'!$A1143="","",IF('ORDENES'!$AQ1143="","-",'ORDENES'!$AQ1143))</f>
        <v/>
      </c>
      <c r="J1165" s="3">
        <f>IF('ORDENES'!$A1143="","",IF('ORDENES'!$D1143="","-",'ORDENES'!$D1143))</f>
        <v/>
      </c>
      <c r="K1165" s="3">
        <f>IF('ORDENES'!$A1143="","",IF('ORDENES'!$E1143="","-",'ORDENES'!$E1143))</f>
        <v/>
      </c>
      <c r="L1165" s="13">
        <f>IF('ORDENES'!$A1143="","",IF('ORDENES'!$M1143="",0,'ORDENES'!$M1143))</f>
        <v/>
      </c>
      <c r="M1165" s="3">
        <f>IF('ORDENES'!$A1143="","",IF('ORDENES'!$N1143="","-",'ORDENES'!$N1143))</f>
        <v/>
      </c>
      <c r="N1165" s="3">
        <f>IF('ORDENES'!$A1143="","",'ORDENES'!$AD1143)</f>
        <v/>
      </c>
    </row>
    <row r="1166">
      <c r="A1166" s="3">
        <f>IF('ORDENES'!$A1144="","",IF('ORDENES'!$O1144="","-",'ORDENES'!$O1144))</f>
        <v/>
      </c>
      <c r="B1166" s="3">
        <f>IF('ORDENES'!$A1144="","",IF('ORDENES'!$R1144="","-",'ORDENES'!$R1144))</f>
        <v/>
      </c>
      <c r="C1166" s="3">
        <f>IF('ORDENES'!$A1144="","",IF('ORDENES'!$AF1144="","-",'ORDENES'!$AF1144))</f>
        <v/>
      </c>
      <c r="D1166" s="3">
        <f>IF('ORDENES'!$A1144="","",IF('ORDENES'!$X1144="","-",'ORDENES'!$X1144))</f>
        <v/>
      </c>
      <c r="E1166" s="3">
        <f>IF('ORDENES'!$A1144="","",IF('ORDENES'!$V1144="","-",'ORDENES'!$V1144))</f>
        <v/>
      </c>
      <c r="F1166" s="3">
        <f>IF('ORDENES'!$A1144="","",IF('ORDENES'!$Y1144="","-",'ORDENES'!$Y1144))</f>
        <v/>
      </c>
      <c r="G1166" s="3">
        <f>IF('ORDENES'!$A1144="","",IF('ORDENES'!$W1144="","-",'ORDENES'!$W1144))</f>
        <v/>
      </c>
      <c r="H1166" s="3">
        <f>IF('ORDENES'!$A1144="","",IF('ORDENES'!$AE1144="","-",'ORDENES'!$AE1144))</f>
        <v/>
      </c>
      <c r="I1166" s="3">
        <f>IF('ORDENES'!$A1144="","",IF('ORDENES'!$AQ1144="","-",'ORDENES'!$AQ1144))</f>
        <v/>
      </c>
      <c r="J1166" s="3">
        <f>IF('ORDENES'!$A1144="","",IF('ORDENES'!$D1144="","-",'ORDENES'!$D1144))</f>
        <v/>
      </c>
      <c r="K1166" s="3">
        <f>IF('ORDENES'!$A1144="","",IF('ORDENES'!$E1144="","-",'ORDENES'!$E1144))</f>
        <v/>
      </c>
      <c r="L1166" s="13">
        <f>IF('ORDENES'!$A1144="","",IF('ORDENES'!$M1144="",0,'ORDENES'!$M1144))</f>
        <v/>
      </c>
      <c r="M1166" s="3">
        <f>IF('ORDENES'!$A1144="","",IF('ORDENES'!$N1144="","-",'ORDENES'!$N1144))</f>
        <v/>
      </c>
      <c r="N1166" s="3">
        <f>IF('ORDENES'!$A1144="","",'ORDENES'!$AD1144)</f>
        <v/>
      </c>
    </row>
    <row r="1167">
      <c r="A1167" s="3">
        <f>IF('ORDENES'!$A1145="","",IF('ORDENES'!$O1145="","-",'ORDENES'!$O1145))</f>
        <v/>
      </c>
      <c r="B1167" s="3">
        <f>IF('ORDENES'!$A1145="","",IF('ORDENES'!$R1145="","-",'ORDENES'!$R1145))</f>
        <v/>
      </c>
      <c r="C1167" s="3">
        <f>IF('ORDENES'!$A1145="","",IF('ORDENES'!$AF1145="","-",'ORDENES'!$AF1145))</f>
        <v/>
      </c>
      <c r="D1167" s="3">
        <f>IF('ORDENES'!$A1145="","",IF('ORDENES'!$X1145="","-",'ORDENES'!$X1145))</f>
        <v/>
      </c>
      <c r="E1167" s="3">
        <f>IF('ORDENES'!$A1145="","",IF('ORDENES'!$V1145="","-",'ORDENES'!$V1145))</f>
        <v/>
      </c>
      <c r="F1167" s="3">
        <f>IF('ORDENES'!$A1145="","",IF('ORDENES'!$Y1145="","-",'ORDENES'!$Y1145))</f>
        <v/>
      </c>
      <c r="G1167" s="3">
        <f>IF('ORDENES'!$A1145="","",IF('ORDENES'!$W1145="","-",'ORDENES'!$W1145))</f>
        <v/>
      </c>
      <c r="H1167" s="3">
        <f>IF('ORDENES'!$A1145="","",IF('ORDENES'!$AE1145="","-",'ORDENES'!$AE1145))</f>
        <v/>
      </c>
      <c r="I1167" s="3">
        <f>IF('ORDENES'!$A1145="","",IF('ORDENES'!$AQ1145="","-",'ORDENES'!$AQ1145))</f>
        <v/>
      </c>
      <c r="J1167" s="3">
        <f>IF('ORDENES'!$A1145="","",IF('ORDENES'!$D1145="","-",'ORDENES'!$D1145))</f>
        <v/>
      </c>
      <c r="K1167" s="3">
        <f>IF('ORDENES'!$A1145="","",IF('ORDENES'!$E1145="","-",'ORDENES'!$E1145))</f>
        <v/>
      </c>
      <c r="L1167" s="13">
        <f>IF('ORDENES'!$A1145="","",IF('ORDENES'!$M1145="",0,'ORDENES'!$M1145))</f>
        <v/>
      </c>
      <c r="M1167" s="3">
        <f>IF('ORDENES'!$A1145="","",IF('ORDENES'!$N1145="","-",'ORDENES'!$N1145))</f>
        <v/>
      </c>
      <c r="N1167" s="3">
        <f>IF('ORDENES'!$A1145="","",'ORDENES'!$AD1145)</f>
        <v/>
      </c>
    </row>
    <row r="1168">
      <c r="A1168" s="3">
        <f>IF('ORDENES'!$A1146="","",IF('ORDENES'!$O1146="","-",'ORDENES'!$O1146))</f>
        <v/>
      </c>
      <c r="B1168" s="3">
        <f>IF('ORDENES'!$A1146="","",IF('ORDENES'!$R1146="","-",'ORDENES'!$R1146))</f>
        <v/>
      </c>
      <c r="C1168" s="3">
        <f>IF('ORDENES'!$A1146="","",IF('ORDENES'!$AF1146="","-",'ORDENES'!$AF1146))</f>
        <v/>
      </c>
      <c r="D1168" s="3">
        <f>IF('ORDENES'!$A1146="","",IF('ORDENES'!$X1146="","-",'ORDENES'!$X1146))</f>
        <v/>
      </c>
      <c r="E1168" s="3">
        <f>IF('ORDENES'!$A1146="","",IF('ORDENES'!$V1146="","-",'ORDENES'!$V1146))</f>
        <v/>
      </c>
      <c r="F1168" s="3">
        <f>IF('ORDENES'!$A1146="","",IF('ORDENES'!$Y1146="","-",'ORDENES'!$Y1146))</f>
        <v/>
      </c>
      <c r="G1168" s="3">
        <f>IF('ORDENES'!$A1146="","",IF('ORDENES'!$W1146="","-",'ORDENES'!$W1146))</f>
        <v/>
      </c>
      <c r="H1168" s="3">
        <f>IF('ORDENES'!$A1146="","",IF('ORDENES'!$AE1146="","-",'ORDENES'!$AE1146))</f>
        <v/>
      </c>
      <c r="I1168" s="3">
        <f>IF('ORDENES'!$A1146="","",IF('ORDENES'!$AQ1146="","-",'ORDENES'!$AQ1146))</f>
        <v/>
      </c>
      <c r="J1168" s="3">
        <f>IF('ORDENES'!$A1146="","",IF('ORDENES'!$D1146="","-",'ORDENES'!$D1146))</f>
        <v/>
      </c>
      <c r="K1168" s="3">
        <f>IF('ORDENES'!$A1146="","",IF('ORDENES'!$E1146="","-",'ORDENES'!$E1146))</f>
        <v/>
      </c>
      <c r="L1168" s="13">
        <f>IF('ORDENES'!$A1146="","",IF('ORDENES'!$M1146="",0,'ORDENES'!$M1146))</f>
        <v/>
      </c>
      <c r="M1168" s="3">
        <f>IF('ORDENES'!$A1146="","",IF('ORDENES'!$N1146="","-",'ORDENES'!$N1146))</f>
        <v/>
      </c>
      <c r="N1168" s="3">
        <f>IF('ORDENES'!$A1146="","",'ORDENES'!$AD1146)</f>
        <v/>
      </c>
    </row>
    <row r="1169">
      <c r="A1169" s="3">
        <f>IF('ORDENES'!$A1147="","",IF('ORDENES'!$O1147="","-",'ORDENES'!$O1147))</f>
        <v/>
      </c>
      <c r="B1169" s="3">
        <f>IF('ORDENES'!$A1147="","",IF('ORDENES'!$R1147="","-",'ORDENES'!$R1147))</f>
        <v/>
      </c>
      <c r="C1169" s="3">
        <f>IF('ORDENES'!$A1147="","",IF('ORDENES'!$AF1147="","-",'ORDENES'!$AF1147))</f>
        <v/>
      </c>
      <c r="D1169" s="3">
        <f>IF('ORDENES'!$A1147="","",IF('ORDENES'!$X1147="","-",'ORDENES'!$X1147))</f>
        <v/>
      </c>
      <c r="E1169" s="3">
        <f>IF('ORDENES'!$A1147="","",IF('ORDENES'!$V1147="","-",'ORDENES'!$V1147))</f>
        <v/>
      </c>
      <c r="F1169" s="3">
        <f>IF('ORDENES'!$A1147="","",IF('ORDENES'!$Y1147="","-",'ORDENES'!$Y1147))</f>
        <v/>
      </c>
      <c r="G1169" s="3">
        <f>IF('ORDENES'!$A1147="","",IF('ORDENES'!$W1147="","-",'ORDENES'!$W1147))</f>
        <v/>
      </c>
      <c r="H1169" s="3">
        <f>IF('ORDENES'!$A1147="","",IF('ORDENES'!$AE1147="","-",'ORDENES'!$AE1147))</f>
        <v/>
      </c>
      <c r="I1169" s="3">
        <f>IF('ORDENES'!$A1147="","",IF('ORDENES'!$AQ1147="","-",'ORDENES'!$AQ1147))</f>
        <v/>
      </c>
      <c r="J1169" s="3">
        <f>IF('ORDENES'!$A1147="","",IF('ORDENES'!$D1147="","-",'ORDENES'!$D1147))</f>
        <v/>
      </c>
      <c r="K1169" s="3">
        <f>IF('ORDENES'!$A1147="","",IF('ORDENES'!$E1147="","-",'ORDENES'!$E1147))</f>
        <v/>
      </c>
      <c r="L1169" s="13">
        <f>IF('ORDENES'!$A1147="","",IF('ORDENES'!$M1147="",0,'ORDENES'!$M1147))</f>
        <v/>
      </c>
      <c r="M1169" s="3">
        <f>IF('ORDENES'!$A1147="","",IF('ORDENES'!$N1147="","-",'ORDENES'!$N1147))</f>
        <v/>
      </c>
      <c r="N1169" s="3">
        <f>IF('ORDENES'!$A1147="","",'ORDENES'!$AD1147)</f>
        <v/>
      </c>
    </row>
    <row r="1170">
      <c r="A1170" s="3">
        <f>IF('ORDENES'!$A1148="","",IF('ORDENES'!$O1148="","-",'ORDENES'!$O1148))</f>
        <v/>
      </c>
      <c r="B1170" s="3">
        <f>IF('ORDENES'!$A1148="","",IF('ORDENES'!$R1148="","-",'ORDENES'!$R1148))</f>
        <v/>
      </c>
      <c r="C1170" s="3">
        <f>IF('ORDENES'!$A1148="","",IF('ORDENES'!$AF1148="","-",'ORDENES'!$AF1148))</f>
        <v/>
      </c>
      <c r="D1170" s="3">
        <f>IF('ORDENES'!$A1148="","",IF('ORDENES'!$X1148="","-",'ORDENES'!$X1148))</f>
        <v/>
      </c>
      <c r="E1170" s="3">
        <f>IF('ORDENES'!$A1148="","",IF('ORDENES'!$V1148="","-",'ORDENES'!$V1148))</f>
        <v/>
      </c>
      <c r="F1170" s="3">
        <f>IF('ORDENES'!$A1148="","",IF('ORDENES'!$Y1148="","-",'ORDENES'!$Y1148))</f>
        <v/>
      </c>
      <c r="G1170" s="3">
        <f>IF('ORDENES'!$A1148="","",IF('ORDENES'!$W1148="","-",'ORDENES'!$W1148))</f>
        <v/>
      </c>
      <c r="H1170" s="3">
        <f>IF('ORDENES'!$A1148="","",IF('ORDENES'!$AE1148="","-",'ORDENES'!$AE1148))</f>
        <v/>
      </c>
      <c r="I1170" s="3">
        <f>IF('ORDENES'!$A1148="","",IF('ORDENES'!$AQ1148="","-",'ORDENES'!$AQ1148))</f>
        <v/>
      </c>
      <c r="J1170" s="3">
        <f>IF('ORDENES'!$A1148="","",IF('ORDENES'!$D1148="","-",'ORDENES'!$D1148))</f>
        <v/>
      </c>
      <c r="K1170" s="3">
        <f>IF('ORDENES'!$A1148="","",IF('ORDENES'!$E1148="","-",'ORDENES'!$E1148))</f>
        <v/>
      </c>
      <c r="L1170" s="13">
        <f>IF('ORDENES'!$A1148="","",IF('ORDENES'!$M1148="",0,'ORDENES'!$M1148))</f>
        <v/>
      </c>
      <c r="M1170" s="3">
        <f>IF('ORDENES'!$A1148="","",IF('ORDENES'!$N1148="","-",'ORDENES'!$N1148))</f>
        <v/>
      </c>
      <c r="N1170" s="3">
        <f>IF('ORDENES'!$A1148="","",'ORDENES'!$AD1148)</f>
        <v/>
      </c>
    </row>
    <row r="1171">
      <c r="A1171" s="3">
        <f>IF('ORDENES'!$A1149="","",IF('ORDENES'!$O1149="","-",'ORDENES'!$O1149))</f>
        <v/>
      </c>
      <c r="B1171" s="3">
        <f>IF('ORDENES'!$A1149="","",IF('ORDENES'!$R1149="","-",'ORDENES'!$R1149))</f>
        <v/>
      </c>
      <c r="C1171" s="3">
        <f>IF('ORDENES'!$A1149="","",IF('ORDENES'!$AF1149="","-",'ORDENES'!$AF1149))</f>
        <v/>
      </c>
      <c r="D1171" s="3">
        <f>IF('ORDENES'!$A1149="","",IF('ORDENES'!$X1149="","-",'ORDENES'!$X1149))</f>
        <v/>
      </c>
      <c r="E1171" s="3">
        <f>IF('ORDENES'!$A1149="","",IF('ORDENES'!$V1149="","-",'ORDENES'!$V1149))</f>
        <v/>
      </c>
      <c r="F1171" s="3">
        <f>IF('ORDENES'!$A1149="","",IF('ORDENES'!$Y1149="","-",'ORDENES'!$Y1149))</f>
        <v/>
      </c>
      <c r="G1171" s="3">
        <f>IF('ORDENES'!$A1149="","",IF('ORDENES'!$W1149="","-",'ORDENES'!$W1149))</f>
        <v/>
      </c>
      <c r="H1171" s="3">
        <f>IF('ORDENES'!$A1149="","",IF('ORDENES'!$AE1149="","-",'ORDENES'!$AE1149))</f>
        <v/>
      </c>
      <c r="I1171" s="3">
        <f>IF('ORDENES'!$A1149="","",IF('ORDENES'!$AQ1149="","-",'ORDENES'!$AQ1149))</f>
        <v/>
      </c>
      <c r="J1171" s="3">
        <f>IF('ORDENES'!$A1149="","",IF('ORDENES'!$D1149="","-",'ORDENES'!$D1149))</f>
        <v/>
      </c>
      <c r="K1171" s="3">
        <f>IF('ORDENES'!$A1149="","",IF('ORDENES'!$E1149="","-",'ORDENES'!$E1149))</f>
        <v/>
      </c>
      <c r="L1171" s="13">
        <f>IF('ORDENES'!$A1149="","",IF('ORDENES'!$M1149="",0,'ORDENES'!$M1149))</f>
        <v/>
      </c>
      <c r="M1171" s="3">
        <f>IF('ORDENES'!$A1149="","",IF('ORDENES'!$N1149="","-",'ORDENES'!$N1149))</f>
        <v/>
      </c>
      <c r="N1171" s="3">
        <f>IF('ORDENES'!$A1149="","",'ORDENES'!$AD1149)</f>
        <v/>
      </c>
    </row>
    <row r="1172">
      <c r="A1172" s="3">
        <f>IF('ORDENES'!$A1150="","",IF('ORDENES'!$O1150="","-",'ORDENES'!$O1150))</f>
        <v/>
      </c>
      <c r="B1172" s="3">
        <f>IF('ORDENES'!$A1150="","",IF('ORDENES'!$R1150="","-",'ORDENES'!$R1150))</f>
        <v/>
      </c>
      <c r="C1172" s="3">
        <f>IF('ORDENES'!$A1150="","",IF('ORDENES'!$AF1150="","-",'ORDENES'!$AF1150))</f>
        <v/>
      </c>
      <c r="D1172" s="3">
        <f>IF('ORDENES'!$A1150="","",IF('ORDENES'!$X1150="","-",'ORDENES'!$X1150))</f>
        <v/>
      </c>
      <c r="E1172" s="3">
        <f>IF('ORDENES'!$A1150="","",IF('ORDENES'!$V1150="","-",'ORDENES'!$V1150))</f>
        <v/>
      </c>
      <c r="F1172" s="3">
        <f>IF('ORDENES'!$A1150="","",IF('ORDENES'!$Y1150="","-",'ORDENES'!$Y1150))</f>
        <v/>
      </c>
      <c r="G1172" s="3">
        <f>IF('ORDENES'!$A1150="","",IF('ORDENES'!$W1150="","-",'ORDENES'!$W1150))</f>
        <v/>
      </c>
      <c r="H1172" s="3">
        <f>IF('ORDENES'!$A1150="","",IF('ORDENES'!$AE1150="","-",'ORDENES'!$AE1150))</f>
        <v/>
      </c>
      <c r="I1172" s="3">
        <f>IF('ORDENES'!$A1150="","",IF('ORDENES'!$AQ1150="","-",'ORDENES'!$AQ1150))</f>
        <v/>
      </c>
      <c r="J1172" s="3">
        <f>IF('ORDENES'!$A1150="","",IF('ORDENES'!$D1150="","-",'ORDENES'!$D1150))</f>
        <v/>
      </c>
      <c r="K1172" s="3">
        <f>IF('ORDENES'!$A1150="","",IF('ORDENES'!$E1150="","-",'ORDENES'!$E1150))</f>
        <v/>
      </c>
      <c r="L1172" s="13">
        <f>IF('ORDENES'!$A1150="","",IF('ORDENES'!$M1150="",0,'ORDENES'!$M1150))</f>
        <v/>
      </c>
      <c r="M1172" s="3">
        <f>IF('ORDENES'!$A1150="","",IF('ORDENES'!$N1150="","-",'ORDENES'!$N1150))</f>
        <v/>
      </c>
      <c r="N1172" s="3">
        <f>IF('ORDENES'!$A1150="","",'ORDENES'!$AD1150)</f>
        <v/>
      </c>
    </row>
    <row r="1173">
      <c r="A1173" s="3">
        <f>IF('ORDENES'!$A1151="","",IF('ORDENES'!$O1151="","-",'ORDENES'!$O1151))</f>
        <v/>
      </c>
      <c r="B1173" s="3">
        <f>IF('ORDENES'!$A1151="","",IF('ORDENES'!$R1151="","-",'ORDENES'!$R1151))</f>
        <v/>
      </c>
      <c r="C1173" s="3">
        <f>IF('ORDENES'!$A1151="","",IF('ORDENES'!$AF1151="","-",'ORDENES'!$AF1151))</f>
        <v/>
      </c>
      <c r="D1173" s="3">
        <f>IF('ORDENES'!$A1151="","",IF('ORDENES'!$X1151="","-",'ORDENES'!$X1151))</f>
        <v/>
      </c>
      <c r="E1173" s="3">
        <f>IF('ORDENES'!$A1151="","",IF('ORDENES'!$V1151="","-",'ORDENES'!$V1151))</f>
        <v/>
      </c>
      <c r="F1173" s="3">
        <f>IF('ORDENES'!$A1151="","",IF('ORDENES'!$Y1151="","-",'ORDENES'!$Y1151))</f>
        <v/>
      </c>
      <c r="G1173" s="3">
        <f>IF('ORDENES'!$A1151="","",IF('ORDENES'!$W1151="","-",'ORDENES'!$W1151))</f>
        <v/>
      </c>
      <c r="H1173" s="3">
        <f>IF('ORDENES'!$A1151="","",IF('ORDENES'!$AE1151="","-",'ORDENES'!$AE1151))</f>
        <v/>
      </c>
      <c r="I1173" s="3">
        <f>IF('ORDENES'!$A1151="","",IF('ORDENES'!$AQ1151="","-",'ORDENES'!$AQ1151))</f>
        <v/>
      </c>
      <c r="J1173" s="3">
        <f>IF('ORDENES'!$A1151="","",IF('ORDENES'!$D1151="","-",'ORDENES'!$D1151))</f>
        <v/>
      </c>
      <c r="K1173" s="3">
        <f>IF('ORDENES'!$A1151="","",IF('ORDENES'!$E1151="","-",'ORDENES'!$E1151))</f>
        <v/>
      </c>
      <c r="L1173" s="13">
        <f>IF('ORDENES'!$A1151="","",IF('ORDENES'!$M1151="",0,'ORDENES'!$M1151))</f>
        <v/>
      </c>
      <c r="M1173" s="3">
        <f>IF('ORDENES'!$A1151="","",IF('ORDENES'!$N1151="","-",'ORDENES'!$N1151))</f>
        <v/>
      </c>
      <c r="N1173" s="3">
        <f>IF('ORDENES'!$A1151="","",'ORDENES'!$AD1151)</f>
        <v/>
      </c>
    </row>
    <row r="1174">
      <c r="A1174" s="3">
        <f>IF('ORDENES'!$A1152="","",IF('ORDENES'!$O1152="","-",'ORDENES'!$O1152))</f>
        <v/>
      </c>
      <c r="B1174" s="3">
        <f>IF('ORDENES'!$A1152="","",IF('ORDENES'!$R1152="","-",'ORDENES'!$R1152))</f>
        <v/>
      </c>
      <c r="C1174" s="3">
        <f>IF('ORDENES'!$A1152="","",IF('ORDENES'!$AF1152="","-",'ORDENES'!$AF1152))</f>
        <v/>
      </c>
      <c r="D1174" s="3">
        <f>IF('ORDENES'!$A1152="","",IF('ORDENES'!$X1152="","-",'ORDENES'!$X1152))</f>
        <v/>
      </c>
      <c r="E1174" s="3">
        <f>IF('ORDENES'!$A1152="","",IF('ORDENES'!$V1152="","-",'ORDENES'!$V1152))</f>
        <v/>
      </c>
      <c r="F1174" s="3">
        <f>IF('ORDENES'!$A1152="","",IF('ORDENES'!$Y1152="","-",'ORDENES'!$Y1152))</f>
        <v/>
      </c>
      <c r="G1174" s="3">
        <f>IF('ORDENES'!$A1152="","",IF('ORDENES'!$W1152="","-",'ORDENES'!$W1152))</f>
        <v/>
      </c>
      <c r="H1174" s="3">
        <f>IF('ORDENES'!$A1152="","",IF('ORDENES'!$AE1152="","-",'ORDENES'!$AE1152))</f>
        <v/>
      </c>
      <c r="I1174" s="3">
        <f>IF('ORDENES'!$A1152="","",IF('ORDENES'!$AQ1152="","-",'ORDENES'!$AQ1152))</f>
        <v/>
      </c>
      <c r="J1174" s="3">
        <f>IF('ORDENES'!$A1152="","",IF('ORDENES'!$D1152="","-",'ORDENES'!$D1152))</f>
        <v/>
      </c>
      <c r="K1174" s="3">
        <f>IF('ORDENES'!$A1152="","",IF('ORDENES'!$E1152="","-",'ORDENES'!$E1152))</f>
        <v/>
      </c>
      <c r="L1174" s="13">
        <f>IF('ORDENES'!$A1152="","",IF('ORDENES'!$M1152="",0,'ORDENES'!$M1152))</f>
        <v/>
      </c>
      <c r="M1174" s="3">
        <f>IF('ORDENES'!$A1152="","",IF('ORDENES'!$N1152="","-",'ORDENES'!$N1152))</f>
        <v/>
      </c>
      <c r="N1174" s="3">
        <f>IF('ORDENES'!$A1152="","",'ORDENES'!$AD1152)</f>
        <v/>
      </c>
    </row>
    <row r="1175">
      <c r="A1175" s="3">
        <f>IF('ORDENES'!$A1153="","",IF('ORDENES'!$O1153="","-",'ORDENES'!$O1153))</f>
        <v/>
      </c>
      <c r="B1175" s="3">
        <f>IF('ORDENES'!$A1153="","",IF('ORDENES'!$R1153="","-",'ORDENES'!$R1153))</f>
        <v/>
      </c>
      <c r="C1175" s="3">
        <f>IF('ORDENES'!$A1153="","",IF('ORDENES'!$AF1153="","-",'ORDENES'!$AF1153))</f>
        <v/>
      </c>
      <c r="D1175" s="3">
        <f>IF('ORDENES'!$A1153="","",IF('ORDENES'!$X1153="","-",'ORDENES'!$X1153))</f>
        <v/>
      </c>
      <c r="E1175" s="3">
        <f>IF('ORDENES'!$A1153="","",IF('ORDENES'!$V1153="","-",'ORDENES'!$V1153))</f>
        <v/>
      </c>
      <c r="F1175" s="3">
        <f>IF('ORDENES'!$A1153="","",IF('ORDENES'!$Y1153="","-",'ORDENES'!$Y1153))</f>
        <v/>
      </c>
      <c r="G1175" s="3">
        <f>IF('ORDENES'!$A1153="","",IF('ORDENES'!$W1153="","-",'ORDENES'!$W1153))</f>
        <v/>
      </c>
      <c r="H1175" s="3">
        <f>IF('ORDENES'!$A1153="","",IF('ORDENES'!$AE1153="","-",'ORDENES'!$AE1153))</f>
        <v/>
      </c>
      <c r="I1175" s="3">
        <f>IF('ORDENES'!$A1153="","",IF('ORDENES'!$AQ1153="","-",'ORDENES'!$AQ1153))</f>
        <v/>
      </c>
      <c r="J1175" s="3">
        <f>IF('ORDENES'!$A1153="","",IF('ORDENES'!$D1153="","-",'ORDENES'!$D1153))</f>
        <v/>
      </c>
      <c r="K1175" s="3">
        <f>IF('ORDENES'!$A1153="","",IF('ORDENES'!$E1153="","-",'ORDENES'!$E1153))</f>
        <v/>
      </c>
      <c r="L1175" s="13">
        <f>IF('ORDENES'!$A1153="","",IF('ORDENES'!$M1153="",0,'ORDENES'!$M1153))</f>
        <v/>
      </c>
      <c r="M1175" s="3">
        <f>IF('ORDENES'!$A1153="","",IF('ORDENES'!$N1153="","-",'ORDENES'!$N1153))</f>
        <v/>
      </c>
      <c r="N1175" s="3">
        <f>IF('ORDENES'!$A1153="","",'ORDENES'!$AD1153)</f>
        <v/>
      </c>
    </row>
    <row r="1176">
      <c r="A1176" s="3">
        <f>IF('ORDENES'!$A1154="","",IF('ORDENES'!$O1154="","-",'ORDENES'!$O1154))</f>
        <v/>
      </c>
      <c r="B1176" s="3">
        <f>IF('ORDENES'!$A1154="","",IF('ORDENES'!$R1154="","-",'ORDENES'!$R1154))</f>
        <v/>
      </c>
      <c r="C1176" s="3">
        <f>IF('ORDENES'!$A1154="","",IF('ORDENES'!$AF1154="","-",'ORDENES'!$AF1154))</f>
        <v/>
      </c>
      <c r="D1176" s="3">
        <f>IF('ORDENES'!$A1154="","",IF('ORDENES'!$X1154="","-",'ORDENES'!$X1154))</f>
        <v/>
      </c>
      <c r="E1176" s="3">
        <f>IF('ORDENES'!$A1154="","",IF('ORDENES'!$V1154="","-",'ORDENES'!$V1154))</f>
        <v/>
      </c>
      <c r="F1176" s="3">
        <f>IF('ORDENES'!$A1154="","",IF('ORDENES'!$Y1154="","-",'ORDENES'!$Y1154))</f>
        <v/>
      </c>
      <c r="G1176" s="3">
        <f>IF('ORDENES'!$A1154="","",IF('ORDENES'!$W1154="","-",'ORDENES'!$W1154))</f>
        <v/>
      </c>
      <c r="H1176" s="3">
        <f>IF('ORDENES'!$A1154="","",IF('ORDENES'!$AE1154="","-",'ORDENES'!$AE1154))</f>
        <v/>
      </c>
      <c r="I1176" s="3">
        <f>IF('ORDENES'!$A1154="","",IF('ORDENES'!$AQ1154="","-",'ORDENES'!$AQ1154))</f>
        <v/>
      </c>
      <c r="J1176" s="3">
        <f>IF('ORDENES'!$A1154="","",IF('ORDENES'!$D1154="","-",'ORDENES'!$D1154))</f>
        <v/>
      </c>
      <c r="K1176" s="3">
        <f>IF('ORDENES'!$A1154="","",IF('ORDENES'!$E1154="","-",'ORDENES'!$E1154))</f>
        <v/>
      </c>
      <c r="L1176" s="13">
        <f>IF('ORDENES'!$A1154="","",IF('ORDENES'!$M1154="",0,'ORDENES'!$M1154))</f>
        <v/>
      </c>
      <c r="M1176" s="3">
        <f>IF('ORDENES'!$A1154="","",IF('ORDENES'!$N1154="","-",'ORDENES'!$N1154))</f>
        <v/>
      </c>
      <c r="N1176" s="3">
        <f>IF('ORDENES'!$A1154="","",'ORDENES'!$AD1154)</f>
        <v/>
      </c>
    </row>
    <row r="1177">
      <c r="A1177" s="3">
        <f>IF('ORDENES'!$A1155="","",IF('ORDENES'!$O1155="","-",'ORDENES'!$O1155))</f>
        <v/>
      </c>
      <c r="B1177" s="3">
        <f>IF('ORDENES'!$A1155="","",IF('ORDENES'!$R1155="","-",'ORDENES'!$R1155))</f>
        <v/>
      </c>
      <c r="C1177" s="3">
        <f>IF('ORDENES'!$A1155="","",IF('ORDENES'!$AF1155="","-",'ORDENES'!$AF1155))</f>
        <v/>
      </c>
      <c r="D1177" s="3">
        <f>IF('ORDENES'!$A1155="","",IF('ORDENES'!$X1155="","-",'ORDENES'!$X1155))</f>
        <v/>
      </c>
      <c r="E1177" s="3">
        <f>IF('ORDENES'!$A1155="","",IF('ORDENES'!$V1155="","-",'ORDENES'!$V1155))</f>
        <v/>
      </c>
      <c r="F1177" s="3">
        <f>IF('ORDENES'!$A1155="","",IF('ORDENES'!$Y1155="","-",'ORDENES'!$Y1155))</f>
        <v/>
      </c>
      <c r="G1177" s="3">
        <f>IF('ORDENES'!$A1155="","",IF('ORDENES'!$W1155="","-",'ORDENES'!$W1155))</f>
        <v/>
      </c>
      <c r="H1177" s="3">
        <f>IF('ORDENES'!$A1155="","",IF('ORDENES'!$AE1155="","-",'ORDENES'!$AE1155))</f>
        <v/>
      </c>
      <c r="I1177" s="3">
        <f>IF('ORDENES'!$A1155="","",IF('ORDENES'!$AQ1155="","-",'ORDENES'!$AQ1155))</f>
        <v/>
      </c>
      <c r="J1177" s="3">
        <f>IF('ORDENES'!$A1155="","",IF('ORDENES'!$D1155="","-",'ORDENES'!$D1155))</f>
        <v/>
      </c>
      <c r="K1177" s="3">
        <f>IF('ORDENES'!$A1155="","",IF('ORDENES'!$E1155="","-",'ORDENES'!$E1155))</f>
        <v/>
      </c>
      <c r="L1177" s="13">
        <f>IF('ORDENES'!$A1155="","",IF('ORDENES'!$M1155="",0,'ORDENES'!$M1155))</f>
        <v/>
      </c>
      <c r="M1177" s="3">
        <f>IF('ORDENES'!$A1155="","",IF('ORDENES'!$N1155="","-",'ORDENES'!$N1155))</f>
        <v/>
      </c>
      <c r="N1177" s="3">
        <f>IF('ORDENES'!$A1155="","",'ORDENES'!$AD1155)</f>
        <v/>
      </c>
    </row>
    <row r="1178">
      <c r="A1178" s="3">
        <f>IF('ORDENES'!$A1156="","",IF('ORDENES'!$O1156="","-",'ORDENES'!$O1156))</f>
        <v/>
      </c>
      <c r="B1178" s="3">
        <f>IF('ORDENES'!$A1156="","",IF('ORDENES'!$R1156="","-",'ORDENES'!$R1156))</f>
        <v/>
      </c>
      <c r="C1178" s="3">
        <f>IF('ORDENES'!$A1156="","",IF('ORDENES'!$AF1156="","-",'ORDENES'!$AF1156))</f>
        <v/>
      </c>
      <c r="D1178" s="3">
        <f>IF('ORDENES'!$A1156="","",IF('ORDENES'!$X1156="","-",'ORDENES'!$X1156))</f>
        <v/>
      </c>
      <c r="E1178" s="3">
        <f>IF('ORDENES'!$A1156="","",IF('ORDENES'!$V1156="","-",'ORDENES'!$V1156))</f>
        <v/>
      </c>
      <c r="F1178" s="3">
        <f>IF('ORDENES'!$A1156="","",IF('ORDENES'!$Y1156="","-",'ORDENES'!$Y1156))</f>
        <v/>
      </c>
      <c r="G1178" s="3">
        <f>IF('ORDENES'!$A1156="","",IF('ORDENES'!$W1156="","-",'ORDENES'!$W1156))</f>
        <v/>
      </c>
      <c r="H1178" s="3">
        <f>IF('ORDENES'!$A1156="","",IF('ORDENES'!$AE1156="","-",'ORDENES'!$AE1156))</f>
        <v/>
      </c>
      <c r="I1178" s="3">
        <f>IF('ORDENES'!$A1156="","",IF('ORDENES'!$AQ1156="","-",'ORDENES'!$AQ1156))</f>
        <v/>
      </c>
      <c r="J1178" s="3">
        <f>IF('ORDENES'!$A1156="","",IF('ORDENES'!$D1156="","-",'ORDENES'!$D1156))</f>
        <v/>
      </c>
      <c r="K1178" s="3">
        <f>IF('ORDENES'!$A1156="","",IF('ORDENES'!$E1156="","-",'ORDENES'!$E1156))</f>
        <v/>
      </c>
      <c r="L1178" s="13">
        <f>IF('ORDENES'!$A1156="","",IF('ORDENES'!$M1156="",0,'ORDENES'!$M1156))</f>
        <v/>
      </c>
      <c r="M1178" s="3">
        <f>IF('ORDENES'!$A1156="","",IF('ORDENES'!$N1156="","-",'ORDENES'!$N1156))</f>
        <v/>
      </c>
      <c r="N1178" s="3">
        <f>IF('ORDENES'!$A1156="","",'ORDENES'!$AD1156)</f>
        <v/>
      </c>
    </row>
    <row r="1179">
      <c r="A1179" s="3">
        <f>IF('ORDENES'!$A1157="","",IF('ORDENES'!$O1157="","-",'ORDENES'!$O1157))</f>
        <v/>
      </c>
      <c r="B1179" s="3">
        <f>IF('ORDENES'!$A1157="","",IF('ORDENES'!$R1157="","-",'ORDENES'!$R1157))</f>
        <v/>
      </c>
      <c r="C1179" s="3">
        <f>IF('ORDENES'!$A1157="","",IF('ORDENES'!$AF1157="","-",'ORDENES'!$AF1157))</f>
        <v/>
      </c>
      <c r="D1179" s="3">
        <f>IF('ORDENES'!$A1157="","",IF('ORDENES'!$X1157="","-",'ORDENES'!$X1157))</f>
        <v/>
      </c>
      <c r="E1179" s="3">
        <f>IF('ORDENES'!$A1157="","",IF('ORDENES'!$V1157="","-",'ORDENES'!$V1157))</f>
        <v/>
      </c>
      <c r="F1179" s="3">
        <f>IF('ORDENES'!$A1157="","",IF('ORDENES'!$Y1157="","-",'ORDENES'!$Y1157))</f>
        <v/>
      </c>
      <c r="G1179" s="3">
        <f>IF('ORDENES'!$A1157="","",IF('ORDENES'!$W1157="","-",'ORDENES'!$W1157))</f>
        <v/>
      </c>
      <c r="H1179" s="3">
        <f>IF('ORDENES'!$A1157="","",IF('ORDENES'!$AE1157="","-",'ORDENES'!$AE1157))</f>
        <v/>
      </c>
      <c r="I1179" s="3">
        <f>IF('ORDENES'!$A1157="","",IF('ORDENES'!$AQ1157="","-",'ORDENES'!$AQ1157))</f>
        <v/>
      </c>
      <c r="J1179" s="3">
        <f>IF('ORDENES'!$A1157="","",IF('ORDENES'!$D1157="","-",'ORDENES'!$D1157))</f>
        <v/>
      </c>
      <c r="K1179" s="3">
        <f>IF('ORDENES'!$A1157="","",IF('ORDENES'!$E1157="","-",'ORDENES'!$E1157))</f>
        <v/>
      </c>
      <c r="L1179" s="13">
        <f>IF('ORDENES'!$A1157="","",IF('ORDENES'!$M1157="",0,'ORDENES'!$M1157))</f>
        <v/>
      </c>
      <c r="M1179" s="3">
        <f>IF('ORDENES'!$A1157="","",IF('ORDENES'!$N1157="","-",'ORDENES'!$N1157))</f>
        <v/>
      </c>
      <c r="N1179" s="3">
        <f>IF('ORDENES'!$A1157="","",'ORDENES'!$AD1157)</f>
        <v/>
      </c>
    </row>
    <row r="1180">
      <c r="A1180" s="3">
        <f>IF('ORDENES'!$A1158="","",IF('ORDENES'!$O1158="","-",'ORDENES'!$O1158))</f>
        <v/>
      </c>
      <c r="B1180" s="3">
        <f>IF('ORDENES'!$A1158="","",IF('ORDENES'!$R1158="","-",'ORDENES'!$R1158))</f>
        <v/>
      </c>
      <c r="C1180" s="3">
        <f>IF('ORDENES'!$A1158="","",IF('ORDENES'!$AF1158="","-",'ORDENES'!$AF1158))</f>
        <v/>
      </c>
      <c r="D1180" s="3">
        <f>IF('ORDENES'!$A1158="","",IF('ORDENES'!$X1158="","-",'ORDENES'!$X1158))</f>
        <v/>
      </c>
      <c r="E1180" s="3">
        <f>IF('ORDENES'!$A1158="","",IF('ORDENES'!$V1158="","-",'ORDENES'!$V1158))</f>
        <v/>
      </c>
      <c r="F1180" s="3">
        <f>IF('ORDENES'!$A1158="","",IF('ORDENES'!$Y1158="","-",'ORDENES'!$Y1158))</f>
        <v/>
      </c>
      <c r="G1180" s="3">
        <f>IF('ORDENES'!$A1158="","",IF('ORDENES'!$W1158="","-",'ORDENES'!$W1158))</f>
        <v/>
      </c>
      <c r="H1180" s="3">
        <f>IF('ORDENES'!$A1158="","",IF('ORDENES'!$AE1158="","-",'ORDENES'!$AE1158))</f>
        <v/>
      </c>
      <c r="I1180" s="3">
        <f>IF('ORDENES'!$A1158="","",IF('ORDENES'!$AQ1158="","-",'ORDENES'!$AQ1158))</f>
        <v/>
      </c>
      <c r="J1180" s="3">
        <f>IF('ORDENES'!$A1158="","",IF('ORDENES'!$D1158="","-",'ORDENES'!$D1158))</f>
        <v/>
      </c>
      <c r="K1180" s="3">
        <f>IF('ORDENES'!$A1158="","",IF('ORDENES'!$E1158="","-",'ORDENES'!$E1158))</f>
        <v/>
      </c>
      <c r="L1180" s="13">
        <f>IF('ORDENES'!$A1158="","",IF('ORDENES'!$M1158="",0,'ORDENES'!$M1158))</f>
        <v/>
      </c>
      <c r="M1180" s="3">
        <f>IF('ORDENES'!$A1158="","",IF('ORDENES'!$N1158="","-",'ORDENES'!$N1158))</f>
        <v/>
      </c>
      <c r="N1180" s="3">
        <f>IF('ORDENES'!$A1158="","",'ORDENES'!$AD1158)</f>
        <v/>
      </c>
    </row>
    <row r="1181">
      <c r="A1181" s="3">
        <f>IF('ORDENES'!$A1159="","",IF('ORDENES'!$O1159="","-",'ORDENES'!$O1159))</f>
        <v/>
      </c>
      <c r="B1181" s="3">
        <f>IF('ORDENES'!$A1159="","",IF('ORDENES'!$R1159="","-",'ORDENES'!$R1159))</f>
        <v/>
      </c>
      <c r="C1181" s="3">
        <f>IF('ORDENES'!$A1159="","",IF('ORDENES'!$AF1159="","-",'ORDENES'!$AF1159))</f>
        <v/>
      </c>
      <c r="D1181" s="3">
        <f>IF('ORDENES'!$A1159="","",IF('ORDENES'!$X1159="","-",'ORDENES'!$X1159))</f>
        <v/>
      </c>
      <c r="E1181" s="3">
        <f>IF('ORDENES'!$A1159="","",IF('ORDENES'!$V1159="","-",'ORDENES'!$V1159))</f>
        <v/>
      </c>
      <c r="F1181" s="3">
        <f>IF('ORDENES'!$A1159="","",IF('ORDENES'!$Y1159="","-",'ORDENES'!$Y1159))</f>
        <v/>
      </c>
      <c r="G1181" s="3">
        <f>IF('ORDENES'!$A1159="","",IF('ORDENES'!$W1159="","-",'ORDENES'!$W1159))</f>
        <v/>
      </c>
      <c r="H1181" s="3">
        <f>IF('ORDENES'!$A1159="","",IF('ORDENES'!$AE1159="","-",'ORDENES'!$AE1159))</f>
        <v/>
      </c>
      <c r="I1181" s="3">
        <f>IF('ORDENES'!$A1159="","",IF('ORDENES'!$AQ1159="","-",'ORDENES'!$AQ1159))</f>
        <v/>
      </c>
      <c r="J1181" s="3">
        <f>IF('ORDENES'!$A1159="","",IF('ORDENES'!$D1159="","-",'ORDENES'!$D1159))</f>
        <v/>
      </c>
      <c r="K1181" s="3">
        <f>IF('ORDENES'!$A1159="","",IF('ORDENES'!$E1159="","-",'ORDENES'!$E1159))</f>
        <v/>
      </c>
      <c r="L1181" s="13">
        <f>IF('ORDENES'!$A1159="","",IF('ORDENES'!$M1159="",0,'ORDENES'!$M1159))</f>
        <v/>
      </c>
      <c r="M1181" s="3">
        <f>IF('ORDENES'!$A1159="","",IF('ORDENES'!$N1159="","-",'ORDENES'!$N1159))</f>
        <v/>
      </c>
      <c r="N1181" s="3">
        <f>IF('ORDENES'!$A1159="","",'ORDENES'!$AD1159)</f>
        <v/>
      </c>
    </row>
    <row r="1182">
      <c r="A1182" s="3">
        <f>IF('ORDENES'!$A1160="","",IF('ORDENES'!$O1160="","-",'ORDENES'!$O1160))</f>
        <v/>
      </c>
      <c r="B1182" s="3">
        <f>IF('ORDENES'!$A1160="","",IF('ORDENES'!$R1160="","-",'ORDENES'!$R1160))</f>
        <v/>
      </c>
      <c r="C1182" s="3">
        <f>IF('ORDENES'!$A1160="","",IF('ORDENES'!$AF1160="","-",'ORDENES'!$AF1160))</f>
        <v/>
      </c>
      <c r="D1182" s="3">
        <f>IF('ORDENES'!$A1160="","",IF('ORDENES'!$X1160="","-",'ORDENES'!$X1160))</f>
        <v/>
      </c>
      <c r="E1182" s="3">
        <f>IF('ORDENES'!$A1160="","",IF('ORDENES'!$V1160="","-",'ORDENES'!$V1160))</f>
        <v/>
      </c>
      <c r="F1182" s="3">
        <f>IF('ORDENES'!$A1160="","",IF('ORDENES'!$Y1160="","-",'ORDENES'!$Y1160))</f>
        <v/>
      </c>
      <c r="G1182" s="3">
        <f>IF('ORDENES'!$A1160="","",IF('ORDENES'!$W1160="","-",'ORDENES'!$W1160))</f>
        <v/>
      </c>
      <c r="H1182" s="3">
        <f>IF('ORDENES'!$A1160="","",IF('ORDENES'!$AE1160="","-",'ORDENES'!$AE1160))</f>
        <v/>
      </c>
      <c r="I1182" s="3">
        <f>IF('ORDENES'!$A1160="","",IF('ORDENES'!$AQ1160="","-",'ORDENES'!$AQ1160))</f>
        <v/>
      </c>
      <c r="J1182" s="3">
        <f>IF('ORDENES'!$A1160="","",IF('ORDENES'!$D1160="","-",'ORDENES'!$D1160))</f>
        <v/>
      </c>
      <c r="K1182" s="3">
        <f>IF('ORDENES'!$A1160="","",IF('ORDENES'!$E1160="","-",'ORDENES'!$E1160))</f>
        <v/>
      </c>
      <c r="L1182" s="13">
        <f>IF('ORDENES'!$A1160="","",IF('ORDENES'!$M1160="",0,'ORDENES'!$M1160))</f>
        <v/>
      </c>
      <c r="M1182" s="3">
        <f>IF('ORDENES'!$A1160="","",IF('ORDENES'!$N1160="","-",'ORDENES'!$N1160))</f>
        <v/>
      </c>
      <c r="N1182" s="3">
        <f>IF('ORDENES'!$A1160="","",'ORDENES'!$AD1160)</f>
        <v/>
      </c>
    </row>
    <row r="1183">
      <c r="A1183" s="3">
        <f>IF('ORDENES'!$A1161="","",IF('ORDENES'!$O1161="","-",'ORDENES'!$O1161))</f>
        <v/>
      </c>
      <c r="B1183" s="3">
        <f>IF('ORDENES'!$A1161="","",IF('ORDENES'!$R1161="","-",'ORDENES'!$R1161))</f>
        <v/>
      </c>
      <c r="C1183" s="3">
        <f>IF('ORDENES'!$A1161="","",IF('ORDENES'!$AF1161="","-",'ORDENES'!$AF1161))</f>
        <v/>
      </c>
      <c r="D1183" s="3">
        <f>IF('ORDENES'!$A1161="","",IF('ORDENES'!$X1161="","-",'ORDENES'!$X1161))</f>
        <v/>
      </c>
      <c r="E1183" s="3">
        <f>IF('ORDENES'!$A1161="","",IF('ORDENES'!$V1161="","-",'ORDENES'!$V1161))</f>
        <v/>
      </c>
      <c r="F1183" s="3">
        <f>IF('ORDENES'!$A1161="","",IF('ORDENES'!$Y1161="","-",'ORDENES'!$Y1161))</f>
        <v/>
      </c>
      <c r="G1183" s="3">
        <f>IF('ORDENES'!$A1161="","",IF('ORDENES'!$W1161="","-",'ORDENES'!$W1161))</f>
        <v/>
      </c>
      <c r="H1183" s="3">
        <f>IF('ORDENES'!$A1161="","",IF('ORDENES'!$AE1161="","-",'ORDENES'!$AE1161))</f>
        <v/>
      </c>
      <c r="I1183" s="3">
        <f>IF('ORDENES'!$A1161="","",IF('ORDENES'!$AQ1161="","-",'ORDENES'!$AQ1161))</f>
        <v/>
      </c>
      <c r="J1183" s="3">
        <f>IF('ORDENES'!$A1161="","",IF('ORDENES'!$D1161="","-",'ORDENES'!$D1161))</f>
        <v/>
      </c>
      <c r="K1183" s="3">
        <f>IF('ORDENES'!$A1161="","",IF('ORDENES'!$E1161="","-",'ORDENES'!$E1161))</f>
        <v/>
      </c>
      <c r="L1183" s="13">
        <f>IF('ORDENES'!$A1161="","",IF('ORDENES'!$M1161="",0,'ORDENES'!$M1161))</f>
        <v/>
      </c>
      <c r="M1183" s="3">
        <f>IF('ORDENES'!$A1161="","",IF('ORDENES'!$N1161="","-",'ORDENES'!$N1161))</f>
        <v/>
      </c>
      <c r="N1183" s="3">
        <f>IF('ORDENES'!$A1161="","",'ORDENES'!$AD1161)</f>
        <v/>
      </c>
    </row>
    <row r="1184">
      <c r="A1184" s="3">
        <f>IF('ORDENES'!$A1162="","",IF('ORDENES'!$O1162="","-",'ORDENES'!$O1162))</f>
        <v/>
      </c>
      <c r="B1184" s="3">
        <f>IF('ORDENES'!$A1162="","",IF('ORDENES'!$R1162="","-",'ORDENES'!$R1162))</f>
        <v/>
      </c>
      <c r="C1184" s="3">
        <f>IF('ORDENES'!$A1162="","",IF('ORDENES'!$AF1162="","-",'ORDENES'!$AF1162))</f>
        <v/>
      </c>
      <c r="D1184" s="3">
        <f>IF('ORDENES'!$A1162="","",IF('ORDENES'!$X1162="","-",'ORDENES'!$X1162))</f>
        <v/>
      </c>
      <c r="E1184" s="3">
        <f>IF('ORDENES'!$A1162="","",IF('ORDENES'!$V1162="","-",'ORDENES'!$V1162))</f>
        <v/>
      </c>
      <c r="F1184" s="3">
        <f>IF('ORDENES'!$A1162="","",IF('ORDENES'!$Y1162="","-",'ORDENES'!$Y1162))</f>
        <v/>
      </c>
      <c r="G1184" s="3">
        <f>IF('ORDENES'!$A1162="","",IF('ORDENES'!$W1162="","-",'ORDENES'!$W1162))</f>
        <v/>
      </c>
      <c r="H1184" s="3">
        <f>IF('ORDENES'!$A1162="","",IF('ORDENES'!$AE1162="","-",'ORDENES'!$AE1162))</f>
        <v/>
      </c>
      <c r="I1184" s="3">
        <f>IF('ORDENES'!$A1162="","",IF('ORDENES'!$AQ1162="","-",'ORDENES'!$AQ1162))</f>
        <v/>
      </c>
      <c r="J1184" s="3">
        <f>IF('ORDENES'!$A1162="","",IF('ORDENES'!$D1162="","-",'ORDENES'!$D1162))</f>
        <v/>
      </c>
      <c r="K1184" s="3">
        <f>IF('ORDENES'!$A1162="","",IF('ORDENES'!$E1162="","-",'ORDENES'!$E1162))</f>
        <v/>
      </c>
      <c r="L1184" s="13">
        <f>IF('ORDENES'!$A1162="","",IF('ORDENES'!$M1162="",0,'ORDENES'!$M1162))</f>
        <v/>
      </c>
      <c r="M1184" s="3">
        <f>IF('ORDENES'!$A1162="","",IF('ORDENES'!$N1162="","-",'ORDENES'!$N1162))</f>
        <v/>
      </c>
      <c r="N1184" s="3">
        <f>IF('ORDENES'!$A1162="","",'ORDENES'!$AD1162)</f>
        <v/>
      </c>
    </row>
    <row r="1185">
      <c r="A1185" s="3">
        <f>IF('ORDENES'!$A1163="","",IF('ORDENES'!$O1163="","-",'ORDENES'!$O1163))</f>
        <v/>
      </c>
      <c r="B1185" s="3">
        <f>IF('ORDENES'!$A1163="","",IF('ORDENES'!$R1163="","-",'ORDENES'!$R1163))</f>
        <v/>
      </c>
      <c r="C1185" s="3">
        <f>IF('ORDENES'!$A1163="","",IF('ORDENES'!$AF1163="","-",'ORDENES'!$AF1163))</f>
        <v/>
      </c>
      <c r="D1185" s="3">
        <f>IF('ORDENES'!$A1163="","",IF('ORDENES'!$X1163="","-",'ORDENES'!$X1163))</f>
        <v/>
      </c>
      <c r="E1185" s="3">
        <f>IF('ORDENES'!$A1163="","",IF('ORDENES'!$V1163="","-",'ORDENES'!$V1163))</f>
        <v/>
      </c>
      <c r="F1185" s="3">
        <f>IF('ORDENES'!$A1163="","",IF('ORDENES'!$Y1163="","-",'ORDENES'!$Y1163))</f>
        <v/>
      </c>
      <c r="G1185" s="3">
        <f>IF('ORDENES'!$A1163="","",IF('ORDENES'!$W1163="","-",'ORDENES'!$W1163))</f>
        <v/>
      </c>
      <c r="H1185" s="3">
        <f>IF('ORDENES'!$A1163="","",IF('ORDENES'!$AE1163="","-",'ORDENES'!$AE1163))</f>
        <v/>
      </c>
      <c r="I1185" s="3">
        <f>IF('ORDENES'!$A1163="","",IF('ORDENES'!$AQ1163="","-",'ORDENES'!$AQ1163))</f>
        <v/>
      </c>
      <c r="J1185" s="3">
        <f>IF('ORDENES'!$A1163="","",IF('ORDENES'!$D1163="","-",'ORDENES'!$D1163))</f>
        <v/>
      </c>
      <c r="K1185" s="3">
        <f>IF('ORDENES'!$A1163="","",IF('ORDENES'!$E1163="","-",'ORDENES'!$E1163))</f>
        <v/>
      </c>
      <c r="L1185" s="13">
        <f>IF('ORDENES'!$A1163="","",IF('ORDENES'!$M1163="",0,'ORDENES'!$M1163))</f>
        <v/>
      </c>
      <c r="M1185" s="3">
        <f>IF('ORDENES'!$A1163="","",IF('ORDENES'!$N1163="","-",'ORDENES'!$N1163))</f>
        <v/>
      </c>
      <c r="N1185" s="3">
        <f>IF('ORDENES'!$A1163="","",'ORDENES'!$AD1163)</f>
        <v/>
      </c>
    </row>
    <row r="1186">
      <c r="A1186" s="3">
        <f>IF('ORDENES'!$A1164="","",IF('ORDENES'!$O1164="","-",'ORDENES'!$O1164))</f>
        <v/>
      </c>
      <c r="B1186" s="3">
        <f>IF('ORDENES'!$A1164="","",IF('ORDENES'!$R1164="","-",'ORDENES'!$R1164))</f>
        <v/>
      </c>
      <c r="C1186" s="3">
        <f>IF('ORDENES'!$A1164="","",IF('ORDENES'!$AF1164="","-",'ORDENES'!$AF1164))</f>
        <v/>
      </c>
      <c r="D1186" s="3">
        <f>IF('ORDENES'!$A1164="","",IF('ORDENES'!$X1164="","-",'ORDENES'!$X1164))</f>
        <v/>
      </c>
      <c r="E1186" s="3">
        <f>IF('ORDENES'!$A1164="","",IF('ORDENES'!$V1164="","-",'ORDENES'!$V1164))</f>
        <v/>
      </c>
      <c r="F1186" s="3">
        <f>IF('ORDENES'!$A1164="","",IF('ORDENES'!$Y1164="","-",'ORDENES'!$Y1164))</f>
        <v/>
      </c>
      <c r="G1186" s="3">
        <f>IF('ORDENES'!$A1164="","",IF('ORDENES'!$W1164="","-",'ORDENES'!$W1164))</f>
        <v/>
      </c>
      <c r="H1186" s="3">
        <f>IF('ORDENES'!$A1164="","",IF('ORDENES'!$AE1164="","-",'ORDENES'!$AE1164))</f>
        <v/>
      </c>
      <c r="I1186" s="3">
        <f>IF('ORDENES'!$A1164="","",IF('ORDENES'!$AQ1164="","-",'ORDENES'!$AQ1164))</f>
        <v/>
      </c>
      <c r="J1186" s="3">
        <f>IF('ORDENES'!$A1164="","",IF('ORDENES'!$D1164="","-",'ORDENES'!$D1164))</f>
        <v/>
      </c>
      <c r="K1186" s="3">
        <f>IF('ORDENES'!$A1164="","",IF('ORDENES'!$E1164="","-",'ORDENES'!$E1164))</f>
        <v/>
      </c>
      <c r="L1186" s="13">
        <f>IF('ORDENES'!$A1164="","",IF('ORDENES'!$M1164="",0,'ORDENES'!$M1164))</f>
        <v/>
      </c>
      <c r="M1186" s="3">
        <f>IF('ORDENES'!$A1164="","",IF('ORDENES'!$N1164="","-",'ORDENES'!$N1164))</f>
        <v/>
      </c>
      <c r="N1186" s="3">
        <f>IF('ORDENES'!$A1164="","",'ORDENES'!$AD1164)</f>
        <v/>
      </c>
    </row>
    <row r="1187">
      <c r="A1187" s="3">
        <f>IF('ORDENES'!$A1165="","",IF('ORDENES'!$O1165="","-",'ORDENES'!$O1165))</f>
        <v/>
      </c>
      <c r="B1187" s="3">
        <f>IF('ORDENES'!$A1165="","",IF('ORDENES'!$R1165="","-",'ORDENES'!$R1165))</f>
        <v/>
      </c>
      <c r="C1187" s="3">
        <f>IF('ORDENES'!$A1165="","",IF('ORDENES'!$AF1165="","-",'ORDENES'!$AF1165))</f>
        <v/>
      </c>
      <c r="D1187" s="3">
        <f>IF('ORDENES'!$A1165="","",IF('ORDENES'!$X1165="","-",'ORDENES'!$X1165))</f>
        <v/>
      </c>
      <c r="E1187" s="3">
        <f>IF('ORDENES'!$A1165="","",IF('ORDENES'!$V1165="","-",'ORDENES'!$V1165))</f>
        <v/>
      </c>
      <c r="F1187" s="3">
        <f>IF('ORDENES'!$A1165="","",IF('ORDENES'!$Y1165="","-",'ORDENES'!$Y1165))</f>
        <v/>
      </c>
      <c r="G1187" s="3">
        <f>IF('ORDENES'!$A1165="","",IF('ORDENES'!$W1165="","-",'ORDENES'!$W1165))</f>
        <v/>
      </c>
      <c r="H1187" s="3">
        <f>IF('ORDENES'!$A1165="","",IF('ORDENES'!$AE1165="","-",'ORDENES'!$AE1165))</f>
        <v/>
      </c>
      <c r="I1187" s="3">
        <f>IF('ORDENES'!$A1165="","",IF('ORDENES'!$AQ1165="","-",'ORDENES'!$AQ1165))</f>
        <v/>
      </c>
      <c r="J1187" s="3">
        <f>IF('ORDENES'!$A1165="","",IF('ORDENES'!$D1165="","-",'ORDENES'!$D1165))</f>
        <v/>
      </c>
      <c r="K1187" s="3">
        <f>IF('ORDENES'!$A1165="","",IF('ORDENES'!$E1165="","-",'ORDENES'!$E1165))</f>
        <v/>
      </c>
      <c r="L1187" s="13">
        <f>IF('ORDENES'!$A1165="","",IF('ORDENES'!$M1165="",0,'ORDENES'!$M1165))</f>
        <v/>
      </c>
      <c r="M1187" s="3">
        <f>IF('ORDENES'!$A1165="","",IF('ORDENES'!$N1165="","-",'ORDENES'!$N1165))</f>
        <v/>
      </c>
      <c r="N1187" s="3">
        <f>IF('ORDENES'!$A1165="","",'ORDENES'!$AD1165)</f>
        <v/>
      </c>
    </row>
    <row r="1188">
      <c r="A1188" s="3">
        <f>IF('ORDENES'!$A1166="","",IF('ORDENES'!$O1166="","-",'ORDENES'!$O1166))</f>
        <v/>
      </c>
      <c r="B1188" s="3">
        <f>IF('ORDENES'!$A1166="","",IF('ORDENES'!$R1166="","-",'ORDENES'!$R1166))</f>
        <v/>
      </c>
      <c r="C1188" s="3">
        <f>IF('ORDENES'!$A1166="","",IF('ORDENES'!$AF1166="","-",'ORDENES'!$AF1166))</f>
        <v/>
      </c>
      <c r="D1188" s="3">
        <f>IF('ORDENES'!$A1166="","",IF('ORDENES'!$X1166="","-",'ORDENES'!$X1166))</f>
        <v/>
      </c>
      <c r="E1188" s="3">
        <f>IF('ORDENES'!$A1166="","",IF('ORDENES'!$V1166="","-",'ORDENES'!$V1166))</f>
        <v/>
      </c>
      <c r="F1188" s="3">
        <f>IF('ORDENES'!$A1166="","",IF('ORDENES'!$Y1166="","-",'ORDENES'!$Y1166))</f>
        <v/>
      </c>
      <c r="G1188" s="3">
        <f>IF('ORDENES'!$A1166="","",IF('ORDENES'!$W1166="","-",'ORDENES'!$W1166))</f>
        <v/>
      </c>
      <c r="H1188" s="3">
        <f>IF('ORDENES'!$A1166="","",IF('ORDENES'!$AE1166="","-",'ORDENES'!$AE1166))</f>
        <v/>
      </c>
      <c r="I1188" s="3">
        <f>IF('ORDENES'!$A1166="","",IF('ORDENES'!$AQ1166="","-",'ORDENES'!$AQ1166))</f>
        <v/>
      </c>
      <c r="J1188" s="3">
        <f>IF('ORDENES'!$A1166="","",IF('ORDENES'!$D1166="","-",'ORDENES'!$D1166))</f>
        <v/>
      </c>
      <c r="K1188" s="3">
        <f>IF('ORDENES'!$A1166="","",IF('ORDENES'!$E1166="","-",'ORDENES'!$E1166))</f>
        <v/>
      </c>
      <c r="L1188" s="13">
        <f>IF('ORDENES'!$A1166="","",IF('ORDENES'!$M1166="",0,'ORDENES'!$M1166))</f>
        <v/>
      </c>
      <c r="M1188" s="3">
        <f>IF('ORDENES'!$A1166="","",IF('ORDENES'!$N1166="","-",'ORDENES'!$N1166))</f>
        <v/>
      </c>
      <c r="N1188" s="3">
        <f>IF('ORDENES'!$A1166="","",'ORDENES'!$AD1166)</f>
        <v/>
      </c>
    </row>
    <row r="1189">
      <c r="A1189" s="3">
        <f>IF('ORDENES'!$A1167="","",IF('ORDENES'!$O1167="","-",'ORDENES'!$O1167))</f>
        <v/>
      </c>
      <c r="B1189" s="3">
        <f>IF('ORDENES'!$A1167="","",IF('ORDENES'!$R1167="","-",'ORDENES'!$R1167))</f>
        <v/>
      </c>
      <c r="C1189" s="3">
        <f>IF('ORDENES'!$A1167="","",IF('ORDENES'!$AF1167="","-",'ORDENES'!$AF1167))</f>
        <v/>
      </c>
      <c r="D1189" s="3">
        <f>IF('ORDENES'!$A1167="","",IF('ORDENES'!$X1167="","-",'ORDENES'!$X1167))</f>
        <v/>
      </c>
      <c r="E1189" s="3">
        <f>IF('ORDENES'!$A1167="","",IF('ORDENES'!$V1167="","-",'ORDENES'!$V1167))</f>
        <v/>
      </c>
      <c r="F1189" s="3">
        <f>IF('ORDENES'!$A1167="","",IF('ORDENES'!$Y1167="","-",'ORDENES'!$Y1167))</f>
        <v/>
      </c>
      <c r="G1189" s="3">
        <f>IF('ORDENES'!$A1167="","",IF('ORDENES'!$W1167="","-",'ORDENES'!$W1167))</f>
        <v/>
      </c>
      <c r="H1189" s="3">
        <f>IF('ORDENES'!$A1167="","",IF('ORDENES'!$AE1167="","-",'ORDENES'!$AE1167))</f>
        <v/>
      </c>
      <c r="I1189" s="3">
        <f>IF('ORDENES'!$A1167="","",IF('ORDENES'!$AQ1167="","-",'ORDENES'!$AQ1167))</f>
        <v/>
      </c>
      <c r="J1189" s="3">
        <f>IF('ORDENES'!$A1167="","",IF('ORDENES'!$D1167="","-",'ORDENES'!$D1167))</f>
        <v/>
      </c>
      <c r="K1189" s="3">
        <f>IF('ORDENES'!$A1167="","",IF('ORDENES'!$E1167="","-",'ORDENES'!$E1167))</f>
        <v/>
      </c>
      <c r="L1189" s="13">
        <f>IF('ORDENES'!$A1167="","",IF('ORDENES'!$M1167="",0,'ORDENES'!$M1167))</f>
        <v/>
      </c>
      <c r="M1189" s="3">
        <f>IF('ORDENES'!$A1167="","",IF('ORDENES'!$N1167="","-",'ORDENES'!$N1167))</f>
        <v/>
      </c>
      <c r="N1189" s="3">
        <f>IF('ORDENES'!$A1167="","",'ORDENES'!$AD1167)</f>
        <v/>
      </c>
    </row>
    <row r="1190">
      <c r="A1190" s="3">
        <f>IF('ORDENES'!$A1168="","",IF('ORDENES'!$O1168="","-",'ORDENES'!$O1168))</f>
        <v/>
      </c>
      <c r="B1190" s="3">
        <f>IF('ORDENES'!$A1168="","",IF('ORDENES'!$R1168="","-",'ORDENES'!$R1168))</f>
        <v/>
      </c>
      <c r="C1190" s="3">
        <f>IF('ORDENES'!$A1168="","",IF('ORDENES'!$AF1168="","-",'ORDENES'!$AF1168))</f>
        <v/>
      </c>
      <c r="D1190" s="3">
        <f>IF('ORDENES'!$A1168="","",IF('ORDENES'!$X1168="","-",'ORDENES'!$X1168))</f>
        <v/>
      </c>
      <c r="E1190" s="3">
        <f>IF('ORDENES'!$A1168="","",IF('ORDENES'!$V1168="","-",'ORDENES'!$V1168))</f>
        <v/>
      </c>
      <c r="F1190" s="3">
        <f>IF('ORDENES'!$A1168="","",IF('ORDENES'!$Y1168="","-",'ORDENES'!$Y1168))</f>
        <v/>
      </c>
      <c r="G1190" s="3">
        <f>IF('ORDENES'!$A1168="","",IF('ORDENES'!$W1168="","-",'ORDENES'!$W1168))</f>
        <v/>
      </c>
      <c r="H1190" s="3">
        <f>IF('ORDENES'!$A1168="","",IF('ORDENES'!$AE1168="","-",'ORDENES'!$AE1168))</f>
        <v/>
      </c>
      <c r="I1190" s="3">
        <f>IF('ORDENES'!$A1168="","",IF('ORDENES'!$AQ1168="","-",'ORDENES'!$AQ1168))</f>
        <v/>
      </c>
      <c r="J1190" s="3">
        <f>IF('ORDENES'!$A1168="","",IF('ORDENES'!$D1168="","-",'ORDENES'!$D1168))</f>
        <v/>
      </c>
      <c r="K1190" s="3">
        <f>IF('ORDENES'!$A1168="","",IF('ORDENES'!$E1168="","-",'ORDENES'!$E1168))</f>
        <v/>
      </c>
      <c r="L1190" s="13">
        <f>IF('ORDENES'!$A1168="","",IF('ORDENES'!$M1168="",0,'ORDENES'!$M1168))</f>
        <v/>
      </c>
      <c r="M1190" s="3">
        <f>IF('ORDENES'!$A1168="","",IF('ORDENES'!$N1168="","-",'ORDENES'!$N1168))</f>
        <v/>
      </c>
      <c r="N1190" s="3">
        <f>IF('ORDENES'!$A1168="","",'ORDENES'!$AD1168)</f>
        <v/>
      </c>
    </row>
    <row r="1191">
      <c r="A1191" s="3">
        <f>IF('ORDENES'!$A1169="","",IF('ORDENES'!$O1169="","-",'ORDENES'!$O1169))</f>
        <v/>
      </c>
      <c r="B1191" s="3">
        <f>IF('ORDENES'!$A1169="","",IF('ORDENES'!$R1169="","-",'ORDENES'!$R1169))</f>
        <v/>
      </c>
      <c r="C1191" s="3">
        <f>IF('ORDENES'!$A1169="","",IF('ORDENES'!$AF1169="","-",'ORDENES'!$AF1169))</f>
        <v/>
      </c>
      <c r="D1191" s="3">
        <f>IF('ORDENES'!$A1169="","",IF('ORDENES'!$X1169="","-",'ORDENES'!$X1169))</f>
        <v/>
      </c>
      <c r="E1191" s="3">
        <f>IF('ORDENES'!$A1169="","",IF('ORDENES'!$V1169="","-",'ORDENES'!$V1169))</f>
        <v/>
      </c>
      <c r="F1191" s="3">
        <f>IF('ORDENES'!$A1169="","",IF('ORDENES'!$Y1169="","-",'ORDENES'!$Y1169))</f>
        <v/>
      </c>
      <c r="G1191" s="3">
        <f>IF('ORDENES'!$A1169="","",IF('ORDENES'!$W1169="","-",'ORDENES'!$W1169))</f>
        <v/>
      </c>
      <c r="H1191" s="3">
        <f>IF('ORDENES'!$A1169="","",IF('ORDENES'!$AE1169="","-",'ORDENES'!$AE1169))</f>
        <v/>
      </c>
      <c r="I1191" s="3">
        <f>IF('ORDENES'!$A1169="","",IF('ORDENES'!$AQ1169="","-",'ORDENES'!$AQ1169))</f>
        <v/>
      </c>
      <c r="J1191" s="3">
        <f>IF('ORDENES'!$A1169="","",IF('ORDENES'!$D1169="","-",'ORDENES'!$D1169))</f>
        <v/>
      </c>
      <c r="K1191" s="3">
        <f>IF('ORDENES'!$A1169="","",IF('ORDENES'!$E1169="","-",'ORDENES'!$E1169))</f>
        <v/>
      </c>
      <c r="L1191" s="13">
        <f>IF('ORDENES'!$A1169="","",IF('ORDENES'!$M1169="",0,'ORDENES'!$M1169))</f>
        <v/>
      </c>
      <c r="M1191" s="3">
        <f>IF('ORDENES'!$A1169="","",IF('ORDENES'!$N1169="","-",'ORDENES'!$N1169))</f>
        <v/>
      </c>
      <c r="N1191" s="3">
        <f>IF('ORDENES'!$A1169="","",'ORDENES'!$AD1169)</f>
        <v/>
      </c>
    </row>
    <row r="1192">
      <c r="A1192" s="3">
        <f>IF('ORDENES'!$A1170="","",IF('ORDENES'!$O1170="","-",'ORDENES'!$O1170))</f>
        <v/>
      </c>
      <c r="B1192" s="3">
        <f>IF('ORDENES'!$A1170="","",IF('ORDENES'!$R1170="","-",'ORDENES'!$R1170))</f>
        <v/>
      </c>
      <c r="C1192" s="3">
        <f>IF('ORDENES'!$A1170="","",IF('ORDENES'!$AF1170="","-",'ORDENES'!$AF1170))</f>
        <v/>
      </c>
      <c r="D1192" s="3">
        <f>IF('ORDENES'!$A1170="","",IF('ORDENES'!$X1170="","-",'ORDENES'!$X1170))</f>
        <v/>
      </c>
      <c r="E1192" s="3">
        <f>IF('ORDENES'!$A1170="","",IF('ORDENES'!$V1170="","-",'ORDENES'!$V1170))</f>
        <v/>
      </c>
      <c r="F1192" s="3">
        <f>IF('ORDENES'!$A1170="","",IF('ORDENES'!$Y1170="","-",'ORDENES'!$Y1170))</f>
        <v/>
      </c>
      <c r="G1192" s="3">
        <f>IF('ORDENES'!$A1170="","",IF('ORDENES'!$W1170="","-",'ORDENES'!$W1170))</f>
        <v/>
      </c>
      <c r="H1192" s="3">
        <f>IF('ORDENES'!$A1170="","",IF('ORDENES'!$AE1170="","-",'ORDENES'!$AE1170))</f>
        <v/>
      </c>
      <c r="I1192" s="3">
        <f>IF('ORDENES'!$A1170="","",IF('ORDENES'!$AQ1170="","-",'ORDENES'!$AQ1170))</f>
        <v/>
      </c>
      <c r="J1192" s="3">
        <f>IF('ORDENES'!$A1170="","",IF('ORDENES'!$D1170="","-",'ORDENES'!$D1170))</f>
        <v/>
      </c>
      <c r="K1192" s="3">
        <f>IF('ORDENES'!$A1170="","",IF('ORDENES'!$E1170="","-",'ORDENES'!$E1170))</f>
        <v/>
      </c>
      <c r="L1192" s="13">
        <f>IF('ORDENES'!$A1170="","",IF('ORDENES'!$M1170="",0,'ORDENES'!$M1170))</f>
        <v/>
      </c>
      <c r="M1192" s="3">
        <f>IF('ORDENES'!$A1170="","",IF('ORDENES'!$N1170="","-",'ORDENES'!$N1170))</f>
        <v/>
      </c>
      <c r="N1192" s="3">
        <f>IF('ORDENES'!$A1170="","",'ORDENES'!$AD1170)</f>
        <v/>
      </c>
    </row>
    <row r="1193">
      <c r="A1193" s="3">
        <f>IF('ORDENES'!$A1171="","",IF('ORDENES'!$O1171="","-",'ORDENES'!$O1171))</f>
        <v/>
      </c>
      <c r="B1193" s="3">
        <f>IF('ORDENES'!$A1171="","",IF('ORDENES'!$R1171="","-",'ORDENES'!$R1171))</f>
        <v/>
      </c>
      <c r="C1193" s="3">
        <f>IF('ORDENES'!$A1171="","",IF('ORDENES'!$AF1171="","-",'ORDENES'!$AF1171))</f>
        <v/>
      </c>
      <c r="D1193" s="3">
        <f>IF('ORDENES'!$A1171="","",IF('ORDENES'!$X1171="","-",'ORDENES'!$X1171))</f>
        <v/>
      </c>
      <c r="E1193" s="3">
        <f>IF('ORDENES'!$A1171="","",IF('ORDENES'!$V1171="","-",'ORDENES'!$V1171))</f>
        <v/>
      </c>
      <c r="F1193" s="3">
        <f>IF('ORDENES'!$A1171="","",IF('ORDENES'!$Y1171="","-",'ORDENES'!$Y1171))</f>
        <v/>
      </c>
      <c r="G1193" s="3">
        <f>IF('ORDENES'!$A1171="","",IF('ORDENES'!$W1171="","-",'ORDENES'!$W1171))</f>
        <v/>
      </c>
      <c r="H1193" s="3">
        <f>IF('ORDENES'!$A1171="","",IF('ORDENES'!$AE1171="","-",'ORDENES'!$AE1171))</f>
        <v/>
      </c>
      <c r="I1193" s="3">
        <f>IF('ORDENES'!$A1171="","",IF('ORDENES'!$AQ1171="","-",'ORDENES'!$AQ1171))</f>
        <v/>
      </c>
      <c r="J1193" s="3">
        <f>IF('ORDENES'!$A1171="","",IF('ORDENES'!$D1171="","-",'ORDENES'!$D1171))</f>
        <v/>
      </c>
      <c r="K1193" s="3">
        <f>IF('ORDENES'!$A1171="","",IF('ORDENES'!$E1171="","-",'ORDENES'!$E1171))</f>
        <v/>
      </c>
      <c r="L1193" s="13">
        <f>IF('ORDENES'!$A1171="","",IF('ORDENES'!$M1171="",0,'ORDENES'!$M1171))</f>
        <v/>
      </c>
      <c r="M1193" s="3">
        <f>IF('ORDENES'!$A1171="","",IF('ORDENES'!$N1171="","-",'ORDENES'!$N1171))</f>
        <v/>
      </c>
      <c r="N1193" s="3">
        <f>IF('ORDENES'!$A1171="","",'ORDENES'!$AD1171)</f>
        <v/>
      </c>
    </row>
    <row r="1194">
      <c r="A1194" s="3">
        <f>IF('ORDENES'!$A1172="","",IF('ORDENES'!$O1172="","-",'ORDENES'!$O1172))</f>
        <v/>
      </c>
      <c r="B1194" s="3">
        <f>IF('ORDENES'!$A1172="","",IF('ORDENES'!$R1172="","-",'ORDENES'!$R1172))</f>
        <v/>
      </c>
      <c r="C1194" s="3">
        <f>IF('ORDENES'!$A1172="","",IF('ORDENES'!$AF1172="","-",'ORDENES'!$AF1172))</f>
        <v/>
      </c>
      <c r="D1194" s="3">
        <f>IF('ORDENES'!$A1172="","",IF('ORDENES'!$X1172="","-",'ORDENES'!$X1172))</f>
        <v/>
      </c>
      <c r="E1194" s="3">
        <f>IF('ORDENES'!$A1172="","",IF('ORDENES'!$V1172="","-",'ORDENES'!$V1172))</f>
        <v/>
      </c>
      <c r="F1194" s="3">
        <f>IF('ORDENES'!$A1172="","",IF('ORDENES'!$Y1172="","-",'ORDENES'!$Y1172))</f>
        <v/>
      </c>
      <c r="G1194" s="3">
        <f>IF('ORDENES'!$A1172="","",IF('ORDENES'!$W1172="","-",'ORDENES'!$W1172))</f>
        <v/>
      </c>
      <c r="H1194" s="3">
        <f>IF('ORDENES'!$A1172="","",IF('ORDENES'!$AE1172="","-",'ORDENES'!$AE1172))</f>
        <v/>
      </c>
      <c r="I1194" s="3">
        <f>IF('ORDENES'!$A1172="","",IF('ORDENES'!$AQ1172="","-",'ORDENES'!$AQ1172))</f>
        <v/>
      </c>
      <c r="J1194" s="3">
        <f>IF('ORDENES'!$A1172="","",IF('ORDENES'!$D1172="","-",'ORDENES'!$D1172))</f>
        <v/>
      </c>
      <c r="K1194" s="3">
        <f>IF('ORDENES'!$A1172="","",IF('ORDENES'!$E1172="","-",'ORDENES'!$E1172))</f>
        <v/>
      </c>
      <c r="L1194" s="13">
        <f>IF('ORDENES'!$A1172="","",IF('ORDENES'!$M1172="",0,'ORDENES'!$M1172))</f>
        <v/>
      </c>
      <c r="M1194" s="3">
        <f>IF('ORDENES'!$A1172="","",IF('ORDENES'!$N1172="","-",'ORDENES'!$N1172))</f>
        <v/>
      </c>
      <c r="N1194" s="3">
        <f>IF('ORDENES'!$A1172="","",'ORDENES'!$AD1172)</f>
        <v/>
      </c>
    </row>
    <row r="1195">
      <c r="A1195" s="3">
        <f>IF('ORDENES'!$A1173="","",IF('ORDENES'!$O1173="","-",'ORDENES'!$O1173))</f>
        <v/>
      </c>
      <c r="B1195" s="3">
        <f>IF('ORDENES'!$A1173="","",IF('ORDENES'!$R1173="","-",'ORDENES'!$R1173))</f>
        <v/>
      </c>
      <c r="C1195" s="3">
        <f>IF('ORDENES'!$A1173="","",IF('ORDENES'!$AF1173="","-",'ORDENES'!$AF1173))</f>
        <v/>
      </c>
      <c r="D1195" s="3">
        <f>IF('ORDENES'!$A1173="","",IF('ORDENES'!$X1173="","-",'ORDENES'!$X1173))</f>
        <v/>
      </c>
      <c r="E1195" s="3">
        <f>IF('ORDENES'!$A1173="","",IF('ORDENES'!$V1173="","-",'ORDENES'!$V1173))</f>
        <v/>
      </c>
      <c r="F1195" s="3">
        <f>IF('ORDENES'!$A1173="","",IF('ORDENES'!$Y1173="","-",'ORDENES'!$Y1173))</f>
        <v/>
      </c>
      <c r="G1195" s="3">
        <f>IF('ORDENES'!$A1173="","",IF('ORDENES'!$W1173="","-",'ORDENES'!$W1173))</f>
        <v/>
      </c>
      <c r="H1195" s="3">
        <f>IF('ORDENES'!$A1173="","",IF('ORDENES'!$AE1173="","-",'ORDENES'!$AE1173))</f>
        <v/>
      </c>
      <c r="I1195" s="3">
        <f>IF('ORDENES'!$A1173="","",IF('ORDENES'!$AQ1173="","-",'ORDENES'!$AQ1173))</f>
        <v/>
      </c>
      <c r="J1195" s="3">
        <f>IF('ORDENES'!$A1173="","",IF('ORDENES'!$D1173="","-",'ORDENES'!$D1173))</f>
        <v/>
      </c>
      <c r="K1195" s="3">
        <f>IF('ORDENES'!$A1173="","",IF('ORDENES'!$E1173="","-",'ORDENES'!$E1173))</f>
        <v/>
      </c>
      <c r="L1195" s="13">
        <f>IF('ORDENES'!$A1173="","",IF('ORDENES'!$M1173="",0,'ORDENES'!$M1173))</f>
        <v/>
      </c>
      <c r="M1195" s="3">
        <f>IF('ORDENES'!$A1173="","",IF('ORDENES'!$N1173="","-",'ORDENES'!$N1173))</f>
        <v/>
      </c>
      <c r="N1195" s="3">
        <f>IF('ORDENES'!$A1173="","",'ORDENES'!$AD1173)</f>
        <v/>
      </c>
    </row>
    <row r="1196">
      <c r="A1196" s="3">
        <f>IF('ORDENES'!$A1174="","",IF('ORDENES'!$O1174="","-",'ORDENES'!$O1174))</f>
        <v/>
      </c>
      <c r="B1196" s="3">
        <f>IF('ORDENES'!$A1174="","",IF('ORDENES'!$R1174="","-",'ORDENES'!$R1174))</f>
        <v/>
      </c>
      <c r="C1196" s="3">
        <f>IF('ORDENES'!$A1174="","",IF('ORDENES'!$AF1174="","-",'ORDENES'!$AF1174))</f>
        <v/>
      </c>
      <c r="D1196" s="3">
        <f>IF('ORDENES'!$A1174="","",IF('ORDENES'!$X1174="","-",'ORDENES'!$X1174))</f>
        <v/>
      </c>
      <c r="E1196" s="3">
        <f>IF('ORDENES'!$A1174="","",IF('ORDENES'!$V1174="","-",'ORDENES'!$V1174))</f>
        <v/>
      </c>
      <c r="F1196" s="3">
        <f>IF('ORDENES'!$A1174="","",IF('ORDENES'!$Y1174="","-",'ORDENES'!$Y1174))</f>
        <v/>
      </c>
      <c r="G1196" s="3">
        <f>IF('ORDENES'!$A1174="","",IF('ORDENES'!$W1174="","-",'ORDENES'!$W1174))</f>
        <v/>
      </c>
      <c r="H1196" s="3">
        <f>IF('ORDENES'!$A1174="","",IF('ORDENES'!$AE1174="","-",'ORDENES'!$AE1174))</f>
        <v/>
      </c>
      <c r="I1196" s="3">
        <f>IF('ORDENES'!$A1174="","",IF('ORDENES'!$AQ1174="","-",'ORDENES'!$AQ1174))</f>
        <v/>
      </c>
      <c r="J1196" s="3">
        <f>IF('ORDENES'!$A1174="","",IF('ORDENES'!$D1174="","-",'ORDENES'!$D1174))</f>
        <v/>
      </c>
      <c r="K1196" s="3">
        <f>IF('ORDENES'!$A1174="","",IF('ORDENES'!$E1174="","-",'ORDENES'!$E1174))</f>
        <v/>
      </c>
      <c r="L1196" s="13">
        <f>IF('ORDENES'!$A1174="","",IF('ORDENES'!$M1174="",0,'ORDENES'!$M1174))</f>
        <v/>
      </c>
      <c r="M1196" s="3">
        <f>IF('ORDENES'!$A1174="","",IF('ORDENES'!$N1174="","-",'ORDENES'!$N1174))</f>
        <v/>
      </c>
      <c r="N1196" s="3">
        <f>IF('ORDENES'!$A1174="","",'ORDENES'!$AD1174)</f>
        <v/>
      </c>
    </row>
    <row r="1197">
      <c r="A1197" s="3">
        <f>IF('ORDENES'!$A1175="","",IF('ORDENES'!$O1175="","-",'ORDENES'!$O1175))</f>
        <v/>
      </c>
      <c r="B1197" s="3">
        <f>IF('ORDENES'!$A1175="","",IF('ORDENES'!$R1175="","-",'ORDENES'!$R1175))</f>
        <v/>
      </c>
      <c r="C1197" s="3">
        <f>IF('ORDENES'!$A1175="","",IF('ORDENES'!$AF1175="","-",'ORDENES'!$AF1175))</f>
        <v/>
      </c>
      <c r="D1197" s="3">
        <f>IF('ORDENES'!$A1175="","",IF('ORDENES'!$X1175="","-",'ORDENES'!$X1175))</f>
        <v/>
      </c>
      <c r="E1197" s="3">
        <f>IF('ORDENES'!$A1175="","",IF('ORDENES'!$V1175="","-",'ORDENES'!$V1175))</f>
        <v/>
      </c>
      <c r="F1197" s="3">
        <f>IF('ORDENES'!$A1175="","",IF('ORDENES'!$Y1175="","-",'ORDENES'!$Y1175))</f>
        <v/>
      </c>
      <c r="G1197" s="3">
        <f>IF('ORDENES'!$A1175="","",IF('ORDENES'!$W1175="","-",'ORDENES'!$W1175))</f>
        <v/>
      </c>
      <c r="H1197" s="3">
        <f>IF('ORDENES'!$A1175="","",IF('ORDENES'!$AE1175="","-",'ORDENES'!$AE1175))</f>
        <v/>
      </c>
      <c r="I1197" s="3">
        <f>IF('ORDENES'!$A1175="","",IF('ORDENES'!$AQ1175="","-",'ORDENES'!$AQ1175))</f>
        <v/>
      </c>
      <c r="J1197" s="3">
        <f>IF('ORDENES'!$A1175="","",IF('ORDENES'!$D1175="","-",'ORDENES'!$D1175))</f>
        <v/>
      </c>
      <c r="K1197" s="3">
        <f>IF('ORDENES'!$A1175="","",IF('ORDENES'!$E1175="","-",'ORDENES'!$E1175))</f>
        <v/>
      </c>
      <c r="L1197" s="13">
        <f>IF('ORDENES'!$A1175="","",IF('ORDENES'!$M1175="",0,'ORDENES'!$M1175))</f>
        <v/>
      </c>
      <c r="M1197" s="3">
        <f>IF('ORDENES'!$A1175="","",IF('ORDENES'!$N1175="","-",'ORDENES'!$N1175))</f>
        <v/>
      </c>
      <c r="N1197" s="3">
        <f>IF('ORDENES'!$A1175="","",'ORDENES'!$AD1175)</f>
        <v/>
      </c>
    </row>
    <row r="1198">
      <c r="A1198" s="3">
        <f>IF('ORDENES'!$A1176="","",IF('ORDENES'!$O1176="","-",'ORDENES'!$O1176))</f>
        <v/>
      </c>
      <c r="B1198" s="3">
        <f>IF('ORDENES'!$A1176="","",IF('ORDENES'!$R1176="","-",'ORDENES'!$R1176))</f>
        <v/>
      </c>
      <c r="C1198" s="3">
        <f>IF('ORDENES'!$A1176="","",IF('ORDENES'!$AF1176="","-",'ORDENES'!$AF1176))</f>
        <v/>
      </c>
      <c r="D1198" s="3">
        <f>IF('ORDENES'!$A1176="","",IF('ORDENES'!$X1176="","-",'ORDENES'!$X1176))</f>
        <v/>
      </c>
      <c r="E1198" s="3">
        <f>IF('ORDENES'!$A1176="","",IF('ORDENES'!$V1176="","-",'ORDENES'!$V1176))</f>
        <v/>
      </c>
      <c r="F1198" s="3">
        <f>IF('ORDENES'!$A1176="","",IF('ORDENES'!$Y1176="","-",'ORDENES'!$Y1176))</f>
        <v/>
      </c>
      <c r="G1198" s="3">
        <f>IF('ORDENES'!$A1176="","",IF('ORDENES'!$W1176="","-",'ORDENES'!$W1176))</f>
        <v/>
      </c>
      <c r="H1198" s="3">
        <f>IF('ORDENES'!$A1176="","",IF('ORDENES'!$AE1176="","-",'ORDENES'!$AE1176))</f>
        <v/>
      </c>
      <c r="I1198" s="3">
        <f>IF('ORDENES'!$A1176="","",IF('ORDENES'!$AQ1176="","-",'ORDENES'!$AQ1176))</f>
        <v/>
      </c>
      <c r="J1198" s="3">
        <f>IF('ORDENES'!$A1176="","",IF('ORDENES'!$D1176="","-",'ORDENES'!$D1176))</f>
        <v/>
      </c>
      <c r="K1198" s="3">
        <f>IF('ORDENES'!$A1176="","",IF('ORDENES'!$E1176="","-",'ORDENES'!$E1176))</f>
        <v/>
      </c>
      <c r="L1198" s="13">
        <f>IF('ORDENES'!$A1176="","",IF('ORDENES'!$M1176="",0,'ORDENES'!$M1176))</f>
        <v/>
      </c>
      <c r="M1198" s="3">
        <f>IF('ORDENES'!$A1176="","",IF('ORDENES'!$N1176="","-",'ORDENES'!$N1176))</f>
        <v/>
      </c>
      <c r="N1198" s="3">
        <f>IF('ORDENES'!$A1176="","",'ORDENES'!$AD1176)</f>
        <v/>
      </c>
    </row>
    <row r="1199">
      <c r="A1199" s="3">
        <f>IF('ORDENES'!$A1177="","",IF('ORDENES'!$O1177="","-",'ORDENES'!$O1177))</f>
        <v/>
      </c>
      <c r="B1199" s="3">
        <f>IF('ORDENES'!$A1177="","",IF('ORDENES'!$R1177="","-",'ORDENES'!$R1177))</f>
        <v/>
      </c>
      <c r="C1199" s="3">
        <f>IF('ORDENES'!$A1177="","",IF('ORDENES'!$AF1177="","-",'ORDENES'!$AF1177))</f>
        <v/>
      </c>
      <c r="D1199" s="3">
        <f>IF('ORDENES'!$A1177="","",IF('ORDENES'!$X1177="","-",'ORDENES'!$X1177))</f>
        <v/>
      </c>
      <c r="E1199" s="3">
        <f>IF('ORDENES'!$A1177="","",IF('ORDENES'!$V1177="","-",'ORDENES'!$V1177))</f>
        <v/>
      </c>
      <c r="F1199" s="3">
        <f>IF('ORDENES'!$A1177="","",IF('ORDENES'!$Y1177="","-",'ORDENES'!$Y1177))</f>
        <v/>
      </c>
      <c r="G1199" s="3">
        <f>IF('ORDENES'!$A1177="","",IF('ORDENES'!$W1177="","-",'ORDENES'!$W1177))</f>
        <v/>
      </c>
      <c r="H1199" s="3">
        <f>IF('ORDENES'!$A1177="","",IF('ORDENES'!$AE1177="","-",'ORDENES'!$AE1177))</f>
        <v/>
      </c>
      <c r="I1199" s="3">
        <f>IF('ORDENES'!$A1177="","",IF('ORDENES'!$AQ1177="","-",'ORDENES'!$AQ1177))</f>
        <v/>
      </c>
      <c r="J1199" s="3">
        <f>IF('ORDENES'!$A1177="","",IF('ORDENES'!$D1177="","-",'ORDENES'!$D1177))</f>
        <v/>
      </c>
      <c r="K1199" s="3">
        <f>IF('ORDENES'!$A1177="","",IF('ORDENES'!$E1177="","-",'ORDENES'!$E1177))</f>
        <v/>
      </c>
      <c r="L1199" s="13">
        <f>IF('ORDENES'!$A1177="","",IF('ORDENES'!$M1177="",0,'ORDENES'!$M1177))</f>
        <v/>
      </c>
      <c r="M1199" s="3">
        <f>IF('ORDENES'!$A1177="","",IF('ORDENES'!$N1177="","-",'ORDENES'!$N1177))</f>
        <v/>
      </c>
      <c r="N1199" s="3">
        <f>IF('ORDENES'!$A1177="","",'ORDENES'!$AD1177)</f>
        <v/>
      </c>
    </row>
    <row r="1200">
      <c r="A1200" s="3">
        <f>IF('ORDENES'!$A1178="","",IF('ORDENES'!$O1178="","-",'ORDENES'!$O1178))</f>
        <v/>
      </c>
      <c r="B1200" s="3">
        <f>IF('ORDENES'!$A1178="","",IF('ORDENES'!$R1178="","-",'ORDENES'!$R1178))</f>
        <v/>
      </c>
      <c r="C1200" s="3">
        <f>IF('ORDENES'!$A1178="","",IF('ORDENES'!$AF1178="","-",'ORDENES'!$AF1178))</f>
        <v/>
      </c>
      <c r="D1200" s="3">
        <f>IF('ORDENES'!$A1178="","",IF('ORDENES'!$X1178="","-",'ORDENES'!$X1178))</f>
        <v/>
      </c>
      <c r="E1200" s="3">
        <f>IF('ORDENES'!$A1178="","",IF('ORDENES'!$V1178="","-",'ORDENES'!$V1178))</f>
        <v/>
      </c>
      <c r="F1200" s="3">
        <f>IF('ORDENES'!$A1178="","",IF('ORDENES'!$Y1178="","-",'ORDENES'!$Y1178))</f>
        <v/>
      </c>
      <c r="G1200" s="3">
        <f>IF('ORDENES'!$A1178="","",IF('ORDENES'!$W1178="","-",'ORDENES'!$W1178))</f>
        <v/>
      </c>
      <c r="H1200" s="3">
        <f>IF('ORDENES'!$A1178="","",IF('ORDENES'!$AE1178="","-",'ORDENES'!$AE1178))</f>
        <v/>
      </c>
      <c r="I1200" s="3">
        <f>IF('ORDENES'!$A1178="","",IF('ORDENES'!$AQ1178="","-",'ORDENES'!$AQ1178))</f>
        <v/>
      </c>
      <c r="J1200" s="3">
        <f>IF('ORDENES'!$A1178="","",IF('ORDENES'!$D1178="","-",'ORDENES'!$D1178))</f>
        <v/>
      </c>
      <c r="K1200" s="3">
        <f>IF('ORDENES'!$A1178="","",IF('ORDENES'!$E1178="","-",'ORDENES'!$E1178))</f>
        <v/>
      </c>
      <c r="L1200" s="13">
        <f>IF('ORDENES'!$A1178="","",IF('ORDENES'!$M1178="",0,'ORDENES'!$M1178))</f>
        <v/>
      </c>
      <c r="M1200" s="3">
        <f>IF('ORDENES'!$A1178="","",IF('ORDENES'!$N1178="","-",'ORDENES'!$N1178))</f>
        <v/>
      </c>
      <c r="N1200" s="3">
        <f>IF('ORDENES'!$A1178="","",'ORDENES'!$AD1178)</f>
        <v/>
      </c>
    </row>
    <row r="1201">
      <c r="A1201" s="3">
        <f>IF('ORDENES'!$A1179="","",IF('ORDENES'!$O1179="","-",'ORDENES'!$O1179))</f>
        <v/>
      </c>
      <c r="B1201" s="3">
        <f>IF('ORDENES'!$A1179="","",IF('ORDENES'!$R1179="","-",'ORDENES'!$R1179))</f>
        <v/>
      </c>
      <c r="C1201" s="3">
        <f>IF('ORDENES'!$A1179="","",IF('ORDENES'!$AF1179="","-",'ORDENES'!$AF1179))</f>
        <v/>
      </c>
      <c r="D1201" s="3">
        <f>IF('ORDENES'!$A1179="","",IF('ORDENES'!$X1179="","-",'ORDENES'!$X1179))</f>
        <v/>
      </c>
      <c r="E1201" s="3">
        <f>IF('ORDENES'!$A1179="","",IF('ORDENES'!$V1179="","-",'ORDENES'!$V1179))</f>
        <v/>
      </c>
      <c r="F1201" s="3">
        <f>IF('ORDENES'!$A1179="","",IF('ORDENES'!$Y1179="","-",'ORDENES'!$Y1179))</f>
        <v/>
      </c>
      <c r="G1201" s="3">
        <f>IF('ORDENES'!$A1179="","",IF('ORDENES'!$W1179="","-",'ORDENES'!$W1179))</f>
        <v/>
      </c>
      <c r="H1201" s="3">
        <f>IF('ORDENES'!$A1179="","",IF('ORDENES'!$AE1179="","-",'ORDENES'!$AE1179))</f>
        <v/>
      </c>
      <c r="I1201" s="3">
        <f>IF('ORDENES'!$A1179="","",IF('ORDENES'!$AQ1179="","-",'ORDENES'!$AQ1179))</f>
        <v/>
      </c>
      <c r="J1201" s="3">
        <f>IF('ORDENES'!$A1179="","",IF('ORDENES'!$D1179="","-",'ORDENES'!$D1179))</f>
        <v/>
      </c>
      <c r="K1201" s="3">
        <f>IF('ORDENES'!$A1179="","",IF('ORDENES'!$E1179="","-",'ORDENES'!$E1179))</f>
        <v/>
      </c>
      <c r="L1201" s="13">
        <f>IF('ORDENES'!$A1179="","",IF('ORDENES'!$M1179="",0,'ORDENES'!$M1179))</f>
        <v/>
      </c>
      <c r="M1201" s="3">
        <f>IF('ORDENES'!$A1179="","",IF('ORDENES'!$N1179="","-",'ORDENES'!$N1179))</f>
        <v/>
      </c>
      <c r="N1201" s="3">
        <f>IF('ORDENES'!$A1179="","",'ORDENES'!$AD1179)</f>
        <v/>
      </c>
    </row>
    <row r="1202">
      <c r="A1202" s="3">
        <f>IF('ORDENES'!$A1180="","",IF('ORDENES'!$O1180="","-",'ORDENES'!$O1180))</f>
        <v/>
      </c>
      <c r="B1202" s="3">
        <f>IF('ORDENES'!$A1180="","",IF('ORDENES'!$R1180="","-",'ORDENES'!$R1180))</f>
        <v/>
      </c>
      <c r="C1202" s="3">
        <f>IF('ORDENES'!$A1180="","",IF('ORDENES'!$AF1180="","-",'ORDENES'!$AF1180))</f>
        <v/>
      </c>
      <c r="D1202" s="3">
        <f>IF('ORDENES'!$A1180="","",IF('ORDENES'!$X1180="","-",'ORDENES'!$X1180))</f>
        <v/>
      </c>
      <c r="E1202" s="3">
        <f>IF('ORDENES'!$A1180="","",IF('ORDENES'!$V1180="","-",'ORDENES'!$V1180))</f>
        <v/>
      </c>
      <c r="F1202" s="3">
        <f>IF('ORDENES'!$A1180="","",IF('ORDENES'!$Y1180="","-",'ORDENES'!$Y1180))</f>
        <v/>
      </c>
      <c r="G1202" s="3">
        <f>IF('ORDENES'!$A1180="","",IF('ORDENES'!$W1180="","-",'ORDENES'!$W1180))</f>
        <v/>
      </c>
      <c r="H1202" s="3">
        <f>IF('ORDENES'!$A1180="","",IF('ORDENES'!$AE1180="","-",'ORDENES'!$AE1180))</f>
        <v/>
      </c>
      <c r="I1202" s="3">
        <f>IF('ORDENES'!$A1180="","",IF('ORDENES'!$AQ1180="","-",'ORDENES'!$AQ1180))</f>
        <v/>
      </c>
      <c r="J1202" s="3">
        <f>IF('ORDENES'!$A1180="","",IF('ORDENES'!$D1180="","-",'ORDENES'!$D1180))</f>
        <v/>
      </c>
      <c r="K1202" s="3">
        <f>IF('ORDENES'!$A1180="","",IF('ORDENES'!$E1180="","-",'ORDENES'!$E1180))</f>
        <v/>
      </c>
      <c r="L1202" s="13">
        <f>IF('ORDENES'!$A1180="","",IF('ORDENES'!$M1180="",0,'ORDENES'!$M1180))</f>
        <v/>
      </c>
      <c r="M1202" s="3">
        <f>IF('ORDENES'!$A1180="","",IF('ORDENES'!$N1180="","-",'ORDENES'!$N1180))</f>
        <v/>
      </c>
      <c r="N1202" s="3">
        <f>IF('ORDENES'!$A1180="","",'ORDENES'!$AD1180)</f>
        <v/>
      </c>
    </row>
    <row r="1203">
      <c r="A1203" s="3">
        <f>IF('ORDENES'!$A1181="","",IF('ORDENES'!$O1181="","-",'ORDENES'!$O1181))</f>
        <v/>
      </c>
      <c r="B1203" s="3">
        <f>IF('ORDENES'!$A1181="","",IF('ORDENES'!$R1181="","-",'ORDENES'!$R1181))</f>
        <v/>
      </c>
      <c r="C1203" s="3">
        <f>IF('ORDENES'!$A1181="","",IF('ORDENES'!$AF1181="","-",'ORDENES'!$AF1181))</f>
        <v/>
      </c>
      <c r="D1203" s="3">
        <f>IF('ORDENES'!$A1181="","",IF('ORDENES'!$X1181="","-",'ORDENES'!$X1181))</f>
        <v/>
      </c>
      <c r="E1203" s="3">
        <f>IF('ORDENES'!$A1181="","",IF('ORDENES'!$V1181="","-",'ORDENES'!$V1181))</f>
        <v/>
      </c>
      <c r="F1203" s="3">
        <f>IF('ORDENES'!$A1181="","",IF('ORDENES'!$Y1181="","-",'ORDENES'!$Y1181))</f>
        <v/>
      </c>
      <c r="G1203" s="3">
        <f>IF('ORDENES'!$A1181="","",IF('ORDENES'!$W1181="","-",'ORDENES'!$W1181))</f>
        <v/>
      </c>
      <c r="H1203" s="3">
        <f>IF('ORDENES'!$A1181="","",IF('ORDENES'!$AE1181="","-",'ORDENES'!$AE1181))</f>
        <v/>
      </c>
      <c r="I1203" s="3">
        <f>IF('ORDENES'!$A1181="","",IF('ORDENES'!$AQ1181="","-",'ORDENES'!$AQ1181))</f>
        <v/>
      </c>
      <c r="J1203" s="3">
        <f>IF('ORDENES'!$A1181="","",IF('ORDENES'!$D1181="","-",'ORDENES'!$D1181))</f>
        <v/>
      </c>
      <c r="K1203" s="3">
        <f>IF('ORDENES'!$A1181="","",IF('ORDENES'!$E1181="","-",'ORDENES'!$E1181))</f>
        <v/>
      </c>
      <c r="L1203" s="13">
        <f>IF('ORDENES'!$A1181="","",IF('ORDENES'!$M1181="",0,'ORDENES'!$M1181))</f>
        <v/>
      </c>
      <c r="M1203" s="3">
        <f>IF('ORDENES'!$A1181="","",IF('ORDENES'!$N1181="","-",'ORDENES'!$N1181))</f>
        <v/>
      </c>
      <c r="N1203" s="3">
        <f>IF('ORDENES'!$A1181="","",'ORDENES'!$AD1181)</f>
        <v/>
      </c>
    </row>
    <row r="1204">
      <c r="A1204" s="3">
        <f>IF('ORDENES'!$A1182="","",IF('ORDENES'!$O1182="","-",'ORDENES'!$O1182))</f>
        <v/>
      </c>
      <c r="B1204" s="3">
        <f>IF('ORDENES'!$A1182="","",IF('ORDENES'!$R1182="","-",'ORDENES'!$R1182))</f>
        <v/>
      </c>
      <c r="C1204" s="3">
        <f>IF('ORDENES'!$A1182="","",IF('ORDENES'!$AF1182="","-",'ORDENES'!$AF1182))</f>
        <v/>
      </c>
      <c r="D1204" s="3">
        <f>IF('ORDENES'!$A1182="","",IF('ORDENES'!$X1182="","-",'ORDENES'!$X1182))</f>
        <v/>
      </c>
      <c r="E1204" s="3">
        <f>IF('ORDENES'!$A1182="","",IF('ORDENES'!$V1182="","-",'ORDENES'!$V1182))</f>
        <v/>
      </c>
      <c r="F1204" s="3">
        <f>IF('ORDENES'!$A1182="","",IF('ORDENES'!$Y1182="","-",'ORDENES'!$Y1182))</f>
        <v/>
      </c>
      <c r="G1204" s="3">
        <f>IF('ORDENES'!$A1182="","",IF('ORDENES'!$W1182="","-",'ORDENES'!$W1182))</f>
        <v/>
      </c>
      <c r="H1204" s="3">
        <f>IF('ORDENES'!$A1182="","",IF('ORDENES'!$AE1182="","-",'ORDENES'!$AE1182))</f>
        <v/>
      </c>
      <c r="I1204" s="3">
        <f>IF('ORDENES'!$A1182="","",IF('ORDENES'!$AQ1182="","-",'ORDENES'!$AQ1182))</f>
        <v/>
      </c>
      <c r="J1204" s="3">
        <f>IF('ORDENES'!$A1182="","",IF('ORDENES'!$D1182="","-",'ORDENES'!$D1182))</f>
        <v/>
      </c>
      <c r="K1204" s="3">
        <f>IF('ORDENES'!$A1182="","",IF('ORDENES'!$E1182="","-",'ORDENES'!$E1182))</f>
        <v/>
      </c>
      <c r="L1204" s="13">
        <f>IF('ORDENES'!$A1182="","",IF('ORDENES'!$M1182="",0,'ORDENES'!$M1182))</f>
        <v/>
      </c>
      <c r="M1204" s="3">
        <f>IF('ORDENES'!$A1182="","",IF('ORDENES'!$N1182="","-",'ORDENES'!$N1182))</f>
        <v/>
      </c>
      <c r="N1204" s="3">
        <f>IF('ORDENES'!$A1182="","",'ORDENES'!$AD1182)</f>
        <v/>
      </c>
    </row>
    <row r="1205">
      <c r="A1205" s="3">
        <f>IF('ORDENES'!$A1183="","",IF('ORDENES'!$O1183="","-",'ORDENES'!$O1183))</f>
        <v/>
      </c>
      <c r="B1205" s="3">
        <f>IF('ORDENES'!$A1183="","",IF('ORDENES'!$R1183="","-",'ORDENES'!$R1183))</f>
        <v/>
      </c>
      <c r="C1205" s="3">
        <f>IF('ORDENES'!$A1183="","",IF('ORDENES'!$AF1183="","-",'ORDENES'!$AF1183))</f>
        <v/>
      </c>
      <c r="D1205" s="3">
        <f>IF('ORDENES'!$A1183="","",IF('ORDENES'!$X1183="","-",'ORDENES'!$X1183))</f>
        <v/>
      </c>
      <c r="E1205" s="3">
        <f>IF('ORDENES'!$A1183="","",IF('ORDENES'!$V1183="","-",'ORDENES'!$V1183))</f>
        <v/>
      </c>
      <c r="F1205" s="3">
        <f>IF('ORDENES'!$A1183="","",IF('ORDENES'!$Y1183="","-",'ORDENES'!$Y1183))</f>
        <v/>
      </c>
      <c r="G1205" s="3">
        <f>IF('ORDENES'!$A1183="","",IF('ORDENES'!$W1183="","-",'ORDENES'!$W1183))</f>
        <v/>
      </c>
      <c r="H1205" s="3">
        <f>IF('ORDENES'!$A1183="","",IF('ORDENES'!$AE1183="","-",'ORDENES'!$AE1183))</f>
        <v/>
      </c>
      <c r="I1205" s="3">
        <f>IF('ORDENES'!$A1183="","",IF('ORDENES'!$AQ1183="","-",'ORDENES'!$AQ1183))</f>
        <v/>
      </c>
      <c r="J1205" s="3">
        <f>IF('ORDENES'!$A1183="","",IF('ORDENES'!$D1183="","-",'ORDENES'!$D1183))</f>
        <v/>
      </c>
      <c r="K1205" s="3">
        <f>IF('ORDENES'!$A1183="","",IF('ORDENES'!$E1183="","-",'ORDENES'!$E1183))</f>
        <v/>
      </c>
      <c r="L1205" s="13">
        <f>IF('ORDENES'!$A1183="","",IF('ORDENES'!$M1183="",0,'ORDENES'!$M1183))</f>
        <v/>
      </c>
      <c r="M1205" s="3">
        <f>IF('ORDENES'!$A1183="","",IF('ORDENES'!$N1183="","-",'ORDENES'!$N1183))</f>
        <v/>
      </c>
      <c r="N1205" s="3">
        <f>IF('ORDENES'!$A1183="","",'ORDENES'!$AD1183)</f>
        <v/>
      </c>
    </row>
    <row r="1206">
      <c r="A1206" s="3">
        <f>IF('ORDENES'!$A1184="","",IF('ORDENES'!$O1184="","-",'ORDENES'!$O1184))</f>
        <v/>
      </c>
      <c r="B1206" s="3">
        <f>IF('ORDENES'!$A1184="","",IF('ORDENES'!$R1184="","-",'ORDENES'!$R1184))</f>
        <v/>
      </c>
      <c r="C1206" s="3">
        <f>IF('ORDENES'!$A1184="","",IF('ORDENES'!$AF1184="","-",'ORDENES'!$AF1184))</f>
        <v/>
      </c>
      <c r="D1206" s="3">
        <f>IF('ORDENES'!$A1184="","",IF('ORDENES'!$X1184="","-",'ORDENES'!$X1184))</f>
        <v/>
      </c>
      <c r="E1206" s="3">
        <f>IF('ORDENES'!$A1184="","",IF('ORDENES'!$V1184="","-",'ORDENES'!$V1184))</f>
        <v/>
      </c>
      <c r="F1206" s="3">
        <f>IF('ORDENES'!$A1184="","",IF('ORDENES'!$Y1184="","-",'ORDENES'!$Y1184))</f>
        <v/>
      </c>
      <c r="G1206" s="3">
        <f>IF('ORDENES'!$A1184="","",IF('ORDENES'!$W1184="","-",'ORDENES'!$W1184))</f>
        <v/>
      </c>
      <c r="H1206" s="3">
        <f>IF('ORDENES'!$A1184="","",IF('ORDENES'!$AE1184="","-",'ORDENES'!$AE1184))</f>
        <v/>
      </c>
      <c r="I1206" s="3">
        <f>IF('ORDENES'!$A1184="","",IF('ORDENES'!$AQ1184="","-",'ORDENES'!$AQ1184))</f>
        <v/>
      </c>
      <c r="J1206" s="3">
        <f>IF('ORDENES'!$A1184="","",IF('ORDENES'!$D1184="","-",'ORDENES'!$D1184))</f>
        <v/>
      </c>
      <c r="K1206" s="3">
        <f>IF('ORDENES'!$A1184="","",IF('ORDENES'!$E1184="","-",'ORDENES'!$E1184))</f>
        <v/>
      </c>
      <c r="L1206" s="13">
        <f>IF('ORDENES'!$A1184="","",IF('ORDENES'!$M1184="",0,'ORDENES'!$M1184))</f>
        <v/>
      </c>
      <c r="M1206" s="3">
        <f>IF('ORDENES'!$A1184="","",IF('ORDENES'!$N1184="","-",'ORDENES'!$N1184))</f>
        <v/>
      </c>
      <c r="N1206" s="3">
        <f>IF('ORDENES'!$A1184="","",'ORDENES'!$AD1184)</f>
        <v/>
      </c>
    </row>
    <row r="1207">
      <c r="A1207" s="3">
        <f>IF('ORDENES'!$A1185="","",IF('ORDENES'!$O1185="","-",'ORDENES'!$O1185))</f>
        <v/>
      </c>
      <c r="B1207" s="3">
        <f>IF('ORDENES'!$A1185="","",IF('ORDENES'!$R1185="","-",'ORDENES'!$R1185))</f>
        <v/>
      </c>
      <c r="C1207" s="3">
        <f>IF('ORDENES'!$A1185="","",IF('ORDENES'!$AF1185="","-",'ORDENES'!$AF1185))</f>
        <v/>
      </c>
      <c r="D1207" s="3">
        <f>IF('ORDENES'!$A1185="","",IF('ORDENES'!$X1185="","-",'ORDENES'!$X1185))</f>
        <v/>
      </c>
      <c r="E1207" s="3">
        <f>IF('ORDENES'!$A1185="","",IF('ORDENES'!$V1185="","-",'ORDENES'!$V1185))</f>
        <v/>
      </c>
      <c r="F1207" s="3">
        <f>IF('ORDENES'!$A1185="","",IF('ORDENES'!$Y1185="","-",'ORDENES'!$Y1185))</f>
        <v/>
      </c>
      <c r="G1207" s="3">
        <f>IF('ORDENES'!$A1185="","",IF('ORDENES'!$W1185="","-",'ORDENES'!$W1185))</f>
        <v/>
      </c>
      <c r="H1207" s="3">
        <f>IF('ORDENES'!$A1185="","",IF('ORDENES'!$AE1185="","-",'ORDENES'!$AE1185))</f>
        <v/>
      </c>
      <c r="I1207" s="3">
        <f>IF('ORDENES'!$A1185="","",IF('ORDENES'!$AQ1185="","-",'ORDENES'!$AQ1185))</f>
        <v/>
      </c>
      <c r="J1207" s="3">
        <f>IF('ORDENES'!$A1185="","",IF('ORDENES'!$D1185="","-",'ORDENES'!$D1185))</f>
        <v/>
      </c>
      <c r="K1207" s="3">
        <f>IF('ORDENES'!$A1185="","",IF('ORDENES'!$E1185="","-",'ORDENES'!$E1185))</f>
        <v/>
      </c>
      <c r="L1207" s="13">
        <f>IF('ORDENES'!$A1185="","",IF('ORDENES'!$M1185="",0,'ORDENES'!$M1185))</f>
        <v/>
      </c>
      <c r="M1207" s="3">
        <f>IF('ORDENES'!$A1185="","",IF('ORDENES'!$N1185="","-",'ORDENES'!$N1185))</f>
        <v/>
      </c>
      <c r="N1207" s="3">
        <f>IF('ORDENES'!$A1185="","",'ORDENES'!$AD1185)</f>
        <v/>
      </c>
    </row>
    <row r="1208">
      <c r="A1208" s="3">
        <f>IF('ORDENES'!$A1186="","",IF('ORDENES'!$O1186="","-",'ORDENES'!$O1186))</f>
        <v/>
      </c>
      <c r="B1208" s="3">
        <f>IF('ORDENES'!$A1186="","",IF('ORDENES'!$R1186="","-",'ORDENES'!$R1186))</f>
        <v/>
      </c>
      <c r="C1208" s="3">
        <f>IF('ORDENES'!$A1186="","",IF('ORDENES'!$AF1186="","-",'ORDENES'!$AF1186))</f>
        <v/>
      </c>
      <c r="D1208" s="3">
        <f>IF('ORDENES'!$A1186="","",IF('ORDENES'!$X1186="","-",'ORDENES'!$X1186))</f>
        <v/>
      </c>
      <c r="E1208" s="3">
        <f>IF('ORDENES'!$A1186="","",IF('ORDENES'!$V1186="","-",'ORDENES'!$V1186))</f>
        <v/>
      </c>
      <c r="F1208" s="3">
        <f>IF('ORDENES'!$A1186="","",IF('ORDENES'!$Y1186="","-",'ORDENES'!$Y1186))</f>
        <v/>
      </c>
      <c r="G1208" s="3">
        <f>IF('ORDENES'!$A1186="","",IF('ORDENES'!$W1186="","-",'ORDENES'!$W1186))</f>
        <v/>
      </c>
      <c r="H1208" s="3">
        <f>IF('ORDENES'!$A1186="","",IF('ORDENES'!$AE1186="","-",'ORDENES'!$AE1186))</f>
        <v/>
      </c>
      <c r="I1208" s="3">
        <f>IF('ORDENES'!$A1186="","",IF('ORDENES'!$AQ1186="","-",'ORDENES'!$AQ1186))</f>
        <v/>
      </c>
      <c r="J1208" s="3">
        <f>IF('ORDENES'!$A1186="","",IF('ORDENES'!$D1186="","-",'ORDENES'!$D1186))</f>
        <v/>
      </c>
      <c r="K1208" s="3">
        <f>IF('ORDENES'!$A1186="","",IF('ORDENES'!$E1186="","-",'ORDENES'!$E1186))</f>
        <v/>
      </c>
      <c r="L1208" s="13">
        <f>IF('ORDENES'!$A1186="","",IF('ORDENES'!$M1186="",0,'ORDENES'!$M1186))</f>
        <v/>
      </c>
      <c r="M1208" s="3">
        <f>IF('ORDENES'!$A1186="","",IF('ORDENES'!$N1186="","-",'ORDENES'!$N1186))</f>
        <v/>
      </c>
      <c r="N1208" s="3">
        <f>IF('ORDENES'!$A1186="","",'ORDENES'!$AD1186)</f>
        <v/>
      </c>
    </row>
    <row r="1209">
      <c r="A1209" s="3">
        <f>IF('ORDENES'!$A1187="","",IF('ORDENES'!$O1187="","-",'ORDENES'!$O1187))</f>
        <v/>
      </c>
      <c r="B1209" s="3">
        <f>IF('ORDENES'!$A1187="","",IF('ORDENES'!$R1187="","-",'ORDENES'!$R1187))</f>
        <v/>
      </c>
      <c r="C1209" s="3">
        <f>IF('ORDENES'!$A1187="","",IF('ORDENES'!$AF1187="","-",'ORDENES'!$AF1187))</f>
        <v/>
      </c>
      <c r="D1209" s="3">
        <f>IF('ORDENES'!$A1187="","",IF('ORDENES'!$X1187="","-",'ORDENES'!$X1187))</f>
        <v/>
      </c>
      <c r="E1209" s="3">
        <f>IF('ORDENES'!$A1187="","",IF('ORDENES'!$V1187="","-",'ORDENES'!$V1187))</f>
        <v/>
      </c>
      <c r="F1209" s="3">
        <f>IF('ORDENES'!$A1187="","",IF('ORDENES'!$Y1187="","-",'ORDENES'!$Y1187))</f>
        <v/>
      </c>
      <c r="G1209" s="3">
        <f>IF('ORDENES'!$A1187="","",IF('ORDENES'!$W1187="","-",'ORDENES'!$W1187))</f>
        <v/>
      </c>
      <c r="H1209" s="3">
        <f>IF('ORDENES'!$A1187="","",IF('ORDENES'!$AE1187="","-",'ORDENES'!$AE1187))</f>
        <v/>
      </c>
      <c r="I1209" s="3">
        <f>IF('ORDENES'!$A1187="","",IF('ORDENES'!$AQ1187="","-",'ORDENES'!$AQ1187))</f>
        <v/>
      </c>
      <c r="J1209" s="3">
        <f>IF('ORDENES'!$A1187="","",IF('ORDENES'!$D1187="","-",'ORDENES'!$D1187))</f>
        <v/>
      </c>
      <c r="K1209" s="3">
        <f>IF('ORDENES'!$A1187="","",IF('ORDENES'!$E1187="","-",'ORDENES'!$E1187))</f>
        <v/>
      </c>
      <c r="L1209" s="13">
        <f>IF('ORDENES'!$A1187="","",IF('ORDENES'!$M1187="",0,'ORDENES'!$M1187))</f>
        <v/>
      </c>
      <c r="M1209" s="3">
        <f>IF('ORDENES'!$A1187="","",IF('ORDENES'!$N1187="","-",'ORDENES'!$N1187))</f>
        <v/>
      </c>
      <c r="N1209" s="3">
        <f>IF('ORDENES'!$A1187="","",'ORDENES'!$AD1187)</f>
        <v/>
      </c>
    </row>
    <row r="1210">
      <c r="A1210" s="3">
        <f>IF('ORDENES'!$A1188="","",IF('ORDENES'!$O1188="","-",'ORDENES'!$O1188))</f>
        <v/>
      </c>
      <c r="B1210" s="3">
        <f>IF('ORDENES'!$A1188="","",IF('ORDENES'!$R1188="","-",'ORDENES'!$R1188))</f>
        <v/>
      </c>
      <c r="C1210" s="3">
        <f>IF('ORDENES'!$A1188="","",IF('ORDENES'!$AF1188="","-",'ORDENES'!$AF1188))</f>
        <v/>
      </c>
      <c r="D1210" s="3">
        <f>IF('ORDENES'!$A1188="","",IF('ORDENES'!$X1188="","-",'ORDENES'!$X1188))</f>
        <v/>
      </c>
      <c r="E1210" s="3">
        <f>IF('ORDENES'!$A1188="","",IF('ORDENES'!$V1188="","-",'ORDENES'!$V1188))</f>
        <v/>
      </c>
      <c r="F1210" s="3">
        <f>IF('ORDENES'!$A1188="","",IF('ORDENES'!$Y1188="","-",'ORDENES'!$Y1188))</f>
        <v/>
      </c>
      <c r="G1210" s="3">
        <f>IF('ORDENES'!$A1188="","",IF('ORDENES'!$W1188="","-",'ORDENES'!$W1188))</f>
        <v/>
      </c>
      <c r="H1210" s="3">
        <f>IF('ORDENES'!$A1188="","",IF('ORDENES'!$AE1188="","-",'ORDENES'!$AE1188))</f>
        <v/>
      </c>
      <c r="I1210" s="3">
        <f>IF('ORDENES'!$A1188="","",IF('ORDENES'!$AQ1188="","-",'ORDENES'!$AQ1188))</f>
        <v/>
      </c>
      <c r="J1210" s="3">
        <f>IF('ORDENES'!$A1188="","",IF('ORDENES'!$D1188="","-",'ORDENES'!$D1188))</f>
        <v/>
      </c>
      <c r="K1210" s="3">
        <f>IF('ORDENES'!$A1188="","",IF('ORDENES'!$E1188="","-",'ORDENES'!$E1188))</f>
        <v/>
      </c>
      <c r="L1210" s="13">
        <f>IF('ORDENES'!$A1188="","",IF('ORDENES'!$M1188="",0,'ORDENES'!$M1188))</f>
        <v/>
      </c>
      <c r="M1210" s="3">
        <f>IF('ORDENES'!$A1188="","",IF('ORDENES'!$N1188="","-",'ORDENES'!$N1188))</f>
        <v/>
      </c>
      <c r="N1210" s="3">
        <f>IF('ORDENES'!$A1188="","",'ORDENES'!$AD1188)</f>
        <v/>
      </c>
    </row>
    <row r="1211">
      <c r="A1211" s="3">
        <f>IF('ORDENES'!$A1189="","",IF('ORDENES'!$O1189="","-",'ORDENES'!$O1189))</f>
        <v/>
      </c>
      <c r="B1211" s="3">
        <f>IF('ORDENES'!$A1189="","",IF('ORDENES'!$R1189="","-",'ORDENES'!$R1189))</f>
        <v/>
      </c>
      <c r="C1211" s="3">
        <f>IF('ORDENES'!$A1189="","",IF('ORDENES'!$AF1189="","-",'ORDENES'!$AF1189))</f>
        <v/>
      </c>
      <c r="D1211" s="3">
        <f>IF('ORDENES'!$A1189="","",IF('ORDENES'!$X1189="","-",'ORDENES'!$X1189))</f>
        <v/>
      </c>
      <c r="E1211" s="3">
        <f>IF('ORDENES'!$A1189="","",IF('ORDENES'!$V1189="","-",'ORDENES'!$V1189))</f>
        <v/>
      </c>
      <c r="F1211" s="3">
        <f>IF('ORDENES'!$A1189="","",IF('ORDENES'!$Y1189="","-",'ORDENES'!$Y1189))</f>
        <v/>
      </c>
      <c r="G1211" s="3">
        <f>IF('ORDENES'!$A1189="","",IF('ORDENES'!$W1189="","-",'ORDENES'!$W1189))</f>
        <v/>
      </c>
      <c r="H1211" s="3">
        <f>IF('ORDENES'!$A1189="","",IF('ORDENES'!$AE1189="","-",'ORDENES'!$AE1189))</f>
        <v/>
      </c>
      <c r="I1211" s="3">
        <f>IF('ORDENES'!$A1189="","",IF('ORDENES'!$AQ1189="","-",'ORDENES'!$AQ1189))</f>
        <v/>
      </c>
      <c r="J1211" s="3">
        <f>IF('ORDENES'!$A1189="","",IF('ORDENES'!$D1189="","-",'ORDENES'!$D1189))</f>
        <v/>
      </c>
      <c r="K1211" s="3">
        <f>IF('ORDENES'!$A1189="","",IF('ORDENES'!$E1189="","-",'ORDENES'!$E1189))</f>
        <v/>
      </c>
      <c r="L1211" s="13">
        <f>IF('ORDENES'!$A1189="","",IF('ORDENES'!$M1189="",0,'ORDENES'!$M1189))</f>
        <v/>
      </c>
      <c r="M1211" s="3">
        <f>IF('ORDENES'!$A1189="","",IF('ORDENES'!$N1189="","-",'ORDENES'!$N1189))</f>
        <v/>
      </c>
      <c r="N1211" s="3">
        <f>IF('ORDENES'!$A1189="","",'ORDENES'!$AD1189)</f>
        <v/>
      </c>
    </row>
    <row r="1212">
      <c r="A1212" s="3">
        <f>IF('ORDENES'!$A1190="","",IF('ORDENES'!$O1190="","-",'ORDENES'!$O1190))</f>
        <v/>
      </c>
      <c r="B1212" s="3">
        <f>IF('ORDENES'!$A1190="","",IF('ORDENES'!$R1190="","-",'ORDENES'!$R1190))</f>
        <v/>
      </c>
      <c r="C1212" s="3">
        <f>IF('ORDENES'!$A1190="","",IF('ORDENES'!$AF1190="","-",'ORDENES'!$AF1190))</f>
        <v/>
      </c>
      <c r="D1212" s="3">
        <f>IF('ORDENES'!$A1190="","",IF('ORDENES'!$X1190="","-",'ORDENES'!$X1190))</f>
        <v/>
      </c>
      <c r="E1212" s="3">
        <f>IF('ORDENES'!$A1190="","",IF('ORDENES'!$V1190="","-",'ORDENES'!$V1190))</f>
        <v/>
      </c>
      <c r="F1212" s="3">
        <f>IF('ORDENES'!$A1190="","",IF('ORDENES'!$Y1190="","-",'ORDENES'!$Y1190))</f>
        <v/>
      </c>
      <c r="G1212" s="3">
        <f>IF('ORDENES'!$A1190="","",IF('ORDENES'!$W1190="","-",'ORDENES'!$W1190))</f>
        <v/>
      </c>
      <c r="H1212" s="3">
        <f>IF('ORDENES'!$A1190="","",IF('ORDENES'!$AE1190="","-",'ORDENES'!$AE1190))</f>
        <v/>
      </c>
      <c r="I1212" s="3">
        <f>IF('ORDENES'!$A1190="","",IF('ORDENES'!$AQ1190="","-",'ORDENES'!$AQ1190))</f>
        <v/>
      </c>
      <c r="J1212" s="3">
        <f>IF('ORDENES'!$A1190="","",IF('ORDENES'!$D1190="","-",'ORDENES'!$D1190))</f>
        <v/>
      </c>
      <c r="K1212" s="3">
        <f>IF('ORDENES'!$A1190="","",IF('ORDENES'!$E1190="","-",'ORDENES'!$E1190))</f>
        <v/>
      </c>
      <c r="L1212" s="13">
        <f>IF('ORDENES'!$A1190="","",IF('ORDENES'!$M1190="",0,'ORDENES'!$M1190))</f>
        <v/>
      </c>
      <c r="M1212" s="3">
        <f>IF('ORDENES'!$A1190="","",IF('ORDENES'!$N1190="","-",'ORDENES'!$N1190))</f>
        <v/>
      </c>
      <c r="N1212" s="3">
        <f>IF('ORDENES'!$A1190="","",'ORDENES'!$AD1190)</f>
        <v/>
      </c>
    </row>
    <row r="1213">
      <c r="A1213" s="3">
        <f>IF('ORDENES'!$A1191="","",IF('ORDENES'!$O1191="","-",'ORDENES'!$O1191))</f>
        <v/>
      </c>
      <c r="B1213" s="3">
        <f>IF('ORDENES'!$A1191="","",IF('ORDENES'!$R1191="","-",'ORDENES'!$R1191))</f>
        <v/>
      </c>
      <c r="C1213" s="3">
        <f>IF('ORDENES'!$A1191="","",IF('ORDENES'!$AF1191="","-",'ORDENES'!$AF1191))</f>
        <v/>
      </c>
      <c r="D1213" s="3">
        <f>IF('ORDENES'!$A1191="","",IF('ORDENES'!$X1191="","-",'ORDENES'!$X1191))</f>
        <v/>
      </c>
      <c r="E1213" s="3">
        <f>IF('ORDENES'!$A1191="","",IF('ORDENES'!$V1191="","-",'ORDENES'!$V1191))</f>
        <v/>
      </c>
      <c r="F1213" s="3">
        <f>IF('ORDENES'!$A1191="","",IF('ORDENES'!$Y1191="","-",'ORDENES'!$Y1191))</f>
        <v/>
      </c>
      <c r="G1213" s="3">
        <f>IF('ORDENES'!$A1191="","",IF('ORDENES'!$W1191="","-",'ORDENES'!$W1191))</f>
        <v/>
      </c>
      <c r="H1213" s="3">
        <f>IF('ORDENES'!$A1191="","",IF('ORDENES'!$AE1191="","-",'ORDENES'!$AE1191))</f>
        <v/>
      </c>
      <c r="I1213" s="3">
        <f>IF('ORDENES'!$A1191="","",IF('ORDENES'!$AQ1191="","-",'ORDENES'!$AQ1191))</f>
        <v/>
      </c>
      <c r="J1213" s="3">
        <f>IF('ORDENES'!$A1191="","",IF('ORDENES'!$D1191="","-",'ORDENES'!$D1191))</f>
        <v/>
      </c>
      <c r="K1213" s="3">
        <f>IF('ORDENES'!$A1191="","",IF('ORDENES'!$E1191="","-",'ORDENES'!$E1191))</f>
        <v/>
      </c>
      <c r="L1213" s="13">
        <f>IF('ORDENES'!$A1191="","",IF('ORDENES'!$M1191="",0,'ORDENES'!$M1191))</f>
        <v/>
      </c>
      <c r="M1213" s="3">
        <f>IF('ORDENES'!$A1191="","",IF('ORDENES'!$N1191="","-",'ORDENES'!$N1191))</f>
        <v/>
      </c>
      <c r="N1213" s="3">
        <f>IF('ORDENES'!$A1191="","",'ORDENES'!$AD1191)</f>
        <v/>
      </c>
    </row>
    <row r="1214">
      <c r="A1214" s="3">
        <f>IF('ORDENES'!$A1192="","",IF('ORDENES'!$O1192="","-",'ORDENES'!$O1192))</f>
        <v/>
      </c>
      <c r="B1214" s="3">
        <f>IF('ORDENES'!$A1192="","",IF('ORDENES'!$R1192="","-",'ORDENES'!$R1192))</f>
        <v/>
      </c>
      <c r="C1214" s="3">
        <f>IF('ORDENES'!$A1192="","",IF('ORDENES'!$AF1192="","-",'ORDENES'!$AF1192))</f>
        <v/>
      </c>
      <c r="D1214" s="3">
        <f>IF('ORDENES'!$A1192="","",IF('ORDENES'!$X1192="","-",'ORDENES'!$X1192))</f>
        <v/>
      </c>
      <c r="E1214" s="3">
        <f>IF('ORDENES'!$A1192="","",IF('ORDENES'!$V1192="","-",'ORDENES'!$V1192))</f>
        <v/>
      </c>
      <c r="F1214" s="3">
        <f>IF('ORDENES'!$A1192="","",IF('ORDENES'!$Y1192="","-",'ORDENES'!$Y1192))</f>
        <v/>
      </c>
      <c r="G1214" s="3">
        <f>IF('ORDENES'!$A1192="","",IF('ORDENES'!$W1192="","-",'ORDENES'!$W1192))</f>
        <v/>
      </c>
      <c r="H1214" s="3">
        <f>IF('ORDENES'!$A1192="","",IF('ORDENES'!$AE1192="","-",'ORDENES'!$AE1192))</f>
        <v/>
      </c>
      <c r="I1214" s="3">
        <f>IF('ORDENES'!$A1192="","",IF('ORDENES'!$AQ1192="","-",'ORDENES'!$AQ1192))</f>
        <v/>
      </c>
      <c r="J1214" s="3">
        <f>IF('ORDENES'!$A1192="","",IF('ORDENES'!$D1192="","-",'ORDENES'!$D1192))</f>
        <v/>
      </c>
      <c r="K1214" s="3">
        <f>IF('ORDENES'!$A1192="","",IF('ORDENES'!$E1192="","-",'ORDENES'!$E1192))</f>
        <v/>
      </c>
      <c r="L1214" s="13">
        <f>IF('ORDENES'!$A1192="","",IF('ORDENES'!$M1192="",0,'ORDENES'!$M1192))</f>
        <v/>
      </c>
      <c r="M1214" s="3">
        <f>IF('ORDENES'!$A1192="","",IF('ORDENES'!$N1192="","-",'ORDENES'!$N1192))</f>
        <v/>
      </c>
      <c r="N1214" s="3">
        <f>IF('ORDENES'!$A1192="","",'ORDENES'!$AD1192)</f>
        <v/>
      </c>
    </row>
    <row r="1215">
      <c r="A1215" s="3">
        <f>IF('ORDENES'!$A1193="","",IF('ORDENES'!$O1193="","-",'ORDENES'!$O1193))</f>
        <v/>
      </c>
      <c r="B1215" s="3">
        <f>IF('ORDENES'!$A1193="","",IF('ORDENES'!$R1193="","-",'ORDENES'!$R1193))</f>
        <v/>
      </c>
      <c r="C1215" s="3">
        <f>IF('ORDENES'!$A1193="","",IF('ORDENES'!$AF1193="","-",'ORDENES'!$AF1193))</f>
        <v/>
      </c>
      <c r="D1215" s="3">
        <f>IF('ORDENES'!$A1193="","",IF('ORDENES'!$X1193="","-",'ORDENES'!$X1193))</f>
        <v/>
      </c>
      <c r="E1215" s="3">
        <f>IF('ORDENES'!$A1193="","",IF('ORDENES'!$V1193="","-",'ORDENES'!$V1193))</f>
        <v/>
      </c>
      <c r="F1215" s="3">
        <f>IF('ORDENES'!$A1193="","",IF('ORDENES'!$Y1193="","-",'ORDENES'!$Y1193))</f>
        <v/>
      </c>
      <c r="G1215" s="3">
        <f>IF('ORDENES'!$A1193="","",IF('ORDENES'!$W1193="","-",'ORDENES'!$W1193))</f>
        <v/>
      </c>
      <c r="H1215" s="3">
        <f>IF('ORDENES'!$A1193="","",IF('ORDENES'!$AE1193="","-",'ORDENES'!$AE1193))</f>
        <v/>
      </c>
      <c r="I1215" s="3">
        <f>IF('ORDENES'!$A1193="","",IF('ORDENES'!$AQ1193="","-",'ORDENES'!$AQ1193))</f>
        <v/>
      </c>
      <c r="J1215" s="3">
        <f>IF('ORDENES'!$A1193="","",IF('ORDENES'!$D1193="","-",'ORDENES'!$D1193))</f>
        <v/>
      </c>
      <c r="K1215" s="3">
        <f>IF('ORDENES'!$A1193="","",IF('ORDENES'!$E1193="","-",'ORDENES'!$E1193))</f>
        <v/>
      </c>
      <c r="L1215" s="13">
        <f>IF('ORDENES'!$A1193="","",IF('ORDENES'!$M1193="",0,'ORDENES'!$M1193))</f>
        <v/>
      </c>
      <c r="M1215" s="3">
        <f>IF('ORDENES'!$A1193="","",IF('ORDENES'!$N1193="","-",'ORDENES'!$N1193))</f>
        <v/>
      </c>
      <c r="N1215" s="3">
        <f>IF('ORDENES'!$A1193="","",'ORDENES'!$AD1193)</f>
        <v/>
      </c>
    </row>
    <row r="1216">
      <c r="A1216" s="3">
        <f>IF('ORDENES'!$A1194="","",IF('ORDENES'!$O1194="","-",'ORDENES'!$O1194))</f>
        <v/>
      </c>
      <c r="B1216" s="3">
        <f>IF('ORDENES'!$A1194="","",IF('ORDENES'!$R1194="","-",'ORDENES'!$R1194))</f>
        <v/>
      </c>
      <c r="C1216" s="3">
        <f>IF('ORDENES'!$A1194="","",IF('ORDENES'!$AF1194="","-",'ORDENES'!$AF1194))</f>
        <v/>
      </c>
      <c r="D1216" s="3">
        <f>IF('ORDENES'!$A1194="","",IF('ORDENES'!$X1194="","-",'ORDENES'!$X1194))</f>
        <v/>
      </c>
      <c r="E1216" s="3">
        <f>IF('ORDENES'!$A1194="","",IF('ORDENES'!$V1194="","-",'ORDENES'!$V1194))</f>
        <v/>
      </c>
      <c r="F1216" s="3">
        <f>IF('ORDENES'!$A1194="","",IF('ORDENES'!$Y1194="","-",'ORDENES'!$Y1194))</f>
        <v/>
      </c>
      <c r="G1216" s="3">
        <f>IF('ORDENES'!$A1194="","",IF('ORDENES'!$W1194="","-",'ORDENES'!$W1194))</f>
        <v/>
      </c>
      <c r="H1216" s="3">
        <f>IF('ORDENES'!$A1194="","",IF('ORDENES'!$AE1194="","-",'ORDENES'!$AE1194))</f>
        <v/>
      </c>
      <c r="I1216" s="3">
        <f>IF('ORDENES'!$A1194="","",IF('ORDENES'!$AQ1194="","-",'ORDENES'!$AQ1194))</f>
        <v/>
      </c>
      <c r="J1216" s="3">
        <f>IF('ORDENES'!$A1194="","",IF('ORDENES'!$D1194="","-",'ORDENES'!$D1194))</f>
        <v/>
      </c>
      <c r="K1216" s="3">
        <f>IF('ORDENES'!$A1194="","",IF('ORDENES'!$E1194="","-",'ORDENES'!$E1194))</f>
        <v/>
      </c>
      <c r="L1216" s="13">
        <f>IF('ORDENES'!$A1194="","",IF('ORDENES'!$M1194="",0,'ORDENES'!$M1194))</f>
        <v/>
      </c>
      <c r="M1216" s="3">
        <f>IF('ORDENES'!$A1194="","",IF('ORDENES'!$N1194="","-",'ORDENES'!$N1194))</f>
        <v/>
      </c>
      <c r="N1216" s="3">
        <f>IF('ORDENES'!$A1194="","",'ORDENES'!$AD1194)</f>
        <v/>
      </c>
    </row>
    <row r="1217">
      <c r="A1217" s="3">
        <f>IF('ORDENES'!$A1195="","",IF('ORDENES'!$O1195="","-",'ORDENES'!$O1195))</f>
        <v/>
      </c>
      <c r="B1217" s="3">
        <f>IF('ORDENES'!$A1195="","",IF('ORDENES'!$R1195="","-",'ORDENES'!$R1195))</f>
        <v/>
      </c>
      <c r="C1217" s="3">
        <f>IF('ORDENES'!$A1195="","",IF('ORDENES'!$AF1195="","-",'ORDENES'!$AF1195))</f>
        <v/>
      </c>
      <c r="D1217" s="3">
        <f>IF('ORDENES'!$A1195="","",IF('ORDENES'!$X1195="","-",'ORDENES'!$X1195))</f>
        <v/>
      </c>
      <c r="E1217" s="3">
        <f>IF('ORDENES'!$A1195="","",IF('ORDENES'!$V1195="","-",'ORDENES'!$V1195))</f>
        <v/>
      </c>
      <c r="F1217" s="3">
        <f>IF('ORDENES'!$A1195="","",IF('ORDENES'!$Y1195="","-",'ORDENES'!$Y1195))</f>
        <v/>
      </c>
      <c r="G1217" s="3">
        <f>IF('ORDENES'!$A1195="","",IF('ORDENES'!$W1195="","-",'ORDENES'!$W1195))</f>
        <v/>
      </c>
      <c r="H1217" s="3">
        <f>IF('ORDENES'!$A1195="","",IF('ORDENES'!$AE1195="","-",'ORDENES'!$AE1195))</f>
        <v/>
      </c>
      <c r="I1217" s="3">
        <f>IF('ORDENES'!$A1195="","",IF('ORDENES'!$AQ1195="","-",'ORDENES'!$AQ1195))</f>
        <v/>
      </c>
      <c r="J1217" s="3">
        <f>IF('ORDENES'!$A1195="","",IF('ORDENES'!$D1195="","-",'ORDENES'!$D1195))</f>
        <v/>
      </c>
      <c r="K1217" s="3">
        <f>IF('ORDENES'!$A1195="","",IF('ORDENES'!$E1195="","-",'ORDENES'!$E1195))</f>
        <v/>
      </c>
      <c r="L1217" s="13">
        <f>IF('ORDENES'!$A1195="","",IF('ORDENES'!$M1195="",0,'ORDENES'!$M1195))</f>
        <v/>
      </c>
      <c r="M1217" s="3">
        <f>IF('ORDENES'!$A1195="","",IF('ORDENES'!$N1195="","-",'ORDENES'!$N1195))</f>
        <v/>
      </c>
      <c r="N1217" s="3">
        <f>IF('ORDENES'!$A1195="","",'ORDENES'!$AD1195)</f>
        <v/>
      </c>
    </row>
    <row r="1218">
      <c r="A1218" s="3">
        <f>IF('ORDENES'!$A1196="","",IF('ORDENES'!$O1196="","-",'ORDENES'!$O1196))</f>
        <v/>
      </c>
      <c r="B1218" s="3">
        <f>IF('ORDENES'!$A1196="","",IF('ORDENES'!$R1196="","-",'ORDENES'!$R1196))</f>
        <v/>
      </c>
      <c r="C1218" s="3">
        <f>IF('ORDENES'!$A1196="","",IF('ORDENES'!$AF1196="","-",'ORDENES'!$AF1196))</f>
        <v/>
      </c>
      <c r="D1218" s="3">
        <f>IF('ORDENES'!$A1196="","",IF('ORDENES'!$X1196="","-",'ORDENES'!$X1196))</f>
        <v/>
      </c>
      <c r="E1218" s="3">
        <f>IF('ORDENES'!$A1196="","",IF('ORDENES'!$V1196="","-",'ORDENES'!$V1196))</f>
        <v/>
      </c>
      <c r="F1218" s="3">
        <f>IF('ORDENES'!$A1196="","",IF('ORDENES'!$Y1196="","-",'ORDENES'!$Y1196))</f>
        <v/>
      </c>
      <c r="G1218" s="3">
        <f>IF('ORDENES'!$A1196="","",IF('ORDENES'!$W1196="","-",'ORDENES'!$W1196))</f>
        <v/>
      </c>
      <c r="H1218" s="3">
        <f>IF('ORDENES'!$A1196="","",IF('ORDENES'!$AE1196="","-",'ORDENES'!$AE1196))</f>
        <v/>
      </c>
      <c r="I1218" s="3">
        <f>IF('ORDENES'!$A1196="","",IF('ORDENES'!$AQ1196="","-",'ORDENES'!$AQ1196))</f>
        <v/>
      </c>
      <c r="J1218" s="3">
        <f>IF('ORDENES'!$A1196="","",IF('ORDENES'!$D1196="","-",'ORDENES'!$D1196))</f>
        <v/>
      </c>
      <c r="K1218" s="3">
        <f>IF('ORDENES'!$A1196="","",IF('ORDENES'!$E1196="","-",'ORDENES'!$E1196))</f>
        <v/>
      </c>
      <c r="L1218" s="13">
        <f>IF('ORDENES'!$A1196="","",IF('ORDENES'!$M1196="",0,'ORDENES'!$M1196))</f>
        <v/>
      </c>
      <c r="M1218" s="3">
        <f>IF('ORDENES'!$A1196="","",IF('ORDENES'!$N1196="","-",'ORDENES'!$N1196))</f>
        <v/>
      </c>
      <c r="N1218" s="3">
        <f>IF('ORDENES'!$A1196="","",'ORDENES'!$AD1196)</f>
        <v/>
      </c>
    </row>
    <row r="1219">
      <c r="A1219" s="3">
        <f>IF('ORDENES'!$A1197="","",IF('ORDENES'!$O1197="","-",'ORDENES'!$O1197))</f>
        <v/>
      </c>
      <c r="B1219" s="3">
        <f>IF('ORDENES'!$A1197="","",IF('ORDENES'!$R1197="","-",'ORDENES'!$R1197))</f>
        <v/>
      </c>
      <c r="C1219" s="3">
        <f>IF('ORDENES'!$A1197="","",IF('ORDENES'!$AF1197="","-",'ORDENES'!$AF1197))</f>
        <v/>
      </c>
      <c r="D1219" s="3">
        <f>IF('ORDENES'!$A1197="","",IF('ORDENES'!$X1197="","-",'ORDENES'!$X1197))</f>
        <v/>
      </c>
      <c r="E1219" s="3">
        <f>IF('ORDENES'!$A1197="","",IF('ORDENES'!$V1197="","-",'ORDENES'!$V1197))</f>
        <v/>
      </c>
      <c r="F1219" s="3">
        <f>IF('ORDENES'!$A1197="","",IF('ORDENES'!$Y1197="","-",'ORDENES'!$Y1197))</f>
        <v/>
      </c>
      <c r="G1219" s="3">
        <f>IF('ORDENES'!$A1197="","",IF('ORDENES'!$W1197="","-",'ORDENES'!$W1197))</f>
        <v/>
      </c>
      <c r="H1219" s="3">
        <f>IF('ORDENES'!$A1197="","",IF('ORDENES'!$AE1197="","-",'ORDENES'!$AE1197))</f>
        <v/>
      </c>
      <c r="I1219" s="3">
        <f>IF('ORDENES'!$A1197="","",IF('ORDENES'!$AQ1197="","-",'ORDENES'!$AQ1197))</f>
        <v/>
      </c>
      <c r="J1219" s="3">
        <f>IF('ORDENES'!$A1197="","",IF('ORDENES'!$D1197="","-",'ORDENES'!$D1197))</f>
        <v/>
      </c>
      <c r="K1219" s="3">
        <f>IF('ORDENES'!$A1197="","",IF('ORDENES'!$E1197="","-",'ORDENES'!$E1197))</f>
        <v/>
      </c>
      <c r="L1219" s="13">
        <f>IF('ORDENES'!$A1197="","",IF('ORDENES'!$M1197="",0,'ORDENES'!$M1197))</f>
        <v/>
      </c>
      <c r="M1219" s="3">
        <f>IF('ORDENES'!$A1197="","",IF('ORDENES'!$N1197="","-",'ORDENES'!$N1197))</f>
        <v/>
      </c>
      <c r="N1219" s="3">
        <f>IF('ORDENES'!$A1197="","",'ORDENES'!$AD1197)</f>
        <v/>
      </c>
    </row>
    <row r="1220">
      <c r="A1220" s="3">
        <f>IF('ORDENES'!$A1198="","",IF('ORDENES'!$O1198="","-",'ORDENES'!$O1198))</f>
        <v/>
      </c>
      <c r="B1220" s="3">
        <f>IF('ORDENES'!$A1198="","",IF('ORDENES'!$R1198="","-",'ORDENES'!$R1198))</f>
        <v/>
      </c>
      <c r="C1220" s="3">
        <f>IF('ORDENES'!$A1198="","",IF('ORDENES'!$AF1198="","-",'ORDENES'!$AF1198))</f>
        <v/>
      </c>
      <c r="D1220" s="3">
        <f>IF('ORDENES'!$A1198="","",IF('ORDENES'!$X1198="","-",'ORDENES'!$X1198))</f>
        <v/>
      </c>
      <c r="E1220" s="3">
        <f>IF('ORDENES'!$A1198="","",IF('ORDENES'!$V1198="","-",'ORDENES'!$V1198))</f>
        <v/>
      </c>
      <c r="F1220" s="3">
        <f>IF('ORDENES'!$A1198="","",IF('ORDENES'!$Y1198="","-",'ORDENES'!$Y1198))</f>
        <v/>
      </c>
      <c r="G1220" s="3">
        <f>IF('ORDENES'!$A1198="","",IF('ORDENES'!$W1198="","-",'ORDENES'!$W1198))</f>
        <v/>
      </c>
      <c r="H1220" s="3">
        <f>IF('ORDENES'!$A1198="","",IF('ORDENES'!$AE1198="","-",'ORDENES'!$AE1198))</f>
        <v/>
      </c>
      <c r="I1220" s="3">
        <f>IF('ORDENES'!$A1198="","",IF('ORDENES'!$AQ1198="","-",'ORDENES'!$AQ1198))</f>
        <v/>
      </c>
      <c r="J1220" s="3">
        <f>IF('ORDENES'!$A1198="","",IF('ORDENES'!$D1198="","-",'ORDENES'!$D1198))</f>
        <v/>
      </c>
      <c r="K1220" s="3">
        <f>IF('ORDENES'!$A1198="","",IF('ORDENES'!$E1198="","-",'ORDENES'!$E1198))</f>
        <v/>
      </c>
      <c r="L1220" s="13">
        <f>IF('ORDENES'!$A1198="","",IF('ORDENES'!$M1198="",0,'ORDENES'!$M1198))</f>
        <v/>
      </c>
      <c r="M1220" s="3">
        <f>IF('ORDENES'!$A1198="","",IF('ORDENES'!$N1198="","-",'ORDENES'!$N1198))</f>
        <v/>
      </c>
      <c r="N1220" s="3">
        <f>IF('ORDENES'!$A1198="","",'ORDENES'!$AD1198)</f>
        <v/>
      </c>
    </row>
    <row r="1221">
      <c r="A1221" s="3">
        <f>IF('ORDENES'!$A1199="","",IF('ORDENES'!$O1199="","-",'ORDENES'!$O1199))</f>
        <v/>
      </c>
      <c r="B1221" s="3">
        <f>IF('ORDENES'!$A1199="","",IF('ORDENES'!$R1199="","-",'ORDENES'!$R1199))</f>
        <v/>
      </c>
      <c r="C1221" s="3">
        <f>IF('ORDENES'!$A1199="","",IF('ORDENES'!$AF1199="","-",'ORDENES'!$AF1199))</f>
        <v/>
      </c>
      <c r="D1221" s="3">
        <f>IF('ORDENES'!$A1199="","",IF('ORDENES'!$X1199="","-",'ORDENES'!$X1199))</f>
        <v/>
      </c>
      <c r="E1221" s="3">
        <f>IF('ORDENES'!$A1199="","",IF('ORDENES'!$V1199="","-",'ORDENES'!$V1199))</f>
        <v/>
      </c>
      <c r="F1221" s="3">
        <f>IF('ORDENES'!$A1199="","",IF('ORDENES'!$Y1199="","-",'ORDENES'!$Y1199))</f>
        <v/>
      </c>
      <c r="G1221" s="3">
        <f>IF('ORDENES'!$A1199="","",IF('ORDENES'!$W1199="","-",'ORDENES'!$W1199))</f>
        <v/>
      </c>
      <c r="H1221" s="3">
        <f>IF('ORDENES'!$A1199="","",IF('ORDENES'!$AE1199="","-",'ORDENES'!$AE1199))</f>
        <v/>
      </c>
      <c r="I1221" s="3">
        <f>IF('ORDENES'!$A1199="","",IF('ORDENES'!$AQ1199="","-",'ORDENES'!$AQ1199))</f>
        <v/>
      </c>
      <c r="J1221" s="3">
        <f>IF('ORDENES'!$A1199="","",IF('ORDENES'!$D1199="","-",'ORDENES'!$D1199))</f>
        <v/>
      </c>
      <c r="K1221" s="3">
        <f>IF('ORDENES'!$A1199="","",IF('ORDENES'!$E1199="","-",'ORDENES'!$E1199))</f>
        <v/>
      </c>
      <c r="L1221" s="13">
        <f>IF('ORDENES'!$A1199="","",IF('ORDENES'!$M1199="",0,'ORDENES'!$M1199))</f>
        <v/>
      </c>
      <c r="M1221" s="3">
        <f>IF('ORDENES'!$A1199="","",IF('ORDENES'!$N1199="","-",'ORDENES'!$N1199))</f>
        <v/>
      </c>
      <c r="N1221" s="3">
        <f>IF('ORDENES'!$A1199="","",'ORDENES'!$AD1199)</f>
        <v/>
      </c>
    </row>
    <row r="1222">
      <c r="A1222" s="3">
        <f>IF('ORDENES'!$A1200="","",IF('ORDENES'!$O1200="","-",'ORDENES'!$O1200))</f>
        <v/>
      </c>
      <c r="B1222" s="3">
        <f>IF('ORDENES'!$A1200="","",IF('ORDENES'!$R1200="","-",'ORDENES'!$R1200))</f>
        <v/>
      </c>
      <c r="C1222" s="3">
        <f>IF('ORDENES'!$A1200="","",IF('ORDENES'!$AF1200="","-",'ORDENES'!$AF1200))</f>
        <v/>
      </c>
      <c r="D1222" s="3">
        <f>IF('ORDENES'!$A1200="","",IF('ORDENES'!$X1200="","-",'ORDENES'!$X1200))</f>
        <v/>
      </c>
      <c r="E1222" s="3">
        <f>IF('ORDENES'!$A1200="","",IF('ORDENES'!$V1200="","-",'ORDENES'!$V1200))</f>
        <v/>
      </c>
      <c r="F1222" s="3">
        <f>IF('ORDENES'!$A1200="","",IF('ORDENES'!$Y1200="","-",'ORDENES'!$Y1200))</f>
        <v/>
      </c>
      <c r="G1222" s="3">
        <f>IF('ORDENES'!$A1200="","",IF('ORDENES'!$W1200="","-",'ORDENES'!$W1200))</f>
        <v/>
      </c>
      <c r="H1222" s="3">
        <f>IF('ORDENES'!$A1200="","",IF('ORDENES'!$AE1200="","-",'ORDENES'!$AE1200))</f>
        <v/>
      </c>
      <c r="I1222" s="3">
        <f>IF('ORDENES'!$A1200="","",IF('ORDENES'!$AQ1200="","-",'ORDENES'!$AQ1200))</f>
        <v/>
      </c>
      <c r="J1222" s="3">
        <f>IF('ORDENES'!$A1200="","",IF('ORDENES'!$D1200="","-",'ORDENES'!$D1200))</f>
        <v/>
      </c>
      <c r="K1222" s="3">
        <f>IF('ORDENES'!$A1200="","",IF('ORDENES'!$E1200="","-",'ORDENES'!$E1200))</f>
        <v/>
      </c>
      <c r="L1222" s="13">
        <f>IF('ORDENES'!$A1200="","",IF('ORDENES'!$M1200="",0,'ORDENES'!$M1200))</f>
        <v/>
      </c>
      <c r="M1222" s="3">
        <f>IF('ORDENES'!$A1200="","",IF('ORDENES'!$N1200="","-",'ORDENES'!$N1200))</f>
        <v/>
      </c>
      <c r="N1222" s="3">
        <f>IF('ORDENES'!$A1200="","",'ORDENES'!$AD1200)</f>
        <v/>
      </c>
    </row>
    <row r="1223">
      <c r="A1223" s="3">
        <f>IF('ORDENES'!$A1201="","",IF('ORDENES'!$O1201="","-",'ORDENES'!$O1201))</f>
        <v/>
      </c>
      <c r="B1223" s="3">
        <f>IF('ORDENES'!$A1201="","",IF('ORDENES'!$R1201="","-",'ORDENES'!$R1201))</f>
        <v/>
      </c>
      <c r="C1223" s="3">
        <f>IF('ORDENES'!$A1201="","",IF('ORDENES'!$AF1201="","-",'ORDENES'!$AF1201))</f>
        <v/>
      </c>
      <c r="D1223" s="3">
        <f>IF('ORDENES'!$A1201="","",IF('ORDENES'!$X1201="","-",'ORDENES'!$X1201))</f>
        <v/>
      </c>
      <c r="E1223" s="3">
        <f>IF('ORDENES'!$A1201="","",IF('ORDENES'!$V1201="","-",'ORDENES'!$V1201))</f>
        <v/>
      </c>
      <c r="F1223" s="3">
        <f>IF('ORDENES'!$A1201="","",IF('ORDENES'!$Y1201="","-",'ORDENES'!$Y1201))</f>
        <v/>
      </c>
      <c r="G1223" s="3">
        <f>IF('ORDENES'!$A1201="","",IF('ORDENES'!$W1201="","-",'ORDENES'!$W1201))</f>
        <v/>
      </c>
      <c r="H1223" s="3">
        <f>IF('ORDENES'!$A1201="","",IF('ORDENES'!$AE1201="","-",'ORDENES'!$AE1201))</f>
        <v/>
      </c>
      <c r="I1223" s="3">
        <f>IF('ORDENES'!$A1201="","",IF('ORDENES'!$AQ1201="","-",'ORDENES'!$AQ1201))</f>
        <v/>
      </c>
      <c r="J1223" s="3">
        <f>IF('ORDENES'!$A1201="","",IF('ORDENES'!$D1201="","-",'ORDENES'!$D1201))</f>
        <v/>
      </c>
      <c r="K1223" s="3">
        <f>IF('ORDENES'!$A1201="","",IF('ORDENES'!$E1201="","-",'ORDENES'!$E1201))</f>
        <v/>
      </c>
      <c r="L1223" s="13">
        <f>IF('ORDENES'!$A1201="","",IF('ORDENES'!$M1201="",0,'ORDENES'!$M1201))</f>
        <v/>
      </c>
      <c r="M1223" s="3">
        <f>IF('ORDENES'!$A1201="","",IF('ORDENES'!$N1201="","-",'ORDENES'!$N1201))</f>
        <v/>
      </c>
      <c r="N1223" s="3">
        <f>IF('ORDENES'!$A1201="","",'ORDENES'!$AD1201)</f>
        <v/>
      </c>
    </row>
    <row r="1224">
      <c r="A1224" s="3">
        <f>IF('ORDENES'!$A1202="","",IF('ORDENES'!$O1202="","-",'ORDENES'!$O1202))</f>
        <v/>
      </c>
      <c r="B1224" s="3">
        <f>IF('ORDENES'!$A1202="","",IF('ORDENES'!$R1202="","-",'ORDENES'!$R1202))</f>
        <v/>
      </c>
      <c r="C1224" s="3">
        <f>IF('ORDENES'!$A1202="","",IF('ORDENES'!$AF1202="","-",'ORDENES'!$AF1202))</f>
        <v/>
      </c>
      <c r="D1224" s="3">
        <f>IF('ORDENES'!$A1202="","",IF('ORDENES'!$X1202="","-",'ORDENES'!$X1202))</f>
        <v/>
      </c>
      <c r="E1224" s="3">
        <f>IF('ORDENES'!$A1202="","",IF('ORDENES'!$V1202="","-",'ORDENES'!$V1202))</f>
        <v/>
      </c>
      <c r="F1224" s="3">
        <f>IF('ORDENES'!$A1202="","",IF('ORDENES'!$Y1202="","-",'ORDENES'!$Y1202))</f>
        <v/>
      </c>
      <c r="G1224" s="3">
        <f>IF('ORDENES'!$A1202="","",IF('ORDENES'!$W1202="","-",'ORDENES'!$W1202))</f>
        <v/>
      </c>
      <c r="H1224" s="3">
        <f>IF('ORDENES'!$A1202="","",IF('ORDENES'!$AE1202="","-",'ORDENES'!$AE1202))</f>
        <v/>
      </c>
      <c r="I1224" s="3">
        <f>IF('ORDENES'!$A1202="","",IF('ORDENES'!$AQ1202="","-",'ORDENES'!$AQ1202))</f>
        <v/>
      </c>
      <c r="J1224" s="3">
        <f>IF('ORDENES'!$A1202="","",IF('ORDENES'!$D1202="","-",'ORDENES'!$D1202))</f>
        <v/>
      </c>
      <c r="K1224" s="3">
        <f>IF('ORDENES'!$A1202="","",IF('ORDENES'!$E1202="","-",'ORDENES'!$E1202))</f>
        <v/>
      </c>
      <c r="L1224" s="13">
        <f>IF('ORDENES'!$A1202="","",IF('ORDENES'!$M1202="",0,'ORDENES'!$M1202))</f>
        <v/>
      </c>
      <c r="M1224" s="3">
        <f>IF('ORDENES'!$A1202="","",IF('ORDENES'!$N1202="","-",'ORDENES'!$N1202))</f>
        <v/>
      </c>
      <c r="N1224" s="3">
        <f>IF('ORDENES'!$A1202="","",'ORDENES'!$AD1202)</f>
        <v/>
      </c>
    </row>
    <row r="1225">
      <c r="A1225" s="3">
        <f>IF('ORDENES'!$A1203="","",IF('ORDENES'!$O1203="","-",'ORDENES'!$O1203))</f>
        <v/>
      </c>
      <c r="B1225" s="3">
        <f>IF('ORDENES'!$A1203="","",IF('ORDENES'!$R1203="","-",'ORDENES'!$R1203))</f>
        <v/>
      </c>
      <c r="C1225" s="3">
        <f>IF('ORDENES'!$A1203="","",IF('ORDENES'!$AF1203="","-",'ORDENES'!$AF1203))</f>
        <v/>
      </c>
      <c r="D1225" s="3">
        <f>IF('ORDENES'!$A1203="","",IF('ORDENES'!$X1203="","-",'ORDENES'!$X1203))</f>
        <v/>
      </c>
      <c r="E1225" s="3">
        <f>IF('ORDENES'!$A1203="","",IF('ORDENES'!$V1203="","-",'ORDENES'!$V1203))</f>
        <v/>
      </c>
      <c r="F1225" s="3">
        <f>IF('ORDENES'!$A1203="","",IF('ORDENES'!$Y1203="","-",'ORDENES'!$Y1203))</f>
        <v/>
      </c>
      <c r="G1225" s="3">
        <f>IF('ORDENES'!$A1203="","",IF('ORDENES'!$W1203="","-",'ORDENES'!$W1203))</f>
        <v/>
      </c>
      <c r="H1225" s="3">
        <f>IF('ORDENES'!$A1203="","",IF('ORDENES'!$AE1203="","-",'ORDENES'!$AE1203))</f>
        <v/>
      </c>
      <c r="I1225" s="3">
        <f>IF('ORDENES'!$A1203="","",IF('ORDENES'!$AQ1203="","-",'ORDENES'!$AQ1203))</f>
        <v/>
      </c>
      <c r="J1225" s="3">
        <f>IF('ORDENES'!$A1203="","",IF('ORDENES'!$D1203="","-",'ORDENES'!$D1203))</f>
        <v/>
      </c>
      <c r="K1225" s="3">
        <f>IF('ORDENES'!$A1203="","",IF('ORDENES'!$E1203="","-",'ORDENES'!$E1203))</f>
        <v/>
      </c>
      <c r="L1225" s="13">
        <f>IF('ORDENES'!$A1203="","",IF('ORDENES'!$M1203="",0,'ORDENES'!$M1203))</f>
        <v/>
      </c>
      <c r="M1225" s="3">
        <f>IF('ORDENES'!$A1203="","",IF('ORDENES'!$N1203="","-",'ORDENES'!$N1203))</f>
        <v/>
      </c>
      <c r="N1225" s="3">
        <f>IF('ORDENES'!$A1203="","",'ORDENES'!$AD1203)</f>
        <v/>
      </c>
    </row>
  </sheetData>
  <autoFilter ref="A25:N1225"/>
  <dataValidations count="7">
    <dataValidation sqref="B3" showDropDown="0" showInputMessage="0" showErrorMessage="0" allowBlank="0" type="list">
      <formula1>"(todos),2026-S30,2026-S31,2026-S32,2026-S33"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"(todos),MEC,ELE,AUT,TERCERO"</formula1>
    </dataValidation>
    <dataValidation sqref="N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I117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COUNTIFS(tblOrdenes[semana],$A5,tblOrdenes[es_habil],"sí")</f>
        <v/>
      </c>
      <c r="C5" s="3">
        <f>COUNTIFS(tblOrdenes[semana],$A5,tblOrdenes[estado],"Cerrada",tblOrdenes[es_habil],"sí")</f>
        <v/>
      </c>
      <c r="D5" s="18">
        <f>IF(B5=0,"",C5/B5)</f>
        <v/>
      </c>
      <c r="E5" s="17">
        <f>SUMIFS(tblOrdenes[horas_efectivas],tblOrdenes[semana],$A5,tblOrdenes[es_habil],"sí")</f>
        <v/>
      </c>
      <c r="F5" s="17">
        <f>SUMIFS(tblOrdenes[horas_efectivas],tblOrdenes[semana],$A5,tblOrdenes[estado],"Cerrada",tblOrdenes[es_habil],"sí")</f>
        <v/>
      </c>
      <c r="G5" s="18">
        <f>IF(E5=0,"",F5/E5)</f>
        <v/>
      </c>
      <c r="H5" s="20">
        <f>p_meta_adherencia</f>
        <v/>
      </c>
    </row>
    <row r="6" hidden="1">
      <c r="A6" s="3">
        <f>'PERFIL_HH'!$O$5</f>
        <v/>
      </c>
      <c r="B6" s="3">
        <f>COUNTIFS(tblOrdenes[semana],$A6,tblOrdenes[es_habil],"sí")</f>
        <v/>
      </c>
      <c r="C6" s="3">
        <f>COUNTIFS(tblOrdenes[semana],$A6,tblOrdenes[estado],"Cerrada",tblOrdenes[es_habil],"sí")</f>
        <v/>
      </c>
      <c r="D6" s="18">
        <f>IF(B6=0,"",C6/B6)</f>
        <v/>
      </c>
      <c r="E6" s="17">
        <f>SUMIFS(tblOrdenes[horas_efectivas],tblOrdenes[semana],$A6,tblOrdenes[es_habil],"sí")</f>
        <v/>
      </c>
      <c r="F6" s="17">
        <f>SUMIFS(tblOrdenes[horas_efectivas],tblOrdenes[semana],$A6,tblOrdenes[estado],"Cerrada",tblOrdenes[es_habil],"sí")</f>
        <v/>
      </c>
      <c r="G6" s="18">
        <f>IF(E6=0,"",F6/E6)</f>
        <v/>
      </c>
      <c r="H6" s="20">
        <f>p_meta_adherencia</f>
        <v/>
      </c>
    </row>
    <row r="7">
      <c r="A7" s="3">
        <f>'PERFIL_HH'!$O$6</f>
        <v/>
      </c>
      <c r="B7" s="3">
        <f>COUNTIFS(tblOrdenes[semana],$A7,tblOrdenes[es_habil],"sí")</f>
        <v/>
      </c>
      <c r="C7" s="3">
        <f>COUNTIFS(tblOrdenes[semana],$A7,tblOrdenes[estado],"Cerrada",tblOrdenes[es_habil],"sí")</f>
        <v/>
      </c>
      <c r="D7" s="18">
        <f>IF(B7=0,"",C7/B7)</f>
        <v/>
      </c>
      <c r="E7" s="17">
        <f>SUMIFS(tblOrdenes[horas_efectivas],tblOrdenes[semana],$A7,tblOrdenes[es_habil],"sí")</f>
        <v/>
      </c>
      <c r="F7" s="17">
        <f>SUMIFS(tblOrdenes[horas_efectivas],tblOrdenes[semana],$A7,tblOrdenes[estado],"Cerrada",tblOrdenes[es_habil],"sí")</f>
        <v/>
      </c>
      <c r="G7" s="18">
        <f>IF(E7=0,"",F7/E7)</f>
        <v/>
      </c>
      <c r="H7" s="20">
        <f>p_meta_adherencia</f>
        <v/>
      </c>
    </row>
    <row r="8">
      <c r="A8" s="3">
        <f>'PERFIL_HH'!$O$7</f>
        <v/>
      </c>
      <c r="B8" s="3">
        <f>COUNTIFS(tblOrdenes[semana],$A8,tblOrdenes[es_habil],"sí")</f>
        <v/>
      </c>
      <c r="C8" s="3">
        <f>COUNTIFS(tblOrdenes[semana],$A8,tblOrdenes[estado],"Cerrada",tblOrdenes[es_habil],"sí")</f>
        <v/>
      </c>
      <c r="D8" s="18">
        <f>IF(B8=0,"",C8/B8)</f>
        <v/>
      </c>
      <c r="E8" s="17">
        <f>SUMIFS(tblOrdenes[horas_efectivas],tblOrdenes[semana],$A8,tblOrdenes[es_habil],"sí")</f>
        <v/>
      </c>
      <c r="F8" s="17">
        <f>SUMIFS(tblOrdenes[horas_efectivas],tblOrdenes[semana],$A8,tblOrdenes[estado],"Cerrada",tblOrdenes[es_habil],"sí")</f>
        <v/>
      </c>
      <c r="G8" s="18">
        <f>IF(E8=0,"",F8/E8)</f>
        <v/>
      </c>
      <c r="H8" s="20">
        <f>p_meta_adherencia</f>
        <v/>
      </c>
    </row>
    <row r="9">
      <c r="A9" s="3">
        <f>'PERFIL_HH'!$O$8</f>
        <v/>
      </c>
      <c r="B9" s="3">
        <f>COUNTIFS(tblOrdenes[semana],$A9,tblOrdenes[es_habil],"sí")</f>
        <v/>
      </c>
      <c r="C9" s="3">
        <f>COUNTIFS(tblOrdenes[semana],$A9,tblOrdenes[estado],"Cerrada",tblOrdenes[es_habil],"sí")</f>
        <v/>
      </c>
      <c r="D9" s="18">
        <f>IF(B9=0,"",C9/B9)</f>
        <v/>
      </c>
      <c r="E9" s="17">
        <f>SUMIFS(tblOrdenes[horas_efectivas],tblOrdenes[semana],$A9,tblOrdenes[es_habil],"sí")</f>
        <v/>
      </c>
      <c r="F9" s="17">
        <f>SUMIFS(tblOrdenes[horas_efectivas],tblOrdenes[semana],$A9,tblOrdenes[estado],"Cerrada",tblOrdenes[es_habil],"sí")</f>
        <v/>
      </c>
      <c r="G9" s="18">
        <f>IF(E9=0,"",F9/E9)</f>
        <v/>
      </c>
      <c r="H9" s="20">
        <f>p_meta_adherencia</f>
        <v/>
      </c>
    </row>
    <row r="10">
      <c r="A10" s="3">
        <f>'PERFIL_HH'!$O$9</f>
        <v/>
      </c>
      <c r="B10" s="3">
        <f>COUNTIFS(tblOrdenes[semana],$A10,tblOrdenes[es_habil],"sí")</f>
        <v/>
      </c>
      <c r="C10" s="3">
        <f>COUNTIFS(tblOrdenes[semana],$A10,tblOrdenes[estado],"Cerrada",tblOrdenes[es_habil],"sí")</f>
        <v/>
      </c>
      <c r="D10" s="18">
        <f>IF(B10=0,"",C10/B10)</f>
        <v/>
      </c>
      <c r="E10" s="17">
        <f>SUMIFS(tblOrdenes[horas_efectivas],tblOrdenes[semana],$A10,tblOrdenes[es_habil],"sí")</f>
        <v/>
      </c>
      <c r="F10" s="17">
        <f>SUMIFS(tblOrdenes[horas_efectivas],tblOrdenes[semana],$A10,tblOrdenes[estado],"Cerrada",tblOrdenes[es_habil],"sí")</f>
        <v/>
      </c>
      <c r="G10" s="18">
        <f>IF(E10=0,"",F10/E10)</f>
        <v/>
      </c>
      <c r="H10" s="20">
        <f>p_meta_adherencia</f>
        <v/>
      </c>
    </row>
    <row r="11">
      <c r="A11" s="3">
        <f>'PERFIL_HH'!$O$10</f>
        <v/>
      </c>
      <c r="B11" s="3">
        <f>COUNTIFS(tblOrdenes[semana],$A11,tblOrdenes[es_habil],"sí")</f>
        <v/>
      </c>
      <c r="C11" s="3">
        <f>COUNTIFS(tblOrdenes[semana],$A11,tblOrdenes[estado],"Cerrada",tblOrdenes[es_habil],"sí")</f>
        <v/>
      </c>
      <c r="D11" s="18">
        <f>IF(B11=0,"",C11/B11)</f>
        <v/>
      </c>
      <c r="E11" s="17">
        <f>SUMIFS(tblOrdenes[horas_efectivas],tblOrdenes[semana],$A11,tblOrdenes[es_habil],"sí")</f>
        <v/>
      </c>
      <c r="F11" s="17">
        <f>SUMIFS(tblOrdenes[horas_efectivas],tblOrdenes[semana],$A11,tblOrdenes[estado],"Cerrada",tblOrdenes[es_habil],"sí")</f>
        <v/>
      </c>
      <c r="G11" s="18">
        <f>IF(E11=0,"",F11/E11)</f>
        <v/>
      </c>
      <c r="H11" s="20">
        <f>p_meta_adherencia</f>
        <v/>
      </c>
    </row>
    <row r="12">
      <c r="A12" s="3">
        <f>'PERFIL_HH'!$O$11</f>
        <v/>
      </c>
      <c r="B12" s="3">
        <f>COUNTIFS(tblOrdenes[semana],$A12,tblOrdenes[es_habil],"sí")</f>
        <v/>
      </c>
      <c r="C12" s="3">
        <f>COUNTIFS(tblOrdenes[semana],$A12,tblOrdenes[estado],"Cerrada",tblOrdenes[es_habil],"sí")</f>
        <v/>
      </c>
      <c r="D12" s="18">
        <f>IF(B12=0,"",C12/B12)</f>
        <v/>
      </c>
      <c r="E12" s="17">
        <f>SUMIFS(tblOrdenes[horas_efectivas],tblOrdenes[semana],$A12,tblOrdenes[es_habil],"sí")</f>
        <v/>
      </c>
      <c r="F12" s="17">
        <f>SUMIFS(tblOrdenes[horas_efectivas],tblOrdenes[semana],$A12,tblOrdenes[estado],"Cerrada",tblOrdenes[es_habil],"sí")</f>
        <v/>
      </c>
      <c r="G12" s="18">
        <f>IF(E12=0,"",F12/E12)</f>
        <v/>
      </c>
      <c r="H12" s="20">
        <f>p_meta_adherencia</f>
        <v/>
      </c>
    </row>
    <row r="13">
      <c r="A13" s="3">
        <f>'PERFIL_HH'!$O$12</f>
        <v/>
      </c>
      <c r="B13" s="3">
        <f>COUNTIFS(tblOrdenes[semana],$A13,tblOrdenes[es_habil],"sí")</f>
        <v/>
      </c>
      <c r="C13" s="3">
        <f>COUNTIFS(tblOrdenes[semana],$A13,tblOrdenes[estado],"Cerrada",tblOrdenes[es_habil],"sí")</f>
        <v/>
      </c>
      <c r="D13" s="18">
        <f>IF(B13=0,"",C13/B13)</f>
        <v/>
      </c>
      <c r="E13" s="17">
        <f>SUMIFS(tblOrdenes[horas_efectivas],tblOrdenes[semana],$A13,tblOrdenes[es_habil],"sí")</f>
        <v/>
      </c>
      <c r="F13" s="17">
        <f>SUMIFS(tblOrdenes[horas_efectivas],tblOrdenes[semana],$A13,tblOrdenes[estado],"Cerrada",tblOrdenes[es_habil],"sí")</f>
        <v/>
      </c>
      <c r="G13" s="18">
        <f>IF(E13=0,"",F13/E13)</f>
        <v/>
      </c>
      <c r="H13" s="20">
        <f>p_meta_adherencia</f>
        <v/>
      </c>
    </row>
    <row r="14">
      <c r="A14" s="3">
        <f>'PERFIL_HH'!$O$13</f>
        <v/>
      </c>
      <c r="B14" s="3">
        <f>COUNTIFS(tblOrdenes[semana],$A14,tblOrdenes[es_habil],"sí")</f>
        <v/>
      </c>
      <c r="C14" s="3">
        <f>COUNTIFS(tblOrdenes[semana],$A14,tblOrdenes[estado],"Cerrada",tblOrdenes[es_habil],"sí")</f>
        <v/>
      </c>
      <c r="D14" s="18">
        <f>IF(B14=0,"",C14/B14)</f>
        <v/>
      </c>
      <c r="E14" s="17">
        <f>SUMIFS(tblOrdenes[horas_efectivas],tblOrdenes[semana],$A14,tblOrdenes[es_habil],"sí")</f>
        <v/>
      </c>
      <c r="F14" s="17">
        <f>SUMIFS(tblOrdenes[horas_efectivas],tblOrdenes[semana],$A14,tblOrdenes[estado],"Cerrada",tblOrdenes[es_habil],"sí")</f>
        <v/>
      </c>
      <c r="G14" s="18">
        <f>IF(E14=0,"",F14/E14)</f>
        <v/>
      </c>
      <c r="H14" s="20">
        <f>p_meta_adherencia</f>
        <v/>
      </c>
    </row>
    <row r="15">
      <c r="A15" s="3">
        <f>'PERFIL_HH'!$O$14</f>
        <v/>
      </c>
      <c r="B15" s="3">
        <f>COUNTIFS(tblOrdenes[semana],$A15,tblOrdenes[es_habil],"sí")</f>
        <v/>
      </c>
      <c r="C15" s="3">
        <f>COUNTIFS(tblOrdenes[semana],$A15,tblOrdenes[estado],"Cerrada",tblOrdenes[es_habil],"sí")</f>
        <v/>
      </c>
      <c r="D15" s="18">
        <f>IF(B15=0,"",C15/B15)</f>
        <v/>
      </c>
      <c r="E15" s="17">
        <f>SUMIFS(tblOrdenes[horas_efectivas],tblOrdenes[semana],$A15,tblOrdenes[es_habil],"sí")</f>
        <v/>
      </c>
      <c r="F15" s="17">
        <f>SUMIFS(tblOrdenes[horas_efectivas],tblOrdenes[semana],$A15,tblOrdenes[estado],"Cerrada",tblOrdenes[es_habil],"sí")</f>
        <v/>
      </c>
      <c r="G15" s="18">
        <f>IF(E15=0,"",F15/E15)</f>
        <v/>
      </c>
      <c r="H15" s="20">
        <f>p_meta_adherencia</f>
        <v/>
      </c>
    </row>
    <row r="16">
      <c r="A16" s="3">
        <f>'PERFIL_HH'!$O$15</f>
        <v/>
      </c>
      <c r="B16" s="3">
        <f>COUNTIFS(tblOrdenes[semana],$A16,tblOrdenes[es_habil],"sí")</f>
        <v/>
      </c>
      <c r="C16" s="3">
        <f>COUNTIFS(tblOrdenes[semana],$A16,tblOrdenes[estado],"Cerrada",tblOrdenes[es_habil],"sí")</f>
        <v/>
      </c>
      <c r="D16" s="18">
        <f>IF(B16=0,"",C16/B16)</f>
        <v/>
      </c>
      <c r="E16" s="17">
        <f>SUMIFS(tblOrdenes[horas_efectivas],tblOrdenes[semana],$A16,tblOrdenes[es_habil],"sí")</f>
        <v/>
      </c>
      <c r="F16" s="17">
        <f>SUMIFS(tblOrdenes[horas_efectivas],tblOrdenes[semana],$A16,tblOrdenes[estado],"Cerrada",tblOrdenes[es_habil],"sí")</f>
        <v/>
      </c>
      <c r="G16" s="18">
        <f>IF(E16=0,"",F16/E16)</f>
        <v/>
      </c>
      <c r="H16" s="20">
        <f>p_meta_adherencia</f>
        <v/>
      </c>
    </row>
    <row r="17">
      <c r="A17" s="3">
        <f>'PERFIL_HH'!$O$16</f>
        <v/>
      </c>
      <c r="B17" s="3">
        <f>COUNTIFS(tblOrdenes[semana],$A17,tblOrdenes[es_habil],"sí")</f>
        <v/>
      </c>
      <c r="C17" s="3">
        <f>COUNTIFS(tblOrdenes[semana],$A17,tblOrdenes[estado],"Cerrada",tblOrdenes[es_habil],"sí")</f>
        <v/>
      </c>
      <c r="D17" s="18">
        <f>IF(B17=0,"",C17/B17)</f>
        <v/>
      </c>
      <c r="E17" s="17">
        <f>SUMIFS(tblOrdenes[horas_efectivas],tblOrdenes[semana],$A17,tblOrdenes[es_habil],"sí")</f>
        <v/>
      </c>
      <c r="F17" s="17">
        <f>SUMIFS(tblOrdenes[horas_efectivas],tblOrdenes[semana],$A17,tblOrdenes[estado],"Cerrada",tblOrdenes[es_habil],"sí")</f>
        <v/>
      </c>
      <c r="G17" s="18">
        <f>IF(E17=0,"",F17/E17)</f>
        <v/>
      </c>
      <c r="H17" s="20">
        <f>p_meta_adherencia</f>
        <v/>
      </c>
    </row>
    <row r="18">
      <c r="A18" s="3">
        <f>'PERFIL_HH'!$O$17</f>
        <v/>
      </c>
      <c r="B18" s="3">
        <f>COUNTIFS(tblOrdenes[semana],$A18,tblOrdenes[es_habil],"sí")</f>
        <v/>
      </c>
      <c r="C18" s="3">
        <f>COUNTIFS(tblOrdenes[semana],$A18,tblOrdenes[estado],"Cerrada",tblOrdenes[es_habil],"sí")</f>
        <v/>
      </c>
      <c r="D18" s="18">
        <f>IF(B18=0,"",C18/B18)</f>
        <v/>
      </c>
      <c r="E18" s="17">
        <f>SUMIFS(tblOrdenes[horas_efectivas],tblOrdenes[semana],$A18,tblOrdenes[es_habil],"sí")</f>
        <v/>
      </c>
      <c r="F18" s="17">
        <f>SUMIFS(tblOrdenes[horas_efectivas],tblOrdenes[semana],$A18,tblOrdenes[estado],"Cerrada",tblOrdenes[es_habil],"sí")</f>
        <v/>
      </c>
      <c r="G18" s="18">
        <f>IF(E18=0,"",F18/E18)</f>
        <v/>
      </c>
      <c r="H18" s="20">
        <f>p_meta_adherencia</f>
        <v/>
      </c>
    </row>
    <row r="19">
      <c r="A19" s="3">
        <f>'PERFIL_HH'!$O$18</f>
        <v/>
      </c>
      <c r="B19" s="3">
        <f>COUNTIFS(tblOrdenes[semana],$A19,tblOrdenes[es_habil],"sí")</f>
        <v/>
      </c>
      <c r="C19" s="3">
        <f>COUNTIFS(tblOrdenes[semana],$A19,tblOrdenes[estado],"Cerrada",tblOrdenes[es_habil],"sí")</f>
        <v/>
      </c>
      <c r="D19" s="18">
        <f>IF(B19=0,"",C19/B19)</f>
        <v/>
      </c>
      <c r="E19" s="17">
        <f>SUMIFS(tblOrdenes[horas_efectivas],tblOrdenes[semana],$A19,tblOrdenes[es_habil],"sí")</f>
        <v/>
      </c>
      <c r="F19" s="17">
        <f>SUMIFS(tblOrdenes[horas_efectivas],tblOrdenes[semana],$A19,tblOrdenes[estado],"Cerrada",tblOrdenes[es_habil],"sí")</f>
        <v/>
      </c>
      <c r="G19" s="18">
        <f>IF(E19=0,"",F19/E19)</f>
        <v/>
      </c>
      <c r="H19" s="20">
        <f>p_meta_adherencia</f>
        <v/>
      </c>
    </row>
    <row r="20">
      <c r="A20" s="3">
        <f>'PERFIL_HH'!$O$19</f>
        <v/>
      </c>
      <c r="B20" s="3">
        <f>COUNTIFS(tblOrdenes[semana],$A20,tblOrdenes[es_habil],"sí")</f>
        <v/>
      </c>
      <c r="C20" s="3">
        <f>COUNTIFS(tblOrdenes[semana],$A20,tblOrdenes[estado],"Cerrada",tblOrdenes[es_habil],"sí")</f>
        <v/>
      </c>
      <c r="D20" s="18">
        <f>IF(B20=0,"",C20/B20)</f>
        <v/>
      </c>
      <c r="E20" s="17">
        <f>SUMIFS(tblOrdenes[horas_efectivas],tblOrdenes[semana],$A20,tblOrdenes[es_habil],"sí")</f>
        <v/>
      </c>
      <c r="F20" s="17">
        <f>SUMIFS(tblOrdenes[horas_efectivas],tblOrdenes[semana],$A20,tblOrdenes[estado],"Cerrada",tblOrdenes[es_habil],"sí")</f>
        <v/>
      </c>
      <c r="G20" s="18">
        <f>IF(E20=0,"",F20/E20)</f>
        <v/>
      </c>
      <c r="H20" s="20">
        <f>p_meta_adherencia</f>
        <v/>
      </c>
    </row>
    <row r="21">
      <c r="A21" s="3">
        <f>'PERFIL_HH'!$O$20</f>
        <v/>
      </c>
      <c r="B21" s="3">
        <f>COUNTIFS(tblOrdenes[semana],$A21,tblOrdenes[es_habil],"sí")</f>
        <v/>
      </c>
      <c r="C21" s="3">
        <f>COUNTIFS(tblOrdenes[semana],$A21,tblOrdenes[estado],"Cerrada",tblOrdenes[es_habil],"sí")</f>
        <v/>
      </c>
      <c r="D21" s="18">
        <f>IF(B21=0,"",C21/B21)</f>
        <v/>
      </c>
      <c r="E21" s="17">
        <f>SUMIFS(tblOrdenes[horas_efectivas],tblOrdenes[semana],$A21,tblOrdenes[es_habil],"sí")</f>
        <v/>
      </c>
      <c r="F21" s="17">
        <f>SUMIFS(tblOrdenes[horas_efectivas],tblOrdenes[semana],$A21,tblOrdenes[estado],"Cerrada",tblOrdenes[es_habil],"sí")</f>
        <v/>
      </c>
      <c r="G21" s="18">
        <f>IF(E21=0,"",F21/E21)</f>
        <v/>
      </c>
      <c r="H21" s="20">
        <f>p_meta_adherencia</f>
        <v/>
      </c>
    </row>
    <row r="22">
      <c r="A22" s="3">
        <f>'PERFIL_HH'!$O$21</f>
        <v/>
      </c>
      <c r="B22" s="3">
        <f>COUNTIFS(tblOrdenes[semana],$A22,tblOrdenes[es_habil],"sí")</f>
        <v/>
      </c>
      <c r="C22" s="3">
        <f>COUNTIFS(tblOrdenes[semana],$A22,tblOrdenes[estado],"Cerrada",tblOrdenes[es_habil],"sí")</f>
        <v/>
      </c>
      <c r="D22" s="18">
        <f>IF(B22=0,"",C22/B22)</f>
        <v/>
      </c>
      <c r="E22" s="17">
        <f>SUMIFS(tblOrdenes[horas_efectivas],tblOrdenes[semana],$A22,tblOrdenes[es_habil],"sí")</f>
        <v/>
      </c>
      <c r="F22" s="17">
        <f>SUMIFS(tblOrdenes[horas_efectivas],tblOrdenes[semana],$A22,tblOrdenes[estado],"Cerrada",tblOrdenes[es_habil],"sí")</f>
        <v/>
      </c>
      <c r="G22" s="18">
        <f>IF(E22=0,"",F22/E22)</f>
        <v/>
      </c>
      <c r="H22" s="20">
        <f>p_meta_adherencia</f>
        <v/>
      </c>
    </row>
    <row r="23" hidden="1">
      <c r="A23" s="3">
        <f>'PERFIL_HH'!$O$22</f>
        <v/>
      </c>
      <c r="B23" s="3">
        <f>COUNTIFS(tblOrdenes[semana],$A23,tblOrdenes[es_habil],"sí")</f>
        <v/>
      </c>
      <c r="C23" s="3">
        <f>COUNTIFS(tblOrdenes[semana],$A23,tblOrdenes[estado],"Cerrada",tblOrdenes[es_habil],"sí")</f>
        <v/>
      </c>
      <c r="D23" s="18">
        <f>IF(B23=0,"",C23/B23)</f>
        <v/>
      </c>
      <c r="E23" s="17">
        <f>SUMIFS(tblOrdenes[horas_efectivas],tblOrdenes[semana],$A23,tblOrdenes[es_habil],"sí")</f>
        <v/>
      </c>
      <c r="F23" s="17">
        <f>SUMIFS(tblOrdenes[horas_efectivas],tblOrdenes[semana],$A23,tblOrdenes[estado],"Cerrada",tblOrdenes[es_habil],"sí")</f>
        <v/>
      </c>
      <c r="G23" s="18">
        <f>IF(E23=0,"",F23/E23)</f>
        <v/>
      </c>
      <c r="H23" s="20">
        <f>p_meta_adherencia</f>
        <v/>
      </c>
    </row>
    <row r="24" hidden="1">
      <c r="A24" s="3">
        <f>'PERFIL_HH'!$O$23</f>
        <v/>
      </c>
      <c r="B24" s="3">
        <f>COUNTIFS(tblOrdenes[semana],$A24,tblOrdenes[es_habil],"sí")</f>
        <v/>
      </c>
      <c r="C24" s="3">
        <f>COUNTIFS(tblOrdenes[semana],$A24,tblOrdenes[estado],"Cerrada",tblOrdenes[es_habil],"sí")</f>
        <v/>
      </c>
      <c r="D24" s="18">
        <f>IF(B24=0,"",C24/B24)</f>
        <v/>
      </c>
      <c r="E24" s="17">
        <f>SUMIFS(tblOrdenes[horas_efectivas],tblOrdenes[semana],$A24,tblOrdenes[es_habil],"sí")</f>
        <v/>
      </c>
      <c r="F24" s="17">
        <f>SUMIFS(tblOrdenes[horas_efectivas],tblOrdenes[semana],$A24,tblOrdenes[estado],"Cerrada",tblOrdenes[es_habil],"sí")</f>
        <v/>
      </c>
      <c r="G24" s="18">
        <f>IF(E24=0,"",F24/E24)</f>
        <v/>
      </c>
      <c r="H24" s="20">
        <f>p_meta_adherencia</f>
        <v/>
      </c>
    </row>
    <row r="25" hidden="1">
      <c r="A25" s="3">
        <f>'PERFIL_HH'!$O$24</f>
        <v/>
      </c>
      <c r="B25" s="3">
        <f>COUNTIFS(tblOrdenes[semana],$A25,tblOrdenes[es_habil],"sí")</f>
        <v/>
      </c>
      <c r="C25" s="3">
        <f>COUNTIFS(tblOrdenes[semana],$A25,tblOrdenes[estado],"Cerrada",tblOrdenes[es_habil],"sí")</f>
        <v/>
      </c>
      <c r="D25" s="18">
        <f>IF(B25=0,"",C25/B25)</f>
        <v/>
      </c>
      <c r="E25" s="17">
        <f>SUMIFS(tblOrdenes[horas_efectivas],tblOrdenes[semana],$A25,tblOrdenes[es_habil],"sí")</f>
        <v/>
      </c>
      <c r="F25" s="17">
        <f>SUMIFS(tblOrdenes[horas_efectivas],tblOrdenes[semana],$A25,tblOrdenes[estado],"Cerrada",tblOrdenes[es_habil],"sí")</f>
        <v/>
      </c>
      <c r="G25" s="18">
        <f>IF(E25=0,"",F25/E25)</f>
        <v/>
      </c>
      <c r="H25" s="20">
        <f>p_meta_adherencia</f>
        <v/>
      </c>
    </row>
    <row r="26">
      <c r="A26" s="3">
        <f>'PERFIL_HH'!$O$25</f>
        <v/>
      </c>
      <c r="B26" s="3">
        <f>COUNTIFS(tblOrdenes[semana],$A26,tblOrdenes[es_habil],"sí")</f>
        <v/>
      </c>
      <c r="C26" s="3">
        <f>COUNTIFS(tblOrdenes[semana],$A26,tblOrdenes[estado],"Cerrada",tblOrdenes[es_habil],"sí")</f>
        <v/>
      </c>
      <c r="D26" s="18">
        <f>IF(B26=0,"",C26/B26)</f>
        <v/>
      </c>
      <c r="E26" s="17">
        <f>SUMIFS(tblOrdenes[horas_efectivas],tblOrdenes[semana],$A26,tblOrdenes[es_habil],"sí")</f>
        <v/>
      </c>
      <c r="F26" s="17">
        <f>SUMIFS(tblOrdenes[horas_efectivas],tblOrdenes[semana],$A26,tblOrdenes[estado],"Cerrada",tblOrdenes[es_habil],"sí")</f>
        <v/>
      </c>
      <c r="G26" s="18">
        <f>IF(E26=0,"",F26/E26)</f>
        <v/>
      </c>
      <c r="H26" s="20">
        <f>p_meta_adherencia</f>
        <v/>
      </c>
    </row>
    <row r="27">
      <c r="A27" s="3">
        <f>'PERFIL_HH'!$O$26</f>
        <v/>
      </c>
      <c r="B27" s="3">
        <f>COUNTIFS(tblOrdenes[semana],$A27,tblOrdenes[es_habil],"sí")</f>
        <v/>
      </c>
      <c r="C27" s="3">
        <f>COUNTIFS(tblOrdenes[semana],$A27,tblOrdenes[estado],"Cerrada",tblOrdenes[es_habil],"sí")</f>
        <v/>
      </c>
      <c r="D27" s="18">
        <f>IF(B27=0,"",C27/B27)</f>
        <v/>
      </c>
      <c r="E27" s="17">
        <f>SUMIFS(tblOrdenes[horas_efectivas],tblOrdenes[semana],$A27,tblOrdenes[es_habil],"sí")</f>
        <v/>
      </c>
      <c r="F27" s="17">
        <f>SUMIFS(tblOrdenes[horas_efectivas],tblOrdenes[semana],$A27,tblOrdenes[estado],"Cerrada",tblOrdenes[es_habil],"sí")</f>
        <v/>
      </c>
      <c r="G27" s="18">
        <f>IF(E27=0,"",F27/E27)</f>
        <v/>
      </c>
      <c r="H27" s="20">
        <f>p_meta_adherencia</f>
        <v/>
      </c>
    </row>
    <row r="28">
      <c r="A28" s="3">
        <f>'PERFIL_HH'!$O$27</f>
        <v/>
      </c>
      <c r="B28" s="3">
        <f>COUNTIFS(tblOrdenes[semana],$A28,tblOrdenes[es_habil],"sí")</f>
        <v/>
      </c>
      <c r="C28" s="3">
        <f>COUNTIFS(tblOrdenes[semana],$A28,tblOrdenes[estado],"Cerrada",tblOrdenes[es_habil],"sí")</f>
        <v/>
      </c>
      <c r="D28" s="18">
        <f>IF(B28=0,"",C28/B28)</f>
        <v/>
      </c>
      <c r="E28" s="17">
        <f>SUMIFS(tblOrdenes[horas_efectivas],tblOrdenes[semana],$A28,tblOrdenes[es_habil],"sí")</f>
        <v/>
      </c>
      <c r="F28" s="17">
        <f>SUMIFS(tblOrdenes[horas_efectivas],tblOrdenes[semana],$A28,tblOrdenes[estado],"Cerrada",tblOrdenes[es_habil],"sí")</f>
        <v/>
      </c>
      <c r="G28" s="18">
        <f>IF(E28=0,"",F28/E28)</f>
        <v/>
      </c>
      <c r="H28" s="20">
        <f>p_meta_adherencia</f>
        <v/>
      </c>
    </row>
    <row r="29">
      <c r="A29" s="3">
        <f>'PERFIL_HH'!$O$28</f>
        <v/>
      </c>
      <c r="B29" s="3">
        <f>COUNTIFS(tblOrdenes[semana],$A29,tblOrdenes[es_habil],"sí")</f>
        <v/>
      </c>
      <c r="C29" s="3">
        <f>COUNTIFS(tblOrdenes[semana],$A29,tblOrdenes[estado],"Cerrada",tblOrdenes[es_habil],"sí")</f>
        <v/>
      </c>
      <c r="D29" s="18">
        <f>IF(B29=0,"",C29/B29)</f>
        <v/>
      </c>
      <c r="E29" s="17">
        <f>SUMIFS(tblOrdenes[horas_efectivas],tblOrdenes[semana],$A29,tblOrdenes[es_habil],"sí")</f>
        <v/>
      </c>
      <c r="F29" s="17">
        <f>SUMIFS(tblOrdenes[horas_efectivas],tblOrdenes[semana],$A29,tblOrdenes[estado],"Cerrada",tblOrdenes[es_habil],"sí")</f>
        <v/>
      </c>
      <c r="G29" s="18">
        <f>IF(E29=0,"",F29/E29)</f>
        <v/>
      </c>
      <c r="H29" s="20">
        <f>p_meta_adherencia</f>
        <v/>
      </c>
    </row>
    <row r="30" hidden="1">
      <c r="A30" s="3">
        <f>'PERFIL_HH'!$O$29</f>
        <v/>
      </c>
      <c r="B30" s="3">
        <f>COUNTIFS(tblOrdenes[semana],$A30,tblOrdenes[es_habil],"sí")</f>
        <v/>
      </c>
      <c r="C30" s="3">
        <f>COUNTIFS(tblOrdenes[semana],$A30,tblOrdenes[estado],"Cerrada",tblOrdenes[es_habil],"sí")</f>
        <v/>
      </c>
      <c r="D30" s="18">
        <f>IF(B30=0,"",C30/B30)</f>
        <v/>
      </c>
      <c r="E30" s="17">
        <f>SUMIFS(tblOrdenes[horas_efectivas],tblOrdenes[semana],$A30,tblOrdenes[es_habil],"sí")</f>
        <v/>
      </c>
      <c r="F30" s="17">
        <f>SUMIFS(tblOrdenes[horas_efectivas],tblOrdenes[semana],$A30,tblOrdenes[estado],"Cerrada",tblOrdenes[es_habil],"sí")</f>
        <v/>
      </c>
      <c r="G30" s="18">
        <f>IF(E30=0,"",F30/E30)</f>
        <v/>
      </c>
      <c r="H30" s="20">
        <f>p_meta_adherencia</f>
        <v/>
      </c>
    </row>
    <row r="31" hidden="1">
      <c r="A31" s="3">
        <f>'PERFIL_HH'!$O$30</f>
        <v/>
      </c>
      <c r="B31" s="3">
        <f>COUNTIFS(tblOrdenes[semana],$A31,tblOrdenes[es_habil],"sí")</f>
        <v/>
      </c>
      <c r="C31" s="3">
        <f>COUNTIFS(tblOrdenes[semana],$A31,tblOrdenes[estado],"Cerrada",tblOrdenes[es_habil],"sí")</f>
        <v/>
      </c>
      <c r="D31" s="18">
        <f>IF(B31=0,"",C31/B31)</f>
        <v/>
      </c>
      <c r="E31" s="17">
        <f>SUMIFS(tblOrdenes[horas_efectivas],tblOrdenes[semana],$A31,tblOrdenes[es_habil],"sí")</f>
        <v/>
      </c>
      <c r="F31" s="17">
        <f>SUMIFS(tblOrdenes[horas_efectivas],tblOrdenes[semana],$A31,tblOrdenes[estado],"Cerrada",tblOrdenes[es_habil],"sí")</f>
        <v/>
      </c>
      <c r="G31" s="18">
        <f>IF(E31=0,"",F31/E31)</f>
        <v/>
      </c>
      <c r="H31" s="20">
        <f>p_meta_adherencia</f>
        <v/>
      </c>
    </row>
    <row r="32">
      <c r="A32" s="3">
        <f>'PERFIL_HH'!$O$31</f>
        <v/>
      </c>
      <c r="B32" s="3">
        <f>COUNTIFS(tblOrdenes[semana],$A32,tblOrdenes[es_habil],"sí")</f>
        <v/>
      </c>
      <c r="C32" s="3">
        <f>COUNTIFS(tblOrdenes[semana],$A32,tblOrdenes[estado],"Cerrada",tblOrdenes[es_habil],"sí")</f>
        <v/>
      </c>
      <c r="D32" s="18">
        <f>IF(B32=0,"",C32/B32)</f>
        <v/>
      </c>
      <c r="E32" s="17">
        <f>SUMIFS(tblOrdenes[horas_efectivas],tblOrdenes[semana],$A32,tblOrdenes[es_habil],"sí")</f>
        <v/>
      </c>
      <c r="F32" s="17">
        <f>SUMIFS(tblOrdenes[horas_efectivas],tblOrdenes[semana],$A32,tblOrdenes[estado],"Cerrada",tblOrdenes[es_habil],"sí")</f>
        <v/>
      </c>
      <c r="G32" s="18">
        <f>IF(E32=0,"",F32/E32)</f>
        <v/>
      </c>
      <c r="H32" s="20">
        <f>p_meta_adherencia</f>
        <v/>
      </c>
    </row>
    <row r="33" hidden="1">
      <c r="A33" s="3">
        <f>'PERFIL_HH'!$O$32</f>
        <v/>
      </c>
      <c r="B33" s="3">
        <f>COUNTIFS(tblOrdenes[semana],$A33,tblOrdenes[es_habil],"sí")</f>
        <v/>
      </c>
      <c r="C33" s="3">
        <f>COUNTIFS(tblOrdenes[semana],$A33,tblOrdenes[estado],"Cerrada",tblOrdenes[es_habil],"sí")</f>
        <v/>
      </c>
      <c r="D33" s="18">
        <f>IF(B33=0,"",C33/B33)</f>
        <v/>
      </c>
      <c r="E33" s="17">
        <f>SUMIFS(tblOrdenes[horas_efectivas],tblOrdenes[semana],$A33,tblOrdenes[es_habil],"sí")</f>
        <v/>
      </c>
      <c r="F33" s="17">
        <f>SUMIFS(tblOrdenes[horas_efectivas],tblOrdenes[semana],$A33,tblOrdenes[estado],"Cerrada",tblOrdenes[es_habil],"sí")</f>
        <v/>
      </c>
      <c r="G33" s="18">
        <f>IF(E33=0,"",F33/E33)</f>
        <v/>
      </c>
      <c r="H33" s="20">
        <f>p_meta_adherencia</f>
        <v/>
      </c>
    </row>
    <row r="34" hidden="1">
      <c r="A34" s="3">
        <f>'PERFIL_HH'!$O$33</f>
        <v/>
      </c>
      <c r="B34" s="3">
        <f>COUNTIFS(tblOrdenes[semana],$A34,tblOrdenes[es_habil],"sí")</f>
        <v/>
      </c>
      <c r="C34" s="3">
        <f>COUNTIFS(tblOrdenes[semana],$A34,tblOrdenes[estado],"Cerrada",tblOrdenes[es_habil],"sí")</f>
        <v/>
      </c>
      <c r="D34" s="18">
        <f>IF(B34=0,"",C34/B34)</f>
        <v/>
      </c>
      <c r="E34" s="17">
        <f>SUMIFS(tblOrdenes[horas_efectivas],tblOrdenes[semana],$A34,tblOrdenes[es_habil],"sí")</f>
        <v/>
      </c>
      <c r="F34" s="17">
        <f>SUMIFS(tblOrdenes[horas_efectivas],tblOrdenes[semana],$A34,tblOrdenes[estado],"Cerrada",tblOrdenes[es_habil],"sí")</f>
        <v/>
      </c>
      <c r="G34" s="18">
        <f>IF(E34=0,"",F34/E34)</f>
        <v/>
      </c>
      <c r="H34" s="20">
        <f>p_meta_adherencia</f>
        <v/>
      </c>
    </row>
    <row r="35" hidden="1">
      <c r="A35" s="3">
        <f>'PERFIL_HH'!$O$34</f>
        <v/>
      </c>
      <c r="B35" s="3">
        <f>COUNTIFS(tblOrdenes[semana],$A35,tblOrdenes[es_habil],"sí")</f>
        <v/>
      </c>
      <c r="C35" s="3">
        <f>COUNTIFS(tblOrdenes[semana],$A35,tblOrdenes[estado],"Cerrada",tblOrdenes[es_habil],"sí")</f>
        <v/>
      </c>
      <c r="D35" s="18">
        <f>IF(B35=0,"",C35/B35)</f>
        <v/>
      </c>
      <c r="E35" s="17">
        <f>SUMIFS(tblOrdenes[horas_efectivas],tblOrdenes[semana],$A35,tblOrdenes[es_habil],"sí")</f>
        <v/>
      </c>
      <c r="F35" s="17">
        <f>SUMIFS(tblOrdenes[horas_efectivas],tblOrdenes[semana],$A35,tblOrdenes[estado],"Cerrada",tblOrdenes[es_habil],"sí")</f>
        <v/>
      </c>
      <c r="G35" s="18">
        <f>IF(E35=0,"",F35/E35)</f>
        <v/>
      </c>
      <c r="H35" s="20">
        <f>p_meta_adherencia</f>
        <v/>
      </c>
    </row>
    <row r="36" hidden="1">
      <c r="A36" s="3">
        <f>'PERFIL_HH'!$O$35</f>
        <v/>
      </c>
      <c r="B36" s="3">
        <f>COUNTIFS(tblOrdenes[semana],$A36,tblOrdenes[es_habil],"sí")</f>
        <v/>
      </c>
      <c r="C36" s="3">
        <f>COUNTIFS(tblOrdenes[semana],$A36,tblOrdenes[estado],"Cerrada",tblOrdenes[es_habil],"sí")</f>
        <v/>
      </c>
      <c r="D36" s="18">
        <f>IF(B36=0,"",C36/B36)</f>
        <v/>
      </c>
      <c r="E36" s="17">
        <f>SUMIFS(tblOrdenes[horas_efectivas],tblOrdenes[semana],$A36,tblOrdenes[es_habil],"sí")</f>
        <v/>
      </c>
      <c r="F36" s="17">
        <f>SUMIFS(tblOrdenes[horas_efectivas],tblOrdenes[semana],$A36,tblOrdenes[estado],"Cerrada",tblOrdenes[es_habil],"sí")</f>
        <v/>
      </c>
      <c r="G36" s="18">
        <f>IF(E36=0,"",F36/E36)</f>
        <v/>
      </c>
      <c r="H36" s="20">
        <f>p_meta_adherencia</f>
        <v/>
      </c>
    </row>
    <row r="37" hidden="1">
      <c r="A37" s="3">
        <f>'PERFIL_HH'!$O$36</f>
        <v/>
      </c>
      <c r="B37" s="3">
        <f>COUNTIFS(tblOrdenes[semana],$A37,tblOrdenes[es_habil],"sí")</f>
        <v/>
      </c>
      <c r="C37" s="3">
        <f>COUNTIFS(tblOrdenes[semana],$A37,tblOrdenes[estado],"Cerrada",tblOrdenes[es_habil],"sí")</f>
        <v/>
      </c>
      <c r="D37" s="18">
        <f>IF(B37=0,"",C37/B37)</f>
        <v/>
      </c>
      <c r="E37" s="17">
        <f>SUMIFS(tblOrdenes[horas_efectivas],tblOrdenes[semana],$A37,tblOrdenes[es_habil],"sí")</f>
        <v/>
      </c>
      <c r="F37" s="17">
        <f>SUMIFS(tblOrdenes[horas_efectivas],tblOrdenes[semana],$A37,tblOrdenes[estado],"Cerrada",tblOrdenes[es_habil],"sí")</f>
        <v/>
      </c>
      <c r="G37" s="18">
        <f>IF(E37=0,"",F37/E37)</f>
        <v/>
      </c>
      <c r="H37" s="20">
        <f>p_meta_adherencia</f>
        <v/>
      </c>
    </row>
    <row r="38" hidden="1">
      <c r="A38" s="3">
        <f>'PERFIL_HH'!$O$37</f>
        <v/>
      </c>
      <c r="B38" s="3">
        <f>COUNTIFS(tblOrdenes[semana],$A38,tblOrdenes[es_habil],"sí")</f>
        <v/>
      </c>
      <c r="C38" s="3">
        <f>COUNTIFS(tblOrdenes[semana],$A38,tblOrdenes[estado],"Cerrada",tblOrdenes[es_habil],"sí")</f>
        <v/>
      </c>
      <c r="D38" s="18">
        <f>IF(B38=0,"",C38/B38)</f>
        <v/>
      </c>
      <c r="E38" s="17">
        <f>SUMIFS(tblOrdenes[horas_efectivas],tblOrdenes[semana],$A38,tblOrdenes[es_habil],"sí")</f>
        <v/>
      </c>
      <c r="F38" s="17">
        <f>SUMIFS(tblOrdenes[horas_efectivas],tblOrdenes[semana],$A38,tblOrdenes[estado],"Cerrada",tblOrdenes[es_habil],"sí")</f>
        <v/>
      </c>
      <c r="G38" s="18">
        <f>IF(E38=0,"",F38/E38)</f>
        <v/>
      </c>
      <c r="H38" s="20">
        <f>p_meta_adherencia</f>
        <v/>
      </c>
    </row>
    <row r="39" hidden="1">
      <c r="A39" s="3">
        <f>'PERFIL_HH'!$O$38</f>
        <v/>
      </c>
      <c r="B39" s="3">
        <f>COUNTIFS(tblOrdenes[semana],$A39,tblOrdenes[es_habil],"sí")</f>
        <v/>
      </c>
      <c r="C39" s="3">
        <f>COUNTIFS(tblOrdenes[semana],$A39,tblOrdenes[estado],"Cerrada",tblOrdenes[es_habil],"sí")</f>
        <v/>
      </c>
      <c r="D39" s="18">
        <f>IF(B39=0,"",C39/B39)</f>
        <v/>
      </c>
      <c r="E39" s="17">
        <f>SUMIFS(tblOrdenes[horas_efectivas],tblOrdenes[semana],$A39,tblOrdenes[es_habil],"sí")</f>
        <v/>
      </c>
      <c r="F39" s="17">
        <f>SUMIFS(tblOrdenes[horas_efectivas],tblOrdenes[semana],$A39,tblOrdenes[estado],"Cerrada",tblOrdenes[es_habil],"sí")</f>
        <v/>
      </c>
      <c r="G39" s="18">
        <f>IF(E39=0,"",F39/E39)</f>
        <v/>
      </c>
      <c r="H39" s="20">
        <f>p_meta_adherencia</f>
        <v/>
      </c>
    </row>
    <row r="40" hidden="1">
      <c r="A40" s="3">
        <f>'PERFIL_HH'!$O$39</f>
        <v/>
      </c>
      <c r="B40" s="3">
        <f>COUNTIFS(tblOrdenes[semana],$A40,tblOrdenes[es_habil],"sí")</f>
        <v/>
      </c>
      <c r="C40" s="3">
        <f>COUNTIFS(tblOrdenes[semana],$A40,tblOrdenes[estado],"Cerrada",tblOrdenes[es_habil],"sí")</f>
        <v/>
      </c>
      <c r="D40" s="18">
        <f>IF(B40=0,"",C40/B40)</f>
        <v/>
      </c>
      <c r="E40" s="17">
        <f>SUMIFS(tblOrdenes[horas_efectivas],tblOrdenes[semana],$A40,tblOrdenes[es_habil],"sí")</f>
        <v/>
      </c>
      <c r="F40" s="17">
        <f>SUMIFS(tblOrdenes[horas_efectivas],tblOrdenes[semana],$A40,tblOrdenes[estado],"Cerrada",tblOrdenes[es_habil],"sí")</f>
        <v/>
      </c>
      <c r="G40" s="18">
        <f>IF(E40=0,"",F40/E40)</f>
        <v/>
      </c>
      <c r="H40" s="20">
        <f>p_meta_adherencia</f>
        <v/>
      </c>
    </row>
    <row r="41">
      <c r="A41" s="3">
        <f>'PERFIL_HH'!$O$40</f>
        <v/>
      </c>
      <c r="B41" s="3">
        <f>COUNTIFS(tblOrdenes[semana],$A41,tblOrdenes[es_habil],"sí")</f>
        <v/>
      </c>
      <c r="C41" s="3">
        <f>COUNTIFS(tblOrdenes[semana],$A41,tblOrdenes[estado],"Cerrada",tblOrdenes[es_habil],"sí")</f>
        <v/>
      </c>
      <c r="D41" s="18">
        <f>IF(B41=0,"",C41/B41)</f>
        <v/>
      </c>
      <c r="E41" s="17">
        <f>SUMIFS(tblOrdenes[horas_efectivas],tblOrdenes[semana],$A41,tblOrdenes[es_habil],"sí")</f>
        <v/>
      </c>
      <c r="F41" s="17">
        <f>SUMIFS(tblOrdenes[horas_efectivas],tblOrdenes[semana],$A41,tblOrdenes[estado],"Cerrada",tblOrdenes[es_habil],"sí")</f>
        <v/>
      </c>
      <c r="G41" s="18">
        <f>IF(E41=0,"",F41/E41)</f>
        <v/>
      </c>
      <c r="H41" s="20">
        <f>p_meta_adherencia</f>
        <v/>
      </c>
    </row>
    <row r="42" hidden="1">
      <c r="A42" s="3">
        <f>'PERFIL_HH'!$O$41</f>
        <v/>
      </c>
      <c r="B42" s="3">
        <f>COUNTIFS(tblOrdenes[semana],$A42,tblOrdenes[es_habil],"sí")</f>
        <v/>
      </c>
      <c r="C42" s="3">
        <f>COUNTIFS(tblOrdenes[semana],$A42,tblOrdenes[estado],"Cerrada",tblOrdenes[es_habil],"sí")</f>
        <v/>
      </c>
      <c r="D42" s="18">
        <f>IF(B42=0,"",C42/B42)</f>
        <v/>
      </c>
      <c r="E42" s="17">
        <f>SUMIFS(tblOrdenes[horas_efectivas],tblOrdenes[semana],$A42,tblOrdenes[es_habil],"sí")</f>
        <v/>
      </c>
      <c r="F42" s="17">
        <f>SUMIFS(tblOrdenes[horas_efectivas],tblOrdenes[semana],$A42,tblOrdenes[estado],"Cerrada",tblOrdenes[es_habil],"sí")</f>
        <v/>
      </c>
      <c r="G42" s="18">
        <f>IF(E42=0,"",F42/E42)</f>
        <v/>
      </c>
      <c r="H42" s="20">
        <f>p_meta_adherencia</f>
        <v/>
      </c>
    </row>
    <row r="43" hidden="1">
      <c r="A43" s="3">
        <f>'PERFIL_HH'!$O$42</f>
        <v/>
      </c>
      <c r="B43" s="3">
        <f>COUNTIFS(tblOrdenes[semana],$A43,tblOrdenes[es_habil],"sí")</f>
        <v/>
      </c>
      <c r="C43" s="3">
        <f>COUNTIFS(tblOrdenes[semana],$A43,tblOrdenes[estado],"Cerrada",tblOrdenes[es_habil],"sí")</f>
        <v/>
      </c>
      <c r="D43" s="18">
        <f>IF(B43=0,"",C43/B43)</f>
        <v/>
      </c>
      <c r="E43" s="17">
        <f>SUMIFS(tblOrdenes[horas_efectivas],tblOrdenes[semana],$A43,tblOrdenes[es_habil],"sí")</f>
        <v/>
      </c>
      <c r="F43" s="17">
        <f>SUMIFS(tblOrdenes[horas_efectivas],tblOrdenes[semana],$A43,tblOrdenes[estado],"Cerrada",tblOrdenes[es_habil],"sí")</f>
        <v/>
      </c>
      <c r="G43" s="18">
        <f>IF(E43=0,"",F43/E43)</f>
        <v/>
      </c>
      <c r="H43" s="20">
        <f>p_meta_adherencia</f>
        <v/>
      </c>
    </row>
    <row r="44" hidden="1">
      <c r="A44" s="3">
        <f>'PERFIL_HH'!$O$43</f>
        <v/>
      </c>
      <c r="B44" s="3">
        <f>COUNTIFS(tblOrdenes[semana],$A44,tblOrdenes[es_habil],"sí")</f>
        <v/>
      </c>
      <c r="C44" s="3">
        <f>COUNTIFS(tblOrdenes[semana],$A44,tblOrdenes[estado],"Cerrada",tblOrdenes[es_habil],"sí")</f>
        <v/>
      </c>
      <c r="D44" s="18">
        <f>IF(B44=0,"",C44/B44)</f>
        <v/>
      </c>
      <c r="E44" s="17">
        <f>SUMIFS(tblOrdenes[horas_efectivas],tblOrdenes[semana],$A44,tblOrdenes[es_habil],"sí")</f>
        <v/>
      </c>
      <c r="F44" s="17">
        <f>SUMIFS(tblOrdenes[horas_efectivas],tblOrdenes[semana],$A44,tblOrdenes[estado],"Cerrada",tblOrdenes[es_habil],"sí")</f>
        <v/>
      </c>
      <c r="G44" s="18">
        <f>IF(E44=0,"",F44/E44)</f>
        <v/>
      </c>
      <c r="H44" s="20">
        <f>p_meta_adherencia</f>
        <v/>
      </c>
    </row>
    <row r="45" hidden="1">
      <c r="A45" s="3">
        <f>'PERFIL_HH'!$O$44</f>
        <v/>
      </c>
      <c r="B45" s="3">
        <f>COUNTIFS(tblOrdenes[semana],$A45,tblOrdenes[es_habil],"sí")</f>
        <v/>
      </c>
      <c r="C45" s="3">
        <f>COUNTIFS(tblOrdenes[semana],$A45,tblOrdenes[estado],"Cerrada",tblOrdenes[es_habil],"sí")</f>
        <v/>
      </c>
      <c r="D45" s="18">
        <f>IF(B45=0,"",C45/B45)</f>
        <v/>
      </c>
      <c r="E45" s="17">
        <f>SUMIFS(tblOrdenes[horas_efectivas],tblOrdenes[semana],$A45,tblOrdenes[es_habil],"sí")</f>
        <v/>
      </c>
      <c r="F45" s="17">
        <f>SUMIFS(tblOrdenes[horas_efectivas],tblOrdenes[semana],$A45,tblOrdenes[estado],"Cerrada",tblOrdenes[es_habil],"sí")</f>
        <v/>
      </c>
      <c r="G45" s="18">
        <f>IF(E45=0,"",F45/E45)</f>
        <v/>
      </c>
      <c r="H45" s="20">
        <f>p_meta_adherencia</f>
        <v/>
      </c>
    </row>
    <row r="46" hidden="1">
      <c r="A46" s="3">
        <f>'PERFIL_HH'!$O$45</f>
        <v/>
      </c>
      <c r="B46" s="3">
        <f>COUNTIFS(tblOrdenes[semana],$A46,tblOrdenes[es_habil],"sí")</f>
        <v/>
      </c>
      <c r="C46" s="3">
        <f>COUNTIFS(tblOrdenes[semana],$A46,tblOrdenes[estado],"Cerrada",tblOrdenes[es_habil],"sí")</f>
        <v/>
      </c>
      <c r="D46" s="18">
        <f>IF(B46=0,"",C46/B46)</f>
        <v/>
      </c>
      <c r="E46" s="17">
        <f>SUMIFS(tblOrdenes[horas_efectivas],tblOrdenes[semana],$A46,tblOrdenes[es_habil],"sí")</f>
        <v/>
      </c>
      <c r="F46" s="17">
        <f>SUMIFS(tblOrdenes[horas_efectivas],tblOrdenes[semana],$A46,tblOrdenes[estado],"Cerrada",tblOrdenes[es_habil],"sí")</f>
        <v/>
      </c>
      <c r="G46" s="18">
        <f>IF(E46=0,"",F46/E46)</f>
        <v/>
      </c>
      <c r="H46" s="20">
        <f>p_meta_adherencia</f>
        <v/>
      </c>
    </row>
    <row r="47" hidden="1">
      <c r="A47" s="3">
        <f>'PERFIL_HH'!$O$46</f>
        <v/>
      </c>
      <c r="B47" s="3">
        <f>COUNTIFS(tblOrdenes[semana],$A47,tblOrdenes[es_habil],"sí")</f>
        <v/>
      </c>
      <c r="C47" s="3">
        <f>COUNTIFS(tblOrdenes[semana],$A47,tblOrdenes[estado],"Cerrada",tblOrdenes[es_habil],"sí")</f>
        <v/>
      </c>
      <c r="D47" s="18">
        <f>IF(B47=0,"",C47/B47)</f>
        <v/>
      </c>
      <c r="E47" s="17">
        <f>SUMIFS(tblOrdenes[horas_efectivas],tblOrdenes[semana],$A47,tblOrdenes[es_habil],"sí")</f>
        <v/>
      </c>
      <c r="F47" s="17">
        <f>SUMIFS(tblOrdenes[horas_efectivas],tblOrdenes[semana],$A47,tblOrdenes[estado],"Cerrada",tblOrdenes[es_habil],"sí")</f>
        <v/>
      </c>
      <c r="G47" s="18">
        <f>IF(E47=0,"",F47/E47)</f>
        <v/>
      </c>
      <c r="H47" s="20">
        <f>p_meta_adherencia</f>
        <v/>
      </c>
    </row>
    <row r="48" hidden="1">
      <c r="A48" s="3">
        <f>'PERFIL_HH'!$O$47</f>
        <v/>
      </c>
      <c r="B48" s="3">
        <f>COUNTIFS(tblOrdenes[semana],$A48,tblOrdenes[es_habil],"sí")</f>
        <v/>
      </c>
      <c r="C48" s="3">
        <f>COUNTIFS(tblOrdenes[semana],$A48,tblOrdenes[estado],"Cerrada",tblOrdenes[es_habil],"sí")</f>
        <v/>
      </c>
      <c r="D48" s="18">
        <f>IF(B48=0,"",C48/B48)</f>
        <v/>
      </c>
      <c r="E48" s="17">
        <f>SUMIFS(tblOrdenes[horas_efectivas],tblOrdenes[semana],$A48,tblOrdenes[es_habil],"sí")</f>
        <v/>
      </c>
      <c r="F48" s="17">
        <f>SUMIFS(tblOrdenes[horas_efectivas],tblOrdenes[semana],$A48,tblOrdenes[estado],"Cerrada",tblOrdenes[es_habil],"sí")</f>
        <v/>
      </c>
      <c r="G48" s="18">
        <f>IF(E48=0,"",F48/E48)</f>
        <v/>
      </c>
      <c r="H48" s="20">
        <f>p_meta_adherencia</f>
        <v/>
      </c>
    </row>
    <row r="49">
      <c r="A49" s="3">
        <f>'PERFIL_HH'!$O$48</f>
        <v/>
      </c>
      <c r="B49" s="3">
        <f>COUNTIFS(tblOrdenes[semana],$A49,tblOrdenes[es_habil],"sí")</f>
        <v/>
      </c>
      <c r="C49" s="3">
        <f>COUNTIFS(tblOrdenes[semana],$A49,tblOrdenes[estado],"Cerrada",tblOrdenes[es_habil],"sí")</f>
        <v/>
      </c>
      <c r="D49" s="18">
        <f>IF(B49=0,"",C49/B49)</f>
        <v/>
      </c>
      <c r="E49" s="17">
        <f>SUMIFS(tblOrdenes[horas_efectivas],tblOrdenes[semana],$A49,tblOrdenes[es_habil],"sí")</f>
        <v/>
      </c>
      <c r="F49" s="17">
        <f>SUMIFS(tblOrdenes[horas_efectivas],tblOrdenes[semana],$A49,tblOrdenes[estado],"Cerrada",tblOrdenes[es_habil],"sí")</f>
        <v/>
      </c>
      <c r="G49" s="18">
        <f>IF(E49=0,"",F49/E49)</f>
        <v/>
      </c>
      <c r="H49" s="20">
        <f>p_meta_adherencia</f>
        <v/>
      </c>
    </row>
    <row r="50">
      <c r="A50" s="3">
        <f>'PERFIL_HH'!$O$49</f>
        <v/>
      </c>
      <c r="B50" s="3">
        <f>COUNTIFS(tblOrdenes[semana],$A50,tblOrdenes[es_habil],"sí")</f>
        <v/>
      </c>
      <c r="C50" s="3">
        <f>COUNTIFS(tblOrdenes[semana],$A50,tblOrdenes[estado],"Cerrada",tblOrdenes[es_habil],"sí")</f>
        <v/>
      </c>
      <c r="D50" s="18">
        <f>IF(B50=0,"",C50/B50)</f>
        <v/>
      </c>
      <c r="E50" s="17">
        <f>SUMIFS(tblOrdenes[horas_efectivas],tblOrdenes[semana],$A50,tblOrdenes[es_habil],"sí")</f>
        <v/>
      </c>
      <c r="F50" s="17">
        <f>SUMIFS(tblOrdenes[horas_efectivas],tblOrdenes[semana],$A50,tblOrdenes[estado],"Cerrada",tblOrdenes[es_habil],"sí")</f>
        <v/>
      </c>
      <c r="G50" s="18">
        <f>IF(E50=0,"",F50/E50)</f>
        <v/>
      </c>
      <c r="H50" s="20">
        <f>p_meta_adherencia</f>
        <v/>
      </c>
    </row>
    <row r="51" hidden="1">
      <c r="A51" s="3">
        <f>'PERFIL_HH'!$O$50</f>
        <v/>
      </c>
      <c r="B51" s="3">
        <f>COUNTIFS(tblOrdenes[semana],$A51,tblOrdenes[es_habil],"sí")</f>
        <v/>
      </c>
      <c r="C51" s="3">
        <f>COUNTIFS(tblOrdenes[semana],$A51,tblOrdenes[estado],"Cerrada",tblOrdenes[es_habil],"sí")</f>
        <v/>
      </c>
      <c r="D51" s="18">
        <f>IF(B51=0,"",C51/B51)</f>
        <v/>
      </c>
      <c r="E51" s="17">
        <f>SUMIFS(tblOrdenes[horas_efectivas],tblOrdenes[semana],$A51,tblOrdenes[es_habil],"sí")</f>
        <v/>
      </c>
      <c r="F51" s="17">
        <f>SUMIFS(tblOrdenes[horas_efectivas],tblOrdenes[semana],$A51,tblOrdenes[estado],"Cerrada",tblOrdenes[es_habil],"sí")</f>
        <v/>
      </c>
      <c r="G51" s="18">
        <f>IF(E51=0,"",F51/E51)</f>
        <v/>
      </c>
      <c r="H51" s="20">
        <f>p_meta_adherencia</f>
        <v/>
      </c>
    </row>
    <row r="52" hidden="1">
      <c r="A52" s="3">
        <f>'PERFIL_HH'!$O$51</f>
        <v/>
      </c>
      <c r="B52" s="3">
        <f>COUNTIFS(tblOrdenes[semana],$A52,tblOrdenes[es_habil],"sí")</f>
        <v/>
      </c>
      <c r="C52" s="3">
        <f>COUNTIFS(tblOrdenes[semana],$A52,tblOrdenes[estado],"Cerrada",tblOrdenes[es_habil],"sí")</f>
        <v/>
      </c>
      <c r="D52" s="18">
        <f>IF(B52=0,"",C52/B52)</f>
        <v/>
      </c>
      <c r="E52" s="17">
        <f>SUMIFS(tblOrdenes[horas_efectivas],tblOrdenes[semana],$A52,tblOrdenes[es_habil],"sí")</f>
        <v/>
      </c>
      <c r="F52" s="17">
        <f>SUMIFS(tblOrdenes[horas_efectivas],tblOrdenes[semana],$A52,tblOrdenes[estado],"Cerrada",tblOrdenes[es_habil],"sí")</f>
        <v/>
      </c>
      <c r="G52" s="18">
        <f>IF(E52=0,"",F52/E52)</f>
        <v/>
      </c>
      <c r="H52" s="20">
        <f>p_meta_adherencia</f>
        <v/>
      </c>
    </row>
    <row r="53" hidden="1">
      <c r="A53" s="3">
        <f>'PERFIL_HH'!$O$52</f>
        <v/>
      </c>
      <c r="B53" s="3">
        <f>COUNTIFS(tblOrdenes[semana],$A53,tblOrdenes[es_habil],"sí")</f>
        <v/>
      </c>
      <c r="C53" s="3">
        <f>COUNTIFS(tblOrdenes[semana],$A53,tblOrdenes[estado],"Cerrada",tblOrdenes[es_habil],"sí")</f>
        <v/>
      </c>
      <c r="D53" s="18">
        <f>IF(B53=0,"",C53/B53)</f>
        <v/>
      </c>
      <c r="E53" s="17">
        <f>SUMIFS(tblOrdenes[horas_efectivas],tblOrdenes[semana],$A53,tblOrdenes[es_habil],"sí")</f>
        <v/>
      </c>
      <c r="F53" s="17">
        <f>SUMIFS(tblOrdenes[horas_efectivas],tblOrdenes[semana],$A53,tblOrdenes[estado],"Cerrada",tblOrdenes[es_habil],"sí")</f>
        <v/>
      </c>
      <c r="G53" s="18">
        <f>IF(E53=0,"",F53/E53)</f>
        <v/>
      </c>
      <c r="H53" s="20">
        <f>p_meta_adherencia</f>
        <v/>
      </c>
    </row>
    <row r="54" hidden="1">
      <c r="A54" s="3">
        <f>'PERFIL_HH'!$O$53</f>
        <v/>
      </c>
      <c r="B54" s="3">
        <f>COUNTIFS(tblOrdenes[semana],$A54,tblOrdenes[es_habil],"sí")</f>
        <v/>
      </c>
      <c r="C54" s="3">
        <f>COUNTIFS(tblOrdenes[semana],$A54,tblOrdenes[estado],"Cerrada",tblOrdenes[es_habil],"sí")</f>
        <v/>
      </c>
      <c r="D54" s="18">
        <f>IF(B54=0,"",C54/B54)</f>
        <v/>
      </c>
      <c r="E54" s="17">
        <f>SUMIFS(tblOrdenes[horas_efectivas],tblOrdenes[semana],$A54,tblOrdenes[es_habil],"sí")</f>
        <v/>
      </c>
      <c r="F54" s="17">
        <f>SUMIFS(tblOrdenes[horas_efectivas],tblOrdenes[semana],$A54,tblOrdenes[estado],"Cerrada",tblOrdenes[es_habil],"sí")</f>
        <v/>
      </c>
      <c r="G54" s="18">
        <f>IF(E54=0,"",F54/E54)</f>
        <v/>
      </c>
      <c r="H54" s="20">
        <f>p_meta_adherencia</f>
        <v/>
      </c>
    </row>
    <row r="55" hidden="1">
      <c r="A55" s="3">
        <f>'PERFIL_HH'!$O$54</f>
        <v/>
      </c>
      <c r="B55" s="3">
        <f>COUNTIFS(tblOrdenes[semana],$A55,tblOrdenes[es_habil],"sí")</f>
        <v/>
      </c>
      <c r="C55" s="3">
        <f>COUNTIFS(tblOrdenes[semana],$A55,tblOrdenes[estado],"Cerrada",tblOrdenes[es_habil],"sí")</f>
        <v/>
      </c>
      <c r="D55" s="18">
        <f>IF(B55=0,"",C55/B55)</f>
        <v/>
      </c>
      <c r="E55" s="17">
        <f>SUMIFS(tblOrdenes[horas_efectivas],tblOrdenes[semana],$A55,tblOrdenes[es_habil],"sí")</f>
        <v/>
      </c>
      <c r="F55" s="17">
        <f>SUMIFS(tblOrdenes[horas_efectivas],tblOrdenes[semana],$A55,tblOrdenes[estado],"Cerrada",tblOrdenes[es_habil],"sí")</f>
        <v/>
      </c>
      <c r="G55" s="18">
        <f>IF(E55=0,"",F55/E55)</f>
        <v/>
      </c>
      <c r="H55" s="20">
        <f>p_meta_adherencia</f>
        <v/>
      </c>
    </row>
    <row r="56" hidden="1">
      <c r="A56" s="3">
        <f>'PERFIL_HH'!$O$55</f>
        <v/>
      </c>
      <c r="B56" s="3">
        <f>COUNTIFS(tblOrdenes[semana],$A56,tblOrdenes[es_habil],"sí")</f>
        <v/>
      </c>
      <c r="C56" s="3">
        <f>COUNTIFS(tblOrdenes[semana],$A56,tblOrdenes[estado],"Cerrada",tblOrdenes[es_habil],"sí")</f>
        <v/>
      </c>
      <c r="D56" s="18">
        <f>IF(B56=0,"",C56/B56)</f>
        <v/>
      </c>
      <c r="E56" s="17">
        <f>SUMIFS(tblOrdenes[horas_efectivas],tblOrdenes[semana],$A56,tblOrdenes[es_habil],"sí")</f>
        <v/>
      </c>
      <c r="F56" s="17">
        <f>SUMIFS(tblOrdenes[horas_efectivas],tblOrdenes[semana],$A56,tblOrdenes[estado],"Cerrada",tblOrdenes[es_habil],"sí")</f>
        <v/>
      </c>
      <c r="G56" s="18">
        <f>IF(E56=0,"",F56/E56)</f>
        <v/>
      </c>
      <c r="H56" s="20">
        <f>p_meta_adherencia</f>
        <v/>
      </c>
    </row>
    <row r="57" hidden="1">
      <c r="A57" s="3">
        <f>'PERFIL_HH'!$O$56</f>
        <v/>
      </c>
      <c r="B57" s="3">
        <f>COUNTIFS(tblOrdenes[semana],$A57,tblOrdenes[es_habil],"sí")</f>
        <v/>
      </c>
      <c r="C57" s="3">
        <f>COUNTIFS(tblOrdenes[semana],$A57,tblOrdenes[estado],"Cerrada",tblOrdenes[es_habil],"sí")</f>
        <v/>
      </c>
      <c r="D57" s="18">
        <f>IF(B57=0,"",C57/B57)</f>
        <v/>
      </c>
      <c r="E57" s="17">
        <f>SUMIFS(tblOrdenes[horas_efectivas],tblOrdenes[semana],$A57,tblOrdenes[es_habil],"sí")</f>
        <v/>
      </c>
      <c r="F57" s="17">
        <f>SUMIFS(tblOrdenes[horas_efectivas],tblOrdenes[semana],$A57,tblOrdenes[estado],"Cerrada",tblOrdenes[es_habil],"sí")</f>
        <v/>
      </c>
      <c r="G57" s="18">
        <f>IF(E57=0,"",F57/E57)</f>
        <v/>
      </c>
      <c r="H57" s="20">
        <f>p_meta_adherencia</f>
        <v/>
      </c>
    </row>
    <row r="58" hidden="1">
      <c r="A58" s="3">
        <f>'PERFIL_HH'!$O$57</f>
        <v/>
      </c>
      <c r="B58" s="3">
        <f>COUNTIFS(tblOrdenes[semana],$A58,tblOrdenes[es_habil],"sí")</f>
        <v/>
      </c>
      <c r="C58" s="3">
        <f>COUNTIFS(tblOrdenes[semana],$A58,tblOrdenes[estado],"Cerrada",tblOrdenes[es_habil],"sí")</f>
        <v/>
      </c>
      <c r="D58" s="18">
        <f>IF(B58=0,"",C58/B58)</f>
        <v/>
      </c>
      <c r="E58" s="17">
        <f>SUMIFS(tblOrdenes[horas_efectivas],tblOrdenes[semana],$A58,tblOrdenes[es_habil],"sí")</f>
        <v/>
      </c>
      <c r="F58" s="17">
        <f>SUMIFS(tblOrdenes[horas_efectivas],tblOrdenes[semana],$A58,tblOrdenes[estado],"Cerrada",tblOrdenes[es_habil],"sí")</f>
        <v/>
      </c>
      <c r="G58" s="18">
        <f>IF(E58=0,"",F58/E58)</f>
        <v/>
      </c>
      <c r="H58" s="20">
        <f>p_meta_adherencia</f>
        <v/>
      </c>
    </row>
    <row r="59" hidden="1">
      <c r="A59" s="3">
        <f>'PERFIL_HH'!$O$58</f>
        <v/>
      </c>
      <c r="B59" s="3">
        <f>COUNTIFS(tblOrdenes[semana],$A59,tblOrdenes[es_habil],"sí")</f>
        <v/>
      </c>
      <c r="C59" s="3">
        <f>COUNTIFS(tblOrdenes[semana],$A59,tblOrdenes[estado],"Cerrada",tblOrdenes[es_habil],"sí")</f>
        <v/>
      </c>
      <c r="D59" s="18">
        <f>IF(B59=0,"",C59/B59)</f>
        <v/>
      </c>
      <c r="E59" s="17">
        <f>SUMIFS(tblOrdenes[horas_efectivas],tblOrdenes[semana],$A59,tblOrdenes[es_habil],"sí")</f>
        <v/>
      </c>
      <c r="F59" s="17">
        <f>SUMIFS(tblOrdenes[horas_efectivas],tblOrdenes[semana],$A59,tblOrdenes[estado],"Cerrada",tblOrdenes[es_habil],"sí")</f>
        <v/>
      </c>
      <c r="G59" s="18">
        <f>IF(E59=0,"",F59/E59)</f>
        <v/>
      </c>
      <c r="H59" s="20">
        <f>p_meta_adherencia</f>
        <v/>
      </c>
    </row>
    <row r="60" hidden="1">
      <c r="A60" s="3">
        <f>'PERFIL_HH'!$O$59</f>
        <v/>
      </c>
      <c r="B60" s="3">
        <f>COUNTIFS(tblOrdenes[semana],$A60,tblOrdenes[es_habil],"sí")</f>
        <v/>
      </c>
      <c r="C60" s="3">
        <f>COUNTIFS(tblOrdenes[semana],$A60,tblOrdenes[estado],"Cerrada",tblOrdenes[es_habil],"sí")</f>
        <v/>
      </c>
      <c r="D60" s="18">
        <f>IF(B60=0,"",C60/B60)</f>
        <v/>
      </c>
      <c r="E60" s="17">
        <f>SUMIFS(tblOrdenes[horas_efectivas],tblOrdenes[semana],$A60,tblOrdenes[es_habil],"sí")</f>
        <v/>
      </c>
      <c r="F60" s="17">
        <f>SUMIFS(tblOrdenes[horas_efectivas],tblOrdenes[semana],$A60,tblOrdenes[estado],"Cerrada",tblOrdenes[es_habil],"sí")</f>
        <v/>
      </c>
      <c r="G60" s="18">
        <f>IF(E60=0,"",F60/E60)</f>
        <v/>
      </c>
      <c r="H60" s="20">
        <f>p_meta_adherencia</f>
        <v/>
      </c>
    </row>
    <row r="61" hidden="1">
      <c r="A61" s="3">
        <f>'PERFIL_HH'!$O$60</f>
        <v/>
      </c>
      <c r="B61" s="3">
        <f>COUNTIFS(tblOrdenes[semana],$A61,tblOrdenes[es_habil],"sí")</f>
        <v/>
      </c>
      <c r="C61" s="3">
        <f>COUNTIFS(tblOrdenes[semana],$A61,tblOrdenes[estado],"Cerrada",tblOrdenes[es_habil],"sí")</f>
        <v/>
      </c>
      <c r="D61" s="18">
        <f>IF(B61=0,"",C61/B61)</f>
        <v/>
      </c>
      <c r="E61" s="17">
        <f>SUMIFS(tblOrdenes[horas_efectivas],tblOrdenes[semana],$A61,tblOrdenes[es_habil],"sí")</f>
        <v/>
      </c>
      <c r="F61" s="17">
        <f>SUMIFS(tblOrdenes[horas_efectivas],tblOrdenes[semana],$A61,tblOrdenes[estado],"Cerrada",tblOrdenes[es_habil],"sí")</f>
        <v/>
      </c>
      <c r="G61" s="18">
        <f>IF(E61=0,"",F61/E61)</f>
        <v/>
      </c>
      <c r="H61" s="20">
        <f>p_meta_adherencia</f>
        <v/>
      </c>
    </row>
    <row r="62" hidden="1">
      <c r="A62" s="3">
        <f>'PERFIL_HH'!$O$61</f>
        <v/>
      </c>
      <c r="B62" s="3">
        <f>COUNTIFS(tblOrdenes[semana],$A62,tblOrdenes[es_habil],"sí")</f>
        <v/>
      </c>
      <c r="C62" s="3">
        <f>COUNTIFS(tblOrdenes[semana],$A62,tblOrdenes[estado],"Cerrada",tblOrdenes[es_habil],"sí")</f>
        <v/>
      </c>
      <c r="D62" s="18">
        <f>IF(B62=0,"",C62/B62)</f>
        <v/>
      </c>
      <c r="E62" s="17">
        <f>SUMIFS(tblOrdenes[horas_efectivas],tblOrdenes[semana],$A62,tblOrdenes[es_habil],"sí")</f>
        <v/>
      </c>
      <c r="F62" s="17">
        <f>SUMIFS(tblOrdenes[horas_efectivas],tblOrdenes[semana],$A62,tblOrdenes[estado],"Cerrada",tblOrdenes[es_habil],"sí")</f>
        <v/>
      </c>
      <c r="G62" s="18">
        <f>IF(E62=0,"",F62/E62)</f>
        <v/>
      </c>
      <c r="H62" s="20">
        <f>p_meta_adherencia</f>
        <v/>
      </c>
    </row>
    <row r="63" hidden="1">
      <c r="A63" s="3">
        <f>'PERFIL_HH'!$O$62</f>
        <v/>
      </c>
      <c r="B63" s="3">
        <f>COUNTIFS(tblOrdenes[semana],$A63,tblOrdenes[es_habil],"sí")</f>
        <v/>
      </c>
      <c r="C63" s="3">
        <f>COUNTIFS(tblOrdenes[semana],$A63,tblOrdenes[estado],"Cerrada",tblOrdenes[es_habil],"sí")</f>
        <v/>
      </c>
      <c r="D63" s="18">
        <f>IF(B63=0,"",C63/B63)</f>
        <v/>
      </c>
      <c r="E63" s="17">
        <f>SUMIFS(tblOrdenes[horas_efectivas],tblOrdenes[semana],$A63,tblOrdenes[es_habil],"sí")</f>
        <v/>
      </c>
      <c r="F63" s="17">
        <f>SUMIFS(tblOrdenes[horas_efectivas],tblOrdenes[semana],$A63,tblOrdenes[estado],"Cerrada",tblOrdenes[es_habil],"sí")</f>
        <v/>
      </c>
      <c r="G63" s="18">
        <f>IF(E63=0,"",F63/E63)</f>
        <v/>
      </c>
      <c r="H63" s="20">
        <f>p_meta_adherencia</f>
        <v/>
      </c>
    </row>
    <row r="64" hidden="1">
      <c r="A64" s="3">
        <f>'PERFIL_HH'!$O$63</f>
        <v/>
      </c>
      <c r="B64" s="3">
        <f>COUNTIFS(tblOrdenes[semana],$A64,tblOrdenes[es_habil],"sí")</f>
        <v/>
      </c>
      <c r="C64" s="3">
        <f>COUNTIFS(tblOrdenes[semana],$A64,tblOrdenes[estado],"Cerrada",tblOrdenes[es_habil],"sí")</f>
        <v/>
      </c>
      <c r="D64" s="18">
        <f>IF(B64=0,"",C64/B64)</f>
        <v/>
      </c>
      <c r="E64" s="17">
        <f>SUMIFS(tblOrdenes[horas_efectivas],tblOrdenes[semana],$A64,tblOrdenes[es_habil],"sí")</f>
        <v/>
      </c>
      <c r="F64" s="17">
        <f>SUMIFS(tblOrdenes[horas_efectivas],tblOrdenes[semana],$A64,tblOrdenes[estado],"Cerrada",tblOrdenes[es_habil],"sí")</f>
        <v/>
      </c>
      <c r="G64" s="18">
        <f>IF(E64=0,"",F64/E64)</f>
        <v/>
      </c>
      <c r="H64" s="20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COUNTIFS(tblOrdenes[area],$A68,tblOrdenes[es_habil],"sí")</f>
        <v/>
      </c>
      <c r="C68" s="3">
        <f>COUNTIFS(tblOrdenes[area],$A68,tblOrdenes[estado],"Cerrada",tblOrdenes[es_habil],"sí")</f>
        <v/>
      </c>
      <c r="D68" s="18">
        <f>IF(B68=0,"",C68/B68)</f>
        <v/>
      </c>
      <c r="E68" s="17">
        <f>SUMIFS(tblOrdenes[horas_efectivas],tblOrdenes[area],$A68,tblOrdenes[es_habil],"sí")</f>
        <v/>
      </c>
      <c r="F68" s="17">
        <f>SUMIFS(tblOrdenes[horas_efectivas],tblOrdenes[area],$A68,tblOrdenes[estado],"Cerrada",tblOrdenes[es_habil],"sí")</f>
        <v/>
      </c>
      <c r="G68" s="18">
        <f>IF(E68=0,"",F68/E68)</f>
        <v/>
      </c>
    </row>
    <row r="69">
      <c r="A69" s="3" t="inlineStr">
        <is>
          <t>EMPAQUE</t>
        </is>
      </c>
      <c r="B69" s="3">
        <f>COUNTIFS(tblOrdenes[area],$A69,tblOrdenes[es_habil],"sí")</f>
        <v/>
      </c>
      <c r="C69" s="3">
        <f>COUNTIFS(tblOrdenes[area],$A69,tblOrdenes[estado],"Cerrada",tblOrdenes[es_habil],"sí")</f>
        <v/>
      </c>
      <c r="D69" s="18">
        <f>IF(B69=0,"",C69/B69)</f>
        <v/>
      </c>
      <c r="E69" s="17">
        <f>SUMIFS(tblOrdenes[horas_efectivas],tblOrdenes[area],$A69,tblOrdenes[es_habil],"sí")</f>
        <v/>
      </c>
      <c r="F69" s="17">
        <f>SUMIFS(tblOrdenes[horas_efectivas],tblOrdenes[area],$A69,tblOrdenes[estado],"Cerrada",tblOrdenes[es_habil],"sí")</f>
        <v/>
      </c>
      <c r="G69" s="18">
        <f>IF(E69=0,"",F69/E69)</f>
        <v/>
      </c>
    </row>
    <row r="70">
      <c r="A70" s="3" t="inlineStr">
        <is>
          <t>SERVICIOS</t>
        </is>
      </c>
      <c r="B70" s="3">
        <f>COUNTIFS(tblOrdenes[area],$A70,tblOrdenes[es_habil],"sí")</f>
        <v/>
      </c>
      <c r="C70" s="3">
        <f>COUNTIFS(tblOrdenes[area],$A70,tblOrdenes[estado],"Cerrada",tblOrdenes[es_habil],"sí")</f>
        <v/>
      </c>
      <c r="D70" s="18">
        <f>IF(B70=0,"",C70/B70)</f>
        <v/>
      </c>
      <c r="E70" s="17">
        <f>SUMIFS(tblOrdenes[horas_efectivas],tblOrdenes[area],$A70,tblOrdenes[es_habil],"sí")</f>
        <v/>
      </c>
      <c r="F70" s="17">
        <f>SUMIFS(tblOrdenes[horas_efectivas],tblOrdenes[area],$A70,tblOrdenes[estado],"Cerrada",tblOrdenes[es_habil],"sí")</f>
        <v/>
      </c>
      <c r="G70" s="18">
        <f>IF(E70=0,"",F70/E70)</f>
        <v/>
      </c>
    </row>
    <row r="72">
      <c r="A72" s="4" t="inlineStr">
        <is>
          <t>POR SUB-ÁREA (agrupada bajo su área madre — col. I)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  <c r="I73" s="5" t="inlineStr">
        <is>
          <t>área madre</t>
        </is>
      </c>
    </row>
    <row r="74">
      <c r="A74" s="3" t="inlineStr">
        <is>
          <t>PRODUCCION</t>
        </is>
      </c>
      <c r="B74" s="3">
        <f>COUNTIFS(tblOrdenes[sub_area],$A74,tblOrdenes[es_habil],"sí")</f>
        <v/>
      </c>
      <c r="C74" s="3">
        <f>COUNTIFS(tblOrdenes[sub_area],$A74,tblOrdenes[estado],"Cerrada",tblOrdenes[es_habil],"sí")</f>
        <v/>
      </c>
      <c r="D74" s="18">
        <f>IF(B74=0,"",C74/B74)</f>
        <v/>
      </c>
      <c r="E74" s="17">
        <f>SUMIFS(tblOrdenes[horas_efectivas],tblOrdenes[sub_area],$A74,tblOrdenes[es_habil],"sí")</f>
        <v/>
      </c>
      <c r="F74" s="17">
        <f>SUMIFS(tblOrdenes[horas_efectivas],tblOrdenes[sub_area],$A74,tblOrdenes[estado],"Cerrada",tblOrdenes[es_habil],"sí")</f>
        <v/>
      </c>
      <c r="G74" s="18">
        <f>IF(E74=0,"",F74/E74)</f>
        <v/>
      </c>
      <c r="I74" s="2" t="inlineStr">
        <is>
          <t>PRODUCCION</t>
        </is>
      </c>
    </row>
    <row r="75">
      <c r="A75" s="3" t="inlineStr">
        <is>
          <t>EMPAQUE</t>
        </is>
      </c>
      <c r="B75" s="3">
        <f>COUNTIFS(tblOrdenes[sub_area],$A75,tblOrdenes[es_habil],"sí")</f>
        <v/>
      </c>
      <c r="C75" s="3">
        <f>COUNTIFS(tblOrdenes[sub_area],$A75,tblOrdenes[estado],"Cerrada",tblOrdenes[es_habil],"sí")</f>
        <v/>
      </c>
      <c r="D75" s="18">
        <f>IF(B75=0,"",C75/B75)</f>
        <v/>
      </c>
      <c r="E75" s="17">
        <f>SUMIFS(tblOrdenes[horas_efectivas],tblOrdenes[sub_area],$A75,tblOrdenes[es_habil],"sí")</f>
        <v/>
      </c>
      <c r="F75" s="17">
        <f>SUMIFS(tblOrdenes[horas_efectivas],tblOrdenes[sub_area],$A75,tblOrdenes[estado],"Cerrada",tblOrdenes[es_habil],"sí")</f>
        <v/>
      </c>
      <c r="G75" s="18">
        <f>IF(E75=0,"",F75/E75)</f>
        <v/>
      </c>
      <c r="I75" s="2" t="inlineStr">
        <is>
          <t>EMPAQUE</t>
        </is>
      </c>
    </row>
    <row r="76">
      <c r="A76" s="3" t="inlineStr">
        <is>
          <t>Vapor</t>
        </is>
      </c>
      <c r="B76" s="3">
        <f>COUNTIFS(tblOrdenes[sub_area],$A76,tblOrdenes[es_habil],"sí")</f>
        <v/>
      </c>
      <c r="C76" s="3">
        <f>COUNTIFS(tblOrdenes[sub_area],$A76,tblOrdenes[estado],"Cerrada",tblOrdenes[es_habil],"sí")</f>
        <v/>
      </c>
      <c r="D76" s="18">
        <f>IF(B76=0,"",C76/B76)</f>
        <v/>
      </c>
      <c r="E76" s="17">
        <f>SUMIFS(tblOrdenes[horas_efectivas],tblOrdenes[sub_area],$A76,tblOrdenes[es_habil],"sí")</f>
        <v/>
      </c>
      <c r="F76" s="17">
        <f>SUMIFS(tblOrdenes[horas_efectivas],tblOrdenes[sub_area],$A76,tblOrdenes[estado],"Cerrada",tblOrdenes[es_habil],"sí")</f>
        <v/>
      </c>
      <c r="G76" s="18">
        <f>IF(E76=0,"",F76/E76)</f>
        <v/>
      </c>
      <c r="I76" s="2" t="inlineStr">
        <is>
          <t>SERVICIOS</t>
        </is>
      </c>
    </row>
    <row r="77">
      <c r="A77" s="3" t="inlineStr">
        <is>
          <t>Refrigeración</t>
        </is>
      </c>
      <c r="B77" s="3">
        <f>COUNTIFS(tblOrdenes[sub_area],$A77,tblOrdenes[es_habil],"sí")</f>
        <v/>
      </c>
      <c r="C77" s="3">
        <f>COUNTIFS(tblOrdenes[sub_area],$A77,tblOrdenes[estado],"Cerrada",tblOrdenes[es_habil],"sí")</f>
        <v/>
      </c>
      <c r="D77" s="18">
        <f>IF(B77=0,"",C77/B77)</f>
        <v/>
      </c>
      <c r="E77" s="17">
        <f>SUMIFS(tblOrdenes[horas_efectivas],tblOrdenes[sub_area],$A77,tblOrdenes[es_habil],"sí")</f>
        <v/>
      </c>
      <c r="F77" s="17">
        <f>SUMIFS(tblOrdenes[horas_efectivas],tblOrdenes[sub_area],$A77,tblOrdenes[estado],"Cerrada",tblOrdenes[es_habil],"sí")</f>
        <v/>
      </c>
      <c r="G77" s="18">
        <f>IF(E77=0,"",F77/E77)</f>
        <v/>
      </c>
      <c r="I77" s="2" t="inlineStr">
        <is>
          <t>SERVICIOS</t>
        </is>
      </c>
    </row>
    <row r="78">
      <c r="A78" s="3" t="inlineStr">
        <is>
          <t>CO2</t>
        </is>
      </c>
      <c r="B78" s="3">
        <f>COUNTIFS(tblOrdenes[sub_area],$A78,tblOrdenes[es_habil],"sí")</f>
        <v/>
      </c>
      <c r="C78" s="3">
        <f>COUNTIFS(tblOrdenes[sub_area],$A78,tblOrdenes[estado],"Cerrada",tblOrdenes[es_habil],"sí")</f>
        <v/>
      </c>
      <c r="D78" s="18">
        <f>IF(B78=0,"",C78/B78)</f>
        <v/>
      </c>
      <c r="E78" s="17">
        <f>SUMIFS(tblOrdenes[horas_efectivas],tblOrdenes[sub_area],$A78,tblOrdenes[es_habil],"sí")</f>
        <v/>
      </c>
      <c r="F78" s="17">
        <f>SUMIFS(tblOrdenes[horas_efectivas],tblOrdenes[sub_area],$A78,tblOrdenes[estado],"Cerrada",tblOrdenes[es_habil],"sí")</f>
        <v/>
      </c>
      <c r="G78" s="18">
        <f>IF(E78=0,"",F78/E78)</f>
        <v/>
      </c>
      <c r="I78" s="2" t="inlineStr">
        <is>
          <t>SERVICIOS</t>
        </is>
      </c>
    </row>
    <row r="79">
      <c r="A79" s="3" t="inlineStr">
        <is>
          <t>Aire comprimido</t>
        </is>
      </c>
      <c r="B79" s="3">
        <f>COUNTIFS(tblOrdenes[sub_area],$A79,tblOrdenes[es_habil],"sí")</f>
        <v/>
      </c>
      <c r="C79" s="3">
        <f>COUNTIFS(tblOrdenes[sub_area],$A79,tblOrdenes[estado],"Cerrada",tblOrdenes[es_habil],"sí")</f>
        <v/>
      </c>
      <c r="D79" s="18">
        <f>IF(B79=0,"",C79/B79)</f>
        <v/>
      </c>
      <c r="E79" s="17">
        <f>SUMIFS(tblOrdenes[horas_efectivas],tblOrdenes[sub_area],$A79,tblOrdenes[es_habil],"sí")</f>
        <v/>
      </c>
      <c r="F79" s="17">
        <f>SUMIFS(tblOrdenes[horas_efectivas],tblOrdenes[sub_area],$A79,tblOrdenes[estado],"Cerrada",tblOrdenes[es_habil],"sí")</f>
        <v/>
      </c>
      <c r="G79" s="18">
        <f>IF(E79=0,"",F79/E79)</f>
        <v/>
      </c>
      <c r="I79" s="2" t="inlineStr">
        <is>
          <t>SERVICIOS</t>
        </is>
      </c>
    </row>
    <row r="81">
      <c r="A81" s="4" t="inlineStr">
        <is>
          <t>POR ESPECIALIDAD</t>
        </is>
      </c>
    </row>
    <row r="82">
      <c r="A82" s="5" t="inlineStr">
        <is>
          <t>valor</t>
        </is>
      </c>
      <c r="B82" s="5" t="inlineStr">
        <is>
          <t>total_ot</t>
        </is>
      </c>
      <c r="C82" s="5" t="inlineStr">
        <is>
          <t>cerradas</t>
        </is>
      </c>
      <c r="D82" s="5" t="inlineStr">
        <is>
          <t>adherencia_conteo</t>
        </is>
      </c>
      <c r="E82" s="5" t="inlineStr">
        <is>
          <t>hh_total</t>
        </is>
      </c>
      <c r="F82" s="5" t="inlineStr">
        <is>
          <t>hh_cerradas</t>
        </is>
      </c>
      <c r="G82" s="5" t="inlineStr">
        <is>
          <t>adherencia_horas</t>
        </is>
      </c>
    </row>
    <row r="83">
      <c r="A83" s="3" t="inlineStr">
        <is>
          <t>MEC</t>
        </is>
      </c>
      <c r="B83" s="3">
        <f>COUNTIFS(tblOrdenes[especialidad],$A83,tblOrdenes[es_habil],"sí")</f>
        <v/>
      </c>
      <c r="C83" s="3">
        <f>COUNTIFS(tblOrdenes[especialidad],$A83,tblOrdenes[estado],"Cerrada",tblOrdenes[es_habil],"sí")</f>
        <v/>
      </c>
      <c r="D83" s="18">
        <f>IF(B83=0,"",C83/B83)</f>
        <v/>
      </c>
      <c r="E83" s="17">
        <f>SUMIFS(tblOrdenes[horas_efectivas],tblOrdenes[especialidad],$A83,tblOrdenes[es_habil],"sí")</f>
        <v/>
      </c>
      <c r="F83" s="17">
        <f>SUMIFS(tblOrdenes[horas_efectivas],tblOrdenes[especialidad],$A83,tblOrdenes[estado],"Cerrada",tblOrdenes[es_habil],"sí")</f>
        <v/>
      </c>
      <c r="G83" s="18">
        <f>IF(E83=0,"",F83/E83)</f>
        <v/>
      </c>
    </row>
    <row r="84">
      <c r="A84" s="3" t="inlineStr">
        <is>
          <t>ELE</t>
        </is>
      </c>
      <c r="B84" s="3">
        <f>COUNTIFS(tblOrdenes[especialidad],$A84,tblOrdenes[es_habil],"sí")</f>
        <v/>
      </c>
      <c r="C84" s="3">
        <f>COUNTIFS(tblOrdenes[especialidad],$A84,tblOrdenes[estado],"Cerrada",tblOrdenes[es_habil],"sí")</f>
        <v/>
      </c>
      <c r="D84" s="18">
        <f>IF(B84=0,"",C84/B84)</f>
        <v/>
      </c>
      <c r="E84" s="17">
        <f>SUMIFS(tblOrdenes[horas_efectivas],tblOrdenes[especialidad],$A84,tblOrdenes[es_habil],"sí")</f>
        <v/>
      </c>
      <c r="F84" s="17">
        <f>SUMIFS(tblOrdenes[horas_efectivas],tblOrdenes[especialidad],$A84,tblOrdenes[estado],"Cerrada",tblOrdenes[es_habil],"sí")</f>
        <v/>
      </c>
      <c r="G84" s="18">
        <f>IF(E84=0,"",F84/E84)</f>
        <v/>
      </c>
    </row>
    <row r="85">
      <c r="A85" s="3" t="inlineStr">
        <is>
          <t>AUT</t>
        </is>
      </c>
      <c r="B85" s="3">
        <f>COUNTIFS(tblOrdenes[especialidad],$A85,tblOrdenes[es_habil],"sí")</f>
        <v/>
      </c>
      <c r="C85" s="3">
        <f>COUNTIFS(tblOrdenes[especialidad],$A85,tblOrdenes[estado],"Cerrada",tblOrdenes[es_habil],"sí")</f>
        <v/>
      </c>
      <c r="D85" s="18">
        <f>IF(B85=0,"",C85/B85)</f>
        <v/>
      </c>
      <c r="E85" s="17">
        <f>SUMIFS(tblOrdenes[horas_efectivas],tblOrdenes[especialidad],$A85,tblOrdenes[es_habil],"sí")</f>
        <v/>
      </c>
      <c r="F85" s="17">
        <f>SUMIFS(tblOrdenes[horas_efectivas],tblOrdenes[especialidad],$A85,tblOrdenes[estado],"Cerrada",tblOrdenes[es_habil],"sí")</f>
        <v/>
      </c>
      <c r="G85" s="18">
        <f>IF(E85=0,"",F85/E85)</f>
        <v/>
      </c>
    </row>
    <row r="86">
      <c r="A86" s="3" t="inlineStr">
        <is>
          <t>TERCERO</t>
        </is>
      </c>
      <c r="B86" s="3">
        <f>COUNTIFS(tblOrdenes[especialidad],$A86,tblOrdenes[es_habil],"sí")</f>
        <v/>
      </c>
      <c r="C86" s="3">
        <f>COUNTIFS(tblOrdenes[especialidad],$A86,tblOrdenes[estado],"Cerrada",tblOrdenes[es_habil],"sí")</f>
        <v/>
      </c>
      <c r="D86" s="18">
        <f>IF(B86=0,"",C86/B86)</f>
        <v/>
      </c>
      <c r="E86" s="17">
        <f>SUMIFS(tblOrdenes[horas_efectivas],tblOrdenes[especialidad],$A86,tblOrdenes[es_habil],"sí")</f>
        <v/>
      </c>
      <c r="F86" s="17">
        <f>SUMIFS(tblOrdenes[horas_efectivas],tblOrdenes[especialidad],$A86,tblOrdenes[estado],"Cerrada",tblOrdenes[es_habil],"sí")</f>
        <v/>
      </c>
      <c r="G86" s="18">
        <f>IF(E86=0,"",F86/E86)</f>
        <v/>
      </c>
    </row>
    <row r="88">
      <c r="A88" s="4" t="inlineStr">
        <is>
          <t>POR COORDINADOR</t>
        </is>
      </c>
    </row>
    <row r="89">
      <c r="A89" s="5" t="inlineStr">
        <is>
          <t>valor</t>
        </is>
      </c>
      <c r="B89" s="5" t="inlineStr">
        <is>
          <t>total_ot</t>
        </is>
      </c>
      <c r="C89" s="5" t="inlineStr">
        <is>
          <t>cerradas</t>
        </is>
      </c>
      <c r="D89" s="5" t="inlineStr">
        <is>
          <t>adherencia_conteo</t>
        </is>
      </c>
      <c r="E89" s="5" t="inlineStr">
        <is>
          <t>hh_total</t>
        </is>
      </c>
      <c r="F89" s="5" t="inlineStr">
        <is>
          <t>hh_cerradas</t>
        </is>
      </c>
      <c r="G89" s="5" t="inlineStr">
        <is>
          <t>adherencia_horas</t>
        </is>
      </c>
    </row>
    <row r="90">
      <c r="A90" s="3" t="inlineStr">
        <is>
          <t>Coordinador A</t>
        </is>
      </c>
      <c r="B90" s="3">
        <f>COUNTIFS(tblOrdenes[coordinador],$A90,tblOrdenes[es_habil],"sí")</f>
        <v/>
      </c>
      <c r="C90" s="3">
        <f>COUNTIFS(tblOrdenes[coordinador],$A90,tblOrdenes[estado],"Cerrada",tblOrdenes[es_habil],"sí")</f>
        <v/>
      </c>
      <c r="D90" s="18">
        <f>IF(B90=0,"",C90/B90)</f>
        <v/>
      </c>
      <c r="E90" s="17">
        <f>SUMIFS(tblOrdenes[horas_efectivas],tblOrdenes[coordinador],$A90,tblOrdenes[es_habil],"sí")</f>
        <v/>
      </c>
      <c r="F90" s="17">
        <f>SUMIFS(tblOrdenes[horas_efectivas],tblOrdenes[coordinador],$A90,tblOrdenes[estado],"Cerrada",tblOrdenes[es_habil],"sí")</f>
        <v/>
      </c>
      <c r="G90" s="18">
        <f>IF(E90=0,"",F90/E90)</f>
        <v/>
      </c>
    </row>
    <row r="91">
      <c r="A91" s="3" t="inlineStr">
        <is>
          <t>Coordinador B</t>
        </is>
      </c>
      <c r="B91" s="3">
        <f>COUNTIFS(tblOrdenes[coordinador],$A91,tblOrdenes[es_habil],"sí")</f>
        <v/>
      </c>
      <c r="C91" s="3">
        <f>COUNTIFS(tblOrdenes[coordinador],$A91,tblOrdenes[estado],"Cerrada",tblOrdenes[es_habil],"sí")</f>
        <v/>
      </c>
      <c r="D91" s="18">
        <f>IF(B91=0,"",C91/B91)</f>
        <v/>
      </c>
      <c r="E91" s="17">
        <f>SUMIFS(tblOrdenes[horas_efectivas],tblOrdenes[coordinador],$A91,tblOrdenes[es_habil],"sí")</f>
        <v/>
      </c>
      <c r="F91" s="17">
        <f>SUMIFS(tblOrdenes[horas_efectivas],tblOrdenes[coordinador],$A91,tblOrdenes[estado],"Cerrada",tblOrdenes[es_habil],"sí")</f>
        <v/>
      </c>
      <c r="G91" s="18">
        <f>IF(E91=0,"",F91/E91)</f>
        <v/>
      </c>
    </row>
    <row r="92">
      <c r="A92" s="3" t="inlineStr">
        <is>
          <t>Coordinador C</t>
        </is>
      </c>
      <c r="B92" s="3">
        <f>COUNTIFS(tblOrdenes[coordinador],$A92,tblOrdenes[es_habil],"sí")</f>
        <v/>
      </c>
      <c r="C92" s="3">
        <f>COUNTIFS(tblOrdenes[coordinador],$A92,tblOrdenes[estado],"Cerrada",tblOrdenes[es_habil],"sí")</f>
        <v/>
      </c>
      <c r="D92" s="18">
        <f>IF(B92=0,"",C92/B92)</f>
        <v/>
      </c>
      <c r="E92" s="17">
        <f>SUMIFS(tblOrdenes[horas_efectivas],tblOrdenes[coordinador],$A92,tblOrdenes[es_habil],"sí")</f>
        <v/>
      </c>
      <c r="F92" s="17">
        <f>SUMIFS(tblOrdenes[horas_efectivas],tblOrdenes[coordinador],$A92,tblOrdenes[estado],"Cerrada",tblOrdenes[es_habil],"sí")</f>
        <v/>
      </c>
      <c r="G92" s="18">
        <f>IF(E92=0,"",F92/E92)</f>
        <v/>
      </c>
    </row>
    <row r="94">
      <c r="A94" s="4" t="inlineStr">
        <is>
          <t>POR CLASIFICACIÓN</t>
        </is>
      </c>
    </row>
    <row r="95">
      <c r="A95" s="5" t="inlineStr">
        <is>
          <t>valor</t>
        </is>
      </c>
      <c r="B95" s="5" t="inlineStr">
        <is>
          <t>total_ot</t>
        </is>
      </c>
      <c r="C95" s="5" t="inlineStr">
        <is>
          <t>cerradas</t>
        </is>
      </c>
      <c r="D95" s="5" t="inlineStr">
        <is>
          <t>adherencia_conteo</t>
        </is>
      </c>
      <c r="E95" s="5" t="inlineStr">
        <is>
          <t>hh_total</t>
        </is>
      </c>
      <c r="F95" s="5" t="inlineStr">
        <is>
          <t>hh_cerradas</t>
        </is>
      </c>
      <c r="G95" s="5" t="inlineStr">
        <is>
          <t>adherencia_horas</t>
        </is>
      </c>
    </row>
    <row r="96">
      <c r="A96" s="3" t="inlineStr">
        <is>
          <t>preventiva</t>
        </is>
      </c>
      <c r="B96" s="3">
        <f>COUNTIFS(tblOrdenes[clasificacion],$A96,tblOrdenes[es_habil],"sí")</f>
        <v/>
      </c>
      <c r="C96" s="3">
        <f>COUNTIFS(tblOrdenes[clasificacion],$A96,tblOrdenes[estado],"Cerrada",tblOrdenes[es_habil],"sí")</f>
        <v/>
      </c>
      <c r="D96" s="18">
        <f>IF(B96=0,"",C96/B96)</f>
        <v/>
      </c>
      <c r="E96" s="17">
        <f>SUMIFS(tblOrdenes[horas_efectivas],tblOrdenes[clasificacion],$A96,tblOrdenes[es_habil],"sí")</f>
        <v/>
      </c>
      <c r="F96" s="17">
        <f>SUMIFS(tblOrdenes[horas_efectivas],tblOrdenes[clasificacion],$A96,tblOrdenes[estado],"Cerrada",tblOrdenes[es_habil],"sí")</f>
        <v/>
      </c>
      <c r="G96" s="18">
        <f>IF(E96=0,"",F96/E96)</f>
        <v/>
      </c>
    </row>
    <row r="97">
      <c r="A97" s="3" t="inlineStr">
        <is>
          <t>correctiva</t>
        </is>
      </c>
      <c r="B97" s="3">
        <f>COUNTIFS(tblOrdenes[clasificacion],$A97,tblOrdenes[es_habil],"sí")</f>
        <v/>
      </c>
      <c r="C97" s="3">
        <f>COUNTIFS(tblOrdenes[clasificacion],$A97,tblOrdenes[estado],"Cerrada",tblOrdenes[es_habil],"sí")</f>
        <v/>
      </c>
      <c r="D97" s="18">
        <f>IF(B97=0,"",C97/B97)</f>
        <v/>
      </c>
      <c r="E97" s="17">
        <f>SUMIFS(tblOrdenes[horas_efectivas],tblOrdenes[clasificacion],$A97,tblOrdenes[es_habil],"sí")</f>
        <v/>
      </c>
      <c r="F97" s="17">
        <f>SUMIFS(tblOrdenes[horas_efectivas],tblOrdenes[clasificacion],$A97,tblOrdenes[estado],"Cerrada",tblOrdenes[es_habil],"sí")</f>
        <v/>
      </c>
      <c r="G97" s="18">
        <f>IF(E97=0,"",F97/E97)</f>
        <v/>
      </c>
    </row>
    <row r="98">
      <c r="A98" s="3" t="inlineStr">
        <is>
          <t>sin_clasificar</t>
        </is>
      </c>
      <c r="B98" s="3">
        <f>COUNTIFS(tblOrdenes[clasificacion],$A98,tblOrdenes[es_habil],"sí")</f>
        <v/>
      </c>
      <c r="C98" s="3">
        <f>COUNTIFS(tblOrdenes[clasificacion],$A98,tblOrdenes[estado],"Cerrada",tblOrdenes[es_habil],"sí")</f>
        <v/>
      </c>
      <c r="D98" s="18">
        <f>IF(B98=0,"",C98/B98)</f>
        <v/>
      </c>
      <c r="E98" s="17">
        <f>SUMIFS(tblOrdenes[horas_efectivas],tblOrdenes[clasificacion],$A98,tblOrdenes[es_habil],"sí")</f>
        <v/>
      </c>
      <c r="F98" s="17">
        <f>SUMIFS(tblOrdenes[horas_efectivas],tblOrdenes[clasificacion],$A98,tblOrdenes[estado],"Cerrada",tblOrdenes[es_habil],"sí")</f>
        <v/>
      </c>
      <c r="G98" s="18">
        <f>IF(E98=0,"",F98/E98)</f>
        <v/>
      </c>
    </row>
    <row r="100">
      <c r="A100" s="4" t="inlineStr">
        <is>
          <t>POR TÉCNICO</t>
        </is>
      </c>
    </row>
    <row r="101">
      <c r="A101" s="5" t="inlineStr">
        <is>
          <t>valor</t>
        </is>
      </c>
      <c r="B101" s="5" t="inlineStr">
        <is>
          <t>total_ot</t>
        </is>
      </c>
      <c r="C101" s="5" t="inlineStr">
        <is>
          <t>cerradas</t>
        </is>
      </c>
      <c r="D101" s="5" t="inlineStr">
        <is>
          <t>adherencia_conteo</t>
        </is>
      </c>
      <c r="E101" s="5" t="inlineStr">
        <is>
          <t>hh_total</t>
        </is>
      </c>
      <c r="F101" s="5" t="inlineStr">
        <is>
          <t>hh_cerradas</t>
        </is>
      </c>
      <c r="G101" s="5" t="inlineStr">
        <is>
          <t>adherencia_horas</t>
        </is>
      </c>
    </row>
    <row r="102">
      <c r="A102" s="3" t="inlineStr">
        <is>
          <t>Técnico 01</t>
        </is>
      </c>
      <c r="B102" s="3">
        <f>COUNTIFS(tblOrdenes[tecnico_asignado],$A102,tblOrdenes[es_habil],"sí")</f>
        <v/>
      </c>
      <c r="C102" s="3">
        <f>COUNTIFS(tblOrdenes[tecnico_asignado],$A102,tblOrdenes[estado],"Cerrada",tblOrdenes[es_habil],"sí")</f>
        <v/>
      </c>
      <c r="D102" s="18">
        <f>IF(B102=0,"",C102/B102)</f>
        <v/>
      </c>
      <c r="E102" s="17">
        <f>SUMIFS(tblOrdenes[horas_efectivas],tblOrdenes[tecnico_asignado],$A102,tblOrdenes[es_habil],"sí")</f>
        <v/>
      </c>
      <c r="F102" s="17">
        <f>SUMIFS(tblOrdenes[horas_efectivas],tblOrdenes[tecnico_asignado],$A102,tblOrdenes[estado],"Cerrada",tblOrdenes[es_habil],"sí")</f>
        <v/>
      </c>
      <c r="G102" s="18">
        <f>IF(E102=0,"",F102/E102)</f>
        <v/>
      </c>
    </row>
    <row r="103">
      <c r="A103" s="3" t="inlineStr">
        <is>
          <t>Técnico 02</t>
        </is>
      </c>
      <c r="B103" s="3">
        <f>COUNTIFS(tblOrdenes[tecnico_asignado],$A103,tblOrdenes[es_habil],"sí")</f>
        <v/>
      </c>
      <c r="C103" s="3">
        <f>COUNTIFS(tblOrdenes[tecnico_asignado],$A103,tblOrdenes[estado],"Cerrada",tblOrdenes[es_habil],"sí")</f>
        <v/>
      </c>
      <c r="D103" s="18">
        <f>IF(B103=0,"",C103/B103)</f>
        <v/>
      </c>
      <c r="E103" s="17">
        <f>SUMIFS(tblOrdenes[horas_efectivas],tblOrdenes[tecnico_asignado],$A103,tblOrdenes[es_habil],"sí")</f>
        <v/>
      </c>
      <c r="F103" s="17">
        <f>SUMIFS(tblOrdenes[horas_efectivas],tblOrdenes[tecnico_asignado],$A103,tblOrdenes[estado],"Cerrada",tblOrdenes[es_habil],"sí")</f>
        <v/>
      </c>
      <c r="G103" s="18">
        <f>IF(E103=0,"",F103/E103)</f>
        <v/>
      </c>
    </row>
    <row r="104">
      <c r="A104" s="3" t="inlineStr">
        <is>
          <t>Técnico 03</t>
        </is>
      </c>
      <c r="B104" s="3">
        <f>COUNTIFS(tblOrdenes[tecnico_asignado],$A104,tblOrdenes[es_habil],"sí")</f>
        <v/>
      </c>
      <c r="C104" s="3">
        <f>COUNTIFS(tblOrdenes[tecnico_asignado],$A104,tblOrdenes[estado],"Cerrada",tblOrdenes[es_habil],"sí")</f>
        <v/>
      </c>
      <c r="D104" s="18">
        <f>IF(B104=0,"",C104/B104)</f>
        <v/>
      </c>
      <c r="E104" s="17">
        <f>SUMIFS(tblOrdenes[horas_efectivas],tblOrdenes[tecnico_asignado],$A104,tblOrdenes[es_habil],"sí")</f>
        <v/>
      </c>
      <c r="F104" s="17">
        <f>SUMIFS(tblOrdenes[horas_efectivas],tblOrdenes[tecnico_asignado],$A104,tblOrdenes[estado],"Cerrada",tblOrdenes[es_habil],"sí")</f>
        <v/>
      </c>
      <c r="G104" s="18">
        <f>IF(E104=0,"",F104/E104)</f>
        <v/>
      </c>
    </row>
    <row r="105">
      <c r="A105" s="3" t="inlineStr">
        <is>
          <t>Técnico 04</t>
        </is>
      </c>
      <c r="B105" s="3">
        <f>COUNTIFS(tblOrdenes[tecnico_asignado],$A105,tblOrdenes[es_habil],"sí")</f>
        <v/>
      </c>
      <c r="C105" s="3">
        <f>COUNTIFS(tblOrdenes[tecnico_asignado],$A105,tblOrdenes[estado],"Cerrada",tblOrdenes[es_habil],"sí")</f>
        <v/>
      </c>
      <c r="D105" s="18">
        <f>IF(B105=0,"",C105/B105)</f>
        <v/>
      </c>
      <c r="E105" s="17">
        <f>SUMIFS(tblOrdenes[horas_efectivas],tblOrdenes[tecnico_asignado],$A105,tblOrdenes[es_habil],"sí")</f>
        <v/>
      </c>
      <c r="F105" s="17">
        <f>SUMIFS(tblOrdenes[horas_efectivas],tblOrdenes[tecnico_asignado],$A105,tblOrdenes[estado],"Cerrada",tblOrdenes[es_habil],"sí")</f>
        <v/>
      </c>
      <c r="G105" s="18">
        <f>IF(E105=0,"",F105/E105)</f>
        <v/>
      </c>
    </row>
    <row r="106">
      <c r="A106" s="3" t="inlineStr">
        <is>
          <t>Técnico 05</t>
        </is>
      </c>
      <c r="B106" s="3">
        <f>COUNTIFS(tblOrdenes[tecnico_asignado],$A106,tblOrdenes[es_habil],"sí")</f>
        <v/>
      </c>
      <c r="C106" s="3">
        <f>COUNTIFS(tblOrdenes[tecnico_asignado],$A106,tblOrdenes[estado],"Cerrada",tblOrdenes[es_habil],"sí")</f>
        <v/>
      </c>
      <c r="D106" s="18">
        <f>IF(B106=0,"",C106/B106)</f>
        <v/>
      </c>
      <c r="E106" s="17">
        <f>SUMIFS(tblOrdenes[horas_efectivas],tblOrdenes[tecnico_asignado],$A106,tblOrdenes[es_habil],"sí")</f>
        <v/>
      </c>
      <c r="F106" s="17">
        <f>SUMIFS(tblOrdenes[horas_efectivas],tblOrdenes[tecnico_asignado],$A106,tblOrdenes[estado],"Cerrada",tblOrdenes[es_habil],"sí")</f>
        <v/>
      </c>
      <c r="G106" s="18">
        <f>IF(E106=0,"",F106/E106)</f>
        <v/>
      </c>
    </row>
    <row r="107">
      <c r="A107" s="3" t="inlineStr">
        <is>
          <t>Técnico 06</t>
        </is>
      </c>
      <c r="B107" s="3">
        <f>COUNTIFS(tblOrdenes[tecnico_asignado],$A107,tblOrdenes[es_habil],"sí")</f>
        <v/>
      </c>
      <c r="C107" s="3">
        <f>COUNTIFS(tblOrdenes[tecnico_asignado],$A107,tblOrdenes[estado],"Cerrada",tblOrdenes[es_habil],"sí")</f>
        <v/>
      </c>
      <c r="D107" s="18">
        <f>IF(B107=0,"",C107/B107)</f>
        <v/>
      </c>
      <c r="E107" s="17">
        <f>SUMIFS(tblOrdenes[horas_efectivas],tblOrdenes[tecnico_asignado],$A107,tblOrdenes[es_habil],"sí")</f>
        <v/>
      </c>
      <c r="F107" s="17">
        <f>SUMIFS(tblOrdenes[horas_efectivas],tblOrdenes[tecnico_asignado],$A107,tblOrdenes[estado],"Cerrada",tblOrdenes[es_habil],"sí")</f>
        <v/>
      </c>
      <c r="G107" s="18">
        <f>IF(E107=0,"",F107/E107)</f>
        <v/>
      </c>
    </row>
    <row r="108">
      <c r="A108" s="3" t="inlineStr">
        <is>
          <t>Técnico 07</t>
        </is>
      </c>
      <c r="B108" s="3">
        <f>COUNTIFS(tblOrdenes[tecnico_asignado],$A108,tblOrdenes[es_habil],"sí")</f>
        <v/>
      </c>
      <c r="C108" s="3">
        <f>COUNTIFS(tblOrdenes[tecnico_asignado],$A108,tblOrdenes[estado],"Cerrada",tblOrdenes[es_habil],"sí")</f>
        <v/>
      </c>
      <c r="D108" s="18">
        <f>IF(B108=0,"",C108/B108)</f>
        <v/>
      </c>
      <c r="E108" s="17">
        <f>SUMIFS(tblOrdenes[horas_efectivas],tblOrdenes[tecnico_asignado],$A108,tblOrdenes[es_habil],"sí")</f>
        <v/>
      </c>
      <c r="F108" s="17">
        <f>SUMIFS(tblOrdenes[horas_efectivas],tblOrdenes[tecnico_asignado],$A108,tblOrdenes[estado],"Cerrada",tblOrdenes[es_habil],"sí")</f>
        <v/>
      </c>
      <c r="G108" s="18">
        <f>IF(E108=0,"",F108/E108)</f>
        <v/>
      </c>
    </row>
    <row r="109">
      <c r="A109" s="3" t="inlineStr">
        <is>
          <t>Técnico 08</t>
        </is>
      </c>
      <c r="B109" s="3">
        <f>COUNTIFS(tblOrdenes[tecnico_asignado],$A109,tblOrdenes[es_habil],"sí")</f>
        <v/>
      </c>
      <c r="C109" s="3">
        <f>COUNTIFS(tblOrdenes[tecnico_asignado],$A109,tblOrdenes[estado],"Cerrada",tblOrdenes[es_habil],"sí")</f>
        <v/>
      </c>
      <c r="D109" s="18">
        <f>IF(B109=0,"",C109/B109)</f>
        <v/>
      </c>
      <c r="E109" s="17">
        <f>SUMIFS(tblOrdenes[horas_efectivas],tblOrdenes[tecnico_asignado],$A109,tblOrdenes[es_habil],"sí")</f>
        <v/>
      </c>
      <c r="F109" s="17">
        <f>SUMIFS(tblOrdenes[horas_efectivas],tblOrdenes[tecnico_asignado],$A109,tblOrdenes[estado],"Cerrada",tblOrdenes[es_habil],"sí")</f>
        <v/>
      </c>
      <c r="G109" s="18">
        <f>IF(E109=0,"",F109/E109)</f>
        <v/>
      </c>
    </row>
    <row r="110">
      <c r="A110" s="3" t="inlineStr">
        <is>
          <t>Técnico 09</t>
        </is>
      </c>
      <c r="B110" s="3">
        <f>COUNTIFS(tblOrdenes[tecnico_asignado],$A110,tblOrdenes[es_habil],"sí")</f>
        <v/>
      </c>
      <c r="C110" s="3">
        <f>COUNTIFS(tblOrdenes[tecnico_asignado],$A110,tblOrdenes[estado],"Cerrada",tblOrdenes[es_habil],"sí")</f>
        <v/>
      </c>
      <c r="D110" s="18">
        <f>IF(B110=0,"",C110/B110)</f>
        <v/>
      </c>
      <c r="E110" s="17">
        <f>SUMIFS(tblOrdenes[horas_efectivas],tblOrdenes[tecnico_asignado],$A110,tblOrdenes[es_habil],"sí")</f>
        <v/>
      </c>
      <c r="F110" s="17">
        <f>SUMIFS(tblOrdenes[horas_efectivas],tblOrdenes[tecnico_asignado],$A110,tblOrdenes[estado],"Cerrada",tblOrdenes[es_habil],"sí")</f>
        <v/>
      </c>
      <c r="G110" s="18">
        <f>IF(E110=0,"",F110/E110)</f>
        <v/>
      </c>
    </row>
    <row r="111">
      <c r="A111" s="3" t="inlineStr">
        <is>
          <t>Técnico 10</t>
        </is>
      </c>
      <c r="B111" s="3">
        <f>COUNTIFS(tblOrdenes[tecnico_asignado],$A111,tblOrdenes[es_habil],"sí")</f>
        <v/>
      </c>
      <c r="C111" s="3">
        <f>COUNTIFS(tblOrdenes[tecnico_asignado],$A111,tblOrdenes[estado],"Cerrada",tblOrdenes[es_habil],"sí")</f>
        <v/>
      </c>
      <c r="D111" s="18">
        <f>IF(B111=0,"",C111/B111)</f>
        <v/>
      </c>
      <c r="E111" s="17">
        <f>SUMIFS(tblOrdenes[horas_efectivas],tblOrdenes[tecnico_asignado],$A111,tblOrdenes[es_habil],"sí")</f>
        <v/>
      </c>
      <c r="F111" s="17">
        <f>SUMIFS(tblOrdenes[horas_efectivas],tblOrdenes[tecnico_asignado],$A111,tblOrdenes[estado],"Cerrada",tblOrdenes[es_habil],"sí")</f>
        <v/>
      </c>
      <c r="G111" s="18">
        <f>IF(E111=0,"",F111/E111)</f>
        <v/>
      </c>
    </row>
    <row r="112">
      <c r="A112" s="3" t="inlineStr">
        <is>
          <t>Técnico 11</t>
        </is>
      </c>
      <c r="B112" s="3">
        <f>COUNTIFS(tblOrdenes[tecnico_asignado],$A112,tblOrdenes[es_habil],"sí")</f>
        <v/>
      </c>
      <c r="C112" s="3">
        <f>COUNTIFS(tblOrdenes[tecnico_asignado],$A112,tblOrdenes[estado],"Cerrada",tblOrdenes[es_habil],"sí")</f>
        <v/>
      </c>
      <c r="D112" s="18">
        <f>IF(B112=0,"",C112/B112)</f>
        <v/>
      </c>
      <c r="E112" s="17">
        <f>SUMIFS(tblOrdenes[horas_efectivas],tblOrdenes[tecnico_asignado],$A112,tblOrdenes[es_habil],"sí")</f>
        <v/>
      </c>
      <c r="F112" s="17">
        <f>SUMIFS(tblOrdenes[horas_efectivas],tblOrdenes[tecnico_asignado],$A112,tblOrdenes[estado],"Cerrada",tblOrdenes[es_habil],"sí")</f>
        <v/>
      </c>
      <c r="G112" s="18">
        <f>IF(E112=0,"",F112/E112)</f>
        <v/>
      </c>
    </row>
    <row r="113">
      <c r="A113" s="3" t="inlineStr">
        <is>
          <t>Técnico 12</t>
        </is>
      </c>
      <c r="B113" s="3">
        <f>COUNTIFS(tblOrdenes[tecnico_asignado],$A113,tblOrdenes[es_habil],"sí")</f>
        <v/>
      </c>
      <c r="C113" s="3">
        <f>COUNTIFS(tblOrdenes[tecnico_asignado],$A113,tblOrdenes[estado],"Cerrada",tblOrdenes[es_habil],"sí")</f>
        <v/>
      </c>
      <c r="D113" s="18">
        <f>IF(B113=0,"",C113/B113)</f>
        <v/>
      </c>
      <c r="E113" s="17">
        <f>SUMIFS(tblOrdenes[horas_efectivas],tblOrdenes[tecnico_asignado],$A113,tblOrdenes[es_habil],"sí")</f>
        <v/>
      </c>
      <c r="F113" s="17">
        <f>SUMIFS(tblOrdenes[horas_efectivas],tblOrdenes[tecnico_asignado],$A113,tblOrdenes[estado],"Cerrada",tblOrdenes[es_habil],"sí")</f>
        <v/>
      </c>
      <c r="G113" s="18">
        <f>IF(E113=0,"",F113/E113)</f>
        <v/>
      </c>
    </row>
    <row r="114">
      <c r="A114" s="3" t="inlineStr">
        <is>
          <t>Técnico 13</t>
        </is>
      </c>
      <c r="B114" s="3">
        <f>COUNTIFS(tblOrdenes[tecnico_asignado],$A114,tblOrdenes[es_habil],"sí")</f>
        <v/>
      </c>
      <c r="C114" s="3">
        <f>COUNTIFS(tblOrdenes[tecnico_asignado],$A114,tblOrdenes[estado],"Cerrada",tblOrdenes[es_habil],"sí")</f>
        <v/>
      </c>
      <c r="D114" s="18">
        <f>IF(B114=0,"",C114/B114)</f>
        <v/>
      </c>
      <c r="E114" s="17">
        <f>SUMIFS(tblOrdenes[horas_efectivas],tblOrdenes[tecnico_asignado],$A114,tblOrdenes[es_habil],"sí")</f>
        <v/>
      </c>
      <c r="F114" s="17">
        <f>SUMIFS(tblOrdenes[horas_efectivas],tblOrdenes[tecnico_asignado],$A114,tblOrdenes[estado],"Cerrada",tblOrdenes[es_habil],"sí")</f>
        <v/>
      </c>
      <c r="G114" s="18">
        <f>IF(E114=0,"",F114/E114)</f>
        <v/>
      </c>
    </row>
    <row r="115">
      <c r="A115" s="3" t="inlineStr">
        <is>
          <t>Técnico 14</t>
        </is>
      </c>
      <c r="B115" s="3">
        <f>COUNTIFS(tblOrdenes[tecnico_asignado],$A115,tblOrdenes[es_habil],"sí")</f>
        <v/>
      </c>
      <c r="C115" s="3">
        <f>COUNTIFS(tblOrdenes[tecnico_asignado],$A115,tblOrdenes[estado],"Cerrada",tblOrdenes[es_habil],"sí")</f>
        <v/>
      </c>
      <c r="D115" s="18">
        <f>IF(B115=0,"",C115/B115)</f>
        <v/>
      </c>
      <c r="E115" s="17">
        <f>SUMIFS(tblOrdenes[horas_efectivas],tblOrdenes[tecnico_asignado],$A115,tblOrdenes[es_habil],"sí")</f>
        <v/>
      </c>
      <c r="F115" s="17">
        <f>SUMIFS(tblOrdenes[horas_efectivas],tblOrdenes[tecnico_asignado],$A115,tblOrdenes[estado],"Cerrada",tblOrdenes[es_habil],"sí")</f>
        <v/>
      </c>
      <c r="G115" s="18">
        <f>IF(E115=0,"",F115/E115)</f>
        <v/>
      </c>
    </row>
    <row r="116">
      <c r="A116" s="3" t="inlineStr">
        <is>
          <t>Técnico 15</t>
        </is>
      </c>
      <c r="B116" s="3">
        <f>COUNTIFS(tblOrdenes[tecnico_asignado],$A116,tblOrdenes[es_habil],"sí")</f>
        <v/>
      </c>
      <c r="C116" s="3">
        <f>COUNTIFS(tblOrdenes[tecnico_asignado],$A116,tblOrdenes[estado],"Cerrada",tblOrdenes[es_habil],"sí")</f>
        <v/>
      </c>
      <c r="D116" s="18">
        <f>IF(B116=0,"",C116/B116)</f>
        <v/>
      </c>
      <c r="E116" s="17">
        <f>SUMIFS(tblOrdenes[horas_efectivas],tblOrdenes[tecnico_asignado],$A116,tblOrdenes[es_habil],"sí")</f>
        <v/>
      </c>
      <c r="F116" s="17">
        <f>SUMIFS(tblOrdenes[horas_efectivas],tblOrdenes[tecnico_asignado],$A116,tblOrdenes[estado],"Cerrada",tblOrdenes[es_habil],"sí")</f>
        <v/>
      </c>
      <c r="G116" s="18">
        <f>IF(E116=0,"",F116/E116)</f>
        <v/>
      </c>
    </row>
    <row r="117">
      <c r="A117" s="3" t="inlineStr">
        <is>
          <t>Técnico 16</t>
        </is>
      </c>
      <c r="B117" s="3">
        <f>COUNTIFS(tblOrdenes[tecnico_asignado],$A117,tblOrdenes[es_habil],"sí")</f>
        <v/>
      </c>
      <c r="C117" s="3">
        <f>COUNTIFS(tblOrdenes[tecnico_asignado],$A117,tblOrdenes[estado],"Cerrada",tblOrdenes[es_habil],"sí")</f>
        <v/>
      </c>
      <c r="D117" s="18">
        <f>IF(B117=0,"",C117/B117)</f>
        <v/>
      </c>
      <c r="E117" s="17">
        <f>SUMIFS(tblOrdenes[horas_efectivas],tblOrdenes[tecnico_asignado],$A117,tblOrdenes[es_habil],"sí")</f>
        <v/>
      </c>
      <c r="F117" s="17">
        <f>SUMIFS(tblOrdenes[horas_efectivas],tblOrdenes[tecnico_asignado],$A117,tblOrdenes[estado],"Cerrada",tblOrdenes[es_habil],"sí")</f>
        <v/>
      </c>
      <c r="G117" s="18">
        <f>IF(E117=0,"",F117/E117)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17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17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9</v>
      </c>
      <c r="J5" s="5" t="n">
        <v>11</v>
      </c>
      <c r="K5" s="5" t="n">
        <v>12</v>
      </c>
      <c r="L5" s="5" t="n">
        <v>1</v>
      </c>
      <c r="M5" s="5" t="inlineStr">
        <is>
          <t>TOTAL</t>
        </is>
      </c>
    </row>
    <row r="6">
      <c r="A6" s="3" t="inlineStr">
        <is>
          <t>PRODUCCION</t>
        </is>
      </c>
      <c r="B6" s="11">
        <f>SUMIFS(tblOrdenes[costo_plan],tblOrdenes[area],$A6,tblOrdenes[anio],B$4,tblOrdenes[mes],B$5)</f>
        <v/>
      </c>
      <c r="C6" s="11">
        <f>SUMIFS(tblOrdenes[costo_plan],tblOrdenes[area],$A6,tblOrdenes[anio],C$4,tblOrdenes[mes],C$5)</f>
        <v/>
      </c>
      <c r="D6" s="11">
        <f>SUMIFS(tblOrdenes[costo_plan],tblOrdenes[area],$A6,tblOrdenes[anio],D$4,tblOrdenes[mes],D$5)</f>
        <v/>
      </c>
      <c r="E6" s="11">
        <f>SUMIFS(tblOrdenes[costo_plan],tblOrdenes[area],$A6,tblOrdenes[anio],E$4,tblOrdenes[mes],E$5)</f>
        <v/>
      </c>
      <c r="F6" s="11">
        <f>SUMIFS(tblOrdenes[costo_plan],tblOrdenes[area],$A6,tblOrdenes[anio],F$4,tblOrdenes[mes],F$5)</f>
        <v/>
      </c>
      <c r="G6" s="11">
        <f>SUMIFS(tblOrdenes[costo_plan],tblOrdenes[area],$A6,tblOrdenes[anio],G$4,tblOrdenes[mes],G$5)</f>
        <v/>
      </c>
      <c r="H6" s="11">
        <f>SUMIFS(tblOrdenes[costo_plan],tblOrdenes[area],$A6,tblOrdenes[anio],H$4,tblOrdenes[mes],H$5)</f>
        <v/>
      </c>
      <c r="I6" s="11">
        <f>SUMIFS(tblOrdenes[costo_plan],tblOrdenes[area],$A6,tblOrdenes[anio],I$4,tblOrdenes[mes],I$5)</f>
        <v/>
      </c>
      <c r="J6" s="11">
        <f>SUMIFS(tblOrdenes[costo_plan],tblOrdenes[area],$A6,tblOrdenes[anio],J$4,tblOrdenes[mes],J$5)</f>
        <v/>
      </c>
      <c r="K6" s="11">
        <f>SUMIFS(tblOrdenes[costo_plan],tblOrdenes[area],$A6,tblOrdenes[anio],K$4,tblOrdenes[mes],K$5)</f>
        <v/>
      </c>
      <c r="L6" s="11">
        <f>SUMIFS(tblOrdenes[costo_plan],tblOrdenes[area],$A6,tblOrdenes[anio],L$4,tblOrdenes[mes],L$5)</f>
        <v/>
      </c>
      <c r="M6" s="11">
        <f>SUM(B6:L6)</f>
        <v/>
      </c>
    </row>
    <row r="7">
      <c r="A7" s="3" t="inlineStr">
        <is>
          <t>EMPAQUE</t>
        </is>
      </c>
      <c r="B7" s="11">
        <f>SUMIFS(tblOrdenes[costo_plan],tblOrdenes[area],$A7,tblOrdenes[anio],B$4,tblOrdenes[mes],B$5)</f>
        <v/>
      </c>
      <c r="C7" s="11">
        <f>SUMIFS(tblOrdenes[costo_plan],tblOrdenes[area],$A7,tblOrdenes[anio],C$4,tblOrdenes[mes],C$5)</f>
        <v/>
      </c>
      <c r="D7" s="11">
        <f>SUMIFS(tblOrdenes[costo_plan],tblOrdenes[area],$A7,tblOrdenes[anio],D$4,tblOrdenes[mes],D$5)</f>
        <v/>
      </c>
      <c r="E7" s="11">
        <f>SUMIFS(tblOrdenes[costo_plan],tblOrdenes[area],$A7,tblOrdenes[anio],E$4,tblOrdenes[mes],E$5)</f>
        <v/>
      </c>
      <c r="F7" s="11">
        <f>SUMIFS(tblOrdenes[costo_plan],tblOrdenes[area],$A7,tblOrdenes[anio],F$4,tblOrdenes[mes],F$5)</f>
        <v/>
      </c>
      <c r="G7" s="11">
        <f>SUMIFS(tblOrdenes[costo_plan],tblOrdenes[area],$A7,tblOrdenes[anio],G$4,tblOrdenes[mes],G$5)</f>
        <v/>
      </c>
      <c r="H7" s="11">
        <f>SUMIFS(tblOrdenes[costo_plan],tblOrdenes[area],$A7,tblOrdenes[anio],H$4,tblOrdenes[mes],H$5)</f>
        <v/>
      </c>
      <c r="I7" s="11">
        <f>SUMIFS(tblOrdenes[costo_plan],tblOrdenes[area],$A7,tblOrdenes[anio],I$4,tblOrdenes[mes],I$5)</f>
        <v/>
      </c>
      <c r="J7" s="11">
        <f>SUMIFS(tblOrdenes[costo_plan],tblOrdenes[area],$A7,tblOrdenes[anio],J$4,tblOrdenes[mes],J$5)</f>
        <v/>
      </c>
      <c r="K7" s="11">
        <f>SUMIFS(tblOrdenes[costo_plan],tblOrdenes[area],$A7,tblOrdenes[anio],K$4,tblOrdenes[mes],K$5)</f>
        <v/>
      </c>
      <c r="L7" s="11">
        <f>SUMIFS(tblOrdenes[costo_plan],tblOrdenes[area],$A7,tblOrdenes[anio],L$4,tblOrdenes[mes],L$5)</f>
        <v/>
      </c>
      <c r="M7" s="11">
        <f>SUM(B7:L7)</f>
        <v/>
      </c>
    </row>
    <row r="8">
      <c r="A8" s="3" t="inlineStr">
        <is>
          <t>SERVICIOS</t>
        </is>
      </c>
      <c r="B8" s="11">
        <f>SUMIFS(tblOrdenes[costo_plan],tblOrdenes[area],$A8,tblOrdenes[anio],B$4,tblOrdenes[mes],B$5)</f>
        <v/>
      </c>
      <c r="C8" s="11">
        <f>SUMIFS(tblOrdenes[costo_plan],tblOrdenes[area],$A8,tblOrdenes[anio],C$4,tblOrdenes[mes],C$5)</f>
        <v/>
      </c>
      <c r="D8" s="11">
        <f>SUMIFS(tblOrdenes[costo_plan],tblOrdenes[area],$A8,tblOrdenes[anio],D$4,tblOrdenes[mes],D$5)</f>
        <v/>
      </c>
      <c r="E8" s="11">
        <f>SUMIFS(tblOrdenes[costo_plan],tblOrdenes[area],$A8,tblOrdenes[anio],E$4,tblOrdenes[mes],E$5)</f>
        <v/>
      </c>
      <c r="F8" s="11">
        <f>SUMIFS(tblOrdenes[costo_plan],tblOrdenes[area],$A8,tblOrdenes[anio],F$4,tblOrdenes[mes],F$5)</f>
        <v/>
      </c>
      <c r="G8" s="11">
        <f>SUMIFS(tblOrdenes[costo_plan],tblOrdenes[area],$A8,tblOrdenes[anio],G$4,tblOrdenes[mes],G$5)</f>
        <v/>
      </c>
      <c r="H8" s="11">
        <f>SUMIFS(tblOrdenes[costo_plan],tblOrdenes[area],$A8,tblOrdenes[anio],H$4,tblOrdenes[mes],H$5)</f>
        <v/>
      </c>
      <c r="I8" s="11">
        <f>SUMIFS(tblOrdenes[costo_plan],tblOrdenes[area],$A8,tblOrdenes[anio],I$4,tblOrdenes[mes],I$5)</f>
        <v/>
      </c>
      <c r="J8" s="11">
        <f>SUMIFS(tblOrdenes[costo_plan],tblOrdenes[area],$A8,tblOrdenes[anio],J$4,tblOrdenes[mes],J$5)</f>
        <v/>
      </c>
      <c r="K8" s="11">
        <f>SUMIFS(tblOrdenes[costo_plan],tblOrdenes[area],$A8,tblOrdenes[anio],K$4,tblOrdenes[mes],K$5)</f>
        <v/>
      </c>
      <c r="L8" s="11">
        <f>SUMIFS(tblOrdenes[costo_plan],tblOrdenes[area],$A8,tblOrdenes[anio],L$4,tblOrdenes[mes],L$5)</f>
        <v/>
      </c>
      <c r="M8" s="11">
        <f>SUM(B8:L8)</f>
        <v/>
      </c>
    </row>
    <row r="9">
      <c r="A9" s="4" t="inlineStr">
        <is>
          <t>TOTAL</t>
        </is>
      </c>
      <c r="B9" s="11">
        <f>SUM(B6:B8)</f>
        <v/>
      </c>
      <c r="C9" s="11">
        <f>SUM(C6:C8)</f>
        <v/>
      </c>
      <c r="D9" s="11">
        <f>SUM(D6:D8)</f>
        <v/>
      </c>
      <c r="E9" s="11">
        <f>SUM(E6:E8)</f>
        <v/>
      </c>
      <c r="F9" s="11">
        <f>SUM(F6:F8)</f>
        <v/>
      </c>
      <c r="G9" s="11">
        <f>SUM(G6:G8)</f>
        <v/>
      </c>
      <c r="H9" s="11">
        <f>SUM(H6:H8)</f>
        <v/>
      </c>
      <c r="I9" s="11">
        <f>SUM(I6:I8)</f>
        <v/>
      </c>
      <c r="J9" s="11">
        <f>SUM(J6:J8)</f>
        <v/>
      </c>
      <c r="K9" s="11">
        <f>SUM(K6:K8)</f>
        <v/>
      </c>
      <c r="L9" s="11">
        <f>SUM(L6:L8)</f>
        <v/>
      </c>
      <c r="M9" s="11">
        <f>SUM(M6:M8)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9</v>
      </c>
      <c r="J13" s="5" t="n">
        <v>11</v>
      </c>
      <c r="K13" s="5" t="n">
        <v>12</v>
      </c>
      <c r="L13" s="5" t="n">
        <v>1</v>
      </c>
      <c r="M13" s="5" t="inlineStr">
        <is>
          <t>TOTAL</t>
        </is>
      </c>
    </row>
    <row r="14">
      <c r="A14" s="3" t="inlineStr">
        <is>
          <t>PRODUCCION</t>
        </is>
      </c>
      <c r="B14" s="11">
        <f>SUMIFS(tblOrdenes[costo_total],tblOrdenes[area],$A14,tblOrdenes[anio],B$12,tblOrdenes[mes],B$13)</f>
        <v/>
      </c>
      <c r="C14" s="11">
        <f>SUMIFS(tblOrdenes[costo_total],tblOrdenes[area],$A14,tblOrdenes[anio],C$12,tblOrdenes[mes],C$13)</f>
        <v/>
      </c>
      <c r="D14" s="11">
        <f>SUMIFS(tblOrdenes[costo_total],tblOrdenes[area],$A14,tblOrdenes[anio],D$12,tblOrdenes[mes],D$13)</f>
        <v/>
      </c>
      <c r="E14" s="11">
        <f>SUMIFS(tblOrdenes[costo_total],tblOrdenes[area],$A14,tblOrdenes[anio],E$12,tblOrdenes[mes],E$13)</f>
        <v/>
      </c>
      <c r="F14" s="11">
        <f>SUMIFS(tblOrdenes[costo_total],tblOrdenes[area],$A14,tblOrdenes[anio],F$12,tblOrdenes[mes],F$13)</f>
        <v/>
      </c>
      <c r="G14" s="11">
        <f>SUMIFS(tblOrdenes[costo_total],tblOrdenes[area],$A14,tblOrdenes[anio],G$12,tblOrdenes[mes],G$13)</f>
        <v/>
      </c>
      <c r="H14" s="11">
        <f>SUMIFS(tblOrdenes[costo_total],tblOrdenes[area],$A14,tblOrdenes[anio],H$12,tblOrdenes[mes],H$13)</f>
        <v/>
      </c>
      <c r="I14" s="11">
        <f>SUMIFS(tblOrdenes[costo_total],tblOrdenes[area],$A14,tblOrdenes[anio],I$12,tblOrdenes[mes],I$13)</f>
        <v/>
      </c>
      <c r="J14" s="11">
        <f>SUMIFS(tblOrdenes[costo_total],tblOrdenes[area],$A14,tblOrdenes[anio],J$12,tblOrdenes[mes],J$13)</f>
        <v/>
      </c>
      <c r="K14" s="11">
        <f>SUMIFS(tblOrdenes[costo_total],tblOrdenes[area],$A14,tblOrdenes[anio],K$12,tblOrdenes[mes],K$13)</f>
        <v/>
      </c>
      <c r="L14" s="11">
        <f>SUMIFS(tblOrdenes[costo_total],tblOrdenes[area],$A14,tblOrdenes[anio],L$12,tblOrdenes[mes],L$13)</f>
        <v/>
      </c>
      <c r="M14" s="11">
        <f>SUM(B14:L14)</f>
        <v/>
      </c>
    </row>
    <row r="15">
      <c r="A15" s="3" t="inlineStr">
        <is>
          <t>EMPAQUE</t>
        </is>
      </c>
      <c r="B15" s="11">
        <f>SUMIFS(tblOrdenes[costo_total],tblOrdenes[area],$A15,tblOrdenes[anio],B$12,tblOrdenes[mes],B$13)</f>
        <v/>
      </c>
      <c r="C15" s="11">
        <f>SUMIFS(tblOrdenes[costo_total],tblOrdenes[area],$A15,tblOrdenes[anio],C$12,tblOrdenes[mes],C$13)</f>
        <v/>
      </c>
      <c r="D15" s="11">
        <f>SUMIFS(tblOrdenes[costo_total],tblOrdenes[area],$A15,tblOrdenes[anio],D$12,tblOrdenes[mes],D$13)</f>
        <v/>
      </c>
      <c r="E15" s="11">
        <f>SUMIFS(tblOrdenes[costo_total],tblOrdenes[area],$A15,tblOrdenes[anio],E$12,tblOrdenes[mes],E$13)</f>
        <v/>
      </c>
      <c r="F15" s="11">
        <f>SUMIFS(tblOrdenes[costo_total],tblOrdenes[area],$A15,tblOrdenes[anio],F$12,tblOrdenes[mes],F$13)</f>
        <v/>
      </c>
      <c r="G15" s="11">
        <f>SUMIFS(tblOrdenes[costo_total],tblOrdenes[area],$A15,tblOrdenes[anio],G$12,tblOrdenes[mes],G$13)</f>
        <v/>
      </c>
      <c r="H15" s="11">
        <f>SUMIFS(tblOrdenes[costo_total],tblOrdenes[area],$A15,tblOrdenes[anio],H$12,tblOrdenes[mes],H$13)</f>
        <v/>
      </c>
      <c r="I15" s="11">
        <f>SUMIFS(tblOrdenes[costo_total],tblOrdenes[area],$A15,tblOrdenes[anio],I$12,tblOrdenes[mes],I$13)</f>
        <v/>
      </c>
      <c r="J15" s="11">
        <f>SUMIFS(tblOrdenes[costo_total],tblOrdenes[area],$A15,tblOrdenes[anio],J$12,tblOrdenes[mes],J$13)</f>
        <v/>
      </c>
      <c r="K15" s="11">
        <f>SUMIFS(tblOrdenes[costo_total],tblOrdenes[area],$A15,tblOrdenes[anio],K$12,tblOrdenes[mes],K$13)</f>
        <v/>
      </c>
      <c r="L15" s="11">
        <f>SUMIFS(tblOrdenes[costo_total],tblOrdenes[area],$A15,tblOrdenes[anio],L$12,tblOrdenes[mes],L$13)</f>
        <v/>
      </c>
      <c r="M15" s="11">
        <f>SUM(B15:L15)</f>
        <v/>
      </c>
    </row>
    <row r="16">
      <c r="A16" s="3" t="inlineStr">
        <is>
          <t>SERVICIOS</t>
        </is>
      </c>
      <c r="B16" s="11">
        <f>SUMIFS(tblOrdenes[costo_total],tblOrdenes[area],$A16,tblOrdenes[anio],B$12,tblOrdenes[mes],B$13)</f>
        <v/>
      </c>
      <c r="C16" s="11">
        <f>SUMIFS(tblOrdenes[costo_total],tblOrdenes[area],$A16,tblOrdenes[anio],C$12,tblOrdenes[mes],C$13)</f>
        <v/>
      </c>
      <c r="D16" s="11">
        <f>SUMIFS(tblOrdenes[costo_total],tblOrdenes[area],$A16,tblOrdenes[anio],D$12,tblOrdenes[mes],D$13)</f>
        <v/>
      </c>
      <c r="E16" s="11">
        <f>SUMIFS(tblOrdenes[costo_total],tblOrdenes[area],$A16,tblOrdenes[anio],E$12,tblOrdenes[mes],E$13)</f>
        <v/>
      </c>
      <c r="F16" s="11">
        <f>SUMIFS(tblOrdenes[costo_total],tblOrdenes[area],$A16,tblOrdenes[anio],F$12,tblOrdenes[mes],F$13)</f>
        <v/>
      </c>
      <c r="G16" s="11">
        <f>SUMIFS(tblOrdenes[costo_total],tblOrdenes[area],$A16,tblOrdenes[anio],G$12,tblOrdenes[mes],G$13)</f>
        <v/>
      </c>
      <c r="H16" s="11">
        <f>SUMIFS(tblOrdenes[costo_total],tblOrdenes[area],$A16,tblOrdenes[anio],H$12,tblOrdenes[mes],H$13)</f>
        <v/>
      </c>
      <c r="I16" s="11">
        <f>SUMIFS(tblOrdenes[costo_total],tblOrdenes[area],$A16,tblOrdenes[anio],I$12,tblOrdenes[mes],I$13)</f>
        <v/>
      </c>
      <c r="J16" s="11">
        <f>SUMIFS(tblOrdenes[costo_total],tblOrdenes[area],$A16,tblOrdenes[anio],J$12,tblOrdenes[mes],J$13)</f>
        <v/>
      </c>
      <c r="K16" s="11">
        <f>SUMIFS(tblOrdenes[costo_total],tblOrdenes[area],$A16,tblOrdenes[anio],K$12,tblOrdenes[mes],K$13)</f>
        <v/>
      </c>
      <c r="L16" s="11">
        <f>SUMIFS(tblOrdenes[costo_total],tblOrdenes[area],$A16,tblOrdenes[anio],L$12,tblOrdenes[mes],L$13)</f>
        <v/>
      </c>
      <c r="M16" s="11">
        <f>SUM(B16:L16)</f>
        <v/>
      </c>
    </row>
    <row r="17">
      <c r="A17" s="4" t="inlineStr">
        <is>
          <t>TOTAL</t>
        </is>
      </c>
      <c r="B17" s="11">
        <f>SUM(B14:B16)</f>
        <v/>
      </c>
      <c r="C17" s="11">
        <f>SUM(C14:C16)</f>
        <v/>
      </c>
      <c r="D17" s="11">
        <f>SUM(D14:D16)</f>
        <v/>
      </c>
      <c r="E17" s="11">
        <f>SUM(E14:E16)</f>
        <v/>
      </c>
      <c r="F17" s="11">
        <f>SUM(F14:F16)</f>
        <v/>
      </c>
      <c r="G17" s="11">
        <f>SUM(G14:G16)</f>
        <v/>
      </c>
      <c r="H17" s="11">
        <f>SUM(H14:H16)</f>
        <v/>
      </c>
      <c r="I17" s="11">
        <f>SUM(I14:I16)</f>
        <v/>
      </c>
      <c r="J17" s="11">
        <f>SUM(J14:J16)</f>
        <v/>
      </c>
      <c r="K17" s="11">
        <f>SUM(K14:K16)</f>
        <v/>
      </c>
      <c r="L17" s="11">
        <f>SUM(L14:L16)</f>
        <v/>
      </c>
      <c r="M17" s="11">
        <f>SUM(M14:M16)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1">
        <f>B14-B6</f>
        <v/>
      </c>
      <c r="C20" s="11">
        <f>C14-C6</f>
        <v/>
      </c>
      <c r="D20" s="11">
        <f>D14-D6</f>
        <v/>
      </c>
      <c r="E20" s="11">
        <f>E14-E6</f>
        <v/>
      </c>
      <c r="F20" s="11">
        <f>F14-F6</f>
        <v/>
      </c>
      <c r="G20" s="11">
        <f>G14-G6</f>
        <v/>
      </c>
      <c r="H20" s="11">
        <f>H14-H6</f>
        <v/>
      </c>
      <c r="I20" s="11">
        <f>I14-I6</f>
        <v/>
      </c>
      <c r="J20" s="11">
        <f>J14-J6</f>
        <v/>
      </c>
      <c r="K20" s="11">
        <f>K14-K6</f>
        <v/>
      </c>
      <c r="L20" s="11">
        <f>L14-L6</f>
        <v/>
      </c>
      <c r="M20" s="11">
        <f>M14-M6</f>
        <v/>
      </c>
    </row>
    <row r="21">
      <c r="A21" s="3" t="inlineStr">
        <is>
          <t>EMPAQUE</t>
        </is>
      </c>
      <c r="B21" s="11">
        <f>B15-B7</f>
        <v/>
      </c>
      <c r="C21" s="11">
        <f>C15-C7</f>
        <v/>
      </c>
      <c r="D21" s="11">
        <f>D15-D7</f>
        <v/>
      </c>
      <c r="E21" s="11">
        <f>E15-E7</f>
        <v/>
      </c>
      <c r="F21" s="11">
        <f>F15-F7</f>
        <v/>
      </c>
      <c r="G21" s="11">
        <f>G15-G7</f>
        <v/>
      </c>
      <c r="H21" s="11">
        <f>H15-H7</f>
        <v/>
      </c>
      <c r="I21" s="11">
        <f>I15-I7</f>
        <v/>
      </c>
      <c r="J21" s="11">
        <f>J15-J7</f>
        <v/>
      </c>
      <c r="K21" s="11">
        <f>K15-K7</f>
        <v/>
      </c>
      <c r="L21" s="11">
        <f>L15-L7</f>
        <v/>
      </c>
      <c r="M21" s="11">
        <f>M15-M7</f>
        <v/>
      </c>
    </row>
    <row r="22">
      <c r="A22" s="3" t="inlineStr">
        <is>
          <t>SERVICIOS</t>
        </is>
      </c>
      <c r="B22" s="11">
        <f>B16-B8</f>
        <v/>
      </c>
      <c r="C22" s="11">
        <f>C16-C8</f>
        <v/>
      </c>
      <c r="D22" s="11">
        <f>D16-D8</f>
        <v/>
      </c>
      <c r="E22" s="11">
        <f>E16-E8</f>
        <v/>
      </c>
      <c r="F22" s="11">
        <f>F16-F8</f>
        <v/>
      </c>
      <c r="G22" s="11">
        <f>G16-G8</f>
        <v/>
      </c>
      <c r="H22" s="11">
        <f>H16-H8</f>
        <v/>
      </c>
      <c r="I22" s="11">
        <f>I16-I8</f>
        <v/>
      </c>
      <c r="J22" s="11">
        <f>J16-J8</f>
        <v/>
      </c>
      <c r="K22" s="11">
        <f>K16-K8</f>
        <v/>
      </c>
      <c r="L22" s="11">
        <f>L16-L8</f>
        <v/>
      </c>
      <c r="M22" s="11">
        <f>M16-M8</f>
        <v/>
      </c>
    </row>
    <row r="23">
      <c r="A23" s="4" t="inlineStr">
        <is>
          <t>TOTAL</t>
        </is>
      </c>
      <c r="B23" s="11">
        <f>B17-B9</f>
        <v/>
      </c>
      <c r="C23" s="11">
        <f>C17-C9</f>
        <v/>
      </c>
      <c r="D23" s="11">
        <f>D17-D9</f>
        <v/>
      </c>
      <c r="E23" s="11">
        <f>E17-E9</f>
        <v/>
      </c>
      <c r="F23" s="11">
        <f>F17-F9</f>
        <v/>
      </c>
      <c r="G23" s="11">
        <f>G17-G9</f>
        <v/>
      </c>
      <c r="H23" s="11">
        <f>H17-H9</f>
        <v/>
      </c>
      <c r="I23" s="11">
        <f>I17-I9</f>
        <v/>
      </c>
      <c r="J23" s="11">
        <f>J17-J9</f>
        <v/>
      </c>
      <c r="K23" s="11">
        <f>K17-K9</f>
        <v/>
      </c>
      <c r="L23" s="11">
        <f>L17-L9</f>
        <v/>
      </c>
      <c r="M23" s="11">
        <f>M17-M9</f>
        <v/>
      </c>
    </row>
    <row r="25">
      <c r="A25" s="4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9</v>
      </c>
      <c r="J27" s="5" t="n">
        <v>11</v>
      </c>
      <c r="K27" s="5" t="n">
        <v>12</v>
      </c>
      <c r="L27" s="5" t="n">
        <v>1</v>
      </c>
      <c r="M27" s="5" t="inlineStr">
        <is>
          <t>TOTAL</t>
        </is>
      </c>
    </row>
    <row r="28">
      <c r="A28" s="3" t="inlineStr">
        <is>
          <t>PRODUCCION</t>
        </is>
      </c>
      <c r="B28" s="11">
        <f>SUMIFS(tblOrdenes[costo_total],tblOrdenes[sub_area],$A28,tblOrdenes[anio],B$26,tblOrdenes[mes],B$27)</f>
        <v/>
      </c>
      <c r="C28" s="11">
        <f>SUMIFS(tblOrdenes[costo_total],tblOrdenes[sub_area],$A28,tblOrdenes[anio],C$26,tblOrdenes[mes],C$27)</f>
        <v/>
      </c>
      <c r="D28" s="11">
        <f>SUMIFS(tblOrdenes[costo_total],tblOrdenes[sub_area],$A28,tblOrdenes[anio],D$26,tblOrdenes[mes],D$27)</f>
        <v/>
      </c>
      <c r="E28" s="11">
        <f>SUMIFS(tblOrdenes[costo_total],tblOrdenes[sub_area],$A28,tblOrdenes[anio],E$26,tblOrdenes[mes],E$27)</f>
        <v/>
      </c>
      <c r="F28" s="11">
        <f>SUMIFS(tblOrdenes[costo_total],tblOrdenes[sub_area],$A28,tblOrdenes[anio],F$26,tblOrdenes[mes],F$27)</f>
        <v/>
      </c>
      <c r="G28" s="11">
        <f>SUMIFS(tblOrdenes[costo_total],tblOrdenes[sub_area],$A28,tblOrdenes[anio],G$26,tblOrdenes[mes],G$27)</f>
        <v/>
      </c>
      <c r="H28" s="11">
        <f>SUMIFS(tblOrdenes[costo_total],tblOrdenes[sub_area],$A28,tblOrdenes[anio],H$26,tblOrdenes[mes],H$27)</f>
        <v/>
      </c>
      <c r="I28" s="11">
        <f>SUMIFS(tblOrdenes[costo_total],tblOrdenes[sub_area],$A28,tblOrdenes[anio],I$26,tblOrdenes[mes],I$27)</f>
        <v/>
      </c>
      <c r="J28" s="11">
        <f>SUMIFS(tblOrdenes[costo_total],tblOrdenes[sub_area],$A28,tblOrdenes[anio],J$26,tblOrdenes[mes],J$27)</f>
        <v/>
      </c>
      <c r="K28" s="11">
        <f>SUMIFS(tblOrdenes[costo_total],tblOrdenes[sub_area],$A28,tblOrdenes[anio],K$26,tblOrdenes[mes],K$27)</f>
        <v/>
      </c>
      <c r="L28" s="11">
        <f>SUMIFS(tblOrdenes[costo_total],tblOrdenes[sub_area],$A28,tblOrdenes[anio],L$26,tblOrdenes[mes],L$27)</f>
        <v/>
      </c>
      <c r="M28" s="11">
        <f>SUM(B28:L28)</f>
        <v/>
      </c>
    </row>
    <row r="29">
      <c r="A29" s="3" t="inlineStr">
        <is>
          <t>EMPAQUE</t>
        </is>
      </c>
      <c r="B29" s="11">
        <f>SUMIFS(tblOrdenes[costo_total],tblOrdenes[sub_area],$A29,tblOrdenes[anio],B$26,tblOrdenes[mes],B$27)</f>
        <v/>
      </c>
      <c r="C29" s="11">
        <f>SUMIFS(tblOrdenes[costo_total],tblOrdenes[sub_area],$A29,tblOrdenes[anio],C$26,tblOrdenes[mes],C$27)</f>
        <v/>
      </c>
      <c r="D29" s="11">
        <f>SUMIFS(tblOrdenes[costo_total],tblOrdenes[sub_area],$A29,tblOrdenes[anio],D$26,tblOrdenes[mes],D$27)</f>
        <v/>
      </c>
      <c r="E29" s="11">
        <f>SUMIFS(tblOrdenes[costo_total],tblOrdenes[sub_area],$A29,tblOrdenes[anio],E$26,tblOrdenes[mes],E$27)</f>
        <v/>
      </c>
      <c r="F29" s="11">
        <f>SUMIFS(tblOrdenes[costo_total],tblOrdenes[sub_area],$A29,tblOrdenes[anio],F$26,tblOrdenes[mes],F$27)</f>
        <v/>
      </c>
      <c r="G29" s="11">
        <f>SUMIFS(tblOrdenes[costo_total],tblOrdenes[sub_area],$A29,tblOrdenes[anio],G$26,tblOrdenes[mes],G$27)</f>
        <v/>
      </c>
      <c r="H29" s="11">
        <f>SUMIFS(tblOrdenes[costo_total],tblOrdenes[sub_area],$A29,tblOrdenes[anio],H$26,tblOrdenes[mes],H$27)</f>
        <v/>
      </c>
      <c r="I29" s="11">
        <f>SUMIFS(tblOrdenes[costo_total],tblOrdenes[sub_area],$A29,tblOrdenes[anio],I$26,tblOrdenes[mes],I$27)</f>
        <v/>
      </c>
      <c r="J29" s="11">
        <f>SUMIFS(tblOrdenes[costo_total],tblOrdenes[sub_area],$A29,tblOrdenes[anio],J$26,tblOrdenes[mes],J$27)</f>
        <v/>
      </c>
      <c r="K29" s="11">
        <f>SUMIFS(tblOrdenes[costo_total],tblOrdenes[sub_area],$A29,tblOrdenes[anio],K$26,tblOrdenes[mes],K$27)</f>
        <v/>
      </c>
      <c r="L29" s="11">
        <f>SUMIFS(tblOrdenes[costo_total],tblOrdenes[sub_area],$A29,tblOrdenes[anio],L$26,tblOrdenes[mes],L$27)</f>
        <v/>
      </c>
      <c r="M29" s="11">
        <f>SUM(B29:L29)</f>
        <v/>
      </c>
    </row>
    <row r="30">
      <c r="A30" s="3" t="inlineStr">
        <is>
          <t>Vapor</t>
        </is>
      </c>
      <c r="B30" s="11">
        <f>SUMIFS(tblOrdenes[costo_total],tblOrdenes[sub_area],$A30,tblOrdenes[anio],B$26,tblOrdenes[mes],B$27)</f>
        <v/>
      </c>
      <c r="C30" s="11">
        <f>SUMIFS(tblOrdenes[costo_total],tblOrdenes[sub_area],$A30,tblOrdenes[anio],C$26,tblOrdenes[mes],C$27)</f>
        <v/>
      </c>
      <c r="D30" s="11">
        <f>SUMIFS(tblOrdenes[costo_total],tblOrdenes[sub_area],$A30,tblOrdenes[anio],D$26,tblOrdenes[mes],D$27)</f>
        <v/>
      </c>
      <c r="E30" s="11">
        <f>SUMIFS(tblOrdenes[costo_total],tblOrdenes[sub_area],$A30,tblOrdenes[anio],E$26,tblOrdenes[mes],E$27)</f>
        <v/>
      </c>
      <c r="F30" s="11">
        <f>SUMIFS(tblOrdenes[costo_total],tblOrdenes[sub_area],$A30,tblOrdenes[anio],F$26,tblOrdenes[mes],F$27)</f>
        <v/>
      </c>
      <c r="G30" s="11">
        <f>SUMIFS(tblOrdenes[costo_total],tblOrdenes[sub_area],$A30,tblOrdenes[anio],G$26,tblOrdenes[mes],G$27)</f>
        <v/>
      </c>
      <c r="H30" s="11">
        <f>SUMIFS(tblOrdenes[costo_total],tblOrdenes[sub_area],$A30,tblOrdenes[anio],H$26,tblOrdenes[mes],H$27)</f>
        <v/>
      </c>
      <c r="I30" s="11">
        <f>SUMIFS(tblOrdenes[costo_total],tblOrdenes[sub_area],$A30,tblOrdenes[anio],I$26,tblOrdenes[mes],I$27)</f>
        <v/>
      </c>
      <c r="J30" s="11">
        <f>SUMIFS(tblOrdenes[costo_total],tblOrdenes[sub_area],$A30,tblOrdenes[anio],J$26,tblOrdenes[mes],J$27)</f>
        <v/>
      </c>
      <c r="K30" s="11">
        <f>SUMIFS(tblOrdenes[costo_total],tblOrdenes[sub_area],$A30,tblOrdenes[anio],K$26,tblOrdenes[mes],K$27)</f>
        <v/>
      </c>
      <c r="L30" s="11">
        <f>SUMIFS(tblOrdenes[costo_total],tblOrdenes[sub_area],$A30,tblOrdenes[anio],L$26,tblOrdenes[mes],L$27)</f>
        <v/>
      </c>
      <c r="M30" s="11">
        <f>SUM(B30:L30)</f>
        <v/>
      </c>
    </row>
    <row r="31">
      <c r="A31" s="3" t="inlineStr">
        <is>
          <t>Refrigeración</t>
        </is>
      </c>
      <c r="B31" s="11">
        <f>SUMIFS(tblOrdenes[costo_total],tblOrdenes[sub_area],$A31,tblOrdenes[anio],B$26,tblOrdenes[mes],B$27)</f>
        <v/>
      </c>
      <c r="C31" s="11">
        <f>SUMIFS(tblOrdenes[costo_total],tblOrdenes[sub_area],$A31,tblOrdenes[anio],C$26,tblOrdenes[mes],C$27)</f>
        <v/>
      </c>
      <c r="D31" s="11">
        <f>SUMIFS(tblOrdenes[costo_total],tblOrdenes[sub_area],$A31,tblOrdenes[anio],D$26,tblOrdenes[mes],D$27)</f>
        <v/>
      </c>
      <c r="E31" s="11">
        <f>SUMIFS(tblOrdenes[costo_total],tblOrdenes[sub_area],$A31,tblOrdenes[anio],E$26,tblOrdenes[mes],E$27)</f>
        <v/>
      </c>
      <c r="F31" s="11">
        <f>SUMIFS(tblOrdenes[costo_total],tblOrdenes[sub_area],$A31,tblOrdenes[anio],F$26,tblOrdenes[mes],F$27)</f>
        <v/>
      </c>
      <c r="G31" s="11">
        <f>SUMIFS(tblOrdenes[costo_total],tblOrdenes[sub_area],$A31,tblOrdenes[anio],G$26,tblOrdenes[mes],G$27)</f>
        <v/>
      </c>
      <c r="H31" s="11">
        <f>SUMIFS(tblOrdenes[costo_total],tblOrdenes[sub_area],$A31,tblOrdenes[anio],H$26,tblOrdenes[mes],H$27)</f>
        <v/>
      </c>
      <c r="I31" s="11">
        <f>SUMIFS(tblOrdenes[costo_total],tblOrdenes[sub_area],$A31,tblOrdenes[anio],I$26,tblOrdenes[mes],I$27)</f>
        <v/>
      </c>
      <c r="J31" s="11">
        <f>SUMIFS(tblOrdenes[costo_total],tblOrdenes[sub_area],$A31,tblOrdenes[anio],J$26,tblOrdenes[mes],J$27)</f>
        <v/>
      </c>
      <c r="K31" s="11">
        <f>SUMIFS(tblOrdenes[costo_total],tblOrdenes[sub_area],$A31,tblOrdenes[anio],K$26,tblOrdenes[mes],K$27)</f>
        <v/>
      </c>
      <c r="L31" s="11">
        <f>SUMIFS(tblOrdenes[costo_total],tblOrdenes[sub_area],$A31,tblOrdenes[anio],L$26,tblOrdenes[mes],L$27)</f>
        <v/>
      </c>
      <c r="M31" s="11">
        <f>SUM(B31:L31)</f>
        <v/>
      </c>
    </row>
    <row r="32">
      <c r="A32" s="3" t="inlineStr">
        <is>
          <t>CO2</t>
        </is>
      </c>
      <c r="B32" s="11">
        <f>SUMIFS(tblOrdenes[costo_total],tblOrdenes[sub_area],$A32,tblOrdenes[anio],B$26,tblOrdenes[mes],B$27)</f>
        <v/>
      </c>
      <c r="C32" s="11">
        <f>SUMIFS(tblOrdenes[costo_total],tblOrdenes[sub_area],$A32,tblOrdenes[anio],C$26,tblOrdenes[mes],C$27)</f>
        <v/>
      </c>
      <c r="D32" s="11">
        <f>SUMIFS(tblOrdenes[costo_total],tblOrdenes[sub_area],$A32,tblOrdenes[anio],D$26,tblOrdenes[mes],D$27)</f>
        <v/>
      </c>
      <c r="E32" s="11">
        <f>SUMIFS(tblOrdenes[costo_total],tblOrdenes[sub_area],$A32,tblOrdenes[anio],E$26,tblOrdenes[mes],E$27)</f>
        <v/>
      </c>
      <c r="F32" s="11">
        <f>SUMIFS(tblOrdenes[costo_total],tblOrdenes[sub_area],$A32,tblOrdenes[anio],F$26,tblOrdenes[mes],F$27)</f>
        <v/>
      </c>
      <c r="G32" s="11">
        <f>SUMIFS(tblOrdenes[costo_total],tblOrdenes[sub_area],$A32,tblOrdenes[anio],G$26,tblOrdenes[mes],G$27)</f>
        <v/>
      </c>
      <c r="H32" s="11">
        <f>SUMIFS(tblOrdenes[costo_total],tblOrdenes[sub_area],$A32,tblOrdenes[anio],H$26,tblOrdenes[mes],H$27)</f>
        <v/>
      </c>
      <c r="I32" s="11">
        <f>SUMIFS(tblOrdenes[costo_total],tblOrdenes[sub_area],$A32,tblOrdenes[anio],I$26,tblOrdenes[mes],I$27)</f>
        <v/>
      </c>
      <c r="J32" s="11">
        <f>SUMIFS(tblOrdenes[costo_total],tblOrdenes[sub_area],$A32,tblOrdenes[anio],J$26,tblOrdenes[mes],J$27)</f>
        <v/>
      </c>
      <c r="K32" s="11">
        <f>SUMIFS(tblOrdenes[costo_total],tblOrdenes[sub_area],$A32,tblOrdenes[anio],K$26,tblOrdenes[mes],K$27)</f>
        <v/>
      </c>
      <c r="L32" s="11">
        <f>SUMIFS(tblOrdenes[costo_total],tblOrdenes[sub_area],$A32,tblOrdenes[anio],L$26,tblOrdenes[mes],L$27)</f>
        <v/>
      </c>
      <c r="M32" s="11">
        <f>SUM(B32:L32)</f>
        <v/>
      </c>
    </row>
    <row r="33">
      <c r="A33" s="3" t="inlineStr">
        <is>
          <t>Aire comprimido</t>
        </is>
      </c>
      <c r="B33" s="11">
        <f>SUMIFS(tblOrdenes[costo_total],tblOrdenes[sub_area],$A33,tblOrdenes[anio],B$26,tblOrdenes[mes],B$27)</f>
        <v/>
      </c>
      <c r="C33" s="11">
        <f>SUMIFS(tblOrdenes[costo_total],tblOrdenes[sub_area],$A33,tblOrdenes[anio],C$26,tblOrdenes[mes],C$27)</f>
        <v/>
      </c>
      <c r="D33" s="11">
        <f>SUMIFS(tblOrdenes[costo_total],tblOrdenes[sub_area],$A33,tblOrdenes[anio],D$26,tblOrdenes[mes],D$27)</f>
        <v/>
      </c>
      <c r="E33" s="11">
        <f>SUMIFS(tblOrdenes[costo_total],tblOrdenes[sub_area],$A33,tblOrdenes[anio],E$26,tblOrdenes[mes],E$27)</f>
        <v/>
      </c>
      <c r="F33" s="11">
        <f>SUMIFS(tblOrdenes[costo_total],tblOrdenes[sub_area],$A33,tblOrdenes[anio],F$26,tblOrdenes[mes],F$27)</f>
        <v/>
      </c>
      <c r="G33" s="11">
        <f>SUMIFS(tblOrdenes[costo_total],tblOrdenes[sub_area],$A33,tblOrdenes[anio],G$26,tblOrdenes[mes],G$27)</f>
        <v/>
      </c>
      <c r="H33" s="11">
        <f>SUMIFS(tblOrdenes[costo_total],tblOrdenes[sub_area],$A33,tblOrdenes[anio],H$26,tblOrdenes[mes],H$27)</f>
        <v/>
      </c>
      <c r="I33" s="11">
        <f>SUMIFS(tblOrdenes[costo_total],tblOrdenes[sub_area],$A33,tblOrdenes[anio],I$26,tblOrdenes[mes],I$27)</f>
        <v/>
      </c>
      <c r="J33" s="11">
        <f>SUMIFS(tblOrdenes[costo_total],tblOrdenes[sub_area],$A33,tblOrdenes[anio],J$26,tblOrdenes[mes],J$27)</f>
        <v/>
      </c>
      <c r="K33" s="11">
        <f>SUMIFS(tblOrdenes[costo_total],tblOrdenes[sub_area],$A33,tblOrdenes[anio],K$26,tblOrdenes[mes],K$27)</f>
        <v/>
      </c>
      <c r="L33" s="11">
        <f>SUMIFS(tblOrdenes[costo_total],tblOrdenes[sub_area],$A33,tblOrdenes[anio],L$26,tblOrdenes[mes],L$27)</f>
        <v/>
      </c>
      <c r="M33" s="11">
        <f>SUM(B33:L33)</f>
        <v/>
      </c>
    </row>
    <row r="34">
      <c r="A34" s="4" t="inlineStr">
        <is>
          <t>TOTAL</t>
        </is>
      </c>
      <c r="B34" s="11">
        <f>SUM(B28:B33)</f>
        <v/>
      </c>
      <c r="C34" s="11">
        <f>SUM(C28:C33)</f>
        <v/>
      </c>
      <c r="D34" s="11">
        <f>SUM(D28:D33)</f>
        <v/>
      </c>
      <c r="E34" s="11">
        <f>SUM(E28:E33)</f>
        <v/>
      </c>
      <c r="F34" s="11">
        <f>SUM(F28:F33)</f>
        <v/>
      </c>
      <c r="G34" s="11">
        <f>SUM(G28:G33)</f>
        <v/>
      </c>
      <c r="H34" s="11">
        <f>SUM(H28:H33)</f>
        <v/>
      </c>
      <c r="I34" s="11">
        <f>SUM(I28:I33)</f>
        <v/>
      </c>
      <c r="J34" s="11">
        <f>SUM(J28:J33)</f>
        <v/>
      </c>
      <c r="K34" s="11">
        <f>SUM(K28:K33)</f>
        <v/>
      </c>
      <c r="L34" s="11">
        <f>SUM(L28:L33)</f>
        <v/>
      </c>
      <c r="M34" s="11">
        <f>SUM(M28:M33)</f>
        <v/>
      </c>
    </row>
    <row r="36">
      <c r="A36" s="4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5" t="n">
        <v>2</v>
      </c>
      <c r="C38" s="5" t="n">
        <v>3</v>
      </c>
      <c r="D38" s="5" t="n">
        <v>4</v>
      </c>
      <c r="E38" s="5" t="n">
        <v>5</v>
      </c>
      <c r="F38" s="5" t="n">
        <v>6</v>
      </c>
      <c r="G38" s="5" t="n">
        <v>7</v>
      </c>
      <c r="H38" s="5" t="n">
        <v>8</v>
      </c>
      <c r="I38" s="5" t="n">
        <v>9</v>
      </c>
      <c r="J38" s="5" t="n">
        <v>11</v>
      </c>
      <c r="K38" s="5" t="n">
        <v>12</v>
      </c>
      <c r="L38" s="5" t="n">
        <v>1</v>
      </c>
      <c r="M38" s="5" t="inlineStr">
        <is>
          <t>TOTAL</t>
        </is>
      </c>
    </row>
    <row r="39">
      <c r="A39" s="3" t="inlineStr">
        <is>
          <t>L1</t>
        </is>
      </c>
      <c r="B39" s="11">
        <f>SUMIFS(tblOrdenes[costo_total],tblOrdenes[linea],$A39,tblOrdenes[anio],B$37,tblOrdenes[mes],B$38)</f>
        <v/>
      </c>
      <c r="C39" s="11">
        <f>SUMIFS(tblOrdenes[costo_total],tblOrdenes[linea],$A39,tblOrdenes[anio],C$37,tblOrdenes[mes],C$38)</f>
        <v/>
      </c>
      <c r="D39" s="11">
        <f>SUMIFS(tblOrdenes[costo_total],tblOrdenes[linea],$A39,tblOrdenes[anio],D$37,tblOrdenes[mes],D$38)</f>
        <v/>
      </c>
      <c r="E39" s="11">
        <f>SUMIFS(tblOrdenes[costo_total],tblOrdenes[linea],$A39,tblOrdenes[anio],E$37,tblOrdenes[mes],E$38)</f>
        <v/>
      </c>
      <c r="F39" s="11">
        <f>SUMIFS(tblOrdenes[costo_total],tblOrdenes[linea],$A39,tblOrdenes[anio],F$37,tblOrdenes[mes],F$38)</f>
        <v/>
      </c>
      <c r="G39" s="11">
        <f>SUMIFS(tblOrdenes[costo_total],tblOrdenes[linea],$A39,tblOrdenes[anio],G$37,tblOrdenes[mes],G$38)</f>
        <v/>
      </c>
      <c r="H39" s="11">
        <f>SUMIFS(tblOrdenes[costo_total],tblOrdenes[linea],$A39,tblOrdenes[anio],H$37,tblOrdenes[mes],H$38)</f>
        <v/>
      </c>
      <c r="I39" s="11">
        <f>SUMIFS(tblOrdenes[costo_total],tblOrdenes[linea],$A39,tblOrdenes[anio],I$37,tblOrdenes[mes],I$38)</f>
        <v/>
      </c>
      <c r="J39" s="11">
        <f>SUMIFS(tblOrdenes[costo_total],tblOrdenes[linea],$A39,tblOrdenes[anio],J$37,tblOrdenes[mes],J$38)</f>
        <v/>
      </c>
      <c r="K39" s="11">
        <f>SUMIFS(tblOrdenes[costo_total],tblOrdenes[linea],$A39,tblOrdenes[anio],K$37,tblOrdenes[mes],K$38)</f>
        <v/>
      </c>
      <c r="L39" s="11">
        <f>SUMIFS(tblOrdenes[costo_total],tblOrdenes[linea],$A39,tblOrdenes[anio],L$37,tblOrdenes[mes],L$38)</f>
        <v/>
      </c>
      <c r="M39" s="11">
        <f>SUM(B39:L39)</f>
        <v/>
      </c>
    </row>
    <row r="40">
      <c r="A40" s="3" t="inlineStr">
        <is>
          <t>L2</t>
        </is>
      </c>
      <c r="B40" s="11">
        <f>SUMIFS(tblOrdenes[costo_total],tblOrdenes[linea],$A40,tblOrdenes[anio],B$37,tblOrdenes[mes],B$38)</f>
        <v/>
      </c>
      <c r="C40" s="11">
        <f>SUMIFS(tblOrdenes[costo_total],tblOrdenes[linea],$A40,tblOrdenes[anio],C$37,tblOrdenes[mes],C$38)</f>
        <v/>
      </c>
      <c r="D40" s="11">
        <f>SUMIFS(tblOrdenes[costo_total],tblOrdenes[linea],$A40,tblOrdenes[anio],D$37,tblOrdenes[mes],D$38)</f>
        <v/>
      </c>
      <c r="E40" s="11">
        <f>SUMIFS(tblOrdenes[costo_total],tblOrdenes[linea],$A40,tblOrdenes[anio],E$37,tblOrdenes[mes],E$38)</f>
        <v/>
      </c>
      <c r="F40" s="11">
        <f>SUMIFS(tblOrdenes[costo_total],tblOrdenes[linea],$A40,tblOrdenes[anio],F$37,tblOrdenes[mes],F$38)</f>
        <v/>
      </c>
      <c r="G40" s="11">
        <f>SUMIFS(tblOrdenes[costo_total],tblOrdenes[linea],$A40,tblOrdenes[anio],G$37,tblOrdenes[mes],G$38)</f>
        <v/>
      </c>
      <c r="H40" s="11">
        <f>SUMIFS(tblOrdenes[costo_total],tblOrdenes[linea],$A40,tblOrdenes[anio],H$37,tblOrdenes[mes],H$38)</f>
        <v/>
      </c>
      <c r="I40" s="11">
        <f>SUMIFS(tblOrdenes[costo_total],tblOrdenes[linea],$A40,tblOrdenes[anio],I$37,tblOrdenes[mes],I$38)</f>
        <v/>
      </c>
      <c r="J40" s="11">
        <f>SUMIFS(tblOrdenes[costo_total],tblOrdenes[linea],$A40,tblOrdenes[anio],J$37,tblOrdenes[mes],J$38)</f>
        <v/>
      </c>
      <c r="K40" s="11">
        <f>SUMIFS(tblOrdenes[costo_total],tblOrdenes[linea],$A40,tblOrdenes[anio],K$37,tblOrdenes[mes],K$38)</f>
        <v/>
      </c>
      <c r="L40" s="11">
        <f>SUMIFS(tblOrdenes[costo_total],tblOrdenes[linea],$A40,tblOrdenes[anio],L$37,tblOrdenes[mes],L$38)</f>
        <v/>
      </c>
      <c r="M40" s="11">
        <f>SUM(B40:L40)</f>
        <v/>
      </c>
    </row>
    <row r="41">
      <c r="A41" s="3" t="inlineStr">
        <is>
          <t>L3</t>
        </is>
      </c>
      <c r="B41" s="11">
        <f>SUMIFS(tblOrdenes[costo_total],tblOrdenes[linea],$A41,tblOrdenes[anio],B$37,tblOrdenes[mes],B$38)</f>
        <v/>
      </c>
      <c r="C41" s="11">
        <f>SUMIFS(tblOrdenes[costo_total],tblOrdenes[linea],$A41,tblOrdenes[anio],C$37,tblOrdenes[mes],C$38)</f>
        <v/>
      </c>
      <c r="D41" s="11">
        <f>SUMIFS(tblOrdenes[costo_total],tblOrdenes[linea],$A41,tblOrdenes[anio],D$37,tblOrdenes[mes],D$38)</f>
        <v/>
      </c>
      <c r="E41" s="11">
        <f>SUMIFS(tblOrdenes[costo_total],tblOrdenes[linea],$A41,tblOrdenes[anio],E$37,tblOrdenes[mes],E$38)</f>
        <v/>
      </c>
      <c r="F41" s="11">
        <f>SUMIFS(tblOrdenes[costo_total],tblOrdenes[linea],$A41,tblOrdenes[anio],F$37,tblOrdenes[mes],F$38)</f>
        <v/>
      </c>
      <c r="G41" s="11">
        <f>SUMIFS(tblOrdenes[costo_total],tblOrdenes[linea],$A41,tblOrdenes[anio],G$37,tblOrdenes[mes],G$38)</f>
        <v/>
      </c>
      <c r="H41" s="11">
        <f>SUMIFS(tblOrdenes[costo_total],tblOrdenes[linea],$A41,tblOrdenes[anio],H$37,tblOrdenes[mes],H$38)</f>
        <v/>
      </c>
      <c r="I41" s="11">
        <f>SUMIFS(tblOrdenes[costo_total],tblOrdenes[linea],$A41,tblOrdenes[anio],I$37,tblOrdenes[mes],I$38)</f>
        <v/>
      </c>
      <c r="J41" s="11">
        <f>SUMIFS(tblOrdenes[costo_total],tblOrdenes[linea],$A41,tblOrdenes[anio],J$37,tblOrdenes[mes],J$38)</f>
        <v/>
      </c>
      <c r="K41" s="11">
        <f>SUMIFS(tblOrdenes[costo_total],tblOrdenes[linea],$A41,tblOrdenes[anio],K$37,tblOrdenes[mes],K$38)</f>
        <v/>
      </c>
      <c r="L41" s="11">
        <f>SUMIFS(tblOrdenes[costo_total],tblOrdenes[linea],$A41,tblOrdenes[anio],L$37,tblOrdenes[mes],L$38)</f>
        <v/>
      </c>
      <c r="M41" s="11">
        <f>SUM(B41:L41)</f>
        <v/>
      </c>
    </row>
    <row r="42">
      <c r="A42" s="3" t="inlineStr">
        <is>
          <t>L4</t>
        </is>
      </c>
      <c r="B42" s="11">
        <f>SUMIFS(tblOrdenes[costo_total],tblOrdenes[linea],$A42,tblOrdenes[anio],B$37,tblOrdenes[mes],B$38)</f>
        <v/>
      </c>
      <c r="C42" s="11">
        <f>SUMIFS(tblOrdenes[costo_total],tblOrdenes[linea],$A42,tblOrdenes[anio],C$37,tblOrdenes[mes],C$38)</f>
        <v/>
      </c>
      <c r="D42" s="11">
        <f>SUMIFS(tblOrdenes[costo_total],tblOrdenes[linea],$A42,tblOrdenes[anio],D$37,tblOrdenes[mes],D$38)</f>
        <v/>
      </c>
      <c r="E42" s="11">
        <f>SUMIFS(tblOrdenes[costo_total],tblOrdenes[linea],$A42,tblOrdenes[anio],E$37,tblOrdenes[mes],E$38)</f>
        <v/>
      </c>
      <c r="F42" s="11">
        <f>SUMIFS(tblOrdenes[costo_total],tblOrdenes[linea],$A42,tblOrdenes[anio],F$37,tblOrdenes[mes],F$38)</f>
        <v/>
      </c>
      <c r="G42" s="11">
        <f>SUMIFS(tblOrdenes[costo_total],tblOrdenes[linea],$A42,tblOrdenes[anio],G$37,tblOrdenes[mes],G$38)</f>
        <v/>
      </c>
      <c r="H42" s="11">
        <f>SUMIFS(tblOrdenes[costo_total],tblOrdenes[linea],$A42,tblOrdenes[anio],H$37,tblOrdenes[mes],H$38)</f>
        <v/>
      </c>
      <c r="I42" s="11">
        <f>SUMIFS(tblOrdenes[costo_total],tblOrdenes[linea],$A42,tblOrdenes[anio],I$37,tblOrdenes[mes],I$38)</f>
        <v/>
      </c>
      <c r="J42" s="11">
        <f>SUMIFS(tblOrdenes[costo_total],tblOrdenes[linea],$A42,tblOrdenes[anio],J$37,tblOrdenes[mes],J$38)</f>
        <v/>
      </c>
      <c r="K42" s="11">
        <f>SUMIFS(tblOrdenes[costo_total],tblOrdenes[linea],$A42,tblOrdenes[anio],K$37,tblOrdenes[mes],K$38)</f>
        <v/>
      </c>
      <c r="L42" s="11">
        <f>SUMIFS(tblOrdenes[costo_total],tblOrdenes[linea],$A42,tblOrdenes[anio],L$37,tblOrdenes[mes],L$38)</f>
        <v/>
      </c>
      <c r="M42" s="11">
        <f>SUM(B42:L42)</f>
        <v/>
      </c>
    </row>
    <row r="43">
      <c r="A43" s="3" t="inlineStr">
        <is>
          <t>SG</t>
        </is>
      </c>
      <c r="B43" s="11">
        <f>SUMIFS(tblOrdenes[costo_total],tblOrdenes[linea],$A43,tblOrdenes[anio],B$37,tblOrdenes[mes],B$38)</f>
        <v/>
      </c>
      <c r="C43" s="11">
        <f>SUMIFS(tblOrdenes[costo_total],tblOrdenes[linea],$A43,tblOrdenes[anio],C$37,tblOrdenes[mes],C$38)</f>
        <v/>
      </c>
      <c r="D43" s="11">
        <f>SUMIFS(tblOrdenes[costo_total],tblOrdenes[linea],$A43,tblOrdenes[anio],D$37,tblOrdenes[mes],D$38)</f>
        <v/>
      </c>
      <c r="E43" s="11">
        <f>SUMIFS(tblOrdenes[costo_total],tblOrdenes[linea],$A43,tblOrdenes[anio],E$37,tblOrdenes[mes],E$38)</f>
        <v/>
      </c>
      <c r="F43" s="11">
        <f>SUMIFS(tblOrdenes[costo_total],tblOrdenes[linea],$A43,tblOrdenes[anio],F$37,tblOrdenes[mes],F$38)</f>
        <v/>
      </c>
      <c r="G43" s="11">
        <f>SUMIFS(tblOrdenes[costo_total],tblOrdenes[linea],$A43,tblOrdenes[anio],G$37,tblOrdenes[mes],G$38)</f>
        <v/>
      </c>
      <c r="H43" s="11">
        <f>SUMIFS(tblOrdenes[costo_total],tblOrdenes[linea],$A43,tblOrdenes[anio],H$37,tblOrdenes[mes],H$38)</f>
        <v/>
      </c>
      <c r="I43" s="11">
        <f>SUMIFS(tblOrdenes[costo_total],tblOrdenes[linea],$A43,tblOrdenes[anio],I$37,tblOrdenes[mes],I$38)</f>
        <v/>
      </c>
      <c r="J43" s="11">
        <f>SUMIFS(tblOrdenes[costo_total],tblOrdenes[linea],$A43,tblOrdenes[anio],J$37,tblOrdenes[mes],J$38)</f>
        <v/>
      </c>
      <c r="K43" s="11">
        <f>SUMIFS(tblOrdenes[costo_total],tblOrdenes[linea],$A43,tblOrdenes[anio],K$37,tblOrdenes[mes],K$38)</f>
        <v/>
      </c>
      <c r="L43" s="11">
        <f>SUMIFS(tblOrdenes[costo_total],tblOrdenes[linea],$A43,tblOrdenes[anio],L$37,tblOrdenes[mes],L$38)</f>
        <v/>
      </c>
      <c r="M43" s="11">
        <f>SUM(B43:L43)</f>
        <v/>
      </c>
    </row>
    <row r="44">
      <c r="A44" s="3" t="inlineStr">
        <is>
          <t>SG</t>
        </is>
      </c>
      <c r="B44" s="11">
        <f>SUMIFS(tblOrdenes[costo_total],tblOrdenes[linea],$A44,tblOrdenes[anio],B$37,tblOrdenes[mes],B$38)</f>
        <v/>
      </c>
      <c r="C44" s="11">
        <f>SUMIFS(tblOrdenes[costo_total],tblOrdenes[linea],$A44,tblOrdenes[anio],C$37,tblOrdenes[mes],C$38)</f>
        <v/>
      </c>
      <c r="D44" s="11">
        <f>SUMIFS(tblOrdenes[costo_total],tblOrdenes[linea],$A44,tblOrdenes[anio],D$37,tblOrdenes[mes],D$38)</f>
        <v/>
      </c>
      <c r="E44" s="11">
        <f>SUMIFS(tblOrdenes[costo_total],tblOrdenes[linea],$A44,tblOrdenes[anio],E$37,tblOrdenes[mes],E$38)</f>
        <v/>
      </c>
      <c r="F44" s="11">
        <f>SUMIFS(tblOrdenes[costo_total],tblOrdenes[linea],$A44,tblOrdenes[anio],F$37,tblOrdenes[mes],F$38)</f>
        <v/>
      </c>
      <c r="G44" s="11">
        <f>SUMIFS(tblOrdenes[costo_total],tblOrdenes[linea],$A44,tblOrdenes[anio],G$37,tblOrdenes[mes],G$38)</f>
        <v/>
      </c>
      <c r="H44" s="11">
        <f>SUMIFS(tblOrdenes[costo_total],tblOrdenes[linea],$A44,tblOrdenes[anio],H$37,tblOrdenes[mes],H$38)</f>
        <v/>
      </c>
      <c r="I44" s="11">
        <f>SUMIFS(tblOrdenes[costo_total],tblOrdenes[linea],$A44,tblOrdenes[anio],I$37,tblOrdenes[mes],I$38)</f>
        <v/>
      </c>
      <c r="J44" s="11">
        <f>SUMIFS(tblOrdenes[costo_total],tblOrdenes[linea],$A44,tblOrdenes[anio],J$37,tblOrdenes[mes],J$38)</f>
        <v/>
      </c>
      <c r="K44" s="11">
        <f>SUMIFS(tblOrdenes[costo_total],tblOrdenes[linea],$A44,tblOrdenes[anio],K$37,tblOrdenes[mes],K$38)</f>
        <v/>
      </c>
      <c r="L44" s="11">
        <f>SUMIFS(tblOrdenes[costo_total],tblOrdenes[linea],$A44,tblOrdenes[anio],L$37,tblOrdenes[mes],L$38)</f>
        <v/>
      </c>
      <c r="M44" s="11">
        <f>SUM(B44:L44)</f>
        <v/>
      </c>
    </row>
    <row r="45">
      <c r="A45" s="3" t="inlineStr">
        <is>
          <t>TC</t>
        </is>
      </c>
      <c r="B45" s="11">
        <f>SUMIFS(tblOrdenes[costo_total],tblOrdenes[linea],$A45,tblOrdenes[anio],B$37,tblOrdenes[mes],B$38)</f>
        <v/>
      </c>
      <c r="C45" s="11">
        <f>SUMIFS(tblOrdenes[costo_total],tblOrdenes[linea],$A45,tblOrdenes[anio],C$37,tblOrdenes[mes],C$38)</f>
        <v/>
      </c>
      <c r="D45" s="11">
        <f>SUMIFS(tblOrdenes[costo_total],tblOrdenes[linea],$A45,tblOrdenes[anio],D$37,tblOrdenes[mes],D$38)</f>
        <v/>
      </c>
      <c r="E45" s="11">
        <f>SUMIFS(tblOrdenes[costo_total],tblOrdenes[linea],$A45,tblOrdenes[anio],E$37,tblOrdenes[mes],E$38)</f>
        <v/>
      </c>
      <c r="F45" s="11">
        <f>SUMIFS(tblOrdenes[costo_total],tblOrdenes[linea],$A45,tblOrdenes[anio],F$37,tblOrdenes[mes],F$38)</f>
        <v/>
      </c>
      <c r="G45" s="11">
        <f>SUMIFS(tblOrdenes[costo_total],tblOrdenes[linea],$A45,tblOrdenes[anio],G$37,tblOrdenes[mes],G$38)</f>
        <v/>
      </c>
      <c r="H45" s="11">
        <f>SUMIFS(tblOrdenes[costo_total],tblOrdenes[linea],$A45,tblOrdenes[anio],H$37,tblOrdenes[mes],H$38)</f>
        <v/>
      </c>
      <c r="I45" s="11">
        <f>SUMIFS(tblOrdenes[costo_total],tblOrdenes[linea],$A45,tblOrdenes[anio],I$37,tblOrdenes[mes],I$38)</f>
        <v/>
      </c>
      <c r="J45" s="11">
        <f>SUMIFS(tblOrdenes[costo_total],tblOrdenes[linea],$A45,tblOrdenes[anio],J$37,tblOrdenes[mes],J$38)</f>
        <v/>
      </c>
      <c r="K45" s="11">
        <f>SUMIFS(tblOrdenes[costo_total],tblOrdenes[linea],$A45,tblOrdenes[anio],K$37,tblOrdenes[mes],K$38)</f>
        <v/>
      </c>
      <c r="L45" s="11">
        <f>SUMIFS(tblOrdenes[costo_total],tblOrdenes[linea],$A45,tblOrdenes[anio],L$37,tblOrdenes[mes],L$38)</f>
        <v/>
      </c>
      <c r="M45" s="11">
        <f>SUM(B45:L45)</f>
        <v/>
      </c>
    </row>
    <row r="46">
      <c r="A46" s="3" t="inlineStr">
        <is>
          <t>TC</t>
        </is>
      </c>
      <c r="B46" s="11">
        <f>SUMIFS(tblOrdenes[costo_total],tblOrdenes[linea],$A46,tblOrdenes[anio],B$37,tblOrdenes[mes],B$38)</f>
        <v/>
      </c>
      <c r="C46" s="11">
        <f>SUMIFS(tblOrdenes[costo_total],tblOrdenes[linea],$A46,tblOrdenes[anio],C$37,tblOrdenes[mes],C$38)</f>
        <v/>
      </c>
      <c r="D46" s="11">
        <f>SUMIFS(tblOrdenes[costo_total],tblOrdenes[linea],$A46,tblOrdenes[anio],D$37,tblOrdenes[mes],D$38)</f>
        <v/>
      </c>
      <c r="E46" s="11">
        <f>SUMIFS(tblOrdenes[costo_total],tblOrdenes[linea],$A46,tblOrdenes[anio],E$37,tblOrdenes[mes],E$38)</f>
        <v/>
      </c>
      <c r="F46" s="11">
        <f>SUMIFS(tblOrdenes[costo_total],tblOrdenes[linea],$A46,tblOrdenes[anio],F$37,tblOrdenes[mes],F$38)</f>
        <v/>
      </c>
      <c r="G46" s="11">
        <f>SUMIFS(tblOrdenes[costo_total],tblOrdenes[linea],$A46,tblOrdenes[anio],G$37,tblOrdenes[mes],G$38)</f>
        <v/>
      </c>
      <c r="H46" s="11">
        <f>SUMIFS(tblOrdenes[costo_total],tblOrdenes[linea],$A46,tblOrdenes[anio],H$37,tblOrdenes[mes],H$38)</f>
        <v/>
      </c>
      <c r="I46" s="11">
        <f>SUMIFS(tblOrdenes[costo_total],tblOrdenes[linea],$A46,tblOrdenes[anio],I$37,tblOrdenes[mes],I$38)</f>
        <v/>
      </c>
      <c r="J46" s="11">
        <f>SUMIFS(tblOrdenes[costo_total],tblOrdenes[linea],$A46,tblOrdenes[anio],J$37,tblOrdenes[mes],J$38)</f>
        <v/>
      </c>
      <c r="K46" s="11">
        <f>SUMIFS(tblOrdenes[costo_total],tblOrdenes[linea],$A46,tblOrdenes[anio],K$37,tblOrdenes[mes],K$38)</f>
        <v/>
      </c>
      <c r="L46" s="11">
        <f>SUMIFS(tblOrdenes[costo_total],tblOrdenes[linea],$A46,tblOrdenes[anio],L$37,tblOrdenes[mes],L$38)</f>
        <v/>
      </c>
      <c r="M46" s="11">
        <f>SUM(B46:L46)</f>
        <v/>
      </c>
    </row>
    <row r="47">
      <c r="A47" s="3" t="inlineStr">
        <is>
          <t>CO</t>
        </is>
      </c>
      <c r="B47" s="11">
        <f>SUMIFS(tblOrdenes[costo_total],tblOrdenes[linea],$A47,tblOrdenes[anio],B$37,tblOrdenes[mes],B$38)</f>
        <v/>
      </c>
      <c r="C47" s="11">
        <f>SUMIFS(tblOrdenes[costo_total],tblOrdenes[linea],$A47,tblOrdenes[anio],C$37,tblOrdenes[mes],C$38)</f>
        <v/>
      </c>
      <c r="D47" s="11">
        <f>SUMIFS(tblOrdenes[costo_total],tblOrdenes[linea],$A47,tblOrdenes[anio],D$37,tblOrdenes[mes],D$38)</f>
        <v/>
      </c>
      <c r="E47" s="11">
        <f>SUMIFS(tblOrdenes[costo_total],tblOrdenes[linea],$A47,tblOrdenes[anio],E$37,tblOrdenes[mes],E$38)</f>
        <v/>
      </c>
      <c r="F47" s="11">
        <f>SUMIFS(tblOrdenes[costo_total],tblOrdenes[linea],$A47,tblOrdenes[anio],F$37,tblOrdenes[mes],F$38)</f>
        <v/>
      </c>
      <c r="G47" s="11">
        <f>SUMIFS(tblOrdenes[costo_total],tblOrdenes[linea],$A47,tblOrdenes[anio],G$37,tblOrdenes[mes],G$38)</f>
        <v/>
      </c>
      <c r="H47" s="11">
        <f>SUMIFS(tblOrdenes[costo_total],tblOrdenes[linea],$A47,tblOrdenes[anio],H$37,tblOrdenes[mes],H$38)</f>
        <v/>
      </c>
      <c r="I47" s="11">
        <f>SUMIFS(tblOrdenes[costo_total],tblOrdenes[linea],$A47,tblOrdenes[anio],I$37,tblOrdenes[mes],I$38)</f>
        <v/>
      </c>
      <c r="J47" s="11">
        <f>SUMIFS(tblOrdenes[costo_total],tblOrdenes[linea],$A47,tblOrdenes[anio],J$37,tblOrdenes[mes],J$38)</f>
        <v/>
      </c>
      <c r="K47" s="11">
        <f>SUMIFS(tblOrdenes[costo_total],tblOrdenes[linea],$A47,tblOrdenes[anio],K$37,tblOrdenes[mes],K$38)</f>
        <v/>
      </c>
      <c r="L47" s="11">
        <f>SUMIFS(tblOrdenes[costo_total],tblOrdenes[linea],$A47,tblOrdenes[anio],L$37,tblOrdenes[mes],L$38)</f>
        <v/>
      </c>
      <c r="M47" s="11">
        <f>SUM(B47:L47)</f>
        <v/>
      </c>
    </row>
    <row r="48">
      <c r="A48" s="3" t="inlineStr">
        <is>
          <t>AC</t>
        </is>
      </c>
      <c r="B48" s="11">
        <f>SUMIFS(tblOrdenes[costo_total],tblOrdenes[linea],$A48,tblOrdenes[anio],B$37,tblOrdenes[mes],B$38)</f>
        <v/>
      </c>
      <c r="C48" s="11">
        <f>SUMIFS(tblOrdenes[costo_total],tblOrdenes[linea],$A48,tblOrdenes[anio],C$37,tblOrdenes[mes],C$38)</f>
        <v/>
      </c>
      <c r="D48" s="11">
        <f>SUMIFS(tblOrdenes[costo_total],tblOrdenes[linea],$A48,tblOrdenes[anio],D$37,tblOrdenes[mes],D$38)</f>
        <v/>
      </c>
      <c r="E48" s="11">
        <f>SUMIFS(tblOrdenes[costo_total],tblOrdenes[linea],$A48,tblOrdenes[anio],E$37,tblOrdenes[mes],E$38)</f>
        <v/>
      </c>
      <c r="F48" s="11">
        <f>SUMIFS(tblOrdenes[costo_total],tblOrdenes[linea],$A48,tblOrdenes[anio],F$37,tblOrdenes[mes],F$38)</f>
        <v/>
      </c>
      <c r="G48" s="11">
        <f>SUMIFS(tblOrdenes[costo_total],tblOrdenes[linea],$A48,tblOrdenes[anio],G$37,tblOrdenes[mes],G$38)</f>
        <v/>
      </c>
      <c r="H48" s="11">
        <f>SUMIFS(tblOrdenes[costo_total],tblOrdenes[linea],$A48,tblOrdenes[anio],H$37,tblOrdenes[mes],H$38)</f>
        <v/>
      </c>
      <c r="I48" s="11">
        <f>SUMIFS(tblOrdenes[costo_total],tblOrdenes[linea],$A48,tblOrdenes[anio],I$37,tblOrdenes[mes],I$38)</f>
        <v/>
      </c>
      <c r="J48" s="11">
        <f>SUMIFS(tblOrdenes[costo_total],tblOrdenes[linea],$A48,tblOrdenes[anio],J$37,tblOrdenes[mes],J$38)</f>
        <v/>
      </c>
      <c r="K48" s="11">
        <f>SUMIFS(tblOrdenes[costo_total],tblOrdenes[linea],$A48,tblOrdenes[anio],K$37,tblOrdenes[mes],K$38)</f>
        <v/>
      </c>
      <c r="L48" s="11">
        <f>SUMIFS(tblOrdenes[costo_total],tblOrdenes[linea],$A48,tblOrdenes[anio],L$37,tblOrdenes[mes],L$38)</f>
        <v/>
      </c>
      <c r="M48" s="11">
        <f>SUM(B48:L48)</f>
        <v/>
      </c>
    </row>
    <row r="49">
      <c r="A49" s="4" t="inlineStr">
        <is>
          <t>TOTAL</t>
        </is>
      </c>
      <c r="B49" s="11">
        <f>SUM(B39:B48)</f>
        <v/>
      </c>
      <c r="C49" s="11">
        <f>SUM(C39:C48)</f>
        <v/>
      </c>
      <c r="D49" s="11">
        <f>SUM(D39:D48)</f>
        <v/>
      </c>
      <c r="E49" s="11">
        <f>SUM(E39:E48)</f>
        <v/>
      </c>
      <c r="F49" s="11">
        <f>SUM(F39:F48)</f>
        <v/>
      </c>
      <c r="G49" s="11">
        <f>SUM(G39:G48)</f>
        <v/>
      </c>
      <c r="H49" s="11">
        <f>SUM(H39:H48)</f>
        <v/>
      </c>
      <c r="I49" s="11">
        <f>SUM(I39:I48)</f>
        <v/>
      </c>
      <c r="J49" s="11">
        <f>SUM(J39:J48)</f>
        <v/>
      </c>
      <c r="K49" s="11">
        <f>SUM(K39:K48)</f>
        <v/>
      </c>
      <c r="L49" s="11">
        <f>SUM(L39:L48)</f>
        <v/>
      </c>
      <c r="M49" s="11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COUNTIFS(tblOrdenes[estado],"Pendiente",tblOrdenes[backlog_dias],"&gt;=0",tblOrdenes[backlog_dias],"&lt;=30")</f>
        <v/>
      </c>
      <c r="C4" s="17">
        <f>SUMIFS(tblOrdenes[horas_efectivas],tblOrdenes[estado],"Pendiente",tblOrdenes[backlog_dias],"&gt;=0",tblOrdenes[backlog_dias],"&lt;=30")</f>
        <v/>
      </c>
    </row>
    <row r="5">
      <c r="A5" s="3" t="inlineStr">
        <is>
          <t>31-60</t>
        </is>
      </c>
      <c r="B5" s="3">
        <f>COUNTIFS(tblOrdenes[estado],"Pendiente",tblOrdenes[backlog_dias],"&gt;=31",tblOrdenes[backlog_dias],"&lt;=60")</f>
        <v/>
      </c>
      <c r="C5" s="17">
        <f>SUMIFS(tblOrdenes[horas_efectivas],tblOrdenes[estado],"Pendiente",tblOrdenes[backlog_dias],"&gt;=31",tblOrdenes[backlog_dias],"&lt;=60")</f>
        <v/>
      </c>
    </row>
    <row r="6">
      <c r="A6" s="3" t="inlineStr">
        <is>
          <t>61-90</t>
        </is>
      </c>
      <c r="B6" s="3">
        <f>COUNTIFS(tblOrdenes[estado],"Pendiente",tblOrdenes[backlog_dias],"&gt;=61",tblOrdenes[backlog_dias],"&lt;=90")</f>
        <v/>
      </c>
      <c r="C6" s="17">
        <f>SUMIFS(tblOrdenes[horas_efectivas],tblOrdenes[estado],"Pendiente",tblOrdenes[backlog_dias],"&gt;=61",tblOrdenes[backlog_dias],"&lt;=90")</f>
        <v/>
      </c>
    </row>
    <row r="7">
      <c r="A7" s="3" t="inlineStr">
        <is>
          <t>&gt;90</t>
        </is>
      </c>
      <c r="B7" s="3">
        <f>COUNTIFS(tblOrdenes[estado],"Pendiente",tblOrdenes[backlog_dias],"&gt;90")</f>
        <v/>
      </c>
      <c r="C7" s="17">
        <f>SUMIFS(tblOrdenes[horas_efectivas],tblOrdenes[estado],"Pendiente",tblOrdenes[backlog_dias],"&gt;90")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COUNTIFS(tblOrdenes[estado],"Pendiente",tblOrdenes[backlog_dias],"&gt;=0",tblOrdenes[backlog_dias],"&lt;=30",tblOrdenes[especialidad],$A12)</f>
        <v/>
      </c>
      <c r="C12" s="3">
        <f>COUNTIFS(tblOrdenes[estado],"Pendiente",tblOrdenes[backlog_dias],"&gt;=31",tblOrdenes[backlog_dias],"&lt;=60",tblOrdenes[especialidad],$A12)</f>
        <v/>
      </c>
      <c r="D12" s="3">
        <f>COUNTIFS(tblOrdenes[estado],"Pendiente",tblOrdenes[backlog_dias],"&gt;=61",tblOrdenes[backlog_dias],"&lt;=90",tblOrdenes[especialidad],$A12)</f>
        <v/>
      </c>
      <c r="E12" s="3">
        <f>COUNTIFS(tblOrdenes[estado],"Pendiente",tblOrdenes[backlog_dias],"&gt;90",tblOrdenes[especialidad],$A12)</f>
        <v/>
      </c>
    </row>
    <row r="13">
      <c r="A13" s="3" t="inlineStr">
        <is>
          <t>ELE</t>
        </is>
      </c>
      <c r="B13" s="3">
        <f>COUNTIFS(tblOrdenes[estado],"Pendiente",tblOrdenes[backlog_dias],"&gt;=0",tblOrdenes[backlog_dias],"&lt;=30",tblOrdenes[especialidad],$A13)</f>
        <v/>
      </c>
      <c r="C13" s="3">
        <f>COUNTIFS(tblOrdenes[estado],"Pendiente",tblOrdenes[backlog_dias],"&gt;=31",tblOrdenes[backlog_dias],"&lt;=60",tblOrdenes[especialidad],$A13)</f>
        <v/>
      </c>
      <c r="D13" s="3">
        <f>COUNTIFS(tblOrdenes[estado],"Pendiente",tblOrdenes[backlog_dias],"&gt;=61",tblOrdenes[backlog_dias],"&lt;=90",tblOrdenes[especialidad],$A13)</f>
        <v/>
      </c>
      <c r="E13" s="3">
        <f>COUNTIFS(tblOrdenes[estado],"Pendiente",tblOrdenes[backlog_dias],"&gt;90",tblOrdenes[especialidad],$A13)</f>
        <v/>
      </c>
    </row>
    <row r="14">
      <c r="A14" s="3" t="inlineStr">
        <is>
          <t>AUT</t>
        </is>
      </c>
      <c r="B14" s="3">
        <f>COUNTIFS(tblOrdenes[estado],"Pendiente",tblOrdenes[backlog_dias],"&gt;=0",tblOrdenes[backlog_dias],"&lt;=30",tblOrdenes[especialidad],$A14)</f>
        <v/>
      </c>
      <c r="C14" s="3">
        <f>COUNTIFS(tblOrdenes[estado],"Pendiente",tblOrdenes[backlog_dias],"&gt;=31",tblOrdenes[backlog_dias],"&lt;=60",tblOrdenes[especialidad],$A14)</f>
        <v/>
      </c>
      <c r="D14" s="3">
        <f>COUNTIFS(tblOrdenes[estado],"Pendiente",tblOrdenes[backlog_dias],"&gt;=61",tblOrdenes[backlog_dias],"&lt;=90",tblOrdenes[especialidad],$A14)</f>
        <v/>
      </c>
      <c r="E14" s="3">
        <f>COUNTIFS(tblOrdenes[estado],"Pendiente",tblOrdenes[backlog_dias],"&gt;90",tblOrdenes[especialidad],$A14)</f>
        <v/>
      </c>
    </row>
    <row r="15">
      <c r="A15" s="3" t="inlineStr">
        <is>
          <t>TERCERO</t>
        </is>
      </c>
      <c r="B15" s="3">
        <f>COUNTIFS(tblOrdenes[estado],"Pendiente",tblOrdenes[backlog_dias],"&gt;=0",tblOrdenes[backlog_dias],"&lt;=30",tblOrdenes[especialidad],$A15)</f>
        <v/>
      </c>
      <c r="C15" s="3">
        <f>COUNTIFS(tblOrdenes[estado],"Pendiente",tblOrdenes[backlog_dias],"&gt;=31",tblOrdenes[backlog_dias],"&lt;=60",tblOrdenes[especialidad],$A15)</f>
        <v/>
      </c>
      <c r="D15" s="3">
        <f>COUNTIFS(tblOrdenes[estado],"Pendiente",tblOrdenes[backlog_dias],"&gt;=61",tblOrdenes[backlog_dias],"&lt;=90",tblOrdenes[especialidad],$A15)</f>
        <v/>
      </c>
      <c r="E15" s="3">
        <f>COUNTIFS(tblOrdenes[estado],"Pendiente",tblOrdenes[backlog_dias],"&gt;90",tblOrdenes[especialidad],$A15)</f>
        <v/>
      </c>
    </row>
    <row r="17">
      <c r="A17" s="4" t="inlineStr">
        <is>
          <t>POR ÁREA</t>
        </is>
      </c>
    </row>
    <row r="18">
      <c r="A18" s="5" t="inlineStr">
        <is>
          <t>area</t>
        </is>
      </c>
      <c r="B18" s="5" t="inlineStr">
        <is>
          <t>0-30</t>
        </is>
      </c>
      <c r="C18" s="5" t="inlineStr">
        <is>
          <t>31-60</t>
        </is>
      </c>
      <c r="D18" s="5" t="inlineStr">
        <is>
          <t>61-90</t>
        </is>
      </c>
      <c r="E18" s="5" t="inlineStr">
        <is>
          <t>&gt;90</t>
        </is>
      </c>
    </row>
    <row r="19">
      <c r="A19" s="3" t="inlineStr">
        <is>
          <t>PRODUCCION</t>
        </is>
      </c>
      <c r="B19" s="3">
        <f>COUNTIFS(tblOrdenes[estado],"Pendiente",tblOrdenes[backlog_dias],"&gt;=0",tblOrdenes[backlog_dias],"&lt;=30",tblOrdenes[area],$A19)</f>
        <v/>
      </c>
      <c r="C19" s="3">
        <f>COUNTIFS(tblOrdenes[estado],"Pendiente",tblOrdenes[backlog_dias],"&gt;=31",tblOrdenes[backlog_dias],"&lt;=60",tblOrdenes[area],$A19)</f>
        <v/>
      </c>
      <c r="D19" s="3">
        <f>COUNTIFS(tblOrdenes[estado],"Pendiente",tblOrdenes[backlog_dias],"&gt;=61",tblOrdenes[backlog_dias],"&lt;=90",tblOrdenes[area],$A19)</f>
        <v/>
      </c>
      <c r="E19" s="3">
        <f>COUNTIFS(tblOrdenes[estado],"Pendiente",tblOrdenes[backlog_dias],"&gt;90",tblOrdenes[area],$A19)</f>
        <v/>
      </c>
    </row>
    <row r="20">
      <c r="A20" s="3" t="inlineStr">
        <is>
          <t>EMPAQUE</t>
        </is>
      </c>
      <c r="B20" s="3">
        <f>COUNTIFS(tblOrdenes[estado],"Pendiente",tblOrdenes[backlog_dias],"&gt;=0",tblOrdenes[backlog_dias],"&lt;=30",tblOrdenes[area],$A20)</f>
        <v/>
      </c>
      <c r="C20" s="3">
        <f>COUNTIFS(tblOrdenes[estado],"Pendiente",tblOrdenes[backlog_dias],"&gt;=31",tblOrdenes[backlog_dias],"&lt;=60",tblOrdenes[area],$A20)</f>
        <v/>
      </c>
      <c r="D20" s="3">
        <f>COUNTIFS(tblOrdenes[estado],"Pendiente",tblOrdenes[backlog_dias],"&gt;=61",tblOrdenes[backlog_dias],"&lt;=90",tblOrdenes[area],$A20)</f>
        <v/>
      </c>
      <c r="E20" s="3">
        <f>COUNTIFS(tblOrdenes[estado],"Pendiente",tblOrdenes[backlog_dias],"&gt;90",tblOrdenes[area],$A20)</f>
        <v/>
      </c>
    </row>
    <row r="21">
      <c r="A21" s="3" t="inlineStr">
        <is>
          <t>SERVICIOS</t>
        </is>
      </c>
      <c r="B21" s="3">
        <f>COUNTIFS(tblOrdenes[estado],"Pendiente",tblOrdenes[backlog_dias],"&gt;=0",tblOrdenes[backlog_dias],"&lt;=30",tblOrdenes[area],$A21)</f>
        <v/>
      </c>
      <c r="C21" s="3">
        <f>COUNTIFS(tblOrdenes[estado],"Pendiente",tblOrdenes[backlog_dias],"&gt;=31",tblOrdenes[backlog_dias],"&lt;=60",tblOrdenes[area],$A21)</f>
        <v/>
      </c>
      <c r="D21" s="3">
        <f>COUNTIFS(tblOrdenes[estado],"Pendiente",tblOrdenes[backlog_dias],"&gt;=61",tblOrdenes[backlog_dias],"&lt;=90",tblOrdenes[area],$A21)</f>
        <v/>
      </c>
      <c r="E21" s="3">
        <f>COUNTIFS(tblOrdenes[estado],"Pendiente",tblOrdenes[backlog_dias],"&gt;90",tblOrdenes[area],$A21)</f>
        <v/>
      </c>
    </row>
    <row r="23">
      <c r="A23" s="4" t="inlineStr">
        <is>
          <t>POR SUB-ÁREA (herencia: área sin subdividir con su propio nombre)</t>
        </is>
      </c>
    </row>
    <row r="24">
      <c r="A24" s="5" t="inlineStr">
        <is>
          <t>sub_area</t>
        </is>
      </c>
      <c r="B24" s="5" t="inlineStr">
        <is>
          <t>0-30</t>
        </is>
      </c>
      <c r="C24" s="5" t="inlineStr">
        <is>
          <t>31-60</t>
        </is>
      </c>
      <c r="D24" s="5" t="inlineStr">
        <is>
          <t>61-90</t>
        </is>
      </c>
      <c r="E24" s="5" t="inlineStr">
        <is>
          <t>&gt;90</t>
        </is>
      </c>
    </row>
    <row r="25">
      <c r="A25" s="3" t="inlineStr">
        <is>
          <t>PRODUCCION</t>
        </is>
      </c>
      <c r="B25" s="3">
        <f>COUNTIFS(tblOrdenes[estado],"Pendiente",tblOrdenes[backlog_dias],"&gt;=0",tblOrdenes[backlog_dias],"&lt;=30",tblOrdenes[sub_area],$A25)</f>
        <v/>
      </c>
      <c r="C25" s="3">
        <f>COUNTIFS(tblOrdenes[estado],"Pendiente",tblOrdenes[backlog_dias],"&gt;=31",tblOrdenes[backlog_dias],"&lt;=60",tblOrdenes[sub_area],$A25)</f>
        <v/>
      </c>
      <c r="D25" s="3">
        <f>COUNTIFS(tblOrdenes[estado],"Pendiente",tblOrdenes[backlog_dias],"&gt;=61",tblOrdenes[backlog_dias],"&lt;=90",tblOrdenes[sub_area],$A25)</f>
        <v/>
      </c>
      <c r="E25" s="3">
        <f>COUNTIFS(tblOrdenes[estado],"Pendiente",tblOrdenes[backlog_dias],"&gt;90",tblOrdenes[sub_area],$A25)</f>
        <v/>
      </c>
    </row>
    <row r="26">
      <c r="A26" s="3" t="inlineStr">
        <is>
          <t>EMPAQUE</t>
        </is>
      </c>
      <c r="B26" s="3">
        <f>COUNTIFS(tblOrdenes[estado],"Pendiente",tblOrdenes[backlog_dias],"&gt;=0",tblOrdenes[backlog_dias],"&lt;=30",tblOrdenes[sub_area],$A26)</f>
        <v/>
      </c>
      <c r="C26" s="3">
        <f>COUNTIFS(tblOrdenes[estado],"Pendiente",tblOrdenes[backlog_dias],"&gt;=31",tblOrdenes[backlog_dias],"&lt;=60",tblOrdenes[sub_area],$A26)</f>
        <v/>
      </c>
      <c r="D26" s="3">
        <f>COUNTIFS(tblOrdenes[estado],"Pendiente",tblOrdenes[backlog_dias],"&gt;=61",tblOrdenes[backlog_dias],"&lt;=90",tblOrdenes[sub_area],$A26)</f>
        <v/>
      </c>
      <c r="E26" s="3">
        <f>COUNTIFS(tblOrdenes[estado],"Pendiente",tblOrdenes[backlog_dias],"&gt;90",tblOrdenes[sub_area],$A26)</f>
        <v/>
      </c>
    </row>
    <row r="27">
      <c r="A27" s="3" t="inlineStr">
        <is>
          <t>Vapor</t>
        </is>
      </c>
      <c r="B27" s="3">
        <f>COUNTIFS(tblOrdenes[estado],"Pendiente",tblOrdenes[backlog_dias],"&gt;=0",tblOrdenes[backlog_dias],"&lt;=30",tblOrdenes[sub_area],$A27)</f>
        <v/>
      </c>
      <c r="C27" s="3">
        <f>COUNTIFS(tblOrdenes[estado],"Pendiente",tblOrdenes[backlog_dias],"&gt;=31",tblOrdenes[backlog_dias],"&lt;=60",tblOrdenes[sub_area],$A27)</f>
        <v/>
      </c>
      <c r="D27" s="3">
        <f>COUNTIFS(tblOrdenes[estado],"Pendiente",tblOrdenes[backlog_dias],"&gt;=61",tblOrdenes[backlog_dias],"&lt;=90",tblOrdenes[sub_area],$A27)</f>
        <v/>
      </c>
      <c r="E27" s="3">
        <f>COUNTIFS(tblOrdenes[estado],"Pendiente",tblOrdenes[backlog_dias],"&gt;90",tblOrdenes[sub_area],$A27)</f>
        <v/>
      </c>
    </row>
    <row r="28">
      <c r="A28" s="3" t="inlineStr">
        <is>
          <t>Refrigeración</t>
        </is>
      </c>
      <c r="B28" s="3">
        <f>COUNTIFS(tblOrdenes[estado],"Pendiente",tblOrdenes[backlog_dias],"&gt;=0",tblOrdenes[backlog_dias],"&lt;=30",tblOrdenes[sub_area],$A28)</f>
        <v/>
      </c>
      <c r="C28" s="3">
        <f>COUNTIFS(tblOrdenes[estado],"Pendiente",tblOrdenes[backlog_dias],"&gt;=31",tblOrdenes[backlog_dias],"&lt;=60",tblOrdenes[sub_area],$A28)</f>
        <v/>
      </c>
      <c r="D28" s="3">
        <f>COUNTIFS(tblOrdenes[estado],"Pendiente",tblOrdenes[backlog_dias],"&gt;=61",tblOrdenes[backlog_dias],"&lt;=90",tblOrdenes[sub_area],$A28)</f>
        <v/>
      </c>
      <c r="E28" s="3">
        <f>COUNTIFS(tblOrdenes[estado],"Pendiente",tblOrdenes[backlog_dias],"&gt;90",tblOrdenes[sub_area],$A28)</f>
        <v/>
      </c>
    </row>
    <row r="29">
      <c r="A29" s="3" t="inlineStr">
        <is>
          <t>CO2</t>
        </is>
      </c>
      <c r="B29" s="3">
        <f>COUNTIFS(tblOrdenes[estado],"Pendiente",tblOrdenes[backlog_dias],"&gt;=0",tblOrdenes[backlog_dias],"&lt;=30",tblOrdenes[sub_area],$A29)</f>
        <v/>
      </c>
      <c r="C29" s="3">
        <f>COUNTIFS(tblOrdenes[estado],"Pendiente",tblOrdenes[backlog_dias],"&gt;=31",tblOrdenes[backlog_dias],"&lt;=60",tblOrdenes[sub_area],$A29)</f>
        <v/>
      </c>
      <c r="D29" s="3">
        <f>COUNTIFS(tblOrdenes[estado],"Pendiente",tblOrdenes[backlog_dias],"&gt;=61",tblOrdenes[backlog_dias],"&lt;=90",tblOrdenes[sub_area],$A29)</f>
        <v/>
      </c>
      <c r="E29" s="3">
        <f>COUNTIFS(tblOrdenes[estado],"Pendiente",tblOrdenes[backlog_dias],"&gt;90",tblOrdenes[sub_area],$A29)</f>
        <v/>
      </c>
    </row>
    <row r="30">
      <c r="A30" s="3" t="inlineStr">
        <is>
          <t>Aire comprimido</t>
        </is>
      </c>
      <c r="B30" s="3">
        <f>COUNTIFS(tblOrdenes[estado],"Pendiente",tblOrdenes[backlog_dias],"&gt;=0",tblOrdenes[backlog_dias],"&lt;=30",tblOrdenes[sub_area],$A30)</f>
        <v/>
      </c>
      <c r="C30" s="3">
        <f>COUNTIFS(tblOrdenes[estado],"Pendiente",tblOrdenes[backlog_dias],"&gt;=31",tblOrdenes[backlog_dias],"&lt;=60",tblOrdenes[sub_area],$A30)</f>
        <v/>
      </c>
      <c r="D30" s="3">
        <f>COUNTIFS(tblOrdenes[estado],"Pendiente",tblOrdenes[backlog_dias],"&gt;=61",tblOrdenes[backlog_dias],"&lt;=90",tblOrdenes[sub_area],$A30)</f>
        <v/>
      </c>
      <c r="E30" s="3">
        <f>COUNTIFS(tblOrdenes[estado],"Pendiente",tblOrdenes[backlog_dias],"&gt;90",tblOrdenes[sub_area],$A30)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9</v>
      </c>
      <c r="J4" s="5" t="n">
        <v>11</v>
      </c>
      <c r="K4" s="5" t="n">
        <v>12</v>
      </c>
      <c r="L4" s="5" t="n">
        <v>1</v>
      </c>
      <c r="M4" s="5" t="inlineStr">
        <is>
          <t>TOTAL</t>
        </is>
      </c>
    </row>
    <row r="5">
      <c r="A5" s="3" t="inlineStr">
        <is>
          <t>EQ-110</t>
        </is>
      </c>
      <c r="B5" s="11">
        <f>SUMIFS(tblOrdenes[costo_total],tblOrdenes[equipo],$A5,tblOrdenes[anio],B$3,tblOrdenes[mes],B$4)</f>
        <v/>
      </c>
      <c r="C5" s="11">
        <f>SUMIFS(tblOrdenes[costo_total],tblOrdenes[equipo],$A5,tblOrdenes[anio],C$3,tblOrdenes[mes],C$4)</f>
        <v/>
      </c>
      <c r="D5" s="11">
        <f>SUMIFS(tblOrdenes[costo_total],tblOrdenes[equipo],$A5,tblOrdenes[anio],D$3,tblOrdenes[mes],D$4)</f>
        <v/>
      </c>
      <c r="E5" s="11">
        <f>SUMIFS(tblOrdenes[costo_total],tblOrdenes[equipo],$A5,tblOrdenes[anio],E$3,tblOrdenes[mes],E$4)</f>
        <v/>
      </c>
      <c r="F5" s="11">
        <f>SUMIFS(tblOrdenes[costo_total],tblOrdenes[equipo],$A5,tblOrdenes[anio],F$3,tblOrdenes[mes],F$4)</f>
        <v/>
      </c>
      <c r="G5" s="11">
        <f>SUMIFS(tblOrdenes[costo_total],tblOrdenes[equipo],$A5,tblOrdenes[anio],G$3,tblOrdenes[mes],G$4)</f>
        <v/>
      </c>
      <c r="H5" s="11">
        <f>SUMIFS(tblOrdenes[costo_total],tblOrdenes[equipo],$A5,tblOrdenes[anio],H$3,tblOrdenes[mes],H$4)</f>
        <v/>
      </c>
      <c r="I5" s="11">
        <f>SUMIFS(tblOrdenes[costo_total],tblOrdenes[equipo],$A5,tblOrdenes[anio],I$3,tblOrdenes[mes],I$4)</f>
        <v/>
      </c>
      <c r="J5" s="11">
        <f>SUMIFS(tblOrdenes[costo_total],tblOrdenes[equipo],$A5,tblOrdenes[anio],J$3,tblOrdenes[mes],J$4)</f>
        <v/>
      </c>
      <c r="K5" s="11">
        <f>SUMIFS(tblOrdenes[costo_total],tblOrdenes[equipo],$A5,tblOrdenes[anio],K$3,tblOrdenes[mes],K$4)</f>
        <v/>
      </c>
      <c r="L5" s="11">
        <f>SUMIFS(tblOrdenes[costo_total],tblOrdenes[equipo],$A5,tblOrdenes[anio],L$3,tblOrdenes[mes],L$4)</f>
        <v/>
      </c>
      <c r="M5" s="11">
        <f>SUM(B5:L5)</f>
        <v/>
      </c>
    </row>
    <row r="6">
      <c r="A6" s="3" t="inlineStr">
        <is>
          <t>EQ-106</t>
        </is>
      </c>
      <c r="B6" s="11">
        <f>SUMIFS(tblOrdenes[costo_total],tblOrdenes[equipo],$A6,tblOrdenes[anio],B$3,tblOrdenes[mes],B$4)</f>
        <v/>
      </c>
      <c r="C6" s="11">
        <f>SUMIFS(tblOrdenes[costo_total],tblOrdenes[equipo],$A6,tblOrdenes[anio],C$3,tblOrdenes[mes],C$4)</f>
        <v/>
      </c>
      <c r="D6" s="11">
        <f>SUMIFS(tblOrdenes[costo_total],tblOrdenes[equipo],$A6,tblOrdenes[anio],D$3,tblOrdenes[mes],D$4)</f>
        <v/>
      </c>
      <c r="E6" s="11">
        <f>SUMIFS(tblOrdenes[costo_total],tblOrdenes[equipo],$A6,tblOrdenes[anio],E$3,tblOrdenes[mes],E$4)</f>
        <v/>
      </c>
      <c r="F6" s="11">
        <f>SUMIFS(tblOrdenes[costo_total],tblOrdenes[equipo],$A6,tblOrdenes[anio],F$3,tblOrdenes[mes],F$4)</f>
        <v/>
      </c>
      <c r="G6" s="11">
        <f>SUMIFS(tblOrdenes[costo_total],tblOrdenes[equipo],$A6,tblOrdenes[anio],G$3,tblOrdenes[mes],G$4)</f>
        <v/>
      </c>
      <c r="H6" s="11">
        <f>SUMIFS(tblOrdenes[costo_total],tblOrdenes[equipo],$A6,tblOrdenes[anio],H$3,tblOrdenes[mes],H$4)</f>
        <v/>
      </c>
      <c r="I6" s="11">
        <f>SUMIFS(tblOrdenes[costo_total],tblOrdenes[equipo],$A6,tblOrdenes[anio],I$3,tblOrdenes[mes],I$4)</f>
        <v/>
      </c>
      <c r="J6" s="11">
        <f>SUMIFS(tblOrdenes[costo_total],tblOrdenes[equipo],$A6,tblOrdenes[anio],J$3,tblOrdenes[mes],J$4)</f>
        <v/>
      </c>
      <c r="K6" s="11">
        <f>SUMIFS(tblOrdenes[costo_total],tblOrdenes[equipo],$A6,tblOrdenes[anio],K$3,tblOrdenes[mes],K$4)</f>
        <v/>
      </c>
      <c r="L6" s="11">
        <f>SUMIFS(tblOrdenes[costo_total],tblOrdenes[equipo],$A6,tblOrdenes[anio],L$3,tblOrdenes[mes],L$4)</f>
        <v/>
      </c>
      <c r="M6" s="11">
        <f>SUM(B6:L6)</f>
        <v/>
      </c>
    </row>
    <row r="7">
      <c r="A7" s="3" t="inlineStr">
        <is>
          <t>EQ-108</t>
        </is>
      </c>
      <c r="B7" s="11">
        <f>SUMIFS(tblOrdenes[costo_total],tblOrdenes[equipo],$A7,tblOrdenes[anio],B$3,tblOrdenes[mes],B$4)</f>
        <v/>
      </c>
      <c r="C7" s="11">
        <f>SUMIFS(tblOrdenes[costo_total],tblOrdenes[equipo],$A7,tblOrdenes[anio],C$3,tblOrdenes[mes],C$4)</f>
        <v/>
      </c>
      <c r="D7" s="11">
        <f>SUMIFS(tblOrdenes[costo_total],tblOrdenes[equipo],$A7,tblOrdenes[anio],D$3,tblOrdenes[mes],D$4)</f>
        <v/>
      </c>
      <c r="E7" s="11">
        <f>SUMIFS(tblOrdenes[costo_total],tblOrdenes[equipo],$A7,tblOrdenes[anio],E$3,tblOrdenes[mes],E$4)</f>
        <v/>
      </c>
      <c r="F7" s="11">
        <f>SUMIFS(tblOrdenes[costo_total],tblOrdenes[equipo],$A7,tblOrdenes[anio],F$3,tblOrdenes[mes],F$4)</f>
        <v/>
      </c>
      <c r="G7" s="11">
        <f>SUMIFS(tblOrdenes[costo_total],tblOrdenes[equipo],$A7,tblOrdenes[anio],G$3,tblOrdenes[mes],G$4)</f>
        <v/>
      </c>
      <c r="H7" s="11">
        <f>SUMIFS(tblOrdenes[costo_total],tblOrdenes[equipo],$A7,tblOrdenes[anio],H$3,tblOrdenes[mes],H$4)</f>
        <v/>
      </c>
      <c r="I7" s="11">
        <f>SUMIFS(tblOrdenes[costo_total],tblOrdenes[equipo],$A7,tblOrdenes[anio],I$3,tblOrdenes[mes],I$4)</f>
        <v/>
      </c>
      <c r="J7" s="11">
        <f>SUMIFS(tblOrdenes[costo_total],tblOrdenes[equipo],$A7,tblOrdenes[anio],J$3,tblOrdenes[mes],J$4)</f>
        <v/>
      </c>
      <c r="K7" s="11">
        <f>SUMIFS(tblOrdenes[costo_total],tblOrdenes[equipo],$A7,tblOrdenes[anio],K$3,tblOrdenes[mes],K$4)</f>
        <v/>
      </c>
      <c r="L7" s="11">
        <f>SUMIFS(tblOrdenes[costo_total],tblOrdenes[equipo],$A7,tblOrdenes[anio],L$3,tblOrdenes[mes],L$4)</f>
        <v/>
      </c>
      <c r="M7" s="11">
        <f>SUM(B7:L7)</f>
        <v/>
      </c>
    </row>
    <row r="8">
      <c r="A8" s="3" t="inlineStr">
        <is>
          <t>EQ-109</t>
        </is>
      </c>
      <c r="B8" s="11">
        <f>SUMIFS(tblOrdenes[costo_total],tblOrdenes[equipo],$A8,tblOrdenes[anio],B$3,tblOrdenes[mes],B$4)</f>
        <v/>
      </c>
      <c r="C8" s="11">
        <f>SUMIFS(tblOrdenes[costo_total],tblOrdenes[equipo],$A8,tblOrdenes[anio],C$3,tblOrdenes[mes],C$4)</f>
        <v/>
      </c>
      <c r="D8" s="11">
        <f>SUMIFS(tblOrdenes[costo_total],tblOrdenes[equipo],$A8,tblOrdenes[anio],D$3,tblOrdenes[mes],D$4)</f>
        <v/>
      </c>
      <c r="E8" s="11">
        <f>SUMIFS(tblOrdenes[costo_total],tblOrdenes[equipo],$A8,tblOrdenes[anio],E$3,tblOrdenes[mes],E$4)</f>
        <v/>
      </c>
      <c r="F8" s="11">
        <f>SUMIFS(tblOrdenes[costo_total],tblOrdenes[equipo],$A8,tblOrdenes[anio],F$3,tblOrdenes[mes],F$4)</f>
        <v/>
      </c>
      <c r="G8" s="11">
        <f>SUMIFS(tblOrdenes[costo_total],tblOrdenes[equipo],$A8,tblOrdenes[anio],G$3,tblOrdenes[mes],G$4)</f>
        <v/>
      </c>
      <c r="H8" s="11">
        <f>SUMIFS(tblOrdenes[costo_total],tblOrdenes[equipo],$A8,tblOrdenes[anio],H$3,tblOrdenes[mes],H$4)</f>
        <v/>
      </c>
      <c r="I8" s="11">
        <f>SUMIFS(tblOrdenes[costo_total],tblOrdenes[equipo],$A8,tblOrdenes[anio],I$3,tblOrdenes[mes],I$4)</f>
        <v/>
      </c>
      <c r="J8" s="11">
        <f>SUMIFS(tblOrdenes[costo_total],tblOrdenes[equipo],$A8,tblOrdenes[anio],J$3,tblOrdenes[mes],J$4)</f>
        <v/>
      </c>
      <c r="K8" s="11">
        <f>SUMIFS(tblOrdenes[costo_total],tblOrdenes[equipo],$A8,tblOrdenes[anio],K$3,tblOrdenes[mes],K$4)</f>
        <v/>
      </c>
      <c r="L8" s="11">
        <f>SUMIFS(tblOrdenes[costo_total],tblOrdenes[equipo],$A8,tblOrdenes[anio],L$3,tblOrdenes[mes],L$4)</f>
        <v/>
      </c>
      <c r="M8" s="11">
        <f>SUM(B8:L8)</f>
        <v/>
      </c>
    </row>
    <row r="9">
      <c r="A9" s="3" t="inlineStr">
        <is>
          <t>EQ-103</t>
        </is>
      </c>
      <c r="B9" s="11">
        <f>SUMIFS(tblOrdenes[costo_total],tblOrdenes[equipo],$A9,tblOrdenes[anio],B$3,tblOrdenes[mes],B$4)</f>
        <v/>
      </c>
      <c r="C9" s="11">
        <f>SUMIFS(tblOrdenes[costo_total],tblOrdenes[equipo],$A9,tblOrdenes[anio],C$3,tblOrdenes[mes],C$4)</f>
        <v/>
      </c>
      <c r="D9" s="11">
        <f>SUMIFS(tblOrdenes[costo_total],tblOrdenes[equipo],$A9,tblOrdenes[anio],D$3,tblOrdenes[mes],D$4)</f>
        <v/>
      </c>
      <c r="E9" s="11">
        <f>SUMIFS(tblOrdenes[costo_total],tblOrdenes[equipo],$A9,tblOrdenes[anio],E$3,tblOrdenes[mes],E$4)</f>
        <v/>
      </c>
      <c r="F9" s="11">
        <f>SUMIFS(tblOrdenes[costo_total],tblOrdenes[equipo],$A9,tblOrdenes[anio],F$3,tblOrdenes[mes],F$4)</f>
        <v/>
      </c>
      <c r="G9" s="11">
        <f>SUMIFS(tblOrdenes[costo_total],tblOrdenes[equipo],$A9,tblOrdenes[anio],G$3,tblOrdenes[mes],G$4)</f>
        <v/>
      </c>
      <c r="H9" s="11">
        <f>SUMIFS(tblOrdenes[costo_total],tblOrdenes[equipo],$A9,tblOrdenes[anio],H$3,tblOrdenes[mes],H$4)</f>
        <v/>
      </c>
      <c r="I9" s="11">
        <f>SUMIFS(tblOrdenes[costo_total],tblOrdenes[equipo],$A9,tblOrdenes[anio],I$3,tblOrdenes[mes],I$4)</f>
        <v/>
      </c>
      <c r="J9" s="11">
        <f>SUMIFS(tblOrdenes[costo_total],tblOrdenes[equipo],$A9,tblOrdenes[anio],J$3,tblOrdenes[mes],J$4)</f>
        <v/>
      </c>
      <c r="K9" s="11">
        <f>SUMIFS(tblOrdenes[costo_total],tblOrdenes[equipo],$A9,tblOrdenes[anio],K$3,tblOrdenes[mes],K$4)</f>
        <v/>
      </c>
      <c r="L9" s="11">
        <f>SUMIFS(tblOrdenes[costo_total],tblOrdenes[equipo],$A9,tblOrdenes[anio],L$3,tblOrdenes[mes],L$4)</f>
        <v/>
      </c>
      <c r="M9" s="11">
        <f>SUM(B9:L9)</f>
        <v/>
      </c>
    </row>
    <row r="10">
      <c r="A10" s="3" t="inlineStr">
        <is>
          <t>EQ-102</t>
        </is>
      </c>
      <c r="B10" s="11">
        <f>SUMIFS(tblOrdenes[costo_total],tblOrdenes[equipo],$A10,tblOrdenes[anio],B$3,tblOrdenes[mes],B$4)</f>
        <v/>
      </c>
      <c r="C10" s="11">
        <f>SUMIFS(tblOrdenes[costo_total],tblOrdenes[equipo],$A10,tblOrdenes[anio],C$3,tblOrdenes[mes],C$4)</f>
        <v/>
      </c>
      <c r="D10" s="11">
        <f>SUMIFS(tblOrdenes[costo_total],tblOrdenes[equipo],$A10,tblOrdenes[anio],D$3,tblOrdenes[mes],D$4)</f>
        <v/>
      </c>
      <c r="E10" s="11">
        <f>SUMIFS(tblOrdenes[costo_total],tblOrdenes[equipo],$A10,tblOrdenes[anio],E$3,tblOrdenes[mes],E$4)</f>
        <v/>
      </c>
      <c r="F10" s="11">
        <f>SUMIFS(tblOrdenes[costo_total],tblOrdenes[equipo],$A10,tblOrdenes[anio],F$3,tblOrdenes[mes],F$4)</f>
        <v/>
      </c>
      <c r="G10" s="11">
        <f>SUMIFS(tblOrdenes[costo_total],tblOrdenes[equipo],$A10,tblOrdenes[anio],G$3,tblOrdenes[mes],G$4)</f>
        <v/>
      </c>
      <c r="H10" s="11">
        <f>SUMIFS(tblOrdenes[costo_total],tblOrdenes[equipo],$A10,tblOrdenes[anio],H$3,tblOrdenes[mes],H$4)</f>
        <v/>
      </c>
      <c r="I10" s="11">
        <f>SUMIFS(tblOrdenes[costo_total],tblOrdenes[equipo],$A10,tblOrdenes[anio],I$3,tblOrdenes[mes],I$4)</f>
        <v/>
      </c>
      <c r="J10" s="11">
        <f>SUMIFS(tblOrdenes[costo_total],tblOrdenes[equipo],$A10,tblOrdenes[anio],J$3,tblOrdenes[mes],J$4)</f>
        <v/>
      </c>
      <c r="K10" s="11">
        <f>SUMIFS(tblOrdenes[costo_total],tblOrdenes[equipo],$A10,tblOrdenes[anio],K$3,tblOrdenes[mes],K$4)</f>
        <v/>
      </c>
      <c r="L10" s="11">
        <f>SUMIFS(tblOrdenes[costo_total],tblOrdenes[equipo],$A10,tblOrdenes[anio],L$3,tblOrdenes[mes],L$4)</f>
        <v/>
      </c>
      <c r="M10" s="11">
        <f>SUM(B10:L10)</f>
        <v/>
      </c>
    </row>
    <row r="11">
      <c r="A11" s="3" t="inlineStr">
        <is>
          <t>EQ-101</t>
        </is>
      </c>
      <c r="B11" s="11">
        <f>SUMIFS(tblOrdenes[costo_total],tblOrdenes[equipo],$A11,tblOrdenes[anio],B$3,tblOrdenes[mes],B$4)</f>
        <v/>
      </c>
      <c r="C11" s="11">
        <f>SUMIFS(tblOrdenes[costo_total],tblOrdenes[equipo],$A11,tblOrdenes[anio],C$3,tblOrdenes[mes],C$4)</f>
        <v/>
      </c>
      <c r="D11" s="11">
        <f>SUMIFS(tblOrdenes[costo_total],tblOrdenes[equipo],$A11,tblOrdenes[anio],D$3,tblOrdenes[mes],D$4)</f>
        <v/>
      </c>
      <c r="E11" s="11">
        <f>SUMIFS(tblOrdenes[costo_total],tblOrdenes[equipo],$A11,tblOrdenes[anio],E$3,tblOrdenes[mes],E$4)</f>
        <v/>
      </c>
      <c r="F11" s="11">
        <f>SUMIFS(tblOrdenes[costo_total],tblOrdenes[equipo],$A11,tblOrdenes[anio],F$3,tblOrdenes[mes],F$4)</f>
        <v/>
      </c>
      <c r="G11" s="11">
        <f>SUMIFS(tblOrdenes[costo_total],tblOrdenes[equipo],$A11,tblOrdenes[anio],G$3,tblOrdenes[mes],G$4)</f>
        <v/>
      </c>
      <c r="H11" s="11">
        <f>SUMIFS(tblOrdenes[costo_total],tblOrdenes[equipo],$A11,tblOrdenes[anio],H$3,tblOrdenes[mes],H$4)</f>
        <v/>
      </c>
      <c r="I11" s="11">
        <f>SUMIFS(tblOrdenes[costo_total],tblOrdenes[equipo],$A11,tblOrdenes[anio],I$3,tblOrdenes[mes],I$4)</f>
        <v/>
      </c>
      <c r="J11" s="11">
        <f>SUMIFS(tblOrdenes[costo_total],tblOrdenes[equipo],$A11,tblOrdenes[anio],J$3,tblOrdenes[mes],J$4)</f>
        <v/>
      </c>
      <c r="K11" s="11">
        <f>SUMIFS(tblOrdenes[costo_total],tblOrdenes[equipo],$A11,tblOrdenes[anio],K$3,tblOrdenes[mes],K$4)</f>
        <v/>
      </c>
      <c r="L11" s="11">
        <f>SUMIFS(tblOrdenes[costo_total],tblOrdenes[equipo],$A11,tblOrdenes[anio],L$3,tblOrdenes[mes],L$4)</f>
        <v/>
      </c>
      <c r="M11" s="11">
        <f>SUM(B11:L11)</f>
        <v/>
      </c>
    </row>
    <row r="12">
      <c r="A12" s="3" t="inlineStr">
        <is>
          <t>EQ-111</t>
        </is>
      </c>
      <c r="B12" s="11">
        <f>SUMIFS(tblOrdenes[costo_total],tblOrdenes[equipo],$A12,tblOrdenes[anio],B$3,tblOrdenes[mes],B$4)</f>
        <v/>
      </c>
      <c r="C12" s="11">
        <f>SUMIFS(tblOrdenes[costo_total],tblOrdenes[equipo],$A12,tblOrdenes[anio],C$3,tblOrdenes[mes],C$4)</f>
        <v/>
      </c>
      <c r="D12" s="11">
        <f>SUMIFS(tblOrdenes[costo_total],tblOrdenes[equipo],$A12,tblOrdenes[anio],D$3,tblOrdenes[mes],D$4)</f>
        <v/>
      </c>
      <c r="E12" s="11">
        <f>SUMIFS(tblOrdenes[costo_total],tblOrdenes[equipo],$A12,tblOrdenes[anio],E$3,tblOrdenes[mes],E$4)</f>
        <v/>
      </c>
      <c r="F12" s="11">
        <f>SUMIFS(tblOrdenes[costo_total],tblOrdenes[equipo],$A12,tblOrdenes[anio],F$3,tblOrdenes[mes],F$4)</f>
        <v/>
      </c>
      <c r="G12" s="11">
        <f>SUMIFS(tblOrdenes[costo_total],tblOrdenes[equipo],$A12,tblOrdenes[anio],G$3,tblOrdenes[mes],G$4)</f>
        <v/>
      </c>
      <c r="H12" s="11">
        <f>SUMIFS(tblOrdenes[costo_total],tblOrdenes[equipo],$A12,tblOrdenes[anio],H$3,tblOrdenes[mes],H$4)</f>
        <v/>
      </c>
      <c r="I12" s="11">
        <f>SUMIFS(tblOrdenes[costo_total],tblOrdenes[equipo],$A12,tblOrdenes[anio],I$3,tblOrdenes[mes],I$4)</f>
        <v/>
      </c>
      <c r="J12" s="11">
        <f>SUMIFS(tblOrdenes[costo_total],tblOrdenes[equipo],$A12,tblOrdenes[anio],J$3,tblOrdenes[mes],J$4)</f>
        <v/>
      </c>
      <c r="K12" s="11">
        <f>SUMIFS(tblOrdenes[costo_total],tblOrdenes[equipo],$A12,tblOrdenes[anio],K$3,tblOrdenes[mes],K$4)</f>
        <v/>
      </c>
      <c r="L12" s="11">
        <f>SUMIFS(tblOrdenes[costo_total],tblOrdenes[equipo],$A12,tblOrdenes[anio],L$3,tblOrdenes[mes],L$4)</f>
        <v/>
      </c>
      <c r="M12" s="11">
        <f>SUM(B12:L12)</f>
        <v/>
      </c>
    </row>
    <row r="13">
      <c r="A13" s="3" t="inlineStr">
        <is>
          <t>EQ-104</t>
        </is>
      </c>
      <c r="B13" s="11">
        <f>SUMIFS(tblOrdenes[costo_total],tblOrdenes[equipo],$A13,tblOrdenes[anio],B$3,tblOrdenes[mes],B$4)</f>
        <v/>
      </c>
      <c r="C13" s="11">
        <f>SUMIFS(tblOrdenes[costo_total],tblOrdenes[equipo],$A13,tblOrdenes[anio],C$3,tblOrdenes[mes],C$4)</f>
        <v/>
      </c>
      <c r="D13" s="11">
        <f>SUMIFS(tblOrdenes[costo_total],tblOrdenes[equipo],$A13,tblOrdenes[anio],D$3,tblOrdenes[mes],D$4)</f>
        <v/>
      </c>
      <c r="E13" s="11">
        <f>SUMIFS(tblOrdenes[costo_total],tblOrdenes[equipo],$A13,tblOrdenes[anio],E$3,tblOrdenes[mes],E$4)</f>
        <v/>
      </c>
      <c r="F13" s="11">
        <f>SUMIFS(tblOrdenes[costo_total],tblOrdenes[equipo],$A13,tblOrdenes[anio],F$3,tblOrdenes[mes],F$4)</f>
        <v/>
      </c>
      <c r="G13" s="11">
        <f>SUMIFS(tblOrdenes[costo_total],tblOrdenes[equipo],$A13,tblOrdenes[anio],G$3,tblOrdenes[mes],G$4)</f>
        <v/>
      </c>
      <c r="H13" s="11">
        <f>SUMIFS(tblOrdenes[costo_total],tblOrdenes[equipo],$A13,tblOrdenes[anio],H$3,tblOrdenes[mes],H$4)</f>
        <v/>
      </c>
      <c r="I13" s="11">
        <f>SUMIFS(tblOrdenes[costo_total],tblOrdenes[equipo],$A13,tblOrdenes[anio],I$3,tblOrdenes[mes],I$4)</f>
        <v/>
      </c>
      <c r="J13" s="11">
        <f>SUMIFS(tblOrdenes[costo_total],tblOrdenes[equipo],$A13,tblOrdenes[anio],J$3,tblOrdenes[mes],J$4)</f>
        <v/>
      </c>
      <c r="K13" s="11">
        <f>SUMIFS(tblOrdenes[costo_total],tblOrdenes[equipo],$A13,tblOrdenes[anio],K$3,tblOrdenes[mes],K$4)</f>
        <v/>
      </c>
      <c r="L13" s="11">
        <f>SUMIFS(tblOrdenes[costo_total],tblOrdenes[equipo],$A13,tblOrdenes[anio],L$3,tblOrdenes[mes],L$4)</f>
        <v/>
      </c>
      <c r="M13" s="11">
        <f>SUM(B13:L13)</f>
        <v/>
      </c>
    </row>
    <row r="14">
      <c r="A14" s="3" t="inlineStr">
        <is>
          <t>EQ-105</t>
        </is>
      </c>
      <c r="B14" s="11">
        <f>SUMIFS(tblOrdenes[costo_total],tblOrdenes[equipo],$A14,tblOrdenes[anio],B$3,tblOrdenes[mes],B$4)</f>
        <v/>
      </c>
      <c r="C14" s="11">
        <f>SUMIFS(tblOrdenes[costo_total],tblOrdenes[equipo],$A14,tblOrdenes[anio],C$3,tblOrdenes[mes],C$4)</f>
        <v/>
      </c>
      <c r="D14" s="11">
        <f>SUMIFS(tblOrdenes[costo_total],tblOrdenes[equipo],$A14,tblOrdenes[anio],D$3,tblOrdenes[mes],D$4)</f>
        <v/>
      </c>
      <c r="E14" s="11">
        <f>SUMIFS(tblOrdenes[costo_total],tblOrdenes[equipo],$A14,tblOrdenes[anio],E$3,tblOrdenes[mes],E$4)</f>
        <v/>
      </c>
      <c r="F14" s="11">
        <f>SUMIFS(tblOrdenes[costo_total],tblOrdenes[equipo],$A14,tblOrdenes[anio],F$3,tblOrdenes[mes],F$4)</f>
        <v/>
      </c>
      <c r="G14" s="11">
        <f>SUMIFS(tblOrdenes[costo_total],tblOrdenes[equipo],$A14,tblOrdenes[anio],G$3,tblOrdenes[mes],G$4)</f>
        <v/>
      </c>
      <c r="H14" s="11">
        <f>SUMIFS(tblOrdenes[costo_total],tblOrdenes[equipo],$A14,tblOrdenes[anio],H$3,tblOrdenes[mes],H$4)</f>
        <v/>
      </c>
      <c r="I14" s="11">
        <f>SUMIFS(tblOrdenes[costo_total],tblOrdenes[equipo],$A14,tblOrdenes[anio],I$3,tblOrdenes[mes],I$4)</f>
        <v/>
      </c>
      <c r="J14" s="11">
        <f>SUMIFS(tblOrdenes[costo_total],tblOrdenes[equipo],$A14,tblOrdenes[anio],J$3,tblOrdenes[mes],J$4)</f>
        <v/>
      </c>
      <c r="K14" s="11">
        <f>SUMIFS(tblOrdenes[costo_total],tblOrdenes[equipo],$A14,tblOrdenes[anio],K$3,tblOrdenes[mes],K$4)</f>
        <v/>
      </c>
      <c r="L14" s="11">
        <f>SUMIFS(tblOrdenes[costo_total],tblOrdenes[equipo],$A14,tblOrdenes[anio],L$3,tblOrdenes[mes],L$4)</f>
        <v/>
      </c>
      <c r="M14" s="11">
        <f>SUM(B14:L14)</f>
        <v/>
      </c>
    </row>
    <row r="15">
      <c r="A15" s="3" t="inlineStr">
        <is>
          <t>EQ-107</t>
        </is>
      </c>
      <c r="B15" s="11">
        <f>SUMIFS(tblOrdenes[costo_total],tblOrdenes[equipo],$A15,tblOrdenes[anio],B$3,tblOrdenes[mes],B$4)</f>
        <v/>
      </c>
      <c r="C15" s="11">
        <f>SUMIFS(tblOrdenes[costo_total],tblOrdenes[equipo],$A15,tblOrdenes[anio],C$3,tblOrdenes[mes],C$4)</f>
        <v/>
      </c>
      <c r="D15" s="11">
        <f>SUMIFS(tblOrdenes[costo_total],tblOrdenes[equipo],$A15,tblOrdenes[anio],D$3,tblOrdenes[mes],D$4)</f>
        <v/>
      </c>
      <c r="E15" s="11">
        <f>SUMIFS(tblOrdenes[costo_total],tblOrdenes[equipo],$A15,tblOrdenes[anio],E$3,tblOrdenes[mes],E$4)</f>
        <v/>
      </c>
      <c r="F15" s="11">
        <f>SUMIFS(tblOrdenes[costo_total],tblOrdenes[equipo],$A15,tblOrdenes[anio],F$3,tblOrdenes[mes],F$4)</f>
        <v/>
      </c>
      <c r="G15" s="11">
        <f>SUMIFS(tblOrdenes[costo_total],tblOrdenes[equipo],$A15,tblOrdenes[anio],G$3,tblOrdenes[mes],G$4)</f>
        <v/>
      </c>
      <c r="H15" s="11">
        <f>SUMIFS(tblOrdenes[costo_total],tblOrdenes[equipo],$A15,tblOrdenes[anio],H$3,tblOrdenes[mes],H$4)</f>
        <v/>
      </c>
      <c r="I15" s="11">
        <f>SUMIFS(tblOrdenes[costo_total],tblOrdenes[equipo],$A15,tblOrdenes[anio],I$3,tblOrdenes[mes],I$4)</f>
        <v/>
      </c>
      <c r="J15" s="11">
        <f>SUMIFS(tblOrdenes[costo_total],tblOrdenes[equipo],$A15,tblOrdenes[anio],J$3,tblOrdenes[mes],J$4)</f>
        <v/>
      </c>
      <c r="K15" s="11">
        <f>SUMIFS(tblOrdenes[costo_total],tblOrdenes[equipo],$A15,tblOrdenes[anio],K$3,tblOrdenes[mes],K$4)</f>
        <v/>
      </c>
      <c r="L15" s="11">
        <f>SUMIFS(tblOrdenes[costo_total],tblOrdenes[equipo],$A15,tblOrdenes[anio],L$3,tblOrdenes[mes],L$4)</f>
        <v/>
      </c>
      <c r="M15" s="11">
        <f>SUM(B15:L15)</f>
        <v/>
      </c>
    </row>
    <row r="16">
      <c r="A16" s="3" t="inlineStr">
        <is>
          <t>EQ-112</t>
        </is>
      </c>
      <c r="B16" s="11">
        <f>SUMIFS(tblOrdenes[costo_total],tblOrdenes[equipo],$A16,tblOrdenes[anio],B$3,tblOrdenes[mes],B$4)</f>
        <v/>
      </c>
      <c r="C16" s="11">
        <f>SUMIFS(tblOrdenes[costo_total],tblOrdenes[equipo],$A16,tblOrdenes[anio],C$3,tblOrdenes[mes],C$4)</f>
        <v/>
      </c>
      <c r="D16" s="11">
        <f>SUMIFS(tblOrdenes[costo_total],tblOrdenes[equipo],$A16,tblOrdenes[anio],D$3,tblOrdenes[mes],D$4)</f>
        <v/>
      </c>
      <c r="E16" s="11">
        <f>SUMIFS(tblOrdenes[costo_total],tblOrdenes[equipo],$A16,tblOrdenes[anio],E$3,tblOrdenes[mes],E$4)</f>
        <v/>
      </c>
      <c r="F16" s="11">
        <f>SUMIFS(tblOrdenes[costo_total],tblOrdenes[equipo],$A16,tblOrdenes[anio],F$3,tblOrdenes[mes],F$4)</f>
        <v/>
      </c>
      <c r="G16" s="11">
        <f>SUMIFS(tblOrdenes[costo_total],tblOrdenes[equipo],$A16,tblOrdenes[anio],G$3,tblOrdenes[mes],G$4)</f>
        <v/>
      </c>
      <c r="H16" s="11">
        <f>SUMIFS(tblOrdenes[costo_total],tblOrdenes[equipo],$A16,tblOrdenes[anio],H$3,tblOrdenes[mes],H$4)</f>
        <v/>
      </c>
      <c r="I16" s="11">
        <f>SUMIFS(tblOrdenes[costo_total],tblOrdenes[equipo],$A16,tblOrdenes[anio],I$3,tblOrdenes[mes],I$4)</f>
        <v/>
      </c>
      <c r="J16" s="11">
        <f>SUMIFS(tblOrdenes[costo_total],tblOrdenes[equipo],$A16,tblOrdenes[anio],J$3,tblOrdenes[mes],J$4)</f>
        <v/>
      </c>
      <c r="K16" s="11">
        <f>SUMIFS(tblOrdenes[costo_total],tblOrdenes[equipo],$A16,tblOrdenes[anio],K$3,tblOrdenes[mes],K$4)</f>
        <v/>
      </c>
      <c r="L16" s="11">
        <f>SUMIFS(tblOrdenes[costo_total],tblOrdenes[equipo],$A16,tblOrdenes[anio],L$3,tblOrdenes[mes],L$4)</f>
        <v/>
      </c>
      <c r="M16" s="11">
        <f>SUM(B16:L16)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SUMPRODUCT(--(tblOrdenes[id_operacion]&lt;&gt;""),--(COUNTIF(tblOrdenes[id_operacion],tblOrdenes[id_operacion])&gt;1))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SUMPRODUCT(--(tblOrdenes[orden]&lt;&gt;""),--(tblOrdenes[fecha_inicio]=""))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SUMPRODUCT(--(tblOrdenes[orden]&lt;&gt;""),--(tblOrdenes[horas_estimadas]=""))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SUMPRODUCT(--(tblOrdenes[centro_costo]&lt;&gt;""),--ISNA(MATCH(tblOrdenes[centro_costo],tblCECO[codigo],0)))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SUMPRODUCT(--(tblOrdenes[puesto_trabajo]&lt;&gt;""),--ISNA(MATCH(tblOrdenes[puesto_trabajo],tblPuestos[codigo],0)))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SUMPRODUCT(--(tblOrdenes[cod_actividad]&lt;&gt;""),--ISNA(MATCH(tblOrdenes[cod_actividad],tblActividades[codigo],0)))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SUMPRODUCT(--(tblOrdenes[tipo_ot]&lt;&gt;""),--ISNA(MATCH(tblOrdenes[tipo_ot],tblTiposOT[codigo],0)))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SUMPRODUCT(--(tblEjecucion[id_operacion]&lt;&gt;""),--ISNA(MATCH(tblEjecucion[id_operacion],tblOrdenes[id_operacion],0)))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SUMPRODUCT(--(tblOrdenes[id_operacion]&lt;&gt;""),--ISNA(MATCH(tblOrdenes[id_operacion],tblEjecucion[id_operacion],0)))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 (tblAjustes)</t>
        </is>
      </c>
      <c r="B13" s="3">
        <f>SUMPRODUCT(--(tblOrdenes[id_operacion]&lt;&gt;""),--ISNUMBER(MATCH(tblOrdenes[id_operacion],tblAjustes[id_operacion],0)))</f>
        <v/>
      </c>
      <c r="C13" s="2" t="inlineStr">
        <is>
          <t>Órdenes cuyo id_operacion tiene ajuste en la hoja AJUSTES.</t>
        </is>
      </c>
    </row>
    <row r="14">
      <c r="A14" s="3" t="inlineStr">
        <is>
          <t>Desviación total de horas (ajustadas − estándar ERP)</t>
        </is>
      </c>
      <c r="B14" s="3">
        <f>SUM(tblAjustes[desviacion_h])</f>
        <v/>
      </c>
      <c r="C14" s="2" t="inlineStr">
        <is>
          <t>Suma de desviacion_h de AJUSTES (solo filas aplicadas).</t>
        </is>
      </c>
    </row>
    <row r="15">
      <c r="A15" s="3" t="inlineStr">
        <is>
          <t>Ajustes huérfanos (id_operacion no existe en ORDENES)</t>
        </is>
      </c>
      <c r="B15" s="3">
        <f>SUMPRODUCT(--(tblAjustes[id_operacion]&lt;&gt;""),--ISNA(MATCH(tblAjustes[id_operacion],tblOrdenes[id_operacion],0)))</f>
        <v/>
      </c>
      <c r="C15" s="2" t="inlineStr">
        <is>
          <t>Típicamente órdenes ya cerradas o purgadas; el ajuste no se aplica.</t>
        </is>
      </c>
    </row>
    <row r="16">
      <c r="A16" s="3" t="inlineStr">
        <is>
          <t>id_operacion duplicados dentro de tblAjustes</t>
        </is>
      </c>
      <c r="B16" s="3">
        <f>SUMPRODUCT(--(tblAjustes[id_operacion]&lt;&gt;""),--(COUNTIF(tblAjustes[id_operacion],tblAjustes[id_operacion])&gt;1))</f>
        <v/>
      </c>
      <c r="C16" s="2" t="inlineStr">
        <is>
          <t>Se aplica la primera fila; las demás se ignoran (ver estado_ajuste).</t>
        </is>
      </c>
    </row>
    <row r="17">
      <c r="A17" s="3" t="inlineStr">
        <is>
          <t>Órdenes programadas en día NO laborable</t>
        </is>
      </c>
      <c r="B17" s="3">
        <f>SUMPRODUCT(--(tblOrdenes[id_operacion]&lt;&gt;""),--(tblOrdenes[es_habil]="no"))</f>
        <v/>
      </c>
      <c r="C17" s="2" t="inlineStr">
        <is>
          <t>Posible error de programación; o una excepción laborable que falta cargar.</t>
        </is>
      </c>
    </row>
    <row r="18">
      <c r="A18" s="3" t="inlineStr">
        <is>
          <t>Excepciones con área fuera de catálogo</t>
        </is>
      </c>
      <c r="B18" s="3">
        <f>SUMPRODUCT(--(tblExcepciones[area]&lt;&gt;""),--ISNA(MATCH(tblExcepciones[area],tblCECO[area],0)))</f>
        <v/>
      </c>
      <c r="C18" s="2" t="inlineStr">
        <is>
          <t>Revisar la columna area de CALENDARIO contra CAT_CENTROS_COSTO.</t>
        </is>
      </c>
    </row>
    <row r="19">
      <c r="A19" s="3" t="inlineStr">
        <is>
          <t>Excepciones con sub-área fuera de catálogo</t>
        </is>
      </c>
      <c r="B19" s="3">
        <f>SUMPRODUCT(--(tblExcepciones[sub_area]&lt;&gt;""),--ISNA(MATCH(tblExcepciones[sub_area],tblCECO[sub_area],0)))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sub_area</t>
        </is>
      </c>
      <c r="F3" s="5" t="inlineStr">
        <is>
          <t>linea</t>
        </is>
      </c>
      <c r="G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/>
      <c r="F4" s="6" t="inlineStr">
        <is>
          <t>L1</t>
        </is>
      </c>
      <c r="G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/>
      <c r="F5" s="6" t="inlineStr">
        <is>
          <t>L2</t>
        </is>
      </c>
      <c r="G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/>
      <c r="F6" s="6" t="inlineStr">
        <is>
          <t>L3</t>
        </is>
      </c>
      <c r="G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/>
      <c r="F7" s="6" t="inlineStr">
        <is>
          <t>L4</t>
        </is>
      </c>
      <c r="G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Generación de vapor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Vapor</t>
        </is>
      </c>
      <c r="F8" s="6" t="inlineStr">
        <is>
          <t>SG</t>
        </is>
      </c>
      <c r="G8" s="6" t="inlineStr">
        <is>
          <t>Coordinador C</t>
        </is>
      </c>
    </row>
    <row r="9">
      <c r="A9" s="6" t="inlineStr">
        <is>
          <t>CC-311</t>
        </is>
      </c>
      <c r="B9" s="6" t="inlineStr">
        <is>
          <t>Distribución de vapor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Vapor</t>
        </is>
      </c>
      <c r="F9" s="6" t="inlineStr">
        <is>
          <t>SG</t>
        </is>
      </c>
      <c r="G9" s="6" t="inlineStr">
        <is>
          <t>Coordinador C</t>
        </is>
      </c>
    </row>
    <row r="10">
      <c r="A10" s="6" t="inlineStr">
        <is>
          <t>CC-320</t>
        </is>
      </c>
      <c r="B10" s="6" t="inlineStr">
        <is>
          <t>Torres de enfriamiento</t>
        </is>
      </c>
      <c r="C10" s="6" t="inlineStr">
        <is>
          <t>PLANTA-1</t>
        </is>
      </c>
      <c r="D10" s="6" t="inlineStr">
        <is>
          <t>SERVICIOS</t>
        </is>
      </c>
      <c r="E10" s="6" t="inlineStr">
        <is>
          <t>Refrigeración</t>
        </is>
      </c>
      <c r="F10" s="6" t="inlineStr">
        <is>
          <t>TC</t>
        </is>
      </c>
      <c r="G10" s="6" t="inlineStr">
        <is>
          <t>Coordinador C</t>
        </is>
      </c>
    </row>
    <row r="11">
      <c r="A11" s="6" t="inlineStr">
        <is>
          <t>CC-321</t>
        </is>
      </c>
      <c r="B11" s="6" t="inlineStr">
        <is>
          <t>Chillers</t>
        </is>
      </c>
      <c r="C11" s="6" t="inlineStr">
        <is>
          <t>PLANTA-1</t>
        </is>
      </c>
      <c r="D11" s="6" t="inlineStr">
        <is>
          <t>SERVICIOS</t>
        </is>
      </c>
      <c r="E11" s="6" t="inlineStr">
        <is>
          <t>Refrigeración</t>
        </is>
      </c>
      <c r="F11" s="6" t="inlineStr">
        <is>
          <t>TC</t>
        </is>
      </c>
      <c r="G11" s="6" t="inlineStr">
        <is>
          <t>Coordinador C</t>
        </is>
      </c>
    </row>
    <row r="12">
      <c r="A12" s="6" t="inlineStr">
        <is>
          <t>CC-330</t>
        </is>
      </c>
      <c r="B12" s="6" t="inlineStr">
        <is>
          <t>Planta de CO2</t>
        </is>
      </c>
      <c r="C12" s="6" t="inlineStr">
        <is>
          <t>PLANTA-1</t>
        </is>
      </c>
      <c r="D12" s="6" t="inlineStr">
        <is>
          <t>SERVICIOS</t>
        </is>
      </c>
      <c r="E12" s="6" t="inlineStr">
        <is>
          <t>CO2</t>
        </is>
      </c>
      <c r="F12" s="6" t="inlineStr">
        <is>
          <t>CO</t>
        </is>
      </c>
      <c r="G12" s="6" t="inlineStr">
        <is>
          <t>Coordinador C</t>
        </is>
      </c>
    </row>
    <row r="13">
      <c r="A13" s="6" t="inlineStr">
        <is>
          <t>CC-340</t>
        </is>
      </c>
      <c r="B13" s="6" t="inlineStr">
        <is>
          <t>Aire comprimido</t>
        </is>
      </c>
      <c r="C13" s="6" t="inlineStr">
        <is>
          <t>PLANTA-1</t>
        </is>
      </c>
      <c r="D13" s="6" t="inlineStr">
        <is>
          <t>SERVICIOS</t>
        </is>
      </c>
      <c r="E13" s="6" t="inlineStr">
        <is>
          <t>Aire comprimido</t>
        </is>
      </c>
      <c r="F13" s="6" t="inlineStr">
        <is>
          <t>AC</t>
        </is>
      </c>
      <c r="G13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  <row r="9">
      <c r="A9" s="6" t="inlineStr">
        <is>
          <t>ACT-06</t>
        </is>
      </c>
      <c r="B9" s="6" t="inlineStr">
        <is>
          <t>Overhaul mayor</t>
        </is>
      </c>
      <c r="C9" s="6" t="inlineStr">
        <is>
          <t>correctivo</t>
        </is>
      </c>
    </row>
  </sheetData>
  <dataValidations count="1">
    <dataValidation sqref="C4:C9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4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5" t="inlineStr">
        <is>
          <t>turno</t>
        </is>
      </c>
      <c r="B3" s="5" t="inlineStr">
        <is>
          <t>nombre</t>
        </is>
      </c>
      <c r="C3" s="5" t="inlineStr">
        <is>
          <t>hora_inicio</t>
        </is>
      </c>
      <c r="D3" s="5" t="inlineStr">
        <is>
          <t>hora_fin</t>
        </is>
      </c>
      <c r="E3" s="5" t="inlineStr">
        <is>
          <t>tipo</t>
        </is>
      </c>
    </row>
    <row r="4">
      <c r="A4" s="6" t="inlineStr">
        <is>
          <t>B</t>
        </is>
      </c>
      <c r="B4" s="6" t="inlineStr">
        <is>
          <t>Banco</t>
        </is>
      </c>
      <c r="C4" s="6" t="inlineStr">
        <is>
          <t>07:00</t>
        </is>
      </c>
      <c r="D4" s="6" t="inlineStr">
        <is>
          <t>16:00</t>
        </is>
      </c>
      <c r="E4" s="6" t="inlineStr">
        <is>
          <t>banco</t>
        </is>
      </c>
      <c r="G4" s="3">
        <f>A4</f>
        <v/>
      </c>
    </row>
    <row r="5">
      <c r="A5" s="6" t="inlineStr">
        <is>
          <t>T1</t>
        </is>
      </c>
      <c r="B5" s="6" t="inlineStr">
        <is>
          <t>Turno 1</t>
        </is>
      </c>
      <c r="C5" s="6" t="inlineStr">
        <is>
          <t>06:00</t>
        </is>
      </c>
      <c r="D5" s="6" t="inlineStr">
        <is>
          <t>15:00</t>
        </is>
      </c>
      <c r="E5" s="6" t="inlineStr">
        <is>
          <t>rotativo</t>
        </is>
      </c>
      <c r="G5" s="3">
        <f>A5</f>
        <v/>
      </c>
    </row>
    <row r="6">
      <c r="A6" s="6" t="inlineStr">
        <is>
          <t>T2</t>
        </is>
      </c>
      <c r="B6" s="6" t="inlineStr">
        <is>
          <t>Turno 2</t>
        </is>
      </c>
      <c r="C6" s="6" t="inlineStr">
        <is>
          <t>15:00</t>
        </is>
      </c>
      <c r="D6" s="6" t="inlineStr">
        <is>
          <t>22:00</t>
        </is>
      </c>
      <c r="E6" s="6" t="inlineStr">
        <is>
          <t>rotativo</t>
        </is>
      </c>
      <c r="G6" s="3">
        <f>A6</f>
        <v/>
      </c>
    </row>
    <row r="7">
      <c r="A7" s="6" t="inlineStr">
        <is>
          <t>T3</t>
        </is>
      </c>
      <c r="B7" s="6" t="inlineStr">
        <is>
          <t>Turno 3</t>
        </is>
      </c>
      <c r="C7" s="6" t="inlineStr">
        <is>
          <t>22:00</t>
        </is>
      </c>
      <c r="D7" s="6" t="inlineStr">
        <is>
          <t>06:00</t>
        </is>
      </c>
      <c r="E7" s="6" t="inlineStr">
        <is>
          <t>rotativo</t>
        </is>
      </c>
      <c r="G7" s="3">
        <f>A7</f>
        <v/>
      </c>
    </row>
    <row r="8">
      <c r="G8" s="3">
        <f>PARAMETROS!$G$5</f>
        <v/>
      </c>
    </row>
    <row r="9">
      <c r="G9" s="3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3">
      <c r="A3" s="4" t="inlineStr">
        <is>
          <t>semana:</t>
        </is>
      </c>
      <c r="B3" s="19" t="inlineStr">
        <is>
          <t>2026-S31</t>
        </is>
      </c>
      <c r="C3" s="4" t="inlineStr">
        <is>
          <t>turno:</t>
        </is>
      </c>
      <c r="D3" s="19" t="inlineStr">
        <is>
          <t>(todos)</t>
        </is>
      </c>
      <c r="E3" s="4" t="inlineStr">
        <is>
          <t>coordinador:</t>
        </is>
      </c>
      <c r="F3" s="19" t="inlineStr">
        <is>
          <t>(todos)</t>
        </is>
      </c>
      <c r="G3" s="4" t="inlineStr">
        <is>
          <t>sub-área:</t>
        </is>
      </c>
      <c r="H3" s="19" t="inlineStr">
        <is>
          <t>(todos)</t>
        </is>
      </c>
    </row>
    <row r="5">
      <c r="A5" s="4" t="inlineStr">
        <is>
          <t>correo (seleccione A6, copie y pegue en el cuerpo del mensaje):</t>
        </is>
      </c>
    </row>
    <row r="6">
      <c r="A6" s="21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3">
        <f>IF(AND(IF($B$3="(todos)",TRUE,'ORDENES'!$O4=$B$3),IF($D$3="(todos)",TRUE,'ORDENES'!$AF4=$D$3),IF($F$3="(todos)",TRUE,'ORDENES'!$X4=$F$3),IF($H$3="(todos)",TRUE,'ORDENES'!$W4=$H$3),'ORDENES'!$AD4=TRUE,'ORDENES'!$A4&lt;&gt;""),1,0)</f>
        <v/>
      </c>
      <c r="L8" s="3">
        <f>IF(K8=1,IFERROR(MATCH('ORDENES'!$R4,lista_dias,0),9)*1000000000+IFERROR(MATCH('ORDENES'!$AF4,lista_turnos,0),9)*10000000+IFERROR(MATCH('ORDENES'!$AE4,tblTecnicos[nombre],0),99)*100000+1,9000000000000+1)</f>
        <v/>
      </c>
      <c r="M8" s="3">
        <f>IF(K8=1,SUMPRODUCT(--($L$8:$L$1207&lt;L8))+1,"")</f>
        <v/>
      </c>
      <c r="N8" s="17">
        <f>IF(K8=1,N('ORDENES'!$M4),0)</f>
        <v/>
      </c>
      <c r="O8" s="17">
        <f>IF('ORDENES'!$T4="preventiva",N8,0)</f>
        <v/>
      </c>
      <c r="P8" s="17">
        <f>IF('ORDENES'!$T4="correctiva",N8,0)</f>
        <v/>
      </c>
      <c r="Q8" s="3">
        <f>IF(AND(K8=1,'ORDENES'!$N4="Pendiente"),1,0)</f>
        <v/>
      </c>
      <c r="R8" s="3">
        <f>IF(Q8=1,100000-N8*1000+1*0.01,9000000000000+1)</f>
        <v/>
      </c>
      <c r="S8" s="3">
        <f>IF(Q8=1,SUMPRODUCT(--($R$8:$R$1207&lt;R8))+1,"")</f>
        <v/>
      </c>
      <c r="T8" s="12">
        <f>IF(K8=1,'ORDENES'!$J4,"")</f>
        <v/>
      </c>
      <c r="U8" s="3">
        <f>IFERROR(MATCH(1,$M$8:$M$1207,0),"")</f>
        <v/>
      </c>
      <c r="V8" s="3">
        <f>IF(U8="","",INDEX(tblOrdenes[dia_semana],U8))</f>
        <v/>
      </c>
      <c r="W8" s="3">
        <f>IF(U8="","",IF(V8&lt;&gt;V7,CHAR(10)&amp;UPPER(LEFT(V8,1))&amp;MID(V8,2,20)&amp;":"&amp;CHAR(10),"")&amp;"   "&amp;IF(INDEX(tblOrdenes[turno_asignado],U8)="","(s/t)",INDEX(tblOrdenes[turno_asignado],U8))&amp;" · "&amp;IF(INDEX(tblOrdenes[tecnico_asignado],U8)="","(sin técnico)",INDEX(tblOrdenes[tecnico_asignado],U8))&amp;" · "&amp;INDEX(tblOrdenes[id_operacion],U8)&amp;" — "&amp;INDEX(tblOrdenes[descripcion_operacion],U8)&amp;" ("&amp;TEXT(INDEX(tblOrdenes[horas_efectivas],U8),"0.#")&amp;" h)")</f>
        <v/>
      </c>
      <c r="Y8" s="3">
        <f>IFERROR(MATCH(1,$S$8:$S$1207,0),"")</f>
        <v/>
      </c>
      <c r="Z8" s="3">
        <f>IF(OR(Y8="",1&gt;p_top_tareas),"","   • "&amp;INDEX(tblOrdenes[equipo],Y8)&amp;" — "&amp;INDEX(tblOrdenes[descripcion_operacion],Y8)&amp;" · "&amp;TEXT(INDEX(tblOrdenes[horas_efectivas],Y8),"0.#")&amp;" h · "&amp;IF(INDEX(tblOrdenes[tecnico_asignado],Y8)="","(sin técnico)",INDEX(tblOrdenes[tecnico_asignado],Y8))&amp;IF(INDEX(tblOrdenes[permiso_requerido],Y8)&lt;&gt;""," · permiso de trabajo","")&amp;IF(INDEX(tblOrdenes[bloqueo_energia],Y8)&lt;&gt;""," · bloqueo de energía (LOTO)",""))</f>
        <v/>
      </c>
      <c r="AB8" s="3">
        <f>'TECNICOS'!$B$4</f>
        <v/>
      </c>
      <c r="AC8" s="17">
        <f>SUMPRODUCT($N$8:$N$1207,--(tblOrdenes[tecnico_asignado]=AB8))</f>
        <v/>
      </c>
      <c r="AD8" s="17">
        <f>p_factor_productividad*SUMIFS(tblAsignaciones[horas_disponibles],tblAsignaciones[tecnico],AB8,tblAsignaciones[semana],IF($B$3="(todos)","*",$B$3))</f>
        <v/>
      </c>
      <c r="AE8" s="3">
        <f>IF(AC8&gt;AD8+0.0001,1,0)</f>
        <v/>
      </c>
      <c r="AF8" s="3">
        <f>IF(AE8=1,"   • "&amp;AB8&amp;": "&amp;TEXT(AC8,"0.0")&amp;" h asignadas vs "&amp;TEXT(AD8,"0.0")&amp;" h de capacidad","")</f>
        <v/>
      </c>
      <c r="AG8" s="3">
        <f>IF(SUMPRODUCT($K$8:$K$1207,--(tblOrdenes[tecnico_asignado]=AB8))&gt;0,1,0)</f>
        <v/>
      </c>
      <c r="AI8" s="2" t="inlineStr">
        <is>
          <t>órdenes programadas</t>
        </is>
      </c>
      <c r="AJ8" s="3">
        <f>SUM($K$8:$K$1207)</f>
        <v/>
      </c>
      <c r="AL8" s="3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3">
        <f>IF(AND(IF($B$3="(todos)",TRUE,'ORDENES'!$O5=$B$3),IF($D$3="(todos)",TRUE,'ORDENES'!$AF5=$D$3),IF($F$3="(todos)",TRUE,'ORDENES'!$X5=$F$3),IF($H$3="(todos)",TRUE,'ORDENES'!$W5=$H$3),'ORDENES'!$AD5=TRUE,'ORDENES'!$A5&lt;&gt;""),1,0)</f>
        <v/>
      </c>
      <c r="L9" s="3">
        <f>IF(K9=1,IFERROR(MATCH('ORDENES'!$R5,lista_dias,0),9)*1000000000+IFERROR(MATCH('ORDENES'!$AF5,lista_turnos,0),9)*10000000+IFERROR(MATCH('ORDENES'!$AE5,tblTecnicos[nombre],0),99)*100000+2,9000000000000+2)</f>
        <v/>
      </c>
      <c r="M9" s="3">
        <f>IF(K9=1,SUMPRODUCT(--($L$8:$L$1207&lt;L9))+1,"")</f>
        <v/>
      </c>
      <c r="N9" s="17">
        <f>IF(K9=1,N('ORDENES'!$M5),0)</f>
        <v/>
      </c>
      <c r="O9" s="17">
        <f>IF('ORDENES'!$T5="preventiva",N9,0)</f>
        <v/>
      </c>
      <c r="P9" s="17">
        <f>IF('ORDENES'!$T5="correctiva",N9,0)</f>
        <v/>
      </c>
      <c r="Q9" s="3">
        <f>IF(AND(K9=1,'ORDENES'!$N5="Pendiente"),1,0)</f>
        <v/>
      </c>
      <c r="R9" s="3">
        <f>IF(Q9=1,100000-N9*1000+2*0.01,9000000000000+2)</f>
        <v/>
      </c>
      <c r="S9" s="3">
        <f>IF(Q9=1,SUMPRODUCT(--($R$8:$R$1207&lt;R9))+1,"")</f>
        <v/>
      </c>
      <c r="T9" s="12">
        <f>IF(K9=1,'ORDENES'!$J5,"")</f>
        <v/>
      </c>
      <c r="U9" s="3">
        <f>IFERROR(MATCH(2,$M$8:$M$1207,0),"")</f>
        <v/>
      </c>
      <c r="V9" s="3">
        <f>IF(U9="","",INDEX(tblOrdenes[dia_semana],U9))</f>
        <v/>
      </c>
      <c r="W9" s="3">
        <f>IF(U9="","",IF(V9&lt;&gt;V8,CHAR(10)&amp;UPPER(LEFT(V9,1))&amp;MID(V9,2,20)&amp;":"&amp;CHAR(10),"")&amp;"   "&amp;IF(INDEX(tblOrdenes[turno_asignado],U9)="","(s/t)",INDEX(tblOrdenes[turno_asignado],U9))&amp;" · "&amp;IF(INDEX(tblOrdenes[tecnico_asignado],U9)="","(sin técnico)",INDEX(tblOrdenes[tecnico_asignado],U9))&amp;" · "&amp;INDEX(tblOrdenes[id_operacion],U9)&amp;" — "&amp;INDEX(tblOrdenes[descripcion_operacion],U9)&amp;" ("&amp;TEXT(INDEX(tblOrdenes[horas_efectivas],U9),"0.#")&amp;" h)")</f>
        <v/>
      </c>
      <c r="Y9" s="3">
        <f>IFERROR(MATCH(2,$S$8:$S$1207,0),"")</f>
        <v/>
      </c>
      <c r="Z9" s="3">
        <f>IF(OR(Y9="",2&gt;p_top_tareas),"","   • "&amp;INDEX(tblOrdenes[equipo],Y9)&amp;" — "&amp;INDEX(tblOrdenes[descripcion_operacion],Y9)&amp;" · "&amp;TEXT(INDEX(tblOrdenes[horas_efectivas],Y9),"0.#")&amp;" h · "&amp;IF(INDEX(tblOrdenes[tecnico_asignado],Y9)="","(sin técnico)",INDEX(tblOrdenes[tecnico_asignado],Y9))&amp;IF(INDEX(tblOrdenes[permiso_requerido],Y9)&lt;&gt;""," · permiso de trabajo","")&amp;IF(INDEX(tblOrdenes[bloqueo_energia],Y9)&lt;&gt;""," · bloqueo de energía (LOTO)",""))</f>
        <v/>
      </c>
      <c r="AB9" s="3">
        <f>'TECNICOS'!$B$5</f>
        <v/>
      </c>
      <c r="AC9" s="17">
        <f>SUMPRODUCT($N$8:$N$1207,--(tblOrdenes[tecnico_asignado]=AB9))</f>
        <v/>
      </c>
      <c r="AD9" s="17">
        <f>p_factor_productividad*SUMIFS(tblAsignaciones[horas_disponibles],tblAsignaciones[tecnico],AB9,tblAsignaciones[semana],IF($B$3="(todos)","*",$B$3))</f>
        <v/>
      </c>
      <c r="AE9" s="3">
        <f>IF(AC9&gt;AD9+0.0001,1,0)</f>
        <v/>
      </c>
      <c r="AF9" s="3">
        <f>IF(AE9=1,"   • "&amp;AB9&amp;": "&amp;TEXT(AC9,"0.0")&amp;" h asignadas vs "&amp;TEXT(AD9,"0.0")&amp;" h de capacidad","")</f>
        <v/>
      </c>
      <c r="AG9" s="3">
        <f>IF(SUMPRODUCT($K$8:$K$1207,--(tblOrdenes[tecnico_asignado]=AB9))&gt;0,1,0)</f>
        <v/>
      </c>
      <c r="AI9" s="2" t="inlineStr">
        <is>
          <t>hh_total</t>
        </is>
      </c>
      <c r="AJ9" s="3">
        <f>SUM($N$8:$N$1207)</f>
        <v/>
      </c>
      <c r="AL9" s="3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3">
        <f>IF(AND(IF($B$3="(todos)",TRUE,'ORDENES'!$O6=$B$3),IF($D$3="(todos)",TRUE,'ORDENES'!$AF6=$D$3),IF($F$3="(todos)",TRUE,'ORDENES'!$X6=$F$3),IF($H$3="(todos)",TRUE,'ORDENES'!$W6=$H$3),'ORDENES'!$AD6=TRUE,'ORDENES'!$A6&lt;&gt;""),1,0)</f>
        <v/>
      </c>
      <c r="L10" s="3">
        <f>IF(K10=1,IFERROR(MATCH('ORDENES'!$R6,lista_dias,0),9)*1000000000+IFERROR(MATCH('ORDENES'!$AF6,lista_turnos,0),9)*10000000+IFERROR(MATCH('ORDENES'!$AE6,tblTecnicos[nombre],0),99)*100000+3,9000000000000+3)</f>
        <v/>
      </c>
      <c r="M10" s="3">
        <f>IF(K10=1,SUMPRODUCT(--($L$8:$L$1207&lt;L10))+1,"")</f>
        <v/>
      </c>
      <c r="N10" s="17">
        <f>IF(K10=1,N('ORDENES'!$M6),0)</f>
        <v/>
      </c>
      <c r="O10" s="17">
        <f>IF('ORDENES'!$T6="preventiva",N10,0)</f>
        <v/>
      </c>
      <c r="P10" s="17">
        <f>IF('ORDENES'!$T6="correctiva",N10,0)</f>
        <v/>
      </c>
      <c r="Q10" s="3">
        <f>IF(AND(K10=1,'ORDENES'!$N6="Pendiente"),1,0)</f>
        <v/>
      </c>
      <c r="R10" s="3">
        <f>IF(Q10=1,100000-N10*1000+3*0.01,9000000000000+3)</f>
        <v/>
      </c>
      <c r="S10" s="3">
        <f>IF(Q10=1,SUMPRODUCT(--($R$8:$R$1207&lt;R10))+1,"")</f>
        <v/>
      </c>
      <c r="T10" s="12">
        <f>IF(K10=1,'ORDENES'!$J6,"")</f>
        <v/>
      </c>
      <c r="U10" s="3">
        <f>IFERROR(MATCH(3,$M$8:$M$1207,0),"")</f>
        <v/>
      </c>
      <c r="V10" s="3">
        <f>IF(U10="","",INDEX(tblOrdenes[dia_semana],U10))</f>
        <v/>
      </c>
      <c r="W10" s="3">
        <f>IF(U10="","",IF(V10&lt;&gt;V9,CHAR(10)&amp;UPPER(LEFT(V10,1))&amp;MID(V10,2,20)&amp;":"&amp;CHAR(10),"")&amp;"   "&amp;IF(INDEX(tblOrdenes[turno_asignado],U10)="","(s/t)",INDEX(tblOrdenes[turno_asignado],U10))&amp;" · "&amp;IF(INDEX(tblOrdenes[tecnico_asignado],U10)="","(sin técnico)",INDEX(tblOrdenes[tecnico_asignado],U10))&amp;" · "&amp;INDEX(tblOrdenes[id_operacion],U10)&amp;" — "&amp;INDEX(tblOrdenes[descripcion_operacion],U10)&amp;" ("&amp;TEXT(INDEX(tblOrdenes[horas_efectivas],U10),"0.#")&amp;" h)")</f>
        <v/>
      </c>
      <c r="Y10" s="3">
        <f>IFERROR(MATCH(3,$S$8:$S$1207,0),"")</f>
        <v/>
      </c>
      <c r="Z10" s="3">
        <f>IF(OR(Y10="",3&gt;p_top_tareas),"","   • "&amp;INDEX(tblOrdenes[equipo],Y10)&amp;" — "&amp;INDEX(tblOrdenes[descripcion_operacion],Y10)&amp;" · "&amp;TEXT(INDEX(tblOrdenes[horas_efectivas],Y10),"0.#")&amp;" h · "&amp;IF(INDEX(tblOrdenes[tecnico_asignado],Y10)="","(sin técnico)",INDEX(tblOrdenes[tecnico_asignado],Y10))&amp;IF(INDEX(tblOrdenes[permiso_requerido],Y10)&lt;&gt;""," · permiso de trabajo","")&amp;IF(INDEX(tblOrdenes[bloqueo_energia],Y10)&lt;&gt;""," · bloqueo de energía (LOTO)",""))</f>
        <v/>
      </c>
      <c r="AB10" s="3">
        <f>'TECNICOS'!$B$6</f>
        <v/>
      </c>
      <c r="AC10" s="17">
        <f>SUMPRODUCT($N$8:$N$1207,--(tblOrdenes[tecnico_asignado]=AB10))</f>
        <v/>
      </c>
      <c r="AD10" s="17">
        <f>p_factor_productividad*SUMIFS(tblAsignaciones[horas_disponibles],tblAsignaciones[tecnico],AB10,tblAsignaciones[semana],IF($B$3="(todos)","*",$B$3))</f>
        <v/>
      </c>
      <c r="AE10" s="3">
        <f>IF(AC10&gt;AD10+0.0001,1,0)</f>
        <v/>
      </c>
      <c r="AF10" s="3">
        <f>IF(AE10=1,"   • "&amp;AB10&amp;": "&amp;TEXT(AC10,"0.0")&amp;" h asignadas vs "&amp;TEXT(AD10,"0.0")&amp;" h de capacidad","")</f>
        <v/>
      </c>
      <c r="AG10" s="3">
        <f>IF(SUMPRODUCT($K$8:$K$1207,--(tblOrdenes[tecnico_asignado]=AB10))&gt;0,1,0)</f>
        <v/>
      </c>
      <c r="AI10" s="2" t="inlineStr">
        <is>
          <t>hh_preventiva</t>
        </is>
      </c>
      <c r="AJ10" s="3">
        <f>SUM($O$8:$O$1207)</f>
        <v/>
      </c>
      <c r="AL10" s="3">
        <f>IF($AJ$13=0,"","Alerta de capacidad — técnicos sobreasignados:"&amp;CHAR(10)&amp;_xlfn.TEXTJOIN(CHAR(10),TRUE,$AF$8:$AF$23))</f>
        <v/>
      </c>
    </row>
    <row r="11">
      <c r="K11" s="3">
        <f>IF(AND(IF($B$3="(todos)",TRUE,'ORDENES'!$O7=$B$3),IF($D$3="(todos)",TRUE,'ORDENES'!$AF7=$D$3),IF($F$3="(todos)",TRUE,'ORDENES'!$X7=$F$3),IF($H$3="(todos)",TRUE,'ORDENES'!$W7=$H$3),'ORDENES'!$AD7=TRUE,'ORDENES'!$A7&lt;&gt;""),1,0)</f>
        <v/>
      </c>
      <c r="L11" s="3">
        <f>IF(K11=1,IFERROR(MATCH('ORDENES'!$R7,lista_dias,0),9)*1000000000+IFERROR(MATCH('ORDENES'!$AF7,lista_turnos,0),9)*10000000+IFERROR(MATCH('ORDENES'!$AE7,tblTecnicos[nombre],0),99)*100000+4,9000000000000+4)</f>
        <v/>
      </c>
      <c r="M11" s="3">
        <f>IF(K11=1,SUMPRODUCT(--($L$8:$L$1207&lt;L11))+1,"")</f>
        <v/>
      </c>
      <c r="N11" s="17">
        <f>IF(K11=1,N('ORDENES'!$M7),0)</f>
        <v/>
      </c>
      <c r="O11" s="17">
        <f>IF('ORDENES'!$T7="preventiva",N11,0)</f>
        <v/>
      </c>
      <c r="P11" s="17">
        <f>IF('ORDENES'!$T7="correctiva",N11,0)</f>
        <v/>
      </c>
      <c r="Q11" s="3">
        <f>IF(AND(K11=1,'ORDENES'!$N7="Pendiente"),1,0)</f>
        <v/>
      </c>
      <c r="R11" s="3">
        <f>IF(Q11=1,100000-N11*1000+4*0.01,9000000000000+4)</f>
        <v/>
      </c>
      <c r="S11" s="3">
        <f>IF(Q11=1,SUMPRODUCT(--($R$8:$R$1207&lt;R11))+1,"")</f>
        <v/>
      </c>
      <c r="T11" s="12">
        <f>IF(K11=1,'ORDENES'!$J7,"")</f>
        <v/>
      </c>
      <c r="U11" s="3">
        <f>IFERROR(MATCH(4,$M$8:$M$1207,0),"")</f>
        <v/>
      </c>
      <c r="V11" s="3">
        <f>IF(U11="","",INDEX(tblOrdenes[dia_semana],U11))</f>
        <v/>
      </c>
      <c r="W11" s="3">
        <f>IF(U11="","",IF(V11&lt;&gt;V10,CHAR(10)&amp;UPPER(LEFT(V11,1))&amp;MID(V11,2,20)&amp;":"&amp;CHAR(10),"")&amp;"   "&amp;IF(INDEX(tblOrdenes[turno_asignado],U11)="","(s/t)",INDEX(tblOrdenes[turno_asignado],U11))&amp;" · "&amp;IF(INDEX(tblOrdenes[tecnico_asignado],U11)="","(sin técnico)",INDEX(tblOrdenes[tecnico_asignado],U11))&amp;" · "&amp;INDEX(tblOrdenes[id_operacion],U11)&amp;" — "&amp;INDEX(tblOrdenes[descripcion_operacion],U11)&amp;" ("&amp;TEXT(INDEX(tblOrdenes[horas_efectivas],U11),"0.#")&amp;" h)")</f>
        <v/>
      </c>
      <c r="Y11" s="3">
        <f>IFERROR(MATCH(4,$S$8:$S$1207,0),"")</f>
        <v/>
      </c>
      <c r="Z11" s="3">
        <f>IF(OR(Y11="",4&gt;p_top_tareas),"","   • "&amp;INDEX(tblOrdenes[equipo],Y11)&amp;" — "&amp;INDEX(tblOrdenes[descripcion_operacion],Y11)&amp;" · "&amp;TEXT(INDEX(tblOrdenes[horas_efectivas],Y11),"0.#")&amp;" h · "&amp;IF(INDEX(tblOrdenes[tecnico_asignado],Y11)="","(sin técnico)",INDEX(tblOrdenes[tecnico_asignado],Y11))&amp;IF(INDEX(tblOrdenes[permiso_requerido],Y11)&lt;&gt;""," · permiso de trabajo","")&amp;IF(INDEX(tblOrdenes[bloqueo_energia],Y11)&lt;&gt;""," · bloqueo de energía (LOTO)",""))</f>
        <v/>
      </c>
      <c r="AB11" s="3">
        <f>'TECNICOS'!$B$7</f>
        <v/>
      </c>
      <c r="AC11" s="17">
        <f>SUMPRODUCT($N$8:$N$1207,--(tblOrdenes[tecnico_asignado]=AB11))</f>
        <v/>
      </c>
      <c r="AD11" s="17">
        <f>p_factor_productividad*SUMIFS(tblAsignaciones[horas_disponibles],tblAsignaciones[tecnico],AB11,tblAsignaciones[semana],IF($B$3="(todos)","*",$B$3))</f>
        <v/>
      </c>
      <c r="AE11" s="3">
        <f>IF(AC11&gt;AD11+0.0001,1,0)</f>
        <v/>
      </c>
      <c r="AF11" s="3">
        <f>IF(AE11=1,"   • "&amp;AB11&amp;": "&amp;TEXT(AC11,"0.0")&amp;" h asignadas vs "&amp;TEXT(AD11,"0.0")&amp;" h de capacidad","")</f>
        <v/>
      </c>
      <c r="AG11" s="3">
        <f>IF(SUMPRODUCT($K$8:$K$1207,--(tblOrdenes[tecnico_asignado]=AB11))&gt;0,1,0)</f>
        <v/>
      </c>
      <c r="AI11" s="2" t="inlineStr">
        <is>
          <t>hh_correctiva</t>
        </is>
      </c>
      <c r="AJ11" s="3">
        <f>SUM($P$8:$P$1207)</f>
        <v/>
      </c>
      <c r="AL11" s="3">
        <f>IF($AJ$16=0,"","Tareas relevantes (top "&amp;MIN(p_top_tareas,$AJ$16)&amp;" por horas):"&amp;CHAR(10)&amp;_xlfn.TEXTJOIN(CHAR(10),TRUE,$Z$8:$Z$27))</f>
        <v/>
      </c>
    </row>
    <row r="12">
      <c r="K12" s="3">
        <f>IF(AND(IF($B$3="(todos)",TRUE,'ORDENES'!$O8=$B$3),IF($D$3="(todos)",TRUE,'ORDENES'!$AF8=$D$3),IF($F$3="(todos)",TRUE,'ORDENES'!$X8=$F$3),IF($H$3="(todos)",TRUE,'ORDENES'!$W8=$H$3),'ORDENES'!$AD8=TRUE,'ORDENES'!$A8&lt;&gt;""),1,0)</f>
        <v/>
      </c>
      <c r="L12" s="3">
        <f>IF(K12=1,IFERROR(MATCH('ORDENES'!$R8,lista_dias,0),9)*1000000000+IFERROR(MATCH('ORDENES'!$AF8,lista_turnos,0),9)*10000000+IFERROR(MATCH('ORDENES'!$AE8,tblTecnicos[nombre],0),99)*100000+5,9000000000000+5)</f>
        <v/>
      </c>
      <c r="M12" s="3">
        <f>IF(K12=1,SUMPRODUCT(--($L$8:$L$1207&lt;L12))+1,"")</f>
        <v/>
      </c>
      <c r="N12" s="17">
        <f>IF(K12=1,N('ORDENES'!$M8),0)</f>
        <v/>
      </c>
      <c r="O12" s="17">
        <f>IF('ORDENES'!$T8="preventiva",N12,0)</f>
        <v/>
      </c>
      <c r="P12" s="17">
        <f>IF('ORDENES'!$T8="correctiva",N12,0)</f>
        <v/>
      </c>
      <c r="Q12" s="3">
        <f>IF(AND(K12=1,'ORDENES'!$N8="Pendiente"),1,0)</f>
        <v/>
      </c>
      <c r="R12" s="3">
        <f>IF(Q12=1,100000-N12*1000+5*0.01,9000000000000+5)</f>
        <v/>
      </c>
      <c r="S12" s="3">
        <f>IF(Q12=1,SUMPRODUCT(--($R$8:$R$1207&lt;R12))+1,"")</f>
        <v/>
      </c>
      <c r="T12" s="12">
        <f>IF(K12=1,'ORDENES'!$J8,"")</f>
        <v/>
      </c>
      <c r="U12" s="3">
        <f>IFERROR(MATCH(5,$M$8:$M$1207,0),"")</f>
        <v/>
      </c>
      <c r="V12" s="3">
        <f>IF(U12="","",INDEX(tblOrdenes[dia_semana],U12))</f>
        <v/>
      </c>
      <c r="W12" s="3">
        <f>IF(U12="","",IF(V12&lt;&gt;V11,CHAR(10)&amp;UPPER(LEFT(V12,1))&amp;MID(V12,2,20)&amp;":"&amp;CHAR(10),"")&amp;"   "&amp;IF(INDEX(tblOrdenes[turno_asignado],U12)="","(s/t)",INDEX(tblOrdenes[turno_asignado],U12))&amp;" · "&amp;IF(INDEX(tblOrdenes[tecnico_asignado],U12)="","(sin técnico)",INDEX(tblOrdenes[tecnico_asignado],U12))&amp;" · "&amp;INDEX(tblOrdenes[id_operacion],U12)&amp;" — "&amp;INDEX(tblOrdenes[descripcion_operacion],U12)&amp;" ("&amp;TEXT(INDEX(tblOrdenes[horas_efectivas],U12),"0.#")&amp;" h)")</f>
        <v/>
      </c>
      <c r="Y12" s="3">
        <f>IFERROR(MATCH(5,$S$8:$S$1207,0),"")</f>
        <v/>
      </c>
      <c r="Z12" s="3">
        <f>IF(OR(Y12="",5&gt;p_top_tareas),"","   • "&amp;INDEX(tblOrdenes[equipo],Y12)&amp;" — "&amp;INDEX(tblOrdenes[descripcion_operacion],Y12)&amp;" · "&amp;TEXT(INDEX(tblOrdenes[horas_efectivas],Y12),"0.#")&amp;" h · "&amp;IF(INDEX(tblOrdenes[tecnico_asignado],Y12)="","(sin técnico)",INDEX(tblOrdenes[tecnico_asignado],Y12))&amp;IF(INDEX(tblOrdenes[permiso_requerido],Y12)&lt;&gt;""," · permiso de trabajo","")&amp;IF(INDEX(tblOrdenes[bloqueo_energia],Y12)&lt;&gt;""," · bloqueo de energía (LOTO)",""))</f>
        <v/>
      </c>
      <c r="AB12" s="3">
        <f>'TECNICOS'!$B$8</f>
        <v/>
      </c>
      <c r="AC12" s="17">
        <f>SUMPRODUCT($N$8:$N$1207,--(tblOrdenes[tecnico_asignado]=AB12))</f>
        <v/>
      </c>
      <c r="AD12" s="17">
        <f>p_factor_productividad*SUMIFS(tblAsignaciones[horas_disponibles],tblAsignaciones[tecnico],AB12,tblAsignaciones[semana],IF($B$3="(todos)","*",$B$3))</f>
        <v/>
      </c>
      <c r="AE12" s="3">
        <f>IF(AC12&gt;AD12+0.0001,1,0)</f>
        <v/>
      </c>
      <c r="AF12" s="3">
        <f>IF(AE12=1,"   • "&amp;AB12&amp;": "&amp;TEXT(AC12,"0.0")&amp;" h asignadas vs "&amp;TEXT(AD12,"0.0")&amp;" h de capacidad","")</f>
        <v/>
      </c>
      <c r="AG12" s="3">
        <f>IF(SUMPRODUCT($K$8:$K$1207,--(tblOrdenes[tecnico_asignado]=AB12))&gt;0,1,0)</f>
        <v/>
      </c>
      <c r="AI12" s="2" t="inlineStr">
        <is>
          <t>técnicos involucrados</t>
        </is>
      </c>
      <c r="AJ12" s="3">
        <f>SUM($AG$8:$AG$23)</f>
        <v/>
      </c>
      <c r="AL12" s="3">
        <f>IF($AJ$8=0,"(Sin órdenes en el filtro seleccionado.)","Programa completo:"&amp;CHAR(10)&amp;_xlfn.TEXTJOIN(CHAR(10),TRUE,$W$8:$W$207))</f>
        <v/>
      </c>
    </row>
    <row r="13">
      <c r="K13" s="3">
        <f>IF(AND(IF($B$3="(todos)",TRUE,'ORDENES'!$O9=$B$3),IF($D$3="(todos)",TRUE,'ORDENES'!$AF9=$D$3),IF($F$3="(todos)",TRUE,'ORDENES'!$X9=$F$3),IF($H$3="(todos)",TRUE,'ORDENES'!$W9=$H$3),'ORDENES'!$AD9=TRUE,'ORDENES'!$A9&lt;&gt;""),1,0)</f>
        <v/>
      </c>
      <c r="L13" s="3">
        <f>IF(K13=1,IFERROR(MATCH('ORDENES'!$R9,lista_dias,0),9)*1000000000+IFERROR(MATCH('ORDENES'!$AF9,lista_turnos,0),9)*10000000+IFERROR(MATCH('ORDENES'!$AE9,tblTecnicos[nombre],0),99)*100000+6,9000000000000+6)</f>
        <v/>
      </c>
      <c r="M13" s="3">
        <f>IF(K13=1,SUMPRODUCT(--($L$8:$L$1207&lt;L13))+1,"")</f>
        <v/>
      </c>
      <c r="N13" s="17">
        <f>IF(K13=1,N('ORDENES'!$M9),0)</f>
        <v/>
      </c>
      <c r="O13" s="17">
        <f>IF('ORDENES'!$T9="preventiva",N13,0)</f>
        <v/>
      </c>
      <c r="P13" s="17">
        <f>IF('ORDENES'!$T9="correctiva",N13,0)</f>
        <v/>
      </c>
      <c r="Q13" s="3">
        <f>IF(AND(K13=1,'ORDENES'!$N9="Pendiente"),1,0)</f>
        <v/>
      </c>
      <c r="R13" s="3">
        <f>IF(Q13=1,100000-N13*1000+6*0.01,9000000000000+6)</f>
        <v/>
      </c>
      <c r="S13" s="3">
        <f>IF(Q13=1,SUMPRODUCT(--($R$8:$R$1207&lt;R13))+1,"")</f>
        <v/>
      </c>
      <c r="T13" s="12">
        <f>IF(K13=1,'ORDENES'!$J9,"")</f>
        <v/>
      </c>
      <c r="U13" s="3">
        <f>IFERROR(MATCH(6,$M$8:$M$1207,0),"")</f>
        <v/>
      </c>
      <c r="V13" s="3">
        <f>IF(U13="","",INDEX(tblOrdenes[dia_semana],U13))</f>
        <v/>
      </c>
      <c r="W13" s="3">
        <f>IF(U13="","",IF(V13&lt;&gt;V12,CHAR(10)&amp;UPPER(LEFT(V13,1))&amp;MID(V13,2,20)&amp;":"&amp;CHAR(10),"")&amp;"   "&amp;IF(INDEX(tblOrdenes[turno_asignado],U13)="","(s/t)",INDEX(tblOrdenes[turno_asignado],U13))&amp;" · "&amp;IF(INDEX(tblOrdenes[tecnico_asignado],U13)="","(sin técnico)",INDEX(tblOrdenes[tecnico_asignado],U13))&amp;" · "&amp;INDEX(tblOrdenes[id_operacion],U13)&amp;" — "&amp;INDEX(tblOrdenes[descripcion_operacion],U13)&amp;" ("&amp;TEXT(INDEX(tblOrdenes[horas_efectivas],U13),"0.#")&amp;" h)")</f>
        <v/>
      </c>
      <c r="Y13" s="3">
        <f>IFERROR(MATCH(6,$S$8:$S$1207,0),"")</f>
        <v/>
      </c>
      <c r="Z13" s="3">
        <f>IF(OR(Y13="",6&gt;p_top_tareas),"","   • "&amp;INDEX(tblOrdenes[equipo],Y13)&amp;" — "&amp;INDEX(tblOrdenes[descripcion_operacion],Y13)&amp;" · "&amp;TEXT(INDEX(tblOrdenes[horas_efectivas],Y13),"0.#")&amp;" h · "&amp;IF(INDEX(tblOrdenes[tecnico_asignado],Y13)="","(sin técnico)",INDEX(tblOrdenes[tecnico_asignado],Y13))&amp;IF(INDEX(tblOrdenes[permiso_requerido],Y13)&lt;&gt;""," · permiso de trabajo","")&amp;IF(INDEX(tblOrdenes[bloqueo_energia],Y13)&lt;&gt;""," · bloqueo de energía (LOTO)",""))</f>
        <v/>
      </c>
      <c r="AB13" s="3">
        <f>'TECNICOS'!$B$9</f>
        <v/>
      </c>
      <c r="AC13" s="17">
        <f>SUMPRODUCT($N$8:$N$1207,--(tblOrdenes[tecnico_asignado]=AB13))</f>
        <v/>
      </c>
      <c r="AD13" s="17">
        <f>p_factor_productividad*SUMIFS(tblAsignaciones[horas_disponibles],tblAsignaciones[tecnico],AB13,tblAsignaciones[semana],IF($B$3="(todos)","*",$B$3))</f>
        <v/>
      </c>
      <c r="AE13" s="3">
        <f>IF(AC13&gt;AD13+0.0001,1,0)</f>
        <v/>
      </c>
      <c r="AF13" s="3">
        <f>IF(AE13=1,"   • "&amp;AB13&amp;": "&amp;TEXT(AC13,"0.0")&amp;" h asignadas vs "&amp;TEXT(AD13,"0.0")&amp;" h de capacidad","")</f>
        <v/>
      </c>
      <c r="AG13" s="3">
        <f>IF(SUMPRODUCT($K$8:$K$1207,--(tblOrdenes[tecnico_asignado]=AB13))&gt;0,1,0)</f>
        <v/>
      </c>
      <c r="AI13" s="2" t="inlineStr">
        <is>
          <t>técnicos sobreasignados</t>
        </is>
      </c>
      <c r="AJ13" s="3">
        <f>SUM($AE$8:$AE$23)</f>
        <v/>
      </c>
      <c r="AL13" s="3">
        <f>"Cualquier ajuste, favor comunicarlo antes del inicio del turno."</f>
        <v/>
      </c>
    </row>
    <row r="14">
      <c r="K14" s="3">
        <f>IF(AND(IF($B$3="(todos)",TRUE,'ORDENES'!$O10=$B$3),IF($D$3="(todos)",TRUE,'ORDENES'!$AF10=$D$3),IF($F$3="(todos)",TRUE,'ORDENES'!$X10=$F$3),IF($H$3="(todos)",TRUE,'ORDENES'!$W10=$H$3),'ORDENES'!$AD10=TRUE,'ORDENES'!$A10&lt;&gt;""),1,0)</f>
        <v/>
      </c>
      <c r="L14" s="3">
        <f>IF(K14=1,IFERROR(MATCH('ORDENES'!$R10,lista_dias,0),9)*1000000000+IFERROR(MATCH('ORDENES'!$AF10,lista_turnos,0),9)*10000000+IFERROR(MATCH('ORDENES'!$AE10,tblTecnicos[nombre],0),99)*100000+7,9000000000000+7)</f>
        <v/>
      </c>
      <c r="M14" s="3">
        <f>IF(K14=1,SUMPRODUCT(--($L$8:$L$1207&lt;L14))+1,"")</f>
        <v/>
      </c>
      <c r="N14" s="17">
        <f>IF(K14=1,N('ORDENES'!$M10),0)</f>
        <v/>
      </c>
      <c r="O14" s="17">
        <f>IF('ORDENES'!$T10="preventiva",N14,0)</f>
        <v/>
      </c>
      <c r="P14" s="17">
        <f>IF('ORDENES'!$T10="correctiva",N14,0)</f>
        <v/>
      </c>
      <c r="Q14" s="3">
        <f>IF(AND(K14=1,'ORDENES'!$N10="Pendiente"),1,0)</f>
        <v/>
      </c>
      <c r="R14" s="3">
        <f>IF(Q14=1,100000-N14*1000+7*0.01,9000000000000+7)</f>
        <v/>
      </c>
      <c r="S14" s="3">
        <f>IF(Q14=1,SUMPRODUCT(--($R$8:$R$1207&lt;R14))+1,"")</f>
        <v/>
      </c>
      <c r="T14" s="12">
        <f>IF(K14=1,'ORDENES'!$J10,"")</f>
        <v/>
      </c>
      <c r="U14" s="3">
        <f>IFERROR(MATCH(7,$M$8:$M$1207,0),"")</f>
        <v/>
      </c>
      <c r="V14" s="3">
        <f>IF(U14="","",INDEX(tblOrdenes[dia_semana],U14))</f>
        <v/>
      </c>
      <c r="W14" s="3">
        <f>IF(U14="","",IF(V14&lt;&gt;V13,CHAR(10)&amp;UPPER(LEFT(V14,1))&amp;MID(V14,2,20)&amp;":"&amp;CHAR(10),"")&amp;"   "&amp;IF(INDEX(tblOrdenes[turno_asignado],U14)="","(s/t)",INDEX(tblOrdenes[turno_asignado],U14))&amp;" · "&amp;IF(INDEX(tblOrdenes[tecnico_asignado],U14)="","(sin técnico)",INDEX(tblOrdenes[tecnico_asignado],U14))&amp;" · "&amp;INDEX(tblOrdenes[id_operacion],U14)&amp;" — "&amp;INDEX(tblOrdenes[descripcion_operacion],U14)&amp;" ("&amp;TEXT(INDEX(tblOrdenes[horas_efectivas],U14),"0.#")&amp;" h)")</f>
        <v/>
      </c>
      <c r="Y14" s="3">
        <f>IFERROR(MATCH(7,$S$8:$S$1207,0),"")</f>
        <v/>
      </c>
      <c r="Z14" s="3">
        <f>IF(OR(Y14="",7&gt;p_top_tareas),"","   • "&amp;INDEX(tblOrdenes[equipo],Y14)&amp;" — "&amp;INDEX(tblOrdenes[descripcion_operacion],Y14)&amp;" · "&amp;TEXT(INDEX(tblOrdenes[horas_efectivas],Y14),"0.#")&amp;" h · "&amp;IF(INDEX(tblOrdenes[tecnico_asignado],Y14)="","(sin técnico)",INDEX(tblOrdenes[tecnico_asignado],Y14))&amp;IF(INDEX(tblOrdenes[permiso_requerido],Y14)&lt;&gt;""," · permiso de trabajo","")&amp;IF(INDEX(tblOrdenes[bloqueo_energia],Y14)&lt;&gt;""," · bloqueo de energía (LOTO)",""))</f>
        <v/>
      </c>
      <c r="AB14" s="3">
        <f>'TECNICOS'!$B$10</f>
        <v/>
      </c>
      <c r="AC14" s="17">
        <f>SUMPRODUCT($N$8:$N$1207,--(tblOrdenes[tecnico_asignado]=AB14))</f>
        <v/>
      </c>
      <c r="AD14" s="17">
        <f>p_factor_productividad*SUMIFS(tblAsignaciones[horas_disponibles],tblAsignaciones[tecnico],AB14,tblAsignaciones[semana],IF($B$3="(todos)","*",$B$3))</f>
        <v/>
      </c>
      <c r="AE14" s="3">
        <f>IF(AC14&gt;AD14+0.0001,1,0)</f>
        <v/>
      </c>
      <c r="AF14" s="3">
        <f>IF(AE14=1,"   • "&amp;AB14&amp;": "&amp;TEXT(AC14,"0.0")&amp;" h asignadas vs "&amp;TEXT(AD14,"0.0")&amp;" h de capacidad","")</f>
        <v/>
      </c>
      <c r="AG14" s="3">
        <f>IF(SUMPRODUCT($K$8:$K$1207,--(tblOrdenes[tecnico_asignado]=AB14))&gt;0,1,0)</f>
        <v/>
      </c>
      <c r="AI14" s="2" t="inlineStr">
        <is>
          <t>lunes_sel</t>
        </is>
      </c>
      <c r="AJ14" s="12">
        <f>IF($B$3="(todos)",IF(AJ8=0,"",MIN($T$8:$T$1207)),DATE(VALUE(LEFT($B$3,4)),1,4)-WEEKDAY(DATE(VALUE(LEFT($B$3,4)),1,4),2)+1+(VALUE(MID($B$3,7,2))-1)*7)</f>
        <v/>
      </c>
    </row>
    <row r="15">
      <c r="K15" s="3">
        <f>IF(AND(IF($B$3="(todos)",TRUE,'ORDENES'!$O11=$B$3),IF($D$3="(todos)",TRUE,'ORDENES'!$AF11=$D$3),IF($F$3="(todos)",TRUE,'ORDENES'!$X11=$F$3),IF($H$3="(todos)",TRUE,'ORDENES'!$W11=$H$3),'ORDENES'!$AD11=TRUE,'ORDENES'!$A11&lt;&gt;""),1,0)</f>
        <v/>
      </c>
      <c r="L15" s="3">
        <f>IF(K15=1,IFERROR(MATCH('ORDENES'!$R11,lista_dias,0),9)*1000000000+IFERROR(MATCH('ORDENES'!$AF11,lista_turnos,0),9)*10000000+IFERROR(MATCH('ORDENES'!$AE11,tblTecnicos[nombre],0),99)*100000+8,9000000000000+8)</f>
        <v/>
      </c>
      <c r="M15" s="3">
        <f>IF(K15=1,SUMPRODUCT(--($L$8:$L$1207&lt;L15))+1,"")</f>
        <v/>
      </c>
      <c r="N15" s="17">
        <f>IF(K15=1,N('ORDENES'!$M11),0)</f>
        <v/>
      </c>
      <c r="O15" s="17">
        <f>IF('ORDENES'!$T11="preventiva",N15,0)</f>
        <v/>
      </c>
      <c r="P15" s="17">
        <f>IF('ORDENES'!$T11="correctiva",N15,0)</f>
        <v/>
      </c>
      <c r="Q15" s="3">
        <f>IF(AND(K15=1,'ORDENES'!$N11="Pendiente"),1,0)</f>
        <v/>
      </c>
      <c r="R15" s="3">
        <f>IF(Q15=1,100000-N15*1000+8*0.01,9000000000000+8)</f>
        <v/>
      </c>
      <c r="S15" s="3">
        <f>IF(Q15=1,SUMPRODUCT(--($R$8:$R$1207&lt;R15))+1,"")</f>
        <v/>
      </c>
      <c r="T15" s="12">
        <f>IF(K15=1,'ORDENES'!$J11,"")</f>
        <v/>
      </c>
      <c r="U15" s="3">
        <f>IFERROR(MATCH(8,$M$8:$M$1207,0),"")</f>
        <v/>
      </c>
      <c r="V15" s="3">
        <f>IF(U15="","",INDEX(tblOrdenes[dia_semana],U15))</f>
        <v/>
      </c>
      <c r="W15" s="3">
        <f>IF(U15="","",IF(V15&lt;&gt;V14,CHAR(10)&amp;UPPER(LEFT(V15,1))&amp;MID(V15,2,20)&amp;":"&amp;CHAR(10),"")&amp;"   "&amp;IF(INDEX(tblOrdenes[turno_asignado],U15)="","(s/t)",INDEX(tblOrdenes[turno_asignado],U15))&amp;" · "&amp;IF(INDEX(tblOrdenes[tecnico_asignado],U15)="","(sin técnico)",INDEX(tblOrdenes[tecnico_asignado],U15))&amp;" · "&amp;INDEX(tblOrdenes[id_operacion],U15)&amp;" — "&amp;INDEX(tblOrdenes[descripcion_operacion],U15)&amp;" ("&amp;TEXT(INDEX(tblOrdenes[horas_efectivas],U15),"0.#")&amp;" h)")</f>
        <v/>
      </c>
      <c r="Y15" s="3">
        <f>IFERROR(MATCH(8,$S$8:$S$1207,0),"")</f>
        <v/>
      </c>
      <c r="Z15" s="3">
        <f>IF(OR(Y15="",8&gt;p_top_tareas),"","   • "&amp;INDEX(tblOrdenes[equipo],Y15)&amp;" — "&amp;INDEX(tblOrdenes[descripcion_operacion],Y15)&amp;" · "&amp;TEXT(INDEX(tblOrdenes[horas_efectivas],Y15),"0.#")&amp;" h · "&amp;IF(INDEX(tblOrdenes[tecnico_asignado],Y15)="","(sin técnico)",INDEX(tblOrdenes[tecnico_asignado],Y15))&amp;IF(INDEX(tblOrdenes[permiso_requerido],Y15)&lt;&gt;""," · permiso de trabajo","")&amp;IF(INDEX(tblOrdenes[bloqueo_energia],Y15)&lt;&gt;""," · bloqueo de energía (LOTO)",""))</f>
        <v/>
      </c>
      <c r="AB15" s="3">
        <f>'TECNICOS'!$B$11</f>
        <v/>
      </c>
      <c r="AC15" s="17">
        <f>SUMPRODUCT($N$8:$N$1207,--(tblOrdenes[tecnico_asignado]=AB15))</f>
        <v/>
      </c>
      <c r="AD15" s="17">
        <f>p_factor_productividad*SUMIFS(tblAsignaciones[horas_disponibles],tblAsignaciones[tecnico],AB15,tblAsignaciones[semana],IF($B$3="(todos)","*",$B$3))</f>
        <v/>
      </c>
      <c r="AE15" s="3">
        <f>IF(AC15&gt;AD15+0.0001,1,0)</f>
        <v/>
      </c>
      <c r="AF15" s="3">
        <f>IF(AE15=1,"   • "&amp;AB15&amp;": "&amp;TEXT(AC15,"0.0")&amp;" h asignadas vs "&amp;TEXT(AD15,"0.0")&amp;" h de capacidad","")</f>
        <v/>
      </c>
      <c r="AG15" s="3">
        <f>IF(SUMPRODUCT($K$8:$K$1207,--(tblOrdenes[tecnico_asignado]=AB15))&gt;0,1,0)</f>
        <v/>
      </c>
      <c r="AI15" s="2" t="inlineStr">
        <is>
          <t>domingo_sel</t>
        </is>
      </c>
      <c r="AJ15" s="12">
        <f>IF($B$3="(todos)",IF(AJ8=0,"",MAX($T$8:$T$1207)),AJ14+6)</f>
        <v/>
      </c>
    </row>
    <row r="16">
      <c r="K16" s="3">
        <f>IF(AND(IF($B$3="(todos)",TRUE,'ORDENES'!$O12=$B$3),IF($D$3="(todos)",TRUE,'ORDENES'!$AF12=$D$3),IF($F$3="(todos)",TRUE,'ORDENES'!$X12=$F$3),IF($H$3="(todos)",TRUE,'ORDENES'!$W12=$H$3),'ORDENES'!$AD12=TRUE,'ORDENES'!$A12&lt;&gt;""),1,0)</f>
        <v/>
      </c>
      <c r="L16" s="3">
        <f>IF(K16=1,IFERROR(MATCH('ORDENES'!$R12,lista_dias,0),9)*1000000000+IFERROR(MATCH('ORDENES'!$AF12,lista_turnos,0),9)*10000000+IFERROR(MATCH('ORDENES'!$AE12,tblTecnicos[nombre],0),99)*100000+9,9000000000000+9)</f>
        <v/>
      </c>
      <c r="M16" s="3">
        <f>IF(K16=1,SUMPRODUCT(--($L$8:$L$1207&lt;L16))+1,"")</f>
        <v/>
      </c>
      <c r="N16" s="17">
        <f>IF(K16=1,N('ORDENES'!$M12),0)</f>
        <v/>
      </c>
      <c r="O16" s="17">
        <f>IF('ORDENES'!$T12="preventiva",N16,0)</f>
        <v/>
      </c>
      <c r="P16" s="17">
        <f>IF('ORDENES'!$T12="correctiva",N16,0)</f>
        <v/>
      </c>
      <c r="Q16" s="3">
        <f>IF(AND(K16=1,'ORDENES'!$N12="Pendiente"),1,0)</f>
        <v/>
      </c>
      <c r="R16" s="3">
        <f>IF(Q16=1,100000-N16*1000+9*0.01,9000000000000+9)</f>
        <v/>
      </c>
      <c r="S16" s="3">
        <f>IF(Q16=1,SUMPRODUCT(--($R$8:$R$1207&lt;R16))+1,"")</f>
        <v/>
      </c>
      <c r="T16" s="12">
        <f>IF(K16=1,'ORDENES'!$J12,"")</f>
        <v/>
      </c>
      <c r="U16" s="3">
        <f>IFERROR(MATCH(9,$M$8:$M$1207,0),"")</f>
        <v/>
      </c>
      <c r="V16" s="3">
        <f>IF(U16="","",INDEX(tblOrdenes[dia_semana],U16))</f>
        <v/>
      </c>
      <c r="W16" s="3">
        <f>IF(U16="","",IF(V16&lt;&gt;V15,CHAR(10)&amp;UPPER(LEFT(V16,1))&amp;MID(V16,2,20)&amp;":"&amp;CHAR(10),"")&amp;"   "&amp;IF(INDEX(tblOrdenes[turno_asignado],U16)="","(s/t)",INDEX(tblOrdenes[turno_asignado],U16))&amp;" · "&amp;IF(INDEX(tblOrdenes[tecnico_asignado],U16)="","(sin técnico)",INDEX(tblOrdenes[tecnico_asignado],U16))&amp;" · "&amp;INDEX(tblOrdenes[id_operacion],U16)&amp;" — "&amp;INDEX(tblOrdenes[descripcion_operacion],U16)&amp;" ("&amp;TEXT(INDEX(tblOrdenes[horas_efectivas],U16),"0.#")&amp;" h)")</f>
        <v/>
      </c>
      <c r="Y16" s="3">
        <f>IFERROR(MATCH(9,$S$8:$S$1207,0),"")</f>
        <v/>
      </c>
      <c r="Z16" s="3">
        <f>IF(OR(Y16="",9&gt;p_top_tareas),"","   • "&amp;INDEX(tblOrdenes[equipo],Y16)&amp;" — "&amp;INDEX(tblOrdenes[descripcion_operacion],Y16)&amp;" · "&amp;TEXT(INDEX(tblOrdenes[horas_efectivas],Y16),"0.#")&amp;" h · "&amp;IF(INDEX(tblOrdenes[tecnico_asignado],Y16)="","(sin técnico)",INDEX(tblOrdenes[tecnico_asignado],Y16))&amp;IF(INDEX(tblOrdenes[permiso_requerido],Y16)&lt;&gt;""," · permiso de trabajo","")&amp;IF(INDEX(tblOrdenes[bloqueo_energia],Y16)&lt;&gt;""," · bloqueo de energía (LOTO)",""))</f>
        <v/>
      </c>
      <c r="AB16" s="3">
        <f>'TECNICOS'!$B$12</f>
        <v/>
      </c>
      <c r="AC16" s="17">
        <f>SUMPRODUCT($N$8:$N$1207,--(tblOrdenes[tecnico_asignado]=AB16))</f>
        <v/>
      </c>
      <c r="AD16" s="17">
        <f>p_factor_productividad*SUMIFS(tblAsignaciones[horas_disponibles],tblAsignaciones[tecnico],AB16,tblAsignaciones[semana],IF($B$3="(todos)","*",$B$3))</f>
        <v/>
      </c>
      <c r="AE16" s="3">
        <f>IF(AC16&gt;AD16+0.0001,1,0)</f>
        <v/>
      </c>
      <c r="AF16" s="3">
        <f>IF(AE16=1,"   • "&amp;AB16&amp;": "&amp;TEXT(AC16,"0.0")&amp;" h asignadas vs "&amp;TEXT(AD16,"0.0")&amp;" h de capacidad","")</f>
        <v/>
      </c>
      <c r="AG16" s="3">
        <f>IF(SUMPRODUCT($K$8:$K$1207,--(tblOrdenes[tecnico_asignado]=AB16))&gt;0,1,0)</f>
        <v/>
      </c>
      <c r="AI16" s="2" t="inlineStr">
        <is>
          <t>órdenes pendientes en plan</t>
        </is>
      </c>
      <c r="AJ16" s="3">
        <f>SUM($Q$8:$Q$1207)</f>
        <v/>
      </c>
    </row>
    <row r="17">
      <c r="K17" s="3">
        <f>IF(AND(IF($B$3="(todos)",TRUE,'ORDENES'!$O13=$B$3),IF($D$3="(todos)",TRUE,'ORDENES'!$AF13=$D$3),IF($F$3="(todos)",TRUE,'ORDENES'!$X13=$F$3),IF($H$3="(todos)",TRUE,'ORDENES'!$W13=$H$3),'ORDENES'!$AD13=TRUE,'ORDENES'!$A13&lt;&gt;""),1,0)</f>
        <v/>
      </c>
      <c r="L17" s="3">
        <f>IF(K17=1,IFERROR(MATCH('ORDENES'!$R13,lista_dias,0),9)*1000000000+IFERROR(MATCH('ORDENES'!$AF13,lista_turnos,0),9)*10000000+IFERROR(MATCH('ORDENES'!$AE13,tblTecnicos[nombre],0),99)*100000+10,9000000000000+10)</f>
        <v/>
      </c>
      <c r="M17" s="3">
        <f>IF(K17=1,SUMPRODUCT(--($L$8:$L$1207&lt;L17))+1,"")</f>
        <v/>
      </c>
      <c r="N17" s="17">
        <f>IF(K17=1,N('ORDENES'!$M13),0)</f>
        <v/>
      </c>
      <c r="O17" s="17">
        <f>IF('ORDENES'!$T13="preventiva",N17,0)</f>
        <v/>
      </c>
      <c r="P17" s="17">
        <f>IF('ORDENES'!$T13="correctiva",N17,0)</f>
        <v/>
      </c>
      <c r="Q17" s="3">
        <f>IF(AND(K17=1,'ORDENES'!$N13="Pendiente"),1,0)</f>
        <v/>
      </c>
      <c r="R17" s="3">
        <f>IF(Q17=1,100000-N17*1000+10*0.01,9000000000000+10)</f>
        <v/>
      </c>
      <c r="S17" s="3">
        <f>IF(Q17=1,SUMPRODUCT(--($R$8:$R$1207&lt;R17))+1,"")</f>
        <v/>
      </c>
      <c r="T17" s="12">
        <f>IF(K17=1,'ORDENES'!$J13,"")</f>
        <v/>
      </c>
      <c r="U17" s="3">
        <f>IFERROR(MATCH(10,$M$8:$M$1207,0),"")</f>
        <v/>
      </c>
      <c r="V17" s="3">
        <f>IF(U17="","",INDEX(tblOrdenes[dia_semana],U17))</f>
        <v/>
      </c>
      <c r="W17" s="3">
        <f>IF(U17="","",IF(V17&lt;&gt;V16,CHAR(10)&amp;UPPER(LEFT(V17,1))&amp;MID(V17,2,20)&amp;":"&amp;CHAR(10),"")&amp;"   "&amp;IF(INDEX(tblOrdenes[turno_asignado],U17)="","(s/t)",INDEX(tblOrdenes[turno_asignado],U17))&amp;" · "&amp;IF(INDEX(tblOrdenes[tecnico_asignado],U17)="","(sin técnico)",INDEX(tblOrdenes[tecnico_asignado],U17))&amp;" · "&amp;INDEX(tblOrdenes[id_operacion],U17)&amp;" — "&amp;INDEX(tblOrdenes[descripcion_operacion],U17)&amp;" ("&amp;TEXT(INDEX(tblOrdenes[horas_efectivas],U17),"0.#")&amp;" h)")</f>
        <v/>
      </c>
      <c r="Y17" s="3">
        <f>IFERROR(MATCH(10,$S$8:$S$1207,0),"")</f>
        <v/>
      </c>
      <c r="Z17" s="3">
        <f>IF(OR(Y17="",10&gt;p_top_tareas),"","   • "&amp;INDEX(tblOrdenes[equipo],Y17)&amp;" — "&amp;INDEX(tblOrdenes[descripcion_operacion],Y17)&amp;" · "&amp;TEXT(INDEX(tblOrdenes[horas_efectivas],Y17),"0.#")&amp;" h · "&amp;IF(INDEX(tblOrdenes[tecnico_asignado],Y17)="","(sin técnico)",INDEX(tblOrdenes[tecnico_asignado],Y17))&amp;IF(INDEX(tblOrdenes[permiso_requerido],Y17)&lt;&gt;""," · permiso de trabajo","")&amp;IF(INDEX(tblOrdenes[bloqueo_energia],Y17)&lt;&gt;""," · bloqueo de energía (LOTO)",""))</f>
        <v/>
      </c>
      <c r="AB17" s="3">
        <f>'TECNICOS'!$B$13</f>
        <v/>
      </c>
      <c r="AC17" s="17">
        <f>SUMPRODUCT($N$8:$N$1207,--(tblOrdenes[tecnico_asignado]=AB17))</f>
        <v/>
      </c>
      <c r="AD17" s="17">
        <f>p_factor_productividad*SUMIFS(tblAsignaciones[horas_disponibles],tblAsignaciones[tecnico],AB17,tblAsignaciones[semana],IF($B$3="(todos)","*",$B$3))</f>
        <v/>
      </c>
      <c r="AE17" s="3">
        <f>IF(AC17&gt;AD17+0.0001,1,0)</f>
        <v/>
      </c>
      <c r="AF17" s="3">
        <f>IF(AE17=1,"   • "&amp;AB17&amp;": "&amp;TEXT(AC17,"0.0")&amp;" h asignadas vs "&amp;TEXT(AD17,"0.0")&amp;" h de capacidad","")</f>
        <v/>
      </c>
      <c r="AG17" s="3">
        <f>IF(SUMPRODUCT($K$8:$K$1207,--(tblOrdenes[tecnico_asignado]=AB17))&gt;0,1,0)</f>
        <v/>
      </c>
    </row>
    <row r="18">
      <c r="K18" s="3">
        <f>IF(AND(IF($B$3="(todos)",TRUE,'ORDENES'!$O14=$B$3),IF($D$3="(todos)",TRUE,'ORDENES'!$AF14=$D$3),IF($F$3="(todos)",TRUE,'ORDENES'!$X14=$F$3),IF($H$3="(todos)",TRUE,'ORDENES'!$W14=$H$3),'ORDENES'!$AD14=TRUE,'ORDENES'!$A14&lt;&gt;""),1,0)</f>
        <v/>
      </c>
      <c r="L18" s="3">
        <f>IF(K18=1,IFERROR(MATCH('ORDENES'!$R14,lista_dias,0),9)*1000000000+IFERROR(MATCH('ORDENES'!$AF14,lista_turnos,0),9)*10000000+IFERROR(MATCH('ORDENES'!$AE14,tblTecnicos[nombre],0),99)*100000+11,9000000000000+11)</f>
        <v/>
      </c>
      <c r="M18" s="3">
        <f>IF(K18=1,SUMPRODUCT(--($L$8:$L$1207&lt;L18))+1,"")</f>
        <v/>
      </c>
      <c r="N18" s="17">
        <f>IF(K18=1,N('ORDENES'!$M14),0)</f>
        <v/>
      </c>
      <c r="O18" s="17">
        <f>IF('ORDENES'!$T14="preventiva",N18,0)</f>
        <v/>
      </c>
      <c r="P18" s="17">
        <f>IF('ORDENES'!$T14="correctiva",N18,0)</f>
        <v/>
      </c>
      <c r="Q18" s="3">
        <f>IF(AND(K18=1,'ORDENES'!$N14="Pendiente"),1,0)</f>
        <v/>
      </c>
      <c r="R18" s="3">
        <f>IF(Q18=1,100000-N18*1000+11*0.01,9000000000000+11)</f>
        <v/>
      </c>
      <c r="S18" s="3">
        <f>IF(Q18=1,SUMPRODUCT(--($R$8:$R$1207&lt;R18))+1,"")</f>
        <v/>
      </c>
      <c r="T18" s="12">
        <f>IF(K18=1,'ORDENES'!$J14,"")</f>
        <v/>
      </c>
      <c r="U18" s="3">
        <f>IFERROR(MATCH(11,$M$8:$M$1207,0),"")</f>
        <v/>
      </c>
      <c r="V18" s="3">
        <f>IF(U18="","",INDEX(tblOrdenes[dia_semana],U18))</f>
        <v/>
      </c>
      <c r="W18" s="3">
        <f>IF(U18="","",IF(V18&lt;&gt;V17,CHAR(10)&amp;UPPER(LEFT(V18,1))&amp;MID(V18,2,20)&amp;":"&amp;CHAR(10),"")&amp;"   "&amp;IF(INDEX(tblOrdenes[turno_asignado],U18)="","(s/t)",INDEX(tblOrdenes[turno_asignado],U18))&amp;" · "&amp;IF(INDEX(tblOrdenes[tecnico_asignado],U18)="","(sin técnico)",INDEX(tblOrdenes[tecnico_asignado],U18))&amp;" · "&amp;INDEX(tblOrdenes[id_operacion],U18)&amp;" — "&amp;INDEX(tblOrdenes[descripcion_operacion],U18)&amp;" ("&amp;TEXT(INDEX(tblOrdenes[horas_efectivas],U18),"0.#")&amp;" h)")</f>
        <v/>
      </c>
      <c r="Y18" s="3">
        <f>IFERROR(MATCH(11,$S$8:$S$1207,0),"")</f>
        <v/>
      </c>
      <c r="Z18" s="3">
        <f>IF(OR(Y18="",11&gt;p_top_tareas),"","   • "&amp;INDEX(tblOrdenes[equipo],Y18)&amp;" — "&amp;INDEX(tblOrdenes[descripcion_operacion],Y18)&amp;" · "&amp;TEXT(INDEX(tblOrdenes[horas_efectivas],Y18),"0.#")&amp;" h · "&amp;IF(INDEX(tblOrdenes[tecnico_asignado],Y18)="","(sin técnico)",INDEX(tblOrdenes[tecnico_asignado],Y18))&amp;IF(INDEX(tblOrdenes[permiso_requerido],Y18)&lt;&gt;""," · permiso de trabajo","")&amp;IF(INDEX(tblOrdenes[bloqueo_energia],Y18)&lt;&gt;""," · bloqueo de energía (LOTO)",""))</f>
        <v/>
      </c>
      <c r="AB18" s="3">
        <f>'TECNICOS'!$B$14</f>
        <v/>
      </c>
      <c r="AC18" s="17">
        <f>SUMPRODUCT($N$8:$N$1207,--(tblOrdenes[tecnico_asignado]=AB18))</f>
        <v/>
      </c>
      <c r="AD18" s="17">
        <f>p_factor_productividad*SUMIFS(tblAsignaciones[horas_disponibles],tblAsignaciones[tecnico],AB18,tblAsignaciones[semana],IF($B$3="(todos)","*",$B$3))</f>
        <v/>
      </c>
      <c r="AE18" s="3">
        <f>IF(AC18&gt;AD18+0.0001,1,0)</f>
        <v/>
      </c>
      <c r="AF18" s="3">
        <f>IF(AE18=1,"   • "&amp;AB18&amp;": "&amp;TEXT(AC18,"0.0")&amp;" h asignadas vs "&amp;TEXT(AD18,"0.0")&amp;" h de capacidad","")</f>
        <v/>
      </c>
      <c r="AG18" s="3">
        <f>IF(SUMPRODUCT($K$8:$K$1207,--(tblOrdenes[tecnico_asignado]=AB18))&gt;0,1,0)</f>
        <v/>
      </c>
    </row>
    <row r="19">
      <c r="K19" s="3">
        <f>IF(AND(IF($B$3="(todos)",TRUE,'ORDENES'!$O15=$B$3),IF($D$3="(todos)",TRUE,'ORDENES'!$AF15=$D$3),IF($F$3="(todos)",TRUE,'ORDENES'!$X15=$F$3),IF($H$3="(todos)",TRUE,'ORDENES'!$W15=$H$3),'ORDENES'!$AD15=TRUE,'ORDENES'!$A15&lt;&gt;""),1,0)</f>
        <v/>
      </c>
      <c r="L19" s="3">
        <f>IF(K19=1,IFERROR(MATCH('ORDENES'!$R15,lista_dias,0),9)*1000000000+IFERROR(MATCH('ORDENES'!$AF15,lista_turnos,0),9)*10000000+IFERROR(MATCH('ORDENES'!$AE15,tblTecnicos[nombre],0),99)*100000+12,9000000000000+12)</f>
        <v/>
      </c>
      <c r="M19" s="3">
        <f>IF(K19=1,SUMPRODUCT(--($L$8:$L$1207&lt;L19))+1,"")</f>
        <v/>
      </c>
      <c r="N19" s="17">
        <f>IF(K19=1,N('ORDENES'!$M15),0)</f>
        <v/>
      </c>
      <c r="O19" s="17">
        <f>IF('ORDENES'!$T15="preventiva",N19,0)</f>
        <v/>
      </c>
      <c r="P19" s="17">
        <f>IF('ORDENES'!$T15="correctiva",N19,0)</f>
        <v/>
      </c>
      <c r="Q19" s="3">
        <f>IF(AND(K19=1,'ORDENES'!$N15="Pendiente"),1,0)</f>
        <v/>
      </c>
      <c r="R19" s="3">
        <f>IF(Q19=1,100000-N19*1000+12*0.01,9000000000000+12)</f>
        <v/>
      </c>
      <c r="S19" s="3">
        <f>IF(Q19=1,SUMPRODUCT(--($R$8:$R$1207&lt;R19))+1,"")</f>
        <v/>
      </c>
      <c r="T19" s="12">
        <f>IF(K19=1,'ORDENES'!$J15,"")</f>
        <v/>
      </c>
      <c r="U19" s="3">
        <f>IFERROR(MATCH(12,$M$8:$M$1207,0),"")</f>
        <v/>
      </c>
      <c r="V19" s="3">
        <f>IF(U19="","",INDEX(tblOrdenes[dia_semana],U19))</f>
        <v/>
      </c>
      <c r="W19" s="3">
        <f>IF(U19="","",IF(V19&lt;&gt;V18,CHAR(10)&amp;UPPER(LEFT(V19,1))&amp;MID(V19,2,20)&amp;":"&amp;CHAR(10),"")&amp;"   "&amp;IF(INDEX(tblOrdenes[turno_asignado],U19)="","(s/t)",INDEX(tblOrdenes[turno_asignado],U19))&amp;" · "&amp;IF(INDEX(tblOrdenes[tecnico_asignado],U19)="","(sin técnico)",INDEX(tblOrdenes[tecnico_asignado],U19))&amp;" · "&amp;INDEX(tblOrdenes[id_operacion],U19)&amp;" — "&amp;INDEX(tblOrdenes[descripcion_operacion],U19)&amp;" ("&amp;TEXT(INDEX(tblOrdenes[horas_efectivas],U19),"0.#")&amp;" h)")</f>
        <v/>
      </c>
      <c r="Y19" s="3">
        <f>IFERROR(MATCH(12,$S$8:$S$1207,0),"")</f>
        <v/>
      </c>
      <c r="Z19" s="3">
        <f>IF(OR(Y19="",12&gt;p_top_tareas),"","   • "&amp;INDEX(tblOrdenes[equipo],Y19)&amp;" — "&amp;INDEX(tblOrdenes[descripcion_operacion],Y19)&amp;" · "&amp;TEXT(INDEX(tblOrdenes[horas_efectivas],Y19),"0.#")&amp;" h · "&amp;IF(INDEX(tblOrdenes[tecnico_asignado],Y19)="","(sin técnico)",INDEX(tblOrdenes[tecnico_asignado],Y19))&amp;IF(INDEX(tblOrdenes[permiso_requerido],Y19)&lt;&gt;""," · permiso de trabajo","")&amp;IF(INDEX(tblOrdenes[bloqueo_energia],Y19)&lt;&gt;""," · bloqueo de energía (LOTO)",""))</f>
        <v/>
      </c>
      <c r="AB19" s="3">
        <f>'TECNICOS'!$B$15</f>
        <v/>
      </c>
      <c r="AC19" s="17">
        <f>SUMPRODUCT($N$8:$N$1207,--(tblOrdenes[tecnico_asignado]=AB19))</f>
        <v/>
      </c>
      <c r="AD19" s="17">
        <f>p_factor_productividad*SUMIFS(tblAsignaciones[horas_disponibles],tblAsignaciones[tecnico],AB19,tblAsignaciones[semana],IF($B$3="(todos)","*",$B$3))</f>
        <v/>
      </c>
      <c r="AE19" s="3">
        <f>IF(AC19&gt;AD19+0.0001,1,0)</f>
        <v/>
      </c>
      <c r="AF19" s="3">
        <f>IF(AE19=1,"   • "&amp;AB19&amp;": "&amp;TEXT(AC19,"0.0")&amp;" h asignadas vs "&amp;TEXT(AD19,"0.0")&amp;" h de capacidad","")</f>
        <v/>
      </c>
      <c r="AG19" s="3">
        <f>IF(SUMPRODUCT($K$8:$K$1207,--(tblOrdenes[tecnico_asignado]=AB19))&gt;0,1,0)</f>
        <v/>
      </c>
    </row>
    <row r="20">
      <c r="K20" s="3">
        <f>IF(AND(IF($B$3="(todos)",TRUE,'ORDENES'!$O16=$B$3),IF($D$3="(todos)",TRUE,'ORDENES'!$AF16=$D$3),IF($F$3="(todos)",TRUE,'ORDENES'!$X16=$F$3),IF($H$3="(todos)",TRUE,'ORDENES'!$W16=$H$3),'ORDENES'!$AD16=TRUE,'ORDENES'!$A16&lt;&gt;""),1,0)</f>
        <v/>
      </c>
      <c r="L20" s="3">
        <f>IF(K20=1,IFERROR(MATCH('ORDENES'!$R16,lista_dias,0),9)*1000000000+IFERROR(MATCH('ORDENES'!$AF16,lista_turnos,0),9)*10000000+IFERROR(MATCH('ORDENES'!$AE16,tblTecnicos[nombre],0),99)*100000+13,9000000000000+13)</f>
        <v/>
      </c>
      <c r="M20" s="3">
        <f>IF(K20=1,SUMPRODUCT(--($L$8:$L$1207&lt;L20))+1,"")</f>
        <v/>
      </c>
      <c r="N20" s="17">
        <f>IF(K20=1,N('ORDENES'!$M16),0)</f>
        <v/>
      </c>
      <c r="O20" s="17">
        <f>IF('ORDENES'!$T16="preventiva",N20,0)</f>
        <v/>
      </c>
      <c r="P20" s="17">
        <f>IF('ORDENES'!$T16="correctiva",N20,0)</f>
        <v/>
      </c>
      <c r="Q20" s="3">
        <f>IF(AND(K20=1,'ORDENES'!$N16="Pendiente"),1,0)</f>
        <v/>
      </c>
      <c r="R20" s="3">
        <f>IF(Q20=1,100000-N20*1000+13*0.01,9000000000000+13)</f>
        <v/>
      </c>
      <c r="S20" s="3">
        <f>IF(Q20=1,SUMPRODUCT(--($R$8:$R$1207&lt;R20))+1,"")</f>
        <v/>
      </c>
      <c r="T20" s="12">
        <f>IF(K20=1,'ORDENES'!$J16,"")</f>
        <v/>
      </c>
      <c r="U20" s="3">
        <f>IFERROR(MATCH(13,$M$8:$M$1207,0),"")</f>
        <v/>
      </c>
      <c r="V20" s="3">
        <f>IF(U20="","",INDEX(tblOrdenes[dia_semana],U20))</f>
        <v/>
      </c>
      <c r="W20" s="3">
        <f>IF(U20="","",IF(V20&lt;&gt;V19,CHAR(10)&amp;UPPER(LEFT(V20,1))&amp;MID(V20,2,20)&amp;":"&amp;CHAR(10),"")&amp;"   "&amp;IF(INDEX(tblOrdenes[turno_asignado],U20)="","(s/t)",INDEX(tblOrdenes[turno_asignado],U20))&amp;" · "&amp;IF(INDEX(tblOrdenes[tecnico_asignado],U20)="","(sin técnico)",INDEX(tblOrdenes[tecnico_asignado],U20))&amp;" · "&amp;INDEX(tblOrdenes[id_operacion],U20)&amp;" — "&amp;INDEX(tblOrdenes[descripcion_operacion],U20)&amp;" ("&amp;TEXT(INDEX(tblOrdenes[horas_efectivas],U20),"0.#")&amp;" h)")</f>
        <v/>
      </c>
      <c r="Y20" s="3">
        <f>IFERROR(MATCH(13,$S$8:$S$1207,0),"")</f>
        <v/>
      </c>
      <c r="Z20" s="3">
        <f>IF(OR(Y20="",13&gt;p_top_tareas),"","   • "&amp;INDEX(tblOrdenes[equipo],Y20)&amp;" — "&amp;INDEX(tblOrdenes[descripcion_operacion],Y20)&amp;" · "&amp;TEXT(INDEX(tblOrdenes[horas_efectivas],Y20),"0.#")&amp;" h · "&amp;IF(INDEX(tblOrdenes[tecnico_asignado],Y20)="","(sin técnico)",INDEX(tblOrdenes[tecnico_asignado],Y20))&amp;IF(INDEX(tblOrdenes[permiso_requerido],Y20)&lt;&gt;""," · permiso de trabajo","")&amp;IF(INDEX(tblOrdenes[bloqueo_energia],Y20)&lt;&gt;""," · bloqueo de energía (LOTO)",""))</f>
        <v/>
      </c>
      <c r="AB20" s="3">
        <f>'TECNICOS'!$B$16</f>
        <v/>
      </c>
      <c r="AC20" s="17">
        <f>SUMPRODUCT($N$8:$N$1207,--(tblOrdenes[tecnico_asignado]=AB20))</f>
        <v/>
      </c>
      <c r="AD20" s="17">
        <f>p_factor_productividad*SUMIFS(tblAsignaciones[horas_disponibles],tblAsignaciones[tecnico],AB20,tblAsignaciones[semana],IF($B$3="(todos)","*",$B$3))</f>
        <v/>
      </c>
      <c r="AE20" s="3">
        <f>IF(AC20&gt;AD20+0.0001,1,0)</f>
        <v/>
      </c>
      <c r="AF20" s="3">
        <f>IF(AE20=1,"   • "&amp;AB20&amp;": "&amp;TEXT(AC20,"0.0")&amp;" h asignadas vs "&amp;TEXT(AD20,"0.0")&amp;" h de capacidad","")</f>
        <v/>
      </c>
      <c r="AG20" s="3">
        <f>IF(SUMPRODUCT($K$8:$K$1207,--(tblOrdenes[tecnico_asignado]=AB20))&gt;0,1,0)</f>
        <v/>
      </c>
    </row>
    <row r="21">
      <c r="K21" s="3">
        <f>IF(AND(IF($B$3="(todos)",TRUE,'ORDENES'!$O17=$B$3),IF($D$3="(todos)",TRUE,'ORDENES'!$AF17=$D$3),IF($F$3="(todos)",TRUE,'ORDENES'!$X17=$F$3),IF($H$3="(todos)",TRUE,'ORDENES'!$W17=$H$3),'ORDENES'!$AD17=TRUE,'ORDENES'!$A17&lt;&gt;""),1,0)</f>
        <v/>
      </c>
      <c r="L21" s="3">
        <f>IF(K21=1,IFERROR(MATCH('ORDENES'!$R17,lista_dias,0),9)*1000000000+IFERROR(MATCH('ORDENES'!$AF17,lista_turnos,0),9)*10000000+IFERROR(MATCH('ORDENES'!$AE17,tblTecnicos[nombre],0),99)*100000+14,9000000000000+14)</f>
        <v/>
      </c>
      <c r="M21" s="3">
        <f>IF(K21=1,SUMPRODUCT(--($L$8:$L$1207&lt;L21))+1,"")</f>
        <v/>
      </c>
      <c r="N21" s="17">
        <f>IF(K21=1,N('ORDENES'!$M17),0)</f>
        <v/>
      </c>
      <c r="O21" s="17">
        <f>IF('ORDENES'!$T17="preventiva",N21,0)</f>
        <v/>
      </c>
      <c r="P21" s="17">
        <f>IF('ORDENES'!$T17="correctiva",N21,0)</f>
        <v/>
      </c>
      <c r="Q21" s="3">
        <f>IF(AND(K21=1,'ORDENES'!$N17="Pendiente"),1,0)</f>
        <v/>
      </c>
      <c r="R21" s="3">
        <f>IF(Q21=1,100000-N21*1000+14*0.01,9000000000000+14)</f>
        <v/>
      </c>
      <c r="S21" s="3">
        <f>IF(Q21=1,SUMPRODUCT(--($R$8:$R$1207&lt;R21))+1,"")</f>
        <v/>
      </c>
      <c r="T21" s="12">
        <f>IF(K21=1,'ORDENES'!$J17,"")</f>
        <v/>
      </c>
      <c r="U21" s="3">
        <f>IFERROR(MATCH(14,$M$8:$M$1207,0),"")</f>
        <v/>
      </c>
      <c r="V21" s="3">
        <f>IF(U21="","",INDEX(tblOrdenes[dia_semana],U21))</f>
        <v/>
      </c>
      <c r="W21" s="3">
        <f>IF(U21="","",IF(V21&lt;&gt;V20,CHAR(10)&amp;UPPER(LEFT(V21,1))&amp;MID(V21,2,20)&amp;":"&amp;CHAR(10),"")&amp;"   "&amp;IF(INDEX(tblOrdenes[turno_asignado],U21)="","(s/t)",INDEX(tblOrdenes[turno_asignado],U21))&amp;" · "&amp;IF(INDEX(tblOrdenes[tecnico_asignado],U21)="","(sin técnico)",INDEX(tblOrdenes[tecnico_asignado],U21))&amp;" · "&amp;INDEX(tblOrdenes[id_operacion],U21)&amp;" — "&amp;INDEX(tblOrdenes[descripcion_operacion],U21)&amp;" ("&amp;TEXT(INDEX(tblOrdenes[horas_efectivas],U21),"0.#")&amp;" h)")</f>
        <v/>
      </c>
      <c r="Y21" s="3">
        <f>IFERROR(MATCH(14,$S$8:$S$1207,0),"")</f>
        <v/>
      </c>
      <c r="Z21" s="3">
        <f>IF(OR(Y21="",14&gt;p_top_tareas),"","   • "&amp;INDEX(tblOrdenes[equipo],Y21)&amp;" — "&amp;INDEX(tblOrdenes[descripcion_operacion],Y21)&amp;" · "&amp;TEXT(INDEX(tblOrdenes[horas_efectivas],Y21),"0.#")&amp;" h · "&amp;IF(INDEX(tblOrdenes[tecnico_asignado],Y21)="","(sin técnico)",INDEX(tblOrdenes[tecnico_asignado],Y21))&amp;IF(INDEX(tblOrdenes[permiso_requerido],Y21)&lt;&gt;""," · permiso de trabajo","")&amp;IF(INDEX(tblOrdenes[bloqueo_energia],Y21)&lt;&gt;""," · bloqueo de energía (LOTO)",""))</f>
        <v/>
      </c>
      <c r="AB21" s="3">
        <f>'TECNICOS'!$B$17</f>
        <v/>
      </c>
      <c r="AC21" s="17">
        <f>SUMPRODUCT($N$8:$N$1207,--(tblOrdenes[tecnico_asignado]=AB21))</f>
        <v/>
      </c>
      <c r="AD21" s="17">
        <f>p_factor_productividad*SUMIFS(tblAsignaciones[horas_disponibles],tblAsignaciones[tecnico],AB21,tblAsignaciones[semana],IF($B$3="(todos)","*",$B$3))</f>
        <v/>
      </c>
      <c r="AE21" s="3">
        <f>IF(AC21&gt;AD21+0.0001,1,0)</f>
        <v/>
      </c>
      <c r="AF21" s="3">
        <f>IF(AE21=1,"   • "&amp;AB21&amp;": "&amp;TEXT(AC21,"0.0")&amp;" h asignadas vs "&amp;TEXT(AD21,"0.0")&amp;" h de capacidad","")</f>
        <v/>
      </c>
      <c r="AG21" s="3">
        <f>IF(SUMPRODUCT($K$8:$K$1207,--(tblOrdenes[tecnico_asignado]=AB21))&gt;0,1,0)</f>
        <v/>
      </c>
    </row>
    <row r="22">
      <c r="K22" s="3">
        <f>IF(AND(IF($B$3="(todos)",TRUE,'ORDENES'!$O18=$B$3),IF($D$3="(todos)",TRUE,'ORDENES'!$AF18=$D$3),IF($F$3="(todos)",TRUE,'ORDENES'!$X18=$F$3),IF($H$3="(todos)",TRUE,'ORDENES'!$W18=$H$3),'ORDENES'!$AD18=TRUE,'ORDENES'!$A18&lt;&gt;""),1,0)</f>
        <v/>
      </c>
      <c r="L22" s="3">
        <f>IF(K22=1,IFERROR(MATCH('ORDENES'!$R18,lista_dias,0),9)*1000000000+IFERROR(MATCH('ORDENES'!$AF18,lista_turnos,0),9)*10000000+IFERROR(MATCH('ORDENES'!$AE18,tblTecnicos[nombre],0),99)*100000+15,9000000000000+15)</f>
        <v/>
      </c>
      <c r="M22" s="3">
        <f>IF(K22=1,SUMPRODUCT(--($L$8:$L$1207&lt;L22))+1,"")</f>
        <v/>
      </c>
      <c r="N22" s="17">
        <f>IF(K22=1,N('ORDENES'!$M18),0)</f>
        <v/>
      </c>
      <c r="O22" s="17">
        <f>IF('ORDENES'!$T18="preventiva",N22,0)</f>
        <v/>
      </c>
      <c r="P22" s="17">
        <f>IF('ORDENES'!$T18="correctiva",N22,0)</f>
        <v/>
      </c>
      <c r="Q22" s="3">
        <f>IF(AND(K22=1,'ORDENES'!$N18="Pendiente"),1,0)</f>
        <v/>
      </c>
      <c r="R22" s="3">
        <f>IF(Q22=1,100000-N22*1000+15*0.01,9000000000000+15)</f>
        <v/>
      </c>
      <c r="S22" s="3">
        <f>IF(Q22=1,SUMPRODUCT(--($R$8:$R$1207&lt;R22))+1,"")</f>
        <v/>
      </c>
      <c r="T22" s="12">
        <f>IF(K22=1,'ORDENES'!$J18,"")</f>
        <v/>
      </c>
      <c r="U22" s="3">
        <f>IFERROR(MATCH(15,$M$8:$M$1207,0),"")</f>
        <v/>
      </c>
      <c r="V22" s="3">
        <f>IF(U22="","",INDEX(tblOrdenes[dia_semana],U22))</f>
        <v/>
      </c>
      <c r="W22" s="3">
        <f>IF(U22="","",IF(V22&lt;&gt;V21,CHAR(10)&amp;UPPER(LEFT(V22,1))&amp;MID(V22,2,20)&amp;":"&amp;CHAR(10),"")&amp;"   "&amp;IF(INDEX(tblOrdenes[turno_asignado],U22)="","(s/t)",INDEX(tblOrdenes[turno_asignado],U22))&amp;" · "&amp;IF(INDEX(tblOrdenes[tecnico_asignado],U22)="","(sin técnico)",INDEX(tblOrdenes[tecnico_asignado],U22))&amp;" · "&amp;INDEX(tblOrdenes[id_operacion],U22)&amp;" — "&amp;INDEX(tblOrdenes[descripcion_operacion],U22)&amp;" ("&amp;TEXT(INDEX(tblOrdenes[horas_efectivas],U22),"0.#")&amp;" h)")</f>
        <v/>
      </c>
      <c r="Y22" s="3">
        <f>IFERROR(MATCH(15,$S$8:$S$1207,0),"")</f>
        <v/>
      </c>
      <c r="Z22" s="3">
        <f>IF(OR(Y22="",15&gt;p_top_tareas),"","   • "&amp;INDEX(tblOrdenes[equipo],Y22)&amp;" — "&amp;INDEX(tblOrdenes[descripcion_operacion],Y22)&amp;" · "&amp;TEXT(INDEX(tblOrdenes[horas_efectivas],Y22),"0.#")&amp;" h · "&amp;IF(INDEX(tblOrdenes[tecnico_asignado],Y22)="","(sin técnico)",INDEX(tblOrdenes[tecnico_asignado],Y22))&amp;IF(INDEX(tblOrdenes[permiso_requerido],Y22)&lt;&gt;""," · permiso de trabajo","")&amp;IF(INDEX(tblOrdenes[bloqueo_energia],Y22)&lt;&gt;""," · bloqueo de energía (LOTO)",""))</f>
        <v/>
      </c>
      <c r="AB22" s="3">
        <f>'TECNICOS'!$B$18</f>
        <v/>
      </c>
      <c r="AC22" s="17">
        <f>SUMPRODUCT($N$8:$N$1207,--(tblOrdenes[tecnico_asignado]=AB22))</f>
        <v/>
      </c>
      <c r="AD22" s="17">
        <f>p_factor_productividad*SUMIFS(tblAsignaciones[horas_disponibles],tblAsignaciones[tecnico],AB22,tblAsignaciones[semana],IF($B$3="(todos)","*",$B$3))</f>
        <v/>
      </c>
      <c r="AE22" s="3">
        <f>IF(AC22&gt;AD22+0.0001,1,0)</f>
        <v/>
      </c>
      <c r="AF22" s="3">
        <f>IF(AE22=1,"   • "&amp;AB22&amp;": "&amp;TEXT(AC22,"0.0")&amp;" h asignadas vs "&amp;TEXT(AD22,"0.0")&amp;" h de capacidad","")</f>
        <v/>
      </c>
      <c r="AG22" s="3">
        <f>IF(SUMPRODUCT($K$8:$K$1207,--(tblOrdenes[tecnico_asignado]=AB22))&gt;0,1,0)</f>
        <v/>
      </c>
    </row>
    <row r="23">
      <c r="K23" s="3">
        <f>IF(AND(IF($B$3="(todos)",TRUE,'ORDENES'!$O19=$B$3),IF($D$3="(todos)",TRUE,'ORDENES'!$AF19=$D$3),IF($F$3="(todos)",TRUE,'ORDENES'!$X19=$F$3),IF($H$3="(todos)",TRUE,'ORDENES'!$W19=$H$3),'ORDENES'!$AD19=TRUE,'ORDENES'!$A19&lt;&gt;""),1,0)</f>
        <v/>
      </c>
      <c r="L23" s="3">
        <f>IF(K23=1,IFERROR(MATCH('ORDENES'!$R19,lista_dias,0),9)*1000000000+IFERROR(MATCH('ORDENES'!$AF19,lista_turnos,0),9)*10000000+IFERROR(MATCH('ORDENES'!$AE19,tblTecnicos[nombre],0),99)*100000+16,9000000000000+16)</f>
        <v/>
      </c>
      <c r="M23" s="3">
        <f>IF(K23=1,SUMPRODUCT(--($L$8:$L$1207&lt;L23))+1,"")</f>
        <v/>
      </c>
      <c r="N23" s="17">
        <f>IF(K23=1,N('ORDENES'!$M19),0)</f>
        <v/>
      </c>
      <c r="O23" s="17">
        <f>IF('ORDENES'!$T19="preventiva",N23,0)</f>
        <v/>
      </c>
      <c r="P23" s="17">
        <f>IF('ORDENES'!$T19="correctiva",N23,0)</f>
        <v/>
      </c>
      <c r="Q23" s="3">
        <f>IF(AND(K23=1,'ORDENES'!$N19="Pendiente"),1,0)</f>
        <v/>
      </c>
      <c r="R23" s="3">
        <f>IF(Q23=1,100000-N23*1000+16*0.01,9000000000000+16)</f>
        <v/>
      </c>
      <c r="S23" s="3">
        <f>IF(Q23=1,SUMPRODUCT(--($R$8:$R$1207&lt;R23))+1,"")</f>
        <v/>
      </c>
      <c r="T23" s="12">
        <f>IF(K23=1,'ORDENES'!$J19,"")</f>
        <v/>
      </c>
      <c r="U23" s="3">
        <f>IFERROR(MATCH(16,$M$8:$M$1207,0),"")</f>
        <v/>
      </c>
      <c r="V23" s="3">
        <f>IF(U23="","",INDEX(tblOrdenes[dia_semana],U23))</f>
        <v/>
      </c>
      <c r="W23" s="3">
        <f>IF(U23="","",IF(V23&lt;&gt;V22,CHAR(10)&amp;UPPER(LEFT(V23,1))&amp;MID(V23,2,20)&amp;":"&amp;CHAR(10),"")&amp;"   "&amp;IF(INDEX(tblOrdenes[turno_asignado],U23)="","(s/t)",INDEX(tblOrdenes[turno_asignado],U23))&amp;" · "&amp;IF(INDEX(tblOrdenes[tecnico_asignado],U23)="","(sin técnico)",INDEX(tblOrdenes[tecnico_asignado],U23))&amp;" · "&amp;INDEX(tblOrdenes[id_operacion],U23)&amp;" — "&amp;INDEX(tblOrdenes[descripcion_operacion],U23)&amp;" ("&amp;TEXT(INDEX(tblOrdenes[horas_efectivas],U23),"0.#")&amp;" h)")</f>
        <v/>
      </c>
      <c r="Y23" s="3">
        <f>IFERROR(MATCH(16,$S$8:$S$1207,0),"")</f>
        <v/>
      </c>
      <c r="Z23" s="3">
        <f>IF(OR(Y23="",16&gt;p_top_tareas),"","   • "&amp;INDEX(tblOrdenes[equipo],Y23)&amp;" — "&amp;INDEX(tblOrdenes[descripcion_operacion],Y23)&amp;" · "&amp;TEXT(INDEX(tblOrdenes[horas_efectivas],Y23),"0.#")&amp;" h · "&amp;IF(INDEX(tblOrdenes[tecnico_asignado],Y23)="","(sin técnico)",INDEX(tblOrdenes[tecnico_asignado],Y23))&amp;IF(INDEX(tblOrdenes[permiso_requerido],Y23)&lt;&gt;""," · permiso de trabajo","")&amp;IF(INDEX(tblOrdenes[bloqueo_energia],Y23)&lt;&gt;""," · bloqueo de energía (LOTO)",""))</f>
        <v/>
      </c>
      <c r="AB23" s="3">
        <f>'TECNICOS'!$B$19</f>
        <v/>
      </c>
      <c r="AC23" s="17">
        <f>SUMPRODUCT($N$8:$N$1207,--(tblOrdenes[tecnico_asignado]=AB23))</f>
        <v/>
      </c>
      <c r="AD23" s="17">
        <f>p_factor_productividad*SUMIFS(tblAsignaciones[horas_disponibles],tblAsignaciones[tecnico],AB23,tblAsignaciones[semana],IF($B$3="(todos)","*",$B$3))</f>
        <v/>
      </c>
      <c r="AE23" s="3">
        <f>IF(AC23&gt;AD23+0.0001,1,0)</f>
        <v/>
      </c>
      <c r="AF23" s="3">
        <f>IF(AE23=1,"   • "&amp;AB23&amp;": "&amp;TEXT(AC23,"0.0")&amp;" h asignadas vs "&amp;TEXT(AD23,"0.0")&amp;" h de capacidad","")</f>
        <v/>
      </c>
      <c r="AG23" s="3">
        <f>IF(SUMPRODUCT($K$8:$K$1207,--(tblOrdenes[tecnico_asignado]=AB23))&gt;0,1,0)</f>
        <v/>
      </c>
    </row>
    <row r="24">
      <c r="K24" s="3">
        <f>IF(AND(IF($B$3="(todos)",TRUE,'ORDENES'!$O20=$B$3),IF($D$3="(todos)",TRUE,'ORDENES'!$AF20=$D$3),IF($F$3="(todos)",TRUE,'ORDENES'!$X20=$F$3),IF($H$3="(todos)",TRUE,'ORDENES'!$W20=$H$3),'ORDENES'!$AD20=TRUE,'ORDENES'!$A20&lt;&gt;""),1,0)</f>
        <v/>
      </c>
      <c r="L24" s="3">
        <f>IF(K24=1,IFERROR(MATCH('ORDENES'!$R20,lista_dias,0),9)*1000000000+IFERROR(MATCH('ORDENES'!$AF20,lista_turnos,0),9)*10000000+IFERROR(MATCH('ORDENES'!$AE20,tblTecnicos[nombre],0),99)*100000+17,9000000000000+17)</f>
        <v/>
      </c>
      <c r="M24" s="3">
        <f>IF(K24=1,SUMPRODUCT(--($L$8:$L$1207&lt;L24))+1,"")</f>
        <v/>
      </c>
      <c r="N24" s="17">
        <f>IF(K24=1,N('ORDENES'!$M20),0)</f>
        <v/>
      </c>
      <c r="O24" s="17">
        <f>IF('ORDENES'!$T20="preventiva",N24,0)</f>
        <v/>
      </c>
      <c r="P24" s="17">
        <f>IF('ORDENES'!$T20="correctiva",N24,0)</f>
        <v/>
      </c>
      <c r="Q24" s="3">
        <f>IF(AND(K24=1,'ORDENES'!$N20="Pendiente"),1,0)</f>
        <v/>
      </c>
      <c r="R24" s="3">
        <f>IF(Q24=1,100000-N24*1000+17*0.01,9000000000000+17)</f>
        <v/>
      </c>
      <c r="S24" s="3">
        <f>IF(Q24=1,SUMPRODUCT(--($R$8:$R$1207&lt;R24))+1,"")</f>
        <v/>
      </c>
      <c r="T24" s="12">
        <f>IF(K24=1,'ORDENES'!$J20,"")</f>
        <v/>
      </c>
      <c r="U24" s="3">
        <f>IFERROR(MATCH(17,$M$8:$M$1207,0),"")</f>
        <v/>
      </c>
      <c r="V24" s="3">
        <f>IF(U24="","",INDEX(tblOrdenes[dia_semana],U24))</f>
        <v/>
      </c>
      <c r="W24" s="3">
        <f>IF(U24="","",IF(V24&lt;&gt;V23,CHAR(10)&amp;UPPER(LEFT(V24,1))&amp;MID(V24,2,20)&amp;":"&amp;CHAR(10),"")&amp;"   "&amp;IF(INDEX(tblOrdenes[turno_asignado],U24)="","(s/t)",INDEX(tblOrdenes[turno_asignado],U24))&amp;" · "&amp;IF(INDEX(tblOrdenes[tecnico_asignado],U24)="","(sin técnico)",INDEX(tblOrdenes[tecnico_asignado],U24))&amp;" · "&amp;INDEX(tblOrdenes[id_operacion],U24)&amp;" — "&amp;INDEX(tblOrdenes[descripcion_operacion],U24)&amp;" ("&amp;TEXT(INDEX(tblOrdenes[horas_efectivas],U24),"0.#")&amp;" h)")</f>
        <v/>
      </c>
      <c r="Y24" s="3">
        <f>IFERROR(MATCH(17,$S$8:$S$1207,0),"")</f>
        <v/>
      </c>
      <c r="Z24" s="3">
        <f>IF(OR(Y24="",17&gt;p_top_tareas),"","   • "&amp;INDEX(tblOrdenes[equipo],Y24)&amp;" — "&amp;INDEX(tblOrdenes[descripcion_operacion],Y24)&amp;" · "&amp;TEXT(INDEX(tblOrdenes[horas_efectivas],Y24),"0.#")&amp;" h · "&amp;IF(INDEX(tblOrdenes[tecnico_asignado],Y24)="","(sin técnico)",INDEX(tblOrdenes[tecnico_asignado],Y24))&amp;IF(INDEX(tblOrdenes[permiso_requerido],Y24)&lt;&gt;""," · permiso de trabajo","")&amp;IF(INDEX(tblOrdenes[bloqueo_energia],Y24)&lt;&gt;""," · bloqueo de energía (LOTO)",""))</f>
        <v/>
      </c>
    </row>
    <row r="25">
      <c r="K25" s="3">
        <f>IF(AND(IF($B$3="(todos)",TRUE,'ORDENES'!$O21=$B$3),IF($D$3="(todos)",TRUE,'ORDENES'!$AF21=$D$3),IF($F$3="(todos)",TRUE,'ORDENES'!$X21=$F$3),IF($H$3="(todos)",TRUE,'ORDENES'!$W21=$H$3),'ORDENES'!$AD21=TRUE,'ORDENES'!$A21&lt;&gt;""),1,0)</f>
        <v/>
      </c>
      <c r="L25" s="3">
        <f>IF(K25=1,IFERROR(MATCH('ORDENES'!$R21,lista_dias,0),9)*1000000000+IFERROR(MATCH('ORDENES'!$AF21,lista_turnos,0),9)*10000000+IFERROR(MATCH('ORDENES'!$AE21,tblTecnicos[nombre],0),99)*100000+18,9000000000000+18)</f>
        <v/>
      </c>
      <c r="M25" s="3">
        <f>IF(K25=1,SUMPRODUCT(--($L$8:$L$1207&lt;L25))+1,"")</f>
        <v/>
      </c>
      <c r="N25" s="17">
        <f>IF(K25=1,N('ORDENES'!$M21),0)</f>
        <v/>
      </c>
      <c r="O25" s="17">
        <f>IF('ORDENES'!$T21="preventiva",N25,0)</f>
        <v/>
      </c>
      <c r="P25" s="17">
        <f>IF('ORDENES'!$T21="correctiva",N25,0)</f>
        <v/>
      </c>
      <c r="Q25" s="3">
        <f>IF(AND(K25=1,'ORDENES'!$N21="Pendiente"),1,0)</f>
        <v/>
      </c>
      <c r="R25" s="3">
        <f>IF(Q25=1,100000-N25*1000+18*0.01,9000000000000+18)</f>
        <v/>
      </c>
      <c r="S25" s="3">
        <f>IF(Q25=1,SUMPRODUCT(--($R$8:$R$1207&lt;R25))+1,"")</f>
        <v/>
      </c>
      <c r="T25" s="12">
        <f>IF(K25=1,'ORDENES'!$J21,"")</f>
        <v/>
      </c>
      <c r="U25" s="3">
        <f>IFERROR(MATCH(18,$M$8:$M$1207,0),"")</f>
        <v/>
      </c>
      <c r="V25" s="3">
        <f>IF(U25="","",INDEX(tblOrdenes[dia_semana],U25))</f>
        <v/>
      </c>
      <c r="W25" s="3">
        <f>IF(U25="","",IF(V25&lt;&gt;V24,CHAR(10)&amp;UPPER(LEFT(V25,1))&amp;MID(V25,2,20)&amp;":"&amp;CHAR(10),"")&amp;"   "&amp;IF(INDEX(tblOrdenes[turno_asignado],U25)="","(s/t)",INDEX(tblOrdenes[turno_asignado],U25))&amp;" · "&amp;IF(INDEX(tblOrdenes[tecnico_asignado],U25)="","(sin técnico)",INDEX(tblOrdenes[tecnico_asignado],U25))&amp;" · "&amp;INDEX(tblOrdenes[id_operacion],U25)&amp;" — "&amp;INDEX(tblOrdenes[descripcion_operacion],U25)&amp;" ("&amp;TEXT(INDEX(tblOrdenes[horas_efectivas],U25),"0.#")&amp;" h)")</f>
        <v/>
      </c>
      <c r="Y25" s="3">
        <f>IFERROR(MATCH(18,$S$8:$S$1207,0),"")</f>
        <v/>
      </c>
      <c r="Z25" s="3">
        <f>IF(OR(Y25="",18&gt;p_top_tareas),"","   • "&amp;INDEX(tblOrdenes[equipo],Y25)&amp;" — "&amp;INDEX(tblOrdenes[descripcion_operacion],Y25)&amp;" · "&amp;TEXT(INDEX(tblOrdenes[horas_efectivas],Y25),"0.#")&amp;" h · "&amp;IF(INDEX(tblOrdenes[tecnico_asignado],Y25)="","(sin técnico)",INDEX(tblOrdenes[tecnico_asignado],Y25))&amp;IF(INDEX(tblOrdenes[permiso_requerido],Y25)&lt;&gt;""," · permiso de trabajo","")&amp;IF(INDEX(tblOrdenes[bloqueo_energia],Y25)&lt;&gt;""," · bloqueo de energía (LOTO)",""))</f>
        <v/>
      </c>
    </row>
    <row r="26">
      <c r="K26" s="3">
        <f>IF(AND(IF($B$3="(todos)",TRUE,'ORDENES'!$O22=$B$3),IF($D$3="(todos)",TRUE,'ORDENES'!$AF22=$D$3),IF($F$3="(todos)",TRUE,'ORDENES'!$X22=$F$3),IF($H$3="(todos)",TRUE,'ORDENES'!$W22=$H$3),'ORDENES'!$AD22=TRUE,'ORDENES'!$A22&lt;&gt;""),1,0)</f>
        <v/>
      </c>
      <c r="L26" s="3">
        <f>IF(K26=1,IFERROR(MATCH('ORDENES'!$R22,lista_dias,0),9)*1000000000+IFERROR(MATCH('ORDENES'!$AF22,lista_turnos,0),9)*10000000+IFERROR(MATCH('ORDENES'!$AE22,tblTecnicos[nombre],0),99)*100000+19,9000000000000+19)</f>
        <v/>
      </c>
      <c r="M26" s="3">
        <f>IF(K26=1,SUMPRODUCT(--($L$8:$L$1207&lt;L26))+1,"")</f>
        <v/>
      </c>
      <c r="N26" s="17">
        <f>IF(K26=1,N('ORDENES'!$M22),0)</f>
        <v/>
      </c>
      <c r="O26" s="17">
        <f>IF('ORDENES'!$T22="preventiva",N26,0)</f>
        <v/>
      </c>
      <c r="P26" s="17">
        <f>IF('ORDENES'!$T22="correctiva",N26,0)</f>
        <v/>
      </c>
      <c r="Q26" s="3">
        <f>IF(AND(K26=1,'ORDENES'!$N22="Pendiente"),1,0)</f>
        <v/>
      </c>
      <c r="R26" s="3">
        <f>IF(Q26=1,100000-N26*1000+19*0.01,9000000000000+19)</f>
        <v/>
      </c>
      <c r="S26" s="3">
        <f>IF(Q26=1,SUMPRODUCT(--($R$8:$R$1207&lt;R26))+1,"")</f>
        <v/>
      </c>
      <c r="T26" s="12">
        <f>IF(K26=1,'ORDENES'!$J22,"")</f>
        <v/>
      </c>
      <c r="U26" s="3">
        <f>IFERROR(MATCH(19,$M$8:$M$1207,0),"")</f>
        <v/>
      </c>
      <c r="V26" s="3">
        <f>IF(U26="","",INDEX(tblOrdenes[dia_semana],U26))</f>
        <v/>
      </c>
      <c r="W26" s="3">
        <f>IF(U26="","",IF(V26&lt;&gt;V25,CHAR(10)&amp;UPPER(LEFT(V26,1))&amp;MID(V26,2,20)&amp;":"&amp;CHAR(10),"")&amp;"   "&amp;IF(INDEX(tblOrdenes[turno_asignado],U26)="","(s/t)",INDEX(tblOrdenes[turno_asignado],U26))&amp;" · "&amp;IF(INDEX(tblOrdenes[tecnico_asignado],U26)="","(sin técnico)",INDEX(tblOrdenes[tecnico_asignado],U26))&amp;" · "&amp;INDEX(tblOrdenes[id_operacion],U26)&amp;" — "&amp;INDEX(tblOrdenes[descripcion_operacion],U26)&amp;" ("&amp;TEXT(INDEX(tblOrdenes[horas_efectivas],U26),"0.#")&amp;" h)")</f>
        <v/>
      </c>
      <c r="Y26" s="3">
        <f>IFERROR(MATCH(19,$S$8:$S$1207,0),"")</f>
        <v/>
      </c>
      <c r="Z26" s="3">
        <f>IF(OR(Y26="",19&gt;p_top_tareas),"","   • "&amp;INDEX(tblOrdenes[equipo],Y26)&amp;" — "&amp;INDEX(tblOrdenes[descripcion_operacion],Y26)&amp;" · "&amp;TEXT(INDEX(tblOrdenes[horas_efectivas],Y26),"0.#")&amp;" h · "&amp;IF(INDEX(tblOrdenes[tecnico_asignado],Y26)="","(sin técnico)",INDEX(tblOrdenes[tecnico_asignado],Y26))&amp;IF(INDEX(tblOrdenes[permiso_requerido],Y26)&lt;&gt;""," · permiso de trabajo","")&amp;IF(INDEX(tblOrdenes[bloqueo_energia],Y26)&lt;&gt;""," · bloqueo de energía (LOTO)",""))</f>
        <v/>
      </c>
    </row>
    <row r="27">
      <c r="K27" s="3">
        <f>IF(AND(IF($B$3="(todos)",TRUE,'ORDENES'!$O23=$B$3),IF($D$3="(todos)",TRUE,'ORDENES'!$AF23=$D$3),IF($F$3="(todos)",TRUE,'ORDENES'!$X23=$F$3),IF($H$3="(todos)",TRUE,'ORDENES'!$W23=$H$3),'ORDENES'!$AD23=TRUE,'ORDENES'!$A23&lt;&gt;""),1,0)</f>
        <v/>
      </c>
      <c r="L27" s="3">
        <f>IF(K27=1,IFERROR(MATCH('ORDENES'!$R23,lista_dias,0),9)*1000000000+IFERROR(MATCH('ORDENES'!$AF23,lista_turnos,0),9)*10000000+IFERROR(MATCH('ORDENES'!$AE23,tblTecnicos[nombre],0),99)*100000+20,9000000000000+20)</f>
        <v/>
      </c>
      <c r="M27" s="3">
        <f>IF(K27=1,SUMPRODUCT(--($L$8:$L$1207&lt;L27))+1,"")</f>
        <v/>
      </c>
      <c r="N27" s="17">
        <f>IF(K27=1,N('ORDENES'!$M23),0)</f>
        <v/>
      </c>
      <c r="O27" s="17">
        <f>IF('ORDENES'!$T23="preventiva",N27,0)</f>
        <v/>
      </c>
      <c r="P27" s="17">
        <f>IF('ORDENES'!$T23="correctiva",N27,0)</f>
        <v/>
      </c>
      <c r="Q27" s="3">
        <f>IF(AND(K27=1,'ORDENES'!$N23="Pendiente"),1,0)</f>
        <v/>
      </c>
      <c r="R27" s="3">
        <f>IF(Q27=1,100000-N27*1000+20*0.01,9000000000000+20)</f>
        <v/>
      </c>
      <c r="S27" s="3">
        <f>IF(Q27=1,SUMPRODUCT(--($R$8:$R$1207&lt;R27))+1,"")</f>
        <v/>
      </c>
      <c r="T27" s="12">
        <f>IF(K27=1,'ORDENES'!$J23,"")</f>
        <v/>
      </c>
      <c r="U27" s="3">
        <f>IFERROR(MATCH(20,$M$8:$M$1207,0),"")</f>
        <v/>
      </c>
      <c r="V27" s="3">
        <f>IF(U27="","",INDEX(tblOrdenes[dia_semana],U27))</f>
        <v/>
      </c>
      <c r="W27" s="3">
        <f>IF(U27="","",IF(V27&lt;&gt;V26,CHAR(10)&amp;UPPER(LEFT(V27,1))&amp;MID(V27,2,20)&amp;":"&amp;CHAR(10),"")&amp;"   "&amp;IF(INDEX(tblOrdenes[turno_asignado],U27)="","(s/t)",INDEX(tblOrdenes[turno_asignado],U27))&amp;" · "&amp;IF(INDEX(tblOrdenes[tecnico_asignado],U27)="","(sin técnico)",INDEX(tblOrdenes[tecnico_asignado],U27))&amp;" · "&amp;INDEX(tblOrdenes[id_operacion],U27)&amp;" — "&amp;INDEX(tblOrdenes[descripcion_operacion],U27)&amp;" ("&amp;TEXT(INDEX(tblOrdenes[horas_efectivas],U27),"0.#")&amp;" h)")</f>
        <v/>
      </c>
      <c r="Y27" s="3">
        <f>IFERROR(MATCH(20,$S$8:$S$1207,0),"")</f>
        <v/>
      </c>
      <c r="Z27" s="3">
        <f>IF(OR(Y27="",20&gt;p_top_tareas),"","   • "&amp;INDEX(tblOrdenes[equipo],Y27)&amp;" — "&amp;INDEX(tblOrdenes[descripcion_operacion],Y27)&amp;" · "&amp;TEXT(INDEX(tblOrdenes[horas_efectivas],Y27),"0.#")&amp;" h · "&amp;IF(INDEX(tblOrdenes[tecnico_asignado],Y27)="","(sin técnico)",INDEX(tblOrdenes[tecnico_asignado],Y27))&amp;IF(INDEX(tblOrdenes[permiso_requerido],Y27)&lt;&gt;""," · permiso de trabajo","")&amp;IF(INDEX(tblOrdenes[bloqueo_energia],Y27)&lt;&gt;""," · bloqueo de energía (LOTO)",""))</f>
        <v/>
      </c>
    </row>
    <row r="28">
      <c r="K28" s="3">
        <f>IF(AND(IF($B$3="(todos)",TRUE,'ORDENES'!$O24=$B$3),IF($D$3="(todos)",TRUE,'ORDENES'!$AF24=$D$3),IF($F$3="(todos)",TRUE,'ORDENES'!$X24=$F$3),IF($H$3="(todos)",TRUE,'ORDENES'!$W24=$H$3),'ORDENES'!$AD24=TRUE,'ORDENES'!$A24&lt;&gt;""),1,0)</f>
        <v/>
      </c>
      <c r="L28" s="3">
        <f>IF(K28=1,IFERROR(MATCH('ORDENES'!$R24,lista_dias,0),9)*1000000000+IFERROR(MATCH('ORDENES'!$AF24,lista_turnos,0),9)*10000000+IFERROR(MATCH('ORDENES'!$AE24,tblTecnicos[nombre],0),99)*100000+21,9000000000000+21)</f>
        <v/>
      </c>
      <c r="M28" s="3">
        <f>IF(K28=1,SUMPRODUCT(--($L$8:$L$1207&lt;L28))+1,"")</f>
        <v/>
      </c>
      <c r="N28" s="17">
        <f>IF(K28=1,N('ORDENES'!$M24),0)</f>
        <v/>
      </c>
      <c r="O28" s="17">
        <f>IF('ORDENES'!$T24="preventiva",N28,0)</f>
        <v/>
      </c>
      <c r="P28" s="17">
        <f>IF('ORDENES'!$T24="correctiva",N28,0)</f>
        <v/>
      </c>
      <c r="Q28" s="3">
        <f>IF(AND(K28=1,'ORDENES'!$N24="Pendiente"),1,0)</f>
        <v/>
      </c>
      <c r="R28" s="3">
        <f>IF(Q28=1,100000-N28*1000+21*0.01,9000000000000+21)</f>
        <v/>
      </c>
      <c r="S28" s="3">
        <f>IF(Q28=1,SUMPRODUCT(--($R$8:$R$1207&lt;R28))+1,"")</f>
        <v/>
      </c>
      <c r="T28" s="12">
        <f>IF(K28=1,'ORDENES'!$J24,"")</f>
        <v/>
      </c>
      <c r="U28" s="3">
        <f>IFERROR(MATCH(21,$M$8:$M$1207,0),"")</f>
        <v/>
      </c>
      <c r="V28" s="3">
        <f>IF(U28="","",INDEX(tblOrdenes[dia_semana],U28))</f>
        <v/>
      </c>
      <c r="W28" s="3">
        <f>IF(U28="","",IF(V28&lt;&gt;V27,CHAR(10)&amp;UPPER(LEFT(V28,1))&amp;MID(V28,2,20)&amp;":"&amp;CHAR(10),"")&amp;"   "&amp;IF(INDEX(tblOrdenes[turno_asignado],U28)="","(s/t)",INDEX(tblOrdenes[turno_asignado],U28))&amp;" · "&amp;IF(INDEX(tblOrdenes[tecnico_asignado],U28)="","(sin técnico)",INDEX(tblOrdenes[tecnico_asignado],U28))&amp;" · "&amp;INDEX(tblOrdenes[id_operacion],U28)&amp;" — "&amp;INDEX(tblOrdenes[descripcion_operacion],U28)&amp;" ("&amp;TEXT(INDEX(tblOrdenes[horas_efectivas],U28),"0.#")&amp;" h)")</f>
        <v/>
      </c>
    </row>
    <row r="29">
      <c r="K29" s="3">
        <f>IF(AND(IF($B$3="(todos)",TRUE,'ORDENES'!$O25=$B$3),IF($D$3="(todos)",TRUE,'ORDENES'!$AF25=$D$3),IF($F$3="(todos)",TRUE,'ORDENES'!$X25=$F$3),IF($H$3="(todos)",TRUE,'ORDENES'!$W25=$H$3),'ORDENES'!$AD25=TRUE,'ORDENES'!$A25&lt;&gt;""),1,0)</f>
        <v/>
      </c>
      <c r="L29" s="3">
        <f>IF(K29=1,IFERROR(MATCH('ORDENES'!$R25,lista_dias,0),9)*1000000000+IFERROR(MATCH('ORDENES'!$AF25,lista_turnos,0),9)*10000000+IFERROR(MATCH('ORDENES'!$AE25,tblTecnicos[nombre],0),99)*100000+22,9000000000000+22)</f>
        <v/>
      </c>
      <c r="M29" s="3">
        <f>IF(K29=1,SUMPRODUCT(--($L$8:$L$1207&lt;L29))+1,"")</f>
        <v/>
      </c>
      <c r="N29" s="17">
        <f>IF(K29=1,N('ORDENES'!$M25),0)</f>
        <v/>
      </c>
      <c r="O29" s="17">
        <f>IF('ORDENES'!$T25="preventiva",N29,0)</f>
        <v/>
      </c>
      <c r="P29" s="17">
        <f>IF('ORDENES'!$T25="correctiva",N29,0)</f>
        <v/>
      </c>
      <c r="Q29" s="3">
        <f>IF(AND(K29=1,'ORDENES'!$N25="Pendiente"),1,0)</f>
        <v/>
      </c>
      <c r="R29" s="3">
        <f>IF(Q29=1,100000-N29*1000+22*0.01,9000000000000+22)</f>
        <v/>
      </c>
      <c r="S29" s="3">
        <f>IF(Q29=1,SUMPRODUCT(--($R$8:$R$1207&lt;R29))+1,"")</f>
        <v/>
      </c>
      <c r="T29" s="12">
        <f>IF(K29=1,'ORDENES'!$J25,"")</f>
        <v/>
      </c>
      <c r="U29" s="3">
        <f>IFERROR(MATCH(22,$M$8:$M$1207,0),"")</f>
        <v/>
      </c>
      <c r="V29" s="3">
        <f>IF(U29="","",INDEX(tblOrdenes[dia_semana],U29))</f>
        <v/>
      </c>
      <c r="W29" s="3">
        <f>IF(U29="","",IF(V29&lt;&gt;V28,CHAR(10)&amp;UPPER(LEFT(V29,1))&amp;MID(V29,2,20)&amp;":"&amp;CHAR(10),"")&amp;"   "&amp;IF(INDEX(tblOrdenes[turno_asignado],U29)="","(s/t)",INDEX(tblOrdenes[turno_asignado],U29))&amp;" · "&amp;IF(INDEX(tblOrdenes[tecnico_asignado],U29)="","(sin técnico)",INDEX(tblOrdenes[tecnico_asignado],U29))&amp;" · "&amp;INDEX(tblOrdenes[id_operacion],U29)&amp;" — "&amp;INDEX(tblOrdenes[descripcion_operacion],U29)&amp;" ("&amp;TEXT(INDEX(tblOrdenes[horas_efectivas],U29),"0.#")&amp;" h)")</f>
        <v/>
      </c>
    </row>
    <row r="30">
      <c r="K30" s="3">
        <f>IF(AND(IF($B$3="(todos)",TRUE,'ORDENES'!$O26=$B$3),IF($D$3="(todos)",TRUE,'ORDENES'!$AF26=$D$3),IF($F$3="(todos)",TRUE,'ORDENES'!$X26=$F$3),IF($H$3="(todos)",TRUE,'ORDENES'!$W26=$H$3),'ORDENES'!$AD26=TRUE,'ORDENES'!$A26&lt;&gt;""),1,0)</f>
        <v/>
      </c>
      <c r="L30" s="3">
        <f>IF(K30=1,IFERROR(MATCH('ORDENES'!$R26,lista_dias,0),9)*1000000000+IFERROR(MATCH('ORDENES'!$AF26,lista_turnos,0),9)*10000000+IFERROR(MATCH('ORDENES'!$AE26,tblTecnicos[nombre],0),99)*100000+23,9000000000000+23)</f>
        <v/>
      </c>
      <c r="M30" s="3">
        <f>IF(K30=1,SUMPRODUCT(--($L$8:$L$1207&lt;L30))+1,"")</f>
        <v/>
      </c>
      <c r="N30" s="17">
        <f>IF(K30=1,N('ORDENES'!$M26),0)</f>
        <v/>
      </c>
      <c r="O30" s="17">
        <f>IF('ORDENES'!$T26="preventiva",N30,0)</f>
        <v/>
      </c>
      <c r="P30" s="17">
        <f>IF('ORDENES'!$T26="correctiva",N30,0)</f>
        <v/>
      </c>
      <c r="Q30" s="3">
        <f>IF(AND(K30=1,'ORDENES'!$N26="Pendiente"),1,0)</f>
        <v/>
      </c>
      <c r="R30" s="3">
        <f>IF(Q30=1,100000-N30*1000+23*0.01,9000000000000+23)</f>
        <v/>
      </c>
      <c r="S30" s="3">
        <f>IF(Q30=1,SUMPRODUCT(--($R$8:$R$1207&lt;R30))+1,"")</f>
        <v/>
      </c>
      <c r="T30" s="12">
        <f>IF(K30=1,'ORDENES'!$J26,"")</f>
        <v/>
      </c>
      <c r="U30" s="3">
        <f>IFERROR(MATCH(23,$M$8:$M$1207,0),"")</f>
        <v/>
      </c>
      <c r="V30" s="3">
        <f>IF(U30="","",INDEX(tblOrdenes[dia_semana],U30))</f>
        <v/>
      </c>
      <c r="W30" s="3">
        <f>IF(U30="","",IF(V30&lt;&gt;V29,CHAR(10)&amp;UPPER(LEFT(V30,1))&amp;MID(V30,2,20)&amp;":"&amp;CHAR(10),"")&amp;"   "&amp;IF(INDEX(tblOrdenes[turno_asignado],U30)="","(s/t)",INDEX(tblOrdenes[turno_asignado],U30))&amp;" · "&amp;IF(INDEX(tblOrdenes[tecnico_asignado],U30)="","(sin técnico)",INDEX(tblOrdenes[tecnico_asignado],U30))&amp;" · "&amp;INDEX(tblOrdenes[id_operacion],U30)&amp;" — "&amp;INDEX(tblOrdenes[descripcion_operacion],U30)&amp;" ("&amp;TEXT(INDEX(tblOrdenes[horas_efectivas],U30),"0.#")&amp;" h)")</f>
        <v/>
      </c>
    </row>
    <row r="31">
      <c r="K31" s="3">
        <f>IF(AND(IF($B$3="(todos)",TRUE,'ORDENES'!$O27=$B$3),IF($D$3="(todos)",TRUE,'ORDENES'!$AF27=$D$3),IF($F$3="(todos)",TRUE,'ORDENES'!$X27=$F$3),IF($H$3="(todos)",TRUE,'ORDENES'!$W27=$H$3),'ORDENES'!$AD27=TRUE,'ORDENES'!$A27&lt;&gt;""),1,0)</f>
        <v/>
      </c>
      <c r="L31" s="3">
        <f>IF(K31=1,IFERROR(MATCH('ORDENES'!$R27,lista_dias,0),9)*1000000000+IFERROR(MATCH('ORDENES'!$AF27,lista_turnos,0),9)*10000000+IFERROR(MATCH('ORDENES'!$AE27,tblTecnicos[nombre],0),99)*100000+24,9000000000000+24)</f>
        <v/>
      </c>
      <c r="M31" s="3">
        <f>IF(K31=1,SUMPRODUCT(--($L$8:$L$1207&lt;L31))+1,"")</f>
        <v/>
      </c>
      <c r="N31" s="17">
        <f>IF(K31=1,N('ORDENES'!$M27),0)</f>
        <v/>
      </c>
      <c r="O31" s="17">
        <f>IF('ORDENES'!$T27="preventiva",N31,0)</f>
        <v/>
      </c>
      <c r="P31" s="17">
        <f>IF('ORDENES'!$T27="correctiva",N31,0)</f>
        <v/>
      </c>
      <c r="Q31" s="3">
        <f>IF(AND(K31=1,'ORDENES'!$N27="Pendiente"),1,0)</f>
        <v/>
      </c>
      <c r="R31" s="3">
        <f>IF(Q31=1,100000-N31*1000+24*0.01,9000000000000+24)</f>
        <v/>
      </c>
      <c r="S31" s="3">
        <f>IF(Q31=1,SUMPRODUCT(--($R$8:$R$1207&lt;R31))+1,"")</f>
        <v/>
      </c>
      <c r="T31" s="12">
        <f>IF(K31=1,'ORDENES'!$J27,"")</f>
        <v/>
      </c>
      <c r="U31" s="3">
        <f>IFERROR(MATCH(24,$M$8:$M$1207,0),"")</f>
        <v/>
      </c>
      <c r="V31" s="3">
        <f>IF(U31="","",INDEX(tblOrdenes[dia_semana],U31))</f>
        <v/>
      </c>
      <c r="W31" s="3">
        <f>IF(U31="","",IF(V31&lt;&gt;V30,CHAR(10)&amp;UPPER(LEFT(V31,1))&amp;MID(V31,2,20)&amp;":"&amp;CHAR(10),"")&amp;"   "&amp;IF(INDEX(tblOrdenes[turno_asignado],U31)="","(s/t)",INDEX(tblOrdenes[turno_asignado],U31))&amp;" · "&amp;IF(INDEX(tblOrdenes[tecnico_asignado],U31)="","(sin técnico)",INDEX(tblOrdenes[tecnico_asignado],U31))&amp;" · "&amp;INDEX(tblOrdenes[id_operacion],U31)&amp;" — "&amp;INDEX(tblOrdenes[descripcion_operacion],U31)&amp;" ("&amp;TEXT(INDEX(tblOrdenes[horas_efectivas],U31),"0.#")&amp;" h)")</f>
        <v/>
      </c>
    </row>
    <row r="32">
      <c r="K32" s="3">
        <f>IF(AND(IF($B$3="(todos)",TRUE,'ORDENES'!$O28=$B$3),IF($D$3="(todos)",TRUE,'ORDENES'!$AF28=$D$3),IF($F$3="(todos)",TRUE,'ORDENES'!$X28=$F$3),IF($H$3="(todos)",TRUE,'ORDENES'!$W28=$H$3),'ORDENES'!$AD28=TRUE,'ORDENES'!$A28&lt;&gt;""),1,0)</f>
        <v/>
      </c>
      <c r="L32" s="3">
        <f>IF(K32=1,IFERROR(MATCH('ORDENES'!$R28,lista_dias,0),9)*1000000000+IFERROR(MATCH('ORDENES'!$AF28,lista_turnos,0),9)*10000000+IFERROR(MATCH('ORDENES'!$AE28,tblTecnicos[nombre],0),99)*100000+25,9000000000000+25)</f>
        <v/>
      </c>
      <c r="M32" s="3">
        <f>IF(K32=1,SUMPRODUCT(--($L$8:$L$1207&lt;L32))+1,"")</f>
        <v/>
      </c>
      <c r="N32" s="17">
        <f>IF(K32=1,N('ORDENES'!$M28),0)</f>
        <v/>
      </c>
      <c r="O32" s="17">
        <f>IF('ORDENES'!$T28="preventiva",N32,0)</f>
        <v/>
      </c>
      <c r="P32" s="17">
        <f>IF('ORDENES'!$T28="correctiva",N32,0)</f>
        <v/>
      </c>
      <c r="Q32" s="3">
        <f>IF(AND(K32=1,'ORDENES'!$N28="Pendiente"),1,0)</f>
        <v/>
      </c>
      <c r="R32" s="3">
        <f>IF(Q32=1,100000-N32*1000+25*0.01,9000000000000+25)</f>
        <v/>
      </c>
      <c r="S32" s="3">
        <f>IF(Q32=1,SUMPRODUCT(--($R$8:$R$1207&lt;R32))+1,"")</f>
        <v/>
      </c>
      <c r="T32" s="12">
        <f>IF(K32=1,'ORDENES'!$J28,"")</f>
        <v/>
      </c>
      <c r="U32" s="3">
        <f>IFERROR(MATCH(25,$M$8:$M$1207,0),"")</f>
        <v/>
      </c>
      <c r="V32" s="3">
        <f>IF(U32="","",INDEX(tblOrdenes[dia_semana],U32))</f>
        <v/>
      </c>
      <c r="W32" s="3">
        <f>IF(U32="","",IF(V32&lt;&gt;V31,CHAR(10)&amp;UPPER(LEFT(V32,1))&amp;MID(V32,2,20)&amp;":"&amp;CHAR(10),"")&amp;"   "&amp;IF(INDEX(tblOrdenes[turno_asignado],U32)="","(s/t)",INDEX(tblOrdenes[turno_asignado],U32))&amp;" · "&amp;IF(INDEX(tblOrdenes[tecnico_asignado],U32)="","(sin técnico)",INDEX(tblOrdenes[tecnico_asignado],U32))&amp;" · "&amp;INDEX(tblOrdenes[id_operacion],U32)&amp;" — "&amp;INDEX(tblOrdenes[descripcion_operacion],U32)&amp;" ("&amp;TEXT(INDEX(tblOrdenes[horas_efectivas],U32),"0.#")&amp;" h)")</f>
        <v/>
      </c>
    </row>
    <row r="33">
      <c r="K33" s="3">
        <f>IF(AND(IF($B$3="(todos)",TRUE,'ORDENES'!$O29=$B$3),IF($D$3="(todos)",TRUE,'ORDENES'!$AF29=$D$3),IF($F$3="(todos)",TRUE,'ORDENES'!$X29=$F$3),IF($H$3="(todos)",TRUE,'ORDENES'!$W29=$H$3),'ORDENES'!$AD29=TRUE,'ORDENES'!$A29&lt;&gt;""),1,0)</f>
        <v/>
      </c>
      <c r="L33" s="3">
        <f>IF(K33=1,IFERROR(MATCH('ORDENES'!$R29,lista_dias,0),9)*1000000000+IFERROR(MATCH('ORDENES'!$AF29,lista_turnos,0),9)*10000000+IFERROR(MATCH('ORDENES'!$AE29,tblTecnicos[nombre],0),99)*100000+26,9000000000000+26)</f>
        <v/>
      </c>
      <c r="M33" s="3">
        <f>IF(K33=1,SUMPRODUCT(--($L$8:$L$1207&lt;L33))+1,"")</f>
        <v/>
      </c>
      <c r="N33" s="17">
        <f>IF(K33=1,N('ORDENES'!$M29),0)</f>
        <v/>
      </c>
      <c r="O33" s="17">
        <f>IF('ORDENES'!$T29="preventiva",N33,0)</f>
        <v/>
      </c>
      <c r="P33" s="17">
        <f>IF('ORDENES'!$T29="correctiva",N33,0)</f>
        <v/>
      </c>
      <c r="Q33" s="3">
        <f>IF(AND(K33=1,'ORDENES'!$N29="Pendiente"),1,0)</f>
        <v/>
      </c>
      <c r="R33" s="3">
        <f>IF(Q33=1,100000-N33*1000+26*0.01,9000000000000+26)</f>
        <v/>
      </c>
      <c r="S33" s="3">
        <f>IF(Q33=1,SUMPRODUCT(--($R$8:$R$1207&lt;R33))+1,"")</f>
        <v/>
      </c>
      <c r="T33" s="12">
        <f>IF(K33=1,'ORDENES'!$J29,"")</f>
        <v/>
      </c>
      <c r="U33" s="3">
        <f>IFERROR(MATCH(26,$M$8:$M$1207,0),"")</f>
        <v/>
      </c>
      <c r="V33" s="3">
        <f>IF(U33="","",INDEX(tblOrdenes[dia_semana],U33))</f>
        <v/>
      </c>
      <c r="W33" s="3">
        <f>IF(U33="","",IF(V33&lt;&gt;V32,CHAR(10)&amp;UPPER(LEFT(V33,1))&amp;MID(V33,2,20)&amp;":"&amp;CHAR(10),"")&amp;"   "&amp;IF(INDEX(tblOrdenes[turno_asignado],U33)="","(s/t)",INDEX(tblOrdenes[turno_asignado],U33))&amp;" · "&amp;IF(INDEX(tblOrdenes[tecnico_asignado],U33)="","(sin técnico)",INDEX(tblOrdenes[tecnico_asignado],U33))&amp;" · "&amp;INDEX(tblOrdenes[id_operacion],U33)&amp;" — "&amp;INDEX(tblOrdenes[descripcion_operacion],U33)&amp;" ("&amp;TEXT(INDEX(tblOrdenes[horas_efectivas],U33),"0.#")&amp;" h)")</f>
        <v/>
      </c>
    </row>
    <row r="34">
      <c r="K34" s="3">
        <f>IF(AND(IF($B$3="(todos)",TRUE,'ORDENES'!$O30=$B$3),IF($D$3="(todos)",TRUE,'ORDENES'!$AF30=$D$3),IF($F$3="(todos)",TRUE,'ORDENES'!$X30=$F$3),IF($H$3="(todos)",TRUE,'ORDENES'!$W30=$H$3),'ORDENES'!$AD30=TRUE,'ORDENES'!$A30&lt;&gt;""),1,0)</f>
        <v/>
      </c>
      <c r="L34" s="3">
        <f>IF(K34=1,IFERROR(MATCH('ORDENES'!$R30,lista_dias,0),9)*1000000000+IFERROR(MATCH('ORDENES'!$AF30,lista_turnos,0),9)*10000000+IFERROR(MATCH('ORDENES'!$AE30,tblTecnicos[nombre],0),99)*100000+27,9000000000000+27)</f>
        <v/>
      </c>
      <c r="M34" s="3">
        <f>IF(K34=1,SUMPRODUCT(--($L$8:$L$1207&lt;L34))+1,"")</f>
        <v/>
      </c>
      <c r="N34" s="17">
        <f>IF(K34=1,N('ORDENES'!$M30),0)</f>
        <v/>
      </c>
      <c r="O34" s="17">
        <f>IF('ORDENES'!$T30="preventiva",N34,0)</f>
        <v/>
      </c>
      <c r="P34" s="17">
        <f>IF('ORDENES'!$T30="correctiva",N34,0)</f>
        <v/>
      </c>
      <c r="Q34" s="3">
        <f>IF(AND(K34=1,'ORDENES'!$N30="Pendiente"),1,0)</f>
        <v/>
      </c>
      <c r="R34" s="3">
        <f>IF(Q34=1,100000-N34*1000+27*0.01,9000000000000+27)</f>
        <v/>
      </c>
      <c r="S34" s="3">
        <f>IF(Q34=1,SUMPRODUCT(--($R$8:$R$1207&lt;R34))+1,"")</f>
        <v/>
      </c>
      <c r="T34" s="12">
        <f>IF(K34=1,'ORDENES'!$J30,"")</f>
        <v/>
      </c>
      <c r="U34" s="3">
        <f>IFERROR(MATCH(27,$M$8:$M$1207,0),"")</f>
        <v/>
      </c>
      <c r="V34" s="3">
        <f>IF(U34="","",INDEX(tblOrdenes[dia_semana],U34))</f>
        <v/>
      </c>
      <c r="W34" s="3">
        <f>IF(U34="","",IF(V34&lt;&gt;V33,CHAR(10)&amp;UPPER(LEFT(V34,1))&amp;MID(V34,2,20)&amp;":"&amp;CHAR(10),"")&amp;"   "&amp;IF(INDEX(tblOrdenes[turno_asignado],U34)="","(s/t)",INDEX(tblOrdenes[turno_asignado],U34))&amp;" · "&amp;IF(INDEX(tblOrdenes[tecnico_asignado],U34)="","(sin técnico)",INDEX(tblOrdenes[tecnico_asignado],U34))&amp;" · "&amp;INDEX(tblOrdenes[id_operacion],U34)&amp;" — "&amp;INDEX(tblOrdenes[descripcion_operacion],U34)&amp;" ("&amp;TEXT(INDEX(tblOrdenes[horas_efectivas],U34),"0.#")&amp;" h)")</f>
        <v/>
      </c>
    </row>
    <row r="35">
      <c r="K35" s="3">
        <f>IF(AND(IF($B$3="(todos)",TRUE,'ORDENES'!$O31=$B$3),IF($D$3="(todos)",TRUE,'ORDENES'!$AF31=$D$3),IF($F$3="(todos)",TRUE,'ORDENES'!$X31=$F$3),IF($H$3="(todos)",TRUE,'ORDENES'!$W31=$H$3),'ORDENES'!$AD31=TRUE,'ORDENES'!$A31&lt;&gt;""),1,0)</f>
        <v/>
      </c>
      <c r="L35" s="3">
        <f>IF(K35=1,IFERROR(MATCH('ORDENES'!$R31,lista_dias,0),9)*1000000000+IFERROR(MATCH('ORDENES'!$AF31,lista_turnos,0),9)*10000000+IFERROR(MATCH('ORDENES'!$AE31,tblTecnicos[nombre],0),99)*100000+28,9000000000000+28)</f>
        <v/>
      </c>
      <c r="M35" s="3">
        <f>IF(K35=1,SUMPRODUCT(--($L$8:$L$1207&lt;L35))+1,"")</f>
        <v/>
      </c>
      <c r="N35" s="17">
        <f>IF(K35=1,N('ORDENES'!$M31),0)</f>
        <v/>
      </c>
      <c r="O35" s="17">
        <f>IF('ORDENES'!$T31="preventiva",N35,0)</f>
        <v/>
      </c>
      <c r="P35" s="17">
        <f>IF('ORDENES'!$T31="correctiva",N35,0)</f>
        <v/>
      </c>
      <c r="Q35" s="3">
        <f>IF(AND(K35=1,'ORDENES'!$N31="Pendiente"),1,0)</f>
        <v/>
      </c>
      <c r="R35" s="3">
        <f>IF(Q35=1,100000-N35*1000+28*0.01,9000000000000+28)</f>
        <v/>
      </c>
      <c r="S35" s="3">
        <f>IF(Q35=1,SUMPRODUCT(--($R$8:$R$1207&lt;R35))+1,"")</f>
        <v/>
      </c>
      <c r="T35" s="12">
        <f>IF(K35=1,'ORDENES'!$J31,"")</f>
        <v/>
      </c>
      <c r="U35" s="3">
        <f>IFERROR(MATCH(28,$M$8:$M$1207,0),"")</f>
        <v/>
      </c>
      <c r="V35" s="3">
        <f>IF(U35="","",INDEX(tblOrdenes[dia_semana],U35))</f>
        <v/>
      </c>
      <c r="W35" s="3">
        <f>IF(U35="","",IF(V35&lt;&gt;V34,CHAR(10)&amp;UPPER(LEFT(V35,1))&amp;MID(V35,2,20)&amp;":"&amp;CHAR(10),"")&amp;"   "&amp;IF(INDEX(tblOrdenes[turno_asignado],U35)="","(s/t)",INDEX(tblOrdenes[turno_asignado],U35))&amp;" · "&amp;IF(INDEX(tblOrdenes[tecnico_asignado],U35)="","(sin técnico)",INDEX(tblOrdenes[tecnico_asignado],U35))&amp;" · "&amp;INDEX(tblOrdenes[id_operacion],U35)&amp;" — "&amp;INDEX(tblOrdenes[descripcion_operacion],U35)&amp;" ("&amp;TEXT(INDEX(tblOrdenes[horas_efectivas],U35),"0.#")&amp;" h)")</f>
        <v/>
      </c>
    </row>
    <row r="36">
      <c r="K36" s="3">
        <f>IF(AND(IF($B$3="(todos)",TRUE,'ORDENES'!$O32=$B$3),IF($D$3="(todos)",TRUE,'ORDENES'!$AF32=$D$3),IF($F$3="(todos)",TRUE,'ORDENES'!$X32=$F$3),IF($H$3="(todos)",TRUE,'ORDENES'!$W32=$H$3),'ORDENES'!$AD32=TRUE,'ORDENES'!$A32&lt;&gt;""),1,0)</f>
        <v/>
      </c>
      <c r="L36" s="3">
        <f>IF(K36=1,IFERROR(MATCH('ORDENES'!$R32,lista_dias,0),9)*1000000000+IFERROR(MATCH('ORDENES'!$AF32,lista_turnos,0),9)*10000000+IFERROR(MATCH('ORDENES'!$AE32,tblTecnicos[nombre],0),99)*100000+29,9000000000000+29)</f>
        <v/>
      </c>
      <c r="M36" s="3">
        <f>IF(K36=1,SUMPRODUCT(--($L$8:$L$1207&lt;L36))+1,"")</f>
        <v/>
      </c>
      <c r="N36" s="17">
        <f>IF(K36=1,N('ORDENES'!$M32),0)</f>
        <v/>
      </c>
      <c r="O36" s="17">
        <f>IF('ORDENES'!$T32="preventiva",N36,0)</f>
        <v/>
      </c>
      <c r="P36" s="17">
        <f>IF('ORDENES'!$T32="correctiva",N36,0)</f>
        <v/>
      </c>
      <c r="Q36" s="3">
        <f>IF(AND(K36=1,'ORDENES'!$N32="Pendiente"),1,0)</f>
        <v/>
      </c>
      <c r="R36" s="3">
        <f>IF(Q36=1,100000-N36*1000+29*0.01,9000000000000+29)</f>
        <v/>
      </c>
      <c r="S36" s="3">
        <f>IF(Q36=1,SUMPRODUCT(--($R$8:$R$1207&lt;R36))+1,"")</f>
        <v/>
      </c>
      <c r="T36" s="12">
        <f>IF(K36=1,'ORDENES'!$J32,"")</f>
        <v/>
      </c>
      <c r="U36" s="3">
        <f>IFERROR(MATCH(29,$M$8:$M$1207,0),"")</f>
        <v/>
      </c>
      <c r="V36" s="3">
        <f>IF(U36="","",INDEX(tblOrdenes[dia_semana],U36))</f>
        <v/>
      </c>
      <c r="W36" s="3">
        <f>IF(U36="","",IF(V36&lt;&gt;V35,CHAR(10)&amp;UPPER(LEFT(V36,1))&amp;MID(V36,2,20)&amp;":"&amp;CHAR(10),"")&amp;"   "&amp;IF(INDEX(tblOrdenes[turno_asignado],U36)="","(s/t)",INDEX(tblOrdenes[turno_asignado],U36))&amp;" · "&amp;IF(INDEX(tblOrdenes[tecnico_asignado],U36)="","(sin técnico)",INDEX(tblOrdenes[tecnico_asignado],U36))&amp;" · "&amp;INDEX(tblOrdenes[id_operacion],U36)&amp;" — "&amp;INDEX(tblOrdenes[descripcion_operacion],U36)&amp;" ("&amp;TEXT(INDEX(tblOrdenes[horas_efectivas],U36),"0.#")&amp;" h)")</f>
        <v/>
      </c>
    </row>
    <row r="37">
      <c r="K37" s="3">
        <f>IF(AND(IF($B$3="(todos)",TRUE,'ORDENES'!$O33=$B$3),IF($D$3="(todos)",TRUE,'ORDENES'!$AF33=$D$3),IF($F$3="(todos)",TRUE,'ORDENES'!$X33=$F$3),IF($H$3="(todos)",TRUE,'ORDENES'!$W33=$H$3),'ORDENES'!$AD33=TRUE,'ORDENES'!$A33&lt;&gt;""),1,0)</f>
        <v/>
      </c>
      <c r="L37" s="3">
        <f>IF(K37=1,IFERROR(MATCH('ORDENES'!$R33,lista_dias,0),9)*1000000000+IFERROR(MATCH('ORDENES'!$AF33,lista_turnos,0),9)*10000000+IFERROR(MATCH('ORDENES'!$AE33,tblTecnicos[nombre],0),99)*100000+30,9000000000000+30)</f>
        <v/>
      </c>
      <c r="M37" s="3">
        <f>IF(K37=1,SUMPRODUCT(--($L$8:$L$1207&lt;L37))+1,"")</f>
        <v/>
      </c>
      <c r="N37" s="17">
        <f>IF(K37=1,N('ORDENES'!$M33),0)</f>
        <v/>
      </c>
      <c r="O37" s="17">
        <f>IF('ORDENES'!$T33="preventiva",N37,0)</f>
        <v/>
      </c>
      <c r="P37" s="17">
        <f>IF('ORDENES'!$T33="correctiva",N37,0)</f>
        <v/>
      </c>
      <c r="Q37" s="3">
        <f>IF(AND(K37=1,'ORDENES'!$N33="Pendiente"),1,0)</f>
        <v/>
      </c>
      <c r="R37" s="3">
        <f>IF(Q37=1,100000-N37*1000+30*0.01,9000000000000+30)</f>
        <v/>
      </c>
      <c r="S37" s="3">
        <f>IF(Q37=1,SUMPRODUCT(--($R$8:$R$1207&lt;R37))+1,"")</f>
        <v/>
      </c>
      <c r="T37" s="12">
        <f>IF(K37=1,'ORDENES'!$J33,"")</f>
        <v/>
      </c>
      <c r="U37" s="3">
        <f>IFERROR(MATCH(30,$M$8:$M$1207,0),"")</f>
        <v/>
      </c>
      <c r="V37" s="3">
        <f>IF(U37="","",INDEX(tblOrdenes[dia_semana],U37))</f>
        <v/>
      </c>
      <c r="W37" s="3">
        <f>IF(U37="","",IF(V37&lt;&gt;V36,CHAR(10)&amp;UPPER(LEFT(V37,1))&amp;MID(V37,2,20)&amp;":"&amp;CHAR(10),"")&amp;"   "&amp;IF(INDEX(tblOrdenes[turno_asignado],U37)="","(s/t)",INDEX(tblOrdenes[turno_asignado],U37))&amp;" · "&amp;IF(INDEX(tblOrdenes[tecnico_asignado],U37)="","(sin técnico)",INDEX(tblOrdenes[tecnico_asignado],U37))&amp;" · "&amp;INDEX(tblOrdenes[id_operacion],U37)&amp;" — "&amp;INDEX(tblOrdenes[descripcion_operacion],U37)&amp;" ("&amp;TEXT(INDEX(tblOrdenes[horas_efectivas],U37),"0.#")&amp;" h)")</f>
        <v/>
      </c>
    </row>
    <row r="38">
      <c r="K38" s="3">
        <f>IF(AND(IF($B$3="(todos)",TRUE,'ORDENES'!$O34=$B$3),IF($D$3="(todos)",TRUE,'ORDENES'!$AF34=$D$3),IF($F$3="(todos)",TRUE,'ORDENES'!$X34=$F$3),IF($H$3="(todos)",TRUE,'ORDENES'!$W34=$H$3),'ORDENES'!$AD34=TRUE,'ORDENES'!$A34&lt;&gt;""),1,0)</f>
        <v/>
      </c>
      <c r="L38" s="3">
        <f>IF(K38=1,IFERROR(MATCH('ORDENES'!$R34,lista_dias,0),9)*1000000000+IFERROR(MATCH('ORDENES'!$AF34,lista_turnos,0),9)*10000000+IFERROR(MATCH('ORDENES'!$AE34,tblTecnicos[nombre],0),99)*100000+31,9000000000000+31)</f>
        <v/>
      </c>
      <c r="M38" s="3">
        <f>IF(K38=1,SUMPRODUCT(--($L$8:$L$1207&lt;L38))+1,"")</f>
        <v/>
      </c>
      <c r="N38" s="17">
        <f>IF(K38=1,N('ORDENES'!$M34),0)</f>
        <v/>
      </c>
      <c r="O38" s="17">
        <f>IF('ORDENES'!$T34="preventiva",N38,0)</f>
        <v/>
      </c>
      <c r="P38" s="17">
        <f>IF('ORDENES'!$T34="correctiva",N38,0)</f>
        <v/>
      </c>
      <c r="Q38" s="3">
        <f>IF(AND(K38=1,'ORDENES'!$N34="Pendiente"),1,0)</f>
        <v/>
      </c>
      <c r="R38" s="3">
        <f>IF(Q38=1,100000-N38*1000+31*0.01,9000000000000+31)</f>
        <v/>
      </c>
      <c r="S38" s="3">
        <f>IF(Q38=1,SUMPRODUCT(--($R$8:$R$1207&lt;R38))+1,"")</f>
        <v/>
      </c>
      <c r="T38" s="12">
        <f>IF(K38=1,'ORDENES'!$J34,"")</f>
        <v/>
      </c>
      <c r="U38" s="3">
        <f>IFERROR(MATCH(31,$M$8:$M$1207,0),"")</f>
        <v/>
      </c>
      <c r="V38" s="3">
        <f>IF(U38="","",INDEX(tblOrdenes[dia_semana],U38))</f>
        <v/>
      </c>
      <c r="W38" s="3">
        <f>IF(U38="","",IF(V38&lt;&gt;V37,CHAR(10)&amp;UPPER(LEFT(V38,1))&amp;MID(V38,2,20)&amp;":"&amp;CHAR(10),"")&amp;"   "&amp;IF(INDEX(tblOrdenes[turno_asignado],U38)="","(s/t)",INDEX(tblOrdenes[turno_asignado],U38))&amp;" · "&amp;IF(INDEX(tblOrdenes[tecnico_asignado],U38)="","(sin técnico)",INDEX(tblOrdenes[tecnico_asignado],U38))&amp;" · "&amp;INDEX(tblOrdenes[id_operacion],U38)&amp;" — "&amp;INDEX(tblOrdenes[descripcion_operacion],U38)&amp;" ("&amp;TEXT(INDEX(tblOrdenes[horas_efectivas],U38),"0.#")&amp;" h)")</f>
        <v/>
      </c>
    </row>
    <row r="39">
      <c r="K39" s="3">
        <f>IF(AND(IF($B$3="(todos)",TRUE,'ORDENES'!$O35=$B$3),IF($D$3="(todos)",TRUE,'ORDENES'!$AF35=$D$3),IF($F$3="(todos)",TRUE,'ORDENES'!$X35=$F$3),IF($H$3="(todos)",TRUE,'ORDENES'!$W35=$H$3),'ORDENES'!$AD35=TRUE,'ORDENES'!$A35&lt;&gt;""),1,0)</f>
        <v/>
      </c>
      <c r="L39" s="3">
        <f>IF(K39=1,IFERROR(MATCH('ORDENES'!$R35,lista_dias,0),9)*1000000000+IFERROR(MATCH('ORDENES'!$AF35,lista_turnos,0),9)*10000000+IFERROR(MATCH('ORDENES'!$AE35,tblTecnicos[nombre],0),99)*100000+32,9000000000000+32)</f>
        <v/>
      </c>
      <c r="M39" s="3">
        <f>IF(K39=1,SUMPRODUCT(--($L$8:$L$1207&lt;L39))+1,"")</f>
        <v/>
      </c>
      <c r="N39" s="17">
        <f>IF(K39=1,N('ORDENES'!$M35),0)</f>
        <v/>
      </c>
      <c r="O39" s="17">
        <f>IF('ORDENES'!$T35="preventiva",N39,0)</f>
        <v/>
      </c>
      <c r="P39" s="17">
        <f>IF('ORDENES'!$T35="correctiva",N39,0)</f>
        <v/>
      </c>
      <c r="Q39" s="3">
        <f>IF(AND(K39=1,'ORDENES'!$N35="Pendiente"),1,0)</f>
        <v/>
      </c>
      <c r="R39" s="3">
        <f>IF(Q39=1,100000-N39*1000+32*0.01,9000000000000+32)</f>
        <v/>
      </c>
      <c r="S39" s="3">
        <f>IF(Q39=1,SUMPRODUCT(--($R$8:$R$1207&lt;R39))+1,"")</f>
        <v/>
      </c>
      <c r="T39" s="12">
        <f>IF(K39=1,'ORDENES'!$J35,"")</f>
        <v/>
      </c>
      <c r="U39" s="3">
        <f>IFERROR(MATCH(32,$M$8:$M$1207,0),"")</f>
        <v/>
      </c>
      <c r="V39" s="3">
        <f>IF(U39="","",INDEX(tblOrdenes[dia_semana],U39))</f>
        <v/>
      </c>
      <c r="W39" s="3">
        <f>IF(U39="","",IF(V39&lt;&gt;V38,CHAR(10)&amp;UPPER(LEFT(V39,1))&amp;MID(V39,2,20)&amp;":"&amp;CHAR(10),"")&amp;"   "&amp;IF(INDEX(tblOrdenes[turno_asignado],U39)="","(s/t)",INDEX(tblOrdenes[turno_asignado],U39))&amp;" · "&amp;IF(INDEX(tblOrdenes[tecnico_asignado],U39)="","(sin técnico)",INDEX(tblOrdenes[tecnico_asignado],U39))&amp;" · "&amp;INDEX(tblOrdenes[id_operacion],U39)&amp;" — "&amp;INDEX(tblOrdenes[descripcion_operacion],U39)&amp;" ("&amp;TEXT(INDEX(tblOrdenes[horas_efectivas],U39),"0.#")&amp;" h)")</f>
        <v/>
      </c>
    </row>
    <row r="40">
      <c r="K40" s="3">
        <f>IF(AND(IF($B$3="(todos)",TRUE,'ORDENES'!$O36=$B$3),IF($D$3="(todos)",TRUE,'ORDENES'!$AF36=$D$3),IF($F$3="(todos)",TRUE,'ORDENES'!$X36=$F$3),IF($H$3="(todos)",TRUE,'ORDENES'!$W36=$H$3),'ORDENES'!$AD36=TRUE,'ORDENES'!$A36&lt;&gt;""),1,0)</f>
        <v/>
      </c>
      <c r="L40" s="3">
        <f>IF(K40=1,IFERROR(MATCH('ORDENES'!$R36,lista_dias,0),9)*1000000000+IFERROR(MATCH('ORDENES'!$AF36,lista_turnos,0),9)*10000000+IFERROR(MATCH('ORDENES'!$AE36,tblTecnicos[nombre],0),99)*100000+33,9000000000000+33)</f>
        <v/>
      </c>
      <c r="M40" s="3">
        <f>IF(K40=1,SUMPRODUCT(--($L$8:$L$1207&lt;L40))+1,"")</f>
        <v/>
      </c>
      <c r="N40" s="17">
        <f>IF(K40=1,N('ORDENES'!$M36),0)</f>
        <v/>
      </c>
      <c r="O40" s="17">
        <f>IF('ORDENES'!$T36="preventiva",N40,0)</f>
        <v/>
      </c>
      <c r="P40" s="17">
        <f>IF('ORDENES'!$T36="correctiva",N40,0)</f>
        <v/>
      </c>
      <c r="Q40" s="3">
        <f>IF(AND(K40=1,'ORDENES'!$N36="Pendiente"),1,0)</f>
        <v/>
      </c>
      <c r="R40" s="3">
        <f>IF(Q40=1,100000-N40*1000+33*0.01,9000000000000+33)</f>
        <v/>
      </c>
      <c r="S40" s="3">
        <f>IF(Q40=1,SUMPRODUCT(--($R$8:$R$1207&lt;R40))+1,"")</f>
        <v/>
      </c>
      <c r="T40" s="12">
        <f>IF(K40=1,'ORDENES'!$J36,"")</f>
        <v/>
      </c>
      <c r="U40" s="3">
        <f>IFERROR(MATCH(33,$M$8:$M$1207,0),"")</f>
        <v/>
      </c>
      <c r="V40" s="3">
        <f>IF(U40="","",INDEX(tblOrdenes[dia_semana],U40))</f>
        <v/>
      </c>
      <c r="W40" s="3">
        <f>IF(U40="","",IF(V40&lt;&gt;V39,CHAR(10)&amp;UPPER(LEFT(V40,1))&amp;MID(V40,2,20)&amp;":"&amp;CHAR(10),"")&amp;"   "&amp;IF(INDEX(tblOrdenes[turno_asignado],U40)="","(s/t)",INDEX(tblOrdenes[turno_asignado],U40))&amp;" · "&amp;IF(INDEX(tblOrdenes[tecnico_asignado],U40)="","(sin técnico)",INDEX(tblOrdenes[tecnico_asignado],U40))&amp;" · "&amp;INDEX(tblOrdenes[id_operacion],U40)&amp;" — "&amp;INDEX(tblOrdenes[descripcion_operacion],U40)&amp;" ("&amp;TEXT(INDEX(tblOrdenes[horas_efectivas],U40),"0.#")&amp;" h)")</f>
        <v/>
      </c>
    </row>
    <row r="41">
      <c r="K41" s="3">
        <f>IF(AND(IF($B$3="(todos)",TRUE,'ORDENES'!$O37=$B$3),IF($D$3="(todos)",TRUE,'ORDENES'!$AF37=$D$3),IF($F$3="(todos)",TRUE,'ORDENES'!$X37=$F$3),IF($H$3="(todos)",TRUE,'ORDENES'!$W37=$H$3),'ORDENES'!$AD37=TRUE,'ORDENES'!$A37&lt;&gt;""),1,0)</f>
        <v/>
      </c>
      <c r="L41" s="3">
        <f>IF(K41=1,IFERROR(MATCH('ORDENES'!$R37,lista_dias,0),9)*1000000000+IFERROR(MATCH('ORDENES'!$AF37,lista_turnos,0),9)*10000000+IFERROR(MATCH('ORDENES'!$AE37,tblTecnicos[nombre],0),99)*100000+34,9000000000000+34)</f>
        <v/>
      </c>
      <c r="M41" s="3">
        <f>IF(K41=1,SUMPRODUCT(--($L$8:$L$1207&lt;L41))+1,"")</f>
        <v/>
      </c>
      <c r="N41" s="17">
        <f>IF(K41=1,N('ORDENES'!$M37),0)</f>
        <v/>
      </c>
      <c r="O41" s="17">
        <f>IF('ORDENES'!$T37="preventiva",N41,0)</f>
        <v/>
      </c>
      <c r="P41" s="17">
        <f>IF('ORDENES'!$T37="correctiva",N41,0)</f>
        <v/>
      </c>
      <c r="Q41" s="3">
        <f>IF(AND(K41=1,'ORDENES'!$N37="Pendiente"),1,0)</f>
        <v/>
      </c>
      <c r="R41" s="3">
        <f>IF(Q41=1,100000-N41*1000+34*0.01,9000000000000+34)</f>
        <v/>
      </c>
      <c r="S41" s="3">
        <f>IF(Q41=1,SUMPRODUCT(--($R$8:$R$1207&lt;R41))+1,"")</f>
        <v/>
      </c>
      <c r="T41" s="12">
        <f>IF(K41=1,'ORDENES'!$J37,"")</f>
        <v/>
      </c>
      <c r="U41" s="3">
        <f>IFERROR(MATCH(34,$M$8:$M$1207,0),"")</f>
        <v/>
      </c>
      <c r="V41" s="3">
        <f>IF(U41="","",INDEX(tblOrdenes[dia_semana],U41))</f>
        <v/>
      </c>
      <c r="W41" s="3">
        <f>IF(U41="","",IF(V41&lt;&gt;V40,CHAR(10)&amp;UPPER(LEFT(V41,1))&amp;MID(V41,2,20)&amp;":"&amp;CHAR(10),"")&amp;"   "&amp;IF(INDEX(tblOrdenes[turno_asignado],U41)="","(s/t)",INDEX(tblOrdenes[turno_asignado],U41))&amp;" · "&amp;IF(INDEX(tblOrdenes[tecnico_asignado],U41)="","(sin técnico)",INDEX(tblOrdenes[tecnico_asignado],U41))&amp;" · "&amp;INDEX(tblOrdenes[id_operacion],U41)&amp;" — "&amp;INDEX(tblOrdenes[descripcion_operacion],U41)&amp;" ("&amp;TEXT(INDEX(tblOrdenes[horas_efectivas],U41),"0.#")&amp;" h)")</f>
        <v/>
      </c>
    </row>
    <row r="42">
      <c r="K42" s="3">
        <f>IF(AND(IF($B$3="(todos)",TRUE,'ORDENES'!$O38=$B$3),IF($D$3="(todos)",TRUE,'ORDENES'!$AF38=$D$3),IF($F$3="(todos)",TRUE,'ORDENES'!$X38=$F$3),IF($H$3="(todos)",TRUE,'ORDENES'!$W38=$H$3),'ORDENES'!$AD38=TRUE,'ORDENES'!$A38&lt;&gt;""),1,0)</f>
        <v/>
      </c>
      <c r="L42" s="3">
        <f>IF(K42=1,IFERROR(MATCH('ORDENES'!$R38,lista_dias,0),9)*1000000000+IFERROR(MATCH('ORDENES'!$AF38,lista_turnos,0),9)*10000000+IFERROR(MATCH('ORDENES'!$AE38,tblTecnicos[nombre],0),99)*100000+35,9000000000000+35)</f>
        <v/>
      </c>
      <c r="M42" s="3">
        <f>IF(K42=1,SUMPRODUCT(--($L$8:$L$1207&lt;L42))+1,"")</f>
        <v/>
      </c>
      <c r="N42" s="17">
        <f>IF(K42=1,N('ORDENES'!$M38),0)</f>
        <v/>
      </c>
      <c r="O42" s="17">
        <f>IF('ORDENES'!$T38="preventiva",N42,0)</f>
        <v/>
      </c>
      <c r="P42" s="17">
        <f>IF('ORDENES'!$T38="correctiva",N42,0)</f>
        <v/>
      </c>
      <c r="Q42" s="3">
        <f>IF(AND(K42=1,'ORDENES'!$N38="Pendiente"),1,0)</f>
        <v/>
      </c>
      <c r="R42" s="3">
        <f>IF(Q42=1,100000-N42*1000+35*0.01,9000000000000+35)</f>
        <v/>
      </c>
      <c r="S42" s="3">
        <f>IF(Q42=1,SUMPRODUCT(--($R$8:$R$1207&lt;R42))+1,"")</f>
        <v/>
      </c>
      <c r="T42" s="12">
        <f>IF(K42=1,'ORDENES'!$J38,"")</f>
        <v/>
      </c>
      <c r="U42" s="3">
        <f>IFERROR(MATCH(35,$M$8:$M$1207,0),"")</f>
        <v/>
      </c>
      <c r="V42" s="3">
        <f>IF(U42="","",INDEX(tblOrdenes[dia_semana],U42))</f>
        <v/>
      </c>
      <c r="W42" s="3">
        <f>IF(U42="","",IF(V42&lt;&gt;V41,CHAR(10)&amp;UPPER(LEFT(V42,1))&amp;MID(V42,2,20)&amp;":"&amp;CHAR(10),"")&amp;"   "&amp;IF(INDEX(tblOrdenes[turno_asignado],U42)="","(s/t)",INDEX(tblOrdenes[turno_asignado],U42))&amp;" · "&amp;IF(INDEX(tblOrdenes[tecnico_asignado],U42)="","(sin técnico)",INDEX(tblOrdenes[tecnico_asignado],U42))&amp;" · "&amp;INDEX(tblOrdenes[id_operacion],U42)&amp;" — "&amp;INDEX(tblOrdenes[descripcion_operacion],U42)&amp;" ("&amp;TEXT(INDEX(tblOrdenes[horas_efectivas],U42),"0.#")&amp;" h)")</f>
        <v/>
      </c>
    </row>
    <row r="43">
      <c r="K43" s="3">
        <f>IF(AND(IF($B$3="(todos)",TRUE,'ORDENES'!$O39=$B$3),IF($D$3="(todos)",TRUE,'ORDENES'!$AF39=$D$3),IF($F$3="(todos)",TRUE,'ORDENES'!$X39=$F$3),IF($H$3="(todos)",TRUE,'ORDENES'!$W39=$H$3),'ORDENES'!$AD39=TRUE,'ORDENES'!$A39&lt;&gt;""),1,0)</f>
        <v/>
      </c>
      <c r="L43" s="3">
        <f>IF(K43=1,IFERROR(MATCH('ORDENES'!$R39,lista_dias,0),9)*1000000000+IFERROR(MATCH('ORDENES'!$AF39,lista_turnos,0),9)*10000000+IFERROR(MATCH('ORDENES'!$AE39,tblTecnicos[nombre],0),99)*100000+36,9000000000000+36)</f>
        <v/>
      </c>
      <c r="M43" s="3">
        <f>IF(K43=1,SUMPRODUCT(--($L$8:$L$1207&lt;L43))+1,"")</f>
        <v/>
      </c>
      <c r="N43" s="17">
        <f>IF(K43=1,N('ORDENES'!$M39),0)</f>
        <v/>
      </c>
      <c r="O43" s="17">
        <f>IF('ORDENES'!$T39="preventiva",N43,0)</f>
        <v/>
      </c>
      <c r="P43" s="17">
        <f>IF('ORDENES'!$T39="correctiva",N43,0)</f>
        <v/>
      </c>
      <c r="Q43" s="3">
        <f>IF(AND(K43=1,'ORDENES'!$N39="Pendiente"),1,0)</f>
        <v/>
      </c>
      <c r="R43" s="3">
        <f>IF(Q43=1,100000-N43*1000+36*0.01,9000000000000+36)</f>
        <v/>
      </c>
      <c r="S43" s="3">
        <f>IF(Q43=1,SUMPRODUCT(--($R$8:$R$1207&lt;R43))+1,"")</f>
        <v/>
      </c>
      <c r="T43" s="12">
        <f>IF(K43=1,'ORDENES'!$J39,"")</f>
        <v/>
      </c>
      <c r="U43" s="3">
        <f>IFERROR(MATCH(36,$M$8:$M$1207,0),"")</f>
        <v/>
      </c>
      <c r="V43" s="3">
        <f>IF(U43="","",INDEX(tblOrdenes[dia_semana],U43))</f>
        <v/>
      </c>
      <c r="W43" s="3">
        <f>IF(U43="","",IF(V43&lt;&gt;V42,CHAR(10)&amp;UPPER(LEFT(V43,1))&amp;MID(V43,2,20)&amp;":"&amp;CHAR(10),"")&amp;"   "&amp;IF(INDEX(tblOrdenes[turno_asignado],U43)="","(s/t)",INDEX(tblOrdenes[turno_asignado],U43))&amp;" · "&amp;IF(INDEX(tblOrdenes[tecnico_asignado],U43)="","(sin técnico)",INDEX(tblOrdenes[tecnico_asignado],U43))&amp;" · "&amp;INDEX(tblOrdenes[id_operacion],U43)&amp;" — "&amp;INDEX(tblOrdenes[descripcion_operacion],U43)&amp;" ("&amp;TEXT(INDEX(tblOrdenes[horas_efectivas],U43),"0.#")&amp;" h)")</f>
        <v/>
      </c>
    </row>
    <row r="44">
      <c r="K44" s="3">
        <f>IF(AND(IF($B$3="(todos)",TRUE,'ORDENES'!$O40=$B$3),IF($D$3="(todos)",TRUE,'ORDENES'!$AF40=$D$3),IF($F$3="(todos)",TRUE,'ORDENES'!$X40=$F$3),IF($H$3="(todos)",TRUE,'ORDENES'!$W40=$H$3),'ORDENES'!$AD40=TRUE,'ORDENES'!$A40&lt;&gt;""),1,0)</f>
        <v/>
      </c>
      <c r="L44" s="3">
        <f>IF(K44=1,IFERROR(MATCH('ORDENES'!$R40,lista_dias,0),9)*1000000000+IFERROR(MATCH('ORDENES'!$AF40,lista_turnos,0),9)*10000000+IFERROR(MATCH('ORDENES'!$AE40,tblTecnicos[nombre],0),99)*100000+37,9000000000000+37)</f>
        <v/>
      </c>
      <c r="M44" s="3">
        <f>IF(K44=1,SUMPRODUCT(--($L$8:$L$1207&lt;L44))+1,"")</f>
        <v/>
      </c>
      <c r="N44" s="17">
        <f>IF(K44=1,N('ORDENES'!$M40),0)</f>
        <v/>
      </c>
      <c r="O44" s="17">
        <f>IF('ORDENES'!$T40="preventiva",N44,0)</f>
        <v/>
      </c>
      <c r="P44" s="17">
        <f>IF('ORDENES'!$T40="correctiva",N44,0)</f>
        <v/>
      </c>
      <c r="Q44" s="3">
        <f>IF(AND(K44=1,'ORDENES'!$N40="Pendiente"),1,0)</f>
        <v/>
      </c>
      <c r="R44" s="3">
        <f>IF(Q44=1,100000-N44*1000+37*0.01,9000000000000+37)</f>
        <v/>
      </c>
      <c r="S44" s="3">
        <f>IF(Q44=1,SUMPRODUCT(--($R$8:$R$1207&lt;R44))+1,"")</f>
        <v/>
      </c>
      <c r="T44" s="12">
        <f>IF(K44=1,'ORDENES'!$J40,"")</f>
        <v/>
      </c>
      <c r="U44" s="3">
        <f>IFERROR(MATCH(37,$M$8:$M$1207,0),"")</f>
        <v/>
      </c>
      <c r="V44" s="3">
        <f>IF(U44="","",INDEX(tblOrdenes[dia_semana],U44))</f>
        <v/>
      </c>
      <c r="W44" s="3">
        <f>IF(U44="","",IF(V44&lt;&gt;V43,CHAR(10)&amp;UPPER(LEFT(V44,1))&amp;MID(V44,2,20)&amp;":"&amp;CHAR(10),"")&amp;"   "&amp;IF(INDEX(tblOrdenes[turno_asignado],U44)="","(s/t)",INDEX(tblOrdenes[turno_asignado],U44))&amp;" · "&amp;IF(INDEX(tblOrdenes[tecnico_asignado],U44)="","(sin técnico)",INDEX(tblOrdenes[tecnico_asignado],U44))&amp;" · "&amp;INDEX(tblOrdenes[id_operacion],U44)&amp;" — "&amp;INDEX(tblOrdenes[descripcion_operacion],U44)&amp;" ("&amp;TEXT(INDEX(tblOrdenes[horas_efectivas],U44),"0.#")&amp;" h)")</f>
        <v/>
      </c>
    </row>
    <row r="45">
      <c r="K45" s="3">
        <f>IF(AND(IF($B$3="(todos)",TRUE,'ORDENES'!$O41=$B$3),IF($D$3="(todos)",TRUE,'ORDENES'!$AF41=$D$3),IF($F$3="(todos)",TRUE,'ORDENES'!$X41=$F$3),IF($H$3="(todos)",TRUE,'ORDENES'!$W41=$H$3),'ORDENES'!$AD41=TRUE,'ORDENES'!$A41&lt;&gt;""),1,0)</f>
        <v/>
      </c>
      <c r="L45" s="3">
        <f>IF(K45=1,IFERROR(MATCH('ORDENES'!$R41,lista_dias,0),9)*1000000000+IFERROR(MATCH('ORDENES'!$AF41,lista_turnos,0),9)*10000000+IFERROR(MATCH('ORDENES'!$AE41,tblTecnicos[nombre],0),99)*100000+38,9000000000000+38)</f>
        <v/>
      </c>
      <c r="M45" s="3">
        <f>IF(K45=1,SUMPRODUCT(--($L$8:$L$1207&lt;L45))+1,"")</f>
        <v/>
      </c>
      <c r="N45" s="17">
        <f>IF(K45=1,N('ORDENES'!$M41),0)</f>
        <v/>
      </c>
      <c r="O45" s="17">
        <f>IF('ORDENES'!$T41="preventiva",N45,0)</f>
        <v/>
      </c>
      <c r="P45" s="17">
        <f>IF('ORDENES'!$T41="correctiva",N45,0)</f>
        <v/>
      </c>
      <c r="Q45" s="3">
        <f>IF(AND(K45=1,'ORDENES'!$N41="Pendiente"),1,0)</f>
        <v/>
      </c>
      <c r="R45" s="3">
        <f>IF(Q45=1,100000-N45*1000+38*0.01,9000000000000+38)</f>
        <v/>
      </c>
      <c r="S45" s="3">
        <f>IF(Q45=1,SUMPRODUCT(--($R$8:$R$1207&lt;R45))+1,"")</f>
        <v/>
      </c>
      <c r="T45" s="12">
        <f>IF(K45=1,'ORDENES'!$J41,"")</f>
        <v/>
      </c>
      <c r="U45" s="3">
        <f>IFERROR(MATCH(38,$M$8:$M$1207,0),"")</f>
        <v/>
      </c>
      <c r="V45" s="3">
        <f>IF(U45="","",INDEX(tblOrdenes[dia_semana],U45))</f>
        <v/>
      </c>
      <c r="W45" s="3">
        <f>IF(U45="","",IF(V45&lt;&gt;V44,CHAR(10)&amp;UPPER(LEFT(V45,1))&amp;MID(V45,2,20)&amp;":"&amp;CHAR(10),"")&amp;"   "&amp;IF(INDEX(tblOrdenes[turno_asignado],U45)="","(s/t)",INDEX(tblOrdenes[turno_asignado],U45))&amp;" · "&amp;IF(INDEX(tblOrdenes[tecnico_asignado],U45)="","(sin técnico)",INDEX(tblOrdenes[tecnico_asignado],U45))&amp;" · "&amp;INDEX(tblOrdenes[id_operacion],U45)&amp;" — "&amp;INDEX(tblOrdenes[descripcion_operacion],U45)&amp;" ("&amp;TEXT(INDEX(tblOrdenes[horas_efectivas],U45),"0.#")&amp;" h)")</f>
        <v/>
      </c>
    </row>
    <row r="46">
      <c r="K46" s="3">
        <f>IF(AND(IF($B$3="(todos)",TRUE,'ORDENES'!$O42=$B$3),IF($D$3="(todos)",TRUE,'ORDENES'!$AF42=$D$3),IF($F$3="(todos)",TRUE,'ORDENES'!$X42=$F$3),IF($H$3="(todos)",TRUE,'ORDENES'!$W42=$H$3),'ORDENES'!$AD42=TRUE,'ORDENES'!$A42&lt;&gt;""),1,0)</f>
        <v/>
      </c>
      <c r="L46" s="3">
        <f>IF(K46=1,IFERROR(MATCH('ORDENES'!$R42,lista_dias,0),9)*1000000000+IFERROR(MATCH('ORDENES'!$AF42,lista_turnos,0),9)*10000000+IFERROR(MATCH('ORDENES'!$AE42,tblTecnicos[nombre],0),99)*100000+39,9000000000000+39)</f>
        <v/>
      </c>
      <c r="M46" s="3">
        <f>IF(K46=1,SUMPRODUCT(--($L$8:$L$1207&lt;L46))+1,"")</f>
        <v/>
      </c>
      <c r="N46" s="17">
        <f>IF(K46=1,N('ORDENES'!$M42),0)</f>
        <v/>
      </c>
      <c r="O46" s="17">
        <f>IF('ORDENES'!$T42="preventiva",N46,0)</f>
        <v/>
      </c>
      <c r="P46" s="17">
        <f>IF('ORDENES'!$T42="correctiva",N46,0)</f>
        <v/>
      </c>
      <c r="Q46" s="3">
        <f>IF(AND(K46=1,'ORDENES'!$N42="Pendiente"),1,0)</f>
        <v/>
      </c>
      <c r="R46" s="3">
        <f>IF(Q46=1,100000-N46*1000+39*0.01,9000000000000+39)</f>
        <v/>
      </c>
      <c r="S46" s="3">
        <f>IF(Q46=1,SUMPRODUCT(--($R$8:$R$1207&lt;R46))+1,"")</f>
        <v/>
      </c>
      <c r="T46" s="12">
        <f>IF(K46=1,'ORDENES'!$J42,"")</f>
        <v/>
      </c>
      <c r="U46" s="3">
        <f>IFERROR(MATCH(39,$M$8:$M$1207,0),"")</f>
        <v/>
      </c>
      <c r="V46" s="3">
        <f>IF(U46="","",INDEX(tblOrdenes[dia_semana],U46))</f>
        <v/>
      </c>
      <c r="W46" s="3">
        <f>IF(U46="","",IF(V46&lt;&gt;V45,CHAR(10)&amp;UPPER(LEFT(V46,1))&amp;MID(V46,2,20)&amp;":"&amp;CHAR(10),"")&amp;"   "&amp;IF(INDEX(tblOrdenes[turno_asignado],U46)="","(s/t)",INDEX(tblOrdenes[turno_asignado],U46))&amp;" · "&amp;IF(INDEX(tblOrdenes[tecnico_asignado],U46)="","(sin técnico)",INDEX(tblOrdenes[tecnico_asignado],U46))&amp;" · "&amp;INDEX(tblOrdenes[id_operacion],U46)&amp;" — "&amp;INDEX(tblOrdenes[descripcion_operacion],U46)&amp;" ("&amp;TEXT(INDEX(tblOrdenes[horas_efectivas],U46),"0.#")&amp;" h)")</f>
        <v/>
      </c>
    </row>
    <row r="47">
      <c r="K47" s="3">
        <f>IF(AND(IF($B$3="(todos)",TRUE,'ORDENES'!$O43=$B$3),IF($D$3="(todos)",TRUE,'ORDENES'!$AF43=$D$3),IF($F$3="(todos)",TRUE,'ORDENES'!$X43=$F$3),IF($H$3="(todos)",TRUE,'ORDENES'!$W43=$H$3),'ORDENES'!$AD43=TRUE,'ORDENES'!$A43&lt;&gt;""),1,0)</f>
        <v/>
      </c>
      <c r="L47" s="3">
        <f>IF(K47=1,IFERROR(MATCH('ORDENES'!$R43,lista_dias,0),9)*1000000000+IFERROR(MATCH('ORDENES'!$AF43,lista_turnos,0),9)*10000000+IFERROR(MATCH('ORDENES'!$AE43,tblTecnicos[nombre],0),99)*100000+40,9000000000000+40)</f>
        <v/>
      </c>
      <c r="M47" s="3">
        <f>IF(K47=1,SUMPRODUCT(--($L$8:$L$1207&lt;L47))+1,"")</f>
        <v/>
      </c>
      <c r="N47" s="17">
        <f>IF(K47=1,N('ORDENES'!$M43),0)</f>
        <v/>
      </c>
      <c r="O47" s="17">
        <f>IF('ORDENES'!$T43="preventiva",N47,0)</f>
        <v/>
      </c>
      <c r="P47" s="17">
        <f>IF('ORDENES'!$T43="correctiva",N47,0)</f>
        <v/>
      </c>
      <c r="Q47" s="3">
        <f>IF(AND(K47=1,'ORDENES'!$N43="Pendiente"),1,0)</f>
        <v/>
      </c>
      <c r="R47" s="3">
        <f>IF(Q47=1,100000-N47*1000+40*0.01,9000000000000+40)</f>
        <v/>
      </c>
      <c r="S47" s="3">
        <f>IF(Q47=1,SUMPRODUCT(--($R$8:$R$1207&lt;R47))+1,"")</f>
        <v/>
      </c>
      <c r="T47" s="12">
        <f>IF(K47=1,'ORDENES'!$J43,"")</f>
        <v/>
      </c>
      <c r="U47" s="3">
        <f>IFERROR(MATCH(40,$M$8:$M$1207,0),"")</f>
        <v/>
      </c>
      <c r="V47" s="3">
        <f>IF(U47="","",INDEX(tblOrdenes[dia_semana],U47))</f>
        <v/>
      </c>
      <c r="W47" s="3">
        <f>IF(U47="","",IF(V47&lt;&gt;V46,CHAR(10)&amp;UPPER(LEFT(V47,1))&amp;MID(V47,2,20)&amp;":"&amp;CHAR(10),"")&amp;"   "&amp;IF(INDEX(tblOrdenes[turno_asignado],U47)="","(s/t)",INDEX(tblOrdenes[turno_asignado],U47))&amp;" · "&amp;IF(INDEX(tblOrdenes[tecnico_asignado],U47)="","(sin técnico)",INDEX(tblOrdenes[tecnico_asignado],U47))&amp;" · "&amp;INDEX(tblOrdenes[id_operacion],U47)&amp;" — "&amp;INDEX(tblOrdenes[descripcion_operacion],U47)&amp;" ("&amp;TEXT(INDEX(tblOrdenes[horas_efectivas],U47),"0.#")&amp;" h)")</f>
        <v/>
      </c>
    </row>
    <row r="48">
      <c r="K48" s="3">
        <f>IF(AND(IF($B$3="(todos)",TRUE,'ORDENES'!$O44=$B$3),IF($D$3="(todos)",TRUE,'ORDENES'!$AF44=$D$3),IF($F$3="(todos)",TRUE,'ORDENES'!$X44=$F$3),IF($H$3="(todos)",TRUE,'ORDENES'!$W44=$H$3),'ORDENES'!$AD44=TRUE,'ORDENES'!$A44&lt;&gt;""),1,0)</f>
        <v/>
      </c>
      <c r="L48" s="3">
        <f>IF(K48=1,IFERROR(MATCH('ORDENES'!$R44,lista_dias,0),9)*1000000000+IFERROR(MATCH('ORDENES'!$AF44,lista_turnos,0),9)*10000000+IFERROR(MATCH('ORDENES'!$AE44,tblTecnicos[nombre],0),99)*100000+41,9000000000000+41)</f>
        <v/>
      </c>
      <c r="M48" s="3">
        <f>IF(K48=1,SUMPRODUCT(--($L$8:$L$1207&lt;L48))+1,"")</f>
        <v/>
      </c>
      <c r="N48" s="17">
        <f>IF(K48=1,N('ORDENES'!$M44),0)</f>
        <v/>
      </c>
      <c r="O48" s="17">
        <f>IF('ORDENES'!$T44="preventiva",N48,0)</f>
        <v/>
      </c>
      <c r="P48" s="17">
        <f>IF('ORDENES'!$T44="correctiva",N48,0)</f>
        <v/>
      </c>
      <c r="Q48" s="3">
        <f>IF(AND(K48=1,'ORDENES'!$N44="Pendiente"),1,0)</f>
        <v/>
      </c>
      <c r="R48" s="3">
        <f>IF(Q48=1,100000-N48*1000+41*0.01,9000000000000+41)</f>
        <v/>
      </c>
      <c r="S48" s="3">
        <f>IF(Q48=1,SUMPRODUCT(--($R$8:$R$1207&lt;R48))+1,"")</f>
        <v/>
      </c>
      <c r="T48" s="12">
        <f>IF(K48=1,'ORDENES'!$J44,"")</f>
        <v/>
      </c>
      <c r="U48" s="3">
        <f>IFERROR(MATCH(41,$M$8:$M$1207,0),"")</f>
        <v/>
      </c>
      <c r="V48" s="3">
        <f>IF(U48="","",INDEX(tblOrdenes[dia_semana],U48))</f>
        <v/>
      </c>
      <c r="W48" s="3">
        <f>IF(U48="","",IF(V48&lt;&gt;V47,CHAR(10)&amp;UPPER(LEFT(V48,1))&amp;MID(V48,2,20)&amp;":"&amp;CHAR(10),"")&amp;"   "&amp;IF(INDEX(tblOrdenes[turno_asignado],U48)="","(s/t)",INDEX(tblOrdenes[turno_asignado],U48))&amp;" · "&amp;IF(INDEX(tblOrdenes[tecnico_asignado],U48)="","(sin técnico)",INDEX(tblOrdenes[tecnico_asignado],U48))&amp;" · "&amp;INDEX(tblOrdenes[id_operacion],U48)&amp;" — "&amp;INDEX(tblOrdenes[descripcion_operacion],U48)&amp;" ("&amp;TEXT(INDEX(tblOrdenes[horas_efectivas],U48),"0.#")&amp;" h)")</f>
        <v/>
      </c>
    </row>
    <row r="49">
      <c r="K49" s="3">
        <f>IF(AND(IF($B$3="(todos)",TRUE,'ORDENES'!$O45=$B$3),IF($D$3="(todos)",TRUE,'ORDENES'!$AF45=$D$3),IF($F$3="(todos)",TRUE,'ORDENES'!$X45=$F$3),IF($H$3="(todos)",TRUE,'ORDENES'!$W45=$H$3),'ORDENES'!$AD45=TRUE,'ORDENES'!$A45&lt;&gt;""),1,0)</f>
        <v/>
      </c>
      <c r="L49" s="3">
        <f>IF(K49=1,IFERROR(MATCH('ORDENES'!$R45,lista_dias,0),9)*1000000000+IFERROR(MATCH('ORDENES'!$AF45,lista_turnos,0),9)*10000000+IFERROR(MATCH('ORDENES'!$AE45,tblTecnicos[nombre],0),99)*100000+42,9000000000000+42)</f>
        <v/>
      </c>
      <c r="M49" s="3">
        <f>IF(K49=1,SUMPRODUCT(--($L$8:$L$1207&lt;L49))+1,"")</f>
        <v/>
      </c>
      <c r="N49" s="17">
        <f>IF(K49=1,N('ORDENES'!$M45),0)</f>
        <v/>
      </c>
      <c r="O49" s="17">
        <f>IF('ORDENES'!$T45="preventiva",N49,0)</f>
        <v/>
      </c>
      <c r="P49" s="17">
        <f>IF('ORDENES'!$T45="correctiva",N49,0)</f>
        <v/>
      </c>
      <c r="Q49" s="3">
        <f>IF(AND(K49=1,'ORDENES'!$N45="Pendiente"),1,0)</f>
        <v/>
      </c>
      <c r="R49" s="3">
        <f>IF(Q49=1,100000-N49*1000+42*0.01,9000000000000+42)</f>
        <v/>
      </c>
      <c r="S49" s="3">
        <f>IF(Q49=1,SUMPRODUCT(--($R$8:$R$1207&lt;R49))+1,"")</f>
        <v/>
      </c>
      <c r="T49" s="12">
        <f>IF(K49=1,'ORDENES'!$J45,"")</f>
        <v/>
      </c>
      <c r="U49" s="3">
        <f>IFERROR(MATCH(42,$M$8:$M$1207,0),"")</f>
        <v/>
      </c>
      <c r="V49" s="3">
        <f>IF(U49="","",INDEX(tblOrdenes[dia_semana],U49))</f>
        <v/>
      </c>
      <c r="W49" s="3">
        <f>IF(U49="","",IF(V49&lt;&gt;V48,CHAR(10)&amp;UPPER(LEFT(V49,1))&amp;MID(V49,2,20)&amp;":"&amp;CHAR(10),"")&amp;"   "&amp;IF(INDEX(tblOrdenes[turno_asignado],U49)="","(s/t)",INDEX(tblOrdenes[turno_asignado],U49))&amp;" · "&amp;IF(INDEX(tblOrdenes[tecnico_asignado],U49)="","(sin técnico)",INDEX(tblOrdenes[tecnico_asignado],U49))&amp;" · "&amp;INDEX(tblOrdenes[id_operacion],U49)&amp;" — "&amp;INDEX(tblOrdenes[descripcion_operacion],U49)&amp;" ("&amp;TEXT(INDEX(tblOrdenes[horas_efectivas],U49),"0.#")&amp;" h)")</f>
        <v/>
      </c>
    </row>
    <row r="50">
      <c r="K50" s="3">
        <f>IF(AND(IF($B$3="(todos)",TRUE,'ORDENES'!$O46=$B$3),IF($D$3="(todos)",TRUE,'ORDENES'!$AF46=$D$3),IF($F$3="(todos)",TRUE,'ORDENES'!$X46=$F$3),IF($H$3="(todos)",TRUE,'ORDENES'!$W46=$H$3),'ORDENES'!$AD46=TRUE,'ORDENES'!$A46&lt;&gt;""),1,0)</f>
        <v/>
      </c>
      <c r="L50" s="3">
        <f>IF(K50=1,IFERROR(MATCH('ORDENES'!$R46,lista_dias,0),9)*1000000000+IFERROR(MATCH('ORDENES'!$AF46,lista_turnos,0),9)*10000000+IFERROR(MATCH('ORDENES'!$AE46,tblTecnicos[nombre],0),99)*100000+43,9000000000000+43)</f>
        <v/>
      </c>
      <c r="M50" s="3">
        <f>IF(K50=1,SUMPRODUCT(--($L$8:$L$1207&lt;L50))+1,"")</f>
        <v/>
      </c>
      <c r="N50" s="17">
        <f>IF(K50=1,N('ORDENES'!$M46),0)</f>
        <v/>
      </c>
      <c r="O50" s="17">
        <f>IF('ORDENES'!$T46="preventiva",N50,0)</f>
        <v/>
      </c>
      <c r="P50" s="17">
        <f>IF('ORDENES'!$T46="correctiva",N50,0)</f>
        <v/>
      </c>
      <c r="Q50" s="3">
        <f>IF(AND(K50=1,'ORDENES'!$N46="Pendiente"),1,0)</f>
        <v/>
      </c>
      <c r="R50" s="3">
        <f>IF(Q50=1,100000-N50*1000+43*0.01,9000000000000+43)</f>
        <v/>
      </c>
      <c r="S50" s="3">
        <f>IF(Q50=1,SUMPRODUCT(--($R$8:$R$1207&lt;R50))+1,"")</f>
        <v/>
      </c>
      <c r="T50" s="12">
        <f>IF(K50=1,'ORDENES'!$J46,"")</f>
        <v/>
      </c>
      <c r="U50" s="3">
        <f>IFERROR(MATCH(43,$M$8:$M$1207,0),"")</f>
        <v/>
      </c>
      <c r="V50" s="3">
        <f>IF(U50="","",INDEX(tblOrdenes[dia_semana],U50))</f>
        <v/>
      </c>
      <c r="W50" s="3">
        <f>IF(U50="","",IF(V50&lt;&gt;V49,CHAR(10)&amp;UPPER(LEFT(V50,1))&amp;MID(V50,2,20)&amp;":"&amp;CHAR(10),"")&amp;"   "&amp;IF(INDEX(tblOrdenes[turno_asignado],U50)="","(s/t)",INDEX(tblOrdenes[turno_asignado],U50))&amp;" · "&amp;IF(INDEX(tblOrdenes[tecnico_asignado],U50)="","(sin técnico)",INDEX(tblOrdenes[tecnico_asignado],U50))&amp;" · "&amp;INDEX(tblOrdenes[id_operacion],U50)&amp;" — "&amp;INDEX(tblOrdenes[descripcion_operacion],U50)&amp;" ("&amp;TEXT(INDEX(tblOrdenes[horas_efectivas],U50),"0.#")&amp;" h)")</f>
        <v/>
      </c>
    </row>
    <row r="51">
      <c r="K51" s="3">
        <f>IF(AND(IF($B$3="(todos)",TRUE,'ORDENES'!$O47=$B$3),IF($D$3="(todos)",TRUE,'ORDENES'!$AF47=$D$3),IF($F$3="(todos)",TRUE,'ORDENES'!$X47=$F$3),IF($H$3="(todos)",TRUE,'ORDENES'!$W47=$H$3),'ORDENES'!$AD47=TRUE,'ORDENES'!$A47&lt;&gt;""),1,0)</f>
        <v/>
      </c>
      <c r="L51" s="3">
        <f>IF(K51=1,IFERROR(MATCH('ORDENES'!$R47,lista_dias,0),9)*1000000000+IFERROR(MATCH('ORDENES'!$AF47,lista_turnos,0),9)*10000000+IFERROR(MATCH('ORDENES'!$AE47,tblTecnicos[nombre],0),99)*100000+44,9000000000000+44)</f>
        <v/>
      </c>
      <c r="M51" s="3">
        <f>IF(K51=1,SUMPRODUCT(--($L$8:$L$1207&lt;L51))+1,"")</f>
        <v/>
      </c>
      <c r="N51" s="17">
        <f>IF(K51=1,N('ORDENES'!$M47),0)</f>
        <v/>
      </c>
      <c r="O51" s="17">
        <f>IF('ORDENES'!$T47="preventiva",N51,0)</f>
        <v/>
      </c>
      <c r="P51" s="17">
        <f>IF('ORDENES'!$T47="correctiva",N51,0)</f>
        <v/>
      </c>
      <c r="Q51" s="3">
        <f>IF(AND(K51=1,'ORDENES'!$N47="Pendiente"),1,0)</f>
        <v/>
      </c>
      <c r="R51" s="3">
        <f>IF(Q51=1,100000-N51*1000+44*0.01,9000000000000+44)</f>
        <v/>
      </c>
      <c r="S51" s="3">
        <f>IF(Q51=1,SUMPRODUCT(--($R$8:$R$1207&lt;R51))+1,"")</f>
        <v/>
      </c>
      <c r="T51" s="12">
        <f>IF(K51=1,'ORDENES'!$J47,"")</f>
        <v/>
      </c>
      <c r="U51" s="3">
        <f>IFERROR(MATCH(44,$M$8:$M$1207,0),"")</f>
        <v/>
      </c>
      <c r="V51" s="3">
        <f>IF(U51="","",INDEX(tblOrdenes[dia_semana],U51))</f>
        <v/>
      </c>
      <c r="W51" s="3">
        <f>IF(U51="","",IF(V51&lt;&gt;V50,CHAR(10)&amp;UPPER(LEFT(V51,1))&amp;MID(V51,2,20)&amp;":"&amp;CHAR(10),"")&amp;"   "&amp;IF(INDEX(tblOrdenes[turno_asignado],U51)="","(s/t)",INDEX(tblOrdenes[turno_asignado],U51))&amp;" · "&amp;IF(INDEX(tblOrdenes[tecnico_asignado],U51)="","(sin técnico)",INDEX(tblOrdenes[tecnico_asignado],U51))&amp;" · "&amp;INDEX(tblOrdenes[id_operacion],U51)&amp;" — "&amp;INDEX(tblOrdenes[descripcion_operacion],U51)&amp;" ("&amp;TEXT(INDEX(tblOrdenes[horas_efectivas],U51),"0.#")&amp;" h)")</f>
        <v/>
      </c>
    </row>
    <row r="52">
      <c r="K52" s="3">
        <f>IF(AND(IF($B$3="(todos)",TRUE,'ORDENES'!$O48=$B$3),IF($D$3="(todos)",TRUE,'ORDENES'!$AF48=$D$3),IF($F$3="(todos)",TRUE,'ORDENES'!$X48=$F$3),IF($H$3="(todos)",TRUE,'ORDENES'!$W48=$H$3),'ORDENES'!$AD48=TRUE,'ORDENES'!$A48&lt;&gt;""),1,0)</f>
        <v/>
      </c>
      <c r="L52" s="3">
        <f>IF(K52=1,IFERROR(MATCH('ORDENES'!$R48,lista_dias,0),9)*1000000000+IFERROR(MATCH('ORDENES'!$AF48,lista_turnos,0),9)*10000000+IFERROR(MATCH('ORDENES'!$AE48,tblTecnicos[nombre],0),99)*100000+45,9000000000000+45)</f>
        <v/>
      </c>
      <c r="M52" s="3">
        <f>IF(K52=1,SUMPRODUCT(--($L$8:$L$1207&lt;L52))+1,"")</f>
        <v/>
      </c>
      <c r="N52" s="17">
        <f>IF(K52=1,N('ORDENES'!$M48),0)</f>
        <v/>
      </c>
      <c r="O52" s="17">
        <f>IF('ORDENES'!$T48="preventiva",N52,0)</f>
        <v/>
      </c>
      <c r="P52" s="17">
        <f>IF('ORDENES'!$T48="correctiva",N52,0)</f>
        <v/>
      </c>
      <c r="Q52" s="3">
        <f>IF(AND(K52=1,'ORDENES'!$N48="Pendiente"),1,0)</f>
        <v/>
      </c>
      <c r="R52" s="3">
        <f>IF(Q52=1,100000-N52*1000+45*0.01,9000000000000+45)</f>
        <v/>
      </c>
      <c r="S52" s="3">
        <f>IF(Q52=1,SUMPRODUCT(--($R$8:$R$1207&lt;R52))+1,"")</f>
        <v/>
      </c>
      <c r="T52" s="12">
        <f>IF(K52=1,'ORDENES'!$J48,"")</f>
        <v/>
      </c>
      <c r="U52" s="3">
        <f>IFERROR(MATCH(45,$M$8:$M$1207,0),"")</f>
        <v/>
      </c>
      <c r="V52" s="3">
        <f>IF(U52="","",INDEX(tblOrdenes[dia_semana],U52))</f>
        <v/>
      </c>
      <c r="W52" s="3">
        <f>IF(U52="","",IF(V52&lt;&gt;V51,CHAR(10)&amp;UPPER(LEFT(V52,1))&amp;MID(V52,2,20)&amp;":"&amp;CHAR(10),"")&amp;"   "&amp;IF(INDEX(tblOrdenes[turno_asignado],U52)="","(s/t)",INDEX(tblOrdenes[turno_asignado],U52))&amp;" · "&amp;IF(INDEX(tblOrdenes[tecnico_asignado],U52)="","(sin técnico)",INDEX(tblOrdenes[tecnico_asignado],U52))&amp;" · "&amp;INDEX(tblOrdenes[id_operacion],U52)&amp;" — "&amp;INDEX(tblOrdenes[descripcion_operacion],U52)&amp;" ("&amp;TEXT(INDEX(tblOrdenes[horas_efectivas],U52),"0.#")&amp;" h)")</f>
        <v/>
      </c>
    </row>
    <row r="53">
      <c r="K53" s="3">
        <f>IF(AND(IF($B$3="(todos)",TRUE,'ORDENES'!$O49=$B$3),IF($D$3="(todos)",TRUE,'ORDENES'!$AF49=$D$3),IF($F$3="(todos)",TRUE,'ORDENES'!$X49=$F$3),IF($H$3="(todos)",TRUE,'ORDENES'!$W49=$H$3),'ORDENES'!$AD49=TRUE,'ORDENES'!$A49&lt;&gt;""),1,0)</f>
        <v/>
      </c>
      <c r="L53" s="3">
        <f>IF(K53=1,IFERROR(MATCH('ORDENES'!$R49,lista_dias,0),9)*1000000000+IFERROR(MATCH('ORDENES'!$AF49,lista_turnos,0),9)*10000000+IFERROR(MATCH('ORDENES'!$AE49,tblTecnicos[nombre],0),99)*100000+46,9000000000000+46)</f>
        <v/>
      </c>
      <c r="M53" s="3">
        <f>IF(K53=1,SUMPRODUCT(--($L$8:$L$1207&lt;L53))+1,"")</f>
        <v/>
      </c>
      <c r="N53" s="17">
        <f>IF(K53=1,N('ORDENES'!$M49),0)</f>
        <v/>
      </c>
      <c r="O53" s="17">
        <f>IF('ORDENES'!$T49="preventiva",N53,0)</f>
        <v/>
      </c>
      <c r="P53" s="17">
        <f>IF('ORDENES'!$T49="correctiva",N53,0)</f>
        <v/>
      </c>
      <c r="Q53" s="3">
        <f>IF(AND(K53=1,'ORDENES'!$N49="Pendiente"),1,0)</f>
        <v/>
      </c>
      <c r="R53" s="3">
        <f>IF(Q53=1,100000-N53*1000+46*0.01,9000000000000+46)</f>
        <v/>
      </c>
      <c r="S53" s="3">
        <f>IF(Q53=1,SUMPRODUCT(--($R$8:$R$1207&lt;R53))+1,"")</f>
        <v/>
      </c>
      <c r="T53" s="12">
        <f>IF(K53=1,'ORDENES'!$J49,"")</f>
        <v/>
      </c>
      <c r="U53" s="3">
        <f>IFERROR(MATCH(46,$M$8:$M$1207,0),"")</f>
        <v/>
      </c>
      <c r="V53" s="3">
        <f>IF(U53="","",INDEX(tblOrdenes[dia_semana],U53))</f>
        <v/>
      </c>
      <c r="W53" s="3">
        <f>IF(U53="","",IF(V53&lt;&gt;V52,CHAR(10)&amp;UPPER(LEFT(V53,1))&amp;MID(V53,2,20)&amp;":"&amp;CHAR(10),"")&amp;"   "&amp;IF(INDEX(tblOrdenes[turno_asignado],U53)="","(s/t)",INDEX(tblOrdenes[turno_asignado],U53))&amp;" · "&amp;IF(INDEX(tblOrdenes[tecnico_asignado],U53)="","(sin técnico)",INDEX(tblOrdenes[tecnico_asignado],U53))&amp;" · "&amp;INDEX(tblOrdenes[id_operacion],U53)&amp;" — "&amp;INDEX(tblOrdenes[descripcion_operacion],U53)&amp;" ("&amp;TEXT(INDEX(tblOrdenes[horas_efectivas],U53),"0.#")&amp;" h)")</f>
        <v/>
      </c>
    </row>
    <row r="54">
      <c r="K54" s="3">
        <f>IF(AND(IF($B$3="(todos)",TRUE,'ORDENES'!$O50=$B$3),IF($D$3="(todos)",TRUE,'ORDENES'!$AF50=$D$3),IF($F$3="(todos)",TRUE,'ORDENES'!$X50=$F$3),IF($H$3="(todos)",TRUE,'ORDENES'!$W50=$H$3),'ORDENES'!$AD50=TRUE,'ORDENES'!$A50&lt;&gt;""),1,0)</f>
        <v/>
      </c>
      <c r="L54" s="3">
        <f>IF(K54=1,IFERROR(MATCH('ORDENES'!$R50,lista_dias,0),9)*1000000000+IFERROR(MATCH('ORDENES'!$AF50,lista_turnos,0),9)*10000000+IFERROR(MATCH('ORDENES'!$AE50,tblTecnicos[nombre],0),99)*100000+47,9000000000000+47)</f>
        <v/>
      </c>
      <c r="M54" s="3">
        <f>IF(K54=1,SUMPRODUCT(--($L$8:$L$1207&lt;L54))+1,"")</f>
        <v/>
      </c>
      <c r="N54" s="17">
        <f>IF(K54=1,N('ORDENES'!$M50),0)</f>
        <v/>
      </c>
      <c r="O54" s="17">
        <f>IF('ORDENES'!$T50="preventiva",N54,0)</f>
        <v/>
      </c>
      <c r="P54" s="17">
        <f>IF('ORDENES'!$T50="correctiva",N54,0)</f>
        <v/>
      </c>
      <c r="Q54" s="3">
        <f>IF(AND(K54=1,'ORDENES'!$N50="Pendiente"),1,0)</f>
        <v/>
      </c>
      <c r="R54" s="3">
        <f>IF(Q54=1,100000-N54*1000+47*0.01,9000000000000+47)</f>
        <v/>
      </c>
      <c r="S54" s="3">
        <f>IF(Q54=1,SUMPRODUCT(--($R$8:$R$1207&lt;R54))+1,"")</f>
        <v/>
      </c>
      <c r="T54" s="12">
        <f>IF(K54=1,'ORDENES'!$J50,"")</f>
        <v/>
      </c>
      <c r="U54" s="3">
        <f>IFERROR(MATCH(47,$M$8:$M$1207,0),"")</f>
        <v/>
      </c>
      <c r="V54" s="3">
        <f>IF(U54="","",INDEX(tblOrdenes[dia_semana],U54))</f>
        <v/>
      </c>
      <c r="W54" s="3">
        <f>IF(U54="","",IF(V54&lt;&gt;V53,CHAR(10)&amp;UPPER(LEFT(V54,1))&amp;MID(V54,2,20)&amp;":"&amp;CHAR(10),"")&amp;"   "&amp;IF(INDEX(tblOrdenes[turno_asignado],U54)="","(s/t)",INDEX(tblOrdenes[turno_asignado],U54))&amp;" · "&amp;IF(INDEX(tblOrdenes[tecnico_asignado],U54)="","(sin técnico)",INDEX(tblOrdenes[tecnico_asignado],U54))&amp;" · "&amp;INDEX(tblOrdenes[id_operacion],U54)&amp;" — "&amp;INDEX(tblOrdenes[descripcion_operacion],U54)&amp;" ("&amp;TEXT(INDEX(tblOrdenes[horas_efectivas],U54),"0.#")&amp;" h)")</f>
        <v/>
      </c>
    </row>
    <row r="55">
      <c r="K55" s="3">
        <f>IF(AND(IF($B$3="(todos)",TRUE,'ORDENES'!$O51=$B$3),IF($D$3="(todos)",TRUE,'ORDENES'!$AF51=$D$3),IF($F$3="(todos)",TRUE,'ORDENES'!$X51=$F$3),IF($H$3="(todos)",TRUE,'ORDENES'!$W51=$H$3),'ORDENES'!$AD51=TRUE,'ORDENES'!$A51&lt;&gt;""),1,0)</f>
        <v/>
      </c>
      <c r="L55" s="3">
        <f>IF(K55=1,IFERROR(MATCH('ORDENES'!$R51,lista_dias,0),9)*1000000000+IFERROR(MATCH('ORDENES'!$AF51,lista_turnos,0),9)*10000000+IFERROR(MATCH('ORDENES'!$AE51,tblTecnicos[nombre],0),99)*100000+48,9000000000000+48)</f>
        <v/>
      </c>
      <c r="M55" s="3">
        <f>IF(K55=1,SUMPRODUCT(--($L$8:$L$1207&lt;L55))+1,"")</f>
        <v/>
      </c>
      <c r="N55" s="17">
        <f>IF(K55=1,N('ORDENES'!$M51),0)</f>
        <v/>
      </c>
      <c r="O55" s="17">
        <f>IF('ORDENES'!$T51="preventiva",N55,0)</f>
        <v/>
      </c>
      <c r="P55" s="17">
        <f>IF('ORDENES'!$T51="correctiva",N55,0)</f>
        <v/>
      </c>
      <c r="Q55" s="3">
        <f>IF(AND(K55=1,'ORDENES'!$N51="Pendiente"),1,0)</f>
        <v/>
      </c>
      <c r="R55" s="3">
        <f>IF(Q55=1,100000-N55*1000+48*0.01,9000000000000+48)</f>
        <v/>
      </c>
      <c r="S55" s="3">
        <f>IF(Q55=1,SUMPRODUCT(--($R$8:$R$1207&lt;R55))+1,"")</f>
        <v/>
      </c>
      <c r="T55" s="12">
        <f>IF(K55=1,'ORDENES'!$J51,"")</f>
        <v/>
      </c>
      <c r="U55" s="3">
        <f>IFERROR(MATCH(48,$M$8:$M$1207,0),"")</f>
        <v/>
      </c>
      <c r="V55" s="3">
        <f>IF(U55="","",INDEX(tblOrdenes[dia_semana],U55))</f>
        <v/>
      </c>
      <c r="W55" s="3">
        <f>IF(U55="","",IF(V55&lt;&gt;V54,CHAR(10)&amp;UPPER(LEFT(V55,1))&amp;MID(V55,2,20)&amp;":"&amp;CHAR(10),"")&amp;"   "&amp;IF(INDEX(tblOrdenes[turno_asignado],U55)="","(s/t)",INDEX(tblOrdenes[turno_asignado],U55))&amp;" · "&amp;IF(INDEX(tblOrdenes[tecnico_asignado],U55)="","(sin técnico)",INDEX(tblOrdenes[tecnico_asignado],U55))&amp;" · "&amp;INDEX(tblOrdenes[id_operacion],U55)&amp;" — "&amp;INDEX(tblOrdenes[descripcion_operacion],U55)&amp;" ("&amp;TEXT(INDEX(tblOrdenes[horas_efectivas],U55),"0.#")&amp;" h)")</f>
        <v/>
      </c>
    </row>
    <row r="56">
      <c r="K56" s="3">
        <f>IF(AND(IF($B$3="(todos)",TRUE,'ORDENES'!$O52=$B$3),IF($D$3="(todos)",TRUE,'ORDENES'!$AF52=$D$3),IF($F$3="(todos)",TRUE,'ORDENES'!$X52=$F$3),IF($H$3="(todos)",TRUE,'ORDENES'!$W52=$H$3),'ORDENES'!$AD52=TRUE,'ORDENES'!$A52&lt;&gt;""),1,0)</f>
        <v/>
      </c>
      <c r="L56" s="3">
        <f>IF(K56=1,IFERROR(MATCH('ORDENES'!$R52,lista_dias,0),9)*1000000000+IFERROR(MATCH('ORDENES'!$AF52,lista_turnos,0),9)*10000000+IFERROR(MATCH('ORDENES'!$AE52,tblTecnicos[nombre],0),99)*100000+49,9000000000000+49)</f>
        <v/>
      </c>
      <c r="M56" s="3">
        <f>IF(K56=1,SUMPRODUCT(--($L$8:$L$1207&lt;L56))+1,"")</f>
        <v/>
      </c>
      <c r="N56" s="17">
        <f>IF(K56=1,N('ORDENES'!$M52),0)</f>
        <v/>
      </c>
      <c r="O56" s="17">
        <f>IF('ORDENES'!$T52="preventiva",N56,0)</f>
        <v/>
      </c>
      <c r="P56" s="17">
        <f>IF('ORDENES'!$T52="correctiva",N56,0)</f>
        <v/>
      </c>
      <c r="Q56" s="3">
        <f>IF(AND(K56=1,'ORDENES'!$N52="Pendiente"),1,0)</f>
        <v/>
      </c>
      <c r="R56" s="3">
        <f>IF(Q56=1,100000-N56*1000+49*0.01,9000000000000+49)</f>
        <v/>
      </c>
      <c r="S56" s="3">
        <f>IF(Q56=1,SUMPRODUCT(--($R$8:$R$1207&lt;R56))+1,"")</f>
        <v/>
      </c>
      <c r="T56" s="12">
        <f>IF(K56=1,'ORDENES'!$J52,"")</f>
        <v/>
      </c>
      <c r="U56" s="3">
        <f>IFERROR(MATCH(49,$M$8:$M$1207,0),"")</f>
        <v/>
      </c>
      <c r="V56" s="3">
        <f>IF(U56="","",INDEX(tblOrdenes[dia_semana],U56))</f>
        <v/>
      </c>
      <c r="W56" s="3">
        <f>IF(U56="","",IF(V56&lt;&gt;V55,CHAR(10)&amp;UPPER(LEFT(V56,1))&amp;MID(V56,2,20)&amp;":"&amp;CHAR(10),"")&amp;"   "&amp;IF(INDEX(tblOrdenes[turno_asignado],U56)="","(s/t)",INDEX(tblOrdenes[turno_asignado],U56))&amp;" · "&amp;IF(INDEX(tblOrdenes[tecnico_asignado],U56)="","(sin técnico)",INDEX(tblOrdenes[tecnico_asignado],U56))&amp;" · "&amp;INDEX(tblOrdenes[id_operacion],U56)&amp;" — "&amp;INDEX(tblOrdenes[descripcion_operacion],U56)&amp;" ("&amp;TEXT(INDEX(tblOrdenes[horas_efectivas],U56),"0.#")&amp;" h)")</f>
        <v/>
      </c>
    </row>
    <row r="57">
      <c r="K57" s="3">
        <f>IF(AND(IF($B$3="(todos)",TRUE,'ORDENES'!$O53=$B$3),IF($D$3="(todos)",TRUE,'ORDENES'!$AF53=$D$3),IF($F$3="(todos)",TRUE,'ORDENES'!$X53=$F$3),IF($H$3="(todos)",TRUE,'ORDENES'!$W53=$H$3),'ORDENES'!$AD53=TRUE,'ORDENES'!$A53&lt;&gt;""),1,0)</f>
        <v/>
      </c>
      <c r="L57" s="3">
        <f>IF(K57=1,IFERROR(MATCH('ORDENES'!$R53,lista_dias,0),9)*1000000000+IFERROR(MATCH('ORDENES'!$AF53,lista_turnos,0),9)*10000000+IFERROR(MATCH('ORDENES'!$AE53,tblTecnicos[nombre],0),99)*100000+50,9000000000000+50)</f>
        <v/>
      </c>
      <c r="M57" s="3">
        <f>IF(K57=1,SUMPRODUCT(--($L$8:$L$1207&lt;L57))+1,"")</f>
        <v/>
      </c>
      <c r="N57" s="17">
        <f>IF(K57=1,N('ORDENES'!$M53),0)</f>
        <v/>
      </c>
      <c r="O57" s="17">
        <f>IF('ORDENES'!$T53="preventiva",N57,0)</f>
        <v/>
      </c>
      <c r="P57" s="17">
        <f>IF('ORDENES'!$T53="correctiva",N57,0)</f>
        <v/>
      </c>
      <c r="Q57" s="3">
        <f>IF(AND(K57=1,'ORDENES'!$N53="Pendiente"),1,0)</f>
        <v/>
      </c>
      <c r="R57" s="3">
        <f>IF(Q57=1,100000-N57*1000+50*0.01,9000000000000+50)</f>
        <v/>
      </c>
      <c r="S57" s="3">
        <f>IF(Q57=1,SUMPRODUCT(--($R$8:$R$1207&lt;R57))+1,"")</f>
        <v/>
      </c>
      <c r="T57" s="12">
        <f>IF(K57=1,'ORDENES'!$J53,"")</f>
        <v/>
      </c>
      <c r="U57" s="3">
        <f>IFERROR(MATCH(50,$M$8:$M$1207,0),"")</f>
        <v/>
      </c>
      <c r="V57" s="3">
        <f>IF(U57="","",INDEX(tblOrdenes[dia_semana],U57))</f>
        <v/>
      </c>
      <c r="W57" s="3">
        <f>IF(U57="","",IF(V57&lt;&gt;V56,CHAR(10)&amp;UPPER(LEFT(V57,1))&amp;MID(V57,2,20)&amp;":"&amp;CHAR(10),"")&amp;"   "&amp;IF(INDEX(tblOrdenes[turno_asignado],U57)="","(s/t)",INDEX(tblOrdenes[turno_asignado],U57))&amp;" · "&amp;IF(INDEX(tblOrdenes[tecnico_asignado],U57)="","(sin técnico)",INDEX(tblOrdenes[tecnico_asignado],U57))&amp;" · "&amp;INDEX(tblOrdenes[id_operacion],U57)&amp;" — "&amp;INDEX(tblOrdenes[descripcion_operacion],U57)&amp;" ("&amp;TEXT(INDEX(tblOrdenes[horas_efectivas],U57),"0.#")&amp;" h)")</f>
        <v/>
      </c>
    </row>
    <row r="58">
      <c r="K58" s="3">
        <f>IF(AND(IF($B$3="(todos)",TRUE,'ORDENES'!$O54=$B$3),IF($D$3="(todos)",TRUE,'ORDENES'!$AF54=$D$3),IF($F$3="(todos)",TRUE,'ORDENES'!$X54=$F$3),IF($H$3="(todos)",TRUE,'ORDENES'!$W54=$H$3),'ORDENES'!$AD54=TRUE,'ORDENES'!$A54&lt;&gt;""),1,0)</f>
        <v/>
      </c>
      <c r="L58" s="3">
        <f>IF(K58=1,IFERROR(MATCH('ORDENES'!$R54,lista_dias,0),9)*1000000000+IFERROR(MATCH('ORDENES'!$AF54,lista_turnos,0),9)*10000000+IFERROR(MATCH('ORDENES'!$AE54,tblTecnicos[nombre],0),99)*100000+51,9000000000000+51)</f>
        <v/>
      </c>
      <c r="M58" s="3">
        <f>IF(K58=1,SUMPRODUCT(--($L$8:$L$1207&lt;L58))+1,"")</f>
        <v/>
      </c>
      <c r="N58" s="17">
        <f>IF(K58=1,N('ORDENES'!$M54),0)</f>
        <v/>
      </c>
      <c r="O58" s="17">
        <f>IF('ORDENES'!$T54="preventiva",N58,0)</f>
        <v/>
      </c>
      <c r="P58" s="17">
        <f>IF('ORDENES'!$T54="correctiva",N58,0)</f>
        <v/>
      </c>
      <c r="Q58" s="3">
        <f>IF(AND(K58=1,'ORDENES'!$N54="Pendiente"),1,0)</f>
        <v/>
      </c>
      <c r="R58" s="3">
        <f>IF(Q58=1,100000-N58*1000+51*0.01,9000000000000+51)</f>
        <v/>
      </c>
      <c r="S58" s="3">
        <f>IF(Q58=1,SUMPRODUCT(--($R$8:$R$1207&lt;R58))+1,"")</f>
        <v/>
      </c>
      <c r="T58" s="12">
        <f>IF(K58=1,'ORDENES'!$J54,"")</f>
        <v/>
      </c>
      <c r="U58" s="3">
        <f>IFERROR(MATCH(51,$M$8:$M$1207,0),"")</f>
        <v/>
      </c>
      <c r="V58" s="3">
        <f>IF(U58="","",INDEX(tblOrdenes[dia_semana],U58))</f>
        <v/>
      </c>
      <c r="W58" s="3">
        <f>IF(U58="","",IF(V58&lt;&gt;V57,CHAR(10)&amp;UPPER(LEFT(V58,1))&amp;MID(V58,2,20)&amp;":"&amp;CHAR(10),"")&amp;"   "&amp;IF(INDEX(tblOrdenes[turno_asignado],U58)="","(s/t)",INDEX(tblOrdenes[turno_asignado],U58))&amp;" · "&amp;IF(INDEX(tblOrdenes[tecnico_asignado],U58)="","(sin técnico)",INDEX(tblOrdenes[tecnico_asignado],U58))&amp;" · "&amp;INDEX(tblOrdenes[id_operacion],U58)&amp;" — "&amp;INDEX(tblOrdenes[descripcion_operacion],U58)&amp;" ("&amp;TEXT(INDEX(tblOrdenes[horas_efectivas],U58),"0.#")&amp;" h)")</f>
        <v/>
      </c>
    </row>
    <row r="59">
      <c r="K59" s="3">
        <f>IF(AND(IF($B$3="(todos)",TRUE,'ORDENES'!$O55=$B$3),IF($D$3="(todos)",TRUE,'ORDENES'!$AF55=$D$3),IF($F$3="(todos)",TRUE,'ORDENES'!$X55=$F$3),IF($H$3="(todos)",TRUE,'ORDENES'!$W55=$H$3),'ORDENES'!$AD55=TRUE,'ORDENES'!$A55&lt;&gt;""),1,0)</f>
        <v/>
      </c>
      <c r="L59" s="3">
        <f>IF(K59=1,IFERROR(MATCH('ORDENES'!$R55,lista_dias,0),9)*1000000000+IFERROR(MATCH('ORDENES'!$AF55,lista_turnos,0),9)*10000000+IFERROR(MATCH('ORDENES'!$AE55,tblTecnicos[nombre],0),99)*100000+52,9000000000000+52)</f>
        <v/>
      </c>
      <c r="M59" s="3">
        <f>IF(K59=1,SUMPRODUCT(--($L$8:$L$1207&lt;L59))+1,"")</f>
        <v/>
      </c>
      <c r="N59" s="17">
        <f>IF(K59=1,N('ORDENES'!$M55),0)</f>
        <v/>
      </c>
      <c r="O59" s="17">
        <f>IF('ORDENES'!$T55="preventiva",N59,0)</f>
        <v/>
      </c>
      <c r="P59" s="17">
        <f>IF('ORDENES'!$T55="correctiva",N59,0)</f>
        <v/>
      </c>
      <c r="Q59" s="3">
        <f>IF(AND(K59=1,'ORDENES'!$N55="Pendiente"),1,0)</f>
        <v/>
      </c>
      <c r="R59" s="3">
        <f>IF(Q59=1,100000-N59*1000+52*0.01,9000000000000+52)</f>
        <v/>
      </c>
      <c r="S59" s="3">
        <f>IF(Q59=1,SUMPRODUCT(--($R$8:$R$1207&lt;R59))+1,"")</f>
        <v/>
      </c>
      <c r="T59" s="12">
        <f>IF(K59=1,'ORDENES'!$J55,"")</f>
        <v/>
      </c>
      <c r="U59" s="3">
        <f>IFERROR(MATCH(52,$M$8:$M$1207,0),"")</f>
        <v/>
      </c>
      <c r="V59" s="3">
        <f>IF(U59="","",INDEX(tblOrdenes[dia_semana],U59))</f>
        <v/>
      </c>
      <c r="W59" s="3">
        <f>IF(U59="","",IF(V59&lt;&gt;V58,CHAR(10)&amp;UPPER(LEFT(V59,1))&amp;MID(V59,2,20)&amp;":"&amp;CHAR(10),"")&amp;"   "&amp;IF(INDEX(tblOrdenes[turno_asignado],U59)="","(s/t)",INDEX(tblOrdenes[turno_asignado],U59))&amp;" · "&amp;IF(INDEX(tblOrdenes[tecnico_asignado],U59)="","(sin técnico)",INDEX(tblOrdenes[tecnico_asignado],U59))&amp;" · "&amp;INDEX(tblOrdenes[id_operacion],U59)&amp;" — "&amp;INDEX(tblOrdenes[descripcion_operacion],U59)&amp;" ("&amp;TEXT(INDEX(tblOrdenes[horas_efectivas],U59),"0.#")&amp;" h)")</f>
        <v/>
      </c>
    </row>
    <row r="60">
      <c r="K60" s="3">
        <f>IF(AND(IF($B$3="(todos)",TRUE,'ORDENES'!$O56=$B$3),IF($D$3="(todos)",TRUE,'ORDENES'!$AF56=$D$3),IF($F$3="(todos)",TRUE,'ORDENES'!$X56=$F$3),IF($H$3="(todos)",TRUE,'ORDENES'!$W56=$H$3),'ORDENES'!$AD56=TRUE,'ORDENES'!$A56&lt;&gt;""),1,0)</f>
        <v/>
      </c>
      <c r="L60" s="3">
        <f>IF(K60=1,IFERROR(MATCH('ORDENES'!$R56,lista_dias,0),9)*1000000000+IFERROR(MATCH('ORDENES'!$AF56,lista_turnos,0),9)*10000000+IFERROR(MATCH('ORDENES'!$AE56,tblTecnicos[nombre],0),99)*100000+53,9000000000000+53)</f>
        <v/>
      </c>
      <c r="M60" s="3">
        <f>IF(K60=1,SUMPRODUCT(--($L$8:$L$1207&lt;L60))+1,"")</f>
        <v/>
      </c>
      <c r="N60" s="17">
        <f>IF(K60=1,N('ORDENES'!$M56),0)</f>
        <v/>
      </c>
      <c r="O60" s="17">
        <f>IF('ORDENES'!$T56="preventiva",N60,0)</f>
        <v/>
      </c>
      <c r="P60" s="17">
        <f>IF('ORDENES'!$T56="correctiva",N60,0)</f>
        <v/>
      </c>
      <c r="Q60" s="3">
        <f>IF(AND(K60=1,'ORDENES'!$N56="Pendiente"),1,0)</f>
        <v/>
      </c>
      <c r="R60" s="3">
        <f>IF(Q60=1,100000-N60*1000+53*0.01,9000000000000+53)</f>
        <v/>
      </c>
      <c r="S60" s="3">
        <f>IF(Q60=1,SUMPRODUCT(--($R$8:$R$1207&lt;R60))+1,"")</f>
        <v/>
      </c>
      <c r="T60" s="12">
        <f>IF(K60=1,'ORDENES'!$J56,"")</f>
        <v/>
      </c>
      <c r="U60" s="3">
        <f>IFERROR(MATCH(53,$M$8:$M$1207,0),"")</f>
        <v/>
      </c>
      <c r="V60" s="3">
        <f>IF(U60="","",INDEX(tblOrdenes[dia_semana],U60))</f>
        <v/>
      </c>
      <c r="W60" s="3">
        <f>IF(U60="","",IF(V60&lt;&gt;V59,CHAR(10)&amp;UPPER(LEFT(V60,1))&amp;MID(V60,2,20)&amp;":"&amp;CHAR(10),"")&amp;"   "&amp;IF(INDEX(tblOrdenes[turno_asignado],U60)="","(s/t)",INDEX(tblOrdenes[turno_asignado],U60))&amp;" · "&amp;IF(INDEX(tblOrdenes[tecnico_asignado],U60)="","(sin técnico)",INDEX(tblOrdenes[tecnico_asignado],U60))&amp;" · "&amp;INDEX(tblOrdenes[id_operacion],U60)&amp;" — "&amp;INDEX(tblOrdenes[descripcion_operacion],U60)&amp;" ("&amp;TEXT(INDEX(tblOrdenes[horas_efectivas],U60),"0.#")&amp;" h)")</f>
        <v/>
      </c>
    </row>
    <row r="61">
      <c r="K61" s="3">
        <f>IF(AND(IF($B$3="(todos)",TRUE,'ORDENES'!$O57=$B$3),IF($D$3="(todos)",TRUE,'ORDENES'!$AF57=$D$3),IF($F$3="(todos)",TRUE,'ORDENES'!$X57=$F$3),IF($H$3="(todos)",TRUE,'ORDENES'!$W57=$H$3),'ORDENES'!$AD57=TRUE,'ORDENES'!$A57&lt;&gt;""),1,0)</f>
        <v/>
      </c>
      <c r="L61" s="3">
        <f>IF(K61=1,IFERROR(MATCH('ORDENES'!$R57,lista_dias,0),9)*1000000000+IFERROR(MATCH('ORDENES'!$AF57,lista_turnos,0),9)*10000000+IFERROR(MATCH('ORDENES'!$AE57,tblTecnicos[nombre],0),99)*100000+54,9000000000000+54)</f>
        <v/>
      </c>
      <c r="M61" s="3">
        <f>IF(K61=1,SUMPRODUCT(--($L$8:$L$1207&lt;L61))+1,"")</f>
        <v/>
      </c>
      <c r="N61" s="17">
        <f>IF(K61=1,N('ORDENES'!$M57),0)</f>
        <v/>
      </c>
      <c r="O61" s="17">
        <f>IF('ORDENES'!$T57="preventiva",N61,0)</f>
        <v/>
      </c>
      <c r="P61" s="17">
        <f>IF('ORDENES'!$T57="correctiva",N61,0)</f>
        <v/>
      </c>
      <c r="Q61" s="3">
        <f>IF(AND(K61=1,'ORDENES'!$N57="Pendiente"),1,0)</f>
        <v/>
      </c>
      <c r="R61" s="3">
        <f>IF(Q61=1,100000-N61*1000+54*0.01,9000000000000+54)</f>
        <v/>
      </c>
      <c r="S61" s="3">
        <f>IF(Q61=1,SUMPRODUCT(--($R$8:$R$1207&lt;R61))+1,"")</f>
        <v/>
      </c>
      <c r="T61" s="12">
        <f>IF(K61=1,'ORDENES'!$J57,"")</f>
        <v/>
      </c>
      <c r="U61" s="3">
        <f>IFERROR(MATCH(54,$M$8:$M$1207,0),"")</f>
        <v/>
      </c>
      <c r="V61" s="3">
        <f>IF(U61="","",INDEX(tblOrdenes[dia_semana],U61))</f>
        <v/>
      </c>
      <c r="W61" s="3">
        <f>IF(U61="","",IF(V61&lt;&gt;V60,CHAR(10)&amp;UPPER(LEFT(V61,1))&amp;MID(V61,2,20)&amp;":"&amp;CHAR(10),"")&amp;"   "&amp;IF(INDEX(tblOrdenes[turno_asignado],U61)="","(s/t)",INDEX(tblOrdenes[turno_asignado],U61))&amp;" · "&amp;IF(INDEX(tblOrdenes[tecnico_asignado],U61)="","(sin técnico)",INDEX(tblOrdenes[tecnico_asignado],U61))&amp;" · "&amp;INDEX(tblOrdenes[id_operacion],U61)&amp;" — "&amp;INDEX(tblOrdenes[descripcion_operacion],U61)&amp;" ("&amp;TEXT(INDEX(tblOrdenes[horas_efectivas],U61),"0.#")&amp;" h)")</f>
        <v/>
      </c>
    </row>
    <row r="62">
      <c r="K62" s="3">
        <f>IF(AND(IF($B$3="(todos)",TRUE,'ORDENES'!$O58=$B$3),IF($D$3="(todos)",TRUE,'ORDENES'!$AF58=$D$3),IF($F$3="(todos)",TRUE,'ORDENES'!$X58=$F$3),IF($H$3="(todos)",TRUE,'ORDENES'!$W58=$H$3),'ORDENES'!$AD58=TRUE,'ORDENES'!$A58&lt;&gt;""),1,0)</f>
        <v/>
      </c>
      <c r="L62" s="3">
        <f>IF(K62=1,IFERROR(MATCH('ORDENES'!$R58,lista_dias,0),9)*1000000000+IFERROR(MATCH('ORDENES'!$AF58,lista_turnos,0),9)*10000000+IFERROR(MATCH('ORDENES'!$AE58,tblTecnicos[nombre],0),99)*100000+55,9000000000000+55)</f>
        <v/>
      </c>
      <c r="M62" s="3">
        <f>IF(K62=1,SUMPRODUCT(--($L$8:$L$1207&lt;L62))+1,"")</f>
        <v/>
      </c>
      <c r="N62" s="17">
        <f>IF(K62=1,N('ORDENES'!$M58),0)</f>
        <v/>
      </c>
      <c r="O62" s="17">
        <f>IF('ORDENES'!$T58="preventiva",N62,0)</f>
        <v/>
      </c>
      <c r="P62" s="17">
        <f>IF('ORDENES'!$T58="correctiva",N62,0)</f>
        <v/>
      </c>
      <c r="Q62" s="3">
        <f>IF(AND(K62=1,'ORDENES'!$N58="Pendiente"),1,0)</f>
        <v/>
      </c>
      <c r="R62" s="3">
        <f>IF(Q62=1,100000-N62*1000+55*0.01,9000000000000+55)</f>
        <v/>
      </c>
      <c r="S62" s="3">
        <f>IF(Q62=1,SUMPRODUCT(--($R$8:$R$1207&lt;R62))+1,"")</f>
        <v/>
      </c>
      <c r="T62" s="12">
        <f>IF(K62=1,'ORDENES'!$J58,"")</f>
        <v/>
      </c>
      <c r="U62" s="3">
        <f>IFERROR(MATCH(55,$M$8:$M$1207,0),"")</f>
        <v/>
      </c>
      <c r="V62" s="3">
        <f>IF(U62="","",INDEX(tblOrdenes[dia_semana],U62))</f>
        <v/>
      </c>
      <c r="W62" s="3">
        <f>IF(U62="","",IF(V62&lt;&gt;V61,CHAR(10)&amp;UPPER(LEFT(V62,1))&amp;MID(V62,2,20)&amp;":"&amp;CHAR(10),"")&amp;"   "&amp;IF(INDEX(tblOrdenes[turno_asignado],U62)="","(s/t)",INDEX(tblOrdenes[turno_asignado],U62))&amp;" · "&amp;IF(INDEX(tblOrdenes[tecnico_asignado],U62)="","(sin técnico)",INDEX(tblOrdenes[tecnico_asignado],U62))&amp;" · "&amp;INDEX(tblOrdenes[id_operacion],U62)&amp;" — "&amp;INDEX(tblOrdenes[descripcion_operacion],U62)&amp;" ("&amp;TEXT(INDEX(tblOrdenes[horas_efectivas],U62),"0.#")&amp;" h)")</f>
        <v/>
      </c>
    </row>
    <row r="63">
      <c r="K63" s="3">
        <f>IF(AND(IF($B$3="(todos)",TRUE,'ORDENES'!$O59=$B$3),IF($D$3="(todos)",TRUE,'ORDENES'!$AF59=$D$3),IF($F$3="(todos)",TRUE,'ORDENES'!$X59=$F$3),IF($H$3="(todos)",TRUE,'ORDENES'!$W59=$H$3),'ORDENES'!$AD59=TRUE,'ORDENES'!$A59&lt;&gt;""),1,0)</f>
        <v/>
      </c>
      <c r="L63" s="3">
        <f>IF(K63=1,IFERROR(MATCH('ORDENES'!$R59,lista_dias,0),9)*1000000000+IFERROR(MATCH('ORDENES'!$AF59,lista_turnos,0),9)*10000000+IFERROR(MATCH('ORDENES'!$AE59,tblTecnicos[nombre],0),99)*100000+56,9000000000000+56)</f>
        <v/>
      </c>
      <c r="M63" s="3">
        <f>IF(K63=1,SUMPRODUCT(--($L$8:$L$1207&lt;L63))+1,"")</f>
        <v/>
      </c>
      <c r="N63" s="17">
        <f>IF(K63=1,N('ORDENES'!$M59),0)</f>
        <v/>
      </c>
      <c r="O63" s="17">
        <f>IF('ORDENES'!$T59="preventiva",N63,0)</f>
        <v/>
      </c>
      <c r="P63" s="17">
        <f>IF('ORDENES'!$T59="correctiva",N63,0)</f>
        <v/>
      </c>
      <c r="Q63" s="3">
        <f>IF(AND(K63=1,'ORDENES'!$N59="Pendiente"),1,0)</f>
        <v/>
      </c>
      <c r="R63" s="3">
        <f>IF(Q63=1,100000-N63*1000+56*0.01,9000000000000+56)</f>
        <v/>
      </c>
      <c r="S63" s="3">
        <f>IF(Q63=1,SUMPRODUCT(--($R$8:$R$1207&lt;R63))+1,"")</f>
        <v/>
      </c>
      <c r="T63" s="12">
        <f>IF(K63=1,'ORDENES'!$J59,"")</f>
        <v/>
      </c>
      <c r="U63" s="3">
        <f>IFERROR(MATCH(56,$M$8:$M$1207,0),"")</f>
        <v/>
      </c>
      <c r="V63" s="3">
        <f>IF(U63="","",INDEX(tblOrdenes[dia_semana],U63))</f>
        <v/>
      </c>
      <c r="W63" s="3">
        <f>IF(U63="","",IF(V63&lt;&gt;V62,CHAR(10)&amp;UPPER(LEFT(V63,1))&amp;MID(V63,2,20)&amp;":"&amp;CHAR(10),"")&amp;"   "&amp;IF(INDEX(tblOrdenes[turno_asignado],U63)="","(s/t)",INDEX(tblOrdenes[turno_asignado],U63))&amp;" · "&amp;IF(INDEX(tblOrdenes[tecnico_asignado],U63)="","(sin técnico)",INDEX(tblOrdenes[tecnico_asignado],U63))&amp;" · "&amp;INDEX(tblOrdenes[id_operacion],U63)&amp;" — "&amp;INDEX(tblOrdenes[descripcion_operacion],U63)&amp;" ("&amp;TEXT(INDEX(tblOrdenes[horas_efectivas],U63),"0.#")&amp;" h)")</f>
        <v/>
      </c>
    </row>
    <row r="64">
      <c r="K64" s="3">
        <f>IF(AND(IF($B$3="(todos)",TRUE,'ORDENES'!$O60=$B$3),IF($D$3="(todos)",TRUE,'ORDENES'!$AF60=$D$3),IF($F$3="(todos)",TRUE,'ORDENES'!$X60=$F$3),IF($H$3="(todos)",TRUE,'ORDENES'!$W60=$H$3),'ORDENES'!$AD60=TRUE,'ORDENES'!$A60&lt;&gt;""),1,0)</f>
        <v/>
      </c>
      <c r="L64" s="3">
        <f>IF(K64=1,IFERROR(MATCH('ORDENES'!$R60,lista_dias,0),9)*1000000000+IFERROR(MATCH('ORDENES'!$AF60,lista_turnos,0),9)*10000000+IFERROR(MATCH('ORDENES'!$AE60,tblTecnicos[nombre],0),99)*100000+57,9000000000000+57)</f>
        <v/>
      </c>
      <c r="M64" s="3">
        <f>IF(K64=1,SUMPRODUCT(--($L$8:$L$1207&lt;L64))+1,"")</f>
        <v/>
      </c>
      <c r="N64" s="17">
        <f>IF(K64=1,N('ORDENES'!$M60),0)</f>
        <v/>
      </c>
      <c r="O64" s="17">
        <f>IF('ORDENES'!$T60="preventiva",N64,0)</f>
        <v/>
      </c>
      <c r="P64" s="17">
        <f>IF('ORDENES'!$T60="correctiva",N64,0)</f>
        <v/>
      </c>
      <c r="Q64" s="3">
        <f>IF(AND(K64=1,'ORDENES'!$N60="Pendiente"),1,0)</f>
        <v/>
      </c>
      <c r="R64" s="3">
        <f>IF(Q64=1,100000-N64*1000+57*0.01,9000000000000+57)</f>
        <v/>
      </c>
      <c r="S64" s="3">
        <f>IF(Q64=1,SUMPRODUCT(--($R$8:$R$1207&lt;R64))+1,"")</f>
        <v/>
      </c>
      <c r="T64" s="12">
        <f>IF(K64=1,'ORDENES'!$J60,"")</f>
        <v/>
      </c>
      <c r="U64" s="3">
        <f>IFERROR(MATCH(57,$M$8:$M$1207,0),"")</f>
        <v/>
      </c>
      <c r="V64" s="3">
        <f>IF(U64="","",INDEX(tblOrdenes[dia_semana],U64))</f>
        <v/>
      </c>
      <c r="W64" s="3">
        <f>IF(U64="","",IF(V64&lt;&gt;V63,CHAR(10)&amp;UPPER(LEFT(V64,1))&amp;MID(V64,2,20)&amp;":"&amp;CHAR(10),"")&amp;"   "&amp;IF(INDEX(tblOrdenes[turno_asignado],U64)="","(s/t)",INDEX(tblOrdenes[turno_asignado],U64))&amp;" · "&amp;IF(INDEX(tblOrdenes[tecnico_asignado],U64)="","(sin técnico)",INDEX(tblOrdenes[tecnico_asignado],U64))&amp;" · "&amp;INDEX(tblOrdenes[id_operacion],U64)&amp;" — "&amp;INDEX(tblOrdenes[descripcion_operacion],U64)&amp;" ("&amp;TEXT(INDEX(tblOrdenes[horas_efectivas],U64),"0.#")&amp;" h)")</f>
        <v/>
      </c>
    </row>
    <row r="65">
      <c r="K65" s="3">
        <f>IF(AND(IF($B$3="(todos)",TRUE,'ORDENES'!$O61=$B$3),IF($D$3="(todos)",TRUE,'ORDENES'!$AF61=$D$3),IF($F$3="(todos)",TRUE,'ORDENES'!$X61=$F$3),IF($H$3="(todos)",TRUE,'ORDENES'!$W61=$H$3),'ORDENES'!$AD61=TRUE,'ORDENES'!$A61&lt;&gt;""),1,0)</f>
        <v/>
      </c>
      <c r="L65" s="3">
        <f>IF(K65=1,IFERROR(MATCH('ORDENES'!$R61,lista_dias,0),9)*1000000000+IFERROR(MATCH('ORDENES'!$AF61,lista_turnos,0),9)*10000000+IFERROR(MATCH('ORDENES'!$AE61,tblTecnicos[nombre],0),99)*100000+58,9000000000000+58)</f>
        <v/>
      </c>
      <c r="M65" s="3">
        <f>IF(K65=1,SUMPRODUCT(--($L$8:$L$1207&lt;L65))+1,"")</f>
        <v/>
      </c>
      <c r="N65" s="17">
        <f>IF(K65=1,N('ORDENES'!$M61),0)</f>
        <v/>
      </c>
      <c r="O65" s="17">
        <f>IF('ORDENES'!$T61="preventiva",N65,0)</f>
        <v/>
      </c>
      <c r="P65" s="17">
        <f>IF('ORDENES'!$T61="correctiva",N65,0)</f>
        <v/>
      </c>
      <c r="Q65" s="3">
        <f>IF(AND(K65=1,'ORDENES'!$N61="Pendiente"),1,0)</f>
        <v/>
      </c>
      <c r="R65" s="3">
        <f>IF(Q65=1,100000-N65*1000+58*0.01,9000000000000+58)</f>
        <v/>
      </c>
      <c r="S65" s="3">
        <f>IF(Q65=1,SUMPRODUCT(--($R$8:$R$1207&lt;R65))+1,"")</f>
        <v/>
      </c>
      <c r="T65" s="12">
        <f>IF(K65=1,'ORDENES'!$J61,"")</f>
        <v/>
      </c>
      <c r="U65" s="3">
        <f>IFERROR(MATCH(58,$M$8:$M$1207,0),"")</f>
        <v/>
      </c>
      <c r="V65" s="3">
        <f>IF(U65="","",INDEX(tblOrdenes[dia_semana],U65))</f>
        <v/>
      </c>
      <c r="W65" s="3">
        <f>IF(U65="","",IF(V65&lt;&gt;V64,CHAR(10)&amp;UPPER(LEFT(V65,1))&amp;MID(V65,2,20)&amp;":"&amp;CHAR(10),"")&amp;"   "&amp;IF(INDEX(tblOrdenes[turno_asignado],U65)="","(s/t)",INDEX(tblOrdenes[turno_asignado],U65))&amp;" · "&amp;IF(INDEX(tblOrdenes[tecnico_asignado],U65)="","(sin técnico)",INDEX(tblOrdenes[tecnico_asignado],U65))&amp;" · "&amp;INDEX(tblOrdenes[id_operacion],U65)&amp;" — "&amp;INDEX(tblOrdenes[descripcion_operacion],U65)&amp;" ("&amp;TEXT(INDEX(tblOrdenes[horas_efectivas],U65),"0.#")&amp;" h)")</f>
        <v/>
      </c>
    </row>
    <row r="66">
      <c r="K66" s="3">
        <f>IF(AND(IF($B$3="(todos)",TRUE,'ORDENES'!$O62=$B$3),IF($D$3="(todos)",TRUE,'ORDENES'!$AF62=$D$3),IF($F$3="(todos)",TRUE,'ORDENES'!$X62=$F$3),IF($H$3="(todos)",TRUE,'ORDENES'!$W62=$H$3),'ORDENES'!$AD62=TRUE,'ORDENES'!$A62&lt;&gt;""),1,0)</f>
        <v/>
      </c>
      <c r="L66" s="3">
        <f>IF(K66=1,IFERROR(MATCH('ORDENES'!$R62,lista_dias,0),9)*1000000000+IFERROR(MATCH('ORDENES'!$AF62,lista_turnos,0),9)*10000000+IFERROR(MATCH('ORDENES'!$AE62,tblTecnicos[nombre],0),99)*100000+59,9000000000000+59)</f>
        <v/>
      </c>
      <c r="M66" s="3">
        <f>IF(K66=1,SUMPRODUCT(--($L$8:$L$1207&lt;L66))+1,"")</f>
        <v/>
      </c>
      <c r="N66" s="17">
        <f>IF(K66=1,N('ORDENES'!$M62),0)</f>
        <v/>
      </c>
      <c r="O66" s="17">
        <f>IF('ORDENES'!$T62="preventiva",N66,0)</f>
        <v/>
      </c>
      <c r="P66" s="17">
        <f>IF('ORDENES'!$T62="correctiva",N66,0)</f>
        <v/>
      </c>
      <c r="Q66" s="3">
        <f>IF(AND(K66=1,'ORDENES'!$N62="Pendiente"),1,0)</f>
        <v/>
      </c>
      <c r="R66" s="3">
        <f>IF(Q66=1,100000-N66*1000+59*0.01,9000000000000+59)</f>
        <v/>
      </c>
      <c r="S66" s="3">
        <f>IF(Q66=1,SUMPRODUCT(--($R$8:$R$1207&lt;R66))+1,"")</f>
        <v/>
      </c>
      <c r="T66" s="12">
        <f>IF(K66=1,'ORDENES'!$J62,"")</f>
        <v/>
      </c>
      <c r="U66" s="3">
        <f>IFERROR(MATCH(59,$M$8:$M$1207,0),"")</f>
        <v/>
      </c>
      <c r="V66" s="3">
        <f>IF(U66="","",INDEX(tblOrdenes[dia_semana],U66))</f>
        <v/>
      </c>
      <c r="W66" s="3">
        <f>IF(U66="","",IF(V66&lt;&gt;V65,CHAR(10)&amp;UPPER(LEFT(V66,1))&amp;MID(V66,2,20)&amp;":"&amp;CHAR(10),"")&amp;"   "&amp;IF(INDEX(tblOrdenes[turno_asignado],U66)="","(s/t)",INDEX(tblOrdenes[turno_asignado],U66))&amp;" · "&amp;IF(INDEX(tblOrdenes[tecnico_asignado],U66)="","(sin técnico)",INDEX(tblOrdenes[tecnico_asignado],U66))&amp;" · "&amp;INDEX(tblOrdenes[id_operacion],U66)&amp;" — "&amp;INDEX(tblOrdenes[descripcion_operacion],U66)&amp;" ("&amp;TEXT(INDEX(tblOrdenes[horas_efectivas],U66),"0.#")&amp;" h)")</f>
        <v/>
      </c>
    </row>
    <row r="67">
      <c r="K67" s="3">
        <f>IF(AND(IF($B$3="(todos)",TRUE,'ORDENES'!$O63=$B$3),IF($D$3="(todos)",TRUE,'ORDENES'!$AF63=$D$3),IF($F$3="(todos)",TRUE,'ORDENES'!$X63=$F$3),IF($H$3="(todos)",TRUE,'ORDENES'!$W63=$H$3),'ORDENES'!$AD63=TRUE,'ORDENES'!$A63&lt;&gt;""),1,0)</f>
        <v/>
      </c>
      <c r="L67" s="3">
        <f>IF(K67=1,IFERROR(MATCH('ORDENES'!$R63,lista_dias,0),9)*1000000000+IFERROR(MATCH('ORDENES'!$AF63,lista_turnos,0),9)*10000000+IFERROR(MATCH('ORDENES'!$AE63,tblTecnicos[nombre],0),99)*100000+60,9000000000000+60)</f>
        <v/>
      </c>
      <c r="M67" s="3">
        <f>IF(K67=1,SUMPRODUCT(--($L$8:$L$1207&lt;L67))+1,"")</f>
        <v/>
      </c>
      <c r="N67" s="17">
        <f>IF(K67=1,N('ORDENES'!$M63),0)</f>
        <v/>
      </c>
      <c r="O67" s="17">
        <f>IF('ORDENES'!$T63="preventiva",N67,0)</f>
        <v/>
      </c>
      <c r="P67" s="17">
        <f>IF('ORDENES'!$T63="correctiva",N67,0)</f>
        <v/>
      </c>
      <c r="Q67" s="3">
        <f>IF(AND(K67=1,'ORDENES'!$N63="Pendiente"),1,0)</f>
        <v/>
      </c>
      <c r="R67" s="3">
        <f>IF(Q67=1,100000-N67*1000+60*0.01,9000000000000+60)</f>
        <v/>
      </c>
      <c r="S67" s="3">
        <f>IF(Q67=1,SUMPRODUCT(--($R$8:$R$1207&lt;R67))+1,"")</f>
        <v/>
      </c>
      <c r="T67" s="12">
        <f>IF(K67=1,'ORDENES'!$J63,"")</f>
        <v/>
      </c>
      <c r="U67" s="3">
        <f>IFERROR(MATCH(60,$M$8:$M$1207,0),"")</f>
        <v/>
      </c>
      <c r="V67" s="3">
        <f>IF(U67="","",INDEX(tblOrdenes[dia_semana],U67))</f>
        <v/>
      </c>
      <c r="W67" s="3">
        <f>IF(U67="","",IF(V67&lt;&gt;V66,CHAR(10)&amp;UPPER(LEFT(V67,1))&amp;MID(V67,2,20)&amp;":"&amp;CHAR(10),"")&amp;"   "&amp;IF(INDEX(tblOrdenes[turno_asignado],U67)="","(s/t)",INDEX(tblOrdenes[turno_asignado],U67))&amp;" · "&amp;IF(INDEX(tblOrdenes[tecnico_asignado],U67)="","(sin técnico)",INDEX(tblOrdenes[tecnico_asignado],U67))&amp;" · "&amp;INDEX(tblOrdenes[id_operacion],U67)&amp;" — "&amp;INDEX(tblOrdenes[descripcion_operacion],U67)&amp;" ("&amp;TEXT(INDEX(tblOrdenes[horas_efectivas],U67),"0.#")&amp;" h)")</f>
        <v/>
      </c>
    </row>
    <row r="68">
      <c r="K68" s="3">
        <f>IF(AND(IF($B$3="(todos)",TRUE,'ORDENES'!$O64=$B$3),IF($D$3="(todos)",TRUE,'ORDENES'!$AF64=$D$3),IF($F$3="(todos)",TRUE,'ORDENES'!$X64=$F$3),IF($H$3="(todos)",TRUE,'ORDENES'!$W64=$H$3),'ORDENES'!$AD64=TRUE,'ORDENES'!$A64&lt;&gt;""),1,0)</f>
        <v/>
      </c>
      <c r="L68" s="3">
        <f>IF(K68=1,IFERROR(MATCH('ORDENES'!$R64,lista_dias,0),9)*1000000000+IFERROR(MATCH('ORDENES'!$AF64,lista_turnos,0),9)*10000000+IFERROR(MATCH('ORDENES'!$AE64,tblTecnicos[nombre],0),99)*100000+61,9000000000000+61)</f>
        <v/>
      </c>
      <c r="M68" s="3">
        <f>IF(K68=1,SUMPRODUCT(--($L$8:$L$1207&lt;L68))+1,"")</f>
        <v/>
      </c>
      <c r="N68" s="17">
        <f>IF(K68=1,N('ORDENES'!$M64),0)</f>
        <v/>
      </c>
      <c r="O68" s="17">
        <f>IF('ORDENES'!$T64="preventiva",N68,0)</f>
        <v/>
      </c>
      <c r="P68" s="17">
        <f>IF('ORDENES'!$T64="correctiva",N68,0)</f>
        <v/>
      </c>
      <c r="Q68" s="3">
        <f>IF(AND(K68=1,'ORDENES'!$N64="Pendiente"),1,0)</f>
        <v/>
      </c>
      <c r="R68" s="3">
        <f>IF(Q68=1,100000-N68*1000+61*0.01,9000000000000+61)</f>
        <v/>
      </c>
      <c r="S68" s="3">
        <f>IF(Q68=1,SUMPRODUCT(--($R$8:$R$1207&lt;R68))+1,"")</f>
        <v/>
      </c>
      <c r="T68" s="12">
        <f>IF(K68=1,'ORDENES'!$J64,"")</f>
        <v/>
      </c>
      <c r="U68" s="3">
        <f>IFERROR(MATCH(61,$M$8:$M$1207,0),"")</f>
        <v/>
      </c>
      <c r="V68" s="3">
        <f>IF(U68="","",INDEX(tblOrdenes[dia_semana],U68))</f>
        <v/>
      </c>
      <c r="W68" s="3">
        <f>IF(U68="","",IF(V68&lt;&gt;V67,CHAR(10)&amp;UPPER(LEFT(V68,1))&amp;MID(V68,2,20)&amp;":"&amp;CHAR(10),"")&amp;"   "&amp;IF(INDEX(tblOrdenes[turno_asignado],U68)="","(s/t)",INDEX(tblOrdenes[turno_asignado],U68))&amp;" · "&amp;IF(INDEX(tblOrdenes[tecnico_asignado],U68)="","(sin técnico)",INDEX(tblOrdenes[tecnico_asignado],U68))&amp;" · "&amp;INDEX(tblOrdenes[id_operacion],U68)&amp;" — "&amp;INDEX(tblOrdenes[descripcion_operacion],U68)&amp;" ("&amp;TEXT(INDEX(tblOrdenes[horas_efectivas],U68),"0.#")&amp;" h)")</f>
        <v/>
      </c>
    </row>
    <row r="69">
      <c r="K69" s="3">
        <f>IF(AND(IF($B$3="(todos)",TRUE,'ORDENES'!$O65=$B$3),IF($D$3="(todos)",TRUE,'ORDENES'!$AF65=$D$3),IF($F$3="(todos)",TRUE,'ORDENES'!$X65=$F$3),IF($H$3="(todos)",TRUE,'ORDENES'!$W65=$H$3),'ORDENES'!$AD65=TRUE,'ORDENES'!$A65&lt;&gt;""),1,0)</f>
        <v/>
      </c>
      <c r="L69" s="3">
        <f>IF(K69=1,IFERROR(MATCH('ORDENES'!$R65,lista_dias,0),9)*1000000000+IFERROR(MATCH('ORDENES'!$AF65,lista_turnos,0),9)*10000000+IFERROR(MATCH('ORDENES'!$AE65,tblTecnicos[nombre],0),99)*100000+62,9000000000000+62)</f>
        <v/>
      </c>
      <c r="M69" s="3">
        <f>IF(K69=1,SUMPRODUCT(--($L$8:$L$1207&lt;L69))+1,"")</f>
        <v/>
      </c>
      <c r="N69" s="17">
        <f>IF(K69=1,N('ORDENES'!$M65),0)</f>
        <v/>
      </c>
      <c r="O69" s="17">
        <f>IF('ORDENES'!$T65="preventiva",N69,0)</f>
        <v/>
      </c>
      <c r="P69" s="17">
        <f>IF('ORDENES'!$T65="correctiva",N69,0)</f>
        <v/>
      </c>
      <c r="Q69" s="3">
        <f>IF(AND(K69=1,'ORDENES'!$N65="Pendiente"),1,0)</f>
        <v/>
      </c>
      <c r="R69" s="3">
        <f>IF(Q69=1,100000-N69*1000+62*0.01,9000000000000+62)</f>
        <v/>
      </c>
      <c r="S69" s="3">
        <f>IF(Q69=1,SUMPRODUCT(--($R$8:$R$1207&lt;R69))+1,"")</f>
        <v/>
      </c>
      <c r="T69" s="12">
        <f>IF(K69=1,'ORDENES'!$J65,"")</f>
        <v/>
      </c>
      <c r="U69" s="3">
        <f>IFERROR(MATCH(62,$M$8:$M$1207,0),"")</f>
        <v/>
      </c>
      <c r="V69" s="3">
        <f>IF(U69="","",INDEX(tblOrdenes[dia_semana],U69))</f>
        <v/>
      </c>
      <c r="W69" s="3">
        <f>IF(U69="","",IF(V69&lt;&gt;V68,CHAR(10)&amp;UPPER(LEFT(V69,1))&amp;MID(V69,2,20)&amp;":"&amp;CHAR(10),"")&amp;"   "&amp;IF(INDEX(tblOrdenes[turno_asignado],U69)="","(s/t)",INDEX(tblOrdenes[turno_asignado],U69))&amp;" · "&amp;IF(INDEX(tblOrdenes[tecnico_asignado],U69)="","(sin técnico)",INDEX(tblOrdenes[tecnico_asignado],U69))&amp;" · "&amp;INDEX(tblOrdenes[id_operacion],U69)&amp;" — "&amp;INDEX(tblOrdenes[descripcion_operacion],U69)&amp;" ("&amp;TEXT(INDEX(tblOrdenes[horas_efectivas],U69),"0.#")&amp;" h)")</f>
        <v/>
      </c>
    </row>
    <row r="70">
      <c r="K70" s="3">
        <f>IF(AND(IF($B$3="(todos)",TRUE,'ORDENES'!$O66=$B$3),IF($D$3="(todos)",TRUE,'ORDENES'!$AF66=$D$3),IF($F$3="(todos)",TRUE,'ORDENES'!$X66=$F$3),IF($H$3="(todos)",TRUE,'ORDENES'!$W66=$H$3),'ORDENES'!$AD66=TRUE,'ORDENES'!$A66&lt;&gt;""),1,0)</f>
        <v/>
      </c>
      <c r="L70" s="3">
        <f>IF(K70=1,IFERROR(MATCH('ORDENES'!$R66,lista_dias,0),9)*1000000000+IFERROR(MATCH('ORDENES'!$AF66,lista_turnos,0),9)*10000000+IFERROR(MATCH('ORDENES'!$AE66,tblTecnicos[nombre],0),99)*100000+63,9000000000000+63)</f>
        <v/>
      </c>
      <c r="M70" s="3">
        <f>IF(K70=1,SUMPRODUCT(--($L$8:$L$1207&lt;L70))+1,"")</f>
        <v/>
      </c>
      <c r="N70" s="17">
        <f>IF(K70=1,N('ORDENES'!$M66),0)</f>
        <v/>
      </c>
      <c r="O70" s="17">
        <f>IF('ORDENES'!$T66="preventiva",N70,0)</f>
        <v/>
      </c>
      <c r="P70" s="17">
        <f>IF('ORDENES'!$T66="correctiva",N70,0)</f>
        <v/>
      </c>
      <c r="Q70" s="3">
        <f>IF(AND(K70=1,'ORDENES'!$N66="Pendiente"),1,0)</f>
        <v/>
      </c>
      <c r="R70" s="3">
        <f>IF(Q70=1,100000-N70*1000+63*0.01,9000000000000+63)</f>
        <v/>
      </c>
      <c r="S70" s="3">
        <f>IF(Q70=1,SUMPRODUCT(--($R$8:$R$1207&lt;R70))+1,"")</f>
        <v/>
      </c>
      <c r="T70" s="12">
        <f>IF(K70=1,'ORDENES'!$J66,"")</f>
        <v/>
      </c>
      <c r="U70" s="3">
        <f>IFERROR(MATCH(63,$M$8:$M$1207,0),"")</f>
        <v/>
      </c>
      <c r="V70" s="3">
        <f>IF(U70="","",INDEX(tblOrdenes[dia_semana],U70))</f>
        <v/>
      </c>
      <c r="W70" s="3">
        <f>IF(U70="","",IF(V70&lt;&gt;V69,CHAR(10)&amp;UPPER(LEFT(V70,1))&amp;MID(V70,2,20)&amp;":"&amp;CHAR(10),"")&amp;"   "&amp;IF(INDEX(tblOrdenes[turno_asignado],U70)="","(s/t)",INDEX(tblOrdenes[turno_asignado],U70))&amp;" · "&amp;IF(INDEX(tblOrdenes[tecnico_asignado],U70)="","(sin técnico)",INDEX(tblOrdenes[tecnico_asignado],U70))&amp;" · "&amp;INDEX(tblOrdenes[id_operacion],U70)&amp;" — "&amp;INDEX(tblOrdenes[descripcion_operacion],U70)&amp;" ("&amp;TEXT(INDEX(tblOrdenes[horas_efectivas],U70),"0.#")&amp;" h)")</f>
        <v/>
      </c>
    </row>
    <row r="71">
      <c r="K71" s="3">
        <f>IF(AND(IF($B$3="(todos)",TRUE,'ORDENES'!$O67=$B$3),IF($D$3="(todos)",TRUE,'ORDENES'!$AF67=$D$3),IF($F$3="(todos)",TRUE,'ORDENES'!$X67=$F$3),IF($H$3="(todos)",TRUE,'ORDENES'!$W67=$H$3),'ORDENES'!$AD67=TRUE,'ORDENES'!$A67&lt;&gt;""),1,0)</f>
        <v/>
      </c>
      <c r="L71" s="3">
        <f>IF(K71=1,IFERROR(MATCH('ORDENES'!$R67,lista_dias,0),9)*1000000000+IFERROR(MATCH('ORDENES'!$AF67,lista_turnos,0),9)*10000000+IFERROR(MATCH('ORDENES'!$AE67,tblTecnicos[nombre],0),99)*100000+64,9000000000000+64)</f>
        <v/>
      </c>
      <c r="M71" s="3">
        <f>IF(K71=1,SUMPRODUCT(--($L$8:$L$1207&lt;L71))+1,"")</f>
        <v/>
      </c>
      <c r="N71" s="17">
        <f>IF(K71=1,N('ORDENES'!$M67),0)</f>
        <v/>
      </c>
      <c r="O71" s="17">
        <f>IF('ORDENES'!$T67="preventiva",N71,0)</f>
        <v/>
      </c>
      <c r="P71" s="17">
        <f>IF('ORDENES'!$T67="correctiva",N71,0)</f>
        <v/>
      </c>
      <c r="Q71" s="3">
        <f>IF(AND(K71=1,'ORDENES'!$N67="Pendiente"),1,0)</f>
        <v/>
      </c>
      <c r="R71" s="3">
        <f>IF(Q71=1,100000-N71*1000+64*0.01,9000000000000+64)</f>
        <v/>
      </c>
      <c r="S71" s="3">
        <f>IF(Q71=1,SUMPRODUCT(--($R$8:$R$1207&lt;R71))+1,"")</f>
        <v/>
      </c>
      <c r="T71" s="12">
        <f>IF(K71=1,'ORDENES'!$J67,"")</f>
        <v/>
      </c>
      <c r="U71" s="3">
        <f>IFERROR(MATCH(64,$M$8:$M$1207,0),"")</f>
        <v/>
      </c>
      <c r="V71" s="3">
        <f>IF(U71="","",INDEX(tblOrdenes[dia_semana],U71))</f>
        <v/>
      </c>
      <c r="W71" s="3">
        <f>IF(U71="","",IF(V71&lt;&gt;V70,CHAR(10)&amp;UPPER(LEFT(V71,1))&amp;MID(V71,2,20)&amp;":"&amp;CHAR(10),"")&amp;"   "&amp;IF(INDEX(tblOrdenes[turno_asignado],U71)="","(s/t)",INDEX(tblOrdenes[turno_asignado],U71))&amp;" · "&amp;IF(INDEX(tblOrdenes[tecnico_asignado],U71)="","(sin técnico)",INDEX(tblOrdenes[tecnico_asignado],U71))&amp;" · "&amp;INDEX(tblOrdenes[id_operacion],U71)&amp;" — "&amp;INDEX(tblOrdenes[descripcion_operacion],U71)&amp;" ("&amp;TEXT(INDEX(tblOrdenes[horas_efectivas],U71),"0.#")&amp;" h)")</f>
        <v/>
      </c>
    </row>
    <row r="72">
      <c r="K72" s="3">
        <f>IF(AND(IF($B$3="(todos)",TRUE,'ORDENES'!$O68=$B$3),IF($D$3="(todos)",TRUE,'ORDENES'!$AF68=$D$3),IF($F$3="(todos)",TRUE,'ORDENES'!$X68=$F$3),IF($H$3="(todos)",TRUE,'ORDENES'!$W68=$H$3),'ORDENES'!$AD68=TRUE,'ORDENES'!$A68&lt;&gt;""),1,0)</f>
        <v/>
      </c>
      <c r="L72" s="3">
        <f>IF(K72=1,IFERROR(MATCH('ORDENES'!$R68,lista_dias,0),9)*1000000000+IFERROR(MATCH('ORDENES'!$AF68,lista_turnos,0),9)*10000000+IFERROR(MATCH('ORDENES'!$AE68,tblTecnicos[nombre],0),99)*100000+65,9000000000000+65)</f>
        <v/>
      </c>
      <c r="M72" s="3">
        <f>IF(K72=1,SUMPRODUCT(--($L$8:$L$1207&lt;L72))+1,"")</f>
        <v/>
      </c>
      <c r="N72" s="17">
        <f>IF(K72=1,N('ORDENES'!$M68),0)</f>
        <v/>
      </c>
      <c r="O72" s="17">
        <f>IF('ORDENES'!$T68="preventiva",N72,0)</f>
        <v/>
      </c>
      <c r="P72" s="17">
        <f>IF('ORDENES'!$T68="correctiva",N72,0)</f>
        <v/>
      </c>
      <c r="Q72" s="3">
        <f>IF(AND(K72=1,'ORDENES'!$N68="Pendiente"),1,0)</f>
        <v/>
      </c>
      <c r="R72" s="3">
        <f>IF(Q72=1,100000-N72*1000+65*0.01,9000000000000+65)</f>
        <v/>
      </c>
      <c r="S72" s="3">
        <f>IF(Q72=1,SUMPRODUCT(--($R$8:$R$1207&lt;R72))+1,"")</f>
        <v/>
      </c>
      <c r="T72" s="12">
        <f>IF(K72=1,'ORDENES'!$J68,"")</f>
        <v/>
      </c>
      <c r="U72" s="3">
        <f>IFERROR(MATCH(65,$M$8:$M$1207,0),"")</f>
        <v/>
      </c>
      <c r="V72" s="3">
        <f>IF(U72="","",INDEX(tblOrdenes[dia_semana],U72))</f>
        <v/>
      </c>
      <c r="W72" s="3">
        <f>IF(U72="","",IF(V72&lt;&gt;V71,CHAR(10)&amp;UPPER(LEFT(V72,1))&amp;MID(V72,2,20)&amp;":"&amp;CHAR(10),"")&amp;"   "&amp;IF(INDEX(tblOrdenes[turno_asignado],U72)="","(s/t)",INDEX(tblOrdenes[turno_asignado],U72))&amp;" · "&amp;IF(INDEX(tblOrdenes[tecnico_asignado],U72)="","(sin técnico)",INDEX(tblOrdenes[tecnico_asignado],U72))&amp;" · "&amp;INDEX(tblOrdenes[id_operacion],U72)&amp;" — "&amp;INDEX(tblOrdenes[descripcion_operacion],U72)&amp;" ("&amp;TEXT(INDEX(tblOrdenes[horas_efectivas],U72),"0.#")&amp;" h)")</f>
        <v/>
      </c>
    </row>
    <row r="73">
      <c r="K73" s="3">
        <f>IF(AND(IF($B$3="(todos)",TRUE,'ORDENES'!$O69=$B$3),IF($D$3="(todos)",TRUE,'ORDENES'!$AF69=$D$3),IF($F$3="(todos)",TRUE,'ORDENES'!$X69=$F$3),IF($H$3="(todos)",TRUE,'ORDENES'!$W69=$H$3),'ORDENES'!$AD69=TRUE,'ORDENES'!$A69&lt;&gt;""),1,0)</f>
        <v/>
      </c>
      <c r="L73" s="3">
        <f>IF(K73=1,IFERROR(MATCH('ORDENES'!$R69,lista_dias,0),9)*1000000000+IFERROR(MATCH('ORDENES'!$AF69,lista_turnos,0),9)*10000000+IFERROR(MATCH('ORDENES'!$AE69,tblTecnicos[nombre],0),99)*100000+66,9000000000000+66)</f>
        <v/>
      </c>
      <c r="M73" s="3">
        <f>IF(K73=1,SUMPRODUCT(--($L$8:$L$1207&lt;L73))+1,"")</f>
        <v/>
      </c>
      <c r="N73" s="17">
        <f>IF(K73=1,N('ORDENES'!$M69),0)</f>
        <v/>
      </c>
      <c r="O73" s="17">
        <f>IF('ORDENES'!$T69="preventiva",N73,0)</f>
        <v/>
      </c>
      <c r="P73" s="17">
        <f>IF('ORDENES'!$T69="correctiva",N73,0)</f>
        <v/>
      </c>
      <c r="Q73" s="3">
        <f>IF(AND(K73=1,'ORDENES'!$N69="Pendiente"),1,0)</f>
        <v/>
      </c>
      <c r="R73" s="3">
        <f>IF(Q73=1,100000-N73*1000+66*0.01,9000000000000+66)</f>
        <v/>
      </c>
      <c r="S73" s="3">
        <f>IF(Q73=1,SUMPRODUCT(--($R$8:$R$1207&lt;R73))+1,"")</f>
        <v/>
      </c>
      <c r="T73" s="12">
        <f>IF(K73=1,'ORDENES'!$J69,"")</f>
        <v/>
      </c>
      <c r="U73" s="3">
        <f>IFERROR(MATCH(66,$M$8:$M$1207,0),"")</f>
        <v/>
      </c>
      <c r="V73" s="3">
        <f>IF(U73="","",INDEX(tblOrdenes[dia_semana],U73))</f>
        <v/>
      </c>
      <c r="W73" s="3">
        <f>IF(U73="","",IF(V73&lt;&gt;V72,CHAR(10)&amp;UPPER(LEFT(V73,1))&amp;MID(V73,2,20)&amp;":"&amp;CHAR(10),"")&amp;"   "&amp;IF(INDEX(tblOrdenes[turno_asignado],U73)="","(s/t)",INDEX(tblOrdenes[turno_asignado],U73))&amp;" · "&amp;IF(INDEX(tblOrdenes[tecnico_asignado],U73)="","(sin técnico)",INDEX(tblOrdenes[tecnico_asignado],U73))&amp;" · "&amp;INDEX(tblOrdenes[id_operacion],U73)&amp;" — "&amp;INDEX(tblOrdenes[descripcion_operacion],U73)&amp;" ("&amp;TEXT(INDEX(tblOrdenes[horas_efectivas],U73),"0.#")&amp;" h)")</f>
        <v/>
      </c>
    </row>
    <row r="74">
      <c r="K74" s="3">
        <f>IF(AND(IF($B$3="(todos)",TRUE,'ORDENES'!$O70=$B$3),IF($D$3="(todos)",TRUE,'ORDENES'!$AF70=$D$3),IF($F$3="(todos)",TRUE,'ORDENES'!$X70=$F$3),IF($H$3="(todos)",TRUE,'ORDENES'!$W70=$H$3),'ORDENES'!$AD70=TRUE,'ORDENES'!$A70&lt;&gt;""),1,0)</f>
        <v/>
      </c>
      <c r="L74" s="3">
        <f>IF(K74=1,IFERROR(MATCH('ORDENES'!$R70,lista_dias,0),9)*1000000000+IFERROR(MATCH('ORDENES'!$AF70,lista_turnos,0),9)*10000000+IFERROR(MATCH('ORDENES'!$AE70,tblTecnicos[nombre],0),99)*100000+67,9000000000000+67)</f>
        <v/>
      </c>
      <c r="M74" s="3">
        <f>IF(K74=1,SUMPRODUCT(--($L$8:$L$1207&lt;L74))+1,"")</f>
        <v/>
      </c>
      <c r="N74" s="17">
        <f>IF(K74=1,N('ORDENES'!$M70),0)</f>
        <v/>
      </c>
      <c r="O74" s="17">
        <f>IF('ORDENES'!$T70="preventiva",N74,0)</f>
        <v/>
      </c>
      <c r="P74" s="17">
        <f>IF('ORDENES'!$T70="correctiva",N74,0)</f>
        <v/>
      </c>
      <c r="Q74" s="3">
        <f>IF(AND(K74=1,'ORDENES'!$N70="Pendiente"),1,0)</f>
        <v/>
      </c>
      <c r="R74" s="3">
        <f>IF(Q74=1,100000-N74*1000+67*0.01,9000000000000+67)</f>
        <v/>
      </c>
      <c r="S74" s="3">
        <f>IF(Q74=1,SUMPRODUCT(--($R$8:$R$1207&lt;R74))+1,"")</f>
        <v/>
      </c>
      <c r="T74" s="12">
        <f>IF(K74=1,'ORDENES'!$J70,"")</f>
        <v/>
      </c>
      <c r="U74" s="3">
        <f>IFERROR(MATCH(67,$M$8:$M$1207,0),"")</f>
        <v/>
      </c>
      <c r="V74" s="3">
        <f>IF(U74="","",INDEX(tblOrdenes[dia_semana],U74))</f>
        <v/>
      </c>
      <c r="W74" s="3">
        <f>IF(U74="","",IF(V74&lt;&gt;V73,CHAR(10)&amp;UPPER(LEFT(V74,1))&amp;MID(V74,2,20)&amp;":"&amp;CHAR(10),"")&amp;"   "&amp;IF(INDEX(tblOrdenes[turno_asignado],U74)="","(s/t)",INDEX(tblOrdenes[turno_asignado],U74))&amp;" · "&amp;IF(INDEX(tblOrdenes[tecnico_asignado],U74)="","(sin técnico)",INDEX(tblOrdenes[tecnico_asignado],U74))&amp;" · "&amp;INDEX(tblOrdenes[id_operacion],U74)&amp;" — "&amp;INDEX(tblOrdenes[descripcion_operacion],U74)&amp;" ("&amp;TEXT(INDEX(tblOrdenes[horas_efectivas],U74),"0.#")&amp;" h)")</f>
        <v/>
      </c>
    </row>
    <row r="75">
      <c r="K75" s="3">
        <f>IF(AND(IF($B$3="(todos)",TRUE,'ORDENES'!$O71=$B$3),IF($D$3="(todos)",TRUE,'ORDENES'!$AF71=$D$3),IF($F$3="(todos)",TRUE,'ORDENES'!$X71=$F$3),IF($H$3="(todos)",TRUE,'ORDENES'!$W71=$H$3),'ORDENES'!$AD71=TRUE,'ORDENES'!$A71&lt;&gt;""),1,0)</f>
        <v/>
      </c>
      <c r="L75" s="3">
        <f>IF(K75=1,IFERROR(MATCH('ORDENES'!$R71,lista_dias,0),9)*1000000000+IFERROR(MATCH('ORDENES'!$AF71,lista_turnos,0),9)*10000000+IFERROR(MATCH('ORDENES'!$AE71,tblTecnicos[nombre],0),99)*100000+68,9000000000000+68)</f>
        <v/>
      </c>
      <c r="M75" s="3">
        <f>IF(K75=1,SUMPRODUCT(--($L$8:$L$1207&lt;L75))+1,"")</f>
        <v/>
      </c>
      <c r="N75" s="17">
        <f>IF(K75=1,N('ORDENES'!$M71),0)</f>
        <v/>
      </c>
      <c r="O75" s="17">
        <f>IF('ORDENES'!$T71="preventiva",N75,0)</f>
        <v/>
      </c>
      <c r="P75" s="17">
        <f>IF('ORDENES'!$T71="correctiva",N75,0)</f>
        <v/>
      </c>
      <c r="Q75" s="3">
        <f>IF(AND(K75=1,'ORDENES'!$N71="Pendiente"),1,0)</f>
        <v/>
      </c>
      <c r="R75" s="3">
        <f>IF(Q75=1,100000-N75*1000+68*0.01,9000000000000+68)</f>
        <v/>
      </c>
      <c r="S75" s="3">
        <f>IF(Q75=1,SUMPRODUCT(--($R$8:$R$1207&lt;R75))+1,"")</f>
        <v/>
      </c>
      <c r="T75" s="12">
        <f>IF(K75=1,'ORDENES'!$J71,"")</f>
        <v/>
      </c>
      <c r="U75" s="3">
        <f>IFERROR(MATCH(68,$M$8:$M$1207,0),"")</f>
        <v/>
      </c>
      <c r="V75" s="3">
        <f>IF(U75="","",INDEX(tblOrdenes[dia_semana],U75))</f>
        <v/>
      </c>
      <c r="W75" s="3">
        <f>IF(U75="","",IF(V75&lt;&gt;V74,CHAR(10)&amp;UPPER(LEFT(V75,1))&amp;MID(V75,2,20)&amp;":"&amp;CHAR(10),"")&amp;"   "&amp;IF(INDEX(tblOrdenes[turno_asignado],U75)="","(s/t)",INDEX(tblOrdenes[turno_asignado],U75))&amp;" · "&amp;IF(INDEX(tblOrdenes[tecnico_asignado],U75)="","(sin técnico)",INDEX(tblOrdenes[tecnico_asignado],U75))&amp;" · "&amp;INDEX(tblOrdenes[id_operacion],U75)&amp;" — "&amp;INDEX(tblOrdenes[descripcion_operacion],U75)&amp;" ("&amp;TEXT(INDEX(tblOrdenes[horas_efectivas],U75),"0.#")&amp;" h)")</f>
        <v/>
      </c>
    </row>
    <row r="76">
      <c r="K76" s="3">
        <f>IF(AND(IF($B$3="(todos)",TRUE,'ORDENES'!$O72=$B$3),IF($D$3="(todos)",TRUE,'ORDENES'!$AF72=$D$3),IF($F$3="(todos)",TRUE,'ORDENES'!$X72=$F$3),IF($H$3="(todos)",TRUE,'ORDENES'!$W72=$H$3),'ORDENES'!$AD72=TRUE,'ORDENES'!$A72&lt;&gt;""),1,0)</f>
        <v/>
      </c>
      <c r="L76" s="3">
        <f>IF(K76=1,IFERROR(MATCH('ORDENES'!$R72,lista_dias,0),9)*1000000000+IFERROR(MATCH('ORDENES'!$AF72,lista_turnos,0),9)*10000000+IFERROR(MATCH('ORDENES'!$AE72,tblTecnicos[nombre],0),99)*100000+69,9000000000000+69)</f>
        <v/>
      </c>
      <c r="M76" s="3">
        <f>IF(K76=1,SUMPRODUCT(--($L$8:$L$1207&lt;L76))+1,"")</f>
        <v/>
      </c>
      <c r="N76" s="17">
        <f>IF(K76=1,N('ORDENES'!$M72),0)</f>
        <v/>
      </c>
      <c r="O76" s="17">
        <f>IF('ORDENES'!$T72="preventiva",N76,0)</f>
        <v/>
      </c>
      <c r="P76" s="17">
        <f>IF('ORDENES'!$T72="correctiva",N76,0)</f>
        <v/>
      </c>
      <c r="Q76" s="3">
        <f>IF(AND(K76=1,'ORDENES'!$N72="Pendiente"),1,0)</f>
        <v/>
      </c>
      <c r="R76" s="3">
        <f>IF(Q76=1,100000-N76*1000+69*0.01,9000000000000+69)</f>
        <v/>
      </c>
      <c r="S76" s="3">
        <f>IF(Q76=1,SUMPRODUCT(--($R$8:$R$1207&lt;R76))+1,"")</f>
        <v/>
      </c>
      <c r="T76" s="12">
        <f>IF(K76=1,'ORDENES'!$J72,"")</f>
        <v/>
      </c>
      <c r="U76" s="3">
        <f>IFERROR(MATCH(69,$M$8:$M$1207,0),"")</f>
        <v/>
      </c>
      <c r="V76" s="3">
        <f>IF(U76="","",INDEX(tblOrdenes[dia_semana],U76))</f>
        <v/>
      </c>
      <c r="W76" s="3">
        <f>IF(U76="","",IF(V76&lt;&gt;V75,CHAR(10)&amp;UPPER(LEFT(V76,1))&amp;MID(V76,2,20)&amp;":"&amp;CHAR(10),"")&amp;"   "&amp;IF(INDEX(tblOrdenes[turno_asignado],U76)="","(s/t)",INDEX(tblOrdenes[turno_asignado],U76))&amp;" · "&amp;IF(INDEX(tblOrdenes[tecnico_asignado],U76)="","(sin técnico)",INDEX(tblOrdenes[tecnico_asignado],U76))&amp;" · "&amp;INDEX(tblOrdenes[id_operacion],U76)&amp;" — "&amp;INDEX(tblOrdenes[descripcion_operacion],U76)&amp;" ("&amp;TEXT(INDEX(tblOrdenes[horas_efectivas],U76),"0.#")&amp;" h)")</f>
        <v/>
      </c>
    </row>
    <row r="77">
      <c r="K77" s="3">
        <f>IF(AND(IF($B$3="(todos)",TRUE,'ORDENES'!$O73=$B$3),IF($D$3="(todos)",TRUE,'ORDENES'!$AF73=$D$3),IF($F$3="(todos)",TRUE,'ORDENES'!$X73=$F$3),IF($H$3="(todos)",TRUE,'ORDENES'!$W73=$H$3),'ORDENES'!$AD73=TRUE,'ORDENES'!$A73&lt;&gt;""),1,0)</f>
        <v/>
      </c>
      <c r="L77" s="3">
        <f>IF(K77=1,IFERROR(MATCH('ORDENES'!$R73,lista_dias,0),9)*1000000000+IFERROR(MATCH('ORDENES'!$AF73,lista_turnos,0),9)*10000000+IFERROR(MATCH('ORDENES'!$AE73,tblTecnicos[nombre],0),99)*100000+70,9000000000000+70)</f>
        <v/>
      </c>
      <c r="M77" s="3">
        <f>IF(K77=1,SUMPRODUCT(--($L$8:$L$1207&lt;L77))+1,"")</f>
        <v/>
      </c>
      <c r="N77" s="17">
        <f>IF(K77=1,N('ORDENES'!$M73),0)</f>
        <v/>
      </c>
      <c r="O77" s="17">
        <f>IF('ORDENES'!$T73="preventiva",N77,0)</f>
        <v/>
      </c>
      <c r="P77" s="17">
        <f>IF('ORDENES'!$T73="correctiva",N77,0)</f>
        <v/>
      </c>
      <c r="Q77" s="3">
        <f>IF(AND(K77=1,'ORDENES'!$N73="Pendiente"),1,0)</f>
        <v/>
      </c>
      <c r="R77" s="3">
        <f>IF(Q77=1,100000-N77*1000+70*0.01,9000000000000+70)</f>
        <v/>
      </c>
      <c r="S77" s="3">
        <f>IF(Q77=1,SUMPRODUCT(--($R$8:$R$1207&lt;R77))+1,"")</f>
        <v/>
      </c>
      <c r="T77" s="12">
        <f>IF(K77=1,'ORDENES'!$J73,"")</f>
        <v/>
      </c>
      <c r="U77" s="3">
        <f>IFERROR(MATCH(70,$M$8:$M$1207,0),"")</f>
        <v/>
      </c>
      <c r="V77" s="3">
        <f>IF(U77="","",INDEX(tblOrdenes[dia_semana],U77))</f>
        <v/>
      </c>
      <c r="W77" s="3">
        <f>IF(U77="","",IF(V77&lt;&gt;V76,CHAR(10)&amp;UPPER(LEFT(V77,1))&amp;MID(V77,2,20)&amp;":"&amp;CHAR(10),"")&amp;"   "&amp;IF(INDEX(tblOrdenes[turno_asignado],U77)="","(s/t)",INDEX(tblOrdenes[turno_asignado],U77))&amp;" · "&amp;IF(INDEX(tblOrdenes[tecnico_asignado],U77)="","(sin técnico)",INDEX(tblOrdenes[tecnico_asignado],U77))&amp;" · "&amp;INDEX(tblOrdenes[id_operacion],U77)&amp;" — "&amp;INDEX(tblOrdenes[descripcion_operacion],U77)&amp;" ("&amp;TEXT(INDEX(tblOrdenes[horas_efectivas],U77),"0.#")&amp;" h)")</f>
        <v/>
      </c>
    </row>
    <row r="78">
      <c r="K78" s="3">
        <f>IF(AND(IF($B$3="(todos)",TRUE,'ORDENES'!$O74=$B$3),IF($D$3="(todos)",TRUE,'ORDENES'!$AF74=$D$3),IF($F$3="(todos)",TRUE,'ORDENES'!$X74=$F$3),IF($H$3="(todos)",TRUE,'ORDENES'!$W74=$H$3),'ORDENES'!$AD74=TRUE,'ORDENES'!$A74&lt;&gt;""),1,0)</f>
        <v/>
      </c>
      <c r="L78" s="3">
        <f>IF(K78=1,IFERROR(MATCH('ORDENES'!$R74,lista_dias,0),9)*1000000000+IFERROR(MATCH('ORDENES'!$AF74,lista_turnos,0),9)*10000000+IFERROR(MATCH('ORDENES'!$AE74,tblTecnicos[nombre],0),99)*100000+71,9000000000000+71)</f>
        <v/>
      </c>
      <c r="M78" s="3">
        <f>IF(K78=1,SUMPRODUCT(--($L$8:$L$1207&lt;L78))+1,"")</f>
        <v/>
      </c>
      <c r="N78" s="17">
        <f>IF(K78=1,N('ORDENES'!$M74),0)</f>
        <v/>
      </c>
      <c r="O78" s="17">
        <f>IF('ORDENES'!$T74="preventiva",N78,0)</f>
        <v/>
      </c>
      <c r="P78" s="17">
        <f>IF('ORDENES'!$T74="correctiva",N78,0)</f>
        <v/>
      </c>
      <c r="Q78" s="3">
        <f>IF(AND(K78=1,'ORDENES'!$N74="Pendiente"),1,0)</f>
        <v/>
      </c>
      <c r="R78" s="3">
        <f>IF(Q78=1,100000-N78*1000+71*0.01,9000000000000+71)</f>
        <v/>
      </c>
      <c r="S78" s="3">
        <f>IF(Q78=1,SUMPRODUCT(--($R$8:$R$1207&lt;R78))+1,"")</f>
        <v/>
      </c>
      <c r="T78" s="12">
        <f>IF(K78=1,'ORDENES'!$J74,"")</f>
        <v/>
      </c>
      <c r="U78" s="3">
        <f>IFERROR(MATCH(71,$M$8:$M$1207,0),"")</f>
        <v/>
      </c>
      <c r="V78" s="3">
        <f>IF(U78="","",INDEX(tblOrdenes[dia_semana],U78))</f>
        <v/>
      </c>
      <c r="W78" s="3">
        <f>IF(U78="","",IF(V78&lt;&gt;V77,CHAR(10)&amp;UPPER(LEFT(V78,1))&amp;MID(V78,2,20)&amp;":"&amp;CHAR(10),"")&amp;"   "&amp;IF(INDEX(tblOrdenes[turno_asignado],U78)="","(s/t)",INDEX(tblOrdenes[turno_asignado],U78))&amp;" · "&amp;IF(INDEX(tblOrdenes[tecnico_asignado],U78)="","(sin técnico)",INDEX(tblOrdenes[tecnico_asignado],U78))&amp;" · "&amp;INDEX(tblOrdenes[id_operacion],U78)&amp;" — "&amp;INDEX(tblOrdenes[descripcion_operacion],U78)&amp;" ("&amp;TEXT(INDEX(tblOrdenes[horas_efectivas],U78),"0.#")&amp;" h)")</f>
        <v/>
      </c>
    </row>
    <row r="79">
      <c r="K79" s="3">
        <f>IF(AND(IF($B$3="(todos)",TRUE,'ORDENES'!$O75=$B$3),IF($D$3="(todos)",TRUE,'ORDENES'!$AF75=$D$3),IF($F$3="(todos)",TRUE,'ORDENES'!$X75=$F$3),IF($H$3="(todos)",TRUE,'ORDENES'!$W75=$H$3),'ORDENES'!$AD75=TRUE,'ORDENES'!$A75&lt;&gt;""),1,0)</f>
        <v/>
      </c>
      <c r="L79" s="3">
        <f>IF(K79=1,IFERROR(MATCH('ORDENES'!$R75,lista_dias,0),9)*1000000000+IFERROR(MATCH('ORDENES'!$AF75,lista_turnos,0),9)*10000000+IFERROR(MATCH('ORDENES'!$AE75,tblTecnicos[nombre],0),99)*100000+72,9000000000000+72)</f>
        <v/>
      </c>
      <c r="M79" s="3">
        <f>IF(K79=1,SUMPRODUCT(--($L$8:$L$1207&lt;L79))+1,"")</f>
        <v/>
      </c>
      <c r="N79" s="17">
        <f>IF(K79=1,N('ORDENES'!$M75),0)</f>
        <v/>
      </c>
      <c r="O79" s="17">
        <f>IF('ORDENES'!$T75="preventiva",N79,0)</f>
        <v/>
      </c>
      <c r="P79" s="17">
        <f>IF('ORDENES'!$T75="correctiva",N79,0)</f>
        <v/>
      </c>
      <c r="Q79" s="3">
        <f>IF(AND(K79=1,'ORDENES'!$N75="Pendiente"),1,0)</f>
        <v/>
      </c>
      <c r="R79" s="3">
        <f>IF(Q79=1,100000-N79*1000+72*0.01,9000000000000+72)</f>
        <v/>
      </c>
      <c r="S79" s="3">
        <f>IF(Q79=1,SUMPRODUCT(--($R$8:$R$1207&lt;R79))+1,"")</f>
        <v/>
      </c>
      <c r="T79" s="12">
        <f>IF(K79=1,'ORDENES'!$J75,"")</f>
        <v/>
      </c>
      <c r="U79" s="3">
        <f>IFERROR(MATCH(72,$M$8:$M$1207,0),"")</f>
        <v/>
      </c>
      <c r="V79" s="3">
        <f>IF(U79="","",INDEX(tblOrdenes[dia_semana],U79))</f>
        <v/>
      </c>
      <c r="W79" s="3">
        <f>IF(U79="","",IF(V79&lt;&gt;V78,CHAR(10)&amp;UPPER(LEFT(V79,1))&amp;MID(V79,2,20)&amp;":"&amp;CHAR(10),"")&amp;"   "&amp;IF(INDEX(tblOrdenes[turno_asignado],U79)="","(s/t)",INDEX(tblOrdenes[turno_asignado],U79))&amp;" · "&amp;IF(INDEX(tblOrdenes[tecnico_asignado],U79)="","(sin técnico)",INDEX(tblOrdenes[tecnico_asignado],U79))&amp;" · "&amp;INDEX(tblOrdenes[id_operacion],U79)&amp;" — "&amp;INDEX(tblOrdenes[descripcion_operacion],U79)&amp;" ("&amp;TEXT(INDEX(tblOrdenes[horas_efectivas],U79),"0.#")&amp;" h)")</f>
        <v/>
      </c>
    </row>
    <row r="80">
      <c r="K80" s="3">
        <f>IF(AND(IF($B$3="(todos)",TRUE,'ORDENES'!$O76=$B$3),IF($D$3="(todos)",TRUE,'ORDENES'!$AF76=$D$3),IF($F$3="(todos)",TRUE,'ORDENES'!$X76=$F$3),IF($H$3="(todos)",TRUE,'ORDENES'!$W76=$H$3),'ORDENES'!$AD76=TRUE,'ORDENES'!$A76&lt;&gt;""),1,0)</f>
        <v/>
      </c>
      <c r="L80" s="3">
        <f>IF(K80=1,IFERROR(MATCH('ORDENES'!$R76,lista_dias,0),9)*1000000000+IFERROR(MATCH('ORDENES'!$AF76,lista_turnos,0),9)*10000000+IFERROR(MATCH('ORDENES'!$AE76,tblTecnicos[nombre],0),99)*100000+73,9000000000000+73)</f>
        <v/>
      </c>
      <c r="M80" s="3">
        <f>IF(K80=1,SUMPRODUCT(--($L$8:$L$1207&lt;L80))+1,"")</f>
        <v/>
      </c>
      <c r="N80" s="17">
        <f>IF(K80=1,N('ORDENES'!$M76),0)</f>
        <v/>
      </c>
      <c r="O80" s="17">
        <f>IF('ORDENES'!$T76="preventiva",N80,0)</f>
        <v/>
      </c>
      <c r="P80" s="17">
        <f>IF('ORDENES'!$T76="correctiva",N80,0)</f>
        <v/>
      </c>
      <c r="Q80" s="3">
        <f>IF(AND(K80=1,'ORDENES'!$N76="Pendiente"),1,0)</f>
        <v/>
      </c>
      <c r="R80" s="3">
        <f>IF(Q80=1,100000-N80*1000+73*0.01,9000000000000+73)</f>
        <v/>
      </c>
      <c r="S80" s="3">
        <f>IF(Q80=1,SUMPRODUCT(--($R$8:$R$1207&lt;R80))+1,"")</f>
        <v/>
      </c>
      <c r="T80" s="12">
        <f>IF(K80=1,'ORDENES'!$J76,"")</f>
        <v/>
      </c>
      <c r="U80" s="3">
        <f>IFERROR(MATCH(73,$M$8:$M$1207,0),"")</f>
        <v/>
      </c>
      <c r="V80" s="3">
        <f>IF(U80="","",INDEX(tblOrdenes[dia_semana],U80))</f>
        <v/>
      </c>
      <c r="W80" s="3">
        <f>IF(U80="","",IF(V80&lt;&gt;V79,CHAR(10)&amp;UPPER(LEFT(V80,1))&amp;MID(V80,2,20)&amp;":"&amp;CHAR(10),"")&amp;"   "&amp;IF(INDEX(tblOrdenes[turno_asignado],U80)="","(s/t)",INDEX(tblOrdenes[turno_asignado],U80))&amp;" · "&amp;IF(INDEX(tblOrdenes[tecnico_asignado],U80)="","(sin técnico)",INDEX(tblOrdenes[tecnico_asignado],U80))&amp;" · "&amp;INDEX(tblOrdenes[id_operacion],U80)&amp;" — "&amp;INDEX(tblOrdenes[descripcion_operacion],U80)&amp;" ("&amp;TEXT(INDEX(tblOrdenes[horas_efectivas],U80),"0.#")&amp;" h)")</f>
        <v/>
      </c>
    </row>
    <row r="81">
      <c r="K81" s="3">
        <f>IF(AND(IF($B$3="(todos)",TRUE,'ORDENES'!$O77=$B$3),IF($D$3="(todos)",TRUE,'ORDENES'!$AF77=$D$3),IF($F$3="(todos)",TRUE,'ORDENES'!$X77=$F$3),IF($H$3="(todos)",TRUE,'ORDENES'!$W77=$H$3),'ORDENES'!$AD77=TRUE,'ORDENES'!$A77&lt;&gt;""),1,0)</f>
        <v/>
      </c>
      <c r="L81" s="3">
        <f>IF(K81=1,IFERROR(MATCH('ORDENES'!$R77,lista_dias,0),9)*1000000000+IFERROR(MATCH('ORDENES'!$AF77,lista_turnos,0),9)*10000000+IFERROR(MATCH('ORDENES'!$AE77,tblTecnicos[nombre],0),99)*100000+74,9000000000000+74)</f>
        <v/>
      </c>
      <c r="M81" s="3">
        <f>IF(K81=1,SUMPRODUCT(--($L$8:$L$1207&lt;L81))+1,"")</f>
        <v/>
      </c>
      <c r="N81" s="17">
        <f>IF(K81=1,N('ORDENES'!$M77),0)</f>
        <v/>
      </c>
      <c r="O81" s="17">
        <f>IF('ORDENES'!$T77="preventiva",N81,0)</f>
        <v/>
      </c>
      <c r="P81" s="17">
        <f>IF('ORDENES'!$T77="correctiva",N81,0)</f>
        <v/>
      </c>
      <c r="Q81" s="3">
        <f>IF(AND(K81=1,'ORDENES'!$N77="Pendiente"),1,0)</f>
        <v/>
      </c>
      <c r="R81" s="3">
        <f>IF(Q81=1,100000-N81*1000+74*0.01,9000000000000+74)</f>
        <v/>
      </c>
      <c r="S81" s="3">
        <f>IF(Q81=1,SUMPRODUCT(--($R$8:$R$1207&lt;R81))+1,"")</f>
        <v/>
      </c>
      <c r="T81" s="12">
        <f>IF(K81=1,'ORDENES'!$J77,"")</f>
        <v/>
      </c>
      <c r="U81" s="3">
        <f>IFERROR(MATCH(74,$M$8:$M$1207,0),"")</f>
        <v/>
      </c>
      <c r="V81" s="3">
        <f>IF(U81="","",INDEX(tblOrdenes[dia_semana],U81))</f>
        <v/>
      </c>
      <c r="W81" s="3">
        <f>IF(U81="","",IF(V81&lt;&gt;V80,CHAR(10)&amp;UPPER(LEFT(V81,1))&amp;MID(V81,2,20)&amp;":"&amp;CHAR(10),"")&amp;"   "&amp;IF(INDEX(tblOrdenes[turno_asignado],U81)="","(s/t)",INDEX(tblOrdenes[turno_asignado],U81))&amp;" · "&amp;IF(INDEX(tblOrdenes[tecnico_asignado],U81)="","(sin técnico)",INDEX(tblOrdenes[tecnico_asignado],U81))&amp;" · "&amp;INDEX(tblOrdenes[id_operacion],U81)&amp;" — "&amp;INDEX(tblOrdenes[descripcion_operacion],U81)&amp;" ("&amp;TEXT(INDEX(tblOrdenes[horas_efectivas],U81),"0.#")&amp;" h)")</f>
        <v/>
      </c>
    </row>
    <row r="82">
      <c r="K82" s="3">
        <f>IF(AND(IF($B$3="(todos)",TRUE,'ORDENES'!$O78=$B$3),IF($D$3="(todos)",TRUE,'ORDENES'!$AF78=$D$3),IF($F$3="(todos)",TRUE,'ORDENES'!$X78=$F$3),IF($H$3="(todos)",TRUE,'ORDENES'!$W78=$H$3),'ORDENES'!$AD78=TRUE,'ORDENES'!$A78&lt;&gt;""),1,0)</f>
        <v/>
      </c>
      <c r="L82" s="3">
        <f>IF(K82=1,IFERROR(MATCH('ORDENES'!$R78,lista_dias,0),9)*1000000000+IFERROR(MATCH('ORDENES'!$AF78,lista_turnos,0),9)*10000000+IFERROR(MATCH('ORDENES'!$AE78,tblTecnicos[nombre],0),99)*100000+75,9000000000000+75)</f>
        <v/>
      </c>
      <c r="M82" s="3">
        <f>IF(K82=1,SUMPRODUCT(--($L$8:$L$1207&lt;L82))+1,"")</f>
        <v/>
      </c>
      <c r="N82" s="17">
        <f>IF(K82=1,N('ORDENES'!$M78),0)</f>
        <v/>
      </c>
      <c r="O82" s="17">
        <f>IF('ORDENES'!$T78="preventiva",N82,0)</f>
        <v/>
      </c>
      <c r="P82" s="17">
        <f>IF('ORDENES'!$T78="correctiva",N82,0)</f>
        <v/>
      </c>
      <c r="Q82" s="3">
        <f>IF(AND(K82=1,'ORDENES'!$N78="Pendiente"),1,0)</f>
        <v/>
      </c>
      <c r="R82" s="3">
        <f>IF(Q82=1,100000-N82*1000+75*0.01,9000000000000+75)</f>
        <v/>
      </c>
      <c r="S82" s="3">
        <f>IF(Q82=1,SUMPRODUCT(--($R$8:$R$1207&lt;R82))+1,"")</f>
        <v/>
      </c>
      <c r="T82" s="12">
        <f>IF(K82=1,'ORDENES'!$J78,"")</f>
        <v/>
      </c>
      <c r="U82" s="3">
        <f>IFERROR(MATCH(75,$M$8:$M$1207,0),"")</f>
        <v/>
      </c>
      <c r="V82" s="3">
        <f>IF(U82="","",INDEX(tblOrdenes[dia_semana],U82))</f>
        <v/>
      </c>
      <c r="W82" s="3">
        <f>IF(U82="","",IF(V82&lt;&gt;V81,CHAR(10)&amp;UPPER(LEFT(V82,1))&amp;MID(V82,2,20)&amp;":"&amp;CHAR(10),"")&amp;"   "&amp;IF(INDEX(tblOrdenes[turno_asignado],U82)="","(s/t)",INDEX(tblOrdenes[turno_asignado],U82))&amp;" · "&amp;IF(INDEX(tblOrdenes[tecnico_asignado],U82)="","(sin técnico)",INDEX(tblOrdenes[tecnico_asignado],U82))&amp;" · "&amp;INDEX(tblOrdenes[id_operacion],U82)&amp;" — "&amp;INDEX(tblOrdenes[descripcion_operacion],U82)&amp;" ("&amp;TEXT(INDEX(tblOrdenes[horas_efectivas],U82),"0.#")&amp;" h)")</f>
        <v/>
      </c>
    </row>
    <row r="83">
      <c r="K83" s="3">
        <f>IF(AND(IF($B$3="(todos)",TRUE,'ORDENES'!$O79=$B$3),IF($D$3="(todos)",TRUE,'ORDENES'!$AF79=$D$3),IF($F$3="(todos)",TRUE,'ORDENES'!$X79=$F$3),IF($H$3="(todos)",TRUE,'ORDENES'!$W79=$H$3),'ORDENES'!$AD79=TRUE,'ORDENES'!$A79&lt;&gt;""),1,0)</f>
        <v/>
      </c>
      <c r="L83" s="3">
        <f>IF(K83=1,IFERROR(MATCH('ORDENES'!$R79,lista_dias,0),9)*1000000000+IFERROR(MATCH('ORDENES'!$AF79,lista_turnos,0),9)*10000000+IFERROR(MATCH('ORDENES'!$AE79,tblTecnicos[nombre],0),99)*100000+76,9000000000000+76)</f>
        <v/>
      </c>
      <c r="M83" s="3">
        <f>IF(K83=1,SUMPRODUCT(--($L$8:$L$1207&lt;L83))+1,"")</f>
        <v/>
      </c>
      <c r="N83" s="17">
        <f>IF(K83=1,N('ORDENES'!$M79),0)</f>
        <v/>
      </c>
      <c r="O83" s="17">
        <f>IF('ORDENES'!$T79="preventiva",N83,0)</f>
        <v/>
      </c>
      <c r="P83" s="17">
        <f>IF('ORDENES'!$T79="correctiva",N83,0)</f>
        <v/>
      </c>
      <c r="Q83" s="3">
        <f>IF(AND(K83=1,'ORDENES'!$N79="Pendiente"),1,0)</f>
        <v/>
      </c>
      <c r="R83" s="3">
        <f>IF(Q83=1,100000-N83*1000+76*0.01,9000000000000+76)</f>
        <v/>
      </c>
      <c r="S83" s="3">
        <f>IF(Q83=1,SUMPRODUCT(--($R$8:$R$1207&lt;R83))+1,"")</f>
        <v/>
      </c>
      <c r="T83" s="12">
        <f>IF(K83=1,'ORDENES'!$J79,"")</f>
        <v/>
      </c>
      <c r="U83" s="3">
        <f>IFERROR(MATCH(76,$M$8:$M$1207,0),"")</f>
        <v/>
      </c>
      <c r="V83" s="3">
        <f>IF(U83="","",INDEX(tblOrdenes[dia_semana],U83))</f>
        <v/>
      </c>
      <c r="W83" s="3">
        <f>IF(U83="","",IF(V83&lt;&gt;V82,CHAR(10)&amp;UPPER(LEFT(V83,1))&amp;MID(V83,2,20)&amp;":"&amp;CHAR(10),"")&amp;"   "&amp;IF(INDEX(tblOrdenes[turno_asignado],U83)="","(s/t)",INDEX(tblOrdenes[turno_asignado],U83))&amp;" · "&amp;IF(INDEX(tblOrdenes[tecnico_asignado],U83)="","(sin técnico)",INDEX(tblOrdenes[tecnico_asignado],U83))&amp;" · "&amp;INDEX(tblOrdenes[id_operacion],U83)&amp;" — "&amp;INDEX(tblOrdenes[descripcion_operacion],U83)&amp;" ("&amp;TEXT(INDEX(tblOrdenes[horas_efectivas],U83),"0.#")&amp;" h)")</f>
        <v/>
      </c>
    </row>
    <row r="84">
      <c r="K84" s="3">
        <f>IF(AND(IF($B$3="(todos)",TRUE,'ORDENES'!$O80=$B$3),IF($D$3="(todos)",TRUE,'ORDENES'!$AF80=$D$3),IF($F$3="(todos)",TRUE,'ORDENES'!$X80=$F$3),IF($H$3="(todos)",TRUE,'ORDENES'!$W80=$H$3),'ORDENES'!$AD80=TRUE,'ORDENES'!$A80&lt;&gt;""),1,0)</f>
        <v/>
      </c>
      <c r="L84" s="3">
        <f>IF(K84=1,IFERROR(MATCH('ORDENES'!$R80,lista_dias,0),9)*1000000000+IFERROR(MATCH('ORDENES'!$AF80,lista_turnos,0),9)*10000000+IFERROR(MATCH('ORDENES'!$AE80,tblTecnicos[nombre],0),99)*100000+77,9000000000000+77)</f>
        <v/>
      </c>
      <c r="M84" s="3">
        <f>IF(K84=1,SUMPRODUCT(--($L$8:$L$1207&lt;L84))+1,"")</f>
        <v/>
      </c>
      <c r="N84" s="17">
        <f>IF(K84=1,N('ORDENES'!$M80),0)</f>
        <v/>
      </c>
      <c r="O84" s="17">
        <f>IF('ORDENES'!$T80="preventiva",N84,0)</f>
        <v/>
      </c>
      <c r="P84" s="17">
        <f>IF('ORDENES'!$T80="correctiva",N84,0)</f>
        <v/>
      </c>
      <c r="Q84" s="3">
        <f>IF(AND(K84=1,'ORDENES'!$N80="Pendiente"),1,0)</f>
        <v/>
      </c>
      <c r="R84" s="3">
        <f>IF(Q84=1,100000-N84*1000+77*0.01,9000000000000+77)</f>
        <v/>
      </c>
      <c r="S84" s="3">
        <f>IF(Q84=1,SUMPRODUCT(--($R$8:$R$1207&lt;R84))+1,"")</f>
        <v/>
      </c>
      <c r="T84" s="12">
        <f>IF(K84=1,'ORDENES'!$J80,"")</f>
        <v/>
      </c>
      <c r="U84" s="3">
        <f>IFERROR(MATCH(77,$M$8:$M$1207,0),"")</f>
        <v/>
      </c>
      <c r="V84" s="3">
        <f>IF(U84="","",INDEX(tblOrdenes[dia_semana],U84))</f>
        <v/>
      </c>
      <c r="W84" s="3">
        <f>IF(U84="","",IF(V84&lt;&gt;V83,CHAR(10)&amp;UPPER(LEFT(V84,1))&amp;MID(V84,2,20)&amp;":"&amp;CHAR(10),"")&amp;"   "&amp;IF(INDEX(tblOrdenes[turno_asignado],U84)="","(s/t)",INDEX(tblOrdenes[turno_asignado],U84))&amp;" · "&amp;IF(INDEX(tblOrdenes[tecnico_asignado],U84)="","(sin técnico)",INDEX(tblOrdenes[tecnico_asignado],U84))&amp;" · "&amp;INDEX(tblOrdenes[id_operacion],U84)&amp;" — "&amp;INDEX(tblOrdenes[descripcion_operacion],U84)&amp;" ("&amp;TEXT(INDEX(tblOrdenes[horas_efectivas],U84),"0.#")&amp;" h)")</f>
        <v/>
      </c>
    </row>
    <row r="85">
      <c r="K85" s="3">
        <f>IF(AND(IF($B$3="(todos)",TRUE,'ORDENES'!$O81=$B$3),IF($D$3="(todos)",TRUE,'ORDENES'!$AF81=$D$3),IF($F$3="(todos)",TRUE,'ORDENES'!$X81=$F$3),IF($H$3="(todos)",TRUE,'ORDENES'!$W81=$H$3),'ORDENES'!$AD81=TRUE,'ORDENES'!$A81&lt;&gt;""),1,0)</f>
        <v/>
      </c>
      <c r="L85" s="3">
        <f>IF(K85=1,IFERROR(MATCH('ORDENES'!$R81,lista_dias,0),9)*1000000000+IFERROR(MATCH('ORDENES'!$AF81,lista_turnos,0),9)*10000000+IFERROR(MATCH('ORDENES'!$AE81,tblTecnicos[nombre],0),99)*100000+78,9000000000000+78)</f>
        <v/>
      </c>
      <c r="M85" s="3">
        <f>IF(K85=1,SUMPRODUCT(--($L$8:$L$1207&lt;L85))+1,"")</f>
        <v/>
      </c>
      <c r="N85" s="17">
        <f>IF(K85=1,N('ORDENES'!$M81),0)</f>
        <v/>
      </c>
      <c r="O85" s="17">
        <f>IF('ORDENES'!$T81="preventiva",N85,0)</f>
        <v/>
      </c>
      <c r="P85" s="17">
        <f>IF('ORDENES'!$T81="correctiva",N85,0)</f>
        <v/>
      </c>
      <c r="Q85" s="3">
        <f>IF(AND(K85=1,'ORDENES'!$N81="Pendiente"),1,0)</f>
        <v/>
      </c>
      <c r="R85" s="3">
        <f>IF(Q85=1,100000-N85*1000+78*0.01,9000000000000+78)</f>
        <v/>
      </c>
      <c r="S85" s="3">
        <f>IF(Q85=1,SUMPRODUCT(--($R$8:$R$1207&lt;R85))+1,"")</f>
        <v/>
      </c>
      <c r="T85" s="12">
        <f>IF(K85=1,'ORDENES'!$J81,"")</f>
        <v/>
      </c>
      <c r="U85" s="3">
        <f>IFERROR(MATCH(78,$M$8:$M$1207,0),"")</f>
        <v/>
      </c>
      <c r="V85" s="3">
        <f>IF(U85="","",INDEX(tblOrdenes[dia_semana],U85))</f>
        <v/>
      </c>
      <c r="W85" s="3">
        <f>IF(U85="","",IF(V85&lt;&gt;V84,CHAR(10)&amp;UPPER(LEFT(V85,1))&amp;MID(V85,2,20)&amp;":"&amp;CHAR(10),"")&amp;"   "&amp;IF(INDEX(tblOrdenes[turno_asignado],U85)="","(s/t)",INDEX(tblOrdenes[turno_asignado],U85))&amp;" · "&amp;IF(INDEX(tblOrdenes[tecnico_asignado],U85)="","(sin técnico)",INDEX(tblOrdenes[tecnico_asignado],U85))&amp;" · "&amp;INDEX(tblOrdenes[id_operacion],U85)&amp;" — "&amp;INDEX(tblOrdenes[descripcion_operacion],U85)&amp;" ("&amp;TEXT(INDEX(tblOrdenes[horas_efectivas],U85),"0.#")&amp;" h)")</f>
        <v/>
      </c>
    </row>
    <row r="86">
      <c r="K86" s="3">
        <f>IF(AND(IF($B$3="(todos)",TRUE,'ORDENES'!$O82=$B$3),IF($D$3="(todos)",TRUE,'ORDENES'!$AF82=$D$3),IF($F$3="(todos)",TRUE,'ORDENES'!$X82=$F$3),IF($H$3="(todos)",TRUE,'ORDENES'!$W82=$H$3),'ORDENES'!$AD82=TRUE,'ORDENES'!$A82&lt;&gt;""),1,0)</f>
        <v/>
      </c>
      <c r="L86" s="3">
        <f>IF(K86=1,IFERROR(MATCH('ORDENES'!$R82,lista_dias,0),9)*1000000000+IFERROR(MATCH('ORDENES'!$AF82,lista_turnos,0),9)*10000000+IFERROR(MATCH('ORDENES'!$AE82,tblTecnicos[nombre],0),99)*100000+79,9000000000000+79)</f>
        <v/>
      </c>
      <c r="M86" s="3">
        <f>IF(K86=1,SUMPRODUCT(--($L$8:$L$1207&lt;L86))+1,"")</f>
        <v/>
      </c>
      <c r="N86" s="17">
        <f>IF(K86=1,N('ORDENES'!$M82),0)</f>
        <v/>
      </c>
      <c r="O86" s="17">
        <f>IF('ORDENES'!$T82="preventiva",N86,0)</f>
        <v/>
      </c>
      <c r="P86" s="17">
        <f>IF('ORDENES'!$T82="correctiva",N86,0)</f>
        <v/>
      </c>
      <c r="Q86" s="3">
        <f>IF(AND(K86=1,'ORDENES'!$N82="Pendiente"),1,0)</f>
        <v/>
      </c>
      <c r="R86" s="3">
        <f>IF(Q86=1,100000-N86*1000+79*0.01,9000000000000+79)</f>
        <v/>
      </c>
      <c r="S86" s="3">
        <f>IF(Q86=1,SUMPRODUCT(--($R$8:$R$1207&lt;R86))+1,"")</f>
        <v/>
      </c>
      <c r="T86" s="12">
        <f>IF(K86=1,'ORDENES'!$J82,"")</f>
        <v/>
      </c>
      <c r="U86" s="3">
        <f>IFERROR(MATCH(79,$M$8:$M$1207,0),"")</f>
        <v/>
      </c>
      <c r="V86" s="3">
        <f>IF(U86="","",INDEX(tblOrdenes[dia_semana],U86))</f>
        <v/>
      </c>
      <c r="W86" s="3">
        <f>IF(U86="","",IF(V86&lt;&gt;V85,CHAR(10)&amp;UPPER(LEFT(V86,1))&amp;MID(V86,2,20)&amp;":"&amp;CHAR(10),"")&amp;"   "&amp;IF(INDEX(tblOrdenes[turno_asignado],U86)="","(s/t)",INDEX(tblOrdenes[turno_asignado],U86))&amp;" · "&amp;IF(INDEX(tblOrdenes[tecnico_asignado],U86)="","(sin técnico)",INDEX(tblOrdenes[tecnico_asignado],U86))&amp;" · "&amp;INDEX(tblOrdenes[id_operacion],U86)&amp;" — "&amp;INDEX(tblOrdenes[descripcion_operacion],U86)&amp;" ("&amp;TEXT(INDEX(tblOrdenes[horas_efectivas],U86),"0.#")&amp;" h)")</f>
        <v/>
      </c>
    </row>
    <row r="87">
      <c r="K87" s="3">
        <f>IF(AND(IF($B$3="(todos)",TRUE,'ORDENES'!$O83=$B$3),IF($D$3="(todos)",TRUE,'ORDENES'!$AF83=$D$3),IF($F$3="(todos)",TRUE,'ORDENES'!$X83=$F$3),IF($H$3="(todos)",TRUE,'ORDENES'!$W83=$H$3),'ORDENES'!$AD83=TRUE,'ORDENES'!$A83&lt;&gt;""),1,0)</f>
        <v/>
      </c>
      <c r="L87" s="3">
        <f>IF(K87=1,IFERROR(MATCH('ORDENES'!$R83,lista_dias,0),9)*1000000000+IFERROR(MATCH('ORDENES'!$AF83,lista_turnos,0),9)*10000000+IFERROR(MATCH('ORDENES'!$AE83,tblTecnicos[nombre],0),99)*100000+80,9000000000000+80)</f>
        <v/>
      </c>
      <c r="M87" s="3">
        <f>IF(K87=1,SUMPRODUCT(--($L$8:$L$1207&lt;L87))+1,"")</f>
        <v/>
      </c>
      <c r="N87" s="17">
        <f>IF(K87=1,N('ORDENES'!$M83),0)</f>
        <v/>
      </c>
      <c r="O87" s="17">
        <f>IF('ORDENES'!$T83="preventiva",N87,0)</f>
        <v/>
      </c>
      <c r="P87" s="17">
        <f>IF('ORDENES'!$T83="correctiva",N87,0)</f>
        <v/>
      </c>
      <c r="Q87" s="3">
        <f>IF(AND(K87=1,'ORDENES'!$N83="Pendiente"),1,0)</f>
        <v/>
      </c>
      <c r="R87" s="3">
        <f>IF(Q87=1,100000-N87*1000+80*0.01,9000000000000+80)</f>
        <v/>
      </c>
      <c r="S87" s="3">
        <f>IF(Q87=1,SUMPRODUCT(--($R$8:$R$1207&lt;R87))+1,"")</f>
        <v/>
      </c>
      <c r="T87" s="12">
        <f>IF(K87=1,'ORDENES'!$J83,"")</f>
        <v/>
      </c>
      <c r="U87" s="3">
        <f>IFERROR(MATCH(80,$M$8:$M$1207,0),"")</f>
        <v/>
      </c>
      <c r="V87" s="3">
        <f>IF(U87="","",INDEX(tblOrdenes[dia_semana],U87))</f>
        <v/>
      </c>
      <c r="W87" s="3">
        <f>IF(U87="","",IF(V87&lt;&gt;V86,CHAR(10)&amp;UPPER(LEFT(V87,1))&amp;MID(V87,2,20)&amp;":"&amp;CHAR(10),"")&amp;"   "&amp;IF(INDEX(tblOrdenes[turno_asignado],U87)="","(s/t)",INDEX(tblOrdenes[turno_asignado],U87))&amp;" · "&amp;IF(INDEX(tblOrdenes[tecnico_asignado],U87)="","(sin técnico)",INDEX(tblOrdenes[tecnico_asignado],U87))&amp;" · "&amp;INDEX(tblOrdenes[id_operacion],U87)&amp;" — "&amp;INDEX(tblOrdenes[descripcion_operacion],U87)&amp;" ("&amp;TEXT(INDEX(tblOrdenes[horas_efectivas],U87),"0.#")&amp;" h)")</f>
        <v/>
      </c>
    </row>
    <row r="88">
      <c r="K88" s="3">
        <f>IF(AND(IF($B$3="(todos)",TRUE,'ORDENES'!$O84=$B$3),IF($D$3="(todos)",TRUE,'ORDENES'!$AF84=$D$3),IF($F$3="(todos)",TRUE,'ORDENES'!$X84=$F$3),IF($H$3="(todos)",TRUE,'ORDENES'!$W84=$H$3),'ORDENES'!$AD84=TRUE,'ORDENES'!$A84&lt;&gt;""),1,0)</f>
        <v/>
      </c>
      <c r="L88" s="3">
        <f>IF(K88=1,IFERROR(MATCH('ORDENES'!$R84,lista_dias,0),9)*1000000000+IFERROR(MATCH('ORDENES'!$AF84,lista_turnos,0),9)*10000000+IFERROR(MATCH('ORDENES'!$AE84,tblTecnicos[nombre],0),99)*100000+81,9000000000000+81)</f>
        <v/>
      </c>
      <c r="M88" s="3">
        <f>IF(K88=1,SUMPRODUCT(--($L$8:$L$1207&lt;L88))+1,"")</f>
        <v/>
      </c>
      <c r="N88" s="17">
        <f>IF(K88=1,N('ORDENES'!$M84),0)</f>
        <v/>
      </c>
      <c r="O88" s="17">
        <f>IF('ORDENES'!$T84="preventiva",N88,0)</f>
        <v/>
      </c>
      <c r="P88" s="17">
        <f>IF('ORDENES'!$T84="correctiva",N88,0)</f>
        <v/>
      </c>
      <c r="Q88" s="3">
        <f>IF(AND(K88=1,'ORDENES'!$N84="Pendiente"),1,0)</f>
        <v/>
      </c>
      <c r="R88" s="3">
        <f>IF(Q88=1,100000-N88*1000+81*0.01,9000000000000+81)</f>
        <v/>
      </c>
      <c r="S88" s="3">
        <f>IF(Q88=1,SUMPRODUCT(--($R$8:$R$1207&lt;R88))+1,"")</f>
        <v/>
      </c>
      <c r="T88" s="12">
        <f>IF(K88=1,'ORDENES'!$J84,"")</f>
        <v/>
      </c>
      <c r="U88" s="3">
        <f>IFERROR(MATCH(81,$M$8:$M$1207,0),"")</f>
        <v/>
      </c>
      <c r="V88" s="3">
        <f>IF(U88="","",INDEX(tblOrdenes[dia_semana],U88))</f>
        <v/>
      </c>
      <c r="W88" s="3">
        <f>IF(U88="","",IF(V88&lt;&gt;V87,CHAR(10)&amp;UPPER(LEFT(V88,1))&amp;MID(V88,2,20)&amp;":"&amp;CHAR(10),"")&amp;"   "&amp;IF(INDEX(tblOrdenes[turno_asignado],U88)="","(s/t)",INDEX(tblOrdenes[turno_asignado],U88))&amp;" · "&amp;IF(INDEX(tblOrdenes[tecnico_asignado],U88)="","(sin técnico)",INDEX(tblOrdenes[tecnico_asignado],U88))&amp;" · "&amp;INDEX(tblOrdenes[id_operacion],U88)&amp;" — "&amp;INDEX(tblOrdenes[descripcion_operacion],U88)&amp;" ("&amp;TEXT(INDEX(tblOrdenes[horas_efectivas],U88),"0.#")&amp;" h)")</f>
        <v/>
      </c>
    </row>
    <row r="89">
      <c r="K89" s="3">
        <f>IF(AND(IF($B$3="(todos)",TRUE,'ORDENES'!$O85=$B$3),IF($D$3="(todos)",TRUE,'ORDENES'!$AF85=$D$3),IF($F$3="(todos)",TRUE,'ORDENES'!$X85=$F$3),IF($H$3="(todos)",TRUE,'ORDENES'!$W85=$H$3),'ORDENES'!$AD85=TRUE,'ORDENES'!$A85&lt;&gt;""),1,0)</f>
        <v/>
      </c>
      <c r="L89" s="3">
        <f>IF(K89=1,IFERROR(MATCH('ORDENES'!$R85,lista_dias,0),9)*1000000000+IFERROR(MATCH('ORDENES'!$AF85,lista_turnos,0),9)*10000000+IFERROR(MATCH('ORDENES'!$AE85,tblTecnicos[nombre],0),99)*100000+82,9000000000000+82)</f>
        <v/>
      </c>
      <c r="M89" s="3">
        <f>IF(K89=1,SUMPRODUCT(--($L$8:$L$1207&lt;L89))+1,"")</f>
        <v/>
      </c>
      <c r="N89" s="17">
        <f>IF(K89=1,N('ORDENES'!$M85),0)</f>
        <v/>
      </c>
      <c r="O89" s="17">
        <f>IF('ORDENES'!$T85="preventiva",N89,0)</f>
        <v/>
      </c>
      <c r="P89" s="17">
        <f>IF('ORDENES'!$T85="correctiva",N89,0)</f>
        <v/>
      </c>
      <c r="Q89" s="3">
        <f>IF(AND(K89=1,'ORDENES'!$N85="Pendiente"),1,0)</f>
        <v/>
      </c>
      <c r="R89" s="3">
        <f>IF(Q89=1,100000-N89*1000+82*0.01,9000000000000+82)</f>
        <v/>
      </c>
      <c r="S89" s="3">
        <f>IF(Q89=1,SUMPRODUCT(--($R$8:$R$1207&lt;R89))+1,"")</f>
        <v/>
      </c>
      <c r="T89" s="12">
        <f>IF(K89=1,'ORDENES'!$J85,"")</f>
        <v/>
      </c>
      <c r="U89" s="3">
        <f>IFERROR(MATCH(82,$M$8:$M$1207,0),"")</f>
        <v/>
      </c>
      <c r="V89" s="3">
        <f>IF(U89="","",INDEX(tblOrdenes[dia_semana],U89))</f>
        <v/>
      </c>
      <c r="W89" s="3">
        <f>IF(U89="","",IF(V89&lt;&gt;V88,CHAR(10)&amp;UPPER(LEFT(V89,1))&amp;MID(V89,2,20)&amp;":"&amp;CHAR(10),"")&amp;"   "&amp;IF(INDEX(tblOrdenes[turno_asignado],U89)="","(s/t)",INDEX(tblOrdenes[turno_asignado],U89))&amp;" · "&amp;IF(INDEX(tblOrdenes[tecnico_asignado],U89)="","(sin técnico)",INDEX(tblOrdenes[tecnico_asignado],U89))&amp;" · "&amp;INDEX(tblOrdenes[id_operacion],U89)&amp;" — "&amp;INDEX(tblOrdenes[descripcion_operacion],U89)&amp;" ("&amp;TEXT(INDEX(tblOrdenes[horas_efectivas],U89),"0.#")&amp;" h)")</f>
        <v/>
      </c>
    </row>
    <row r="90">
      <c r="K90" s="3">
        <f>IF(AND(IF($B$3="(todos)",TRUE,'ORDENES'!$O86=$B$3),IF($D$3="(todos)",TRUE,'ORDENES'!$AF86=$D$3),IF($F$3="(todos)",TRUE,'ORDENES'!$X86=$F$3),IF($H$3="(todos)",TRUE,'ORDENES'!$W86=$H$3),'ORDENES'!$AD86=TRUE,'ORDENES'!$A86&lt;&gt;""),1,0)</f>
        <v/>
      </c>
      <c r="L90" s="3">
        <f>IF(K90=1,IFERROR(MATCH('ORDENES'!$R86,lista_dias,0),9)*1000000000+IFERROR(MATCH('ORDENES'!$AF86,lista_turnos,0),9)*10000000+IFERROR(MATCH('ORDENES'!$AE86,tblTecnicos[nombre],0),99)*100000+83,9000000000000+83)</f>
        <v/>
      </c>
      <c r="M90" s="3">
        <f>IF(K90=1,SUMPRODUCT(--($L$8:$L$1207&lt;L90))+1,"")</f>
        <v/>
      </c>
      <c r="N90" s="17">
        <f>IF(K90=1,N('ORDENES'!$M86),0)</f>
        <v/>
      </c>
      <c r="O90" s="17">
        <f>IF('ORDENES'!$T86="preventiva",N90,0)</f>
        <v/>
      </c>
      <c r="P90" s="17">
        <f>IF('ORDENES'!$T86="correctiva",N90,0)</f>
        <v/>
      </c>
      <c r="Q90" s="3">
        <f>IF(AND(K90=1,'ORDENES'!$N86="Pendiente"),1,0)</f>
        <v/>
      </c>
      <c r="R90" s="3">
        <f>IF(Q90=1,100000-N90*1000+83*0.01,9000000000000+83)</f>
        <v/>
      </c>
      <c r="S90" s="3">
        <f>IF(Q90=1,SUMPRODUCT(--($R$8:$R$1207&lt;R90))+1,"")</f>
        <v/>
      </c>
      <c r="T90" s="12">
        <f>IF(K90=1,'ORDENES'!$J86,"")</f>
        <v/>
      </c>
      <c r="U90" s="3">
        <f>IFERROR(MATCH(83,$M$8:$M$1207,0),"")</f>
        <v/>
      </c>
      <c r="V90" s="3">
        <f>IF(U90="","",INDEX(tblOrdenes[dia_semana],U90))</f>
        <v/>
      </c>
      <c r="W90" s="3">
        <f>IF(U90="","",IF(V90&lt;&gt;V89,CHAR(10)&amp;UPPER(LEFT(V90,1))&amp;MID(V90,2,20)&amp;":"&amp;CHAR(10),"")&amp;"   "&amp;IF(INDEX(tblOrdenes[turno_asignado],U90)="","(s/t)",INDEX(tblOrdenes[turno_asignado],U90))&amp;" · "&amp;IF(INDEX(tblOrdenes[tecnico_asignado],U90)="","(sin técnico)",INDEX(tblOrdenes[tecnico_asignado],U90))&amp;" · "&amp;INDEX(tblOrdenes[id_operacion],U90)&amp;" — "&amp;INDEX(tblOrdenes[descripcion_operacion],U90)&amp;" ("&amp;TEXT(INDEX(tblOrdenes[horas_efectivas],U90),"0.#")&amp;" h)")</f>
        <v/>
      </c>
    </row>
    <row r="91">
      <c r="K91" s="3">
        <f>IF(AND(IF($B$3="(todos)",TRUE,'ORDENES'!$O87=$B$3),IF($D$3="(todos)",TRUE,'ORDENES'!$AF87=$D$3),IF($F$3="(todos)",TRUE,'ORDENES'!$X87=$F$3),IF($H$3="(todos)",TRUE,'ORDENES'!$W87=$H$3),'ORDENES'!$AD87=TRUE,'ORDENES'!$A87&lt;&gt;""),1,0)</f>
        <v/>
      </c>
      <c r="L91" s="3">
        <f>IF(K91=1,IFERROR(MATCH('ORDENES'!$R87,lista_dias,0),9)*1000000000+IFERROR(MATCH('ORDENES'!$AF87,lista_turnos,0),9)*10000000+IFERROR(MATCH('ORDENES'!$AE87,tblTecnicos[nombre],0),99)*100000+84,9000000000000+84)</f>
        <v/>
      </c>
      <c r="M91" s="3">
        <f>IF(K91=1,SUMPRODUCT(--($L$8:$L$1207&lt;L91))+1,"")</f>
        <v/>
      </c>
      <c r="N91" s="17">
        <f>IF(K91=1,N('ORDENES'!$M87),0)</f>
        <v/>
      </c>
      <c r="O91" s="17">
        <f>IF('ORDENES'!$T87="preventiva",N91,0)</f>
        <v/>
      </c>
      <c r="P91" s="17">
        <f>IF('ORDENES'!$T87="correctiva",N91,0)</f>
        <v/>
      </c>
      <c r="Q91" s="3">
        <f>IF(AND(K91=1,'ORDENES'!$N87="Pendiente"),1,0)</f>
        <v/>
      </c>
      <c r="R91" s="3">
        <f>IF(Q91=1,100000-N91*1000+84*0.01,9000000000000+84)</f>
        <v/>
      </c>
      <c r="S91" s="3">
        <f>IF(Q91=1,SUMPRODUCT(--($R$8:$R$1207&lt;R91))+1,"")</f>
        <v/>
      </c>
      <c r="T91" s="12">
        <f>IF(K91=1,'ORDENES'!$J87,"")</f>
        <v/>
      </c>
      <c r="U91" s="3">
        <f>IFERROR(MATCH(84,$M$8:$M$1207,0),"")</f>
        <v/>
      </c>
      <c r="V91" s="3">
        <f>IF(U91="","",INDEX(tblOrdenes[dia_semana],U91))</f>
        <v/>
      </c>
      <c r="W91" s="3">
        <f>IF(U91="","",IF(V91&lt;&gt;V90,CHAR(10)&amp;UPPER(LEFT(V91,1))&amp;MID(V91,2,20)&amp;":"&amp;CHAR(10),"")&amp;"   "&amp;IF(INDEX(tblOrdenes[turno_asignado],U91)="","(s/t)",INDEX(tblOrdenes[turno_asignado],U91))&amp;" · "&amp;IF(INDEX(tblOrdenes[tecnico_asignado],U91)="","(sin técnico)",INDEX(tblOrdenes[tecnico_asignado],U91))&amp;" · "&amp;INDEX(tblOrdenes[id_operacion],U91)&amp;" — "&amp;INDEX(tblOrdenes[descripcion_operacion],U91)&amp;" ("&amp;TEXT(INDEX(tblOrdenes[horas_efectivas],U91),"0.#")&amp;" h)")</f>
        <v/>
      </c>
    </row>
    <row r="92">
      <c r="K92" s="3">
        <f>IF(AND(IF($B$3="(todos)",TRUE,'ORDENES'!$O88=$B$3),IF($D$3="(todos)",TRUE,'ORDENES'!$AF88=$D$3),IF($F$3="(todos)",TRUE,'ORDENES'!$X88=$F$3),IF($H$3="(todos)",TRUE,'ORDENES'!$W88=$H$3),'ORDENES'!$AD88=TRUE,'ORDENES'!$A88&lt;&gt;""),1,0)</f>
        <v/>
      </c>
      <c r="L92" s="3">
        <f>IF(K92=1,IFERROR(MATCH('ORDENES'!$R88,lista_dias,0),9)*1000000000+IFERROR(MATCH('ORDENES'!$AF88,lista_turnos,0),9)*10000000+IFERROR(MATCH('ORDENES'!$AE88,tblTecnicos[nombre],0),99)*100000+85,9000000000000+85)</f>
        <v/>
      </c>
      <c r="M92" s="3">
        <f>IF(K92=1,SUMPRODUCT(--($L$8:$L$1207&lt;L92))+1,"")</f>
        <v/>
      </c>
      <c r="N92" s="17">
        <f>IF(K92=1,N('ORDENES'!$M88),0)</f>
        <v/>
      </c>
      <c r="O92" s="17">
        <f>IF('ORDENES'!$T88="preventiva",N92,0)</f>
        <v/>
      </c>
      <c r="P92" s="17">
        <f>IF('ORDENES'!$T88="correctiva",N92,0)</f>
        <v/>
      </c>
      <c r="Q92" s="3">
        <f>IF(AND(K92=1,'ORDENES'!$N88="Pendiente"),1,0)</f>
        <v/>
      </c>
      <c r="R92" s="3">
        <f>IF(Q92=1,100000-N92*1000+85*0.01,9000000000000+85)</f>
        <v/>
      </c>
      <c r="S92" s="3">
        <f>IF(Q92=1,SUMPRODUCT(--($R$8:$R$1207&lt;R92))+1,"")</f>
        <v/>
      </c>
      <c r="T92" s="12">
        <f>IF(K92=1,'ORDENES'!$J88,"")</f>
        <v/>
      </c>
      <c r="U92" s="3">
        <f>IFERROR(MATCH(85,$M$8:$M$1207,0),"")</f>
        <v/>
      </c>
      <c r="V92" s="3">
        <f>IF(U92="","",INDEX(tblOrdenes[dia_semana],U92))</f>
        <v/>
      </c>
      <c r="W92" s="3">
        <f>IF(U92="","",IF(V92&lt;&gt;V91,CHAR(10)&amp;UPPER(LEFT(V92,1))&amp;MID(V92,2,20)&amp;":"&amp;CHAR(10),"")&amp;"   "&amp;IF(INDEX(tblOrdenes[turno_asignado],U92)="","(s/t)",INDEX(tblOrdenes[turno_asignado],U92))&amp;" · "&amp;IF(INDEX(tblOrdenes[tecnico_asignado],U92)="","(sin técnico)",INDEX(tblOrdenes[tecnico_asignado],U92))&amp;" · "&amp;INDEX(tblOrdenes[id_operacion],U92)&amp;" — "&amp;INDEX(tblOrdenes[descripcion_operacion],U92)&amp;" ("&amp;TEXT(INDEX(tblOrdenes[horas_efectivas],U92),"0.#")&amp;" h)")</f>
        <v/>
      </c>
    </row>
    <row r="93">
      <c r="K93" s="3">
        <f>IF(AND(IF($B$3="(todos)",TRUE,'ORDENES'!$O89=$B$3),IF($D$3="(todos)",TRUE,'ORDENES'!$AF89=$D$3),IF($F$3="(todos)",TRUE,'ORDENES'!$X89=$F$3),IF($H$3="(todos)",TRUE,'ORDENES'!$W89=$H$3),'ORDENES'!$AD89=TRUE,'ORDENES'!$A89&lt;&gt;""),1,0)</f>
        <v/>
      </c>
      <c r="L93" s="3">
        <f>IF(K93=1,IFERROR(MATCH('ORDENES'!$R89,lista_dias,0),9)*1000000000+IFERROR(MATCH('ORDENES'!$AF89,lista_turnos,0),9)*10000000+IFERROR(MATCH('ORDENES'!$AE89,tblTecnicos[nombre],0),99)*100000+86,9000000000000+86)</f>
        <v/>
      </c>
      <c r="M93" s="3">
        <f>IF(K93=1,SUMPRODUCT(--($L$8:$L$1207&lt;L93))+1,"")</f>
        <v/>
      </c>
      <c r="N93" s="17">
        <f>IF(K93=1,N('ORDENES'!$M89),0)</f>
        <v/>
      </c>
      <c r="O93" s="17">
        <f>IF('ORDENES'!$T89="preventiva",N93,0)</f>
        <v/>
      </c>
      <c r="P93" s="17">
        <f>IF('ORDENES'!$T89="correctiva",N93,0)</f>
        <v/>
      </c>
      <c r="Q93" s="3">
        <f>IF(AND(K93=1,'ORDENES'!$N89="Pendiente"),1,0)</f>
        <v/>
      </c>
      <c r="R93" s="3">
        <f>IF(Q93=1,100000-N93*1000+86*0.01,9000000000000+86)</f>
        <v/>
      </c>
      <c r="S93" s="3">
        <f>IF(Q93=1,SUMPRODUCT(--($R$8:$R$1207&lt;R93))+1,"")</f>
        <v/>
      </c>
      <c r="T93" s="12">
        <f>IF(K93=1,'ORDENES'!$J89,"")</f>
        <v/>
      </c>
      <c r="U93" s="3">
        <f>IFERROR(MATCH(86,$M$8:$M$1207,0),"")</f>
        <v/>
      </c>
      <c r="V93" s="3">
        <f>IF(U93="","",INDEX(tblOrdenes[dia_semana],U93))</f>
        <v/>
      </c>
      <c r="W93" s="3">
        <f>IF(U93="","",IF(V93&lt;&gt;V92,CHAR(10)&amp;UPPER(LEFT(V93,1))&amp;MID(V93,2,20)&amp;":"&amp;CHAR(10),"")&amp;"   "&amp;IF(INDEX(tblOrdenes[turno_asignado],U93)="","(s/t)",INDEX(tblOrdenes[turno_asignado],U93))&amp;" · "&amp;IF(INDEX(tblOrdenes[tecnico_asignado],U93)="","(sin técnico)",INDEX(tblOrdenes[tecnico_asignado],U93))&amp;" · "&amp;INDEX(tblOrdenes[id_operacion],U93)&amp;" — "&amp;INDEX(tblOrdenes[descripcion_operacion],U93)&amp;" ("&amp;TEXT(INDEX(tblOrdenes[horas_efectivas],U93),"0.#")&amp;" h)")</f>
        <v/>
      </c>
    </row>
    <row r="94">
      <c r="K94" s="3">
        <f>IF(AND(IF($B$3="(todos)",TRUE,'ORDENES'!$O90=$B$3),IF($D$3="(todos)",TRUE,'ORDENES'!$AF90=$D$3),IF($F$3="(todos)",TRUE,'ORDENES'!$X90=$F$3),IF($H$3="(todos)",TRUE,'ORDENES'!$W90=$H$3),'ORDENES'!$AD90=TRUE,'ORDENES'!$A90&lt;&gt;""),1,0)</f>
        <v/>
      </c>
      <c r="L94" s="3">
        <f>IF(K94=1,IFERROR(MATCH('ORDENES'!$R90,lista_dias,0),9)*1000000000+IFERROR(MATCH('ORDENES'!$AF90,lista_turnos,0),9)*10000000+IFERROR(MATCH('ORDENES'!$AE90,tblTecnicos[nombre],0),99)*100000+87,9000000000000+87)</f>
        <v/>
      </c>
      <c r="M94" s="3">
        <f>IF(K94=1,SUMPRODUCT(--($L$8:$L$1207&lt;L94))+1,"")</f>
        <v/>
      </c>
      <c r="N94" s="17">
        <f>IF(K94=1,N('ORDENES'!$M90),0)</f>
        <v/>
      </c>
      <c r="O94" s="17">
        <f>IF('ORDENES'!$T90="preventiva",N94,0)</f>
        <v/>
      </c>
      <c r="P94" s="17">
        <f>IF('ORDENES'!$T90="correctiva",N94,0)</f>
        <v/>
      </c>
      <c r="Q94" s="3">
        <f>IF(AND(K94=1,'ORDENES'!$N90="Pendiente"),1,0)</f>
        <v/>
      </c>
      <c r="R94" s="3">
        <f>IF(Q94=1,100000-N94*1000+87*0.01,9000000000000+87)</f>
        <v/>
      </c>
      <c r="S94" s="3">
        <f>IF(Q94=1,SUMPRODUCT(--($R$8:$R$1207&lt;R94))+1,"")</f>
        <v/>
      </c>
      <c r="T94" s="12">
        <f>IF(K94=1,'ORDENES'!$J90,"")</f>
        <v/>
      </c>
      <c r="U94" s="3">
        <f>IFERROR(MATCH(87,$M$8:$M$1207,0),"")</f>
        <v/>
      </c>
      <c r="V94" s="3">
        <f>IF(U94="","",INDEX(tblOrdenes[dia_semana],U94))</f>
        <v/>
      </c>
      <c r="W94" s="3">
        <f>IF(U94="","",IF(V94&lt;&gt;V93,CHAR(10)&amp;UPPER(LEFT(V94,1))&amp;MID(V94,2,20)&amp;":"&amp;CHAR(10),"")&amp;"   "&amp;IF(INDEX(tblOrdenes[turno_asignado],U94)="","(s/t)",INDEX(tblOrdenes[turno_asignado],U94))&amp;" · "&amp;IF(INDEX(tblOrdenes[tecnico_asignado],U94)="","(sin técnico)",INDEX(tblOrdenes[tecnico_asignado],U94))&amp;" · "&amp;INDEX(tblOrdenes[id_operacion],U94)&amp;" — "&amp;INDEX(tblOrdenes[descripcion_operacion],U94)&amp;" ("&amp;TEXT(INDEX(tblOrdenes[horas_efectivas],U94),"0.#")&amp;" h)")</f>
        <v/>
      </c>
    </row>
    <row r="95">
      <c r="K95" s="3">
        <f>IF(AND(IF($B$3="(todos)",TRUE,'ORDENES'!$O91=$B$3),IF($D$3="(todos)",TRUE,'ORDENES'!$AF91=$D$3),IF($F$3="(todos)",TRUE,'ORDENES'!$X91=$F$3),IF($H$3="(todos)",TRUE,'ORDENES'!$W91=$H$3),'ORDENES'!$AD91=TRUE,'ORDENES'!$A91&lt;&gt;""),1,0)</f>
        <v/>
      </c>
      <c r="L95" s="3">
        <f>IF(K95=1,IFERROR(MATCH('ORDENES'!$R91,lista_dias,0),9)*1000000000+IFERROR(MATCH('ORDENES'!$AF91,lista_turnos,0),9)*10000000+IFERROR(MATCH('ORDENES'!$AE91,tblTecnicos[nombre],0),99)*100000+88,9000000000000+88)</f>
        <v/>
      </c>
      <c r="M95" s="3">
        <f>IF(K95=1,SUMPRODUCT(--($L$8:$L$1207&lt;L95))+1,"")</f>
        <v/>
      </c>
      <c r="N95" s="17">
        <f>IF(K95=1,N('ORDENES'!$M91),0)</f>
        <v/>
      </c>
      <c r="O95" s="17">
        <f>IF('ORDENES'!$T91="preventiva",N95,0)</f>
        <v/>
      </c>
      <c r="P95" s="17">
        <f>IF('ORDENES'!$T91="correctiva",N95,0)</f>
        <v/>
      </c>
      <c r="Q95" s="3">
        <f>IF(AND(K95=1,'ORDENES'!$N91="Pendiente"),1,0)</f>
        <v/>
      </c>
      <c r="R95" s="3">
        <f>IF(Q95=1,100000-N95*1000+88*0.01,9000000000000+88)</f>
        <v/>
      </c>
      <c r="S95" s="3">
        <f>IF(Q95=1,SUMPRODUCT(--($R$8:$R$1207&lt;R95))+1,"")</f>
        <v/>
      </c>
      <c r="T95" s="12">
        <f>IF(K95=1,'ORDENES'!$J91,"")</f>
        <v/>
      </c>
      <c r="U95" s="3">
        <f>IFERROR(MATCH(88,$M$8:$M$1207,0),"")</f>
        <v/>
      </c>
      <c r="V95" s="3">
        <f>IF(U95="","",INDEX(tblOrdenes[dia_semana],U95))</f>
        <v/>
      </c>
      <c r="W95" s="3">
        <f>IF(U95="","",IF(V95&lt;&gt;V94,CHAR(10)&amp;UPPER(LEFT(V95,1))&amp;MID(V95,2,20)&amp;":"&amp;CHAR(10),"")&amp;"   "&amp;IF(INDEX(tblOrdenes[turno_asignado],U95)="","(s/t)",INDEX(tblOrdenes[turno_asignado],U95))&amp;" · "&amp;IF(INDEX(tblOrdenes[tecnico_asignado],U95)="","(sin técnico)",INDEX(tblOrdenes[tecnico_asignado],U95))&amp;" · "&amp;INDEX(tblOrdenes[id_operacion],U95)&amp;" — "&amp;INDEX(tblOrdenes[descripcion_operacion],U95)&amp;" ("&amp;TEXT(INDEX(tblOrdenes[horas_efectivas],U95),"0.#")&amp;" h)")</f>
        <v/>
      </c>
    </row>
    <row r="96">
      <c r="K96" s="3">
        <f>IF(AND(IF($B$3="(todos)",TRUE,'ORDENES'!$O92=$B$3),IF($D$3="(todos)",TRUE,'ORDENES'!$AF92=$D$3),IF($F$3="(todos)",TRUE,'ORDENES'!$X92=$F$3),IF($H$3="(todos)",TRUE,'ORDENES'!$W92=$H$3),'ORDENES'!$AD92=TRUE,'ORDENES'!$A92&lt;&gt;""),1,0)</f>
        <v/>
      </c>
      <c r="L96" s="3">
        <f>IF(K96=1,IFERROR(MATCH('ORDENES'!$R92,lista_dias,0),9)*1000000000+IFERROR(MATCH('ORDENES'!$AF92,lista_turnos,0),9)*10000000+IFERROR(MATCH('ORDENES'!$AE92,tblTecnicos[nombre],0),99)*100000+89,9000000000000+89)</f>
        <v/>
      </c>
      <c r="M96" s="3">
        <f>IF(K96=1,SUMPRODUCT(--($L$8:$L$1207&lt;L96))+1,"")</f>
        <v/>
      </c>
      <c r="N96" s="17">
        <f>IF(K96=1,N('ORDENES'!$M92),0)</f>
        <v/>
      </c>
      <c r="O96" s="17">
        <f>IF('ORDENES'!$T92="preventiva",N96,0)</f>
        <v/>
      </c>
      <c r="P96" s="17">
        <f>IF('ORDENES'!$T92="correctiva",N96,0)</f>
        <v/>
      </c>
      <c r="Q96" s="3">
        <f>IF(AND(K96=1,'ORDENES'!$N92="Pendiente"),1,0)</f>
        <v/>
      </c>
      <c r="R96" s="3">
        <f>IF(Q96=1,100000-N96*1000+89*0.01,9000000000000+89)</f>
        <v/>
      </c>
      <c r="S96" s="3">
        <f>IF(Q96=1,SUMPRODUCT(--($R$8:$R$1207&lt;R96))+1,"")</f>
        <v/>
      </c>
      <c r="T96" s="12">
        <f>IF(K96=1,'ORDENES'!$J92,"")</f>
        <v/>
      </c>
      <c r="U96" s="3">
        <f>IFERROR(MATCH(89,$M$8:$M$1207,0),"")</f>
        <v/>
      </c>
      <c r="V96" s="3">
        <f>IF(U96="","",INDEX(tblOrdenes[dia_semana],U96))</f>
        <v/>
      </c>
      <c r="W96" s="3">
        <f>IF(U96="","",IF(V96&lt;&gt;V95,CHAR(10)&amp;UPPER(LEFT(V96,1))&amp;MID(V96,2,20)&amp;":"&amp;CHAR(10),"")&amp;"   "&amp;IF(INDEX(tblOrdenes[turno_asignado],U96)="","(s/t)",INDEX(tblOrdenes[turno_asignado],U96))&amp;" · "&amp;IF(INDEX(tblOrdenes[tecnico_asignado],U96)="","(sin técnico)",INDEX(tblOrdenes[tecnico_asignado],U96))&amp;" · "&amp;INDEX(tblOrdenes[id_operacion],U96)&amp;" — "&amp;INDEX(tblOrdenes[descripcion_operacion],U96)&amp;" ("&amp;TEXT(INDEX(tblOrdenes[horas_efectivas],U96),"0.#")&amp;" h)")</f>
        <v/>
      </c>
    </row>
    <row r="97">
      <c r="K97" s="3">
        <f>IF(AND(IF($B$3="(todos)",TRUE,'ORDENES'!$O93=$B$3),IF($D$3="(todos)",TRUE,'ORDENES'!$AF93=$D$3),IF($F$3="(todos)",TRUE,'ORDENES'!$X93=$F$3),IF($H$3="(todos)",TRUE,'ORDENES'!$W93=$H$3),'ORDENES'!$AD93=TRUE,'ORDENES'!$A93&lt;&gt;""),1,0)</f>
        <v/>
      </c>
      <c r="L97" s="3">
        <f>IF(K97=1,IFERROR(MATCH('ORDENES'!$R93,lista_dias,0),9)*1000000000+IFERROR(MATCH('ORDENES'!$AF93,lista_turnos,0),9)*10000000+IFERROR(MATCH('ORDENES'!$AE93,tblTecnicos[nombre],0),99)*100000+90,9000000000000+90)</f>
        <v/>
      </c>
      <c r="M97" s="3">
        <f>IF(K97=1,SUMPRODUCT(--($L$8:$L$1207&lt;L97))+1,"")</f>
        <v/>
      </c>
      <c r="N97" s="17">
        <f>IF(K97=1,N('ORDENES'!$M93),0)</f>
        <v/>
      </c>
      <c r="O97" s="17">
        <f>IF('ORDENES'!$T93="preventiva",N97,0)</f>
        <v/>
      </c>
      <c r="P97" s="17">
        <f>IF('ORDENES'!$T93="correctiva",N97,0)</f>
        <v/>
      </c>
      <c r="Q97" s="3">
        <f>IF(AND(K97=1,'ORDENES'!$N93="Pendiente"),1,0)</f>
        <v/>
      </c>
      <c r="R97" s="3">
        <f>IF(Q97=1,100000-N97*1000+90*0.01,9000000000000+90)</f>
        <v/>
      </c>
      <c r="S97" s="3">
        <f>IF(Q97=1,SUMPRODUCT(--($R$8:$R$1207&lt;R97))+1,"")</f>
        <v/>
      </c>
      <c r="T97" s="12">
        <f>IF(K97=1,'ORDENES'!$J93,"")</f>
        <v/>
      </c>
      <c r="U97" s="3">
        <f>IFERROR(MATCH(90,$M$8:$M$1207,0),"")</f>
        <v/>
      </c>
      <c r="V97" s="3">
        <f>IF(U97="","",INDEX(tblOrdenes[dia_semana],U97))</f>
        <v/>
      </c>
      <c r="W97" s="3">
        <f>IF(U97="","",IF(V97&lt;&gt;V96,CHAR(10)&amp;UPPER(LEFT(V97,1))&amp;MID(V97,2,20)&amp;":"&amp;CHAR(10),"")&amp;"   "&amp;IF(INDEX(tblOrdenes[turno_asignado],U97)="","(s/t)",INDEX(tblOrdenes[turno_asignado],U97))&amp;" · "&amp;IF(INDEX(tblOrdenes[tecnico_asignado],U97)="","(sin técnico)",INDEX(tblOrdenes[tecnico_asignado],U97))&amp;" · "&amp;INDEX(tblOrdenes[id_operacion],U97)&amp;" — "&amp;INDEX(tblOrdenes[descripcion_operacion],U97)&amp;" ("&amp;TEXT(INDEX(tblOrdenes[horas_efectivas],U97),"0.#")&amp;" h)")</f>
        <v/>
      </c>
    </row>
    <row r="98">
      <c r="K98" s="3">
        <f>IF(AND(IF($B$3="(todos)",TRUE,'ORDENES'!$O94=$B$3),IF($D$3="(todos)",TRUE,'ORDENES'!$AF94=$D$3),IF($F$3="(todos)",TRUE,'ORDENES'!$X94=$F$3),IF($H$3="(todos)",TRUE,'ORDENES'!$W94=$H$3),'ORDENES'!$AD94=TRUE,'ORDENES'!$A94&lt;&gt;""),1,0)</f>
        <v/>
      </c>
      <c r="L98" s="3">
        <f>IF(K98=1,IFERROR(MATCH('ORDENES'!$R94,lista_dias,0),9)*1000000000+IFERROR(MATCH('ORDENES'!$AF94,lista_turnos,0),9)*10000000+IFERROR(MATCH('ORDENES'!$AE94,tblTecnicos[nombre],0),99)*100000+91,9000000000000+91)</f>
        <v/>
      </c>
      <c r="M98" s="3">
        <f>IF(K98=1,SUMPRODUCT(--($L$8:$L$1207&lt;L98))+1,"")</f>
        <v/>
      </c>
      <c r="N98" s="17">
        <f>IF(K98=1,N('ORDENES'!$M94),0)</f>
        <v/>
      </c>
      <c r="O98" s="17">
        <f>IF('ORDENES'!$T94="preventiva",N98,0)</f>
        <v/>
      </c>
      <c r="P98" s="17">
        <f>IF('ORDENES'!$T94="correctiva",N98,0)</f>
        <v/>
      </c>
      <c r="Q98" s="3">
        <f>IF(AND(K98=1,'ORDENES'!$N94="Pendiente"),1,0)</f>
        <v/>
      </c>
      <c r="R98" s="3">
        <f>IF(Q98=1,100000-N98*1000+91*0.01,9000000000000+91)</f>
        <v/>
      </c>
      <c r="S98" s="3">
        <f>IF(Q98=1,SUMPRODUCT(--($R$8:$R$1207&lt;R98))+1,"")</f>
        <v/>
      </c>
      <c r="T98" s="12">
        <f>IF(K98=1,'ORDENES'!$J94,"")</f>
        <v/>
      </c>
      <c r="U98" s="3">
        <f>IFERROR(MATCH(91,$M$8:$M$1207,0),"")</f>
        <v/>
      </c>
      <c r="V98" s="3">
        <f>IF(U98="","",INDEX(tblOrdenes[dia_semana],U98))</f>
        <v/>
      </c>
      <c r="W98" s="3">
        <f>IF(U98="","",IF(V98&lt;&gt;V97,CHAR(10)&amp;UPPER(LEFT(V98,1))&amp;MID(V98,2,20)&amp;":"&amp;CHAR(10),"")&amp;"   "&amp;IF(INDEX(tblOrdenes[turno_asignado],U98)="","(s/t)",INDEX(tblOrdenes[turno_asignado],U98))&amp;" · "&amp;IF(INDEX(tblOrdenes[tecnico_asignado],U98)="","(sin técnico)",INDEX(tblOrdenes[tecnico_asignado],U98))&amp;" · "&amp;INDEX(tblOrdenes[id_operacion],U98)&amp;" — "&amp;INDEX(tblOrdenes[descripcion_operacion],U98)&amp;" ("&amp;TEXT(INDEX(tblOrdenes[horas_efectivas],U98),"0.#")&amp;" h)")</f>
        <v/>
      </c>
    </row>
    <row r="99">
      <c r="K99" s="3">
        <f>IF(AND(IF($B$3="(todos)",TRUE,'ORDENES'!$O95=$B$3),IF($D$3="(todos)",TRUE,'ORDENES'!$AF95=$D$3),IF($F$3="(todos)",TRUE,'ORDENES'!$X95=$F$3),IF($H$3="(todos)",TRUE,'ORDENES'!$W95=$H$3),'ORDENES'!$AD95=TRUE,'ORDENES'!$A95&lt;&gt;""),1,0)</f>
        <v/>
      </c>
      <c r="L99" s="3">
        <f>IF(K99=1,IFERROR(MATCH('ORDENES'!$R95,lista_dias,0),9)*1000000000+IFERROR(MATCH('ORDENES'!$AF95,lista_turnos,0),9)*10000000+IFERROR(MATCH('ORDENES'!$AE95,tblTecnicos[nombre],0),99)*100000+92,9000000000000+92)</f>
        <v/>
      </c>
      <c r="M99" s="3">
        <f>IF(K99=1,SUMPRODUCT(--($L$8:$L$1207&lt;L99))+1,"")</f>
        <v/>
      </c>
      <c r="N99" s="17">
        <f>IF(K99=1,N('ORDENES'!$M95),0)</f>
        <v/>
      </c>
      <c r="O99" s="17">
        <f>IF('ORDENES'!$T95="preventiva",N99,0)</f>
        <v/>
      </c>
      <c r="P99" s="17">
        <f>IF('ORDENES'!$T95="correctiva",N99,0)</f>
        <v/>
      </c>
      <c r="Q99" s="3">
        <f>IF(AND(K99=1,'ORDENES'!$N95="Pendiente"),1,0)</f>
        <v/>
      </c>
      <c r="R99" s="3">
        <f>IF(Q99=1,100000-N99*1000+92*0.01,9000000000000+92)</f>
        <v/>
      </c>
      <c r="S99" s="3">
        <f>IF(Q99=1,SUMPRODUCT(--($R$8:$R$1207&lt;R99))+1,"")</f>
        <v/>
      </c>
      <c r="T99" s="12">
        <f>IF(K99=1,'ORDENES'!$J95,"")</f>
        <v/>
      </c>
      <c r="U99" s="3">
        <f>IFERROR(MATCH(92,$M$8:$M$1207,0),"")</f>
        <v/>
      </c>
      <c r="V99" s="3">
        <f>IF(U99="","",INDEX(tblOrdenes[dia_semana],U99))</f>
        <v/>
      </c>
      <c r="W99" s="3">
        <f>IF(U99="","",IF(V99&lt;&gt;V98,CHAR(10)&amp;UPPER(LEFT(V99,1))&amp;MID(V99,2,20)&amp;":"&amp;CHAR(10),"")&amp;"   "&amp;IF(INDEX(tblOrdenes[turno_asignado],U99)="","(s/t)",INDEX(tblOrdenes[turno_asignado],U99))&amp;" · "&amp;IF(INDEX(tblOrdenes[tecnico_asignado],U99)="","(sin técnico)",INDEX(tblOrdenes[tecnico_asignado],U99))&amp;" · "&amp;INDEX(tblOrdenes[id_operacion],U99)&amp;" — "&amp;INDEX(tblOrdenes[descripcion_operacion],U99)&amp;" ("&amp;TEXT(INDEX(tblOrdenes[horas_efectivas],U99),"0.#")&amp;" h)")</f>
        <v/>
      </c>
    </row>
    <row r="100">
      <c r="K100" s="3">
        <f>IF(AND(IF($B$3="(todos)",TRUE,'ORDENES'!$O96=$B$3),IF($D$3="(todos)",TRUE,'ORDENES'!$AF96=$D$3),IF($F$3="(todos)",TRUE,'ORDENES'!$X96=$F$3),IF($H$3="(todos)",TRUE,'ORDENES'!$W96=$H$3),'ORDENES'!$AD96=TRUE,'ORDENES'!$A96&lt;&gt;""),1,0)</f>
        <v/>
      </c>
      <c r="L100" s="3">
        <f>IF(K100=1,IFERROR(MATCH('ORDENES'!$R96,lista_dias,0),9)*1000000000+IFERROR(MATCH('ORDENES'!$AF96,lista_turnos,0),9)*10000000+IFERROR(MATCH('ORDENES'!$AE96,tblTecnicos[nombre],0),99)*100000+93,9000000000000+93)</f>
        <v/>
      </c>
      <c r="M100" s="3">
        <f>IF(K100=1,SUMPRODUCT(--($L$8:$L$1207&lt;L100))+1,"")</f>
        <v/>
      </c>
      <c r="N100" s="17">
        <f>IF(K100=1,N('ORDENES'!$M96),0)</f>
        <v/>
      </c>
      <c r="O100" s="17">
        <f>IF('ORDENES'!$T96="preventiva",N100,0)</f>
        <v/>
      </c>
      <c r="P100" s="17">
        <f>IF('ORDENES'!$T96="correctiva",N100,0)</f>
        <v/>
      </c>
      <c r="Q100" s="3">
        <f>IF(AND(K100=1,'ORDENES'!$N96="Pendiente"),1,0)</f>
        <v/>
      </c>
      <c r="R100" s="3">
        <f>IF(Q100=1,100000-N100*1000+93*0.01,9000000000000+93)</f>
        <v/>
      </c>
      <c r="S100" s="3">
        <f>IF(Q100=1,SUMPRODUCT(--($R$8:$R$1207&lt;R100))+1,"")</f>
        <v/>
      </c>
      <c r="T100" s="12">
        <f>IF(K100=1,'ORDENES'!$J96,"")</f>
        <v/>
      </c>
      <c r="U100" s="3">
        <f>IFERROR(MATCH(93,$M$8:$M$1207,0),"")</f>
        <v/>
      </c>
      <c r="V100" s="3">
        <f>IF(U100="","",INDEX(tblOrdenes[dia_semana],U100))</f>
        <v/>
      </c>
      <c r="W100" s="3">
        <f>IF(U100="","",IF(V100&lt;&gt;V99,CHAR(10)&amp;UPPER(LEFT(V100,1))&amp;MID(V100,2,20)&amp;":"&amp;CHAR(10),"")&amp;"   "&amp;IF(INDEX(tblOrdenes[turno_asignado],U100)="","(s/t)",INDEX(tblOrdenes[turno_asignado],U100))&amp;" · "&amp;IF(INDEX(tblOrdenes[tecnico_asignado],U100)="","(sin técnico)",INDEX(tblOrdenes[tecnico_asignado],U100))&amp;" · "&amp;INDEX(tblOrdenes[id_operacion],U100)&amp;" — "&amp;INDEX(tblOrdenes[descripcion_operacion],U100)&amp;" ("&amp;TEXT(INDEX(tblOrdenes[horas_efectivas],U100),"0.#")&amp;" h)")</f>
        <v/>
      </c>
    </row>
    <row r="101">
      <c r="K101" s="3">
        <f>IF(AND(IF($B$3="(todos)",TRUE,'ORDENES'!$O97=$B$3),IF($D$3="(todos)",TRUE,'ORDENES'!$AF97=$D$3),IF($F$3="(todos)",TRUE,'ORDENES'!$X97=$F$3),IF($H$3="(todos)",TRUE,'ORDENES'!$W97=$H$3),'ORDENES'!$AD97=TRUE,'ORDENES'!$A97&lt;&gt;""),1,0)</f>
        <v/>
      </c>
      <c r="L101" s="3">
        <f>IF(K101=1,IFERROR(MATCH('ORDENES'!$R97,lista_dias,0),9)*1000000000+IFERROR(MATCH('ORDENES'!$AF97,lista_turnos,0),9)*10000000+IFERROR(MATCH('ORDENES'!$AE97,tblTecnicos[nombre],0),99)*100000+94,9000000000000+94)</f>
        <v/>
      </c>
      <c r="M101" s="3">
        <f>IF(K101=1,SUMPRODUCT(--($L$8:$L$1207&lt;L101))+1,"")</f>
        <v/>
      </c>
      <c r="N101" s="17">
        <f>IF(K101=1,N('ORDENES'!$M97),0)</f>
        <v/>
      </c>
      <c r="O101" s="17">
        <f>IF('ORDENES'!$T97="preventiva",N101,0)</f>
        <v/>
      </c>
      <c r="P101" s="17">
        <f>IF('ORDENES'!$T97="correctiva",N101,0)</f>
        <v/>
      </c>
      <c r="Q101" s="3">
        <f>IF(AND(K101=1,'ORDENES'!$N97="Pendiente"),1,0)</f>
        <v/>
      </c>
      <c r="R101" s="3">
        <f>IF(Q101=1,100000-N101*1000+94*0.01,9000000000000+94)</f>
        <v/>
      </c>
      <c r="S101" s="3">
        <f>IF(Q101=1,SUMPRODUCT(--($R$8:$R$1207&lt;R101))+1,"")</f>
        <v/>
      </c>
      <c r="T101" s="12">
        <f>IF(K101=1,'ORDENES'!$J97,"")</f>
        <v/>
      </c>
      <c r="U101" s="3">
        <f>IFERROR(MATCH(94,$M$8:$M$1207,0),"")</f>
        <v/>
      </c>
      <c r="V101" s="3">
        <f>IF(U101="","",INDEX(tblOrdenes[dia_semana],U101))</f>
        <v/>
      </c>
      <c r="W101" s="3">
        <f>IF(U101="","",IF(V101&lt;&gt;V100,CHAR(10)&amp;UPPER(LEFT(V101,1))&amp;MID(V101,2,20)&amp;":"&amp;CHAR(10),"")&amp;"   "&amp;IF(INDEX(tblOrdenes[turno_asignado],U101)="","(s/t)",INDEX(tblOrdenes[turno_asignado],U101))&amp;" · "&amp;IF(INDEX(tblOrdenes[tecnico_asignado],U101)="","(sin técnico)",INDEX(tblOrdenes[tecnico_asignado],U101))&amp;" · "&amp;INDEX(tblOrdenes[id_operacion],U101)&amp;" — "&amp;INDEX(tblOrdenes[descripcion_operacion],U101)&amp;" ("&amp;TEXT(INDEX(tblOrdenes[horas_efectivas],U101),"0.#")&amp;" h)")</f>
        <v/>
      </c>
    </row>
    <row r="102">
      <c r="K102" s="3">
        <f>IF(AND(IF($B$3="(todos)",TRUE,'ORDENES'!$O98=$B$3),IF($D$3="(todos)",TRUE,'ORDENES'!$AF98=$D$3),IF($F$3="(todos)",TRUE,'ORDENES'!$X98=$F$3),IF($H$3="(todos)",TRUE,'ORDENES'!$W98=$H$3),'ORDENES'!$AD98=TRUE,'ORDENES'!$A98&lt;&gt;""),1,0)</f>
        <v/>
      </c>
      <c r="L102" s="3">
        <f>IF(K102=1,IFERROR(MATCH('ORDENES'!$R98,lista_dias,0),9)*1000000000+IFERROR(MATCH('ORDENES'!$AF98,lista_turnos,0),9)*10000000+IFERROR(MATCH('ORDENES'!$AE98,tblTecnicos[nombre],0),99)*100000+95,9000000000000+95)</f>
        <v/>
      </c>
      <c r="M102" s="3">
        <f>IF(K102=1,SUMPRODUCT(--($L$8:$L$1207&lt;L102))+1,"")</f>
        <v/>
      </c>
      <c r="N102" s="17">
        <f>IF(K102=1,N('ORDENES'!$M98),0)</f>
        <v/>
      </c>
      <c r="O102" s="17">
        <f>IF('ORDENES'!$T98="preventiva",N102,0)</f>
        <v/>
      </c>
      <c r="P102" s="17">
        <f>IF('ORDENES'!$T98="correctiva",N102,0)</f>
        <v/>
      </c>
      <c r="Q102" s="3">
        <f>IF(AND(K102=1,'ORDENES'!$N98="Pendiente"),1,0)</f>
        <v/>
      </c>
      <c r="R102" s="3">
        <f>IF(Q102=1,100000-N102*1000+95*0.01,9000000000000+95)</f>
        <v/>
      </c>
      <c r="S102" s="3">
        <f>IF(Q102=1,SUMPRODUCT(--($R$8:$R$1207&lt;R102))+1,"")</f>
        <v/>
      </c>
      <c r="T102" s="12">
        <f>IF(K102=1,'ORDENES'!$J98,"")</f>
        <v/>
      </c>
      <c r="U102" s="3">
        <f>IFERROR(MATCH(95,$M$8:$M$1207,0),"")</f>
        <v/>
      </c>
      <c r="V102" s="3">
        <f>IF(U102="","",INDEX(tblOrdenes[dia_semana],U102))</f>
        <v/>
      </c>
      <c r="W102" s="3">
        <f>IF(U102="","",IF(V102&lt;&gt;V101,CHAR(10)&amp;UPPER(LEFT(V102,1))&amp;MID(V102,2,20)&amp;":"&amp;CHAR(10),"")&amp;"   "&amp;IF(INDEX(tblOrdenes[turno_asignado],U102)="","(s/t)",INDEX(tblOrdenes[turno_asignado],U102))&amp;" · "&amp;IF(INDEX(tblOrdenes[tecnico_asignado],U102)="","(sin técnico)",INDEX(tblOrdenes[tecnico_asignado],U102))&amp;" · "&amp;INDEX(tblOrdenes[id_operacion],U102)&amp;" — "&amp;INDEX(tblOrdenes[descripcion_operacion],U102)&amp;" ("&amp;TEXT(INDEX(tblOrdenes[horas_efectivas],U102),"0.#")&amp;" h)")</f>
        <v/>
      </c>
    </row>
    <row r="103">
      <c r="K103" s="3">
        <f>IF(AND(IF($B$3="(todos)",TRUE,'ORDENES'!$O99=$B$3),IF($D$3="(todos)",TRUE,'ORDENES'!$AF99=$D$3),IF($F$3="(todos)",TRUE,'ORDENES'!$X99=$F$3),IF($H$3="(todos)",TRUE,'ORDENES'!$W99=$H$3),'ORDENES'!$AD99=TRUE,'ORDENES'!$A99&lt;&gt;""),1,0)</f>
        <v/>
      </c>
      <c r="L103" s="3">
        <f>IF(K103=1,IFERROR(MATCH('ORDENES'!$R99,lista_dias,0),9)*1000000000+IFERROR(MATCH('ORDENES'!$AF99,lista_turnos,0),9)*10000000+IFERROR(MATCH('ORDENES'!$AE99,tblTecnicos[nombre],0),99)*100000+96,9000000000000+96)</f>
        <v/>
      </c>
      <c r="M103" s="3">
        <f>IF(K103=1,SUMPRODUCT(--($L$8:$L$1207&lt;L103))+1,"")</f>
        <v/>
      </c>
      <c r="N103" s="17">
        <f>IF(K103=1,N('ORDENES'!$M99),0)</f>
        <v/>
      </c>
      <c r="O103" s="17">
        <f>IF('ORDENES'!$T99="preventiva",N103,0)</f>
        <v/>
      </c>
      <c r="P103" s="17">
        <f>IF('ORDENES'!$T99="correctiva",N103,0)</f>
        <v/>
      </c>
      <c r="Q103" s="3">
        <f>IF(AND(K103=1,'ORDENES'!$N99="Pendiente"),1,0)</f>
        <v/>
      </c>
      <c r="R103" s="3">
        <f>IF(Q103=1,100000-N103*1000+96*0.01,9000000000000+96)</f>
        <v/>
      </c>
      <c r="S103" s="3">
        <f>IF(Q103=1,SUMPRODUCT(--($R$8:$R$1207&lt;R103))+1,"")</f>
        <v/>
      </c>
      <c r="T103" s="12">
        <f>IF(K103=1,'ORDENES'!$J99,"")</f>
        <v/>
      </c>
      <c r="U103" s="3">
        <f>IFERROR(MATCH(96,$M$8:$M$1207,0),"")</f>
        <v/>
      </c>
      <c r="V103" s="3">
        <f>IF(U103="","",INDEX(tblOrdenes[dia_semana],U103))</f>
        <v/>
      </c>
      <c r="W103" s="3">
        <f>IF(U103="","",IF(V103&lt;&gt;V102,CHAR(10)&amp;UPPER(LEFT(V103,1))&amp;MID(V103,2,20)&amp;":"&amp;CHAR(10),"")&amp;"   "&amp;IF(INDEX(tblOrdenes[turno_asignado],U103)="","(s/t)",INDEX(tblOrdenes[turno_asignado],U103))&amp;" · "&amp;IF(INDEX(tblOrdenes[tecnico_asignado],U103)="","(sin técnico)",INDEX(tblOrdenes[tecnico_asignado],U103))&amp;" · "&amp;INDEX(tblOrdenes[id_operacion],U103)&amp;" — "&amp;INDEX(tblOrdenes[descripcion_operacion],U103)&amp;" ("&amp;TEXT(INDEX(tblOrdenes[horas_efectivas],U103),"0.#")&amp;" h)")</f>
        <v/>
      </c>
    </row>
    <row r="104">
      <c r="K104" s="3">
        <f>IF(AND(IF($B$3="(todos)",TRUE,'ORDENES'!$O100=$B$3),IF($D$3="(todos)",TRUE,'ORDENES'!$AF100=$D$3),IF($F$3="(todos)",TRUE,'ORDENES'!$X100=$F$3),IF($H$3="(todos)",TRUE,'ORDENES'!$W100=$H$3),'ORDENES'!$AD100=TRUE,'ORDENES'!$A100&lt;&gt;""),1,0)</f>
        <v/>
      </c>
      <c r="L104" s="3">
        <f>IF(K104=1,IFERROR(MATCH('ORDENES'!$R100,lista_dias,0),9)*1000000000+IFERROR(MATCH('ORDENES'!$AF100,lista_turnos,0),9)*10000000+IFERROR(MATCH('ORDENES'!$AE100,tblTecnicos[nombre],0),99)*100000+97,9000000000000+97)</f>
        <v/>
      </c>
      <c r="M104" s="3">
        <f>IF(K104=1,SUMPRODUCT(--($L$8:$L$1207&lt;L104))+1,"")</f>
        <v/>
      </c>
      <c r="N104" s="17">
        <f>IF(K104=1,N('ORDENES'!$M100),0)</f>
        <v/>
      </c>
      <c r="O104" s="17">
        <f>IF('ORDENES'!$T100="preventiva",N104,0)</f>
        <v/>
      </c>
      <c r="P104" s="17">
        <f>IF('ORDENES'!$T100="correctiva",N104,0)</f>
        <v/>
      </c>
      <c r="Q104" s="3">
        <f>IF(AND(K104=1,'ORDENES'!$N100="Pendiente"),1,0)</f>
        <v/>
      </c>
      <c r="R104" s="3">
        <f>IF(Q104=1,100000-N104*1000+97*0.01,9000000000000+97)</f>
        <v/>
      </c>
      <c r="S104" s="3">
        <f>IF(Q104=1,SUMPRODUCT(--($R$8:$R$1207&lt;R104))+1,"")</f>
        <v/>
      </c>
      <c r="T104" s="12">
        <f>IF(K104=1,'ORDENES'!$J100,"")</f>
        <v/>
      </c>
      <c r="U104" s="3">
        <f>IFERROR(MATCH(97,$M$8:$M$1207,0),"")</f>
        <v/>
      </c>
      <c r="V104" s="3">
        <f>IF(U104="","",INDEX(tblOrdenes[dia_semana],U104))</f>
        <v/>
      </c>
      <c r="W104" s="3">
        <f>IF(U104="","",IF(V104&lt;&gt;V103,CHAR(10)&amp;UPPER(LEFT(V104,1))&amp;MID(V104,2,20)&amp;":"&amp;CHAR(10),"")&amp;"   "&amp;IF(INDEX(tblOrdenes[turno_asignado],U104)="","(s/t)",INDEX(tblOrdenes[turno_asignado],U104))&amp;" · "&amp;IF(INDEX(tblOrdenes[tecnico_asignado],U104)="","(sin técnico)",INDEX(tblOrdenes[tecnico_asignado],U104))&amp;" · "&amp;INDEX(tblOrdenes[id_operacion],U104)&amp;" — "&amp;INDEX(tblOrdenes[descripcion_operacion],U104)&amp;" ("&amp;TEXT(INDEX(tblOrdenes[horas_efectivas],U104),"0.#")&amp;" h)")</f>
        <v/>
      </c>
    </row>
    <row r="105">
      <c r="K105" s="3">
        <f>IF(AND(IF($B$3="(todos)",TRUE,'ORDENES'!$O101=$B$3),IF($D$3="(todos)",TRUE,'ORDENES'!$AF101=$D$3),IF($F$3="(todos)",TRUE,'ORDENES'!$X101=$F$3),IF($H$3="(todos)",TRUE,'ORDENES'!$W101=$H$3),'ORDENES'!$AD101=TRUE,'ORDENES'!$A101&lt;&gt;""),1,0)</f>
        <v/>
      </c>
      <c r="L105" s="3">
        <f>IF(K105=1,IFERROR(MATCH('ORDENES'!$R101,lista_dias,0),9)*1000000000+IFERROR(MATCH('ORDENES'!$AF101,lista_turnos,0),9)*10000000+IFERROR(MATCH('ORDENES'!$AE101,tblTecnicos[nombre],0),99)*100000+98,9000000000000+98)</f>
        <v/>
      </c>
      <c r="M105" s="3">
        <f>IF(K105=1,SUMPRODUCT(--($L$8:$L$1207&lt;L105))+1,"")</f>
        <v/>
      </c>
      <c r="N105" s="17">
        <f>IF(K105=1,N('ORDENES'!$M101),0)</f>
        <v/>
      </c>
      <c r="O105" s="17">
        <f>IF('ORDENES'!$T101="preventiva",N105,0)</f>
        <v/>
      </c>
      <c r="P105" s="17">
        <f>IF('ORDENES'!$T101="correctiva",N105,0)</f>
        <v/>
      </c>
      <c r="Q105" s="3">
        <f>IF(AND(K105=1,'ORDENES'!$N101="Pendiente"),1,0)</f>
        <v/>
      </c>
      <c r="R105" s="3">
        <f>IF(Q105=1,100000-N105*1000+98*0.01,9000000000000+98)</f>
        <v/>
      </c>
      <c r="S105" s="3">
        <f>IF(Q105=1,SUMPRODUCT(--($R$8:$R$1207&lt;R105))+1,"")</f>
        <v/>
      </c>
      <c r="T105" s="12">
        <f>IF(K105=1,'ORDENES'!$J101,"")</f>
        <v/>
      </c>
      <c r="U105" s="3">
        <f>IFERROR(MATCH(98,$M$8:$M$1207,0),"")</f>
        <v/>
      </c>
      <c r="V105" s="3">
        <f>IF(U105="","",INDEX(tblOrdenes[dia_semana],U105))</f>
        <v/>
      </c>
      <c r="W105" s="3">
        <f>IF(U105="","",IF(V105&lt;&gt;V104,CHAR(10)&amp;UPPER(LEFT(V105,1))&amp;MID(V105,2,20)&amp;":"&amp;CHAR(10),"")&amp;"   "&amp;IF(INDEX(tblOrdenes[turno_asignado],U105)="","(s/t)",INDEX(tblOrdenes[turno_asignado],U105))&amp;" · "&amp;IF(INDEX(tblOrdenes[tecnico_asignado],U105)="","(sin técnico)",INDEX(tblOrdenes[tecnico_asignado],U105))&amp;" · "&amp;INDEX(tblOrdenes[id_operacion],U105)&amp;" — "&amp;INDEX(tblOrdenes[descripcion_operacion],U105)&amp;" ("&amp;TEXT(INDEX(tblOrdenes[horas_efectivas],U105),"0.#")&amp;" h)")</f>
        <v/>
      </c>
    </row>
    <row r="106">
      <c r="K106" s="3">
        <f>IF(AND(IF($B$3="(todos)",TRUE,'ORDENES'!$O102=$B$3),IF($D$3="(todos)",TRUE,'ORDENES'!$AF102=$D$3),IF($F$3="(todos)",TRUE,'ORDENES'!$X102=$F$3),IF($H$3="(todos)",TRUE,'ORDENES'!$W102=$H$3),'ORDENES'!$AD102=TRUE,'ORDENES'!$A102&lt;&gt;""),1,0)</f>
        <v/>
      </c>
      <c r="L106" s="3">
        <f>IF(K106=1,IFERROR(MATCH('ORDENES'!$R102,lista_dias,0),9)*1000000000+IFERROR(MATCH('ORDENES'!$AF102,lista_turnos,0),9)*10000000+IFERROR(MATCH('ORDENES'!$AE102,tblTecnicos[nombre],0),99)*100000+99,9000000000000+99)</f>
        <v/>
      </c>
      <c r="M106" s="3">
        <f>IF(K106=1,SUMPRODUCT(--($L$8:$L$1207&lt;L106))+1,"")</f>
        <v/>
      </c>
      <c r="N106" s="17">
        <f>IF(K106=1,N('ORDENES'!$M102),0)</f>
        <v/>
      </c>
      <c r="O106" s="17">
        <f>IF('ORDENES'!$T102="preventiva",N106,0)</f>
        <v/>
      </c>
      <c r="P106" s="17">
        <f>IF('ORDENES'!$T102="correctiva",N106,0)</f>
        <v/>
      </c>
      <c r="Q106" s="3">
        <f>IF(AND(K106=1,'ORDENES'!$N102="Pendiente"),1,0)</f>
        <v/>
      </c>
      <c r="R106" s="3">
        <f>IF(Q106=1,100000-N106*1000+99*0.01,9000000000000+99)</f>
        <v/>
      </c>
      <c r="S106" s="3">
        <f>IF(Q106=1,SUMPRODUCT(--($R$8:$R$1207&lt;R106))+1,"")</f>
        <v/>
      </c>
      <c r="T106" s="12">
        <f>IF(K106=1,'ORDENES'!$J102,"")</f>
        <v/>
      </c>
      <c r="U106" s="3">
        <f>IFERROR(MATCH(99,$M$8:$M$1207,0),"")</f>
        <v/>
      </c>
      <c r="V106" s="3">
        <f>IF(U106="","",INDEX(tblOrdenes[dia_semana],U106))</f>
        <v/>
      </c>
      <c r="W106" s="3">
        <f>IF(U106="","",IF(V106&lt;&gt;V105,CHAR(10)&amp;UPPER(LEFT(V106,1))&amp;MID(V106,2,20)&amp;":"&amp;CHAR(10),"")&amp;"   "&amp;IF(INDEX(tblOrdenes[turno_asignado],U106)="","(s/t)",INDEX(tblOrdenes[turno_asignado],U106))&amp;" · "&amp;IF(INDEX(tblOrdenes[tecnico_asignado],U106)="","(sin técnico)",INDEX(tblOrdenes[tecnico_asignado],U106))&amp;" · "&amp;INDEX(tblOrdenes[id_operacion],U106)&amp;" — "&amp;INDEX(tblOrdenes[descripcion_operacion],U106)&amp;" ("&amp;TEXT(INDEX(tblOrdenes[horas_efectivas],U106),"0.#")&amp;" h)")</f>
        <v/>
      </c>
    </row>
    <row r="107">
      <c r="K107" s="3">
        <f>IF(AND(IF($B$3="(todos)",TRUE,'ORDENES'!$O103=$B$3),IF($D$3="(todos)",TRUE,'ORDENES'!$AF103=$D$3),IF($F$3="(todos)",TRUE,'ORDENES'!$X103=$F$3),IF($H$3="(todos)",TRUE,'ORDENES'!$W103=$H$3),'ORDENES'!$AD103=TRUE,'ORDENES'!$A103&lt;&gt;""),1,0)</f>
        <v/>
      </c>
      <c r="L107" s="3">
        <f>IF(K107=1,IFERROR(MATCH('ORDENES'!$R103,lista_dias,0),9)*1000000000+IFERROR(MATCH('ORDENES'!$AF103,lista_turnos,0),9)*10000000+IFERROR(MATCH('ORDENES'!$AE103,tblTecnicos[nombre],0),99)*100000+100,9000000000000+100)</f>
        <v/>
      </c>
      <c r="M107" s="3">
        <f>IF(K107=1,SUMPRODUCT(--($L$8:$L$1207&lt;L107))+1,"")</f>
        <v/>
      </c>
      <c r="N107" s="17">
        <f>IF(K107=1,N('ORDENES'!$M103),0)</f>
        <v/>
      </c>
      <c r="O107" s="17">
        <f>IF('ORDENES'!$T103="preventiva",N107,0)</f>
        <v/>
      </c>
      <c r="P107" s="17">
        <f>IF('ORDENES'!$T103="correctiva",N107,0)</f>
        <v/>
      </c>
      <c r="Q107" s="3">
        <f>IF(AND(K107=1,'ORDENES'!$N103="Pendiente"),1,0)</f>
        <v/>
      </c>
      <c r="R107" s="3">
        <f>IF(Q107=1,100000-N107*1000+100*0.01,9000000000000+100)</f>
        <v/>
      </c>
      <c r="S107" s="3">
        <f>IF(Q107=1,SUMPRODUCT(--($R$8:$R$1207&lt;R107))+1,"")</f>
        <v/>
      </c>
      <c r="T107" s="12">
        <f>IF(K107=1,'ORDENES'!$J103,"")</f>
        <v/>
      </c>
      <c r="U107" s="3">
        <f>IFERROR(MATCH(100,$M$8:$M$1207,0),"")</f>
        <v/>
      </c>
      <c r="V107" s="3">
        <f>IF(U107="","",INDEX(tblOrdenes[dia_semana],U107))</f>
        <v/>
      </c>
      <c r="W107" s="3">
        <f>IF(U107="","",IF(V107&lt;&gt;V106,CHAR(10)&amp;UPPER(LEFT(V107,1))&amp;MID(V107,2,20)&amp;":"&amp;CHAR(10),"")&amp;"   "&amp;IF(INDEX(tblOrdenes[turno_asignado],U107)="","(s/t)",INDEX(tblOrdenes[turno_asignado],U107))&amp;" · "&amp;IF(INDEX(tblOrdenes[tecnico_asignado],U107)="","(sin técnico)",INDEX(tblOrdenes[tecnico_asignado],U107))&amp;" · "&amp;INDEX(tblOrdenes[id_operacion],U107)&amp;" — "&amp;INDEX(tblOrdenes[descripcion_operacion],U107)&amp;" ("&amp;TEXT(INDEX(tblOrdenes[horas_efectivas],U107),"0.#")&amp;" h)")</f>
        <v/>
      </c>
    </row>
    <row r="108">
      <c r="K108" s="3">
        <f>IF(AND(IF($B$3="(todos)",TRUE,'ORDENES'!$O104=$B$3),IF($D$3="(todos)",TRUE,'ORDENES'!$AF104=$D$3),IF($F$3="(todos)",TRUE,'ORDENES'!$X104=$F$3),IF($H$3="(todos)",TRUE,'ORDENES'!$W104=$H$3),'ORDENES'!$AD104=TRUE,'ORDENES'!$A104&lt;&gt;""),1,0)</f>
        <v/>
      </c>
      <c r="L108" s="3">
        <f>IF(K108=1,IFERROR(MATCH('ORDENES'!$R104,lista_dias,0),9)*1000000000+IFERROR(MATCH('ORDENES'!$AF104,lista_turnos,0),9)*10000000+IFERROR(MATCH('ORDENES'!$AE104,tblTecnicos[nombre],0),99)*100000+101,9000000000000+101)</f>
        <v/>
      </c>
      <c r="M108" s="3">
        <f>IF(K108=1,SUMPRODUCT(--($L$8:$L$1207&lt;L108))+1,"")</f>
        <v/>
      </c>
      <c r="N108" s="17">
        <f>IF(K108=1,N('ORDENES'!$M104),0)</f>
        <v/>
      </c>
      <c r="O108" s="17">
        <f>IF('ORDENES'!$T104="preventiva",N108,0)</f>
        <v/>
      </c>
      <c r="P108" s="17">
        <f>IF('ORDENES'!$T104="correctiva",N108,0)</f>
        <v/>
      </c>
      <c r="Q108" s="3">
        <f>IF(AND(K108=1,'ORDENES'!$N104="Pendiente"),1,0)</f>
        <v/>
      </c>
      <c r="R108" s="3">
        <f>IF(Q108=1,100000-N108*1000+101*0.01,9000000000000+101)</f>
        <v/>
      </c>
      <c r="S108" s="3">
        <f>IF(Q108=1,SUMPRODUCT(--($R$8:$R$1207&lt;R108))+1,"")</f>
        <v/>
      </c>
      <c r="T108" s="12">
        <f>IF(K108=1,'ORDENES'!$J104,"")</f>
        <v/>
      </c>
      <c r="U108" s="3">
        <f>IFERROR(MATCH(101,$M$8:$M$1207,0),"")</f>
        <v/>
      </c>
      <c r="V108" s="3">
        <f>IF(U108="","",INDEX(tblOrdenes[dia_semana],U108))</f>
        <v/>
      </c>
      <c r="W108" s="3">
        <f>IF(U108="","",IF(V108&lt;&gt;V107,CHAR(10)&amp;UPPER(LEFT(V108,1))&amp;MID(V108,2,20)&amp;":"&amp;CHAR(10),"")&amp;"   "&amp;IF(INDEX(tblOrdenes[turno_asignado],U108)="","(s/t)",INDEX(tblOrdenes[turno_asignado],U108))&amp;" · "&amp;IF(INDEX(tblOrdenes[tecnico_asignado],U108)="","(sin técnico)",INDEX(tblOrdenes[tecnico_asignado],U108))&amp;" · "&amp;INDEX(tblOrdenes[id_operacion],U108)&amp;" — "&amp;INDEX(tblOrdenes[descripcion_operacion],U108)&amp;" ("&amp;TEXT(INDEX(tblOrdenes[horas_efectivas],U108),"0.#")&amp;" h)")</f>
        <v/>
      </c>
    </row>
    <row r="109">
      <c r="K109" s="3">
        <f>IF(AND(IF($B$3="(todos)",TRUE,'ORDENES'!$O105=$B$3),IF($D$3="(todos)",TRUE,'ORDENES'!$AF105=$D$3),IF($F$3="(todos)",TRUE,'ORDENES'!$X105=$F$3),IF($H$3="(todos)",TRUE,'ORDENES'!$W105=$H$3),'ORDENES'!$AD105=TRUE,'ORDENES'!$A105&lt;&gt;""),1,0)</f>
        <v/>
      </c>
      <c r="L109" s="3">
        <f>IF(K109=1,IFERROR(MATCH('ORDENES'!$R105,lista_dias,0),9)*1000000000+IFERROR(MATCH('ORDENES'!$AF105,lista_turnos,0),9)*10000000+IFERROR(MATCH('ORDENES'!$AE105,tblTecnicos[nombre],0),99)*100000+102,9000000000000+102)</f>
        <v/>
      </c>
      <c r="M109" s="3">
        <f>IF(K109=1,SUMPRODUCT(--($L$8:$L$1207&lt;L109))+1,"")</f>
        <v/>
      </c>
      <c r="N109" s="17">
        <f>IF(K109=1,N('ORDENES'!$M105),0)</f>
        <v/>
      </c>
      <c r="O109" s="17">
        <f>IF('ORDENES'!$T105="preventiva",N109,0)</f>
        <v/>
      </c>
      <c r="P109" s="17">
        <f>IF('ORDENES'!$T105="correctiva",N109,0)</f>
        <v/>
      </c>
      <c r="Q109" s="3">
        <f>IF(AND(K109=1,'ORDENES'!$N105="Pendiente"),1,0)</f>
        <v/>
      </c>
      <c r="R109" s="3">
        <f>IF(Q109=1,100000-N109*1000+102*0.01,9000000000000+102)</f>
        <v/>
      </c>
      <c r="S109" s="3">
        <f>IF(Q109=1,SUMPRODUCT(--($R$8:$R$1207&lt;R109))+1,"")</f>
        <v/>
      </c>
      <c r="T109" s="12">
        <f>IF(K109=1,'ORDENES'!$J105,"")</f>
        <v/>
      </c>
      <c r="U109" s="3">
        <f>IFERROR(MATCH(102,$M$8:$M$1207,0),"")</f>
        <v/>
      </c>
      <c r="V109" s="3">
        <f>IF(U109="","",INDEX(tblOrdenes[dia_semana],U109))</f>
        <v/>
      </c>
      <c r="W109" s="3">
        <f>IF(U109="","",IF(V109&lt;&gt;V108,CHAR(10)&amp;UPPER(LEFT(V109,1))&amp;MID(V109,2,20)&amp;":"&amp;CHAR(10),"")&amp;"   "&amp;IF(INDEX(tblOrdenes[turno_asignado],U109)="","(s/t)",INDEX(tblOrdenes[turno_asignado],U109))&amp;" · "&amp;IF(INDEX(tblOrdenes[tecnico_asignado],U109)="","(sin técnico)",INDEX(tblOrdenes[tecnico_asignado],U109))&amp;" · "&amp;INDEX(tblOrdenes[id_operacion],U109)&amp;" — "&amp;INDEX(tblOrdenes[descripcion_operacion],U109)&amp;" ("&amp;TEXT(INDEX(tblOrdenes[horas_efectivas],U109),"0.#")&amp;" h)")</f>
        <v/>
      </c>
    </row>
    <row r="110">
      <c r="K110" s="3">
        <f>IF(AND(IF($B$3="(todos)",TRUE,'ORDENES'!$O106=$B$3),IF($D$3="(todos)",TRUE,'ORDENES'!$AF106=$D$3),IF($F$3="(todos)",TRUE,'ORDENES'!$X106=$F$3),IF($H$3="(todos)",TRUE,'ORDENES'!$W106=$H$3),'ORDENES'!$AD106=TRUE,'ORDENES'!$A106&lt;&gt;""),1,0)</f>
        <v/>
      </c>
      <c r="L110" s="3">
        <f>IF(K110=1,IFERROR(MATCH('ORDENES'!$R106,lista_dias,0),9)*1000000000+IFERROR(MATCH('ORDENES'!$AF106,lista_turnos,0),9)*10000000+IFERROR(MATCH('ORDENES'!$AE106,tblTecnicos[nombre],0),99)*100000+103,9000000000000+103)</f>
        <v/>
      </c>
      <c r="M110" s="3">
        <f>IF(K110=1,SUMPRODUCT(--($L$8:$L$1207&lt;L110))+1,"")</f>
        <v/>
      </c>
      <c r="N110" s="17">
        <f>IF(K110=1,N('ORDENES'!$M106),0)</f>
        <v/>
      </c>
      <c r="O110" s="17">
        <f>IF('ORDENES'!$T106="preventiva",N110,0)</f>
        <v/>
      </c>
      <c r="P110" s="17">
        <f>IF('ORDENES'!$T106="correctiva",N110,0)</f>
        <v/>
      </c>
      <c r="Q110" s="3">
        <f>IF(AND(K110=1,'ORDENES'!$N106="Pendiente"),1,0)</f>
        <v/>
      </c>
      <c r="R110" s="3">
        <f>IF(Q110=1,100000-N110*1000+103*0.01,9000000000000+103)</f>
        <v/>
      </c>
      <c r="S110" s="3">
        <f>IF(Q110=1,SUMPRODUCT(--($R$8:$R$1207&lt;R110))+1,"")</f>
        <v/>
      </c>
      <c r="T110" s="12">
        <f>IF(K110=1,'ORDENES'!$J106,"")</f>
        <v/>
      </c>
      <c r="U110" s="3">
        <f>IFERROR(MATCH(103,$M$8:$M$1207,0),"")</f>
        <v/>
      </c>
      <c r="V110" s="3">
        <f>IF(U110="","",INDEX(tblOrdenes[dia_semana],U110))</f>
        <v/>
      </c>
      <c r="W110" s="3">
        <f>IF(U110="","",IF(V110&lt;&gt;V109,CHAR(10)&amp;UPPER(LEFT(V110,1))&amp;MID(V110,2,20)&amp;":"&amp;CHAR(10),"")&amp;"   "&amp;IF(INDEX(tblOrdenes[turno_asignado],U110)="","(s/t)",INDEX(tblOrdenes[turno_asignado],U110))&amp;" · "&amp;IF(INDEX(tblOrdenes[tecnico_asignado],U110)="","(sin técnico)",INDEX(tblOrdenes[tecnico_asignado],U110))&amp;" · "&amp;INDEX(tblOrdenes[id_operacion],U110)&amp;" — "&amp;INDEX(tblOrdenes[descripcion_operacion],U110)&amp;" ("&amp;TEXT(INDEX(tblOrdenes[horas_efectivas],U110),"0.#")&amp;" h)")</f>
        <v/>
      </c>
    </row>
    <row r="111">
      <c r="K111" s="3">
        <f>IF(AND(IF($B$3="(todos)",TRUE,'ORDENES'!$O107=$B$3),IF($D$3="(todos)",TRUE,'ORDENES'!$AF107=$D$3),IF($F$3="(todos)",TRUE,'ORDENES'!$X107=$F$3),IF($H$3="(todos)",TRUE,'ORDENES'!$W107=$H$3),'ORDENES'!$AD107=TRUE,'ORDENES'!$A107&lt;&gt;""),1,0)</f>
        <v/>
      </c>
      <c r="L111" s="3">
        <f>IF(K111=1,IFERROR(MATCH('ORDENES'!$R107,lista_dias,0),9)*1000000000+IFERROR(MATCH('ORDENES'!$AF107,lista_turnos,0),9)*10000000+IFERROR(MATCH('ORDENES'!$AE107,tblTecnicos[nombre],0),99)*100000+104,9000000000000+104)</f>
        <v/>
      </c>
      <c r="M111" s="3">
        <f>IF(K111=1,SUMPRODUCT(--($L$8:$L$1207&lt;L111))+1,"")</f>
        <v/>
      </c>
      <c r="N111" s="17">
        <f>IF(K111=1,N('ORDENES'!$M107),0)</f>
        <v/>
      </c>
      <c r="O111" s="17">
        <f>IF('ORDENES'!$T107="preventiva",N111,0)</f>
        <v/>
      </c>
      <c r="P111" s="17">
        <f>IF('ORDENES'!$T107="correctiva",N111,0)</f>
        <v/>
      </c>
      <c r="Q111" s="3">
        <f>IF(AND(K111=1,'ORDENES'!$N107="Pendiente"),1,0)</f>
        <v/>
      </c>
      <c r="R111" s="3">
        <f>IF(Q111=1,100000-N111*1000+104*0.01,9000000000000+104)</f>
        <v/>
      </c>
      <c r="S111" s="3">
        <f>IF(Q111=1,SUMPRODUCT(--($R$8:$R$1207&lt;R111))+1,"")</f>
        <v/>
      </c>
      <c r="T111" s="12">
        <f>IF(K111=1,'ORDENES'!$J107,"")</f>
        <v/>
      </c>
      <c r="U111" s="3">
        <f>IFERROR(MATCH(104,$M$8:$M$1207,0),"")</f>
        <v/>
      </c>
      <c r="V111" s="3">
        <f>IF(U111="","",INDEX(tblOrdenes[dia_semana],U111))</f>
        <v/>
      </c>
      <c r="W111" s="3">
        <f>IF(U111="","",IF(V111&lt;&gt;V110,CHAR(10)&amp;UPPER(LEFT(V111,1))&amp;MID(V111,2,20)&amp;":"&amp;CHAR(10),"")&amp;"   "&amp;IF(INDEX(tblOrdenes[turno_asignado],U111)="","(s/t)",INDEX(tblOrdenes[turno_asignado],U111))&amp;" · "&amp;IF(INDEX(tblOrdenes[tecnico_asignado],U111)="","(sin técnico)",INDEX(tblOrdenes[tecnico_asignado],U111))&amp;" · "&amp;INDEX(tblOrdenes[id_operacion],U111)&amp;" — "&amp;INDEX(tblOrdenes[descripcion_operacion],U111)&amp;" ("&amp;TEXT(INDEX(tblOrdenes[horas_efectivas],U111),"0.#")&amp;" h)")</f>
        <v/>
      </c>
    </row>
    <row r="112">
      <c r="K112" s="3">
        <f>IF(AND(IF($B$3="(todos)",TRUE,'ORDENES'!$O108=$B$3),IF($D$3="(todos)",TRUE,'ORDENES'!$AF108=$D$3),IF($F$3="(todos)",TRUE,'ORDENES'!$X108=$F$3),IF($H$3="(todos)",TRUE,'ORDENES'!$W108=$H$3),'ORDENES'!$AD108=TRUE,'ORDENES'!$A108&lt;&gt;""),1,0)</f>
        <v/>
      </c>
      <c r="L112" s="3">
        <f>IF(K112=1,IFERROR(MATCH('ORDENES'!$R108,lista_dias,0),9)*1000000000+IFERROR(MATCH('ORDENES'!$AF108,lista_turnos,0),9)*10000000+IFERROR(MATCH('ORDENES'!$AE108,tblTecnicos[nombre],0),99)*100000+105,9000000000000+105)</f>
        <v/>
      </c>
      <c r="M112" s="3">
        <f>IF(K112=1,SUMPRODUCT(--($L$8:$L$1207&lt;L112))+1,"")</f>
        <v/>
      </c>
      <c r="N112" s="17">
        <f>IF(K112=1,N('ORDENES'!$M108),0)</f>
        <v/>
      </c>
      <c r="O112" s="17">
        <f>IF('ORDENES'!$T108="preventiva",N112,0)</f>
        <v/>
      </c>
      <c r="P112" s="17">
        <f>IF('ORDENES'!$T108="correctiva",N112,0)</f>
        <v/>
      </c>
      <c r="Q112" s="3">
        <f>IF(AND(K112=1,'ORDENES'!$N108="Pendiente"),1,0)</f>
        <v/>
      </c>
      <c r="R112" s="3">
        <f>IF(Q112=1,100000-N112*1000+105*0.01,9000000000000+105)</f>
        <v/>
      </c>
      <c r="S112" s="3">
        <f>IF(Q112=1,SUMPRODUCT(--($R$8:$R$1207&lt;R112))+1,"")</f>
        <v/>
      </c>
      <c r="T112" s="12">
        <f>IF(K112=1,'ORDENES'!$J108,"")</f>
        <v/>
      </c>
      <c r="U112" s="3">
        <f>IFERROR(MATCH(105,$M$8:$M$1207,0),"")</f>
        <v/>
      </c>
      <c r="V112" s="3">
        <f>IF(U112="","",INDEX(tblOrdenes[dia_semana],U112))</f>
        <v/>
      </c>
      <c r="W112" s="3">
        <f>IF(U112="","",IF(V112&lt;&gt;V111,CHAR(10)&amp;UPPER(LEFT(V112,1))&amp;MID(V112,2,20)&amp;":"&amp;CHAR(10),"")&amp;"   "&amp;IF(INDEX(tblOrdenes[turno_asignado],U112)="","(s/t)",INDEX(tblOrdenes[turno_asignado],U112))&amp;" · "&amp;IF(INDEX(tblOrdenes[tecnico_asignado],U112)="","(sin técnico)",INDEX(tblOrdenes[tecnico_asignado],U112))&amp;" · "&amp;INDEX(tblOrdenes[id_operacion],U112)&amp;" — "&amp;INDEX(tblOrdenes[descripcion_operacion],U112)&amp;" ("&amp;TEXT(INDEX(tblOrdenes[horas_efectivas],U112),"0.#")&amp;" h)")</f>
        <v/>
      </c>
    </row>
    <row r="113">
      <c r="K113" s="3">
        <f>IF(AND(IF($B$3="(todos)",TRUE,'ORDENES'!$O109=$B$3),IF($D$3="(todos)",TRUE,'ORDENES'!$AF109=$D$3),IF($F$3="(todos)",TRUE,'ORDENES'!$X109=$F$3),IF($H$3="(todos)",TRUE,'ORDENES'!$W109=$H$3),'ORDENES'!$AD109=TRUE,'ORDENES'!$A109&lt;&gt;""),1,0)</f>
        <v/>
      </c>
      <c r="L113" s="3">
        <f>IF(K113=1,IFERROR(MATCH('ORDENES'!$R109,lista_dias,0),9)*1000000000+IFERROR(MATCH('ORDENES'!$AF109,lista_turnos,0),9)*10000000+IFERROR(MATCH('ORDENES'!$AE109,tblTecnicos[nombre],0),99)*100000+106,9000000000000+106)</f>
        <v/>
      </c>
      <c r="M113" s="3">
        <f>IF(K113=1,SUMPRODUCT(--($L$8:$L$1207&lt;L113))+1,"")</f>
        <v/>
      </c>
      <c r="N113" s="17">
        <f>IF(K113=1,N('ORDENES'!$M109),0)</f>
        <v/>
      </c>
      <c r="O113" s="17">
        <f>IF('ORDENES'!$T109="preventiva",N113,0)</f>
        <v/>
      </c>
      <c r="P113" s="17">
        <f>IF('ORDENES'!$T109="correctiva",N113,0)</f>
        <v/>
      </c>
      <c r="Q113" s="3">
        <f>IF(AND(K113=1,'ORDENES'!$N109="Pendiente"),1,0)</f>
        <v/>
      </c>
      <c r="R113" s="3">
        <f>IF(Q113=1,100000-N113*1000+106*0.01,9000000000000+106)</f>
        <v/>
      </c>
      <c r="S113" s="3">
        <f>IF(Q113=1,SUMPRODUCT(--($R$8:$R$1207&lt;R113))+1,"")</f>
        <v/>
      </c>
      <c r="T113" s="12">
        <f>IF(K113=1,'ORDENES'!$J109,"")</f>
        <v/>
      </c>
      <c r="U113" s="3">
        <f>IFERROR(MATCH(106,$M$8:$M$1207,0),"")</f>
        <v/>
      </c>
      <c r="V113" s="3">
        <f>IF(U113="","",INDEX(tblOrdenes[dia_semana],U113))</f>
        <v/>
      </c>
      <c r="W113" s="3">
        <f>IF(U113="","",IF(V113&lt;&gt;V112,CHAR(10)&amp;UPPER(LEFT(V113,1))&amp;MID(V113,2,20)&amp;":"&amp;CHAR(10),"")&amp;"   "&amp;IF(INDEX(tblOrdenes[turno_asignado],U113)="","(s/t)",INDEX(tblOrdenes[turno_asignado],U113))&amp;" · "&amp;IF(INDEX(tblOrdenes[tecnico_asignado],U113)="","(sin técnico)",INDEX(tblOrdenes[tecnico_asignado],U113))&amp;" · "&amp;INDEX(tblOrdenes[id_operacion],U113)&amp;" — "&amp;INDEX(tblOrdenes[descripcion_operacion],U113)&amp;" ("&amp;TEXT(INDEX(tblOrdenes[horas_efectivas],U113),"0.#")&amp;" h)")</f>
        <v/>
      </c>
    </row>
    <row r="114">
      <c r="K114" s="3">
        <f>IF(AND(IF($B$3="(todos)",TRUE,'ORDENES'!$O110=$B$3),IF($D$3="(todos)",TRUE,'ORDENES'!$AF110=$D$3),IF($F$3="(todos)",TRUE,'ORDENES'!$X110=$F$3),IF($H$3="(todos)",TRUE,'ORDENES'!$W110=$H$3),'ORDENES'!$AD110=TRUE,'ORDENES'!$A110&lt;&gt;""),1,0)</f>
        <v/>
      </c>
      <c r="L114" s="3">
        <f>IF(K114=1,IFERROR(MATCH('ORDENES'!$R110,lista_dias,0),9)*1000000000+IFERROR(MATCH('ORDENES'!$AF110,lista_turnos,0),9)*10000000+IFERROR(MATCH('ORDENES'!$AE110,tblTecnicos[nombre],0),99)*100000+107,9000000000000+107)</f>
        <v/>
      </c>
      <c r="M114" s="3">
        <f>IF(K114=1,SUMPRODUCT(--($L$8:$L$1207&lt;L114))+1,"")</f>
        <v/>
      </c>
      <c r="N114" s="17">
        <f>IF(K114=1,N('ORDENES'!$M110),0)</f>
        <v/>
      </c>
      <c r="O114" s="17">
        <f>IF('ORDENES'!$T110="preventiva",N114,0)</f>
        <v/>
      </c>
      <c r="P114" s="17">
        <f>IF('ORDENES'!$T110="correctiva",N114,0)</f>
        <v/>
      </c>
      <c r="Q114" s="3">
        <f>IF(AND(K114=1,'ORDENES'!$N110="Pendiente"),1,0)</f>
        <v/>
      </c>
      <c r="R114" s="3">
        <f>IF(Q114=1,100000-N114*1000+107*0.01,9000000000000+107)</f>
        <v/>
      </c>
      <c r="S114" s="3">
        <f>IF(Q114=1,SUMPRODUCT(--($R$8:$R$1207&lt;R114))+1,"")</f>
        <v/>
      </c>
      <c r="T114" s="12">
        <f>IF(K114=1,'ORDENES'!$J110,"")</f>
        <v/>
      </c>
      <c r="U114" s="3">
        <f>IFERROR(MATCH(107,$M$8:$M$1207,0),"")</f>
        <v/>
      </c>
      <c r="V114" s="3">
        <f>IF(U114="","",INDEX(tblOrdenes[dia_semana],U114))</f>
        <v/>
      </c>
      <c r="W114" s="3">
        <f>IF(U114="","",IF(V114&lt;&gt;V113,CHAR(10)&amp;UPPER(LEFT(V114,1))&amp;MID(V114,2,20)&amp;":"&amp;CHAR(10),"")&amp;"   "&amp;IF(INDEX(tblOrdenes[turno_asignado],U114)="","(s/t)",INDEX(tblOrdenes[turno_asignado],U114))&amp;" · "&amp;IF(INDEX(tblOrdenes[tecnico_asignado],U114)="","(sin técnico)",INDEX(tblOrdenes[tecnico_asignado],U114))&amp;" · "&amp;INDEX(tblOrdenes[id_operacion],U114)&amp;" — "&amp;INDEX(tblOrdenes[descripcion_operacion],U114)&amp;" ("&amp;TEXT(INDEX(tblOrdenes[horas_efectivas],U114),"0.#")&amp;" h)")</f>
        <v/>
      </c>
    </row>
    <row r="115">
      <c r="K115" s="3">
        <f>IF(AND(IF($B$3="(todos)",TRUE,'ORDENES'!$O111=$B$3),IF($D$3="(todos)",TRUE,'ORDENES'!$AF111=$D$3),IF($F$3="(todos)",TRUE,'ORDENES'!$X111=$F$3),IF($H$3="(todos)",TRUE,'ORDENES'!$W111=$H$3),'ORDENES'!$AD111=TRUE,'ORDENES'!$A111&lt;&gt;""),1,0)</f>
        <v/>
      </c>
      <c r="L115" s="3">
        <f>IF(K115=1,IFERROR(MATCH('ORDENES'!$R111,lista_dias,0),9)*1000000000+IFERROR(MATCH('ORDENES'!$AF111,lista_turnos,0),9)*10000000+IFERROR(MATCH('ORDENES'!$AE111,tblTecnicos[nombre],0),99)*100000+108,9000000000000+108)</f>
        <v/>
      </c>
      <c r="M115" s="3">
        <f>IF(K115=1,SUMPRODUCT(--($L$8:$L$1207&lt;L115))+1,"")</f>
        <v/>
      </c>
      <c r="N115" s="17">
        <f>IF(K115=1,N('ORDENES'!$M111),0)</f>
        <v/>
      </c>
      <c r="O115" s="17">
        <f>IF('ORDENES'!$T111="preventiva",N115,0)</f>
        <v/>
      </c>
      <c r="P115" s="17">
        <f>IF('ORDENES'!$T111="correctiva",N115,0)</f>
        <v/>
      </c>
      <c r="Q115" s="3">
        <f>IF(AND(K115=1,'ORDENES'!$N111="Pendiente"),1,0)</f>
        <v/>
      </c>
      <c r="R115" s="3">
        <f>IF(Q115=1,100000-N115*1000+108*0.01,9000000000000+108)</f>
        <v/>
      </c>
      <c r="S115" s="3">
        <f>IF(Q115=1,SUMPRODUCT(--($R$8:$R$1207&lt;R115))+1,"")</f>
        <v/>
      </c>
      <c r="T115" s="12">
        <f>IF(K115=1,'ORDENES'!$J111,"")</f>
        <v/>
      </c>
      <c r="U115" s="3">
        <f>IFERROR(MATCH(108,$M$8:$M$1207,0),"")</f>
        <v/>
      </c>
      <c r="V115" s="3">
        <f>IF(U115="","",INDEX(tblOrdenes[dia_semana],U115))</f>
        <v/>
      </c>
      <c r="W115" s="3">
        <f>IF(U115="","",IF(V115&lt;&gt;V114,CHAR(10)&amp;UPPER(LEFT(V115,1))&amp;MID(V115,2,20)&amp;":"&amp;CHAR(10),"")&amp;"   "&amp;IF(INDEX(tblOrdenes[turno_asignado],U115)="","(s/t)",INDEX(tblOrdenes[turno_asignado],U115))&amp;" · "&amp;IF(INDEX(tblOrdenes[tecnico_asignado],U115)="","(sin técnico)",INDEX(tblOrdenes[tecnico_asignado],U115))&amp;" · "&amp;INDEX(tblOrdenes[id_operacion],U115)&amp;" — "&amp;INDEX(tblOrdenes[descripcion_operacion],U115)&amp;" ("&amp;TEXT(INDEX(tblOrdenes[horas_efectivas],U115),"0.#")&amp;" h)")</f>
        <v/>
      </c>
    </row>
    <row r="116">
      <c r="K116" s="3">
        <f>IF(AND(IF($B$3="(todos)",TRUE,'ORDENES'!$O112=$B$3),IF($D$3="(todos)",TRUE,'ORDENES'!$AF112=$D$3),IF($F$3="(todos)",TRUE,'ORDENES'!$X112=$F$3),IF($H$3="(todos)",TRUE,'ORDENES'!$W112=$H$3),'ORDENES'!$AD112=TRUE,'ORDENES'!$A112&lt;&gt;""),1,0)</f>
        <v/>
      </c>
      <c r="L116" s="3">
        <f>IF(K116=1,IFERROR(MATCH('ORDENES'!$R112,lista_dias,0),9)*1000000000+IFERROR(MATCH('ORDENES'!$AF112,lista_turnos,0),9)*10000000+IFERROR(MATCH('ORDENES'!$AE112,tblTecnicos[nombre],0),99)*100000+109,9000000000000+109)</f>
        <v/>
      </c>
      <c r="M116" s="3">
        <f>IF(K116=1,SUMPRODUCT(--($L$8:$L$1207&lt;L116))+1,"")</f>
        <v/>
      </c>
      <c r="N116" s="17">
        <f>IF(K116=1,N('ORDENES'!$M112),0)</f>
        <v/>
      </c>
      <c r="O116" s="17">
        <f>IF('ORDENES'!$T112="preventiva",N116,0)</f>
        <v/>
      </c>
      <c r="P116" s="17">
        <f>IF('ORDENES'!$T112="correctiva",N116,0)</f>
        <v/>
      </c>
      <c r="Q116" s="3">
        <f>IF(AND(K116=1,'ORDENES'!$N112="Pendiente"),1,0)</f>
        <v/>
      </c>
      <c r="R116" s="3">
        <f>IF(Q116=1,100000-N116*1000+109*0.01,9000000000000+109)</f>
        <v/>
      </c>
      <c r="S116" s="3">
        <f>IF(Q116=1,SUMPRODUCT(--($R$8:$R$1207&lt;R116))+1,"")</f>
        <v/>
      </c>
      <c r="T116" s="12">
        <f>IF(K116=1,'ORDENES'!$J112,"")</f>
        <v/>
      </c>
      <c r="U116" s="3">
        <f>IFERROR(MATCH(109,$M$8:$M$1207,0),"")</f>
        <v/>
      </c>
      <c r="V116" s="3">
        <f>IF(U116="","",INDEX(tblOrdenes[dia_semana],U116))</f>
        <v/>
      </c>
      <c r="W116" s="3">
        <f>IF(U116="","",IF(V116&lt;&gt;V115,CHAR(10)&amp;UPPER(LEFT(V116,1))&amp;MID(V116,2,20)&amp;":"&amp;CHAR(10),"")&amp;"   "&amp;IF(INDEX(tblOrdenes[turno_asignado],U116)="","(s/t)",INDEX(tblOrdenes[turno_asignado],U116))&amp;" · "&amp;IF(INDEX(tblOrdenes[tecnico_asignado],U116)="","(sin técnico)",INDEX(tblOrdenes[tecnico_asignado],U116))&amp;" · "&amp;INDEX(tblOrdenes[id_operacion],U116)&amp;" — "&amp;INDEX(tblOrdenes[descripcion_operacion],U116)&amp;" ("&amp;TEXT(INDEX(tblOrdenes[horas_efectivas],U116),"0.#")&amp;" h)")</f>
        <v/>
      </c>
    </row>
    <row r="117">
      <c r="K117" s="3">
        <f>IF(AND(IF($B$3="(todos)",TRUE,'ORDENES'!$O113=$B$3),IF($D$3="(todos)",TRUE,'ORDENES'!$AF113=$D$3),IF($F$3="(todos)",TRUE,'ORDENES'!$X113=$F$3),IF($H$3="(todos)",TRUE,'ORDENES'!$W113=$H$3),'ORDENES'!$AD113=TRUE,'ORDENES'!$A113&lt;&gt;""),1,0)</f>
        <v/>
      </c>
      <c r="L117" s="3">
        <f>IF(K117=1,IFERROR(MATCH('ORDENES'!$R113,lista_dias,0),9)*1000000000+IFERROR(MATCH('ORDENES'!$AF113,lista_turnos,0),9)*10000000+IFERROR(MATCH('ORDENES'!$AE113,tblTecnicos[nombre],0),99)*100000+110,9000000000000+110)</f>
        <v/>
      </c>
      <c r="M117" s="3">
        <f>IF(K117=1,SUMPRODUCT(--($L$8:$L$1207&lt;L117))+1,"")</f>
        <v/>
      </c>
      <c r="N117" s="17">
        <f>IF(K117=1,N('ORDENES'!$M113),0)</f>
        <v/>
      </c>
      <c r="O117" s="17">
        <f>IF('ORDENES'!$T113="preventiva",N117,0)</f>
        <v/>
      </c>
      <c r="P117" s="17">
        <f>IF('ORDENES'!$T113="correctiva",N117,0)</f>
        <v/>
      </c>
      <c r="Q117" s="3">
        <f>IF(AND(K117=1,'ORDENES'!$N113="Pendiente"),1,0)</f>
        <v/>
      </c>
      <c r="R117" s="3">
        <f>IF(Q117=1,100000-N117*1000+110*0.01,9000000000000+110)</f>
        <v/>
      </c>
      <c r="S117" s="3">
        <f>IF(Q117=1,SUMPRODUCT(--($R$8:$R$1207&lt;R117))+1,"")</f>
        <v/>
      </c>
      <c r="T117" s="12">
        <f>IF(K117=1,'ORDENES'!$J113,"")</f>
        <v/>
      </c>
      <c r="U117" s="3">
        <f>IFERROR(MATCH(110,$M$8:$M$1207,0),"")</f>
        <v/>
      </c>
      <c r="V117" s="3">
        <f>IF(U117="","",INDEX(tblOrdenes[dia_semana],U117))</f>
        <v/>
      </c>
      <c r="W117" s="3">
        <f>IF(U117="","",IF(V117&lt;&gt;V116,CHAR(10)&amp;UPPER(LEFT(V117,1))&amp;MID(V117,2,20)&amp;":"&amp;CHAR(10),"")&amp;"   "&amp;IF(INDEX(tblOrdenes[turno_asignado],U117)="","(s/t)",INDEX(tblOrdenes[turno_asignado],U117))&amp;" · "&amp;IF(INDEX(tblOrdenes[tecnico_asignado],U117)="","(sin técnico)",INDEX(tblOrdenes[tecnico_asignado],U117))&amp;" · "&amp;INDEX(tblOrdenes[id_operacion],U117)&amp;" — "&amp;INDEX(tblOrdenes[descripcion_operacion],U117)&amp;" ("&amp;TEXT(INDEX(tblOrdenes[horas_efectivas],U117),"0.#")&amp;" h)")</f>
        <v/>
      </c>
    </row>
    <row r="118">
      <c r="K118" s="3">
        <f>IF(AND(IF($B$3="(todos)",TRUE,'ORDENES'!$O114=$B$3),IF($D$3="(todos)",TRUE,'ORDENES'!$AF114=$D$3),IF($F$3="(todos)",TRUE,'ORDENES'!$X114=$F$3),IF($H$3="(todos)",TRUE,'ORDENES'!$W114=$H$3),'ORDENES'!$AD114=TRUE,'ORDENES'!$A114&lt;&gt;""),1,0)</f>
        <v/>
      </c>
      <c r="L118" s="3">
        <f>IF(K118=1,IFERROR(MATCH('ORDENES'!$R114,lista_dias,0),9)*1000000000+IFERROR(MATCH('ORDENES'!$AF114,lista_turnos,0),9)*10000000+IFERROR(MATCH('ORDENES'!$AE114,tblTecnicos[nombre],0),99)*100000+111,9000000000000+111)</f>
        <v/>
      </c>
      <c r="M118" s="3">
        <f>IF(K118=1,SUMPRODUCT(--($L$8:$L$1207&lt;L118))+1,"")</f>
        <v/>
      </c>
      <c r="N118" s="17">
        <f>IF(K118=1,N('ORDENES'!$M114),0)</f>
        <v/>
      </c>
      <c r="O118" s="17">
        <f>IF('ORDENES'!$T114="preventiva",N118,0)</f>
        <v/>
      </c>
      <c r="P118" s="17">
        <f>IF('ORDENES'!$T114="correctiva",N118,0)</f>
        <v/>
      </c>
      <c r="Q118" s="3">
        <f>IF(AND(K118=1,'ORDENES'!$N114="Pendiente"),1,0)</f>
        <v/>
      </c>
      <c r="R118" s="3">
        <f>IF(Q118=1,100000-N118*1000+111*0.01,9000000000000+111)</f>
        <v/>
      </c>
      <c r="S118" s="3">
        <f>IF(Q118=1,SUMPRODUCT(--($R$8:$R$1207&lt;R118))+1,"")</f>
        <v/>
      </c>
      <c r="T118" s="12">
        <f>IF(K118=1,'ORDENES'!$J114,"")</f>
        <v/>
      </c>
      <c r="U118" s="3">
        <f>IFERROR(MATCH(111,$M$8:$M$1207,0),"")</f>
        <v/>
      </c>
      <c r="V118" s="3">
        <f>IF(U118="","",INDEX(tblOrdenes[dia_semana],U118))</f>
        <v/>
      </c>
      <c r="W118" s="3">
        <f>IF(U118="","",IF(V118&lt;&gt;V117,CHAR(10)&amp;UPPER(LEFT(V118,1))&amp;MID(V118,2,20)&amp;":"&amp;CHAR(10),"")&amp;"   "&amp;IF(INDEX(tblOrdenes[turno_asignado],U118)="","(s/t)",INDEX(tblOrdenes[turno_asignado],U118))&amp;" · "&amp;IF(INDEX(tblOrdenes[tecnico_asignado],U118)="","(sin técnico)",INDEX(tblOrdenes[tecnico_asignado],U118))&amp;" · "&amp;INDEX(tblOrdenes[id_operacion],U118)&amp;" — "&amp;INDEX(tblOrdenes[descripcion_operacion],U118)&amp;" ("&amp;TEXT(INDEX(tblOrdenes[horas_efectivas],U118),"0.#")&amp;" h)")</f>
        <v/>
      </c>
    </row>
    <row r="119">
      <c r="K119" s="3">
        <f>IF(AND(IF($B$3="(todos)",TRUE,'ORDENES'!$O115=$B$3),IF($D$3="(todos)",TRUE,'ORDENES'!$AF115=$D$3),IF($F$3="(todos)",TRUE,'ORDENES'!$X115=$F$3),IF($H$3="(todos)",TRUE,'ORDENES'!$W115=$H$3),'ORDENES'!$AD115=TRUE,'ORDENES'!$A115&lt;&gt;""),1,0)</f>
        <v/>
      </c>
      <c r="L119" s="3">
        <f>IF(K119=1,IFERROR(MATCH('ORDENES'!$R115,lista_dias,0),9)*1000000000+IFERROR(MATCH('ORDENES'!$AF115,lista_turnos,0),9)*10000000+IFERROR(MATCH('ORDENES'!$AE115,tblTecnicos[nombre],0),99)*100000+112,9000000000000+112)</f>
        <v/>
      </c>
      <c r="M119" s="3">
        <f>IF(K119=1,SUMPRODUCT(--($L$8:$L$1207&lt;L119))+1,"")</f>
        <v/>
      </c>
      <c r="N119" s="17">
        <f>IF(K119=1,N('ORDENES'!$M115),0)</f>
        <v/>
      </c>
      <c r="O119" s="17">
        <f>IF('ORDENES'!$T115="preventiva",N119,0)</f>
        <v/>
      </c>
      <c r="P119" s="17">
        <f>IF('ORDENES'!$T115="correctiva",N119,0)</f>
        <v/>
      </c>
      <c r="Q119" s="3">
        <f>IF(AND(K119=1,'ORDENES'!$N115="Pendiente"),1,0)</f>
        <v/>
      </c>
      <c r="R119" s="3">
        <f>IF(Q119=1,100000-N119*1000+112*0.01,9000000000000+112)</f>
        <v/>
      </c>
      <c r="S119" s="3">
        <f>IF(Q119=1,SUMPRODUCT(--($R$8:$R$1207&lt;R119))+1,"")</f>
        <v/>
      </c>
      <c r="T119" s="12">
        <f>IF(K119=1,'ORDENES'!$J115,"")</f>
        <v/>
      </c>
      <c r="U119" s="3">
        <f>IFERROR(MATCH(112,$M$8:$M$1207,0),"")</f>
        <v/>
      </c>
      <c r="V119" s="3">
        <f>IF(U119="","",INDEX(tblOrdenes[dia_semana],U119))</f>
        <v/>
      </c>
      <c r="W119" s="3">
        <f>IF(U119="","",IF(V119&lt;&gt;V118,CHAR(10)&amp;UPPER(LEFT(V119,1))&amp;MID(V119,2,20)&amp;":"&amp;CHAR(10),"")&amp;"   "&amp;IF(INDEX(tblOrdenes[turno_asignado],U119)="","(s/t)",INDEX(tblOrdenes[turno_asignado],U119))&amp;" · "&amp;IF(INDEX(tblOrdenes[tecnico_asignado],U119)="","(sin técnico)",INDEX(tblOrdenes[tecnico_asignado],U119))&amp;" · "&amp;INDEX(tblOrdenes[id_operacion],U119)&amp;" — "&amp;INDEX(tblOrdenes[descripcion_operacion],U119)&amp;" ("&amp;TEXT(INDEX(tblOrdenes[horas_efectivas],U119),"0.#")&amp;" h)")</f>
        <v/>
      </c>
    </row>
    <row r="120">
      <c r="K120" s="3">
        <f>IF(AND(IF($B$3="(todos)",TRUE,'ORDENES'!$O116=$B$3),IF($D$3="(todos)",TRUE,'ORDENES'!$AF116=$D$3),IF($F$3="(todos)",TRUE,'ORDENES'!$X116=$F$3),IF($H$3="(todos)",TRUE,'ORDENES'!$W116=$H$3),'ORDENES'!$AD116=TRUE,'ORDENES'!$A116&lt;&gt;""),1,0)</f>
        <v/>
      </c>
      <c r="L120" s="3">
        <f>IF(K120=1,IFERROR(MATCH('ORDENES'!$R116,lista_dias,0),9)*1000000000+IFERROR(MATCH('ORDENES'!$AF116,lista_turnos,0),9)*10000000+IFERROR(MATCH('ORDENES'!$AE116,tblTecnicos[nombre],0),99)*100000+113,9000000000000+113)</f>
        <v/>
      </c>
      <c r="M120" s="3">
        <f>IF(K120=1,SUMPRODUCT(--($L$8:$L$1207&lt;L120))+1,"")</f>
        <v/>
      </c>
      <c r="N120" s="17">
        <f>IF(K120=1,N('ORDENES'!$M116),0)</f>
        <v/>
      </c>
      <c r="O120" s="17">
        <f>IF('ORDENES'!$T116="preventiva",N120,0)</f>
        <v/>
      </c>
      <c r="P120" s="17">
        <f>IF('ORDENES'!$T116="correctiva",N120,0)</f>
        <v/>
      </c>
      <c r="Q120" s="3">
        <f>IF(AND(K120=1,'ORDENES'!$N116="Pendiente"),1,0)</f>
        <v/>
      </c>
      <c r="R120" s="3">
        <f>IF(Q120=1,100000-N120*1000+113*0.01,9000000000000+113)</f>
        <v/>
      </c>
      <c r="S120" s="3">
        <f>IF(Q120=1,SUMPRODUCT(--($R$8:$R$1207&lt;R120))+1,"")</f>
        <v/>
      </c>
      <c r="T120" s="12">
        <f>IF(K120=1,'ORDENES'!$J116,"")</f>
        <v/>
      </c>
      <c r="U120" s="3">
        <f>IFERROR(MATCH(113,$M$8:$M$1207,0),"")</f>
        <v/>
      </c>
      <c r="V120" s="3">
        <f>IF(U120="","",INDEX(tblOrdenes[dia_semana],U120))</f>
        <v/>
      </c>
      <c r="W120" s="3">
        <f>IF(U120="","",IF(V120&lt;&gt;V119,CHAR(10)&amp;UPPER(LEFT(V120,1))&amp;MID(V120,2,20)&amp;":"&amp;CHAR(10),"")&amp;"   "&amp;IF(INDEX(tblOrdenes[turno_asignado],U120)="","(s/t)",INDEX(tblOrdenes[turno_asignado],U120))&amp;" · "&amp;IF(INDEX(tblOrdenes[tecnico_asignado],U120)="","(sin técnico)",INDEX(tblOrdenes[tecnico_asignado],U120))&amp;" · "&amp;INDEX(tblOrdenes[id_operacion],U120)&amp;" — "&amp;INDEX(tblOrdenes[descripcion_operacion],U120)&amp;" ("&amp;TEXT(INDEX(tblOrdenes[horas_efectivas],U120),"0.#")&amp;" h)")</f>
        <v/>
      </c>
    </row>
    <row r="121">
      <c r="K121" s="3">
        <f>IF(AND(IF($B$3="(todos)",TRUE,'ORDENES'!$O117=$B$3),IF($D$3="(todos)",TRUE,'ORDENES'!$AF117=$D$3),IF($F$3="(todos)",TRUE,'ORDENES'!$X117=$F$3),IF($H$3="(todos)",TRUE,'ORDENES'!$W117=$H$3),'ORDENES'!$AD117=TRUE,'ORDENES'!$A117&lt;&gt;""),1,0)</f>
        <v/>
      </c>
      <c r="L121" s="3">
        <f>IF(K121=1,IFERROR(MATCH('ORDENES'!$R117,lista_dias,0),9)*1000000000+IFERROR(MATCH('ORDENES'!$AF117,lista_turnos,0),9)*10000000+IFERROR(MATCH('ORDENES'!$AE117,tblTecnicos[nombre],0),99)*100000+114,9000000000000+114)</f>
        <v/>
      </c>
      <c r="M121" s="3">
        <f>IF(K121=1,SUMPRODUCT(--($L$8:$L$1207&lt;L121))+1,"")</f>
        <v/>
      </c>
      <c r="N121" s="17">
        <f>IF(K121=1,N('ORDENES'!$M117),0)</f>
        <v/>
      </c>
      <c r="O121" s="17">
        <f>IF('ORDENES'!$T117="preventiva",N121,0)</f>
        <v/>
      </c>
      <c r="P121" s="17">
        <f>IF('ORDENES'!$T117="correctiva",N121,0)</f>
        <v/>
      </c>
      <c r="Q121" s="3">
        <f>IF(AND(K121=1,'ORDENES'!$N117="Pendiente"),1,0)</f>
        <v/>
      </c>
      <c r="R121" s="3">
        <f>IF(Q121=1,100000-N121*1000+114*0.01,9000000000000+114)</f>
        <v/>
      </c>
      <c r="S121" s="3">
        <f>IF(Q121=1,SUMPRODUCT(--($R$8:$R$1207&lt;R121))+1,"")</f>
        <v/>
      </c>
      <c r="T121" s="12">
        <f>IF(K121=1,'ORDENES'!$J117,"")</f>
        <v/>
      </c>
      <c r="U121" s="3">
        <f>IFERROR(MATCH(114,$M$8:$M$1207,0),"")</f>
        <v/>
      </c>
      <c r="V121" s="3">
        <f>IF(U121="","",INDEX(tblOrdenes[dia_semana],U121))</f>
        <v/>
      </c>
      <c r="W121" s="3">
        <f>IF(U121="","",IF(V121&lt;&gt;V120,CHAR(10)&amp;UPPER(LEFT(V121,1))&amp;MID(V121,2,20)&amp;":"&amp;CHAR(10),"")&amp;"   "&amp;IF(INDEX(tblOrdenes[turno_asignado],U121)="","(s/t)",INDEX(tblOrdenes[turno_asignado],U121))&amp;" · "&amp;IF(INDEX(tblOrdenes[tecnico_asignado],U121)="","(sin técnico)",INDEX(tblOrdenes[tecnico_asignado],U121))&amp;" · "&amp;INDEX(tblOrdenes[id_operacion],U121)&amp;" — "&amp;INDEX(tblOrdenes[descripcion_operacion],U121)&amp;" ("&amp;TEXT(INDEX(tblOrdenes[horas_efectivas],U121),"0.#")&amp;" h)")</f>
        <v/>
      </c>
    </row>
    <row r="122">
      <c r="K122" s="3">
        <f>IF(AND(IF($B$3="(todos)",TRUE,'ORDENES'!$O118=$B$3),IF($D$3="(todos)",TRUE,'ORDENES'!$AF118=$D$3),IF($F$3="(todos)",TRUE,'ORDENES'!$X118=$F$3),IF($H$3="(todos)",TRUE,'ORDENES'!$W118=$H$3),'ORDENES'!$AD118=TRUE,'ORDENES'!$A118&lt;&gt;""),1,0)</f>
        <v/>
      </c>
      <c r="L122" s="3">
        <f>IF(K122=1,IFERROR(MATCH('ORDENES'!$R118,lista_dias,0),9)*1000000000+IFERROR(MATCH('ORDENES'!$AF118,lista_turnos,0),9)*10000000+IFERROR(MATCH('ORDENES'!$AE118,tblTecnicos[nombre],0),99)*100000+115,9000000000000+115)</f>
        <v/>
      </c>
      <c r="M122" s="3">
        <f>IF(K122=1,SUMPRODUCT(--($L$8:$L$1207&lt;L122))+1,"")</f>
        <v/>
      </c>
      <c r="N122" s="17">
        <f>IF(K122=1,N('ORDENES'!$M118),0)</f>
        <v/>
      </c>
      <c r="O122" s="17">
        <f>IF('ORDENES'!$T118="preventiva",N122,0)</f>
        <v/>
      </c>
      <c r="P122" s="17">
        <f>IF('ORDENES'!$T118="correctiva",N122,0)</f>
        <v/>
      </c>
      <c r="Q122" s="3">
        <f>IF(AND(K122=1,'ORDENES'!$N118="Pendiente"),1,0)</f>
        <v/>
      </c>
      <c r="R122" s="3">
        <f>IF(Q122=1,100000-N122*1000+115*0.01,9000000000000+115)</f>
        <v/>
      </c>
      <c r="S122" s="3">
        <f>IF(Q122=1,SUMPRODUCT(--($R$8:$R$1207&lt;R122))+1,"")</f>
        <v/>
      </c>
      <c r="T122" s="12">
        <f>IF(K122=1,'ORDENES'!$J118,"")</f>
        <v/>
      </c>
      <c r="U122" s="3">
        <f>IFERROR(MATCH(115,$M$8:$M$1207,0),"")</f>
        <v/>
      </c>
      <c r="V122" s="3">
        <f>IF(U122="","",INDEX(tblOrdenes[dia_semana],U122))</f>
        <v/>
      </c>
      <c r="W122" s="3">
        <f>IF(U122="","",IF(V122&lt;&gt;V121,CHAR(10)&amp;UPPER(LEFT(V122,1))&amp;MID(V122,2,20)&amp;":"&amp;CHAR(10),"")&amp;"   "&amp;IF(INDEX(tblOrdenes[turno_asignado],U122)="","(s/t)",INDEX(tblOrdenes[turno_asignado],U122))&amp;" · "&amp;IF(INDEX(tblOrdenes[tecnico_asignado],U122)="","(sin técnico)",INDEX(tblOrdenes[tecnico_asignado],U122))&amp;" · "&amp;INDEX(tblOrdenes[id_operacion],U122)&amp;" — "&amp;INDEX(tblOrdenes[descripcion_operacion],U122)&amp;" ("&amp;TEXT(INDEX(tblOrdenes[horas_efectivas],U122),"0.#")&amp;" h)")</f>
        <v/>
      </c>
    </row>
    <row r="123">
      <c r="K123" s="3">
        <f>IF(AND(IF($B$3="(todos)",TRUE,'ORDENES'!$O119=$B$3),IF($D$3="(todos)",TRUE,'ORDENES'!$AF119=$D$3),IF($F$3="(todos)",TRUE,'ORDENES'!$X119=$F$3),IF($H$3="(todos)",TRUE,'ORDENES'!$W119=$H$3),'ORDENES'!$AD119=TRUE,'ORDENES'!$A119&lt;&gt;""),1,0)</f>
        <v/>
      </c>
      <c r="L123" s="3">
        <f>IF(K123=1,IFERROR(MATCH('ORDENES'!$R119,lista_dias,0),9)*1000000000+IFERROR(MATCH('ORDENES'!$AF119,lista_turnos,0),9)*10000000+IFERROR(MATCH('ORDENES'!$AE119,tblTecnicos[nombre],0),99)*100000+116,9000000000000+116)</f>
        <v/>
      </c>
      <c r="M123" s="3">
        <f>IF(K123=1,SUMPRODUCT(--($L$8:$L$1207&lt;L123))+1,"")</f>
        <v/>
      </c>
      <c r="N123" s="17">
        <f>IF(K123=1,N('ORDENES'!$M119),0)</f>
        <v/>
      </c>
      <c r="O123" s="17">
        <f>IF('ORDENES'!$T119="preventiva",N123,0)</f>
        <v/>
      </c>
      <c r="P123" s="17">
        <f>IF('ORDENES'!$T119="correctiva",N123,0)</f>
        <v/>
      </c>
      <c r="Q123" s="3">
        <f>IF(AND(K123=1,'ORDENES'!$N119="Pendiente"),1,0)</f>
        <v/>
      </c>
      <c r="R123" s="3">
        <f>IF(Q123=1,100000-N123*1000+116*0.01,9000000000000+116)</f>
        <v/>
      </c>
      <c r="S123" s="3">
        <f>IF(Q123=1,SUMPRODUCT(--($R$8:$R$1207&lt;R123))+1,"")</f>
        <v/>
      </c>
      <c r="T123" s="12">
        <f>IF(K123=1,'ORDENES'!$J119,"")</f>
        <v/>
      </c>
      <c r="U123" s="3">
        <f>IFERROR(MATCH(116,$M$8:$M$1207,0),"")</f>
        <v/>
      </c>
      <c r="V123" s="3">
        <f>IF(U123="","",INDEX(tblOrdenes[dia_semana],U123))</f>
        <v/>
      </c>
      <c r="W123" s="3">
        <f>IF(U123="","",IF(V123&lt;&gt;V122,CHAR(10)&amp;UPPER(LEFT(V123,1))&amp;MID(V123,2,20)&amp;":"&amp;CHAR(10),"")&amp;"   "&amp;IF(INDEX(tblOrdenes[turno_asignado],U123)="","(s/t)",INDEX(tblOrdenes[turno_asignado],U123))&amp;" · "&amp;IF(INDEX(tblOrdenes[tecnico_asignado],U123)="","(sin técnico)",INDEX(tblOrdenes[tecnico_asignado],U123))&amp;" · "&amp;INDEX(tblOrdenes[id_operacion],U123)&amp;" — "&amp;INDEX(tblOrdenes[descripcion_operacion],U123)&amp;" ("&amp;TEXT(INDEX(tblOrdenes[horas_efectivas],U123),"0.#")&amp;" h)")</f>
        <v/>
      </c>
    </row>
    <row r="124">
      <c r="K124" s="3">
        <f>IF(AND(IF($B$3="(todos)",TRUE,'ORDENES'!$O120=$B$3),IF($D$3="(todos)",TRUE,'ORDENES'!$AF120=$D$3),IF($F$3="(todos)",TRUE,'ORDENES'!$X120=$F$3),IF($H$3="(todos)",TRUE,'ORDENES'!$W120=$H$3),'ORDENES'!$AD120=TRUE,'ORDENES'!$A120&lt;&gt;""),1,0)</f>
        <v/>
      </c>
      <c r="L124" s="3">
        <f>IF(K124=1,IFERROR(MATCH('ORDENES'!$R120,lista_dias,0),9)*1000000000+IFERROR(MATCH('ORDENES'!$AF120,lista_turnos,0),9)*10000000+IFERROR(MATCH('ORDENES'!$AE120,tblTecnicos[nombre],0),99)*100000+117,9000000000000+117)</f>
        <v/>
      </c>
      <c r="M124" s="3">
        <f>IF(K124=1,SUMPRODUCT(--($L$8:$L$1207&lt;L124))+1,"")</f>
        <v/>
      </c>
      <c r="N124" s="17">
        <f>IF(K124=1,N('ORDENES'!$M120),0)</f>
        <v/>
      </c>
      <c r="O124" s="17">
        <f>IF('ORDENES'!$T120="preventiva",N124,0)</f>
        <v/>
      </c>
      <c r="P124" s="17">
        <f>IF('ORDENES'!$T120="correctiva",N124,0)</f>
        <v/>
      </c>
      <c r="Q124" s="3">
        <f>IF(AND(K124=1,'ORDENES'!$N120="Pendiente"),1,0)</f>
        <v/>
      </c>
      <c r="R124" s="3">
        <f>IF(Q124=1,100000-N124*1000+117*0.01,9000000000000+117)</f>
        <v/>
      </c>
      <c r="S124" s="3">
        <f>IF(Q124=1,SUMPRODUCT(--($R$8:$R$1207&lt;R124))+1,"")</f>
        <v/>
      </c>
      <c r="T124" s="12">
        <f>IF(K124=1,'ORDENES'!$J120,"")</f>
        <v/>
      </c>
      <c r="U124" s="3">
        <f>IFERROR(MATCH(117,$M$8:$M$1207,0),"")</f>
        <v/>
      </c>
      <c r="V124" s="3">
        <f>IF(U124="","",INDEX(tblOrdenes[dia_semana],U124))</f>
        <v/>
      </c>
      <c r="W124" s="3">
        <f>IF(U124="","",IF(V124&lt;&gt;V123,CHAR(10)&amp;UPPER(LEFT(V124,1))&amp;MID(V124,2,20)&amp;":"&amp;CHAR(10),"")&amp;"   "&amp;IF(INDEX(tblOrdenes[turno_asignado],U124)="","(s/t)",INDEX(tblOrdenes[turno_asignado],U124))&amp;" · "&amp;IF(INDEX(tblOrdenes[tecnico_asignado],U124)="","(sin técnico)",INDEX(tblOrdenes[tecnico_asignado],U124))&amp;" · "&amp;INDEX(tblOrdenes[id_operacion],U124)&amp;" — "&amp;INDEX(tblOrdenes[descripcion_operacion],U124)&amp;" ("&amp;TEXT(INDEX(tblOrdenes[horas_efectivas],U124),"0.#")&amp;" h)")</f>
        <v/>
      </c>
    </row>
    <row r="125">
      <c r="K125" s="3">
        <f>IF(AND(IF($B$3="(todos)",TRUE,'ORDENES'!$O121=$B$3),IF($D$3="(todos)",TRUE,'ORDENES'!$AF121=$D$3),IF($F$3="(todos)",TRUE,'ORDENES'!$X121=$F$3),IF($H$3="(todos)",TRUE,'ORDENES'!$W121=$H$3),'ORDENES'!$AD121=TRUE,'ORDENES'!$A121&lt;&gt;""),1,0)</f>
        <v/>
      </c>
      <c r="L125" s="3">
        <f>IF(K125=1,IFERROR(MATCH('ORDENES'!$R121,lista_dias,0),9)*1000000000+IFERROR(MATCH('ORDENES'!$AF121,lista_turnos,0),9)*10000000+IFERROR(MATCH('ORDENES'!$AE121,tblTecnicos[nombre],0),99)*100000+118,9000000000000+118)</f>
        <v/>
      </c>
      <c r="M125" s="3">
        <f>IF(K125=1,SUMPRODUCT(--($L$8:$L$1207&lt;L125))+1,"")</f>
        <v/>
      </c>
      <c r="N125" s="17">
        <f>IF(K125=1,N('ORDENES'!$M121),0)</f>
        <v/>
      </c>
      <c r="O125" s="17">
        <f>IF('ORDENES'!$T121="preventiva",N125,0)</f>
        <v/>
      </c>
      <c r="P125" s="17">
        <f>IF('ORDENES'!$T121="correctiva",N125,0)</f>
        <v/>
      </c>
      <c r="Q125" s="3">
        <f>IF(AND(K125=1,'ORDENES'!$N121="Pendiente"),1,0)</f>
        <v/>
      </c>
      <c r="R125" s="3">
        <f>IF(Q125=1,100000-N125*1000+118*0.01,9000000000000+118)</f>
        <v/>
      </c>
      <c r="S125" s="3">
        <f>IF(Q125=1,SUMPRODUCT(--($R$8:$R$1207&lt;R125))+1,"")</f>
        <v/>
      </c>
      <c r="T125" s="12">
        <f>IF(K125=1,'ORDENES'!$J121,"")</f>
        <v/>
      </c>
      <c r="U125" s="3">
        <f>IFERROR(MATCH(118,$M$8:$M$1207,0),"")</f>
        <v/>
      </c>
      <c r="V125" s="3">
        <f>IF(U125="","",INDEX(tblOrdenes[dia_semana],U125))</f>
        <v/>
      </c>
      <c r="W125" s="3">
        <f>IF(U125="","",IF(V125&lt;&gt;V124,CHAR(10)&amp;UPPER(LEFT(V125,1))&amp;MID(V125,2,20)&amp;":"&amp;CHAR(10),"")&amp;"   "&amp;IF(INDEX(tblOrdenes[turno_asignado],U125)="","(s/t)",INDEX(tblOrdenes[turno_asignado],U125))&amp;" · "&amp;IF(INDEX(tblOrdenes[tecnico_asignado],U125)="","(sin técnico)",INDEX(tblOrdenes[tecnico_asignado],U125))&amp;" · "&amp;INDEX(tblOrdenes[id_operacion],U125)&amp;" — "&amp;INDEX(tblOrdenes[descripcion_operacion],U125)&amp;" ("&amp;TEXT(INDEX(tblOrdenes[horas_efectivas],U125),"0.#")&amp;" h)")</f>
        <v/>
      </c>
    </row>
    <row r="126">
      <c r="K126" s="3">
        <f>IF(AND(IF($B$3="(todos)",TRUE,'ORDENES'!$O122=$B$3),IF($D$3="(todos)",TRUE,'ORDENES'!$AF122=$D$3),IF($F$3="(todos)",TRUE,'ORDENES'!$X122=$F$3),IF($H$3="(todos)",TRUE,'ORDENES'!$W122=$H$3),'ORDENES'!$AD122=TRUE,'ORDENES'!$A122&lt;&gt;""),1,0)</f>
        <v/>
      </c>
      <c r="L126" s="3">
        <f>IF(K126=1,IFERROR(MATCH('ORDENES'!$R122,lista_dias,0),9)*1000000000+IFERROR(MATCH('ORDENES'!$AF122,lista_turnos,0),9)*10000000+IFERROR(MATCH('ORDENES'!$AE122,tblTecnicos[nombre],0),99)*100000+119,9000000000000+119)</f>
        <v/>
      </c>
      <c r="M126" s="3">
        <f>IF(K126=1,SUMPRODUCT(--($L$8:$L$1207&lt;L126))+1,"")</f>
        <v/>
      </c>
      <c r="N126" s="17">
        <f>IF(K126=1,N('ORDENES'!$M122),0)</f>
        <v/>
      </c>
      <c r="O126" s="17">
        <f>IF('ORDENES'!$T122="preventiva",N126,0)</f>
        <v/>
      </c>
      <c r="P126" s="17">
        <f>IF('ORDENES'!$T122="correctiva",N126,0)</f>
        <v/>
      </c>
      <c r="Q126" s="3">
        <f>IF(AND(K126=1,'ORDENES'!$N122="Pendiente"),1,0)</f>
        <v/>
      </c>
      <c r="R126" s="3">
        <f>IF(Q126=1,100000-N126*1000+119*0.01,9000000000000+119)</f>
        <v/>
      </c>
      <c r="S126" s="3">
        <f>IF(Q126=1,SUMPRODUCT(--($R$8:$R$1207&lt;R126))+1,"")</f>
        <v/>
      </c>
      <c r="T126" s="12">
        <f>IF(K126=1,'ORDENES'!$J122,"")</f>
        <v/>
      </c>
      <c r="U126" s="3">
        <f>IFERROR(MATCH(119,$M$8:$M$1207,0),"")</f>
        <v/>
      </c>
      <c r="V126" s="3">
        <f>IF(U126="","",INDEX(tblOrdenes[dia_semana],U126))</f>
        <v/>
      </c>
      <c r="W126" s="3">
        <f>IF(U126="","",IF(V126&lt;&gt;V125,CHAR(10)&amp;UPPER(LEFT(V126,1))&amp;MID(V126,2,20)&amp;":"&amp;CHAR(10),"")&amp;"   "&amp;IF(INDEX(tblOrdenes[turno_asignado],U126)="","(s/t)",INDEX(tblOrdenes[turno_asignado],U126))&amp;" · "&amp;IF(INDEX(tblOrdenes[tecnico_asignado],U126)="","(sin técnico)",INDEX(tblOrdenes[tecnico_asignado],U126))&amp;" · "&amp;INDEX(tblOrdenes[id_operacion],U126)&amp;" — "&amp;INDEX(tblOrdenes[descripcion_operacion],U126)&amp;" ("&amp;TEXT(INDEX(tblOrdenes[horas_efectivas],U126),"0.#")&amp;" h)")</f>
        <v/>
      </c>
    </row>
    <row r="127">
      <c r="K127" s="3">
        <f>IF(AND(IF($B$3="(todos)",TRUE,'ORDENES'!$O123=$B$3),IF($D$3="(todos)",TRUE,'ORDENES'!$AF123=$D$3),IF($F$3="(todos)",TRUE,'ORDENES'!$X123=$F$3),IF($H$3="(todos)",TRUE,'ORDENES'!$W123=$H$3),'ORDENES'!$AD123=TRUE,'ORDENES'!$A123&lt;&gt;""),1,0)</f>
        <v/>
      </c>
      <c r="L127" s="3">
        <f>IF(K127=1,IFERROR(MATCH('ORDENES'!$R123,lista_dias,0),9)*1000000000+IFERROR(MATCH('ORDENES'!$AF123,lista_turnos,0),9)*10000000+IFERROR(MATCH('ORDENES'!$AE123,tblTecnicos[nombre],0),99)*100000+120,9000000000000+120)</f>
        <v/>
      </c>
      <c r="M127" s="3">
        <f>IF(K127=1,SUMPRODUCT(--($L$8:$L$1207&lt;L127))+1,"")</f>
        <v/>
      </c>
      <c r="N127" s="17">
        <f>IF(K127=1,N('ORDENES'!$M123),0)</f>
        <v/>
      </c>
      <c r="O127" s="17">
        <f>IF('ORDENES'!$T123="preventiva",N127,0)</f>
        <v/>
      </c>
      <c r="P127" s="17">
        <f>IF('ORDENES'!$T123="correctiva",N127,0)</f>
        <v/>
      </c>
      <c r="Q127" s="3">
        <f>IF(AND(K127=1,'ORDENES'!$N123="Pendiente"),1,0)</f>
        <v/>
      </c>
      <c r="R127" s="3">
        <f>IF(Q127=1,100000-N127*1000+120*0.01,9000000000000+120)</f>
        <v/>
      </c>
      <c r="S127" s="3">
        <f>IF(Q127=1,SUMPRODUCT(--($R$8:$R$1207&lt;R127))+1,"")</f>
        <v/>
      </c>
      <c r="T127" s="12">
        <f>IF(K127=1,'ORDENES'!$J123,"")</f>
        <v/>
      </c>
      <c r="U127" s="3">
        <f>IFERROR(MATCH(120,$M$8:$M$1207,0),"")</f>
        <v/>
      </c>
      <c r="V127" s="3">
        <f>IF(U127="","",INDEX(tblOrdenes[dia_semana],U127))</f>
        <v/>
      </c>
      <c r="W127" s="3">
        <f>IF(U127="","",IF(V127&lt;&gt;V126,CHAR(10)&amp;UPPER(LEFT(V127,1))&amp;MID(V127,2,20)&amp;":"&amp;CHAR(10),"")&amp;"   "&amp;IF(INDEX(tblOrdenes[turno_asignado],U127)="","(s/t)",INDEX(tblOrdenes[turno_asignado],U127))&amp;" · "&amp;IF(INDEX(tblOrdenes[tecnico_asignado],U127)="","(sin técnico)",INDEX(tblOrdenes[tecnico_asignado],U127))&amp;" · "&amp;INDEX(tblOrdenes[id_operacion],U127)&amp;" — "&amp;INDEX(tblOrdenes[descripcion_operacion],U127)&amp;" ("&amp;TEXT(INDEX(tblOrdenes[horas_efectivas],U127),"0.#")&amp;" h)")</f>
        <v/>
      </c>
    </row>
    <row r="128">
      <c r="K128" s="3">
        <f>IF(AND(IF($B$3="(todos)",TRUE,'ORDENES'!$O124=$B$3),IF($D$3="(todos)",TRUE,'ORDENES'!$AF124=$D$3),IF($F$3="(todos)",TRUE,'ORDENES'!$X124=$F$3),IF($H$3="(todos)",TRUE,'ORDENES'!$W124=$H$3),'ORDENES'!$AD124=TRUE,'ORDENES'!$A124&lt;&gt;""),1,0)</f>
        <v/>
      </c>
      <c r="L128" s="3">
        <f>IF(K128=1,IFERROR(MATCH('ORDENES'!$R124,lista_dias,0),9)*1000000000+IFERROR(MATCH('ORDENES'!$AF124,lista_turnos,0),9)*10000000+IFERROR(MATCH('ORDENES'!$AE124,tblTecnicos[nombre],0),99)*100000+121,9000000000000+121)</f>
        <v/>
      </c>
      <c r="M128" s="3">
        <f>IF(K128=1,SUMPRODUCT(--($L$8:$L$1207&lt;L128))+1,"")</f>
        <v/>
      </c>
      <c r="N128" s="17">
        <f>IF(K128=1,N('ORDENES'!$M124),0)</f>
        <v/>
      </c>
      <c r="O128" s="17">
        <f>IF('ORDENES'!$T124="preventiva",N128,0)</f>
        <v/>
      </c>
      <c r="P128" s="17">
        <f>IF('ORDENES'!$T124="correctiva",N128,0)</f>
        <v/>
      </c>
      <c r="Q128" s="3">
        <f>IF(AND(K128=1,'ORDENES'!$N124="Pendiente"),1,0)</f>
        <v/>
      </c>
      <c r="R128" s="3">
        <f>IF(Q128=1,100000-N128*1000+121*0.01,9000000000000+121)</f>
        <v/>
      </c>
      <c r="S128" s="3">
        <f>IF(Q128=1,SUMPRODUCT(--($R$8:$R$1207&lt;R128))+1,"")</f>
        <v/>
      </c>
      <c r="T128" s="12">
        <f>IF(K128=1,'ORDENES'!$J124,"")</f>
        <v/>
      </c>
      <c r="U128" s="3">
        <f>IFERROR(MATCH(121,$M$8:$M$1207,0),"")</f>
        <v/>
      </c>
      <c r="V128" s="3">
        <f>IF(U128="","",INDEX(tblOrdenes[dia_semana],U128))</f>
        <v/>
      </c>
      <c r="W128" s="3">
        <f>IF(U128="","",IF(V128&lt;&gt;V127,CHAR(10)&amp;UPPER(LEFT(V128,1))&amp;MID(V128,2,20)&amp;":"&amp;CHAR(10),"")&amp;"   "&amp;IF(INDEX(tblOrdenes[turno_asignado],U128)="","(s/t)",INDEX(tblOrdenes[turno_asignado],U128))&amp;" · "&amp;IF(INDEX(tblOrdenes[tecnico_asignado],U128)="","(sin técnico)",INDEX(tblOrdenes[tecnico_asignado],U128))&amp;" · "&amp;INDEX(tblOrdenes[id_operacion],U128)&amp;" — "&amp;INDEX(tblOrdenes[descripcion_operacion],U128)&amp;" ("&amp;TEXT(INDEX(tblOrdenes[horas_efectivas],U128),"0.#")&amp;" h)")</f>
        <v/>
      </c>
    </row>
    <row r="129">
      <c r="K129" s="3">
        <f>IF(AND(IF($B$3="(todos)",TRUE,'ORDENES'!$O125=$B$3),IF($D$3="(todos)",TRUE,'ORDENES'!$AF125=$D$3),IF($F$3="(todos)",TRUE,'ORDENES'!$X125=$F$3),IF($H$3="(todos)",TRUE,'ORDENES'!$W125=$H$3),'ORDENES'!$AD125=TRUE,'ORDENES'!$A125&lt;&gt;""),1,0)</f>
        <v/>
      </c>
      <c r="L129" s="3">
        <f>IF(K129=1,IFERROR(MATCH('ORDENES'!$R125,lista_dias,0),9)*1000000000+IFERROR(MATCH('ORDENES'!$AF125,lista_turnos,0),9)*10000000+IFERROR(MATCH('ORDENES'!$AE125,tblTecnicos[nombre],0),99)*100000+122,9000000000000+122)</f>
        <v/>
      </c>
      <c r="M129" s="3">
        <f>IF(K129=1,SUMPRODUCT(--($L$8:$L$1207&lt;L129))+1,"")</f>
        <v/>
      </c>
      <c r="N129" s="17">
        <f>IF(K129=1,N('ORDENES'!$M125),0)</f>
        <v/>
      </c>
      <c r="O129" s="17">
        <f>IF('ORDENES'!$T125="preventiva",N129,0)</f>
        <v/>
      </c>
      <c r="P129" s="17">
        <f>IF('ORDENES'!$T125="correctiva",N129,0)</f>
        <v/>
      </c>
      <c r="Q129" s="3">
        <f>IF(AND(K129=1,'ORDENES'!$N125="Pendiente"),1,0)</f>
        <v/>
      </c>
      <c r="R129" s="3">
        <f>IF(Q129=1,100000-N129*1000+122*0.01,9000000000000+122)</f>
        <v/>
      </c>
      <c r="S129" s="3">
        <f>IF(Q129=1,SUMPRODUCT(--($R$8:$R$1207&lt;R129))+1,"")</f>
        <v/>
      </c>
      <c r="T129" s="12">
        <f>IF(K129=1,'ORDENES'!$J125,"")</f>
        <v/>
      </c>
      <c r="U129" s="3">
        <f>IFERROR(MATCH(122,$M$8:$M$1207,0),"")</f>
        <v/>
      </c>
      <c r="V129" s="3">
        <f>IF(U129="","",INDEX(tblOrdenes[dia_semana],U129))</f>
        <v/>
      </c>
      <c r="W129" s="3">
        <f>IF(U129="","",IF(V129&lt;&gt;V128,CHAR(10)&amp;UPPER(LEFT(V129,1))&amp;MID(V129,2,20)&amp;":"&amp;CHAR(10),"")&amp;"   "&amp;IF(INDEX(tblOrdenes[turno_asignado],U129)="","(s/t)",INDEX(tblOrdenes[turno_asignado],U129))&amp;" · "&amp;IF(INDEX(tblOrdenes[tecnico_asignado],U129)="","(sin técnico)",INDEX(tblOrdenes[tecnico_asignado],U129))&amp;" · "&amp;INDEX(tblOrdenes[id_operacion],U129)&amp;" — "&amp;INDEX(tblOrdenes[descripcion_operacion],U129)&amp;" ("&amp;TEXT(INDEX(tblOrdenes[horas_efectivas],U129),"0.#")&amp;" h)")</f>
        <v/>
      </c>
    </row>
    <row r="130">
      <c r="K130" s="3">
        <f>IF(AND(IF($B$3="(todos)",TRUE,'ORDENES'!$O126=$B$3),IF($D$3="(todos)",TRUE,'ORDENES'!$AF126=$D$3),IF($F$3="(todos)",TRUE,'ORDENES'!$X126=$F$3),IF($H$3="(todos)",TRUE,'ORDENES'!$W126=$H$3),'ORDENES'!$AD126=TRUE,'ORDENES'!$A126&lt;&gt;""),1,0)</f>
        <v/>
      </c>
      <c r="L130" s="3">
        <f>IF(K130=1,IFERROR(MATCH('ORDENES'!$R126,lista_dias,0),9)*1000000000+IFERROR(MATCH('ORDENES'!$AF126,lista_turnos,0),9)*10000000+IFERROR(MATCH('ORDENES'!$AE126,tblTecnicos[nombre],0),99)*100000+123,9000000000000+123)</f>
        <v/>
      </c>
      <c r="M130" s="3">
        <f>IF(K130=1,SUMPRODUCT(--($L$8:$L$1207&lt;L130))+1,"")</f>
        <v/>
      </c>
      <c r="N130" s="17">
        <f>IF(K130=1,N('ORDENES'!$M126),0)</f>
        <v/>
      </c>
      <c r="O130" s="17">
        <f>IF('ORDENES'!$T126="preventiva",N130,0)</f>
        <v/>
      </c>
      <c r="P130" s="17">
        <f>IF('ORDENES'!$T126="correctiva",N130,0)</f>
        <v/>
      </c>
      <c r="Q130" s="3">
        <f>IF(AND(K130=1,'ORDENES'!$N126="Pendiente"),1,0)</f>
        <v/>
      </c>
      <c r="R130" s="3">
        <f>IF(Q130=1,100000-N130*1000+123*0.01,9000000000000+123)</f>
        <v/>
      </c>
      <c r="S130" s="3">
        <f>IF(Q130=1,SUMPRODUCT(--($R$8:$R$1207&lt;R130))+1,"")</f>
        <v/>
      </c>
      <c r="T130" s="12">
        <f>IF(K130=1,'ORDENES'!$J126,"")</f>
        <v/>
      </c>
      <c r="U130" s="3">
        <f>IFERROR(MATCH(123,$M$8:$M$1207,0),"")</f>
        <v/>
      </c>
      <c r="V130" s="3">
        <f>IF(U130="","",INDEX(tblOrdenes[dia_semana],U130))</f>
        <v/>
      </c>
      <c r="W130" s="3">
        <f>IF(U130="","",IF(V130&lt;&gt;V129,CHAR(10)&amp;UPPER(LEFT(V130,1))&amp;MID(V130,2,20)&amp;":"&amp;CHAR(10),"")&amp;"   "&amp;IF(INDEX(tblOrdenes[turno_asignado],U130)="","(s/t)",INDEX(tblOrdenes[turno_asignado],U130))&amp;" · "&amp;IF(INDEX(tblOrdenes[tecnico_asignado],U130)="","(sin técnico)",INDEX(tblOrdenes[tecnico_asignado],U130))&amp;" · "&amp;INDEX(tblOrdenes[id_operacion],U130)&amp;" — "&amp;INDEX(tblOrdenes[descripcion_operacion],U130)&amp;" ("&amp;TEXT(INDEX(tblOrdenes[horas_efectivas],U130),"0.#")&amp;" h)")</f>
        <v/>
      </c>
    </row>
    <row r="131">
      <c r="K131" s="3">
        <f>IF(AND(IF($B$3="(todos)",TRUE,'ORDENES'!$O127=$B$3),IF($D$3="(todos)",TRUE,'ORDENES'!$AF127=$D$3),IF($F$3="(todos)",TRUE,'ORDENES'!$X127=$F$3),IF($H$3="(todos)",TRUE,'ORDENES'!$W127=$H$3),'ORDENES'!$AD127=TRUE,'ORDENES'!$A127&lt;&gt;""),1,0)</f>
        <v/>
      </c>
      <c r="L131" s="3">
        <f>IF(K131=1,IFERROR(MATCH('ORDENES'!$R127,lista_dias,0),9)*1000000000+IFERROR(MATCH('ORDENES'!$AF127,lista_turnos,0),9)*10000000+IFERROR(MATCH('ORDENES'!$AE127,tblTecnicos[nombre],0),99)*100000+124,9000000000000+124)</f>
        <v/>
      </c>
      <c r="M131" s="3">
        <f>IF(K131=1,SUMPRODUCT(--($L$8:$L$1207&lt;L131))+1,"")</f>
        <v/>
      </c>
      <c r="N131" s="17">
        <f>IF(K131=1,N('ORDENES'!$M127),0)</f>
        <v/>
      </c>
      <c r="O131" s="17">
        <f>IF('ORDENES'!$T127="preventiva",N131,0)</f>
        <v/>
      </c>
      <c r="P131" s="17">
        <f>IF('ORDENES'!$T127="correctiva",N131,0)</f>
        <v/>
      </c>
      <c r="Q131" s="3">
        <f>IF(AND(K131=1,'ORDENES'!$N127="Pendiente"),1,0)</f>
        <v/>
      </c>
      <c r="R131" s="3">
        <f>IF(Q131=1,100000-N131*1000+124*0.01,9000000000000+124)</f>
        <v/>
      </c>
      <c r="S131" s="3">
        <f>IF(Q131=1,SUMPRODUCT(--($R$8:$R$1207&lt;R131))+1,"")</f>
        <v/>
      </c>
      <c r="T131" s="12">
        <f>IF(K131=1,'ORDENES'!$J127,"")</f>
        <v/>
      </c>
      <c r="U131" s="3">
        <f>IFERROR(MATCH(124,$M$8:$M$1207,0),"")</f>
        <v/>
      </c>
      <c r="V131" s="3">
        <f>IF(U131="","",INDEX(tblOrdenes[dia_semana],U131))</f>
        <v/>
      </c>
      <c r="W131" s="3">
        <f>IF(U131="","",IF(V131&lt;&gt;V130,CHAR(10)&amp;UPPER(LEFT(V131,1))&amp;MID(V131,2,20)&amp;":"&amp;CHAR(10),"")&amp;"   "&amp;IF(INDEX(tblOrdenes[turno_asignado],U131)="","(s/t)",INDEX(tblOrdenes[turno_asignado],U131))&amp;" · "&amp;IF(INDEX(tblOrdenes[tecnico_asignado],U131)="","(sin técnico)",INDEX(tblOrdenes[tecnico_asignado],U131))&amp;" · "&amp;INDEX(tblOrdenes[id_operacion],U131)&amp;" — "&amp;INDEX(tblOrdenes[descripcion_operacion],U131)&amp;" ("&amp;TEXT(INDEX(tblOrdenes[horas_efectivas],U131),"0.#")&amp;" h)")</f>
        <v/>
      </c>
    </row>
    <row r="132">
      <c r="K132" s="3">
        <f>IF(AND(IF($B$3="(todos)",TRUE,'ORDENES'!$O128=$B$3),IF($D$3="(todos)",TRUE,'ORDENES'!$AF128=$D$3),IF($F$3="(todos)",TRUE,'ORDENES'!$X128=$F$3),IF($H$3="(todos)",TRUE,'ORDENES'!$W128=$H$3),'ORDENES'!$AD128=TRUE,'ORDENES'!$A128&lt;&gt;""),1,0)</f>
        <v/>
      </c>
      <c r="L132" s="3">
        <f>IF(K132=1,IFERROR(MATCH('ORDENES'!$R128,lista_dias,0),9)*1000000000+IFERROR(MATCH('ORDENES'!$AF128,lista_turnos,0),9)*10000000+IFERROR(MATCH('ORDENES'!$AE128,tblTecnicos[nombre],0),99)*100000+125,9000000000000+125)</f>
        <v/>
      </c>
      <c r="M132" s="3">
        <f>IF(K132=1,SUMPRODUCT(--($L$8:$L$1207&lt;L132))+1,"")</f>
        <v/>
      </c>
      <c r="N132" s="17">
        <f>IF(K132=1,N('ORDENES'!$M128),0)</f>
        <v/>
      </c>
      <c r="O132" s="17">
        <f>IF('ORDENES'!$T128="preventiva",N132,0)</f>
        <v/>
      </c>
      <c r="P132" s="17">
        <f>IF('ORDENES'!$T128="correctiva",N132,0)</f>
        <v/>
      </c>
      <c r="Q132" s="3">
        <f>IF(AND(K132=1,'ORDENES'!$N128="Pendiente"),1,0)</f>
        <v/>
      </c>
      <c r="R132" s="3">
        <f>IF(Q132=1,100000-N132*1000+125*0.01,9000000000000+125)</f>
        <v/>
      </c>
      <c r="S132" s="3">
        <f>IF(Q132=1,SUMPRODUCT(--($R$8:$R$1207&lt;R132))+1,"")</f>
        <v/>
      </c>
      <c r="T132" s="12">
        <f>IF(K132=1,'ORDENES'!$J128,"")</f>
        <v/>
      </c>
      <c r="U132" s="3">
        <f>IFERROR(MATCH(125,$M$8:$M$1207,0),"")</f>
        <v/>
      </c>
      <c r="V132" s="3">
        <f>IF(U132="","",INDEX(tblOrdenes[dia_semana],U132))</f>
        <v/>
      </c>
      <c r="W132" s="3">
        <f>IF(U132="","",IF(V132&lt;&gt;V131,CHAR(10)&amp;UPPER(LEFT(V132,1))&amp;MID(V132,2,20)&amp;":"&amp;CHAR(10),"")&amp;"   "&amp;IF(INDEX(tblOrdenes[turno_asignado],U132)="","(s/t)",INDEX(tblOrdenes[turno_asignado],U132))&amp;" · "&amp;IF(INDEX(tblOrdenes[tecnico_asignado],U132)="","(sin técnico)",INDEX(tblOrdenes[tecnico_asignado],U132))&amp;" · "&amp;INDEX(tblOrdenes[id_operacion],U132)&amp;" — "&amp;INDEX(tblOrdenes[descripcion_operacion],U132)&amp;" ("&amp;TEXT(INDEX(tblOrdenes[horas_efectivas],U132),"0.#")&amp;" h)")</f>
        <v/>
      </c>
    </row>
    <row r="133">
      <c r="K133" s="3">
        <f>IF(AND(IF($B$3="(todos)",TRUE,'ORDENES'!$O129=$B$3),IF($D$3="(todos)",TRUE,'ORDENES'!$AF129=$D$3),IF($F$3="(todos)",TRUE,'ORDENES'!$X129=$F$3),IF($H$3="(todos)",TRUE,'ORDENES'!$W129=$H$3),'ORDENES'!$AD129=TRUE,'ORDENES'!$A129&lt;&gt;""),1,0)</f>
        <v/>
      </c>
      <c r="L133" s="3">
        <f>IF(K133=1,IFERROR(MATCH('ORDENES'!$R129,lista_dias,0),9)*1000000000+IFERROR(MATCH('ORDENES'!$AF129,lista_turnos,0),9)*10000000+IFERROR(MATCH('ORDENES'!$AE129,tblTecnicos[nombre],0),99)*100000+126,9000000000000+126)</f>
        <v/>
      </c>
      <c r="M133" s="3">
        <f>IF(K133=1,SUMPRODUCT(--($L$8:$L$1207&lt;L133))+1,"")</f>
        <v/>
      </c>
      <c r="N133" s="17">
        <f>IF(K133=1,N('ORDENES'!$M129),0)</f>
        <v/>
      </c>
      <c r="O133" s="17">
        <f>IF('ORDENES'!$T129="preventiva",N133,0)</f>
        <v/>
      </c>
      <c r="P133" s="17">
        <f>IF('ORDENES'!$T129="correctiva",N133,0)</f>
        <v/>
      </c>
      <c r="Q133" s="3">
        <f>IF(AND(K133=1,'ORDENES'!$N129="Pendiente"),1,0)</f>
        <v/>
      </c>
      <c r="R133" s="3">
        <f>IF(Q133=1,100000-N133*1000+126*0.01,9000000000000+126)</f>
        <v/>
      </c>
      <c r="S133" s="3">
        <f>IF(Q133=1,SUMPRODUCT(--($R$8:$R$1207&lt;R133))+1,"")</f>
        <v/>
      </c>
      <c r="T133" s="12">
        <f>IF(K133=1,'ORDENES'!$J129,"")</f>
        <v/>
      </c>
      <c r="U133" s="3">
        <f>IFERROR(MATCH(126,$M$8:$M$1207,0),"")</f>
        <v/>
      </c>
      <c r="V133" s="3">
        <f>IF(U133="","",INDEX(tblOrdenes[dia_semana],U133))</f>
        <v/>
      </c>
      <c r="W133" s="3">
        <f>IF(U133="","",IF(V133&lt;&gt;V132,CHAR(10)&amp;UPPER(LEFT(V133,1))&amp;MID(V133,2,20)&amp;":"&amp;CHAR(10),"")&amp;"   "&amp;IF(INDEX(tblOrdenes[turno_asignado],U133)="","(s/t)",INDEX(tblOrdenes[turno_asignado],U133))&amp;" · "&amp;IF(INDEX(tblOrdenes[tecnico_asignado],U133)="","(sin técnico)",INDEX(tblOrdenes[tecnico_asignado],U133))&amp;" · "&amp;INDEX(tblOrdenes[id_operacion],U133)&amp;" — "&amp;INDEX(tblOrdenes[descripcion_operacion],U133)&amp;" ("&amp;TEXT(INDEX(tblOrdenes[horas_efectivas],U133),"0.#")&amp;" h)")</f>
        <v/>
      </c>
    </row>
    <row r="134">
      <c r="K134" s="3">
        <f>IF(AND(IF($B$3="(todos)",TRUE,'ORDENES'!$O130=$B$3),IF($D$3="(todos)",TRUE,'ORDENES'!$AF130=$D$3),IF($F$3="(todos)",TRUE,'ORDENES'!$X130=$F$3),IF($H$3="(todos)",TRUE,'ORDENES'!$W130=$H$3),'ORDENES'!$AD130=TRUE,'ORDENES'!$A130&lt;&gt;""),1,0)</f>
        <v/>
      </c>
      <c r="L134" s="3">
        <f>IF(K134=1,IFERROR(MATCH('ORDENES'!$R130,lista_dias,0),9)*1000000000+IFERROR(MATCH('ORDENES'!$AF130,lista_turnos,0),9)*10000000+IFERROR(MATCH('ORDENES'!$AE130,tblTecnicos[nombre],0),99)*100000+127,9000000000000+127)</f>
        <v/>
      </c>
      <c r="M134" s="3">
        <f>IF(K134=1,SUMPRODUCT(--($L$8:$L$1207&lt;L134))+1,"")</f>
        <v/>
      </c>
      <c r="N134" s="17">
        <f>IF(K134=1,N('ORDENES'!$M130),0)</f>
        <v/>
      </c>
      <c r="O134" s="17">
        <f>IF('ORDENES'!$T130="preventiva",N134,0)</f>
        <v/>
      </c>
      <c r="P134" s="17">
        <f>IF('ORDENES'!$T130="correctiva",N134,0)</f>
        <v/>
      </c>
      <c r="Q134" s="3">
        <f>IF(AND(K134=1,'ORDENES'!$N130="Pendiente"),1,0)</f>
        <v/>
      </c>
      <c r="R134" s="3">
        <f>IF(Q134=1,100000-N134*1000+127*0.01,9000000000000+127)</f>
        <v/>
      </c>
      <c r="S134" s="3">
        <f>IF(Q134=1,SUMPRODUCT(--($R$8:$R$1207&lt;R134))+1,"")</f>
        <v/>
      </c>
      <c r="T134" s="12">
        <f>IF(K134=1,'ORDENES'!$J130,"")</f>
        <v/>
      </c>
      <c r="U134" s="3">
        <f>IFERROR(MATCH(127,$M$8:$M$1207,0),"")</f>
        <v/>
      </c>
      <c r="V134" s="3">
        <f>IF(U134="","",INDEX(tblOrdenes[dia_semana],U134))</f>
        <v/>
      </c>
      <c r="W134" s="3">
        <f>IF(U134="","",IF(V134&lt;&gt;V133,CHAR(10)&amp;UPPER(LEFT(V134,1))&amp;MID(V134,2,20)&amp;":"&amp;CHAR(10),"")&amp;"   "&amp;IF(INDEX(tblOrdenes[turno_asignado],U134)="","(s/t)",INDEX(tblOrdenes[turno_asignado],U134))&amp;" · "&amp;IF(INDEX(tblOrdenes[tecnico_asignado],U134)="","(sin técnico)",INDEX(tblOrdenes[tecnico_asignado],U134))&amp;" · "&amp;INDEX(tblOrdenes[id_operacion],U134)&amp;" — "&amp;INDEX(tblOrdenes[descripcion_operacion],U134)&amp;" ("&amp;TEXT(INDEX(tblOrdenes[horas_efectivas],U134),"0.#")&amp;" h)")</f>
        <v/>
      </c>
    </row>
    <row r="135">
      <c r="K135" s="3">
        <f>IF(AND(IF($B$3="(todos)",TRUE,'ORDENES'!$O131=$B$3),IF($D$3="(todos)",TRUE,'ORDENES'!$AF131=$D$3),IF($F$3="(todos)",TRUE,'ORDENES'!$X131=$F$3),IF($H$3="(todos)",TRUE,'ORDENES'!$W131=$H$3),'ORDENES'!$AD131=TRUE,'ORDENES'!$A131&lt;&gt;""),1,0)</f>
        <v/>
      </c>
      <c r="L135" s="3">
        <f>IF(K135=1,IFERROR(MATCH('ORDENES'!$R131,lista_dias,0),9)*1000000000+IFERROR(MATCH('ORDENES'!$AF131,lista_turnos,0),9)*10000000+IFERROR(MATCH('ORDENES'!$AE131,tblTecnicos[nombre],0),99)*100000+128,9000000000000+128)</f>
        <v/>
      </c>
      <c r="M135" s="3">
        <f>IF(K135=1,SUMPRODUCT(--($L$8:$L$1207&lt;L135))+1,"")</f>
        <v/>
      </c>
      <c r="N135" s="17">
        <f>IF(K135=1,N('ORDENES'!$M131),0)</f>
        <v/>
      </c>
      <c r="O135" s="17">
        <f>IF('ORDENES'!$T131="preventiva",N135,0)</f>
        <v/>
      </c>
      <c r="P135" s="17">
        <f>IF('ORDENES'!$T131="correctiva",N135,0)</f>
        <v/>
      </c>
      <c r="Q135" s="3">
        <f>IF(AND(K135=1,'ORDENES'!$N131="Pendiente"),1,0)</f>
        <v/>
      </c>
      <c r="R135" s="3">
        <f>IF(Q135=1,100000-N135*1000+128*0.01,9000000000000+128)</f>
        <v/>
      </c>
      <c r="S135" s="3">
        <f>IF(Q135=1,SUMPRODUCT(--($R$8:$R$1207&lt;R135))+1,"")</f>
        <v/>
      </c>
      <c r="T135" s="12">
        <f>IF(K135=1,'ORDENES'!$J131,"")</f>
        <v/>
      </c>
      <c r="U135" s="3">
        <f>IFERROR(MATCH(128,$M$8:$M$1207,0),"")</f>
        <v/>
      </c>
      <c r="V135" s="3">
        <f>IF(U135="","",INDEX(tblOrdenes[dia_semana],U135))</f>
        <v/>
      </c>
      <c r="W135" s="3">
        <f>IF(U135="","",IF(V135&lt;&gt;V134,CHAR(10)&amp;UPPER(LEFT(V135,1))&amp;MID(V135,2,20)&amp;":"&amp;CHAR(10),"")&amp;"   "&amp;IF(INDEX(tblOrdenes[turno_asignado],U135)="","(s/t)",INDEX(tblOrdenes[turno_asignado],U135))&amp;" · "&amp;IF(INDEX(tblOrdenes[tecnico_asignado],U135)="","(sin técnico)",INDEX(tblOrdenes[tecnico_asignado],U135))&amp;" · "&amp;INDEX(tblOrdenes[id_operacion],U135)&amp;" — "&amp;INDEX(tblOrdenes[descripcion_operacion],U135)&amp;" ("&amp;TEXT(INDEX(tblOrdenes[horas_efectivas],U135),"0.#")&amp;" h)")</f>
        <v/>
      </c>
    </row>
    <row r="136">
      <c r="K136" s="3">
        <f>IF(AND(IF($B$3="(todos)",TRUE,'ORDENES'!$O132=$B$3),IF($D$3="(todos)",TRUE,'ORDENES'!$AF132=$D$3),IF($F$3="(todos)",TRUE,'ORDENES'!$X132=$F$3),IF($H$3="(todos)",TRUE,'ORDENES'!$W132=$H$3),'ORDENES'!$AD132=TRUE,'ORDENES'!$A132&lt;&gt;""),1,0)</f>
        <v/>
      </c>
      <c r="L136" s="3">
        <f>IF(K136=1,IFERROR(MATCH('ORDENES'!$R132,lista_dias,0),9)*1000000000+IFERROR(MATCH('ORDENES'!$AF132,lista_turnos,0),9)*10000000+IFERROR(MATCH('ORDENES'!$AE132,tblTecnicos[nombre],0),99)*100000+129,9000000000000+129)</f>
        <v/>
      </c>
      <c r="M136" s="3">
        <f>IF(K136=1,SUMPRODUCT(--($L$8:$L$1207&lt;L136))+1,"")</f>
        <v/>
      </c>
      <c r="N136" s="17">
        <f>IF(K136=1,N('ORDENES'!$M132),0)</f>
        <v/>
      </c>
      <c r="O136" s="17">
        <f>IF('ORDENES'!$T132="preventiva",N136,0)</f>
        <v/>
      </c>
      <c r="P136" s="17">
        <f>IF('ORDENES'!$T132="correctiva",N136,0)</f>
        <v/>
      </c>
      <c r="Q136" s="3">
        <f>IF(AND(K136=1,'ORDENES'!$N132="Pendiente"),1,0)</f>
        <v/>
      </c>
      <c r="R136" s="3">
        <f>IF(Q136=1,100000-N136*1000+129*0.01,9000000000000+129)</f>
        <v/>
      </c>
      <c r="S136" s="3">
        <f>IF(Q136=1,SUMPRODUCT(--($R$8:$R$1207&lt;R136))+1,"")</f>
        <v/>
      </c>
      <c r="T136" s="12">
        <f>IF(K136=1,'ORDENES'!$J132,"")</f>
        <v/>
      </c>
      <c r="U136" s="3">
        <f>IFERROR(MATCH(129,$M$8:$M$1207,0),"")</f>
        <v/>
      </c>
      <c r="V136" s="3">
        <f>IF(U136="","",INDEX(tblOrdenes[dia_semana],U136))</f>
        <v/>
      </c>
      <c r="W136" s="3">
        <f>IF(U136="","",IF(V136&lt;&gt;V135,CHAR(10)&amp;UPPER(LEFT(V136,1))&amp;MID(V136,2,20)&amp;":"&amp;CHAR(10),"")&amp;"   "&amp;IF(INDEX(tblOrdenes[turno_asignado],U136)="","(s/t)",INDEX(tblOrdenes[turno_asignado],U136))&amp;" · "&amp;IF(INDEX(tblOrdenes[tecnico_asignado],U136)="","(sin técnico)",INDEX(tblOrdenes[tecnico_asignado],U136))&amp;" · "&amp;INDEX(tblOrdenes[id_operacion],U136)&amp;" — "&amp;INDEX(tblOrdenes[descripcion_operacion],U136)&amp;" ("&amp;TEXT(INDEX(tblOrdenes[horas_efectivas],U136),"0.#")&amp;" h)")</f>
        <v/>
      </c>
    </row>
    <row r="137">
      <c r="K137" s="3">
        <f>IF(AND(IF($B$3="(todos)",TRUE,'ORDENES'!$O133=$B$3),IF($D$3="(todos)",TRUE,'ORDENES'!$AF133=$D$3),IF($F$3="(todos)",TRUE,'ORDENES'!$X133=$F$3),IF($H$3="(todos)",TRUE,'ORDENES'!$W133=$H$3),'ORDENES'!$AD133=TRUE,'ORDENES'!$A133&lt;&gt;""),1,0)</f>
        <v/>
      </c>
      <c r="L137" s="3">
        <f>IF(K137=1,IFERROR(MATCH('ORDENES'!$R133,lista_dias,0),9)*1000000000+IFERROR(MATCH('ORDENES'!$AF133,lista_turnos,0),9)*10000000+IFERROR(MATCH('ORDENES'!$AE133,tblTecnicos[nombre],0),99)*100000+130,9000000000000+130)</f>
        <v/>
      </c>
      <c r="M137" s="3">
        <f>IF(K137=1,SUMPRODUCT(--($L$8:$L$1207&lt;L137))+1,"")</f>
        <v/>
      </c>
      <c r="N137" s="17">
        <f>IF(K137=1,N('ORDENES'!$M133),0)</f>
        <v/>
      </c>
      <c r="O137" s="17">
        <f>IF('ORDENES'!$T133="preventiva",N137,0)</f>
        <v/>
      </c>
      <c r="P137" s="17">
        <f>IF('ORDENES'!$T133="correctiva",N137,0)</f>
        <v/>
      </c>
      <c r="Q137" s="3">
        <f>IF(AND(K137=1,'ORDENES'!$N133="Pendiente"),1,0)</f>
        <v/>
      </c>
      <c r="R137" s="3">
        <f>IF(Q137=1,100000-N137*1000+130*0.01,9000000000000+130)</f>
        <v/>
      </c>
      <c r="S137" s="3">
        <f>IF(Q137=1,SUMPRODUCT(--($R$8:$R$1207&lt;R137))+1,"")</f>
        <v/>
      </c>
      <c r="T137" s="12">
        <f>IF(K137=1,'ORDENES'!$J133,"")</f>
        <v/>
      </c>
      <c r="U137" s="3">
        <f>IFERROR(MATCH(130,$M$8:$M$1207,0),"")</f>
        <v/>
      </c>
      <c r="V137" s="3">
        <f>IF(U137="","",INDEX(tblOrdenes[dia_semana],U137))</f>
        <v/>
      </c>
      <c r="W137" s="3">
        <f>IF(U137="","",IF(V137&lt;&gt;V136,CHAR(10)&amp;UPPER(LEFT(V137,1))&amp;MID(V137,2,20)&amp;":"&amp;CHAR(10),"")&amp;"   "&amp;IF(INDEX(tblOrdenes[turno_asignado],U137)="","(s/t)",INDEX(tblOrdenes[turno_asignado],U137))&amp;" · "&amp;IF(INDEX(tblOrdenes[tecnico_asignado],U137)="","(sin técnico)",INDEX(tblOrdenes[tecnico_asignado],U137))&amp;" · "&amp;INDEX(tblOrdenes[id_operacion],U137)&amp;" — "&amp;INDEX(tblOrdenes[descripcion_operacion],U137)&amp;" ("&amp;TEXT(INDEX(tblOrdenes[horas_efectivas],U137),"0.#")&amp;" h)")</f>
        <v/>
      </c>
    </row>
    <row r="138">
      <c r="K138" s="3">
        <f>IF(AND(IF($B$3="(todos)",TRUE,'ORDENES'!$O134=$B$3),IF($D$3="(todos)",TRUE,'ORDENES'!$AF134=$D$3),IF($F$3="(todos)",TRUE,'ORDENES'!$X134=$F$3),IF($H$3="(todos)",TRUE,'ORDENES'!$W134=$H$3),'ORDENES'!$AD134=TRUE,'ORDENES'!$A134&lt;&gt;""),1,0)</f>
        <v/>
      </c>
      <c r="L138" s="3">
        <f>IF(K138=1,IFERROR(MATCH('ORDENES'!$R134,lista_dias,0),9)*1000000000+IFERROR(MATCH('ORDENES'!$AF134,lista_turnos,0),9)*10000000+IFERROR(MATCH('ORDENES'!$AE134,tblTecnicos[nombre],0),99)*100000+131,9000000000000+131)</f>
        <v/>
      </c>
      <c r="M138" s="3">
        <f>IF(K138=1,SUMPRODUCT(--($L$8:$L$1207&lt;L138))+1,"")</f>
        <v/>
      </c>
      <c r="N138" s="17">
        <f>IF(K138=1,N('ORDENES'!$M134),0)</f>
        <v/>
      </c>
      <c r="O138" s="17">
        <f>IF('ORDENES'!$T134="preventiva",N138,0)</f>
        <v/>
      </c>
      <c r="P138" s="17">
        <f>IF('ORDENES'!$T134="correctiva",N138,0)</f>
        <v/>
      </c>
      <c r="Q138" s="3">
        <f>IF(AND(K138=1,'ORDENES'!$N134="Pendiente"),1,0)</f>
        <v/>
      </c>
      <c r="R138" s="3">
        <f>IF(Q138=1,100000-N138*1000+131*0.01,9000000000000+131)</f>
        <v/>
      </c>
      <c r="S138" s="3">
        <f>IF(Q138=1,SUMPRODUCT(--($R$8:$R$1207&lt;R138))+1,"")</f>
        <v/>
      </c>
      <c r="T138" s="12">
        <f>IF(K138=1,'ORDENES'!$J134,"")</f>
        <v/>
      </c>
      <c r="U138" s="3">
        <f>IFERROR(MATCH(131,$M$8:$M$1207,0),"")</f>
        <v/>
      </c>
      <c r="V138" s="3">
        <f>IF(U138="","",INDEX(tblOrdenes[dia_semana],U138))</f>
        <v/>
      </c>
      <c r="W138" s="3">
        <f>IF(U138="","",IF(V138&lt;&gt;V137,CHAR(10)&amp;UPPER(LEFT(V138,1))&amp;MID(V138,2,20)&amp;":"&amp;CHAR(10),"")&amp;"   "&amp;IF(INDEX(tblOrdenes[turno_asignado],U138)="","(s/t)",INDEX(tblOrdenes[turno_asignado],U138))&amp;" · "&amp;IF(INDEX(tblOrdenes[tecnico_asignado],U138)="","(sin técnico)",INDEX(tblOrdenes[tecnico_asignado],U138))&amp;" · "&amp;INDEX(tblOrdenes[id_operacion],U138)&amp;" — "&amp;INDEX(tblOrdenes[descripcion_operacion],U138)&amp;" ("&amp;TEXT(INDEX(tblOrdenes[horas_efectivas],U138),"0.#")&amp;" h)")</f>
        <v/>
      </c>
    </row>
    <row r="139">
      <c r="K139" s="3">
        <f>IF(AND(IF($B$3="(todos)",TRUE,'ORDENES'!$O135=$B$3),IF($D$3="(todos)",TRUE,'ORDENES'!$AF135=$D$3),IF($F$3="(todos)",TRUE,'ORDENES'!$X135=$F$3),IF($H$3="(todos)",TRUE,'ORDENES'!$W135=$H$3),'ORDENES'!$AD135=TRUE,'ORDENES'!$A135&lt;&gt;""),1,0)</f>
        <v/>
      </c>
      <c r="L139" s="3">
        <f>IF(K139=1,IFERROR(MATCH('ORDENES'!$R135,lista_dias,0),9)*1000000000+IFERROR(MATCH('ORDENES'!$AF135,lista_turnos,0),9)*10000000+IFERROR(MATCH('ORDENES'!$AE135,tblTecnicos[nombre],0),99)*100000+132,9000000000000+132)</f>
        <v/>
      </c>
      <c r="M139" s="3">
        <f>IF(K139=1,SUMPRODUCT(--($L$8:$L$1207&lt;L139))+1,"")</f>
        <v/>
      </c>
      <c r="N139" s="17">
        <f>IF(K139=1,N('ORDENES'!$M135),0)</f>
        <v/>
      </c>
      <c r="O139" s="17">
        <f>IF('ORDENES'!$T135="preventiva",N139,0)</f>
        <v/>
      </c>
      <c r="P139" s="17">
        <f>IF('ORDENES'!$T135="correctiva",N139,0)</f>
        <v/>
      </c>
      <c r="Q139" s="3">
        <f>IF(AND(K139=1,'ORDENES'!$N135="Pendiente"),1,0)</f>
        <v/>
      </c>
      <c r="R139" s="3">
        <f>IF(Q139=1,100000-N139*1000+132*0.01,9000000000000+132)</f>
        <v/>
      </c>
      <c r="S139" s="3">
        <f>IF(Q139=1,SUMPRODUCT(--($R$8:$R$1207&lt;R139))+1,"")</f>
        <v/>
      </c>
      <c r="T139" s="12">
        <f>IF(K139=1,'ORDENES'!$J135,"")</f>
        <v/>
      </c>
      <c r="U139" s="3">
        <f>IFERROR(MATCH(132,$M$8:$M$1207,0),"")</f>
        <v/>
      </c>
      <c r="V139" s="3">
        <f>IF(U139="","",INDEX(tblOrdenes[dia_semana],U139))</f>
        <v/>
      </c>
      <c r="W139" s="3">
        <f>IF(U139="","",IF(V139&lt;&gt;V138,CHAR(10)&amp;UPPER(LEFT(V139,1))&amp;MID(V139,2,20)&amp;":"&amp;CHAR(10),"")&amp;"   "&amp;IF(INDEX(tblOrdenes[turno_asignado],U139)="","(s/t)",INDEX(tblOrdenes[turno_asignado],U139))&amp;" · "&amp;IF(INDEX(tblOrdenes[tecnico_asignado],U139)="","(sin técnico)",INDEX(tblOrdenes[tecnico_asignado],U139))&amp;" · "&amp;INDEX(tblOrdenes[id_operacion],U139)&amp;" — "&amp;INDEX(tblOrdenes[descripcion_operacion],U139)&amp;" ("&amp;TEXT(INDEX(tblOrdenes[horas_efectivas],U139),"0.#")&amp;" h)")</f>
        <v/>
      </c>
    </row>
    <row r="140">
      <c r="K140" s="3">
        <f>IF(AND(IF($B$3="(todos)",TRUE,'ORDENES'!$O136=$B$3),IF($D$3="(todos)",TRUE,'ORDENES'!$AF136=$D$3),IF($F$3="(todos)",TRUE,'ORDENES'!$X136=$F$3),IF($H$3="(todos)",TRUE,'ORDENES'!$W136=$H$3),'ORDENES'!$AD136=TRUE,'ORDENES'!$A136&lt;&gt;""),1,0)</f>
        <v/>
      </c>
      <c r="L140" s="3">
        <f>IF(K140=1,IFERROR(MATCH('ORDENES'!$R136,lista_dias,0),9)*1000000000+IFERROR(MATCH('ORDENES'!$AF136,lista_turnos,0),9)*10000000+IFERROR(MATCH('ORDENES'!$AE136,tblTecnicos[nombre],0),99)*100000+133,9000000000000+133)</f>
        <v/>
      </c>
      <c r="M140" s="3">
        <f>IF(K140=1,SUMPRODUCT(--($L$8:$L$1207&lt;L140))+1,"")</f>
        <v/>
      </c>
      <c r="N140" s="17">
        <f>IF(K140=1,N('ORDENES'!$M136),0)</f>
        <v/>
      </c>
      <c r="O140" s="17">
        <f>IF('ORDENES'!$T136="preventiva",N140,0)</f>
        <v/>
      </c>
      <c r="P140" s="17">
        <f>IF('ORDENES'!$T136="correctiva",N140,0)</f>
        <v/>
      </c>
      <c r="Q140" s="3">
        <f>IF(AND(K140=1,'ORDENES'!$N136="Pendiente"),1,0)</f>
        <v/>
      </c>
      <c r="R140" s="3">
        <f>IF(Q140=1,100000-N140*1000+133*0.01,9000000000000+133)</f>
        <v/>
      </c>
      <c r="S140" s="3">
        <f>IF(Q140=1,SUMPRODUCT(--($R$8:$R$1207&lt;R140))+1,"")</f>
        <v/>
      </c>
      <c r="T140" s="12">
        <f>IF(K140=1,'ORDENES'!$J136,"")</f>
        <v/>
      </c>
      <c r="U140" s="3">
        <f>IFERROR(MATCH(133,$M$8:$M$1207,0),"")</f>
        <v/>
      </c>
      <c r="V140" s="3">
        <f>IF(U140="","",INDEX(tblOrdenes[dia_semana],U140))</f>
        <v/>
      </c>
      <c r="W140" s="3">
        <f>IF(U140="","",IF(V140&lt;&gt;V139,CHAR(10)&amp;UPPER(LEFT(V140,1))&amp;MID(V140,2,20)&amp;":"&amp;CHAR(10),"")&amp;"   "&amp;IF(INDEX(tblOrdenes[turno_asignado],U140)="","(s/t)",INDEX(tblOrdenes[turno_asignado],U140))&amp;" · "&amp;IF(INDEX(tblOrdenes[tecnico_asignado],U140)="","(sin técnico)",INDEX(tblOrdenes[tecnico_asignado],U140))&amp;" · "&amp;INDEX(tblOrdenes[id_operacion],U140)&amp;" — "&amp;INDEX(tblOrdenes[descripcion_operacion],U140)&amp;" ("&amp;TEXT(INDEX(tblOrdenes[horas_efectivas],U140),"0.#")&amp;" h)")</f>
        <v/>
      </c>
    </row>
    <row r="141">
      <c r="K141" s="3">
        <f>IF(AND(IF($B$3="(todos)",TRUE,'ORDENES'!$O137=$B$3),IF($D$3="(todos)",TRUE,'ORDENES'!$AF137=$D$3),IF($F$3="(todos)",TRUE,'ORDENES'!$X137=$F$3),IF($H$3="(todos)",TRUE,'ORDENES'!$W137=$H$3),'ORDENES'!$AD137=TRUE,'ORDENES'!$A137&lt;&gt;""),1,0)</f>
        <v/>
      </c>
      <c r="L141" s="3">
        <f>IF(K141=1,IFERROR(MATCH('ORDENES'!$R137,lista_dias,0),9)*1000000000+IFERROR(MATCH('ORDENES'!$AF137,lista_turnos,0),9)*10000000+IFERROR(MATCH('ORDENES'!$AE137,tblTecnicos[nombre],0),99)*100000+134,9000000000000+134)</f>
        <v/>
      </c>
      <c r="M141" s="3">
        <f>IF(K141=1,SUMPRODUCT(--($L$8:$L$1207&lt;L141))+1,"")</f>
        <v/>
      </c>
      <c r="N141" s="17">
        <f>IF(K141=1,N('ORDENES'!$M137),0)</f>
        <v/>
      </c>
      <c r="O141" s="17">
        <f>IF('ORDENES'!$T137="preventiva",N141,0)</f>
        <v/>
      </c>
      <c r="P141" s="17">
        <f>IF('ORDENES'!$T137="correctiva",N141,0)</f>
        <v/>
      </c>
      <c r="Q141" s="3">
        <f>IF(AND(K141=1,'ORDENES'!$N137="Pendiente"),1,0)</f>
        <v/>
      </c>
      <c r="R141" s="3">
        <f>IF(Q141=1,100000-N141*1000+134*0.01,9000000000000+134)</f>
        <v/>
      </c>
      <c r="S141" s="3">
        <f>IF(Q141=1,SUMPRODUCT(--($R$8:$R$1207&lt;R141))+1,"")</f>
        <v/>
      </c>
      <c r="T141" s="12">
        <f>IF(K141=1,'ORDENES'!$J137,"")</f>
        <v/>
      </c>
      <c r="U141" s="3">
        <f>IFERROR(MATCH(134,$M$8:$M$1207,0),"")</f>
        <v/>
      </c>
      <c r="V141" s="3">
        <f>IF(U141="","",INDEX(tblOrdenes[dia_semana],U141))</f>
        <v/>
      </c>
      <c r="W141" s="3">
        <f>IF(U141="","",IF(V141&lt;&gt;V140,CHAR(10)&amp;UPPER(LEFT(V141,1))&amp;MID(V141,2,20)&amp;":"&amp;CHAR(10),"")&amp;"   "&amp;IF(INDEX(tblOrdenes[turno_asignado],U141)="","(s/t)",INDEX(tblOrdenes[turno_asignado],U141))&amp;" · "&amp;IF(INDEX(tblOrdenes[tecnico_asignado],U141)="","(sin técnico)",INDEX(tblOrdenes[tecnico_asignado],U141))&amp;" · "&amp;INDEX(tblOrdenes[id_operacion],U141)&amp;" — "&amp;INDEX(tblOrdenes[descripcion_operacion],U141)&amp;" ("&amp;TEXT(INDEX(tblOrdenes[horas_efectivas],U141),"0.#")&amp;" h)")</f>
        <v/>
      </c>
    </row>
    <row r="142">
      <c r="K142" s="3">
        <f>IF(AND(IF($B$3="(todos)",TRUE,'ORDENES'!$O138=$B$3),IF($D$3="(todos)",TRUE,'ORDENES'!$AF138=$D$3),IF($F$3="(todos)",TRUE,'ORDENES'!$X138=$F$3),IF($H$3="(todos)",TRUE,'ORDENES'!$W138=$H$3),'ORDENES'!$AD138=TRUE,'ORDENES'!$A138&lt;&gt;""),1,0)</f>
        <v/>
      </c>
      <c r="L142" s="3">
        <f>IF(K142=1,IFERROR(MATCH('ORDENES'!$R138,lista_dias,0),9)*1000000000+IFERROR(MATCH('ORDENES'!$AF138,lista_turnos,0),9)*10000000+IFERROR(MATCH('ORDENES'!$AE138,tblTecnicos[nombre],0),99)*100000+135,9000000000000+135)</f>
        <v/>
      </c>
      <c r="M142" s="3">
        <f>IF(K142=1,SUMPRODUCT(--($L$8:$L$1207&lt;L142))+1,"")</f>
        <v/>
      </c>
      <c r="N142" s="17">
        <f>IF(K142=1,N('ORDENES'!$M138),0)</f>
        <v/>
      </c>
      <c r="O142" s="17">
        <f>IF('ORDENES'!$T138="preventiva",N142,0)</f>
        <v/>
      </c>
      <c r="P142" s="17">
        <f>IF('ORDENES'!$T138="correctiva",N142,0)</f>
        <v/>
      </c>
      <c r="Q142" s="3">
        <f>IF(AND(K142=1,'ORDENES'!$N138="Pendiente"),1,0)</f>
        <v/>
      </c>
      <c r="R142" s="3">
        <f>IF(Q142=1,100000-N142*1000+135*0.01,9000000000000+135)</f>
        <v/>
      </c>
      <c r="S142" s="3">
        <f>IF(Q142=1,SUMPRODUCT(--($R$8:$R$1207&lt;R142))+1,"")</f>
        <v/>
      </c>
      <c r="T142" s="12">
        <f>IF(K142=1,'ORDENES'!$J138,"")</f>
        <v/>
      </c>
      <c r="U142" s="3">
        <f>IFERROR(MATCH(135,$M$8:$M$1207,0),"")</f>
        <v/>
      </c>
      <c r="V142" s="3">
        <f>IF(U142="","",INDEX(tblOrdenes[dia_semana],U142))</f>
        <v/>
      </c>
      <c r="W142" s="3">
        <f>IF(U142="","",IF(V142&lt;&gt;V141,CHAR(10)&amp;UPPER(LEFT(V142,1))&amp;MID(V142,2,20)&amp;":"&amp;CHAR(10),"")&amp;"   "&amp;IF(INDEX(tblOrdenes[turno_asignado],U142)="","(s/t)",INDEX(tblOrdenes[turno_asignado],U142))&amp;" · "&amp;IF(INDEX(tblOrdenes[tecnico_asignado],U142)="","(sin técnico)",INDEX(tblOrdenes[tecnico_asignado],U142))&amp;" · "&amp;INDEX(tblOrdenes[id_operacion],U142)&amp;" — "&amp;INDEX(tblOrdenes[descripcion_operacion],U142)&amp;" ("&amp;TEXT(INDEX(tblOrdenes[horas_efectivas],U142),"0.#")&amp;" h)")</f>
        <v/>
      </c>
    </row>
    <row r="143">
      <c r="K143" s="3">
        <f>IF(AND(IF($B$3="(todos)",TRUE,'ORDENES'!$O139=$B$3),IF($D$3="(todos)",TRUE,'ORDENES'!$AF139=$D$3),IF($F$3="(todos)",TRUE,'ORDENES'!$X139=$F$3),IF($H$3="(todos)",TRUE,'ORDENES'!$W139=$H$3),'ORDENES'!$AD139=TRUE,'ORDENES'!$A139&lt;&gt;""),1,0)</f>
        <v/>
      </c>
      <c r="L143" s="3">
        <f>IF(K143=1,IFERROR(MATCH('ORDENES'!$R139,lista_dias,0),9)*1000000000+IFERROR(MATCH('ORDENES'!$AF139,lista_turnos,0),9)*10000000+IFERROR(MATCH('ORDENES'!$AE139,tblTecnicos[nombre],0),99)*100000+136,9000000000000+136)</f>
        <v/>
      </c>
      <c r="M143" s="3">
        <f>IF(K143=1,SUMPRODUCT(--($L$8:$L$1207&lt;L143))+1,"")</f>
        <v/>
      </c>
      <c r="N143" s="17">
        <f>IF(K143=1,N('ORDENES'!$M139),0)</f>
        <v/>
      </c>
      <c r="O143" s="17">
        <f>IF('ORDENES'!$T139="preventiva",N143,0)</f>
        <v/>
      </c>
      <c r="P143" s="17">
        <f>IF('ORDENES'!$T139="correctiva",N143,0)</f>
        <v/>
      </c>
      <c r="Q143" s="3">
        <f>IF(AND(K143=1,'ORDENES'!$N139="Pendiente"),1,0)</f>
        <v/>
      </c>
      <c r="R143" s="3">
        <f>IF(Q143=1,100000-N143*1000+136*0.01,9000000000000+136)</f>
        <v/>
      </c>
      <c r="S143" s="3">
        <f>IF(Q143=1,SUMPRODUCT(--($R$8:$R$1207&lt;R143))+1,"")</f>
        <v/>
      </c>
      <c r="T143" s="12">
        <f>IF(K143=1,'ORDENES'!$J139,"")</f>
        <v/>
      </c>
      <c r="U143" s="3">
        <f>IFERROR(MATCH(136,$M$8:$M$1207,0),"")</f>
        <v/>
      </c>
      <c r="V143" s="3">
        <f>IF(U143="","",INDEX(tblOrdenes[dia_semana],U143))</f>
        <v/>
      </c>
      <c r="W143" s="3">
        <f>IF(U143="","",IF(V143&lt;&gt;V142,CHAR(10)&amp;UPPER(LEFT(V143,1))&amp;MID(V143,2,20)&amp;":"&amp;CHAR(10),"")&amp;"   "&amp;IF(INDEX(tblOrdenes[turno_asignado],U143)="","(s/t)",INDEX(tblOrdenes[turno_asignado],U143))&amp;" · "&amp;IF(INDEX(tblOrdenes[tecnico_asignado],U143)="","(sin técnico)",INDEX(tblOrdenes[tecnico_asignado],U143))&amp;" · "&amp;INDEX(tblOrdenes[id_operacion],U143)&amp;" — "&amp;INDEX(tblOrdenes[descripcion_operacion],U143)&amp;" ("&amp;TEXT(INDEX(tblOrdenes[horas_efectivas],U143),"0.#")&amp;" h)")</f>
        <v/>
      </c>
    </row>
    <row r="144">
      <c r="K144" s="3">
        <f>IF(AND(IF($B$3="(todos)",TRUE,'ORDENES'!$O140=$B$3),IF($D$3="(todos)",TRUE,'ORDENES'!$AF140=$D$3),IF($F$3="(todos)",TRUE,'ORDENES'!$X140=$F$3),IF($H$3="(todos)",TRUE,'ORDENES'!$W140=$H$3),'ORDENES'!$AD140=TRUE,'ORDENES'!$A140&lt;&gt;""),1,0)</f>
        <v/>
      </c>
      <c r="L144" s="3">
        <f>IF(K144=1,IFERROR(MATCH('ORDENES'!$R140,lista_dias,0),9)*1000000000+IFERROR(MATCH('ORDENES'!$AF140,lista_turnos,0),9)*10000000+IFERROR(MATCH('ORDENES'!$AE140,tblTecnicos[nombre],0),99)*100000+137,9000000000000+137)</f>
        <v/>
      </c>
      <c r="M144" s="3">
        <f>IF(K144=1,SUMPRODUCT(--($L$8:$L$1207&lt;L144))+1,"")</f>
        <v/>
      </c>
      <c r="N144" s="17">
        <f>IF(K144=1,N('ORDENES'!$M140),0)</f>
        <v/>
      </c>
      <c r="O144" s="17">
        <f>IF('ORDENES'!$T140="preventiva",N144,0)</f>
        <v/>
      </c>
      <c r="P144" s="17">
        <f>IF('ORDENES'!$T140="correctiva",N144,0)</f>
        <v/>
      </c>
      <c r="Q144" s="3">
        <f>IF(AND(K144=1,'ORDENES'!$N140="Pendiente"),1,0)</f>
        <v/>
      </c>
      <c r="R144" s="3">
        <f>IF(Q144=1,100000-N144*1000+137*0.01,9000000000000+137)</f>
        <v/>
      </c>
      <c r="S144" s="3">
        <f>IF(Q144=1,SUMPRODUCT(--($R$8:$R$1207&lt;R144))+1,"")</f>
        <v/>
      </c>
      <c r="T144" s="12">
        <f>IF(K144=1,'ORDENES'!$J140,"")</f>
        <v/>
      </c>
      <c r="U144" s="3">
        <f>IFERROR(MATCH(137,$M$8:$M$1207,0),"")</f>
        <v/>
      </c>
      <c r="V144" s="3">
        <f>IF(U144="","",INDEX(tblOrdenes[dia_semana],U144))</f>
        <v/>
      </c>
      <c r="W144" s="3">
        <f>IF(U144="","",IF(V144&lt;&gt;V143,CHAR(10)&amp;UPPER(LEFT(V144,1))&amp;MID(V144,2,20)&amp;":"&amp;CHAR(10),"")&amp;"   "&amp;IF(INDEX(tblOrdenes[turno_asignado],U144)="","(s/t)",INDEX(tblOrdenes[turno_asignado],U144))&amp;" · "&amp;IF(INDEX(tblOrdenes[tecnico_asignado],U144)="","(sin técnico)",INDEX(tblOrdenes[tecnico_asignado],U144))&amp;" · "&amp;INDEX(tblOrdenes[id_operacion],U144)&amp;" — "&amp;INDEX(tblOrdenes[descripcion_operacion],U144)&amp;" ("&amp;TEXT(INDEX(tblOrdenes[horas_efectivas],U144),"0.#")&amp;" h)")</f>
        <v/>
      </c>
    </row>
    <row r="145">
      <c r="K145" s="3">
        <f>IF(AND(IF($B$3="(todos)",TRUE,'ORDENES'!$O141=$B$3),IF($D$3="(todos)",TRUE,'ORDENES'!$AF141=$D$3),IF($F$3="(todos)",TRUE,'ORDENES'!$X141=$F$3),IF($H$3="(todos)",TRUE,'ORDENES'!$W141=$H$3),'ORDENES'!$AD141=TRUE,'ORDENES'!$A141&lt;&gt;""),1,0)</f>
        <v/>
      </c>
      <c r="L145" s="3">
        <f>IF(K145=1,IFERROR(MATCH('ORDENES'!$R141,lista_dias,0),9)*1000000000+IFERROR(MATCH('ORDENES'!$AF141,lista_turnos,0),9)*10000000+IFERROR(MATCH('ORDENES'!$AE141,tblTecnicos[nombre],0),99)*100000+138,9000000000000+138)</f>
        <v/>
      </c>
      <c r="M145" s="3">
        <f>IF(K145=1,SUMPRODUCT(--($L$8:$L$1207&lt;L145))+1,"")</f>
        <v/>
      </c>
      <c r="N145" s="17">
        <f>IF(K145=1,N('ORDENES'!$M141),0)</f>
        <v/>
      </c>
      <c r="O145" s="17">
        <f>IF('ORDENES'!$T141="preventiva",N145,0)</f>
        <v/>
      </c>
      <c r="P145" s="17">
        <f>IF('ORDENES'!$T141="correctiva",N145,0)</f>
        <v/>
      </c>
      <c r="Q145" s="3">
        <f>IF(AND(K145=1,'ORDENES'!$N141="Pendiente"),1,0)</f>
        <v/>
      </c>
      <c r="R145" s="3">
        <f>IF(Q145=1,100000-N145*1000+138*0.01,9000000000000+138)</f>
        <v/>
      </c>
      <c r="S145" s="3">
        <f>IF(Q145=1,SUMPRODUCT(--($R$8:$R$1207&lt;R145))+1,"")</f>
        <v/>
      </c>
      <c r="T145" s="12">
        <f>IF(K145=1,'ORDENES'!$J141,"")</f>
        <v/>
      </c>
      <c r="U145" s="3">
        <f>IFERROR(MATCH(138,$M$8:$M$1207,0),"")</f>
        <v/>
      </c>
      <c r="V145" s="3">
        <f>IF(U145="","",INDEX(tblOrdenes[dia_semana],U145))</f>
        <v/>
      </c>
      <c r="W145" s="3">
        <f>IF(U145="","",IF(V145&lt;&gt;V144,CHAR(10)&amp;UPPER(LEFT(V145,1))&amp;MID(V145,2,20)&amp;":"&amp;CHAR(10),"")&amp;"   "&amp;IF(INDEX(tblOrdenes[turno_asignado],U145)="","(s/t)",INDEX(tblOrdenes[turno_asignado],U145))&amp;" · "&amp;IF(INDEX(tblOrdenes[tecnico_asignado],U145)="","(sin técnico)",INDEX(tblOrdenes[tecnico_asignado],U145))&amp;" · "&amp;INDEX(tblOrdenes[id_operacion],U145)&amp;" — "&amp;INDEX(tblOrdenes[descripcion_operacion],U145)&amp;" ("&amp;TEXT(INDEX(tblOrdenes[horas_efectivas],U145),"0.#")&amp;" h)")</f>
        <v/>
      </c>
    </row>
    <row r="146">
      <c r="K146" s="3">
        <f>IF(AND(IF($B$3="(todos)",TRUE,'ORDENES'!$O142=$B$3),IF($D$3="(todos)",TRUE,'ORDENES'!$AF142=$D$3),IF($F$3="(todos)",TRUE,'ORDENES'!$X142=$F$3),IF($H$3="(todos)",TRUE,'ORDENES'!$W142=$H$3),'ORDENES'!$AD142=TRUE,'ORDENES'!$A142&lt;&gt;""),1,0)</f>
        <v/>
      </c>
      <c r="L146" s="3">
        <f>IF(K146=1,IFERROR(MATCH('ORDENES'!$R142,lista_dias,0),9)*1000000000+IFERROR(MATCH('ORDENES'!$AF142,lista_turnos,0),9)*10000000+IFERROR(MATCH('ORDENES'!$AE142,tblTecnicos[nombre],0),99)*100000+139,9000000000000+139)</f>
        <v/>
      </c>
      <c r="M146" s="3">
        <f>IF(K146=1,SUMPRODUCT(--($L$8:$L$1207&lt;L146))+1,"")</f>
        <v/>
      </c>
      <c r="N146" s="17">
        <f>IF(K146=1,N('ORDENES'!$M142),0)</f>
        <v/>
      </c>
      <c r="O146" s="17">
        <f>IF('ORDENES'!$T142="preventiva",N146,0)</f>
        <v/>
      </c>
      <c r="P146" s="17">
        <f>IF('ORDENES'!$T142="correctiva",N146,0)</f>
        <v/>
      </c>
      <c r="Q146" s="3">
        <f>IF(AND(K146=1,'ORDENES'!$N142="Pendiente"),1,0)</f>
        <v/>
      </c>
      <c r="R146" s="3">
        <f>IF(Q146=1,100000-N146*1000+139*0.01,9000000000000+139)</f>
        <v/>
      </c>
      <c r="S146" s="3">
        <f>IF(Q146=1,SUMPRODUCT(--($R$8:$R$1207&lt;R146))+1,"")</f>
        <v/>
      </c>
      <c r="T146" s="12">
        <f>IF(K146=1,'ORDENES'!$J142,"")</f>
        <v/>
      </c>
      <c r="U146" s="3">
        <f>IFERROR(MATCH(139,$M$8:$M$1207,0),"")</f>
        <v/>
      </c>
      <c r="V146" s="3">
        <f>IF(U146="","",INDEX(tblOrdenes[dia_semana],U146))</f>
        <v/>
      </c>
      <c r="W146" s="3">
        <f>IF(U146="","",IF(V146&lt;&gt;V145,CHAR(10)&amp;UPPER(LEFT(V146,1))&amp;MID(V146,2,20)&amp;":"&amp;CHAR(10),"")&amp;"   "&amp;IF(INDEX(tblOrdenes[turno_asignado],U146)="","(s/t)",INDEX(tblOrdenes[turno_asignado],U146))&amp;" · "&amp;IF(INDEX(tblOrdenes[tecnico_asignado],U146)="","(sin técnico)",INDEX(tblOrdenes[tecnico_asignado],U146))&amp;" · "&amp;INDEX(tblOrdenes[id_operacion],U146)&amp;" — "&amp;INDEX(tblOrdenes[descripcion_operacion],U146)&amp;" ("&amp;TEXT(INDEX(tblOrdenes[horas_efectivas],U146),"0.#")&amp;" h)")</f>
        <v/>
      </c>
    </row>
    <row r="147">
      <c r="K147" s="3">
        <f>IF(AND(IF($B$3="(todos)",TRUE,'ORDENES'!$O143=$B$3),IF($D$3="(todos)",TRUE,'ORDENES'!$AF143=$D$3),IF($F$3="(todos)",TRUE,'ORDENES'!$X143=$F$3),IF($H$3="(todos)",TRUE,'ORDENES'!$W143=$H$3),'ORDENES'!$AD143=TRUE,'ORDENES'!$A143&lt;&gt;""),1,0)</f>
        <v/>
      </c>
      <c r="L147" s="3">
        <f>IF(K147=1,IFERROR(MATCH('ORDENES'!$R143,lista_dias,0),9)*1000000000+IFERROR(MATCH('ORDENES'!$AF143,lista_turnos,0),9)*10000000+IFERROR(MATCH('ORDENES'!$AE143,tblTecnicos[nombre],0),99)*100000+140,9000000000000+140)</f>
        <v/>
      </c>
      <c r="M147" s="3">
        <f>IF(K147=1,SUMPRODUCT(--($L$8:$L$1207&lt;L147))+1,"")</f>
        <v/>
      </c>
      <c r="N147" s="17">
        <f>IF(K147=1,N('ORDENES'!$M143),0)</f>
        <v/>
      </c>
      <c r="O147" s="17">
        <f>IF('ORDENES'!$T143="preventiva",N147,0)</f>
        <v/>
      </c>
      <c r="P147" s="17">
        <f>IF('ORDENES'!$T143="correctiva",N147,0)</f>
        <v/>
      </c>
      <c r="Q147" s="3">
        <f>IF(AND(K147=1,'ORDENES'!$N143="Pendiente"),1,0)</f>
        <v/>
      </c>
      <c r="R147" s="3">
        <f>IF(Q147=1,100000-N147*1000+140*0.01,9000000000000+140)</f>
        <v/>
      </c>
      <c r="S147" s="3">
        <f>IF(Q147=1,SUMPRODUCT(--($R$8:$R$1207&lt;R147))+1,"")</f>
        <v/>
      </c>
      <c r="T147" s="12">
        <f>IF(K147=1,'ORDENES'!$J143,"")</f>
        <v/>
      </c>
      <c r="U147" s="3">
        <f>IFERROR(MATCH(140,$M$8:$M$1207,0),"")</f>
        <v/>
      </c>
      <c r="V147" s="3">
        <f>IF(U147="","",INDEX(tblOrdenes[dia_semana],U147))</f>
        <v/>
      </c>
      <c r="W147" s="3">
        <f>IF(U147="","",IF(V147&lt;&gt;V146,CHAR(10)&amp;UPPER(LEFT(V147,1))&amp;MID(V147,2,20)&amp;":"&amp;CHAR(10),"")&amp;"   "&amp;IF(INDEX(tblOrdenes[turno_asignado],U147)="","(s/t)",INDEX(tblOrdenes[turno_asignado],U147))&amp;" · "&amp;IF(INDEX(tblOrdenes[tecnico_asignado],U147)="","(sin técnico)",INDEX(tblOrdenes[tecnico_asignado],U147))&amp;" · "&amp;INDEX(tblOrdenes[id_operacion],U147)&amp;" — "&amp;INDEX(tblOrdenes[descripcion_operacion],U147)&amp;" ("&amp;TEXT(INDEX(tblOrdenes[horas_efectivas],U147),"0.#")&amp;" h)")</f>
        <v/>
      </c>
    </row>
    <row r="148">
      <c r="K148" s="3">
        <f>IF(AND(IF($B$3="(todos)",TRUE,'ORDENES'!$O144=$B$3),IF($D$3="(todos)",TRUE,'ORDENES'!$AF144=$D$3),IF($F$3="(todos)",TRUE,'ORDENES'!$X144=$F$3),IF($H$3="(todos)",TRUE,'ORDENES'!$W144=$H$3),'ORDENES'!$AD144=TRUE,'ORDENES'!$A144&lt;&gt;""),1,0)</f>
        <v/>
      </c>
      <c r="L148" s="3">
        <f>IF(K148=1,IFERROR(MATCH('ORDENES'!$R144,lista_dias,0),9)*1000000000+IFERROR(MATCH('ORDENES'!$AF144,lista_turnos,0),9)*10000000+IFERROR(MATCH('ORDENES'!$AE144,tblTecnicos[nombre],0),99)*100000+141,9000000000000+141)</f>
        <v/>
      </c>
      <c r="M148" s="3">
        <f>IF(K148=1,SUMPRODUCT(--($L$8:$L$1207&lt;L148))+1,"")</f>
        <v/>
      </c>
      <c r="N148" s="17">
        <f>IF(K148=1,N('ORDENES'!$M144),0)</f>
        <v/>
      </c>
      <c r="O148" s="17">
        <f>IF('ORDENES'!$T144="preventiva",N148,0)</f>
        <v/>
      </c>
      <c r="P148" s="17">
        <f>IF('ORDENES'!$T144="correctiva",N148,0)</f>
        <v/>
      </c>
      <c r="Q148" s="3">
        <f>IF(AND(K148=1,'ORDENES'!$N144="Pendiente"),1,0)</f>
        <v/>
      </c>
      <c r="R148" s="3">
        <f>IF(Q148=1,100000-N148*1000+141*0.01,9000000000000+141)</f>
        <v/>
      </c>
      <c r="S148" s="3">
        <f>IF(Q148=1,SUMPRODUCT(--($R$8:$R$1207&lt;R148))+1,"")</f>
        <v/>
      </c>
      <c r="T148" s="12">
        <f>IF(K148=1,'ORDENES'!$J144,"")</f>
        <v/>
      </c>
      <c r="U148" s="3">
        <f>IFERROR(MATCH(141,$M$8:$M$1207,0),"")</f>
        <v/>
      </c>
      <c r="V148" s="3">
        <f>IF(U148="","",INDEX(tblOrdenes[dia_semana],U148))</f>
        <v/>
      </c>
      <c r="W148" s="3">
        <f>IF(U148="","",IF(V148&lt;&gt;V147,CHAR(10)&amp;UPPER(LEFT(V148,1))&amp;MID(V148,2,20)&amp;":"&amp;CHAR(10),"")&amp;"   "&amp;IF(INDEX(tblOrdenes[turno_asignado],U148)="","(s/t)",INDEX(tblOrdenes[turno_asignado],U148))&amp;" · "&amp;IF(INDEX(tblOrdenes[tecnico_asignado],U148)="","(sin técnico)",INDEX(tblOrdenes[tecnico_asignado],U148))&amp;" · "&amp;INDEX(tblOrdenes[id_operacion],U148)&amp;" — "&amp;INDEX(tblOrdenes[descripcion_operacion],U148)&amp;" ("&amp;TEXT(INDEX(tblOrdenes[horas_efectivas],U148),"0.#")&amp;" h)")</f>
        <v/>
      </c>
    </row>
    <row r="149">
      <c r="K149" s="3">
        <f>IF(AND(IF($B$3="(todos)",TRUE,'ORDENES'!$O145=$B$3),IF($D$3="(todos)",TRUE,'ORDENES'!$AF145=$D$3),IF($F$3="(todos)",TRUE,'ORDENES'!$X145=$F$3),IF($H$3="(todos)",TRUE,'ORDENES'!$W145=$H$3),'ORDENES'!$AD145=TRUE,'ORDENES'!$A145&lt;&gt;""),1,0)</f>
        <v/>
      </c>
      <c r="L149" s="3">
        <f>IF(K149=1,IFERROR(MATCH('ORDENES'!$R145,lista_dias,0),9)*1000000000+IFERROR(MATCH('ORDENES'!$AF145,lista_turnos,0),9)*10000000+IFERROR(MATCH('ORDENES'!$AE145,tblTecnicos[nombre],0),99)*100000+142,9000000000000+142)</f>
        <v/>
      </c>
      <c r="M149" s="3">
        <f>IF(K149=1,SUMPRODUCT(--($L$8:$L$1207&lt;L149))+1,"")</f>
        <v/>
      </c>
      <c r="N149" s="17">
        <f>IF(K149=1,N('ORDENES'!$M145),0)</f>
        <v/>
      </c>
      <c r="O149" s="17">
        <f>IF('ORDENES'!$T145="preventiva",N149,0)</f>
        <v/>
      </c>
      <c r="P149" s="17">
        <f>IF('ORDENES'!$T145="correctiva",N149,0)</f>
        <v/>
      </c>
      <c r="Q149" s="3">
        <f>IF(AND(K149=1,'ORDENES'!$N145="Pendiente"),1,0)</f>
        <v/>
      </c>
      <c r="R149" s="3">
        <f>IF(Q149=1,100000-N149*1000+142*0.01,9000000000000+142)</f>
        <v/>
      </c>
      <c r="S149" s="3">
        <f>IF(Q149=1,SUMPRODUCT(--($R$8:$R$1207&lt;R149))+1,"")</f>
        <v/>
      </c>
      <c r="T149" s="12">
        <f>IF(K149=1,'ORDENES'!$J145,"")</f>
        <v/>
      </c>
      <c r="U149" s="3">
        <f>IFERROR(MATCH(142,$M$8:$M$1207,0),"")</f>
        <v/>
      </c>
      <c r="V149" s="3">
        <f>IF(U149="","",INDEX(tblOrdenes[dia_semana],U149))</f>
        <v/>
      </c>
      <c r="W149" s="3">
        <f>IF(U149="","",IF(V149&lt;&gt;V148,CHAR(10)&amp;UPPER(LEFT(V149,1))&amp;MID(V149,2,20)&amp;":"&amp;CHAR(10),"")&amp;"   "&amp;IF(INDEX(tblOrdenes[turno_asignado],U149)="","(s/t)",INDEX(tblOrdenes[turno_asignado],U149))&amp;" · "&amp;IF(INDEX(tblOrdenes[tecnico_asignado],U149)="","(sin técnico)",INDEX(tblOrdenes[tecnico_asignado],U149))&amp;" · "&amp;INDEX(tblOrdenes[id_operacion],U149)&amp;" — "&amp;INDEX(tblOrdenes[descripcion_operacion],U149)&amp;" ("&amp;TEXT(INDEX(tblOrdenes[horas_efectivas],U149),"0.#")&amp;" h)")</f>
        <v/>
      </c>
    </row>
    <row r="150">
      <c r="K150" s="3">
        <f>IF(AND(IF($B$3="(todos)",TRUE,'ORDENES'!$O146=$B$3),IF($D$3="(todos)",TRUE,'ORDENES'!$AF146=$D$3),IF($F$3="(todos)",TRUE,'ORDENES'!$X146=$F$3),IF($H$3="(todos)",TRUE,'ORDENES'!$W146=$H$3),'ORDENES'!$AD146=TRUE,'ORDENES'!$A146&lt;&gt;""),1,0)</f>
        <v/>
      </c>
      <c r="L150" s="3">
        <f>IF(K150=1,IFERROR(MATCH('ORDENES'!$R146,lista_dias,0),9)*1000000000+IFERROR(MATCH('ORDENES'!$AF146,lista_turnos,0),9)*10000000+IFERROR(MATCH('ORDENES'!$AE146,tblTecnicos[nombre],0),99)*100000+143,9000000000000+143)</f>
        <v/>
      </c>
      <c r="M150" s="3">
        <f>IF(K150=1,SUMPRODUCT(--($L$8:$L$1207&lt;L150))+1,"")</f>
        <v/>
      </c>
      <c r="N150" s="17">
        <f>IF(K150=1,N('ORDENES'!$M146),0)</f>
        <v/>
      </c>
      <c r="O150" s="17">
        <f>IF('ORDENES'!$T146="preventiva",N150,0)</f>
        <v/>
      </c>
      <c r="P150" s="17">
        <f>IF('ORDENES'!$T146="correctiva",N150,0)</f>
        <v/>
      </c>
      <c r="Q150" s="3">
        <f>IF(AND(K150=1,'ORDENES'!$N146="Pendiente"),1,0)</f>
        <v/>
      </c>
      <c r="R150" s="3">
        <f>IF(Q150=1,100000-N150*1000+143*0.01,9000000000000+143)</f>
        <v/>
      </c>
      <c r="S150" s="3">
        <f>IF(Q150=1,SUMPRODUCT(--($R$8:$R$1207&lt;R150))+1,"")</f>
        <v/>
      </c>
      <c r="T150" s="12">
        <f>IF(K150=1,'ORDENES'!$J146,"")</f>
        <v/>
      </c>
      <c r="U150" s="3">
        <f>IFERROR(MATCH(143,$M$8:$M$1207,0),"")</f>
        <v/>
      </c>
      <c r="V150" s="3">
        <f>IF(U150="","",INDEX(tblOrdenes[dia_semana],U150))</f>
        <v/>
      </c>
      <c r="W150" s="3">
        <f>IF(U150="","",IF(V150&lt;&gt;V149,CHAR(10)&amp;UPPER(LEFT(V150,1))&amp;MID(V150,2,20)&amp;":"&amp;CHAR(10),"")&amp;"   "&amp;IF(INDEX(tblOrdenes[turno_asignado],U150)="","(s/t)",INDEX(tblOrdenes[turno_asignado],U150))&amp;" · "&amp;IF(INDEX(tblOrdenes[tecnico_asignado],U150)="","(sin técnico)",INDEX(tblOrdenes[tecnico_asignado],U150))&amp;" · "&amp;INDEX(tblOrdenes[id_operacion],U150)&amp;" — "&amp;INDEX(tblOrdenes[descripcion_operacion],U150)&amp;" ("&amp;TEXT(INDEX(tblOrdenes[horas_efectivas],U150),"0.#")&amp;" h)")</f>
        <v/>
      </c>
    </row>
    <row r="151">
      <c r="K151" s="3">
        <f>IF(AND(IF($B$3="(todos)",TRUE,'ORDENES'!$O147=$B$3),IF($D$3="(todos)",TRUE,'ORDENES'!$AF147=$D$3),IF($F$3="(todos)",TRUE,'ORDENES'!$X147=$F$3),IF($H$3="(todos)",TRUE,'ORDENES'!$W147=$H$3),'ORDENES'!$AD147=TRUE,'ORDENES'!$A147&lt;&gt;""),1,0)</f>
        <v/>
      </c>
      <c r="L151" s="3">
        <f>IF(K151=1,IFERROR(MATCH('ORDENES'!$R147,lista_dias,0),9)*1000000000+IFERROR(MATCH('ORDENES'!$AF147,lista_turnos,0),9)*10000000+IFERROR(MATCH('ORDENES'!$AE147,tblTecnicos[nombre],0),99)*100000+144,9000000000000+144)</f>
        <v/>
      </c>
      <c r="M151" s="3">
        <f>IF(K151=1,SUMPRODUCT(--($L$8:$L$1207&lt;L151))+1,"")</f>
        <v/>
      </c>
      <c r="N151" s="17">
        <f>IF(K151=1,N('ORDENES'!$M147),0)</f>
        <v/>
      </c>
      <c r="O151" s="17">
        <f>IF('ORDENES'!$T147="preventiva",N151,0)</f>
        <v/>
      </c>
      <c r="P151" s="17">
        <f>IF('ORDENES'!$T147="correctiva",N151,0)</f>
        <v/>
      </c>
      <c r="Q151" s="3">
        <f>IF(AND(K151=1,'ORDENES'!$N147="Pendiente"),1,0)</f>
        <v/>
      </c>
      <c r="R151" s="3">
        <f>IF(Q151=1,100000-N151*1000+144*0.01,9000000000000+144)</f>
        <v/>
      </c>
      <c r="S151" s="3">
        <f>IF(Q151=1,SUMPRODUCT(--($R$8:$R$1207&lt;R151))+1,"")</f>
        <v/>
      </c>
      <c r="T151" s="12">
        <f>IF(K151=1,'ORDENES'!$J147,"")</f>
        <v/>
      </c>
      <c r="U151" s="3">
        <f>IFERROR(MATCH(144,$M$8:$M$1207,0),"")</f>
        <v/>
      </c>
      <c r="V151" s="3">
        <f>IF(U151="","",INDEX(tblOrdenes[dia_semana],U151))</f>
        <v/>
      </c>
      <c r="W151" s="3">
        <f>IF(U151="","",IF(V151&lt;&gt;V150,CHAR(10)&amp;UPPER(LEFT(V151,1))&amp;MID(V151,2,20)&amp;":"&amp;CHAR(10),"")&amp;"   "&amp;IF(INDEX(tblOrdenes[turno_asignado],U151)="","(s/t)",INDEX(tblOrdenes[turno_asignado],U151))&amp;" · "&amp;IF(INDEX(tblOrdenes[tecnico_asignado],U151)="","(sin técnico)",INDEX(tblOrdenes[tecnico_asignado],U151))&amp;" · "&amp;INDEX(tblOrdenes[id_operacion],U151)&amp;" — "&amp;INDEX(tblOrdenes[descripcion_operacion],U151)&amp;" ("&amp;TEXT(INDEX(tblOrdenes[horas_efectivas],U151),"0.#")&amp;" h)")</f>
        <v/>
      </c>
    </row>
    <row r="152">
      <c r="K152" s="3">
        <f>IF(AND(IF($B$3="(todos)",TRUE,'ORDENES'!$O148=$B$3),IF($D$3="(todos)",TRUE,'ORDENES'!$AF148=$D$3),IF($F$3="(todos)",TRUE,'ORDENES'!$X148=$F$3),IF($H$3="(todos)",TRUE,'ORDENES'!$W148=$H$3),'ORDENES'!$AD148=TRUE,'ORDENES'!$A148&lt;&gt;""),1,0)</f>
        <v/>
      </c>
      <c r="L152" s="3">
        <f>IF(K152=1,IFERROR(MATCH('ORDENES'!$R148,lista_dias,0),9)*1000000000+IFERROR(MATCH('ORDENES'!$AF148,lista_turnos,0),9)*10000000+IFERROR(MATCH('ORDENES'!$AE148,tblTecnicos[nombre],0),99)*100000+145,9000000000000+145)</f>
        <v/>
      </c>
      <c r="M152" s="3">
        <f>IF(K152=1,SUMPRODUCT(--($L$8:$L$1207&lt;L152))+1,"")</f>
        <v/>
      </c>
      <c r="N152" s="17">
        <f>IF(K152=1,N('ORDENES'!$M148),0)</f>
        <v/>
      </c>
      <c r="O152" s="17">
        <f>IF('ORDENES'!$T148="preventiva",N152,0)</f>
        <v/>
      </c>
      <c r="P152" s="17">
        <f>IF('ORDENES'!$T148="correctiva",N152,0)</f>
        <v/>
      </c>
      <c r="Q152" s="3">
        <f>IF(AND(K152=1,'ORDENES'!$N148="Pendiente"),1,0)</f>
        <v/>
      </c>
      <c r="R152" s="3">
        <f>IF(Q152=1,100000-N152*1000+145*0.01,9000000000000+145)</f>
        <v/>
      </c>
      <c r="S152" s="3">
        <f>IF(Q152=1,SUMPRODUCT(--($R$8:$R$1207&lt;R152))+1,"")</f>
        <v/>
      </c>
      <c r="T152" s="12">
        <f>IF(K152=1,'ORDENES'!$J148,"")</f>
        <v/>
      </c>
      <c r="U152" s="3">
        <f>IFERROR(MATCH(145,$M$8:$M$1207,0),"")</f>
        <v/>
      </c>
      <c r="V152" s="3">
        <f>IF(U152="","",INDEX(tblOrdenes[dia_semana],U152))</f>
        <v/>
      </c>
      <c r="W152" s="3">
        <f>IF(U152="","",IF(V152&lt;&gt;V151,CHAR(10)&amp;UPPER(LEFT(V152,1))&amp;MID(V152,2,20)&amp;":"&amp;CHAR(10),"")&amp;"   "&amp;IF(INDEX(tblOrdenes[turno_asignado],U152)="","(s/t)",INDEX(tblOrdenes[turno_asignado],U152))&amp;" · "&amp;IF(INDEX(tblOrdenes[tecnico_asignado],U152)="","(sin técnico)",INDEX(tblOrdenes[tecnico_asignado],U152))&amp;" · "&amp;INDEX(tblOrdenes[id_operacion],U152)&amp;" — "&amp;INDEX(tblOrdenes[descripcion_operacion],U152)&amp;" ("&amp;TEXT(INDEX(tblOrdenes[horas_efectivas],U152),"0.#")&amp;" h)")</f>
        <v/>
      </c>
    </row>
    <row r="153">
      <c r="K153" s="3">
        <f>IF(AND(IF($B$3="(todos)",TRUE,'ORDENES'!$O149=$B$3),IF($D$3="(todos)",TRUE,'ORDENES'!$AF149=$D$3),IF($F$3="(todos)",TRUE,'ORDENES'!$X149=$F$3),IF($H$3="(todos)",TRUE,'ORDENES'!$W149=$H$3),'ORDENES'!$AD149=TRUE,'ORDENES'!$A149&lt;&gt;""),1,0)</f>
        <v/>
      </c>
      <c r="L153" s="3">
        <f>IF(K153=1,IFERROR(MATCH('ORDENES'!$R149,lista_dias,0),9)*1000000000+IFERROR(MATCH('ORDENES'!$AF149,lista_turnos,0),9)*10000000+IFERROR(MATCH('ORDENES'!$AE149,tblTecnicos[nombre],0),99)*100000+146,9000000000000+146)</f>
        <v/>
      </c>
      <c r="M153" s="3">
        <f>IF(K153=1,SUMPRODUCT(--($L$8:$L$1207&lt;L153))+1,"")</f>
        <v/>
      </c>
      <c r="N153" s="17">
        <f>IF(K153=1,N('ORDENES'!$M149),0)</f>
        <v/>
      </c>
      <c r="O153" s="17">
        <f>IF('ORDENES'!$T149="preventiva",N153,0)</f>
        <v/>
      </c>
      <c r="P153" s="17">
        <f>IF('ORDENES'!$T149="correctiva",N153,0)</f>
        <v/>
      </c>
      <c r="Q153" s="3">
        <f>IF(AND(K153=1,'ORDENES'!$N149="Pendiente"),1,0)</f>
        <v/>
      </c>
      <c r="R153" s="3">
        <f>IF(Q153=1,100000-N153*1000+146*0.01,9000000000000+146)</f>
        <v/>
      </c>
      <c r="S153" s="3">
        <f>IF(Q153=1,SUMPRODUCT(--($R$8:$R$1207&lt;R153))+1,"")</f>
        <v/>
      </c>
      <c r="T153" s="12">
        <f>IF(K153=1,'ORDENES'!$J149,"")</f>
        <v/>
      </c>
      <c r="U153" s="3">
        <f>IFERROR(MATCH(146,$M$8:$M$1207,0),"")</f>
        <v/>
      </c>
      <c r="V153" s="3">
        <f>IF(U153="","",INDEX(tblOrdenes[dia_semana],U153))</f>
        <v/>
      </c>
      <c r="W153" s="3">
        <f>IF(U153="","",IF(V153&lt;&gt;V152,CHAR(10)&amp;UPPER(LEFT(V153,1))&amp;MID(V153,2,20)&amp;":"&amp;CHAR(10),"")&amp;"   "&amp;IF(INDEX(tblOrdenes[turno_asignado],U153)="","(s/t)",INDEX(tblOrdenes[turno_asignado],U153))&amp;" · "&amp;IF(INDEX(tblOrdenes[tecnico_asignado],U153)="","(sin técnico)",INDEX(tblOrdenes[tecnico_asignado],U153))&amp;" · "&amp;INDEX(tblOrdenes[id_operacion],U153)&amp;" — "&amp;INDEX(tblOrdenes[descripcion_operacion],U153)&amp;" ("&amp;TEXT(INDEX(tblOrdenes[horas_efectivas],U153),"0.#")&amp;" h)")</f>
        <v/>
      </c>
    </row>
    <row r="154">
      <c r="K154" s="3">
        <f>IF(AND(IF($B$3="(todos)",TRUE,'ORDENES'!$O150=$B$3),IF($D$3="(todos)",TRUE,'ORDENES'!$AF150=$D$3),IF($F$3="(todos)",TRUE,'ORDENES'!$X150=$F$3),IF($H$3="(todos)",TRUE,'ORDENES'!$W150=$H$3),'ORDENES'!$AD150=TRUE,'ORDENES'!$A150&lt;&gt;""),1,0)</f>
        <v/>
      </c>
      <c r="L154" s="3">
        <f>IF(K154=1,IFERROR(MATCH('ORDENES'!$R150,lista_dias,0),9)*1000000000+IFERROR(MATCH('ORDENES'!$AF150,lista_turnos,0),9)*10000000+IFERROR(MATCH('ORDENES'!$AE150,tblTecnicos[nombre],0),99)*100000+147,9000000000000+147)</f>
        <v/>
      </c>
      <c r="M154" s="3">
        <f>IF(K154=1,SUMPRODUCT(--($L$8:$L$1207&lt;L154))+1,"")</f>
        <v/>
      </c>
      <c r="N154" s="17">
        <f>IF(K154=1,N('ORDENES'!$M150),0)</f>
        <v/>
      </c>
      <c r="O154" s="17">
        <f>IF('ORDENES'!$T150="preventiva",N154,0)</f>
        <v/>
      </c>
      <c r="P154" s="17">
        <f>IF('ORDENES'!$T150="correctiva",N154,0)</f>
        <v/>
      </c>
      <c r="Q154" s="3">
        <f>IF(AND(K154=1,'ORDENES'!$N150="Pendiente"),1,0)</f>
        <v/>
      </c>
      <c r="R154" s="3">
        <f>IF(Q154=1,100000-N154*1000+147*0.01,9000000000000+147)</f>
        <v/>
      </c>
      <c r="S154" s="3">
        <f>IF(Q154=1,SUMPRODUCT(--($R$8:$R$1207&lt;R154))+1,"")</f>
        <v/>
      </c>
      <c r="T154" s="12">
        <f>IF(K154=1,'ORDENES'!$J150,"")</f>
        <v/>
      </c>
      <c r="U154" s="3">
        <f>IFERROR(MATCH(147,$M$8:$M$1207,0),"")</f>
        <v/>
      </c>
      <c r="V154" s="3">
        <f>IF(U154="","",INDEX(tblOrdenes[dia_semana],U154))</f>
        <v/>
      </c>
      <c r="W154" s="3">
        <f>IF(U154="","",IF(V154&lt;&gt;V153,CHAR(10)&amp;UPPER(LEFT(V154,1))&amp;MID(V154,2,20)&amp;":"&amp;CHAR(10),"")&amp;"   "&amp;IF(INDEX(tblOrdenes[turno_asignado],U154)="","(s/t)",INDEX(tblOrdenes[turno_asignado],U154))&amp;" · "&amp;IF(INDEX(tblOrdenes[tecnico_asignado],U154)="","(sin técnico)",INDEX(tblOrdenes[tecnico_asignado],U154))&amp;" · "&amp;INDEX(tblOrdenes[id_operacion],U154)&amp;" — "&amp;INDEX(tblOrdenes[descripcion_operacion],U154)&amp;" ("&amp;TEXT(INDEX(tblOrdenes[horas_efectivas],U154),"0.#")&amp;" h)")</f>
        <v/>
      </c>
    </row>
    <row r="155">
      <c r="K155" s="3">
        <f>IF(AND(IF($B$3="(todos)",TRUE,'ORDENES'!$O151=$B$3),IF($D$3="(todos)",TRUE,'ORDENES'!$AF151=$D$3),IF($F$3="(todos)",TRUE,'ORDENES'!$X151=$F$3),IF($H$3="(todos)",TRUE,'ORDENES'!$W151=$H$3),'ORDENES'!$AD151=TRUE,'ORDENES'!$A151&lt;&gt;""),1,0)</f>
        <v/>
      </c>
      <c r="L155" s="3">
        <f>IF(K155=1,IFERROR(MATCH('ORDENES'!$R151,lista_dias,0),9)*1000000000+IFERROR(MATCH('ORDENES'!$AF151,lista_turnos,0),9)*10000000+IFERROR(MATCH('ORDENES'!$AE151,tblTecnicos[nombre],0),99)*100000+148,9000000000000+148)</f>
        <v/>
      </c>
      <c r="M155" s="3">
        <f>IF(K155=1,SUMPRODUCT(--($L$8:$L$1207&lt;L155))+1,"")</f>
        <v/>
      </c>
      <c r="N155" s="17">
        <f>IF(K155=1,N('ORDENES'!$M151),0)</f>
        <v/>
      </c>
      <c r="O155" s="17">
        <f>IF('ORDENES'!$T151="preventiva",N155,0)</f>
        <v/>
      </c>
      <c r="P155" s="17">
        <f>IF('ORDENES'!$T151="correctiva",N155,0)</f>
        <v/>
      </c>
      <c r="Q155" s="3">
        <f>IF(AND(K155=1,'ORDENES'!$N151="Pendiente"),1,0)</f>
        <v/>
      </c>
      <c r="R155" s="3">
        <f>IF(Q155=1,100000-N155*1000+148*0.01,9000000000000+148)</f>
        <v/>
      </c>
      <c r="S155" s="3">
        <f>IF(Q155=1,SUMPRODUCT(--($R$8:$R$1207&lt;R155))+1,"")</f>
        <v/>
      </c>
      <c r="T155" s="12">
        <f>IF(K155=1,'ORDENES'!$J151,"")</f>
        <v/>
      </c>
      <c r="U155" s="3">
        <f>IFERROR(MATCH(148,$M$8:$M$1207,0),"")</f>
        <v/>
      </c>
      <c r="V155" s="3">
        <f>IF(U155="","",INDEX(tblOrdenes[dia_semana],U155))</f>
        <v/>
      </c>
      <c r="W155" s="3">
        <f>IF(U155="","",IF(V155&lt;&gt;V154,CHAR(10)&amp;UPPER(LEFT(V155,1))&amp;MID(V155,2,20)&amp;":"&amp;CHAR(10),"")&amp;"   "&amp;IF(INDEX(tblOrdenes[turno_asignado],U155)="","(s/t)",INDEX(tblOrdenes[turno_asignado],U155))&amp;" · "&amp;IF(INDEX(tblOrdenes[tecnico_asignado],U155)="","(sin técnico)",INDEX(tblOrdenes[tecnico_asignado],U155))&amp;" · "&amp;INDEX(tblOrdenes[id_operacion],U155)&amp;" — "&amp;INDEX(tblOrdenes[descripcion_operacion],U155)&amp;" ("&amp;TEXT(INDEX(tblOrdenes[horas_efectivas],U155),"0.#")&amp;" h)")</f>
        <v/>
      </c>
    </row>
    <row r="156">
      <c r="K156" s="3">
        <f>IF(AND(IF($B$3="(todos)",TRUE,'ORDENES'!$O152=$B$3),IF($D$3="(todos)",TRUE,'ORDENES'!$AF152=$D$3),IF($F$3="(todos)",TRUE,'ORDENES'!$X152=$F$3),IF($H$3="(todos)",TRUE,'ORDENES'!$W152=$H$3),'ORDENES'!$AD152=TRUE,'ORDENES'!$A152&lt;&gt;""),1,0)</f>
        <v/>
      </c>
      <c r="L156" s="3">
        <f>IF(K156=1,IFERROR(MATCH('ORDENES'!$R152,lista_dias,0),9)*1000000000+IFERROR(MATCH('ORDENES'!$AF152,lista_turnos,0),9)*10000000+IFERROR(MATCH('ORDENES'!$AE152,tblTecnicos[nombre],0),99)*100000+149,9000000000000+149)</f>
        <v/>
      </c>
      <c r="M156" s="3">
        <f>IF(K156=1,SUMPRODUCT(--($L$8:$L$1207&lt;L156))+1,"")</f>
        <v/>
      </c>
      <c r="N156" s="17">
        <f>IF(K156=1,N('ORDENES'!$M152),0)</f>
        <v/>
      </c>
      <c r="O156" s="17">
        <f>IF('ORDENES'!$T152="preventiva",N156,0)</f>
        <v/>
      </c>
      <c r="P156" s="17">
        <f>IF('ORDENES'!$T152="correctiva",N156,0)</f>
        <v/>
      </c>
      <c r="Q156" s="3">
        <f>IF(AND(K156=1,'ORDENES'!$N152="Pendiente"),1,0)</f>
        <v/>
      </c>
      <c r="R156" s="3">
        <f>IF(Q156=1,100000-N156*1000+149*0.01,9000000000000+149)</f>
        <v/>
      </c>
      <c r="S156" s="3">
        <f>IF(Q156=1,SUMPRODUCT(--($R$8:$R$1207&lt;R156))+1,"")</f>
        <v/>
      </c>
      <c r="T156" s="12">
        <f>IF(K156=1,'ORDENES'!$J152,"")</f>
        <v/>
      </c>
      <c r="U156" s="3">
        <f>IFERROR(MATCH(149,$M$8:$M$1207,0),"")</f>
        <v/>
      </c>
      <c r="V156" s="3">
        <f>IF(U156="","",INDEX(tblOrdenes[dia_semana],U156))</f>
        <v/>
      </c>
      <c r="W156" s="3">
        <f>IF(U156="","",IF(V156&lt;&gt;V155,CHAR(10)&amp;UPPER(LEFT(V156,1))&amp;MID(V156,2,20)&amp;":"&amp;CHAR(10),"")&amp;"   "&amp;IF(INDEX(tblOrdenes[turno_asignado],U156)="","(s/t)",INDEX(tblOrdenes[turno_asignado],U156))&amp;" · "&amp;IF(INDEX(tblOrdenes[tecnico_asignado],U156)="","(sin técnico)",INDEX(tblOrdenes[tecnico_asignado],U156))&amp;" · "&amp;INDEX(tblOrdenes[id_operacion],U156)&amp;" — "&amp;INDEX(tblOrdenes[descripcion_operacion],U156)&amp;" ("&amp;TEXT(INDEX(tblOrdenes[horas_efectivas],U156),"0.#")&amp;" h)")</f>
        <v/>
      </c>
    </row>
    <row r="157">
      <c r="K157" s="3">
        <f>IF(AND(IF($B$3="(todos)",TRUE,'ORDENES'!$O153=$B$3),IF($D$3="(todos)",TRUE,'ORDENES'!$AF153=$D$3),IF($F$3="(todos)",TRUE,'ORDENES'!$X153=$F$3),IF($H$3="(todos)",TRUE,'ORDENES'!$W153=$H$3),'ORDENES'!$AD153=TRUE,'ORDENES'!$A153&lt;&gt;""),1,0)</f>
        <v/>
      </c>
      <c r="L157" s="3">
        <f>IF(K157=1,IFERROR(MATCH('ORDENES'!$R153,lista_dias,0),9)*1000000000+IFERROR(MATCH('ORDENES'!$AF153,lista_turnos,0),9)*10000000+IFERROR(MATCH('ORDENES'!$AE153,tblTecnicos[nombre],0),99)*100000+150,9000000000000+150)</f>
        <v/>
      </c>
      <c r="M157" s="3">
        <f>IF(K157=1,SUMPRODUCT(--($L$8:$L$1207&lt;L157))+1,"")</f>
        <v/>
      </c>
      <c r="N157" s="17">
        <f>IF(K157=1,N('ORDENES'!$M153),0)</f>
        <v/>
      </c>
      <c r="O157" s="17">
        <f>IF('ORDENES'!$T153="preventiva",N157,0)</f>
        <v/>
      </c>
      <c r="P157" s="17">
        <f>IF('ORDENES'!$T153="correctiva",N157,0)</f>
        <v/>
      </c>
      <c r="Q157" s="3">
        <f>IF(AND(K157=1,'ORDENES'!$N153="Pendiente"),1,0)</f>
        <v/>
      </c>
      <c r="R157" s="3">
        <f>IF(Q157=1,100000-N157*1000+150*0.01,9000000000000+150)</f>
        <v/>
      </c>
      <c r="S157" s="3">
        <f>IF(Q157=1,SUMPRODUCT(--($R$8:$R$1207&lt;R157))+1,"")</f>
        <v/>
      </c>
      <c r="T157" s="12">
        <f>IF(K157=1,'ORDENES'!$J153,"")</f>
        <v/>
      </c>
      <c r="U157" s="3">
        <f>IFERROR(MATCH(150,$M$8:$M$1207,0),"")</f>
        <v/>
      </c>
      <c r="V157" s="3">
        <f>IF(U157="","",INDEX(tblOrdenes[dia_semana],U157))</f>
        <v/>
      </c>
      <c r="W157" s="3">
        <f>IF(U157="","",IF(V157&lt;&gt;V156,CHAR(10)&amp;UPPER(LEFT(V157,1))&amp;MID(V157,2,20)&amp;":"&amp;CHAR(10),"")&amp;"   "&amp;IF(INDEX(tblOrdenes[turno_asignado],U157)="","(s/t)",INDEX(tblOrdenes[turno_asignado],U157))&amp;" · "&amp;IF(INDEX(tblOrdenes[tecnico_asignado],U157)="","(sin técnico)",INDEX(tblOrdenes[tecnico_asignado],U157))&amp;" · "&amp;INDEX(tblOrdenes[id_operacion],U157)&amp;" — "&amp;INDEX(tblOrdenes[descripcion_operacion],U157)&amp;" ("&amp;TEXT(INDEX(tblOrdenes[horas_efectivas],U157),"0.#")&amp;" h)")</f>
        <v/>
      </c>
    </row>
    <row r="158">
      <c r="K158" s="3">
        <f>IF(AND(IF($B$3="(todos)",TRUE,'ORDENES'!$O154=$B$3),IF($D$3="(todos)",TRUE,'ORDENES'!$AF154=$D$3),IF($F$3="(todos)",TRUE,'ORDENES'!$X154=$F$3),IF($H$3="(todos)",TRUE,'ORDENES'!$W154=$H$3),'ORDENES'!$AD154=TRUE,'ORDENES'!$A154&lt;&gt;""),1,0)</f>
        <v/>
      </c>
      <c r="L158" s="3">
        <f>IF(K158=1,IFERROR(MATCH('ORDENES'!$R154,lista_dias,0),9)*1000000000+IFERROR(MATCH('ORDENES'!$AF154,lista_turnos,0),9)*10000000+IFERROR(MATCH('ORDENES'!$AE154,tblTecnicos[nombre],0),99)*100000+151,9000000000000+151)</f>
        <v/>
      </c>
      <c r="M158" s="3">
        <f>IF(K158=1,SUMPRODUCT(--($L$8:$L$1207&lt;L158))+1,"")</f>
        <v/>
      </c>
      <c r="N158" s="17">
        <f>IF(K158=1,N('ORDENES'!$M154),0)</f>
        <v/>
      </c>
      <c r="O158" s="17">
        <f>IF('ORDENES'!$T154="preventiva",N158,0)</f>
        <v/>
      </c>
      <c r="P158" s="17">
        <f>IF('ORDENES'!$T154="correctiva",N158,0)</f>
        <v/>
      </c>
      <c r="Q158" s="3">
        <f>IF(AND(K158=1,'ORDENES'!$N154="Pendiente"),1,0)</f>
        <v/>
      </c>
      <c r="R158" s="3">
        <f>IF(Q158=1,100000-N158*1000+151*0.01,9000000000000+151)</f>
        <v/>
      </c>
      <c r="S158" s="3">
        <f>IF(Q158=1,SUMPRODUCT(--($R$8:$R$1207&lt;R158))+1,"")</f>
        <v/>
      </c>
      <c r="T158" s="12">
        <f>IF(K158=1,'ORDENES'!$J154,"")</f>
        <v/>
      </c>
      <c r="U158" s="3">
        <f>IFERROR(MATCH(151,$M$8:$M$1207,0),"")</f>
        <v/>
      </c>
      <c r="V158" s="3">
        <f>IF(U158="","",INDEX(tblOrdenes[dia_semana],U158))</f>
        <v/>
      </c>
      <c r="W158" s="3">
        <f>IF(U158="","",IF(V158&lt;&gt;V157,CHAR(10)&amp;UPPER(LEFT(V158,1))&amp;MID(V158,2,20)&amp;":"&amp;CHAR(10),"")&amp;"   "&amp;IF(INDEX(tblOrdenes[turno_asignado],U158)="","(s/t)",INDEX(tblOrdenes[turno_asignado],U158))&amp;" · "&amp;IF(INDEX(tblOrdenes[tecnico_asignado],U158)="","(sin técnico)",INDEX(tblOrdenes[tecnico_asignado],U158))&amp;" · "&amp;INDEX(tblOrdenes[id_operacion],U158)&amp;" — "&amp;INDEX(tblOrdenes[descripcion_operacion],U158)&amp;" ("&amp;TEXT(INDEX(tblOrdenes[horas_efectivas],U158),"0.#")&amp;" h)")</f>
        <v/>
      </c>
    </row>
    <row r="159">
      <c r="K159" s="3">
        <f>IF(AND(IF($B$3="(todos)",TRUE,'ORDENES'!$O155=$B$3),IF($D$3="(todos)",TRUE,'ORDENES'!$AF155=$D$3),IF($F$3="(todos)",TRUE,'ORDENES'!$X155=$F$3),IF($H$3="(todos)",TRUE,'ORDENES'!$W155=$H$3),'ORDENES'!$AD155=TRUE,'ORDENES'!$A155&lt;&gt;""),1,0)</f>
        <v/>
      </c>
      <c r="L159" s="3">
        <f>IF(K159=1,IFERROR(MATCH('ORDENES'!$R155,lista_dias,0),9)*1000000000+IFERROR(MATCH('ORDENES'!$AF155,lista_turnos,0),9)*10000000+IFERROR(MATCH('ORDENES'!$AE155,tblTecnicos[nombre],0),99)*100000+152,9000000000000+152)</f>
        <v/>
      </c>
      <c r="M159" s="3">
        <f>IF(K159=1,SUMPRODUCT(--($L$8:$L$1207&lt;L159))+1,"")</f>
        <v/>
      </c>
      <c r="N159" s="17">
        <f>IF(K159=1,N('ORDENES'!$M155),0)</f>
        <v/>
      </c>
      <c r="O159" s="17">
        <f>IF('ORDENES'!$T155="preventiva",N159,0)</f>
        <v/>
      </c>
      <c r="P159" s="17">
        <f>IF('ORDENES'!$T155="correctiva",N159,0)</f>
        <v/>
      </c>
      <c r="Q159" s="3">
        <f>IF(AND(K159=1,'ORDENES'!$N155="Pendiente"),1,0)</f>
        <v/>
      </c>
      <c r="R159" s="3">
        <f>IF(Q159=1,100000-N159*1000+152*0.01,9000000000000+152)</f>
        <v/>
      </c>
      <c r="S159" s="3">
        <f>IF(Q159=1,SUMPRODUCT(--($R$8:$R$1207&lt;R159))+1,"")</f>
        <v/>
      </c>
      <c r="T159" s="12">
        <f>IF(K159=1,'ORDENES'!$J155,"")</f>
        <v/>
      </c>
      <c r="U159" s="3">
        <f>IFERROR(MATCH(152,$M$8:$M$1207,0),"")</f>
        <v/>
      </c>
      <c r="V159" s="3">
        <f>IF(U159="","",INDEX(tblOrdenes[dia_semana],U159))</f>
        <v/>
      </c>
      <c r="W159" s="3">
        <f>IF(U159="","",IF(V159&lt;&gt;V158,CHAR(10)&amp;UPPER(LEFT(V159,1))&amp;MID(V159,2,20)&amp;":"&amp;CHAR(10),"")&amp;"   "&amp;IF(INDEX(tblOrdenes[turno_asignado],U159)="","(s/t)",INDEX(tblOrdenes[turno_asignado],U159))&amp;" · "&amp;IF(INDEX(tblOrdenes[tecnico_asignado],U159)="","(sin técnico)",INDEX(tblOrdenes[tecnico_asignado],U159))&amp;" · "&amp;INDEX(tblOrdenes[id_operacion],U159)&amp;" — "&amp;INDEX(tblOrdenes[descripcion_operacion],U159)&amp;" ("&amp;TEXT(INDEX(tblOrdenes[horas_efectivas],U159),"0.#")&amp;" h)")</f>
        <v/>
      </c>
    </row>
    <row r="160">
      <c r="K160" s="3">
        <f>IF(AND(IF($B$3="(todos)",TRUE,'ORDENES'!$O156=$B$3),IF($D$3="(todos)",TRUE,'ORDENES'!$AF156=$D$3),IF($F$3="(todos)",TRUE,'ORDENES'!$X156=$F$3),IF($H$3="(todos)",TRUE,'ORDENES'!$W156=$H$3),'ORDENES'!$AD156=TRUE,'ORDENES'!$A156&lt;&gt;""),1,0)</f>
        <v/>
      </c>
      <c r="L160" s="3">
        <f>IF(K160=1,IFERROR(MATCH('ORDENES'!$R156,lista_dias,0),9)*1000000000+IFERROR(MATCH('ORDENES'!$AF156,lista_turnos,0),9)*10000000+IFERROR(MATCH('ORDENES'!$AE156,tblTecnicos[nombre],0),99)*100000+153,9000000000000+153)</f>
        <v/>
      </c>
      <c r="M160" s="3">
        <f>IF(K160=1,SUMPRODUCT(--($L$8:$L$1207&lt;L160))+1,"")</f>
        <v/>
      </c>
      <c r="N160" s="17">
        <f>IF(K160=1,N('ORDENES'!$M156),0)</f>
        <v/>
      </c>
      <c r="O160" s="17">
        <f>IF('ORDENES'!$T156="preventiva",N160,0)</f>
        <v/>
      </c>
      <c r="P160" s="17">
        <f>IF('ORDENES'!$T156="correctiva",N160,0)</f>
        <v/>
      </c>
      <c r="Q160" s="3">
        <f>IF(AND(K160=1,'ORDENES'!$N156="Pendiente"),1,0)</f>
        <v/>
      </c>
      <c r="R160" s="3">
        <f>IF(Q160=1,100000-N160*1000+153*0.01,9000000000000+153)</f>
        <v/>
      </c>
      <c r="S160" s="3">
        <f>IF(Q160=1,SUMPRODUCT(--($R$8:$R$1207&lt;R160))+1,"")</f>
        <v/>
      </c>
      <c r="T160" s="12">
        <f>IF(K160=1,'ORDENES'!$J156,"")</f>
        <v/>
      </c>
      <c r="U160" s="3">
        <f>IFERROR(MATCH(153,$M$8:$M$1207,0),"")</f>
        <v/>
      </c>
      <c r="V160" s="3">
        <f>IF(U160="","",INDEX(tblOrdenes[dia_semana],U160))</f>
        <v/>
      </c>
      <c r="W160" s="3">
        <f>IF(U160="","",IF(V160&lt;&gt;V159,CHAR(10)&amp;UPPER(LEFT(V160,1))&amp;MID(V160,2,20)&amp;":"&amp;CHAR(10),"")&amp;"   "&amp;IF(INDEX(tblOrdenes[turno_asignado],U160)="","(s/t)",INDEX(tblOrdenes[turno_asignado],U160))&amp;" · "&amp;IF(INDEX(tblOrdenes[tecnico_asignado],U160)="","(sin técnico)",INDEX(tblOrdenes[tecnico_asignado],U160))&amp;" · "&amp;INDEX(tblOrdenes[id_operacion],U160)&amp;" — "&amp;INDEX(tblOrdenes[descripcion_operacion],U160)&amp;" ("&amp;TEXT(INDEX(tblOrdenes[horas_efectivas],U160),"0.#")&amp;" h)")</f>
        <v/>
      </c>
    </row>
    <row r="161">
      <c r="K161" s="3">
        <f>IF(AND(IF($B$3="(todos)",TRUE,'ORDENES'!$O157=$B$3),IF($D$3="(todos)",TRUE,'ORDENES'!$AF157=$D$3),IF($F$3="(todos)",TRUE,'ORDENES'!$X157=$F$3),IF($H$3="(todos)",TRUE,'ORDENES'!$W157=$H$3),'ORDENES'!$AD157=TRUE,'ORDENES'!$A157&lt;&gt;""),1,0)</f>
        <v/>
      </c>
      <c r="L161" s="3">
        <f>IF(K161=1,IFERROR(MATCH('ORDENES'!$R157,lista_dias,0),9)*1000000000+IFERROR(MATCH('ORDENES'!$AF157,lista_turnos,0),9)*10000000+IFERROR(MATCH('ORDENES'!$AE157,tblTecnicos[nombre],0),99)*100000+154,9000000000000+154)</f>
        <v/>
      </c>
      <c r="M161" s="3">
        <f>IF(K161=1,SUMPRODUCT(--($L$8:$L$1207&lt;L161))+1,"")</f>
        <v/>
      </c>
      <c r="N161" s="17">
        <f>IF(K161=1,N('ORDENES'!$M157),0)</f>
        <v/>
      </c>
      <c r="O161" s="17">
        <f>IF('ORDENES'!$T157="preventiva",N161,0)</f>
        <v/>
      </c>
      <c r="P161" s="17">
        <f>IF('ORDENES'!$T157="correctiva",N161,0)</f>
        <v/>
      </c>
      <c r="Q161" s="3">
        <f>IF(AND(K161=1,'ORDENES'!$N157="Pendiente"),1,0)</f>
        <v/>
      </c>
      <c r="R161" s="3">
        <f>IF(Q161=1,100000-N161*1000+154*0.01,9000000000000+154)</f>
        <v/>
      </c>
      <c r="S161" s="3">
        <f>IF(Q161=1,SUMPRODUCT(--($R$8:$R$1207&lt;R161))+1,"")</f>
        <v/>
      </c>
      <c r="T161" s="12">
        <f>IF(K161=1,'ORDENES'!$J157,"")</f>
        <v/>
      </c>
      <c r="U161" s="3">
        <f>IFERROR(MATCH(154,$M$8:$M$1207,0),"")</f>
        <v/>
      </c>
      <c r="V161" s="3">
        <f>IF(U161="","",INDEX(tblOrdenes[dia_semana],U161))</f>
        <v/>
      </c>
      <c r="W161" s="3">
        <f>IF(U161="","",IF(V161&lt;&gt;V160,CHAR(10)&amp;UPPER(LEFT(V161,1))&amp;MID(V161,2,20)&amp;":"&amp;CHAR(10),"")&amp;"   "&amp;IF(INDEX(tblOrdenes[turno_asignado],U161)="","(s/t)",INDEX(tblOrdenes[turno_asignado],U161))&amp;" · "&amp;IF(INDEX(tblOrdenes[tecnico_asignado],U161)="","(sin técnico)",INDEX(tblOrdenes[tecnico_asignado],U161))&amp;" · "&amp;INDEX(tblOrdenes[id_operacion],U161)&amp;" — "&amp;INDEX(tblOrdenes[descripcion_operacion],U161)&amp;" ("&amp;TEXT(INDEX(tblOrdenes[horas_efectivas],U161),"0.#")&amp;" h)")</f>
        <v/>
      </c>
    </row>
    <row r="162">
      <c r="K162" s="3">
        <f>IF(AND(IF($B$3="(todos)",TRUE,'ORDENES'!$O158=$B$3),IF($D$3="(todos)",TRUE,'ORDENES'!$AF158=$D$3),IF($F$3="(todos)",TRUE,'ORDENES'!$X158=$F$3),IF($H$3="(todos)",TRUE,'ORDENES'!$W158=$H$3),'ORDENES'!$AD158=TRUE,'ORDENES'!$A158&lt;&gt;""),1,0)</f>
        <v/>
      </c>
      <c r="L162" s="3">
        <f>IF(K162=1,IFERROR(MATCH('ORDENES'!$R158,lista_dias,0),9)*1000000000+IFERROR(MATCH('ORDENES'!$AF158,lista_turnos,0),9)*10000000+IFERROR(MATCH('ORDENES'!$AE158,tblTecnicos[nombre],0),99)*100000+155,9000000000000+155)</f>
        <v/>
      </c>
      <c r="M162" s="3">
        <f>IF(K162=1,SUMPRODUCT(--($L$8:$L$1207&lt;L162))+1,"")</f>
        <v/>
      </c>
      <c r="N162" s="17">
        <f>IF(K162=1,N('ORDENES'!$M158),0)</f>
        <v/>
      </c>
      <c r="O162" s="17">
        <f>IF('ORDENES'!$T158="preventiva",N162,0)</f>
        <v/>
      </c>
      <c r="P162" s="17">
        <f>IF('ORDENES'!$T158="correctiva",N162,0)</f>
        <v/>
      </c>
      <c r="Q162" s="3">
        <f>IF(AND(K162=1,'ORDENES'!$N158="Pendiente"),1,0)</f>
        <v/>
      </c>
      <c r="R162" s="3">
        <f>IF(Q162=1,100000-N162*1000+155*0.01,9000000000000+155)</f>
        <v/>
      </c>
      <c r="S162" s="3">
        <f>IF(Q162=1,SUMPRODUCT(--($R$8:$R$1207&lt;R162))+1,"")</f>
        <v/>
      </c>
      <c r="T162" s="12">
        <f>IF(K162=1,'ORDENES'!$J158,"")</f>
        <v/>
      </c>
      <c r="U162" s="3">
        <f>IFERROR(MATCH(155,$M$8:$M$1207,0),"")</f>
        <v/>
      </c>
      <c r="V162" s="3">
        <f>IF(U162="","",INDEX(tblOrdenes[dia_semana],U162))</f>
        <v/>
      </c>
      <c r="W162" s="3">
        <f>IF(U162="","",IF(V162&lt;&gt;V161,CHAR(10)&amp;UPPER(LEFT(V162,1))&amp;MID(V162,2,20)&amp;":"&amp;CHAR(10),"")&amp;"   "&amp;IF(INDEX(tblOrdenes[turno_asignado],U162)="","(s/t)",INDEX(tblOrdenes[turno_asignado],U162))&amp;" · "&amp;IF(INDEX(tblOrdenes[tecnico_asignado],U162)="","(sin técnico)",INDEX(tblOrdenes[tecnico_asignado],U162))&amp;" · "&amp;INDEX(tblOrdenes[id_operacion],U162)&amp;" — "&amp;INDEX(tblOrdenes[descripcion_operacion],U162)&amp;" ("&amp;TEXT(INDEX(tblOrdenes[horas_efectivas],U162),"0.#")&amp;" h)")</f>
        <v/>
      </c>
    </row>
    <row r="163">
      <c r="K163" s="3">
        <f>IF(AND(IF($B$3="(todos)",TRUE,'ORDENES'!$O159=$B$3),IF($D$3="(todos)",TRUE,'ORDENES'!$AF159=$D$3),IF($F$3="(todos)",TRUE,'ORDENES'!$X159=$F$3),IF($H$3="(todos)",TRUE,'ORDENES'!$W159=$H$3),'ORDENES'!$AD159=TRUE,'ORDENES'!$A159&lt;&gt;""),1,0)</f>
        <v/>
      </c>
      <c r="L163" s="3">
        <f>IF(K163=1,IFERROR(MATCH('ORDENES'!$R159,lista_dias,0),9)*1000000000+IFERROR(MATCH('ORDENES'!$AF159,lista_turnos,0),9)*10000000+IFERROR(MATCH('ORDENES'!$AE159,tblTecnicos[nombre],0),99)*100000+156,9000000000000+156)</f>
        <v/>
      </c>
      <c r="M163" s="3">
        <f>IF(K163=1,SUMPRODUCT(--($L$8:$L$1207&lt;L163))+1,"")</f>
        <v/>
      </c>
      <c r="N163" s="17">
        <f>IF(K163=1,N('ORDENES'!$M159),0)</f>
        <v/>
      </c>
      <c r="O163" s="17">
        <f>IF('ORDENES'!$T159="preventiva",N163,0)</f>
        <v/>
      </c>
      <c r="P163" s="17">
        <f>IF('ORDENES'!$T159="correctiva",N163,0)</f>
        <v/>
      </c>
      <c r="Q163" s="3">
        <f>IF(AND(K163=1,'ORDENES'!$N159="Pendiente"),1,0)</f>
        <v/>
      </c>
      <c r="R163" s="3">
        <f>IF(Q163=1,100000-N163*1000+156*0.01,9000000000000+156)</f>
        <v/>
      </c>
      <c r="S163" s="3">
        <f>IF(Q163=1,SUMPRODUCT(--($R$8:$R$1207&lt;R163))+1,"")</f>
        <v/>
      </c>
      <c r="T163" s="12">
        <f>IF(K163=1,'ORDENES'!$J159,"")</f>
        <v/>
      </c>
      <c r="U163" s="3">
        <f>IFERROR(MATCH(156,$M$8:$M$1207,0),"")</f>
        <v/>
      </c>
      <c r="V163" s="3">
        <f>IF(U163="","",INDEX(tblOrdenes[dia_semana],U163))</f>
        <v/>
      </c>
      <c r="W163" s="3">
        <f>IF(U163="","",IF(V163&lt;&gt;V162,CHAR(10)&amp;UPPER(LEFT(V163,1))&amp;MID(V163,2,20)&amp;":"&amp;CHAR(10),"")&amp;"   "&amp;IF(INDEX(tblOrdenes[turno_asignado],U163)="","(s/t)",INDEX(tblOrdenes[turno_asignado],U163))&amp;" · "&amp;IF(INDEX(tblOrdenes[tecnico_asignado],U163)="","(sin técnico)",INDEX(tblOrdenes[tecnico_asignado],U163))&amp;" · "&amp;INDEX(tblOrdenes[id_operacion],U163)&amp;" — "&amp;INDEX(tblOrdenes[descripcion_operacion],U163)&amp;" ("&amp;TEXT(INDEX(tblOrdenes[horas_efectivas],U163),"0.#")&amp;" h)")</f>
        <v/>
      </c>
    </row>
    <row r="164">
      <c r="K164" s="3">
        <f>IF(AND(IF($B$3="(todos)",TRUE,'ORDENES'!$O160=$B$3),IF($D$3="(todos)",TRUE,'ORDENES'!$AF160=$D$3),IF($F$3="(todos)",TRUE,'ORDENES'!$X160=$F$3),IF($H$3="(todos)",TRUE,'ORDENES'!$W160=$H$3),'ORDENES'!$AD160=TRUE,'ORDENES'!$A160&lt;&gt;""),1,0)</f>
        <v/>
      </c>
      <c r="L164" s="3">
        <f>IF(K164=1,IFERROR(MATCH('ORDENES'!$R160,lista_dias,0),9)*1000000000+IFERROR(MATCH('ORDENES'!$AF160,lista_turnos,0),9)*10000000+IFERROR(MATCH('ORDENES'!$AE160,tblTecnicos[nombre],0),99)*100000+157,9000000000000+157)</f>
        <v/>
      </c>
      <c r="M164" s="3">
        <f>IF(K164=1,SUMPRODUCT(--($L$8:$L$1207&lt;L164))+1,"")</f>
        <v/>
      </c>
      <c r="N164" s="17">
        <f>IF(K164=1,N('ORDENES'!$M160),0)</f>
        <v/>
      </c>
      <c r="O164" s="17">
        <f>IF('ORDENES'!$T160="preventiva",N164,0)</f>
        <v/>
      </c>
      <c r="P164" s="17">
        <f>IF('ORDENES'!$T160="correctiva",N164,0)</f>
        <v/>
      </c>
      <c r="Q164" s="3">
        <f>IF(AND(K164=1,'ORDENES'!$N160="Pendiente"),1,0)</f>
        <v/>
      </c>
      <c r="R164" s="3">
        <f>IF(Q164=1,100000-N164*1000+157*0.01,9000000000000+157)</f>
        <v/>
      </c>
      <c r="S164" s="3">
        <f>IF(Q164=1,SUMPRODUCT(--($R$8:$R$1207&lt;R164))+1,"")</f>
        <v/>
      </c>
      <c r="T164" s="12">
        <f>IF(K164=1,'ORDENES'!$J160,"")</f>
        <v/>
      </c>
      <c r="U164" s="3">
        <f>IFERROR(MATCH(157,$M$8:$M$1207,0),"")</f>
        <v/>
      </c>
      <c r="V164" s="3">
        <f>IF(U164="","",INDEX(tblOrdenes[dia_semana],U164))</f>
        <v/>
      </c>
      <c r="W164" s="3">
        <f>IF(U164="","",IF(V164&lt;&gt;V163,CHAR(10)&amp;UPPER(LEFT(V164,1))&amp;MID(V164,2,20)&amp;":"&amp;CHAR(10),"")&amp;"   "&amp;IF(INDEX(tblOrdenes[turno_asignado],U164)="","(s/t)",INDEX(tblOrdenes[turno_asignado],U164))&amp;" · "&amp;IF(INDEX(tblOrdenes[tecnico_asignado],U164)="","(sin técnico)",INDEX(tblOrdenes[tecnico_asignado],U164))&amp;" · "&amp;INDEX(tblOrdenes[id_operacion],U164)&amp;" — "&amp;INDEX(tblOrdenes[descripcion_operacion],U164)&amp;" ("&amp;TEXT(INDEX(tblOrdenes[horas_efectivas],U164),"0.#")&amp;" h)")</f>
        <v/>
      </c>
    </row>
    <row r="165">
      <c r="K165" s="3">
        <f>IF(AND(IF($B$3="(todos)",TRUE,'ORDENES'!$O161=$B$3),IF($D$3="(todos)",TRUE,'ORDENES'!$AF161=$D$3),IF($F$3="(todos)",TRUE,'ORDENES'!$X161=$F$3),IF($H$3="(todos)",TRUE,'ORDENES'!$W161=$H$3),'ORDENES'!$AD161=TRUE,'ORDENES'!$A161&lt;&gt;""),1,0)</f>
        <v/>
      </c>
      <c r="L165" s="3">
        <f>IF(K165=1,IFERROR(MATCH('ORDENES'!$R161,lista_dias,0),9)*1000000000+IFERROR(MATCH('ORDENES'!$AF161,lista_turnos,0),9)*10000000+IFERROR(MATCH('ORDENES'!$AE161,tblTecnicos[nombre],0),99)*100000+158,9000000000000+158)</f>
        <v/>
      </c>
      <c r="M165" s="3">
        <f>IF(K165=1,SUMPRODUCT(--($L$8:$L$1207&lt;L165))+1,"")</f>
        <v/>
      </c>
      <c r="N165" s="17">
        <f>IF(K165=1,N('ORDENES'!$M161),0)</f>
        <v/>
      </c>
      <c r="O165" s="17">
        <f>IF('ORDENES'!$T161="preventiva",N165,0)</f>
        <v/>
      </c>
      <c r="P165" s="17">
        <f>IF('ORDENES'!$T161="correctiva",N165,0)</f>
        <v/>
      </c>
      <c r="Q165" s="3">
        <f>IF(AND(K165=1,'ORDENES'!$N161="Pendiente"),1,0)</f>
        <v/>
      </c>
      <c r="R165" s="3">
        <f>IF(Q165=1,100000-N165*1000+158*0.01,9000000000000+158)</f>
        <v/>
      </c>
      <c r="S165" s="3">
        <f>IF(Q165=1,SUMPRODUCT(--($R$8:$R$1207&lt;R165))+1,"")</f>
        <v/>
      </c>
      <c r="T165" s="12">
        <f>IF(K165=1,'ORDENES'!$J161,"")</f>
        <v/>
      </c>
      <c r="U165" s="3">
        <f>IFERROR(MATCH(158,$M$8:$M$1207,0),"")</f>
        <v/>
      </c>
      <c r="V165" s="3">
        <f>IF(U165="","",INDEX(tblOrdenes[dia_semana],U165))</f>
        <v/>
      </c>
      <c r="W165" s="3">
        <f>IF(U165="","",IF(V165&lt;&gt;V164,CHAR(10)&amp;UPPER(LEFT(V165,1))&amp;MID(V165,2,20)&amp;":"&amp;CHAR(10),"")&amp;"   "&amp;IF(INDEX(tblOrdenes[turno_asignado],U165)="","(s/t)",INDEX(tblOrdenes[turno_asignado],U165))&amp;" · "&amp;IF(INDEX(tblOrdenes[tecnico_asignado],U165)="","(sin técnico)",INDEX(tblOrdenes[tecnico_asignado],U165))&amp;" · "&amp;INDEX(tblOrdenes[id_operacion],U165)&amp;" — "&amp;INDEX(tblOrdenes[descripcion_operacion],U165)&amp;" ("&amp;TEXT(INDEX(tblOrdenes[horas_efectivas],U165),"0.#")&amp;" h)")</f>
        <v/>
      </c>
    </row>
    <row r="166">
      <c r="K166" s="3">
        <f>IF(AND(IF($B$3="(todos)",TRUE,'ORDENES'!$O162=$B$3),IF($D$3="(todos)",TRUE,'ORDENES'!$AF162=$D$3),IF($F$3="(todos)",TRUE,'ORDENES'!$X162=$F$3),IF($H$3="(todos)",TRUE,'ORDENES'!$W162=$H$3),'ORDENES'!$AD162=TRUE,'ORDENES'!$A162&lt;&gt;""),1,0)</f>
        <v/>
      </c>
      <c r="L166" s="3">
        <f>IF(K166=1,IFERROR(MATCH('ORDENES'!$R162,lista_dias,0),9)*1000000000+IFERROR(MATCH('ORDENES'!$AF162,lista_turnos,0),9)*10000000+IFERROR(MATCH('ORDENES'!$AE162,tblTecnicos[nombre],0),99)*100000+159,9000000000000+159)</f>
        <v/>
      </c>
      <c r="M166" s="3">
        <f>IF(K166=1,SUMPRODUCT(--($L$8:$L$1207&lt;L166))+1,"")</f>
        <v/>
      </c>
      <c r="N166" s="17">
        <f>IF(K166=1,N('ORDENES'!$M162),0)</f>
        <v/>
      </c>
      <c r="O166" s="17">
        <f>IF('ORDENES'!$T162="preventiva",N166,0)</f>
        <v/>
      </c>
      <c r="P166" s="17">
        <f>IF('ORDENES'!$T162="correctiva",N166,0)</f>
        <v/>
      </c>
      <c r="Q166" s="3">
        <f>IF(AND(K166=1,'ORDENES'!$N162="Pendiente"),1,0)</f>
        <v/>
      </c>
      <c r="R166" s="3">
        <f>IF(Q166=1,100000-N166*1000+159*0.01,9000000000000+159)</f>
        <v/>
      </c>
      <c r="S166" s="3">
        <f>IF(Q166=1,SUMPRODUCT(--($R$8:$R$1207&lt;R166))+1,"")</f>
        <v/>
      </c>
      <c r="T166" s="12">
        <f>IF(K166=1,'ORDENES'!$J162,"")</f>
        <v/>
      </c>
      <c r="U166" s="3">
        <f>IFERROR(MATCH(159,$M$8:$M$1207,0),"")</f>
        <v/>
      </c>
      <c r="V166" s="3">
        <f>IF(U166="","",INDEX(tblOrdenes[dia_semana],U166))</f>
        <v/>
      </c>
      <c r="W166" s="3">
        <f>IF(U166="","",IF(V166&lt;&gt;V165,CHAR(10)&amp;UPPER(LEFT(V166,1))&amp;MID(V166,2,20)&amp;":"&amp;CHAR(10),"")&amp;"   "&amp;IF(INDEX(tblOrdenes[turno_asignado],U166)="","(s/t)",INDEX(tblOrdenes[turno_asignado],U166))&amp;" · "&amp;IF(INDEX(tblOrdenes[tecnico_asignado],U166)="","(sin técnico)",INDEX(tblOrdenes[tecnico_asignado],U166))&amp;" · "&amp;INDEX(tblOrdenes[id_operacion],U166)&amp;" — "&amp;INDEX(tblOrdenes[descripcion_operacion],U166)&amp;" ("&amp;TEXT(INDEX(tblOrdenes[horas_efectivas],U166),"0.#")&amp;" h)")</f>
        <v/>
      </c>
    </row>
    <row r="167">
      <c r="K167" s="3">
        <f>IF(AND(IF($B$3="(todos)",TRUE,'ORDENES'!$O163=$B$3),IF($D$3="(todos)",TRUE,'ORDENES'!$AF163=$D$3),IF($F$3="(todos)",TRUE,'ORDENES'!$X163=$F$3),IF($H$3="(todos)",TRUE,'ORDENES'!$W163=$H$3),'ORDENES'!$AD163=TRUE,'ORDENES'!$A163&lt;&gt;""),1,0)</f>
        <v/>
      </c>
      <c r="L167" s="3">
        <f>IF(K167=1,IFERROR(MATCH('ORDENES'!$R163,lista_dias,0),9)*1000000000+IFERROR(MATCH('ORDENES'!$AF163,lista_turnos,0),9)*10000000+IFERROR(MATCH('ORDENES'!$AE163,tblTecnicos[nombre],0),99)*100000+160,9000000000000+160)</f>
        <v/>
      </c>
      <c r="M167" s="3">
        <f>IF(K167=1,SUMPRODUCT(--($L$8:$L$1207&lt;L167))+1,"")</f>
        <v/>
      </c>
      <c r="N167" s="17">
        <f>IF(K167=1,N('ORDENES'!$M163),0)</f>
        <v/>
      </c>
      <c r="O167" s="17">
        <f>IF('ORDENES'!$T163="preventiva",N167,0)</f>
        <v/>
      </c>
      <c r="P167" s="17">
        <f>IF('ORDENES'!$T163="correctiva",N167,0)</f>
        <v/>
      </c>
      <c r="Q167" s="3">
        <f>IF(AND(K167=1,'ORDENES'!$N163="Pendiente"),1,0)</f>
        <v/>
      </c>
      <c r="R167" s="3">
        <f>IF(Q167=1,100000-N167*1000+160*0.01,9000000000000+160)</f>
        <v/>
      </c>
      <c r="S167" s="3">
        <f>IF(Q167=1,SUMPRODUCT(--($R$8:$R$1207&lt;R167))+1,"")</f>
        <v/>
      </c>
      <c r="T167" s="12">
        <f>IF(K167=1,'ORDENES'!$J163,"")</f>
        <v/>
      </c>
      <c r="U167" s="3">
        <f>IFERROR(MATCH(160,$M$8:$M$1207,0),"")</f>
        <v/>
      </c>
      <c r="V167" s="3">
        <f>IF(U167="","",INDEX(tblOrdenes[dia_semana],U167))</f>
        <v/>
      </c>
      <c r="W167" s="3">
        <f>IF(U167="","",IF(V167&lt;&gt;V166,CHAR(10)&amp;UPPER(LEFT(V167,1))&amp;MID(V167,2,20)&amp;":"&amp;CHAR(10),"")&amp;"   "&amp;IF(INDEX(tblOrdenes[turno_asignado],U167)="","(s/t)",INDEX(tblOrdenes[turno_asignado],U167))&amp;" · "&amp;IF(INDEX(tblOrdenes[tecnico_asignado],U167)="","(sin técnico)",INDEX(tblOrdenes[tecnico_asignado],U167))&amp;" · "&amp;INDEX(tblOrdenes[id_operacion],U167)&amp;" — "&amp;INDEX(tblOrdenes[descripcion_operacion],U167)&amp;" ("&amp;TEXT(INDEX(tblOrdenes[horas_efectivas],U167),"0.#")&amp;" h)")</f>
        <v/>
      </c>
    </row>
    <row r="168">
      <c r="K168" s="3">
        <f>IF(AND(IF($B$3="(todos)",TRUE,'ORDENES'!$O164=$B$3),IF($D$3="(todos)",TRUE,'ORDENES'!$AF164=$D$3),IF($F$3="(todos)",TRUE,'ORDENES'!$X164=$F$3),IF($H$3="(todos)",TRUE,'ORDENES'!$W164=$H$3),'ORDENES'!$AD164=TRUE,'ORDENES'!$A164&lt;&gt;""),1,0)</f>
        <v/>
      </c>
      <c r="L168" s="3">
        <f>IF(K168=1,IFERROR(MATCH('ORDENES'!$R164,lista_dias,0),9)*1000000000+IFERROR(MATCH('ORDENES'!$AF164,lista_turnos,0),9)*10000000+IFERROR(MATCH('ORDENES'!$AE164,tblTecnicos[nombre],0),99)*100000+161,9000000000000+161)</f>
        <v/>
      </c>
      <c r="M168" s="3">
        <f>IF(K168=1,SUMPRODUCT(--($L$8:$L$1207&lt;L168))+1,"")</f>
        <v/>
      </c>
      <c r="N168" s="17">
        <f>IF(K168=1,N('ORDENES'!$M164),0)</f>
        <v/>
      </c>
      <c r="O168" s="17">
        <f>IF('ORDENES'!$T164="preventiva",N168,0)</f>
        <v/>
      </c>
      <c r="P168" s="17">
        <f>IF('ORDENES'!$T164="correctiva",N168,0)</f>
        <v/>
      </c>
      <c r="Q168" s="3">
        <f>IF(AND(K168=1,'ORDENES'!$N164="Pendiente"),1,0)</f>
        <v/>
      </c>
      <c r="R168" s="3">
        <f>IF(Q168=1,100000-N168*1000+161*0.01,9000000000000+161)</f>
        <v/>
      </c>
      <c r="S168" s="3">
        <f>IF(Q168=1,SUMPRODUCT(--($R$8:$R$1207&lt;R168))+1,"")</f>
        <v/>
      </c>
      <c r="T168" s="12">
        <f>IF(K168=1,'ORDENES'!$J164,"")</f>
        <v/>
      </c>
      <c r="U168" s="3">
        <f>IFERROR(MATCH(161,$M$8:$M$1207,0),"")</f>
        <v/>
      </c>
      <c r="V168" s="3">
        <f>IF(U168="","",INDEX(tblOrdenes[dia_semana],U168))</f>
        <v/>
      </c>
      <c r="W168" s="3">
        <f>IF(U168="","",IF(V168&lt;&gt;V167,CHAR(10)&amp;UPPER(LEFT(V168,1))&amp;MID(V168,2,20)&amp;":"&amp;CHAR(10),"")&amp;"   "&amp;IF(INDEX(tblOrdenes[turno_asignado],U168)="","(s/t)",INDEX(tblOrdenes[turno_asignado],U168))&amp;" · "&amp;IF(INDEX(tblOrdenes[tecnico_asignado],U168)="","(sin técnico)",INDEX(tblOrdenes[tecnico_asignado],U168))&amp;" · "&amp;INDEX(tblOrdenes[id_operacion],U168)&amp;" — "&amp;INDEX(tblOrdenes[descripcion_operacion],U168)&amp;" ("&amp;TEXT(INDEX(tblOrdenes[horas_efectivas],U168),"0.#")&amp;" h)")</f>
        <v/>
      </c>
    </row>
    <row r="169">
      <c r="K169" s="3">
        <f>IF(AND(IF($B$3="(todos)",TRUE,'ORDENES'!$O165=$B$3),IF($D$3="(todos)",TRUE,'ORDENES'!$AF165=$D$3),IF($F$3="(todos)",TRUE,'ORDENES'!$X165=$F$3),IF($H$3="(todos)",TRUE,'ORDENES'!$W165=$H$3),'ORDENES'!$AD165=TRUE,'ORDENES'!$A165&lt;&gt;""),1,0)</f>
        <v/>
      </c>
      <c r="L169" s="3">
        <f>IF(K169=1,IFERROR(MATCH('ORDENES'!$R165,lista_dias,0),9)*1000000000+IFERROR(MATCH('ORDENES'!$AF165,lista_turnos,0),9)*10000000+IFERROR(MATCH('ORDENES'!$AE165,tblTecnicos[nombre],0),99)*100000+162,9000000000000+162)</f>
        <v/>
      </c>
      <c r="M169" s="3">
        <f>IF(K169=1,SUMPRODUCT(--($L$8:$L$1207&lt;L169))+1,"")</f>
        <v/>
      </c>
      <c r="N169" s="17">
        <f>IF(K169=1,N('ORDENES'!$M165),0)</f>
        <v/>
      </c>
      <c r="O169" s="17">
        <f>IF('ORDENES'!$T165="preventiva",N169,0)</f>
        <v/>
      </c>
      <c r="P169" s="17">
        <f>IF('ORDENES'!$T165="correctiva",N169,0)</f>
        <v/>
      </c>
      <c r="Q169" s="3">
        <f>IF(AND(K169=1,'ORDENES'!$N165="Pendiente"),1,0)</f>
        <v/>
      </c>
      <c r="R169" s="3">
        <f>IF(Q169=1,100000-N169*1000+162*0.01,9000000000000+162)</f>
        <v/>
      </c>
      <c r="S169" s="3">
        <f>IF(Q169=1,SUMPRODUCT(--($R$8:$R$1207&lt;R169))+1,"")</f>
        <v/>
      </c>
      <c r="T169" s="12">
        <f>IF(K169=1,'ORDENES'!$J165,"")</f>
        <v/>
      </c>
      <c r="U169" s="3">
        <f>IFERROR(MATCH(162,$M$8:$M$1207,0),"")</f>
        <v/>
      </c>
      <c r="V169" s="3">
        <f>IF(U169="","",INDEX(tblOrdenes[dia_semana],U169))</f>
        <v/>
      </c>
      <c r="W169" s="3">
        <f>IF(U169="","",IF(V169&lt;&gt;V168,CHAR(10)&amp;UPPER(LEFT(V169,1))&amp;MID(V169,2,20)&amp;":"&amp;CHAR(10),"")&amp;"   "&amp;IF(INDEX(tblOrdenes[turno_asignado],U169)="","(s/t)",INDEX(tblOrdenes[turno_asignado],U169))&amp;" · "&amp;IF(INDEX(tblOrdenes[tecnico_asignado],U169)="","(sin técnico)",INDEX(tblOrdenes[tecnico_asignado],U169))&amp;" · "&amp;INDEX(tblOrdenes[id_operacion],U169)&amp;" — "&amp;INDEX(tblOrdenes[descripcion_operacion],U169)&amp;" ("&amp;TEXT(INDEX(tblOrdenes[horas_efectivas],U169),"0.#")&amp;" h)")</f>
        <v/>
      </c>
    </row>
    <row r="170">
      <c r="K170" s="3">
        <f>IF(AND(IF($B$3="(todos)",TRUE,'ORDENES'!$O166=$B$3),IF($D$3="(todos)",TRUE,'ORDENES'!$AF166=$D$3),IF($F$3="(todos)",TRUE,'ORDENES'!$X166=$F$3),IF($H$3="(todos)",TRUE,'ORDENES'!$W166=$H$3),'ORDENES'!$AD166=TRUE,'ORDENES'!$A166&lt;&gt;""),1,0)</f>
        <v/>
      </c>
      <c r="L170" s="3">
        <f>IF(K170=1,IFERROR(MATCH('ORDENES'!$R166,lista_dias,0),9)*1000000000+IFERROR(MATCH('ORDENES'!$AF166,lista_turnos,0),9)*10000000+IFERROR(MATCH('ORDENES'!$AE166,tblTecnicos[nombre],0),99)*100000+163,9000000000000+163)</f>
        <v/>
      </c>
      <c r="M170" s="3">
        <f>IF(K170=1,SUMPRODUCT(--($L$8:$L$1207&lt;L170))+1,"")</f>
        <v/>
      </c>
      <c r="N170" s="17">
        <f>IF(K170=1,N('ORDENES'!$M166),0)</f>
        <v/>
      </c>
      <c r="O170" s="17">
        <f>IF('ORDENES'!$T166="preventiva",N170,0)</f>
        <v/>
      </c>
      <c r="P170" s="17">
        <f>IF('ORDENES'!$T166="correctiva",N170,0)</f>
        <v/>
      </c>
      <c r="Q170" s="3">
        <f>IF(AND(K170=1,'ORDENES'!$N166="Pendiente"),1,0)</f>
        <v/>
      </c>
      <c r="R170" s="3">
        <f>IF(Q170=1,100000-N170*1000+163*0.01,9000000000000+163)</f>
        <v/>
      </c>
      <c r="S170" s="3">
        <f>IF(Q170=1,SUMPRODUCT(--($R$8:$R$1207&lt;R170))+1,"")</f>
        <v/>
      </c>
      <c r="T170" s="12">
        <f>IF(K170=1,'ORDENES'!$J166,"")</f>
        <v/>
      </c>
      <c r="U170" s="3">
        <f>IFERROR(MATCH(163,$M$8:$M$1207,0),"")</f>
        <v/>
      </c>
      <c r="V170" s="3">
        <f>IF(U170="","",INDEX(tblOrdenes[dia_semana],U170))</f>
        <v/>
      </c>
      <c r="W170" s="3">
        <f>IF(U170="","",IF(V170&lt;&gt;V169,CHAR(10)&amp;UPPER(LEFT(V170,1))&amp;MID(V170,2,20)&amp;":"&amp;CHAR(10),"")&amp;"   "&amp;IF(INDEX(tblOrdenes[turno_asignado],U170)="","(s/t)",INDEX(tblOrdenes[turno_asignado],U170))&amp;" · "&amp;IF(INDEX(tblOrdenes[tecnico_asignado],U170)="","(sin técnico)",INDEX(tblOrdenes[tecnico_asignado],U170))&amp;" · "&amp;INDEX(tblOrdenes[id_operacion],U170)&amp;" — "&amp;INDEX(tblOrdenes[descripcion_operacion],U170)&amp;" ("&amp;TEXT(INDEX(tblOrdenes[horas_efectivas],U170),"0.#")&amp;" h)")</f>
        <v/>
      </c>
    </row>
    <row r="171">
      <c r="K171" s="3">
        <f>IF(AND(IF($B$3="(todos)",TRUE,'ORDENES'!$O167=$B$3),IF($D$3="(todos)",TRUE,'ORDENES'!$AF167=$D$3),IF($F$3="(todos)",TRUE,'ORDENES'!$X167=$F$3),IF($H$3="(todos)",TRUE,'ORDENES'!$W167=$H$3),'ORDENES'!$AD167=TRUE,'ORDENES'!$A167&lt;&gt;""),1,0)</f>
        <v/>
      </c>
      <c r="L171" s="3">
        <f>IF(K171=1,IFERROR(MATCH('ORDENES'!$R167,lista_dias,0),9)*1000000000+IFERROR(MATCH('ORDENES'!$AF167,lista_turnos,0),9)*10000000+IFERROR(MATCH('ORDENES'!$AE167,tblTecnicos[nombre],0),99)*100000+164,9000000000000+164)</f>
        <v/>
      </c>
      <c r="M171" s="3">
        <f>IF(K171=1,SUMPRODUCT(--($L$8:$L$1207&lt;L171))+1,"")</f>
        <v/>
      </c>
      <c r="N171" s="17">
        <f>IF(K171=1,N('ORDENES'!$M167),0)</f>
        <v/>
      </c>
      <c r="O171" s="17">
        <f>IF('ORDENES'!$T167="preventiva",N171,0)</f>
        <v/>
      </c>
      <c r="P171" s="17">
        <f>IF('ORDENES'!$T167="correctiva",N171,0)</f>
        <v/>
      </c>
      <c r="Q171" s="3">
        <f>IF(AND(K171=1,'ORDENES'!$N167="Pendiente"),1,0)</f>
        <v/>
      </c>
      <c r="R171" s="3">
        <f>IF(Q171=1,100000-N171*1000+164*0.01,9000000000000+164)</f>
        <v/>
      </c>
      <c r="S171" s="3">
        <f>IF(Q171=1,SUMPRODUCT(--($R$8:$R$1207&lt;R171))+1,"")</f>
        <v/>
      </c>
      <c r="T171" s="12">
        <f>IF(K171=1,'ORDENES'!$J167,"")</f>
        <v/>
      </c>
      <c r="U171" s="3">
        <f>IFERROR(MATCH(164,$M$8:$M$1207,0),"")</f>
        <v/>
      </c>
      <c r="V171" s="3">
        <f>IF(U171="","",INDEX(tblOrdenes[dia_semana],U171))</f>
        <v/>
      </c>
      <c r="W171" s="3">
        <f>IF(U171="","",IF(V171&lt;&gt;V170,CHAR(10)&amp;UPPER(LEFT(V171,1))&amp;MID(V171,2,20)&amp;":"&amp;CHAR(10),"")&amp;"   "&amp;IF(INDEX(tblOrdenes[turno_asignado],U171)="","(s/t)",INDEX(tblOrdenes[turno_asignado],U171))&amp;" · "&amp;IF(INDEX(tblOrdenes[tecnico_asignado],U171)="","(sin técnico)",INDEX(tblOrdenes[tecnico_asignado],U171))&amp;" · "&amp;INDEX(tblOrdenes[id_operacion],U171)&amp;" — "&amp;INDEX(tblOrdenes[descripcion_operacion],U171)&amp;" ("&amp;TEXT(INDEX(tblOrdenes[horas_efectivas],U171),"0.#")&amp;" h)")</f>
        <v/>
      </c>
    </row>
    <row r="172">
      <c r="K172" s="3">
        <f>IF(AND(IF($B$3="(todos)",TRUE,'ORDENES'!$O168=$B$3),IF($D$3="(todos)",TRUE,'ORDENES'!$AF168=$D$3),IF($F$3="(todos)",TRUE,'ORDENES'!$X168=$F$3),IF($H$3="(todos)",TRUE,'ORDENES'!$W168=$H$3),'ORDENES'!$AD168=TRUE,'ORDENES'!$A168&lt;&gt;""),1,0)</f>
        <v/>
      </c>
      <c r="L172" s="3">
        <f>IF(K172=1,IFERROR(MATCH('ORDENES'!$R168,lista_dias,0),9)*1000000000+IFERROR(MATCH('ORDENES'!$AF168,lista_turnos,0),9)*10000000+IFERROR(MATCH('ORDENES'!$AE168,tblTecnicos[nombre],0),99)*100000+165,9000000000000+165)</f>
        <v/>
      </c>
      <c r="M172" s="3">
        <f>IF(K172=1,SUMPRODUCT(--($L$8:$L$1207&lt;L172))+1,"")</f>
        <v/>
      </c>
      <c r="N172" s="17">
        <f>IF(K172=1,N('ORDENES'!$M168),0)</f>
        <v/>
      </c>
      <c r="O172" s="17">
        <f>IF('ORDENES'!$T168="preventiva",N172,0)</f>
        <v/>
      </c>
      <c r="P172" s="17">
        <f>IF('ORDENES'!$T168="correctiva",N172,0)</f>
        <v/>
      </c>
      <c r="Q172" s="3">
        <f>IF(AND(K172=1,'ORDENES'!$N168="Pendiente"),1,0)</f>
        <v/>
      </c>
      <c r="R172" s="3">
        <f>IF(Q172=1,100000-N172*1000+165*0.01,9000000000000+165)</f>
        <v/>
      </c>
      <c r="S172" s="3">
        <f>IF(Q172=1,SUMPRODUCT(--($R$8:$R$1207&lt;R172))+1,"")</f>
        <v/>
      </c>
      <c r="T172" s="12">
        <f>IF(K172=1,'ORDENES'!$J168,"")</f>
        <v/>
      </c>
      <c r="U172" s="3">
        <f>IFERROR(MATCH(165,$M$8:$M$1207,0),"")</f>
        <v/>
      </c>
      <c r="V172" s="3">
        <f>IF(U172="","",INDEX(tblOrdenes[dia_semana],U172))</f>
        <v/>
      </c>
      <c r="W172" s="3">
        <f>IF(U172="","",IF(V172&lt;&gt;V171,CHAR(10)&amp;UPPER(LEFT(V172,1))&amp;MID(V172,2,20)&amp;":"&amp;CHAR(10),"")&amp;"   "&amp;IF(INDEX(tblOrdenes[turno_asignado],U172)="","(s/t)",INDEX(tblOrdenes[turno_asignado],U172))&amp;" · "&amp;IF(INDEX(tblOrdenes[tecnico_asignado],U172)="","(sin técnico)",INDEX(tblOrdenes[tecnico_asignado],U172))&amp;" · "&amp;INDEX(tblOrdenes[id_operacion],U172)&amp;" — "&amp;INDEX(tblOrdenes[descripcion_operacion],U172)&amp;" ("&amp;TEXT(INDEX(tblOrdenes[horas_efectivas],U172),"0.#")&amp;" h)")</f>
        <v/>
      </c>
    </row>
    <row r="173">
      <c r="K173" s="3">
        <f>IF(AND(IF($B$3="(todos)",TRUE,'ORDENES'!$O169=$B$3),IF($D$3="(todos)",TRUE,'ORDENES'!$AF169=$D$3),IF($F$3="(todos)",TRUE,'ORDENES'!$X169=$F$3),IF($H$3="(todos)",TRUE,'ORDENES'!$W169=$H$3),'ORDENES'!$AD169=TRUE,'ORDENES'!$A169&lt;&gt;""),1,0)</f>
        <v/>
      </c>
      <c r="L173" s="3">
        <f>IF(K173=1,IFERROR(MATCH('ORDENES'!$R169,lista_dias,0),9)*1000000000+IFERROR(MATCH('ORDENES'!$AF169,lista_turnos,0),9)*10000000+IFERROR(MATCH('ORDENES'!$AE169,tblTecnicos[nombre],0),99)*100000+166,9000000000000+166)</f>
        <v/>
      </c>
      <c r="M173" s="3">
        <f>IF(K173=1,SUMPRODUCT(--($L$8:$L$1207&lt;L173))+1,"")</f>
        <v/>
      </c>
      <c r="N173" s="17">
        <f>IF(K173=1,N('ORDENES'!$M169),0)</f>
        <v/>
      </c>
      <c r="O173" s="17">
        <f>IF('ORDENES'!$T169="preventiva",N173,0)</f>
        <v/>
      </c>
      <c r="P173" s="17">
        <f>IF('ORDENES'!$T169="correctiva",N173,0)</f>
        <v/>
      </c>
      <c r="Q173" s="3">
        <f>IF(AND(K173=1,'ORDENES'!$N169="Pendiente"),1,0)</f>
        <v/>
      </c>
      <c r="R173" s="3">
        <f>IF(Q173=1,100000-N173*1000+166*0.01,9000000000000+166)</f>
        <v/>
      </c>
      <c r="S173" s="3">
        <f>IF(Q173=1,SUMPRODUCT(--($R$8:$R$1207&lt;R173))+1,"")</f>
        <v/>
      </c>
      <c r="T173" s="12">
        <f>IF(K173=1,'ORDENES'!$J169,"")</f>
        <v/>
      </c>
      <c r="U173" s="3">
        <f>IFERROR(MATCH(166,$M$8:$M$1207,0),"")</f>
        <v/>
      </c>
      <c r="V173" s="3">
        <f>IF(U173="","",INDEX(tblOrdenes[dia_semana],U173))</f>
        <v/>
      </c>
      <c r="W173" s="3">
        <f>IF(U173="","",IF(V173&lt;&gt;V172,CHAR(10)&amp;UPPER(LEFT(V173,1))&amp;MID(V173,2,20)&amp;":"&amp;CHAR(10),"")&amp;"   "&amp;IF(INDEX(tblOrdenes[turno_asignado],U173)="","(s/t)",INDEX(tblOrdenes[turno_asignado],U173))&amp;" · "&amp;IF(INDEX(tblOrdenes[tecnico_asignado],U173)="","(sin técnico)",INDEX(tblOrdenes[tecnico_asignado],U173))&amp;" · "&amp;INDEX(tblOrdenes[id_operacion],U173)&amp;" — "&amp;INDEX(tblOrdenes[descripcion_operacion],U173)&amp;" ("&amp;TEXT(INDEX(tblOrdenes[horas_efectivas],U173),"0.#")&amp;" h)")</f>
        <v/>
      </c>
    </row>
    <row r="174">
      <c r="K174" s="3">
        <f>IF(AND(IF($B$3="(todos)",TRUE,'ORDENES'!$O170=$B$3),IF($D$3="(todos)",TRUE,'ORDENES'!$AF170=$D$3),IF($F$3="(todos)",TRUE,'ORDENES'!$X170=$F$3),IF($H$3="(todos)",TRUE,'ORDENES'!$W170=$H$3),'ORDENES'!$AD170=TRUE,'ORDENES'!$A170&lt;&gt;""),1,0)</f>
        <v/>
      </c>
      <c r="L174" s="3">
        <f>IF(K174=1,IFERROR(MATCH('ORDENES'!$R170,lista_dias,0),9)*1000000000+IFERROR(MATCH('ORDENES'!$AF170,lista_turnos,0),9)*10000000+IFERROR(MATCH('ORDENES'!$AE170,tblTecnicos[nombre],0),99)*100000+167,9000000000000+167)</f>
        <v/>
      </c>
      <c r="M174" s="3">
        <f>IF(K174=1,SUMPRODUCT(--($L$8:$L$1207&lt;L174))+1,"")</f>
        <v/>
      </c>
      <c r="N174" s="17">
        <f>IF(K174=1,N('ORDENES'!$M170),0)</f>
        <v/>
      </c>
      <c r="O174" s="17">
        <f>IF('ORDENES'!$T170="preventiva",N174,0)</f>
        <v/>
      </c>
      <c r="P174" s="17">
        <f>IF('ORDENES'!$T170="correctiva",N174,0)</f>
        <v/>
      </c>
      <c r="Q174" s="3">
        <f>IF(AND(K174=1,'ORDENES'!$N170="Pendiente"),1,0)</f>
        <v/>
      </c>
      <c r="R174" s="3">
        <f>IF(Q174=1,100000-N174*1000+167*0.01,9000000000000+167)</f>
        <v/>
      </c>
      <c r="S174" s="3">
        <f>IF(Q174=1,SUMPRODUCT(--($R$8:$R$1207&lt;R174))+1,"")</f>
        <v/>
      </c>
      <c r="T174" s="12">
        <f>IF(K174=1,'ORDENES'!$J170,"")</f>
        <v/>
      </c>
      <c r="U174" s="3">
        <f>IFERROR(MATCH(167,$M$8:$M$1207,0),"")</f>
        <v/>
      </c>
      <c r="V174" s="3">
        <f>IF(U174="","",INDEX(tblOrdenes[dia_semana],U174))</f>
        <v/>
      </c>
      <c r="W174" s="3">
        <f>IF(U174="","",IF(V174&lt;&gt;V173,CHAR(10)&amp;UPPER(LEFT(V174,1))&amp;MID(V174,2,20)&amp;":"&amp;CHAR(10),"")&amp;"   "&amp;IF(INDEX(tblOrdenes[turno_asignado],U174)="","(s/t)",INDEX(tblOrdenes[turno_asignado],U174))&amp;" · "&amp;IF(INDEX(tblOrdenes[tecnico_asignado],U174)="","(sin técnico)",INDEX(tblOrdenes[tecnico_asignado],U174))&amp;" · "&amp;INDEX(tblOrdenes[id_operacion],U174)&amp;" — "&amp;INDEX(tblOrdenes[descripcion_operacion],U174)&amp;" ("&amp;TEXT(INDEX(tblOrdenes[horas_efectivas],U174),"0.#")&amp;" h)")</f>
        <v/>
      </c>
    </row>
    <row r="175">
      <c r="K175" s="3">
        <f>IF(AND(IF($B$3="(todos)",TRUE,'ORDENES'!$O171=$B$3),IF($D$3="(todos)",TRUE,'ORDENES'!$AF171=$D$3),IF($F$3="(todos)",TRUE,'ORDENES'!$X171=$F$3),IF($H$3="(todos)",TRUE,'ORDENES'!$W171=$H$3),'ORDENES'!$AD171=TRUE,'ORDENES'!$A171&lt;&gt;""),1,0)</f>
        <v/>
      </c>
      <c r="L175" s="3">
        <f>IF(K175=1,IFERROR(MATCH('ORDENES'!$R171,lista_dias,0),9)*1000000000+IFERROR(MATCH('ORDENES'!$AF171,lista_turnos,0),9)*10000000+IFERROR(MATCH('ORDENES'!$AE171,tblTecnicos[nombre],0),99)*100000+168,9000000000000+168)</f>
        <v/>
      </c>
      <c r="M175" s="3">
        <f>IF(K175=1,SUMPRODUCT(--($L$8:$L$1207&lt;L175))+1,"")</f>
        <v/>
      </c>
      <c r="N175" s="17">
        <f>IF(K175=1,N('ORDENES'!$M171),0)</f>
        <v/>
      </c>
      <c r="O175" s="17">
        <f>IF('ORDENES'!$T171="preventiva",N175,0)</f>
        <v/>
      </c>
      <c r="P175" s="17">
        <f>IF('ORDENES'!$T171="correctiva",N175,0)</f>
        <v/>
      </c>
      <c r="Q175" s="3">
        <f>IF(AND(K175=1,'ORDENES'!$N171="Pendiente"),1,0)</f>
        <v/>
      </c>
      <c r="R175" s="3">
        <f>IF(Q175=1,100000-N175*1000+168*0.01,9000000000000+168)</f>
        <v/>
      </c>
      <c r="S175" s="3">
        <f>IF(Q175=1,SUMPRODUCT(--($R$8:$R$1207&lt;R175))+1,"")</f>
        <v/>
      </c>
      <c r="T175" s="12">
        <f>IF(K175=1,'ORDENES'!$J171,"")</f>
        <v/>
      </c>
      <c r="U175" s="3">
        <f>IFERROR(MATCH(168,$M$8:$M$1207,0),"")</f>
        <v/>
      </c>
      <c r="V175" s="3">
        <f>IF(U175="","",INDEX(tblOrdenes[dia_semana],U175))</f>
        <v/>
      </c>
      <c r="W175" s="3">
        <f>IF(U175="","",IF(V175&lt;&gt;V174,CHAR(10)&amp;UPPER(LEFT(V175,1))&amp;MID(V175,2,20)&amp;":"&amp;CHAR(10),"")&amp;"   "&amp;IF(INDEX(tblOrdenes[turno_asignado],U175)="","(s/t)",INDEX(tblOrdenes[turno_asignado],U175))&amp;" · "&amp;IF(INDEX(tblOrdenes[tecnico_asignado],U175)="","(sin técnico)",INDEX(tblOrdenes[tecnico_asignado],U175))&amp;" · "&amp;INDEX(tblOrdenes[id_operacion],U175)&amp;" — "&amp;INDEX(tblOrdenes[descripcion_operacion],U175)&amp;" ("&amp;TEXT(INDEX(tblOrdenes[horas_efectivas],U175),"0.#")&amp;" h)")</f>
        <v/>
      </c>
    </row>
    <row r="176">
      <c r="K176" s="3">
        <f>IF(AND(IF($B$3="(todos)",TRUE,'ORDENES'!$O172=$B$3),IF($D$3="(todos)",TRUE,'ORDENES'!$AF172=$D$3),IF($F$3="(todos)",TRUE,'ORDENES'!$X172=$F$3),IF($H$3="(todos)",TRUE,'ORDENES'!$W172=$H$3),'ORDENES'!$AD172=TRUE,'ORDENES'!$A172&lt;&gt;""),1,0)</f>
        <v/>
      </c>
      <c r="L176" s="3">
        <f>IF(K176=1,IFERROR(MATCH('ORDENES'!$R172,lista_dias,0),9)*1000000000+IFERROR(MATCH('ORDENES'!$AF172,lista_turnos,0),9)*10000000+IFERROR(MATCH('ORDENES'!$AE172,tblTecnicos[nombre],0),99)*100000+169,9000000000000+169)</f>
        <v/>
      </c>
      <c r="M176" s="3">
        <f>IF(K176=1,SUMPRODUCT(--($L$8:$L$1207&lt;L176))+1,"")</f>
        <v/>
      </c>
      <c r="N176" s="17">
        <f>IF(K176=1,N('ORDENES'!$M172),0)</f>
        <v/>
      </c>
      <c r="O176" s="17">
        <f>IF('ORDENES'!$T172="preventiva",N176,0)</f>
        <v/>
      </c>
      <c r="P176" s="17">
        <f>IF('ORDENES'!$T172="correctiva",N176,0)</f>
        <v/>
      </c>
      <c r="Q176" s="3">
        <f>IF(AND(K176=1,'ORDENES'!$N172="Pendiente"),1,0)</f>
        <v/>
      </c>
      <c r="R176" s="3">
        <f>IF(Q176=1,100000-N176*1000+169*0.01,9000000000000+169)</f>
        <v/>
      </c>
      <c r="S176" s="3">
        <f>IF(Q176=1,SUMPRODUCT(--($R$8:$R$1207&lt;R176))+1,"")</f>
        <v/>
      </c>
      <c r="T176" s="12">
        <f>IF(K176=1,'ORDENES'!$J172,"")</f>
        <v/>
      </c>
      <c r="U176" s="3">
        <f>IFERROR(MATCH(169,$M$8:$M$1207,0),"")</f>
        <v/>
      </c>
      <c r="V176" s="3">
        <f>IF(U176="","",INDEX(tblOrdenes[dia_semana],U176))</f>
        <v/>
      </c>
      <c r="W176" s="3">
        <f>IF(U176="","",IF(V176&lt;&gt;V175,CHAR(10)&amp;UPPER(LEFT(V176,1))&amp;MID(V176,2,20)&amp;":"&amp;CHAR(10),"")&amp;"   "&amp;IF(INDEX(tblOrdenes[turno_asignado],U176)="","(s/t)",INDEX(tblOrdenes[turno_asignado],U176))&amp;" · "&amp;IF(INDEX(tblOrdenes[tecnico_asignado],U176)="","(sin técnico)",INDEX(tblOrdenes[tecnico_asignado],U176))&amp;" · "&amp;INDEX(tblOrdenes[id_operacion],U176)&amp;" — "&amp;INDEX(tblOrdenes[descripcion_operacion],U176)&amp;" ("&amp;TEXT(INDEX(tblOrdenes[horas_efectivas],U176),"0.#")&amp;" h)")</f>
        <v/>
      </c>
    </row>
    <row r="177">
      <c r="K177" s="3">
        <f>IF(AND(IF($B$3="(todos)",TRUE,'ORDENES'!$O173=$B$3),IF($D$3="(todos)",TRUE,'ORDENES'!$AF173=$D$3),IF($F$3="(todos)",TRUE,'ORDENES'!$X173=$F$3),IF($H$3="(todos)",TRUE,'ORDENES'!$W173=$H$3),'ORDENES'!$AD173=TRUE,'ORDENES'!$A173&lt;&gt;""),1,0)</f>
        <v/>
      </c>
      <c r="L177" s="3">
        <f>IF(K177=1,IFERROR(MATCH('ORDENES'!$R173,lista_dias,0),9)*1000000000+IFERROR(MATCH('ORDENES'!$AF173,lista_turnos,0),9)*10000000+IFERROR(MATCH('ORDENES'!$AE173,tblTecnicos[nombre],0),99)*100000+170,9000000000000+170)</f>
        <v/>
      </c>
      <c r="M177" s="3">
        <f>IF(K177=1,SUMPRODUCT(--($L$8:$L$1207&lt;L177))+1,"")</f>
        <v/>
      </c>
      <c r="N177" s="17">
        <f>IF(K177=1,N('ORDENES'!$M173),0)</f>
        <v/>
      </c>
      <c r="O177" s="17">
        <f>IF('ORDENES'!$T173="preventiva",N177,0)</f>
        <v/>
      </c>
      <c r="P177" s="17">
        <f>IF('ORDENES'!$T173="correctiva",N177,0)</f>
        <v/>
      </c>
      <c r="Q177" s="3">
        <f>IF(AND(K177=1,'ORDENES'!$N173="Pendiente"),1,0)</f>
        <v/>
      </c>
      <c r="R177" s="3">
        <f>IF(Q177=1,100000-N177*1000+170*0.01,9000000000000+170)</f>
        <v/>
      </c>
      <c r="S177" s="3">
        <f>IF(Q177=1,SUMPRODUCT(--($R$8:$R$1207&lt;R177))+1,"")</f>
        <v/>
      </c>
      <c r="T177" s="12">
        <f>IF(K177=1,'ORDENES'!$J173,"")</f>
        <v/>
      </c>
      <c r="U177" s="3">
        <f>IFERROR(MATCH(170,$M$8:$M$1207,0),"")</f>
        <v/>
      </c>
      <c r="V177" s="3">
        <f>IF(U177="","",INDEX(tblOrdenes[dia_semana],U177))</f>
        <v/>
      </c>
      <c r="W177" s="3">
        <f>IF(U177="","",IF(V177&lt;&gt;V176,CHAR(10)&amp;UPPER(LEFT(V177,1))&amp;MID(V177,2,20)&amp;":"&amp;CHAR(10),"")&amp;"   "&amp;IF(INDEX(tblOrdenes[turno_asignado],U177)="","(s/t)",INDEX(tblOrdenes[turno_asignado],U177))&amp;" · "&amp;IF(INDEX(tblOrdenes[tecnico_asignado],U177)="","(sin técnico)",INDEX(tblOrdenes[tecnico_asignado],U177))&amp;" · "&amp;INDEX(tblOrdenes[id_operacion],U177)&amp;" — "&amp;INDEX(tblOrdenes[descripcion_operacion],U177)&amp;" ("&amp;TEXT(INDEX(tblOrdenes[horas_efectivas],U177),"0.#")&amp;" h)")</f>
        <v/>
      </c>
    </row>
    <row r="178">
      <c r="K178" s="3">
        <f>IF(AND(IF($B$3="(todos)",TRUE,'ORDENES'!$O174=$B$3),IF($D$3="(todos)",TRUE,'ORDENES'!$AF174=$D$3),IF($F$3="(todos)",TRUE,'ORDENES'!$X174=$F$3),IF($H$3="(todos)",TRUE,'ORDENES'!$W174=$H$3),'ORDENES'!$AD174=TRUE,'ORDENES'!$A174&lt;&gt;""),1,0)</f>
        <v/>
      </c>
      <c r="L178" s="3">
        <f>IF(K178=1,IFERROR(MATCH('ORDENES'!$R174,lista_dias,0),9)*1000000000+IFERROR(MATCH('ORDENES'!$AF174,lista_turnos,0),9)*10000000+IFERROR(MATCH('ORDENES'!$AE174,tblTecnicos[nombre],0),99)*100000+171,9000000000000+171)</f>
        <v/>
      </c>
      <c r="M178" s="3">
        <f>IF(K178=1,SUMPRODUCT(--($L$8:$L$1207&lt;L178))+1,"")</f>
        <v/>
      </c>
      <c r="N178" s="17">
        <f>IF(K178=1,N('ORDENES'!$M174),0)</f>
        <v/>
      </c>
      <c r="O178" s="17">
        <f>IF('ORDENES'!$T174="preventiva",N178,0)</f>
        <v/>
      </c>
      <c r="P178" s="17">
        <f>IF('ORDENES'!$T174="correctiva",N178,0)</f>
        <v/>
      </c>
      <c r="Q178" s="3">
        <f>IF(AND(K178=1,'ORDENES'!$N174="Pendiente"),1,0)</f>
        <v/>
      </c>
      <c r="R178" s="3">
        <f>IF(Q178=1,100000-N178*1000+171*0.01,9000000000000+171)</f>
        <v/>
      </c>
      <c r="S178" s="3">
        <f>IF(Q178=1,SUMPRODUCT(--($R$8:$R$1207&lt;R178))+1,"")</f>
        <v/>
      </c>
      <c r="T178" s="12">
        <f>IF(K178=1,'ORDENES'!$J174,"")</f>
        <v/>
      </c>
      <c r="U178" s="3">
        <f>IFERROR(MATCH(171,$M$8:$M$1207,0),"")</f>
        <v/>
      </c>
      <c r="V178" s="3">
        <f>IF(U178="","",INDEX(tblOrdenes[dia_semana],U178))</f>
        <v/>
      </c>
      <c r="W178" s="3">
        <f>IF(U178="","",IF(V178&lt;&gt;V177,CHAR(10)&amp;UPPER(LEFT(V178,1))&amp;MID(V178,2,20)&amp;":"&amp;CHAR(10),"")&amp;"   "&amp;IF(INDEX(tblOrdenes[turno_asignado],U178)="","(s/t)",INDEX(tblOrdenes[turno_asignado],U178))&amp;" · "&amp;IF(INDEX(tblOrdenes[tecnico_asignado],U178)="","(sin técnico)",INDEX(tblOrdenes[tecnico_asignado],U178))&amp;" · "&amp;INDEX(tblOrdenes[id_operacion],U178)&amp;" — "&amp;INDEX(tblOrdenes[descripcion_operacion],U178)&amp;" ("&amp;TEXT(INDEX(tblOrdenes[horas_efectivas],U178),"0.#")&amp;" h)")</f>
        <v/>
      </c>
    </row>
    <row r="179">
      <c r="K179" s="3">
        <f>IF(AND(IF($B$3="(todos)",TRUE,'ORDENES'!$O175=$B$3),IF($D$3="(todos)",TRUE,'ORDENES'!$AF175=$D$3),IF($F$3="(todos)",TRUE,'ORDENES'!$X175=$F$3),IF($H$3="(todos)",TRUE,'ORDENES'!$W175=$H$3),'ORDENES'!$AD175=TRUE,'ORDENES'!$A175&lt;&gt;""),1,0)</f>
        <v/>
      </c>
      <c r="L179" s="3">
        <f>IF(K179=1,IFERROR(MATCH('ORDENES'!$R175,lista_dias,0),9)*1000000000+IFERROR(MATCH('ORDENES'!$AF175,lista_turnos,0),9)*10000000+IFERROR(MATCH('ORDENES'!$AE175,tblTecnicos[nombre],0),99)*100000+172,9000000000000+172)</f>
        <v/>
      </c>
      <c r="M179" s="3">
        <f>IF(K179=1,SUMPRODUCT(--($L$8:$L$1207&lt;L179))+1,"")</f>
        <v/>
      </c>
      <c r="N179" s="17">
        <f>IF(K179=1,N('ORDENES'!$M175),0)</f>
        <v/>
      </c>
      <c r="O179" s="17">
        <f>IF('ORDENES'!$T175="preventiva",N179,0)</f>
        <v/>
      </c>
      <c r="P179" s="17">
        <f>IF('ORDENES'!$T175="correctiva",N179,0)</f>
        <v/>
      </c>
      <c r="Q179" s="3">
        <f>IF(AND(K179=1,'ORDENES'!$N175="Pendiente"),1,0)</f>
        <v/>
      </c>
      <c r="R179" s="3">
        <f>IF(Q179=1,100000-N179*1000+172*0.01,9000000000000+172)</f>
        <v/>
      </c>
      <c r="S179" s="3">
        <f>IF(Q179=1,SUMPRODUCT(--($R$8:$R$1207&lt;R179))+1,"")</f>
        <v/>
      </c>
      <c r="T179" s="12">
        <f>IF(K179=1,'ORDENES'!$J175,"")</f>
        <v/>
      </c>
      <c r="U179" s="3">
        <f>IFERROR(MATCH(172,$M$8:$M$1207,0),"")</f>
        <v/>
      </c>
      <c r="V179" s="3">
        <f>IF(U179="","",INDEX(tblOrdenes[dia_semana],U179))</f>
        <v/>
      </c>
      <c r="W179" s="3">
        <f>IF(U179="","",IF(V179&lt;&gt;V178,CHAR(10)&amp;UPPER(LEFT(V179,1))&amp;MID(V179,2,20)&amp;":"&amp;CHAR(10),"")&amp;"   "&amp;IF(INDEX(tblOrdenes[turno_asignado],U179)="","(s/t)",INDEX(tblOrdenes[turno_asignado],U179))&amp;" · "&amp;IF(INDEX(tblOrdenes[tecnico_asignado],U179)="","(sin técnico)",INDEX(tblOrdenes[tecnico_asignado],U179))&amp;" · "&amp;INDEX(tblOrdenes[id_operacion],U179)&amp;" — "&amp;INDEX(tblOrdenes[descripcion_operacion],U179)&amp;" ("&amp;TEXT(INDEX(tblOrdenes[horas_efectivas],U179),"0.#")&amp;" h)")</f>
        <v/>
      </c>
    </row>
    <row r="180">
      <c r="K180" s="3">
        <f>IF(AND(IF($B$3="(todos)",TRUE,'ORDENES'!$O176=$B$3),IF($D$3="(todos)",TRUE,'ORDENES'!$AF176=$D$3),IF($F$3="(todos)",TRUE,'ORDENES'!$X176=$F$3),IF($H$3="(todos)",TRUE,'ORDENES'!$W176=$H$3),'ORDENES'!$AD176=TRUE,'ORDENES'!$A176&lt;&gt;""),1,0)</f>
        <v/>
      </c>
      <c r="L180" s="3">
        <f>IF(K180=1,IFERROR(MATCH('ORDENES'!$R176,lista_dias,0),9)*1000000000+IFERROR(MATCH('ORDENES'!$AF176,lista_turnos,0),9)*10000000+IFERROR(MATCH('ORDENES'!$AE176,tblTecnicos[nombre],0),99)*100000+173,9000000000000+173)</f>
        <v/>
      </c>
      <c r="M180" s="3">
        <f>IF(K180=1,SUMPRODUCT(--($L$8:$L$1207&lt;L180))+1,"")</f>
        <v/>
      </c>
      <c r="N180" s="17">
        <f>IF(K180=1,N('ORDENES'!$M176),0)</f>
        <v/>
      </c>
      <c r="O180" s="17">
        <f>IF('ORDENES'!$T176="preventiva",N180,0)</f>
        <v/>
      </c>
      <c r="P180" s="17">
        <f>IF('ORDENES'!$T176="correctiva",N180,0)</f>
        <v/>
      </c>
      <c r="Q180" s="3">
        <f>IF(AND(K180=1,'ORDENES'!$N176="Pendiente"),1,0)</f>
        <v/>
      </c>
      <c r="R180" s="3">
        <f>IF(Q180=1,100000-N180*1000+173*0.01,9000000000000+173)</f>
        <v/>
      </c>
      <c r="S180" s="3">
        <f>IF(Q180=1,SUMPRODUCT(--($R$8:$R$1207&lt;R180))+1,"")</f>
        <v/>
      </c>
      <c r="T180" s="12">
        <f>IF(K180=1,'ORDENES'!$J176,"")</f>
        <v/>
      </c>
      <c r="U180" s="3">
        <f>IFERROR(MATCH(173,$M$8:$M$1207,0),"")</f>
        <v/>
      </c>
      <c r="V180" s="3">
        <f>IF(U180="","",INDEX(tblOrdenes[dia_semana],U180))</f>
        <v/>
      </c>
      <c r="W180" s="3">
        <f>IF(U180="","",IF(V180&lt;&gt;V179,CHAR(10)&amp;UPPER(LEFT(V180,1))&amp;MID(V180,2,20)&amp;":"&amp;CHAR(10),"")&amp;"   "&amp;IF(INDEX(tblOrdenes[turno_asignado],U180)="","(s/t)",INDEX(tblOrdenes[turno_asignado],U180))&amp;" · "&amp;IF(INDEX(tblOrdenes[tecnico_asignado],U180)="","(sin técnico)",INDEX(tblOrdenes[tecnico_asignado],U180))&amp;" · "&amp;INDEX(tblOrdenes[id_operacion],U180)&amp;" — "&amp;INDEX(tblOrdenes[descripcion_operacion],U180)&amp;" ("&amp;TEXT(INDEX(tblOrdenes[horas_efectivas],U180),"0.#")&amp;" h)")</f>
        <v/>
      </c>
    </row>
    <row r="181">
      <c r="K181" s="3">
        <f>IF(AND(IF($B$3="(todos)",TRUE,'ORDENES'!$O177=$B$3),IF($D$3="(todos)",TRUE,'ORDENES'!$AF177=$D$3),IF($F$3="(todos)",TRUE,'ORDENES'!$X177=$F$3),IF($H$3="(todos)",TRUE,'ORDENES'!$W177=$H$3),'ORDENES'!$AD177=TRUE,'ORDENES'!$A177&lt;&gt;""),1,0)</f>
        <v/>
      </c>
      <c r="L181" s="3">
        <f>IF(K181=1,IFERROR(MATCH('ORDENES'!$R177,lista_dias,0),9)*1000000000+IFERROR(MATCH('ORDENES'!$AF177,lista_turnos,0),9)*10000000+IFERROR(MATCH('ORDENES'!$AE177,tblTecnicos[nombre],0),99)*100000+174,9000000000000+174)</f>
        <v/>
      </c>
      <c r="M181" s="3">
        <f>IF(K181=1,SUMPRODUCT(--($L$8:$L$1207&lt;L181))+1,"")</f>
        <v/>
      </c>
      <c r="N181" s="17">
        <f>IF(K181=1,N('ORDENES'!$M177),0)</f>
        <v/>
      </c>
      <c r="O181" s="17">
        <f>IF('ORDENES'!$T177="preventiva",N181,0)</f>
        <v/>
      </c>
      <c r="P181" s="17">
        <f>IF('ORDENES'!$T177="correctiva",N181,0)</f>
        <v/>
      </c>
      <c r="Q181" s="3">
        <f>IF(AND(K181=1,'ORDENES'!$N177="Pendiente"),1,0)</f>
        <v/>
      </c>
      <c r="R181" s="3">
        <f>IF(Q181=1,100000-N181*1000+174*0.01,9000000000000+174)</f>
        <v/>
      </c>
      <c r="S181" s="3">
        <f>IF(Q181=1,SUMPRODUCT(--($R$8:$R$1207&lt;R181))+1,"")</f>
        <v/>
      </c>
      <c r="T181" s="12">
        <f>IF(K181=1,'ORDENES'!$J177,"")</f>
        <v/>
      </c>
      <c r="U181" s="3">
        <f>IFERROR(MATCH(174,$M$8:$M$1207,0),"")</f>
        <v/>
      </c>
      <c r="V181" s="3">
        <f>IF(U181="","",INDEX(tblOrdenes[dia_semana],U181))</f>
        <v/>
      </c>
      <c r="W181" s="3">
        <f>IF(U181="","",IF(V181&lt;&gt;V180,CHAR(10)&amp;UPPER(LEFT(V181,1))&amp;MID(V181,2,20)&amp;":"&amp;CHAR(10),"")&amp;"   "&amp;IF(INDEX(tblOrdenes[turno_asignado],U181)="","(s/t)",INDEX(tblOrdenes[turno_asignado],U181))&amp;" · "&amp;IF(INDEX(tblOrdenes[tecnico_asignado],U181)="","(sin técnico)",INDEX(tblOrdenes[tecnico_asignado],U181))&amp;" · "&amp;INDEX(tblOrdenes[id_operacion],U181)&amp;" — "&amp;INDEX(tblOrdenes[descripcion_operacion],U181)&amp;" ("&amp;TEXT(INDEX(tblOrdenes[horas_efectivas],U181),"0.#")&amp;" h)")</f>
        <v/>
      </c>
    </row>
    <row r="182">
      <c r="K182" s="3">
        <f>IF(AND(IF($B$3="(todos)",TRUE,'ORDENES'!$O178=$B$3),IF($D$3="(todos)",TRUE,'ORDENES'!$AF178=$D$3),IF($F$3="(todos)",TRUE,'ORDENES'!$X178=$F$3),IF($H$3="(todos)",TRUE,'ORDENES'!$W178=$H$3),'ORDENES'!$AD178=TRUE,'ORDENES'!$A178&lt;&gt;""),1,0)</f>
        <v/>
      </c>
      <c r="L182" s="3">
        <f>IF(K182=1,IFERROR(MATCH('ORDENES'!$R178,lista_dias,0),9)*1000000000+IFERROR(MATCH('ORDENES'!$AF178,lista_turnos,0),9)*10000000+IFERROR(MATCH('ORDENES'!$AE178,tblTecnicos[nombre],0),99)*100000+175,9000000000000+175)</f>
        <v/>
      </c>
      <c r="M182" s="3">
        <f>IF(K182=1,SUMPRODUCT(--($L$8:$L$1207&lt;L182))+1,"")</f>
        <v/>
      </c>
      <c r="N182" s="17">
        <f>IF(K182=1,N('ORDENES'!$M178),0)</f>
        <v/>
      </c>
      <c r="O182" s="17">
        <f>IF('ORDENES'!$T178="preventiva",N182,0)</f>
        <v/>
      </c>
      <c r="P182" s="17">
        <f>IF('ORDENES'!$T178="correctiva",N182,0)</f>
        <v/>
      </c>
      <c r="Q182" s="3">
        <f>IF(AND(K182=1,'ORDENES'!$N178="Pendiente"),1,0)</f>
        <v/>
      </c>
      <c r="R182" s="3">
        <f>IF(Q182=1,100000-N182*1000+175*0.01,9000000000000+175)</f>
        <v/>
      </c>
      <c r="S182" s="3">
        <f>IF(Q182=1,SUMPRODUCT(--($R$8:$R$1207&lt;R182))+1,"")</f>
        <v/>
      </c>
      <c r="T182" s="12">
        <f>IF(K182=1,'ORDENES'!$J178,"")</f>
        <v/>
      </c>
      <c r="U182" s="3">
        <f>IFERROR(MATCH(175,$M$8:$M$1207,0),"")</f>
        <v/>
      </c>
      <c r="V182" s="3">
        <f>IF(U182="","",INDEX(tblOrdenes[dia_semana],U182))</f>
        <v/>
      </c>
      <c r="W182" s="3">
        <f>IF(U182="","",IF(V182&lt;&gt;V181,CHAR(10)&amp;UPPER(LEFT(V182,1))&amp;MID(V182,2,20)&amp;":"&amp;CHAR(10),"")&amp;"   "&amp;IF(INDEX(tblOrdenes[turno_asignado],U182)="","(s/t)",INDEX(tblOrdenes[turno_asignado],U182))&amp;" · "&amp;IF(INDEX(tblOrdenes[tecnico_asignado],U182)="","(sin técnico)",INDEX(tblOrdenes[tecnico_asignado],U182))&amp;" · "&amp;INDEX(tblOrdenes[id_operacion],U182)&amp;" — "&amp;INDEX(tblOrdenes[descripcion_operacion],U182)&amp;" ("&amp;TEXT(INDEX(tblOrdenes[horas_efectivas],U182),"0.#")&amp;" h)")</f>
        <v/>
      </c>
    </row>
    <row r="183">
      <c r="K183" s="3">
        <f>IF(AND(IF($B$3="(todos)",TRUE,'ORDENES'!$O179=$B$3),IF($D$3="(todos)",TRUE,'ORDENES'!$AF179=$D$3),IF($F$3="(todos)",TRUE,'ORDENES'!$X179=$F$3),IF($H$3="(todos)",TRUE,'ORDENES'!$W179=$H$3),'ORDENES'!$AD179=TRUE,'ORDENES'!$A179&lt;&gt;""),1,0)</f>
        <v/>
      </c>
      <c r="L183" s="3">
        <f>IF(K183=1,IFERROR(MATCH('ORDENES'!$R179,lista_dias,0),9)*1000000000+IFERROR(MATCH('ORDENES'!$AF179,lista_turnos,0),9)*10000000+IFERROR(MATCH('ORDENES'!$AE179,tblTecnicos[nombre],0),99)*100000+176,9000000000000+176)</f>
        <v/>
      </c>
      <c r="M183" s="3">
        <f>IF(K183=1,SUMPRODUCT(--($L$8:$L$1207&lt;L183))+1,"")</f>
        <v/>
      </c>
      <c r="N183" s="17">
        <f>IF(K183=1,N('ORDENES'!$M179),0)</f>
        <v/>
      </c>
      <c r="O183" s="17">
        <f>IF('ORDENES'!$T179="preventiva",N183,0)</f>
        <v/>
      </c>
      <c r="P183" s="17">
        <f>IF('ORDENES'!$T179="correctiva",N183,0)</f>
        <v/>
      </c>
      <c r="Q183" s="3">
        <f>IF(AND(K183=1,'ORDENES'!$N179="Pendiente"),1,0)</f>
        <v/>
      </c>
      <c r="R183" s="3">
        <f>IF(Q183=1,100000-N183*1000+176*0.01,9000000000000+176)</f>
        <v/>
      </c>
      <c r="S183" s="3">
        <f>IF(Q183=1,SUMPRODUCT(--($R$8:$R$1207&lt;R183))+1,"")</f>
        <v/>
      </c>
      <c r="T183" s="12">
        <f>IF(K183=1,'ORDENES'!$J179,"")</f>
        <v/>
      </c>
      <c r="U183" s="3">
        <f>IFERROR(MATCH(176,$M$8:$M$1207,0),"")</f>
        <v/>
      </c>
      <c r="V183" s="3">
        <f>IF(U183="","",INDEX(tblOrdenes[dia_semana],U183))</f>
        <v/>
      </c>
      <c r="W183" s="3">
        <f>IF(U183="","",IF(V183&lt;&gt;V182,CHAR(10)&amp;UPPER(LEFT(V183,1))&amp;MID(V183,2,20)&amp;":"&amp;CHAR(10),"")&amp;"   "&amp;IF(INDEX(tblOrdenes[turno_asignado],U183)="","(s/t)",INDEX(tblOrdenes[turno_asignado],U183))&amp;" · "&amp;IF(INDEX(tblOrdenes[tecnico_asignado],U183)="","(sin técnico)",INDEX(tblOrdenes[tecnico_asignado],U183))&amp;" · "&amp;INDEX(tblOrdenes[id_operacion],U183)&amp;" — "&amp;INDEX(tblOrdenes[descripcion_operacion],U183)&amp;" ("&amp;TEXT(INDEX(tblOrdenes[horas_efectivas],U183),"0.#")&amp;" h)")</f>
        <v/>
      </c>
    </row>
    <row r="184">
      <c r="K184" s="3">
        <f>IF(AND(IF($B$3="(todos)",TRUE,'ORDENES'!$O180=$B$3),IF($D$3="(todos)",TRUE,'ORDENES'!$AF180=$D$3),IF($F$3="(todos)",TRUE,'ORDENES'!$X180=$F$3),IF($H$3="(todos)",TRUE,'ORDENES'!$W180=$H$3),'ORDENES'!$AD180=TRUE,'ORDENES'!$A180&lt;&gt;""),1,0)</f>
        <v/>
      </c>
      <c r="L184" s="3">
        <f>IF(K184=1,IFERROR(MATCH('ORDENES'!$R180,lista_dias,0),9)*1000000000+IFERROR(MATCH('ORDENES'!$AF180,lista_turnos,0),9)*10000000+IFERROR(MATCH('ORDENES'!$AE180,tblTecnicos[nombre],0),99)*100000+177,9000000000000+177)</f>
        <v/>
      </c>
      <c r="M184" s="3">
        <f>IF(K184=1,SUMPRODUCT(--($L$8:$L$1207&lt;L184))+1,"")</f>
        <v/>
      </c>
      <c r="N184" s="17">
        <f>IF(K184=1,N('ORDENES'!$M180),0)</f>
        <v/>
      </c>
      <c r="O184" s="17">
        <f>IF('ORDENES'!$T180="preventiva",N184,0)</f>
        <v/>
      </c>
      <c r="P184" s="17">
        <f>IF('ORDENES'!$T180="correctiva",N184,0)</f>
        <v/>
      </c>
      <c r="Q184" s="3">
        <f>IF(AND(K184=1,'ORDENES'!$N180="Pendiente"),1,0)</f>
        <v/>
      </c>
      <c r="R184" s="3">
        <f>IF(Q184=1,100000-N184*1000+177*0.01,9000000000000+177)</f>
        <v/>
      </c>
      <c r="S184" s="3">
        <f>IF(Q184=1,SUMPRODUCT(--($R$8:$R$1207&lt;R184))+1,"")</f>
        <v/>
      </c>
      <c r="T184" s="12">
        <f>IF(K184=1,'ORDENES'!$J180,"")</f>
        <v/>
      </c>
      <c r="U184" s="3">
        <f>IFERROR(MATCH(177,$M$8:$M$1207,0),"")</f>
        <v/>
      </c>
      <c r="V184" s="3">
        <f>IF(U184="","",INDEX(tblOrdenes[dia_semana],U184))</f>
        <v/>
      </c>
      <c r="W184" s="3">
        <f>IF(U184="","",IF(V184&lt;&gt;V183,CHAR(10)&amp;UPPER(LEFT(V184,1))&amp;MID(V184,2,20)&amp;":"&amp;CHAR(10),"")&amp;"   "&amp;IF(INDEX(tblOrdenes[turno_asignado],U184)="","(s/t)",INDEX(tblOrdenes[turno_asignado],U184))&amp;" · "&amp;IF(INDEX(tblOrdenes[tecnico_asignado],U184)="","(sin técnico)",INDEX(tblOrdenes[tecnico_asignado],U184))&amp;" · "&amp;INDEX(tblOrdenes[id_operacion],U184)&amp;" — "&amp;INDEX(tblOrdenes[descripcion_operacion],U184)&amp;" ("&amp;TEXT(INDEX(tblOrdenes[horas_efectivas],U184),"0.#")&amp;" h)")</f>
        <v/>
      </c>
    </row>
    <row r="185">
      <c r="K185" s="3">
        <f>IF(AND(IF($B$3="(todos)",TRUE,'ORDENES'!$O181=$B$3),IF($D$3="(todos)",TRUE,'ORDENES'!$AF181=$D$3),IF($F$3="(todos)",TRUE,'ORDENES'!$X181=$F$3),IF($H$3="(todos)",TRUE,'ORDENES'!$W181=$H$3),'ORDENES'!$AD181=TRUE,'ORDENES'!$A181&lt;&gt;""),1,0)</f>
        <v/>
      </c>
      <c r="L185" s="3">
        <f>IF(K185=1,IFERROR(MATCH('ORDENES'!$R181,lista_dias,0),9)*1000000000+IFERROR(MATCH('ORDENES'!$AF181,lista_turnos,0),9)*10000000+IFERROR(MATCH('ORDENES'!$AE181,tblTecnicos[nombre],0),99)*100000+178,9000000000000+178)</f>
        <v/>
      </c>
      <c r="M185" s="3">
        <f>IF(K185=1,SUMPRODUCT(--($L$8:$L$1207&lt;L185))+1,"")</f>
        <v/>
      </c>
      <c r="N185" s="17">
        <f>IF(K185=1,N('ORDENES'!$M181),0)</f>
        <v/>
      </c>
      <c r="O185" s="17">
        <f>IF('ORDENES'!$T181="preventiva",N185,0)</f>
        <v/>
      </c>
      <c r="P185" s="17">
        <f>IF('ORDENES'!$T181="correctiva",N185,0)</f>
        <v/>
      </c>
      <c r="Q185" s="3">
        <f>IF(AND(K185=1,'ORDENES'!$N181="Pendiente"),1,0)</f>
        <v/>
      </c>
      <c r="R185" s="3">
        <f>IF(Q185=1,100000-N185*1000+178*0.01,9000000000000+178)</f>
        <v/>
      </c>
      <c r="S185" s="3">
        <f>IF(Q185=1,SUMPRODUCT(--($R$8:$R$1207&lt;R185))+1,"")</f>
        <v/>
      </c>
      <c r="T185" s="12">
        <f>IF(K185=1,'ORDENES'!$J181,"")</f>
        <v/>
      </c>
      <c r="U185" s="3">
        <f>IFERROR(MATCH(178,$M$8:$M$1207,0),"")</f>
        <v/>
      </c>
      <c r="V185" s="3">
        <f>IF(U185="","",INDEX(tblOrdenes[dia_semana],U185))</f>
        <v/>
      </c>
      <c r="W185" s="3">
        <f>IF(U185="","",IF(V185&lt;&gt;V184,CHAR(10)&amp;UPPER(LEFT(V185,1))&amp;MID(V185,2,20)&amp;":"&amp;CHAR(10),"")&amp;"   "&amp;IF(INDEX(tblOrdenes[turno_asignado],U185)="","(s/t)",INDEX(tblOrdenes[turno_asignado],U185))&amp;" · "&amp;IF(INDEX(tblOrdenes[tecnico_asignado],U185)="","(sin técnico)",INDEX(tblOrdenes[tecnico_asignado],U185))&amp;" · "&amp;INDEX(tblOrdenes[id_operacion],U185)&amp;" — "&amp;INDEX(tblOrdenes[descripcion_operacion],U185)&amp;" ("&amp;TEXT(INDEX(tblOrdenes[horas_efectivas],U185),"0.#")&amp;" h)")</f>
        <v/>
      </c>
    </row>
    <row r="186">
      <c r="K186" s="3">
        <f>IF(AND(IF($B$3="(todos)",TRUE,'ORDENES'!$O182=$B$3),IF($D$3="(todos)",TRUE,'ORDENES'!$AF182=$D$3),IF($F$3="(todos)",TRUE,'ORDENES'!$X182=$F$3),IF($H$3="(todos)",TRUE,'ORDENES'!$W182=$H$3),'ORDENES'!$AD182=TRUE,'ORDENES'!$A182&lt;&gt;""),1,0)</f>
        <v/>
      </c>
      <c r="L186" s="3">
        <f>IF(K186=1,IFERROR(MATCH('ORDENES'!$R182,lista_dias,0),9)*1000000000+IFERROR(MATCH('ORDENES'!$AF182,lista_turnos,0),9)*10000000+IFERROR(MATCH('ORDENES'!$AE182,tblTecnicos[nombre],0),99)*100000+179,9000000000000+179)</f>
        <v/>
      </c>
      <c r="M186" s="3">
        <f>IF(K186=1,SUMPRODUCT(--($L$8:$L$1207&lt;L186))+1,"")</f>
        <v/>
      </c>
      <c r="N186" s="17">
        <f>IF(K186=1,N('ORDENES'!$M182),0)</f>
        <v/>
      </c>
      <c r="O186" s="17">
        <f>IF('ORDENES'!$T182="preventiva",N186,0)</f>
        <v/>
      </c>
      <c r="P186" s="17">
        <f>IF('ORDENES'!$T182="correctiva",N186,0)</f>
        <v/>
      </c>
      <c r="Q186" s="3">
        <f>IF(AND(K186=1,'ORDENES'!$N182="Pendiente"),1,0)</f>
        <v/>
      </c>
      <c r="R186" s="3">
        <f>IF(Q186=1,100000-N186*1000+179*0.01,9000000000000+179)</f>
        <v/>
      </c>
      <c r="S186" s="3">
        <f>IF(Q186=1,SUMPRODUCT(--($R$8:$R$1207&lt;R186))+1,"")</f>
        <v/>
      </c>
      <c r="T186" s="12">
        <f>IF(K186=1,'ORDENES'!$J182,"")</f>
        <v/>
      </c>
      <c r="U186" s="3">
        <f>IFERROR(MATCH(179,$M$8:$M$1207,0),"")</f>
        <v/>
      </c>
      <c r="V186" s="3">
        <f>IF(U186="","",INDEX(tblOrdenes[dia_semana],U186))</f>
        <v/>
      </c>
      <c r="W186" s="3">
        <f>IF(U186="","",IF(V186&lt;&gt;V185,CHAR(10)&amp;UPPER(LEFT(V186,1))&amp;MID(V186,2,20)&amp;":"&amp;CHAR(10),"")&amp;"   "&amp;IF(INDEX(tblOrdenes[turno_asignado],U186)="","(s/t)",INDEX(tblOrdenes[turno_asignado],U186))&amp;" · "&amp;IF(INDEX(tblOrdenes[tecnico_asignado],U186)="","(sin técnico)",INDEX(tblOrdenes[tecnico_asignado],U186))&amp;" · "&amp;INDEX(tblOrdenes[id_operacion],U186)&amp;" — "&amp;INDEX(tblOrdenes[descripcion_operacion],U186)&amp;" ("&amp;TEXT(INDEX(tblOrdenes[horas_efectivas],U186),"0.#")&amp;" h)")</f>
        <v/>
      </c>
    </row>
    <row r="187">
      <c r="K187" s="3">
        <f>IF(AND(IF($B$3="(todos)",TRUE,'ORDENES'!$O183=$B$3),IF($D$3="(todos)",TRUE,'ORDENES'!$AF183=$D$3),IF($F$3="(todos)",TRUE,'ORDENES'!$X183=$F$3),IF($H$3="(todos)",TRUE,'ORDENES'!$W183=$H$3),'ORDENES'!$AD183=TRUE,'ORDENES'!$A183&lt;&gt;""),1,0)</f>
        <v/>
      </c>
      <c r="L187" s="3">
        <f>IF(K187=1,IFERROR(MATCH('ORDENES'!$R183,lista_dias,0),9)*1000000000+IFERROR(MATCH('ORDENES'!$AF183,lista_turnos,0),9)*10000000+IFERROR(MATCH('ORDENES'!$AE183,tblTecnicos[nombre],0),99)*100000+180,9000000000000+180)</f>
        <v/>
      </c>
      <c r="M187" s="3">
        <f>IF(K187=1,SUMPRODUCT(--($L$8:$L$1207&lt;L187))+1,"")</f>
        <v/>
      </c>
      <c r="N187" s="17">
        <f>IF(K187=1,N('ORDENES'!$M183),0)</f>
        <v/>
      </c>
      <c r="O187" s="17">
        <f>IF('ORDENES'!$T183="preventiva",N187,0)</f>
        <v/>
      </c>
      <c r="P187" s="17">
        <f>IF('ORDENES'!$T183="correctiva",N187,0)</f>
        <v/>
      </c>
      <c r="Q187" s="3">
        <f>IF(AND(K187=1,'ORDENES'!$N183="Pendiente"),1,0)</f>
        <v/>
      </c>
      <c r="R187" s="3">
        <f>IF(Q187=1,100000-N187*1000+180*0.01,9000000000000+180)</f>
        <v/>
      </c>
      <c r="S187" s="3">
        <f>IF(Q187=1,SUMPRODUCT(--($R$8:$R$1207&lt;R187))+1,"")</f>
        <v/>
      </c>
      <c r="T187" s="12">
        <f>IF(K187=1,'ORDENES'!$J183,"")</f>
        <v/>
      </c>
      <c r="U187" s="3">
        <f>IFERROR(MATCH(180,$M$8:$M$1207,0),"")</f>
        <v/>
      </c>
      <c r="V187" s="3">
        <f>IF(U187="","",INDEX(tblOrdenes[dia_semana],U187))</f>
        <v/>
      </c>
      <c r="W187" s="3">
        <f>IF(U187="","",IF(V187&lt;&gt;V186,CHAR(10)&amp;UPPER(LEFT(V187,1))&amp;MID(V187,2,20)&amp;":"&amp;CHAR(10),"")&amp;"   "&amp;IF(INDEX(tblOrdenes[turno_asignado],U187)="","(s/t)",INDEX(tblOrdenes[turno_asignado],U187))&amp;" · "&amp;IF(INDEX(tblOrdenes[tecnico_asignado],U187)="","(sin técnico)",INDEX(tblOrdenes[tecnico_asignado],U187))&amp;" · "&amp;INDEX(tblOrdenes[id_operacion],U187)&amp;" — "&amp;INDEX(tblOrdenes[descripcion_operacion],U187)&amp;" ("&amp;TEXT(INDEX(tblOrdenes[horas_efectivas],U187),"0.#")&amp;" h)")</f>
        <v/>
      </c>
    </row>
    <row r="188">
      <c r="K188" s="3">
        <f>IF(AND(IF($B$3="(todos)",TRUE,'ORDENES'!$O184=$B$3),IF($D$3="(todos)",TRUE,'ORDENES'!$AF184=$D$3),IF($F$3="(todos)",TRUE,'ORDENES'!$X184=$F$3),IF($H$3="(todos)",TRUE,'ORDENES'!$W184=$H$3),'ORDENES'!$AD184=TRUE,'ORDENES'!$A184&lt;&gt;""),1,0)</f>
        <v/>
      </c>
      <c r="L188" s="3">
        <f>IF(K188=1,IFERROR(MATCH('ORDENES'!$R184,lista_dias,0),9)*1000000000+IFERROR(MATCH('ORDENES'!$AF184,lista_turnos,0),9)*10000000+IFERROR(MATCH('ORDENES'!$AE184,tblTecnicos[nombre],0),99)*100000+181,9000000000000+181)</f>
        <v/>
      </c>
      <c r="M188" s="3">
        <f>IF(K188=1,SUMPRODUCT(--($L$8:$L$1207&lt;L188))+1,"")</f>
        <v/>
      </c>
      <c r="N188" s="17">
        <f>IF(K188=1,N('ORDENES'!$M184),0)</f>
        <v/>
      </c>
      <c r="O188" s="17">
        <f>IF('ORDENES'!$T184="preventiva",N188,0)</f>
        <v/>
      </c>
      <c r="P188" s="17">
        <f>IF('ORDENES'!$T184="correctiva",N188,0)</f>
        <v/>
      </c>
      <c r="Q188" s="3">
        <f>IF(AND(K188=1,'ORDENES'!$N184="Pendiente"),1,0)</f>
        <v/>
      </c>
      <c r="R188" s="3">
        <f>IF(Q188=1,100000-N188*1000+181*0.01,9000000000000+181)</f>
        <v/>
      </c>
      <c r="S188" s="3">
        <f>IF(Q188=1,SUMPRODUCT(--($R$8:$R$1207&lt;R188))+1,"")</f>
        <v/>
      </c>
      <c r="T188" s="12">
        <f>IF(K188=1,'ORDENES'!$J184,"")</f>
        <v/>
      </c>
      <c r="U188" s="3">
        <f>IFERROR(MATCH(181,$M$8:$M$1207,0),"")</f>
        <v/>
      </c>
      <c r="V188" s="3">
        <f>IF(U188="","",INDEX(tblOrdenes[dia_semana],U188))</f>
        <v/>
      </c>
      <c r="W188" s="3">
        <f>IF(U188="","",IF(V188&lt;&gt;V187,CHAR(10)&amp;UPPER(LEFT(V188,1))&amp;MID(V188,2,20)&amp;":"&amp;CHAR(10),"")&amp;"   "&amp;IF(INDEX(tblOrdenes[turno_asignado],U188)="","(s/t)",INDEX(tblOrdenes[turno_asignado],U188))&amp;" · "&amp;IF(INDEX(tblOrdenes[tecnico_asignado],U188)="","(sin técnico)",INDEX(tblOrdenes[tecnico_asignado],U188))&amp;" · "&amp;INDEX(tblOrdenes[id_operacion],U188)&amp;" — "&amp;INDEX(tblOrdenes[descripcion_operacion],U188)&amp;" ("&amp;TEXT(INDEX(tblOrdenes[horas_efectivas],U188),"0.#")&amp;" h)")</f>
        <v/>
      </c>
    </row>
    <row r="189">
      <c r="K189" s="3">
        <f>IF(AND(IF($B$3="(todos)",TRUE,'ORDENES'!$O185=$B$3),IF($D$3="(todos)",TRUE,'ORDENES'!$AF185=$D$3),IF($F$3="(todos)",TRUE,'ORDENES'!$X185=$F$3),IF($H$3="(todos)",TRUE,'ORDENES'!$W185=$H$3),'ORDENES'!$AD185=TRUE,'ORDENES'!$A185&lt;&gt;""),1,0)</f>
        <v/>
      </c>
      <c r="L189" s="3">
        <f>IF(K189=1,IFERROR(MATCH('ORDENES'!$R185,lista_dias,0),9)*1000000000+IFERROR(MATCH('ORDENES'!$AF185,lista_turnos,0),9)*10000000+IFERROR(MATCH('ORDENES'!$AE185,tblTecnicos[nombre],0),99)*100000+182,9000000000000+182)</f>
        <v/>
      </c>
      <c r="M189" s="3">
        <f>IF(K189=1,SUMPRODUCT(--($L$8:$L$1207&lt;L189))+1,"")</f>
        <v/>
      </c>
      <c r="N189" s="17">
        <f>IF(K189=1,N('ORDENES'!$M185),0)</f>
        <v/>
      </c>
      <c r="O189" s="17">
        <f>IF('ORDENES'!$T185="preventiva",N189,0)</f>
        <v/>
      </c>
      <c r="P189" s="17">
        <f>IF('ORDENES'!$T185="correctiva",N189,0)</f>
        <v/>
      </c>
      <c r="Q189" s="3">
        <f>IF(AND(K189=1,'ORDENES'!$N185="Pendiente"),1,0)</f>
        <v/>
      </c>
      <c r="R189" s="3">
        <f>IF(Q189=1,100000-N189*1000+182*0.01,9000000000000+182)</f>
        <v/>
      </c>
      <c r="S189" s="3">
        <f>IF(Q189=1,SUMPRODUCT(--($R$8:$R$1207&lt;R189))+1,"")</f>
        <v/>
      </c>
      <c r="T189" s="12">
        <f>IF(K189=1,'ORDENES'!$J185,"")</f>
        <v/>
      </c>
      <c r="U189" s="3">
        <f>IFERROR(MATCH(182,$M$8:$M$1207,0),"")</f>
        <v/>
      </c>
      <c r="V189" s="3">
        <f>IF(U189="","",INDEX(tblOrdenes[dia_semana],U189))</f>
        <v/>
      </c>
      <c r="W189" s="3">
        <f>IF(U189="","",IF(V189&lt;&gt;V188,CHAR(10)&amp;UPPER(LEFT(V189,1))&amp;MID(V189,2,20)&amp;":"&amp;CHAR(10),"")&amp;"   "&amp;IF(INDEX(tblOrdenes[turno_asignado],U189)="","(s/t)",INDEX(tblOrdenes[turno_asignado],U189))&amp;" · "&amp;IF(INDEX(tblOrdenes[tecnico_asignado],U189)="","(sin técnico)",INDEX(tblOrdenes[tecnico_asignado],U189))&amp;" · "&amp;INDEX(tblOrdenes[id_operacion],U189)&amp;" — "&amp;INDEX(tblOrdenes[descripcion_operacion],U189)&amp;" ("&amp;TEXT(INDEX(tblOrdenes[horas_efectivas],U189),"0.#")&amp;" h)")</f>
        <v/>
      </c>
    </row>
    <row r="190">
      <c r="K190" s="3">
        <f>IF(AND(IF($B$3="(todos)",TRUE,'ORDENES'!$O186=$B$3),IF($D$3="(todos)",TRUE,'ORDENES'!$AF186=$D$3),IF($F$3="(todos)",TRUE,'ORDENES'!$X186=$F$3),IF($H$3="(todos)",TRUE,'ORDENES'!$W186=$H$3),'ORDENES'!$AD186=TRUE,'ORDENES'!$A186&lt;&gt;""),1,0)</f>
        <v/>
      </c>
      <c r="L190" s="3">
        <f>IF(K190=1,IFERROR(MATCH('ORDENES'!$R186,lista_dias,0),9)*1000000000+IFERROR(MATCH('ORDENES'!$AF186,lista_turnos,0),9)*10000000+IFERROR(MATCH('ORDENES'!$AE186,tblTecnicos[nombre],0),99)*100000+183,9000000000000+183)</f>
        <v/>
      </c>
      <c r="M190" s="3">
        <f>IF(K190=1,SUMPRODUCT(--($L$8:$L$1207&lt;L190))+1,"")</f>
        <v/>
      </c>
      <c r="N190" s="17">
        <f>IF(K190=1,N('ORDENES'!$M186),0)</f>
        <v/>
      </c>
      <c r="O190" s="17">
        <f>IF('ORDENES'!$T186="preventiva",N190,0)</f>
        <v/>
      </c>
      <c r="P190" s="17">
        <f>IF('ORDENES'!$T186="correctiva",N190,0)</f>
        <v/>
      </c>
      <c r="Q190" s="3">
        <f>IF(AND(K190=1,'ORDENES'!$N186="Pendiente"),1,0)</f>
        <v/>
      </c>
      <c r="R190" s="3">
        <f>IF(Q190=1,100000-N190*1000+183*0.01,9000000000000+183)</f>
        <v/>
      </c>
      <c r="S190" s="3">
        <f>IF(Q190=1,SUMPRODUCT(--($R$8:$R$1207&lt;R190))+1,"")</f>
        <v/>
      </c>
      <c r="T190" s="12">
        <f>IF(K190=1,'ORDENES'!$J186,"")</f>
        <v/>
      </c>
      <c r="U190" s="3">
        <f>IFERROR(MATCH(183,$M$8:$M$1207,0),"")</f>
        <v/>
      </c>
      <c r="V190" s="3">
        <f>IF(U190="","",INDEX(tblOrdenes[dia_semana],U190))</f>
        <v/>
      </c>
      <c r="W190" s="3">
        <f>IF(U190="","",IF(V190&lt;&gt;V189,CHAR(10)&amp;UPPER(LEFT(V190,1))&amp;MID(V190,2,20)&amp;":"&amp;CHAR(10),"")&amp;"   "&amp;IF(INDEX(tblOrdenes[turno_asignado],U190)="","(s/t)",INDEX(tblOrdenes[turno_asignado],U190))&amp;" · "&amp;IF(INDEX(tblOrdenes[tecnico_asignado],U190)="","(sin técnico)",INDEX(tblOrdenes[tecnico_asignado],U190))&amp;" · "&amp;INDEX(tblOrdenes[id_operacion],U190)&amp;" — "&amp;INDEX(tblOrdenes[descripcion_operacion],U190)&amp;" ("&amp;TEXT(INDEX(tblOrdenes[horas_efectivas],U190),"0.#")&amp;" h)")</f>
        <v/>
      </c>
    </row>
    <row r="191">
      <c r="K191" s="3">
        <f>IF(AND(IF($B$3="(todos)",TRUE,'ORDENES'!$O187=$B$3),IF($D$3="(todos)",TRUE,'ORDENES'!$AF187=$D$3),IF($F$3="(todos)",TRUE,'ORDENES'!$X187=$F$3),IF($H$3="(todos)",TRUE,'ORDENES'!$W187=$H$3),'ORDENES'!$AD187=TRUE,'ORDENES'!$A187&lt;&gt;""),1,0)</f>
        <v/>
      </c>
      <c r="L191" s="3">
        <f>IF(K191=1,IFERROR(MATCH('ORDENES'!$R187,lista_dias,0),9)*1000000000+IFERROR(MATCH('ORDENES'!$AF187,lista_turnos,0),9)*10000000+IFERROR(MATCH('ORDENES'!$AE187,tblTecnicos[nombre],0),99)*100000+184,9000000000000+184)</f>
        <v/>
      </c>
      <c r="M191" s="3">
        <f>IF(K191=1,SUMPRODUCT(--($L$8:$L$1207&lt;L191))+1,"")</f>
        <v/>
      </c>
      <c r="N191" s="17">
        <f>IF(K191=1,N('ORDENES'!$M187),0)</f>
        <v/>
      </c>
      <c r="O191" s="17">
        <f>IF('ORDENES'!$T187="preventiva",N191,0)</f>
        <v/>
      </c>
      <c r="P191" s="17">
        <f>IF('ORDENES'!$T187="correctiva",N191,0)</f>
        <v/>
      </c>
      <c r="Q191" s="3">
        <f>IF(AND(K191=1,'ORDENES'!$N187="Pendiente"),1,0)</f>
        <v/>
      </c>
      <c r="R191" s="3">
        <f>IF(Q191=1,100000-N191*1000+184*0.01,9000000000000+184)</f>
        <v/>
      </c>
      <c r="S191" s="3">
        <f>IF(Q191=1,SUMPRODUCT(--($R$8:$R$1207&lt;R191))+1,"")</f>
        <v/>
      </c>
      <c r="T191" s="12">
        <f>IF(K191=1,'ORDENES'!$J187,"")</f>
        <v/>
      </c>
      <c r="U191" s="3">
        <f>IFERROR(MATCH(184,$M$8:$M$1207,0),"")</f>
        <v/>
      </c>
      <c r="V191" s="3">
        <f>IF(U191="","",INDEX(tblOrdenes[dia_semana],U191))</f>
        <v/>
      </c>
      <c r="W191" s="3">
        <f>IF(U191="","",IF(V191&lt;&gt;V190,CHAR(10)&amp;UPPER(LEFT(V191,1))&amp;MID(V191,2,20)&amp;":"&amp;CHAR(10),"")&amp;"   "&amp;IF(INDEX(tblOrdenes[turno_asignado],U191)="","(s/t)",INDEX(tblOrdenes[turno_asignado],U191))&amp;" · "&amp;IF(INDEX(tblOrdenes[tecnico_asignado],U191)="","(sin técnico)",INDEX(tblOrdenes[tecnico_asignado],U191))&amp;" · "&amp;INDEX(tblOrdenes[id_operacion],U191)&amp;" — "&amp;INDEX(tblOrdenes[descripcion_operacion],U191)&amp;" ("&amp;TEXT(INDEX(tblOrdenes[horas_efectivas],U191),"0.#")&amp;" h)")</f>
        <v/>
      </c>
    </row>
    <row r="192">
      <c r="K192" s="3">
        <f>IF(AND(IF($B$3="(todos)",TRUE,'ORDENES'!$O188=$B$3),IF($D$3="(todos)",TRUE,'ORDENES'!$AF188=$D$3),IF($F$3="(todos)",TRUE,'ORDENES'!$X188=$F$3),IF($H$3="(todos)",TRUE,'ORDENES'!$W188=$H$3),'ORDENES'!$AD188=TRUE,'ORDENES'!$A188&lt;&gt;""),1,0)</f>
        <v/>
      </c>
      <c r="L192" s="3">
        <f>IF(K192=1,IFERROR(MATCH('ORDENES'!$R188,lista_dias,0),9)*1000000000+IFERROR(MATCH('ORDENES'!$AF188,lista_turnos,0),9)*10000000+IFERROR(MATCH('ORDENES'!$AE188,tblTecnicos[nombre],0),99)*100000+185,9000000000000+185)</f>
        <v/>
      </c>
      <c r="M192" s="3">
        <f>IF(K192=1,SUMPRODUCT(--($L$8:$L$1207&lt;L192))+1,"")</f>
        <v/>
      </c>
      <c r="N192" s="17">
        <f>IF(K192=1,N('ORDENES'!$M188),0)</f>
        <v/>
      </c>
      <c r="O192" s="17">
        <f>IF('ORDENES'!$T188="preventiva",N192,0)</f>
        <v/>
      </c>
      <c r="P192" s="17">
        <f>IF('ORDENES'!$T188="correctiva",N192,0)</f>
        <v/>
      </c>
      <c r="Q192" s="3">
        <f>IF(AND(K192=1,'ORDENES'!$N188="Pendiente"),1,0)</f>
        <v/>
      </c>
      <c r="R192" s="3">
        <f>IF(Q192=1,100000-N192*1000+185*0.01,9000000000000+185)</f>
        <v/>
      </c>
      <c r="S192" s="3">
        <f>IF(Q192=1,SUMPRODUCT(--($R$8:$R$1207&lt;R192))+1,"")</f>
        <v/>
      </c>
      <c r="T192" s="12">
        <f>IF(K192=1,'ORDENES'!$J188,"")</f>
        <v/>
      </c>
      <c r="U192" s="3">
        <f>IFERROR(MATCH(185,$M$8:$M$1207,0),"")</f>
        <v/>
      </c>
      <c r="V192" s="3">
        <f>IF(U192="","",INDEX(tblOrdenes[dia_semana],U192))</f>
        <v/>
      </c>
      <c r="W192" s="3">
        <f>IF(U192="","",IF(V192&lt;&gt;V191,CHAR(10)&amp;UPPER(LEFT(V192,1))&amp;MID(V192,2,20)&amp;":"&amp;CHAR(10),"")&amp;"   "&amp;IF(INDEX(tblOrdenes[turno_asignado],U192)="","(s/t)",INDEX(tblOrdenes[turno_asignado],U192))&amp;" · "&amp;IF(INDEX(tblOrdenes[tecnico_asignado],U192)="","(sin técnico)",INDEX(tblOrdenes[tecnico_asignado],U192))&amp;" · "&amp;INDEX(tblOrdenes[id_operacion],U192)&amp;" — "&amp;INDEX(tblOrdenes[descripcion_operacion],U192)&amp;" ("&amp;TEXT(INDEX(tblOrdenes[horas_efectivas],U192),"0.#")&amp;" h)")</f>
        <v/>
      </c>
    </row>
    <row r="193">
      <c r="K193" s="3">
        <f>IF(AND(IF($B$3="(todos)",TRUE,'ORDENES'!$O189=$B$3),IF($D$3="(todos)",TRUE,'ORDENES'!$AF189=$D$3),IF($F$3="(todos)",TRUE,'ORDENES'!$X189=$F$3),IF($H$3="(todos)",TRUE,'ORDENES'!$W189=$H$3),'ORDENES'!$AD189=TRUE,'ORDENES'!$A189&lt;&gt;""),1,0)</f>
        <v/>
      </c>
      <c r="L193" s="3">
        <f>IF(K193=1,IFERROR(MATCH('ORDENES'!$R189,lista_dias,0),9)*1000000000+IFERROR(MATCH('ORDENES'!$AF189,lista_turnos,0),9)*10000000+IFERROR(MATCH('ORDENES'!$AE189,tblTecnicos[nombre],0),99)*100000+186,9000000000000+186)</f>
        <v/>
      </c>
      <c r="M193" s="3">
        <f>IF(K193=1,SUMPRODUCT(--($L$8:$L$1207&lt;L193))+1,"")</f>
        <v/>
      </c>
      <c r="N193" s="17">
        <f>IF(K193=1,N('ORDENES'!$M189),0)</f>
        <v/>
      </c>
      <c r="O193" s="17">
        <f>IF('ORDENES'!$T189="preventiva",N193,0)</f>
        <v/>
      </c>
      <c r="P193" s="17">
        <f>IF('ORDENES'!$T189="correctiva",N193,0)</f>
        <v/>
      </c>
      <c r="Q193" s="3">
        <f>IF(AND(K193=1,'ORDENES'!$N189="Pendiente"),1,0)</f>
        <v/>
      </c>
      <c r="R193" s="3">
        <f>IF(Q193=1,100000-N193*1000+186*0.01,9000000000000+186)</f>
        <v/>
      </c>
      <c r="S193" s="3">
        <f>IF(Q193=1,SUMPRODUCT(--($R$8:$R$1207&lt;R193))+1,"")</f>
        <v/>
      </c>
      <c r="T193" s="12">
        <f>IF(K193=1,'ORDENES'!$J189,"")</f>
        <v/>
      </c>
      <c r="U193" s="3">
        <f>IFERROR(MATCH(186,$M$8:$M$1207,0),"")</f>
        <v/>
      </c>
      <c r="V193" s="3">
        <f>IF(U193="","",INDEX(tblOrdenes[dia_semana],U193))</f>
        <v/>
      </c>
      <c r="W193" s="3">
        <f>IF(U193="","",IF(V193&lt;&gt;V192,CHAR(10)&amp;UPPER(LEFT(V193,1))&amp;MID(V193,2,20)&amp;":"&amp;CHAR(10),"")&amp;"   "&amp;IF(INDEX(tblOrdenes[turno_asignado],U193)="","(s/t)",INDEX(tblOrdenes[turno_asignado],U193))&amp;" · "&amp;IF(INDEX(tblOrdenes[tecnico_asignado],U193)="","(sin técnico)",INDEX(tblOrdenes[tecnico_asignado],U193))&amp;" · "&amp;INDEX(tblOrdenes[id_operacion],U193)&amp;" — "&amp;INDEX(tblOrdenes[descripcion_operacion],U193)&amp;" ("&amp;TEXT(INDEX(tblOrdenes[horas_efectivas],U193),"0.#")&amp;" h)")</f>
        <v/>
      </c>
    </row>
    <row r="194">
      <c r="K194" s="3">
        <f>IF(AND(IF($B$3="(todos)",TRUE,'ORDENES'!$O190=$B$3),IF($D$3="(todos)",TRUE,'ORDENES'!$AF190=$D$3),IF($F$3="(todos)",TRUE,'ORDENES'!$X190=$F$3),IF($H$3="(todos)",TRUE,'ORDENES'!$W190=$H$3),'ORDENES'!$AD190=TRUE,'ORDENES'!$A190&lt;&gt;""),1,0)</f>
        <v/>
      </c>
      <c r="L194" s="3">
        <f>IF(K194=1,IFERROR(MATCH('ORDENES'!$R190,lista_dias,0),9)*1000000000+IFERROR(MATCH('ORDENES'!$AF190,lista_turnos,0),9)*10000000+IFERROR(MATCH('ORDENES'!$AE190,tblTecnicos[nombre],0),99)*100000+187,9000000000000+187)</f>
        <v/>
      </c>
      <c r="M194" s="3">
        <f>IF(K194=1,SUMPRODUCT(--($L$8:$L$1207&lt;L194))+1,"")</f>
        <v/>
      </c>
      <c r="N194" s="17">
        <f>IF(K194=1,N('ORDENES'!$M190),0)</f>
        <v/>
      </c>
      <c r="O194" s="17">
        <f>IF('ORDENES'!$T190="preventiva",N194,0)</f>
        <v/>
      </c>
      <c r="P194" s="17">
        <f>IF('ORDENES'!$T190="correctiva",N194,0)</f>
        <v/>
      </c>
      <c r="Q194" s="3">
        <f>IF(AND(K194=1,'ORDENES'!$N190="Pendiente"),1,0)</f>
        <v/>
      </c>
      <c r="R194" s="3">
        <f>IF(Q194=1,100000-N194*1000+187*0.01,9000000000000+187)</f>
        <v/>
      </c>
      <c r="S194" s="3">
        <f>IF(Q194=1,SUMPRODUCT(--($R$8:$R$1207&lt;R194))+1,"")</f>
        <v/>
      </c>
      <c r="T194" s="12">
        <f>IF(K194=1,'ORDENES'!$J190,"")</f>
        <v/>
      </c>
      <c r="U194" s="3">
        <f>IFERROR(MATCH(187,$M$8:$M$1207,0),"")</f>
        <v/>
      </c>
      <c r="V194" s="3">
        <f>IF(U194="","",INDEX(tblOrdenes[dia_semana],U194))</f>
        <v/>
      </c>
      <c r="W194" s="3">
        <f>IF(U194="","",IF(V194&lt;&gt;V193,CHAR(10)&amp;UPPER(LEFT(V194,1))&amp;MID(V194,2,20)&amp;":"&amp;CHAR(10),"")&amp;"   "&amp;IF(INDEX(tblOrdenes[turno_asignado],U194)="","(s/t)",INDEX(tblOrdenes[turno_asignado],U194))&amp;" · "&amp;IF(INDEX(tblOrdenes[tecnico_asignado],U194)="","(sin técnico)",INDEX(tblOrdenes[tecnico_asignado],U194))&amp;" · "&amp;INDEX(tblOrdenes[id_operacion],U194)&amp;" — "&amp;INDEX(tblOrdenes[descripcion_operacion],U194)&amp;" ("&amp;TEXT(INDEX(tblOrdenes[horas_efectivas],U194),"0.#")&amp;" h)")</f>
        <v/>
      </c>
    </row>
    <row r="195">
      <c r="K195" s="3">
        <f>IF(AND(IF($B$3="(todos)",TRUE,'ORDENES'!$O191=$B$3),IF($D$3="(todos)",TRUE,'ORDENES'!$AF191=$D$3),IF($F$3="(todos)",TRUE,'ORDENES'!$X191=$F$3),IF($H$3="(todos)",TRUE,'ORDENES'!$W191=$H$3),'ORDENES'!$AD191=TRUE,'ORDENES'!$A191&lt;&gt;""),1,0)</f>
        <v/>
      </c>
      <c r="L195" s="3">
        <f>IF(K195=1,IFERROR(MATCH('ORDENES'!$R191,lista_dias,0),9)*1000000000+IFERROR(MATCH('ORDENES'!$AF191,lista_turnos,0),9)*10000000+IFERROR(MATCH('ORDENES'!$AE191,tblTecnicos[nombre],0),99)*100000+188,9000000000000+188)</f>
        <v/>
      </c>
      <c r="M195" s="3">
        <f>IF(K195=1,SUMPRODUCT(--($L$8:$L$1207&lt;L195))+1,"")</f>
        <v/>
      </c>
      <c r="N195" s="17">
        <f>IF(K195=1,N('ORDENES'!$M191),0)</f>
        <v/>
      </c>
      <c r="O195" s="17">
        <f>IF('ORDENES'!$T191="preventiva",N195,0)</f>
        <v/>
      </c>
      <c r="P195" s="17">
        <f>IF('ORDENES'!$T191="correctiva",N195,0)</f>
        <v/>
      </c>
      <c r="Q195" s="3">
        <f>IF(AND(K195=1,'ORDENES'!$N191="Pendiente"),1,0)</f>
        <v/>
      </c>
      <c r="R195" s="3">
        <f>IF(Q195=1,100000-N195*1000+188*0.01,9000000000000+188)</f>
        <v/>
      </c>
      <c r="S195" s="3">
        <f>IF(Q195=1,SUMPRODUCT(--($R$8:$R$1207&lt;R195))+1,"")</f>
        <v/>
      </c>
      <c r="T195" s="12">
        <f>IF(K195=1,'ORDENES'!$J191,"")</f>
        <v/>
      </c>
      <c r="U195" s="3">
        <f>IFERROR(MATCH(188,$M$8:$M$1207,0),"")</f>
        <v/>
      </c>
      <c r="V195" s="3">
        <f>IF(U195="","",INDEX(tblOrdenes[dia_semana],U195))</f>
        <v/>
      </c>
      <c r="W195" s="3">
        <f>IF(U195="","",IF(V195&lt;&gt;V194,CHAR(10)&amp;UPPER(LEFT(V195,1))&amp;MID(V195,2,20)&amp;":"&amp;CHAR(10),"")&amp;"   "&amp;IF(INDEX(tblOrdenes[turno_asignado],U195)="","(s/t)",INDEX(tblOrdenes[turno_asignado],U195))&amp;" · "&amp;IF(INDEX(tblOrdenes[tecnico_asignado],U195)="","(sin técnico)",INDEX(tblOrdenes[tecnico_asignado],U195))&amp;" · "&amp;INDEX(tblOrdenes[id_operacion],U195)&amp;" — "&amp;INDEX(tblOrdenes[descripcion_operacion],U195)&amp;" ("&amp;TEXT(INDEX(tblOrdenes[horas_efectivas],U195),"0.#")&amp;" h)")</f>
        <v/>
      </c>
    </row>
    <row r="196">
      <c r="K196" s="3">
        <f>IF(AND(IF($B$3="(todos)",TRUE,'ORDENES'!$O192=$B$3),IF($D$3="(todos)",TRUE,'ORDENES'!$AF192=$D$3),IF($F$3="(todos)",TRUE,'ORDENES'!$X192=$F$3),IF($H$3="(todos)",TRUE,'ORDENES'!$W192=$H$3),'ORDENES'!$AD192=TRUE,'ORDENES'!$A192&lt;&gt;""),1,0)</f>
        <v/>
      </c>
      <c r="L196" s="3">
        <f>IF(K196=1,IFERROR(MATCH('ORDENES'!$R192,lista_dias,0),9)*1000000000+IFERROR(MATCH('ORDENES'!$AF192,lista_turnos,0),9)*10000000+IFERROR(MATCH('ORDENES'!$AE192,tblTecnicos[nombre],0),99)*100000+189,9000000000000+189)</f>
        <v/>
      </c>
      <c r="M196" s="3">
        <f>IF(K196=1,SUMPRODUCT(--($L$8:$L$1207&lt;L196))+1,"")</f>
        <v/>
      </c>
      <c r="N196" s="17">
        <f>IF(K196=1,N('ORDENES'!$M192),0)</f>
        <v/>
      </c>
      <c r="O196" s="17">
        <f>IF('ORDENES'!$T192="preventiva",N196,0)</f>
        <v/>
      </c>
      <c r="P196" s="17">
        <f>IF('ORDENES'!$T192="correctiva",N196,0)</f>
        <v/>
      </c>
      <c r="Q196" s="3">
        <f>IF(AND(K196=1,'ORDENES'!$N192="Pendiente"),1,0)</f>
        <v/>
      </c>
      <c r="R196" s="3">
        <f>IF(Q196=1,100000-N196*1000+189*0.01,9000000000000+189)</f>
        <v/>
      </c>
      <c r="S196" s="3">
        <f>IF(Q196=1,SUMPRODUCT(--($R$8:$R$1207&lt;R196))+1,"")</f>
        <v/>
      </c>
      <c r="T196" s="12">
        <f>IF(K196=1,'ORDENES'!$J192,"")</f>
        <v/>
      </c>
      <c r="U196" s="3">
        <f>IFERROR(MATCH(189,$M$8:$M$1207,0),"")</f>
        <v/>
      </c>
      <c r="V196" s="3">
        <f>IF(U196="","",INDEX(tblOrdenes[dia_semana],U196))</f>
        <v/>
      </c>
      <c r="W196" s="3">
        <f>IF(U196="","",IF(V196&lt;&gt;V195,CHAR(10)&amp;UPPER(LEFT(V196,1))&amp;MID(V196,2,20)&amp;":"&amp;CHAR(10),"")&amp;"   "&amp;IF(INDEX(tblOrdenes[turno_asignado],U196)="","(s/t)",INDEX(tblOrdenes[turno_asignado],U196))&amp;" · "&amp;IF(INDEX(tblOrdenes[tecnico_asignado],U196)="","(sin técnico)",INDEX(tblOrdenes[tecnico_asignado],U196))&amp;" · "&amp;INDEX(tblOrdenes[id_operacion],U196)&amp;" — "&amp;INDEX(tblOrdenes[descripcion_operacion],U196)&amp;" ("&amp;TEXT(INDEX(tblOrdenes[horas_efectivas],U196),"0.#")&amp;" h)")</f>
        <v/>
      </c>
    </row>
    <row r="197">
      <c r="K197" s="3">
        <f>IF(AND(IF($B$3="(todos)",TRUE,'ORDENES'!$O193=$B$3),IF($D$3="(todos)",TRUE,'ORDENES'!$AF193=$D$3),IF($F$3="(todos)",TRUE,'ORDENES'!$X193=$F$3),IF($H$3="(todos)",TRUE,'ORDENES'!$W193=$H$3),'ORDENES'!$AD193=TRUE,'ORDENES'!$A193&lt;&gt;""),1,0)</f>
        <v/>
      </c>
      <c r="L197" s="3">
        <f>IF(K197=1,IFERROR(MATCH('ORDENES'!$R193,lista_dias,0),9)*1000000000+IFERROR(MATCH('ORDENES'!$AF193,lista_turnos,0),9)*10000000+IFERROR(MATCH('ORDENES'!$AE193,tblTecnicos[nombre],0),99)*100000+190,9000000000000+190)</f>
        <v/>
      </c>
      <c r="M197" s="3">
        <f>IF(K197=1,SUMPRODUCT(--($L$8:$L$1207&lt;L197))+1,"")</f>
        <v/>
      </c>
      <c r="N197" s="17">
        <f>IF(K197=1,N('ORDENES'!$M193),0)</f>
        <v/>
      </c>
      <c r="O197" s="17">
        <f>IF('ORDENES'!$T193="preventiva",N197,0)</f>
        <v/>
      </c>
      <c r="P197" s="17">
        <f>IF('ORDENES'!$T193="correctiva",N197,0)</f>
        <v/>
      </c>
      <c r="Q197" s="3">
        <f>IF(AND(K197=1,'ORDENES'!$N193="Pendiente"),1,0)</f>
        <v/>
      </c>
      <c r="R197" s="3">
        <f>IF(Q197=1,100000-N197*1000+190*0.01,9000000000000+190)</f>
        <v/>
      </c>
      <c r="S197" s="3">
        <f>IF(Q197=1,SUMPRODUCT(--($R$8:$R$1207&lt;R197))+1,"")</f>
        <v/>
      </c>
      <c r="T197" s="12">
        <f>IF(K197=1,'ORDENES'!$J193,"")</f>
        <v/>
      </c>
      <c r="U197" s="3">
        <f>IFERROR(MATCH(190,$M$8:$M$1207,0),"")</f>
        <v/>
      </c>
      <c r="V197" s="3">
        <f>IF(U197="","",INDEX(tblOrdenes[dia_semana],U197))</f>
        <v/>
      </c>
      <c r="W197" s="3">
        <f>IF(U197="","",IF(V197&lt;&gt;V196,CHAR(10)&amp;UPPER(LEFT(V197,1))&amp;MID(V197,2,20)&amp;":"&amp;CHAR(10),"")&amp;"   "&amp;IF(INDEX(tblOrdenes[turno_asignado],U197)="","(s/t)",INDEX(tblOrdenes[turno_asignado],U197))&amp;" · "&amp;IF(INDEX(tblOrdenes[tecnico_asignado],U197)="","(sin técnico)",INDEX(tblOrdenes[tecnico_asignado],U197))&amp;" · "&amp;INDEX(tblOrdenes[id_operacion],U197)&amp;" — "&amp;INDEX(tblOrdenes[descripcion_operacion],U197)&amp;" ("&amp;TEXT(INDEX(tblOrdenes[horas_efectivas],U197),"0.#")&amp;" h)")</f>
        <v/>
      </c>
    </row>
    <row r="198">
      <c r="K198" s="3">
        <f>IF(AND(IF($B$3="(todos)",TRUE,'ORDENES'!$O194=$B$3),IF($D$3="(todos)",TRUE,'ORDENES'!$AF194=$D$3),IF($F$3="(todos)",TRUE,'ORDENES'!$X194=$F$3),IF($H$3="(todos)",TRUE,'ORDENES'!$W194=$H$3),'ORDENES'!$AD194=TRUE,'ORDENES'!$A194&lt;&gt;""),1,0)</f>
        <v/>
      </c>
      <c r="L198" s="3">
        <f>IF(K198=1,IFERROR(MATCH('ORDENES'!$R194,lista_dias,0),9)*1000000000+IFERROR(MATCH('ORDENES'!$AF194,lista_turnos,0),9)*10000000+IFERROR(MATCH('ORDENES'!$AE194,tblTecnicos[nombre],0),99)*100000+191,9000000000000+191)</f>
        <v/>
      </c>
      <c r="M198" s="3">
        <f>IF(K198=1,SUMPRODUCT(--($L$8:$L$1207&lt;L198))+1,"")</f>
        <v/>
      </c>
      <c r="N198" s="17">
        <f>IF(K198=1,N('ORDENES'!$M194),0)</f>
        <v/>
      </c>
      <c r="O198" s="17">
        <f>IF('ORDENES'!$T194="preventiva",N198,0)</f>
        <v/>
      </c>
      <c r="P198" s="17">
        <f>IF('ORDENES'!$T194="correctiva",N198,0)</f>
        <v/>
      </c>
      <c r="Q198" s="3">
        <f>IF(AND(K198=1,'ORDENES'!$N194="Pendiente"),1,0)</f>
        <v/>
      </c>
      <c r="R198" s="3">
        <f>IF(Q198=1,100000-N198*1000+191*0.01,9000000000000+191)</f>
        <v/>
      </c>
      <c r="S198" s="3">
        <f>IF(Q198=1,SUMPRODUCT(--($R$8:$R$1207&lt;R198))+1,"")</f>
        <v/>
      </c>
      <c r="T198" s="12">
        <f>IF(K198=1,'ORDENES'!$J194,"")</f>
        <v/>
      </c>
      <c r="U198" s="3">
        <f>IFERROR(MATCH(191,$M$8:$M$1207,0),"")</f>
        <v/>
      </c>
      <c r="V198" s="3">
        <f>IF(U198="","",INDEX(tblOrdenes[dia_semana],U198))</f>
        <v/>
      </c>
      <c r="W198" s="3">
        <f>IF(U198="","",IF(V198&lt;&gt;V197,CHAR(10)&amp;UPPER(LEFT(V198,1))&amp;MID(V198,2,20)&amp;":"&amp;CHAR(10),"")&amp;"   "&amp;IF(INDEX(tblOrdenes[turno_asignado],U198)="","(s/t)",INDEX(tblOrdenes[turno_asignado],U198))&amp;" · "&amp;IF(INDEX(tblOrdenes[tecnico_asignado],U198)="","(sin técnico)",INDEX(tblOrdenes[tecnico_asignado],U198))&amp;" · "&amp;INDEX(tblOrdenes[id_operacion],U198)&amp;" — "&amp;INDEX(tblOrdenes[descripcion_operacion],U198)&amp;" ("&amp;TEXT(INDEX(tblOrdenes[horas_efectivas],U198),"0.#")&amp;" h)")</f>
        <v/>
      </c>
    </row>
    <row r="199">
      <c r="K199" s="3">
        <f>IF(AND(IF($B$3="(todos)",TRUE,'ORDENES'!$O195=$B$3),IF($D$3="(todos)",TRUE,'ORDENES'!$AF195=$D$3),IF($F$3="(todos)",TRUE,'ORDENES'!$X195=$F$3),IF($H$3="(todos)",TRUE,'ORDENES'!$W195=$H$3),'ORDENES'!$AD195=TRUE,'ORDENES'!$A195&lt;&gt;""),1,0)</f>
        <v/>
      </c>
      <c r="L199" s="3">
        <f>IF(K199=1,IFERROR(MATCH('ORDENES'!$R195,lista_dias,0),9)*1000000000+IFERROR(MATCH('ORDENES'!$AF195,lista_turnos,0),9)*10000000+IFERROR(MATCH('ORDENES'!$AE195,tblTecnicos[nombre],0),99)*100000+192,9000000000000+192)</f>
        <v/>
      </c>
      <c r="M199" s="3">
        <f>IF(K199=1,SUMPRODUCT(--($L$8:$L$1207&lt;L199))+1,"")</f>
        <v/>
      </c>
      <c r="N199" s="17">
        <f>IF(K199=1,N('ORDENES'!$M195),0)</f>
        <v/>
      </c>
      <c r="O199" s="17">
        <f>IF('ORDENES'!$T195="preventiva",N199,0)</f>
        <v/>
      </c>
      <c r="P199" s="17">
        <f>IF('ORDENES'!$T195="correctiva",N199,0)</f>
        <v/>
      </c>
      <c r="Q199" s="3">
        <f>IF(AND(K199=1,'ORDENES'!$N195="Pendiente"),1,0)</f>
        <v/>
      </c>
      <c r="R199" s="3">
        <f>IF(Q199=1,100000-N199*1000+192*0.01,9000000000000+192)</f>
        <v/>
      </c>
      <c r="S199" s="3">
        <f>IF(Q199=1,SUMPRODUCT(--($R$8:$R$1207&lt;R199))+1,"")</f>
        <v/>
      </c>
      <c r="T199" s="12">
        <f>IF(K199=1,'ORDENES'!$J195,"")</f>
        <v/>
      </c>
      <c r="U199" s="3">
        <f>IFERROR(MATCH(192,$M$8:$M$1207,0),"")</f>
        <v/>
      </c>
      <c r="V199" s="3">
        <f>IF(U199="","",INDEX(tblOrdenes[dia_semana],U199))</f>
        <v/>
      </c>
      <c r="W199" s="3">
        <f>IF(U199="","",IF(V199&lt;&gt;V198,CHAR(10)&amp;UPPER(LEFT(V199,1))&amp;MID(V199,2,20)&amp;":"&amp;CHAR(10),"")&amp;"   "&amp;IF(INDEX(tblOrdenes[turno_asignado],U199)="","(s/t)",INDEX(tblOrdenes[turno_asignado],U199))&amp;" · "&amp;IF(INDEX(tblOrdenes[tecnico_asignado],U199)="","(sin técnico)",INDEX(tblOrdenes[tecnico_asignado],U199))&amp;" · "&amp;INDEX(tblOrdenes[id_operacion],U199)&amp;" — "&amp;INDEX(tblOrdenes[descripcion_operacion],U199)&amp;" ("&amp;TEXT(INDEX(tblOrdenes[horas_efectivas],U199),"0.#")&amp;" h)")</f>
        <v/>
      </c>
    </row>
    <row r="200">
      <c r="K200" s="3">
        <f>IF(AND(IF($B$3="(todos)",TRUE,'ORDENES'!$O196=$B$3),IF($D$3="(todos)",TRUE,'ORDENES'!$AF196=$D$3),IF($F$3="(todos)",TRUE,'ORDENES'!$X196=$F$3),IF($H$3="(todos)",TRUE,'ORDENES'!$W196=$H$3),'ORDENES'!$AD196=TRUE,'ORDENES'!$A196&lt;&gt;""),1,0)</f>
        <v/>
      </c>
      <c r="L200" s="3">
        <f>IF(K200=1,IFERROR(MATCH('ORDENES'!$R196,lista_dias,0),9)*1000000000+IFERROR(MATCH('ORDENES'!$AF196,lista_turnos,0),9)*10000000+IFERROR(MATCH('ORDENES'!$AE196,tblTecnicos[nombre],0),99)*100000+193,9000000000000+193)</f>
        <v/>
      </c>
      <c r="M200" s="3">
        <f>IF(K200=1,SUMPRODUCT(--($L$8:$L$1207&lt;L200))+1,"")</f>
        <v/>
      </c>
      <c r="N200" s="17">
        <f>IF(K200=1,N('ORDENES'!$M196),0)</f>
        <v/>
      </c>
      <c r="O200" s="17">
        <f>IF('ORDENES'!$T196="preventiva",N200,0)</f>
        <v/>
      </c>
      <c r="P200" s="17">
        <f>IF('ORDENES'!$T196="correctiva",N200,0)</f>
        <v/>
      </c>
      <c r="Q200" s="3">
        <f>IF(AND(K200=1,'ORDENES'!$N196="Pendiente"),1,0)</f>
        <v/>
      </c>
      <c r="R200" s="3">
        <f>IF(Q200=1,100000-N200*1000+193*0.01,9000000000000+193)</f>
        <v/>
      </c>
      <c r="S200" s="3">
        <f>IF(Q200=1,SUMPRODUCT(--($R$8:$R$1207&lt;R200))+1,"")</f>
        <v/>
      </c>
      <c r="T200" s="12">
        <f>IF(K200=1,'ORDENES'!$J196,"")</f>
        <v/>
      </c>
      <c r="U200" s="3">
        <f>IFERROR(MATCH(193,$M$8:$M$1207,0),"")</f>
        <v/>
      </c>
      <c r="V200" s="3">
        <f>IF(U200="","",INDEX(tblOrdenes[dia_semana],U200))</f>
        <v/>
      </c>
      <c r="W200" s="3">
        <f>IF(U200="","",IF(V200&lt;&gt;V199,CHAR(10)&amp;UPPER(LEFT(V200,1))&amp;MID(V200,2,20)&amp;":"&amp;CHAR(10),"")&amp;"   "&amp;IF(INDEX(tblOrdenes[turno_asignado],U200)="","(s/t)",INDEX(tblOrdenes[turno_asignado],U200))&amp;" · "&amp;IF(INDEX(tblOrdenes[tecnico_asignado],U200)="","(sin técnico)",INDEX(tblOrdenes[tecnico_asignado],U200))&amp;" · "&amp;INDEX(tblOrdenes[id_operacion],U200)&amp;" — "&amp;INDEX(tblOrdenes[descripcion_operacion],U200)&amp;" ("&amp;TEXT(INDEX(tblOrdenes[horas_efectivas],U200),"0.#")&amp;" h)")</f>
        <v/>
      </c>
    </row>
    <row r="201">
      <c r="K201" s="3">
        <f>IF(AND(IF($B$3="(todos)",TRUE,'ORDENES'!$O197=$B$3),IF($D$3="(todos)",TRUE,'ORDENES'!$AF197=$D$3),IF($F$3="(todos)",TRUE,'ORDENES'!$X197=$F$3),IF($H$3="(todos)",TRUE,'ORDENES'!$W197=$H$3),'ORDENES'!$AD197=TRUE,'ORDENES'!$A197&lt;&gt;""),1,0)</f>
        <v/>
      </c>
      <c r="L201" s="3">
        <f>IF(K201=1,IFERROR(MATCH('ORDENES'!$R197,lista_dias,0),9)*1000000000+IFERROR(MATCH('ORDENES'!$AF197,lista_turnos,0),9)*10000000+IFERROR(MATCH('ORDENES'!$AE197,tblTecnicos[nombre],0),99)*100000+194,9000000000000+194)</f>
        <v/>
      </c>
      <c r="M201" s="3">
        <f>IF(K201=1,SUMPRODUCT(--($L$8:$L$1207&lt;L201))+1,"")</f>
        <v/>
      </c>
      <c r="N201" s="17">
        <f>IF(K201=1,N('ORDENES'!$M197),0)</f>
        <v/>
      </c>
      <c r="O201" s="17">
        <f>IF('ORDENES'!$T197="preventiva",N201,0)</f>
        <v/>
      </c>
      <c r="P201" s="17">
        <f>IF('ORDENES'!$T197="correctiva",N201,0)</f>
        <v/>
      </c>
      <c r="Q201" s="3">
        <f>IF(AND(K201=1,'ORDENES'!$N197="Pendiente"),1,0)</f>
        <v/>
      </c>
      <c r="R201" s="3">
        <f>IF(Q201=1,100000-N201*1000+194*0.01,9000000000000+194)</f>
        <v/>
      </c>
      <c r="S201" s="3">
        <f>IF(Q201=1,SUMPRODUCT(--($R$8:$R$1207&lt;R201))+1,"")</f>
        <v/>
      </c>
      <c r="T201" s="12">
        <f>IF(K201=1,'ORDENES'!$J197,"")</f>
        <v/>
      </c>
      <c r="U201" s="3">
        <f>IFERROR(MATCH(194,$M$8:$M$1207,0),"")</f>
        <v/>
      </c>
      <c r="V201" s="3">
        <f>IF(U201="","",INDEX(tblOrdenes[dia_semana],U201))</f>
        <v/>
      </c>
      <c r="W201" s="3">
        <f>IF(U201="","",IF(V201&lt;&gt;V200,CHAR(10)&amp;UPPER(LEFT(V201,1))&amp;MID(V201,2,20)&amp;":"&amp;CHAR(10),"")&amp;"   "&amp;IF(INDEX(tblOrdenes[turno_asignado],U201)="","(s/t)",INDEX(tblOrdenes[turno_asignado],U201))&amp;" · "&amp;IF(INDEX(tblOrdenes[tecnico_asignado],U201)="","(sin técnico)",INDEX(tblOrdenes[tecnico_asignado],U201))&amp;" · "&amp;INDEX(tblOrdenes[id_operacion],U201)&amp;" — "&amp;INDEX(tblOrdenes[descripcion_operacion],U201)&amp;" ("&amp;TEXT(INDEX(tblOrdenes[horas_efectivas],U201),"0.#")&amp;" h)")</f>
        <v/>
      </c>
    </row>
    <row r="202">
      <c r="K202" s="3">
        <f>IF(AND(IF($B$3="(todos)",TRUE,'ORDENES'!$O198=$B$3),IF($D$3="(todos)",TRUE,'ORDENES'!$AF198=$D$3),IF($F$3="(todos)",TRUE,'ORDENES'!$X198=$F$3),IF($H$3="(todos)",TRUE,'ORDENES'!$W198=$H$3),'ORDENES'!$AD198=TRUE,'ORDENES'!$A198&lt;&gt;""),1,0)</f>
        <v/>
      </c>
      <c r="L202" s="3">
        <f>IF(K202=1,IFERROR(MATCH('ORDENES'!$R198,lista_dias,0),9)*1000000000+IFERROR(MATCH('ORDENES'!$AF198,lista_turnos,0),9)*10000000+IFERROR(MATCH('ORDENES'!$AE198,tblTecnicos[nombre],0),99)*100000+195,9000000000000+195)</f>
        <v/>
      </c>
      <c r="M202" s="3">
        <f>IF(K202=1,SUMPRODUCT(--($L$8:$L$1207&lt;L202))+1,"")</f>
        <v/>
      </c>
      <c r="N202" s="17">
        <f>IF(K202=1,N('ORDENES'!$M198),0)</f>
        <v/>
      </c>
      <c r="O202" s="17">
        <f>IF('ORDENES'!$T198="preventiva",N202,0)</f>
        <v/>
      </c>
      <c r="P202" s="17">
        <f>IF('ORDENES'!$T198="correctiva",N202,0)</f>
        <v/>
      </c>
      <c r="Q202" s="3">
        <f>IF(AND(K202=1,'ORDENES'!$N198="Pendiente"),1,0)</f>
        <v/>
      </c>
      <c r="R202" s="3">
        <f>IF(Q202=1,100000-N202*1000+195*0.01,9000000000000+195)</f>
        <v/>
      </c>
      <c r="S202" s="3">
        <f>IF(Q202=1,SUMPRODUCT(--($R$8:$R$1207&lt;R202))+1,"")</f>
        <v/>
      </c>
      <c r="T202" s="12">
        <f>IF(K202=1,'ORDENES'!$J198,"")</f>
        <v/>
      </c>
      <c r="U202" s="3">
        <f>IFERROR(MATCH(195,$M$8:$M$1207,0),"")</f>
        <v/>
      </c>
      <c r="V202" s="3">
        <f>IF(U202="","",INDEX(tblOrdenes[dia_semana],U202))</f>
        <v/>
      </c>
      <c r="W202" s="3">
        <f>IF(U202="","",IF(V202&lt;&gt;V201,CHAR(10)&amp;UPPER(LEFT(V202,1))&amp;MID(V202,2,20)&amp;":"&amp;CHAR(10),"")&amp;"   "&amp;IF(INDEX(tblOrdenes[turno_asignado],U202)="","(s/t)",INDEX(tblOrdenes[turno_asignado],U202))&amp;" · "&amp;IF(INDEX(tblOrdenes[tecnico_asignado],U202)="","(sin técnico)",INDEX(tblOrdenes[tecnico_asignado],U202))&amp;" · "&amp;INDEX(tblOrdenes[id_operacion],U202)&amp;" — "&amp;INDEX(tblOrdenes[descripcion_operacion],U202)&amp;" ("&amp;TEXT(INDEX(tblOrdenes[horas_efectivas],U202),"0.#")&amp;" h)")</f>
        <v/>
      </c>
    </row>
    <row r="203">
      <c r="K203" s="3">
        <f>IF(AND(IF($B$3="(todos)",TRUE,'ORDENES'!$O199=$B$3),IF($D$3="(todos)",TRUE,'ORDENES'!$AF199=$D$3),IF($F$3="(todos)",TRUE,'ORDENES'!$X199=$F$3),IF($H$3="(todos)",TRUE,'ORDENES'!$W199=$H$3),'ORDENES'!$AD199=TRUE,'ORDENES'!$A199&lt;&gt;""),1,0)</f>
        <v/>
      </c>
      <c r="L203" s="3">
        <f>IF(K203=1,IFERROR(MATCH('ORDENES'!$R199,lista_dias,0),9)*1000000000+IFERROR(MATCH('ORDENES'!$AF199,lista_turnos,0),9)*10000000+IFERROR(MATCH('ORDENES'!$AE199,tblTecnicos[nombre],0),99)*100000+196,9000000000000+196)</f>
        <v/>
      </c>
      <c r="M203" s="3">
        <f>IF(K203=1,SUMPRODUCT(--($L$8:$L$1207&lt;L203))+1,"")</f>
        <v/>
      </c>
      <c r="N203" s="17">
        <f>IF(K203=1,N('ORDENES'!$M199),0)</f>
        <v/>
      </c>
      <c r="O203" s="17">
        <f>IF('ORDENES'!$T199="preventiva",N203,0)</f>
        <v/>
      </c>
      <c r="P203" s="17">
        <f>IF('ORDENES'!$T199="correctiva",N203,0)</f>
        <v/>
      </c>
      <c r="Q203" s="3">
        <f>IF(AND(K203=1,'ORDENES'!$N199="Pendiente"),1,0)</f>
        <v/>
      </c>
      <c r="R203" s="3">
        <f>IF(Q203=1,100000-N203*1000+196*0.01,9000000000000+196)</f>
        <v/>
      </c>
      <c r="S203" s="3">
        <f>IF(Q203=1,SUMPRODUCT(--($R$8:$R$1207&lt;R203))+1,"")</f>
        <v/>
      </c>
      <c r="T203" s="12">
        <f>IF(K203=1,'ORDENES'!$J199,"")</f>
        <v/>
      </c>
      <c r="U203" s="3">
        <f>IFERROR(MATCH(196,$M$8:$M$1207,0),"")</f>
        <v/>
      </c>
      <c r="V203" s="3">
        <f>IF(U203="","",INDEX(tblOrdenes[dia_semana],U203))</f>
        <v/>
      </c>
      <c r="W203" s="3">
        <f>IF(U203="","",IF(V203&lt;&gt;V202,CHAR(10)&amp;UPPER(LEFT(V203,1))&amp;MID(V203,2,20)&amp;":"&amp;CHAR(10),"")&amp;"   "&amp;IF(INDEX(tblOrdenes[turno_asignado],U203)="","(s/t)",INDEX(tblOrdenes[turno_asignado],U203))&amp;" · "&amp;IF(INDEX(tblOrdenes[tecnico_asignado],U203)="","(sin técnico)",INDEX(tblOrdenes[tecnico_asignado],U203))&amp;" · "&amp;INDEX(tblOrdenes[id_operacion],U203)&amp;" — "&amp;INDEX(tblOrdenes[descripcion_operacion],U203)&amp;" ("&amp;TEXT(INDEX(tblOrdenes[horas_efectivas],U203),"0.#")&amp;" h)")</f>
        <v/>
      </c>
    </row>
    <row r="204">
      <c r="K204" s="3">
        <f>IF(AND(IF($B$3="(todos)",TRUE,'ORDENES'!$O200=$B$3),IF($D$3="(todos)",TRUE,'ORDENES'!$AF200=$D$3),IF($F$3="(todos)",TRUE,'ORDENES'!$X200=$F$3),IF($H$3="(todos)",TRUE,'ORDENES'!$W200=$H$3),'ORDENES'!$AD200=TRUE,'ORDENES'!$A200&lt;&gt;""),1,0)</f>
        <v/>
      </c>
      <c r="L204" s="3">
        <f>IF(K204=1,IFERROR(MATCH('ORDENES'!$R200,lista_dias,0),9)*1000000000+IFERROR(MATCH('ORDENES'!$AF200,lista_turnos,0),9)*10000000+IFERROR(MATCH('ORDENES'!$AE200,tblTecnicos[nombre],0),99)*100000+197,9000000000000+197)</f>
        <v/>
      </c>
      <c r="M204" s="3">
        <f>IF(K204=1,SUMPRODUCT(--($L$8:$L$1207&lt;L204))+1,"")</f>
        <v/>
      </c>
      <c r="N204" s="17">
        <f>IF(K204=1,N('ORDENES'!$M200),0)</f>
        <v/>
      </c>
      <c r="O204" s="17">
        <f>IF('ORDENES'!$T200="preventiva",N204,0)</f>
        <v/>
      </c>
      <c r="P204" s="17">
        <f>IF('ORDENES'!$T200="correctiva",N204,0)</f>
        <v/>
      </c>
      <c r="Q204" s="3">
        <f>IF(AND(K204=1,'ORDENES'!$N200="Pendiente"),1,0)</f>
        <v/>
      </c>
      <c r="R204" s="3">
        <f>IF(Q204=1,100000-N204*1000+197*0.01,9000000000000+197)</f>
        <v/>
      </c>
      <c r="S204" s="3">
        <f>IF(Q204=1,SUMPRODUCT(--($R$8:$R$1207&lt;R204))+1,"")</f>
        <v/>
      </c>
      <c r="T204" s="12">
        <f>IF(K204=1,'ORDENES'!$J200,"")</f>
        <v/>
      </c>
      <c r="U204" s="3">
        <f>IFERROR(MATCH(197,$M$8:$M$1207,0),"")</f>
        <v/>
      </c>
      <c r="V204" s="3">
        <f>IF(U204="","",INDEX(tblOrdenes[dia_semana],U204))</f>
        <v/>
      </c>
      <c r="W204" s="3">
        <f>IF(U204="","",IF(V204&lt;&gt;V203,CHAR(10)&amp;UPPER(LEFT(V204,1))&amp;MID(V204,2,20)&amp;":"&amp;CHAR(10),"")&amp;"   "&amp;IF(INDEX(tblOrdenes[turno_asignado],U204)="","(s/t)",INDEX(tblOrdenes[turno_asignado],U204))&amp;" · "&amp;IF(INDEX(tblOrdenes[tecnico_asignado],U204)="","(sin técnico)",INDEX(tblOrdenes[tecnico_asignado],U204))&amp;" · "&amp;INDEX(tblOrdenes[id_operacion],U204)&amp;" — "&amp;INDEX(tblOrdenes[descripcion_operacion],U204)&amp;" ("&amp;TEXT(INDEX(tblOrdenes[horas_efectivas],U204),"0.#")&amp;" h)")</f>
        <v/>
      </c>
    </row>
    <row r="205">
      <c r="K205" s="3">
        <f>IF(AND(IF($B$3="(todos)",TRUE,'ORDENES'!$O201=$B$3),IF($D$3="(todos)",TRUE,'ORDENES'!$AF201=$D$3),IF($F$3="(todos)",TRUE,'ORDENES'!$X201=$F$3),IF($H$3="(todos)",TRUE,'ORDENES'!$W201=$H$3),'ORDENES'!$AD201=TRUE,'ORDENES'!$A201&lt;&gt;""),1,0)</f>
        <v/>
      </c>
      <c r="L205" s="3">
        <f>IF(K205=1,IFERROR(MATCH('ORDENES'!$R201,lista_dias,0),9)*1000000000+IFERROR(MATCH('ORDENES'!$AF201,lista_turnos,0),9)*10000000+IFERROR(MATCH('ORDENES'!$AE201,tblTecnicos[nombre],0),99)*100000+198,9000000000000+198)</f>
        <v/>
      </c>
      <c r="M205" s="3">
        <f>IF(K205=1,SUMPRODUCT(--($L$8:$L$1207&lt;L205))+1,"")</f>
        <v/>
      </c>
      <c r="N205" s="17">
        <f>IF(K205=1,N('ORDENES'!$M201),0)</f>
        <v/>
      </c>
      <c r="O205" s="17">
        <f>IF('ORDENES'!$T201="preventiva",N205,0)</f>
        <v/>
      </c>
      <c r="P205" s="17">
        <f>IF('ORDENES'!$T201="correctiva",N205,0)</f>
        <v/>
      </c>
      <c r="Q205" s="3">
        <f>IF(AND(K205=1,'ORDENES'!$N201="Pendiente"),1,0)</f>
        <v/>
      </c>
      <c r="R205" s="3">
        <f>IF(Q205=1,100000-N205*1000+198*0.01,9000000000000+198)</f>
        <v/>
      </c>
      <c r="S205" s="3">
        <f>IF(Q205=1,SUMPRODUCT(--($R$8:$R$1207&lt;R205))+1,"")</f>
        <v/>
      </c>
      <c r="T205" s="12">
        <f>IF(K205=1,'ORDENES'!$J201,"")</f>
        <v/>
      </c>
      <c r="U205" s="3">
        <f>IFERROR(MATCH(198,$M$8:$M$1207,0),"")</f>
        <v/>
      </c>
      <c r="V205" s="3">
        <f>IF(U205="","",INDEX(tblOrdenes[dia_semana],U205))</f>
        <v/>
      </c>
      <c r="W205" s="3">
        <f>IF(U205="","",IF(V205&lt;&gt;V204,CHAR(10)&amp;UPPER(LEFT(V205,1))&amp;MID(V205,2,20)&amp;":"&amp;CHAR(10),"")&amp;"   "&amp;IF(INDEX(tblOrdenes[turno_asignado],U205)="","(s/t)",INDEX(tblOrdenes[turno_asignado],U205))&amp;" · "&amp;IF(INDEX(tblOrdenes[tecnico_asignado],U205)="","(sin técnico)",INDEX(tblOrdenes[tecnico_asignado],U205))&amp;" · "&amp;INDEX(tblOrdenes[id_operacion],U205)&amp;" — "&amp;INDEX(tblOrdenes[descripcion_operacion],U205)&amp;" ("&amp;TEXT(INDEX(tblOrdenes[horas_efectivas],U205),"0.#")&amp;" h)")</f>
        <v/>
      </c>
    </row>
    <row r="206">
      <c r="K206" s="3">
        <f>IF(AND(IF($B$3="(todos)",TRUE,'ORDENES'!$O202=$B$3),IF($D$3="(todos)",TRUE,'ORDENES'!$AF202=$D$3),IF($F$3="(todos)",TRUE,'ORDENES'!$X202=$F$3),IF($H$3="(todos)",TRUE,'ORDENES'!$W202=$H$3),'ORDENES'!$AD202=TRUE,'ORDENES'!$A202&lt;&gt;""),1,0)</f>
        <v/>
      </c>
      <c r="L206" s="3">
        <f>IF(K206=1,IFERROR(MATCH('ORDENES'!$R202,lista_dias,0),9)*1000000000+IFERROR(MATCH('ORDENES'!$AF202,lista_turnos,0),9)*10000000+IFERROR(MATCH('ORDENES'!$AE202,tblTecnicos[nombre],0),99)*100000+199,9000000000000+199)</f>
        <v/>
      </c>
      <c r="M206" s="3">
        <f>IF(K206=1,SUMPRODUCT(--($L$8:$L$1207&lt;L206))+1,"")</f>
        <v/>
      </c>
      <c r="N206" s="17">
        <f>IF(K206=1,N('ORDENES'!$M202),0)</f>
        <v/>
      </c>
      <c r="O206" s="17">
        <f>IF('ORDENES'!$T202="preventiva",N206,0)</f>
        <v/>
      </c>
      <c r="P206" s="17">
        <f>IF('ORDENES'!$T202="correctiva",N206,0)</f>
        <v/>
      </c>
      <c r="Q206" s="3">
        <f>IF(AND(K206=1,'ORDENES'!$N202="Pendiente"),1,0)</f>
        <v/>
      </c>
      <c r="R206" s="3">
        <f>IF(Q206=1,100000-N206*1000+199*0.01,9000000000000+199)</f>
        <v/>
      </c>
      <c r="S206" s="3">
        <f>IF(Q206=1,SUMPRODUCT(--($R$8:$R$1207&lt;R206))+1,"")</f>
        <v/>
      </c>
      <c r="T206" s="12">
        <f>IF(K206=1,'ORDENES'!$J202,"")</f>
        <v/>
      </c>
      <c r="U206" s="3">
        <f>IFERROR(MATCH(199,$M$8:$M$1207,0),"")</f>
        <v/>
      </c>
      <c r="V206" s="3">
        <f>IF(U206="","",INDEX(tblOrdenes[dia_semana],U206))</f>
        <v/>
      </c>
      <c r="W206" s="3">
        <f>IF(U206="","",IF(V206&lt;&gt;V205,CHAR(10)&amp;UPPER(LEFT(V206,1))&amp;MID(V206,2,20)&amp;":"&amp;CHAR(10),"")&amp;"   "&amp;IF(INDEX(tblOrdenes[turno_asignado],U206)="","(s/t)",INDEX(tblOrdenes[turno_asignado],U206))&amp;" · "&amp;IF(INDEX(tblOrdenes[tecnico_asignado],U206)="","(sin técnico)",INDEX(tblOrdenes[tecnico_asignado],U206))&amp;" · "&amp;INDEX(tblOrdenes[id_operacion],U206)&amp;" — "&amp;INDEX(tblOrdenes[descripcion_operacion],U206)&amp;" ("&amp;TEXT(INDEX(tblOrdenes[horas_efectivas],U206),"0.#")&amp;" h)")</f>
        <v/>
      </c>
    </row>
    <row r="207">
      <c r="K207" s="3">
        <f>IF(AND(IF($B$3="(todos)",TRUE,'ORDENES'!$O203=$B$3),IF($D$3="(todos)",TRUE,'ORDENES'!$AF203=$D$3),IF($F$3="(todos)",TRUE,'ORDENES'!$X203=$F$3),IF($H$3="(todos)",TRUE,'ORDENES'!$W203=$H$3),'ORDENES'!$AD203=TRUE,'ORDENES'!$A203&lt;&gt;""),1,0)</f>
        <v/>
      </c>
      <c r="L207" s="3">
        <f>IF(K207=1,IFERROR(MATCH('ORDENES'!$R203,lista_dias,0),9)*1000000000+IFERROR(MATCH('ORDENES'!$AF203,lista_turnos,0),9)*10000000+IFERROR(MATCH('ORDENES'!$AE203,tblTecnicos[nombre],0),99)*100000+200,9000000000000+200)</f>
        <v/>
      </c>
      <c r="M207" s="3">
        <f>IF(K207=1,SUMPRODUCT(--($L$8:$L$1207&lt;L207))+1,"")</f>
        <v/>
      </c>
      <c r="N207" s="17">
        <f>IF(K207=1,N('ORDENES'!$M203),0)</f>
        <v/>
      </c>
      <c r="O207" s="17">
        <f>IF('ORDENES'!$T203="preventiva",N207,0)</f>
        <v/>
      </c>
      <c r="P207" s="17">
        <f>IF('ORDENES'!$T203="correctiva",N207,0)</f>
        <v/>
      </c>
      <c r="Q207" s="3">
        <f>IF(AND(K207=1,'ORDENES'!$N203="Pendiente"),1,0)</f>
        <v/>
      </c>
      <c r="R207" s="3">
        <f>IF(Q207=1,100000-N207*1000+200*0.01,9000000000000+200)</f>
        <v/>
      </c>
      <c r="S207" s="3">
        <f>IF(Q207=1,SUMPRODUCT(--($R$8:$R$1207&lt;R207))+1,"")</f>
        <v/>
      </c>
      <c r="T207" s="12">
        <f>IF(K207=1,'ORDENES'!$J203,"")</f>
        <v/>
      </c>
      <c r="U207" s="3">
        <f>IFERROR(MATCH(200,$M$8:$M$1207,0),"")</f>
        <v/>
      </c>
      <c r="V207" s="3">
        <f>IF(U207="","",INDEX(tblOrdenes[dia_semana],U207))</f>
        <v/>
      </c>
      <c r="W207" s="3">
        <f>IF(U207="","",IF(V207&lt;&gt;V206,CHAR(10)&amp;UPPER(LEFT(V207,1))&amp;MID(V207,2,20)&amp;":"&amp;CHAR(10),"")&amp;"   "&amp;IF(INDEX(tblOrdenes[turno_asignado],U207)="","(s/t)",INDEX(tblOrdenes[turno_asignado],U207))&amp;" · "&amp;IF(INDEX(tblOrdenes[tecnico_asignado],U207)="","(sin técnico)",INDEX(tblOrdenes[tecnico_asignado],U207))&amp;" · "&amp;INDEX(tblOrdenes[id_operacion],U207)&amp;" — "&amp;INDEX(tblOrdenes[descripcion_operacion],U207)&amp;" ("&amp;TEXT(INDEX(tblOrdenes[horas_efectivas],U207),"0.#")&amp;" h)")</f>
        <v/>
      </c>
    </row>
    <row r="208">
      <c r="K208" s="3">
        <f>IF(AND(IF($B$3="(todos)",TRUE,'ORDENES'!$O204=$B$3),IF($D$3="(todos)",TRUE,'ORDENES'!$AF204=$D$3),IF($F$3="(todos)",TRUE,'ORDENES'!$X204=$F$3),IF($H$3="(todos)",TRUE,'ORDENES'!$W204=$H$3),'ORDENES'!$AD204=TRUE,'ORDENES'!$A204&lt;&gt;""),1,0)</f>
        <v/>
      </c>
      <c r="L208" s="3">
        <f>IF(K208=1,IFERROR(MATCH('ORDENES'!$R204,lista_dias,0),9)*1000000000+IFERROR(MATCH('ORDENES'!$AF204,lista_turnos,0),9)*10000000+IFERROR(MATCH('ORDENES'!$AE204,tblTecnicos[nombre],0),99)*100000+201,9000000000000+201)</f>
        <v/>
      </c>
      <c r="M208" s="3">
        <f>IF(K208=1,SUMPRODUCT(--($L$8:$L$1207&lt;L208))+1,"")</f>
        <v/>
      </c>
      <c r="N208" s="17">
        <f>IF(K208=1,N('ORDENES'!$M204),0)</f>
        <v/>
      </c>
      <c r="O208" s="17">
        <f>IF('ORDENES'!$T204="preventiva",N208,0)</f>
        <v/>
      </c>
      <c r="P208" s="17">
        <f>IF('ORDENES'!$T204="correctiva",N208,0)</f>
        <v/>
      </c>
      <c r="Q208" s="3">
        <f>IF(AND(K208=1,'ORDENES'!$N204="Pendiente"),1,0)</f>
        <v/>
      </c>
      <c r="R208" s="3">
        <f>IF(Q208=1,100000-N208*1000+201*0.01,9000000000000+201)</f>
        <v/>
      </c>
      <c r="S208" s="3">
        <f>IF(Q208=1,SUMPRODUCT(--($R$8:$R$1207&lt;R208))+1,"")</f>
        <v/>
      </c>
      <c r="T208" s="12">
        <f>IF(K208=1,'ORDENES'!$J204,"")</f>
        <v/>
      </c>
    </row>
    <row r="209">
      <c r="K209" s="3">
        <f>IF(AND(IF($B$3="(todos)",TRUE,'ORDENES'!$O205=$B$3),IF($D$3="(todos)",TRUE,'ORDENES'!$AF205=$D$3),IF($F$3="(todos)",TRUE,'ORDENES'!$X205=$F$3),IF($H$3="(todos)",TRUE,'ORDENES'!$W205=$H$3),'ORDENES'!$AD205=TRUE,'ORDENES'!$A205&lt;&gt;""),1,0)</f>
        <v/>
      </c>
      <c r="L209" s="3">
        <f>IF(K209=1,IFERROR(MATCH('ORDENES'!$R205,lista_dias,0),9)*1000000000+IFERROR(MATCH('ORDENES'!$AF205,lista_turnos,0),9)*10000000+IFERROR(MATCH('ORDENES'!$AE205,tblTecnicos[nombre],0),99)*100000+202,9000000000000+202)</f>
        <v/>
      </c>
      <c r="M209" s="3">
        <f>IF(K209=1,SUMPRODUCT(--($L$8:$L$1207&lt;L209))+1,"")</f>
        <v/>
      </c>
      <c r="N209" s="17">
        <f>IF(K209=1,N('ORDENES'!$M205),0)</f>
        <v/>
      </c>
      <c r="O209" s="17">
        <f>IF('ORDENES'!$T205="preventiva",N209,0)</f>
        <v/>
      </c>
      <c r="P209" s="17">
        <f>IF('ORDENES'!$T205="correctiva",N209,0)</f>
        <v/>
      </c>
      <c r="Q209" s="3">
        <f>IF(AND(K209=1,'ORDENES'!$N205="Pendiente"),1,0)</f>
        <v/>
      </c>
      <c r="R209" s="3">
        <f>IF(Q209=1,100000-N209*1000+202*0.01,9000000000000+202)</f>
        <v/>
      </c>
      <c r="S209" s="3">
        <f>IF(Q209=1,SUMPRODUCT(--($R$8:$R$1207&lt;R209))+1,"")</f>
        <v/>
      </c>
      <c r="T209" s="12">
        <f>IF(K209=1,'ORDENES'!$J205,"")</f>
        <v/>
      </c>
    </row>
    <row r="210">
      <c r="K210" s="3">
        <f>IF(AND(IF($B$3="(todos)",TRUE,'ORDENES'!$O206=$B$3),IF($D$3="(todos)",TRUE,'ORDENES'!$AF206=$D$3),IF($F$3="(todos)",TRUE,'ORDENES'!$X206=$F$3),IF($H$3="(todos)",TRUE,'ORDENES'!$W206=$H$3),'ORDENES'!$AD206=TRUE,'ORDENES'!$A206&lt;&gt;""),1,0)</f>
        <v/>
      </c>
      <c r="L210" s="3">
        <f>IF(K210=1,IFERROR(MATCH('ORDENES'!$R206,lista_dias,0),9)*1000000000+IFERROR(MATCH('ORDENES'!$AF206,lista_turnos,0),9)*10000000+IFERROR(MATCH('ORDENES'!$AE206,tblTecnicos[nombre],0),99)*100000+203,9000000000000+203)</f>
        <v/>
      </c>
      <c r="M210" s="3">
        <f>IF(K210=1,SUMPRODUCT(--($L$8:$L$1207&lt;L210))+1,"")</f>
        <v/>
      </c>
      <c r="N210" s="17">
        <f>IF(K210=1,N('ORDENES'!$M206),0)</f>
        <v/>
      </c>
      <c r="O210" s="17">
        <f>IF('ORDENES'!$T206="preventiva",N210,0)</f>
        <v/>
      </c>
      <c r="P210" s="17">
        <f>IF('ORDENES'!$T206="correctiva",N210,0)</f>
        <v/>
      </c>
      <c r="Q210" s="3">
        <f>IF(AND(K210=1,'ORDENES'!$N206="Pendiente"),1,0)</f>
        <v/>
      </c>
      <c r="R210" s="3">
        <f>IF(Q210=1,100000-N210*1000+203*0.01,9000000000000+203)</f>
        <v/>
      </c>
      <c r="S210" s="3">
        <f>IF(Q210=1,SUMPRODUCT(--($R$8:$R$1207&lt;R210))+1,"")</f>
        <v/>
      </c>
      <c r="T210" s="12">
        <f>IF(K210=1,'ORDENES'!$J206,"")</f>
        <v/>
      </c>
    </row>
    <row r="211">
      <c r="K211" s="3">
        <f>IF(AND(IF($B$3="(todos)",TRUE,'ORDENES'!$O207=$B$3),IF($D$3="(todos)",TRUE,'ORDENES'!$AF207=$D$3),IF($F$3="(todos)",TRUE,'ORDENES'!$X207=$F$3),IF($H$3="(todos)",TRUE,'ORDENES'!$W207=$H$3),'ORDENES'!$AD207=TRUE,'ORDENES'!$A207&lt;&gt;""),1,0)</f>
        <v/>
      </c>
      <c r="L211" s="3">
        <f>IF(K211=1,IFERROR(MATCH('ORDENES'!$R207,lista_dias,0),9)*1000000000+IFERROR(MATCH('ORDENES'!$AF207,lista_turnos,0),9)*10000000+IFERROR(MATCH('ORDENES'!$AE207,tblTecnicos[nombre],0),99)*100000+204,9000000000000+204)</f>
        <v/>
      </c>
      <c r="M211" s="3">
        <f>IF(K211=1,SUMPRODUCT(--($L$8:$L$1207&lt;L211))+1,"")</f>
        <v/>
      </c>
      <c r="N211" s="17">
        <f>IF(K211=1,N('ORDENES'!$M207),0)</f>
        <v/>
      </c>
      <c r="O211" s="17">
        <f>IF('ORDENES'!$T207="preventiva",N211,0)</f>
        <v/>
      </c>
      <c r="P211" s="17">
        <f>IF('ORDENES'!$T207="correctiva",N211,0)</f>
        <v/>
      </c>
      <c r="Q211" s="3">
        <f>IF(AND(K211=1,'ORDENES'!$N207="Pendiente"),1,0)</f>
        <v/>
      </c>
      <c r="R211" s="3">
        <f>IF(Q211=1,100000-N211*1000+204*0.01,9000000000000+204)</f>
        <v/>
      </c>
      <c r="S211" s="3">
        <f>IF(Q211=1,SUMPRODUCT(--($R$8:$R$1207&lt;R211))+1,"")</f>
        <v/>
      </c>
      <c r="T211" s="12">
        <f>IF(K211=1,'ORDENES'!$J207,"")</f>
        <v/>
      </c>
    </row>
    <row r="212">
      <c r="K212" s="3">
        <f>IF(AND(IF($B$3="(todos)",TRUE,'ORDENES'!$O208=$B$3),IF($D$3="(todos)",TRUE,'ORDENES'!$AF208=$D$3),IF($F$3="(todos)",TRUE,'ORDENES'!$X208=$F$3),IF($H$3="(todos)",TRUE,'ORDENES'!$W208=$H$3),'ORDENES'!$AD208=TRUE,'ORDENES'!$A208&lt;&gt;""),1,0)</f>
        <v/>
      </c>
      <c r="L212" s="3">
        <f>IF(K212=1,IFERROR(MATCH('ORDENES'!$R208,lista_dias,0),9)*1000000000+IFERROR(MATCH('ORDENES'!$AF208,lista_turnos,0),9)*10000000+IFERROR(MATCH('ORDENES'!$AE208,tblTecnicos[nombre],0),99)*100000+205,9000000000000+205)</f>
        <v/>
      </c>
      <c r="M212" s="3">
        <f>IF(K212=1,SUMPRODUCT(--($L$8:$L$1207&lt;L212))+1,"")</f>
        <v/>
      </c>
      <c r="N212" s="17">
        <f>IF(K212=1,N('ORDENES'!$M208),0)</f>
        <v/>
      </c>
      <c r="O212" s="17">
        <f>IF('ORDENES'!$T208="preventiva",N212,0)</f>
        <v/>
      </c>
      <c r="P212" s="17">
        <f>IF('ORDENES'!$T208="correctiva",N212,0)</f>
        <v/>
      </c>
      <c r="Q212" s="3">
        <f>IF(AND(K212=1,'ORDENES'!$N208="Pendiente"),1,0)</f>
        <v/>
      </c>
      <c r="R212" s="3">
        <f>IF(Q212=1,100000-N212*1000+205*0.01,9000000000000+205)</f>
        <v/>
      </c>
      <c r="S212" s="3">
        <f>IF(Q212=1,SUMPRODUCT(--($R$8:$R$1207&lt;R212))+1,"")</f>
        <v/>
      </c>
      <c r="T212" s="12">
        <f>IF(K212=1,'ORDENES'!$J208,"")</f>
        <v/>
      </c>
    </row>
    <row r="213">
      <c r="K213" s="3">
        <f>IF(AND(IF($B$3="(todos)",TRUE,'ORDENES'!$O209=$B$3),IF($D$3="(todos)",TRUE,'ORDENES'!$AF209=$D$3),IF($F$3="(todos)",TRUE,'ORDENES'!$X209=$F$3),IF($H$3="(todos)",TRUE,'ORDENES'!$W209=$H$3),'ORDENES'!$AD209=TRUE,'ORDENES'!$A209&lt;&gt;""),1,0)</f>
        <v/>
      </c>
      <c r="L213" s="3">
        <f>IF(K213=1,IFERROR(MATCH('ORDENES'!$R209,lista_dias,0),9)*1000000000+IFERROR(MATCH('ORDENES'!$AF209,lista_turnos,0),9)*10000000+IFERROR(MATCH('ORDENES'!$AE209,tblTecnicos[nombre],0),99)*100000+206,9000000000000+206)</f>
        <v/>
      </c>
      <c r="M213" s="3">
        <f>IF(K213=1,SUMPRODUCT(--($L$8:$L$1207&lt;L213))+1,"")</f>
        <v/>
      </c>
      <c r="N213" s="17">
        <f>IF(K213=1,N('ORDENES'!$M209),0)</f>
        <v/>
      </c>
      <c r="O213" s="17">
        <f>IF('ORDENES'!$T209="preventiva",N213,0)</f>
        <v/>
      </c>
      <c r="P213" s="17">
        <f>IF('ORDENES'!$T209="correctiva",N213,0)</f>
        <v/>
      </c>
      <c r="Q213" s="3">
        <f>IF(AND(K213=1,'ORDENES'!$N209="Pendiente"),1,0)</f>
        <v/>
      </c>
      <c r="R213" s="3">
        <f>IF(Q213=1,100000-N213*1000+206*0.01,9000000000000+206)</f>
        <v/>
      </c>
      <c r="S213" s="3">
        <f>IF(Q213=1,SUMPRODUCT(--($R$8:$R$1207&lt;R213))+1,"")</f>
        <v/>
      </c>
      <c r="T213" s="12">
        <f>IF(K213=1,'ORDENES'!$J209,"")</f>
        <v/>
      </c>
    </row>
    <row r="214">
      <c r="K214" s="3">
        <f>IF(AND(IF($B$3="(todos)",TRUE,'ORDENES'!$O210=$B$3),IF($D$3="(todos)",TRUE,'ORDENES'!$AF210=$D$3),IF($F$3="(todos)",TRUE,'ORDENES'!$X210=$F$3),IF($H$3="(todos)",TRUE,'ORDENES'!$W210=$H$3),'ORDENES'!$AD210=TRUE,'ORDENES'!$A210&lt;&gt;""),1,0)</f>
        <v/>
      </c>
      <c r="L214" s="3">
        <f>IF(K214=1,IFERROR(MATCH('ORDENES'!$R210,lista_dias,0),9)*1000000000+IFERROR(MATCH('ORDENES'!$AF210,lista_turnos,0),9)*10000000+IFERROR(MATCH('ORDENES'!$AE210,tblTecnicos[nombre],0),99)*100000+207,9000000000000+207)</f>
        <v/>
      </c>
      <c r="M214" s="3">
        <f>IF(K214=1,SUMPRODUCT(--($L$8:$L$1207&lt;L214))+1,"")</f>
        <v/>
      </c>
      <c r="N214" s="17">
        <f>IF(K214=1,N('ORDENES'!$M210),0)</f>
        <v/>
      </c>
      <c r="O214" s="17">
        <f>IF('ORDENES'!$T210="preventiva",N214,0)</f>
        <v/>
      </c>
      <c r="P214" s="17">
        <f>IF('ORDENES'!$T210="correctiva",N214,0)</f>
        <v/>
      </c>
      <c r="Q214" s="3">
        <f>IF(AND(K214=1,'ORDENES'!$N210="Pendiente"),1,0)</f>
        <v/>
      </c>
      <c r="R214" s="3">
        <f>IF(Q214=1,100000-N214*1000+207*0.01,9000000000000+207)</f>
        <v/>
      </c>
      <c r="S214" s="3">
        <f>IF(Q214=1,SUMPRODUCT(--($R$8:$R$1207&lt;R214))+1,"")</f>
        <v/>
      </c>
      <c r="T214" s="12">
        <f>IF(K214=1,'ORDENES'!$J210,"")</f>
        <v/>
      </c>
    </row>
    <row r="215">
      <c r="K215" s="3">
        <f>IF(AND(IF($B$3="(todos)",TRUE,'ORDENES'!$O211=$B$3),IF($D$3="(todos)",TRUE,'ORDENES'!$AF211=$D$3),IF($F$3="(todos)",TRUE,'ORDENES'!$X211=$F$3),IF($H$3="(todos)",TRUE,'ORDENES'!$W211=$H$3),'ORDENES'!$AD211=TRUE,'ORDENES'!$A211&lt;&gt;""),1,0)</f>
        <v/>
      </c>
      <c r="L215" s="3">
        <f>IF(K215=1,IFERROR(MATCH('ORDENES'!$R211,lista_dias,0),9)*1000000000+IFERROR(MATCH('ORDENES'!$AF211,lista_turnos,0),9)*10000000+IFERROR(MATCH('ORDENES'!$AE211,tblTecnicos[nombre],0),99)*100000+208,9000000000000+208)</f>
        <v/>
      </c>
      <c r="M215" s="3">
        <f>IF(K215=1,SUMPRODUCT(--($L$8:$L$1207&lt;L215))+1,"")</f>
        <v/>
      </c>
      <c r="N215" s="17">
        <f>IF(K215=1,N('ORDENES'!$M211),0)</f>
        <v/>
      </c>
      <c r="O215" s="17">
        <f>IF('ORDENES'!$T211="preventiva",N215,0)</f>
        <v/>
      </c>
      <c r="P215" s="17">
        <f>IF('ORDENES'!$T211="correctiva",N215,0)</f>
        <v/>
      </c>
      <c r="Q215" s="3">
        <f>IF(AND(K215=1,'ORDENES'!$N211="Pendiente"),1,0)</f>
        <v/>
      </c>
      <c r="R215" s="3">
        <f>IF(Q215=1,100000-N215*1000+208*0.01,9000000000000+208)</f>
        <v/>
      </c>
      <c r="S215" s="3">
        <f>IF(Q215=1,SUMPRODUCT(--($R$8:$R$1207&lt;R215))+1,"")</f>
        <v/>
      </c>
      <c r="T215" s="12">
        <f>IF(K215=1,'ORDENES'!$J211,"")</f>
        <v/>
      </c>
    </row>
    <row r="216">
      <c r="K216" s="3">
        <f>IF(AND(IF($B$3="(todos)",TRUE,'ORDENES'!$O212=$B$3),IF($D$3="(todos)",TRUE,'ORDENES'!$AF212=$D$3),IF($F$3="(todos)",TRUE,'ORDENES'!$X212=$F$3),IF($H$3="(todos)",TRUE,'ORDENES'!$W212=$H$3),'ORDENES'!$AD212=TRUE,'ORDENES'!$A212&lt;&gt;""),1,0)</f>
        <v/>
      </c>
      <c r="L216" s="3">
        <f>IF(K216=1,IFERROR(MATCH('ORDENES'!$R212,lista_dias,0),9)*1000000000+IFERROR(MATCH('ORDENES'!$AF212,lista_turnos,0),9)*10000000+IFERROR(MATCH('ORDENES'!$AE212,tblTecnicos[nombre],0),99)*100000+209,9000000000000+209)</f>
        <v/>
      </c>
      <c r="M216" s="3">
        <f>IF(K216=1,SUMPRODUCT(--($L$8:$L$1207&lt;L216))+1,"")</f>
        <v/>
      </c>
      <c r="N216" s="17">
        <f>IF(K216=1,N('ORDENES'!$M212),0)</f>
        <v/>
      </c>
      <c r="O216" s="17">
        <f>IF('ORDENES'!$T212="preventiva",N216,0)</f>
        <v/>
      </c>
      <c r="P216" s="17">
        <f>IF('ORDENES'!$T212="correctiva",N216,0)</f>
        <v/>
      </c>
      <c r="Q216" s="3">
        <f>IF(AND(K216=1,'ORDENES'!$N212="Pendiente"),1,0)</f>
        <v/>
      </c>
      <c r="R216" s="3">
        <f>IF(Q216=1,100000-N216*1000+209*0.01,9000000000000+209)</f>
        <v/>
      </c>
      <c r="S216" s="3">
        <f>IF(Q216=1,SUMPRODUCT(--($R$8:$R$1207&lt;R216))+1,"")</f>
        <v/>
      </c>
      <c r="T216" s="12">
        <f>IF(K216=1,'ORDENES'!$J212,"")</f>
        <v/>
      </c>
    </row>
    <row r="217">
      <c r="K217" s="3">
        <f>IF(AND(IF($B$3="(todos)",TRUE,'ORDENES'!$O213=$B$3),IF($D$3="(todos)",TRUE,'ORDENES'!$AF213=$D$3),IF($F$3="(todos)",TRUE,'ORDENES'!$X213=$F$3),IF($H$3="(todos)",TRUE,'ORDENES'!$W213=$H$3),'ORDENES'!$AD213=TRUE,'ORDENES'!$A213&lt;&gt;""),1,0)</f>
        <v/>
      </c>
      <c r="L217" s="3">
        <f>IF(K217=1,IFERROR(MATCH('ORDENES'!$R213,lista_dias,0),9)*1000000000+IFERROR(MATCH('ORDENES'!$AF213,lista_turnos,0),9)*10000000+IFERROR(MATCH('ORDENES'!$AE213,tblTecnicos[nombre],0),99)*100000+210,9000000000000+210)</f>
        <v/>
      </c>
      <c r="M217" s="3">
        <f>IF(K217=1,SUMPRODUCT(--($L$8:$L$1207&lt;L217))+1,"")</f>
        <v/>
      </c>
      <c r="N217" s="17">
        <f>IF(K217=1,N('ORDENES'!$M213),0)</f>
        <v/>
      </c>
      <c r="O217" s="17">
        <f>IF('ORDENES'!$T213="preventiva",N217,0)</f>
        <v/>
      </c>
      <c r="P217" s="17">
        <f>IF('ORDENES'!$T213="correctiva",N217,0)</f>
        <v/>
      </c>
      <c r="Q217" s="3">
        <f>IF(AND(K217=1,'ORDENES'!$N213="Pendiente"),1,0)</f>
        <v/>
      </c>
      <c r="R217" s="3">
        <f>IF(Q217=1,100000-N217*1000+210*0.01,9000000000000+210)</f>
        <v/>
      </c>
      <c r="S217" s="3">
        <f>IF(Q217=1,SUMPRODUCT(--($R$8:$R$1207&lt;R217))+1,"")</f>
        <v/>
      </c>
      <c r="T217" s="12">
        <f>IF(K217=1,'ORDENES'!$J213,"")</f>
        <v/>
      </c>
    </row>
    <row r="218">
      <c r="K218" s="3">
        <f>IF(AND(IF($B$3="(todos)",TRUE,'ORDENES'!$O214=$B$3),IF($D$3="(todos)",TRUE,'ORDENES'!$AF214=$D$3),IF($F$3="(todos)",TRUE,'ORDENES'!$X214=$F$3),IF($H$3="(todos)",TRUE,'ORDENES'!$W214=$H$3),'ORDENES'!$AD214=TRUE,'ORDENES'!$A214&lt;&gt;""),1,0)</f>
        <v/>
      </c>
      <c r="L218" s="3">
        <f>IF(K218=1,IFERROR(MATCH('ORDENES'!$R214,lista_dias,0),9)*1000000000+IFERROR(MATCH('ORDENES'!$AF214,lista_turnos,0),9)*10000000+IFERROR(MATCH('ORDENES'!$AE214,tblTecnicos[nombre],0),99)*100000+211,9000000000000+211)</f>
        <v/>
      </c>
      <c r="M218" s="3">
        <f>IF(K218=1,SUMPRODUCT(--($L$8:$L$1207&lt;L218))+1,"")</f>
        <v/>
      </c>
      <c r="N218" s="17">
        <f>IF(K218=1,N('ORDENES'!$M214),0)</f>
        <v/>
      </c>
      <c r="O218" s="17">
        <f>IF('ORDENES'!$T214="preventiva",N218,0)</f>
        <v/>
      </c>
      <c r="P218" s="17">
        <f>IF('ORDENES'!$T214="correctiva",N218,0)</f>
        <v/>
      </c>
      <c r="Q218" s="3">
        <f>IF(AND(K218=1,'ORDENES'!$N214="Pendiente"),1,0)</f>
        <v/>
      </c>
      <c r="R218" s="3">
        <f>IF(Q218=1,100000-N218*1000+211*0.01,9000000000000+211)</f>
        <v/>
      </c>
      <c r="S218" s="3">
        <f>IF(Q218=1,SUMPRODUCT(--($R$8:$R$1207&lt;R218))+1,"")</f>
        <v/>
      </c>
      <c r="T218" s="12">
        <f>IF(K218=1,'ORDENES'!$J214,"")</f>
        <v/>
      </c>
    </row>
    <row r="219">
      <c r="K219" s="3">
        <f>IF(AND(IF($B$3="(todos)",TRUE,'ORDENES'!$O215=$B$3),IF($D$3="(todos)",TRUE,'ORDENES'!$AF215=$D$3),IF($F$3="(todos)",TRUE,'ORDENES'!$X215=$F$3),IF($H$3="(todos)",TRUE,'ORDENES'!$W215=$H$3),'ORDENES'!$AD215=TRUE,'ORDENES'!$A215&lt;&gt;""),1,0)</f>
        <v/>
      </c>
      <c r="L219" s="3">
        <f>IF(K219=1,IFERROR(MATCH('ORDENES'!$R215,lista_dias,0),9)*1000000000+IFERROR(MATCH('ORDENES'!$AF215,lista_turnos,0),9)*10000000+IFERROR(MATCH('ORDENES'!$AE215,tblTecnicos[nombre],0),99)*100000+212,9000000000000+212)</f>
        <v/>
      </c>
      <c r="M219" s="3">
        <f>IF(K219=1,SUMPRODUCT(--($L$8:$L$1207&lt;L219))+1,"")</f>
        <v/>
      </c>
      <c r="N219" s="17">
        <f>IF(K219=1,N('ORDENES'!$M215),0)</f>
        <v/>
      </c>
      <c r="O219" s="17">
        <f>IF('ORDENES'!$T215="preventiva",N219,0)</f>
        <v/>
      </c>
      <c r="P219" s="17">
        <f>IF('ORDENES'!$T215="correctiva",N219,0)</f>
        <v/>
      </c>
      <c r="Q219" s="3">
        <f>IF(AND(K219=1,'ORDENES'!$N215="Pendiente"),1,0)</f>
        <v/>
      </c>
      <c r="R219" s="3">
        <f>IF(Q219=1,100000-N219*1000+212*0.01,9000000000000+212)</f>
        <v/>
      </c>
      <c r="S219" s="3">
        <f>IF(Q219=1,SUMPRODUCT(--($R$8:$R$1207&lt;R219))+1,"")</f>
        <v/>
      </c>
      <c r="T219" s="12">
        <f>IF(K219=1,'ORDENES'!$J215,"")</f>
        <v/>
      </c>
    </row>
    <row r="220">
      <c r="K220" s="3">
        <f>IF(AND(IF($B$3="(todos)",TRUE,'ORDENES'!$O216=$B$3),IF($D$3="(todos)",TRUE,'ORDENES'!$AF216=$D$3),IF($F$3="(todos)",TRUE,'ORDENES'!$X216=$F$3),IF($H$3="(todos)",TRUE,'ORDENES'!$W216=$H$3),'ORDENES'!$AD216=TRUE,'ORDENES'!$A216&lt;&gt;""),1,0)</f>
        <v/>
      </c>
      <c r="L220" s="3">
        <f>IF(K220=1,IFERROR(MATCH('ORDENES'!$R216,lista_dias,0),9)*1000000000+IFERROR(MATCH('ORDENES'!$AF216,lista_turnos,0),9)*10000000+IFERROR(MATCH('ORDENES'!$AE216,tblTecnicos[nombre],0),99)*100000+213,9000000000000+213)</f>
        <v/>
      </c>
      <c r="M220" s="3">
        <f>IF(K220=1,SUMPRODUCT(--($L$8:$L$1207&lt;L220))+1,"")</f>
        <v/>
      </c>
      <c r="N220" s="17">
        <f>IF(K220=1,N('ORDENES'!$M216),0)</f>
        <v/>
      </c>
      <c r="O220" s="17">
        <f>IF('ORDENES'!$T216="preventiva",N220,0)</f>
        <v/>
      </c>
      <c r="P220" s="17">
        <f>IF('ORDENES'!$T216="correctiva",N220,0)</f>
        <v/>
      </c>
      <c r="Q220" s="3">
        <f>IF(AND(K220=1,'ORDENES'!$N216="Pendiente"),1,0)</f>
        <v/>
      </c>
      <c r="R220" s="3">
        <f>IF(Q220=1,100000-N220*1000+213*0.01,9000000000000+213)</f>
        <v/>
      </c>
      <c r="S220" s="3">
        <f>IF(Q220=1,SUMPRODUCT(--($R$8:$R$1207&lt;R220))+1,"")</f>
        <v/>
      </c>
      <c r="T220" s="12">
        <f>IF(K220=1,'ORDENES'!$J216,"")</f>
        <v/>
      </c>
    </row>
    <row r="221">
      <c r="K221" s="3">
        <f>IF(AND(IF($B$3="(todos)",TRUE,'ORDENES'!$O217=$B$3),IF($D$3="(todos)",TRUE,'ORDENES'!$AF217=$D$3),IF($F$3="(todos)",TRUE,'ORDENES'!$X217=$F$3),IF($H$3="(todos)",TRUE,'ORDENES'!$W217=$H$3),'ORDENES'!$AD217=TRUE,'ORDENES'!$A217&lt;&gt;""),1,0)</f>
        <v/>
      </c>
      <c r="L221" s="3">
        <f>IF(K221=1,IFERROR(MATCH('ORDENES'!$R217,lista_dias,0),9)*1000000000+IFERROR(MATCH('ORDENES'!$AF217,lista_turnos,0),9)*10000000+IFERROR(MATCH('ORDENES'!$AE217,tblTecnicos[nombre],0),99)*100000+214,9000000000000+214)</f>
        <v/>
      </c>
      <c r="M221" s="3">
        <f>IF(K221=1,SUMPRODUCT(--($L$8:$L$1207&lt;L221))+1,"")</f>
        <v/>
      </c>
      <c r="N221" s="17">
        <f>IF(K221=1,N('ORDENES'!$M217),0)</f>
        <v/>
      </c>
      <c r="O221" s="17">
        <f>IF('ORDENES'!$T217="preventiva",N221,0)</f>
        <v/>
      </c>
      <c r="P221" s="17">
        <f>IF('ORDENES'!$T217="correctiva",N221,0)</f>
        <v/>
      </c>
      <c r="Q221" s="3">
        <f>IF(AND(K221=1,'ORDENES'!$N217="Pendiente"),1,0)</f>
        <v/>
      </c>
      <c r="R221" s="3">
        <f>IF(Q221=1,100000-N221*1000+214*0.01,9000000000000+214)</f>
        <v/>
      </c>
      <c r="S221" s="3">
        <f>IF(Q221=1,SUMPRODUCT(--($R$8:$R$1207&lt;R221))+1,"")</f>
        <v/>
      </c>
      <c r="T221" s="12">
        <f>IF(K221=1,'ORDENES'!$J217,"")</f>
        <v/>
      </c>
    </row>
    <row r="222">
      <c r="K222" s="3">
        <f>IF(AND(IF($B$3="(todos)",TRUE,'ORDENES'!$O218=$B$3),IF($D$3="(todos)",TRUE,'ORDENES'!$AF218=$D$3),IF($F$3="(todos)",TRUE,'ORDENES'!$X218=$F$3),IF($H$3="(todos)",TRUE,'ORDENES'!$W218=$H$3),'ORDENES'!$AD218=TRUE,'ORDENES'!$A218&lt;&gt;""),1,0)</f>
        <v/>
      </c>
      <c r="L222" s="3">
        <f>IF(K222=1,IFERROR(MATCH('ORDENES'!$R218,lista_dias,0),9)*1000000000+IFERROR(MATCH('ORDENES'!$AF218,lista_turnos,0),9)*10000000+IFERROR(MATCH('ORDENES'!$AE218,tblTecnicos[nombre],0),99)*100000+215,9000000000000+215)</f>
        <v/>
      </c>
      <c r="M222" s="3">
        <f>IF(K222=1,SUMPRODUCT(--($L$8:$L$1207&lt;L222))+1,"")</f>
        <v/>
      </c>
      <c r="N222" s="17">
        <f>IF(K222=1,N('ORDENES'!$M218),0)</f>
        <v/>
      </c>
      <c r="O222" s="17">
        <f>IF('ORDENES'!$T218="preventiva",N222,0)</f>
        <v/>
      </c>
      <c r="P222" s="17">
        <f>IF('ORDENES'!$T218="correctiva",N222,0)</f>
        <v/>
      </c>
      <c r="Q222" s="3">
        <f>IF(AND(K222=1,'ORDENES'!$N218="Pendiente"),1,0)</f>
        <v/>
      </c>
      <c r="R222" s="3">
        <f>IF(Q222=1,100000-N222*1000+215*0.01,9000000000000+215)</f>
        <v/>
      </c>
      <c r="S222" s="3">
        <f>IF(Q222=1,SUMPRODUCT(--($R$8:$R$1207&lt;R222))+1,"")</f>
        <v/>
      </c>
      <c r="T222" s="12">
        <f>IF(K222=1,'ORDENES'!$J218,"")</f>
        <v/>
      </c>
    </row>
    <row r="223">
      <c r="K223" s="3">
        <f>IF(AND(IF($B$3="(todos)",TRUE,'ORDENES'!$O219=$B$3),IF($D$3="(todos)",TRUE,'ORDENES'!$AF219=$D$3),IF($F$3="(todos)",TRUE,'ORDENES'!$X219=$F$3),IF($H$3="(todos)",TRUE,'ORDENES'!$W219=$H$3),'ORDENES'!$AD219=TRUE,'ORDENES'!$A219&lt;&gt;""),1,0)</f>
        <v/>
      </c>
      <c r="L223" s="3">
        <f>IF(K223=1,IFERROR(MATCH('ORDENES'!$R219,lista_dias,0),9)*1000000000+IFERROR(MATCH('ORDENES'!$AF219,lista_turnos,0),9)*10000000+IFERROR(MATCH('ORDENES'!$AE219,tblTecnicos[nombre],0),99)*100000+216,9000000000000+216)</f>
        <v/>
      </c>
      <c r="M223" s="3">
        <f>IF(K223=1,SUMPRODUCT(--($L$8:$L$1207&lt;L223))+1,"")</f>
        <v/>
      </c>
      <c r="N223" s="17">
        <f>IF(K223=1,N('ORDENES'!$M219),0)</f>
        <v/>
      </c>
      <c r="O223" s="17">
        <f>IF('ORDENES'!$T219="preventiva",N223,0)</f>
        <v/>
      </c>
      <c r="P223" s="17">
        <f>IF('ORDENES'!$T219="correctiva",N223,0)</f>
        <v/>
      </c>
      <c r="Q223" s="3">
        <f>IF(AND(K223=1,'ORDENES'!$N219="Pendiente"),1,0)</f>
        <v/>
      </c>
      <c r="R223" s="3">
        <f>IF(Q223=1,100000-N223*1000+216*0.01,9000000000000+216)</f>
        <v/>
      </c>
      <c r="S223" s="3">
        <f>IF(Q223=1,SUMPRODUCT(--($R$8:$R$1207&lt;R223))+1,"")</f>
        <v/>
      </c>
      <c r="T223" s="12">
        <f>IF(K223=1,'ORDENES'!$J219,"")</f>
        <v/>
      </c>
    </row>
    <row r="224">
      <c r="K224" s="3">
        <f>IF(AND(IF($B$3="(todos)",TRUE,'ORDENES'!$O220=$B$3),IF($D$3="(todos)",TRUE,'ORDENES'!$AF220=$D$3),IF($F$3="(todos)",TRUE,'ORDENES'!$X220=$F$3),IF($H$3="(todos)",TRUE,'ORDENES'!$W220=$H$3),'ORDENES'!$AD220=TRUE,'ORDENES'!$A220&lt;&gt;""),1,0)</f>
        <v/>
      </c>
      <c r="L224" s="3">
        <f>IF(K224=1,IFERROR(MATCH('ORDENES'!$R220,lista_dias,0),9)*1000000000+IFERROR(MATCH('ORDENES'!$AF220,lista_turnos,0),9)*10000000+IFERROR(MATCH('ORDENES'!$AE220,tblTecnicos[nombre],0),99)*100000+217,9000000000000+217)</f>
        <v/>
      </c>
      <c r="M224" s="3">
        <f>IF(K224=1,SUMPRODUCT(--($L$8:$L$1207&lt;L224))+1,"")</f>
        <v/>
      </c>
      <c r="N224" s="17">
        <f>IF(K224=1,N('ORDENES'!$M220),0)</f>
        <v/>
      </c>
      <c r="O224" s="17">
        <f>IF('ORDENES'!$T220="preventiva",N224,0)</f>
        <v/>
      </c>
      <c r="P224" s="17">
        <f>IF('ORDENES'!$T220="correctiva",N224,0)</f>
        <v/>
      </c>
      <c r="Q224" s="3">
        <f>IF(AND(K224=1,'ORDENES'!$N220="Pendiente"),1,0)</f>
        <v/>
      </c>
      <c r="R224" s="3">
        <f>IF(Q224=1,100000-N224*1000+217*0.01,9000000000000+217)</f>
        <v/>
      </c>
      <c r="S224" s="3">
        <f>IF(Q224=1,SUMPRODUCT(--($R$8:$R$1207&lt;R224))+1,"")</f>
        <v/>
      </c>
      <c r="T224" s="12">
        <f>IF(K224=1,'ORDENES'!$J220,"")</f>
        <v/>
      </c>
    </row>
    <row r="225">
      <c r="K225" s="3">
        <f>IF(AND(IF($B$3="(todos)",TRUE,'ORDENES'!$O221=$B$3),IF($D$3="(todos)",TRUE,'ORDENES'!$AF221=$D$3),IF($F$3="(todos)",TRUE,'ORDENES'!$X221=$F$3),IF($H$3="(todos)",TRUE,'ORDENES'!$W221=$H$3),'ORDENES'!$AD221=TRUE,'ORDENES'!$A221&lt;&gt;""),1,0)</f>
        <v/>
      </c>
      <c r="L225" s="3">
        <f>IF(K225=1,IFERROR(MATCH('ORDENES'!$R221,lista_dias,0),9)*1000000000+IFERROR(MATCH('ORDENES'!$AF221,lista_turnos,0),9)*10000000+IFERROR(MATCH('ORDENES'!$AE221,tblTecnicos[nombre],0),99)*100000+218,9000000000000+218)</f>
        <v/>
      </c>
      <c r="M225" s="3">
        <f>IF(K225=1,SUMPRODUCT(--($L$8:$L$1207&lt;L225))+1,"")</f>
        <v/>
      </c>
      <c r="N225" s="17">
        <f>IF(K225=1,N('ORDENES'!$M221),0)</f>
        <v/>
      </c>
      <c r="O225" s="17">
        <f>IF('ORDENES'!$T221="preventiva",N225,0)</f>
        <v/>
      </c>
      <c r="P225" s="17">
        <f>IF('ORDENES'!$T221="correctiva",N225,0)</f>
        <v/>
      </c>
      <c r="Q225" s="3">
        <f>IF(AND(K225=1,'ORDENES'!$N221="Pendiente"),1,0)</f>
        <v/>
      </c>
      <c r="R225" s="3">
        <f>IF(Q225=1,100000-N225*1000+218*0.01,9000000000000+218)</f>
        <v/>
      </c>
      <c r="S225" s="3">
        <f>IF(Q225=1,SUMPRODUCT(--($R$8:$R$1207&lt;R225))+1,"")</f>
        <v/>
      </c>
      <c r="T225" s="12">
        <f>IF(K225=1,'ORDENES'!$J221,"")</f>
        <v/>
      </c>
    </row>
    <row r="226">
      <c r="K226" s="3">
        <f>IF(AND(IF($B$3="(todos)",TRUE,'ORDENES'!$O222=$B$3),IF($D$3="(todos)",TRUE,'ORDENES'!$AF222=$D$3),IF($F$3="(todos)",TRUE,'ORDENES'!$X222=$F$3),IF($H$3="(todos)",TRUE,'ORDENES'!$W222=$H$3),'ORDENES'!$AD222=TRUE,'ORDENES'!$A222&lt;&gt;""),1,0)</f>
        <v/>
      </c>
      <c r="L226" s="3">
        <f>IF(K226=1,IFERROR(MATCH('ORDENES'!$R222,lista_dias,0),9)*1000000000+IFERROR(MATCH('ORDENES'!$AF222,lista_turnos,0),9)*10000000+IFERROR(MATCH('ORDENES'!$AE222,tblTecnicos[nombre],0),99)*100000+219,9000000000000+219)</f>
        <v/>
      </c>
      <c r="M226" s="3">
        <f>IF(K226=1,SUMPRODUCT(--($L$8:$L$1207&lt;L226))+1,"")</f>
        <v/>
      </c>
      <c r="N226" s="17">
        <f>IF(K226=1,N('ORDENES'!$M222),0)</f>
        <v/>
      </c>
      <c r="O226" s="17">
        <f>IF('ORDENES'!$T222="preventiva",N226,0)</f>
        <v/>
      </c>
      <c r="P226" s="17">
        <f>IF('ORDENES'!$T222="correctiva",N226,0)</f>
        <v/>
      </c>
      <c r="Q226" s="3">
        <f>IF(AND(K226=1,'ORDENES'!$N222="Pendiente"),1,0)</f>
        <v/>
      </c>
      <c r="R226" s="3">
        <f>IF(Q226=1,100000-N226*1000+219*0.01,9000000000000+219)</f>
        <v/>
      </c>
      <c r="S226" s="3">
        <f>IF(Q226=1,SUMPRODUCT(--($R$8:$R$1207&lt;R226))+1,"")</f>
        <v/>
      </c>
      <c r="T226" s="12">
        <f>IF(K226=1,'ORDENES'!$J222,"")</f>
        <v/>
      </c>
    </row>
    <row r="227">
      <c r="K227" s="3">
        <f>IF(AND(IF($B$3="(todos)",TRUE,'ORDENES'!$O223=$B$3),IF($D$3="(todos)",TRUE,'ORDENES'!$AF223=$D$3),IF($F$3="(todos)",TRUE,'ORDENES'!$X223=$F$3),IF($H$3="(todos)",TRUE,'ORDENES'!$W223=$H$3),'ORDENES'!$AD223=TRUE,'ORDENES'!$A223&lt;&gt;""),1,0)</f>
        <v/>
      </c>
      <c r="L227" s="3">
        <f>IF(K227=1,IFERROR(MATCH('ORDENES'!$R223,lista_dias,0),9)*1000000000+IFERROR(MATCH('ORDENES'!$AF223,lista_turnos,0),9)*10000000+IFERROR(MATCH('ORDENES'!$AE223,tblTecnicos[nombre],0),99)*100000+220,9000000000000+220)</f>
        <v/>
      </c>
      <c r="M227" s="3">
        <f>IF(K227=1,SUMPRODUCT(--($L$8:$L$1207&lt;L227))+1,"")</f>
        <v/>
      </c>
      <c r="N227" s="17">
        <f>IF(K227=1,N('ORDENES'!$M223),0)</f>
        <v/>
      </c>
      <c r="O227" s="17">
        <f>IF('ORDENES'!$T223="preventiva",N227,0)</f>
        <v/>
      </c>
      <c r="P227" s="17">
        <f>IF('ORDENES'!$T223="correctiva",N227,0)</f>
        <v/>
      </c>
      <c r="Q227" s="3">
        <f>IF(AND(K227=1,'ORDENES'!$N223="Pendiente"),1,0)</f>
        <v/>
      </c>
      <c r="R227" s="3">
        <f>IF(Q227=1,100000-N227*1000+220*0.01,9000000000000+220)</f>
        <v/>
      </c>
      <c r="S227" s="3">
        <f>IF(Q227=1,SUMPRODUCT(--($R$8:$R$1207&lt;R227))+1,"")</f>
        <v/>
      </c>
      <c r="T227" s="12">
        <f>IF(K227=1,'ORDENES'!$J223,"")</f>
        <v/>
      </c>
    </row>
    <row r="228">
      <c r="K228" s="3">
        <f>IF(AND(IF($B$3="(todos)",TRUE,'ORDENES'!$O224=$B$3),IF($D$3="(todos)",TRUE,'ORDENES'!$AF224=$D$3),IF($F$3="(todos)",TRUE,'ORDENES'!$X224=$F$3),IF($H$3="(todos)",TRUE,'ORDENES'!$W224=$H$3),'ORDENES'!$AD224=TRUE,'ORDENES'!$A224&lt;&gt;""),1,0)</f>
        <v/>
      </c>
      <c r="L228" s="3">
        <f>IF(K228=1,IFERROR(MATCH('ORDENES'!$R224,lista_dias,0),9)*1000000000+IFERROR(MATCH('ORDENES'!$AF224,lista_turnos,0),9)*10000000+IFERROR(MATCH('ORDENES'!$AE224,tblTecnicos[nombre],0),99)*100000+221,9000000000000+221)</f>
        <v/>
      </c>
      <c r="M228" s="3">
        <f>IF(K228=1,SUMPRODUCT(--($L$8:$L$1207&lt;L228))+1,"")</f>
        <v/>
      </c>
      <c r="N228" s="17">
        <f>IF(K228=1,N('ORDENES'!$M224),0)</f>
        <v/>
      </c>
      <c r="O228" s="17">
        <f>IF('ORDENES'!$T224="preventiva",N228,0)</f>
        <v/>
      </c>
      <c r="P228" s="17">
        <f>IF('ORDENES'!$T224="correctiva",N228,0)</f>
        <v/>
      </c>
      <c r="Q228" s="3">
        <f>IF(AND(K228=1,'ORDENES'!$N224="Pendiente"),1,0)</f>
        <v/>
      </c>
      <c r="R228" s="3">
        <f>IF(Q228=1,100000-N228*1000+221*0.01,9000000000000+221)</f>
        <v/>
      </c>
      <c r="S228" s="3">
        <f>IF(Q228=1,SUMPRODUCT(--($R$8:$R$1207&lt;R228))+1,"")</f>
        <v/>
      </c>
      <c r="T228" s="12">
        <f>IF(K228=1,'ORDENES'!$J224,"")</f>
        <v/>
      </c>
    </row>
    <row r="229">
      <c r="K229" s="3">
        <f>IF(AND(IF($B$3="(todos)",TRUE,'ORDENES'!$O225=$B$3),IF($D$3="(todos)",TRUE,'ORDENES'!$AF225=$D$3),IF($F$3="(todos)",TRUE,'ORDENES'!$X225=$F$3),IF($H$3="(todos)",TRUE,'ORDENES'!$W225=$H$3),'ORDENES'!$AD225=TRUE,'ORDENES'!$A225&lt;&gt;""),1,0)</f>
        <v/>
      </c>
      <c r="L229" s="3">
        <f>IF(K229=1,IFERROR(MATCH('ORDENES'!$R225,lista_dias,0),9)*1000000000+IFERROR(MATCH('ORDENES'!$AF225,lista_turnos,0),9)*10000000+IFERROR(MATCH('ORDENES'!$AE225,tblTecnicos[nombre],0),99)*100000+222,9000000000000+222)</f>
        <v/>
      </c>
      <c r="M229" s="3">
        <f>IF(K229=1,SUMPRODUCT(--($L$8:$L$1207&lt;L229))+1,"")</f>
        <v/>
      </c>
      <c r="N229" s="17">
        <f>IF(K229=1,N('ORDENES'!$M225),0)</f>
        <v/>
      </c>
      <c r="O229" s="17">
        <f>IF('ORDENES'!$T225="preventiva",N229,0)</f>
        <v/>
      </c>
      <c r="P229" s="17">
        <f>IF('ORDENES'!$T225="correctiva",N229,0)</f>
        <v/>
      </c>
      <c r="Q229" s="3">
        <f>IF(AND(K229=1,'ORDENES'!$N225="Pendiente"),1,0)</f>
        <v/>
      </c>
      <c r="R229" s="3">
        <f>IF(Q229=1,100000-N229*1000+222*0.01,9000000000000+222)</f>
        <v/>
      </c>
      <c r="S229" s="3">
        <f>IF(Q229=1,SUMPRODUCT(--($R$8:$R$1207&lt;R229))+1,"")</f>
        <v/>
      </c>
      <c r="T229" s="12">
        <f>IF(K229=1,'ORDENES'!$J225,"")</f>
        <v/>
      </c>
    </row>
    <row r="230">
      <c r="K230" s="3">
        <f>IF(AND(IF($B$3="(todos)",TRUE,'ORDENES'!$O226=$B$3),IF($D$3="(todos)",TRUE,'ORDENES'!$AF226=$D$3),IF($F$3="(todos)",TRUE,'ORDENES'!$X226=$F$3),IF($H$3="(todos)",TRUE,'ORDENES'!$W226=$H$3),'ORDENES'!$AD226=TRUE,'ORDENES'!$A226&lt;&gt;""),1,0)</f>
        <v/>
      </c>
      <c r="L230" s="3">
        <f>IF(K230=1,IFERROR(MATCH('ORDENES'!$R226,lista_dias,0),9)*1000000000+IFERROR(MATCH('ORDENES'!$AF226,lista_turnos,0),9)*10000000+IFERROR(MATCH('ORDENES'!$AE226,tblTecnicos[nombre],0),99)*100000+223,9000000000000+223)</f>
        <v/>
      </c>
      <c r="M230" s="3">
        <f>IF(K230=1,SUMPRODUCT(--($L$8:$L$1207&lt;L230))+1,"")</f>
        <v/>
      </c>
      <c r="N230" s="17">
        <f>IF(K230=1,N('ORDENES'!$M226),0)</f>
        <v/>
      </c>
      <c r="O230" s="17">
        <f>IF('ORDENES'!$T226="preventiva",N230,0)</f>
        <v/>
      </c>
      <c r="P230" s="17">
        <f>IF('ORDENES'!$T226="correctiva",N230,0)</f>
        <v/>
      </c>
      <c r="Q230" s="3">
        <f>IF(AND(K230=1,'ORDENES'!$N226="Pendiente"),1,0)</f>
        <v/>
      </c>
      <c r="R230" s="3">
        <f>IF(Q230=1,100000-N230*1000+223*0.01,9000000000000+223)</f>
        <v/>
      </c>
      <c r="S230" s="3">
        <f>IF(Q230=1,SUMPRODUCT(--($R$8:$R$1207&lt;R230))+1,"")</f>
        <v/>
      </c>
      <c r="T230" s="12">
        <f>IF(K230=1,'ORDENES'!$J226,"")</f>
        <v/>
      </c>
    </row>
    <row r="231">
      <c r="K231" s="3">
        <f>IF(AND(IF($B$3="(todos)",TRUE,'ORDENES'!$O227=$B$3),IF($D$3="(todos)",TRUE,'ORDENES'!$AF227=$D$3),IF($F$3="(todos)",TRUE,'ORDENES'!$X227=$F$3),IF($H$3="(todos)",TRUE,'ORDENES'!$W227=$H$3),'ORDENES'!$AD227=TRUE,'ORDENES'!$A227&lt;&gt;""),1,0)</f>
        <v/>
      </c>
      <c r="L231" s="3">
        <f>IF(K231=1,IFERROR(MATCH('ORDENES'!$R227,lista_dias,0),9)*1000000000+IFERROR(MATCH('ORDENES'!$AF227,lista_turnos,0),9)*10000000+IFERROR(MATCH('ORDENES'!$AE227,tblTecnicos[nombre],0),99)*100000+224,9000000000000+224)</f>
        <v/>
      </c>
      <c r="M231" s="3">
        <f>IF(K231=1,SUMPRODUCT(--($L$8:$L$1207&lt;L231))+1,"")</f>
        <v/>
      </c>
      <c r="N231" s="17">
        <f>IF(K231=1,N('ORDENES'!$M227),0)</f>
        <v/>
      </c>
      <c r="O231" s="17">
        <f>IF('ORDENES'!$T227="preventiva",N231,0)</f>
        <v/>
      </c>
      <c r="P231" s="17">
        <f>IF('ORDENES'!$T227="correctiva",N231,0)</f>
        <v/>
      </c>
      <c r="Q231" s="3">
        <f>IF(AND(K231=1,'ORDENES'!$N227="Pendiente"),1,0)</f>
        <v/>
      </c>
      <c r="R231" s="3">
        <f>IF(Q231=1,100000-N231*1000+224*0.01,9000000000000+224)</f>
        <v/>
      </c>
      <c r="S231" s="3">
        <f>IF(Q231=1,SUMPRODUCT(--($R$8:$R$1207&lt;R231))+1,"")</f>
        <v/>
      </c>
      <c r="T231" s="12">
        <f>IF(K231=1,'ORDENES'!$J227,"")</f>
        <v/>
      </c>
    </row>
    <row r="232">
      <c r="K232" s="3">
        <f>IF(AND(IF($B$3="(todos)",TRUE,'ORDENES'!$O228=$B$3),IF($D$3="(todos)",TRUE,'ORDENES'!$AF228=$D$3),IF($F$3="(todos)",TRUE,'ORDENES'!$X228=$F$3),IF($H$3="(todos)",TRUE,'ORDENES'!$W228=$H$3),'ORDENES'!$AD228=TRUE,'ORDENES'!$A228&lt;&gt;""),1,0)</f>
        <v/>
      </c>
      <c r="L232" s="3">
        <f>IF(K232=1,IFERROR(MATCH('ORDENES'!$R228,lista_dias,0),9)*1000000000+IFERROR(MATCH('ORDENES'!$AF228,lista_turnos,0),9)*10000000+IFERROR(MATCH('ORDENES'!$AE228,tblTecnicos[nombre],0),99)*100000+225,9000000000000+225)</f>
        <v/>
      </c>
      <c r="M232" s="3">
        <f>IF(K232=1,SUMPRODUCT(--($L$8:$L$1207&lt;L232))+1,"")</f>
        <v/>
      </c>
      <c r="N232" s="17">
        <f>IF(K232=1,N('ORDENES'!$M228),0)</f>
        <v/>
      </c>
      <c r="O232" s="17">
        <f>IF('ORDENES'!$T228="preventiva",N232,0)</f>
        <v/>
      </c>
      <c r="P232" s="17">
        <f>IF('ORDENES'!$T228="correctiva",N232,0)</f>
        <v/>
      </c>
      <c r="Q232" s="3">
        <f>IF(AND(K232=1,'ORDENES'!$N228="Pendiente"),1,0)</f>
        <v/>
      </c>
      <c r="R232" s="3">
        <f>IF(Q232=1,100000-N232*1000+225*0.01,9000000000000+225)</f>
        <v/>
      </c>
      <c r="S232" s="3">
        <f>IF(Q232=1,SUMPRODUCT(--($R$8:$R$1207&lt;R232))+1,"")</f>
        <v/>
      </c>
      <c r="T232" s="12">
        <f>IF(K232=1,'ORDENES'!$J228,"")</f>
        <v/>
      </c>
    </row>
    <row r="233">
      <c r="K233" s="3">
        <f>IF(AND(IF($B$3="(todos)",TRUE,'ORDENES'!$O229=$B$3),IF($D$3="(todos)",TRUE,'ORDENES'!$AF229=$D$3),IF($F$3="(todos)",TRUE,'ORDENES'!$X229=$F$3),IF($H$3="(todos)",TRUE,'ORDENES'!$W229=$H$3),'ORDENES'!$AD229=TRUE,'ORDENES'!$A229&lt;&gt;""),1,0)</f>
        <v/>
      </c>
      <c r="L233" s="3">
        <f>IF(K233=1,IFERROR(MATCH('ORDENES'!$R229,lista_dias,0),9)*1000000000+IFERROR(MATCH('ORDENES'!$AF229,lista_turnos,0),9)*10000000+IFERROR(MATCH('ORDENES'!$AE229,tblTecnicos[nombre],0),99)*100000+226,9000000000000+226)</f>
        <v/>
      </c>
      <c r="M233" s="3">
        <f>IF(K233=1,SUMPRODUCT(--($L$8:$L$1207&lt;L233))+1,"")</f>
        <v/>
      </c>
      <c r="N233" s="17">
        <f>IF(K233=1,N('ORDENES'!$M229),0)</f>
        <v/>
      </c>
      <c r="O233" s="17">
        <f>IF('ORDENES'!$T229="preventiva",N233,0)</f>
        <v/>
      </c>
      <c r="P233" s="17">
        <f>IF('ORDENES'!$T229="correctiva",N233,0)</f>
        <v/>
      </c>
      <c r="Q233" s="3">
        <f>IF(AND(K233=1,'ORDENES'!$N229="Pendiente"),1,0)</f>
        <v/>
      </c>
      <c r="R233" s="3">
        <f>IF(Q233=1,100000-N233*1000+226*0.01,9000000000000+226)</f>
        <v/>
      </c>
      <c r="S233" s="3">
        <f>IF(Q233=1,SUMPRODUCT(--($R$8:$R$1207&lt;R233))+1,"")</f>
        <v/>
      </c>
      <c r="T233" s="12">
        <f>IF(K233=1,'ORDENES'!$J229,"")</f>
        <v/>
      </c>
    </row>
    <row r="234">
      <c r="K234" s="3">
        <f>IF(AND(IF($B$3="(todos)",TRUE,'ORDENES'!$O230=$B$3),IF($D$3="(todos)",TRUE,'ORDENES'!$AF230=$D$3),IF($F$3="(todos)",TRUE,'ORDENES'!$X230=$F$3),IF($H$3="(todos)",TRUE,'ORDENES'!$W230=$H$3),'ORDENES'!$AD230=TRUE,'ORDENES'!$A230&lt;&gt;""),1,0)</f>
        <v/>
      </c>
      <c r="L234" s="3">
        <f>IF(K234=1,IFERROR(MATCH('ORDENES'!$R230,lista_dias,0),9)*1000000000+IFERROR(MATCH('ORDENES'!$AF230,lista_turnos,0),9)*10000000+IFERROR(MATCH('ORDENES'!$AE230,tblTecnicos[nombre],0),99)*100000+227,9000000000000+227)</f>
        <v/>
      </c>
      <c r="M234" s="3">
        <f>IF(K234=1,SUMPRODUCT(--($L$8:$L$1207&lt;L234))+1,"")</f>
        <v/>
      </c>
      <c r="N234" s="17">
        <f>IF(K234=1,N('ORDENES'!$M230),0)</f>
        <v/>
      </c>
      <c r="O234" s="17">
        <f>IF('ORDENES'!$T230="preventiva",N234,0)</f>
        <v/>
      </c>
      <c r="P234" s="17">
        <f>IF('ORDENES'!$T230="correctiva",N234,0)</f>
        <v/>
      </c>
      <c r="Q234" s="3">
        <f>IF(AND(K234=1,'ORDENES'!$N230="Pendiente"),1,0)</f>
        <v/>
      </c>
      <c r="R234" s="3">
        <f>IF(Q234=1,100000-N234*1000+227*0.01,9000000000000+227)</f>
        <v/>
      </c>
      <c r="S234" s="3">
        <f>IF(Q234=1,SUMPRODUCT(--($R$8:$R$1207&lt;R234))+1,"")</f>
        <v/>
      </c>
      <c r="T234" s="12">
        <f>IF(K234=1,'ORDENES'!$J230,"")</f>
        <v/>
      </c>
    </row>
    <row r="235">
      <c r="K235" s="3">
        <f>IF(AND(IF($B$3="(todos)",TRUE,'ORDENES'!$O231=$B$3),IF($D$3="(todos)",TRUE,'ORDENES'!$AF231=$D$3),IF($F$3="(todos)",TRUE,'ORDENES'!$X231=$F$3),IF($H$3="(todos)",TRUE,'ORDENES'!$W231=$H$3),'ORDENES'!$AD231=TRUE,'ORDENES'!$A231&lt;&gt;""),1,0)</f>
        <v/>
      </c>
      <c r="L235" s="3">
        <f>IF(K235=1,IFERROR(MATCH('ORDENES'!$R231,lista_dias,0),9)*1000000000+IFERROR(MATCH('ORDENES'!$AF231,lista_turnos,0),9)*10000000+IFERROR(MATCH('ORDENES'!$AE231,tblTecnicos[nombre],0),99)*100000+228,9000000000000+228)</f>
        <v/>
      </c>
      <c r="M235" s="3">
        <f>IF(K235=1,SUMPRODUCT(--($L$8:$L$1207&lt;L235))+1,"")</f>
        <v/>
      </c>
      <c r="N235" s="17">
        <f>IF(K235=1,N('ORDENES'!$M231),0)</f>
        <v/>
      </c>
      <c r="O235" s="17">
        <f>IF('ORDENES'!$T231="preventiva",N235,0)</f>
        <v/>
      </c>
      <c r="P235" s="17">
        <f>IF('ORDENES'!$T231="correctiva",N235,0)</f>
        <v/>
      </c>
      <c r="Q235" s="3">
        <f>IF(AND(K235=1,'ORDENES'!$N231="Pendiente"),1,0)</f>
        <v/>
      </c>
      <c r="R235" s="3">
        <f>IF(Q235=1,100000-N235*1000+228*0.01,9000000000000+228)</f>
        <v/>
      </c>
      <c r="S235" s="3">
        <f>IF(Q235=1,SUMPRODUCT(--($R$8:$R$1207&lt;R235))+1,"")</f>
        <v/>
      </c>
      <c r="T235" s="12">
        <f>IF(K235=1,'ORDENES'!$J231,"")</f>
        <v/>
      </c>
    </row>
    <row r="236">
      <c r="K236" s="3">
        <f>IF(AND(IF($B$3="(todos)",TRUE,'ORDENES'!$O232=$B$3),IF($D$3="(todos)",TRUE,'ORDENES'!$AF232=$D$3),IF($F$3="(todos)",TRUE,'ORDENES'!$X232=$F$3),IF($H$3="(todos)",TRUE,'ORDENES'!$W232=$H$3),'ORDENES'!$AD232=TRUE,'ORDENES'!$A232&lt;&gt;""),1,0)</f>
        <v/>
      </c>
      <c r="L236" s="3">
        <f>IF(K236=1,IFERROR(MATCH('ORDENES'!$R232,lista_dias,0),9)*1000000000+IFERROR(MATCH('ORDENES'!$AF232,lista_turnos,0),9)*10000000+IFERROR(MATCH('ORDENES'!$AE232,tblTecnicos[nombre],0),99)*100000+229,9000000000000+229)</f>
        <v/>
      </c>
      <c r="M236" s="3">
        <f>IF(K236=1,SUMPRODUCT(--($L$8:$L$1207&lt;L236))+1,"")</f>
        <v/>
      </c>
      <c r="N236" s="17">
        <f>IF(K236=1,N('ORDENES'!$M232),0)</f>
        <v/>
      </c>
      <c r="O236" s="17">
        <f>IF('ORDENES'!$T232="preventiva",N236,0)</f>
        <v/>
      </c>
      <c r="P236" s="17">
        <f>IF('ORDENES'!$T232="correctiva",N236,0)</f>
        <v/>
      </c>
      <c r="Q236" s="3">
        <f>IF(AND(K236=1,'ORDENES'!$N232="Pendiente"),1,0)</f>
        <v/>
      </c>
      <c r="R236" s="3">
        <f>IF(Q236=1,100000-N236*1000+229*0.01,9000000000000+229)</f>
        <v/>
      </c>
      <c r="S236" s="3">
        <f>IF(Q236=1,SUMPRODUCT(--($R$8:$R$1207&lt;R236))+1,"")</f>
        <v/>
      </c>
      <c r="T236" s="12">
        <f>IF(K236=1,'ORDENES'!$J232,"")</f>
        <v/>
      </c>
    </row>
    <row r="237">
      <c r="K237" s="3">
        <f>IF(AND(IF($B$3="(todos)",TRUE,'ORDENES'!$O233=$B$3),IF($D$3="(todos)",TRUE,'ORDENES'!$AF233=$D$3),IF($F$3="(todos)",TRUE,'ORDENES'!$X233=$F$3),IF($H$3="(todos)",TRUE,'ORDENES'!$W233=$H$3),'ORDENES'!$AD233=TRUE,'ORDENES'!$A233&lt;&gt;""),1,0)</f>
        <v/>
      </c>
      <c r="L237" s="3">
        <f>IF(K237=1,IFERROR(MATCH('ORDENES'!$R233,lista_dias,0),9)*1000000000+IFERROR(MATCH('ORDENES'!$AF233,lista_turnos,0),9)*10000000+IFERROR(MATCH('ORDENES'!$AE233,tblTecnicos[nombre],0),99)*100000+230,9000000000000+230)</f>
        <v/>
      </c>
      <c r="M237" s="3">
        <f>IF(K237=1,SUMPRODUCT(--($L$8:$L$1207&lt;L237))+1,"")</f>
        <v/>
      </c>
      <c r="N237" s="17">
        <f>IF(K237=1,N('ORDENES'!$M233),0)</f>
        <v/>
      </c>
      <c r="O237" s="17">
        <f>IF('ORDENES'!$T233="preventiva",N237,0)</f>
        <v/>
      </c>
      <c r="P237" s="17">
        <f>IF('ORDENES'!$T233="correctiva",N237,0)</f>
        <v/>
      </c>
      <c r="Q237" s="3">
        <f>IF(AND(K237=1,'ORDENES'!$N233="Pendiente"),1,0)</f>
        <v/>
      </c>
      <c r="R237" s="3">
        <f>IF(Q237=1,100000-N237*1000+230*0.01,9000000000000+230)</f>
        <v/>
      </c>
      <c r="S237" s="3">
        <f>IF(Q237=1,SUMPRODUCT(--($R$8:$R$1207&lt;R237))+1,"")</f>
        <v/>
      </c>
      <c r="T237" s="12">
        <f>IF(K237=1,'ORDENES'!$J233,"")</f>
        <v/>
      </c>
    </row>
    <row r="238">
      <c r="K238" s="3">
        <f>IF(AND(IF($B$3="(todos)",TRUE,'ORDENES'!$O234=$B$3),IF($D$3="(todos)",TRUE,'ORDENES'!$AF234=$D$3),IF($F$3="(todos)",TRUE,'ORDENES'!$X234=$F$3),IF($H$3="(todos)",TRUE,'ORDENES'!$W234=$H$3),'ORDENES'!$AD234=TRUE,'ORDENES'!$A234&lt;&gt;""),1,0)</f>
        <v/>
      </c>
      <c r="L238" s="3">
        <f>IF(K238=1,IFERROR(MATCH('ORDENES'!$R234,lista_dias,0),9)*1000000000+IFERROR(MATCH('ORDENES'!$AF234,lista_turnos,0),9)*10000000+IFERROR(MATCH('ORDENES'!$AE234,tblTecnicos[nombre],0),99)*100000+231,9000000000000+231)</f>
        <v/>
      </c>
      <c r="M238" s="3">
        <f>IF(K238=1,SUMPRODUCT(--($L$8:$L$1207&lt;L238))+1,"")</f>
        <v/>
      </c>
      <c r="N238" s="17">
        <f>IF(K238=1,N('ORDENES'!$M234),0)</f>
        <v/>
      </c>
      <c r="O238" s="17">
        <f>IF('ORDENES'!$T234="preventiva",N238,0)</f>
        <v/>
      </c>
      <c r="P238" s="17">
        <f>IF('ORDENES'!$T234="correctiva",N238,0)</f>
        <v/>
      </c>
      <c r="Q238" s="3">
        <f>IF(AND(K238=1,'ORDENES'!$N234="Pendiente"),1,0)</f>
        <v/>
      </c>
      <c r="R238" s="3">
        <f>IF(Q238=1,100000-N238*1000+231*0.01,9000000000000+231)</f>
        <v/>
      </c>
      <c r="S238" s="3">
        <f>IF(Q238=1,SUMPRODUCT(--($R$8:$R$1207&lt;R238))+1,"")</f>
        <v/>
      </c>
      <c r="T238" s="12">
        <f>IF(K238=1,'ORDENES'!$J234,"")</f>
        <v/>
      </c>
    </row>
    <row r="239">
      <c r="K239" s="3">
        <f>IF(AND(IF($B$3="(todos)",TRUE,'ORDENES'!$O235=$B$3),IF($D$3="(todos)",TRUE,'ORDENES'!$AF235=$D$3),IF($F$3="(todos)",TRUE,'ORDENES'!$X235=$F$3),IF($H$3="(todos)",TRUE,'ORDENES'!$W235=$H$3),'ORDENES'!$AD235=TRUE,'ORDENES'!$A235&lt;&gt;""),1,0)</f>
        <v/>
      </c>
      <c r="L239" s="3">
        <f>IF(K239=1,IFERROR(MATCH('ORDENES'!$R235,lista_dias,0),9)*1000000000+IFERROR(MATCH('ORDENES'!$AF235,lista_turnos,0),9)*10000000+IFERROR(MATCH('ORDENES'!$AE235,tblTecnicos[nombre],0),99)*100000+232,9000000000000+232)</f>
        <v/>
      </c>
      <c r="M239" s="3">
        <f>IF(K239=1,SUMPRODUCT(--($L$8:$L$1207&lt;L239))+1,"")</f>
        <v/>
      </c>
      <c r="N239" s="17">
        <f>IF(K239=1,N('ORDENES'!$M235),0)</f>
        <v/>
      </c>
      <c r="O239" s="17">
        <f>IF('ORDENES'!$T235="preventiva",N239,0)</f>
        <v/>
      </c>
      <c r="P239" s="17">
        <f>IF('ORDENES'!$T235="correctiva",N239,0)</f>
        <v/>
      </c>
      <c r="Q239" s="3">
        <f>IF(AND(K239=1,'ORDENES'!$N235="Pendiente"),1,0)</f>
        <v/>
      </c>
      <c r="R239" s="3">
        <f>IF(Q239=1,100000-N239*1000+232*0.01,9000000000000+232)</f>
        <v/>
      </c>
      <c r="S239" s="3">
        <f>IF(Q239=1,SUMPRODUCT(--($R$8:$R$1207&lt;R239))+1,"")</f>
        <v/>
      </c>
      <c r="T239" s="12">
        <f>IF(K239=1,'ORDENES'!$J235,"")</f>
        <v/>
      </c>
    </row>
    <row r="240">
      <c r="K240" s="3">
        <f>IF(AND(IF($B$3="(todos)",TRUE,'ORDENES'!$O236=$B$3),IF($D$3="(todos)",TRUE,'ORDENES'!$AF236=$D$3),IF($F$3="(todos)",TRUE,'ORDENES'!$X236=$F$3),IF($H$3="(todos)",TRUE,'ORDENES'!$W236=$H$3),'ORDENES'!$AD236=TRUE,'ORDENES'!$A236&lt;&gt;""),1,0)</f>
        <v/>
      </c>
      <c r="L240" s="3">
        <f>IF(K240=1,IFERROR(MATCH('ORDENES'!$R236,lista_dias,0),9)*1000000000+IFERROR(MATCH('ORDENES'!$AF236,lista_turnos,0),9)*10000000+IFERROR(MATCH('ORDENES'!$AE236,tblTecnicos[nombre],0),99)*100000+233,9000000000000+233)</f>
        <v/>
      </c>
      <c r="M240" s="3">
        <f>IF(K240=1,SUMPRODUCT(--($L$8:$L$1207&lt;L240))+1,"")</f>
        <v/>
      </c>
      <c r="N240" s="17">
        <f>IF(K240=1,N('ORDENES'!$M236),0)</f>
        <v/>
      </c>
      <c r="O240" s="17">
        <f>IF('ORDENES'!$T236="preventiva",N240,0)</f>
        <v/>
      </c>
      <c r="P240" s="17">
        <f>IF('ORDENES'!$T236="correctiva",N240,0)</f>
        <v/>
      </c>
      <c r="Q240" s="3">
        <f>IF(AND(K240=1,'ORDENES'!$N236="Pendiente"),1,0)</f>
        <v/>
      </c>
      <c r="R240" s="3">
        <f>IF(Q240=1,100000-N240*1000+233*0.01,9000000000000+233)</f>
        <v/>
      </c>
      <c r="S240" s="3">
        <f>IF(Q240=1,SUMPRODUCT(--($R$8:$R$1207&lt;R240))+1,"")</f>
        <v/>
      </c>
      <c r="T240" s="12">
        <f>IF(K240=1,'ORDENES'!$J236,"")</f>
        <v/>
      </c>
    </row>
    <row r="241">
      <c r="K241" s="3">
        <f>IF(AND(IF($B$3="(todos)",TRUE,'ORDENES'!$O237=$B$3),IF($D$3="(todos)",TRUE,'ORDENES'!$AF237=$D$3),IF($F$3="(todos)",TRUE,'ORDENES'!$X237=$F$3),IF($H$3="(todos)",TRUE,'ORDENES'!$W237=$H$3),'ORDENES'!$AD237=TRUE,'ORDENES'!$A237&lt;&gt;""),1,0)</f>
        <v/>
      </c>
      <c r="L241" s="3">
        <f>IF(K241=1,IFERROR(MATCH('ORDENES'!$R237,lista_dias,0),9)*1000000000+IFERROR(MATCH('ORDENES'!$AF237,lista_turnos,0),9)*10000000+IFERROR(MATCH('ORDENES'!$AE237,tblTecnicos[nombre],0),99)*100000+234,9000000000000+234)</f>
        <v/>
      </c>
      <c r="M241" s="3">
        <f>IF(K241=1,SUMPRODUCT(--($L$8:$L$1207&lt;L241))+1,"")</f>
        <v/>
      </c>
      <c r="N241" s="17">
        <f>IF(K241=1,N('ORDENES'!$M237),0)</f>
        <v/>
      </c>
      <c r="O241" s="17">
        <f>IF('ORDENES'!$T237="preventiva",N241,0)</f>
        <v/>
      </c>
      <c r="P241" s="17">
        <f>IF('ORDENES'!$T237="correctiva",N241,0)</f>
        <v/>
      </c>
      <c r="Q241" s="3">
        <f>IF(AND(K241=1,'ORDENES'!$N237="Pendiente"),1,0)</f>
        <v/>
      </c>
      <c r="R241" s="3">
        <f>IF(Q241=1,100000-N241*1000+234*0.01,9000000000000+234)</f>
        <v/>
      </c>
      <c r="S241" s="3">
        <f>IF(Q241=1,SUMPRODUCT(--($R$8:$R$1207&lt;R241))+1,"")</f>
        <v/>
      </c>
      <c r="T241" s="12">
        <f>IF(K241=1,'ORDENES'!$J237,"")</f>
        <v/>
      </c>
    </row>
    <row r="242">
      <c r="K242" s="3">
        <f>IF(AND(IF($B$3="(todos)",TRUE,'ORDENES'!$O238=$B$3),IF($D$3="(todos)",TRUE,'ORDENES'!$AF238=$D$3),IF($F$3="(todos)",TRUE,'ORDENES'!$X238=$F$3),IF($H$3="(todos)",TRUE,'ORDENES'!$W238=$H$3),'ORDENES'!$AD238=TRUE,'ORDENES'!$A238&lt;&gt;""),1,0)</f>
        <v/>
      </c>
      <c r="L242" s="3">
        <f>IF(K242=1,IFERROR(MATCH('ORDENES'!$R238,lista_dias,0),9)*1000000000+IFERROR(MATCH('ORDENES'!$AF238,lista_turnos,0),9)*10000000+IFERROR(MATCH('ORDENES'!$AE238,tblTecnicos[nombre],0),99)*100000+235,9000000000000+235)</f>
        <v/>
      </c>
      <c r="M242" s="3">
        <f>IF(K242=1,SUMPRODUCT(--($L$8:$L$1207&lt;L242))+1,"")</f>
        <v/>
      </c>
      <c r="N242" s="17">
        <f>IF(K242=1,N('ORDENES'!$M238),0)</f>
        <v/>
      </c>
      <c r="O242" s="17">
        <f>IF('ORDENES'!$T238="preventiva",N242,0)</f>
        <v/>
      </c>
      <c r="P242" s="17">
        <f>IF('ORDENES'!$T238="correctiva",N242,0)</f>
        <v/>
      </c>
      <c r="Q242" s="3">
        <f>IF(AND(K242=1,'ORDENES'!$N238="Pendiente"),1,0)</f>
        <v/>
      </c>
      <c r="R242" s="3">
        <f>IF(Q242=1,100000-N242*1000+235*0.01,9000000000000+235)</f>
        <v/>
      </c>
      <c r="S242" s="3">
        <f>IF(Q242=1,SUMPRODUCT(--($R$8:$R$1207&lt;R242))+1,"")</f>
        <v/>
      </c>
      <c r="T242" s="12">
        <f>IF(K242=1,'ORDENES'!$J238,"")</f>
        <v/>
      </c>
    </row>
    <row r="243">
      <c r="K243" s="3">
        <f>IF(AND(IF($B$3="(todos)",TRUE,'ORDENES'!$O239=$B$3),IF($D$3="(todos)",TRUE,'ORDENES'!$AF239=$D$3),IF($F$3="(todos)",TRUE,'ORDENES'!$X239=$F$3),IF($H$3="(todos)",TRUE,'ORDENES'!$W239=$H$3),'ORDENES'!$AD239=TRUE,'ORDENES'!$A239&lt;&gt;""),1,0)</f>
        <v/>
      </c>
      <c r="L243" s="3">
        <f>IF(K243=1,IFERROR(MATCH('ORDENES'!$R239,lista_dias,0),9)*1000000000+IFERROR(MATCH('ORDENES'!$AF239,lista_turnos,0),9)*10000000+IFERROR(MATCH('ORDENES'!$AE239,tblTecnicos[nombre],0),99)*100000+236,9000000000000+236)</f>
        <v/>
      </c>
      <c r="M243" s="3">
        <f>IF(K243=1,SUMPRODUCT(--($L$8:$L$1207&lt;L243))+1,"")</f>
        <v/>
      </c>
      <c r="N243" s="17">
        <f>IF(K243=1,N('ORDENES'!$M239),0)</f>
        <v/>
      </c>
      <c r="O243" s="17">
        <f>IF('ORDENES'!$T239="preventiva",N243,0)</f>
        <v/>
      </c>
      <c r="P243" s="17">
        <f>IF('ORDENES'!$T239="correctiva",N243,0)</f>
        <v/>
      </c>
      <c r="Q243" s="3">
        <f>IF(AND(K243=1,'ORDENES'!$N239="Pendiente"),1,0)</f>
        <v/>
      </c>
      <c r="R243" s="3">
        <f>IF(Q243=1,100000-N243*1000+236*0.01,9000000000000+236)</f>
        <v/>
      </c>
      <c r="S243" s="3">
        <f>IF(Q243=1,SUMPRODUCT(--($R$8:$R$1207&lt;R243))+1,"")</f>
        <v/>
      </c>
      <c r="T243" s="12">
        <f>IF(K243=1,'ORDENES'!$J239,"")</f>
        <v/>
      </c>
    </row>
    <row r="244">
      <c r="K244" s="3">
        <f>IF(AND(IF($B$3="(todos)",TRUE,'ORDENES'!$O240=$B$3),IF($D$3="(todos)",TRUE,'ORDENES'!$AF240=$D$3),IF($F$3="(todos)",TRUE,'ORDENES'!$X240=$F$3),IF($H$3="(todos)",TRUE,'ORDENES'!$W240=$H$3),'ORDENES'!$AD240=TRUE,'ORDENES'!$A240&lt;&gt;""),1,0)</f>
        <v/>
      </c>
      <c r="L244" s="3">
        <f>IF(K244=1,IFERROR(MATCH('ORDENES'!$R240,lista_dias,0),9)*1000000000+IFERROR(MATCH('ORDENES'!$AF240,lista_turnos,0),9)*10000000+IFERROR(MATCH('ORDENES'!$AE240,tblTecnicos[nombre],0),99)*100000+237,9000000000000+237)</f>
        <v/>
      </c>
      <c r="M244" s="3">
        <f>IF(K244=1,SUMPRODUCT(--($L$8:$L$1207&lt;L244))+1,"")</f>
        <v/>
      </c>
      <c r="N244" s="17">
        <f>IF(K244=1,N('ORDENES'!$M240),0)</f>
        <v/>
      </c>
      <c r="O244" s="17">
        <f>IF('ORDENES'!$T240="preventiva",N244,0)</f>
        <v/>
      </c>
      <c r="P244" s="17">
        <f>IF('ORDENES'!$T240="correctiva",N244,0)</f>
        <v/>
      </c>
      <c r="Q244" s="3">
        <f>IF(AND(K244=1,'ORDENES'!$N240="Pendiente"),1,0)</f>
        <v/>
      </c>
      <c r="R244" s="3">
        <f>IF(Q244=1,100000-N244*1000+237*0.01,9000000000000+237)</f>
        <v/>
      </c>
      <c r="S244" s="3">
        <f>IF(Q244=1,SUMPRODUCT(--($R$8:$R$1207&lt;R244))+1,"")</f>
        <v/>
      </c>
      <c r="T244" s="12">
        <f>IF(K244=1,'ORDENES'!$J240,"")</f>
        <v/>
      </c>
    </row>
    <row r="245">
      <c r="K245" s="3">
        <f>IF(AND(IF($B$3="(todos)",TRUE,'ORDENES'!$O241=$B$3),IF($D$3="(todos)",TRUE,'ORDENES'!$AF241=$D$3),IF($F$3="(todos)",TRUE,'ORDENES'!$X241=$F$3),IF($H$3="(todos)",TRUE,'ORDENES'!$W241=$H$3),'ORDENES'!$AD241=TRUE,'ORDENES'!$A241&lt;&gt;""),1,0)</f>
        <v/>
      </c>
      <c r="L245" s="3">
        <f>IF(K245=1,IFERROR(MATCH('ORDENES'!$R241,lista_dias,0),9)*1000000000+IFERROR(MATCH('ORDENES'!$AF241,lista_turnos,0),9)*10000000+IFERROR(MATCH('ORDENES'!$AE241,tblTecnicos[nombre],0),99)*100000+238,9000000000000+238)</f>
        <v/>
      </c>
      <c r="M245" s="3">
        <f>IF(K245=1,SUMPRODUCT(--($L$8:$L$1207&lt;L245))+1,"")</f>
        <v/>
      </c>
      <c r="N245" s="17">
        <f>IF(K245=1,N('ORDENES'!$M241),0)</f>
        <v/>
      </c>
      <c r="O245" s="17">
        <f>IF('ORDENES'!$T241="preventiva",N245,0)</f>
        <v/>
      </c>
      <c r="P245" s="17">
        <f>IF('ORDENES'!$T241="correctiva",N245,0)</f>
        <v/>
      </c>
      <c r="Q245" s="3">
        <f>IF(AND(K245=1,'ORDENES'!$N241="Pendiente"),1,0)</f>
        <v/>
      </c>
      <c r="R245" s="3">
        <f>IF(Q245=1,100000-N245*1000+238*0.01,9000000000000+238)</f>
        <v/>
      </c>
      <c r="S245" s="3">
        <f>IF(Q245=1,SUMPRODUCT(--($R$8:$R$1207&lt;R245))+1,"")</f>
        <v/>
      </c>
      <c r="T245" s="12">
        <f>IF(K245=1,'ORDENES'!$J241,"")</f>
        <v/>
      </c>
    </row>
    <row r="246">
      <c r="K246" s="3">
        <f>IF(AND(IF($B$3="(todos)",TRUE,'ORDENES'!$O242=$B$3),IF($D$3="(todos)",TRUE,'ORDENES'!$AF242=$D$3),IF($F$3="(todos)",TRUE,'ORDENES'!$X242=$F$3),IF($H$3="(todos)",TRUE,'ORDENES'!$W242=$H$3),'ORDENES'!$AD242=TRUE,'ORDENES'!$A242&lt;&gt;""),1,0)</f>
        <v/>
      </c>
      <c r="L246" s="3">
        <f>IF(K246=1,IFERROR(MATCH('ORDENES'!$R242,lista_dias,0),9)*1000000000+IFERROR(MATCH('ORDENES'!$AF242,lista_turnos,0),9)*10000000+IFERROR(MATCH('ORDENES'!$AE242,tblTecnicos[nombre],0),99)*100000+239,9000000000000+239)</f>
        <v/>
      </c>
      <c r="M246" s="3">
        <f>IF(K246=1,SUMPRODUCT(--($L$8:$L$1207&lt;L246))+1,"")</f>
        <v/>
      </c>
      <c r="N246" s="17">
        <f>IF(K246=1,N('ORDENES'!$M242),0)</f>
        <v/>
      </c>
      <c r="O246" s="17">
        <f>IF('ORDENES'!$T242="preventiva",N246,0)</f>
        <v/>
      </c>
      <c r="P246" s="17">
        <f>IF('ORDENES'!$T242="correctiva",N246,0)</f>
        <v/>
      </c>
      <c r="Q246" s="3">
        <f>IF(AND(K246=1,'ORDENES'!$N242="Pendiente"),1,0)</f>
        <v/>
      </c>
      <c r="R246" s="3">
        <f>IF(Q246=1,100000-N246*1000+239*0.01,9000000000000+239)</f>
        <v/>
      </c>
      <c r="S246" s="3">
        <f>IF(Q246=1,SUMPRODUCT(--($R$8:$R$1207&lt;R246))+1,"")</f>
        <v/>
      </c>
      <c r="T246" s="12">
        <f>IF(K246=1,'ORDENES'!$J242,"")</f>
        <v/>
      </c>
    </row>
    <row r="247">
      <c r="K247" s="3">
        <f>IF(AND(IF($B$3="(todos)",TRUE,'ORDENES'!$O243=$B$3),IF($D$3="(todos)",TRUE,'ORDENES'!$AF243=$D$3),IF($F$3="(todos)",TRUE,'ORDENES'!$X243=$F$3),IF($H$3="(todos)",TRUE,'ORDENES'!$W243=$H$3),'ORDENES'!$AD243=TRUE,'ORDENES'!$A243&lt;&gt;""),1,0)</f>
        <v/>
      </c>
      <c r="L247" s="3">
        <f>IF(K247=1,IFERROR(MATCH('ORDENES'!$R243,lista_dias,0),9)*1000000000+IFERROR(MATCH('ORDENES'!$AF243,lista_turnos,0),9)*10000000+IFERROR(MATCH('ORDENES'!$AE243,tblTecnicos[nombre],0),99)*100000+240,9000000000000+240)</f>
        <v/>
      </c>
      <c r="M247" s="3">
        <f>IF(K247=1,SUMPRODUCT(--($L$8:$L$1207&lt;L247))+1,"")</f>
        <v/>
      </c>
      <c r="N247" s="17">
        <f>IF(K247=1,N('ORDENES'!$M243),0)</f>
        <v/>
      </c>
      <c r="O247" s="17">
        <f>IF('ORDENES'!$T243="preventiva",N247,0)</f>
        <v/>
      </c>
      <c r="P247" s="17">
        <f>IF('ORDENES'!$T243="correctiva",N247,0)</f>
        <v/>
      </c>
      <c r="Q247" s="3">
        <f>IF(AND(K247=1,'ORDENES'!$N243="Pendiente"),1,0)</f>
        <v/>
      </c>
      <c r="R247" s="3">
        <f>IF(Q247=1,100000-N247*1000+240*0.01,9000000000000+240)</f>
        <v/>
      </c>
      <c r="S247" s="3">
        <f>IF(Q247=1,SUMPRODUCT(--($R$8:$R$1207&lt;R247))+1,"")</f>
        <v/>
      </c>
      <c r="T247" s="12">
        <f>IF(K247=1,'ORDENES'!$J243,"")</f>
        <v/>
      </c>
    </row>
    <row r="248">
      <c r="K248" s="3">
        <f>IF(AND(IF($B$3="(todos)",TRUE,'ORDENES'!$O244=$B$3),IF($D$3="(todos)",TRUE,'ORDENES'!$AF244=$D$3),IF($F$3="(todos)",TRUE,'ORDENES'!$X244=$F$3),IF($H$3="(todos)",TRUE,'ORDENES'!$W244=$H$3),'ORDENES'!$AD244=TRUE,'ORDENES'!$A244&lt;&gt;""),1,0)</f>
        <v/>
      </c>
      <c r="L248" s="3">
        <f>IF(K248=1,IFERROR(MATCH('ORDENES'!$R244,lista_dias,0),9)*1000000000+IFERROR(MATCH('ORDENES'!$AF244,lista_turnos,0),9)*10000000+IFERROR(MATCH('ORDENES'!$AE244,tblTecnicos[nombre],0),99)*100000+241,9000000000000+241)</f>
        <v/>
      </c>
      <c r="M248" s="3">
        <f>IF(K248=1,SUMPRODUCT(--($L$8:$L$1207&lt;L248))+1,"")</f>
        <v/>
      </c>
      <c r="N248" s="17">
        <f>IF(K248=1,N('ORDENES'!$M244),0)</f>
        <v/>
      </c>
      <c r="O248" s="17">
        <f>IF('ORDENES'!$T244="preventiva",N248,0)</f>
        <v/>
      </c>
      <c r="P248" s="17">
        <f>IF('ORDENES'!$T244="correctiva",N248,0)</f>
        <v/>
      </c>
      <c r="Q248" s="3">
        <f>IF(AND(K248=1,'ORDENES'!$N244="Pendiente"),1,0)</f>
        <v/>
      </c>
      <c r="R248" s="3">
        <f>IF(Q248=1,100000-N248*1000+241*0.01,9000000000000+241)</f>
        <v/>
      </c>
      <c r="S248" s="3">
        <f>IF(Q248=1,SUMPRODUCT(--($R$8:$R$1207&lt;R248))+1,"")</f>
        <v/>
      </c>
      <c r="T248" s="12">
        <f>IF(K248=1,'ORDENES'!$J244,"")</f>
        <v/>
      </c>
    </row>
    <row r="249">
      <c r="K249" s="3">
        <f>IF(AND(IF($B$3="(todos)",TRUE,'ORDENES'!$O245=$B$3),IF($D$3="(todos)",TRUE,'ORDENES'!$AF245=$D$3),IF($F$3="(todos)",TRUE,'ORDENES'!$X245=$F$3),IF($H$3="(todos)",TRUE,'ORDENES'!$W245=$H$3),'ORDENES'!$AD245=TRUE,'ORDENES'!$A245&lt;&gt;""),1,0)</f>
        <v/>
      </c>
      <c r="L249" s="3">
        <f>IF(K249=1,IFERROR(MATCH('ORDENES'!$R245,lista_dias,0),9)*1000000000+IFERROR(MATCH('ORDENES'!$AF245,lista_turnos,0),9)*10000000+IFERROR(MATCH('ORDENES'!$AE245,tblTecnicos[nombre],0),99)*100000+242,9000000000000+242)</f>
        <v/>
      </c>
      <c r="M249" s="3">
        <f>IF(K249=1,SUMPRODUCT(--($L$8:$L$1207&lt;L249))+1,"")</f>
        <v/>
      </c>
      <c r="N249" s="17">
        <f>IF(K249=1,N('ORDENES'!$M245),0)</f>
        <v/>
      </c>
      <c r="O249" s="17">
        <f>IF('ORDENES'!$T245="preventiva",N249,0)</f>
        <v/>
      </c>
      <c r="P249" s="17">
        <f>IF('ORDENES'!$T245="correctiva",N249,0)</f>
        <v/>
      </c>
      <c r="Q249" s="3">
        <f>IF(AND(K249=1,'ORDENES'!$N245="Pendiente"),1,0)</f>
        <v/>
      </c>
      <c r="R249" s="3">
        <f>IF(Q249=1,100000-N249*1000+242*0.01,9000000000000+242)</f>
        <v/>
      </c>
      <c r="S249" s="3">
        <f>IF(Q249=1,SUMPRODUCT(--($R$8:$R$1207&lt;R249))+1,"")</f>
        <v/>
      </c>
      <c r="T249" s="12">
        <f>IF(K249=1,'ORDENES'!$J245,"")</f>
        <v/>
      </c>
    </row>
    <row r="250">
      <c r="K250" s="3">
        <f>IF(AND(IF($B$3="(todos)",TRUE,'ORDENES'!$O246=$B$3),IF($D$3="(todos)",TRUE,'ORDENES'!$AF246=$D$3),IF($F$3="(todos)",TRUE,'ORDENES'!$X246=$F$3),IF($H$3="(todos)",TRUE,'ORDENES'!$W246=$H$3),'ORDENES'!$AD246=TRUE,'ORDENES'!$A246&lt;&gt;""),1,0)</f>
        <v/>
      </c>
      <c r="L250" s="3">
        <f>IF(K250=1,IFERROR(MATCH('ORDENES'!$R246,lista_dias,0),9)*1000000000+IFERROR(MATCH('ORDENES'!$AF246,lista_turnos,0),9)*10000000+IFERROR(MATCH('ORDENES'!$AE246,tblTecnicos[nombre],0),99)*100000+243,9000000000000+243)</f>
        <v/>
      </c>
      <c r="M250" s="3">
        <f>IF(K250=1,SUMPRODUCT(--($L$8:$L$1207&lt;L250))+1,"")</f>
        <v/>
      </c>
      <c r="N250" s="17">
        <f>IF(K250=1,N('ORDENES'!$M246),0)</f>
        <v/>
      </c>
      <c r="O250" s="17">
        <f>IF('ORDENES'!$T246="preventiva",N250,0)</f>
        <v/>
      </c>
      <c r="P250" s="17">
        <f>IF('ORDENES'!$T246="correctiva",N250,0)</f>
        <v/>
      </c>
      <c r="Q250" s="3">
        <f>IF(AND(K250=1,'ORDENES'!$N246="Pendiente"),1,0)</f>
        <v/>
      </c>
      <c r="R250" s="3">
        <f>IF(Q250=1,100000-N250*1000+243*0.01,9000000000000+243)</f>
        <v/>
      </c>
      <c r="S250" s="3">
        <f>IF(Q250=1,SUMPRODUCT(--($R$8:$R$1207&lt;R250))+1,"")</f>
        <v/>
      </c>
      <c r="T250" s="12">
        <f>IF(K250=1,'ORDENES'!$J246,"")</f>
        <v/>
      </c>
    </row>
    <row r="251">
      <c r="K251" s="3">
        <f>IF(AND(IF($B$3="(todos)",TRUE,'ORDENES'!$O247=$B$3),IF($D$3="(todos)",TRUE,'ORDENES'!$AF247=$D$3),IF($F$3="(todos)",TRUE,'ORDENES'!$X247=$F$3),IF($H$3="(todos)",TRUE,'ORDENES'!$W247=$H$3),'ORDENES'!$AD247=TRUE,'ORDENES'!$A247&lt;&gt;""),1,0)</f>
        <v/>
      </c>
      <c r="L251" s="3">
        <f>IF(K251=1,IFERROR(MATCH('ORDENES'!$R247,lista_dias,0),9)*1000000000+IFERROR(MATCH('ORDENES'!$AF247,lista_turnos,0),9)*10000000+IFERROR(MATCH('ORDENES'!$AE247,tblTecnicos[nombre],0),99)*100000+244,9000000000000+244)</f>
        <v/>
      </c>
      <c r="M251" s="3">
        <f>IF(K251=1,SUMPRODUCT(--($L$8:$L$1207&lt;L251))+1,"")</f>
        <v/>
      </c>
      <c r="N251" s="17">
        <f>IF(K251=1,N('ORDENES'!$M247),0)</f>
        <v/>
      </c>
      <c r="O251" s="17">
        <f>IF('ORDENES'!$T247="preventiva",N251,0)</f>
        <v/>
      </c>
      <c r="P251" s="17">
        <f>IF('ORDENES'!$T247="correctiva",N251,0)</f>
        <v/>
      </c>
      <c r="Q251" s="3">
        <f>IF(AND(K251=1,'ORDENES'!$N247="Pendiente"),1,0)</f>
        <v/>
      </c>
      <c r="R251" s="3">
        <f>IF(Q251=1,100000-N251*1000+244*0.01,9000000000000+244)</f>
        <v/>
      </c>
      <c r="S251" s="3">
        <f>IF(Q251=1,SUMPRODUCT(--($R$8:$R$1207&lt;R251))+1,"")</f>
        <v/>
      </c>
      <c r="T251" s="12">
        <f>IF(K251=1,'ORDENES'!$J247,"")</f>
        <v/>
      </c>
    </row>
    <row r="252">
      <c r="K252" s="3">
        <f>IF(AND(IF($B$3="(todos)",TRUE,'ORDENES'!$O248=$B$3),IF($D$3="(todos)",TRUE,'ORDENES'!$AF248=$D$3),IF($F$3="(todos)",TRUE,'ORDENES'!$X248=$F$3),IF($H$3="(todos)",TRUE,'ORDENES'!$W248=$H$3),'ORDENES'!$AD248=TRUE,'ORDENES'!$A248&lt;&gt;""),1,0)</f>
        <v/>
      </c>
      <c r="L252" s="3">
        <f>IF(K252=1,IFERROR(MATCH('ORDENES'!$R248,lista_dias,0),9)*1000000000+IFERROR(MATCH('ORDENES'!$AF248,lista_turnos,0),9)*10000000+IFERROR(MATCH('ORDENES'!$AE248,tblTecnicos[nombre],0),99)*100000+245,9000000000000+245)</f>
        <v/>
      </c>
      <c r="M252" s="3">
        <f>IF(K252=1,SUMPRODUCT(--($L$8:$L$1207&lt;L252))+1,"")</f>
        <v/>
      </c>
      <c r="N252" s="17">
        <f>IF(K252=1,N('ORDENES'!$M248),0)</f>
        <v/>
      </c>
      <c r="O252" s="17">
        <f>IF('ORDENES'!$T248="preventiva",N252,0)</f>
        <v/>
      </c>
      <c r="P252" s="17">
        <f>IF('ORDENES'!$T248="correctiva",N252,0)</f>
        <v/>
      </c>
      <c r="Q252" s="3">
        <f>IF(AND(K252=1,'ORDENES'!$N248="Pendiente"),1,0)</f>
        <v/>
      </c>
      <c r="R252" s="3">
        <f>IF(Q252=1,100000-N252*1000+245*0.01,9000000000000+245)</f>
        <v/>
      </c>
      <c r="S252" s="3">
        <f>IF(Q252=1,SUMPRODUCT(--($R$8:$R$1207&lt;R252))+1,"")</f>
        <v/>
      </c>
      <c r="T252" s="12">
        <f>IF(K252=1,'ORDENES'!$J248,"")</f>
        <v/>
      </c>
    </row>
    <row r="253">
      <c r="K253" s="3">
        <f>IF(AND(IF($B$3="(todos)",TRUE,'ORDENES'!$O249=$B$3),IF($D$3="(todos)",TRUE,'ORDENES'!$AF249=$D$3),IF($F$3="(todos)",TRUE,'ORDENES'!$X249=$F$3),IF($H$3="(todos)",TRUE,'ORDENES'!$W249=$H$3),'ORDENES'!$AD249=TRUE,'ORDENES'!$A249&lt;&gt;""),1,0)</f>
        <v/>
      </c>
      <c r="L253" s="3">
        <f>IF(K253=1,IFERROR(MATCH('ORDENES'!$R249,lista_dias,0),9)*1000000000+IFERROR(MATCH('ORDENES'!$AF249,lista_turnos,0),9)*10000000+IFERROR(MATCH('ORDENES'!$AE249,tblTecnicos[nombre],0),99)*100000+246,9000000000000+246)</f>
        <v/>
      </c>
      <c r="M253" s="3">
        <f>IF(K253=1,SUMPRODUCT(--($L$8:$L$1207&lt;L253))+1,"")</f>
        <v/>
      </c>
      <c r="N253" s="17">
        <f>IF(K253=1,N('ORDENES'!$M249),0)</f>
        <v/>
      </c>
      <c r="O253" s="17">
        <f>IF('ORDENES'!$T249="preventiva",N253,0)</f>
        <v/>
      </c>
      <c r="P253" s="17">
        <f>IF('ORDENES'!$T249="correctiva",N253,0)</f>
        <v/>
      </c>
      <c r="Q253" s="3">
        <f>IF(AND(K253=1,'ORDENES'!$N249="Pendiente"),1,0)</f>
        <v/>
      </c>
      <c r="R253" s="3">
        <f>IF(Q253=1,100000-N253*1000+246*0.01,9000000000000+246)</f>
        <v/>
      </c>
      <c r="S253" s="3">
        <f>IF(Q253=1,SUMPRODUCT(--($R$8:$R$1207&lt;R253))+1,"")</f>
        <v/>
      </c>
      <c r="T253" s="12">
        <f>IF(K253=1,'ORDENES'!$J249,"")</f>
        <v/>
      </c>
    </row>
    <row r="254">
      <c r="K254" s="3">
        <f>IF(AND(IF($B$3="(todos)",TRUE,'ORDENES'!$O250=$B$3),IF($D$3="(todos)",TRUE,'ORDENES'!$AF250=$D$3),IF($F$3="(todos)",TRUE,'ORDENES'!$X250=$F$3),IF($H$3="(todos)",TRUE,'ORDENES'!$W250=$H$3),'ORDENES'!$AD250=TRUE,'ORDENES'!$A250&lt;&gt;""),1,0)</f>
        <v/>
      </c>
      <c r="L254" s="3">
        <f>IF(K254=1,IFERROR(MATCH('ORDENES'!$R250,lista_dias,0),9)*1000000000+IFERROR(MATCH('ORDENES'!$AF250,lista_turnos,0),9)*10000000+IFERROR(MATCH('ORDENES'!$AE250,tblTecnicos[nombre],0),99)*100000+247,9000000000000+247)</f>
        <v/>
      </c>
      <c r="M254" s="3">
        <f>IF(K254=1,SUMPRODUCT(--($L$8:$L$1207&lt;L254))+1,"")</f>
        <v/>
      </c>
      <c r="N254" s="17">
        <f>IF(K254=1,N('ORDENES'!$M250),0)</f>
        <v/>
      </c>
      <c r="O254" s="17">
        <f>IF('ORDENES'!$T250="preventiva",N254,0)</f>
        <v/>
      </c>
      <c r="P254" s="17">
        <f>IF('ORDENES'!$T250="correctiva",N254,0)</f>
        <v/>
      </c>
      <c r="Q254" s="3">
        <f>IF(AND(K254=1,'ORDENES'!$N250="Pendiente"),1,0)</f>
        <v/>
      </c>
      <c r="R254" s="3">
        <f>IF(Q254=1,100000-N254*1000+247*0.01,9000000000000+247)</f>
        <v/>
      </c>
      <c r="S254" s="3">
        <f>IF(Q254=1,SUMPRODUCT(--($R$8:$R$1207&lt;R254))+1,"")</f>
        <v/>
      </c>
      <c r="T254" s="12">
        <f>IF(K254=1,'ORDENES'!$J250,"")</f>
        <v/>
      </c>
    </row>
    <row r="255">
      <c r="K255" s="3">
        <f>IF(AND(IF($B$3="(todos)",TRUE,'ORDENES'!$O251=$B$3),IF($D$3="(todos)",TRUE,'ORDENES'!$AF251=$D$3),IF($F$3="(todos)",TRUE,'ORDENES'!$X251=$F$3),IF($H$3="(todos)",TRUE,'ORDENES'!$W251=$H$3),'ORDENES'!$AD251=TRUE,'ORDENES'!$A251&lt;&gt;""),1,0)</f>
        <v/>
      </c>
      <c r="L255" s="3">
        <f>IF(K255=1,IFERROR(MATCH('ORDENES'!$R251,lista_dias,0),9)*1000000000+IFERROR(MATCH('ORDENES'!$AF251,lista_turnos,0),9)*10000000+IFERROR(MATCH('ORDENES'!$AE251,tblTecnicos[nombre],0),99)*100000+248,9000000000000+248)</f>
        <v/>
      </c>
      <c r="M255" s="3">
        <f>IF(K255=1,SUMPRODUCT(--($L$8:$L$1207&lt;L255))+1,"")</f>
        <v/>
      </c>
      <c r="N255" s="17">
        <f>IF(K255=1,N('ORDENES'!$M251),0)</f>
        <v/>
      </c>
      <c r="O255" s="17">
        <f>IF('ORDENES'!$T251="preventiva",N255,0)</f>
        <v/>
      </c>
      <c r="P255" s="17">
        <f>IF('ORDENES'!$T251="correctiva",N255,0)</f>
        <v/>
      </c>
      <c r="Q255" s="3">
        <f>IF(AND(K255=1,'ORDENES'!$N251="Pendiente"),1,0)</f>
        <v/>
      </c>
      <c r="R255" s="3">
        <f>IF(Q255=1,100000-N255*1000+248*0.01,9000000000000+248)</f>
        <v/>
      </c>
      <c r="S255" s="3">
        <f>IF(Q255=1,SUMPRODUCT(--($R$8:$R$1207&lt;R255))+1,"")</f>
        <v/>
      </c>
      <c r="T255" s="12">
        <f>IF(K255=1,'ORDENES'!$J251,"")</f>
        <v/>
      </c>
    </row>
    <row r="256">
      <c r="K256" s="3">
        <f>IF(AND(IF($B$3="(todos)",TRUE,'ORDENES'!$O252=$B$3),IF($D$3="(todos)",TRUE,'ORDENES'!$AF252=$D$3),IF($F$3="(todos)",TRUE,'ORDENES'!$X252=$F$3),IF($H$3="(todos)",TRUE,'ORDENES'!$W252=$H$3),'ORDENES'!$AD252=TRUE,'ORDENES'!$A252&lt;&gt;""),1,0)</f>
        <v/>
      </c>
      <c r="L256" s="3">
        <f>IF(K256=1,IFERROR(MATCH('ORDENES'!$R252,lista_dias,0),9)*1000000000+IFERROR(MATCH('ORDENES'!$AF252,lista_turnos,0),9)*10000000+IFERROR(MATCH('ORDENES'!$AE252,tblTecnicos[nombre],0),99)*100000+249,9000000000000+249)</f>
        <v/>
      </c>
      <c r="M256" s="3">
        <f>IF(K256=1,SUMPRODUCT(--($L$8:$L$1207&lt;L256))+1,"")</f>
        <v/>
      </c>
      <c r="N256" s="17">
        <f>IF(K256=1,N('ORDENES'!$M252),0)</f>
        <v/>
      </c>
      <c r="O256" s="17">
        <f>IF('ORDENES'!$T252="preventiva",N256,0)</f>
        <v/>
      </c>
      <c r="P256" s="17">
        <f>IF('ORDENES'!$T252="correctiva",N256,0)</f>
        <v/>
      </c>
      <c r="Q256" s="3">
        <f>IF(AND(K256=1,'ORDENES'!$N252="Pendiente"),1,0)</f>
        <v/>
      </c>
      <c r="R256" s="3">
        <f>IF(Q256=1,100000-N256*1000+249*0.01,9000000000000+249)</f>
        <v/>
      </c>
      <c r="S256" s="3">
        <f>IF(Q256=1,SUMPRODUCT(--($R$8:$R$1207&lt;R256))+1,"")</f>
        <v/>
      </c>
      <c r="T256" s="12">
        <f>IF(K256=1,'ORDENES'!$J252,"")</f>
        <v/>
      </c>
    </row>
    <row r="257">
      <c r="K257" s="3">
        <f>IF(AND(IF($B$3="(todos)",TRUE,'ORDENES'!$O253=$B$3),IF($D$3="(todos)",TRUE,'ORDENES'!$AF253=$D$3),IF($F$3="(todos)",TRUE,'ORDENES'!$X253=$F$3),IF($H$3="(todos)",TRUE,'ORDENES'!$W253=$H$3),'ORDENES'!$AD253=TRUE,'ORDENES'!$A253&lt;&gt;""),1,0)</f>
        <v/>
      </c>
      <c r="L257" s="3">
        <f>IF(K257=1,IFERROR(MATCH('ORDENES'!$R253,lista_dias,0),9)*1000000000+IFERROR(MATCH('ORDENES'!$AF253,lista_turnos,0),9)*10000000+IFERROR(MATCH('ORDENES'!$AE253,tblTecnicos[nombre],0),99)*100000+250,9000000000000+250)</f>
        <v/>
      </c>
      <c r="M257" s="3">
        <f>IF(K257=1,SUMPRODUCT(--($L$8:$L$1207&lt;L257))+1,"")</f>
        <v/>
      </c>
      <c r="N257" s="17">
        <f>IF(K257=1,N('ORDENES'!$M253),0)</f>
        <v/>
      </c>
      <c r="O257" s="17">
        <f>IF('ORDENES'!$T253="preventiva",N257,0)</f>
        <v/>
      </c>
      <c r="P257" s="17">
        <f>IF('ORDENES'!$T253="correctiva",N257,0)</f>
        <v/>
      </c>
      <c r="Q257" s="3">
        <f>IF(AND(K257=1,'ORDENES'!$N253="Pendiente"),1,0)</f>
        <v/>
      </c>
      <c r="R257" s="3">
        <f>IF(Q257=1,100000-N257*1000+250*0.01,9000000000000+250)</f>
        <v/>
      </c>
      <c r="S257" s="3">
        <f>IF(Q257=1,SUMPRODUCT(--($R$8:$R$1207&lt;R257))+1,"")</f>
        <v/>
      </c>
      <c r="T257" s="12">
        <f>IF(K257=1,'ORDENES'!$J253,"")</f>
        <v/>
      </c>
    </row>
    <row r="258">
      <c r="K258" s="3">
        <f>IF(AND(IF($B$3="(todos)",TRUE,'ORDENES'!$O254=$B$3),IF($D$3="(todos)",TRUE,'ORDENES'!$AF254=$D$3),IF($F$3="(todos)",TRUE,'ORDENES'!$X254=$F$3),IF($H$3="(todos)",TRUE,'ORDENES'!$W254=$H$3),'ORDENES'!$AD254=TRUE,'ORDENES'!$A254&lt;&gt;""),1,0)</f>
        <v/>
      </c>
      <c r="L258" s="3">
        <f>IF(K258=1,IFERROR(MATCH('ORDENES'!$R254,lista_dias,0),9)*1000000000+IFERROR(MATCH('ORDENES'!$AF254,lista_turnos,0),9)*10000000+IFERROR(MATCH('ORDENES'!$AE254,tblTecnicos[nombre],0),99)*100000+251,9000000000000+251)</f>
        <v/>
      </c>
      <c r="M258" s="3">
        <f>IF(K258=1,SUMPRODUCT(--($L$8:$L$1207&lt;L258))+1,"")</f>
        <v/>
      </c>
      <c r="N258" s="17">
        <f>IF(K258=1,N('ORDENES'!$M254),0)</f>
        <v/>
      </c>
      <c r="O258" s="17">
        <f>IF('ORDENES'!$T254="preventiva",N258,0)</f>
        <v/>
      </c>
      <c r="P258" s="17">
        <f>IF('ORDENES'!$T254="correctiva",N258,0)</f>
        <v/>
      </c>
      <c r="Q258" s="3">
        <f>IF(AND(K258=1,'ORDENES'!$N254="Pendiente"),1,0)</f>
        <v/>
      </c>
      <c r="R258" s="3">
        <f>IF(Q258=1,100000-N258*1000+251*0.01,9000000000000+251)</f>
        <v/>
      </c>
      <c r="S258" s="3">
        <f>IF(Q258=1,SUMPRODUCT(--($R$8:$R$1207&lt;R258))+1,"")</f>
        <v/>
      </c>
      <c r="T258" s="12">
        <f>IF(K258=1,'ORDENES'!$J254,"")</f>
        <v/>
      </c>
    </row>
    <row r="259">
      <c r="K259" s="3">
        <f>IF(AND(IF($B$3="(todos)",TRUE,'ORDENES'!$O255=$B$3),IF($D$3="(todos)",TRUE,'ORDENES'!$AF255=$D$3),IF($F$3="(todos)",TRUE,'ORDENES'!$X255=$F$3),IF($H$3="(todos)",TRUE,'ORDENES'!$W255=$H$3),'ORDENES'!$AD255=TRUE,'ORDENES'!$A255&lt;&gt;""),1,0)</f>
        <v/>
      </c>
      <c r="L259" s="3">
        <f>IF(K259=1,IFERROR(MATCH('ORDENES'!$R255,lista_dias,0),9)*1000000000+IFERROR(MATCH('ORDENES'!$AF255,lista_turnos,0),9)*10000000+IFERROR(MATCH('ORDENES'!$AE255,tblTecnicos[nombre],0),99)*100000+252,9000000000000+252)</f>
        <v/>
      </c>
      <c r="M259" s="3">
        <f>IF(K259=1,SUMPRODUCT(--($L$8:$L$1207&lt;L259))+1,"")</f>
        <v/>
      </c>
      <c r="N259" s="17">
        <f>IF(K259=1,N('ORDENES'!$M255),0)</f>
        <v/>
      </c>
      <c r="O259" s="17">
        <f>IF('ORDENES'!$T255="preventiva",N259,0)</f>
        <v/>
      </c>
      <c r="P259" s="17">
        <f>IF('ORDENES'!$T255="correctiva",N259,0)</f>
        <v/>
      </c>
      <c r="Q259" s="3">
        <f>IF(AND(K259=1,'ORDENES'!$N255="Pendiente"),1,0)</f>
        <v/>
      </c>
      <c r="R259" s="3">
        <f>IF(Q259=1,100000-N259*1000+252*0.01,9000000000000+252)</f>
        <v/>
      </c>
      <c r="S259" s="3">
        <f>IF(Q259=1,SUMPRODUCT(--($R$8:$R$1207&lt;R259))+1,"")</f>
        <v/>
      </c>
      <c r="T259" s="12">
        <f>IF(K259=1,'ORDENES'!$J255,"")</f>
        <v/>
      </c>
    </row>
    <row r="260">
      <c r="K260" s="3">
        <f>IF(AND(IF($B$3="(todos)",TRUE,'ORDENES'!$O256=$B$3),IF($D$3="(todos)",TRUE,'ORDENES'!$AF256=$D$3),IF($F$3="(todos)",TRUE,'ORDENES'!$X256=$F$3),IF($H$3="(todos)",TRUE,'ORDENES'!$W256=$H$3),'ORDENES'!$AD256=TRUE,'ORDENES'!$A256&lt;&gt;""),1,0)</f>
        <v/>
      </c>
      <c r="L260" s="3">
        <f>IF(K260=1,IFERROR(MATCH('ORDENES'!$R256,lista_dias,0),9)*1000000000+IFERROR(MATCH('ORDENES'!$AF256,lista_turnos,0),9)*10000000+IFERROR(MATCH('ORDENES'!$AE256,tblTecnicos[nombre],0),99)*100000+253,9000000000000+253)</f>
        <v/>
      </c>
      <c r="M260" s="3">
        <f>IF(K260=1,SUMPRODUCT(--($L$8:$L$1207&lt;L260))+1,"")</f>
        <v/>
      </c>
      <c r="N260" s="17">
        <f>IF(K260=1,N('ORDENES'!$M256),0)</f>
        <v/>
      </c>
      <c r="O260" s="17">
        <f>IF('ORDENES'!$T256="preventiva",N260,0)</f>
        <v/>
      </c>
      <c r="P260" s="17">
        <f>IF('ORDENES'!$T256="correctiva",N260,0)</f>
        <v/>
      </c>
      <c r="Q260" s="3">
        <f>IF(AND(K260=1,'ORDENES'!$N256="Pendiente"),1,0)</f>
        <v/>
      </c>
      <c r="R260" s="3">
        <f>IF(Q260=1,100000-N260*1000+253*0.01,9000000000000+253)</f>
        <v/>
      </c>
      <c r="S260" s="3">
        <f>IF(Q260=1,SUMPRODUCT(--($R$8:$R$1207&lt;R260))+1,"")</f>
        <v/>
      </c>
      <c r="T260" s="12">
        <f>IF(K260=1,'ORDENES'!$J256,"")</f>
        <v/>
      </c>
    </row>
    <row r="261">
      <c r="K261" s="3">
        <f>IF(AND(IF($B$3="(todos)",TRUE,'ORDENES'!$O257=$B$3),IF($D$3="(todos)",TRUE,'ORDENES'!$AF257=$D$3),IF($F$3="(todos)",TRUE,'ORDENES'!$X257=$F$3),IF($H$3="(todos)",TRUE,'ORDENES'!$W257=$H$3),'ORDENES'!$AD257=TRUE,'ORDENES'!$A257&lt;&gt;""),1,0)</f>
        <v/>
      </c>
      <c r="L261" s="3">
        <f>IF(K261=1,IFERROR(MATCH('ORDENES'!$R257,lista_dias,0),9)*1000000000+IFERROR(MATCH('ORDENES'!$AF257,lista_turnos,0),9)*10000000+IFERROR(MATCH('ORDENES'!$AE257,tblTecnicos[nombre],0),99)*100000+254,9000000000000+254)</f>
        <v/>
      </c>
      <c r="M261" s="3">
        <f>IF(K261=1,SUMPRODUCT(--($L$8:$L$1207&lt;L261))+1,"")</f>
        <v/>
      </c>
      <c r="N261" s="17">
        <f>IF(K261=1,N('ORDENES'!$M257),0)</f>
        <v/>
      </c>
      <c r="O261" s="17">
        <f>IF('ORDENES'!$T257="preventiva",N261,0)</f>
        <v/>
      </c>
      <c r="P261" s="17">
        <f>IF('ORDENES'!$T257="correctiva",N261,0)</f>
        <v/>
      </c>
      <c r="Q261" s="3">
        <f>IF(AND(K261=1,'ORDENES'!$N257="Pendiente"),1,0)</f>
        <v/>
      </c>
      <c r="R261" s="3">
        <f>IF(Q261=1,100000-N261*1000+254*0.01,9000000000000+254)</f>
        <v/>
      </c>
      <c r="S261" s="3">
        <f>IF(Q261=1,SUMPRODUCT(--($R$8:$R$1207&lt;R261))+1,"")</f>
        <v/>
      </c>
      <c r="T261" s="12">
        <f>IF(K261=1,'ORDENES'!$J257,"")</f>
        <v/>
      </c>
    </row>
    <row r="262">
      <c r="K262" s="3">
        <f>IF(AND(IF($B$3="(todos)",TRUE,'ORDENES'!$O258=$B$3),IF($D$3="(todos)",TRUE,'ORDENES'!$AF258=$D$3),IF($F$3="(todos)",TRUE,'ORDENES'!$X258=$F$3),IF($H$3="(todos)",TRUE,'ORDENES'!$W258=$H$3),'ORDENES'!$AD258=TRUE,'ORDENES'!$A258&lt;&gt;""),1,0)</f>
        <v/>
      </c>
      <c r="L262" s="3">
        <f>IF(K262=1,IFERROR(MATCH('ORDENES'!$R258,lista_dias,0),9)*1000000000+IFERROR(MATCH('ORDENES'!$AF258,lista_turnos,0),9)*10000000+IFERROR(MATCH('ORDENES'!$AE258,tblTecnicos[nombre],0),99)*100000+255,9000000000000+255)</f>
        <v/>
      </c>
      <c r="M262" s="3">
        <f>IF(K262=1,SUMPRODUCT(--($L$8:$L$1207&lt;L262))+1,"")</f>
        <v/>
      </c>
      <c r="N262" s="17">
        <f>IF(K262=1,N('ORDENES'!$M258),0)</f>
        <v/>
      </c>
      <c r="O262" s="17">
        <f>IF('ORDENES'!$T258="preventiva",N262,0)</f>
        <v/>
      </c>
      <c r="P262" s="17">
        <f>IF('ORDENES'!$T258="correctiva",N262,0)</f>
        <v/>
      </c>
      <c r="Q262" s="3">
        <f>IF(AND(K262=1,'ORDENES'!$N258="Pendiente"),1,0)</f>
        <v/>
      </c>
      <c r="R262" s="3">
        <f>IF(Q262=1,100000-N262*1000+255*0.01,9000000000000+255)</f>
        <v/>
      </c>
      <c r="S262" s="3">
        <f>IF(Q262=1,SUMPRODUCT(--($R$8:$R$1207&lt;R262))+1,"")</f>
        <v/>
      </c>
      <c r="T262" s="12">
        <f>IF(K262=1,'ORDENES'!$J258,"")</f>
        <v/>
      </c>
    </row>
    <row r="263">
      <c r="K263" s="3">
        <f>IF(AND(IF($B$3="(todos)",TRUE,'ORDENES'!$O259=$B$3),IF($D$3="(todos)",TRUE,'ORDENES'!$AF259=$D$3),IF($F$3="(todos)",TRUE,'ORDENES'!$X259=$F$3),IF($H$3="(todos)",TRUE,'ORDENES'!$W259=$H$3),'ORDENES'!$AD259=TRUE,'ORDENES'!$A259&lt;&gt;""),1,0)</f>
        <v/>
      </c>
      <c r="L263" s="3">
        <f>IF(K263=1,IFERROR(MATCH('ORDENES'!$R259,lista_dias,0),9)*1000000000+IFERROR(MATCH('ORDENES'!$AF259,lista_turnos,0),9)*10000000+IFERROR(MATCH('ORDENES'!$AE259,tblTecnicos[nombre],0),99)*100000+256,9000000000000+256)</f>
        <v/>
      </c>
      <c r="M263" s="3">
        <f>IF(K263=1,SUMPRODUCT(--($L$8:$L$1207&lt;L263))+1,"")</f>
        <v/>
      </c>
      <c r="N263" s="17">
        <f>IF(K263=1,N('ORDENES'!$M259),0)</f>
        <v/>
      </c>
      <c r="O263" s="17">
        <f>IF('ORDENES'!$T259="preventiva",N263,0)</f>
        <v/>
      </c>
      <c r="P263" s="17">
        <f>IF('ORDENES'!$T259="correctiva",N263,0)</f>
        <v/>
      </c>
      <c r="Q263" s="3">
        <f>IF(AND(K263=1,'ORDENES'!$N259="Pendiente"),1,0)</f>
        <v/>
      </c>
      <c r="R263" s="3">
        <f>IF(Q263=1,100000-N263*1000+256*0.01,9000000000000+256)</f>
        <v/>
      </c>
      <c r="S263" s="3">
        <f>IF(Q263=1,SUMPRODUCT(--($R$8:$R$1207&lt;R263))+1,"")</f>
        <v/>
      </c>
      <c r="T263" s="12">
        <f>IF(K263=1,'ORDENES'!$J259,"")</f>
        <v/>
      </c>
    </row>
    <row r="264">
      <c r="K264" s="3">
        <f>IF(AND(IF($B$3="(todos)",TRUE,'ORDENES'!$O260=$B$3),IF($D$3="(todos)",TRUE,'ORDENES'!$AF260=$D$3),IF($F$3="(todos)",TRUE,'ORDENES'!$X260=$F$3),IF($H$3="(todos)",TRUE,'ORDENES'!$W260=$H$3),'ORDENES'!$AD260=TRUE,'ORDENES'!$A260&lt;&gt;""),1,0)</f>
        <v/>
      </c>
      <c r="L264" s="3">
        <f>IF(K264=1,IFERROR(MATCH('ORDENES'!$R260,lista_dias,0),9)*1000000000+IFERROR(MATCH('ORDENES'!$AF260,lista_turnos,0),9)*10000000+IFERROR(MATCH('ORDENES'!$AE260,tblTecnicos[nombre],0),99)*100000+257,9000000000000+257)</f>
        <v/>
      </c>
      <c r="M264" s="3">
        <f>IF(K264=1,SUMPRODUCT(--($L$8:$L$1207&lt;L264))+1,"")</f>
        <v/>
      </c>
      <c r="N264" s="17">
        <f>IF(K264=1,N('ORDENES'!$M260),0)</f>
        <v/>
      </c>
      <c r="O264" s="17">
        <f>IF('ORDENES'!$T260="preventiva",N264,0)</f>
        <v/>
      </c>
      <c r="P264" s="17">
        <f>IF('ORDENES'!$T260="correctiva",N264,0)</f>
        <v/>
      </c>
      <c r="Q264" s="3">
        <f>IF(AND(K264=1,'ORDENES'!$N260="Pendiente"),1,0)</f>
        <v/>
      </c>
      <c r="R264" s="3">
        <f>IF(Q264=1,100000-N264*1000+257*0.01,9000000000000+257)</f>
        <v/>
      </c>
      <c r="S264" s="3">
        <f>IF(Q264=1,SUMPRODUCT(--($R$8:$R$1207&lt;R264))+1,"")</f>
        <v/>
      </c>
      <c r="T264" s="12">
        <f>IF(K264=1,'ORDENES'!$J260,"")</f>
        <v/>
      </c>
    </row>
    <row r="265">
      <c r="K265" s="3">
        <f>IF(AND(IF($B$3="(todos)",TRUE,'ORDENES'!$O261=$B$3),IF($D$3="(todos)",TRUE,'ORDENES'!$AF261=$D$3),IF($F$3="(todos)",TRUE,'ORDENES'!$X261=$F$3),IF($H$3="(todos)",TRUE,'ORDENES'!$W261=$H$3),'ORDENES'!$AD261=TRUE,'ORDENES'!$A261&lt;&gt;""),1,0)</f>
        <v/>
      </c>
      <c r="L265" s="3">
        <f>IF(K265=1,IFERROR(MATCH('ORDENES'!$R261,lista_dias,0),9)*1000000000+IFERROR(MATCH('ORDENES'!$AF261,lista_turnos,0),9)*10000000+IFERROR(MATCH('ORDENES'!$AE261,tblTecnicos[nombre],0),99)*100000+258,9000000000000+258)</f>
        <v/>
      </c>
      <c r="M265" s="3">
        <f>IF(K265=1,SUMPRODUCT(--($L$8:$L$1207&lt;L265))+1,"")</f>
        <v/>
      </c>
      <c r="N265" s="17">
        <f>IF(K265=1,N('ORDENES'!$M261),0)</f>
        <v/>
      </c>
      <c r="O265" s="17">
        <f>IF('ORDENES'!$T261="preventiva",N265,0)</f>
        <v/>
      </c>
      <c r="P265" s="17">
        <f>IF('ORDENES'!$T261="correctiva",N265,0)</f>
        <v/>
      </c>
      <c r="Q265" s="3">
        <f>IF(AND(K265=1,'ORDENES'!$N261="Pendiente"),1,0)</f>
        <v/>
      </c>
      <c r="R265" s="3">
        <f>IF(Q265=1,100000-N265*1000+258*0.01,9000000000000+258)</f>
        <v/>
      </c>
      <c r="S265" s="3">
        <f>IF(Q265=1,SUMPRODUCT(--($R$8:$R$1207&lt;R265))+1,"")</f>
        <v/>
      </c>
      <c r="T265" s="12">
        <f>IF(K265=1,'ORDENES'!$J261,"")</f>
        <v/>
      </c>
    </row>
    <row r="266">
      <c r="K266" s="3">
        <f>IF(AND(IF($B$3="(todos)",TRUE,'ORDENES'!$O262=$B$3),IF($D$3="(todos)",TRUE,'ORDENES'!$AF262=$D$3),IF($F$3="(todos)",TRUE,'ORDENES'!$X262=$F$3),IF($H$3="(todos)",TRUE,'ORDENES'!$W262=$H$3),'ORDENES'!$AD262=TRUE,'ORDENES'!$A262&lt;&gt;""),1,0)</f>
        <v/>
      </c>
      <c r="L266" s="3">
        <f>IF(K266=1,IFERROR(MATCH('ORDENES'!$R262,lista_dias,0),9)*1000000000+IFERROR(MATCH('ORDENES'!$AF262,lista_turnos,0),9)*10000000+IFERROR(MATCH('ORDENES'!$AE262,tblTecnicos[nombre],0),99)*100000+259,9000000000000+259)</f>
        <v/>
      </c>
      <c r="M266" s="3">
        <f>IF(K266=1,SUMPRODUCT(--($L$8:$L$1207&lt;L266))+1,"")</f>
        <v/>
      </c>
      <c r="N266" s="17">
        <f>IF(K266=1,N('ORDENES'!$M262),0)</f>
        <v/>
      </c>
      <c r="O266" s="17">
        <f>IF('ORDENES'!$T262="preventiva",N266,0)</f>
        <v/>
      </c>
      <c r="P266" s="17">
        <f>IF('ORDENES'!$T262="correctiva",N266,0)</f>
        <v/>
      </c>
      <c r="Q266" s="3">
        <f>IF(AND(K266=1,'ORDENES'!$N262="Pendiente"),1,0)</f>
        <v/>
      </c>
      <c r="R266" s="3">
        <f>IF(Q266=1,100000-N266*1000+259*0.01,9000000000000+259)</f>
        <v/>
      </c>
      <c r="S266" s="3">
        <f>IF(Q266=1,SUMPRODUCT(--($R$8:$R$1207&lt;R266))+1,"")</f>
        <v/>
      </c>
      <c r="T266" s="12">
        <f>IF(K266=1,'ORDENES'!$J262,"")</f>
        <v/>
      </c>
    </row>
    <row r="267">
      <c r="K267" s="3">
        <f>IF(AND(IF($B$3="(todos)",TRUE,'ORDENES'!$O263=$B$3),IF($D$3="(todos)",TRUE,'ORDENES'!$AF263=$D$3),IF($F$3="(todos)",TRUE,'ORDENES'!$X263=$F$3),IF($H$3="(todos)",TRUE,'ORDENES'!$W263=$H$3),'ORDENES'!$AD263=TRUE,'ORDENES'!$A263&lt;&gt;""),1,0)</f>
        <v/>
      </c>
      <c r="L267" s="3">
        <f>IF(K267=1,IFERROR(MATCH('ORDENES'!$R263,lista_dias,0),9)*1000000000+IFERROR(MATCH('ORDENES'!$AF263,lista_turnos,0),9)*10000000+IFERROR(MATCH('ORDENES'!$AE263,tblTecnicos[nombre],0),99)*100000+260,9000000000000+260)</f>
        <v/>
      </c>
      <c r="M267" s="3">
        <f>IF(K267=1,SUMPRODUCT(--($L$8:$L$1207&lt;L267))+1,"")</f>
        <v/>
      </c>
      <c r="N267" s="17">
        <f>IF(K267=1,N('ORDENES'!$M263),0)</f>
        <v/>
      </c>
      <c r="O267" s="17">
        <f>IF('ORDENES'!$T263="preventiva",N267,0)</f>
        <v/>
      </c>
      <c r="P267" s="17">
        <f>IF('ORDENES'!$T263="correctiva",N267,0)</f>
        <v/>
      </c>
      <c r="Q267" s="3">
        <f>IF(AND(K267=1,'ORDENES'!$N263="Pendiente"),1,0)</f>
        <v/>
      </c>
      <c r="R267" s="3">
        <f>IF(Q267=1,100000-N267*1000+260*0.01,9000000000000+260)</f>
        <v/>
      </c>
      <c r="S267" s="3">
        <f>IF(Q267=1,SUMPRODUCT(--($R$8:$R$1207&lt;R267))+1,"")</f>
        <v/>
      </c>
      <c r="T267" s="12">
        <f>IF(K267=1,'ORDENES'!$J263,"")</f>
        <v/>
      </c>
    </row>
    <row r="268">
      <c r="K268" s="3">
        <f>IF(AND(IF($B$3="(todos)",TRUE,'ORDENES'!$O264=$B$3),IF($D$3="(todos)",TRUE,'ORDENES'!$AF264=$D$3),IF($F$3="(todos)",TRUE,'ORDENES'!$X264=$F$3),IF($H$3="(todos)",TRUE,'ORDENES'!$W264=$H$3),'ORDENES'!$AD264=TRUE,'ORDENES'!$A264&lt;&gt;""),1,0)</f>
        <v/>
      </c>
      <c r="L268" s="3">
        <f>IF(K268=1,IFERROR(MATCH('ORDENES'!$R264,lista_dias,0),9)*1000000000+IFERROR(MATCH('ORDENES'!$AF264,lista_turnos,0),9)*10000000+IFERROR(MATCH('ORDENES'!$AE264,tblTecnicos[nombre],0),99)*100000+261,9000000000000+261)</f>
        <v/>
      </c>
      <c r="M268" s="3">
        <f>IF(K268=1,SUMPRODUCT(--($L$8:$L$1207&lt;L268))+1,"")</f>
        <v/>
      </c>
      <c r="N268" s="17">
        <f>IF(K268=1,N('ORDENES'!$M264),0)</f>
        <v/>
      </c>
      <c r="O268" s="17">
        <f>IF('ORDENES'!$T264="preventiva",N268,0)</f>
        <v/>
      </c>
      <c r="P268" s="17">
        <f>IF('ORDENES'!$T264="correctiva",N268,0)</f>
        <v/>
      </c>
      <c r="Q268" s="3">
        <f>IF(AND(K268=1,'ORDENES'!$N264="Pendiente"),1,0)</f>
        <v/>
      </c>
      <c r="R268" s="3">
        <f>IF(Q268=1,100000-N268*1000+261*0.01,9000000000000+261)</f>
        <v/>
      </c>
      <c r="S268" s="3">
        <f>IF(Q268=1,SUMPRODUCT(--($R$8:$R$1207&lt;R268))+1,"")</f>
        <v/>
      </c>
      <c r="T268" s="12">
        <f>IF(K268=1,'ORDENES'!$J264,"")</f>
        <v/>
      </c>
    </row>
    <row r="269">
      <c r="K269" s="3">
        <f>IF(AND(IF($B$3="(todos)",TRUE,'ORDENES'!$O265=$B$3),IF($D$3="(todos)",TRUE,'ORDENES'!$AF265=$D$3),IF($F$3="(todos)",TRUE,'ORDENES'!$X265=$F$3),IF($H$3="(todos)",TRUE,'ORDENES'!$W265=$H$3),'ORDENES'!$AD265=TRUE,'ORDENES'!$A265&lt;&gt;""),1,0)</f>
        <v/>
      </c>
      <c r="L269" s="3">
        <f>IF(K269=1,IFERROR(MATCH('ORDENES'!$R265,lista_dias,0),9)*1000000000+IFERROR(MATCH('ORDENES'!$AF265,lista_turnos,0),9)*10000000+IFERROR(MATCH('ORDENES'!$AE265,tblTecnicos[nombre],0),99)*100000+262,9000000000000+262)</f>
        <v/>
      </c>
      <c r="M269" s="3">
        <f>IF(K269=1,SUMPRODUCT(--($L$8:$L$1207&lt;L269))+1,"")</f>
        <v/>
      </c>
      <c r="N269" s="17">
        <f>IF(K269=1,N('ORDENES'!$M265),0)</f>
        <v/>
      </c>
      <c r="O269" s="17">
        <f>IF('ORDENES'!$T265="preventiva",N269,0)</f>
        <v/>
      </c>
      <c r="P269" s="17">
        <f>IF('ORDENES'!$T265="correctiva",N269,0)</f>
        <v/>
      </c>
      <c r="Q269" s="3">
        <f>IF(AND(K269=1,'ORDENES'!$N265="Pendiente"),1,0)</f>
        <v/>
      </c>
      <c r="R269" s="3">
        <f>IF(Q269=1,100000-N269*1000+262*0.01,9000000000000+262)</f>
        <v/>
      </c>
      <c r="S269" s="3">
        <f>IF(Q269=1,SUMPRODUCT(--($R$8:$R$1207&lt;R269))+1,"")</f>
        <v/>
      </c>
      <c r="T269" s="12">
        <f>IF(K269=1,'ORDENES'!$J265,"")</f>
        <v/>
      </c>
    </row>
    <row r="270">
      <c r="K270" s="3">
        <f>IF(AND(IF($B$3="(todos)",TRUE,'ORDENES'!$O266=$B$3),IF($D$3="(todos)",TRUE,'ORDENES'!$AF266=$D$3),IF($F$3="(todos)",TRUE,'ORDENES'!$X266=$F$3),IF($H$3="(todos)",TRUE,'ORDENES'!$W266=$H$3),'ORDENES'!$AD266=TRUE,'ORDENES'!$A266&lt;&gt;""),1,0)</f>
        <v/>
      </c>
      <c r="L270" s="3">
        <f>IF(K270=1,IFERROR(MATCH('ORDENES'!$R266,lista_dias,0),9)*1000000000+IFERROR(MATCH('ORDENES'!$AF266,lista_turnos,0),9)*10000000+IFERROR(MATCH('ORDENES'!$AE266,tblTecnicos[nombre],0),99)*100000+263,9000000000000+263)</f>
        <v/>
      </c>
      <c r="M270" s="3">
        <f>IF(K270=1,SUMPRODUCT(--($L$8:$L$1207&lt;L270))+1,"")</f>
        <v/>
      </c>
      <c r="N270" s="17">
        <f>IF(K270=1,N('ORDENES'!$M266),0)</f>
        <v/>
      </c>
      <c r="O270" s="17">
        <f>IF('ORDENES'!$T266="preventiva",N270,0)</f>
        <v/>
      </c>
      <c r="P270" s="17">
        <f>IF('ORDENES'!$T266="correctiva",N270,0)</f>
        <v/>
      </c>
      <c r="Q270" s="3">
        <f>IF(AND(K270=1,'ORDENES'!$N266="Pendiente"),1,0)</f>
        <v/>
      </c>
      <c r="R270" s="3">
        <f>IF(Q270=1,100000-N270*1000+263*0.01,9000000000000+263)</f>
        <v/>
      </c>
      <c r="S270" s="3">
        <f>IF(Q270=1,SUMPRODUCT(--($R$8:$R$1207&lt;R270))+1,"")</f>
        <v/>
      </c>
      <c r="T270" s="12">
        <f>IF(K270=1,'ORDENES'!$J266,"")</f>
        <v/>
      </c>
    </row>
    <row r="271">
      <c r="K271" s="3">
        <f>IF(AND(IF($B$3="(todos)",TRUE,'ORDENES'!$O267=$B$3),IF($D$3="(todos)",TRUE,'ORDENES'!$AF267=$D$3),IF($F$3="(todos)",TRUE,'ORDENES'!$X267=$F$3),IF($H$3="(todos)",TRUE,'ORDENES'!$W267=$H$3),'ORDENES'!$AD267=TRUE,'ORDENES'!$A267&lt;&gt;""),1,0)</f>
        <v/>
      </c>
      <c r="L271" s="3">
        <f>IF(K271=1,IFERROR(MATCH('ORDENES'!$R267,lista_dias,0),9)*1000000000+IFERROR(MATCH('ORDENES'!$AF267,lista_turnos,0),9)*10000000+IFERROR(MATCH('ORDENES'!$AE267,tblTecnicos[nombre],0),99)*100000+264,9000000000000+264)</f>
        <v/>
      </c>
      <c r="M271" s="3">
        <f>IF(K271=1,SUMPRODUCT(--($L$8:$L$1207&lt;L271))+1,"")</f>
        <v/>
      </c>
      <c r="N271" s="17">
        <f>IF(K271=1,N('ORDENES'!$M267),0)</f>
        <v/>
      </c>
      <c r="O271" s="17">
        <f>IF('ORDENES'!$T267="preventiva",N271,0)</f>
        <v/>
      </c>
      <c r="P271" s="17">
        <f>IF('ORDENES'!$T267="correctiva",N271,0)</f>
        <v/>
      </c>
      <c r="Q271" s="3">
        <f>IF(AND(K271=1,'ORDENES'!$N267="Pendiente"),1,0)</f>
        <v/>
      </c>
      <c r="R271" s="3">
        <f>IF(Q271=1,100000-N271*1000+264*0.01,9000000000000+264)</f>
        <v/>
      </c>
      <c r="S271" s="3">
        <f>IF(Q271=1,SUMPRODUCT(--($R$8:$R$1207&lt;R271))+1,"")</f>
        <v/>
      </c>
      <c r="T271" s="12">
        <f>IF(K271=1,'ORDENES'!$J267,"")</f>
        <v/>
      </c>
    </row>
    <row r="272">
      <c r="K272" s="3">
        <f>IF(AND(IF($B$3="(todos)",TRUE,'ORDENES'!$O268=$B$3),IF($D$3="(todos)",TRUE,'ORDENES'!$AF268=$D$3),IF($F$3="(todos)",TRUE,'ORDENES'!$X268=$F$3),IF($H$3="(todos)",TRUE,'ORDENES'!$W268=$H$3),'ORDENES'!$AD268=TRUE,'ORDENES'!$A268&lt;&gt;""),1,0)</f>
        <v/>
      </c>
      <c r="L272" s="3">
        <f>IF(K272=1,IFERROR(MATCH('ORDENES'!$R268,lista_dias,0),9)*1000000000+IFERROR(MATCH('ORDENES'!$AF268,lista_turnos,0),9)*10000000+IFERROR(MATCH('ORDENES'!$AE268,tblTecnicos[nombre],0),99)*100000+265,9000000000000+265)</f>
        <v/>
      </c>
      <c r="M272" s="3">
        <f>IF(K272=1,SUMPRODUCT(--($L$8:$L$1207&lt;L272))+1,"")</f>
        <v/>
      </c>
      <c r="N272" s="17">
        <f>IF(K272=1,N('ORDENES'!$M268),0)</f>
        <v/>
      </c>
      <c r="O272" s="17">
        <f>IF('ORDENES'!$T268="preventiva",N272,0)</f>
        <v/>
      </c>
      <c r="P272" s="17">
        <f>IF('ORDENES'!$T268="correctiva",N272,0)</f>
        <v/>
      </c>
      <c r="Q272" s="3">
        <f>IF(AND(K272=1,'ORDENES'!$N268="Pendiente"),1,0)</f>
        <v/>
      </c>
      <c r="R272" s="3">
        <f>IF(Q272=1,100000-N272*1000+265*0.01,9000000000000+265)</f>
        <v/>
      </c>
      <c r="S272" s="3">
        <f>IF(Q272=1,SUMPRODUCT(--($R$8:$R$1207&lt;R272))+1,"")</f>
        <v/>
      </c>
      <c r="T272" s="12">
        <f>IF(K272=1,'ORDENES'!$J268,"")</f>
        <v/>
      </c>
    </row>
    <row r="273">
      <c r="K273" s="3">
        <f>IF(AND(IF($B$3="(todos)",TRUE,'ORDENES'!$O269=$B$3),IF($D$3="(todos)",TRUE,'ORDENES'!$AF269=$D$3),IF($F$3="(todos)",TRUE,'ORDENES'!$X269=$F$3),IF($H$3="(todos)",TRUE,'ORDENES'!$W269=$H$3),'ORDENES'!$AD269=TRUE,'ORDENES'!$A269&lt;&gt;""),1,0)</f>
        <v/>
      </c>
      <c r="L273" s="3">
        <f>IF(K273=1,IFERROR(MATCH('ORDENES'!$R269,lista_dias,0),9)*1000000000+IFERROR(MATCH('ORDENES'!$AF269,lista_turnos,0),9)*10000000+IFERROR(MATCH('ORDENES'!$AE269,tblTecnicos[nombre],0),99)*100000+266,9000000000000+266)</f>
        <v/>
      </c>
      <c r="M273" s="3">
        <f>IF(K273=1,SUMPRODUCT(--($L$8:$L$1207&lt;L273))+1,"")</f>
        <v/>
      </c>
      <c r="N273" s="17">
        <f>IF(K273=1,N('ORDENES'!$M269),0)</f>
        <v/>
      </c>
      <c r="O273" s="17">
        <f>IF('ORDENES'!$T269="preventiva",N273,0)</f>
        <v/>
      </c>
      <c r="P273" s="17">
        <f>IF('ORDENES'!$T269="correctiva",N273,0)</f>
        <v/>
      </c>
      <c r="Q273" s="3">
        <f>IF(AND(K273=1,'ORDENES'!$N269="Pendiente"),1,0)</f>
        <v/>
      </c>
      <c r="R273" s="3">
        <f>IF(Q273=1,100000-N273*1000+266*0.01,9000000000000+266)</f>
        <v/>
      </c>
      <c r="S273" s="3">
        <f>IF(Q273=1,SUMPRODUCT(--($R$8:$R$1207&lt;R273))+1,"")</f>
        <v/>
      </c>
      <c r="T273" s="12">
        <f>IF(K273=1,'ORDENES'!$J269,"")</f>
        <v/>
      </c>
    </row>
    <row r="274">
      <c r="K274" s="3">
        <f>IF(AND(IF($B$3="(todos)",TRUE,'ORDENES'!$O270=$B$3),IF($D$3="(todos)",TRUE,'ORDENES'!$AF270=$D$3),IF($F$3="(todos)",TRUE,'ORDENES'!$X270=$F$3),IF($H$3="(todos)",TRUE,'ORDENES'!$W270=$H$3),'ORDENES'!$AD270=TRUE,'ORDENES'!$A270&lt;&gt;""),1,0)</f>
        <v/>
      </c>
      <c r="L274" s="3">
        <f>IF(K274=1,IFERROR(MATCH('ORDENES'!$R270,lista_dias,0),9)*1000000000+IFERROR(MATCH('ORDENES'!$AF270,lista_turnos,0),9)*10000000+IFERROR(MATCH('ORDENES'!$AE270,tblTecnicos[nombre],0),99)*100000+267,9000000000000+267)</f>
        <v/>
      </c>
      <c r="M274" s="3">
        <f>IF(K274=1,SUMPRODUCT(--($L$8:$L$1207&lt;L274))+1,"")</f>
        <v/>
      </c>
      <c r="N274" s="17">
        <f>IF(K274=1,N('ORDENES'!$M270),0)</f>
        <v/>
      </c>
      <c r="O274" s="17">
        <f>IF('ORDENES'!$T270="preventiva",N274,0)</f>
        <v/>
      </c>
      <c r="P274" s="17">
        <f>IF('ORDENES'!$T270="correctiva",N274,0)</f>
        <v/>
      </c>
      <c r="Q274" s="3">
        <f>IF(AND(K274=1,'ORDENES'!$N270="Pendiente"),1,0)</f>
        <v/>
      </c>
      <c r="R274" s="3">
        <f>IF(Q274=1,100000-N274*1000+267*0.01,9000000000000+267)</f>
        <v/>
      </c>
      <c r="S274" s="3">
        <f>IF(Q274=1,SUMPRODUCT(--($R$8:$R$1207&lt;R274))+1,"")</f>
        <v/>
      </c>
      <c r="T274" s="12">
        <f>IF(K274=1,'ORDENES'!$J270,"")</f>
        <v/>
      </c>
    </row>
    <row r="275">
      <c r="K275" s="3">
        <f>IF(AND(IF($B$3="(todos)",TRUE,'ORDENES'!$O271=$B$3),IF($D$3="(todos)",TRUE,'ORDENES'!$AF271=$D$3),IF($F$3="(todos)",TRUE,'ORDENES'!$X271=$F$3),IF($H$3="(todos)",TRUE,'ORDENES'!$W271=$H$3),'ORDENES'!$AD271=TRUE,'ORDENES'!$A271&lt;&gt;""),1,0)</f>
        <v/>
      </c>
      <c r="L275" s="3">
        <f>IF(K275=1,IFERROR(MATCH('ORDENES'!$R271,lista_dias,0),9)*1000000000+IFERROR(MATCH('ORDENES'!$AF271,lista_turnos,0),9)*10000000+IFERROR(MATCH('ORDENES'!$AE271,tblTecnicos[nombre],0),99)*100000+268,9000000000000+268)</f>
        <v/>
      </c>
      <c r="M275" s="3">
        <f>IF(K275=1,SUMPRODUCT(--($L$8:$L$1207&lt;L275))+1,"")</f>
        <v/>
      </c>
      <c r="N275" s="17">
        <f>IF(K275=1,N('ORDENES'!$M271),0)</f>
        <v/>
      </c>
      <c r="O275" s="17">
        <f>IF('ORDENES'!$T271="preventiva",N275,0)</f>
        <v/>
      </c>
      <c r="P275" s="17">
        <f>IF('ORDENES'!$T271="correctiva",N275,0)</f>
        <v/>
      </c>
      <c r="Q275" s="3">
        <f>IF(AND(K275=1,'ORDENES'!$N271="Pendiente"),1,0)</f>
        <v/>
      </c>
      <c r="R275" s="3">
        <f>IF(Q275=1,100000-N275*1000+268*0.01,9000000000000+268)</f>
        <v/>
      </c>
      <c r="S275" s="3">
        <f>IF(Q275=1,SUMPRODUCT(--($R$8:$R$1207&lt;R275))+1,"")</f>
        <v/>
      </c>
      <c r="T275" s="12">
        <f>IF(K275=1,'ORDENES'!$J271,"")</f>
        <v/>
      </c>
    </row>
    <row r="276">
      <c r="K276" s="3">
        <f>IF(AND(IF($B$3="(todos)",TRUE,'ORDENES'!$O272=$B$3),IF($D$3="(todos)",TRUE,'ORDENES'!$AF272=$D$3),IF($F$3="(todos)",TRUE,'ORDENES'!$X272=$F$3),IF($H$3="(todos)",TRUE,'ORDENES'!$W272=$H$3),'ORDENES'!$AD272=TRUE,'ORDENES'!$A272&lt;&gt;""),1,0)</f>
        <v/>
      </c>
      <c r="L276" s="3">
        <f>IF(K276=1,IFERROR(MATCH('ORDENES'!$R272,lista_dias,0),9)*1000000000+IFERROR(MATCH('ORDENES'!$AF272,lista_turnos,0),9)*10000000+IFERROR(MATCH('ORDENES'!$AE272,tblTecnicos[nombre],0),99)*100000+269,9000000000000+269)</f>
        <v/>
      </c>
      <c r="M276" s="3">
        <f>IF(K276=1,SUMPRODUCT(--($L$8:$L$1207&lt;L276))+1,"")</f>
        <v/>
      </c>
      <c r="N276" s="17">
        <f>IF(K276=1,N('ORDENES'!$M272),0)</f>
        <v/>
      </c>
      <c r="O276" s="17">
        <f>IF('ORDENES'!$T272="preventiva",N276,0)</f>
        <v/>
      </c>
      <c r="P276" s="17">
        <f>IF('ORDENES'!$T272="correctiva",N276,0)</f>
        <v/>
      </c>
      <c r="Q276" s="3">
        <f>IF(AND(K276=1,'ORDENES'!$N272="Pendiente"),1,0)</f>
        <v/>
      </c>
      <c r="R276" s="3">
        <f>IF(Q276=1,100000-N276*1000+269*0.01,9000000000000+269)</f>
        <v/>
      </c>
      <c r="S276" s="3">
        <f>IF(Q276=1,SUMPRODUCT(--($R$8:$R$1207&lt;R276))+1,"")</f>
        <v/>
      </c>
      <c r="T276" s="12">
        <f>IF(K276=1,'ORDENES'!$J272,"")</f>
        <v/>
      </c>
    </row>
    <row r="277">
      <c r="K277" s="3">
        <f>IF(AND(IF($B$3="(todos)",TRUE,'ORDENES'!$O273=$B$3),IF($D$3="(todos)",TRUE,'ORDENES'!$AF273=$D$3),IF($F$3="(todos)",TRUE,'ORDENES'!$X273=$F$3),IF($H$3="(todos)",TRUE,'ORDENES'!$W273=$H$3),'ORDENES'!$AD273=TRUE,'ORDENES'!$A273&lt;&gt;""),1,0)</f>
        <v/>
      </c>
      <c r="L277" s="3">
        <f>IF(K277=1,IFERROR(MATCH('ORDENES'!$R273,lista_dias,0),9)*1000000000+IFERROR(MATCH('ORDENES'!$AF273,lista_turnos,0),9)*10000000+IFERROR(MATCH('ORDENES'!$AE273,tblTecnicos[nombre],0),99)*100000+270,9000000000000+270)</f>
        <v/>
      </c>
      <c r="M277" s="3">
        <f>IF(K277=1,SUMPRODUCT(--($L$8:$L$1207&lt;L277))+1,"")</f>
        <v/>
      </c>
      <c r="N277" s="17">
        <f>IF(K277=1,N('ORDENES'!$M273),0)</f>
        <v/>
      </c>
      <c r="O277" s="17">
        <f>IF('ORDENES'!$T273="preventiva",N277,0)</f>
        <v/>
      </c>
      <c r="P277" s="17">
        <f>IF('ORDENES'!$T273="correctiva",N277,0)</f>
        <v/>
      </c>
      <c r="Q277" s="3">
        <f>IF(AND(K277=1,'ORDENES'!$N273="Pendiente"),1,0)</f>
        <v/>
      </c>
      <c r="R277" s="3">
        <f>IF(Q277=1,100000-N277*1000+270*0.01,9000000000000+270)</f>
        <v/>
      </c>
      <c r="S277" s="3">
        <f>IF(Q277=1,SUMPRODUCT(--($R$8:$R$1207&lt;R277))+1,"")</f>
        <v/>
      </c>
      <c r="T277" s="12">
        <f>IF(K277=1,'ORDENES'!$J273,"")</f>
        <v/>
      </c>
    </row>
    <row r="278">
      <c r="K278" s="3">
        <f>IF(AND(IF($B$3="(todos)",TRUE,'ORDENES'!$O274=$B$3),IF($D$3="(todos)",TRUE,'ORDENES'!$AF274=$D$3),IF($F$3="(todos)",TRUE,'ORDENES'!$X274=$F$3),IF($H$3="(todos)",TRUE,'ORDENES'!$W274=$H$3),'ORDENES'!$AD274=TRUE,'ORDENES'!$A274&lt;&gt;""),1,0)</f>
        <v/>
      </c>
      <c r="L278" s="3">
        <f>IF(K278=1,IFERROR(MATCH('ORDENES'!$R274,lista_dias,0),9)*1000000000+IFERROR(MATCH('ORDENES'!$AF274,lista_turnos,0),9)*10000000+IFERROR(MATCH('ORDENES'!$AE274,tblTecnicos[nombre],0),99)*100000+271,9000000000000+271)</f>
        <v/>
      </c>
      <c r="M278" s="3">
        <f>IF(K278=1,SUMPRODUCT(--($L$8:$L$1207&lt;L278))+1,"")</f>
        <v/>
      </c>
      <c r="N278" s="17">
        <f>IF(K278=1,N('ORDENES'!$M274),0)</f>
        <v/>
      </c>
      <c r="O278" s="17">
        <f>IF('ORDENES'!$T274="preventiva",N278,0)</f>
        <v/>
      </c>
      <c r="P278" s="17">
        <f>IF('ORDENES'!$T274="correctiva",N278,0)</f>
        <v/>
      </c>
      <c r="Q278" s="3">
        <f>IF(AND(K278=1,'ORDENES'!$N274="Pendiente"),1,0)</f>
        <v/>
      </c>
      <c r="R278" s="3">
        <f>IF(Q278=1,100000-N278*1000+271*0.01,9000000000000+271)</f>
        <v/>
      </c>
      <c r="S278" s="3">
        <f>IF(Q278=1,SUMPRODUCT(--($R$8:$R$1207&lt;R278))+1,"")</f>
        <v/>
      </c>
      <c r="T278" s="12">
        <f>IF(K278=1,'ORDENES'!$J274,"")</f>
        <v/>
      </c>
    </row>
    <row r="279">
      <c r="K279" s="3">
        <f>IF(AND(IF($B$3="(todos)",TRUE,'ORDENES'!$O275=$B$3),IF($D$3="(todos)",TRUE,'ORDENES'!$AF275=$D$3),IF($F$3="(todos)",TRUE,'ORDENES'!$X275=$F$3),IF($H$3="(todos)",TRUE,'ORDENES'!$W275=$H$3),'ORDENES'!$AD275=TRUE,'ORDENES'!$A275&lt;&gt;""),1,0)</f>
        <v/>
      </c>
      <c r="L279" s="3">
        <f>IF(K279=1,IFERROR(MATCH('ORDENES'!$R275,lista_dias,0),9)*1000000000+IFERROR(MATCH('ORDENES'!$AF275,lista_turnos,0),9)*10000000+IFERROR(MATCH('ORDENES'!$AE275,tblTecnicos[nombre],0),99)*100000+272,9000000000000+272)</f>
        <v/>
      </c>
      <c r="M279" s="3">
        <f>IF(K279=1,SUMPRODUCT(--($L$8:$L$1207&lt;L279))+1,"")</f>
        <v/>
      </c>
      <c r="N279" s="17">
        <f>IF(K279=1,N('ORDENES'!$M275),0)</f>
        <v/>
      </c>
      <c r="O279" s="17">
        <f>IF('ORDENES'!$T275="preventiva",N279,0)</f>
        <v/>
      </c>
      <c r="P279" s="17">
        <f>IF('ORDENES'!$T275="correctiva",N279,0)</f>
        <v/>
      </c>
      <c r="Q279" s="3">
        <f>IF(AND(K279=1,'ORDENES'!$N275="Pendiente"),1,0)</f>
        <v/>
      </c>
      <c r="R279" s="3">
        <f>IF(Q279=1,100000-N279*1000+272*0.01,9000000000000+272)</f>
        <v/>
      </c>
      <c r="S279" s="3">
        <f>IF(Q279=1,SUMPRODUCT(--($R$8:$R$1207&lt;R279))+1,"")</f>
        <v/>
      </c>
      <c r="T279" s="12">
        <f>IF(K279=1,'ORDENES'!$J275,"")</f>
        <v/>
      </c>
    </row>
    <row r="280">
      <c r="K280" s="3">
        <f>IF(AND(IF($B$3="(todos)",TRUE,'ORDENES'!$O276=$B$3),IF($D$3="(todos)",TRUE,'ORDENES'!$AF276=$D$3),IF($F$3="(todos)",TRUE,'ORDENES'!$X276=$F$3),IF($H$3="(todos)",TRUE,'ORDENES'!$W276=$H$3),'ORDENES'!$AD276=TRUE,'ORDENES'!$A276&lt;&gt;""),1,0)</f>
        <v/>
      </c>
      <c r="L280" s="3">
        <f>IF(K280=1,IFERROR(MATCH('ORDENES'!$R276,lista_dias,0),9)*1000000000+IFERROR(MATCH('ORDENES'!$AF276,lista_turnos,0),9)*10000000+IFERROR(MATCH('ORDENES'!$AE276,tblTecnicos[nombre],0),99)*100000+273,9000000000000+273)</f>
        <v/>
      </c>
      <c r="M280" s="3">
        <f>IF(K280=1,SUMPRODUCT(--($L$8:$L$1207&lt;L280))+1,"")</f>
        <v/>
      </c>
      <c r="N280" s="17">
        <f>IF(K280=1,N('ORDENES'!$M276),0)</f>
        <v/>
      </c>
      <c r="O280" s="17">
        <f>IF('ORDENES'!$T276="preventiva",N280,0)</f>
        <v/>
      </c>
      <c r="P280" s="17">
        <f>IF('ORDENES'!$T276="correctiva",N280,0)</f>
        <v/>
      </c>
      <c r="Q280" s="3">
        <f>IF(AND(K280=1,'ORDENES'!$N276="Pendiente"),1,0)</f>
        <v/>
      </c>
      <c r="R280" s="3">
        <f>IF(Q280=1,100000-N280*1000+273*0.01,9000000000000+273)</f>
        <v/>
      </c>
      <c r="S280" s="3">
        <f>IF(Q280=1,SUMPRODUCT(--($R$8:$R$1207&lt;R280))+1,"")</f>
        <v/>
      </c>
      <c r="T280" s="12">
        <f>IF(K280=1,'ORDENES'!$J276,"")</f>
        <v/>
      </c>
    </row>
    <row r="281">
      <c r="K281" s="3">
        <f>IF(AND(IF($B$3="(todos)",TRUE,'ORDENES'!$O277=$B$3),IF($D$3="(todos)",TRUE,'ORDENES'!$AF277=$D$3),IF($F$3="(todos)",TRUE,'ORDENES'!$X277=$F$3),IF($H$3="(todos)",TRUE,'ORDENES'!$W277=$H$3),'ORDENES'!$AD277=TRUE,'ORDENES'!$A277&lt;&gt;""),1,0)</f>
        <v/>
      </c>
      <c r="L281" s="3">
        <f>IF(K281=1,IFERROR(MATCH('ORDENES'!$R277,lista_dias,0),9)*1000000000+IFERROR(MATCH('ORDENES'!$AF277,lista_turnos,0),9)*10000000+IFERROR(MATCH('ORDENES'!$AE277,tblTecnicos[nombre],0),99)*100000+274,9000000000000+274)</f>
        <v/>
      </c>
      <c r="M281" s="3">
        <f>IF(K281=1,SUMPRODUCT(--($L$8:$L$1207&lt;L281))+1,"")</f>
        <v/>
      </c>
      <c r="N281" s="17">
        <f>IF(K281=1,N('ORDENES'!$M277),0)</f>
        <v/>
      </c>
      <c r="O281" s="17">
        <f>IF('ORDENES'!$T277="preventiva",N281,0)</f>
        <v/>
      </c>
      <c r="P281" s="17">
        <f>IF('ORDENES'!$T277="correctiva",N281,0)</f>
        <v/>
      </c>
      <c r="Q281" s="3">
        <f>IF(AND(K281=1,'ORDENES'!$N277="Pendiente"),1,0)</f>
        <v/>
      </c>
      <c r="R281" s="3">
        <f>IF(Q281=1,100000-N281*1000+274*0.01,9000000000000+274)</f>
        <v/>
      </c>
      <c r="S281" s="3">
        <f>IF(Q281=1,SUMPRODUCT(--($R$8:$R$1207&lt;R281))+1,"")</f>
        <v/>
      </c>
      <c r="T281" s="12">
        <f>IF(K281=1,'ORDENES'!$J277,"")</f>
        <v/>
      </c>
    </row>
    <row r="282">
      <c r="K282" s="3">
        <f>IF(AND(IF($B$3="(todos)",TRUE,'ORDENES'!$O278=$B$3),IF($D$3="(todos)",TRUE,'ORDENES'!$AF278=$D$3),IF($F$3="(todos)",TRUE,'ORDENES'!$X278=$F$3),IF($H$3="(todos)",TRUE,'ORDENES'!$W278=$H$3),'ORDENES'!$AD278=TRUE,'ORDENES'!$A278&lt;&gt;""),1,0)</f>
        <v/>
      </c>
      <c r="L282" s="3">
        <f>IF(K282=1,IFERROR(MATCH('ORDENES'!$R278,lista_dias,0),9)*1000000000+IFERROR(MATCH('ORDENES'!$AF278,lista_turnos,0),9)*10000000+IFERROR(MATCH('ORDENES'!$AE278,tblTecnicos[nombre],0),99)*100000+275,9000000000000+275)</f>
        <v/>
      </c>
      <c r="M282" s="3">
        <f>IF(K282=1,SUMPRODUCT(--($L$8:$L$1207&lt;L282))+1,"")</f>
        <v/>
      </c>
      <c r="N282" s="17">
        <f>IF(K282=1,N('ORDENES'!$M278),0)</f>
        <v/>
      </c>
      <c r="O282" s="17">
        <f>IF('ORDENES'!$T278="preventiva",N282,0)</f>
        <v/>
      </c>
      <c r="P282" s="17">
        <f>IF('ORDENES'!$T278="correctiva",N282,0)</f>
        <v/>
      </c>
      <c r="Q282" s="3">
        <f>IF(AND(K282=1,'ORDENES'!$N278="Pendiente"),1,0)</f>
        <v/>
      </c>
      <c r="R282" s="3">
        <f>IF(Q282=1,100000-N282*1000+275*0.01,9000000000000+275)</f>
        <v/>
      </c>
      <c r="S282" s="3">
        <f>IF(Q282=1,SUMPRODUCT(--($R$8:$R$1207&lt;R282))+1,"")</f>
        <v/>
      </c>
      <c r="T282" s="12">
        <f>IF(K282=1,'ORDENES'!$J278,"")</f>
        <v/>
      </c>
    </row>
    <row r="283">
      <c r="K283" s="3">
        <f>IF(AND(IF($B$3="(todos)",TRUE,'ORDENES'!$O279=$B$3),IF($D$3="(todos)",TRUE,'ORDENES'!$AF279=$D$3),IF($F$3="(todos)",TRUE,'ORDENES'!$X279=$F$3),IF($H$3="(todos)",TRUE,'ORDENES'!$W279=$H$3),'ORDENES'!$AD279=TRUE,'ORDENES'!$A279&lt;&gt;""),1,0)</f>
        <v/>
      </c>
      <c r="L283" s="3">
        <f>IF(K283=1,IFERROR(MATCH('ORDENES'!$R279,lista_dias,0),9)*1000000000+IFERROR(MATCH('ORDENES'!$AF279,lista_turnos,0),9)*10000000+IFERROR(MATCH('ORDENES'!$AE279,tblTecnicos[nombre],0),99)*100000+276,9000000000000+276)</f>
        <v/>
      </c>
      <c r="M283" s="3">
        <f>IF(K283=1,SUMPRODUCT(--($L$8:$L$1207&lt;L283))+1,"")</f>
        <v/>
      </c>
      <c r="N283" s="17">
        <f>IF(K283=1,N('ORDENES'!$M279),0)</f>
        <v/>
      </c>
      <c r="O283" s="17">
        <f>IF('ORDENES'!$T279="preventiva",N283,0)</f>
        <v/>
      </c>
      <c r="P283" s="17">
        <f>IF('ORDENES'!$T279="correctiva",N283,0)</f>
        <v/>
      </c>
      <c r="Q283" s="3">
        <f>IF(AND(K283=1,'ORDENES'!$N279="Pendiente"),1,0)</f>
        <v/>
      </c>
      <c r="R283" s="3">
        <f>IF(Q283=1,100000-N283*1000+276*0.01,9000000000000+276)</f>
        <v/>
      </c>
      <c r="S283" s="3">
        <f>IF(Q283=1,SUMPRODUCT(--($R$8:$R$1207&lt;R283))+1,"")</f>
        <v/>
      </c>
      <c r="T283" s="12">
        <f>IF(K283=1,'ORDENES'!$J279,"")</f>
        <v/>
      </c>
    </row>
    <row r="284">
      <c r="K284" s="3">
        <f>IF(AND(IF($B$3="(todos)",TRUE,'ORDENES'!$O280=$B$3),IF($D$3="(todos)",TRUE,'ORDENES'!$AF280=$D$3),IF($F$3="(todos)",TRUE,'ORDENES'!$X280=$F$3),IF($H$3="(todos)",TRUE,'ORDENES'!$W280=$H$3),'ORDENES'!$AD280=TRUE,'ORDENES'!$A280&lt;&gt;""),1,0)</f>
        <v/>
      </c>
      <c r="L284" s="3">
        <f>IF(K284=1,IFERROR(MATCH('ORDENES'!$R280,lista_dias,0),9)*1000000000+IFERROR(MATCH('ORDENES'!$AF280,lista_turnos,0),9)*10000000+IFERROR(MATCH('ORDENES'!$AE280,tblTecnicos[nombre],0),99)*100000+277,9000000000000+277)</f>
        <v/>
      </c>
      <c r="M284" s="3">
        <f>IF(K284=1,SUMPRODUCT(--($L$8:$L$1207&lt;L284))+1,"")</f>
        <v/>
      </c>
      <c r="N284" s="17">
        <f>IF(K284=1,N('ORDENES'!$M280),0)</f>
        <v/>
      </c>
      <c r="O284" s="17">
        <f>IF('ORDENES'!$T280="preventiva",N284,0)</f>
        <v/>
      </c>
      <c r="P284" s="17">
        <f>IF('ORDENES'!$T280="correctiva",N284,0)</f>
        <v/>
      </c>
      <c r="Q284" s="3">
        <f>IF(AND(K284=1,'ORDENES'!$N280="Pendiente"),1,0)</f>
        <v/>
      </c>
      <c r="R284" s="3">
        <f>IF(Q284=1,100000-N284*1000+277*0.01,9000000000000+277)</f>
        <v/>
      </c>
      <c r="S284" s="3">
        <f>IF(Q284=1,SUMPRODUCT(--($R$8:$R$1207&lt;R284))+1,"")</f>
        <v/>
      </c>
      <c r="T284" s="12">
        <f>IF(K284=1,'ORDENES'!$J280,"")</f>
        <v/>
      </c>
    </row>
    <row r="285">
      <c r="K285" s="3">
        <f>IF(AND(IF($B$3="(todos)",TRUE,'ORDENES'!$O281=$B$3),IF($D$3="(todos)",TRUE,'ORDENES'!$AF281=$D$3),IF($F$3="(todos)",TRUE,'ORDENES'!$X281=$F$3),IF($H$3="(todos)",TRUE,'ORDENES'!$W281=$H$3),'ORDENES'!$AD281=TRUE,'ORDENES'!$A281&lt;&gt;""),1,0)</f>
        <v/>
      </c>
      <c r="L285" s="3">
        <f>IF(K285=1,IFERROR(MATCH('ORDENES'!$R281,lista_dias,0),9)*1000000000+IFERROR(MATCH('ORDENES'!$AF281,lista_turnos,0),9)*10000000+IFERROR(MATCH('ORDENES'!$AE281,tblTecnicos[nombre],0),99)*100000+278,9000000000000+278)</f>
        <v/>
      </c>
      <c r="M285" s="3">
        <f>IF(K285=1,SUMPRODUCT(--($L$8:$L$1207&lt;L285))+1,"")</f>
        <v/>
      </c>
      <c r="N285" s="17">
        <f>IF(K285=1,N('ORDENES'!$M281),0)</f>
        <v/>
      </c>
      <c r="O285" s="17">
        <f>IF('ORDENES'!$T281="preventiva",N285,0)</f>
        <v/>
      </c>
      <c r="P285" s="17">
        <f>IF('ORDENES'!$T281="correctiva",N285,0)</f>
        <v/>
      </c>
      <c r="Q285" s="3">
        <f>IF(AND(K285=1,'ORDENES'!$N281="Pendiente"),1,0)</f>
        <v/>
      </c>
      <c r="R285" s="3">
        <f>IF(Q285=1,100000-N285*1000+278*0.01,9000000000000+278)</f>
        <v/>
      </c>
      <c r="S285" s="3">
        <f>IF(Q285=1,SUMPRODUCT(--($R$8:$R$1207&lt;R285))+1,"")</f>
        <v/>
      </c>
      <c r="T285" s="12">
        <f>IF(K285=1,'ORDENES'!$J281,"")</f>
        <v/>
      </c>
    </row>
    <row r="286">
      <c r="K286" s="3">
        <f>IF(AND(IF($B$3="(todos)",TRUE,'ORDENES'!$O282=$B$3),IF($D$3="(todos)",TRUE,'ORDENES'!$AF282=$D$3),IF($F$3="(todos)",TRUE,'ORDENES'!$X282=$F$3),IF($H$3="(todos)",TRUE,'ORDENES'!$W282=$H$3),'ORDENES'!$AD282=TRUE,'ORDENES'!$A282&lt;&gt;""),1,0)</f>
        <v/>
      </c>
      <c r="L286" s="3">
        <f>IF(K286=1,IFERROR(MATCH('ORDENES'!$R282,lista_dias,0),9)*1000000000+IFERROR(MATCH('ORDENES'!$AF282,lista_turnos,0),9)*10000000+IFERROR(MATCH('ORDENES'!$AE282,tblTecnicos[nombre],0),99)*100000+279,9000000000000+279)</f>
        <v/>
      </c>
      <c r="M286" s="3">
        <f>IF(K286=1,SUMPRODUCT(--($L$8:$L$1207&lt;L286))+1,"")</f>
        <v/>
      </c>
      <c r="N286" s="17">
        <f>IF(K286=1,N('ORDENES'!$M282),0)</f>
        <v/>
      </c>
      <c r="O286" s="17">
        <f>IF('ORDENES'!$T282="preventiva",N286,0)</f>
        <v/>
      </c>
      <c r="P286" s="17">
        <f>IF('ORDENES'!$T282="correctiva",N286,0)</f>
        <v/>
      </c>
      <c r="Q286" s="3">
        <f>IF(AND(K286=1,'ORDENES'!$N282="Pendiente"),1,0)</f>
        <v/>
      </c>
      <c r="R286" s="3">
        <f>IF(Q286=1,100000-N286*1000+279*0.01,9000000000000+279)</f>
        <v/>
      </c>
      <c r="S286" s="3">
        <f>IF(Q286=1,SUMPRODUCT(--($R$8:$R$1207&lt;R286))+1,"")</f>
        <v/>
      </c>
      <c r="T286" s="12">
        <f>IF(K286=1,'ORDENES'!$J282,"")</f>
        <v/>
      </c>
    </row>
    <row r="287">
      <c r="K287" s="3">
        <f>IF(AND(IF($B$3="(todos)",TRUE,'ORDENES'!$O283=$B$3),IF($D$3="(todos)",TRUE,'ORDENES'!$AF283=$D$3),IF($F$3="(todos)",TRUE,'ORDENES'!$X283=$F$3),IF($H$3="(todos)",TRUE,'ORDENES'!$W283=$H$3),'ORDENES'!$AD283=TRUE,'ORDENES'!$A283&lt;&gt;""),1,0)</f>
        <v/>
      </c>
      <c r="L287" s="3">
        <f>IF(K287=1,IFERROR(MATCH('ORDENES'!$R283,lista_dias,0),9)*1000000000+IFERROR(MATCH('ORDENES'!$AF283,lista_turnos,0),9)*10000000+IFERROR(MATCH('ORDENES'!$AE283,tblTecnicos[nombre],0),99)*100000+280,9000000000000+280)</f>
        <v/>
      </c>
      <c r="M287" s="3">
        <f>IF(K287=1,SUMPRODUCT(--($L$8:$L$1207&lt;L287))+1,"")</f>
        <v/>
      </c>
      <c r="N287" s="17">
        <f>IF(K287=1,N('ORDENES'!$M283),0)</f>
        <v/>
      </c>
      <c r="O287" s="17">
        <f>IF('ORDENES'!$T283="preventiva",N287,0)</f>
        <v/>
      </c>
      <c r="P287" s="17">
        <f>IF('ORDENES'!$T283="correctiva",N287,0)</f>
        <v/>
      </c>
      <c r="Q287" s="3">
        <f>IF(AND(K287=1,'ORDENES'!$N283="Pendiente"),1,0)</f>
        <v/>
      </c>
      <c r="R287" s="3">
        <f>IF(Q287=1,100000-N287*1000+280*0.01,9000000000000+280)</f>
        <v/>
      </c>
      <c r="S287" s="3">
        <f>IF(Q287=1,SUMPRODUCT(--($R$8:$R$1207&lt;R287))+1,"")</f>
        <v/>
      </c>
      <c r="T287" s="12">
        <f>IF(K287=1,'ORDENES'!$J283,"")</f>
        <v/>
      </c>
    </row>
    <row r="288">
      <c r="K288" s="3">
        <f>IF(AND(IF($B$3="(todos)",TRUE,'ORDENES'!$O284=$B$3),IF($D$3="(todos)",TRUE,'ORDENES'!$AF284=$D$3),IF($F$3="(todos)",TRUE,'ORDENES'!$X284=$F$3),IF($H$3="(todos)",TRUE,'ORDENES'!$W284=$H$3),'ORDENES'!$AD284=TRUE,'ORDENES'!$A284&lt;&gt;""),1,0)</f>
        <v/>
      </c>
      <c r="L288" s="3">
        <f>IF(K288=1,IFERROR(MATCH('ORDENES'!$R284,lista_dias,0),9)*1000000000+IFERROR(MATCH('ORDENES'!$AF284,lista_turnos,0),9)*10000000+IFERROR(MATCH('ORDENES'!$AE284,tblTecnicos[nombre],0),99)*100000+281,9000000000000+281)</f>
        <v/>
      </c>
      <c r="M288" s="3">
        <f>IF(K288=1,SUMPRODUCT(--($L$8:$L$1207&lt;L288))+1,"")</f>
        <v/>
      </c>
      <c r="N288" s="17">
        <f>IF(K288=1,N('ORDENES'!$M284),0)</f>
        <v/>
      </c>
      <c r="O288" s="17">
        <f>IF('ORDENES'!$T284="preventiva",N288,0)</f>
        <v/>
      </c>
      <c r="P288" s="17">
        <f>IF('ORDENES'!$T284="correctiva",N288,0)</f>
        <v/>
      </c>
      <c r="Q288" s="3">
        <f>IF(AND(K288=1,'ORDENES'!$N284="Pendiente"),1,0)</f>
        <v/>
      </c>
      <c r="R288" s="3">
        <f>IF(Q288=1,100000-N288*1000+281*0.01,9000000000000+281)</f>
        <v/>
      </c>
      <c r="S288" s="3">
        <f>IF(Q288=1,SUMPRODUCT(--($R$8:$R$1207&lt;R288))+1,"")</f>
        <v/>
      </c>
      <c r="T288" s="12">
        <f>IF(K288=1,'ORDENES'!$J284,"")</f>
        <v/>
      </c>
    </row>
    <row r="289">
      <c r="K289" s="3">
        <f>IF(AND(IF($B$3="(todos)",TRUE,'ORDENES'!$O285=$B$3),IF($D$3="(todos)",TRUE,'ORDENES'!$AF285=$D$3),IF($F$3="(todos)",TRUE,'ORDENES'!$X285=$F$3),IF($H$3="(todos)",TRUE,'ORDENES'!$W285=$H$3),'ORDENES'!$AD285=TRUE,'ORDENES'!$A285&lt;&gt;""),1,0)</f>
        <v/>
      </c>
      <c r="L289" s="3">
        <f>IF(K289=1,IFERROR(MATCH('ORDENES'!$R285,lista_dias,0),9)*1000000000+IFERROR(MATCH('ORDENES'!$AF285,lista_turnos,0),9)*10000000+IFERROR(MATCH('ORDENES'!$AE285,tblTecnicos[nombre],0),99)*100000+282,9000000000000+282)</f>
        <v/>
      </c>
      <c r="M289" s="3">
        <f>IF(K289=1,SUMPRODUCT(--($L$8:$L$1207&lt;L289))+1,"")</f>
        <v/>
      </c>
      <c r="N289" s="17">
        <f>IF(K289=1,N('ORDENES'!$M285),0)</f>
        <v/>
      </c>
      <c r="O289" s="17">
        <f>IF('ORDENES'!$T285="preventiva",N289,0)</f>
        <v/>
      </c>
      <c r="P289" s="17">
        <f>IF('ORDENES'!$T285="correctiva",N289,0)</f>
        <v/>
      </c>
      <c r="Q289" s="3">
        <f>IF(AND(K289=1,'ORDENES'!$N285="Pendiente"),1,0)</f>
        <v/>
      </c>
      <c r="R289" s="3">
        <f>IF(Q289=1,100000-N289*1000+282*0.01,9000000000000+282)</f>
        <v/>
      </c>
      <c r="S289" s="3">
        <f>IF(Q289=1,SUMPRODUCT(--($R$8:$R$1207&lt;R289))+1,"")</f>
        <v/>
      </c>
      <c r="T289" s="12">
        <f>IF(K289=1,'ORDENES'!$J285,"")</f>
        <v/>
      </c>
    </row>
    <row r="290">
      <c r="K290" s="3">
        <f>IF(AND(IF($B$3="(todos)",TRUE,'ORDENES'!$O286=$B$3),IF($D$3="(todos)",TRUE,'ORDENES'!$AF286=$D$3),IF($F$3="(todos)",TRUE,'ORDENES'!$X286=$F$3),IF($H$3="(todos)",TRUE,'ORDENES'!$W286=$H$3),'ORDENES'!$AD286=TRUE,'ORDENES'!$A286&lt;&gt;""),1,0)</f>
        <v/>
      </c>
      <c r="L290" s="3">
        <f>IF(K290=1,IFERROR(MATCH('ORDENES'!$R286,lista_dias,0),9)*1000000000+IFERROR(MATCH('ORDENES'!$AF286,lista_turnos,0),9)*10000000+IFERROR(MATCH('ORDENES'!$AE286,tblTecnicos[nombre],0),99)*100000+283,9000000000000+283)</f>
        <v/>
      </c>
      <c r="M290" s="3">
        <f>IF(K290=1,SUMPRODUCT(--($L$8:$L$1207&lt;L290))+1,"")</f>
        <v/>
      </c>
      <c r="N290" s="17">
        <f>IF(K290=1,N('ORDENES'!$M286),0)</f>
        <v/>
      </c>
      <c r="O290" s="17">
        <f>IF('ORDENES'!$T286="preventiva",N290,0)</f>
        <v/>
      </c>
      <c r="P290" s="17">
        <f>IF('ORDENES'!$T286="correctiva",N290,0)</f>
        <v/>
      </c>
      <c r="Q290" s="3">
        <f>IF(AND(K290=1,'ORDENES'!$N286="Pendiente"),1,0)</f>
        <v/>
      </c>
      <c r="R290" s="3">
        <f>IF(Q290=1,100000-N290*1000+283*0.01,9000000000000+283)</f>
        <v/>
      </c>
      <c r="S290" s="3">
        <f>IF(Q290=1,SUMPRODUCT(--($R$8:$R$1207&lt;R290))+1,"")</f>
        <v/>
      </c>
      <c r="T290" s="12">
        <f>IF(K290=1,'ORDENES'!$J286,"")</f>
        <v/>
      </c>
    </row>
    <row r="291">
      <c r="K291" s="3">
        <f>IF(AND(IF($B$3="(todos)",TRUE,'ORDENES'!$O287=$B$3),IF($D$3="(todos)",TRUE,'ORDENES'!$AF287=$D$3),IF($F$3="(todos)",TRUE,'ORDENES'!$X287=$F$3),IF($H$3="(todos)",TRUE,'ORDENES'!$W287=$H$3),'ORDENES'!$AD287=TRUE,'ORDENES'!$A287&lt;&gt;""),1,0)</f>
        <v/>
      </c>
      <c r="L291" s="3">
        <f>IF(K291=1,IFERROR(MATCH('ORDENES'!$R287,lista_dias,0),9)*1000000000+IFERROR(MATCH('ORDENES'!$AF287,lista_turnos,0),9)*10000000+IFERROR(MATCH('ORDENES'!$AE287,tblTecnicos[nombre],0),99)*100000+284,9000000000000+284)</f>
        <v/>
      </c>
      <c r="M291" s="3">
        <f>IF(K291=1,SUMPRODUCT(--($L$8:$L$1207&lt;L291))+1,"")</f>
        <v/>
      </c>
      <c r="N291" s="17">
        <f>IF(K291=1,N('ORDENES'!$M287),0)</f>
        <v/>
      </c>
      <c r="O291" s="17">
        <f>IF('ORDENES'!$T287="preventiva",N291,0)</f>
        <v/>
      </c>
      <c r="P291" s="17">
        <f>IF('ORDENES'!$T287="correctiva",N291,0)</f>
        <v/>
      </c>
      <c r="Q291" s="3">
        <f>IF(AND(K291=1,'ORDENES'!$N287="Pendiente"),1,0)</f>
        <v/>
      </c>
      <c r="R291" s="3">
        <f>IF(Q291=1,100000-N291*1000+284*0.01,9000000000000+284)</f>
        <v/>
      </c>
      <c r="S291" s="3">
        <f>IF(Q291=1,SUMPRODUCT(--($R$8:$R$1207&lt;R291))+1,"")</f>
        <v/>
      </c>
      <c r="T291" s="12">
        <f>IF(K291=1,'ORDENES'!$J287,"")</f>
        <v/>
      </c>
    </row>
    <row r="292">
      <c r="K292" s="3">
        <f>IF(AND(IF($B$3="(todos)",TRUE,'ORDENES'!$O288=$B$3),IF($D$3="(todos)",TRUE,'ORDENES'!$AF288=$D$3),IF($F$3="(todos)",TRUE,'ORDENES'!$X288=$F$3),IF($H$3="(todos)",TRUE,'ORDENES'!$W288=$H$3),'ORDENES'!$AD288=TRUE,'ORDENES'!$A288&lt;&gt;""),1,0)</f>
        <v/>
      </c>
      <c r="L292" s="3">
        <f>IF(K292=1,IFERROR(MATCH('ORDENES'!$R288,lista_dias,0),9)*1000000000+IFERROR(MATCH('ORDENES'!$AF288,lista_turnos,0),9)*10000000+IFERROR(MATCH('ORDENES'!$AE288,tblTecnicos[nombre],0),99)*100000+285,9000000000000+285)</f>
        <v/>
      </c>
      <c r="M292" s="3">
        <f>IF(K292=1,SUMPRODUCT(--($L$8:$L$1207&lt;L292))+1,"")</f>
        <v/>
      </c>
      <c r="N292" s="17">
        <f>IF(K292=1,N('ORDENES'!$M288),0)</f>
        <v/>
      </c>
      <c r="O292" s="17">
        <f>IF('ORDENES'!$T288="preventiva",N292,0)</f>
        <v/>
      </c>
      <c r="P292" s="17">
        <f>IF('ORDENES'!$T288="correctiva",N292,0)</f>
        <v/>
      </c>
      <c r="Q292" s="3">
        <f>IF(AND(K292=1,'ORDENES'!$N288="Pendiente"),1,0)</f>
        <v/>
      </c>
      <c r="R292" s="3">
        <f>IF(Q292=1,100000-N292*1000+285*0.01,9000000000000+285)</f>
        <v/>
      </c>
      <c r="S292" s="3">
        <f>IF(Q292=1,SUMPRODUCT(--($R$8:$R$1207&lt;R292))+1,"")</f>
        <v/>
      </c>
      <c r="T292" s="12">
        <f>IF(K292=1,'ORDENES'!$J288,"")</f>
        <v/>
      </c>
    </row>
    <row r="293">
      <c r="K293" s="3">
        <f>IF(AND(IF($B$3="(todos)",TRUE,'ORDENES'!$O289=$B$3),IF($D$3="(todos)",TRUE,'ORDENES'!$AF289=$D$3),IF($F$3="(todos)",TRUE,'ORDENES'!$X289=$F$3),IF($H$3="(todos)",TRUE,'ORDENES'!$W289=$H$3),'ORDENES'!$AD289=TRUE,'ORDENES'!$A289&lt;&gt;""),1,0)</f>
        <v/>
      </c>
      <c r="L293" s="3">
        <f>IF(K293=1,IFERROR(MATCH('ORDENES'!$R289,lista_dias,0),9)*1000000000+IFERROR(MATCH('ORDENES'!$AF289,lista_turnos,0),9)*10000000+IFERROR(MATCH('ORDENES'!$AE289,tblTecnicos[nombre],0),99)*100000+286,9000000000000+286)</f>
        <v/>
      </c>
      <c r="M293" s="3">
        <f>IF(K293=1,SUMPRODUCT(--($L$8:$L$1207&lt;L293))+1,"")</f>
        <v/>
      </c>
      <c r="N293" s="17">
        <f>IF(K293=1,N('ORDENES'!$M289),0)</f>
        <v/>
      </c>
      <c r="O293" s="17">
        <f>IF('ORDENES'!$T289="preventiva",N293,0)</f>
        <v/>
      </c>
      <c r="P293" s="17">
        <f>IF('ORDENES'!$T289="correctiva",N293,0)</f>
        <v/>
      </c>
      <c r="Q293" s="3">
        <f>IF(AND(K293=1,'ORDENES'!$N289="Pendiente"),1,0)</f>
        <v/>
      </c>
      <c r="R293" s="3">
        <f>IF(Q293=1,100000-N293*1000+286*0.01,9000000000000+286)</f>
        <v/>
      </c>
      <c r="S293" s="3">
        <f>IF(Q293=1,SUMPRODUCT(--($R$8:$R$1207&lt;R293))+1,"")</f>
        <v/>
      </c>
      <c r="T293" s="12">
        <f>IF(K293=1,'ORDENES'!$J289,"")</f>
        <v/>
      </c>
    </row>
    <row r="294">
      <c r="K294" s="3">
        <f>IF(AND(IF($B$3="(todos)",TRUE,'ORDENES'!$O290=$B$3),IF($D$3="(todos)",TRUE,'ORDENES'!$AF290=$D$3),IF($F$3="(todos)",TRUE,'ORDENES'!$X290=$F$3),IF($H$3="(todos)",TRUE,'ORDENES'!$W290=$H$3),'ORDENES'!$AD290=TRUE,'ORDENES'!$A290&lt;&gt;""),1,0)</f>
        <v/>
      </c>
      <c r="L294" s="3">
        <f>IF(K294=1,IFERROR(MATCH('ORDENES'!$R290,lista_dias,0),9)*1000000000+IFERROR(MATCH('ORDENES'!$AF290,lista_turnos,0),9)*10000000+IFERROR(MATCH('ORDENES'!$AE290,tblTecnicos[nombre],0),99)*100000+287,9000000000000+287)</f>
        <v/>
      </c>
      <c r="M294" s="3">
        <f>IF(K294=1,SUMPRODUCT(--($L$8:$L$1207&lt;L294))+1,"")</f>
        <v/>
      </c>
      <c r="N294" s="17">
        <f>IF(K294=1,N('ORDENES'!$M290),0)</f>
        <v/>
      </c>
      <c r="O294" s="17">
        <f>IF('ORDENES'!$T290="preventiva",N294,0)</f>
        <v/>
      </c>
      <c r="P294" s="17">
        <f>IF('ORDENES'!$T290="correctiva",N294,0)</f>
        <v/>
      </c>
      <c r="Q294" s="3">
        <f>IF(AND(K294=1,'ORDENES'!$N290="Pendiente"),1,0)</f>
        <v/>
      </c>
      <c r="R294" s="3">
        <f>IF(Q294=1,100000-N294*1000+287*0.01,9000000000000+287)</f>
        <v/>
      </c>
      <c r="S294" s="3">
        <f>IF(Q294=1,SUMPRODUCT(--($R$8:$R$1207&lt;R294))+1,"")</f>
        <v/>
      </c>
      <c r="T294" s="12">
        <f>IF(K294=1,'ORDENES'!$J290,"")</f>
        <v/>
      </c>
    </row>
    <row r="295">
      <c r="K295" s="3">
        <f>IF(AND(IF($B$3="(todos)",TRUE,'ORDENES'!$O291=$B$3),IF($D$3="(todos)",TRUE,'ORDENES'!$AF291=$D$3),IF($F$3="(todos)",TRUE,'ORDENES'!$X291=$F$3),IF($H$3="(todos)",TRUE,'ORDENES'!$W291=$H$3),'ORDENES'!$AD291=TRUE,'ORDENES'!$A291&lt;&gt;""),1,0)</f>
        <v/>
      </c>
      <c r="L295" s="3">
        <f>IF(K295=1,IFERROR(MATCH('ORDENES'!$R291,lista_dias,0),9)*1000000000+IFERROR(MATCH('ORDENES'!$AF291,lista_turnos,0),9)*10000000+IFERROR(MATCH('ORDENES'!$AE291,tblTecnicos[nombre],0),99)*100000+288,9000000000000+288)</f>
        <v/>
      </c>
      <c r="M295" s="3">
        <f>IF(K295=1,SUMPRODUCT(--($L$8:$L$1207&lt;L295))+1,"")</f>
        <v/>
      </c>
      <c r="N295" s="17">
        <f>IF(K295=1,N('ORDENES'!$M291),0)</f>
        <v/>
      </c>
      <c r="O295" s="17">
        <f>IF('ORDENES'!$T291="preventiva",N295,0)</f>
        <v/>
      </c>
      <c r="P295" s="17">
        <f>IF('ORDENES'!$T291="correctiva",N295,0)</f>
        <v/>
      </c>
      <c r="Q295" s="3">
        <f>IF(AND(K295=1,'ORDENES'!$N291="Pendiente"),1,0)</f>
        <v/>
      </c>
      <c r="R295" s="3">
        <f>IF(Q295=1,100000-N295*1000+288*0.01,9000000000000+288)</f>
        <v/>
      </c>
      <c r="S295" s="3">
        <f>IF(Q295=1,SUMPRODUCT(--($R$8:$R$1207&lt;R295))+1,"")</f>
        <v/>
      </c>
      <c r="T295" s="12">
        <f>IF(K295=1,'ORDENES'!$J291,"")</f>
        <v/>
      </c>
    </row>
    <row r="296">
      <c r="K296" s="3">
        <f>IF(AND(IF($B$3="(todos)",TRUE,'ORDENES'!$O292=$B$3),IF($D$3="(todos)",TRUE,'ORDENES'!$AF292=$D$3),IF($F$3="(todos)",TRUE,'ORDENES'!$X292=$F$3),IF($H$3="(todos)",TRUE,'ORDENES'!$W292=$H$3),'ORDENES'!$AD292=TRUE,'ORDENES'!$A292&lt;&gt;""),1,0)</f>
        <v/>
      </c>
      <c r="L296" s="3">
        <f>IF(K296=1,IFERROR(MATCH('ORDENES'!$R292,lista_dias,0),9)*1000000000+IFERROR(MATCH('ORDENES'!$AF292,lista_turnos,0),9)*10000000+IFERROR(MATCH('ORDENES'!$AE292,tblTecnicos[nombre],0),99)*100000+289,9000000000000+289)</f>
        <v/>
      </c>
      <c r="M296" s="3">
        <f>IF(K296=1,SUMPRODUCT(--($L$8:$L$1207&lt;L296))+1,"")</f>
        <v/>
      </c>
      <c r="N296" s="17">
        <f>IF(K296=1,N('ORDENES'!$M292),0)</f>
        <v/>
      </c>
      <c r="O296" s="17">
        <f>IF('ORDENES'!$T292="preventiva",N296,0)</f>
        <v/>
      </c>
      <c r="P296" s="17">
        <f>IF('ORDENES'!$T292="correctiva",N296,0)</f>
        <v/>
      </c>
      <c r="Q296" s="3">
        <f>IF(AND(K296=1,'ORDENES'!$N292="Pendiente"),1,0)</f>
        <v/>
      </c>
      <c r="R296" s="3">
        <f>IF(Q296=1,100000-N296*1000+289*0.01,9000000000000+289)</f>
        <v/>
      </c>
      <c r="S296" s="3">
        <f>IF(Q296=1,SUMPRODUCT(--($R$8:$R$1207&lt;R296))+1,"")</f>
        <v/>
      </c>
      <c r="T296" s="12">
        <f>IF(K296=1,'ORDENES'!$J292,"")</f>
        <v/>
      </c>
    </row>
    <row r="297">
      <c r="K297" s="3">
        <f>IF(AND(IF($B$3="(todos)",TRUE,'ORDENES'!$O293=$B$3),IF($D$3="(todos)",TRUE,'ORDENES'!$AF293=$D$3),IF($F$3="(todos)",TRUE,'ORDENES'!$X293=$F$3),IF($H$3="(todos)",TRUE,'ORDENES'!$W293=$H$3),'ORDENES'!$AD293=TRUE,'ORDENES'!$A293&lt;&gt;""),1,0)</f>
        <v/>
      </c>
      <c r="L297" s="3">
        <f>IF(K297=1,IFERROR(MATCH('ORDENES'!$R293,lista_dias,0),9)*1000000000+IFERROR(MATCH('ORDENES'!$AF293,lista_turnos,0),9)*10000000+IFERROR(MATCH('ORDENES'!$AE293,tblTecnicos[nombre],0),99)*100000+290,9000000000000+290)</f>
        <v/>
      </c>
      <c r="M297" s="3">
        <f>IF(K297=1,SUMPRODUCT(--($L$8:$L$1207&lt;L297))+1,"")</f>
        <v/>
      </c>
      <c r="N297" s="17">
        <f>IF(K297=1,N('ORDENES'!$M293),0)</f>
        <v/>
      </c>
      <c r="O297" s="17">
        <f>IF('ORDENES'!$T293="preventiva",N297,0)</f>
        <v/>
      </c>
      <c r="P297" s="17">
        <f>IF('ORDENES'!$T293="correctiva",N297,0)</f>
        <v/>
      </c>
      <c r="Q297" s="3">
        <f>IF(AND(K297=1,'ORDENES'!$N293="Pendiente"),1,0)</f>
        <v/>
      </c>
      <c r="R297" s="3">
        <f>IF(Q297=1,100000-N297*1000+290*0.01,9000000000000+290)</f>
        <v/>
      </c>
      <c r="S297" s="3">
        <f>IF(Q297=1,SUMPRODUCT(--($R$8:$R$1207&lt;R297))+1,"")</f>
        <v/>
      </c>
      <c r="T297" s="12">
        <f>IF(K297=1,'ORDENES'!$J293,"")</f>
        <v/>
      </c>
    </row>
    <row r="298">
      <c r="K298" s="3">
        <f>IF(AND(IF($B$3="(todos)",TRUE,'ORDENES'!$O294=$B$3),IF($D$3="(todos)",TRUE,'ORDENES'!$AF294=$D$3),IF($F$3="(todos)",TRUE,'ORDENES'!$X294=$F$3),IF($H$3="(todos)",TRUE,'ORDENES'!$W294=$H$3),'ORDENES'!$AD294=TRUE,'ORDENES'!$A294&lt;&gt;""),1,0)</f>
        <v/>
      </c>
      <c r="L298" s="3">
        <f>IF(K298=1,IFERROR(MATCH('ORDENES'!$R294,lista_dias,0),9)*1000000000+IFERROR(MATCH('ORDENES'!$AF294,lista_turnos,0),9)*10000000+IFERROR(MATCH('ORDENES'!$AE294,tblTecnicos[nombre],0),99)*100000+291,9000000000000+291)</f>
        <v/>
      </c>
      <c r="M298" s="3">
        <f>IF(K298=1,SUMPRODUCT(--($L$8:$L$1207&lt;L298))+1,"")</f>
        <v/>
      </c>
      <c r="N298" s="17">
        <f>IF(K298=1,N('ORDENES'!$M294),0)</f>
        <v/>
      </c>
      <c r="O298" s="17">
        <f>IF('ORDENES'!$T294="preventiva",N298,0)</f>
        <v/>
      </c>
      <c r="P298" s="17">
        <f>IF('ORDENES'!$T294="correctiva",N298,0)</f>
        <v/>
      </c>
      <c r="Q298" s="3">
        <f>IF(AND(K298=1,'ORDENES'!$N294="Pendiente"),1,0)</f>
        <v/>
      </c>
      <c r="R298" s="3">
        <f>IF(Q298=1,100000-N298*1000+291*0.01,9000000000000+291)</f>
        <v/>
      </c>
      <c r="S298" s="3">
        <f>IF(Q298=1,SUMPRODUCT(--($R$8:$R$1207&lt;R298))+1,"")</f>
        <v/>
      </c>
      <c r="T298" s="12">
        <f>IF(K298=1,'ORDENES'!$J294,"")</f>
        <v/>
      </c>
    </row>
    <row r="299">
      <c r="K299" s="3">
        <f>IF(AND(IF($B$3="(todos)",TRUE,'ORDENES'!$O295=$B$3),IF($D$3="(todos)",TRUE,'ORDENES'!$AF295=$D$3),IF($F$3="(todos)",TRUE,'ORDENES'!$X295=$F$3),IF($H$3="(todos)",TRUE,'ORDENES'!$W295=$H$3),'ORDENES'!$AD295=TRUE,'ORDENES'!$A295&lt;&gt;""),1,0)</f>
        <v/>
      </c>
      <c r="L299" s="3">
        <f>IF(K299=1,IFERROR(MATCH('ORDENES'!$R295,lista_dias,0),9)*1000000000+IFERROR(MATCH('ORDENES'!$AF295,lista_turnos,0),9)*10000000+IFERROR(MATCH('ORDENES'!$AE295,tblTecnicos[nombre],0),99)*100000+292,9000000000000+292)</f>
        <v/>
      </c>
      <c r="M299" s="3">
        <f>IF(K299=1,SUMPRODUCT(--($L$8:$L$1207&lt;L299))+1,"")</f>
        <v/>
      </c>
      <c r="N299" s="17">
        <f>IF(K299=1,N('ORDENES'!$M295),0)</f>
        <v/>
      </c>
      <c r="O299" s="17">
        <f>IF('ORDENES'!$T295="preventiva",N299,0)</f>
        <v/>
      </c>
      <c r="P299" s="17">
        <f>IF('ORDENES'!$T295="correctiva",N299,0)</f>
        <v/>
      </c>
      <c r="Q299" s="3">
        <f>IF(AND(K299=1,'ORDENES'!$N295="Pendiente"),1,0)</f>
        <v/>
      </c>
      <c r="R299" s="3">
        <f>IF(Q299=1,100000-N299*1000+292*0.01,9000000000000+292)</f>
        <v/>
      </c>
      <c r="S299" s="3">
        <f>IF(Q299=1,SUMPRODUCT(--($R$8:$R$1207&lt;R299))+1,"")</f>
        <v/>
      </c>
      <c r="T299" s="12">
        <f>IF(K299=1,'ORDENES'!$J295,"")</f>
        <v/>
      </c>
    </row>
    <row r="300">
      <c r="K300" s="3">
        <f>IF(AND(IF($B$3="(todos)",TRUE,'ORDENES'!$O296=$B$3),IF($D$3="(todos)",TRUE,'ORDENES'!$AF296=$D$3),IF($F$3="(todos)",TRUE,'ORDENES'!$X296=$F$3),IF($H$3="(todos)",TRUE,'ORDENES'!$W296=$H$3),'ORDENES'!$AD296=TRUE,'ORDENES'!$A296&lt;&gt;""),1,0)</f>
        <v/>
      </c>
      <c r="L300" s="3">
        <f>IF(K300=1,IFERROR(MATCH('ORDENES'!$R296,lista_dias,0),9)*1000000000+IFERROR(MATCH('ORDENES'!$AF296,lista_turnos,0),9)*10000000+IFERROR(MATCH('ORDENES'!$AE296,tblTecnicos[nombre],0),99)*100000+293,9000000000000+293)</f>
        <v/>
      </c>
      <c r="M300" s="3">
        <f>IF(K300=1,SUMPRODUCT(--($L$8:$L$1207&lt;L300))+1,"")</f>
        <v/>
      </c>
      <c r="N300" s="17">
        <f>IF(K300=1,N('ORDENES'!$M296),0)</f>
        <v/>
      </c>
      <c r="O300" s="17">
        <f>IF('ORDENES'!$T296="preventiva",N300,0)</f>
        <v/>
      </c>
      <c r="P300" s="17">
        <f>IF('ORDENES'!$T296="correctiva",N300,0)</f>
        <v/>
      </c>
      <c r="Q300" s="3">
        <f>IF(AND(K300=1,'ORDENES'!$N296="Pendiente"),1,0)</f>
        <v/>
      </c>
      <c r="R300" s="3">
        <f>IF(Q300=1,100000-N300*1000+293*0.01,9000000000000+293)</f>
        <v/>
      </c>
      <c r="S300" s="3">
        <f>IF(Q300=1,SUMPRODUCT(--($R$8:$R$1207&lt;R300))+1,"")</f>
        <v/>
      </c>
      <c r="T300" s="12">
        <f>IF(K300=1,'ORDENES'!$J296,"")</f>
        <v/>
      </c>
    </row>
    <row r="301">
      <c r="K301" s="3">
        <f>IF(AND(IF($B$3="(todos)",TRUE,'ORDENES'!$O297=$B$3),IF($D$3="(todos)",TRUE,'ORDENES'!$AF297=$D$3),IF($F$3="(todos)",TRUE,'ORDENES'!$X297=$F$3),IF($H$3="(todos)",TRUE,'ORDENES'!$W297=$H$3),'ORDENES'!$AD297=TRUE,'ORDENES'!$A297&lt;&gt;""),1,0)</f>
        <v/>
      </c>
      <c r="L301" s="3">
        <f>IF(K301=1,IFERROR(MATCH('ORDENES'!$R297,lista_dias,0),9)*1000000000+IFERROR(MATCH('ORDENES'!$AF297,lista_turnos,0),9)*10000000+IFERROR(MATCH('ORDENES'!$AE297,tblTecnicos[nombre],0),99)*100000+294,9000000000000+294)</f>
        <v/>
      </c>
      <c r="M301" s="3">
        <f>IF(K301=1,SUMPRODUCT(--($L$8:$L$1207&lt;L301))+1,"")</f>
        <v/>
      </c>
      <c r="N301" s="17">
        <f>IF(K301=1,N('ORDENES'!$M297),0)</f>
        <v/>
      </c>
      <c r="O301" s="17">
        <f>IF('ORDENES'!$T297="preventiva",N301,0)</f>
        <v/>
      </c>
      <c r="P301" s="17">
        <f>IF('ORDENES'!$T297="correctiva",N301,0)</f>
        <v/>
      </c>
      <c r="Q301" s="3">
        <f>IF(AND(K301=1,'ORDENES'!$N297="Pendiente"),1,0)</f>
        <v/>
      </c>
      <c r="R301" s="3">
        <f>IF(Q301=1,100000-N301*1000+294*0.01,9000000000000+294)</f>
        <v/>
      </c>
      <c r="S301" s="3">
        <f>IF(Q301=1,SUMPRODUCT(--($R$8:$R$1207&lt;R301))+1,"")</f>
        <v/>
      </c>
      <c r="T301" s="12">
        <f>IF(K301=1,'ORDENES'!$J297,"")</f>
        <v/>
      </c>
    </row>
    <row r="302">
      <c r="K302" s="3">
        <f>IF(AND(IF($B$3="(todos)",TRUE,'ORDENES'!$O298=$B$3),IF($D$3="(todos)",TRUE,'ORDENES'!$AF298=$D$3),IF($F$3="(todos)",TRUE,'ORDENES'!$X298=$F$3),IF($H$3="(todos)",TRUE,'ORDENES'!$W298=$H$3),'ORDENES'!$AD298=TRUE,'ORDENES'!$A298&lt;&gt;""),1,0)</f>
        <v/>
      </c>
      <c r="L302" s="3">
        <f>IF(K302=1,IFERROR(MATCH('ORDENES'!$R298,lista_dias,0),9)*1000000000+IFERROR(MATCH('ORDENES'!$AF298,lista_turnos,0),9)*10000000+IFERROR(MATCH('ORDENES'!$AE298,tblTecnicos[nombre],0),99)*100000+295,9000000000000+295)</f>
        <v/>
      </c>
      <c r="M302" s="3">
        <f>IF(K302=1,SUMPRODUCT(--($L$8:$L$1207&lt;L302))+1,"")</f>
        <v/>
      </c>
      <c r="N302" s="17">
        <f>IF(K302=1,N('ORDENES'!$M298),0)</f>
        <v/>
      </c>
      <c r="O302" s="17">
        <f>IF('ORDENES'!$T298="preventiva",N302,0)</f>
        <v/>
      </c>
      <c r="P302" s="17">
        <f>IF('ORDENES'!$T298="correctiva",N302,0)</f>
        <v/>
      </c>
      <c r="Q302" s="3">
        <f>IF(AND(K302=1,'ORDENES'!$N298="Pendiente"),1,0)</f>
        <v/>
      </c>
      <c r="R302" s="3">
        <f>IF(Q302=1,100000-N302*1000+295*0.01,9000000000000+295)</f>
        <v/>
      </c>
      <c r="S302" s="3">
        <f>IF(Q302=1,SUMPRODUCT(--($R$8:$R$1207&lt;R302))+1,"")</f>
        <v/>
      </c>
      <c r="T302" s="12">
        <f>IF(K302=1,'ORDENES'!$J298,"")</f>
        <v/>
      </c>
    </row>
    <row r="303">
      <c r="K303" s="3">
        <f>IF(AND(IF($B$3="(todos)",TRUE,'ORDENES'!$O299=$B$3),IF($D$3="(todos)",TRUE,'ORDENES'!$AF299=$D$3),IF($F$3="(todos)",TRUE,'ORDENES'!$X299=$F$3),IF($H$3="(todos)",TRUE,'ORDENES'!$W299=$H$3),'ORDENES'!$AD299=TRUE,'ORDENES'!$A299&lt;&gt;""),1,0)</f>
        <v/>
      </c>
      <c r="L303" s="3">
        <f>IF(K303=1,IFERROR(MATCH('ORDENES'!$R299,lista_dias,0),9)*1000000000+IFERROR(MATCH('ORDENES'!$AF299,lista_turnos,0),9)*10000000+IFERROR(MATCH('ORDENES'!$AE299,tblTecnicos[nombre],0),99)*100000+296,9000000000000+296)</f>
        <v/>
      </c>
      <c r="M303" s="3">
        <f>IF(K303=1,SUMPRODUCT(--($L$8:$L$1207&lt;L303))+1,"")</f>
        <v/>
      </c>
      <c r="N303" s="17">
        <f>IF(K303=1,N('ORDENES'!$M299),0)</f>
        <v/>
      </c>
      <c r="O303" s="17">
        <f>IF('ORDENES'!$T299="preventiva",N303,0)</f>
        <v/>
      </c>
      <c r="P303" s="17">
        <f>IF('ORDENES'!$T299="correctiva",N303,0)</f>
        <v/>
      </c>
      <c r="Q303" s="3">
        <f>IF(AND(K303=1,'ORDENES'!$N299="Pendiente"),1,0)</f>
        <v/>
      </c>
      <c r="R303" s="3">
        <f>IF(Q303=1,100000-N303*1000+296*0.01,9000000000000+296)</f>
        <v/>
      </c>
      <c r="S303" s="3">
        <f>IF(Q303=1,SUMPRODUCT(--($R$8:$R$1207&lt;R303))+1,"")</f>
        <v/>
      </c>
      <c r="T303" s="12">
        <f>IF(K303=1,'ORDENES'!$J299,"")</f>
        <v/>
      </c>
    </row>
    <row r="304">
      <c r="K304" s="3">
        <f>IF(AND(IF($B$3="(todos)",TRUE,'ORDENES'!$O300=$B$3),IF($D$3="(todos)",TRUE,'ORDENES'!$AF300=$D$3),IF($F$3="(todos)",TRUE,'ORDENES'!$X300=$F$3),IF($H$3="(todos)",TRUE,'ORDENES'!$W300=$H$3),'ORDENES'!$AD300=TRUE,'ORDENES'!$A300&lt;&gt;""),1,0)</f>
        <v/>
      </c>
      <c r="L304" s="3">
        <f>IF(K304=1,IFERROR(MATCH('ORDENES'!$R300,lista_dias,0),9)*1000000000+IFERROR(MATCH('ORDENES'!$AF300,lista_turnos,0),9)*10000000+IFERROR(MATCH('ORDENES'!$AE300,tblTecnicos[nombre],0),99)*100000+297,9000000000000+297)</f>
        <v/>
      </c>
      <c r="M304" s="3">
        <f>IF(K304=1,SUMPRODUCT(--($L$8:$L$1207&lt;L304))+1,"")</f>
        <v/>
      </c>
      <c r="N304" s="17">
        <f>IF(K304=1,N('ORDENES'!$M300),0)</f>
        <v/>
      </c>
      <c r="O304" s="17">
        <f>IF('ORDENES'!$T300="preventiva",N304,0)</f>
        <v/>
      </c>
      <c r="P304" s="17">
        <f>IF('ORDENES'!$T300="correctiva",N304,0)</f>
        <v/>
      </c>
      <c r="Q304" s="3">
        <f>IF(AND(K304=1,'ORDENES'!$N300="Pendiente"),1,0)</f>
        <v/>
      </c>
      <c r="R304" s="3">
        <f>IF(Q304=1,100000-N304*1000+297*0.01,9000000000000+297)</f>
        <v/>
      </c>
      <c r="S304" s="3">
        <f>IF(Q304=1,SUMPRODUCT(--($R$8:$R$1207&lt;R304))+1,"")</f>
        <v/>
      </c>
      <c r="T304" s="12">
        <f>IF(K304=1,'ORDENES'!$J300,"")</f>
        <v/>
      </c>
    </row>
    <row r="305">
      <c r="K305" s="3">
        <f>IF(AND(IF($B$3="(todos)",TRUE,'ORDENES'!$O301=$B$3),IF($D$3="(todos)",TRUE,'ORDENES'!$AF301=$D$3),IF($F$3="(todos)",TRUE,'ORDENES'!$X301=$F$3),IF($H$3="(todos)",TRUE,'ORDENES'!$W301=$H$3),'ORDENES'!$AD301=TRUE,'ORDENES'!$A301&lt;&gt;""),1,0)</f>
        <v/>
      </c>
      <c r="L305" s="3">
        <f>IF(K305=1,IFERROR(MATCH('ORDENES'!$R301,lista_dias,0),9)*1000000000+IFERROR(MATCH('ORDENES'!$AF301,lista_turnos,0),9)*10000000+IFERROR(MATCH('ORDENES'!$AE301,tblTecnicos[nombre],0),99)*100000+298,9000000000000+298)</f>
        <v/>
      </c>
      <c r="M305" s="3">
        <f>IF(K305=1,SUMPRODUCT(--($L$8:$L$1207&lt;L305))+1,"")</f>
        <v/>
      </c>
      <c r="N305" s="17">
        <f>IF(K305=1,N('ORDENES'!$M301),0)</f>
        <v/>
      </c>
      <c r="O305" s="17">
        <f>IF('ORDENES'!$T301="preventiva",N305,0)</f>
        <v/>
      </c>
      <c r="P305" s="17">
        <f>IF('ORDENES'!$T301="correctiva",N305,0)</f>
        <v/>
      </c>
      <c r="Q305" s="3">
        <f>IF(AND(K305=1,'ORDENES'!$N301="Pendiente"),1,0)</f>
        <v/>
      </c>
      <c r="R305" s="3">
        <f>IF(Q305=1,100000-N305*1000+298*0.01,9000000000000+298)</f>
        <v/>
      </c>
      <c r="S305" s="3">
        <f>IF(Q305=1,SUMPRODUCT(--($R$8:$R$1207&lt;R305))+1,"")</f>
        <v/>
      </c>
      <c r="T305" s="12">
        <f>IF(K305=1,'ORDENES'!$J301,"")</f>
        <v/>
      </c>
    </row>
    <row r="306">
      <c r="K306" s="3">
        <f>IF(AND(IF($B$3="(todos)",TRUE,'ORDENES'!$O302=$B$3),IF($D$3="(todos)",TRUE,'ORDENES'!$AF302=$D$3),IF($F$3="(todos)",TRUE,'ORDENES'!$X302=$F$3),IF($H$3="(todos)",TRUE,'ORDENES'!$W302=$H$3),'ORDENES'!$AD302=TRUE,'ORDENES'!$A302&lt;&gt;""),1,0)</f>
        <v/>
      </c>
      <c r="L306" s="3">
        <f>IF(K306=1,IFERROR(MATCH('ORDENES'!$R302,lista_dias,0),9)*1000000000+IFERROR(MATCH('ORDENES'!$AF302,lista_turnos,0),9)*10000000+IFERROR(MATCH('ORDENES'!$AE302,tblTecnicos[nombre],0),99)*100000+299,9000000000000+299)</f>
        <v/>
      </c>
      <c r="M306" s="3">
        <f>IF(K306=1,SUMPRODUCT(--($L$8:$L$1207&lt;L306))+1,"")</f>
        <v/>
      </c>
      <c r="N306" s="17">
        <f>IF(K306=1,N('ORDENES'!$M302),0)</f>
        <v/>
      </c>
      <c r="O306" s="17">
        <f>IF('ORDENES'!$T302="preventiva",N306,0)</f>
        <v/>
      </c>
      <c r="P306" s="17">
        <f>IF('ORDENES'!$T302="correctiva",N306,0)</f>
        <v/>
      </c>
      <c r="Q306" s="3">
        <f>IF(AND(K306=1,'ORDENES'!$N302="Pendiente"),1,0)</f>
        <v/>
      </c>
      <c r="R306" s="3">
        <f>IF(Q306=1,100000-N306*1000+299*0.01,9000000000000+299)</f>
        <v/>
      </c>
      <c r="S306" s="3">
        <f>IF(Q306=1,SUMPRODUCT(--($R$8:$R$1207&lt;R306))+1,"")</f>
        <v/>
      </c>
      <c r="T306" s="12">
        <f>IF(K306=1,'ORDENES'!$J302,"")</f>
        <v/>
      </c>
    </row>
    <row r="307">
      <c r="K307" s="3">
        <f>IF(AND(IF($B$3="(todos)",TRUE,'ORDENES'!$O303=$B$3),IF($D$3="(todos)",TRUE,'ORDENES'!$AF303=$D$3),IF($F$3="(todos)",TRUE,'ORDENES'!$X303=$F$3),IF($H$3="(todos)",TRUE,'ORDENES'!$W303=$H$3),'ORDENES'!$AD303=TRUE,'ORDENES'!$A303&lt;&gt;""),1,0)</f>
        <v/>
      </c>
      <c r="L307" s="3">
        <f>IF(K307=1,IFERROR(MATCH('ORDENES'!$R303,lista_dias,0),9)*1000000000+IFERROR(MATCH('ORDENES'!$AF303,lista_turnos,0),9)*10000000+IFERROR(MATCH('ORDENES'!$AE303,tblTecnicos[nombre],0),99)*100000+300,9000000000000+300)</f>
        <v/>
      </c>
      <c r="M307" s="3">
        <f>IF(K307=1,SUMPRODUCT(--($L$8:$L$1207&lt;L307))+1,"")</f>
        <v/>
      </c>
      <c r="N307" s="17">
        <f>IF(K307=1,N('ORDENES'!$M303),0)</f>
        <v/>
      </c>
      <c r="O307" s="17">
        <f>IF('ORDENES'!$T303="preventiva",N307,0)</f>
        <v/>
      </c>
      <c r="P307" s="17">
        <f>IF('ORDENES'!$T303="correctiva",N307,0)</f>
        <v/>
      </c>
      <c r="Q307" s="3">
        <f>IF(AND(K307=1,'ORDENES'!$N303="Pendiente"),1,0)</f>
        <v/>
      </c>
      <c r="R307" s="3">
        <f>IF(Q307=1,100000-N307*1000+300*0.01,9000000000000+300)</f>
        <v/>
      </c>
      <c r="S307" s="3">
        <f>IF(Q307=1,SUMPRODUCT(--($R$8:$R$1207&lt;R307))+1,"")</f>
        <v/>
      </c>
      <c r="T307" s="12">
        <f>IF(K307=1,'ORDENES'!$J303,"")</f>
        <v/>
      </c>
    </row>
    <row r="308">
      <c r="K308" s="3">
        <f>IF(AND(IF($B$3="(todos)",TRUE,'ORDENES'!$O304=$B$3),IF($D$3="(todos)",TRUE,'ORDENES'!$AF304=$D$3),IF($F$3="(todos)",TRUE,'ORDENES'!$X304=$F$3),IF($H$3="(todos)",TRUE,'ORDENES'!$W304=$H$3),'ORDENES'!$AD304=TRUE,'ORDENES'!$A304&lt;&gt;""),1,0)</f>
        <v/>
      </c>
      <c r="L308" s="3">
        <f>IF(K308=1,IFERROR(MATCH('ORDENES'!$R304,lista_dias,0),9)*1000000000+IFERROR(MATCH('ORDENES'!$AF304,lista_turnos,0),9)*10000000+IFERROR(MATCH('ORDENES'!$AE304,tblTecnicos[nombre],0),99)*100000+301,9000000000000+301)</f>
        <v/>
      </c>
      <c r="M308" s="3">
        <f>IF(K308=1,SUMPRODUCT(--($L$8:$L$1207&lt;L308))+1,"")</f>
        <v/>
      </c>
      <c r="N308" s="17">
        <f>IF(K308=1,N('ORDENES'!$M304),0)</f>
        <v/>
      </c>
      <c r="O308" s="17">
        <f>IF('ORDENES'!$T304="preventiva",N308,0)</f>
        <v/>
      </c>
      <c r="P308" s="17">
        <f>IF('ORDENES'!$T304="correctiva",N308,0)</f>
        <v/>
      </c>
      <c r="Q308" s="3">
        <f>IF(AND(K308=1,'ORDENES'!$N304="Pendiente"),1,0)</f>
        <v/>
      </c>
      <c r="R308" s="3">
        <f>IF(Q308=1,100000-N308*1000+301*0.01,9000000000000+301)</f>
        <v/>
      </c>
      <c r="S308" s="3">
        <f>IF(Q308=1,SUMPRODUCT(--($R$8:$R$1207&lt;R308))+1,"")</f>
        <v/>
      </c>
      <c r="T308" s="12">
        <f>IF(K308=1,'ORDENES'!$J304,"")</f>
        <v/>
      </c>
    </row>
    <row r="309">
      <c r="K309" s="3">
        <f>IF(AND(IF($B$3="(todos)",TRUE,'ORDENES'!$O305=$B$3),IF($D$3="(todos)",TRUE,'ORDENES'!$AF305=$D$3),IF($F$3="(todos)",TRUE,'ORDENES'!$X305=$F$3),IF($H$3="(todos)",TRUE,'ORDENES'!$W305=$H$3),'ORDENES'!$AD305=TRUE,'ORDENES'!$A305&lt;&gt;""),1,0)</f>
        <v/>
      </c>
      <c r="L309" s="3">
        <f>IF(K309=1,IFERROR(MATCH('ORDENES'!$R305,lista_dias,0),9)*1000000000+IFERROR(MATCH('ORDENES'!$AF305,lista_turnos,0),9)*10000000+IFERROR(MATCH('ORDENES'!$AE305,tblTecnicos[nombre],0),99)*100000+302,9000000000000+302)</f>
        <v/>
      </c>
      <c r="M309" s="3">
        <f>IF(K309=1,SUMPRODUCT(--($L$8:$L$1207&lt;L309))+1,"")</f>
        <v/>
      </c>
      <c r="N309" s="17">
        <f>IF(K309=1,N('ORDENES'!$M305),0)</f>
        <v/>
      </c>
      <c r="O309" s="17">
        <f>IF('ORDENES'!$T305="preventiva",N309,0)</f>
        <v/>
      </c>
      <c r="P309" s="17">
        <f>IF('ORDENES'!$T305="correctiva",N309,0)</f>
        <v/>
      </c>
      <c r="Q309" s="3">
        <f>IF(AND(K309=1,'ORDENES'!$N305="Pendiente"),1,0)</f>
        <v/>
      </c>
      <c r="R309" s="3">
        <f>IF(Q309=1,100000-N309*1000+302*0.01,9000000000000+302)</f>
        <v/>
      </c>
      <c r="S309" s="3">
        <f>IF(Q309=1,SUMPRODUCT(--($R$8:$R$1207&lt;R309))+1,"")</f>
        <v/>
      </c>
      <c r="T309" s="12">
        <f>IF(K309=1,'ORDENES'!$J305,"")</f>
        <v/>
      </c>
    </row>
    <row r="310">
      <c r="K310" s="3">
        <f>IF(AND(IF($B$3="(todos)",TRUE,'ORDENES'!$O306=$B$3),IF($D$3="(todos)",TRUE,'ORDENES'!$AF306=$D$3),IF($F$3="(todos)",TRUE,'ORDENES'!$X306=$F$3),IF($H$3="(todos)",TRUE,'ORDENES'!$W306=$H$3),'ORDENES'!$AD306=TRUE,'ORDENES'!$A306&lt;&gt;""),1,0)</f>
        <v/>
      </c>
      <c r="L310" s="3">
        <f>IF(K310=1,IFERROR(MATCH('ORDENES'!$R306,lista_dias,0),9)*1000000000+IFERROR(MATCH('ORDENES'!$AF306,lista_turnos,0),9)*10000000+IFERROR(MATCH('ORDENES'!$AE306,tblTecnicos[nombre],0),99)*100000+303,9000000000000+303)</f>
        <v/>
      </c>
      <c r="M310" s="3">
        <f>IF(K310=1,SUMPRODUCT(--($L$8:$L$1207&lt;L310))+1,"")</f>
        <v/>
      </c>
      <c r="N310" s="17">
        <f>IF(K310=1,N('ORDENES'!$M306),0)</f>
        <v/>
      </c>
      <c r="O310" s="17">
        <f>IF('ORDENES'!$T306="preventiva",N310,0)</f>
        <v/>
      </c>
      <c r="P310" s="17">
        <f>IF('ORDENES'!$T306="correctiva",N310,0)</f>
        <v/>
      </c>
      <c r="Q310" s="3">
        <f>IF(AND(K310=1,'ORDENES'!$N306="Pendiente"),1,0)</f>
        <v/>
      </c>
      <c r="R310" s="3">
        <f>IF(Q310=1,100000-N310*1000+303*0.01,9000000000000+303)</f>
        <v/>
      </c>
      <c r="S310" s="3">
        <f>IF(Q310=1,SUMPRODUCT(--($R$8:$R$1207&lt;R310))+1,"")</f>
        <v/>
      </c>
      <c r="T310" s="12">
        <f>IF(K310=1,'ORDENES'!$J306,"")</f>
        <v/>
      </c>
    </row>
    <row r="311">
      <c r="K311" s="3">
        <f>IF(AND(IF($B$3="(todos)",TRUE,'ORDENES'!$O307=$B$3),IF($D$3="(todos)",TRUE,'ORDENES'!$AF307=$D$3),IF($F$3="(todos)",TRUE,'ORDENES'!$X307=$F$3),IF($H$3="(todos)",TRUE,'ORDENES'!$W307=$H$3),'ORDENES'!$AD307=TRUE,'ORDENES'!$A307&lt;&gt;""),1,0)</f>
        <v/>
      </c>
      <c r="L311" s="3">
        <f>IF(K311=1,IFERROR(MATCH('ORDENES'!$R307,lista_dias,0),9)*1000000000+IFERROR(MATCH('ORDENES'!$AF307,lista_turnos,0),9)*10000000+IFERROR(MATCH('ORDENES'!$AE307,tblTecnicos[nombre],0),99)*100000+304,9000000000000+304)</f>
        <v/>
      </c>
      <c r="M311" s="3">
        <f>IF(K311=1,SUMPRODUCT(--($L$8:$L$1207&lt;L311))+1,"")</f>
        <v/>
      </c>
      <c r="N311" s="17">
        <f>IF(K311=1,N('ORDENES'!$M307),0)</f>
        <v/>
      </c>
      <c r="O311" s="17">
        <f>IF('ORDENES'!$T307="preventiva",N311,0)</f>
        <v/>
      </c>
      <c r="P311" s="17">
        <f>IF('ORDENES'!$T307="correctiva",N311,0)</f>
        <v/>
      </c>
      <c r="Q311" s="3">
        <f>IF(AND(K311=1,'ORDENES'!$N307="Pendiente"),1,0)</f>
        <v/>
      </c>
      <c r="R311" s="3">
        <f>IF(Q311=1,100000-N311*1000+304*0.01,9000000000000+304)</f>
        <v/>
      </c>
      <c r="S311" s="3">
        <f>IF(Q311=1,SUMPRODUCT(--($R$8:$R$1207&lt;R311))+1,"")</f>
        <v/>
      </c>
      <c r="T311" s="12">
        <f>IF(K311=1,'ORDENES'!$J307,"")</f>
        <v/>
      </c>
    </row>
    <row r="312">
      <c r="K312" s="3">
        <f>IF(AND(IF($B$3="(todos)",TRUE,'ORDENES'!$O308=$B$3),IF($D$3="(todos)",TRUE,'ORDENES'!$AF308=$D$3),IF($F$3="(todos)",TRUE,'ORDENES'!$X308=$F$3),IF($H$3="(todos)",TRUE,'ORDENES'!$W308=$H$3),'ORDENES'!$AD308=TRUE,'ORDENES'!$A308&lt;&gt;""),1,0)</f>
        <v/>
      </c>
      <c r="L312" s="3">
        <f>IF(K312=1,IFERROR(MATCH('ORDENES'!$R308,lista_dias,0),9)*1000000000+IFERROR(MATCH('ORDENES'!$AF308,lista_turnos,0),9)*10000000+IFERROR(MATCH('ORDENES'!$AE308,tblTecnicos[nombre],0),99)*100000+305,9000000000000+305)</f>
        <v/>
      </c>
      <c r="M312" s="3">
        <f>IF(K312=1,SUMPRODUCT(--($L$8:$L$1207&lt;L312))+1,"")</f>
        <v/>
      </c>
      <c r="N312" s="17">
        <f>IF(K312=1,N('ORDENES'!$M308),0)</f>
        <v/>
      </c>
      <c r="O312" s="17">
        <f>IF('ORDENES'!$T308="preventiva",N312,0)</f>
        <v/>
      </c>
      <c r="P312" s="17">
        <f>IF('ORDENES'!$T308="correctiva",N312,0)</f>
        <v/>
      </c>
      <c r="Q312" s="3">
        <f>IF(AND(K312=1,'ORDENES'!$N308="Pendiente"),1,0)</f>
        <v/>
      </c>
      <c r="R312" s="3">
        <f>IF(Q312=1,100000-N312*1000+305*0.01,9000000000000+305)</f>
        <v/>
      </c>
      <c r="S312" s="3">
        <f>IF(Q312=1,SUMPRODUCT(--($R$8:$R$1207&lt;R312))+1,"")</f>
        <v/>
      </c>
      <c r="T312" s="12">
        <f>IF(K312=1,'ORDENES'!$J308,"")</f>
        <v/>
      </c>
    </row>
    <row r="313">
      <c r="K313" s="3">
        <f>IF(AND(IF($B$3="(todos)",TRUE,'ORDENES'!$O309=$B$3),IF($D$3="(todos)",TRUE,'ORDENES'!$AF309=$D$3),IF($F$3="(todos)",TRUE,'ORDENES'!$X309=$F$3),IF($H$3="(todos)",TRUE,'ORDENES'!$W309=$H$3),'ORDENES'!$AD309=TRUE,'ORDENES'!$A309&lt;&gt;""),1,0)</f>
        <v/>
      </c>
      <c r="L313" s="3">
        <f>IF(K313=1,IFERROR(MATCH('ORDENES'!$R309,lista_dias,0),9)*1000000000+IFERROR(MATCH('ORDENES'!$AF309,lista_turnos,0),9)*10000000+IFERROR(MATCH('ORDENES'!$AE309,tblTecnicos[nombre],0),99)*100000+306,9000000000000+306)</f>
        <v/>
      </c>
      <c r="M313" s="3">
        <f>IF(K313=1,SUMPRODUCT(--($L$8:$L$1207&lt;L313))+1,"")</f>
        <v/>
      </c>
      <c r="N313" s="17">
        <f>IF(K313=1,N('ORDENES'!$M309),0)</f>
        <v/>
      </c>
      <c r="O313" s="17">
        <f>IF('ORDENES'!$T309="preventiva",N313,0)</f>
        <v/>
      </c>
      <c r="P313" s="17">
        <f>IF('ORDENES'!$T309="correctiva",N313,0)</f>
        <v/>
      </c>
      <c r="Q313" s="3">
        <f>IF(AND(K313=1,'ORDENES'!$N309="Pendiente"),1,0)</f>
        <v/>
      </c>
      <c r="R313" s="3">
        <f>IF(Q313=1,100000-N313*1000+306*0.01,9000000000000+306)</f>
        <v/>
      </c>
      <c r="S313" s="3">
        <f>IF(Q313=1,SUMPRODUCT(--($R$8:$R$1207&lt;R313))+1,"")</f>
        <v/>
      </c>
      <c r="T313" s="12">
        <f>IF(K313=1,'ORDENES'!$J309,"")</f>
        <v/>
      </c>
    </row>
    <row r="314">
      <c r="K314" s="3">
        <f>IF(AND(IF($B$3="(todos)",TRUE,'ORDENES'!$O310=$B$3),IF($D$3="(todos)",TRUE,'ORDENES'!$AF310=$D$3),IF($F$3="(todos)",TRUE,'ORDENES'!$X310=$F$3),IF($H$3="(todos)",TRUE,'ORDENES'!$W310=$H$3),'ORDENES'!$AD310=TRUE,'ORDENES'!$A310&lt;&gt;""),1,0)</f>
        <v/>
      </c>
      <c r="L314" s="3">
        <f>IF(K314=1,IFERROR(MATCH('ORDENES'!$R310,lista_dias,0),9)*1000000000+IFERROR(MATCH('ORDENES'!$AF310,lista_turnos,0),9)*10000000+IFERROR(MATCH('ORDENES'!$AE310,tblTecnicos[nombre],0),99)*100000+307,9000000000000+307)</f>
        <v/>
      </c>
      <c r="M314" s="3">
        <f>IF(K314=1,SUMPRODUCT(--($L$8:$L$1207&lt;L314))+1,"")</f>
        <v/>
      </c>
      <c r="N314" s="17">
        <f>IF(K314=1,N('ORDENES'!$M310),0)</f>
        <v/>
      </c>
      <c r="O314" s="17">
        <f>IF('ORDENES'!$T310="preventiva",N314,0)</f>
        <v/>
      </c>
      <c r="P314" s="17">
        <f>IF('ORDENES'!$T310="correctiva",N314,0)</f>
        <v/>
      </c>
      <c r="Q314" s="3">
        <f>IF(AND(K314=1,'ORDENES'!$N310="Pendiente"),1,0)</f>
        <v/>
      </c>
      <c r="R314" s="3">
        <f>IF(Q314=1,100000-N314*1000+307*0.01,9000000000000+307)</f>
        <v/>
      </c>
      <c r="S314" s="3">
        <f>IF(Q314=1,SUMPRODUCT(--($R$8:$R$1207&lt;R314))+1,"")</f>
        <v/>
      </c>
      <c r="T314" s="12">
        <f>IF(K314=1,'ORDENES'!$J310,"")</f>
        <v/>
      </c>
    </row>
    <row r="315">
      <c r="K315" s="3">
        <f>IF(AND(IF($B$3="(todos)",TRUE,'ORDENES'!$O311=$B$3),IF($D$3="(todos)",TRUE,'ORDENES'!$AF311=$D$3),IF($F$3="(todos)",TRUE,'ORDENES'!$X311=$F$3),IF($H$3="(todos)",TRUE,'ORDENES'!$W311=$H$3),'ORDENES'!$AD311=TRUE,'ORDENES'!$A311&lt;&gt;""),1,0)</f>
        <v/>
      </c>
      <c r="L315" s="3">
        <f>IF(K315=1,IFERROR(MATCH('ORDENES'!$R311,lista_dias,0),9)*1000000000+IFERROR(MATCH('ORDENES'!$AF311,lista_turnos,0),9)*10000000+IFERROR(MATCH('ORDENES'!$AE311,tblTecnicos[nombre],0),99)*100000+308,9000000000000+308)</f>
        <v/>
      </c>
      <c r="M315" s="3">
        <f>IF(K315=1,SUMPRODUCT(--($L$8:$L$1207&lt;L315))+1,"")</f>
        <v/>
      </c>
      <c r="N315" s="17">
        <f>IF(K315=1,N('ORDENES'!$M311),0)</f>
        <v/>
      </c>
      <c r="O315" s="17">
        <f>IF('ORDENES'!$T311="preventiva",N315,0)</f>
        <v/>
      </c>
      <c r="P315" s="17">
        <f>IF('ORDENES'!$T311="correctiva",N315,0)</f>
        <v/>
      </c>
      <c r="Q315" s="3">
        <f>IF(AND(K315=1,'ORDENES'!$N311="Pendiente"),1,0)</f>
        <v/>
      </c>
      <c r="R315" s="3">
        <f>IF(Q315=1,100000-N315*1000+308*0.01,9000000000000+308)</f>
        <v/>
      </c>
      <c r="S315" s="3">
        <f>IF(Q315=1,SUMPRODUCT(--($R$8:$R$1207&lt;R315))+1,"")</f>
        <v/>
      </c>
      <c r="T315" s="12">
        <f>IF(K315=1,'ORDENES'!$J311,"")</f>
        <v/>
      </c>
    </row>
    <row r="316">
      <c r="K316" s="3">
        <f>IF(AND(IF($B$3="(todos)",TRUE,'ORDENES'!$O312=$B$3),IF($D$3="(todos)",TRUE,'ORDENES'!$AF312=$D$3),IF($F$3="(todos)",TRUE,'ORDENES'!$X312=$F$3),IF($H$3="(todos)",TRUE,'ORDENES'!$W312=$H$3),'ORDENES'!$AD312=TRUE,'ORDENES'!$A312&lt;&gt;""),1,0)</f>
        <v/>
      </c>
      <c r="L316" s="3">
        <f>IF(K316=1,IFERROR(MATCH('ORDENES'!$R312,lista_dias,0),9)*1000000000+IFERROR(MATCH('ORDENES'!$AF312,lista_turnos,0),9)*10000000+IFERROR(MATCH('ORDENES'!$AE312,tblTecnicos[nombre],0),99)*100000+309,9000000000000+309)</f>
        <v/>
      </c>
      <c r="M316" s="3">
        <f>IF(K316=1,SUMPRODUCT(--($L$8:$L$1207&lt;L316))+1,"")</f>
        <v/>
      </c>
      <c r="N316" s="17">
        <f>IF(K316=1,N('ORDENES'!$M312),0)</f>
        <v/>
      </c>
      <c r="O316" s="17">
        <f>IF('ORDENES'!$T312="preventiva",N316,0)</f>
        <v/>
      </c>
      <c r="P316" s="17">
        <f>IF('ORDENES'!$T312="correctiva",N316,0)</f>
        <v/>
      </c>
      <c r="Q316" s="3">
        <f>IF(AND(K316=1,'ORDENES'!$N312="Pendiente"),1,0)</f>
        <v/>
      </c>
      <c r="R316" s="3">
        <f>IF(Q316=1,100000-N316*1000+309*0.01,9000000000000+309)</f>
        <v/>
      </c>
      <c r="S316" s="3">
        <f>IF(Q316=1,SUMPRODUCT(--($R$8:$R$1207&lt;R316))+1,"")</f>
        <v/>
      </c>
      <c r="T316" s="12">
        <f>IF(K316=1,'ORDENES'!$J312,"")</f>
        <v/>
      </c>
    </row>
    <row r="317">
      <c r="K317" s="3">
        <f>IF(AND(IF($B$3="(todos)",TRUE,'ORDENES'!$O313=$B$3),IF($D$3="(todos)",TRUE,'ORDENES'!$AF313=$D$3),IF($F$3="(todos)",TRUE,'ORDENES'!$X313=$F$3),IF($H$3="(todos)",TRUE,'ORDENES'!$W313=$H$3),'ORDENES'!$AD313=TRUE,'ORDENES'!$A313&lt;&gt;""),1,0)</f>
        <v/>
      </c>
      <c r="L317" s="3">
        <f>IF(K317=1,IFERROR(MATCH('ORDENES'!$R313,lista_dias,0),9)*1000000000+IFERROR(MATCH('ORDENES'!$AF313,lista_turnos,0),9)*10000000+IFERROR(MATCH('ORDENES'!$AE313,tblTecnicos[nombre],0),99)*100000+310,9000000000000+310)</f>
        <v/>
      </c>
      <c r="M317" s="3">
        <f>IF(K317=1,SUMPRODUCT(--($L$8:$L$1207&lt;L317))+1,"")</f>
        <v/>
      </c>
      <c r="N317" s="17">
        <f>IF(K317=1,N('ORDENES'!$M313),0)</f>
        <v/>
      </c>
      <c r="O317" s="17">
        <f>IF('ORDENES'!$T313="preventiva",N317,0)</f>
        <v/>
      </c>
      <c r="P317" s="17">
        <f>IF('ORDENES'!$T313="correctiva",N317,0)</f>
        <v/>
      </c>
      <c r="Q317" s="3">
        <f>IF(AND(K317=1,'ORDENES'!$N313="Pendiente"),1,0)</f>
        <v/>
      </c>
      <c r="R317" s="3">
        <f>IF(Q317=1,100000-N317*1000+310*0.01,9000000000000+310)</f>
        <v/>
      </c>
      <c r="S317" s="3">
        <f>IF(Q317=1,SUMPRODUCT(--($R$8:$R$1207&lt;R317))+1,"")</f>
        <v/>
      </c>
      <c r="T317" s="12">
        <f>IF(K317=1,'ORDENES'!$J313,"")</f>
        <v/>
      </c>
    </row>
    <row r="318">
      <c r="K318" s="3">
        <f>IF(AND(IF($B$3="(todos)",TRUE,'ORDENES'!$O314=$B$3),IF($D$3="(todos)",TRUE,'ORDENES'!$AF314=$D$3),IF($F$3="(todos)",TRUE,'ORDENES'!$X314=$F$3),IF($H$3="(todos)",TRUE,'ORDENES'!$W314=$H$3),'ORDENES'!$AD314=TRUE,'ORDENES'!$A314&lt;&gt;""),1,0)</f>
        <v/>
      </c>
      <c r="L318" s="3">
        <f>IF(K318=1,IFERROR(MATCH('ORDENES'!$R314,lista_dias,0),9)*1000000000+IFERROR(MATCH('ORDENES'!$AF314,lista_turnos,0),9)*10000000+IFERROR(MATCH('ORDENES'!$AE314,tblTecnicos[nombre],0),99)*100000+311,9000000000000+311)</f>
        <v/>
      </c>
      <c r="M318" s="3">
        <f>IF(K318=1,SUMPRODUCT(--($L$8:$L$1207&lt;L318))+1,"")</f>
        <v/>
      </c>
      <c r="N318" s="17">
        <f>IF(K318=1,N('ORDENES'!$M314),0)</f>
        <v/>
      </c>
      <c r="O318" s="17">
        <f>IF('ORDENES'!$T314="preventiva",N318,0)</f>
        <v/>
      </c>
      <c r="P318" s="17">
        <f>IF('ORDENES'!$T314="correctiva",N318,0)</f>
        <v/>
      </c>
      <c r="Q318" s="3">
        <f>IF(AND(K318=1,'ORDENES'!$N314="Pendiente"),1,0)</f>
        <v/>
      </c>
      <c r="R318" s="3">
        <f>IF(Q318=1,100000-N318*1000+311*0.01,9000000000000+311)</f>
        <v/>
      </c>
      <c r="S318" s="3">
        <f>IF(Q318=1,SUMPRODUCT(--($R$8:$R$1207&lt;R318))+1,"")</f>
        <v/>
      </c>
      <c r="T318" s="12">
        <f>IF(K318=1,'ORDENES'!$J314,"")</f>
        <v/>
      </c>
    </row>
    <row r="319">
      <c r="K319" s="3">
        <f>IF(AND(IF($B$3="(todos)",TRUE,'ORDENES'!$O315=$B$3),IF($D$3="(todos)",TRUE,'ORDENES'!$AF315=$D$3),IF($F$3="(todos)",TRUE,'ORDENES'!$X315=$F$3),IF($H$3="(todos)",TRUE,'ORDENES'!$W315=$H$3),'ORDENES'!$AD315=TRUE,'ORDENES'!$A315&lt;&gt;""),1,0)</f>
        <v/>
      </c>
      <c r="L319" s="3">
        <f>IF(K319=1,IFERROR(MATCH('ORDENES'!$R315,lista_dias,0),9)*1000000000+IFERROR(MATCH('ORDENES'!$AF315,lista_turnos,0),9)*10000000+IFERROR(MATCH('ORDENES'!$AE315,tblTecnicos[nombre],0),99)*100000+312,9000000000000+312)</f>
        <v/>
      </c>
      <c r="M319" s="3">
        <f>IF(K319=1,SUMPRODUCT(--($L$8:$L$1207&lt;L319))+1,"")</f>
        <v/>
      </c>
      <c r="N319" s="17">
        <f>IF(K319=1,N('ORDENES'!$M315),0)</f>
        <v/>
      </c>
      <c r="O319" s="17">
        <f>IF('ORDENES'!$T315="preventiva",N319,0)</f>
        <v/>
      </c>
      <c r="P319" s="17">
        <f>IF('ORDENES'!$T315="correctiva",N319,0)</f>
        <v/>
      </c>
      <c r="Q319" s="3">
        <f>IF(AND(K319=1,'ORDENES'!$N315="Pendiente"),1,0)</f>
        <v/>
      </c>
      <c r="R319" s="3">
        <f>IF(Q319=1,100000-N319*1000+312*0.01,9000000000000+312)</f>
        <v/>
      </c>
      <c r="S319" s="3">
        <f>IF(Q319=1,SUMPRODUCT(--($R$8:$R$1207&lt;R319))+1,"")</f>
        <v/>
      </c>
      <c r="T319" s="12">
        <f>IF(K319=1,'ORDENES'!$J315,"")</f>
        <v/>
      </c>
    </row>
    <row r="320">
      <c r="K320" s="3">
        <f>IF(AND(IF($B$3="(todos)",TRUE,'ORDENES'!$O316=$B$3),IF($D$3="(todos)",TRUE,'ORDENES'!$AF316=$D$3),IF($F$3="(todos)",TRUE,'ORDENES'!$X316=$F$3),IF($H$3="(todos)",TRUE,'ORDENES'!$W316=$H$3),'ORDENES'!$AD316=TRUE,'ORDENES'!$A316&lt;&gt;""),1,0)</f>
        <v/>
      </c>
      <c r="L320" s="3">
        <f>IF(K320=1,IFERROR(MATCH('ORDENES'!$R316,lista_dias,0),9)*1000000000+IFERROR(MATCH('ORDENES'!$AF316,lista_turnos,0),9)*10000000+IFERROR(MATCH('ORDENES'!$AE316,tblTecnicos[nombre],0),99)*100000+313,9000000000000+313)</f>
        <v/>
      </c>
      <c r="M320" s="3">
        <f>IF(K320=1,SUMPRODUCT(--($L$8:$L$1207&lt;L320))+1,"")</f>
        <v/>
      </c>
      <c r="N320" s="17">
        <f>IF(K320=1,N('ORDENES'!$M316),0)</f>
        <v/>
      </c>
      <c r="O320" s="17">
        <f>IF('ORDENES'!$T316="preventiva",N320,0)</f>
        <v/>
      </c>
      <c r="P320" s="17">
        <f>IF('ORDENES'!$T316="correctiva",N320,0)</f>
        <v/>
      </c>
      <c r="Q320" s="3">
        <f>IF(AND(K320=1,'ORDENES'!$N316="Pendiente"),1,0)</f>
        <v/>
      </c>
      <c r="R320" s="3">
        <f>IF(Q320=1,100000-N320*1000+313*0.01,9000000000000+313)</f>
        <v/>
      </c>
      <c r="S320" s="3">
        <f>IF(Q320=1,SUMPRODUCT(--($R$8:$R$1207&lt;R320))+1,"")</f>
        <v/>
      </c>
      <c r="T320" s="12">
        <f>IF(K320=1,'ORDENES'!$J316,"")</f>
        <v/>
      </c>
    </row>
    <row r="321">
      <c r="K321" s="3">
        <f>IF(AND(IF($B$3="(todos)",TRUE,'ORDENES'!$O317=$B$3),IF($D$3="(todos)",TRUE,'ORDENES'!$AF317=$D$3),IF($F$3="(todos)",TRUE,'ORDENES'!$X317=$F$3),IF($H$3="(todos)",TRUE,'ORDENES'!$W317=$H$3),'ORDENES'!$AD317=TRUE,'ORDENES'!$A317&lt;&gt;""),1,0)</f>
        <v/>
      </c>
      <c r="L321" s="3">
        <f>IF(K321=1,IFERROR(MATCH('ORDENES'!$R317,lista_dias,0),9)*1000000000+IFERROR(MATCH('ORDENES'!$AF317,lista_turnos,0),9)*10000000+IFERROR(MATCH('ORDENES'!$AE317,tblTecnicos[nombre],0),99)*100000+314,9000000000000+314)</f>
        <v/>
      </c>
      <c r="M321" s="3">
        <f>IF(K321=1,SUMPRODUCT(--($L$8:$L$1207&lt;L321))+1,"")</f>
        <v/>
      </c>
      <c r="N321" s="17">
        <f>IF(K321=1,N('ORDENES'!$M317),0)</f>
        <v/>
      </c>
      <c r="O321" s="17">
        <f>IF('ORDENES'!$T317="preventiva",N321,0)</f>
        <v/>
      </c>
      <c r="P321" s="17">
        <f>IF('ORDENES'!$T317="correctiva",N321,0)</f>
        <v/>
      </c>
      <c r="Q321" s="3">
        <f>IF(AND(K321=1,'ORDENES'!$N317="Pendiente"),1,0)</f>
        <v/>
      </c>
      <c r="R321" s="3">
        <f>IF(Q321=1,100000-N321*1000+314*0.01,9000000000000+314)</f>
        <v/>
      </c>
      <c r="S321" s="3">
        <f>IF(Q321=1,SUMPRODUCT(--($R$8:$R$1207&lt;R321))+1,"")</f>
        <v/>
      </c>
      <c r="T321" s="12">
        <f>IF(K321=1,'ORDENES'!$J317,"")</f>
        <v/>
      </c>
    </row>
    <row r="322">
      <c r="K322" s="3">
        <f>IF(AND(IF($B$3="(todos)",TRUE,'ORDENES'!$O318=$B$3),IF($D$3="(todos)",TRUE,'ORDENES'!$AF318=$D$3),IF($F$3="(todos)",TRUE,'ORDENES'!$X318=$F$3),IF($H$3="(todos)",TRUE,'ORDENES'!$W318=$H$3),'ORDENES'!$AD318=TRUE,'ORDENES'!$A318&lt;&gt;""),1,0)</f>
        <v/>
      </c>
      <c r="L322" s="3">
        <f>IF(K322=1,IFERROR(MATCH('ORDENES'!$R318,lista_dias,0),9)*1000000000+IFERROR(MATCH('ORDENES'!$AF318,lista_turnos,0),9)*10000000+IFERROR(MATCH('ORDENES'!$AE318,tblTecnicos[nombre],0),99)*100000+315,9000000000000+315)</f>
        <v/>
      </c>
      <c r="M322" s="3">
        <f>IF(K322=1,SUMPRODUCT(--($L$8:$L$1207&lt;L322))+1,"")</f>
        <v/>
      </c>
      <c r="N322" s="17">
        <f>IF(K322=1,N('ORDENES'!$M318),0)</f>
        <v/>
      </c>
      <c r="O322" s="17">
        <f>IF('ORDENES'!$T318="preventiva",N322,0)</f>
        <v/>
      </c>
      <c r="P322" s="17">
        <f>IF('ORDENES'!$T318="correctiva",N322,0)</f>
        <v/>
      </c>
      <c r="Q322" s="3">
        <f>IF(AND(K322=1,'ORDENES'!$N318="Pendiente"),1,0)</f>
        <v/>
      </c>
      <c r="R322" s="3">
        <f>IF(Q322=1,100000-N322*1000+315*0.01,9000000000000+315)</f>
        <v/>
      </c>
      <c r="S322" s="3">
        <f>IF(Q322=1,SUMPRODUCT(--($R$8:$R$1207&lt;R322))+1,"")</f>
        <v/>
      </c>
      <c r="T322" s="12">
        <f>IF(K322=1,'ORDENES'!$J318,"")</f>
        <v/>
      </c>
    </row>
    <row r="323">
      <c r="K323" s="3">
        <f>IF(AND(IF($B$3="(todos)",TRUE,'ORDENES'!$O319=$B$3),IF($D$3="(todos)",TRUE,'ORDENES'!$AF319=$D$3),IF($F$3="(todos)",TRUE,'ORDENES'!$X319=$F$3),IF($H$3="(todos)",TRUE,'ORDENES'!$W319=$H$3),'ORDENES'!$AD319=TRUE,'ORDENES'!$A319&lt;&gt;""),1,0)</f>
        <v/>
      </c>
      <c r="L323" s="3">
        <f>IF(K323=1,IFERROR(MATCH('ORDENES'!$R319,lista_dias,0),9)*1000000000+IFERROR(MATCH('ORDENES'!$AF319,lista_turnos,0),9)*10000000+IFERROR(MATCH('ORDENES'!$AE319,tblTecnicos[nombre],0),99)*100000+316,9000000000000+316)</f>
        <v/>
      </c>
      <c r="M323" s="3">
        <f>IF(K323=1,SUMPRODUCT(--($L$8:$L$1207&lt;L323))+1,"")</f>
        <v/>
      </c>
      <c r="N323" s="17">
        <f>IF(K323=1,N('ORDENES'!$M319),0)</f>
        <v/>
      </c>
      <c r="O323" s="17">
        <f>IF('ORDENES'!$T319="preventiva",N323,0)</f>
        <v/>
      </c>
      <c r="P323" s="17">
        <f>IF('ORDENES'!$T319="correctiva",N323,0)</f>
        <v/>
      </c>
      <c r="Q323" s="3">
        <f>IF(AND(K323=1,'ORDENES'!$N319="Pendiente"),1,0)</f>
        <v/>
      </c>
      <c r="R323" s="3">
        <f>IF(Q323=1,100000-N323*1000+316*0.01,9000000000000+316)</f>
        <v/>
      </c>
      <c r="S323" s="3">
        <f>IF(Q323=1,SUMPRODUCT(--($R$8:$R$1207&lt;R323))+1,"")</f>
        <v/>
      </c>
      <c r="T323" s="12">
        <f>IF(K323=1,'ORDENES'!$J319,"")</f>
        <v/>
      </c>
    </row>
    <row r="324">
      <c r="K324" s="3">
        <f>IF(AND(IF($B$3="(todos)",TRUE,'ORDENES'!$O320=$B$3),IF($D$3="(todos)",TRUE,'ORDENES'!$AF320=$D$3),IF($F$3="(todos)",TRUE,'ORDENES'!$X320=$F$3),IF($H$3="(todos)",TRUE,'ORDENES'!$W320=$H$3),'ORDENES'!$AD320=TRUE,'ORDENES'!$A320&lt;&gt;""),1,0)</f>
        <v/>
      </c>
      <c r="L324" s="3">
        <f>IF(K324=1,IFERROR(MATCH('ORDENES'!$R320,lista_dias,0),9)*1000000000+IFERROR(MATCH('ORDENES'!$AF320,lista_turnos,0),9)*10000000+IFERROR(MATCH('ORDENES'!$AE320,tblTecnicos[nombre],0),99)*100000+317,9000000000000+317)</f>
        <v/>
      </c>
      <c r="M324" s="3">
        <f>IF(K324=1,SUMPRODUCT(--($L$8:$L$1207&lt;L324))+1,"")</f>
        <v/>
      </c>
      <c r="N324" s="17">
        <f>IF(K324=1,N('ORDENES'!$M320),0)</f>
        <v/>
      </c>
      <c r="O324" s="17">
        <f>IF('ORDENES'!$T320="preventiva",N324,0)</f>
        <v/>
      </c>
      <c r="P324" s="17">
        <f>IF('ORDENES'!$T320="correctiva",N324,0)</f>
        <v/>
      </c>
      <c r="Q324" s="3">
        <f>IF(AND(K324=1,'ORDENES'!$N320="Pendiente"),1,0)</f>
        <v/>
      </c>
      <c r="R324" s="3">
        <f>IF(Q324=1,100000-N324*1000+317*0.01,9000000000000+317)</f>
        <v/>
      </c>
      <c r="S324" s="3">
        <f>IF(Q324=1,SUMPRODUCT(--($R$8:$R$1207&lt;R324))+1,"")</f>
        <v/>
      </c>
      <c r="T324" s="12">
        <f>IF(K324=1,'ORDENES'!$J320,"")</f>
        <v/>
      </c>
    </row>
    <row r="325">
      <c r="K325" s="3">
        <f>IF(AND(IF($B$3="(todos)",TRUE,'ORDENES'!$O321=$B$3),IF($D$3="(todos)",TRUE,'ORDENES'!$AF321=$D$3),IF($F$3="(todos)",TRUE,'ORDENES'!$X321=$F$3),IF($H$3="(todos)",TRUE,'ORDENES'!$W321=$H$3),'ORDENES'!$AD321=TRUE,'ORDENES'!$A321&lt;&gt;""),1,0)</f>
        <v/>
      </c>
      <c r="L325" s="3">
        <f>IF(K325=1,IFERROR(MATCH('ORDENES'!$R321,lista_dias,0),9)*1000000000+IFERROR(MATCH('ORDENES'!$AF321,lista_turnos,0),9)*10000000+IFERROR(MATCH('ORDENES'!$AE321,tblTecnicos[nombre],0),99)*100000+318,9000000000000+318)</f>
        <v/>
      </c>
      <c r="M325" s="3">
        <f>IF(K325=1,SUMPRODUCT(--($L$8:$L$1207&lt;L325))+1,"")</f>
        <v/>
      </c>
      <c r="N325" s="17">
        <f>IF(K325=1,N('ORDENES'!$M321),0)</f>
        <v/>
      </c>
      <c r="O325" s="17">
        <f>IF('ORDENES'!$T321="preventiva",N325,0)</f>
        <v/>
      </c>
      <c r="P325" s="17">
        <f>IF('ORDENES'!$T321="correctiva",N325,0)</f>
        <v/>
      </c>
      <c r="Q325" s="3">
        <f>IF(AND(K325=1,'ORDENES'!$N321="Pendiente"),1,0)</f>
        <v/>
      </c>
      <c r="R325" s="3">
        <f>IF(Q325=1,100000-N325*1000+318*0.01,9000000000000+318)</f>
        <v/>
      </c>
      <c r="S325" s="3">
        <f>IF(Q325=1,SUMPRODUCT(--($R$8:$R$1207&lt;R325))+1,"")</f>
        <v/>
      </c>
      <c r="T325" s="12">
        <f>IF(K325=1,'ORDENES'!$J321,"")</f>
        <v/>
      </c>
    </row>
    <row r="326">
      <c r="K326" s="3">
        <f>IF(AND(IF($B$3="(todos)",TRUE,'ORDENES'!$O322=$B$3),IF($D$3="(todos)",TRUE,'ORDENES'!$AF322=$D$3),IF($F$3="(todos)",TRUE,'ORDENES'!$X322=$F$3),IF($H$3="(todos)",TRUE,'ORDENES'!$W322=$H$3),'ORDENES'!$AD322=TRUE,'ORDENES'!$A322&lt;&gt;""),1,0)</f>
        <v/>
      </c>
      <c r="L326" s="3">
        <f>IF(K326=1,IFERROR(MATCH('ORDENES'!$R322,lista_dias,0),9)*1000000000+IFERROR(MATCH('ORDENES'!$AF322,lista_turnos,0),9)*10000000+IFERROR(MATCH('ORDENES'!$AE322,tblTecnicos[nombre],0),99)*100000+319,9000000000000+319)</f>
        <v/>
      </c>
      <c r="M326" s="3">
        <f>IF(K326=1,SUMPRODUCT(--($L$8:$L$1207&lt;L326))+1,"")</f>
        <v/>
      </c>
      <c r="N326" s="17">
        <f>IF(K326=1,N('ORDENES'!$M322),0)</f>
        <v/>
      </c>
      <c r="O326" s="17">
        <f>IF('ORDENES'!$T322="preventiva",N326,0)</f>
        <v/>
      </c>
      <c r="P326" s="17">
        <f>IF('ORDENES'!$T322="correctiva",N326,0)</f>
        <v/>
      </c>
      <c r="Q326" s="3">
        <f>IF(AND(K326=1,'ORDENES'!$N322="Pendiente"),1,0)</f>
        <v/>
      </c>
      <c r="R326" s="3">
        <f>IF(Q326=1,100000-N326*1000+319*0.01,9000000000000+319)</f>
        <v/>
      </c>
      <c r="S326" s="3">
        <f>IF(Q326=1,SUMPRODUCT(--($R$8:$R$1207&lt;R326))+1,"")</f>
        <v/>
      </c>
      <c r="T326" s="12">
        <f>IF(K326=1,'ORDENES'!$J322,"")</f>
        <v/>
      </c>
    </row>
    <row r="327">
      <c r="K327" s="3">
        <f>IF(AND(IF($B$3="(todos)",TRUE,'ORDENES'!$O323=$B$3),IF($D$3="(todos)",TRUE,'ORDENES'!$AF323=$D$3),IF($F$3="(todos)",TRUE,'ORDENES'!$X323=$F$3),IF($H$3="(todos)",TRUE,'ORDENES'!$W323=$H$3),'ORDENES'!$AD323=TRUE,'ORDENES'!$A323&lt;&gt;""),1,0)</f>
        <v/>
      </c>
      <c r="L327" s="3">
        <f>IF(K327=1,IFERROR(MATCH('ORDENES'!$R323,lista_dias,0),9)*1000000000+IFERROR(MATCH('ORDENES'!$AF323,lista_turnos,0),9)*10000000+IFERROR(MATCH('ORDENES'!$AE323,tblTecnicos[nombre],0),99)*100000+320,9000000000000+320)</f>
        <v/>
      </c>
      <c r="M327" s="3">
        <f>IF(K327=1,SUMPRODUCT(--($L$8:$L$1207&lt;L327))+1,"")</f>
        <v/>
      </c>
      <c r="N327" s="17">
        <f>IF(K327=1,N('ORDENES'!$M323),0)</f>
        <v/>
      </c>
      <c r="O327" s="17">
        <f>IF('ORDENES'!$T323="preventiva",N327,0)</f>
        <v/>
      </c>
      <c r="P327" s="17">
        <f>IF('ORDENES'!$T323="correctiva",N327,0)</f>
        <v/>
      </c>
      <c r="Q327" s="3">
        <f>IF(AND(K327=1,'ORDENES'!$N323="Pendiente"),1,0)</f>
        <v/>
      </c>
      <c r="R327" s="3">
        <f>IF(Q327=1,100000-N327*1000+320*0.01,9000000000000+320)</f>
        <v/>
      </c>
      <c r="S327" s="3">
        <f>IF(Q327=1,SUMPRODUCT(--($R$8:$R$1207&lt;R327))+1,"")</f>
        <v/>
      </c>
      <c r="T327" s="12">
        <f>IF(K327=1,'ORDENES'!$J323,"")</f>
        <v/>
      </c>
    </row>
    <row r="328">
      <c r="K328" s="3">
        <f>IF(AND(IF($B$3="(todos)",TRUE,'ORDENES'!$O324=$B$3),IF($D$3="(todos)",TRUE,'ORDENES'!$AF324=$D$3),IF($F$3="(todos)",TRUE,'ORDENES'!$X324=$F$3),IF($H$3="(todos)",TRUE,'ORDENES'!$W324=$H$3),'ORDENES'!$AD324=TRUE,'ORDENES'!$A324&lt;&gt;""),1,0)</f>
        <v/>
      </c>
      <c r="L328" s="3">
        <f>IF(K328=1,IFERROR(MATCH('ORDENES'!$R324,lista_dias,0),9)*1000000000+IFERROR(MATCH('ORDENES'!$AF324,lista_turnos,0),9)*10000000+IFERROR(MATCH('ORDENES'!$AE324,tblTecnicos[nombre],0),99)*100000+321,9000000000000+321)</f>
        <v/>
      </c>
      <c r="M328" s="3">
        <f>IF(K328=1,SUMPRODUCT(--($L$8:$L$1207&lt;L328))+1,"")</f>
        <v/>
      </c>
      <c r="N328" s="17">
        <f>IF(K328=1,N('ORDENES'!$M324),0)</f>
        <v/>
      </c>
      <c r="O328" s="17">
        <f>IF('ORDENES'!$T324="preventiva",N328,0)</f>
        <v/>
      </c>
      <c r="P328" s="17">
        <f>IF('ORDENES'!$T324="correctiva",N328,0)</f>
        <v/>
      </c>
      <c r="Q328" s="3">
        <f>IF(AND(K328=1,'ORDENES'!$N324="Pendiente"),1,0)</f>
        <v/>
      </c>
      <c r="R328" s="3">
        <f>IF(Q328=1,100000-N328*1000+321*0.01,9000000000000+321)</f>
        <v/>
      </c>
      <c r="S328" s="3">
        <f>IF(Q328=1,SUMPRODUCT(--($R$8:$R$1207&lt;R328))+1,"")</f>
        <v/>
      </c>
      <c r="T328" s="12">
        <f>IF(K328=1,'ORDENES'!$J324,"")</f>
        <v/>
      </c>
    </row>
    <row r="329">
      <c r="K329" s="3">
        <f>IF(AND(IF($B$3="(todos)",TRUE,'ORDENES'!$O325=$B$3),IF($D$3="(todos)",TRUE,'ORDENES'!$AF325=$D$3),IF($F$3="(todos)",TRUE,'ORDENES'!$X325=$F$3),IF($H$3="(todos)",TRUE,'ORDENES'!$W325=$H$3),'ORDENES'!$AD325=TRUE,'ORDENES'!$A325&lt;&gt;""),1,0)</f>
        <v/>
      </c>
      <c r="L329" s="3">
        <f>IF(K329=1,IFERROR(MATCH('ORDENES'!$R325,lista_dias,0),9)*1000000000+IFERROR(MATCH('ORDENES'!$AF325,lista_turnos,0),9)*10000000+IFERROR(MATCH('ORDENES'!$AE325,tblTecnicos[nombre],0),99)*100000+322,9000000000000+322)</f>
        <v/>
      </c>
      <c r="M329" s="3">
        <f>IF(K329=1,SUMPRODUCT(--($L$8:$L$1207&lt;L329))+1,"")</f>
        <v/>
      </c>
      <c r="N329" s="17">
        <f>IF(K329=1,N('ORDENES'!$M325),0)</f>
        <v/>
      </c>
      <c r="O329" s="17">
        <f>IF('ORDENES'!$T325="preventiva",N329,0)</f>
        <v/>
      </c>
      <c r="P329" s="17">
        <f>IF('ORDENES'!$T325="correctiva",N329,0)</f>
        <v/>
      </c>
      <c r="Q329" s="3">
        <f>IF(AND(K329=1,'ORDENES'!$N325="Pendiente"),1,0)</f>
        <v/>
      </c>
      <c r="R329" s="3">
        <f>IF(Q329=1,100000-N329*1000+322*0.01,9000000000000+322)</f>
        <v/>
      </c>
      <c r="S329" s="3">
        <f>IF(Q329=1,SUMPRODUCT(--($R$8:$R$1207&lt;R329))+1,"")</f>
        <v/>
      </c>
      <c r="T329" s="12">
        <f>IF(K329=1,'ORDENES'!$J325,"")</f>
        <v/>
      </c>
    </row>
    <row r="330">
      <c r="K330" s="3">
        <f>IF(AND(IF($B$3="(todos)",TRUE,'ORDENES'!$O326=$B$3),IF($D$3="(todos)",TRUE,'ORDENES'!$AF326=$D$3),IF($F$3="(todos)",TRUE,'ORDENES'!$X326=$F$3),IF($H$3="(todos)",TRUE,'ORDENES'!$W326=$H$3),'ORDENES'!$AD326=TRUE,'ORDENES'!$A326&lt;&gt;""),1,0)</f>
        <v/>
      </c>
      <c r="L330" s="3">
        <f>IF(K330=1,IFERROR(MATCH('ORDENES'!$R326,lista_dias,0),9)*1000000000+IFERROR(MATCH('ORDENES'!$AF326,lista_turnos,0),9)*10000000+IFERROR(MATCH('ORDENES'!$AE326,tblTecnicos[nombre],0),99)*100000+323,9000000000000+323)</f>
        <v/>
      </c>
      <c r="M330" s="3">
        <f>IF(K330=1,SUMPRODUCT(--($L$8:$L$1207&lt;L330))+1,"")</f>
        <v/>
      </c>
      <c r="N330" s="17">
        <f>IF(K330=1,N('ORDENES'!$M326),0)</f>
        <v/>
      </c>
      <c r="O330" s="17">
        <f>IF('ORDENES'!$T326="preventiva",N330,0)</f>
        <v/>
      </c>
      <c r="P330" s="17">
        <f>IF('ORDENES'!$T326="correctiva",N330,0)</f>
        <v/>
      </c>
      <c r="Q330" s="3">
        <f>IF(AND(K330=1,'ORDENES'!$N326="Pendiente"),1,0)</f>
        <v/>
      </c>
      <c r="R330" s="3">
        <f>IF(Q330=1,100000-N330*1000+323*0.01,9000000000000+323)</f>
        <v/>
      </c>
      <c r="S330" s="3">
        <f>IF(Q330=1,SUMPRODUCT(--($R$8:$R$1207&lt;R330))+1,"")</f>
        <v/>
      </c>
      <c r="T330" s="12">
        <f>IF(K330=1,'ORDENES'!$J326,"")</f>
        <v/>
      </c>
    </row>
    <row r="331">
      <c r="K331" s="3">
        <f>IF(AND(IF($B$3="(todos)",TRUE,'ORDENES'!$O327=$B$3),IF($D$3="(todos)",TRUE,'ORDENES'!$AF327=$D$3),IF($F$3="(todos)",TRUE,'ORDENES'!$X327=$F$3),IF($H$3="(todos)",TRUE,'ORDENES'!$W327=$H$3),'ORDENES'!$AD327=TRUE,'ORDENES'!$A327&lt;&gt;""),1,0)</f>
        <v/>
      </c>
      <c r="L331" s="3">
        <f>IF(K331=1,IFERROR(MATCH('ORDENES'!$R327,lista_dias,0),9)*1000000000+IFERROR(MATCH('ORDENES'!$AF327,lista_turnos,0),9)*10000000+IFERROR(MATCH('ORDENES'!$AE327,tblTecnicos[nombre],0),99)*100000+324,9000000000000+324)</f>
        <v/>
      </c>
      <c r="M331" s="3">
        <f>IF(K331=1,SUMPRODUCT(--($L$8:$L$1207&lt;L331))+1,"")</f>
        <v/>
      </c>
      <c r="N331" s="17">
        <f>IF(K331=1,N('ORDENES'!$M327),0)</f>
        <v/>
      </c>
      <c r="O331" s="17">
        <f>IF('ORDENES'!$T327="preventiva",N331,0)</f>
        <v/>
      </c>
      <c r="P331" s="17">
        <f>IF('ORDENES'!$T327="correctiva",N331,0)</f>
        <v/>
      </c>
      <c r="Q331" s="3">
        <f>IF(AND(K331=1,'ORDENES'!$N327="Pendiente"),1,0)</f>
        <v/>
      </c>
      <c r="R331" s="3">
        <f>IF(Q331=1,100000-N331*1000+324*0.01,9000000000000+324)</f>
        <v/>
      </c>
      <c r="S331" s="3">
        <f>IF(Q331=1,SUMPRODUCT(--($R$8:$R$1207&lt;R331))+1,"")</f>
        <v/>
      </c>
      <c r="T331" s="12">
        <f>IF(K331=1,'ORDENES'!$J327,"")</f>
        <v/>
      </c>
    </row>
    <row r="332">
      <c r="K332" s="3">
        <f>IF(AND(IF($B$3="(todos)",TRUE,'ORDENES'!$O328=$B$3),IF($D$3="(todos)",TRUE,'ORDENES'!$AF328=$D$3),IF($F$3="(todos)",TRUE,'ORDENES'!$X328=$F$3),IF($H$3="(todos)",TRUE,'ORDENES'!$W328=$H$3),'ORDENES'!$AD328=TRUE,'ORDENES'!$A328&lt;&gt;""),1,0)</f>
        <v/>
      </c>
      <c r="L332" s="3">
        <f>IF(K332=1,IFERROR(MATCH('ORDENES'!$R328,lista_dias,0),9)*1000000000+IFERROR(MATCH('ORDENES'!$AF328,lista_turnos,0),9)*10000000+IFERROR(MATCH('ORDENES'!$AE328,tblTecnicos[nombre],0),99)*100000+325,9000000000000+325)</f>
        <v/>
      </c>
      <c r="M332" s="3">
        <f>IF(K332=1,SUMPRODUCT(--($L$8:$L$1207&lt;L332))+1,"")</f>
        <v/>
      </c>
      <c r="N332" s="17">
        <f>IF(K332=1,N('ORDENES'!$M328),0)</f>
        <v/>
      </c>
      <c r="O332" s="17">
        <f>IF('ORDENES'!$T328="preventiva",N332,0)</f>
        <v/>
      </c>
      <c r="P332" s="17">
        <f>IF('ORDENES'!$T328="correctiva",N332,0)</f>
        <v/>
      </c>
      <c r="Q332" s="3">
        <f>IF(AND(K332=1,'ORDENES'!$N328="Pendiente"),1,0)</f>
        <v/>
      </c>
      <c r="R332" s="3">
        <f>IF(Q332=1,100000-N332*1000+325*0.01,9000000000000+325)</f>
        <v/>
      </c>
      <c r="S332" s="3">
        <f>IF(Q332=1,SUMPRODUCT(--($R$8:$R$1207&lt;R332))+1,"")</f>
        <v/>
      </c>
      <c r="T332" s="12">
        <f>IF(K332=1,'ORDENES'!$J328,"")</f>
        <v/>
      </c>
    </row>
    <row r="333">
      <c r="K333" s="3">
        <f>IF(AND(IF($B$3="(todos)",TRUE,'ORDENES'!$O329=$B$3),IF($D$3="(todos)",TRUE,'ORDENES'!$AF329=$D$3),IF($F$3="(todos)",TRUE,'ORDENES'!$X329=$F$3),IF($H$3="(todos)",TRUE,'ORDENES'!$W329=$H$3),'ORDENES'!$AD329=TRUE,'ORDENES'!$A329&lt;&gt;""),1,0)</f>
        <v/>
      </c>
      <c r="L333" s="3">
        <f>IF(K333=1,IFERROR(MATCH('ORDENES'!$R329,lista_dias,0),9)*1000000000+IFERROR(MATCH('ORDENES'!$AF329,lista_turnos,0),9)*10000000+IFERROR(MATCH('ORDENES'!$AE329,tblTecnicos[nombre],0),99)*100000+326,9000000000000+326)</f>
        <v/>
      </c>
      <c r="M333" s="3">
        <f>IF(K333=1,SUMPRODUCT(--($L$8:$L$1207&lt;L333))+1,"")</f>
        <v/>
      </c>
      <c r="N333" s="17">
        <f>IF(K333=1,N('ORDENES'!$M329),0)</f>
        <v/>
      </c>
      <c r="O333" s="17">
        <f>IF('ORDENES'!$T329="preventiva",N333,0)</f>
        <v/>
      </c>
      <c r="P333" s="17">
        <f>IF('ORDENES'!$T329="correctiva",N333,0)</f>
        <v/>
      </c>
      <c r="Q333" s="3">
        <f>IF(AND(K333=1,'ORDENES'!$N329="Pendiente"),1,0)</f>
        <v/>
      </c>
      <c r="R333" s="3">
        <f>IF(Q333=1,100000-N333*1000+326*0.01,9000000000000+326)</f>
        <v/>
      </c>
      <c r="S333" s="3">
        <f>IF(Q333=1,SUMPRODUCT(--($R$8:$R$1207&lt;R333))+1,"")</f>
        <v/>
      </c>
      <c r="T333" s="12">
        <f>IF(K333=1,'ORDENES'!$J329,"")</f>
        <v/>
      </c>
    </row>
    <row r="334">
      <c r="K334" s="3">
        <f>IF(AND(IF($B$3="(todos)",TRUE,'ORDENES'!$O330=$B$3),IF($D$3="(todos)",TRUE,'ORDENES'!$AF330=$D$3),IF($F$3="(todos)",TRUE,'ORDENES'!$X330=$F$3),IF($H$3="(todos)",TRUE,'ORDENES'!$W330=$H$3),'ORDENES'!$AD330=TRUE,'ORDENES'!$A330&lt;&gt;""),1,0)</f>
        <v/>
      </c>
      <c r="L334" s="3">
        <f>IF(K334=1,IFERROR(MATCH('ORDENES'!$R330,lista_dias,0),9)*1000000000+IFERROR(MATCH('ORDENES'!$AF330,lista_turnos,0),9)*10000000+IFERROR(MATCH('ORDENES'!$AE330,tblTecnicos[nombre],0),99)*100000+327,9000000000000+327)</f>
        <v/>
      </c>
      <c r="M334" s="3">
        <f>IF(K334=1,SUMPRODUCT(--($L$8:$L$1207&lt;L334))+1,"")</f>
        <v/>
      </c>
      <c r="N334" s="17">
        <f>IF(K334=1,N('ORDENES'!$M330),0)</f>
        <v/>
      </c>
      <c r="O334" s="17">
        <f>IF('ORDENES'!$T330="preventiva",N334,0)</f>
        <v/>
      </c>
      <c r="P334" s="17">
        <f>IF('ORDENES'!$T330="correctiva",N334,0)</f>
        <v/>
      </c>
      <c r="Q334" s="3">
        <f>IF(AND(K334=1,'ORDENES'!$N330="Pendiente"),1,0)</f>
        <v/>
      </c>
      <c r="R334" s="3">
        <f>IF(Q334=1,100000-N334*1000+327*0.01,9000000000000+327)</f>
        <v/>
      </c>
      <c r="S334" s="3">
        <f>IF(Q334=1,SUMPRODUCT(--($R$8:$R$1207&lt;R334))+1,"")</f>
        <v/>
      </c>
      <c r="T334" s="12">
        <f>IF(K334=1,'ORDENES'!$J330,"")</f>
        <v/>
      </c>
    </row>
    <row r="335">
      <c r="K335" s="3">
        <f>IF(AND(IF($B$3="(todos)",TRUE,'ORDENES'!$O331=$B$3),IF($D$3="(todos)",TRUE,'ORDENES'!$AF331=$D$3),IF($F$3="(todos)",TRUE,'ORDENES'!$X331=$F$3),IF($H$3="(todos)",TRUE,'ORDENES'!$W331=$H$3),'ORDENES'!$AD331=TRUE,'ORDENES'!$A331&lt;&gt;""),1,0)</f>
        <v/>
      </c>
      <c r="L335" s="3">
        <f>IF(K335=1,IFERROR(MATCH('ORDENES'!$R331,lista_dias,0),9)*1000000000+IFERROR(MATCH('ORDENES'!$AF331,lista_turnos,0),9)*10000000+IFERROR(MATCH('ORDENES'!$AE331,tblTecnicos[nombre],0),99)*100000+328,9000000000000+328)</f>
        <v/>
      </c>
      <c r="M335" s="3">
        <f>IF(K335=1,SUMPRODUCT(--($L$8:$L$1207&lt;L335))+1,"")</f>
        <v/>
      </c>
      <c r="N335" s="17">
        <f>IF(K335=1,N('ORDENES'!$M331),0)</f>
        <v/>
      </c>
      <c r="O335" s="17">
        <f>IF('ORDENES'!$T331="preventiva",N335,0)</f>
        <v/>
      </c>
      <c r="P335" s="17">
        <f>IF('ORDENES'!$T331="correctiva",N335,0)</f>
        <v/>
      </c>
      <c r="Q335" s="3">
        <f>IF(AND(K335=1,'ORDENES'!$N331="Pendiente"),1,0)</f>
        <v/>
      </c>
      <c r="R335" s="3">
        <f>IF(Q335=1,100000-N335*1000+328*0.01,9000000000000+328)</f>
        <v/>
      </c>
      <c r="S335" s="3">
        <f>IF(Q335=1,SUMPRODUCT(--($R$8:$R$1207&lt;R335))+1,"")</f>
        <v/>
      </c>
      <c r="T335" s="12">
        <f>IF(K335=1,'ORDENES'!$J331,"")</f>
        <v/>
      </c>
    </row>
    <row r="336">
      <c r="K336" s="3">
        <f>IF(AND(IF($B$3="(todos)",TRUE,'ORDENES'!$O332=$B$3),IF($D$3="(todos)",TRUE,'ORDENES'!$AF332=$D$3),IF($F$3="(todos)",TRUE,'ORDENES'!$X332=$F$3),IF($H$3="(todos)",TRUE,'ORDENES'!$W332=$H$3),'ORDENES'!$AD332=TRUE,'ORDENES'!$A332&lt;&gt;""),1,0)</f>
        <v/>
      </c>
      <c r="L336" s="3">
        <f>IF(K336=1,IFERROR(MATCH('ORDENES'!$R332,lista_dias,0),9)*1000000000+IFERROR(MATCH('ORDENES'!$AF332,lista_turnos,0),9)*10000000+IFERROR(MATCH('ORDENES'!$AE332,tblTecnicos[nombre],0),99)*100000+329,9000000000000+329)</f>
        <v/>
      </c>
      <c r="M336" s="3">
        <f>IF(K336=1,SUMPRODUCT(--($L$8:$L$1207&lt;L336))+1,"")</f>
        <v/>
      </c>
      <c r="N336" s="17">
        <f>IF(K336=1,N('ORDENES'!$M332),0)</f>
        <v/>
      </c>
      <c r="O336" s="17">
        <f>IF('ORDENES'!$T332="preventiva",N336,0)</f>
        <v/>
      </c>
      <c r="P336" s="17">
        <f>IF('ORDENES'!$T332="correctiva",N336,0)</f>
        <v/>
      </c>
      <c r="Q336" s="3">
        <f>IF(AND(K336=1,'ORDENES'!$N332="Pendiente"),1,0)</f>
        <v/>
      </c>
      <c r="R336" s="3">
        <f>IF(Q336=1,100000-N336*1000+329*0.01,9000000000000+329)</f>
        <v/>
      </c>
      <c r="S336" s="3">
        <f>IF(Q336=1,SUMPRODUCT(--($R$8:$R$1207&lt;R336))+1,"")</f>
        <v/>
      </c>
      <c r="T336" s="12">
        <f>IF(K336=1,'ORDENES'!$J332,"")</f>
        <v/>
      </c>
    </row>
    <row r="337">
      <c r="K337" s="3">
        <f>IF(AND(IF($B$3="(todos)",TRUE,'ORDENES'!$O333=$B$3),IF($D$3="(todos)",TRUE,'ORDENES'!$AF333=$D$3),IF($F$3="(todos)",TRUE,'ORDENES'!$X333=$F$3),IF($H$3="(todos)",TRUE,'ORDENES'!$W333=$H$3),'ORDENES'!$AD333=TRUE,'ORDENES'!$A333&lt;&gt;""),1,0)</f>
        <v/>
      </c>
      <c r="L337" s="3">
        <f>IF(K337=1,IFERROR(MATCH('ORDENES'!$R333,lista_dias,0),9)*1000000000+IFERROR(MATCH('ORDENES'!$AF333,lista_turnos,0),9)*10000000+IFERROR(MATCH('ORDENES'!$AE333,tblTecnicos[nombre],0),99)*100000+330,9000000000000+330)</f>
        <v/>
      </c>
      <c r="M337" s="3">
        <f>IF(K337=1,SUMPRODUCT(--($L$8:$L$1207&lt;L337))+1,"")</f>
        <v/>
      </c>
      <c r="N337" s="17">
        <f>IF(K337=1,N('ORDENES'!$M333),0)</f>
        <v/>
      </c>
      <c r="O337" s="17">
        <f>IF('ORDENES'!$T333="preventiva",N337,0)</f>
        <v/>
      </c>
      <c r="P337" s="17">
        <f>IF('ORDENES'!$T333="correctiva",N337,0)</f>
        <v/>
      </c>
      <c r="Q337" s="3">
        <f>IF(AND(K337=1,'ORDENES'!$N333="Pendiente"),1,0)</f>
        <v/>
      </c>
      <c r="R337" s="3">
        <f>IF(Q337=1,100000-N337*1000+330*0.01,9000000000000+330)</f>
        <v/>
      </c>
      <c r="S337" s="3">
        <f>IF(Q337=1,SUMPRODUCT(--($R$8:$R$1207&lt;R337))+1,"")</f>
        <v/>
      </c>
      <c r="T337" s="12">
        <f>IF(K337=1,'ORDENES'!$J333,"")</f>
        <v/>
      </c>
    </row>
    <row r="338">
      <c r="K338" s="3">
        <f>IF(AND(IF($B$3="(todos)",TRUE,'ORDENES'!$O334=$B$3),IF($D$3="(todos)",TRUE,'ORDENES'!$AF334=$D$3),IF($F$3="(todos)",TRUE,'ORDENES'!$X334=$F$3),IF($H$3="(todos)",TRUE,'ORDENES'!$W334=$H$3),'ORDENES'!$AD334=TRUE,'ORDENES'!$A334&lt;&gt;""),1,0)</f>
        <v/>
      </c>
      <c r="L338" s="3">
        <f>IF(K338=1,IFERROR(MATCH('ORDENES'!$R334,lista_dias,0),9)*1000000000+IFERROR(MATCH('ORDENES'!$AF334,lista_turnos,0),9)*10000000+IFERROR(MATCH('ORDENES'!$AE334,tblTecnicos[nombre],0),99)*100000+331,9000000000000+331)</f>
        <v/>
      </c>
      <c r="M338" s="3">
        <f>IF(K338=1,SUMPRODUCT(--($L$8:$L$1207&lt;L338))+1,"")</f>
        <v/>
      </c>
      <c r="N338" s="17">
        <f>IF(K338=1,N('ORDENES'!$M334),0)</f>
        <v/>
      </c>
      <c r="O338" s="17">
        <f>IF('ORDENES'!$T334="preventiva",N338,0)</f>
        <v/>
      </c>
      <c r="P338" s="17">
        <f>IF('ORDENES'!$T334="correctiva",N338,0)</f>
        <v/>
      </c>
      <c r="Q338" s="3">
        <f>IF(AND(K338=1,'ORDENES'!$N334="Pendiente"),1,0)</f>
        <v/>
      </c>
      <c r="R338" s="3">
        <f>IF(Q338=1,100000-N338*1000+331*0.01,9000000000000+331)</f>
        <v/>
      </c>
      <c r="S338" s="3">
        <f>IF(Q338=1,SUMPRODUCT(--($R$8:$R$1207&lt;R338))+1,"")</f>
        <v/>
      </c>
      <c r="T338" s="12">
        <f>IF(K338=1,'ORDENES'!$J334,"")</f>
        <v/>
      </c>
    </row>
    <row r="339">
      <c r="K339" s="3">
        <f>IF(AND(IF($B$3="(todos)",TRUE,'ORDENES'!$O335=$B$3),IF($D$3="(todos)",TRUE,'ORDENES'!$AF335=$D$3),IF($F$3="(todos)",TRUE,'ORDENES'!$X335=$F$3),IF($H$3="(todos)",TRUE,'ORDENES'!$W335=$H$3),'ORDENES'!$AD335=TRUE,'ORDENES'!$A335&lt;&gt;""),1,0)</f>
        <v/>
      </c>
      <c r="L339" s="3">
        <f>IF(K339=1,IFERROR(MATCH('ORDENES'!$R335,lista_dias,0),9)*1000000000+IFERROR(MATCH('ORDENES'!$AF335,lista_turnos,0),9)*10000000+IFERROR(MATCH('ORDENES'!$AE335,tblTecnicos[nombre],0),99)*100000+332,9000000000000+332)</f>
        <v/>
      </c>
      <c r="M339" s="3">
        <f>IF(K339=1,SUMPRODUCT(--($L$8:$L$1207&lt;L339))+1,"")</f>
        <v/>
      </c>
      <c r="N339" s="17">
        <f>IF(K339=1,N('ORDENES'!$M335),0)</f>
        <v/>
      </c>
      <c r="O339" s="17">
        <f>IF('ORDENES'!$T335="preventiva",N339,0)</f>
        <v/>
      </c>
      <c r="P339" s="17">
        <f>IF('ORDENES'!$T335="correctiva",N339,0)</f>
        <v/>
      </c>
      <c r="Q339" s="3">
        <f>IF(AND(K339=1,'ORDENES'!$N335="Pendiente"),1,0)</f>
        <v/>
      </c>
      <c r="R339" s="3">
        <f>IF(Q339=1,100000-N339*1000+332*0.01,9000000000000+332)</f>
        <v/>
      </c>
      <c r="S339" s="3">
        <f>IF(Q339=1,SUMPRODUCT(--($R$8:$R$1207&lt;R339))+1,"")</f>
        <v/>
      </c>
      <c r="T339" s="12">
        <f>IF(K339=1,'ORDENES'!$J335,"")</f>
        <v/>
      </c>
    </row>
    <row r="340">
      <c r="K340" s="3">
        <f>IF(AND(IF($B$3="(todos)",TRUE,'ORDENES'!$O336=$B$3),IF($D$3="(todos)",TRUE,'ORDENES'!$AF336=$D$3),IF($F$3="(todos)",TRUE,'ORDENES'!$X336=$F$3),IF($H$3="(todos)",TRUE,'ORDENES'!$W336=$H$3),'ORDENES'!$AD336=TRUE,'ORDENES'!$A336&lt;&gt;""),1,0)</f>
        <v/>
      </c>
      <c r="L340" s="3">
        <f>IF(K340=1,IFERROR(MATCH('ORDENES'!$R336,lista_dias,0),9)*1000000000+IFERROR(MATCH('ORDENES'!$AF336,lista_turnos,0),9)*10000000+IFERROR(MATCH('ORDENES'!$AE336,tblTecnicos[nombre],0),99)*100000+333,9000000000000+333)</f>
        <v/>
      </c>
      <c r="M340" s="3">
        <f>IF(K340=1,SUMPRODUCT(--($L$8:$L$1207&lt;L340))+1,"")</f>
        <v/>
      </c>
      <c r="N340" s="17">
        <f>IF(K340=1,N('ORDENES'!$M336),0)</f>
        <v/>
      </c>
      <c r="O340" s="17">
        <f>IF('ORDENES'!$T336="preventiva",N340,0)</f>
        <v/>
      </c>
      <c r="P340" s="17">
        <f>IF('ORDENES'!$T336="correctiva",N340,0)</f>
        <v/>
      </c>
      <c r="Q340" s="3">
        <f>IF(AND(K340=1,'ORDENES'!$N336="Pendiente"),1,0)</f>
        <v/>
      </c>
      <c r="R340" s="3">
        <f>IF(Q340=1,100000-N340*1000+333*0.01,9000000000000+333)</f>
        <v/>
      </c>
      <c r="S340" s="3">
        <f>IF(Q340=1,SUMPRODUCT(--($R$8:$R$1207&lt;R340))+1,"")</f>
        <v/>
      </c>
      <c r="T340" s="12">
        <f>IF(K340=1,'ORDENES'!$J336,"")</f>
        <v/>
      </c>
    </row>
    <row r="341">
      <c r="K341" s="3">
        <f>IF(AND(IF($B$3="(todos)",TRUE,'ORDENES'!$O337=$B$3),IF($D$3="(todos)",TRUE,'ORDENES'!$AF337=$D$3),IF($F$3="(todos)",TRUE,'ORDENES'!$X337=$F$3),IF($H$3="(todos)",TRUE,'ORDENES'!$W337=$H$3),'ORDENES'!$AD337=TRUE,'ORDENES'!$A337&lt;&gt;""),1,0)</f>
        <v/>
      </c>
      <c r="L341" s="3">
        <f>IF(K341=1,IFERROR(MATCH('ORDENES'!$R337,lista_dias,0),9)*1000000000+IFERROR(MATCH('ORDENES'!$AF337,lista_turnos,0),9)*10000000+IFERROR(MATCH('ORDENES'!$AE337,tblTecnicos[nombre],0),99)*100000+334,9000000000000+334)</f>
        <v/>
      </c>
      <c r="M341" s="3">
        <f>IF(K341=1,SUMPRODUCT(--($L$8:$L$1207&lt;L341))+1,"")</f>
        <v/>
      </c>
      <c r="N341" s="17">
        <f>IF(K341=1,N('ORDENES'!$M337),0)</f>
        <v/>
      </c>
      <c r="O341" s="17">
        <f>IF('ORDENES'!$T337="preventiva",N341,0)</f>
        <v/>
      </c>
      <c r="P341" s="17">
        <f>IF('ORDENES'!$T337="correctiva",N341,0)</f>
        <v/>
      </c>
      <c r="Q341" s="3">
        <f>IF(AND(K341=1,'ORDENES'!$N337="Pendiente"),1,0)</f>
        <v/>
      </c>
      <c r="R341" s="3">
        <f>IF(Q341=1,100000-N341*1000+334*0.01,9000000000000+334)</f>
        <v/>
      </c>
      <c r="S341" s="3">
        <f>IF(Q341=1,SUMPRODUCT(--($R$8:$R$1207&lt;R341))+1,"")</f>
        <v/>
      </c>
      <c r="T341" s="12">
        <f>IF(K341=1,'ORDENES'!$J337,"")</f>
        <v/>
      </c>
    </row>
    <row r="342">
      <c r="K342" s="3">
        <f>IF(AND(IF($B$3="(todos)",TRUE,'ORDENES'!$O338=$B$3),IF($D$3="(todos)",TRUE,'ORDENES'!$AF338=$D$3),IF($F$3="(todos)",TRUE,'ORDENES'!$X338=$F$3),IF($H$3="(todos)",TRUE,'ORDENES'!$W338=$H$3),'ORDENES'!$AD338=TRUE,'ORDENES'!$A338&lt;&gt;""),1,0)</f>
        <v/>
      </c>
      <c r="L342" s="3">
        <f>IF(K342=1,IFERROR(MATCH('ORDENES'!$R338,lista_dias,0),9)*1000000000+IFERROR(MATCH('ORDENES'!$AF338,lista_turnos,0),9)*10000000+IFERROR(MATCH('ORDENES'!$AE338,tblTecnicos[nombre],0),99)*100000+335,9000000000000+335)</f>
        <v/>
      </c>
      <c r="M342" s="3">
        <f>IF(K342=1,SUMPRODUCT(--($L$8:$L$1207&lt;L342))+1,"")</f>
        <v/>
      </c>
      <c r="N342" s="17">
        <f>IF(K342=1,N('ORDENES'!$M338),0)</f>
        <v/>
      </c>
      <c r="O342" s="17">
        <f>IF('ORDENES'!$T338="preventiva",N342,0)</f>
        <v/>
      </c>
      <c r="P342" s="17">
        <f>IF('ORDENES'!$T338="correctiva",N342,0)</f>
        <v/>
      </c>
      <c r="Q342" s="3">
        <f>IF(AND(K342=1,'ORDENES'!$N338="Pendiente"),1,0)</f>
        <v/>
      </c>
      <c r="R342" s="3">
        <f>IF(Q342=1,100000-N342*1000+335*0.01,9000000000000+335)</f>
        <v/>
      </c>
      <c r="S342" s="3">
        <f>IF(Q342=1,SUMPRODUCT(--($R$8:$R$1207&lt;R342))+1,"")</f>
        <v/>
      </c>
      <c r="T342" s="12">
        <f>IF(K342=1,'ORDENES'!$J338,"")</f>
        <v/>
      </c>
    </row>
    <row r="343">
      <c r="K343" s="3">
        <f>IF(AND(IF($B$3="(todos)",TRUE,'ORDENES'!$O339=$B$3),IF($D$3="(todos)",TRUE,'ORDENES'!$AF339=$D$3),IF($F$3="(todos)",TRUE,'ORDENES'!$X339=$F$3),IF($H$3="(todos)",TRUE,'ORDENES'!$W339=$H$3),'ORDENES'!$AD339=TRUE,'ORDENES'!$A339&lt;&gt;""),1,0)</f>
        <v/>
      </c>
      <c r="L343" s="3">
        <f>IF(K343=1,IFERROR(MATCH('ORDENES'!$R339,lista_dias,0),9)*1000000000+IFERROR(MATCH('ORDENES'!$AF339,lista_turnos,0),9)*10000000+IFERROR(MATCH('ORDENES'!$AE339,tblTecnicos[nombre],0),99)*100000+336,9000000000000+336)</f>
        <v/>
      </c>
      <c r="M343" s="3">
        <f>IF(K343=1,SUMPRODUCT(--($L$8:$L$1207&lt;L343))+1,"")</f>
        <v/>
      </c>
      <c r="N343" s="17">
        <f>IF(K343=1,N('ORDENES'!$M339),0)</f>
        <v/>
      </c>
      <c r="O343" s="17">
        <f>IF('ORDENES'!$T339="preventiva",N343,0)</f>
        <v/>
      </c>
      <c r="P343" s="17">
        <f>IF('ORDENES'!$T339="correctiva",N343,0)</f>
        <v/>
      </c>
      <c r="Q343" s="3">
        <f>IF(AND(K343=1,'ORDENES'!$N339="Pendiente"),1,0)</f>
        <v/>
      </c>
      <c r="R343" s="3">
        <f>IF(Q343=1,100000-N343*1000+336*0.01,9000000000000+336)</f>
        <v/>
      </c>
      <c r="S343" s="3">
        <f>IF(Q343=1,SUMPRODUCT(--($R$8:$R$1207&lt;R343))+1,"")</f>
        <v/>
      </c>
      <c r="T343" s="12">
        <f>IF(K343=1,'ORDENES'!$J339,"")</f>
        <v/>
      </c>
    </row>
    <row r="344">
      <c r="K344" s="3">
        <f>IF(AND(IF($B$3="(todos)",TRUE,'ORDENES'!$O340=$B$3),IF($D$3="(todos)",TRUE,'ORDENES'!$AF340=$D$3),IF($F$3="(todos)",TRUE,'ORDENES'!$X340=$F$3),IF($H$3="(todos)",TRUE,'ORDENES'!$W340=$H$3),'ORDENES'!$AD340=TRUE,'ORDENES'!$A340&lt;&gt;""),1,0)</f>
        <v/>
      </c>
      <c r="L344" s="3">
        <f>IF(K344=1,IFERROR(MATCH('ORDENES'!$R340,lista_dias,0),9)*1000000000+IFERROR(MATCH('ORDENES'!$AF340,lista_turnos,0),9)*10000000+IFERROR(MATCH('ORDENES'!$AE340,tblTecnicos[nombre],0),99)*100000+337,9000000000000+337)</f>
        <v/>
      </c>
      <c r="M344" s="3">
        <f>IF(K344=1,SUMPRODUCT(--($L$8:$L$1207&lt;L344))+1,"")</f>
        <v/>
      </c>
      <c r="N344" s="17">
        <f>IF(K344=1,N('ORDENES'!$M340),0)</f>
        <v/>
      </c>
      <c r="O344" s="17">
        <f>IF('ORDENES'!$T340="preventiva",N344,0)</f>
        <v/>
      </c>
      <c r="P344" s="17">
        <f>IF('ORDENES'!$T340="correctiva",N344,0)</f>
        <v/>
      </c>
      <c r="Q344" s="3">
        <f>IF(AND(K344=1,'ORDENES'!$N340="Pendiente"),1,0)</f>
        <v/>
      </c>
      <c r="R344" s="3">
        <f>IF(Q344=1,100000-N344*1000+337*0.01,9000000000000+337)</f>
        <v/>
      </c>
      <c r="S344" s="3">
        <f>IF(Q344=1,SUMPRODUCT(--($R$8:$R$1207&lt;R344))+1,"")</f>
        <v/>
      </c>
      <c r="T344" s="12">
        <f>IF(K344=1,'ORDENES'!$J340,"")</f>
        <v/>
      </c>
    </row>
    <row r="345">
      <c r="K345" s="3">
        <f>IF(AND(IF($B$3="(todos)",TRUE,'ORDENES'!$O341=$B$3),IF($D$3="(todos)",TRUE,'ORDENES'!$AF341=$D$3),IF($F$3="(todos)",TRUE,'ORDENES'!$X341=$F$3),IF($H$3="(todos)",TRUE,'ORDENES'!$W341=$H$3),'ORDENES'!$AD341=TRUE,'ORDENES'!$A341&lt;&gt;""),1,0)</f>
        <v/>
      </c>
      <c r="L345" s="3">
        <f>IF(K345=1,IFERROR(MATCH('ORDENES'!$R341,lista_dias,0),9)*1000000000+IFERROR(MATCH('ORDENES'!$AF341,lista_turnos,0),9)*10000000+IFERROR(MATCH('ORDENES'!$AE341,tblTecnicos[nombre],0),99)*100000+338,9000000000000+338)</f>
        <v/>
      </c>
      <c r="M345" s="3">
        <f>IF(K345=1,SUMPRODUCT(--($L$8:$L$1207&lt;L345))+1,"")</f>
        <v/>
      </c>
      <c r="N345" s="17">
        <f>IF(K345=1,N('ORDENES'!$M341),0)</f>
        <v/>
      </c>
      <c r="O345" s="17">
        <f>IF('ORDENES'!$T341="preventiva",N345,0)</f>
        <v/>
      </c>
      <c r="P345" s="17">
        <f>IF('ORDENES'!$T341="correctiva",N345,0)</f>
        <v/>
      </c>
      <c r="Q345" s="3">
        <f>IF(AND(K345=1,'ORDENES'!$N341="Pendiente"),1,0)</f>
        <v/>
      </c>
      <c r="R345" s="3">
        <f>IF(Q345=1,100000-N345*1000+338*0.01,9000000000000+338)</f>
        <v/>
      </c>
      <c r="S345" s="3">
        <f>IF(Q345=1,SUMPRODUCT(--($R$8:$R$1207&lt;R345))+1,"")</f>
        <v/>
      </c>
      <c r="T345" s="12">
        <f>IF(K345=1,'ORDENES'!$J341,"")</f>
        <v/>
      </c>
    </row>
    <row r="346">
      <c r="K346" s="3">
        <f>IF(AND(IF($B$3="(todos)",TRUE,'ORDENES'!$O342=$B$3),IF($D$3="(todos)",TRUE,'ORDENES'!$AF342=$D$3),IF($F$3="(todos)",TRUE,'ORDENES'!$X342=$F$3),IF($H$3="(todos)",TRUE,'ORDENES'!$W342=$H$3),'ORDENES'!$AD342=TRUE,'ORDENES'!$A342&lt;&gt;""),1,0)</f>
        <v/>
      </c>
      <c r="L346" s="3">
        <f>IF(K346=1,IFERROR(MATCH('ORDENES'!$R342,lista_dias,0),9)*1000000000+IFERROR(MATCH('ORDENES'!$AF342,lista_turnos,0),9)*10000000+IFERROR(MATCH('ORDENES'!$AE342,tblTecnicos[nombre],0),99)*100000+339,9000000000000+339)</f>
        <v/>
      </c>
      <c r="M346" s="3">
        <f>IF(K346=1,SUMPRODUCT(--($L$8:$L$1207&lt;L346))+1,"")</f>
        <v/>
      </c>
      <c r="N346" s="17">
        <f>IF(K346=1,N('ORDENES'!$M342),0)</f>
        <v/>
      </c>
      <c r="O346" s="17">
        <f>IF('ORDENES'!$T342="preventiva",N346,0)</f>
        <v/>
      </c>
      <c r="P346" s="17">
        <f>IF('ORDENES'!$T342="correctiva",N346,0)</f>
        <v/>
      </c>
      <c r="Q346" s="3">
        <f>IF(AND(K346=1,'ORDENES'!$N342="Pendiente"),1,0)</f>
        <v/>
      </c>
      <c r="R346" s="3">
        <f>IF(Q346=1,100000-N346*1000+339*0.01,9000000000000+339)</f>
        <v/>
      </c>
      <c r="S346" s="3">
        <f>IF(Q346=1,SUMPRODUCT(--($R$8:$R$1207&lt;R346))+1,"")</f>
        <v/>
      </c>
      <c r="T346" s="12">
        <f>IF(K346=1,'ORDENES'!$J342,"")</f>
        <v/>
      </c>
    </row>
    <row r="347">
      <c r="K347" s="3">
        <f>IF(AND(IF($B$3="(todos)",TRUE,'ORDENES'!$O343=$B$3),IF($D$3="(todos)",TRUE,'ORDENES'!$AF343=$D$3),IF($F$3="(todos)",TRUE,'ORDENES'!$X343=$F$3),IF($H$3="(todos)",TRUE,'ORDENES'!$W343=$H$3),'ORDENES'!$AD343=TRUE,'ORDENES'!$A343&lt;&gt;""),1,0)</f>
        <v/>
      </c>
      <c r="L347" s="3">
        <f>IF(K347=1,IFERROR(MATCH('ORDENES'!$R343,lista_dias,0),9)*1000000000+IFERROR(MATCH('ORDENES'!$AF343,lista_turnos,0),9)*10000000+IFERROR(MATCH('ORDENES'!$AE343,tblTecnicos[nombre],0),99)*100000+340,9000000000000+340)</f>
        <v/>
      </c>
      <c r="M347" s="3">
        <f>IF(K347=1,SUMPRODUCT(--($L$8:$L$1207&lt;L347))+1,"")</f>
        <v/>
      </c>
      <c r="N347" s="17">
        <f>IF(K347=1,N('ORDENES'!$M343),0)</f>
        <v/>
      </c>
      <c r="O347" s="17">
        <f>IF('ORDENES'!$T343="preventiva",N347,0)</f>
        <v/>
      </c>
      <c r="P347" s="17">
        <f>IF('ORDENES'!$T343="correctiva",N347,0)</f>
        <v/>
      </c>
      <c r="Q347" s="3">
        <f>IF(AND(K347=1,'ORDENES'!$N343="Pendiente"),1,0)</f>
        <v/>
      </c>
      <c r="R347" s="3">
        <f>IF(Q347=1,100000-N347*1000+340*0.01,9000000000000+340)</f>
        <v/>
      </c>
      <c r="S347" s="3">
        <f>IF(Q347=1,SUMPRODUCT(--($R$8:$R$1207&lt;R347))+1,"")</f>
        <v/>
      </c>
      <c r="T347" s="12">
        <f>IF(K347=1,'ORDENES'!$J343,"")</f>
        <v/>
      </c>
    </row>
    <row r="348">
      <c r="K348" s="3">
        <f>IF(AND(IF($B$3="(todos)",TRUE,'ORDENES'!$O344=$B$3),IF($D$3="(todos)",TRUE,'ORDENES'!$AF344=$D$3),IF($F$3="(todos)",TRUE,'ORDENES'!$X344=$F$3),IF($H$3="(todos)",TRUE,'ORDENES'!$W344=$H$3),'ORDENES'!$AD344=TRUE,'ORDENES'!$A344&lt;&gt;""),1,0)</f>
        <v/>
      </c>
      <c r="L348" s="3">
        <f>IF(K348=1,IFERROR(MATCH('ORDENES'!$R344,lista_dias,0),9)*1000000000+IFERROR(MATCH('ORDENES'!$AF344,lista_turnos,0),9)*10000000+IFERROR(MATCH('ORDENES'!$AE344,tblTecnicos[nombre],0),99)*100000+341,9000000000000+341)</f>
        <v/>
      </c>
      <c r="M348" s="3">
        <f>IF(K348=1,SUMPRODUCT(--($L$8:$L$1207&lt;L348))+1,"")</f>
        <v/>
      </c>
      <c r="N348" s="17">
        <f>IF(K348=1,N('ORDENES'!$M344),0)</f>
        <v/>
      </c>
      <c r="O348" s="17">
        <f>IF('ORDENES'!$T344="preventiva",N348,0)</f>
        <v/>
      </c>
      <c r="P348" s="17">
        <f>IF('ORDENES'!$T344="correctiva",N348,0)</f>
        <v/>
      </c>
      <c r="Q348" s="3">
        <f>IF(AND(K348=1,'ORDENES'!$N344="Pendiente"),1,0)</f>
        <v/>
      </c>
      <c r="R348" s="3">
        <f>IF(Q348=1,100000-N348*1000+341*0.01,9000000000000+341)</f>
        <v/>
      </c>
      <c r="S348" s="3">
        <f>IF(Q348=1,SUMPRODUCT(--($R$8:$R$1207&lt;R348))+1,"")</f>
        <v/>
      </c>
      <c r="T348" s="12">
        <f>IF(K348=1,'ORDENES'!$J344,"")</f>
        <v/>
      </c>
    </row>
    <row r="349">
      <c r="K349" s="3">
        <f>IF(AND(IF($B$3="(todos)",TRUE,'ORDENES'!$O345=$B$3),IF($D$3="(todos)",TRUE,'ORDENES'!$AF345=$D$3),IF($F$3="(todos)",TRUE,'ORDENES'!$X345=$F$3),IF($H$3="(todos)",TRUE,'ORDENES'!$W345=$H$3),'ORDENES'!$AD345=TRUE,'ORDENES'!$A345&lt;&gt;""),1,0)</f>
        <v/>
      </c>
      <c r="L349" s="3">
        <f>IF(K349=1,IFERROR(MATCH('ORDENES'!$R345,lista_dias,0),9)*1000000000+IFERROR(MATCH('ORDENES'!$AF345,lista_turnos,0),9)*10000000+IFERROR(MATCH('ORDENES'!$AE345,tblTecnicos[nombre],0),99)*100000+342,9000000000000+342)</f>
        <v/>
      </c>
      <c r="M349" s="3">
        <f>IF(K349=1,SUMPRODUCT(--($L$8:$L$1207&lt;L349))+1,"")</f>
        <v/>
      </c>
      <c r="N349" s="17">
        <f>IF(K349=1,N('ORDENES'!$M345),0)</f>
        <v/>
      </c>
      <c r="O349" s="17">
        <f>IF('ORDENES'!$T345="preventiva",N349,0)</f>
        <v/>
      </c>
      <c r="P349" s="17">
        <f>IF('ORDENES'!$T345="correctiva",N349,0)</f>
        <v/>
      </c>
      <c r="Q349" s="3">
        <f>IF(AND(K349=1,'ORDENES'!$N345="Pendiente"),1,0)</f>
        <v/>
      </c>
      <c r="R349" s="3">
        <f>IF(Q349=1,100000-N349*1000+342*0.01,9000000000000+342)</f>
        <v/>
      </c>
      <c r="S349" s="3">
        <f>IF(Q349=1,SUMPRODUCT(--($R$8:$R$1207&lt;R349))+1,"")</f>
        <v/>
      </c>
      <c r="T349" s="12">
        <f>IF(K349=1,'ORDENES'!$J345,"")</f>
        <v/>
      </c>
    </row>
    <row r="350">
      <c r="K350" s="3">
        <f>IF(AND(IF($B$3="(todos)",TRUE,'ORDENES'!$O346=$B$3),IF($D$3="(todos)",TRUE,'ORDENES'!$AF346=$D$3),IF($F$3="(todos)",TRUE,'ORDENES'!$X346=$F$3),IF($H$3="(todos)",TRUE,'ORDENES'!$W346=$H$3),'ORDENES'!$AD346=TRUE,'ORDENES'!$A346&lt;&gt;""),1,0)</f>
        <v/>
      </c>
      <c r="L350" s="3">
        <f>IF(K350=1,IFERROR(MATCH('ORDENES'!$R346,lista_dias,0),9)*1000000000+IFERROR(MATCH('ORDENES'!$AF346,lista_turnos,0),9)*10000000+IFERROR(MATCH('ORDENES'!$AE346,tblTecnicos[nombre],0),99)*100000+343,9000000000000+343)</f>
        <v/>
      </c>
      <c r="M350" s="3">
        <f>IF(K350=1,SUMPRODUCT(--($L$8:$L$1207&lt;L350))+1,"")</f>
        <v/>
      </c>
      <c r="N350" s="17">
        <f>IF(K350=1,N('ORDENES'!$M346),0)</f>
        <v/>
      </c>
      <c r="O350" s="17">
        <f>IF('ORDENES'!$T346="preventiva",N350,0)</f>
        <v/>
      </c>
      <c r="P350" s="17">
        <f>IF('ORDENES'!$T346="correctiva",N350,0)</f>
        <v/>
      </c>
      <c r="Q350" s="3">
        <f>IF(AND(K350=1,'ORDENES'!$N346="Pendiente"),1,0)</f>
        <v/>
      </c>
      <c r="R350" s="3">
        <f>IF(Q350=1,100000-N350*1000+343*0.01,9000000000000+343)</f>
        <v/>
      </c>
      <c r="S350" s="3">
        <f>IF(Q350=1,SUMPRODUCT(--($R$8:$R$1207&lt;R350))+1,"")</f>
        <v/>
      </c>
      <c r="T350" s="12">
        <f>IF(K350=1,'ORDENES'!$J346,"")</f>
        <v/>
      </c>
    </row>
    <row r="351">
      <c r="K351" s="3">
        <f>IF(AND(IF($B$3="(todos)",TRUE,'ORDENES'!$O347=$B$3),IF($D$3="(todos)",TRUE,'ORDENES'!$AF347=$D$3),IF($F$3="(todos)",TRUE,'ORDENES'!$X347=$F$3),IF($H$3="(todos)",TRUE,'ORDENES'!$W347=$H$3),'ORDENES'!$AD347=TRUE,'ORDENES'!$A347&lt;&gt;""),1,0)</f>
        <v/>
      </c>
      <c r="L351" s="3">
        <f>IF(K351=1,IFERROR(MATCH('ORDENES'!$R347,lista_dias,0),9)*1000000000+IFERROR(MATCH('ORDENES'!$AF347,lista_turnos,0),9)*10000000+IFERROR(MATCH('ORDENES'!$AE347,tblTecnicos[nombre],0),99)*100000+344,9000000000000+344)</f>
        <v/>
      </c>
      <c r="M351" s="3">
        <f>IF(K351=1,SUMPRODUCT(--($L$8:$L$1207&lt;L351))+1,"")</f>
        <v/>
      </c>
      <c r="N351" s="17">
        <f>IF(K351=1,N('ORDENES'!$M347),0)</f>
        <v/>
      </c>
      <c r="O351" s="17">
        <f>IF('ORDENES'!$T347="preventiva",N351,0)</f>
        <v/>
      </c>
      <c r="P351" s="17">
        <f>IF('ORDENES'!$T347="correctiva",N351,0)</f>
        <v/>
      </c>
      <c r="Q351" s="3">
        <f>IF(AND(K351=1,'ORDENES'!$N347="Pendiente"),1,0)</f>
        <v/>
      </c>
      <c r="R351" s="3">
        <f>IF(Q351=1,100000-N351*1000+344*0.01,9000000000000+344)</f>
        <v/>
      </c>
      <c r="S351" s="3">
        <f>IF(Q351=1,SUMPRODUCT(--($R$8:$R$1207&lt;R351))+1,"")</f>
        <v/>
      </c>
      <c r="T351" s="12">
        <f>IF(K351=1,'ORDENES'!$J347,"")</f>
        <v/>
      </c>
    </row>
    <row r="352">
      <c r="K352" s="3">
        <f>IF(AND(IF($B$3="(todos)",TRUE,'ORDENES'!$O348=$B$3),IF($D$3="(todos)",TRUE,'ORDENES'!$AF348=$D$3),IF($F$3="(todos)",TRUE,'ORDENES'!$X348=$F$3),IF($H$3="(todos)",TRUE,'ORDENES'!$W348=$H$3),'ORDENES'!$AD348=TRUE,'ORDENES'!$A348&lt;&gt;""),1,0)</f>
        <v/>
      </c>
      <c r="L352" s="3">
        <f>IF(K352=1,IFERROR(MATCH('ORDENES'!$R348,lista_dias,0),9)*1000000000+IFERROR(MATCH('ORDENES'!$AF348,lista_turnos,0),9)*10000000+IFERROR(MATCH('ORDENES'!$AE348,tblTecnicos[nombre],0),99)*100000+345,9000000000000+345)</f>
        <v/>
      </c>
      <c r="M352" s="3">
        <f>IF(K352=1,SUMPRODUCT(--($L$8:$L$1207&lt;L352))+1,"")</f>
        <v/>
      </c>
      <c r="N352" s="17">
        <f>IF(K352=1,N('ORDENES'!$M348),0)</f>
        <v/>
      </c>
      <c r="O352" s="17">
        <f>IF('ORDENES'!$T348="preventiva",N352,0)</f>
        <v/>
      </c>
      <c r="P352" s="17">
        <f>IF('ORDENES'!$T348="correctiva",N352,0)</f>
        <v/>
      </c>
      <c r="Q352" s="3">
        <f>IF(AND(K352=1,'ORDENES'!$N348="Pendiente"),1,0)</f>
        <v/>
      </c>
      <c r="R352" s="3">
        <f>IF(Q352=1,100000-N352*1000+345*0.01,9000000000000+345)</f>
        <v/>
      </c>
      <c r="S352" s="3">
        <f>IF(Q352=1,SUMPRODUCT(--($R$8:$R$1207&lt;R352))+1,"")</f>
        <v/>
      </c>
      <c r="T352" s="12">
        <f>IF(K352=1,'ORDENES'!$J348,"")</f>
        <v/>
      </c>
    </row>
    <row r="353">
      <c r="K353" s="3">
        <f>IF(AND(IF($B$3="(todos)",TRUE,'ORDENES'!$O349=$B$3),IF($D$3="(todos)",TRUE,'ORDENES'!$AF349=$D$3),IF($F$3="(todos)",TRUE,'ORDENES'!$X349=$F$3),IF($H$3="(todos)",TRUE,'ORDENES'!$W349=$H$3),'ORDENES'!$AD349=TRUE,'ORDENES'!$A349&lt;&gt;""),1,0)</f>
        <v/>
      </c>
      <c r="L353" s="3">
        <f>IF(K353=1,IFERROR(MATCH('ORDENES'!$R349,lista_dias,0),9)*1000000000+IFERROR(MATCH('ORDENES'!$AF349,lista_turnos,0),9)*10000000+IFERROR(MATCH('ORDENES'!$AE349,tblTecnicos[nombre],0),99)*100000+346,9000000000000+346)</f>
        <v/>
      </c>
      <c r="M353" s="3">
        <f>IF(K353=1,SUMPRODUCT(--($L$8:$L$1207&lt;L353))+1,"")</f>
        <v/>
      </c>
      <c r="N353" s="17">
        <f>IF(K353=1,N('ORDENES'!$M349),0)</f>
        <v/>
      </c>
      <c r="O353" s="17">
        <f>IF('ORDENES'!$T349="preventiva",N353,0)</f>
        <v/>
      </c>
      <c r="P353" s="17">
        <f>IF('ORDENES'!$T349="correctiva",N353,0)</f>
        <v/>
      </c>
      <c r="Q353" s="3">
        <f>IF(AND(K353=1,'ORDENES'!$N349="Pendiente"),1,0)</f>
        <v/>
      </c>
      <c r="R353" s="3">
        <f>IF(Q353=1,100000-N353*1000+346*0.01,9000000000000+346)</f>
        <v/>
      </c>
      <c r="S353" s="3">
        <f>IF(Q353=1,SUMPRODUCT(--($R$8:$R$1207&lt;R353))+1,"")</f>
        <v/>
      </c>
      <c r="T353" s="12">
        <f>IF(K353=1,'ORDENES'!$J349,"")</f>
        <v/>
      </c>
    </row>
    <row r="354">
      <c r="K354" s="3">
        <f>IF(AND(IF($B$3="(todos)",TRUE,'ORDENES'!$O350=$B$3),IF($D$3="(todos)",TRUE,'ORDENES'!$AF350=$D$3),IF($F$3="(todos)",TRUE,'ORDENES'!$X350=$F$3),IF($H$3="(todos)",TRUE,'ORDENES'!$W350=$H$3),'ORDENES'!$AD350=TRUE,'ORDENES'!$A350&lt;&gt;""),1,0)</f>
        <v/>
      </c>
      <c r="L354" s="3">
        <f>IF(K354=1,IFERROR(MATCH('ORDENES'!$R350,lista_dias,0),9)*1000000000+IFERROR(MATCH('ORDENES'!$AF350,lista_turnos,0),9)*10000000+IFERROR(MATCH('ORDENES'!$AE350,tblTecnicos[nombre],0),99)*100000+347,9000000000000+347)</f>
        <v/>
      </c>
      <c r="M354" s="3">
        <f>IF(K354=1,SUMPRODUCT(--($L$8:$L$1207&lt;L354))+1,"")</f>
        <v/>
      </c>
      <c r="N354" s="17">
        <f>IF(K354=1,N('ORDENES'!$M350),0)</f>
        <v/>
      </c>
      <c r="O354" s="17">
        <f>IF('ORDENES'!$T350="preventiva",N354,0)</f>
        <v/>
      </c>
      <c r="P354" s="17">
        <f>IF('ORDENES'!$T350="correctiva",N354,0)</f>
        <v/>
      </c>
      <c r="Q354" s="3">
        <f>IF(AND(K354=1,'ORDENES'!$N350="Pendiente"),1,0)</f>
        <v/>
      </c>
      <c r="R354" s="3">
        <f>IF(Q354=1,100000-N354*1000+347*0.01,9000000000000+347)</f>
        <v/>
      </c>
      <c r="S354" s="3">
        <f>IF(Q354=1,SUMPRODUCT(--($R$8:$R$1207&lt;R354))+1,"")</f>
        <v/>
      </c>
      <c r="T354" s="12">
        <f>IF(K354=1,'ORDENES'!$J350,"")</f>
        <v/>
      </c>
    </row>
    <row r="355">
      <c r="K355" s="3">
        <f>IF(AND(IF($B$3="(todos)",TRUE,'ORDENES'!$O351=$B$3),IF($D$3="(todos)",TRUE,'ORDENES'!$AF351=$D$3),IF($F$3="(todos)",TRUE,'ORDENES'!$X351=$F$3),IF($H$3="(todos)",TRUE,'ORDENES'!$W351=$H$3),'ORDENES'!$AD351=TRUE,'ORDENES'!$A351&lt;&gt;""),1,0)</f>
        <v/>
      </c>
      <c r="L355" s="3">
        <f>IF(K355=1,IFERROR(MATCH('ORDENES'!$R351,lista_dias,0),9)*1000000000+IFERROR(MATCH('ORDENES'!$AF351,lista_turnos,0),9)*10000000+IFERROR(MATCH('ORDENES'!$AE351,tblTecnicos[nombre],0),99)*100000+348,9000000000000+348)</f>
        <v/>
      </c>
      <c r="M355" s="3">
        <f>IF(K355=1,SUMPRODUCT(--($L$8:$L$1207&lt;L355))+1,"")</f>
        <v/>
      </c>
      <c r="N355" s="17">
        <f>IF(K355=1,N('ORDENES'!$M351),0)</f>
        <v/>
      </c>
      <c r="O355" s="17">
        <f>IF('ORDENES'!$T351="preventiva",N355,0)</f>
        <v/>
      </c>
      <c r="P355" s="17">
        <f>IF('ORDENES'!$T351="correctiva",N355,0)</f>
        <v/>
      </c>
      <c r="Q355" s="3">
        <f>IF(AND(K355=1,'ORDENES'!$N351="Pendiente"),1,0)</f>
        <v/>
      </c>
      <c r="R355" s="3">
        <f>IF(Q355=1,100000-N355*1000+348*0.01,9000000000000+348)</f>
        <v/>
      </c>
      <c r="S355" s="3">
        <f>IF(Q355=1,SUMPRODUCT(--($R$8:$R$1207&lt;R355))+1,"")</f>
        <v/>
      </c>
      <c r="T355" s="12">
        <f>IF(K355=1,'ORDENES'!$J351,"")</f>
        <v/>
      </c>
    </row>
    <row r="356">
      <c r="K356" s="3">
        <f>IF(AND(IF($B$3="(todos)",TRUE,'ORDENES'!$O352=$B$3),IF($D$3="(todos)",TRUE,'ORDENES'!$AF352=$D$3),IF($F$3="(todos)",TRUE,'ORDENES'!$X352=$F$3),IF($H$3="(todos)",TRUE,'ORDENES'!$W352=$H$3),'ORDENES'!$AD352=TRUE,'ORDENES'!$A352&lt;&gt;""),1,0)</f>
        <v/>
      </c>
      <c r="L356" s="3">
        <f>IF(K356=1,IFERROR(MATCH('ORDENES'!$R352,lista_dias,0),9)*1000000000+IFERROR(MATCH('ORDENES'!$AF352,lista_turnos,0),9)*10000000+IFERROR(MATCH('ORDENES'!$AE352,tblTecnicos[nombre],0),99)*100000+349,9000000000000+349)</f>
        <v/>
      </c>
      <c r="M356" s="3">
        <f>IF(K356=1,SUMPRODUCT(--($L$8:$L$1207&lt;L356))+1,"")</f>
        <v/>
      </c>
      <c r="N356" s="17">
        <f>IF(K356=1,N('ORDENES'!$M352),0)</f>
        <v/>
      </c>
      <c r="O356" s="17">
        <f>IF('ORDENES'!$T352="preventiva",N356,0)</f>
        <v/>
      </c>
      <c r="P356" s="17">
        <f>IF('ORDENES'!$T352="correctiva",N356,0)</f>
        <v/>
      </c>
      <c r="Q356" s="3">
        <f>IF(AND(K356=1,'ORDENES'!$N352="Pendiente"),1,0)</f>
        <v/>
      </c>
      <c r="R356" s="3">
        <f>IF(Q356=1,100000-N356*1000+349*0.01,9000000000000+349)</f>
        <v/>
      </c>
      <c r="S356" s="3">
        <f>IF(Q356=1,SUMPRODUCT(--($R$8:$R$1207&lt;R356))+1,"")</f>
        <v/>
      </c>
      <c r="T356" s="12">
        <f>IF(K356=1,'ORDENES'!$J352,"")</f>
        <v/>
      </c>
    </row>
    <row r="357">
      <c r="K357" s="3">
        <f>IF(AND(IF($B$3="(todos)",TRUE,'ORDENES'!$O353=$B$3),IF($D$3="(todos)",TRUE,'ORDENES'!$AF353=$D$3),IF($F$3="(todos)",TRUE,'ORDENES'!$X353=$F$3),IF($H$3="(todos)",TRUE,'ORDENES'!$W353=$H$3),'ORDENES'!$AD353=TRUE,'ORDENES'!$A353&lt;&gt;""),1,0)</f>
        <v/>
      </c>
      <c r="L357" s="3">
        <f>IF(K357=1,IFERROR(MATCH('ORDENES'!$R353,lista_dias,0),9)*1000000000+IFERROR(MATCH('ORDENES'!$AF353,lista_turnos,0),9)*10000000+IFERROR(MATCH('ORDENES'!$AE353,tblTecnicos[nombre],0),99)*100000+350,9000000000000+350)</f>
        <v/>
      </c>
      <c r="M357" s="3">
        <f>IF(K357=1,SUMPRODUCT(--($L$8:$L$1207&lt;L357))+1,"")</f>
        <v/>
      </c>
      <c r="N357" s="17">
        <f>IF(K357=1,N('ORDENES'!$M353),0)</f>
        <v/>
      </c>
      <c r="O357" s="17">
        <f>IF('ORDENES'!$T353="preventiva",N357,0)</f>
        <v/>
      </c>
      <c r="P357" s="17">
        <f>IF('ORDENES'!$T353="correctiva",N357,0)</f>
        <v/>
      </c>
      <c r="Q357" s="3">
        <f>IF(AND(K357=1,'ORDENES'!$N353="Pendiente"),1,0)</f>
        <v/>
      </c>
      <c r="R357" s="3">
        <f>IF(Q357=1,100000-N357*1000+350*0.01,9000000000000+350)</f>
        <v/>
      </c>
      <c r="S357" s="3">
        <f>IF(Q357=1,SUMPRODUCT(--($R$8:$R$1207&lt;R357))+1,"")</f>
        <v/>
      </c>
      <c r="T357" s="12">
        <f>IF(K357=1,'ORDENES'!$J353,"")</f>
        <v/>
      </c>
    </row>
    <row r="358">
      <c r="K358" s="3">
        <f>IF(AND(IF($B$3="(todos)",TRUE,'ORDENES'!$O354=$B$3),IF($D$3="(todos)",TRUE,'ORDENES'!$AF354=$D$3),IF($F$3="(todos)",TRUE,'ORDENES'!$X354=$F$3),IF($H$3="(todos)",TRUE,'ORDENES'!$W354=$H$3),'ORDENES'!$AD354=TRUE,'ORDENES'!$A354&lt;&gt;""),1,0)</f>
        <v/>
      </c>
      <c r="L358" s="3">
        <f>IF(K358=1,IFERROR(MATCH('ORDENES'!$R354,lista_dias,0),9)*1000000000+IFERROR(MATCH('ORDENES'!$AF354,lista_turnos,0),9)*10000000+IFERROR(MATCH('ORDENES'!$AE354,tblTecnicos[nombre],0),99)*100000+351,9000000000000+351)</f>
        <v/>
      </c>
      <c r="M358" s="3">
        <f>IF(K358=1,SUMPRODUCT(--($L$8:$L$1207&lt;L358))+1,"")</f>
        <v/>
      </c>
      <c r="N358" s="17">
        <f>IF(K358=1,N('ORDENES'!$M354),0)</f>
        <v/>
      </c>
      <c r="O358" s="17">
        <f>IF('ORDENES'!$T354="preventiva",N358,0)</f>
        <v/>
      </c>
      <c r="P358" s="17">
        <f>IF('ORDENES'!$T354="correctiva",N358,0)</f>
        <v/>
      </c>
      <c r="Q358" s="3">
        <f>IF(AND(K358=1,'ORDENES'!$N354="Pendiente"),1,0)</f>
        <v/>
      </c>
      <c r="R358" s="3">
        <f>IF(Q358=1,100000-N358*1000+351*0.01,9000000000000+351)</f>
        <v/>
      </c>
      <c r="S358" s="3">
        <f>IF(Q358=1,SUMPRODUCT(--($R$8:$R$1207&lt;R358))+1,"")</f>
        <v/>
      </c>
      <c r="T358" s="12">
        <f>IF(K358=1,'ORDENES'!$J354,"")</f>
        <v/>
      </c>
    </row>
    <row r="359">
      <c r="K359" s="3">
        <f>IF(AND(IF($B$3="(todos)",TRUE,'ORDENES'!$O355=$B$3),IF($D$3="(todos)",TRUE,'ORDENES'!$AF355=$D$3),IF($F$3="(todos)",TRUE,'ORDENES'!$X355=$F$3),IF($H$3="(todos)",TRUE,'ORDENES'!$W355=$H$3),'ORDENES'!$AD355=TRUE,'ORDENES'!$A355&lt;&gt;""),1,0)</f>
        <v/>
      </c>
      <c r="L359" s="3">
        <f>IF(K359=1,IFERROR(MATCH('ORDENES'!$R355,lista_dias,0),9)*1000000000+IFERROR(MATCH('ORDENES'!$AF355,lista_turnos,0),9)*10000000+IFERROR(MATCH('ORDENES'!$AE355,tblTecnicos[nombre],0),99)*100000+352,9000000000000+352)</f>
        <v/>
      </c>
      <c r="M359" s="3">
        <f>IF(K359=1,SUMPRODUCT(--($L$8:$L$1207&lt;L359))+1,"")</f>
        <v/>
      </c>
      <c r="N359" s="17">
        <f>IF(K359=1,N('ORDENES'!$M355),0)</f>
        <v/>
      </c>
      <c r="O359" s="17">
        <f>IF('ORDENES'!$T355="preventiva",N359,0)</f>
        <v/>
      </c>
      <c r="P359" s="17">
        <f>IF('ORDENES'!$T355="correctiva",N359,0)</f>
        <v/>
      </c>
      <c r="Q359" s="3">
        <f>IF(AND(K359=1,'ORDENES'!$N355="Pendiente"),1,0)</f>
        <v/>
      </c>
      <c r="R359" s="3">
        <f>IF(Q359=1,100000-N359*1000+352*0.01,9000000000000+352)</f>
        <v/>
      </c>
      <c r="S359" s="3">
        <f>IF(Q359=1,SUMPRODUCT(--($R$8:$R$1207&lt;R359))+1,"")</f>
        <v/>
      </c>
      <c r="T359" s="12">
        <f>IF(K359=1,'ORDENES'!$J355,"")</f>
        <v/>
      </c>
    </row>
    <row r="360">
      <c r="K360" s="3">
        <f>IF(AND(IF($B$3="(todos)",TRUE,'ORDENES'!$O356=$B$3),IF($D$3="(todos)",TRUE,'ORDENES'!$AF356=$D$3),IF($F$3="(todos)",TRUE,'ORDENES'!$X356=$F$3),IF($H$3="(todos)",TRUE,'ORDENES'!$W356=$H$3),'ORDENES'!$AD356=TRUE,'ORDENES'!$A356&lt;&gt;""),1,0)</f>
        <v/>
      </c>
      <c r="L360" s="3">
        <f>IF(K360=1,IFERROR(MATCH('ORDENES'!$R356,lista_dias,0),9)*1000000000+IFERROR(MATCH('ORDENES'!$AF356,lista_turnos,0),9)*10000000+IFERROR(MATCH('ORDENES'!$AE356,tblTecnicos[nombre],0),99)*100000+353,9000000000000+353)</f>
        <v/>
      </c>
      <c r="M360" s="3">
        <f>IF(K360=1,SUMPRODUCT(--($L$8:$L$1207&lt;L360))+1,"")</f>
        <v/>
      </c>
      <c r="N360" s="17">
        <f>IF(K360=1,N('ORDENES'!$M356),0)</f>
        <v/>
      </c>
      <c r="O360" s="17">
        <f>IF('ORDENES'!$T356="preventiva",N360,0)</f>
        <v/>
      </c>
      <c r="P360" s="17">
        <f>IF('ORDENES'!$T356="correctiva",N360,0)</f>
        <v/>
      </c>
      <c r="Q360" s="3">
        <f>IF(AND(K360=1,'ORDENES'!$N356="Pendiente"),1,0)</f>
        <v/>
      </c>
      <c r="R360" s="3">
        <f>IF(Q360=1,100000-N360*1000+353*0.01,9000000000000+353)</f>
        <v/>
      </c>
      <c r="S360" s="3">
        <f>IF(Q360=1,SUMPRODUCT(--($R$8:$R$1207&lt;R360))+1,"")</f>
        <v/>
      </c>
      <c r="T360" s="12">
        <f>IF(K360=1,'ORDENES'!$J356,"")</f>
        <v/>
      </c>
    </row>
    <row r="361">
      <c r="K361" s="3">
        <f>IF(AND(IF($B$3="(todos)",TRUE,'ORDENES'!$O357=$B$3),IF($D$3="(todos)",TRUE,'ORDENES'!$AF357=$D$3),IF($F$3="(todos)",TRUE,'ORDENES'!$X357=$F$3),IF($H$3="(todos)",TRUE,'ORDENES'!$W357=$H$3),'ORDENES'!$AD357=TRUE,'ORDENES'!$A357&lt;&gt;""),1,0)</f>
        <v/>
      </c>
      <c r="L361" s="3">
        <f>IF(K361=1,IFERROR(MATCH('ORDENES'!$R357,lista_dias,0),9)*1000000000+IFERROR(MATCH('ORDENES'!$AF357,lista_turnos,0),9)*10000000+IFERROR(MATCH('ORDENES'!$AE357,tblTecnicos[nombre],0),99)*100000+354,9000000000000+354)</f>
        <v/>
      </c>
      <c r="M361" s="3">
        <f>IF(K361=1,SUMPRODUCT(--($L$8:$L$1207&lt;L361))+1,"")</f>
        <v/>
      </c>
      <c r="N361" s="17">
        <f>IF(K361=1,N('ORDENES'!$M357),0)</f>
        <v/>
      </c>
      <c r="O361" s="17">
        <f>IF('ORDENES'!$T357="preventiva",N361,0)</f>
        <v/>
      </c>
      <c r="P361" s="17">
        <f>IF('ORDENES'!$T357="correctiva",N361,0)</f>
        <v/>
      </c>
      <c r="Q361" s="3">
        <f>IF(AND(K361=1,'ORDENES'!$N357="Pendiente"),1,0)</f>
        <v/>
      </c>
      <c r="R361" s="3">
        <f>IF(Q361=1,100000-N361*1000+354*0.01,9000000000000+354)</f>
        <v/>
      </c>
      <c r="S361" s="3">
        <f>IF(Q361=1,SUMPRODUCT(--($R$8:$R$1207&lt;R361))+1,"")</f>
        <v/>
      </c>
      <c r="T361" s="12">
        <f>IF(K361=1,'ORDENES'!$J357,"")</f>
        <v/>
      </c>
    </row>
    <row r="362">
      <c r="K362" s="3">
        <f>IF(AND(IF($B$3="(todos)",TRUE,'ORDENES'!$O358=$B$3),IF($D$3="(todos)",TRUE,'ORDENES'!$AF358=$D$3),IF($F$3="(todos)",TRUE,'ORDENES'!$X358=$F$3),IF($H$3="(todos)",TRUE,'ORDENES'!$W358=$H$3),'ORDENES'!$AD358=TRUE,'ORDENES'!$A358&lt;&gt;""),1,0)</f>
        <v/>
      </c>
      <c r="L362" s="3">
        <f>IF(K362=1,IFERROR(MATCH('ORDENES'!$R358,lista_dias,0),9)*1000000000+IFERROR(MATCH('ORDENES'!$AF358,lista_turnos,0),9)*10000000+IFERROR(MATCH('ORDENES'!$AE358,tblTecnicos[nombre],0),99)*100000+355,9000000000000+355)</f>
        <v/>
      </c>
      <c r="M362" s="3">
        <f>IF(K362=1,SUMPRODUCT(--($L$8:$L$1207&lt;L362))+1,"")</f>
        <v/>
      </c>
      <c r="N362" s="17">
        <f>IF(K362=1,N('ORDENES'!$M358),0)</f>
        <v/>
      </c>
      <c r="O362" s="17">
        <f>IF('ORDENES'!$T358="preventiva",N362,0)</f>
        <v/>
      </c>
      <c r="P362" s="17">
        <f>IF('ORDENES'!$T358="correctiva",N362,0)</f>
        <v/>
      </c>
      <c r="Q362" s="3">
        <f>IF(AND(K362=1,'ORDENES'!$N358="Pendiente"),1,0)</f>
        <v/>
      </c>
      <c r="R362" s="3">
        <f>IF(Q362=1,100000-N362*1000+355*0.01,9000000000000+355)</f>
        <v/>
      </c>
      <c r="S362" s="3">
        <f>IF(Q362=1,SUMPRODUCT(--($R$8:$R$1207&lt;R362))+1,"")</f>
        <v/>
      </c>
      <c r="T362" s="12">
        <f>IF(K362=1,'ORDENES'!$J358,"")</f>
        <v/>
      </c>
    </row>
    <row r="363">
      <c r="K363" s="3">
        <f>IF(AND(IF($B$3="(todos)",TRUE,'ORDENES'!$O359=$B$3),IF($D$3="(todos)",TRUE,'ORDENES'!$AF359=$D$3),IF($F$3="(todos)",TRUE,'ORDENES'!$X359=$F$3),IF($H$3="(todos)",TRUE,'ORDENES'!$W359=$H$3),'ORDENES'!$AD359=TRUE,'ORDENES'!$A359&lt;&gt;""),1,0)</f>
        <v/>
      </c>
      <c r="L363" s="3">
        <f>IF(K363=1,IFERROR(MATCH('ORDENES'!$R359,lista_dias,0),9)*1000000000+IFERROR(MATCH('ORDENES'!$AF359,lista_turnos,0),9)*10000000+IFERROR(MATCH('ORDENES'!$AE359,tblTecnicos[nombre],0),99)*100000+356,9000000000000+356)</f>
        <v/>
      </c>
      <c r="M363" s="3">
        <f>IF(K363=1,SUMPRODUCT(--($L$8:$L$1207&lt;L363))+1,"")</f>
        <v/>
      </c>
      <c r="N363" s="17">
        <f>IF(K363=1,N('ORDENES'!$M359),0)</f>
        <v/>
      </c>
      <c r="O363" s="17">
        <f>IF('ORDENES'!$T359="preventiva",N363,0)</f>
        <v/>
      </c>
      <c r="P363" s="17">
        <f>IF('ORDENES'!$T359="correctiva",N363,0)</f>
        <v/>
      </c>
      <c r="Q363" s="3">
        <f>IF(AND(K363=1,'ORDENES'!$N359="Pendiente"),1,0)</f>
        <v/>
      </c>
      <c r="R363" s="3">
        <f>IF(Q363=1,100000-N363*1000+356*0.01,9000000000000+356)</f>
        <v/>
      </c>
      <c r="S363" s="3">
        <f>IF(Q363=1,SUMPRODUCT(--($R$8:$R$1207&lt;R363))+1,"")</f>
        <v/>
      </c>
      <c r="T363" s="12">
        <f>IF(K363=1,'ORDENES'!$J359,"")</f>
        <v/>
      </c>
    </row>
    <row r="364">
      <c r="K364" s="3">
        <f>IF(AND(IF($B$3="(todos)",TRUE,'ORDENES'!$O360=$B$3),IF($D$3="(todos)",TRUE,'ORDENES'!$AF360=$D$3),IF($F$3="(todos)",TRUE,'ORDENES'!$X360=$F$3),IF($H$3="(todos)",TRUE,'ORDENES'!$W360=$H$3),'ORDENES'!$AD360=TRUE,'ORDENES'!$A360&lt;&gt;""),1,0)</f>
        <v/>
      </c>
      <c r="L364" s="3">
        <f>IF(K364=1,IFERROR(MATCH('ORDENES'!$R360,lista_dias,0),9)*1000000000+IFERROR(MATCH('ORDENES'!$AF360,lista_turnos,0),9)*10000000+IFERROR(MATCH('ORDENES'!$AE360,tblTecnicos[nombre],0),99)*100000+357,9000000000000+357)</f>
        <v/>
      </c>
      <c r="M364" s="3">
        <f>IF(K364=1,SUMPRODUCT(--($L$8:$L$1207&lt;L364))+1,"")</f>
        <v/>
      </c>
      <c r="N364" s="17">
        <f>IF(K364=1,N('ORDENES'!$M360),0)</f>
        <v/>
      </c>
      <c r="O364" s="17">
        <f>IF('ORDENES'!$T360="preventiva",N364,0)</f>
        <v/>
      </c>
      <c r="P364" s="17">
        <f>IF('ORDENES'!$T360="correctiva",N364,0)</f>
        <v/>
      </c>
      <c r="Q364" s="3">
        <f>IF(AND(K364=1,'ORDENES'!$N360="Pendiente"),1,0)</f>
        <v/>
      </c>
      <c r="R364" s="3">
        <f>IF(Q364=1,100000-N364*1000+357*0.01,9000000000000+357)</f>
        <v/>
      </c>
      <c r="S364" s="3">
        <f>IF(Q364=1,SUMPRODUCT(--($R$8:$R$1207&lt;R364))+1,"")</f>
        <v/>
      </c>
      <c r="T364" s="12">
        <f>IF(K364=1,'ORDENES'!$J360,"")</f>
        <v/>
      </c>
    </row>
    <row r="365">
      <c r="K365" s="3">
        <f>IF(AND(IF($B$3="(todos)",TRUE,'ORDENES'!$O361=$B$3),IF($D$3="(todos)",TRUE,'ORDENES'!$AF361=$D$3),IF($F$3="(todos)",TRUE,'ORDENES'!$X361=$F$3),IF($H$3="(todos)",TRUE,'ORDENES'!$W361=$H$3),'ORDENES'!$AD361=TRUE,'ORDENES'!$A361&lt;&gt;""),1,0)</f>
        <v/>
      </c>
      <c r="L365" s="3">
        <f>IF(K365=1,IFERROR(MATCH('ORDENES'!$R361,lista_dias,0),9)*1000000000+IFERROR(MATCH('ORDENES'!$AF361,lista_turnos,0),9)*10000000+IFERROR(MATCH('ORDENES'!$AE361,tblTecnicos[nombre],0),99)*100000+358,9000000000000+358)</f>
        <v/>
      </c>
      <c r="M365" s="3">
        <f>IF(K365=1,SUMPRODUCT(--($L$8:$L$1207&lt;L365))+1,"")</f>
        <v/>
      </c>
      <c r="N365" s="17">
        <f>IF(K365=1,N('ORDENES'!$M361),0)</f>
        <v/>
      </c>
      <c r="O365" s="17">
        <f>IF('ORDENES'!$T361="preventiva",N365,0)</f>
        <v/>
      </c>
      <c r="P365" s="17">
        <f>IF('ORDENES'!$T361="correctiva",N365,0)</f>
        <v/>
      </c>
      <c r="Q365" s="3">
        <f>IF(AND(K365=1,'ORDENES'!$N361="Pendiente"),1,0)</f>
        <v/>
      </c>
      <c r="R365" s="3">
        <f>IF(Q365=1,100000-N365*1000+358*0.01,9000000000000+358)</f>
        <v/>
      </c>
      <c r="S365" s="3">
        <f>IF(Q365=1,SUMPRODUCT(--($R$8:$R$1207&lt;R365))+1,"")</f>
        <v/>
      </c>
      <c r="T365" s="12">
        <f>IF(K365=1,'ORDENES'!$J361,"")</f>
        <v/>
      </c>
    </row>
    <row r="366">
      <c r="K366" s="3">
        <f>IF(AND(IF($B$3="(todos)",TRUE,'ORDENES'!$O362=$B$3),IF($D$3="(todos)",TRUE,'ORDENES'!$AF362=$D$3),IF($F$3="(todos)",TRUE,'ORDENES'!$X362=$F$3),IF($H$3="(todos)",TRUE,'ORDENES'!$W362=$H$3),'ORDENES'!$AD362=TRUE,'ORDENES'!$A362&lt;&gt;""),1,0)</f>
        <v/>
      </c>
      <c r="L366" s="3">
        <f>IF(K366=1,IFERROR(MATCH('ORDENES'!$R362,lista_dias,0),9)*1000000000+IFERROR(MATCH('ORDENES'!$AF362,lista_turnos,0),9)*10000000+IFERROR(MATCH('ORDENES'!$AE362,tblTecnicos[nombre],0),99)*100000+359,9000000000000+359)</f>
        <v/>
      </c>
      <c r="M366" s="3">
        <f>IF(K366=1,SUMPRODUCT(--($L$8:$L$1207&lt;L366))+1,"")</f>
        <v/>
      </c>
      <c r="N366" s="17">
        <f>IF(K366=1,N('ORDENES'!$M362),0)</f>
        <v/>
      </c>
      <c r="O366" s="17">
        <f>IF('ORDENES'!$T362="preventiva",N366,0)</f>
        <v/>
      </c>
      <c r="P366" s="17">
        <f>IF('ORDENES'!$T362="correctiva",N366,0)</f>
        <v/>
      </c>
      <c r="Q366" s="3">
        <f>IF(AND(K366=1,'ORDENES'!$N362="Pendiente"),1,0)</f>
        <v/>
      </c>
      <c r="R366" s="3">
        <f>IF(Q366=1,100000-N366*1000+359*0.01,9000000000000+359)</f>
        <v/>
      </c>
      <c r="S366" s="3">
        <f>IF(Q366=1,SUMPRODUCT(--($R$8:$R$1207&lt;R366))+1,"")</f>
        <v/>
      </c>
      <c r="T366" s="12">
        <f>IF(K366=1,'ORDENES'!$J362,"")</f>
        <v/>
      </c>
    </row>
    <row r="367">
      <c r="K367" s="3">
        <f>IF(AND(IF($B$3="(todos)",TRUE,'ORDENES'!$O363=$B$3),IF($D$3="(todos)",TRUE,'ORDENES'!$AF363=$D$3),IF($F$3="(todos)",TRUE,'ORDENES'!$X363=$F$3),IF($H$3="(todos)",TRUE,'ORDENES'!$W363=$H$3),'ORDENES'!$AD363=TRUE,'ORDENES'!$A363&lt;&gt;""),1,0)</f>
        <v/>
      </c>
      <c r="L367" s="3">
        <f>IF(K367=1,IFERROR(MATCH('ORDENES'!$R363,lista_dias,0),9)*1000000000+IFERROR(MATCH('ORDENES'!$AF363,lista_turnos,0),9)*10000000+IFERROR(MATCH('ORDENES'!$AE363,tblTecnicos[nombre],0),99)*100000+360,9000000000000+360)</f>
        <v/>
      </c>
      <c r="M367" s="3">
        <f>IF(K367=1,SUMPRODUCT(--($L$8:$L$1207&lt;L367))+1,"")</f>
        <v/>
      </c>
      <c r="N367" s="17">
        <f>IF(K367=1,N('ORDENES'!$M363),0)</f>
        <v/>
      </c>
      <c r="O367" s="17">
        <f>IF('ORDENES'!$T363="preventiva",N367,0)</f>
        <v/>
      </c>
      <c r="P367" s="17">
        <f>IF('ORDENES'!$T363="correctiva",N367,0)</f>
        <v/>
      </c>
      <c r="Q367" s="3">
        <f>IF(AND(K367=1,'ORDENES'!$N363="Pendiente"),1,0)</f>
        <v/>
      </c>
      <c r="R367" s="3">
        <f>IF(Q367=1,100000-N367*1000+360*0.01,9000000000000+360)</f>
        <v/>
      </c>
      <c r="S367" s="3">
        <f>IF(Q367=1,SUMPRODUCT(--($R$8:$R$1207&lt;R367))+1,"")</f>
        <v/>
      </c>
      <c r="T367" s="12">
        <f>IF(K367=1,'ORDENES'!$J363,"")</f>
        <v/>
      </c>
    </row>
    <row r="368">
      <c r="K368" s="3">
        <f>IF(AND(IF($B$3="(todos)",TRUE,'ORDENES'!$O364=$B$3),IF($D$3="(todos)",TRUE,'ORDENES'!$AF364=$D$3),IF($F$3="(todos)",TRUE,'ORDENES'!$X364=$F$3),IF($H$3="(todos)",TRUE,'ORDENES'!$W364=$H$3),'ORDENES'!$AD364=TRUE,'ORDENES'!$A364&lt;&gt;""),1,0)</f>
        <v/>
      </c>
      <c r="L368" s="3">
        <f>IF(K368=1,IFERROR(MATCH('ORDENES'!$R364,lista_dias,0),9)*1000000000+IFERROR(MATCH('ORDENES'!$AF364,lista_turnos,0),9)*10000000+IFERROR(MATCH('ORDENES'!$AE364,tblTecnicos[nombre],0),99)*100000+361,9000000000000+361)</f>
        <v/>
      </c>
      <c r="M368" s="3">
        <f>IF(K368=1,SUMPRODUCT(--($L$8:$L$1207&lt;L368))+1,"")</f>
        <v/>
      </c>
      <c r="N368" s="17">
        <f>IF(K368=1,N('ORDENES'!$M364),0)</f>
        <v/>
      </c>
      <c r="O368" s="17">
        <f>IF('ORDENES'!$T364="preventiva",N368,0)</f>
        <v/>
      </c>
      <c r="P368" s="17">
        <f>IF('ORDENES'!$T364="correctiva",N368,0)</f>
        <v/>
      </c>
      <c r="Q368" s="3">
        <f>IF(AND(K368=1,'ORDENES'!$N364="Pendiente"),1,0)</f>
        <v/>
      </c>
      <c r="R368" s="3">
        <f>IF(Q368=1,100000-N368*1000+361*0.01,9000000000000+361)</f>
        <v/>
      </c>
      <c r="S368" s="3">
        <f>IF(Q368=1,SUMPRODUCT(--($R$8:$R$1207&lt;R368))+1,"")</f>
        <v/>
      </c>
      <c r="T368" s="12">
        <f>IF(K368=1,'ORDENES'!$J364,"")</f>
        <v/>
      </c>
    </row>
    <row r="369">
      <c r="K369" s="3">
        <f>IF(AND(IF($B$3="(todos)",TRUE,'ORDENES'!$O365=$B$3),IF($D$3="(todos)",TRUE,'ORDENES'!$AF365=$D$3),IF($F$3="(todos)",TRUE,'ORDENES'!$X365=$F$3),IF($H$3="(todos)",TRUE,'ORDENES'!$W365=$H$3),'ORDENES'!$AD365=TRUE,'ORDENES'!$A365&lt;&gt;""),1,0)</f>
        <v/>
      </c>
      <c r="L369" s="3">
        <f>IF(K369=1,IFERROR(MATCH('ORDENES'!$R365,lista_dias,0),9)*1000000000+IFERROR(MATCH('ORDENES'!$AF365,lista_turnos,0),9)*10000000+IFERROR(MATCH('ORDENES'!$AE365,tblTecnicos[nombre],0),99)*100000+362,9000000000000+362)</f>
        <v/>
      </c>
      <c r="M369" s="3">
        <f>IF(K369=1,SUMPRODUCT(--($L$8:$L$1207&lt;L369))+1,"")</f>
        <v/>
      </c>
      <c r="N369" s="17">
        <f>IF(K369=1,N('ORDENES'!$M365),0)</f>
        <v/>
      </c>
      <c r="O369" s="17">
        <f>IF('ORDENES'!$T365="preventiva",N369,0)</f>
        <v/>
      </c>
      <c r="P369" s="17">
        <f>IF('ORDENES'!$T365="correctiva",N369,0)</f>
        <v/>
      </c>
      <c r="Q369" s="3">
        <f>IF(AND(K369=1,'ORDENES'!$N365="Pendiente"),1,0)</f>
        <v/>
      </c>
      <c r="R369" s="3">
        <f>IF(Q369=1,100000-N369*1000+362*0.01,9000000000000+362)</f>
        <v/>
      </c>
      <c r="S369" s="3">
        <f>IF(Q369=1,SUMPRODUCT(--($R$8:$R$1207&lt;R369))+1,"")</f>
        <v/>
      </c>
      <c r="T369" s="12">
        <f>IF(K369=1,'ORDENES'!$J365,"")</f>
        <v/>
      </c>
    </row>
    <row r="370">
      <c r="K370" s="3">
        <f>IF(AND(IF($B$3="(todos)",TRUE,'ORDENES'!$O366=$B$3),IF($D$3="(todos)",TRUE,'ORDENES'!$AF366=$D$3),IF($F$3="(todos)",TRUE,'ORDENES'!$X366=$F$3),IF($H$3="(todos)",TRUE,'ORDENES'!$W366=$H$3),'ORDENES'!$AD366=TRUE,'ORDENES'!$A366&lt;&gt;""),1,0)</f>
        <v/>
      </c>
      <c r="L370" s="3">
        <f>IF(K370=1,IFERROR(MATCH('ORDENES'!$R366,lista_dias,0),9)*1000000000+IFERROR(MATCH('ORDENES'!$AF366,lista_turnos,0),9)*10000000+IFERROR(MATCH('ORDENES'!$AE366,tblTecnicos[nombre],0),99)*100000+363,9000000000000+363)</f>
        <v/>
      </c>
      <c r="M370" s="3">
        <f>IF(K370=1,SUMPRODUCT(--($L$8:$L$1207&lt;L370))+1,"")</f>
        <v/>
      </c>
      <c r="N370" s="17">
        <f>IF(K370=1,N('ORDENES'!$M366),0)</f>
        <v/>
      </c>
      <c r="O370" s="17">
        <f>IF('ORDENES'!$T366="preventiva",N370,0)</f>
        <v/>
      </c>
      <c r="P370" s="17">
        <f>IF('ORDENES'!$T366="correctiva",N370,0)</f>
        <v/>
      </c>
      <c r="Q370" s="3">
        <f>IF(AND(K370=1,'ORDENES'!$N366="Pendiente"),1,0)</f>
        <v/>
      </c>
      <c r="R370" s="3">
        <f>IF(Q370=1,100000-N370*1000+363*0.01,9000000000000+363)</f>
        <v/>
      </c>
      <c r="S370" s="3">
        <f>IF(Q370=1,SUMPRODUCT(--($R$8:$R$1207&lt;R370))+1,"")</f>
        <v/>
      </c>
      <c r="T370" s="12">
        <f>IF(K370=1,'ORDENES'!$J366,"")</f>
        <v/>
      </c>
    </row>
    <row r="371">
      <c r="K371" s="3">
        <f>IF(AND(IF($B$3="(todos)",TRUE,'ORDENES'!$O367=$B$3),IF($D$3="(todos)",TRUE,'ORDENES'!$AF367=$D$3),IF($F$3="(todos)",TRUE,'ORDENES'!$X367=$F$3),IF($H$3="(todos)",TRUE,'ORDENES'!$W367=$H$3),'ORDENES'!$AD367=TRUE,'ORDENES'!$A367&lt;&gt;""),1,0)</f>
        <v/>
      </c>
      <c r="L371" s="3">
        <f>IF(K371=1,IFERROR(MATCH('ORDENES'!$R367,lista_dias,0),9)*1000000000+IFERROR(MATCH('ORDENES'!$AF367,lista_turnos,0),9)*10000000+IFERROR(MATCH('ORDENES'!$AE367,tblTecnicos[nombre],0),99)*100000+364,9000000000000+364)</f>
        <v/>
      </c>
      <c r="M371" s="3">
        <f>IF(K371=1,SUMPRODUCT(--($L$8:$L$1207&lt;L371))+1,"")</f>
        <v/>
      </c>
      <c r="N371" s="17">
        <f>IF(K371=1,N('ORDENES'!$M367),0)</f>
        <v/>
      </c>
      <c r="O371" s="17">
        <f>IF('ORDENES'!$T367="preventiva",N371,0)</f>
        <v/>
      </c>
      <c r="P371" s="17">
        <f>IF('ORDENES'!$T367="correctiva",N371,0)</f>
        <v/>
      </c>
      <c r="Q371" s="3">
        <f>IF(AND(K371=1,'ORDENES'!$N367="Pendiente"),1,0)</f>
        <v/>
      </c>
      <c r="R371" s="3">
        <f>IF(Q371=1,100000-N371*1000+364*0.01,9000000000000+364)</f>
        <v/>
      </c>
      <c r="S371" s="3">
        <f>IF(Q371=1,SUMPRODUCT(--($R$8:$R$1207&lt;R371))+1,"")</f>
        <v/>
      </c>
      <c r="T371" s="12">
        <f>IF(K371=1,'ORDENES'!$J367,"")</f>
        <v/>
      </c>
    </row>
    <row r="372">
      <c r="K372" s="3">
        <f>IF(AND(IF($B$3="(todos)",TRUE,'ORDENES'!$O368=$B$3),IF($D$3="(todos)",TRUE,'ORDENES'!$AF368=$D$3),IF($F$3="(todos)",TRUE,'ORDENES'!$X368=$F$3),IF($H$3="(todos)",TRUE,'ORDENES'!$W368=$H$3),'ORDENES'!$AD368=TRUE,'ORDENES'!$A368&lt;&gt;""),1,0)</f>
        <v/>
      </c>
      <c r="L372" s="3">
        <f>IF(K372=1,IFERROR(MATCH('ORDENES'!$R368,lista_dias,0),9)*1000000000+IFERROR(MATCH('ORDENES'!$AF368,lista_turnos,0),9)*10000000+IFERROR(MATCH('ORDENES'!$AE368,tblTecnicos[nombre],0),99)*100000+365,9000000000000+365)</f>
        <v/>
      </c>
      <c r="M372" s="3">
        <f>IF(K372=1,SUMPRODUCT(--($L$8:$L$1207&lt;L372))+1,"")</f>
        <v/>
      </c>
      <c r="N372" s="17">
        <f>IF(K372=1,N('ORDENES'!$M368),0)</f>
        <v/>
      </c>
      <c r="O372" s="17">
        <f>IF('ORDENES'!$T368="preventiva",N372,0)</f>
        <v/>
      </c>
      <c r="P372" s="17">
        <f>IF('ORDENES'!$T368="correctiva",N372,0)</f>
        <v/>
      </c>
      <c r="Q372" s="3">
        <f>IF(AND(K372=1,'ORDENES'!$N368="Pendiente"),1,0)</f>
        <v/>
      </c>
      <c r="R372" s="3">
        <f>IF(Q372=1,100000-N372*1000+365*0.01,9000000000000+365)</f>
        <v/>
      </c>
      <c r="S372" s="3">
        <f>IF(Q372=1,SUMPRODUCT(--($R$8:$R$1207&lt;R372))+1,"")</f>
        <v/>
      </c>
      <c r="T372" s="12">
        <f>IF(K372=1,'ORDENES'!$J368,"")</f>
        <v/>
      </c>
    </row>
    <row r="373">
      <c r="K373" s="3">
        <f>IF(AND(IF($B$3="(todos)",TRUE,'ORDENES'!$O369=$B$3),IF($D$3="(todos)",TRUE,'ORDENES'!$AF369=$D$3),IF($F$3="(todos)",TRUE,'ORDENES'!$X369=$F$3),IF($H$3="(todos)",TRUE,'ORDENES'!$W369=$H$3),'ORDENES'!$AD369=TRUE,'ORDENES'!$A369&lt;&gt;""),1,0)</f>
        <v/>
      </c>
      <c r="L373" s="3">
        <f>IF(K373=1,IFERROR(MATCH('ORDENES'!$R369,lista_dias,0),9)*1000000000+IFERROR(MATCH('ORDENES'!$AF369,lista_turnos,0),9)*10000000+IFERROR(MATCH('ORDENES'!$AE369,tblTecnicos[nombre],0),99)*100000+366,9000000000000+366)</f>
        <v/>
      </c>
      <c r="M373" s="3">
        <f>IF(K373=1,SUMPRODUCT(--($L$8:$L$1207&lt;L373))+1,"")</f>
        <v/>
      </c>
      <c r="N373" s="17">
        <f>IF(K373=1,N('ORDENES'!$M369),0)</f>
        <v/>
      </c>
      <c r="O373" s="17">
        <f>IF('ORDENES'!$T369="preventiva",N373,0)</f>
        <v/>
      </c>
      <c r="P373" s="17">
        <f>IF('ORDENES'!$T369="correctiva",N373,0)</f>
        <v/>
      </c>
      <c r="Q373" s="3">
        <f>IF(AND(K373=1,'ORDENES'!$N369="Pendiente"),1,0)</f>
        <v/>
      </c>
      <c r="R373" s="3">
        <f>IF(Q373=1,100000-N373*1000+366*0.01,9000000000000+366)</f>
        <v/>
      </c>
      <c r="S373" s="3">
        <f>IF(Q373=1,SUMPRODUCT(--($R$8:$R$1207&lt;R373))+1,"")</f>
        <v/>
      </c>
      <c r="T373" s="12">
        <f>IF(K373=1,'ORDENES'!$J369,"")</f>
        <v/>
      </c>
    </row>
    <row r="374">
      <c r="K374" s="3">
        <f>IF(AND(IF($B$3="(todos)",TRUE,'ORDENES'!$O370=$B$3),IF($D$3="(todos)",TRUE,'ORDENES'!$AF370=$D$3),IF($F$3="(todos)",TRUE,'ORDENES'!$X370=$F$3),IF($H$3="(todos)",TRUE,'ORDENES'!$W370=$H$3),'ORDENES'!$AD370=TRUE,'ORDENES'!$A370&lt;&gt;""),1,0)</f>
        <v/>
      </c>
      <c r="L374" s="3">
        <f>IF(K374=1,IFERROR(MATCH('ORDENES'!$R370,lista_dias,0),9)*1000000000+IFERROR(MATCH('ORDENES'!$AF370,lista_turnos,0),9)*10000000+IFERROR(MATCH('ORDENES'!$AE370,tblTecnicos[nombre],0),99)*100000+367,9000000000000+367)</f>
        <v/>
      </c>
      <c r="M374" s="3">
        <f>IF(K374=1,SUMPRODUCT(--($L$8:$L$1207&lt;L374))+1,"")</f>
        <v/>
      </c>
      <c r="N374" s="17">
        <f>IF(K374=1,N('ORDENES'!$M370),0)</f>
        <v/>
      </c>
      <c r="O374" s="17">
        <f>IF('ORDENES'!$T370="preventiva",N374,0)</f>
        <v/>
      </c>
      <c r="P374" s="17">
        <f>IF('ORDENES'!$T370="correctiva",N374,0)</f>
        <v/>
      </c>
      <c r="Q374" s="3">
        <f>IF(AND(K374=1,'ORDENES'!$N370="Pendiente"),1,0)</f>
        <v/>
      </c>
      <c r="R374" s="3">
        <f>IF(Q374=1,100000-N374*1000+367*0.01,9000000000000+367)</f>
        <v/>
      </c>
      <c r="S374" s="3">
        <f>IF(Q374=1,SUMPRODUCT(--($R$8:$R$1207&lt;R374))+1,"")</f>
        <v/>
      </c>
      <c r="T374" s="12">
        <f>IF(K374=1,'ORDENES'!$J370,"")</f>
        <v/>
      </c>
    </row>
    <row r="375">
      <c r="K375" s="3">
        <f>IF(AND(IF($B$3="(todos)",TRUE,'ORDENES'!$O371=$B$3),IF($D$3="(todos)",TRUE,'ORDENES'!$AF371=$D$3),IF($F$3="(todos)",TRUE,'ORDENES'!$X371=$F$3),IF($H$3="(todos)",TRUE,'ORDENES'!$W371=$H$3),'ORDENES'!$AD371=TRUE,'ORDENES'!$A371&lt;&gt;""),1,0)</f>
        <v/>
      </c>
      <c r="L375" s="3">
        <f>IF(K375=1,IFERROR(MATCH('ORDENES'!$R371,lista_dias,0),9)*1000000000+IFERROR(MATCH('ORDENES'!$AF371,lista_turnos,0),9)*10000000+IFERROR(MATCH('ORDENES'!$AE371,tblTecnicos[nombre],0),99)*100000+368,9000000000000+368)</f>
        <v/>
      </c>
      <c r="M375" s="3">
        <f>IF(K375=1,SUMPRODUCT(--($L$8:$L$1207&lt;L375))+1,"")</f>
        <v/>
      </c>
      <c r="N375" s="17">
        <f>IF(K375=1,N('ORDENES'!$M371),0)</f>
        <v/>
      </c>
      <c r="O375" s="17">
        <f>IF('ORDENES'!$T371="preventiva",N375,0)</f>
        <v/>
      </c>
      <c r="P375" s="17">
        <f>IF('ORDENES'!$T371="correctiva",N375,0)</f>
        <v/>
      </c>
      <c r="Q375" s="3">
        <f>IF(AND(K375=1,'ORDENES'!$N371="Pendiente"),1,0)</f>
        <v/>
      </c>
      <c r="R375" s="3">
        <f>IF(Q375=1,100000-N375*1000+368*0.01,9000000000000+368)</f>
        <v/>
      </c>
      <c r="S375" s="3">
        <f>IF(Q375=1,SUMPRODUCT(--($R$8:$R$1207&lt;R375))+1,"")</f>
        <v/>
      </c>
      <c r="T375" s="12">
        <f>IF(K375=1,'ORDENES'!$J371,"")</f>
        <v/>
      </c>
    </row>
    <row r="376">
      <c r="K376" s="3">
        <f>IF(AND(IF($B$3="(todos)",TRUE,'ORDENES'!$O372=$B$3),IF($D$3="(todos)",TRUE,'ORDENES'!$AF372=$D$3),IF($F$3="(todos)",TRUE,'ORDENES'!$X372=$F$3),IF($H$3="(todos)",TRUE,'ORDENES'!$W372=$H$3),'ORDENES'!$AD372=TRUE,'ORDENES'!$A372&lt;&gt;""),1,0)</f>
        <v/>
      </c>
      <c r="L376" s="3">
        <f>IF(K376=1,IFERROR(MATCH('ORDENES'!$R372,lista_dias,0),9)*1000000000+IFERROR(MATCH('ORDENES'!$AF372,lista_turnos,0),9)*10000000+IFERROR(MATCH('ORDENES'!$AE372,tblTecnicos[nombre],0),99)*100000+369,9000000000000+369)</f>
        <v/>
      </c>
      <c r="M376" s="3">
        <f>IF(K376=1,SUMPRODUCT(--($L$8:$L$1207&lt;L376))+1,"")</f>
        <v/>
      </c>
      <c r="N376" s="17">
        <f>IF(K376=1,N('ORDENES'!$M372),0)</f>
        <v/>
      </c>
      <c r="O376" s="17">
        <f>IF('ORDENES'!$T372="preventiva",N376,0)</f>
        <v/>
      </c>
      <c r="P376" s="17">
        <f>IF('ORDENES'!$T372="correctiva",N376,0)</f>
        <v/>
      </c>
      <c r="Q376" s="3">
        <f>IF(AND(K376=1,'ORDENES'!$N372="Pendiente"),1,0)</f>
        <v/>
      </c>
      <c r="R376" s="3">
        <f>IF(Q376=1,100000-N376*1000+369*0.01,9000000000000+369)</f>
        <v/>
      </c>
      <c r="S376" s="3">
        <f>IF(Q376=1,SUMPRODUCT(--($R$8:$R$1207&lt;R376))+1,"")</f>
        <v/>
      </c>
      <c r="T376" s="12">
        <f>IF(K376=1,'ORDENES'!$J372,"")</f>
        <v/>
      </c>
    </row>
    <row r="377">
      <c r="K377" s="3">
        <f>IF(AND(IF($B$3="(todos)",TRUE,'ORDENES'!$O373=$B$3),IF($D$3="(todos)",TRUE,'ORDENES'!$AF373=$D$3),IF($F$3="(todos)",TRUE,'ORDENES'!$X373=$F$3),IF($H$3="(todos)",TRUE,'ORDENES'!$W373=$H$3),'ORDENES'!$AD373=TRUE,'ORDENES'!$A373&lt;&gt;""),1,0)</f>
        <v/>
      </c>
      <c r="L377" s="3">
        <f>IF(K377=1,IFERROR(MATCH('ORDENES'!$R373,lista_dias,0),9)*1000000000+IFERROR(MATCH('ORDENES'!$AF373,lista_turnos,0),9)*10000000+IFERROR(MATCH('ORDENES'!$AE373,tblTecnicos[nombre],0),99)*100000+370,9000000000000+370)</f>
        <v/>
      </c>
      <c r="M377" s="3">
        <f>IF(K377=1,SUMPRODUCT(--($L$8:$L$1207&lt;L377))+1,"")</f>
        <v/>
      </c>
      <c r="N377" s="17">
        <f>IF(K377=1,N('ORDENES'!$M373),0)</f>
        <v/>
      </c>
      <c r="O377" s="17">
        <f>IF('ORDENES'!$T373="preventiva",N377,0)</f>
        <v/>
      </c>
      <c r="P377" s="17">
        <f>IF('ORDENES'!$T373="correctiva",N377,0)</f>
        <v/>
      </c>
      <c r="Q377" s="3">
        <f>IF(AND(K377=1,'ORDENES'!$N373="Pendiente"),1,0)</f>
        <v/>
      </c>
      <c r="R377" s="3">
        <f>IF(Q377=1,100000-N377*1000+370*0.01,9000000000000+370)</f>
        <v/>
      </c>
      <c r="S377" s="3">
        <f>IF(Q377=1,SUMPRODUCT(--($R$8:$R$1207&lt;R377))+1,"")</f>
        <v/>
      </c>
      <c r="T377" s="12">
        <f>IF(K377=1,'ORDENES'!$J373,"")</f>
        <v/>
      </c>
    </row>
    <row r="378">
      <c r="K378" s="3">
        <f>IF(AND(IF($B$3="(todos)",TRUE,'ORDENES'!$O374=$B$3),IF($D$3="(todos)",TRUE,'ORDENES'!$AF374=$D$3),IF($F$3="(todos)",TRUE,'ORDENES'!$X374=$F$3),IF($H$3="(todos)",TRUE,'ORDENES'!$W374=$H$3),'ORDENES'!$AD374=TRUE,'ORDENES'!$A374&lt;&gt;""),1,0)</f>
        <v/>
      </c>
      <c r="L378" s="3">
        <f>IF(K378=1,IFERROR(MATCH('ORDENES'!$R374,lista_dias,0),9)*1000000000+IFERROR(MATCH('ORDENES'!$AF374,lista_turnos,0),9)*10000000+IFERROR(MATCH('ORDENES'!$AE374,tblTecnicos[nombre],0),99)*100000+371,9000000000000+371)</f>
        <v/>
      </c>
      <c r="M378" s="3">
        <f>IF(K378=1,SUMPRODUCT(--($L$8:$L$1207&lt;L378))+1,"")</f>
        <v/>
      </c>
      <c r="N378" s="17">
        <f>IF(K378=1,N('ORDENES'!$M374),0)</f>
        <v/>
      </c>
      <c r="O378" s="17">
        <f>IF('ORDENES'!$T374="preventiva",N378,0)</f>
        <v/>
      </c>
      <c r="P378" s="17">
        <f>IF('ORDENES'!$T374="correctiva",N378,0)</f>
        <v/>
      </c>
      <c r="Q378" s="3">
        <f>IF(AND(K378=1,'ORDENES'!$N374="Pendiente"),1,0)</f>
        <v/>
      </c>
      <c r="R378" s="3">
        <f>IF(Q378=1,100000-N378*1000+371*0.01,9000000000000+371)</f>
        <v/>
      </c>
      <c r="S378" s="3">
        <f>IF(Q378=1,SUMPRODUCT(--($R$8:$R$1207&lt;R378))+1,"")</f>
        <v/>
      </c>
      <c r="T378" s="12">
        <f>IF(K378=1,'ORDENES'!$J374,"")</f>
        <v/>
      </c>
    </row>
    <row r="379">
      <c r="K379" s="3">
        <f>IF(AND(IF($B$3="(todos)",TRUE,'ORDENES'!$O375=$B$3),IF($D$3="(todos)",TRUE,'ORDENES'!$AF375=$D$3),IF($F$3="(todos)",TRUE,'ORDENES'!$X375=$F$3),IF($H$3="(todos)",TRUE,'ORDENES'!$W375=$H$3),'ORDENES'!$AD375=TRUE,'ORDENES'!$A375&lt;&gt;""),1,0)</f>
        <v/>
      </c>
      <c r="L379" s="3">
        <f>IF(K379=1,IFERROR(MATCH('ORDENES'!$R375,lista_dias,0),9)*1000000000+IFERROR(MATCH('ORDENES'!$AF375,lista_turnos,0),9)*10000000+IFERROR(MATCH('ORDENES'!$AE375,tblTecnicos[nombre],0),99)*100000+372,9000000000000+372)</f>
        <v/>
      </c>
      <c r="M379" s="3">
        <f>IF(K379=1,SUMPRODUCT(--($L$8:$L$1207&lt;L379))+1,"")</f>
        <v/>
      </c>
      <c r="N379" s="17">
        <f>IF(K379=1,N('ORDENES'!$M375),0)</f>
        <v/>
      </c>
      <c r="O379" s="17">
        <f>IF('ORDENES'!$T375="preventiva",N379,0)</f>
        <v/>
      </c>
      <c r="P379" s="17">
        <f>IF('ORDENES'!$T375="correctiva",N379,0)</f>
        <v/>
      </c>
      <c r="Q379" s="3">
        <f>IF(AND(K379=1,'ORDENES'!$N375="Pendiente"),1,0)</f>
        <v/>
      </c>
      <c r="R379" s="3">
        <f>IF(Q379=1,100000-N379*1000+372*0.01,9000000000000+372)</f>
        <v/>
      </c>
      <c r="S379" s="3">
        <f>IF(Q379=1,SUMPRODUCT(--($R$8:$R$1207&lt;R379))+1,"")</f>
        <v/>
      </c>
      <c r="T379" s="12">
        <f>IF(K379=1,'ORDENES'!$J375,"")</f>
        <v/>
      </c>
    </row>
    <row r="380">
      <c r="K380" s="3">
        <f>IF(AND(IF($B$3="(todos)",TRUE,'ORDENES'!$O376=$B$3),IF($D$3="(todos)",TRUE,'ORDENES'!$AF376=$D$3),IF($F$3="(todos)",TRUE,'ORDENES'!$X376=$F$3),IF($H$3="(todos)",TRUE,'ORDENES'!$W376=$H$3),'ORDENES'!$AD376=TRUE,'ORDENES'!$A376&lt;&gt;""),1,0)</f>
        <v/>
      </c>
      <c r="L380" s="3">
        <f>IF(K380=1,IFERROR(MATCH('ORDENES'!$R376,lista_dias,0),9)*1000000000+IFERROR(MATCH('ORDENES'!$AF376,lista_turnos,0),9)*10000000+IFERROR(MATCH('ORDENES'!$AE376,tblTecnicos[nombre],0),99)*100000+373,9000000000000+373)</f>
        <v/>
      </c>
      <c r="M380" s="3">
        <f>IF(K380=1,SUMPRODUCT(--($L$8:$L$1207&lt;L380))+1,"")</f>
        <v/>
      </c>
      <c r="N380" s="17">
        <f>IF(K380=1,N('ORDENES'!$M376),0)</f>
        <v/>
      </c>
      <c r="O380" s="17">
        <f>IF('ORDENES'!$T376="preventiva",N380,0)</f>
        <v/>
      </c>
      <c r="P380" s="17">
        <f>IF('ORDENES'!$T376="correctiva",N380,0)</f>
        <v/>
      </c>
      <c r="Q380" s="3">
        <f>IF(AND(K380=1,'ORDENES'!$N376="Pendiente"),1,0)</f>
        <v/>
      </c>
      <c r="R380" s="3">
        <f>IF(Q380=1,100000-N380*1000+373*0.01,9000000000000+373)</f>
        <v/>
      </c>
      <c r="S380" s="3">
        <f>IF(Q380=1,SUMPRODUCT(--($R$8:$R$1207&lt;R380))+1,"")</f>
        <v/>
      </c>
      <c r="T380" s="12">
        <f>IF(K380=1,'ORDENES'!$J376,"")</f>
        <v/>
      </c>
    </row>
    <row r="381">
      <c r="K381" s="3">
        <f>IF(AND(IF($B$3="(todos)",TRUE,'ORDENES'!$O377=$B$3),IF($D$3="(todos)",TRUE,'ORDENES'!$AF377=$D$3),IF($F$3="(todos)",TRUE,'ORDENES'!$X377=$F$3),IF($H$3="(todos)",TRUE,'ORDENES'!$W377=$H$3),'ORDENES'!$AD377=TRUE,'ORDENES'!$A377&lt;&gt;""),1,0)</f>
        <v/>
      </c>
      <c r="L381" s="3">
        <f>IF(K381=1,IFERROR(MATCH('ORDENES'!$R377,lista_dias,0),9)*1000000000+IFERROR(MATCH('ORDENES'!$AF377,lista_turnos,0),9)*10000000+IFERROR(MATCH('ORDENES'!$AE377,tblTecnicos[nombre],0),99)*100000+374,9000000000000+374)</f>
        <v/>
      </c>
      <c r="M381" s="3">
        <f>IF(K381=1,SUMPRODUCT(--($L$8:$L$1207&lt;L381))+1,"")</f>
        <v/>
      </c>
      <c r="N381" s="17">
        <f>IF(K381=1,N('ORDENES'!$M377),0)</f>
        <v/>
      </c>
      <c r="O381" s="17">
        <f>IF('ORDENES'!$T377="preventiva",N381,0)</f>
        <v/>
      </c>
      <c r="P381" s="17">
        <f>IF('ORDENES'!$T377="correctiva",N381,0)</f>
        <v/>
      </c>
      <c r="Q381" s="3">
        <f>IF(AND(K381=1,'ORDENES'!$N377="Pendiente"),1,0)</f>
        <v/>
      </c>
      <c r="R381" s="3">
        <f>IF(Q381=1,100000-N381*1000+374*0.01,9000000000000+374)</f>
        <v/>
      </c>
      <c r="S381" s="3">
        <f>IF(Q381=1,SUMPRODUCT(--($R$8:$R$1207&lt;R381))+1,"")</f>
        <v/>
      </c>
      <c r="T381" s="12">
        <f>IF(K381=1,'ORDENES'!$J377,"")</f>
        <v/>
      </c>
    </row>
    <row r="382">
      <c r="K382" s="3">
        <f>IF(AND(IF($B$3="(todos)",TRUE,'ORDENES'!$O378=$B$3),IF($D$3="(todos)",TRUE,'ORDENES'!$AF378=$D$3),IF($F$3="(todos)",TRUE,'ORDENES'!$X378=$F$3),IF($H$3="(todos)",TRUE,'ORDENES'!$W378=$H$3),'ORDENES'!$AD378=TRUE,'ORDENES'!$A378&lt;&gt;""),1,0)</f>
        <v/>
      </c>
      <c r="L382" s="3">
        <f>IF(K382=1,IFERROR(MATCH('ORDENES'!$R378,lista_dias,0),9)*1000000000+IFERROR(MATCH('ORDENES'!$AF378,lista_turnos,0),9)*10000000+IFERROR(MATCH('ORDENES'!$AE378,tblTecnicos[nombre],0),99)*100000+375,9000000000000+375)</f>
        <v/>
      </c>
      <c r="M382" s="3">
        <f>IF(K382=1,SUMPRODUCT(--($L$8:$L$1207&lt;L382))+1,"")</f>
        <v/>
      </c>
      <c r="N382" s="17">
        <f>IF(K382=1,N('ORDENES'!$M378),0)</f>
        <v/>
      </c>
      <c r="O382" s="17">
        <f>IF('ORDENES'!$T378="preventiva",N382,0)</f>
        <v/>
      </c>
      <c r="P382" s="17">
        <f>IF('ORDENES'!$T378="correctiva",N382,0)</f>
        <v/>
      </c>
      <c r="Q382" s="3">
        <f>IF(AND(K382=1,'ORDENES'!$N378="Pendiente"),1,0)</f>
        <v/>
      </c>
      <c r="R382" s="3">
        <f>IF(Q382=1,100000-N382*1000+375*0.01,9000000000000+375)</f>
        <v/>
      </c>
      <c r="S382" s="3">
        <f>IF(Q382=1,SUMPRODUCT(--($R$8:$R$1207&lt;R382))+1,"")</f>
        <v/>
      </c>
      <c r="T382" s="12">
        <f>IF(K382=1,'ORDENES'!$J378,"")</f>
        <v/>
      </c>
    </row>
    <row r="383">
      <c r="K383" s="3">
        <f>IF(AND(IF($B$3="(todos)",TRUE,'ORDENES'!$O379=$B$3),IF($D$3="(todos)",TRUE,'ORDENES'!$AF379=$D$3),IF($F$3="(todos)",TRUE,'ORDENES'!$X379=$F$3),IF($H$3="(todos)",TRUE,'ORDENES'!$W379=$H$3),'ORDENES'!$AD379=TRUE,'ORDENES'!$A379&lt;&gt;""),1,0)</f>
        <v/>
      </c>
      <c r="L383" s="3">
        <f>IF(K383=1,IFERROR(MATCH('ORDENES'!$R379,lista_dias,0),9)*1000000000+IFERROR(MATCH('ORDENES'!$AF379,lista_turnos,0),9)*10000000+IFERROR(MATCH('ORDENES'!$AE379,tblTecnicos[nombre],0),99)*100000+376,9000000000000+376)</f>
        <v/>
      </c>
      <c r="M383" s="3">
        <f>IF(K383=1,SUMPRODUCT(--($L$8:$L$1207&lt;L383))+1,"")</f>
        <v/>
      </c>
      <c r="N383" s="17">
        <f>IF(K383=1,N('ORDENES'!$M379),0)</f>
        <v/>
      </c>
      <c r="O383" s="17">
        <f>IF('ORDENES'!$T379="preventiva",N383,0)</f>
        <v/>
      </c>
      <c r="P383" s="17">
        <f>IF('ORDENES'!$T379="correctiva",N383,0)</f>
        <v/>
      </c>
      <c r="Q383" s="3">
        <f>IF(AND(K383=1,'ORDENES'!$N379="Pendiente"),1,0)</f>
        <v/>
      </c>
      <c r="R383" s="3">
        <f>IF(Q383=1,100000-N383*1000+376*0.01,9000000000000+376)</f>
        <v/>
      </c>
      <c r="S383" s="3">
        <f>IF(Q383=1,SUMPRODUCT(--($R$8:$R$1207&lt;R383))+1,"")</f>
        <v/>
      </c>
      <c r="T383" s="12">
        <f>IF(K383=1,'ORDENES'!$J379,"")</f>
        <v/>
      </c>
    </row>
    <row r="384">
      <c r="K384" s="3">
        <f>IF(AND(IF($B$3="(todos)",TRUE,'ORDENES'!$O380=$B$3),IF($D$3="(todos)",TRUE,'ORDENES'!$AF380=$D$3),IF($F$3="(todos)",TRUE,'ORDENES'!$X380=$F$3),IF($H$3="(todos)",TRUE,'ORDENES'!$W380=$H$3),'ORDENES'!$AD380=TRUE,'ORDENES'!$A380&lt;&gt;""),1,0)</f>
        <v/>
      </c>
      <c r="L384" s="3">
        <f>IF(K384=1,IFERROR(MATCH('ORDENES'!$R380,lista_dias,0),9)*1000000000+IFERROR(MATCH('ORDENES'!$AF380,lista_turnos,0),9)*10000000+IFERROR(MATCH('ORDENES'!$AE380,tblTecnicos[nombre],0),99)*100000+377,9000000000000+377)</f>
        <v/>
      </c>
      <c r="M384" s="3">
        <f>IF(K384=1,SUMPRODUCT(--($L$8:$L$1207&lt;L384))+1,"")</f>
        <v/>
      </c>
      <c r="N384" s="17">
        <f>IF(K384=1,N('ORDENES'!$M380),0)</f>
        <v/>
      </c>
      <c r="O384" s="17">
        <f>IF('ORDENES'!$T380="preventiva",N384,0)</f>
        <v/>
      </c>
      <c r="P384" s="17">
        <f>IF('ORDENES'!$T380="correctiva",N384,0)</f>
        <v/>
      </c>
      <c r="Q384" s="3">
        <f>IF(AND(K384=1,'ORDENES'!$N380="Pendiente"),1,0)</f>
        <v/>
      </c>
      <c r="R384" s="3">
        <f>IF(Q384=1,100000-N384*1000+377*0.01,9000000000000+377)</f>
        <v/>
      </c>
      <c r="S384" s="3">
        <f>IF(Q384=1,SUMPRODUCT(--($R$8:$R$1207&lt;R384))+1,"")</f>
        <v/>
      </c>
      <c r="T384" s="12">
        <f>IF(K384=1,'ORDENES'!$J380,"")</f>
        <v/>
      </c>
    </row>
    <row r="385">
      <c r="K385" s="3">
        <f>IF(AND(IF($B$3="(todos)",TRUE,'ORDENES'!$O381=$B$3),IF($D$3="(todos)",TRUE,'ORDENES'!$AF381=$D$3),IF($F$3="(todos)",TRUE,'ORDENES'!$X381=$F$3),IF($H$3="(todos)",TRUE,'ORDENES'!$W381=$H$3),'ORDENES'!$AD381=TRUE,'ORDENES'!$A381&lt;&gt;""),1,0)</f>
        <v/>
      </c>
      <c r="L385" s="3">
        <f>IF(K385=1,IFERROR(MATCH('ORDENES'!$R381,lista_dias,0),9)*1000000000+IFERROR(MATCH('ORDENES'!$AF381,lista_turnos,0),9)*10000000+IFERROR(MATCH('ORDENES'!$AE381,tblTecnicos[nombre],0),99)*100000+378,9000000000000+378)</f>
        <v/>
      </c>
      <c r="M385" s="3">
        <f>IF(K385=1,SUMPRODUCT(--($L$8:$L$1207&lt;L385))+1,"")</f>
        <v/>
      </c>
      <c r="N385" s="17">
        <f>IF(K385=1,N('ORDENES'!$M381),0)</f>
        <v/>
      </c>
      <c r="O385" s="17">
        <f>IF('ORDENES'!$T381="preventiva",N385,0)</f>
        <v/>
      </c>
      <c r="P385" s="17">
        <f>IF('ORDENES'!$T381="correctiva",N385,0)</f>
        <v/>
      </c>
      <c r="Q385" s="3">
        <f>IF(AND(K385=1,'ORDENES'!$N381="Pendiente"),1,0)</f>
        <v/>
      </c>
      <c r="R385" s="3">
        <f>IF(Q385=1,100000-N385*1000+378*0.01,9000000000000+378)</f>
        <v/>
      </c>
      <c r="S385" s="3">
        <f>IF(Q385=1,SUMPRODUCT(--($R$8:$R$1207&lt;R385))+1,"")</f>
        <v/>
      </c>
      <c r="T385" s="12">
        <f>IF(K385=1,'ORDENES'!$J381,"")</f>
        <v/>
      </c>
    </row>
    <row r="386">
      <c r="K386" s="3">
        <f>IF(AND(IF($B$3="(todos)",TRUE,'ORDENES'!$O382=$B$3),IF($D$3="(todos)",TRUE,'ORDENES'!$AF382=$D$3),IF($F$3="(todos)",TRUE,'ORDENES'!$X382=$F$3),IF($H$3="(todos)",TRUE,'ORDENES'!$W382=$H$3),'ORDENES'!$AD382=TRUE,'ORDENES'!$A382&lt;&gt;""),1,0)</f>
        <v/>
      </c>
      <c r="L386" s="3">
        <f>IF(K386=1,IFERROR(MATCH('ORDENES'!$R382,lista_dias,0),9)*1000000000+IFERROR(MATCH('ORDENES'!$AF382,lista_turnos,0),9)*10000000+IFERROR(MATCH('ORDENES'!$AE382,tblTecnicos[nombre],0),99)*100000+379,9000000000000+379)</f>
        <v/>
      </c>
      <c r="M386" s="3">
        <f>IF(K386=1,SUMPRODUCT(--($L$8:$L$1207&lt;L386))+1,"")</f>
        <v/>
      </c>
      <c r="N386" s="17">
        <f>IF(K386=1,N('ORDENES'!$M382),0)</f>
        <v/>
      </c>
      <c r="O386" s="17">
        <f>IF('ORDENES'!$T382="preventiva",N386,0)</f>
        <v/>
      </c>
      <c r="P386" s="17">
        <f>IF('ORDENES'!$T382="correctiva",N386,0)</f>
        <v/>
      </c>
      <c r="Q386" s="3">
        <f>IF(AND(K386=1,'ORDENES'!$N382="Pendiente"),1,0)</f>
        <v/>
      </c>
      <c r="R386" s="3">
        <f>IF(Q386=1,100000-N386*1000+379*0.01,9000000000000+379)</f>
        <v/>
      </c>
      <c r="S386" s="3">
        <f>IF(Q386=1,SUMPRODUCT(--($R$8:$R$1207&lt;R386))+1,"")</f>
        <v/>
      </c>
      <c r="T386" s="12">
        <f>IF(K386=1,'ORDENES'!$J382,"")</f>
        <v/>
      </c>
    </row>
    <row r="387">
      <c r="K387" s="3">
        <f>IF(AND(IF($B$3="(todos)",TRUE,'ORDENES'!$O383=$B$3),IF($D$3="(todos)",TRUE,'ORDENES'!$AF383=$D$3),IF($F$3="(todos)",TRUE,'ORDENES'!$X383=$F$3),IF($H$3="(todos)",TRUE,'ORDENES'!$W383=$H$3),'ORDENES'!$AD383=TRUE,'ORDENES'!$A383&lt;&gt;""),1,0)</f>
        <v/>
      </c>
      <c r="L387" s="3">
        <f>IF(K387=1,IFERROR(MATCH('ORDENES'!$R383,lista_dias,0),9)*1000000000+IFERROR(MATCH('ORDENES'!$AF383,lista_turnos,0),9)*10000000+IFERROR(MATCH('ORDENES'!$AE383,tblTecnicos[nombre],0),99)*100000+380,9000000000000+380)</f>
        <v/>
      </c>
      <c r="M387" s="3">
        <f>IF(K387=1,SUMPRODUCT(--($L$8:$L$1207&lt;L387))+1,"")</f>
        <v/>
      </c>
      <c r="N387" s="17">
        <f>IF(K387=1,N('ORDENES'!$M383),0)</f>
        <v/>
      </c>
      <c r="O387" s="17">
        <f>IF('ORDENES'!$T383="preventiva",N387,0)</f>
        <v/>
      </c>
      <c r="P387" s="17">
        <f>IF('ORDENES'!$T383="correctiva",N387,0)</f>
        <v/>
      </c>
      <c r="Q387" s="3">
        <f>IF(AND(K387=1,'ORDENES'!$N383="Pendiente"),1,0)</f>
        <v/>
      </c>
      <c r="R387" s="3">
        <f>IF(Q387=1,100000-N387*1000+380*0.01,9000000000000+380)</f>
        <v/>
      </c>
      <c r="S387" s="3">
        <f>IF(Q387=1,SUMPRODUCT(--($R$8:$R$1207&lt;R387))+1,"")</f>
        <v/>
      </c>
      <c r="T387" s="12">
        <f>IF(K387=1,'ORDENES'!$J383,"")</f>
        <v/>
      </c>
    </row>
    <row r="388">
      <c r="K388" s="3">
        <f>IF(AND(IF($B$3="(todos)",TRUE,'ORDENES'!$O384=$B$3),IF($D$3="(todos)",TRUE,'ORDENES'!$AF384=$D$3),IF($F$3="(todos)",TRUE,'ORDENES'!$X384=$F$3),IF($H$3="(todos)",TRUE,'ORDENES'!$W384=$H$3),'ORDENES'!$AD384=TRUE,'ORDENES'!$A384&lt;&gt;""),1,0)</f>
        <v/>
      </c>
      <c r="L388" s="3">
        <f>IF(K388=1,IFERROR(MATCH('ORDENES'!$R384,lista_dias,0),9)*1000000000+IFERROR(MATCH('ORDENES'!$AF384,lista_turnos,0),9)*10000000+IFERROR(MATCH('ORDENES'!$AE384,tblTecnicos[nombre],0),99)*100000+381,9000000000000+381)</f>
        <v/>
      </c>
      <c r="M388" s="3">
        <f>IF(K388=1,SUMPRODUCT(--($L$8:$L$1207&lt;L388))+1,"")</f>
        <v/>
      </c>
      <c r="N388" s="17">
        <f>IF(K388=1,N('ORDENES'!$M384),0)</f>
        <v/>
      </c>
      <c r="O388" s="17">
        <f>IF('ORDENES'!$T384="preventiva",N388,0)</f>
        <v/>
      </c>
      <c r="P388" s="17">
        <f>IF('ORDENES'!$T384="correctiva",N388,0)</f>
        <v/>
      </c>
      <c r="Q388" s="3">
        <f>IF(AND(K388=1,'ORDENES'!$N384="Pendiente"),1,0)</f>
        <v/>
      </c>
      <c r="R388" s="3">
        <f>IF(Q388=1,100000-N388*1000+381*0.01,9000000000000+381)</f>
        <v/>
      </c>
      <c r="S388" s="3">
        <f>IF(Q388=1,SUMPRODUCT(--($R$8:$R$1207&lt;R388))+1,"")</f>
        <v/>
      </c>
      <c r="T388" s="12">
        <f>IF(K388=1,'ORDENES'!$J384,"")</f>
        <v/>
      </c>
    </row>
    <row r="389">
      <c r="K389" s="3">
        <f>IF(AND(IF($B$3="(todos)",TRUE,'ORDENES'!$O385=$B$3),IF($D$3="(todos)",TRUE,'ORDENES'!$AF385=$D$3),IF($F$3="(todos)",TRUE,'ORDENES'!$X385=$F$3),IF($H$3="(todos)",TRUE,'ORDENES'!$W385=$H$3),'ORDENES'!$AD385=TRUE,'ORDENES'!$A385&lt;&gt;""),1,0)</f>
        <v/>
      </c>
      <c r="L389" s="3">
        <f>IF(K389=1,IFERROR(MATCH('ORDENES'!$R385,lista_dias,0),9)*1000000000+IFERROR(MATCH('ORDENES'!$AF385,lista_turnos,0),9)*10000000+IFERROR(MATCH('ORDENES'!$AE385,tblTecnicos[nombre],0),99)*100000+382,9000000000000+382)</f>
        <v/>
      </c>
      <c r="M389" s="3">
        <f>IF(K389=1,SUMPRODUCT(--($L$8:$L$1207&lt;L389))+1,"")</f>
        <v/>
      </c>
      <c r="N389" s="17">
        <f>IF(K389=1,N('ORDENES'!$M385),0)</f>
        <v/>
      </c>
      <c r="O389" s="17">
        <f>IF('ORDENES'!$T385="preventiva",N389,0)</f>
        <v/>
      </c>
      <c r="P389" s="17">
        <f>IF('ORDENES'!$T385="correctiva",N389,0)</f>
        <v/>
      </c>
      <c r="Q389" s="3">
        <f>IF(AND(K389=1,'ORDENES'!$N385="Pendiente"),1,0)</f>
        <v/>
      </c>
      <c r="R389" s="3">
        <f>IF(Q389=1,100000-N389*1000+382*0.01,9000000000000+382)</f>
        <v/>
      </c>
      <c r="S389" s="3">
        <f>IF(Q389=1,SUMPRODUCT(--($R$8:$R$1207&lt;R389))+1,"")</f>
        <v/>
      </c>
      <c r="T389" s="12">
        <f>IF(K389=1,'ORDENES'!$J385,"")</f>
        <v/>
      </c>
    </row>
    <row r="390">
      <c r="K390" s="3">
        <f>IF(AND(IF($B$3="(todos)",TRUE,'ORDENES'!$O386=$B$3),IF($D$3="(todos)",TRUE,'ORDENES'!$AF386=$D$3),IF($F$3="(todos)",TRUE,'ORDENES'!$X386=$F$3),IF($H$3="(todos)",TRUE,'ORDENES'!$W386=$H$3),'ORDENES'!$AD386=TRUE,'ORDENES'!$A386&lt;&gt;""),1,0)</f>
        <v/>
      </c>
      <c r="L390" s="3">
        <f>IF(K390=1,IFERROR(MATCH('ORDENES'!$R386,lista_dias,0),9)*1000000000+IFERROR(MATCH('ORDENES'!$AF386,lista_turnos,0),9)*10000000+IFERROR(MATCH('ORDENES'!$AE386,tblTecnicos[nombre],0),99)*100000+383,9000000000000+383)</f>
        <v/>
      </c>
      <c r="M390" s="3">
        <f>IF(K390=1,SUMPRODUCT(--($L$8:$L$1207&lt;L390))+1,"")</f>
        <v/>
      </c>
      <c r="N390" s="17">
        <f>IF(K390=1,N('ORDENES'!$M386),0)</f>
        <v/>
      </c>
      <c r="O390" s="17">
        <f>IF('ORDENES'!$T386="preventiva",N390,0)</f>
        <v/>
      </c>
      <c r="P390" s="17">
        <f>IF('ORDENES'!$T386="correctiva",N390,0)</f>
        <v/>
      </c>
      <c r="Q390" s="3">
        <f>IF(AND(K390=1,'ORDENES'!$N386="Pendiente"),1,0)</f>
        <v/>
      </c>
      <c r="R390" s="3">
        <f>IF(Q390=1,100000-N390*1000+383*0.01,9000000000000+383)</f>
        <v/>
      </c>
      <c r="S390" s="3">
        <f>IF(Q390=1,SUMPRODUCT(--($R$8:$R$1207&lt;R390))+1,"")</f>
        <v/>
      </c>
      <c r="T390" s="12">
        <f>IF(K390=1,'ORDENES'!$J386,"")</f>
        <v/>
      </c>
    </row>
    <row r="391">
      <c r="K391" s="3">
        <f>IF(AND(IF($B$3="(todos)",TRUE,'ORDENES'!$O387=$B$3),IF($D$3="(todos)",TRUE,'ORDENES'!$AF387=$D$3),IF($F$3="(todos)",TRUE,'ORDENES'!$X387=$F$3),IF($H$3="(todos)",TRUE,'ORDENES'!$W387=$H$3),'ORDENES'!$AD387=TRUE,'ORDENES'!$A387&lt;&gt;""),1,0)</f>
        <v/>
      </c>
      <c r="L391" s="3">
        <f>IF(K391=1,IFERROR(MATCH('ORDENES'!$R387,lista_dias,0),9)*1000000000+IFERROR(MATCH('ORDENES'!$AF387,lista_turnos,0),9)*10000000+IFERROR(MATCH('ORDENES'!$AE387,tblTecnicos[nombre],0),99)*100000+384,9000000000000+384)</f>
        <v/>
      </c>
      <c r="M391" s="3">
        <f>IF(K391=1,SUMPRODUCT(--($L$8:$L$1207&lt;L391))+1,"")</f>
        <v/>
      </c>
      <c r="N391" s="17">
        <f>IF(K391=1,N('ORDENES'!$M387),0)</f>
        <v/>
      </c>
      <c r="O391" s="17">
        <f>IF('ORDENES'!$T387="preventiva",N391,0)</f>
        <v/>
      </c>
      <c r="P391" s="17">
        <f>IF('ORDENES'!$T387="correctiva",N391,0)</f>
        <v/>
      </c>
      <c r="Q391" s="3">
        <f>IF(AND(K391=1,'ORDENES'!$N387="Pendiente"),1,0)</f>
        <v/>
      </c>
      <c r="R391" s="3">
        <f>IF(Q391=1,100000-N391*1000+384*0.01,9000000000000+384)</f>
        <v/>
      </c>
      <c r="S391" s="3">
        <f>IF(Q391=1,SUMPRODUCT(--($R$8:$R$1207&lt;R391))+1,"")</f>
        <v/>
      </c>
      <c r="T391" s="12">
        <f>IF(K391=1,'ORDENES'!$J387,"")</f>
        <v/>
      </c>
    </row>
    <row r="392">
      <c r="K392" s="3">
        <f>IF(AND(IF($B$3="(todos)",TRUE,'ORDENES'!$O388=$B$3),IF($D$3="(todos)",TRUE,'ORDENES'!$AF388=$D$3),IF($F$3="(todos)",TRUE,'ORDENES'!$X388=$F$3),IF($H$3="(todos)",TRUE,'ORDENES'!$W388=$H$3),'ORDENES'!$AD388=TRUE,'ORDENES'!$A388&lt;&gt;""),1,0)</f>
        <v/>
      </c>
      <c r="L392" s="3">
        <f>IF(K392=1,IFERROR(MATCH('ORDENES'!$R388,lista_dias,0),9)*1000000000+IFERROR(MATCH('ORDENES'!$AF388,lista_turnos,0),9)*10000000+IFERROR(MATCH('ORDENES'!$AE388,tblTecnicos[nombre],0),99)*100000+385,9000000000000+385)</f>
        <v/>
      </c>
      <c r="M392" s="3">
        <f>IF(K392=1,SUMPRODUCT(--($L$8:$L$1207&lt;L392))+1,"")</f>
        <v/>
      </c>
      <c r="N392" s="17">
        <f>IF(K392=1,N('ORDENES'!$M388),0)</f>
        <v/>
      </c>
      <c r="O392" s="17">
        <f>IF('ORDENES'!$T388="preventiva",N392,0)</f>
        <v/>
      </c>
      <c r="P392" s="17">
        <f>IF('ORDENES'!$T388="correctiva",N392,0)</f>
        <v/>
      </c>
      <c r="Q392" s="3">
        <f>IF(AND(K392=1,'ORDENES'!$N388="Pendiente"),1,0)</f>
        <v/>
      </c>
      <c r="R392" s="3">
        <f>IF(Q392=1,100000-N392*1000+385*0.01,9000000000000+385)</f>
        <v/>
      </c>
      <c r="S392" s="3">
        <f>IF(Q392=1,SUMPRODUCT(--($R$8:$R$1207&lt;R392))+1,"")</f>
        <v/>
      </c>
      <c r="T392" s="12">
        <f>IF(K392=1,'ORDENES'!$J388,"")</f>
        <v/>
      </c>
    </row>
    <row r="393">
      <c r="K393" s="3">
        <f>IF(AND(IF($B$3="(todos)",TRUE,'ORDENES'!$O389=$B$3),IF($D$3="(todos)",TRUE,'ORDENES'!$AF389=$D$3),IF($F$3="(todos)",TRUE,'ORDENES'!$X389=$F$3),IF($H$3="(todos)",TRUE,'ORDENES'!$W389=$H$3),'ORDENES'!$AD389=TRUE,'ORDENES'!$A389&lt;&gt;""),1,0)</f>
        <v/>
      </c>
      <c r="L393" s="3">
        <f>IF(K393=1,IFERROR(MATCH('ORDENES'!$R389,lista_dias,0),9)*1000000000+IFERROR(MATCH('ORDENES'!$AF389,lista_turnos,0),9)*10000000+IFERROR(MATCH('ORDENES'!$AE389,tblTecnicos[nombre],0),99)*100000+386,9000000000000+386)</f>
        <v/>
      </c>
      <c r="M393" s="3">
        <f>IF(K393=1,SUMPRODUCT(--($L$8:$L$1207&lt;L393))+1,"")</f>
        <v/>
      </c>
      <c r="N393" s="17">
        <f>IF(K393=1,N('ORDENES'!$M389),0)</f>
        <v/>
      </c>
      <c r="O393" s="17">
        <f>IF('ORDENES'!$T389="preventiva",N393,0)</f>
        <v/>
      </c>
      <c r="P393" s="17">
        <f>IF('ORDENES'!$T389="correctiva",N393,0)</f>
        <v/>
      </c>
      <c r="Q393" s="3">
        <f>IF(AND(K393=1,'ORDENES'!$N389="Pendiente"),1,0)</f>
        <v/>
      </c>
      <c r="R393" s="3">
        <f>IF(Q393=1,100000-N393*1000+386*0.01,9000000000000+386)</f>
        <v/>
      </c>
      <c r="S393" s="3">
        <f>IF(Q393=1,SUMPRODUCT(--($R$8:$R$1207&lt;R393))+1,"")</f>
        <v/>
      </c>
      <c r="T393" s="12">
        <f>IF(K393=1,'ORDENES'!$J389,"")</f>
        <v/>
      </c>
    </row>
    <row r="394">
      <c r="K394" s="3">
        <f>IF(AND(IF($B$3="(todos)",TRUE,'ORDENES'!$O390=$B$3),IF($D$3="(todos)",TRUE,'ORDENES'!$AF390=$D$3),IF($F$3="(todos)",TRUE,'ORDENES'!$X390=$F$3),IF($H$3="(todos)",TRUE,'ORDENES'!$W390=$H$3),'ORDENES'!$AD390=TRUE,'ORDENES'!$A390&lt;&gt;""),1,0)</f>
        <v/>
      </c>
      <c r="L394" s="3">
        <f>IF(K394=1,IFERROR(MATCH('ORDENES'!$R390,lista_dias,0),9)*1000000000+IFERROR(MATCH('ORDENES'!$AF390,lista_turnos,0),9)*10000000+IFERROR(MATCH('ORDENES'!$AE390,tblTecnicos[nombre],0),99)*100000+387,9000000000000+387)</f>
        <v/>
      </c>
      <c r="M394" s="3">
        <f>IF(K394=1,SUMPRODUCT(--($L$8:$L$1207&lt;L394))+1,"")</f>
        <v/>
      </c>
      <c r="N394" s="17">
        <f>IF(K394=1,N('ORDENES'!$M390),0)</f>
        <v/>
      </c>
      <c r="O394" s="17">
        <f>IF('ORDENES'!$T390="preventiva",N394,0)</f>
        <v/>
      </c>
      <c r="P394" s="17">
        <f>IF('ORDENES'!$T390="correctiva",N394,0)</f>
        <v/>
      </c>
      <c r="Q394" s="3">
        <f>IF(AND(K394=1,'ORDENES'!$N390="Pendiente"),1,0)</f>
        <v/>
      </c>
      <c r="R394" s="3">
        <f>IF(Q394=1,100000-N394*1000+387*0.01,9000000000000+387)</f>
        <v/>
      </c>
      <c r="S394" s="3">
        <f>IF(Q394=1,SUMPRODUCT(--($R$8:$R$1207&lt;R394))+1,"")</f>
        <v/>
      </c>
      <c r="T394" s="12">
        <f>IF(K394=1,'ORDENES'!$J390,"")</f>
        <v/>
      </c>
    </row>
    <row r="395">
      <c r="K395" s="3">
        <f>IF(AND(IF($B$3="(todos)",TRUE,'ORDENES'!$O391=$B$3),IF($D$3="(todos)",TRUE,'ORDENES'!$AF391=$D$3),IF($F$3="(todos)",TRUE,'ORDENES'!$X391=$F$3),IF($H$3="(todos)",TRUE,'ORDENES'!$W391=$H$3),'ORDENES'!$AD391=TRUE,'ORDENES'!$A391&lt;&gt;""),1,0)</f>
        <v/>
      </c>
      <c r="L395" s="3">
        <f>IF(K395=1,IFERROR(MATCH('ORDENES'!$R391,lista_dias,0),9)*1000000000+IFERROR(MATCH('ORDENES'!$AF391,lista_turnos,0),9)*10000000+IFERROR(MATCH('ORDENES'!$AE391,tblTecnicos[nombre],0),99)*100000+388,9000000000000+388)</f>
        <v/>
      </c>
      <c r="M395" s="3">
        <f>IF(K395=1,SUMPRODUCT(--($L$8:$L$1207&lt;L395))+1,"")</f>
        <v/>
      </c>
      <c r="N395" s="17">
        <f>IF(K395=1,N('ORDENES'!$M391),0)</f>
        <v/>
      </c>
      <c r="O395" s="17">
        <f>IF('ORDENES'!$T391="preventiva",N395,0)</f>
        <v/>
      </c>
      <c r="P395" s="17">
        <f>IF('ORDENES'!$T391="correctiva",N395,0)</f>
        <v/>
      </c>
      <c r="Q395" s="3">
        <f>IF(AND(K395=1,'ORDENES'!$N391="Pendiente"),1,0)</f>
        <v/>
      </c>
      <c r="R395" s="3">
        <f>IF(Q395=1,100000-N395*1000+388*0.01,9000000000000+388)</f>
        <v/>
      </c>
      <c r="S395" s="3">
        <f>IF(Q395=1,SUMPRODUCT(--($R$8:$R$1207&lt;R395))+1,"")</f>
        <v/>
      </c>
      <c r="T395" s="12">
        <f>IF(K395=1,'ORDENES'!$J391,"")</f>
        <v/>
      </c>
    </row>
    <row r="396">
      <c r="K396" s="3">
        <f>IF(AND(IF($B$3="(todos)",TRUE,'ORDENES'!$O392=$B$3),IF($D$3="(todos)",TRUE,'ORDENES'!$AF392=$D$3),IF($F$3="(todos)",TRUE,'ORDENES'!$X392=$F$3),IF($H$3="(todos)",TRUE,'ORDENES'!$W392=$H$3),'ORDENES'!$AD392=TRUE,'ORDENES'!$A392&lt;&gt;""),1,0)</f>
        <v/>
      </c>
      <c r="L396" s="3">
        <f>IF(K396=1,IFERROR(MATCH('ORDENES'!$R392,lista_dias,0),9)*1000000000+IFERROR(MATCH('ORDENES'!$AF392,lista_turnos,0),9)*10000000+IFERROR(MATCH('ORDENES'!$AE392,tblTecnicos[nombre],0),99)*100000+389,9000000000000+389)</f>
        <v/>
      </c>
      <c r="M396" s="3">
        <f>IF(K396=1,SUMPRODUCT(--($L$8:$L$1207&lt;L396))+1,"")</f>
        <v/>
      </c>
      <c r="N396" s="17">
        <f>IF(K396=1,N('ORDENES'!$M392),0)</f>
        <v/>
      </c>
      <c r="O396" s="17">
        <f>IF('ORDENES'!$T392="preventiva",N396,0)</f>
        <v/>
      </c>
      <c r="P396" s="17">
        <f>IF('ORDENES'!$T392="correctiva",N396,0)</f>
        <v/>
      </c>
      <c r="Q396" s="3">
        <f>IF(AND(K396=1,'ORDENES'!$N392="Pendiente"),1,0)</f>
        <v/>
      </c>
      <c r="R396" s="3">
        <f>IF(Q396=1,100000-N396*1000+389*0.01,9000000000000+389)</f>
        <v/>
      </c>
      <c r="S396" s="3">
        <f>IF(Q396=1,SUMPRODUCT(--($R$8:$R$1207&lt;R396))+1,"")</f>
        <v/>
      </c>
      <c r="T396" s="12">
        <f>IF(K396=1,'ORDENES'!$J392,"")</f>
        <v/>
      </c>
    </row>
    <row r="397">
      <c r="K397" s="3">
        <f>IF(AND(IF($B$3="(todos)",TRUE,'ORDENES'!$O393=$B$3),IF($D$3="(todos)",TRUE,'ORDENES'!$AF393=$D$3),IF($F$3="(todos)",TRUE,'ORDENES'!$X393=$F$3),IF($H$3="(todos)",TRUE,'ORDENES'!$W393=$H$3),'ORDENES'!$AD393=TRUE,'ORDENES'!$A393&lt;&gt;""),1,0)</f>
        <v/>
      </c>
      <c r="L397" s="3">
        <f>IF(K397=1,IFERROR(MATCH('ORDENES'!$R393,lista_dias,0),9)*1000000000+IFERROR(MATCH('ORDENES'!$AF393,lista_turnos,0),9)*10000000+IFERROR(MATCH('ORDENES'!$AE393,tblTecnicos[nombre],0),99)*100000+390,9000000000000+390)</f>
        <v/>
      </c>
      <c r="M397" s="3">
        <f>IF(K397=1,SUMPRODUCT(--($L$8:$L$1207&lt;L397))+1,"")</f>
        <v/>
      </c>
      <c r="N397" s="17">
        <f>IF(K397=1,N('ORDENES'!$M393),0)</f>
        <v/>
      </c>
      <c r="O397" s="17">
        <f>IF('ORDENES'!$T393="preventiva",N397,0)</f>
        <v/>
      </c>
      <c r="P397" s="17">
        <f>IF('ORDENES'!$T393="correctiva",N397,0)</f>
        <v/>
      </c>
      <c r="Q397" s="3">
        <f>IF(AND(K397=1,'ORDENES'!$N393="Pendiente"),1,0)</f>
        <v/>
      </c>
      <c r="R397" s="3">
        <f>IF(Q397=1,100000-N397*1000+390*0.01,9000000000000+390)</f>
        <v/>
      </c>
      <c r="S397" s="3">
        <f>IF(Q397=1,SUMPRODUCT(--($R$8:$R$1207&lt;R397))+1,"")</f>
        <v/>
      </c>
      <c r="T397" s="12">
        <f>IF(K397=1,'ORDENES'!$J393,"")</f>
        <v/>
      </c>
    </row>
    <row r="398">
      <c r="K398" s="3">
        <f>IF(AND(IF($B$3="(todos)",TRUE,'ORDENES'!$O394=$B$3),IF($D$3="(todos)",TRUE,'ORDENES'!$AF394=$D$3),IF($F$3="(todos)",TRUE,'ORDENES'!$X394=$F$3),IF($H$3="(todos)",TRUE,'ORDENES'!$W394=$H$3),'ORDENES'!$AD394=TRUE,'ORDENES'!$A394&lt;&gt;""),1,0)</f>
        <v/>
      </c>
      <c r="L398" s="3">
        <f>IF(K398=1,IFERROR(MATCH('ORDENES'!$R394,lista_dias,0),9)*1000000000+IFERROR(MATCH('ORDENES'!$AF394,lista_turnos,0),9)*10000000+IFERROR(MATCH('ORDENES'!$AE394,tblTecnicos[nombre],0),99)*100000+391,9000000000000+391)</f>
        <v/>
      </c>
      <c r="M398" s="3">
        <f>IF(K398=1,SUMPRODUCT(--($L$8:$L$1207&lt;L398))+1,"")</f>
        <v/>
      </c>
      <c r="N398" s="17">
        <f>IF(K398=1,N('ORDENES'!$M394),0)</f>
        <v/>
      </c>
      <c r="O398" s="17">
        <f>IF('ORDENES'!$T394="preventiva",N398,0)</f>
        <v/>
      </c>
      <c r="P398" s="17">
        <f>IF('ORDENES'!$T394="correctiva",N398,0)</f>
        <v/>
      </c>
      <c r="Q398" s="3">
        <f>IF(AND(K398=1,'ORDENES'!$N394="Pendiente"),1,0)</f>
        <v/>
      </c>
      <c r="R398" s="3">
        <f>IF(Q398=1,100000-N398*1000+391*0.01,9000000000000+391)</f>
        <v/>
      </c>
      <c r="S398" s="3">
        <f>IF(Q398=1,SUMPRODUCT(--($R$8:$R$1207&lt;R398))+1,"")</f>
        <v/>
      </c>
      <c r="T398" s="12">
        <f>IF(K398=1,'ORDENES'!$J394,"")</f>
        <v/>
      </c>
    </row>
    <row r="399">
      <c r="K399" s="3">
        <f>IF(AND(IF($B$3="(todos)",TRUE,'ORDENES'!$O395=$B$3),IF($D$3="(todos)",TRUE,'ORDENES'!$AF395=$D$3),IF($F$3="(todos)",TRUE,'ORDENES'!$X395=$F$3),IF($H$3="(todos)",TRUE,'ORDENES'!$W395=$H$3),'ORDENES'!$AD395=TRUE,'ORDENES'!$A395&lt;&gt;""),1,0)</f>
        <v/>
      </c>
      <c r="L399" s="3">
        <f>IF(K399=1,IFERROR(MATCH('ORDENES'!$R395,lista_dias,0),9)*1000000000+IFERROR(MATCH('ORDENES'!$AF395,lista_turnos,0),9)*10000000+IFERROR(MATCH('ORDENES'!$AE395,tblTecnicos[nombre],0),99)*100000+392,9000000000000+392)</f>
        <v/>
      </c>
      <c r="M399" s="3">
        <f>IF(K399=1,SUMPRODUCT(--($L$8:$L$1207&lt;L399))+1,"")</f>
        <v/>
      </c>
      <c r="N399" s="17">
        <f>IF(K399=1,N('ORDENES'!$M395),0)</f>
        <v/>
      </c>
      <c r="O399" s="17">
        <f>IF('ORDENES'!$T395="preventiva",N399,0)</f>
        <v/>
      </c>
      <c r="P399" s="17">
        <f>IF('ORDENES'!$T395="correctiva",N399,0)</f>
        <v/>
      </c>
      <c r="Q399" s="3">
        <f>IF(AND(K399=1,'ORDENES'!$N395="Pendiente"),1,0)</f>
        <v/>
      </c>
      <c r="R399" s="3">
        <f>IF(Q399=1,100000-N399*1000+392*0.01,9000000000000+392)</f>
        <v/>
      </c>
      <c r="S399" s="3">
        <f>IF(Q399=1,SUMPRODUCT(--($R$8:$R$1207&lt;R399))+1,"")</f>
        <v/>
      </c>
      <c r="T399" s="12">
        <f>IF(K399=1,'ORDENES'!$J395,"")</f>
        <v/>
      </c>
    </row>
    <row r="400">
      <c r="K400" s="3">
        <f>IF(AND(IF($B$3="(todos)",TRUE,'ORDENES'!$O396=$B$3),IF($D$3="(todos)",TRUE,'ORDENES'!$AF396=$D$3),IF($F$3="(todos)",TRUE,'ORDENES'!$X396=$F$3),IF($H$3="(todos)",TRUE,'ORDENES'!$W396=$H$3),'ORDENES'!$AD396=TRUE,'ORDENES'!$A396&lt;&gt;""),1,0)</f>
        <v/>
      </c>
      <c r="L400" s="3">
        <f>IF(K400=1,IFERROR(MATCH('ORDENES'!$R396,lista_dias,0),9)*1000000000+IFERROR(MATCH('ORDENES'!$AF396,lista_turnos,0),9)*10000000+IFERROR(MATCH('ORDENES'!$AE396,tblTecnicos[nombre],0),99)*100000+393,9000000000000+393)</f>
        <v/>
      </c>
      <c r="M400" s="3">
        <f>IF(K400=1,SUMPRODUCT(--($L$8:$L$1207&lt;L400))+1,"")</f>
        <v/>
      </c>
      <c r="N400" s="17">
        <f>IF(K400=1,N('ORDENES'!$M396),0)</f>
        <v/>
      </c>
      <c r="O400" s="17">
        <f>IF('ORDENES'!$T396="preventiva",N400,0)</f>
        <v/>
      </c>
      <c r="P400" s="17">
        <f>IF('ORDENES'!$T396="correctiva",N400,0)</f>
        <v/>
      </c>
      <c r="Q400" s="3">
        <f>IF(AND(K400=1,'ORDENES'!$N396="Pendiente"),1,0)</f>
        <v/>
      </c>
      <c r="R400" s="3">
        <f>IF(Q400=1,100000-N400*1000+393*0.01,9000000000000+393)</f>
        <v/>
      </c>
      <c r="S400" s="3">
        <f>IF(Q400=1,SUMPRODUCT(--($R$8:$R$1207&lt;R400))+1,"")</f>
        <v/>
      </c>
      <c r="T400" s="12">
        <f>IF(K400=1,'ORDENES'!$J396,"")</f>
        <v/>
      </c>
    </row>
    <row r="401">
      <c r="K401" s="3">
        <f>IF(AND(IF($B$3="(todos)",TRUE,'ORDENES'!$O397=$B$3),IF($D$3="(todos)",TRUE,'ORDENES'!$AF397=$D$3),IF($F$3="(todos)",TRUE,'ORDENES'!$X397=$F$3),IF($H$3="(todos)",TRUE,'ORDENES'!$W397=$H$3),'ORDENES'!$AD397=TRUE,'ORDENES'!$A397&lt;&gt;""),1,0)</f>
        <v/>
      </c>
      <c r="L401" s="3">
        <f>IF(K401=1,IFERROR(MATCH('ORDENES'!$R397,lista_dias,0),9)*1000000000+IFERROR(MATCH('ORDENES'!$AF397,lista_turnos,0),9)*10000000+IFERROR(MATCH('ORDENES'!$AE397,tblTecnicos[nombre],0),99)*100000+394,9000000000000+394)</f>
        <v/>
      </c>
      <c r="M401" s="3">
        <f>IF(K401=1,SUMPRODUCT(--($L$8:$L$1207&lt;L401))+1,"")</f>
        <v/>
      </c>
      <c r="N401" s="17">
        <f>IF(K401=1,N('ORDENES'!$M397),0)</f>
        <v/>
      </c>
      <c r="O401" s="17">
        <f>IF('ORDENES'!$T397="preventiva",N401,0)</f>
        <v/>
      </c>
      <c r="P401" s="17">
        <f>IF('ORDENES'!$T397="correctiva",N401,0)</f>
        <v/>
      </c>
      <c r="Q401" s="3">
        <f>IF(AND(K401=1,'ORDENES'!$N397="Pendiente"),1,0)</f>
        <v/>
      </c>
      <c r="R401" s="3">
        <f>IF(Q401=1,100000-N401*1000+394*0.01,9000000000000+394)</f>
        <v/>
      </c>
      <c r="S401" s="3">
        <f>IF(Q401=1,SUMPRODUCT(--($R$8:$R$1207&lt;R401))+1,"")</f>
        <v/>
      </c>
      <c r="T401" s="12">
        <f>IF(K401=1,'ORDENES'!$J397,"")</f>
        <v/>
      </c>
    </row>
    <row r="402">
      <c r="K402" s="3">
        <f>IF(AND(IF($B$3="(todos)",TRUE,'ORDENES'!$O398=$B$3),IF($D$3="(todos)",TRUE,'ORDENES'!$AF398=$D$3),IF($F$3="(todos)",TRUE,'ORDENES'!$X398=$F$3),IF($H$3="(todos)",TRUE,'ORDENES'!$W398=$H$3),'ORDENES'!$AD398=TRUE,'ORDENES'!$A398&lt;&gt;""),1,0)</f>
        <v/>
      </c>
      <c r="L402" s="3">
        <f>IF(K402=1,IFERROR(MATCH('ORDENES'!$R398,lista_dias,0),9)*1000000000+IFERROR(MATCH('ORDENES'!$AF398,lista_turnos,0),9)*10000000+IFERROR(MATCH('ORDENES'!$AE398,tblTecnicos[nombre],0),99)*100000+395,9000000000000+395)</f>
        <v/>
      </c>
      <c r="M402" s="3">
        <f>IF(K402=1,SUMPRODUCT(--($L$8:$L$1207&lt;L402))+1,"")</f>
        <v/>
      </c>
      <c r="N402" s="17">
        <f>IF(K402=1,N('ORDENES'!$M398),0)</f>
        <v/>
      </c>
      <c r="O402" s="17">
        <f>IF('ORDENES'!$T398="preventiva",N402,0)</f>
        <v/>
      </c>
      <c r="P402" s="17">
        <f>IF('ORDENES'!$T398="correctiva",N402,0)</f>
        <v/>
      </c>
      <c r="Q402" s="3">
        <f>IF(AND(K402=1,'ORDENES'!$N398="Pendiente"),1,0)</f>
        <v/>
      </c>
      <c r="R402" s="3">
        <f>IF(Q402=1,100000-N402*1000+395*0.01,9000000000000+395)</f>
        <v/>
      </c>
      <c r="S402" s="3">
        <f>IF(Q402=1,SUMPRODUCT(--($R$8:$R$1207&lt;R402))+1,"")</f>
        <v/>
      </c>
      <c r="T402" s="12">
        <f>IF(K402=1,'ORDENES'!$J398,"")</f>
        <v/>
      </c>
    </row>
    <row r="403">
      <c r="K403" s="3">
        <f>IF(AND(IF($B$3="(todos)",TRUE,'ORDENES'!$O399=$B$3),IF($D$3="(todos)",TRUE,'ORDENES'!$AF399=$D$3),IF($F$3="(todos)",TRUE,'ORDENES'!$X399=$F$3),IF($H$3="(todos)",TRUE,'ORDENES'!$W399=$H$3),'ORDENES'!$AD399=TRUE,'ORDENES'!$A399&lt;&gt;""),1,0)</f>
        <v/>
      </c>
      <c r="L403" s="3">
        <f>IF(K403=1,IFERROR(MATCH('ORDENES'!$R399,lista_dias,0),9)*1000000000+IFERROR(MATCH('ORDENES'!$AF399,lista_turnos,0),9)*10000000+IFERROR(MATCH('ORDENES'!$AE399,tblTecnicos[nombre],0),99)*100000+396,9000000000000+396)</f>
        <v/>
      </c>
      <c r="M403" s="3">
        <f>IF(K403=1,SUMPRODUCT(--($L$8:$L$1207&lt;L403))+1,"")</f>
        <v/>
      </c>
      <c r="N403" s="17">
        <f>IF(K403=1,N('ORDENES'!$M399),0)</f>
        <v/>
      </c>
      <c r="O403" s="17">
        <f>IF('ORDENES'!$T399="preventiva",N403,0)</f>
        <v/>
      </c>
      <c r="P403" s="17">
        <f>IF('ORDENES'!$T399="correctiva",N403,0)</f>
        <v/>
      </c>
      <c r="Q403" s="3">
        <f>IF(AND(K403=1,'ORDENES'!$N399="Pendiente"),1,0)</f>
        <v/>
      </c>
      <c r="R403" s="3">
        <f>IF(Q403=1,100000-N403*1000+396*0.01,9000000000000+396)</f>
        <v/>
      </c>
      <c r="S403" s="3">
        <f>IF(Q403=1,SUMPRODUCT(--($R$8:$R$1207&lt;R403))+1,"")</f>
        <v/>
      </c>
      <c r="T403" s="12">
        <f>IF(K403=1,'ORDENES'!$J399,"")</f>
        <v/>
      </c>
    </row>
    <row r="404">
      <c r="K404" s="3">
        <f>IF(AND(IF($B$3="(todos)",TRUE,'ORDENES'!$O400=$B$3),IF($D$3="(todos)",TRUE,'ORDENES'!$AF400=$D$3),IF($F$3="(todos)",TRUE,'ORDENES'!$X400=$F$3),IF($H$3="(todos)",TRUE,'ORDENES'!$W400=$H$3),'ORDENES'!$AD400=TRUE,'ORDENES'!$A400&lt;&gt;""),1,0)</f>
        <v/>
      </c>
      <c r="L404" s="3">
        <f>IF(K404=1,IFERROR(MATCH('ORDENES'!$R400,lista_dias,0),9)*1000000000+IFERROR(MATCH('ORDENES'!$AF400,lista_turnos,0),9)*10000000+IFERROR(MATCH('ORDENES'!$AE400,tblTecnicos[nombre],0),99)*100000+397,9000000000000+397)</f>
        <v/>
      </c>
      <c r="M404" s="3">
        <f>IF(K404=1,SUMPRODUCT(--($L$8:$L$1207&lt;L404))+1,"")</f>
        <v/>
      </c>
      <c r="N404" s="17">
        <f>IF(K404=1,N('ORDENES'!$M400),0)</f>
        <v/>
      </c>
      <c r="O404" s="17">
        <f>IF('ORDENES'!$T400="preventiva",N404,0)</f>
        <v/>
      </c>
      <c r="P404" s="17">
        <f>IF('ORDENES'!$T400="correctiva",N404,0)</f>
        <v/>
      </c>
      <c r="Q404" s="3">
        <f>IF(AND(K404=1,'ORDENES'!$N400="Pendiente"),1,0)</f>
        <v/>
      </c>
      <c r="R404" s="3">
        <f>IF(Q404=1,100000-N404*1000+397*0.01,9000000000000+397)</f>
        <v/>
      </c>
      <c r="S404" s="3">
        <f>IF(Q404=1,SUMPRODUCT(--($R$8:$R$1207&lt;R404))+1,"")</f>
        <v/>
      </c>
      <c r="T404" s="12">
        <f>IF(K404=1,'ORDENES'!$J400,"")</f>
        <v/>
      </c>
    </row>
    <row r="405">
      <c r="K405" s="3">
        <f>IF(AND(IF($B$3="(todos)",TRUE,'ORDENES'!$O401=$B$3),IF($D$3="(todos)",TRUE,'ORDENES'!$AF401=$D$3),IF($F$3="(todos)",TRUE,'ORDENES'!$X401=$F$3),IF($H$3="(todos)",TRUE,'ORDENES'!$W401=$H$3),'ORDENES'!$AD401=TRUE,'ORDENES'!$A401&lt;&gt;""),1,0)</f>
        <v/>
      </c>
      <c r="L405" s="3">
        <f>IF(K405=1,IFERROR(MATCH('ORDENES'!$R401,lista_dias,0),9)*1000000000+IFERROR(MATCH('ORDENES'!$AF401,lista_turnos,0),9)*10000000+IFERROR(MATCH('ORDENES'!$AE401,tblTecnicos[nombre],0),99)*100000+398,9000000000000+398)</f>
        <v/>
      </c>
      <c r="M405" s="3">
        <f>IF(K405=1,SUMPRODUCT(--($L$8:$L$1207&lt;L405))+1,"")</f>
        <v/>
      </c>
      <c r="N405" s="17">
        <f>IF(K405=1,N('ORDENES'!$M401),0)</f>
        <v/>
      </c>
      <c r="O405" s="17">
        <f>IF('ORDENES'!$T401="preventiva",N405,0)</f>
        <v/>
      </c>
      <c r="P405" s="17">
        <f>IF('ORDENES'!$T401="correctiva",N405,0)</f>
        <v/>
      </c>
      <c r="Q405" s="3">
        <f>IF(AND(K405=1,'ORDENES'!$N401="Pendiente"),1,0)</f>
        <v/>
      </c>
      <c r="R405" s="3">
        <f>IF(Q405=1,100000-N405*1000+398*0.01,9000000000000+398)</f>
        <v/>
      </c>
      <c r="S405" s="3">
        <f>IF(Q405=1,SUMPRODUCT(--($R$8:$R$1207&lt;R405))+1,"")</f>
        <v/>
      </c>
      <c r="T405" s="12">
        <f>IF(K405=1,'ORDENES'!$J401,"")</f>
        <v/>
      </c>
    </row>
    <row r="406">
      <c r="K406" s="3">
        <f>IF(AND(IF($B$3="(todos)",TRUE,'ORDENES'!$O402=$B$3),IF($D$3="(todos)",TRUE,'ORDENES'!$AF402=$D$3),IF($F$3="(todos)",TRUE,'ORDENES'!$X402=$F$3),IF($H$3="(todos)",TRUE,'ORDENES'!$W402=$H$3),'ORDENES'!$AD402=TRUE,'ORDENES'!$A402&lt;&gt;""),1,0)</f>
        <v/>
      </c>
      <c r="L406" s="3">
        <f>IF(K406=1,IFERROR(MATCH('ORDENES'!$R402,lista_dias,0),9)*1000000000+IFERROR(MATCH('ORDENES'!$AF402,lista_turnos,0),9)*10000000+IFERROR(MATCH('ORDENES'!$AE402,tblTecnicos[nombre],0),99)*100000+399,9000000000000+399)</f>
        <v/>
      </c>
      <c r="M406" s="3">
        <f>IF(K406=1,SUMPRODUCT(--($L$8:$L$1207&lt;L406))+1,"")</f>
        <v/>
      </c>
      <c r="N406" s="17">
        <f>IF(K406=1,N('ORDENES'!$M402),0)</f>
        <v/>
      </c>
      <c r="O406" s="17">
        <f>IF('ORDENES'!$T402="preventiva",N406,0)</f>
        <v/>
      </c>
      <c r="P406" s="17">
        <f>IF('ORDENES'!$T402="correctiva",N406,0)</f>
        <v/>
      </c>
      <c r="Q406" s="3">
        <f>IF(AND(K406=1,'ORDENES'!$N402="Pendiente"),1,0)</f>
        <v/>
      </c>
      <c r="R406" s="3">
        <f>IF(Q406=1,100000-N406*1000+399*0.01,9000000000000+399)</f>
        <v/>
      </c>
      <c r="S406" s="3">
        <f>IF(Q406=1,SUMPRODUCT(--($R$8:$R$1207&lt;R406))+1,"")</f>
        <v/>
      </c>
      <c r="T406" s="12">
        <f>IF(K406=1,'ORDENES'!$J402,"")</f>
        <v/>
      </c>
    </row>
    <row r="407">
      <c r="K407" s="3">
        <f>IF(AND(IF($B$3="(todos)",TRUE,'ORDENES'!$O403=$B$3),IF($D$3="(todos)",TRUE,'ORDENES'!$AF403=$D$3),IF($F$3="(todos)",TRUE,'ORDENES'!$X403=$F$3),IF($H$3="(todos)",TRUE,'ORDENES'!$W403=$H$3),'ORDENES'!$AD403=TRUE,'ORDENES'!$A403&lt;&gt;""),1,0)</f>
        <v/>
      </c>
      <c r="L407" s="3">
        <f>IF(K407=1,IFERROR(MATCH('ORDENES'!$R403,lista_dias,0),9)*1000000000+IFERROR(MATCH('ORDENES'!$AF403,lista_turnos,0),9)*10000000+IFERROR(MATCH('ORDENES'!$AE403,tblTecnicos[nombre],0),99)*100000+400,9000000000000+400)</f>
        <v/>
      </c>
      <c r="M407" s="3">
        <f>IF(K407=1,SUMPRODUCT(--($L$8:$L$1207&lt;L407))+1,"")</f>
        <v/>
      </c>
      <c r="N407" s="17">
        <f>IF(K407=1,N('ORDENES'!$M403),0)</f>
        <v/>
      </c>
      <c r="O407" s="17">
        <f>IF('ORDENES'!$T403="preventiva",N407,0)</f>
        <v/>
      </c>
      <c r="P407" s="17">
        <f>IF('ORDENES'!$T403="correctiva",N407,0)</f>
        <v/>
      </c>
      <c r="Q407" s="3">
        <f>IF(AND(K407=1,'ORDENES'!$N403="Pendiente"),1,0)</f>
        <v/>
      </c>
      <c r="R407" s="3">
        <f>IF(Q407=1,100000-N407*1000+400*0.01,9000000000000+400)</f>
        <v/>
      </c>
      <c r="S407" s="3">
        <f>IF(Q407=1,SUMPRODUCT(--($R$8:$R$1207&lt;R407))+1,"")</f>
        <v/>
      </c>
      <c r="T407" s="12">
        <f>IF(K407=1,'ORDENES'!$J403,"")</f>
        <v/>
      </c>
    </row>
    <row r="408">
      <c r="K408" s="3">
        <f>IF(AND(IF($B$3="(todos)",TRUE,'ORDENES'!$O404=$B$3),IF($D$3="(todos)",TRUE,'ORDENES'!$AF404=$D$3),IF($F$3="(todos)",TRUE,'ORDENES'!$X404=$F$3),IF($H$3="(todos)",TRUE,'ORDENES'!$W404=$H$3),'ORDENES'!$AD404=TRUE,'ORDENES'!$A404&lt;&gt;""),1,0)</f>
        <v/>
      </c>
      <c r="L408" s="3">
        <f>IF(K408=1,IFERROR(MATCH('ORDENES'!$R404,lista_dias,0),9)*1000000000+IFERROR(MATCH('ORDENES'!$AF404,lista_turnos,0),9)*10000000+IFERROR(MATCH('ORDENES'!$AE404,tblTecnicos[nombre],0),99)*100000+401,9000000000000+401)</f>
        <v/>
      </c>
      <c r="M408" s="3">
        <f>IF(K408=1,SUMPRODUCT(--($L$8:$L$1207&lt;L408))+1,"")</f>
        <v/>
      </c>
      <c r="N408" s="17">
        <f>IF(K408=1,N('ORDENES'!$M404),0)</f>
        <v/>
      </c>
      <c r="O408" s="17">
        <f>IF('ORDENES'!$T404="preventiva",N408,0)</f>
        <v/>
      </c>
      <c r="P408" s="17">
        <f>IF('ORDENES'!$T404="correctiva",N408,0)</f>
        <v/>
      </c>
      <c r="Q408" s="3">
        <f>IF(AND(K408=1,'ORDENES'!$N404="Pendiente"),1,0)</f>
        <v/>
      </c>
      <c r="R408" s="3">
        <f>IF(Q408=1,100000-N408*1000+401*0.01,9000000000000+401)</f>
        <v/>
      </c>
      <c r="S408" s="3">
        <f>IF(Q408=1,SUMPRODUCT(--($R$8:$R$1207&lt;R408))+1,"")</f>
        <v/>
      </c>
      <c r="T408" s="12">
        <f>IF(K408=1,'ORDENES'!$J404,"")</f>
        <v/>
      </c>
    </row>
    <row r="409">
      <c r="K409" s="3">
        <f>IF(AND(IF($B$3="(todos)",TRUE,'ORDENES'!$O405=$B$3),IF($D$3="(todos)",TRUE,'ORDENES'!$AF405=$D$3),IF($F$3="(todos)",TRUE,'ORDENES'!$X405=$F$3),IF($H$3="(todos)",TRUE,'ORDENES'!$W405=$H$3),'ORDENES'!$AD405=TRUE,'ORDENES'!$A405&lt;&gt;""),1,0)</f>
        <v/>
      </c>
      <c r="L409" s="3">
        <f>IF(K409=1,IFERROR(MATCH('ORDENES'!$R405,lista_dias,0),9)*1000000000+IFERROR(MATCH('ORDENES'!$AF405,lista_turnos,0),9)*10000000+IFERROR(MATCH('ORDENES'!$AE405,tblTecnicos[nombre],0),99)*100000+402,9000000000000+402)</f>
        <v/>
      </c>
      <c r="M409" s="3">
        <f>IF(K409=1,SUMPRODUCT(--($L$8:$L$1207&lt;L409))+1,"")</f>
        <v/>
      </c>
      <c r="N409" s="17">
        <f>IF(K409=1,N('ORDENES'!$M405),0)</f>
        <v/>
      </c>
      <c r="O409" s="17">
        <f>IF('ORDENES'!$T405="preventiva",N409,0)</f>
        <v/>
      </c>
      <c r="P409" s="17">
        <f>IF('ORDENES'!$T405="correctiva",N409,0)</f>
        <v/>
      </c>
      <c r="Q409" s="3">
        <f>IF(AND(K409=1,'ORDENES'!$N405="Pendiente"),1,0)</f>
        <v/>
      </c>
      <c r="R409" s="3">
        <f>IF(Q409=1,100000-N409*1000+402*0.01,9000000000000+402)</f>
        <v/>
      </c>
      <c r="S409" s="3">
        <f>IF(Q409=1,SUMPRODUCT(--($R$8:$R$1207&lt;R409))+1,"")</f>
        <v/>
      </c>
      <c r="T409" s="12">
        <f>IF(K409=1,'ORDENES'!$J405,"")</f>
        <v/>
      </c>
    </row>
    <row r="410">
      <c r="K410" s="3">
        <f>IF(AND(IF($B$3="(todos)",TRUE,'ORDENES'!$O406=$B$3),IF($D$3="(todos)",TRUE,'ORDENES'!$AF406=$D$3),IF($F$3="(todos)",TRUE,'ORDENES'!$X406=$F$3),IF($H$3="(todos)",TRUE,'ORDENES'!$W406=$H$3),'ORDENES'!$AD406=TRUE,'ORDENES'!$A406&lt;&gt;""),1,0)</f>
        <v/>
      </c>
      <c r="L410" s="3">
        <f>IF(K410=1,IFERROR(MATCH('ORDENES'!$R406,lista_dias,0),9)*1000000000+IFERROR(MATCH('ORDENES'!$AF406,lista_turnos,0),9)*10000000+IFERROR(MATCH('ORDENES'!$AE406,tblTecnicos[nombre],0),99)*100000+403,9000000000000+403)</f>
        <v/>
      </c>
      <c r="M410" s="3">
        <f>IF(K410=1,SUMPRODUCT(--($L$8:$L$1207&lt;L410))+1,"")</f>
        <v/>
      </c>
      <c r="N410" s="17">
        <f>IF(K410=1,N('ORDENES'!$M406),0)</f>
        <v/>
      </c>
      <c r="O410" s="17">
        <f>IF('ORDENES'!$T406="preventiva",N410,0)</f>
        <v/>
      </c>
      <c r="P410" s="17">
        <f>IF('ORDENES'!$T406="correctiva",N410,0)</f>
        <v/>
      </c>
      <c r="Q410" s="3">
        <f>IF(AND(K410=1,'ORDENES'!$N406="Pendiente"),1,0)</f>
        <v/>
      </c>
      <c r="R410" s="3">
        <f>IF(Q410=1,100000-N410*1000+403*0.01,9000000000000+403)</f>
        <v/>
      </c>
      <c r="S410" s="3">
        <f>IF(Q410=1,SUMPRODUCT(--($R$8:$R$1207&lt;R410))+1,"")</f>
        <v/>
      </c>
      <c r="T410" s="12">
        <f>IF(K410=1,'ORDENES'!$J406,"")</f>
        <v/>
      </c>
    </row>
    <row r="411">
      <c r="K411" s="3">
        <f>IF(AND(IF($B$3="(todos)",TRUE,'ORDENES'!$O407=$B$3),IF($D$3="(todos)",TRUE,'ORDENES'!$AF407=$D$3),IF($F$3="(todos)",TRUE,'ORDENES'!$X407=$F$3),IF($H$3="(todos)",TRUE,'ORDENES'!$W407=$H$3),'ORDENES'!$AD407=TRUE,'ORDENES'!$A407&lt;&gt;""),1,0)</f>
        <v/>
      </c>
      <c r="L411" s="3">
        <f>IF(K411=1,IFERROR(MATCH('ORDENES'!$R407,lista_dias,0),9)*1000000000+IFERROR(MATCH('ORDENES'!$AF407,lista_turnos,0),9)*10000000+IFERROR(MATCH('ORDENES'!$AE407,tblTecnicos[nombre],0),99)*100000+404,9000000000000+404)</f>
        <v/>
      </c>
      <c r="M411" s="3">
        <f>IF(K411=1,SUMPRODUCT(--($L$8:$L$1207&lt;L411))+1,"")</f>
        <v/>
      </c>
      <c r="N411" s="17">
        <f>IF(K411=1,N('ORDENES'!$M407),0)</f>
        <v/>
      </c>
      <c r="O411" s="17">
        <f>IF('ORDENES'!$T407="preventiva",N411,0)</f>
        <v/>
      </c>
      <c r="P411" s="17">
        <f>IF('ORDENES'!$T407="correctiva",N411,0)</f>
        <v/>
      </c>
      <c r="Q411" s="3">
        <f>IF(AND(K411=1,'ORDENES'!$N407="Pendiente"),1,0)</f>
        <v/>
      </c>
      <c r="R411" s="3">
        <f>IF(Q411=1,100000-N411*1000+404*0.01,9000000000000+404)</f>
        <v/>
      </c>
      <c r="S411" s="3">
        <f>IF(Q411=1,SUMPRODUCT(--($R$8:$R$1207&lt;R411))+1,"")</f>
        <v/>
      </c>
      <c r="T411" s="12">
        <f>IF(K411=1,'ORDENES'!$J407,"")</f>
        <v/>
      </c>
    </row>
    <row r="412">
      <c r="K412" s="3">
        <f>IF(AND(IF($B$3="(todos)",TRUE,'ORDENES'!$O408=$B$3),IF($D$3="(todos)",TRUE,'ORDENES'!$AF408=$D$3),IF($F$3="(todos)",TRUE,'ORDENES'!$X408=$F$3),IF($H$3="(todos)",TRUE,'ORDENES'!$W408=$H$3),'ORDENES'!$AD408=TRUE,'ORDENES'!$A408&lt;&gt;""),1,0)</f>
        <v/>
      </c>
      <c r="L412" s="3">
        <f>IF(K412=1,IFERROR(MATCH('ORDENES'!$R408,lista_dias,0),9)*1000000000+IFERROR(MATCH('ORDENES'!$AF408,lista_turnos,0),9)*10000000+IFERROR(MATCH('ORDENES'!$AE408,tblTecnicos[nombre],0),99)*100000+405,9000000000000+405)</f>
        <v/>
      </c>
      <c r="M412" s="3">
        <f>IF(K412=1,SUMPRODUCT(--($L$8:$L$1207&lt;L412))+1,"")</f>
        <v/>
      </c>
      <c r="N412" s="17">
        <f>IF(K412=1,N('ORDENES'!$M408),0)</f>
        <v/>
      </c>
      <c r="O412" s="17">
        <f>IF('ORDENES'!$T408="preventiva",N412,0)</f>
        <v/>
      </c>
      <c r="P412" s="17">
        <f>IF('ORDENES'!$T408="correctiva",N412,0)</f>
        <v/>
      </c>
      <c r="Q412" s="3">
        <f>IF(AND(K412=1,'ORDENES'!$N408="Pendiente"),1,0)</f>
        <v/>
      </c>
      <c r="R412" s="3">
        <f>IF(Q412=1,100000-N412*1000+405*0.01,9000000000000+405)</f>
        <v/>
      </c>
      <c r="S412" s="3">
        <f>IF(Q412=1,SUMPRODUCT(--($R$8:$R$1207&lt;R412))+1,"")</f>
        <v/>
      </c>
      <c r="T412" s="12">
        <f>IF(K412=1,'ORDENES'!$J408,"")</f>
        <v/>
      </c>
    </row>
    <row r="413">
      <c r="K413" s="3">
        <f>IF(AND(IF($B$3="(todos)",TRUE,'ORDENES'!$O409=$B$3),IF($D$3="(todos)",TRUE,'ORDENES'!$AF409=$D$3),IF($F$3="(todos)",TRUE,'ORDENES'!$X409=$F$3),IF($H$3="(todos)",TRUE,'ORDENES'!$W409=$H$3),'ORDENES'!$AD409=TRUE,'ORDENES'!$A409&lt;&gt;""),1,0)</f>
        <v/>
      </c>
      <c r="L413" s="3">
        <f>IF(K413=1,IFERROR(MATCH('ORDENES'!$R409,lista_dias,0),9)*1000000000+IFERROR(MATCH('ORDENES'!$AF409,lista_turnos,0),9)*10000000+IFERROR(MATCH('ORDENES'!$AE409,tblTecnicos[nombre],0),99)*100000+406,9000000000000+406)</f>
        <v/>
      </c>
      <c r="M413" s="3">
        <f>IF(K413=1,SUMPRODUCT(--($L$8:$L$1207&lt;L413))+1,"")</f>
        <v/>
      </c>
      <c r="N413" s="17">
        <f>IF(K413=1,N('ORDENES'!$M409),0)</f>
        <v/>
      </c>
      <c r="O413" s="17">
        <f>IF('ORDENES'!$T409="preventiva",N413,0)</f>
        <v/>
      </c>
      <c r="P413" s="17">
        <f>IF('ORDENES'!$T409="correctiva",N413,0)</f>
        <v/>
      </c>
      <c r="Q413" s="3">
        <f>IF(AND(K413=1,'ORDENES'!$N409="Pendiente"),1,0)</f>
        <v/>
      </c>
      <c r="R413" s="3">
        <f>IF(Q413=1,100000-N413*1000+406*0.01,9000000000000+406)</f>
        <v/>
      </c>
      <c r="S413" s="3">
        <f>IF(Q413=1,SUMPRODUCT(--($R$8:$R$1207&lt;R413))+1,"")</f>
        <v/>
      </c>
      <c r="T413" s="12">
        <f>IF(K413=1,'ORDENES'!$J409,"")</f>
        <v/>
      </c>
    </row>
    <row r="414">
      <c r="K414" s="3">
        <f>IF(AND(IF($B$3="(todos)",TRUE,'ORDENES'!$O410=$B$3),IF($D$3="(todos)",TRUE,'ORDENES'!$AF410=$D$3),IF($F$3="(todos)",TRUE,'ORDENES'!$X410=$F$3),IF($H$3="(todos)",TRUE,'ORDENES'!$W410=$H$3),'ORDENES'!$AD410=TRUE,'ORDENES'!$A410&lt;&gt;""),1,0)</f>
        <v/>
      </c>
      <c r="L414" s="3">
        <f>IF(K414=1,IFERROR(MATCH('ORDENES'!$R410,lista_dias,0),9)*1000000000+IFERROR(MATCH('ORDENES'!$AF410,lista_turnos,0),9)*10000000+IFERROR(MATCH('ORDENES'!$AE410,tblTecnicos[nombre],0),99)*100000+407,9000000000000+407)</f>
        <v/>
      </c>
      <c r="M414" s="3">
        <f>IF(K414=1,SUMPRODUCT(--($L$8:$L$1207&lt;L414))+1,"")</f>
        <v/>
      </c>
      <c r="N414" s="17">
        <f>IF(K414=1,N('ORDENES'!$M410),0)</f>
        <v/>
      </c>
      <c r="O414" s="17">
        <f>IF('ORDENES'!$T410="preventiva",N414,0)</f>
        <v/>
      </c>
      <c r="P414" s="17">
        <f>IF('ORDENES'!$T410="correctiva",N414,0)</f>
        <v/>
      </c>
      <c r="Q414" s="3">
        <f>IF(AND(K414=1,'ORDENES'!$N410="Pendiente"),1,0)</f>
        <v/>
      </c>
      <c r="R414" s="3">
        <f>IF(Q414=1,100000-N414*1000+407*0.01,9000000000000+407)</f>
        <v/>
      </c>
      <c r="S414" s="3">
        <f>IF(Q414=1,SUMPRODUCT(--($R$8:$R$1207&lt;R414))+1,"")</f>
        <v/>
      </c>
      <c r="T414" s="12">
        <f>IF(K414=1,'ORDENES'!$J410,"")</f>
        <v/>
      </c>
    </row>
    <row r="415">
      <c r="K415" s="3">
        <f>IF(AND(IF($B$3="(todos)",TRUE,'ORDENES'!$O411=$B$3),IF($D$3="(todos)",TRUE,'ORDENES'!$AF411=$D$3),IF($F$3="(todos)",TRUE,'ORDENES'!$X411=$F$3),IF($H$3="(todos)",TRUE,'ORDENES'!$W411=$H$3),'ORDENES'!$AD411=TRUE,'ORDENES'!$A411&lt;&gt;""),1,0)</f>
        <v/>
      </c>
      <c r="L415" s="3">
        <f>IF(K415=1,IFERROR(MATCH('ORDENES'!$R411,lista_dias,0),9)*1000000000+IFERROR(MATCH('ORDENES'!$AF411,lista_turnos,0),9)*10000000+IFERROR(MATCH('ORDENES'!$AE411,tblTecnicos[nombre],0),99)*100000+408,9000000000000+408)</f>
        <v/>
      </c>
      <c r="M415" s="3">
        <f>IF(K415=1,SUMPRODUCT(--($L$8:$L$1207&lt;L415))+1,"")</f>
        <v/>
      </c>
      <c r="N415" s="17">
        <f>IF(K415=1,N('ORDENES'!$M411),0)</f>
        <v/>
      </c>
      <c r="O415" s="17">
        <f>IF('ORDENES'!$T411="preventiva",N415,0)</f>
        <v/>
      </c>
      <c r="P415" s="17">
        <f>IF('ORDENES'!$T411="correctiva",N415,0)</f>
        <v/>
      </c>
      <c r="Q415" s="3">
        <f>IF(AND(K415=1,'ORDENES'!$N411="Pendiente"),1,0)</f>
        <v/>
      </c>
      <c r="R415" s="3">
        <f>IF(Q415=1,100000-N415*1000+408*0.01,9000000000000+408)</f>
        <v/>
      </c>
      <c r="S415" s="3">
        <f>IF(Q415=1,SUMPRODUCT(--($R$8:$R$1207&lt;R415))+1,"")</f>
        <v/>
      </c>
      <c r="T415" s="12">
        <f>IF(K415=1,'ORDENES'!$J411,"")</f>
        <v/>
      </c>
    </row>
    <row r="416">
      <c r="K416" s="3">
        <f>IF(AND(IF($B$3="(todos)",TRUE,'ORDENES'!$O412=$B$3),IF($D$3="(todos)",TRUE,'ORDENES'!$AF412=$D$3),IF($F$3="(todos)",TRUE,'ORDENES'!$X412=$F$3),IF($H$3="(todos)",TRUE,'ORDENES'!$W412=$H$3),'ORDENES'!$AD412=TRUE,'ORDENES'!$A412&lt;&gt;""),1,0)</f>
        <v/>
      </c>
      <c r="L416" s="3">
        <f>IF(K416=1,IFERROR(MATCH('ORDENES'!$R412,lista_dias,0),9)*1000000000+IFERROR(MATCH('ORDENES'!$AF412,lista_turnos,0),9)*10000000+IFERROR(MATCH('ORDENES'!$AE412,tblTecnicos[nombre],0),99)*100000+409,9000000000000+409)</f>
        <v/>
      </c>
      <c r="M416" s="3">
        <f>IF(K416=1,SUMPRODUCT(--($L$8:$L$1207&lt;L416))+1,"")</f>
        <v/>
      </c>
      <c r="N416" s="17">
        <f>IF(K416=1,N('ORDENES'!$M412),0)</f>
        <v/>
      </c>
      <c r="O416" s="17">
        <f>IF('ORDENES'!$T412="preventiva",N416,0)</f>
        <v/>
      </c>
      <c r="P416" s="17">
        <f>IF('ORDENES'!$T412="correctiva",N416,0)</f>
        <v/>
      </c>
      <c r="Q416" s="3">
        <f>IF(AND(K416=1,'ORDENES'!$N412="Pendiente"),1,0)</f>
        <v/>
      </c>
      <c r="R416" s="3">
        <f>IF(Q416=1,100000-N416*1000+409*0.01,9000000000000+409)</f>
        <v/>
      </c>
      <c r="S416" s="3">
        <f>IF(Q416=1,SUMPRODUCT(--($R$8:$R$1207&lt;R416))+1,"")</f>
        <v/>
      </c>
      <c r="T416" s="12">
        <f>IF(K416=1,'ORDENES'!$J412,"")</f>
        <v/>
      </c>
    </row>
    <row r="417">
      <c r="K417" s="3">
        <f>IF(AND(IF($B$3="(todos)",TRUE,'ORDENES'!$O413=$B$3),IF($D$3="(todos)",TRUE,'ORDENES'!$AF413=$D$3),IF($F$3="(todos)",TRUE,'ORDENES'!$X413=$F$3),IF($H$3="(todos)",TRUE,'ORDENES'!$W413=$H$3),'ORDENES'!$AD413=TRUE,'ORDENES'!$A413&lt;&gt;""),1,0)</f>
        <v/>
      </c>
      <c r="L417" s="3">
        <f>IF(K417=1,IFERROR(MATCH('ORDENES'!$R413,lista_dias,0),9)*1000000000+IFERROR(MATCH('ORDENES'!$AF413,lista_turnos,0),9)*10000000+IFERROR(MATCH('ORDENES'!$AE413,tblTecnicos[nombre],0),99)*100000+410,9000000000000+410)</f>
        <v/>
      </c>
      <c r="M417" s="3">
        <f>IF(K417=1,SUMPRODUCT(--($L$8:$L$1207&lt;L417))+1,"")</f>
        <v/>
      </c>
      <c r="N417" s="17">
        <f>IF(K417=1,N('ORDENES'!$M413),0)</f>
        <v/>
      </c>
      <c r="O417" s="17">
        <f>IF('ORDENES'!$T413="preventiva",N417,0)</f>
        <v/>
      </c>
      <c r="P417" s="17">
        <f>IF('ORDENES'!$T413="correctiva",N417,0)</f>
        <v/>
      </c>
      <c r="Q417" s="3">
        <f>IF(AND(K417=1,'ORDENES'!$N413="Pendiente"),1,0)</f>
        <v/>
      </c>
      <c r="R417" s="3">
        <f>IF(Q417=1,100000-N417*1000+410*0.01,9000000000000+410)</f>
        <v/>
      </c>
      <c r="S417" s="3">
        <f>IF(Q417=1,SUMPRODUCT(--($R$8:$R$1207&lt;R417))+1,"")</f>
        <v/>
      </c>
      <c r="T417" s="12">
        <f>IF(K417=1,'ORDENES'!$J413,"")</f>
        <v/>
      </c>
    </row>
    <row r="418">
      <c r="K418" s="3">
        <f>IF(AND(IF($B$3="(todos)",TRUE,'ORDENES'!$O414=$B$3),IF($D$3="(todos)",TRUE,'ORDENES'!$AF414=$D$3),IF($F$3="(todos)",TRUE,'ORDENES'!$X414=$F$3),IF($H$3="(todos)",TRUE,'ORDENES'!$W414=$H$3),'ORDENES'!$AD414=TRUE,'ORDENES'!$A414&lt;&gt;""),1,0)</f>
        <v/>
      </c>
      <c r="L418" s="3">
        <f>IF(K418=1,IFERROR(MATCH('ORDENES'!$R414,lista_dias,0),9)*1000000000+IFERROR(MATCH('ORDENES'!$AF414,lista_turnos,0),9)*10000000+IFERROR(MATCH('ORDENES'!$AE414,tblTecnicos[nombre],0),99)*100000+411,9000000000000+411)</f>
        <v/>
      </c>
      <c r="M418" s="3">
        <f>IF(K418=1,SUMPRODUCT(--($L$8:$L$1207&lt;L418))+1,"")</f>
        <v/>
      </c>
      <c r="N418" s="17">
        <f>IF(K418=1,N('ORDENES'!$M414),0)</f>
        <v/>
      </c>
      <c r="O418" s="17">
        <f>IF('ORDENES'!$T414="preventiva",N418,0)</f>
        <v/>
      </c>
      <c r="P418" s="17">
        <f>IF('ORDENES'!$T414="correctiva",N418,0)</f>
        <v/>
      </c>
      <c r="Q418" s="3">
        <f>IF(AND(K418=1,'ORDENES'!$N414="Pendiente"),1,0)</f>
        <v/>
      </c>
      <c r="R418" s="3">
        <f>IF(Q418=1,100000-N418*1000+411*0.01,9000000000000+411)</f>
        <v/>
      </c>
      <c r="S418" s="3">
        <f>IF(Q418=1,SUMPRODUCT(--($R$8:$R$1207&lt;R418))+1,"")</f>
        <v/>
      </c>
      <c r="T418" s="12">
        <f>IF(K418=1,'ORDENES'!$J414,"")</f>
        <v/>
      </c>
    </row>
    <row r="419">
      <c r="K419" s="3">
        <f>IF(AND(IF($B$3="(todos)",TRUE,'ORDENES'!$O415=$B$3),IF($D$3="(todos)",TRUE,'ORDENES'!$AF415=$D$3),IF($F$3="(todos)",TRUE,'ORDENES'!$X415=$F$3),IF($H$3="(todos)",TRUE,'ORDENES'!$W415=$H$3),'ORDENES'!$AD415=TRUE,'ORDENES'!$A415&lt;&gt;""),1,0)</f>
        <v/>
      </c>
      <c r="L419" s="3">
        <f>IF(K419=1,IFERROR(MATCH('ORDENES'!$R415,lista_dias,0),9)*1000000000+IFERROR(MATCH('ORDENES'!$AF415,lista_turnos,0),9)*10000000+IFERROR(MATCH('ORDENES'!$AE415,tblTecnicos[nombre],0),99)*100000+412,9000000000000+412)</f>
        <v/>
      </c>
      <c r="M419" s="3">
        <f>IF(K419=1,SUMPRODUCT(--($L$8:$L$1207&lt;L419))+1,"")</f>
        <v/>
      </c>
      <c r="N419" s="17">
        <f>IF(K419=1,N('ORDENES'!$M415),0)</f>
        <v/>
      </c>
      <c r="O419" s="17">
        <f>IF('ORDENES'!$T415="preventiva",N419,0)</f>
        <v/>
      </c>
      <c r="P419" s="17">
        <f>IF('ORDENES'!$T415="correctiva",N419,0)</f>
        <v/>
      </c>
      <c r="Q419" s="3">
        <f>IF(AND(K419=1,'ORDENES'!$N415="Pendiente"),1,0)</f>
        <v/>
      </c>
      <c r="R419" s="3">
        <f>IF(Q419=1,100000-N419*1000+412*0.01,9000000000000+412)</f>
        <v/>
      </c>
      <c r="S419" s="3">
        <f>IF(Q419=1,SUMPRODUCT(--($R$8:$R$1207&lt;R419))+1,"")</f>
        <v/>
      </c>
      <c r="T419" s="12">
        <f>IF(K419=1,'ORDENES'!$J415,"")</f>
        <v/>
      </c>
    </row>
    <row r="420">
      <c r="K420" s="3">
        <f>IF(AND(IF($B$3="(todos)",TRUE,'ORDENES'!$O416=$B$3),IF($D$3="(todos)",TRUE,'ORDENES'!$AF416=$D$3),IF($F$3="(todos)",TRUE,'ORDENES'!$X416=$F$3),IF($H$3="(todos)",TRUE,'ORDENES'!$W416=$H$3),'ORDENES'!$AD416=TRUE,'ORDENES'!$A416&lt;&gt;""),1,0)</f>
        <v/>
      </c>
      <c r="L420" s="3">
        <f>IF(K420=1,IFERROR(MATCH('ORDENES'!$R416,lista_dias,0),9)*1000000000+IFERROR(MATCH('ORDENES'!$AF416,lista_turnos,0),9)*10000000+IFERROR(MATCH('ORDENES'!$AE416,tblTecnicos[nombre],0),99)*100000+413,9000000000000+413)</f>
        <v/>
      </c>
      <c r="M420" s="3">
        <f>IF(K420=1,SUMPRODUCT(--($L$8:$L$1207&lt;L420))+1,"")</f>
        <v/>
      </c>
      <c r="N420" s="17">
        <f>IF(K420=1,N('ORDENES'!$M416),0)</f>
        <v/>
      </c>
      <c r="O420" s="17">
        <f>IF('ORDENES'!$T416="preventiva",N420,0)</f>
        <v/>
      </c>
      <c r="P420" s="17">
        <f>IF('ORDENES'!$T416="correctiva",N420,0)</f>
        <v/>
      </c>
      <c r="Q420" s="3">
        <f>IF(AND(K420=1,'ORDENES'!$N416="Pendiente"),1,0)</f>
        <v/>
      </c>
      <c r="R420" s="3">
        <f>IF(Q420=1,100000-N420*1000+413*0.01,9000000000000+413)</f>
        <v/>
      </c>
      <c r="S420" s="3">
        <f>IF(Q420=1,SUMPRODUCT(--($R$8:$R$1207&lt;R420))+1,"")</f>
        <v/>
      </c>
      <c r="T420" s="12">
        <f>IF(K420=1,'ORDENES'!$J416,"")</f>
        <v/>
      </c>
    </row>
    <row r="421">
      <c r="K421" s="3">
        <f>IF(AND(IF($B$3="(todos)",TRUE,'ORDENES'!$O417=$B$3),IF($D$3="(todos)",TRUE,'ORDENES'!$AF417=$D$3),IF($F$3="(todos)",TRUE,'ORDENES'!$X417=$F$3),IF($H$3="(todos)",TRUE,'ORDENES'!$W417=$H$3),'ORDENES'!$AD417=TRUE,'ORDENES'!$A417&lt;&gt;""),1,0)</f>
        <v/>
      </c>
      <c r="L421" s="3">
        <f>IF(K421=1,IFERROR(MATCH('ORDENES'!$R417,lista_dias,0),9)*1000000000+IFERROR(MATCH('ORDENES'!$AF417,lista_turnos,0),9)*10000000+IFERROR(MATCH('ORDENES'!$AE417,tblTecnicos[nombre],0),99)*100000+414,9000000000000+414)</f>
        <v/>
      </c>
      <c r="M421" s="3">
        <f>IF(K421=1,SUMPRODUCT(--($L$8:$L$1207&lt;L421))+1,"")</f>
        <v/>
      </c>
      <c r="N421" s="17">
        <f>IF(K421=1,N('ORDENES'!$M417),0)</f>
        <v/>
      </c>
      <c r="O421" s="17">
        <f>IF('ORDENES'!$T417="preventiva",N421,0)</f>
        <v/>
      </c>
      <c r="P421" s="17">
        <f>IF('ORDENES'!$T417="correctiva",N421,0)</f>
        <v/>
      </c>
      <c r="Q421" s="3">
        <f>IF(AND(K421=1,'ORDENES'!$N417="Pendiente"),1,0)</f>
        <v/>
      </c>
      <c r="R421" s="3">
        <f>IF(Q421=1,100000-N421*1000+414*0.01,9000000000000+414)</f>
        <v/>
      </c>
      <c r="S421" s="3">
        <f>IF(Q421=1,SUMPRODUCT(--($R$8:$R$1207&lt;R421))+1,"")</f>
        <v/>
      </c>
      <c r="T421" s="12">
        <f>IF(K421=1,'ORDENES'!$J417,"")</f>
        <v/>
      </c>
    </row>
    <row r="422">
      <c r="K422" s="3">
        <f>IF(AND(IF($B$3="(todos)",TRUE,'ORDENES'!$O418=$B$3),IF($D$3="(todos)",TRUE,'ORDENES'!$AF418=$D$3),IF($F$3="(todos)",TRUE,'ORDENES'!$X418=$F$3),IF($H$3="(todos)",TRUE,'ORDENES'!$W418=$H$3),'ORDENES'!$AD418=TRUE,'ORDENES'!$A418&lt;&gt;""),1,0)</f>
        <v/>
      </c>
      <c r="L422" s="3">
        <f>IF(K422=1,IFERROR(MATCH('ORDENES'!$R418,lista_dias,0),9)*1000000000+IFERROR(MATCH('ORDENES'!$AF418,lista_turnos,0),9)*10000000+IFERROR(MATCH('ORDENES'!$AE418,tblTecnicos[nombre],0),99)*100000+415,9000000000000+415)</f>
        <v/>
      </c>
      <c r="M422" s="3">
        <f>IF(K422=1,SUMPRODUCT(--($L$8:$L$1207&lt;L422))+1,"")</f>
        <v/>
      </c>
      <c r="N422" s="17">
        <f>IF(K422=1,N('ORDENES'!$M418),0)</f>
        <v/>
      </c>
      <c r="O422" s="17">
        <f>IF('ORDENES'!$T418="preventiva",N422,0)</f>
        <v/>
      </c>
      <c r="P422" s="17">
        <f>IF('ORDENES'!$T418="correctiva",N422,0)</f>
        <v/>
      </c>
      <c r="Q422" s="3">
        <f>IF(AND(K422=1,'ORDENES'!$N418="Pendiente"),1,0)</f>
        <v/>
      </c>
      <c r="R422" s="3">
        <f>IF(Q422=1,100000-N422*1000+415*0.01,9000000000000+415)</f>
        <v/>
      </c>
      <c r="S422" s="3">
        <f>IF(Q422=1,SUMPRODUCT(--($R$8:$R$1207&lt;R422))+1,"")</f>
        <v/>
      </c>
      <c r="T422" s="12">
        <f>IF(K422=1,'ORDENES'!$J418,"")</f>
        <v/>
      </c>
    </row>
    <row r="423">
      <c r="K423" s="3">
        <f>IF(AND(IF($B$3="(todos)",TRUE,'ORDENES'!$O419=$B$3),IF($D$3="(todos)",TRUE,'ORDENES'!$AF419=$D$3),IF($F$3="(todos)",TRUE,'ORDENES'!$X419=$F$3),IF($H$3="(todos)",TRUE,'ORDENES'!$W419=$H$3),'ORDENES'!$AD419=TRUE,'ORDENES'!$A419&lt;&gt;""),1,0)</f>
        <v/>
      </c>
      <c r="L423" s="3">
        <f>IF(K423=1,IFERROR(MATCH('ORDENES'!$R419,lista_dias,0),9)*1000000000+IFERROR(MATCH('ORDENES'!$AF419,lista_turnos,0),9)*10000000+IFERROR(MATCH('ORDENES'!$AE419,tblTecnicos[nombre],0),99)*100000+416,9000000000000+416)</f>
        <v/>
      </c>
      <c r="M423" s="3">
        <f>IF(K423=1,SUMPRODUCT(--($L$8:$L$1207&lt;L423))+1,"")</f>
        <v/>
      </c>
      <c r="N423" s="17">
        <f>IF(K423=1,N('ORDENES'!$M419),0)</f>
        <v/>
      </c>
      <c r="O423" s="17">
        <f>IF('ORDENES'!$T419="preventiva",N423,0)</f>
        <v/>
      </c>
      <c r="P423" s="17">
        <f>IF('ORDENES'!$T419="correctiva",N423,0)</f>
        <v/>
      </c>
      <c r="Q423" s="3">
        <f>IF(AND(K423=1,'ORDENES'!$N419="Pendiente"),1,0)</f>
        <v/>
      </c>
      <c r="R423" s="3">
        <f>IF(Q423=1,100000-N423*1000+416*0.01,9000000000000+416)</f>
        <v/>
      </c>
      <c r="S423" s="3">
        <f>IF(Q423=1,SUMPRODUCT(--($R$8:$R$1207&lt;R423))+1,"")</f>
        <v/>
      </c>
      <c r="T423" s="12">
        <f>IF(K423=1,'ORDENES'!$J419,"")</f>
        <v/>
      </c>
    </row>
    <row r="424">
      <c r="K424" s="3">
        <f>IF(AND(IF($B$3="(todos)",TRUE,'ORDENES'!$O420=$B$3),IF($D$3="(todos)",TRUE,'ORDENES'!$AF420=$D$3),IF($F$3="(todos)",TRUE,'ORDENES'!$X420=$F$3),IF($H$3="(todos)",TRUE,'ORDENES'!$W420=$H$3),'ORDENES'!$AD420=TRUE,'ORDENES'!$A420&lt;&gt;""),1,0)</f>
        <v/>
      </c>
      <c r="L424" s="3">
        <f>IF(K424=1,IFERROR(MATCH('ORDENES'!$R420,lista_dias,0),9)*1000000000+IFERROR(MATCH('ORDENES'!$AF420,lista_turnos,0),9)*10000000+IFERROR(MATCH('ORDENES'!$AE420,tblTecnicos[nombre],0),99)*100000+417,9000000000000+417)</f>
        <v/>
      </c>
      <c r="M424" s="3">
        <f>IF(K424=1,SUMPRODUCT(--($L$8:$L$1207&lt;L424))+1,"")</f>
        <v/>
      </c>
      <c r="N424" s="17">
        <f>IF(K424=1,N('ORDENES'!$M420),0)</f>
        <v/>
      </c>
      <c r="O424" s="17">
        <f>IF('ORDENES'!$T420="preventiva",N424,0)</f>
        <v/>
      </c>
      <c r="P424" s="17">
        <f>IF('ORDENES'!$T420="correctiva",N424,0)</f>
        <v/>
      </c>
      <c r="Q424" s="3">
        <f>IF(AND(K424=1,'ORDENES'!$N420="Pendiente"),1,0)</f>
        <v/>
      </c>
      <c r="R424" s="3">
        <f>IF(Q424=1,100000-N424*1000+417*0.01,9000000000000+417)</f>
        <v/>
      </c>
      <c r="S424" s="3">
        <f>IF(Q424=1,SUMPRODUCT(--($R$8:$R$1207&lt;R424))+1,"")</f>
        <v/>
      </c>
      <c r="T424" s="12">
        <f>IF(K424=1,'ORDENES'!$J420,"")</f>
        <v/>
      </c>
    </row>
    <row r="425">
      <c r="K425" s="3">
        <f>IF(AND(IF($B$3="(todos)",TRUE,'ORDENES'!$O421=$B$3),IF($D$3="(todos)",TRUE,'ORDENES'!$AF421=$D$3),IF($F$3="(todos)",TRUE,'ORDENES'!$X421=$F$3),IF($H$3="(todos)",TRUE,'ORDENES'!$W421=$H$3),'ORDENES'!$AD421=TRUE,'ORDENES'!$A421&lt;&gt;""),1,0)</f>
        <v/>
      </c>
      <c r="L425" s="3">
        <f>IF(K425=1,IFERROR(MATCH('ORDENES'!$R421,lista_dias,0),9)*1000000000+IFERROR(MATCH('ORDENES'!$AF421,lista_turnos,0),9)*10000000+IFERROR(MATCH('ORDENES'!$AE421,tblTecnicos[nombre],0),99)*100000+418,9000000000000+418)</f>
        <v/>
      </c>
      <c r="M425" s="3">
        <f>IF(K425=1,SUMPRODUCT(--($L$8:$L$1207&lt;L425))+1,"")</f>
        <v/>
      </c>
      <c r="N425" s="17">
        <f>IF(K425=1,N('ORDENES'!$M421),0)</f>
        <v/>
      </c>
      <c r="O425" s="17">
        <f>IF('ORDENES'!$T421="preventiva",N425,0)</f>
        <v/>
      </c>
      <c r="P425" s="17">
        <f>IF('ORDENES'!$T421="correctiva",N425,0)</f>
        <v/>
      </c>
      <c r="Q425" s="3">
        <f>IF(AND(K425=1,'ORDENES'!$N421="Pendiente"),1,0)</f>
        <v/>
      </c>
      <c r="R425" s="3">
        <f>IF(Q425=1,100000-N425*1000+418*0.01,9000000000000+418)</f>
        <v/>
      </c>
      <c r="S425" s="3">
        <f>IF(Q425=1,SUMPRODUCT(--($R$8:$R$1207&lt;R425))+1,"")</f>
        <v/>
      </c>
      <c r="T425" s="12">
        <f>IF(K425=1,'ORDENES'!$J421,"")</f>
        <v/>
      </c>
    </row>
    <row r="426">
      <c r="K426" s="3">
        <f>IF(AND(IF($B$3="(todos)",TRUE,'ORDENES'!$O422=$B$3),IF($D$3="(todos)",TRUE,'ORDENES'!$AF422=$D$3),IF($F$3="(todos)",TRUE,'ORDENES'!$X422=$F$3),IF($H$3="(todos)",TRUE,'ORDENES'!$W422=$H$3),'ORDENES'!$AD422=TRUE,'ORDENES'!$A422&lt;&gt;""),1,0)</f>
        <v/>
      </c>
      <c r="L426" s="3">
        <f>IF(K426=1,IFERROR(MATCH('ORDENES'!$R422,lista_dias,0),9)*1000000000+IFERROR(MATCH('ORDENES'!$AF422,lista_turnos,0),9)*10000000+IFERROR(MATCH('ORDENES'!$AE422,tblTecnicos[nombre],0),99)*100000+419,9000000000000+419)</f>
        <v/>
      </c>
      <c r="M426" s="3">
        <f>IF(K426=1,SUMPRODUCT(--($L$8:$L$1207&lt;L426))+1,"")</f>
        <v/>
      </c>
      <c r="N426" s="17">
        <f>IF(K426=1,N('ORDENES'!$M422),0)</f>
        <v/>
      </c>
      <c r="O426" s="17">
        <f>IF('ORDENES'!$T422="preventiva",N426,0)</f>
        <v/>
      </c>
      <c r="P426" s="17">
        <f>IF('ORDENES'!$T422="correctiva",N426,0)</f>
        <v/>
      </c>
      <c r="Q426" s="3">
        <f>IF(AND(K426=1,'ORDENES'!$N422="Pendiente"),1,0)</f>
        <v/>
      </c>
      <c r="R426" s="3">
        <f>IF(Q426=1,100000-N426*1000+419*0.01,9000000000000+419)</f>
        <v/>
      </c>
      <c r="S426" s="3">
        <f>IF(Q426=1,SUMPRODUCT(--($R$8:$R$1207&lt;R426))+1,"")</f>
        <v/>
      </c>
      <c r="T426" s="12">
        <f>IF(K426=1,'ORDENES'!$J422,"")</f>
        <v/>
      </c>
    </row>
    <row r="427">
      <c r="K427" s="3">
        <f>IF(AND(IF($B$3="(todos)",TRUE,'ORDENES'!$O423=$B$3),IF($D$3="(todos)",TRUE,'ORDENES'!$AF423=$D$3),IF($F$3="(todos)",TRUE,'ORDENES'!$X423=$F$3),IF($H$3="(todos)",TRUE,'ORDENES'!$W423=$H$3),'ORDENES'!$AD423=TRUE,'ORDENES'!$A423&lt;&gt;""),1,0)</f>
        <v/>
      </c>
      <c r="L427" s="3">
        <f>IF(K427=1,IFERROR(MATCH('ORDENES'!$R423,lista_dias,0),9)*1000000000+IFERROR(MATCH('ORDENES'!$AF423,lista_turnos,0),9)*10000000+IFERROR(MATCH('ORDENES'!$AE423,tblTecnicos[nombre],0),99)*100000+420,9000000000000+420)</f>
        <v/>
      </c>
      <c r="M427" s="3">
        <f>IF(K427=1,SUMPRODUCT(--($L$8:$L$1207&lt;L427))+1,"")</f>
        <v/>
      </c>
      <c r="N427" s="17">
        <f>IF(K427=1,N('ORDENES'!$M423),0)</f>
        <v/>
      </c>
      <c r="O427" s="17">
        <f>IF('ORDENES'!$T423="preventiva",N427,0)</f>
        <v/>
      </c>
      <c r="P427" s="17">
        <f>IF('ORDENES'!$T423="correctiva",N427,0)</f>
        <v/>
      </c>
      <c r="Q427" s="3">
        <f>IF(AND(K427=1,'ORDENES'!$N423="Pendiente"),1,0)</f>
        <v/>
      </c>
      <c r="R427" s="3">
        <f>IF(Q427=1,100000-N427*1000+420*0.01,9000000000000+420)</f>
        <v/>
      </c>
      <c r="S427" s="3">
        <f>IF(Q427=1,SUMPRODUCT(--($R$8:$R$1207&lt;R427))+1,"")</f>
        <v/>
      </c>
      <c r="T427" s="12">
        <f>IF(K427=1,'ORDENES'!$J423,"")</f>
        <v/>
      </c>
    </row>
    <row r="428">
      <c r="K428" s="3">
        <f>IF(AND(IF($B$3="(todos)",TRUE,'ORDENES'!$O424=$B$3),IF($D$3="(todos)",TRUE,'ORDENES'!$AF424=$D$3),IF($F$3="(todos)",TRUE,'ORDENES'!$X424=$F$3),IF($H$3="(todos)",TRUE,'ORDENES'!$W424=$H$3),'ORDENES'!$AD424=TRUE,'ORDENES'!$A424&lt;&gt;""),1,0)</f>
        <v/>
      </c>
      <c r="L428" s="3">
        <f>IF(K428=1,IFERROR(MATCH('ORDENES'!$R424,lista_dias,0),9)*1000000000+IFERROR(MATCH('ORDENES'!$AF424,lista_turnos,0),9)*10000000+IFERROR(MATCH('ORDENES'!$AE424,tblTecnicos[nombre],0),99)*100000+421,9000000000000+421)</f>
        <v/>
      </c>
      <c r="M428" s="3">
        <f>IF(K428=1,SUMPRODUCT(--($L$8:$L$1207&lt;L428))+1,"")</f>
        <v/>
      </c>
      <c r="N428" s="17">
        <f>IF(K428=1,N('ORDENES'!$M424),0)</f>
        <v/>
      </c>
      <c r="O428" s="17">
        <f>IF('ORDENES'!$T424="preventiva",N428,0)</f>
        <v/>
      </c>
      <c r="P428" s="17">
        <f>IF('ORDENES'!$T424="correctiva",N428,0)</f>
        <v/>
      </c>
      <c r="Q428" s="3">
        <f>IF(AND(K428=1,'ORDENES'!$N424="Pendiente"),1,0)</f>
        <v/>
      </c>
      <c r="R428" s="3">
        <f>IF(Q428=1,100000-N428*1000+421*0.01,9000000000000+421)</f>
        <v/>
      </c>
      <c r="S428" s="3">
        <f>IF(Q428=1,SUMPRODUCT(--($R$8:$R$1207&lt;R428))+1,"")</f>
        <v/>
      </c>
      <c r="T428" s="12">
        <f>IF(K428=1,'ORDENES'!$J424,"")</f>
        <v/>
      </c>
    </row>
    <row r="429">
      <c r="K429" s="3">
        <f>IF(AND(IF($B$3="(todos)",TRUE,'ORDENES'!$O425=$B$3),IF($D$3="(todos)",TRUE,'ORDENES'!$AF425=$D$3),IF($F$3="(todos)",TRUE,'ORDENES'!$X425=$F$3),IF($H$3="(todos)",TRUE,'ORDENES'!$W425=$H$3),'ORDENES'!$AD425=TRUE,'ORDENES'!$A425&lt;&gt;""),1,0)</f>
        <v/>
      </c>
      <c r="L429" s="3">
        <f>IF(K429=1,IFERROR(MATCH('ORDENES'!$R425,lista_dias,0),9)*1000000000+IFERROR(MATCH('ORDENES'!$AF425,lista_turnos,0),9)*10000000+IFERROR(MATCH('ORDENES'!$AE425,tblTecnicos[nombre],0),99)*100000+422,9000000000000+422)</f>
        <v/>
      </c>
      <c r="M429" s="3">
        <f>IF(K429=1,SUMPRODUCT(--($L$8:$L$1207&lt;L429))+1,"")</f>
        <v/>
      </c>
      <c r="N429" s="17">
        <f>IF(K429=1,N('ORDENES'!$M425),0)</f>
        <v/>
      </c>
      <c r="O429" s="17">
        <f>IF('ORDENES'!$T425="preventiva",N429,0)</f>
        <v/>
      </c>
      <c r="P429" s="17">
        <f>IF('ORDENES'!$T425="correctiva",N429,0)</f>
        <v/>
      </c>
      <c r="Q429" s="3">
        <f>IF(AND(K429=1,'ORDENES'!$N425="Pendiente"),1,0)</f>
        <v/>
      </c>
      <c r="R429" s="3">
        <f>IF(Q429=1,100000-N429*1000+422*0.01,9000000000000+422)</f>
        <v/>
      </c>
      <c r="S429" s="3">
        <f>IF(Q429=1,SUMPRODUCT(--($R$8:$R$1207&lt;R429))+1,"")</f>
        <v/>
      </c>
      <c r="T429" s="12">
        <f>IF(K429=1,'ORDENES'!$J425,"")</f>
        <v/>
      </c>
    </row>
    <row r="430">
      <c r="K430" s="3">
        <f>IF(AND(IF($B$3="(todos)",TRUE,'ORDENES'!$O426=$B$3),IF($D$3="(todos)",TRUE,'ORDENES'!$AF426=$D$3),IF($F$3="(todos)",TRUE,'ORDENES'!$X426=$F$3),IF($H$3="(todos)",TRUE,'ORDENES'!$W426=$H$3),'ORDENES'!$AD426=TRUE,'ORDENES'!$A426&lt;&gt;""),1,0)</f>
        <v/>
      </c>
      <c r="L430" s="3">
        <f>IF(K430=1,IFERROR(MATCH('ORDENES'!$R426,lista_dias,0),9)*1000000000+IFERROR(MATCH('ORDENES'!$AF426,lista_turnos,0),9)*10000000+IFERROR(MATCH('ORDENES'!$AE426,tblTecnicos[nombre],0),99)*100000+423,9000000000000+423)</f>
        <v/>
      </c>
      <c r="M430" s="3">
        <f>IF(K430=1,SUMPRODUCT(--($L$8:$L$1207&lt;L430))+1,"")</f>
        <v/>
      </c>
      <c r="N430" s="17">
        <f>IF(K430=1,N('ORDENES'!$M426),0)</f>
        <v/>
      </c>
      <c r="O430" s="17">
        <f>IF('ORDENES'!$T426="preventiva",N430,0)</f>
        <v/>
      </c>
      <c r="P430" s="17">
        <f>IF('ORDENES'!$T426="correctiva",N430,0)</f>
        <v/>
      </c>
      <c r="Q430" s="3">
        <f>IF(AND(K430=1,'ORDENES'!$N426="Pendiente"),1,0)</f>
        <v/>
      </c>
      <c r="R430" s="3">
        <f>IF(Q430=1,100000-N430*1000+423*0.01,9000000000000+423)</f>
        <v/>
      </c>
      <c r="S430" s="3">
        <f>IF(Q430=1,SUMPRODUCT(--($R$8:$R$1207&lt;R430))+1,"")</f>
        <v/>
      </c>
      <c r="T430" s="12">
        <f>IF(K430=1,'ORDENES'!$J426,"")</f>
        <v/>
      </c>
    </row>
    <row r="431">
      <c r="K431" s="3">
        <f>IF(AND(IF($B$3="(todos)",TRUE,'ORDENES'!$O427=$B$3),IF($D$3="(todos)",TRUE,'ORDENES'!$AF427=$D$3),IF($F$3="(todos)",TRUE,'ORDENES'!$X427=$F$3),IF($H$3="(todos)",TRUE,'ORDENES'!$W427=$H$3),'ORDENES'!$AD427=TRUE,'ORDENES'!$A427&lt;&gt;""),1,0)</f>
        <v/>
      </c>
      <c r="L431" s="3">
        <f>IF(K431=1,IFERROR(MATCH('ORDENES'!$R427,lista_dias,0),9)*1000000000+IFERROR(MATCH('ORDENES'!$AF427,lista_turnos,0),9)*10000000+IFERROR(MATCH('ORDENES'!$AE427,tblTecnicos[nombre],0),99)*100000+424,9000000000000+424)</f>
        <v/>
      </c>
      <c r="M431" s="3">
        <f>IF(K431=1,SUMPRODUCT(--($L$8:$L$1207&lt;L431))+1,"")</f>
        <v/>
      </c>
      <c r="N431" s="17">
        <f>IF(K431=1,N('ORDENES'!$M427),0)</f>
        <v/>
      </c>
      <c r="O431" s="17">
        <f>IF('ORDENES'!$T427="preventiva",N431,0)</f>
        <v/>
      </c>
      <c r="P431" s="17">
        <f>IF('ORDENES'!$T427="correctiva",N431,0)</f>
        <v/>
      </c>
      <c r="Q431" s="3">
        <f>IF(AND(K431=1,'ORDENES'!$N427="Pendiente"),1,0)</f>
        <v/>
      </c>
      <c r="R431" s="3">
        <f>IF(Q431=1,100000-N431*1000+424*0.01,9000000000000+424)</f>
        <v/>
      </c>
      <c r="S431" s="3">
        <f>IF(Q431=1,SUMPRODUCT(--($R$8:$R$1207&lt;R431))+1,"")</f>
        <v/>
      </c>
      <c r="T431" s="12">
        <f>IF(K431=1,'ORDENES'!$J427,"")</f>
        <v/>
      </c>
    </row>
    <row r="432">
      <c r="K432" s="3">
        <f>IF(AND(IF($B$3="(todos)",TRUE,'ORDENES'!$O428=$B$3),IF($D$3="(todos)",TRUE,'ORDENES'!$AF428=$D$3),IF($F$3="(todos)",TRUE,'ORDENES'!$X428=$F$3),IF($H$3="(todos)",TRUE,'ORDENES'!$W428=$H$3),'ORDENES'!$AD428=TRUE,'ORDENES'!$A428&lt;&gt;""),1,0)</f>
        <v/>
      </c>
      <c r="L432" s="3">
        <f>IF(K432=1,IFERROR(MATCH('ORDENES'!$R428,lista_dias,0),9)*1000000000+IFERROR(MATCH('ORDENES'!$AF428,lista_turnos,0),9)*10000000+IFERROR(MATCH('ORDENES'!$AE428,tblTecnicos[nombre],0),99)*100000+425,9000000000000+425)</f>
        <v/>
      </c>
      <c r="M432" s="3">
        <f>IF(K432=1,SUMPRODUCT(--($L$8:$L$1207&lt;L432))+1,"")</f>
        <v/>
      </c>
      <c r="N432" s="17">
        <f>IF(K432=1,N('ORDENES'!$M428),0)</f>
        <v/>
      </c>
      <c r="O432" s="17">
        <f>IF('ORDENES'!$T428="preventiva",N432,0)</f>
        <v/>
      </c>
      <c r="P432" s="17">
        <f>IF('ORDENES'!$T428="correctiva",N432,0)</f>
        <v/>
      </c>
      <c r="Q432" s="3">
        <f>IF(AND(K432=1,'ORDENES'!$N428="Pendiente"),1,0)</f>
        <v/>
      </c>
      <c r="R432" s="3">
        <f>IF(Q432=1,100000-N432*1000+425*0.01,9000000000000+425)</f>
        <v/>
      </c>
      <c r="S432" s="3">
        <f>IF(Q432=1,SUMPRODUCT(--($R$8:$R$1207&lt;R432))+1,"")</f>
        <v/>
      </c>
      <c r="T432" s="12">
        <f>IF(K432=1,'ORDENES'!$J428,"")</f>
        <v/>
      </c>
    </row>
    <row r="433">
      <c r="K433" s="3">
        <f>IF(AND(IF($B$3="(todos)",TRUE,'ORDENES'!$O429=$B$3),IF($D$3="(todos)",TRUE,'ORDENES'!$AF429=$D$3),IF($F$3="(todos)",TRUE,'ORDENES'!$X429=$F$3),IF($H$3="(todos)",TRUE,'ORDENES'!$W429=$H$3),'ORDENES'!$AD429=TRUE,'ORDENES'!$A429&lt;&gt;""),1,0)</f>
        <v/>
      </c>
      <c r="L433" s="3">
        <f>IF(K433=1,IFERROR(MATCH('ORDENES'!$R429,lista_dias,0),9)*1000000000+IFERROR(MATCH('ORDENES'!$AF429,lista_turnos,0),9)*10000000+IFERROR(MATCH('ORDENES'!$AE429,tblTecnicos[nombre],0),99)*100000+426,9000000000000+426)</f>
        <v/>
      </c>
      <c r="M433" s="3">
        <f>IF(K433=1,SUMPRODUCT(--($L$8:$L$1207&lt;L433))+1,"")</f>
        <v/>
      </c>
      <c r="N433" s="17">
        <f>IF(K433=1,N('ORDENES'!$M429),0)</f>
        <v/>
      </c>
      <c r="O433" s="17">
        <f>IF('ORDENES'!$T429="preventiva",N433,0)</f>
        <v/>
      </c>
      <c r="P433" s="17">
        <f>IF('ORDENES'!$T429="correctiva",N433,0)</f>
        <v/>
      </c>
      <c r="Q433" s="3">
        <f>IF(AND(K433=1,'ORDENES'!$N429="Pendiente"),1,0)</f>
        <v/>
      </c>
      <c r="R433" s="3">
        <f>IF(Q433=1,100000-N433*1000+426*0.01,9000000000000+426)</f>
        <v/>
      </c>
      <c r="S433" s="3">
        <f>IF(Q433=1,SUMPRODUCT(--($R$8:$R$1207&lt;R433))+1,"")</f>
        <v/>
      </c>
      <c r="T433" s="12">
        <f>IF(K433=1,'ORDENES'!$J429,"")</f>
        <v/>
      </c>
    </row>
    <row r="434">
      <c r="K434" s="3">
        <f>IF(AND(IF($B$3="(todos)",TRUE,'ORDENES'!$O430=$B$3),IF($D$3="(todos)",TRUE,'ORDENES'!$AF430=$D$3),IF($F$3="(todos)",TRUE,'ORDENES'!$X430=$F$3),IF($H$3="(todos)",TRUE,'ORDENES'!$W430=$H$3),'ORDENES'!$AD430=TRUE,'ORDENES'!$A430&lt;&gt;""),1,0)</f>
        <v/>
      </c>
      <c r="L434" s="3">
        <f>IF(K434=1,IFERROR(MATCH('ORDENES'!$R430,lista_dias,0),9)*1000000000+IFERROR(MATCH('ORDENES'!$AF430,lista_turnos,0),9)*10000000+IFERROR(MATCH('ORDENES'!$AE430,tblTecnicos[nombre],0),99)*100000+427,9000000000000+427)</f>
        <v/>
      </c>
      <c r="M434" s="3">
        <f>IF(K434=1,SUMPRODUCT(--($L$8:$L$1207&lt;L434))+1,"")</f>
        <v/>
      </c>
      <c r="N434" s="17">
        <f>IF(K434=1,N('ORDENES'!$M430),0)</f>
        <v/>
      </c>
      <c r="O434" s="17">
        <f>IF('ORDENES'!$T430="preventiva",N434,0)</f>
        <v/>
      </c>
      <c r="P434" s="17">
        <f>IF('ORDENES'!$T430="correctiva",N434,0)</f>
        <v/>
      </c>
      <c r="Q434" s="3">
        <f>IF(AND(K434=1,'ORDENES'!$N430="Pendiente"),1,0)</f>
        <v/>
      </c>
      <c r="R434" s="3">
        <f>IF(Q434=1,100000-N434*1000+427*0.01,9000000000000+427)</f>
        <v/>
      </c>
      <c r="S434" s="3">
        <f>IF(Q434=1,SUMPRODUCT(--($R$8:$R$1207&lt;R434))+1,"")</f>
        <v/>
      </c>
      <c r="T434" s="12">
        <f>IF(K434=1,'ORDENES'!$J430,"")</f>
        <v/>
      </c>
    </row>
    <row r="435">
      <c r="K435" s="3">
        <f>IF(AND(IF($B$3="(todos)",TRUE,'ORDENES'!$O431=$B$3),IF($D$3="(todos)",TRUE,'ORDENES'!$AF431=$D$3),IF($F$3="(todos)",TRUE,'ORDENES'!$X431=$F$3),IF($H$3="(todos)",TRUE,'ORDENES'!$W431=$H$3),'ORDENES'!$AD431=TRUE,'ORDENES'!$A431&lt;&gt;""),1,0)</f>
        <v/>
      </c>
      <c r="L435" s="3">
        <f>IF(K435=1,IFERROR(MATCH('ORDENES'!$R431,lista_dias,0),9)*1000000000+IFERROR(MATCH('ORDENES'!$AF431,lista_turnos,0),9)*10000000+IFERROR(MATCH('ORDENES'!$AE431,tblTecnicos[nombre],0),99)*100000+428,9000000000000+428)</f>
        <v/>
      </c>
      <c r="M435" s="3">
        <f>IF(K435=1,SUMPRODUCT(--($L$8:$L$1207&lt;L435))+1,"")</f>
        <v/>
      </c>
      <c r="N435" s="17">
        <f>IF(K435=1,N('ORDENES'!$M431),0)</f>
        <v/>
      </c>
      <c r="O435" s="17">
        <f>IF('ORDENES'!$T431="preventiva",N435,0)</f>
        <v/>
      </c>
      <c r="P435" s="17">
        <f>IF('ORDENES'!$T431="correctiva",N435,0)</f>
        <v/>
      </c>
      <c r="Q435" s="3">
        <f>IF(AND(K435=1,'ORDENES'!$N431="Pendiente"),1,0)</f>
        <v/>
      </c>
      <c r="R435" s="3">
        <f>IF(Q435=1,100000-N435*1000+428*0.01,9000000000000+428)</f>
        <v/>
      </c>
      <c r="S435" s="3">
        <f>IF(Q435=1,SUMPRODUCT(--($R$8:$R$1207&lt;R435))+1,"")</f>
        <v/>
      </c>
      <c r="T435" s="12">
        <f>IF(K435=1,'ORDENES'!$J431,"")</f>
        <v/>
      </c>
    </row>
    <row r="436">
      <c r="K436" s="3">
        <f>IF(AND(IF($B$3="(todos)",TRUE,'ORDENES'!$O432=$B$3),IF($D$3="(todos)",TRUE,'ORDENES'!$AF432=$D$3),IF($F$3="(todos)",TRUE,'ORDENES'!$X432=$F$3),IF($H$3="(todos)",TRUE,'ORDENES'!$W432=$H$3),'ORDENES'!$AD432=TRUE,'ORDENES'!$A432&lt;&gt;""),1,0)</f>
        <v/>
      </c>
      <c r="L436" s="3">
        <f>IF(K436=1,IFERROR(MATCH('ORDENES'!$R432,lista_dias,0),9)*1000000000+IFERROR(MATCH('ORDENES'!$AF432,lista_turnos,0),9)*10000000+IFERROR(MATCH('ORDENES'!$AE432,tblTecnicos[nombre],0),99)*100000+429,9000000000000+429)</f>
        <v/>
      </c>
      <c r="M436" s="3">
        <f>IF(K436=1,SUMPRODUCT(--($L$8:$L$1207&lt;L436))+1,"")</f>
        <v/>
      </c>
      <c r="N436" s="17">
        <f>IF(K436=1,N('ORDENES'!$M432),0)</f>
        <v/>
      </c>
      <c r="O436" s="17">
        <f>IF('ORDENES'!$T432="preventiva",N436,0)</f>
        <v/>
      </c>
      <c r="P436" s="17">
        <f>IF('ORDENES'!$T432="correctiva",N436,0)</f>
        <v/>
      </c>
      <c r="Q436" s="3">
        <f>IF(AND(K436=1,'ORDENES'!$N432="Pendiente"),1,0)</f>
        <v/>
      </c>
      <c r="R436" s="3">
        <f>IF(Q436=1,100000-N436*1000+429*0.01,9000000000000+429)</f>
        <v/>
      </c>
      <c r="S436" s="3">
        <f>IF(Q436=1,SUMPRODUCT(--($R$8:$R$1207&lt;R436))+1,"")</f>
        <v/>
      </c>
      <c r="T436" s="12">
        <f>IF(K436=1,'ORDENES'!$J432,"")</f>
        <v/>
      </c>
    </row>
    <row r="437">
      <c r="K437" s="3">
        <f>IF(AND(IF($B$3="(todos)",TRUE,'ORDENES'!$O433=$B$3),IF($D$3="(todos)",TRUE,'ORDENES'!$AF433=$D$3),IF($F$3="(todos)",TRUE,'ORDENES'!$X433=$F$3),IF($H$3="(todos)",TRUE,'ORDENES'!$W433=$H$3),'ORDENES'!$AD433=TRUE,'ORDENES'!$A433&lt;&gt;""),1,0)</f>
        <v/>
      </c>
      <c r="L437" s="3">
        <f>IF(K437=1,IFERROR(MATCH('ORDENES'!$R433,lista_dias,0),9)*1000000000+IFERROR(MATCH('ORDENES'!$AF433,lista_turnos,0),9)*10000000+IFERROR(MATCH('ORDENES'!$AE433,tblTecnicos[nombre],0),99)*100000+430,9000000000000+430)</f>
        <v/>
      </c>
      <c r="M437" s="3">
        <f>IF(K437=1,SUMPRODUCT(--($L$8:$L$1207&lt;L437))+1,"")</f>
        <v/>
      </c>
      <c r="N437" s="17">
        <f>IF(K437=1,N('ORDENES'!$M433),0)</f>
        <v/>
      </c>
      <c r="O437" s="17">
        <f>IF('ORDENES'!$T433="preventiva",N437,0)</f>
        <v/>
      </c>
      <c r="P437" s="17">
        <f>IF('ORDENES'!$T433="correctiva",N437,0)</f>
        <v/>
      </c>
      <c r="Q437" s="3">
        <f>IF(AND(K437=1,'ORDENES'!$N433="Pendiente"),1,0)</f>
        <v/>
      </c>
      <c r="R437" s="3">
        <f>IF(Q437=1,100000-N437*1000+430*0.01,9000000000000+430)</f>
        <v/>
      </c>
      <c r="S437" s="3">
        <f>IF(Q437=1,SUMPRODUCT(--($R$8:$R$1207&lt;R437))+1,"")</f>
        <v/>
      </c>
      <c r="T437" s="12">
        <f>IF(K437=1,'ORDENES'!$J433,"")</f>
        <v/>
      </c>
    </row>
    <row r="438">
      <c r="K438" s="3">
        <f>IF(AND(IF($B$3="(todos)",TRUE,'ORDENES'!$O434=$B$3),IF($D$3="(todos)",TRUE,'ORDENES'!$AF434=$D$3),IF($F$3="(todos)",TRUE,'ORDENES'!$X434=$F$3),IF($H$3="(todos)",TRUE,'ORDENES'!$W434=$H$3),'ORDENES'!$AD434=TRUE,'ORDENES'!$A434&lt;&gt;""),1,0)</f>
        <v/>
      </c>
      <c r="L438" s="3">
        <f>IF(K438=1,IFERROR(MATCH('ORDENES'!$R434,lista_dias,0),9)*1000000000+IFERROR(MATCH('ORDENES'!$AF434,lista_turnos,0),9)*10000000+IFERROR(MATCH('ORDENES'!$AE434,tblTecnicos[nombre],0),99)*100000+431,9000000000000+431)</f>
        <v/>
      </c>
      <c r="M438" s="3">
        <f>IF(K438=1,SUMPRODUCT(--($L$8:$L$1207&lt;L438))+1,"")</f>
        <v/>
      </c>
      <c r="N438" s="17">
        <f>IF(K438=1,N('ORDENES'!$M434),0)</f>
        <v/>
      </c>
      <c r="O438" s="17">
        <f>IF('ORDENES'!$T434="preventiva",N438,0)</f>
        <v/>
      </c>
      <c r="P438" s="17">
        <f>IF('ORDENES'!$T434="correctiva",N438,0)</f>
        <v/>
      </c>
      <c r="Q438" s="3">
        <f>IF(AND(K438=1,'ORDENES'!$N434="Pendiente"),1,0)</f>
        <v/>
      </c>
      <c r="R438" s="3">
        <f>IF(Q438=1,100000-N438*1000+431*0.01,9000000000000+431)</f>
        <v/>
      </c>
      <c r="S438" s="3">
        <f>IF(Q438=1,SUMPRODUCT(--($R$8:$R$1207&lt;R438))+1,"")</f>
        <v/>
      </c>
      <c r="T438" s="12">
        <f>IF(K438=1,'ORDENES'!$J434,"")</f>
        <v/>
      </c>
    </row>
    <row r="439">
      <c r="K439" s="3">
        <f>IF(AND(IF($B$3="(todos)",TRUE,'ORDENES'!$O435=$B$3),IF($D$3="(todos)",TRUE,'ORDENES'!$AF435=$D$3),IF($F$3="(todos)",TRUE,'ORDENES'!$X435=$F$3),IF($H$3="(todos)",TRUE,'ORDENES'!$W435=$H$3),'ORDENES'!$AD435=TRUE,'ORDENES'!$A435&lt;&gt;""),1,0)</f>
        <v/>
      </c>
      <c r="L439" s="3">
        <f>IF(K439=1,IFERROR(MATCH('ORDENES'!$R435,lista_dias,0),9)*1000000000+IFERROR(MATCH('ORDENES'!$AF435,lista_turnos,0),9)*10000000+IFERROR(MATCH('ORDENES'!$AE435,tblTecnicos[nombre],0),99)*100000+432,9000000000000+432)</f>
        <v/>
      </c>
      <c r="M439" s="3">
        <f>IF(K439=1,SUMPRODUCT(--($L$8:$L$1207&lt;L439))+1,"")</f>
        <v/>
      </c>
      <c r="N439" s="17">
        <f>IF(K439=1,N('ORDENES'!$M435),0)</f>
        <v/>
      </c>
      <c r="O439" s="17">
        <f>IF('ORDENES'!$T435="preventiva",N439,0)</f>
        <v/>
      </c>
      <c r="P439" s="17">
        <f>IF('ORDENES'!$T435="correctiva",N439,0)</f>
        <v/>
      </c>
      <c r="Q439" s="3">
        <f>IF(AND(K439=1,'ORDENES'!$N435="Pendiente"),1,0)</f>
        <v/>
      </c>
      <c r="R439" s="3">
        <f>IF(Q439=1,100000-N439*1000+432*0.01,9000000000000+432)</f>
        <v/>
      </c>
      <c r="S439" s="3">
        <f>IF(Q439=1,SUMPRODUCT(--($R$8:$R$1207&lt;R439))+1,"")</f>
        <v/>
      </c>
      <c r="T439" s="12">
        <f>IF(K439=1,'ORDENES'!$J435,"")</f>
        <v/>
      </c>
    </row>
    <row r="440">
      <c r="K440" s="3">
        <f>IF(AND(IF($B$3="(todos)",TRUE,'ORDENES'!$O436=$B$3),IF($D$3="(todos)",TRUE,'ORDENES'!$AF436=$D$3),IF($F$3="(todos)",TRUE,'ORDENES'!$X436=$F$3),IF($H$3="(todos)",TRUE,'ORDENES'!$W436=$H$3),'ORDENES'!$AD436=TRUE,'ORDENES'!$A436&lt;&gt;""),1,0)</f>
        <v/>
      </c>
      <c r="L440" s="3">
        <f>IF(K440=1,IFERROR(MATCH('ORDENES'!$R436,lista_dias,0),9)*1000000000+IFERROR(MATCH('ORDENES'!$AF436,lista_turnos,0),9)*10000000+IFERROR(MATCH('ORDENES'!$AE436,tblTecnicos[nombre],0),99)*100000+433,9000000000000+433)</f>
        <v/>
      </c>
      <c r="M440" s="3">
        <f>IF(K440=1,SUMPRODUCT(--($L$8:$L$1207&lt;L440))+1,"")</f>
        <v/>
      </c>
      <c r="N440" s="17">
        <f>IF(K440=1,N('ORDENES'!$M436),0)</f>
        <v/>
      </c>
      <c r="O440" s="17">
        <f>IF('ORDENES'!$T436="preventiva",N440,0)</f>
        <v/>
      </c>
      <c r="P440" s="17">
        <f>IF('ORDENES'!$T436="correctiva",N440,0)</f>
        <v/>
      </c>
      <c r="Q440" s="3">
        <f>IF(AND(K440=1,'ORDENES'!$N436="Pendiente"),1,0)</f>
        <v/>
      </c>
      <c r="R440" s="3">
        <f>IF(Q440=1,100000-N440*1000+433*0.01,9000000000000+433)</f>
        <v/>
      </c>
      <c r="S440" s="3">
        <f>IF(Q440=1,SUMPRODUCT(--($R$8:$R$1207&lt;R440))+1,"")</f>
        <v/>
      </c>
      <c r="T440" s="12">
        <f>IF(K440=1,'ORDENES'!$J436,"")</f>
        <v/>
      </c>
    </row>
    <row r="441">
      <c r="K441" s="3">
        <f>IF(AND(IF($B$3="(todos)",TRUE,'ORDENES'!$O437=$B$3),IF($D$3="(todos)",TRUE,'ORDENES'!$AF437=$D$3),IF($F$3="(todos)",TRUE,'ORDENES'!$X437=$F$3),IF($H$3="(todos)",TRUE,'ORDENES'!$W437=$H$3),'ORDENES'!$AD437=TRUE,'ORDENES'!$A437&lt;&gt;""),1,0)</f>
        <v/>
      </c>
      <c r="L441" s="3">
        <f>IF(K441=1,IFERROR(MATCH('ORDENES'!$R437,lista_dias,0),9)*1000000000+IFERROR(MATCH('ORDENES'!$AF437,lista_turnos,0),9)*10000000+IFERROR(MATCH('ORDENES'!$AE437,tblTecnicos[nombre],0),99)*100000+434,9000000000000+434)</f>
        <v/>
      </c>
      <c r="M441" s="3">
        <f>IF(K441=1,SUMPRODUCT(--($L$8:$L$1207&lt;L441))+1,"")</f>
        <v/>
      </c>
      <c r="N441" s="17">
        <f>IF(K441=1,N('ORDENES'!$M437),0)</f>
        <v/>
      </c>
      <c r="O441" s="17">
        <f>IF('ORDENES'!$T437="preventiva",N441,0)</f>
        <v/>
      </c>
      <c r="P441" s="17">
        <f>IF('ORDENES'!$T437="correctiva",N441,0)</f>
        <v/>
      </c>
      <c r="Q441" s="3">
        <f>IF(AND(K441=1,'ORDENES'!$N437="Pendiente"),1,0)</f>
        <v/>
      </c>
      <c r="R441" s="3">
        <f>IF(Q441=1,100000-N441*1000+434*0.01,9000000000000+434)</f>
        <v/>
      </c>
      <c r="S441" s="3">
        <f>IF(Q441=1,SUMPRODUCT(--($R$8:$R$1207&lt;R441))+1,"")</f>
        <v/>
      </c>
      <c r="T441" s="12">
        <f>IF(K441=1,'ORDENES'!$J437,"")</f>
        <v/>
      </c>
    </row>
    <row r="442">
      <c r="K442" s="3">
        <f>IF(AND(IF($B$3="(todos)",TRUE,'ORDENES'!$O438=$B$3),IF($D$3="(todos)",TRUE,'ORDENES'!$AF438=$D$3),IF($F$3="(todos)",TRUE,'ORDENES'!$X438=$F$3),IF($H$3="(todos)",TRUE,'ORDENES'!$W438=$H$3),'ORDENES'!$AD438=TRUE,'ORDENES'!$A438&lt;&gt;""),1,0)</f>
        <v/>
      </c>
      <c r="L442" s="3">
        <f>IF(K442=1,IFERROR(MATCH('ORDENES'!$R438,lista_dias,0),9)*1000000000+IFERROR(MATCH('ORDENES'!$AF438,lista_turnos,0),9)*10000000+IFERROR(MATCH('ORDENES'!$AE438,tblTecnicos[nombre],0),99)*100000+435,9000000000000+435)</f>
        <v/>
      </c>
      <c r="M442" s="3">
        <f>IF(K442=1,SUMPRODUCT(--($L$8:$L$1207&lt;L442))+1,"")</f>
        <v/>
      </c>
      <c r="N442" s="17">
        <f>IF(K442=1,N('ORDENES'!$M438),0)</f>
        <v/>
      </c>
      <c r="O442" s="17">
        <f>IF('ORDENES'!$T438="preventiva",N442,0)</f>
        <v/>
      </c>
      <c r="P442" s="17">
        <f>IF('ORDENES'!$T438="correctiva",N442,0)</f>
        <v/>
      </c>
      <c r="Q442" s="3">
        <f>IF(AND(K442=1,'ORDENES'!$N438="Pendiente"),1,0)</f>
        <v/>
      </c>
      <c r="R442" s="3">
        <f>IF(Q442=1,100000-N442*1000+435*0.01,9000000000000+435)</f>
        <v/>
      </c>
      <c r="S442" s="3">
        <f>IF(Q442=1,SUMPRODUCT(--($R$8:$R$1207&lt;R442))+1,"")</f>
        <v/>
      </c>
      <c r="T442" s="12">
        <f>IF(K442=1,'ORDENES'!$J438,"")</f>
        <v/>
      </c>
    </row>
    <row r="443">
      <c r="K443" s="3">
        <f>IF(AND(IF($B$3="(todos)",TRUE,'ORDENES'!$O439=$B$3),IF($D$3="(todos)",TRUE,'ORDENES'!$AF439=$D$3),IF($F$3="(todos)",TRUE,'ORDENES'!$X439=$F$3),IF($H$3="(todos)",TRUE,'ORDENES'!$W439=$H$3),'ORDENES'!$AD439=TRUE,'ORDENES'!$A439&lt;&gt;""),1,0)</f>
        <v/>
      </c>
      <c r="L443" s="3">
        <f>IF(K443=1,IFERROR(MATCH('ORDENES'!$R439,lista_dias,0),9)*1000000000+IFERROR(MATCH('ORDENES'!$AF439,lista_turnos,0),9)*10000000+IFERROR(MATCH('ORDENES'!$AE439,tblTecnicos[nombre],0),99)*100000+436,9000000000000+436)</f>
        <v/>
      </c>
      <c r="M443" s="3">
        <f>IF(K443=1,SUMPRODUCT(--($L$8:$L$1207&lt;L443))+1,"")</f>
        <v/>
      </c>
      <c r="N443" s="17">
        <f>IF(K443=1,N('ORDENES'!$M439),0)</f>
        <v/>
      </c>
      <c r="O443" s="17">
        <f>IF('ORDENES'!$T439="preventiva",N443,0)</f>
        <v/>
      </c>
      <c r="P443" s="17">
        <f>IF('ORDENES'!$T439="correctiva",N443,0)</f>
        <v/>
      </c>
      <c r="Q443" s="3">
        <f>IF(AND(K443=1,'ORDENES'!$N439="Pendiente"),1,0)</f>
        <v/>
      </c>
      <c r="R443" s="3">
        <f>IF(Q443=1,100000-N443*1000+436*0.01,9000000000000+436)</f>
        <v/>
      </c>
      <c r="S443" s="3">
        <f>IF(Q443=1,SUMPRODUCT(--($R$8:$R$1207&lt;R443))+1,"")</f>
        <v/>
      </c>
      <c r="T443" s="12">
        <f>IF(K443=1,'ORDENES'!$J439,"")</f>
        <v/>
      </c>
    </row>
    <row r="444">
      <c r="K444" s="3">
        <f>IF(AND(IF($B$3="(todos)",TRUE,'ORDENES'!$O440=$B$3),IF($D$3="(todos)",TRUE,'ORDENES'!$AF440=$D$3),IF($F$3="(todos)",TRUE,'ORDENES'!$X440=$F$3),IF($H$3="(todos)",TRUE,'ORDENES'!$W440=$H$3),'ORDENES'!$AD440=TRUE,'ORDENES'!$A440&lt;&gt;""),1,0)</f>
        <v/>
      </c>
      <c r="L444" s="3">
        <f>IF(K444=1,IFERROR(MATCH('ORDENES'!$R440,lista_dias,0),9)*1000000000+IFERROR(MATCH('ORDENES'!$AF440,lista_turnos,0),9)*10000000+IFERROR(MATCH('ORDENES'!$AE440,tblTecnicos[nombre],0),99)*100000+437,9000000000000+437)</f>
        <v/>
      </c>
      <c r="M444" s="3">
        <f>IF(K444=1,SUMPRODUCT(--($L$8:$L$1207&lt;L444))+1,"")</f>
        <v/>
      </c>
      <c r="N444" s="17">
        <f>IF(K444=1,N('ORDENES'!$M440),0)</f>
        <v/>
      </c>
      <c r="O444" s="17">
        <f>IF('ORDENES'!$T440="preventiva",N444,0)</f>
        <v/>
      </c>
      <c r="P444" s="17">
        <f>IF('ORDENES'!$T440="correctiva",N444,0)</f>
        <v/>
      </c>
      <c r="Q444" s="3">
        <f>IF(AND(K444=1,'ORDENES'!$N440="Pendiente"),1,0)</f>
        <v/>
      </c>
      <c r="R444" s="3">
        <f>IF(Q444=1,100000-N444*1000+437*0.01,9000000000000+437)</f>
        <v/>
      </c>
      <c r="S444" s="3">
        <f>IF(Q444=1,SUMPRODUCT(--($R$8:$R$1207&lt;R444))+1,"")</f>
        <v/>
      </c>
      <c r="T444" s="12">
        <f>IF(K444=1,'ORDENES'!$J440,"")</f>
        <v/>
      </c>
    </row>
    <row r="445">
      <c r="K445" s="3">
        <f>IF(AND(IF($B$3="(todos)",TRUE,'ORDENES'!$O441=$B$3),IF($D$3="(todos)",TRUE,'ORDENES'!$AF441=$D$3),IF($F$3="(todos)",TRUE,'ORDENES'!$X441=$F$3),IF($H$3="(todos)",TRUE,'ORDENES'!$W441=$H$3),'ORDENES'!$AD441=TRUE,'ORDENES'!$A441&lt;&gt;""),1,0)</f>
        <v/>
      </c>
      <c r="L445" s="3">
        <f>IF(K445=1,IFERROR(MATCH('ORDENES'!$R441,lista_dias,0),9)*1000000000+IFERROR(MATCH('ORDENES'!$AF441,lista_turnos,0),9)*10000000+IFERROR(MATCH('ORDENES'!$AE441,tblTecnicos[nombre],0),99)*100000+438,9000000000000+438)</f>
        <v/>
      </c>
      <c r="M445" s="3">
        <f>IF(K445=1,SUMPRODUCT(--($L$8:$L$1207&lt;L445))+1,"")</f>
        <v/>
      </c>
      <c r="N445" s="17">
        <f>IF(K445=1,N('ORDENES'!$M441),0)</f>
        <v/>
      </c>
      <c r="O445" s="17">
        <f>IF('ORDENES'!$T441="preventiva",N445,0)</f>
        <v/>
      </c>
      <c r="P445" s="17">
        <f>IF('ORDENES'!$T441="correctiva",N445,0)</f>
        <v/>
      </c>
      <c r="Q445" s="3">
        <f>IF(AND(K445=1,'ORDENES'!$N441="Pendiente"),1,0)</f>
        <v/>
      </c>
      <c r="R445" s="3">
        <f>IF(Q445=1,100000-N445*1000+438*0.01,9000000000000+438)</f>
        <v/>
      </c>
      <c r="S445" s="3">
        <f>IF(Q445=1,SUMPRODUCT(--($R$8:$R$1207&lt;R445))+1,"")</f>
        <v/>
      </c>
      <c r="T445" s="12">
        <f>IF(K445=1,'ORDENES'!$J441,"")</f>
        <v/>
      </c>
    </row>
    <row r="446">
      <c r="K446" s="3">
        <f>IF(AND(IF($B$3="(todos)",TRUE,'ORDENES'!$O442=$B$3),IF($D$3="(todos)",TRUE,'ORDENES'!$AF442=$D$3),IF($F$3="(todos)",TRUE,'ORDENES'!$X442=$F$3),IF($H$3="(todos)",TRUE,'ORDENES'!$W442=$H$3),'ORDENES'!$AD442=TRUE,'ORDENES'!$A442&lt;&gt;""),1,0)</f>
        <v/>
      </c>
      <c r="L446" s="3">
        <f>IF(K446=1,IFERROR(MATCH('ORDENES'!$R442,lista_dias,0),9)*1000000000+IFERROR(MATCH('ORDENES'!$AF442,lista_turnos,0),9)*10000000+IFERROR(MATCH('ORDENES'!$AE442,tblTecnicos[nombre],0),99)*100000+439,9000000000000+439)</f>
        <v/>
      </c>
      <c r="M446" s="3">
        <f>IF(K446=1,SUMPRODUCT(--($L$8:$L$1207&lt;L446))+1,"")</f>
        <v/>
      </c>
      <c r="N446" s="17">
        <f>IF(K446=1,N('ORDENES'!$M442),0)</f>
        <v/>
      </c>
      <c r="O446" s="17">
        <f>IF('ORDENES'!$T442="preventiva",N446,0)</f>
        <v/>
      </c>
      <c r="P446" s="17">
        <f>IF('ORDENES'!$T442="correctiva",N446,0)</f>
        <v/>
      </c>
      <c r="Q446" s="3">
        <f>IF(AND(K446=1,'ORDENES'!$N442="Pendiente"),1,0)</f>
        <v/>
      </c>
      <c r="R446" s="3">
        <f>IF(Q446=1,100000-N446*1000+439*0.01,9000000000000+439)</f>
        <v/>
      </c>
      <c r="S446" s="3">
        <f>IF(Q446=1,SUMPRODUCT(--($R$8:$R$1207&lt;R446))+1,"")</f>
        <v/>
      </c>
      <c r="T446" s="12">
        <f>IF(K446=1,'ORDENES'!$J442,"")</f>
        <v/>
      </c>
    </row>
    <row r="447">
      <c r="K447" s="3">
        <f>IF(AND(IF($B$3="(todos)",TRUE,'ORDENES'!$O443=$B$3),IF($D$3="(todos)",TRUE,'ORDENES'!$AF443=$D$3),IF($F$3="(todos)",TRUE,'ORDENES'!$X443=$F$3),IF($H$3="(todos)",TRUE,'ORDENES'!$W443=$H$3),'ORDENES'!$AD443=TRUE,'ORDENES'!$A443&lt;&gt;""),1,0)</f>
        <v/>
      </c>
      <c r="L447" s="3">
        <f>IF(K447=1,IFERROR(MATCH('ORDENES'!$R443,lista_dias,0),9)*1000000000+IFERROR(MATCH('ORDENES'!$AF443,lista_turnos,0),9)*10000000+IFERROR(MATCH('ORDENES'!$AE443,tblTecnicos[nombre],0),99)*100000+440,9000000000000+440)</f>
        <v/>
      </c>
      <c r="M447" s="3">
        <f>IF(K447=1,SUMPRODUCT(--($L$8:$L$1207&lt;L447))+1,"")</f>
        <v/>
      </c>
      <c r="N447" s="17">
        <f>IF(K447=1,N('ORDENES'!$M443),0)</f>
        <v/>
      </c>
      <c r="O447" s="17">
        <f>IF('ORDENES'!$T443="preventiva",N447,0)</f>
        <v/>
      </c>
      <c r="P447" s="17">
        <f>IF('ORDENES'!$T443="correctiva",N447,0)</f>
        <v/>
      </c>
      <c r="Q447" s="3">
        <f>IF(AND(K447=1,'ORDENES'!$N443="Pendiente"),1,0)</f>
        <v/>
      </c>
      <c r="R447" s="3">
        <f>IF(Q447=1,100000-N447*1000+440*0.01,9000000000000+440)</f>
        <v/>
      </c>
      <c r="S447" s="3">
        <f>IF(Q447=1,SUMPRODUCT(--($R$8:$R$1207&lt;R447))+1,"")</f>
        <v/>
      </c>
      <c r="T447" s="12">
        <f>IF(K447=1,'ORDENES'!$J443,"")</f>
        <v/>
      </c>
    </row>
    <row r="448">
      <c r="K448" s="3">
        <f>IF(AND(IF($B$3="(todos)",TRUE,'ORDENES'!$O444=$B$3),IF($D$3="(todos)",TRUE,'ORDENES'!$AF444=$D$3),IF($F$3="(todos)",TRUE,'ORDENES'!$X444=$F$3),IF($H$3="(todos)",TRUE,'ORDENES'!$W444=$H$3),'ORDENES'!$AD444=TRUE,'ORDENES'!$A444&lt;&gt;""),1,0)</f>
        <v/>
      </c>
      <c r="L448" s="3">
        <f>IF(K448=1,IFERROR(MATCH('ORDENES'!$R444,lista_dias,0),9)*1000000000+IFERROR(MATCH('ORDENES'!$AF444,lista_turnos,0),9)*10000000+IFERROR(MATCH('ORDENES'!$AE444,tblTecnicos[nombre],0),99)*100000+441,9000000000000+441)</f>
        <v/>
      </c>
      <c r="M448" s="3">
        <f>IF(K448=1,SUMPRODUCT(--($L$8:$L$1207&lt;L448))+1,"")</f>
        <v/>
      </c>
      <c r="N448" s="17">
        <f>IF(K448=1,N('ORDENES'!$M444),0)</f>
        <v/>
      </c>
      <c r="O448" s="17">
        <f>IF('ORDENES'!$T444="preventiva",N448,0)</f>
        <v/>
      </c>
      <c r="P448" s="17">
        <f>IF('ORDENES'!$T444="correctiva",N448,0)</f>
        <v/>
      </c>
      <c r="Q448" s="3">
        <f>IF(AND(K448=1,'ORDENES'!$N444="Pendiente"),1,0)</f>
        <v/>
      </c>
      <c r="R448" s="3">
        <f>IF(Q448=1,100000-N448*1000+441*0.01,9000000000000+441)</f>
        <v/>
      </c>
      <c r="S448" s="3">
        <f>IF(Q448=1,SUMPRODUCT(--($R$8:$R$1207&lt;R448))+1,"")</f>
        <v/>
      </c>
      <c r="T448" s="12">
        <f>IF(K448=1,'ORDENES'!$J444,"")</f>
        <v/>
      </c>
    </row>
    <row r="449">
      <c r="K449" s="3">
        <f>IF(AND(IF($B$3="(todos)",TRUE,'ORDENES'!$O445=$B$3),IF($D$3="(todos)",TRUE,'ORDENES'!$AF445=$D$3),IF($F$3="(todos)",TRUE,'ORDENES'!$X445=$F$3),IF($H$3="(todos)",TRUE,'ORDENES'!$W445=$H$3),'ORDENES'!$AD445=TRUE,'ORDENES'!$A445&lt;&gt;""),1,0)</f>
        <v/>
      </c>
      <c r="L449" s="3">
        <f>IF(K449=1,IFERROR(MATCH('ORDENES'!$R445,lista_dias,0),9)*1000000000+IFERROR(MATCH('ORDENES'!$AF445,lista_turnos,0),9)*10000000+IFERROR(MATCH('ORDENES'!$AE445,tblTecnicos[nombre],0),99)*100000+442,9000000000000+442)</f>
        <v/>
      </c>
      <c r="M449" s="3">
        <f>IF(K449=1,SUMPRODUCT(--($L$8:$L$1207&lt;L449))+1,"")</f>
        <v/>
      </c>
      <c r="N449" s="17">
        <f>IF(K449=1,N('ORDENES'!$M445),0)</f>
        <v/>
      </c>
      <c r="O449" s="17">
        <f>IF('ORDENES'!$T445="preventiva",N449,0)</f>
        <v/>
      </c>
      <c r="P449" s="17">
        <f>IF('ORDENES'!$T445="correctiva",N449,0)</f>
        <v/>
      </c>
      <c r="Q449" s="3">
        <f>IF(AND(K449=1,'ORDENES'!$N445="Pendiente"),1,0)</f>
        <v/>
      </c>
      <c r="R449" s="3">
        <f>IF(Q449=1,100000-N449*1000+442*0.01,9000000000000+442)</f>
        <v/>
      </c>
      <c r="S449" s="3">
        <f>IF(Q449=1,SUMPRODUCT(--($R$8:$R$1207&lt;R449))+1,"")</f>
        <v/>
      </c>
      <c r="T449" s="12">
        <f>IF(K449=1,'ORDENES'!$J445,"")</f>
        <v/>
      </c>
    </row>
    <row r="450">
      <c r="K450" s="3">
        <f>IF(AND(IF($B$3="(todos)",TRUE,'ORDENES'!$O446=$B$3),IF($D$3="(todos)",TRUE,'ORDENES'!$AF446=$D$3),IF($F$3="(todos)",TRUE,'ORDENES'!$X446=$F$3),IF($H$3="(todos)",TRUE,'ORDENES'!$W446=$H$3),'ORDENES'!$AD446=TRUE,'ORDENES'!$A446&lt;&gt;""),1,0)</f>
        <v/>
      </c>
      <c r="L450" s="3">
        <f>IF(K450=1,IFERROR(MATCH('ORDENES'!$R446,lista_dias,0),9)*1000000000+IFERROR(MATCH('ORDENES'!$AF446,lista_turnos,0),9)*10000000+IFERROR(MATCH('ORDENES'!$AE446,tblTecnicos[nombre],0),99)*100000+443,9000000000000+443)</f>
        <v/>
      </c>
      <c r="M450" s="3">
        <f>IF(K450=1,SUMPRODUCT(--($L$8:$L$1207&lt;L450))+1,"")</f>
        <v/>
      </c>
      <c r="N450" s="17">
        <f>IF(K450=1,N('ORDENES'!$M446),0)</f>
        <v/>
      </c>
      <c r="O450" s="17">
        <f>IF('ORDENES'!$T446="preventiva",N450,0)</f>
        <v/>
      </c>
      <c r="P450" s="17">
        <f>IF('ORDENES'!$T446="correctiva",N450,0)</f>
        <v/>
      </c>
      <c r="Q450" s="3">
        <f>IF(AND(K450=1,'ORDENES'!$N446="Pendiente"),1,0)</f>
        <v/>
      </c>
      <c r="R450" s="3">
        <f>IF(Q450=1,100000-N450*1000+443*0.01,9000000000000+443)</f>
        <v/>
      </c>
      <c r="S450" s="3">
        <f>IF(Q450=1,SUMPRODUCT(--($R$8:$R$1207&lt;R450))+1,"")</f>
        <v/>
      </c>
      <c r="T450" s="12">
        <f>IF(K450=1,'ORDENES'!$J446,"")</f>
        <v/>
      </c>
    </row>
    <row r="451">
      <c r="K451" s="3">
        <f>IF(AND(IF($B$3="(todos)",TRUE,'ORDENES'!$O447=$B$3),IF($D$3="(todos)",TRUE,'ORDENES'!$AF447=$D$3),IF($F$3="(todos)",TRUE,'ORDENES'!$X447=$F$3),IF($H$3="(todos)",TRUE,'ORDENES'!$W447=$H$3),'ORDENES'!$AD447=TRUE,'ORDENES'!$A447&lt;&gt;""),1,0)</f>
        <v/>
      </c>
      <c r="L451" s="3">
        <f>IF(K451=1,IFERROR(MATCH('ORDENES'!$R447,lista_dias,0),9)*1000000000+IFERROR(MATCH('ORDENES'!$AF447,lista_turnos,0),9)*10000000+IFERROR(MATCH('ORDENES'!$AE447,tblTecnicos[nombre],0),99)*100000+444,9000000000000+444)</f>
        <v/>
      </c>
      <c r="M451" s="3">
        <f>IF(K451=1,SUMPRODUCT(--($L$8:$L$1207&lt;L451))+1,"")</f>
        <v/>
      </c>
      <c r="N451" s="17">
        <f>IF(K451=1,N('ORDENES'!$M447),0)</f>
        <v/>
      </c>
      <c r="O451" s="17">
        <f>IF('ORDENES'!$T447="preventiva",N451,0)</f>
        <v/>
      </c>
      <c r="P451" s="17">
        <f>IF('ORDENES'!$T447="correctiva",N451,0)</f>
        <v/>
      </c>
      <c r="Q451" s="3">
        <f>IF(AND(K451=1,'ORDENES'!$N447="Pendiente"),1,0)</f>
        <v/>
      </c>
      <c r="R451" s="3">
        <f>IF(Q451=1,100000-N451*1000+444*0.01,9000000000000+444)</f>
        <v/>
      </c>
      <c r="S451" s="3">
        <f>IF(Q451=1,SUMPRODUCT(--($R$8:$R$1207&lt;R451))+1,"")</f>
        <v/>
      </c>
      <c r="T451" s="12">
        <f>IF(K451=1,'ORDENES'!$J447,"")</f>
        <v/>
      </c>
    </row>
    <row r="452">
      <c r="K452" s="3">
        <f>IF(AND(IF($B$3="(todos)",TRUE,'ORDENES'!$O448=$B$3),IF($D$3="(todos)",TRUE,'ORDENES'!$AF448=$D$3),IF($F$3="(todos)",TRUE,'ORDENES'!$X448=$F$3),IF($H$3="(todos)",TRUE,'ORDENES'!$W448=$H$3),'ORDENES'!$AD448=TRUE,'ORDENES'!$A448&lt;&gt;""),1,0)</f>
        <v/>
      </c>
      <c r="L452" s="3">
        <f>IF(K452=1,IFERROR(MATCH('ORDENES'!$R448,lista_dias,0),9)*1000000000+IFERROR(MATCH('ORDENES'!$AF448,lista_turnos,0),9)*10000000+IFERROR(MATCH('ORDENES'!$AE448,tblTecnicos[nombre],0),99)*100000+445,9000000000000+445)</f>
        <v/>
      </c>
      <c r="M452" s="3">
        <f>IF(K452=1,SUMPRODUCT(--($L$8:$L$1207&lt;L452))+1,"")</f>
        <v/>
      </c>
      <c r="N452" s="17">
        <f>IF(K452=1,N('ORDENES'!$M448),0)</f>
        <v/>
      </c>
      <c r="O452" s="17">
        <f>IF('ORDENES'!$T448="preventiva",N452,0)</f>
        <v/>
      </c>
      <c r="P452" s="17">
        <f>IF('ORDENES'!$T448="correctiva",N452,0)</f>
        <v/>
      </c>
      <c r="Q452" s="3">
        <f>IF(AND(K452=1,'ORDENES'!$N448="Pendiente"),1,0)</f>
        <v/>
      </c>
      <c r="R452" s="3">
        <f>IF(Q452=1,100000-N452*1000+445*0.01,9000000000000+445)</f>
        <v/>
      </c>
      <c r="S452" s="3">
        <f>IF(Q452=1,SUMPRODUCT(--($R$8:$R$1207&lt;R452))+1,"")</f>
        <v/>
      </c>
      <c r="T452" s="12">
        <f>IF(K452=1,'ORDENES'!$J448,"")</f>
        <v/>
      </c>
    </row>
    <row r="453">
      <c r="K453" s="3">
        <f>IF(AND(IF($B$3="(todos)",TRUE,'ORDENES'!$O449=$B$3),IF($D$3="(todos)",TRUE,'ORDENES'!$AF449=$D$3),IF($F$3="(todos)",TRUE,'ORDENES'!$X449=$F$3),IF($H$3="(todos)",TRUE,'ORDENES'!$W449=$H$3),'ORDENES'!$AD449=TRUE,'ORDENES'!$A449&lt;&gt;""),1,0)</f>
        <v/>
      </c>
      <c r="L453" s="3">
        <f>IF(K453=1,IFERROR(MATCH('ORDENES'!$R449,lista_dias,0),9)*1000000000+IFERROR(MATCH('ORDENES'!$AF449,lista_turnos,0),9)*10000000+IFERROR(MATCH('ORDENES'!$AE449,tblTecnicos[nombre],0),99)*100000+446,9000000000000+446)</f>
        <v/>
      </c>
      <c r="M453" s="3">
        <f>IF(K453=1,SUMPRODUCT(--($L$8:$L$1207&lt;L453))+1,"")</f>
        <v/>
      </c>
      <c r="N453" s="17">
        <f>IF(K453=1,N('ORDENES'!$M449),0)</f>
        <v/>
      </c>
      <c r="O453" s="17">
        <f>IF('ORDENES'!$T449="preventiva",N453,0)</f>
        <v/>
      </c>
      <c r="P453" s="17">
        <f>IF('ORDENES'!$T449="correctiva",N453,0)</f>
        <v/>
      </c>
      <c r="Q453" s="3">
        <f>IF(AND(K453=1,'ORDENES'!$N449="Pendiente"),1,0)</f>
        <v/>
      </c>
      <c r="R453" s="3">
        <f>IF(Q453=1,100000-N453*1000+446*0.01,9000000000000+446)</f>
        <v/>
      </c>
      <c r="S453" s="3">
        <f>IF(Q453=1,SUMPRODUCT(--($R$8:$R$1207&lt;R453))+1,"")</f>
        <v/>
      </c>
      <c r="T453" s="12">
        <f>IF(K453=1,'ORDENES'!$J449,"")</f>
        <v/>
      </c>
    </row>
    <row r="454">
      <c r="K454" s="3">
        <f>IF(AND(IF($B$3="(todos)",TRUE,'ORDENES'!$O450=$B$3),IF($D$3="(todos)",TRUE,'ORDENES'!$AF450=$D$3),IF($F$3="(todos)",TRUE,'ORDENES'!$X450=$F$3),IF($H$3="(todos)",TRUE,'ORDENES'!$W450=$H$3),'ORDENES'!$AD450=TRUE,'ORDENES'!$A450&lt;&gt;""),1,0)</f>
        <v/>
      </c>
      <c r="L454" s="3">
        <f>IF(K454=1,IFERROR(MATCH('ORDENES'!$R450,lista_dias,0),9)*1000000000+IFERROR(MATCH('ORDENES'!$AF450,lista_turnos,0),9)*10000000+IFERROR(MATCH('ORDENES'!$AE450,tblTecnicos[nombre],0),99)*100000+447,9000000000000+447)</f>
        <v/>
      </c>
      <c r="M454" s="3">
        <f>IF(K454=1,SUMPRODUCT(--($L$8:$L$1207&lt;L454))+1,"")</f>
        <v/>
      </c>
      <c r="N454" s="17">
        <f>IF(K454=1,N('ORDENES'!$M450),0)</f>
        <v/>
      </c>
      <c r="O454" s="17">
        <f>IF('ORDENES'!$T450="preventiva",N454,0)</f>
        <v/>
      </c>
      <c r="P454" s="17">
        <f>IF('ORDENES'!$T450="correctiva",N454,0)</f>
        <v/>
      </c>
      <c r="Q454" s="3">
        <f>IF(AND(K454=1,'ORDENES'!$N450="Pendiente"),1,0)</f>
        <v/>
      </c>
      <c r="R454" s="3">
        <f>IF(Q454=1,100000-N454*1000+447*0.01,9000000000000+447)</f>
        <v/>
      </c>
      <c r="S454" s="3">
        <f>IF(Q454=1,SUMPRODUCT(--($R$8:$R$1207&lt;R454))+1,"")</f>
        <v/>
      </c>
      <c r="T454" s="12">
        <f>IF(K454=1,'ORDENES'!$J450,"")</f>
        <v/>
      </c>
    </row>
    <row r="455">
      <c r="K455" s="3">
        <f>IF(AND(IF($B$3="(todos)",TRUE,'ORDENES'!$O451=$B$3),IF($D$3="(todos)",TRUE,'ORDENES'!$AF451=$D$3),IF($F$3="(todos)",TRUE,'ORDENES'!$X451=$F$3),IF($H$3="(todos)",TRUE,'ORDENES'!$W451=$H$3),'ORDENES'!$AD451=TRUE,'ORDENES'!$A451&lt;&gt;""),1,0)</f>
        <v/>
      </c>
      <c r="L455" s="3">
        <f>IF(K455=1,IFERROR(MATCH('ORDENES'!$R451,lista_dias,0),9)*1000000000+IFERROR(MATCH('ORDENES'!$AF451,lista_turnos,0),9)*10000000+IFERROR(MATCH('ORDENES'!$AE451,tblTecnicos[nombre],0),99)*100000+448,9000000000000+448)</f>
        <v/>
      </c>
      <c r="M455" s="3">
        <f>IF(K455=1,SUMPRODUCT(--($L$8:$L$1207&lt;L455))+1,"")</f>
        <v/>
      </c>
      <c r="N455" s="17">
        <f>IF(K455=1,N('ORDENES'!$M451),0)</f>
        <v/>
      </c>
      <c r="O455" s="17">
        <f>IF('ORDENES'!$T451="preventiva",N455,0)</f>
        <v/>
      </c>
      <c r="P455" s="17">
        <f>IF('ORDENES'!$T451="correctiva",N455,0)</f>
        <v/>
      </c>
      <c r="Q455" s="3">
        <f>IF(AND(K455=1,'ORDENES'!$N451="Pendiente"),1,0)</f>
        <v/>
      </c>
      <c r="R455" s="3">
        <f>IF(Q455=1,100000-N455*1000+448*0.01,9000000000000+448)</f>
        <v/>
      </c>
      <c r="S455" s="3">
        <f>IF(Q455=1,SUMPRODUCT(--($R$8:$R$1207&lt;R455))+1,"")</f>
        <v/>
      </c>
      <c r="T455" s="12">
        <f>IF(K455=1,'ORDENES'!$J451,"")</f>
        <v/>
      </c>
    </row>
    <row r="456">
      <c r="K456" s="3">
        <f>IF(AND(IF($B$3="(todos)",TRUE,'ORDENES'!$O452=$B$3),IF($D$3="(todos)",TRUE,'ORDENES'!$AF452=$D$3),IF($F$3="(todos)",TRUE,'ORDENES'!$X452=$F$3),IF($H$3="(todos)",TRUE,'ORDENES'!$W452=$H$3),'ORDENES'!$AD452=TRUE,'ORDENES'!$A452&lt;&gt;""),1,0)</f>
        <v/>
      </c>
      <c r="L456" s="3">
        <f>IF(K456=1,IFERROR(MATCH('ORDENES'!$R452,lista_dias,0),9)*1000000000+IFERROR(MATCH('ORDENES'!$AF452,lista_turnos,0),9)*10000000+IFERROR(MATCH('ORDENES'!$AE452,tblTecnicos[nombre],0),99)*100000+449,9000000000000+449)</f>
        <v/>
      </c>
      <c r="M456" s="3">
        <f>IF(K456=1,SUMPRODUCT(--($L$8:$L$1207&lt;L456))+1,"")</f>
        <v/>
      </c>
      <c r="N456" s="17">
        <f>IF(K456=1,N('ORDENES'!$M452),0)</f>
        <v/>
      </c>
      <c r="O456" s="17">
        <f>IF('ORDENES'!$T452="preventiva",N456,0)</f>
        <v/>
      </c>
      <c r="P456" s="17">
        <f>IF('ORDENES'!$T452="correctiva",N456,0)</f>
        <v/>
      </c>
      <c r="Q456" s="3">
        <f>IF(AND(K456=1,'ORDENES'!$N452="Pendiente"),1,0)</f>
        <v/>
      </c>
      <c r="R456" s="3">
        <f>IF(Q456=1,100000-N456*1000+449*0.01,9000000000000+449)</f>
        <v/>
      </c>
      <c r="S456" s="3">
        <f>IF(Q456=1,SUMPRODUCT(--($R$8:$R$1207&lt;R456))+1,"")</f>
        <v/>
      </c>
      <c r="T456" s="12">
        <f>IF(K456=1,'ORDENES'!$J452,"")</f>
        <v/>
      </c>
    </row>
    <row r="457">
      <c r="K457" s="3">
        <f>IF(AND(IF($B$3="(todos)",TRUE,'ORDENES'!$O453=$B$3),IF($D$3="(todos)",TRUE,'ORDENES'!$AF453=$D$3),IF($F$3="(todos)",TRUE,'ORDENES'!$X453=$F$3),IF($H$3="(todos)",TRUE,'ORDENES'!$W453=$H$3),'ORDENES'!$AD453=TRUE,'ORDENES'!$A453&lt;&gt;""),1,0)</f>
        <v/>
      </c>
      <c r="L457" s="3">
        <f>IF(K457=1,IFERROR(MATCH('ORDENES'!$R453,lista_dias,0),9)*1000000000+IFERROR(MATCH('ORDENES'!$AF453,lista_turnos,0),9)*10000000+IFERROR(MATCH('ORDENES'!$AE453,tblTecnicos[nombre],0),99)*100000+450,9000000000000+450)</f>
        <v/>
      </c>
      <c r="M457" s="3">
        <f>IF(K457=1,SUMPRODUCT(--($L$8:$L$1207&lt;L457))+1,"")</f>
        <v/>
      </c>
      <c r="N457" s="17">
        <f>IF(K457=1,N('ORDENES'!$M453),0)</f>
        <v/>
      </c>
      <c r="O457" s="17">
        <f>IF('ORDENES'!$T453="preventiva",N457,0)</f>
        <v/>
      </c>
      <c r="P457" s="17">
        <f>IF('ORDENES'!$T453="correctiva",N457,0)</f>
        <v/>
      </c>
      <c r="Q457" s="3">
        <f>IF(AND(K457=1,'ORDENES'!$N453="Pendiente"),1,0)</f>
        <v/>
      </c>
      <c r="R457" s="3">
        <f>IF(Q457=1,100000-N457*1000+450*0.01,9000000000000+450)</f>
        <v/>
      </c>
      <c r="S457" s="3">
        <f>IF(Q457=1,SUMPRODUCT(--($R$8:$R$1207&lt;R457))+1,"")</f>
        <v/>
      </c>
      <c r="T457" s="12">
        <f>IF(K457=1,'ORDENES'!$J453,"")</f>
        <v/>
      </c>
    </row>
    <row r="458">
      <c r="K458" s="3">
        <f>IF(AND(IF($B$3="(todos)",TRUE,'ORDENES'!$O454=$B$3),IF($D$3="(todos)",TRUE,'ORDENES'!$AF454=$D$3),IF($F$3="(todos)",TRUE,'ORDENES'!$X454=$F$3),IF($H$3="(todos)",TRUE,'ORDENES'!$W454=$H$3),'ORDENES'!$AD454=TRUE,'ORDENES'!$A454&lt;&gt;""),1,0)</f>
        <v/>
      </c>
      <c r="L458" s="3">
        <f>IF(K458=1,IFERROR(MATCH('ORDENES'!$R454,lista_dias,0),9)*1000000000+IFERROR(MATCH('ORDENES'!$AF454,lista_turnos,0),9)*10000000+IFERROR(MATCH('ORDENES'!$AE454,tblTecnicos[nombre],0),99)*100000+451,9000000000000+451)</f>
        <v/>
      </c>
      <c r="M458" s="3">
        <f>IF(K458=1,SUMPRODUCT(--($L$8:$L$1207&lt;L458))+1,"")</f>
        <v/>
      </c>
      <c r="N458" s="17">
        <f>IF(K458=1,N('ORDENES'!$M454),0)</f>
        <v/>
      </c>
      <c r="O458" s="17">
        <f>IF('ORDENES'!$T454="preventiva",N458,0)</f>
        <v/>
      </c>
      <c r="P458" s="17">
        <f>IF('ORDENES'!$T454="correctiva",N458,0)</f>
        <v/>
      </c>
      <c r="Q458" s="3">
        <f>IF(AND(K458=1,'ORDENES'!$N454="Pendiente"),1,0)</f>
        <v/>
      </c>
      <c r="R458" s="3">
        <f>IF(Q458=1,100000-N458*1000+451*0.01,9000000000000+451)</f>
        <v/>
      </c>
      <c r="S458" s="3">
        <f>IF(Q458=1,SUMPRODUCT(--($R$8:$R$1207&lt;R458))+1,"")</f>
        <v/>
      </c>
      <c r="T458" s="12">
        <f>IF(K458=1,'ORDENES'!$J454,"")</f>
        <v/>
      </c>
    </row>
    <row r="459">
      <c r="K459" s="3">
        <f>IF(AND(IF($B$3="(todos)",TRUE,'ORDENES'!$O455=$B$3),IF($D$3="(todos)",TRUE,'ORDENES'!$AF455=$D$3),IF($F$3="(todos)",TRUE,'ORDENES'!$X455=$F$3),IF($H$3="(todos)",TRUE,'ORDENES'!$W455=$H$3),'ORDENES'!$AD455=TRUE,'ORDENES'!$A455&lt;&gt;""),1,0)</f>
        <v/>
      </c>
      <c r="L459" s="3">
        <f>IF(K459=1,IFERROR(MATCH('ORDENES'!$R455,lista_dias,0),9)*1000000000+IFERROR(MATCH('ORDENES'!$AF455,lista_turnos,0),9)*10000000+IFERROR(MATCH('ORDENES'!$AE455,tblTecnicos[nombre],0),99)*100000+452,9000000000000+452)</f>
        <v/>
      </c>
      <c r="M459" s="3">
        <f>IF(K459=1,SUMPRODUCT(--($L$8:$L$1207&lt;L459))+1,"")</f>
        <v/>
      </c>
      <c r="N459" s="17">
        <f>IF(K459=1,N('ORDENES'!$M455),0)</f>
        <v/>
      </c>
      <c r="O459" s="17">
        <f>IF('ORDENES'!$T455="preventiva",N459,0)</f>
        <v/>
      </c>
      <c r="P459" s="17">
        <f>IF('ORDENES'!$T455="correctiva",N459,0)</f>
        <v/>
      </c>
      <c r="Q459" s="3">
        <f>IF(AND(K459=1,'ORDENES'!$N455="Pendiente"),1,0)</f>
        <v/>
      </c>
      <c r="R459" s="3">
        <f>IF(Q459=1,100000-N459*1000+452*0.01,9000000000000+452)</f>
        <v/>
      </c>
      <c r="S459" s="3">
        <f>IF(Q459=1,SUMPRODUCT(--($R$8:$R$1207&lt;R459))+1,"")</f>
        <v/>
      </c>
      <c r="T459" s="12">
        <f>IF(K459=1,'ORDENES'!$J455,"")</f>
        <v/>
      </c>
    </row>
    <row r="460">
      <c r="K460" s="3">
        <f>IF(AND(IF($B$3="(todos)",TRUE,'ORDENES'!$O456=$B$3),IF($D$3="(todos)",TRUE,'ORDENES'!$AF456=$D$3),IF($F$3="(todos)",TRUE,'ORDENES'!$X456=$F$3),IF($H$3="(todos)",TRUE,'ORDENES'!$W456=$H$3),'ORDENES'!$AD456=TRUE,'ORDENES'!$A456&lt;&gt;""),1,0)</f>
        <v/>
      </c>
      <c r="L460" s="3">
        <f>IF(K460=1,IFERROR(MATCH('ORDENES'!$R456,lista_dias,0),9)*1000000000+IFERROR(MATCH('ORDENES'!$AF456,lista_turnos,0),9)*10000000+IFERROR(MATCH('ORDENES'!$AE456,tblTecnicos[nombre],0),99)*100000+453,9000000000000+453)</f>
        <v/>
      </c>
      <c r="M460" s="3">
        <f>IF(K460=1,SUMPRODUCT(--($L$8:$L$1207&lt;L460))+1,"")</f>
        <v/>
      </c>
      <c r="N460" s="17">
        <f>IF(K460=1,N('ORDENES'!$M456),0)</f>
        <v/>
      </c>
      <c r="O460" s="17">
        <f>IF('ORDENES'!$T456="preventiva",N460,0)</f>
        <v/>
      </c>
      <c r="P460" s="17">
        <f>IF('ORDENES'!$T456="correctiva",N460,0)</f>
        <v/>
      </c>
      <c r="Q460" s="3">
        <f>IF(AND(K460=1,'ORDENES'!$N456="Pendiente"),1,0)</f>
        <v/>
      </c>
      <c r="R460" s="3">
        <f>IF(Q460=1,100000-N460*1000+453*0.01,9000000000000+453)</f>
        <v/>
      </c>
      <c r="S460" s="3">
        <f>IF(Q460=1,SUMPRODUCT(--($R$8:$R$1207&lt;R460))+1,"")</f>
        <v/>
      </c>
      <c r="T460" s="12">
        <f>IF(K460=1,'ORDENES'!$J456,"")</f>
        <v/>
      </c>
    </row>
    <row r="461">
      <c r="K461" s="3">
        <f>IF(AND(IF($B$3="(todos)",TRUE,'ORDENES'!$O457=$B$3),IF($D$3="(todos)",TRUE,'ORDENES'!$AF457=$D$3),IF($F$3="(todos)",TRUE,'ORDENES'!$X457=$F$3),IF($H$3="(todos)",TRUE,'ORDENES'!$W457=$H$3),'ORDENES'!$AD457=TRUE,'ORDENES'!$A457&lt;&gt;""),1,0)</f>
        <v/>
      </c>
      <c r="L461" s="3">
        <f>IF(K461=1,IFERROR(MATCH('ORDENES'!$R457,lista_dias,0),9)*1000000000+IFERROR(MATCH('ORDENES'!$AF457,lista_turnos,0),9)*10000000+IFERROR(MATCH('ORDENES'!$AE457,tblTecnicos[nombre],0),99)*100000+454,9000000000000+454)</f>
        <v/>
      </c>
      <c r="M461" s="3">
        <f>IF(K461=1,SUMPRODUCT(--($L$8:$L$1207&lt;L461))+1,"")</f>
        <v/>
      </c>
      <c r="N461" s="17">
        <f>IF(K461=1,N('ORDENES'!$M457),0)</f>
        <v/>
      </c>
      <c r="O461" s="17">
        <f>IF('ORDENES'!$T457="preventiva",N461,0)</f>
        <v/>
      </c>
      <c r="P461" s="17">
        <f>IF('ORDENES'!$T457="correctiva",N461,0)</f>
        <v/>
      </c>
      <c r="Q461" s="3">
        <f>IF(AND(K461=1,'ORDENES'!$N457="Pendiente"),1,0)</f>
        <v/>
      </c>
      <c r="R461" s="3">
        <f>IF(Q461=1,100000-N461*1000+454*0.01,9000000000000+454)</f>
        <v/>
      </c>
      <c r="S461" s="3">
        <f>IF(Q461=1,SUMPRODUCT(--($R$8:$R$1207&lt;R461))+1,"")</f>
        <v/>
      </c>
      <c r="T461" s="12">
        <f>IF(K461=1,'ORDENES'!$J457,"")</f>
        <v/>
      </c>
    </row>
    <row r="462">
      <c r="K462" s="3">
        <f>IF(AND(IF($B$3="(todos)",TRUE,'ORDENES'!$O458=$B$3),IF($D$3="(todos)",TRUE,'ORDENES'!$AF458=$D$3),IF($F$3="(todos)",TRUE,'ORDENES'!$X458=$F$3),IF($H$3="(todos)",TRUE,'ORDENES'!$W458=$H$3),'ORDENES'!$AD458=TRUE,'ORDENES'!$A458&lt;&gt;""),1,0)</f>
        <v/>
      </c>
      <c r="L462" s="3">
        <f>IF(K462=1,IFERROR(MATCH('ORDENES'!$R458,lista_dias,0),9)*1000000000+IFERROR(MATCH('ORDENES'!$AF458,lista_turnos,0),9)*10000000+IFERROR(MATCH('ORDENES'!$AE458,tblTecnicos[nombre],0),99)*100000+455,9000000000000+455)</f>
        <v/>
      </c>
      <c r="M462" s="3">
        <f>IF(K462=1,SUMPRODUCT(--($L$8:$L$1207&lt;L462))+1,"")</f>
        <v/>
      </c>
      <c r="N462" s="17">
        <f>IF(K462=1,N('ORDENES'!$M458),0)</f>
        <v/>
      </c>
      <c r="O462" s="17">
        <f>IF('ORDENES'!$T458="preventiva",N462,0)</f>
        <v/>
      </c>
      <c r="P462" s="17">
        <f>IF('ORDENES'!$T458="correctiva",N462,0)</f>
        <v/>
      </c>
      <c r="Q462" s="3">
        <f>IF(AND(K462=1,'ORDENES'!$N458="Pendiente"),1,0)</f>
        <v/>
      </c>
      <c r="R462" s="3">
        <f>IF(Q462=1,100000-N462*1000+455*0.01,9000000000000+455)</f>
        <v/>
      </c>
      <c r="S462" s="3">
        <f>IF(Q462=1,SUMPRODUCT(--($R$8:$R$1207&lt;R462))+1,"")</f>
        <v/>
      </c>
      <c r="T462" s="12">
        <f>IF(K462=1,'ORDENES'!$J458,"")</f>
        <v/>
      </c>
    </row>
    <row r="463">
      <c r="K463" s="3">
        <f>IF(AND(IF($B$3="(todos)",TRUE,'ORDENES'!$O459=$B$3),IF($D$3="(todos)",TRUE,'ORDENES'!$AF459=$D$3),IF($F$3="(todos)",TRUE,'ORDENES'!$X459=$F$3),IF($H$3="(todos)",TRUE,'ORDENES'!$W459=$H$3),'ORDENES'!$AD459=TRUE,'ORDENES'!$A459&lt;&gt;""),1,0)</f>
        <v/>
      </c>
      <c r="L463" s="3">
        <f>IF(K463=1,IFERROR(MATCH('ORDENES'!$R459,lista_dias,0),9)*1000000000+IFERROR(MATCH('ORDENES'!$AF459,lista_turnos,0),9)*10000000+IFERROR(MATCH('ORDENES'!$AE459,tblTecnicos[nombre],0),99)*100000+456,9000000000000+456)</f>
        <v/>
      </c>
      <c r="M463" s="3">
        <f>IF(K463=1,SUMPRODUCT(--($L$8:$L$1207&lt;L463))+1,"")</f>
        <v/>
      </c>
      <c r="N463" s="17">
        <f>IF(K463=1,N('ORDENES'!$M459),0)</f>
        <v/>
      </c>
      <c r="O463" s="17">
        <f>IF('ORDENES'!$T459="preventiva",N463,0)</f>
        <v/>
      </c>
      <c r="P463" s="17">
        <f>IF('ORDENES'!$T459="correctiva",N463,0)</f>
        <v/>
      </c>
      <c r="Q463" s="3">
        <f>IF(AND(K463=1,'ORDENES'!$N459="Pendiente"),1,0)</f>
        <v/>
      </c>
      <c r="R463" s="3">
        <f>IF(Q463=1,100000-N463*1000+456*0.01,9000000000000+456)</f>
        <v/>
      </c>
      <c r="S463" s="3">
        <f>IF(Q463=1,SUMPRODUCT(--($R$8:$R$1207&lt;R463))+1,"")</f>
        <v/>
      </c>
      <c r="T463" s="12">
        <f>IF(K463=1,'ORDENES'!$J459,"")</f>
        <v/>
      </c>
    </row>
    <row r="464">
      <c r="K464" s="3">
        <f>IF(AND(IF($B$3="(todos)",TRUE,'ORDENES'!$O460=$B$3),IF($D$3="(todos)",TRUE,'ORDENES'!$AF460=$D$3),IF($F$3="(todos)",TRUE,'ORDENES'!$X460=$F$3),IF($H$3="(todos)",TRUE,'ORDENES'!$W460=$H$3),'ORDENES'!$AD460=TRUE,'ORDENES'!$A460&lt;&gt;""),1,0)</f>
        <v/>
      </c>
      <c r="L464" s="3">
        <f>IF(K464=1,IFERROR(MATCH('ORDENES'!$R460,lista_dias,0),9)*1000000000+IFERROR(MATCH('ORDENES'!$AF460,lista_turnos,0),9)*10000000+IFERROR(MATCH('ORDENES'!$AE460,tblTecnicos[nombre],0),99)*100000+457,9000000000000+457)</f>
        <v/>
      </c>
      <c r="M464" s="3">
        <f>IF(K464=1,SUMPRODUCT(--($L$8:$L$1207&lt;L464))+1,"")</f>
        <v/>
      </c>
      <c r="N464" s="17">
        <f>IF(K464=1,N('ORDENES'!$M460),0)</f>
        <v/>
      </c>
      <c r="O464" s="17">
        <f>IF('ORDENES'!$T460="preventiva",N464,0)</f>
        <v/>
      </c>
      <c r="P464" s="17">
        <f>IF('ORDENES'!$T460="correctiva",N464,0)</f>
        <v/>
      </c>
      <c r="Q464" s="3">
        <f>IF(AND(K464=1,'ORDENES'!$N460="Pendiente"),1,0)</f>
        <v/>
      </c>
      <c r="R464" s="3">
        <f>IF(Q464=1,100000-N464*1000+457*0.01,9000000000000+457)</f>
        <v/>
      </c>
      <c r="S464" s="3">
        <f>IF(Q464=1,SUMPRODUCT(--($R$8:$R$1207&lt;R464))+1,"")</f>
        <v/>
      </c>
      <c r="T464" s="12">
        <f>IF(K464=1,'ORDENES'!$J460,"")</f>
        <v/>
      </c>
    </row>
    <row r="465">
      <c r="K465" s="3">
        <f>IF(AND(IF($B$3="(todos)",TRUE,'ORDENES'!$O461=$B$3),IF($D$3="(todos)",TRUE,'ORDENES'!$AF461=$D$3),IF($F$3="(todos)",TRUE,'ORDENES'!$X461=$F$3),IF($H$3="(todos)",TRUE,'ORDENES'!$W461=$H$3),'ORDENES'!$AD461=TRUE,'ORDENES'!$A461&lt;&gt;""),1,0)</f>
        <v/>
      </c>
      <c r="L465" s="3">
        <f>IF(K465=1,IFERROR(MATCH('ORDENES'!$R461,lista_dias,0),9)*1000000000+IFERROR(MATCH('ORDENES'!$AF461,lista_turnos,0),9)*10000000+IFERROR(MATCH('ORDENES'!$AE461,tblTecnicos[nombre],0),99)*100000+458,9000000000000+458)</f>
        <v/>
      </c>
      <c r="M465" s="3">
        <f>IF(K465=1,SUMPRODUCT(--($L$8:$L$1207&lt;L465))+1,"")</f>
        <v/>
      </c>
      <c r="N465" s="17">
        <f>IF(K465=1,N('ORDENES'!$M461),0)</f>
        <v/>
      </c>
      <c r="O465" s="17">
        <f>IF('ORDENES'!$T461="preventiva",N465,0)</f>
        <v/>
      </c>
      <c r="P465" s="17">
        <f>IF('ORDENES'!$T461="correctiva",N465,0)</f>
        <v/>
      </c>
      <c r="Q465" s="3">
        <f>IF(AND(K465=1,'ORDENES'!$N461="Pendiente"),1,0)</f>
        <v/>
      </c>
      <c r="R465" s="3">
        <f>IF(Q465=1,100000-N465*1000+458*0.01,9000000000000+458)</f>
        <v/>
      </c>
      <c r="S465" s="3">
        <f>IF(Q465=1,SUMPRODUCT(--($R$8:$R$1207&lt;R465))+1,"")</f>
        <v/>
      </c>
      <c r="T465" s="12">
        <f>IF(K465=1,'ORDENES'!$J461,"")</f>
        <v/>
      </c>
    </row>
    <row r="466">
      <c r="K466" s="3">
        <f>IF(AND(IF($B$3="(todos)",TRUE,'ORDENES'!$O462=$B$3),IF($D$3="(todos)",TRUE,'ORDENES'!$AF462=$D$3),IF($F$3="(todos)",TRUE,'ORDENES'!$X462=$F$3),IF($H$3="(todos)",TRUE,'ORDENES'!$W462=$H$3),'ORDENES'!$AD462=TRUE,'ORDENES'!$A462&lt;&gt;""),1,0)</f>
        <v/>
      </c>
      <c r="L466" s="3">
        <f>IF(K466=1,IFERROR(MATCH('ORDENES'!$R462,lista_dias,0),9)*1000000000+IFERROR(MATCH('ORDENES'!$AF462,lista_turnos,0),9)*10000000+IFERROR(MATCH('ORDENES'!$AE462,tblTecnicos[nombre],0),99)*100000+459,9000000000000+459)</f>
        <v/>
      </c>
      <c r="M466" s="3">
        <f>IF(K466=1,SUMPRODUCT(--($L$8:$L$1207&lt;L466))+1,"")</f>
        <v/>
      </c>
      <c r="N466" s="17">
        <f>IF(K466=1,N('ORDENES'!$M462),0)</f>
        <v/>
      </c>
      <c r="O466" s="17">
        <f>IF('ORDENES'!$T462="preventiva",N466,0)</f>
        <v/>
      </c>
      <c r="P466" s="17">
        <f>IF('ORDENES'!$T462="correctiva",N466,0)</f>
        <v/>
      </c>
      <c r="Q466" s="3">
        <f>IF(AND(K466=1,'ORDENES'!$N462="Pendiente"),1,0)</f>
        <v/>
      </c>
      <c r="R466" s="3">
        <f>IF(Q466=1,100000-N466*1000+459*0.01,9000000000000+459)</f>
        <v/>
      </c>
      <c r="S466" s="3">
        <f>IF(Q466=1,SUMPRODUCT(--($R$8:$R$1207&lt;R466))+1,"")</f>
        <v/>
      </c>
      <c r="T466" s="12">
        <f>IF(K466=1,'ORDENES'!$J462,"")</f>
        <v/>
      </c>
    </row>
    <row r="467">
      <c r="K467" s="3">
        <f>IF(AND(IF($B$3="(todos)",TRUE,'ORDENES'!$O463=$B$3),IF($D$3="(todos)",TRUE,'ORDENES'!$AF463=$D$3),IF($F$3="(todos)",TRUE,'ORDENES'!$X463=$F$3),IF($H$3="(todos)",TRUE,'ORDENES'!$W463=$H$3),'ORDENES'!$AD463=TRUE,'ORDENES'!$A463&lt;&gt;""),1,0)</f>
        <v/>
      </c>
      <c r="L467" s="3">
        <f>IF(K467=1,IFERROR(MATCH('ORDENES'!$R463,lista_dias,0),9)*1000000000+IFERROR(MATCH('ORDENES'!$AF463,lista_turnos,0),9)*10000000+IFERROR(MATCH('ORDENES'!$AE463,tblTecnicos[nombre],0),99)*100000+460,9000000000000+460)</f>
        <v/>
      </c>
      <c r="M467" s="3">
        <f>IF(K467=1,SUMPRODUCT(--($L$8:$L$1207&lt;L467))+1,"")</f>
        <v/>
      </c>
      <c r="N467" s="17">
        <f>IF(K467=1,N('ORDENES'!$M463),0)</f>
        <v/>
      </c>
      <c r="O467" s="17">
        <f>IF('ORDENES'!$T463="preventiva",N467,0)</f>
        <v/>
      </c>
      <c r="P467" s="17">
        <f>IF('ORDENES'!$T463="correctiva",N467,0)</f>
        <v/>
      </c>
      <c r="Q467" s="3">
        <f>IF(AND(K467=1,'ORDENES'!$N463="Pendiente"),1,0)</f>
        <v/>
      </c>
      <c r="R467" s="3">
        <f>IF(Q467=1,100000-N467*1000+460*0.01,9000000000000+460)</f>
        <v/>
      </c>
      <c r="S467" s="3">
        <f>IF(Q467=1,SUMPRODUCT(--($R$8:$R$1207&lt;R467))+1,"")</f>
        <v/>
      </c>
      <c r="T467" s="12">
        <f>IF(K467=1,'ORDENES'!$J463,"")</f>
        <v/>
      </c>
    </row>
    <row r="468">
      <c r="K468" s="3">
        <f>IF(AND(IF($B$3="(todos)",TRUE,'ORDENES'!$O464=$B$3),IF($D$3="(todos)",TRUE,'ORDENES'!$AF464=$D$3),IF($F$3="(todos)",TRUE,'ORDENES'!$X464=$F$3),IF($H$3="(todos)",TRUE,'ORDENES'!$W464=$H$3),'ORDENES'!$AD464=TRUE,'ORDENES'!$A464&lt;&gt;""),1,0)</f>
        <v/>
      </c>
      <c r="L468" s="3">
        <f>IF(K468=1,IFERROR(MATCH('ORDENES'!$R464,lista_dias,0),9)*1000000000+IFERROR(MATCH('ORDENES'!$AF464,lista_turnos,0),9)*10000000+IFERROR(MATCH('ORDENES'!$AE464,tblTecnicos[nombre],0),99)*100000+461,9000000000000+461)</f>
        <v/>
      </c>
      <c r="M468" s="3">
        <f>IF(K468=1,SUMPRODUCT(--($L$8:$L$1207&lt;L468))+1,"")</f>
        <v/>
      </c>
      <c r="N468" s="17">
        <f>IF(K468=1,N('ORDENES'!$M464),0)</f>
        <v/>
      </c>
      <c r="O468" s="17">
        <f>IF('ORDENES'!$T464="preventiva",N468,0)</f>
        <v/>
      </c>
      <c r="P468" s="17">
        <f>IF('ORDENES'!$T464="correctiva",N468,0)</f>
        <v/>
      </c>
      <c r="Q468" s="3">
        <f>IF(AND(K468=1,'ORDENES'!$N464="Pendiente"),1,0)</f>
        <v/>
      </c>
      <c r="R468" s="3">
        <f>IF(Q468=1,100000-N468*1000+461*0.01,9000000000000+461)</f>
        <v/>
      </c>
      <c r="S468" s="3">
        <f>IF(Q468=1,SUMPRODUCT(--($R$8:$R$1207&lt;R468))+1,"")</f>
        <v/>
      </c>
      <c r="T468" s="12">
        <f>IF(K468=1,'ORDENES'!$J464,"")</f>
        <v/>
      </c>
    </row>
    <row r="469">
      <c r="K469" s="3">
        <f>IF(AND(IF($B$3="(todos)",TRUE,'ORDENES'!$O465=$B$3),IF($D$3="(todos)",TRUE,'ORDENES'!$AF465=$D$3),IF($F$3="(todos)",TRUE,'ORDENES'!$X465=$F$3),IF($H$3="(todos)",TRUE,'ORDENES'!$W465=$H$3),'ORDENES'!$AD465=TRUE,'ORDENES'!$A465&lt;&gt;""),1,0)</f>
        <v/>
      </c>
      <c r="L469" s="3">
        <f>IF(K469=1,IFERROR(MATCH('ORDENES'!$R465,lista_dias,0),9)*1000000000+IFERROR(MATCH('ORDENES'!$AF465,lista_turnos,0),9)*10000000+IFERROR(MATCH('ORDENES'!$AE465,tblTecnicos[nombre],0),99)*100000+462,9000000000000+462)</f>
        <v/>
      </c>
      <c r="M469" s="3">
        <f>IF(K469=1,SUMPRODUCT(--($L$8:$L$1207&lt;L469))+1,"")</f>
        <v/>
      </c>
      <c r="N469" s="17">
        <f>IF(K469=1,N('ORDENES'!$M465),0)</f>
        <v/>
      </c>
      <c r="O469" s="17">
        <f>IF('ORDENES'!$T465="preventiva",N469,0)</f>
        <v/>
      </c>
      <c r="P469" s="17">
        <f>IF('ORDENES'!$T465="correctiva",N469,0)</f>
        <v/>
      </c>
      <c r="Q469" s="3">
        <f>IF(AND(K469=1,'ORDENES'!$N465="Pendiente"),1,0)</f>
        <v/>
      </c>
      <c r="R469" s="3">
        <f>IF(Q469=1,100000-N469*1000+462*0.01,9000000000000+462)</f>
        <v/>
      </c>
      <c r="S469" s="3">
        <f>IF(Q469=1,SUMPRODUCT(--($R$8:$R$1207&lt;R469))+1,"")</f>
        <v/>
      </c>
      <c r="T469" s="12">
        <f>IF(K469=1,'ORDENES'!$J465,"")</f>
        <v/>
      </c>
    </row>
    <row r="470">
      <c r="K470" s="3">
        <f>IF(AND(IF($B$3="(todos)",TRUE,'ORDENES'!$O466=$B$3),IF($D$3="(todos)",TRUE,'ORDENES'!$AF466=$D$3),IF($F$3="(todos)",TRUE,'ORDENES'!$X466=$F$3),IF($H$3="(todos)",TRUE,'ORDENES'!$W466=$H$3),'ORDENES'!$AD466=TRUE,'ORDENES'!$A466&lt;&gt;""),1,0)</f>
        <v/>
      </c>
      <c r="L470" s="3">
        <f>IF(K470=1,IFERROR(MATCH('ORDENES'!$R466,lista_dias,0),9)*1000000000+IFERROR(MATCH('ORDENES'!$AF466,lista_turnos,0),9)*10000000+IFERROR(MATCH('ORDENES'!$AE466,tblTecnicos[nombre],0),99)*100000+463,9000000000000+463)</f>
        <v/>
      </c>
      <c r="M470" s="3">
        <f>IF(K470=1,SUMPRODUCT(--($L$8:$L$1207&lt;L470))+1,"")</f>
        <v/>
      </c>
      <c r="N470" s="17">
        <f>IF(K470=1,N('ORDENES'!$M466),0)</f>
        <v/>
      </c>
      <c r="O470" s="17">
        <f>IF('ORDENES'!$T466="preventiva",N470,0)</f>
        <v/>
      </c>
      <c r="P470" s="17">
        <f>IF('ORDENES'!$T466="correctiva",N470,0)</f>
        <v/>
      </c>
      <c r="Q470" s="3">
        <f>IF(AND(K470=1,'ORDENES'!$N466="Pendiente"),1,0)</f>
        <v/>
      </c>
      <c r="R470" s="3">
        <f>IF(Q470=1,100000-N470*1000+463*0.01,9000000000000+463)</f>
        <v/>
      </c>
      <c r="S470" s="3">
        <f>IF(Q470=1,SUMPRODUCT(--($R$8:$R$1207&lt;R470))+1,"")</f>
        <v/>
      </c>
      <c r="T470" s="12">
        <f>IF(K470=1,'ORDENES'!$J466,"")</f>
        <v/>
      </c>
    </row>
    <row r="471">
      <c r="K471" s="3">
        <f>IF(AND(IF($B$3="(todos)",TRUE,'ORDENES'!$O467=$B$3),IF($D$3="(todos)",TRUE,'ORDENES'!$AF467=$D$3),IF($F$3="(todos)",TRUE,'ORDENES'!$X467=$F$3),IF($H$3="(todos)",TRUE,'ORDENES'!$W467=$H$3),'ORDENES'!$AD467=TRUE,'ORDENES'!$A467&lt;&gt;""),1,0)</f>
        <v/>
      </c>
      <c r="L471" s="3">
        <f>IF(K471=1,IFERROR(MATCH('ORDENES'!$R467,lista_dias,0),9)*1000000000+IFERROR(MATCH('ORDENES'!$AF467,lista_turnos,0),9)*10000000+IFERROR(MATCH('ORDENES'!$AE467,tblTecnicos[nombre],0),99)*100000+464,9000000000000+464)</f>
        <v/>
      </c>
      <c r="M471" s="3">
        <f>IF(K471=1,SUMPRODUCT(--($L$8:$L$1207&lt;L471))+1,"")</f>
        <v/>
      </c>
      <c r="N471" s="17">
        <f>IF(K471=1,N('ORDENES'!$M467),0)</f>
        <v/>
      </c>
      <c r="O471" s="17">
        <f>IF('ORDENES'!$T467="preventiva",N471,0)</f>
        <v/>
      </c>
      <c r="P471" s="17">
        <f>IF('ORDENES'!$T467="correctiva",N471,0)</f>
        <v/>
      </c>
      <c r="Q471" s="3">
        <f>IF(AND(K471=1,'ORDENES'!$N467="Pendiente"),1,0)</f>
        <v/>
      </c>
      <c r="R471" s="3">
        <f>IF(Q471=1,100000-N471*1000+464*0.01,9000000000000+464)</f>
        <v/>
      </c>
      <c r="S471" s="3">
        <f>IF(Q471=1,SUMPRODUCT(--($R$8:$R$1207&lt;R471))+1,"")</f>
        <v/>
      </c>
      <c r="T471" s="12">
        <f>IF(K471=1,'ORDENES'!$J467,"")</f>
        <v/>
      </c>
    </row>
    <row r="472">
      <c r="K472" s="3">
        <f>IF(AND(IF($B$3="(todos)",TRUE,'ORDENES'!$O468=$B$3),IF($D$3="(todos)",TRUE,'ORDENES'!$AF468=$D$3),IF($F$3="(todos)",TRUE,'ORDENES'!$X468=$F$3),IF($H$3="(todos)",TRUE,'ORDENES'!$W468=$H$3),'ORDENES'!$AD468=TRUE,'ORDENES'!$A468&lt;&gt;""),1,0)</f>
        <v/>
      </c>
      <c r="L472" s="3">
        <f>IF(K472=1,IFERROR(MATCH('ORDENES'!$R468,lista_dias,0),9)*1000000000+IFERROR(MATCH('ORDENES'!$AF468,lista_turnos,0),9)*10000000+IFERROR(MATCH('ORDENES'!$AE468,tblTecnicos[nombre],0),99)*100000+465,9000000000000+465)</f>
        <v/>
      </c>
      <c r="M472" s="3">
        <f>IF(K472=1,SUMPRODUCT(--($L$8:$L$1207&lt;L472))+1,"")</f>
        <v/>
      </c>
      <c r="N472" s="17">
        <f>IF(K472=1,N('ORDENES'!$M468),0)</f>
        <v/>
      </c>
      <c r="O472" s="17">
        <f>IF('ORDENES'!$T468="preventiva",N472,0)</f>
        <v/>
      </c>
      <c r="P472" s="17">
        <f>IF('ORDENES'!$T468="correctiva",N472,0)</f>
        <v/>
      </c>
      <c r="Q472" s="3">
        <f>IF(AND(K472=1,'ORDENES'!$N468="Pendiente"),1,0)</f>
        <v/>
      </c>
      <c r="R472" s="3">
        <f>IF(Q472=1,100000-N472*1000+465*0.01,9000000000000+465)</f>
        <v/>
      </c>
      <c r="S472" s="3">
        <f>IF(Q472=1,SUMPRODUCT(--($R$8:$R$1207&lt;R472))+1,"")</f>
        <v/>
      </c>
      <c r="T472" s="12">
        <f>IF(K472=1,'ORDENES'!$J468,"")</f>
        <v/>
      </c>
    </row>
    <row r="473">
      <c r="K473" s="3">
        <f>IF(AND(IF($B$3="(todos)",TRUE,'ORDENES'!$O469=$B$3),IF($D$3="(todos)",TRUE,'ORDENES'!$AF469=$D$3),IF($F$3="(todos)",TRUE,'ORDENES'!$X469=$F$3),IF($H$3="(todos)",TRUE,'ORDENES'!$W469=$H$3),'ORDENES'!$AD469=TRUE,'ORDENES'!$A469&lt;&gt;""),1,0)</f>
        <v/>
      </c>
      <c r="L473" s="3">
        <f>IF(K473=1,IFERROR(MATCH('ORDENES'!$R469,lista_dias,0),9)*1000000000+IFERROR(MATCH('ORDENES'!$AF469,lista_turnos,0),9)*10000000+IFERROR(MATCH('ORDENES'!$AE469,tblTecnicos[nombre],0),99)*100000+466,9000000000000+466)</f>
        <v/>
      </c>
      <c r="M473" s="3">
        <f>IF(K473=1,SUMPRODUCT(--($L$8:$L$1207&lt;L473))+1,"")</f>
        <v/>
      </c>
      <c r="N473" s="17">
        <f>IF(K473=1,N('ORDENES'!$M469),0)</f>
        <v/>
      </c>
      <c r="O473" s="17">
        <f>IF('ORDENES'!$T469="preventiva",N473,0)</f>
        <v/>
      </c>
      <c r="P473" s="17">
        <f>IF('ORDENES'!$T469="correctiva",N473,0)</f>
        <v/>
      </c>
      <c r="Q473" s="3">
        <f>IF(AND(K473=1,'ORDENES'!$N469="Pendiente"),1,0)</f>
        <v/>
      </c>
      <c r="R473" s="3">
        <f>IF(Q473=1,100000-N473*1000+466*0.01,9000000000000+466)</f>
        <v/>
      </c>
      <c r="S473" s="3">
        <f>IF(Q473=1,SUMPRODUCT(--($R$8:$R$1207&lt;R473))+1,"")</f>
        <v/>
      </c>
      <c r="T473" s="12">
        <f>IF(K473=1,'ORDENES'!$J469,"")</f>
        <v/>
      </c>
    </row>
    <row r="474">
      <c r="K474" s="3">
        <f>IF(AND(IF($B$3="(todos)",TRUE,'ORDENES'!$O470=$B$3),IF($D$3="(todos)",TRUE,'ORDENES'!$AF470=$D$3),IF($F$3="(todos)",TRUE,'ORDENES'!$X470=$F$3),IF($H$3="(todos)",TRUE,'ORDENES'!$W470=$H$3),'ORDENES'!$AD470=TRUE,'ORDENES'!$A470&lt;&gt;""),1,0)</f>
        <v/>
      </c>
      <c r="L474" s="3">
        <f>IF(K474=1,IFERROR(MATCH('ORDENES'!$R470,lista_dias,0),9)*1000000000+IFERROR(MATCH('ORDENES'!$AF470,lista_turnos,0),9)*10000000+IFERROR(MATCH('ORDENES'!$AE470,tblTecnicos[nombre],0),99)*100000+467,9000000000000+467)</f>
        <v/>
      </c>
      <c r="M474" s="3">
        <f>IF(K474=1,SUMPRODUCT(--($L$8:$L$1207&lt;L474))+1,"")</f>
        <v/>
      </c>
      <c r="N474" s="17">
        <f>IF(K474=1,N('ORDENES'!$M470),0)</f>
        <v/>
      </c>
      <c r="O474" s="17">
        <f>IF('ORDENES'!$T470="preventiva",N474,0)</f>
        <v/>
      </c>
      <c r="P474" s="17">
        <f>IF('ORDENES'!$T470="correctiva",N474,0)</f>
        <v/>
      </c>
      <c r="Q474" s="3">
        <f>IF(AND(K474=1,'ORDENES'!$N470="Pendiente"),1,0)</f>
        <v/>
      </c>
      <c r="R474" s="3">
        <f>IF(Q474=1,100000-N474*1000+467*0.01,9000000000000+467)</f>
        <v/>
      </c>
      <c r="S474" s="3">
        <f>IF(Q474=1,SUMPRODUCT(--($R$8:$R$1207&lt;R474))+1,"")</f>
        <v/>
      </c>
      <c r="T474" s="12">
        <f>IF(K474=1,'ORDENES'!$J470,"")</f>
        <v/>
      </c>
    </row>
    <row r="475">
      <c r="K475" s="3">
        <f>IF(AND(IF($B$3="(todos)",TRUE,'ORDENES'!$O471=$B$3),IF($D$3="(todos)",TRUE,'ORDENES'!$AF471=$D$3),IF($F$3="(todos)",TRUE,'ORDENES'!$X471=$F$3),IF($H$3="(todos)",TRUE,'ORDENES'!$W471=$H$3),'ORDENES'!$AD471=TRUE,'ORDENES'!$A471&lt;&gt;""),1,0)</f>
        <v/>
      </c>
      <c r="L475" s="3">
        <f>IF(K475=1,IFERROR(MATCH('ORDENES'!$R471,lista_dias,0),9)*1000000000+IFERROR(MATCH('ORDENES'!$AF471,lista_turnos,0),9)*10000000+IFERROR(MATCH('ORDENES'!$AE471,tblTecnicos[nombre],0),99)*100000+468,9000000000000+468)</f>
        <v/>
      </c>
      <c r="M475" s="3">
        <f>IF(K475=1,SUMPRODUCT(--($L$8:$L$1207&lt;L475))+1,"")</f>
        <v/>
      </c>
      <c r="N475" s="17">
        <f>IF(K475=1,N('ORDENES'!$M471),0)</f>
        <v/>
      </c>
      <c r="O475" s="17">
        <f>IF('ORDENES'!$T471="preventiva",N475,0)</f>
        <v/>
      </c>
      <c r="P475" s="17">
        <f>IF('ORDENES'!$T471="correctiva",N475,0)</f>
        <v/>
      </c>
      <c r="Q475" s="3">
        <f>IF(AND(K475=1,'ORDENES'!$N471="Pendiente"),1,0)</f>
        <v/>
      </c>
      <c r="R475" s="3">
        <f>IF(Q475=1,100000-N475*1000+468*0.01,9000000000000+468)</f>
        <v/>
      </c>
      <c r="S475" s="3">
        <f>IF(Q475=1,SUMPRODUCT(--($R$8:$R$1207&lt;R475))+1,"")</f>
        <v/>
      </c>
      <c r="T475" s="12">
        <f>IF(K475=1,'ORDENES'!$J471,"")</f>
        <v/>
      </c>
    </row>
    <row r="476">
      <c r="K476" s="3">
        <f>IF(AND(IF($B$3="(todos)",TRUE,'ORDENES'!$O472=$B$3),IF($D$3="(todos)",TRUE,'ORDENES'!$AF472=$D$3),IF($F$3="(todos)",TRUE,'ORDENES'!$X472=$F$3),IF($H$3="(todos)",TRUE,'ORDENES'!$W472=$H$3),'ORDENES'!$AD472=TRUE,'ORDENES'!$A472&lt;&gt;""),1,0)</f>
        <v/>
      </c>
      <c r="L476" s="3">
        <f>IF(K476=1,IFERROR(MATCH('ORDENES'!$R472,lista_dias,0),9)*1000000000+IFERROR(MATCH('ORDENES'!$AF472,lista_turnos,0),9)*10000000+IFERROR(MATCH('ORDENES'!$AE472,tblTecnicos[nombre],0),99)*100000+469,9000000000000+469)</f>
        <v/>
      </c>
      <c r="M476" s="3">
        <f>IF(K476=1,SUMPRODUCT(--($L$8:$L$1207&lt;L476))+1,"")</f>
        <v/>
      </c>
      <c r="N476" s="17">
        <f>IF(K476=1,N('ORDENES'!$M472),0)</f>
        <v/>
      </c>
      <c r="O476" s="17">
        <f>IF('ORDENES'!$T472="preventiva",N476,0)</f>
        <v/>
      </c>
      <c r="P476" s="17">
        <f>IF('ORDENES'!$T472="correctiva",N476,0)</f>
        <v/>
      </c>
      <c r="Q476" s="3">
        <f>IF(AND(K476=1,'ORDENES'!$N472="Pendiente"),1,0)</f>
        <v/>
      </c>
      <c r="R476" s="3">
        <f>IF(Q476=1,100000-N476*1000+469*0.01,9000000000000+469)</f>
        <v/>
      </c>
      <c r="S476" s="3">
        <f>IF(Q476=1,SUMPRODUCT(--($R$8:$R$1207&lt;R476))+1,"")</f>
        <v/>
      </c>
      <c r="T476" s="12">
        <f>IF(K476=1,'ORDENES'!$J472,"")</f>
        <v/>
      </c>
    </row>
    <row r="477">
      <c r="K477" s="3">
        <f>IF(AND(IF($B$3="(todos)",TRUE,'ORDENES'!$O473=$B$3),IF($D$3="(todos)",TRUE,'ORDENES'!$AF473=$D$3),IF($F$3="(todos)",TRUE,'ORDENES'!$X473=$F$3),IF($H$3="(todos)",TRUE,'ORDENES'!$W473=$H$3),'ORDENES'!$AD473=TRUE,'ORDENES'!$A473&lt;&gt;""),1,0)</f>
        <v/>
      </c>
      <c r="L477" s="3">
        <f>IF(K477=1,IFERROR(MATCH('ORDENES'!$R473,lista_dias,0),9)*1000000000+IFERROR(MATCH('ORDENES'!$AF473,lista_turnos,0),9)*10000000+IFERROR(MATCH('ORDENES'!$AE473,tblTecnicos[nombre],0),99)*100000+470,9000000000000+470)</f>
        <v/>
      </c>
      <c r="M477" s="3">
        <f>IF(K477=1,SUMPRODUCT(--($L$8:$L$1207&lt;L477))+1,"")</f>
        <v/>
      </c>
      <c r="N477" s="17">
        <f>IF(K477=1,N('ORDENES'!$M473),0)</f>
        <v/>
      </c>
      <c r="O477" s="17">
        <f>IF('ORDENES'!$T473="preventiva",N477,0)</f>
        <v/>
      </c>
      <c r="P477" s="17">
        <f>IF('ORDENES'!$T473="correctiva",N477,0)</f>
        <v/>
      </c>
      <c r="Q477" s="3">
        <f>IF(AND(K477=1,'ORDENES'!$N473="Pendiente"),1,0)</f>
        <v/>
      </c>
      <c r="R477" s="3">
        <f>IF(Q477=1,100000-N477*1000+470*0.01,9000000000000+470)</f>
        <v/>
      </c>
      <c r="S477" s="3">
        <f>IF(Q477=1,SUMPRODUCT(--($R$8:$R$1207&lt;R477))+1,"")</f>
        <v/>
      </c>
      <c r="T477" s="12">
        <f>IF(K477=1,'ORDENES'!$J473,"")</f>
        <v/>
      </c>
    </row>
    <row r="478">
      <c r="K478" s="3">
        <f>IF(AND(IF($B$3="(todos)",TRUE,'ORDENES'!$O474=$B$3),IF($D$3="(todos)",TRUE,'ORDENES'!$AF474=$D$3),IF($F$3="(todos)",TRUE,'ORDENES'!$X474=$F$3),IF($H$3="(todos)",TRUE,'ORDENES'!$W474=$H$3),'ORDENES'!$AD474=TRUE,'ORDENES'!$A474&lt;&gt;""),1,0)</f>
        <v/>
      </c>
      <c r="L478" s="3">
        <f>IF(K478=1,IFERROR(MATCH('ORDENES'!$R474,lista_dias,0),9)*1000000000+IFERROR(MATCH('ORDENES'!$AF474,lista_turnos,0),9)*10000000+IFERROR(MATCH('ORDENES'!$AE474,tblTecnicos[nombre],0),99)*100000+471,9000000000000+471)</f>
        <v/>
      </c>
      <c r="M478" s="3">
        <f>IF(K478=1,SUMPRODUCT(--($L$8:$L$1207&lt;L478))+1,"")</f>
        <v/>
      </c>
      <c r="N478" s="17">
        <f>IF(K478=1,N('ORDENES'!$M474),0)</f>
        <v/>
      </c>
      <c r="O478" s="17">
        <f>IF('ORDENES'!$T474="preventiva",N478,0)</f>
        <v/>
      </c>
      <c r="P478" s="17">
        <f>IF('ORDENES'!$T474="correctiva",N478,0)</f>
        <v/>
      </c>
      <c r="Q478" s="3">
        <f>IF(AND(K478=1,'ORDENES'!$N474="Pendiente"),1,0)</f>
        <v/>
      </c>
      <c r="R478" s="3">
        <f>IF(Q478=1,100000-N478*1000+471*0.01,9000000000000+471)</f>
        <v/>
      </c>
      <c r="S478" s="3">
        <f>IF(Q478=1,SUMPRODUCT(--($R$8:$R$1207&lt;R478))+1,"")</f>
        <v/>
      </c>
      <c r="T478" s="12">
        <f>IF(K478=1,'ORDENES'!$J474,"")</f>
        <v/>
      </c>
    </row>
    <row r="479">
      <c r="K479" s="3">
        <f>IF(AND(IF($B$3="(todos)",TRUE,'ORDENES'!$O475=$B$3),IF($D$3="(todos)",TRUE,'ORDENES'!$AF475=$D$3),IF($F$3="(todos)",TRUE,'ORDENES'!$X475=$F$3),IF($H$3="(todos)",TRUE,'ORDENES'!$W475=$H$3),'ORDENES'!$AD475=TRUE,'ORDENES'!$A475&lt;&gt;""),1,0)</f>
        <v/>
      </c>
      <c r="L479" s="3">
        <f>IF(K479=1,IFERROR(MATCH('ORDENES'!$R475,lista_dias,0),9)*1000000000+IFERROR(MATCH('ORDENES'!$AF475,lista_turnos,0),9)*10000000+IFERROR(MATCH('ORDENES'!$AE475,tblTecnicos[nombre],0),99)*100000+472,9000000000000+472)</f>
        <v/>
      </c>
      <c r="M479" s="3">
        <f>IF(K479=1,SUMPRODUCT(--($L$8:$L$1207&lt;L479))+1,"")</f>
        <v/>
      </c>
      <c r="N479" s="17">
        <f>IF(K479=1,N('ORDENES'!$M475),0)</f>
        <v/>
      </c>
      <c r="O479" s="17">
        <f>IF('ORDENES'!$T475="preventiva",N479,0)</f>
        <v/>
      </c>
      <c r="P479" s="17">
        <f>IF('ORDENES'!$T475="correctiva",N479,0)</f>
        <v/>
      </c>
      <c r="Q479" s="3">
        <f>IF(AND(K479=1,'ORDENES'!$N475="Pendiente"),1,0)</f>
        <v/>
      </c>
      <c r="R479" s="3">
        <f>IF(Q479=1,100000-N479*1000+472*0.01,9000000000000+472)</f>
        <v/>
      </c>
      <c r="S479" s="3">
        <f>IF(Q479=1,SUMPRODUCT(--($R$8:$R$1207&lt;R479))+1,"")</f>
        <v/>
      </c>
      <c r="T479" s="12">
        <f>IF(K479=1,'ORDENES'!$J475,"")</f>
        <v/>
      </c>
    </row>
    <row r="480">
      <c r="K480" s="3">
        <f>IF(AND(IF($B$3="(todos)",TRUE,'ORDENES'!$O476=$B$3),IF($D$3="(todos)",TRUE,'ORDENES'!$AF476=$D$3),IF($F$3="(todos)",TRUE,'ORDENES'!$X476=$F$3),IF($H$3="(todos)",TRUE,'ORDENES'!$W476=$H$3),'ORDENES'!$AD476=TRUE,'ORDENES'!$A476&lt;&gt;""),1,0)</f>
        <v/>
      </c>
      <c r="L480" s="3">
        <f>IF(K480=1,IFERROR(MATCH('ORDENES'!$R476,lista_dias,0),9)*1000000000+IFERROR(MATCH('ORDENES'!$AF476,lista_turnos,0),9)*10000000+IFERROR(MATCH('ORDENES'!$AE476,tblTecnicos[nombre],0),99)*100000+473,9000000000000+473)</f>
        <v/>
      </c>
      <c r="M480" s="3">
        <f>IF(K480=1,SUMPRODUCT(--($L$8:$L$1207&lt;L480))+1,"")</f>
        <v/>
      </c>
      <c r="N480" s="17">
        <f>IF(K480=1,N('ORDENES'!$M476),0)</f>
        <v/>
      </c>
      <c r="O480" s="17">
        <f>IF('ORDENES'!$T476="preventiva",N480,0)</f>
        <v/>
      </c>
      <c r="P480" s="17">
        <f>IF('ORDENES'!$T476="correctiva",N480,0)</f>
        <v/>
      </c>
      <c r="Q480" s="3">
        <f>IF(AND(K480=1,'ORDENES'!$N476="Pendiente"),1,0)</f>
        <v/>
      </c>
      <c r="R480" s="3">
        <f>IF(Q480=1,100000-N480*1000+473*0.01,9000000000000+473)</f>
        <v/>
      </c>
      <c r="S480" s="3">
        <f>IF(Q480=1,SUMPRODUCT(--($R$8:$R$1207&lt;R480))+1,"")</f>
        <v/>
      </c>
      <c r="T480" s="12">
        <f>IF(K480=1,'ORDENES'!$J476,"")</f>
        <v/>
      </c>
    </row>
    <row r="481">
      <c r="K481" s="3">
        <f>IF(AND(IF($B$3="(todos)",TRUE,'ORDENES'!$O477=$B$3),IF($D$3="(todos)",TRUE,'ORDENES'!$AF477=$D$3),IF($F$3="(todos)",TRUE,'ORDENES'!$X477=$F$3),IF($H$3="(todos)",TRUE,'ORDENES'!$W477=$H$3),'ORDENES'!$AD477=TRUE,'ORDENES'!$A477&lt;&gt;""),1,0)</f>
        <v/>
      </c>
      <c r="L481" s="3">
        <f>IF(K481=1,IFERROR(MATCH('ORDENES'!$R477,lista_dias,0),9)*1000000000+IFERROR(MATCH('ORDENES'!$AF477,lista_turnos,0),9)*10000000+IFERROR(MATCH('ORDENES'!$AE477,tblTecnicos[nombre],0),99)*100000+474,9000000000000+474)</f>
        <v/>
      </c>
      <c r="M481" s="3">
        <f>IF(K481=1,SUMPRODUCT(--($L$8:$L$1207&lt;L481))+1,"")</f>
        <v/>
      </c>
      <c r="N481" s="17">
        <f>IF(K481=1,N('ORDENES'!$M477),0)</f>
        <v/>
      </c>
      <c r="O481" s="17">
        <f>IF('ORDENES'!$T477="preventiva",N481,0)</f>
        <v/>
      </c>
      <c r="P481" s="17">
        <f>IF('ORDENES'!$T477="correctiva",N481,0)</f>
        <v/>
      </c>
      <c r="Q481" s="3">
        <f>IF(AND(K481=1,'ORDENES'!$N477="Pendiente"),1,0)</f>
        <v/>
      </c>
      <c r="R481" s="3">
        <f>IF(Q481=1,100000-N481*1000+474*0.01,9000000000000+474)</f>
        <v/>
      </c>
      <c r="S481" s="3">
        <f>IF(Q481=1,SUMPRODUCT(--($R$8:$R$1207&lt;R481))+1,"")</f>
        <v/>
      </c>
      <c r="T481" s="12">
        <f>IF(K481=1,'ORDENES'!$J477,"")</f>
        <v/>
      </c>
    </row>
    <row r="482">
      <c r="K482" s="3">
        <f>IF(AND(IF($B$3="(todos)",TRUE,'ORDENES'!$O478=$B$3),IF($D$3="(todos)",TRUE,'ORDENES'!$AF478=$D$3),IF($F$3="(todos)",TRUE,'ORDENES'!$X478=$F$3),IF($H$3="(todos)",TRUE,'ORDENES'!$W478=$H$3),'ORDENES'!$AD478=TRUE,'ORDENES'!$A478&lt;&gt;""),1,0)</f>
        <v/>
      </c>
      <c r="L482" s="3">
        <f>IF(K482=1,IFERROR(MATCH('ORDENES'!$R478,lista_dias,0),9)*1000000000+IFERROR(MATCH('ORDENES'!$AF478,lista_turnos,0),9)*10000000+IFERROR(MATCH('ORDENES'!$AE478,tblTecnicos[nombre],0),99)*100000+475,9000000000000+475)</f>
        <v/>
      </c>
      <c r="M482" s="3">
        <f>IF(K482=1,SUMPRODUCT(--($L$8:$L$1207&lt;L482))+1,"")</f>
        <v/>
      </c>
      <c r="N482" s="17">
        <f>IF(K482=1,N('ORDENES'!$M478),0)</f>
        <v/>
      </c>
      <c r="O482" s="17">
        <f>IF('ORDENES'!$T478="preventiva",N482,0)</f>
        <v/>
      </c>
      <c r="P482" s="17">
        <f>IF('ORDENES'!$T478="correctiva",N482,0)</f>
        <v/>
      </c>
      <c r="Q482" s="3">
        <f>IF(AND(K482=1,'ORDENES'!$N478="Pendiente"),1,0)</f>
        <v/>
      </c>
      <c r="R482" s="3">
        <f>IF(Q482=1,100000-N482*1000+475*0.01,9000000000000+475)</f>
        <v/>
      </c>
      <c r="S482" s="3">
        <f>IF(Q482=1,SUMPRODUCT(--($R$8:$R$1207&lt;R482))+1,"")</f>
        <v/>
      </c>
      <c r="T482" s="12">
        <f>IF(K482=1,'ORDENES'!$J478,"")</f>
        <v/>
      </c>
    </row>
    <row r="483">
      <c r="K483" s="3">
        <f>IF(AND(IF($B$3="(todos)",TRUE,'ORDENES'!$O479=$B$3),IF($D$3="(todos)",TRUE,'ORDENES'!$AF479=$D$3),IF($F$3="(todos)",TRUE,'ORDENES'!$X479=$F$3),IF($H$3="(todos)",TRUE,'ORDENES'!$W479=$H$3),'ORDENES'!$AD479=TRUE,'ORDENES'!$A479&lt;&gt;""),1,0)</f>
        <v/>
      </c>
      <c r="L483" s="3">
        <f>IF(K483=1,IFERROR(MATCH('ORDENES'!$R479,lista_dias,0),9)*1000000000+IFERROR(MATCH('ORDENES'!$AF479,lista_turnos,0),9)*10000000+IFERROR(MATCH('ORDENES'!$AE479,tblTecnicos[nombre],0),99)*100000+476,9000000000000+476)</f>
        <v/>
      </c>
      <c r="M483" s="3">
        <f>IF(K483=1,SUMPRODUCT(--($L$8:$L$1207&lt;L483))+1,"")</f>
        <v/>
      </c>
      <c r="N483" s="17">
        <f>IF(K483=1,N('ORDENES'!$M479),0)</f>
        <v/>
      </c>
      <c r="O483" s="17">
        <f>IF('ORDENES'!$T479="preventiva",N483,0)</f>
        <v/>
      </c>
      <c r="P483" s="17">
        <f>IF('ORDENES'!$T479="correctiva",N483,0)</f>
        <v/>
      </c>
      <c r="Q483" s="3">
        <f>IF(AND(K483=1,'ORDENES'!$N479="Pendiente"),1,0)</f>
        <v/>
      </c>
      <c r="R483" s="3">
        <f>IF(Q483=1,100000-N483*1000+476*0.01,9000000000000+476)</f>
        <v/>
      </c>
      <c r="S483" s="3">
        <f>IF(Q483=1,SUMPRODUCT(--($R$8:$R$1207&lt;R483))+1,"")</f>
        <v/>
      </c>
      <c r="T483" s="12">
        <f>IF(K483=1,'ORDENES'!$J479,"")</f>
        <v/>
      </c>
    </row>
    <row r="484">
      <c r="K484" s="3">
        <f>IF(AND(IF($B$3="(todos)",TRUE,'ORDENES'!$O480=$B$3),IF($D$3="(todos)",TRUE,'ORDENES'!$AF480=$D$3),IF($F$3="(todos)",TRUE,'ORDENES'!$X480=$F$3),IF($H$3="(todos)",TRUE,'ORDENES'!$W480=$H$3),'ORDENES'!$AD480=TRUE,'ORDENES'!$A480&lt;&gt;""),1,0)</f>
        <v/>
      </c>
      <c r="L484" s="3">
        <f>IF(K484=1,IFERROR(MATCH('ORDENES'!$R480,lista_dias,0),9)*1000000000+IFERROR(MATCH('ORDENES'!$AF480,lista_turnos,0),9)*10000000+IFERROR(MATCH('ORDENES'!$AE480,tblTecnicos[nombre],0),99)*100000+477,9000000000000+477)</f>
        <v/>
      </c>
      <c r="M484" s="3">
        <f>IF(K484=1,SUMPRODUCT(--($L$8:$L$1207&lt;L484))+1,"")</f>
        <v/>
      </c>
      <c r="N484" s="17">
        <f>IF(K484=1,N('ORDENES'!$M480),0)</f>
        <v/>
      </c>
      <c r="O484" s="17">
        <f>IF('ORDENES'!$T480="preventiva",N484,0)</f>
        <v/>
      </c>
      <c r="P484" s="17">
        <f>IF('ORDENES'!$T480="correctiva",N484,0)</f>
        <v/>
      </c>
      <c r="Q484" s="3">
        <f>IF(AND(K484=1,'ORDENES'!$N480="Pendiente"),1,0)</f>
        <v/>
      </c>
      <c r="R484" s="3">
        <f>IF(Q484=1,100000-N484*1000+477*0.01,9000000000000+477)</f>
        <v/>
      </c>
      <c r="S484" s="3">
        <f>IF(Q484=1,SUMPRODUCT(--($R$8:$R$1207&lt;R484))+1,"")</f>
        <v/>
      </c>
      <c r="T484" s="12">
        <f>IF(K484=1,'ORDENES'!$J480,"")</f>
        <v/>
      </c>
    </row>
    <row r="485">
      <c r="K485" s="3">
        <f>IF(AND(IF($B$3="(todos)",TRUE,'ORDENES'!$O481=$B$3),IF($D$3="(todos)",TRUE,'ORDENES'!$AF481=$D$3),IF($F$3="(todos)",TRUE,'ORDENES'!$X481=$F$3),IF($H$3="(todos)",TRUE,'ORDENES'!$W481=$H$3),'ORDENES'!$AD481=TRUE,'ORDENES'!$A481&lt;&gt;""),1,0)</f>
        <v/>
      </c>
      <c r="L485" s="3">
        <f>IF(K485=1,IFERROR(MATCH('ORDENES'!$R481,lista_dias,0),9)*1000000000+IFERROR(MATCH('ORDENES'!$AF481,lista_turnos,0),9)*10000000+IFERROR(MATCH('ORDENES'!$AE481,tblTecnicos[nombre],0),99)*100000+478,9000000000000+478)</f>
        <v/>
      </c>
      <c r="M485" s="3">
        <f>IF(K485=1,SUMPRODUCT(--($L$8:$L$1207&lt;L485))+1,"")</f>
        <v/>
      </c>
      <c r="N485" s="17">
        <f>IF(K485=1,N('ORDENES'!$M481),0)</f>
        <v/>
      </c>
      <c r="O485" s="17">
        <f>IF('ORDENES'!$T481="preventiva",N485,0)</f>
        <v/>
      </c>
      <c r="P485" s="17">
        <f>IF('ORDENES'!$T481="correctiva",N485,0)</f>
        <v/>
      </c>
      <c r="Q485" s="3">
        <f>IF(AND(K485=1,'ORDENES'!$N481="Pendiente"),1,0)</f>
        <v/>
      </c>
      <c r="R485" s="3">
        <f>IF(Q485=1,100000-N485*1000+478*0.01,9000000000000+478)</f>
        <v/>
      </c>
      <c r="S485" s="3">
        <f>IF(Q485=1,SUMPRODUCT(--($R$8:$R$1207&lt;R485))+1,"")</f>
        <v/>
      </c>
      <c r="T485" s="12">
        <f>IF(K485=1,'ORDENES'!$J481,"")</f>
        <v/>
      </c>
    </row>
    <row r="486">
      <c r="K486" s="3">
        <f>IF(AND(IF($B$3="(todos)",TRUE,'ORDENES'!$O482=$B$3),IF($D$3="(todos)",TRUE,'ORDENES'!$AF482=$D$3),IF($F$3="(todos)",TRUE,'ORDENES'!$X482=$F$3),IF($H$3="(todos)",TRUE,'ORDENES'!$W482=$H$3),'ORDENES'!$AD482=TRUE,'ORDENES'!$A482&lt;&gt;""),1,0)</f>
        <v/>
      </c>
      <c r="L486" s="3">
        <f>IF(K486=1,IFERROR(MATCH('ORDENES'!$R482,lista_dias,0),9)*1000000000+IFERROR(MATCH('ORDENES'!$AF482,lista_turnos,0),9)*10000000+IFERROR(MATCH('ORDENES'!$AE482,tblTecnicos[nombre],0),99)*100000+479,9000000000000+479)</f>
        <v/>
      </c>
      <c r="M486" s="3">
        <f>IF(K486=1,SUMPRODUCT(--($L$8:$L$1207&lt;L486))+1,"")</f>
        <v/>
      </c>
      <c r="N486" s="17">
        <f>IF(K486=1,N('ORDENES'!$M482),0)</f>
        <v/>
      </c>
      <c r="O486" s="17">
        <f>IF('ORDENES'!$T482="preventiva",N486,0)</f>
        <v/>
      </c>
      <c r="P486" s="17">
        <f>IF('ORDENES'!$T482="correctiva",N486,0)</f>
        <v/>
      </c>
      <c r="Q486" s="3">
        <f>IF(AND(K486=1,'ORDENES'!$N482="Pendiente"),1,0)</f>
        <v/>
      </c>
      <c r="R486" s="3">
        <f>IF(Q486=1,100000-N486*1000+479*0.01,9000000000000+479)</f>
        <v/>
      </c>
      <c r="S486" s="3">
        <f>IF(Q486=1,SUMPRODUCT(--($R$8:$R$1207&lt;R486))+1,"")</f>
        <v/>
      </c>
      <c r="T486" s="12">
        <f>IF(K486=1,'ORDENES'!$J482,"")</f>
        <v/>
      </c>
    </row>
    <row r="487">
      <c r="K487" s="3">
        <f>IF(AND(IF($B$3="(todos)",TRUE,'ORDENES'!$O483=$B$3),IF($D$3="(todos)",TRUE,'ORDENES'!$AF483=$D$3),IF($F$3="(todos)",TRUE,'ORDENES'!$X483=$F$3),IF($H$3="(todos)",TRUE,'ORDENES'!$W483=$H$3),'ORDENES'!$AD483=TRUE,'ORDENES'!$A483&lt;&gt;""),1,0)</f>
        <v/>
      </c>
      <c r="L487" s="3">
        <f>IF(K487=1,IFERROR(MATCH('ORDENES'!$R483,lista_dias,0),9)*1000000000+IFERROR(MATCH('ORDENES'!$AF483,lista_turnos,0),9)*10000000+IFERROR(MATCH('ORDENES'!$AE483,tblTecnicos[nombre],0),99)*100000+480,9000000000000+480)</f>
        <v/>
      </c>
      <c r="M487" s="3">
        <f>IF(K487=1,SUMPRODUCT(--($L$8:$L$1207&lt;L487))+1,"")</f>
        <v/>
      </c>
      <c r="N487" s="17">
        <f>IF(K487=1,N('ORDENES'!$M483),0)</f>
        <v/>
      </c>
      <c r="O487" s="17">
        <f>IF('ORDENES'!$T483="preventiva",N487,0)</f>
        <v/>
      </c>
      <c r="P487" s="17">
        <f>IF('ORDENES'!$T483="correctiva",N487,0)</f>
        <v/>
      </c>
      <c r="Q487" s="3">
        <f>IF(AND(K487=1,'ORDENES'!$N483="Pendiente"),1,0)</f>
        <v/>
      </c>
      <c r="R487" s="3">
        <f>IF(Q487=1,100000-N487*1000+480*0.01,9000000000000+480)</f>
        <v/>
      </c>
      <c r="S487" s="3">
        <f>IF(Q487=1,SUMPRODUCT(--($R$8:$R$1207&lt;R487))+1,"")</f>
        <v/>
      </c>
      <c r="T487" s="12">
        <f>IF(K487=1,'ORDENES'!$J483,"")</f>
        <v/>
      </c>
    </row>
    <row r="488">
      <c r="K488" s="3">
        <f>IF(AND(IF($B$3="(todos)",TRUE,'ORDENES'!$O484=$B$3),IF($D$3="(todos)",TRUE,'ORDENES'!$AF484=$D$3),IF($F$3="(todos)",TRUE,'ORDENES'!$X484=$F$3),IF($H$3="(todos)",TRUE,'ORDENES'!$W484=$H$3),'ORDENES'!$AD484=TRUE,'ORDENES'!$A484&lt;&gt;""),1,0)</f>
        <v/>
      </c>
      <c r="L488" s="3">
        <f>IF(K488=1,IFERROR(MATCH('ORDENES'!$R484,lista_dias,0),9)*1000000000+IFERROR(MATCH('ORDENES'!$AF484,lista_turnos,0),9)*10000000+IFERROR(MATCH('ORDENES'!$AE484,tblTecnicos[nombre],0),99)*100000+481,9000000000000+481)</f>
        <v/>
      </c>
      <c r="M488" s="3">
        <f>IF(K488=1,SUMPRODUCT(--($L$8:$L$1207&lt;L488))+1,"")</f>
        <v/>
      </c>
      <c r="N488" s="17">
        <f>IF(K488=1,N('ORDENES'!$M484),0)</f>
        <v/>
      </c>
      <c r="O488" s="17">
        <f>IF('ORDENES'!$T484="preventiva",N488,0)</f>
        <v/>
      </c>
      <c r="P488" s="17">
        <f>IF('ORDENES'!$T484="correctiva",N488,0)</f>
        <v/>
      </c>
      <c r="Q488" s="3">
        <f>IF(AND(K488=1,'ORDENES'!$N484="Pendiente"),1,0)</f>
        <v/>
      </c>
      <c r="R488" s="3">
        <f>IF(Q488=1,100000-N488*1000+481*0.01,9000000000000+481)</f>
        <v/>
      </c>
      <c r="S488" s="3">
        <f>IF(Q488=1,SUMPRODUCT(--($R$8:$R$1207&lt;R488))+1,"")</f>
        <v/>
      </c>
      <c r="T488" s="12">
        <f>IF(K488=1,'ORDENES'!$J484,"")</f>
        <v/>
      </c>
    </row>
    <row r="489">
      <c r="K489" s="3">
        <f>IF(AND(IF($B$3="(todos)",TRUE,'ORDENES'!$O485=$B$3),IF($D$3="(todos)",TRUE,'ORDENES'!$AF485=$D$3),IF($F$3="(todos)",TRUE,'ORDENES'!$X485=$F$3),IF($H$3="(todos)",TRUE,'ORDENES'!$W485=$H$3),'ORDENES'!$AD485=TRUE,'ORDENES'!$A485&lt;&gt;""),1,0)</f>
        <v/>
      </c>
      <c r="L489" s="3">
        <f>IF(K489=1,IFERROR(MATCH('ORDENES'!$R485,lista_dias,0),9)*1000000000+IFERROR(MATCH('ORDENES'!$AF485,lista_turnos,0),9)*10000000+IFERROR(MATCH('ORDENES'!$AE485,tblTecnicos[nombre],0),99)*100000+482,9000000000000+482)</f>
        <v/>
      </c>
      <c r="M489" s="3">
        <f>IF(K489=1,SUMPRODUCT(--($L$8:$L$1207&lt;L489))+1,"")</f>
        <v/>
      </c>
      <c r="N489" s="17">
        <f>IF(K489=1,N('ORDENES'!$M485),0)</f>
        <v/>
      </c>
      <c r="O489" s="17">
        <f>IF('ORDENES'!$T485="preventiva",N489,0)</f>
        <v/>
      </c>
      <c r="P489" s="17">
        <f>IF('ORDENES'!$T485="correctiva",N489,0)</f>
        <v/>
      </c>
      <c r="Q489" s="3">
        <f>IF(AND(K489=1,'ORDENES'!$N485="Pendiente"),1,0)</f>
        <v/>
      </c>
      <c r="R489" s="3">
        <f>IF(Q489=1,100000-N489*1000+482*0.01,9000000000000+482)</f>
        <v/>
      </c>
      <c r="S489" s="3">
        <f>IF(Q489=1,SUMPRODUCT(--($R$8:$R$1207&lt;R489))+1,"")</f>
        <v/>
      </c>
      <c r="T489" s="12">
        <f>IF(K489=1,'ORDENES'!$J485,"")</f>
        <v/>
      </c>
    </row>
    <row r="490">
      <c r="K490" s="3">
        <f>IF(AND(IF($B$3="(todos)",TRUE,'ORDENES'!$O486=$B$3),IF($D$3="(todos)",TRUE,'ORDENES'!$AF486=$D$3),IF($F$3="(todos)",TRUE,'ORDENES'!$X486=$F$3),IF($H$3="(todos)",TRUE,'ORDENES'!$W486=$H$3),'ORDENES'!$AD486=TRUE,'ORDENES'!$A486&lt;&gt;""),1,0)</f>
        <v/>
      </c>
      <c r="L490" s="3">
        <f>IF(K490=1,IFERROR(MATCH('ORDENES'!$R486,lista_dias,0),9)*1000000000+IFERROR(MATCH('ORDENES'!$AF486,lista_turnos,0),9)*10000000+IFERROR(MATCH('ORDENES'!$AE486,tblTecnicos[nombre],0),99)*100000+483,9000000000000+483)</f>
        <v/>
      </c>
      <c r="M490" s="3">
        <f>IF(K490=1,SUMPRODUCT(--($L$8:$L$1207&lt;L490))+1,"")</f>
        <v/>
      </c>
      <c r="N490" s="17">
        <f>IF(K490=1,N('ORDENES'!$M486),0)</f>
        <v/>
      </c>
      <c r="O490" s="17">
        <f>IF('ORDENES'!$T486="preventiva",N490,0)</f>
        <v/>
      </c>
      <c r="P490" s="17">
        <f>IF('ORDENES'!$T486="correctiva",N490,0)</f>
        <v/>
      </c>
      <c r="Q490" s="3">
        <f>IF(AND(K490=1,'ORDENES'!$N486="Pendiente"),1,0)</f>
        <v/>
      </c>
      <c r="R490" s="3">
        <f>IF(Q490=1,100000-N490*1000+483*0.01,9000000000000+483)</f>
        <v/>
      </c>
      <c r="S490" s="3">
        <f>IF(Q490=1,SUMPRODUCT(--($R$8:$R$1207&lt;R490))+1,"")</f>
        <v/>
      </c>
      <c r="T490" s="12">
        <f>IF(K490=1,'ORDENES'!$J486,"")</f>
        <v/>
      </c>
    </row>
    <row r="491">
      <c r="K491" s="3">
        <f>IF(AND(IF($B$3="(todos)",TRUE,'ORDENES'!$O487=$B$3),IF($D$3="(todos)",TRUE,'ORDENES'!$AF487=$D$3),IF($F$3="(todos)",TRUE,'ORDENES'!$X487=$F$3),IF($H$3="(todos)",TRUE,'ORDENES'!$W487=$H$3),'ORDENES'!$AD487=TRUE,'ORDENES'!$A487&lt;&gt;""),1,0)</f>
        <v/>
      </c>
      <c r="L491" s="3">
        <f>IF(K491=1,IFERROR(MATCH('ORDENES'!$R487,lista_dias,0),9)*1000000000+IFERROR(MATCH('ORDENES'!$AF487,lista_turnos,0),9)*10000000+IFERROR(MATCH('ORDENES'!$AE487,tblTecnicos[nombre],0),99)*100000+484,9000000000000+484)</f>
        <v/>
      </c>
      <c r="M491" s="3">
        <f>IF(K491=1,SUMPRODUCT(--($L$8:$L$1207&lt;L491))+1,"")</f>
        <v/>
      </c>
      <c r="N491" s="17">
        <f>IF(K491=1,N('ORDENES'!$M487),0)</f>
        <v/>
      </c>
      <c r="O491" s="17">
        <f>IF('ORDENES'!$T487="preventiva",N491,0)</f>
        <v/>
      </c>
      <c r="P491" s="17">
        <f>IF('ORDENES'!$T487="correctiva",N491,0)</f>
        <v/>
      </c>
      <c r="Q491" s="3">
        <f>IF(AND(K491=1,'ORDENES'!$N487="Pendiente"),1,0)</f>
        <v/>
      </c>
      <c r="R491" s="3">
        <f>IF(Q491=1,100000-N491*1000+484*0.01,9000000000000+484)</f>
        <v/>
      </c>
      <c r="S491" s="3">
        <f>IF(Q491=1,SUMPRODUCT(--($R$8:$R$1207&lt;R491))+1,"")</f>
        <v/>
      </c>
      <c r="T491" s="12">
        <f>IF(K491=1,'ORDENES'!$J487,"")</f>
        <v/>
      </c>
    </row>
    <row r="492">
      <c r="K492" s="3">
        <f>IF(AND(IF($B$3="(todos)",TRUE,'ORDENES'!$O488=$B$3),IF($D$3="(todos)",TRUE,'ORDENES'!$AF488=$D$3),IF($F$3="(todos)",TRUE,'ORDENES'!$X488=$F$3),IF($H$3="(todos)",TRUE,'ORDENES'!$W488=$H$3),'ORDENES'!$AD488=TRUE,'ORDENES'!$A488&lt;&gt;""),1,0)</f>
        <v/>
      </c>
      <c r="L492" s="3">
        <f>IF(K492=1,IFERROR(MATCH('ORDENES'!$R488,lista_dias,0),9)*1000000000+IFERROR(MATCH('ORDENES'!$AF488,lista_turnos,0),9)*10000000+IFERROR(MATCH('ORDENES'!$AE488,tblTecnicos[nombre],0),99)*100000+485,9000000000000+485)</f>
        <v/>
      </c>
      <c r="M492" s="3">
        <f>IF(K492=1,SUMPRODUCT(--($L$8:$L$1207&lt;L492))+1,"")</f>
        <v/>
      </c>
      <c r="N492" s="17">
        <f>IF(K492=1,N('ORDENES'!$M488),0)</f>
        <v/>
      </c>
      <c r="O492" s="17">
        <f>IF('ORDENES'!$T488="preventiva",N492,0)</f>
        <v/>
      </c>
      <c r="P492" s="17">
        <f>IF('ORDENES'!$T488="correctiva",N492,0)</f>
        <v/>
      </c>
      <c r="Q492" s="3">
        <f>IF(AND(K492=1,'ORDENES'!$N488="Pendiente"),1,0)</f>
        <v/>
      </c>
      <c r="R492" s="3">
        <f>IF(Q492=1,100000-N492*1000+485*0.01,9000000000000+485)</f>
        <v/>
      </c>
      <c r="S492" s="3">
        <f>IF(Q492=1,SUMPRODUCT(--($R$8:$R$1207&lt;R492))+1,"")</f>
        <v/>
      </c>
      <c r="T492" s="12">
        <f>IF(K492=1,'ORDENES'!$J488,"")</f>
        <v/>
      </c>
    </row>
    <row r="493">
      <c r="K493" s="3">
        <f>IF(AND(IF($B$3="(todos)",TRUE,'ORDENES'!$O489=$B$3),IF($D$3="(todos)",TRUE,'ORDENES'!$AF489=$D$3),IF($F$3="(todos)",TRUE,'ORDENES'!$X489=$F$3),IF($H$3="(todos)",TRUE,'ORDENES'!$W489=$H$3),'ORDENES'!$AD489=TRUE,'ORDENES'!$A489&lt;&gt;""),1,0)</f>
        <v/>
      </c>
      <c r="L493" s="3">
        <f>IF(K493=1,IFERROR(MATCH('ORDENES'!$R489,lista_dias,0),9)*1000000000+IFERROR(MATCH('ORDENES'!$AF489,lista_turnos,0),9)*10000000+IFERROR(MATCH('ORDENES'!$AE489,tblTecnicos[nombre],0),99)*100000+486,9000000000000+486)</f>
        <v/>
      </c>
      <c r="M493" s="3">
        <f>IF(K493=1,SUMPRODUCT(--($L$8:$L$1207&lt;L493))+1,"")</f>
        <v/>
      </c>
      <c r="N493" s="17">
        <f>IF(K493=1,N('ORDENES'!$M489),0)</f>
        <v/>
      </c>
      <c r="O493" s="17">
        <f>IF('ORDENES'!$T489="preventiva",N493,0)</f>
        <v/>
      </c>
      <c r="P493" s="17">
        <f>IF('ORDENES'!$T489="correctiva",N493,0)</f>
        <v/>
      </c>
      <c r="Q493" s="3">
        <f>IF(AND(K493=1,'ORDENES'!$N489="Pendiente"),1,0)</f>
        <v/>
      </c>
      <c r="R493" s="3">
        <f>IF(Q493=1,100000-N493*1000+486*0.01,9000000000000+486)</f>
        <v/>
      </c>
      <c r="S493" s="3">
        <f>IF(Q493=1,SUMPRODUCT(--($R$8:$R$1207&lt;R493))+1,"")</f>
        <v/>
      </c>
      <c r="T493" s="12">
        <f>IF(K493=1,'ORDENES'!$J489,"")</f>
        <v/>
      </c>
    </row>
    <row r="494">
      <c r="K494" s="3">
        <f>IF(AND(IF($B$3="(todos)",TRUE,'ORDENES'!$O490=$B$3),IF($D$3="(todos)",TRUE,'ORDENES'!$AF490=$D$3),IF($F$3="(todos)",TRUE,'ORDENES'!$X490=$F$3),IF($H$3="(todos)",TRUE,'ORDENES'!$W490=$H$3),'ORDENES'!$AD490=TRUE,'ORDENES'!$A490&lt;&gt;""),1,0)</f>
        <v/>
      </c>
      <c r="L494" s="3">
        <f>IF(K494=1,IFERROR(MATCH('ORDENES'!$R490,lista_dias,0),9)*1000000000+IFERROR(MATCH('ORDENES'!$AF490,lista_turnos,0),9)*10000000+IFERROR(MATCH('ORDENES'!$AE490,tblTecnicos[nombre],0),99)*100000+487,9000000000000+487)</f>
        <v/>
      </c>
      <c r="M494" s="3">
        <f>IF(K494=1,SUMPRODUCT(--($L$8:$L$1207&lt;L494))+1,"")</f>
        <v/>
      </c>
      <c r="N494" s="17">
        <f>IF(K494=1,N('ORDENES'!$M490),0)</f>
        <v/>
      </c>
      <c r="O494" s="17">
        <f>IF('ORDENES'!$T490="preventiva",N494,0)</f>
        <v/>
      </c>
      <c r="P494" s="17">
        <f>IF('ORDENES'!$T490="correctiva",N494,0)</f>
        <v/>
      </c>
      <c r="Q494" s="3">
        <f>IF(AND(K494=1,'ORDENES'!$N490="Pendiente"),1,0)</f>
        <v/>
      </c>
      <c r="R494" s="3">
        <f>IF(Q494=1,100000-N494*1000+487*0.01,9000000000000+487)</f>
        <v/>
      </c>
      <c r="S494" s="3">
        <f>IF(Q494=1,SUMPRODUCT(--($R$8:$R$1207&lt;R494))+1,"")</f>
        <v/>
      </c>
      <c r="T494" s="12">
        <f>IF(K494=1,'ORDENES'!$J490,"")</f>
        <v/>
      </c>
    </row>
    <row r="495">
      <c r="K495" s="3">
        <f>IF(AND(IF($B$3="(todos)",TRUE,'ORDENES'!$O491=$B$3),IF($D$3="(todos)",TRUE,'ORDENES'!$AF491=$D$3),IF($F$3="(todos)",TRUE,'ORDENES'!$X491=$F$3),IF($H$3="(todos)",TRUE,'ORDENES'!$W491=$H$3),'ORDENES'!$AD491=TRUE,'ORDENES'!$A491&lt;&gt;""),1,0)</f>
        <v/>
      </c>
      <c r="L495" s="3">
        <f>IF(K495=1,IFERROR(MATCH('ORDENES'!$R491,lista_dias,0),9)*1000000000+IFERROR(MATCH('ORDENES'!$AF491,lista_turnos,0),9)*10000000+IFERROR(MATCH('ORDENES'!$AE491,tblTecnicos[nombre],0),99)*100000+488,9000000000000+488)</f>
        <v/>
      </c>
      <c r="M495" s="3">
        <f>IF(K495=1,SUMPRODUCT(--($L$8:$L$1207&lt;L495))+1,"")</f>
        <v/>
      </c>
      <c r="N495" s="17">
        <f>IF(K495=1,N('ORDENES'!$M491),0)</f>
        <v/>
      </c>
      <c r="O495" s="17">
        <f>IF('ORDENES'!$T491="preventiva",N495,0)</f>
        <v/>
      </c>
      <c r="P495" s="17">
        <f>IF('ORDENES'!$T491="correctiva",N495,0)</f>
        <v/>
      </c>
      <c r="Q495" s="3">
        <f>IF(AND(K495=1,'ORDENES'!$N491="Pendiente"),1,0)</f>
        <v/>
      </c>
      <c r="R495" s="3">
        <f>IF(Q495=1,100000-N495*1000+488*0.01,9000000000000+488)</f>
        <v/>
      </c>
      <c r="S495" s="3">
        <f>IF(Q495=1,SUMPRODUCT(--($R$8:$R$1207&lt;R495))+1,"")</f>
        <v/>
      </c>
      <c r="T495" s="12">
        <f>IF(K495=1,'ORDENES'!$J491,"")</f>
        <v/>
      </c>
    </row>
    <row r="496">
      <c r="K496" s="3">
        <f>IF(AND(IF($B$3="(todos)",TRUE,'ORDENES'!$O492=$B$3),IF($D$3="(todos)",TRUE,'ORDENES'!$AF492=$D$3),IF($F$3="(todos)",TRUE,'ORDENES'!$X492=$F$3),IF($H$3="(todos)",TRUE,'ORDENES'!$W492=$H$3),'ORDENES'!$AD492=TRUE,'ORDENES'!$A492&lt;&gt;""),1,0)</f>
        <v/>
      </c>
      <c r="L496" s="3">
        <f>IF(K496=1,IFERROR(MATCH('ORDENES'!$R492,lista_dias,0),9)*1000000000+IFERROR(MATCH('ORDENES'!$AF492,lista_turnos,0),9)*10000000+IFERROR(MATCH('ORDENES'!$AE492,tblTecnicos[nombre],0),99)*100000+489,9000000000000+489)</f>
        <v/>
      </c>
      <c r="M496" s="3">
        <f>IF(K496=1,SUMPRODUCT(--($L$8:$L$1207&lt;L496))+1,"")</f>
        <v/>
      </c>
      <c r="N496" s="17">
        <f>IF(K496=1,N('ORDENES'!$M492),0)</f>
        <v/>
      </c>
      <c r="O496" s="17">
        <f>IF('ORDENES'!$T492="preventiva",N496,0)</f>
        <v/>
      </c>
      <c r="P496" s="17">
        <f>IF('ORDENES'!$T492="correctiva",N496,0)</f>
        <v/>
      </c>
      <c r="Q496" s="3">
        <f>IF(AND(K496=1,'ORDENES'!$N492="Pendiente"),1,0)</f>
        <v/>
      </c>
      <c r="R496" s="3">
        <f>IF(Q496=1,100000-N496*1000+489*0.01,9000000000000+489)</f>
        <v/>
      </c>
      <c r="S496" s="3">
        <f>IF(Q496=1,SUMPRODUCT(--($R$8:$R$1207&lt;R496))+1,"")</f>
        <v/>
      </c>
      <c r="T496" s="12">
        <f>IF(K496=1,'ORDENES'!$J492,"")</f>
        <v/>
      </c>
    </row>
    <row r="497">
      <c r="K497" s="3">
        <f>IF(AND(IF($B$3="(todos)",TRUE,'ORDENES'!$O493=$B$3),IF($D$3="(todos)",TRUE,'ORDENES'!$AF493=$D$3),IF($F$3="(todos)",TRUE,'ORDENES'!$X493=$F$3),IF($H$3="(todos)",TRUE,'ORDENES'!$W493=$H$3),'ORDENES'!$AD493=TRUE,'ORDENES'!$A493&lt;&gt;""),1,0)</f>
        <v/>
      </c>
      <c r="L497" s="3">
        <f>IF(K497=1,IFERROR(MATCH('ORDENES'!$R493,lista_dias,0),9)*1000000000+IFERROR(MATCH('ORDENES'!$AF493,lista_turnos,0),9)*10000000+IFERROR(MATCH('ORDENES'!$AE493,tblTecnicos[nombre],0),99)*100000+490,9000000000000+490)</f>
        <v/>
      </c>
      <c r="M497" s="3">
        <f>IF(K497=1,SUMPRODUCT(--($L$8:$L$1207&lt;L497))+1,"")</f>
        <v/>
      </c>
      <c r="N497" s="17">
        <f>IF(K497=1,N('ORDENES'!$M493),0)</f>
        <v/>
      </c>
      <c r="O497" s="17">
        <f>IF('ORDENES'!$T493="preventiva",N497,0)</f>
        <v/>
      </c>
      <c r="P497" s="17">
        <f>IF('ORDENES'!$T493="correctiva",N497,0)</f>
        <v/>
      </c>
      <c r="Q497" s="3">
        <f>IF(AND(K497=1,'ORDENES'!$N493="Pendiente"),1,0)</f>
        <v/>
      </c>
      <c r="R497" s="3">
        <f>IF(Q497=1,100000-N497*1000+490*0.01,9000000000000+490)</f>
        <v/>
      </c>
      <c r="S497" s="3">
        <f>IF(Q497=1,SUMPRODUCT(--($R$8:$R$1207&lt;R497))+1,"")</f>
        <v/>
      </c>
      <c r="T497" s="12">
        <f>IF(K497=1,'ORDENES'!$J493,"")</f>
        <v/>
      </c>
    </row>
    <row r="498">
      <c r="K498" s="3">
        <f>IF(AND(IF($B$3="(todos)",TRUE,'ORDENES'!$O494=$B$3),IF($D$3="(todos)",TRUE,'ORDENES'!$AF494=$D$3),IF($F$3="(todos)",TRUE,'ORDENES'!$X494=$F$3),IF($H$3="(todos)",TRUE,'ORDENES'!$W494=$H$3),'ORDENES'!$AD494=TRUE,'ORDENES'!$A494&lt;&gt;""),1,0)</f>
        <v/>
      </c>
      <c r="L498" s="3">
        <f>IF(K498=1,IFERROR(MATCH('ORDENES'!$R494,lista_dias,0),9)*1000000000+IFERROR(MATCH('ORDENES'!$AF494,lista_turnos,0),9)*10000000+IFERROR(MATCH('ORDENES'!$AE494,tblTecnicos[nombre],0),99)*100000+491,9000000000000+491)</f>
        <v/>
      </c>
      <c r="M498" s="3">
        <f>IF(K498=1,SUMPRODUCT(--($L$8:$L$1207&lt;L498))+1,"")</f>
        <v/>
      </c>
      <c r="N498" s="17">
        <f>IF(K498=1,N('ORDENES'!$M494),0)</f>
        <v/>
      </c>
      <c r="O498" s="17">
        <f>IF('ORDENES'!$T494="preventiva",N498,0)</f>
        <v/>
      </c>
      <c r="P498" s="17">
        <f>IF('ORDENES'!$T494="correctiva",N498,0)</f>
        <v/>
      </c>
      <c r="Q498" s="3">
        <f>IF(AND(K498=1,'ORDENES'!$N494="Pendiente"),1,0)</f>
        <v/>
      </c>
      <c r="R498" s="3">
        <f>IF(Q498=1,100000-N498*1000+491*0.01,9000000000000+491)</f>
        <v/>
      </c>
      <c r="S498" s="3">
        <f>IF(Q498=1,SUMPRODUCT(--($R$8:$R$1207&lt;R498))+1,"")</f>
        <v/>
      </c>
      <c r="T498" s="12">
        <f>IF(K498=1,'ORDENES'!$J494,"")</f>
        <v/>
      </c>
    </row>
    <row r="499">
      <c r="K499" s="3">
        <f>IF(AND(IF($B$3="(todos)",TRUE,'ORDENES'!$O495=$B$3),IF($D$3="(todos)",TRUE,'ORDENES'!$AF495=$D$3),IF($F$3="(todos)",TRUE,'ORDENES'!$X495=$F$3),IF($H$3="(todos)",TRUE,'ORDENES'!$W495=$H$3),'ORDENES'!$AD495=TRUE,'ORDENES'!$A495&lt;&gt;""),1,0)</f>
        <v/>
      </c>
      <c r="L499" s="3">
        <f>IF(K499=1,IFERROR(MATCH('ORDENES'!$R495,lista_dias,0),9)*1000000000+IFERROR(MATCH('ORDENES'!$AF495,lista_turnos,0),9)*10000000+IFERROR(MATCH('ORDENES'!$AE495,tblTecnicos[nombre],0),99)*100000+492,9000000000000+492)</f>
        <v/>
      </c>
      <c r="M499" s="3">
        <f>IF(K499=1,SUMPRODUCT(--($L$8:$L$1207&lt;L499))+1,"")</f>
        <v/>
      </c>
      <c r="N499" s="17">
        <f>IF(K499=1,N('ORDENES'!$M495),0)</f>
        <v/>
      </c>
      <c r="O499" s="17">
        <f>IF('ORDENES'!$T495="preventiva",N499,0)</f>
        <v/>
      </c>
      <c r="P499" s="17">
        <f>IF('ORDENES'!$T495="correctiva",N499,0)</f>
        <v/>
      </c>
      <c r="Q499" s="3">
        <f>IF(AND(K499=1,'ORDENES'!$N495="Pendiente"),1,0)</f>
        <v/>
      </c>
      <c r="R499" s="3">
        <f>IF(Q499=1,100000-N499*1000+492*0.01,9000000000000+492)</f>
        <v/>
      </c>
      <c r="S499" s="3">
        <f>IF(Q499=1,SUMPRODUCT(--($R$8:$R$1207&lt;R499))+1,"")</f>
        <v/>
      </c>
      <c r="T499" s="12">
        <f>IF(K499=1,'ORDENES'!$J495,"")</f>
        <v/>
      </c>
    </row>
    <row r="500">
      <c r="K500" s="3">
        <f>IF(AND(IF($B$3="(todos)",TRUE,'ORDENES'!$O496=$B$3),IF($D$3="(todos)",TRUE,'ORDENES'!$AF496=$D$3),IF($F$3="(todos)",TRUE,'ORDENES'!$X496=$F$3),IF($H$3="(todos)",TRUE,'ORDENES'!$W496=$H$3),'ORDENES'!$AD496=TRUE,'ORDENES'!$A496&lt;&gt;""),1,0)</f>
        <v/>
      </c>
      <c r="L500" s="3">
        <f>IF(K500=1,IFERROR(MATCH('ORDENES'!$R496,lista_dias,0),9)*1000000000+IFERROR(MATCH('ORDENES'!$AF496,lista_turnos,0),9)*10000000+IFERROR(MATCH('ORDENES'!$AE496,tblTecnicos[nombre],0),99)*100000+493,9000000000000+493)</f>
        <v/>
      </c>
      <c r="M500" s="3">
        <f>IF(K500=1,SUMPRODUCT(--($L$8:$L$1207&lt;L500))+1,"")</f>
        <v/>
      </c>
      <c r="N500" s="17">
        <f>IF(K500=1,N('ORDENES'!$M496),0)</f>
        <v/>
      </c>
      <c r="O500" s="17">
        <f>IF('ORDENES'!$T496="preventiva",N500,0)</f>
        <v/>
      </c>
      <c r="P500" s="17">
        <f>IF('ORDENES'!$T496="correctiva",N500,0)</f>
        <v/>
      </c>
      <c r="Q500" s="3">
        <f>IF(AND(K500=1,'ORDENES'!$N496="Pendiente"),1,0)</f>
        <v/>
      </c>
      <c r="R500" s="3">
        <f>IF(Q500=1,100000-N500*1000+493*0.01,9000000000000+493)</f>
        <v/>
      </c>
      <c r="S500" s="3">
        <f>IF(Q500=1,SUMPRODUCT(--($R$8:$R$1207&lt;R500))+1,"")</f>
        <v/>
      </c>
      <c r="T500" s="12">
        <f>IF(K500=1,'ORDENES'!$J496,"")</f>
        <v/>
      </c>
    </row>
    <row r="501">
      <c r="K501" s="3">
        <f>IF(AND(IF($B$3="(todos)",TRUE,'ORDENES'!$O497=$B$3),IF($D$3="(todos)",TRUE,'ORDENES'!$AF497=$D$3),IF($F$3="(todos)",TRUE,'ORDENES'!$X497=$F$3),IF($H$3="(todos)",TRUE,'ORDENES'!$W497=$H$3),'ORDENES'!$AD497=TRUE,'ORDENES'!$A497&lt;&gt;""),1,0)</f>
        <v/>
      </c>
      <c r="L501" s="3">
        <f>IF(K501=1,IFERROR(MATCH('ORDENES'!$R497,lista_dias,0),9)*1000000000+IFERROR(MATCH('ORDENES'!$AF497,lista_turnos,0),9)*10000000+IFERROR(MATCH('ORDENES'!$AE497,tblTecnicos[nombre],0),99)*100000+494,9000000000000+494)</f>
        <v/>
      </c>
      <c r="M501" s="3">
        <f>IF(K501=1,SUMPRODUCT(--($L$8:$L$1207&lt;L501))+1,"")</f>
        <v/>
      </c>
      <c r="N501" s="17">
        <f>IF(K501=1,N('ORDENES'!$M497),0)</f>
        <v/>
      </c>
      <c r="O501" s="17">
        <f>IF('ORDENES'!$T497="preventiva",N501,0)</f>
        <v/>
      </c>
      <c r="P501" s="17">
        <f>IF('ORDENES'!$T497="correctiva",N501,0)</f>
        <v/>
      </c>
      <c r="Q501" s="3">
        <f>IF(AND(K501=1,'ORDENES'!$N497="Pendiente"),1,0)</f>
        <v/>
      </c>
      <c r="R501" s="3">
        <f>IF(Q501=1,100000-N501*1000+494*0.01,9000000000000+494)</f>
        <v/>
      </c>
      <c r="S501" s="3">
        <f>IF(Q501=1,SUMPRODUCT(--($R$8:$R$1207&lt;R501))+1,"")</f>
        <v/>
      </c>
      <c r="T501" s="12">
        <f>IF(K501=1,'ORDENES'!$J497,"")</f>
        <v/>
      </c>
    </row>
    <row r="502">
      <c r="K502" s="3">
        <f>IF(AND(IF($B$3="(todos)",TRUE,'ORDENES'!$O498=$B$3),IF($D$3="(todos)",TRUE,'ORDENES'!$AF498=$D$3),IF($F$3="(todos)",TRUE,'ORDENES'!$X498=$F$3),IF($H$3="(todos)",TRUE,'ORDENES'!$W498=$H$3),'ORDENES'!$AD498=TRUE,'ORDENES'!$A498&lt;&gt;""),1,0)</f>
        <v/>
      </c>
      <c r="L502" s="3">
        <f>IF(K502=1,IFERROR(MATCH('ORDENES'!$R498,lista_dias,0),9)*1000000000+IFERROR(MATCH('ORDENES'!$AF498,lista_turnos,0),9)*10000000+IFERROR(MATCH('ORDENES'!$AE498,tblTecnicos[nombre],0),99)*100000+495,9000000000000+495)</f>
        <v/>
      </c>
      <c r="M502" s="3">
        <f>IF(K502=1,SUMPRODUCT(--($L$8:$L$1207&lt;L502))+1,"")</f>
        <v/>
      </c>
      <c r="N502" s="17">
        <f>IF(K502=1,N('ORDENES'!$M498),0)</f>
        <v/>
      </c>
      <c r="O502" s="17">
        <f>IF('ORDENES'!$T498="preventiva",N502,0)</f>
        <v/>
      </c>
      <c r="P502" s="17">
        <f>IF('ORDENES'!$T498="correctiva",N502,0)</f>
        <v/>
      </c>
      <c r="Q502" s="3">
        <f>IF(AND(K502=1,'ORDENES'!$N498="Pendiente"),1,0)</f>
        <v/>
      </c>
      <c r="R502" s="3">
        <f>IF(Q502=1,100000-N502*1000+495*0.01,9000000000000+495)</f>
        <v/>
      </c>
      <c r="S502" s="3">
        <f>IF(Q502=1,SUMPRODUCT(--($R$8:$R$1207&lt;R502))+1,"")</f>
        <v/>
      </c>
      <c r="T502" s="12">
        <f>IF(K502=1,'ORDENES'!$J498,"")</f>
        <v/>
      </c>
    </row>
    <row r="503">
      <c r="K503" s="3">
        <f>IF(AND(IF($B$3="(todos)",TRUE,'ORDENES'!$O499=$B$3),IF($D$3="(todos)",TRUE,'ORDENES'!$AF499=$D$3),IF($F$3="(todos)",TRUE,'ORDENES'!$X499=$F$3),IF($H$3="(todos)",TRUE,'ORDENES'!$W499=$H$3),'ORDENES'!$AD499=TRUE,'ORDENES'!$A499&lt;&gt;""),1,0)</f>
        <v/>
      </c>
      <c r="L503" s="3">
        <f>IF(K503=1,IFERROR(MATCH('ORDENES'!$R499,lista_dias,0),9)*1000000000+IFERROR(MATCH('ORDENES'!$AF499,lista_turnos,0),9)*10000000+IFERROR(MATCH('ORDENES'!$AE499,tblTecnicos[nombre],0),99)*100000+496,9000000000000+496)</f>
        <v/>
      </c>
      <c r="M503" s="3">
        <f>IF(K503=1,SUMPRODUCT(--($L$8:$L$1207&lt;L503))+1,"")</f>
        <v/>
      </c>
      <c r="N503" s="17">
        <f>IF(K503=1,N('ORDENES'!$M499),0)</f>
        <v/>
      </c>
      <c r="O503" s="17">
        <f>IF('ORDENES'!$T499="preventiva",N503,0)</f>
        <v/>
      </c>
      <c r="P503" s="17">
        <f>IF('ORDENES'!$T499="correctiva",N503,0)</f>
        <v/>
      </c>
      <c r="Q503" s="3">
        <f>IF(AND(K503=1,'ORDENES'!$N499="Pendiente"),1,0)</f>
        <v/>
      </c>
      <c r="R503" s="3">
        <f>IF(Q503=1,100000-N503*1000+496*0.01,9000000000000+496)</f>
        <v/>
      </c>
      <c r="S503" s="3">
        <f>IF(Q503=1,SUMPRODUCT(--($R$8:$R$1207&lt;R503))+1,"")</f>
        <v/>
      </c>
      <c r="T503" s="12">
        <f>IF(K503=1,'ORDENES'!$J499,"")</f>
        <v/>
      </c>
    </row>
    <row r="504">
      <c r="K504" s="3">
        <f>IF(AND(IF($B$3="(todos)",TRUE,'ORDENES'!$O500=$B$3),IF($D$3="(todos)",TRUE,'ORDENES'!$AF500=$D$3),IF($F$3="(todos)",TRUE,'ORDENES'!$X500=$F$3),IF($H$3="(todos)",TRUE,'ORDENES'!$W500=$H$3),'ORDENES'!$AD500=TRUE,'ORDENES'!$A500&lt;&gt;""),1,0)</f>
        <v/>
      </c>
      <c r="L504" s="3">
        <f>IF(K504=1,IFERROR(MATCH('ORDENES'!$R500,lista_dias,0),9)*1000000000+IFERROR(MATCH('ORDENES'!$AF500,lista_turnos,0),9)*10000000+IFERROR(MATCH('ORDENES'!$AE500,tblTecnicos[nombre],0),99)*100000+497,9000000000000+497)</f>
        <v/>
      </c>
      <c r="M504" s="3">
        <f>IF(K504=1,SUMPRODUCT(--($L$8:$L$1207&lt;L504))+1,"")</f>
        <v/>
      </c>
      <c r="N504" s="17">
        <f>IF(K504=1,N('ORDENES'!$M500),0)</f>
        <v/>
      </c>
      <c r="O504" s="17">
        <f>IF('ORDENES'!$T500="preventiva",N504,0)</f>
        <v/>
      </c>
      <c r="P504" s="17">
        <f>IF('ORDENES'!$T500="correctiva",N504,0)</f>
        <v/>
      </c>
      <c r="Q504" s="3">
        <f>IF(AND(K504=1,'ORDENES'!$N500="Pendiente"),1,0)</f>
        <v/>
      </c>
      <c r="R504" s="3">
        <f>IF(Q504=1,100000-N504*1000+497*0.01,9000000000000+497)</f>
        <v/>
      </c>
      <c r="S504" s="3">
        <f>IF(Q504=1,SUMPRODUCT(--($R$8:$R$1207&lt;R504))+1,"")</f>
        <v/>
      </c>
      <c r="T504" s="12">
        <f>IF(K504=1,'ORDENES'!$J500,"")</f>
        <v/>
      </c>
    </row>
    <row r="505">
      <c r="K505" s="3">
        <f>IF(AND(IF($B$3="(todos)",TRUE,'ORDENES'!$O501=$B$3),IF($D$3="(todos)",TRUE,'ORDENES'!$AF501=$D$3),IF($F$3="(todos)",TRUE,'ORDENES'!$X501=$F$3),IF($H$3="(todos)",TRUE,'ORDENES'!$W501=$H$3),'ORDENES'!$AD501=TRUE,'ORDENES'!$A501&lt;&gt;""),1,0)</f>
        <v/>
      </c>
      <c r="L505" s="3">
        <f>IF(K505=1,IFERROR(MATCH('ORDENES'!$R501,lista_dias,0),9)*1000000000+IFERROR(MATCH('ORDENES'!$AF501,lista_turnos,0),9)*10000000+IFERROR(MATCH('ORDENES'!$AE501,tblTecnicos[nombre],0),99)*100000+498,9000000000000+498)</f>
        <v/>
      </c>
      <c r="M505" s="3">
        <f>IF(K505=1,SUMPRODUCT(--($L$8:$L$1207&lt;L505))+1,"")</f>
        <v/>
      </c>
      <c r="N505" s="17">
        <f>IF(K505=1,N('ORDENES'!$M501),0)</f>
        <v/>
      </c>
      <c r="O505" s="17">
        <f>IF('ORDENES'!$T501="preventiva",N505,0)</f>
        <v/>
      </c>
      <c r="P505" s="17">
        <f>IF('ORDENES'!$T501="correctiva",N505,0)</f>
        <v/>
      </c>
      <c r="Q505" s="3">
        <f>IF(AND(K505=1,'ORDENES'!$N501="Pendiente"),1,0)</f>
        <v/>
      </c>
      <c r="R505" s="3">
        <f>IF(Q505=1,100000-N505*1000+498*0.01,9000000000000+498)</f>
        <v/>
      </c>
      <c r="S505" s="3">
        <f>IF(Q505=1,SUMPRODUCT(--($R$8:$R$1207&lt;R505))+1,"")</f>
        <v/>
      </c>
      <c r="T505" s="12">
        <f>IF(K505=1,'ORDENES'!$J501,"")</f>
        <v/>
      </c>
    </row>
    <row r="506">
      <c r="K506" s="3">
        <f>IF(AND(IF($B$3="(todos)",TRUE,'ORDENES'!$O502=$B$3),IF($D$3="(todos)",TRUE,'ORDENES'!$AF502=$D$3),IF($F$3="(todos)",TRUE,'ORDENES'!$X502=$F$3),IF($H$3="(todos)",TRUE,'ORDENES'!$W502=$H$3),'ORDENES'!$AD502=TRUE,'ORDENES'!$A502&lt;&gt;""),1,0)</f>
        <v/>
      </c>
      <c r="L506" s="3">
        <f>IF(K506=1,IFERROR(MATCH('ORDENES'!$R502,lista_dias,0),9)*1000000000+IFERROR(MATCH('ORDENES'!$AF502,lista_turnos,0),9)*10000000+IFERROR(MATCH('ORDENES'!$AE502,tblTecnicos[nombre],0),99)*100000+499,9000000000000+499)</f>
        <v/>
      </c>
      <c r="M506" s="3">
        <f>IF(K506=1,SUMPRODUCT(--($L$8:$L$1207&lt;L506))+1,"")</f>
        <v/>
      </c>
      <c r="N506" s="17">
        <f>IF(K506=1,N('ORDENES'!$M502),0)</f>
        <v/>
      </c>
      <c r="O506" s="17">
        <f>IF('ORDENES'!$T502="preventiva",N506,0)</f>
        <v/>
      </c>
      <c r="P506" s="17">
        <f>IF('ORDENES'!$T502="correctiva",N506,0)</f>
        <v/>
      </c>
      <c r="Q506" s="3">
        <f>IF(AND(K506=1,'ORDENES'!$N502="Pendiente"),1,0)</f>
        <v/>
      </c>
      <c r="R506" s="3">
        <f>IF(Q506=1,100000-N506*1000+499*0.01,9000000000000+499)</f>
        <v/>
      </c>
      <c r="S506" s="3">
        <f>IF(Q506=1,SUMPRODUCT(--($R$8:$R$1207&lt;R506))+1,"")</f>
        <v/>
      </c>
      <c r="T506" s="12">
        <f>IF(K506=1,'ORDENES'!$J502,"")</f>
        <v/>
      </c>
    </row>
    <row r="507">
      <c r="K507" s="3">
        <f>IF(AND(IF($B$3="(todos)",TRUE,'ORDENES'!$O503=$B$3),IF($D$3="(todos)",TRUE,'ORDENES'!$AF503=$D$3),IF($F$3="(todos)",TRUE,'ORDENES'!$X503=$F$3),IF($H$3="(todos)",TRUE,'ORDENES'!$W503=$H$3),'ORDENES'!$AD503=TRUE,'ORDENES'!$A503&lt;&gt;""),1,0)</f>
        <v/>
      </c>
      <c r="L507" s="3">
        <f>IF(K507=1,IFERROR(MATCH('ORDENES'!$R503,lista_dias,0),9)*1000000000+IFERROR(MATCH('ORDENES'!$AF503,lista_turnos,0),9)*10000000+IFERROR(MATCH('ORDENES'!$AE503,tblTecnicos[nombre],0),99)*100000+500,9000000000000+500)</f>
        <v/>
      </c>
      <c r="M507" s="3">
        <f>IF(K507=1,SUMPRODUCT(--($L$8:$L$1207&lt;L507))+1,"")</f>
        <v/>
      </c>
      <c r="N507" s="17">
        <f>IF(K507=1,N('ORDENES'!$M503),0)</f>
        <v/>
      </c>
      <c r="O507" s="17">
        <f>IF('ORDENES'!$T503="preventiva",N507,0)</f>
        <v/>
      </c>
      <c r="P507" s="17">
        <f>IF('ORDENES'!$T503="correctiva",N507,0)</f>
        <v/>
      </c>
      <c r="Q507" s="3">
        <f>IF(AND(K507=1,'ORDENES'!$N503="Pendiente"),1,0)</f>
        <v/>
      </c>
      <c r="R507" s="3">
        <f>IF(Q507=1,100000-N507*1000+500*0.01,9000000000000+500)</f>
        <v/>
      </c>
      <c r="S507" s="3">
        <f>IF(Q507=1,SUMPRODUCT(--($R$8:$R$1207&lt;R507))+1,"")</f>
        <v/>
      </c>
      <c r="T507" s="12">
        <f>IF(K507=1,'ORDENES'!$J503,"")</f>
        <v/>
      </c>
    </row>
    <row r="508">
      <c r="K508" s="3">
        <f>IF(AND(IF($B$3="(todos)",TRUE,'ORDENES'!$O504=$B$3),IF($D$3="(todos)",TRUE,'ORDENES'!$AF504=$D$3),IF($F$3="(todos)",TRUE,'ORDENES'!$X504=$F$3),IF($H$3="(todos)",TRUE,'ORDENES'!$W504=$H$3),'ORDENES'!$AD504=TRUE,'ORDENES'!$A504&lt;&gt;""),1,0)</f>
        <v/>
      </c>
      <c r="L508" s="3">
        <f>IF(K508=1,IFERROR(MATCH('ORDENES'!$R504,lista_dias,0),9)*1000000000+IFERROR(MATCH('ORDENES'!$AF504,lista_turnos,0),9)*10000000+IFERROR(MATCH('ORDENES'!$AE504,tblTecnicos[nombre],0),99)*100000+501,9000000000000+501)</f>
        <v/>
      </c>
      <c r="M508" s="3">
        <f>IF(K508=1,SUMPRODUCT(--($L$8:$L$1207&lt;L508))+1,"")</f>
        <v/>
      </c>
      <c r="N508" s="17">
        <f>IF(K508=1,N('ORDENES'!$M504),0)</f>
        <v/>
      </c>
      <c r="O508" s="17">
        <f>IF('ORDENES'!$T504="preventiva",N508,0)</f>
        <v/>
      </c>
      <c r="P508" s="17">
        <f>IF('ORDENES'!$T504="correctiva",N508,0)</f>
        <v/>
      </c>
      <c r="Q508" s="3">
        <f>IF(AND(K508=1,'ORDENES'!$N504="Pendiente"),1,0)</f>
        <v/>
      </c>
      <c r="R508" s="3">
        <f>IF(Q508=1,100000-N508*1000+501*0.01,9000000000000+501)</f>
        <v/>
      </c>
      <c r="S508" s="3">
        <f>IF(Q508=1,SUMPRODUCT(--($R$8:$R$1207&lt;R508))+1,"")</f>
        <v/>
      </c>
      <c r="T508" s="12">
        <f>IF(K508=1,'ORDENES'!$J504,"")</f>
        <v/>
      </c>
    </row>
    <row r="509">
      <c r="K509" s="3">
        <f>IF(AND(IF($B$3="(todos)",TRUE,'ORDENES'!$O505=$B$3),IF($D$3="(todos)",TRUE,'ORDENES'!$AF505=$D$3),IF($F$3="(todos)",TRUE,'ORDENES'!$X505=$F$3),IF($H$3="(todos)",TRUE,'ORDENES'!$W505=$H$3),'ORDENES'!$AD505=TRUE,'ORDENES'!$A505&lt;&gt;""),1,0)</f>
        <v/>
      </c>
      <c r="L509" s="3">
        <f>IF(K509=1,IFERROR(MATCH('ORDENES'!$R505,lista_dias,0),9)*1000000000+IFERROR(MATCH('ORDENES'!$AF505,lista_turnos,0),9)*10000000+IFERROR(MATCH('ORDENES'!$AE505,tblTecnicos[nombre],0),99)*100000+502,9000000000000+502)</f>
        <v/>
      </c>
      <c r="M509" s="3">
        <f>IF(K509=1,SUMPRODUCT(--($L$8:$L$1207&lt;L509))+1,"")</f>
        <v/>
      </c>
      <c r="N509" s="17">
        <f>IF(K509=1,N('ORDENES'!$M505),0)</f>
        <v/>
      </c>
      <c r="O509" s="17">
        <f>IF('ORDENES'!$T505="preventiva",N509,0)</f>
        <v/>
      </c>
      <c r="P509" s="17">
        <f>IF('ORDENES'!$T505="correctiva",N509,0)</f>
        <v/>
      </c>
      <c r="Q509" s="3">
        <f>IF(AND(K509=1,'ORDENES'!$N505="Pendiente"),1,0)</f>
        <v/>
      </c>
      <c r="R509" s="3">
        <f>IF(Q509=1,100000-N509*1000+502*0.01,9000000000000+502)</f>
        <v/>
      </c>
      <c r="S509" s="3">
        <f>IF(Q509=1,SUMPRODUCT(--($R$8:$R$1207&lt;R509))+1,"")</f>
        <v/>
      </c>
      <c r="T509" s="12">
        <f>IF(K509=1,'ORDENES'!$J505,"")</f>
        <v/>
      </c>
    </row>
    <row r="510">
      <c r="K510" s="3">
        <f>IF(AND(IF($B$3="(todos)",TRUE,'ORDENES'!$O506=$B$3),IF($D$3="(todos)",TRUE,'ORDENES'!$AF506=$D$3),IF($F$3="(todos)",TRUE,'ORDENES'!$X506=$F$3),IF($H$3="(todos)",TRUE,'ORDENES'!$W506=$H$3),'ORDENES'!$AD506=TRUE,'ORDENES'!$A506&lt;&gt;""),1,0)</f>
        <v/>
      </c>
      <c r="L510" s="3">
        <f>IF(K510=1,IFERROR(MATCH('ORDENES'!$R506,lista_dias,0),9)*1000000000+IFERROR(MATCH('ORDENES'!$AF506,lista_turnos,0),9)*10000000+IFERROR(MATCH('ORDENES'!$AE506,tblTecnicos[nombre],0),99)*100000+503,9000000000000+503)</f>
        <v/>
      </c>
      <c r="M510" s="3">
        <f>IF(K510=1,SUMPRODUCT(--($L$8:$L$1207&lt;L510))+1,"")</f>
        <v/>
      </c>
      <c r="N510" s="17">
        <f>IF(K510=1,N('ORDENES'!$M506),0)</f>
        <v/>
      </c>
      <c r="O510" s="17">
        <f>IF('ORDENES'!$T506="preventiva",N510,0)</f>
        <v/>
      </c>
      <c r="P510" s="17">
        <f>IF('ORDENES'!$T506="correctiva",N510,0)</f>
        <v/>
      </c>
      <c r="Q510" s="3">
        <f>IF(AND(K510=1,'ORDENES'!$N506="Pendiente"),1,0)</f>
        <v/>
      </c>
      <c r="R510" s="3">
        <f>IF(Q510=1,100000-N510*1000+503*0.01,9000000000000+503)</f>
        <v/>
      </c>
      <c r="S510" s="3">
        <f>IF(Q510=1,SUMPRODUCT(--($R$8:$R$1207&lt;R510))+1,"")</f>
        <v/>
      </c>
      <c r="T510" s="12">
        <f>IF(K510=1,'ORDENES'!$J506,"")</f>
        <v/>
      </c>
    </row>
    <row r="511">
      <c r="K511" s="3">
        <f>IF(AND(IF($B$3="(todos)",TRUE,'ORDENES'!$O507=$B$3),IF($D$3="(todos)",TRUE,'ORDENES'!$AF507=$D$3),IF($F$3="(todos)",TRUE,'ORDENES'!$X507=$F$3),IF($H$3="(todos)",TRUE,'ORDENES'!$W507=$H$3),'ORDENES'!$AD507=TRUE,'ORDENES'!$A507&lt;&gt;""),1,0)</f>
        <v/>
      </c>
      <c r="L511" s="3">
        <f>IF(K511=1,IFERROR(MATCH('ORDENES'!$R507,lista_dias,0),9)*1000000000+IFERROR(MATCH('ORDENES'!$AF507,lista_turnos,0),9)*10000000+IFERROR(MATCH('ORDENES'!$AE507,tblTecnicos[nombre],0),99)*100000+504,9000000000000+504)</f>
        <v/>
      </c>
      <c r="M511" s="3">
        <f>IF(K511=1,SUMPRODUCT(--($L$8:$L$1207&lt;L511))+1,"")</f>
        <v/>
      </c>
      <c r="N511" s="17">
        <f>IF(K511=1,N('ORDENES'!$M507),0)</f>
        <v/>
      </c>
      <c r="O511" s="17">
        <f>IF('ORDENES'!$T507="preventiva",N511,0)</f>
        <v/>
      </c>
      <c r="P511" s="17">
        <f>IF('ORDENES'!$T507="correctiva",N511,0)</f>
        <v/>
      </c>
      <c r="Q511" s="3">
        <f>IF(AND(K511=1,'ORDENES'!$N507="Pendiente"),1,0)</f>
        <v/>
      </c>
      <c r="R511" s="3">
        <f>IF(Q511=1,100000-N511*1000+504*0.01,9000000000000+504)</f>
        <v/>
      </c>
      <c r="S511" s="3">
        <f>IF(Q511=1,SUMPRODUCT(--($R$8:$R$1207&lt;R511))+1,"")</f>
        <v/>
      </c>
      <c r="T511" s="12">
        <f>IF(K511=1,'ORDENES'!$J507,"")</f>
        <v/>
      </c>
    </row>
    <row r="512">
      <c r="K512" s="3">
        <f>IF(AND(IF($B$3="(todos)",TRUE,'ORDENES'!$O508=$B$3),IF($D$3="(todos)",TRUE,'ORDENES'!$AF508=$D$3),IF($F$3="(todos)",TRUE,'ORDENES'!$X508=$F$3),IF($H$3="(todos)",TRUE,'ORDENES'!$W508=$H$3),'ORDENES'!$AD508=TRUE,'ORDENES'!$A508&lt;&gt;""),1,0)</f>
        <v/>
      </c>
      <c r="L512" s="3">
        <f>IF(K512=1,IFERROR(MATCH('ORDENES'!$R508,lista_dias,0),9)*1000000000+IFERROR(MATCH('ORDENES'!$AF508,lista_turnos,0),9)*10000000+IFERROR(MATCH('ORDENES'!$AE508,tblTecnicos[nombre],0),99)*100000+505,9000000000000+505)</f>
        <v/>
      </c>
      <c r="M512" s="3">
        <f>IF(K512=1,SUMPRODUCT(--($L$8:$L$1207&lt;L512))+1,"")</f>
        <v/>
      </c>
      <c r="N512" s="17">
        <f>IF(K512=1,N('ORDENES'!$M508),0)</f>
        <v/>
      </c>
      <c r="O512" s="17">
        <f>IF('ORDENES'!$T508="preventiva",N512,0)</f>
        <v/>
      </c>
      <c r="P512" s="17">
        <f>IF('ORDENES'!$T508="correctiva",N512,0)</f>
        <v/>
      </c>
      <c r="Q512" s="3">
        <f>IF(AND(K512=1,'ORDENES'!$N508="Pendiente"),1,0)</f>
        <v/>
      </c>
      <c r="R512" s="3">
        <f>IF(Q512=1,100000-N512*1000+505*0.01,9000000000000+505)</f>
        <v/>
      </c>
      <c r="S512" s="3">
        <f>IF(Q512=1,SUMPRODUCT(--($R$8:$R$1207&lt;R512))+1,"")</f>
        <v/>
      </c>
      <c r="T512" s="12">
        <f>IF(K512=1,'ORDENES'!$J508,"")</f>
        <v/>
      </c>
    </row>
    <row r="513">
      <c r="K513" s="3">
        <f>IF(AND(IF($B$3="(todos)",TRUE,'ORDENES'!$O509=$B$3),IF($D$3="(todos)",TRUE,'ORDENES'!$AF509=$D$3),IF($F$3="(todos)",TRUE,'ORDENES'!$X509=$F$3),IF($H$3="(todos)",TRUE,'ORDENES'!$W509=$H$3),'ORDENES'!$AD509=TRUE,'ORDENES'!$A509&lt;&gt;""),1,0)</f>
        <v/>
      </c>
      <c r="L513" s="3">
        <f>IF(K513=1,IFERROR(MATCH('ORDENES'!$R509,lista_dias,0),9)*1000000000+IFERROR(MATCH('ORDENES'!$AF509,lista_turnos,0),9)*10000000+IFERROR(MATCH('ORDENES'!$AE509,tblTecnicos[nombre],0),99)*100000+506,9000000000000+506)</f>
        <v/>
      </c>
      <c r="M513" s="3">
        <f>IF(K513=1,SUMPRODUCT(--($L$8:$L$1207&lt;L513))+1,"")</f>
        <v/>
      </c>
      <c r="N513" s="17">
        <f>IF(K513=1,N('ORDENES'!$M509),0)</f>
        <v/>
      </c>
      <c r="O513" s="17">
        <f>IF('ORDENES'!$T509="preventiva",N513,0)</f>
        <v/>
      </c>
      <c r="P513" s="17">
        <f>IF('ORDENES'!$T509="correctiva",N513,0)</f>
        <v/>
      </c>
      <c r="Q513" s="3">
        <f>IF(AND(K513=1,'ORDENES'!$N509="Pendiente"),1,0)</f>
        <v/>
      </c>
      <c r="R513" s="3">
        <f>IF(Q513=1,100000-N513*1000+506*0.01,9000000000000+506)</f>
        <v/>
      </c>
      <c r="S513" s="3">
        <f>IF(Q513=1,SUMPRODUCT(--($R$8:$R$1207&lt;R513))+1,"")</f>
        <v/>
      </c>
      <c r="T513" s="12">
        <f>IF(K513=1,'ORDENES'!$J509,"")</f>
        <v/>
      </c>
    </row>
    <row r="514">
      <c r="K514" s="3">
        <f>IF(AND(IF($B$3="(todos)",TRUE,'ORDENES'!$O510=$B$3),IF($D$3="(todos)",TRUE,'ORDENES'!$AF510=$D$3),IF($F$3="(todos)",TRUE,'ORDENES'!$X510=$F$3),IF($H$3="(todos)",TRUE,'ORDENES'!$W510=$H$3),'ORDENES'!$AD510=TRUE,'ORDENES'!$A510&lt;&gt;""),1,0)</f>
        <v/>
      </c>
      <c r="L514" s="3">
        <f>IF(K514=1,IFERROR(MATCH('ORDENES'!$R510,lista_dias,0),9)*1000000000+IFERROR(MATCH('ORDENES'!$AF510,lista_turnos,0),9)*10000000+IFERROR(MATCH('ORDENES'!$AE510,tblTecnicos[nombre],0),99)*100000+507,9000000000000+507)</f>
        <v/>
      </c>
      <c r="M514" s="3">
        <f>IF(K514=1,SUMPRODUCT(--($L$8:$L$1207&lt;L514))+1,"")</f>
        <v/>
      </c>
      <c r="N514" s="17">
        <f>IF(K514=1,N('ORDENES'!$M510),0)</f>
        <v/>
      </c>
      <c r="O514" s="17">
        <f>IF('ORDENES'!$T510="preventiva",N514,0)</f>
        <v/>
      </c>
      <c r="P514" s="17">
        <f>IF('ORDENES'!$T510="correctiva",N514,0)</f>
        <v/>
      </c>
      <c r="Q514" s="3">
        <f>IF(AND(K514=1,'ORDENES'!$N510="Pendiente"),1,0)</f>
        <v/>
      </c>
      <c r="R514" s="3">
        <f>IF(Q514=1,100000-N514*1000+507*0.01,9000000000000+507)</f>
        <v/>
      </c>
      <c r="S514" s="3">
        <f>IF(Q514=1,SUMPRODUCT(--($R$8:$R$1207&lt;R514))+1,"")</f>
        <v/>
      </c>
      <c r="T514" s="12">
        <f>IF(K514=1,'ORDENES'!$J510,"")</f>
        <v/>
      </c>
    </row>
    <row r="515">
      <c r="K515" s="3">
        <f>IF(AND(IF($B$3="(todos)",TRUE,'ORDENES'!$O511=$B$3),IF($D$3="(todos)",TRUE,'ORDENES'!$AF511=$D$3),IF($F$3="(todos)",TRUE,'ORDENES'!$X511=$F$3),IF($H$3="(todos)",TRUE,'ORDENES'!$W511=$H$3),'ORDENES'!$AD511=TRUE,'ORDENES'!$A511&lt;&gt;""),1,0)</f>
        <v/>
      </c>
      <c r="L515" s="3">
        <f>IF(K515=1,IFERROR(MATCH('ORDENES'!$R511,lista_dias,0),9)*1000000000+IFERROR(MATCH('ORDENES'!$AF511,lista_turnos,0),9)*10000000+IFERROR(MATCH('ORDENES'!$AE511,tblTecnicos[nombre],0),99)*100000+508,9000000000000+508)</f>
        <v/>
      </c>
      <c r="M515" s="3">
        <f>IF(K515=1,SUMPRODUCT(--($L$8:$L$1207&lt;L515))+1,"")</f>
        <v/>
      </c>
      <c r="N515" s="17">
        <f>IF(K515=1,N('ORDENES'!$M511),0)</f>
        <v/>
      </c>
      <c r="O515" s="17">
        <f>IF('ORDENES'!$T511="preventiva",N515,0)</f>
        <v/>
      </c>
      <c r="P515" s="17">
        <f>IF('ORDENES'!$T511="correctiva",N515,0)</f>
        <v/>
      </c>
      <c r="Q515" s="3">
        <f>IF(AND(K515=1,'ORDENES'!$N511="Pendiente"),1,0)</f>
        <v/>
      </c>
      <c r="R515" s="3">
        <f>IF(Q515=1,100000-N515*1000+508*0.01,9000000000000+508)</f>
        <v/>
      </c>
      <c r="S515" s="3">
        <f>IF(Q515=1,SUMPRODUCT(--($R$8:$R$1207&lt;R515))+1,"")</f>
        <v/>
      </c>
      <c r="T515" s="12">
        <f>IF(K515=1,'ORDENES'!$J511,"")</f>
        <v/>
      </c>
    </row>
    <row r="516">
      <c r="K516" s="3">
        <f>IF(AND(IF($B$3="(todos)",TRUE,'ORDENES'!$O512=$B$3),IF($D$3="(todos)",TRUE,'ORDENES'!$AF512=$D$3),IF($F$3="(todos)",TRUE,'ORDENES'!$X512=$F$3),IF($H$3="(todos)",TRUE,'ORDENES'!$W512=$H$3),'ORDENES'!$AD512=TRUE,'ORDENES'!$A512&lt;&gt;""),1,0)</f>
        <v/>
      </c>
      <c r="L516" s="3">
        <f>IF(K516=1,IFERROR(MATCH('ORDENES'!$R512,lista_dias,0),9)*1000000000+IFERROR(MATCH('ORDENES'!$AF512,lista_turnos,0),9)*10000000+IFERROR(MATCH('ORDENES'!$AE512,tblTecnicos[nombre],0),99)*100000+509,9000000000000+509)</f>
        <v/>
      </c>
      <c r="M516" s="3">
        <f>IF(K516=1,SUMPRODUCT(--($L$8:$L$1207&lt;L516))+1,"")</f>
        <v/>
      </c>
      <c r="N516" s="17">
        <f>IF(K516=1,N('ORDENES'!$M512),0)</f>
        <v/>
      </c>
      <c r="O516" s="17">
        <f>IF('ORDENES'!$T512="preventiva",N516,0)</f>
        <v/>
      </c>
      <c r="P516" s="17">
        <f>IF('ORDENES'!$T512="correctiva",N516,0)</f>
        <v/>
      </c>
      <c r="Q516" s="3">
        <f>IF(AND(K516=1,'ORDENES'!$N512="Pendiente"),1,0)</f>
        <v/>
      </c>
      <c r="R516" s="3">
        <f>IF(Q516=1,100000-N516*1000+509*0.01,9000000000000+509)</f>
        <v/>
      </c>
      <c r="S516" s="3">
        <f>IF(Q516=1,SUMPRODUCT(--($R$8:$R$1207&lt;R516))+1,"")</f>
        <v/>
      </c>
      <c r="T516" s="12">
        <f>IF(K516=1,'ORDENES'!$J512,"")</f>
        <v/>
      </c>
    </row>
    <row r="517">
      <c r="K517" s="3">
        <f>IF(AND(IF($B$3="(todos)",TRUE,'ORDENES'!$O513=$B$3),IF($D$3="(todos)",TRUE,'ORDENES'!$AF513=$D$3),IF($F$3="(todos)",TRUE,'ORDENES'!$X513=$F$3),IF($H$3="(todos)",TRUE,'ORDENES'!$W513=$H$3),'ORDENES'!$AD513=TRUE,'ORDENES'!$A513&lt;&gt;""),1,0)</f>
        <v/>
      </c>
      <c r="L517" s="3">
        <f>IF(K517=1,IFERROR(MATCH('ORDENES'!$R513,lista_dias,0),9)*1000000000+IFERROR(MATCH('ORDENES'!$AF513,lista_turnos,0),9)*10000000+IFERROR(MATCH('ORDENES'!$AE513,tblTecnicos[nombre],0),99)*100000+510,9000000000000+510)</f>
        <v/>
      </c>
      <c r="M517" s="3">
        <f>IF(K517=1,SUMPRODUCT(--($L$8:$L$1207&lt;L517))+1,"")</f>
        <v/>
      </c>
      <c r="N517" s="17">
        <f>IF(K517=1,N('ORDENES'!$M513),0)</f>
        <v/>
      </c>
      <c r="O517" s="17">
        <f>IF('ORDENES'!$T513="preventiva",N517,0)</f>
        <v/>
      </c>
      <c r="P517" s="17">
        <f>IF('ORDENES'!$T513="correctiva",N517,0)</f>
        <v/>
      </c>
      <c r="Q517" s="3">
        <f>IF(AND(K517=1,'ORDENES'!$N513="Pendiente"),1,0)</f>
        <v/>
      </c>
      <c r="R517" s="3">
        <f>IF(Q517=1,100000-N517*1000+510*0.01,9000000000000+510)</f>
        <v/>
      </c>
      <c r="S517" s="3">
        <f>IF(Q517=1,SUMPRODUCT(--($R$8:$R$1207&lt;R517))+1,"")</f>
        <v/>
      </c>
      <c r="T517" s="12">
        <f>IF(K517=1,'ORDENES'!$J513,"")</f>
        <v/>
      </c>
    </row>
    <row r="518">
      <c r="K518" s="3">
        <f>IF(AND(IF($B$3="(todos)",TRUE,'ORDENES'!$O514=$B$3),IF($D$3="(todos)",TRUE,'ORDENES'!$AF514=$D$3),IF($F$3="(todos)",TRUE,'ORDENES'!$X514=$F$3),IF($H$3="(todos)",TRUE,'ORDENES'!$W514=$H$3),'ORDENES'!$AD514=TRUE,'ORDENES'!$A514&lt;&gt;""),1,0)</f>
        <v/>
      </c>
      <c r="L518" s="3">
        <f>IF(K518=1,IFERROR(MATCH('ORDENES'!$R514,lista_dias,0),9)*1000000000+IFERROR(MATCH('ORDENES'!$AF514,lista_turnos,0),9)*10000000+IFERROR(MATCH('ORDENES'!$AE514,tblTecnicos[nombre],0),99)*100000+511,9000000000000+511)</f>
        <v/>
      </c>
      <c r="M518" s="3">
        <f>IF(K518=1,SUMPRODUCT(--($L$8:$L$1207&lt;L518))+1,"")</f>
        <v/>
      </c>
      <c r="N518" s="17">
        <f>IF(K518=1,N('ORDENES'!$M514),0)</f>
        <v/>
      </c>
      <c r="O518" s="17">
        <f>IF('ORDENES'!$T514="preventiva",N518,0)</f>
        <v/>
      </c>
      <c r="P518" s="17">
        <f>IF('ORDENES'!$T514="correctiva",N518,0)</f>
        <v/>
      </c>
      <c r="Q518" s="3">
        <f>IF(AND(K518=1,'ORDENES'!$N514="Pendiente"),1,0)</f>
        <v/>
      </c>
      <c r="R518" s="3">
        <f>IF(Q518=1,100000-N518*1000+511*0.01,9000000000000+511)</f>
        <v/>
      </c>
      <c r="S518" s="3">
        <f>IF(Q518=1,SUMPRODUCT(--($R$8:$R$1207&lt;R518))+1,"")</f>
        <v/>
      </c>
      <c r="T518" s="12">
        <f>IF(K518=1,'ORDENES'!$J514,"")</f>
        <v/>
      </c>
    </row>
    <row r="519">
      <c r="K519" s="3">
        <f>IF(AND(IF($B$3="(todos)",TRUE,'ORDENES'!$O515=$B$3),IF($D$3="(todos)",TRUE,'ORDENES'!$AF515=$D$3),IF($F$3="(todos)",TRUE,'ORDENES'!$X515=$F$3),IF($H$3="(todos)",TRUE,'ORDENES'!$W515=$H$3),'ORDENES'!$AD515=TRUE,'ORDENES'!$A515&lt;&gt;""),1,0)</f>
        <v/>
      </c>
      <c r="L519" s="3">
        <f>IF(K519=1,IFERROR(MATCH('ORDENES'!$R515,lista_dias,0),9)*1000000000+IFERROR(MATCH('ORDENES'!$AF515,lista_turnos,0),9)*10000000+IFERROR(MATCH('ORDENES'!$AE515,tblTecnicos[nombre],0),99)*100000+512,9000000000000+512)</f>
        <v/>
      </c>
      <c r="M519" s="3">
        <f>IF(K519=1,SUMPRODUCT(--($L$8:$L$1207&lt;L519))+1,"")</f>
        <v/>
      </c>
      <c r="N519" s="17">
        <f>IF(K519=1,N('ORDENES'!$M515),0)</f>
        <v/>
      </c>
      <c r="O519" s="17">
        <f>IF('ORDENES'!$T515="preventiva",N519,0)</f>
        <v/>
      </c>
      <c r="P519" s="17">
        <f>IF('ORDENES'!$T515="correctiva",N519,0)</f>
        <v/>
      </c>
      <c r="Q519" s="3">
        <f>IF(AND(K519=1,'ORDENES'!$N515="Pendiente"),1,0)</f>
        <v/>
      </c>
      <c r="R519" s="3">
        <f>IF(Q519=1,100000-N519*1000+512*0.01,9000000000000+512)</f>
        <v/>
      </c>
      <c r="S519" s="3">
        <f>IF(Q519=1,SUMPRODUCT(--($R$8:$R$1207&lt;R519))+1,"")</f>
        <v/>
      </c>
      <c r="T519" s="12">
        <f>IF(K519=1,'ORDENES'!$J515,"")</f>
        <v/>
      </c>
    </row>
    <row r="520">
      <c r="K520" s="3">
        <f>IF(AND(IF($B$3="(todos)",TRUE,'ORDENES'!$O516=$B$3),IF($D$3="(todos)",TRUE,'ORDENES'!$AF516=$D$3),IF($F$3="(todos)",TRUE,'ORDENES'!$X516=$F$3),IF($H$3="(todos)",TRUE,'ORDENES'!$W516=$H$3),'ORDENES'!$AD516=TRUE,'ORDENES'!$A516&lt;&gt;""),1,0)</f>
        <v/>
      </c>
      <c r="L520" s="3">
        <f>IF(K520=1,IFERROR(MATCH('ORDENES'!$R516,lista_dias,0),9)*1000000000+IFERROR(MATCH('ORDENES'!$AF516,lista_turnos,0),9)*10000000+IFERROR(MATCH('ORDENES'!$AE516,tblTecnicos[nombre],0),99)*100000+513,9000000000000+513)</f>
        <v/>
      </c>
      <c r="M520" s="3">
        <f>IF(K520=1,SUMPRODUCT(--($L$8:$L$1207&lt;L520))+1,"")</f>
        <v/>
      </c>
      <c r="N520" s="17">
        <f>IF(K520=1,N('ORDENES'!$M516),0)</f>
        <v/>
      </c>
      <c r="O520" s="17">
        <f>IF('ORDENES'!$T516="preventiva",N520,0)</f>
        <v/>
      </c>
      <c r="P520" s="17">
        <f>IF('ORDENES'!$T516="correctiva",N520,0)</f>
        <v/>
      </c>
      <c r="Q520" s="3">
        <f>IF(AND(K520=1,'ORDENES'!$N516="Pendiente"),1,0)</f>
        <v/>
      </c>
      <c r="R520" s="3">
        <f>IF(Q520=1,100000-N520*1000+513*0.01,9000000000000+513)</f>
        <v/>
      </c>
      <c r="S520" s="3">
        <f>IF(Q520=1,SUMPRODUCT(--($R$8:$R$1207&lt;R520))+1,"")</f>
        <v/>
      </c>
      <c r="T520" s="12">
        <f>IF(K520=1,'ORDENES'!$J516,"")</f>
        <v/>
      </c>
    </row>
    <row r="521">
      <c r="K521" s="3">
        <f>IF(AND(IF($B$3="(todos)",TRUE,'ORDENES'!$O517=$B$3),IF($D$3="(todos)",TRUE,'ORDENES'!$AF517=$D$3),IF($F$3="(todos)",TRUE,'ORDENES'!$X517=$F$3),IF($H$3="(todos)",TRUE,'ORDENES'!$W517=$H$3),'ORDENES'!$AD517=TRUE,'ORDENES'!$A517&lt;&gt;""),1,0)</f>
        <v/>
      </c>
      <c r="L521" s="3">
        <f>IF(K521=1,IFERROR(MATCH('ORDENES'!$R517,lista_dias,0),9)*1000000000+IFERROR(MATCH('ORDENES'!$AF517,lista_turnos,0),9)*10000000+IFERROR(MATCH('ORDENES'!$AE517,tblTecnicos[nombre],0),99)*100000+514,9000000000000+514)</f>
        <v/>
      </c>
      <c r="M521" s="3">
        <f>IF(K521=1,SUMPRODUCT(--($L$8:$L$1207&lt;L521))+1,"")</f>
        <v/>
      </c>
      <c r="N521" s="17">
        <f>IF(K521=1,N('ORDENES'!$M517),0)</f>
        <v/>
      </c>
      <c r="O521" s="17">
        <f>IF('ORDENES'!$T517="preventiva",N521,0)</f>
        <v/>
      </c>
      <c r="P521" s="17">
        <f>IF('ORDENES'!$T517="correctiva",N521,0)</f>
        <v/>
      </c>
      <c r="Q521" s="3">
        <f>IF(AND(K521=1,'ORDENES'!$N517="Pendiente"),1,0)</f>
        <v/>
      </c>
      <c r="R521" s="3">
        <f>IF(Q521=1,100000-N521*1000+514*0.01,9000000000000+514)</f>
        <v/>
      </c>
      <c r="S521" s="3">
        <f>IF(Q521=1,SUMPRODUCT(--($R$8:$R$1207&lt;R521))+1,"")</f>
        <v/>
      </c>
      <c r="T521" s="12">
        <f>IF(K521=1,'ORDENES'!$J517,"")</f>
        <v/>
      </c>
    </row>
    <row r="522">
      <c r="K522" s="3">
        <f>IF(AND(IF($B$3="(todos)",TRUE,'ORDENES'!$O518=$B$3),IF($D$3="(todos)",TRUE,'ORDENES'!$AF518=$D$3),IF($F$3="(todos)",TRUE,'ORDENES'!$X518=$F$3),IF($H$3="(todos)",TRUE,'ORDENES'!$W518=$H$3),'ORDENES'!$AD518=TRUE,'ORDENES'!$A518&lt;&gt;""),1,0)</f>
        <v/>
      </c>
      <c r="L522" s="3">
        <f>IF(K522=1,IFERROR(MATCH('ORDENES'!$R518,lista_dias,0),9)*1000000000+IFERROR(MATCH('ORDENES'!$AF518,lista_turnos,0),9)*10000000+IFERROR(MATCH('ORDENES'!$AE518,tblTecnicos[nombre],0),99)*100000+515,9000000000000+515)</f>
        <v/>
      </c>
      <c r="M522" s="3">
        <f>IF(K522=1,SUMPRODUCT(--($L$8:$L$1207&lt;L522))+1,"")</f>
        <v/>
      </c>
      <c r="N522" s="17">
        <f>IF(K522=1,N('ORDENES'!$M518),0)</f>
        <v/>
      </c>
      <c r="O522" s="17">
        <f>IF('ORDENES'!$T518="preventiva",N522,0)</f>
        <v/>
      </c>
      <c r="P522" s="17">
        <f>IF('ORDENES'!$T518="correctiva",N522,0)</f>
        <v/>
      </c>
      <c r="Q522" s="3">
        <f>IF(AND(K522=1,'ORDENES'!$N518="Pendiente"),1,0)</f>
        <v/>
      </c>
      <c r="R522" s="3">
        <f>IF(Q522=1,100000-N522*1000+515*0.01,9000000000000+515)</f>
        <v/>
      </c>
      <c r="S522" s="3">
        <f>IF(Q522=1,SUMPRODUCT(--($R$8:$R$1207&lt;R522))+1,"")</f>
        <v/>
      </c>
      <c r="T522" s="12">
        <f>IF(K522=1,'ORDENES'!$J518,"")</f>
        <v/>
      </c>
    </row>
    <row r="523">
      <c r="K523" s="3">
        <f>IF(AND(IF($B$3="(todos)",TRUE,'ORDENES'!$O519=$B$3),IF($D$3="(todos)",TRUE,'ORDENES'!$AF519=$D$3),IF($F$3="(todos)",TRUE,'ORDENES'!$X519=$F$3),IF($H$3="(todos)",TRUE,'ORDENES'!$W519=$H$3),'ORDENES'!$AD519=TRUE,'ORDENES'!$A519&lt;&gt;""),1,0)</f>
        <v/>
      </c>
      <c r="L523" s="3">
        <f>IF(K523=1,IFERROR(MATCH('ORDENES'!$R519,lista_dias,0),9)*1000000000+IFERROR(MATCH('ORDENES'!$AF519,lista_turnos,0),9)*10000000+IFERROR(MATCH('ORDENES'!$AE519,tblTecnicos[nombre],0),99)*100000+516,9000000000000+516)</f>
        <v/>
      </c>
      <c r="M523" s="3">
        <f>IF(K523=1,SUMPRODUCT(--($L$8:$L$1207&lt;L523))+1,"")</f>
        <v/>
      </c>
      <c r="N523" s="17">
        <f>IF(K523=1,N('ORDENES'!$M519),0)</f>
        <v/>
      </c>
      <c r="O523" s="17">
        <f>IF('ORDENES'!$T519="preventiva",N523,0)</f>
        <v/>
      </c>
      <c r="P523" s="17">
        <f>IF('ORDENES'!$T519="correctiva",N523,0)</f>
        <v/>
      </c>
      <c r="Q523" s="3">
        <f>IF(AND(K523=1,'ORDENES'!$N519="Pendiente"),1,0)</f>
        <v/>
      </c>
      <c r="R523" s="3">
        <f>IF(Q523=1,100000-N523*1000+516*0.01,9000000000000+516)</f>
        <v/>
      </c>
      <c r="S523" s="3">
        <f>IF(Q523=1,SUMPRODUCT(--($R$8:$R$1207&lt;R523))+1,"")</f>
        <v/>
      </c>
      <c r="T523" s="12">
        <f>IF(K523=1,'ORDENES'!$J519,"")</f>
        <v/>
      </c>
    </row>
    <row r="524">
      <c r="K524" s="3">
        <f>IF(AND(IF($B$3="(todos)",TRUE,'ORDENES'!$O520=$B$3),IF($D$3="(todos)",TRUE,'ORDENES'!$AF520=$D$3),IF($F$3="(todos)",TRUE,'ORDENES'!$X520=$F$3),IF($H$3="(todos)",TRUE,'ORDENES'!$W520=$H$3),'ORDENES'!$AD520=TRUE,'ORDENES'!$A520&lt;&gt;""),1,0)</f>
        <v/>
      </c>
      <c r="L524" s="3">
        <f>IF(K524=1,IFERROR(MATCH('ORDENES'!$R520,lista_dias,0),9)*1000000000+IFERROR(MATCH('ORDENES'!$AF520,lista_turnos,0),9)*10000000+IFERROR(MATCH('ORDENES'!$AE520,tblTecnicos[nombre],0),99)*100000+517,9000000000000+517)</f>
        <v/>
      </c>
      <c r="M524" s="3">
        <f>IF(K524=1,SUMPRODUCT(--($L$8:$L$1207&lt;L524))+1,"")</f>
        <v/>
      </c>
      <c r="N524" s="17">
        <f>IF(K524=1,N('ORDENES'!$M520),0)</f>
        <v/>
      </c>
      <c r="O524" s="17">
        <f>IF('ORDENES'!$T520="preventiva",N524,0)</f>
        <v/>
      </c>
      <c r="P524" s="17">
        <f>IF('ORDENES'!$T520="correctiva",N524,0)</f>
        <v/>
      </c>
      <c r="Q524" s="3">
        <f>IF(AND(K524=1,'ORDENES'!$N520="Pendiente"),1,0)</f>
        <v/>
      </c>
      <c r="R524" s="3">
        <f>IF(Q524=1,100000-N524*1000+517*0.01,9000000000000+517)</f>
        <v/>
      </c>
      <c r="S524" s="3">
        <f>IF(Q524=1,SUMPRODUCT(--($R$8:$R$1207&lt;R524))+1,"")</f>
        <v/>
      </c>
      <c r="T524" s="12">
        <f>IF(K524=1,'ORDENES'!$J520,"")</f>
        <v/>
      </c>
    </row>
    <row r="525">
      <c r="K525" s="3">
        <f>IF(AND(IF($B$3="(todos)",TRUE,'ORDENES'!$O521=$B$3),IF($D$3="(todos)",TRUE,'ORDENES'!$AF521=$D$3),IF($F$3="(todos)",TRUE,'ORDENES'!$X521=$F$3),IF($H$3="(todos)",TRUE,'ORDENES'!$W521=$H$3),'ORDENES'!$AD521=TRUE,'ORDENES'!$A521&lt;&gt;""),1,0)</f>
        <v/>
      </c>
      <c r="L525" s="3">
        <f>IF(K525=1,IFERROR(MATCH('ORDENES'!$R521,lista_dias,0),9)*1000000000+IFERROR(MATCH('ORDENES'!$AF521,lista_turnos,0),9)*10000000+IFERROR(MATCH('ORDENES'!$AE521,tblTecnicos[nombre],0),99)*100000+518,9000000000000+518)</f>
        <v/>
      </c>
      <c r="M525" s="3">
        <f>IF(K525=1,SUMPRODUCT(--($L$8:$L$1207&lt;L525))+1,"")</f>
        <v/>
      </c>
      <c r="N525" s="17">
        <f>IF(K525=1,N('ORDENES'!$M521),0)</f>
        <v/>
      </c>
      <c r="O525" s="17">
        <f>IF('ORDENES'!$T521="preventiva",N525,0)</f>
        <v/>
      </c>
      <c r="P525" s="17">
        <f>IF('ORDENES'!$T521="correctiva",N525,0)</f>
        <v/>
      </c>
      <c r="Q525" s="3">
        <f>IF(AND(K525=1,'ORDENES'!$N521="Pendiente"),1,0)</f>
        <v/>
      </c>
      <c r="R525" s="3">
        <f>IF(Q525=1,100000-N525*1000+518*0.01,9000000000000+518)</f>
        <v/>
      </c>
      <c r="S525" s="3">
        <f>IF(Q525=1,SUMPRODUCT(--($R$8:$R$1207&lt;R525))+1,"")</f>
        <v/>
      </c>
      <c r="T525" s="12">
        <f>IF(K525=1,'ORDENES'!$J521,"")</f>
        <v/>
      </c>
    </row>
    <row r="526">
      <c r="K526" s="3">
        <f>IF(AND(IF($B$3="(todos)",TRUE,'ORDENES'!$O522=$B$3),IF($D$3="(todos)",TRUE,'ORDENES'!$AF522=$D$3),IF($F$3="(todos)",TRUE,'ORDENES'!$X522=$F$3),IF($H$3="(todos)",TRUE,'ORDENES'!$W522=$H$3),'ORDENES'!$AD522=TRUE,'ORDENES'!$A522&lt;&gt;""),1,0)</f>
        <v/>
      </c>
      <c r="L526" s="3">
        <f>IF(K526=1,IFERROR(MATCH('ORDENES'!$R522,lista_dias,0),9)*1000000000+IFERROR(MATCH('ORDENES'!$AF522,lista_turnos,0),9)*10000000+IFERROR(MATCH('ORDENES'!$AE522,tblTecnicos[nombre],0),99)*100000+519,9000000000000+519)</f>
        <v/>
      </c>
      <c r="M526" s="3">
        <f>IF(K526=1,SUMPRODUCT(--($L$8:$L$1207&lt;L526))+1,"")</f>
        <v/>
      </c>
      <c r="N526" s="17">
        <f>IF(K526=1,N('ORDENES'!$M522),0)</f>
        <v/>
      </c>
      <c r="O526" s="17">
        <f>IF('ORDENES'!$T522="preventiva",N526,0)</f>
        <v/>
      </c>
      <c r="P526" s="17">
        <f>IF('ORDENES'!$T522="correctiva",N526,0)</f>
        <v/>
      </c>
      <c r="Q526" s="3">
        <f>IF(AND(K526=1,'ORDENES'!$N522="Pendiente"),1,0)</f>
        <v/>
      </c>
      <c r="R526" s="3">
        <f>IF(Q526=1,100000-N526*1000+519*0.01,9000000000000+519)</f>
        <v/>
      </c>
      <c r="S526" s="3">
        <f>IF(Q526=1,SUMPRODUCT(--($R$8:$R$1207&lt;R526))+1,"")</f>
        <v/>
      </c>
      <c r="T526" s="12">
        <f>IF(K526=1,'ORDENES'!$J522,"")</f>
        <v/>
      </c>
    </row>
    <row r="527">
      <c r="K527" s="3">
        <f>IF(AND(IF($B$3="(todos)",TRUE,'ORDENES'!$O523=$B$3),IF($D$3="(todos)",TRUE,'ORDENES'!$AF523=$D$3),IF($F$3="(todos)",TRUE,'ORDENES'!$X523=$F$3),IF($H$3="(todos)",TRUE,'ORDENES'!$W523=$H$3),'ORDENES'!$AD523=TRUE,'ORDENES'!$A523&lt;&gt;""),1,0)</f>
        <v/>
      </c>
      <c r="L527" s="3">
        <f>IF(K527=1,IFERROR(MATCH('ORDENES'!$R523,lista_dias,0),9)*1000000000+IFERROR(MATCH('ORDENES'!$AF523,lista_turnos,0),9)*10000000+IFERROR(MATCH('ORDENES'!$AE523,tblTecnicos[nombre],0),99)*100000+520,9000000000000+520)</f>
        <v/>
      </c>
      <c r="M527" s="3">
        <f>IF(K527=1,SUMPRODUCT(--($L$8:$L$1207&lt;L527))+1,"")</f>
        <v/>
      </c>
      <c r="N527" s="17">
        <f>IF(K527=1,N('ORDENES'!$M523),0)</f>
        <v/>
      </c>
      <c r="O527" s="17">
        <f>IF('ORDENES'!$T523="preventiva",N527,0)</f>
        <v/>
      </c>
      <c r="P527" s="17">
        <f>IF('ORDENES'!$T523="correctiva",N527,0)</f>
        <v/>
      </c>
      <c r="Q527" s="3">
        <f>IF(AND(K527=1,'ORDENES'!$N523="Pendiente"),1,0)</f>
        <v/>
      </c>
      <c r="R527" s="3">
        <f>IF(Q527=1,100000-N527*1000+520*0.01,9000000000000+520)</f>
        <v/>
      </c>
      <c r="S527" s="3">
        <f>IF(Q527=1,SUMPRODUCT(--($R$8:$R$1207&lt;R527))+1,"")</f>
        <v/>
      </c>
      <c r="T527" s="12">
        <f>IF(K527=1,'ORDENES'!$J523,"")</f>
        <v/>
      </c>
    </row>
    <row r="528">
      <c r="K528" s="3">
        <f>IF(AND(IF($B$3="(todos)",TRUE,'ORDENES'!$O524=$B$3),IF($D$3="(todos)",TRUE,'ORDENES'!$AF524=$D$3),IF($F$3="(todos)",TRUE,'ORDENES'!$X524=$F$3),IF($H$3="(todos)",TRUE,'ORDENES'!$W524=$H$3),'ORDENES'!$AD524=TRUE,'ORDENES'!$A524&lt;&gt;""),1,0)</f>
        <v/>
      </c>
      <c r="L528" s="3">
        <f>IF(K528=1,IFERROR(MATCH('ORDENES'!$R524,lista_dias,0),9)*1000000000+IFERROR(MATCH('ORDENES'!$AF524,lista_turnos,0),9)*10000000+IFERROR(MATCH('ORDENES'!$AE524,tblTecnicos[nombre],0),99)*100000+521,9000000000000+521)</f>
        <v/>
      </c>
      <c r="M528" s="3">
        <f>IF(K528=1,SUMPRODUCT(--($L$8:$L$1207&lt;L528))+1,"")</f>
        <v/>
      </c>
      <c r="N528" s="17">
        <f>IF(K528=1,N('ORDENES'!$M524),0)</f>
        <v/>
      </c>
      <c r="O528" s="17">
        <f>IF('ORDENES'!$T524="preventiva",N528,0)</f>
        <v/>
      </c>
      <c r="P528" s="17">
        <f>IF('ORDENES'!$T524="correctiva",N528,0)</f>
        <v/>
      </c>
      <c r="Q528" s="3">
        <f>IF(AND(K528=1,'ORDENES'!$N524="Pendiente"),1,0)</f>
        <v/>
      </c>
      <c r="R528" s="3">
        <f>IF(Q528=1,100000-N528*1000+521*0.01,9000000000000+521)</f>
        <v/>
      </c>
      <c r="S528" s="3">
        <f>IF(Q528=1,SUMPRODUCT(--($R$8:$R$1207&lt;R528))+1,"")</f>
        <v/>
      </c>
      <c r="T528" s="12">
        <f>IF(K528=1,'ORDENES'!$J524,"")</f>
        <v/>
      </c>
    </row>
    <row r="529">
      <c r="K529" s="3">
        <f>IF(AND(IF($B$3="(todos)",TRUE,'ORDENES'!$O525=$B$3),IF($D$3="(todos)",TRUE,'ORDENES'!$AF525=$D$3),IF($F$3="(todos)",TRUE,'ORDENES'!$X525=$F$3),IF($H$3="(todos)",TRUE,'ORDENES'!$W525=$H$3),'ORDENES'!$AD525=TRUE,'ORDENES'!$A525&lt;&gt;""),1,0)</f>
        <v/>
      </c>
      <c r="L529" s="3">
        <f>IF(K529=1,IFERROR(MATCH('ORDENES'!$R525,lista_dias,0),9)*1000000000+IFERROR(MATCH('ORDENES'!$AF525,lista_turnos,0),9)*10000000+IFERROR(MATCH('ORDENES'!$AE525,tblTecnicos[nombre],0),99)*100000+522,9000000000000+522)</f>
        <v/>
      </c>
      <c r="M529" s="3">
        <f>IF(K529=1,SUMPRODUCT(--($L$8:$L$1207&lt;L529))+1,"")</f>
        <v/>
      </c>
      <c r="N529" s="17">
        <f>IF(K529=1,N('ORDENES'!$M525),0)</f>
        <v/>
      </c>
      <c r="O529" s="17">
        <f>IF('ORDENES'!$T525="preventiva",N529,0)</f>
        <v/>
      </c>
      <c r="P529" s="17">
        <f>IF('ORDENES'!$T525="correctiva",N529,0)</f>
        <v/>
      </c>
      <c r="Q529" s="3">
        <f>IF(AND(K529=1,'ORDENES'!$N525="Pendiente"),1,0)</f>
        <v/>
      </c>
      <c r="R529" s="3">
        <f>IF(Q529=1,100000-N529*1000+522*0.01,9000000000000+522)</f>
        <v/>
      </c>
      <c r="S529" s="3">
        <f>IF(Q529=1,SUMPRODUCT(--($R$8:$R$1207&lt;R529))+1,"")</f>
        <v/>
      </c>
      <c r="T529" s="12">
        <f>IF(K529=1,'ORDENES'!$J525,"")</f>
        <v/>
      </c>
    </row>
    <row r="530">
      <c r="K530" s="3">
        <f>IF(AND(IF($B$3="(todos)",TRUE,'ORDENES'!$O526=$B$3),IF($D$3="(todos)",TRUE,'ORDENES'!$AF526=$D$3),IF($F$3="(todos)",TRUE,'ORDENES'!$X526=$F$3),IF($H$3="(todos)",TRUE,'ORDENES'!$W526=$H$3),'ORDENES'!$AD526=TRUE,'ORDENES'!$A526&lt;&gt;""),1,0)</f>
        <v/>
      </c>
      <c r="L530" s="3">
        <f>IF(K530=1,IFERROR(MATCH('ORDENES'!$R526,lista_dias,0),9)*1000000000+IFERROR(MATCH('ORDENES'!$AF526,lista_turnos,0),9)*10000000+IFERROR(MATCH('ORDENES'!$AE526,tblTecnicos[nombre],0),99)*100000+523,9000000000000+523)</f>
        <v/>
      </c>
      <c r="M530" s="3">
        <f>IF(K530=1,SUMPRODUCT(--($L$8:$L$1207&lt;L530))+1,"")</f>
        <v/>
      </c>
      <c r="N530" s="17">
        <f>IF(K530=1,N('ORDENES'!$M526),0)</f>
        <v/>
      </c>
      <c r="O530" s="17">
        <f>IF('ORDENES'!$T526="preventiva",N530,0)</f>
        <v/>
      </c>
      <c r="P530" s="17">
        <f>IF('ORDENES'!$T526="correctiva",N530,0)</f>
        <v/>
      </c>
      <c r="Q530" s="3">
        <f>IF(AND(K530=1,'ORDENES'!$N526="Pendiente"),1,0)</f>
        <v/>
      </c>
      <c r="R530" s="3">
        <f>IF(Q530=1,100000-N530*1000+523*0.01,9000000000000+523)</f>
        <v/>
      </c>
      <c r="S530" s="3">
        <f>IF(Q530=1,SUMPRODUCT(--($R$8:$R$1207&lt;R530))+1,"")</f>
        <v/>
      </c>
      <c r="T530" s="12">
        <f>IF(K530=1,'ORDENES'!$J526,"")</f>
        <v/>
      </c>
    </row>
    <row r="531">
      <c r="K531" s="3">
        <f>IF(AND(IF($B$3="(todos)",TRUE,'ORDENES'!$O527=$B$3),IF($D$3="(todos)",TRUE,'ORDENES'!$AF527=$D$3),IF($F$3="(todos)",TRUE,'ORDENES'!$X527=$F$3),IF($H$3="(todos)",TRUE,'ORDENES'!$W527=$H$3),'ORDENES'!$AD527=TRUE,'ORDENES'!$A527&lt;&gt;""),1,0)</f>
        <v/>
      </c>
      <c r="L531" s="3">
        <f>IF(K531=1,IFERROR(MATCH('ORDENES'!$R527,lista_dias,0),9)*1000000000+IFERROR(MATCH('ORDENES'!$AF527,lista_turnos,0),9)*10000000+IFERROR(MATCH('ORDENES'!$AE527,tblTecnicos[nombre],0),99)*100000+524,9000000000000+524)</f>
        <v/>
      </c>
      <c r="M531" s="3">
        <f>IF(K531=1,SUMPRODUCT(--($L$8:$L$1207&lt;L531))+1,"")</f>
        <v/>
      </c>
      <c r="N531" s="17">
        <f>IF(K531=1,N('ORDENES'!$M527),0)</f>
        <v/>
      </c>
      <c r="O531" s="17">
        <f>IF('ORDENES'!$T527="preventiva",N531,0)</f>
        <v/>
      </c>
      <c r="P531" s="17">
        <f>IF('ORDENES'!$T527="correctiva",N531,0)</f>
        <v/>
      </c>
      <c r="Q531" s="3">
        <f>IF(AND(K531=1,'ORDENES'!$N527="Pendiente"),1,0)</f>
        <v/>
      </c>
      <c r="R531" s="3">
        <f>IF(Q531=1,100000-N531*1000+524*0.01,9000000000000+524)</f>
        <v/>
      </c>
      <c r="S531" s="3">
        <f>IF(Q531=1,SUMPRODUCT(--($R$8:$R$1207&lt;R531))+1,"")</f>
        <v/>
      </c>
      <c r="T531" s="12">
        <f>IF(K531=1,'ORDENES'!$J527,"")</f>
        <v/>
      </c>
    </row>
    <row r="532">
      <c r="K532" s="3">
        <f>IF(AND(IF($B$3="(todos)",TRUE,'ORDENES'!$O528=$B$3),IF($D$3="(todos)",TRUE,'ORDENES'!$AF528=$D$3),IF($F$3="(todos)",TRUE,'ORDENES'!$X528=$F$3),IF($H$3="(todos)",TRUE,'ORDENES'!$W528=$H$3),'ORDENES'!$AD528=TRUE,'ORDENES'!$A528&lt;&gt;""),1,0)</f>
        <v/>
      </c>
      <c r="L532" s="3">
        <f>IF(K532=1,IFERROR(MATCH('ORDENES'!$R528,lista_dias,0),9)*1000000000+IFERROR(MATCH('ORDENES'!$AF528,lista_turnos,0),9)*10000000+IFERROR(MATCH('ORDENES'!$AE528,tblTecnicos[nombre],0),99)*100000+525,9000000000000+525)</f>
        <v/>
      </c>
      <c r="M532" s="3">
        <f>IF(K532=1,SUMPRODUCT(--($L$8:$L$1207&lt;L532))+1,"")</f>
        <v/>
      </c>
      <c r="N532" s="17">
        <f>IF(K532=1,N('ORDENES'!$M528),0)</f>
        <v/>
      </c>
      <c r="O532" s="17">
        <f>IF('ORDENES'!$T528="preventiva",N532,0)</f>
        <v/>
      </c>
      <c r="P532" s="17">
        <f>IF('ORDENES'!$T528="correctiva",N532,0)</f>
        <v/>
      </c>
      <c r="Q532" s="3">
        <f>IF(AND(K532=1,'ORDENES'!$N528="Pendiente"),1,0)</f>
        <v/>
      </c>
      <c r="R532" s="3">
        <f>IF(Q532=1,100000-N532*1000+525*0.01,9000000000000+525)</f>
        <v/>
      </c>
      <c r="S532" s="3">
        <f>IF(Q532=1,SUMPRODUCT(--($R$8:$R$1207&lt;R532))+1,"")</f>
        <v/>
      </c>
      <c r="T532" s="12">
        <f>IF(K532=1,'ORDENES'!$J528,"")</f>
        <v/>
      </c>
    </row>
    <row r="533">
      <c r="K533" s="3">
        <f>IF(AND(IF($B$3="(todos)",TRUE,'ORDENES'!$O529=$B$3),IF($D$3="(todos)",TRUE,'ORDENES'!$AF529=$D$3),IF($F$3="(todos)",TRUE,'ORDENES'!$X529=$F$3),IF($H$3="(todos)",TRUE,'ORDENES'!$W529=$H$3),'ORDENES'!$AD529=TRUE,'ORDENES'!$A529&lt;&gt;""),1,0)</f>
        <v/>
      </c>
      <c r="L533" s="3">
        <f>IF(K533=1,IFERROR(MATCH('ORDENES'!$R529,lista_dias,0),9)*1000000000+IFERROR(MATCH('ORDENES'!$AF529,lista_turnos,0),9)*10000000+IFERROR(MATCH('ORDENES'!$AE529,tblTecnicos[nombre],0),99)*100000+526,9000000000000+526)</f>
        <v/>
      </c>
      <c r="M533" s="3">
        <f>IF(K533=1,SUMPRODUCT(--($L$8:$L$1207&lt;L533))+1,"")</f>
        <v/>
      </c>
      <c r="N533" s="17">
        <f>IF(K533=1,N('ORDENES'!$M529),0)</f>
        <v/>
      </c>
      <c r="O533" s="17">
        <f>IF('ORDENES'!$T529="preventiva",N533,0)</f>
        <v/>
      </c>
      <c r="P533" s="17">
        <f>IF('ORDENES'!$T529="correctiva",N533,0)</f>
        <v/>
      </c>
      <c r="Q533" s="3">
        <f>IF(AND(K533=1,'ORDENES'!$N529="Pendiente"),1,0)</f>
        <v/>
      </c>
      <c r="R533" s="3">
        <f>IF(Q533=1,100000-N533*1000+526*0.01,9000000000000+526)</f>
        <v/>
      </c>
      <c r="S533" s="3">
        <f>IF(Q533=1,SUMPRODUCT(--($R$8:$R$1207&lt;R533))+1,"")</f>
        <v/>
      </c>
      <c r="T533" s="12">
        <f>IF(K533=1,'ORDENES'!$J529,"")</f>
        <v/>
      </c>
    </row>
    <row r="534">
      <c r="K534" s="3">
        <f>IF(AND(IF($B$3="(todos)",TRUE,'ORDENES'!$O530=$B$3),IF($D$3="(todos)",TRUE,'ORDENES'!$AF530=$D$3),IF($F$3="(todos)",TRUE,'ORDENES'!$X530=$F$3),IF($H$3="(todos)",TRUE,'ORDENES'!$W530=$H$3),'ORDENES'!$AD530=TRUE,'ORDENES'!$A530&lt;&gt;""),1,0)</f>
        <v/>
      </c>
      <c r="L534" s="3">
        <f>IF(K534=1,IFERROR(MATCH('ORDENES'!$R530,lista_dias,0),9)*1000000000+IFERROR(MATCH('ORDENES'!$AF530,lista_turnos,0),9)*10000000+IFERROR(MATCH('ORDENES'!$AE530,tblTecnicos[nombre],0),99)*100000+527,9000000000000+527)</f>
        <v/>
      </c>
      <c r="M534" s="3">
        <f>IF(K534=1,SUMPRODUCT(--($L$8:$L$1207&lt;L534))+1,"")</f>
        <v/>
      </c>
      <c r="N534" s="17">
        <f>IF(K534=1,N('ORDENES'!$M530),0)</f>
        <v/>
      </c>
      <c r="O534" s="17">
        <f>IF('ORDENES'!$T530="preventiva",N534,0)</f>
        <v/>
      </c>
      <c r="P534" s="17">
        <f>IF('ORDENES'!$T530="correctiva",N534,0)</f>
        <v/>
      </c>
      <c r="Q534" s="3">
        <f>IF(AND(K534=1,'ORDENES'!$N530="Pendiente"),1,0)</f>
        <v/>
      </c>
      <c r="R534" s="3">
        <f>IF(Q534=1,100000-N534*1000+527*0.01,9000000000000+527)</f>
        <v/>
      </c>
      <c r="S534" s="3">
        <f>IF(Q534=1,SUMPRODUCT(--($R$8:$R$1207&lt;R534))+1,"")</f>
        <v/>
      </c>
      <c r="T534" s="12">
        <f>IF(K534=1,'ORDENES'!$J530,"")</f>
        <v/>
      </c>
    </row>
    <row r="535">
      <c r="K535" s="3">
        <f>IF(AND(IF($B$3="(todos)",TRUE,'ORDENES'!$O531=$B$3),IF($D$3="(todos)",TRUE,'ORDENES'!$AF531=$D$3),IF($F$3="(todos)",TRUE,'ORDENES'!$X531=$F$3),IF($H$3="(todos)",TRUE,'ORDENES'!$W531=$H$3),'ORDENES'!$AD531=TRUE,'ORDENES'!$A531&lt;&gt;""),1,0)</f>
        <v/>
      </c>
      <c r="L535" s="3">
        <f>IF(K535=1,IFERROR(MATCH('ORDENES'!$R531,lista_dias,0),9)*1000000000+IFERROR(MATCH('ORDENES'!$AF531,lista_turnos,0),9)*10000000+IFERROR(MATCH('ORDENES'!$AE531,tblTecnicos[nombre],0),99)*100000+528,9000000000000+528)</f>
        <v/>
      </c>
      <c r="M535" s="3">
        <f>IF(K535=1,SUMPRODUCT(--($L$8:$L$1207&lt;L535))+1,"")</f>
        <v/>
      </c>
      <c r="N535" s="17">
        <f>IF(K535=1,N('ORDENES'!$M531),0)</f>
        <v/>
      </c>
      <c r="O535" s="17">
        <f>IF('ORDENES'!$T531="preventiva",N535,0)</f>
        <v/>
      </c>
      <c r="P535" s="17">
        <f>IF('ORDENES'!$T531="correctiva",N535,0)</f>
        <v/>
      </c>
      <c r="Q535" s="3">
        <f>IF(AND(K535=1,'ORDENES'!$N531="Pendiente"),1,0)</f>
        <v/>
      </c>
      <c r="R535" s="3">
        <f>IF(Q535=1,100000-N535*1000+528*0.01,9000000000000+528)</f>
        <v/>
      </c>
      <c r="S535" s="3">
        <f>IF(Q535=1,SUMPRODUCT(--($R$8:$R$1207&lt;R535))+1,"")</f>
        <v/>
      </c>
      <c r="T535" s="12">
        <f>IF(K535=1,'ORDENES'!$J531,"")</f>
        <v/>
      </c>
    </row>
    <row r="536">
      <c r="K536" s="3">
        <f>IF(AND(IF($B$3="(todos)",TRUE,'ORDENES'!$O532=$B$3),IF($D$3="(todos)",TRUE,'ORDENES'!$AF532=$D$3),IF($F$3="(todos)",TRUE,'ORDENES'!$X532=$F$3),IF($H$3="(todos)",TRUE,'ORDENES'!$W532=$H$3),'ORDENES'!$AD532=TRUE,'ORDENES'!$A532&lt;&gt;""),1,0)</f>
        <v/>
      </c>
      <c r="L536" s="3">
        <f>IF(K536=1,IFERROR(MATCH('ORDENES'!$R532,lista_dias,0),9)*1000000000+IFERROR(MATCH('ORDENES'!$AF532,lista_turnos,0),9)*10000000+IFERROR(MATCH('ORDENES'!$AE532,tblTecnicos[nombre],0),99)*100000+529,9000000000000+529)</f>
        <v/>
      </c>
      <c r="M536" s="3">
        <f>IF(K536=1,SUMPRODUCT(--($L$8:$L$1207&lt;L536))+1,"")</f>
        <v/>
      </c>
      <c r="N536" s="17">
        <f>IF(K536=1,N('ORDENES'!$M532),0)</f>
        <v/>
      </c>
      <c r="O536" s="17">
        <f>IF('ORDENES'!$T532="preventiva",N536,0)</f>
        <v/>
      </c>
      <c r="P536" s="17">
        <f>IF('ORDENES'!$T532="correctiva",N536,0)</f>
        <v/>
      </c>
      <c r="Q536" s="3">
        <f>IF(AND(K536=1,'ORDENES'!$N532="Pendiente"),1,0)</f>
        <v/>
      </c>
      <c r="R536" s="3">
        <f>IF(Q536=1,100000-N536*1000+529*0.01,9000000000000+529)</f>
        <v/>
      </c>
      <c r="S536" s="3">
        <f>IF(Q536=1,SUMPRODUCT(--($R$8:$R$1207&lt;R536))+1,"")</f>
        <v/>
      </c>
      <c r="T536" s="12">
        <f>IF(K536=1,'ORDENES'!$J532,"")</f>
        <v/>
      </c>
    </row>
    <row r="537">
      <c r="K537" s="3">
        <f>IF(AND(IF($B$3="(todos)",TRUE,'ORDENES'!$O533=$B$3),IF($D$3="(todos)",TRUE,'ORDENES'!$AF533=$D$3),IF($F$3="(todos)",TRUE,'ORDENES'!$X533=$F$3),IF($H$3="(todos)",TRUE,'ORDENES'!$W533=$H$3),'ORDENES'!$AD533=TRUE,'ORDENES'!$A533&lt;&gt;""),1,0)</f>
        <v/>
      </c>
      <c r="L537" s="3">
        <f>IF(K537=1,IFERROR(MATCH('ORDENES'!$R533,lista_dias,0),9)*1000000000+IFERROR(MATCH('ORDENES'!$AF533,lista_turnos,0),9)*10000000+IFERROR(MATCH('ORDENES'!$AE533,tblTecnicos[nombre],0),99)*100000+530,9000000000000+530)</f>
        <v/>
      </c>
      <c r="M537" s="3">
        <f>IF(K537=1,SUMPRODUCT(--($L$8:$L$1207&lt;L537))+1,"")</f>
        <v/>
      </c>
      <c r="N537" s="17">
        <f>IF(K537=1,N('ORDENES'!$M533),0)</f>
        <v/>
      </c>
      <c r="O537" s="17">
        <f>IF('ORDENES'!$T533="preventiva",N537,0)</f>
        <v/>
      </c>
      <c r="P537" s="17">
        <f>IF('ORDENES'!$T533="correctiva",N537,0)</f>
        <v/>
      </c>
      <c r="Q537" s="3">
        <f>IF(AND(K537=1,'ORDENES'!$N533="Pendiente"),1,0)</f>
        <v/>
      </c>
      <c r="R537" s="3">
        <f>IF(Q537=1,100000-N537*1000+530*0.01,9000000000000+530)</f>
        <v/>
      </c>
      <c r="S537" s="3">
        <f>IF(Q537=1,SUMPRODUCT(--($R$8:$R$1207&lt;R537))+1,"")</f>
        <v/>
      </c>
      <c r="T537" s="12">
        <f>IF(K537=1,'ORDENES'!$J533,"")</f>
        <v/>
      </c>
    </row>
    <row r="538">
      <c r="K538" s="3">
        <f>IF(AND(IF($B$3="(todos)",TRUE,'ORDENES'!$O534=$B$3),IF($D$3="(todos)",TRUE,'ORDENES'!$AF534=$D$3),IF($F$3="(todos)",TRUE,'ORDENES'!$X534=$F$3),IF($H$3="(todos)",TRUE,'ORDENES'!$W534=$H$3),'ORDENES'!$AD534=TRUE,'ORDENES'!$A534&lt;&gt;""),1,0)</f>
        <v/>
      </c>
      <c r="L538" s="3">
        <f>IF(K538=1,IFERROR(MATCH('ORDENES'!$R534,lista_dias,0),9)*1000000000+IFERROR(MATCH('ORDENES'!$AF534,lista_turnos,0),9)*10000000+IFERROR(MATCH('ORDENES'!$AE534,tblTecnicos[nombre],0),99)*100000+531,9000000000000+531)</f>
        <v/>
      </c>
      <c r="M538" s="3">
        <f>IF(K538=1,SUMPRODUCT(--($L$8:$L$1207&lt;L538))+1,"")</f>
        <v/>
      </c>
      <c r="N538" s="17">
        <f>IF(K538=1,N('ORDENES'!$M534),0)</f>
        <v/>
      </c>
      <c r="O538" s="17">
        <f>IF('ORDENES'!$T534="preventiva",N538,0)</f>
        <v/>
      </c>
      <c r="P538" s="17">
        <f>IF('ORDENES'!$T534="correctiva",N538,0)</f>
        <v/>
      </c>
      <c r="Q538" s="3">
        <f>IF(AND(K538=1,'ORDENES'!$N534="Pendiente"),1,0)</f>
        <v/>
      </c>
      <c r="R538" s="3">
        <f>IF(Q538=1,100000-N538*1000+531*0.01,9000000000000+531)</f>
        <v/>
      </c>
      <c r="S538" s="3">
        <f>IF(Q538=1,SUMPRODUCT(--($R$8:$R$1207&lt;R538))+1,"")</f>
        <v/>
      </c>
      <c r="T538" s="12">
        <f>IF(K538=1,'ORDENES'!$J534,"")</f>
        <v/>
      </c>
    </row>
    <row r="539">
      <c r="K539" s="3">
        <f>IF(AND(IF($B$3="(todos)",TRUE,'ORDENES'!$O535=$B$3),IF($D$3="(todos)",TRUE,'ORDENES'!$AF535=$D$3),IF($F$3="(todos)",TRUE,'ORDENES'!$X535=$F$3),IF($H$3="(todos)",TRUE,'ORDENES'!$W535=$H$3),'ORDENES'!$AD535=TRUE,'ORDENES'!$A535&lt;&gt;""),1,0)</f>
        <v/>
      </c>
      <c r="L539" s="3">
        <f>IF(K539=1,IFERROR(MATCH('ORDENES'!$R535,lista_dias,0),9)*1000000000+IFERROR(MATCH('ORDENES'!$AF535,lista_turnos,0),9)*10000000+IFERROR(MATCH('ORDENES'!$AE535,tblTecnicos[nombre],0),99)*100000+532,9000000000000+532)</f>
        <v/>
      </c>
      <c r="M539" s="3">
        <f>IF(K539=1,SUMPRODUCT(--($L$8:$L$1207&lt;L539))+1,"")</f>
        <v/>
      </c>
      <c r="N539" s="17">
        <f>IF(K539=1,N('ORDENES'!$M535),0)</f>
        <v/>
      </c>
      <c r="O539" s="17">
        <f>IF('ORDENES'!$T535="preventiva",N539,0)</f>
        <v/>
      </c>
      <c r="P539" s="17">
        <f>IF('ORDENES'!$T535="correctiva",N539,0)</f>
        <v/>
      </c>
      <c r="Q539" s="3">
        <f>IF(AND(K539=1,'ORDENES'!$N535="Pendiente"),1,0)</f>
        <v/>
      </c>
      <c r="R539" s="3">
        <f>IF(Q539=1,100000-N539*1000+532*0.01,9000000000000+532)</f>
        <v/>
      </c>
      <c r="S539" s="3">
        <f>IF(Q539=1,SUMPRODUCT(--($R$8:$R$1207&lt;R539))+1,"")</f>
        <v/>
      </c>
      <c r="T539" s="12">
        <f>IF(K539=1,'ORDENES'!$J535,"")</f>
        <v/>
      </c>
    </row>
    <row r="540">
      <c r="K540" s="3">
        <f>IF(AND(IF($B$3="(todos)",TRUE,'ORDENES'!$O536=$B$3),IF($D$3="(todos)",TRUE,'ORDENES'!$AF536=$D$3),IF($F$3="(todos)",TRUE,'ORDENES'!$X536=$F$3),IF($H$3="(todos)",TRUE,'ORDENES'!$W536=$H$3),'ORDENES'!$AD536=TRUE,'ORDENES'!$A536&lt;&gt;""),1,0)</f>
        <v/>
      </c>
      <c r="L540" s="3">
        <f>IF(K540=1,IFERROR(MATCH('ORDENES'!$R536,lista_dias,0),9)*1000000000+IFERROR(MATCH('ORDENES'!$AF536,lista_turnos,0),9)*10000000+IFERROR(MATCH('ORDENES'!$AE536,tblTecnicos[nombre],0),99)*100000+533,9000000000000+533)</f>
        <v/>
      </c>
      <c r="M540" s="3">
        <f>IF(K540=1,SUMPRODUCT(--($L$8:$L$1207&lt;L540))+1,"")</f>
        <v/>
      </c>
      <c r="N540" s="17">
        <f>IF(K540=1,N('ORDENES'!$M536),0)</f>
        <v/>
      </c>
      <c r="O540" s="17">
        <f>IF('ORDENES'!$T536="preventiva",N540,0)</f>
        <v/>
      </c>
      <c r="P540" s="17">
        <f>IF('ORDENES'!$T536="correctiva",N540,0)</f>
        <v/>
      </c>
      <c r="Q540" s="3">
        <f>IF(AND(K540=1,'ORDENES'!$N536="Pendiente"),1,0)</f>
        <v/>
      </c>
      <c r="R540" s="3">
        <f>IF(Q540=1,100000-N540*1000+533*0.01,9000000000000+533)</f>
        <v/>
      </c>
      <c r="S540" s="3">
        <f>IF(Q540=1,SUMPRODUCT(--($R$8:$R$1207&lt;R540))+1,"")</f>
        <v/>
      </c>
      <c r="T540" s="12">
        <f>IF(K540=1,'ORDENES'!$J536,"")</f>
        <v/>
      </c>
    </row>
    <row r="541">
      <c r="K541" s="3">
        <f>IF(AND(IF($B$3="(todos)",TRUE,'ORDENES'!$O537=$B$3),IF($D$3="(todos)",TRUE,'ORDENES'!$AF537=$D$3),IF($F$3="(todos)",TRUE,'ORDENES'!$X537=$F$3),IF($H$3="(todos)",TRUE,'ORDENES'!$W537=$H$3),'ORDENES'!$AD537=TRUE,'ORDENES'!$A537&lt;&gt;""),1,0)</f>
        <v/>
      </c>
      <c r="L541" s="3">
        <f>IF(K541=1,IFERROR(MATCH('ORDENES'!$R537,lista_dias,0),9)*1000000000+IFERROR(MATCH('ORDENES'!$AF537,lista_turnos,0),9)*10000000+IFERROR(MATCH('ORDENES'!$AE537,tblTecnicos[nombre],0),99)*100000+534,9000000000000+534)</f>
        <v/>
      </c>
      <c r="M541" s="3">
        <f>IF(K541=1,SUMPRODUCT(--($L$8:$L$1207&lt;L541))+1,"")</f>
        <v/>
      </c>
      <c r="N541" s="17">
        <f>IF(K541=1,N('ORDENES'!$M537),0)</f>
        <v/>
      </c>
      <c r="O541" s="17">
        <f>IF('ORDENES'!$T537="preventiva",N541,0)</f>
        <v/>
      </c>
      <c r="P541" s="17">
        <f>IF('ORDENES'!$T537="correctiva",N541,0)</f>
        <v/>
      </c>
      <c r="Q541" s="3">
        <f>IF(AND(K541=1,'ORDENES'!$N537="Pendiente"),1,0)</f>
        <v/>
      </c>
      <c r="R541" s="3">
        <f>IF(Q541=1,100000-N541*1000+534*0.01,9000000000000+534)</f>
        <v/>
      </c>
      <c r="S541" s="3">
        <f>IF(Q541=1,SUMPRODUCT(--($R$8:$R$1207&lt;R541))+1,"")</f>
        <v/>
      </c>
      <c r="T541" s="12">
        <f>IF(K541=1,'ORDENES'!$J537,"")</f>
        <v/>
      </c>
    </row>
    <row r="542">
      <c r="K542" s="3">
        <f>IF(AND(IF($B$3="(todos)",TRUE,'ORDENES'!$O538=$B$3),IF($D$3="(todos)",TRUE,'ORDENES'!$AF538=$D$3),IF($F$3="(todos)",TRUE,'ORDENES'!$X538=$F$3),IF($H$3="(todos)",TRUE,'ORDENES'!$W538=$H$3),'ORDENES'!$AD538=TRUE,'ORDENES'!$A538&lt;&gt;""),1,0)</f>
        <v/>
      </c>
      <c r="L542" s="3">
        <f>IF(K542=1,IFERROR(MATCH('ORDENES'!$R538,lista_dias,0),9)*1000000000+IFERROR(MATCH('ORDENES'!$AF538,lista_turnos,0),9)*10000000+IFERROR(MATCH('ORDENES'!$AE538,tblTecnicos[nombre],0),99)*100000+535,9000000000000+535)</f>
        <v/>
      </c>
      <c r="M542" s="3">
        <f>IF(K542=1,SUMPRODUCT(--($L$8:$L$1207&lt;L542))+1,"")</f>
        <v/>
      </c>
      <c r="N542" s="17">
        <f>IF(K542=1,N('ORDENES'!$M538),0)</f>
        <v/>
      </c>
      <c r="O542" s="17">
        <f>IF('ORDENES'!$T538="preventiva",N542,0)</f>
        <v/>
      </c>
      <c r="P542" s="17">
        <f>IF('ORDENES'!$T538="correctiva",N542,0)</f>
        <v/>
      </c>
      <c r="Q542" s="3">
        <f>IF(AND(K542=1,'ORDENES'!$N538="Pendiente"),1,0)</f>
        <v/>
      </c>
      <c r="R542" s="3">
        <f>IF(Q542=1,100000-N542*1000+535*0.01,9000000000000+535)</f>
        <v/>
      </c>
      <c r="S542" s="3">
        <f>IF(Q542=1,SUMPRODUCT(--($R$8:$R$1207&lt;R542))+1,"")</f>
        <v/>
      </c>
      <c r="T542" s="12">
        <f>IF(K542=1,'ORDENES'!$J538,"")</f>
        <v/>
      </c>
    </row>
    <row r="543">
      <c r="K543" s="3">
        <f>IF(AND(IF($B$3="(todos)",TRUE,'ORDENES'!$O539=$B$3),IF($D$3="(todos)",TRUE,'ORDENES'!$AF539=$D$3),IF($F$3="(todos)",TRUE,'ORDENES'!$X539=$F$3),IF($H$3="(todos)",TRUE,'ORDENES'!$W539=$H$3),'ORDENES'!$AD539=TRUE,'ORDENES'!$A539&lt;&gt;""),1,0)</f>
        <v/>
      </c>
      <c r="L543" s="3">
        <f>IF(K543=1,IFERROR(MATCH('ORDENES'!$R539,lista_dias,0),9)*1000000000+IFERROR(MATCH('ORDENES'!$AF539,lista_turnos,0),9)*10000000+IFERROR(MATCH('ORDENES'!$AE539,tblTecnicos[nombre],0),99)*100000+536,9000000000000+536)</f>
        <v/>
      </c>
      <c r="M543" s="3">
        <f>IF(K543=1,SUMPRODUCT(--($L$8:$L$1207&lt;L543))+1,"")</f>
        <v/>
      </c>
      <c r="N543" s="17">
        <f>IF(K543=1,N('ORDENES'!$M539),0)</f>
        <v/>
      </c>
      <c r="O543" s="17">
        <f>IF('ORDENES'!$T539="preventiva",N543,0)</f>
        <v/>
      </c>
      <c r="P543" s="17">
        <f>IF('ORDENES'!$T539="correctiva",N543,0)</f>
        <v/>
      </c>
      <c r="Q543" s="3">
        <f>IF(AND(K543=1,'ORDENES'!$N539="Pendiente"),1,0)</f>
        <v/>
      </c>
      <c r="R543" s="3">
        <f>IF(Q543=1,100000-N543*1000+536*0.01,9000000000000+536)</f>
        <v/>
      </c>
      <c r="S543" s="3">
        <f>IF(Q543=1,SUMPRODUCT(--($R$8:$R$1207&lt;R543))+1,"")</f>
        <v/>
      </c>
      <c r="T543" s="12">
        <f>IF(K543=1,'ORDENES'!$J539,"")</f>
        <v/>
      </c>
    </row>
    <row r="544">
      <c r="K544" s="3">
        <f>IF(AND(IF($B$3="(todos)",TRUE,'ORDENES'!$O540=$B$3),IF($D$3="(todos)",TRUE,'ORDENES'!$AF540=$D$3),IF($F$3="(todos)",TRUE,'ORDENES'!$X540=$F$3),IF($H$3="(todos)",TRUE,'ORDENES'!$W540=$H$3),'ORDENES'!$AD540=TRUE,'ORDENES'!$A540&lt;&gt;""),1,0)</f>
        <v/>
      </c>
      <c r="L544" s="3">
        <f>IF(K544=1,IFERROR(MATCH('ORDENES'!$R540,lista_dias,0),9)*1000000000+IFERROR(MATCH('ORDENES'!$AF540,lista_turnos,0),9)*10000000+IFERROR(MATCH('ORDENES'!$AE540,tblTecnicos[nombre],0),99)*100000+537,9000000000000+537)</f>
        <v/>
      </c>
      <c r="M544" s="3">
        <f>IF(K544=1,SUMPRODUCT(--($L$8:$L$1207&lt;L544))+1,"")</f>
        <v/>
      </c>
      <c r="N544" s="17">
        <f>IF(K544=1,N('ORDENES'!$M540),0)</f>
        <v/>
      </c>
      <c r="O544" s="17">
        <f>IF('ORDENES'!$T540="preventiva",N544,0)</f>
        <v/>
      </c>
      <c r="P544" s="17">
        <f>IF('ORDENES'!$T540="correctiva",N544,0)</f>
        <v/>
      </c>
      <c r="Q544" s="3">
        <f>IF(AND(K544=1,'ORDENES'!$N540="Pendiente"),1,0)</f>
        <v/>
      </c>
      <c r="R544" s="3">
        <f>IF(Q544=1,100000-N544*1000+537*0.01,9000000000000+537)</f>
        <v/>
      </c>
      <c r="S544" s="3">
        <f>IF(Q544=1,SUMPRODUCT(--($R$8:$R$1207&lt;R544))+1,"")</f>
        <v/>
      </c>
      <c r="T544" s="12">
        <f>IF(K544=1,'ORDENES'!$J540,"")</f>
        <v/>
      </c>
    </row>
    <row r="545">
      <c r="K545" s="3">
        <f>IF(AND(IF($B$3="(todos)",TRUE,'ORDENES'!$O541=$B$3),IF($D$3="(todos)",TRUE,'ORDENES'!$AF541=$D$3),IF($F$3="(todos)",TRUE,'ORDENES'!$X541=$F$3),IF($H$3="(todos)",TRUE,'ORDENES'!$W541=$H$3),'ORDENES'!$AD541=TRUE,'ORDENES'!$A541&lt;&gt;""),1,0)</f>
        <v/>
      </c>
      <c r="L545" s="3">
        <f>IF(K545=1,IFERROR(MATCH('ORDENES'!$R541,lista_dias,0),9)*1000000000+IFERROR(MATCH('ORDENES'!$AF541,lista_turnos,0),9)*10000000+IFERROR(MATCH('ORDENES'!$AE541,tblTecnicos[nombre],0),99)*100000+538,9000000000000+538)</f>
        <v/>
      </c>
      <c r="M545" s="3">
        <f>IF(K545=1,SUMPRODUCT(--($L$8:$L$1207&lt;L545))+1,"")</f>
        <v/>
      </c>
      <c r="N545" s="17">
        <f>IF(K545=1,N('ORDENES'!$M541),0)</f>
        <v/>
      </c>
      <c r="O545" s="17">
        <f>IF('ORDENES'!$T541="preventiva",N545,0)</f>
        <v/>
      </c>
      <c r="P545" s="17">
        <f>IF('ORDENES'!$T541="correctiva",N545,0)</f>
        <v/>
      </c>
      <c r="Q545" s="3">
        <f>IF(AND(K545=1,'ORDENES'!$N541="Pendiente"),1,0)</f>
        <v/>
      </c>
      <c r="R545" s="3">
        <f>IF(Q545=1,100000-N545*1000+538*0.01,9000000000000+538)</f>
        <v/>
      </c>
      <c r="S545" s="3">
        <f>IF(Q545=1,SUMPRODUCT(--($R$8:$R$1207&lt;R545))+1,"")</f>
        <v/>
      </c>
      <c r="T545" s="12">
        <f>IF(K545=1,'ORDENES'!$J541,"")</f>
        <v/>
      </c>
    </row>
    <row r="546">
      <c r="K546" s="3">
        <f>IF(AND(IF($B$3="(todos)",TRUE,'ORDENES'!$O542=$B$3),IF($D$3="(todos)",TRUE,'ORDENES'!$AF542=$D$3),IF($F$3="(todos)",TRUE,'ORDENES'!$X542=$F$3),IF($H$3="(todos)",TRUE,'ORDENES'!$W542=$H$3),'ORDENES'!$AD542=TRUE,'ORDENES'!$A542&lt;&gt;""),1,0)</f>
        <v/>
      </c>
      <c r="L546" s="3">
        <f>IF(K546=1,IFERROR(MATCH('ORDENES'!$R542,lista_dias,0),9)*1000000000+IFERROR(MATCH('ORDENES'!$AF542,lista_turnos,0),9)*10000000+IFERROR(MATCH('ORDENES'!$AE542,tblTecnicos[nombre],0),99)*100000+539,9000000000000+539)</f>
        <v/>
      </c>
      <c r="M546" s="3">
        <f>IF(K546=1,SUMPRODUCT(--($L$8:$L$1207&lt;L546))+1,"")</f>
        <v/>
      </c>
      <c r="N546" s="17">
        <f>IF(K546=1,N('ORDENES'!$M542),0)</f>
        <v/>
      </c>
      <c r="O546" s="17">
        <f>IF('ORDENES'!$T542="preventiva",N546,0)</f>
        <v/>
      </c>
      <c r="P546" s="17">
        <f>IF('ORDENES'!$T542="correctiva",N546,0)</f>
        <v/>
      </c>
      <c r="Q546" s="3">
        <f>IF(AND(K546=1,'ORDENES'!$N542="Pendiente"),1,0)</f>
        <v/>
      </c>
      <c r="R546" s="3">
        <f>IF(Q546=1,100000-N546*1000+539*0.01,9000000000000+539)</f>
        <v/>
      </c>
      <c r="S546" s="3">
        <f>IF(Q546=1,SUMPRODUCT(--($R$8:$R$1207&lt;R546))+1,"")</f>
        <v/>
      </c>
      <c r="T546" s="12">
        <f>IF(K546=1,'ORDENES'!$J542,"")</f>
        <v/>
      </c>
    </row>
    <row r="547">
      <c r="K547" s="3">
        <f>IF(AND(IF($B$3="(todos)",TRUE,'ORDENES'!$O543=$B$3),IF($D$3="(todos)",TRUE,'ORDENES'!$AF543=$D$3),IF($F$3="(todos)",TRUE,'ORDENES'!$X543=$F$3),IF($H$3="(todos)",TRUE,'ORDENES'!$W543=$H$3),'ORDENES'!$AD543=TRUE,'ORDENES'!$A543&lt;&gt;""),1,0)</f>
        <v/>
      </c>
      <c r="L547" s="3">
        <f>IF(K547=1,IFERROR(MATCH('ORDENES'!$R543,lista_dias,0),9)*1000000000+IFERROR(MATCH('ORDENES'!$AF543,lista_turnos,0),9)*10000000+IFERROR(MATCH('ORDENES'!$AE543,tblTecnicos[nombre],0),99)*100000+540,9000000000000+540)</f>
        <v/>
      </c>
      <c r="M547" s="3">
        <f>IF(K547=1,SUMPRODUCT(--($L$8:$L$1207&lt;L547))+1,"")</f>
        <v/>
      </c>
      <c r="N547" s="17">
        <f>IF(K547=1,N('ORDENES'!$M543),0)</f>
        <v/>
      </c>
      <c r="O547" s="17">
        <f>IF('ORDENES'!$T543="preventiva",N547,0)</f>
        <v/>
      </c>
      <c r="P547" s="17">
        <f>IF('ORDENES'!$T543="correctiva",N547,0)</f>
        <v/>
      </c>
      <c r="Q547" s="3">
        <f>IF(AND(K547=1,'ORDENES'!$N543="Pendiente"),1,0)</f>
        <v/>
      </c>
      <c r="R547" s="3">
        <f>IF(Q547=1,100000-N547*1000+540*0.01,9000000000000+540)</f>
        <v/>
      </c>
      <c r="S547" s="3">
        <f>IF(Q547=1,SUMPRODUCT(--($R$8:$R$1207&lt;R547))+1,"")</f>
        <v/>
      </c>
      <c r="T547" s="12">
        <f>IF(K547=1,'ORDENES'!$J543,"")</f>
        <v/>
      </c>
    </row>
    <row r="548">
      <c r="K548" s="3">
        <f>IF(AND(IF($B$3="(todos)",TRUE,'ORDENES'!$O544=$B$3),IF($D$3="(todos)",TRUE,'ORDENES'!$AF544=$D$3),IF($F$3="(todos)",TRUE,'ORDENES'!$X544=$F$3),IF($H$3="(todos)",TRUE,'ORDENES'!$W544=$H$3),'ORDENES'!$AD544=TRUE,'ORDENES'!$A544&lt;&gt;""),1,0)</f>
        <v/>
      </c>
      <c r="L548" s="3">
        <f>IF(K548=1,IFERROR(MATCH('ORDENES'!$R544,lista_dias,0),9)*1000000000+IFERROR(MATCH('ORDENES'!$AF544,lista_turnos,0),9)*10000000+IFERROR(MATCH('ORDENES'!$AE544,tblTecnicos[nombre],0),99)*100000+541,9000000000000+541)</f>
        <v/>
      </c>
      <c r="M548" s="3">
        <f>IF(K548=1,SUMPRODUCT(--($L$8:$L$1207&lt;L548))+1,"")</f>
        <v/>
      </c>
      <c r="N548" s="17">
        <f>IF(K548=1,N('ORDENES'!$M544),0)</f>
        <v/>
      </c>
      <c r="O548" s="17">
        <f>IF('ORDENES'!$T544="preventiva",N548,0)</f>
        <v/>
      </c>
      <c r="P548" s="17">
        <f>IF('ORDENES'!$T544="correctiva",N548,0)</f>
        <v/>
      </c>
      <c r="Q548" s="3">
        <f>IF(AND(K548=1,'ORDENES'!$N544="Pendiente"),1,0)</f>
        <v/>
      </c>
      <c r="R548" s="3">
        <f>IF(Q548=1,100000-N548*1000+541*0.01,9000000000000+541)</f>
        <v/>
      </c>
      <c r="S548" s="3">
        <f>IF(Q548=1,SUMPRODUCT(--($R$8:$R$1207&lt;R548))+1,"")</f>
        <v/>
      </c>
      <c r="T548" s="12">
        <f>IF(K548=1,'ORDENES'!$J544,"")</f>
        <v/>
      </c>
    </row>
    <row r="549">
      <c r="K549" s="3">
        <f>IF(AND(IF($B$3="(todos)",TRUE,'ORDENES'!$O545=$B$3),IF($D$3="(todos)",TRUE,'ORDENES'!$AF545=$D$3),IF($F$3="(todos)",TRUE,'ORDENES'!$X545=$F$3),IF($H$3="(todos)",TRUE,'ORDENES'!$W545=$H$3),'ORDENES'!$AD545=TRUE,'ORDENES'!$A545&lt;&gt;""),1,0)</f>
        <v/>
      </c>
      <c r="L549" s="3">
        <f>IF(K549=1,IFERROR(MATCH('ORDENES'!$R545,lista_dias,0),9)*1000000000+IFERROR(MATCH('ORDENES'!$AF545,lista_turnos,0),9)*10000000+IFERROR(MATCH('ORDENES'!$AE545,tblTecnicos[nombre],0),99)*100000+542,9000000000000+542)</f>
        <v/>
      </c>
      <c r="M549" s="3">
        <f>IF(K549=1,SUMPRODUCT(--($L$8:$L$1207&lt;L549))+1,"")</f>
        <v/>
      </c>
      <c r="N549" s="17">
        <f>IF(K549=1,N('ORDENES'!$M545),0)</f>
        <v/>
      </c>
      <c r="O549" s="17">
        <f>IF('ORDENES'!$T545="preventiva",N549,0)</f>
        <v/>
      </c>
      <c r="P549" s="17">
        <f>IF('ORDENES'!$T545="correctiva",N549,0)</f>
        <v/>
      </c>
      <c r="Q549" s="3">
        <f>IF(AND(K549=1,'ORDENES'!$N545="Pendiente"),1,0)</f>
        <v/>
      </c>
      <c r="R549" s="3">
        <f>IF(Q549=1,100000-N549*1000+542*0.01,9000000000000+542)</f>
        <v/>
      </c>
      <c r="S549" s="3">
        <f>IF(Q549=1,SUMPRODUCT(--($R$8:$R$1207&lt;R549))+1,"")</f>
        <v/>
      </c>
      <c r="T549" s="12">
        <f>IF(K549=1,'ORDENES'!$J545,"")</f>
        <v/>
      </c>
    </row>
    <row r="550">
      <c r="K550" s="3">
        <f>IF(AND(IF($B$3="(todos)",TRUE,'ORDENES'!$O546=$B$3),IF($D$3="(todos)",TRUE,'ORDENES'!$AF546=$D$3),IF($F$3="(todos)",TRUE,'ORDENES'!$X546=$F$3),IF($H$3="(todos)",TRUE,'ORDENES'!$W546=$H$3),'ORDENES'!$AD546=TRUE,'ORDENES'!$A546&lt;&gt;""),1,0)</f>
        <v/>
      </c>
      <c r="L550" s="3">
        <f>IF(K550=1,IFERROR(MATCH('ORDENES'!$R546,lista_dias,0),9)*1000000000+IFERROR(MATCH('ORDENES'!$AF546,lista_turnos,0),9)*10000000+IFERROR(MATCH('ORDENES'!$AE546,tblTecnicos[nombre],0),99)*100000+543,9000000000000+543)</f>
        <v/>
      </c>
      <c r="M550" s="3">
        <f>IF(K550=1,SUMPRODUCT(--($L$8:$L$1207&lt;L550))+1,"")</f>
        <v/>
      </c>
      <c r="N550" s="17">
        <f>IF(K550=1,N('ORDENES'!$M546),0)</f>
        <v/>
      </c>
      <c r="O550" s="17">
        <f>IF('ORDENES'!$T546="preventiva",N550,0)</f>
        <v/>
      </c>
      <c r="P550" s="17">
        <f>IF('ORDENES'!$T546="correctiva",N550,0)</f>
        <v/>
      </c>
      <c r="Q550" s="3">
        <f>IF(AND(K550=1,'ORDENES'!$N546="Pendiente"),1,0)</f>
        <v/>
      </c>
      <c r="R550" s="3">
        <f>IF(Q550=1,100000-N550*1000+543*0.01,9000000000000+543)</f>
        <v/>
      </c>
      <c r="S550" s="3">
        <f>IF(Q550=1,SUMPRODUCT(--($R$8:$R$1207&lt;R550))+1,"")</f>
        <v/>
      </c>
      <c r="T550" s="12">
        <f>IF(K550=1,'ORDENES'!$J546,"")</f>
        <v/>
      </c>
    </row>
    <row r="551">
      <c r="K551" s="3">
        <f>IF(AND(IF($B$3="(todos)",TRUE,'ORDENES'!$O547=$B$3),IF($D$3="(todos)",TRUE,'ORDENES'!$AF547=$D$3),IF($F$3="(todos)",TRUE,'ORDENES'!$X547=$F$3),IF($H$3="(todos)",TRUE,'ORDENES'!$W547=$H$3),'ORDENES'!$AD547=TRUE,'ORDENES'!$A547&lt;&gt;""),1,0)</f>
        <v/>
      </c>
      <c r="L551" s="3">
        <f>IF(K551=1,IFERROR(MATCH('ORDENES'!$R547,lista_dias,0),9)*1000000000+IFERROR(MATCH('ORDENES'!$AF547,lista_turnos,0),9)*10000000+IFERROR(MATCH('ORDENES'!$AE547,tblTecnicos[nombre],0),99)*100000+544,9000000000000+544)</f>
        <v/>
      </c>
      <c r="M551" s="3">
        <f>IF(K551=1,SUMPRODUCT(--($L$8:$L$1207&lt;L551))+1,"")</f>
        <v/>
      </c>
      <c r="N551" s="17">
        <f>IF(K551=1,N('ORDENES'!$M547),0)</f>
        <v/>
      </c>
      <c r="O551" s="17">
        <f>IF('ORDENES'!$T547="preventiva",N551,0)</f>
        <v/>
      </c>
      <c r="P551" s="17">
        <f>IF('ORDENES'!$T547="correctiva",N551,0)</f>
        <v/>
      </c>
      <c r="Q551" s="3">
        <f>IF(AND(K551=1,'ORDENES'!$N547="Pendiente"),1,0)</f>
        <v/>
      </c>
      <c r="R551" s="3">
        <f>IF(Q551=1,100000-N551*1000+544*0.01,9000000000000+544)</f>
        <v/>
      </c>
      <c r="S551" s="3">
        <f>IF(Q551=1,SUMPRODUCT(--($R$8:$R$1207&lt;R551))+1,"")</f>
        <v/>
      </c>
      <c r="T551" s="12">
        <f>IF(K551=1,'ORDENES'!$J547,"")</f>
        <v/>
      </c>
    </row>
    <row r="552">
      <c r="K552" s="3">
        <f>IF(AND(IF($B$3="(todos)",TRUE,'ORDENES'!$O548=$B$3),IF($D$3="(todos)",TRUE,'ORDENES'!$AF548=$D$3),IF($F$3="(todos)",TRUE,'ORDENES'!$X548=$F$3),IF($H$3="(todos)",TRUE,'ORDENES'!$W548=$H$3),'ORDENES'!$AD548=TRUE,'ORDENES'!$A548&lt;&gt;""),1,0)</f>
        <v/>
      </c>
      <c r="L552" s="3">
        <f>IF(K552=1,IFERROR(MATCH('ORDENES'!$R548,lista_dias,0),9)*1000000000+IFERROR(MATCH('ORDENES'!$AF548,lista_turnos,0),9)*10000000+IFERROR(MATCH('ORDENES'!$AE548,tblTecnicos[nombre],0),99)*100000+545,9000000000000+545)</f>
        <v/>
      </c>
      <c r="M552" s="3">
        <f>IF(K552=1,SUMPRODUCT(--($L$8:$L$1207&lt;L552))+1,"")</f>
        <v/>
      </c>
      <c r="N552" s="17">
        <f>IF(K552=1,N('ORDENES'!$M548),0)</f>
        <v/>
      </c>
      <c r="O552" s="17">
        <f>IF('ORDENES'!$T548="preventiva",N552,0)</f>
        <v/>
      </c>
      <c r="P552" s="17">
        <f>IF('ORDENES'!$T548="correctiva",N552,0)</f>
        <v/>
      </c>
      <c r="Q552" s="3">
        <f>IF(AND(K552=1,'ORDENES'!$N548="Pendiente"),1,0)</f>
        <v/>
      </c>
      <c r="R552" s="3">
        <f>IF(Q552=1,100000-N552*1000+545*0.01,9000000000000+545)</f>
        <v/>
      </c>
      <c r="S552" s="3">
        <f>IF(Q552=1,SUMPRODUCT(--($R$8:$R$1207&lt;R552))+1,"")</f>
        <v/>
      </c>
      <c r="T552" s="12">
        <f>IF(K552=1,'ORDENES'!$J548,"")</f>
        <v/>
      </c>
    </row>
    <row r="553">
      <c r="K553" s="3">
        <f>IF(AND(IF($B$3="(todos)",TRUE,'ORDENES'!$O549=$B$3),IF($D$3="(todos)",TRUE,'ORDENES'!$AF549=$D$3),IF($F$3="(todos)",TRUE,'ORDENES'!$X549=$F$3),IF($H$3="(todos)",TRUE,'ORDENES'!$W549=$H$3),'ORDENES'!$AD549=TRUE,'ORDENES'!$A549&lt;&gt;""),1,0)</f>
        <v/>
      </c>
      <c r="L553" s="3">
        <f>IF(K553=1,IFERROR(MATCH('ORDENES'!$R549,lista_dias,0),9)*1000000000+IFERROR(MATCH('ORDENES'!$AF549,lista_turnos,0),9)*10000000+IFERROR(MATCH('ORDENES'!$AE549,tblTecnicos[nombre],0),99)*100000+546,9000000000000+546)</f>
        <v/>
      </c>
      <c r="M553" s="3">
        <f>IF(K553=1,SUMPRODUCT(--($L$8:$L$1207&lt;L553))+1,"")</f>
        <v/>
      </c>
      <c r="N553" s="17">
        <f>IF(K553=1,N('ORDENES'!$M549),0)</f>
        <v/>
      </c>
      <c r="O553" s="17">
        <f>IF('ORDENES'!$T549="preventiva",N553,0)</f>
        <v/>
      </c>
      <c r="P553" s="17">
        <f>IF('ORDENES'!$T549="correctiva",N553,0)</f>
        <v/>
      </c>
      <c r="Q553" s="3">
        <f>IF(AND(K553=1,'ORDENES'!$N549="Pendiente"),1,0)</f>
        <v/>
      </c>
      <c r="R553" s="3">
        <f>IF(Q553=1,100000-N553*1000+546*0.01,9000000000000+546)</f>
        <v/>
      </c>
      <c r="S553" s="3">
        <f>IF(Q553=1,SUMPRODUCT(--($R$8:$R$1207&lt;R553))+1,"")</f>
        <v/>
      </c>
      <c r="T553" s="12">
        <f>IF(K553=1,'ORDENES'!$J549,"")</f>
        <v/>
      </c>
    </row>
    <row r="554">
      <c r="K554" s="3">
        <f>IF(AND(IF($B$3="(todos)",TRUE,'ORDENES'!$O550=$B$3),IF($D$3="(todos)",TRUE,'ORDENES'!$AF550=$D$3),IF($F$3="(todos)",TRUE,'ORDENES'!$X550=$F$3),IF($H$3="(todos)",TRUE,'ORDENES'!$W550=$H$3),'ORDENES'!$AD550=TRUE,'ORDENES'!$A550&lt;&gt;""),1,0)</f>
        <v/>
      </c>
      <c r="L554" s="3">
        <f>IF(K554=1,IFERROR(MATCH('ORDENES'!$R550,lista_dias,0),9)*1000000000+IFERROR(MATCH('ORDENES'!$AF550,lista_turnos,0),9)*10000000+IFERROR(MATCH('ORDENES'!$AE550,tblTecnicos[nombre],0),99)*100000+547,9000000000000+547)</f>
        <v/>
      </c>
      <c r="M554" s="3">
        <f>IF(K554=1,SUMPRODUCT(--($L$8:$L$1207&lt;L554))+1,"")</f>
        <v/>
      </c>
      <c r="N554" s="17">
        <f>IF(K554=1,N('ORDENES'!$M550),0)</f>
        <v/>
      </c>
      <c r="O554" s="17">
        <f>IF('ORDENES'!$T550="preventiva",N554,0)</f>
        <v/>
      </c>
      <c r="P554" s="17">
        <f>IF('ORDENES'!$T550="correctiva",N554,0)</f>
        <v/>
      </c>
      <c r="Q554" s="3">
        <f>IF(AND(K554=1,'ORDENES'!$N550="Pendiente"),1,0)</f>
        <v/>
      </c>
      <c r="R554" s="3">
        <f>IF(Q554=1,100000-N554*1000+547*0.01,9000000000000+547)</f>
        <v/>
      </c>
      <c r="S554" s="3">
        <f>IF(Q554=1,SUMPRODUCT(--($R$8:$R$1207&lt;R554))+1,"")</f>
        <v/>
      </c>
      <c r="T554" s="12">
        <f>IF(K554=1,'ORDENES'!$J550,"")</f>
        <v/>
      </c>
    </row>
    <row r="555">
      <c r="K555" s="3">
        <f>IF(AND(IF($B$3="(todos)",TRUE,'ORDENES'!$O551=$B$3),IF($D$3="(todos)",TRUE,'ORDENES'!$AF551=$D$3),IF($F$3="(todos)",TRUE,'ORDENES'!$X551=$F$3),IF($H$3="(todos)",TRUE,'ORDENES'!$W551=$H$3),'ORDENES'!$AD551=TRUE,'ORDENES'!$A551&lt;&gt;""),1,0)</f>
        <v/>
      </c>
      <c r="L555" s="3">
        <f>IF(K555=1,IFERROR(MATCH('ORDENES'!$R551,lista_dias,0),9)*1000000000+IFERROR(MATCH('ORDENES'!$AF551,lista_turnos,0),9)*10000000+IFERROR(MATCH('ORDENES'!$AE551,tblTecnicos[nombre],0),99)*100000+548,9000000000000+548)</f>
        <v/>
      </c>
      <c r="M555" s="3">
        <f>IF(K555=1,SUMPRODUCT(--($L$8:$L$1207&lt;L555))+1,"")</f>
        <v/>
      </c>
      <c r="N555" s="17">
        <f>IF(K555=1,N('ORDENES'!$M551),0)</f>
        <v/>
      </c>
      <c r="O555" s="17">
        <f>IF('ORDENES'!$T551="preventiva",N555,0)</f>
        <v/>
      </c>
      <c r="P555" s="17">
        <f>IF('ORDENES'!$T551="correctiva",N555,0)</f>
        <v/>
      </c>
      <c r="Q555" s="3">
        <f>IF(AND(K555=1,'ORDENES'!$N551="Pendiente"),1,0)</f>
        <v/>
      </c>
      <c r="R555" s="3">
        <f>IF(Q555=1,100000-N555*1000+548*0.01,9000000000000+548)</f>
        <v/>
      </c>
      <c r="S555" s="3">
        <f>IF(Q555=1,SUMPRODUCT(--($R$8:$R$1207&lt;R555))+1,"")</f>
        <v/>
      </c>
      <c r="T555" s="12">
        <f>IF(K555=1,'ORDENES'!$J551,"")</f>
        <v/>
      </c>
    </row>
    <row r="556">
      <c r="K556" s="3">
        <f>IF(AND(IF($B$3="(todos)",TRUE,'ORDENES'!$O552=$B$3),IF($D$3="(todos)",TRUE,'ORDENES'!$AF552=$D$3),IF($F$3="(todos)",TRUE,'ORDENES'!$X552=$F$3),IF($H$3="(todos)",TRUE,'ORDENES'!$W552=$H$3),'ORDENES'!$AD552=TRUE,'ORDENES'!$A552&lt;&gt;""),1,0)</f>
        <v/>
      </c>
      <c r="L556" s="3">
        <f>IF(K556=1,IFERROR(MATCH('ORDENES'!$R552,lista_dias,0),9)*1000000000+IFERROR(MATCH('ORDENES'!$AF552,lista_turnos,0),9)*10000000+IFERROR(MATCH('ORDENES'!$AE552,tblTecnicos[nombre],0),99)*100000+549,9000000000000+549)</f>
        <v/>
      </c>
      <c r="M556" s="3">
        <f>IF(K556=1,SUMPRODUCT(--($L$8:$L$1207&lt;L556))+1,"")</f>
        <v/>
      </c>
      <c r="N556" s="17">
        <f>IF(K556=1,N('ORDENES'!$M552),0)</f>
        <v/>
      </c>
      <c r="O556" s="17">
        <f>IF('ORDENES'!$T552="preventiva",N556,0)</f>
        <v/>
      </c>
      <c r="P556" s="17">
        <f>IF('ORDENES'!$T552="correctiva",N556,0)</f>
        <v/>
      </c>
      <c r="Q556" s="3">
        <f>IF(AND(K556=1,'ORDENES'!$N552="Pendiente"),1,0)</f>
        <v/>
      </c>
      <c r="R556" s="3">
        <f>IF(Q556=1,100000-N556*1000+549*0.01,9000000000000+549)</f>
        <v/>
      </c>
      <c r="S556" s="3">
        <f>IF(Q556=1,SUMPRODUCT(--($R$8:$R$1207&lt;R556))+1,"")</f>
        <v/>
      </c>
      <c r="T556" s="12">
        <f>IF(K556=1,'ORDENES'!$J552,"")</f>
        <v/>
      </c>
    </row>
    <row r="557">
      <c r="K557" s="3">
        <f>IF(AND(IF($B$3="(todos)",TRUE,'ORDENES'!$O553=$B$3),IF($D$3="(todos)",TRUE,'ORDENES'!$AF553=$D$3),IF($F$3="(todos)",TRUE,'ORDENES'!$X553=$F$3),IF($H$3="(todos)",TRUE,'ORDENES'!$W553=$H$3),'ORDENES'!$AD553=TRUE,'ORDENES'!$A553&lt;&gt;""),1,0)</f>
        <v/>
      </c>
      <c r="L557" s="3">
        <f>IF(K557=1,IFERROR(MATCH('ORDENES'!$R553,lista_dias,0),9)*1000000000+IFERROR(MATCH('ORDENES'!$AF553,lista_turnos,0),9)*10000000+IFERROR(MATCH('ORDENES'!$AE553,tblTecnicos[nombre],0),99)*100000+550,9000000000000+550)</f>
        <v/>
      </c>
      <c r="M557" s="3">
        <f>IF(K557=1,SUMPRODUCT(--($L$8:$L$1207&lt;L557))+1,"")</f>
        <v/>
      </c>
      <c r="N557" s="17">
        <f>IF(K557=1,N('ORDENES'!$M553),0)</f>
        <v/>
      </c>
      <c r="O557" s="17">
        <f>IF('ORDENES'!$T553="preventiva",N557,0)</f>
        <v/>
      </c>
      <c r="P557" s="17">
        <f>IF('ORDENES'!$T553="correctiva",N557,0)</f>
        <v/>
      </c>
      <c r="Q557" s="3">
        <f>IF(AND(K557=1,'ORDENES'!$N553="Pendiente"),1,0)</f>
        <v/>
      </c>
      <c r="R557" s="3">
        <f>IF(Q557=1,100000-N557*1000+550*0.01,9000000000000+550)</f>
        <v/>
      </c>
      <c r="S557" s="3">
        <f>IF(Q557=1,SUMPRODUCT(--($R$8:$R$1207&lt;R557))+1,"")</f>
        <v/>
      </c>
      <c r="T557" s="12">
        <f>IF(K557=1,'ORDENES'!$J553,"")</f>
        <v/>
      </c>
    </row>
    <row r="558">
      <c r="K558" s="3">
        <f>IF(AND(IF($B$3="(todos)",TRUE,'ORDENES'!$O554=$B$3),IF($D$3="(todos)",TRUE,'ORDENES'!$AF554=$D$3),IF($F$3="(todos)",TRUE,'ORDENES'!$X554=$F$3),IF($H$3="(todos)",TRUE,'ORDENES'!$W554=$H$3),'ORDENES'!$AD554=TRUE,'ORDENES'!$A554&lt;&gt;""),1,0)</f>
        <v/>
      </c>
      <c r="L558" s="3">
        <f>IF(K558=1,IFERROR(MATCH('ORDENES'!$R554,lista_dias,0),9)*1000000000+IFERROR(MATCH('ORDENES'!$AF554,lista_turnos,0),9)*10000000+IFERROR(MATCH('ORDENES'!$AE554,tblTecnicos[nombre],0),99)*100000+551,9000000000000+551)</f>
        <v/>
      </c>
      <c r="M558" s="3">
        <f>IF(K558=1,SUMPRODUCT(--($L$8:$L$1207&lt;L558))+1,"")</f>
        <v/>
      </c>
      <c r="N558" s="17">
        <f>IF(K558=1,N('ORDENES'!$M554),0)</f>
        <v/>
      </c>
      <c r="O558" s="17">
        <f>IF('ORDENES'!$T554="preventiva",N558,0)</f>
        <v/>
      </c>
      <c r="P558" s="17">
        <f>IF('ORDENES'!$T554="correctiva",N558,0)</f>
        <v/>
      </c>
      <c r="Q558" s="3">
        <f>IF(AND(K558=1,'ORDENES'!$N554="Pendiente"),1,0)</f>
        <v/>
      </c>
      <c r="R558" s="3">
        <f>IF(Q558=1,100000-N558*1000+551*0.01,9000000000000+551)</f>
        <v/>
      </c>
      <c r="S558" s="3">
        <f>IF(Q558=1,SUMPRODUCT(--($R$8:$R$1207&lt;R558))+1,"")</f>
        <v/>
      </c>
      <c r="T558" s="12">
        <f>IF(K558=1,'ORDENES'!$J554,"")</f>
        <v/>
      </c>
    </row>
    <row r="559">
      <c r="K559" s="3">
        <f>IF(AND(IF($B$3="(todos)",TRUE,'ORDENES'!$O555=$B$3),IF($D$3="(todos)",TRUE,'ORDENES'!$AF555=$D$3),IF($F$3="(todos)",TRUE,'ORDENES'!$X555=$F$3),IF($H$3="(todos)",TRUE,'ORDENES'!$W555=$H$3),'ORDENES'!$AD555=TRUE,'ORDENES'!$A555&lt;&gt;""),1,0)</f>
        <v/>
      </c>
      <c r="L559" s="3">
        <f>IF(K559=1,IFERROR(MATCH('ORDENES'!$R555,lista_dias,0),9)*1000000000+IFERROR(MATCH('ORDENES'!$AF555,lista_turnos,0),9)*10000000+IFERROR(MATCH('ORDENES'!$AE555,tblTecnicos[nombre],0),99)*100000+552,9000000000000+552)</f>
        <v/>
      </c>
      <c r="M559" s="3">
        <f>IF(K559=1,SUMPRODUCT(--($L$8:$L$1207&lt;L559))+1,"")</f>
        <v/>
      </c>
      <c r="N559" s="17">
        <f>IF(K559=1,N('ORDENES'!$M555),0)</f>
        <v/>
      </c>
      <c r="O559" s="17">
        <f>IF('ORDENES'!$T555="preventiva",N559,0)</f>
        <v/>
      </c>
      <c r="P559" s="17">
        <f>IF('ORDENES'!$T555="correctiva",N559,0)</f>
        <v/>
      </c>
      <c r="Q559" s="3">
        <f>IF(AND(K559=1,'ORDENES'!$N555="Pendiente"),1,0)</f>
        <v/>
      </c>
      <c r="R559" s="3">
        <f>IF(Q559=1,100000-N559*1000+552*0.01,9000000000000+552)</f>
        <v/>
      </c>
      <c r="S559" s="3">
        <f>IF(Q559=1,SUMPRODUCT(--($R$8:$R$1207&lt;R559))+1,"")</f>
        <v/>
      </c>
      <c r="T559" s="12">
        <f>IF(K559=1,'ORDENES'!$J555,"")</f>
        <v/>
      </c>
    </row>
    <row r="560">
      <c r="K560" s="3">
        <f>IF(AND(IF($B$3="(todos)",TRUE,'ORDENES'!$O556=$B$3),IF($D$3="(todos)",TRUE,'ORDENES'!$AF556=$D$3),IF($F$3="(todos)",TRUE,'ORDENES'!$X556=$F$3),IF($H$3="(todos)",TRUE,'ORDENES'!$W556=$H$3),'ORDENES'!$AD556=TRUE,'ORDENES'!$A556&lt;&gt;""),1,0)</f>
        <v/>
      </c>
      <c r="L560" s="3">
        <f>IF(K560=1,IFERROR(MATCH('ORDENES'!$R556,lista_dias,0),9)*1000000000+IFERROR(MATCH('ORDENES'!$AF556,lista_turnos,0),9)*10000000+IFERROR(MATCH('ORDENES'!$AE556,tblTecnicos[nombre],0),99)*100000+553,9000000000000+553)</f>
        <v/>
      </c>
      <c r="M560" s="3">
        <f>IF(K560=1,SUMPRODUCT(--($L$8:$L$1207&lt;L560))+1,"")</f>
        <v/>
      </c>
      <c r="N560" s="17">
        <f>IF(K560=1,N('ORDENES'!$M556),0)</f>
        <v/>
      </c>
      <c r="O560" s="17">
        <f>IF('ORDENES'!$T556="preventiva",N560,0)</f>
        <v/>
      </c>
      <c r="P560" s="17">
        <f>IF('ORDENES'!$T556="correctiva",N560,0)</f>
        <v/>
      </c>
      <c r="Q560" s="3">
        <f>IF(AND(K560=1,'ORDENES'!$N556="Pendiente"),1,0)</f>
        <v/>
      </c>
      <c r="R560" s="3">
        <f>IF(Q560=1,100000-N560*1000+553*0.01,9000000000000+553)</f>
        <v/>
      </c>
      <c r="S560" s="3">
        <f>IF(Q560=1,SUMPRODUCT(--($R$8:$R$1207&lt;R560))+1,"")</f>
        <v/>
      </c>
      <c r="T560" s="12">
        <f>IF(K560=1,'ORDENES'!$J556,"")</f>
        <v/>
      </c>
    </row>
    <row r="561">
      <c r="K561" s="3">
        <f>IF(AND(IF($B$3="(todos)",TRUE,'ORDENES'!$O557=$B$3),IF($D$3="(todos)",TRUE,'ORDENES'!$AF557=$D$3),IF($F$3="(todos)",TRUE,'ORDENES'!$X557=$F$3),IF($H$3="(todos)",TRUE,'ORDENES'!$W557=$H$3),'ORDENES'!$AD557=TRUE,'ORDENES'!$A557&lt;&gt;""),1,0)</f>
        <v/>
      </c>
      <c r="L561" s="3">
        <f>IF(K561=1,IFERROR(MATCH('ORDENES'!$R557,lista_dias,0),9)*1000000000+IFERROR(MATCH('ORDENES'!$AF557,lista_turnos,0),9)*10000000+IFERROR(MATCH('ORDENES'!$AE557,tblTecnicos[nombre],0),99)*100000+554,9000000000000+554)</f>
        <v/>
      </c>
      <c r="M561" s="3">
        <f>IF(K561=1,SUMPRODUCT(--($L$8:$L$1207&lt;L561))+1,"")</f>
        <v/>
      </c>
      <c r="N561" s="17">
        <f>IF(K561=1,N('ORDENES'!$M557),0)</f>
        <v/>
      </c>
      <c r="O561" s="17">
        <f>IF('ORDENES'!$T557="preventiva",N561,0)</f>
        <v/>
      </c>
      <c r="P561" s="17">
        <f>IF('ORDENES'!$T557="correctiva",N561,0)</f>
        <v/>
      </c>
      <c r="Q561" s="3">
        <f>IF(AND(K561=1,'ORDENES'!$N557="Pendiente"),1,0)</f>
        <v/>
      </c>
      <c r="R561" s="3">
        <f>IF(Q561=1,100000-N561*1000+554*0.01,9000000000000+554)</f>
        <v/>
      </c>
      <c r="S561" s="3">
        <f>IF(Q561=1,SUMPRODUCT(--($R$8:$R$1207&lt;R561))+1,"")</f>
        <v/>
      </c>
      <c r="T561" s="12">
        <f>IF(K561=1,'ORDENES'!$J557,"")</f>
        <v/>
      </c>
    </row>
    <row r="562">
      <c r="K562" s="3">
        <f>IF(AND(IF($B$3="(todos)",TRUE,'ORDENES'!$O558=$B$3),IF($D$3="(todos)",TRUE,'ORDENES'!$AF558=$D$3),IF($F$3="(todos)",TRUE,'ORDENES'!$X558=$F$3),IF($H$3="(todos)",TRUE,'ORDENES'!$W558=$H$3),'ORDENES'!$AD558=TRUE,'ORDENES'!$A558&lt;&gt;""),1,0)</f>
        <v/>
      </c>
      <c r="L562" s="3">
        <f>IF(K562=1,IFERROR(MATCH('ORDENES'!$R558,lista_dias,0),9)*1000000000+IFERROR(MATCH('ORDENES'!$AF558,lista_turnos,0),9)*10000000+IFERROR(MATCH('ORDENES'!$AE558,tblTecnicos[nombre],0),99)*100000+555,9000000000000+555)</f>
        <v/>
      </c>
      <c r="M562" s="3">
        <f>IF(K562=1,SUMPRODUCT(--($L$8:$L$1207&lt;L562))+1,"")</f>
        <v/>
      </c>
      <c r="N562" s="17">
        <f>IF(K562=1,N('ORDENES'!$M558),0)</f>
        <v/>
      </c>
      <c r="O562" s="17">
        <f>IF('ORDENES'!$T558="preventiva",N562,0)</f>
        <v/>
      </c>
      <c r="P562" s="17">
        <f>IF('ORDENES'!$T558="correctiva",N562,0)</f>
        <v/>
      </c>
      <c r="Q562" s="3">
        <f>IF(AND(K562=1,'ORDENES'!$N558="Pendiente"),1,0)</f>
        <v/>
      </c>
      <c r="R562" s="3">
        <f>IF(Q562=1,100000-N562*1000+555*0.01,9000000000000+555)</f>
        <v/>
      </c>
      <c r="S562" s="3">
        <f>IF(Q562=1,SUMPRODUCT(--($R$8:$R$1207&lt;R562))+1,"")</f>
        <v/>
      </c>
      <c r="T562" s="12">
        <f>IF(K562=1,'ORDENES'!$J558,"")</f>
        <v/>
      </c>
    </row>
    <row r="563">
      <c r="K563" s="3">
        <f>IF(AND(IF($B$3="(todos)",TRUE,'ORDENES'!$O559=$B$3),IF($D$3="(todos)",TRUE,'ORDENES'!$AF559=$D$3),IF($F$3="(todos)",TRUE,'ORDENES'!$X559=$F$3),IF($H$3="(todos)",TRUE,'ORDENES'!$W559=$H$3),'ORDENES'!$AD559=TRUE,'ORDENES'!$A559&lt;&gt;""),1,0)</f>
        <v/>
      </c>
      <c r="L563" s="3">
        <f>IF(K563=1,IFERROR(MATCH('ORDENES'!$R559,lista_dias,0),9)*1000000000+IFERROR(MATCH('ORDENES'!$AF559,lista_turnos,0),9)*10000000+IFERROR(MATCH('ORDENES'!$AE559,tblTecnicos[nombre],0),99)*100000+556,9000000000000+556)</f>
        <v/>
      </c>
      <c r="M563" s="3">
        <f>IF(K563=1,SUMPRODUCT(--($L$8:$L$1207&lt;L563))+1,"")</f>
        <v/>
      </c>
      <c r="N563" s="17">
        <f>IF(K563=1,N('ORDENES'!$M559),0)</f>
        <v/>
      </c>
      <c r="O563" s="17">
        <f>IF('ORDENES'!$T559="preventiva",N563,0)</f>
        <v/>
      </c>
      <c r="P563" s="17">
        <f>IF('ORDENES'!$T559="correctiva",N563,0)</f>
        <v/>
      </c>
      <c r="Q563" s="3">
        <f>IF(AND(K563=1,'ORDENES'!$N559="Pendiente"),1,0)</f>
        <v/>
      </c>
      <c r="R563" s="3">
        <f>IF(Q563=1,100000-N563*1000+556*0.01,9000000000000+556)</f>
        <v/>
      </c>
      <c r="S563" s="3">
        <f>IF(Q563=1,SUMPRODUCT(--($R$8:$R$1207&lt;R563))+1,"")</f>
        <v/>
      </c>
      <c r="T563" s="12">
        <f>IF(K563=1,'ORDENES'!$J559,"")</f>
        <v/>
      </c>
    </row>
    <row r="564">
      <c r="K564" s="3">
        <f>IF(AND(IF($B$3="(todos)",TRUE,'ORDENES'!$O560=$B$3),IF($D$3="(todos)",TRUE,'ORDENES'!$AF560=$D$3),IF($F$3="(todos)",TRUE,'ORDENES'!$X560=$F$3),IF($H$3="(todos)",TRUE,'ORDENES'!$W560=$H$3),'ORDENES'!$AD560=TRUE,'ORDENES'!$A560&lt;&gt;""),1,0)</f>
        <v/>
      </c>
      <c r="L564" s="3">
        <f>IF(K564=1,IFERROR(MATCH('ORDENES'!$R560,lista_dias,0),9)*1000000000+IFERROR(MATCH('ORDENES'!$AF560,lista_turnos,0),9)*10000000+IFERROR(MATCH('ORDENES'!$AE560,tblTecnicos[nombre],0),99)*100000+557,9000000000000+557)</f>
        <v/>
      </c>
      <c r="M564" s="3">
        <f>IF(K564=1,SUMPRODUCT(--($L$8:$L$1207&lt;L564))+1,"")</f>
        <v/>
      </c>
      <c r="N564" s="17">
        <f>IF(K564=1,N('ORDENES'!$M560),0)</f>
        <v/>
      </c>
      <c r="O564" s="17">
        <f>IF('ORDENES'!$T560="preventiva",N564,0)</f>
        <v/>
      </c>
      <c r="P564" s="17">
        <f>IF('ORDENES'!$T560="correctiva",N564,0)</f>
        <v/>
      </c>
      <c r="Q564" s="3">
        <f>IF(AND(K564=1,'ORDENES'!$N560="Pendiente"),1,0)</f>
        <v/>
      </c>
      <c r="R564" s="3">
        <f>IF(Q564=1,100000-N564*1000+557*0.01,9000000000000+557)</f>
        <v/>
      </c>
      <c r="S564" s="3">
        <f>IF(Q564=1,SUMPRODUCT(--($R$8:$R$1207&lt;R564))+1,"")</f>
        <v/>
      </c>
      <c r="T564" s="12">
        <f>IF(K564=1,'ORDENES'!$J560,"")</f>
        <v/>
      </c>
    </row>
    <row r="565">
      <c r="K565" s="3">
        <f>IF(AND(IF($B$3="(todos)",TRUE,'ORDENES'!$O561=$B$3),IF($D$3="(todos)",TRUE,'ORDENES'!$AF561=$D$3),IF($F$3="(todos)",TRUE,'ORDENES'!$X561=$F$3),IF($H$3="(todos)",TRUE,'ORDENES'!$W561=$H$3),'ORDENES'!$AD561=TRUE,'ORDENES'!$A561&lt;&gt;""),1,0)</f>
        <v/>
      </c>
      <c r="L565" s="3">
        <f>IF(K565=1,IFERROR(MATCH('ORDENES'!$R561,lista_dias,0),9)*1000000000+IFERROR(MATCH('ORDENES'!$AF561,lista_turnos,0),9)*10000000+IFERROR(MATCH('ORDENES'!$AE561,tblTecnicos[nombre],0),99)*100000+558,9000000000000+558)</f>
        <v/>
      </c>
      <c r="M565" s="3">
        <f>IF(K565=1,SUMPRODUCT(--($L$8:$L$1207&lt;L565))+1,"")</f>
        <v/>
      </c>
      <c r="N565" s="17">
        <f>IF(K565=1,N('ORDENES'!$M561),0)</f>
        <v/>
      </c>
      <c r="O565" s="17">
        <f>IF('ORDENES'!$T561="preventiva",N565,0)</f>
        <v/>
      </c>
      <c r="P565" s="17">
        <f>IF('ORDENES'!$T561="correctiva",N565,0)</f>
        <v/>
      </c>
      <c r="Q565" s="3">
        <f>IF(AND(K565=1,'ORDENES'!$N561="Pendiente"),1,0)</f>
        <v/>
      </c>
      <c r="R565" s="3">
        <f>IF(Q565=1,100000-N565*1000+558*0.01,9000000000000+558)</f>
        <v/>
      </c>
      <c r="S565" s="3">
        <f>IF(Q565=1,SUMPRODUCT(--($R$8:$R$1207&lt;R565))+1,"")</f>
        <v/>
      </c>
      <c r="T565" s="12">
        <f>IF(K565=1,'ORDENES'!$J561,"")</f>
        <v/>
      </c>
    </row>
    <row r="566">
      <c r="K566" s="3">
        <f>IF(AND(IF($B$3="(todos)",TRUE,'ORDENES'!$O562=$B$3),IF($D$3="(todos)",TRUE,'ORDENES'!$AF562=$D$3),IF($F$3="(todos)",TRUE,'ORDENES'!$X562=$F$3),IF($H$3="(todos)",TRUE,'ORDENES'!$W562=$H$3),'ORDENES'!$AD562=TRUE,'ORDENES'!$A562&lt;&gt;""),1,0)</f>
        <v/>
      </c>
      <c r="L566" s="3">
        <f>IF(K566=1,IFERROR(MATCH('ORDENES'!$R562,lista_dias,0),9)*1000000000+IFERROR(MATCH('ORDENES'!$AF562,lista_turnos,0),9)*10000000+IFERROR(MATCH('ORDENES'!$AE562,tblTecnicos[nombre],0),99)*100000+559,9000000000000+559)</f>
        <v/>
      </c>
      <c r="M566" s="3">
        <f>IF(K566=1,SUMPRODUCT(--($L$8:$L$1207&lt;L566))+1,"")</f>
        <v/>
      </c>
      <c r="N566" s="17">
        <f>IF(K566=1,N('ORDENES'!$M562),0)</f>
        <v/>
      </c>
      <c r="O566" s="17">
        <f>IF('ORDENES'!$T562="preventiva",N566,0)</f>
        <v/>
      </c>
      <c r="P566" s="17">
        <f>IF('ORDENES'!$T562="correctiva",N566,0)</f>
        <v/>
      </c>
      <c r="Q566" s="3">
        <f>IF(AND(K566=1,'ORDENES'!$N562="Pendiente"),1,0)</f>
        <v/>
      </c>
      <c r="R566" s="3">
        <f>IF(Q566=1,100000-N566*1000+559*0.01,9000000000000+559)</f>
        <v/>
      </c>
      <c r="S566" s="3">
        <f>IF(Q566=1,SUMPRODUCT(--($R$8:$R$1207&lt;R566))+1,"")</f>
        <v/>
      </c>
      <c r="T566" s="12">
        <f>IF(K566=1,'ORDENES'!$J562,"")</f>
        <v/>
      </c>
    </row>
    <row r="567">
      <c r="K567" s="3">
        <f>IF(AND(IF($B$3="(todos)",TRUE,'ORDENES'!$O563=$B$3),IF($D$3="(todos)",TRUE,'ORDENES'!$AF563=$D$3),IF($F$3="(todos)",TRUE,'ORDENES'!$X563=$F$3),IF($H$3="(todos)",TRUE,'ORDENES'!$W563=$H$3),'ORDENES'!$AD563=TRUE,'ORDENES'!$A563&lt;&gt;""),1,0)</f>
        <v/>
      </c>
      <c r="L567" s="3">
        <f>IF(K567=1,IFERROR(MATCH('ORDENES'!$R563,lista_dias,0),9)*1000000000+IFERROR(MATCH('ORDENES'!$AF563,lista_turnos,0),9)*10000000+IFERROR(MATCH('ORDENES'!$AE563,tblTecnicos[nombre],0),99)*100000+560,9000000000000+560)</f>
        <v/>
      </c>
      <c r="M567" s="3">
        <f>IF(K567=1,SUMPRODUCT(--($L$8:$L$1207&lt;L567))+1,"")</f>
        <v/>
      </c>
      <c r="N567" s="17">
        <f>IF(K567=1,N('ORDENES'!$M563),0)</f>
        <v/>
      </c>
      <c r="O567" s="17">
        <f>IF('ORDENES'!$T563="preventiva",N567,0)</f>
        <v/>
      </c>
      <c r="P567" s="17">
        <f>IF('ORDENES'!$T563="correctiva",N567,0)</f>
        <v/>
      </c>
      <c r="Q567" s="3">
        <f>IF(AND(K567=1,'ORDENES'!$N563="Pendiente"),1,0)</f>
        <v/>
      </c>
      <c r="R567" s="3">
        <f>IF(Q567=1,100000-N567*1000+560*0.01,9000000000000+560)</f>
        <v/>
      </c>
      <c r="S567" s="3">
        <f>IF(Q567=1,SUMPRODUCT(--($R$8:$R$1207&lt;R567))+1,"")</f>
        <v/>
      </c>
      <c r="T567" s="12">
        <f>IF(K567=1,'ORDENES'!$J563,"")</f>
        <v/>
      </c>
    </row>
    <row r="568">
      <c r="K568" s="3">
        <f>IF(AND(IF($B$3="(todos)",TRUE,'ORDENES'!$O564=$B$3),IF($D$3="(todos)",TRUE,'ORDENES'!$AF564=$D$3),IF($F$3="(todos)",TRUE,'ORDENES'!$X564=$F$3),IF($H$3="(todos)",TRUE,'ORDENES'!$W564=$H$3),'ORDENES'!$AD564=TRUE,'ORDENES'!$A564&lt;&gt;""),1,0)</f>
        <v/>
      </c>
      <c r="L568" s="3">
        <f>IF(K568=1,IFERROR(MATCH('ORDENES'!$R564,lista_dias,0),9)*1000000000+IFERROR(MATCH('ORDENES'!$AF564,lista_turnos,0),9)*10000000+IFERROR(MATCH('ORDENES'!$AE564,tblTecnicos[nombre],0),99)*100000+561,9000000000000+561)</f>
        <v/>
      </c>
      <c r="M568" s="3">
        <f>IF(K568=1,SUMPRODUCT(--($L$8:$L$1207&lt;L568))+1,"")</f>
        <v/>
      </c>
      <c r="N568" s="17">
        <f>IF(K568=1,N('ORDENES'!$M564),0)</f>
        <v/>
      </c>
      <c r="O568" s="17">
        <f>IF('ORDENES'!$T564="preventiva",N568,0)</f>
        <v/>
      </c>
      <c r="P568" s="17">
        <f>IF('ORDENES'!$T564="correctiva",N568,0)</f>
        <v/>
      </c>
      <c r="Q568" s="3">
        <f>IF(AND(K568=1,'ORDENES'!$N564="Pendiente"),1,0)</f>
        <v/>
      </c>
      <c r="R568" s="3">
        <f>IF(Q568=1,100000-N568*1000+561*0.01,9000000000000+561)</f>
        <v/>
      </c>
      <c r="S568" s="3">
        <f>IF(Q568=1,SUMPRODUCT(--($R$8:$R$1207&lt;R568))+1,"")</f>
        <v/>
      </c>
      <c r="T568" s="12">
        <f>IF(K568=1,'ORDENES'!$J564,"")</f>
        <v/>
      </c>
    </row>
    <row r="569">
      <c r="K569" s="3">
        <f>IF(AND(IF($B$3="(todos)",TRUE,'ORDENES'!$O565=$B$3),IF($D$3="(todos)",TRUE,'ORDENES'!$AF565=$D$3),IF($F$3="(todos)",TRUE,'ORDENES'!$X565=$F$3),IF($H$3="(todos)",TRUE,'ORDENES'!$W565=$H$3),'ORDENES'!$AD565=TRUE,'ORDENES'!$A565&lt;&gt;""),1,0)</f>
        <v/>
      </c>
      <c r="L569" s="3">
        <f>IF(K569=1,IFERROR(MATCH('ORDENES'!$R565,lista_dias,0),9)*1000000000+IFERROR(MATCH('ORDENES'!$AF565,lista_turnos,0),9)*10000000+IFERROR(MATCH('ORDENES'!$AE565,tblTecnicos[nombre],0),99)*100000+562,9000000000000+562)</f>
        <v/>
      </c>
      <c r="M569" s="3">
        <f>IF(K569=1,SUMPRODUCT(--($L$8:$L$1207&lt;L569))+1,"")</f>
        <v/>
      </c>
      <c r="N569" s="17">
        <f>IF(K569=1,N('ORDENES'!$M565),0)</f>
        <v/>
      </c>
      <c r="O569" s="17">
        <f>IF('ORDENES'!$T565="preventiva",N569,0)</f>
        <v/>
      </c>
      <c r="P569" s="17">
        <f>IF('ORDENES'!$T565="correctiva",N569,0)</f>
        <v/>
      </c>
      <c r="Q569" s="3">
        <f>IF(AND(K569=1,'ORDENES'!$N565="Pendiente"),1,0)</f>
        <v/>
      </c>
      <c r="R569" s="3">
        <f>IF(Q569=1,100000-N569*1000+562*0.01,9000000000000+562)</f>
        <v/>
      </c>
      <c r="S569" s="3">
        <f>IF(Q569=1,SUMPRODUCT(--($R$8:$R$1207&lt;R569))+1,"")</f>
        <v/>
      </c>
      <c r="T569" s="12">
        <f>IF(K569=1,'ORDENES'!$J565,"")</f>
        <v/>
      </c>
    </row>
    <row r="570">
      <c r="K570" s="3">
        <f>IF(AND(IF($B$3="(todos)",TRUE,'ORDENES'!$O566=$B$3),IF($D$3="(todos)",TRUE,'ORDENES'!$AF566=$D$3),IF($F$3="(todos)",TRUE,'ORDENES'!$X566=$F$3),IF($H$3="(todos)",TRUE,'ORDENES'!$W566=$H$3),'ORDENES'!$AD566=TRUE,'ORDENES'!$A566&lt;&gt;""),1,0)</f>
        <v/>
      </c>
      <c r="L570" s="3">
        <f>IF(K570=1,IFERROR(MATCH('ORDENES'!$R566,lista_dias,0),9)*1000000000+IFERROR(MATCH('ORDENES'!$AF566,lista_turnos,0),9)*10000000+IFERROR(MATCH('ORDENES'!$AE566,tblTecnicos[nombre],0),99)*100000+563,9000000000000+563)</f>
        <v/>
      </c>
      <c r="M570" s="3">
        <f>IF(K570=1,SUMPRODUCT(--($L$8:$L$1207&lt;L570))+1,"")</f>
        <v/>
      </c>
      <c r="N570" s="17">
        <f>IF(K570=1,N('ORDENES'!$M566),0)</f>
        <v/>
      </c>
      <c r="O570" s="17">
        <f>IF('ORDENES'!$T566="preventiva",N570,0)</f>
        <v/>
      </c>
      <c r="P570" s="17">
        <f>IF('ORDENES'!$T566="correctiva",N570,0)</f>
        <v/>
      </c>
      <c r="Q570" s="3">
        <f>IF(AND(K570=1,'ORDENES'!$N566="Pendiente"),1,0)</f>
        <v/>
      </c>
      <c r="R570" s="3">
        <f>IF(Q570=1,100000-N570*1000+563*0.01,9000000000000+563)</f>
        <v/>
      </c>
      <c r="S570" s="3">
        <f>IF(Q570=1,SUMPRODUCT(--($R$8:$R$1207&lt;R570))+1,"")</f>
        <v/>
      </c>
      <c r="T570" s="12">
        <f>IF(K570=1,'ORDENES'!$J566,"")</f>
        <v/>
      </c>
    </row>
    <row r="571">
      <c r="K571" s="3">
        <f>IF(AND(IF($B$3="(todos)",TRUE,'ORDENES'!$O567=$B$3),IF($D$3="(todos)",TRUE,'ORDENES'!$AF567=$D$3),IF($F$3="(todos)",TRUE,'ORDENES'!$X567=$F$3),IF($H$3="(todos)",TRUE,'ORDENES'!$W567=$H$3),'ORDENES'!$AD567=TRUE,'ORDENES'!$A567&lt;&gt;""),1,0)</f>
        <v/>
      </c>
      <c r="L571" s="3">
        <f>IF(K571=1,IFERROR(MATCH('ORDENES'!$R567,lista_dias,0),9)*1000000000+IFERROR(MATCH('ORDENES'!$AF567,lista_turnos,0),9)*10000000+IFERROR(MATCH('ORDENES'!$AE567,tblTecnicos[nombre],0),99)*100000+564,9000000000000+564)</f>
        <v/>
      </c>
      <c r="M571" s="3">
        <f>IF(K571=1,SUMPRODUCT(--($L$8:$L$1207&lt;L571))+1,"")</f>
        <v/>
      </c>
      <c r="N571" s="17">
        <f>IF(K571=1,N('ORDENES'!$M567),0)</f>
        <v/>
      </c>
      <c r="O571" s="17">
        <f>IF('ORDENES'!$T567="preventiva",N571,0)</f>
        <v/>
      </c>
      <c r="P571" s="17">
        <f>IF('ORDENES'!$T567="correctiva",N571,0)</f>
        <v/>
      </c>
      <c r="Q571" s="3">
        <f>IF(AND(K571=1,'ORDENES'!$N567="Pendiente"),1,0)</f>
        <v/>
      </c>
      <c r="R571" s="3">
        <f>IF(Q571=1,100000-N571*1000+564*0.01,9000000000000+564)</f>
        <v/>
      </c>
      <c r="S571" s="3">
        <f>IF(Q571=1,SUMPRODUCT(--($R$8:$R$1207&lt;R571))+1,"")</f>
        <v/>
      </c>
      <c r="T571" s="12">
        <f>IF(K571=1,'ORDENES'!$J567,"")</f>
        <v/>
      </c>
    </row>
    <row r="572">
      <c r="K572" s="3">
        <f>IF(AND(IF($B$3="(todos)",TRUE,'ORDENES'!$O568=$B$3),IF($D$3="(todos)",TRUE,'ORDENES'!$AF568=$D$3),IF($F$3="(todos)",TRUE,'ORDENES'!$X568=$F$3),IF($H$3="(todos)",TRUE,'ORDENES'!$W568=$H$3),'ORDENES'!$AD568=TRUE,'ORDENES'!$A568&lt;&gt;""),1,0)</f>
        <v/>
      </c>
      <c r="L572" s="3">
        <f>IF(K572=1,IFERROR(MATCH('ORDENES'!$R568,lista_dias,0),9)*1000000000+IFERROR(MATCH('ORDENES'!$AF568,lista_turnos,0),9)*10000000+IFERROR(MATCH('ORDENES'!$AE568,tblTecnicos[nombre],0),99)*100000+565,9000000000000+565)</f>
        <v/>
      </c>
      <c r="M572" s="3">
        <f>IF(K572=1,SUMPRODUCT(--($L$8:$L$1207&lt;L572))+1,"")</f>
        <v/>
      </c>
      <c r="N572" s="17">
        <f>IF(K572=1,N('ORDENES'!$M568),0)</f>
        <v/>
      </c>
      <c r="O572" s="17">
        <f>IF('ORDENES'!$T568="preventiva",N572,0)</f>
        <v/>
      </c>
      <c r="P572" s="17">
        <f>IF('ORDENES'!$T568="correctiva",N572,0)</f>
        <v/>
      </c>
      <c r="Q572" s="3">
        <f>IF(AND(K572=1,'ORDENES'!$N568="Pendiente"),1,0)</f>
        <v/>
      </c>
      <c r="R572" s="3">
        <f>IF(Q572=1,100000-N572*1000+565*0.01,9000000000000+565)</f>
        <v/>
      </c>
      <c r="S572" s="3">
        <f>IF(Q572=1,SUMPRODUCT(--($R$8:$R$1207&lt;R572))+1,"")</f>
        <v/>
      </c>
      <c r="T572" s="12">
        <f>IF(K572=1,'ORDENES'!$J568,"")</f>
        <v/>
      </c>
    </row>
    <row r="573">
      <c r="K573" s="3">
        <f>IF(AND(IF($B$3="(todos)",TRUE,'ORDENES'!$O569=$B$3),IF($D$3="(todos)",TRUE,'ORDENES'!$AF569=$D$3),IF($F$3="(todos)",TRUE,'ORDENES'!$X569=$F$3),IF($H$3="(todos)",TRUE,'ORDENES'!$W569=$H$3),'ORDENES'!$AD569=TRUE,'ORDENES'!$A569&lt;&gt;""),1,0)</f>
        <v/>
      </c>
      <c r="L573" s="3">
        <f>IF(K573=1,IFERROR(MATCH('ORDENES'!$R569,lista_dias,0),9)*1000000000+IFERROR(MATCH('ORDENES'!$AF569,lista_turnos,0),9)*10000000+IFERROR(MATCH('ORDENES'!$AE569,tblTecnicos[nombre],0),99)*100000+566,9000000000000+566)</f>
        <v/>
      </c>
      <c r="M573" s="3">
        <f>IF(K573=1,SUMPRODUCT(--($L$8:$L$1207&lt;L573))+1,"")</f>
        <v/>
      </c>
      <c r="N573" s="17">
        <f>IF(K573=1,N('ORDENES'!$M569),0)</f>
        <v/>
      </c>
      <c r="O573" s="17">
        <f>IF('ORDENES'!$T569="preventiva",N573,0)</f>
        <v/>
      </c>
      <c r="P573" s="17">
        <f>IF('ORDENES'!$T569="correctiva",N573,0)</f>
        <v/>
      </c>
      <c r="Q573" s="3">
        <f>IF(AND(K573=1,'ORDENES'!$N569="Pendiente"),1,0)</f>
        <v/>
      </c>
      <c r="R573" s="3">
        <f>IF(Q573=1,100000-N573*1000+566*0.01,9000000000000+566)</f>
        <v/>
      </c>
      <c r="S573" s="3">
        <f>IF(Q573=1,SUMPRODUCT(--($R$8:$R$1207&lt;R573))+1,"")</f>
        <v/>
      </c>
      <c r="T573" s="12">
        <f>IF(K573=1,'ORDENES'!$J569,"")</f>
        <v/>
      </c>
    </row>
    <row r="574">
      <c r="K574" s="3">
        <f>IF(AND(IF($B$3="(todos)",TRUE,'ORDENES'!$O570=$B$3),IF($D$3="(todos)",TRUE,'ORDENES'!$AF570=$D$3),IF($F$3="(todos)",TRUE,'ORDENES'!$X570=$F$3),IF($H$3="(todos)",TRUE,'ORDENES'!$W570=$H$3),'ORDENES'!$AD570=TRUE,'ORDENES'!$A570&lt;&gt;""),1,0)</f>
        <v/>
      </c>
      <c r="L574" s="3">
        <f>IF(K574=1,IFERROR(MATCH('ORDENES'!$R570,lista_dias,0),9)*1000000000+IFERROR(MATCH('ORDENES'!$AF570,lista_turnos,0),9)*10000000+IFERROR(MATCH('ORDENES'!$AE570,tblTecnicos[nombre],0),99)*100000+567,9000000000000+567)</f>
        <v/>
      </c>
      <c r="M574" s="3">
        <f>IF(K574=1,SUMPRODUCT(--($L$8:$L$1207&lt;L574))+1,"")</f>
        <v/>
      </c>
      <c r="N574" s="17">
        <f>IF(K574=1,N('ORDENES'!$M570),0)</f>
        <v/>
      </c>
      <c r="O574" s="17">
        <f>IF('ORDENES'!$T570="preventiva",N574,0)</f>
        <v/>
      </c>
      <c r="P574" s="17">
        <f>IF('ORDENES'!$T570="correctiva",N574,0)</f>
        <v/>
      </c>
      <c r="Q574" s="3">
        <f>IF(AND(K574=1,'ORDENES'!$N570="Pendiente"),1,0)</f>
        <v/>
      </c>
      <c r="R574" s="3">
        <f>IF(Q574=1,100000-N574*1000+567*0.01,9000000000000+567)</f>
        <v/>
      </c>
      <c r="S574" s="3">
        <f>IF(Q574=1,SUMPRODUCT(--($R$8:$R$1207&lt;R574))+1,"")</f>
        <v/>
      </c>
      <c r="T574" s="12">
        <f>IF(K574=1,'ORDENES'!$J570,"")</f>
        <v/>
      </c>
    </row>
    <row r="575">
      <c r="K575" s="3">
        <f>IF(AND(IF($B$3="(todos)",TRUE,'ORDENES'!$O571=$B$3),IF($D$3="(todos)",TRUE,'ORDENES'!$AF571=$D$3),IF($F$3="(todos)",TRUE,'ORDENES'!$X571=$F$3),IF($H$3="(todos)",TRUE,'ORDENES'!$W571=$H$3),'ORDENES'!$AD571=TRUE,'ORDENES'!$A571&lt;&gt;""),1,0)</f>
        <v/>
      </c>
      <c r="L575" s="3">
        <f>IF(K575=1,IFERROR(MATCH('ORDENES'!$R571,lista_dias,0),9)*1000000000+IFERROR(MATCH('ORDENES'!$AF571,lista_turnos,0),9)*10000000+IFERROR(MATCH('ORDENES'!$AE571,tblTecnicos[nombre],0),99)*100000+568,9000000000000+568)</f>
        <v/>
      </c>
      <c r="M575" s="3">
        <f>IF(K575=1,SUMPRODUCT(--($L$8:$L$1207&lt;L575))+1,"")</f>
        <v/>
      </c>
      <c r="N575" s="17">
        <f>IF(K575=1,N('ORDENES'!$M571),0)</f>
        <v/>
      </c>
      <c r="O575" s="17">
        <f>IF('ORDENES'!$T571="preventiva",N575,0)</f>
        <v/>
      </c>
      <c r="P575" s="17">
        <f>IF('ORDENES'!$T571="correctiva",N575,0)</f>
        <v/>
      </c>
      <c r="Q575" s="3">
        <f>IF(AND(K575=1,'ORDENES'!$N571="Pendiente"),1,0)</f>
        <v/>
      </c>
      <c r="R575" s="3">
        <f>IF(Q575=1,100000-N575*1000+568*0.01,9000000000000+568)</f>
        <v/>
      </c>
      <c r="S575" s="3">
        <f>IF(Q575=1,SUMPRODUCT(--($R$8:$R$1207&lt;R575))+1,"")</f>
        <v/>
      </c>
      <c r="T575" s="12">
        <f>IF(K575=1,'ORDENES'!$J571,"")</f>
        <v/>
      </c>
    </row>
    <row r="576">
      <c r="K576" s="3">
        <f>IF(AND(IF($B$3="(todos)",TRUE,'ORDENES'!$O572=$B$3),IF($D$3="(todos)",TRUE,'ORDENES'!$AF572=$D$3),IF($F$3="(todos)",TRUE,'ORDENES'!$X572=$F$3),IF($H$3="(todos)",TRUE,'ORDENES'!$W572=$H$3),'ORDENES'!$AD572=TRUE,'ORDENES'!$A572&lt;&gt;""),1,0)</f>
        <v/>
      </c>
      <c r="L576" s="3">
        <f>IF(K576=1,IFERROR(MATCH('ORDENES'!$R572,lista_dias,0),9)*1000000000+IFERROR(MATCH('ORDENES'!$AF572,lista_turnos,0),9)*10000000+IFERROR(MATCH('ORDENES'!$AE572,tblTecnicos[nombre],0),99)*100000+569,9000000000000+569)</f>
        <v/>
      </c>
      <c r="M576" s="3">
        <f>IF(K576=1,SUMPRODUCT(--($L$8:$L$1207&lt;L576))+1,"")</f>
        <v/>
      </c>
      <c r="N576" s="17">
        <f>IF(K576=1,N('ORDENES'!$M572),0)</f>
        <v/>
      </c>
      <c r="O576" s="17">
        <f>IF('ORDENES'!$T572="preventiva",N576,0)</f>
        <v/>
      </c>
      <c r="P576" s="17">
        <f>IF('ORDENES'!$T572="correctiva",N576,0)</f>
        <v/>
      </c>
      <c r="Q576" s="3">
        <f>IF(AND(K576=1,'ORDENES'!$N572="Pendiente"),1,0)</f>
        <v/>
      </c>
      <c r="R576" s="3">
        <f>IF(Q576=1,100000-N576*1000+569*0.01,9000000000000+569)</f>
        <v/>
      </c>
      <c r="S576" s="3">
        <f>IF(Q576=1,SUMPRODUCT(--($R$8:$R$1207&lt;R576))+1,"")</f>
        <v/>
      </c>
      <c r="T576" s="12">
        <f>IF(K576=1,'ORDENES'!$J572,"")</f>
        <v/>
      </c>
    </row>
    <row r="577">
      <c r="K577" s="3">
        <f>IF(AND(IF($B$3="(todos)",TRUE,'ORDENES'!$O573=$B$3),IF($D$3="(todos)",TRUE,'ORDENES'!$AF573=$D$3),IF($F$3="(todos)",TRUE,'ORDENES'!$X573=$F$3),IF($H$3="(todos)",TRUE,'ORDENES'!$W573=$H$3),'ORDENES'!$AD573=TRUE,'ORDENES'!$A573&lt;&gt;""),1,0)</f>
        <v/>
      </c>
      <c r="L577" s="3">
        <f>IF(K577=1,IFERROR(MATCH('ORDENES'!$R573,lista_dias,0),9)*1000000000+IFERROR(MATCH('ORDENES'!$AF573,lista_turnos,0),9)*10000000+IFERROR(MATCH('ORDENES'!$AE573,tblTecnicos[nombre],0),99)*100000+570,9000000000000+570)</f>
        <v/>
      </c>
      <c r="M577" s="3">
        <f>IF(K577=1,SUMPRODUCT(--($L$8:$L$1207&lt;L577))+1,"")</f>
        <v/>
      </c>
      <c r="N577" s="17">
        <f>IF(K577=1,N('ORDENES'!$M573),0)</f>
        <v/>
      </c>
      <c r="O577" s="17">
        <f>IF('ORDENES'!$T573="preventiva",N577,0)</f>
        <v/>
      </c>
      <c r="P577" s="17">
        <f>IF('ORDENES'!$T573="correctiva",N577,0)</f>
        <v/>
      </c>
      <c r="Q577" s="3">
        <f>IF(AND(K577=1,'ORDENES'!$N573="Pendiente"),1,0)</f>
        <v/>
      </c>
      <c r="R577" s="3">
        <f>IF(Q577=1,100000-N577*1000+570*0.01,9000000000000+570)</f>
        <v/>
      </c>
      <c r="S577" s="3">
        <f>IF(Q577=1,SUMPRODUCT(--($R$8:$R$1207&lt;R577))+1,"")</f>
        <v/>
      </c>
      <c r="T577" s="12">
        <f>IF(K577=1,'ORDENES'!$J573,"")</f>
        <v/>
      </c>
    </row>
    <row r="578">
      <c r="K578" s="3">
        <f>IF(AND(IF($B$3="(todos)",TRUE,'ORDENES'!$O574=$B$3),IF($D$3="(todos)",TRUE,'ORDENES'!$AF574=$D$3),IF($F$3="(todos)",TRUE,'ORDENES'!$X574=$F$3),IF($H$3="(todos)",TRUE,'ORDENES'!$W574=$H$3),'ORDENES'!$AD574=TRUE,'ORDENES'!$A574&lt;&gt;""),1,0)</f>
        <v/>
      </c>
      <c r="L578" s="3">
        <f>IF(K578=1,IFERROR(MATCH('ORDENES'!$R574,lista_dias,0),9)*1000000000+IFERROR(MATCH('ORDENES'!$AF574,lista_turnos,0),9)*10000000+IFERROR(MATCH('ORDENES'!$AE574,tblTecnicos[nombre],0),99)*100000+571,9000000000000+571)</f>
        <v/>
      </c>
      <c r="M578" s="3">
        <f>IF(K578=1,SUMPRODUCT(--($L$8:$L$1207&lt;L578))+1,"")</f>
        <v/>
      </c>
      <c r="N578" s="17">
        <f>IF(K578=1,N('ORDENES'!$M574),0)</f>
        <v/>
      </c>
      <c r="O578" s="17">
        <f>IF('ORDENES'!$T574="preventiva",N578,0)</f>
        <v/>
      </c>
      <c r="P578" s="17">
        <f>IF('ORDENES'!$T574="correctiva",N578,0)</f>
        <v/>
      </c>
      <c r="Q578" s="3">
        <f>IF(AND(K578=1,'ORDENES'!$N574="Pendiente"),1,0)</f>
        <v/>
      </c>
      <c r="R578" s="3">
        <f>IF(Q578=1,100000-N578*1000+571*0.01,9000000000000+571)</f>
        <v/>
      </c>
      <c r="S578" s="3">
        <f>IF(Q578=1,SUMPRODUCT(--($R$8:$R$1207&lt;R578))+1,"")</f>
        <v/>
      </c>
      <c r="T578" s="12">
        <f>IF(K578=1,'ORDENES'!$J574,"")</f>
        <v/>
      </c>
    </row>
    <row r="579">
      <c r="K579" s="3">
        <f>IF(AND(IF($B$3="(todos)",TRUE,'ORDENES'!$O575=$B$3),IF($D$3="(todos)",TRUE,'ORDENES'!$AF575=$D$3),IF($F$3="(todos)",TRUE,'ORDENES'!$X575=$F$3),IF($H$3="(todos)",TRUE,'ORDENES'!$W575=$H$3),'ORDENES'!$AD575=TRUE,'ORDENES'!$A575&lt;&gt;""),1,0)</f>
        <v/>
      </c>
      <c r="L579" s="3">
        <f>IF(K579=1,IFERROR(MATCH('ORDENES'!$R575,lista_dias,0),9)*1000000000+IFERROR(MATCH('ORDENES'!$AF575,lista_turnos,0),9)*10000000+IFERROR(MATCH('ORDENES'!$AE575,tblTecnicos[nombre],0),99)*100000+572,9000000000000+572)</f>
        <v/>
      </c>
      <c r="M579" s="3">
        <f>IF(K579=1,SUMPRODUCT(--($L$8:$L$1207&lt;L579))+1,"")</f>
        <v/>
      </c>
      <c r="N579" s="17">
        <f>IF(K579=1,N('ORDENES'!$M575),0)</f>
        <v/>
      </c>
      <c r="O579" s="17">
        <f>IF('ORDENES'!$T575="preventiva",N579,0)</f>
        <v/>
      </c>
      <c r="P579" s="17">
        <f>IF('ORDENES'!$T575="correctiva",N579,0)</f>
        <v/>
      </c>
      <c r="Q579" s="3">
        <f>IF(AND(K579=1,'ORDENES'!$N575="Pendiente"),1,0)</f>
        <v/>
      </c>
      <c r="R579" s="3">
        <f>IF(Q579=1,100000-N579*1000+572*0.01,9000000000000+572)</f>
        <v/>
      </c>
      <c r="S579" s="3">
        <f>IF(Q579=1,SUMPRODUCT(--($R$8:$R$1207&lt;R579))+1,"")</f>
        <v/>
      </c>
      <c r="T579" s="12">
        <f>IF(K579=1,'ORDENES'!$J575,"")</f>
        <v/>
      </c>
    </row>
    <row r="580">
      <c r="K580" s="3">
        <f>IF(AND(IF($B$3="(todos)",TRUE,'ORDENES'!$O576=$B$3),IF($D$3="(todos)",TRUE,'ORDENES'!$AF576=$D$3),IF($F$3="(todos)",TRUE,'ORDENES'!$X576=$F$3),IF($H$3="(todos)",TRUE,'ORDENES'!$W576=$H$3),'ORDENES'!$AD576=TRUE,'ORDENES'!$A576&lt;&gt;""),1,0)</f>
        <v/>
      </c>
      <c r="L580" s="3">
        <f>IF(K580=1,IFERROR(MATCH('ORDENES'!$R576,lista_dias,0),9)*1000000000+IFERROR(MATCH('ORDENES'!$AF576,lista_turnos,0),9)*10000000+IFERROR(MATCH('ORDENES'!$AE576,tblTecnicos[nombre],0),99)*100000+573,9000000000000+573)</f>
        <v/>
      </c>
      <c r="M580" s="3">
        <f>IF(K580=1,SUMPRODUCT(--($L$8:$L$1207&lt;L580))+1,"")</f>
        <v/>
      </c>
      <c r="N580" s="17">
        <f>IF(K580=1,N('ORDENES'!$M576),0)</f>
        <v/>
      </c>
      <c r="O580" s="17">
        <f>IF('ORDENES'!$T576="preventiva",N580,0)</f>
        <v/>
      </c>
      <c r="P580" s="17">
        <f>IF('ORDENES'!$T576="correctiva",N580,0)</f>
        <v/>
      </c>
      <c r="Q580" s="3">
        <f>IF(AND(K580=1,'ORDENES'!$N576="Pendiente"),1,0)</f>
        <v/>
      </c>
      <c r="R580" s="3">
        <f>IF(Q580=1,100000-N580*1000+573*0.01,9000000000000+573)</f>
        <v/>
      </c>
      <c r="S580" s="3">
        <f>IF(Q580=1,SUMPRODUCT(--($R$8:$R$1207&lt;R580))+1,"")</f>
        <v/>
      </c>
      <c r="T580" s="12">
        <f>IF(K580=1,'ORDENES'!$J576,"")</f>
        <v/>
      </c>
    </row>
    <row r="581">
      <c r="K581" s="3">
        <f>IF(AND(IF($B$3="(todos)",TRUE,'ORDENES'!$O577=$B$3),IF($D$3="(todos)",TRUE,'ORDENES'!$AF577=$D$3),IF($F$3="(todos)",TRUE,'ORDENES'!$X577=$F$3),IF($H$3="(todos)",TRUE,'ORDENES'!$W577=$H$3),'ORDENES'!$AD577=TRUE,'ORDENES'!$A577&lt;&gt;""),1,0)</f>
        <v/>
      </c>
      <c r="L581" s="3">
        <f>IF(K581=1,IFERROR(MATCH('ORDENES'!$R577,lista_dias,0),9)*1000000000+IFERROR(MATCH('ORDENES'!$AF577,lista_turnos,0),9)*10000000+IFERROR(MATCH('ORDENES'!$AE577,tblTecnicos[nombre],0),99)*100000+574,9000000000000+574)</f>
        <v/>
      </c>
      <c r="M581" s="3">
        <f>IF(K581=1,SUMPRODUCT(--($L$8:$L$1207&lt;L581))+1,"")</f>
        <v/>
      </c>
      <c r="N581" s="17">
        <f>IF(K581=1,N('ORDENES'!$M577),0)</f>
        <v/>
      </c>
      <c r="O581" s="17">
        <f>IF('ORDENES'!$T577="preventiva",N581,0)</f>
        <v/>
      </c>
      <c r="P581" s="17">
        <f>IF('ORDENES'!$T577="correctiva",N581,0)</f>
        <v/>
      </c>
      <c r="Q581" s="3">
        <f>IF(AND(K581=1,'ORDENES'!$N577="Pendiente"),1,0)</f>
        <v/>
      </c>
      <c r="R581" s="3">
        <f>IF(Q581=1,100000-N581*1000+574*0.01,9000000000000+574)</f>
        <v/>
      </c>
      <c r="S581" s="3">
        <f>IF(Q581=1,SUMPRODUCT(--($R$8:$R$1207&lt;R581))+1,"")</f>
        <v/>
      </c>
      <c r="T581" s="12">
        <f>IF(K581=1,'ORDENES'!$J577,"")</f>
        <v/>
      </c>
    </row>
    <row r="582">
      <c r="K582" s="3">
        <f>IF(AND(IF($B$3="(todos)",TRUE,'ORDENES'!$O578=$B$3),IF($D$3="(todos)",TRUE,'ORDENES'!$AF578=$D$3),IF($F$3="(todos)",TRUE,'ORDENES'!$X578=$F$3),IF($H$3="(todos)",TRUE,'ORDENES'!$W578=$H$3),'ORDENES'!$AD578=TRUE,'ORDENES'!$A578&lt;&gt;""),1,0)</f>
        <v/>
      </c>
      <c r="L582" s="3">
        <f>IF(K582=1,IFERROR(MATCH('ORDENES'!$R578,lista_dias,0),9)*1000000000+IFERROR(MATCH('ORDENES'!$AF578,lista_turnos,0),9)*10000000+IFERROR(MATCH('ORDENES'!$AE578,tblTecnicos[nombre],0),99)*100000+575,9000000000000+575)</f>
        <v/>
      </c>
      <c r="M582" s="3">
        <f>IF(K582=1,SUMPRODUCT(--($L$8:$L$1207&lt;L582))+1,"")</f>
        <v/>
      </c>
      <c r="N582" s="17">
        <f>IF(K582=1,N('ORDENES'!$M578),0)</f>
        <v/>
      </c>
      <c r="O582" s="17">
        <f>IF('ORDENES'!$T578="preventiva",N582,0)</f>
        <v/>
      </c>
      <c r="P582" s="17">
        <f>IF('ORDENES'!$T578="correctiva",N582,0)</f>
        <v/>
      </c>
      <c r="Q582" s="3">
        <f>IF(AND(K582=1,'ORDENES'!$N578="Pendiente"),1,0)</f>
        <v/>
      </c>
      <c r="R582" s="3">
        <f>IF(Q582=1,100000-N582*1000+575*0.01,9000000000000+575)</f>
        <v/>
      </c>
      <c r="S582" s="3">
        <f>IF(Q582=1,SUMPRODUCT(--($R$8:$R$1207&lt;R582))+1,"")</f>
        <v/>
      </c>
      <c r="T582" s="12">
        <f>IF(K582=1,'ORDENES'!$J578,"")</f>
        <v/>
      </c>
    </row>
    <row r="583">
      <c r="K583" s="3">
        <f>IF(AND(IF($B$3="(todos)",TRUE,'ORDENES'!$O579=$B$3),IF($D$3="(todos)",TRUE,'ORDENES'!$AF579=$D$3),IF($F$3="(todos)",TRUE,'ORDENES'!$X579=$F$3),IF($H$3="(todos)",TRUE,'ORDENES'!$W579=$H$3),'ORDENES'!$AD579=TRUE,'ORDENES'!$A579&lt;&gt;""),1,0)</f>
        <v/>
      </c>
      <c r="L583" s="3">
        <f>IF(K583=1,IFERROR(MATCH('ORDENES'!$R579,lista_dias,0),9)*1000000000+IFERROR(MATCH('ORDENES'!$AF579,lista_turnos,0),9)*10000000+IFERROR(MATCH('ORDENES'!$AE579,tblTecnicos[nombre],0),99)*100000+576,9000000000000+576)</f>
        <v/>
      </c>
      <c r="M583" s="3">
        <f>IF(K583=1,SUMPRODUCT(--($L$8:$L$1207&lt;L583))+1,"")</f>
        <v/>
      </c>
      <c r="N583" s="17">
        <f>IF(K583=1,N('ORDENES'!$M579),0)</f>
        <v/>
      </c>
      <c r="O583" s="17">
        <f>IF('ORDENES'!$T579="preventiva",N583,0)</f>
        <v/>
      </c>
      <c r="P583" s="17">
        <f>IF('ORDENES'!$T579="correctiva",N583,0)</f>
        <v/>
      </c>
      <c r="Q583" s="3">
        <f>IF(AND(K583=1,'ORDENES'!$N579="Pendiente"),1,0)</f>
        <v/>
      </c>
      <c r="R583" s="3">
        <f>IF(Q583=1,100000-N583*1000+576*0.01,9000000000000+576)</f>
        <v/>
      </c>
      <c r="S583" s="3">
        <f>IF(Q583=1,SUMPRODUCT(--($R$8:$R$1207&lt;R583))+1,"")</f>
        <v/>
      </c>
      <c r="T583" s="12">
        <f>IF(K583=1,'ORDENES'!$J579,"")</f>
        <v/>
      </c>
    </row>
    <row r="584">
      <c r="K584" s="3">
        <f>IF(AND(IF($B$3="(todos)",TRUE,'ORDENES'!$O580=$B$3),IF($D$3="(todos)",TRUE,'ORDENES'!$AF580=$D$3),IF($F$3="(todos)",TRUE,'ORDENES'!$X580=$F$3),IF($H$3="(todos)",TRUE,'ORDENES'!$W580=$H$3),'ORDENES'!$AD580=TRUE,'ORDENES'!$A580&lt;&gt;""),1,0)</f>
        <v/>
      </c>
      <c r="L584" s="3">
        <f>IF(K584=1,IFERROR(MATCH('ORDENES'!$R580,lista_dias,0),9)*1000000000+IFERROR(MATCH('ORDENES'!$AF580,lista_turnos,0),9)*10000000+IFERROR(MATCH('ORDENES'!$AE580,tblTecnicos[nombre],0),99)*100000+577,9000000000000+577)</f>
        <v/>
      </c>
      <c r="M584" s="3">
        <f>IF(K584=1,SUMPRODUCT(--($L$8:$L$1207&lt;L584))+1,"")</f>
        <v/>
      </c>
      <c r="N584" s="17">
        <f>IF(K584=1,N('ORDENES'!$M580),0)</f>
        <v/>
      </c>
      <c r="O584" s="17">
        <f>IF('ORDENES'!$T580="preventiva",N584,0)</f>
        <v/>
      </c>
      <c r="P584" s="17">
        <f>IF('ORDENES'!$T580="correctiva",N584,0)</f>
        <v/>
      </c>
      <c r="Q584" s="3">
        <f>IF(AND(K584=1,'ORDENES'!$N580="Pendiente"),1,0)</f>
        <v/>
      </c>
      <c r="R584" s="3">
        <f>IF(Q584=1,100000-N584*1000+577*0.01,9000000000000+577)</f>
        <v/>
      </c>
      <c r="S584" s="3">
        <f>IF(Q584=1,SUMPRODUCT(--($R$8:$R$1207&lt;R584))+1,"")</f>
        <v/>
      </c>
      <c r="T584" s="12">
        <f>IF(K584=1,'ORDENES'!$J580,"")</f>
        <v/>
      </c>
    </row>
    <row r="585">
      <c r="K585" s="3">
        <f>IF(AND(IF($B$3="(todos)",TRUE,'ORDENES'!$O581=$B$3),IF($D$3="(todos)",TRUE,'ORDENES'!$AF581=$D$3),IF($F$3="(todos)",TRUE,'ORDENES'!$X581=$F$3),IF($H$3="(todos)",TRUE,'ORDENES'!$W581=$H$3),'ORDENES'!$AD581=TRUE,'ORDENES'!$A581&lt;&gt;""),1,0)</f>
        <v/>
      </c>
      <c r="L585" s="3">
        <f>IF(K585=1,IFERROR(MATCH('ORDENES'!$R581,lista_dias,0),9)*1000000000+IFERROR(MATCH('ORDENES'!$AF581,lista_turnos,0),9)*10000000+IFERROR(MATCH('ORDENES'!$AE581,tblTecnicos[nombre],0),99)*100000+578,9000000000000+578)</f>
        <v/>
      </c>
      <c r="M585" s="3">
        <f>IF(K585=1,SUMPRODUCT(--($L$8:$L$1207&lt;L585))+1,"")</f>
        <v/>
      </c>
      <c r="N585" s="17">
        <f>IF(K585=1,N('ORDENES'!$M581),0)</f>
        <v/>
      </c>
      <c r="O585" s="17">
        <f>IF('ORDENES'!$T581="preventiva",N585,0)</f>
        <v/>
      </c>
      <c r="P585" s="17">
        <f>IF('ORDENES'!$T581="correctiva",N585,0)</f>
        <v/>
      </c>
      <c r="Q585" s="3">
        <f>IF(AND(K585=1,'ORDENES'!$N581="Pendiente"),1,0)</f>
        <v/>
      </c>
      <c r="R585" s="3">
        <f>IF(Q585=1,100000-N585*1000+578*0.01,9000000000000+578)</f>
        <v/>
      </c>
      <c r="S585" s="3">
        <f>IF(Q585=1,SUMPRODUCT(--($R$8:$R$1207&lt;R585))+1,"")</f>
        <v/>
      </c>
      <c r="T585" s="12">
        <f>IF(K585=1,'ORDENES'!$J581,"")</f>
        <v/>
      </c>
    </row>
    <row r="586">
      <c r="K586" s="3">
        <f>IF(AND(IF($B$3="(todos)",TRUE,'ORDENES'!$O582=$B$3),IF($D$3="(todos)",TRUE,'ORDENES'!$AF582=$D$3),IF($F$3="(todos)",TRUE,'ORDENES'!$X582=$F$3),IF($H$3="(todos)",TRUE,'ORDENES'!$W582=$H$3),'ORDENES'!$AD582=TRUE,'ORDENES'!$A582&lt;&gt;""),1,0)</f>
        <v/>
      </c>
      <c r="L586" s="3">
        <f>IF(K586=1,IFERROR(MATCH('ORDENES'!$R582,lista_dias,0),9)*1000000000+IFERROR(MATCH('ORDENES'!$AF582,lista_turnos,0),9)*10000000+IFERROR(MATCH('ORDENES'!$AE582,tblTecnicos[nombre],0),99)*100000+579,9000000000000+579)</f>
        <v/>
      </c>
      <c r="M586" s="3">
        <f>IF(K586=1,SUMPRODUCT(--($L$8:$L$1207&lt;L586))+1,"")</f>
        <v/>
      </c>
      <c r="N586" s="17">
        <f>IF(K586=1,N('ORDENES'!$M582),0)</f>
        <v/>
      </c>
      <c r="O586" s="17">
        <f>IF('ORDENES'!$T582="preventiva",N586,0)</f>
        <v/>
      </c>
      <c r="P586" s="17">
        <f>IF('ORDENES'!$T582="correctiva",N586,0)</f>
        <v/>
      </c>
      <c r="Q586" s="3">
        <f>IF(AND(K586=1,'ORDENES'!$N582="Pendiente"),1,0)</f>
        <v/>
      </c>
      <c r="R586" s="3">
        <f>IF(Q586=1,100000-N586*1000+579*0.01,9000000000000+579)</f>
        <v/>
      </c>
      <c r="S586" s="3">
        <f>IF(Q586=1,SUMPRODUCT(--($R$8:$R$1207&lt;R586))+1,"")</f>
        <v/>
      </c>
      <c r="T586" s="12">
        <f>IF(K586=1,'ORDENES'!$J582,"")</f>
        <v/>
      </c>
    </row>
    <row r="587">
      <c r="K587" s="3">
        <f>IF(AND(IF($B$3="(todos)",TRUE,'ORDENES'!$O583=$B$3),IF($D$3="(todos)",TRUE,'ORDENES'!$AF583=$D$3),IF($F$3="(todos)",TRUE,'ORDENES'!$X583=$F$3),IF($H$3="(todos)",TRUE,'ORDENES'!$W583=$H$3),'ORDENES'!$AD583=TRUE,'ORDENES'!$A583&lt;&gt;""),1,0)</f>
        <v/>
      </c>
      <c r="L587" s="3">
        <f>IF(K587=1,IFERROR(MATCH('ORDENES'!$R583,lista_dias,0),9)*1000000000+IFERROR(MATCH('ORDENES'!$AF583,lista_turnos,0),9)*10000000+IFERROR(MATCH('ORDENES'!$AE583,tblTecnicos[nombre],0),99)*100000+580,9000000000000+580)</f>
        <v/>
      </c>
      <c r="M587" s="3">
        <f>IF(K587=1,SUMPRODUCT(--($L$8:$L$1207&lt;L587))+1,"")</f>
        <v/>
      </c>
      <c r="N587" s="17">
        <f>IF(K587=1,N('ORDENES'!$M583),0)</f>
        <v/>
      </c>
      <c r="O587" s="17">
        <f>IF('ORDENES'!$T583="preventiva",N587,0)</f>
        <v/>
      </c>
      <c r="P587" s="17">
        <f>IF('ORDENES'!$T583="correctiva",N587,0)</f>
        <v/>
      </c>
      <c r="Q587" s="3">
        <f>IF(AND(K587=1,'ORDENES'!$N583="Pendiente"),1,0)</f>
        <v/>
      </c>
      <c r="R587" s="3">
        <f>IF(Q587=1,100000-N587*1000+580*0.01,9000000000000+580)</f>
        <v/>
      </c>
      <c r="S587" s="3">
        <f>IF(Q587=1,SUMPRODUCT(--($R$8:$R$1207&lt;R587))+1,"")</f>
        <v/>
      </c>
      <c r="T587" s="12">
        <f>IF(K587=1,'ORDENES'!$J583,"")</f>
        <v/>
      </c>
    </row>
    <row r="588">
      <c r="K588" s="3">
        <f>IF(AND(IF($B$3="(todos)",TRUE,'ORDENES'!$O584=$B$3),IF($D$3="(todos)",TRUE,'ORDENES'!$AF584=$D$3),IF($F$3="(todos)",TRUE,'ORDENES'!$X584=$F$3),IF($H$3="(todos)",TRUE,'ORDENES'!$W584=$H$3),'ORDENES'!$AD584=TRUE,'ORDENES'!$A584&lt;&gt;""),1,0)</f>
        <v/>
      </c>
      <c r="L588" s="3">
        <f>IF(K588=1,IFERROR(MATCH('ORDENES'!$R584,lista_dias,0),9)*1000000000+IFERROR(MATCH('ORDENES'!$AF584,lista_turnos,0),9)*10000000+IFERROR(MATCH('ORDENES'!$AE584,tblTecnicos[nombre],0),99)*100000+581,9000000000000+581)</f>
        <v/>
      </c>
      <c r="M588" s="3">
        <f>IF(K588=1,SUMPRODUCT(--($L$8:$L$1207&lt;L588))+1,"")</f>
        <v/>
      </c>
      <c r="N588" s="17">
        <f>IF(K588=1,N('ORDENES'!$M584),0)</f>
        <v/>
      </c>
      <c r="O588" s="17">
        <f>IF('ORDENES'!$T584="preventiva",N588,0)</f>
        <v/>
      </c>
      <c r="P588" s="17">
        <f>IF('ORDENES'!$T584="correctiva",N588,0)</f>
        <v/>
      </c>
      <c r="Q588" s="3">
        <f>IF(AND(K588=1,'ORDENES'!$N584="Pendiente"),1,0)</f>
        <v/>
      </c>
      <c r="R588" s="3">
        <f>IF(Q588=1,100000-N588*1000+581*0.01,9000000000000+581)</f>
        <v/>
      </c>
      <c r="S588" s="3">
        <f>IF(Q588=1,SUMPRODUCT(--($R$8:$R$1207&lt;R588))+1,"")</f>
        <v/>
      </c>
      <c r="T588" s="12">
        <f>IF(K588=1,'ORDENES'!$J584,"")</f>
        <v/>
      </c>
    </row>
    <row r="589">
      <c r="K589" s="3">
        <f>IF(AND(IF($B$3="(todos)",TRUE,'ORDENES'!$O585=$B$3),IF($D$3="(todos)",TRUE,'ORDENES'!$AF585=$D$3),IF($F$3="(todos)",TRUE,'ORDENES'!$X585=$F$3),IF($H$3="(todos)",TRUE,'ORDENES'!$W585=$H$3),'ORDENES'!$AD585=TRUE,'ORDENES'!$A585&lt;&gt;""),1,0)</f>
        <v/>
      </c>
      <c r="L589" s="3">
        <f>IF(K589=1,IFERROR(MATCH('ORDENES'!$R585,lista_dias,0),9)*1000000000+IFERROR(MATCH('ORDENES'!$AF585,lista_turnos,0),9)*10000000+IFERROR(MATCH('ORDENES'!$AE585,tblTecnicos[nombre],0),99)*100000+582,9000000000000+582)</f>
        <v/>
      </c>
      <c r="M589" s="3">
        <f>IF(K589=1,SUMPRODUCT(--($L$8:$L$1207&lt;L589))+1,"")</f>
        <v/>
      </c>
      <c r="N589" s="17">
        <f>IF(K589=1,N('ORDENES'!$M585),0)</f>
        <v/>
      </c>
      <c r="O589" s="17">
        <f>IF('ORDENES'!$T585="preventiva",N589,0)</f>
        <v/>
      </c>
      <c r="P589" s="17">
        <f>IF('ORDENES'!$T585="correctiva",N589,0)</f>
        <v/>
      </c>
      <c r="Q589" s="3">
        <f>IF(AND(K589=1,'ORDENES'!$N585="Pendiente"),1,0)</f>
        <v/>
      </c>
      <c r="R589" s="3">
        <f>IF(Q589=1,100000-N589*1000+582*0.01,9000000000000+582)</f>
        <v/>
      </c>
      <c r="S589" s="3">
        <f>IF(Q589=1,SUMPRODUCT(--($R$8:$R$1207&lt;R589))+1,"")</f>
        <v/>
      </c>
      <c r="T589" s="12">
        <f>IF(K589=1,'ORDENES'!$J585,"")</f>
        <v/>
      </c>
    </row>
    <row r="590">
      <c r="K590" s="3">
        <f>IF(AND(IF($B$3="(todos)",TRUE,'ORDENES'!$O586=$B$3),IF($D$3="(todos)",TRUE,'ORDENES'!$AF586=$D$3),IF($F$3="(todos)",TRUE,'ORDENES'!$X586=$F$3),IF($H$3="(todos)",TRUE,'ORDENES'!$W586=$H$3),'ORDENES'!$AD586=TRUE,'ORDENES'!$A586&lt;&gt;""),1,0)</f>
        <v/>
      </c>
      <c r="L590" s="3">
        <f>IF(K590=1,IFERROR(MATCH('ORDENES'!$R586,lista_dias,0),9)*1000000000+IFERROR(MATCH('ORDENES'!$AF586,lista_turnos,0),9)*10000000+IFERROR(MATCH('ORDENES'!$AE586,tblTecnicos[nombre],0),99)*100000+583,9000000000000+583)</f>
        <v/>
      </c>
      <c r="M590" s="3">
        <f>IF(K590=1,SUMPRODUCT(--($L$8:$L$1207&lt;L590))+1,"")</f>
        <v/>
      </c>
      <c r="N590" s="17">
        <f>IF(K590=1,N('ORDENES'!$M586),0)</f>
        <v/>
      </c>
      <c r="O590" s="17">
        <f>IF('ORDENES'!$T586="preventiva",N590,0)</f>
        <v/>
      </c>
      <c r="P590" s="17">
        <f>IF('ORDENES'!$T586="correctiva",N590,0)</f>
        <v/>
      </c>
      <c r="Q590" s="3">
        <f>IF(AND(K590=1,'ORDENES'!$N586="Pendiente"),1,0)</f>
        <v/>
      </c>
      <c r="R590" s="3">
        <f>IF(Q590=1,100000-N590*1000+583*0.01,9000000000000+583)</f>
        <v/>
      </c>
      <c r="S590" s="3">
        <f>IF(Q590=1,SUMPRODUCT(--($R$8:$R$1207&lt;R590))+1,"")</f>
        <v/>
      </c>
      <c r="T590" s="12">
        <f>IF(K590=1,'ORDENES'!$J586,"")</f>
        <v/>
      </c>
    </row>
    <row r="591">
      <c r="K591" s="3">
        <f>IF(AND(IF($B$3="(todos)",TRUE,'ORDENES'!$O587=$B$3),IF($D$3="(todos)",TRUE,'ORDENES'!$AF587=$D$3),IF($F$3="(todos)",TRUE,'ORDENES'!$X587=$F$3),IF($H$3="(todos)",TRUE,'ORDENES'!$W587=$H$3),'ORDENES'!$AD587=TRUE,'ORDENES'!$A587&lt;&gt;""),1,0)</f>
        <v/>
      </c>
      <c r="L591" s="3">
        <f>IF(K591=1,IFERROR(MATCH('ORDENES'!$R587,lista_dias,0),9)*1000000000+IFERROR(MATCH('ORDENES'!$AF587,lista_turnos,0),9)*10000000+IFERROR(MATCH('ORDENES'!$AE587,tblTecnicos[nombre],0),99)*100000+584,9000000000000+584)</f>
        <v/>
      </c>
      <c r="M591" s="3">
        <f>IF(K591=1,SUMPRODUCT(--($L$8:$L$1207&lt;L591))+1,"")</f>
        <v/>
      </c>
      <c r="N591" s="17">
        <f>IF(K591=1,N('ORDENES'!$M587),0)</f>
        <v/>
      </c>
      <c r="O591" s="17">
        <f>IF('ORDENES'!$T587="preventiva",N591,0)</f>
        <v/>
      </c>
      <c r="P591" s="17">
        <f>IF('ORDENES'!$T587="correctiva",N591,0)</f>
        <v/>
      </c>
      <c r="Q591" s="3">
        <f>IF(AND(K591=1,'ORDENES'!$N587="Pendiente"),1,0)</f>
        <v/>
      </c>
      <c r="R591" s="3">
        <f>IF(Q591=1,100000-N591*1000+584*0.01,9000000000000+584)</f>
        <v/>
      </c>
      <c r="S591" s="3">
        <f>IF(Q591=1,SUMPRODUCT(--($R$8:$R$1207&lt;R591))+1,"")</f>
        <v/>
      </c>
      <c r="T591" s="12">
        <f>IF(K591=1,'ORDENES'!$J587,"")</f>
        <v/>
      </c>
    </row>
    <row r="592">
      <c r="K592" s="3">
        <f>IF(AND(IF($B$3="(todos)",TRUE,'ORDENES'!$O588=$B$3),IF($D$3="(todos)",TRUE,'ORDENES'!$AF588=$D$3),IF($F$3="(todos)",TRUE,'ORDENES'!$X588=$F$3),IF($H$3="(todos)",TRUE,'ORDENES'!$W588=$H$3),'ORDENES'!$AD588=TRUE,'ORDENES'!$A588&lt;&gt;""),1,0)</f>
        <v/>
      </c>
      <c r="L592" s="3">
        <f>IF(K592=1,IFERROR(MATCH('ORDENES'!$R588,lista_dias,0),9)*1000000000+IFERROR(MATCH('ORDENES'!$AF588,lista_turnos,0),9)*10000000+IFERROR(MATCH('ORDENES'!$AE588,tblTecnicos[nombre],0),99)*100000+585,9000000000000+585)</f>
        <v/>
      </c>
      <c r="M592" s="3">
        <f>IF(K592=1,SUMPRODUCT(--($L$8:$L$1207&lt;L592))+1,"")</f>
        <v/>
      </c>
      <c r="N592" s="17">
        <f>IF(K592=1,N('ORDENES'!$M588),0)</f>
        <v/>
      </c>
      <c r="O592" s="17">
        <f>IF('ORDENES'!$T588="preventiva",N592,0)</f>
        <v/>
      </c>
      <c r="P592" s="17">
        <f>IF('ORDENES'!$T588="correctiva",N592,0)</f>
        <v/>
      </c>
      <c r="Q592" s="3">
        <f>IF(AND(K592=1,'ORDENES'!$N588="Pendiente"),1,0)</f>
        <v/>
      </c>
      <c r="R592" s="3">
        <f>IF(Q592=1,100000-N592*1000+585*0.01,9000000000000+585)</f>
        <v/>
      </c>
      <c r="S592" s="3">
        <f>IF(Q592=1,SUMPRODUCT(--($R$8:$R$1207&lt;R592))+1,"")</f>
        <v/>
      </c>
      <c r="T592" s="12">
        <f>IF(K592=1,'ORDENES'!$J588,"")</f>
        <v/>
      </c>
    </row>
    <row r="593">
      <c r="K593" s="3">
        <f>IF(AND(IF($B$3="(todos)",TRUE,'ORDENES'!$O589=$B$3),IF($D$3="(todos)",TRUE,'ORDENES'!$AF589=$D$3),IF($F$3="(todos)",TRUE,'ORDENES'!$X589=$F$3),IF($H$3="(todos)",TRUE,'ORDENES'!$W589=$H$3),'ORDENES'!$AD589=TRUE,'ORDENES'!$A589&lt;&gt;""),1,0)</f>
        <v/>
      </c>
      <c r="L593" s="3">
        <f>IF(K593=1,IFERROR(MATCH('ORDENES'!$R589,lista_dias,0),9)*1000000000+IFERROR(MATCH('ORDENES'!$AF589,lista_turnos,0),9)*10000000+IFERROR(MATCH('ORDENES'!$AE589,tblTecnicos[nombre],0),99)*100000+586,9000000000000+586)</f>
        <v/>
      </c>
      <c r="M593" s="3">
        <f>IF(K593=1,SUMPRODUCT(--($L$8:$L$1207&lt;L593))+1,"")</f>
        <v/>
      </c>
      <c r="N593" s="17">
        <f>IF(K593=1,N('ORDENES'!$M589),0)</f>
        <v/>
      </c>
      <c r="O593" s="17">
        <f>IF('ORDENES'!$T589="preventiva",N593,0)</f>
        <v/>
      </c>
      <c r="P593" s="17">
        <f>IF('ORDENES'!$T589="correctiva",N593,0)</f>
        <v/>
      </c>
      <c r="Q593" s="3">
        <f>IF(AND(K593=1,'ORDENES'!$N589="Pendiente"),1,0)</f>
        <v/>
      </c>
      <c r="R593" s="3">
        <f>IF(Q593=1,100000-N593*1000+586*0.01,9000000000000+586)</f>
        <v/>
      </c>
      <c r="S593" s="3">
        <f>IF(Q593=1,SUMPRODUCT(--($R$8:$R$1207&lt;R593))+1,"")</f>
        <v/>
      </c>
      <c r="T593" s="12">
        <f>IF(K593=1,'ORDENES'!$J589,"")</f>
        <v/>
      </c>
    </row>
    <row r="594">
      <c r="K594" s="3">
        <f>IF(AND(IF($B$3="(todos)",TRUE,'ORDENES'!$O590=$B$3),IF($D$3="(todos)",TRUE,'ORDENES'!$AF590=$D$3),IF($F$3="(todos)",TRUE,'ORDENES'!$X590=$F$3),IF($H$3="(todos)",TRUE,'ORDENES'!$W590=$H$3),'ORDENES'!$AD590=TRUE,'ORDENES'!$A590&lt;&gt;""),1,0)</f>
        <v/>
      </c>
      <c r="L594" s="3">
        <f>IF(K594=1,IFERROR(MATCH('ORDENES'!$R590,lista_dias,0),9)*1000000000+IFERROR(MATCH('ORDENES'!$AF590,lista_turnos,0),9)*10000000+IFERROR(MATCH('ORDENES'!$AE590,tblTecnicos[nombre],0),99)*100000+587,9000000000000+587)</f>
        <v/>
      </c>
      <c r="M594" s="3">
        <f>IF(K594=1,SUMPRODUCT(--($L$8:$L$1207&lt;L594))+1,"")</f>
        <v/>
      </c>
      <c r="N594" s="17">
        <f>IF(K594=1,N('ORDENES'!$M590),0)</f>
        <v/>
      </c>
      <c r="O594" s="17">
        <f>IF('ORDENES'!$T590="preventiva",N594,0)</f>
        <v/>
      </c>
      <c r="P594" s="17">
        <f>IF('ORDENES'!$T590="correctiva",N594,0)</f>
        <v/>
      </c>
      <c r="Q594" s="3">
        <f>IF(AND(K594=1,'ORDENES'!$N590="Pendiente"),1,0)</f>
        <v/>
      </c>
      <c r="R594" s="3">
        <f>IF(Q594=1,100000-N594*1000+587*0.01,9000000000000+587)</f>
        <v/>
      </c>
      <c r="S594" s="3">
        <f>IF(Q594=1,SUMPRODUCT(--($R$8:$R$1207&lt;R594))+1,"")</f>
        <v/>
      </c>
      <c r="T594" s="12">
        <f>IF(K594=1,'ORDENES'!$J590,"")</f>
        <v/>
      </c>
    </row>
    <row r="595">
      <c r="K595" s="3">
        <f>IF(AND(IF($B$3="(todos)",TRUE,'ORDENES'!$O591=$B$3),IF($D$3="(todos)",TRUE,'ORDENES'!$AF591=$D$3),IF($F$3="(todos)",TRUE,'ORDENES'!$X591=$F$3),IF($H$3="(todos)",TRUE,'ORDENES'!$W591=$H$3),'ORDENES'!$AD591=TRUE,'ORDENES'!$A591&lt;&gt;""),1,0)</f>
        <v/>
      </c>
      <c r="L595" s="3">
        <f>IF(K595=1,IFERROR(MATCH('ORDENES'!$R591,lista_dias,0),9)*1000000000+IFERROR(MATCH('ORDENES'!$AF591,lista_turnos,0),9)*10000000+IFERROR(MATCH('ORDENES'!$AE591,tblTecnicos[nombre],0),99)*100000+588,9000000000000+588)</f>
        <v/>
      </c>
      <c r="M595" s="3">
        <f>IF(K595=1,SUMPRODUCT(--($L$8:$L$1207&lt;L595))+1,"")</f>
        <v/>
      </c>
      <c r="N595" s="17">
        <f>IF(K595=1,N('ORDENES'!$M591),0)</f>
        <v/>
      </c>
      <c r="O595" s="17">
        <f>IF('ORDENES'!$T591="preventiva",N595,0)</f>
        <v/>
      </c>
      <c r="P595" s="17">
        <f>IF('ORDENES'!$T591="correctiva",N595,0)</f>
        <v/>
      </c>
      <c r="Q595" s="3">
        <f>IF(AND(K595=1,'ORDENES'!$N591="Pendiente"),1,0)</f>
        <v/>
      </c>
      <c r="R595" s="3">
        <f>IF(Q595=1,100000-N595*1000+588*0.01,9000000000000+588)</f>
        <v/>
      </c>
      <c r="S595" s="3">
        <f>IF(Q595=1,SUMPRODUCT(--($R$8:$R$1207&lt;R595))+1,"")</f>
        <v/>
      </c>
      <c r="T595" s="12">
        <f>IF(K595=1,'ORDENES'!$J591,"")</f>
        <v/>
      </c>
    </row>
    <row r="596">
      <c r="K596" s="3">
        <f>IF(AND(IF($B$3="(todos)",TRUE,'ORDENES'!$O592=$B$3),IF($D$3="(todos)",TRUE,'ORDENES'!$AF592=$D$3),IF($F$3="(todos)",TRUE,'ORDENES'!$X592=$F$3),IF($H$3="(todos)",TRUE,'ORDENES'!$W592=$H$3),'ORDENES'!$AD592=TRUE,'ORDENES'!$A592&lt;&gt;""),1,0)</f>
        <v/>
      </c>
      <c r="L596" s="3">
        <f>IF(K596=1,IFERROR(MATCH('ORDENES'!$R592,lista_dias,0),9)*1000000000+IFERROR(MATCH('ORDENES'!$AF592,lista_turnos,0),9)*10000000+IFERROR(MATCH('ORDENES'!$AE592,tblTecnicos[nombre],0),99)*100000+589,9000000000000+589)</f>
        <v/>
      </c>
      <c r="M596" s="3">
        <f>IF(K596=1,SUMPRODUCT(--($L$8:$L$1207&lt;L596))+1,"")</f>
        <v/>
      </c>
      <c r="N596" s="17">
        <f>IF(K596=1,N('ORDENES'!$M592),0)</f>
        <v/>
      </c>
      <c r="O596" s="17">
        <f>IF('ORDENES'!$T592="preventiva",N596,0)</f>
        <v/>
      </c>
      <c r="P596" s="17">
        <f>IF('ORDENES'!$T592="correctiva",N596,0)</f>
        <v/>
      </c>
      <c r="Q596" s="3">
        <f>IF(AND(K596=1,'ORDENES'!$N592="Pendiente"),1,0)</f>
        <v/>
      </c>
      <c r="R596" s="3">
        <f>IF(Q596=1,100000-N596*1000+589*0.01,9000000000000+589)</f>
        <v/>
      </c>
      <c r="S596" s="3">
        <f>IF(Q596=1,SUMPRODUCT(--($R$8:$R$1207&lt;R596))+1,"")</f>
        <v/>
      </c>
      <c r="T596" s="12">
        <f>IF(K596=1,'ORDENES'!$J592,"")</f>
        <v/>
      </c>
    </row>
    <row r="597">
      <c r="K597" s="3">
        <f>IF(AND(IF($B$3="(todos)",TRUE,'ORDENES'!$O593=$B$3),IF($D$3="(todos)",TRUE,'ORDENES'!$AF593=$D$3),IF($F$3="(todos)",TRUE,'ORDENES'!$X593=$F$3),IF($H$3="(todos)",TRUE,'ORDENES'!$W593=$H$3),'ORDENES'!$AD593=TRUE,'ORDENES'!$A593&lt;&gt;""),1,0)</f>
        <v/>
      </c>
      <c r="L597" s="3">
        <f>IF(K597=1,IFERROR(MATCH('ORDENES'!$R593,lista_dias,0),9)*1000000000+IFERROR(MATCH('ORDENES'!$AF593,lista_turnos,0),9)*10000000+IFERROR(MATCH('ORDENES'!$AE593,tblTecnicos[nombre],0),99)*100000+590,9000000000000+590)</f>
        <v/>
      </c>
      <c r="M597" s="3">
        <f>IF(K597=1,SUMPRODUCT(--($L$8:$L$1207&lt;L597))+1,"")</f>
        <v/>
      </c>
      <c r="N597" s="17">
        <f>IF(K597=1,N('ORDENES'!$M593),0)</f>
        <v/>
      </c>
      <c r="O597" s="17">
        <f>IF('ORDENES'!$T593="preventiva",N597,0)</f>
        <v/>
      </c>
      <c r="P597" s="17">
        <f>IF('ORDENES'!$T593="correctiva",N597,0)</f>
        <v/>
      </c>
      <c r="Q597" s="3">
        <f>IF(AND(K597=1,'ORDENES'!$N593="Pendiente"),1,0)</f>
        <v/>
      </c>
      <c r="R597" s="3">
        <f>IF(Q597=1,100000-N597*1000+590*0.01,9000000000000+590)</f>
        <v/>
      </c>
      <c r="S597" s="3">
        <f>IF(Q597=1,SUMPRODUCT(--($R$8:$R$1207&lt;R597))+1,"")</f>
        <v/>
      </c>
      <c r="T597" s="12">
        <f>IF(K597=1,'ORDENES'!$J593,"")</f>
        <v/>
      </c>
    </row>
    <row r="598">
      <c r="K598" s="3">
        <f>IF(AND(IF($B$3="(todos)",TRUE,'ORDENES'!$O594=$B$3),IF($D$3="(todos)",TRUE,'ORDENES'!$AF594=$D$3),IF($F$3="(todos)",TRUE,'ORDENES'!$X594=$F$3),IF($H$3="(todos)",TRUE,'ORDENES'!$W594=$H$3),'ORDENES'!$AD594=TRUE,'ORDENES'!$A594&lt;&gt;""),1,0)</f>
        <v/>
      </c>
      <c r="L598" s="3">
        <f>IF(K598=1,IFERROR(MATCH('ORDENES'!$R594,lista_dias,0),9)*1000000000+IFERROR(MATCH('ORDENES'!$AF594,lista_turnos,0),9)*10000000+IFERROR(MATCH('ORDENES'!$AE594,tblTecnicos[nombre],0),99)*100000+591,9000000000000+591)</f>
        <v/>
      </c>
      <c r="M598" s="3">
        <f>IF(K598=1,SUMPRODUCT(--($L$8:$L$1207&lt;L598))+1,"")</f>
        <v/>
      </c>
      <c r="N598" s="17">
        <f>IF(K598=1,N('ORDENES'!$M594),0)</f>
        <v/>
      </c>
      <c r="O598" s="17">
        <f>IF('ORDENES'!$T594="preventiva",N598,0)</f>
        <v/>
      </c>
      <c r="P598" s="17">
        <f>IF('ORDENES'!$T594="correctiva",N598,0)</f>
        <v/>
      </c>
      <c r="Q598" s="3">
        <f>IF(AND(K598=1,'ORDENES'!$N594="Pendiente"),1,0)</f>
        <v/>
      </c>
      <c r="R598" s="3">
        <f>IF(Q598=1,100000-N598*1000+591*0.01,9000000000000+591)</f>
        <v/>
      </c>
      <c r="S598" s="3">
        <f>IF(Q598=1,SUMPRODUCT(--($R$8:$R$1207&lt;R598))+1,"")</f>
        <v/>
      </c>
      <c r="T598" s="12">
        <f>IF(K598=1,'ORDENES'!$J594,"")</f>
        <v/>
      </c>
    </row>
    <row r="599">
      <c r="K599" s="3">
        <f>IF(AND(IF($B$3="(todos)",TRUE,'ORDENES'!$O595=$B$3),IF($D$3="(todos)",TRUE,'ORDENES'!$AF595=$D$3),IF($F$3="(todos)",TRUE,'ORDENES'!$X595=$F$3),IF($H$3="(todos)",TRUE,'ORDENES'!$W595=$H$3),'ORDENES'!$AD595=TRUE,'ORDENES'!$A595&lt;&gt;""),1,0)</f>
        <v/>
      </c>
      <c r="L599" s="3">
        <f>IF(K599=1,IFERROR(MATCH('ORDENES'!$R595,lista_dias,0),9)*1000000000+IFERROR(MATCH('ORDENES'!$AF595,lista_turnos,0),9)*10000000+IFERROR(MATCH('ORDENES'!$AE595,tblTecnicos[nombre],0),99)*100000+592,9000000000000+592)</f>
        <v/>
      </c>
      <c r="M599" s="3">
        <f>IF(K599=1,SUMPRODUCT(--($L$8:$L$1207&lt;L599))+1,"")</f>
        <v/>
      </c>
      <c r="N599" s="17">
        <f>IF(K599=1,N('ORDENES'!$M595),0)</f>
        <v/>
      </c>
      <c r="O599" s="17">
        <f>IF('ORDENES'!$T595="preventiva",N599,0)</f>
        <v/>
      </c>
      <c r="P599" s="17">
        <f>IF('ORDENES'!$T595="correctiva",N599,0)</f>
        <v/>
      </c>
      <c r="Q599" s="3">
        <f>IF(AND(K599=1,'ORDENES'!$N595="Pendiente"),1,0)</f>
        <v/>
      </c>
      <c r="R599" s="3">
        <f>IF(Q599=1,100000-N599*1000+592*0.01,9000000000000+592)</f>
        <v/>
      </c>
      <c r="S599" s="3">
        <f>IF(Q599=1,SUMPRODUCT(--($R$8:$R$1207&lt;R599))+1,"")</f>
        <v/>
      </c>
      <c r="T599" s="12">
        <f>IF(K599=1,'ORDENES'!$J595,"")</f>
        <v/>
      </c>
    </row>
    <row r="600">
      <c r="K600" s="3">
        <f>IF(AND(IF($B$3="(todos)",TRUE,'ORDENES'!$O596=$B$3),IF($D$3="(todos)",TRUE,'ORDENES'!$AF596=$D$3),IF($F$3="(todos)",TRUE,'ORDENES'!$X596=$F$3),IF($H$3="(todos)",TRUE,'ORDENES'!$W596=$H$3),'ORDENES'!$AD596=TRUE,'ORDENES'!$A596&lt;&gt;""),1,0)</f>
        <v/>
      </c>
      <c r="L600" s="3">
        <f>IF(K600=1,IFERROR(MATCH('ORDENES'!$R596,lista_dias,0),9)*1000000000+IFERROR(MATCH('ORDENES'!$AF596,lista_turnos,0),9)*10000000+IFERROR(MATCH('ORDENES'!$AE596,tblTecnicos[nombre],0),99)*100000+593,9000000000000+593)</f>
        <v/>
      </c>
      <c r="M600" s="3">
        <f>IF(K600=1,SUMPRODUCT(--($L$8:$L$1207&lt;L600))+1,"")</f>
        <v/>
      </c>
      <c r="N600" s="17">
        <f>IF(K600=1,N('ORDENES'!$M596),0)</f>
        <v/>
      </c>
      <c r="O600" s="17">
        <f>IF('ORDENES'!$T596="preventiva",N600,0)</f>
        <v/>
      </c>
      <c r="P600" s="17">
        <f>IF('ORDENES'!$T596="correctiva",N600,0)</f>
        <v/>
      </c>
      <c r="Q600" s="3">
        <f>IF(AND(K600=1,'ORDENES'!$N596="Pendiente"),1,0)</f>
        <v/>
      </c>
      <c r="R600" s="3">
        <f>IF(Q600=1,100000-N600*1000+593*0.01,9000000000000+593)</f>
        <v/>
      </c>
      <c r="S600" s="3">
        <f>IF(Q600=1,SUMPRODUCT(--($R$8:$R$1207&lt;R600))+1,"")</f>
        <v/>
      </c>
      <c r="T600" s="12">
        <f>IF(K600=1,'ORDENES'!$J596,"")</f>
        <v/>
      </c>
    </row>
    <row r="601">
      <c r="K601" s="3">
        <f>IF(AND(IF($B$3="(todos)",TRUE,'ORDENES'!$O597=$B$3),IF($D$3="(todos)",TRUE,'ORDENES'!$AF597=$D$3),IF($F$3="(todos)",TRUE,'ORDENES'!$X597=$F$3),IF($H$3="(todos)",TRUE,'ORDENES'!$W597=$H$3),'ORDENES'!$AD597=TRUE,'ORDENES'!$A597&lt;&gt;""),1,0)</f>
        <v/>
      </c>
      <c r="L601" s="3">
        <f>IF(K601=1,IFERROR(MATCH('ORDENES'!$R597,lista_dias,0),9)*1000000000+IFERROR(MATCH('ORDENES'!$AF597,lista_turnos,0),9)*10000000+IFERROR(MATCH('ORDENES'!$AE597,tblTecnicos[nombre],0),99)*100000+594,9000000000000+594)</f>
        <v/>
      </c>
      <c r="M601" s="3">
        <f>IF(K601=1,SUMPRODUCT(--($L$8:$L$1207&lt;L601))+1,"")</f>
        <v/>
      </c>
      <c r="N601" s="17">
        <f>IF(K601=1,N('ORDENES'!$M597),0)</f>
        <v/>
      </c>
      <c r="O601" s="17">
        <f>IF('ORDENES'!$T597="preventiva",N601,0)</f>
        <v/>
      </c>
      <c r="P601" s="17">
        <f>IF('ORDENES'!$T597="correctiva",N601,0)</f>
        <v/>
      </c>
      <c r="Q601" s="3">
        <f>IF(AND(K601=1,'ORDENES'!$N597="Pendiente"),1,0)</f>
        <v/>
      </c>
      <c r="R601" s="3">
        <f>IF(Q601=1,100000-N601*1000+594*0.01,9000000000000+594)</f>
        <v/>
      </c>
      <c r="S601" s="3">
        <f>IF(Q601=1,SUMPRODUCT(--($R$8:$R$1207&lt;R601))+1,"")</f>
        <v/>
      </c>
      <c r="T601" s="12">
        <f>IF(K601=1,'ORDENES'!$J597,"")</f>
        <v/>
      </c>
    </row>
    <row r="602">
      <c r="K602" s="3">
        <f>IF(AND(IF($B$3="(todos)",TRUE,'ORDENES'!$O598=$B$3),IF($D$3="(todos)",TRUE,'ORDENES'!$AF598=$D$3),IF($F$3="(todos)",TRUE,'ORDENES'!$X598=$F$3),IF($H$3="(todos)",TRUE,'ORDENES'!$W598=$H$3),'ORDENES'!$AD598=TRUE,'ORDENES'!$A598&lt;&gt;""),1,0)</f>
        <v/>
      </c>
      <c r="L602" s="3">
        <f>IF(K602=1,IFERROR(MATCH('ORDENES'!$R598,lista_dias,0),9)*1000000000+IFERROR(MATCH('ORDENES'!$AF598,lista_turnos,0),9)*10000000+IFERROR(MATCH('ORDENES'!$AE598,tblTecnicos[nombre],0),99)*100000+595,9000000000000+595)</f>
        <v/>
      </c>
      <c r="M602" s="3">
        <f>IF(K602=1,SUMPRODUCT(--($L$8:$L$1207&lt;L602))+1,"")</f>
        <v/>
      </c>
      <c r="N602" s="17">
        <f>IF(K602=1,N('ORDENES'!$M598),0)</f>
        <v/>
      </c>
      <c r="O602" s="17">
        <f>IF('ORDENES'!$T598="preventiva",N602,0)</f>
        <v/>
      </c>
      <c r="P602" s="17">
        <f>IF('ORDENES'!$T598="correctiva",N602,0)</f>
        <v/>
      </c>
      <c r="Q602" s="3">
        <f>IF(AND(K602=1,'ORDENES'!$N598="Pendiente"),1,0)</f>
        <v/>
      </c>
      <c r="R602" s="3">
        <f>IF(Q602=1,100000-N602*1000+595*0.01,9000000000000+595)</f>
        <v/>
      </c>
      <c r="S602" s="3">
        <f>IF(Q602=1,SUMPRODUCT(--($R$8:$R$1207&lt;R602))+1,"")</f>
        <v/>
      </c>
      <c r="T602" s="12">
        <f>IF(K602=1,'ORDENES'!$J598,"")</f>
        <v/>
      </c>
    </row>
    <row r="603">
      <c r="K603" s="3">
        <f>IF(AND(IF($B$3="(todos)",TRUE,'ORDENES'!$O599=$B$3),IF($D$3="(todos)",TRUE,'ORDENES'!$AF599=$D$3),IF($F$3="(todos)",TRUE,'ORDENES'!$X599=$F$3),IF($H$3="(todos)",TRUE,'ORDENES'!$W599=$H$3),'ORDENES'!$AD599=TRUE,'ORDENES'!$A599&lt;&gt;""),1,0)</f>
        <v/>
      </c>
      <c r="L603" s="3">
        <f>IF(K603=1,IFERROR(MATCH('ORDENES'!$R599,lista_dias,0),9)*1000000000+IFERROR(MATCH('ORDENES'!$AF599,lista_turnos,0),9)*10000000+IFERROR(MATCH('ORDENES'!$AE599,tblTecnicos[nombre],0),99)*100000+596,9000000000000+596)</f>
        <v/>
      </c>
      <c r="M603" s="3">
        <f>IF(K603=1,SUMPRODUCT(--($L$8:$L$1207&lt;L603))+1,"")</f>
        <v/>
      </c>
      <c r="N603" s="17">
        <f>IF(K603=1,N('ORDENES'!$M599),0)</f>
        <v/>
      </c>
      <c r="O603" s="17">
        <f>IF('ORDENES'!$T599="preventiva",N603,0)</f>
        <v/>
      </c>
      <c r="P603" s="17">
        <f>IF('ORDENES'!$T599="correctiva",N603,0)</f>
        <v/>
      </c>
      <c r="Q603" s="3">
        <f>IF(AND(K603=1,'ORDENES'!$N599="Pendiente"),1,0)</f>
        <v/>
      </c>
      <c r="R603" s="3">
        <f>IF(Q603=1,100000-N603*1000+596*0.01,9000000000000+596)</f>
        <v/>
      </c>
      <c r="S603" s="3">
        <f>IF(Q603=1,SUMPRODUCT(--($R$8:$R$1207&lt;R603))+1,"")</f>
        <v/>
      </c>
      <c r="T603" s="12">
        <f>IF(K603=1,'ORDENES'!$J599,"")</f>
        <v/>
      </c>
    </row>
    <row r="604">
      <c r="K604" s="3">
        <f>IF(AND(IF($B$3="(todos)",TRUE,'ORDENES'!$O600=$B$3),IF($D$3="(todos)",TRUE,'ORDENES'!$AF600=$D$3),IF($F$3="(todos)",TRUE,'ORDENES'!$X600=$F$3),IF($H$3="(todos)",TRUE,'ORDENES'!$W600=$H$3),'ORDENES'!$AD600=TRUE,'ORDENES'!$A600&lt;&gt;""),1,0)</f>
        <v/>
      </c>
      <c r="L604" s="3">
        <f>IF(K604=1,IFERROR(MATCH('ORDENES'!$R600,lista_dias,0),9)*1000000000+IFERROR(MATCH('ORDENES'!$AF600,lista_turnos,0),9)*10000000+IFERROR(MATCH('ORDENES'!$AE600,tblTecnicos[nombre],0),99)*100000+597,9000000000000+597)</f>
        <v/>
      </c>
      <c r="M604" s="3">
        <f>IF(K604=1,SUMPRODUCT(--($L$8:$L$1207&lt;L604))+1,"")</f>
        <v/>
      </c>
      <c r="N604" s="17">
        <f>IF(K604=1,N('ORDENES'!$M600),0)</f>
        <v/>
      </c>
      <c r="O604" s="17">
        <f>IF('ORDENES'!$T600="preventiva",N604,0)</f>
        <v/>
      </c>
      <c r="P604" s="17">
        <f>IF('ORDENES'!$T600="correctiva",N604,0)</f>
        <v/>
      </c>
      <c r="Q604" s="3">
        <f>IF(AND(K604=1,'ORDENES'!$N600="Pendiente"),1,0)</f>
        <v/>
      </c>
      <c r="R604" s="3">
        <f>IF(Q604=1,100000-N604*1000+597*0.01,9000000000000+597)</f>
        <v/>
      </c>
      <c r="S604" s="3">
        <f>IF(Q604=1,SUMPRODUCT(--($R$8:$R$1207&lt;R604))+1,"")</f>
        <v/>
      </c>
      <c r="T604" s="12">
        <f>IF(K604=1,'ORDENES'!$J600,"")</f>
        <v/>
      </c>
    </row>
    <row r="605">
      <c r="K605" s="3">
        <f>IF(AND(IF($B$3="(todos)",TRUE,'ORDENES'!$O601=$B$3),IF($D$3="(todos)",TRUE,'ORDENES'!$AF601=$D$3),IF($F$3="(todos)",TRUE,'ORDENES'!$X601=$F$3),IF($H$3="(todos)",TRUE,'ORDENES'!$W601=$H$3),'ORDENES'!$AD601=TRUE,'ORDENES'!$A601&lt;&gt;""),1,0)</f>
        <v/>
      </c>
      <c r="L605" s="3">
        <f>IF(K605=1,IFERROR(MATCH('ORDENES'!$R601,lista_dias,0),9)*1000000000+IFERROR(MATCH('ORDENES'!$AF601,lista_turnos,0),9)*10000000+IFERROR(MATCH('ORDENES'!$AE601,tblTecnicos[nombre],0),99)*100000+598,9000000000000+598)</f>
        <v/>
      </c>
      <c r="M605" s="3">
        <f>IF(K605=1,SUMPRODUCT(--($L$8:$L$1207&lt;L605))+1,"")</f>
        <v/>
      </c>
      <c r="N605" s="17">
        <f>IF(K605=1,N('ORDENES'!$M601),0)</f>
        <v/>
      </c>
      <c r="O605" s="17">
        <f>IF('ORDENES'!$T601="preventiva",N605,0)</f>
        <v/>
      </c>
      <c r="P605" s="17">
        <f>IF('ORDENES'!$T601="correctiva",N605,0)</f>
        <v/>
      </c>
      <c r="Q605" s="3">
        <f>IF(AND(K605=1,'ORDENES'!$N601="Pendiente"),1,0)</f>
        <v/>
      </c>
      <c r="R605" s="3">
        <f>IF(Q605=1,100000-N605*1000+598*0.01,9000000000000+598)</f>
        <v/>
      </c>
      <c r="S605" s="3">
        <f>IF(Q605=1,SUMPRODUCT(--($R$8:$R$1207&lt;R605))+1,"")</f>
        <v/>
      </c>
      <c r="T605" s="12">
        <f>IF(K605=1,'ORDENES'!$J601,"")</f>
        <v/>
      </c>
    </row>
    <row r="606">
      <c r="K606" s="3">
        <f>IF(AND(IF($B$3="(todos)",TRUE,'ORDENES'!$O602=$B$3),IF($D$3="(todos)",TRUE,'ORDENES'!$AF602=$D$3),IF($F$3="(todos)",TRUE,'ORDENES'!$X602=$F$3),IF($H$3="(todos)",TRUE,'ORDENES'!$W602=$H$3),'ORDENES'!$AD602=TRUE,'ORDENES'!$A602&lt;&gt;""),1,0)</f>
        <v/>
      </c>
      <c r="L606" s="3">
        <f>IF(K606=1,IFERROR(MATCH('ORDENES'!$R602,lista_dias,0),9)*1000000000+IFERROR(MATCH('ORDENES'!$AF602,lista_turnos,0),9)*10000000+IFERROR(MATCH('ORDENES'!$AE602,tblTecnicos[nombre],0),99)*100000+599,9000000000000+599)</f>
        <v/>
      </c>
      <c r="M606" s="3">
        <f>IF(K606=1,SUMPRODUCT(--($L$8:$L$1207&lt;L606))+1,"")</f>
        <v/>
      </c>
      <c r="N606" s="17">
        <f>IF(K606=1,N('ORDENES'!$M602),0)</f>
        <v/>
      </c>
      <c r="O606" s="17">
        <f>IF('ORDENES'!$T602="preventiva",N606,0)</f>
        <v/>
      </c>
      <c r="P606" s="17">
        <f>IF('ORDENES'!$T602="correctiva",N606,0)</f>
        <v/>
      </c>
      <c r="Q606" s="3">
        <f>IF(AND(K606=1,'ORDENES'!$N602="Pendiente"),1,0)</f>
        <v/>
      </c>
      <c r="R606" s="3">
        <f>IF(Q606=1,100000-N606*1000+599*0.01,9000000000000+599)</f>
        <v/>
      </c>
      <c r="S606" s="3">
        <f>IF(Q606=1,SUMPRODUCT(--($R$8:$R$1207&lt;R606))+1,"")</f>
        <v/>
      </c>
      <c r="T606" s="12">
        <f>IF(K606=1,'ORDENES'!$J602,"")</f>
        <v/>
      </c>
    </row>
    <row r="607">
      <c r="K607" s="3">
        <f>IF(AND(IF($B$3="(todos)",TRUE,'ORDENES'!$O603=$B$3),IF($D$3="(todos)",TRUE,'ORDENES'!$AF603=$D$3),IF($F$3="(todos)",TRUE,'ORDENES'!$X603=$F$3),IF($H$3="(todos)",TRUE,'ORDENES'!$W603=$H$3),'ORDENES'!$AD603=TRUE,'ORDENES'!$A603&lt;&gt;""),1,0)</f>
        <v/>
      </c>
      <c r="L607" s="3">
        <f>IF(K607=1,IFERROR(MATCH('ORDENES'!$R603,lista_dias,0),9)*1000000000+IFERROR(MATCH('ORDENES'!$AF603,lista_turnos,0),9)*10000000+IFERROR(MATCH('ORDENES'!$AE603,tblTecnicos[nombre],0),99)*100000+600,9000000000000+600)</f>
        <v/>
      </c>
      <c r="M607" s="3">
        <f>IF(K607=1,SUMPRODUCT(--($L$8:$L$1207&lt;L607))+1,"")</f>
        <v/>
      </c>
      <c r="N607" s="17">
        <f>IF(K607=1,N('ORDENES'!$M603),0)</f>
        <v/>
      </c>
      <c r="O607" s="17">
        <f>IF('ORDENES'!$T603="preventiva",N607,0)</f>
        <v/>
      </c>
      <c r="P607" s="17">
        <f>IF('ORDENES'!$T603="correctiva",N607,0)</f>
        <v/>
      </c>
      <c r="Q607" s="3">
        <f>IF(AND(K607=1,'ORDENES'!$N603="Pendiente"),1,0)</f>
        <v/>
      </c>
      <c r="R607" s="3">
        <f>IF(Q607=1,100000-N607*1000+600*0.01,9000000000000+600)</f>
        <v/>
      </c>
      <c r="S607" s="3">
        <f>IF(Q607=1,SUMPRODUCT(--($R$8:$R$1207&lt;R607))+1,"")</f>
        <v/>
      </c>
      <c r="T607" s="12">
        <f>IF(K607=1,'ORDENES'!$J603,"")</f>
        <v/>
      </c>
    </row>
    <row r="608">
      <c r="K608" s="3">
        <f>IF(AND(IF($B$3="(todos)",TRUE,'ORDENES'!$O604=$B$3),IF($D$3="(todos)",TRUE,'ORDENES'!$AF604=$D$3),IF($F$3="(todos)",TRUE,'ORDENES'!$X604=$F$3),IF($H$3="(todos)",TRUE,'ORDENES'!$W604=$H$3),'ORDENES'!$AD604=TRUE,'ORDENES'!$A604&lt;&gt;""),1,0)</f>
        <v/>
      </c>
      <c r="L608" s="3">
        <f>IF(K608=1,IFERROR(MATCH('ORDENES'!$R604,lista_dias,0),9)*1000000000+IFERROR(MATCH('ORDENES'!$AF604,lista_turnos,0),9)*10000000+IFERROR(MATCH('ORDENES'!$AE604,tblTecnicos[nombre],0),99)*100000+601,9000000000000+601)</f>
        <v/>
      </c>
      <c r="M608" s="3">
        <f>IF(K608=1,SUMPRODUCT(--($L$8:$L$1207&lt;L608))+1,"")</f>
        <v/>
      </c>
      <c r="N608" s="17">
        <f>IF(K608=1,N('ORDENES'!$M604),0)</f>
        <v/>
      </c>
      <c r="O608" s="17">
        <f>IF('ORDENES'!$T604="preventiva",N608,0)</f>
        <v/>
      </c>
      <c r="P608" s="17">
        <f>IF('ORDENES'!$T604="correctiva",N608,0)</f>
        <v/>
      </c>
      <c r="Q608" s="3">
        <f>IF(AND(K608=1,'ORDENES'!$N604="Pendiente"),1,0)</f>
        <v/>
      </c>
      <c r="R608" s="3">
        <f>IF(Q608=1,100000-N608*1000+601*0.01,9000000000000+601)</f>
        <v/>
      </c>
      <c r="S608" s="3">
        <f>IF(Q608=1,SUMPRODUCT(--($R$8:$R$1207&lt;R608))+1,"")</f>
        <v/>
      </c>
      <c r="T608" s="12">
        <f>IF(K608=1,'ORDENES'!$J604,"")</f>
        <v/>
      </c>
    </row>
    <row r="609">
      <c r="K609" s="3">
        <f>IF(AND(IF($B$3="(todos)",TRUE,'ORDENES'!$O605=$B$3),IF($D$3="(todos)",TRUE,'ORDENES'!$AF605=$D$3),IF($F$3="(todos)",TRUE,'ORDENES'!$X605=$F$3),IF($H$3="(todos)",TRUE,'ORDENES'!$W605=$H$3),'ORDENES'!$AD605=TRUE,'ORDENES'!$A605&lt;&gt;""),1,0)</f>
        <v/>
      </c>
      <c r="L609" s="3">
        <f>IF(K609=1,IFERROR(MATCH('ORDENES'!$R605,lista_dias,0),9)*1000000000+IFERROR(MATCH('ORDENES'!$AF605,lista_turnos,0),9)*10000000+IFERROR(MATCH('ORDENES'!$AE605,tblTecnicos[nombre],0),99)*100000+602,9000000000000+602)</f>
        <v/>
      </c>
      <c r="M609" s="3">
        <f>IF(K609=1,SUMPRODUCT(--($L$8:$L$1207&lt;L609))+1,"")</f>
        <v/>
      </c>
      <c r="N609" s="17">
        <f>IF(K609=1,N('ORDENES'!$M605),0)</f>
        <v/>
      </c>
      <c r="O609" s="17">
        <f>IF('ORDENES'!$T605="preventiva",N609,0)</f>
        <v/>
      </c>
      <c r="P609" s="17">
        <f>IF('ORDENES'!$T605="correctiva",N609,0)</f>
        <v/>
      </c>
      <c r="Q609" s="3">
        <f>IF(AND(K609=1,'ORDENES'!$N605="Pendiente"),1,0)</f>
        <v/>
      </c>
      <c r="R609" s="3">
        <f>IF(Q609=1,100000-N609*1000+602*0.01,9000000000000+602)</f>
        <v/>
      </c>
      <c r="S609" s="3">
        <f>IF(Q609=1,SUMPRODUCT(--($R$8:$R$1207&lt;R609))+1,"")</f>
        <v/>
      </c>
      <c r="T609" s="12">
        <f>IF(K609=1,'ORDENES'!$J605,"")</f>
        <v/>
      </c>
    </row>
    <row r="610">
      <c r="K610" s="3">
        <f>IF(AND(IF($B$3="(todos)",TRUE,'ORDENES'!$O606=$B$3),IF($D$3="(todos)",TRUE,'ORDENES'!$AF606=$D$3),IF($F$3="(todos)",TRUE,'ORDENES'!$X606=$F$3),IF($H$3="(todos)",TRUE,'ORDENES'!$W606=$H$3),'ORDENES'!$AD606=TRUE,'ORDENES'!$A606&lt;&gt;""),1,0)</f>
        <v/>
      </c>
      <c r="L610" s="3">
        <f>IF(K610=1,IFERROR(MATCH('ORDENES'!$R606,lista_dias,0),9)*1000000000+IFERROR(MATCH('ORDENES'!$AF606,lista_turnos,0),9)*10000000+IFERROR(MATCH('ORDENES'!$AE606,tblTecnicos[nombre],0),99)*100000+603,9000000000000+603)</f>
        <v/>
      </c>
      <c r="M610" s="3">
        <f>IF(K610=1,SUMPRODUCT(--($L$8:$L$1207&lt;L610))+1,"")</f>
        <v/>
      </c>
      <c r="N610" s="17">
        <f>IF(K610=1,N('ORDENES'!$M606),0)</f>
        <v/>
      </c>
      <c r="O610" s="17">
        <f>IF('ORDENES'!$T606="preventiva",N610,0)</f>
        <v/>
      </c>
      <c r="P610" s="17">
        <f>IF('ORDENES'!$T606="correctiva",N610,0)</f>
        <v/>
      </c>
      <c r="Q610" s="3">
        <f>IF(AND(K610=1,'ORDENES'!$N606="Pendiente"),1,0)</f>
        <v/>
      </c>
      <c r="R610" s="3">
        <f>IF(Q610=1,100000-N610*1000+603*0.01,9000000000000+603)</f>
        <v/>
      </c>
      <c r="S610" s="3">
        <f>IF(Q610=1,SUMPRODUCT(--($R$8:$R$1207&lt;R610))+1,"")</f>
        <v/>
      </c>
      <c r="T610" s="12">
        <f>IF(K610=1,'ORDENES'!$J606,"")</f>
        <v/>
      </c>
    </row>
    <row r="611">
      <c r="K611" s="3">
        <f>IF(AND(IF($B$3="(todos)",TRUE,'ORDENES'!$O607=$B$3),IF($D$3="(todos)",TRUE,'ORDENES'!$AF607=$D$3),IF($F$3="(todos)",TRUE,'ORDENES'!$X607=$F$3),IF($H$3="(todos)",TRUE,'ORDENES'!$W607=$H$3),'ORDENES'!$AD607=TRUE,'ORDENES'!$A607&lt;&gt;""),1,0)</f>
        <v/>
      </c>
      <c r="L611" s="3">
        <f>IF(K611=1,IFERROR(MATCH('ORDENES'!$R607,lista_dias,0),9)*1000000000+IFERROR(MATCH('ORDENES'!$AF607,lista_turnos,0),9)*10000000+IFERROR(MATCH('ORDENES'!$AE607,tblTecnicos[nombre],0),99)*100000+604,9000000000000+604)</f>
        <v/>
      </c>
      <c r="M611" s="3">
        <f>IF(K611=1,SUMPRODUCT(--($L$8:$L$1207&lt;L611))+1,"")</f>
        <v/>
      </c>
      <c r="N611" s="17">
        <f>IF(K611=1,N('ORDENES'!$M607),0)</f>
        <v/>
      </c>
      <c r="O611" s="17">
        <f>IF('ORDENES'!$T607="preventiva",N611,0)</f>
        <v/>
      </c>
      <c r="P611" s="17">
        <f>IF('ORDENES'!$T607="correctiva",N611,0)</f>
        <v/>
      </c>
      <c r="Q611" s="3">
        <f>IF(AND(K611=1,'ORDENES'!$N607="Pendiente"),1,0)</f>
        <v/>
      </c>
      <c r="R611" s="3">
        <f>IF(Q611=1,100000-N611*1000+604*0.01,9000000000000+604)</f>
        <v/>
      </c>
      <c r="S611" s="3">
        <f>IF(Q611=1,SUMPRODUCT(--($R$8:$R$1207&lt;R611))+1,"")</f>
        <v/>
      </c>
      <c r="T611" s="12">
        <f>IF(K611=1,'ORDENES'!$J607,"")</f>
        <v/>
      </c>
    </row>
    <row r="612">
      <c r="K612" s="3">
        <f>IF(AND(IF($B$3="(todos)",TRUE,'ORDENES'!$O608=$B$3),IF($D$3="(todos)",TRUE,'ORDENES'!$AF608=$D$3),IF($F$3="(todos)",TRUE,'ORDENES'!$X608=$F$3),IF($H$3="(todos)",TRUE,'ORDENES'!$W608=$H$3),'ORDENES'!$AD608=TRUE,'ORDENES'!$A608&lt;&gt;""),1,0)</f>
        <v/>
      </c>
      <c r="L612" s="3">
        <f>IF(K612=1,IFERROR(MATCH('ORDENES'!$R608,lista_dias,0),9)*1000000000+IFERROR(MATCH('ORDENES'!$AF608,lista_turnos,0),9)*10000000+IFERROR(MATCH('ORDENES'!$AE608,tblTecnicos[nombre],0),99)*100000+605,9000000000000+605)</f>
        <v/>
      </c>
      <c r="M612" s="3">
        <f>IF(K612=1,SUMPRODUCT(--($L$8:$L$1207&lt;L612))+1,"")</f>
        <v/>
      </c>
      <c r="N612" s="17">
        <f>IF(K612=1,N('ORDENES'!$M608),0)</f>
        <v/>
      </c>
      <c r="O612" s="17">
        <f>IF('ORDENES'!$T608="preventiva",N612,0)</f>
        <v/>
      </c>
      <c r="P612" s="17">
        <f>IF('ORDENES'!$T608="correctiva",N612,0)</f>
        <v/>
      </c>
      <c r="Q612" s="3">
        <f>IF(AND(K612=1,'ORDENES'!$N608="Pendiente"),1,0)</f>
        <v/>
      </c>
      <c r="R612" s="3">
        <f>IF(Q612=1,100000-N612*1000+605*0.01,9000000000000+605)</f>
        <v/>
      </c>
      <c r="S612" s="3">
        <f>IF(Q612=1,SUMPRODUCT(--($R$8:$R$1207&lt;R612))+1,"")</f>
        <v/>
      </c>
      <c r="T612" s="12">
        <f>IF(K612=1,'ORDENES'!$J608,"")</f>
        <v/>
      </c>
    </row>
    <row r="613">
      <c r="K613" s="3">
        <f>IF(AND(IF($B$3="(todos)",TRUE,'ORDENES'!$O609=$B$3),IF($D$3="(todos)",TRUE,'ORDENES'!$AF609=$D$3),IF($F$3="(todos)",TRUE,'ORDENES'!$X609=$F$3),IF($H$3="(todos)",TRUE,'ORDENES'!$W609=$H$3),'ORDENES'!$AD609=TRUE,'ORDENES'!$A609&lt;&gt;""),1,0)</f>
        <v/>
      </c>
      <c r="L613" s="3">
        <f>IF(K613=1,IFERROR(MATCH('ORDENES'!$R609,lista_dias,0),9)*1000000000+IFERROR(MATCH('ORDENES'!$AF609,lista_turnos,0),9)*10000000+IFERROR(MATCH('ORDENES'!$AE609,tblTecnicos[nombre],0),99)*100000+606,9000000000000+606)</f>
        <v/>
      </c>
      <c r="M613" s="3">
        <f>IF(K613=1,SUMPRODUCT(--($L$8:$L$1207&lt;L613))+1,"")</f>
        <v/>
      </c>
      <c r="N613" s="17">
        <f>IF(K613=1,N('ORDENES'!$M609),0)</f>
        <v/>
      </c>
      <c r="O613" s="17">
        <f>IF('ORDENES'!$T609="preventiva",N613,0)</f>
        <v/>
      </c>
      <c r="P613" s="17">
        <f>IF('ORDENES'!$T609="correctiva",N613,0)</f>
        <v/>
      </c>
      <c r="Q613" s="3">
        <f>IF(AND(K613=1,'ORDENES'!$N609="Pendiente"),1,0)</f>
        <v/>
      </c>
      <c r="R613" s="3">
        <f>IF(Q613=1,100000-N613*1000+606*0.01,9000000000000+606)</f>
        <v/>
      </c>
      <c r="S613" s="3">
        <f>IF(Q613=1,SUMPRODUCT(--($R$8:$R$1207&lt;R613))+1,"")</f>
        <v/>
      </c>
      <c r="T613" s="12">
        <f>IF(K613=1,'ORDENES'!$J609,"")</f>
        <v/>
      </c>
    </row>
    <row r="614">
      <c r="K614" s="3">
        <f>IF(AND(IF($B$3="(todos)",TRUE,'ORDENES'!$O610=$B$3),IF($D$3="(todos)",TRUE,'ORDENES'!$AF610=$D$3),IF($F$3="(todos)",TRUE,'ORDENES'!$X610=$F$3),IF($H$3="(todos)",TRUE,'ORDENES'!$W610=$H$3),'ORDENES'!$AD610=TRUE,'ORDENES'!$A610&lt;&gt;""),1,0)</f>
        <v/>
      </c>
      <c r="L614" s="3">
        <f>IF(K614=1,IFERROR(MATCH('ORDENES'!$R610,lista_dias,0),9)*1000000000+IFERROR(MATCH('ORDENES'!$AF610,lista_turnos,0),9)*10000000+IFERROR(MATCH('ORDENES'!$AE610,tblTecnicos[nombre],0),99)*100000+607,9000000000000+607)</f>
        <v/>
      </c>
      <c r="M614" s="3">
        <f>IF(K614=1,SUMPRODUCT(--($L$8:$L$1207&lt;L614))+1,"")</f>
        <v/>
      </c>
      <c r="N614" s="17">
        <f>IF(K614=1,N('ORDENES'!$M610),0)</f>
        <v/>
      </c>
      <c r="O614" s="17">
        <f>IF('ORDENES'!$T610="preventiva",N614,0)</f>
        <v/>
      </c>
      <c r="P614" s="17">
        <f>IF('ORDENES'!$T610="correctiva",N614,0)</f>
        <v/>
      </c>
      <c r="Q614" s="3">
        <f>IF(AND(K614=1,'ORDENES'!$N610="Pendiente"),1,0)</f>
        <v/>
      </c>
      <c r="R614" s="3">
        <f>IF(Q614=1,100000-N614*1000+607*0.01,9000000000000+607)</f>
        <v/>
      </c>
      <c r="S614" s="3">
        <f>IF(Q614=1,SUMPRODUCT(--($R$8:$R$1207&lt;R614))+1,"")</f>
        <v/>
      </c>
      <c r="T614" s="12">
        <f>IF(K614=1,'ORDENES'!$J610,"")</f>
        <v/>
      </c>
    </row>
    <row r="615">
      <c r="K615" s="3">
        <f>IF(AND(IF($B$3="(todos)",TRUE,'ORDENES'!$O611=$B$3),IF($D$3="(todos)",TRUE,'ORDENES'!$AF611=$D$3),IF($F$3="(todos)",TRUE,'ORDENES'!$X611=$F$3),IF($H$3="(todos)",TRUE,'ORDENES'!$W611=$H$3),'ORDENES'!$AD611=TRUE,'ORDENES'!$A611&lt;&gt;""),1,0)</f>
        <v/>
      </c>
      <c r="L615" s="3">
        <f>IF(K615=1,IFERROR(MATCH('ORDENES'!$R611,lista_dias,0),9)*1000000000+IFERROR(MATCH('ORDENES'!$AF611,lista_turnos,0),9)*10000000+IFERROR(MATCH('ORDENES'!$AE611,tblTecnicos[nombre],0),99)*100000+608,9000000000000+608)</f>
        <v/>
      </c>
      <c r="M615" s="3">
        <f>IF(K615=1,SUMPRODUCT(--($L$8:$L$1207&lt;L615))+1,"")</f>
        <v/>
      </c>
      <c r="N615" s="17">
        <f>IF(K615=1,N('ORDENES'!$M611),0)</f>
        <v/>
      </c>
      <c r="O615" s="17">
        <f>IF('ORDENES'!$T611="preventiva",N615,0)</f>
        <v/>
      </c>
      <c r="P615" s="17">
        <f>IF('ORDENES'!$T611="correctiva",N615,0)</f>
        <v/>
      </c>
      <c r="Q615" s="3">
        <f>IF(AND(K615=1,'ORDENES'!$N611="Pendiente"),1,0)</f>
        <v/>
      </c>
      <c r="R615" s="3">
        <f>IF(Q615=1,100000-N615*1000+608*0.01,9000000000000+608)</f>
        <v/>
      </c>
      <c r="S615" s="3">
        <f>IF(Q615=1,SUMPRODUCT(--($R$8:$R$1207&lt;R615))+1,"")</f>
        <v/>
      </c>
      <c r="T615" s="12">
        <f>IF(K615=1,'ORDENES'!$J611,"")</f>
        <v/>
      </c>
    </row>
    <row r="616">
      <c r="K616" s="3">
        <f>IF(AND(IF($B$3="(todos)",TRUE,'ORDENES'!$O612=$B$3),IF($D$3="(todos)",TRUE,'ORDENES'!$AF612=$D$3),IF($F$3="(todos)",TRUE,'ORDENES'!$X612=$F$3),IF($H$3="(todos)",TRUE,'ORDENES'!$W612=$H$3),'ORDENES'!$AD612=TRUE,'ORDENES'!$A612&lt;&gt;""),1,0)</f>
        <v/>
      </c>
      <c r="L616" s="3">
        <f>IF(K616=1,IFERROR(MATCH('ORDENES'!$R612,lista_dias,0),9)*1000000000+IFERROR(MATCH('ORDENES'!$AF612,lista_turnos,0),9)*10000000+IFERROR(MATCH('ORDENES'!$AE612,tblTecnicos[nombre],0),99)*100000+609,9000000000000+609)</f>
        <v/>
      </c>
      <c r="M616" s="3">
        <f>IF(K616=1,SUMPRODUCT(--($L$8:$L$1207&lt;L616))+1,"")</f>
        <v/>
      </c>
      <c r="N616" s="17">
        <f>IF(K616=1,N('ORDENES'!$M612),0)</f>
        <v/>
      </c>
      <c r="O616" s="17">
        <f>IF('ORDENES'!$T612="preventiva",N616,0)</f>
        <v/>
      </c>
      <c r="P616" s="17">
        <f>IF('ORDENES'!$T612="correctiva",N616,0)</f>
        <v/>
      </c>
      <c r="Q616" s="3">
        <f>IF(AND(K616=1,'ORDENES'!$N612="Pendiente"),1,0)</f>
        <v/>
      </c>
      <c r="R616" s="3">
        <f>IF(Q616=1,100000-N616*1000+609*0.01,9000000000000+609)</f>
        <v/>
      </c>
      <c r="S616" s="3">
        <f>IF(Q616=1,SUMPRODUCT(--($R$8:$R$1207&lt;R616))+1,"")</f>
        <v/>
      </c>
      <c r="T616" s="12">
        <f>IF(K616=1,'ORDENES'!$J612,"")</f>
        <v/>
      </c>
    </row>
    <row r="617">
      <c r="K617" s="3">
        <f>IF(AND(IF($B$3="(todos)",TRUE,'ORDENES'!$O613=$B$3),IF($D$3="(todos)",TRUE,'ORDENES'!$AF613=$D$3),IF($F$3="(todos)",TRUE,'ORDENES'!$X613=$F$3),IF($H$3="(todos)",TRUE,'ORDENES'!$W613=$H$3),'ORDENES'!$AD613=TRUE,'ORDENES'!$A613&lt;&gt;""),1,0)</f>
        <v/>
      </c>
      <c r="L617" s="3">
        <f>IF(K617=1,IFERROR(MATCH('ORDENES'!$R613,lista_dias,0),9)*1000000000+IFERROR(MATCH('ORDENES'!$AF613,lista_turnos,0),9)*10000000+IFERROR(MATCH('ORDENES'!$AE613,tblTecnicos[nombre],0),99)*100000+610,9000000000000+610)</f>
        <v/>
      </c>
      <c r="M617" s="3">
        <f>IF(K617=1,SUMPRODUCT(--($L$8:$L$1207&lt;L617))+1,"")</f>
        <v/>
      </c>
      <c r="N617" s="17">
        <f>IF(K617=1,N('ORDENES'!$M613),0)</f>
        <v/>
      </c>
      <c r="O617" s="17">
        <f>IF('ORDENES'!$T613="preventiva",N617,0)</f>
        <v/>
      </c>
      <c r="P617" s="17">
        <f>IF('ORDENES'!$T613="correctiva",N617,0)</f>
        <v/>
      </c>
      <c r="Q617" s="3">
        <f>IF(AND(K617=1,'ORDENES'!$N613="Pendiente"),1,0)</f>
        <v/>
      </c>
      <c r="R617" s="3">
        <f>IF(Q617=1,100000-N617*1000+610*0.01,9000000000000+610)</f>
        <v/>
      </c>
      <c r="S617" s="3">
        <f>IF(Q617=1,SUMPRODUCT(--($R$8:$R$1207&lt;R617))+1,"")</f>
        <v/>
      </c>
      <c r="T617" s="12">
        <f>IF(K617=1,'ORDENES'!$J613,"")</f>
        <v/>
      </c>
    </row>
    <row r="618">
      <c r="K618" s="3">
        <f>IF(AND(IF($B$3="(todos)",TRUE,'ORDENES'!$O614=$B$3),IF($D$3="(todos)",TRUE,'ORDENES'!$AF614=$D$3),IF($F$3="(todos)",TRUE,'ORDENES'!$X614=$F$3),IF($H$3="(todos)",TRUE,'ORDENES'!$W614=$H$3),'ORDENES'!$AD614=TRUE,'ORDENES'!$A614&lt;&gt;""),1,0)</f>
        <v/>
      </c>
      <c r="L618" s="3">
        <f>IF(K618=1,IFERROR(MATCH('ORDENES'!$R614,lista_dias,0),9)*1000000000+IFERROR(MATCH('ORDENES'!$AF614,lista_turnos,0),9)*10000000+IFERROR(MATCH('ORDENES'!$AE614,tblTecnicos[nombre],0),99)*100000+611,9000000000000+611)</f>
        <v/>
      </c>
      <c r="M618" s="3">
        <f>IF(K618=1,SUMPRODUCT(--($L$8:$L$1207&lt;L618))+1,"")</f>
        <v/>
      </c>
      <c r="N618" s="17">
        <f>IF(K618=1,N('ORDENES'!$M614),0)</f>
        <v/>
      </c>
      <c r="O618" s="17">
        <f>IF('ORDENES'!$T614="preventiva",N618,0)</f>
        <v/>
      </c>
      <c r="P618" s="17">
        <f>IF('ORDENES'!$T614="correctiva",N618,0)</f>
        <v/>
      </c>
      <c r="Q618" s="3">
        <f>IF(AND(K618=1,'ORDENES'!$N614="Pendiente"),1,0)</f>
        <v/>
      </c>
      <c r="R618" s="3">
        <f>IF(Q618=1,100000-N618*1000+611*0.01,9000000000000+611)</f>
        <v/>
      </c>
      <c r="S618" s="3">
        <f>IF(Q618=1,SUMPRODUCT(--($R$8:$R$1207&lt;R618))+1,"")</f>
        <v/>
      </c>
      <c r="T618" s="12">
        <f>IF(K618=1,'ORDENES'!$J614,"")</f>
        <v/>
      </c>
    </row>
    <row r="619">
      <c r="K619" s="3">
        <f>IF(AND(IF($B$3="(todos)",TRUE,'ORDENES'!$O615=$B$3),IF($D$3="(todos)",TRUE,'ORDENES'!$AF615=$D$3),IF($F$3="(todos)",TRUE,'ORDENES'!$X615=$F$3),IF($H$3="(todos)",TRUE,'ORDENES'!$W615=$H$3),'ORDENES'!$AD615=TRUE,'ORDENES'!$A615&lt;&gt;""),1,0)</f>
        <v/>
      </c>
      <c r="L619" s="3">
        <f>IF(K619=1,IFERROR(MATCH('ORDENES'!$R615,lista_dias,0),9)*1000000000+IFERROR(MATCH('ORDENES'!$AF615,lista_turnos,0),9)*10000000+IFERROR(MATCH('ORDENES'!$AE615,tblTecnicos[nombre],0),99)*100000+612,9000000000000+612)</f>
        <v/>
      </c>
      <c r="M619" s="3">
        <f>IF(K619=1,SUMPRODUCT(--($L$8:$L$1207&lt;L619))+1,"")</f>
        <v/>
      </c>
      <c r="N619" s="17">
        <f>IF(K619=1,N('ORDENES'!$M615),0)</f>
        <v/>
      </c>
      <c r="O619" s="17">
        <f>IF('ORDENES'!$T615="preventiva",N619,0)</f>
        <v/>
      </c>
      <c r="P619" s="17">
        <f>IF('ORDENES'!$T615="correctiva",N619,0)</f>
        <v/>
      </c>
      <c r="Q619" s="3">
        <f>IF(AND(K619=1,'ORDENES'!$N615="Pendiente"),1,0)</f>
        <v/>
      </c>
      <c r="R619" s="3">
        <f>IF(Q619=1,100000-N619*1000+612*0.01,9000000000000+612)</f>
        <v/>
      </c>
      <c r="S619" s="3">
        <f>IF(Q619=1,SUMPRODUCT(--($R$8:$R$1207&lt;R619))+1,"")</f>
        <v/>
      </c>
      <c r="T619" s="12">
        <f>IF(K619=1,'ORDENES'!$J615,"")</f>
        <v/>
      </c>
    </row>
    <row r="620">
      <c r="K620" s="3">
        <f>IF(AND(IF($B$3="(todos)",TRUE,'ORDENES'!$O616=$B$3),IF($D$3="(todos)",TRUE,'ORDENES'!$AF616=$D$3),IF($F$3="(todos)",TRUE,'ORDENES'!$X616=$F$3),IF($H$3="(todos)",TRUE,'ORDENES'!$W616=$H$3),'ORDENES'!$AD616=TRUE,'ORDENES'!$A616&lt;&gt;""),1,0)</f>
        <v/>
      </c>
      <c r="L620" s="3">
        <f>IF(K620=1,IFERROR(MATCH('ORDENES'!$R616,lista_dias,0),9)*1000000000+IFERROR(MATCH('ORDENES'!$AF616,lista_turnos,0),9)*10000000+IFERROR(MATCH('ORDENES'!$AE616,tblTecnicos[nombre],0),99)*100000+613,9000000000000+613)</f>
        <v/>
      </c>
      <c r="M620" s="3">
        <f>IF(K620=1,SUMPRODUCT(--($L$8:$L$1207&lt;L620))+1,"")</f>
        <v/>
      </c>
      <c r="N620" s="17">
        <f>IF(K620=1,N('ORDENES'!$M616),0)</f>
        <v/>
      </c>
      <c r="O620" s="17">
        <f>IF('ORDENES'!$T616="preventiva",N620,0)</f>
        <v/>
      </c>
      <c r="P620" s="17">
        <f>IF('ORDENES'!$T616="correctiva",N620,0)</f>
        <v/>
      </c>
      <c r="Q620" s="3">
        <f>IF(AND(K620=1,'ORDENES'!$N616="Pendiente"),1,0)</f>
        <v/>
      </c>
      <c r="R620" s="3">
        <f>IF(Q620=1,100000-N620*1000+613*0.01,9000000000000+613)</f>
        <v/>
      </c>
      <c r="S620" s="3">
        <f>IF(Q620=1,SUMPRODUCT(--($R$8:$R$1207&lt;R620))+1,"")</f>
        <v/>
      </c>
      <c r="T620" s="12">
        <f>IF(K620=1,'ORDENES'!$J616,"")</f>
        <v/>
      </c>
    </row>
    <row r="621">
      <c r="K621" s="3">
        <f>IF(AND(IF($B$3="(todos)",TRUE,'ORDENES'!$O617=$B$3),IF($D$3="(todos)",TRUE,'ORDENES'!$AF617=$D$3),IF($F$3="(todos)",TRUE,'ORDENES'!$X617=$F$3),IF($H$3="(todos)",TRUE,'ORDENES'!$W617=$H$3),'ORDENES'!$AD617=TRUE,'ORDENES'!$A617&lt;&gt;""),1,0)</f>
        <v/>
      </c>
      <c r="L621" s="3">
        <f>IF(K621=1,IFERROR(MATCH('ORDENES'!$R617,lista_dias,0),9)*1000000000+IFERROR(MATCH('ORDENES'!$AF617,lista_turnos,0),9)*10000000+IFERROR(MATCH('ORDENES'!$AE617,tblTecnicos[nombre],0),99)*100000+614,9000000000000+614)</f>
        <v/>
      </c>
      <c r="M621" s="3">
        <f>IF(K621=1,SUMPRODUCT(--($L$8:$L$1207&lt;L621))+1,"")</f>
        <v/>
      </c>
      <c r="N621" s="17">
        <f>IF(K621=1,N('ORDENES'!$M617),0)</f>
        <v/>
      </c>
      <c r="O621" s="17">
        <f>IF('ORDENES'!$T617="preventiva",N621,0)</f>
        <v/>
      </c>
      <c r="P621" s="17">
        <f>IF('ORDENES'!$T617="correctiva",N621,0)</f>
        <v/>
      </c>
      <c r="Q621" s="3">
        <f>IF(AND(K621=1,'ORDENES'!$N617="Pendiente"),1,0)</f>
        <v/>
      </c>
      <c r="R621" s="3">
        <f>IF(Q621=1,100000-N621*1000+614*0.01,9000000000000+614)</f>
        <v/>
      </c>
      <c r="S621" s="3">
        <f>IF(Q621=1,SUMPRODUCT(--($R$8:$R$1207&lt;R621))+1,"")</f>
        <v/>
      </c>
      <c r="T621" s="12">
        <f>IF(K621=1,'ORDENES'!$J617,"")</f>
        <v/>
      </c>
    </row>
    <row r="622">
      <c r="K622" s="3">
        <f>IF(AND(IF($B$3="(todos)",TRUE,'ORDENES'!$O618=$B$3),IF($D$3="(todos)",TRUE,'ORDENES'!$AF618=$D$3),IF($F$3="(todos)",TRUE,'ORDENES'!$X618=$F$3),IF($H$3="(todos)",TRUE,'ORDENES'!$W618=$H$3),'ORDENES'!$AD618=TRUE,'ORDENES'!$A618&lt;&gt;""),1,0)</f>
        <v/>
      </c>
      <c r="L622" s="3">
        <f>IF(K622=1,IFERROR(MATCH('ORDENES'!$R618,lista_dias,0),9)*1000000000+IFERROR(MATCH('ORDENES'!$AF618,lista_turnos,0),9)*10000000+IFERROR(MATCH('ORDENES'!$AE618,tblTecnicos[nombre],0),99)*100000+615,9000000000000+615)</f>
        <v/>
      </c>
      <c r="M622" s="3">
        <f>IF(K622=1,SUMPRODUCT(--($L$8:$L$1207&lt;L622))+1,"")</f>
        <v/>
      </c>
      <c r="N622" s="17">
        <f>IF(K622=1,N('ORDENES'!$M618),0)</f>
        <v/>
      </c>
      <c r="O622" s="17">
        <f>IF('ORDENES'!$T618="preventiva",N622,0)</f>
        <v/>
      </c>
      <c r="P622" s="17">
        <f>IF('ORDENES'!$T618="correctiva",N622,0)</f>
        <v/>
      </c>
      <c r="Q622" s="3">
        <f>IF(AND(K622=1,'ORDENES'!$N618="Pendiente"),1,0)</f>
        <v/>
      </c>
      <c r="R622" s="3">
        <f>IF(Q622=1,100000-N622*1000+615*0.01,9000000000000+615)</f>
        <v/>
      </c>
      <c r="S622" s="3">
        <f>IF(Q622=1,SUMPRODUCT(--($R$8:$R$1207&lt;R622))+1,"")</f>
        <v/>
      </c>
      <c r="T622" s="12">
        <f>IF(K622=1,'ORDENES'!$J618,"")</f>
        <v/>
      </c>
    </row>
    <row r="623">
      <c r="K623" s="3">
        <f>IF(AND(IF($B$3="(todos)",TRUE,'ORDENES'!$O619=$B$3),IF($D$3="(todos)",TRUE,'ORDENES'!$AF619=$D$3),IF($F$3="(todos)",TRUE,'ORDENES'!$X619=$F$3),IF($H$3="(todos)",TRUE,'ORDENES'!$W619=$H$3),'ORDENES'!$AD619=TRUE,'ORDENES'!$A619&lt;&gt;""),1,0)</f>
        <v/>
      </c>
      <c r="L623" s="3">
        <f>IF(K623=1,IFERROR(MATCH('ORDENES'!$R619,lista_dias,0),9)*1000000000+IFERROR(MATCH('ORDENES'!$AF619,lista_turnos,0),9)*10000000+IFERROR(MATCH('ORDENES'!$AE619,tblTecnicos[nombre],0),99)*100000+616,9000000000000+616)</f>
        <v/>
      </c>
      <c r="M623" s="3">
        <f>IF(K623=1,SUMPRODUCT(--($L$8:$L$1207&lt;L623))+1,"")</f>
        <v/>
      </c>
      <c r="N623" s="17">
        <f>IF(K623=1,N('ORDENES'!$M619),0)</f>
        <v/>
      </c>
      <c r="O623" s="17">
        <f>IF('ORDENES'!$T619="preventiva",N623,0)</f>
        <v/>
      </c>
      <c r="P623" s="17">
        <f>IF('ORDENES'!$T619="correctiva",N623,0)</f>
        <v/>
      </c>
      <c r="Q623" s="3">
        <f>IF(AND(K623=1,'ORDENES'!$N619="Pendiente"),1,0)</f>
        <v/>
      </c>
      <c r="R623" s="3">
        <f>IF(Q623=1,100000-N623*1000+616*0.01,9000000000000+616)</f>
        <v/>
      </c>
      <c r="S623" s="3">
        <f>IF(Q623=1,SUMPRODUCT(--($R$8:$R$1207&lt;R623))+1,"")</f>
        <v/>
      </c>
      <c r="T623" s="12">
        <f>IF(K623=1,'ORDENES'!$J619,"")</f>
        <v/>
      </c>
    </row>
    <row r="624">
      <c r="K624" s="3">
        <f>IF(AND(IF($B$3="(todos)",TRUE,'ORDENES'!$O620=$B$3),IF($D$3="(todos)",TRUE,'ORDENES'!$AF620=$D$3),IF($F$3="(todos)",TRUE,'ORDENES'!$X620=$F$3),IF($H$3="(todos)",TRUE,'ORDENES'!$W620=$H$3),'ORDENES'!$AD620=TRUE,'ORDENES'!$A620&lt;&gt;""),1,0)</f>
        <v/>
      </c>
      <c r="L624" s="3">
        <f>IF(K624=1,IFERROR(MATCH('ORDENES'!$R620,lista_dias,0),9)*1000000000+IFERROR(MATCH('ORDENES'!$AF620,lista_turnos,0),9)*10000000+IFERROR(MATCH('ORDENES'!$AE620,tblTecnicos[nombre],0),99)*100000+617,9000000000000+617)</f>
        <v/>
      </c>
      <c r="M624" s="3">
        <f>IF(K624=1,SUMPRODUCT(--($L$8:$L$1207&lt;L624))+1,"")</f>
        <v/>
      </c>
      <c r="N624" s="17">
        <f>IF(K624=1,N('ORDENES'!$M620),0)</f>
        <v/>
      </c>
      <c r="O624" s="17">
        <f>IF('ORDENES'!$T620="preventiva",N624,0)</f>
        <v/>
      </c>
      <c r="P624" s="17">
        <f>IF('ORDENES'!$T620="correctiva",N624,0)</f>
        <v/>
      </c>
      <c r="Q624" s="3">
        <f>IF(AND(K624=1,'ORDENES'!$N620="Pendiente"),1,0)</f>
        <v/>
      </c>
      <c r="R624" s="3">
        <f>IF(Q624=1,100000-N624*1000+617*0.01,9000000000000+617)</f>
        <v/>
      </c>
      <c r="S624" s="3">
        <f>IF(Q624=1,SUMPRODUCT(--($R$8:$R$1207&lt;R624))+1,"")</f>
        <v/>
      </c>
      <c r="T624" s="12">
        <f>IF(K624=1,'ORDENES'!$J620,"")</f>
        <v/>
      </c>
    </row>
    <row r="625">
      <c r="K625" s="3">
        <f>IF(AND(IF($B$3="(todos)",TRUE,'ORDENES'!$O621=$B$3),IF($D$3="(todos)",TRUE,'ORDENES'!$AF621=$D$3),IF($F$3="(todos)",TRUE,'ORDENES'!$X621=$F$3),IF($H$3="(todos)",TRUE,'ORDENES'!$W621=$H$3),'ORDENES'!$AD621=TRUE,'ORDENES'!$A621&lt;&gt;""),1,0)</f>
        <v/>
      </c>
      <c r="L625" s="3">
        <f>IF(K625=1,IFERROR(MATCH('ORDENES'!$R621,lista_dias,0),9)*1000000000+IFERROR(MATCH('ORDENES'!$AF621,lista_turnos,0),9)*10000000+IFERROR(MATCH('ORDENES'!$AE621,tblTecnicos[nombre],0),99)*100000+618,9000000000000+618)</f>
        <v/>
      </c>
      <c r="M625" s="3">
        <f>IF(K625=1,SUMPRODUCT(--($L$8:$L$1207&lt;L625))+1,"")</f>
        <v/>
      </c>
      <c r="N625" s="17">
        <f>IF(K625=1,N('ORDENES'!$M621),0)</f>
        <v/>
      </c>
      <c r="O625" s="17">
        <f>IF('ORDENES'!$T621="preventiva",N625,0)</f>
        <v/>
      </c>
      <c r="P625" s="17">
        <f>IF('ORDENES'!$T621="correctiva",N625,0)</f>
        <v/>
      </c>
      <c r="Q625" s="3">
        <f>IF(AND(K625=1,'ORDENES'!$N621="Pendiente"),1,0)</f>
        <v/>
      </c>
      <c r="R625" s="3">
        <f>IF(Q625=1,100000-N625*1000+618*0.01,9000000000000+618)</f>
        <v/>
      </c>
      <c r="S625" s="3">
        <f>IF(Q625=1,SUMPRODUCT(--($R$8:$R$1207&lt;R625))+1,"")</f>
        <v/>
      </c>
      <c r="T625" s="12">
        <f>IF(K625=1,'ORDENES'!$J621,"")</f>
        <v/>
      </c>
    </row>
    <row r="626">
      <c r="K626" s="3">
        <f>IF(AND(IF($B$3="(todos)",TRUE,'ORDENES'!$O622=$B$3),IF($D$3="(todos)",TRUE,'ORDENES'!$AF622=$D$3),IF($F$3="(todos)",TRUE,'ORDENES'!$X622=$F$3),IF($H$3="(todos)",TRUE,'ORDENES'!$W622=$H$3),'ORDENES'!$AD622=TRUE,'ORDENES'!$A622&lt;&gt;""),1,0)</f>
        <v/>
      </c>
      <c r="L626" s="3">
        <f>IF(K626=1,IFERROR(MATCH('ORDENES'!$R622,lista_dias,0),9)*1000000000+IFERROR(MATCH('ORDENES'!$AF622,lista_turnos,0),9)*10000000+IFERROR(MATCH('ORDENES'!$AE622,tblTecnicos[nombre],0),99)*100000+619,9000000000000+619)</f>
        <v/>
      </c>
      <c r="M626" s="3">
        <f>IF(K626=1,SUMPRODUCT(--($L$8:$L$1207&lt;L626))+1,"")</f>
        <v/>
      </c>
      <c r="N626" s="17">
        <f>IF(K626=1,N('ORDENES'!$M622),0)</f>
        <v/>
      </c>
      <c r="O626" s="17">
        <f>IF('ORDENES'!$T622="preventiva",N626,0)</f>
        <v/>
      </c>
      <c r="P626" s="17">
        <f>IF('ORDENES'!$T622="correctiva",N626,0)</f>
        <v/>
      </c>
      <c r="Q626" s="3">
        <f>IF(AND(K626=1,'ORDENES'!$N622="Pendiente"),1,0)</f>
        <v/>
      </c>
      <c r="R626" s="3">
        <f>IF(Q626=1,100000-N626*1000+619*0.01,9000000000000+619)</f>
        <v/>
      </c>
      <c r="S626" s="3">
        <f>IF(Q626=1,SUMPRODUCT(--($R$8:$R$1207&lt;R626))+1,"")</f>
        <v/>
      </c>
      <c r="T626" s="12">
        <f>IF(K626=1,'ORDENES'!$J622,"")</f>
        <v/>
      </c>
    </row>
    <row r="627">
      <c r="K627" s="3">
        <f>IF(AND(IF($B$3="(todos)",TRUE,'ORDENES'!$O623=$B$3),IF($D$3="(todos)",TRUE,'ORDENES'!$AF623=$D$3),IF($F$3="(todos)",TRUE,'ORDENES'!$X623=$F$3),IF($H$3="(todos)",TRUE,'ORDENES'!$W623=$H$3),'ORDENES'!$AD623=TRUE,'ORDENES'!$A623&lt;&gt;""),1,0)</f>
        <v/>
      </c>
      <c r="L627" s="3">
        <f>IF(K627=1,IFERROR(MATCH('ORDENES'!$R623,lista_dias,0),9)*1000000000+IFERROR(MATCH('ORDENES'!$AF623,lista_turnos,0),9)*10000000+IFERROR(MATCH('ORDENES'!$AE623,tblTecnicos[nombre],0),99)*100000+620,9000000000000+620)</f>
        <v/>
      </c>
      <c r="M627" s="3">
        <f>IF(K627=1,SUMPRODUCT(--($L$8:$L$1207&lt;L627))+1,"")</f>
        <v/>
      </c>
      <c r="N627" s="17">
        <f>IF(K627=1,N('ORDENES'!$M623),0)</f>
        <v/>
      </c>
      <c r="O627" s="17">
        <f>IF('ORDENES'!$T623="preventiva",N627,0)</f>
        <v/>
      </c>
      <c r="P627" s="17">
        <f>IF('ORDENES'!$T623="correctiva",N627,0)</f>
        <v/>
      </c>
      <c r="Q627" s="3">
        <f>IF(AND(K627=1,'ORDENES'!$N623="Pendiente"),1,0)</f>
        <v/>
      </c>
      <c r="R627" s="3">
        <f>IF(Q627=1,100000-N627*1000+620*0.01,9000000000000+620)</f>
        <v/>
      </c>
      <c r="S627" s="3">
        <f>IF(Q627=1,SUMPRODUCT(--($R$8:$R$1207&lt;R627))+1,"")</f>
        <v/>
      </c>
      <c r="T627" s="12">
        <f>IF(K627=1,'ORDENES'!$J623,"")</f>
        <v/>
      </c>
    </row>
    <row r="628">
      <c r="K628" s="3">
        <f>IF(AND(IF($B$3="(todos)",TRUE,'ORDENES'!$O624=$B$3),IF($D$3="(todos)",TRUE,'ORDENES'!$AF624=$D$3),IF($F$3="(todos)",TRUE,'ORDENES'!$X624=$F$3),IF($H$3="(todos)",TRUE,'ORDENES'!$W624=$H$3),'ORDENES'!$AD624=TRUE,'ORDENES'!$A624&lt;&gt;""),1,0)</f>
        <v/>
      </c>
      <c r="L628" s="3">
        <f>IF(K628=1,IFERROR(MATCH('ORDENES'!$R624,lista_dias,0),9)*1000000000+IFERROR(MATCH('ORDENES'!$AF624,lista_turnos,0),9)*10000000+IFERROR(MATCH('ORDENES'!$AE624,tblTecnicos[nombre],0),99)*100000+621,9000000000000+621)</f>
        <v/>
      </c>
      <c r="M628" s="3">
        <f>IF(K628=1,SUMPRODUCT(--($L$8:$L$1207&lt;L628))+1,"")</f>
        <v/>
      </c>
      <c r="N628" s="17">
        <f>IF(K628=1,N('ORDENES'!$M624),0)</f>
        <v/>
      </c>
      <c r="O628" s="17">
        <f>IF('ORDENES'!$T624="preventiva",N628,0)</f>
        <v/>
      </c>
      <c r="P628" s="17">
        <f>IF('ORDENES'!$T624="correctiva",N628,0)</f>
        <v/>
      </c>
      <c r="Q628" s="3">
        <f>IF(AND(K628=1,'ORDENES'!$N624="Pendiente"),1,0)</f>
        <v/>
      </c>
      <c r="R628" s="3">
        <f>IF(Q628=1,100000-N628*1000+621*0.01,9000000000000+621)</f>
        <v/>
      </c>
      <c r="S628" s="3">
        <f>IF(Q628=1,SUMPRODUCT(--($R$8:$R$1207&lt;R628))+1,"")</f>
        <v/>
      </c>
      <c r="T628" s="12">
        <f>IF(K628=1,'ORDENES'!$J624,"")</f>
        <v/>
      </c>
    </row>
    <row r="629">
      <c r="K629" s="3">
        <f>IF(AND(IF($B$3="(todos)",TRUE,'ORDENES'!$O625=$B$3),IF($D$3="(todos)",TRUE,'ORDENES'!$AF625=$D$3),IF($F$3="(todos)",TRUE,'ORDENES'!$X625=$F$3),IF($H$3="(todos)",TRUE,'ORDENES'!$W625=$H$3),'ORDENES'!$AD625=TRUE,'ORDENES'!$A625&lt;&gt;""),1,0)</f>
        <v/>
      </c>
      <c r="L629" s="3">
        <f>IF(K629=1,IFERROR(MATCH('ORDENES'!$R625,lista_dias,0),9)*1000000000+IFERROR(MATCH('ORDENES'!$AF625,lista_turnos,0),9)*10000000+IFERROR(MATCH('ORDENES'!$AE625,tblTecnicos[nombre],0),99)*100000+622,9000000000000+622)</f>
        <v/>
      </c>
      <c r="M629" s="3">
        <f>IF(K629=1,SUMPRODUCT(--($L$8:$L$1207&lt;L629))+1,"")</f>
        <v/>
      </c>
      <c r="N629" s="17">
        <f>IF(K629=1,N('ORDENES'!$M625),0)</f>
        <v/>
      </c>
      <c r="O629" s="17">
        <f>IF('ORDENES'!$T625="preventiva",N629,0)</f>
        <v/>
      </c>
      <c r="P629" s="17">
        <f>IF('ORDENES'!$T625="correctiva",N629,0)</f>
        <v/>
      </c>
      <c r="Q629" s="3">
        <f>IF(AND(K629=1,'ORDENES'!$N625="Pendiente"),1,0)</f>
        <v/>
      </c>
      <c r="R629" s="3">
        <f>IF(Q629=1,100000-N629*1000+622*0.01,9000000000000+622)</f>
        <v/>
      </c>
      <c r="S629" s="3">
        <f>IF(Q629=1,SUMPRODUCT(--($R$8:$R$1207&lt;R629))+1,"")</f>
        <v/>
      </c>
      <c r="T629" s="12">
        <f>IF(K629=1,'ORDENES'!$J625,"")</f>
        <v/>
      </c>
    </row>
    <row r="630">
      <c r="K630" s="3">
        <f>IF(AND(IF($B$3="(todos)",TRUE,'ORDENES'!$O626=$B$3),IF($D$3="(todos)",TRUE,'ORDENES'!$AF626=$D$3),IF($F$3="(todos)",TRUE,'ORDENES'!$X626=$F$3),IF($H$3="(todos)",TRUE,'ORDENES'!$W626=$H$3),'ORDENES'!$AD626=TRUE,'ORDENES'!$A626&lt;&gt;""),1,0)</f>
        <v/>
      </c>
      <c r="L630" s="3">
        <f>IF(K630=1,IFERROR(MATCH('ORDENES'!$R626,lista_dias,0),9)*1000000000+IFERROR(MATCH('ORDENES'!$AF626,lista_turnos,0),9)*10000000+IFERROR(MATCH('ORDENES'!$AE626,tblTecnicos[nombre],0),99)*100000+623,9000000000000+623)</f>
        <v/>
      </c>
      <c r="M630" s="3">
        <f>IF(K630=1,SUMPRODUCT(--($L$8:$L$1207&lt;L630))+1,"")</f>
        <v/>
      </c>
      <c r="N630" s="17">
        <f>IF(K630=1,N('ORDENES'!$M626),0)</f>
        <v/>
      </c>
      <c r="O630" s="17">
        <f>IF('ORDENES'!$T626="preventiva",N630,0)</f>
        <v/>
      </c>
      <c r="P630" s="17">
        <f>IF('ORDENES'!$T626="correctiva",N630,0)</f>
        <v/>
      </c>
      <c r="Q630" s="3">
        <f>IF(AND(K630=1,'ORDENES'!$N626="Pendiente"),1,0)</f>
        <v/>
      </c>
      <c r="R630" s="3">
        <f>IF(Q630=1,100000-N630*1000+623*0.01,9000000000000+623)</f>
        <v/>
      </c>
      <c r="S630" s="3">
        <f>IF(Q630=1,SUMPRODUCT(--($R$8:$R$1207&lt;R630))+1,"")</f>
        <v/>
      </c>
      <c r="T630" s="12">
        <f>IF(K630=1,'ORDENES'!$J626,"")</f>
        <v/>
      </c>
    </row>
    <row r="631">
      <c r="K631" s="3">
        <f>IF(AND(IF($B$3="(todos)",TRUE,'ORDENES'!$O627=$B$3),IF($D$3="(todos)",TRUE,'ORDENES'!$AF627=$D$3),IF($F$3="(todos)",TRUE,'ORDENES'!$X627=$F$3),IF($H$3="(todos)",TRUE,'ORDENES'!$W627=$H$3),'ORDENES'!$AD627=TRUE,'ORDENES'!$A627&lt;&gt;""),1,0)</f>
        <v/>
      </c>
      <c r="L631" s="3">
        <f>IF(K631=1,IFERROR(MATCH('ORDENES'!$R627,lista_dias,0),9)*1000000000+IFERROR(MATCH('ORDENES'!$AF627,lista_turnos,0),9)*10000000+IFERROR(MATCH('ORDENES'!$AE627,tblTecnicos[nombre],0),99)*100000+624,9000000000000+624)</f>
        <v/>
      </c>
      <c r="M631" s="3">
        <f>IF(K631=1,SUMPRODUCT(--($L$8:$L$1207&lt;L631))+1,"")</f>
        <v/>
      </c>
      <c r="N631" s="17">
        <f>IF(K631=1,N('ORDENES'!$M627),0)</f>
        <v/>
      </c>
      <c r="O631" s="17">
        <f>IF('ORDENES'!$T627="preventiva",N631,0)</f>
        <v/>
      </c>
      <c r="P631" s="17">
        <f>IF('ORDENES'!$T627="correctiva",N631,0)</f>
        <v/>
      </c>
      <c r="Q631" s="3">
        <f>IF(AND(K631=1,'ORDENES'!$N627="Pendiente"),1,0)</f>
        <v/>
      </c>
      <c r="R631" s="3">
        <f>IF(Q631=1,100000-N631*1000+624*0.01,9000000000000+624)</f>
        <v/>
      </c>
      <c r="S631" s="3">
        <f>IF(Q631=1,SUMPRODUCT(--($R$8:$R$1207&lt;R631))+1,"")</f>
        <v/>
      </c>
      <c r="T631" s="12">
        <f>IF(K631=1,'ORDENES'!$J627,"")</f>
        <v/>
      </c>
    </row>
    <row r="632">
      <c r="K632" s="3">
        <f>IF(AND(IF($B$3="(todos)",TRUE,'ORDENES'!$O628=$B$3),IF($D$3="(todos)",TRUE,'ORDENES'!$AF628=$D$3),IF($F$3="(todos)",TRUE,'ORDENES'!$X628=$F$3),IF($H$3="(todos)",TRUE,'ORDENES'!$W628=$H$3),'ORDENES'!$AD628=TRUE,'ORDENES'!$A628&lt;&gt;""),1,0)</f>
        <v/>
      </c>
      <c r="L632" s="3">
        <f>IF(K632=1,IFERROR(MATCH('ORDENES'!$R628,lista_dias,0),9)*1000000000+IFERROR(MATCH('ORDENES'!$AF628,lista_turnos,0),9)*10000000+IFERROR(MATCH('ORDENES'!$AE628,tblTecnicos[nombre],0),99)*100000+625,9000000000000+625)</f>
        <v/>
      </c>
      <c r="M632" s="3">
        <f>IF(K632=1,SUMPRODUCT(--($L$8:$L$1207&lt;L632))+1,"")</f>
        <v/>
      </c>
      <c r="N632" s="17">
        <f>IF(K632=1,N('ORDENES'!$M628),0)</f>
        <v/>
      </c>
      <c r="O632" s="17">
        <f>IF('ORDENES'!$T628="preventiva",N632,0)</f>
        <v/>
      </c>
      <c r="P632" s="17">
        <f>IF('ORDENES'!$T628="correctiva",N632,0)</f>
        <v/>
      </c>
      <c r="Q632" s="3">
        <f>IF(AND(K632=1,'ORDENES'!$N628="Pendiente"),1,0)</f>
        <v/>
      </c>
      <c r="R632" s="3">
        <f>IF(Q632=1,100000-N632*1000+625*0.01,9000000000000+625)</f>
        <v/>
      </c>
      <c r="S632" s="3">
        <f>IF(Q632=1,SUMPRODUCT(--($R$8:$R$1207&lt;R632))+1,"")</f>
        <v/>
      </c>
      <c r="T632" s="12">
        <f>IF(K632=1,'ORDENES'!$J628,"")</f>
        <v/>
      </c>
    </row>
    <row r="633">
      <c r="K633" s="3">
        <f>IF(AND(IF($B$3="(todos)",TRUE,'ORDENES'!$O629=$B$3),IF($D$3="(todos)",TRUE,'ORDENES'!$AF629=$D$3),IF($F$3="(todos)",TRUE,'ORDENES'!$X629=$F$3),IF($H$3="(todos)",TRUE,'ORDENES'!$W629=$H$3),'ORDENES'!$AD629=TRUE,'ORDENES'!$A629&lt;&gt;""),1,0)</f>
        <v/>
      </c>
      <c r="L633" s="3">
        <f>IF(K633=1,IFERROR(MATCH('ORDENES'!$R629,lista_dias,0),9)*1000000000+IFERROR(MATCH('ORDENES'!$AF629,lista_turnos,0),9)*10000000+IFERROR(MATCH('ORDENES'!$AE629,tblTecnicos[nombre],0),99)*100000+626,9000000000000+626)</f>
        <v/>
      </c>
      <c r="M633" s="3">
        <f>IF(K633=1,SUMPRODUCT(--($L$8:$L$1207&lt;L633))+1,"")</f>
        <v/>
      </c>
      <c r="N633" s="17">
        <f>IF(K633=1,N('ORDENES'!$M629),0)</f>
        <v/>
      </c>
      <c r="O633" s="17">
        <f>IF('ORDENES'!$T629="preventiva",N633,0)</f>
        <v/>
      </c>
      <c r="P633" s="17">
        <f>IF('ORDENES'!$T629="correctiva",N633,0)</f>
        <v/>
      </c>
      <c r="Q633" s="3">
        <f>IF(AND(K633=1,'ORDENES'!$N629="Pendiente"),1,0)</f>
        <v/>
      </c>
      <c r="R633" s="3">
        <f>IF(Q633=1,100000-N633*1000+626*0.01,9000000000000+626)</f>
        <v/>
      </c>
      <c r="S633" s="3">
        <f>IF(Q633=1,SUMPRODUCT(--($R$8:$R$1207&lt;R633))+1,"")</f>
        <v/>
      </c>
      <c r="T633" s="12">
        <f>IF(K633=1,'ORDENES'!$J629,"")</f>
        <v/>
      </c>
    </row>
    <row r="634">
      <c r="K634" s="3">
        <f>IF(AND(IF($B$3="(todos)",TRUE,'ORDENES'!$O630=$B$3),IF($D$3="(todos)",TRUE,'ORDENES'!$AF630=$D$3),IF($F$3="(todos)",TRUE,'ORDENES'!$X630=$F$3),IF($H$3="(todos)",TRUE,'ORDENES'!$W630=$H$3),'ORDENES'!$AD630=TRUE,'ORDENES'!$A630&lt;&gt;""),1,0)</f>
        <v/>
      </c>
      <c r="L634" s="3">
        <f>IF(K634=1,IFERROR(MATCH('ORDENES'!$R630,lista_dias,0),9)*1000000000+IFERROR(MATCH('ORDENES'!$AF630,lista_turnos,0),9)*10000000+IFERROR(MATCH('ORDENES'!$AE630,tblTecnicos[nombre],0),99)*100000+627,9000000000000+627)</f>
        <v/>
      </c>
      <c r="M634" s="3">
        <f>IF(K634=1,SUMPRODUCT(--($L$8:$L$1207&lt;L634))+1,"")</f>
        <v/>
      </c>
      <c r="N634" s="17">
        <f>IF(K634=1,N('ORDENES'!$M630),0)</f>
        <v/>
      </c>
      <c r="O634" s="17">
        <f>IF('ORDENES'!$T630="preventiva",N634,0)</f>
        <v/>
      </c>
      <c r="P634" s="17">
        <f>IF('ORDENES'!$T630="correctiva",N634,0)</f>
        <v/>
      </c>
      <c r="Q634" s="3">
        <f>IF(AND(K634=1,'ORDENES'!$N630="Pendiente"),1,0)</f>
        <v/>
      </c>
      <c r="R634" s="3">
        <f>IF(Q634=1,100000-N634*1000+627*0.01,9000000000000+627)</f>
        <v/>
      </c>
      <c r="S634" s="3">
        <f>IF(Q634=1,SUMPRODUCT(--($R$8:$R$1207&lt;R634))+1,"")</f>
        <v/>
      </c>
      <c r="T634" s="12">
        <f>IF(K634=1,'ORDENES'!$J630,"")</f>
        <v/>
      </c>
    </row>
    <row r="635">
      <c r="K635" s="3">
        <f>IF(AND(IF($B$3="(todos)",TRUE,'ORDENES'!$O631=$B$3),IF($D$3="(todos)",TRUE,'ORDENES'!$AF631=$D$3),IF($F$3="(todos)",TRUE,'ORDENES'!$X631=$F$3),IF($H$3="(todos)",TRUE,'ORDENES'!$W631=$H$3),'ORDENES'!$AD631=TRUE,'ORDENES'!$A631&lt;&gt;""),1,0)</f>
        <v/>
      </c>
      <c r="L635" s="3">
        <f>IF(K635=1,IFERROR(MATCH('ORDENES'!$R631,lista_dias,0),9)*1000000000+IFERROR(MATCH('ORDENES'!$AF631,lista_turnos,0),9)*10000000+IFERROR(MATCH('ORDENES'!$AE631,tblTecnicos[nombre],0),99)*100000+628,9000000000000+628)</f>
        <v/>
      </c>
      <c r="M635" s="3">
        <f>IF(K635=1,SUMPRODUCT(--($L$8:$L$1207&lt;L635))+1,"")</f>
        <v/>
      </c>
      <c r="N635" s="17">
        <f>IF(K635=1,N('ORDENES'!$M631),0)</f>
        <v/>
      </c>
      <c r="O635" s="17">
        <f>IF('ORDENES'!$T631="preventiva",N635,0)</f>
        <v/>
      </c>
      <c r="P635" s="17">
        <f>IF('ORDENES'!$T631="correctiva",N635,0)</f>
        <v/>
      </c>
      <c r="Q635" s="3">
        <f>IF(AND(K635=1,'ORDENES'!$N631="Pendiente"),1,0)</f>
        <v/>
      </c>
      <c r="R635" s="3">
        <f>IF(Q635=1,100000-N635*1000+628*0.01,9000000000000+628)</f>
        <v/>
      </c>
      <c r="S635" s="3">
        <f>IF(Q635=1,SUMPRODUCT(--($R$8:$R$1207&lt;R635))+1,"")</f>
        <v/>
      </c>
      <c r="T635" s="12">
        <f>IF(K635=1,'ORDENES'!$J631,"")</f>
        <v/>
      </c>
    </row>
    <row r="636">
      <c r="K636" s="3">
        <f>IF(AND(IF($B$3="(todos)",TRUE,'ORDENES'!$O632=$B$3),IF($D$3="(todos)",TRUE,'ORDENES'!$AF632=$D$3),IF($F$3="(todos)",TRUE,'ORDENES'!$X632=$F$3),IF($H$3="(todos)",TRUE,'ORDENES'!$W632=$H$3),'ORDENES'!$AD632=TRUE,'ORDENES'!$A632&lt;&gt;""),1,0)</f>
        <v/>
      </c>
      <c r="L636" s="3">
        <f>IF(K636=1,IFERROR(MATCH('ORDENES'!$R632,lista_dias,0),9)*1000000000+IFERROR(MATCH('ORDENES'!$AF632,lista_turnos,0),9)*10000000+IFERROR(MATCH('ORDENES'!$AE632,tblTecnicos[nombre],0),99)*100000+629,9000000000000+629)</f>
        <v/>
      </c>
      <c r="M636" s="3">
        <f>IF(K636=1,SUMPRODUCT(--($L$8:$L$1207&lt;L636))+1,"")</f>
        <v/>
      </c>
      <c r="N636" s="17">
        <f>IF(K636=1,N('ORDENES'!$M632),0)</f>
        <v/>
      </c>
      <c r="O636" s="17">
        <f>IF('ORDENES'!$T632="preventiva",N636,0)</f>
        <v/>
      </c>
      <c r="P636" s="17">
        <f>IF('ORDENES'!$T632="correctiva",N636,0)</f>
        <v/>
      </c>
      <c r="Q636" s="3">
        <f>IF(AND(K636=1,'ORDENES'!$N632="Pendiente"),1,0)</f>
        <v/>
      </c>
      <c r="R636" s="3">
        <f>IF(Q636=1,100000-N636*1000+629*0.01,9000000000000+629)</f>
        <v/>
      </c>
      <c r="S636" s="3">
        <f>IF(Q636=1,SUMPRODUCT(--($R$8:$R$1207&lt;R636))+1,"")</f>
        <v/>
      </c>
      <c r="T636" s="12">
        <f>IF(K636=1,'ORDENES'!$J632,"")</f>
        <v/>
      </c>
    </row>
    <row r="637">
      <c r="K637" s="3">
        <f>IF(AND(IF($B$3="(todos)",TRUE,'ORDENES'!$O633=$B$3),IF($D$3="(todos)",TRUE,'ORDENES'!$AF633=$D$3),IF($F$3="(todos)",TRUE,'ORDENES'!$X633=$F$3),IF($H$3="(todos)",TRUE,'ORDENES'!$W633=$H$3),'ORDENES'!$AD633=TRUE,'ORDENES'!$A633&lt;&gt;""),1,0)</f>
        <v/>
      </c>
      <c r="L637" s="3">
        <f>IF(K637=1,IFERROR(MATCH('ORDENES'!$R633,lista_dias,0),9)*1000000000+IFERROR(MATCH('ORDENES'!$AF633,lista_turnos,0),9)*10000000+IFERROR(MATCH('ORDENES'!$AE633,tblTecnicos[nombre],0),99)*100000+630,9000000000000+630)</f>
        <v/>
      </c>
      <c r="M637" s="3">
        <f>IF(K637=1,SUMPRODUCT(--($L$8:$L$1207&lt;L637))+1,"")</f>
        <v/>
      </c>
      <c r="N637" s="17">
        <f>IF(K637=1,N('ORDENES'!$M633),0)</f>
        <v/>
      </c>
      <c r="O637" s="17">
        <f>IF('ORDENES'!$T633="preventiva",N637,0)</f>
        <v/>
      </c>
      <c r="P637" s="17">
        <f>IF('ORDENES'!$T633="correctiva",N637,0)</f>
        <v/>
      </c>
      <c r="Q637" s="3">
        <f>IF(AND(K637=1,'ORDENES'!$N633="Pendiente"),1,0)</f>
        <v/>
      </c>
      <c r="R637" s="3">
        <f>IF(Q637=1,100000-N637*1000+630*0.01,9000000000000+630)</f>
        <v/>
      </c>
      <c r="S637" s="3">
        <f>IF(Q637=1,SUMPRODUCT(--($R$8:$R$1207&lt;R637))+1,"")</f>
        <v/>
      </c>
      <c r="T637" s="12">
        <f>IF(K637=1,'ORDENES'!$J633,"")</f>
        <v/>
      </c>
    </row>
    <row r="638">
      <c r="K638" s="3">
        <f>IF(AND(IF($B$3="(todos)",TRUE,'ORDENES'!$O634=$B$3),IF($D$3="(todos)",TRUE,'ORDENES'!$AF634=$D$3),IF($F$3="(todos)",TRUE,'ORDENES'!$X634=$F$3),IF($H$3="(todos)",TRUE,'ORDENES'!$W634=$H$3),'ORDENES'!$AD634=TRUE,'ORDENES'!$A634&lt;&gt;""),1,0)</f>
        <v/>
      </c>
      <c r="L638" s="3">
        <f>IF(K638=1,IFERROR(MATCH('ORDENES'!$R634,lista_dias,0),9)*1000000000+IFERROR(MATCH('ORDENES'!$AF634,lista_turnos,0),9)*10000000+IFERROR(MATCH('ORDENES'!$AE634,tblTecnicos[nombre],0),99)*100000+631,9000000000000+631)</f>
        <v/>
      </c>
      <c r="M638" s="3">
        <f>IF(K638=1,SUMPRODUCT(--($L$8:$L$1207&lt;L638))+1,"")</f>
        <v/>
      </c>
      <c r="N638" s="17">
        <f>IF(K638=1,N('ORDENES'!$M634),0)</f>
        <v/>
      </c>
      <c r="O638" s="17">
        <f>IF('ORDENES'!$T634="preventiva",N638,0)</f>
        <v/>
      </c>
      <c r="P638" s="17">
        <f>IF('ORDENES'!$T634="correctiva",N638,0)</f>
        <v/>
      </c>
      <c r="Q638" s="3">
        <f>IF(AND(K638=1,'ORDENES'!$N634="Pendiente"),1,0)</f>
        <v/>
      </c>
      <c r="R638" s="3">
        <f>IF(Q638=1,100000-N638*1000+631*0.01,9000000000000+631)</f>
        <v/>
      </c>
      <c r="S638" s="3">
        <f>IF(Q638=1,SUMPRODUCT(--($R$8:$R$1207&lt;R638))+1,"")</f>
        <v/>
      </c>
      <c r="T638" s="12">
        <f>IF(K638=1,'ORDENES'!$J634,"")</f>
        <v/>
      </c>
    </row>
    <row r="639">
      <c r="K639" s="3">
        <f>IF(AND(IF($B$3="(todos)",TRUE,'ORDENES'!$O635=$B$3),IF($D$3="(todos)",TRUE,'ORDENES'!$AF635=$D$3),IF($F$3="(todos)",TRUE,'ORDENES'!$X635=$F$3),IF($H$3="(todos)",TRUE,'ORDENES'!$W635=$H$3),'ORDENES'!$AD635=TRUE,'ORDENES'!$A635&lt;&gt;""),1,0)</f>
        <v/>
      </c>
      <c r="L639" s="3">
        <f>IF(K639=1,IFERROR(MATCH('ORDENES'!$R635,lista_dias,0),9)*1000000000+IFERROR(MATCH('ORDENES'!$AF635,lista_turnos,0),9)*10000000+IFERROR(MATCH('ORDENES'!$AE635,tblTecnicos[nombre],0),99)*100000+632,9000000000000+632)</f>
        <v/>
      </c>
      <c r="M639" s="3">
        <f>IF(K639=1,SUMPRODUCT(--($L$8:$L$1207&lt;L639))+1,"")</f>
        <v/>
      </c>
      <c r="N639" s="17">
        <f>IF(K639=1,N('ORDENES'!$M635),0)</f>
        <v/>
      </c>
      <c r="O639" s="17">
        <f>IF('ORDENES'!$T635="preventiva",N639,0)</f>
        <v/>
      </c>
      <c r="P639" s="17">
        <f>IF('ORDENES'!$T635="correctiva",N639,0)</f>
        <v/>
      </c>
      <c r="Q639" s="3">
        <f>IF(AND(K639=1,'ORDENES'!$N635="Pendiente"),1,0)</f>
        <v/>
      </c>
      <c r="R639" s="3">
        <f>IF(Q639=1,100000-N639*1000+632*0.01,9000000000000+632)</f>
        <v/>
      </c>
      <c r="S639" s="3">
        <f>IF(Q639=1,SUMPRODUCT(--($R$8:$R$1207&lt;R639))+1,"")</f>
        <v/>
      </c>
      <c r="T639" s="12">
        <f>IF(K639=1,'ORDENES'!$J635,"")</f>
        <v/>
      </c>
    </row>
    <row r="640">
      <c r="K640" s="3">
        <f>IF(AND(IF($B$3="(todos)",TRUE,'ORDENES'!$O636=$B$3),IF($D$3="(todos)",TRUE,'ORDENES'!$AF636=$D$3),IF($F$3="(todos)",TRUE,'ORDENES'!$X636=$F$3),IF($H$3="(todos)",TRUE,'ORDENES'!$W636=$H$3),'ORDENES'!$AD636=TRUE,'ORDENES'!$A636&lt;&gt;""),1,0)</f>
        <v/>
      </c>
      <c r="L640" s="3">
        <f>IF(K640=1,IFERROR(MATCH('ORDENES'!$R636,lista_dias,0),9)*1000000000+IFERROR(MATCH('ORDENES'!$AF636,lista_turnos,0),9)*10000000+IFERROR(MATCH('ORDENES'!$AE636,tblTecnicos[nombre],0),99)*100000+633,9000000000000+633)</f>
        <v/>
      </c>
      <c r="M640" s="3">
        <f>IF(K640=1,SUMPRODUCT(--($L$8:$L$1207&lt;L640))+1,"")</f>
        <v/>
      </c>
      <c r="N640" s="17">
        <f>IF(K640=1,N('ORDENES'!$M636),0)</f>
        <v/>
      </c>
      <c r="O640" s="17">
        <f>IF('ORDENES'!$T636="preventiva",N640,0)</f>
        <v/>
      </c>
      <c r="P640" s="17">
        <f>IF('ORDENES'!$T636="correctiva",N640,0)</f>
        <v/>
      </c>
      <c r="Q640" s="3">
        <f>IF(AND(K640=1,'ORDENES'!$N636="Pendiente"),1,0)</f>
        <v/>
      </c>
      <c r="R640" s="3">
        <f>IF(Q640=1,100000-N640*1000+633*0.01,9000000000000+633)</f>
        <v/>
      </c>
      <c r="S640" s="3">
        <f>IF(Q640=1,SUMPRODUCT(--($R$8:$R$1207&lt;R640))+1,"")</f>
        <v/>
      </c>
      <c r="T640" s="12">
        <f>IF(K640=1,'ORDENES'!$J636,"")</f>
        <v/>
      </c>
    </row>
    <row r="641">
      <c r="K641" s="3">
        <f>IF(AND(IF($B$3="(todos)",TRUE,'ORDENES'!$O637=$B$3),IF($D$3="(todos)",TRUE,'ORDENES'!$AF637=$D$3),IF($F$3="(todos)",TRUE,'ORDENES'!$X637=$F$3),IF($H$3="(todos)",TRUE,'ORDENES'!$W637=$H$3),'ORDENES'!$AD637=TRUE,'ORDENES'!$A637&lt;&gt;""),1,0)</f>
        <v/>
      </c>
      <c r="L641" s="3">
        <f>IF(K641=1,IFERROR(MATCH('ORDENES'!$R637,lista_dias,0),9)*1000000000+IFERROR(MATCH('ORDENES'!$AF637,lista_turnos,0),9)*10000000+IFERROR(MATCH('ORDENES'!$AE637,tblTecnicos[nombre],0),99)*100000+634,9000000000000+634)</f>
        <v/>
      </c>
      <c r="M641" s="3">
        <f>IF(K641=1,SUMPRODUCT(--($L$8:$L$1207&lt;L641))+1,"")</f>
        <v/>
      </c>
      <c r="N641" s="17">
        <f>IF(K641=1,N('ORDENES'!$M637),0)</f>
        <v/>
      </c>
      <c r="O641" s="17">
        <f>IF('ORDENES'!$T637="preventiva",N641,0)</f>
        <v/>
      </c>
      <c r="P641" s="17">
        <f>IF('ORDENES'!$T637="correctiva",N641,0)</f>
        <v/>
      </c>
      <c r="Q641" s="3">
        <f>IF(AND(K641=1,'ORDENES'!$N637="Pendiente"),1,0)</f>
        <v/>
      </c>
      <c r="R641" s="3">
        <f>IF(Q641=1,100000-N641*1000+634*0.01,9000000000000+634)</f>
        <v/>
      </c>
      <c r="S641" s="3">
        <f>IF(Q641=1,SUMPRODUCT(--($R$8:$R$1207&lt;R641))+1,"")</f>
        <v/>
      </c>
      <c r="T641" s="12">
        <f>IF(K641=1,'ORDENES'!$J637,"")</f>
        <v/>
      </c>
    </row>
    <row r="642">
      <c r="K642" s="3">
        <f>IF(AND(IF($B$3="(todos)",TRUE,'ORDENES'!$O638=$B$3),IF($D$3="(todos)",TRUE,'ORDENES'!$AF638=$D$3),IF($F$3="(todos)",TRUE,'ORDENES'!$X638=$F$3),IF($H$3="(todos)",TRUE,'ORDENES'!$W638=$H$3),'ORDENES'!$AD638=TRUE,'ORDENES'!$A638&lt;&gt;""),1,0)</f>
        <v/>
      </c>
      <c r="L642" s="3">
        <f>IF(K642=1,IFERROR(MATCH('ORDENES'!$R638,lista_dias,0),9)*1000000000+IFERROR(MATCH('ORDENES'!$AF638,lista_turnos,0),9)*10000000+IFERROR(MATCH('ORDENES'!$AE638,tblTecnicos[nombre],0),99)*100000+635,9000000000000+635)</f>
        <v/>
      </c>
      <c r="M642" s="3">
        <f>IF(K642=1,SUMPRODUCT(--($L$8:$L$1207&lt;L642))+1,"")</f>
        <v/>
      </c>
      <c r="N642" s="17">
        <f>IF(K642=1,N('ORDENES'!$M638),0)</f>
        <v/>
      </c>
      <c r="O642" s="17">
        <f>IF('ORDENES'!$T638="preventiva",N642,0)</f>
        <v/>
      </c>
      <c r="P642" s="17">
        <f>IF('ORDENES'!$T638="correctiva",N642,0)</f>
        <v/>
      </c>
      <c r="Q642" s="3">
        <f>IF(AND(K642=1,'ORDENES'!$N638="Pendiente"),1,0)</f>
        <v/>
      </c>
      <c r="R642" s="3">
        <f>IF(Q642=1,100000-N642*1000+635*0.01,9000000000000+635)</f>
        <v/>
      </c>
      <c r="S642" s="3">
        <f>IF(Q642=1,SUMPRODUCT(--($R$8:$R$1207&lt;R642))+1,"")</f>
        <v/>
      </c>
      <c r="T642" s="12">
        <f>IF(K642=1,'ORDENES'!$J638,"")</f>
        <v/>
      </c>
    </row>
    <row r="643">
      <c r="K643" s="3">
        <f>IF(AND(IF($B$3="(todos)",TRUE,'ORDENES'!$O639=$B$3),IF($D$3="(todos)",TRUE,'ORDENES'!$AF639=$D$3),IF($F$3="(todos)",TRUE,'ORDENES'!$X639=$F$3),IF($H$3="(todos)",TRUE,'ORDENES'!$W639=$H$3),'ORDENES'!$AD639=TRUE,'ORDENES'!$A639&lt;&gt;""),1,0)</f>
        <v/>
      </c>
      <c r="L643" s="3">
        <f>IF(K643=1,IFERROR(MATCH('ORDENES'!$R639,lista_dias,0),9)*1000000000+IFERROR(MATCH('ORDENES'!$AF639,lista_turnos,0),9)*10000000+IFERROR(MATCH('ORDENES'!$AE639,tblTecnicos[nombre],0),99)*100000+636,9000000000000+636)</f>
        <v/>
      </c>
      <c r="M643" s="3">
        <f>IF(K643=1,SUMPRODUCT(--($L$8:$L$1207&lt;L643))+1,"")</f>
        <v/>
      </c>
      <c r="N643" s="17">
        <f>IF(K643=1,N('ORDENES'!$M639),0)</f>
        <v/>
      </c>
      <c r="O643" s="17">
        <f>IF('ORDENES'!$T639="preventiva",N643,0)</f>
        <v/>
      </c>
      <c r="P643" s="17">
        <f>IF('ORDENES'!$T639="correctiva",N643,0)</f>
        <v/>
      </c>
      <c r="Q643" s="3">
        <f>IF(AND(K643=1,'ORDENES'!$N639="Pendiente"),1,0)</f>
        <v/>
      </c>
      <c r="R643" s="3">
        <f>IF(Q643=1,100000-N643*1000+636*0.01,9000000000000+636)</f>
        <v/>
      </c>
      <c r="S643" s="3">
        <f>IF(Q643=1,SUMPRODUCT(--($R$8:$R$1207&lt;R643))+1,"")</f>
        <v/>
      </c>
      <c r="T643" s="12">
        <f>IF(K643=1,'ORDENES'!$J639,"")</f>
        <v/>
      </c>
    </row>
    <row r="644">
      <c r="K644" s="3">
        <f>IF(AND(IF($B$3="(todos)",TRUE,'ORDENES'!$O640=$B$3),IF($D$3="(todos)",TRUE,'ORDENES'!$AF640=$D$3),IF($F$3="(todos)",TRUE,'ORDENES'!$X640=$F$3),IF($H$3="(todos)",TRUE,'ORDENES'!$W640=$H$3),'ORDENES'!$AD640=TRUE,'ORDENES'!$A640&lt;&gt;""),1,0)</f>
        <v/>
      </c>
      <c r="L644" s="3">
        <f>IF(K644=1,IFERROR(MATCH('ORDENES'!$R640,lista_dias,0),9)*1000000000+IFERROR(MATCH('ORDENES'!$AF640,lista_turnos,0),9)*10000000+IFERROR(MATCH('ORDENES'!$AE640,tblTecnicos[nombre],0),99)*100000+637,9000000000000+637)</f>
        <v/>
      </c>
      <c r="M644" s="3">
        <f>IF(K644=1,SUMPRODUCT(--($L$8:$L$1207&lt;L644))+1,"")</f>
        <v/>
      </c>
      <c r="N644" s="17">
        <f>IF(K644=1,N('ORDENES'!$M640),0)</f>
        <v/>
      </c>
      <c r="O644" s="17">
        <f>IF('ORDENES'!$T640="preventiva",N644,0)</f>
        <v/>
      </c>
      <c r="P644" s="17">
        <f>IF('ORDENES'!$T640="correctiva",N644,0)</f>
        <v/>
      </c>
      <c r="Q644" s="3">
        <f>IF(AND(K644=1,'ORDENES'!$N640="Pendiente"),1,0)</f>
        <v/>
      </c>
      <c r="R644" s="3">
        <f>IF(Q644=1,100000-N644*1000+637*0.01,9000000000000+637)</f>
        <v/>
      </c>
      <c r="S644" s="3">
        <f>IF(Q644=1,SUMPRODUCT(--($R$8:$R$1207&lt;R644))+1,"")</f>
        <v/>
      </c>
      <c r="T644" s="12">
        <f>IF(K644=1,'ORDENES'!$J640,"")</f>
        <v/>
      </c>
    </row>
    <row r="645">
      <c r="K645" s="3">
        <f>IF(AND(IF($B$3="(todos)",TRUE,'ORDENES'!$O641=$B$3),IF($D$3="(todos)",TRUE,'ORDENES'!$AF641=$D$3),IF($F$3="(todos)",TRUE,'ORDENES'!$X641=$F$3),IF($H$3="(todos)",TRUE,'ORDENES'!$W641=$H$3),'ORDENES'!$AD641=TRUE,'ORDENES'!$A641&lt;&gt;""),1,0)</f>
        <v/>
      </c>
      <c r="L645" s="3">
        <f>IF(K645=1,IFERROR(MATCH('ORDENES'!$R641,lista_dias,0),9)*1000000000+IFERROR(MATCH('ORDENES'!$AF641,lista_turnos,0),9)*10000000+IFERROR(MATCH('ORDENES'!$AE641,tblTecnicos[nombre],0),99)*100000+638,9000000000000+638)</f>
        <v/>
      </c>
      <c r="M645" s="3">
        <f>IF(K645=1,SUMPRODUCT(--($L$8:$L$1207&lt;L645))+1,"")</f>
        <v/>
      </c>
      <c r="N645" s="17">
        <f>IF(K645=1,N('ORDENES'!$M641),0)</f>
        <v/>
      </c>
      <c r="O645" s="17">
        <f>IF('ORDENES'!$T641="preventiva",N645,0)</f>
        <v/>
      </c>
      <c r="P645" s="17">
        <f>IF('ORDENES'!$T641="correctiva",N645,0)</f>
        <v/>
      </c>
      <c r="Q645" s="3">
        <f>IF(AND(K645=1,'ORDENES'!$N641="Pendiente"),1,0)</f>
        <v/>
      </c>
      <c r="R645" s="3">
        <f>IF(Q645=1,100000-N645*1000+638*0.01,9000000000000+638)</f>
        <v/>
      </c>
      <c r="S645" s="3">
        <f>IF(Q645=1,SUMPRODUCT(--($R$8:$R$1207&lt;R645))+1,"")</f>
        <v/>
      </c>
      <c r="T645" s="12">
        <f>IF(K645=1,'ORDENES'!$J641,"")</f>
        <v/>
      </c>
    </row>
    <row r="646">
      <c r="K646" s="3">
        <f>IF(AND(IF($B$3="(todos)",TRUE,'ORDENES'!$O642=$B$3),IF($D$3="(todos)",TRUE,'ORDENES'!$AF642=$D$3),IF($F$3="(todos)",TRUE,'ORDENES'!$X642=$F$3),IF($H$3="(todos)",TRUE,'ORDENES'!$W642=$H$3),'ORDENES'!$AD642=TRUE,'ORDENES'!$A642&lt;&gt;""),1,0)</f>
        <v/>
      </c>
      <c r="L646" s="3">
        <f>IF(K646=1,IFERROR(MATCH('ORDENES'!$R642,lista_dias,0),9)*1000000000+IFERROR(MATCH('ORDENES'!$AF642,lista_turnos,0),9)*10000000+IFERROR(MATCH('ORDENES'!$AE642,tblTecnicos[nombre],0),99)*100000+639,9000000000000+639)</f>
        <v/>
      </c>
      <c r="M646" s="3">
        <f>IF(K646=1,SUMPRODUCT(--($L$8:$L$1207&lt;L646))+1,"")</f>
        <v/>
      </c>
      <c r="N646" s="17">
        <f>IF(K646=1,N('ORDENES'!$M642),0)</f>
        <v/>
      </c>
      <c r="O646" s="17">
        <f>IF('ORDENES'!$T642="preventiva",N646,0)</f>
        <v/>
      </c>
      <c r="P646" s="17">
        <f>IF('ORDENES'!$T642="correctiva",N646,0)</f>
        <v/>
      </c>
      <c r="Q646" s="3">
        <f>IF(AND(K646=1,'ORDENES'!$N642="Pendiente"),1,0)</f>
        <v/>
      </c>
      <c r="R646" s="3">
        <f>IF(Q646=1,100000-N646*1000+639*0.01,9000000000000+639)</f>
        <v/>
      </c>
      <c r="S646" s="3">
        <f>IF(Q646=1,SUMPRODUCT(--($R$8:$R$1207&lt;R646))+1,"")</f>
        <v/>
      </c>
      <c r="T646" s="12">
        <f>IF(K646=1,'ORDENES'!$J642,"")</f>
        <v/>
      </c>
    </row>
    <row r="647">
      <c r="K647" s="3">
        <f>IF(AND(IF($B$3="(todos)",TRUE,'ORDENES'!$O643=$B$3),IF($D$3="(todos)",TRUE,'ORDENES'!$AF643=$D$3),IF($F$3="(todos)",TRUE,'ORDENES'!$X643=$F$3),IF($H$3="(todos)",TRUE,'ORDENES'!$W643=$H$3),'ORDENES'!$AD643=TRUE,'ORDENES'!$A643&lt;&gt;""),1,0)</f>
        <v/>
      </c>
      <c r="L647" s="3">
        <f>IF(K647=1,IFERROR(MATCH('ORDENES'!$R643,lista_dias,0),9)*1000000000+IFERROR(MATCH('ORDENES'!$AF643,lista_turnos,0),9)*10000000+IFERROR(MATCH('ORDENES'!$AE643,tblTecnicos[nombre],0),99)*100000+640,9000000000000+640)</f>
        <v/>
      </c>
      <c r="M647" s="3">
        <f>IF(K647=1,SUMPRODUCT(--($L$8:$L$1207&lt;L647))+1,"")</f>
        <v/>
      </c>
      <c r="N647" s="17">
        <f>IF(K647=1,N('ORDENES'!$M643),0)</f>
        <v/>
      </c>
      <c r="O647" s="17">
        <f>IF('ORDENES'!$T643="preventiva",N647,0)</f>
        <v/>
      </c>
      <c r="P647" s="17">
        <f>IF('ORDENES'!$T643="correctiva",N647,0)</f>
        <v/>
      </c>
      <c r="Q647" s="3">
        <f>IF(AND(K647=1,'ORDENES'!$N643="Pendiente"),1,0)</f>
        <v/>
      </c>
      <c r="R647" s="3">
        <f>IF(Q647=1,100000-N647*1000+640*0.01,9000000000000+640)</f>
        <v/>
      </c>
      <c r="S647" s="3">
        <f>IF(Q647=1,SUMPRODUCT(--($R$8:$R$1207&lt;R647))+1,"")</f>
        <v/>
      </c>
      <c r="T647" s="12">
        <f>IF(K647=1,'ORDENES'!$J643,"")</f>
        <v/>
      </c>
    </row>
    <row r="648">
      <c r="K648" s="3">
        <f>IF(AND(IF($B$3="(todos)",TRUE,'ORDENES'!$O644=$B$3),IF($D$3="(todos)",TRUE,'ORDENES'!$AF644=$D$3),IF($F$3="(todos)",TRUE,'ORDENES'!$X644=$F$3),IF($H$3="(todos)",TRUE,'ORDENES'!$W644=$H$3),'ORDENES'!$AD644=TRUE,'ORDENES'!$A644&lt;&gt;""),1,0)</f>
        <v/>
      </c>
      <c r="L648" s="3">
        <f>IF(K648=1,IFERROR(MATCH('ORDENES'!$R644,lista_dias,0),9)*1000000000+IFERROR(MATCH('ORDENES'!$AF644,lista_turnos,0),9)*10000000+IFERROR(MATCH('ORDENES'!$AE644,tblTecnicos[nombre],0),99)*100000+641,9000000000000+641)</f>
        <v/>
      </c>
      <c r="M648" s="3">
        <f>IF(K648=1,SUMPRODUCT(--($L$8:$L$1207&lt;L648))+1,"")</f>
        <v/>
      </c>
      <c r="N648" s="17">
        <f>IF(K648=1,N('ORDENES'!$M644),0)</f>
        <v/>
      </c>
      <c r="O648" s="17">
        <f>IF('ORDENES'!$T644="preventiva",N648,0)</f>
        <v/>
      </c>
      <c r="P648" s="17">
        <f>IF('ORDENES'!$T644="correctiva",N648,0)</f>
        <v/>
      </c>
      <c r="Q648" s="3">
        <f>IF(AND(K648=1,'ORDENES'!$N644="Pendiente"),1,0)</f>
        <v/>
      </c>
      <c r="R648" s="3">
        <f>IF(Q648=1,100000-N648*1000+641*0.01,9000000000000+641)</f>
        <v/>
      </c>
      <c r="S648" s="3">
        <f>IF(Q648=1,SUMPRODUCT(--($R$8:$R$1207&lt;R648))+1,"")</f>
        <v/>
      </c>
      <c r="T648" s="12">
        <f>IF(K648=1,'ORDENES'!$J644,"")</f>
        <v/>
      </c>
    </row>
    <row r="649">
      <c r="K649" s="3">
        <f>IF(AND(IF($B$3="(todos)",TRUE,'ORDENES'!$O645=$B$3),IF($D$3="(todos)",TRUE,'ORDENES'!$AF645=$D$3),IF($F$3="(todos)",TRUE,'ORDENES'!$X645=$F$3),IF($H$3="(todos)",TRUE,'ORDENES'!$W645=$H$3),'ORDENES'!$AD645=TRUE,'ORDENES'!$A645&lt;&gt;""),1,0)</f>
        <v/>
      </c>
      <c r="L649" s="3">
        <f>IF(K649=1,IFERROR(MATCH('ORDENES'!$R645,lista_dias,0),9)*1000000000+IFERROR(MATCH('ORDENES'!$AF645,lista_turnos,0),9)*10000000+IFERROR(MATCH('ORDENES'!$AE645,tblTecnicos[nombre],0),99)*100000+642,9000000000000+642)</f>
        <v/>
      </c>
      <c r="M649" s="3">
        <f>IF(K649=1,SUMPRODUCT(--($L$8:$L$1207&lt;L649))+1,"")</f>
        <v/>
      </c>
      <c r="N649" s="17">
        <f>IF(K649=1,N('ORDENES'!$M645),0)</f>
        <v/>
      </c>
      <c r="O649" s="17">
        <f>IF('ORDENES'!$T645="preventiva",N649,0)</f>
        <v/>
      </c>
      <c r="P649" s="17">
        <f>IF('ORDENES'!$T645="correctiva",N649,0)</f>
        <v/>
      </c>
      <c r="Q649" s="3">
        <f>IF(AND(K649=1,'ORDENES'!$N645="Pendiente"),1,0)</f>
        <v/>
      </c>
      <c r="R649" s="3">
        <f>IF(Q649=1,100000-N649*1000+642*0.01,9000000000000+642)</f>
        <v/>
      </c>
      <c r="S649" s="3">
        <f>IF(Q649=1,SUMPRODUCT(--($R$8:$R$1207&lt;R649))+1,"")</f>
        <v/>
      </c>
      <c r="T649" s="12">
        <f>IF(K649=1,'ORDENES'!$J645,"")</f>
        <v/>
      </c>
    </row>
    <row r="650">
      <c r="K650" s="3">
        <f>IF(AND(IF($B$3="(todos)",TRUE,'ORDENES'!$O646=$B$3),IF($D$3="(todos)",TRUE,'ORDENES'!$AF646=$D$3),IF($F$3="(todos)",TRUE,'ORDENES'!$X646=$F$3),IF($H$3="(todos)",TRUE,'ORDENES'!$W646=$H$3),'ORDENES'!$AD646=TRUE,'ORDENES'!$A646&lt;&gt;""),1,0)</f>
        <v/>
      </c>
      <c r="L650" s="3">
        <f>IF(K650=1,IFERROR(MATCH('ORDENES'!$R646,lista_dias,0),9)*1000000000+IFERROR(MATCH('ORDENES'!$AF646,lista_turnos,0),9)*10000000+IFERROR(MATCH('ORDENES'!$AE646,tblTecnicos[nombre],0),99)*100000+643,9000000000000+643)</f>
        <v/>
      </c>
      <c r="M650" s="3">
        <f>IF(K650=1,SUMPRODUCT(--($L$8:$L$1207&lt;L650))+1,"")</f>
        <v/>
      </c>
      <c r="N650" s="17">
        <f>IF(K650=1,N('ORDENES'!$M646),0)</f>
        <v/>
      </c>
      <c r="O650" s="17">
        <f>IF('ORDENES'!$T646="preventiva",N650,0)</f>
        <v/>
      </c>
      <c r="P650" s="17">
        <f>IF('ORDENES'!$T646="correctiva",N650,0)</f>
        <v/>
      </c>
      <c r="Q650" s="3">
        <f>IF(AND(K650=1,'ORDENES'!$N646="Pendiente"),1,0)</f>
        <v/>
      </c>
      <c r="R650" s="3">
        <f>IF(Q650=1,100000-N650*1000+643*0.01,9000000000000+643)</f>
        <v/>
      </c>
      <c r="S650" s="3">
        <f>IF(Q650=1,SUMPRODUCT(--($R$8:$R$1207&lt;R650))+1,"")</f>
        <v/>
      </c>
      <c r="T650" s="12">
        <f>IF(K650=1,'ORDENES'!$J646,"")</f>
        <v/>
      </c>
    </row>
    <row r="651">
      <c r="K651" s="3">
        <f>IF(AND(IF($B$3="(todos)",TRUE,'ORDENES'!$O647=$B$3),IF($D$3="(todos)",TRUE,'ORDENES'!$AF647=$D$3),IF($F$3="(todos)",TRUE,'ORDENES'!$X647=$F$3),IF($H$3="(todos)",TRUE,'ORDENES'!$W647=$H$3),'ORDENES'!$AD647=TRUE,'ORDENES'!$A647&lt;&gt;""),1,0)</f>
        <v/>
      </c>
      <c r="L651" s="3">
        <f>IF(K651=1,IFERROR(MATCH('ORDENES'!$R647,lista_dias,0),9)*1000000000+IFERROR(MATCH('ORDENES'!$AF647,lista_turnos,0),9)*10000000+IFERROR(MATCH('ORDENES'!$AE647,tblTecnicos[nombre],0),99)*100000+644,9000000000000+644)</f>
        <v/>
      </c>
      <c r="M651" s="3">
        <f>IF(K651=1,SUMPRODUCT(--($L$8:$L$1207&lt;L651))+1,"")</f>
        <v/>
      </c>
      <c r="N651" s="17">
        <f>IF(K651=1,N('ORDENES'!$M647),0)</f>
        <v/>
      </c>
      <c r="O651" s="17">
        <f>IF('ORDENES'!$T647="preventiva",N651,0)</f>
        <v/>
      </c>
      <c r="P651" s="17">
        <f>IF('ORDENES'!$T647="correctiva",N651,0)</f>
        <v/>
      </c>
      <c r="Q651" s="3">
        <f>IF(AND(K651=1,'ORDENES'!$N647="Pendiente"),1,0)</f>
        <v/>
      </c>
      <c r="R651" s="3">
        <f>IF(Q651=1,100000-N651*1000+644*0.01,9000000000000+644)</f>
        <v/>
      </c>
      <c r="S651" s="3">
        <f>IF(Q651=1,SUMPRODUCT(--($R$8:$R$1207&lt;R651))+1,"")</f>
        <v/>
      </c>
      <c r="T651" s="12">
        <f>IF(K651=1,'ORDENES'!$J647,"")</f>
        <v/>
      </c>
    </row>
    <row r="652">
      <c r="K652" s="3">
        <f>IF(AND(IF($B$3="(todos)",TRUE,'ORDENES'!$O648=$B$3),IF($D$3="(todos)",TRUE,'ORDENES'!$AF648=$D$3),IF($F$3="(todos)",TRUE,'ORDENES'!$X648=$F$3),IF($H$3="(todos)",TRUE,'ORDENES'!$W648=$H$3),'ORDENES'!$AD648=TRUE,'ORDENES'!$A648&lt;&gt;""),1,0)</f>
        <v/>
      </c>
      <c r="L652" s="3">
        <f>IF(K652=1,IFERROR(MATCH('ORDENES'!$R648,lista_dias,0),9)*1000000000+IFERROR(MATCH('ORDENES'!$AF648,lista_turnos,0),9)*10000000+IFERROR(MATCH('ORDENES'!$AE648,tblTecnicos[nombre],0),99)*100000+645,9000000000000+645)</f>
        <v/>
      </c>
      <c r="M652" s="3">
        <f>IF(K652=1,SUMPRODUCT(--($L$8:$L$1207&lt;L652))+1,"")</f>
        <v/>
      </c>
      <c r="N652" s="17">
        <f>IF(K652=1,N('ORDENES'!$M648),0)</f>
        <v/>
      </c>
      <c r="O652" s="17">
        <f>IF('ORDENES'!$T648="preventiva",N652,0)</f>
        <v/>
      </c>
      <c r="P652" s="17">
        <f>IF('ORDENES'!$T648="correctiva",N652,0)</f>
        <v/>
      </c>
      <c r="Q652" s="3">
        <f>IF(AND(K652=1,'ORDENES'!$N648="Pendiente"),1,0)</f>
        <v/>
      </c>
      <c r="R652" s="3">
        <f>IF(Q652=1,100000-N652*1000+645*0.01,9000000000000+645)</f>
        <v/>
      </c>
      <c r="S652" s="3">
        <f>IF(Q652=1,SUMPRODUCT(--($R$8:$R$1207&lt;R652))+1,"")</f>
        <v/>
      </c>
      <c r="T652" s="12">
        <f>IF(K652=1,'ORDENES'!$J648,"")</f>
        <v/>
      </c>
    </row>
    <row r="653">
      <c r="K653" s="3">
        <f>IF(AND(IF($B$3="(todos)",TRUE,'ORDENES'!$O649=$B$3),IF($D$3="(todos)",TRUE,'ORDENES'!$AF649=$D$3),IF($F$3="(todos)",TRUE,'ORDENES'!$X649=$F$3),IF($H$3="(todos)",TRUE,'ORDENES'!$W649=$H$3),'ORDENES'!$AD649=TRUE,'ORDENES'!$A649&lt;&gt;""),1,0)</f>
        <v/>
      </c>
      <c r="L653" s="3">
        <f>IF(K653=1,IFERROR(MATCH('ORDENES'!$R649,lista_dias,0),9)*1000000000+IFERROR(MATCH('ORDENES'!$AF649,lista_turnos,0),9)*10000000+IFERROR(MATCH('ORDENES'!$AE649,tblTecnicos[nombre],0),99)*100000+646,9000000000000+646)</f>
        <v/>
      </c>
      <c r="M653" s="3">
        <f>IF(K653=1,SUMPRODUCT(--($L$8:$L$1207&lt;L653))+1,"")</f>
        <v/>
      </c>
      <c r="N653" s="17">
        <f>IF(K653=1,N('ORDENES'!$M649),0)</f>
        <v/>
      </c>
      <c r="O653" s="17">
        <f>IF('ORDENES'!$T649="preventiva",N653,0)</f>
        <v/>
      </c>
      <c r="P653" s="17">
        <f>IF('ORDENES'!$T649="correctiva",N653,0)</f>
        <v/>
      </c>
      <c r="Q653" s="3">
        <f>IF(AND(K653=1,'ORDENES'!$N649="Pendiente"),1,0)</f>
        <v/>
      </c>
      <c r="R653" s="3">
        <f>IF(Q653=1,100000-N653*1000+646*0.01,9000000000000+646)</f>
        <v/>
      </c>
      <c r="S653" s="3">
        <f>IF(Q653=1,SUMPRODUCT(--($R$8:$R$1207&lt;R653))+1,"")</f>
        <v/>
      </c>
      <c r="T653" s="12">
        <f>IF(K653=1,'ORDENES'!$J649,"")</f>
        <v/>
      </c>
    </row>
    <row r="654">
      <c r="K654" s="3">
        <f>IF(AND(IF($B$3="(todos)",TRUE,'ORDENES'!$O650=$B$3),IF($D$3="(todos)",TRUE,'ORDENES'!$AF650=$D$3),IF($F$3="(todos)",TRUE,'ORDENES'!$X650=$F$3),IF($H$3="(todos)",TRUE,'ORDENES'!$W650=$H$3),'ORDENES'!$AD650=TRUE,'ORDENES'!$A650&lt;&gt;""),1,0)</f>
        <v/>
      </c>
      <c r="L654" s="3">
        <f>IF(K654=1,IFERROR(MATCH('ORDENES'!$R650,lista_dias,0),9)*1000000000+IFERROR(MATCH('ORDENES'!$AF650,lista_turnos,0),9)*10000000+IFERROR(MATCH('ORDENES'!$AE650,tblTecnicos[nombre],0),99)*100000+647,9000000000000+647)</f>
        <v/>
      </c>
      <c r="M654" s="3">
        <f>IF(K654=1,SUMPRODUCT(--($L$8:$L$1207&lt;L654))+1,"")</f>
        <v/>
      </c>
      <c r="N654" s="17">
        <f>IF(K654=1,N('ORDENES'!$M650),0)</f>
        <v/>
      </c>
      <c r="O654" s="17">
        <f>IF('ORDENES'!$T650="preventiva",N654,0)</f>
        <v/>
      </c>
      <c r="P654" s="17">
        <f>IF('ORDENES'!$T650="correctiva",N654,0)</f>
        <v/>
      </c>
      <c r="Q654" s="3">
        <f>IF(AND(K654=1,'ORDENES'!$N650="Pendiente"),1,0)</f>
        <v/>
      </c>
      <c r="R654" s="3">
        <f>IF(Q654=1,100000-N654*1000+647*0.01,9000000000000+647)</f>
        <v/>
      </c>
      <c r="S654" s="3">
        <f>IF(Q654=1,SUMPRODUCT(--($R$8:$R$1207&lt;R654))+1,"")</f>
        <v/>
      </c>
      <c r="T654" s="12">
        <f>IF(K654=1,'ORDENES'!$J650,"")</f>
        <v/>
      </c>
    </row>
    <row r="655">
      <c r="K655" s="3">
        <f>IF(AND(IF($B$3="(todos)",TRUE,'ORDENES'!$O651=$B$3),IF($D$3="(todos)",TRUE,'ORDENES'!$AF651=$D$3),IF($F$3="(todos)",TRUE,'ORDENES'!$X651=$F$3),IF($H$3="(todos)",TRUE,'ORDENES'!$W651=$H$3),'ORDENES'!$AD651=TRUE,'ORDENES'!$A651&lt;&gt;""),1,0)</f>
        <v/>
      </c>
      <c r="L655" s="3">
        <f>IF(K655=1,IFERROR(MATCH('ORDENES'!$R651,lista_dias,0),9)*1000000000+IFERROR(MATCH('ORDENES'!$AF651,lista_turnos,0),9)*10000000+IFERROR(MATCH('ORDENES'!$AE651,tblTecnicos[nombre],0),99)*100000+648,9000000000000+648)</f>
        <v/>
      </c>
      <c r="M655" s="3">
        <f>IF(K655=1,SUMPRODUCT(--($L$8:$L$1207&lt;L655))+1,"")</f>
        <v/>
      </c>
      <c r="N655" s="17">
        <f>IF(K655=1,N('ORDENES'!$M651),0)</f>
        <v/>
      </c>
      <c r="O655" s="17">
        <f>IF('ORDENES'!$T651="preventiva",N655,0)</f>
        <v/>
      </c>
      <c r="P655" s="17">
        <f>IF('ORDENES'!$T651="correctiva",N655,0)</f>
        <v/>
      </c>
      <c r="Q655" s="3">
        <f>IF(AND(K655=1,'ORDENES'!$N651="Pendiente"),1,0)</f>
        <v/>
      </c>
      <c r="R655" s="3">
        <f>IF(Q655=1,100000-N655*1000+648*0.01,9000000000000+648)</f>
        <v/>
      </c>
      <c r="S655" s="3">
        <f>IF(Q655=1,SUMPRODUCT(--($R$8:$R$1207&lt;R655))+1,"")</f>
        <v/>
      </c>
      <c r="T655" s="12">
        <f>IF(K655=1,'ORDENES'!$J651,"")</f>
        <v/>
      </c>
    </row>
    <row r="656">
      <c r="K656" s="3">
        <f>IF(AND(IF($B$3="(todos)",TRUE,'ORDENES'!$O652=$B$3),IF($D$3="(todos)",TRUE,'ORDENES'!$AF652=$D$3),IF($F$3="(todos)",TRUE,'ORDENES'!$X652=$F$3),IF($H$3="(todos)",TRUE,'ORDENES'!$W652=$H$3),'ORDENES'!$AD652=TRUE,'ORDENES'!$A652&lt;&gt;""),1,0)</f>
        <v/>
      </c>
      <c r="L656" s="3">
        <f>IF(K656=1,IFERROR(MATCH('ORDENES'!$R652,lista_dias,0),9)*1000000000+IFERROR(MATCH('ORDENES'!$AF652,lista_turnos,0),9)*10000000+IFERROR(MATCH('ORDENES'!$AE652,tblTecnicos[nombre],0),99)*100000+649,9000000000000+649)</f>
        <v/>
      </c>
      <c r="M656" s="3">
        <f>IF(K656=1,SUMPRODUCT(--($L$8:$L$1207&lt;L656))+1,"")</f>
        <v/>
      </c>
      <c r="N656" s="17">
        <f>IF(K656=1,N('ORDENES'!$M652),0)</f>
        <v/>
      </c>
      <c r="O656" s="17">
        <f>IF('ORDENES'!$T652="preventiva",N656,0)</f>
        <v/>
      </c>
      <c r="P656" s="17">
        <f>IF('ORDENES'!$T652="correctiva",N656,0)</f>
        <v/>
      </c>
      <c r="Q656" s="3">
        <f>IF(AND(K656=1,'ORDENES'!$N652="Pendiente"),1,0)</f>
        <v/>
      </c>
      <c r="R656" s="3">
        <f>IF(Q656=1,100000-N656*1000+649*0.01,9000000000000+649)</f>
        <v/>
      </c>
      <c r="S656" s="3">
        <f>IF(Q656=1,SUMPRODUCT(--($R$8:$R$1207&lt;R656))+1,"")</f>
        <v/>
      </c>
      <c r="T656" s="12">
        <f>IF(K656=1,'ORDENES'!$J652,"")</f>
        <v/>
      </c>
    </row>
    <row r="657">
      <c r="K657" s="3">
        <f>IF(AND(IF($B$3="(todos)",TRUE,'ORDENES'!$O653=$B$3),IF($D$3="(todos)",TRUE,'ORDENES'!$AF653=$D$3),IF($F$3="(todos)",TRUE,'ORDENES'!$X653=$F$3),IF($H$3="(todos)",TRUE,'ORDENES'!$W653=$H$3),'ORDENES'!$AD653=TRUE,'ORDENES'!$A653&lt;&gt;""),1,0)</f>
        <v/>
      </c>
      <c r="L657" s="3">
        <f>IF(K657=1,IFERROR(MATCH('ORDENES'!$R653,lista_dias,0),9)*1000000000+IFERROR(MATCH('ORDENES'!$AF653,lista_turnos,0),9)*10000000+IFERROR(MATCH('ORDENES'!$AE653,tblTecnicos[nombre],0),99)*100000+650,9000000000000+650)</f>
        <v/>
      </c>
      <c r="M657" s="3">
        <f>IF(K657=1,SUMPRODUCT(--($L$8:$L$1207&lt;L657))+1,"")</f>
        <v/>
      </c>
      <c r="N657" s="17">
        <f>IF(K657=1,N('ORDENES'!$M653),0)</f>
        <v/>
      </c>
      <c r="O657" s="17">
        <f>IF('ORDENES'!$T653="preventiva",N657,0)</f>
        <v/>
      </c>
      <c r="P657" s="17">
        <f>IF('ORDENES'!$T653="correctiva",N657,0)</f>
        <v/>
      </c>
      <c r="Q657" s="3">
        <f>IF(AND(K657=1,'ORDENES'!$N653="Pendiente"),1,0)</f>
        <v/>
      </c>
      <c r="R657" s="3">
        <f>IF(Q657=1,100000-N657*1000+650*0.01,9000000000000+650)</f>
        <v/>
      </c>
      <c r="S657" s="3">
        <f>IF(Q657=1,SUMPRODUCT(--($R$8:$R$1207&lt;R657))+1,"")</f>
        <v/>
      </c>
      <c r="T657" s="12">
        <f>IF(K657=1,'ORDENES'!$J653,"")</f>
        <v/>
      </c>
    </row>
    <row r="658">
      <c r="K658" s="3">
        <f>IF(AND(IF($B$3="(todos)",TRUE,'ORDENES'!$O654=$B$3),IF($D$3="(todos)",TRUE,'ORDENES'!$AF654=$D$3),IF($F$3="(todos)",TRUE,'ORDENES'!$X654=$F$3),IF($H$3="(todos)",TRUE,'ORDENES'!$W654=$H$3),'ORDENES'!$AD654=TRUE,'ORDENES'!$A654&lt;&gt;""),1,0)</f>
        <v/>
      </c>
      <c r="L658" s="3">
        <f>IF(K658=1,IFERROR(MATCH('ORDENES'!$R654,lista_dias,0),9)*1000000000+IFERROR(MATCH('ORDENES'!$AF654,lista_turnos,0),9)*10000000+IFERROR(MATCH('ORDENES'!$AE654,tblTecnicos[nombre],0),99)*100000+651,9000000000000+651)</f>
        <v/>
      </c>
      <c r="M658" s="3">
        <f>IF(K658=1,SUMPRODUCT(--($L$8:$L$1207&lt;L658))+1,"")</f>
        <v/>
      </c>
      <c r="N658" s="17">
        <f>IF(K658=1,N('ORDENES'!$M654),0)</f>
        <v/>
      </c>
      <c r="O658" s="17">
        <f>IF('ORDENES'!$T654="preventiva",N658,0)</f>
        <v/>
      </c>
      <c r="P658" s="17">
        <f>IF('ORDENES'!$T654="correctiva",N658,0)</f>
        <v/>
      </c>
      <c r="Q658" s="3">
        <f>IF(AND(K658=1,'ORDENES'!$N654="Pendiente"),1,0)</f>
        <v/>
      </c>
      <c r="R658" s="3">
        <f>IF(Q658=1,100000-N658*1000+651*0.01,9000000000000+651)</f>
        <v/>
      </c>
      <c r="S658" s="3">
        <f>IF(Q658=1,SUMPRODUCT(--($R$8:$R$1207&lt;R658))+1,"")</f>
        <v/>
      </c>
      <c r="T658" s="12">
        <f>IF(K658=1,'ORDENES'!$J654,"")</f>
        <v/>
      </c>
    </row>
    <row r="659">
      <c r="K659" s="3">
        <f>IF(AND(IF($B$3="(todos)",TRUE,'ORDENES'!$O655=$B$3),IF($D$3="(todos)",TRUE,'ORDENES'!$AF655=$D$3),IF($F$3="(todos)",TRUE,'ORDENES'!$X655=$F$3),IF($H$3="(todos)",TRUE,'ORDENES'!$W655=$H$3),'ORDENES'!$AD655=TRUE,'ORDENES'!$A655&lt;&gt;""),1,0)</f>
        <v/>
      </c>
      <c r="L659" s="3">
        <f>IF(K659=1,IFERROR(MATCH('ORDENES'!$R655,lista_dias,0),9)*1000000000+IFERROR(MATCH('ORDENES'!$AF655,lista_turnos,0),9)*10000000+IFERROR(MATCH('ORDENES'!$AE655,tblTecnicos[nombre],0),99)*100000+652,9000000000000+652)</f>
        <v/>
      </c>
      <c r="M659" s="3">
        <f>IF(K659=1,SUMPRODUCT(--($L$8:$L$1207&lt;L659))+1,"")</f>
        <v/>
      </c>
      <c r="N659" s="17">
        <f>IF(K659=1,N('ORDENES'!$M655),0)</f>
        <v/>
      </c>
      <c r="O659" s="17">
        <f>IF('ORDENES'!$T655="preventiva",N659,0)</f>
        <v/>
      </c>
      <c r="P659" s="17">
        <f>IF('ORDENES'!$T655="correctiva",N659,0)</f>
        <v/>
      </c>
      <c r="Q659" s="3">
        <f>IF(AND(K659=1,'ORDENES'!$N655="Pendiente"),1,0)</f>
        <v/>
      </c>
      <c r="R659" s="3">
        <f>IF(Q659=1,100000-N659*1000+652*0.01,9000000000000+652)</f>
        <v/>
      </c>
      <c r="S659" s="3">
        <f>IF(Q659=1,SUMPRODUCT(--($R$8:$R$1207&lt;R659))+1,"")</f>
        <v/>
      </c>
      <c r="T659" s="12">
        <f>IF(K659=1,'ORDENES'!$J655,"")</f>
        <v/>
      </c>
    </row>
    <row r="660">
      <c r="K660" s="3">
        <f>IF(AND(IF($B$3="(todos)",TRUE,'ORDENES'!$O656=$B$3),IF($D$3="(todos)",TRUE,'ORDENES'!$AF656=$D$3),IF($F$3="(todos)",TRUE,'ORDENES'!$X656=$F$3),IF($H$3="(todos)",TRUE,'ORDENES'!$W656=$H$3),'ORDENES'!$AD656=TRUE,'ORDENES'!$A656&lt;&gt;""),1,0)</f>
        <v/>
      </c>
      <c r="L660" s="3">
        <f>IF(K660=1,IFERROR(MATCH('ORDENES'!$R656,lista_dias,0),9)*1000000000+IFERROR(MATCH('ORDENES'!$AF656,lista_turnos,0),9)*10000000+IFERROR(MATCH('ORDENES'!$AE656,tblTecnicos[nombre],0),99)*100000+653,9000000000000+653)</f>
        <v/>
      </c>
      <c r="M660" s="3">
        <f>IF(K660=1,SUMPRODUCT(--($L$8:$L$1207&lt;L660))+1,"")</f>
        <v/>
      </c>
      <c r="N660" s="17">
        <f>IF(K660=1,N('ORDENES'!$M656),0)</f>
        <v/>
      </c>
      <c r="O660" s="17">
        <f>IF('ORDENES'!$T656="preventiva",N660,0)</f>
        <v/>
      </c>
      <c r="P660" s="17">
        <f>IF('ORDENES'!$T656="correctiva",N660,0)</f>
        <v/>
      </c>
      <c r="Q660" s="3">
        <f>IF(AND(K660=1,'ORDENES'!$N656="Pendiente"),1,0)</f>
        <v/>
      </c>
      <c r="R660" s="3">
        <f>IF(Q660=1,100000-N660*1000+653*0.01,9000000000000+653)</f>
        <v/>
      </c>
      <c r="S660" s="3">
        <f>IF(Q660=1,SUMPRODUCT(--($R$8:$R$1207&lt;R660))+1,"")</f>
        <v/>
      </c>
      <c r="T660" s="12">
        <f>IF(K660=1,'ORDENES'!$J656,"")</f>
        <v/>
      </c>
    </row>
    <row r="661">
      <c r="K661" s="3">
        <f>IF(AND(IF($B$3="(todos)",TRUE,'ORDENES'!$O657=$B$3),IF($D$3="(todos)",TRUE,'ORDENES'!$AF657=$D$3),IF($F$3="(todos)",TRUE,'ORDENES'!$X657=$F$3),IF($H$3="(todos)",TRUE,'ORDENES'!$W657=$H$3),'ORDENES'!$AD657=TRUE,'ORDENES'!$A657&lt;&gt;""),1,0)</f>
        <v/>
      </c>
      <c r="L661" s="3">
        <f>IF(K661=1,IFERROR(MATCH('ORDENES'!$R657,lista_dias,0),9)*1000000000+IFERROR(MATCH('ORDENES'!$AF657,lista_turnos,0),9)*10000000+IFERROR(MATCH('ORDENES'!$AE657,tblTecnicos[nombre],0),99)*100000+654,9000000000000+654)</f>
        <v/>
      </c>
      <c r="M661" s="3">
        <f>IF(K661=1,SUMPRODUCT(--($L$8:$L$1207&lt;L661))+1,"")</f>
        <v/>
      </c>
      <c r="N661" s="17">
        <f>IF(K661=1,N('ORDENES'!$M657),0)</f>
        <v/>
      </c>
      <c r="O661" s="17">
        <f>IF('ORDENES'!$T657="preventiva",N661,0)</f>
        <v/>
      </c>
      <c r="P661" s="17">
        <f>IF('ORDENES'!$T657="correctiva",N661,0)</f>
        <v/>
      </c>
      <c r="Q661" s="3">
        <f>IF(AND(K661=1,'ORDENES'!$N657="Pendiente"),1,0)</f>
        <v/>
      </c>
      <c r="R661" s="3">
        <f>IF(Q661=1,100000-N661*1000+654*0.01,9000000000000+654)</f>
        <v/>
      </c>
      <c r="S661" s="3">
        <f>IF(Q661=1,SUMPRODUCT(--($R$8:$R$1207&lt;R661))+1,"")</f>
        <v/>
      </c>
      <c r="T661" s="12">
        <f>IF(K661=1,'ORDENES'!$J657,"")</f>
        <v/>
      </c>
    </row>
    <row r="662">
      <c r="K662" s="3">
        <f>IF(AND(IF($B$3="(todos)",TRUE,'ORDENES'!$O658=$B$3),IF($D$3="(todos)",TRUE,'ORDENES'!$AF658=$D$3),IF($F$3="(todos)",TRUE,'ORDENES'!$X658=$F$3),IF($H$3="(todos)",TRUE,'ORDENES'!$W658=$H$3),'ORDENES'!$AD658=TRUE,'ORDENES'!$A658&lt;&gt;""),1,0)</f>
        <v/>
      </c>
      <c r="L662" s="3">
        <f>IF(K662=1,IFERROR(MATCH('ORDENES'!$R658,lista_dias,0),9)*1000000000+IFERROR(MATCH('ORDENES'!$AF658,lista_turnos,0),9)*10000000+IFERROR(MATCH('ORDENES'!$AE658,tblTecnicos[nombre],0),99)*100000+655,9000000000000+655)</f>
        <v/>
      </c>
      <c r="M662" s="3">
        <f>IF(K662=1,SUMPRODUCT(--($L$8:$L$1207&lt;L662))+1,"")</f>
        <v/>
      </c>
      <c r="N662" s="17">
        <f>IF(K662=1,N('ORDENES'!$M658),0)</f>
        <v/>
      </c>
      <c r="O662" s="17">
        <f>IF('ORDENES'!$T658="preventiva",N662,0)</f>
        <v/>
      </c>
      <c r="P662" s="17">
        <f>IF('ORDENES'!$T658="correctiva",N662,0)</f>
        <v/>
      </c>
      <c r="Q662" s="3">
        <f>IF(AND(K662=1,'ORDENES'!$N658="Pendiente"),1,0)</f>
        <v/>
      </c>
      <c r="R662" s="3">
        <f>IF(Q662=1,100000-N662*1000+655*0.01,9000000000000+655)</f>
        <v/>
      </c>
      <c r="S662" s="3">
        <f>IF(Q662=1,SUMPRODUCT(--($R$8:$R$1207&lt;R662))+1,"")</f>
        <v/>
      </c>
      <c r="T662" s="12">
        <f>IF(K662=1,'ORDENES'!$J658,"")</f>
        <v/>
      </c>
    </row>
    <row r="663">
      <c r="K663" s="3">
        <f>IF(AND(IF($B$3="(todos)",TRUE,'ORDENES'!$O659=$B$3),IF($D$3="(todos)",TRUE,'ORDENES'!$AF659=$D$3),IF($F$3="(todos)",TRUE,'ORDENES'!$X659=$F$3),IF($H$3="(todos)",TRUE,'ORDENES'!$W659=$H$3),'ORDENES'!$AD659=TRUE,'ORDENES'!$A659&lt;&gt;""),1,0)</f>
        <v/>
      </c>
      <c r="L663" s="3">
        <f>IF(K663=1,IFERROR(MATCH('ORDENES'!$R659,lista_dias,0),9)*1000000000+IFERROR(MATCH('ORDENES'!$AF659,lista_turnos,0),9)*10000000+IFERROR(MATCH('ORDENES'!$AE659,tblTecnicos[nombre],0),99)*100000+656,9000000000000+656)</f>
        <v/>
      </c>
      <c r="M663" s="3">
        <f>IF(K663=1,SUMPRODUCT(--($L$8:$L$1207&lt;L663))+1,"")</f>
        <v/>
      </c>
      <c r="N663" s="17">
        <f>IF(K663=1,N('ORDENES'!$M659),0)</f>
        <v/>
      </c>
      <c r="O663" s="17">
        <f>IF('ORDENES'!$T659="preventiva",N663,0)</f>
        <v/>
      </c>
      <c r="P663" s="17">
        <f>IF('ORDENES'!$T659="correctiva",N663,0)</f>
        <v/>
      </c>
      <c r="Q663" s="3">
        <f>IF(AND(K663=1,'ORDENES'!$N659="Pendiente"),1,0)</f>
        <v/>
      </c>
      <c r="R663" s="3">
        <f>IF(Q663=1,100000-N663*1000+656*0.01,9000000000000+656)</f>
        <v/>
      </c>
      <c r="S663" s="3">
        <f>IF(Q663=1,SUMPRODUCT(--($R$8:$R$1207&lt;R663))+1,"")</f>
        <v/>
      </c>
      <c r="T663" s="12">
        <f>IF(K663=1,'ORDENES'!$J659,"")</f>
        <v/>
      </c>
    </row>
    <row r="664">
      <c r="K664" s="3">
        <f>IF(AND(IF($B$3="(todos)",TRUE,'ORDENES'!$O660=$B$3),IF($D$3="(todos)",TRUE,'ORDENES'!$AF660=$D$3),IF($F$3="(todos)",TRUE,'ORDENES'!$X660=$F$3),IF($H$3="(todos)",TRUE,'ORDENES'!$W660=$H$3),'ORDENES'!$AD660=TRUE,'ORDENES'!$A660&lt;&gt;""),1,0)</f>
        <v/>
      </c>
      <c r="L664" s="3">
        <f>IF(K664=1,IFERROR(MATCH('ORDENES'!$R660,lista_dias,0),9)*1000000000+IFERROR(MATCH('ORDENES'!$AF660,lista_turnos,0),9)*10000000+IFERROR(MATCH('ORDENES'!$AE660,tblTecnicos[nombre],0),99)*100000+657,9000000000000+657)</f>
        <v/>
      </c>
      <c r="M664" s="3">
        <f>IF(K664=1,SUMPRODUCT(--($L$8:$L$1207&lt;L664))+1,"")</f>
        <v/>
      </c>
      <c r="N664" s="17">
        <f>IF(K664=1,N('ORDENES'!$M660),0)</f>
        <v/>
      </c>
      <c r="O664" s="17">
        <f>IF('ORDENES'!$T660="preventiva",N664,0)</f>
        <v/>
      </c>
      <c r="P664" s="17">
        <f>IF('ORDENES'!$T660="correctiva",N664,0)</f>
        <v/>
      </c>
      <c r="Q664" s="3">
        <f>IF(AND(K664=1,'ORDENES'!$N660="Pendiente"),1,0)</f>
        <v/>
      </c>
      <c r="R664" s="3">
        <f>IF(Q664=1,100000-N664*1000+657*0.01,9000000000000+657)</f>
        <v/>
      </c>
      <c r="S664" s="3">
        <f>IF(Q664=1,SUMPRODUCT(--($R$8:$R$1207&lt;R664))+1,"")</f>
        <v/>
      </c>
      <c r="T664" s="12">
        <f>IF(K664=1,'ORDENES'!$J660,"")</f>
        <v/>
      </c>
    </row>
    <row r="665">
      <c r="K665" s="3">
        <f>IF(AND(IF($B$3="(todos)",TRUE,'ORDENES'!$O661=$B$3),IF($D$3="(todos)",TRUE,'ORDENES'!$AF661=$D$3),IF($F$3="(todos)",TRUE,'ORDENES'!$X661=$F$3),IF($H$3="(todos)",TRUE,'ORDENES'!$W661=$H$3),'ORDENES'!$AD661=TRUE,'ORDENES'!$A661&lt;&gt;""),1,0)</f>
        <v/>
      </c>
      <c r="L665" s="3">
        <f>IF(K665=1,IFERROR(MATCH('ORDENES'!$R661,lista_dias,0),9)*1000000000+IFERROR(MATCH('ORDENES'!$AF661,lista_turnos,0),9)*10000000+IFERROR(MATCH('ORDENES'!$AE661,tblTecnicos[nombre],0),99)*100000+658,9000000000000+658)</f>
        <v/>
      </c>
      <c r="M665" s="3">
        <f>IF(K665=1,SUMPRODUCT(--($L$8:$L$1207&lt;L665))+1,"")</f>
        <v/>
      </c>
      <c r="N665" s="17">
        <f>IF(K665=1,N('ORDENES'!$M661),0)</f>
        <v/>
      </c>
      <c r="O665" s="17">
        <f>IF('ORDENES'!$T661="preventiva",N665,0)</f>
        <v/>
      </c>
      <c r="P665" s="17">
        <f>IF('ORDENES'!$T661="correctiva",N665,0)</f>
        <v/>
      </c>
      <c r="Q665" s="3">
        <f>IF(AND(K665=1,'ORDENES'!$N661="Pendiente"),1,0)</f>
        <v/>
      </c>
      <c r="R665" s="3">
        <f>IF(Q665=1,100000-N665*1000+658*0.01,9000000000000+658)</f>
        <v/>
      </c>
      <c r="S665" s="3">
        <f>IF(Q665=1,SUMPRODUCT(--($R$8:$R$1207&lt;R665))+1,"")</f>
        <v/>
      </c>
      <c r="T665" s="12">
        <f>IF(K665=1,'ORDENES'!$J661,"")</f>
        <v/>
      </c>
    </row>
    <row r="666">
      <c r="K666" s="3">
        <f>IF(AND(IF($B$3="(todos)",TRUE,'ORDENES'!$O662=$B$3),IF($D$3="(todos)",TRUE,'ORDENES'!$AF662=$D$3),IF($F$3="(todos)",TRUE,'ORDENES'!$X662=$F$3),IF($H$3="(todos)",TRUE,'ORDENES'!$W662=$H$3),'ORDENES'!$AD662=TRUE,'ORDENES'!$A662&lt;&gt;""),1,0)</f>
        <v/>
      </c>
      <c r="L666" s="3">
        <f>IF(K666=1,IFERROR(MATCH('ORDENES'!$R662,lista_dias,0),9)*1000000000+IFERROR(MATCH('ORDENES'!$AF662,lista_turnos,0),9)*10000000+IFERROR(MATCH('ORDENES'!$AE662,tblTecnicos[nombre],0),99)*100000+659,9000000000000+659)</f>
        <v/>
      </c>
      <c r="M666" s="3">
        <f>IF(K666=1,SUMPRODUCT(--($L$8:$L$1207&lt;L666))+1,"")</f>
        <v/>
      </c>
      <c r="N666" s="17">
        <f>IF(K666=1,N('ORDENES'!$M662),0)</f>
        <v/>
      </c>
      <c r="O666" s="17">
        <f>IF('ORDENES'!$T662="preventiva",N666,0)</f>
        <v/>
      </c>
      <c r="P666" s="17">
        <f>IF('ORDENES'!$T662="correctiva",N666,0)</f>
        <v/>
      </c>
      <c r="Q666" s="3">
        <f>IF(AND(K666=1,'ORDENES'!$N662="Pendiente"),1,0)</f>
        <v/>
      </c>
      <c r="R666" s="3">
        <f>IF(Q666=1,100000-N666*1000+659*0.01,9000000000000+659)</f>
        <v/>
      </c>
      <c r="S666" s="3">
        <f>IF(Q666=1,SUMPRODUCT(--($R$8:$R$1207&lt;R666))+1,"")</f>
        <v/>
      </c>
      <c r="T666" s="12">
        <f>IF(K666=1,'ORDENES'!$J662,"")</f>
        <v/>
      </c>
    </row>
    <row r="667">
      <c r="K667" s="3">
        <f>IF(AND(IF($B$3="(todos)",TRUE,'ORDENES'!$O663=$B$3),IF($D$3="(todos)",TRUE,'ORDENES'!$AF663=$D$3),IF($F$3="(todos)",TRUE,'ORDENES'!$X663=$F$3),IF($H$3="(todos)",TRUE,'ORDENES'!$W663=$H$3),'ORDENES'!$AD663=TRUE,'ORDENES'!$A663&lt;&gt;""),1,0)</f>
        <v/>
      </c>
      <c r="L667" s="3">
        <f>IF(K667=1,IFERROR(MATCH('ORDENES'!$R663,lista_dias,0),9)*1000000000+IFERROR(MATCH('ORDENES'!$AF663,lista_turnos,0),9)*10000000+IFERROR(MATCH('ORDENES'!$AE663,tblTecnicos[nombre],0),99)*100000+660,9000000000000+660)</f>
        <v/>
      </c>
      <c r="M667" s="3">
        <f>IF(K667=1,SUMPRODUCT(--($L$8:$L$1207&lt;L667))+1,"")</f>
        <v/>
      </c>
      <c r="N667" s="17">
        <f>IF(K667=1,N('ORDENES'!$M663),0)</f>
        <v/>
      </c>
      <c r="O667" s="17">
        <f>IF('ORDENES'!$T663="preventiva",N667,0)</f>
        <v/>
      </c>
      <c r="P667" s="17">
        <f>IF('ORDENES'!$T663="correctiva",N667,0)</f>
        <v/>
      </c>
      <c r="Q667" s="3">
        <f>IF(AND(K667=1,'ORDENES'!$N663="Pendiente"),1,0)</f>
        <v/>
      </c>
      <c r="R667" s="3">
        <f>IF(Q667=1,100000-N667*1000+660*0.01,9000000000000+660)</f>
        <v/>
      </c>
      <c r="S667" s="3">
        <f>IF(Q667=1,SUMPRODUCT(--($R$8:$R$1207&lt;R667))+1,"")</f>
        <v/>
      </c>
      <c r="T667" s="12">
        <f>IF(K667=1,'ORDENES'!$J663,"")</f>
        <v/>
      </c>
    </row>
    <row r="668">
      <c r="K668" s="3">
        <f>IF(AND(IF($B$3="(todos)",TRUE,'ORDENES'!$O664=$B$3),IF($D$3="(todos)",TRUE,'ORDENES'!$AF664=$D$3),IF($F$3="(todos)",TRUE,'ORDENES'!$X664=$F$3),IF($H$3="(todos)",TRUE,'ORDENES'!$W664=$H$3),'ORDENES'!$AD664=TRUE,'ORDENES'!$A664&lt;&gt;""),1,0)</f>
        <v/>
      </c>
      <c r="L668" s="3">
        <f>IF(K668=1,IFERROR(MATCH('ORDENES'!$R664,lista_dias,0),9)*1000000000+IFERROR(MATCH('ORDENES'!$AF664,lista_turnos,0),9)*10000000+IFERROR(MATCH('ORDENES'!$AE664,tblTecnicos[nombre],0),99)*100000+661,9000000000000+661)</f>
        <v/>
      </c>
      <c r="M668" s="3">
        <f>IF(K668=1,SUMPRODUCT(--($L$8:$L$1207&lt;L668))+1,"")</f>
        <v/>
      </c>
      <c r="N668" s="17">
        <f>IF(K668=1,N('ORDENES'!$M664),0)</f>
        <v/>
      </c>
      <c r="O668" s="17">
        <f>IF('ORDENES'!$T664="preventiva",N668,0)</f>
        <v/>
      </c>
      <c r="P668" s="17">
        <f>IF('ORDENES'!$T664="correctiva",N668,0)</f>
        <v/>
      </c>
      <c r="Q668" s="3">
        <f>IF(AND(K668=1,'ORDENES'!$N664="Pendiente"),1,0)</f>
        <v/>
      </c>
      <c r="R668" s="3">
        <f>IF(Q668=1,100000-N668*1000+661*0.01,9000000000000+661)</f>
        <v/>
      </c>
      <c r="S668" s="3">
        <f>IF(Q668=1,SUMPRODUCT(--($R$8:$R$1207&lt;R668))+1,"")</f>
        <v/>
      </c>
      <c r="T668" s="12">
        <f>IF(K668=1,'ORDENES'!$J664,"")</f>
        <v/>
      </c>
    </row>
    <row r="669">
      <c r="K669" s="3">
        <f>IF(AND(IF($B$3="(todos)",TRUE,'ORDENES'!$O665=$B$3),IF($D$3="(todos)",TRUE,'ORDENES'!$AF665=$D$3),IF($F$3="(todos)",TRUE,'ORDENES'!$X665=$F$3),IF($H$3="(todos)",TRUE,'ORDENES'!$W665=$H$3),'ORDENES'!$AD665=TRUE,'ORDENES'!$A665&lt;&gt;""),1,0)</f>
        <v/>
      </c>
      <c r="L669" s="3">
        <f>IF(K669=1,IFERROR(MATCH('ORDENES'!$R665,lista_dias,0),9)*1000000000+IFERROR(MATCH('ORDENES'!$AF665,lista_turnos,0),9)*10000000+IFERROR(MATCH('ORDENES'!$AE665,tblTecnicos[nombre],0),99)*100000+662,9000000000000+662)</f>
        <v/>
      </c>
      <c r="M669" s="3">
        <f>IF(K669=1,SUMPRODUCT(--($L$8:$L$1207&lt;L669))+1,"")</f>
        <v/>
      </c>
      <c r="N669" s="17">
        <f>IF(K669=1,N('ORDENES'!$M665),0)</f>
        <v/>
      </c>
      <c r="O669" s="17">
        <f>IF('ORDENES'!$T665="preventiva",N669,0)</f>
        <v/>
      </c>
      <c r="P669" s="17">
        <f>IF('ORDENES'!$T665="correctiva",N669,0)</f>
        <v/>
      </c>
      <c r="Q669" s="3">
        <f>IF(AND(K669=1,'ORDENES'!$N665="Pendiente"),1,0)</f>
        <v/>
      </c>
      <c r="R669" s="3">
        <f>IF(Q669=1,100000-N669*1000+662*0.01,9000000000000+662)</f>
        <v/>
      </c>
      <c r="S669" s="3">
        <f>IF(Q669=1,SUMPRODUCT(--($R$8:$R$1207&lt;R669))+1,"")</f>
        <v/>
      </c>
      <c r="T669" s="12">
        <f>IF(K669=1,'ORDENES'!$J665,"")</f>
        <v/>
      </c>
    </row>
    <row r="670">
      <c r="K670" s="3">
        <f>IF(AND(IF($B$3="(todos)",TRUE,'ORDENES'!$O666=$B$3),IF($D$3="(todos)",TRUE,'ORDENES'!$AF666=$D$3),IF($F$3="(todos)",TRUE,'ORDENES'!$X666=$F$3),IF($H$3="(todos)",TRUE,'ORDENES'!$W666=$H$3),'ORDENES'!$AD666=TRUE,'ORDENES'!$A666&lt;&gt;""),1,0)</f>
        <v/>
      </c>
      <c r="L670" s="3">
        <f>IF(K670=1,IFERROR(MATCH('ORDENES'!$R666,lista_dias,0),9)*1000000000+IFERROR(MATCH('ORDENES'!$AF666,lista_turnos,0),9)*10000000+IFERROR(MATCH('ORDENES'!$AE666,tblTecnicos[nombre],0),99)*100000+663,9000000000000+663)</f>
        <v/>
      </c>
      <c r="M670" s="3">
        <f>IF(K670=1,SUMPRODUCT(--($L$8:$L$1207&lt;L670))+1,"")</f>
        <v/>
      </c>
      <c r="N670" s="17">
        <f>IF(K670=1,N('ORDENES'!$M666),0)</f>
        <v/>
      </c>
      <c r="O670" s="17">
        <f>IF('ORDENES'!$T666="preventiva",N670,0)</f>
        <v/>
      </c>
      <c r="P670" s="17">
        <f>IF('ORDENES'!$T666="correctiva",N670,0)</f>
        <v/>
      </c>
      <c r="Q670" s="3">
        <f>IF(AND(K670=1,'ORDENES'!$N666="Pendiente"),1,0)</f>
        <v/>
      </c>
      <c r="R670" s="3">
        <f>IF(Q670=1,100000-N670*1000+663*0.01,9000000000000+663)</f>
        <v/>
      </c>
      <c r="S670" s="3">
        <f>IF(Q670=1,SUMPRODUCT(--($R$8:$R$1207&lt;R670))+1,"")</f>
        <v/>
      </c>
      <c r="T670" s="12">
        <f>IF(K670=1,'ORDENES'!$J666,"")</f>
        <v/>
      </c>
    </row>
    <row r="671">
      <c r="K671" s="3">
        <f>IF(AND(IF($B$3="(todos)",TRUE,'ORDENES'!$O667=$B$3),IF($D$3="(todos)",TRUE,'ORDENES'!$AF667=$D$3),IF($F$3="(todos)",TRUE,'ORDENES'!$X667=$F$3),IF($H$3="(todos)",TRUE,'ORDENES'!$W667=$H$3),'ORDENES'!$AD667=TRUE,'ORDENES'!$A667&lt;&gt;""),1,0)</f>
        <v/>
      </c>
      <c r="L671" s="3">
        <f>IF(K671=1,IFERROR(MATCH('ORDENES'!$R667,lista_dias,0),9)*1000000000+IFERROR(MATCH('ORDENES'!$AF667,lista_turnos,0),9)*10000000+IFERROR(MATCH('ORDENES'!$AE667,tblTecnicos[nombre],0),99)*100000+664,9000000000000+664)</f>
        <v/>
      </c>
      <c r="M671" s="3">
        <f>IF(K671=1,SUMPRODUCT(--($L$8:$L$1207&lt;L671))+1,"")</f>
        <v/>
      </c>
      <c r="N671" s="17">
        <f>IF(K671=1,N('ORDENES'!$M667),0)</f>
        <v/>
      </c>
      <c r="O671" s="17">
        <f>IF('ORDENES'!$T667="preventiva",N671,0)</f>
        <v/>
      </c>
      <c r="P671" s="17">
        <f>IF('ORDENES'!$T667="correctiva",N671,0)</f>
        <v/>
      </c>
      <c r="Q671" s="3">
        <f>IF(AND(K671=1,'ORDENES'!$N667="Pendiente"),1,0)</f>
        <v/>
      </c>
      <c r="R671" s="3">
        <f>IF(Q671=1,100000-N671*1000+664*0.01,9000000000000+664)</f>
        <v/>
      </c>
      <c r="S671" s="3">
        <f>IF(Q671=1,SUMPRODUCT(--($R$8:$R$1207&lt;R671))+1,"")</f>
        <v/>
      </c>
      <c r="T671" s="12">
        <f>IF(K671=1,'ORDENES'!$J667,"")</f>
        <v/>
      </c>
    </row>
    <row r="672">
      <c r="K672" s="3">
        <f>IF(AND(IF($B$3="(todos)",TRUE,'ORDENES'!$O668=$B$3),IF($D$3="(todos)",TRUE,'ORDENES'!$AF668=$D$3),IF($F$3="(todos)",TRUE,'ORDENES'!$X668=$F$3),IF($H$3="(todos)",TRUE,'ORDENES'!$W668=$H$3),'ORDENES'!$AD668=TRUE,'ORDENES'!$A668&lt;&gt;""),1,0)</f>
        <v/>
      </c>
      <c r="L672" s="3">
        <f>IF(K672=1,IFERROR(MATCH('ORDENES'!$R668,lista_dias,0),9)*1000000000+IFERROR(MATCH('ORDENES'!$AF668,lista_turnos,0),9)*10000000+IFERROR(MATCH('ORDENES'!$AE668,tblTecnicos[nombre],0),99)*100000+665,9000000000000+665)</f>
        <v/>
      </c>
      <c r="M672" s="3">
        <f>IF(K672=1,SUMPRODUCT(--($L$8:$L$1207&lt;L672))+1,"")</f>
        <v/>
      </c>
      <c r="N672" s="17">
        <f>IF(K672=1,N('ORDENES'!$M668),0)</f>
        <v/>
      </c>
      <c r="O672" s="17">
        <f>IF('ORDENES'!$T668="preventiva",N672,0)</f>
        <v/>
      </c>
      <c r="P672" s="17">
        <f>IF('ORDENES'!$T668="correctiva",N672,0)</f>
        <v/>
      </c>
      <c r="Q672" s="3">
        <f>IF(AND(K672=1,'ORDENES'!$N668="Pendiente"),1,0)</f>
        <v/>
      </c>
      <c r="R672" s="3">
        <f>IF(Q672=1,100000-N672*1000+665*0.01,9000000000000+665)</f>
        <v/>
      </c>
      <c r="S672" s="3">
        <f>IF(Q672=1,SUMPRODUCT(--($R$8:$R$1207&lt;R672))+1,"")</f>
        <v/>
      </c>
      <c r="T672" s="12">
        <f>IF(K672=1,'ORDENES'!$J668,"")</f>
        <v/>
      </c>
    </row>
    <row r="673">
      <c r="K673" s="3">
        <f>IF(AND(IF($B$3="(todos)",TRUE,'ORDENES'!$O669=$B$3),IF($D$3="(todos)",TRUE,'ORDENES'!$AF669=$D$3),IF($F$3="(todos)",TRUE,'ORDENES'!$X669=$F$3),IF($H$3="(todos)",TRUE,'ORDENES'!$W669=$H$3),'ORDENES'!$AD669=TRUE,'ORDENES'!$A669&lt;&gt;""),1,0)</f>
        <v/>
      </c>
      <c r="L673" s="3">
        <f>IF(K673=1,IFERROR(MATCH('ORDENES'!$R669,lista_dias,0),9)*1000000000+IFERROR(MATCH('ORDENES'!$AF669,lista_turnos,0),9)*10000000+IFERROR(MATCH('ORDENES'!$AE669,tblTecnicos[nombre],0),99)*100000+666,9000000000000+666)</f>
        <v/>
      </c>
      <c r="M673" s="3">
        <f>IF(K673=1,SUMPRODUCT(--($L$8:$L$1207&lt;L673))+1,"")</f>
        <v/>
      </c>
      <c r="N673" s="17">
        <f>IF(K673=1,N('ORDENES'!$M669),0)</f>
        <v/>
      </c>
      <c r="O673" s="17">
        <f>IF('ORDENES'!$T669="preventiva",N673,0)</f>
        <v/>
      </c>
      <c r="P673" s="17">
        <f>IF('ORDENES'!$T669="correctiva",N673,0)</f>
        <v/>
      </c>
      <c r="Q673" s="3">
        <f>IF(AND(K673=1,'ORDENES'!$N669="Pendiente"),1,0)</f>
        <v/>
      </c>
      <c r="R673" s="3">
        <f>IF(Q673=1,100000-N673*1000+666*0.01,9000000000000+666)</f>
        <v/>
      </c>
      <c r="S673" s="3">
        <f>IF(Q673=1,SUMPRODUCT(--($R$8:$R$1207&lt;R673))+1,"")</f>
        <v/>
      </c>
      <c r="T673" s="12">
        <f>IF(K673=1,'ORDENES'!$J669,"")</f>
        <v/>
      </c>
    </row>
    <row r="674">
      <c r="K674" s="3">
        <f>IF(AND(IF($B$3="(todos)",TRUE,'ORDENES'!$O670=$B$3),IF($D$3="(todos)",TRUE,'ORDENES'!$AF670=$D$3),IF($F$3="(todos)",TRUE,'ORDENES'!$X670=$F$3),IF($H$3="(todos)",TRUE,'ORDENES'!$W670=$H$3),'ORDENES'!$AD670=TRUE,'ORDENES'!$A670&lt;&gt;""),1,0)</f>
        <v/>
      </c>
      <c r="L674" s="3">
        <f>IF(K674=1,IFERROR(MATCH('ORDENES'!$R670,lista_dias,0),9)*1000000000+IFERROR(MATCH('ORDENES'!$AF670,lista_turnos,0),9)*10000000+IFERROR(MATCH('ORDENES'!$AE670,tblTecnicos[nombre],0),99)*100000+667,9000000000000+667)</f>
        <v/>
      </c>
      <c r="M674" s="3">
        <f>IF(K674=1,SUMPRODUCT(--($L$8:$L$1207&lt;L674))+1,"")</f>
        <v/>
      </c>
      <c r="N674" s="17">
        <f>IF(K674=1,N('ORDENES'!$M670),0)</f>
        <v/>
      </c>
      <c r="O674" s="17">
        <f>IF('ORDENES'!$T670="preventiva",N674,0)</f>
        <v/>
      </c>
      <c r="P674" s="17">
        <f>IF('ORDENES'!$T670="correctiva",N674,0)</f>
        <v/>
      </c>
      <c r="Q674" s="3">
        <f>IF(AND(K674=1,'ORDENES'!$N670="Pendiente"),1,0)</f>
        <v/>
      </c>
      <c r="R674" s="3">
        <f>IF(Q674=1,100000-N674*1000+667*0.01,9000000000000+667)</f>
        <v/>
      </c>
      <c r="S674" s="3">
        <f>IF(Q674=1,SUMPRODUCT(--($R$8:$R$1207&lt;R674))+1,"")</f>
        <v/>
      </c>
      <c r="T674" s="12">
        <f>IF(K674=1,'ORDENES'!$J670,"")</f>
        <v/>
      </c>
    </row>
    <row r="675">
      <c r="K675" s="3">
        <f>IF(AND(IF($B$3="(todos)",TRUE,'ORDENES'!$O671=$B$3),IF($D$3="(todos)",TRUE,'ORDENES'!$AF671=$D$3),IF($F$3="(todos)",TRUE,'ORDENES'!$X671=$F$3),IF($H$3="(todos)",TRUE,'ORDENES'!$W671=$H$3),'ORDENES'!$AD671=TRUE,'ORDENES'!$A671&lt;&gt;""),1,0)</f>
        <v/>
      </c>
      <c r="L675" s="3">
        <f>IF(K675=1,IFERROR(MATCH('ORDENES'!$R671,lista_dias,0),9)*1000000000+IFERROR(MATCH('ORDENES'!$AF671,lista_turnos,0),9)*10000000+IFERROR(MATCH('ORDENES'!$AE671,tblTecnicos[nombre],0),99)*100000+668,9000000000000+668)</f>
        <v/>
      </c>
      <c r="M675" s="3">
        <f>IF(K675=1,SUMPRODUCT(--($L$8:$L$1207&lt;L675))+1,"")</f>
        <v/>
      </c>
      <c r="N675" s="17">
        <f>IF(K675=1,N('ORDENES'!$M671),0)</f>
        <v/>
      </c>
      <c r="O675" s="17">
        <f>IF('ORDENES'!$T671="preventiva",N675,0)</f>
        <v/>
      </c>
      <c r="P675" s="17">
        <f>IF('ORDENES'!$T671="correctiva",N675,0)</f>
        <v/>
      </c>
      <c r="Q675" s="3">
        <f>IF(AND(K675=1,'ORDENES'!$N671="Pendiente"),1,0)</f>
        <v/>
      </c>
      <c r="R675" s="3">
        <f>IF(Q675=1,100000-N675*1000+668*0.01,9000000000000+668)</f>
        <v/>
      </c>
      <c r="S675" s="3">
        <f>IF(Q675=1,SUMPRODUCT(--($R$8:$R$1207&lt;R675))+1,"")</f>
        <v/>
      </c>
      <c r="T675" s="12">
        <f>IF(K675=1,'ORDENES'!$J671,"")</f>
        <v/>
      </c>
    </row>
    <row r="676">
      <c r="K676" s="3">
        <f>IF(AND(IF($B$3="(todos)",TRUE,'ORDENES'!$O672=$B$3),IF($D$3="(todos)",TRUE,'ORDENES'!$AF672=$D$3),IF($F$3="(todos)",TRUE,'ORDENES'!$X672=$F$3),IF($H$3="(todos)",TRUE,'ORDENES'!$W672=$H$3),'ORDENES'!$AD672=TRUE,'ORDENES'!$A672&lt;&gt;""),1,0)</f>
        <v/>
      </c>
      <c r="L676" s="3">
        <f>IF(K676=1,IFERROR(MATCH('ORDENES'!$R672,lista_dias,0),9)*1000000000+IFERROR(MATCH('ORDENES'!$AF672,lista_turnos,0),9)*10000000+IFERROR(MATCH('ORDENES'!$AE672,tblTecnicos[nombre],0),99)*100000+669,9000000000000+669)</f>
        <v/>
      </c>
      <c r="M676" s="3">
        <f>IF(K676=1,SUMPRODUCT(--($L$8:$L$1207&lt;L676))+1,"")</f>
        <v/>
      </c>
      <c r="N676" s="17">
        <f>IF(K676=1,N('ORDENES'!$M672),0)</f>
        <v/>
      </c>
      <c r="O676" s="17">
        <f>IF('ORDENES'!$T672="preventiva",N676,0)</f>
        <v/>
      </c>
      <c r="P676" s="17">
        <f>IF('ORDENES'!$T672="correctiva",N676,0)</f>
        <v/>
      </c>
      <c r="Q676" s="3">
        <f>IF(AND(K676=1,'ORDENES'!$N672="Pendiente"),1,0)</f>
        <v/>
      </c>
      <c r="R676" s="3">
        <f>IF(Q676=1,100000-N676*1000+669*0.01,9000000000000+669)</f>
        <v/>
      </c>
      <c r="S676" s="3">
        <f>IF(Q676=1,SUMPRODUCT(--($R$8:$R$1207&lt;R676))+1,"")</f>
        <v/>
      </c>
      <c r="T676" s="12">
        <f>IF(K676=1,'ORDENES'!$J672,"")</f>
        <v/>
      </c>
    </row>
    <row r="677">
      <c r="K677" s="3">
        <f>IF(AND(IF($B$3="(todos)",TRUE,'ORDENES'!$O673=$B$3),IF($D$3="(todos)",TRUE,'ORDENES'!$AF673=$D$3),IF($F$3="(todos)",TRUE,'ORDENES'!$X673=$F$3),IF($H$3="(todos)",TRUE,'ORDENES'!$W673=$H$3),'ORDENES'!$AD673=TRUE,'ORDENES'!$A673&lt;&gt;""),1,0)</f>
        <v/>
      </c>
      <c r="L677" s="3">
        <f>IF(K677=1,IFERROR(MATCH('ORDENES'!$R673,lista_dias,0),9)*1000000000+IFERROR(MATCH('ORDENES'!$AF673,lista_turnos,0),9)*10000000+IFERROR(MATCH('ORDENES'!$AE673,tblTecnicos[nombre],0),99)*100000+670,9000000000000+670)</f>
        <v/>
      </c>
      <c r="M677" s="3">
        <f>IF(K677=1,SUMPRODUCT(--($L$8:$L$1207&lt;L677))+1,"")</f>
        <v/>
      </c>
      <c r="N677" s="17">
        <f>IF(K677=1,N('ORDENES'!$M673),0)</f>
        <v/>
      </c>
      <c r="O677" s="17">
        <f>IF('ORDENES'!$T673="preventiva",N677,0)</f>
        <v/>
      </c>
      <c r="P677" s="17">
        <f>IF('ORDENES'!$T673="correctiva",N677,0)</f>
        <v/>
      </c>
      <c r="Q677" s="3">
        <f>IF(AND(K677=1,'ORDENES'!$N673="Pendiente"),1,0)</f>
        <v/>
      </c>
      <c r="R677" s="3">
        <f>IF(Q677=1,100000-N677*1000+670*0.01,9000000000000+670)</f>
        <v/>
      </c>
      <c r="S677" s="3">
        <f>IF(Q677=1,SUMPRODUCT(--($R$8:$R$1207&lt;R677))+1,"")</f>
        <v/>
      </c>
      <c r="T677" s="12">
        <f>IF(K677=1,'ORDENES'!$J673,"")</f>
        <v/>
      </c>
    </row>
    <row r="678">
      <c r="K678" s="3">
        <f>IF(AND(IF($B$3="(todos)",TRUE,'ORDENES'!$O674=$B$3),IF($D$3="(todos)",TRUE,'ORDENES'!$AF674=$D$3),IF($F$3="(todos)",TRUE,'ORDENES'!$X674=$F$3),IF($H$3="(todos)",TRUE,'ORDENES'!$W674=$H$3),'ORDENES'!$AD674=TRUE,'ORDENES'!$A674&lt;&gt;""),1,0)</f>
        <v/>
      </c>
      <c r="L678" s="3">
        <f>IF(K678=1,IFERROR(MATCH('ORDENES'!$R674,lista_dias,0),9)*1000000000+IFERROR(MATCH('ORDENES'!$AF674,lista_turnos,0),9)*10000000+IFERROR(MATCH('ORDENES'!$AE674,tblTecnicos[nombre],0),99)*100000+671,9000000000000+671)</f>
        <v/>
      </c>
      <c r="M678" s="3">
        <f>IF(K678=1,SUMPRODUCT(--($L$8:$L$1207&lt;L678))+1,"")</f>
        <v/>
      </c>
      <c r="N678" s="17">
        <f>IF(K678=1,N('ORDENES'!$M674),0)</f>
        <v/>
      </c>
      <c r="O678" s="17">
        <f>IF('ORDENES'!$T674="preventiva",N678,0)</f>
        <v/>
      </c>
      <c r="P678" s="17">
        <f>IF('ORDENES'!$T674="correctiva",N678,0)</f>
        <v/>
      </c>
      <c r="Q678" s="3">
        <f>IF(AND(K678=1,'ORDENES'!$N674="Pendiente"),1,0)</f>
        <v/>
      </c>
      <c r="R678" s="3">
        <f>IF(Q678=1,100000-N678*1000+671*0.01,9000000000000+671)</f>
        <v/>
      </c>
      <c r="S678" s="3">
        <f>IF(Q678=1,SUMPRODUCT(--($R$8:$R$1207&lt;R678))+1,"")</f>
        <v/>
      </c>
      <c r="T678" s="12">
        <f>IF(K678=1,'ORDENES'!$J674,"")</f>
        <v/>
      </c>
    </row>
    <row r="679">
      <c r="K679" s="3">
        <f>IF(AND(IF($B$3="(todos)",TRUE,'ORDENES'!$O675=$B$3),IF($D$3="(todos)",TRUE,'ORDENES'!$AF675=$D$3),IF($F$3="(todos)",TRUE,'ORDENES'!$X675=$F$3),IF($H$3="(todos)",TRUE,'ORDENES'!$W675=$H$3),'ORDENES'!$AD675=TRUE,'ORDENES'!$A675&lt;&gt;""),1,0)</f>
        <v/>
      </c>
      <c r="L679" s="3">
        <f>IF(K679=1,IFERROR(MATCH('ORDENES'!$R675,lista_dias,0),9)*1000000000+IFERROR(MATCH('ORDENES'!$AF675,lista_turnos,0),9)*10000000+IFERROR(MATCH('ORDENES'!$AE675,tblTecnicos[nombre],0),99)*100000+672,9000000000000+672)</f>
        <v/>
      </c>
      <c r="M679" s="3">
        <f>IF(K679=1,SUMPRODUCT(--($L$8:$L$1207&lt;L679))+1,"")</f>
        <v/>
      </c>
      <c r="N679" s="17">
        <f>IF(K679=1,N('ORDENES'!$M675),0)</f>
        <v/>
      </c>
      <c r="O679" s="17">
        <f>IF('ORDENES'!$T675="preventiva",N679,0)</f>
        <v/>
      </c>
      <c r="P679" s="17">
        <f>IF('ORDENES'!$T675="correctiva",N679,0)</f>
        <v/>
      </c>
      <c r="Q679" s="3">
        <f>IF(AND(K679=1,'ORDENES'!$N675="Pendiente"),1,0)</f>
        <v/>
      </c>
      <c r="R679" s="3">
        <f>IF(Q679=1,100000-N679*1000+672*0.01,9000000000000+672)</f>
        <v/>
      </c>
      <c r="S679" s="3">
        <f>IF(Q679=1,SUMPRODUCT(--($R$8:$R$1207&lt;R679))+1,"")</f>
        <v/>
      </c>
      <c r="T679" s="12">
        <f>IF(K679=1,'ORDENES'!$J675,"")</f>
        <v/>
      </c>
    </row>
    <row r="680">
      <c r="K680" s="3">
        <f>IF(AND(IF($B$3="(todos)",TRUE,'ORDENES'!$O676=$B$3),IF($D$3="(todos)",TRUE,'ORDENES'!$AF676=$D$3),IF($F$3="(todos)",TRUE,'ORDENES'!$X676=$F$3),IF($H$3="(todos)",TRUE,'ORDENES'!$W676=$H$3),'ORDENES'!$AD676=TRUE,'ORDENES'!$A676&lt;&gt;""),1,0)</f>
        <v/>
      </c>
      <c r="L680" s="3">
        <f>IF(K680=1,IFERROR(MATCH('ORDENES'!$R676,lista_dias,0),9)*1000000000+IFERROR(MATCH('ORDENES'!$AF676,lista_turnos,0),9)*10000000+IFERROR(MATCH('ORDENES'!$AE676,tblTecnicos[nombre],0),99)*100000+673,9000000000000+673)</f>
        <v/>
      </c>
      <c r="M680" s="3">
        <f>IF(K680=1,SUMPRODUCT(--($L$8:$L$1207&lt;L680))+1,"")</f>
        <v/>
      </c>
      <c r="N680" s="17">
        <f>IF(K680=1,N('ORDENES'!$M676),0)</f>
        <v/>
      </c>
      <c r="O680" s="17">
        <f>IF('ORDENES'!$T676="preventiva",N680,0)</f>
        <v/>
      </c>
      <c r="P680" s="17">
        <f>IF('ORDENES'!$T676="correctiva",N680,0)</f>
        <v/>
      </c>
      <c r="Q680" s="3">
        <f>IF(AND(K680=1,'ORDENES'!$N676="Pendiente"),1,0)</f>
        <v/>
      </c>
      <c r="R680" s="3">
        <f>IF(Q680=1,100000-N680*1000+673*0.01,9000000000000+673)</f>
        <v/>
      </c>
      <c r="S680" s="3">
        <f>IF(Q680=1,SUMPRODUCT(--($R$8:$R$1207&lt;R680))+1,"")</f>
        <v/>
      </c>
      <c r="T680" s="12">
        <f>IF(K680=1,'ORDENES'!$J676,"")</f>
        <v/>
      </c>
    </row>
    <row r="681">
      <c r="K681" s="3">
        <f>IF(AND(IF($B$3="(todos)",TRUE,'ORDENES'!$O677=$B$3),IF($D$3="(todos)",TRUE,'ORDENES'!$AF677=$D$3),IF($F$3="(todos)",TRUE,'ORDENES'!$X677=$F$3),IF($H$3="(todos)",TRUE,'ORDENES'!$W677=$H$3),'ORDENES'!$AD677=TRUE,'ORDENES'!$A677&lt;&gt;""),1,0)</f>
        <v/>
      </c>
      <c r="L681" s="3">
        <f>IF(K681=1,IFERROR(MATCH('ORDENES'!$R677,lista_dias,0),9)*1000000000+IFERROR(MATCH('ORDENES'!$AF677,lista_turnos,0),9)*10000000+IFERROR(MATCH('ORDENES'!$AE677,tblTecnicos[nombre],0),99)*100000+674,9000000000000+674)</f>
        <v/>
      </c>
      <c r="M681" s="3">
        <f>IF(K681=1,SUMPRODUCT(--($L$8:$L$1207&lt;L681))+1,"")</f>
        <v/>
      </c>
      <c r="N681" s="17">
        <f>IF(K681=1,N('ORDENES'!$M677),0)</f>
        <v/>
      </c>
      <c r="O681" s="17">
        <f>IF('ORDENES'!$T677="preventiva",N681,0)</f>
        <v/>
      </c>
      <c r="P681" s="17">
        <f>IF('ORDENES'!$T677="correctiva",N681,0)</f>
        <v/>
      </c>
      <c r="Q681" s="3">
        <f>IF(AND(K681=1,'ORDENES'!$N677="Pendiente"),1,0)</f>
        <v/>
      </c>
      <c r="R681" s="3">
        <f>IF(Q681=1,100000-N681*1000+674*0.01,9000000000000+674)</f>
        <v/>
      </c>
      <c r="S681" s="3">
        <f>IF(Q681=1,SUMPRODUCT(--($R$8:$R$1207&lt;R681))+1,"")</f>
        <v/>
      </c>
      <c r="T681" s="12">
        <f>IF(K681=1,'ORDENES'!$J677,"")</f>
        <v/>
      </c>
    </row>
    <row r="682">
      <c r="K682" s="3">
        <f>IF(AND(IF($B$3="(todos)",TRUE,'ORDENES'!$O678=$B$3),IF($D$3="(todos)",TRUE,'ORDENES'!$AF678=$D$3),IF($F$3="(todos)",TRUE,'ORDENES'!$X678=$F$3),IF($H$3="(todos)",TRUE,'ORDENES'!$W678=$H$3),'ORDENES'!$AD678=TRUE,'ORDENES'!$A678&lt;&gt;""),1,0)</f>
        <v/>
      </c>
      <c r="L682" s="3">
        <f>IF(K682=1,IFERROR(MATCH('ORDENES'!$R678,lista_dias,0),9)*1000000000+IFERROR(MATCH('ORDENES'!$AF678,lista_turnos,0),9)*10000000+IFERROR(MATCH('ORDENES'!$AE678,tblTecnicos[nombre],0),99)*100000+675,9000000000000+675)</f>
        <v/>
      </c>
      <c r="M682" s="3">
        <f>IF(K682=1,SUMPRODUCT(--($L$8:$L$1207&lt;L682))+1,"")</f>
        <v/>
      </c>
      <c r="N682" s="17">
        <f>IF(K682=1,N('ORDENES'!$M678),0)</f>
        <v/>
      </c>
      <c r="O682" s="17">
        <f>IF('ORDENES'!$T678="preventiva",N682,0)</f>
        <v/>
      </c>
      <c r="P682" s="17">
        <f>IF('ORDENES'!$T678="correctiva",N682,0)</f>
        <v/>
      </c>
      <c r="Q682" s="3">
        <f>IF(AND(K682=1,'ORDENES'!$N678="Pendiente"),1,0)</f>
        <v/>
      </c>
      <c r="R682" s="3">
        <f>IF(Q682=1,100000-N682*1000+675*0.01,9000000000000+675)</f>
        <v/>
      </c>
      <c r="S682" s="3">
        <f>IF(Q682=1,SUMPRODUCT(--($R$8:$R$1207&lt;R682))+1,"")</f>
        <v/>
      </c>
      <c r="T682" s="12">
        <f>IF(K682=1,'ORDENES'!$J678,"")</f>
        <v/>
      </c>
    </row>
    <row r="683">
      <c r="K683" s="3">
        <f>IF(AND(IF($B$3="(todos)",TRUE,'ORDENES'!$O679=$B$3),IF($D$3="(todos)",TRUE,'ORDENES'!$AF679=$D$3),IF($F$3="(todos)",TRUE,'ORDENES'!$X679=$F$3),IF($H$3="(todos)",TRUE,'ORDENES'!$W679=$H$3),'ORDENES'!$AD679=TRUE,'ORDENES'!$A679&lt;&gt;""),1,0)</f>
        <v/>
      </c>
      <c r="L683" s="3">
        <f>IF(K683=1,IFERROR(MATCH('ORDENES'!$R679,lista_dias,0),9)*1000000000+IFERROR(MATCH('ORDENES'!$AF679,lista_turnos,0),9)*10000000+IFERROR(MATCH('ORDENES'!$AE679,tblTecnicos[nombre],0),99)*100000+676,9000000000000+676)</f>
        <v/>
      </c>
      <c r="M683" s="3">
        <f>IF(K683=1,SUMPRODUCT(--($L$8:$L$1207&lt;L683))+1,"")</f>
        <v/>
      </c>
      <c r="N683" s="17">
        <f>IF(K683=1,N('ORDENES'!$M679),0)</f>
        <v/>
      </c>
      <c r="O683" s="17">
        <f>IF('ORDENES'!$T679="preventiva",N683,0)</f>
        <v/>
      </c>
      <c r="P683" s="17">
        <f>IF('ORDENES'!$T679="correctiva",N683,0)</f>
        <v/>
      </c>
      <c r="Q683" s="3">
        <f>IF(AND(K683=1,'ORDENES'!$N679="Pendiente"),1,0)</f>
        <v/>
      </c>
      <c r="R683" s="3">
        <f>IF(Q683=1,100000-N683*1000+676*0.01,9000000000000+676)</f>
        <v/>
      </c>
      <c r="S683" s="3">
        <f>IF(Q683=1,SUMPRODUCT(--($R$8:$R$1207&lt;R683))+1,"")</f>
        <v/>
      </c>
      <c r="T683" s="12">
        <f>IF(K683=1,'ORDENES'!$J679,"")</f>
        <v/>
      </c>
    </row>
    <row r="684">
      <c r="K684" s="3">
        <f>IF(AND(IF($B$3="(todos)",TRUE,'ORDENES'!$O680=$B$3),IF($D$3="(todos)",TRUE,'ORDENES'!$AF680=$D$3),IF($F$3="(todos)",TRUE,'ORDENES'!$X680=$F$3),IF($H$3="(todos)",TRUE,'ORDENES'!$W680=$H$3),'ORDENES'!$AD680=TRUE,'ORDENES'!$A680&lt;&gt;""),1,0)</f>
        <v/>
      </c>
      <c r="L684" s="3">
        <f>IF(K684=1,IFERROR(MATCH('ORDENES'!$R680,lista_dias,0),9)*1000000000+IFERROR(MATCH('ORDENES'!$AF680,lista_turnos,0),9)*10000000+IFERROR(MATCH('ORDENES'!$AE680,tblTecnicos[nombre],0),99)*100000+677,9000000000000+677)</f>
        <v/>
      </c>
      <c r="M684" s="3">
        <f>IF(K684=1,SUMPRODUCT(--($L$8:$L$1207&lt;L684))+1,"")</f>
        <v/>
      </c>
      <c r="N684" s="17">
        <f>IF(K684=1,N('ORDENES'!$M680),0)</f>
        <v/>
      </c>
      <c r="O684" s="17">
        <f>IF('ORDENES'!$T680="preventiva",N684,0)</f>
        <v/>
      </c>
      <c r="P684" s="17">
        <f>IF('ORDENES'!$T680="correctiva",N684,0)</f>
        <v/>
      </c>
      <c r="Q684" s="3">
        <f>IF(AND(K684=1,'ORDENES'!$N680="Pendiente"),1,0)</f>
        <v/>
      </c>
      <c r="R684" s="3">
        <f>IF(Q684=1,100000-N684*1000+677*0.01,9000000000000+677)</f>
        <v/>
      </c>
      <c r="S684" s="3">
        <f>IF(Q684=1,SUMPRODUCT(--($R$8:$R$1207&lt;R684))+1,"")</f>
        <v/>
      </c>
      <c r="T684" s="12">
        <f>IF(K684=1,'ORDENES'!$J680,"")</f>
        <v/>
      </c>
    </row>
    <row r="685">
      <c r="K685" s="3">
        <f>IF(AND(IF($B$3="(todos)",TRUE,'ORDENES'!$O681=$B$3),IF($D$3="(todos)",TRUE,'ORDENES'!$AF681=$D$3),IF($F$3="(todos)",TRUE,'ORDENES'!$X681=$F$3),IF($H$3="(todos)",TRUE,'ORDENES'!$W681=$H$3),'ORDENES'!$AD681=TRUE,'ORDENES'!$A681&lt;&gt;""),1,0)</f>
        <v/>
      </c>
      <c r="L685" s="3">
        <f>IF(K685=1,IFERROR(MATCH('ORDENES'!$R681,lista_dias,0),9)*1000000000+IFERROR(MATCH('ORDENES'!$AF681,lista_turnos,0),9)*10000000+IFERROR(MATCH('ORDENES'!$AE681,tblTecnicos[nombre],0),99)*100000+678,9000000000000+678)</f>
        <v/>
      </c>
      <c r="M685" s="3">
        <f>IF(K685=1,SUMPRODUCT(--($L$8:$L$1207&lt;L685))+1,"")</f>
        <v/>
      </c>
      <c r="N685" s="17">
        <f>IF(K685=1,N('ORDENES'!$M681),0)</f>
        <v/>
      </c>
      <c r="O685" s="17">
        <f>IF('ORDENES'!$T681="preventiva",N685,0)</f>
        <v/>
      </c>
      <c r="P685" s="17">
        <f>IF('ORDENES'!$T681="correctiva",N685,0)</f>
        <v/>
      </c>
      <c r="Q685" s="3">
        <f>IF(AND(K685=1,'ORDENES'!$N681="Pendiente"),1,0)</f>
        <v/>
      </c>
      <c r="R685" s="3">
        <f>IF(Q685=1,100000-N685*1000+678*0.01,9000000000000+678)</f>
        <v/>
      </c>
      <c r="S685" s="3">
        <f>IF(Q685=1,SUMPRODUCT(--($R$8:$R$1207&lt;R685))+1,"")</f>
        <v/>
      </c>
      <c r="T685" s="12">
        <f>IF(K685=1,'ORDENES'!$J681,"")</f>
        <v/>
      </c>
    </row>
    <row r="686">
      <c r="K686" s="3">
        <f>IF(AND(IF($B$3="(todos)",TRUE,'ORDENES'!$O682=$B$3),IF($D$3="(todos)",TRUE,'ORDENES'!$AF682=$D$3),IF($F$3="(todos)",TRUE,'ORDENES'!$X682=$F$3),IF($H$3="(todos)",TRUE,'ORDENES'!$W682=$H$3),'ORDENES'!$AD682=TRUE,'ORDENES'!$A682&lt;&gt;""),1,0)</f>
        <v/>
      </c>
      <c r="L686" s="3">
        <f>IF(K686=1,IFERROR(MATCH('ORDENES'!$R682,lista_dias,0),9)*1000000000+IFERROR(MATCH('ORDENES'!$AF682,lista_turnos,0),9)*10000000+IFERROR(MATCH('ORDENES'!$AE682,tblTecnicos[nombre],0),99)*100000+679,9000000000000+679)</f>
        <v/>
      </c>
      <c r="M686" s="3">
        <f>IF(K686=1,SUMPRODUCT(--($L$8:$L$1207&lt;L686))+1,"")</f>
        <v/>
      </c>
      <c r="N686" s="17">
        <f>IF(K686=1,N('ORDENES'!$M682),0)</f>
        <v/>
      </c>
      <c r="O686" s="17">
        <f>IF('ORDENES'!$T682="preventiva",N686,0)</f>
        <v/>
      </c>
      <c r="P686" s="17">
        <f>IF('ORDENES'!$T682="correctiva",N686,0)</f>
        <v/>
      </c>
      <c r="Q686" s="3">
        <f>IF(AND(K686=1,'ORDENES'!$N682="Pendiente"),1,0)</f>
        <v/>
      </c>
      <c r="R686" s="3">
        <f>IF(Q686=1,100000-N686*1000+679*0.01,9000000000000+679)</f>
        <v/>
      </c>
      <c r="S686" s="3">
        <f>IF(Q686=1,SUMPRODUCT(--($R$8:$R$1207&lt;R686))+1,"")</f>
        <v/>
      </c>
      <c r="T686" s="12">
        <f>IF(K686=1,'ORDENES'!$J682,"")</f>
        <v/>
      </c>
    </row>
    <row r="687">
      <c r="K687" s="3">
        <f>IF(AND(IF($B$3="(todos)",TRUE,'ORDENES'!$O683=$B$3),IF($D$3="(todos)",TRUE,'ORDENES'!$AF683=$D$3),IF($F$3="(todos)",TRUE,'ORDENES'!$X683=$F$3),IF($H$3="(todos)",TRUE,'ORDENES'!$W683=$H$3),'ORDENES'!$AD683=TRUE,'ORDENES'!$A683&lt;&gt;""),1,0)</f>
        <v/>
      </c>
      <c r="L687" s="3">
        <f>IF(K687=1,IFERROR(MATCH('ORDENES'!$R683,lista_dias,0),9)*1000000000+IFERROR(MATCH('ORDENES'!$AF683,lista_turnos,0),9)*10000000+IFERROR(MATCH('ORDENES'!$AE683,tblTecnicos[nombre],0),99)*100000+680,9000000000000+680)</f>
        <v/>
      </c>
      <c r="M687" s="3">
        <f>IF(K687=1,SUMPRODUCT(--($L$8:$L$1207&lt;L687))+1,"")</f>
        <v/>
      </c>
      <c r="N687" s="17">
        <f>IF(K687=1,N('ORDENES'!$M683),0)</f>
        <v/>
      </c>
      <c r="O687" s="17">
        <f>IF('ORDENES'!$T683="preventiva",N687,0)</f>
        <v/>
      </c>
      <c r="P687" s="17">
        <f>IF('ORDENES'!$T683="correctiva",N687,0)</f>
        <v/>
      </c>
      <c r="Q687" s="3">
        <f>IF(AND(K687=1,'ORDENES'!$N683="Pendiente"),1,0)</f>
        <v/>
      </c>
      <c r="R687" s="3">
        <f>IF(Q687=1,100000-N687*1000+680*0.01,9000000000000+680)</f>
        <v/>
      </c>
      <c r="S687" s="3">
        <f>IF(Q687=1,SUMPRODUCT(--($R$8:$R$1207&lt;R687))+1,"")</f>
        <v/>
      </c>
      <c r="T687" s="12">
        <f>IF(K687=1,'ORDENES'!$J683,"")</f>
        <v/>
      </c>
    </row>
    <row r="688">
      <c r="K688" s="3">
        <f>IF(AND(IF($B$3="(todos)",TRUE,'ORDENES'!$O684=$B$3),IF($D$3="(todos)",TRUE,'ORDENES'!$AF684=$D$3),IF($F$3="(todos)",TRUE,'ORDENES'!$X684=$F$3),IF($H$3="(todos)",TRUE,'ORDENES'!$W684=$H$3),'ORDENES'!$AD684=TRUE,'ORDENES'!$A684&lt;&gt;""),1,0)</f>
        <v/>
      </c>
      <c r="L688" s="3">
        <f>IF(K688=1,IFERROR(MATCH('ORDENES'!$R684,lista_dias,0),9)*1000000000+IFERROR(MATCH('ORDENES'!$AF684,lista_turnos,0),9)*10000000+IFERROR(MATCH('ORDENES'!$AE684,tblTecnicos[nombre],0),99)*100000+681,9000000000000+681)</f>
        <v/>
      </c>
      <c r="M688" s="3">
        <f>IF(K688=1,SUMPRODUCT(--($L$8:$L$1207&lt;L688))+1,"")</f>
        <v/>
      </c>
      <c r="N688" s="17">
        <f>IF(K688=1,N('ORDENES'!$M684),0)</f>
        <v/>
      </c>
      <c r="O688" s="17">
        <f>IF('ORDENES'!$T684="preventiva",N688,0)</f>
        <v/>
      </c>
      <c r="P688" s="17">
        <f>IF('ORDENES'!$T684="correctiva",N688,0)</f>
        <v/>
      </c>
      <c r="Q688" s="3">
        <f>IF(AND(K688=1,'ORDENES'!$N684="Pendiente"),1,0)</f>
        <v/>
      </c>
      <c r="R688" s="3">
        <f>IF(Q688=1,100000-N688*1000+681*0.01,9000000000000+681)</f>
        <v/>
      </c>
      <c r="S688" s="3">
        <f>IF(Q688=1,SUMPRODUCT(--($R$8:$R$1207&lt;R688))+1,"")</f>
        <v/>
      </c>
      <c r="T688" s="12">
        <f>IF(K688=1,'ORDENES'!$J684,"")</f>
        <v/>
      </c>
    </row>
    <row r="689">
      <c r="K689" s="3">
        <f>IF(AND(IF($B$3="(todos)",TRUE,'ORDENES'!$O685=$B$3),IF($D$3="(todos)",TRUE,'ORDENES'!$AF685=$D$3),IF($F$3="(todos)",TRUE,'ORDENES'!$X685=$F$3),IF($H$3="(todos)",TRUE,'ORDENES'!$W685=$H$3),'ORDENES'!$AD685=TRUE,'ORDENES'!$A685&lt;&gt;""),1,0)</f>
        <v/>
      </c>
      <c r="L689" s="3">
        <f>IF(K689=1,IFERROR(MATCH('ORDENES'!$R685,lista_dias,0),9)*1000000000+IFERROR(MATCH('ORDENES'!$AF685,lista_turnos,0),9)*10000000+IFERROR(MATCH('ORDENES'!$AE685,tblTecnicos[nombre],0),99)*100000+682,9000000000000+682)</f>
        <v/>
      </c>
      <c r="M689" s="3">
        <f>IF(K689=1,SUMPRODUCT(--($L$8:$L$1207&lt;L689))+1,"")</f>
        <v/>
      </c>
      <c r="N689" s="17">
        <f>IF(K689=1,N('ORDENES'!$M685),0)</f>
        <v/>
      </c>
      <c r="O689" s="17">
        <f>IF('ORDENES'!$T685="preventiva",N689,0)</f>
        <v/>
      </c>
      <c r="P689" s="17">
        <f>IF('ORDENES'!$T685="correctiva",N689,0)</f>
        <v/>
      </c>
      <c r="Q689" s="3">
        <f>IF(AND(K689=1,'ORDENES'!$N685="Pendiente"),1,0)</f>
        <v/>
      </c>
      <c r="R689" s="3">
        <f>IF(Q689=1,100000-N689*1000+682*0.01,9000000000000+682)</f>
        <v/>
      </c>
      <c r="S689" s="3">
        <f>IF(Q689=1,SUMPRODUCT(--($R$8:$R$1207&lt;R689))+1,"")</f>
        <v/>
      </c>
      <c r="T689" s="12">
        <f>IF(K689=1,'ORDENES'!$J685,"")</f>
        <v/>
      </c>
    </row>
    <row r="690">
      <c r="K690" s="3">
        <f>IF(AND(IF($B$3="(todos)",TRUE,'ORDENES'!$O686=$B$3),IF($D$3="(todos)",TRUE,'ORDENES'!$AF686=$D$3),IF($F$3="(todos)",TRUE,'ORDENES'!$X686=$F$3),IF($H$3="(todos)",TRUE,'ORDENES'!$W686=$H$3),'ORDENES'!$AD686=TRUE,'ORDENES'!$A686&lt;&gt;""),1,0)</f>
        <v/>
      </c>
      <c r="L690" s="3">
        <f>IF(K690=1,IFERROR(MATCH('ORDENES'!$R686,lista_dias,0),9)*1000000000+IFERROR(MATCH('ORDENES'!$AF686,lista_turnos,0),9)*10000000+IFERROR(MATCH('ORDENES'!$AE686,tblTecnicos[nombre],0),99)*100000+683,9000000000000+683)</f>
        <v/>
      </c>
      <c r="M690" s="3">
        <f>IF(K690=1,SUMPRODUCT(--($L$8:$L$1207&lt;L690))+1,"")</f>
        <v/>
      </c>
      <c r="N690" s="17">
        <f>IF(K690=1,N('ORDENES'!$M686),0)</f>
        <v/>
      </c>
      <c r="O690" s="17">
        <f>IF('ORDENES'!$T686="preventiva",N690,0)</f>
        <v/>
      </c>
      <c r="P690" s="17">
        <f>IF('ORDENES'!$T686="correctiva",N690,0)</f>
        <v/>
      </c>
      <c r="Q690" s="3">
        <f>IF(AND(K690=1,'ORDENES'!$N686="Pendiente"),1,0)</f>
        <v/>
      </c>
      <c r="R690" s="3">
        <f>IF(Q690=1,100000-N690*1000+683*0.01,9000000000000+683)</f>
        <v/>
      </c>
      <c r="S690" s="3">
        <f>IF(Q690=1,SUMPRODUCT(--($R$8:$R$1207&lt;R690))+1,"")</f>
        <v/>
      </c>
      <c r="T690" s="12">
        <f>IF(K690=1,'ORDENES'!$J686,"")</f>
        <v/>
      </c>
    </row>
    <row r="691">
      <c r="K691" s="3">
        <f>IF(AND(IF($B$3="(todos)",TRUE,'ORDENES'!$O687=$B$3),IF($D$3="(todos)",TRUE,'ORDENES'!$AF687=$D$3),IF($F$3="(todos)",TRUE,'ORDENES'!$X687=$F$3),IF($H$3="(todos)",TRUE,'ORDENES'!$W687=$H$3),'ORDENES'!$AD687=TRUE,'ORDENES'!$A687&lt;&gt;""),1,0)</f>
        <v/>
      </c>
      <c r="L691" s="3">
        <f>IF(K691=1,IFERROR(MATCH('ORDENES'!$R687,lista_dias,0),9)*1000000000+IFERROR(MATCH('ORDENES'!$AF687,lista_turnos,0),9)*10000000+IFERROR(MATCH('ORDENES'!$AE687,tblTecnicos[nombre],0),99)*100000+684,9000000000000+684)</f>
        <v/>
      </c>
      <c r="M691" s="3">
        <f>IF(K691=1,SUMPRODUCT(--($L$8:$L$1207&lt;L691))+1,"")</f>
        <v/>
      </c>
      <c r="N691" s="17">
        <f>IF(K691=1,N('ORDENES'!$M687),0)</f>
        <v/>
      </c>
      <c r="O691" s="17">
        <f>IF('ORDENES'!$T687="preventiva",N691,0)</f>
        <v/>
      </c>
      <c r="P691" s="17">
        <f>IF('ORDENES'!$T687="correctiva",N691,0)</f>
        <v/>
      </c>
      <c r="Q691" s="3">
        <f>IF(AND(K691=1,'ORDENES'!$N687="Pendiente"),1,0)</f>
        <v/>
      </c>
      <c r="R691" s="3">
        <f>IF(Q691=1,100000-N691*1000+684*0.01,9000000000000+684)</f>
        <v/>
      </c>
      <c r="S691" s="3">
        <f>IF(Q691=1,SUMPRODUCT(--($R$8:$R$1207&lt;R691))+1,"")</f>
        <v/>
      </c>
      <c r="T691" s="12">
        <f>IF(K691=1,'ORDENES'!$J687,"")</f>
        <v/>
      </c>
    </row>
    <row r="692">
      <c r="K692" s="3">
        <f>IF(AND(IF($B$3="(todos)",TRUE,'ORDENES'!$O688=$B$3),IF($D$3="(todos)",TRUE,'ORDENES'!$AF688=$D$3),IF($F$3="(todos)",TRUE,'ORDENES'!$X688=$F$3),IF($H$3="(todos)",TRUE,'ORDENES'!$W688=$H$3),'ORDENES'!$AD688=TRUE,'ORDENES'!$A688&lt;&gt;""),1,0)</f>
        <v/>
      </c>
      <c r="L692" s="3">
        <f>IF(K692=1,IFERROR(MATCH('ORDENES'!$R688,lista_dias,0),9)*1000000000+IFERROR(MATCH('ORDENES'!$AF688,lista_turnos,0),9)*10000000+IFERROR(MATCH('ORDENES'!$AE688,tblTecnicos[nombre],0),99)*100000+685,9000000000000+685)</f>
        <v/>
      </c>
      <c r="M692" s="3">
        <f>IF(K692=1,SUMPRODUCT(--($L$8:$L$1207&lt;L692))+1,"")</f>
        <v/>
      </c>
      <c r="N692" s="17">
        <f>IF(K692=1,N('ORDENES'!$M688),0)</f>
        <v/>
      </c>
      <c r="O692" s="17">
        <f>IF('ORDENES'!$T688="preventiva",N692,0)</f>
        <v/>
      </c>
      <c r="P692" s="17">
        <f>IF('ORDENES'!$T688="correctiva",N692,0)</f>
        <v/>
      </c>
      <c r="Q692" s="3">
        <f>IF(AND(K692=1,'ORDENES'!$N688="Pendiente"),1,0)</f>
        <v/>
      </c>
      <c r="R692" s="3">
        <f>IF(Q692=1,100000-N692*1000+685*0.01,9000000000000+685)</f>
        <v/>
      </c>
      <c r="S692" s="3">
        <f>IF(Q692=1,SUMPRODUCT(--($R$8:$R$1207&lt;R692))+1,"")</f>
        <v/>
      </c>
      <c r="T692" s="12">
        <f>IF(K692=1,'ORDENES'!$J688,"")</f>
        <v/>
      </c>
    </row>
    <row r="693">
      <c r="K693" s="3">
        <f>IF(AND(IF($B$3="(todos)",TRUE,'ORDENES'!$O689=$B$3),IF($D$3="(todos)",TRUE,'ORDENES'!$AF689=$D$3),IF($F$3="(todos)",TRUE,'ORDENES'!$X689=$F$3),IF($H$3="(todos)",TRUE,'ORDENES'!$W689=$H$3),'ORDENES'!$AD689=TRUE,'ORDENES'!$A689&lt;&gt;""),1,0)</f>
        <v/>
      </c>
      <c r="L693" s="3">
        <f>IF(K693=1,IFERROR(MATCH('ORDENES'!$R689,lista_dias,0),9)*1000000000+IFERROR(MATCH('ORDENES'!$AF689,lista_turnos,0),9)*10000000+IFERROR(MATCH('ORDENES'!$AE689,tblTecnicos[nombre],0),99)*100000+686,9000000000000+686)</f>
        <v/>
      </c>
      <c r="M693" s="3">
        <f>IF(K693=1,SUMPRODUCT(--($L$8:$L$1207&lt;L693))+1,"")</f>
        <v/>
      </c>
      <c r="N693" s="17">
        <f>IF(K693=1,N('ORDENES'!$M689),0)</f>
        <v/>
      </c>
      <c r="O693" s="17">
        <f>IF('ORDENES'!$T689="preventiva",N693,0)</f>
        <v/>
      </c>
      <c r="P693" s="17">
        <f>IF('ORDENES'!$T689="correctiva",N693,0)</f>
        <v/>
      </c>
      <c r="Q693" s="3">
        <f>IF(AND(K693=1,'ORDENES'!$N689="Pendiente"),1,0)</f>
        <v/>
      </c>
      <c r="R693" s="3">
        <f>IF(Q693=1,100000-N693*1000+686*0.01,9000000000000+686)</f>
        <v/>
      </c>
      <c r="S693" s="3">
        <f>IF(Q693=1,SUMPRODUCT(--($R$8:$R$1207&lt;R693))+1,"")</f>
        <v/>
      </c>
      <c r="T693" s="12">
        <f>IF(K693=1,'ORDENES'!$J689,"")</f>
        <v/>
      </c>
    </row>
    <row r="694">
      <c r="K694" s="3">
        <f>IF(AND(IF($B$3="(todos)",TRUE,'ORDENES'!$O690=$B$3),IF($D$3="(todos)",TRUE,'ORDENES'!$AF690=$D$3),IF($F$3="(todos)",TRUE,'ORDENES'!$X690=$F$3),IF($H$3="(todos)",TRUE,'ORDENES'!$W690=$H$3),'ORDENES'!$AD690=TRUE,'ORDENES'!$A690&lt;&gt;""),1,0)</f>
        <v/>
      </c>
      <c r="L694" s="3">
        <f>IF(K694=1,IFERROR(MATCH('ORDENES'!$R690,lista_dias,0),9)*1000000000+IFERROR(MATCH('ORDENES'!$AF690,lista_turnos,0),9)*10000000+IFERROR(MATCH('ORDENES'!$AE690,tblTecnicos[nombre],0),99)*100000+687,9000000000000+687)</f>
        <v/>
      </c>
      <c r="M694" s="3">
        <f>IF(K694=1,SUMPRODUCT(--($L$8:$L$1207&lt;L694))+1,"")</f>
        <v/>
      </c>
      <c r="N694" s="17">
        <f>IF(K694=1,N('ORDENES'!$M690),0)</f>
        <v/>
      </c>
      <c r="O694" s="17">
        <f>IF('ORDENES'!$T690="preventiva",N694,0)</f>
        <v/>
      </c>
      <c r="P694" s="17">
        <f>IF('ORDENES'!$T690="correctiva",N694,0)</f>
        <v/>
      </c>
      <c r="Q694" s="3">
        <f>IF(AND(K694=1,'ORDENES'!$N690="Pendiente"),1,0)</f>
        <v/>
      </c>
      <c r="R694" s="3">
        <f>IF(Q694=1,100000-N694*1000+687*0.01,9000000000000+687)</f>
        <v/>
      </c>
      <c r="S694" s="3">
        <f>IF(Q694=1,SUMPRODUCT(--($R$8:$R$1207&lt;R694))+1,"")</f>
        <v/>
      </c>
      <c r="T694" s="12">
        <f>IF(K694=1,'ORDENES'!$J690,"")</f>
        <v/>
      </c>
    </row>
    <row r="695">
      <c r="K695" s="3">
        <f>IF(AND(IF($B$3="(todos)",TRUE,'ORDENES'!$O691=$B$3),IF($D$3="(todos)",TRUE,'ORDENES'!$AF691=$D$3),IF($F$3="(todos)",TRUE,'ORDENES'!$X691=$F$3),IF($H$3="(todos)",TRUE,'ORDENES'!$W691=$H$3),'ORDENES'!$AD691=TRUE,'ORDENES'!$A691&lt;&gt;""),1,0)</f>
        <v/>
      </c>
      <c r="L695" s="3">
        <f>IF(K695=1,IFERROR(MATCH('ORDENES'!$R691,lista_dias,0),9)*1000000000+IFERROR(MATCH('ORDENES'!$AF691,lista_turnos,0),9)*10000000+IFERROR(MATCH('ORDENES'!$AE691,tblTecnicos[nombre],0),99)*100000+688,9000000000000+688)</f>
        <v/>
      </c>
      <c r="M695" s="3">
        <f>IF(K695=1,SUMPRODUCT(--($L$8:$L$1207&lt;L695))+1,"")</f>
        <v/>
      </c>
      <c r="N695" s="17">
        <f>IF(K695=1,N('ORDENES'!$M691),0)</f>
        <v/>
      </c>
      <c r="O695" s="17">
        <f>IF('ORDENES'!$T691="preventiva",N695,0)</f>
        <v/>
      </c>
      <c r="P695" s="17">
        <f>IF('ORDENES'!$T691="correctiva",N695,0)</f>
        <v/>
      </c>
      <c r="Q695" s="3">
        <f>IF(AND(K695=1,'ORDENES'!$N691="Pendiente"),1,0)</f>
        <v/>
      </c>
      <c r="R695" s="3">
        <f>IF(Q695=1,100000-N695*1000+688*0.01,9000000000000+688)</f>
        <v/>
      </c>
      <c r="S695" s="3">
        <f>IF(Q695=1,SUMPRODUCT(--($R$8:$R$1207&lt;R695))+1,"")</f>
        <v/>
      </c>
      <c r="T695" s="12">
        <f>IF(K695=1,'ORDENES'!$J691,"")</f>
        <v/>
      </c>
    </row>
    <row r="696">
      <c r="K696" s="3">
        <f>IF(AND(IF($B$3="(todos)",TRUE,'ORDENES'!$O692=$B$3),IF($D$3="(todos)",TRUE,'ORDENES'!$AF692=$D$3),IF($F$3="(todos)",TRUE,'ORDENES'!$X692=$F$3),IF($H$3="(todos)",TRUE,'ORDENES'!$W692=$H$3),'ORDENES'!$AD692=TRUE,'ORDENES'!$A692&lt;&gt;""),1,0)</f>
        <v/>
      </c>
      <c r="L696" s="3">
        <f>IF(K696=1,IFERROR(MATCH('ORDENES'!$R692,lista_dias,0),9)*1000000000+IFERROR(MATCH('ORDENES'!$AF692,lista_turnos,0),9)*10000000+IFERROR(MATCH('ORDENES'!$AE692,tblTecnicos[nombre],0),99)*100000+689,9000000000000+689)</f>
        <v/>
      </c>
      <c r="M696" s="3">
        <f>IF(K696=1,SUMPRODUCT(--($L$8:$L$1207&lt;L696))+1,"")</f>
        <v/>
      </c>
      <c r="N696" s="17">
        <f>IF(K696=1,N('ORDENES'!$M692),0)</f>
        <v/>
      </c>
      <c r="O696" s="17">
        <f>IF('ORDENES'!$T692="preventiva",N696,0)</f>
        <v/>
      </c>
      <c r="P696" s="17">
        <f>IF('ORDENES'!$T692="correctiva",N696,0)</f>
        <v/>
      </c>
      <c r="Q696" s="3">
        <f>IF(AND(K696=1,'ORDENES'!$N692="Pendiente"),1,0)</f>
        <v/>
      </c>
      <c r="R696" s="3">
        <f>IF(Q696=1,100000-N696*1000+689*0.01,9000000000000+689)</f>
        <v/>
      </c>
      <c r="S696" s="3">
        <f>IF(Q696=1,SUMPRODUCT(--($R$8:$R$1207&lt;R696))+1,"")</f>
        <v/>
      </c>
      <c r="T696" s="12">
        <f>IF(K696=1,'ORDENES'!$J692,"")</f>
        <v/>
      </c>
    </row>
    <row r="697">
      <c r="K697" s="3">
        <f>IF(AND(IF($B$3="(todos)",TRUE,'ORDENES'!$O693=$B$3),IF($D$3="(todos)",TRUE,'ORDENES'!$AF693=$D$3),IF($F$3="(todos)",TRUE,'ORDENES'!$X693=$F$3),IF($H$3="(todos)",TRUE,'ORDENES'!$W693=$H$3),'ORDENES'!$AD693=TRUE,'ORDENES'!$A693&lt;&gt;""),1,0)</f>
        <v/>
      </c>
      <c r="L697" s="3">
        <f>IF(K697=1,IFERROR(MATCH('ORDENES'!$R693,lista_dias,0),9)*1000000000+IFERROR(MATCH('ORDENES'!$AF693,lista_turnos,0),9)*10000000+IFERROR(MATCH('ORDENES'!$AE693,tblTecnicos[nombre],0),99)*100000+690,9000000000000+690)</f>
        <v/>
      </c>
      <c r="M697" s="3">
        <f>IF(K697=1,SUMPRODUCT(--($L$8:$L$1207&lt;L697))+1,"")</f>
        <v/>
      </c>
      <c r="N697" s="17">
        <f>IF(K697=1,N('ORDENES'!$M693),0)</f>
        <v/>
      </c>
      <c r="O697" s="17">
        <f>IF('ORDENES'!$T693="preventiva",N697,0)</f>
        <v/>
      </c>
      <c r="P697" s="17">
        <f>IF('ORDENES'!$T693="correctiva",N697,0)</f>
        <v/>
      </c>
      <c r="Q697" s="3">
        <f>IF(AND(K697=1,'ORDENES'!$N693="Pendiente"),1,0)</f>
        <v/>
      </c>
      <c r="R697" s="3">
        <f>IF(Q697=1,100000-N697*1000+690*0.01,9000000000000+690)</f>
        <v/>
      </c>
      <c r="S697" s="3">
        <f>IF(Q697=1,SUMPRODUCT(--($R$8:$R$1207&lt;R697))+1,"")</f>
        <v/>
      </c>
      <c r="T697" s="12">
        <f>IF(K697=1,'ORDENES'!$J693,"")</f>
        <v/>
      </c>
    </row>
    <row r="698">
      <c r="K698" s="3">
        <f>IF(AND(IF($B$3="(todos)",TRUE,'ORDENES'!$O694=$B$3),IF($D$3="(todos)",TRUE,'ORDENES'!$AF694=$D$3),IF($F$3="(todos)",TRUE,'ORDENES'!$X694=$F$3),IF($H$3="(todos)",TRUE,'ORDENES'!$W694=$H$3),'ORDENES'!$AD694=TRUE,'ORDENES'!$A694&lt;&gt;""),1,0)</f>
        <v/>
      </c>
      <c r="L698" s="3">
        <f>IF(K698=1,IFERROR(MATCH('ORDENES'!$R694,lista_dias,0),9)*1000000000+IFERROR(MATCH('ORDENES'!$AF694,lista_turnos,0),9)*10000000+IFERROR(MATCH('ORDENES'!$AE694,tblTecnicos[nombre],0),99)*100000+691,9000000000000+691)</f>
        <v/>
      </c>
      <c r="M698" s="3">
        <f>IF(K698=1,SUMPRODUCT(--($L$8:$L$1207&lt;L698))+1,"")</f>
        <v/>
      </c>
      <c r="N698" s="17">
        <f>IF(K698=1,N('ORDENES'!$M694),0)</f>
        <v/>
      </c>
      <c r="O698" s="17">
        <f>IF('ORDENES'!$T694="preventiva",N698,0)</f>
        <v/>
      </c>
      <c r="P698" s="17">
        <f>IF('ORDENES'!$T694="correctiva",N698,0)</f>
        <v/>
      </c>
      <c r="Q698" s="3">
        <f>IF(AND(K698=1,'ORDENES'!$N694="Pendiente"),1,0)</f>
        <v/>
      </c>
      <c r="R698" s="3">
        <f>IF(Q698=1,100000-N698*1000+691*0.01,9000000000000+691)</f>
        <v/>
      </c>
      <c r="S698" s="3">
        <f>IF(Q698=1,SUMPRODUCT(--($R$8:$R$1207&lt;R698))+1,"")</f>
        <v/>
      </c>
      <c r="T698" s="12">
        <f>IF(K698=1,'ORDENES'!$J694,"")</f>
        <v/>
      </c>
    </row>
    <row r="699">
      <c r="K699" s="3">
        <f>IF(AND(IF($B$3="(todos)",TRUE,'ORDENES'!$O695=$B$3),IF($D$3="(todos)",TRUE,'ORDENES'!$AF695=$D$3),IF($F$3="(todos)",TRUE,'ORDENES'!$X695=$F$3),IF($H$3="(todos)",TRUE,'ORDENES'!$W695=$H$3),'ORDENES'!$AD695=TRUE,'ORDENES'!$A695&lt;&gt;""),1,0)</f>
        <v/>
      </c>
      <c r="L699" s="3">
        <f>IF(K699=1,IFERROR(MATCH('ORDENES'!$R695,lista_dias,0),9)*1000000000+IFERROR(MATCH('ORDENES'!$AF695,lista_turnos,0),9)*10000000+IFERROR(MATCH('ORDENES'!$AE695,tblTecnicos[nombre],0),99)*100000+692,9000000000000+692)</f>
        <v/>
      </c>
      <c r="M699" s="3">
        <f>IF(K699=1,SUMPRODUCT(--($L$8:$L$1207&lt;L699))+1,"")</f>
        <v/>
      </c>
      <c r="N699" s="17">
        <f>IF(K699=1,N('ORDENES'!$M695),0)</f>
        <v/>
      </c>
      <c r="O699" s="17">
        <f>IF('ORDENES'!$T695="preventiva",N699,0)</f>
        <v/>
      </c>
      <c r="P699" s="17">
        <f>IF('ORDENES'!$T695="correctiva",N699,0)</f>
        <v/>
      </c>
      <c r="Q699" s="3">
        <f>IF(AND(K699=1,'ORDENES'!$N695="Pendiente"),1,0)</f>
        <v/>
      </c>
      <c r="R699" s="3">
        <f>IF(Q699=1,100000-N699*1000+692*0.01,9000000000000+692)</f>
        <v/>
      </c>
      <c r="S699" s="3">
        <f>IF(Q699=1,SUMPRODUCT(--($R$8:$R$1207&lt;R699))+1,"")</f>
        <v/>
      </c>
      <c r="T699" s="12">
        <f>IF(K699=1,'ORDENES'!$J695,"")</f>
        <v/>
      </c>
    </row>
    <row r="700">
      <c r="K700" s="3">
        <f>IF(AND(IF($B$3="(todos)",TRUE,'ORDENES'!$O696=$B$3),IF($D$3="(todos)",TRUE,'ORDENES'!$AF696=$D$3),IF($F$3="(todos)",TRUE,'ORDENES'!$X696=$F$3),IF($H$3="(todos)",TRUE,'ORDENES'!$W696=$H$3),'ORDENES'!$AD696=TRUE,'ORDENES'!$A696&lt;&gt;""),1,0)</f>
        <v/>
      </c>
      <c r="L700" s="3">
        <f>IF(K700=1,IFERROR(MATCH('ORDENES'!$R696,lista_dias,0),9)*1000000000+IFERROR(MATCH('ORDENES'!$AF696,lista_turnos,0),9)*10000000+IFERROR(MATCH('ORDENES'!$AE696,tblTecnicos[nombre],0),99)*100000+693,9000000000000+693)</f>
        <v/>
      </c>
      <c r="M700" s="3">
        <f>IF(K700=1,SUMPRODUCT(--($L$8:$L$1207&lt;L700))+1,"")</f>
        <v/>
      </c>
      <c r="N700" s="17">
        <f>IF(K700=1,N('ORDENES'!$M696),0)</f>
        <v/>
      </c>
      <c r="O700" s="17">
        <f>IF('ORDENES'!$T696="preventiva",N700,0)</f>
        <v/>
      </c>
      <c r="P700" s="17">
        <f>IF('ORDENES'!$T696="correctiva",N700,0)</f>
        <v/>
      </c>
      <c r="Q700" s="3">
        <f>IF(AND(K700=1,'ORDENES'!$N696="Pendiente"),1,0)</f>
        <v/>
      </c>
      <c r="R700" s="3">
        <f>IF(Q700=1,100000-N700*1000+693*0.01,9000000000000+693)</f>
        <v/>
      </c>
      <c r="S700" s="3">
        <f>IF(Q700=1,SUMPRODUCT(--($R$8:$R$1207&lt;R700))+1,"")</f>
        <v/>
      </c>
      <c r="T700" s="12">
        <f>IF(K700=1,'ORDENES'!$J696,"")</f>
        <v/>
      </c>
    </row>
    <row r="701">
      <c r="K701" s="3">
        <f>IF(AND(IF($B$3="(todos)",TRUE,'ORDENES'!$O697=$B$3),IF($D$3="(todos)",TRUE,'ORDENES'!$AF697=$D$3),IF($F$3="(todos)",TRUE,'ORDENES'!$X697=$F$3),IF($H$3="(todos)",TRUE,'ORDENES'!$W697=$H$3),'ORDENES'!$AD697=TRUE,'ORDENES'!$A697&lt;&gt;""),1,0)</f>
        <v/>
      </c>
      <c r="L701" s="3">
        <f>IF(K701=1,IFERROR(MATCH('ORDENES'!$R697,lista_dias,0),9)*1000000000+IFERROR(MATCH('ORDENES'!$AF697,lista_turnos,0),9)*10000000+IFERROR(MATCH('ORDENES'!$AE697,tblTecnicos[nombre],0),99)*100000+694,9000000000000+694)</f>
        <v/>
      </c>
      <c r="M701" s="3">
        <f>IF(K701=1,SUMPRODUCT(--($L$8:$L$1207&lt;L701))+1,"")</f>
        <v/>
      </c>
      <c r="N701" s="17">
        <f>IF(K701=1,N('ORDENES'!$M697),0)</f>
        <v/>
      </c>
      <c r="O701" s="17">
        <f>IF('ORDENES'!$T697="preventiva",N701,0)</f>
        <v/>
      </c>
      <c r="P701" s="17">
        <f>IF('ORDENES'!$T697="correctiva",N701,0)</f>
        <v/>
      </c>
      <c r="Q701" s="3">
        <f>IF(AND(K701=1,'ORDENES'!$N697="Pendiente"),1,0)</f>
        <v/>
      </c>
      <c r="R701" s="3">
        <f>IF(Q701=1,100000-N701*1000+694*0.01,9000000000000+694)</f>
        <v/>
      </c>
      <c r="S701" s="3">
        <f>IF(Q701=1,SUMPRODUCT(--($R$8:$R$1207&lt;R701))+1,"")</f>
        <v/>
      </c>
      <c r="T701" s="12">
        <f>IF(K701=1,'ORDENES'!$J697,"")</f>
        <v/>
      </c>
    </row>
    <row r="702">
      <c r="K702" s="3">
        <f>IF(AND(IF($B$3="(todos)",TRUE,'ORDENES'!$O698=$B$3),IF($D$3="(todos)",TRUE,'ORDENES'!$AF698=$D$3),IF($F$3="(todos)",TRUE,'ORDENES'!$X698=$F$3),IF($H$3="(todos)",TRUE,'ORDENES'!$W698=$H$3),'ORDENES'!$AD698=TRUE,'ORDENES'!$A698&lt;&gt;""),1,0)</f>
        <v/>
      </c>
      <c r="L702" s="3">
        <f>IF(K702=1,IFERROR(MATCH('ORDENES'!$R698,lista_dias,0),9)*1000000000+IFERROR(MATCH('ORDENES'!$AF698,lista_turnos,0),9)*10000000+IFERROR(MATCH('ORDENES'!$AE698,tblTecnicos[nombre],0),99)*100000+695,9000000000000+695)</f>
        <v/>
      </c>
      <c r="M702" s="3">
        <f>IF(K702=1,SUMPRODUCT(--($L$8:$L$1207&lt;L702))+1,"")</f>
        <v/>
      </c>
      <c r="N702" s="17">
        <f>IF(K702=1,N('ORDENES'!$M698),0)</f>
        <v/>
      </c>
      <c r="O702" s="17">
        <f>IF('ORDENES'!$T698="preventiva",N702,0)</f>
        <v/>
      </c>
      <c r="P702" s="17">
        <f>IF('ORDENES'!$T698="correctiva",N702,0)</f>
        <v/>
      </c>
      <c r="Q702" s="3">
        <f>IF(AND(K702=1,'ORDENES'!$N698="Pendiente"),1,0)</f>
        <v/>
      </c>
      <c r="R702" s="3">
        <f>IF(Q702=1,100000-N702*1000+695*0.01,9000000000000+695)</f>
        <v/>
      </c>
      <c r="S702" s="3">
        <f>IF(Q702=1,SUMPRODUCT(--($R$8:$R$1207&lt;R702))+1,"")</f>
        <v/>
      </c>
      <c r="T702" s="12">
        <f>IF(K702=1,'ORDENES'!$J698,"")</f>
        <v/>
      </c>
    </row>
    <row r="703">
      <c r="K703" s="3">
        <f>IF(AND(IF($B$3="(todos)",TRUE,'ORDENES'!$O699=$B$3),IF($D$3="(todos)",TRUE,'ORDENES'!$AF699=$D$3),IF($F$3="(todos)",TRUE,'ORDENES'!$X699=$F$3),IF($H$3="(todos)",TRUE,'ORDENES'!$W699=$H$3),'ORDENES'!$AD699=TRUE,'ORDENES'!$A699&lt;&gt;""),1,0)</f>
        <v/>
      </c>
      <c r="L703" s="3">
        <f>IF(K703=1,IFERROR(MATCH('ORDENES'!$R699,lista_dias,0),9)*1000000000+IFERROR(MATCH('ORDENES'!$AF699,lista_turnos,0),9)*10000000+IFERROR(MATCH('ORDENES'!$AE699,tblTecnicos[nombre],0),99)*100000+696,9000000000000+696)</f>
        <v/>
      </c>
      <c r="M703" s="3">
        <f>IF(K703=1,SUMPRODUCT(--($L$8:$L$1207&lt;L703))+1,"")</f>
        <v/>
      </c>
      <c r="N703" s="17">
        <f>IF(K703=1,N('ORDENES'!$M699),0)</f>
        <v/>
      </c>
      <c r="O703" s="17">
        <f>IF('ORDENES'!$T699="preventiva",N703,0)</f>
        <v/>
      </c>
      <c r="P703" s="17">
        <f>IF('ORDENES'!$T699="correctiva",N703,0)</f>
        <v/>
      </c>
      <c r="Q703" s="3">
        <f>IF(AND(K703=1,'ORDENES'!$N699="Pendiente"),1,0)</f>
        <v/>
      </c>
      <c r="R703" s="3">
        <f>IF(Q703=1,100000-N703*1000+696*0.01,9000000000000+696)</f>
        <v/>
      </c>
      <c r="S703" s="3">
        <f>IF(Q703=1,SUMPRODUCT(--($R$8:$R$1207&lt;R703))+1,"")</f>
        <v/>
      </c>
      <c r="T703" s="12">
        <f>IF(K703=1,'ORDENES'!$J699,"")</f>
        <v/>
      </c>
    </row>
    <row r="704">
      <c r="K704" s="3">
        <f>IF(AND(IF($B$3="(todos)",TRUE,'ORDENES'!$O700=$B$3),IF($D$3="(todos)",TRUE,'ORDENES'!$AF700=$D$3),IF($F$3="(todos)",TRUE,'ORDENES'!$X700=$F$3),IF($H$3="(todos)",TRUE,'ORDENES'!$W700=$H$3),'ORDENES'!$AD700=TRUE,'ORDENES'!$A700&lt;&gt;""),1,0)</f>
        <v/>
      </c>
      <c r="L704" s="3">
        <f>IF(K704=1,IFERROR(MATCH('ORDENES'!$R700,lista_dias,0),9)*1000000000+IFERROR(MATCH('ORDENES'!$AF700,lista_turnos,0),9)*10000000+IFERROR(MATCH('ORDENES'!$AE700,tblTecnicos[nombre],0),99)*100000+697,9000000000000+697)</f>
        <v/>
      </c>
      <c r="M704" s="3">
        <f>IF(K704=1,SUMPRODUCT(--($L$8:$L$1207&lt;L704))+1,"")</f>
        <v/>
      </c>
      <c r="N704" s="17">
        <f>IF(K704=1,N('ORDENES'!$M700),0)</f>
        <v/>
      </c>
      <c r="O704" s="17">
        <f>IF('ORDENES'!$T700="preventiva",N704,0)</f>
        <v/>
      </c>
      <c r="P704" s="17">
        <f>IF('ORDENES'!$T700="correctiva",N704,0)</f>
        <v/>
      </c>
      <c r="Q704" s="3">
        <f>IF(AND(K704=1,'ORDENES'!$N700="Pendiente"),1,0)</f>
        <v/>
      </c>
      <c r="R704" s="3">
        <f>IF(Q704=1,100000-N704*1000+697*0.01,9000000000000+697)</f>
        <v/>
      </c>
      <c r="S704" s="3">
        <f>IF(Q704=1,SUMPRODUCT(--($R$8:$R$1207&lt;R704))+1,"")</f>
        <v/>
      </c>
      <c r="T704" s="12">
        <f>IF(K704=1,'ORDENES'!$J700,"")</f>
        <v/>
      </c>
    </row>
    <row r="705">
      <c r="K705" s="3">
        <f>IF(AND(IF($B$3="(todos)",TRUE,'ORDENES'!$O701=$B$3),IF($D$3="(todos)",TRUE,'ORDENES'!$AF701=$D$3),IF($F$3="(todos)",TRUE,'ORDENES'!$X701=$F$3),IF($H$3="(todos)",TRUE,'ORDENES'!$W701=$H$3),'ORDENES'!$AD701=TRUE,'ORDENES'!$A701&lt;&gt;""),1,0)</f>
        <v/>
      </c>
      <c r="L705" s="3">
        <f>IF(K705=1,IFERROR(MATCH('ORDENES'!$R701,lista_dias,0),9)*1000000000+IFERROR(MATCH('ORDENES'!$AF701,lista_turnos,0),9)*10000000+IFERROR(MATCH('ORDENES'!$AE701,tblTecnicos[nombre],0),99)*100000+698,9000000000000+698)</f>
        <v/>
      </c>
      <c r="M705" s="3">
        <f>IF(K705=1,SUMPRODUCT(--($L$8:$L$1207&lt;L705))+1,"")</f>
        <v/>
      </c>
      <c r="N705" s="17">
        <f>IF(K705=1,N('ORDENES'!$M701),0)</f>
        <v/>
      </c>
      <c r="O705" s="17">
        <f>IF('ORDENES'!$T701="preventiva",N705,0)</f>
        <v/>
      </c>
      <c r="P705" s="17">
        <f>IF('ORDENES'!$T701="correctiva",N705,0)</f>
        <v/>
      </c>
      <c r="Q705" s="3">
        <f>IF(AND(K705=1,'ORDENES'!$N701="Pendiente"),1,0)</f>
        <v/>
      </c>
      <c r="R705" s="3">
        <f>IF(Q705=1,100000-N705*1000+698*0.01,9000000000000+698)</f>
        <v/>
      </c>
      <c r="S705" s="3">
        <f>IF(Q705=1,SUMPRODUCT(--($R$8:$R$1207&lt;R705))+1,"")</f>
        <v/>
      </c>
      <c r="T705" s="12">
        <f>IF(K705=1,'ORDENES'!$J701,"")</f>
        <v/>
      </c>
    </row>
    <row r="706">
      <c r="K706" s="3">
        <f>IF(AND(IF($B$3="(todos)",TRUE,'ORDENES'!$O702=$B$3),IF($D$3="(todos)",TRUE,'ORDENES'!$AF702=$D$3),IF($F$3="(todos)",TRUE,'ORDENES'!$X702=$F$3),IF($H$3="(todos)",TRUE,'ORDENES'!$W702=$H$3),'ORDENES'!$AD702=TRUE,'ORDENES'!$A702&lt;&gt;""),1,0)</f>
        <v/>
      </c>
      <c r="L706" s="3">
        <f>IF(K706=1,IFERROR(MATCH('ORDENES'!$R702,lista_dias,0),9)*1000000000+IFERROR(MATCH('ORDENES'!$AF702,lista_turnos,0),9)*10000000+IFERROR(MATCH('ORDENES'!$AE702,tblTecnicos[nombre],0),99)*100000+699,9000000000000+699)</f>
        <v/>
      </c>
      <c r="M706" s="3">
        <f>IF(K706=1,SUMPRODUCT(--($L$8:$L$1207&lt;L706))+1,"")</f>
        <v/>
      </c>
      <c r="N706" s="17">
        <f>IF(K706=1,N('ORDENES'!$M702),0)</f>
        <v/>
      </c>
      <c r="O706" s="17">
        <f>IF('ORDENES'!$T702="preventiva",N706,0)</f>
        <v/>
      </c>
      <c r="P706" s="17">
        <f>IF('ORDENES'!$T702="correctiva",N706,0)</f>
        <v/>
      </c>
      <c r="Q706" s="3">
        <f>IF(AND(K706=1,'ORDENES'!$N702="Pendiente"),1,0)</f>
        <v/>
      </c>
      <c r="R706" s="3">
        <f>IF(Q706=1,100000-N706*1000+699*0.01,9000000000000+699)</f>
        <v/>
      </c>
      <c r="S706" s="3">
        <f>IF(Q706=1,SUMPRODUCT(--($R$8:$R$1207&lt;R706))+1,"")</f>
        <v/>
      </c>
      <c r="T706" s="12">
        <f>IF(K706=1,'ORDENES'!$J702,"")</f>
        <v/>
      </c>
    </row>
    <row r="707">
      <c r="K707" s="3">
        <f>IF(AND(IF($B$3="(todos)",TRUE,'ORDENES'!$O703=$B$3),IF($D$3="(todos)",TRUE,'ORDENES'!$AF703=$D$3),IF($F$3="(todos)",TRUE,'ORDENES'!$X703=$F$3),IF($H$3="(todos)",TRUE,'ORDENES'!$W703=$H$3),'ORDENES'!$AD703=TRUE,'ORDENES'!$A703&lt;&gt;""),1,0)</f>
        <v/>
      </c>
      <c r="L707" s="3">
        <f>IF(K707=1,IFERROR(MATCH('ORDENES'!$R703,lista_dias,0),9)*1000000000+IFERROR(MATCH('ORDENES'!$AF703,lista_turnos,0),9)*10000000+IFERROR(MATCH('ORDENES'!$AE703,tblTecnicos[nombre],0),99)*100000+700,9000000000000+700)</f>
        <v/>
      </c>
      <c r="M707" s="3">
        <f>IF(K707=1,SUMPRODUCT(--($L$8:$L$1207&lt;L707))+1,"")</f>
        <v/>
      </c>
      <c r="N707" s="17">
        <f>IF(K707=1,N('ORDENES'!$M703),0)</f>
        <v/>
      </c>
      <c r="O707" s="17">
        <f>IF('ORDENES'!$T703="preventiva",N707,0)</f>
        <v/>
      </c>
      <c r="P707" s="17">
        <f>IF('ORDENES'!$T703="correctiva",N707,0)</f>
        <v/>
      </c>
      <c r="Q707" s="3">
        <f>IF(AND(K707=1,'ORDENES'!$N703="Pendiente"),1,0)</f>
        <v/>
      </c>
      <c r="R707" s="3">
        <f>IF(Q707=1,100000-N707*1000+700*0.01,9000000000000+700)</f>
        <v/>
      </c>
      <c r="S707" s="3">
        <f>IF(Q707=1,SUMPRODUCT(--($R$8:$R$1207&lt;R707))+1,"")</f>
        <v/>
      </c>
      <c r="T707" s="12">
        <f>IF(K707=1,'ORDENES'!$J703,"")</f>
        <v/>
      </c>
    </row>
    <row r="708">
      <c r="K708" s="3">
        <f>IF(AND(IF($B$3="(todos)",TRUE,'ORDENES'!$O704=$B$3),IF($D$3="(todos)",TRUE,'ORDENES'!$AF704=$D$3),IF($F$3="(todos)",TRUE,'ORDENES'!$X704=$F$3),IF($H$3="(todos)",TRUE,'ORDENES'!$W704=$H$3),'ORDENES'!$AD704=TRUE,'ORDENES'!$A704&lt;&gt;""),1,0)</f>
        <v/>
      </c>
      <c r="L708" s="3">
        <f>IF(K708=1,IFERROR(MATCH('ORDENES'!$R704,lista_dias,0),9)*1000000000+IFERROR(MATCH('ORDENES'!$AF704,lista_turnos,0),9)*10000000+IFERROR(MATCH('ORDENES'!$AE704,tblTecnicos[nombre],0),99)*100000+701,9000000000000+701)</f>
        <v/>
      </c>
      <c r="M708" s="3">
        <f>IF(K708=1,SUMPRODUCT(--($L$8:$L$1207&lt;L708))+1,"")</f>
        <v/>
      </c>
      <c r="N708" s="17">
        <f>IF(K708=1,N('ORDENES'!$M704),0)</f>
        <v/>
      </c>
      <c r="O708" s="17">
        <f>IF('ORDENES'!$T704="preventiva",N708,0)</f>
        <v/>
      </c>
      <c r="P708" s="17">
        <f>IF('ORDENES'!$T704="correctiva",N708,0)</f>
        <v/>
      </c>
      <c r="Q708" s="3">
        <f>IF(AND(K708=1,'ORDENES'!$N704="Pendiente"),1,0)</f>
        <v/>
      </c>
      <c r="R708" s="3">
        <f>IF(Q708=1,100000-N708*1000+701*0.01,9000000000000+701)</f>
        <v/>
      </c>
      <c r="S708" s="3">
        <f>IF(Q708=1,SUMPRODUCT(--($R$8:$R$1207&lt;R708))+1,"")</f>
        <v/>
      </c>
      <c r="T708" s="12">
        <f>IF(K708=1,'ORDENES'!$J704,"")</f>
        <v/>
      </c>
    </row>
    <row r="709">
      <c r="K709" s="3">
        <f>IF(AND(IF($B$3="(todos)",TRUE,'ORDENES'!$O705=$B$3),IF($D$3="(todos)",TRUE,'ORDENES'!$AF705=$D$3),IF($F$3="(todos)",TRUE,'ORDENES'!$X705=$F$3),IF($H$3="(todos)",TRUE,'ORDENES'!$W705=$H$3),'ORDENES'!$AD705=TRUE,'ORDENES'!$A705&lt;&gt;""),1,0)</f>
        <v/>
      </c>
      <c r="L709" s="3">
        <f>IF(K709=1,IFERROR(MATCH('ORDENES'!$R705,lista_dias,0),9)*1000000000+IFERROR(MATCH('ORDENES'!$AF705,lista_turnos,0),9)*10000000+IFERROR(MATCH('ORDENES'!$AE705,tblTecnicos[nombre],0),99)*100000+702,9000000000000+702)</f>
        <v/>
      </c>
      <c r="M709" s="3">
        <f>IF(K709=1,SUMPRODUCT(--($L$8:$L$1207&lt;L709))+1,"")</f>
        <v/>
      </c>
      <c r="N709" s="17">
        <f>IF(K709=1,N('ORDENES'!$M705),0)</f>
        <v/>
      </c>
      <c r="O709" s="17">
        <f>IF('ORDENES'!$T705="preventiva",N709,0)</f>
        <v/>
      </c>
      <c r="P709" s="17">
        <f>IF('ORDENES'!$T705="correctiva",N709,0)</f>
        <v/>
      </c>
      <c r="Q709" s="3">
        <f>IF(AND(K709=1,'ORDENES'!$N705="Pendiente"),1,0)</f>
        <v/>
      </c>
      <c r="R709" s="3">
        <f>IF(Q709=1,100000-N709*1000+702*0.01,9000000000000+702)</f>
        <v/>
      </c>
      <c r="S709" s="3">
        <f>IF(Q709=1,SUMPRODUCT(--($R$8:$R$1207&lt;R709))+1,"")</f>
        <v/>
      </c>
      <c r="T709" s="12">
        <f>IF(K709=1,'ORDENES'!$J705,"")</f>
        <v/>
      </c>
    </row>
    <row r="710">
      <c r="K710" s="3">
        <f>IF(AND(IF($B$3="(todos)",TRUE,'ORDENES'!$O706=$B$3),IF($D$3="(todos)",TRUE,'ORDENES'!$AF706=$D$3),IF($F$3="(todos)",TRUE,'ORDENES'!$X706=$F$3),IF($H$3="(todos)",TRUE,'ORDENES'!$W706=$H$3),'ORDENES'!$AD706=TRUE,'ORDENES'!$A706&lt;&gt;""),1,0)</f>
        <v/>
      </c>
      <c r="L710" s="3">
        <f>IF(K710=1,IFERROR(MATCH('ORDENES'!$R706,lista_dias,0),9)*1000000000+IFERROR(MATCH('ORDENES'!$AF706,lista_turnos,0),9)*10000000+IFERROR(MATCH('ORDENES'!$AE706,tblTecnicos[nombre],0),99)*100000+703,9000000000000+703)</f>
        <v/>
      </c>
      <c r="M710" s="3">
        <f>IF(K710=1,SUMPRODUCT(--($L$8:$L$1207&lt;L710))+1,"")</f>
        <v/>
      </c>
      <c r="N710" s="17">
        <f>IF(K710=1,N('ORDENES'!$M706),0)</f>
        <v/>
      </c>
      <c r="O710" s="17">
        <f>IF('ORDENES'!$T706="preventiva",N710,0)</f>
        <v/>
      </c>
      <c r="P710" s="17">
        <f>IF('ORDENES'!$T706="correctiva",N710,0)</f>
        <v/>
      </c>
      <c r="Q710" s="3">
        <f>IF(AND(K710=1,'ORDENES'!$N706="Pendiente"),1,0)</f>
        <v/>
      </c>
      <c r="R710" s="3">
        <f>IF(Q710=1,100000-N710*1000+703*0.01,9000000000000+703)</f>
        <v/>
      </c>
      <c r="S710" s="3">
        <f>IF(Q710=1,SUMPRODUCT(--($R$8:$R$1207&lt;R710))+1,"")</f>
        <v/>
      </c>
      <c r="T710" s="12">
        <f>IF(K710=1,'ORDENES'!$J706,"")</f>
        <v/>
      </c>
    </row>
    <row r="711">
      <c r="K711" s="3">
        <f>IF(AND(IF($B$3="(todos)",TRUE,'ORDENES'!$O707=$B$3),IF($D$3="(todos)",TRUE,'ORDENES'!$AF707=$D$3),IF($F$3="(todos)",TRUE,'ORDENES'!$X707=$F$3),IF($H$3="(todos)",TRUE,'ORDENES'!$W707=$H$3),'ORDENES'!$AD707=TRUE,'ORDENES'!$A707&lt;&gt;""),1,0)</f>
        <v/>
      </c>
      <c r="L711" s="3">
        <f>IF(K711=1,IFERROR(MATCH('ORDENES'!$R707,lista_dias,0),9)*1000000000+IFERROR(MATCH('ORDENES'!$AF707,lista_turnos,0),9)*10000000+IFERROR(MATCH('ORDENES'!$AE707,tblTecnicos[nombre],0),99)*100000+704,9000000000000+704)</f>
        <v/>
      </c>
      <c r="M711" s="3">
        <f>IF(K711=1,SUMPRODUCT(--($L$8:$L$1207&lt;L711))+1,"")</f>
        <v/>
      </c>
      <c r="N711" s="17">
        <f>IF(K711=1,N('ORDENES'!$M707),0)</f>
        <v/>
      </c>
      <c r="O711" s="17">
        <f>IF('ORDENES'!$T707="preventiva",N711,0)</f>
        <v/>
      </c>
      <c r="P711" s="17">
        <f>IF('ORDENES'!$T707="correctiva",N711,0)</f>
        <v/>
      </c>
      <c r="Q711" s="3">
        <f>IF(AND(K711=1,'ORDENES'!$N707="Pendiente"),1,0)</f>
        <v/>
      </c>
      <c r="R711" s="3">
        <f>IF(Q711=1,100000-N711*1000+704*0.01,9000000000000+704)</f>
        <v/>
      </c>
      <c r="S711" s="3">
        <f>IF(Q711=1,SUMPRODUCT(--($R$8:$R$1207&lt;R711))+1,"")</f>
        <v/>
      </c>
      <c r="T711" s="12">
        <f>IF(K711=1,'ORDENES'!$J707,"")</f>
        <v/>
      </c>
    </row>
    <row r="712">
      <c r="K712" s="3">
        <f>IF(AND(IF($B$3="(todos)",TRUE,'ORDENES'!$O708=$B$3),IF($D$3="(todos)",TRUE,'ORDENES'!$AF708=$D$3),IF($F$3="(todos)",TRUE,'ORDENES'!$X708=$F$3),IF($H$3="(todos)",TRUE,'ORDENES'!$W708=$H$3),'ORDENES'!$AD708=TRUE,'ORDENES'!$A708&lt;&gt;""),1,0)</f>
        <v/>
      </c>
      <c r="L712" s="3">
        <f>IF(K712=1,IFERROR(MATCH('ORDENES'!$R708,lista_dias,0),9)*1000000000+IFERROR(MATCH('ORDENES'!$AF708,lista_turnos,0),9)*10000000+IFERROR(MATCH('ORDENES'!$AE708,tblTecnicos[nombre],0),99)*100000+705,9000000000000+705)</f>
        <v/>
      </c>
      <c r="M712" s="3">
        <f>IF(K712=1,SUMPRODUCT(--($L$8:$L$1207&lt;L712))+1,"")</f>
        <v/>
      </c>
      <c r="N712" s="17">
        <f>IF(K712=1,N('ORDENES'!$M708),0)</f>
        <v/>
      </c>
      <c r="O712" s="17">
        <f>IF('ORDENES'!$T708="preventiva",N712,0)</f>
        <v/>
      </c>
      <c r="P712" s="17">
        <f>IF('ORDENES'!$T708="correctiva",N712,0)</f>
        <v/>
      </c>
      <c r="Q712" s="3">
        <f>IF(AND(K712=1,'ORDENES'!$N708="Pendiente"),1,0)</f>
        <v/>
      </c>
      <c r="R712" s="3">
        <f>IF(Q712=1,100000-N712*1000+705*0.01,9000000000000+705)</f>
        <v/>
      </c>
      <c r="S712" s="3">
        <f>IF(Q712=1,SUMPRODUCT(--($R$8:$R$1207&lt;R712))+1,"")</f>
        <v/>
      </c>
      <c r="T712" s="12">
        <f>IF(K712=1,'ORDENES'!$J708,"")</f>
        <v/>
      </c>
    </row>
    <row r="713">
      <c r="K713" s="3">
        <f>IF(AND(IF($B$3="(todos)",TRUE,'ORDENES'!$O709=$B$3),IF($D$3="(todos)",TRUE,'ORDENES'!$AF709=$D$3),IF($F$3="(todos)",TRUE,'ORDENES'!$X709=$F$3),IF($H$3="(todos)",TRUE,'ORDENES'!$W709=$H$3),'ORDENES'!$AD709=TRUE,'ORDENES'!$A709&lt;&gt;""),1,0)</f>
        <v/>
      </c>
      <c r="L713" s="3">
        <f>IF(K713=1,IFERROR(MATCH('ORDENES'!$R709,lista_dias,0),9)*1000000000+IFERROR(MATCH('ORDENES'!$AF709,lista_turnos,0),9)*10000000+IFERROR(MATCH('ORDENES'!$AE709,tblTecnicos[nombre],0),99)*100000+706,9000000000000+706)</f>
        <v/>
      </c>
      <c r="M713" s="3">
        <f>IF(K713=1,SUMPRODUCT(--($L$8:$L$1207&lt;L713))+1,"")</f>
        <v/>
      </c>
      <c r="N713" s="17">
        <f>IF(K713=1,N('ORDENES'!$M709),0)</f>
        <v/>
      </c>
      <c r="O713" s="17">
        <f>IF('ORDENES'!$T709="preventiva",N713,0)</f>
        <v/>
      </c>
      <c r="P713" s="17">
        <f>IF('ORDENES'!$T709="correctiva",N713,0)</f>
        <v/>
      </c>
      <c r="Q713" s="3">
        <f>IF(AND(K713=1,'ORDENES'!$N709="Pendiente"),1,0)</f>
        <v/>
      </c>
      <c r="R713" s="3">
        <f>IF(Q713=1,100000-N713*1000+706*0.01,9000000000000+706)</f>
        <v/>
      </c>
      <c r="S713" s="3">
        <f>IF(Q713=1,SUMPRODUCT(--($R$8:$R$1207&lt;R713))+1,"")</f>
        <v/>
      </c>
      <c r="T713" s="12">
        <f>IF(K713=1,'ORDENES'!$J709,"")</f>
        <v/>
      </c>
    </row>
    <row r="714">
      <c r="K714" s="3">
        <f>IF(AND(IF($B$3="(todos)",TRUE,'ORDENES'!$O710=$B$3),IF($D$3="(todos)",TRUE,'ORDENES'!$AF710=$D$3),IF($F$3="(todos)",TRUE,'ORDENES'!$X710=$F$3),IF($H$3="(todos)",TRUE,'ORDENES'!$W710=$H$3),'ORDENES'!$AD710=TRUE,'ORDENES'!$A710&lt;&gt;""),1,0)</f>
        <v/>
      </c>
      <c r="L714" s="3">
        <f>IF(K714=1,IFERROR(MATCH('ORDENES'!$R710,lista_dias,0),9)*1000000000+IFERROR(MATCH('ORDENES'!$AF710,lista_turnos,0),9)*10000000+IFERROR(MATCH('ORDENES'!$AE710,tblTecnicos[nombre],0),99)*100000+707,9000000000000+707)</f>
        <v/>
      </c>
      <c r="M714" s="3">
        <f>IF(K714=1,SUMPRODUCT(--($L$8:$L$1207&lt;L714))+1,"")</f>
        <v/>
      </c>
      <c r="N714" s="17">
        <f>IF(K714=1,N('ORDENES'!$M710),0)</f>
        <v/>
      </c>
      <c r="O714" s="17">
        <f>IF('ORDENES'!$T710="preventiva",N714,0)</f>
        <v/>
      </c>
      <c r="P714" s="17">
        <f>IF('ORDENES'!$T710="correctiva",N714,0)</f>
        <v/>
      </c>
      <c r="Q714" s="3">
        <f>IF(AND(K714=1,'ORDENES'!$N710="Pendiente"),1,0)</f>
        <v/>
      </c>
      <c r="R714" s="3">
        <f>IF(Q714=1,100000-N714*1000+707*0.01,9000000000000+707)</f>
        <v/>
      </c>
      <c r="S714" s="3">
        <f>IF(Q714=1,SUMPRODUCT(--($R$8:$R$1207&lt;R714))+1,"")</f>
        <v/>
      </c>
      <c r="T714" s="12">
        <f>IF(K714=1,'ORDENES'!$J710,"")</f>
        <v/>
      </c>
    </row>
    <row r="715">
      <c r="K715" s="3">
        <f>IF(AND(IF($B$3="(todos)",TRUE,'ORDENES'!$O711=$B$3),IF($D$3="(todos)",TRUE,'ORDENES'!$AF711=$D$3),IF($F$3="(todos)",TRUE,'ORDENES'!$X711=$F$3),IF($H$3="(todos)",TRUE,'ORDENES'!$W711=$H$3),'ORDENES'!$AD711=TRUE,'ORDENES'!$A711&lt;&gt;""),1,0)</f>
        <v/>
      </c>
      <c r="L715" s="3">
        <f>IF(K715=1,IFERROR(MATCH('ORDENES'!$R711,lista_dias,0),9)*1000000000+IFERROR(MATCH('ORDENES'!$AF711,lista_turnos,0),9)*10000000+IFERROR(MATCH('ORDENES'!$AE711,tblTecnicos[nombre],0),99)*100000+708,9000000000000+708)</f>
        <v/>
      </c>
      <c r="M715" s="3">
        <f>IF(K715=1,SUMPRODUCT(--($L$8:$L$1207&lt;L715))+1,"")</f>
        <v/>
      </c>
      <c r="N715" s="17">
        <f>IF(K715=1,N('ORDENES'!$M711),0)</f>
        <v/>
      </c>
      <c r="O715" s="17">
        <f>IF('ORDENES'!$T711="preventiva",N715,0)</f>
        <v/>
      </c>
      <c r="P715" s="17">
        <f>IF('ORDENES'!$T711="correctiva",N715,0)</f>
        <v/>
      </c>
      <c r="Q715" s="3">
        <f>IF(AND(K715=1,'ORDENES'!$N711="Pendiente"),1,0)</f>
        <v/>
      </c>
      <c r="R715" s="3">
        <f>IF(Q715=1,100000-N715*1000+708*0.01,9000000000000+708)</f>
        <v/>
      </c>
      <c r="S715" s="3">
        <f>IF(Q715=1,SUMPRODUCT(--($R$8:$R$1207&lt;R715))+1,"")</f>
        <v/>
      </c>
      <c r="T715" s="12">
        <f>IF(K715=1,'ORDENES'!$J711,"")</f>
        <v/>
      </c>
    </row>
    <row r="716">
      <c r="K716" s="3">
        <f>IF(AND(IF($B$3="(todos)",TRUE,'ORDENES'!$O712=$B$3),IF($D$3="(todos)",TRUE,'ORDENES'!$AF712=$D$3),IF($F$3="(todos)",TRUE,'ORDENES'!$X712=$F$3),IF($H$3="(todos)",TRUE,'ORDENES'!$W712=$H$3),'ORDENES'!$AD712=TRUE,'ORDENES'!$A712&lt;&gt;""),1,0)</f>
        <v/>
      </c>
      <c r="L716" s="3">
        <f>IF(K716=1,IFERROR(MATCH('ORDENES'!$R712,lista_dias,0),9)*1000000000+IFERROR(MATCH('ORDENES'!$AF712,lista_turnos,0),9)*10000000+IFERROR(MATCH('ORDENES'!$AE712,tblTecnicos[nombre],0),99)*100000+709,9000000000000+709)</f>
        <v/>
      </c>
      <c r="M716" s="3">
        <f>IF(K716=1,SUMPRODUCT(--($L$8:$L$1207&lt;L716))+1,"")</f>
        <v/>
      </c>
      <c r="N716" s="17">
        <f>IF(K716=1,N('ORDENES'!$M712),0)</f>
        <v/>
      </c>
      <c r="O716" s="17">
        <f>IF('ORDENES'!$T712="preventiva",N716,0)</f>
        <v/>
      </c>
      <c r="P716" s="17">
        <f>IF('ORDENES'!$T712="correctiva",N716,0)</f>
        <v/>
      </c>
      <c r="Q716" s="3">
        <f>IF(AND(K716=1,'ORDENES'!$N712="Pendiente"),1,0)</f>
        <v/>
      </c>
      <c r="R716" s="3">
        <f>IF(Q716=1,100000-N716*1000+709*0.01,9000000000000+709)</f>
        <v/>
      </c>
      <c r="S716" s="3">
        <f>IF(Q716=1,SUMPRODUCT(--($R$8:$R$1207&lt;R716))+1,"")</f>
        <v/>
      </c>
      <c r="T716" s="12">
        <f>IF(K716=1,'ORDENES'!$J712,"")</f>
        <v/>
      </c>
    </row>
    <row r="717">
      <c r="K717" s="3">
        <f>IF(AND(IF($B$3="(todos)",TRUE,'ORDENES'!$O713=$B$3),IF($D$3="(todos)",TRUE,'ORDENES'!$AF713=$D$3),IF($F$3="(todos)",TRUE,'ORDENES'!$X713=$F$3),IF($H$3="(todos)",TRUE,'ORDENES'!$W713=$H$3),'ORDENES'!$AD713=TRUE,'ORDENES'!$A713&lt;&gt;""),1,0)</f>
        <v/>
      </c>
      <c r="L717" s="3">
        <f>IF(K717=1,IFERROR(MATCH('ORDENES'!$R713,lista_dias,0),9)*1000000000+IFERROR(MATCH('ORDENES'!$AF713,lista_turnos,0),9)*10000000+IFERROR(MATCH('ORDENES'!$AE713,tblTecnicos[nombre],0),99)*100000+710,9000000000000+710)</f>
        <v/>
      </c>
      <c r="M717" s="3">
        <f>IF(K717=1,SUMPRODUCT(--($L$8:$L$1207&lt;L717))+1,"")</f>
        <v/>
      </c>
      <c r="N717" s="17">
        <f>IF(K717=1,N('ORDENES'!$M713),0)</f>
        <v/>
      </c>
      <c r="O717" s="17">
        <f>IF('ORDENES'!$T713="preventiva",N717,0)</f>
        <v/>
      </c>
      <c r="P717" s="17">
        <f>IF('ORDENES'!$T713="correctiva",N717,0)</f>
        <v/>
      </c>
      <c r="Q717" s="3">
        <f>IF(AND(K717=1,'ORDENES'!$N713="Pendiente"),1,0)</f>
        <v/>
      </c>
      <c r="R717" s="3">
        <f>IF(Q717=1,100000-N717*1000+710*0.01,9000000000000+710)</f>
        <v/>
      </c>
      <c r="S717" s="3">
        <f>IF(Q717=1,SUMPRODUCT(--($R$8:$R$1207&lt;R717))+1,"")</f>
        <v/>
      </c>
      <c r="T717" s="12">
        <f>IF(K717=1,'ORDENES'!$J713,"")</f>
        <v/>
      </c>
    </row>
    <row r="718">
      <c r="K718" s="3">
        <f>IF(AND(IF($B$3="(todos)",TRUE,'ORDENES'!$O714=$B$3),IF($D$3="(todos)",TRUE,'ORDENES'!$AF714=$D$3),IF($F$3="(todos)",TRUE,'ORDENES'!$X714=$F$3),IF($H$3="(todos)",TRUE,'ORDENES'!$W714=$H$3),'ORDENES'!$AD714=TRUE,'ORDENES'!$A714&lt;&gt;""),1,0)</f>
        <v/>
      </c>
      <c r="L718" s="3">
        <f>IF(K718=1,IFERROR(MATCH('ORDENES'!$R714,lista_dias,0),9)*1000000000+IFERROR(MATCH('ORDENES'!$AF714,lista_turnos,0),9)*10000000+IFERROR(MATCH('ORDENES'!$AE714,tblTecnicos[nombre],0),99)*100000+711,9000000000000+711)</f>
        <v/>
      </c>
      <c r="M718" s="3">
        <f>IF(K718=1,SUMPRODUCT(--($L$8:$L$1207&lt;L718))+1,"")</f>
        <v/>
      </c>
      <c r="N718" s="17">
        <f>IF(K718=1,N('ORDENES'!$M714),0)</f>
        <v/>
      </c>
      <c r="O718" s="17">
        <f>IF('ORDENES'!$T714="preventiva",N718,0)</f>
        <v/>
      </c>
      <c r="P718" s="17">
        <f>IF('ORDENES'!$T714="correctiva",N718,0)</f>
        <v/>
      </c>
      <c r="Q718" s="3">
        <f>IF(AND(K718=1,'ORDENES'!$N714="Pendiente"),1,0)</f>
        <v/>
      </c>
      <c r="R718" s="3">
        <f>IF(Q718=1,100000-N718*1000+711*0.01,9000000000000+711)</f>
        <v/>
      </c>
      <c r="S718" s="3">
        <f>IF(Q718=1,SUMPRODUCT(--($R$8:$R$1207&lt;R718))+1,"")</f>
        <v/>
      </c>
      <c r="T718" s="12">
        <f>IF(K718=1,'ORDENES'!$J714,"")</f>
        <v/>
      </c>
    </row>
    <row r="719">
      <c r="K719" s="3">
        <f>IF(AND(IF($B$3="(todos)",TRUE,'ORDENES'!$O715=$B$3),IF($D$3="(todos)",TRUE,'ORDENES'!$AF715=$D$3),IF($F$3="(todos)",TRUE,'ORDENES'!$X715=$F$3),IF($H$3="(todos)",TRUE,'ORDENES'!$W715=$H$3),'ORDENES'!$AD715=TRUE,'ORDENES'!$A715&lt;&gt;""),1,0)</f>
        <v/>
      </c>
      <c r="L719" s="3">
        <f>IF(K719=1,IFERROR(MATCH('ORDENES'!$R715,lista_dias,0),9)*1000000000+IFERROR(MATCH('ORDENES'!$AF715,lista_turnos,0),9)*10000000+IFERROR(MATCH('ORDENES'!$AE715,tblTecnicos[nombre],0),99)*100000+712,9000000000000+712)</f>
        <v/>
      </c>
      <c r="M719" s="3">
        <f>IF(K719=1,SUMPRODUCT(--($L$8:$L$1207&lt;L719))+1,"")</f>
        <v/>
      </c>
      <c r="N719" s="17">
        <f>IF(K719=1,N('ORDENES'!$M715),0)</f>
        <v/>
      </c>
      <c r="O719" s="17">
        <f>IF('ORDENES'!$T715="preventiva",N719,0)</f>
        <v/>
      </c>
      <c r="P719" s="17">
        <f>IF('ORDENES'!$T715="correctiva",N719,0)</f>
        <v/>
      </c>
      <c r="Q719" s="3">
        <f>IF(AND(K719=1,'ORDENES'!$N715="Pendiente"),1,0)</f>
        <v/>
      </c>
      <c r="R719" s="3">
        <f>IF(Q719=1,100000-N719*1000+712*0.01,9000000000000+712)</f>
        <v/>
      </c>
      <c r="S719" s="3">
        <f>IF(Q719=1,SUMPRODUCT(--($R$8:$R$1207&lt;R719))+1,"")</f>
        <v/>
      </c>
      <c r="T719" s="12">
        <f>IF(K719=1,'ORDENES'!$J715,"")</f>
        <v/>
      </c>
    </row>
    <row r="720">
      <c r="K720" s="3">
        <f>IF(AND(IF($B$3="(todos)",TRUE,'ORDENES'!$O716=$B$3),IF($D$3="(todos)",TRUE,'ORDENES'!$AF716=$D$3),IF($F$3="(todos)",TRUE,'ORDENES'!$X716=$F$3),IF($H$3="(todos)",TRUE,'ORDENES'!$W716=$H$3),'ORDENES'!$AD716=TRUE,'ORDENES'!$A716&lt;&gt;""),1,0)</f>
        <v/>
      </c>
      <c r="L720" s="3">
        <f>IF(K720=1,IFERROR(MATCH('ORDENES'!$R716,lista_dias,0),9)*1000000000+IFERROR(MATCH('ORDENES'!$AF716,lista_turnos,0),9)*10000000+IFERROR(MATCH('ORDENES'!$AE716,tblTecnicos[nombre],0),99)*100000+713,9000000000000+713)</f>
        <v/>
      </c>
      <c r="M720" s="3">
        <f>IF(K720=1,SUMPRODUCT(--($L$8:$L$1207&lt;L720))+1,"")</f>
        <v/>
      </c>
      <c r="N720" s="17">
        <f>IF(K720=1,N('ORDENES'!$M716),0)</f>
        <v/>
      </c>
      <c r="O720" s="17">
        <f>IF('ORDENES'!$T716="preventiva",N720,0)</f>
        <v/>
      </c>
      <c r="P720" s="17">
        <f>IF('ORDENES'!$T716="correctiva",N720,0)</f>
        <v/>
      </c>
      <c r="Q720" s="3">
        <f>IF(AND(K720=1,'ORDENES'!$N716="Pendiente"),1,0)</f>
        <v/>
      </c>
      <c r="R720" s="3">
        <f>IF(Q720=1,100000-N720*1000+713*0.01,9000000000000+713)</f>
        <v/>
      </c>
      <c r="S720" s="3">
        <f>IF(Q720=1,SUMPRODUCT(--($R$8:$R$1207&lt;R720))+1,"")</f>
        <v/>
      </c>
      <c r="T720" s="12">
        <f>IF(K720=1,'ORDENES'!$J716,"")</f>
        <v/>
      </c>
    </row>
    <row r="721">
      <c r="K721" s="3">
        <f>IF(AND(IF($B$3="(todos)",TRUE,'ORDENES'!$O717=$B$3),IF($D$3="(todos)",TRUE,'ORDENES'!$AF717=$D$3),IF($F$3="(todos)",TRUE,'ORDENES'!$X717=$F$3),IF($H$3="(todos)",TRUE,'ORDENES'!$W717=$H$3),'ORDENES'!$AD717=TRUE,'ORDENES'!$A717&lt;&gt;""),1,0)</f>
        <v/>
      </c>
      <c r="L721" s="3">
        <f>IF(K721=1,IFERROR(MATCH('ORDENES'!$R717,lista_dias,0),9)*1000000000+IFERROR(MATCH('ORDENES'!$AF717,lista_turnos,0),9)*10000000+IFERROR(MATCH('ORDENES'!$AE717,tblTecnicos[nombre],0),99)*100000+714,9000000000000+714)</f>
        <v/>
      </c>
      <c r="M721" s="3">
        <f>IF(K721=1,SUMPRODUCT(--($L$8:$L$1207&lt;L721))+1,"")</f>
        <v/>
      </c>
      <c r="N721" s="17">
        <f>IF(K721=1,N('ORDENES'!$M717),0)</f>
        <v/>
      </c>
      <c r="O721" s="17">
        <f>IF('ORDENES'!$T717="preventiva",N721,0)</f>
        <v/>
      </c>
      <c r="P721" s="17">
        <f>IF('ORDENES'!$T717="correctiva",N721,0)</f>
        <v/>
      </c>
      <c r="Q721" s="3">
        <f>IF(AND(K721=1,'ORDENES'!$N717="Pendiente"),1,0)</f>
        <v/>
      </c>
      <c r="R721" s="3">
        <f>IF(Q721=1,100000-N721*1000+714*0.01,9000000000000+714)</f>
        <v/>
      </c>
      <c r="S721" s="3">
        <f>IF(Q721=1,SUMPRODUCT(--($R$8:$R$1207&lt;R721))+1,"")</f>
        <v/>
      </c>
      <c r="T721" s="12">
        <f>IF(K721=1,'ORDENES'!$J717,"")</f>
        <v/>
      </c>
    </row>
    <row r="722">
      <c r="K722" s="3">
        <f>IF(AND(IF($B$3="(todos)",TRUE,'ORDENES'!$O718=$B$3),IF($D$3="(todos)",TRUE,'ORDENES'!$AF718=$D$3),IF($F$3="(todos)",TRUE,'ORDENES'!$X718=$F$3),IF($H$3="(todos)",TRUE,'ORDENES'!$W718=$H$3),'ORDENES'!$AD718=TRUE,'ORDENES'!$A718&lt;&gt;""),1,0)</f>
        <v/>
      </c>
      <c r="L722" s="3">
        <f>IF(K722=1,IFERROR(MATCH('ORDENES'!$R718,lista_dias,0),9)*1000000000+IFERROR(MATCH('ORDENES'!$AF718,lista_turnos,0),9)*10000000+IFERROR(MATCH('ORDENES'!$AE718,tblTecnicos[nombre],0),99)*100000+715,9000000000000+715)</f>
        <v/>
      </c>
      <c r="M722" s="3">
        <f>IF(K722=1,SUMPRODUCT(--($L$8:$L$1207&lt;L722))+1,"")</f>
        <v/>
      </c>
      <c r="N722" s="17">
        <f>IF(K722=1,N('ORDENES'!$M718),0)</f>
        <v/>
      </c>
      <c r="O722" s="17">
        <f>IF('ORDENES'!$T718="preventiva",N722,0)</f>
        <v/>
      </c>
      <c r="P722" s="17">
        <f>IF('ORDENES'!$T718="correctiva",N722,0)</f>
        <v/>
      </c>
      <c r="Q722" s="3">
        <f>IF(AND(K722=1,'ORDENES'!$N718="Pendiente"),1,0)</f>
        <v/>
      </c>
      <c r="R722" s="3">
        <f>IF(Q722=1,100000-N722*1000+715*0.01,9000000000000+715)</f>
        <v/>
      </c>
      <c r="S722" s="3">
        <f>IF(Q722=1,SUMPRODUCT(--($R$8:$R$1207&lt;R722))+1,"")</f>
        <v/>
      </c>
      <c r="T722" s="12">
        <f>IF(K722=1,'ORDENES'!$J718,"")</f>
        <v/>
      </c>
    </row>
    <row r="723">
      <c r="K723" s="3">
        <f>IF(AND(IF($B$3="(todos)",TRUE,'ORDENES'!$O719=$B$3),IF($D$3="(todos)",TRUE,'ORDENES'!$AF719=$D$3),IF($F$3="(todos)",TRUE,'ORDENES'!$X719=$F$3),IF($H$3="(todos)",TRUE,'ORDENES'!$W719=$H$3),'ORDENES'!$AD719=TRUE,'ORDENES'!$A719&lt;&gt;""),1,0)</f>
        <v/>
      </c>
      <c r="L723" s="3">
        <f>IF(K723=1,IFERROR(MATCH('ORDENES'!$R719,lista_dias,0),9)*1000000000+IFERROR(MATCH('ORDENES'!$AF719,lista_turnos,0),9)*10000000+IFERROR(MATCH('ORDENES'!$AE719,tblTecnicos[nombre],0),99)*100000+716,9000000000000+716)</f>
        <v/>
      </c>
      <c r="M723" s="3">
        <f>IF(K723=1,SUMPRODUCT(--($L$8:$L$1207&lt;L723))+1,"")</f>
        <v/>
      </c>
      <c r="N723" s="17">
        <f>IF(K723=1,N('ORDENES'!$M719),0)</f>
        <v/>
      </c>
      <c r="O723" s="17">
        <f>IF('ORDENES'!$T719="preventiva",N723,0)</f>
        <v/>
      </c>
      <c r="P723" s="17">
        <f>IF('ORDENES'!$T719="correctiva",N723,0)</f>
        <v/>
      </c>
      <c r="Q723" s="3">
        <f>IF(AND(K723=1,'ORDENES'!$N719="Pendiente"),1,0)</f>
        <v/>
      </c>
      <c r="R723" s="3">
        <f>IF(Q723=1,100000-N723*1000+716*0.01,9000000000000+716)</f>
        <v/>
      </c>
      <c r="S723" s="3">
        <f>IF(Q723=1,SUMPRODUCT(--($R$8:$R$1207&lt;R723))+1,"")</f>
        <v/>
      </c>
      <c r="T723" s="12">
        <f>IF(K723=1,'ORDENES'!$J719,"")</f>
        <v/>
      </c>
    </row>
    <row r="724">
      <c r="K724" s="3">
        <f>IF(AND(IF($B$3="(todos)",TRUE,'ORDENES'!$O720=$B$3),IF($D$3="(todos)",TRUE,'ORDENES'!$AF720=$D$3),IF($F$3="(todos)",TRUE,'ORDENES'!$X720=$F$3),IF($H$3="(todos)",TRUE,'ORDENES'!$W720=$H$3),'ORDENES'!$AD720=TRUE,'ORDENES'!$A720&lt;&gt;""),1,0)</f>
        <v/>
      </c>
      <c r="L724" s="3">
        <f>IF(K724=1,IFERROR(MATCH('ORDENES'!$R720,lista_dias,0),9)*1000000000+IFERROR(MATCH('ORDENES'!$AF720,lista_turnos,0),9)*10000000+IFERROR(MATCH('ORDENES'!$AE720,tblTecnicos[nombre],0),99)*100000+717,9000000000000+717)</f>
        <v/>
      </c>
      <c r="M724" s="3">
        <f>IF(K724=1,SUMPRODUCT(--($L$8:$L$1207&lt;L724))+1,"")</f>
        <v/>
      </c>
      <c r="N724" s="17">
        <f>IF(K724=1,N('ORDENES'!$M720),0)</f>
        <v/>
      </c>
      <c r="O724" s="17">
        <f>IF('ORDENES'!$T720="preventiva",N724,0)</f>
        <v/>
      </c>
      <c r="P724" s="17">
        <f>IF('ORDENES'!$T720="correctiva",N724,0)</f>
        <v/>
      </c>
      <c r="Q724" s="3">
        <f>IF(AND(K724=1,'ORDENES'!$N720="Pendiente"),1,0)</f>
        <v/>
      </c>
      <c r="R724" s="3">
        <f>IF(Q724=1,100000-N724*1000+717*0.01,9000000000000+717)</f>
        <v/>
      </c>
      <c r="S724" s="3">
        <f>IF(Q724=1,SUMPRODUCT(--($R$8:$R$1207&lt;R724))+1,"")</f>
        <v/>
      </c>
      <c r="T724" s="12">
        <f>IF(K724=1,'ORDENES'!$J720,"")</f>
        <v/>
      </c>
    </row>
    <row r="725">
      <c r="K725" s="3">
        <f>IF(AND(IF($B$3="(todos)",TRUE,'ORDENES'!$O721=$B$3),IF($D$3="(todos)",TRUE,'ORDENES'!$AF721=$D$3),IF($F$3="(todos)",TRUE,'ORDENES'!$X721=$F$3),IF($H$3="(todos)",TRUE,'ORDENES'!$W721=$H$3),'ORDENES'!$AD721=TRUE,'ORDENES'!$A721&lt;&gt;""),1,0)</f>
        <v/>
      </c>
      <c r="L725" s="3">
        <f>IF(K725=1,IFERROR(MATCH('ORDENES'!$R721,lista_dias,0),9)*1000000000+IFERROR(MATCH('ORDENES'!$AF721,lista_turnos,0),9)*10000000+IFERROR(MATCH('ORDENES'!$AE721,tblTecnicos[nombre],0),99)*100000+718,9000000000000+718)</f>
        <v/>
      </c>
      <c r="M725" s="3">
        <f>IF(K725=1,SUMPRODUCT(--($L$8:$L$1207&lt;L725))+1,"")</f>
        <v/>
      </c>
      <c r="N725" s="17">
        <f>IF(K725=1,N('ORDENES'!$M721),0)</f>
        <v/>
      </c>
      <c r="O725" s="17">
        <f>IF('ORDENES'!$T721="preventiva",N725,0)</f>
        <v/>
      </c>
      <c r="P725" s="17">
        <f>IF('ORDENES'!$T721="correctiva",N725,0)</f>
        <v/>
      </c>
      <c r="Q725" s="3">
        <f>IF(AND(K725=1,'ORDENES'!$N721="Pendiente"),1,0)</f>
        <v/>
      </c>
      <c r="R725" s="3">
        <f>IF(Q725=1,100000-N725*1000+718*0.01,9000000000000+718)</f>
        <v/>
      </c>
      <c r="S725" s="3">
        <f>IF(Q725=1,SUMPRODUCT(--($R$8:$R$1207&lt;R725))+1,"")</f>
        <v/>
      </c>
      <c r="T725" s="12">
        <f>IF(K725=1,'ORDENES'!$J721,"")</f>
        <v/>
      </c>
    </row>
    <row r="726">
      <c r="K726" s="3">
        <f>IF(AND(IF($B$3="(todos)",TRUE,'ORDENES'!$O722=$B$3),IF($D$3="(todos)",TRUE,'ORDENES'!$AF722=$D$3),IF($F$3="(todos)",TRUE,'ORDENES'!$X722=$F$3),IF($H$3="(todos)",TRUE,'ORDENES'!$W722=$H$3),'ORDENES'!$AD722=TRUE,'ORDENES'!$A722&lt;&gt;""),1,0)</f>
        <v/>
      </c>
      <c r="L726" s="3">
        <f>IF(K726=1,IFERROR(MATCH('ORDENES'!$R722,lista_dias,0),9)*1000000000+IFERROR(MATCH('ORDENES'!$AF722,lista_turnos,0),9)*10000000+IFERROR(MATCH('ORDENES'!$AE722,tblTecnicos[nombre],0),99)*100000+719,9000000000000+719)</f>
        <v/>
      </c>
      <c r="M726" s="3">
        <f>IF(K726=1,SUMPRODUCT(--($L$8:$L$1207&lt;L726))+1,"")</f>
        <v/>
      </c>
      <c r="N726" s="17">
        <f>IF(K726=1,N('ORDENES'!$M722),0)</f>
        <v/>
      </c>
      <c r="O726" s="17">
        <f>IF('ORDENES'!$T722="preventiva",N726,0)</f>
        <v/>
      </c>
      <c r="P726" s="17">
        <f>IF('ORDENES'!$T722="correctiva",N726,0)</f>
        <v/>
      </c>
      <c r="Q726" s="3">
        <f>IF(AND(K726=1,'ORDENES'!$N722="Pendiente"),1,0)</f>
        <v/>
      </c>
      <c r="R726" s="3">
        <f>IF(Q726=1,100000-N726*1000+719*0.01,9000000000000+719)</f>
        <v/>
      </c>
      <c r="S726" s="3">
        <f>IF(Q726=1,SUMPRODUCT(--($R$8:$R$1207&lt;R726))+1,"")</f>
        <v/>
      </c>
      <c r="T726" s="12">
        <f>IF(K726=1,'ORDENES'!$J722,"")</f>
        <v/>
      </c>
    </row>
    <row r="727">
      <c r="K727" s="3">
        <f>IF(AND(IF($B$3="(todos)",TRUE,'ORDENES'!$O723=$B$3),IF($D$3="(todos)",TRUE,'ORDENES'!$AF723=$D$3),IF($F$3="(todos)",TRUE,'ORDENES'!$X723=$F$3),IF($H$3="(todos)",TRUE,'ORDENES'!$W723=$H$3),'ORDENES'!$AD723=TRUE,'ORDENES'!$A723&lt;&gt;""),1,0)</f>
        <v/>
      </c>
      <c r="L727" s="3">
        <f>IF(K727=1,IFERROR(MATCH('ORDENES'!$R723,lista_dias,0),9)*1000000000+IFERROR(MATCH('ORDENES'!$AF723,lista_turnos,0),9)*10000000+IFERROR(MATCH('ORDENES'!$AE723,tblTecnicos[nombre],0),99)*100000+720,9000000000000+720)</f>
        <v/>
      </c>
      <c r="M727" s="3">
        <f>IF(K727=1,SUMPRODUCT(--($L$8:$L$1207&lt;L727))+1,"")</f>
        <v/>
      </c>
      <c r="N727" s="17">
        <f>IF(K727=1,N('ORDENES'!$M723),0)</f>
        <v/>
      </c>
      <c r="O727" s="17">
        <f>IF('ORDENES'!$T723="preventiva",N727,0)</f>
        <v/>
      </c>
      <c r="P727" s="17">
        <f>IF('ORDENES'!$T723="correctiva",N727,0)</f>
        <v/>
      </c>
      <c r="Q727" s="3">
        <f>IF(AND(K727=1,'ORDENES'!$N723="Pendiente"),1,0)</f>
        <v/>
      </c>
      <c r="R727" s="3">
        <f>IF(Q727=1,100000-N727*1000+720*0.01,9000000000000+720)</f>
        <v/>
      </c>
      <c r="S727" s="3">
        <f>IF(Q727=1,SUMPRODUCT(--($R$8:$R$1207&lt;R727))+1,"")</f>
        <v/>
      </c>
      <c r="T727" s="12">
        <f>IF(K727=1,'ORDENES'!$J723,"")</f>
        <v/>
      </c>
    </row>
    <row r="728">
      <c r="K728" s="3">
        <f>IF(AND(IF($B$3="(todos)",TRUE,'ORDENES'!$O724=$B$3),IF($D$3="(todos)",TRUE,'ORDENES'!$AF724=$D$3),IF($F$3="(todos)",TRUE,'ORDENES'!$X724=$F$3),IF($H$3="(todos)",TRUE,'ORDENES'!$W724=$H$3),'ORDENES'!$AD724=TRUE,'ORDENES'!$A724&lt;&gt;""),1,0)</f>
        <v/>
      </c>
      <c r="L728" s="3">
        <f>IF(K728=1,IFERROR(MATCH('ORDENES'!$R724,lista_dias,0),9)*1000000000+IFERROR(MATCH('ORDENES'!$AF724,lista_turnos,0),9)*10000000+IFERROR(MATCH('ORDENES'!$AE724,tblTecnicos[nombre],0),99)*100000+721,9000000000000+721)</f>
        <v/>
      </c>
      <c r="M728" s="3">
        <f>IF(K728=1,SUMPRODUCT(--($L$8:$L$1207&lt;L728))+1,"")</f>
        <v/>
      </c>
      <c r="N728" s="17">
        <f>IF(K728=1,N('ORDENES'!$M724),0)</f>
        <v/>
      </c>
      <c r="O728" s="17">
        <f>IF('ORDENES'!$T724="preventiva",N728,0)</f>
        <v/>
      </c>
      <c r="P728" s="17">
        <f>IF('ORDENES'!$T724="correctiva",N728,0)</f>
        <v/>
      </c>
      <c r="Q728" s="3">
        <f>IF(AND(K728=1,'ORDENES'!$N724="Pendiente"),1,0)</f>
        <v/>
      </c>
      <c r="R728" s="3">
        <f>IF(Q728=1,100000-N728*1000+721*0.01,9000000000000+721)</f>
        <v/>
      </c>
      <c r="S728" s="3">
        <f>IF(Q728=1,SUMPRODUCT(--($R$8:$R$1207&lt;R728))+1,"")</f>
        <v/>
      </c>
      <c r="T728" s="12">
        <f>IF(K728=1,'ORDENES'!$J724,"")</f>
        <v/>
      </c>
    </row>
    <row r="729">
      <c r="K729" s="3">
        <f>IF(AND(IF($B$3="(todos)",TRUE,'ORDENES'!$O725=$B$3),IF($D$3="(todos)",TRUE,'ORDENES'!$AF725=$D$3),IF($F$3="(todos)",TRUE,'ORDENES'!$X725=$F$3),IF($H$3="(todos)",TRUE,'ORDENES'!$W725=$H$3),'ORDENES'!$AD725=TRUE,'ORDENES'!$A725&lt;&gt;""),1,0)</f>
        <v/>
      </c>
      <c r="L729" s="3">
        <f>IF(K729=1,IFERROR(MATCH('ORDENES'!$R725,lista_dias,0),9)*1000000000+IFERROR(MATCH('ORDENES'!$AF725,lista_turnos,0),9)*10000000+IFERROR(MATCH('ORDENES'!$AE725,tblTecnicos[nombre],0),99)*100000+722,9000000000000+722)</f>
        <v/>
      </c>
      <c r="M729" s="3">
        <f>IF(K729=1,SUMPRODUCT(--($L$8:$L$1207&lt;L729))+1,"")</f>
        <v/>
      </c>
      <c r="N729" s="17">
        <f>IF(K729=1,N('ORDENES'!$M725),0)</f>
        <v/>
      </c>
      <c r="O729" s="17">
        <f>IF('ORDENES'!$T725="preventiva",N729,0)</f>
        <v/>
      </c>
      <c r="P729" s="17">
        <f>IF('ORDENES'!$T725="correctiva",N729,0)</f>
        <v/>
      </c>
      <c r="Q729" s="3">
        <f>IF(AND(K729=1,'ORDENES'!$N725="Pendiente"),1,0)</f>
        <v/>
      </c>
      <c r="R729" s="3">
        <f>IF(Q729=1,100000-N729*1000+722*0.01,9000000000000+722)</f>
        <v/>
      </c>
      <c r="S729" s="3">
        <f>IF(Q729=1,SUMPRODUCT(--($R$8:$R$1207&lt;R729))+1,"")</f>
        <v/>
      </c>
      <c r="T729" s="12">
        <f>IF(K729=1,'ORDENES'!$J725,"")</f>
        <v/>
      </c>
    </row>
    <row r="730">
      <c r="K730" s="3">
        <f>IF(AND(IF($B$3="(todos)",TRUE,'ORDENES'!$O726=$B$3),IF($D$3="(todos)",TRUE,'ORDENES'!$AF726=$D$3),IF($F$3="(todos)",TRUE,'ORDENES'!$X726=$F$3),IF($H$3="(todos)",TRUE,'ORDENES'!$W726=$H$3),'ORDENES'!$AD726=TRUE,'ORDENES'!$A726&lt;&gt;""),1,0)</f>
        <v/>
      </c>
      <c r="L730" s="3">
        <f>IF(K730=1,IFERROR(MATCH('ORDENES'!$R726,lista_dias,0),9)*1000000000+IFERROR(MATCH('ORDENES'!$AF726,lista_turnos,0),9)*10000000+IFERROR(MATCH('ORDENES'!$AE726,tblTecnicos[nombre],0),99)*100000+723,9000000000000+723)</f>
        <v/>
      </c>
      <c r="M730" s="3">
        <f>IF(K730=1,SUMPRODUCT(--($L$8:$L$1207&lt;L730))+1,"")</f>
        <v/>
      </c>
      <c r="N730" s="17">
        <f>IF(K730=1,N('ORDENES'!$M726),0)</f>
        <v/>
      </c>
      <c r="O730" s="17">
        <f>IF('ORDENES'!$T726="preventiva",N730,0)</f>
        <v/>
      </c>
      <c r="P730" s="17">
        <f>IF('ORDENES'!$T726="correctiva",N730,0)</f>
        <v/>
      </c>
      <c r="Q730" s="3">
        <f>IF(AND(K730=1,'ORDENES'!$N726="Pendiente"),1,0)</f>
        <v/>
      </c>
      <c r="R730" s="3">
        <f>IF(Q730=1,100000-N730*1000+723*0.01,9000000000000+723)</f>
        <v/>
      </c>
      <c r="S730" s="3">
        <f>IF(Q730=1,SUMPRODUCT(--($R$8:$R$1207&lt;R730))+1,"")</f>
        <v/>
      </c>
      <c r="T730" s="12">
        <f>IF(K730=1,'ORDENES'!$J726,"")</f>
        <v/>
      </c>
    </row>
    <row r="731">
      <c r="K731" s="3">
        <f>IF(AND(IF($B$3="(todos)",TRUE,'ORDENES'!$O727=$B$3),IF($D$3="(todos)",TRUE,'ORDENES'!$AF727=$D$3),IF($F$3="(todos)",TRUE,'ORDENES'!$X727=$F$3),IF($H$3="(todos)",TRUE,'ORDENES'!$W727=$H$3),'ORDENES'!$AD727=TRUE,'ORDENES'!$A727&lt;&gt;""),1,0)</f>
        <v/>
      </c>
      <c r="L731" s="3">
        <f>IF(K731=1,IFERROR(MATCH('ORDENES'!$R727,lista_dias,0),9)*1000000000+IFERROR(MATCH('ORDENES'!$AF727,lista_turnos,0),9)*10000000+IFERROR(MATCH('ORDENES'!$AE727,tblTecnicos[nombre],0),99)*100000+724,9000000000000+724)</f>
        <v/>
      </c>
      <c r="M731" s="3">
        <f>IF(K731=1,SUMPRODUCT(--($L$8:$L$1207&lt;L731))+1,"")</f>
        <v/>
      </c>
      <c r="N731" s="17">
        <f>IF(K731=1,N('ORDENES'!$M727),0)</f>
        <v/>
      </c>
      <c r="O731" s="17">
        <f>IF('ORDENES'!$T727="preventiva",N731,0)</f>
        <v/>
      </c>
      <c r="P731" s="17">
        <f>IF('ORDENES'!$T727="correctiva",N731,0)</f>
        <v/>
      </c>
      <c r="Q731" s="3">
        <f>IF(AND(K731=1,'ORDENES'!$N727="Pendiente"),1,0)</f>
        <v/>
      </c>
      <c r="R731" s="3">
        <f>IF(Q731=1,100000-N731*1000+724*0.01,9000000000000+724)</f>
        <v/>
      </c>
      <c r="S731" s="3">
        <f>IF(Q731=1,SUMPRODUCT(--($R$8:$R$1207&lt;R731))+1,"")</f>
        <v/>
      </c>
      <c r="T731" s="12">
        <f>IF(K731=1,'ORDENES'!$J727,"")</f>
        <v/>
      </c>
    </row>
    <row r="732">
      <c r="K732" s="3">
        <f>IF(AND(IF($B$3="(todos)",TRUE,'ORDENES'!$O728=$B$3),IF($D$3="(todos)",TRUE,'ORDENES'!$AF728=$D$3),IF($F$3="(todos)",TRUE,'ORDENES'!$X728=$F$3),IF($H$3="(todos)",TRUE,'ORDENES'!$W728=$H$3),'ORDENES'!$AD728=TRUE,'ORDENES'!$A728&lt;&gt;""),1,0)</f>
        <v/>
      </c>
      <c r="L732" s="3">
        <f>IF(K732=1,IFERROR(MATCH('ORDENES'!$R728,lista_dias,0),9)*1000000000+IFERROR(MATCH('ORDENES'!$AF728,lista_turnos,0),9)*10000000+IFERROR(MATCH('ORDENES'!$AE728,tblTecnicos[nombre],0),99)*100000+725,9000000000000+725)</f>
        <v/>
      </c>
      <c r="M732" s="3">
        <f>IF(K732=1,SUMPRODUCT(--($L$8:$L$1207&lt;L732))+1,"")</f>
        <v/>
      </c>
      <c r="N732" s="17">
        <f>IF(K732=1,N('ORDENES'!$M728),0)</f>
        <v/>
      </c>
      <c r="O732" s="17">
        <f>IF('ORDENES'!$T728="preventiva",N732,0)</f>
        <v/>
      </c>
      <c r="P732" s="17">
        <f>IF('ORDENES'!$T728="correctiva",N732,0)</f>
        <v/>
      </c>
      <c r="Q732" s="3">
        <f>IF(AND(K732=1,'ORDENES'!$N728="Pendiente"),1,0)</f>
        <v/>
      </c>
      <c r="R732" s="3">
        <f>IF(Q732=1,100000-N732*1000+725*0.01,9000000000000+725)</f>
        <v/>
      </c>
      <c r="S732" s="3">
        <f>IF(Q732=1,SUMPRODUCT(--($R$8:$R$1207&lt;R732))+1,"")</f>
        <v/>
      </c>
      <c r="T732" s="12">
        <f>IF(K732=1,'ORDENES'!$J728,"")</f>
        <v/>
      </c>
    </row>
    <row r="733">
      <c r="K733" s="3">
        <f>IF(AND(IF($B$3="(todos)",TRUE,'ORDENES'!$O729=$B$3),IF($D$3="(todos)",TRUE,'ORDENES'!$AF729=$D$3),IF($F$3="(todos)",TRUE,'ORDENES'!$X729=$F$3),IF($H$3="(todos)",TRUE,'ORDENES'!$W729=$H$3),'ORDENES'!$AD729=TRUE,'ORDENES'!$A729&lt;&gt;""),1,0)</f>
        <v/>
      </c>
      <c r="L733" s="3">
        <f>IF(K733=1,IFERROR(MATCH('ORDENES'!$R729,lista_dias,0),9)*1000000000+IFERROR(MATCH('ORDENES'!$AF729,lista_turnos,0),9)*10000000+IFERROR(MATCH('ORDENES'!$AE729,tblTecnicos[nombre],0),99)*100000+726,9000000000000+726)</f>
        <v/>
      </c>
      <c r="M733" s="3">
        <f>IF(K733=1,SUMPRODUCT(--($L$8:$L$1207&lt;L733))+1,"")</f>
        <v/>
      </c>
      <c r="N733" s="17">
        <f>IF(K733=1,N('ORDENES'!$M729),0)</f>
        <v/>
      </c>
      <c r="O733" s="17">
        <f>IF('ORDENES'!$T729="preventiva",N733,0)</f>
        <v/>
      </c>
      <c r="P733" s="17">
        <f>IF('ORDENES'!$T729="correctiva",N733,0)</f>
        <v/>
      </c>
      <c r="Q733" s="3">
        <f>IF(AND(K733=1,'ORDENES'!$N729="Pendiente"),1,0)</f>
        <v/>
      </c>
      <c r="R733" s="3">
        <f>IF(Q733=1,100000-N733*1000+726*0.01,9000000000000+726)</f>
        <v/>
      </c>
      <c r="S733" s="3">
        <f>IF(Q733=1,SUMPRODUCT(--($R$8:$R$1207&lt;R733))+1,"")</f>
        <v/>
      </c>
      <c r="T733" s="12">
        <f>IF(K733=1,'ORDENES'!$J729,"")</f>
        <v/>
      </c>
    </row>
    <row r="734">
      <c r="K734" s="3">
        <f>IF(AND(IF($B$3="(todos)",TRUE,'ORDENES'!$O730=$B$3),IF($D$3="(todos)",TRUE,'ORDENES'!$AF730=$D$3),IF($F$3="(todos)",TRUE,'ORDENES'!$X730=$F$3),IF($H$3="(todos)",TRUE,'ORDENES'!$W730=$H$3),'ORDENES'!$AD730=TRUE,'ORDENES'!$A730&lt;&gt;""),1,0)</f>
        <v/>
      </c>
      <c r="L734" s="3">
        <f>IF(K734=1,IFERROR(MATCH('ORDENES'!$R730,lista_dias,0),9)*1000000000+IFERROR(MATCH('ORDENES'!$AF730,lista_turnos,0),9)*10000000+IFERROR(MATCH('ORDENES'!$AE730,tblTecnicos[nombre],0),99)*100000+727,9000000000000+727)</f>
        <v/>
      </c>
      <c r="M734" s="3">
        <f>IF(K734=1,SUMPRODUCT(--($L$8:$L$1207&lt;L734))+1,"")</f>
        <v/>
      </c>
      <c r="N734" s="17">
        <f>IF(K734=1,N('ORDENES'!$M730),0)</f>
        <v/>
      </c>
      <c r="O734" s="17">
        <f>IF('ORDENES'!$T730="preventiva",N734,0)</f>
        <v/>
      </c>
      <c r="P734" s="17">
        <f>IF('ORDENES'!$T730="correctiva",N734,0)</f>
        <v/>
      </c>
      <c r="Q734" s="3">
        <f>IF(AND(K734=1,'ORDENES'!$N730="Pendiente"),1,0)</f>
        <v/>
      </c>
      <c r="R734" s="3">
        <f>IF(Q734=1,100000-N734*1000+727*0.01,9000000000000+727)</f>
        <v/>
      </c>
      <c r="S734" s="3">
        <f>IF(Q734=1,SUMPRODUCT(--($R$8:$R$1207&lt;R734))+1,"")</f>
        <v/>
      </c>
      <c r="T734" s="12">
        <f>IF(K734=1,'ORDENES'!$J730,"")</f>
        <v/>
      </c>
    </row>
    <row r="735">
      <c r="K735" s="3">
        <f>IF(AND(IF($B$3="(todos)",TRUE,'ORDENES'!$O731=$B$3),IF($D$3="(todos)",TRUE,'ORDENES'!$AF731=$D$3),IF($F$3="(todos)",TRUE,'ORDENES'!$X731=$F$3),IF($H$3="(todos)",TRUE,'ORDENES'!$W731=$H$3),'ORDENES'!$AD731=TRUE,'ORDENES'!$A731&lt;&gt;""),1,0)</f>
        <v/>
      </c>
      <c r="L735" s="3">
        <f>IF(K735=1,IFERROR(MATCH('ORDENES'!$R731,lista_dias,0),9)*1000000000+IFERROR(MATCH('ORDENES'!$AF731,lista_turnos,0),9)*10000000+IFERROR(MATCH('ORDENES'!$AE731,tblTecnicos[nombre],0),99)*100000+728,9000000000000+728)</f>
        <v/>
      </c>
      <c r="M735" s="3">
        <f>IF(K735=1,SUMPRODUCT(--($L$8:$L$1207&lt;L735))+1,"")</f>
        <v/>
      </c>
      <c r="N735" s="17">
        <f>IF(K735=1,N('ORDENES'!$M731),0)</f>
        <v/>
      </c>
      <c r="O735" s="17">
        <f>IF('ORDENES'!$T731="preventiva",N735,0)</f>
        <v/>
      </c>
      <c r="P735" s="17">
        <f>IF('ORDENES'!$T731="correctiva",N735,0)</f>
        <v/>
      </c>
      <c r="Q735" s="3">
        <f>IF(AND(K735=1,'ORDENES'!$N731="Pendiente"),1,0)</f>
        <v/>
      </c>
      <c r="R735" s="3">
        <f>IF(Q735=1,100000-N735*1000+728*0.01,9000000000000+728)</f>
        <v/>
      </c>
      <c r="S735" s="3">
        <f>IF(Q735=1,SUMPRODUCT(--($R$8:$R$1207&lt;R735))+1,"")</f>
        <v/>
      </c>
      <c r="T735" s="12">
        <f>IF(K735=1,'ORDENES'!$J731,"")</f>
        <v/>
      </c>
    </row>
    <row r="736">
      <c r="K736" s="3">
        <f>IF(AND(IF($B$3="(todos)",TRUE,'ORDENES'!$O732=$B$3),IF($D$3="(todos)",TRUE,'ORDENES'!$AF732=$D$3),IF($F$3="(todos)",TRUE,'ORDENES'!$X732=$F$3),IF($H$3="(todos)",TRUE,'ORDENES'!$W732=$H$3),'ORDENES'!$AD732=TRUE,'ORDENES'!$A732&lt;&gt;""),1,0)</f>
        <v/>
      </c>
      <c r="L736" s="3">
        <f>IF(K736=1,IFERROR(MATCH('ORDENES'!$R732,lista_dias,0),9)*1000000000+IFERROR(MATCH('ORDENES'!$AF732,lista_turnos,0),9)*10000000+IFERROR(MATCH('ORDENES'!$AE732,tblTecnicos[nombre],0),99)*100000+729,9000000000000+729)</f>
        <v/>
      </c>
      <c r="M736" s="3">
        <f>IF(K736=1,SUMPRODUCT(--($L$8:$L$1207&lt;L736))+1,"")</f>
        <v/>
      </c>
      <c r="N736" s="17">
        <f>IF(K736=1,N('ORDENES'!$M732),0)</f>
        <v/>
      </c>
      <c r="O736" s="17">
        <f>IF('ORDENES'!$T732="preventiva",N736,0)</f>
        <v/>
      </c>
      <c r="P736" s="17">
        <f>IF('ORDENES'!$T732="correctiva",N736,0)</f>
        <v/>
      </c>
      <c r="Q736" s="3">
        <f>IF(AND(K736=1,'ORDENES'!$N732="Pendiente"),1,0)</f>
        <v/>
      </c>
      <c r="R736" s="3">
        <f>IF(Q736=1,100000-N736*1000+729*0.01,9000000000000+729)</f>
        <v/>
      </c>
      <c r="S736" s="3">
        <f>IF(Q736=1,SUMPRODUCT(--($R$8:$R$1207&lt;R736))+1,"")</f>
        <v/>
      </c>
      <c r="T736" s="12">
        <f>IF(K736=1,'ORDENES'!$J732,"")</f>
        <v/>
      </c>
    </row>
    <row r="737">
      <c r="K737" s="3">
        <f>IF(AND(IF($B$3="(todos)",TRUE,'ORDENES'!$O733=$B$3),IF($D$3="(todos)",TRUE,'ORDENES'!$AF733=$D$3),IF($F$3="(todos)",TRUE,'ORDENES'!$X733=$F$3),IF($H$3="(todos)",TRUE,'ORDENES'!$W733=$H$3),'ORDENES'!$AD733=TRUE,'ORDENES'!$A733&lt;&gt;""),1,0)</f>
        <v/>
      </c>
      <c r="L737" s="3">
        <f>IF(K737=1,IFERROR(MATCH('ORDENES'!$R733,lista_dias,0),9)*1000000000+IFERROR(MATCH('ORDENES'!$AF733,lista_turnos,0),9)*10000000+IFERROR(MATCH('ORDENES'!$AE733,tblTecnicos[nombre],0),99)*100000+730,9000000000000+730)</f>
        <v/>
      </c>
      <c r="M737" s="3">
        <f>IF(K737=1,SUMPRODUCT(--($L$8:$L$1207&lt;L737))+1,"")</f>
        <v/>
      </c>
      <c r="N737" s="17">
        <f>IF(K737=1,N('ORDENES'!$M733),0)</f>
        <v/>
      </c>
      <c r="O737" s="17">
        <f>IF('ORDENES'!$T733="preventiva",N737,0)</f>
        <v/>
      </c>
      <c r="P737" s="17">
        <f>IF('ORDENES'!$T733="correctiva",N737,0)</f>
        <v/>
      </c>
      <c r="Q737" s="3">
        <f>IF(AND(K737=1,'ORDENES'!$N733="Pendiente"),1,0)</f>
        <v/>
      </c>
      <c r="R737" s="3">
        <f>IF(Q737=1,100000-N737*1000+730*0.01,9000000000000+730)</f>
        <v/>
      </c>
      <c r="S737" s="3">
        <f>IF(Q737=1,SUMPRODUCT(--($R$8:$R$1207&lt;R737))+1,"")</f>
        <v/>
      </c>
      <c r="T737" s="12">
        <f>IF(K737=1,'ORDENES'!$J733,"")</f>
        <v/>
      </c>
    </row>
    <row r="738">
      <c r="K738" s="3">
        <f>IF(AND(IF($B$3="(todos)",TRUE,'ORDENES'!$O734=$B$3),IF($D$3="(todos)",TRUE,'ORDENES'!$AF734=$D$3),IF($F$3="(todos)",TRUE,'ORDENES'!$X734=$F$3),IF($H$3="(todos)",TRUE,'ORDENES'!$W734=$H$3),'ORDENES'!$AD734=TRUE,'ORDENES'!$A734&lt;&gt;""),1,0)</f>
        <v/>
      </c>
      <c r="L738" s="3">
        <f>IF(K738=1,IFERROR(MATCH('ORDENES'!$R734,lista_dias,0),9)*1000000000+IFERROR(MATCH('ORDENES'!$AF734,lista_turnos,0),9)*10000000+IFERROR(MATCH('ORDENES'!$AE734,tblTecnicos[nombre],0),99)*100000+731,9000000000000+731)</f>
        <v/>
      </c>
      <c r="M738" s="3">
        <f>IF(K738=1,SUMPRODUCT(--($L$8:$L$1207&lt;L738))+1,"")</f>
        <v/>
      </c>
      <c r="N738" s="17">
        <f>IF(K738=1,N('ORDENES'!$M734),0)</f>
        <v/>
      </c>
      <c r="O738" s="17">
        <f>IF('ORDENES'!$T734="preventiva",N738,0)</f>
        <v/>
      </c>
      <c r="P738" s="17">
        <f>IF('ORDENES'!$T734="correctiva",N738,0)</f>
        <v/>
      </c>
      <c r="Q738" s="3">
        <f>IF(AND(K738=1,'ORDENES'!$N734="Pendiente"),1,0)</f>
        <v/>
      </c>
      <c r="R738" s="3">
        <f>IF(Q738=1,100000-N738*1000+731*0.01,9000000000000+731)</f>
        <v/>
      </c>
      <c r="S738" s="3">
        <f>IF(Q738=1,SUMPRODUCT(--($R$8:$R$1207&lt;R738))+1,"")</f>
        <v/>
      </c>
      <c r="T738" s="12">
        <f>IF(K738=1,'ORDENES'!$J734,"")</f>
        <v/>
      </c>
    </row>
    <row r="739">
      <c r="K739" s="3">
        <f>IF(AND(IF($B$3="(todos)",TRUE,'ORDENES'!$O735=$B$3),IF($D$3="(todos)",TRUE,'ORDENES'!$AF735=$D$3),IF($F$3="(todos)",TRUE,'ORDENES'!$X735=$F$3),IF($H$3="(todos)",TRUE,'ORDENES'!$W735=$H$3),'ORDENES'!$AD735=TRUE,'ORDENES'!$A735&lt;&gt;""),1,0)</f>
        <v/>
      </c>
      <c r="L739" s="3">
        <f>IF(K739=1,IFERROR(MATCH('ORDENES'!$R735,lista_dias,0),9)*1000000000+IFERROR(MATCH('ORDENES'!$AF735,lista_turnos,0),9)*10000000+IFERROR(MATCH('ORDENES'!$AE735,tblTecnicos[nombre],0),99)*100000+732,9000000000000+732)</f>
        <v/>
      </c>
      <c r="M739" s="3">
        <f>IF(K739=1,SUMPRODUCT(--($L$8:$L$1207&lt;L739))+1,"")</f>
        <v/>
      </c>
      <c r="N739" s="17">
        <f>IF(K739=1,N('ORDENES'!$M735),0)</f>
        <v/>
      </c>
      <c r="O739" s="17">
        <f>IF('ORDENES'!$T735="preventiva",N739,0)</f>
        <v/>
      </c>
      <c r="P739" s="17">
        <f>IF('ORDENES'!$T735="correctiva",N739,0)</f>
        <v/>
      </c>
      <c r="Q739" s="3">
        <f>IF(AND(K739=1,'ORDENES'!$N735="Pendiente"),1,0)</f>
        <v/>
      </c>
      <c r="R739" s="3">
        <f>IF(Q739=1,100000-N739*1000+732*0.01,9000000000000+732)</f>
        <v/>
      </c>
      <c r="S739" s="3">
        <f>IF(Q739=1,SUMPRODUCT(--($R$8:$R$1207&lt;R739))+1,"")</f>
        <v/>
      </c>
      <c r="T739" s="12">
        <f>IF(K739=1,'ORDENES'!$J735,"")</f>
        <v/>
      </c>
    </row>
    <row r="740">
      <c r="K740" s="3">
        <f>IF(AND(IF($B$3="(todos)",TRUE,'ORDENES'!$O736=$B$3),IF($D$3="(todos)",TRUE,'ORDENES'!$AF736=$D$3),IF($F$3="(todos)",TRUE,'ORDENES'!$X736=$F$3),IF($H$3="(todos)",TRUE,'ORDENES'!$W736=$H$3),'ORDENES'!$AD736=TRUE,'ORDENES'!$A736&lt;&gt;""),1,0)</f>
        <v/>
      </c>
      <c r="L740" s="3">
        <f>IF(K740=1,IFERROR(MATCH('ORDENES'!$R736,lista_dias,0),9)*1000000000+IFERROR(MATCH('ORDENES'!$AF736,lista_turnos,0),9)*10000000+IFERROR(MATCH('ORDENES'!$AE736,tblTecnicos[nombre],0),99)*100000+733,9000000000000+733)</f>
        <v/>
      </c>
      <c r="M740" s="3">
        <f>IF(K740=1,SUMPRODUCT(--($L$8:$L$1207&lt;L740))+1,"")</f>
        <v/>
      </c>
      <c r="N740" s="17">
        <f>IF(K740=1,N('ORDENES'!$M736),0)</f>
        <v/>
      </c>
      <c r="O740" s="17">
        <f>IF('ORDENES'!$T736="preventiva",N740,0)</f>
        <v/>
      </c>
      <c r="P740" s="17">
        <f>IF('ORDENES'!$T736="correctiva",N740,0)</f>
        <v/>
      </c>
      <c r="Q740" s="3">
        <f>IF(AND(K740=1,'ORDENES'!$N736="Pendiente"),1,0)</f>
        <v/>
      </c>
      <c r="R740" s="3">
        <f>IF(Q740=1,100000-N740*1000+733*0.01,9000000000000+733)</f>
        <v/>
      </c>
      <c r="S740" s="3">
        <f>IF(Q740=1,SUMPRODUCT(--($R$8:$R$1207&lt;R740))+1,"")</f>
        <v/>
      </c>
      <c r="T740" s="12">
        <f>IF(K740=1,'ORDENES'!$J736,"")</f>
        <v/>
      </c>
    </row>
    <row r="741">
      <c r="K741" s="3">
        <f>IF(AND(IF($B$3="(todos)",TRUE,'ORDENES'!$O737=$B$3),IF($D$3="(todos)",TRUE,'ORDENES'!$AF737=$D$3),IF($F$3="(todos)",TRUE,'ORDENES'!$X737=$F$3),IF($H$3="(todos)",TRUE,'ORDENES'!$W737=$H$3),'ORDENES'!$AD737=TRUE,'ORDENES'!$A737&lt;&gt;""),1,0)</f>
        <v/>
      </c>
      <c r="L741" s="3">
        <f>IF(K741=1,IFERROR(MATCH('ORDENES'!$R737,lista_dias,0),9)*1000000000+IFERROR(MATCH('ORDENES'!$AF737,lista_turnos,0),9)*10000000+IFERROR(MATCH('ORDENES'!$AE737,tblTecnicos[nombre],0),99)*100000+734,9000000000000+734)</f>
        <v/>
      </c>
      <c r="M741" s="3">
        <f>IF(K741=1,SUMPRODUCT(--($L$8:$L$1207&lt;L741))+1,"")</f>
        <v/>
      </c>
      <c r="N741" s="17">
        <f>IF(K741=1,N('ORDENES'!$M737),0)</f>
        <v/>
      </c>
      <c r="O741" s="17">
        <f>IF('ORDENES'!$T737="preventiva",N741,0)</f>
        <v/>
      </c>
      <c r="P741" s="17">
        <f>IF('ORDENES'!$T737="correctiva",N741,0)</f>
        <v/>
      </c>
      <c r="Q741" s="3">
        <f>IF(AND(K741=1,'ORDENES'!$N737="Pendiente"),1,0)</f>
        <v/>
      </c>
      <c r="R741" s="3">
        <f>IF(Q741=1,100000-N741*1000+734*0.01,9000000000000+734)</f>
        <v/>
      </c>
      <c r="S741" s="3">
        <f>IF(Q741=1,SUMPRODUCT(--($R$8:$R$1207&lt;R741))+1,"")</f>
        <v/>
      </c>
      <c r="T741" s="12">
        <f>IF(K741=1,'ORDENES'!$J737,"")</f>
        <v/>
      </c>
    </row>
    <row r="742">
      <c r="K742" s="3">
        <f>IF(AND(IF($B$3="(todos)",TRUE,'ORDENES'!$O738=$B$3),IF($D$3="(todos)",TRUE,'ORDENES'!$AF738=$D$3),IF($F$3="(todos)",TRUE,'ORDENES'!$X738=$F$3),IF($H$3="(todos)",TRUE,'ORDENES'!$W738=$H$3),'ORDENES'!$AD738=TRUE,'ORDENES'!$A738&lt;&gt;""),1,0)</f>
        <v/>
      </c>
      <c r="L742" s="3">
        <f>IF(K742=1,IFERROR(MATCH('ORDENES'!$R738,lista_dias,0),9)*1000000000+IFERROR(MATCH('ORDENES'!$AF738,lista_turnos,0),9)*10000000+IFERROR(MATCH('ORDENES'!$AE738,tblTecnicos[nombre],0),99)*100000+735,9000000000000+735)</f>
        <v/>
      </c>
      <c r="M742" s="3">
        <f>IF(K742=1,SUMPRODUCT(--($L$8:$L$1207&lt;L742))+1,"")</f>
        <v/>
      </c>
      <c r="N742" s="17">
        <f>IF(K742=1,N('ORDENES'!$M738),0)</f>
        <v/>
      </c>
      <c r="O742" s="17">
        <f>IF('ORDENES'!$T738="preventiva",N742,0)</f>
        <v/>
      </c>
      <c r="P742" s="17">
        <f>IF('ORDENES'!$T738="correctiva",N742,0)</f>
        <v/>
      </c>
      <c r="Q742" s="3">
        <f>IF(AND(K742=1,'ORDENES'!$N738="Pendiente"),1,0)</f>
        <v/>
      </c>
      <c r="R742" s="3">
        <f>IF(Q742=1,100000-N742*1000+735*0.01,9000000000000+735)</f>
        <v/>
      </c>
      <c r="S742" s="3">
        <f>IF(Q742=1,SUMPRODUCT(--($R$8:$R$1207&lt;R742))+1,"")</f>
        <v/>
      </c>
      <c r="T742" s="12">
        <f>IF(K742=1,'ORDENES'!$J738,"")</f>
        <v/>
      </c>
    </row>
    <row r="743">
      <c r="K743" s="3">
        <f>IF(AND(IF($B$3="(todos)",TRUE,'ORDENES'!$O739=$B$3),IF($D$3="(todos)",TRUE,'ORDENES'!$AF739=$D$3),IF($F$3="(todos)",TRUE,'ORDENES'!$X739=$F$3),IF($H$3="(todos)",TRUE,'ORDENES'!$W739=$H$3),'ORDENES'!$AD739=TRUE,'ORDENES'!$A739&lt;&gt;""),1,0)</f>
        <v/>
      </c>
      <c r="L743" s="3">
        <f>IF(K743=1,IFERROR(MATCH('ORDENES'!$R739,lista_dias,0),9)*1000000000+IFERROR(MATCH('ORDENES'!$AF739,lista_turnos,0),9)*10000000+IFERROR(MATCH('ORDENES'!$AE739,tblTecnicos[nombre],0),99)*100000+736,9000000000000+736)</f>
        <v/>
      </c>
      <c r="M743" s="3">
        <f>IF(K743=1,SUMPRODUCT(--($L$8:$L$1207&lt;L743))+1,"")</f>
        <v/>
      </c>
      <c r="N743" s="17">
        <f>IF(K743=1,N('ORDENES'!$M739),0)</f>
        <v/>
      </c>
      <c r="O743" s="17">
        <f>IF('ORDENES'!$T739="preventiva",N743,0)</f>
        <v/>
      </c>
      <c r="P743" s="17">
        <f>IF('ORDENES'!$T739="correctiva",N743,0)</f>
        <v/>
      </c>
      <c r="Q743" s="3">
        <f>IF(AND(K743=1,'ORDENES'!$N739="Pendiente"),1,0)</f>
        <v/>
      </c>
      <c r="R743" s="3">
        <f>IF(Q743=1,100000-N743*1000+736*0.01,9000000000000+736)</f>
        <v/>
      </c>
      <c r="S743" s="3">
        <f>IF(Q743=1,SUMPRODUCT(--($R$8:$R$1207&lt;R743))+1,"")</f>
        <v/>
      </c>
      <c r="T743" s="12">
        <f>IF(K743=1,'ORDENES'!$J739,"")</f>
        <v/>
      </c>
    </row>
    <row r="744">
      <c r="K744" s="3">
        <f>IF(AND(IF($B$3="(todos)",TRUE,'ORDENES'!$O740=$B$3),IF($D$3="(todos)",TRUE,'ORDENES'!$AF740=$D$3),IF($F$3="(todos)",TRUE,'ORDENES'!$X740=$F$3),IF($H$3="(todos)",TRUE,'ORDENES'!$W740=$H$3),'ORDENES'!$AD740=TRUE,'ORDENES'!$A740&lt;&gt;""),1,0)</f>
        <v/>
      </c>
      <c r="L744" s="3">
        <f>IF(K744=1,IFERROR(MATCH('ORDENES'!$R740,lista_dias,0),9)*1000000000+IFERROR(MATCH('ORDENES'!$AF740,lista_turnos,0),9)*10000000+IFERROR(MATCH('ORDENES'!$AE740,tblTecnicos[nombre],0),99)*100000+737,9000000000000+737)</f>
        <v/>
      </c>
      <c r="M744" s="3">
        <f>IF(K744=1,SUMPRODUCT(--($L$8:$L$1207&lt;L744))+1,"")</f>
        <v/>
      </c>
      <c r="N744" s="17">
        <f>IF(K744=1,N('ORDENES'!$M740),0)</f>
        <v/>
      </c>
      <c r="O744" s="17">
        <f>IF('ORDENES'!$T740="preventiva",N744,0)</f>
        <v/>
      </c>
      <c r="P744" s="17">
        <f>IF('ORDENES'!$T740="correctiva",N744,0)</f>
        <v/>
      </c>
      <c r="Q744" s="3">
        <f>IF(AND(K744=1,'ORDENES'!$N740="Pendiente"),1,0)</f>
        <v/>
      </c>
      <c r="R744" s="3">
        <f>IF(Q744=1,100000-N744*1000+737*0.01,9000000000000+737)</f>
        <v/>
      </c>
      <c r="S744" s="3">
        <f>IF(Q744=1,SUMPRODUCT(--($R$8:$R$1207&lt;R744))+1,"")</f>
        <v/>
      </c>
      <c r="T744" s="12">
        <f>IF(K744=1,'ORDENES'!$J740,"")</f>
        <v/>
      </c>
    </row>
    <row r="745">
      <c r="K745" s="3">
        <f>IF(AND(IF($B$3="(todos)",TRUE,'ORDENES'!$O741=$B$3),IF($D$3="(todos)",TRUE,'ORDENES'!$AF741=$D$3),IF($F$3="(todos)",TRUE,'ORDENES'!$X741=$F$3),IF($H$3="(todos)",TRUE,'ORDENES'!$W741=$H$3),'ORDENES'!$AD741=TRUE,'ORDENES'!$A741&lt;&gt;""),1,0)</f>
        <v/>
      </c>
      <c r="L745" s="3">
        <f>IF(K745=1,IFERROR(MATCH('ORDENES'!$R741,lista_dias,0),9)*1000000000+IFERROR(MATCH('ORDENES'!$AF741,lista_turnos,0),9)*10000000+IFERROR(MATCH('ORDENES'!$AE741,tblTecnicos[nombre],0),99)*100000+738,9000000000000+738)</f>
        <v/>
      </c>
      <c r="M745" s="3">
        <f>IF(K745=1,SUMPRODUCT(--($L$8:$L$1207&lt;L745))+1,"")</f>
        <v/>
      </c>
      <c r="N745" s="17">
        <f>IF(K745=1,N('ORDENES'!$M741),0)</f>
        <v/>
      </c>
      <c r="O745" s="17">
        <f>IF('ORDENES'!$T741="preventiva",N745,0)</f>
        <v/>
      </c>
      <c r="P745" s="17">
        <f>IF('ORDENES'!$T741="correctiva",N745,0)</f>
        <v/>
      </c>
      <c r="Q745" s="3">
        <f>IF(AND(K745=1,'ORDENES'!$N741="Pendiente"),1,0)</f>
        <v/>
      </c>
      <c r="R745" s="3">
        <f>IF(Q745=1,100000-N745*1000+738*0.01,9000000000000+738)</f>
        <v/>
      </c>
      <c r="S745" s="3">
        <f>IF(Q745=1,SUMPRODUCT(--($R$8:$R$1207&lt;R745))+1,"")</f>
        <v/>
      </c>
      <c r="T745" s="12">
        <f>IF(K745=1,'ORDENES'!$J741,"")</f>
        <v/>
      </c>
    </row>
    <row r="746">
      <c r="K746" s="3">
        <f>IF(AND(IF($B$3="(todos)",TRUE,'ORDENES'!$O742=$B$3),IF($D$3="(todos)",TRUE,'ORDENES'!$AF742=$D$3),IF($F$3="(todos)",TRUE,'ORDENES'!$X742=$F$3),IF($H$3="(todos)",TRUE,'ORDENES'!$W742=$H$3),'ORDENES'!$AD742=TRUE,'ORDENES'!$A742&lt;&gt;""),1,0)</f>
        <v/>
      </c>
      <c r="L746" s="3">
        <f>IF(K746=1,IFERROR(MATCH('ORDENES'!$R742,lista_dias,0),9)*1000000000+IFERROR(MATCH('ORDENES'!$AF742,lista_turnos,0),9)*10000000+IFERROR(MATCH('ORDENES'!$AE742,tblTecnicos[nombre],0),99)*100000+739,9000000000000+739)</f>
        <v/>
      </c>
      <c r="M746" s="3">
        <f>IF(K746=1,SUMPRODUCT(--($L$8:$L$1207&lt;L746))+1,"")</f>
        <v/>
      </c>
      <c r="N746" s="17">
        <f>IF(K746=1,N('ORDENES'!$M742),0)</f>
        <v/>
      </c>
      <c r="O746" s="17">
        <f>IF('ORDENES'!$T742="preventiva",N746,0)</f>
        <v/>
      </c>
      <c r="P746" s="17">
        <f>IF('ORDENES'!$T742="correctiva",N746,0)</f>
        <v/>
      </c>
      <c r="Q746" s="3">
        <f>IF(AND(K746=1,'ORDENES'!$N742="Pendiente"),1,0)</f>
        <v/>
      </c>
      <c r="R746" s="3">
        <f>IF(Q746=1,100000-N746*1000+739*0.01,9000000000000+739)</f>
        <v/>
      </c>
      <c r="S746" s="3">
        <f>IF(Q746=1,SUMPRODUCT(--($R$8:$R$1207&lt;R746))+1,"")</f>
        <v/>
      </c>
      <c r="T746" s="12">
        <f>IF(K746=1,'ORDENES'!$J742,"")</f>
        <v/>
      </c>
    </row>
    <row r="747">
      <c r="K747" s="3">
        <f>IF(AND(IF($B$3="(todos)",TRUE,'ORDENES'!$O743=$B$3),IF($D$3="(todos)",TRUE,'ORDENES'!$AF743=$D$3),IF($F$3="(todos)",TRUE,'ORDENES'!$X743=$F$3),IF($H$3="(todos)",TRUE,'ORDENES'!$W743=$H$3),'ORDENES'!$AD743=TRUE,'ORDENES'!$A743&lt;&gt;""),1,0)</f>
        <v/>
      </c>
      <c r="L747" s="3">
        <f>IF(K747=1,IFERROR(MATCH('ORDENES'!$R743,lista_dias,0),9)*1000000000+IFERROR(MATCH('ORDENES'!$AF743,lista_turnos,0),9)*10000000+IFERROR(MATCH('ORDENES'!$AE743,tblTecnicos[nombre],0),99)*100000+740,9000000000000+740)</f>
        <v/>
      </c>
      <c r="M747" s="3">
        <f>IF(K747=1,SUMPRODUCT(--($L$8:$L$1207&lt;L747))+1,"")</f>
        <v/>
      </c>
      <c r="N747" s="17">
        <f>IF(K747=1,N('ORDENES'!$M743),0)</f>
        <v/>
      </c>
      <c r="O747" s="17">
        <f>IF('ORDENES'!$T743="preventiva",N747,0)</f>
        <v/>
      </c>
      <c r="P747" s="17">
        <f>IF('ORDENES'!$T743="correctiva",N747,0)</f>
        <v/>
      </c>
      <c r="Q747" s="3">
        <f>IF(AND(K747=1,'ORDENES'!$N743="Pendiente"),1,0)</f>
        <v/>
      </c>
      <c r="R747" s="3">
        <f>IF(Q747=1,100000-N747*1000+740*0.01,9000000000000+740)</f>
        <v/>
      </c>
      <c r="S747" s="3">
        <f>IF(Q747=1,SUMPRODUCT(--($R$8:$R$1207&lt;R747))+1,"")</f>
        <v/>
      </c>
      <c r="T747" s="12">
        <f>IF(K747=1,'ORDENES'!$J743,"")</f>
        <v/>
      </c>
    </row>
    <row r="748">
      <c r="K748" s="3">
        <f>IF(AND(IF($B$3="(todos)",TRUE,'ORDENES'!$O744=$B$3),IF($D$3="(todos)",TRUE,'ORDENES'!$AF744=$D$3),IF($F$3="(todos)",TRUE,'ORDENES'!$X744=$F$3),IF($H$3="(todos)",TRUE,'ORDENES'!$W744=$H$3),'ORDENES'!$AD744=TRUE,'ORDENES'!$A744&lt;&gt;""),1,0)</f>
        <v/>
      </c>
      <c r="L748" s="3">
        <f>IF(K748=1,IFERROR(MATCH('ORDENES'!$R744,lista_dias,0),9)*1000000000+IFERROR(MATCH('ORDENES'!$AF744,lista_turnos,0),9)*10000000+IFERROR(MATCH('ORDENES'!$AE744,tblTecnicos[nombre],0),99)*100000+741,9000000000000+741)</f>
        <v/>
      </c>
      <c r="M748" s="3">
        <f>IF(K748=1,SUMPRODUCT(--($L$8:$L$1207&lt;L748))+1,"")</f>
        <v/>
      </c>
      <c r="N748" s="17">
        <f>IF(K748=1,N('ORDENES'!$M744),0)</f>
        <v/>
      </c>
      <c r="O748" s="17">
        <f>IF('ORDENES'!$T744="preventiva",N748,0)</f>
        <v/>
      </c>
      <c r="P748" s="17">
        <f>IF('ORDENES'!$T744="correctiva",N748,0)</f>
        <v/>
      </c>
      <c r="Q748" s="3">
        <f>IF(AND(K748=1,'ORDENES'!$N744="Pendiente"),1,0)</f>
        <v/>
      </c>
      <c r="R748" s="3">
        <f>IF(Q748=1,100000-N748*1000+741*0.01,9000000000000+741)</f>
        <v/>
      </c>
      <c r="S748" s="3">
        <f>IF(Q748=1,SUMPRODUCT(--($R$8:$R$1207&lt;R748))+1,"")</f>
        <v/>
      </c>
      <c r="T748" s="12">
        <f>IF(K748=1,'ORDENES'!$J744,"")</f>
        <v/>
      </c>
    </row>
    <row r="749">
      <c r="K749" s="3">
        <f>IF(AND(IF($B$3="(todos)",TRUE,'ORDENES'!$O745=$B$3),IF($D$3="(todos)",TRUE,'ORDENES'!$AF745=$D$3),IF($F$3="(todos)",TRUE,'ORDENES'!$X745=$F$3),IF($H$3="(todos)",TRUE,'ORDENES'!$W745=$H$3),'ORDENES'!$AD745=TRUE,'ORDENES'!$A745&lt;&gt;""),1,0)</f>
        <v/>
      </c>
      <c r="L749" s="3">
        <f>IF(K749=1,IFERROR(MATCH('ORDENES'!$R745,lista_dias,0),9)*1000000000+IFERROR(MATCH('ORDENES'!$AF745,lista_turnos,0),9)*10000000+IFERROR(MATCH('ORDENES'!$AE745,tblTecnicos[nombre],0),99)*100000+742,9000000000000+742)</f>
        <v/>
      </c>
      <c r="M749" s="3">
        <f>IF(K749=1,SUMPRODUCT(--($L$8:$L$1207&lt;L749))+1,"")</f>
        <v/>
      </c>
      <c r="N749" s="17">
        <f>IF(K749=1,N('ORDENES'!$M745),0)</f>
        <v/>
      </c>
      <c r="O749" s="17">
        <f>IF('ORDENES'!$T745="preventiva",N749,0)</f>
        <v/>
      </c>
      <c r="P749" s="17">
        <f>IF('ORDENES'!$T745="correctiva",N749,0)</f>
        <v/>
      </c>
      <c r="Q749" s="3">
        <f>IF(AND(K749=1,'ORDENES'!$N745="Pendiente"),1,0)</f>
        <v/>
      </c>
      <c r="R749" s="3">
        <f>IF(Q749=1,100000-N749*1000+742*0.01,9000000000000+742)</f>
        <v/>
      </c>
      <c r="S749" s="3">
        <f>IF(Q749=1,SUMPRODUCT(--($R$8:$R$1207&lt;R749))+1,"")</f>
        <v/>
      </c>
      <c r="T749" s="12">
        <f>IF(K749=1,'ORDENES'!$J745,"")</f>
        <v/>
      </c>
    </row>
    <row r="750">
      <c r="K750" s="3">
        <f>IF(AND(IF($B$3="(todos)",TRUE,'ORDENES'!$O746=$B$3),IF($D$3="(todos)",TRUE,'ORDENES'!$AF746=$D$3),IF($F$3="(todos)",TRUE,'ORDENES'!$X746=$F$3),IF($H$3="(todos)",TRUE,'ORDENES'!$W746=$H$3),'ORDENES'!$AD746=TRUE,'ORDENES'!$A746&lt;&gt;""),1,0)</f>
        <v/>
      </c>
      <c r="L750" s="3">
        <f>IF(K750=1,IFERROR(MATCH('ORDENES'!$R746,lista_dias,0),9)*1000000000+IFERROR(MATCH('ORDENES'!$AF746,lista_turnos,0),9)*10000000+IFERROR(MATCH('ORDENES'!$AE746,tblTecnicos[nombre],0),99)*100000+743,9000000000000+743)</f>
        <v/>
      </c>
      <c r="M750" s="3">
        <f>IF(K750=1,SUMPRODUCT(--($L$8:$L$1207&lt;L750))+1,"")</f>
        <v/>
      </c>
      <c r="N750" s="17">
        <f>IF(K750=1,N('ORDENES'!$M746),0)</f>
        <v/>
      </c>
      <c r="O750" s="17">
        <f>IF('ORDENES'!$T746="preventiva",N750,0)</f>
        <v/>
      </c>
      <c r="P750" s="17">
        <f>IF('ORDENES'!$T746="correctiva",N750,0)</f>
        <v/>
      </c>
      <c r="Q750" s="3">
        <f>IF(AND(K750=1,'ORDENES'!$N746="Pendiente"),1,0)</f>
        <v/>
      </c>
      <c r="R750" s="3">
        <f>IF(Q750=1,100000-N750*1000+743*0.01,9000000000000+743)</f>
        <v/>
      </c>
      <c r="S750" s="3">
        <f>IF(Q750=1,SUMPRODUCT(--($R$8:$R$1207&lt;R750))+1,"")</f>
        <v/>
      </c>
      <c r="T750" s="12">
        <f>IF(K750=1,'ORDENES'!$J746,"")</f>
        <v/>
      </c>
    </row>
    <row r="751">
      <c r="K751" s="3">
        <f>IF(AND(IF($B$3="(todos)",TRUE,'ORDENES'!$O747=$B$3),IF($D$3="(todos)",TRUE,'ORDENES'!$AF747=$D$3),IF($F$3="(todos)",TRUE,'ORDENES'!$X747=$F$3),IF($H$3="(todos)",TRUE,'ORDENES'!$W747=$H$3),'ORDENES'!$AD747=TRUE,'ORDENES'!$A747&lt;&gt;""),1,0)</f>
        <v/>
      </c>
      <c r="L751" s="3">
        <f>IF(K751=1,IFERROR(MATCH('ORDENES'!$R747,lista_dias,0),9)*1000000000+IFERROR(MATCH('ORDENES'!$AF747,lista_turnos,0),9)*10000000+IFERROR(MATCH('ORDENES'!$AE747,tblTecnicos[nombre],0),99)*100000+744,9000000000000+744)</f>
        <v/>
      </c>
      <c r="M751" s="3">
        <f>IF(K751=1,SUMPRODUCT(--($L$8:$L$1207&lt;L751))+1,"")</f>
        <v/>
      </c>
      <c r="N751" s="17">
        <f>IF(K751=1,N('ORDENES'!$M747),0)</f>
        <v/>
      </c>
      <c r="O751" s="17">
        <f>IF('ORDENES'!$T747="preventiva",N751,0)</f>
        <v/>
      </c>
      <c r="P751" s="17">
        <f>IF('ORDENES'!$T747="correctiva",N751,0)</f>
        <v/>
      </c>
      <c r="Q751" s="3">
        <f>IF(AND(K751=1,'ORDENES'!$N747="Pendiente"),1,0)</f>
        <v/>
      </c>
      <c r="R751" s="3">
        <f>IF(Q751=1,100000-N751*1000+744*0.01,9000000000000+744)</f>
        <v/>
      </c>
      <c r="S751" s="3">
        <f>IF(Q751=1,SUMPRODUCT(--($R$8:$R$1207&lt;R751))+1,"")</f>
        <v/>
      </c>
      <c r="T751" s="12">
        <f>IF(K751=1,'ORDENES'!$J747,"")</f>
        <v/>
      </c>
    </row>
    <row r="752">
      <c r="K752" s="3">
        <f>IF(AND(IF($B$3="(todos)",TRUE,'ORDENES'!$O748=$B$3),IF($D$3="(todos)",TRUE,'ORDENES'!$AF748=$D$3),IF($F$3="(todos)",TRUE,'ORDENES'!$X748=$F$3),IF($H$3="(todos)",TRUE,'ORDENES'!$W748=$H$3),'ORDENES'!$AD748=TRUE,'ORDENES'!$A748&lt;&gt;""),1,0)</f>
        <v/>
      </c>
      <c r="L752" s="3">
        <f>IF(K752=1,IFERROR(MATCH('ORDENES'!$R748,lista_dias,0),9)*1000000000+IFERROR(MATCH('ORDENES'!$AF748,lista_turnos,0),9)*10000000+IFERROR(MATCH('ORDENES'!$AE748,tblTecnicos[nombre],0),99)*100000+745,9000000000000+745)</f>
        <v/>
      </c>
      <c r="M752" s="3">
        <f>IF(K752=1,SUMPRODUCT(--($L$8:$L$1207&lt;L752))+1,"")</f>
        <v/>
      </c>
      <c r="N752" s="17">
        <f>IF(K752=1,N('ORDENES'!$M748),0)</f>
        <v/>
      </c>
      <c r="O752" s="17">
        <f>IF('ORDENES'!$T748="preventiva",N752,0)</f>
        <v/>
      </c>
      <c r="P752" s="17">
        <f>IF('ORDENES'!$T748="correctiva",N752,0)</f>
        <v/>
      </c>
      <c r="Q752" s="3">
        <f>IF(AND(K752=1,'ORDENES'!$N748="Pendiente"),1,0)</f>
        <v/>
      </c>
      <c r="R752" s="3">
        <f>IF(Q752=1,100000-N752*1000+745*0.01,9000000000000+745)</f>
        <v/>
      </c>
      <c r="S752" s="3">
        <f>IF(Q752=1,SUMPRODUCT(--($R$8:$R$1207&lt;R752))+1,"")</f>
        <v/>
      </c>
      <c r="T752" s="12">
        <f>IF(K752=1,'ORDENES'!$J748,"")</f>
        <v/>
      </c>
    </row>
    <row r="753">
      <c r="K753" s="3">
        <f>IF(AND(IF($B$3="(todos)",TRUE,'ORDENES'!$O749=$B$3),IF($D$3="(todos)",TRUE,'ORDENES'!$AF749=$D$3),IF($F$3="(todos)",TRUE,'ORDENES'!$X749=$F$3),IF($H$3="(todos)",TRUE,'ORDENES'!$W749=$H$3),'ORDENES'!$AD749=TRUE,'ORDENES'!$A749&lt;&gt;""),1,0)</f>
        <v/>
      </c>
      <c r="L753" s="3">
        <f>IF(K753=1,IFERROR(MATCH('ORDENES'!$R749,lista_dias,0),9)*1000000000+IFERROR(MATCH('ORDENES'!$AF749,lista_turnos,0),9)*10000000+IFERROR(MATCH('ORDENES'!$AE749,tblTecnicos[nombre],0),99)*100000+746,9000000000000+746)</f>
        <v/>
      </c>
      <c r="M753" s="3">
        <f>IF(K753=1,SUMPRODUCT(--($L$8:$L$1207&lt;L753))+1,"")</f>
        <v/>
      </c>
      <c r="N753" s="17">
        <f>IF(K753=1,N('ORDENES'!$M749),0)</f>
        <v/>
      </c>
      <c r="O753" s="17">
        <f>IF('ORDENES'!$T749="preventiva",N753,0)</f>
        <v/>
      </c>
      <c r="P753" s="17">
        <f>IF('ORDENES'!$T749="correctiva",N753,0)</f>
        <v/>
      </c>
      <c r="Q753" s="3">
        <f>IF(AND(K753=1,'ORDENES'!$N749="Pendiente"),1,0)</f>
        <v/>
      </c>
      <c r="R753" s="3">
        <f>IF(Q753=1,100000-N753*1000+746*0.01,9000000000000+746)</f>
        <v/>
      </c>
      <c r="S753" s="3">
        <f>IF(Q753=1,SUMPRODUCT(--($R$8:$R$1207&lt;R753))+1,"")</f>
        <v/>
      </c>
      <c r="T753" s="12">
        <f>IF(K753=1,'ORDENES'!$J749,"")</f>
        <v/>
      </c>
    </row>
    <row r="754">
      <c r="K754" s="3">
        <f>IF(AND(IF($B$3="(todos)",TRUE,'ORDENES'!$O750=$B$3),IF($D$3="(todos)",TRUE,'ORDENES'!$AF750=$D$3),IF($F$3="(todos)",TRUE,'ORDENES'!$X750=$F$3),IF($H$3="(todos)",TRUE,'ORDENES'!$W750=$H$3),'ORDENES'!$AD750=TRUE,'ORDENES'!$A750&lt;&gt;""),1,0)</f>
        <v/>
      </c>
      <c r="L754" s="3">
        <f>IF(K754=1,IFERROR(MATCH('ORDENES'!$R750,lista_dias,0),9)*1000000000+IFERROR(MATCH('ORDENES'!$AF750,lista_turnos,0),9)*10000000+IFERROR(MATCH('ORDENES'!$AE750,tblTecnicos[nombre],0),99)*100000+747,9000000000000+747)</f>
        <v/>
      </c>
      <c r="M754" s="3">
        <f>IF(K754=1,SUMPRODUCT(--($L$8:$L$1207&lt;L754))+1,"")</f>
        <v/>
      </c>
      <c r="N754" s="17">
        <f>IF(K754=1,N('ORDENES'!$M750),0)</f>
        <v/>
      </c>
      <c r="O754" s="17">
        <f>IF('ORDENES'!$T750="preventiva",N754,0)</f>
        <v/>
      </c>
      <c r="P754" s="17">
        <f>IF('ORDENES'!$T750="correctiva",N754,0)</f>
        <v/>
      </c>
      <c r="Q754" s="3">
        <f>IF(AND(K754=1,'ORDENES'!$N750="Pendiente"),1,0)</f>
        <v/>
      </c>
      <c r="R754" s="3">
        <f>IF(Q754=1,100000-N754*1000+747*0.01,9000000000000+747)</f>
        <v/>
      </c>
      <c r="S754" s="3">
        <f>IF(Q754=1,SUMPRODUCT(--($R$8:$R$1207&lt;R754))+1,"")</f>
        <v/>
      </c>
      <c r="T754" s="12">
        <f>IF(K754=1,'ORDENES'!$J750,"")</f>
        <v/>
      </c>
    </row>
    <row r="755">
      <c r="K755" s="3">
        <f>IF(AND(IF($B$3="(todos)",TRUE,'ORDENES'!$O751=$B$3),IF($D$3="(todos)",TRUE,'ORDENES'!$AF751=$D$3),IF($F$3="(todos)",TRUE,'ORDENES'!$X751=$F$3),IF($H$3="(todos)",TRUE,'ORDENES'!$W751=$H$3),'ORDENES'!$AD751=TRUE,'ORDENES'!$A751&lt;&gt;""),1,0)</f>
        <v/>
      </c>
      <c r="L755" s="3">
        <f>IF(K755=1,IFERROR(MATCH('ORDENES'!$R751,lista_dias,0),9)*1000000000+IFERROR(MATCH('ORDENES'!$AF751,lista_turnos,0),9)*10000000+IFERROR(MATCH('ORDENES'!$AE751,tblTecnicos[nombre],0),99)*100000+748,9000000000000+748)</f>
        <v/>
      </c>
      <c r="M755" s="3">
        <f>IF(K755=1,SUMPRODUCT(--($L$8:$L$1207&lt;L755))+1,"")</f>
        <v/>
      </c>
      <c r="N755" s="17">
        <f>IF(K755=1,N('ORDENES'!$M751),0)</f>
        <v/>
      </c>
      <c r="O755" s="17">
        <f>IF('ORDENES'!$T751="preventiva",N755,0)</f>
        <v/>
      </c>
      <c r="P755" s="17">
        <f>IF('ORDENES'!$T751="correctiva",N755,0)</f>
        <v/>
      </c>
      <c r="Q755" s="3">
        <f>IF(AND(K755=1,'ORDENES'!$N751="Pendiente"),1,0)</f>
        <v/>
      </c>
      <c r="R755" s="3">
        <f>IF(Q755=1,100000-N755*1000+748*0.01,9000000000000+748)</f>
        <v/>
      </c>
      <c r="S755" s="3">
        <f>IF(Q755=1,SUMPRODUCT(--($R$8:$R$1207&lt;R755))+1,"")</f>
        <v/>
      </c>
      <c r="T755" s="12">
        <f>IF(K755=1,'ORDENES'!$J751,"")</f>
        <v/>
      </c>
    </row>
    <row r="756">
      <c r="K756" s="3">
        <f>IF(AND(IF($B$3="(todos)",TRUE,'ORDENES'!$O752=$B$3),IF($D$3="(todos)",TRUE,'ORDENES'!$AF752=$D$3),IF($F$3="(todos)",TRUE,'ORDENES'!$X752=$F$3),IF($H$3="(todos)",TRUE,'ORDENES'!$W752=$H$3),'ORDENES'!$AD752=TRUE,'ORDENES'!$A752&lt;&gt;""),1,0)</f>
        <v/>
      </c>
      <c r="L756" s="3">
        <f>IF(K756=1,IFERROR(MATCH('ORDENES'!$R752,lista_dias,0),9)*1000000000+IFERROR(MATCH('ORDENES'!$AF752,lista_turnos,0),9)*10000000+IFERROR(MATCH('ORDENES'!$AE752,tblTecnicos[nombre],0),99)*100000+749,9000000000000+749)</f>
        <v/>
      </c>
      <c r="M756" s="3">
        <f>IF(K756=1,SUMPRODUCT(--($L$8:$L$1207&lt;L756))+1,"")</f>
        <v/>
      </c>
      <c r="N756" s="17">
        <f>IF(K756=1,N('ORDENES'!$M752),0)</f>
        <v/>
      </c>
      <c r="O756" s="17">
        <f>IF('ORDENES'!$T752="preventiva",N756,0)</f>
        <v/>
      </c>
      <c r="P756" s="17">
        <f>IF('ORDENES'!$T752="correctiva",N756,0)</f>
        <v/>
      </c>
      <c r="Q756" s="3">
        <f>IF(AND(K756=1,'ORDENES'!$N752="Pendiente"),1,0)</f>
        <v/>
      </c>
      <c r="R756" s="3">
        <f>IF(Q756=1,100000-N756*1000+749*0.01,9000000000000+749)</f>
        <v/>
      </c>
      <c r="S756" s="3">
        <f>IF(Q756=1,SUMPRODUCT(--($R$8:$R$1207&lt;R756))+1,"")</f>
        <v/>
      </c>
      <c r="T756" s="12">
        <f>IF(K756=1,'ORDENES'!$J752,"")</f>
        <v/>
      </c>
    </row>
    <row r="757">
      <c r="K757" s="3">
        <f>IF(AND(IF($B$3="(todos)",TRUE,'ORDENES'!$O753=$B$3),IF($D$3="(todos)",TRUE,'ORDENES'!$AF753=$D$3),IF($F$3="(todos)",TRUE,'ORDENES'!$X753=$F$3),IF($H$3="(todos)",TRUE,'ORDENES'!$W753=$H$3),'ORDENES'!$AD753=TRUE,'ORDENES'!$A753&lt;&gt;""),1,0)</f>
        <v/>
      </c>
      <c r="L757" s="3">
        <f>IF(K757=1,IFERROR(MATCH('ORDENES'!$R753,lista_dias,0),9)*1000000000+IFERROR(MATCH('ORDENES'!$AF753,lista_turnos,0),9)*10000000+IFERROR(MATCH('ORDENES'!$AE753,tblTecnicos[nombre],0),99)*100000+750,9000000000000+750)</f>
        <v/>
      </c>
      <c r="M757" s="3">
        <f>IF(K757=1,SUMPRODUCT(--($L$8:$L$1207&lt;L757))+1,"")</f>
        <v/>
      </c>
      <c r="N757" s="17">
        <f>IF(K757=1,N('ORDENES'!$M753),0)</f>
        <v/>
      </c>
      <c r="O757" s="17">
        <f>IF('ORDENES'!$T753="preventiva",N757,0)</f>
        <v/>
      </c>
      <c r="P757" s="17">
        <f>IF('ORDENES'!$T753="correctiva",N757,0)</f>
        <v/>
      </c>
      <c r="Q757" s="3">
        <f>IF(AND(K757=1,'ORDENES'!$N753="Pendiente"),1,0)</f>
        <v/>
      </c>
      <c r="R757" s="3">
        <f>IF(Q757=1,100000-N757*1000+750*0.01,9000000000000+750)</f>
        <v/>
      </c>
      <c r="S757" s="3">
        <f>IF(Q757=1,SUMPRODUCT(--($R$8:$R$1207&lt;R757))+1,"")</f>
        <v/>
      </c>
      <c r="T757" s="12">
        <f>IF(K757=1,'ORDENES'!$J753,"")</f>
        <v/>
      </c>
    </row>
    <row r="758">
      <c r="K758" s="3">
        <f>IF(AND(IF($B$3="(todos)",TRUE,'ORDENES'!$O754=$B$3),IF($D$3="(todos)",TRUE,'ORDENES'!$AF754=$D$3),IF($F$3="(todos)",TRUE,'ORDENES'!$X754=$F$3),IF($H$3="(todos)",TRUE,'ORDENES'!$W754=$H$3),'ORDENES'!$AD754=TRUE,'ORDENES'!$A754&lt;&gt;""),1,0)</f>
        <v/>
      </c>
      <c r="L758" s="3">
        <f>IF(K758=1,IFERROR(MATCH('ORDENES'!$R754,lista_dias,0),9)*1000000000+IFERROR(MATCH('ORDENES'!$AF754,lista_turnos,0),9)*10000000+IFERROR(MATCH('ORDENES'!$AE754,tblTecnicos[nombre],0),99)*100000+751,9000000000000+751)</f>
        <v/>
      </c>
      <c r="M758" s="3">
        <f>IF(K758=1,SUMPRODUCT(--($L$8:$L$1207&lt;L758))+1,"")</f>
        <v/>
      </c>
      <c r="N758" s="17">
        <f>IF(K758=1,N('ORDENES'!$M754),0)</f>
        <v/>
      </c>
      <c r="O758" s="17">
        <f>IF('ORDENES'!$T754="preventiva",N758,0)</f>
        <v/>
      </c>
      <c r="P758" s="17">
        <f>IF('ORDENES'!$T754="correctiva",N758,0)</f>
        <v/>
      </c>
      <c r="Q758" s="3">
        <f>IF(AND(K758=1,'ORDENES'!$N754="Pendiente"),1,0)</f>
        <v/>
      </c>
      <c r="R758" s="3">
        <f>IF(Q758=1,100000-N758*1000+751*0.01,9000000000000+751)</f>
        <v/>
      </c>
      <c r="S758" s="3">
        <f>IF(Q758=1,SUMPRODUCT(--($R$8:$R$1207&lt;R758))+1,"")</f>
        <v/>
      </c>
      <c r="T758" s="12">
        <f>IF(K758=1,'ORDENES'!$J754,"")</f>
        <v/>
      </c>
    </row>
    <row r="759">
      <c r="K759" s="3">
        <f>IF(AND(IF($B$3="(todos)",TRUE,'ORDENES'!$O755=$B$3),IF($D$3="(todos)",TRUE,'ORDENES'!$AF755=$D$3),IF($F$3="(todos)",TRUE,'ORDENES'!$X755=$F$3),IF($H$3="(todos)",TRUE,'ORDENES'!$W755=$H$3),'ORDENES'!$AD755=TRUE,'ORDENES'!$A755&lt;&gt;""),1,0)</f>
        <v/>
      </c>
      <c r="L759" s="3">
        <f>IF(K759=1,IFERROR(MATCH('ORDENES'!$R755,lista_dias,0),9)*1000000000+IFERROR(MATCH('ORDENES'!$AF755,lista_turnos,0),9)*10000000+IFERROR(MATCH('ORDENES'!$AE755,tblTecnicos[nombre],0),99)*100000+752,9000000000000+752)</f>
        <v/>
      </c>
      <c r="M759" s="3">
        <f>IF(K759=1,SUMPRODUCT(--($L$8:$L$1207&lt;L759))+1,"")</f>
        <v/>
      </c>
      <c r="N759" s="17">
        <f>IF(K759=1,N('ORDENES'!$M755),0)</f>
        <v/>
      </c>
      <c r="O759" s="17">
        <f>IF('ORDENES'!$T755="preventiva",N759,0)</f>
        <v/>
      </c>
      <c r="P759" s="17">
        <f>IF('ORDENES'!$T755="correctiva",N759,0)</f>
        <v/>
      </c>
      <c r="Q759" s="3">
        <f>IF(AND(K759=1,'ORDENES'!$N755="Pendiente"),1,0)</f>
        <v/>
      </c>
      <c r="R759" s="3">
        <f>IF(Q759=1,100000-N759*1000+752*0.01,9000000000000+752)</f>
        <v/>
      </c>
      <c r="S759" s="3">
        <f>IF(Q759=1,SUMPRODUCT(--($R$8:$R$1207&lt;R759))+1,"")</f>
        <v/>
      </c>
      <c r="T759" s="12">
        <f>IF(K759=1,'ORDENES'!$J755,"")</f>
        <v/>
      </c>
    </row>
    <row r="760">
      <c r="K760" s="3">
        <f>IF(AND(IF($B$3="(todos)",TRUE,'ORDENES'!$O756=$B$3),IF($D$3="(todos)",TRUE,'ORDENES'!$AF756=$D$3),IF($F$3="(todos)",TRUE,'ORDENES'!$X756=$F$3),IF($H$3="(todos)",TRUE,'ORDENES'!$W756=$H$3),'ORDENES'!$AD756=TRUE,'ORDENES'!$A756&lt;&gt;""),1,0)</f>
        <v/>
      </c>
      <c r="L760" s="3">
        <f>IF(K760=1,IFERROR(MATCH('ORDENES'!$R756,lista_dias,0),9)*1000000000+IFERROR(MATCH('ORDENES'!$AF756,lista_turnos,0),9)*10000000+IFERROR(MATCH('ORDENES'!$AE756,tblTecnicos[nombre],0),99)*100000+753,9000000000000+753)</f>
        <v/>
      </c>
      <c r="M760" s="3">
        <f>IF(K760=1,SUMPRODUCT(--($L$8:$L$1207&lt;L760))+1,"")</f>
        <v/>
      </c>
      <c r="N760" s="17">
        <f>IF(K760=1,N('ORDENES'!$M756),0)</f>
        <v/>
      </c>
      <c r="O760" s="17">
        <f>IF('ORDENES'!$T756="preventiva",N760,0)</f>
        <v/>
      </c>
      <c r="P760" s="17">
        <f>IF('ORDENES'!$T756="correctiva",N760,0)</f>
        <v/>
      </c>
      <c r="Q760" s="3">
        <f>IF(AND(K760=1,'ORDENES'!$N756="Pendiente"),1,0)</f>
        <v/>
      </c>
      <c r="R760" s="3">
        <f>IF(Q760=1,100000-N760*1000+753*0.01,9000000000000+753)</f>
        <v/>
      </c>
      <c r="S760" s="3">
        <f>IF(Q760=1,SUMPRODUCT(--($R$8:$R$1207&lt;R760))+1,"")</f>
        <v/>
      </c>
      <c r="T760" s="12">
        <f>IF(K760=1,'ORDENES'!$J756,"")</f>
        <v/>
      </c>
    </row>
    <row r="761">
      <c r="K761" s="3">
        <f>IF(AND(IF($B$3="(todos)",TRUE,'ORDENES'!$O757=$B$3),IF($D$3="(todos)",TRUE,'ORDENES'!$AF757=$D$3),IF($F$3="(todos)",TRUE,'ORDENES'!$X757=$F$3),IF($H$3="(todos)",TRUE,'ORDENES'!$W757=$H$3),'ORDENES'!$AD757=TRUE,'ORDENES'!$A757&lt;&gt;""),1,0)</f>
        <v/>
      </c>
      <c r="L761" s="3">
        <f>IF(K761=1,IFERROR(MATCH('ORDENES'!$R757,lista_dias,0),9)*1000000000+IFERROR(MATCH('ORDENES'!$AF757,lista_turnos,0),9)*10000000+IFERROR(MATCH('ORDENES'!$AE757,tblTecnicos[nombre],0),99)*100000+754,9000000000000+754)</f>
        <v/>
      </c>
      <c r="M761" s="3">
        <f>IF(K761=1,SUMPRODUCT(--($L$8:$L$1207&lt;L761))+1,"")</f>
        <v/>
      </c>
      <c r="N761" s="17">
        <f>IF(K761=1,N('ORDENES'!$M757),0)</f>
        <v/>
      </c>
      <c r="O761" s="17">
        <f>IF('ORDENES'!$T757="preventiva",N761,0)</f>
        <v/>
      </c>
      <c r="P761" s="17">
        <f>IF('ORDENES'!$T757="correctiva",N761,0)</f>
        <v/>
      </c>
      <c r="Q761" s="3">
        <f>IF(AND(K761=1,'ORDENES'!$N757="Pendiente"),1,0)</f>
        <v/>
      </c>
      <c r="R761" s="3">
        <f>IF(Q761=1,100000-N761*1000+754*0.01,9000000000000+754)</f>
        <v/>
      </c>
      <c r="S761" s="3">
        <f>IF(Q761=1,SUMPRODUCT(--($R$8:$R$1207&lt;R761))+1,"")</f>
        <v/>
      </c>
      <c r="T761" s="12">
        <f>IF(K761=1,'ORDENES'!$J757,"")</f>
        <v/>
      </c>
    </row>
    <row r="762">
      <c r="K762" s="3">
        <f>IF(AND(IF($B$3="(todos)",TRUE,'ORDENES'!$O758=$B$3),IF($D$3="(todos)",TRUE,'ORDENES'!$AF758=$D$3),IF($F$3="(todos)",TRUE,'ORDENES'!$X758=$F$3),IF($H$3="(todos)",TRUE,'ORDENES'!$W758=$H$3),'ORDENES'!$AD758=TRUE,'ORDENES'!$A758&lt;&gt;""),1,0)</f>
        <v/>
      </c>
      <c r="L762" s="3">
        <f>IF(K762=1,IFERROR(MATCH('ORDENES'!$R758,lista_dias,0),9)*1000000000+IFERROR(MATCH('ORDENES'!$AF758,lista_turnos,0),9)*10000000+IFERROR(MATCH('ORDENES'!$AE758,tblTecnicos[nombre],0),99)*100000+755,9000000000000+755)</f>
        <v/>
      </c>
      <c r="M762" s="3">
        <f>IF(K762=1,SUMPRODUCT(--($L$8:$L$1207&lt;L762))+1,"")</f>
        <v/>
      </c>
      <c r="N762" s="17">
        <f>IF(K762=1,N('ORDENES'!$M758),0)</f>
        <v/>
      </c>
      <c r="O762" s="17">
        <f>IF('ORDENES'!$T758="preventiva",N762,0)</f>
        <v/>
      </c>
      <c r="P762" s="17">
        <f>IF('ORDENES'!$T758="correctiva",N762,0)</f>
        <v/>
      </c>
      <c r="Q762" s="3">
        <f>IF(AND(K762=1,'ORDENES'!$N758="Pendiente"),1,0)</f>
        <v/>
      </c>
      <c r="R762" s="3">
        <f>IF(Q762=1,100000-N762*1000+755*0.01,9000000000000+755)</f>
        <v/>
      </c>
      <c r="S762" s="3">
        <f>IF(Q762=1,SUMPRODUCT(--($R$8:$R$1207&lt;R762))+1,"")</f>
        <v/>
      </c>
      <c r="T762" s="12">
        <f>IF(K762=1,'ORDENES'!$J758,"")</f>
        <v/>
      </c>
    </row>
    <row r="763">
      <c r="K763" s="3">
        <f>IF(AND(IF($B$3="(todos)",TRUE,'ORDENES'!$O759=$B$3),IF($D$3="(todos)",TRUE,'ORDENES'!$AF759=$D$3),IF($F$3="(todos)",TRUE,'ORDENES'!$X759=$F$3),IF($H$3="(todos)",TRUE,'ORDENES'!$W759=$H$3),'ORDENES'!$AD759=TRUE,'ORDENES'!$A759&lt;&gt;""),1,0)</f>
        <v/>
      </c>
      <c r="L763" s="3">
        <f>IF(K763=1,IFERROR(MATCH('ORDENES'!$R759,lista_dias,0),9)*1000000000+IFERROR(MATCH('ORDENES'!$AF759,lista_turnos,0),9)*10000000+IFERROR(MATCH('ORDENES'!$AE759,tblTecnicos[nombre],0),99)*100000+756,9000000000000+756)</f>
        <v/>
      </c>
      <c r="M763" s="3">
        <f>IF(K763=1,SUMPRODUCT(--($L$8:$L$1207&lt;L763))+1,"")</f>
        <v/>
      </c>
      <c r="N763" s="17">
        <f>IF(K763=1,N('ORDENES'!$M759),0)</f>
        <v/>
      </c>
      <c r="O763" s="17">
        <f>IF('ORDENES'!$T759="preventiva",N763,0)</f>
        <v/>
      </c>
      <c r="P763" s="17">
        <f>IF('ORDENES'!$T759="correctiva",N763,0)</f>
        <v/>
      </c>
      <c r="Q763" s="3">
        <f>IF(AND(K763=1,'ORDENES'!$N759="Pendiente"),1,0)</f>
        <v/>
      </c>
      <c r="R763" s="3">
        <f>IF(Q763=1,100000-N763*1000+756*0.01,9000000000000+756)</f>
        <v/>
      </c>
      <c r="S763" s="3">
        <f>IF(Q763=1,SUMPRODUCT(--($R$8:$R$1207&lt;R763))+1,"")</f>
        <v/>
      </c>
      <c r="T763" s="12">
        <f>IF(K763=1,'ORDENES'!$J759,"")</f>
        <v/>
      </c>
    </row>
    <row r="764">
      <c r="K764" s="3">
        <f>IF(AND(IF($B$3="(todos)",TRUE,'ORDENES'!$O760=$B$3),IF($D$3="(todos)",TRUE,'ORDENES'!$AF760=$D$3),IF($F$3="(todos)",TRUE,'ORDENES'!$X760=$F$3),IF($H$3="(todos)",TRUE,'ORDENES'!$W760=$H$3),'ORDENES'!$AD760=TRUE,'ORDENES'!$A760&lt;&gt;""),1,0)</f>
        <v/>
      </c>
      <c r="L764" s="3">
        <f>IF(K764=1,IFERROR(MATCH('ORDENES'!$R760,lista_dias,0),9)*1000000000+IFERROR(MATCH('ORDENES'!$AF760,lista_turnos,0),9)*10000000+IFERROR(MATCH('ORDENES'!$AE760,tblTecnicos[nombre],0),99)*100000+757,9000000000000+757)</f>
        <v/>
      </c>
      <c r="M764" s="3">
        <f>IF(K764=1,SUMPRODUCT(--($L$8:$L$1207&lt;L764))+1,"")</f>
        <v/>
      </c>
      <c r="N764" s="17">
        <f>IF(K764=1,N('ORDENES'!$M760),0)</f>
        <v/>
      </c>
      <c r="O764" s="17">
        <f>IF('ORDENES'!$T760="preventiva",N764,0)</f>
        <v/>
      </c>
      <c r="P764" s="17">
        <f>IF('ORDENES'!$T760="correctiva",N764,0)</f>
        <v/>
      </c>
      <c r="Q764" s="3">
        <f>IF(AND(K764=1,'ORDENES'!$N760="Pendiente"),1,0)</f>
        <v/>
      </c>
      <c r="R764" s="3">
        <f>IF(Q764=1,100000-N764*1000+757*0.01,9000000000000+757)</f>
        <v/>
      </c>
      <c r="S764" s="3">
        <f>IF(Q764=1,SUMPRODUCT(--($R$8:$R$1207&lt;R764))+1,"")</f>
        <v/>
      </c>
      <c r="T764" s="12">
        <f>IF(K764=1,'ORDENES'!$J760,"")</f>
        <v/>
      </c>
    </row>
    <row r="765">
      <c r="K765" s="3">
        <f>IF(AND(IF($B$3="(todos)",TRUE,'ORDENES'!$O761=$B$3),IF($D$3="(todos)",TRUE,'ORDENES'!$AF761=$D$3),IF($F$3="(todos)",TRUE,'ORDENES'!$X761=$F$3),IF($H$3="(todos)",TRUE,'ORDENES'!$W761=$H$3),'ORDENES'!$AD761=TRUE,'ORDENES'!$A761&lt;&gt;""),1,0)</f>
        <v/>
      </c>
      <c r="L765" s="3">
        <f>IF(K765=1,IFERROR(MATCH('ORDENES'!$R761,lista_dias,0),9)*1000000000+IFERROR(MATCH('ORDENES'!$AF761,lista_turnos,0),9)*10000000+IFERROR(MATCH('ORDENES'!$AE761,tblTecnicos[nombre],0),99)*100000+758,9000000000000+758)</f>
        <v/>
      </c>
      <c r="M765" s="3">
        <f>IF(K765=1,SUMPRODUCT(--($L$8:$L$1207&lt;L765))+1,"")</f>
        <v/>
      </c>
      <c r="N765" s="17">
        <f>IF(K765=1,N('ORDENES'!$M761),0)</f>
        <v/>
      </c>
      <c r="O765" s="17">
        <f>IF('ORDENES'!$T761="preventiva",N765,0)</f>
        <v/>
      </c>
      <c r="P765" s="17">
        <f>IF('ORDENES'!$T761="correctiva",N765,0)</f>
        <v/>
      </c>
      <c r="Q765" s="3">
        <f>IF(AND(K765=1,'ORDENES'!$N761="Pendiente"),1,0)</f>
        <v/>
      </c>
      <c r="R765" s="3">
        <f>IF(Q765=1,100000-N765*1000+758*0.01,9000000000000+758)</f>
        <v/>
      </c>
      <c r="S765" s="3">
        <f>IF(Q765=1,SUMPRODUCT(--($R$8:$R$1207&lt;R765))+1,"")</f>
        <v/>
      </c>
      <c r="T765" s="12">
        <f>IF(K765=1,'ORDENES'!$J761,"")</f>
        <v/>
      </c>
    </row>
    <row r="766">
      <c r="K766" s="3">
        <f>IF(AND(IF($B$3="(todos)",TRUE,'ORDENES'!$O762=$B$3),IF($D$3="(todos)",TRUE,'ORDENES'!$AF762=$D$3),IF($F$3="(todos)",TRUE,'ORDENES'!$X762=$F$3),IF($H$3="(todos)",TRUE,'ORDENES'!$W762=$H$3),'ORDENES'!$AD762=TRUE,'ORDENES'!$A762&lt;&gt;""),1,0)</f>
        <v/>
      </c>
      <c r="L766" s="3">
        <f>IF(K766=1,IFERROR(MATCH('ORDENES'!$R762,lista_dias,0),9)*1000000000+IFERROR(MATCH('ORDENES'!$AF762,lista_turnos,0),9)*10000000+IFERROR(MATCH('ORDENES'!$AE762,tblTecnicos[nombre],0),99)*100000+759,9000000000000+759)</f>
        <v/>
      </c>
      <c r="M766" s="3">
        <f>IF(K766=1,SUMPRODUCT(--($L$8:$L$1207&lt;L766))+1,"")</f>
        <v/>
      </c>
      <c r="N766" s="17">
        <f>IF(K766=1,N('ORDENES'!$M762),0)</f>
        <v/>
      </c>
      <c r="O766" s="17">
        <f>IF('ORDENES'!$T762="preventiva",N766,0)</f>
        <v/>
      </c>
      <c r="P766" s="17">
        <f>IF('ORDENES'!$T762="correctiva",N766,0)</f>
        <v/>
      </c>
      <c r="Q766" s="3">
        <f>IF(AND(K766=1,'ORDENES'!$N762="Pendiente"),1,0)</f>
        <v/>
      </c>
      <c r="R766" s="3">
        <f>IF(Q766=1,100000-N766*1000+759*0.01,9000000000000+759)</f>
        <v/>
      </c>
      <c r="S766" s="3">
        <f>IF(Q766=1,SUMPRODUCT(--($R$8:$R$1207&lt;R766))+1,"")</f>
        <v/>
      </c>
      <c r="T766" s="12">
        <f>IF(K766=1,'ORDENES'!$J762,"")</f>
        <v/>
      </c>
    </row>
    <row r="767">
      <c r="K767" s="3">
        <f>IF(AND(IF($B$3="(todos)",TRUE,'ORDENES'!$O763=$B$3),IF($D$3="(todos)",TRUE,'ORDENES'!$AF763=$D$3),IF($F$3="(todos)",TRUE,'ORDENES'!$X763=$F$3),IF($H$3="(todos)",TRUE,'ORDENES'!$W763=$H$3),'ORDENES'!$AD763=TRUE,'ORDENES'!$A763&lt;&gt;""),1,0)</f>
        <v/>
      </c>
      <c r="L767" s="3">
        <f>IF(K767=1,IFERROR(MATCH('ORDENES'!$R763,lista_dias,0),9)*1000000000+IFERROR(MATCH('ORDENES'!$AF763,lista_turnos,0),9)*10000000+IFERROR(MATCH('ORDENES'!$AE763,tblTecnicos[nombre],0),99)*100000+760,9000000000000+760)</f>
        <v/>
      </c>
      <c r="M767" s="3">
        <f>IF(K767=1,SUMPRODUCT(--($L$8:$L$1207&lt;L767))+1,"")</f>
        <v/>
      </c>
      <c r="N767" s="17">
        <f>IF(K767=1,N('ORDENES'!$M763),0)</f>
        <v/>
      </c>
      <c r="O767" s="17">
        <f>IF('ORDENES'!$T763="preventiva",N767,0)</f>
        <v/>
      </c>
      <c r="P767" s="17">
        <f>IF('ORDENES'!$T763="correctiva",N767,0)</f>
        <v/>
      </c>
      <c r="Q767" s="3">
        <f>IF(AND(K767=1,'ORDENES'!$N763="Pendiente"),1,0)</f>
        <v/>
      </c>
      <c r="R767" s="3">
        <f>IF(Q767=1,100000-N767*1000+760*0.01,9000000000000+760)</f>
        <v/>
      </c>
      <c r="S767" s="3">
        <f>IF(Q767=1,SUMPRODUCT(--($R$8:$R$1207&lt;R767))+1,"")</f>
        <v/>
      </c>
      <c r="T767" s="12">
        <f>IF(K767=1,'ORDENES'!$J763,"")</f>
        <v/>
      </c>
    </row>
    <row r="768">
      <c r="K768" s="3">
        <f>IF(AND(IF($B$3="(todos)",TRUE,'ORDENES'!$O764=$B$3),IF($D$3="(todos)",TRUE,'ORDENES'!$AF764=$D$3),IF($F$3="(todos)",TRUE,'ORDENES'!$X764=$F$3),IF($H$3="(todos)",TRUE,'ORDENES'!$W764=$H$3),'ORDENES'!$AD764=TRUE,'ORDENES'!$A764&lt;&gt;""),1,0)</f>
        <v/>
      </c>
      <c r="L768" s="3">
        <f>IF(K768=1,IFERROR(MATCH('ORDENES'!$R764,lista_dias,0),9)*1000000000+IFERROR(MATCH('ORDENES'!$AF764,lista_turnos,0),9)*10000000+IFERROR(MATCH('ORDENES'!$AE764,tblTecnicos[nombre],0),99)*100000+761,9000000000000+761)</f>
        <v/>
      </c>
      <c r="M768" s="3">
        <f>IF(K768=1,SUMPRODUCT(--($L$8:$L$1207&lt;L768))+1,"")</f>
        <v/>
      </c>
      <c r="N768" s="17">
        <f>IF(K768=1,N('ORDENES'!$M764),0)</f>
        <v/>
      </c>
      <c r="O768" s="17">
        <f>IF('ORDENES'!$T764="preventiva",N768,0)</f>
        <v/>
      </c>
      <c r="P768" s="17">
        <f>IF('ORDENES'!$T764="correctiva",N768,0)</f>
        <v/>
      </c>
      <c r="Q768" s="3">
        <f>IF(AND(K768=1,'ORDENES'!$N764="Pendiente"),1,0)</f>
        <v/>
      </c>
      <c r="R768" s="3">
        <f>IF(Q768=1,100000-N768*1000+761*0.01,9000000000000+761)</f>
        <v/>
      </c>
      <c r="S768" s="3">
        <f>IF(Q768=1,SUMPRODUCT(--($R$8:$R$1207&lt;R768))+1,"")</f>
        <v/>
      </c>
      <c r="T768" s="12">
        <f>IF(K768=1,'ORDENES'!$J764,"")</f>
        <v/>
      </c>
    </row>
    <row r="769">
      <c r="K769" s="3">
        <f>IF(AND(IF($B$3="(todos)",TRUE,'ORDENES'!$O765=$B$3),IF($D$3="(todos)",TRUE,'ORDENES'!$AF765=$D$3),IF($F$3="(todos)",TRUE,'ORDENES'!$X765=$F$3),IF($H$3="(todos)",TRUE,'ORDENES'!$W765=$H$3),'ORDENES'!$AD765=TRUE,'ORDENES'!$A765&lt;&gt;""),1,0)</f>
        <v/>
      </c>
      <c r="L769" s="3">
        <f>IF(K769=1,IFERROR(MATCH('ORDENES'!$R765,lista_dias,0),9)*1000000000+IFERROR(MATCH('ORDENES'!$AF765,lista_turnos,0),9)*10000000+IFERROR(MATCH('ORDENES'!$AE765,tblTecnicos[nombre],0),99)*100000+762,9000000000000+762)</f>
        <v/>
      </c>
      <c r="M769" s="3">
        <f>IF(K769=1,SUMPRODUCT(--($L$8:$L$1207&lt;L769))+1,"")</f>
        <v/>
      </c>
      <c r="N769" s="17">
        <f>IF(K769=1,N('ORDENES'!$M765),0)</f>
        <v/>
      </c>
      <c r="O769" s="17">
        <f>IF('ORDENES'!$T765="preventiva",N769,0)</f>
        <v/>
      </c>
      <c r="P769" s="17">
        <f>IF('ORDENES'!$T765="correctiva",N769,0)</f>
        <v/>
      </c>
      <c r="Q769" s="3">
        <f>IF(AND(K769=1,'ORDENES'!$N765="Pendiente"),1,0)</f>
        <v/>
      </c>
      <c r="R769" s="3">
        <f>IF(Q769=1,100000-N769*1000+762*0.01,9000000000000+762)</f>
        <v/>
      </c>
      <c r="S769" s="3">
        <f>IF(Q769=1,SUMPRODUCT(--($R$8:$R$1207&lt;R769))+1,"")</f>
        <v/>
      </c>
      <c r="T769" s="12">
        <f>IF(K769=1,'ORDENES'!$J765,"")</f>
        <v/>
      </c>
    </row>
    <row r="770">
      <c r="K770" s="3">
        <f>IF(AND(IF($B$3="(todos)",TRUE,'ORDENES'!$O766=$B$3),IF($D$3="(todos)",TRUE,'ORDENES'!$AF766=$D$3),IF($F$3="(todos)",TRUE,'ORDENES'!$X766=$F$3),IF($H$3="(todos)",TRUE,'ORDENES'!$W766=$H$3),'ORDENES'!$AD766=TRUE,'ORDENES'!$A766&lt;&gt;""),1,0)</f>
        <v/>
      </c>
      <c r="L770" s="3">
        <f>IF(K770=1,IFERROR(MATCH('ORDENES'!$R766,lista_dias,0),9)*1000000000+IFERROR(MATCH('ORDENES'!$AF766,lista_turnos,0),9)*10000000+IFERROR(MATCH('ORDENES'!$AE766,tblTecnicos[nombre],0),99)*100000+763,9000000000000+763)</f>
        <v/>
      </c>
      <c r="M770" s="3">
        <f>IF(K770=1,SUMPRODUCT(--($L$8:$L$1207&lt;L770))+1,"")</f>
        <v/>
      </c>
      <c r="N770" s="17">
        <f>IF(K770=1,N('ORDENES'!$M766),0)</f>
        <v/>
      </c>
      <c r="O770" s="17">
        <f>IF('ORDENES'!$T766="preventiva",N770,0)</f>
        <v/>
      </c>
      <c r="P770" s="17">
        <f>IF('ORDENES'!$T766="correctiva",N770,0)</f>
        <v/>
      </c>
      <c r="Q770" s="3">
        <f>IF(AND(K770=1,'ORDENES'!$N766="Pendiente"),1,0)</f>
        <v/>
      </c>
      <c r="R770" s="3">
        <f>IF(Q770=1,100000-N770*1000+763*0.01,9000000000000+763)</f>
        <v/>
      </c>
      <c r="S770" s="3">
        <f>IF(Q770=1,SUMPRODUCT(--($R$8:$R$1207&lt;R770))+1,"")</f>
        <v/>
      </c>
      <c r="T770" s="12">
        <f>IF(K770=1,'ORDENES'!$J766,"")</f>
        <v/>
      </c>
    </row>
    <row r="771">
      <c r="K771" s="3">
        <f>IF(AND(IF($B$3="(todos)",TRUE,'ORDENES'!$O767=$B$3),IF($D$3="(todos)",TRUE,'ORDENES'!$AF767=$D$3),IF($F$3="(todos)",TRUE,'ORDENES'!$X767=$F$3),IF($H$3="(todos)",TRUE,'ORDENES'!$W767=$H$3),'ORDENES'!$AD767=TRUE,'ORDENES'!$A767&lt;&gt;""),1,0)</f>
        <v/>
      </c>
      <c r="L771" s="3">
        <f>IF(K771=1,IFERROR(MATCH('ORDENES'!$R767,lista_dias,0),9)*1000000000+IFERROR(MATCH('ORDENES'!$AF767,lista_turnos,0),9)*10000000+IFERROR(MATCH('ORDENES'!$AE767,tblTecnicos[nombre],0),99)*100000+764,9000000000000+764)</f>
        <v/>
      </c>
      <c r="M771" s="3">
        <f>IF(K771=1,SUMPRODUCT(--($L$8:$L$1207&lt;L771))+1,"")</f>
        <v/>
      </c>
      <c r="N771" s="17">
        <f>IF(K771=1,N('ORDENES'!$M767),0)</f>
        <v/>
      </c>
      <c r="O771" s="17">
        <f>IF('ORDENES'!$T767="preventiva",N771,0)</f>
        <v/>
      </c>
      <c r="P771" s="17">
        <f>IF('ORDENES'!$T767="correctiva",N771,0)</f>
        <v/>
      </c>
      <c r="Q771" s="3">
        <f>IF(AND(K771=1,'ORDENES'!$N767="Pendiente"),1,0)</f>
        <v/>
      </c>
      <c r="R771" s="3">
        <f>IF(Q771=1,100000-N771*1000+764*0.01,9000000000000+764)</f>
        <v/>
      </c>
      <c r="S771" s="3">
        <f>IF(Q771=1,SUMPRODUCT(--($R$8:$R$1207&lt;R771))+1,"")</f>
        <v/>
      </c>
      <c r="T771" s="12">
        <f>IF(K771=1,'ORDENES'!$J767,"")</f>
        <v/>
      </c>
    </row>
    <row r="772">
      <c r="K772" s="3">
        <f>IF(AND(IF($B$3="(todos)",TRUE,'ORDENES'!$O768=$B$3),IF($D$3="(todos)",TRUE,'ORDENES'!$AF768=$D$3),IF($F$3="(todos)",TRUE,'ORDENES'!$X768=$F$3),IF($H$3="(todos)",TRUE,'ORDENES'!$W768=$H$3),'ORDENES'!$AD768=TRUE,'ORDENES'!$A768&lt;&gt;""),1,0)</f>
        <v/>
      </c>
      <c r="L772" s="3">
        <f>IF(K772=1,IFERROR(MATCH('ORDENES'!$R768,lista_dias,0),9)*1000000000+IFERROR(MATCH('ORDENES'!$AF768,lista_turnos,0),9)*10000000+IFERROR(MATCH('ORDENES'!$AE768,tblTecnicos[nombre],0),99)*100000+765,9000000000000+765)</f>
        <v/>
      </c>
      <c r="M772" s="3">
        <f>IF(K772=1,SUMPRODUCT(--($L$8:$L$1207&lt;L772))+1,"")</f>
        <v/>
      </c>
      <c r="N772" s="17">
        <f>IF(K772=1,N('ORDENES'!$M768),0)</f>
        <v/>
      </c>
      <c r="O772" s="17">
        <f>IF('ORDENES'!$T768="preventiva",N772,0)</f>
        <v/>
      </c>
      <c r="P772" s="17">
        <f>IF('ORDENES'!$T768="correctiva",N772,0)</f>
        <v/>
      </c>
      <c r="Q772" s="3">
        <f>IF(AND(K772=1,'ORDENES'!$N768="Pendiente"),1,0)</f>
        <v/>
      </c>
      <c r="R772" s="3">
        <f>IF(Q772=1,100000-N772*1000+765*0.01,9000000000000+765)</f>
        <v/>
      </c>
      <c r="S772" s="3">
        <f>IF(Q772=1,SUMPRODUCT(--($R$8:$R$1207&lt;R772))+1,"")</f>
        <v/>
      </c>
      <c r="T772" s="12">
        <f>IF(K772=1,'ORDENES'!$J768,"")</f>
        <v/>
      </c>
    </row>
    <row r="773">
      <c r="K773" s="3">
        <f>IF(AND(IF($B$3="(todos)",TRUE,'ORDENES'!$O769=$B$3),IF($D$3="(todos)",TRUE,'ORDENES'!$AF769=$D$3),IF($F$3="(todos)",TRUE,'ORDENES'!$X769=$F$3),IF($H$3="(todos)",TRUE,'ORDENES'!$W769=$H$3),'ORDENES'!$AD769=TRUE,'ORDENES'!$A769&lt;&gt;""),1,0)</f>
        <v/>
      </c>
      <c r="L773" s="3">
        <f>IF(K773=1,IFERROR(MATCH('ORDENES'!$R769,lista_dias,0),9)*1000000000+IFERROR(MATCH('ORDENES'!$AF769,lista_turnos,0),9)*10000000+IFERROR(MATCH('ORDENES'!$AE769,tblTecnicos[nombre],0),99)*100000+766,9000000000000+766)</f>
        <v/>
      </c>
      <c r="M773" s="3">
        <f>IF(K773=1,SUMPRODUCT(--($L$8:$L$1207&lt;L773))+1,"")</f>
        <v/>
      </c>
      <c r="N773" s="17">
        <f>IF(K773=1,N('ORDENES'!$M769),0)</f>
        <v/>
      </c>
      <c r="O773" s="17">
        <f>IF('ORDENES'!$T769="preventiva",N773,0)</f>
        <v/>
      </c>
      <c r="P773" s="17">
        <f>IF('ORDENES'!$T769="correctiva",N773,0)</f>
        <v/>
      </c>
      <c r="Q773" s="3">
        <f>IF(AND(K773=1,'ORDENES'!$N769="Pendiente"),1,0)</f>
        <v/>
      </c>
      <c r="R773" s="3">
        <f>IF(Q773=1,100000-N773*1000+766*0.01,9000000000000+766)</f>
        <v/>
      </c>
      <c r="S773" s="3">
        <f>IF(Q773=1,SUMPRODUCT(--($R$8:$R$1207&lt;R773))+1,"")</f>
        <v/>
      </c>
      <c r="T773" s="12">
        <f>IF(K773=1,'ORDENES'!$J769,"")</f>
        <v/>
      </c>
    </row>
    <row r="774">
      <c r="K774" s="3">
        <f>IF(AND(IF($B$3="(todos)",TRUE,'ORDENES'!$O770=$B$3),IF($D$3="(todos)",TRUE,'ORDENES'!$AF770=$D$3),IF($F$3="(todos)",TRUE,'ORDENES'!$X770=$F$3),IF($H$3="(todos)",TRUE,'ORDENES'!$W770=$H$3),'ORDENES'!$AD770=TRUE,'ORDENES'!$A770&lt;&gt;""),1,0)</f>
        <v/>
      </c>
      <c r="L774" s="3">
        <f>IF(K774=1,IFERROR(MATCH('ORDENES'!$R770,lista_dias,0),9)*1000000000+IFERROR(MATCH('ORDENES'!$AF770,lista_turnos,0),9)*10000000+IFERROR(MATCH('ORDENES'!$AE770,tblTecnicos[nombre],0),99)*100000+767,9000000000000+767)</f>
        <v/>
      </c>
      <c r="M774" s="3">
        <f>IF(K774=1,SUMPRODUCT(--($L$8:$L$1207&lt;L774))+1,"")</f>
        <v/>
      </c>
      <c r="N774" s="17">
        <f>IF(K774=1,N('ORDENES'!$M770),0)</f>
        <v/>
      </c>
      <c r="O774" s="17">
        <f>IF('ORDENES'!$T770="preventiva",N774,0)</f>
        <v/>
      </c>
      <c r="P774" s="17">
        <f>IF('ORDENES'!$T770="correctiva",N774,0)</f>
        <v/>
      </c>
      <c r="Q774" s="3">
        <f>IF(AND(K774=1,'ORDENES'!$N770="Pendiente"),1,0)</f>
        <v/>
      </c>
      <c r="R774" s="3">
        <f>IF(Q774=1,100000-N774*1000+767*0.01,9000000000000+767)</f>
        <v/>
      </c>
      <c r="S774" s="3">
        <f>IF(Q774=1,SUMPRODUCT(--($R$8:$R$1207&lt;R774))+1,"")</f>
        <v/>
      </c>
      <c r="T774" s="12">
        <f>IF(K774=1,'ORDENES'!$J770,"")</f>
        <v/>
      </c>
    </row>
    <row r="775">
      <c r="K775" s="3">
        <f>IF(AND(IF($B$3="(todos)",TRUE,'ORDENES'!$O771=$B$3),IF($D$3="(todos)",TRUE,'ORDENES'!$AF771=$D$3),IF($F$3="(todos)",TRUE,'ORDENES'!$X771=$F$3),IF($H$3="(todos)",TRUE,'ORDENES'!$W771=$H$3),'ORDENES'!$AD771=TRUE,'ORDENES'!$A771&lt;&gt;""),1,0)</f>
        <v/>
      </c>
      <c r="L775" s="3">
        <f>IF(K775=1,IFERROR(MATCH('ORDENES'!$R771,lista_dias,0),9)*1000000000+IFERROR(MATCH('ORDENES'!$AF771,lista_turnos,0),9)*10000000+IFERROR(MATCH('ORDENES'!$AE771,tblTecnicos[nombre],0),99)*100000+768,9000000000000+768)</f>
        <v/>
      </c>
      <c r="M775" s="3">
        <f>IF(K775=1,SUMPRODUCT(--($L$8:$L$1207&lt;L775))+1,"")</f>
        <v/>
      </c>
      <c r="N775" s="17">
        <f>IF(K775=1,N('ORDENES'!$M771),0)</f>
        <v/>
      </c>
      <c r="O775" s="17">
        <f>IF('ORDENES'!$T771="preventiva",N775,0)</f>
        <v/>
      </c>
      <c r="P775" s="17">
        <f>IF('ORDENES'!$T771="correctiva",N775,0)</f>
        <v/>
      </c>
      <c r="Q775" s="3">
        <f>IF(AND(K775=1,'ORDENES'!$N771="Pendiente"),1,0)</f>
        <v/>
      </c>
      <c r="R775" s="3">
        <f>IF(Q775=1,100000-N775*1000+768*0.01,9000000000000+768)</f>
        <v/>
      </c>
      <c r="S775" s="3">
        <f>IF(Q775=1,SUMPRODUCT(--($R$8:$R$1207&lt;R775))+1,"")</f>
        <v/>
      </c>
      <c r="T775" s="12">
        <f>IF(K775=1,'ORDENES'!$J771,"")</f>
        <v/>
      </c>
    </row>
    <row r="776">
      <c r="K776" s="3">
        <f>IF(AND(IF($B$3="(todos)",TRUE,'ORDENES'!$O772=$B$3),IF($D$3="(todos)",TRUE,'ORDENES'!$AF772=$D$3),IF($F$3="(todos)",TRUE,'ORDENES'!$X772=$F$3),IF($H$3="(todos)",TRUE,'ORDENES'!$W772=$H$3),'ORDENES'!$AD772=TRUE,'ORDENES'!$A772&lt;&gt;""),1,0)</f>
        <v/>
      </c>
      <c r="L776" s="3">
        <f>IF(K776=1,IFERROR(MATCH('ORDENES'!$R772,lista_dias,0),9)*1000000000+IFERROR(MATCH('ORDENES'!$AF772,lista_turnos,0),9)*10000000+IFERROR(MATCH('ORDENES'!$AE772,tblTecnicos[nombre],0),99)*100000+769,9000000000000+769)</f>
        <v/>
      </c>
      <c r="M776" s="3">
        <f>IF(K776=1,SUMPRODUCT(--($L$8:$L$1207&lt;L776))+1,"")</f>
        <v/>
      </c>
      <c r="N776" s="17">
        <f>IF(K776=1,N('ORDENES'!$M772),0)</f>
        <v/>
      </c>
      <c r="O776" s="17">
        <f>IF('ORDENES'!$T772="preventiva",N776,0)</f>
        <v/>
      </c>
      <c r="P776" s="17">
        <f>IF('ORDENES'!$T772="correctiva",N776,0)</f>
        <v/>
      </c>
      <c r="Q776" s="3">
        <f>IF(AND(K776=1,'ORDENES'!$N772="Pendiente"),1,0)</f>
        <v/>
      </c>
      <c r="R776" s="3">
        <f>IF(Q776=1,100000-N776*1000+769*0.01,9000000000000+769)</f>
        <v/>
      </c>
      <c r="S776" s="3">
        <f>IF(Q776=1,SUMPRODUCT(--($R$8:$R$1207&lt;R776))+1,"")</f>
        <v/>
      </c>
      <c r="T776" s="12">
        <f>IF(K776=1,'ORDENES'!$J772,"")</f>
        <v/>
      </c>
    </row>
    <row r="777">
      <c r="K777" s="3">
        <f>IF(AND(IF($B$3="(todos)",TRUE,'ORDENES'!$O773=$B$3),IF($D$3="(todos)",TRUE,'ORDENES'!$AF773=$D$3),IF($F$3="(todos)",TRUE,'ORDENES'!$X773=$F$3),IF($H$3="(todos)",TRUE,'ORDENES'!$W773=$H$3),'ORDENES'!$AD773=TRUE,'ORDENES'!$A773&lt;&gt;""),1,0)</f>
        <v/>
      </c>
      <c r="L777" s="3">
        <f>IF(K777=1,IFERROR(MATCH('ORDENES'!$R773,lista_dias,0),9)*1000000000+IFERROR(MATCH('ORDENES'!$AF773,lista_turnos,0),9)*10000000+IFERROR(MATCH('ORDENES'!$AE773,tblTecnicos[nombre],0),99)*100000+770,9000000000000+770)</f>
        <v/>
      </c>
      <c r="M777" s="3">
        <f>IF(K777=1,SUMPRODUCT(--($L$8:$L$1207&lt;L777))+1,"")</f>
        <v/>
      </c>
      <c r="N777" s="17">
        <f>IF(K777=1,N('ORDENES'!$M773),0)</f>
        <v/>
      </c>
      <c r="O777" s="17">
        <f>IF('ORDENES'!$T773="preventiva",N777,0)</f>
        <v/>
      </c>
      <c r="P777" s="17">
        <f>IF('ORDENES'!$T773="correctiva",N777,0)</f>
        <v/>
      </c>
      <c r="Q777" s="3">
        <f>IF(AND(K777=1,'ORDENES'!$N773="Pendiente"),1,0)</f>
        <v/>
      </c>
      <c r="R777" s="3">
        <f>IF(Q777=1,100000-N777*1000+770*0.01,9000000000000+770)</f>
        <v/>
      </c>
      <c r="S777" s="3">
        <f>IF(Q777=1,SUMPRODUCT(--($R$8:$R$1207&lt;R777))+1,"")</f>
        <v/>
      </c>
      <c r="T777" s="12">
        <f>IF(K777=1,'ORDENES'!$J773,"")</f>
        <v/>
      </c>
    </row>
    <row r="778">
      <c r="K778" s="3">
        <f>IF(AND(IF($B$3="(todos)",TRUE,'ORDENES'!$O774=$B$3),IF($D$3="(todos)",TRUE,'ORDENES'!$AF774=$D$3),IF($F$3="(todos)",TRUE,'ORDENES'!$X774=$F$3),IF($H$3="(todos)",TRUE,'ORDENES'!$W774=$H$3),'ORDENES'!$AD774=TRUE,'ORDENES'!$A774&lt;&gt;""),1,0)</f>
        <v/>
      </c>
      <c r="L778" s="3">
        <f>IF(K778=1,IFERROR(MATCH('ORDENES'!$R774,lista_dias,0),9)*1000000000+IFERROR(MATCH('ORDENES'!$AF774,lista_turnos,0),9)*10000000+IFERROR(MATCH('ORDENES'!$AE774,tblTecnicos[nombre],0),99)*100000+771,9000000000000+771)</f>
        <v/>
      </c>
      <c r="M778" s="3">
        <f>IF(K778=1,SUMPRODUCT(--($L$8:$L$1207&lt;L778))+1,"")</f>
        <v/>
      </c>
      <c r="N778" s="17">
        <f>IF(K778=1,N('ORDENES'!$M774),0)</f>
        <v/>
      </c>
      <c r="O778" s="17">
        <f>IF('ORDENES'!$T774="preventiva",N778,0)</f>
        <v/>
      </c>
      <c r="P778" s="17">
        <f>IF('ORDENES'!$T774="correctiva",N778,0)</f>
        <v/>
      </c>
      <c r="Q778" s="3">
        <f>IF(AND(K778=1,'ORDENES'!$N774="Pendiente"),1,0)</f>
        <v/>
      </c>
      <c r="R778" s="3">
        <f>IF(Q778=1,100000-N778*1000+771*0.01,9000000000000+771)</f>
        <v/>
      </c>
      <c r="S778" s="3">
        <f>IF(Q778=1,SUMPRODUCT(--($R$8:$R$1207&lt;R778))+1,"")</f>
        <v/>
      </c>
      <c r="T778" s="12">
        <f>IF(K778=1,'ORDENES'!$J774,"")</f>
        <v/>
      </c>
    </row>
    <row r="779">
      <c r="K779" s="3">
        <f>IF(AND(IF($B$3="(todos)",TRUE,'ORDENES'!$O775=$B$3),IF($D$3="(todos)",TRUE,'ORDENES'!$AF775=$D$3),IF($F$3="(todos)",TRUE,'ORDENES'!$X775=$F$3),IF($H$3="(todos)",TRUE,'ORDENES'!$W775=$H$3),'ORDENES'!$AD775=TRUE,'ORDENES'!$A775&lt;&gt;""),1,0)</f>
        <v/>
      </c>
      <c r="L779" s="3">
        <f>IF(K779=1,IFERROR(MATCH('ORDENES'!$R775,lista_dias,0),9)*1000000000+IFERROR(MATCH('ORDENES'!$AF775,lista_turnos,0),9)*10000000+IFERROR(MATCH('ORDENES'!$AE775,tblTecnicos[nombre],0),99)*100000+772,9000000000000+772)</f>
        <v/>
      </c>
      <c r="M779" s="3">
        <f>IF(K779=1,SUMPRODUCT(--($L$8:$L$1207&lt;L779))+1,"")</f>
        <v/>
      </c>
      <c r="N779" s="17">
        <f>IF(K779=1,N('ORDENES'!$M775),0)</f>
        <v/>
      </c>
      <c r="O779" s="17">
        <f>IF('ORDENES'!$T775="preventiva",N779,0)</f>
        <v/>
      </c>
      <c r="P779" s="17">
        <f>IF('ORDENES'!$T775="correctiva",N779,0)</f>
        <v/>
      </c>
      <c r="Q779" s="3">
        <f>IF(AND(K779=1,'ORDENES'!$N775="Pendiente"),1,0)</f>
        <v/>
      </c>
      <c r="R779" s="3">
        <f>IF(Q779=1,100000-N779*1000+772*0.01,9000000000000+772)</f>
        <v/>
      </c>
      <c r="S779" s="3">
        <f>IF(Q779=1,SUMPRODUCT(--($R$8:$R$1207&lt;R779))+1,"")</f>
        <v/>
      </c>
      <c r="T779" s="12">
        <f>IF(K779=1,'ORDENES'!$J775,"")</f>
        <v/>
      </c>
    </row>
    <row r="780">
      <c r="K780" s="3">
        <f>IF(AND(IF($B$3="(todos)",TRUE,'ORDENES'!$O776=$B$3),IF($D$3="(todos)",TRUE,'ORDENES'!$AF776=$D$3),IF($F$3="(todos)",TRUE,'ORDENES'!$X776=$F$3),IF($H$3="(todos)",TRUE,'ORDENES'!$W776=$H$3),'ORDENES'!$AD776=TRUE,'ORDENES'!$A776&lt;&gt;""),1,0)</f>
        <v/>
      </c>
      <c r="L780" s="3">
        <f>IF(K780=1,IFERROR(MATCH('ORDENES'!$R776,lista_dias,0),9)*1000000000+IFERROR(MATCH('ORDENES'!$AF776,lista_turnos,0),9)*10000000+IFERROR(MATCH('ORDENES'!$AE776,tblTecnicos[nombre],0),99)*100000+773,9000000000000+773)</f>
        <v/>
      </c>
      <c r="M780" s="3">
        <f>IF(K780=1,SUMPRODUCT(--($L$8:$L$1207&lt;L780))+1,"")</f>
        <v/>
      </c>
      <c r="N780" s="17">
        <f>IF(K780=1,N('ORDENES'!$M776),0)</f>
        <v/>
      </c>
      <c r="O780" s="17">
        <f>IF('ORDENES'!$T776="preventiva",N780,0)</f>
        <v/>
      </c>
      <c r="P780" s="17">
        <f>IF('ORDENES'!$T776="correctiva",N780,0)</f>
        <v/>
      </c>
      <c r="Q780" s="3">
        <f>IF(AND(K780=1,'ORDENES'!$N776="Pendiente"),1,0)</f>
        <v/>
      </c>
      <c r="R780" s="3">
        <f>IF(Q780=1,100000-N780*1000+773*0.01,9000000000000+773)</f>
        <v/>
      </c>
      <c r="S780" s="3">
        <f>IF(Q780=1,SUMPRODUCT(--($R$8:$R$1207&lt;R780))+1,"")</f>
        <v/>
      </c>
      <c r="T780" s="12">
        <f>IF(K780=1,'ORDENES'!$J776,"")</f>
        <v/>
      </c>
    </row>
    <row r="781">
      <c r="K781" s="3">
        <f>IF(AND(IF($B$3="(todos)",TRUE,'ORDENES'!$O777=$B$3),IF($D$3="(todos)",TRUE,'ORDENES'!$AF777=$D$3),IF($F$3="(todos)",TRUE,'ORDENES'!$X777=$F$3),IF($H$3="(todos)",TRUE,'ORDENES'!$W777=$H$3),'ORDENES'!$AD777=TRUE,'ORDENES'!$A777&lt;&gt;""),1,0)</f>
        <v/>
      </c>
      <c r="L781" s="3">
        <f>IF(K781=1,IFERROR(MATCH('ORDENES'!$R777,lista_dias,0),9)*1000000000+IFERROR(MATCH('ORDENES'!$AF777,lista_turnos,0),9)*10000000+IFERROR(MATCH('ORDENES'!$AE777,tblTecnicos[nombre],0),99)*100000+774,9000000000000+774)</f>
        <v/>
      </c>
      <c r="M781" s="3">
        <f>IF(K781=1,SUMPRODUCT(--($L$8:$L$1207&lt;L781))+1,"")</f>
        <v/>
      </c>
      <c r="N781" s="17">
        <f>IF(K781=1,N('ORDENES'!$M777),0)</f>
        <v/>
      </c>
      <c r="O781" s="17">
        <f>IF('ORDENES'!$T777="preventiva",N781,0)</f>
        <v/>
      </c>
      <c r="P781" s="17">
        <f>IF('ORDENES'!$T777="correctiva",N781,0)</f>
        <v/>
      </c>
      <c r="Q781" s="3">
        <f>IF(AND(K781=1,'ORDENES'!$N777="Pendiente"),1,0)</f>
        <v/>
      </c>
      <c r="R781" s="3">
        <f>IF(Q781=1,100000-N781*1000+774*0.01,9000000000000+774)</f>
        <v/>
      </c>
      <c r="S781" s="3">
        <f>IF(Q781=1,SUMPRODUCT(--($R$8:$R$1207&lt;R781))+1,"")</f>
        <v/>
      </c>
      <c r="T781" s="12">
        <f>IF(K781=1,'ORDENES'!$J777,"")</f>
        <v/>
      </c>
    </row>
    <row r="782">
      <c r="K782" s="3">
        <f>IF(AND(IF($B$3="(todos)",TRUE,'ORDENES'!$O778=$B$3),IF($D$3="(todos)",TRUE,'ORDENES'!$AF778=$D$3),IF($F$3="(todos)",TRUE,'ORDENES'!$X778=$F$3),IF($H$3="(todos)",TRUE,'ORDENES'!$W778=$H$3),'ORDENES'!$AD778=TRUE,'ORDENES'!$A778&lt;&gt;""),1,0)</f>
        <v/>
      </c>
      <c r="L782" s="3">
        <f>IF(K782=1,IFERROR(MATCH('ORDENES'!$R778,lista_dias,0),9)*1000000000+IFERROR(MATCH('ORDENES'!$AF778,lista_turnos,0),9)*10000000+IFERROR(MATCH('ORDENES'!$AE778,tblTecnicos[nombre],0),99)*100000+775,9000000000000+775)</f>
        <v/>
      </c>
      <c r="M782" s="3">
        <f>IF(K782=1,SUMPRODUCT(--($L$8:$L$1207&lt;L782))+1,"")</f>
        <v/>
      </c>
      <c r="N782" s="17">
        <f>IF(K782=1,N('ORDENES'!$M778),0)</f>
        <v/>
      </c>
      <c r="O782" s="17">
        <f>IF('ORDENES'!$T778="preventiva",N782,0)</f>
        <v/>
      </c>
      <c r="P782" s="17">
        <f>IF('ORDENES'!$T778="correctiva",N782,0)</f>
        <v/>
      </c>
      <c r="Q782" s="3">
        <f>IF(AND(K782=1,'ORDENES'!$N778="Pendiente"),1,0)</f>
        <v/>
      </c>
      <c r="R782" s="3">
        <f>IF(Q782=1,100000-N782*1000+775*0.01,9000000000000+775)</f>
        <v/>
      </c>
      <c r="S782" s="3">
        <f>IF(Q782=1,SUMPRODUCT(--($R$8:$R$1207&lt;R782))+1,"")</f>
        <v/>
      </c>
      <c r="T782" s="12">
        <f>IF(K782=1,'ORDENES'!$J778,"")</f>
        <v/>
      </c>
    </row>
    <row r="783">
      <c r="K783" s="3">
        <f>IF(AND(IF($B$3="(todos)",TRUE,'ORDENES'!$O779=$B$3),IF($D$3="(todos)",TRUE,'ORDENES'!$AF779=$D$3),IF($F$3="(todos)",TRUE,'ORDENES'!$X779=$F$3),IF($H$3="(todos)",TRUE,'ORDENES'!$W779=$H$3),'ORDENES'!$AD779=TRUE,'ORDENES'!$A779&lt;&gt;""),1,0)</f>
        <v/>
      </c>
      <c r="L783" s="3">
        <f>IF(K783=1,IFERROR(MATCH('ORDENES'!$R779,lista_dias,0),9)*1000000000+IFERROR(MATCH('ORDENES'!$AF779,lista_turnos,0),9)*10000000+IFERROR(MATCH('ORDENES'!$AE779,tblTecnicos[nombre],0),99)*100000+776,9000000000000+776)</f>
        <v/>
      </c>
      <c r="M783" s="3">
        <f>IF(K783=1,SUMPRODUCT(--($L$8:$L$1207&lt;L783))+1,"")</f>
        <v/>
      </c>
      <c r="N783" s="17">
        <f>IF(K783=1,N('ORDENES'!$M779),0)</f>
        <v/>
      </c>
      <c r="O783" s="17">
        <f>IF('ORDENES'!$T779="preventiva",N783,0)</f>
        <v/>
      </c>
      <c r="P783" s="17">
        <f>IF('ORDENES'!$T779="correctiva",N783,0)</f>
        <v/>
      </c>
      <c r="Q783" s="3">
        <f>IF(AND(K783=1,'ORDENES'!$N779="Pendiente"),1,0)</f>
        <v/>
      </c>
      <c r="R783" s="3">
        <f>IF(Q783=1,100000-N783*1000+776*0.01,9000000000000+776)</f>
        <v/>
      </c>
      <c r="S783" s="3">
        <f>IF(Q783=1,SUMPRODUCT(--($R$8:$R$1207&lt;R783))+1,"")</f>
        <v/>
      </c>
      <c r="T783" s="12">
        <f>IF(K783=1,'ORDENES'!$J779,"")</f>
        <v/>
      </c>
    </row>
    <row r="784">
      <c r="K784" s="3">
        <f>IF(AND(IF($B$3="(todos)",TRUE,'ORDENES'!$O780=$B$3),IF($D$3="(todos)",TRUE,'ORDENES'!$AF780=$D$3),IF($F$3="(todos)",TRUE,'ORDENES'!$X780=$F$3),IF($H$3="(todos)",TRUE,'ORDENES'!$W780=$H$3),'ORDENES'!$AD780=TRUE,'ORDENES'!$A780&lt;&gt;""),1,0)</f>
        <v/>
      </c>
      <c r="L784" s="3">
        <f>IF(K784=1,IFERROR(MATCH('ORDENES'!$R780,lista_dias,0),9)*1000000000+IFERROR(MATCH('ORDENES'!$AF780,lista_turnos,0),9)*10000000+IFERROR(MATCH('ORDENES'!$AE780,tblTecnicos[nombre],0),99)*100000+777,9000000000000+777)</f>
        <v/>
      </c>
      <c r="M784" s="3">
        <f>IF(K784=1,SUMPRODUCT(--($L$8:$L$1207&lt;L784))+1,"")</f>
        <v/>
      </c>
      <c r="N784" s="17">
        <f>IF(K784=1,N('ORDENES'!$M780),0)</f>
        <v/>
      </c>
      <c r="O784" s="17">
        <f>IF('ORDENES'!$T780="preventiva",N784,0)</f>
        <v/>
      </c>
      <c r="P784" s="17">
        <f>IF('ORDENES'!$T780="correctiva",N784,0)</f>
        <v/>
      </c>
      <c r="Q784" s="3">
        <f>IF(AND(K784=1,'ORDENES'!$N780="Pendiente"),1,0)</f>
        <v/>
      </c>
      <c r="R784" s="3">
        <f>IF(Q784=1,100000-N784*1000+777*0.01,9000000000000+777)</f>
        <v/>
      </c>
      <c r="S784" s="3">
        <f>IF(Q784=1,SUMPRODUCT(--($R$8:$R$1207&lt;R784))+1,"")</f>
        <v/>
      </c>
      <c r="T784" s="12">
        <f>IF(K784=1,'ORDENES'!$J780,"")</f>
        <v/>
      </c>
    </row>
    <row r="785">
      <c r="K785" s="3">
        <f>IF(AND(IF($B$3="(todos)",TRUE,'ORDENES'!$O781=$B$3),IF($D$3="(todos)",TRUE,'ORDENES'!$AF781=$D$3),IF($F$3="(todos)",TRUE,'ORDENES'!$X781=$F$3),IF($H$3="(todos)",TRUE,'ORDENES'!$W781=$H$3),'ORDENES'!$AD781=TRUE,'ORDENES'!$A781&lt;&gt;""),1,0)</f>
        <v/>
      </c>
      <c r="L785" s="3">
        <f>IF(K785=1,IFERROR(MATCH('ORDENES'!$R781,lista_dias,0),9)*1000000000+IFERROR(MATCH('ORDENES'!$AF781,lista_turnos,0),9)*10000000+IFERROR(MATCH('ORDENES'!$AE781,tblTecnicos[nombre],0),99)*100000+778,9000000000000+778)</f>
        <v/>
      </c>
      <c r="M785" s="3">
        <f>IF(K785=1,SUMPRODUCT(--($L$8:$L$1207&lt;L785))+1,"")</f>
        <v/>
      </c>
      <c r="N785" s="17">
        <f>IF(K785=1,N('ORDENES'!$M781),0)</f>
        <v/>
      </c>
      <c r="O785" s="17">
        <f>IF('ORDENES'!$T781="preventiva",N785,0)</f>
        <v/>
      </c>
      <c r="P785" s="17">
        <f>IF('ORDENES'!$T781="correctiva",N785,0)</f>
        <v/>
      </c>
      <c r="Q785" s="3">
        <f>IF(AND(K785=1,'ORDENES'!$N781="Pendiente"),1,0)</f>
        <v/>
      </c>
      <c r="R785" s="3">
        <f>IF(Q785=1,100000-N785*1000+778*0.01,9000000000000+778)</f>
        <v/>
      </c>
      <c r="S785" s="3">
        <f>IF(Q785=1,SUMPRODUCT(--($R$8:$R$1207&lt;R785))+1,"")</f>
        <v/>
      </c>
      <c r="T785" s="12">
        <f>IF(K785=1,'ORDENES'!$J781,"")</f>
        <v/>
      </c>
    </row>
    <row r="786">
      <c r="K786" s="3">
        <f>IF(AND(IF($B$3="(todos)",TRUE,'ORDENES'!$O782=$B$3),IF($D$3="(todos)",TRUE,'ORDENES'!$AF782=$D$3),IF($F$3="(todos)",TRUE,'ORDENES'!$X782=$F$3),IF($H$3="(todos)",TRUE,'ORDENES'!$W782=$H$3),'ORDENES'!$AD782=TRUE,'ORDENES'!$A782&lt;&gt;""),1,0)</f>
        <v/>
      </c>
      <c r="L786" s="3">
        <f>IF(K786=1,IFERROR(MATCH('ORDENES'!$R782,lista_dias,0),9)*1000000000+IFERROR(MATCH('ORDENES'!$AF782,lista_turnos,0),9)*10000000+IFERROR(MATCH('ORDENES'!$AE782,tblTecnicos[nombre],0),99)*100000+779,9000000000000+779)</f>
        <v/>
      </c>
      <c r="M786" s="3">
        <f>IF(K786=1,SUMPRODUCT(--($L$8:$L$1207&lt;L786))+1,"")</f>
        <v/>
      </c>
      <c r="N786" s="17">
        <f>IF(K786=1,N('ORDENES'!$M782),0)</f>
        <v/>
      </c>
      <c r="O786" s="17">
        <f>IF('ORDENES'!$T782="preventiva",N786,0)</f>
        <v/>
      </c>
      <c r="P786" s="17">
        <f>IF('ORDENES'!$T782="correctiva",N786,0)</f>
        <v/>
      </c>
      <c r="Q786" s="3">
        <f>IF(AND(K786=1,'ORDENES'!$N782="Pendiente"),1,0)</f>
        <v/>
      </c>
      <c r="R786" s="3">
        <f>IF(Q786=1,100000-N786*1000+779*0.01,9000000000000+779)</f>
        <v/>
      </c>
      <c r="S786" s="3">
        <f>IF(Q786=1,SUMPRODUCT(--($R$8:$R$1207&lt;R786))+1,"")</f>
        <v/>
      </c>
      <c r="T786" s="12">
        <f>IF(K786=1,'ORDENES'!$J782,"")</f>
        <v/>
      </c>
    </row>
    <row r="787">
      <c r="K787" s="3">
        <f>IF(AND(IF($B$3="(todos)",TRUE,'ORDENES'!$O783=$B$3),IF($D$3="(todos)",TRUE,'ORDENES'!$AF783=$D$3),IF($F$3="(todos)",TRUE,'ORDENES'!$X783=$F$3),IF($H$3="(todos)",TRUE,'ORDENES'!$W783=$H$3),'ORDENES'!$AD783=TRUE,'ORDENES'!$A783&lt;&gt;""),1,0)</f>
        <v/>
      </c>
      <c r="L787" s="3">
        <f>IF(K787=1,IFERROR(MATCH('ORDENES'!$R783,lista_dias,0),9)*1000000000+IFERROR(MATCH('ORDENES'!$AF783,lista_turnos,0),9)*10000000+IFERROR(MATCH('ORDENES'!$AE783,tblTecnicos[nombre],0),99)*100000+780,9000000000000+780)</f>
        <v/>
      </c>
      <c r="M787" s="3">
        <f>IF(K787=1,SUMPRODUCT(--($L$8:$L$1207&lt;L787))+1,"")</f>
        <v/>
      </c>
      <c r="N787" s="17">
        <f>IF(K787=1,N('ORDENES'!$M783),0)</f>
        <v/>
      </c>
      <c r="O787" s="17">
        <f>IF('ORDENES'!$T783="preventiva",N787,0)</f>
        <v/>
      </c>
      <c r="P787" s="17">
        <f>IF('ORDENES'!$T783="correctiva",N787,0)</f>
        <v/>
      </c>
      <c r="Q787" s="3">
        <f>IF(AND(K787=1,'ORDENES'!$N783="Pendiente"),1,0)</f>
        <v/>
      </c>
      <c r="R787" s="3">
        <f>IF(Q787=1,100000-N787*1000+780*0.01,9000000000000+780)</f>
        <v/>
      </c>
      <c r="S787" s="3">
        <f>IF(Q787=1,SUMPRODUCT(--($R$8:$R$1207&lt;R787))+1,"")</f>
        <v/>
      </c>
      <c r="T787" s="12">
        <f>IF(K787=1,'ORDENES'!$J783,"")</f>
        <v/>
      </c>
    </row>
    <row r="788">
      <c r="K788" s="3">
        <f>IF(AND(IF($B$3="(todos)",TRUE,'ORDENES'!$O784=$B$3),IF($D$3="(todos)",TRUE,'ORDENES'!$AF784=$D$3),IF($F$3="(todos)",TRUE,'ORDENES'!$X784=$F$3),IF($H$3="(todos)",TRUE,'ORDENES'!$W784=$H$3),'ORDENES'!$AD784=TRUE,'ORDENES'!$A784&lt;&gt;""),1,0)</f>
        <v/>
      </c>
      <c r="L788" s="3">
        <f>IF(K788=1,IFERROR(MATCH('ORDENES'!$R784,lista_dias,0),9)*1000000000+IFERROR(MATCH('ORDENES'!$AF784,lista_turnos,0),9)*10000000+IFERROR(MATCH('ORDENES'!$AE784,tblTecnicos[nombre],0),99)*100000+781,9000000000000+781)</f>
        <v/>
      </c>
      <c r="M788" s="3">
        <f>IF(K788=1,SUMPRODUCT(--($L$8:$L$1207&lt;L788))+1,"")</f>
        <v/>
      </c>
      <c r="N788" s="17">
        <f>IF(K788=1,N('ORDENES'!$M784),0)</f>
        <v/>
      </c>
      <c r="O788" s="17">
        <f>IF('ORDENES'!$T784="preventiva",N788,0)</f>
        <v/>
      </c>
      <c r="P788" s="17">
        <f>IF('ORDENES'!$T784="correctiva",N788,0)</f>
        <v/>
      </c>
      <c r="Q788" s="3">
        <f>IF(AND(K788=1,'ORDENES'!$N784="Pendiente"),1,0)</f>
        <v/>
      </c>
      <c r="R788" s="3">
        <f>IF(Q788=1,100000-N788*1000+781*0.01,9000000000000+781)</f>
        <v/>
      </c>
      <c r="S788" s="3">
        <f>IF(Q788=1,SUMPRODUCT(--($R$8:$R$1207&lt;R788))+1,"")</f>
        <v/>
      </c>
      <c r="T788" s="12">
        <f>IF(K788=1,'ORDENES'!$J784,"")</f>
        <v/>
      </c>
    </row>
    <row r="789">
      <c r="K789" s="3">
        <f>IF(AND(IF($B$3="(todos)",TRUE,'ORDENES'!$O785=$B$3),IF($D$3="(todos)",TRUE,'ORDENES'!$AF785=$D$3),IF($F$3="(todos)",TRUE,'ORDENES'!$X785=$F$3),IF($H$3="(todos)",TRUE,'ORDENES'!$W785=$H$3),'ORDENES'!$AD785=TRUE,'ORDENES'!$A785&lt;&gt;""),1,0)</f>
        <v/>
      </c>
      <c r="L789" s="3">
        <f>IF(K789=1,IFERROR(MATCH('ORDENES'!$R785,lista_dias,0),9)*1000000000+IFERROR(MATCH('ORDENES'!$AF785,lista_turnos,0),9)*10000000+IFERROR(MATCH('ORDENES'!$AE785,tblTecnicos[nombre],0),99)*100000+782,9000000000000+782)</f>
        <v/>
      </c>
      <c r="M789" s="3">
        <f>IF(K789=1,SUMPRODUCT(--($L$8:$L$1207&lt;L789))+1,"")</f>
        <v/>
      </c>
      <c r="N789" s="17">
        <f>IF(K789=1,N('ORDENES'!$M785),0)</f>
        <v/>
      </c>
      <c r="O789" s="17">
        <f>IF('ORDENES'!$T785="preventiva",N789,0)</f>
        <v/>
      </c>
      <c r="P789" s="17">
        <f>IF('ORDENES'!$T785="correctiva",N789,0)</f>
        <v/>
      </c>
      <c r="Q789" s="3">
        <f>IF(AND(K789=1,'ORDENES'!$N785="Pendiente"),1,0)</f>
        <v/>
      </c>
      <c r="R789" s="3">
        <f>IF(Q789=1,100000-N789*1000+782*0.01,9000000000000+782)</f>
        <v/>
      </c>
      <c r="S789" s="3">
        <f>IF(Q789=1,SUMPRODUCT(--($R$8:$R$1207&lt;R789))+1,"")</f>
        <v/>
      </c>
      <c r="T789" s="12">
        <f>IF(K789=1,'ORDENES'!$J785,"")</f>
        <v/>
      </c>
    </row>
    <row r="790">
      <c r="K790" s="3">
        <f>IF(AND(IF($B$3="(todos)",TRUE,'ORDENES'!$O786=$B$3),IF($D$3="(todos)",TRUE,'ORDENES'!$AF786=$D$3),IF($F$3="(todos)",TRUE,'ORDENES'!$X786=$F$3),IF($H$3="(todos)",TRUE,'ORDENES'!$W786=$H$3),'ORDENES'!$AD786=TRUE,'ORDENES'!$A786&lt;&gt;""),1,0)</f>
        <v/>
      </c>
      <c r="L790" s="3">
        <f>IF(K790=1,IFERROR(MATCH('ORDENES'!$R786,lista_dias,0),9)*1000000000+IFERROR(MATCH('ORDENES'!$AF786,lista_turnos,0),9)*10000000+IFERROR(MATCH('ORDENES'!$AE786,tblTecnicos[nombre],0),99)*100000+783,9000000000000+783)</f>
        <v/>
      </c>
      <c r="M790" s="3">
        <f>IF(K790=1,SUMPRODUCT(--($L$8:$L$1207&lt;L790))+1,"")</f>
        <v/>
      </c>
      <c r="N790" s="17">
        <f>IF(K790=1,N('ORDENES'!$M786),0)</f>
        <v/>
      </c>
      <c r="O790" s="17">
        <f>IF('ORDENES'!$T786="preventiva",N790,0)</f>
        <v/>
      </c>
      <c r="P790" s="17">
        <f>IF('ORDENES'!$T786="correctiva",N790,0)</f>
        <v/>
      </c>
      <c r="Q790" s="3">
        <f>IF(AND(K790=1,'ORDENES'!$N786="Pendiente"),1,0)</f>
        <v/>
      </c>
      <c r="R790" s="3">
        <f>IF(Q790=1,100000-N790*1000+783*0.01,9000000000000+783)</f>
        <v/>
      </c>
      <c r="S790" s="3">
        <f>IF(Q790=1,SUMPRODUCT(--($R$8:$R$1207&lt;R790))+1,"")</f>
        <v/>
      </c>
      <c r="T790" s="12">
        <f>IF(K790=1,'ORDENES'!$J786,"")</f>
        <v/>
      </c>
    </row>
    <row r="791">
      <c r="K791" s="3">
        <f>IF(AND(IF($B$3="(todos)",TRUE,'ORDENES'!$O787=$B$3),IF($D$3="(todos)",TRUE,'ORDENES'!$AF787=$D$3),IF($F$3="(todos)",TRUE,'ORDENES'!$X787=$F$3),IF($H$3="(todos)",TRUE,'ORDENES'!$W787=$H$3),'ORDENES'!$AD787=TRUE,'ORDENES'!$A787&lt;&gt;""),1,0)</f>
        <v/>
      </c>
      <c r="L791" s="3">
        <f>IF(K791=1,IFERROR(MATCH('ORDENES'!$R787,lista_dias,0),9)*1000000000+IFERROR(MATCH('ORDENES'!$AF787,lista_turnos,0),9)*10000000+IFERROR(MATCH('ORDENES'!$AE787,tblTecnicos[nombre],0),99)*100000+784,9000000000000+784)</f>
        <v/>
      </c>
      <c r="M791" s="3">
        <f>IF(K791=1,SUMPRODUCT(--($L$8:$L$1207&lt;L791))+1,"")</f>
        <v/>
      </c>
      <c r="N791" s="17">
        <f>IF(K791=1,N('ORDENES'!$M787),0)</f>
        <v/>
      </c>
      <c r="O791" s="17">
        <f>IF('ORDENES'!$T787="preventiva",N791,0)</f>
        <v/>
      </c>
      <c r="P791" s="17">
        <f>IF('ORDENES'!$T787="correctiva",N791,0)</f>
        <v/>
      </c>
      <c r="Q791" s="3">
        <f>IF(AND(K791=1,'ORDENES'!$N787="Pendiente"),1,0)</f>
        <v/>
      </c>
      <c r="R791" s="3">
        <f>IF(Q791=1,100000-N791*1000+784*0.01,9000000000000+784)</f>
        <v/>
      </c>
      <c r="S791" s="3">
        <f>IF(Q791=1,SUMPRODUCT(--($R$8:$R$1207&lt;R791))+1,"")</f>
        <v/>
      </c>
      <c r="T791" s="12">
        <f>IF(K791=1,'ORDENES'!$J787,"")</f>
        <v/>
      </c>
    </row>
    <row r="792">
      <c r="K792" s="3">
        <f>IF(AND(IF($B$3="(todos)",TRUE,'ORDENES'!$O788=$B$3),IF($D$3="(todos)",TRUE,'ORDENES'!$AF788=$D$3),IF($F$3="(todos)",TRUE,'ORDENES'!$X788=$F$3),IF($H$3="(todos)",TRUE,'ORDENES'!$W788=$H$3),'ORDENES'!$AD788=TRUE,'ORDENES'!$A788&lt;&gt;""),1,0)</f>
        <v/>
      </c>
      <c r="L792" s="3">
        <f>IF(K792=1,IFERROR(MATCH('ORDENES'!$R788,lista_dias,0),9)*1000000000+IFERROR(MATCH('ORDENES'!$AF788,lista_turnos,0),9)*10000000+IFERROR(MATCH('ORDENES'!$AE788,tblTecnicos[nombre],0),99)*100000+785,9000000000000+785)</f>
        <v/>
      </c>
      <c r="M792" s="3">
        <f>IF(K792=1,SUMPRODUCT(--($L$8:$L$1207&lt;L792))+1,"")</f>
        <v/>
      </c>
      <c r="N792" s="17">
        <f>IF(K792=1,N('ORDENES'!$M788),0)</f>
        <v/>
      </c>
      <c r="O792" s="17">
        <f>IF('ORDENES'!$T788="preventiva",N792,0)</f>
        <v/>
      </c>
      <c r="P792" s="17">
        <f>IF('ORDENES'!$T788="correctiva",N792,0)</f>
        <v/>
      </c>
      <c r="Q792" s="3">
        <f>IF(AND(K792=1,'ORDENES'!$N788="Pendiente"),1,0)</f>
        <v/>
      </c>
      <c r="R792" s="3">
        <f>IF(Q792=1,100000-N792*1000+785*0.01,9000000000000+785)</f>
        <v/>
      </c>
      <c r="S792" s="3">
        <f>IF(Q792=1,SUMPRODUCT(--($R$8:$R$1207&lt;R792))+1,"")</f>
        <v/>
      </c>
      <c r="T792" s="12">
        <f>IF(K792=1,'ORDENES'!$J788,"")</f>
        <v/>
      </c>
    </row>
    <row r="793">
      <c r="K793" s="3">
        <f>IF(AND(IF($B$3="(todos)",TRUE,'ORDENES'!$O789=$B$3),IF($D$3="(todos)",TRUE,'ORDENES'!$AF789=$D$3),IF($F$3="(todos)",TRUE,'ORDENES'!$X789=$F$3),IF($H$3="(todos)",TRUE,'ORDENES'!$W789=$H$3),'ORDENES'!$AD789=TRUE,'ORDENES'!$A789&lt;&gt;""),1,0)</f>
        <v/>
      </c>
      <c r="L793" s="3">
        <f>IF(K793=1,IFERROR(MATCH('ORDENES'!$R789,lista_dias,0),9)*1000000000+IFERROR(MATCH('ORDENES'!$AF789,lista_turnos,0),9)*10000000+IFERROR(MATCH('ORDENES'!$AE789,tblTecnicos[nombre],0),99)*100000+786,9000000000000+786)</f>
        <v/>
      </c>
      <c r="M793" s="3">
        <f>IF(K793=1,SUMPRODUCT(--($L$8:$L$1207&lt;L793))+1,"")</f>
        <v/>
      </c>
      <c r="N793" s="17">
        <f>IF(K793=1,N('ORDENES'!$M789),0)</f>
        <v/>
      </c>
      <c r="O793" s="17">
        <f>IF('ORDENES'!$T789="preventiva",N793,0)</f>
        <v/>
      </c>
      <c r="P793" s="17">
        <f>IF('ORDENES'!$T789="correctiva",N793,0)</f>
        <v/>
      </c>
      <c r="Q793" s="3">
        <f>IF(AND(K793=1,'ORDENES'!$N789="Pendiente"),1,0)</f>
        <v/>
      </c>
      <c r="R793" s="3">
        <f>IF(Q793=1,100000-N793*1000+786*0.01,9000000000000+786)</f>
        <v/>
      </c>
      <c r="S793" s="3">
        <f>IF(Q793=1,SUMPRODUCT(--($R$8:$R$1207&lt;R793))+1,"")</f>
        <v/>
      </c>
      <c r="T793" s="12">
        <f>IF(K793=1,'ORDENES'!$J789,"")</f>
        <v/>
      </c>
    </row>
    <row r="794">
      <c r="K794" s="3">
        <f>IF(AND(IF($B$3="(todos)",TRUE,'ORDENES'!$O790=$B$3),IF($D$3="(todos)",TRUE,'ORDENES'!$AF790=$D$3),IF($F$3="(todos)",TRUE,'ORDENES'!$X790=$F$3),IF($H$3="(todos)",TRUE,'ORDENES'!$W790=$H$3),'ORDENES'!$AD790=TRUE,'ORDENES'!$A790&lt;&gt;""),1,0)</f>
        <v/>
      </c>
      <c r="L794" s="3">
        <f>IF(K794=1,IFERROR(MATCH('ORDENES'!$R790,lista_dias,0),9)*1000000000+IFERROR(MATCH('ORDENES'!$AF790,lista_turnos,0),9)*10000000+IFERROR(MATCH('ORDENES'!$AE790,tblTecnicos[nombre],0),99)*100000+787,9000000000000+787)</f>
        <v/>
      </c>
      <c r="M794" s="3">
        <f>IF(K794=1,SUMPRODUCT(--($L$8:$L$1207&lt;L794))+1,"")</f>
        <v/>
      </c>
      <c r="N794" s="17">
        <f>IF(K794=1,N('ORDENES'!$M790),0)</f>
        <v/>
      </c>
      <c r="O794" s="17">
        <f>IF('ORDENES'!$T790="preventiva",N794,0)</f>
        <v/>
      </c>
      <c r="P794" s="17">
        <f>IF('ORDENES'!$T790="correctiva",N794,0)</f>
        <v/>
      </c>
      <c r="Q794" s="3">
        <f>IF(AND(K794=1,'ORDENES'!$N790="Pendiente"),1,0)</f>
        <v/>
      </c>
      <c r="R794" s="3">
        <f>IF(Q794=1,100000-N794*1000+787*0.01,9000000000000+787)</f>
        <v/>
      </c>
      <c r="S794" s="3">
        <f>IF(Q794=1,SUMPRODUCT(--($R$8:$R$1207&lt;R794))+1,"")</f>
        <v/>
      </c>
      <c r="T794" s="12">
        <f>IF(K794=1,'ORDENES'!$J790,"")</f>
        <v/>
      </c>
    </row>
    <row r="795">
      <c r="K795" s="3">
        <f>IF(AND(IF($B$3="(todos)",TRUE,'ORDENES'!$O791=$B$3),IF($D$3="(todos)",TRUE,'ORDENES'!$AF791=$D$3),IF($F$3="(todos)",TRUE,'ORDENES'!$X791=$F$3),IF($H$3="(todos)",TRUE,'ORDENES'!$W791=$H$3),'ORDENES'!$AD791=TRUE,'ORDENES'!$A791&lt;&gt;""),1,0)</f>
        <v/>
      </c>
      <c r="L795" s="3">
        <f>IF(K795=1,IFERROR(MATCH('ORDENES'!$R791,lista_dias,0),9)*1000000000+IFERROR(MATCH('ORDENES'!$AF791,lista_turnos,0),9)*10000000+IFERROR(MATCH('ORDENES'!$AE791,tblTecnicos[nombre],0),99)*100000+788,9000000000000+788)</f>
        <v/>
      </c>
      <c r="M795" s="3">
        <f>IF(K795=1,SUMPRODUCT(--($L$8:$L$1207&lt;L795))+1,"")</f>
        <v/>
      </c>
      <c r="N795" s="17">
        <f>IF(K795=1,N('ORDENES'!$M791),0)</f>
        <v/>
      </c>
      <c r="O795" s="17">
        <f>IF('ORDENES'!$T791="preventiva",N795,0)</f>
        <v/>
      </c>
      <c r="P795" s="17">
        <f>IF('ORDENES'!$T791="correctiva",N795,0)</f>
        <v/>
      </c>
      <c r="Q795" s="3">
        <f>IF(AND(K795=1,'ORDENES'!$N791="Pendiente"),1,0)</f>
        <v/>
      </c>
      <c r="R795" s="3">
        <f>IF(Q795=1,100000-N795*1000+788*0.01,9000000000000+788)</f>
        <v/>
      </c>
      <c r="S795" s="3">
        <f>IF(Q795=1,SUMPRODUCT(--($R$8:$R$1207&lt;R795))+1,"")</f>
        <v/>
      </c>
      <c r="T795" s="12">
        <f>IF(K795=1,'ORDENES'!$J791,"")</f>
        <v/>
      </c>
    </row>
    <row r="796">
      <c r="K796" s="3">
        <f>IF(AND(IF($B$3="(todos)",TRUE,'ORDENES'!$O792=$B$3),IF($D$3="(todos)",TRUE,'ORDENES'!$AF792=$D$3),IF($F$3="(todos)",TRUE,'ORDENES'!$X792=$F$3),IF($H$3="(todos)",TRUE,'ORDENES'!$W792=$H$3),'ORDENES'!$AD792=TRUE,'ORDENES'!$A792&lt;&gt;""),1,0)</f>
        <v/>
      </c>
      <c r="L796" s="3">
        <f>IF(K796=1,IFERROR(MATCH('ORDENES'!$R792,lista_dias,0),9)*1000000000+IFERROR(MATCH('ORDENES'!$AF792,lista_turnos,0),9)*10000000+IFERROR(MATCH('ORDENES'!$AE792,tblTecnicos[nombre],0),99)*100000+789,9000000000000+789)</f>
        <v/>
      </c>
      <c r="M796" s="3">
        <f>IF(K796=1,SUMPRODUCT(--($L$8:$L$1207&lt;L796))+1,"")</f>
        <v/>
      </c>
      <c r="N796" s="17">
        <f>IF(K796=1,N('ORDENES'!$M792),0)</f>
        <v/>
      </c>
      <c r="O796" s="17">
        <f>IF('ORDENES'!$T792="preventiva",N796,0)</f>
        <v/>
      </c>
      <c r="P796" s="17">
        <f>IF('ORDENES'!$T792="correctiva",N796,0)</f>
        <v/>
      </c>
      <c r="Q796" s="3">
        <f>IF(AND(K796=1,'ORDENES'!$N792="Pendiente"),1,0)</f>
        <v/>
      </c>
      <c r="R796" s="3">
        <f>IF(Q796=1,100000-N796*1000+789*0.01,9000000000000+789)</f>
        <v/>
      </c>
      <c r="S796" s="3">
        <f>IF(Q796=1,SUMPRODUCT(--($R$8:$R$1207&lt;R796))+1,"")</f>
        <v/>
      </c>
      <c r="T796" s="12">
        <f>IF(K796=1,'ORDENES'!$J792,"")</f>
        <v/>
      </c>
    </row>
    <row r="797">
      <c r="K797" s="3">
        <f>IF(AND(IF($B$3="(todos)",TRUE,'ORDENES'!$O793=$B$3),IF($D$3="(todos)",TRUE,'ORDENES'!$AF793=$D$3),IF($F$3="(todos)",TRUE,'ORDENES'!$X793=$F$3),IF($H$3="(todos)",TRUE,'ORDENES'!$W793=$H$3),'ORDENES'!$AD793=TRUE,'ORDENES'!$A793&lt;&gt;""),1,0)</f>
        <v/>
      </c>
      <c r="L797" s="3">
        <f>IF(K797=1,IFERROR(MATCH('ORDENES'!$R793,lista_dias,0),9)*1000000000+IFERROR(MATCH('ORDENES'!$AF793,lista_turnos,0),9)*10000000+IFERROR(MATCH('ORDENES'!$AE793,tblTecnicos[nombre],0),99)*100000+790,9000000000000+790)</f>
        <v/>
      </c>
      <c r="M797" s="3">
        <f>IF(K797=1,SUMPRODUCT(--($L$8:$L$1207&lt;L797))+1,"")</f>
        <v/>
      </c>
      <c r="N797" s="17">
        <f>IF(K797=1,N('ORDENES'!$M793),0)</f>
        <v/>
      </c>
      <c r="O797" s="17">
        <f>IF('ORDENES'!$T793="preventiva",N797,0)</f>
        <v/>
      </c>
      <c r="P797" s="17">
        <f>IF('ORDENES'!$T793="correctiva",N797,0)</f>
        <v/>
      </c>
      <c r="Q797" s="3">
        <f>IF(AND(K797=1,'ORDENES'!$N793="Pendiente"),1,0)</f>
        <v/>
      </c>
      <c r="R797" s="3">
        <f>IF(Q797=1,100000-N797*1000+790*0.01,9000000000000+790)</f>
        <v/>
      </c>
      <c r="S797" s="3">
        <f>IF(Q797=1,SUMPRODUCT(--($R$8:$R$1207&lt;R797))+1,"")</f>
        <v/>
      </c>
      <c r="T797" s="12">
        <f>IF(K797=1,'ORDENES'!$J793,"")</f>
        <v/>
      </c>
    </row>
    <row r="798">
      <c r="K798" s="3">
        <f>IF(AND(IF($B$3="(todos)",TRUE,'ORDENES'!$O794=$B$3),IF($D$3="(todos)",TRUE,'ORDENES'!$AF794=$D$3),IF($F$3="(todos)",TRUE,'ORDENES'!$X794=$F$3),IF($H$3="(todos)",TRUE,'ORDENES'!$W794=$H$3),'ORDENES'!$AD794=TRUE,'ORDENES'!$A794&lt;&gt;""),1,0)</f>
        <v/>
      </c>
      <c r="L798" s="3">
        <f>IF(K798=1,IFERROR(MATCH('ORDENES'!$R794,lista_dias,0),9)*1000000000+IFERROR(MATCH('ORDENES'!$AF794,lista_turnos,0),9)*10000000+IFERROR(MATCH('ORDENES'!$AE794,tblTecnicos[nombre],0),99)*100000+791,9000000000000+791)</f>
        <v/>
      </c>
      <c r="M798" s="3">
        <f>IF(K798=1,SUMPRODUCT(--($L$8:$L$1207&lt;L798))+1,"")</f>
        <v/>
      </c>
      <c r="N798" s="17">
        <f>IF(K798=1,N('ORDENES'!$M794),0)</f>
        <v/>
      </c>
      <c r="O798" s="17">
        <f>IF('ORDENES'!$T794="preventiva",N798,0)</f>
        <v/>
      </c>
      <c r="P798" s="17">
        <f>IF('ORDENES'!$T794="correctiva",N798,0)</f>
        <v/>
      </c>
      <c r="Q798" s="3">
        <f>IF(AND(K798=1,'ORDENES'!$N794="Pendiente"),1,0)</f>
        <v/>
      </c>
      <c r="R798" s="3">
        <f>IF(Q798=1,100000-N798*1000+791*0.01,9000000000000+791)</f>
        <v/>
      </c>
      <c r="S798" s="3">
        <f>IF(Q798=1,SUMPRODUCT(--($R$8:$R$1207&lt;R798))+1,"")</f>
        <v/>
      </c>
      <c r="T798" s="12">
        <f>IF(K798=1,'ORDENES'!$J794,"")</f>
        <v/>
      </c>
    </row>
    <row r="799">
      <c r="K799" s="3">
        <f>IF(AND(IF($B$3="(todos)",TRUE,'ORDENES'!$O795=$B$3),IF($D$3="(todos)",TRUE,'ORDENES'!$AF795=$D$3),IF($F$3="(todos)",TRUE,'ORDENES'!$X795=$F$3),IF($H$3="(todos)",TRUE,'ORDENES'!$W795=$H$3),'ORDENES'!$AD795=TRUE,'ORDENES'!$A795&lt;&gt;""),1,0)</f>
        <v/>
      </c>
      <c r="L799" s="3">
        <f>IF(K799=1,IFERROR(MATCH('ORDENES'!$R795,lista_dias,0),9)*1000000000+IFERROR(MATCH('ORDENES'!$AF795,lista_turnos,0),9)*10000000+IFERROR(MATCH('ORDENES'!$AE795,tblTecnicos[nombre],0),99)*100000+792,9000000000000+792)</f>
        <v/>
      </c>
      <c r="M799" s="3">
        <f>IF(K799=1,SUMPRODUCT(--($L$8:$L$1207&lt;L799))+1,"")</f>
        <v/>
      </c>
      <c r="N799" s="17">
        <f>IF(K799=1,N('ORDENES'!$M795),0)</f>
        <v/>
      </c>
      <c r="O799" s="17">
        <f>IF('ORDENES'!$T795="preventiva",N799,0)</f>
        <v/>
      </c>
      <c r="P799" s="17">
        <f>IF('ORDENES'!$T795="correctiva",N799,0)</f>
        <v/>
      </c>
      <c r="Q799" s="3">
        <f>IF(AND(K799=1,'ORDENES'!$N795="Pendiente"),1,0)</f>
        <v/>
      </c>
      <c r="R799" s="3">
        <f>IF(Q799=1,100000-N799*1000+792*0.01,9000000000000+792)</f>
        <v/>
      </c>
      <c r="S799" s="3">
        <f>IF(Q799=1,SUMPRODUCT(--($R$8:$R$1207&lt;R799))+1,"")</f>
        <v/>
      </c>
      <c r="T799" s="12">
        <f>IF(K799=1,'ORDENES'!$J795,"")</f>
        <v/>
      </c>
    </row>
    <row r="800">
      <c r="K800" s="3">
        <f>IF(AND(IF($B$3="(todos)",TRUE,'ORDENES'!$O796=$B$3),IF($D$3="(todos)",TRUE,'ORDENES'!$AF796=$D$3),IF($F$3="(todos)",TRUE,'ORDENES'!$X796=$F$3),IF($H$3="(todos)",TRUE,'ORDENES'!$W796=$H$3),'ORDENES'!$AD796=TRUE,'ORDENES'!$A796&lt;&gt;""),1,0)</f>
        <v/>
      </c>
      <c r="L800" s="3">
        <f>IF(K800=1,IFERROR(MATCH('ORDENES'!$R796,lista_dias,0),9)*1000000000+IFERROR(MATCH('ORDENES'!$AF796,lista_turnos,0),9)*10000000+IFERROR(MATCH('ORDENES'!$AE796,tblTecnicos[nombre],0),99)*100000+793,9000000000000+793)</f>
        <v/>
      </c>
      <c r="M800" s="3">
        <f>IF(K800=1,SUMPRODUCT(--($L$8:$L$1207&lt;L800))+1,"")</f>
        <v/>
      </c>
      <c r="N800" s="17">
        <f>IF(K800=1,N('ORDENES'!$M796),0)</f>
        <v/>
      </c>
      <c r="O800" s="17">
        <f>IF('ORDENES'!$T796="preventiva",N800,0)</f>
        <v/>
      </c>
      <c r="P800" s="17">
        <f>IF('ORDENES'!$T796="correctiva",N800,0)</f>
        <v/>
      </c>
      <c r="Q800" s="3">
        <f>IF(AND(K800=1,'ORDENES'!$N796="Pendiente"),1,0)</f>
        <v/>
      </c>
      <c r="R800" s="3">
        <f>IF(Q800=1,100000-N800*1000+793*0.01,9000000000000+793)</f>
        <v/>
      </c>
      <c r="S800" s="3">
        <f>IF(Q800=1,SUMPRODUCT(--($R$8:$R$1207&lt;R800))+1,"")</f>
        <v/>
      </c>
      <c r="T800" s="12">
        <f>IF(K800=1,'ORDENES'!$J796,"")</f>
        <v/>
      </c>
    </row>
    <row r="801">
      <c r="K801" s="3">
        <f>IF(AND(IF($B$3="(todos)",TRUE,'ORDENES'!$O797=$B$3),IF($D$3="(todos)",TRUE,'ORDENES'!$AF797=$D$3),IF($F$3="(todos)",TRUE,'ORDENES'!$X797=$F$3),IF($H$3="(todos)",TRUE,'ORDENES'!$W797=$H$3),'ORDENES'!$AD797=TRUE,'ORDENES'!$A797&lt;&gt;""),1,0)</f>
        <v/>
      </c>
      <c r="L801" s="3">
        <f>IF(K801=1,IFERROR(MATCH('ORDENES'!$R797,lista_dias,0),9)*1000000000+IFERROR(MATCH('ORDENES'!$AF797,lista_turnos,0),9)*10000000+IFERROR(MATCH('ORDENES'!$AE797,tblTecnicos[nombre],0),99)*100000+794,9000000000000+794)</f>
        <v/>
      </c>
      <c r="M801" s="3">
        <f>IF(K801=1,SUMPRODUCT(--($L$8:$L$1207&lt;L801))+1,"")</f>
        <v/>
      </c>
      <c r="N801" s="17">
        <f>IF(K801=1,N('ORDENES'!$M797),0)</f>
        <v/>
      </c>
      <c r="O801" s="17">
        <f>IF('ORDENES'!$T797="preventiva",N801,0)</f>
        <v/>
      </c>
      <c r="P801" s="17">
        <f>IF('ORDENES'!$T797="correctiva",N801,0)</f>
        <v/>
      </c>
      <c r="Q801" s="3">
        <f>IF(AND(K801=1,'ORDENES'!$N797="Pendiente"),1,0)</f>
        <v/>
      </c>
      <c r="R801" s="3">
        <f>IF(Q801=1,100000-N801*1000+794*0.01,9000000000000+794)</f>
        <v/>
      </c>
      <c r="S801" s="3">
        <f>IF(Q801=1,SUMPRODUCT(--($R$8:$R$1207&lt;R801))+1,"")</f>
        <v/>
      </c>
      <c r="T801" s="12">
        <f>IF(K801=1,'ORDENES'!$J797,"")</f>
        <v/>
      </c>
    </row>
    <row r="802">
      <c r="K802" s="3">
        <f>IF(AND(IF($B$3="(todos)",TRUE,'ORDENES'!$O798=$B$3),IF($D$3="(todos)",TRUE,'ORDENES'!$AF798=$D$3),IF($F$3="(todos)",TRUE,'ORDENES'!$X798=$F$3),IF($H$3="(todos)",TRUE,'ORDENES'!$W798=$H$3),'ORDENES'!$AD798=TRUE,'ORDENES'!$A798&lt;&gt;""),1,0)</f>
        <v/>
      </c>
      <c r="L802" s="3">
        <f>IF(K802=1,IFERROR(MATCH('ORDENES'!$R798,lista_dias,0),9)*1000000000+IFERROR(MATCH('ORDENES'!$AF798,lista_turnos,0),9)*10000000+IFERROR(MATCH('ORDENES'!$AE798,tblTecnicos[nombre],0),99)*100000+795,9000000000000+795)</f>
        <v/>
      </c>
      <c r="M802" s="3">
        <f>IF(K802=1,SUMPRODUCT(--($L$8:$L$1207&lt;L802))+1,"")</f>
        <v/>
      </c>
      <c r="N802" s="17">
        <f>IF(K802=1,N('ORDENES'!$M798),0)</f>
        <v/>
      </c>
      <c r="O802" s="17">
        <f>IF('ORDENES'!$T798="preventiva",N802,0)</f>
        <v/>
      </c>
      <c r="P802" s="17">
        <f>IF('ORDENES'!$T798="correctiva",N802,0)</f>
        <v/>
      </c>
      <c r="Q802" s="3">
        <f>IF(AND(K802=1,'ORDENES'!$N798="Pendiente"),1,0)</f>
        <v/>
      </c>
      <c r="R802" s="3">
        <f>IF(Q802=1,100000-N802*1000+795*0.01,9000000000000+795)</f>
        <v/>
      </c>
      <c r="S802" s="3">
        <f>IF(Q802=1,SUMPRODUCT(--($R$8:$R$1207&lt;R802))+1,"")</f>
        <v/>
      </c>
      <c r="T802" s="12">
        <f>IF(K802=1,'ORDENES'!$J798,"")</f>
        <v/>
      </c>
    </row>
    <row r="803">
      <c r="K803" s="3">
        <f>IF(AND(IF($B$3="(todos)",TRUE,'ORDENES'!$O799=$B$3),IF($D$3="(todos)",TRUE,'ORDENES'!$AF799=$D$3),IF($F$3="(todos)",TRUE,'ORDENES'!$X799=$F$3),IF($H$3="(todos)",TRUE,'ORDENES'!$W799=$H$3),'ORDENES'!$AD799=TRUE,'ORDENES'!$A799&lt;&gt;""),1,0)</f>
        <v/>
      </c>
      <c r="L803" s="3">
        <f>IF(K803=1,IFERROR(MATCH('ORDENES'!$R799,lista_dias,0),9)*1000000000+IFERROR(MATCH('ORDENES'!$AF799,lista_turnos,0),9)*10000000+IFERROR(MATCH('ORDENES'!$AE799,tblTecnicos[nombre],0),99)*100000+796,9000000000000+796)</f>
        <v/>
      </c>
      <c r="M803" s="3">
        <f>IF(K803=1,SUMPRODUCT(--($L$8:$L$1207&lt;L803))+1,"")</f>
        <v/>
      </c>
      <c r="N803" s="17">
        <f>IF(K803=1,N('ORDENES'!$M799),0)</f>
        <v/>
      </c>
      <c r="O803" s="17">
        <f>IF('ORDENES'!$T799="preventiva",N803,0)</f>
        <v/>
      </c>
      <c r="P803" s="17">
        <f>IF('ORDENES'!$T799="correctiva",N803,0)</f>
        <v/>
      </c>
      <c r="Q803" s="3">
        <f>IF(AND(K803=1,'ORDENES'!$N799="Pendiente"),1,0)</f>
        <v/>
      </c>
      <c r="R803" s="3">
        <f>IF(Q803=1,100000-N803*1000+796*0.01,9000000000000+796)</f>
        <v/>
      </c>
      <c r="S803" s="3">
        <f>IF(Q803=1,SUMPRODUCT(--($R$8:$R$1207&lt;R803))+1,"")</f>
        <v/>
      </c>
      <c r="T803" s="12">
        <f>IF(K803=1,'ORDENES'!$J799,"")</f>
        <v/>
      </c>
    </row>
    <row r="804">
      <c r="K804" s="3">
        <f>IF(AND(IF($B$3="(todos)",TRUE,'ORDENES'!$O800=$B$3),IF($D$3="(todos)",TRUE,'ORDENES'!$AF800=$D$3),IF($F$3="(todos)",TRUE,'ORDENES'!$X800=$F$3),IF($H$3="(todos)",TRUE,'ORDENES'!$W800=$H$3),'ORDENES'!$AD800=TRUE,'ORDENES'!$A800&lt;&gt;""),1,0)</f>
        <v/>
      </c>
      <c r="L804" s="3">
        <f>IF(K804=1,IFERROR(MATCH('ORDENES'!$R800,lista_dias,0),9)*1000000000+IFERROR(MATCH('ORDENES'!$AF800,lista_turnos,0),9)*10000000+IFERROR(MATCH('ORDENES'!$AE800,tblTecnicos[nombre],0),99)*100000+797,9000000000000+797)</f>
        <v/>
      </c>
      <c r="M804" s="3">
        <f>IF(K804=1,SUMPRODUCT(--($L$8:$L$1207&lt;L804))+1,"")</f>
        <v/>
      </c>
      <c r="N804" s="17">
        <f>IF(K804=1,N('ORDENES'!$M800),0)</f>
        <v/>
      </c>
      <c r="O804" s="17">
        <f>IF('ORDENES'!$T800="preventiva",N804,0)</f>
        <v/>
      </c>
      <c r="P804" s="17">
        <f>IF('ORDENES'!$T800="correctiva",N804,0)</f>
        <v/>
      </c>
      <c r="Q804" s="3">
        <f>IF(AND(K804=1,'ORDENES'!$N800="Pendiente"),1,0)</f>
        <v/>
      </c>
      <c r="R804" s="3">
        <f>IF(Q804=1,100000-N804*1000+797*0.01,9000000000000+797)</f>
        <v/>
      </c>
      <c r="S804" s="3">
        <f>IF(Q804=1,SUMPRODUCT(--($R$8:$R$1207&lt;R804))+1,"")</f>
        <v/>
      </c>
      <c r="T804" s="12">
        <f>IF(K804=1,'ORDENES'!$J800,"")</f>
        <v/>
      </c>
    </row>
    <row r="805">
      <c r="K805" s="3">
        <f>IF(AND(IF($B$3="(todos)",TRUE,'ORDENES'!$O801=$B$3),IF($D$3="(todos)",TRUE,'ORDENES'!$AF801=$D$3),IF($F$3="(todos)",TRUE,'ORDENES'!$X801=$F$3),IF($H$3="(todos)",TRUE,'ORDENES'!$W801=$H$3),'ORDENES'!$AD801=TRUE,'ORDENES'!$A801&lt;&gt;""),1,0)</f>
        <v/>
      </c>
      <c r="L805" s="3">
        <f>IF(K805=1,IFERROR(MATCH('ORDENES'!$R801,lista_dias,0),9)*1000000000+IFERROR(MATCH('ORDENES'!$AF801,lista_turnos,0),9)*10000000+IFERROR(MATCH('ORDENES'!$AE801,tblTecnicos[nombre],0),99)*100000+798,9000000000000+798)</f>
        <v/>
      </c>
      <c r="M805" s="3">
        <f>IF(K805=1,SUMPRODUCT(--($L$8:$L$1207&lt;L805))+1,"")</f>
        <v/>
      </c>
      <c r="N805" s="17">
        <f>IF(K805=1,N('ORDENES'!$M801),0)</f>
        <v/>
      </c>
      <c r="O805" s="17">
        <f>IF('ORDENES'!$T801="preventiva",N805,0)</f>
        <v/>
      </c>
      <c r="P805" s="17">
        <f>IF('ORDENES'!$T801="correctiva",N805,0)</f>
        <v/>
      </c>
      <c r="Q805" s="3">
        <f>IF(AND(K805=1,'ORDENES'!$N801="Pendiente"),1,0)</f>
        <v/>
      </c>
      <c r="R805" s="3">
        <f>IF(Q805=1,100000-N805*1000+798*0.01,9000000000000+798)</f>
        <v/>
      </c>
      <c r="S805" s="3">
        <f>IF(Q805=1,SUMPRODUCT(--($R$8:$R$1207&lt;R805))+1,"")</f>
        <v/>
      </c>
      <c r="T805" s="12">
        <f>IF(K805=1,'ORDENES'!$J801,"")</f>
        <v/>
      </c>
    </row>
    <row r="806">
      <c r="K806" s="3">
        <f>IF(AND(IF($B$3="(todos)",TRUE,'ORDENES'!$O802=$B$3),IF($D$3="(todos)",TRUE,'ORDENES'!$AF802=$D$3),IF($F$3="(todos)",TRUE,'ORDENES'!$X802=$F$3),IF($H$3="(todos)",TRUE,'ORDENES'!$W802=$H$3),'ORDENES'!$AD802=TRUE,'ORDENES'!$A802&lt;&gt;""),1,0)</f>
        <v/>
      </c>
      <c r="L806" s="3">
        <f>IF(K806=1,IFERROR(MATCH('ORDENES'!$R802,lista_dias,0),9)*1000000000+IFERROR(MATCH('ORDENES'!$AF802,lista_turnos,0),9)*10000000+IFERROR(MATCH('ORDENES'!$AE802,tblTecnicos[nombre],0),99)*100000+799,9000000000000+799)</f>
        <v/>
      </c>
      <c r="M806" s="3">
        <f>IF(K806=1,SUMPRODUCT(--($L$8:$L$1207&lt;L806))+1,"")</f>
        <v/>
      </c>
      <c r="N806" s="17">
        <f>IF(K806=1,N('ORDENES'!$M802),0)</f>
        <v/>
      </c>
      <c r="O806" s="17">
        <f>IF('ORDENES'!$T802="preventiva",N806,0)</f>
        <v/>
      </c>
      <c r="P806" s="17">
        <f>IF('ORDENES'!$T802="correctiva",N806,0)</f>
        <v/>
      </c>
      <c r="Q806" s="3">
        <f>IF(AND(K806=1,'ORDENES'!$N802="Pendiente"),1,0)</f>
        <v/>
      </c>
      <c r="R806" s="3">
        <f>IF(Q806=1,100000-N806*1000+799*0.01,9000000000000+799)</f>
        <v/>
      </c>
      <c r="S806" s="3">
        <f>IF(Q806=1,SUMPRODUCT(--($R$8:$R$1207&lt;R806))+1,"")</f>
        <v/>
      </c>
      <c r="T806" s="12">
        <f>IF(K806=1,'ORDENES'!$J802,"")</f>
        <v/>
      </c>
    </row>
    <row r="807">
      <c r="K807" s="3">
        <f>IF(AND(IF($B$3="(todos)",TRUE,'ORDENES'!$O803=$B$3),IF($D$3="(todos)",TRUE,'ORDENES'!$AF803=$D$3),IF($F$3="(todos)",TRUE,'ORDENES'!$X803=$F$3),IF($H$3="(todos)",TRUE,'ORDENES'!$W803=$H$3),'ORDENES'!$AD803=TRUE,'ORDENES'!$A803&lt;&gt;""),1,0)</f>
        <v/>
      </c>
      <c r="L807" s="3">
        <f>IF(K807=1,IFERROR(MATCH('ORDENES'!$R803,lista_dias,0),9)*1000000000+IFERROR(MATCH('ORDENES'!$AF803,lista_turnos,0),9)*10000000+IFERROR(MATCH('ORDENES'!$AE803,tblTecnicos[nombre],0),99)*100000+800,9000000000000+800)</f>
        <v/>
      </c>
      <c r="M807" s="3">
        <f>IF(K807=1,SUMPRODUCT(--($L$8:$L$1207&lt;L807))+1,"")</f>
        <v/>
      </c>
      <c r="N807" s="17">
        <f>IF(K807=1,N('ORDENES'!$M803),0)</f>
        <v/>
      </c>
      <c r="O807" s="17">
        <f>IF('ORDENES'!$T803="preventiva",N807,0)</f>
        <v/>
      </c>
      <c r="P807" s="17">
        <f>IF('ORDENES'!$T803="correctiva",N807,0)</f>
        <v/>
      </c>
      <c r="Q807" s="3">
        <f>IF(AND(K807=1,'ORDENES'!$N803="Pendiente"),1,0)</f>
        <v/>
      </c>
      <c r="R807" s="3">
        <f>IF(Q807=1,100000-N807*1000+800*0.01,9000000000000+800)</f>
        <v/>
      </c>
      <c r="S807" s="3">
        <f>IF(Q807=1,SUMPRODUCT(--($R$8:$R$1207&lt;R807))+1,"")</f>
        <v/>
      </c>
      <c r="T807" s="12">
        <f>IF(K807=1,'ORDENES'!$J803,"")</f>
        <v/>
      </c>
    </row>
    <row r="808">
      <c r="K808" s="3">
        <f>IF(AND(IF($B$3="(todos)",TRUE,'ORDENES'!$O804=$B$3),IF($D$3="(todos)",TRUE,'ORDENES'!$AF804=$D$3),IF($F$3="(todos)",TRUE,'ORDENES'!$X804=$F$3),IF($H$3="(todos)",TRUE,'ORDENES'!$W804=$H$3),'ORDENES'!$AD804=TRUE,'ORDENES'!$A804&lt;&gt;""),1,0)</f>
        <v/>
      </c>
      <c r="L808" s="3">
        <f>IF(K808=1,IFERROR(MATCH('ORDENES'!$R804,lista_dias,0),9)*1000000000+IFERROR(MATCH('ORDENES'!$AF804,lista_turnos,0),9)*10000000+IFERROR(MATCH('ORDENES'!$AE804,tblTecnicos[nombre],0),99)*100000+801,9000000000000+801)</f>
        <v/>
      </c>
      <c r="M808" s="3">
        <f>IF(K808=1,SUMPRODUCT(--($L$8:$L$1207&lt;L808))+1,"")</f>
        <v/>
      </c>
      <c r="N808" s="17">
        <f>IF(K808=1,N('ORDENES'!$M804),0)</f>
        <v/>
      </c>
      <c r="O808" s="17">
        <f>IF('ORDENES'!$T804="preventiva",N808,0)</f>
        <v/>
      </c>
      <c r="P808" s="17">
        <f>IF('ORDENES'!$T804="correctiva",N808,0)</f>
        <v/>
      </c>
      <c r="Q808" s="3">
        <f>IF(AND(K808=1,'ORDENES'!$N804="Pendiente"),1,0)</f>
        <v/>
      </c>
      <c r="R808" s="3">
        <f>IF(Q808=1,100000-N808*1000+801*0.01,9000000000000+801)</f>
        <v/>
      </c>
      <c r="S808" s="3">
        <f>IF(Q808=1,SUMPRODUCT(--($R$8:$R$1207&lt;R808))+1,"")</f>
        <v/>
      </c>
      <c r="T808" s="12">
        <f>IF(K808=1,'ORDENES'!$J804,"")</f>
        <v/>
      </c>
    </row>
    <row r="809">
      <c r="K809" s="3">
        <f>IF(AND(IF($B$3="(todos)",TRUE,'ORDENES'!$O805=$B$3),IF($D$3="(todos)",TRUE,'ORDENES'!$AF805=$D$3),IF($F$3="(todos)",TRUE,'ORDENES'!$X805=$F$3),IF($H$3="(todos)",TRUE,'ORDENES'!$W805=$H$3),'ORDENES'!$AD805=TRUE,'ORDENES'!$A805&lt;&gt;""),1,0)</f>
        <v/>
      </c>
      <c r="L809" s="3">
        <f>IF(K809=1,IFERROR(MATCH('ORDENES'!$R805,lista_dias,0),9)*1000000000+IFERROR(MATCH('ORDENES'!$AF805,lista_turnos,0),9)*10000000+IFERROR(MATCH('ORDENES'!$AE805,tblTecnicos[nombre],0),99)*100000+802,9000000000000+802)</f>
        <v/>
      </c>
      <c r="M809" s="3">
        <f>IF(K809=1,SUMPRODUCT(--($L$8:$L$1207&lt;L809))+1,"")</f>
        <v/>
      </c>
      <c r="N809" s="17">
        <f>IF(K809=1,N('ORDENES'!$M805),0)</f>
        <v/>
      </c>
      <c r="O809" s="17">
        <f>IF('ORDENES'!$T805="preventiva",N809,0)</f>
        <v/>
      </c>
      <c r="P809" s="17">
        <f>IF('ORDENES'!$T805="correctiva",N809,0)</f>
        <v/>
      </c>
      <c r="Q809" s="3">
        <f>IF(AND(K809=1,'ORDENES'!$N805="Pendiente"),1,0)</f>
        <v/>
      </c>
      <c r="R809" s="3">
        <f>IF(Q809=1,100000-N809*1000+802*0.01,9000000000000+802)</f>
        <v/>
      </c>
      <c r="S809" s="3">
        <f>IF(Q809=1,SUMPRODUCT(--($R$8:$R$1207&lt;R809))+1,"")</f>
        <v/>
      </c>
      <c r="T809" s="12">
        <f>IF(K809=1,'ORDENES'!$J805,"")</f>
        <v/>
      </c>
    </row>
    <row r="810">
      <c r="K810" s="3">
        <f>IF(AND(IF($B$3="(todos)",TRUE,'ORDENES'!$O806=$B$3),IF($D$3="(todos)",TRUE,'ORDENES'!$AF806=$D$3),IF($F$3="(todos)",TRUE,'ORDENES'!$X806=$F$3),IF($H$3="(todos)",TRUE,'ORDENES'!$W806=$H$3),'ORDENES'!$AD806=TRUE,'ORDENES'!$A806&lt;&gt;""),1,0)</f>
        <v/>
      </c>
      <c r="L810" s="3">
        <f>IF(K810=1,IFERROR(MATCH('ORDENES'!$R806,lista_dias,0),9)*1000000000+IFERROR(MATCH('ORDENES'!$AF806,lista_turnos,0),9)*10000000+IFERROR(MATCH('ORDENES'!$AE806,tblTecnicos[nombre],0),99)*100000+803,9000000000000+803)</f>
        <v/>
      </c>
      <c r="M810" s="3">
        <f>IF(K810=1,SUMPRODUCT(--($L$8:$L$1207&lt;L810))+1,"")</f>
        <v/>
      </c>
      <c r="N810" s="17">
        <f>IF(K810=1,N('ORDENES'!$M806),0)</f>
        <v/>
      </c>
      <c r="O810" s="17">
        <f>IF('ORDENES'!$T806="preventiva",N810,0)</f>
        <v/>
      </c>
      <c r="P810" s="17">
        <f>IF('ORDENES'!$T806="correctiva",N810,0)</f>
        <v/>
      </c>
      <c r="Q810" s="3">
        <f>IF(AND(K810=1,'ORDENES'!$N806="Pendiente"),1,0)</f>
        <v/>
      </c>
      <c r="R810" s="3">
        <f>IF(Q810=1,100000-N810*1000+803*0.01,9000000000000+803)</f>
        <v/>
      </c>
      <c r="S810" s="3">
        <f>IF(Q810=1,SUMPRODUCT(--($R$8:$R$1207&lt;R810))+1,"")</f>
        <v/>
      </c>
      <c r="T810" s="12">
        <f>IF(K810=1,'ORDENES'!$J806,"")</f>
        <v/>
      </c>
    </row>
    <row r="811">
      <c r="K811" s="3">
        <f>IF(AND(IF($B$3="(todos)",TRUE,'ORDENES'!$O807=$B$3),IF($D$3="(todos)",TRUE,'ORDENES'!$AF807=$D$3),IF($F$3="(todos)",TRUE,'ORDENES'!$X807=$F$3),IF($H$3="(todos)",TRUE,'ORDENES'!$W807=$H$3),'ORDENES'!$AD807=TRUE,'ORDENES'!$A807&lt;&gt;""),1,0)</f>
        <v/>
      </c>
      <c r="L811" s="3">
        <f>IF(K811=1,IFERROR(MATCH('ORDENES'!$R807,lista_dias,0),9)*1000000000+IFERROR(MATCH('ORDENES'!$AF807,lista_turnos,0),9)*10000000+IFERROR(MATCH('ORDENES'!$AE807,tblTecnicos[nombre],0),99)*100000+804,9000000000000+804)</f>
        <v/>
      </c>
      <c r="M811" s="3">
        <f>IF(K811=1,SUMPRODUCT(--($L$8:$L$1207&lt;L811))+1,"")</f>
        <v/>
      </c>
      <c r="N811" s="17">
        <f>IF(K811=1,N('ORDENES'!$M807),0)</f>
        <v/>
      </c>
      <c r="O811" s="17">
        <f>IF('ORDENES'!$T807="preventiva",N811,0)</f>
        <v/>
      </c>
      <c r="P811" s="17">
        <f>IF('ORDENES'!$T807="correctiva",N811,0)</f>
        <v/>
      </c>
      <c r="Q811" s="3">
        <f>IF(AND(K811=1,'ORDENES'!$N807="Pendiente"),1,0)</f>
        <v/>
      </c>
      <c r="R811" s="3">
        <f>IF(Q811=1,100000-N811*1000+804*0.01,9000000000000+804)</f>
        <v/>
      </c>
      <c r="S811" s="3">
        <f>IF(Q811=1,SUMPRODUCT(--($R$8:$R$1207&lt;R811))+1,"")</f>
        <v/>
      </c>
      <c r="T811" s="12">
        <f>IF(K811=1,'ORDENES'!$J807,"")</f>
        <v/>
      </c>
    </row>
    <row r="812">
      <c r="K812" s="3">
        <f>IF(AND(IF($B$3="(todos)",TRUE,'ORDENES'!$O808=$B$3),IF($D$3="(todos)",TRUE,'ORDENES'!$AF808=$D$3),IF($F$3="(todos)",TRUE,'ORDENES'!$X808=$F$3),IF($H$3="(todos)",TRUE,'ORDENES'!$W808=$H$3),'ORDENES'!$AD808=TRUE,'ORDENES'!$A808&lt;&gt;""),1,0)</f>
        <v/>
      </c>
      <c r="L812" s="3">
        <f>IF(K812=1,IFERROR(MATCH('ORDENES'!$R808,lista_dias,0),9)*1000000000+IFERROR(MATCH('ORDENES'!$AF808,lista_turnos,0),9)*10000000+IFERROR(MATCH('ORDENES'!$AE808,tblTecnicos[nombre],0),99)*100000+805,9000000000000+805)</f>
        <v/>
      </c>
      <c r="M812" s="3">
        <f>IF(K812=1,SUMPRODUCT(--($L$8:$L$1207&lt;L812))+1,"")</f>
        <v/>
      </c>
      <c r="N812" s="17">
        <f>IF(K812=1,N('ORDENES'!$M808),0)</f>
        <v/>
      </c>
      <c r="O812" s="17">
        <f>IF('ORDENES'!$T808="preventiva",N812,0)</f>
        <v/>
      </c>
      <c r="P812" s="17">
        <f>IF('ORDENES'!$T808="correctiva",N812,0)</f>
        <v/>
      </c>
      <c r="Q812" s="3">
        <f>IF(AND(K812=1,'ORDENES'!$N808="Pendiente"),1,0)</f>
        <v/>
      </c>
      <c r="R812" s="3">
        <f>IF(Q812=1,100000-N812*1000+805*0.01,9000000000000+805)</f>
        <v/>
      </c>
      <c r="S812" s="3">
        <f>IF(Q812=1,SUMPRODUCT(--($R$8:$R$1207&lt;R812))+1,"")</f>
        <v/>
      </c>
      <c r="T812" s="12">
        <f>IF(K812=1,'ORDENES'!$J808,"")</f>
        <v/>
      </c>
    </row>
    <row r="813">
      <c r="K813" s="3">
        <f>IF(AND(IF($B$3="(todos)",TRUE,'ORDENES'!$O809=$B$3),IF($D$3="(todos)",TRUE,'ORDENES'!$AF809=$D$3),IF($F$3="(todos)",TRUE,'ORDENES'!$X809=$F$3),IF($H$3="(todos)",TRUE,'ORDENES'!$W809=$H$3),'ORDENES'!$AD809=TRUE,'ORDENES'!$A809&lt;&gt;""),1,0)</f>
        <v/>
      </c>
      <c r="L813" s="3">
        <f>IF(K813=1,IFERROR(MATCH('ORDENES'!$R809,lista_dias,0),9)*1000000000+IFERROR(MATCH('ORDENES'!$AF809,lista_turnos,0),9)*10000000+IFERROR(MATCH('ORDENES'!$AE809,tblTecnicos[nombre],0),99)*100000+806,9000000000000+806)</f>
        <v/>
      </c>
      <c r="M813" s="3">
        <f>IF(K813=1,SUMPRODUCT(--($L$8:$L$1207&lt;L813))+1,"")</f>
        <v/>
      </c>
      <c r="N813" s="17">
        <f>IF(K813=1,N('ORDENES'!$M809),0)</f>
        <v/>
      </c>
      <c r="O813" s="17">
        <f>IF('ORDENES'!$T809="preventiva",N813,0)</f>
        <v/>
      </c>
      <c r="P813" s="17">
        <f>IF('ORDENES'!$T809="correctiva",N813,0)</f>
        <v/>
      </c>
      <c r="Q813" s="3">
        <f>IF(AND(K813=1,'ORDENES'!$N809="Pendiente"),1,0)</f>
        <v/>
      </c>
      <c r="R813" s="3">
        <f>IF(Q813=1,100000-N813*1000+806*0.01,9000000000000+806)</f>
        <v/>
      </c>
      <c r="S813" s="3">
        <f>IF(Q813=1,SUMPRODUCT(--($R$8:$R$1207&lt;R813))+1,"")</f>
        <v/>
      </c>
      <c r="T813" s="12">
        <f>IF(K813=1,'ORDENES'!$J809,"")</f>
        <v/>
      </c>
    </row>
    <row r="814">
      <c r="K814" s="3">
        <f>IF(AND(IF($B$3="(todos)",TRUE,'ORDENES'!$O810=$B$3),IF($D$3="(todos)",TRUE,'ORDENES'!$AF810=$D$3),IF($F$3="(todos)",TRUE,'ORDENES'!$X810=$F$3),IF($H$3="(todos)",TRUE,'ORDENES'!$W810=$H$3),'ORDENES'!$AD810=TRUE,'ORDENES'!$A810&lt;&gt;""),1,0)</f>
        <v/>
      </c>
      <c r="L814" s="3">
        <f>IF(K814=1,IFERROR(MATCH('ORDENES'!$R810,lista_dias,0),9)*1000000000+IFERROR(MATCH('ORDENES'!$AF810,lista_turnos,0),9)*10000000+IFERROR(MATCH('ORDENES'!$AE810,tblTecnicos[nombre],0),99)*100000+807,9000000000000+807)</f>
        <v/>
      </c>
      <c r="M814" s="3">
        <f>IF(K814=1,SUMPRODUCT(--($L$8:$L$1207&lt;L814))+1,"")</f>
        <v/>
      </c>
      <c r="N814" s="17">
        <f>IF(K814=1,N('ORDENES'!$M810),0)</f>
        <v/>
      </c>
      <c r="O814" s="17">
        <f>IF('ORDENES'!$T810="preventiva",N814,0)</f>
        <v/>
      </c>
      <c r="P814" s="17">
        <f>IF('ORDENES'!$T810="correctiva",N814,0)</f>
        <v/>
      </c>
      <c r="Q814" s="3">
        <f>IF(AND(K814=1,'ORDENES'!$N810="Pendiente"),1,0)</f>
        <v/>
      </c>
      <c r="R814" s="3">
        <f>IF(Q814=1,100000-N814*1000+807*0.01,9000000000000+807)</f>
        <v/>
      </c>
      <c r="S814" s="3">
        <f>IF(Q814=1,SUMPRODUCT(--($R$8:$R$1207&lt;R814))+1,"")</f>
        <v/>
      </c>
      <c r="T814" s="12">
        <f>IF(K814=1,'ORDENES'!$J810,"")</f>
        <v/>
      </c>
    </row>
    <row r="815">
      <c r="K815" s="3">
        <f>IF(AND(IF($B$3="(todos)",TRUE,'ORDENES'!$O811=$B$3),IF($D$3="(todos)",TRUE,'ORDENES'!$AF811=$D$3),IF($F$3="(todos)",TRUE,'ORDENES'!$X811=$F$3),IF($H$3="(todos)",TRUE,'ORDENES'!$W811=$H$3),'ORDENES'!$AD811=TRUE,'ORDENES'!$A811&lt;&gt;""),1,0)</f>
        <v/>
      </c>
      <c r="L815" s="3">
        <f>IF(K815=1,IFERROR(MATCH('ORDENES'!$R811,lista_dias,0),9)*1000000000+IFERROR(MATCH('ORDENES'!$AF811,lista_turnos,0),9)*10000000+IFERROR(MATCH('ORDENES'!$AE811,tblTecnicos[nombre],0),99)*100000+808,9000000000000+808)</f>
        <v/>
      </c>
      <c r="M815" s="3">
        <f>IF(K815=1,SUMPRODUCT(--($L$8:$L$1207&lt;L815))+1,"")</f>
        <v/>
      </c>
      <c r="N815" s="17">
        <f>IF(K815=1,N('ORDENES'!$M811),0)</f>
        <v/>
      </c>
      <c r="O815" s="17">
        <f>IF('ORDENES'!$T811="preventiva",N815,0)</f>
        <v/>
      </c>
      <c r="P815" s="17">
        <f>IF('ORDENES'!$T811="correctiva",N815,0)</f>
        <v/>
      </c>
      <c r="Q815" s="3">
        <f>IF(AND(K815=1,'ORDENES'!$N811="Pendiente"),1,0)</f>
        <v/>
      </c>
      <c r="R815" s="3">
        <f>IF(Q815=1,100000-N815*1000+808*0.01,9000000000000+808)</f>
        <v/>
      </c>
      <c r="S815" s="3">
        <f>IF(Q815=1,SUMPRODUCT(--($R$8:$R$1207&lt;R815))+1,"")</f>
        <v/>
      </c>
      <c r="T815" s="12">
        <f>IF(K815=1,'ORDENES'!$J811,"")</f>
        <v/>
      </c>
    </row>
    <row r="816">
      <c r="K816" s="3">
        <f>IF(AND(IF($B$3="(todos)",TRUE,'ORDENES'!$O812=$B$3),IF($D$3="(todos)",TRUE,'ORDENES'!$AF812=$D$3),IF($F$3="(todos)",TRUE,'ORDENES'!$X812=$F$3),IF($H$3="(todos)",TRUE,'ORDENES'!$W812=$H$3),'ORDENES'!$AD812=TRUE,'ORDENES'!$A812&lt;&gt;""),1,0)</f>
        <v/>
      </c>
      <c r="L816" s="3">
        <f>IF(K816=1,IFERROR(MATCH('ORDENES'!$R812,lista_dias,0),9)*1000000000+IFERROR(MATCH('ORDENES'!$AF812,lista_turnos,0),9)*10000000+IFERROR(MATCH('ORDENES'!$AE812,tblTecnicos[nombre],0),99)*100000+809,9000000000000+809)</f>
        <v/>
      </c>
      <c r="M816" s="3">
        <f>IF(K816=1,SUMPRODUCT(--($L$8:$L$1207&lt;L816))+1,"")</f>
        <v/>
      </c>
      <c r="N816" s="17">
        <f>IF(K816=1,N('ORDENES'!$M812),0)</f>
        <v/>
      </c>
      <c r="O816" s="17">
        <f>IF('ORDENES'!$T812="preventiva",N816,0)</f>
        <v/>
      </c>
      <c r="P816" s="17">
        <f>IF('ORDENES'!$T812="correctiva",N816,0)</f>
        <v/>
      </c>
      <c r="Q816" s="3">
        <f>IF(AND(K816=1,'ORDENES'!$N812="Pendiente"),1,0)</f>
        <v/>
      </c>
      <c r="R816" s="3">
        <f>IF(Q816=1,100000-N816*1000+809*0.01,9000000000000+809)</f>
        <v/>
      </c>
      <c r="S816" s="3">
        <f>IF(Q816=1,SUMPRODUCT(--($R$8:$R$1207&lt;R816))+1,"")</f>
        <v/>
      </c>
      <c r="T816" s="12">
        <f>IF(K816=1,'ORDENES'!$J812,"")</f>
        <v/>
      </c>
    </row>
    <row r="817">
      <c r="K817" s="3">
        <f>IF(AND(IF($B$3="(todos)",TRUE,'ORDENES'!$O813=$B$3),IF($D$3="(todos)",TRUE,'ORDENES'!$AF813=$D$3),IF($F$3="(todos)",TRUE,'ORDENES'!$X813=$F$3),IF($H$3="(todos)",TRUE,'ORDENES'!$W813=$H$3),'ORDENES'!$AD813=TRUE,'ORDENES'!$A813&lt;&gt;""),1,0)</f>
        <v/>
      </c>
      <c r="L817" s="3">
        <f>IF(K817=1,IFERROR(MATCH('ORDENES'!$R813,lista_dias,0),9)*1000000000+IFERROR(MATCH('ORDENES'!$AF813,lista_turnos,0),9)*10000000+IFERROR(MATCH('ORDENES'!$AE813,tblTecnicos[nombre],0),99)*100000+810,9000000000000+810)</f>
        <v/>
      </c>
      <c r="M817" s="3">
        <f>IF(K817=1,SUMPRODUCT(--($L$8:$L$1207&lt;L817))+1,"")</f>
        <v/>
      </c>
      <c r="N817" s="17">
        <f>IF(K817=1,N('ORDENES'!$M813),0)</f>
        <v/>
      </c>
      <c r="O817" s="17">
        <f>IF('ORDENES'!$T813="preventiva",N817,0)</f>
        <v/>
      </c>
      <c r="P817" s="17">
        <f>IF('ORDENES'!$T813="correctiva",N817,0)</f>
        <v/>
      </c>
      <c r="Q817" s="3">
        <f>IF(AND(K817=1,'ORDENES'!$N813="Pendiente"),1,0)</f>
        <v/>
      </c>
      <c r="R817" s="3">
        <f>IF(Q817=1,100000-N817*1000+810*0.01,9000000000000+810)</f>
        <v/>
      </c>
      <c r="S817" s="3">
        <f>IF(Q817=1,SUMPRODUCT(--($R$8:$R$1207&lt;R817))+1,"")</f>
        <v/>
      </c>
      <c r="T817" s="12">
        <f>IF(K817=1,'ORDENES'!$J813,"")</f>
        <v/>
      </c>
    </row>
    <row r="818">
      <c r="K818" s="3">
        <f>IF(AND(IF($B$3="(todos)",TRUE,'ORDENES'!$O814=$B$3),IF($D$3="(todos)",TRUE,'ORDENES'!$AF814=$D$3),IF($F$3="(todos)",TRUE,'ORDENES'!$X814=$F$3),IF($H$3="(todos)",TRUE,'ORDENES'!$W814=$H$3),'ORDENES'!$AD814=TRUE,'ORDENES'!$A814&lt;&gt;""),1,0)</f>
        <v/>
      </c>
      <c r="L818" s="3">
        <f>IF(K818=1,IFERROR(MATCH('ORDENES'!$R814,lista_dias,0),9)*1000000000+IFERROR(MATCH('ORDENES'!$AF814,lista_turnos,0),9)*10000000+IFERROR(MATCH('ORDENES'!$AE814,tblTecnicos[nombre],0),99)*100000+811,9000000000000+811)</f>
        <v/>
      </c>
      <c r="M818" s="3">
        <f>IF(K818=1,SUMPRODUCT(--($L$8:$L$1207&lt;L818))+1,"")</f>
        <v/>
      </c>
      <c r="N818" s="17">
        <f>IF(K818=1,N('ORDENES'!$M814),0)</f>
        <v/>
      </c>
      <c r="O818" s="17">
        <f>IF('ORDENES'!$T814="preventiva",N818,0)</f>
        <v/>
      </c>
      <c r="P818" s="17">
        <f>IF('ORDENES'!$T814="correctiva",N818,0)</f>
        <v/>
      </c>
      <c r="Q818" s="3">
        <f>IF(AND(K818=1,'ORDENES'!$N814="Pendiente"),1,0)</f>
        <v/>
      </c>
      <c r="R818" s="3">
        <f>IF(Q818=1,100000-N818*1000+811*0.01,9000000000000+811)</f>
        <v/>
      </c>
      <c r="S818" s="3">
        <f>IF(Q818=1,SUMPRODUCT(--($R$8:$R$1207&lt;R818))+1,"")</f>
        <v/>
      </c>
      <c r="T818" s="12">
        <f>IF(K818=1,'ORDENES'!$J814,"")</f>
        <v/>
      </c>
    </row>
    <row r="819">
      <c r="K819" s="3">
        <f>IF(AND(IF($B$3="(todos)",TRUE,'ORDENES'!$O815=$B$3),IF($D$3="(todos)",TRUE,'ORDENES'!$AF815=$D$3),IF($F$3="(todos)",TRUE,'ORDENES'!$X815=$F$3),IF($H$3="(todos)",TRUE,'ORDENES'!$W815=$H$3),'ORDENES'!$AD815=TRUE,'ORDENES'!$A815&lt;&gt;""),1,0)</f>
        <v/>
      </c>
      <c r="L819" s="3">
        <f>IF(K819=1,IFERROR(MATCH('ORDENES'!$R815,lista_dias,0),9)*1000000000+IFERROR(MATCH('ORDENES'!$AF815,lista_turnos,0),9)*10000000+IFERROR(MATCH('ORDENES'!$AE815,tblTecnicos[nombre],0),99)*100000+812,9000000000000+812)</f>
        <v/>
      </c>
      <c r="M819" s="3">
        <f>IF(K819=1,SUMPRODUCT(--($L$8:$L$1207&lt;L819))+1,"")</f>
        <v/>
      </c>
      <c r="N819" s="17">
        <f>IF(K819=1,N('ORDENES'!$M815),0)</f>
        <v/>
      </c>
      <c r="O819" s="17">
        <f>IF('ORDENES'!$T815="preventiva",N819,0)</f>
        <v/>
      </c>
      <c r="P819" s="17">
        <f>IF('ORDENES'!$T815="correctiva",N819,0)</f>
        <v/>
      </c>
      <c r="Q819" s="3">
        <f>IF(AND(K819=1,'ORDENES'!$N815="Pendiente"),1,0)</f>
        <v/>
      </c>
      <c r="R819" s="3">
        <f>IF(Q819=1,100000-N819*1000+812*0.01,9000000000000+812)</f>
        <v/>
      </c>
      <c r="S819" s="3">
        <f>IF(Q819=1,SUMPRODUCT(--($R$8:$R$1207&lt;R819))+1,"")</f>
        <v/>
      </c>
      <c r="T819" s="12">
        <f>IF(K819=1,'ORDENES'!$J815,"")</f>
        <v/>
      </c>
    </row>
    <row r="820">
      <c r="K820" s="3">
        <f>IF(AND(IF($B$3="(todos)",TRUE,'ORDENES'!$O816=$B$3),IF($D$3="(todos)",TRUE,'ORDENES'!$AF816=$D$3),IF($F$3="(todos)",TRUE,'ORDENES'!$X816=$F$3),IF($H$3="(todos)",TRUE,'ORDENES'!$W816=$H$3),'ORDENES'!$AD816=TRUE,'ORDENES'!$A816&lt;&gt;""),1,0)</f>
        <v/>
      </c>
      <c r="L820" s="3">
        <f>IF(K820=1,IFERROR(MATCH('ORDENES'!$R816,lista_dias,0),9)*1000000000+IFERROR(MATCH('ORDENES'!$AF816,lista_turnos,0),9)*10000000+IFERROR(MATCH('ORDENES'!$AE816,tblTecnicos[nombre],0),99)*100000+813,9000000000000+813)</f>
        <v/>
      </c>
      <c r="M820" s="3">
        <f>IF(K820=1,SUMPRODUCT(--($L$8:$L$1207&lt;L820))+1,"")</f>
        <v/>
      </c>
      <c r="N820" s="17">
        <f>IF(K820=1,N('ORDENES'!$M816),0)</f>
        <v/>
      </c>
      <c r="O820" s="17">
        <f>IF('ORDENES'!$T816="preventiva",N820,0)</f>
        <v/>
      </c>
      <c r="P820" s="17">
        <f>IF('ORDENES'!$T816="correctiva",N820,0)</f>
        <v/>
      </c>
      <c r="Q820" s="3">
        <f>IF(AND(K820=1,'ORDENES'!$N816="Pendiente"),1,0)</f>
        <v/>
      </c>
      <c r="R820" s="3">
        <f>IF(Q820=1,100000-N820*1000+813*0.01,9000000000000+813)</f>
        <v/>
      </c>
      <c r="S820" s="3">
        <f>IF(Q820=1,SUMPRODUCT(--($R$8:$R$1207&lt;R820))+1,"")</f>
        <v/>
      </c>
      <c r="T820" s="12">
        <f>IF(K820=1,'ORDENES'!$J816,"")</f>
        <v/>
      </c>
    </row>
    <row r="821">
      <c r="K821" s="3">
        <f>IF(AND(IF($B$3="(todos)",TRUE,'ORDENES'!$O817=$B$3),IF($D$3="(todos)",TRUE,'ORDENES'!$AF817=$D$3),IF($F$3="(todos)",TRUE,'ORDENES'!$X817=$F$3),IF($H$3="(todos)",TRUE,'ORDENES'!$W817=$H$3),'ORDENES'!$AD817=TRUE,'ORDENES'!$A817&lt;&gt;""),1,0)</f>
        <v/>
      </c>
      <c r="L821" s="3">
        <f>IF(K821=1,IFERROR(MATCH('ORDENES'!$R817,lista_dias,0),9)*1000000000+IFERROR(MATCH('ORDENES'!$AF817,lista_turnos,0),9)*10000000+IFERROR(MATCH('ORDENES'!$AE817,tblTecnicos[nombre],0),99)*100000+814,9000000000000+814)</f>
        <v/>
      </c>
      <c r="M821" s="3">
        <f>IF(K821=1,SUMPRODUCT(--($L$8:$L$1207&lt;L821))+1,"")</f>
        <v/>
      </c>
      <c r="N821" s="17">
        <f>IF(K821=1,N('ORDENES'!$M817),0)</f>
        <v/>
      </c>
      <c r="O821" s="17">
        <f>IF('ORDENES'!$T817="preventiva",N821,0)</f>
        <v/>
      </c>
      <c r="P821" s="17">
        <f>IF('ORDENES'!$T817="correctiva",N821,0)</f>
        <v/>
      </c>
      <c r="Q821" s="3">
        <f>IF(AND(K821=1,'ORDENES'!$N817="Pendiente"),1,0)</f>
        <v/>
      </c>
      <c r="R821" s="3">
        <f>IF(Q821=1,100000-N821*1000+814*0.01,9000000000000+814)</f>
        <v/>
      </c>
      <c r="S821" s="3">
        <f>IF(Q821=1,SUMPRODUCT(--($R$8:$R$1207&lt;R821))+1,"")</f>
        <v/>
      </c>
      <c r="T821" s="12">
        <f>IF(K821=1,'ORDENES'!$J817,"")</f>
        <v/>
      </c>
    </row>
    <row r="822">
      <c r="K822" s="3">
        <f>IF(AND(IF($B$3="(todos)",TRUE,'ORDENES'!$O818=$B$3),IF($D$3="(todos)",TRUE,'ORDENES'!$AF818=$D$3),IF($F$3="(todos)",TRUE,'ORDENES'!$X818=$F$3),IF($H$3="(todos)",TRUE,'ORDENES'!$W818=$H$3),'ORDENES'!$AD818=TRUE,'ORDENES'!$A818&lt;&gt;""),1,0)</f>
        <v/>
      </c>
      <c r="L822" s="3">
        <f>IF(K822=1,IFERROR(MATCH('ORDENES'!$R818,lista_dias,0),9)*1000000000+IFERROR(MATCH('ORDENES'!$AF818,lista_turnos,0),9)*10000000+IFERROR(MATCH('ORDENES'!$AE818,tblTecnicos[nombre],0),99)*100000+815,9000000000000+815)</f>
        <v/>
      </c>
      <c r="M822" s="3">
        <f>IF(K822=1,SUMPRODUCT(--($L$8:$L$1207&lt;L822))+1,"")</f>
        <v/>
      </c>
      <c r="N822" s="17">
        <f>IF(K822=1,N('ORDENES'!$M818),0)</f>
        <v/>
      </c>
      <c r="O822" s="17">
        <f>IF('ORDENES'!$T818="preventiva",N822,0)</f>
        <v/>
      </c>
      <c r="P822" s="17">
        <f>IF('ORDENES'!$T818="correctiva",N822,0)</f>
        <v/>
      </c>
      <c r="Q822" s="3">
        <f>IF(AND(K822=1,'ORDENES'!$N818="Pendiente"),1,0)</f>
        <v/>
      </c>
      <c r="R822" s="3">
        <f>IF(Q822=1,100000-N822*1000+815*0.01,9000000000000+815)</f>
        <v/>
      </c>
      <c r="S822" s="3">
        <f>IF(Q822=1,SUMPRODUCT(--($R$8:$R$1207&lt;R822))+1,"")</f>
        <v/>
      </c>
      <c r="T822" s="12">
        <f>IF(K822=1,'ORDENES'!$J818,"")</f>
        <v/>
      </c>
    </row>
    <row r="823">
      <c r="K823" s="3">
        <f>IF(AND(IF($B$3="(todos)",TRUE,'ORDENES'!$O819=$B$3),IF($D$3="(todos)",TRUE,'ORDENES'!$AF819=$D$3),IF($F$3="(todos)",TRUE,'ORDENES'!$X819=$F$3),IF($H$3="(todos)",TRUE,'ORDENES'!$W819=$H$3),'ORDENES'!$AD819=TRUE,'ORDENES'!$A819&lt;&gt;""),1,0)</f>
        <v/>
      </c>
      <c r="L823" s="3">
        <f>IF(K823=1,IFERROR(MATCH('ORDENES'!$R819,lista_dias,0),9)*1000000000+IFERROR(MATCH('ORDENES'!$AF819,lista_turnos,0),9)*10000000+IFERROR(MATCH('ORDENES'!$AE819,tblTecnicos[nombre],0),99)*100000+816,9000000000000+816)</f>
        <v/>
      </c>
      <c r="M823" s="3">
        <f>IF(K823=1,SUMPRODUCT(--($L$8:$L$1207&lt;L823))+1,"")</f>
        <v/>
      </c>
      <c r="N823" s="17">
        <f>IF(K823=1,N('ORDENES'!$M819),0)</f>
        <v/>
      </c>
      <c r="O823" s="17">
        <f>IF('ORDENES'!$T819="preventiva",N823,0)</f>
        <v/>
      </c>
      <c r="P823" s="17">
        <f>IF('ORDENES'!$T819="correctiva",N823,0)</f>
        <v/>
      </c>
      <c r="Q823" s="3">
        <f>IF(AND(K823=1,'ORDENES'!$N819="Pendiente"),1,0)</f>
        <v/>
      </c>
      <c r="R823" s="3">
        <f>IF(Q823=1,100000-N823*1000+816*0.01,9000000000000+816)</f>
        <v/>
      </c>
      <c r="S823" s="3">
        <f>IF(Q823=1,SUMPRODUCT(--($R$8:$R$1207&lt;R823))+1,"")</f>
        <v/>
      </c>
      <c r="T823" s="12">
        <f>IF(K823=1,'ORDENES'!$J819,"")</f>
        <v/>
      </c>
    </row>
    <row r="824">
      <c r="K824" s="3">
        <f>IF(AND(IF($B$3="(todos)",TRUE,'ORDENES'!$O820=$B$3),IF($D$3="(todos)",TRUE,'ORDENES'!$AF820=$D$3),IF($F$3="(todos)",TRUE,'ORDENES'!$X820=$F$3),IF($H$3="(todos)",TRUE,'ORDENES'!$W820=$H$3),'ORDENES'!$AD820=TRUE,'ORDENES'!$A820&lt;&gt;""),1,0)</f>
        <v/>
      </c>
      <c r="L824" s="3">
        <f>IF(K824=1,IFERROR(MATCH('ORDENES'!$R820,lista_dias,0),9)*1000000000+IFERROR(MATCH('ORDENES'!$AF820,lista_turnos,0),9)*10000000+IFERROR(MATCH('ORDENES'!$AE820,tblTecnicos[nombre],0),99)*100000+817,9000000000000+817)</f>
        <v/>
      </c>
      <c r="M824" s="3">
        <f>IF(K824=1,SUMPRODUCT(--($L$8:$L$1207&lt;L824))+1,"")</f>
        <v/>
      </c>
      <c r="N824" s="17">
        <f>IF(K824=1,N('ORDENES'!$M820),0)</f>
        <v/>
      </c>
      <c r="O824" s="17">
        <f>IF('ORDENES'!$T820="preventiva",N824,0)</f>
        <v/>
      </c>
      <c r="P824" s="17">
        <f>IF('ORDENES'!$T820="correctiva",N824,0)</f>
        <v/>
      </c>
      <c r="Q824" s="3">
        <f>IF(AND(K824=1,'ORDENES'!$N820="Pendiente"),1,0)</f>
        <v/>
      </c>
      <c r="R824" s="3">
        <f>IF(Q824=1,100000-N824*1000+817*0.01,9000000000000+817)</f>
        <v/>
      </c>
      <c r="S824" s="3">
        <f>IF(Q824=1,SUMPRODUCT(--($R$8:$R$1207&lt;R824))+1,"")</f>
        <v/>
      </c>
      <c r="T824" s="12">
        <f>IF(K824=1,'ORDENES'!$J820,"")</f>
        <v/>
      </c>
    </row>
    <row r="825">
      <c r="K825" s="3">
        <f>IF(AND(IF($B$3="(todos)",TRUE,'ORDENES'!$O821=$B$3),IF($D$3="(todos)",TRUE,'ORDENES'!$AF821=$D$3),IF($F$3="(todos)",TRUE,'ORDENES'!$X821=$F$3),IF($H$3="(todos)",TRUE,'ORDENES'!$W821=$H$3),'ORDENES'!$AD821=TRUE,'ORDENES'!$A821&lt;&gt;""),1,0)</f>
        <v/>
      </c>
      <c r="L825" s="3">
        <f>IF(K825=1,IFERROR(MATCH('ORDENES'!$R821,lista_dias,0),9)*1000000000+IFERROR(MATCH('ORDENES'!$AF821,lista_turnos,0),9)*10000000+IFERROR(MATCH('ORDENES'!$AE821,tblTecnicos[nombre],0),99)*100000+818,9000000000000+818)</f>
        <v/>
      </c>
      <c r="M825" s="3">
        <f>IF(K825=1,SUMPRODUCT(--($L$8:$L$1207&lt;L825))+1,"")</f>
        <v/>
      </c>
      <c r="N825" s="17">
        <f>IF(K825=1,N('ORDENES'!$M821),0)</f>
        <v/>
      </c>
      <c r="O825" s="17">
        <f>IF('ORDENES'!$T821="preventiva",N825,0)</f>
        <v/>
      </c>
      <c r="P825" s="17">
        <f>IF('ORDENES'!$T821="correctiva",N825,0)</f>
        <v/>
      </c>
      <c r="Q825" s="3">
        <f>IF(AND(K825=1,'ORDENES'!$N821="Pendiente"),1,0)</f>
        <v/>
      </c>
      <c r="R825" s="3">
        <f>IF(Q825=1,100000-N825*1000+818*0.01,9000000000000+818)</f>
        <v/>
      </c>
      <c r="S825" s="3">
        <f>IF(Q825=1,SUMPRODUCT(--($R$8:$R$1207&lt;R825))+1,"")</f>
        <v/>
      </c>
      <c r="T825" s="12">
        <f>IF(K825=1,'ORDENES'!$J821,"")</f>
        <v/>
      </c>
    </row>
    <row r="826">
      <c r="K826" s="3">
        <f>IF(AND(IF($B$3="(todos)",TRUE,'ORDENES'!$O822=$B$3),IF($D$3="(todos)",TRUE,'ORDENES'!$AF822=$D$3),IF($F$3="(todos)",TRUE,'ORDENES'!$X822=$F$3),IF($H$3="(todos)",TRUE,'ORDENES'!$W822=$H$3),'ORDENES'!$AD822=TRUE,'ORDENES'!$A822&lt;&gt;""),1,0)</f>
        <v/>
      </c>
      <c r="L826" s="3">
        <f>IF(K826=1,IFERROR(MATCH('ORDENES'!$R822,lista_dias,0),9)*1000000000+IFERROR(MATCH('ORDENES'!$AF822,lista_turnos,0),9)*10000000+IFERROR(MATCH('ORDENES'!$AE822,tblTecnicos[nombre],0),99)*100000+819,9000000000000+819)</f>
        <v/>
      </c>
      <c r="M826" s="3">
        <f>IF(K826=1,SUMPRODUCT(--($L$8:$L$1207&lt;L826))+1,"")</f>
        <v/>
      </c>
      <c r="N826" s="17">
        <f>IF(K826=1,N('ORDENES'!$M822),0)</f>
        <v/>
      </c>
      <c r="O826" s="17">
        <f>IF('ORDENES'!$T822="preventiva",N826,0)</f>
        <v/>
      </c>
      <c r="P826" s="17">
        <f>IF('ORDENES'!$T822="correctiva",N826,0)</f>
        <v/>
      </c>
      <c r="Q826" s="3">
        <f>IF(AND(K826=1,'ORDENES'!$N822="Pendiente"),1,0)</f>
        <v/>
      </c>
      <c r="R826" s="3">
        <f>IF(Q826=1,100000-N826*1000+819*0.01,9000000000000+819)</f>
        <v/>
      </c>
      <c r="S826" s="3">
        <f>IF(Q826=1,SUMPRODUCT(--($R$8:$R$1207&lt;R826))+1,"")</f>
        <v/>
      </c>
      <c r="T826" s="12">
        <f>IF(K826=1,'ORDENES'!$J822,"")</f>
        <v/>
      </c>
    </row>
    <row r="827">
      <c r="K827" s="3">
        <f>IF(AND(IF($B$3="(todos)",TRUE,'ORDENES'!$O823=$B$3),IF($D$3="(todos)",TRUE,'ORDENES'!$AF823=$D$3),IF($F$3="(todos)",TRUE,'ORDENES'!$X823=$F$3),IF($H$3="(todos)",TRUE,'ORDENES'!$W823=$H$3),'ORDENES'!$AD823=TRUE,'ORDENES'!$A823&lt;&gt;""),1,0)</f>
        <v/>
      </c>
      <c r="L827" s="3">
        <f>IF(K827=1,IFERROR(MATCH('ORDENES'!$R823,lista_dias,0),9)*1000000000+IFERROR(MATCH('ORDENES'!$AF823,lista_turnos,0),9)*10000000+IFERROR(MATCH('ORDENES'!$AE823,tblTecnicos[nombre],0),99)*100000+820,9000000000000+820)</f>
        <v/>
      </c>
      <c r="M827" s="3">
        <f>IF(K827=1,SUMPRODUCT(--($L$8:$L$1207&lt;L827))+1,"")</f>
        <v/>
      </c>
      <c r="N827" s="17">
        <f>IF(K827=1,N('ORDENES'!$M823),0)</f>
        <v/>
      </c>
      <c r="O827" s="17">
        <f>IF('ORDENES'!$T823="preventiva",N827,0)</f>
        <v/>
      </c>
      <c r="P827" s="17">
        <f>IF('ORDENES'!$T823="correctiva",N827,0)</f>
        <v/>
      </c>
      <c r="Q827" s="3">
        <f>IF(AND(K827=1,'ORDENES'!$N823="Pendiente"),1,0)</f>
        <v/>
      </c>
      <c r="R827" s="3">
        <f>IF(Q827=1,100000-N827*1000+820*0.01,9000000000000+820)</f>
        <v/>
      </c>
      <c r="S827" s="3">
        <f>IF(Q827=1,SUMPRODUCT(--($R$8:$R$1207&lt;R827))+1,"")</f>
        <v/>
      </c>
      <c r="T827" s="12">
        <f>IF(K827=1,'ORDENES'!$J823,"")</f>
        <v/>
      </c>
    </row>
    <row r="828">
      <c r="K828" s="3">
        <f>IF(AND(IF($B$3="(todos)",TRUE,'ORDENES'!$O824=$B$3),IF($D$3="(todos)",TRUE,'ORDENES'!$AF824=$D$3),IF($F$3="(todos)",TRUE,'ORDENES'!$X824=$F$3),IF($H$3="(todos)",TRUE,'ORDENES'!$W824=$H$3),'ORDENES'!$AD824=TRUE,'ORDENES'!$A824&lt;&gt;""),1,0)</f>
        <v/>
      </c>
      <c r="L828" s="3">
        <f>IF(K828=1,IFERROR(MATCH('ORDENES'!$R824,lista_dias,0),9)*1000000000+IFERROR(MATCH('ORDENES'!$AF824,lista_turnos,0),9)*10000000+IFERROR(MATCH('ORDENES'!$AE824,tblTecnicos[nombre],0),99)*100000+821,9000000000000+821)</f>
        <v/>
      </c>
      <c r="M828" s="3">
        <f>IF(K828=1,SUMPRODUCT(--($L$8:$L$1207&lt;L828))+1,"")</f>
        <v/>
      </c>
      <c r="N828" s="17">
        <f>IF(K828=1,N('ORDENES'!$M824),0)</f>
        <v/>
      </c>
      <c r="O828" s="17">
        <f>IF('ORDENES'!$T824="preventiva",N828,0)</f>
        <v/>
      </c>
      <c r="P828" s="17">
        <f>IF('ORDENES'!$T824="correctiva",N828,0)</f>
        <v/>
      </c>
      <c r="Q828" s="3">
        <f>IF(AND(K828=1,'ORDENES'!$N824="Pendiente"),1,0)</f>
        <v/>
      </c>
      <c r="R828" s="3">
        <f>IF(Q828=1,100000-N828*1000+821*0.01,9000000000000+821)</f>
        <v/>
      </c>
      <c r="S828" s="3">
        <f>IF(Q828=1,SUMPRODUCT(--($R$8:$R$1207&lt;R828))+1,"")</f>
        <v/>
      </c>
      <c r="T828" s="12">
        <f>IF(K828=1,'ORDENES'!$J824,"")</f>
        <v/>
      </c>
    </row>
    <row r="829">
      <c r="K829" s="3">
        <f>IF(AND(IF($B$3="(todos)",TRUE,'ORDENES'!$O825=$B$3),IF($D$3="(todos)",TRUE,'ORDENES'!$AF825=$D$3),IF($F$3="(todos)",TRUE,'ORDENES'!$X825=$F$3),IF($H$3="(todos)",TRUE,'ORDENES'!$W825=$H$3),'ORDENES'!$AD825=TRUE,'ORDENES'!$A825&lt;&gt;""),1,0)</f>
        <v/>
      </c>
      <c r="L829" s="3">
        <f>IF(K829=1,IFERROR(MATCH('ORDENES'!$R825,lista_dias,0),9)*1000000000+IFERROR(MATCH('ORDENES'!$AF825,lista_turnos,0),9)*10000000+IFERROR(MATCH('ORDENES'!$AE825,tblTecnicos[nombre],0),99)*100000+822,9000000000000+822)</f>
        <v/>
      </c>
      <c r="M829" s="3">
        <f>IF(K829=1,SUMPRODUCT(--($L$8:$L$1207&lt;L829))+1,"")</f>
        <v/>
      </c>
      <c r="N829" s="17">
        <f>IF(K829=1,N('ORDENES'!$M825),0)</f>
        <v/>
      </c>
      <c r="O829" s="17">
        <f>IF('ORDENES'!$T825="preventiva",N829,0)</f>
        <v/>
      </c>
      <c r="P829" s="17">
        <f>IF('ORDENES'!$T825="correctiva",N829,0)</f>
        <v/>
      </c>
      <c r="Q829" s="3">
        <f>IF(AND(K829=1,'ORDENES'!$N825="Pendiente"),1,0)</f>
        <v/>
      </c>
      <c r="R829" s="3">
        <f>IF(Q829=1,100000-N829*1000+822*0.01,9000000000000+822)</f>
        <v/>
      </c>
      <c r="S829" s="3">
        <f>IF(Q829=1,SUMPRODUCT(--($R$8:$R$1207&lt;R829))+1,"")</f>
        <v/>
      </c>
      <c r="T829" s="12">
        <f>IF(K829=1,'ORDENES'!$J825,"")</f>
        <v/>
      </c>
    </row>
    <row r="830">
      <c r="K830" s="3">
        <f>IF(AND(IF($B$3="(todos)",TRUE,'ORDENES'!$O826=$B$3),IF($D$3="(todos)",TRUE,'ORDENES'!$AF826=$D$3),IF($F$3="(todos)",TRUE,'ORDENES'!$X826=$F$3),IF($H$3="(todos)",TRUE,'ORDENES'!$W826=$H$3),'ORDENES'!$AD826=TRUE,'ORDENES'!$A826&lt;&gt;""),1,0)</f>
        <v/>
      </c>
      <c r="L830" s="3">
        <f>IF(K830=1,IFERROR(MATCH('ORDENES'!$R826,lista_dias,0),9)*1000000000+IFERROR(MATCH('ORDENES'!$AF826,lista_turnos,0),9)*10000000+IFERROR(MATCH('ORDENES'!$AE826,tblTecnicos[nombre],0),99)*100000+823,9000000000000+823)</f>
        <v/>
      </c>
      <c r="M830" s="3">
        <f>IF(K830=1,SUMPRODUCT(--($L$8:$L$1207&lt;L830))+1,"")</f>
        <v/>
      </c>
      <c r="N830" s="17">
        <f>IF(K830=1,N('ORDENES'!$M826),0)</f>
        <v/>
      </c>
      <c r="O830" s="17">
        <f>IF('ORDENES'!$T826="preventiva",N830,0)</f>
        <v/>
      </c>
      <c r="P830" s="17">
        <f>IF('ORDENES'!$T826="correctiva",N830,0)</f>
        <v/>
      </c>
      <c r="Q830" s="3">
        <f>IF(AND(K830=1,'ORDENES'!$N826="Pendiente"),1,0)</f>
        <v/>
      </c>
      <c r="R830" s="3">
        <f>IF(Q830=1,100000-N830*1000+823*0.01,9000000000000+823)</f>
        <v/>
      </c>
      <c r="S830" s="3">
        <f>IF(Q830=1,SUMPRODUCT(--($R$8:$R$1207&lt;R830))+1,"")</f>
        <v/>
      </c>
      <c r="T830" s="12">
        <f>IF(K830=1,'ORDENES'!$J826,"")</f>
        <v/>
      </c>
    </row>
    <row r="831">
      <c r="K831" s="3">
        <f>IF(AND(IF($B$3="(todos)",TRUE,'ORDENES'!$O827=$B$3),IF($D$3="(todos)",TRUE,'ORDENES'!$AF827=$D$3),IF($F$3="(todos)",TRUE,'ORDENES'!$X827=$F$3),IF($H$3="(todos)",TRUE,'ORDENES'!$W827=$H$3),'ORDENES'!$AD827=TRUE,'ORDENES'!$A827&lt;&gt;""),1,0)</f>
        <v/>
      </c>
      <c r="L831" s="3">
        <f>IF(K831=1,IFERROR(MATCH('ORDENES'!$R827,lista_dias,0),9)*1000000000+IFERROR(MATCH('ORDENES'!$AF827,lista_turnos,0),9)*10000000+IFERROR(MATCH('ORDENES'!$AE827,tblTecnicos[nombre],0),99)*100000+824,9000000000000+824)</f>
        <v/>
      </c>
      <c r="M831" s="3">
        <f>IF(K831=1,SUMPRODUCT(--($L$8:$L$1207&lt;L831))+1,"")</f>
        <v/>
      </c>
      <c r="N831" s="17">
        <f>IF(K831=1,N('ORDENES'!$M827),0)</f>
        <v/>
      </c>
      <c r="O831" s="17">
        <f>IF('ORDENES'!$T827="preventiva",N831,0)</f>
        <v/>
      </c>
      <c r="P831" s="17">
        <f>IF('ORDENES'!$T827="correctiva",N831,0)</f>
        <v/>
      </c>
      <c r="Q831" s="3">
        <f>IF(AND(K831=1,'ORDENES'!$N827="Pendiente"),1,0)</f>
        <v/>
      </c>
      <c r="R831" s="3">
        <f>IF(Q831=1,100000-N831*1000+824*0.01,9000000000000+824)</f>
        <v/>
      </c>
      <c r="S831" s="3">
        <f>IF(Q831=1,SUMPRODUCT(--($R$8:$R$1207&lt;R831))+1,"")</f>
        <v/>
      </c>
      <c r="T831" s="12">
        <f>IF(K831=1,'ORDENES'!$J827,"")</f>
        <v/>
      </c>
    </row>
    <row r="832">
      <c r="K832" s="3">
        <f>IF(AND(IF($B$3="(todos)",TRUE,'ORDENES'!$O828=$B$3),IF($D$3="(todos)",TRUE,'ORDENES'!$AF828=$D$3),IF($F$3="(todos)",TRUE,'ORDENES'!$X828=$F$3),IF($H$3="(todos)",TRUE,'ORDENES'!$W828=$H$3),'ORDENES'!$AD828=TRUE,'ORDENES'!$A828&lt;&gt;""),1,0)</f>
        <v/>
      </c>
      <c r="L832" s="3">
        <f>IF(K832=1,IFERROR(MATCH('ORDENES'!$R828,lista_dias,0),9)*1000000000+IFERROR(MATCH('ORDENES'!$AF828,lista_turnos,0),9)*10000000+IFERROR(MATCH('ORDENES'!$AE828,tblTecnicos[nombre],0),99)*100000+825,9000000000000+825)</f>
        <v/>
      </c>
      <c r="M832" s="3">
        <f>IF(K832=1,SUMPRODUCT(--($L$8:$L$1207&lt;L832))+1,"")</f>
        <v/>
      </c>
      <c r="N832" s="17">
        <f>IF(K832=1,N('ORDENES'!$M828),0)</f>
        <v/>
      </c>
      <c r="O832" s="17">
        <f>IF('ORDENES'!$T828="preventiva",N832,0)</f>
        <v/>
      </c>
      <c r="P832" s="17">
        <f>IF('ORDENES'!$T828="correctiva",N832,0)</f>
        <v/>
      </c>
      <c r="Q832" s="3">
        <f>IF(AND(K832=1,'ORDENES'!$N828="Pendiente"),1,0)</f>
        <v/>
      </c>
      <c r="R832" s="3">
        <f>IF(Q832=1,100000-N832*1000+825*0.01,9000000000000+825)</f>
        <v/>
      </c>
      <c r="S832" s="3">
        <f>IF(Q832=1,SUMPRODUCT(--($R$8:$R$1207&lt;R832))+1,"")</f>
        <v/>
      </c>
      <c r="T832" s="12">
        <f>IF(K832=1,'ORDENES'!$J828,"")</f>
        <v/>
      </c>
    </row>
    <row r="833">
      <c r="K833" s="3">
        <f>IF(AND(IF($B$3="(todos)",TRUE,'ORDENES'!$O829=$B$3),IF($D$3="(todos)",TRUE,'ORDENES'!$AF829=$D$3),IF($F$3="(todos)",TRUE,'ORDENES'!$X829=$F$3),IF($H$3="(todos)",TRUE,'ORDENES'!$W829=$H$3),'ORDENES'!$AD829=TRUE,'ORDENES'!$A829&lt;&gt;""),1,0)</f>
        <v/>
      </c>
      <c r="L833" s="3">
        <f>IF(K833=1,IFERROR(MATCH('ORDENES'!$R829,lista_dias,0),9)*1000000000+IFERROR(MATCH('ORDENES'!$AF829,lista_turnos,0),9)*10000000+IFERROR(MATCH('ORDENES'!$AE829,tblTecnicos[nombre],0),99)*100000+826,9000000000000+826)</f>
        <v/>
      </c>
      <c r="M833" s="3">
        <f>IF(K833=1,SUMPRODUCT(--($L$8:$L$1207&lt;L833))+1,"")</f>
        <v/>
      </c>
      <c r="N833" s="17">
        <f>IF(K833=1,N('ORDENES'!$M829),0)</f>
        <v/>
      </c>
      <c r="O833" s="17">
        <f>IF('ORDENES'!$T829="preventiva",N833,0)</f>
        <v/>
      </c>
      <c r="P833" s="17">
        <f>IF('ORDENES'!$T829="correctiva",N833,0)</f>
        <v/>
      </c>
      <c r="Q833" s="3">
        <f>IF(AND(K833=1,'ORDENES'!$N829="Pendiente"),1,0)</f>
        <v/>
      </c>
      <c r="R833" s="3">
        <f>IF(Q833=1,100000-N833*1000+826*0.01,9000000000000+826)</f>
        <v/>
      </c>
      <c r="S833" s="3">
        <f>IF(Q833=1,SUMPRODUCT(--($R$8:$R$1207&lt;R833))+1,"")</f>
        <v/>
      </c>
      <c r="T833" s="12">
        <f>IF(K833=1,'ORDENES'!$J829,"")</f>
        <v/>
      </c>
    </row>
    <row r="834">
      <c r="K834" s="3">
        <f>IF(AND(IF($B$3="(todos)",TRUE,'ORDENES'!$O830=$B$3),IF($D$3="(todos)",TRUE,'ORDENES'!$AF830=$D$3),IF($F$3="(todos)",TRUE,'ORDENES'!$X830=$F$3),IF($H$3="(todos)",TRUE,'ORDENES'!$W830=$H$3),'ORDENES'!$AD830=TRUE,'ORDENES'!$A830&lt;&gt;""),1,0)</f>
        <v/>
      </c>
      <c r="L834" s="3">
        <f>IF(K834=1,IFERROR(MATCH('ORDENES'!$R830,lista_dias,0),9)*1000000000+IFERROR(MATCH('ORDENES'!$AF830,lista_turnos,0),9)*10000000+IFERROR(MATCH('ORDENES'!$AE830,tblTecnicos[nombre],0),99)*100000+827,9000000000000+827)</f>
        <v/>
      </c>
      <c r="M834" s="3">
        <f>IF(K834=1,SUMPRODUCT(--($L$8:$L$1207&lt;L834))+1,"")</f>
        <v/>
      </c>
      <c r="N834" s="17">
        <f>IF(K834=1,N('ORDENES'!$M830),0)</f>
        <v/>
      </c>
      <c r="O834" s="17">
        <f>IF('ORDENES'!$T830="preventiva",N834,0)</f>
        <v/>
      </c>
      <c r="P834" s="17">
        <f>IF('ORDENES'!$T830="correctiva",N834,0)</f>
        <v/>
      </c>
      <c r="Q834" s="3">
        <f>IF(AND(K834=1,'ORDENES'!$N830="Pendiente"),1,0)</f>
        <v/>
      </c>
      <c r="R834" s="3">
        <f>IF(Q834=1,100000-N834*1000+827*0.01,9000000000000+827)</f>
        <v/>
      </c>
      <c r="S834" s="3">
        <f>IF(Q834=1,SUMPRODUCT(--($R$8:$R$1207&lt;R834))+1,"")</f>
        <v/>
      </c>
      <c r="T834" s="12">
        <f>IF(K834=1,'ORDENES'!$J830,"")</f>
        <v/>
      </c>
    </row>
    <row r="835">
      <c r="K835" s="3">
        <f>IF(AND(IF($B$3="(todos)",TRUE,'ORDENES'!$O831=$B$3),IF($D$3="(todos)",TRUE,'ORDENES'!$AF831=$D$3),IF($F$3="(todos)",TRUE,'ORDENES'!$X831=$F$3),IF($H$3="(todos)",TRUE,'ORDENES'!$W831=$H$3),'ORDENES'!$AD831=TRUE,'ORDENES'!$A831&lt;&gt;""),1,0)</f>
        <v/>
      </c>
      <c r="L835" s="3">
        <f>IF(K835=1,IFERROR(MATCH('ORDENES'!$R831,lista_dias,0),9)*1000000000+IFERROR(MATCH('ORDENES'!$AF831,lista_turnos,0),9)*10000000+IFERROR(MATCH('ORDENES'!$AE831,tblTecnicos[nombre],0),99)*100000+828,9000000000000+828)</f>
        <v/>
      </c>
      <c r="M835" s="3">
        <f>IF(K835=1,SUMPRODUCT(--($L$8:$L$1207&lt;L835))+1,"")</f>
        <v/>
      </c>
      <c r="N835" s="17">
        <f>IF(K835=1,N('ORDENES'!$M831),0)</f>
        <v/>
      </c>
      <c r="O835" s="17">
        <f>IF('ORDENES'!$T831="preventiva",N835,0)</f>
        <v/>
      </c>
      <c r="P835" s="17">
        <f>IF('ORDENES'!$T831="correctiva",N835,0)</f>
        <v/>
      </c>
      <c r="Q835" s="3">
        <f>IF(AND(K835=1,'ORDENES'!$N831="Pendiente"),1,0)</f>
        <v/>
      </c>
      <c r="R835" s="3">
        <f>IF(Q835=1,100000-N835*1000+828*0.01,9000000000000+828)</f>
        <v/>
      </c>
      <c r="S835" s="3">
        <f>IF(Q835=1,SUMPRODUCT(--($R$8:$R$1207&lt;R835))+1,"")</f>
        <v/>
      </c>
      <c r="T835" s="12">
        <f>IF(K835=1,'ORDENES'!$J831,"")</f>
        <v/>
      </c>
    </row>
    <row r="836">
      <c r="K836" s="3">
        <f>IF(AND(IF($B$3="(todos)",TRUE,'ORDENES'!$O832=$B$3),IF($D$3="(todos)",TRUE,'ORDENES'!$AF832=$D$3),IF($F$3="(todos)",TRUE,'ORDENES'!$X832=$F$3),IF($H$3="(todos)",TRUE,'ORDENES'!$W832=$H$3),'ORDENES'!$AD832=TRUE,'ORDENES'!$A832&lt;&gt;""),1,0)</f>
        <v/>
      </c>
      <c r="L836" s="3">
        <f>IF(K836=1,IFERROR(MATCH('ORDENES'!$R832,lista_dias,0),9)*1000000000+IFERROR(MATCH('ORDENES'!$AF832,lista_turnos,0),9)*10000000+IFERROR(MATCH('ORDENES'!$AE832,tblTecnicos[nombre],0),99)*100000+829,9000000000000+829)</f>
        <v/>
      </c>
      <c r="M836" s="3">
        <f>IF(K836=1,SUMPRODUCT(--($L$8:$L$1207&lt;L836))+1,"")</f>
        <v/>
      </c>
      <c r="N836" s="17">
        <f>IF(K836=1,N('ORDENES'!$M832),0)</f>
        <v/>
      </c>
      <c r="O836" s="17">
        <f>IF('ORDENES'!$T832="preventiva",N836,0)</f>
        <v/>
      </c>
      <c r="P836" s="17">
        <f>IF('ORDENES'!$T832="correctiva",N836,0)</f>
        <v/>
      </c>
      <c r="Q836" s="3">
        <f>IF(AND(K836=1,'ORDENES'!$N832="Pendiente"),1,0)</f>
        <v/>
      </c>
      <c r="R836" s="3">
        <f>IF(Q836=1,100000-N836*1000+829*0.01,9000000000000+829)</f>
        <v/>
      </c>
      <c r="S836" s="3">
        <f>IF(Q836=1,SUMPRODUCT(--($R$8:$R$1207&lt;R836))+1,"")</f>
        <v/>
      </c>
      <c r="T836" s="12">
        <f>IF(K836=1,'ORDENES'!$J832,"")</f>
        <v/>
      </c>
    </row>
    <row r="837">
      <c r="K837" s="3">
        <f>IF(AND(IF($B$3="(todos)",TRUE,'ORDENES'!$O833=$B$3),IF($D$3="(todos)",TRUE,'ORDENES'!$AF833=$D$3),IF($F$3="(todos)",TRUE,'ORDENES'!$X833=$F$3),IF($H$3="(todos)",TRUE,'ORDENES'!$W833=$H$3),'ORDENES'!$AD833=TRUE,'ORDENES'!$A833&lt;&gt;""),1,0)</f>
        <v/>
      </c>
      <c r="L837" s="3">
        <f>IF(K837=1,IFERROR(MATCH('ORDENES'!$R833,lista_dias,0),9)*1000000000+IFERROR(MATCH('ORDENES'!$AF833,lista_turnos,0),9)*10000000+IFERROR(MATCH('ORDENES'!$AE833,tblTecnicos[nombre],0),99)*100000+830,9000000000000+830)</f>
        <v/>
      </c>
      <c r="M837" s="3">
        <f>IF(K837=1,SUMPRODUCT(--($L$8:$L$1207&lt;L837))+1,"")</f>
        <v/>
      </c>
      <c r="N837" s="17">
        <f>IF(K837=1,N('ORDENES'!$M833),0)</f>
        <v/>
      </c>
      <c r="O837" s="17">
        <f>IF('ORDENES'!$T833="preventiva",N837,0)</f>
        <v/>
      </c>
      <c r="P837" s="17">
        <f>IF('ORDENES'!$T833="correctiva",N837,0)</f>
        <v/>
      </c>
      <c r="Q837" s="3">
        <f>IF(AND(K837=1,'ORDENES'!$N833="Pendiente"),1,0)</f>
        <v/>
      </c>
      <c r="R837" s="3">
        <f>IF(Q837=1,100000-N837*1000+830*0.01,9000000000000+830)</f>
        <v/>
      </c>
      <c r="S837" s="3">
        <f>IF(Q837=1,SUMPRODUCT(--($R$8:$R$1207&lt;R837))+1,"")</f>
        <v/>
      </c>
      <c r="T837" s="12">
        <f>IF(K837=1,'ORDENES'!$J833,"")</f>
        <v/>
      </c>
    </row>
    <row r="838">
      <c r="K838" s="3">
        <f>IF(AND(IF($B$3="(todos)",TRUE,'ORDENES'!$O834=$B$3),IF($D$3="(todos)",TRUE,'ORDENES'!$AF834=$D$3),IF($F$3="(todos)",TRUE,'ORDENES'!$X834=$F$3),IF($H$3="(todos)",TRUE,'ORDENES'!$W834=$H$3),'ORDENES'!$AD834=TRUE,'ORDENES'!$A834&lt;&gt;""),1,0)</f>
        <v/>
      </c>
      <c r="L838" s="3">
        <f>IF(K838=1,IFERROR(MATCH('ORDENES'!$R834,lista_dias,0),9)*1000000000+IFERROR(MATCH('ORDENES'!$AF834,lista_turnos,0),9)*10000000+IFERROR(MATCH('ORDENES'!$AE834,tblTecnicos[nombre],0),99)*100000+831,9000000000000+831)</f>
        <v/>
      </c>
      <c r="M838" s="3">
        <f>IF(K838=1,SUMPRODUCT(--($L$8:$L$1207&lt;L838))+1,"")</f>
        <v/>
      </c>
      <c r="N838" s="17">
        <f>IF(K838=1,N('ORDENES'!$M834),0)</f>
        <v/>
      </c>
      <c r="O838" s="17">
        <f>IF('ORDENES'!$T834="preventiva",N838,0)</f>
        <v/>
      </c>
      <c r="P838" s="17">
        <f>IF('ORDENES'!$T834="correctiva",N838,0)</f>
        <v/>
      </c>
      <c r="Q838" s="3">
        <f>IF(AND(K838=1,'ORDENES'!$N834="Pendiente"),1,0)</f>
        <v/>
      </c>
      <c r="R838" s="3">
        <f>IF(Q838=1,100000-N838*1000+831*0.01,9000000000000+831)</f>
        <v/>
      </c>
      <c r="S838" s="3">
        <f>IF(Q838=1,SUMPRODUCT(--($R$8:$R$1207&lt;R838))+1,"")</f>
        <v/>
      </c>
      <c r="T838" s="12">
        <f>IF(K838=1,'ORDENES'!$J834,"")</f>
        <v/>
      </c>
    </row>
    <row r="839">
      <c r="K839" s="3">
        <f>IF(AND(IF($B$3="(todos)",TRUE,'ORDENES'!$O835=$B$3),IF($D$3="(todos)",TRUE,'ORDENES'!$AF835=$D$3),IF($F$3="(todos)",TRUE,'ORDENES'!$X835=$F$3),IF($H$3="(todos)",TRUE,'ORDENES'!$W835=$H$3),'ORDENES'!$AD835=TRUE,'ORDENES'!$A835&lt;&gt;""),1,0)</f>
        <v/>
      </c>
      <c r="L839" s="3">
        <f>IF(K839=1,IFERROR(MATCH('ORDENES'!$R835,lista_dias,0),9)*1000000000+IFERROR(MATCH('ORDENES'!$AF835,lista_turnos,0),9)*10000000+IFERROR(MATCH('ORDENES'!$AE835,tblTecnicos[nombre],0),99)*100000+832,9000000000000+832)</f>
        <v/>
      </c>
      <c r="M839" s="3">
        <f>IF(K839=1,SUMPRODUCT(--($L$8:$L$1207&lt;L839))+1,"")</f>
        <v/>
      </c>
      <c r="N839" s="17">
        <f>IF(K839=1,N('ORDENES'!$M835),0)</f>
        <v/>
      </c>
      <c r="O839" s="17">
        <f>IF('ORDENES'!$T835="preventiva",N839,0)</f>
        <v/>
      </c>
      <c r="P839" s="17">
        <f>IF('ORDENES'!$T835="correctiva",N839,0)</f>
        <v/>
      </c>
      <c r="Q839" s="3">
        <f>IF(AND(K839=1,'ORDENES'!$N835="Pendiente"),1,0)</f>
        <v/>
      </c>
      <c r="R839" s="3">
        <f>IF(Q839=1,100000-N839*1000+832*0.01,9000000000000+832)</f>
        <v/>
      </c>
      <c r="S839" s="3">
        <f>IF(Q839=1,SUMPRODUCT(--($R$8:$R$1207&lt;R839))+1,"")</f>
        <v/>
      </c>
      <c r="T839" s="12">
        <f>IF(K839=1,'ORDENES'!$J835,"")</f>
        <v/>
      </c>
    </row>
    <row r="840">
      <c r="K840" s="3">
        <f>IF(AND(IF($B$3="(todos)",TRUE,'ORDENES'!$O836=$B$3),IF($D$3="(todos)",TRUE,'ORDENES'!$AF836=$D$3),IF($F$3="(todos)",TRUE,'ORDENES'!$X836=$F$3),IF($H$3="(todos)",TRUE,'ORDENES'!$W836=$H$3),'ORDENES'!$AD836=TRUE,'ORDENES'!$A836&lt;&gt;""),1,0)</f>
        <v/>
      </c>
      <c r="L840" s="3">
        <f>IF(K840=1,IFERROR(MATCH('ORDENES'!$R836,lista_dias,0),9)*1000000000+IFERROR(MATCH('ORDENES'!$AF836,lista_turnos,0),9)*10000000+IFERROR(MATCH('ORDENES'!$AE836,tblTecnicos[nombre],0),99)*100000+833,9000000000000+833)</f>
        <v/>
      </c>
      <c r="M840" s="3">
        <f>IF(K840=1,SUMPRODUCT(--($L$8:$L$1207&lt;L840))+1,"")</f>
        <v/>
      </c>
      <c r="N840" s="17">
        <f>IF(K840=1,N('ORDENES'!$M836),0)</f>
        <v/>
      </c>
      <c r="O840" s="17">
        <f>IF('ORDENES'!$T836="preventiva",N840,0)</f>
        <v/>
      </c>
      <c r="P840" s="17">
        <f>IF('ORDENES'!$T836="correctiva",N840,0)</f>
        <v/>
      </c>
      <c r="Q840" s="3">
        <f>IF(AND(K840=1,'ORDENES'!$N836="Pendiente"),1,0)</f>
        <v/>
      </c>
      <c r="R840" s="3">
        <f>IF(Q840=1,100000-N840*1000+833*0.01,9000000000000+833)</f>
        <v/>
      </c>
      <c r="S840" s="3">
        <f>IF(Q840=1,SUMPRODUCT(--($R$8:$R$1207&lt;R840))+1,"")</f>
        <v/>
      </c>
      <c r="T840" s="12">
        <f>IF(K840=1,'ORDENES'!$J836,"")</f>
        <v/>
      </c>
    </row>
    <row r="841">
      <c r="K841" s="3">
        <f>IF(AND(IF($B$3="(todos)",TRUE,'ORDENES'!$O837=$B$3),IF($D$3="(todos)",TRUE,'ORDENES'!$AF837=$D$3),IF($F$3="(todos)",TRUE,'ORDENES'!$X837=$F$3),IF($H$3="(todos)",TRUE,'ORDENES'!$W837=$H$3),'ORDENES'!$AD837=TRUE,'ORDENES'!$A837&lt;&gt;""),1,0)</f>
        <v/>
      </c>
      <c r="L841" s="3">
        <f>IF(K841=1,IFERROR(MATCH('ORDENES'!$R837,lista_dias,0),9)*1000000000+IFERROR(MATCH('ORDENES'!$AF837,lista_turnos,0),9)*10000000+IFERROR(MATCH('ORDENES'!$AE837,tblTecnicos[nombre],0),99)*100000+834,9000000000000+834)</f>
        <v/>
      </c>
      <c r="M841" s="3">
        <f>IF(K841=1,SUMPRODUCT(--($L$8:$L$1207&lt;L841))+1,"")</f>
        <v/>
      </c>
      <c r="N841" s="17">
        <f>IF(K841=1,N('ORDENES'!$M837),0)</f>
        <v/>
      </c>
      <c r="O841" s="17">
        <f>IF('ORDENES'!$T837="preventiva",N841,0)</f>
        <v/>
      </c>
      <c r="P841" s="17">
        <f>IF('ORDENES'!$T837="correctiva",N841,0)</f>
        <v/>
      </c>
      <c r="Q841" s="3">
        <f>IF(AND(K841=1,'ORDENES'!$N837="Pendiente"),1,0)</f>
        <v/>
      </c>
      <c r="R841" s="3">
        <f>IF(Q841=1,100000-N841*1000+834*0.01,9000000000000+834)</f>
        <v/>
      </c>
      <c r="S841" s="3">
        <f>IF(Q841=1,SUMPRODUCT(--($R$8:$R$1207&lt;R841))+1,"")</f>
        <v/>
      </c>
      <c r="T841" s="12">
        <f>IF(K841=1,'ORDENES'!$J837,"")</f>
        <v/>
      </c>
    </row>
    <row r="842">
      <c r="K842" s="3">
        <f>IF(AND(IF($B$3="(todos)",TRUE,'ORDENES'!$O838=$B$3),IF($D$3="(todos)",TRUE,'ORDENES'!$AF838=$D$3),IF($F$3="(todos)",TRUE,'ORDENES'!$X838=$F$3),IF($H$3="(todos)",TRUE,'ORDENES'!$W838=$H$3),'ORDENES'!$AD838=TRUE,'ORDENES'!$A838&lt;&gt;""),1,0)</f>
        <v/>
      </c>
      <c r="L842" s="3">
        <f>IF(K842=1,IFERROR(MATCH('ORDENES'!$R838,lista_dias,0),9)*1000000000+IFERROR(MATCH('ORDENES'!$AF838,lista_turnos,0),9)*10000000+IFERROR(MATCH('ORDENES'!$AE838,tblTecnicos[nombre],0),99)*100000+835,9000000000000+835)</f>
        <v/>
      </c>
      <c r="M842" s="3">
        <f>IF(K842=1,SUMPRODUCT(--($L$8:$L$1207&lt;L842))+1,"")</f>
        <v/>
      </c>
      <c r="N842" s="17">
        <f>IF(K842=1,N('ORDENES'!$M838),0)</f>
        <v/>
      </c>
      <c r="O842" s="17">
        <f>IF('ORDENES'!$T838="preventiva",N842,0)</f>
        <v/>
      </c>
      <c r="P842" s="17">
        <f>IF('ORDENES'!$T838="correctiva",N842,0)</f>
        <v/>
      </c>
      <c r="Q842" s="3">
        <f>IF(AND(K842=1,'ORDENES'!$N838="Pendiente"),1,0)</f>
        <v/>
      </c>
      <c r="R842" s="3">
        <f>IF(Q842=1,100000-N842*1000+835*0.01,9000000000000+835)</f>
        <v/>
      </c>
      <c r="S842" s="3">
        <f>IF(Q842=1,SUMPRODUCT(--($R$8:$R$1207&lt;R842))+1,"")</f>
        <v/>
      </c>
      <c r="T842" s="12">
        <f>IF(K842=1,'ORDENES'!$J838,"")</f>
        <v/>
      </c>
    </row>
    <row r="843">
      <c r="K843" s="3">
        <f>IF(AND(IF($B$3="(todos)",TRUE,'ORDENES'!$O839=$B$3),IF($D$3="(todos)",TRUE,'ORDENES'!$AF839=$D$3),IF($F$3="(todos)",TRUE,'ORDENES'!$X839=$F$3),IF($H$3="(todos)",TRUE,'ORDENES'!$W839=$H$3),'ORDENES'!$AD839=TRUE,'ORDENES'!$A839&lt;&gt;""),1,0)</f>
        <v/>
      </c>
      <c r="L843" s="3">
        <f>IF(K843=1,IFERROR(MATCH('ORDENES'!$R839,lista_dias,0),9)*1000000000+IFERROR(MATCH('ORDENES'!$AF839,lista_turnos,0),9)*10000000+IFERROR(MATCH('ORDENES'!$AE839,tblTecnicos[nombre],0),99)*100000+836,9000000000000+836)</f>
        <v/>
      </c>
      <c r="M843" s="3">
        <f>IF(K843=1,SUMPRODUCT(--($L$8:$L$1207&lt;L843))+1,"")</f>
        <v/>
      </c>
      <c r="N843" s="17">
        <f>IF(K843=1,N('ORDENES'!$M839),0)</f>
        <v/>
      </c>
      <c r="O843" s="17">
        <f>IF('ORDENES'!$T839="preventiva",N843,0)</f>
        <v/>
      </c>
      <c r="P843" s="17">
        <f>IF('ORDENES'!$T839="correctiva",N843,0)</f>
        <v/>
      </c>
      <c r="Q843" s="3">
        <f>IF(AND(K843=1,'ORDENES'!$N839="Pendiente"),1,0)</f>
        <v/>
      </c>
      <c r="R843" s="3">
        <f>IF(Q843=1,100000-N843*1000+836*0.01,9000000000000+836)</f>
        <v/>
      </c>
      <c r="S843" s="3">
        <f>IF(Q843=1,SUMPRODUCT(--($R$8:$R$1207&lt;R843))+1,"")</f>
        <v/>
      </c>
      <c r="T843" s="12">
        <f>IF(K843=1,'ORDENES'!$J839,"")</f>
        <v/>
      </c>
    </row>
    <row r="844">
      <c r="K844" s="3">
        <f>IF(AND(IF($B$3="(todos)",TRUE,'ORDENES'!$O840=$B$3),IF($D$3="(todos)",TRUE,'ORDENES'!$AF840=$D$3),IF($F$3="(todos)",TRUE,'ORDENES'!$X840=$F$3),IF($H$3="(todos)",TRUE,'ORDENES'!$W840=$H$3),'ORDENES'!$AD840=TRUE,'ORDENES'!$A840&lt;&gt;""),1,0)</f>
        <v/>
      </c>
      <c r="L844" s="3">
        <f>IF(K844=1,IFERROR(MATCH('ORDENES'!$R840,lista_dias,0),9)*1000000000+IFERROR(MATCH('ORDENES'!$AF840,lista_turnos,0),9)*10000000+IFERROR(MATCH('ORDENES'!$AE840,tblTecnicos[nombre],0),99)*100000+837,9000000000000+837)</f>
        <v/>
      </c>
      <c r="M844" s="3">
        <f>IF(K844=1,SUMPRODUCT(--($L$8:$L$1207&lt;L844))+1,"")</f>
        <v/>
      </c>
      <c r="N844" s="17">
        <f>IF(K844=1,N('ORDENES'!$M840),0)</f>
        <v/>
      </c>
      <c r="O844" s="17">
        <f>IF('ORDENES'!$T840="preventiva",N844,0)</f>
        <v/>
      </c>
      <c r="P844" s="17">
        <f>IF('ORDENES'!$T840="correctiva",N844,0)</f>
        <v/>
      </c>
      <c r="Q844" s="3">
        <f>IF(AND(K844=1,'ORDENES'!$N840="Pendiente"),1,0)</f>
        <v/>
      </c>
      <c r="R844" s="3">
        <f>IF(Q844=1,100000-N844*1000+837*0.01,9000000000000+837)</f>
        <v/>
      </c>
      <c r="S844" s="3">
        <f>IF(Q844=1,SUMPRODUCT(--($R$8:$R$1207&lt;R844))+1,"")</f>
        <v/>
      </c>
      <c r="T844" s="12">
        <f>IF(K844=1,'ORDENES'!$J840,"")</f>
        <v/>
      </c>
    </row>
    <row r="845">
      <c r="K845" s="3">
        <f>IF(AND(IF($B$3="(todos)",TRUE,'ORDENES'!$O841=$B$3),IF($D$3="(todos)",TRUE,'ORDENES'!$AF841=$D$3),IF($F$3="(todos)",TRUE,'ORDENES'!$X841=$F$3),IF($H$3="(todos)",TRUE,'ORDENES'!$W841=$H$3),'ORDENES'!$AD841=TRUE,'ORDENES'!$A841&lt;&gt;""),1,0)</f>
        <v/>
      </c>
      <c r="L845" s="3">
        <f>IF(K845=1,IFERROR(MATCH('ORDENES'!$R841,lista_dias,0),9)*1000000000+IFERROR(MATCH('ORDENES'!$AF841,lista_turnos,0),9)*10000000+IFERROR(MATCH('ORDENES'!$AE841,tblTecnicos[nombre],0),99)*100000+838,9000000000000+838)</f>
        <v/>
      </c>
      <c r="M845" s="3">
        <f>IF(K845=1,SUMPRODUCT(--($L$8:$L$1207&lt;L845))+1,"")</f>
        <v/>
      </c>
      <c r="N845" s="17">
        <f>IF(K845=1,N('ORDENES'!$M841),0)</f>
        <v/>
      </c>
      <c r="O845" s="17">
        <f>IF('ORDENES'!$T841="preventiva",N845,0)</f>
        <v/>
      </c>
      <c r="P845" s="17">
        <f>IF('ORDENES'!$T841="correctiva",N845,0)</f>
        <v/>
      </c>
      <c r="Q845" s="3">
        <f>IF(AND(K845=1,'ORDENES'!$N841="Pendiente"),1,0)</f>
        <v/>
      </c>
      <c r="R845" s="3">
        <f>IF(Q845=1,100000-N845*1000+838*0.01,9000000000000+838)</f>
        <v/>
      </c>
      <c r="S845" s="3">
        <f>IF(Q845=1,SUMPRODUCT(--($R$8:$R$1207&lt;R845))+1,"")</f>
        <v/>
      </c>
      <c r="T845" s="12">
        <f>IF(K845=1,'ORDENES'!$J841,"")</f>
        <v/>
      </c>
    </row>
    <row r="846">
      <c r="K846" s="3">
        <f>IF(AND(IF($B$3="(todos)",TRUE,'ORDENES'!$O842=$B$3),IF($D$3="(todos)",TRUE,'ORDENES'!$AF842=$D$3),IF($F$3="(todos)",TRUE,'ORDENES'!$X842=$F$3),IF($H$3="(todos)",TRUE,'ORDENES'!$W842=$H$3),'ORDENES'!$AD842=TRUE,'ORDENES'!$A842&lt;&gt;""),1,0)</f>
        <v/>
      </c>
      <c r="L846" s="3">
        <f>IF(K846=1,IFERROR(MATCH('ORDENES'!$R842,lista_dias,0),9)*1000000000+IFERROR(MATCH('ORDENES'!$AF842,lista_turnos,0),9)*10000000+IFERROR(MATCH('ORDENES'!$AE842,tblTecnicos[nombre],0),99)*100000+839,9000000000000+839)</f>
        <v/>
      </c>
      <c r="M846" s="3">
        <f>IF(K846=1,SUMPRODUCT(--($L$8:$L$1207&lt;L846))+1,"")</f>
        <v/>
      </c>
      <c r="N846" s="17">
        <f>IF(K846=1,N('ORDENES'!$M842),0)</f>
        <v/>
      </c>
      <c r="O846" s="17">
        <f>IF('ORDENES'!$T842="preventiva",N846,0)</f>
        <v/>
      </c>
      <c r="P846" s="17">
        <f>IF('ORDENES'!$T842="correctiva",N846,0)</f>
        <v/>
      </c>
      <c r="Q846" s="3">
        <f>IF(AND(K846=1,'ORDENES'!$N842="Pendiente"),1,0)</f>
        <v/>
      </c>
      <c r="R846" s="3">
        <f>IF(Q846=1,100000-N846*1000+839*0.01,9000000000000+839)</f>
        <v/>
      </c>
      <c r="S846" s="3">
        <f>IF(Q846=1,SUMPRODUCT(--($R$8:$R$1207&lt;R846))+1,"")</f>
        <v/>
      </c>
      <c r="T846" s="12">
        <f>IF(K846=1,'ORDENES'!$J842,"")</f>
        <v/>
      </c>
    </row>
    <row r="847">
      <c r="K847" s="3">
        <f>IF(AND(IF($B$3="(todos)",TRUE,'ORDENES'!$O843=$B$3),IF($D$3="(todos)",TRUE,'ORDENES'!$AF843=$D$3),IF($F$3="(todos)",TRUE,'ORDENES'!$X843=$F$3),IF($H$3="(todos)",TRUE,'ORDENES'!$W843=$H$3),'ORDENES'!$AD843=TRUE,'ORDENES'!$A843&lt;&gt;""),1,0)</f>
        <v/>
      </c>
      <c r="L847" s="3">
        <f>IF(K847=1,IFERROR(MATCH('ORDENES'!$R843,lista_dias,0),9)*1000000000+IFERROR(MATCH('ORDENES'!$AF843,lista_turnos,0),9)*10000000+IFERROR(MATCH('ORDENES'!$AE843,tblTecnicos[nombre],0),99)*100000+840,9000000000000+840)</f>
        <v/>
      </c>
      <c r="M847" s="3">
        <f>IF(K847=1,SUMPRODUCT(--($L$8:$L$1207&lt;L847))+1,"")</f>
        <v/>
      </c>
      <c r="N847" s="17">
        <f>IF(K847=1,N('ORDENES'!$M843),0)</f>
        <v/>
      </c>
      <c r="O847" s="17">
        <f>IF('ORDENES'!$T843="preventiva",N847,0)</f>
        <v/>
      </c>
      <c r="P847" s="17">
        <f>IF('ORDENES'!$T843="correctiva",N847,0)</f>
        <v/>
      </c>
      <c r="Q847" s="3">
        <f>IF(AND(K847=1,'ORDENES'!$N843="Pendiente"),1,0)</f>
        <v/>
      </c>
      <c r="R847" s="3">
        <f>IF(Q847=1,100000-N847*1000+840*0.01,9000000000000+840)</f>
        <v/>
      </c>
      <c r="S847" s="3">
        <f>IF(Q847=1,SUMPRODUCT(--($R$8:$R$1207&lt;R847))+1,"")</f>
        <v/>
      </c>
      <c r="T847" s="12">
        <f>IF(K847=1,'ORDENES'!$J843,"")</f>
        <v/>
      </c>
    </row>
    <row r="848">
      <c r="K848" s="3">
        <f>IF(AND(IF($B$3="(todos)",TRUE,'ORDENES'!$O844=$B$3),IF($D$3="(todos)",TRUE,'ORDENES'!$AF844=$D$3),IF($F$3="(todos)",TRUE,'ORDENES'!$X844=$F$3),IF($H$3="(todos)",TRUE,'ORDENES'!$W844=$H$3),'ORDENES'!$AD844=TRUE,'ORDENES'!$A844&lt;&gt;""),1,0)</f>
        <v/>
      </c>
      <c r="L848" s="3">
        <f>IF(K848=1,IFERROR(MATCH('ORDENES'!$R844,lista_dias,0),9)*1000000000+IFERROR(MATCH('ORDENES'!$AF844,lista_turnos,0),9)*10000000+IFERROR(MATCH('ORDENES'!$AE844,tblTecnicos[nombre],0),99)*100000+841,9000000000000+841)</f>
        <v/>
      </c>
      <c r="M848" s="3">
        <f>IF(K848=1,SUMPRODUCT(--($L$8:$L$1207&lt;L848))+1,"")</f>
        <v/>
      </c>
      <c r="N848" s="17">
        <f>IF(K848=1,N('ORDENES'!$M844),0)</f>
        <v/>
      </c>
      <c r="O848" s="17">
        <f>IF('ORDENES'!$T844="preventiva",N848,0)</f>
        <v/>
      </c>
      <c r="P848" s="17">
        <f>IF('ORDENES'!$T844="correctiva",N848,0)</f>
        <v/>
      </c>
      <c r="Q848" s="3">
        <f>IF(AND(K848=1,'ORDENES'!$N844="Pendiente"),1,0)</f>
        <v/>
      </c>
      <c r="R848" s="3">
        <f>IF(Q848=1,100000-N848*1000+841*0.01,9000000000000+841)</f>
        <v/>
      </c>
      <c r="S848" s="3">
        <f>IF(Q848=1,SUMPRODUCT(--($R$8:$R$1207&lt;R848))+1,"")</f>
        <v/>
      </c>
      <c r="T848" s="12">
        <f>IF(K848=1,'ORDENES'!$J844,"")</f>
        <v/>
      </c>
    </row>
    <row r="849">
      <c r="K849" s="3">
        <f>IF(AND(IF($B$3="(todos)",TRUE,'ORDENES'!$O845=$B$3),IF($D$3="(todos)",TRUE,'ORDENES'!$AF845=$D$3),IF($F$3="(todos)",TRUE,'ORDENES'!$X845=$F$3),IF($H$3="(todos)",TRUE,'ORDENES'!$W845=$H$3),'ORDENES'!$AD845=TRUE,'ORDENES'!$A845&lt;&gt;""),1,0)</f>
        <v/>
      </c>
      <c r="L849" s="3">
        <f>IF(K849=1,IFERROR(MATCH('ORDENES'!$R845,lista_dias,0),9)*1000000000+IFERROR(MATCH('ORDENES'!$AF845,lista_turnos,0),9)*10000000+IFERROR(MATCH('ORDENES'!$AE845,tblTecnicos[nombre],0),99)*100000+842,9000000000000+842)</f>
        <v/>
      </c>
      <c r="M849" s="3">
        <f>IF(K849=1,SUMPRODUCT(--($L$8:$L$1207&lt;L849))+1,"")</f>
        <v/>
      </c>
      <c r="N849" s="17">
        <f>IF(K849=1,N('ORDENES'!$M845),0)</f>
        <v/>
      </c>
      <c r="O849" s="17">
        <f>IF('ORDENES'!$T845="preventiva",N849,0)</f>
        <v/>
      </c>
      <c r="P849" s="17">
        <f>IF('ORDENES'!$T845="correctiva",N849,0)</f>
        <v/>
      </c>
      <c r="Q849" s="3">
        <f>IF(AND(K849=1,'ORDENES'!$N845="Pendiente"),1,0)</f>
        <v/>
      </c>
      <c r="R849" s="3">
        <f>IF(Q849=1,100000-N849*1000+842*0.01,9000000000000+842)</f>
        <v/>
      </c>
      <c r="S849" s="3">
        <f>IF(Q849=1,SUMPRODUCT(--($R$8:$R$1207&lt;R849))+1,"")</f>
        <v/>
      </c>
      <c r="T849" s="12">
        <f>IF(K849=1,'ORDENES'!$J845,"")</f>
        <v/>
      </c>
    </row>
    <row r="850">
      <c r="K850" s="3">
        <f>IF(AND(IF($B$3="(todos)",TRUE,'ORDENES'!$O846=$B$3),IF($D$3="(todos)",TRUE,'ORDENES'!$AF846=$D$3),IF($F$3="(todos)",TRUE,'ORDENES'!$X846=$F$3),IF($H$3="(todos)",TRUE,'ORDENES'!$W846=$H$3),'ORDENES'!$AD846=TRUE,'ORDENES'!$A846&lt;&gt;""),1,0)</f>
        <v/>
      </c>
      <c r="L850" s="3">
        <f>IF(K850=1,IFERROR(MATCH('ORDENES'!$R846,lista_dias,0),9)*1000000000+IFERROR(MATCH('ORDENES'!$AF846,lista_turnos,0),9)*10000000+IFERROR(MATCH('ORDENES'!$AE846,tblTecnicos[nombre],0),99)*100000+843,9000000000000+843)</f>
        <v/>
      </c>
      <c r="M850" s="3">
        <f>IF(K850=1,SUMPRODUCT(--($L$8:$L$1207&lt;L850))+1,"")</f>
        <v/>
      </c>
      <c r="N850" s="17">
        <f>IF(K850=1,N('ORDENES'!$M846),0)</f>
        <v/>
      </c>
      <c r="O850" s="17">
        <f>IF('ORDENES'!$T846="preventiva",N850,0)</f>
        <v/>
      </c>
      <c r="P850" s="17">
        <f>IF('ORDENES'!$T846="correctiva",N850,0)</f>
        <v/>
      </c>
      <c r="Q850" s="3">
        <f>IF(AND(K850=1,'ORDENES'!$N846="Pendiente"),1,0)</f>
        <v/>
      </c>
      <c r="R850" s="3">
        <f>IF(Q850=1,100000-N850*1000+843*0.01,9000000000000+843)</f>
        <v/>
      </c>
      <c r="S850" s="3">
        <f>IF(Q850=1,SUMPRODUCT(--($R$8:$R$1207&lt;R850))+1,"")</f>
        <v/>
      </c>
      <c r="T850" s="12">
        <f>IF(K850=1,'ORDENES'!$J846,"")</f>
        <v/>
      </c>
    </row>
    <row r="851">
      <c r="K851" s="3">
        <f>IF(AND(IF($B$3="(todos)",TRUE,'ORDENES'!$O847=$B$3),IF($D$3="(todos)",TRUE,'ORDENES'!$AF847=$D$3),IF($F$3="(todos)",TRUE,'ORDENES'!$X847=$F$3),IF($H$3="(todos)",TRUE,'ORDENES'!$W847=$H$3),'ORDENES'!$AD847=TRUE,'ORDENES'!$A847&lt;&gt;""),1,0)</f>
        <v/>
      </c>
      <c r="L851" s="3">
        <f>IF(K851=1,IFERROR(MATCH('ORDENES'!$R847,lista_dias,0),9)*1000000000+IFERROR(MATCH('ORDENES'!$AF847,lista_turnos,0),9)*10000000+IFERROR(MATCH('ORDENES'!$AE847,tblTecnicos[nombre],0),99)*100000+844,9000000000000+844)</f>
        <v/>
      </c>
      <c r="M851" s="3">
        <f>IF(K851=1,SUMPRODUCT(--($L$8:$L$1207&lt;L851))+1,"")</f>
        <v/>
      </c>
      <c r="N851" s="17">
        <f>IF(K851=1,N('ORDENES'!$M847),0)</f>
        <v/>
      </c>
      <c r="O851" s="17">
        <f>IF('ORDENES'!$T847="preventiva",N851,0)</f>
        <v/>
      </c>
      <c r="P851" s="17">
        <f>IF('ORDENES'!$T847="correctiva",N851,0)</f>
        <v/>
      </c>
      <c r="Q851" s="3">
        <f>IF(AND(K851=1,'ORDENES'!$N847="Pendiente"),1,0)</f>
        <v/>
      </c>
      <c r="R851" s="3">
        <f>IF(Q851=1,100000-N851*1000+844*0.01,9000000000000+844)</f>
        <v/>
      </c>
      <c r="S851" s="3">
        <f>IF(Q851=1,SUMPRODUCT(--($R$8:$R$1207&lt;R851))+1,"")</f>
        <v/>
      </c>
      <c r="T851" s="12">
        <f>IF(K851=1,'ORDENES'!$J847,"")</f>
        <v/>
      </c>
    </row>
    <row r="852">
      <c r="K852" s="3">
        <f>IF(AND(IF($B$3="(todos)",TRUE,'ORDENES'!$O848=$B$3),IF($D$3="(todos)",TRUE,'ORDENES'!$AF848=$D$3),IF($F$3="(todos)",TRUE,'ORDENES'!$X848=$F$3),IF($H$3="(todos)",TRUE,'ORDENES'!$W848=$H$3),'ORDENES'!$AD848=TRUE,'ORDENES'!$A848&lt;&gt;""),1,0)</f>
        <v/>
      </c>
      <c r="L852" s="3">
        <f>IF(K852=1,IFERROR(MATCH('ORDENES'!$R848,lista_dias,0),9)*1000000000+IFERROR(MATCH('ORDENES'!$AF848,lista_turnos,0),9)*10000000+IFERROR(MATCH('ORDENES'!$AE848,tblTecnicos[nombre],0),99)*100000+845,9000000000000+845)</f>
        <v/>
      </c>
      <c r="M852" s="3">
        <f>IF(K852=1,SUMPRODUCT(--($L$8:$L$1207&lt;L852))+1,"")</f>
        <v/>
      </c>
      <c r="N852" s="17">
        <f>IF(K852=1,N('ORDENES'!$M848),0)</f>
        <v/>
      </c>
      <c r="O852" s="17">
        <f>IF('ORDENES'!$T848="preventiva",N852,0)</f>
        <v/>
      </c>
      <c r="P852" s="17">
        <f>IF('ORDENES'!$T848="correctiva",N852,0)</f>
        <v/>
      </c>
      <c r="Q852" s="3">
        <f>IF(AND(K852=1,'ORDENES'!$N848="Pendiente"),1,0)</f>
        <v/>
      </c>
      <c r="R852" s="3">
        <f>IF(Q852=1,100000-N852*1000+845*0.01,9000000000000+845)</f>
        <v/>
      </c>
      <c r="S852" s="3">
        <f>IF(Q852=1,SUMPRODUCT(--($R$8:$R$1207&lt;R852))+1,"")</f>
        <v/>
      </c>
      <c r="T852" s="12">
        <f>IF(K852=1,'ORDENES'!$J848,"")</f>
        <v/>
      </c>
    </row>
    <row r="853">
      <c r="K853" s="3">
        <f>IF(AND(IF($B$3="(todos)",TRUE,'ORDENES'!$O849=$B$3),IF($D$3="(todos)",TRUE,'ORDENES'!$AF849=$D$3),IF($F$3="(todos)",TRUE,'ORDENES'!$X849=$F$3),IF($H$3="(todos)",TRUE,'ORDENES'!$W849=$H$3),'ORDENES'!$AD849=TRUE,'ORDENES'!$A849&lt;&gt;""),1,0)</f>
        <v/>
      </c>
      <c r="L853" s="3">
        <f>IF(K853=1,IFERROR(MATCH('ORDENES'!$R849,lista_dias,0),9)*1000000000+IFERROR(MATCH('ORDENES'!$AF849,lista_turnos,0),9)*10000000+IFERROR(MATCH('ORDENES'!$AE849,tblTecnicos[nombre],0),99)*100000+846,9000000000000+846)</f>
        <v/>
      </c>
      <c r="M853" s="3">
        <f>IF(K853=1,SUMPRODUCT(--($L$8:$L$1207&lt;L853))+1,"")</f>
        <v/>
      </c>
      <c r="N853" s="17">
        <f>IF(K853=1,N('ORDENES'!$M849),0)</f>
        <v/>
      </c>
      <c r="O853" s="17">
        <f>IF('ORDENES'!$T849="preventiva",N853,0)</f>
        <v/>
      </c>
      <c r="P853" s="17">
        <f>IF('ORDENES'!$T849="correctiva",N853,0)</f>
        <v/>
      </c>
      <c r="Q853" s="3">
        <f>IF(AND(K853=1,'ORDENES'!$N849="Pendiente"),1,0)</f>
        <v/>
      </c>
      <c r="R853" s="3">
        <f>IF(Q853=1,100000-N853*1000+846*0.01,9000000000000+846)</f>
        <v/>
      </c>
      <c r="S853" s="3">
        <f>IF(Q853=1,SUMPRODUCT(--($R$8:$R$1207&lt;R853))+1,"")</f>
        <v/>
      </c>
      <c r="T853" s="12">
        <f>IF(K853=1,'ORDENES'!$J849,"")</f>
        <v/>
      </c>
    </row>
    <row r="854">
      <c r="K854" s="3">
        <f>IF(AND(IF($B$3="(todos)",TRUE,'ORDENES'!$O850=$B$3),IF($D$3="(todos)",TRUE,'ORDENES'!$AF850=$D$3),IF($F$3="(todos)",TRUE,'ORDENES'!$X850=$F$3),IF($H$3="(todos)",TRUE,'ORDENES'!$W850=$H$3),'ORDENES'!$AD850=TRUE,'ORDENES'!$A850&lt;&gt;""),1,0)</f>
        <v/>
      </c>
      <c r="L854" s="3">
        <f>IF(K854=1,IFERROR(MATCH('ORDENES'!$R850,lista_dias,0),9)*1000000000+IFERROR(MATCH('ORDENES'!$AF850,lista_turnos,0),9)*10000000+IFERROR(MATCH('ORDENES'!$AE850,tblTecnicos[nombre],0),99)*100000+847,9000000000000+847)</f>
        <v/>
      </c>
      <c r="M854" s="3">
        <f>IF(K854=1,SUMPRODUCT(--($L$8:$L$1207&lt;L854))+1,"")</f>
        <v/>
      </c>
      <c r="N854" s="17">
        <f>IF(K854=1,N('ORDENES'!$M850),0)</f>
        <v/>
      </c>
      <c r="O854" s="17">
        <f>IF('ORDENES'!$T850="preventiva",N854,0)</f>
        <v/>
      </c>
      <c r="P854" s="17">
        <f>IF('ORDENES'!$T850="correctiva",N854,0)</f>
        <v/>
      </c>
      <c r="Q854" s="3">
        <f>IF(AND(K854=1,'ORDENES'!$N850="Pendiente"),1,0)</f>
        <v/>
      </c>
      <c r="R854" s="3">
        <f>IF(Q854=1,100000-N854*1000+847*0.01,9000000000000+847)</f>
        <v/>
      </c>
      <c r="S854" s="3">
        <f>IF(Q854=1,SUMPRODUCT(--($R$8:$R$1207&lt;R854))+1,"")</f>
        <v/>
      </c>
      <c r="T854" s="12">
        <f>IF(K854=1,'ORDENES'!$J850,"")</f>
        <v/>
      </c>
    </row>
    <row r="855">
      <c r="K855" s="3">
        <f>IF(AND(IF($B$3="(todos)",TRUE,'ORDENES'!$O851=$B$3),IF($D$3="(todos)",TRUE,'ORDENES'!$AF851=$D$3),IF($F$3="(todos)",TRUE,'ORDENES'!$X851=$F$3),IF($H$3="(todos)",TRUE,'ORDENES'!$W851=$H$3),'ORDENES'!$AD851=TRUE,'ORDENES'!$A851&lt;&gt;""),1,0)</f>
        <v/>
      </c>
      <c r="L855" s="3">
        <f>IF(K855=1,IFERROR(MATCH('ORDENES'!$R851,lista_dias,0),9)*1000000000+IFERROR(MATCH('ORDENES'!$AF851,lista_turnos,0),9)*10000000+IFERROR(MATCH('ORDENES'!$AE851,tblTecnicos[nombre],0),99)*100000+848,9000000000000+848)</f>
        <v/>
      </c>
      <c r="M855" s="3">
        <f>IF(K855=1,SUMPRODUCT(--($L$8:$L$1207&lt;L855))+1,"")</f>
        <v/>
      </c>
      <c r="N855" s="17">
        <f>IF(K855=1,N('ORDENES'!$M851),0)</f>
        <v/>
      </c>
      <c r="O855" s="17">
        <f>IF('ORDENES'!$T851="preventiva",N855,0)</f>
        <v/>
      </c>
      <c r="P855" s="17">
        <f>IF('ORDENES'!$T851="correctiva",N855,0)</f>
        <v/>
      </c>
      <c r="Q855" s="3">
        <f>IF(AND(K855=1,'ORDENES'!$N851="Pendiente"),1,0)</f>
        <v/>
      </c>
      <c r="R855" s="3">
        <f>IF(Q855=1,100000-N855*1000+848*0.01,9000000000000+848)</f>
        <v/>
      </c>
      <c r="S855" s="3">
        <f>IF(Q855=1,SUMPRODUCT(--($R$8:$R$1207&lt;R855))+1,"")</f>
        <v/>
      </c>
      <c r="T855" s="12">
        <f>IF(K855=1,'ORDENES'!$J851,"")</f>
        <v/>
      </c>
    </row>
    <row r="856">
      <c r="K856" s="3">
        <f>IF(AND(IF($B$3="(todos)",TRUE,'ORDENES'!$O852=$B$3),IF($D$3="(todos)",TRUE,'ORDENES'!$AF852=$D$3),IF($F$3="(todos)",TRUE,'ORDENES'!$X852=$F$3),IF($H$3="(todos)",TRUE,'ORDENES'!$W852=$H$3),'ORDENES'!$AD852=TRUE,'ORDENES'!$A852&lt;&gt;""),1,0)</f>
        <v/>
      </c>
      <c r="L856" s="3">
        <f>IF(K856=1,IFERROR(MATCH('ORDENES'!$R852,lista_dias,0),9)*1000000000+IFERROR(MATCH('ORDENES'!$AF852,lista_turnos,0),9)*10000000+IFERROR(MATCH('ORDENES'!$AE852,tblTecnicos[nombre],0),99)*100000+849,9000000000000+849)</f>
        <v/>
      </c>
      <c r="M856" s="3">
        <f>IF(K856=1,SUMPRODUCT(--($L$8:$L$1207&lt;L856))+1,"")</f>
        <v/>
      </c>
      <c r="N856" s="17">
        <f>IF(K856=1,N('ORDENES'!$M852),0)</f>
        <v/>
      </c>
      <c r="O856" s="17">
        <f>IF('ORDENES'!$T852="preventiva",N856,0)</f>
        <v/>
      </c>
      <c r="P856" s="17">
        <f>IF('ORDENES'!$T852="correctiva",N856,0)</f>
        <v/>
      </c>
      <c r="Q856" s="3">
        <f>IF(AND(K856=1,'ORDENES'!$N852="Pendiente"),1,0)</f>
        <v/>
      </c>
      <c r="R856" s="3">
        <f>IF(Q856=1,100000-N856*1000+849*0.01,9000000000000+849)</f>
        <v/>
      </c>
      <c r="S856" s="3">
        <f>IF(Q856=1,SUMPRODUCT(--($R$8:$R$1207&lt;R856))+1,"")</f>
        <v/>
      </c>
      <c r="T856" s="12">
        <f>IF(K856=1,'ORDENES'!$J852,"")</f>
        <v/>
      </c>
    </row>
    <row r="857">
      <c r="K857" s="3">
        <f>IF(AND(IF($B$3="(todos)",TRUE,'ORDENES'!$O853=$B$3),IF($D$3="(todos)",TRUE,'ORDENES'!$AF853=$D$3),IF($F$3="(todos)",TRUE,'ORDENES'!$X853=$F$3),IF($H$3="(todos)",TRUE,'ORDENES'!$W853=$H$3),'ORDENES'!$AD853=TRUE,'ORDENES'!$A853&lt;&gt;""),1,0)</f>
        <v/>
      </c>
      <c r="L857" s="3">
        <f>IF(K857=1,IFERROR(MATCH('ORDENES'!$R853,lista_dias,0),9)*1000000000+IFERROR(MATCH('ORDENES'!$AF853,lista_turnos,0),9)*10000000+IFERROR(MATCH('ORDENES'!$AE853,tblTecnicos[nombre],0),99)*100000+850,9000000000000+850)</f>
        <v/>
      </c>
      <c r="M857" s="3">
        <f>IF(K857=1,SUMPRODUCT(--($L$8:$L$1207&lt;L857))+1,"")</f>
        <v/>
      </c>
      <c r="N857" s="17">
        <f>IF(K857=1,N('ORDENES'!$M853),0)</f>
        <v/>
      </c>
      <c r="O857" s="17">
        <f>IF('ORDENES'!$T853="preventiva",N857,0)</f>
        <v/>
      </c>
      <c r="P857" s="17">
        <f>IF('ORDENES'!$T853="correctiva",N857,0)</f>
        <v/>
      </c>
      <c r="Q857" s="3">
        <f>IF(AND(K857=1,'ORDENES'!$N853="Pendiente"),1,0)</f>
        <v/>
      </c>
      <c r="R857" s="3">
        <f>IF(Q857=1,100000-N857*1000+850*0.01,9000000000000+850)</f>
        <v/>
      </c>
      <c r="S857" s="3">
        <f>IF(Q857=1,SUMPRODUCT(--($R$8:$R$1207&lt;R857))+1,"")</f>
        <v/>
      </c>
      <c r="T857" s="12">
        <f>IF(K857=1,'ORDENES'!$J853,"")</f>
        <v/>
      </c>
    </row>
    <row r="858">
      <c r="K858" s="3">
        <f>IF(AND(IF($B$3="(todos)",TRUE,'ORDENES'!$O854=$B$3),IF($D$3="(todos)",TRUE,'ORDENES'!$AF854=$D$3),IF($F$3="(todos)",TRUE,'ORDENES'!$X854=$F$3),IF($H$3="(todos)",TRUE,'ORDENES'!$W854=$H$3),'ORDENES'!$AD854=TRUE,'ORDENES'!$A854&lt;&gt;""),1,0)</f>
        <v/>
      </c>
      <c r="L858" s="3">
        <f>IF(K858=1,IFERROR(MATCH('ORDENES'!$R854,lista_dias,0),9)*1000000000+IFERROR(MATCH('ORDENES'!$AF854,lista_turnos,0),9)*10000000+IFERROR(MATCH('ORDENES'!$AE854,tblTecnicos[nombre],0),99)*100000+851,9000000000000+851)</f>
        <v/>
      </c>
      <c r="M858" s="3">
        <f>IF(K858=1,SUMPRODUCT(--($L$8:$L$1207&lt;L858))+1,"")</f>
        <v/>
      </c>
      <c r="N858" s="17">
        <f>IF(K858=1,N('ORDENES'!$M854),0)</f>
        <v/>
      </c>
      <c r="O858" s="17">
        <f>IF('ORDENES'!$T854="preventiva",N858,0)</f>
        <v/>
      </c>
      <c r="P858" s="17">
        <f>IF('ORDENES'!$T854="correctiva",N858,0)</f>
        <v/>
      </c>
      <c r="Q858" s="3">
        <f>IF(AND(K858=1,'ORDENES'!$N854="Pendiente"),1,0)</f>
        <v/>
      </c>
      <c r="R858" s="3">
        <f>IF(Q858=1,100000-N858*1000+851*0.01,9000000000000+851)</f>
        <v/>
      </c>
      <c r="S858" s="3">
        <f>IF(Q858=1,SUMPRODUCT(--($R$8:$R$1207&lt;R858))+1,"")</f>
        <v/>
      </c>
      <c r="T858" s="12">
        <f>IF(K858=1,'ORDENES'!$J854,"")</f>
        <v/>
      </c>
    </row>
    <row r="859">
      <c r="K859" s="3">
        <f>IF(AND(IF($B$3="(todos)",TRUE,'ORDENES'!$O855=$B$3),IF($D$3="(todos)",TRUE,'ORDENES'!$AF855=$D$3),IF($F$3="(todos)",TRUE,'ORDENES'!$X855=$F$3),IF($H$3="(todos)",TRUE,'ORDENES'!$W855=$H$3),'ORDENES'!$AD855=TRUE,'ORDENES'!$A855&lt;&gt;""),1,0)</f>
        <v/>
      </c>
      <c r="L859" s="3">
        <f>IF(K859=1,IFERROR(MATCH('ORDENES'!$R855,lista_dias,0),9)*1000000000+IFERROR(MATCH('ORDENES'!$AF855,lista_turnos,0),9)*10000000+IFERROR(MATCH('ORDENES'!$AE855,tblTecnicos[nombre],0),99)*100000+852,9000000000000+852)</f>
        <v/>
      </c>
      <c r="M859" s="3">
        <f>IF(K859=1,SUMPRODUCT(--($L$8:$L$1207&lt;L859))+1,"")</f>
        <v/>
      </c>
      <c r="N859" s="17">
        <f>IF(K859=1,N('ORDENES'!$M855),0)</f>
        <v/>
      </c>
      <c r="O859" s="17">
        <f>IF('ORDENES'!$T855="preventiva",N859,0)</f>
        <v/>
      </c>
      <c r="P859" s="17">
        <f>IF('ORDENES'!$T855="correctiva",N859,0)</f>
        <v/>
      </c>
      <c r="Q859" s="3">
        <f>IF(AND(K859=1,'ORDENES'!$N855="Pendiente"),1,0)</f>
        <v/>
      </c>
      <c r="R859" s="3">
        <f>IF(Q859=1,100000-N859*1000+852*0.01,9000000000000+852)</f>
        <v/>
      </c>
      <c r="S859" s="3">
        <f>IF(Q859=1,SUMPRODUCT(--($R$8:$R$1207&lt;R859))+1,"")</f>
        <v/>
      </c>
      <c r="T859" s="12">
        <f>IF(K859=1,'ORDENES'!$J855,"")</f>
        <v/>
      </c>
    </row>
    <row r="860">
      <c r="K860" s="3">
        <f>IF(AND(IF($B$3="(todos)",TRUE,'ORDENES'!$O856=$B$3),IF($D$3="(todos)",TRUE,'ORDENES'!$AF856=$D$3),IF($F$3="(todos)",TRUE,'ORDENES'!$X856=$F$3),IF($H$3="(todos)",TRUE,'ORDENES'!$W856=$H$3),'ORDENES'!$AD856=TRUE,'ORDENES'!$A856&lt;&gt;""),1,0)</f>
        <v/>
      </c>
      <c r="L860" s="3">
        <f>IF(K860=1,IFERROR(MATCH('ORDENES'!$R856,lista_dias,0),9)*1000000000+IFERROR(MATCH('ORDENES'!$AF856,lista_turnos,0),9)*10000000+IFERROR(MATCH('ORDENES'!$AE856,tblTecnicos[nombre],0),99)*100000+853,9000000000000+853)</f>
        <v/>
      </c>
      <c r="M860" s="3">
        <f>IF(K860=1,SUMPRODUCT(--($L$8:$L$1207&lt;L860))+1,"")</f>
        <v/>
      </c>
      <c r="N860" s="17">
        <f>IF(K860=1,N('ORDENES'!$M856),0)</f>
        <v/>
      </c>
      <c r="O860" s="17">
        <f>IF('ORDENES'!$T856="preventiva",N860,0)</f>
        <v/>
      </c>
      <c r="P860" s="17">
        <f>IF('ORDENES'!$T856="correctiva",N860,0)</f>
        <v/>
      </c>
      <c r="Q860" s="3">
        <f>IF(AND(K860=1,'ORDENES'!$N856="Pendiente"),1,0)</f>
        <v/>
      </c>
      <c r="R860" s="3">
        <f>IF(Q860=1,100000-N860*1000+853*0.01,9000000000000+853)</f>
        <v/>
      </c>
      <c r="S860" s="3">
        <f>IF(Q860=1,SUMPRODUCT(--($R$8:$R$1207&lt;R860))+1,"")</f>
        <v/>
      </c>
      <c r="T860" s="12">
        <f>IF(K860=1,'ORDENES'!$J856,"")</f>
        <v/>
      </c>
    </row>
    <row r="861">
      <c r="K861" s="3">
        <f>IF(AND(IF($B$3="(todos)",TRUE,'ORDENES'!$O857=$B$3),IF($D$3="(todos)",TRUE,'ORDENES'!$AF857=$D$3),IF($F$3="(todos)",TRUE,'ORDENES'!$X857=$F$3),IF($H$3="(todos)",TRUE,'ORDENES'!$W857=$H$3),'ORDENES'!$AD857=TRUE,'ORDENES'!$A857&lt;&gt;""),1,0)</f>
        <v/>
      </c>
      <c r="L861" s="3">
        <f>IF(K861=1,IFERROR(MATCH('ORDENES'!$R857,lista_dias,0),9)*1000000000+IFERROR(MATCH('ORDENES'!$AF857,lista_turnos,0),9)*10000000+IFERROR(MATCH('ORDENES'!$AE857,tblTecnicos[nombre],0),99)*100000+854,9000000000000+854)</f>
        <v/>
      </c>
      <c r="M861" s="3">
        <f>IF(K861=1,SUMPRODUCT(--($L$8:$L$1207&lt;L861))+1,"")</f>
        <v/>
      </c>
      <c r="N861" s="17">
        <f>IF(K861=1,N('ORDENES'!$M857),0)</f>
        <v/>
      </c>
      <c r="O861" s="17">
        <f>IF('ORDENES'!$T857="preventiva",N861,0)</f>
        <v/>
      </c>
      <c r="P861" s="17">
        <f>IF('ORDENES'!$T857="correctiva",N861,0)</f>
        <v/>
      </c>
      <c r="Q861" s="3">
        <f>IF(AND(K861=1,'ORDENES'!$N857="Pendiente"),1,0)</f>
        <v/>
      </c>
      <c r="R861" s="3">
        <f>IF(Q861=1,100000-N861*1000+854*0.01,9000000000000+854)</f>
        <v/>
      </c>
      <c r="S861" s="3">
        <f>IF(Q861=1,SUMPRODUCT(--($R$8:$R$1207&lt;R861))+1,"")</f>
        <v/>
      </c>
      <c r="T861" s="12">
        <f>IF(K861=1,'ORDENES'!$J857,"")</f>
        <v/>
      </c>
    </row>
    <row r="862">
      <c r="K862" s="3">
        <f>IF(AND(IF($B$3="(todos)",TRUE,'ORDENES'!$O858=$B$3),IF($D$3="(todos)",TRUE,'ORDENES'!$AF858=$D$3),IF($F$3="(todos)",TRUE,'ORDENES'!$X858=$F$3),IF($H$3="(todos)",TRUE,'ORDENES'!$W858=$H$3),'ORDENES'!$AD858=TRUE,'ORDENES'!$A858&lt;&gt;""),1,0)</f>
        <v/>
      </c>
      <c r="L862" s="3">
        <f>IF(K862=1,IFERROR(MATCH('ORDENES'!$R858,lista_dias,0),9)*1000000000+IFERROR(MATCH('ORDENES'!$AF858,lista_turnos,0),9)*10000000+IFERROR(MATCH('ORDENES'!$AE858,tblTecnicos[nombre],0),99)*100000+855,9000000000000+855)</f>
        <v/>
      </c>
      <c r="M862" s="3">
        <f>IF(K862=1,SUMPRODUCT(--($L$8:$L$1207&lt;L862))+1,"")</f>
        <v/>
      </c>
      <c r="N862" s="17">
        <f>IF(K862=1,N('ORDENES'!$M858),0)</f>
        <v/>
      </c>
      <c r="O862" s="17">
        <f>IF('ORDENES'!$T858="preventiva",N862,0)</f>
        <v/>
      </c>
      <c r="P862" s="17">
        <f>IF('ORDENES'!$T858="correctiva",N862,0)</f>
        <v/>
      </c>
      <c r="Q862" s="3">
        <f>IF(AND(K862=1,'ORDENES'!$N858="Pendiente"),1,0)</f>
        <v/>
      </c>
      <c r="R862" s="3">
        <f>IF(Q862=1,100000-N862*1000+855*0.01,9000000000000+855)</f>
        <v/>
      </c>
      <c r="S862" s="3">
        <f>IF(Q862=1,SUMPRODUCT(--($R$8:$R$1207&lt;R862))+1,"")</f>
        <v/>
      </c>
      <c r="T862" s="12">
        <f>IF(K862=1,'ORDENES'!$J858,"")</f>
        <v/>
      </c>
    </row>
    <row r="863">
      <c r="K863" s="3">
        <f>IF(AND(IF($B$3="(todos)",TRUE,'ORDENES'!$O859=$B$3),IF($D$3="(todos)",TRUE,'ORDENES'!$AF859=$D$3),IF($F$3="(todos)",TRUE,'ORDENES'!$X859=$F$3),IF($H$3="(todos)",TRUE,'ORDENES'!$W859=$H$3),'ORDENES'!$AD859=TRUE,'ORDENES'!$A859&lt;&gt;""),1,0)</f>
        <v/>
      </c>
      <c r="L863" s="3">
        <f>IF(K863=1,IFERROR(MATCH('ORDENES'!$R859,lista_dias,0),9)*1000000000+IFERROR(MATCH('ORDENES'!$AF859,lista_turnos,0),9)*10000000+IFERROR(MATCH('ORDENES'!$AE859,tblTecnicos[nombre],0),99)*100000+856,9000000000000+856)</f>
        <v/>
      </c>
      <c r="M863" s="3">
        <f>IF(K863=1,SUMPRODUCT(--($L$8:$L$1207&lt;L863))+1,"")</f>
        <v/>
      </c>
      <c r="N863" s="17">
        <f>IF(K863=1,N('ORDENES'!$M859),0)</f>
        <v/>
      </c>
      <c r="O863" s="17">
        <f>IF('ORDENES'!$T859="preventiva",N863,0)</f>
        <v/>
      </c>
      <c r="P863" s="17">
        <f>IF('ORDENES'!$T859="correctiva",N863,0)</f>
        <v/>
      </c>
      <c r="Q863" s="3">
        <f>IF(AND(K863=1,'ORDENES'!$N859="Pendiente"),1,0)</f>
        <v/>
      </c>
      <c r="R863" s="3">
        <f>IF(Q863=1,100000-N863*1000+856*0.01,9000000000000+856)</f>
        <v/>
      </c>
      <c r="S863" s="3">
        <f>IF(Q863=1,SUMPRODUCT(--($R$8:$R$1207&lt;R863))+1,"")</f>
        <v/>
      </c>
      <c r="T863" s="12">
        <f>IF(K863=1,'ORDENES'!$J859,"")</f>
        <v/>
      </c>
    </row>
    <row r="864">
      <c r="K864" s="3">
        <f>IF(AND(IF($B$3="(todos)",TRUE,'ORDENES'!$O860=$B$3),IF($D$3="(todos)",TRUE,'ORDENES'!$AF860=$D$3),IF($F$3="(todos)",TRUE,'ORDENES'!$X860=$F$3),IF($H$3="(todos)",TRUE,'ORDENES'!$W860=$H$3),'ORDENES'!$AD860=TRUE,'ORDENES'!$A860&lt;&gt;""),1,0)</f>
        <v/>
      </c>
      <c r="L864" s="3">
        <f>IF(K864=1,IFERROR(MATCH('ORDENES'!$R860,lista_dias,0),9)*1000000000+IFERROR(MATCH('ORDENES'!$AF860,lista_turnos,0),9)*10000000+IFERROR(MATCH('ORDENES'!$AE860,tblTecnicos[nombre],0),99)*100000+857,9000000000000+857)</f>
        <v/>
      </c>
      <c r="M864" s="3">
        <f>IF(K864=1,SUMPRODUCT(--($L$8:$L$1207&lt;L864))+1,"")</f>
        <v/>
      </c>
      <c r="N864" s="17">
        <f>IF(K864=1,N('ORDENES'!$M860),0)</f>
        <v/>
      </c>
      <c r="O864" s="17">
        <f>IF('ORDENES'!$T860="preventiva",N864,0)</f>
        <v/>
      </c>
      <c r="P864" s="17">
        <f>IF('ORDENES'!$T860="correctiva",N864,0)</f>
        <v/>
      </c>
      <c r="Q864" s="3">
        <f>IF(AND(K864=1,'ORDENES'!$N860="Pendiente"),1,0)</f>
        <v/>
      </c>
      <c r="R864" s="3">
        <f>IF(Q864=1,100000-N864*1000+857*0.01,9000000000000+857)</f>
        <v/>
      </c>
      <c r="S864" s="3">
        <f>IF(Q864=1,SUMPRODUCT(--($R$8:$R$1207&lt;R864))+1,"")</f>
        <v/>
      </c>
      <c r="T864" s="12">
        <f>IF(K864=1,'ORDENES'!$J860,"")</f>
        <v/>
      </c>
    </row>
    <row r="865">
      <c r="K865" s="3">
        <f>IF(AND(IF($B$3="(todos)",TRUE,'ORDENES'!$O861=$B$3),IF($D$3="(todos)",TRUE,'ORDENES'!$AF861=$D$3),IF($F$3="(todos)",TRUE,'ORDENES'!$X861=$F$3),IF($H$3="(todos)",TRUE,'ORDENES'!$W861=$H$3),'ORDENES'!$AD861=TRUE,'ORDENES'!$A861&lt;&gt;""),1,0)</f>
        <v/>
      </c>
      <c r="L865" s="3">
        <f>IF(K865=1,IFERROR(MATCH('ORDENES'!$R861,lista_dias,0),9)*1000000000+IFERROR(MATCH('ORDENES'!$AF861,lista_turnos,0),9)*10000000+IFERROR(MATCH('ORDENES'!$AE861,tblTecnicos[nombre],0),99)*100000+858,9000000000000+858)</f>
        <v/>
      </c>
      <c r="M865" s="3">
        <f>IF(K865=1,SUMPRODUCT(--($L$8:$L$1207&lt;L865))+1,"")</f>
        <v/>
      </c>
      <c r="N865" s="17">
        <f>IF(K865=1,N('ORDENES'!$M861),0)</f>
        <v/>
      </c>
      <c r="O865" s="17">
        <f>IF('ORDENES'!$T861="preventiva",N865,0)</f>
        <v/>
      </c>
      <c r="P865" s="17">
        <f>IF('ORDENES'!$T861="correctiva",N865,0)</f>
        <v/>
      </c>
      <c r="Q865" s="3">
        <f>IF(AND(K865=1,'ORDENES'!$N861="Pendiente"),1,0)</f>
        <v/>
      </c>
      <c r="R865" s="3">
        <f>IF(Q865=1,100000-N865*1000+858*0.01,9000000000000+858)</f>
        <v/>
      </c>
      <c r="S865" s="3">
        <f>IF(Q865=1,SUMPRODUCT(--($R$8:$R$1207&lt;R865))+1,"")</f>
        <v/>
      </c>
      <c r="T865" s="12">
        <f>IF(K865=1,'ORDENES'!$J861,"")</f>
        <v/>
      </c>
    </row>
    <row r="866">
      <c r="K866" s="3">
        <f>IF(AND(IF($B$3="(todos)",TRUE,'ORDENES'!$O862=$B$3),IF($D$3="(todos)",TRUE,'ORDENES'!$AF862=$D$3),IF($F$3="(todos)",TRUE,'ORDENES'!$X862=$F$3),IF($H$3="(todos)",TRUE,'ORDENES'!$W862=$H$3),'ORDENES'!$AD862=TRUE,'ORDENES'!$A862&lt;&gt;""),1,0)</f>
        <v/>
      </c>
      <c r="L866" s="3">
        <f>IF(K866=1,IFERROR(MATCH('ORDENES'!$R862,lista_dias,0),9)*1000000000+IFERROR(MATCH('ORDENES'!$AF862,lista_turnos,0),9)*10000000+IFERROR(MATCH('ORDENES'!$AE862,tblTecnicos[nombre],0),99)*100000+859,9000000000000+859)</f>
        <v/>
      </c>
      <c r="M866" s="3">
        <f>IF(K866=1,SUMPRODUCT(--($L$8:$L$1207&lt;L866))+1,"")</f>
        <v/>
      </c>
      <c r="N866" s="17">
        <f>IF(K866=1,N('ORDENES'!$M862),0)</f>
        <v/>
      </c>
      <c r="O866" s="17">
        <f>IF('ORDENES'!$T862="preventiva",N866,0)</f>
        <v/>
      </c>
      <c r="P866" s="17">
        <f>IF('ORDENES'!$T862="correctiva",N866,0)</f>
        <v/>
      </c>
      <c r="Q866" s="3">
        <f>IF(AND(K866=1,'ORDENES'!$N862="Pendiente"),1,0)</f>
        <v/>
      </c>
      <c r="R866" s="3">
        <f>IF(Q866=1,100000-N866*1000+859*0.01,9000000000000+859)</f>
        <v/>
      </c>
      <c r="S866" s="3">
        <f>IF(Q866=1,SUMPRODUCT(--($R$8:$R$1207&lt;R866))+1,"")</f>
        <v/>
      </c>
      <c r="T866" s="12">
        <f>IF(K866=1,'ORDENES'!$J862,"")</f>
        <v/>
      </c>
    </row>
    <row r="867">
      <c r="K867" s="3">
        <f>IF(AND(IF($B$3="(todos)",TRUE,'ORDENES'!$O863=$B$3),IF($D$3="(todos)",TRUE,'ORDENES'!$AF863=$D$3),IF($F$3="(todos)",TRUE,'ORDENES'!$X863=$F$3),IF($H$3="(todos)",TRUE,'ORDENES'!$W863=$H$3),'ORDENES'!$AD863=TRUE,'ORDENES'!$A863&lt;&gt;""),1,0)</f>
        <v/>
      </c>
      <c r="L867" s="3">
        <f>IF(K867=1,IFERROR(MATCH('ORDENES'!$R863,lista_dias,0),9)*1000000000+IFERROR(MATCH('ORDENES'!$AF863,lista_turnos,0),9)*10000000+IFERROR(MATCH('ORDENES'!$AE863,tblTecnicos[nombre],0),99)*100000+860,9000000000000+860)</f>
        <v/>
      </c>
      <c r="M867" s="3">
        <f>IF(K867=1,SUMPRODUCT(--($L$8:$L$1207&lt;L867))+1,"")</f>
        <v/>
      </c>
      <c r="N867" s="17">
        <f>IF(K867=1,N('ORDENES'!$M863),0)</f>
        <v/>
      </c>
      <c r="O867" s="17">
        <f>IF('ORDENES'!$T863="preventiva",N867,0)</f>
        <v/>
      </c>
      <c r="P867" s="17">
        <f>IF('ORDENES'!$T863="correctiva",N867,0)</f>
        <v/>
      </c>
      <c r="Q867" s="3">
        <f>IF(AND(K867=1,'ORDENES'!$N863="Pendiente"),1,0)</f>
        <v/>
      </c>
      <c r="R867" s="3">
        <f>IF(Q867=1,100000-N867*1000+860*0.01,9000000000000+860)</f>
        <v/>
      </c>
      <c r="S867" s="3">
        <f>IF(Q867=1,SUMPRODUCT(--($R$8:$R$1207&lt;R867))+1,"")</f>
        <v/>
      </c>
      <c r="T867" s="12">
        <f>IF(K867=1,'ORDENES'!$J863,"")</f>
        <v/>
      </c>
    </row>
    <row r="868">
      <c r="K868" s="3">
        <f>IF(AND(IF($B$3="(todos)",TRUE,'ORDENES'!$O864=$B$3),IF($D$3="(todos)",TRUE,'ORDENES'!$AF864=$D$3),IF($F$3="(todos)",TRUE,'ORDENES'!$X864=$F$3),IF($H$3="(todos)",TRUE,'ORDENES'!$W864=$H$3),'ORDENES'!$AD864=TRUE,'ORDENES'!$A864&lt;&gt;""),1,0)</f>
        <v/>
      </c>
      <c r="L868" s="3">
        <f>IF(K868=1,IFERROR(MATCH('ORDENES'!$R864,lista_dias,0),9)*1000000000+IFERROR(MATCH('ORDENES'!$AF864,lista_turnos,0),9)*10000000+IFERROR(MATCH('ORDENES'!$AE864,tblTecnicos[nombre],0),99)*100000+861,9000000000000+861)</f>
        <v/>
      </c>
      <c r="M868" s="3">
        <f>IF(K868=1,SUMPRODUCT(--($L$8:$L$1207&lt;L868))+1,"")</f>
        <v/>
      </c>
      <c r="N868" s="17">
        <f>IF(K868=1,N('ORDENES'!$M864),0)</f>
        <v/>
      </c>
      <c r="O868" s="17">
        <f>IF('ORDENES'!$T864="preventiva",N868,0)</f>
        <v/>
      </c>
      <c r="P868" s="17">
        <f>IF('ORDENES'!$T864="correctiva",N868,0)</f>
        <v/>
      </c>
      <c r="Q868" s="3">
        <f>IF(AND(K868=1,'ORDENES'!$N864="Pendiente"),1,0)</f>
        <v/>
      </c>
      <c r="R868" s="3">
        <f>IF(Q868=1,100000-N868*1000+861*0.01,9000000000000+861)</f>
        <v/>
      </c>
      <c r="S868" s="3">
        <f>IF(Q868=1,SUMPRODUCT(--($R$8:$R$1207&lt;R868))+1,"")</f>
        <v/>
      </c>
      <c r="T868" s="12">
        <f>IF(K868=1,'ORDENES'!$J864,"")</f>
        <v/>
      </c>
    </row>
    <row r="869">
      <c r="K869" s="3">
        <f>IF(AND(IF($B$3="(todos)",TRUE,'ORDENES'!$O865=$B$3),IF($D$3="(todos)",TRUE,'ORDENES'!$AF865=$D$3),IF($F$3="(todos)",TRUE,'ORDENES'!$X865=$F$3),IF($H$3="(todos)",TRUE,'ORDENES'!$W865=$H$3),'ORDENES'!$AD865=TRUE,'ORDENES'!$A865&lt;&gt;""),1,0)</f>
        <v/>
      </c>
      <c r="L869" s="3">
        <f>IF(K869=1,IFERROR(MATCH('ORDENES'!$R865,lista_dias,0),9)*1000000000+IFERROR(MATCH('ORDENES'!$AF865,lista_turnos,0),9)*10000000+IFERROR(MATCH('ORDENES'!$AE865,tblTecnicos[nombre],0),99)*100000+862,9000000000000+862)</f>
        <v/>
      </c>
      <c r="M869" s="3">
        <f>IF(K869=1,SUMPRODUCT(--($L$8:$L$1207&lt;L869))+1,"")</f>
        <v/>
      </c>
      <c r="N869" s="17">
        <f>IF(K869=1,N('ORDENES'!$M865),0)</f>
        <v/>
      </c>
      <c r="O869" s="17">
        <f>IF('ORDENES'!$T865="preventiva",N869,0)</f>
        <v/>
      </c>
      <c r="P869" s="17">
        <f>IF('ORDENES'!$T865="correctiva",N869,0)</f>
        <v/>
      </c>
      <c r="Q869" s="3">
        <f>IF(AND(K869=1,'ORDENES'!$N865="Pendiente"),1,0)</f>
        <v/>
      </c>
      <c r="R869" s="3">
        <f>IF(Q869=1,100000-N869*1000+862*0.01,9000000000000+862)</f>
        <v/>
      </c>
      <c r="S869" s="3">
        <f>IF(Q869=1,SUMPRODUCT(--($R$8:$R$1207&lt;R869))+1,"")</f>
        <v/>
      </c>
      <c r="T869" s="12">
        <f>IF(K869=1,'ORDENES'!$J865,"")</f>
        <v/>
      </c>
    </row>
    <row r="870">
      <c r="K870" s="3">
        <f>IF(AND(IF($B$3="(todos)",TRUE,'ORDENES'!$O866=$B$3),IF($D$3="(todos)",TRUE,'ORDENES'!$AF866=$D$3),IF($F$3="(todos)",TRUE,'ORDENES'!$X866=$F$3),IF($H$3="(todos)",TRUE,'ORDENES'!$W866=$H$3),'ORDENES'!$AD866=TRUE,'ORDENES'!$A866&lt;&gt;""),1,0)</f>
        <v/>
      </c>
      <c r="L870" s="3">
        <f>IF(K870=1,IFERROR(MATCH('ORDENES'!$R866,lista_dias,0),9)*1000000000+IFERROR(MATCH('ORDENES'!$AF866,lista_turnos,0),9)*10000000+IFERROR(MATCH('ORDENES'!$AE866,tblTecnicos[nombre],0),99)*100000+863,9000000000000+863)</f>
        <v/>
      </c>
      <c r="M870" s="3">
        <f>IF(K870=1,SUMPRODUCT(--($L$8:$L$1207&lt;L870))+1,"")</f>
        <v/>
      </c>
      <c r="N870" s="17">
        <f>IF(K870=1,N('ORDENES'!$M866),0)</f>
        <v/>
      </c>
      <c r="O870" s="17">
        <f>IF('ORDENES'!$T866="preventiva",N870,0)</f>
        <v/>
      </c>
      <c r="P870" s="17">
        <f>IF('ORDENES'!$T866="correctiva",N870,0)</f>
        <v/>
      </c>
      <c r="Q870" s="3">
        <f>IF(AND(K870=1,'ORDENES'!$N866="Pendiente"),1,0)</f>
        <v/>
      </c>
      <c r="R870" s="3">
        <f>IF(Q870=1,100000-N870*1000+863*0.01,9000000000000+863)</f>
        <v/>
      </c>
      <c r="S870" s="3">
        <f>IF(Q870=1,SUMPRODUCT(--($R$8:$R$1207&lt;R870))+1,"")</f>
        <v/>
      </c>
      <c r="T870" s="12">
        <f>IF(K870=1,'ORDENES'!$J866,"")</f>
        <v/>
      </c>
    </row>
    <row r="871">
      <c r="K871" s="3">
        <f>IF(AND(IF($B$3="(todos)",TRUE,'ORDENES'!$O867=$B$3),IF($D$3="(todos)",TRUE,'ORDENES'!$AF867=$D$3),IF($F$3="(todos)",TRUE,'ORDENES'!$X867=$F$3),IF($H$3="(todos)",TRUE,'ORDENES'!$W867=$H$3),'ORDENES'!$AD867=TRUE,'ORDENES'!$A867&lt;&gt;""),1,0)</f>
        <v/>
      </c>
      <c r="L871" s="3">
        <f>IF(K871=1,IFERROR(MATCH('ORDENES'!$R867,lista_dias,0),9)*1000000000+IFERROR(MATCH('ORDENES'!$AF867,lista_turnos,0),9)*10000000+IFERROR(MATCH('ORDENES'!$AE867,tblTecnicos[nombre],0),99)*100000+864,9000000000000+864)</f>
        <v/>
      </c>
      <c r="M871" s="3">
        <f>IF(K871=1,SUMPRODUCT(--($L$8:$L$1207&lt;L871))+1,"")</f>
        <v/>
      </c>
      <c r="N871" s="17">
        <f>IF(K871=1,N('ORDENES'!$M867),0)</f>
        <v/>
      </c>
      <c r="O871" s="17">
        <f>IF('ORDENES'!$T867="preventiva",N871,0)</f>
        <v/>
      </c>
      <c r="P871" s="17">
        <f>IF('ORDENES'!$T867="correctiva",N871,0)</f>
        <v/>
      </c>
      <c r="Q871" s="3">
        <f>IF(AND(K871=1,'ORDENES'!$N867="Pendiente"),1,0)</f>
        <v/>
      </c>
      <c r="R871" s="3">
        <f>IF(Q871=1,100000-N871*1000+864*0.01,9000000000000+864)</f>
        <v/>
      </c>
      <c r="S871" s="3">
        <f>IF(Q871=1,SUMPRODUCT(--($R$8:$R$1207&lt;R871))+1,"")</f>
        <v/>
      </c>
      <c r="T871" s="12">
        <f>IF(K871=1,'ORDENES'!$J867,"")</f>
        <v/>
      </c>
    </row>
    <row r="872">
      <c r="K872" s="3">
        <f>IF(AND(IF($B$3="(todos)",TRUE,'ORDENES'!$O868=$B$3),IF($D$3="(todos)",TRUE,'ORDENES'!$AF868=$D$3),IF($F$3="(todos)",TRUE,'ORDENES'!$X868=$F$3),IF($H$3="(todos)",TRUE,'ORDENES'!$W868=$H$3),'ORDENES'!$AD868=TRUE,'ORDENES'!$A868&lt;&gt;""),1,0)</f>
        <v/>
      </c>
      <c r="L872" s="3">
        <f>IF(K872=1,IFERROR(MATCH('ORDENES'!$R868,lista_dias,0),9)*1000000000+IFERROR(MATCH('ORDENES'!$AF868,lista_turnos,0),9)*10000000+IFERROR(MATCH('ORDENES'!$AE868,tblTecnicos[nombre],0),99)*100000+865,9000000000000+865)</f>
        <v/>
      </c>
      <c r="M872" s="3">
        <f>IF(K872=1,SUMPRODUCT(--($L$8:$L$1207&lt;L872))+1,"")</f>
        <v/>
      </c>
      <c r="N872" s="17">
        <f>IF(K872=1,N('ORDENES'!$M868),0)</f>
        <v/>
      </c>
      <c r="O872" s="17">
        <f>IF('ORDENES'!$T868="preventiva",N872,0)</f>
        <v/>
      </c>
      <c r="P872" s="17">
        <f>IF('ORDENES'!$T868="correctiva",N872,0)</f>
        <v/>
      </c>
      <c r="Q872" s="3">
        <f>IF(AND(K872=1,'ORDENES'!$N868="Pendiente"),1,0)</f>
        <v/>
      </c>
      <c r="R872" s="3">
        <f>IF(Q872=1,100000-N872*1000+865*0.01,9000000000000+865)</f>
        <v/>
      </c>
      <c r="S872" s="3">
        <f>IF(Q872=1,SUMPRODUCT(--($R$8:$R$1207&lt;R872))+1,"")</f>
        <v/>
      </c>
      <c r="T872" s="12">
        <f>IF(K872=1,'ORDENES'!$J868,"")</f>
        <v/>
      </c>
    </row>
    <row r="873">
      <c r="K873" s="3">
        <f>IF(AND(IF($B$3="(todos)",TRUE,'ORDENES'!$O869=$B$3),IF($D$3="(todos)",TRUE,'ORDENES'!$AF869=$D$3),IF($F$3="(todos)",TRUE,'ORDENES'!$X869=$F$3),IF($H$3="(todos)",TRUE,'ORDENES'!$W869=$H$3),'ORDENES'!$AD869=TRUE,'ORDENES'!$A869&lt;&gt;""),1,0)</f>
        <v/>
      </c>
      <c r="L873" s="3">
        <f>IF(K873=1,IFERROR(MATCH('ORDENES'!$R869,lista_dias,0),9)*1000000000+IFERROR(MATCH('ORDENES'!$AF869,lista_turnos,0),9)*10000000+IFERROR(MATCH('ORDENES'!$AE869,tblTecnicos[nombre],0),99)*100000+866,9000000000000+866)</f>
        <v/>
      </c>
      <c r="M873" s="3">
        <f>IF(K873=1,SUMPRODUCT(--($L$8:$L$1207&lt;L873))+1,"")</f>
        <v/>
      </c>
      <c r="N873" s="17">
        <f>IF(K873=1,N('ORDENES'!$M869),0)</f>
        <v/>
      </c>
      <c r="O873" s="17">
        <f>IF('ORDENES'!$T869="preventiva",N873,0)</f>
        <v/>
      </c>
      <c r="P873" s="17">
        <f>IF('ORDENES'!$T869="correctiva",N873,0)</f>
        <v/>
      </c>
      <c r="Q873" s="3">
        <f>IF(AND(K873=1,'ORDENES'!$N869="Pendiente"),1,0)</f>
        <v/>
      </c>
      <c r="R873" s="3">
        <f>IF(Q873=1,100000-N873*1000+866*0.01,9000000000000+866)</f>
        <v/>
      </c>
      <c r="S873" s="3">
        <f>IF(Q873=1,SUMPRODUCT(--($R$8:$R$1207&lt;R873))+1,"")</f>
        <v/>
      </c>
      <c r="T873" s="12">
        <f>IF(K873=1,'ORDENES'!$J869,"")</f>
        <v/>
      </c>
    </row>
    <row r="874">
      <c r="K874" s="3">
        <f>IF(AND(IF($B$3="(todos)",TRUE,'ORDENES'!$O870=$B$3),IF($D$3="(todos)",TRUE,'ORDENES'!$AF870=$D$3),IF($F$3="(todos)",TRUE,'ORDENES'!$X870=$F$3),IF($H$3="(todos)",TRUE,'ORDENES'!$W870=$H$3),'ORDENES'!$AD870=TRUE,'ORDENES'!$A870&lt;&gt;""),1,0)</f>
        <v/>
      </c>
      <c r="L874" s="3">
        <f>IF(K874=1,IFERROR(MATCH('ORDENES'!$R870,lista_dias,0),9)*1000000000+IFERROR(MATCH('ORDENES'!$AF870,lista_turnos,0),9)*10000000+IFERROR(MATCH('ORDENES'!$AE870,tblTecnicos[nombre],0),99)*100000+867,9000000000000+867)</f>
        <v/>
      </c>
      <c r="M874" s="3">
        <f>IF(K874=1,SUMPRODUCT(--($L$8:$L$1207&lt;L874))+1,"")</f>
        <v/>
      </c>
      <c r="N874" s="17">
        <f>IF(K874=1,N('ORDENES'!$M870),0)</f>
        <v/>
      </c>
      <c r="O874" s="17">
        <f>IF('ORDENES'!$T870="preventiva",N874,0)</f>
        <v/>
      </c>
      <c r="P874" s="17">
        <f>IF('ORDENES'!$T870="correctiva",N874,0)</f>
        <v/>
      </c>
      <c r="Q874" s="3">
        <f>IF(AND(K874=1,'ORDENES'!$N870="Pendiente"),1,0)</f>
        <v/>
      </c>
      <c r="R874" s="3">
        <f>IF(Q874=1,100000-N874*1000+867*0.01,9000000000000+867)</f>
        <v/>
      </c>
      <c r="S874" s="3">
        <f>IF(Q874=1,SUMPRODUCT(--($R$8:$R$1207&lt;R874))+1,"")</f>
        <v/>
      </c>
      <c r="T874" s="12">
        <f>IF(K874=1,'ORDENES'!$J870,"")</f>
        <v/>
      </c>
    </row>
    <row r="875">
      <c r="K875" s="3">
        <f>IF(AND(IF($B$3="(todos)",TRUE,'ORDENES'!$O871=$B$3),IF($D$3="(todos)",TRUE,'ORDENES'!$AF871=$D$3),IF($F$3="(todos)",TRUE,'ORDENES'!$X871=$F$3),IF($H$3="(todos)",TRUE,'ORDENES'!$W871=$H$3),'ORDENES'!$AD871=TRUE,'ORDENES'!$A871&lt;&gt;""),1,0)</f>
        <v/>
      </c>
      <c r="L875" s="3">
        <f>IF(K875=1,IFERROR(MATCH('ORDENES'!$R871,lista_dias,0),9)*1000000000+IFERROR(MATCH('ORDENES'!$AF871,lista_turnos,0),9)*10000000+IFERROR(MATCH('ORDENES'!$AE871,tblTecnicos[nombre],0),99)*100000+868,9000000000000+868)</f>
        <v/>
      </c>
      <c r="M875" s="3">
        <f>IF(K875=1,SUMPRODUCT(--($L$8:$L$1207&lt;L875))+1,"")</f>
        <v/>
      </c>
      <c r="N875" s="17">
        <f>IF(K875=1,N('ORDENES'!$M871),0)</f>
        <v/>
      </c>
      <c r="O875" s="17">
        <f>IF('ORDENES'!$T871="preventiva",N875,0)</f>
        <v/>
      </c>
      <c r="P875" s="17">
        <f>IF('ORDENES'!$T871="correctiva",N875,0)</f>
        <v/>
      </c>
      <c r="Q875" s="3">
        <f>IF(AND(K875=1,'ORDENES'!$N871="Pendiente"),1,0)</f>
        <v/>
      </c>
      <c r="R875" s="3">
        <f>IF(Q875=1,100000-N875*1000+868*0.01,9000000000000+868)</f>
        <v/>
      </c>
      <c r="S875" s="3">
        <f>IF(Q875=1,SUMPRODUCT(--($R$8:$R$1207&lt;R875))+1,"")</f>
        <v/>
      </c>
      <c r="T875" s="12">
        <f>IF(K875=1,'ORDENES'!$J871,"")</f>
        <v/>
      </c>
    </row>
    <row r="876">
      <c r="K876" s="3">
        <f>IF(AND(IF($B$3="(todos)",TRUE,'ORDENES'!$O872=$B$3),IF($D$3="(todos)",TRUE,'ORDENES'!$AF872=$D$3),IF($F$3="(todos)",TRUE,'ORDENES'!$X872=$F$3),IF($H$3="(todos)",TRUE,'ORDENES'!$W872=$H$3),'ORDENES'!$AD872=TRUE,'ORDENES'!$A872&lt;&gt;""),1,0)</f>
        <v/>
      </c>
      <c r="L876" s="3">
        <f>IF(K876=1,IFERROR(MATCH('ORDENES'!$R872,lista_dias,0),9)*1000000000+IFERROR(MATCH('ORDENES'!$AF872,lista_turnos,0),9)*10000000+IFERROR(MATCH('ORDENES'!$AE872,tblTecnicos[nombre],0),99)*100000+869,9000000000000+869)</f>
        <v/>
      </c>
      <c r="M876" s="3">
        <f>IF(K876=1,SUMPRODUCT(--($L$8:$L$1207&lt;L876))+1,"")</f>
        <v/>
      </c>
      <c r="N876" s="17">
        <f>IF(K876=1,N('ORDENES'!$M872),0)</f>
        <v/>
      </c>
      <c r="O876" s="17">
        <f>IF('ORDENES'!$T872="preventiva",N876,0)</f>
        <v/>
      </c>
      <c r="P876" s="17">
        <f>IF('ORDENES'!$T872="correctiva",N876,0)</f>
        <v/>
      </c>
      <c r="Q876" s="3">
        <f>IF(AND(K876=1,'ORDENES'!$N872="Pendiente"),1,0)</f>
        <v/>
      </c>
      <c r="R876" s="3">
        <f>IF(Q876=1,100000-N876*1000+869*0.01,9000000000000+869)</f>
        <v/>
      </c>
      <c r="S876" s="3">
        <f>IF(Q876=1,SUMPRODUCT(--($R$8:$R$1207&lt;R876))+1,"")</f>
        <v/>
      </c>
      <c r="T876" s="12">
        <f>IF(K876=1,'ORDENES'!$J872,"")</f>
        <v/>
      </c>
    </row>
    <row r="877">
      <c r="K877" s="3">
        <f>IF(AND(IF($B$3="(todos)",TRUE,'ORDENES'!$O873=$B$3),IF($D$3="(todos)",TRUE,'ORDENES'!$AF873=$D$3),IF($F$3="(todos)",TRUE,'ORDENES'!$X873=$F$3),IF($H$3="(todos)",TRUE,'ORDENES'!$W873=$H$3),'ORDENES'!$AD873=TRUE,'ORDENES'!$A873&lt;&gt;""),1,0)</f>
        <v/>
      </c>
      <c r="L877" s="3">
        <f>IF(K877=1,IFERROR(MATCH('ORDENES'!$R873,lista_dias,0),9)*1000000000+IFERROR(MATCH('ORDENES'!$AF873,lista_turnos,0),9)*10000000+IFERROR(MATCH('ORDENES'!$AE873,tblTecnicos[nombre],0),99)*100000+870,9000000000000+870)</f>
        <v/>
      </c>
      <c r="M877" s="3">
        <f>IF(K877=1,SUMPRODUCT(--($L$8:$L$1207&lt;L877))+1,"")</f>
        <v/>
      </c>
      <c r="N877" s="17">
        <f>IF(K877=1,N('ORDENES'!$M873),0)</f>
        <v/>
      </c>
      <c r="O877" s="17">
        <f>IF('ORDENES'!$T873="preventiva",N877,0)</f>
        <v/>
      </c>
      <c r="P877" s="17">
        <f>IF('ORDENES'!$T873="correctiva",N877,0)</f>
        <v/>
      </c>
      <c r="Q877" s="3">
        <f>IF(AND(K877=1,'ORDENES'!$N873="Pendiente"),1,0)</f>
        <v/>
      </c>
      <c r="R877" s="3">
        <f>IF(Q877=1,100000-N877*1000+870*0.01,9000000000000+870)</f>
        <v/>
      </c>
      <c r="S877" s="3">
        <f>IF(Q877=1,SUMPRODUCT(--($R$8:$R$1207&lt;R877))+1,"")</f>
        <v/>
      </c>
      <c r="T877" s="12">
        <f>IF(K877=1,'ORDENES'!$J873,"")</f>
        <v/>
      </c>
    </row>
    <row r="878">
      <c r="K878" s="3">
        <f>IF(AND(IF($B$3="(todos)",TRUE,'ORDENES'!$O874=$B$3),IF($D$3="(todos)",TRUE,'ORDENES'!$AF874=$D$3),IF($F$3="(todos)",TRUE,'ORDENES'!$X874=$F$3),IF($H$3="(todos)",TRUE,'ORDENES'!$W874=$H$3),'ORDENES'!$AD874=TRUE,'ORDENES'!$A874&lt;&gt;""),1,0)</f>
        <v/>
      </c>
      <c r="L878" s="3">
        <f>IF(K878=1,IFERROR(MATCH('ORDENES'!$R874,lista_dias,0),9)*1000000000+IFERROR(MATCH('ORDENES'!$AF874,lista_turnos,0),9)*10000000+IFERROR(MATCH('ORDENES'!$AE874,tblTecnicos[nombre],0),99)*100000+871,9000000000000+871)</f>
        <v/>
      </c>
      <c r="M878" s="3">
        <f>IF(K878=1,SUMPRODUCT(--($L$8:$L$1207&lt;L878))+1,"")</f>
        <v/>
      </c>
      <c r="N878" s="17">
        <f>IF(K878=1,N('ORDENES'!$M874),0)</f>
        <v/>
      </c>
      <c r="O878" s="17">
        <f>IF('ORDENES'!$T874="preventiva",N878,0)</f>
        <v/>
      </c>
      <c r="P878" s="17">
        <f>IF('ORDENES'!$T874="correctiva",N878,0)</f>
        <v/>
      </c>
      <c r="Q878" s="3">
        <f>IF(AND(K878=1,'ORDENES'!$N874="Pendiente"),1,0)</f>
        <v/>
      </c>
      <c r="R878" s="3">
        <f>IF(Q878=1,100000-N878*1000+871*0.01,9000000000000+871)</f>
        <v/>
      </c>
      <c r="S878" s="3">
        <f>IF(Q878=1,SUMPRODUCT(--($R$8:$R$1207&lt;R878))+1,"")</f>
        <v/>
      </c>
      <c r="T878" s="12">
        <f>IF(K878=1,'ORDENES'!$J874,"")</f>
        <v/>
      </c>
    </row>
    <row r="879">
      <c r="K879" s="3">
        <f>IF(AND(IF($B$3="(todos)",TRUE,'ORDENES'!$O875=$B$3),IF($D$3="(todos)",TRUE,'ORDENES'!$AF875=$D$3),IF($F$3="(todos)",TRUE,'ORDENES'!$X875=$F$3),IF($H$3="(todos)",TRUE,'ORDENES'!$W875=$H$3),'ORDENES'!$AD875=TRUE,'ORDENES'!$A875&lt;&gt;""),1,0)</f>
        <v/>
      </c>
      <c r="L879" s="3">
        <f>IF(K879=1,IFERROR(MATCH('ORDENES'!$R875,lista_dias,0),9)*1000000000+IFERROR(MATCH('ORDENES'!$AF875,lista_turnos,0),9)*10000000+IFERROR(MATCH('ORDENES'!$AE875,tblTecnicos[nombre],0),99)*100000+872,9000000000000+872)</f>
        <v/>
      </c>
      <c r="M879" s="3">
        <f>IF(K879=1,SUMPRODUCT(--($L$8:$L$1207&lt;L879))+1,"")</f>
        <v/>
      </c>
      <c r="N879" s="17">
        <f>IF(K879=1,N('ORDENES'!$M875),0)</f>
        <v/>
      </c>
      <c r="O879" s="17">
        <f>IF('ORDENES'!$T875="preventiva",N879,0)</f>
        <v/>
      </c>
      <c r="P879" s="17">
        <f>IF('ORDENES'!$T875="correctiva",N879,0)</f>
        <v/>
      </c>
      <c r="Q879" s="3">
        <f>IF(AND(K879=1,'ORDENES'!$N875="Pendiente"),1,0)</f>
        <v/>
      </c>
      <c r="R879" s="3">
        <f>IF(Q879=1,100000-N879*1000+872*0.01,9000000000000+872)</f>
        <v/>
      </c>
      <c r="S879" s="3">
        <f>IF(Q879=1,SUMPRODUCT(--($R$8:$R$1207&lt;R879))+1,"")</f>
        <v/>
      </c>
      <c r="T879" s="12">
        <f>IF(K879=1,'ORDENES'!$J875,"")</f>
        <v/>
      </c>
    </row>
    <row r="880">
      <c r="K880" s="3">
        <f>IF(AND(IF($B$3="(todos)",TRUE,'ORDENES'!$O876=$B$3),IF($D$3="(todos)",TRUE,'ORDENES'!$AF876=$D$3),IF($F$3="(todos)",TRUE,'ORDENES'!$X876=$F$3),IF($H$3="(todos)",TRUE,'ORDENES'!$W876=$H$3),'ORDENES'!$AD876=TRUE,'ORDENES'!$A876&lt;&gt;""),1,0)</f>
        <v/>
      </c>
      <c r="L880" s="3">
        <f>IF(K880=1,IFERROR(MATCH('ORDENES'!$R876,lista_dias,0),9)*1000000000+IFERROR(MATCH('ORDENES'!$AF876,lista_turnos,0),9)*10000000+IFERROR(MATCH('ORDENES'!$AE876,tblTecnicos[nombre],0),99)*100000+873,9000000000000+873)</f>
        <v/>
      </c>
      <c r="M880" s="3">
        <f>IF(K880=1,SUMPRODUCT(--($L$8:$L$1207&lt;L880))+1,"")</f>
        <v/>
      </c>
      <c r="N880" s="17">
        <f>IF(K880=1,N('ORDENES'!$M876),0)</f>
        <v/>
      </c>
      <c r="O880" s="17">
        <f>IF('ORDENES'!$T876="preventiva",N880,0)</f>
        <v/>
      </c>
      <c r="P880" s="17">
        <f>IF('ORDENES'!$T876="correctiva",N880,0)</f>
        <v/>
      </c>
      <c r="Q880" s="3">
        <f>IF(AND(K880=1,'ORDENES'!$N876="Pendiente"),1,0)</f>
        <v/>
      </c>
      <c r="R880" s="3">
        <f>IF(Q880=1,100000-N880*1000+873*0.01,9000000000000+873)</f>
        <v/>
      </c>
      <c r="S880" s="3">
        <f>IF(Q880=1,SUMPRODUCT(--($R$8:$R$1207&lt;R880))+1,"")</f>
        <v/>
      </c>
      <c r="T880" s="12">
        <f>IF(K880=1,'ORDENES'!$J876,"")</f>
        <v/>
      </c>
    </row>
    <row r="881">
      <c r="K881" s="3">
        <f>IF(AND(IF($B$3="(todos)",TRUE,'ORDENES'!$O877=$B$3),IF($D$3="(todos)",TRUE,'ORDENES'!$AF877=$D$3),IF($F$3="(todos)",TRUE,'ORDENES'!$X877=$F$3),IF($H$3="(todos)",TRUE,'ORDENES'!$W877=$H$3),'ORDENES'!$AD877=TRUE,'ORDENES'!$A877&lt;&gt;""),1,0)</f>
        <v/>
      </c>
      <c r="L881" s="3">
        <f>IF(K881=1,IFERROR(MATCH('ORDENES'!$R877,lista_dias,0),9)*1000000000+IFERROR(MATCH('ORDENES'!$AF877,lista_turnos,0),9)*10000000+IFERROR(MATCH('ORDENES'!$AE877,tblTecnicos[nombre],0),99)*100000+874,9000000000000+874)</f>
        <v/>
      </c>
      <c r="M881" s="3">
        <f>IF(K881=1,SUMPRODUCT(--($L$8:$L$1207&lt;L881))+1,"")</f>
        <v/>
      </c>
      <c r="N881" s="17">
        <f>IF(K881=1,N('ORDENES'!$M877),0)</f>
        <v/>
      </c>
      <c r="O881" s="17">
        <f>IF('ORDENES'!$T877="preventiva",N881,0)</f>
        <v/>
      </c>
      <c r="P881" s="17">
        <f>IF('ORDENES'!$T877="correctiva",N881,0)</f>
        <v/>
      </c>
      <c r="Q881" s="3">
        <f>IF(AND(K881=1,'ORDENES'!$N877="Pendiente"),1,0)</f>
        <v/>
      </c>
      <c r="R881" s="3">
        <f>IF(Q881=1,100000-N881*1000+874*0.01,9000000000000+874)</f>
        <v/>
      </c>
      <c r="S881" s="3">
        <f>IF(Q881=1,SUMPRODUCT(--($R$8:$R$1207&lt;R881))+1,"")</f>
        <v/>
      </c>
      <c r="T881" s="12">
        <f>IF(K881=1,'ORDENES'!$J877,"")</f>
        <v/>
      </c>
    </row>
    <row r="882">
      <c r="K882" s="3">
        <f>IF(AND(IF($B$3="(todos)",TRUE,'ORDENES'!$O878=$B$3),IF($D$3="(todos)",TRUE,'ORDENES'!$AF878=$D$3),IF($F$3="(todos)",TRUE,'ORDENES'!$X878=$F$3),IF($H$3="(todos)",TRUE,'ORDENES'!$W878=$H$3),'ORDENES'!$AD878=TRUE,'ORDENES'!$A878&lt;&gt;""),1,0)</f>
        <v/>
      </c>
      <c r="L882" s="3">
        <f>IF(K882=1,IFERROR(MATCH('ORDENES'!$R878,lista_dias,0),9)*1000000000+IFERROR(MATCH('ORDENES'!$AF878,lista_turnos,0),9)*10000000+IFERROR(MATCH('ORDENES'!$AE878,tblTecnicos[nombre],0),99)*100000+875,9000000000000+875)</f>
        <v/>
      </c>
      <c r="M882" s="3">
        <f>IF(K882=1,SUMPRODUCT(--($L$8:$L$1207&lt;L882))+1,"")</f>
        <v/>
      </c>
      <c r="N882" s="17">
        <f>IF(K882=1,N('ORDENES'!$M878),0)</f>
        <v/>
      </c>
      <c r="O882" s="17">
        <f>IF('ORDENES'!$T878="preventiva",N882,0)</f>
        <v/>
      </c>
      <c r="P882" s="17">
        <f>IF('ORDENES'!$T878="correctiva",N882,0)</f>
        <v/>
      </c>
      <c r="Q882" s="3">
        <f>IF(AND(K882=1,'ORDENES'!$N878="Pendiente"),1,0)</f>
        <v/>
      </c>
      <c r="R882" s="3">
        <f>IF(Q882=1,100000-N882*1000+875*0.01,9000000000000+875)</f>
        <v/>
      </c>
      <c r="S882" s="3">
        <f>IF(Q882=1,SUMPRODUCT(--($R$8:$R$1207&lt;R882))+1,"")</f>
        <v/>
      </c>
      <c r="T882" s="12">
        <f>IF(K882=1,'ORDENES'!$J878,"")</f>
        <v/>
      </c>
    </row>
    <row r="883">
      <c r="K883" s="3">
        <f>IF(AND(IF($B$3="(todos)",TRUE,'ORDENES'!$O879=$B$3),IF($D$3="(todos)",TRUE,'ORDENES'!$AF879=$D$3),IF($F$3="(todos)",TRUE,'ORDENES'!$X879=$F$3),IF($H$3="(todos)",TRUE,'ORDENES'!$W879=$H$3),'ORDENES'!$AD879=TRUE,'ORDENES'!$A879&lt;&gt;""),1,0)</f>
        <v/>
      </c>
      <c r="L883" s="3">
        <f>IF(K883=1,IFERROR(MATCH('ORDENES'!$R879,lista_dias,0),9)*1000000000+IFERROR(MATCH('ORDENES'!$AF879,lista_turnos,0),9)*10000000+IFERROR(MATCH('ORDENES'!$AE879,tblTecnicos[nombre],0),99)*100000+876,9000000000000+876)</f>
        <v/>
      </c>
      <c r="M883" s="3">
        <f>IF(K883=1,SUMPRODUCT(--($L$8:$L$1207&lt;L883))+1,"")</f>
        <v/>
      </c>
      <c r="N883" s="17">
        <f>IF(K883=1,N('ORDENES'!$M879),0)</f>
        <v/>
      </c>
      <c r="O883" s="17">
        <f>IF('ORDENES'!$T879="preventiva",N883,0)</f>
        <v/>
      </c>
      <c r="P883" s="17">
        <f>IF('ORDENES'!$T879="correctiva",N883,0)</f>
        <v/>
      </c>
      <c r="Q883" s="3">
        <f>IF(AND(K883=1,'ORDENES'!$N879="Pendiente"),1,0)</f>
        <v/>
      </c>
      <c r="R883" s="3">
        <f>IF(Q883=1,100000-N883*1000+876*0.01,9000000000000+876)</f>
        <v/>
      </c>
      <c r="S883" s="3">
        <f>IF(Q883=1,SUMPRODUCT(--($R$8:$R$1207&lt;R883))+1,"")</f>
        <v/>
      </c>
      <c r="T883" s="12">
        <f>IF(K883=1,'ORDENES'!$J879,"")</f>
        <v/>
      </c>
    </row>
    <row r="884">
      <c r="K884" s="3">
        <f>IF(AND(IF($B$3="(todos)",TRUE,'ORDENES'!$O880=$B$3),IF($D$3="(todos)",TRUE,'ORDENES'!$AF880=$D$3),IF($F$3="(todos)",TRUE,'ORDENES'!$X880=$F$3),IF($H$3="(todos)",TRUE,'ORDENES'!$W880=$H$3),'ORDENES'!$AD880=TRUE,'ORDENES'!$A880&lt;&gt;""),1,0)</f>
        <v/>
      </c>
      <c r="L884" s="3">
        <f>IF(K884=1,IFERROR(MATCH('ORDENES'!$R880,lista_dias,0),9)*1000000000+IFERROR(MATCH('ORDENES'!$AF880,lista_turnos,0),9)*10000000+IFERROR(MATCH('ORDENES'!$AE880,tblTecnicos[nombre],0),99)*100000+877,9000000000000+877)</f>
        <v/>
      </c>
      <c r="M884" s="3">
        <f>IF(K884=1,SUMPRODUCT(--($L$8:$L$1207&lt;L884))+1,"")</f>
        <v/>
      </c>
      <c r="N884" s="17">
        <f>IF(K884=1,N('ORDENES'!$M880),0)</f>
        <v/>
      </c>
      <c r="O884" s="17">
        <f>IF('ORDENES'!$T880="preventiva",N884,0)</f>
        <v/>
      </c>
      <c r="P884" s="17">
        <f>IF('ORDENES'!$T880="correctiva",N884,0)</f>
        <v/>
      </c>
      <c r="Q884" s="3">
        <f>IF(AND(K884=1,'ORDENES'!$N880="Pendiente"),1,0)</f>
        <v/>
      </c>
      <c r="R884" s="3">
        <f>IF(Q884=1,100000-N884*1000+877*0.01,9000000000000+877)</f>
        <v/>
      </c>
      <c r="S884" s="3">
        <f>IF(Q884=1,SUMPRODUCT(--($R$8:$R$1207&lt;R884))+1,"")</f>
        <v/>
      </c>
      <c r="T884" s="12">
        <f>IF(K884=1,'ORDENES'!$J880,"")</f>
        <v/>
      </c>
    </row>
    <row r="885">
      <c r="K885" s="3">
        <f>IF(AND(IF($B$3="(todos)",TRUE,'ORDENES'!$O881=$B$3),IF($D$3="(todos)",TRUE,'ORDENES'!$AF881=$D$3),IF($F$3="(todos)",TRUE,'ORDENES'!$X881=$F$3),IF($H$3="(todos)",TRUE,'ORDENES'!$W881=$H$3),'ORDENES'!$AD881=TRUE,'ORDENES'!$A881&lt;&gt;""),1,0)</f>
        <v/>
      </c>
      <c r="L885" s="3">
        <f>IF(K885=1,IFERROR(MATCH('ORDENES'!$R881,lista_dias,0),9)*1000000000+IFERROR(MATCH('ORDENES'!$AF881,lista_turnos,0),9)*10000000+IFERROR(MATCH('ORDENES'!$AE881,tblTecnicos[nombre],0),99)*100000+878,9000000000000+878)</f>
        <v/>
      </c>
      <c r="M885" s="3">
        <f>IF(K885=1,SUMPRODUCT(--($L$8:$L$1207&lt;L885))+1,"")</f>
        <v/>
      </c>
      <c r="N885" s="17">
        <f>IF(K885=1,N('ORDENES'!$M881),0)</f>
        <v/>
      </c>
      <c r="O885" s="17">
        <f>IF('ORDENES'!$T881="preventiva",N885,0)</f>
        <v/>
      </c>
      <c r="P885" s="17">
        <f>IF('ORDENES'!$T881="correctiva",N885,0)</f>
        <v/>
      </c>
      <c r="Q885" s="3">
        <f>IF(AND(K885=1,'ORDENES'!$N881="Pendiente"),1,0)</f>
        <v/>
      </c>
      <c r="R885" s="3">
        <f>IF(Q885=1,100000-N885*1000+878*0.01,9000000000000+878)</f>
        <v/>
      </c>
      <c r="S885" s="3">
        <f>IF(Q885=1,SUMPRODUCT(--($R$8:$R$1207&lt;R885))+1,"")</f>
        <v/>
      </c>
      <c r="T885" s="12">
        <f>IF(K885=1,'ORDENES'!$J881,"")</f>
        <v/>
      </c>
    </row>
    <row r="886">
      <c r="K886" s="3">
        <f>IF(AND(IF($B$3="(todos)",TRUE,'ORDENES'!$O882=$B$3),IF($D$3="(todos)",TRUE,'ORDENES'!$AF882=$D$3),IF($F$3="(todos)",TRUE,'ORDENES'!$X882=$F$3),IF($H$3="(todos)",TRUE,'ORDENES'!$W882=$H$3),'ORDENES'!$AD882=TRUE,'ORDENES'!$A882&lt;&gt;""),1,0)</f>
        <v/>
      </c>
      <c r="L886" s="3">
        <f>IF(K886=1,IFERROR(MATCH('ORDENES'!$R882,lista_dias,0),9)*1000000000+IFERROR(MATCH('ORDENES'!$AF882,lista_turnos,0),9)*10000000+IFERROR(MATCH('ORDENES'!$AE882,tblTecnicos[nombre],0),99)*100000+879,9000000000000+879)</f>
        <v/>
      </c>
      <c r="M886" s="3">
        <f>IF(K886=1,SUMPRODUCT(--($L$8:$L$1207&lt;L886))+1,"")</f>
        <v/>
      </c>
      <c r="N886" s="17">
        <f>IF(K886=1,N('ORDENES'!$M882),0)</f>
        <v/>
      </c>
      <c r="O886" s="17">
        <f>IF('ORDENES'!$T882="preventiva",N886,0)</f>
        <v/>
      </c>
      <c r="P886" s="17">
        <f>IF('ORDENES'!$T882="correctiva",N886,0)</f>
        <v/>
      </c>
      <c r="Q886" s="3">
        <f>IF(AND(K886=1,'ORDENES'!$N882="Pendiente"),1,0)</f>
        <v/>
      </c>
      <c r="R886" s="3">
        <f>IF(Q886=1,100000-N886*1000+879*0.01,9000000000000+879)</f>
        <v/>
      </c>
      <c r="S886" s="3">
        <f>IF(Q886=1,SUMPRODUCT(--($R$8:$R$1207&lt;R886))+1,"")</f>
        <v/>
      </c>
      <c r="T886" s="12">
        <f>IF(K886=1,'ORDENES'!$J882,"")</f>
        <v/>
      </c>
    </row>
    <row r="887">
      <c r="K887" s="3">
        <f>IF(AND(IF($B$3="(todos)",TRUE,'ORDENES'!$O883=$B$3),IF($D$3="(todos)",TRUE,'ORDENES'!$AF883=$D$3),IF($F$3="(todos)",TRUE,'ORDENES'!$X883=$F$3),IF($H$3="(todos)",TRUE,'ORDENES'!$W883=$H$3),'ORDENES'!$AD883=TRUE,'ORDENES'!$A883&lt;&gt;""),1,0)</f>
        <v/>
      </c>
      <c r="L887" s="3">
        <f>IF(K887=1,IFERROR(MATCH('ORDENES'!$R883,lista_dias,0),9)*1000000000+IFERROR(MATCH('ORDENES'!$AF883,lista_turnos,0),9)*10000000+IFERROR(MATCH('ORDENES'!$AE883,tblTecnicos[nombre],0),99)*100000+880,9000000000000+880)</f>
        <v/>
      </c>
      <c r="M887" s="3">
        <f>IF(K887=1,SUMPRODUCT(--($L$8:$L$1207&lt;L887))+1,"")</f>
        <v/>
      </c>
      <c r="N887" s="17">
        <f>IF(K887=1,N('ORDENES'!$M883),0)</f>
        <v/>
      </c>
      <c r="O887" s="17">
        <f>IF('ORDENES'!$T883="preventiva",N887,0)</f>
        <v/>
      </c>
      <c r="P887" s="17">
        <f>IF('ORDENES'!$T883="correctiva",N887,0)</f>
        <v/>
      </c>
      <c r="Q887" s="3">
        <f>IF(AND(K887=1,'ORDENES'!$N883="Pendiente"),1,0)</f>
        <v/>
      </c>
      <c r="R887" s="3">
        <f>IF(Q887=1,100000-N887*1000+880*0.01,9000000000000+880)</f>
        <v/>
      </c>
      <c r="S887" s="3">
        <f>IF(Q887=1,SUMPRODUCT(--($R$8:$R$1207&lt;R887))+1,"")</f>
        <v/>
      </c>
      <c r="T887" s="12">
        <f>IF(K887=1,'ORDENES'!$J883,"")</f>
        <v/>
      </c>
    </row>
    <row r="888">
      <c r="K888" s="3">
        <f>IF(AND(IF($B$3="(todos)",TRUE,'ORDENES'!$O884=$B$3),IF($D$3="(todos)",TRUE,'ORDENES'!$AF884=$D$3),IF($F$3="(todos)",TRUE,'ORDENES'!$X884=$F$3),IF($H$3="(todos)",TRUE,'ORDENES'!$W884=$H$3),'ORDENES'!$AD884=TRUE,'ORDENES'!$A884&lt;&gt;""),1,0)</f>
        <v/>
      </c>
      <c r="L888" s="3">
        <f>IF(K888=1,IFERROR(MATCH('ORDENES'!$R884,lista_dias,0),9)*1000000000+IFERROR(MATCH('ORDENES'!$AF884,lista_turnos,0),9)*10000000+IFERROR(MATCH('ORDENES'!$AE884,tblTecnicos[nombre],0),99)*100000+881,9000000000000+881)</f>
        <v/>
      </c>
      <c r="M888" s="3">
        <f>IF(K888=1,SUMPRODUCT(--($L$8:$L$1207&lt;L888))+1,"")</f>
        <v/>
      </c>
      <c r="N888" s="17">
        <f>IF(K888=1,N('ORDENES'!$M884),0)</f>
        <v/>
      </c>
      <c r="O888" s="17">
        <f>IF('ORDENES'!$T884="preventiva",N888,0)</f>
        <v/>
      </c>
      <c r="P888" s="17">
        <f>IF('ORDENES'!$T884="correctiva",N888,0)</f>
        <v/>
      </c>
      <c r="Q888" s="3">
        <f>IF(AND(K888=1,'ORDENES'!$N884="Pendiente"),1,0)</f>
        <v/>
      </c>
      <c r="R888" s="3">
        <f>IF(Q888=1,100000-N888*1000+881*0.01,9000000000000+881)</f>
        <v/>
      </c>
      <c r="S888" s="3">
        <f>IF(Q888=1,SUMPRODUCT(--($R$8:$R$1207&lt;R888))+1,"")</f>
        <v/>
      </c>
      <c r="T888" s="12">
        <f>IF(K888=1,'ORDENES'!$J884,"")</f>
        <v/>
      </c>
    </row>
    <row r="889">
      <c r="K889" s="3">
        <f>IF(AND(IF($B$3="(todos)",TRUE,'ORDENES'!$O885=$B$3),IF($D$3="(todos)",TRUE,'ORDENES'!$AF885=$D$3),IF($F$3="(todos)",TRUE,'ORDENES'!$X885=$F$3),IF($H$3="(todos)",TRUE,'ORDENES'!$W885=$H$3),'ORDENES'!$AD885=TRUE,'ORDENES'!$A885&lt;&gt;""),1,0)</f>
        <v/>
      </c>
      <c r="L889" s="3">
        <f>IF(K889=1,IFERROR(MATCH('ORDENES'!$R885,lista_dias,0),9)*1000000000+IFERROR(MATCH('ORDENES'!$AF885,lista_turnos,0),9)*10000000+IFERROR(MATCH('ORDENES'!$AE885,tblTecnicos[nombre],0),99)*100000+882,9000000000000+882)</f>
        <v/>
      </c>
      <c r="M889" s="3">
        <f>IF(K889=1,SUMPRODUCT(--($L$8:$L$1207&lt;L889))+1,"")</f>
        <v/>
      </c>
      <c r="N889" s="17">
        <f>IF(K889=1,N('ORDENES'!$M885),0)</f>
        <v/>
      </c>
      <c r="O889" s="17">
        <f>IF('ORDENES'!$T885="preventiva",N889,0)</f>
        <v/>
      </c>
      <c r="P889" s="17">
        <f>IF('ORDENES'!$T885="correctiva",N889,0)</f>
        <v/>
      </c>
      <c r="Q889" s="3">
        <f>IF(AND(K889=1,'ORDENES'!$N885="Pendiente"),1,0)</f>
        <v/>
      </c>
      <c r="R889" s="3">
        <f>IF(Q889=1,100000-N889*1000+882*0.01,9000000000000+882)</f>
        <v/>
      </c>
      <c r="S889" s="3">
        <f>IF(Q889=1,SUMPRODUCT(--($R$8:$R$1207&lt;R889))+1,"")</f>
        <v/>
      </c>
      <c r="T889" s="12">
        <f>IF(K889=1,'ORDENES'!$J885,"")</f>
        <v/>
      </c>
    </row>
    <row r="890">
      <c r="K890" s="3">
        <f>IF(AND(IF($B$3="(todos)",TRUE,'ORDENES'!$O886=$B$3),IF($D$3="(todos)",TRUE,'ORDENES'!$AF886=$D$3),IF($F$3="(todos)",TRUE,'ORDENES'!$X886=$F$3),IF($H$3="(todos)",TRUE,'ORDENES'!$W886=$H$3),'ORDENES'!$AD886=TRUE,'ORDENES'!$A886&lt;&gt;""),1,0)</f>
        <v/>
      </c>
      <c r="L890" s="3">
        <f>IF(K890=1,IFERROR(MATCH('ORDENES'!$R886,lista_dias,0),9)*1000000000+IFERROR(MATCH('ORDENES'!$AF886,lista_turnos,0),9)*10000000+IFERROR(MATCH('ORDENES'!$AE886,tblTecnicos[nombre],0),99)*100000+883,9000000000000+883)</f>
        <v/>
      </c>
      <c r="M890" s="3">
        <f>IF(K890=1,SUMPRODUCT(--($L$8:$L$1207&lt;L890))+1,"")</f>
        <v/>
      </c>
      <c r="N890" s="17">
        <f>IF(K890=1,N('ORDENES'!$M886),0)</f>
        <v/>
      </c>
      <c r="O890" s="17">
        <f>IF('ORDENES'!$T886="preventiva",N890,0)</f>
        <v/>
      </c>
      <c r="P890" s="17">
        <f>IF('ORDENES'!$T886="correctiva",N890,0)</f>
        <v/>
      </c>
      <c r="Q890" s="3">
        <f>IF(AND(K890=1,'ORDENES'!$N886="Pendiente"),1,0)</f>
        <v/>
      </c>
      <c r="R890" s="3">
        <f>IF(Q890=1,100000-N890*1000+883*0.01,9000000000000+883)</f>
        <v/>
      </c>
      <c r="S890" s="3">
        <f>IF(Q890=1,SUMPRODUCT(--($R$8:$R$1207&lt;R890))+1,"")</f>
        <v/>
      </c>
      <c r="T890" s="12">
        <f>IF(K890=1,'ORDENES'!$J886,"")</f>
        <v/>
      </c>
    </row>
    <row r="891">
      <c r="K891" s="3">
        <f>IF(AND(IF($B$3="(todos)",TRUE,'ORDENES'!$O887=$B$3),IF($D$3="(todos)",TRUE,'ORDENES'!$AF887=$D$3),IF($F$3="(todos)",TRUE,'ORDENES'!$X887=$F$3),IF($H$3="(todos)",TRUE,'ORDENES'!$W887=$H$3),'ORDENES'!$AD887=TRUE,'ORDENES'!$A887&lt;&gt;""),1,0)</f>
        <v/>
      </c>
      <c r="L891" s="3">
        <f>IF(K891=1,IFERROR(MATCH('ORDENES'!$R887,lista_dias,0),9)*1000000000+IFERROR(MATCH('ORDENES'!$AF887,lista_turnos,0),9)*10000000+IFERROR(MATCH('ORDENES'!$AE887,tblTecnicos[nombre],0),99)*100000+884,9000000000000+884)</f>
        <v/>
      </c>
      <c r="M891" s="3">
        <f>IF(K891=1,SUMPRODUCT(--($L$8:$L$1207&lt;L891))+1,"")</f>
        <v/>
      </c>
      <c r="N891" s="17">
        <f>IF(K891=1,N('ORDENES'!$M887),0)</f>
        <v/>
      </c>
      <c r="O891" s="17">
        <f>IF('ORDENES'!$T887="preventiva",N891,0)</f>
        <v/>
      </c>
      <c r="P891" s="17">
        <f>IF('ORDENES'!$T887="correctiva",N891,0)</f>
        <v/>
      </c>
      <c r="Q891" s="3">
        <f>IF(AND(K891=1,'ORDENES'!$N887="Pendiente"),1,0)</f>
        <v/>
      </c>
      <c r="R891" s="3">
        <f>IF(Q891=1,100000-N891*1000+884*0.01,9000000000000+884)</f>
        <v/>
      </c>
      <c r="S891" s="3">
        <f>IF(Q891=1,SUMPRODUCT(--($R$8:$R$1207&lt;R891))+1,"")</f>
        <v/>
      </c>
      <c r="T891" s="12">
        <f>IF(K891=1,'ORDENES'!$J887,"")</f>
        <v/>
      </c>
    </row>
    <row r="892">
      <c r="K892" s="3">
        <f>IF(AND(IF($B$3="(todos)",TRUE,'ORDENES'!$O888=$B$3),IF($D$3="(todos)",TRUE,'ORDENES'!$AF888=$D$3),IF($F$3="(todos)",TRUE,'ORDENES'!$X888=$F$3),IF($H$3="(todos)",TRUE,'ORDENES'!$W888=$H$3),'ORDENES'!$AD888=TRUE,'ORDENES'!$A888&lt;&gt;""),1,0)</f>
        <v/>
      </c>
      <c r="L892" s="3">
        <f>IF(K892=1,IFERROR(MATCH('ORDENES'!$R888,lista_dias,0),9)*1000000000+IFERROR(MATCH('ORDENES'!$AF888,lista_turnos,0),9)*10000000+IFERROR(MATCH('ORDENES'!$AE888,tblTecnicos[nombre],0),99)*100000+885,9000000000000+885)</f>
        <v/>
      </c>
      <c r="M892" s="3">
        <f>IF(K892=1,SUMPRODUCT(--($L$8:$L$1207&lt;L892))+1,"")</f>
        <v/>
      </c>
      <c r="N892" s="17">
        <f>IF(K892=1,N('ORDENES'!$M888),0)</f>
        <v/>
      </c>
      <c r="O892" s="17">
        <f>IF('ORDENES'!$T888="preventiva",N892,0)</f>
        <v/>
      </c>
      <c r="P892" s="17">
        <f>IF('ORDENES'!$T888="correctiva",N892,0)</f>
        <v/>
      </c>
      <c r="Q892" s="3">
        <f>IF(AND(K892=1,'ORDENES'!$N888="Pendiente"),1,0)</f>
        <v/>
      </c>
      <c r="R892" s="3">
        <f>IF(Q892=1,100000-N892*1000+885*0.01,9000000000000+885)</f>
        <v/>
      </c>
      <c r="S892" s="3">
        <f>IF(Q892=1,SUMPRODUCT(--($R$8:$R$1207&lt;R892))+1,"")</f>
        <v/>
      </c>
      <c r="T892" s="12">
        <f>IF(K892=1,'ORDENES'!$J888,"")</f>
        <v/>
      </c>
    </row>
    <row r="893">
      <c r="K893" s="3">
        <f>IF(AND(IF($B$3="(todos)",TRUE,'ORDENES'!$O889=$B$3),IF($D$3="(todos)",TRUE,'ORDENES'!$AF889=$D$3),IF($F$3="(todos)",TRUE,'ORDENES'!$X889=$F$3),IF($H$3="(todos)",TRUE,'ORDENES'!$W889=$H$3),'ORDENES'!$AD889=TRUE,'ORDENES'!$A889&lt;&gt;""),1,0)</f>
        <v/>
      </c>
      <c r="L893" s="3">
        <f>IF(K893=1,IFERROR(MATCH('ORDENES'!$R889,lista_dias,0),9)*1000000000+IFERROR(MATCH('ORDENES'!$AF889,lista_turnos,0),9)*10000000+IFERROR(MATCH('ORDENES'!$AE889,tblTecnicos[nombre],0),99)*100000+886,9000000000000+886)</f>
        <v/>
      </c>
      <c r="M893" s="3">
        <f>IF(K893=1,SUMPRODUCT(--($L$8:$L$1207&lt;L893))+1,"")</f>
        <v/>
      </c>
      <c r="N893" s="17">
        <f>IF(K893=1,N('ORDENES'!$M889),0)</f>
        <v/>
      </c>
      <c r="O893" s="17">
        <f>IF('ORDENES'!$T889="preventiva",N893,0)</f>
        <v/>
      </c>
      <c r="P893" s="17">
        <f>IF('ORDENES'!$T889="correctiva",N893,0)</f>
        <v/>
      </c>
      <c r="Q893" s="3">
        <f>IF(AND(K893=1,'ORDENES'!$N889="Pendiente"),1,0)</f>
        <v/>
      </c>
      <c r="R893" s="3">
        <f>IF(Q893=1,100000-N893*1000+886*0.01,9000000000000+886)</f>
        <v/>
      </c>
      <c r="S893" s="3">
        <f>IF(Q893=1,SUMPRODUCT(--($R$8:$R$1207&lt;R893))+1,"")</f>
        <v/>
      </c>
      <c r="T893" s="12">
        <f>IF(K893=1,'ORDENES'!$J889,"")</f>
        <v/>
      </c>
    </row>
    <row r="894">
      <c r="K894" s="3">
        <f>IF(AND(IF($B$3="(todos)",TRUE,'ORDENES'!$O890=$B$3),IF($D$3="(todos)",TRUE,'ORDENES'!$AF890=$D$3),IF($F$3="(todos)",TRUE,'ORDENES'!$X890=$F$3),IF($H$3="(todos)",TRUE,'ORDENES'!$W890=$H$3),'ORDENES'!$AD890=TRUE,'ORDENES'!$A890&lt;&gt;""),1,0)</f>
        <v/>
      </c>
      <c r="L894" s="3">
        <f>IF(K894=1,IFERROR(MATCH('ORDENES'!$R890,lista_dias,0),9)*1000000000+IFERROR(MATCH('ORDENES'!$AF890,lista_turnos,0),9)*10000000+IFERROR(MATCH('ORDENES'!$AE890,tblTecnicos[nombre],0),99)*100000+887,9000000000000+887)</f>
        <v/>
      </c>
      <c r="M894" s="3">
        <f>IF(K894=1,SUMPRODUCT(--($L$8:$L$1207&lt;L894))+1,"")</f>
        <v/>
      </c>
      <c r="N894" s="17">
        <f>IF(K894=1,N('ORDENES'!$M890),0)</f>
        <v/>
      </c>
      <c r="O894" s="17">
        <f>IF('ORDENES'!$T890="preventiva",N894,0)</f>
        <v/>
      </c>
      <c r="P894" s="17">
        <f>IF('ORDENES'!$T890="correctiva",N894,0)</f>
        <v/>
      </c>
      <c r="Q894" s="3">
        <f>IF(AND(K894=1,'ORDENES'!$N890="Pendiente"),1,0)</f>
        <v/>
      </c>
      <c r="R894" s="3">
        <f>IF(Q894=1,100000-N894*1000+887*0.01,9000000000000+887)</f>
        <v/>
      </c>
      <c r="S894" s="3">
        <f>IF(Q894=1,SUMPRODUCT(--($R$8:$R$1207&lt;R894))+1,"")</f>
        <v/>
      </c>
      <c r="T894" s="12">
        <f>IF(K894=1,'ORDENES'!$J890,"")</f>
        <v/>
      </c>
    </row>
    <row r="895">
      <c r="K895" s="3">
        <f>IF(AND(IF($B$3="(todos)",TRUE,'ORDENES'!$O891=$B$3),IF($D$3="(todos)",TRUE,'ORDENES'!$AF891=$D$3),IF($F$3="(todos)",TRUE,'ORDENES'!$X891=$F$3),IF($H$3="(todos)",TRUE,'ORDENES'!$W891=$H$3),'ORDENES'!$AD891=TRUE,'ORDENES'!$A891&lt;&gt;""),1,0)</f>
        <v/>
      </c>
      <c r="L895" s="3">
        <f>IF(K895=1,IFERROR(MATCH('ORDENES'!$R891,lista_dias,0),9)*1000000000+IFERROR(MATCH('ORDENES'!$AF891,lista_turnos,0),9)*10000000+IFERROR(MATCH('ORDENES'!$AE891,tblTecnicos[nombre],0),99)*100000+888,9000000000000+888)</f>
        <v/>
      </c>
      <c r="M895" s="3">
        <f>IF(K895=1,SUMPRODUCT(--($L$8:$L$1207&lt;L895))+1,"")</f>
        <v/>
      </c>
      <c r="N895" s="17">
        <f>IF(K895=1,N('ORDENES'!$M891),0)</f>
        <v/>
      </c>
      <c r="O895" s="17">
        <f>IF('ORDENES'!$T891="preventiva",N895,0)</f>
        <v/>
      </c>
      <c r="P895" s="17">
        <f>IF('ORDENES'!$T891="correctiva",N895,0)</f>
        <v/>
      </c>
      <c r="Q895" s="3">
        <f>IF(AND(K895=1,'ORDENES'!$N891="Pendiente"),1,0)</f>
        <v/>
      </c>
      <c r="R895" s="3">
        <f>IF(Q895=1,100000-N895*1000+888*0.01,9000000000000+888)</f>
        <v/>
      </c>
      <c r="S895" s="3">
        <f>IF(Q895=1,SUMPRODUCT(--($R$8:$R$1207&lt;R895))+1,"")</f>
        <v/>
      </c>
      <c r="T895" s="12">
        <f>IF(K895=1,'ORDENES'!$J891,"")</f>
        <v/>
      </c>
    </row>
    <row r="896">
      <c r="K896" s="3">
        <f>IF(AND(IF($B$3="(todos)",TRUE,'ORDENES'!$O892=$B$3),IF($D$3="(todos)",TRUE,'ORDENES'!$AF892=$D$3),IF($F$3="(todos)",TRUE,'ORDENES'!$X892=$F$3),IF($H$3="(todos)",TRUE,'ORDENES'!$W892=$H$3),'ORDENES'!$AD892=TRUE,'ORDENES'!$A892&lt;&gt;""),1,0)</f>
        <v/>
      </c>
      <c r="L896" s="3">
        <f>IF(K896=1,IFERROR(MATCH('ORDENES'!$R892,lista_dias,0),9)*1000000000+IFERROR(MATCH('ORDENES'!$AF892,lista_turnos,0),9)*10000000+IFERROR(MATCH('ORDENES'!$AE892,tblTecnicos[nombre],0),99)*100000+889,9000000000000+889)</f>
        <v/>
      </c>
      <c r="M896" s="3">
        <f>IF(K896=1,SUMPRODUCT(--($L$8:$L$1207&lt;L896))+1,"")</f>
        <v/>
      </c>
      <c r="N896" s="17">
        <f>IF(K896=1,N('ORDENES'!$M892),0)</f>
        <v/>
      </c>
      <c r="O896" s="17">
        <f>IF('ORDENES'!$T892="preventiva",N896,0)</f>
        <v/>
      </c>
      <c r="P896" s="17">
        <f>IF('ORDENES'!$T892="correctiva",N896,0)</f>
        <v/>
      </c>
      <c r="Q896" s="3">
        <f>IF(AND(K896=1,'ORDENES'!$N892="Pendiente"),1,0)</f>
        <v/>
      </c>
      <c r="R896" s="3">
        <f>IF(Q896=1,100000-N896*1000+889*0.01,9000000000000+889)</f>
        <v/>
      </c>
      <c r="S896" s="3">
        <f>IF(Q896=1,SUMPRODUCT(--($R$8:$R$1207&lt;R896))+1,"")</f>
        <v/>
      </c>
      <c r="T896" s="12">
        <f>IF(K896=1,'ORDENES'!$J892,"")</f>
        <v/>
      </c>
    </row>
    <row r="897">
      <c r="K897" s="3">
        <f>IF(AND(IF($B$3="(todos)",TRUE,'ORDENES'!$O893=$B$3),IF($D$3="(todos)",TRUE,'ORDENES'!$AF893=$D$3),IF($F$3="(todos)",TRUE,'ORDENES'!$X893=$F$3),IF($H$3="(todos)",TRUE,'ORDENES'!$W893=$H$3),'ORDENES'!$AD893=TRUE,'ORDENES'!$A893&lt;&gt;""),1,0)</f>
        <v/>
      </c>
      <c r="L897" s="3">
        <f>IF(K897=1,IFERROR(MATCH('ORDENES'!$R893,lista_dias,0),9)*1000000000+IFERROR(MATCH('ORDENES'!$AF893,lista_turnos,0),9)*10000000+IFERROR(MATCH('ORDENES'!$AE893,tblTecnicos[nombre],0),99)*100000+890,9000000000000+890)</f>
        <v/>
      </c>
      <c r="M897" s="3">
        <f>IF(K897=1,SUMPRODUCT(--($L$8:$L$1207&lt;L897))+1,"")</f>
        <v/>
      </c>
      <c r="N897" s="17">
        <f>IF(K897=1,N('ORDENES'!$M893),0)</f>
        <v/>
      </c>
      <c r="O897" s="17">
        <f>IF('ORDENES'!$T893="preventiva",N897,0)</f>
        <v/>
      </c>
      <c r="P897" s="17">
        <f>IF('ORDENES'!$T893="correctiva",N897,0)</f>
        <v/>
      </c>
      <c r="Q897" s="3">
        <f>IF(AND(K897=1,'ORDENES'!$N893="Pendiente"),1,0)</f>
        <v/>
      </c>
      <c r="R897" s="3">
        <f>IF(Q897=1,100000-N897*1000+890*0.01,9000000000000+890)</f>
        <v/>
      </c>
      <c r="S897" s="3">
        <f>IF(Q897=1,SUMPRODUCT(--($R$8:$R$1207&lt;R897))+1,"")</f>
        <v/>
      </c>
      <c r="T897" s="12">
        <f>IF(K897=1,'ORDENES'!$J893,"")</f>
        <v/>
      </c>
    </row>
    <row r="898">
      <c r="K898" s="3">
        <f>IF(AND(IF($B$3="(todos)",TRUE,'ORDENES'!$O894=$B$3),IF($D$3="(todos)",TRUE,'ORDENES'!$AF894=$D$3),IF($F$3="(todos)",TRUE,'ORDENES'!$X894=$F$3),IF($H$3="(todos)",TRUE,'ORDENES'!$W894=$H$3),'ORDENES'!$AD894=TRUE,'ORDENES'!$A894&lt;&gt;""),1,0)</f>
        <v/>
      </c>
      <c r="L898" s="3">
        <f>IF(K898=1,IFERROR(MATCH('ORDENES'!$R894,lista_dias,0),9)*1000000000+IFERROR(MATCH('ORDENES'!$AF894,lista_turnos,0),9)*10000000+IFERROR(MATCH('ORDENES'!$AE894,tblTecnicos[nombre],0),99)*100000+891,9000000000000+891)</f>
        <v/>
      </c>
      <c r="M898" s="3">
        <f>IF(K898=1,SUMPRODUCT(--($L$8:$L$1207&lt;L898))+1,"")</f>
        <v/>
      </c>
      <c r="N898" s="17">
        <f>IF(K898=1,N('ORDENES'!$M894),0)</f>
        <v/>
      </c>
      <c r="O898" s="17">
        <f>IF('ORDENES'!$T894="preventiva",N898,0)</f>
        <v/>
      </c>
      <c r="P898" s="17">
        <f>IF('ORDENES'!$T894="correctiva",N898,0)</f>
        <v/>
      </c>
      <c r="Q898" s="3">
        <f>IF(AND(K898=1,'ORDENES'!$N894="Pendiente"),1,0)</f>
        <v/>
      </c>
      <c r="R898" s="3">
        <f>IF(Q898=1,100000-N898*1000+891*0.01,9000000000000+891)</f>
        <v/>
      </c>
      <c r="S898" s="3">
        <f>IF(Q898=1,SUMPRODUCT(--($R$8:$R$1207&lt;R898))+1,"")</f>
        <v/>
      </c>
      <c r="T898" s="12">
        <f>IF(K898=1,'ORDENES'!$J894,"")</f>
        <v/>
      </c>
    </row>
    <row r="899">
      <c r="K899" s="3">
        <f>IF(AND(IF($B$3="(todos)",TRUE,'ORDENES'!$O895=$B$3),IF($D$3="(todos)",TRUE,'ORDENES'!$AF895=$D$3),IF($F$3="(todos)",TRUE,'ORDENES'!$X895=$F$3),IF($H$3="(todos)",TRUE,'ORDENES'!$W895=$H$3),'ORDENES'!$AD895=TRUE,'ORDENES'!$A895&lt;&gt;""),1,0)</f>
        <v/>
      </c>
      <c r="L899" s="3">
        <f>IF(K899=1,IFERROR(MATCH('ORDENES'!$R895,lista_dias,0),9)*1000000000+IFERROR(MATCH('ORDENES'!$AF895,lista_turnos,0),9)*10000000+IFERROR(MATCH('ORDENES'!$AE895,tblTecnicos[nombre],0),99)*100000+892,9000000000000+892)</f>
        <v/>
      </c>
      <c r="M899" s="3">
        <f>IF(K899=1,SUMPRODUCT(--($L$8:$L$1207&lt;L899))+1,"")</f>
        <v/>
      </c>
      <c r="N899" s="17">
        <f>IF(K899=1,N('ORDENES'!$M895),0)</f>
        <v/>
      </c>
      <c r="O899" s="17">
        <f>IF('ORDENES'!$T895="preventiva",N899,0)</f>
        <v/>
      </c>
      <c r="P899" s="17">
        <f>IF('ORDENES'!$T895="correctiva",N899,0)</f>
        <v/>
      </c>
      <c r="Q899" s="3">
        <f>IF(AND(K899=1,'ORDENES'!$N895="Pendiente"),1,0)</f>
        <v/>
      </c>
      <c r="R899" s="3">
        <f>IF(Q899=1,100000-N899*1000+892*0.01,9000000000000+892)</f>
        <v/>
      </c>
      <c r="S899" s="3">
        <f>IF(Q899=1,SUMPRODUCT(--($R$8:$R$1207&lt;R899))+1,"")</f>
        <v/>
      </c>
      <c r="T899" s="12">
        <f>IF(K899=1,'ORDENES'!$J895,"")</f>
        <v/>
      </c>
    </row>
    <row r="900">
      <c r="K900" s="3">
        <f>IF(AND(IF($B$3="(todos)",TRUE,'ORDENES'!$O896=$B$3),IF($D$3="(todos)",TRUE,'ORDENES'!$AF896=$D$3),IF($F$3="(todos)",TRUE,'ORDENES'!$X896=$F$3),IF($H$3="(todos)",TRUE,'ORDENES'!$W896=$H$3),'ORDENES'!$AD896=TRUE,'ORDENES'!$A896&lt;&gt;""),1,0)</f>
        <v/>
      </c>
      <c r="L900" s="3">
        <f>IF(K900=1,IFERROR(MATCH('ORDENES'!$R896,lista_dias,0),9)*1000000000+IFERROR(MATCH('ORDENES'!$AF896,lista_turnos,0),9)*10000000+IFERROR(MATCH('ORDENES'!$AE896,tblTecnicos[nombre],0),99)*100000+893,9000000000000+893)</f>
        <v/>
      </c>
      <c r="M900" s="3">
        <f>IF(K900=1,SUMPRODUCT(--($L$8:$L$1207&lt;L900))+1,"")</f>
        <v/>
      </c>
      <c r="N900" s="17">
        <f>IF(K900=1,N('ORDENES'!$M896),0)</f>
        <v/>
      </c>
      <c r="O900" s="17">
        <f>IF('ORDENES'!$T896="preventiva",N900,0)</f>
        <v/>
      </c>
      <c r="P900" s="17">
        <f>IF('ORDENES'!$T896="correctiva",N900,0)</f>
        <v/>
      </c>
      <c r="Q900" s="3">
        <f>IF(AND(K900=1,'ORDENES'!$N896="Pendiente"),1,0)</f>
        <v/>
      </c>
      <c r="R900" s="3">
        <f>IF(Q900=1,100000-N900*1000+893*0.01,9000000000000+893)</f>
        <v/>
      </c>
      <c r="S900" s="3">
        <f>IF(Q900=1,SUMPRODUCT(--($R$8:$R$1207&lt;R900))+1,"")</f>
        <v/>
      </c>
      <c r="T900" s="12">
        <f>IF(K900=1,'ORDENES'!$J896,"")</f>
        <v/>
      </c>
    </row>
    <row r="901">
      <c r="K901" s="3">
        <f>IF(AND(IF($B$3="(todos)",TRUE,'ORDENES'!$O897=$B$3),IF($D$3="(todos)",TRUE,'ORDENES'!$AF897=$D$3),IF($F$3="(todos)",TRUE,'ORDENES'!$X897=$F$3),IF($H$3="(todos)",TRUE,'ORDENES'!$W897=$H$3),'ORDENES'!$AD897=TRUE,'ORDENES'!$A897&lt;&gt;""),1,0)</f>
        <v/>
      </c>
      <c r="L901" s="3">
        <f>IF(K901=1,IFERROR(MATCH('ORDENES'!$R897,lista_dias,0),9)*1000000000+IFERROR(MATCH('ORDENES'!$AF897,lista_turnos,0),9)*10000000+IFERROR(MATCH('ORDENES'!$AE897,tblTecnicos[nombre],0),99)*100000+894,9000000000000+894)</f>
        <v/>
      </c>
      <c r="M901" s="3">
        <f>IF(K901=1,SUMPRODUCT(--($L$8:$L$1207&lt;L901))+1,"")</f>
        <v/>
      </c>
      <c r="N901" s="17">
        <f>IF(K901=1,N('ORDENES'!$M897),0)</f>
        <v/>
      </c>
      <c r="O901" s="17">
        <f>IF('ORDENES'!$T897="preventiva",N901,0)</f>
        <v/>
      </c>
      <c r="P901" s="17">
        <f>IF('ORDENES'!$T897="correctiva",N901,0)</f>
        <v/>
      </c>
      <c r="Q901" s="3">
        <f>IF(AND(K901=1,'ORDENES'!$N897="Pendiente"),1,0)</f>
        <v/>
      </c>
      <c r="R901" s="3">
        <f>IF(Q901=1,100000-N901*1000+894*0.01,9000000000000+894)</f>
        <v/>
      </c>
      <c r="S901" s="3">
        <f>IF(Q901=1,SUMPRODUCT(--($R$8:$R$1207&lt;R901))+1,"")</f>
        <v/>
      </c>
      <c r="T901" s="12">
        <f>IF(K901=1,'ORDENES'!$J897,"")</f>
        <v/>
      </c>
    </row>
    <row r="902">
      <c r="K902" s="3">
        <f>IF(AND(IF($B$3="(todos)",TRUE,'ORDENES'!$O898=$B$3),IF($D$3="(todos)",TRUE,'ORDENES'!$AF898=$D$3),IF($F$3="(todos)",TRUE,'ORDENES'!$X898=$F$3),IF($H$3="(todos)",TRUE,'ORDENES'!$W898=$H$3),'ORDENES'!$AD898=TRUE,'ORDENES'!$A898&lt;&gt;""),1,0)</f>
        <v/>
      </c>
      <c r="L902" s="3">
        <f>IF(K902=1,IFERROR(MATCH('ORDENES'!$R898,lista_dias,0),9)*1000000000+IFERROR(MATCH('ORDENES'!$AF898,lista_turnos,0),9)*10000000+IFERROR(MATCH('ORDENES'!$AE898,tblTecnicos[nombre],0),99)*100000+895,9000000000000+895)</f>
        <v/>
      </c>
      <c r="M902" s="3">
        <f>IF(K902=1,SUMPRODUCT(--($L$8:$L$1207&lt;L902))+1,"")</f>
        <v/>
      </c>
      <c r="N902" s="17">
        <f>IF(K902=1,N('ORDENES'!$M898),0)</f>
        <v/>
      </c>
      <c r="O902" s="17">
        <f>IF('ORDENES'!$T898="preventiva",N902,0)</f>
        <v/>
      </c>
      <c r="P902" s="17">
        <f>IF('ORDENES'!$T898="correctiva",N902,0)</f>
        <v/>
      </c>
      <c r="Q902" s="3">
        <f>IF(AND(K902=1,'ORDENES'!$N898="Pendiente"),1,0)</f>
        <v/>
      </c>
      <c r="R902" s="3">
        <f>IF(Q902=1,100000-N902*1000+895*0.01,9000000000000+895)</f>
        <v/>
      </c>
      <c r="S902" s="3">
        <f>IF(Q902=1,SUMPRODUCT(--($R$8:$R$1207&lt;R902))+1,"")</f>
        <v/>
      </c>
      <c r="T902" s="12">
        <f>IF(K902=1,'ORDENES'!$J898,"")</f>
        <v/>
      </c>
    </row>
    <row r="903">
      <c r="K903" s="3">
        <f>IF(AND(IF($B$3="(todos)",TRUE,'ORDENES'!$O899=$B$3),IF($D$3="(todos)",TRUE,'ORDENES'!$AF899=$D$3),IF($F$3="(todos)",TRUE,'ORDENES'!$X899=$F$3),IF($H$3="(todos)",TRUE,'ORDENES'!$W899=$H$3),'ORDENES'!$AD899=TRUE,'ORDENES'!$A899&lt;&gt;""),1,0)</f>
        <v/>
      </c>
      <c r="L903" s="3">
        <f>IF(K903=1,IFERROR(MATCH('ORDENES'!$R899,lista_dias,0),9)*1000000000+IFERROR(MATCH('ORDENES'!$AF899,lista_turnos,0),9)*10000000+IFERROR(MATCH('ORDENES'!$AE899,tblTecnicos[nombre],0),99)*100000+896,9000000000000+896)</f>
        <v/>
      </c>
      <c r="M903" s="3">
        <f>IF(K903=1,SUMPRODUCT(--($L$8:$L$1207&lt;L903))+1,"")</f>
        <v/>
      </c>
      <c r="N903" s="17">
        <f>IF(K903=1,N('ORDENES'!$M899),0)</f>
        <v/>
      </c>
      <c r="O903" s="17">
        <f>IF('ORDENES'!$T899="preventiva",N903,0)</f>
        <v/>
      </c>
      <c r="P903" s="17">
        <f>IF('ORDENES'!$T899="correctiva",N903,0)</f>
        <v/>
      </c>
      <c r="Q903" s="3">
        <f>IF(AND(K903=1,'ORDENES'!$N899="Pendiente"),1,0)</f>
        <v/>
      </c>
      <c r="R903" s="3">
        <f>IF(Q903=1,100000-N903*1000+896*0.01,9000000000000+896)</f>
        <v/>
      </c>
      <c r="S903" s="3">
        <f>IF(Q903=1,SUMPRODUCT(--($R$8:$R$1207&lt;R903))+1,"")</f>
        <v/>
      </c>
      <c r="T903" s="12">
        <f>IF(K903=1,'ORDENES'!$J899,"")</f>
        <v/>
      </c>
    </row>
    <row r="904">
      <c r="K904" s="3">
        <f>IF(AND(IF($B$3="(todos)",TRUE,'ORDENES'!$O900=$B$3),IF($D$3="(todos)",TRUE,'ORDENES'!$AF900=$D$3),IF($F$3="(todos)",TRUE,'ORDENES'!$X900=$F$3),IF($H$3="(todos)",TRUE,'ORDENES'!$W900=$H$3),'ORDENES'!$AD900=TRUE,'ORDENES'!$A900&lt;&gt;""),1,0)</f>
        <v/>
      </c>
      <c r="L904" s="3">
        <f>IF(K904=1,IFERROR(MATCH('ORDENES'!$R900,lista_dias,0),9)*1000000000+IFERROR(MATCH('ORDENES'!$AF900,lista_turnos,0),9)*10000000+IFERROR(MATCH('ORDENES'!$AE900,tblTecnicos[nombre],0),99)*100000+897,9000000000000+897)</f>
        <v/>
      </c>
      <c r="M904" s="3">
        <f>IF(K904=1,SUMPRODUCT(--($L$8:$L$1207&lt;L904))+1,"")</f>
        <v/>
      </c>
      <c r="N904" s="17">
        <f>IF(K904=1,N('ORDENES'!$M900),0)</f>
        <v/>
      </c>
      <c r="O904" s="17">
        <f>IF('ORDENES'!$T900="preventiva",N904,0)</f>
        <v/>
      </c>
      <c r="P904" s="17">
        <f>IF('ORDENES'!$T900="correctiva",N904,0)</f>
        <v/>
      </c>
      <c r="Q904" s="3">
        <f>IF(AND(K904=1,'ORDENES'!$N900="Pendiente"),1,0)</f>
        <v/>
      </c>
      <c r="R904" s="3">
        <f>IF(Q904=1,100000-N904*1000+897*0.01,9000000000000+897)</f>
        <v/>
      </c>
      <c r="S904" s="3">
        <f>IF(Q904=1,SUMPRODUCT(--($R$8:$R$1207&lt;R904))+1,"")</f>
        <v/>
      </c>
      <c r="T904" s="12">
        <f>IF(K904=1,'ORDENES'!$J900,"")</f>
        <v/>
      </c>
    </row>
    <row r="905">
      <c r="K905" s="3">
        <f>IF(AND(IF($B$3="(todos)",TRUE,'ORDENES'!$O901=$B$3),IF($D$3="(todos)",TRUE,'ORDENES'!$AF901=$D$3),IF($F$3="(todos)",TRUE,'ORDENES'!$X901=$F$3),IF($H$3="(todos)",TRUE,'ORDENES'!$W901=$H$3),'ORDENES'!$AD901=TRUE,'ORDENES'!$A901&lt;&gt;""),1,0)</f>
        <v/>
      </c>
      <c r="L905" s="3">
        <f>IF(K905=1,IFERROR(MATCH('ORDENES'!$R901,lista_dias,0),9)*1000000000+IFERROR(MATCH('ORDENES'!$AF901,lista_turnos,0),9)*10000000+IFERROR(MATCH('ORDENES'!$AE901,tblTecnicos[nombre],0),99)*100000+898,9000000000000+898)</f>
        <v/>
      </c>
      <c r="M905" s="3">
        <f>IF(K905=1,SUMPRODUCT(--($L$8:$L$1207&lt;L905))+1,"")</f>
        <v/>
      </c>
      <c r="N905" s="17">
        <f>IF(K905=1,N('ORDENES'!$M901),0)</f>
        <v/>
      </c>
      <c r="O905" s="17">
        <f>IF('ORDENES'!$T901="preventiva",N905,0)</f>
        <v/>
      </c>
      <c r="P905" s="17">
        <f>IF('ORDENES'!$T901="correctiva",N905,0)</f>
        <v/>
      </c>
      <c r="Q905" s="3">
        <f>IF(AND(K905=1,'ORDENES'!$N901="Pendiente"),1,0)</f>
        <v/>
      </c>
      <c r="R905" s="3">
        <f>IF(Q905=1,100000-N905*1000+898*0.01,9000000000000+898)</f>
        <v/>
      </c>
      <c r="S905" s="3">
        <f>IF(Q905=1,SUMPRODUCT(--($R$8:$R$1207&lt;R905))+1,"")</f>
        <v/>
      </c>
      <c r="T905" s="12">
        <f>IF(K905=1,'ORDENES'!$J901,"")</f>
        <v/>
      </c>
    </row>
    <row r="906">
      <c r="K906" s="3">
        <f>IF(AND(IF($B$3="(todos)",TRUE,'ORDENES'!$O902=$B$3),IF($D$3="(todos)",TRUE,'ORDENES'!$AF902=$D$3),IF($F$3="(todos)",TRUE,'ORDENES'!$X902=$F$3),IF($H$3="(todos)",TRUE,'ORDENES'!$W902=$H$3),'ORDENES'!$AD902=TRUE,'ORDENES'!$A902&lt;&gt;""),1,0)</f>
        <v/>
      </c>
      <c r="L906" s="3">
        <f>IF(K906=1,IFERROR(MATCH('ORDENES'!$R902,lista_dias,0),9)*1000000000+IFERROR(MATCH('ORDENES'!$AF902,lista_turnos,0),9)*10000000+IFERROR(MATCH('ORDENES'!$AE902,tblTecnicos[nombre],0),99)*100000+899,9000000000000+899)</f>
        <v/>
      </c>
      <c r="M906" s="3">
        <f>IF(K906=1,SUMPRODUCT(--($L$8:$L$1207&lt;L906))+1,"")</f>
        <v/>
      </c>
      <c r="N906" s="17">
        <f>IF(K906=1,N('ORDENES'!$M902),0)</f>
        <v/>
      </c>
      <c r="O906" s="17">
        <f>IF('ORDENES'!$T902="preventiva",N906,0)</f>
        <v/>
      </c>
      <c r="P906" s="17">
        <f>IF('ORDENES'!$T902="correctiva",N906,0)</f>
        <v/>
      </c>
      <c r="Q906" s="3">
        <f>IF(AND(K906=1,'ORDENES'!$N902="Pendiente"),1,0)</f>
        <v/>
      </c>
      <c r="R906" s="3">
        <f>IF(Q906=1,100000-N906*1000+899*0.01,9000000000000+899)</f>
        <v/>
      </c>
      <c r="S906" s="3">
        <f>IF(Q906=1,SUMPRODUCT(--($R$8:$R$1207&lt;R906))+1,"")</f>
        <v/>
      </c>
      <c r="T906" s="12">
        <f>IF(K906=1,'ORDENES'!$J902,"")</f>
        <v/>
      </c>
    </row>
    <row r="907">
      <c r="K907" s="3">
        <f>IF(AND(IF($B$3="(todos)",TRUE,'ORDENES'!$O903=$B$3),IF($D$3="(todos)",TRUE,'ORDENES'!$AF903=$D$3),IF($F$3="(todos)",TRUE,'ORDENES'!$X903=$F$3),IF($H$3="(todos)",TRUE,'ORDENES'!$W903=$H$3),'ORDENES'!$AD903=TRUE,'ORDENES'!$A903&lt;&gt;""),1,0)</f>
        <v/>
      </c>
      <c r="L907" s="3">
        <f>IF(K907=1,IFERROR(MATCH('ORDENES'!$R903,lista_dias,0),9)*1000000000+IFERROR(MATCH('ORDENES'!$AF903,lista_turnos,0),9)*10000000+IFERROR(MATCH('ORDENES'!$AE903,tblTecnicos[nombre],0),99)*100000+900,9000000000000+900)</f>
        <v/>
      </c>
      <c r="M907" s="3">
        <f>IF(K907=1,SUMPRODUCT(--($L$8:$L$1207&lt;L907))+1,"")</f>
        <v/>
      </c>
      <c r="N907" s="17">
        <f>IF(K907=1,N('ORDENES'!$M903),0)</f>
        <v/>
      </c>
      <c r="O907" s="17">
        <f>IF('ORDENES'!$T903="preventiva",N907,0)</f>
        <v/>
      </c>
      <c r="P907" s="17">
        <f>IF('ORDENES'!$T903="correctiva",N907,0)</f>
        <v/>
      </c>
      <c r="Q907" s="3">
        <f>IF(AND(K907=1,'ORDENES'!$N903="Pendiente"),1,0)</f>
        <v/>
      </c>
      <c r="R907" s="3">
        <f>IF(Q907=1,100000-N907*1000+900*0.01,9000000000000+900)</f>
        <v/>
      </c>
      <c r="S907" s="3">
        <f>IF(Q907=1,SUMPRODUCT(--($R$8:$R$1207&lt;R907))+1,"")</f>
        <v/>
      </c>
      <c r="T907" s="12">
        <f>IF(K907=1,'ORDENES'!$J903,"")</f>
        <v/>
      </c>
    </row>
    <row r="908">
      <c r="K908" s="3">
        <f>IF(AND(IF($B$3="(todos)",TRUE,'ORDENES'!$O904=$B$3),IF($D$3="(todos)",TRUE,'ORDENES'!$AF904=$D$3),IF($F$3="(todos)",TRUE,'ORDENES'!$X904=$F$3),IF($H$3="(todos)",TRUE,'ORDENES'!$W904=$H$3),'ORDENES'!$AD904=TRUE,'ORDENES'!$A904&lt;&gt;""),1,0)</f>
        <v/>
      </c>
      <c r="L908" s="3">
        <f>IF(K908=1,IFERROR(MATCH('ORDENES'!$R904,lista_dias,0),9)*1000000000+IFERROR(MATCH('ORDENES'!$AF904,lista_turnos,0),9)*10000000+IFERROR(MATCH('ORDENES'!$AE904,tblTecnicos[nombre],0),99)*100000+901,9000000000000+901)</f>
        <v/>
      </c>
      <c r="M908" s="3">
        <f>IF(K908=1,SUMPRODUCT(--($L$8:$L$1207&lt;L908))+1,"")</f>
        <v/>
      </c>
      <c r="N908" s="17">
        <f>IF(K908=1,N('ORDENES'!$M904),0)</f>
        <v/>
      </c>
      <c r="O908" s="17">
        <f>IF('ORDENES'!$T904="preventiva",N908,0)</f>
        <v/>
      </c>
      <c r="P908" s="17">
        <f>IF('ORDENES'!$T904="correctiva",N908,0)</f>
        <v/>
      </c>
      <c r="Q908" s="3">
        <f>IF(AND(K908=1,'ORDENES'!$N904="Pendiente"),1,0)</f>
        <v/>
      </c>
      <c r="R908" s="3">
        <f>IF(Q908=1,100000-N908*1000+901*0.01,9000000000000+901)</f>
        <v/>
      </c>
      <c r="S908" s="3">
        <f>IF(Q908=1,SUMPRODUCT(--($R$8:$R$1207&lt;R908))+1,"")</f>
        <v/>
      </c>
      <c r="T908" s="12">
        <f>IF(K908=1,'ORDENES'!$J904,"")</f>
        <v/>
      </c>
    </row>
    <row r="909">
      <c r="K909" s="3">
        <f>IF(AND(IF($B$3="(todos)",TRUE,'ORDENES'!$O905=$B$3),IF($D$3="(todos)",TRUE,'ORDENES'!$AF905=$D$3),IF($F$3="(todos)",TRUE,'ORDENES'!$X905=$F$3),IF($H$3="(todos)",TRUE,'ORDENES'!$W905=$H$3),'ORDENES'!$AD905=TRUE,'ORDENES'!$A905&lt;&gt;""),1,0)</f>
        <v/>
      </c>
      <c r="L909" s="3">
        <f>IF(K909=1,IFERROR(MATCH('ORDENES'!$R905,lista_dias,0),9)*1000000000+IFERROR(MATCH('ORDENES'!$AF905,lista_turnos,0),9)*10000000+IFERROR(MATCH('ORDENES'!$AE905,tblTecnicos[nombre],0),99)*100000+902,9000000000000+902)</f>
        <v/>
      </c>
      <c r="M909" s="3">
        <f>IF(K909=1,SUMPRODUCT(--($L$8:$L$1207&lt;L909))+1,"")</f>
        <v/>
      </c>
      <c r="N909" s="17">
        <f>IF(K909=1,N('ORDENES'!$M905),0)</f>
        <v/>
      </c>
      <c r="O909" s="17">
        <f>IF('ORDENES'!$T905="preventiva",N909,0)</f>
        <v/>
      </c>
      <c r="P909" s="17">
        <f>IF('ORDENES'!$T905="correctiva",N909,0)</f>
        <v/>
      </c>
      <c r="Q909" s="3">
        <f>IF(AND(K909=1,'ORDENES'!$N905="Pendiente"),1,0)</f>
        <v/>
      </c>
      <c r="R909" s="3">
        <f>IF(Q909=1,100000-N909*1000+902*0.01,9000000000000+902)</f>
        <v/>
      </c>
      <c r="S909" s="3">
        <f>IF(Q909=1,SUMPRODUCT(--($R$8:$R$1207&lt;R909))+1,"")</f>
        <v/>
      </c>
      <c r="T909" s="12">
        <f>IF(K909=1,'ORDENES'!$J905,"")</f>
        <v/>
      </c>
    </row>
    <row r="910">
      <c r="K910" s="3">
        <f>IF(AND(IF($B$3="(todos)",TRUE,'ORDENES'!$O906=$B$3),IF($D$3="(todos)",TRUE,'ORDENES'!$AF906=$D$3),IF($F$3="(todos)",TRUE,'ORDENES'!$X906=$F$3),IF($H$3="(todos)",TRUE,'ORDENES'!$W906=$H$3),'ORDENES'!$AD906=TRUE,'ORDENES'!$A906&lt;&gt;""),1,0)</f>
        <v/>
      </c>
      <c r="L910" s="3">
        <f>IF(K910=1,IFERROR(MATCH('ORDENES'!$R906,lista_dias,0),9)*1000000000+IFERROR(MATCH('ORDENES'!$AF906,lista_turnos,0),9)*10000000+IFERROR(MATCH('ORDENES'!$AE906,tblTecnicos[nombre],0),99)*100000+903,9000000000000+903)</f>
        <v/>
      </c>
      <c r="M910" s="3">
        <f>IF(K910=1,SUMPRODUCT(--($L$8:$L$1207&lt;L910))+1,"")</f>
        <v/>
      </c>
      <c r="N910" s="17">
        <f>IF(K910=1,N('ORDENES'!$M906),0)</f>
        <v/>
      </c>
      <c r="O910" s="17">
        <f>IF('ORDENES'!$T906="preventiva",N910,0)</f>
        <v/>
      </c>
      <c r="P910" s="17">
        <f>IF('ORDENES'!$T906="correctiva",N910,0)</f>
        <v/>
      </c>
      <c r="Q910" s="3">
        <f>IF(AND(K910=1,'ORDENES'!$N906="Pendiente"),1,0)</f>
        <v/>
      </c>
      <c r="R910" s="3">
        <f>IF(Q910=1,100000-N910*1000+903*0.01,9000000000000+903)</f>
        <v/>
      </c>
      <c r="S910" s="3">
        <f>IF(Q910=1,SUMPRODUCT(--($R$8:$R$1207&lt;R910))+1,"")</f>
        <v/>
      </c>
      <c r="T910" s="12">
        <f>IF(K910=1,'ORDENES'!$J906,"")</f>
        <v/>
      </c>
    </row>
    <row r="911">
      <c r="K911" s="3">
        <f>IF(AND(IF($B$3="(todos)",TRUE,'ORDENES'!$O907=$B$3),IF($D$3="(todos)",TRUE,'ORDENES'!$AF907=$D$3),IF($F$3="(todos)",TRUE,'ORDENES'!$X907=$F$3),IF($H$3="(todos)",TRUE,'ORDENES'!$W907=$H$3),'ORDENES'!$AD907=TRUE,'ORDENES'!$A907&lt;&gt;""),1,0)</f>
        <v/>
      </c>
      <c r="L911" s="3">
        <f>IF(K911=1,IFERROR(MATCH('ORDENES'!$R907,lista_dias,0),9)*1000000000+IFERROR(MATCH('ORDENES'!$AF907,lista_turnos,0),9)*10000000+IFERROR(MATCH('ORDENES'!$AE907,tblTecnicos[nombre],0),99)*100000+904,9000000000000+904)</f>
        <v/>
      </c>
      <c r="M911" s="3">
        <f>IF(K911=1,SUMPRODUCT(--($L$8:$L$1207&lt;L911))+1,"")</f>
        <v/>
      </c>
      <c r="N911" s="17">
        <f>IF(K911=1,N('ORDENES'!$M907),0)</f>
        <v/>
      </c>
      <c r="O911" s="17">
        <f>IF('ORDENES'!$T907="preventiva",N911,0)</f>
        <v/>
      </c>
      <c r="P911" s="17">
        <f>IF('ORDENES'!$T907="correctiva",N911,0)</f>
        <v/>
      </c>
      <c r="Q911" s="3">
        <f>IF(AND(K911=1,'ORDENES'!$N907="Pendiente"),1,0)</f>
        <v/>
      </c>
      <c r="R911" s="3">
        <f>IF(Q911=1,100000-N911*1000+904*0.01,9000000000000+904)</f>
        <v/>
      </c>
      <c r="S911" s="3">
        <f>IF(Q911=1,SUMPRODUCT(--($R$8:$R$1207&lt;R911))+1,"")</f>
        <v/>
      </c>
      <c r="T911" s="12">
        <f>IF(K911=1,'ORDENES'!$J907,"")</f>
        <v/>
      </c>
    </row>
    <row r="912">
      <c r="K912" s="3">
        <f>IF(AND(IF($B$3="(todos)",TRUE,'ORDENES'!$O908=$B$3),IF($D$3="(todos)",TRUE,'ORDENES'!$AF908=$D$3),IF($F$3="(todos)",TRUE,'ORDENES'!$X908=$F$3),IF($H$3="(todos)",TRUE,'ORDENES'!$W908=$H$3),'ORDENES'!$AD908=TRUE,'ORDENES'!$A908&lt;&gt;""),1,0)</f>
        <v/>
      </c>
      <c r="L912" s="3">
        <f>IF(K912=1,IFERROR(MATCH('ORDENES'!$R908,lista_dias,0),9)*1000000000+IFERROR(MATCH('ORDENES'!$AF908,lista_turnos,0),9)*10000000+IFERROR(MATCH('ORDENES'!$AE908,tblTecnicos[nombre],0),99)*100000+905,9000000000000+905)</f>
        <v/>
      </c>
      <c r="M912" s="3">
        <f>IF(K912=1,SUMPRODUCT(--($L$8:$L$1207&lt;L912))+1,"")</f>
        <v/>
      </c>
      <c r="N912" s="17">
        <f>IF(K912=1,N('ORDENES'!$M908),0)</f>
        <v/>
      </c>
      <c r="O912" s="17">
        <f>IF('ORDENES'!$T908="preventiva",N912,0)</f>
        <v/>
      </c>
      <c r="P912" s="17">
        <f>IF('ORDENES'!$T908="correctiva",N912,0)</f>
        <v/>
      </c>
      <c r="Q912" s="3">
        <f>IF(AND(K912=1,'ORDENES'!$N908="Pendiente"),1,0)</f>
        <v/>
      </c>
      <c r="R912" s="3">
        <f>IF(Q912=1,100000-N912*1000+905*0.01,9000000000000+905)</f>
        <v/>
      </c>
      <c r="S912" s="3">
        <f>IF(Q912=1,SUMPRODUCT(--($R$8:$R$1207&lt;R912))+1,"")</f>
        <v/>
      </c>
      <c r="T912" s="12">
        <f>IF(K912=1,'ORDENES'!$J908,"")</f>
        <v/>
      </c>
    </row>
    <row r="913">
      <c r="K913" s="3">
        <f>IF(AND(IF($B$3="(todos)",TRUE,'ORDENES'!$O909=$B$3),IF($D$3="(todos)",TRUE,'ORDENES'!$AF909=$D$3),IF($F$3="(todos)",TRUE,'ORDENES'!$X909=$F$3),IF($H$3="(todos)",TRUE,'ORDENES'!$W909=$H$3),'ORDENES'!$AD909=TRUE,'ORDENES'!$A909&lt;&gt;""),1,0)</f>
        <v/>
      </c>
      <c r="L913" s="3">
        <f>IF(K913=1,IFERROR(MATCH('ORDENES'!$R909,lista_dias,0),9)*1000000000+IFERROR(MATCH('ORDENES'!$AF909,lista_turnos,0),9)*10000000+IFERROR(MATCH('ORDENES'!$AE909,tblTecnicos[nombre],0),99)*100000+906,9000000000000+906)</f>
        <v/>
      </c>
      <c r="M913" s="3">
        <f>IF(K913=1,SUMPRODUCT(--($L$8:$L$1207&lt;L913))+1,"")</f>
        <v/>
      </c>
      <c r="N913" s="17">
        <f>IF(K913=1,N('ORDENES'!$M909),0)</f>
        <v/>
      </c>
      <c r="O913" s="17">
        <f>IF('ORDENES'!$T909="preventiva",N913,0)</f>
        <v/>
      </c>
      <c r="P913" s="17">
        <f>IF('ORDENES'!$T909="correctiva",N913,0)</f>
        <v/>
      </c>
      <c r="Q913" s="3">
        <f>IF(AND(K913=1,'ORDENES'!$N909="Pendiente"),1,0)</f>
        <v/>
      </c>
      <c r="R913" s="3">
        <f>IF(Q913=1,100000-N913*1000+906*0.01,9000000000000+906)</f>
        <v/>
      </c>
      <c r="S913" s="3">
        <f>IF(Q913=1,SUMPRODUCT(--($R$8:$R$1207&lt;R913))+1,"")</f>
        <v/>
      </c>
      <c r="T913" s="12">
        <f>IF(K913=1,'ORDENES'!$J909,"")</f>
        <v/>
      </c>
    </row>
    <row r="914">
      <c r="K914" s="3">
        <f>IF(AND(IF($B$3="(todos)",TRUE,'ORDENES'!$O910=$B$3),IF($D$3="(todos)",TRUE,'ORDENES'!$AF910=$D$3),IF($F$3="(todos)",TRUE,'ORDENES'!$X910=$F$3),IF($H$3="(todos)",TRUE,'ORDENES'!$W910=$H$3),'ORDENES'!$AD910=TRUE,'ORDENES'!$A910&lt;&gt;""),1,0)</f>
        <v/>
      </c>
      <c r="L914" s="3">
        <f>IF(K914=1,IFERROR(MATCH('ORDENES'!$R910,lista_dias,0),9)*1000000000+IFERROR(MATCH('ORDENES'!$AF910,lista_turnos,0),9)*10000000+IFERROR(MATCH('ORDENES'!$AE910,tblTecnicos[nombre],0),99)*100000+907,9000000000000+907)</f>
        <v/>
      </c>
      <c r="M914" s="3">
        <f>IF(K914=1,SUMPRODUCT(--($L$8:$L$1207&lt;L914))+1,"")</f>
        <v/>
      </c>
      <c r="N914" s="17">
        <f>IF(K914=1,N('ORDENES'!$M910),0)</f>
        <v/>
      </c>
      <c r="O914" s="17">
        <f>IF('ORDENES'!$T910="preventiva",N914,0)</f>
        <v/>
      </c>
      <c r="P914" s="17">
        <f>IF('ORDENES'!$T910="correctiva",N914,0)</f>
        <v/>
      </c>
      <c r="Q914" s="3">
        <f>IF(AND(K914=1,'ORDENES'!$N910="Pendiente"),1,0)</f>
        <v/>
      </c>
      <c r="R914" s="3">
        <f>IF(Q914=1,100000-N914*1000+907*0.01,9000000000000+907)</f>
        <v/>
      </c>
      <c r="S914" s="3">
        <f>IF(Q914=1,SUMPRODUCT(--($R$8:$R$1207&lt;R914))+1,"")</f>
        <v/>
      </c>
      <c r="T914" s="12">
        <f>IF(K914=1,'ORDENES'!$J910,"")</f>
        <v/>
      </c>
    </row>
    <row r="915">
      <c r="K915" s="3">
        <f>IF(AND(IF($B$3="(todos)",TRUE,'ORDENES'!$O911=$B$3),IF($D$3="(todos)",TRUE,'ORDENES'!$AF911=$D$3),IF($F$3="(todos)",TRUE,'ORDENES'!$X911=$F$3),IF($H$3="(todos)",TRUE,'ORDENES'!$W911=$H$3),'ORDENES'!$AD911=TRUE,'ORDENES'!$A911&lt;&gt;""),1,0)</f>
        <v/>
      </c>
      <c r="L915" s="3">
        <f>IF(K915=1,IFERROR(MATCH('ORDENES'!$R911,lista_dias,0),9)*1000000000+IFERROR(MATCH('ORDENES'!$AF911,lista_turnos,0),9)*10000000+IFERROR(MATCH('ORDENES'!$AE911,tblTecnicos[nombre],0),99)*100000+908,9000000000000+908)</f>
        <v/>
      </c>
      <c r="M915" s="3">
        <f>IF(K915=1,SUMPRODUCT(--($L$8:$L$1207&lt;L915))+1,"")</f>
        <v/>
      </c>
      <c r="N915" s="17">
        <f>IF(K915=1,N('ORDENES'!$M911),0)</f>
        <v/>
      </c>
      <c r="O915" s="17">
        <f>IF('ORDENES'!$T911="preventiva",N915,0)</f>
        <v/>
      </c>
      <c r="P915" s="17">
        <f>IF('ORDENES'!$T911="correctiva",N915,0)</f>
        <v/>
      </c>
      <c r="Q915" s="3">
        <f>IF(AND(K915=1,'ORDENES'!$N911="Pendiente"),1,0)</f>
        <v/>
      </c>
      <c r="R915" s="3">
        <f>IF(Q915=1,100000-N915*1000+908*0.01,9000000000000+908)</f>
        <v/>
      </c>
      <c r="S915" s="3">
        <f>IF(Q915=1,SUMPRODUCT(--($R$8:$R$1207&lt;R915))+1,"")</f>
        <v/>
      </c>
      <c r="T915" s="12">
        <f>IF(K915=1,'ORDENES'!$J911,"")</f>
        <v/>
      </c>
    </row>
    <row r="916">
      <c r="K916" s="3">
        <f>IF(AND(IF($B$3="(todos)",TRUE,'ORDENES'!$O912=$B$3),IF($D$3="(todos)",TRUE,'ORDENES'!$AF912=$D$3),IF($F$3="(todos)",TRUE,'ORDENES'!$X912=$F$3),IF($H$3="(todos)",TRUE,'ORDENES'!$W912=$H$3),'ORDENES'!$AD912=TRUE,'ORDENES'!$A912&lt;&gt;""),1,0)</f>
        <v/>
      </c>
      <c r="L916" s="3">
        <f>IF(K916=1,IFERROR(MATCH('ORDENES'!$R912,lista_dias,0),9)*1000000000+IFERROR(MATCH('ORDENES'!$AF912,lista_turnos,0),9)*10000000+IFERROR(MATCH('ORDENES'!$AE912,tblTecnicos[nombre],0),99)*100000+909,9000000000000+909)</f>
        <v/>
      </c>
      <c r="M916" s="3">
        <f>IF(K916=1,SUMPRODUCT(--($L$8:$L$1207&lt;L916))+1,"")</f>
        <v/>
      </c>
      <c r="N916" s="17">
        <f>IF(K916=1,N('ORDENES'!$M912),0)</f>
        <v/>
      </c>
      <c r="O916" s="17">
        <f>IF('ORDENES'!$T912="preventiva",N916,0)</f>
        <v/>
      </c>
      <c r="P916" s="17">
        <f>IF('ORDENES'!$T912="correctiva",N916,0)</f>
        <v/>
      </c>
      <c r="Q916" s="3">
        <f>IF(AND(K916=1,'ORDENES'!$N912="Pendiente"),1,0)</f>
        <v/>
      </c>
      <c r="R916" s="3">
        <f>IF(Q916=1,100000-N916*1000+909*0.01,9000000000000+909)</f>
        <v/>
      </c>
      <c r="S916" s="3">
        <f>IF(Q916=1,SUMPRODUCT(--($R$8:$R$1207&lt;R916))+1,"")</f>
        <v/>
      </c>
      <c r="T916" s="12">
        <f>IF(K916=1,'ORDENES'!$J912,"")</f>
        <v/>
      </c>
    </row>
    <row r="917">
      <c r="K917" s="3">
        <f>IF(AND(IF($B$3="(todos)",TRUE,'ORDENES'!$O913=$B$3),IF($D$3="(todos)",TRUE,'ORDENES'!$AF913=$D$3),IF($F$3="(todos)",TRUE,'ORDENES'!$X913=$F$3),IF($H$3="(todos)",TRUE,'ORDENES'!$W913=$H$3),'ORDENES'!$AD913=TRUE,'ORDENES'!$A913&lt;&gt;""),1,0)</f>
        <v/>
      </c>
      <c r="L917" s="3">
        <f>IF(K917=1,IFERROR(MATCH('ORDENES'!$R913,lista_dias,0),9)*1000000000+IFERROR(MATCH('ORDENES'!$AF913,lista_turnos,0),9)*10000000+IFERROR(MATCH('ORDENES'!$AE913,tblTecnicos[nombre],0),99)*100000+910,9000000000000+910)</f>
        <v/>
      </c>
      <c r="M917" s="3">
        <f>IF(K917=1,SUMPRODUCT(--($L$8:$L$1207&lt;L917))+1,"")</f>
        <v/>
      </c>
      <c r="N917" s="17">
        <f>IF(K917=1,N('ORDENES'!$M913),0)</f>
        <v/>
      </c>
      <c r="O917" s="17">
        <f>IF('ORDENES'!$T913="preventiva",N917,0)</f>
        <v/>
      </c>
      <c r="P917" s="17">
        <f>IF('ORDENES'!$T913="correctiva",N917,0)</f>
        <v/>
      </c>
      <c r="Q917" s="3">
        <f>IF(AND(K917=1,'ORDENES'!$N913="Pendiente"),1,0)</f>
        <v/>
      </c>
      <c r="R917" s="3">
        <f>IF(Q917=1,100000-N917*1000+910*0.01,9000000000000+910)</f>
        <v/>
      </c>
      <c r="S917" s="3">
        <f>IF(Q917=1,SUMPRODUCT(--($R$8:$R$1207&lt;R917))+1,"")</f>
        <v/>
      </c>
      <c r="T917" s="12">
        <f>IF(K917=1,'ORDENES'!$J913,"")</f>
        <v/>
      </c>
    </row>
    <row r="918">
      <c r="K918" s="3">
        <f>IF(AND(IF($B$3="(todos)",TRUE,'ORDENES'!$O914=$B$3),IF($D$3="(todos)",TRUE,'ORDENES'!$AF914=$D$3),IF($F$3="(todos)",TRUE,'ORDENES'!$X914=$F$3),IF($H$3="(todos)",TRUE,'ORDENES'!$W914=$H$3),'ORDENES'!$AD914=TRUE,'ORDENES'!$A914&lt;&gt;""),1,0)</f>
        <v/>
      </c>
      <c r="L918" s="3">
        <f>IF(K918=1,IFERROR(MATCH('ORDENES'!$R914,lista_dias,0),9)*1000000000+IFERROR(MATCH('ORDENES'!$AF914,lista_turnos,0),9)*10000000+IFERROR(MATCH('ORDENES'!$AE914,tblTecnicos[nombre],0),99)*100000+911,9000000000000+911)</f>
        <v/>
      </c>
      <c r="M918" s="3">
        <f>IF(K918=1,SUMPRODUCT(--($L$8:$L$1207&lt;L918))+1,"")</f>
        <v/>
      </c>
      <c r="N918" s="17">
        <f>IF(K918=1,N('ORDENES'!$M914),0)</f>
        <v/>
      </c>
      <c r="O918" s="17">
        <f>IF('ORDENES'!$T914="preventiva",N918,0)</f>
        <v/>
      </c>
      <c r="P918" s="17">
        <f>IF('ORDENES'!$T914="correctiva",N918,0)</f>
        <v/>
      </c>
      <c r="Q918" s="3">
        <f>IF(AND(K918=1,'ORDENES'!$N914="Pendiente"),1,0)</f>
        <v/>
      </c>
      <c r="R918" s="3">
        <f>IF(Q918=1,100000-N918*1000+911*0.01,9000000000000+911)</f>
        <v/>
      </c>
      <c r="S918" s="3">
        <f>IF(Q918=1,SUMPRODUCT(--($R$8:$R$1207&lt;R918))+1,"")</f>
        <v/>
      </c>
      <c r="T918" s="12">
        <f>IF(K918=1,'ORDENES'!$J914,"")</f>
        <v/>
      </c>
    </row>
    <row r="919">
      <c r="K919" s="3">
        <f>IF(AND(IF($B$3="(todos)",TRUE,'ORDENES'!$O915=$B$3),IF($D$3="(todos)",TRUE,'ORDENES'!$AF915=$D$3),IF($F$3="(todos)",TRUE,'ORDENES'!$X915=$F$3),IF($H$3="(todos)",TRUE,'ORDENES'!$W915=$H$3),'ORDENES'!$AD915=TRUE,'ORDENES'!$A915&lt;&gt;""),1,0)</f>
        <v/>
      </c>
      <c r="L919" s="3">
        <f>IF(K919=1,IFERROR(MATCH('ORDENES'!$R915,lista_dias,0),9)*1000000000+IFERROR(MATCH('ORDENES'!$AF915,lista_turnos,0),9)*10000000+IFERROR(MATCH('ORDENES'!$AE915,tblTecnicos[nombre],0),99)*100000+912,9000000000000+912)</f>
        <v/>
      </c>
      <c r="M919" s="3">
        <f>IF(K919=1,SUMPRODUCT(--($L$8:$L$1207&lt;L919))+1,"")</f>
        <v/>
      </c>
      <c r="N919" s="17">
        <f>IF(K919=1,N('ORDENES'!$M915),0)</f>
        <v/>
      </c>
      <c r="O919" s="17">
        <f>IF('ORDENES'!$T915="preventiva",N919,0)</f>
        <v/>
      </c>
      <c r="P919" s="17">
        <f>IF('ORDENES'!$T915="correctiva",N919,0)</f>
        <v/>
      </c>
      <c r="Q919" s="3">
        <f>IF(AND(K919=1,'ORDENES'!$N915="Pendiente"),1,0)</f>
        <v/>
      </c>
      <c r="R919" s="3">
        <f>IF(Q919=1,100000-N919*1000+912*0.01,9000000000000+912)</f>
        <v/>
      </c>
      <c r="S919" s="3">
        <f>IF(Q919=1,SUMPRODUCT(--($R$8:$R$1207&lt;R919))+1,"")</f>
        <v/>
      </c>
      <c r="T919" s="12">
        <f>IF(K919=1,'ORDENES'!$J915,"")</f>
        <v/>
      </c>
    </row>
    <row r="920">
      <c r="K920" s="3">
        <f>IF(AND(IF($B$3="(todos)",TRUE,'ORDENES'!$O916=$B$3),IF($D$3="(todos)",TRUE,'ORDENES'!$AF916=$D$3),IF($F$3="(todos)",TRUE,'ORDENES'!$X916=$F$3),IF($H$3="(todos)",TRUE,'ORDENES'!$W916=$H$3),'ORDENES'!$AD916=TRUE,'ORDENES'!$A916&lt;&gt;""),1,0)</f>
        <v/>
      </c>
      <c r="L920" s="3">
        <f>IF(K920=1,IFERROR(MATCH('ORDENES'!$R916,lista_dias,0),9)*1000000000+IFERROR(MATCH('ORDENES'!$AF916,lista_turnos,0),9)*10000000+IFERROR(MATCH('ORDENES'!$AE916,tblTecnicos[nombre],0),99)*100000+913,9000000000000+913)</f>
        <v/>
      </c>
      <c r="M920" s="3">
        <f>IF(K920=1,SUMPRODUCT(--($L$8:$L$1207&lt;L920))+1,"")</f>
        <v/>
      </c>
      <c r="N920" s="17">
        <f>IF(K920=1,N('ORDENES'!$M916),0)</f>
        <v/>
      </c>
      <c r="O920" s="17">
        <f>IF('ORDENES'!$T916="preventiva",N920,0)</f>
        <v/>
      </c>
      <c r="P920" s="17">
        <f>IF('ORDENES'!$T916="correctiva",N920,0)</f>
        <v/>
      </c>
      <c r="Q920" s="3">
        <f>IF(AND(K920=1,'ORDENES'!$N916="Pendiente"),1,0)</f>
        <v/>
      </c>
      <c r="R920" s="3">
        <f>IF(Q920=1,100000-N920*1000+913*0.01,9000000000000+913)</f>
        <v/>
      </c>
      <c r="S920" s="3">
        <f>IF(Q920=1,SUMPRODUCT(--($R$8:$R$1207&lt;R920))+1,"")</f>
        <v/>
      </c>
      <c r="T920" s="12">
        <f>IF(K920=1,'ORDENES'!$J916,"")</f>
        <v/>
      </c>
    </row>
    <row r="921">
      <c r="K921" s="3">
        <f>IF(AND(IF($B$3="(todos)",TRUE,'ORDENES'!$O917=$B$3),IF($D$3="(todos)",TRUE,'ORDENES'!$AF917=$D$3),IF($F$3="(todos)",TRUE,'ORDENES'!$X917=$F$3),IF($H$3="(todos)",TRUE,'ORDENES'!$W917=$H$3),'ORDENES'!$AD917=TRUE,'ORDENES'!$A917&lt;&gt;""),1,0)</f>
        <v/>
      </c>
      <c r="L921" s="3">
        <f>IF(K921=1,IFERROR(MATCH('ORDENES'!$R917,lista_dias,0),9)*1000000000+IFERROR(MATCH('ORDENES'!$AF917,lista_turnos,0),9)*10000000+IFERROR(MATCH('ORDENES'!$AE917,tblTecnicos[nombre],0),99)*100000+914,9000000000000+914)</f>
        <v/>
      </c>
      <c r="M921" s="3">
        <f>IF(K921=1,SUMPRODUCT(--($L$8:$L$1207&lt;L921))+1,"")</f>
        <v/>
      </c>
      <c r="N921" s="17">
        <f>IF(K921=1,N('ORDENES'!$M917),0)</f>
        <v/>
      </c>
      <c r="O921" s="17">
        <f>IF('ORDENES'!$T917="preventiva",N921,0)</f>
        <v/>
      </c>
      <c r="P921" s="17">
        <f>IF('ORDENES'!$T917="correctiva",N921,0)</f>
        <v/>
      </c>
      <c r="Q921" s="3">
        <f>IF(AND(K921=1,'ORDENES'!$N917="Pendiente"),1,0)</f>
        <v/>
      </c>
      <c r="R921" s="3">
        <f>IF(Q921=1,100000-N921*1000+914*0.01,9000000000000+914)</f>
        <v/>
      </c>
      <c r="S921" s="3">
        <f>IF(Q921=1,SUMPRODUCT(--($R$8:$R$1207&lt;R921))+1,"")</f>
        <v/>
      </c>
      <c r="T921" s="12">
        <f>IF(K921=1,'ORDENES'!$J917,"")</f>
        <v/>
      </c>
    </row>
    <row r="922">
      <c r="K922" s="3">
        <f>IF(AND(IF($B$3="(todos)",TRUE,'ORDENES'!$O918=$B$3),IF($D$3="(todos)",TRUE,'ORDENES'!$AF918=$D$3),IF($F$3="(todos)",TRUE,'ORDENES'!$X918=$F$3),IF($H$3="(todos)",TRUE,'ORDENES'!$W918=$H$3),'ORDENES'!$AD918=TRUE,'ORDENES'!$A918&lt;&gt;""),1,0)</f>
        <v/>
      </c>
      <c r="L922" s="3">
        <f>IF(K922=1,IFERROR(MATCH('ORDENES'!$R918,lista_dias,0),9)*1000000000+IFERROR(MATCH('ORDENES'!$AF918,lista_turnos,0),9)*10000000+IFERROR(MATCH('ORDENES'!$AE918,tblTecnicos[nombre],0),99)*100000+915,9000000000000+915)</f>
        <v/>
      </c>
      <c r="M922" s="3">
        <f>IF(K922=1,SUMPRODUCT(--($L$8:$L$1207&lt;L922))+1,"")</f>
        <v/>
      </c>
      <c r="N922" s="17">
        <f>IF(K922=1,N('ORDENES'!$M918),0)</f>
        <v/>
      </c>
      <c r="O922" s="17">
        <f>IF('ORDENES'!$T918="preventiva",N922,0)</f>
        <v/>
      </c>
      <c r="P922" s="17">
        <f>IF('ORDENES'!$T918="correctiva",N922,0)</f>
        <v/>
      </c>
      <c r="Q922" s="3">
        <f>IF(AND(K922=1,'ORDENES'!$N918="Pendiente"),1,0)</f>
        <v/>
      </c>
      <c r="R922" s="3">
        <f>IF(Q922=1,100000-N922*1000+915*0.01,9000000000000+915)</f>
        <v/>
      </c>
      <c r="S922" s="3">
        <f>IF(Q922=1,SUMPRODUCT(--($R$8:$R$1207&lt;R922))+1,"")</f>
        <v/>
      </c>
      <c r="T922" s="12">
        <f>IF(K922=1,'ORDENES'!$J918,"")</f>
        <v/>
      </c>
    </row>
    <row r="923">
      <c r="K923" s="3">
        <f>IF(AND(IF($B$3="(todos)",TRUE,'ORDENES'!$O919=$B$3),IF($D$3="(todos)",TRUE,'ORDENES'!$AF919=$D$3),IF($F$3="(todos)",TRUE,'ORDENES'!$X919=$F$3),IF($H$3="(todos)",TRUE,'ORDENES'!$W919=$H$3),'ORDENES'!$AD919=TRUE,'ORDENES'!$A919&lt;&gt;""),1,0)</f>
        <v/>
      </c>
      <c r="L923" s="3">
        <f>IF(K923=1,IFERROR(MATCH('ORDENES'!$R919,lista_dias,0),9)*1000000000+IFERROR(MATCH('ORDENES'!$AF919,lista_turnos,0),9)*10000000+IFERROR(MATCH('ORDENES'!$AE919,tblTecnicos[nombre],0),99)*100000+916,9000000000000+916)</f>
        <v/>
      </c>
      <c r="M923" s="3">
        <f>IF(K923=1,SUMPRODUCT(--($L$8:$L$1207&lt;L923))+1,"")</f>
        <v/>
      </c>
      <c r="N923" s="17">
        <f>IF(K923=1,N('ORDENES'!$M919),0)</f>
        <v/>
      </c>
      <c r="O923" s="17">
        <f>IF('ORDENES'!$T919="preventiva",N923,0)</f>
        <v/>
      </c>
      <c r="P923" s="17">
        <f>IF('ORDENES'!$T919="correctiva",N923,0)</f>
        <v/>
      </c>
      <c r="Q923" s="3">
        <f>IF(AND(K923=1,'ORDENES'!$N919="Pendiente"),1,0)</f>
        <v/>
      </c>
      <c r="R923" s="3">
        <f>IF(Q923=1,100000-N923*1000+916*0.01,9000000000000+916)</f>
        <v/>
      </c>
      <c r="S923" s="3">
        <f>IF(Q923=1,SUMPRODUCT(--($R$8:$R$1207&lt;R923))+1,"")</f>
        <v/>
      </c>
      <c r="T923" s="12">
        <f>IF(K923=1,'ORDENES'!$J919,"")</f>
        <v/>
      </c>
    </row>
    <row r="924">
      <c r="K924" s="3">
        <f>IF(AND(IF($B$3="(todos)",TRUE,'ORDENES'!$O920=$B$3),IF($D$3="(todos)",TRUE,'ORDENES'!$AF920=$D$3),IF($F$3="(todos)",TRUE,'ORDENES'!$X920=$F$3),IF($H$3="(todos)",TRUE,'ORDENES'!$W920=$H$3),'ORDENES'!$AD920=TRUE,'ORDENES'!$A920&lt;&gt;""),1,0)</f>
        <v/>
      </c>
      <c r="L924" s="3">
        <f>IF(K924=1,IFERROR(MATCH('ORDENES'!$R920,lista_dias,0),9)*1000000000+IFERROR(MATCH('ORDENES'!$AF920,lista_turnos,0),9)*10000000+IFERROR(MATCH('ORDENES'!$AE920,tblTecnicos[nombre],0),99)*100000+917,9000000000000+917)</f>
        <v/>
      </c>
      <c r="M924" s="3">
        <f>IF(K924=1,SUMPRODUCT(--($L$8:$L$1207&lt;L924))+1,"")</f>
        <v/>
      </c>
      <c r="N924" s="17">
        <f>IF(K924=1,N('ORDENES'!$M920),0)</f>
        <v/>
      </c>
      <c r="O924" s="17">
        <f>IF('ORDENES'!$T920="preventiva",N924,0)</f>
        <v/>
      </c>
      <c r="P924" s="17">
        <f>IF('ORDENES'!$T920="correctiva",N924,0)</f>
        <v/>
      </c>
      <c r="Q924" s="3">
        <f>IF(AND(K924=1,'ORDENES'!$N920="Pendiente"),1,0)</f>
        <v/>
      </c>
      <c r="R924" s="3">
        <f>IF(Q924=1,100000-N924*1000+917*0.01,9000000000000+917)</f>
        <v/>
      </c>
      <c r="S924" s="3">
        <f>IF(Q924=1,SUMPRODUCT(--($R$8:$R$1207&lt;R924))+1,"")</f>
        <v/>
      </c>
      <c r="T924" s="12">
        <f>IF(K924=1,'ORDENES'!$J920,"")</f>
        <v/>
      </c>
    </row>
    <row r="925">
      <c r="K925" s="3">
        <f>IF(AND(IF($B$3="(todos)",TRUE,'ORDENES'!$O921=$B$3),IF($D$3="(todos)",TRUE,'ORDENES'!$AF921=$D$3),IF($F$3="(todos)",TRUE,'ORDENES'!$X921=$F$3),IF($H$3="(todos)",TRUE,'ORDENES'!$W921=$H$3),'ORDENES'!$AD921=TRUE,'ORDENES'!$A921&lt;&gt;""),1,0)</f>
        <v/>
      </c>
      <c r="L925" s="3">
        <f>IF(K925=1,IFERROR(MATCH('ORDENES'!$R921,lista_dias,0),9)*1000000000+IFERROR(MATCH('ORDENES'!$AF921,lista_turnos,0),9)*10000000+IFERROR(MATCH('ORDENES'!$AE921,tblTecnicos[nombre],0),99)*100000+918,9000000000000+918)</f>
        <v/>
      </c>
      <c r="M925" s="3">
        <f>IF(K925=1,SUMPRODUCT(--($L$8:$L$1207&lt;L925))+1,"")</f>
        <v/>
      </c>
      <c r="N925" s="17">
        <f>IF(K925=1,N('ORDENES'!$M921),0)</f>
        <v/>
      </c>
      <c r="O925" s="17">
        <f>IF('ORDENES'!$T921="preventiva",N925,0)</f>
        <v/>
      </c>
      <c r="P925" s="17">
        <f>IF('ORDENES'!$T921="correctiva",N925,0)</f>
        <v/>
      </c>
      <c r="Q925" s="3">
        <f>IF(AND(K925=1,'ORDENES'!$N921="Pendiente"),1,0)</f>
        <v/>
      </c>
      <c r="R925" s="3">
        <f>IF(Q925=1,100000-N925*1000+918*0.01,9000000000000+918)</f>
        <v/>
      </c>
      <c r="S925" s="3">
        <f>IF(Q925=1,SUMPRODUCT(--($R$8:$R$1207&lt;R925))+1,"")</f>
        <v/>
      </c>
      <c r="T925" s="12">
        <f>IF(K925=1,'ORDENES'!$J921,"")</f>
        <v/>
      </c>
    </row>
    <row r="926">
      <c r="K926" s="3">
        <f>IF(AND(IF($B$3="(todos)",TRUE,'ORDENES'!$O922=$B$3),IF($D$3="(todos)",TRUE,'ORDENES'!$AF922=$D$3),IF($F$3="(todos)",TRUE,'ORDENES'!$X922=$F$3),IF($H$3="(todos)",TRUE,'ORDENES'!$W922=$H$3),'ORDENES'!$AD922=TRUE,'ORDENES'!$A922&lt;&gt;""),1,0)</f>
        <v/>
      </c>
      <c r="L926" s="3">
        <f>IF(K926=1,IFERROR(MATCH('ORDENES'!$R922,lista_dias,0),9)*1000000000+IFERROR(MATCH('ORDENES'!$AF922,lista_turnos,0),9)*10000000+IFERROR(MATCH('ORDENES'!$AE922,tblTecnicos[nombre],0),99)*100000+919,9000000000000+919)</f>
        <v/>
      </c>
      <c r="M926" s="3">
        <f>IF(K926=1,SUMPRODUCT(--($L$8:$L$1207&lt;L926))+1,"")</f>
        <v/>
      </c>
      <c r="N926" s="17">
        <f>IF(K926=1,N('ORDENES'!$M922),0)</f>
        <v/>
      </c>
      <c r="O926" s="17">
        <f>IF('ORDENES'!$T922="preventiva",N926,0)</f>
        <v/>
      </c>
      <c r="P926" s="17">
        <f>IF('ORDENES'!$T922="correctiva",N926,0)</f>
        <v/>
      </c>
      <c r="Q926" s="3">
        <f>IF(AND(K926=1,'ORDENES'!$N922="Pendiente"),1,0)</f>
        <v/>
      </c>
      <c r="R926" s="3">
        <f>IF(Q926=1,100000-N926*1000+919*0.01,9000000000000+919)</f>
        <v/>
      </c>
      <c r="S926" s="3">
        <f>IF(Q926=1,SUMPRODUCT(--($R$8:$R$1207&lt;R926))+1,"")</f>
        <v/>
      </c>
      <c r="T926" s="12">
        <f>IF(K926=1,'ORDENES'!$J922,"")</f>
        <v/>
      </c>
    </row>
    <row r="927">
      <c r="K927" s="3">
        <f>IF(AND(IF($B$3="(todos)",TRUE,'ORDENES'!$O923=$B$3),IF($D$3="(todos)",TRUE,'ORDENES'!$AF923=$D$3),IF($F$3="(todos)",TRUE,'ORDENES'!$X923=$F$3),IF($H$3="(todos)",TRUE,'ORDENES'!$W923=$H$3),'ORDENES'!$AD923=TRUE,'ORDENES'!$A923&lt;&gt;""),1,0)</f>
        <v/>
      </c>
      <c r="L927" s="3">
        <f>IF(K927=1,IFERROR(MATCH('ORDENES'!$R923,lista_dias,0),9)*1000000000+IFERROR(MATCH('ORDENES'!$AF923,lista_turnos,0),9)*10000000+IFERROR(MATCH('ORDENES'!$AE923,tblTecnicos[nombre],0),99)*100000+920,9000000000000+920)</f>
        <v/>
      </c>
      <c r="M927" s="3">
        <f>IF(K927=1,SUMPRODUCT(--($L$8:$L$1207&lt;L927))+1,"")</f>
        <v/>
      </c>
      <c r="N927" s="17">
        <f>IF(K927=1,N('ORDENES'!$M923),0)</f>
        <v/>
      </c>
      <c r="O927" s="17">
        <f>IF('ORDENES'!$T923="preventiva",N927,0)</f>
        <v/>
      </c>
      <c r="P927" s="17">
        <f>IF('ORDENES'!$T923="correctiva",N927,0)</f>
        <v/>
      </c>
      <c r="Q927" s="3">
        <f>IF(AND(K927=1,'ORDENES'!$N923="Pendiente"),1,0)</f>
        <v/>
      </c>
      <c r="R927" s="3">
        <f>IF(Q927=1,100000-N927*1000+920*0.01,9000000000000+920)</f>
        <v/>
      </c>
      <c r="S927" s="3">
        <f>IF(Q927=1,SUMPRODUCT(--($R$8:$R$1207&lt;R927))+1,"")</f>
        <v/>
      </c>
      <c r="T927" s="12">
        <f>IF(K927=1,'ORDENES'!$J923,"")</f>
        <v/>
      </c>
    </row>
    <row r="928">
      <c r="K928" s="3">
        <f>IF(AND(IF($B$3="(todos)",TRUE,'ORDENES'!$O924=$B$3),IF($D$3="(todos)",TRUE,'ORDENES'!$AF924=$D$3),IF($F$3="(todos)",TRUE,'ORDENES'!$X924=$F$3),IF($H$3="(todos)",TRUE,'ORDENES'!$W924=$H$3),'ORDENES'!$AD924=TRUE,'ORDENES'!$A924&lt;&gt;""),1,0)</f>
        <v/>
      </c>
      <c r="L928" s="3">
        <f>IF(K928=1,IFERROR(MATCH('ORDENES'!$R924,lista_dias,0),9)*1000000000+IFERROR(MATCH('ORDENES'!$AF924,lista_turnos,0),9)*10000000+IFERROR(MATCH('ORDENES'!$AE924,tblTecnicos[nombre],0),99)*100000+921,9000000000000+921)</f>
        <v/>
      </c>
      <c r="M928" s="3">
        <f>IF(K928=1,SUMPRODUCT(--($L$8:$L$1207&lt;L928))+1,"")</f>
        <v/>
      </c>
      <c r="N928" s="17">
        <f>IF(K928=1,N('ORDENES'!$M924),0)</f>
        <v/>
      </c>
      <c r="O928" s="17">
        <f>IF('ORDENES'!$T924="preventiva",N928,0)</f>
        <v/>
      </c>
      <c r="P928" s="17">
        <f>IF('ORDENES'!$T924="correctiva",N928,0)</f>
        <v/>
      </c>
      <c r="Q928" s="3">
        <f>IF(AND(K928=1,'ORDENES'!$N924="Pendiente"),1,0)</f>
        <v/>
      </c>
      <c r="R928" s="3">
        <f>IF(Q928=1,100000-N928*1000+921*0.01,9000000000000+921)</f>
        <v/>
      </c>
      <c r="S928" s="3">
        <f>IF(Q928=1,SUMPRODUCT(--($R$8:$R$1207&lt;R928))+1,"")</f>
        <v/>
      </c>
      <c r="T928" s="12">
        <f>IF(K928=1,'ORDENES'!$J924,"")</f>
        <v/>
      </c>
    </row>
    <row r="929">
      <c r="K929" s="3">
        <f>IF(AND(IF($B$3="(todos)",TRUE,'ORDENES'!$O925=$B$3),IF($D$3="(todos)",TRUE,'ORDENES'!$AF925=$D$3),IF($F$3="(todos)",TRUE,'ORDENES'!$X925=$F$3),IF($H$3="(todos)",TRUE,'ORDENES'!$W925=$H$3),'ORDENES'!$AD925=TRUE,'ORDENES'!$A925&lt;&gt;""),1,0)</f>
        <v/>
      </c>
      <c r="L929" s="3">
        <f>IF(K929=1,IFERROR(MATCH('ORDENES'!$R925,lista_dias,0),9)*1000000000+IFERROR(MATCH('ORDENES'!$AF925,lista_turnos,0),9)*10000000+IFERROR(MATCH('ORDENES'!$AE925,tblTecnicos[nombre],0),99)*100000+922,9000000000000+922)</f>
        <v/>
      </c>
      <c r="M929" s="3">
        <f>IF(K929=1,SUMPRODUCT(--($L$8:$L$1207&lt;L929))+1,"")</f>
        <v/>
      </c>
      <c r="N929" s="17">
        <f>IF(K929=1,N('ORDENES'!$M925),0)</f>
        <v/>
      </c>
      <c r="O929" s="17">
        <f>IF('ORDENES'!$T925="preventiva",N929,0)</f>
        <v/>
      </c>
      <c r="P929" s="17">
        <f>IF('ORDENES'!$T925="correctiva",N929,0)</f>
        <v/>
      </c>
      <c r="Q929" s="3">
        <f>IF(AND(K929=1,'ORDENES'!$N925="Pendiente"),1,0)</f>
        <v/>
      </c>
      <c r="R929" s="3">
        <f>IF(Q929=1,100000-N929*1000+922*0.01,9000000000000+922)</f>
        <v/>
      </c>
      <c r="S929" s="3">
        <f>IF(Q929=1,SUMPRODUCT(--($R$8:$R$1207&lt;R929))+1,"")</f>
        <v/>
      </c>
      <c r="T929" s="12">
        <f>IF(K929=1,'ORDENES'!$J925,"")</f>
        <v/>
      </c>
    </row>
    <row r="930">
      <c r="K930" s="3">
        <f>IF(AND(IF($B$3="(todos)",TRUE,'ORDENES'!$O926=$B$3),IF($D$3="(todos)",TRUE,'ORDENES'!$AF926=$D$3),IF($F$3="(todos)",TRUE,'ORDENES'!$X926=$F$3),IF($H$3="(todos)",TRUE,'ORDENES'!$W926=$H$3),'ORDENES'!$AD926=TRUE,'ORDENES'!$A926&lt;&gt;""),1,0)</f>
        <v/>
      </c>
      <c r="L930" s="3">
        <f>IF(K930=1,IFERROR(MATCH('ORDENES'!$R926,lista_dias,0),9)*1000000000+IFERROR(MATCH('ORDENES'!$AF926,lista_turnos,0),9)*10000000+IFERROR(MATCH('ORDENES'!$AE926,tblTecnicos[nombre],0),99)*100000+923,9000000000000+923)</f>
        <v/>
      </c>
      <c r="M930" s="3">
        <f>IF(K930=1,SUMPRODUCT(--($L$8:$L$1207&lt;L930))+1,"")</f>
        <v/>
      </c>
      <c r="N930" s="17">
        <f>IF(K930=1,N('ORDENES'!$M926),0)</f>
        <v/>
      </c>
      <c r="O930" s="17">
        <f>IF('ORDENES'!$T926="preventiva",N930,0)</f>
        <v/>
      </c>
      <c r="P930" s="17">
        <f>IF('ORDENES'!$T926="correctiva",N930,0)</f>
        <v/>
      </c>
      <c r="Q930" s="3">
        <f>IF(AND(K930=1,'ORDENES'!$N926="Pendiente"),1,0)</f>
        <v/>
      </c>
      <c r="R930" s="3">
        <f>IF(Q930=1,100000-N930*1000+923*0.01,9000000000000+923)</f>
        <v/>
      </c>
      <c r="S930" s="3">
        <f>IF(Q930=1,SUMPRODUCT(--($R$8:$R$1207&lt;R930))+1,"")</f>
        <v/>
      </c>
      <c r="T930" s="12">
        <f>IF(K930=1,'ORDENES'!$J926,"")</f>
        <v/>
      </c>
    </row>
    <row r="931">
      <c r="K931" s="3">
        <f>IF(AND(IF($B$3="(todos)",TRUE,'ORDENES'!$O927=$B$3),IF($D$3="(todos)",TRUE,'ORDENES'!$AF927=$D$3),IF($F$3="(todos)",TRUE,'ORDENES'!$X927=$F$3),IF($H$3="(todos)",TRUE,'ORDENES'!$W927=$H$3),'ORDENES'!$AD927=TRUE,'ORDENES'!$A927&lt;&gt;""),1,0)</f>
        <v/>
      </c>
      <c r="L931" s="3">
        <f>IF(K931=1,IFERROR(MATCH('ORDENES'!$R927,lista_dias,0),9)*1000000000+IFERROR(MATCH('ORDENES'!$AF927,lista_turnos,0),9)*10000000+IFERROR(MATCH('ORDENES'!$AE927,tblTecnicos[nombre],0),99)*100000+924,9000000000000+924)</f>
        <v/>
      </c>
      <c r="M931" s="3">
        <f>IF(K931=1,SUMPRODUCT(--($L$8:$L$1207&lt;L931))+1,"")</f>
        <v/>
      </c>
      <c r="N931" s="17">
        <f>IF(K931=1,N('ORDENES'!$M927),0)</f>
        <v/>
      </c>
      <c r="O931" s="17">
        <f>IF('ORDENES'!$T927="preventiva",N931,0)</f>
        <v/>
      </c>
      <c r="P931" s="17">
        <f>IF('ORDENES'!$T927="correctiva",N931,0)</f>
        <v/>
      </c>
      <c r="Q931" s="3">
        <f>IF(AND(K931=1,'ORDENES'!$N927="Pendiente"),1,0)</f>
        <v/>
      </c>
      <c r="R931" s="3">
        <f>IF(Q931=1,100000-N931*1000+924*0.01,9000000000000+924)</f>
        <v/>
      </c>
      <c r="S931" s="3">
        <f>IF(Q931=1,SUMPRODUCT(--($R$8:$R$1207&lt;R931))+1,"")</f>
        <v/>
      </c>
      <c r="T931" s="12">
        <f>IF(K931=1,'ORDENES'!$J927,"")</f>
        <v/>
      </c>
    </row>
    <row r="932">
      <c r="K932" s="3">
        <f>IF(AND(IF($B$3="(todos)",TRUE,'ORDENES'!$O928=$B$3),IF($D$3="(todos)",TRUE,'ORDENES'!$AF928=$D$3),IF($F$3="(todos)",TRUE,'ORDENES'!$X928=$F$3),IF($H$3="(todos)",TRUE,'ORDENES'!$W928=$H$3),'ORDENES'!$AD928=TRUE,'ORDENES'!$A928&lt;&gt;""),1,0)</f>
        <v/>
      </c>
      <c r="L932" s="3">
        <f>IF(K932=1,IFERROR(MATCH('ORDENES'!$R928,lista_dias,0),9)*1000000000+IFERROR(MATCH('ORDENES'!$AF928,lista_turnos,0),9)*10000000+IFERROR(MATCH('ORDENES'!$AE928,tblTecnicos[nombre],0),99)*100000+925,9000000000000+925)</f>
        <v/>
      </c>
      <c r="M932" s="3">
        <f>IF(K932=1,SUMPRODUCT(--($L$8:$L$1207&lt;L932))+1,"")</f>
        <v/>
      </c>
      <c r="N932" s="17">
        <f>IF(K932=1,N('ORDENES'!$M928),0)</f>
        <v/>
      </c>
      <c r="O932" s="17">
        <f>IF('ORDENES'!$T928="preventiva",N932,0)</f>
        <v/>
      </c>
      <c r="P932" s="17">
        <f>IF('ORDENES'!$T928="correctiva",N932,0)</f>
        <v/>
      </c>
      <c r="Q932" s="3">
        <f>IF(AND(K932=1,'ORDENES'!$N928="Pendiente"),1,0)</f>
        <v/>
      </c>
      <c r="R932" s="3">
        <f>IF(Q932=1,100000-N932*1000+925*0.01,9000000000000+925)</f>
        <v/>
      </c>
      <c r="S932" s="3">
        <f>IF(Q932=1,SUMPRODUCT(--($R$8:$R$1207&lt;R932))+1,"")</f>
        <v/>
      </c>
      <c r="T932" s="12">
        <f>IF(K932=1,'ORDENES'!$J928,"")</f>
        <v/>
      </c>
    </row>
    <row r="933">
      <c r="K933" s="3">
        <f>IF(AND(IF($B$3="(todos)",TRUE,'ORDENES'!$O929=$B$3),IF($D$3="(todos)",TRUE,'ORDENES'!$AF929=$D$3),IF($F$3="(todos)",TRUE,'ORDENES'!$X929=$F$3),IF($H$3="(todos)",TRUE,'ORDENES'!$W929=$H$3),'ORDENES'!$AD929=TRUE,'ORDENES'!$A929&lt;&gt;""),1,0)</f>
        <v/>
      </c>
      <c r="L933" s="3">
        <f>IF(K933=1,IFERROR(MATCH('ORDENES'!$R929,lista_dias,0),9)*1000000000+IFERROR(MATCH('ORDENES'!$AF929,lista_turnos,0),9)*10000000+IFERROR(MATCH('ORDENES'!$AE929,tblTecnicos[nombre],0),99)*100000+926,9000000000000+926)</f>
        <v/>
      </c>
      <c r="M933" s="3">
        <f>IF(K933=1,SUMPRODUCT(--($L$8:$L$1207&lt;L933))+1,"")</f>
        <v/>
      </c>
      <c r="N933" s="17">
        <f>IF(K933=1,N('ORDENES'!$M929),0)</f>
        <v/>
      </c>
      <c r="O933" s="17">
        <f>IF('ORDENES'!$T929="preventiva",N933,0)</f>
        <v/>
      </c>
      <c r="P933" s="17">
        <f>IF('ORDENES'!$T929="correctiva",N933,0)</f>
        <v/>
      </c>
      <c r="Q933" s="3">
        <f>IF(AND(K933=1,'ORDENES'!$N929="Pendiente"),1,0)</f>
        <v/>
      </c>
      <c r="R933" s="3">
        <f>IF(Q933=1,100000-N933*1000+926*0.01,9000000000000+926)</f>
        <v/>
      </c>
      <c r="S933" s="3">
        <f>IF(Q933=1,SUMPRODUCT(--($R$8:$R$1207&lt;R933))+1,"")</f>
        <v/>
      </c>
      <c r="T933" s="12">
        <f>IF(K933=1,'ORDENES'!$J929,"")</f>
        <v/>
      </c>
    </row>
    <row r="934">
      <c r="K934" s="3">
        <f>IF(AND(IF($B$3="(todos)",TRUE,'ORDENES'!$O930=$B$3),IF($D$3="(todos)",TRUE,'ORDENES'!$AF930=$D$3),IF($F$3="(todos)",TRUE,'ORDENES'!$X930=$F$3),IF($H$3="(todos)",TRUE,'ORDENES'!$W930=$H$3),'ORDENES'!$AD930=TRUE,'ORDENES'!$A930&lt;&gt;""),1,0)</f>
        <v/>
      </c>
      <c r="L934" s="3">
        <f>IF(K934=1,IFERROR(MATCH('ORDENES'!$R930,lista_dias,0),9)*1000000000+IFERROR(MATCH('ORDENES'!$AF930,lista_turnos,0),9)*10000000+IFERROR(MATCH('ORDENES'!$AE930,tblTecnicos[nombre],0),99)*100000+927,9000000000000+927)</f>
        <v/>
      </c>
      <c r="M934" s="3">
        <f>IF(K934=1,SUMPRODUCT(--($L$8:$L$1207&lt;L934))+1,"")</f>
        <v/>
      </c>
      <c r="N934" s="17">
        <f>IF(K934=1,N('ORDENES'!$M930),0)</f>
        <v/>
      </c>
      <c r="O934" s="17">
        <f>IF('ORDENES'!$T930="preventiva",N934,0)</f>
        <v/>
      </c>
      <c r="P934" s="17">
        <f>IF('ORDENES'!$T930="correctiva",N934,0)</f>
        <v/>
      </c>
      <c r="Q934" s="3">
        <f>IF(AND(K934=1,'ORDENES'!$N930="Pendiente"),1,0)</f>
        <v/>
      </c>
      <c r="R934" s="3">
        <f>IF(Q934=1,100000-N934*1000+927*0.01,9000000000000+927)</f>
        <v/>
      </c>
      <c r="S934" s="3">
        <f>IF(Q934=1,SUMPRODUCT(--($R$8:$R$1207&lt;R934))+1,"")</f>
        <v/>
      </c>
      <c r="T934" s="12">
        <f>IF(K934=1,'ORDENES'!$J930,"")</f>
        <v/>
      </c>
    </row>
    <row r="935">
      <c r="K935" s="3">
        <f>IF(AND(IF($B$3="(todos)",TRUE,'ORDENES'!$O931=$B$3),IF($D$3="(todos)",TRUE,'ORDENES'!$AF931=$D$3),IF($F$3="(todos)",TRUE,'ORDENES'!$X931=$F$3),IF($H$3="(todos)",TRUE,'ORDENES'!$W931=$H$3),'ORDENES'!$AD931=TRUE,'ORDENES'!$A931&lt;&gt;""),1,0)</f>
        <v/>
      </c>
      <c r="L935" s="3">
        <f>IF(K935=1,IFERROR(MATCH('ORDENES'!$R931,lista_dias,0),9)*1000000000+IFERROR(MATCH('ORDENES'!$AF931,lista_turnos,0),9)*10000000+IFERROR(MATCH('ORDENES'!$AE931,tblTecnicos[nombre],0),99)*100000+928,9000000000000+928)</f>
        <v/>
      </c>
      <c r="M935" s="3">
        <f>IF(K935=1,SUMPRODUCT(--($L$8:$L$1207&lt;L935))+1,"")</f>
        <v/>
      </c>
      <c r="N935" s="17">
        <f>IF(K935=1,N('ORDENES'!$M931),0)</f>
        <v/>
      </c>
      <c r="O935" s="17">
        <f>IF('ORDENES'!$T931="preventiva",N935,0)</f>
        <v/>
      </c>
      <c r="P935" s="17">
        <f>IF('ORDENES'!$T931="correctiva",N935,0)</f>
        <v/>
      </c>
      <c r="Q935" s="3">
        <f>IF(AND(K935=1,'ORDENES'!$N931="Pendiente"),1,0)</f>
        <v/>
      </c>
      <c r="R935" s="3">
        <f>IF(Q935=1,100000-N935*1000+928*0.01,9000000000000+928)</f>
        <v/>
      </c>
      <c r="S935" s="3">
        <f>IF(Q935=1,SUMPRODUCT(--($R$8:$R$1207&lt;R935))+1,"")</f>
        <v/>
      </c>
      <c r="T935" s="12">
        <f>IF(K935=1,'ORDENES'!$J931,"")</f>
        <v/>
      </c>
    </row>
    <row r="936">
      <c r="K936" s="3">
        <f>IF(AND(IF($B$3="(todos)",TRUE,'ORDENES'!$O932=$B$3),IF($D$3="(todos)",TRUE,'ORDENES'!$AF932=$D$3),IF($F$3="(todos)",TRUE,'ORDENES'!$X932=$F$3),IF($H$3="(todos)",TRUE,'ORDENES'!$W932=$H$3),'ORDENES'!$AD932=TRUE,'ORDENES'!$A932&lt;&gt;""),1,0)</f>
        <v/>
      </c>
      <c r="L936" s="3">
        <f>IF(K936=1,IFERROR(MATCH('ORDENES'!$R932,lista_dias,0),9)*1000000000+IFERROR(MATCH('ORDENES'!$AF932,lista_turnos,0),9)*10000000+IFERROR(MATCH('ORDENES'!$AE932,tblTecnicos[nombre],0),99)*100000+929,9000000000000+929)</f>
        <v/>
      </c>
      <c r="M936" s="3">
        <f>IF(K936=1,SUMPRODUCT(--($L$8:$L$1207&lt;L936))+1,"")</f>
        <v/>
      </c>
      <c r="N936" s="17">
        <f>IF(K936=1,N('ORDENES'!$M932),0)</f>
        <v/>
      </c>
      <c r="O936" s="17">
        <f>IF('ORDENES'!$T932="preventiva",N936,0)</f>
        <v/>
      </c>
      <c r="P936" s="17">
        <f>IF('ORDENES'!$T932="correctiva",N936,0)</f>
        <v/>
      </c>
      <c r="Q936" s="3">
        <f>IF(AND(K936=1,'ORDENES'!$N932="Pendiente"),1,0)</f>
        <v/>
      </c>
      <c r="R936" s="3">
        <f>IF(Q936=1,100000-N936*1000+929*0.01,9000000000000+929)</f>
        <v/>
      </c>
      <c r="S936" s="3">
        <f>IF(Q936=1,SUMPRODUCT(--($R$8:$R$1207&lt;R936))+1,"")</f>
        <v/>
      </c>
      <c r="T936" s="12">
        <f>IF(K936=1,'ORDENES'!$J932,"")</f>
        <v/>
      </c>
    </row>
    <row r="937">
      <c r="K937" s="3">
        <f>IF(AND(IF($B$3="(todos)",TRUE,'ORDENES'!$O933=$B$3),IF($D$3="(todos)",TRUE,'ORDENES'!$AF933=$D$3),IF($F$3="(todos)",TRUE,'ORDENES'!$X933=$F$3),IF($H$3="(todos)",TRUE,'ORDENES'!$W933=$H$3),'ORDENES'!$AD933=TRUE,'ORDENES'!$A933&lt;&gt;""),1,0)</f>
        <v/>
      </c>
      <c r="L937" s="3">
        <f>IF(K937=1,IFERROR(MATCH('ORDENES'!$R933,lista_dias,0),9)*1000000000+IFERROR(MATCH('ORDENES'!$AF933,lista_turnos,0),9)*10000000+IFERROR(MATCH('ORDENES'!$AE933,tblTecnicos[nombre],0),99)*100000+930,9000000000000+930)</f>
        <v/>
      </c>
      <c r="M937" s="3">
        <f>IF(K937=1,SUMPRODUCT(--($L$8:$L$1207&lt;L937))+1,"")</f>
        <v/>
      </c>
      <c r="N937" s="17">
        <f>IF(K937=1,N('ORDENES'!$M933),0)</f>
        <v/>
      </c>
      <c r="O937" s="17">
        <f>IF('ORDENES'!$T933="preventiva",N937,0)</f>
        <v/>
      </c>
      <c r="P937" s="17">
        <f>IF('ORDENES'!$T933="correctiva",N937,0)</f>
        <v/>
      </c>
      <c r="Q937" s="3">
        <f>IF(AND(K937=1,'ORDENES'!$N933="Pendiente"),1,0)</f>
        <v/>
      </c>
      <c r="R937" s="3">
        <f>IF(Q937=1,100000-N937*1000+930*0.01,9000000000000+930)</f>
        <v/>
      </c>
      <c r="S937" s="3">
        <f>IF(Q937=1,SUMPRODUCT(--($R$8:$R$1207&lt;R937))+1,"")</f>
        <v/>
      </c>
      <c r="T937" s="12">
        <f>IF(K937=1,'ORDENES'!$J933,"")</f>
        <v/>
      </c>
    </row>
    <row r="938">
      <c r="K938" s="3">
        <f>IF(AND(IF($B$3="(todos)",TRUE,'ORDENES'!$O934=$B$3),IF($D$3="(todos)",TRUE,'ORDENES'!$AF934=$D$3),IF($F$3="(todos)",TRUE,'ORDENES'!$X934=$F$3),IF($H$3="(todos)",TRUE,'ORDENES'!$W934=$H$3),'ORDENES'!$AD934=TRUE,'ORDENES'!$A934&lt;&gt;""),1,0)</f>
        <v/>
      </c>
      <c r="L938" s="3">
        <f>IF(K938=1,IFERROR(MATCH('ORDENES'!$R934,lista_dias,0),9)*1000000000+IFERROR(MATCH('ORDENES'!$AF934,lista_turnos,0),9)*10000000+IFERROR(MATCH('ORDENES'!$AE934,tblTecnicos[nombre],0),99)*100000+931,9000000000000+931)</f>
        <v/>
      </c>
      <c r="M938" s="3">
        <f>IF(K938=1,SUMPRODUCT(--($L$8:$L$1207&lt;L938))+1,"")</f>
        <v/>
      </c>
      <c r="N938" s="17">
        <f>IF(K938=1,N('ORDENES'!$M934),0)</f>
        <v/>
      </c>
      <c r="O938" s="17">
        <f>IF('ORDENES'!$T934="preventiva",N938,0)</f>
        <v/>
      </c>
      <c r="P938" s="17">
        <f>IF('ORDENES'!$T934="correctiva",N938,0)</f>
        <v/>
      </c>
      <c r="Q938" s="3">
        <f>IF(AND(K938=1,'ORDENES'!$N934="Pendiente"),1,0)</f>
        <v/>
      </c>
      <c r="R938" s="3">
        <f>IF(Q938=1,100000-N938*1000+931*0.01,9000000000000+931)</f>
        <v/>
      </c>
      <c r="S938" s="3">
        <f>IF(Q938=1,SUMPRODUCT(--($R$8:$R$1207&lt;R938))+1,"")</f>
        <v/>
      </c>
      <c r="T938" s="12">
        <f>IF(K938=1,'ORDENES'!$J934,"")</f>
        <v/>
      </c>
    </row>
    <row r="939">
      <c r="K939" s="3">
        <f>IF(AND(IF($B$3="(todos)",TRUE,'ORDENES'!$O935=$B$3),IF($D$3="(todos)",TRUE,'ORDENES'!$AF935=$D$3),IF($F$3="(todos)",TRUE,'ORDENES'!$X935=$F$3),IF($H$3="(todos)",TRUE,'ORDENES'!$W935=$H$3),'ORDENES'!$AD935=TRUE,'ORDENES'!$A935&lt;&gt;""),1,0)</f>
        <v/>
      </c>
      <c r="L939" s="3">
        <f>IF(K939=1,IFERROR(MATCH('ORDENES'!$R935,lista_dias,0),9)*1000000000+IFERROR(MATCH('ORDENES'!$AF935,lista_turnos,0),9)*10000000+IFERROR(MATCH('ORDENES'!$AE935,tblTecnicos[nombre],0),99)*100000+932,9000000000000+932)</f>
        <v/>
      </c>
      <c r="M939" s="3">
        <f>IF(K939=1,SUMPRODUCT(--($L$8:$L$1207&lt;L939))+1,"")</f>
        <v/>
      </c>
      <c r="N939" s="17">
        <f>IF(K939=1,N('ORDENES'!$M935),0)</f>
        <v/>
      </c>
      <c r="O939" s="17">
        <f>IF('ORDENES'!$T935="preventiva",N939,0)</f>
        <v/>
      </c>
      <c r="P939" s="17">
        <f>IF('ORDENES'!$T935="correctiva",N939,0)</f>
        <v/>
      </c>
      <c r="Q939" s="3">
        <f>IF(AND(K939=1,'ORDENES'!$N935="Pendiente"),1,0)</f>
        <v/>
      </c>
      <c r="R939" s="3">
        <f>IF(Q939=1,100000-N939*1000+932*0.01,9000000000000+932)</f>
        <v/>
      </c>
      <c r="S939" s="3">
        <f>IF(Q939=1,SUMPRODUCT(--($R$8:$R$1207&lt;R939))+1,"")</f>
        <v/>
      </c>
      <c r="T939" s="12">
        <f>IF(K939=1,'ORDENES'!$J935,"")</f>
        <v/>
      </c>
    </row>
    <row r="940">
      <c r="K940" s="3">
        <f>IF(AND(IF($B$3="(todos)",TRUE,'ORDENES'!$O936=$B$3),IF($D$3="(todos)",TRUE,'ORDENES'!$AF936=$D$3),IF($F$3="(todos)",TRUE,'ORDENES'!$X936=$F$3),IF($H$3="(todos)",TRUE,'ORDENES'!$W936=$H$3),'ORDENES'!$AD936=TRUE,'ORDENES'!$A936&lt;&gt;""),1,0)</f>
        <v/>
      </c>
      <c r="L940" s="3">
        <f>IF(K940=1,IFERROR(MATCH('ORDENES'!$R936,lista_dias,0),9)*1000000000+IFERROR(MATCH('ORDENES'!$AF936,lista_turnos,0),9)*10000000+IFERROR(MATCH('ORDENES'!$AE936,tblTecnicos[nombre],0),99)*100000+933,9000000000000+933)</f>
        <v/>
      </c>
      <c r="M940" s="3">
        <f>IF(K940=1,SUMPRODUCT(--($L$8:$L$1207&lt;L940))+1,"")</f>
        <v/>
      </c>
      <c r="N940" s="17">
        <f>IF(K940=1,N('ORDENES'!$M936),0)</f>
        <v/>
      </c>
      <c r="O940" s="17">
        <f>IF('ORDENES'!$T936="preventiva",N940,0)</f>
        <v/>
      </c>
      <c r="P940" s="17">
        <f>IF('ORDENES'!$T936="correctiva",N940,0)</f>
        <v/>
      </c>
      <c r="Q940" s="3">
        <f>IF(AND(K940=1,'ORDENES'!$N936="Pendiente"),1,0)</f>
        <v/>
      </c>
      <c r="R940" s="3">
        <f>IF(Q940=1,100000-N940*1000+933*0.01,9000000000000+933)</f>
        <v/>
      </c>
      <c r="S940" s="3">
        <f>IF(Q940=1,SUMPRODUCT(--($R$8:$R$1207&lt;R940))+1,"")</f>
        <v/>
      </c>
      <c r="T940" s="12">
        <f>IF(K940=1,'ORDENES'!$J936,"")</f>
        <v/>
      </c>
    </row>
    <row r="941">
      <c r="K941" s="3">
        <f>IF(AND(IF($B$3="(todos)",TRUE,'ORDENES'!$O937=$B$3),IF($D$3="(todos)",TRUE,'ORDENES'!$AF937=$D$3),IF($F$3="(todos)",TRUE,'ORDENES'!$X937=$F$3),IF($H$3="(todos)",TRUE,'ORDENES'!$W937=$H$3),'ORDENES'!$AD937=TRUE,'ORDENES'!$A937&lt;&gt;""),1,0)</f>
        <v/>
      </c>
      <c r="L941" s="3">
        <f>IF(K941=1,IFERROR(MATCH('ORDENES'!$R937,lista_dias,0),9)*1000000000+IFERROR(MATCH('ORDENES'!$AF937,lista_turnos,0),9)*10000000+IFERROR(MATCH('ORDENES'!$AE937,tblTecnicos[nombre],0),99)*100000+934,9000000000000+934)</f>
        <v/>
      </c>
      <c r="M941" s="3">
        <f>IF(K941=1,SUMPRODUCT(--($L$8:$L$1207&lt;L941))+1,"")</f>
        <v/>
      </c>
      <c r="N941" s="17">
        <f>IF(K941=1,N('ORDENES'!$M937),0)</f>
        <v/>
      </c>
      <c r="O941" s="17">
        <f>IF('ORDENES'!$T937="preventiva",N941,0)</f>
        <v/>
      </c>
      <c r="P941" s="17">
        <f>IF('ORDENES'!$T937="correctiva",N941,0)</f>
        <v/>
      </c>
      <c r="Q941" s="3">
        <f>IF(AND(K941=1,'ORDENES'!$N937="Pendiente"),1,0)</f>
        <v/>
      </c>
      <c r="R941" s="3">
        <f>IF(Q941=1,100000-N941*1000+934*0.01,9000000000000+934)</f>
        <v/>
      </c>
      <c r="S941" s="3">
        <f>IF(Q941=1,SUMPRODUCT(--($R$8:$R$1207&lt;R941))+1,"")</f>
        <v/>
      </c>
      <c r="T941" s="12">
        <f>IF(K941=1,'ORDENES'!$J937,"")</f>
        <v/>
      </c>
    </row>
    <row r="942">
      <c r="K942" s="3">
        <f>IF(AND(IF($B$3="(todos)",TRUE,'ORDENES'!$O938=$B$3),IF($D$3="(todos)",TRUE,'ORDENES'!$AF938=$D$3),IF($F$3="(todos)",TRUE,'ORDENES'!$X938=$F$3),IF($H$3="(todos)",TRUE,'ORDENES'!$W938=$H$3),'ORDENES'!$AD938=TRUE,'ORDENES'!$A938&lt;&gt;""),1,0)</f>
        <v/>
      </c>
      <c r="L942" s="3">
        <f>IF(K942=1,IFERROR(MATCH('ORDENES'!$R938,lista_dias,0),9)*1000000000+IFERROR(MATCH('ORDENES'!$AF938,lista_turnos,0),9)*10000000+IFERROR(MATCH('ORDENES'!$AE938,tblTecnicos[nombre],0),99)*100000+935,9000000000000+935)</f>
        <v/>
      </c>
      <c r="M942" s="3">
        <f>IF(K942=1,SUMPRODUCT(--($L$8:$L$1207&lt;L942))+1,"")</f>
        <v/>
      </c>
      <c r="N942" s="17">
        <f>IF(K942=1,N('ORDENES'!$M938),0)</f>
        <v/>
      </c>
      <c r="O942" s="17">
        <f>IF('ORDENES'!$T938="preventiva",N942,0)</f>
        <v/>
      </c>
      <c r="P942" s="17">
        <f>IF('ORDENES'!$T938="correctiva",N942,0)</f>
        <v/>
      </c>
      <c r="Q942" s="3">
        <f>IF(AND(K942=1,'ORDENES'!$N938="Pendiente"),1,0)</f>
        <v/>
      </c>
      <c r="R942" s="3">
        <f>IF(Q942=1,100000-N942*1000+935*0.01,9000000000000+935)</f>
        <v/>
      </c>
      <c r="S942" s="3">
        <f>IF(Q942=1,SUMPRODUCT(--($R$8:$R$1207&lt;R942))+1,"")</f>
        <v/>
      </c>
      <c r="T942" s="12">
        <f>IF(K942=1,'ORDENES'!$J938,"")</f>
        <v/>
      </c>
    </row>
    <row r="943">
      <c r="K943" s="3">
        <f>IF(AND(IF($B$3="(todos)",TRUE,'ORDENES'!$O939=$B$3),IF($D$3="(todos)",TRUE,'ORDENES'!$AF939=$D$3),IF($F$3="(todos)",TRUE,'ORDENES'!$X939=$F$3),IF($H$3="(todos)",TRUE,'ORDENES'!$W939=$H$3),'ORDENES'!$AD939=TRUE,'ORDENES'!$A939&lt;&gt;""),1,0)</f>
        <v/>
      </c>
      <c r="L943" s="3">
        <f>IF(K943=1,IFERROR(MATCH('ORDENES'!$R939,lista_dias,0),9)*1000000000+IFERROR(MATCH('ORDENES'!$AF939,lista_turnos,0),9)*10000000+IFERROR(MATCH('ORDENES'!$AE939,tblTecnicos[nombre],0),99)*100000+936,9000000000000+936)</f>
        <v/>
      </c>
      <c r="M943" s="3">
        <f>IF(K943=1,SUMPRODUCT(--($L$8:$L$1207&lt;L943))+1,"")</f>
        <v/>
      </c>
      <c r="N943" s="17">
        <f>IF(K943=1,N('ORDENES'!$M939),0)</f>
        <v/>
      </c>
      <c r="O943" s="17">
        <f>IF('ORDENES'!$T939="preventiva",N943,0)</f>
        <v/>
      </c>
      <c r="P943" s="17">
        <f>IF('ORDENES'!$T939="correctiva",N943,0)</f>
        <v/>
      </c>
      <c r="Q943" s="3">
        <f>IF(AND(K943=1,'ORDENES'!$N939="Pendiente"),1,0)</f>
        <v/>
      </c>
      <c r="R943" s="3">
        <f>IF(Q943=1,100000-N943*1000+936*0.01,9000000000000+936)</f>
        <v/>
      </c>
      <c r="S943" s="3">
        <f>IF(Q943=1,SUMPRODUCT(--($R$8:$R$1207&lt;R943))+1,"")</f>
        <v/>
      </c>
      <c r="T943" s="12">
        <f>IF(K943=1,'ORDENES'!$J939,"")</f>
        <v/>
      </c>
    </row>
    <row r="944">
      <c r="K944" s="3">
        <f>IF(AND(IF($B$3="(todos)",TRUE,'ORDENES'!$O940=$B$3),IF($D$3="(todos)",TRUE,'ORDENES'!$AF940=$D$3),IF($F$3="(todos)",TRUE,'ORDENES'!$X940=$F$3),IF($H$3="(todos)",TRUE,'ORDENES'!$W940=$H$3),'ORDENES'!$AD940=TRUE,'ORDENES'!$A940&lt;&gt;""),1,0)</f>
        <v/>
      </c>
      <c r="L944" s="3">
        <f>IF(K944=1,IFERROR(MATCH('ORDENES'!$R940,lista_dias,0),9)*1000000000+IFERROR(MATCH('ORDENES'!$AF940,lista_turnos,0),9)*10000000+IFERROR(MATCH('ORDENES'!$AE940,tblTecnicos[nombre],0),99)*100000+937,9000000000000+937)</f>
        <v/>
      </c>
      <c r="M944" s="3">
        <f>IF(K944=1,SUMPRODUCT(--($L$8:$L$1207&lt;L944))+1,"")</f>
        <v/>
      </c>
      <c r="N944" s="17">
        <f>IF(K944=1,N('ORDENES'!$M940),0)</f>
        <v/>
      </c>
      <c r="O944" s="17">
        <f>IF('ORDENES'!$T940="preventiva",N944,0)</f>
        <v/>
      </c>
      <c r="P944" s="17">
        <f>IF('ORDENES'!$T940="correctiva",N944,0)</f>
        <v/>
      </c>
      <c r="Q944" s="3">
        <f>IF(AND(K944=1,'ORDENES'!$N940="Pendiente"),1,0)</f>
        <v/>
      </c>
      <c r="R944" s="3">
        <f>IF(Q944=1,100000-N944*1000+937*0.01,9000000000000+937)</f>
        <v/>
      </c>
      <c r="S944" s="3">
        <f>IF(Q944=1,SUMPRODUCT(--($R$8:$R$1207&lt;R944))+1,"")</f>
        <v/>
      </c>
      <c r="T944" s="12">
        <f>IF(K944=1,'ORDENES'!$J940,"")</f>
        <v/>
      </c>
    </row>
    <row r="945">
      <c r="K945" s="3">
        <f>IF(AND(IF($B$3="(todos)",TRUE,'ORDENES'!$O941=$B$3),IF($D$3="(todos)",TRUE,'ORDENES'!$AF941=$D$3),IF($F$3="(todos)",TRUE,'ORDENES'!$X941=$F$3),IF($H$3="(todos)",TRUE,'ORDENES'!$W941=$H$3),'ORDENES'!$AD941=TRUE,'ORDENES'!$A941&lt;&gt;""),1,0)</f>
        <v/>
      </c>
      <c r="L945" s="3">
        <f>IF(K945=1,IFERROR(MATCH('ORDENES'!$R941,lista_dias,0),9)*1000000000+IFERROR(MATCH('ORDENES'!$AF941,lista_turnos,0),9)*10000000+IFERROR(MATCH('ORDENES'!$AE941,tblTecnicos[nombre],0),99)*100000+938,9000000000000+938)</f>
        <v/>
      </c>
      <c r="M945" s="3">
        <f>IF(K945=1,SUMPRODUCT(--($L$8:$L$1207&lt;L945))+1,"")</f>
        <v/>
      </c>
      <c r="N945" s="17">
        <f>IF(K945=1,N('ORDENES'!$M941),0)</f>
        <v/>
      </c>
      <c r="O945" s="17">
        <f>IF('ORDENES'!$T941="preventiva",N945,0)</f>
        <v/>
      </c>
      <c r="P945" s="17">
        <f>IF('ORDENES'!$T941="correctiva",N945,0)</f>
        <v/>
      </c>
      <c r="Q945" s="3">
        <f>IF(AND(K945=1,'ORDENES'!$N941="Pendiente"),1,0)</f>
        <v/>
      </c>
      <c r="R945" s="3">
        <f>IF(Q945=1,100000-N945*1000+938*0.01,9000000000000+938)</f>
        <v/>
      </c>
      <c r="S945" s="3">
        <f>IF(Q945=1,SUMPRODUCT(--($R$8:$R$1207&lt;R945))+1,"")</f>
        <v/>
      </c>
      <c r="T945" s="12">
        <f>IF(K945=1,'ORDENES'!$J941,"")</f>
        <v/>
      </c>
    </row>
    <row r="946">
      <c r="K946" s="3">
        <f>IF(AND(IF($B$3="(todos)",TRUE,'ORDENES'!$O942=$B$3),IF($D$3="(todos)",TRUE,'ORDENES'!$AF942=$D$3),IF($F$3="(todos)",TRUE,'ORDENES'!$X942=$F$3),IF($H$3="(todos)",TRUE,'ORDENES'!$W942=$H$3),'ORDENES'!$AD942=TRUE,'ORDENES'!$A942&lt;&gt;""),1,0)</f>
        <v/>
      </c>
      <c r="L946" s="3">
        <f>IF(K946=1,IFERROR(MATCH('ORDENES'!$R942,lista_dias,0),9)*1000000000+IFERROR(MATCH('ORDENES'!$AF942,lista_turnos,0),9)*10000000+IFERROR(MATCH('ORDENES'!$AE942,tblTecnicos[nombre],0),99)*100000+939,9000000000000+939)</f>
        <v/>
      </c>
      <c r="M946" s="3">
        <f>IF(K946=1,SUMPRODUCT(--($L$8:$L$1207&lt;L946))+1,"")</f>
        <v/>
      </c>
      <c r="N946" s="17">
        <f>IF(K946=1,N('ORDENES'!$M942),0)</f>
        <v/>
      </c>
      <c r="O946" s="17">
        <f>IF('ORDENES'!$T942="preventiva",N946,0)</f>
        <v/>
      </c>
      <c r="P946" s="17">
        <f>IF('ORDENES'!$T942="correctiva",N946,0)</f>
        <v/>
      </c>
      <c r="Q946" s="3">
        <f>IF(AND(K946=1,'ORDENES'!$N942="Pendiente"),1,0)</f>
        <v/>
      </c>
      <c r="R946" s="3">
        <f>IF(Q946=1,100000-N946*1000+939*0.01,9000000000000+939)</f>
        <v/>
      </c>
      <c r="S946" s="3">
        <f>IF(Q946=1,SUMPRODUCT(--($R$8:$R$1207&lt;R946))+1,"")</f>
        <v/>
      </c>
      <c r="T946" s="12">
        <f>IF(K946=1,'ORDENES'!$J942,"")</f>
        <v/>
      </c>
    </row>
    <row r="947">
      <c r="K947" s="3">
        <f>IF(AND(IF($B$3="(todos)",TRUE,'ORDENES'!$O943=$B$3),IF($D$3="(todos)",TRUE,'ORDENES'!$AF943=$D$3),IF($F$3="(todos)",TRUE,'ORDENES'!$X943=$F$3),IF($H$3="(todos)",TRUE,'ORDENES'!$W943=$H$3),'ORDENES'!$AD943=TRUE,'ORDENES'!$A943&lt;&gt;""),1,0)</f>
        <v/>
      </c>
      <c r="L947" s="3">
        <f>IF(K947=1,IFERROR(MATCH('ORDENES'!$R943,lista_dias,0),9)*1000000000+IFERROR(MATCH('ORDENES'!$AF943,lista_turnos,0),9)*10000000+IFERROR(MATCH('ORDENES'!$AE943,tblTecnicos[nombre],0),99)*100000+940,9000000000000+940)</f>
        <v/>
      </c>
      <c r="M947" s="3">
        <f>IF(K947=1,SUMPRODUCT(--($L$8:$L$1207&lt;L947))+1,"")</f>
        <v/>
      </c>
      <c r="N947" s="17">
        <f>IF(K947=1,N('ORDENES'!$M943),0)</f>
        <v/>
      </c>
      <c r="O947" s="17">
        <f>IF('ORDENES'!$T943="preventiva",N947,0)</f>
        <v/>
      </c>
      <c r="P947" s="17">
        <f>IF('ORDENES'!$T943="correctiva",N947,0)</f>
        <v/>
      </c>
      <c r="Q947" s="3">
        <f>IF(AND(K947=1,'ORDENES'!$N943="Pendiente"),1,0)</f>
        <v/>
      </c>
      <c r="R947" s="3">
        <f>IF(Q947=1,100000-N947*1000+940*0.01,9000000000000+940)</f>
        <v/>
      </c>
      <c r="S947" s="3">
        <f>IF(Q947=1,SUMPRODUCT(--($R$8:$R$1207&lt;R947))+1,"")</f>
        <v/>
      </c>
      <c r="T947" s="12">
        <f>IF(K947=1,'ORDENES'!$J943,"")</f>
        <v/>
      </c>
    </row>
    <row r="948">
      <c r="K948" s="3">
        <f>IF(AND(IF($B$3="(todos)",TRUE,'ORDENES'!$O944=$B$3),IF($D$3="(todos)",TRUE,'ORDENES'!$AF944=$D$3),IF($F$3="(todos)",TRUE,'ORDENES'!$X944=$F$3),IF($H$3="(todos)",TRUE,'ORDENES'!$W944=$H$3),'ORDENES'!$AD944=TRUE,'ORDENES'!$A944&lt;&gt;""),1,0)</f>
        <v/>
      </c>
      <c r="L948" s="3">
        <f>IF(K948=1,IFERROR(MATCH('ORDENES'!$R944,lista_dias,0),9)*1000000000+IFERROR(MATCH('ORDENES'!$AF944,lista_turnos,0),9)*10000000+IFERROR(MATCH('ORDENES'!$AE944,tblTecnicos[nombre],0),99)*100000+941,9000000000000+941)</f>
        <v/>
      </c>
      <c r="M948" s="3">
        <f>IF(K948=1,SUMPRODUCT(--($L$8:$L$1207&lt;L948))+1,"")</f>
        <v/>
      </c>
      <c r="N948" s="17">
        <f>IF(K948=1,N('ORDENES'!$M944),0)</f>
        <v/>
      </c>
      <c r="O948" s="17">
        <f>IF('ORDENES'!$T944="preventiva",N948,0)</f>
        <v/>
      </c>
      <c r="P948" s="17">
        <f>IF('ORDENES'!$T944="correctiva",N948,0)</f>
        <v/>
      </c>
      <c r="Q948" s="3">
        <f>IF(AND(K948=1,'ORDENES'!$N944="Pendiente"),1,0)</f>
        <v/>
      </c>
      <c r="R948" s="3">
        <f>IF(Q948=1,100000-N948*1000+941*0.01,9000000000000+941)</f>
        <v/>
      </c>
      <c r="S948" s="3">
        <f>IF(Q948=1,SUMPRODUCT(--($R$8:$R$1207&lt;R948))+1,"")</f>
        <v/>
      </c>
      <c r="T948" s="12">
        <f>IF(K948=1,'ORDENES'!$J944,"")</f>
        <v/>
      </c>
    </row>
    <row r="949">
      <c r="K949" s="3">
        <f>IF(AND(IF($B$3="(todos)",TRUE,'ORDENES'!$O945=$B$3),IF($D$3="(todos)",TRUE,'ORDENES'!$AF945=$D$3),IF($F$3="(todos)",TRUE,'ORDENES'!$X945=$F$3),IF($H$3="(todos)",TRUE,'ORDENES'!$W945=$H$3),'ORDENES'!$AD945=TRUE,'ORDENES'!$A945&lt;&gt;""),1,0)</f>
        <v/>
      </c>
      <c r="L949" s="3">
        <f>IF(K949=1,IFERROR(MATCH('ORDENES'!$R945,lista_dias,0),9)*1000000000+IFERROR(MATCH('ORDENES'!$AF945,lista_turnos,0),9)*10000000+IFERROR(MATCH('ORDENES'!$AE945,tblTecnicos[nombre],0),99)*100000+942,9000000000000+942)</f>
        <v/>
      </c>
      <c r="M949" s="3">
        <f>IF(K949=1,SUMPRODUCT(--($L$8:$L$1207&lt;L949))+1,"")</f>
        <v/>
      </c>
      <c r="N949" s="17">
        <f>IF(K949=1,N('ORDENES'!$M945),0)</f>
        <v/>
      </c>
      <c r="O949" s="17">
        <f>IF('ORDENES'!$T945="preventiva",N949,0)</f>
        <v/>
      </c>
      <c r="P949" s="17">
        <f>IF('ORDENES'!$T945="correctiva",N949,0)</f>
        <v/>
      </c>
      <c r="Q949" s="3">
        <f>IF(AND(K949=1,'ORDENES'!$N945="Pendiente"),1,0)</f>
        <v/>
      </c>
      <c r="R949" s="3">
        <f>IF(Q949=1,100000-N949*1000+942*0.01,9000000000000+942)</f>
        <v/>
      </c>
      <c r="S949" s="3">
        <f>IF(Q949=1,SUMPRODUCT(--($R$8:$R$1207&lt;R949))+1,"")</f>
        <v/>
      </c>
      <c r="T949" s="12">
        <f>IF(K949=1,'ORDENES'!$J945,"")</f>
        <v/>
      </c>
    </row>
    <row r="950">
      <c r="K950" s="3">
        <f>IF(AND(IF($B$3="(todos)",TRUE,'ORDENES'!$O946=$B$3),IF($D$3="(todos)",TRUE,'ORDENES'!$AF946=$D$3),IF($F$3="(todos)",TRUE,'ORDENES'!$X946=$F$3),IF($H$3="(todos)",TRUE,'ORDENES'!$W946=$H$3),'ORDENES'!$AD946=TRUE,'ORDENES'!$A946&lt;&gt;""),1,0)</f>
        <v/>
      </c>
      <c r="L950" s="3">
        <f>IF(K950=1,IFERROR(MATCH('ORDENES'!$R946,lista_dias,0),9)*1000000000+IFERROR(MATCH('ORDENES'!$AF946,lista_turnos,0),9)*10000000+IFERROR(MATCH('ORDENES'!$AE946,tblTecnicos[nombre],0),99)*100000+943,9000000000000+943)</f>
        <v/>
      </c>
      <c r="M950" s="3">
        <f>IF(K950=1,SUMPRODUCT(--($L$8:$L$1207&lt;L950))+1,"")</f>
        <v/>
      </c>
      <c r="N950" s="17">
        <f>IF(K950=1,N('ORDENES'!$M946),0)</f>
        <v/>
      </c>
      <c r="O950" s="17">
        <f>IF('ORDENES'!$T946="preventiva",N950,0)</f>
        <v/>
      </c>
      <c r="P950" s="17">
        <f>IF('ORDENES'!$T946="correctiva",N950,0)</f>
        <v/>
      </c>
      <c r="Q950" s="3">
        <f>IF(AND(K950=1,'ORDENES'!$N946="Pendiente"),1,0)</f>
        <v/>
      </c>
      <c r="R950" s="3">
        <f>IF(Q950=1,100000-N950*1000+943*0.01,9000000000000+943)</f>
        <v/>
      </c>
      <c r="S950" s="3">
        <f>IF(Q950=1,SUMPRODUCT(--($R$8:$R$1207&lt;R950))+1,"")</f>
        <v/>
      </c>
      <c r="T950" s="12">
        <f>IF(K950=1,'ORDENES'!$J946,"")</f>
        <v/>
      </c>
    </row>
    <row r="951">
      <c r="K951" s="3">
        <f>IF(AND(IF($B$3="(todos)",TRUE,'ORDENES'!$O947=$B$3),IF($D$3="(todos)",TRUE,'ORDENES'!$AF947=$D$3),IF($F$3="(todos)",TRUE,'ORDENES'!$X947=$F$3),IF($H$3="(todos)",TRUE,'ORDENES'!$W947=$H$3),'ORDENES'!$AD947=TRUE,'ORDENES'!$A947&lt;&gt;""),1,0)</f>
        <v/>
      </c>
      <c r="L951" s="3">
        <f>IF(K951=1,IFERROR(MATCH('ORDENES'!$R947,lista_dias,0),9)*1000000000+IFERROR(MATCH('ORDENES'!$AF947,lista_turnos,0),9)*10000000+IFERROR(MATCH('ORDENES'!$AE947,tblTecnicos[nombre],0),99)*100000+944,9000000000000+944)</f>
        <v/>
      </c>
      <c r="M951" s="3">
        <f>IF(K951=1,SUMPRODUCT(--($L$8:$L$1207&lt;L951))+1,"")</f>
        <v/>
      </c>
      <c r="N951" s="17">
        <f>IF(K951=1,N('ORDENES'!$M947),0)</f>
        <v/>
      </c>
      <c r="O951" s="17">
        <f>IF('ORDENES'!$T947="preventiva",N951,0)</f>
        <v/>
      </c>
      <c r="P951" s="17">
        <f>IF('ORDENES'!$T947="correctiva",N951,0)</f>
        <v/>
      </c>
      <c r="Q951" s="3">
        <f>IF(AND(K951=1,'ORDENES'!$N947="Pendiente"),1,0)</f>
        <v/>
      </c>
      <c r="R951" s="3">
        <f>IF(Q951=1,100000-N951*1000+944*0.01,9000000000000+944)</f>
        <v/>
      </c>
      <c r="S951" s="3">
        <f>IF(Q951=1,SUMPRODUCT(--($R$8:$R$1207&lt;R951))+1,"")</f>
        <v/>
      </c>
      <c r="T951" s="12">
        <f>IF(K951=1,'ORDENES'!$J947,"")</f>
        <v/>
      </c>
    </row>
    <row r="952">
      <c r="K952" s="3">
        <f>IF(AND(IF($B$3="(todos)",TRUE,'ORDENES'!$O948=$B$3),IF($D$3="(todos)",TRUE,'ORDENES'!$AF948=$D$3),IF($F$3="(todos)",TRUE,'ORDENES'!$X948=$F$3),IF($H$3="(todos)",TRUE,'ORDENES'!$W948=$H$3),'ORDENES'!$AD948=TRUE,'ORDENES'!$A948&lt;&gt;""),1,0)</f>
        <v/>
      </c>
      <c r="L952" s="3">
        <f>IF(K952=1,IFERROR(MATCH('ORDENES'!$R948,lista_dias,0),9)*1000000000+IFERROR(MATCH('ORDENES'!$AF948,lista_turnos,0),9)*10000000+IFERROR(MATCH('ORDENES'!$AE948,tblTecnicos[nombre],0),99)*100000+945,9000000000000+945)</f>
        <v/>
      </c>
      <c r="M952" s="3">
        <f>IF(K952=1,SUMPRODUCT(--($L$8:$L$1207&lt;L952))+1,"")</f>
        <v/>
      </c>
      <c r="N952" s="17">
        <f>IF(K952=1,N('ORDENES'!$M948),0)</f>
        <v/>
      </c>
      <c r="O952" s="17">
        <f>IF('ORDENES'!$T948="preventiva",N952,0)</f>
        <v/>
      </c>
      <c r="P952" s="17">
        <f>IF('ORDENES'!$T948="correctiva",N952,0)</f>
        <v/>
      </c>
      <c r="Q952" s="3">
        <f>IF(AND(K952=1,'ORDENES'!$N948="Pendiente"),1,0)</f>
        <v/>
      </c>
      <c r="R952" s="3">
        <f>IF(Q952=1,100000-N952*1000+945*0.01,9000000000000+945)</f>
        <v/>
      </c>
      <c r="S952" s="3">
        <f>IF(Q952=1,SUMPRODUCT(--($R$8:$R$1207&lt;R952))+1,"")</f>
        <v/>
      </c>
      <c r="T952" s="12">
        <f>IF(K952=1,'ORDENES'!$J948,"")</f>
        <v/>
      </c>
    </row>
    <row r="953">
      <c r="K953" s="3">
        <f>IF(AND(IF($B$3="(todos)",TRUE,'ORDENES'!$O949=$B$3),IF($D$3="(todos)",TRUE,'ORDENES'!$AF949=$D$3),IF($F$3="(todos)",TRUE,'ORDENES'!$X949=$F$3),IF($H$3="(todos)",TRUE,'ORDENES'!$W949=$H$3),'ORDENES'!$AD949=TRUE,'ORDENES'!$A949&lt;&gt;""),1,0)</f>
        <v/>
      </c>
      <c r="L953" s="3">
        <f>IF(K953=1,IFERROR(MATCH('ORDENES'!$R949,lista_dias,0),9)*1000000000+IFERROR(MATCH('ORDENES'!$AF949,lista_turnos,0),9)*10000000+IFERROR(MATCH('ORDENES'!$AE949,tblTecnicos[nombre],0),99)*100000+946,9000000000000+946)</f>
        <v/>
      </c>
      <c r="M953" s="3">
        <f>IF(K953=1,SUMPRODUCT(--($L$8:$L$1207&lt;L953))+1,"")</f>
        <v/>
      </c>
      <c r="N953" s="17">
        <f>IF(K953=1,N('ORDENES'!$M949),0)</f>
        <v/>
      </c>
      <c r="O953" s="17">
        <f>IF('ORDENES'!$T949="preventiva",N953,0)</f>
        <v/>
      </c>
      <c r="P953" s="17">
        <f>IF('ORDENES'!$T949="correctiva",N953,0)</f>
        <v/>
      </c>
      <c r="Q953" s="3">
        <f>IF(AND(K953=1,'ORDENES'!$N949="Pendiente"),1,0)</f>
        <v/>
      </c>
      <c r="R953" s="3">
        <f>IF(Q953=1,100000-N953*1000+946*0.01,9000000000000+946)</f>
        <v/>
      </c>
      <c r="S953" s="3">
        <f>IF(Q953=1,SUMPRODUCT(--($R$8:$R$1207&lt;R953))+1,"")</f>
        <v/>
      </c>
      <c r="T953" s="12">
        <f>IF(K953=1,'ORDENES'!$J949,"")</f>
        <v/>
      </c>
    </row>
    <row r="954">
      <c r="K954" s="3">
        <f>IF(AND(IF($B$3="(todos)",TRUE,'ORDENES'!$O950=$B$3),IF($D$3="(todos)",TRUE,'ORDENES'!$AF950=$D$3),IF($F$3="(todos)",TRUE,'ORDENES'!$X950=$F$3),IF($H$3="(todos)",TRUE,'ORDENES'!$W950=$H$3),'ORDENES'!$AD950=TRUE,'ORDENES'!$A950&lt;&gt;""),1,0)</f>
        <v/>
      </c>
      <c r="L954" s="3">
        <f>IF(K954=1,IFERROR(MATCH('ORDENES'!$R950,lista_dias,0),9)*1000000000+IFERROR(MATCH('ORDENES'!$AF950,lista_turnos,0),9)*10000000+IFERROR(MATCH('ORDENES'!$AE950,tblTecnicos[nombre],0),99)*100000+947,9000000000000+947)</f>
        <v/>
      </c>
      <c r="M954" s="3">
        <f>IF(K954=1,SUMPRODUCT(--($L$8:$L$1207&lt;L954))+1,"")</f>
        <v/>
      </c>
      <c r="N954" s="17">
        <f>IF(K954=1,N('ORDENES'!$M950),0)</f>
        <v/>
      </c>
      <c r="O954" s="17">
        <f>IF('ORDENES'!$T950="preventiva",N954,0)</f>
        <v/>
      </c>
      <c r="P954" s="17">
        <f>IF('ORDENES'!$T950="correctiva",N954,0)</f>
        <v/>
      </c>
      <c r="Q954" s="3">
        <f>IF(AND(K954=1,'ORDENES'!$N950="Pendiente"),1,0)</f>
        <v/>
      </c>
      <c r="R954" s="3">
        <f>IF(Q954=1,100000-N954*1000+947*0.01,9000000000000+947)</f>
        <v/>
      </c>
      <c r="S954" s="3">
        <f>IF(Q954=1,SUMPRODUCT(--($R$8:$R$1207&lt;R954))+1,"")</f>
        <v/>
      </c>
      <c r="T954" s="12">
        <f>IF(K954=1,'ORDENES'!$J950,"")</f>
        <v/>
      </c>
    </row>
    <row r="955">
      <c r="K955" s="3">
        <f>IF(AND(IF($B$3="(todos)",TRUE,'ORDENES'!$O951=$B$3),IF($D$3="(todos)",TRUE,'ORDENES'!$AF951=$D$3),IF($F$3="(todos)",TRUE,'ORDENES'!$X951=$F$3),IF($H$3="(todos)",TRUE,'ORDENES'!$W951=$H$3),'ORDENES'!$AD951=TRUE,'ORDENES'!$A951&lt;&gt;""),1,0)</f>
        <v/>
      </c>
      <c r="L955" s="3">
        <f>IF(K955=1,IFERROR(MATCH('ORDENES'!$R951,lista_dias,0),9)*1000000000+IFERROR(MATCH('ORDENES'!$AF951,lista_turnos,0),9)*10000000+IFERROR(MATCH('ORDENES'!$AE951,tblTecnicos[nombre],0),99)*100000+948,9000000000000+948)</f>
        <v/>
      </c>
      <c r="M955" s="3">
        <f>IF(K955=1,SUMPRODUCT(--($L$8:$L$1207&lt;L955))+1,"")</f>
        <v/>
      </c>
      <c r="N955" s="17">
        <f>IF(K955=1,N('ORDENES'!$M951),0)</f>
        <v/>
      </c>
      <c r="O955" s="17">
        <f>IF('ORDENES'!$T951="preventiva",N955,0)</f>
        <v/>
      </c>
      <c r="P955" s="17">
        <f>IF('ORDENES'!$T951="correctiva",N955,0)</f>
        <v/>
      </c>
      <c r="Q955" s="3">
        <f>IF(AND(K955=1,'ORDENES'!$N951="Pendiente"),1,0)</f>
        <v/>
      </c>
      <c r="R955" s="3">
        <f>IF(Q955=1,100000-N955*1000+948*0.01,9000000000000+948)</f>
        <v/>
      </c>
      <c r="S955" s="3">
        <f>IF(Q955=1,SUMPRODUCT(--($R$8:$R$1207&lt;R955))+1,"")</f>
        <v/>
      </c>
      <c r="T955" s="12">
        <f>IF(K955=1,'ORDENES'!$J951,"")</f>
        <v/>
      </c>
    </row>
    <row r="956">
      <c r="K956" s="3">
        <f>IF(AND(IF($B$3="(todos)",TRUE,'ORDENES'!$O952=$B$3),IF($D$3="(todos)",TRUE,'ORDENES'!$AF952=$D$3),IF($F$3="(todos)",TRUE,'ORDENES'!$X952=$F$3),IF($H$3="(todos)",TRUE,'ORDENES'!$W952=$H$3),'ORDENES'!$AD952=TRUE,'ORDENES'!$A952&lt;&gt;""),1,0)</f>
        <v/>
      </c>
      <c r="L956" s="3">
        <f>IF(K956=1,IFERROR(MATCH('ORDENES'!$R952,lista_dias,0),9)*1000000000+IFERROR(MATCH('ORDENES'!$AF952,lista_turnos,0),9)*10000000+IFERROR(MATCH('ORDENES'!$AE952,tblTecnicos[nombre],0),99)*100000+949,9000000000000+949)</f>
        <v/>
      </c>
      <c r="M956" s="3">
        <f>IF(K956=1,SUMPRODUCT(--($L$8:$L$1207&lt;L956))+1,"")</f>
        <v/>
      </c>
      <c r="N956" s="17">
        <f>IF(K956=1,N('ORDENES'!$M952),0)</f>
        <v/>
      </c>
      <c r="O956" s="17">
        <f>IF('ORDENES'!$T952="preventiva",N956,0)</f>
        <v/>
      </c>
      <c r="P956" s="17">
        <f>IF('ORDENES'!$T952="correctiva",N956,0)</f>
        <v/>
      </c>
      <c r="Q956" s="3">
        <f>IF(AND(K956=1,'ORDENES'!$N952="Pendiente"),1,0)</f>
        <v/>
      </c>
      <c r="R956" s="3">
        <f>IF(Q956=1,100000-N956*1000+949*0.01,9000000000000+949)</f>
        <v/>
      </c>
      <c r="S956" s="3">
        <f>IF(Q956=1,SUMPRODUCT(--($R$8:$R$1207&lt;R956))+1,"")</f>
        <v/>
      </c>
      <c r="T956" s="12">
        <f>IF(K956=1,'ORDENES'!$J952,"")</f>
        <v/>
      </c>
    </row>
    <row r="957">
      <c r="K957" s="3">
        <f>IF(AND(IF($B$3="(todos)",TRUE,'ORDENES'!$O953=$B$3),IF($D$3="(todos)",TRUE,'ORDENES'!$AF953=$D$3),IF($F$3="(todos)",TRUE,'ORDENES'!$X953=$F$3),IF($H$3="(todos)",TRUE,'ORDENES'!$W953=$H$3),'ORDENES'!$AD953=TRUE,'ORDENES'!$A953&lt;&gt;""),1,0)</f>
        <v/>
      </c>
      <c r="L957" s="3">
        <f>IF(K957=1,IFERROR(MATCH('ORDENES'!$R953,lista_dias,0),9)*1000000000+IFERROR(MATCH('ORDENES'!$AF953,lista_turnos,0),9)*10000000+IFERROR(MATCH('ORDENES'!$AE953,tblTecnicos[nombre],0),99)*100000+950,9000000000000+950)</f>
        <v/>
      </c>
      <c r="M957" s="3">
        <f>IF(K957=1,SUMPRODUCT(--($L$8:$L$1207&lt;L957))+1,"")</f>
        <v/>
      </c>
      <c r="N957" s="17">
        <f>IF(K957=1,N('ORDENES'!$M953),0)</f>
        <v/>
      </c>
      <c r="O957" s="17">
        <f>IF('ORDENES'!$T953="preventiva",N957,0)</f>
        <v/>
      </c>
      <c r="P957" s="17">
        <f>IF('ORDENES'!$T953="correctiva",N957,0)</f>
        <v/>
      </c>
      <c r="Q957" s="3">
        <f>IF(AND(K957=1,'ORDENES'!$N953="Pendiente"),1,0)</f>
        <v/>
      </c>
      <c r="R957" s="3">
        <f>IF(Q957=1,100000-N957*1000+950*0.01,9000000000000+950)</f>
        <v/>
      </c>
      <c r="S957" s="3">
        <f>IF(Q957=1,SUMPRODUCT(--($R$8:$R$1207&lt;R957))+1,"")</f>
        <v/>
      </c>
      <c r="T957" s="12">
        <f>IF(K957=1,'ORDENES'!$J953,"")</f>
        <v/>
      </c>
    </row>
    <row r="958">
      <c r="K958" s="3">
        <f>IF(AND(IF($B$3="(todos)",TRUE,'ORDENES'!$O954=$B$3),IF($D$3="(todos)",TRUE,'ORDENES'!$AF954=$D$3),IF($F$3="(todos)",TRUE,'ORDENES'!$X954=$F$3),IF($H$3="(todos)",TRUE,'ORDENES'!$W954=$H$3),'ORDENES'!$AD954=TRUE,'ORDENES'!$A954&lt;&gt;""),1,0)</f>
        <v/>
      </c>
      <c r="L958" s="3">
        <f>IF(K958=1,IFERROR(MATCH('ORDENES'!$R954,lista_dias,0),9)*1000000000+IFERROR(MATCH('ORDENES'!$AF954,lista_turnos,0),9)*10000000+IFERROR(MATCH('ORDENES'!$AE954,tblTecnicos[nombre],0),99)*100000+951,9000000000000+951)</f>
        <v/>
      </c>
      <c r="M958" s="3">
        <f>IF(K958=1,SUMPRODUCT(--($L$8:$L$1207&lt;L958))+1,"")</f>
        <v/>
      </c>
      <c r="N958" s="17">
        <f>IF(K958=1,N('ORDENES'!$M954),0)</f>
        <v/>
      </c>
      <c r="O958" s="17">
        <f>IF('ORDENES'!$T954="preventiva",N958,0)</f>
        <v/>
      </c>
      <c r="P958" s="17">
        <f>IF('ORDENES'!$T954="correctiva",N958,0)</f>
        <v/>
      </c>
      <c r="Q958" s="3">
        <f>IF(AND(K958=1,'ORDENES'!$N954="Pendiente"),1,0)</f>
        <v/>
      </c>
      <c r="R958" s="3">
        <f>IF(Q958=1,100000-N958*1000+951*0.01,9000000000000+951)</f>
        <v/>
      </c>
      <c r="S958" s="3">
        <f>IF(Q958=1,SUMPRODUCT(--($R$8:$R$1207&lt;R958))+1,"")</f>
        <v/>
      </c>
      <c r="T958" s="12">
        <f>IF(K958=1,'ORDENES'!$J954,"")</f>
        <v/>
      </c>
    </row>
    <row r="959">
      <c r="K959" s="3">
        <f>IF(AND(IF($B$3="(todos)",TRUE,'ORDENES'!$O955=$B$3),IF($D$3="(todos)",TRUE,'ORDENES'!$AF955=$D$3),IF($F$3="(todos)",TRUE,'ORDENES'!$X955=$F$3),IF($H$3="(todos)",TRUE,'ORDENES'!$W955=$H$3),'ORDENES'!$AD955=TRUE,'ORDENES'!$A955&lt;&gt;""),1,0)</f>
        <v/>
      </c>
      <c r="L959" s="3">
        <f>IF(K959=1,IFERROR(MATCH('ORDENES'!$R955,lista_dias,0),9)*1000000000+IFERROR(MATCH('ORDENES'!$AF955,lista_turnos,0),9)*10000000+IFERROR(MATCH('ORDENES'!$AE955,tblTecnicos[nombre],0),99)*100000+952,9000000000000+952)</f>
        <v/>
      </c>
      <c r="M959" s="3">
        <f>IF(K959=1,SUMPRODUCT(--($L$8:$L$1207&lt;L959))+1,"")</f>
        <v/>
      </c>
      <c r="N959" s="17">
        <f>IF(K959=1,N('ORDENES'!$M955),0)</f>
        <v/>
      </c>
      <c r="O959" s="17">
        <f>IF('ORDENES'!$T955="preventiva",N959,0)</f>
        <v/>
      </c>
      <c r="P959" s="17">
        <f>IF('ORDENES'!$T955="correctiva",N959,0)</f>
        <v/>
      </c>
      <c r="Q959" s="3">
        <f>IF(AND(K959=1,'ORDENES'!$N955="Pendiente"),1,0)</f>
        <v/>
      </c>
      <c r="R959" s="3">
        <f>IF(Q959=1,100000-N959*1000+952*0.01,9000000000000+952)</f>
        <v/>
      </c>
      <c r="S959" s="3">
        <f>IF(Q959=1,SUMPRODUCT(--($R$8:$R$1207&lt;R959))+1,"")</f>
        <v/>
      </c>
      <c r="T959" s="12">
        <f>IF(K959=1,'ORDENES'!$J955,"")</f>
        <v/>
      </c>
    </row>
    <row r="960">
      <c r="K960" s="3">
        <f>IF(AND(IF($B$3="(todos)",TRUE,'ORDENES'!$O956=$B$3),IF($D$3="(todos)",TRUE,'ORDENES'!$AF956=$D$3),IF($F$3="(todos)",TRUE,'ORDENES'!$X956=$F$3),IF($H$3="(todos)",TRUE,'ORDENES'!$W956=$H$3),'ORDENES'!$AD956=TRUE,'ORDENES'!$A956&lt;&gt;""),1,0)</f>
        <v/>
      </c>
      <c r="L960" s="3">
        <f>IF(K960=1,IFERROR(MATCH('ORDENES'!$R956,lista_dias,0),9)*1000000000+IFERROR(MATCH('ORDENES'!$AF956,lista_turnos,0),9)*10000000+IFERROR(MATCH('ORDENES'!$AE956,tblTecnicos[nombre],0),99)*100000+953,9000000000000+953)</f>
        <v/>
      </c>
      <c r="M960" s="3">
        <f>IF(K960=1,SUMPRODUCT(--($L$8:$L$1207&lt;L960))+1,"")</f>
        <v/>
      </c>
      <c r="N960" s="17">
        <f>IF(K960=1,N('ORDENES'!$M956),0)</f>
        <v/>
      </c>
      <c r="O960" s="17">
        <f>IF('ORDENES'!$T956="preventiva",N960,0)</f>
        <v/>
      </c>
      <c r="P960" s="17">
        <f>IF('ORDENES'!$T956="correctiva",N960,0)</f>
        <v/>
      </c>
      <c r="Q960" s="3">
        <f>IF(AND(K960=1,'ORDENES'!$N956="Pendiente"),1,0)</f>
        <v/>
      </c>
      <c r="R960" s="3">
        <f>IF(Q960=1,100000-N960*1000+953*0.01,9000000000000+953)</f>
        <v/>
      </c>
      <c r="S960" s="3">
        <f>IF(Q960=1,SUMPRODUCT(--($R$8:$R$1207&lt;R960))+1,"")</f>
        <v/>
      </c>
      <c r="T960" s="12">
        <f>IF(K960=1,'ORDENES'!$J956,"")</f>
        <v/>
      </c>
    </row>
    <row r="961">
      <c r="K961" s="3">
        <f>IF(AND(IF($B$3="(todos)",TRUE,'ORDENES'!$O957=$B$3),IF($D$3="(todos)",TRUE,'ORDENES'!$AF957=$D$3),IF($F$3="(todos)",TRUE,'ORDENES'!$X957=$F$3),IF($H$3="(todos)",TRUE,'ORDENES'!$W957=$H$3),'ORDENES'!$AD957=TRUE,'ORDENES'!$A957&lt;&gt;""),1,0)</f>
        <v/>
      </c>
      <c r="L961" s="3">
        <f>IF(K961=1,IFERROR(MATCH('ORDENES'!$R957,lista_dias,0),9)*1000000000+IFERROR(MATCH('ORDENES'!$AF957,lista_turnos,0),9)*10000000+IFERROR(MATCH('ORDENES'!$AE957,tblTecnicos[nombre],0),99)*100000+954,9000000000000+954)</f>
        <v/>
      </c>
      <c r="M961" s="3">
        <f>IF(K961=1,SUMPRODUCT(--($L$8:$L$1207&lt;L961))+1,"")</f>
        <v/>
      </c>
      <c r="N961" s="17">
        <f>IF(K961=1,N('ORDENES'!$M957),0)</f>
        <v/>
      </c>
      <c r="O961" s="17">
        <f>IF('ORDENES'!$T957="preventiva",N961,0)</f>
        <v/>
      </c>
      <c r="P961" s="17">
        <f>IF('ORDENES'!$T957="correctiva",N961,0)</f>
        <v/>
      </c>
      <c r="Q961" s="3">
        <f>IF(AND(K961=1,'ORDENES'!$N957="Pendiente"),1,0)</f>
        <v/>
      </c>
      <c r="R961" s="3">
        <f>IF(Q961=1,100000-N961*1000+954*0.01,9000000000000+954)</f>
        <v/>
      </c>
      <c r="S961" s="3">
        <f>IF(Q961=1,SUMPRODUCT(--($R$8:$R$1207&lt;R961))+1,"")</f>
        <v/>
      </c>
      <c r="T961" s="12">
        <f>IF(K961=1,'ORDENES'!$J957,"")</f>
        <v/>
      </c>
    </row>
    <row r="962">
      <c r="K962" s="3">
        <f>IF(AND(IF($B$3="(todos)",TRUE,'ORDENES'!$O958=$B$3),IF($D$3="(todos)",TRUE,'ORDENES'!$AF958=$D$3),IF($F$3="(todos)",TRUE,'ORDENES'!$X958=$F$3),IF($H$3="(todos)",TRUE,'ORDENES'!$W958=$H$3),'ORDENES'!$AD958=TRUE,'ORDENES'!$A958&lt;&gt;""),1,0)</f>
        <v/>
      </c>
      <c r="L962" s="3">
        <f>IF(K962=1,IFERROR(MATCH('ORDENES'!$R958,lista_dias,0),9)*1000000000+IFERROR(MATCH('ORDENES'!$AF958,lista_turnos,0),9)*10000000+IFERROR(MATCH('ORDENES'!$AE958,tblTecnicos[nombre],0),99)*100000+955,9000000000000+955)</f>
        <v/>
      </c>
      <c r="M962" s="3">
        <f>IF(K962=1,SUMPRODUCT(--($L$8:$L$1207&lt;L962))+1,"")</f>
        <v/>
      </c>
      <c r="N962" s="17">
        <f>IF(K962=1,N('ORDENES'!$M958),0)</f>
        <v/>
      </c>
      <c r="O962" s="17">
        <f>IF('ORDENES'!$T958="preventiva",N962,0)</f>
        <v/>
      </c>
      <c r="P962" s="17">
        <f>IF('ORDENES'!$T958="correctiva",N962,0)</f>
        <v/>
      </c>
      <c r="Q962" s="3">
        <f>IF(AND(K962=1,'ORDENES'!$N958="Pendiente"),1,0)</f>
        <v/>
      </c>
      <c r="R962" s="3">
        <f>IF(Q962=1,100000-N962*1000+955*0.01,9000000000000+955)</f>
        <v/>
      </c>
      <c r="S962" s="3">
        <f>IF(Q962=1,SUMPRODUCT(--($R$8:$R$1207&lt;R962))+1,"")</f>
        <v/>
      </c>
      <c r="T962" s="12">
        <f>IF(K962=1,'ORDENES'!$J958,"")</f>
        <v/>
      </c>
    </row>
    <row r="963">
      <c r="K963" s="3">
        <f>IF(AND(IF($B$3="(todos)",TRUE,'ORDENES'!$O959=$B$3),IF($D$3="(todos)",TRUE,'ORDENES'!$AF959=$D$3),IF($F$3="(todos)",TRUE,'ORDENES'!$X959=$F$3),IF($H$3="(todos)",TRUE,'ORDENES'!$W959=$H$3),'ORDENES'!$AD959=TRUE,'ORDENES'!$A959&lt;&gt;""),1,0)</f>
        <v/>
      </c>
      <c r="L963" s="3">
        <f>IF(K963=1,IFERROR(MATCH('ORDENES'!$R959,lista_dias,0),9)*1000000000+IFERROR(MATCH('ORDENES'!$AF959,lista_turnos,0),9)*10000000+IFERROR(MATCH('ORDENES'!$AE959,tblTecnicos[nombre],0),99)*100000+956,9000000000000+956)</f>
        <v/>
      </c>
      <c r="M963" s="3">
        <f>IF(K963=1,SUMPRODUCT(--($L$8:$L$1207&lt;L963))+1,"")</f>
        <v/>
      </c>
      <c r="N963" s="17">
        <f>IF(K963=1,N('ORDENES'!$M959),0)</f>
        <v/>
      </c>
      <c r="O963" s="17">
        <f>IF('ORDENES'!$T959="preventiva",N963,0)</f>
        <v/>
      </c>
      <c r="P963" s="17">
        <f>IF('ORDENES'!$T959="correctiva",N963,0)</f>
        <v/>
      </c>
      <c r="Q963" s="3">
        <f>IF(AND(K963=1,'ORDENES'!$N959="Pendiente"),1,0)</f>
        <v/>
      </c>
      <c r="R963" s="3">
        <f>IF(Q963=1,100000-N963*1000+956*0.01,9000000000000+956)</f>
        <v/>
      </c>
      <c r="S963" s="3">
        <f>IF(Q963=1,SUMPRODUCT(--($R$8:$R$1207&lt;R963))+1,"")</f>
        <v/>
      </c>
      <c r="T963" s="12">
        <f>IF(K963=1,'ORDENES'!$J959,"")</f>
        <v/>
      </c>
    </row>
    <row r="964">
      <c r="K964" s="3">
        <f>IF(AND(IF($B$3="(todos)",TRUE,'ORDENES'!$O960=$B$3),IF($D$3="(todos)",TRUE,'ORDENES'!$AF960=$D$3),IF($F$3="(todos)",TRUE,'ORDENES'!$X960=$F$3),IF($H$3="(todos)",TRUE,'ORDENES'!$W960=$H$3),'ORDENES'!$AD960=TRUE,'ORDENES'!$A960&lt;&gt;""),1,0)</f>
        <v/>
      </c>
      <c r="L964" s="3">
        <f>IF(K964=1,IFERROR(MATCH('ORDENES'!$R960,lista_dias,0),9)*1000000000+IFERROR(MATCH('ORDENES'!$AF960,lista_turnos,0),9)*10000000+IFERROR(MATCH('ORDENES'!$AE960,tblTecnicos[nombre],0),99)*100000+957,9000000000000+957)</f>
        <v/>
      </c>
      <c r="M964" s="3">
        <f>IF(K964=1,SUMPRODUCT(--($L$8:$L$1207&lt;L964))+1,"")</f>
        <v/>
      </c>
      <c r="N964" s="17">
        <f>IF(K964=1,N('ORDENES'!$M960),0)</f>
        <v/>
      </c>
      <c r="O964" s="17">
        <f>IF('ORDENES'!$T960="preventiva",N964,0)</f>
        <v/>
      </c>
      <c r="P964" s="17">
        <f>IF('ORDENES'!$T960="correctiva",N964,0)</f>
        <v/>
      </c>
      <c r="Q964" s="3">
        <f>IF(AND(K964=1,'ORDENES'!$N960="Pendiente"),1,0)</f>
        <v/>
      </c>
      <c r="R964" s="3">
        <f>IF(Q964=1,100000-N964*1000+957*0.01,9000000000000+957)</f>
        <v/>
      </c>
      <c r="S964" s="3">
        <f>IF(Q964=1,SUMPRODUCT(--($R$8:$R$1207&lt;R964))+1,"")</f>
        <v/>
      </c>
      <c r="T964" s="12">
        <f>IF(K964=1,'ORDENES'!$J960,"")</f>
        <v/>
      </c>
    </row>
    <row r="965">
      <c r="K965" s="3">
        <f>IF(AND(IF($B$3="(todos)",TRUE,'ORDENES'!$O961=$B$3),IF($D$3="(todos)",TRUE,'ORDENES'!$AF961=$D$3),IF($F$3="(todos)",TRUE,'ORDENES'!$X961=$F$3),IF($H$3="(todos)",TRUE,'ORDENES'!$W961=$H$3),'ORDENES'!$AD961=TRUE,'ORDENES'!$A961&lt;&gt;""),1,0)</f>
        <v/>
      </c>
      <c r="L965" s="3">
        <f>IF(K965=1,IFERROR(MATCH('ORDENES'!$R961,lista_dias,0),9)*1000000000+IFERROR(MATCH('ORDENES'!$AF961,lista_turnos,0),9)*10000000+IFERROR(MATCH('ORDENES'!$AE961,tblTecnicos[nombre],0),99)*100000+958,9000000000000+958)</f>
        <v/>
      </c>
      <c r="M965" s="3">
        <f>IF(K965=1,SUMPRODUCT(--($L$8:$L$1207&lt;L965))+1,"")</f>
        <v/>
      </c>
      <c r="N965" s="17">
        <f>IF(K965=1,N('ORDENES'!$M961),0)</f>
        <v/>
      </c>
      <c r="O965" s="17">
        <f>IF('ORDENES'!$T961="preventiva",N965,0)</f>
        <v/>
      </c>
      <c r="P965" s="17">
        <f>IF('ORDENES'!$T961="correctiva",N965,0)</f>
        <v/>
      </c>
      <c r="Q965" s="3">
        <f>IF(AND(K965=1,'ORDENES'!$N961="Pendiente"),1,0)</f>
        <v/>
      </c>
      <c r="R965" s="3">
        <f>IF(Q965=1,100000-N965*1000+958*0.01,9000000000000+958)</f>
        <v/>
      </c>
      <c r="S965" s="3">
        <f>IF(Q965=1,SUMPRODUCT(--($R$8:$R$1207&lt;R965))+1,"")</f>
        <v/>
      </c>
      <c r="T965" s="12">
        <f>IF(K965=1,'ORDENES'!$J961,"")</f>
        <v/>
      </c>
    </row>
    <row r="966">
      <c r="K966" s="3">
        <f>IF(AND(IF($B$3="(todos)",TRUE,'ORDENES'!$O962=$B$3),IF($D$3="(todos)",TRUE,'ORDENES'!$AF962=$D$3),IF($F$3="(todos)",TRUE,'ORDENES'!$X962=$F$3),IF($H$3="(todos)",TRUE,'ORDENES'!$W962=$H$3),'ORDENES'!$AD962=TRUE,'ORDENES'!$A962&lt;&gt;""),1,0)</f>
        <v/>
      </c>
      <c r="L966" s="3">
        <f>IF(K966=1,IFERROR(MATCH('ORDENES'!$R962,lista_dias,0),9)*1000000000+IFERROR(MATCH('ORDENES'!$AF962,lista_turnos,0),9)*10000000+IFERROR(MATCH('ORDENES'!$AE962,tblTecnicos[nombre],0),99)*100000+959,9000000000000+959)</f>
        <v/>
      </c>
      <c r="M966" s="3">
        <f>IF(K966=1,SUMPRODUCT(--($L$8:$L$1207&lt;L966))+1,"")</f>
        <v/>
      </c>
      <c r="N966" s="17">
        <f>IF(K966=1,N('ORDENES'!$M962),0)</f>
        <v/>
      </c>
      <c r="O966" s="17">
        <f>IF('ORDENES'!$T962="preventiva",N966,0)</f>
        <v/>
      </c>
      <c r="P966" s="17">
        <f>IF('ORDENES'!$T962="correctiva",N966,0)</f>
        <v/>
      </c>
      <c r="Q966" s="3">
        <f>IF(AND(K966=1,'ORDENES'!$N962="Pendiente"),1,0)</f>
        <v/>
      </c>
      <c r="R966" s="3">
        <f>IF(Q966=1,100000-N966*1000+959*0.01,9000000000000+959)</f>
        <v/>
      </c>
      <c r="S966" s="3">
        <f>IF(Q966=1,SUMPRODUCT(--($R$8:$R$1207&lt;R966))+1,"")</f>
        <v/>
      </c>
      <c r="T966" s="12">
        <f>IF(K966=1,'ORDENES'!$J962,"")</f>
        <v/>
      </c>
    </row>
    <row r="967">
      <c r="K967" s="3">
        <f>IF(AND(IF($B$3="(todos)",TRUE,'ORDENES'!$O963=$B$3),IF($D$3="(todos)",TRUE,'ORDENES'!$AF963=$D$3),IF($F$3="(todos)",TRUE,'ORDENES'!$X963=$F$3),IF($H$3="(todos)",TRUE,'ORDENES'!$W963=$H$3),'ORDENES'!$AD963=TRUE,'ORDENES'!$A963&lt;&gt;""),1,0)</f>
        <v/>
      </c>
      <c r="L967" s="3">
        <f>IF(K967=1,IFERROR(MATCH('ORDENES'!$R963,lista_dias,0),9)*1000000000+IFERROR(MATCH('ORDENES'!$AF963,lista_turnos,0),9)*10000000+IFERROR(MATCH('ORDENES'!$AE963,tblTecnicos[nombre],0),99)*100000+960,9000000000000+960)</f>
        <v/>
      </c>
      <c r="M967" s="3">
        <f>IF(K967=1,SUMPRODUCT(--($L$8:$L$1207&lt;L967))+1,"")</f>
        <v/>
      </c>
      <c r="N967" s="17">
        <f>IF(K967=1,N('ORDENES'!$M963),0)</f>
        <v/>
      </c>
      <c r="O967" s="17">
        <f>IF('ORDENES'!$T963="preventiva",N967,0)</f>
        <v/>
      </c>
      <c r="P967" s="17">
        <f>IF('ORDENES'!$T963="correctiva",N967,0)</f>
        <v/>
      </c>
      <c r="Q967" s="3">
        <f>IF(AND(K967=1,'ORDENES'!$N963="Pendiente"),1,0)</f>
        <v/>
      </c>
      <c r="R967" s="3">
        <f>IF(Q967=1,100000-N967*1000+960*0.01,9000000000000+960)</f>
        <v/>
      </c>
      <c r="S967" s="3">
        <f>IF(Q967=1,SUMPRODUCT(--($R$8:$R$1207&lt;R967))+1,"")</f>
        <v/>
      </c>
      <c r="T967" s="12">
        <f>IF(K967=1,'ORDENES'!$J963,"")</f>
        <v/>
      </c>
    </row>
    <row r="968">
      <c r="K968" s="3">
        <f>IF(AND(IF($B$3="(todos)",TRUE,'ORDENES'!$O964=$B$3),IF($D$3="(todos)",TRUE,'ORDENES'!$AF964=$D$3),IF($F$3="(todos)",TRUE,'ORDENES'!$X964=$F$3),IF($H$3="(todos)",TRUE,'ORDENES'!$W964=$H$3),'ORDENES'!$AD964=TRUE,'ORDENES'!$A964&lt;&gt;""),1,0)</f>
        <v/>
      </c>
      <c r="L968" s="3">
        <f>IF(K968=1,IFERROR(MATCH('ORDENES'!$R964,lista_dias,0),9)*1000000000+IFERROR(MATCH('ORDENES'!$AF964,lista_turnos,0),9)*10000000+IFERROR(MATCH('ORDENES'!$AE964,tblTecnicos[nombre],0),99)*100000+961,9000000000000+961)</f>
        <v/>
      </c>
      <c r="M968" s="3">
        <f>IF(K968=1,SUMPRODUCT(--($L$8:$L$1207&lt;L968))+1,"")</f>
        <v/>
      </c>
      <c r="N968" s="17">
        <f>IF(K968=1,N('ORDENES'!$M964),0)</f>
        <v/>
      </c>
      <c r="O968" s="17">
        <f>IF('ORDENES'!$T964="preventiva",N968,0)</f>
        <v/>
      </c>
      <c r="P968" s="17">
        <f>IF('ORDENES'!$T964="correctiva",N968,0)</f>
        <v/>
      </c>
      <c r="Q968" s="3">
        <f>IF(AND(K968=1,'ORDENES'!$N964="Pendiente"),1,0)</f>
        <v/>
      </c>
      <c r="R968" s="3">
        <f>IF(Q968=1,100000-N968*1000+961*0.01,9000000000000+961)</f>
        <v/>
      </c>
      <c r="S968" s="3">
        <f>IF(Q968=1,SUMPRODUCT(--($R$8:$R$1207&lt;R968))+1,"")</f>
        <v/>
      </c>
      <c r="T968" s="12">
        <f>IF(K968=1,'ORDENES'!$J964,"")</f>
        <v/>
      </c>
    </row>
    <row r="969">
      <c r="K969" s="3">
        <f>IF(AND(IF($B$3="(todos)",TRUE,'ORDENES'!$O965=$B$3),IF($D$3="(todos)",TRUE,'ORDENES'!$AF965=$D$3),IF($F$3="(todos)",TRUE,'ORDENES'!$X965=$F$3),IF($H$3="(todos)",TRUE,'ORDENES'!$W965=$H$3),'ORDENES'!$AD965=TRUE,'ORDENES'!$A965&lt;&gt;""),1,0)</f>
        <v/>
      </c>
      <c r="L969" s="3">
        <f>IF(K969=1,IFERROR(MATCH('ORDENES'!$R965,lista_dias,0),9)*1000000000+IFERROR(MATCH('ORDENES'!$AF965,lista_turnos,0),9)*10000000+IFERROR(MATCH('ORDENES'!$AE965,tblTecnicos[nombre],0),99)*100000+962,9000000000000+962)</f>
        <v/>
      </c>
      <c r="M969" s="3">
        <f>IF(K969=1,SUMPRODUCT(--($L$8:$L$1207&lt;L969))+1,"")</f>
        <v/>
      </c>
      <c r="N969" s="17">
        <f>IF(K969=1,N('ORDENES'!$M965),0)</f>
        <v/>
      </c>
      <c r="O969" s="17">
        <f>IF('ORDENES'!$T965="preventiva",N969,0)</f>
        <v/>
      </c>
      <c r="P969" s="17">
        <f>IF('ORDENES'!$T965="correctiva",N969,0)</f>
        <v/>
      </c>
      <c r="Q969" s="3">
        <f>IF(AND(K969=1,'ORDENES'!$N965="Pendiente"),1,0)</f>
        <v/>
      </c>
      <c r="R969" s="3">
        <f>IF(Q969=1,100000-N969*1000+962*0.01,9000000000000+962)</f>
        <v/>
      </c>
      <c r="S969" s="3">
        <f>IF(Q969=1,SUMPRODUCT(--($R$8:$R$1207&lt;R969))+1,"")</f>
        <v/>
      </c>
      <c r="T969" s="12">
        <f>IF(K969=1,'ORDENES'!$J965,"")</f>
        <v/>
      </c>
    </row>
    <row r="970">
      <c r="K970" s="3">
        <f>IF(AND(IF($B$3="(todos)",TRUE,'ORDENES'!$O966=$B$3),IF($D$3="(todos)",TRUE,'ORDENES'!$AF966=$D$3),IF($F$3="(todos)",TRUE,'ORDENES'!$X966=$F$3),IF($H$3="(todos)",TRUE,'ORDENES'!$W966=$H$3),'ORDENES'!$AD966=TRUE,'ORDENES'!$A966&lt;&gt;""),1,0)</f>
        <v/>
      </c>
      <c r="L970" s="3">
        <f>IF(K970=1,IFERROR(MATCH('ORDENES'!$R966,lista_dias,0),9)*1000000000+IFERROR(MATCH('ORDENES'!$AF966,lista_turnos,0),9)*10000000+IFERROR(MATCH('ORDENES'!$AE966,tblTecnicos[nombre],0),99)*100000+963,9000000000000+963)</f>
        <v/>
      </c>
      <c r="M970" s="3">
        <f>IF(K970=1,SUMPRODUCT(--($L$8:$L$1207&lt;L970))+1,"")</f>
        <v/>
      </c>
      <c r="N970" s="17">
        <f>IF(K970=1,N('ORDENES'!$M966),0)</f>
        <v/>
      </c>
      <c r="O970" s="17">
        <f>IF('ORDENES'!$T966="preventiva",N970,0)</f>
        <v/>
      </c>
      <c r="P970" s="17">
        <f>IF('ORDENES'!$T966="correctiva",N970,0)</f>
        <v/>
      </c>
      <c r="Q970" s="3">
        <f>IF(AND(K970=1,'ORDENES'!$N966="Pendiente"),1,0)</f>
        <v/>
      </c>
      <c r="R970" s="3">
        <f>IF(Q970=1,100000-N970*1000+963*0.01,9000000000000+963)</f>
        <v/>
      </c>
      <c r="S970" s="3">
        <f>IF(Q970=1,SUMPRODUCT(--($R$8:$R$1207&lt;R970))+1,"")</f>
        <v/>
      </c>
      <c r="T970" s="12">
        <f>IF(K970=1,'ORDENES'!$J966,"")</f>
        <v/>
      </c>
    </row>
    <row r="971">
      <c r="K971" s="3">
        <f>IF(AND(IF($B$3="(todos)",TRUE,'ORDENES'!$O967=$B$3),IF($D$3="(todos)",TRUE,'ORDENES'!$AF967=$D$3),IF($F$3="(todos)",TRUE,'ORDENES'!$X967=$F$3),IF($H$3="(todos)",TRUE,'ORDENES'!$W967=$H$3),'ORDENES'!$AD967=TRUE,'ORDENES'!$A967&lt;&gt;""),1,0)</f>
        <v/>
      </c>
      <c r="L971" s="3">
        <f>IF(K971=1,IFERROR(MATCH('ORDENES'!$R967,lista_dias,0),9)*1000000000+IFERROR(MATCH('ORDENES'!$AF967,lista_turnos,0),9)*10000000+IFERROR(MATCH('ORDENES'!$AE967,tblTecnicos[nombre],0),99)*100000+964,9000000000000+964)</f>
        <v/>
      </c>
      <c r="M971" s="3">
        <f>IF(K971=1,SUMPRODUCT(--($L$8:$L$1207&lt;L971))+1,"")</f>
        <v/>
      </c>
      <c r="N971" s="17">
        <f>IF(K971=1,N('ORDENES'!$M967),0)</f>
        <v/>
      </c>
      <c r="O971" s="17">
        <f>IF('ORDENES'!$T967="preventiva",N971,0)</f>
        <v/>
      </c>
      <c r="P971" s="17">
        <f>IF('ORDENES'!$T967="correctiva",N971,0)</f>
        <v/>
      </c>
      <c r="Q971" s="3">
        <f>IF(AND(K971=1,'ORDENES'!$N967="Pendiente"),1,0)</f>
        <v/>
      </c>
      <c r="R971" s="3">
        <f>IF(Q971=1,100000-N971*1000+964*0.01,9000000000000+964)</f>
        <v/>
      </c>
      <c r="S971" s="3">
        <f>IF(Q971=1,SUMPRODUCT(--($R$8:$R$1207&lt;R971))+1,"")</f>
        <v/>
      </c>
      <c r="T971" s="12">
        <f>IF(K971=1,'ORDENES'!$J967,"")</f>
        <v/>
      </c>
    </row>
    <row r="972">
      <c r="K972" s="3">
        <f>IF(AND(IF($B$3="(todos)",TRUE,'ORDENES'!$O968=$B$3),IF($D$3="(todos)",TRUE,'ORDENES'!$AF968=$D$3),IF($F$3="(todos)",TRUE,'ORDENES'!$X968=$F$3),IF($H$3="(todos)",TRUE,'ORDENES'!$W968=$H$3),'ORDENES'!$AD968=TRUE,'ORDENES'!$A968&lt;&gt;""),1,0)</f>
        <v/>
      </c>
      <c r="L972" s="3">
        <f>IF(K972=1,IFERROR(MATCH('ORDENES'!$R968,lista_dias,0),9)*1000000000+IFERROR(MATCH('ORDENES'!$AF968,lista_turnos,0),9)*10000000+IFERROR(MATCH('ORDENES'!$AE968,tblTecnicos[nombre],0),99)*100000+965,9000000000000+965)</f>
        <v/>
      </c>
      <c r="M972" s="3">
        <f>IF(K972=1,SUMPRODUCT(--($L$8:$L$1207&lt;L972))+1,"")</f>
        <v/>
      </c>
      <c r="N972" s="17">
        <f>IF(K972=1,N('ORDENES'!$M968),0)</f>
        <v/>
      </c>
      <c r="O972" s="17">
        <f>IF('ORDENES'!$T968="preventiva",N972,0)</f>
        <v/>
      </c>
      <c r="P972" s="17">
        <f>IF('ORDENES'!$T968="correctiva",N972,0)</f>
        <v/>
      </c>
      <c r="Q972" s="3">
        <f>IF(AND(K972=1,'ORDENES'!$N968="Pendiente"),1,0)</f>
        <v/>
      </c>
      <c r="R972" s="3">
        <f>IF(Q972=1,100000-N972*1000+965*0.01,9000000000000+965)</f>
        <v/>
      </c>
      <c r="S972" s="3">
        <f>IF(Q972=1,SUMPRODUCT(--($R$8:$R$1207&lt;R972))+1,"")</f>
        <v/>
      </c>
      <c r="T972" s="12">
        <f>IF(K972=1,'ORDENES'!$J968,"")</f>
        <v/>
      </c>
    </row>
    <row r="973">
      <c r="K973" s="3">
        <f>IF(AND(IF($B$3="(todos)",TRUE,'ORDENES'!$O969=$B$3),IF($D$3="(todos)",TRUE,'ORDENES'!$AF969=$D$3),IF($F$3="(todos)",TRUE,'ORDENES'!$X969=$F$3),IF($H$3="(todos)",TRUE,'ORDENES'!$W969=$H$3),'ORDENES'!$AD969=TRUE,'ORDENES'!$A969&lt;&gt;""),1,0)</f>
        <v/>
      </c>
      <c r="L973" s="3">
        <f>IF(K973=1,IFERROR(MATCH('ORDENES'!$R969,lista_dias,0),9)*1000000000+IFERROR(MATCH('ORDENES'!$AF969,lista_turnos,0),9)*10000000+IFERROR(MATCH('ORDENES'!$AE969,tblTecnicos[nombre],0),99)*100000+966,9000000000000+966)</f>
        <v/>
      </c>
      <c r="M973" s="3">
        <f>IF(K973=1,SUMPRODUCT(--($L$8:$L$1207&lt;L973))+1,"")</f>
        <v/>
      </c>
      <c r="N973" s="17">
        <f>IF(K973=1,N('ORDENES'!$M969),0)</f>
        <v/>
      </c>
      <c r="O973" s="17">
        <f>IF('ORDENES'!$T969="preventiva",N973,0)</f>
        <v/>
      </c>
      <c r="P973" s="17">
        <f>IF('ORDENES'!$T969="correctiva",N973,0)</f>
        <v/>
      </c>
      <c r="Q973" s="3">
        <f>IF(AND(K973=1,'ORDENES'!$N969="Pendiente"),1,0)</f>
        <v/>
      </c>
      <c r="R973" s="3">
        <f>IF(Q973=1,100000-N973*1000+966*0.01,9000000000000+966)</f>
        <v/>
      </c>
      <c r="S973" s="3">
        <f>IF(Q973=1,SUMPRODUCT(--($R$8:$R$1207&lt;R973))+1,"")</f>
        <v/>
      </c>
      <c r="T973" s="12">
        <f>IF(K973=1,'ORDENES'!$J969,"")</f>
        <v/>
      </c>
    </row>
    <row r="974">
      <c r="K974" s="3">
        <f>IF(AND(IF($B$3="(todos)",TRUE,'ORDENES'!$O970=$B$3),IF($D$3="(todos)",TRUE,'ORDENES'!$AF970=$D$3),IF($F$3="(todos)",TRUE,'ORDENES'!$X970=$F$3),IF($H$3="(todos)",TRUE,'ORDENES'!$W970=$H$3),'ORDENES'!$AD970=TRUE,'ORDENES'!$A970&lt;&gt;""),1,0)</f>
        <v/>
      </c>
      <c r="L974" s="3">
        <f>IF(K974=1,IFERROR(MATCH('ORDENES'!$R970,lista_dias,0),9)*1000000000+IFERROR(MATCH('ORDENES'!$AF970,lista_turnos,0),9)*10000000+IFERROR(MATCH('ORDENES'!$AE970,tblTecnicos[nombre],0),99)*100000+967,9000000000000+967)</f>
        <v/>
      </c>
      <c r="M974" s="3">
        <f>IF(K974=1,SUMPRODUCT(--($L$8:$L$1207&lt;L974))+1,"")</f>
        <v/>
      </c>
      <c r="N974" s="17">
        <f>IF(K974=1,N('ORDENES'!$M970),0)</f>
        <v/>
      </c>
      <c r="O974" s="17">
        <f>IF('ORDENES'!$T970="preventiva",N974,0)</f>
        <v/>
      </c>
      <c r="P974" s="17">
        <f>IF('ORDENES'!$T970="correctiva",N974,0)</f>
        <v/>
      </c>
      <c r="Q974" s="3">
        <f>IF(AND(K974=1,'ORDENES'!$N970="Pendiente"),1,0)</f>
        <v/>
      </c>
      <c r="R974" s="3">
        <f>IF(Q974=1,100000-N974*1000+967*0.01,9000000000000+967)</f>
        <v/>
      </c>
      <c r="S974" s="3">
        <f>IF(Q974=1,SUMPRODUCT(--($R$8:$R$1207&lt;R974))+1,"")</f>
        <v/>
      </c>
      <c r="T974" s="12">
        <f>IF(K974=1,'ORDENES'!$J970,"")</f>
        <v/>
      </c>
    </row>
    <row r="975">
      <c r="K975" s="3">
        <f>IF(AND(IF($B$3="(todos)",TRUE,'ORDENES'!$O971=$B$3),IF($D$3="(todos)",TRUE,'ORDENES'!$AF971=$D$3),IF($F$3="(todos)",TRUE,'ORDENES'!$X971=$F$3),IF($H$3="(todos)",TRUE,'ORDENES'!$W971=$H$3),'ORDENES'!$AD971=TRUE,'ORDENES'!$A971&lt;&gt;""),1,0)</f>
        <v/>
      </c>
      <c r="L975" s="3">
        <f>IF(K975=1,IFERROR(MATCH('ORDENES'!$R971,lista_dias,0),9)*1000000000+IFERROR(MATCH('ORDENES'!$AF971,lista_turnos,0),9)*10000000+IFERROR(MATCH('ORDENES'!$AE971,tblTecnicos[nombre],0),99)*100000+968,9000000000000+968)</f>
        <v/>
      </c>
      <c r="M975" s="3">
        <f>IF(K975=1,SUMPRODUCT(--($L$8:$L$1207&lt;L975))+1,"")</f>
        <v/>
      </c>
      <c r="N975" s="17">
        <f>IF(K975=1,N('ORDENES'!$M971),0)</f>
        <v/>
      </c>
      <c r="O975" s="17">
        <f>IF('ORDENES'!$T971="preventiva",N975,0)</f>
        <v/>
      </c>
      <c r="P975" s="17">
        <f>IF('ORDENES'!$T971="correctiva",N975,0)</f>
        <v/>
      </c>
      <c r="Q975" s="3">
        <f>IF(AND(K975=1,'ORDENES'!$N971="Pendiente"),1,0)</f>
        <v/>
      </c>
      <c r="R975" s="3">
        <f>IF(Q975=1,100000-N975*1000+968*0.01,9000000000000+968)</f>
        <v/>
      </c>
      <c r="S975" s="3">
        <f>IF(Q975=1,SUMPRODUCT(--($R$8:$R$1207&lt;R975))+1,"")</f>
        <v/>
      </c>
      <c r="T975" s="12">
        <f>IF(K975=1,'ORDENES'!$J971,"")</f>
        <v/>
      </c>
    </row>
    <row r="976">
      <c r="K976" s="3">
        <f>IF(AND(IF($B$3="(todos)",TRUE,'ORDENES'!$O972=$B$3),IF($D$3="(todos)",TRUE,'ORDENES'!$AF972=$D$3),IF($F$3="(todos)",TRUE,'ORDENES'!$X972=$F$3),IF($H$3="(todos)",TRUE,'ORDENES'!$W972=$H$3),'ORDENES'!$AD972=TRUE,'ORDENES'!$A972&lt;&gt;""),1,0)</f>
        <v/>
      </c>
      <c r="L976" s="3">
        <f>IF(K976=1,IFERROR(MATCH('ORDENES'!$R972,lista_dias,0),9)*1000000000+IFERROR(MATCH('ORDENES'!$AF972,lista_turnos,0),9)*10000000+IFERROR(MATCH('ORDENES'!$AE972,tblTecnicos[nombre],0),99)*100000+969,9000000000000+969)</f>
        <v/>
      </c>
      <c r="M976" s="3">
        <f>IF(K976=1,SUMPRODUCT(--($L$8:$L$1207&lt;L976))+1,"")</f>
        <v/>
      </c>
      <c r="N976" s="17">
        <f>IF(K976=1,N('ORDENES'!$M972),0)</f>
        <v/>
      </c>
      <c r="O976" s="17">
        <f>IF('ORDENES'!$T972="preventiva",N976,0)</f>
        <v/>
      </c>
      <c r="P976" s="17">
        <f>IF('ORDENES'!$T972="correctiva",N976,0)</f>
        <v/>
      </c>
      <c r="Q976" s="3">
        <f>IF(AND(K976=1,'ORDENES'!$N972="Pendiente"),1,0)</f>
        <v/>
      </c>
      <c r="R976" s="3">
        <f>IF(Q976=1,100000-N976*1000+969*0.01,9000000000000+969)</f>
        <v/>
      </c>
      <c r="S976" s="3">
        <f>IF(Q976=1,SUMPRODUCT(--($R$8:$R$1207&lt;R976))+1,"")</f>
        <v/>
      </c>
      <c r="T976" s="12">
        <f>IF(K976=1,'ORDENES'!$J972,"")</f>
        <v/>
      </c>
    </row>
    <row r="977">
      <c r="K977" s="3">
        <f>IF(AND(IF($B$3="(todos)",TRUE,'ORDENES'!$O973=$B$3),IF($D$3="(todos)",TRUE,'ORDENES'!$AF973=$D$3),IF($F$3="(todos)",TRUE,'ORDENES'!$X973=$F$3),IF($H$3="(todos)",TRUE,'ORDENES'!$W973=$H$3),'ORDENES'!$AD973=TRUE,'ORDENES'!$A973&lt;&gt;""),1,0)</f>
        <v/>
      </c>
      <c r="L977" s="3">
        <f>IF(K977=1,IFERROR(MATCH('ORDENES'!$R973,lista_dias,0),9)*1000000000+IFERROR(MATCH('ORDENES'!$AF973,lista_turnos,0),9)*10000000+IFERROR(MATCH('ORDENES'!$AE973,tblTecnicos[nombre],0),99)*100000+970,9000000000000+970)</f>
        <v/>
      </c>
      <c r="M977" s="3">
        <f>IF(K977=1,SUMPRODUCT(--($L$8:$L$1207&lt;L977))+1,"")</f>
        <v/>
      </c>
      <c r="N977" s="17">
        <f>IF(K977=1,N('ORDENES'!$M973),0)</f>
        <v/>
      </c>
      <c r="O977" s="17">
        <f>IF('ORDENES'!$T973="preventiva",N977,0)</f>
        <v/>
      </c>
      <c r="P977" s="17">
        <f>IF('ORDENES'!$T973="correctiva",N977,0)</f>
        <v/>
      </c>
      <c r="Q977" s="3">
        <f>IF(AND(K977=1,'ORDENES'!$N973="Pendiente"),1,0)</f>
        <v/>
      </c>
      <c r="R977" s="3">
        <f>IF(Q977=1,100000-N977*1000+970*0.01,9000000000000+970)</f>
        <v/>
      </c>
      <c r="S977" s="3">
        <f>IF(Q977=1,SUMPRODUCT(--($R$8:$R$1207&lt;R977))+1,"")</f>
        <v/>
      </c>
      <c r="T977" s="12">
        <f>IF(K977=1,'ORDENES'!$J973,"")</f>
        <v/>
      </c>
    </row>
    <row r="978">
      <c r="K978" s="3">
        <f>IF(AND(IF($B$3="(todos)",TRUE,'ORDENES'!$O974=$B$3),IF($D$3="(todos)",TRUE,'ORDENES'!$AF974=$D$3),IF($F$3="(todos)",TRUE,'ORDENES'!$X974=$F$3),IF($H$3="(todos)",TRUE,'ORDENES'!$W974=$H$3),'ORDENES'!$AD974=TRUE,'ORDENES'!$A974&lt;&gt;""),1,0)</f>
        <v/>
      </c>
      <c r="L978" s="3">
        <f>IF(K978=1,IFERROR(MATCH('ORDENES'!$R974,lista_dias,0),9)*1000000000+IFERROR(MATCH('ORDENES'!$AF974,lista_turnos,0),9)*10000000+IFERROR(MATCH('ORDENES'!$AE974,tblTecnicos[nombre],0),99)*100000+971,9000000000000+971)</f>
        <v/>
      </c>
      <c r="M978" s="3">
        <f>IF(K978=1,SUMPRODUCT(--($L$8:$L$1207&lt;L978))+1,"")</f>
        <v/>
      </c>
      <c r="N978" s="17">
        <f>IF(K978=1,N('ORDENES'!$M974),0)</f>
        <v/>
      </c>
      <c r="O978" s="17">
        <f>IF('ORDENES'!$T974="preventiva",N978,0)</f>
        <v/>
      </c>
      <c r="P978" s="17">
        <f>IF('ORDENES'!$T974="correctiva",N978,0)</f>
        <v/>
      </c>
      <c r="Q978" s="3">
        <f>IF(AND(K978=1,'ORDENES'!$N974="Pendiente"),1,0)</f>
        <v/>
      </c>
      <c r="R978" s="3">
        <f>IF(Q978=1,100000-N978*1000+971*0.01,9000000000000+971)</f>
        <v/>
      </c>
      <c r="S978" s="3">
        <f>IF(Q978=1,SUMPRODUCT(--($R$8:$R$1207&lt;R978))+1,"")</f>
        <v/>
      </c>
      <c r="T978" s="12">
        <f>IF(K978=1,'ORDENES'!$J974,"")</f>
        <v/>
      </c>
    </row>
    <row r="979">
      <c r="K979" s="3">
        <f>IF(AND(IF($B$3="(todos)",TRUE,'ORDENES'!$O975=$B$3),IF($D$3="(todos)",TRUE,'ORDENES'!$AF975=$D$3),IF($F$3="(todos)",TRUE,'ORDENES'!$X975=$F$3),IF($H$3="(todos)",TRUE,'ORDENES'!$W975=$H$3),'ORDENES'!$AD975=TRUE,'ORDENES'!$A975&lt;&gt;""),1,0)</f>
        <v/>
      </c>
      <c r="L979" s="3">
        <f>IF(K979=1,IFERROR(MATCH('ORDENES'!$R975,lista_dias,0),9)*1000000000+IFERROR(MATCH('ORDENES'!$AF975,lista_turnos,0),9)*10000000+IFERROR(MATCH('ORDENES'!$AE975,tblTecnicos[nombre],0),99)*100000+972,9000000000000+972)</f>
        <v/>
      </c>
      <c r="M979" s="3">
        <f>IF(K979=1,SUMPRODUCT(--($L$8:$L$1207&lt;L979))+1,"")</f>
        <v/>
      </c>
      <c r="N979" s="17">
        <f>IF(K979=1,N('ORDENES'!$M975),0)</f>
        <v/>
      </c>
      <c r="O979" s="17">
        <f>IF('ORDENES'!$T975="preventiva",N979,0)</f>
        <v/>
      </c>
      <c r="P979" s="17">
        <f>IF('ORDENES'!$T975="correctiva",N979,0)</f>
        <v/>
      </c>
      <c r="Q979" s="3">
        <f>IF(AND(K979=1,'ORDENES'!$N975="Pendiente"),1,0)</f>
        <v/>
      </c>
      <c r="R979" s="3">
        <f>IF(Q979=1,100000-N979*1000+972*0.01,9000000000000+972)</f>
        <v/>
      </c>
      <c r="S979" s="3">
        <f>IF(Q979=1,SUMPRODUCT(--($R$8:$R$1207&lt;R979))+1,"")</f>
        <v/>
      </c>
      <c r="T979" s="12">
        <f>IF(K979=1,'ORDENES'!$J975,"")</f>
        <v/>
      </c>
    </row>
    <row r="980">
      <c r="K980" s="3">
        <f>IF(AND(IF($B$3="(todos)",TRUE,'ORDENES'!$O976=$B$3),IF($D$3="(todos)",TRUE,'ORDENES'!$AF976=$D$3),IF($F$3="(todos)",TRUE,'ORDENES'!$X976=$F$3),IF($H$3="(todos)",TRUE,'ORDENES'!$W976=$H$3),'ORDENES'!$AD976=TRUE,'ORDENES'!$A976&lt;&gt;""),1,0)</f>
        <v/>
      </c>
      <c r="L980" s="3">
        <f>IF(K980=1,IFERROR(MATCH('ORDENES'!$R976,lista_dias,0),9)*1000000000+IFERROR(MATCH('ORDENES'!$AF976,lista_turnos,0),9)*10000000+IFERROR(MATCH('ORDENES'!$AE976,tblTecnicos[nombre],0),99)*100000+973,9000000000000+973)</f>
        <v/>
      </c>
      <c r="M980" s="3">
        <f>IF(K980=1,SUMPRODUCT(--($L$8:$L$1207&lt;L980))+1,"")</f>
        <v/>
      </c>
      <c r="N980" s="17">
        <f>IF(K980=1,N('ORDENES'!$M976),0)</f>
        <v/>
      </c>
      <c r="O980" s="17">
        <f>IF('ORDENES'!$T976="preventiva",N980,0)</f>
        <v/>
      </c>
      <c r="P980" s="17">
        <f>IF('ORDENES'!$T976="correctiva",N980,0)</f>
        <v/>
      </c>
      <c r="Q980" s="3">
        <f>IF(AND(K980=1,'ORDENES'!$N976="Pendiente"),1,0)</f>
        <v/>
      </c>
      <c r="R980" s="3">
        <f>IF(Q980=1,100000-N980*1000+973*0.01,9000000000000+973)</f>
        <v/>
      </c>
      <c r="S980" s="3">
        <f>IF(Q980=1,SUMPRODUCT(--($R$8:$R$1207&lt;R980))+1,"")</f>
        <v/>
      </c>
      <c r="T980" s="12">
        <f>IF(K980=1,'ORDENES'!$J976,"")</f>
        <v/>
      </c>
    </row>
    <row r="981">
      <c r="K981" s="3">
        <f>IF(AND(IF($B$3="(todos)",TRUE,'ORDENES'!$O977=$B$3),IF($D$3="(todos)",TRUE,'ORDENES'!$AF977=$D$3),IF($F$3="(todos)",TRUE,'ORDENES'!$X977=$F$3),IF($H$3="(todos)",TRUE,'ORDENES'!$W977=$H$3),'ORDENES'!$AD977=TRUE,'ORDENES'!$A977&lt;&gt;""),1,0)</f>
        <v/>
      </c>
      <c r="L981" s="3">
        <f>IF(K981=1,IFERROR(MATCH('ORDENES'!$R977,lista_dias,0),9)*1000000000+IFERROR(MATCH('ORDENES'!$AF977,lista_turnos,0),9)*10000000+IFERROR(MATCH('ORDENES'!$AE977,tblTecnicos[nombre],0),99)*100000+974,9000000000000+974)</f>
        <v/>
      </c>
      <c r="M981" s="3">
        <f>IF(K981=1,SUMPRODUCT(--($L$8:$L$1207&lt;L981))+1,"")</f>
        <v/>
      </c>
      <c r="N981" s="17">
        <f>IF(K981=1,N('ORDENES'!$M977),0)</f>
        <v/>
      </c>
      <c r="O981" s="17">
        <f>IF('ORDENES'!$T977="preventiva",N981,0)</f>
        <v/>
      </c>
      <c r="P981" s="17">
        <f>IF('ORDENES'!$T977="correctiva",N981,0)</f>
        <v/>
      </c>
      <c r="Q981" s="3">
        <f>IF(AND(K981=1,'ORDENES'!$N977="Pendiente"),1,0)</f>
        <v/>
      </c>
      <c r="R981" s="3">
        <f>IF(Q981=1,100000-N981*1000+974*0.01,9000000000000+974)</f>
        <v/>
      </c>
      <c r="S981" s="3">
        <f>IF(Q981=1,SUMPRODUCT(--($R$8:$R$1207&lt;R981))+1,"")</f>
        <v/>
      </c>
      <c r="T981" s="12">
        <f>IF(K981=1,'ORDENES'!$J977,"")</f>
        <v/>
      </c>
    </row>
    <row r="982">
      <c r="K982" s="3">
        <f>IF(AND(IF($B$3="(todos)",TRUE,'ORDENES'!$O978=$B$3),IF($D$3="(todos)",TRUE,'ORDENES'!$AF978=$D$3),IF($F$3="(todos)",TRUE,'ORDENES'!$X978=$F$3),IF($H$3="(todos)",TRUE,'ORDENES'!$W978=$H$3),'ORDENES'!$AD978=TRUE,'ORDENES'!$A978&lt;&gt;""),1,0)</f>
        <v/>
      </c>
      <c r="L982" s="3">
        <f>IF(K982=1,IFERROR(MATCH('ORDENES'!$R978,lista_dias,0),9)*1000000000+IFERROR(MATCH('ORDENES'!$AF978,lista_turnos,0),9)*10000000+IFERROR(MATCH('ORDENES'!$AE978,tblTecnicos[nombre],0),99)*100000+975,9000000000000+975)</f>
        <v/>
      </c>
      <c r="M982" s="3">
        <f>IF(K982=1,SUMPRODUCT(--($L$8:$L$1207&lt;L982))+1,"")</f>
        <v/>
      </c>
      <c r="N982" s="17">
        <f>IF(K982=1,N('ORDENES'!$M978),0)</f>
        <v/>
      </c>
      <c r="O982" s="17">
        <f>IF('ORDENES'!$T978="preventiva",N982,0)</f>
        <v/>
      </c>
      <c r="P982" s="17">
        <f>IF('ORDENES'!$T978="correctiva",N982,0)</f>
        <v/>
      </c>
      <c r="Q982" s="3">
        <f>IF(AND(K982=1,'ORDENES'!$N978="Pendiente"),1,0)</f>
        <v/>
      </c>
      <c r="R982" s="3">
        <f>IF(Q982=1,100000-N982*1000+975*0.01,9000000000000+975)</f>
        <v/>
      </c>
      <c r="S982" s="3">
        <f>IF(Q982=1,SUMPRODUCT(--($R$8:$R$1207&lt;R982))+1,"")</f>
        <v/>
      </c>
      <c r="T982" s="12">
        <f>IF(K982=1,'ORDENES'!$J978,"")</f>
        <v/>
      </c>
    </row>
    <row r="983">
      <c r="K983" s="3">
        <f>IF(AND(IF($B$3="(todos)",TRUE,'ORDENES'!$O979=$B$3),IF($D$3="(todos)",TRUE,'ORDENES'!$AF979=$D$3),IF($F$3="(todos)",TRUE,'ORDENES'!$X979=$F$3),IF($H$3="(todos)",TRUE,'ORDENES'!$W979=$H$3),'ORDENES'!$AD979=TRUE,'ORDENES'!$A979&lt;&gt;""),1,0)</f>
        <v/>
      </c>
      <c r="L983" s="3">
        <f>IF(K983=1,IFERROR(MATCH('ORDENES'!$R979,lista_dias,0),9)*1000000000+IFERROR(MATCH('ORDENES'!$AF979,lista_turnos,0),9)*10000000+IFERROR(MATCH('ORDENES'!$AE979,tblTecnicos[nombre],0),99)*100000+976,9000000000000+976)</f>
        <v/>
      </c>
      <c r="M983" s="3">
        <f>IF(K983=1,SUMPRODUCT(--($L$8:$L$1207&lt;L983))+1,"")</f>
        <v/>
      </c>
      <c r="N983" s="17">
        <f>IF(K983=1,N('ORDENES'!$M979),0)</f>
        <v/>
      </c>
      <c r="O983" s="17">
        <f>IF('ORDENES'!$T979="preventiva",N983,0)</f>
        <v/>
      </c>
      <c r="P983" s="17">
        <f>IF('ORDENES'!$T979="correctiva",N983,0)</f>
        <v/>
      </c>
      <c r="Q983" s="3">
        <f>IF(AND(K983=1,'ORDENES'!$N979="Pendiente"),1,0)</f>
        <v/>
      </c>
      <c r="R983" s="3">
        <f>IF(Q983=1,100000-N983*1000+976*0.01,9000000000000+976)</f>
        <v/>
      </c>
      <c r="S983" s="3">
        <f>IF(Q983=1,SUMPRODUCT(--($R$8:$R$1207&lt;R983))+1,"")</f>
        <v/>
      </c>
      <c r="T983" s="12">
        <f>IF(K983=1,'ORDENES'!$J979,"")</f>
        <v/>
      </c>
    </row>
    <row r="984">
      <c r="K984" s="3">
        <f>IF(AND(IF($B$3="(todos)",TRUE,'ORDENES'!$O980=$B$3),IF($D$3="(todos)",TRUE,'ORDENES'!$AF980=$D$3),IF($F$3="(todos)",TRUE,'ORDENES'!$X980=$F$3),IF($H$3="(todos)",TRUE,'ORDENES'!$W980=$H$3),'ORDENES'!$AD980=TRUE,'ORDENES'!$A980&lt;&gt;""),1,0)</f>
        <v/>
      </c>
      <c r="L984" s="3">
        <f>IF(K984=1,IFERROR(MATCH('ORDENES'!$R980,lista_dias,0),9)*1000000000+IFERROR(MATCH('ORDENES'!$AF980,lista_turnos,0),9)*10000000+IFERROR(MATCH('ORDENES'!$AE980,tblTecnicos[nombre],0),99)*100000+977,9000000000000+977)</f>
        <v/>
      </c>
      <c r="M984" s="3">
        <f>IF(K984=1,SUMPRODUCT(--($L$8:$L$1207&lt;L984))+1,"")</f>
        <v/>
      </c>
      <c r="N984" s="17">
        <f>IF(K984=1,N('ORDENES'!$M980),0)</f>
        <v/>
      </c>
      <c r="O984" s="17">
        <f>IF('ORDENES'!$T980="preventiva",N984,0)</f>
        <v/>
      </c>
      <c r="P984" s="17">
        <f>IF('ORDENES'!$T980="correctiva",N984,0)</f>
        <v/>
      </c>
      <c r="Q984" s="3">
        <f>IF(AND(K984=1,'ORDENES'!$N980="Pendiente"),1,0)</f>
        <v/>
      </c>
      <c r="R984" s="3">
        <f>IF(Q984=1,100000-N984*1000+977*0.01,9000000000000+977)</f>
        <v/>
      </c>
      <c r="S984" s="3">
        <f>IF(Q984=1,SUMPRODUCT(--($R$8:$R$1207&lt;R984))+1,"")</f>
        <v/>
      </c>
      <c r="T984" s="12">
        <f>IF(K984=1,'ORDENES'!$J980,"")</f>
        <v/>
      </c>
    </row>
    <row r="985">
      <c r="K985" s="3">
        <f>IF(AND(IF($B$3="(todos)",TRUE,'ORDENES'!$O981=$B$3),IF($D$3="(todos)",TRUE,'ORDENES'!$AF981=$D$3),IF($F$3="(todos)",TRUE,'ORDENES'!$X981=$F$3),IF($H$3="(todos)",TRUE,'ORDENES'!$W981=$H$3),'ORDENES'!$AD981=TRUE,'ORDENES'!$A981&lt;&gt;""),1,0)</f>
        <v/>
      </c>
      <c r="L985" s="3">
        <f>IF(K985=1,IFERROR(MATCH('ORDENES'!$R981,lista_dias,0),9)*1000000000+IFERROR(MATCH('ORDENES'!$AF981,lista_turnos,0),9)*10000000+IFERROR(MATCH('ORDENES'!$AE981,tblTecnicos[nombre],0),99)*100000+978,9000000000000+978)</f>
        <v/>
      </c>
      <c r="M985" s="3">
        <f>IF(K985=1,SUMPRODUCT(--($L$8:$L$1207&lt;L985))+1,"")</f>
        <v/>
      </c>
      <c r="N985" s="17">
        <f>IF(K985=1,N('ORDENES'!$M981),0)</f>
        <v/>
      </c>
      <c r="O985" s="17">
        <f>IF('ORDENES'!$T981="preventiva",N985,0)</f>
        <v/>
      </c>
      <c r="P985" s="17">
        <f>IF('ORDENES'!$T981="correctiva",N985,0)</f>
        <v/>
      </c>
      <c r="Q985" s="3">
        <f>IF(AND(K985=1,'ORDENES'!$N981="Pendiente"),1,0)</f>
        <v/>
      </c>
      <c r="R985" s="3">
        <f>IF(Q985=1,100000-N985*1000+978*0.01,9000000000000+978)</f>
        <v/>
      </c>
      <c r="S985" s="3">
        <f>IF(Q985=1,SUMPRODUCT(--($R$8:$R$1207&lt;R985))+1,"")</f>
        <v/>
      </c>
      <c r="T985" s="12">
        <f>IF(K985=1,'ORDENES'!$J981,"")</f>
        <v/>
      </c>
    </row>
    <row r="986">
      <c r="K986" s="3">
        <f>IF(AND(IF($B$3="(todos)",TRUE,'ORDENES'!$O982=$B$3),IF($D$3="(todos)",TRUE,'ORDENES'!$AF982=$D$3),IF($F$3="(todos)",TRUE,'ORDENES'!$X982=$F$3),IF($H$3="(todos)",TRUE,'ORDENES'!$W982=$H$3),'ORDENES'!$AD982=TRUE,'ORDENES'!$A982&lt;&gt;""),1,0)</f>
        <v/>
      </c>
      <c r="L986" s="3">
        <f>IF(K986=1,IFERROR(MATCH('ORDENES'!$R982,lista_dias,0),9)*1000000000+IFERROR(MATCH('ORDENES'!$AF982,lista_turnos,0),9)*10000000+IFERROR(MATCH('ORDENES'!$AE982,tblTecnicos[nombre],0),99)*100000+979,9000000000000+979)</f>
        <v/>
      </c>
      <c r="M986" s="3">
        <f>IF(K986=1,SUMPRODUCT(--($L$8:$L$1207&lt;L986))+1,"")</f>
        <v/>
      </c>
      <c r="N986" s="17">
        <f>IF(K986=1,N('ORDENES'!$M982),0)</f>
        <v/>
      </c>
      <c r="O986" s="17">
        <f>IF('ORDENES'!$T982="preventiva",N986,0)</f>
        <v/>
      </c>
      <c r="P986" s="17">
        <f>IF('ORDENES'!$T982="correctiva",N986,0)</f>
        <v/>
      </c>
      <c r="Q986" s="3">
        <f>IF(AND(K986=1,'ORDENES'!$N982="Pendiente"),1,0)</f>
        <v/>
      </c>
      <c r="R986" s="3">
        <f>IF(Q986=1,100000-N986*1000+979*0.01,9000000000000+979)</f>
        <v/>
      </c>
      <c r="S986" s="3">
        <f>IF(Q986=1,SUMPRODUCT(--($R$8:$R$1207&lt;R986))+1,"")</f>
        <v/>
      </c>
      <c r="T986" s="12">
        <f>IF(K986=1,'ORDENES'!$J982,"")</f>
        <v/>
      </c>
    </row>
    <row r="987">
      <c r="K987" s="3">
        <f>IF(AND(IF($B$3="(todos)",TRUE,'ORDENES'!$O983=$B$3),IF($D$3="(todos)",TRUE,'ORDENES'!$AF983=$D$3),IF($F$3="(todos)",TRUE,'ORDENES'!$X983=$F$3),IF($H$3="(todos)",TRUE,'ORDENES'!$W983=$H$3),'ORDENES'!$AD983=TRUE,'ORDENES'!$A983&lt;&gt;""),1,0)</f>
        <v/>
      </c>
      <c r="L987" s="3">
        <f>IF(K987=1,IFERROR(MATCH('ORDENES'!$R983,lista_dias,0),9)*1000000000+IFERROR(MATCH('ORDENES'!$AF983,lista_turnos,0),9)*10000000+IFERROR(MATCH('ORDENES'!$AE983,tblTecnicos[nombre],0),99)*100000+980,9000000000000+980)</f>
        <v/>
      </c>
      <c r="M987" s="3">
        <f>IF(K987=1,SUMPRODUCT(--($L$8:$L$1207&lt;L987))+1,"")</f>
        <v/>
      </c>
      <c r="N987" s="17">
        <f>IF(K987=1,N('ORDENES'!$M983),0)</f>
        <v/>
      </c>
      <c r="O987" s="17">
        <f>IF('ORDENES'!$T983="preventiva",N987,0)</f>
        <v/>
      </c>
      <c r="P987" s="17">
        <f>IF('ORDENES'!$T983="correctiva",N987,0)</f>
        <v/>
      </c>
      <c r="Q987" s="3">
        <f>IF(AND(K987=1,'ORDENES'!$N983="Pendiente"),1,0)</f>
        <v/>
      </c>
      <c r="R987" s="3">
        <f>IF(Q987=1,100000-N987*1000+980*0.01,9000000000000+980)</f>
        <v/>
      </c>
      <c r="S987" s="3">
        <f>IF(Q987=1,SUMPRODUCT(--($R$8:$R$1207&lt;R987))+1,"")</f>
        <v/>
      </c>
      <c r="T987" s="12">
        <f>IF(K987=1,'ORDENES'!$J983,"")</f>
        <v/>
      </c>
    </row>
    <row r="988">
      <c r="K988" s="3">
        <f>IF(AND(IF($B$3="(todos)",TRUE,'ORDENES'!$O984=$B$3),IF($D$3="(todos)",TRUE,'ORDENES'!$AF984=$D$3),IF($F$3="(todos)",TRUE,'ORDENES'!$X984=$F$3),IF($H$3="(todos)",TRUE,'ORDENES'!$W984=$H$3),'ORDENES'!$AD984=TRUE,'ORDENES'!$A984&lt;&gt;""),1,0)</f>
        <v/>
      </c>
      <c r="L988" s="3">
        <f>IF(K988=1,IFERROR(MATCH('ORDENES'!$R984,lista_dias,0),9)*1000000000+IFERROR(MATCH('ORDENES'!$AF984,lista_turnos,0),9)*10000000+IFERROR(MATCH('ORDENES'!$AE984,tblTecnicos[nombre],0),99)*100000+981,9000000000000+981)</f>
        <v/>
      </c>
      <c r="M988" s="3">
        <f>IF(K988=1,SUMPRODUCT(--($L$8:$L$1207&lt;L988))+1,"")</f>
        <v/>
      </c>
      <c r="N988" s="17">
        <f>IF(K988=1,N('ORDENES'!$M984),0)</f>
        <v/>
      </c>
      <c r="O988" s="17">
        <f>IF('ORDENES'!$T984="preventiva",N988,0)</f>
        <v/>
      </c>
      <c r="P988" s="17">
        <f>IF('ORDENES'!$T984="correctiva",N988,0)</f>
        <v/>
      </c>
      <c r="Q988" s="3">
        <f>IF(AND(K988=1,'ORDENES'!$N984="Pendiente"),1,0)</f>
        <v/>
      </c>
      <c r="R988" s="3">
        <f>IF(Q988=1,100000-N988*1000+981*0.01,9000000000000+981)</f>
        <v/>
      </c>
      <c r="S988" s="3">
        <f>IF(Q988=1,SUMPRODUCT(--($R$8:$R$1207&lt;R988))+1,"")</f>
        <v/>
      </c>
      <c r="T988" s="12">
        <f>IF(K988=1,'ORDENES'!$J984,"")</f>
        <v/>
      </c>
    </row>
    <row r="989">
      <c r="K989" s="3">
        <f>IF(AND(IF($B$3="(todos)",TRUE,'ORDENES'!$O985=$B$3),IF($D$3="(todos)",TRUE,'ORDENES'!$AF985=$D$3),IF($F$3="(todos)",TRUE,'ORDENES'!$X985=$F$3),IF($H$3="(todos)",TRUE,'ORDENES'!$W985=$H$3),'ORDENES'!$AD985=TRUE,'ORDENES'!$A985&lt;&gt;""),1,0)</f>
        <v/>
      </c>
      <c r="L989" s="3">
        <f>IF(K989=1,IFERROR(MATCH('ORDENES'!$R985,lista_dias,0),9)*1000000000+IFERROR(MATCH('ORDENES'!$AF985,lista_turnos,0),9)*10000000+IFERROR(MATCH('ORDENES'!$AE985,tblTecnicos[nombre],0),99)*100000+982,9000000000000+982)</f>
        <v/>
      </c>
      <c r="M989" s="3">
        <f>IF(K989=1,SUMPRODUCT(--($L$8:$L$1207&lt;L989))+1,"")</f>
        <v/>
      </c>
      <c r="N989" s="17">
        <f>IF(K989=1,N('ORDENES'!$M985),0)</f>
        <v/>
      </c>
      <c r="O989" s="17">
        <f>IF('ORDENES'!$T985="preventiva",N989,0)</f>
        <v/>
      </c>
      <c r="P989" s="17">
        <f>IF('ORDENES'!$T985="correctiva",N989,0)</f>
        <v/>
      </c>
      <c r="Q989" s="3">
        <f>IF(AND(K989=1,'ORDENES'!$N985="Pendiente"),1,0)</f>
        <v/>
      </c>
      <c r="R989" s="3">
        <f>IF(Q989=1,100000-N989*1000+982*0.01,9000000000000+982)</f>
        <v/>
      </c>
      <c r="S989" s="3">
        <f>IF(Q989=1,SUMPRODUCT(--($R$8:$R$1207&lt;R989))+1,"")</f>
        <v/>
      </c>
      <c r="T989" s="12">
        <f>IF(K989=1,'ORDENES'!$J985,"")</f>
        <v/>
      </c>
    </row>
    <row r="990">
      <c r="K990" s="3">
        <f>IF(AND(IF($B$3="(todos)",TRUE,'ORDENES'!$O986=$B$3),IF($D$3="(todos)",TRUE,'ORDENES'!$AF986=$D$3),IF($F$3="(todos)",TRUE,'ORDENES'!$X986=$F$3),IF($H$3="(todos)",TRUE,'ORDENES'!$W986=$H$3),'ORDENES'!$AD986=TRUE,'ORDENES'!$A986&lt;&gt;""),1,0)</f>
        <v/>
      </c>
      <c r="L990" s="3">
        <f>IF(K990=1,IFERROR(MATCH('ORDENES'!$R986,lista_dias,0),9)*1000000000+IFERROR(MATCH('ORDENES'!$AF986,lista_turnos,0),9)*10000000+IFERROR(MATCH('ORDENES'!$AE986,tblTecnicos[nombre],0),99)*100000+983,9000000000000+983)</f>
        <v/>
      </c>
      <c r="M990" s="3">
        <f>IF(K990=1,SUMPRODUCT(--($L$8:$L$1207&lt;L990))+1,"")</f>
        <v/>
      </c>
      <c r="N990" s="17">
        <f>IF(K990=1,N('ORDENES'!$M986),0)</f>
        <v/>
      </c>
      <c r="O990" s="17">
        <f>IF('ORDENES'!$T986="preventiva",N990,0)</f>
        <v/>
      </c>
      <c r="P990" s="17">
        <f>IF('ORDENES'!$T986="correctiva",N990,0)</f>
        <v/>
      </c>
      <c r="Q990" s="3">
        <f>IF(AND(K990=1,'ORDENES'!$N986="Pendiente"),1,0)</f>
        <v/>
      </c>
      <c r="R990" s="3">
        <f>IF(Q990=1,100000-N990*1000+983*0.01,9000000000000+983)</f>
        <v/>
      </c>
      <c r="S990" s="3">
        <f>IF(Q990=1,SUMPRODUCT(--($R$8:$R$1207&lt;R990))+1,"")</f>
        <v/>
      </c>
      <c r="T990" s="12">
        <f>IF(K990=1,'ORDENES'!$J986,"")</f>
        <v/>
      </c>
    </row>
    <row r="991">
      <c r="K991" s="3">
        <f>IF(AND(IF($B$3="(todos)",TRUE,'ORDENES'!$O987=$B$3),IF($D$3="(todos)",TRUE,'ORDENES'!$AF987=$D$3),IF($F$3="(todos)",TRUE,'ORDENES'!$X987=$F$3),IF($H$3="(todos)",TRUE,'ORDENES'!$W987=$H$3),'ORDENES'!$AD987=TRUE,'ORDENES'!$A987&lt;&gt;""),1,0)</f>
        <v/>
      </c>
      <c r="L991" s="3">
        <f>IF(K991=1,IFERROR(MATCH('ORDENES'!$R987,lista_dias,0),9)*1000000000+IFERROR(MATCH('ORDENES'!$AF987,lista_turnos,0),9)*10000000+IFERROR(MATCH('ORDENES'!$AE987,tblTecnicos[nombre],0),99)*100000+984,9000000000000+984)</f>
        <v/>
      </c>
      <c r="M991" s="3">
        <f>IF(K991=1,SUMPRODUCT(--($L$8:$L$1207&lt;L991))+1,"")</f>
        <v/>
      </c>
      <c r="N991" s="17">
        <f>IF(K991=1,N('ORDENES'!$M987),0)</f>
        <v/>
      </c>
      <c r="O991" s="17">
        <f>IF('ORDENES'!$T987="preventiva",N991,0)</f>
        <v/>
      </c>
      <c r="P991" s="17">
        <f>IF('ORDENES'!$T987="correctiva",N991,0)</f>
        <v/>
      </c>
      <c r="Q991" s="3">
        <f>IF(AND(K991=1,'ORDENES'!$N987="Pendiente"),1,0)</f>
        <v/>
      </c>
      <c r="R991" s="3">
        <f>IF(Q991=1,100000-N991*1000+984*0.01,9000000000000+984)</f>
        <v/>
      </c>
      <c r="S991" s="3">
        <f>IF(Q991=1,SUMPRODUCT(--($R$8:$R$1207&lt;R991))+1,"")</f>
        <v/>
      </c>
      <c r="T991" s="12">
        <f>IF(K991=1,'ORDENES'!$J987,"")</f>
        <v/>
      </c>
    </row>
    <row r="992">
      <c r="K992" s="3">
        <f>IF(AND(IF($B$3="(todos)",TRUE,'ORDENES'!$O988=$B$3),IF($D$3="(todos)",TRUE,'ORDENES'!$AF988=$D$3),IF($F$3="(todos)",TRUE,'ORDENES'!$X988=$F$3),IF($H$3="(todos)",TRUE,'ORDENES'!$W988=$H$3),'ORDENES'!$AD988=TRUE,'ORDENES'!$A988&lt;&gt;""),1,0)</f>
        <v/>
      </c>
      <c r="L992" s="3">
        <f>IF(K992=1,IFERROR(MATCH('ORDENES'!$R988,lista_dias,0),9)*1000000000+IFERROR(MATCH('ORDENES'!$AF988,lista_turnos,0),9)*10000000+IFERROR(MATCH('ORDENES'!$AE988,tblTecnicos[nombre],0),99)*100000+985,9000000000000+985)</f>
        <v/>
      </c>
      <c r="M992" s="3">
        <f>IF(K992=1,SUMPRODUCT(--($L$8:$L$1207&lt;L992))+1,"")</f>
        <v/>
      </c>
      <c r="N992" s="17">
        <f>IF(K992=1,N('ORDENES'!$M988),0)</f>
        <v/>
      </c>
      <c r="O992" s="17">
        <f>IF('ORDENES'!$T988="preventiva",N992,0)</f>
        <v/>
      </c>
      <c r="P992" s="17">
        <f>IF('ORDENES'!$T988="correctiva",N992,0)</f>
        <v/>
      </c>
      <c r="Q992" s="3">
        <f>IF(AND(K992=1,'ORDENES'!$N988="Pendiente"),1,0)</f>
        <v/>
      </c>
      <c r="R992" s="3">
        <f>IF(Q992=1,100000-N992*1000+985*0.01,9000000000000+985)</f>
        <v/>
      </c>
      <c r="S992" s="3">
        <f>IF(Q992=1,SUMPRODUCT(--($R$8:$R$1207&lt;R992))+1,"")</f>
        <v/>
      </c>
      <c r="T992" s="12">
        <f>IF(K992=1,'ORDENES'!$J988,"")</f>
        <v/>
      </c>
    </row>
    <row r="993">
      <c r="K993" s="3">
        <f>IF(AND(IF($B$3="(todos)",TRUE,'ORDENES'!$O989=$B$3),IF($D$3="(todos)",TRUE,'ORDENES'!$AF989=$D$3),IF($F$3="(todos)",TRUE,'ORDENES'!$X989=$F$3),IF($H$3="(todos)",TRUE,'ORDENES'!$W989=$H$3),'ORDENES'!$AD989=TRUE,'ORDENES'!$A989&lt;&gt;""),1,0)</f>
        <v/>
      </c>
      <c r="L993" s="3">
        <f>IF(K993=1,IFERROR(MATCH('ORDENES'!$R989,lista_dias,0),9)*1000000000+IFERROR(MATCH('ORDENES'!$AF989,lista_turnos,0),9)*10000000+IFERROR(MATCH('ORDENES'!$AE989,tblTecnicos[nombre],0),99)*100000+986,9000000000000+986)</f>
        <v/>
      </c>
      <c r="M993" s="3">
        <f>IF(K993=1,SUMPRODUCT(--($L$8:$L$1207&lt;L993))+1,"")</f>
        <v/>
      </c>
      <c r="N993" s="17">
        <f>IF(K993=1,N('ORDENES'!$M989),0)</f>
        <v/>
      </c>
      <c r="O993" s="17">
        <f>IF('ORDENES'!$T989="preventiva",N993,0)</f>
        <v/>
      </c>
      <c r="P993" s="17">
        <f>IF('ORDENES'!$T989="correctiva",N993,0)</f>
        <v/>
      </c>
      <c r="Q993" s="3">
        <f>IF(AND(K993=1,'ORDENES'!$N989="Pendiente"),1,0)</f>
        <v/>
      </c>
      <c r="R993" s="3">
        <f>IF(Q993=1,100000-N993*1000+986*0.01,9000000000000+986)</f>
        <v/>
      </c>
      <c r="S993" s="3">
        <f>IF(Q993=1,SUMPRODUCT(--($R$8:$R$1207&lt;R993))+1,"")</f>
        <v/>
      </c>
      <c r="T993" s="12">
        <f>IF(K993=1,'ORDENES'!$J989,"")</f>
        <v/>
      </c>
    </row>
    <row r="994">
      <c r="K994" s="3">
        <f>IF(AND(IF($B$3="(todos)",TRUE,'ORDENES'!$O990=$B$3),IF($D$3="(todos)",TRUE,'ORDENES'!$AF990=$D$3),IF($F$3="(todos)",TRUE,'ORDENES'!$X990=$F$3),IF($H$3="(todos)",TRUE,'ORDENES'!$W990=$H$3),'ORDENES'!$AD990=TRUE,'ORDENES'!$A990&lt;&gt;""),1,0)</f>
        <v/>
      </c>
      <c r="L994" s="3">
        <f>IF(K994=1,IFERROR(MATCH('ORDENES'!$R990,lista_dias,0),9)*1000000000+IFERROR(MATCH('ORDENES'!$AF990,lista_turnos,0),9)*10000000+IFERROR(MATCH('ORDENES'!$AE990,tblTecnicos[nombre],0),99)*100000+987,9000000000000+987)</f>
        <v/>
      </c>
      <c r="M994" s="3">
        <f>IF(K994=1,SUMPRODUCT(--($L$8:$L$1207&lt;L994))+1,"")</f>
        <v/>
      </c>
      <c r="N994" s="17">
        <f>IF(K994=1,N('ORDENES'!$M990),0)</f>
        <v/>
      </c>
      <c r="O994" s="17">
        <f>IF('ORDENES'!$T990="preventiva",N994,0)</f>
        <v/>
      </c>
      <c r="P994" s="17">
        <f>IF('ORDENES'!$T990="correctiva",N994,0)</f>
        <v/>
      </c>
      <c r="Q994" s="3">
        <f>IF(AND(K994=1,'ORDENES'!$N990="Pendiente"),1,0)</f>
        <v/>
      </c>
      <c r="R994" s="3">
        <f>IF(Q994=1,100000-N994*1000+987*0.01,9000000000000+987)</f>
        <v/>
      </c>
      <c r="S994" s="3">
        <f>IF(Q994=1,SUMPRODUCT(--($R$8:$R$1207&lt;R994))+1,"")</f>
        <v/>
      </c>
      <c r="T994" s="12">
        <f>IF(K994=1,'ORDENES'!$J990,"")</f>
        <v/>
      </c>
    </row>
    <row r="995">
      <c r="K995" s="3">
        <f>IF(AND(IF($B$3="(todos)",TRUE,'ORDENES'!$O991=$B$3),IF($D$3="(todos)",TRUE,'ORDENES'!$AF991=$D$3),IF($F$3="(todos)",TRUE,'ORDENES'!$X991=$F$3),IF($H$3="(todos)",TRUE,'ORDENES'!$W991=$H$3),'ORDENES'!$AD991=TRUE,'ORDENES'!$A991&lt;&gt;""),1,0)</f>
        <v/>
      </c>
      <c r="L995" s="3">
        <f>IF(K995=1,IFERROR(MATCH('ORDENES'!$R991,lista_dias,0),9)*1000000000+IFERROR(MATCH('ORDENES'!$AF991,lista_turnos,0),9)*10000000+IFERROR(MATCH('ORDENES'!$AE991,tblTecnicos[nombre],0),99)*100000+988,9000000000000+988)</f>
        <v/>
      </c>
      <c r="M995" s="3">
        <f>IF(K995=1,SUMPRODUCT(--($L$8:$L$1207&lt;L995))+1,"")</f>
        <v/>
      </c>
      <c r="N995" s="17">
        <f>IF(K995=1,N('ORDENES'!$M991),0)</f>
        <v/>
      </c>
      <c r="O995" s="17">
        <f>IF('ORDENES'!$T991="preventiva",N995,0)</f>
        <v/>
      </c>
      <c r="P995" s="17">
        <f>IF('ORDENES'!$T991="correctiva",N995,0)</f>
        <v/>
      </c>
      <c r="Q995" s="3">
        <f>IF(AND(K995=1,'ORDENES'!$N991="Pendiente"),1,0)</f>
        <v/>
      </c>
      <c r="R995" s="3">
        <f>IF(Q995=1,100000-N995*1000+988*0.01,9000000000000+988)</f>
        <v/>
      </c>
      <c r="S995" s="3">
        <f>IF(Q995=1,SUMPRODUCT(--($R$8:$R$1207&lt;R995))+1,"")</f>
        <v/>
      </c>
      <c r="T995" s="12">
        <f>IF(K995=1,'ORDENES'!$J991,"")</f>
        <v/>
      </c>
    </row>
    <row r="996">
      <c r="K996" s="3">
        <f>IF(AND(IF($B$3="(todos)",TRUE,'ORDENES'!$O992=$B$3),IF($D$3="(todos)",TRUE,'ORDENES'!$AF992=$D$3),IF($F$3="(todos)",TRUE,'ORDENES'!$X992=$F$3),IF($H$3="(todos)",TRUE,'ORDENES'!$W992=$H$3),'ORDENES'!$AD992=TRUE,'ORDENES'!$A992&lt;&gt;""),1,0)</f>
        <v/>
      </c>
      <c r="L996" s="3">
        <f>IF(K996=1,IFERROR(MATCH('ORDENES'!$R992,lista_dias,0),9)*1000000000+IFERROR(MATCH('ORDENES'!$AF992,lista_turnos,0),9)*10000000+IFERROR(MATCH('ORDENES'!$AE992,tblTecnicos[nombre],0),99)*100000+989,9000000000000+989)</f>
        <v/>
      </c>
      <c r="M996" s="3">
        <f>IF(K996=1,SUMPRODUCT(--($L$8:$L$1207&lt;L996))+1,"")</f>
        <v/>
      </c>
      <c r="N996" s="17">
        <f>IF(K996=1,N('ORDENES'!$M992),0)</f>
        <v/>
      </c>
      <c r="O996" s="17">
        <f>IF('ORDENES'!$T992="preventiva",N996,0)</f>
        <v/>
      </c>
      <c r="P996" s="17">
        <f>IF('ORDENES'!$T992="correctiva",N996,0)</f>
        <v/>
      </c>
      <c r="Q996" s="3">
        <f>IF(AND(K996=1,'ORDENES'!$N992="Pendiente"),1,0)</f>
        <v/>
      </c>
      <c r="R996" s="3">
        <f>IF(Q996=1,100000-N996*1000+989*0.01,9000000000000+989)</f>
        <v/>
      </c>
      <c r="S996" s="3">
        <f>IF(Q996=1,SUMPRODUCT(--($R$8:$R$1207&lt;R996))+1,"")</f>
        <v/>
      </c>
      <c r="T996" s="12">
        <f>IF(K996=1,'ORDENES'!$J992,"")</f>
        <v/>
      </c>
    </row>
    <row r="997">
      <c r="K997" s="3">
        <f>IF(AND(IF($B$3="(todos)",TRUE,'ORDENES'!$O993=$B$3),IF($D$3="(todos)",TRUE,'ORDENES'!$AF993=$D$3),IF($F$3="(todos)",TRUE,'ORDENES'!$X993=$F$3),IF($H$3="(todos)",TRUE,'ORDENES'!$W993=$H$3),'ORDENES'!$AD993=TRUE,'ORDENES'!$A993&lt;&gt;""),1,0)</f>
        <v/>
      </c>
      <c r="L997" s="3">
        <f>IF(K997=1,IFERROR(MATCH('ORDENES'!$R993,lista_dias,0),9)*1000000000+IFERROR(MATCH('ORDENES'!$AF993,lista_turnos,0),9)*10000000+IFERROR(MATCH('ORDENES'!$AE993,tblTecnicos[nombre],0),99)*100000+990,9000000000000+990)</f>
        <v/>
      </c>
      <c r="M997" s="3">
        <f>IF(K997=1,SUMPRODUCT(--($L$8:$L$1207&lt;L997))+1,"")</f>
        <v/>
      </c>
      <c r="N997" s="17">
        <f>IF(K997=1,N('ORDENES'!$M993),0)</f>
        <v/>
      </c>
      <c r="O997" s="17">
        <f>IF('ORDENES'!$T993="preventiva",N997,0)</f>
        <v/>
      </c>
      <c r="P997" s="17">
        <f>IF('ORDENES'!$T993="correctiva",N997,0)</f>
        <v/>
      </c>
      <c r="Q997" s="3">
        <f>IF(AND(K997=1,'ORDENES'!$N993="Pendiente"),1,0)</f>
        <v/>
      </c>
      <c r="R997" s="3">
        <f>IF(Q997=1,100000-N997*1000+990*0.01,9000000000000+990)</f>
        <v/>
      </c>
      <c r="S997" s="3">
        <f>IF(Q997=1,SUMPRODUCT(--($R$8:$R$1207&lt;R997))+1,"")</f>
        <v/>
      </c>
      <c r="T997" s="12">
        <f>IF(K997=1,'ORDENES'!$J993,"")</f>
        <v/>
      </c>
    </row>
    <row r="998">
      <c r="K998" s="3">
        <f>IF(AND(IF($B$3="(todos)",TRUE,'ORDENES'!$O994=$B$3),IF($D$3="(todos)",TRUE,'ORDENES'!$AF994=$D$3),IF($F$3="(todos)",TRUE,'ORDENES'!$X994=$F$3),IF($H$3="(todos)",TRUE,'ORDENES'!$W994=$H$3),'ORDENES'!$AD994=TRUE,'ORDENES'!$A994&lt;&gt;""),1,0)</f>
        <v/>
      </c>
      <c r="L998" s="3">
        <f>IF(K998=1,IFERROR(MATCH('ORDENES'!$R994,lista_dias,0),9)*1000000000+IFERROR(MATCH('ORDENES'!$AF994,lista_turnos,0),9)*10000000+IFERROR(MATCH('ORDENES'!$AE994,tblTecnicos[nombre],0),99)*100000+991,9000000000000+991)</f>
        <v/>
      </c>
      <c r="M998" s="3">
        <f>IF(K998=1,SUMPRODUCT(--($L$8:$L$1207&lt;L998))+1,"")</f>
        <v/>
      </c>
      <c r="N998" s="17">
        <f>IF(K998=1,N('ORDENES'!$M994),0)</f>
        <v/>
      </c>
      <c r="O998" s="17">
        <f>IF('ORDENES'!$T994="preventiva",N998,0)</f>
        <v/>
      </c>
      <c r="P998" s="17">
        <f>IF('ORDENES'!$T994="correctiva",N998,0)</f>
        <v/>
      </c>
      <c r="Q998" s="3">
        <f>IF(AND(K998=1,'ORDENES'!$N994="Pendiente"),1,0)</f>
        <v/>
      </c>
      <c r="R998" s="3">
        <f>IF(Q998=1,100000-N998*1000+991*0.01,9000000000000+991)</f>
        <v/>
      </c>
      <c r="S998" s="3">
        <f>IF(Q998=1,SUMPRODUCT(--($R$8:$R$1207&lt;R998))+1,"")</f>
        <v/>
      </c>
      <c r="T998" s="12">
        <f>IF(K998=1,'ORDENES'!$J994,"")</f>
        <v/>
      </c>
    </row>
    <row r="999">
      <c r="K999" s="3">
        <f>IF(AND(IF($B$3="(todos)",TRUE,'ORDENES'!$O995=$B$3),IF($D$3="(todos)",TRUE,'ORDENES'!$AF995=$D$3),IF($F$3="(todos)",TRUE,'ORDENES'!$X995=$F$3),IF($H$3="(todos)",TRUE,'ORDENES'!$W995=$H$3),'ORDENES'!$AD995=TRUE,'ORDENES'!$A995&lt;&gt;""),1,0)</f>
        <v/>
      </c>
      <c r="L999" s="3">
        <f>IF(K999=1,IFERROR(MATCH('ORDENES'!$R995,lista_dias,0),9)*1000000000+IFERROR(MATCH('ORDENES'!$AF995,lista_turnos,0),9)*10000000+IFERROR(MATCH('ORDENES'!$AE995,tblTecnicos[nombre],0),99)*100000+992,9000000000000+992)</f>
        <v/>
      </c>
      <c r="M999" s="3">
        <f>IF(K999=1,SUMPRODUCT(--($L$8:$L$1207&lt;L999))+1,"")</f>
        <v/>
      </c>
      <c r="N999" s="17">
        <f>IF(K999=1,N('ORDENES'!$M995),0)</f>
        <v/>
      </c>
      <c r="O999" s="17">
        <f>IF('ORDENES'!$T995="preventiva",N999,0)</f>
        <v/>
      </c>
      <c r="P999" s="17">
        <f>IF('ORDENES'!$T995="correctiva",N999,0)</f>
        <v/>
      </c>
      <c r="Q999" s="3">
        <f>IF(AND(K999=1,'ORDENES'!$N995="Pendiente"),1,0)</f>
        <v/>
      </c>
      <c r="R999" s="3">
        <f>IF(Q999=1,100000-N999*1000+992*0.01,9000000000000+992)</f>
        <v/>
      </c>
      <c r="S999" s="3">
        <f>IF(Q999=1,SUMPRODUCT(--($R$8:$R$1207&lt;R999))+1,"")</f>
        <v/>
      </c>
      <c r="T999" s="12">
        <f>IF(K999=1,'ORDENES'!$J995,"")</f>
        <v/>
      </c>
    </row>
    <row r="1000">
      <c r="K1000" s="3">
        <f>IF(AND(IF($B$3="(todos)",TRUE,'ORDENES'!$O996=$B$3),IF($D$3="(todos)",TRUE,'ORDENES'!$AF996=$D$3),IF($F$3="(todos)",TRUE,'ORDENES'!$X996=$F$3),IF($H$3="(todos)",TRUE,'ORDENES'!$W996=$H$3),'ORDENES'!$AD996=TRUE,'ORDENES'!$A996&lt;&gt;""),1,0)</f>
        <v/>
      </c>
      <c r="L1000" s="3">
        <f>IF(K1000=1,IFERROR(MATCH('ORDENES'!$R996,lista_dias,0),9)*1000000000+IFERROR(MATCH('ORDENES'!$AF996,lista_turnos,0),9)*10000000+IFERROR(MATCH('ORDENES'!$AE996,tblTecnicos[nombre],0),99)*100000+993,9000000000000+993)</f>
        <v/>
      </c>
      <c r="M1000" s="3">
        <f>IF(K1000=1,SUMPRODUCT(--($L$8:$L$1207&lt;L1000))+1,"")</f>
        <v/>
      </c>
      <c r="N1000" s="17">
        <f>IF(K1000=1,N('ORDENES'!$M996),0)</f>
        <v/>
      </c>
      <c r="O1000" s="17">
        <f>IF('ORDENES'!$T996="preventiva",N1000,0)</f>
        <v/>
      </c>
      <c r="P1000" s="17">
        <f>IF('ORDENES'!$T996="correctiva",N1000,0)</f>
        <v/>
      </c>
      <c r="Q1000" s="3">
        <f>IF(AND(K1000=1,'ORDENES'!$N996="Pendiente"),1,0)</f>
        <v/>
      </c>
      <c r="R1000" s="3">
        <f>IF(Q1000=1,100000-N1000*1000+993*0.01,9000000000000+993)</f>
        <v/>
      </c>
      <c r="S1000" s="3">
        <f>IF(Q1000=1,SUMPRODUCT(--($R$8:$R$1207&lt;R1000))+1,"")</f>
        <v/>
      </c>
      <c r="T1000" s="12">
        <f>IF(K1000=1,'ORDENES'!$J996,"")</f>
        <v/>
      </c>
    </row>
    <row r="1001">
      <c r="K1001" s="3">
        <f>IF(AND(IF($B$3="(todos)",TRUE,'ORDENES'!$O997=$B$3),IF($D$3="(todos)",TRUE,'ORDENES'!$AF997=$D$3),IF($F$3="(todos)",TRUE,'ORDENES'!$X997=$F$3),IF($H$3="(todos)",TRUE,'ORDENES'!$W997=$H$3),'ORDENES'!$AD997=TRUE,'ORDENES'!$A997&lt;&gt;""),1,0)</f>
        <v/>
      </c>
      <c r="L1001" s="3">
        <f>IF(K1001=1,IFERROR(MATCH('ORDENES'!$R997,lista_dias,0),9)*1000000000+IFERROR(MATCH('ORDENES'!$AF997,lista_turnos,0),9)*10000000+IFERROR(MATCH('ORDENES'!$AE997,tblTecnicos[nombre],0),99)*100000+994,9000000000000+994)</f>
        <v/>
      </c>
      <c r="M1001" s="3">
        <f>IF(K1001=1,SUMPRODUCT(--($L$8:$L$1207&lt;L1001))+1,"")</f>
        <v/>
      </c>
      <c r="N1001" s="17">
        <f>IF(K1001=1,N('ORDENES'!$M997),0)</f>
        <v/>
      </c>
      <c r="O1001" s="17">
        <f>IF('ORDENES'!$T997="preventiva",N1001,0)</f>
        <v/>
      </c>
      <c r="P1001" s="17">
        <f>IF('ORDENES'!$T997="correctiva",N1001,0)</f>
        <v/>
      </c>
      <c r="Q1001" s="3">
        <f>IF(AND(K1001=1,'ORDENES'!$N997="Pendiente"),1,0)</f>
        <v/>
      </c>
      <c r="R1001" s="3">
        <f>IF(Q1001=1,100000-N1001*1000+994*0.01,9000000000000+994)</f>
        <v/>
      </c>
      <c r="S1001" s="3">
        <f>IF(Q1001=1,SUMPRODUCT(--($R$8:$R$1207&lt;R1001))+1,"")</f>
        <v/>
      </c>
      <c r="T1001" s="12">
        <f>IF(K1001=1,'ORDENES'!$J997,"")</f>
        <v/>
      </c>
    </row>
    <row r="1002">
      <c r="K1002" s="3">
        <f>IF(AND(IF($B$3="(todos)",TRUE,'ORDENES'!$O998=$B$3),IF($D$3="(todos)",TRUE,'ORDENES'!$AF998=$D$3),IF($F$3="(todos)",TRUE,'ORDENES'!$X998=$F$3),IF($H$3="(todos)",TRUE,'ORDENES'!$W998=$H$3),'ORDENES'!$AD998=TRUE,'ORDENES'!$A998&lt;&gt;""),1,0)</f>
        <v/>
      </c>
      <c r="L1002" s="3">
        <f>IF(K1002=1,IFERROR(MATCH('ORDENES'!$R998,lista_dias,0),9)*1000000000+IFERROR(MATCH('ORDENES'!$AF998,lista_turnos,0),9)*10000000+IFERROR(MATCH('ORDENES'!$AE998,tblTecnicos[nombre],0),99)*100000+995,9000000000000+995)</f>
        <v/>
      </c>
      <c r="M1002" s="3">
        <f>IF(K1002=1,SUMPRODUCT(--($L$8:$L$1207&lt;L1002))+1,"")</f>
        <v/>
      </c>
      <c r="N1002" s="17">
        <f>IF(K1002=1,N('ORDENES'!$M998),0)</f>
        <v/>
      </c>
      <c r="O1002" s="17">
        <f>IF('ORDENES'!$T998="preventiva",N1002,0)</f>
        <v/>
      </c>
      <c r="P1002" s="17">
        <f>IF('ORDENES'!$T998="correctiva",N1002,0)</f>
        <v/>
      </c>
      <c r="Q1002" s="3">
        <f>IF(AND(K1002=1,'ORDENES'!$N998="Pendiente"),1,0)</f>
        <v/>
      </c>
      <c r="R1002" s="3">
        <f>IF(Q1002=1,100000-N1002*1000+995*0.01,9000000000000+995)</f>
        <v/>
      </c>
      <c r="S1002" s="3">
        <f>IF(Q1002=1,SUMPRODUCT(--($R$8:$R$1207&lt;R1002))+1,"")</f>
        <v/>
      </c>
      <c r="T1002" s="12">
        <f>IF(K1002=1,'ORDENES'!$J998,"")</f>
        <v/>
      </c>
    </row>
    <row r="1003">
      <c r="K1003" s="3">
        <f>IF(AND(IF($B$3="(todos)",TRUE,'ORDENES'!$O999=$B$3),IF($D$3="(todos)",TRUE,'ORDENES'!$AF999=$D$3),IF($F$3="(todos)",TRUE,'ORDENES'!$X999=$F$3),IF($H$3="(todos)",TRUE,'ORDENES'!$W999=$H$3),'ORDENES'!$AD999=TRUE,'ORDENES'!$A999&lt;&gt;""),1,0)</f>
        <v/>
      </c>
      <c r="L1003" s="3">
        <f>IF(K1003=1,IFERROR(MATCH('ORDENES'!$R999,lista_dias,0),9)*1000000000+IFERROR(MATCH('ORDENES'!$AF999,lista_turnos,0),9)*10000000+IFERROR(MATCH('ORDENES'!$AE999,tblTecnicos[nombre],0),99)*100000+996,9000000000000+996)</f>
        <v/>
      </c>
      <c r="M1003" s="3">
        <f>IF(K1003=1,SUMPRODUCT(--($L$8:$L$1207&lt;L1003))+1,"")</f>
        <v/>
      </c>
      <c r="N1003" s="17">
        <f>IF(K1003=1,N('ORDENES'!$M999),0)</f>
        <v/>
      </c>
      <c r="O1003" s="17">
        <f>IF('ORDENES'!$T999="preventiva",N1003,0)</f>
        <v/>
      </c>
      <c r="P1003" s="17">
        <f>IF('ORDENES'!$T999="correctiva",N1003,0)</f>
        <v/>
      </c>
      <c r="Q1003" s="3">
        <f>IF(AND(K1003=1,'ORDENES'!$N999="Pendiente"),1,0)</f>
        <v/>
      </c>
      <c r="R1003" s="3">
        <f>IF(Q1003=1,100000-N1003*1000+996*0.01,9000000000000+996)</f>
        <v/>
      </c>
      <c r="S1003" s="3">
        <f>IF(Q1003=1,SUMPRODUCT(--($R$8:$R$1207&lt;R1003))+1,"")</f>
        <v/>
      </c>
      <c r="T1003" s="12">
        <f>IF(K1003=1,'ORDENES'!$J999,"")</f>
        <v/>
      </c>
    </row>
    <row r="1004">
      <c r="K1004" s="3">
        <f>IF(AND(IF($B$3="(todos)",TRUE,'ORDENES'!$O1000=$B$3),IF($D$3="(todos)",TRUE,'ORDENES'!$AF1000=$D$3),IF($F$3="(todos)",TRUE,'ORDENES'!$X1000=$F$3),IF($H$3="(todos)",TRUE,'ORDENES'!$W1000=$H$3),'ORDENES'!$AD1000=TRUE,'ORDENES'!$A1000&lt;&gt;""),1,0)</f>
        <v/>
      </c>
      <c r="L1004" s="3">
        <f>IF(K1004=1,IFERROR(MATCH('ORDENES'!$R1000,lista_dias,0),9)*1000000000+IFERROR(MATCH('ORDENES'!$AF1000,lista_turnos,0),9)*10000000+IFERROR(MATCH('ORDENES'!$AE1000,tblTecnicos[nombre],0),99)*100000+997,9000000000000+997)</f>
        <v/>
      </c>
      <c r="M1004" s="3">
        <f>IF(K1004=1,SUMPRODUCT(--($L$8:$L$1207&lt;L1004))+1,"")</f>
        <v/>
      </c>
      <c r="N1004" s="17">
        <f>IF(K1004=1,N('ORDENES'!$M1000),0)</f>
        <v/>
      </c>
      <c r="O1004" s="17">
        <f>IF('ORDENES'!$T1000="preventiva",N1004,0)</f>
        <v/>
      </c>
      <c r="P1004" s="17">
        <f>IF('ORDENES'!$T1000="correctiva",N1004,0)</f>
        <v/>
      </c>
      <c r="Q1004" s="3">
        <f>IF(AND(K1004=1,'ORDENES'!$N1000="Pendiente"),1,0)</f>
        <v/>
      </c>
      <c r="R1004" s="3">
        <f>IF(Q1004=1,100000-N1004*1000+997*0.01,9000000000000+997)</f>
        <v/>
      </c>
      <c r="S1004" s="3">
        <f>IF(Q1004=1,SUMPRODUCT(--($R$8:$R$1207&lt;R1004))+1,"")</f>
        <v/>
      </c>
      <c r="T1004" s="12">
        <f>IF(K1004=1,'ORDENES'!$J1000,"")</f>
        <v/>
      </c>
    </row>
    <row r="1005">
      <c r="K1005" s="3">
        <f>IF(AND(IF($B$3="(todos)",TRUE,'ORDENES'!$O1001=$B$3),IF($D$3="(todos)",TRUE,'ORDENES'!$AF1001=$D$3),IF($F$3="(todos)",TRUE,'ORDENES'!$X1001=$F$3),IF($H$3="(todos)",TRUE,'ORDENES'!$W1001=$H$3),'ORDENES'!$AD1001=TRUE,'ORDENES'!$A1001&lt;&gt;""),1,0)</f>
        <v/>
      </c>
      <c r="L1005" s="3">
        <f>IF(K1005=1,IFERROR(MATCH('ORDENES'!$R1001,lista_dias,0),9)*1000000000+IFERROR(MATCH('ORDENES'!$AF1001,lista_turnos,0),9)*10000000+IFERROR(MATCH('ORDENES'!$AE1001,tblTecnicos[nombre],0),99)*100000+998,9000000000000+998)</f>
        <v/>
      </c>
      <c r="M1005" s="3">
        <f>IF(K1005=1,SUMPRODUCT(--($L$8:$L$1207&lt;L1005))+1,"")</f>
        <v/>
      </c>
      <c r="N1005" s="17">
        <f>IF(K1005=1,N('ORDENES'!$M1001),0)</f>
        <v/>
      </c>
      <c r="O1005" s="17">
        <f>IF('ORDENES'!$T1001="preventiva",N1005,0)</f>
        <v/>
      </c>
      <c r="P1005" s="17">
        <f>IF('ORDENES'!$T1001="correctiva",N1005,0)</f>
        <v/>
      </c>
      <c r="Q1005" s="3">
        <f>IF(AND(K1005=1,'ORDENES'!$N1001="Pendiente"),1,0)</f>
        <v/>
      </c>
      <c r="R1005" s="3">
        <f>IF(Q1005=1,100000-N1005*1000+998*0.01,9000000000000+998)</f>
        <v/>
      </c>
      <c r="S1005" s="3">
        <f>IF(Q1005=1,SUMPRODUCT(--($R$8:$R$1207&lt;R1005))+1,"")</f>
        <v/>
      </c>
      <c r="T1005" s="12">
        <f>IF(K1005=1,'ORDENES'!$J1001,"")</f>
        <v/>
      </c>
    </row>
    <row r="1006">
      <c r="K1006" s="3">
        <f>IF(AND(IF($B$3="(todos)",TRUE,'ORDENES'!$O1002=$B$3),IF($D$3="(todos)",TRUE,'ORDENES'!$AF1002=$D$3),IF($F$3="(todos)",TRUE,'ORDENES'!$X1002=$F$3),IF($H$3="(todos)",TRUE,'ORDENES'!$W1002=$H$3),'ORDENES'!$AD1002=TRUE,'ORDENES'!$A1002&lt;&gt;""),1,0)</f>
        <v/>
      </c>
      <c r="L1006" s="3">
        <f>IF(K1006=1,IFERROR(MATCH('ORDENES'!$R1002,lista_dias,0),9)*1000000000+IFERROR(MATCH('ORDENES'!$AF1002,lista_turnos,0),9)*10000000+IFERROR(MATCH('ORDENES'!$AE1002,tblTecnicos[nombre],0),99)*100000+999,9000000000000+999)</f>
        <v/>
      </c>
      <c r="M1006" s="3">
        <f>IF(K1006=1,SUMPRODUCT(--($L$8:$L$1207&lt;L1006))+1,"")</f>
        <v/>
      </c>
      <c r="N1006" s="17">
        <f>IF(K1006=1,N('ORDENES'!$M1002),0)</f>
        <v/>
      </c>
      <c r="O1006" s="17">
        <f>IF('ORDENES'!$T1002="preventiva",N1006,0)</f>
        <v/>
      </c>
      <c r="P1006" s="17">
        <f>IF('ORDENES'!$T1002="correctiva",N1006,0)</f>
        <v/>
      </c>
      <c r="Q1006" s="3">
        <f>IF(AND(K1006=1,'ORDENES'!$N1002="Pendiente"),1,0)</f>
        <v/>
      </c>
      <c r="R1006" s="3">
        <f>IF(Q1006=1,100000-N1006*1000+999*0.01,9000000000000+999)</f>
        <v/>
      </c>
      <c r="S1006" s="3">
        <f>IF(Q1006=1,SUMPRODUCT(--($R$8:$R$1207&lt;R1006))+1,"")</f>
        <v/>
      </c>
      <c r="T1006" s="12">
        <f>IF(K1006=1,'ORDENES'!$J1002,"")</f>
        <v/>
      </c>
    </row>
    <row r="1007">
      <c r="K1007" s="3">
        <f>IF(AND(IF($B$3="(todos)",TRUE,'ORDENES'!$O1003=$B$3),IF($D$3="(todos)",TRUE,'ORDENES'!$AF1003=$D$3),IF($F$3="(todos)",TRUE,'ORDENES'!$X1003=$F$3),IF($H$3="(todos)",TRUE,'ORDENES'!$W1003=$H$3),'ORDENES'!$AD1003=TRUE,'ORDENES'!$A1003&lt;&gt;""),1,0)</f>
        <v/>
      </c>
      <c r="L1007" s="3">
        <f>IF(K1007=1,IFERROR(MATCH('ORDENES'!$R1003,lista_dias,0),9)*1000000000+IFERROR(MATCH('ORDENES'!$AF1003,lista_turnos,0),9)*10000000+IFERROR(MATCH('ORDENES'!$AE1003,tblTecnicos[nombre],0),99)*100000+1000,9000000000000+1000)</f>
        <v/>
      </c>
      <c r="M1007" s="3">
        <f>IF(K1007=1,SUMPRODUCT(--($L$8:$L$1207&lt;L1007))+1,"")</f>
        <v/>
      </c>
      <c r="N1007" s="17">
        <f>IF(K1007=1,N('ORDENES'!$M1003),0)</f>
        <v/>
      </c>
      <c r="O1007" s="17">
        <f>IF('ORDENES'!$T1003="preventiva",N1007,0)</f>
        <v/>
      </c>
      <c r="P1007" s="17">
        <f>IF('ORDENES'!$T1003="correctiva",N1007,0)</f>
        <v/>
      </c>
      <c r="Q1007" s="3">
        <f>IF(AND(K1007=1,'ORDENES'!$N1003="Pendiente"),1,0)</f>
        <v/>
      </c>
      <c r="R1007" s="3">
        <f>IF(Q1007=1,100000-N1007*1000+1000*0.01,9000000000000+1000)</f>
        <v/>
      </c>
      <c r="S1007" s="3">
        <f>IF(Q1007=1,SUMPRODUCT(--($R$8:$R$1207&lt;R1007))+1,"")</f>
        <v/>
      </c>
      <c r="T1007" s="12">
        <f>IF(K1007=1,'ORDENES'!$J1003,"")</f>
        <v/>
      </c>
    </row>
    <row r="1008">
      <c r="K1008" s="3">
        <f>IF(AND(IF($B$3="(todos)",TRUE,'ORDENES'!$O1004=$B$3),IF($D$3="(todos)",TRUE,'ORDENES'!$AF1004=$D$3),IF($F$3="(todos)",TRUE,'ORDENES'!$X1004=$F$3),IF($H$3="(todos)",TRUE,'ORDENES'!$W1004=$H$3),'ORDENES'!$AD1004=TRUE,'ORDENES'!$A1004&lt;&gt;""),1,0)</f>
        <v/>
      </c>
      <c r="L1008" s="3">
        <f>IF(K1008=1,IFERROR(MATCH('ORDENES'!$R1004,lista_dias,0),9)*1000000000+IFERROR(MATCH('ORDENES'!$AF1004,lista_turnos,0),9)*10000000+IFERROR(MATCH('ORDENES'!$AE1004,tblTecnicos[nombre],0),99)*100000+1001,9000000000000+1001)</f>
        <v/>
      </c>
      <c r="M1008" s="3">
        <f>IF(K1008=1,SUMPRODUCT(--($L$8:$L$1207&lt;L1008))+1,"")</f>
        <v/>
      </c>
      <c r="N1008" s="17">
        <f>IF(K1008=1,N('ORDENES'!$M1004),0)</f>
        <v/>
      </c>
      <c r="O1008" s="17">
        <f>IF('ORDENES'!$T1004="preventiva",N1008,0)</f>
        <v/>
      </c>
      <c r="P1008" s="17">
        <f>IF('ORDENES'!$T1004="correctiva",N1008,0)</f>
        <v/>
      </c>
      <c r="Q1008" s="3">
        <f>IF(AND(K1008=1,'ORDENES'!$N1004="Pendiente"),1,0)</f>
        <v/>
      </c>
      <c r="R1008" s="3">
        <f>IF(Q1008=1,100000-N1008*1000+1001*0.01,9000000000000+1001)</f>
        <v/>
      </c>
      <c r="S1008" s="3">
        <f>IF(Q1008=1,SUMPRODUCT(--($R$8:$R$1207&lt;R1008))+1,"")</f>
        <v/>
      </c>
      <c r="T1008" s="12">
        <f>IF(K1008=1,'ORDENES'!$J1004,"")</f>
        <v/>
      </c>
    </row>
    <row r="1009">
      <c r="K1009" s="3">
        <f>IF(AND(IF($B$3="(todos)",TRUE,'ORDENES'!$O1005=$B$3),IF($D$3="(todos)",TRUE,'ORDENES'!$AF1005=$D$3),IF($F$3="(todos)",TRUE,'ORDENES'!$X1005=$F$3),IF($H$3="(todos)",TRUE,'ORDENES'!$W1005=$H$3),'ORDENES'!$AD1005=TRUE,'ORDENES'!$A1005&lt;&gt;""),1,0)</f>
        <v/>
      </c>
      <c r="L1009" s="3">
        <f>IF(K1009=1,IFERROR(MATCH('ORDENES'!$R1005,lista_dias,0),9)*1000000000+IFERROR(MATCH('ORDENES'!$AF1005,lista_turnos,0),9)*10000000+IFERROR(MATCH('ORDENES'!$AE1005,tblTecnicos[nombre],0),99)*100000+1002,9000000000000+1002)</f>
        <v/>
      </c>
      <c r="M1009" s="3">
        <f>IF(K1009=1,SUMPRODUCT(--($L$8:$L$1207&lt;L1009))+1,"")</f>
        <v/>
      </c>
      <c r="N1009" s="17">
        <f>IF(K1009=1,N('ORDENES'!$M1005),0)</f>
        <v/>
      </c>
      <c r="O1009" s="17">
        <f>IF('ORDENES'!$T1005="preventiva",N1009,0)</f>
        <v/>
      </c>
      <c r="P1009" s="17">
        <f>IF('ORDENES'!$T1005="correctiva",N1009,0)</f>
        <v/>
      </c>
      <c r="Q1009" s="3">
        <f>IF(AND(K1009=1,'ORDENES'!$N1005="Pendiente"),1,0)</f>
        <v/>
      </c>
      <c r="R1009" s="3">
        <f>IF(Q1009=1,100000-N1009*1000+1002*0.01,9000000000000+1002)</f>
        <v/>
      </c>
      <c r="S1009" s="3">
        <f>IF(Q1009=1,SUMPRODUCT(--($R$8:$R$1207&lt;R1009))+1,"")</f>
        <v/>
      </c>
      <c r="T1009" s="12">
        <f>IF(K1009=1,'ORDENES'!$J1005,"")</f>
        <v/>
      </c>
    </row>
    <row r="1010">
      <c r="K1010" s="3">
        <f>IF(AND(IF($B$3="(todos)",TRUE,'ORDENES'!$O1006=$B$3),IF($D$3="(todos)",TRUE,'ORDENES'!$AF1006=$D$3),IF($F$3="(todos)",TRUE,'ORDENES'!$X1006=$F$3),IF($H$3="(todos)",TRUE,'ORDENES'!$W1006=$H$3),'ORDENES'!$AD1006=TRUE,'ORDENES'!$A1006&lt;&gt;""),1,0)</f>
        <v/>
      </c>
      <c r="L1010" s="3">
        <f>IF(K1010=1,IFERROR(MATCH('ORDENES'!$R1006,lista_dias,0),9)*1000000000+IFERROR(MATCH('ORDENES'!$AF1006,lista_turnos,0),9)*10000000+IFERROR(MATCH('ORDENES'!$AE1006,tblTecnicos[nombre],0),99)*100000+1003,9000000000000+1003)</f>
        <v/>
      </c>
      <c r="M1010" s="3">
        <f>IF(K1010=1,SUMPRODUCT(--($L$8:$L$1207&lt;L1010))+1,"")</f>
        <v/>
      </c>
      <c r="N1010" s="17">
        <f>IF(K1010=1,N('ORDENES'!$M1006),0)</f>
        <v/>
      </c>
      <c r="O1010" s="17">
        <f>IF('ORDENES'!$T1006="preventiva",N1010,0)</f>
        <v/>
      </c>
      <c r="P1010" s="17">
        <f>IF('ORDENES'!$T1006="correctiva",N1010,0)</f>
        <v/>
      </c>
      <c r="Q1010" s="3">
        <f>IF(AND(K1010=1,'ORDENES'!$N1006="Pendiente"),1,0)</f>
        <v/>
      </c>
      <c r="R1010" s="3">
        <f>IF(Q1010=1,100000-N1010*1000+1003*0.01,9000000000000+1003)</f>
        <v/>
      </c>
      <c r="S1010" s="3">
        <f>IF(Q1010=1,SUMPRODUCT(--($R$8:$R$1207&lt;R1010))+1,"")</f>
        <v/>
      </c>
      <c r="T1010" s="12">
        <f>IF(K1010=1,'ORDENES'!$J1006,"")</f>
        <v/>
      </c>
    </row>
    <row r="1011">
      <c r="K1011" s="3">
        <f>IF(AND(IF($B$3="(todos)",TRUE,'ORDENES'!$O1007=$B$3),IF($D$3="(todos)",TRUE,'ORDENES'!$AF1007=$D$3),IF($F$3="(todos)",TRUE,'ORDENES'!$X1007=$F$3),IF($H$3="(todos)",TRUE,'ORDENES'!$W1007=$H$3),'ORDENES'!$AD1007=TRUE,'ORDENES'!$A1007&lt;&gt;""),1,0)</f>
        <v/>
      </c>
      <c r="L1011" s="3">
        <f>IF(K1011=1,IFERROR(MATCH('ORDENES'!$R1007,lista_dias,0),9)*1000000000+IFERROR(MATCH('ORDENES'!$AF1007,lista_turnos,0),9)*10000000+IFERROR(MATCH('ORDENES'!$AE1007,tblTecnicos[nombre],0),99)*100000+1004,9000000000000+1004)</f>
        <v/>
      </c>
      <c r="M1011" s="3">
        <f>IF(K1011=1,SUMPRODUCT(--($L$8:$L$1207&lt;L1011))+1,"")</f>
        <v/>
      </c>
      <c r="N1011" s="17">
        <f>IF(K1011=1,N('ORDENES'!$M1007),0)</f>
        <v/>
      </c>
      <c r="O1011" s="17">
        <f>IF('ORDENES'!$T1007="preventiva",N1011,0)</f>
        <v/>
      </c>
      <c r="P1011" s="17">
        <f>IF('ORDENES'!$T1007="correctiva",N1011,0)</f>
        <v/>
      </c>
      <c r="Q1011" s="3">
        <f>IF(AND(K1011=1,'ORDENES'!$N1007="Pendiente"),1,0)</f>
        <v/>
      </c>
      <c r="R1011" s="3">
        <f>IF(Q1011=1,100000-N1011*1000+1004*0.01,9000000000000+1004)</f>
        <v/>
      </c>
      <c r="S1011" s="3">
        <f>IF(Q1011=1,SUMPRODUCT(--($R$8:$R$1207&lt;R1011))+1,"")</f>
        <v/>
      </c>
      <c r="T1011" s="12">
        <f>IF(K1011=1,'ORDENES'!$J1007,"")</f>
        <v/>
      </c>
    </row>
    <row r="1012">
      <c r="K1012" s="3">
        <f>IF(AND(IF($B$3="(todos)",TRUE,'ORDENES'!$O1008=$B$3),IF($D$3="(todos)",TRUE,'ORDENES'!$AF1008=$D$3),IF($F$3="(todos)",TRUE,'ORDENES'!$X1008=$F$3),IF($H$3="(todos)",TRUE,'ORDENES'!$W1008=$H$3),'ORDENES'!$AD1008=TRUE,'ORDENES'!$A1008&lt;&gt;""),1,0)</f>
        <v/>
      </c>
      <c r="L1012" s="3">
        <f>IF(K1012=1,IFERROR(MATCH('ORDENES'!$R1008,lista_dias,0),9)*1000000000+IFERROR(MATCH('ORDENES'!$AF1008,lista_turnos,0),9)*10000000+IFERROR(MATCH('ORDENES'!$AE1008,tblTecnicos[nombre],0),99)*100000+1005,9000000000000+1005)</f>
        <v/>
      </c>
      <c r="M1012" s="3">
        <f>IF(K1012=1,SUMPRODUCT(--($L$8:$L$1207&lt;L1012))+1,"")</f>
        <v/>
      </c>
      <c r="N1012" s="17">
        <f>IF(K1012=1,N('ORDENES'!$M1008),0)</f>
        <v/>
      </c>
      <c r="O1012" s="17">
        <f>IF('ORDENES'!$T1008="preventiva",N1012,0)</f>
        <v/>
      </c>
      <c r="P1012" s="17">
        <f>IF('ORDENES'!$T1008="correctiva",N1012,0)</f>
        <v/>
      </c>
      <c r="Q1012" s="3">
        <f>IF(AND(K1012=1,'ORDENES'!$N1008="Pendiente"),1,0)</f>
        <v/>
      </c>
      <c r="R1012" s="3">
        <f>IF(Q1012=1,100000-N1012*1000+1005*0.01,9000000000000+1005)</f>
        <v/>
      </c>
      <c r="S1012" s="3">
        <f>IF(Q1012=1,SUMPRODUCT(--($R$8:$R$1207&lt;R1012))+1,"")</f>
        <v/>
      </c>
      <c r="T1012" s="12">
        <f>IF(K1012=1,'ORDENES'!$J1008,"")</f>
        <v/>
      </c>
    </row>
    <row r="1013">
      <c r="K1013" s="3">
        <f>IF(AND(IF($B$3="(todos)",TRUE,'ORDENES'!$O1009=$B$3),IF($D$3="(todos)",TRUE,'ORDENES'!$AF1009=$D$3),IF($F$3="(todos)",TRUE,'ORDENES'!$X1009=$F$3),IF($H$3="(todos)",TRUE,'ORDENES'!$W1009=$H$3),'ORDENES'!$AD1009=TRUE,'ORDENES'!$A1009&lt;&gt;""),1,0)</f>
        <v/>
      </c>
      <c r="L1013" s="3">
        <f>IF(K1013=1,IFERROR(MATCH('ORDENES'!$R1009,lista_dias,0),9)*1000000000+IFERROR(MATCH('ORDENES'!$AF1009,lista_turnos,0),9)*10000000+IFERROR(MATCH('ORDENES'!$AE1009,tblTecnicos[nombre],0),99)*100000+1006,9000000000000+1006)</f>
        <v/>
      </c>
      <c r="M1013" s="3">
        <f>IF(K1013=1,SUMPRODUCT(--($L$8:$L$1207&lt;L1013))+1,"")</f>
        <v/>
      </c>
      <c r="N1013" s="17">
        <f>IF(K1013=1,N('ORDENES'!$M1009),0)</f>
        <v/>
      </c>
      <c r="O1013" s="17">
        <f>IF('ORDENES'!$T1009="preventiva",N1013,0)</f>
        <v/>
      </c>
      <c r="P1013" s="17">
        <f>IF('ORDENES'!$T1009="correctiva",N1013,0)</f>
        <v/>
      </c>
      <c r="Q1013" s="3">
        <f>IF(AND(K1013=1,'ORDENES'!$N1009="Pendiente"),1,0)</f>
        <v/>
      </c>
      <c r="R1013" s="3">
        <f>IF(Q1013=1,100000-N1013*1000+1006*0.01,9000000000000+1006)</f>
        <v/>
      </c>
      <c r="S1013" s="3">
        <f>IF(Q1013=1,SUMPRODUCT(--($R$8:$R$1207&lt;R1013))+1,"")</f>
        <v/>
      </c>
      <c r="T1013" s="12">
        <f>IF(K1013=1,'ORDENES'!$J1009,"")</f>
        <v/>
      </c>
    </row>
    <row r="1014">
      <c r="K1014" s="3">
        <f>IF(AND(IF($B$3="(todos)",TRUE,'ORDENES'!$O1010=$B$3),IF($D$3="(todos)",TRUE,'ORDENES'!$AF1010=$D$3),IF($F$3="(todos)",TRUE,'ORDENES'!$X1010=$F$3),IF($H$3="(todos)",TRUE,'ORDENES'!$W1010=$H$3),'ORDENES'!$AD1010=TRUE,'ORDENES'!$A1010&lt;&gt;""),1,0)</f>
        <v/>
      </c>
      <c r="L1014" s="3">
        <f>IF(K1014=1,IFERROR(MATCH('ORDENES'!$R1010,lista_dias,0),9)*1000000000+IFERROR(MATCH('ORDENES'!$AF1010,lista_turnos,0),9)*10000000+IFERROR(MATCH('ORDENES'!$AE1010,tblTecnicos[nombre],0),99)*100000+1007,9000000000000+1007)</f>
        <v/>
      </c>
      <c r="M1014" s="3">
        <f>IF(K1014=1,SUMPRODUCT(--($L$8:$L$1207&lt;L1014))+1,"")</f>
        <v/>
      </c>
      <c r="N1014" s="17">
        <f>IF(K1014=1,N('ORDENES'!$M1010),0)</f>
        <v/>
      </c>
      <c r="O1014" s="17">
        <f>IF('ORDENES'!$T1010="preventiva",N1014,0)</f>
        <v/>
      </c>
      <c r="P1014" s="17">
        <f>IF('ORDENES'!$T1010="correctiva",N1014,0)</f>
        <v/>
      </c>
      <c r="Q1014" s="3">
        <f>IF(AND(K1014=1,'ORDENES'!$N1010="Pendiente"),1,0)</f>
        <v/>
      </c>
      <c r="R1014" s="3">
        <f>IF(Q1014=1,100000-N1014*1000+1007*0.01,9000000000000+1007)</f>
        <v/>
      </c>
      <c r="S1014" s="3">
        <f>IF(Q1014=1,SUMPRODUCT(--($R$8:$R$1207&lt;R1014))+1,"")</f>
        <v/>
      </c>
      <c r="T1014" s="12">
        <f>IF(K1014=1,'ORDENES'!$J1010,"")</f>
        <v/>
      </c>
    </row>
    <row r="1015">
      <c r="K1015" s="3">
        <f>IF(AND(IF($B$3="(todos)",TRUE,'ORDENES'!$O1011=$B$3),IF($D$3="(todos)",TRUE,'ORDENES'!$AF1011=$D$3),IF($F$3="(todos)",TRUE,'ORDENES'!$X1011=$F$3),IF($H$3="(todos)",TRUE,'ORDENES'!$W1011=$H$3),'ORDENES'!$AD1011=TRUE,'ORDENES'!$A1011&lt;&gt;""),1,0)</f>
        <v/>
      </c>
      <c r="L1015" s="3">
        <f>IF(K1015=1,IFERROR(MATCH('ORDENES'!$R1011,lista_dias,0),9)*1000000000+IFERROR(MATCH('ORDENES'!$AF1011,lista_turnos,0),9)*10000000+IFERROR(MATCH('ORDENES'!$AE1011,tblTecnicos[nombre],0),99)*100000+1008,9000000000000+1008)</f>
        <v/>
      </c>
      <c r="M1015" s="3">
        <f>IF(K1015=1,SUMPRODUCT(--($L$8:$L$1207&lt;L1015))+1,"")</f>
        <v/>
      </c>
      <c r="N1015" s="17">
        <f>IF(K1015=1,N('ORDENES'!$M1011),0)</f>
        <v/>
      </c>
      <c r="O1015" s="17">
        <f>IF('ORDENES'!$T1011="preventiva",N1015,0)</f>
        <v/>
      </c>
      <c r="P1015" s="17">
        <f>IF('ORDENES'!$T1011="correctiva",N1015,0)</f>
        <v/>
      </c>
      <c r="Q1015" s="3">
        <f>IF(AND(K1015=1,'ORDENES'!$N1011="Pendiente"),1,0)</f>
        <v/>
      </c>
      <c r="R1015" s="3">
        <f>IF(Q1015=1,100000-N1015*1000+1008*0.01,9000000000000+1008)</f>
        <v/>
      </c>
      <c r="S1015" s="3">
        <f>IF(Q1015=1,SUMPRODUCT(--($R$8:$R$1207&lt;R1015))+1,"")</f>
        <v/>
      </c>
      <c r="T1015" s="12">
        <f>IF(K1015=1,'ORDENES'!$J1011,"")</f>
        <v/>
      </c>
    </row>
    <row r="1016">
      <c r="K1016" s="3">
        <f>IF(AND(IF($B$3="(todos)",TRUE,'ORDENES'!$O1012=$B$3),IF($D$3="(todos)",TRUE,'ORDENES'!$AF1012=$D$3),IF($F$3="(todos)",TRUE,'ORDENES'!$X1012=$F$3),IF($H$3="(todos)",TRUE,'ORDENES'!$W1012=$H$3),'ORDENES'!$AD1012=TRUE,'ORDENES'!$A1012&lt;&gt;""),1,0)</f>
        <v/>
      </c>
      <c r="L1016" s="3">
        <f>IF(K1016=1,IFERROR(MATCH('ORDENES'!$R1012,lista_dias,0),9)*1000000000+IFERROR(MATCH('ORDENES'!$AF1012,lista_turnos,0),9)*10000000+IFERROR(MATCH('ORDENES'!$AE1012,tblTecnicos[nombre],0),99)*100000+1009,9000000000000+1009)</f>
        <v/>
      </c>
      <c r="M1016" s="3">
        <f>IF(K1016=1,SUMPRODUCT(--($L$8:$L$1207&lt;L1016))+1,"")</f>
        <v/>
      </c>
      <c r="N1016" s="17">
        <f>IF(K1016=1,N('ORDENES'!$M1012),0)</f>
        <v/>
      </c>
      <c r="O1016" s="17">
        <f>IF('ORDENES'!$T1012="preventiva",N1016,0)</f>
        <v/>
      </c>
      <c r="P1016" s="17">
        <f>IF('ORDENES'!$T1012="correctiva",N1016,0)</f>
        <v/>
      </c>
      <c r="Q1016" s="3">
        <f>IF(AND(K1016=1,'ORDENES'!$N1012="Pendiente"),1,0)</f>
        <v/>
      </c>
      <c r="R1016" s="3">
        <f>IF(Q1016=1,100000-N1016*1000+1009*0.01,9000000000000+1009)</f>
        <v/>
      </c>
      <c r="S1016" s="3">
        <f>IF(Q1016=1,SUMPRODUCT(--($R$8:$R$1207&lt;R1016))+1,"")</f>
        <v/>
      </c>
      <c r="T1016" s="12">
        <f>IF(K1016=1,'ORDENES'!$J1012,"")</f>
        <v/>
      </c>
    </row>
    <row r="1017">
      <c r="K1017" s="3">
        <f>IF(AND(IF($B$3="(todos)",TRUE,'ORDENES'!$O1013=$B$3),IF($D$3="(todos)",TRUE,'ORDENES'!$AF1013=$D$3),IF($F$3="(todos)",TRUE,'ORDENES'!$X1013=$F$3),IF($H$3="(todos)",TRUE,'ORDENES'!$W1013=$H$3),'ORDENES'!$AD1013=TRUE,'ORDENES'!$A1013&lt;&gt;""),1,0)</f>
        <v/>
      </c>
      <c r="L1017" s="3">
        <f>IF(K1017=1,IFERROR(MATCH('ORDENES'!$R1013,lista_dias,0),9)*1000000000+IFERROR(MATCH('ORDENES'!$AF1013,lista_turnos,0),9)*10000000+IFERROR(MATCH('ORDENES'!$AE1013,tblTecnicos[nombre],0),99)*100000+1010,9000000000000+1010)</f>
        <v/>
      </c>
      <c r="M1017" s="3">
        <f>IF(K1017=1,SUMPRODUCT(--($L$8:$L$1207&lt;L1017))+1,"")</f>
        <v/>
      </c>
      <c r="N1017" s="17">
        <f>IF(K1017=1,N('ORDENES'!$M1013),0)</f>
        <v/>
      </c>
      <c r="O1017" s="17">
        <f>IF('ORDENES'!$T1013="preventiva",N1017,0)</f>
        <v/>
      </c>
      <c r="P1017" s="17">
        <f>IF('ORDENES'!$T1013="correctiva",N1017,0)</f>
        <v/>
      </c>
      <c r="Q1017" s="3">
        <f>IF(AND(K1017=1,'ORDENES'!$N1013="Pendiente"),1,0)</f>
        <v/>
      </c>
      <c r="R1017" s="3">
        <f>IF(Q1017=1,100000-N1017*1000+1010*0.01,9000000000000+1010)</f>
        <v/>
      </c>
      <c r="S1017" s="3">
        <f>IF(Q1017=1,SUMPRODUCT(--($R$8:$R$1207&lt;R1017))+1,"")</f>
        <v/>
      </c>
      <c r="T1017" s="12">
        <f>IF(K1017=1,'ORDENES'!$J1013,"")</f>
        <v/>
      </c>
    </row>
    <row r="1018">
      <c r="K1018" s="3">
        <f>IF(AND(IF($B$3="(todos)",TRUE,'ORDENES'!$O1014=$B$3),IF($D$3="(todos)",TRUE,'ORDENES'!$AF1014=$D$3),IF($F$3="(todos)",TRUE,'ORDENES'!$X1014=$F$3),IF($H$3="(todos)",TRUE,'ORDENES'!$W1014=$H$3),'ORDENES'!$AD1014=TRUE,'ORDENES'!$A1014&lt;&gt;""),1,0)</f>
        <v/>
      </c>
      <c r="L1018" s="3">
        <f>IF(K1018=1,IFERROR(MATCH('ORDENES'!$R1014,lista_dias,0),9)*1000000000+IFERROR(MATCH('ORDENES'!$AF1014,lista_turnos,0),9)*10000000+IFERROR(MATCH('ORDENES'!$AE1014,tblTecnicos[nombre],0),99)*100000+1011,9000000000000+1011)</f>
        <v/>
      </c>
      <c r="M1018" s="3">
        <f>IF(K1018=1,SUMPRODUCT(--($L$8:$L$1207&lt;L1018))+1,"")</f>
        <v/>
      </c>
      <c r="N1018" s="17">
        <f>IF(K1018=1,N('ORDENES'!$M1014),0)</f>
        <v/>
      </c>
      <c r="O1018" s="17">
        <f>IF('ORDENES'!$T1014="preventiva",N1018,0)</f>
        <v/>
      </c>
      <c r="P1018" s="17">
        <f>IF('ORDENES'!$T1014="correctiva",N1018,0)</f>
        <v/>
      </c>
      <c r="Q1018" s="3">
        <f>IF(AND(K1018=1,'ORDENES'!$N1014="Pendiente"),1,0)</f>
        <v/>
      </c>
      <c r="R1018" s="3">
        <f>IF(Q1018=1,100000-N1018*1000+1011*0.01,9000000000000+1011)</f>
        <v/>
      </c>
      <c r="S1018" s="3">
        <f>IF(Q1018=1,SUMPRODUCT(--($R$8:$R$1207&lt;R1018))+1,"")</f>
        <v/>
      </c>
      <c r="T1018" s="12">
        <f>IF(K1018=1,'ORDENES'!$J1014,"")</f>
        <v/>
      </c>
    </row>
    <row r="1019">
      <c r="K1019" s="3">
        <f>IF(AND(IF($B$3="(todos)",TRUE,'ORDENES'!$O1015=$B$3),IF($D$3="(todos)",TRUE,'ORDENES'!$AF1015=$D$3),IF($F$3="(todos)",TRUE,'ORDENES'!$X1015=$F$3),IF($H$3="(todos)",TRUE,'ORDENES'!$W1015=$H$3),'ORDENES'!$AD1015=TRUE,'ORDENES'!$A1015&lt;&gt;""),1,0)</f>
        <v/>
      </c>
      <c r="L1019" s="3">
        <f>IF(K1019=1,IFERROR(MATCH('ORDENES'!$R1015,lista_dias,0),9)*1000000000+IFERROR(MATCH('ORDENES'!$AF1015,lista_turnos,0),9)*10000000+IFERROR(MATCH('ORDENES'!$AE1015,tblTecnicos[nombre],0),99)*100000+1012,9000000000000+1012)</f>
        <v/>
      </c>
      <c r="M1019" s="3">
        <f>IF(K1019=1,SUMPRODUCT(--($L$8:$L$1207&lt;L1019))+1,"")</f>
        <v/>
      </c>
      <c r="N1019" s="17">
        <f>IF(K1019=1,N('ORDENES'!$M1015),0)</f>
        <v/>
      </c>
      <c r="O1019" s="17">
        <f>IF('ORDENES'!$T1015="preventiva",N1019,0)</f>
        <v/>
      </c>
      <c r="P1019" s="17">
        <f>IF('ORDENES'!$T1015="correctiva",N1019,0)</f>
        <v/>
      </c>
      <c r="Q1019" s="3">
        <f>IF(AND(K1019=1,'ORDENES'!$N1015="Pendiente"),1,0)</f>
        <v/>
      </c>
      <c r="R1019" s="3">
        <f>IF(Q1019=1,100000-N1019*1000+1012*0.01,9000000000000+1012)</f>
        <v/>
      </c>
      <c r="S1019" s="3">
        <f>IF(Q1019=1,SUMPRODUCT(--($R$8:$R$1207&lt;R1019))+1,"")</f>
        <v/>
      </c>
      <c r="T1019" s="12">
        <f>IF(K1019=1,'ORDENES'!$J1015,"")</f>
        <v/>
      </c>
    </row>
    <row r="1020">
      <c r="K1020" s="3">
        <f>IF(AND(IF($B$3="(todos)",TRUE,'ORDENES'!$O1016=$B$3),IF($D$3="(todos)",TRUE,'ORDENES'!$AF1016=$D$3),IF($F$3="(todos)",TRUE,'ORDENES'!$X1016=$F$3),IF($H$3="(todos)",TRUE,'ORDENES'!$W1016=$H$3),'ORDENES'!$AD1016=TRUE,'ORDENES'!$A1016&lt;&gt;""),1,0)</f>
        <v/>
      </c>
      <c r="L1020" s="3">
        <f>IF(K1020=1,IFERROR(MATCH('ORDENES'!$R1016,lista_dias,0),9)*1000000000+IFERROR(MATCH('ORDENES'!$AF1016,lista_turnos,0),9)*10000000+IFERROR(MATCH('ORDENES'!$AE1016,tblTecnicos[nombre],0),99)*100000+1013,9000000000000+1013)</f>
        <v/>
      </c>
      <c r="M1020" s="3">
        <f>IF(K1020=1,SUMPRODUCT(--($L$8:$L$1207&lt;L1020))+1,"")</f>
        <v/>
      </c>
      <c r="N1020" s="17">
        <f>IF(K1020=1,N('ORDENES'!$M1016),0)</f>
        <v/>
      </c>
      <c r="O1020" s="17">
        <f>IF('ORDENES'!$T1016="preventiva",N1020,0)</f>
        <v/>
      </c>
      <c r="P1020" s="17">
        <f>IF('ORDENES'!$T1016="correctiva",N1020,0)</f>
        <v/>
      </c>
      <c r="Q1020" s="3">
        <f>IF(AND(K1020=1,'ORDENES'!$N1016="Pendiente"),1,0)</f>
        <v/>
      </c>
      <c r="R1020" s="3">
        <f>IF(Q1020=1,100000-N1020*1000+1013*0.01,9000000000000+1013)</f>
        <v/>
      </c>
      <c r="S1020" s="3">
        <f>IF(Q1020=1,SUMPRODUCT(--($R$8:$R$1207&lt;R1020))+1,"")</f>
        <v/>
      </c>
      <c r="T1020" s="12">
        <f>IF(K1020=1,'ORDENES'!$J1016,"")</f>
        <v/>
      </c>
    </row>
    <row r="1021">
      <c r="K1021" s="3">
        <f>IF(AND(IF($B$3="(todos)",TRUE,'ORDENES'!$O1017=$B$3),IF($D$3="(todos)",TRUE,'ORDENES'!$AF1017=$D$3),IF($F$3="(todos)",TRUE,'ORDENES'!$X1017=$F$3),IF($H$3="(todos)",TRUE,'ORDENES'!$W1017=$H$3),'ORDENES'!$AD1017=TRUE,'ORDENES'!$A1017&lt;&gt;""),1,0)</f>
        <v/>
      </c>
      <c r="L1021" s="3">
        <f>IF(K1021=1,IFERROR(MATCH('ORDENES'!$R1017,lista_dias,0),9)*1000000000+IFERROR(MATCH('ORDENES'!$AF1017,lista_turnos,0),9)*10000000+IFERROR(MATCH('ORDENES'!$AE1017,tblTecnicos[nombre],0),99)*100000+1014,9000000000000+1014)</f>
        <v/>
      </c>
      <c r="M1021" s="3">
        <f>IF(K1021=1,SUMPRODUCT(--($L$8:$L$1207&lt;L1021))+1,"")</f>
        <v/>
      </c>
      <c r="N1021" s="17">
        <f>IF(K1021=1,N('ORDENES'!$M1017),0)</f>
        <v/>
      </c>
      <c r="O1021" s="17">
        <f>IF('ORDENES'!$T1017="preventiva",N1021,0)</f>
        <v/>
      </c>
      <c r="P1021" s="17">
        <f>IF('ORDENES'!$T1017="correctiva",N1021,0)</f>
        <v/>
      </c>
      <c r="Q1021" s="3">
        <f>IF(AND(K1021=1,'ORDENES'!$N1017="Pendiente"),1,0)</f>
        <v/>
      </c>
      <c r="R1021" s="3">
        <f>IF(Q1021=1,100000-N1021*1000+1014*0.01,9000000000000+1014)</f>
        <v/>
      </c>
      <c r="S1021" s="3">
        <f>IF(Q1021=1,SUMPRODUCT(--($R$8:$R$1207&lt;R1021))+1,"")</f>
        <v/>
      </c>
      <c r="T1021" s="12">
        <f>IF(K1021=1,'ORDENES'!$J1017,"")</f>
        <v/>
      </c>
    </row>
    <row r="1022">
      <c r="K1022" s="3">
        <f>IF(AND(IF($B$3="(todos)",TRUE,'ORDENES'!$O1018=$B$3),IF($D$3="(todos)",TRUE,'ORDENES'!$AF1018=$D$3),IF($F$3="(todos)",TRUE,'ORDENES'!$X1018=$F$3),IF($H$3="(todos)",TRUE,'ORDENES'!$W1018=$H$3),'ORDENES'!$AD1018=TRUE,'ORDENES'!$A1018&lt;&gt;""),1,0)</f>
        <v/>
      </c>
      <c r="L1022" s="3">
        <f>IF(K1022=1,IFERROR(MATCH('ORDENES'!$R1018,lista_dias,0),9)*1000000000+IFERROR(MATCH('ORDENES'!$AF1018,lista_turnos,0),9)*10000000+IFERROR(MATCH('ORDENES'!$AE1018,tblTecnicos[nombre],0),99)*100000+1015,9000000000000+1015)</f>
        <v/>
      </c>
      <c r="M1022" s="3">
        <f>IF(K1022=1,SUMPRODUCT(--($L$8:$L$1207&lt;L1022))+1,"")</f>
        <v/>
      </c>
      <c r="N1022" s="17">
        <f>IF(K1022=1,N('ORDENES'!$M1018),0)</f>
        <v/>
      </c>
      <c r="O1022" s="17">
        <f>IF('ORDENES'!$T1018="preventiva",N1022,0)</f>
        <v/>
      </c>
      <c r="P1022" s="17">
        <f>IF('ORDENES'!$T1018="correctiva",N1022,0)</f>
        <v/>
      </c>
      <c r="Q1022" s="3">
        <f>IF(AND(K1022=1,'ORDENES'!$N1018="Pendiente"),1,0)</f>
        <v/>
      </c>
      <c r="R1022" s="3">
        <f>IF(Q1022=1,100000-N1022*1000+1015*0.01,9000000000000+1015)</f>
        <v/>
      </c>
      <c r="S1022" s="3">
        <f>IF(Q1022=1,SUMPRODUCT(--($R$8:$R$1207&lt;R1022))+1,"")</f>
        <v/>
      </c>
      <c r="T1022" s="12">
        <f>IF(K1022=1,'ORDENES'!$J1018,"")</f>
        <v/>
      </c>
    </row>
    <row r="1023">
      <c r="K1023" s="3">
        <f>IF(AND(IF($B$3="(todos)",TRUE,'ORDENES'!$O1019=$B$3),IF($D$3="(todos)",TRUE,'ORDENES'!$AF1019=$D$3),IF($F$3="(todos)",TRUE,'ORDENES'!$X1019=$F$3),IF($H$3="(todos)",TRUE,'ORDENES'!$W1019=$H$3),'ORDENES'!$AD1019=TRUE,'ORDENES'!$A1019&lt;&gt;""),1,0)</f>
        <v/>
      </c>
      <c r="L1023" s="3">
        <f>IF(K1023=1,IFERROR(MATCH('ORDENES'!$R1019,lista_dias,0),9)*1000000000+IFERROR(MATCH('ORDENES'!$AF1019,lista_turnos,0),9)*10000000+IFERROR(MATCH('ORDENES'!$AE1019,tblTecnicos[nombre],0),99)*100000+1016,9000000000000+1016)</f>
        <v/>
      </c>
      <c r="M1023" s="3">
        <f>IF(K1023=1,SUMPRODUCT(--($L$8:$L$1207&lt;L1023))+1,"")</f>
        <v/>
      </c>
      <c r="N1023" s="17">
        <f>IF(K1023=1,N('ORDENES'!$M1019),0)</f>
        <v/>
      </c>
      <c r="O1023" s="17">
        <f>IF('ORDENES'!$T1019="preventiva",N1023,0)</f>
        <v/>
      </c>
      <c r="P1023" s="17">
        <f>IF('ORDENES'!$T1019="correctiva",N1023,0)</f>
        <v/>
      </c>
      <c r="Q1023" s="3">
        <f>IF(AND(K1023=1,'ORDENES'!$N1019="Pendiente"),1,0)</f>
        <v/>
      </c>
      <c r="R1023" s="3">
        <f>IF(Q1023=1,100000-N1023*1000+1016*0.01,9000000000000+1016)</f>
        <v/>
      </c>
      <c r="S1023" s="3">
        <f>IF(Q1023=1,SUMPRODUCT(--($R$8:$R$1207&lt;R1023))+1,"")</f>
        <v/>
      </c>
      <c r="T1023" s="12">
        <f>IF(K1023=1,'ORDENES'!$J1019,"")</f>
        <v/>
      </c>
    </row>
    <row r="1024">
      <c r="K1024" s="3">
        <f>IF(AND(IF($B$3="(todos)",TRUE,'ORDENES'!$O1020=$B$3),IF($D$3="(todos)",TRUE,'ORDENES'!$AF1020=$D$3),IF($F$3="(todos)",TRUE,'ORDENES'!$X1020=$F$3),IF($H$3="(todos)",TRUE,'ORDENES'!$W1020=$H$3),'ORDENES'!$AD1020=TRUE,'ORDENES'!$A1020&lt;&gt;""),1,0)</f>
        <v/>
      </c>
      <c r="L1024" s="3">
        <f>IF(K1024=1,IFERROR(MATCH('ORDENES'!$R1020,lista_dias,0),9)*1000000000+IFERROR(MATCH('ORDENES'!$AF1020,lista_turnos,0),9)*10000000+IFERROR(MATCH('ORDENES'!$AE1020,tblTecnicos[nombre],0),99)*100000+1017,9000000000000+1017)</f>
        <v/>
      </c>
      <c r="M1024" s="3">
        <f>IF(K1024=1,SUMPRODUCT(--($L$8:$L$1207&lt;L1024))+1,"")</f>
        <v/>
      </c>
      <c r="N1024" s="17">
        <f>IF(K1024=1,N('ORDENES'!$M1020),0)</f>
        <v/>
      </c>
      <c r="O1024" s="17">
        <f>IF('ORDENES'!$T1020="preventiva",N1024,0)</f>
        <v/>
      </c>
      <c r="P1024" s="17">
        <f>IF('ORDENES'!$T1020="correctiva",N1024,0)</f>
        <v/>
      </c>
      <c r="Q1024" s="3">
        <f>IF(AND(K1024=1,'ORDENES'!$N1020="Pendiente"),1,0)</f>
        <v/>
      </c>
      <c r="R1024" s="3">
        <f>IF(Q1024=1,100000-N1024*1000+1017*0.01,9000000000000+1017)</f>
        <v/>
      </c>
      <c r="S1024" s="3">
        <f>IF(Q1024=1,SUMPRODUCT(--($R$8:$R$1207&lt;R1024))+1,"")</f>
        <v/>
      </c>
      <c r="T1024" s="12">
        <f>IF(K1024=1,'ORDENES'!$J1020,"")</f>
        <v/>
      </c>
    </row>
    <row r="1025">
      <c r="K1025" s="3">
        <f>IF(AND(IF($B$3="(todos)",TRUE,'ORDENES'!$O1021=$B$3),IF($D$3="(todos)",TRUE,'ORDENES'!$AF1021=$D$3),IF($F$3="(todos)",TRUE,'ORDENES'!$X1021=$F$3),IF($H$3="(todos)",TRUE,'ORDENES'!$W1021=$H$3),'ORDENES'!$AD1021=TRUE,'ORDENES'!$A1021&lt;&gt;""),1,0)</f>
        <v/>
      </c>
      <c r="L1025" s="3">
        <f>IF(K1025=1,IFERROR(MATCH('ORDENES'!$R1021,lista_dias,0),9)*1000000000+IFERROR(MATCH('ORDENES'!$AF1021,lista_turnos,0),9)*10000000+IFERROR(MATCH('ORDENES'!$AE1021,tblTecnicos[nombre],0),99)*100000+1018,9000000000000+1018)</f>
        <v/>
      </c>
      <c r="M1025" s="3">
        <f>IF(K1025=1,SUMPRODUCT(--($L$8:$L$1207&lt;L1025))+1,"")</f>
        <v/>
      </c>
      <c r="N1025" s="17">
        <f>IF(K1025=1,N('ORDENES'!$M1021),0)</f>
        <v/>
      </c>
      <c r="O1025" s="17">
        <f>IF('ORDENES'!$T1021="preventiva",N1025,0)</f>
        <v/>
      </c>
      <c r="P1025" s="17">
        <f>IF('ORDENES'!$T1021="correctiva",N1025,0)</f>
        <v/>
      </c>
      <c r="Q1025" s="3">
        <f>IF(AND(K1025=1,'ORDENES'!$N1021="Pendiente"),1,0)</f>
        <v/>
      </c>
      <c r="R1025" s="3">
        <f>IF(Q1025=1,100000-N1025*1000+1018*0.01,9000000000000+1018)</f>
        <v/>
      </c>
      <c r="S1025" s="3">
        <f>IF(Q1025=1,SUMPRODUCT(--($R$8:$R$1207&lt;R1025))+1,"")</f>
        <v/>
      </c>
      <c r="T1025" s="12">
        <f>IF(K1025=1,'ORDENES'!$J1021,"")</f>
        <v/>
      </c>
    </row>
    <row r="1026">
      <c r="K1026" s="3">
        <f>IF(AND(IF($B$3="(todos)",TRUE,'ORDENES'!$O1022=$B$3),IF($D$3="(todos)",TRUE,'ORDENES'!$AF1022=$D$3),IF($F$3="(todos)",TRUE,'ORDENES'!$X1022=$F$3),IF($H$3="(todos)",TRUE,'ORDENES'!$W1022=$H$3),'ORDENES'!$AD1022=TRUE,'ORDENES'!$A1022&lt;&gt;""),1,0)</f>
        <v/>
      </c>
      <c r="L1026" s="3">
        <f>IF(K1026=1,IFERROR(MATCH('ORDENES'!$R1022,lista_dias,0),9)*1000000000+IFERROR(MATCH('ORDENES'!$AF1022,lista_turnos,0),9)*10000000+IFERROR(MATCH('ORDENES'!$AE1022,tblTecnicos[nombre],0),99)*100000+1019,9000000000000+1019)</f>
        <v/>
      </c>
      <c r="M1026" s="3">
        <f>IF(K1026=1,SUMPRODUCT(--($L$8:$L$1207&lt;L1026))+1,"")</f>
        <v/>
      </c>
      <c r="N1026" s="17">
        <f>IF(K1026=1,N('ORDENES'!$M1022),0)</f>
        <v/>
      </c>
      <c r="O1026" s="17">
        <f>IF('ORDENES'!$T1022="preventiva",N1026,0)</f>
        <v/>
      </c>
      <c r="P1026" s="17">
        <f>IF('ORDENES'!$T1022="correctiva",N1026,0)</f>
        <v/>
      </c>
      <c r="Q1026" s="3">
        <f>IF(AND(K1026=1,'ORDENES'!$N1022="Pendiente"),1,0)</f>
        <v/>
      </c>
      <c r="R1026" s="3">
        <f>IF(Q1026=1,100000-N1026*1000+1019*0.01,9000000000000+1019)</f>
        <v/>
      </c>
      <c r="S1026" s="3">
        <f>IF(Q1026=1,SUMPRODUCT(--($R$8:$R$1207&lt;R1026))+1,"")</f>
        <v/>
      </c>
      <c r="T1026" s="12">
        <f>IF(K1026=1,'ORDENES'!$J1022,"")</f>
        <v/>
      </c>
    </row>
    <row r="1027">
      <c r="K1027" s="3">
        <f>IF(AND(IF($B$3="(todos)",TRUE,'ORDENES'!$O1023=$B$3),IF($D$3="(todos)",TRUE,'ORDENES'!$AF1023=$D$3),IF($F$3="(todos)",TRUE,'ORDENES'!$X1023=$F$3),IF($H$3="(todos)",TRUE,'ORDENES'!$W1023=$H$3),'ORDENES'!$AD1023=TRUE,'ORDENES'!$A1023&lt;&gt;""),1,0)</f>
        <v/>
      </c>
      <c r="L1027" s="3">
        <f>IF(K1027=1,IFERROR(MATCH('ORDENES'!$R1023,lista_dias,0),9)*1000000000+IFERROR(MATCH('ORDENES'!$AF1023,lista_turnos,0),9)*10000000+IFERROR(MATCH('ORDENES'!$AE1023,tblTecnicos[nombre],0),99)*100000+1020,9000000000000+1020)</f>
        <v/>
      </c>
      <c r="M1027" s="3">
        <f>IF(K1027=1,SUMPRODUCT(--($L$8:$L$1207&lt;L1027))+1,"")</f>
        <v/>
      </c>
      <c r="N1027" s="17">
        <f>IF(K1027=1,N('ORDENES'!$M1023),0)</f>
        <v/>
      </c>
      <c r="O1027" s="17">
        <f>IF('ORDENES'!$T1023="preventiva",N1027,0)</f>
        <v/>
      </c>
      <c r="P1027" s="17">
        <f>IF('ORDENES'!$T1023="correctiva",N1027,0)</f>
        <v/>
      </c>
      <c r="Q1027" s="3">
        <f>IF(AND(K1027=1,'ORDENES'!$N1023="Pendiente"),1,0)</f>
        <v/>
      </c>
      <c r="R1027" s="3">
        <f>IF(Q1027=1,100000-N1027*1000+1020*0.01,9000000000000+1020)</f>
        <v/>
      </c>
      <c r="S1027" s="3">
        <f>IF(Q1027=1,SUMPRODUCT(--($R$8:$R$1207&lt;R1027))+1,"")</f>
        <v/>
      </c>
      <c r="T1027" s="12">
        <f>IF(K1027=1,'ORDENES'!$J1023,"")</f>
        <v/>
      </c>
    </row>
    <row r="1028">
      <c r="K1028" s="3">
        <f>IF(AND(IF($B$3="(todos)",TRUE,'ORDENES'!$O1024=$B$3),IF($D$3="(todos)",TRUE,'ORDENES'!$AF1024=$D$3),IF($F$3="(todos)",TRUE,'ORDENES'!$X1024=$F$3),IF($H$3="(todos)",TRUE,'ORDENES'!$W1024=$H$3),'ORDENES'!$AD1024=TRUE,'ORDENES'!$A1024&lt;&gt;""),1,0)</f>
        <v/>
      </c>
      <c r="L1028" s="3">
        <f>IF(K1028=1,IFERROR(MATCH('ORDENES'!$R1024,lista_dias,0),9)*1000000000+IFERROR(MATCH('ORDENES'!$AF1024,lista_turnos,0),9)*10000000+IFERROR(MATCH('ORDENES'!$AE1024,tblTecnicos[nombre],0),99)*100000+1021,9000000000000+1021)</f>
        <v/>
      </c>
      <c r="M1028" s="3">
        <f>IF(K1028=1,SUMPRODUCT(--($L$8:$L$1207&lt;L1028))+1,"")</f>
        <v/>
      </c>
      <c r="N1028" s="17">
        <f>IF(K1028=1,N('ORDENES'!$M1024),0)</f>
        <v/>
      </c>
      <c r="O1028" s="17">
        <f>IF('ORDENES'!$T1024="preventiva",N1028,0)</f>
        <v/>
      </c>
      <c r="P1028" s="17">
        <f>IF('ORDENES'!$T1024="correctiva",N1028,0)</f>
        <v/>
      </c>
      <c r="Q1028" s="3">
        <f>IF(AND(K1028=1,'ORDENES'!$N1024="Pendiente"),1,0)</f>
        <v/>
      </c>
      <c r="R1028" s="3">
        <f>IF(Q1028=1,100000-N1028*1000+1021*0.01,9000000000000+1021)</f>
        <v/>
      </c>
      <c r="S1028" s="3">
        <f>IF(Q1028=1,SUMPRODUCT(--($R$8:$R$1207&lt;R1028))+1,"")</f>
        <v/>
      </c>
      <c r="T1028" s="12">
        <f>IF(K1028=1,'ORDENES'!$J1024,"")</f>
        <v/>
      </c>
    </row>
    <row r="1029">
      <c r="K1029" s="3">
        <f>IF(AND(IF($B$3="(todos)",TRUE,'ORDENES'!$O1025=$B$3),IF($D$3="(todos)",TRUE,'ORDENES'!$AF1025=$D$3),IF($F$3="(todos)",TRUE,'ORDENES'!$X1025=$F$3),IF($H$3="(todos)",TRUE,'ORDENES'!$W1025=$H$3),'ORDENES'!$AD1025=TRUE,'ORDENES'!$A1025&lt;&gt;""),1,0)</f>
        <v/>
      </c>
      <c r="L1029" s="3">
        <f>IF(K1029=1,IFERROR(MATCH('ORDENES'!$R1025,lista_dias,0),9)*1000000000+IFERROR(MATCH('ORDENES'!$AF1025,lista_turnos,0),9)*10000000+IFERROR(MATCH('ORDENES'!$AE1025,tblTecnicos[nombre],0),99)*100000+1022,9000000000000+1022)</f>
        <v/>
      </c>
      <c r="M1029" s="3">
        <f>IF(K1029=1,SUMPRODUCT(--($L$8:$L$1207&lt;L1029))+1,"")</f>
        <v/>
      </c>
      <c r="N1029" s="17">
        <f>IF(K1029=1,N('ORDENES'!$M1025),0)</f>
        <v/>
      </c>
      <c r="O1029" s="17">
        <f>IF('ORDENES'!$T1025="preventiva",N1029,0)</f>
        <v/>
      </c>
      <c r="P1029" s="17">
        <f>IF('ORDENES'!$T1025="correctiva",N1029,0)</f>
        <v/>
      </c>
      <c r="Q1029" s="3">
        <f>IF(AND(K1029=1,'ORDENES'!$N1025="Pendiente"),1,0)</f>
        <v/>
      </c>
      <c r="R1029" s="3">
        <f>IF(Q1029=1,100000-N1029*1000+1022*0.01,9000000000000+1022)</f>
        <v/>
      </c>
      <c r="S1029" s="3">
        <f>IF(Q1029=1,SUMPRODUCT(--($R$8:$R$1207&lt;R1029))+1,"")</f>
        <v/>
      </c>
      <c r="T1029" s="12">
        <f>IF(K1029=1,'ORDENES'!$J1025,"")</f>
        <v/>
      </c>
    </row>
    <row r="1030">
      <c r="K1030" s="3">
        <f>IF(AND(IF($B$3="(todos)",TRUE,'ORDENES'!$O1026=$B$3),IF($D$3="(todos)",TRUE,'ORDENES'!$AF1026=$D$3),IF($F$3="(todos)",TRUE,'ORDENES'!$X1026=$F$3),IF($H$3="(todos)",TRUE,'ORDENES'!$W1026=$H$3),'ORDENES'!$AD1026=TRUE,'ORDENES'!$A1026&lt;&gt;""),1,0)</f>
        <v/>
      </c>
      <c r="L1030" s="3">
        <f>IF(K1030=1,IFERROR(MATCH('ORDENES'!$R1026,lista_dias,0),9)*1000000000+IFERROR(MATCH('ORDENES'!$AF1026,lista_turnos,0),9)*10000000+IFERROR(MATCH('ORDENES'!$AE1026,tblTecnicos[nombre],0),99)*100000+1023,9000000000000+1023)</f>
        <v/>
      </c>
      <c r="M1030" s="3">
        <f>IF(K1030=1,SUMPRODUCT(--($L$8:$L$1207&lt;L1030))+1,"")</f>
        <v/>
      </c>
      <c r="N1030" s="17">
        <f>IF(K1030=1,N('ORDENES'!$M1026),0)</f>
        <v/>
      </c>
      <c r="O1030" s="17">
        <f>IF('ORDENES'!$T1026="preventiva",N1030,0)</f>
        <v/>
      </c>
      <c r="P1030" s="17">
        <f>IF('ORDENES'!$T1026="correctiva",N1030,0)</f>
        <v/>
      </c>
      <c r="Q1030" s="3">
        <f>IF(AND(K1030=1,'ORDENES'!$N1026="Pendiente"),1,0)</f>
        <v/>
      </c>
      <c r="R1030" s="3">
        <f>IF(Q1030=1,100000-N1030*1000+1023*0.01,9000000000000+1023)</f>
        <v/>
      </c>
      <c r="S1030" s="3">
        <f>IF(Q1030=1,SUMPRODUCT(--($R$8:$R$1207&lt;R1030))+1,"")</f>
        <v/>
      </c>
      <c r="T1030" s="12">
        <f>IF(K1030=1,'ORDENES'!$J1026,"")</f>
        <v/>
      </c>
    </row>
    <row r="1031">
      <c r="K1031" s="3">
        <f>IF(AND(IF($B$3="(todos)",TRUE,'ORDENES'!$O1027=$B$3),IF($D$3="(todos)",TRUE,'ORDENES'!$AF1027=$D$3),IF($F$3="(todos)",TRUE,'ORDENES'!$X1027=$F$3),IF($H$3="(todos)",TRUE,'ORDENES'!$W1027=$H$3),'ORDENES'!$AD1027=TRUE,'ORDENES'!$A1027&lt;&gt;""),1,0)</f>
        <v/>
      </c>
      <c r="L1031" s="3">
        <f>IF(K1031=1,IFERROR(MATCH('ORDENES'!$R1027,lista_dias,0),9)*1000000000+IFERROR(MATCH('ORDENES'!$AF1027,lista_turnos,0),9)*10000000+IFERROR(MATCH('ORDENES'!$AE1027,tblTecnicos[nombre],0),99)*100000+1024,9000000000000+1024)</f>
        <v/>
      </c>
      <c r="M1031" s="3">
        <f>IF(K1031=1,SUMPRODUCT(--($L$8:$L$1207&lt;L1031))+1,"")</f>
        <v/>
      </c>
      <c r="N1031" s="17">
        <f>IF(K1031=1,N('ORDENES'!$M1027),0)</f>
        <v/>
      </c>
      <c r="O1031" s="17">
        <f>IF('ORDENES'!$T1027="preventiva",N1031,0)</f>
        <v/>
      </c>
      <c r="P1031" s="17">
        <f>IF('ORDENES'!$T1027="correctiva",N1031,0)</f>
        <v/>
      </c>
      <c r="Q1031" s="3">
        <f>IF(AND(K1031=1,'ORDENES'!$N1027="Pendiente"),1,0)</f>
        <v/>
      </c>
      <c r="R1031" s="3">
        <f>IF(Q1031=1,100000-N1031*1000+1024*0.01,9000000000000+1024)</f>
        <v/>
      </c>
      <c r="S1031" s="3">
        <f>IF(Q1031=1,SUMPRODUCT(--($R$8:$R$1207&lt;R1031))+1,"")</f>
        <v/>
      </c>
      <c r="T1031" s="12">
        <f>IF(K1031=1,'ORDENES'!$J1027,"")</f>
        <v/>
      </c>
    </row>
    <row r="1032">
      <c r="K1032" s="3">
        <f>IF(AND(IF($B$3="(todos)",TRUE,'ORDENES'!$O1028=$B$3),IF($D$3="(todos)",TRUE,'ORDENES'!$AF1028=$D$3),IF($F$3="(todos)",TRUE,'ORDENES'!$X1028=$F$3),IF($H$3="(todos)",TRUE,'ORDENES'!$W1028=$H$3),'ORDENES'!$AD1028=TRUE,'ORDENES'!$A1028&lt;&gt;""),1,0)</f>
        <v/>
      </c>
      <c r="L1032" s="3">
        <f>IF(K1032=1,IFERROR(MATCH('ORDENES'!$R1028,lista_dias,0),9)*1000000000+IFERROR(MATCH('ORDENES'!$AF1028,lista_turnos,0),9)*10000000+IFERROR(MATCH('ORDENES'!$AE1028,tblTecnicos[nombre],0),99)*100000+1025,9000000000000+1025)</f>
        <v/>
      </c>
      <c r="M1032" s="3">
        <f>IF(K1032=1,SUMPRODUCT(--($L$8:$L$1207&lt;L1032))+1,"")</f>
        <v/>
      </c>
      <c r="N1032" s="17">
        <f>IF(K1032=1,N('ORDENES'!$M1028),0)</f>
        <v/>
      </c>
      <c r="O1032" s="17">
        <f>IF('ORDENES'!$T1028="preventiva",N1032,0)</f>
        <v/>
      </c>
      <c r="P1032" s="17">
        <f>IF('ORDENES'!$T1028="correctiva",N1032,0)</f>
        <v/>
      </c>
      <c r="Q1032" s="3">
        <f>IF(AND(K1032=1,'ORDENES'!$N1028="Pendiente"),1,0)</f>
        <v/>
      </c>
      <c r="R1032" s="3">
        <f>IF(Q1032=1,100000-N1032*1000+1025*0.01,9000000000000+1025)</f>
        <v/>
      </c>
      <c r="S1032" s="3">
        <f>IF(Q1032=1,SUMPRODUCT(--($R$8:$R$1207&lt;R1032))+1,"")</f>
        <v/>
      </c>
      <c r="T1032" s="12">
        <f>IF(K1032=1,'ORDENES'!$J1028,"")</f>
        <v/>
      </c>
    </row>
    <row r="1033">
      <c r="K1033" s="3">
        <f>IF(AND(IF($B$3="(todos)",TRUE,'ORDENES'!$O1029=$B$3),IF($D$3="(todos)",TRUE,'ORDENES'!$AF1029=$D$3),IF($F$3="(todos)",TRUE,'ORDENES'!$X1029=$F$3),IF($H$3="(todos)",TRUE,'ORDENES'!$W1029=$H$3),'ORDENES'!$AD1029=TRUE,'ORDENES'!$A1029&lt;&gt;""),1,0)</f>
        <v/>
      </c>
      <c r="L1033" s="3">
        <f>IF(K1033=1,IFERROR(MATCH('ORDENES'!$R1029,lista_dias,0),9)*1000000000+IFERROR(MATCH('ORDENES'!$AF1029,lista_turnos,0),9)*10000000+IFERROR(MATCH('ORDENES'!$AE1029,tblTecnicos[nombre],0),99)*100000+1026,9000000000000+1026)</f>
        <v/>
      </c>
      <c r="M1033" s="3">
        <f>IF(K1033=1,SUMPRODUCT(--($L$8:$L$1207&lt;L1033))+1,"")</f>
        <v/>
      </c>
      <c r="N1033" s="17">
        <f>IF(K1033=1,N('ORDENES'!$M1029),0)</f>
        <v/>
      </c>
      <c r="O1033" s="17">
        <f>IF('ORDENES'!$T1029="preventiva",N1033,0)</f>
        <v/>
      </c>
      <c r="P1033" s="17">
        <f>IF('ORDENES'!$T1029="correctiva",N1033,0)</f>
        <v/>
      </c>
      <c r="Q1033" s="3">
        <f>IF(AND(K1033=1,'ORDENES'!$N1029="Pendiente"),1,0)</f>
        <v/>
      </c>
      <c r="R1033" s="3">
        <f>IF(Q1033=1,100000-N1033*1000+1026*0.01,9000000000000+1026)</f>
        <v/>
      </c>
      <c r="S1033" s="3">
        <f>IF(Q1033=1,SUMPRODUCT(--($R$8:$R$1207&lt;R1033))+1,"")</f>
        <v/>
      </c>
      <c r="T1033" s="12">
        <f>IF(K1033=1,'ORDENES'!$J1029,"")</f>
        <v/>
      </c>
    </row>
    <row r="1034">
      <c r="K1034" s="3">
        <f>IF(AND(IF($B$3="(todos)",TRUE,'ORDENES'!$O1030=$B$3),IF($D$3="(todos)",TRUE,'ORDENES'!$AF1030=$D$3),IF($F$3="(todos)",TRUE,'ORDENES'!$X1030=$F$3),IF($H$3="(todos)",TRUE,'ORDENES'!$W1030=$H$3),'ORDENES'!$AD1030=TRUE,'ORDENES'!$A1030&lt;&gt;""),1,0)</f>
        <v/>
      </c>
      <c r="L1034" s="3">
        <f>IF(K1034=1,IFERROR(MATCH('ORDENES'!$R1030,lista_dias,0),9)*1000000000+IFERROR(MATCH('ORDENES'!$AF1030,lista_turnos,0),9)*10000000+IFERROR(MATCH('ORDENES'!$AE1030,tblTecnicos[nombre],0),99)*100000+1027,9000000000000+1027)</f>
        <v/>
      </c>
      <c r="M1034" s="3">
        <f>IF(K1034=1,SUMPRODUCT(--($L$8:$L$1207&lt;L1034))+1,"")</f>
        <v/>
      </c>
      <c r="N1034" s="17">
        <f>IF(K1034=1,N('ORDENES'!$M1030),0)</f>
        <v/>
      </c>
      <c r="O1034" s="17">
        <f>IF('ORDENES'!$T1030="preventiva",N1034,0)</f>
        <v/>
      </c>
      <c r="P1034" s="17">
        <f>IF('ORDENES'!$T1030="correctiva",N1034,0)</f>
        <v/>
      </c>
      <c r="Q1034" s="3">
        <f>IF(AND(K1034=1,'ORDENES'!$N1030="Pendiente"),1,0)</f>
        <v/>
      </c>
      <c r="R1034" s="3">
        <f>IF(Q1034=1,100000-N1034*1000+1027*0.01,9000000000000+1027)</f>
        <v/>
      </c>
      <c r="S1034" s="3">
        <f>IF(Q1034=1,SUMPRODUCT(--($R$8:$R$1207&lt;R1034))+1,"")</f>
        <v/>
      </c>
      <c r="T1034" s="12">
        <f>IF(K1034=1,'ORDENES'!$J1030,"")</f>
        <v/>
      </c>
    </row>
    <row r="1035">
      <c r="K1035" s="3">
        <f>IF(AND(IF($B$3="(todos)",TRUE,'ORDENES'!$O1031=$B$3),IF($D$3="(todos)",TRUE,'ORDENES'!$AF1031=$D$3),IF($F$3="(todos)",TRUE,'ORDENES'!$X1031=$F$3),IF($H$3="(todos)",TRUE,'ORDENES'!$W1031=$H$3),'ORDENES'!$AD1031=TRUE,'ORDENES'!$A1031&lt;&gt;""),1,0)</f>
        <v/>
      </c>
      <c r="L1035" s="3">
        <f>IF(K1035=1,IFERROR(MATCH('ORDENES'!$R1031,lista_dias,0),9)*1000000000+IFERROR(MATCH('ORDENES'!$AF1031,lista_turnos,0),9)*10000000+IFERROR(MATCH('ORDENES'!$AE1031,tblTecnicos[nombre],0),99)*100000+1028,9000000000000+1028)</f>
        <v/>
      </c>
      <c r="M1035" s="3">
        <f>IF(K1035=1,SUMPRODUCT(--($L$8:$L$1207&lt;L1035))+1,"")</f>
        <v/>
      </c>
      <c r="N1035" s="17">
        <f>IF(K1035=1,N('ORDENES'!$M1031),0)</f>
        <v/>
      </c>
      <c r="O1035" s="17">
        <f>IF('ORDENES'!$T1031="preventiva",N1035,0)</f>
        <v/>
      </c>
      <c r="P1035" s="17">
        <f>IF('ORDENES'!$T1031="correctiva",N1035,0)</f>
        <v/>
      </c>
      <c r="Q1035" s="3">
        <f>IF(AND(K1035=1,'ORDENES'!$N1031="Pendiente"),1,0)</f>
        <v/>
      </c>
      <c r="R1035" s="3">
        <f>IF(Q1035=1,100000-N1035*1000+1028*0.01,9000000000000+1028)</f>
        <v/>
      </c>
      <c r="S1035" s="3">
        <f>IF(Q1035=1,SUMPRODUCT(--($R$8:$R$1207&lt;R1035))+1,"")</f>
        <v/>
      </c>
      <c r="T1035" s="12">
        <f>IF(K1035=1,'ORDENES'!$J1031,"")</f>
        <v/>
      </c>
    </row>
    <row r="1036">
      <c r="K1036" s="3">
        <f>IF(AND(IF($B$3="(todos)",TRUE,'ORDENES'!$O1032=$B$3),IF($D$3="(todos)",TRUE,'ORDENES'!$AF1032=$D$3),IF($F$3="(todos)",TRUE,'ORDENES'!$X1032=$F$3),IF($H$3="(todos)",TRUE,'ORDENES'!$W1032=$H$3),'ORDENES'!$AD1032=TRUE,'ORDENES'!$A1032&lt;&gt;""),1,0)</f>
        <v/>
      </c>
      <c r="L1036" s="3">
        <f>IF(K1036=1,IFERROR(MATCH('ORDENES'!$R1032,lista_dias,0),9)*1000000000+IFERROR(MATCH('ORDENES'!$AF1032,lista_turnos,0),9)*10000000+IFERROR(MATCH('ORDENES'!$AE1032,tblTecnicos[nombre],0),99)*100000+1029,9000000000000+1029)</f>
        <v/>
      </c>
      <c r="M1036" s="3">
        <f>IF(K1036=1,SUMPRODUCT(--($L$8:$L$1207&lt;L1036))+1,"")</f>
        <v/>
      </c>
      <c r="N1036" s="17">
        <f>IF(K1036=1,N('ORDENES'!$M1032),0)</f>
        <v/>
      </c>
      <c r="O1036" s="17">
        <f>IF('ORDENES'!$T1032="preventiva",N1036,0)</f>
        <v/>
      </c>
      <c r="P1036" s="17">
        <f>IF('ORDENES'!$T1032="correctiva",N1036,0)</f>
        <v/>
      </c>
      <c r="Q1036" s="3">
        <f>IF(AND(K1036=1,'ORDENES'!$N1032="Pendiente"),1,0)</f>
        <v/>
      </c>
      <c r="R1036" s="3">
        <f>IF(Q1036=1,100000-N1036*1000+1029*0.01,9000000000000+1029)</f>
        <v/>
      </c>
      <c r="S1036" s="3">
        <f>IF(Q1036=1,SUMPRODUCT(--($R$8:$R$1207&lt;R1036))+1,"")</f>
        <v/>
      </c>
      <c r="T1036" s="12">
        <f>IF(K1036=1,'ORDENES'!$J1032,"")</f>
        <v/>
      </c>
    </row>
    <row r="1037">
      <c r="K1037" s="3">
        <f>IF(AND(IF($B$3="(todos)",TRUE,'ORDENES'!$O1033=$B$3),IF($D$3="(todos)",TRUE,'ORDENES'!$AF1033=$D$3),IF($F$3="(todos)",TRUE,'ORDENES'!$X1033=$F$3),IF($H$3="(todos)",TRUE,'ORDENES'!$W1033=$H$3),'ORDENES'!$AD1033=TRUE,'ORDENES'!$A1033&lt;&gt;""),1,0)</f>
        <v/>
      </c>
      <c r="L1037" s="3">
        <f>IF(K1037=1,IFERROR(MATCH('ORDENES'!$R1033,lista_dias,0),9)*1000000000+IFERROR(MATCH('ORDENES'!$AF1033,lista_turnos,0),9)*10000000+IFERROR(MATCH('ORDENES'!$AE1033,tblTecnicos[nombre],0),99)*100000+1030,9000000000000+1030)</f>
        <v/>
      </c>
      <c r="M1037" s="3">
        <f>IF(K1037=1,SUMPRODUCT(--($L$8:$L$1207&lt;L1037))+1,"")</f>
        <v/>
      </c>
      <c r="N1037" s="17">
        <f>IF(K1037=1,N('ORDENES'!$M1033),0)</f>
        <v/>
      </c>
      <c r="O1037" s="17">
        <f>IF('ORDENES'!$T1033="preventiva",N1037,0)</f>
        <v/>
      </c>
      <c r="P1037" s="17">
        <f>IF('ORDENES'!$T1033="correctiva",N1037,0)</f>
        <v/>
      </c>
      <c r="Q1037" s="3">
        <f>IF(AND(K1037=1,'ORDENES'!$N1033="Pendiente"),1,0)</f>
        <v/>
      </c>
      <c r="R1037" s="3">
        <f>IF(Q1037=1,100000-N1037*1000+1030*0.01,9000000000000+1030)</f>
        <v/>
      </c>
      <c r="S1037" s="3">
        <f>IF(Q1037=1,SUMPRODUCT(--($R$8:$R$1207&lt;R1037))+1,"")</f>
        <v/>
      </c>
      <c r="T1037" s="12">
        <f>IF(K1037=1,'ORDENES'!$J1033,"")</f>
        <v/>
      </c>
    </row>
    <row r="1038">
      <c r="K1038" s="3">
        <f>IF(AND(IF($B$3="(todos)",TRUE,'ORDENES'!$O1034=$B$3),IF($D$3="(todos)",TRUE,'ORDENES'!$AF1034=$D$3),IF($F$3="(todos)",TRUE,'ORDENES'!$X1034=$F$3),IF($H$3="(todos)",TRUE,'ORDENES'!$W1034=$H$3),'ORDENES'!$AD1034=TRUE,'ORDENES'!$A1034&lt;&gt;""),1,0)</f>
        <v/>
      </c>
      <c r="L1038" s="3">
        <f>IF(K1038=1,IFERROR(MATCH('ORDENES'!$R1034,lista_dias,0),9)*1000000000+IFERROR(MATCH('ORDENES'!$AF1034,lista_turnos,0),9)*10000000+IFERROR(MATCH('ORDENES'!$AE1034,tblTecnicos[nombre],0),99)*100000+1031,9000000000000+1031)</f>
        <v/>
      </c>
      <c r="M1038" s="3">
        <f>IF(K1038=1,SUMPRODUCT(--($L$8:$L$1207&lt;L1038))+1,"")</f>
        <v/>
      </c>
      <c r="N1038" s="17">
        <f>IF(K1038=1,N('ORDENES'!$M1034),0)</f>
        <v/>
      </c>
      <c r="O1038" s="17">
        <f>IF('ORDENES'!$T1034="preventiva",N1038,0)</f>
        <v/>
      </c>
      <c r="P1038" s="17">
        <f>IF('ORDENES'!$T1034="correctiva",N1038,0)</f>
        <v/>
      </c>
      <c r="Q1038" s="3">
        <f>IF(AND(K1038=1,'ORDENES'!$N1034="Pendiente"),1,0)</f>
        <v/>
      </c>
      <c r="R1038" s="3">
        <f>IF(Q1038=1,100000-N1038*1000+1031*0.01,9000000000000+1031)</f>
        <v/>
      </c>
      <c r="S1038" s="3">
        <f>IF(Q1038=1,SUMPRODUCT(--($R$8:$R$1207&lt;R1038))+1,"")</f>
        <v/>
      </c>
      <c r="T1038" s="12">
        <f>IF(K1038=1,'ORDENES'!$J1034,"")</f>
        <v/>
      </c>
    </row>
    <row r="1039">
      <c r="K1039" s="3">
        <f>IF(AND(IF($B$3="(todos)",TRUE,'ORDENES'!$O1035=$B$3),IF($D$3="(todos)",TRUE,'ORDENES'!$AF1035=$D$3),IF($F$3="(todos)",TRUE,'ORDENES'!$X1035=$F$3),IF($H$3="(todos)",TRUE,'ORDENES'!$W1035=$H$3),'ORDENES'!$AD1035=TRUE,'ORDENES'!$A1035&lt;&gt;""),1,0)</f>
        <v/>
      </c>
      <c r="L1039" s="3">
        <f>IF(K1039=1,IFERROR(MATCH('ORDENES'!$R1035,lista_dias,0),9)*1000000000+IFERROR(MATCH('ORDENES'!$AF1035,lista_turnos,0),9)*10000000+IFERROR(MATCH('ORDENES'!$AE1035,tblTecnicos[nombre],0),99)*100000+1032,9000000000000+1032)</f>
        <v/>
      </c>
      <c r="M1039" s="3">
        <f>IF(K1039=1,SUMPRODUCT(--($L$8:$L$1207&lt;L1039))+1,"")</f>
        <v/>
      </c>
      <c r="N1039" s="17">
        <f>IF(K1039=1,N('ORDENES'!$M1035),0)</f>
        <v/>
      </c>
      <c r="O1039" s="17">
        <f>IF('ORDENES'!$T1035="preventiva",N1039,0)</f>
        <v/>
      </c>
      <c r="P1039" s="17">
        <f>IF('ORDENES'!$T1035="correctiva",N1039,0)</f>
        <v/>
      </c>
      <c r="Q1039" s="3">
        <f>IF(AND(K1039=1,'ORDENES'!$N1035="Pendiente"),1,0)</f>
        <v/>
      </c>
      <c r="R1039" s="3">
        <f>IF(Q1039=1,100000-N1039*1000+1032*0.01,9000000000000+1032)</f>
        <v/>
      </c>
      <c r="S1039" s="3">
        <f>IF(Q1039=1,SUMPRODUCT(--($R$8:$R$1207&lt;R1039))+1,"")</f>
        <v/>
      </c>
      <c r="T1039" s="12">
        <f>IF(K1039=1,'ORDENES'!$J1035,"")</f>
        <v/>
      </c>
    </row>
    <row r="1040">
      <c r="K1040" s="3">
        <f>IF(AND(IF($B$3="(todos)",TRUE,'ORDENES'!$O1036=$B$3),IF($D$3="(todos)",TRUE,'ORDENES'!$AF1036=$D$3),IF($F$3="(todos)",TRUE,'ORDENES'!$X1036=$F$3),IF($H$3="(todos)",TRUE,'ORDENES'!$W1036=$H$3),'ORDENES'!$AD1036=TRUE,'ORDENES'!$A1036&lt;&gt;""),1,0)</f>
        <v/>
      </c>
      <c r="L1040" s="3">
        <f>IF(K1040=1,IFERROR(MATCH('ORDENES'!$R1036,lista_dias,0),9)*1000000000+IFERROR(MATCH('ORDENES'!$AF1036,lista_turnos,0),9)*10000000+IFERROR(MATCH('ORDENES'!$AE1036,tblTecnicos[nombre],0),99)*100000+1033,9000000000000+1033)</f>
        <v/>
      </c>
      <c r="M1040" s="3">
        <f>IF(K1040=1,SUMPRODUCT(--($L$8:$L$1207&lt;L1040))+1,"")</f>
        <v/>
      </c>
      <c r="N1040" s="17">
        <f>IF(K1040=1,N('ORDENES'!$M1036),0)</f>
        <v/>
      </c>
      <c r="O1040" s="17">
        <f>IF('ORDENES'!$T1036="preventiva",N1040,0)</f>
        <v/>
      </c>
      <c r="P1040" s="17">
        <f>IF('ORDENES'!$T1036="correctiva",N1040,0)</f>
        <v/>
      </c>
      <c r="Q1040" s="3">
        <f>IF(AND(K1040=1,'ORDENES'!$N1036="Pendiente"),1,0)</f>
        <v/>
      </c>
      <c r="R1040" s="3">
        <f>IF(Q1040=1,100000-N1040*1000+1033*0.01,9000000000000+1033)</f>
        <v/>
      </c>
      <c r="S1040" s="3">
        <f>IF(Q1040=1,SUMPRODUCT(--($R$8:$R$1207&lt;R1040))+1,"")</f>
        <v/>
      </c>
      <c r="T1040" s="12">
        <f>IF(K1040=1,'ORDENES'!$J1036,"")</f>
        <v/>
      </c>
    </row>
    <row r="1041">
      <c r="K1041" s="3">
        <f>IF(AND(IF($B$3="(todos)",TRUE,'ORDENES'!$O1037=$B$3),IF($D$3="(todos)",TRUE,'ORDENES'!$AF1037=$D$3),IF($F$3="(todos)",TRUE,'ORDENES'!$X1037=$F$3),IF($H$3="(todos)",TRUE,'ORDENES'!$W1037=$H$3),'ORDENES'!$AD1037=TRUE,'ORDENES'!$A1037&lt;&gt;""),1,0)</f>
        <v/>
      </c>
      <c r="L1041" s="3">
        <f>IF(K1041=1,IFERROR(MATCH('ORDENES'!$R1037,lista_dias,0),9)*1000000000+IFERROR(MATCH('ORDENES'!$AF1037,lista_turnos,0),9)*10000000+IFERROR(MATCH('ORDENES'!$AE1037,tblTecnicos[nombre],0),99)*100000+1034,9000000000000+1034)</f>
        <v/>
      </c>
      <c r="M1041" s="3">
        <f>IF(K1041=1,SUMPRODUCT(--($L$8:$L$1207&lt;L1041))+1,"")</f>
        <v/>
      </c>
      <c r="N1041" s="17">
        <f>IF(K1041=1,N('ORDENES'!$M1037),0)</f>
        <v/>
      </c>
      <c r="O1041" s="17">
        <f>IF('ORDENES'!$T1037="preventiva",N1041,0)</f>
        <v/>
      </c>
      <c r="P1041" s="17">
        <f>IF('ORDENES'!$T1037="correctiva",N1041,0)</f>
        <v/>
      </c>
      <c r="Q1041" s="3">
        <f>IF(AND(K1041=1,'ORDENES'!$N1037="Pendiente"),1,0)</f>
        <v/>
      </c>
      <c r="R1041" s="3">
        <f>IF(Q1041=1,100000-N1041*1000+1034*0.01,9000000000000+1034)</f>
        <v/>
      </c>
      <c r="S1041" s="3">
        <f>IF(Q1041=1,SUMPRODUCT(--($R$8:$R$1207&lt;R1041))+1,"")</f>
        <v/>
      </c>
      <c r="T1041" s="12">
        <f>IF(K1041=1,'ORDENES'!$J1037,"")</f>
        <v/>
      </c>
    </row>
    <row r="1042">
      <c r="K1042" s="3">
        <f>IF(AND(IF($B$3="(todos)",TRUE,'ORDENES'!$O1038=$B$3),IF($D$3="(todos)",TRUE,'ORDENES'!$AF1038=$D$3),IF($F$3="(todos)",TRUE,'ORDENES'!$X1038=$F$3),IF($H$3="(todos)",TRUE,'ORDENES'!$W1038=$H$3),'ORDENES'!$AD1038=TRUE,'ORDENES'!$A1038&lt;&gt;""),1,0)</f>
        <v/>
      </c>
      <c r="L1042" s="3">
        <f>IF(K1042=1,IFERROR(MATCH('ORDENES'!$R1038,lista_dias,0),9)*1000000000+IFERROR(MATCH('ORDENES'!$AF1038,lista_turnos,0),9)*10000000+IFERROR(MATCH('ORDENES'!$AE1038,tblTecnicos[nombre],0),99)*100000+1035,9000000000000+1035)</f>
        <v/>
      </c>
      <c r="M1042" s="3">
        <f>IF(K1042=1,SUMPRODUCT(--($L$8:$L$1207&lt;L1042))+1,"")</f>
        <v/>
      </c>
      <c r="N1042" s="17">
        <f>IF(K1042=1,N('ORDENES'!$M1038),0)</f>
        <v/>
      </c>
      <c r="O1042" s="17">
        <f>IF('ORDENES'!$T1038="preventiva",N1042,0)</f>
        <v/>
      </c>
      <c r="P1042" s="17">
        <f>IF('ORDENES'!$T1038="correctiva",N1042,0)</f>
        <v/>
      </c>
      <c r="Q1042" s="3">
        <f>IF(AND(K1042=1,'ORDENES'!$N1038="Pendiente"),1,0)</f>
        <v/>
      </c>
      <c r="R1042" s="3">
        <f>IF(Q1042=1,100000-N1042*1000+1035*0.01,9000000000000+1035)</f>
        <v/>
      </c>
      <c r="S1042" s="3">
        <f>IF(Q1042=1,SUMPRODUCT(--($R$8:$R$1207&lt;R1042))+1,"")</f>
        <v/>
      </c>
      <c r="T1042" s="12">
        <f>IF(K1042=1,'ORDENES'!$J1038,"")</f>
        <v/>
      </c>
    </row>
    <row r="1043">
      <c r="K1043" s="3">
        <f>IF(AND(IF($B$3="(todos)",TRUE,'ORDENES'!$O1039=$B$3),IF($D$3="(todos)",TRUE,'ORDENES'!$AF1039=$D$3),IF($F$3="(todos)",TRUE,'ORDENES'!$X1039=$F$3),IF($H$3="(todos)",TRUE,'ORDENES'!$W1039=$H$3),'ORDENES'!$AD1039=TRUE,'ORDENES'!$A1039&lt;&gt;""),1,0)</f>
        <v/>
      </c>
      <c r="L1043" s="3">
        <f>IF(K1043=1,IFERROR(MATCH('ORDENES'!$R1039,lista_dias,0),9)*1000000000+IFERROR(MATCH('ORDENES'!$AF1039,lista_turnos,0),9)*10000000+IFERROR(MATCH('ORDENES'!$AE1039,tblTecnicos[nombre],0),99)*100000+1036,9000000000000+1036)</f>
        <v/>
      </c>
      <c r="M1043" s="3">
        <f>IF(K1043=1,SUMPRODUCT(--($L$8:$L$1207&lt;L1043))+1,"")</f>
        <v/>
      </c>
      <c r="N1043" s="17">
        <f>IF(K1043=1,N('ORDENES'!$M1039),0)</f>
        <v/>
      </c>
      <c r="O1043" s="17">
        <f>IF('ORDENES'!$T1039="preventiva",N1043,0)</f>
        <v/>
      </c>
      <c r="P1043" s="17">
        <f>IF('ORDENES'!$T1039="correctiva",N1043,0)</f>
        <v/>
      </c>
      <c r="Q1043" s="3">
        <f>IF(AND(K1043=1,'ORDENES'!$N1039="Pendiente"),1,0)</f>
        <v/>
      </c>
      <c r="R1043" s="3">
        <f>IF(Q1043=1,100000-N1043*1000+1036*0.01,9000000000000+1036)</f>
        <v/>
      </c>
      <c r="S1043" s="3">
        <f>IF(Q1043=1,SUMPRODUCT(--($R$8:$R$1207&lt;R1043))+1,"")</f>
        <v/>
      </c>
      <c r="T1043" s="12">
        <f>IF(K1043=1,'ORDENES'!$J1039,"")</f>
        <v/>
      </c>
    </row>
    <row r="1044">
      <c r="K1044" s="3">
        <f>IF(AND(IF($B$3="(todos)",TRUE,'ORDENES'!$O1040=$B$3),IF($D$3="(todos)",TRUE,'ORDENES'!$AF1040=$D$3),IF($F$3="(todos)",TRUE,'ORDENES'!$X1040=$F$3),IF($H$3="(todos)",TRUE,'ORDENES'!$W1040=$H$3),'ORDENES'!$AD1040=TRUE,'ORDENES'!$A1040&lt;&gt;""),1,0)</f>
        <v/>
      </c>
      <c r="L1044" s="3">
        <f>IF(K1044=1,IFERROR(MATCH('ORDENES'!$R1040,lista_dias,0),9)*1000000000+IFERROR(MATCH('ORDENES'!$AF1040,lista_turnos,0),9)*10000000+IFERROR(MATCH('ORDENES'!$AE1040,tblTecnicos[nombre],0),99)*100000+1037,9000000000000+1037)</f>
        <v/>
      </c>
      <c r="M1044" s="3">
        <f>IF(K1044=1,SUMPRODUCT(--($L$8:$L$1207&lt;L1044))+1,"")</f>
        <v/>
      </c>
      <c r="N1044" s="17">
        <f>IF(K1044=1,N('ORDENES'!$M1040),0)</f>
        <v/>
      </c>
      <c r="O1044" s="17">
        <f>IF('ORDENES'!$T1040="preventiva",N1044,0)</f>
        <v/>
      </c>
      <c r="P1044" s="17">
        <f>IF('ORDENES'!$T1040="correctiva",N1044,0)</f>
        <v/>
      </c>
      <c r="Q1044" s="3">
        <f>IF(AND(K1044=1,'ORDENES'!$N1040="Pendiente"),1,0)</f>
        <v/>
      </c>
      <c r="R1044" s="3">
        <f>IF(Q1044=1,100000-N1044*1000+1037*0.01,9000000000000+1037)</f>
        <v/>
      </c>
      <c r="S1044" s="3">
        <f>IF(Q1044=1,SUMPRODUCT(--($R$8:$R$1207&lt;R1044))+1,"")</f>
        <v/>
      </c>
      <c r="T1044" s="12">
        <f>IF(K1044=1,'ORDENES'!$J1040,"")</f>
        <v/>
      </c>
    </row>
    <row r="1045">
      <c r="K1045" s="3">
        <f>IF(AND(IF($B$3="(todos)",TRUE,'ORDENES'!$O1041=$B$3),IF($D$3="(todos)",TRUE,'ORDENES'!$AF1041=$D$3),IF($F$3="(todos)",TRUE,'ORDENES'!$X1041=$F$3),IF($H$3="(todos)",TRUE,'ORDENES'!$W1041=$H$3),'ORDENES'!$AD1041=TRUE,'ORDENES'!$A1041&lt;&gt;""),1,0)</f>
        <v/>
      </c>
      <c r="L1045" s="3">
        <f>IF(K1045=1,IFERROR(MATCH('ORDENES'!$R1041,lista_dias,0),9)*1000000000+IFERROR(MATCH('ORDENES'!$AF1041,lista_turnos,0),9)*10000000+IFERROR(MATCH('ORDENES'!$AE1041,tblTecnicos[nombre],0),99)*100000+1038,9000000000000+1038)</f>
        <v/>
      </c>
      <c r="M1045" s="3">
        <f>IF(K1045=1,SUMPRODUCT(--($L$8:$L$1207&lt;L1045))+1,"")</f>
        <v/>
      </c>
      <c r="N1045" s="17">
        <f>IF(K1045=1,N('ORDENES'!$M1041),0)</f>
        <v/>
      </c>
      <c r="O1045" s="17">
        <f>IF('ORDENES'!$T1041="preventiva",N1045,0)</f>
        <v/>
      </c>
      <c r="P1045" s="17">
        <f>IF('ORDENES'!$T1041="correctiva",N1045,0)</f>
        <v/>
      </c>
      <c r="Q1045" s="3">
        <f>IF(AND(K1045=1,'ORDENES'!$N1041="Pendiente"),1,0)</f>
        <v/>
      </c>
      <c r="R1045" s="3">
        <f>IF(Q1045=1,100000-N1045*1000+1038*0.01,9000000000000+1038)</f>
        <v/>
      </c>
      <c r="S1045" s="3">
        <f>IF(Q1045=1,SUMPRODUCT(--($R$8:$R$1207&lt;R1045))+1,"")</f>
        <v/>
      </c>
      <c r="T1045" s="12">
        <f>IF(K1045=1,'ORDENES'!$J1041,"")</f>
        <v/>
      </c>
    </row>
    <row r="1046">
      <c r="K1046" s="3">
        <f>IF(AND(IF($B$3="(todos)",TRUE,'ORDENES'!$O1042=$B$3),IF($D$3="(todos)",TRUE,'ORDENES'!$AF1042=$D$3),IF($F$3="(todos)",TRUE,'ORDENES'!$X1042=$F$3),IF($H$3="(todos)",TRUE,'ORDENES'!$W1042=$H$3),'ORDENES'!$AD1042=TRUE,'ORDENES'!$A1042&lt;&gt;""),1,0)</f>
        <v/>
      </c>
      <c r="L1046" s="3">
        <f>IF(K1046=1,IFERROR(MATCH('ORDENES'!$R1042,lista_dias,0),9)*1000000000+IFERROR(MATCH('ORDENES'!$AF1042,lista_turnos,0),9)*10000000+IFERROR(MATCH('ORDENES'!$AE1042,tblTecnicos[nombre],0),99)*100000+1039,9000000000000+1039)</f>
        <v/>
      </c>
      <c r="M1046" s="3">
        <f>IF(K1046=1,SUMPRODUCT(--($L$8:$L$1207&lt;L1046))+1,"")</f>
        <v/>
      </c>
      <c r="N1046" s="17">
        <f>IF(K1046=1,N('ORDENES'!$M1042),0)</f>
        <v/>
      </c>
      <c r="O1046" s="17">
        <f>IF('ORDENES'!$T1042="preventiva",N1046,0)</f>
        <v/>
      </c>
      <c r="P1046" s="17">
        <f>IF('ORDENES'!$T1042="correctiva",N1046,0)</f>
        <v/>
      </c>
      <c r="Q1046" s="3">
        <f>IF(AND(K1046=1,'ORDENES'!$N1042="Pendiente"),1,0)</f>
        <v/>
      </c>
      <c r="R1046" s="3">
        <f>IF(Q1046=1,100000-N1046*1000+1039*0.01,9000000000000+1039)</f>
        <v/>
      </c>
      <c r="S1046" s="3">
        <f>IF(Q1046=1,SUMPRODUCT(--($R$8:$R$1207&lt;R1046))+1,"")</f>
        <v/>
      </c>
      <c r="T1046" s="12">
        <f>IF(K1046=1,'ORDENES'!$J1042,"")</f>
        <v/>
      </c>
    </row>
    <row r="1047">
      <c r="K1047" s="3">
        <f>IF(AND(IF($B$3="(todos)",TRUE,'ORDENES'!$O1043=$B$3),IF($D$3="(todos)",TRUE,'ORDENES'!$AF1043=$D$3),IF($F$3="(todos)",TRUE,'ORDENES'!$X1043=$F$3),IF($H$3="(todos)",TRUE,'ORDENES'!$W1043=$H$3),'ORDENES'!$AD1043=TRUE,'ORDENES'!$A1043&lt;&gt;""),1,0)</f>
        <v/>
      </c>
      <c r="L1047" s="3">
        <f>IF(K1047=1,IFERROR(MATCH('ORDENES'!$R1043,lista_dias,0),9)*1000000000+IFERROR(MATCH('ORDENES'!$AF1043,lista_turnos,0),9)*10000000+IFERROR(MATCH('ORDENES'!$AE1043,tblTecnicos[nombre],0),99)*100000+1040,9000000000000+1040)</f>
        <v/>
      </c>
      <c r="M1047" s="3">
        <f>IF(K1047=1,SUMPRODUCT(--($L$8:$L$1207&lt;L1047))+1,"")</f>
        <v/>
      </c>
      <c r="N1047" s="17">
        <f>IF(K1047=1,N('ORDENES'!$M1043),0)</f>
        <v/>
      </c>
      <c r="O1047" s="17">
        <f>IF('ORDENES'!$T1043="preventiva",N1047,0)</f>
        <v/>
      </c>
      <c r="P1047" s="17">
        <f>IF('ORDENES'!$T1043="correctiva",N1047,0)</f>
        <v/>
      </c>
      <c r="Q1047" s="3">
        <f>IF(AND(K1047=1,'ORDENES'!$N1043="Pendiente"),1,0)</f>
        <v/>
      </c>
      <c r="R1047" s="3">
        <f>IF(Q1047=1,100000-N1047*1000+1040*0.01,9000000000000+1040)</f>
        <v/>
      </c>
      <c r="S1047" s="3">
        <f>IF(Q1047=1,SUMPRODUCT(--($R$8:$R$1207&lt;R1047))+1,"")</f>
        <v/>
      </c>
      <c r="T1047" s="12">
        <f>IF(K1047=1,'ORDENES'!$J1043,"")</f>
        <v/>
      </c>
    </row>
    <row r="1048">
      <c r="K1048" s="3">
        <f>IF(AND(IF($B$3="(todos)",TRUE,'ORDENES'!$O1044=$B$3),IF($D$3="(todos)",TRUE,'ORDENES'!$AF1044=$D$3),IF($F$3="(todos)",TRUE,'ORDENES'!$X1044=$F$3),IF($H$3="(todos)",TRUE,'ORDENES'!$W1044=$H$3),'ORDENES'!$AD1044=TRUE,'ORDENES'!$A1044&lt;&gt;""),1,0)</f>
        <v/>
      </c>
      <c r="L1048" s="3">
        <f>IF(K1048=1,IFERROR(MATCH('ORDENES'!$R1044,lista_dias,0),9)*1000000000+IFERROR(MATCH('ORDENES'!$AF1044,lista_turnos,0),9)*10000000+IFERROR(MATCH('ORDENES'!$AE1044,tblTecnicos[nombre],0),99)*100000+1041,9000000000000+1041)</f>
        <v/>
      </c>
      <c r="M1048" s="3">
        <f>IF(K1048=1,SUMPRODUCT(--($L$8:$L$1207&lt;L1048))+1,"")</f>
        <v/>
      </c>
      <c r="N1048" s="17">
        <f>IF(K1048=1,N('ORDENES'!$M1044),0)</f>
        <v/>
      </c>
      <c r="O1048" s="17">
        <f>IF('ORDENES'!$T1044="preventiva",N1048,0)</f>
        <v/>
      </c>
      <c r="P1048" s="17">
        <f>IF('ORDENES'!$T1044="correctiva",N1048,0)</f>
        <v/>
      </c>
      <c r="Q1048" s="3">
        <f>IF(AND(K1048=1,'ORDENES'!$N1044="Pendiente"),1,0)</f>
        <v/>
      </c>
      <c r="R1048" s="3">
        <f>IF(Q1048=1,100000-N1048*1000+1041*0.01,9000000000000+1041)</f>
        <v/>
      </c>
      <c r="S1048" s="3">
        <f>IF(Q1048=1,SUMPRODUCT(--($R$8:$R$1207&lt;R1048))+1,"")</f>
        <v/>
      </c>
      <c r="T1048" s="12">
        <f>IF(K1048=1,'ORDENES'!$J1044,"")</f>
        <v/>
      </c>
    </row>
    <row r="1049">
      <c r="K1049" s="3">
        <f>IF(AND(IF($B$3="(todos)",TRUE,'ORDENES'!$O1045=$B$3),IF($D$3="(todos)",TRUE,'ORDENES'!$AF1045=$D$3),IF($F$3="(todos)",TRUE,'ORDENES'!$X1045=$F$3),IF($H$3="(todos)",TRUE,'ORDENES'!$W1045=$H$3),'ORDENES'!$AD1045=TRUE,'ORDENES'!$A1045&lt;&gt;""),1,0)</f>
        <v/>
      </c>
      <c r="L1049" s="3">
        <f>IF(K1049=1,IFERROR(MATCH('ORDENES'!$R1045,lista_dias,0),9)*1000000000+IFERROR(MATCH('ORDENES'!$AF1045,lista_turnos,0),9)*10000000+IFERROR(MATCH('ORDENES'!$AE1045,tblTecnicos[nombre],0),99)*100000+1042,9000000000000+1042)</f>
        <v/>
      </c>
      <c r="M1049" s="3">
        <f>IF(K1049=1,SUMPRODUCT(--($L$8:$L$1207&lt;L1049))+1,"")</f>
        <v/>
      </c>
      <c r="N1049" s="17">
        <f>IF(K1049=1,N('ORDENES'!$M1045),0)</f>
        <v/>
      </c>
      <c r="O1049" s="17">
        <f>IF('ORDENES'!$T1045="preventiva",N1049,0)</f>
        <v/>
      </c>
      <c r="P1049" s="17">
        <f>IF('ORDENES'!$T1045="correctiva",N1049,0)</f>
        <v/>
      </c>
      <c r="Q1049" s="3">
        <f>IF(AND(K1049=1,'ORDENES'!$N1045="Pendiente"),1,0)</f>
        <v/>
      </c>
      <c r="R1049" s="3">
        <f>IF(Q1049=1,100000-N1049*1000+1042*0.01,9000000000000+1042)</f>
        <v/>
      </c>
      <c r="S1049" s="3">
        <f>IF(Q1049=1,SUMPRODUCT(--($R$8:$R$1207&lt;R1049))+1,"")</f>
        <v/>
      </c>
      <c r="T1049" s="12">
        <f>IF(K1049=1,'ORDENES'!$J1045,"")</f>
        <v/>
      </c>
    </row>
    <row r="1050">
      <c r="K1050" s="3">
        <f>IF(AND(IF($B$3="(todos)",TRUE,'ORDENES'!$O1046=$B$3),IF($D$3="(todos)",TRUE,'ORDENES'!$AF1046=$D$3),IF($F$3="(todos)",TRUE,'ORDENES'!$X1046=$F$3),IF($H$3="(todos)",TRUE,'ORDENES'!$W1046=$H$3),'ORDENES'!$AD1046=TRUE,'ORDENES'!$A1046&lt;&gt;""),1,0)</f>
        <v/>
      </c>
      <c r="L1050" s="3">
        <f>IF(K1050=1,IFERROR(MATCH('ORDENES'!$R1046,lista_dias,0),9)*1000000000+IFERROR(MATCH('ORDENES'!$AF1046,lista_turnos,0),9)*10000000+IFERROR(MATCH('ORDENES'!$AE1046,tblTecnicos[nombre],0),99)*100000+1043,9000000000000+1043)</f>
        <v/>
      </c>
      <c r="M1050" s="3">
        <f>IF(K1050=1,SUMPRODUCT(--($L$8:$L$1207&lt;L1050))+1,"")</f>
        <v/>
      </c>
      <c r="N1050" s="17">
        <f>IF(K1050=1,N('ORDENES'!$M1046),0)</f>
        <v/>
      </c>
      <c r="O1050" s="17">
        <f>IF('ORDENES'!$T1046="preventiva",N1050,0)</f>
        <v/>
      </c>
      <c r="P1050" s="17">
        <f>IF('ORDENES'!$T1046="correctiva",N1050,0)</f>
        <v/>
      </c>
      <c r="Q1050" s="3">
        <f>IF(AND(K1050=1,'ORDENES'!$N1046="Pendiente"),1,0)</f>
        <v/>
      </c>
      <c r="R1050" s="3">
        <f>IF(Q1050=1,100000-N1050*1000+1043*0.01,9000000000000+1043)</f>
        <v/>
      </c>
      <c r="S1050" s="3">
        <f>IF(Q1050=1,SUMPRODUCT(--($R$8:$R$1207&lt;R1050))+1,"")</f>
        <v/>
      </c>
      <c r="T1050" s="12">
        <f>IF(K1050=1,'ORDENES'!$J1046,"")</f>
        <v/>
      </c>
    </row>
    <row r="1051">
      <c r="K1051" s="3">
        <f>IF(AND(IF($B$3="(todos)",TRUE,'ORDENES'!$O1047=$B$3),IF($D$3="(todos)",TRUE,'ORDENES'!$AF1047=$D$3),IF($F$3="(todos)",TRUE,'ORDENES'!$X1047=$F$3),IF($H$3="(todos)",TRUE,'ORDENES'!$W1047=$H$3),'ORDENES'!$AD1047=TRUE,'ORDENES'!$A1047&lt;&gt;""),1,0)</f>
        <v/>
      </c>
      <c r="L1051" s="3">
        <f>IF(K1051=1,IFERROR(MATCH('ORDENES'!$R1047,lista_dias,0),9)*1000000000+IFERROR(MATCH('ORDENES'!$AF1047,lista_turnos,0),9)*10000000+IFERROR(MATCH('ORDENES'!$AE1047,tblTecnicos[nombre],0),99)*100000+1044,9000000000000+1044)</f>
        <v/>
      </c>
      <c r="M1051" s="3">
        <f>IF(K1051=1,SUMPRODUCT(--($L$8:$L$1207&lt;L1051))+1,"")</f>
        <v/>
      </c>
      <c r="N1051" s="17">
        <f>IF(K1051=1,N('ORDENES'!$M1047),0)</f>
        <v/>
      </c>
      <c r="O1051" s="17">
        <f>IF('ORDENES'!$T1047="preventiva",N1051,0)</f>
        <v/>
      </c>
      <c r="P1051" s="17">
        <f>IF('ORDENES'!$T1047="correctiva",N1051,0)</f>
        <v/>
      </c>
      <c r="Q1051" s="3">
        <f>IF(AND(K1051=1,'ORDENES'!$N1047="Pendiente"),1,0)</f>
        <v/>
      </c>
      <c r="R1051" s="3">
        <f>IF(Q1051=1,100000-N1051*1000+1044*0.01,9000000000000+1044)</f>
        <v/>
      </c>
      <c r="S1051" s="3">
        <f>IF(Q1051=1,SUMPRODUCT(--($R$8:$R$1207&lt;R1051))+1,"")</f>
        <v/>
      </c>
      <c r="T1051" s="12">
        <f>IF(K1051=1,'ORDENES'!$J1047,"")</f>
        <v/>
      </c>
    </row>
    <row r="1052">
      <c r="K1052" s="3">
        <f>IF(AND(IF($B$3="(todos)",TRUE,'ORDENES'!$O1048=$B$3),IF($D$3="(todos)",TRUE,'ORDENES'!$AF1048=$D$3),IF($F$3="(todos)",TRUE,'ORDENES'!$X1048=$F$3),IF($H$3="(todos)",TRUE,'ORDENES'!$W1048=$H$3),'ORDENES'!$AD1048=TRUE,'ORDENES'!$A1048&lt;&gt;""),1,0)</f>
        <v/>
      </c>
      <c r="L1052" s="3">
        <f>IF(K1052=1,IFERROR(MATCH('ORDENES'!$R1048,lista_dias,0),9)*1000000000+IFERROR(MATCH('ORDENES'!$AF1048,lista_turnos,0),9)*10000000+IFERROR(MATCH('ORDENES'!$AE1048,tblTecnicos[nombre],0),99)*100000+1045,9000000000000+1045)</f>
        <v/>
      </c>
      <c r="M1052" s="3">
        <f>IF(K1052=1,SUMPRODUCT(--($L$8:$L$1207&lt;L1052))+1,"")</f>
        <v/>
      </c>
      <c r="N1052" s="17">
        <f>IF(K1052=1,N('ORDENES'!$M1048),0)</f>
        <v/>
      </c>
      <c r="O1052" s="17">
        <f>IF('ORDENES'!$T1048="preventiva",N1052,0)</f>
        <v/>
      </c>
      <c r="P1052" s="17">
        <f>IF('ORDENES'!$T1048="correctiva",N1052,0)</f>
        <v/>
      </c>
      <c r="Q1052" s="3">
        <f>IF(AND(K1052=1,'ORDENES'!$N1048="Pendiente"),1,0)</f>
        <v/>
      </c>
      <c r="R1052" s="3">
        <f>IF(Q1052=1,100000-N1052*1000+1045*0.01,9000000000000+1045)</f>
        <v/>
      </c>
      <c r="S1052" s="3">
        <f>IF(Q1052=1,SUMPRODUCT(--($R$8:$R$1207&lt;R1052))+1,"")</f>
        <v/>
      </c>
      <c r="T1052" s="12">
        <f>IF(K1052=1,'ORDENES'!$J1048,"")</f>
        <v/>
      </c>
    </row>
    <row r="1053">
      <c r="K1053" s="3">
        <f>IF(AND(IF($B$3="(todos)",TRUE,'ORDENES'!$O1049=$B$3),IF($D$3="(todos)",TRUE,'ORDENES'!$AF1049=$D$3),IF($F$3="(todos)",TRUE,'ORDENES'!$X1049=$F$3),IF($H$3="(todos)",TRUE,'ORDENES'!$W1049=$H$3),'ORDENES'!$AD1049=TRUE,'ORDENES'!$A1049&lt;&gt;""),1,0)</f>
        <v/>
      </c>
      <c r="L1053" s="3">
        <f>IF(K1053=1,IFERROR(MATCH('ORDENES'!$R1049,lista_dias,0),9)*1000000000+IFERROR(MATCH('ORDENES'!$AF1049,lista_turnos,0),9)*10000000+IFERROR(MATCH('ORDENES'!$AE1049,tblTecnicos[nombre],0),99)*100000+1046,9000000000000+1046)</f>
        <v/>
      </c>
      <c r="M1053" s="3">
        <f>IF(K1053=1,SUMPRODUCT(--($L$8:$L$1207&lt;L1053))+1,"")</f>
        <v/>
      </c>
      <c r="N1053" s="17">
        <f>IF(K1053=1,N('ORDENES'!$M1049),0)</f>
        <v/>
      </c>
      <c r="O1053" s="17">
        <f>IF('ORDENES'!$T1049="preventiva",N1053,0)</f>
        <v/>
      </c>
      <c r="P1053" s="17">
        <f>IF('ORDENES'!$T1049="correctiva",N1053,0)</f>
        <v/>
      </c>
      <c r="Q1053" s="3">
        <f>IF(AND(K1053=1,'ORDENES'!$N1049="Pendiente"),1,0)</f>
        <v/>
      </c>
      <c r="R1053" s="3">
        <f>IF(Q1053=1,100000-N1053*1000+1046*0.01,9000000000000+1046)</f>
        <v/>
      </c>
      <c r="S1053" s="3">
        <f>IF(Q1053=1,SUMPRODUCT(--($R$8:$R$1207&lt;R1053))+1,"")</f>
        <v/>
      </c>
      <c r="T1053" s="12">
        <f>IF(K1053=1,'ORDENES'!$J1049,"")</f>
        <v/>
      </c>
    </row>
    <row r="1054">
      <c r="K1054" s="3">
        <f>IF(AND(IF($B$3="(todos)",TRUE,'ORDENES'!$O1050=$B$3),IF($D$3="(todos)",TRUE,'ORDENES'!$AF1050=$D$3),IF($F$3="(todos)",TRUE,'ORDENES'!$X1050=$F$3),IF($H$3="(todos)",TRUE,'ORDENES'!$W1050=$H$3),'ORDENES'!$AD1050=TRUE,'ORDENES'!$A1050&lt;&gt;""),1,0)</f>
        <v/>
      </c>
      <c r="L1054" s="3">
        <f>IF(K1054=1,IFERROR(MATCH('ORDENES'!$R1050,lista_dias,0),9)*1000000000+IFERROR(MATCH('ORDENES'!$AF1050,lista_turnos,0),9)*10000000+IFERROR(MATCH('ORDENES'!$AE1050,tblTecnicos[nombre],0),99)*100000+1047,9000000000000+1047)</f>
        <v/>
      </c>
      <c r="M1054" s="3">
        <f>IF(K1054=1,SUMPRODUCT(--($L$8:$L$1207&lt;L1054))+1,"")</f>
        <v/>
      </c>
      <c r="N1054" s="17">
        <f>IF(K1054=1,N('ORDENES'!$M1050),0)</f>
        <v/>
      </c>
      <c r="O1054" s="17">
        <f>IF('ORDENES'!$T1050="preventiva",N1054,0)</f>
        <v/>
      </c>
      <c r="P1054" s="17">
        <f>IF('ORDENES'!$T1050="correctiva",N1054,0)</f>
        <v/>
      </c>
      <c r="Q1054" s="3">
        <f>IF(AND(K1054=1,'ORDENES'!$N1050="Pendiente"),1,0)</f>
        <v/>
      </c>
      <c r="R1054" s="3">
        <f>IF(Q1054=1,100000-N1054*1000+1047*0.01,9000000000000+1047)</f>
        <v/>
      </c>
      <c r="S1054" s="3">
        <f>IF(Q1054=1,SUMPRODUCT(--($R$8:$R$1207&lt;R1054))+1,"")</f>
        <v/>
      </c>
      <c r="T1054" s="12">
        <f>IF(K1054=1,'ORDENES'!$J1050,"")</f>
        <v/>
      </c>
    </row>
    <row r="1055">
      <c r="K1055" s="3">
        <f>IF(AND(IF($B$3="(todos)",TRUE,'ORDENES'!$O1051=$B$3),IF($D$3="(todos)",TRUE,'ORDENES'!$AF1051=$D$3),IF($F$3="(todos)",TRUE,'ORDENES'!$X1051=$F$3),IF($H$3="(todos)",TRUE,'ORDENES'!$W1051=$H$3),'ORDENES'!$AD1051=TRUE,'ORDENES'!$A1051&lt;&gt;""),1,0)</f>
        <v/>
      </c>
      <c r="L1055" s="3">
        <f>IF(K1055=1,IFERROR(MATCH('ORDENES'!$R1051,lista_dias,0),9)*1000000000+IFERROR(MATCH('ORDENES'!$AF1051,lista_turnos,0),9)*10000000+IFERROR(MATCH('ORDENES'!$AE1051,tblTecnicos[nombre],0),99)*100000+1048,9000000000000+1048)</f>
        <v/>
      </c>
      <c r="M1055" s="3">
        <f>IF(K1055=1,SUMPRODUCT(--($L$8:$L$1207&lt;L1055))+1,"")</f>
        <v/>
      </c>
      <c r="N1055" s="17">
        <f>IF(K1055=1,N('ORDENES'!$M1051),0)</f>
        <v/>
      </c>
      <c r="O1055" s="17">
        <f>IF('ORDENES'!$T1051="preventiva",N1055,0)</f>
        <v/>
      </c>
      <c r="P1055" s="17">
        <f>IF('ORDENES'!$T1051="correctiva",N1055,0)</f>
        <v/>
      </c>
      <c r="Q1055" s="3">
        <f>IF(AND(K1055=1,'ORDENES'!$N1051="Pendiente"),1,0)</f>
        <v/>
      </c>
      <c r="R1055" s="3">
        <f>IF(Q1055=1,100000-N1055*1000+1048*0.01,9000000000000+1048)</f>
        <v/>
      </c>
      <c r="S1055" s="3">
        <f>IF(Q1055=1,SUMPRODUCT(--($R$8:$R$1207&lt;R1055))+1,"")</f>
        <v/>
      </c>
      <c r="T1055" s="12">
        <f>IF(K1055=1,'ORDENES'!$J1051,"")</f>
        <v/>
      </c>
    </row>
    <row r="1056">
      <c r="K1056" s="3">
        <f>IF(AND(IF($B$3="(todos)",TRUE,'ORDENES'!$O1052=$B$3),IF($D$3="(todos)",TRUE,'ORDENES'!$AF1052=$D$3),IF($F$3="(todos)",TRUE,'ORDENES'!$X1052=$F$3),IF($H$3="(todos)",TRUE,'ORDENES'!$W1052=$H$3),'ORDENES'!$AD1052=TRUE,'ORDENES'!$A1052&lt;&gt;""),1,0)</f>
        <v/>
      </c>
      <c r="L1056" s="3">
        <f>IF(K1056=1,IFERROR(MATCH('ORDENES'!$R1052,lista_dias,0),9)*1000000000+IFERROR(MATCH('ORDENES'!$AF1052,lista_turnos,0),9)*10000000+IFERROR(MATCH('ORDENES'!$AE1052,tblTecnicos[nombre],0),99)*100000+1049,9000000000000+1049)</f>
        <v/>
      </c>
      <c r="M1056" s="3">
        <f>IF(K1056=1,SUMPRODUCT(--($L$8:$L$1207&lt;L1056))+1,"")</f>
        <v/>
      </c>
      <c r="N1056" s="17">
        <f>IF(K1056=1,N('ORDENES'!$M1052),0)</f>
        <v/>
      </c>
      <c r="O1056" s="17">
        <f>IF('ORDENES'!$T1052="preventiva",N1056,0)</f>
        <v/>
      </c>
      <c r="P1056" s="17">
        <f>IF('ORDENES'!$T1052="correctiva",N1056,0)</f>
        <v/>
      </c>
      <c r="Q1056" s="3">
        <f>IF(AND(K1056=1,'ORDENES'!$N1052="Pendiente"),1,0)</f>
        <v/>
      </c>
      <c r="R1056" s="3">
        <f>IF(Q1056=1,100000-N1056*1000+1049*0.01,9000000000000+1049)</f>
        <v/>
      </c>
      <c r="S1056" s="3">
        <f>IF(Q1056=1,SUMPRODUCT(--($R$8:$R$1207&lt;R1056))+1,"")</f>
        <v/>
      </c>
      <c r="T1056" s="12">
        <f>IF(K1056=1,'ORDENES'!$J1052,"")</f>
        <v/>
      </c>
    </row>
    <row r="1057">
      <c r="K1057" s="3">
        <f>IF(AND(IF($B$3="(todos)",TRUE,'ORDENES'!$O1053=$B$3),IF($D$3="(todos)",TRUE,'ORDENES'!$AF1053=$D$3),IF($F$3="(todos)",TRUE,'ORDENES'!$X1053=$F$3),IF($H$3="(todos)",TRUE,'ORDENES'!$W1053=$H$3),'ORDENES'!$AD1053=TRUE,'ORDENES'!$A1053&lt;&gt;""),1,0)</f>
        <v/>
      </c>
      <c r="L1057" s="3">
        <f>IF(K1057=1,IFERROR(MATCH('ORDENES'!$R1053,lista_dias,0),9)*1000000000+IFERROR(MATCH('ORDENES'!$AF1053,lista_turnos,0),9)*10000000+IFERROR(MATCH('ORDENES'!$AE1053,tblTecnicos[nombre],0),99)*100000+1050,9000000000000+1050)</f>
        <v/>
      </c>
      <c r="M1057" s="3">
        <f>IF(K1057=1,SUMPRODUCT(--($L$8:$L$1207&lt;L1057))+1,"")</f>
        <v/>
      </c>
      <c r="N1057" s="17">
        <f>IF(K1057=1,N('ORDENES'!$M1053),0)</f>
        <v/>
      </c>
      <c r="O1057" s="17">
        <f>IF('ORDENES'!$T1053="preventiva",N1057,0)</f>
        <v/>
      </c>
      <c r="P1057" s="17">
        <f>IF('ORDENES'!$T1053="correctiva",N1057,0)</f>
        <v/>
      </c>
      <c r="Q1057" s="3">
        <f>IF(AND(K1057=1,'ORDENES'!$N1053="Pendiente"),1,0)</f>
        <v/>
      </c>
      <c r="R1057" s="3">
        <f>IF(Q1057=1,100000-N1057*1000+1050*0.01,9000000000000+1050)</f>
        <v/>
      </c>
      <c r="S1057" s="3">
        <f>IF(Q1057=1,SUMPRODUCT(--($R$8:$R$1207&lt;R1057))+1,"")</f>
        <v/>
      </c>
      <c r="T1057" s="12">
        <f>IF(K1057=1,'ORDENES'!$J1053,"")</f>
        <v/>
      </c>
    </row>
    <row r="1058">
      <c r="K1058" s="3">
        <f>IF(AND(IF($B$3="(todos)",TRUE,'ORDENES'!$O1054=$B$3),IF($D$3="(todos)",TRUE,'ORDENES'!$AF1054=$D$3),IF($F$3="(todos)",TRUE,'ORDENES'!$X1054=$F$3),IF($H$3="(todos)",TRUE,'ORDENES'!$W1054=$H$3),'ORDENES'!$AD1054=TRUE,'ORDENES'!$A1054&lt;&gt;""),1,0)</f>
        <v/>
      </c>
      <c r="L1058" s="3">
        <f>IF(K1058=1,IFERROR(MATCH('ORDENES'!$R1054,lista_dias,0),9)*1000000000+IFERROR(MATCH('ORDENES'!$AF1054,lista_turnos,0),9)*10000000+IFERROR(MATCH('ORDENES'!$AE1054,tblTecnicos[nombre],0),99)*100000+1051,9000000000000+1051)</f>
        <v/>
      </c>
      <c r="M1058" s="3">
        <f>IF(K1058=1,SUMPRODUCT(--($L$8:$L$1207&lt;L1058))+1,"")</f>
        <v/>
      </c>
      <c r="N1058" s="17">
        <f>IF(K1058=1,N('ORDENES'!$M1054),0)</f>
        <v/>
      </c>
      <c r="O1058" s="17">
        <f>IF('ORDENES'!$T1054="preventiva",N1058,0)</f>
        <v/>
      </c>
      <c r="P1058" s="17">
        <f>IF('ORDENES'!$T1054="correctiva",N1058,0)</f>
        <v/>
      </c>
      <c r="Q1058" s="3">
        <f>IF(AND(K1058=1,'ORDENES'!$N1054="Pendiente"),1,0)</f>
        <v/>
      </c>
      <c r="R1058" s="3">
        <f>IF(Q1058=1,100000-N1058*1000+1051*0.01,9000000000000+1051)</f>
        <v/>
      </c>
      <c r="S1058" s="3">
        <f>IF(Q1058=1,SUMPRODUCT(--($R$8:$R$1207&lt;R1058))+1,"")</f>
        <v/>
      </c>
      <c r="T1058" s="12">
        <f>IF(K1058=1,'ORDENES'!$J1054,"")</f>
        <v/>
      </c>
    </row>
    <row r="1059">
      <c r="K1059" s="3">
        <f>IF(AND(IF($B$3="(todos)",TRUE,'ORDENES'!$O1055=$B$3),IF($D$3="(todos)",TRUE,'ORDENES'!$AF1055=$D$3),IF($F$3="(todos)",TRUE,'ORDENES'!$X1055=$F$3),IF($H$3="(todos)",TRUE,'ORDENES'!$W1055=$H$3),'ORDENES'!$AD1055=TRUE,'ORDENES'!$A1055&lt;&gt;""),1,0)</f>
        <v/>
      </c>
      <c r="L1059" s="3">
        <f>IF(K1059=1,IFERROR(MATCH('ORDENES'!$R1055,lista_dias,0),9)*1000000000+IFERROR(MATCH('ORDENES'!$AF1055,lista_turnos,0),9)*10000000+IFERROR(MATCH('ORDENES'!$AE1055,tblTecnicos[nombre],0),99)*100000+1052,9000000000000+1052)</f>
        <v/>
      </c>
      <c r="M1059" s="3">
        <f>IF(K1059=1,SUMPRODUCT(--($L$8:$L$1207&lt;L1059))+1,"")</f>
        <v/>
      </c>
      <c r="N1059" s="17">
        <f>IF(K1059=1,N('ORDENES'!$M1055),0)</f>
        <v/>
      </c>
      <c r="O1059" s="17">
        <f>IF('ORDENES'!$T1055="preventiva",N1059,0)</f>
        <v/>
      </c>
      <c r="P1059" s="17">
        <f>IF('ORDENES'!$T1055="correctiva",N1059,0)</f>
        <v/>
      </c>
      <c r="Q1059" s="3">
        <f>IF(AND(K1059=1,'ORDENES'!$N1055="Pendiente"),1,0)</f>
        <v/>
      </c>
      <c r="R1059" s="3">
        <f>IF(Q1059=1,100000-N1059*1000+1052*0.01,9000000000000+1052)</f>
        <v/>
      </c>
      <c r="S1059" s="3">
        <f>IF(Q1059=1,SUMPRODUCT(--($R$8:$R$1207&lt;R1059))+1,"")</f>
        <v/>
      </c>
      <c r="T1059" s="12">
        <f>IF(K1059=1,'ORDENES'!$J1055,"")</f>
        <v/>
      </c>
    </row>
    <row r="1060">
      <c r="K1060" s="3">
        <f>IF(AND(IF($B$3="(todos)",TRUE,'ORDENES'!$O1056=$B$3),IF($D$3="(todos)",TRUE,'ORDENES'!$AF1056=$D$3),IF($F$3="(todos)",TRUE,'ORDENES'!$X1056=$F$3),IF($H$3="(todos)",TRUE,'ORDENES'!$W1056=$H$3),'ORDENES'!$AD1056=TRUE,'ORDENES'!$A1056&lt;&gt;""),1,0)</f>
        <v/>
      </c>
      <c r="L1060" s="3">
        <f>IF(K1060=1,IFERROR(MATCH('ORDENES'!$R1056,lista_dias,0),9)*1000000000+IFERROR(MATCH('ORDENES'!$AF1056,lista_turnos,0),9)*10000000+IFERROR(MATCH('ORDENES'!$AE1056,tblTecnicos[nombre],0),99)*100000+1053,9000000000000+1053)</f>
        <v/>
      </c>
      <c r="M1060" s="3">
        <f>IF(K1060=1,SUMPRODUCT(--($L$8:$L$1207&lt;L1060))+1,"")</f>
        <v/>
      </c>
      <c r="N1060" s="17">
        <f>IF(K1060=1,N('ORDENES'!$M1056),0)</f>
        <v/>
      </c>
      <c r="O1060" s="17">
        <f>IF('ORDENES'!$T1056="preventiva",N1060,0)</f>
        <v/>
      </c>
      <c r="P1060" s="17">
        <f>IF('ORDENES'!$T1056="correctiva",N1060,0)</f>
        <v/>
      </c>
      <c r="Q1060" s="3">
        <f>IF(AND(K1060=1,'ORDENES'!$N1056="Pendiente"),1,0)</f>
        <v/>
      </c>
      <c r="R1060" s="3">
        <f>IF(Q1060=1,100000-N1060*1000+1053*0.01,9000000000000+1053)</f>
        <v/>
      </c>
      <c r="S1060" s="3">
        <f>IF(Q1060=1,SUMPRODUCT(--($R$8:$R$1207&lt;R1060))+1,"")</f>
        <v/>
      </c>
      <c r="T1060" s="12">
        <f>IF(K1060=1,'ORDENES'!$J1056,"")</f>
        <v/>
      </c>
    </row>
    <row r="1061">
      <c r="K1061" s="3">
        <f>IF(AND(IF($B$3="(todos)",TRUE,'ORDENES'!$O1057=$B$3),IF($D$3="(todos)",TRUE,'ORDENES'!$AF1057=$D$3),IF($F$3="(todos)",TRUE,'ORDENES'!$X1057=$F$3),IF($H$3="(todos)",TRUE,'ORDENES'!$W1057=$H$3),'ORDENES'!$AD1057=TRUE,'ORDENES'!$A1057&lt;&gt;""),1,0)</f>
        <v/>
      </c>
      <c r="L1061" s="3">
        <f>IF(K1061=1,IFERROR(MATCH('ORDENES'!$R1057,lista_dias,0),9)*1000000000+IFERROR(MATCH('ORDENES'!$AF1057,lista_turnos,0),9)*10000000+IFERROR(MATCH('ORDENES'!$AE1057,tblTecnicos[nombre],0),99)*100000+1054,9000000000000+1054)</f>
        <v/>
      </c>
      <c r="M1061" s="3">
        <f>IF(K1061=1,SUMPRODUCT(--($L$8:$L$1207&lt;L1061))+1,"")</f>
        <v/>
      </c>
      <c r="N1061" s="17">
        <f>IF(K1061=1,N('ORDENES'!$M1057),0)</f>
        <v/>
      </c>
      <c r="O1061" s="17">
        <f>IF('ORDENES'!$T1057="preventiva",N1061,0)</f>
        <v/>
      </c>
      <c r="P1061" s="17">
        <f>IF('ORDENES'!$T1057="correctiva",N1061,0)</f>
        <v/>
      </c>
      <c r="Q1061" s="3">
        <f>IF(AND(K1061=1,'ORDENES'!$N1057="Pendiente"),1,0)</f>
        <v/>
      </c>
      <c r="R1061" s="3">
        <f>IF(Q1061=1,100000-N1061*1000+1054*0.01,9000000000000+1054)</f>
        <v/>
      </c>
      <c r="S1061" s="3">
        <f>IF(Q1061=1,SUMPRODUCT(--($R$8:$R$1207&lt;R1061))+1,"")</f>
        <v/>
      </c>
      <c r="T1061" s="12">
        <f>IF(K1061=1,'ORDENES'!$J1057,"")</f>
        <v/>
      </c>
    </row>
    <row r="1062">
      <c r="K1062" s="3">
        <f>IF(AND(IF($B$3="(todos)",TRUE,'ORDENES'!$O1058=$B$3),IF($D$3="(todos)",TRUE,'ORDENES'!$AF1058=$D$3),IF($F$3="(todos)",TRUE,'ORDENES'!$X1058=$F$3),IF($H$3="(todos)",TRUE,'ORDENES'!$W1058=$H$3),'ORDENES'!$AD1058=TRUE,'ORDENES'!$A1058&lt;&gt;""),1,0)</f>
        <v/>
      </c>
      <c r="L1062" s="3">
        <f>IF(K1062=1,IFERROR(MATCH('ORDENES'!$R1058,lista_dias,0),9)*1000000000+IFERROR(MATCH('ORDENES'!$AF1058,lista_turnos,0),9)*10000000+IFERROR(MATCH('ORDENES'!$AE1058,tblTecnicos[nombre],0),99)*100000+1055,9000000000000+1055)</f>
        <v/>
      </c>
      <c r="M1062" s="3">
        <f>IF(K1062=1,SUMPRODUCT(--($L$8:$L$1207&lt;L1062))+1,"")</f>
        <v/>
      </c>
      <c r="N1062" s="17">
        <f>IF(K1062=1,N('ORDENES'!$M1058),0)</f>
        <v/>
      </c>
      <c r="O1062" s="17">
        <f>IF('ORDENES'!$T1058="preventiva",N1062,0)</f>
        <v/>
      </c>
      <c r="P1062" s="17">
        <f>IF('ORDENES'!$T1058="correctiva",N1062,0)</f>
        <v/>
      </c>
      <c r="Q1062" s="3">
        <f>IF(AND(K1062=1,'ORDENES'!$N1058="Pendiente"),1,0)</f>
        <v/>
      </c>
      <c r="R1062" s="3">
        <f>IF(Q1062=1,100000-N1062*1000+1055*0.01,9000000000000+1055)</f>
        <v/>
      </c>
      <c r="S1062" s="3">
        <f>IF(Q1062=1,SUMPRODUCT(--($R$8:$R$1207&lt;R1062))+1,"")</f>
        <v/>
      </c>
      <c r="T1062" s="12">
        <f>IF(K1062=1,'ORDENES'!$J1058,"")</f>
        <v/>
      </c>
    </row>
    <row r="1063">
      <c r="K1063" s="3">
        <f>IF(AND(IF($B$3="(todos)",TRUE,'ORDENES'!$O1059=$B$3),IF($D$3="(todos)",TRUE,'ORDENES'!$AF1059=$D$3),IF($F$3="(todos)",TRUE,'ORDENES'!$X1059=$F$3),IF($H$3="(todos)",TRUE,'ORDENES'!$W1059=$H$3),'ORDENES'!$AD1059=TRUE,'ORDENES'!$A1059&lt;&gt;""),1,0)</f>
        <v/>
      </c>
      <c r="L1063" s="3">
        <f>IF(K1063=1,IFERROR(MATCH('ORDENES'!$R1059,lista_dias,0),9)*1000000000+IFERROR(MATCH('ORDENES'!$AF1059,lista_turnos,0),9)*10000000+IFERROR(MATCH('ORDENES'!$AE1059,tblTecnicos[nombre],0),99)*100000+1056,9000000000000+1056)</f>
        <v/>
      </c>
      <c r="M1063" s="3">
        <f>IF(K1063=1,SUMPRODUCT(--($L$8:$L$1207&lt;L1063))+1,"")</f>
        <v/>
      </c>
      <c r="N1063" s="17">
        <f>IF(K1063=1,N('ORDENES'!$M1059),0)</f>
        <v/>
      </c>
      <c r="O1063" s="17">
        <f>IF('ORDENES'!$T1059="preventiva",N1063,0)</f>
        <v/>
      </c>
      <c r="P1063" s="17">
        <f>IF('ORDENES'!$T1059="correctiva",N1063,0)</f>
        <v/>
      </c>
      <c r="Q1063" s="3">
        <f>IF(AND(K1063=1,'ORDENES'!$N1059="Pendiente"),1,0)</f>
        <v/>
      </c>
      <c r="R1063" s="3">
        <f>IF(Q1063=1,100000-N1063*1000+1056*0.01,9000000000000+1056)</f>
        <v/>
      </c>
      <c r="S1063" s="3">
        <f>IF(Q1063=1,SUMPRODUCT(--($R$8:$R$1207&lt;R1063))+1,"")</f>
        <v/>
      </c>
      <c r="T1063" s="12">
        <f>IF(K1063=1,'ORDENES'!$J1059,"")</f>
        <v/>
      </c>
    </row>
    <row r="1064">
      <c r="K1064" s="3">
        <f>IF(AND(IF($B$3="(todos)",TRUE,'ORDENES'!$O1060=$B$3),IF($D$3="(todos)",TRUE,'ORDENES'!$AF1060=$D$3),IF($F$3="(todos)",TRUE,'ORDENES'!$X1060=$F$3),IF($H$3="(todos)",TRUE,'ORDENES'!$W1060=$H$3),'ORDENES'!$AD1060=TRUE,'ORDENES'!$A1060&lt;&gt;""),1,0)</f>
        <v/>
      </c>
      <c r="L1064" s="3">
        <f>IF(K1064=1,IFERROR(MATCH('ORDENES'!$R1060,lista_dias,0),9)*1000000000+IFERROR(MATCH('ORDENES'!$AF1060,lista_turnos,0),9)*10000000+IFERROR(MATCH('ORDENES'!$AE1060,tblTecnicos[nombre],0),99)*100000+1057,9000000000000+1057)</f>
        <v/>
      </c>
      <c r="M1064" s="3">
        <f>IF(K1064=1,SUMPRODUCT(--($L$8:$L$1207&lt;L1064))+1,"")</f>
        <v/>
      </c>
      <c r="N1064" s="17">
        <f>IF(K1064=1,N('ORDENES'!$M1060),0)</f>
        <v/>
      </c>
      <c r="O1064" s="17">
        <f>IF('ORDENES'!$T1060="preventiva",N1064,0)</f>
        <v/>
      </c>
      <c r="P1064" s="17">
        <f>IF('ORDENES'!$T1060="correctiva",N1064,0)</f>
        <v/>
      </c>
      <c r="Q1064" s="3">
        <f>IF(AND(K1064=1,'ORDENES'!$N1060="Pendiente"),1,0)</f>
        <v/>
      </c>
      <c r="R1064" s="3">
        <f>IF(Q1064=1,100000-N1064*1000+1057*0.01,9000000000000+1057)</f>
        <v/>
      </c>
      <c r="S1064" s="3">
        <f>IF(Q1064=1,SUMPRODUCT(--($R$8:$R$1207&lt;R1064))+1,"")</f>
        <v/>
      </c>
      <c r="T1064" s="12">
        <f>IF(K1064=1,'ORDENES'!$J1060,"")</f>
        <v/>
      </c>
    </row>
    <row r="1065">
      <c r="K1065" s="3">
        <f>IF(AND(IF($B$3="(todos)",TRUE,'ORDENES'!$O1061=$B$3),IF($D$3="(todos)",TRUE,'ORDENES'!$AF1061=$D$3),IF($F$3="(todos)",TRUE,'ORDENES'!$X1061=$F$3),IF($H$3="(todos)",TRUE,'ORDENES'!$W1061=$H$3),'ORDENES'!$AD1061=TRUE,'ORDENES'!$A1061&lt;&gt;""),1,0)</f>
        <v/>
      </c>
      <c r="L1065" s="3">
        <f>IF(K1065=1,IFERROR(MATCH('ORDENES'!$R1061,lista_dias,0),9)*1000000000+IFERROR(MATCH('ORDENES'!$AF1061,lista_turnos,0),9)*10000000+IFERROR(MATCH('ORDENES'!$AE1061,tblTecnicos[nombre],0),99)*100000+1058,9000000000000+1058)</f>
        <v/>
      </c>
      <c r="M1065" s="3">
        <f>IF(K1065=1,SUMPRODUCT(--($L$8:$L$1207&lt;L1065))+1,"")</f>
        <v/>
      </c>
      <c r="N1065" s="17">
        <f>IF(K1065=1,N('ORDENES'!$M1061),0)</f>
        <v/>
      </c>
      <c r="O1065" s="17">
        <f>IF('ORDENES'!$T1061="preventiva",N1065,0)</f>
        <v/>
      </c>
      <c r="P1065" s="17">
        <f>IF('ORDENES'!$T1061="correctiva",N1065,0)</f>
        <v/>
      </c>
      <c r="Q1065" s="3">
        <f>IF(AND(K1065=1,'ORDENES'!$N1061="Pendiente"),1,0)</f>
        <v/>
      </c>
      <c r="R1065" s="3">
        <f>IF(Q1065=1,100000-N1065*1000+1058*0.01,9000000000000+1058)</f>
        <v/>
      </c>
      <c r="S1065" s="3">
        <f>IF(Q1065=1,SUMPRODUCT(--($R$8:$R$1207&lt;R1065))+1,"")</f>
        <v/>
      </c>
      <c r="T1065" s="12">
        <f>IF(K1065=1,'ORDENES'!$J1061,"")</f>
        <v/>
      </c>
    </row>
    <row r="1066">
      <c r="K1066" s="3">
        <f>IF(AND(IF($B$3="(todos)",TRUE,'ORDENES'!$O1062=$B$3),IF($D$3="(todos)",TRUE,'ORDENES'!$AF1062=$D$3),IF($F$3="(todos)",TRUE,'ORDENES'!$X1062=$F$3),IF($H$3="(todos)",TRUE,'ORDENES'!$W1062=$H$3),'ORDENES'!$AD1062=TRUE,'ORDENES'!$A1062&lt;&gt;""),1,0)</f>
        <v/>
      </c>
      <c r="L1066" s="3">
        <f>IF(K1066=1,IFERROR(MATCH('ORDENES'!$R1062,lista_dias,0),9)*1000000000+IFERROR(MATCH('ORDENES'!$AF1062,lista_turnos,0),9)*10000000+IFERROR(MATCH('ORDENES'!$AE1062,tblTecnicos[nombre],0),99)*100000+1059,9000000000000+1059)</f>
        <v/>
      </c>
      <c r="M1066" s="3">
        <f>IF(K1066=1,SUMPRODUCT(--($L$8:$L$1207&lt;L1066))+1,"")</f>
        <v/>
      </c>
      <c r="N1066" s="17">
        <f>IF(K1066=1,N('ORDENES'!$M1062),0)</f>
        <v/>
      </c>
      <c r="O1066" s="17">
        <f>IF('ORDENES'!$T1062="preventiva",N1066,0)</f>
        <v/>
      </c>
      <c r="P1066" s="17">
        <f>IF('ORDENES'!$T1062="correctiva",N1066,0)</f>
        <v/>
      </c>
      <c r="Q1066" s="3">
        <f>IF(AND(K1066=1,'ORDENES'!$N1062="Pendiente"),1,0)</f>
        <v/>
      </c>
      <c r="R1066" s="3">
        <f>IF(Q1066=1,100000-N1066*1000+1059*0.01,9000000000000+1059)</f>
        <v/>
      </c>
      <c r="S1066" s="3">
        <f>IF(Q1066=1,SUMPRODUCT(--($R$8:$R$1207&lt;R1066))+1,"")</f>
        <v/>
      </c>
      <c r="T1066" s="12">
        <f>IF(K1066=1,'ORDENES'!$J1062,"")</f>
        <v/>
      </c>
    </row>
    <row r="1067">
      <c r="K1067" s="3">
        <f>IF(AND(IF($B$3="(todos)",TRUE,'ORDENES'!$O1063=$B$3),IF($D$3="(todos)",TRUE,'ORDENES'!$AF1063=$D$3),IF($F$3="(todos)",TRUE,'ORDENES'!$X1063=$F$3),IF($H$3="(todos)",TRUE,'ORDENES'!$W1063=$H$3),'ORDENES'!$AD1063=TRUE,'ORDENES'!$A1063&lt;&gt;""),1,0)</f>
        <v/>
      </c>
      <c r="L1067" s="3">
        <f>IF(K1067=1,IFERROR(MATCH('ORDENES'!$R1063,lista_dias,0),9)*1000000000+IFERROR(MATCH('ORDENES'!$AF1063,lista_turnos,0),9)*10000000+IFERROR(MATCH('ORDENES'!$AE1063,tblTecnicos[nombre],0),99)*100000+1060,9000000000000+1060)</f>
        <v/>
      </c>
      <c r="M1067" s="3">
        <f>IF(K1067=1,SUMPRODUCT(--($L$8:$L$1207&lt;L1067))+1,"")</f>
        <v/>
      </c>
      <c r="N1067" s="17">
        <f>IF(K1067=1,N('ORDENES'!$M1063),0)</f>
        <v/>
      </c>
      <c r="O1067" s="17">
        <f>IF('ORDENES'!$T1063="preventiva",N1067,0)</f>
        <v/>
      </c>
      <c r="P1067" s="17">
        <f>IF('ORDENES'!$T1063="correctiva",N1067,0)</f>
        <v/>
      </c>
      <c r="Q1067" s="3">
        <f>IF(AND(K1067=1,'ORDENES'!$N1063="Pendiente"),1,0)</f>
        <v/>
      </c>
      <c r="R1067" s="3">
        <f>IF(Q1067=1,100000-N1067*1000+1060*0.01,9000000000000+1060)</f>
        <v/>
      </c>
      <c r="S1067" s="3">
        <f>IF(Q1067=1,SUMPRODUCT(--($R$8:$R$1207&lt;R1067))+1,"")</f>
        <v/>
      </c>
      <c r="T1067" s="12">
        <f>IF(K1067=1,'ORDENES'!$J1063,"")</f>
        <v/>
      </c>
    </row>
    <row r="1068">
      <c r="K1068" s="3">
        <f>IF(AND(IF($B$3="(todos)",TRUE,'ORDENES'!$O1064=$B$3),IF($D$3="(todos)",TRUE,'ORDENES'!$AF1064=$D$3),IF($F$3="(todos)",TRUE,'ORDENES'!$X1064=$F$3),IF($H$3="(todos)",TRUE,'ORDENES'!$W1064=$H$3),'ORDENES'!$AD1064=TRUE,'ORDENES'!$A1064&lt;&gt;""),1,0)</f>
        <v/>
      </c>
      <c r="L1068" s="3">
        <f>IF(K1068=1,IFERROR(MATCH('ORDENES'!$R1064,lista_dias,0),9)*1000000000+IFERROR(MATCH('ORDENES'!$AF1064,lista_turnos,0),9)*10000000+IFERROR(MATCH('ORDENES'!$AE1064,tblTecnicos[nombre],0),99)*100000+1061,9000000000000+1061)</f>
        <v/>
      </c>
      <c r="M1068" s="3">
        <f>IF(K1068=1,SUMPRODUCT(--($L$8:$L$1207&lt;L1068))+1,"")</f>
        <v/>
      </c>
      <c r="N1068" s="17">
        <f>IF(K1068=1,N('ORDENES'!$M1064),0)</f>
        <v/>
      </c>
      <c r="O1068" s="17">
        <f>IF('ORDENES'!$T1064="preventiva",N1068,0)</f>
        <v/>
      </c>
      <c r="P1068" s="17">
        <f>IF('ORDENES'!$T1064="correctiva",N1068,0)</f>
        <v/>
      </c>
      <c r="Q1068" s="3">
        <f>IF(AND(K1068=1,'ORDENES'!$N1064="Pendiente"),1,0)</f>
        <v/>
      </c>
      <c r="R1068" s="3">
        <f>IF(Q1068=1,100000-N1068*1000+1061*0.01,9000000000000+1061)</f>
        <v/>
      </c>
      <c r="S1068" s="3">
        <f>IF(Q1068=1,SUMPRODUCT(--($R$8:$R$1207&lt;R1068))+1,"")</f>
        <v/>
      </c>
      <c r="T1068" s="12">
        <f>IF(K1068=1,'ORDENES'!$J1064,"")</f>
        <v/>
      </c>
    </row>
    <row r="1069">
      <c r="K1069" s="3">
        <f>IF(AND(IF($B$3="(todos)",TRUE,'ORDENES'!$O1065=$B$3),IF($D$3="(todos)",TRUE,'ORDENES'!$AF1065=$D$3),IF($F$3="(todos)",TRUE,'ORDENES'!$X1065=$F$3),IF($H$3="(todos)",TRUE,'ORDENES'!$W1065=$H$3),'ORDENES'!$AD1065=TRUE,'ORDENES'!$A1065&lt;&gt;""),1,0)</f>
        <v/>
      </c>
      <c r="L1069" s="3">
        <f>IF(K1069=1,IFERROR(MATCH('ORDENES'!$R1065,lista_dias,0),9)*1000000000+IFERROR(MATCH('ORDENES'!$AF1065,lista_turnos,0),9)*10000000+IFERROR(MATCH('ORDENES'!$AE1065,tblTecnicos[nombre],0),99)*100000+1062,9000000000000+1062)</f>
        <v/>
      </c>
      <c r="M1069" s="3">
        <f>IF(K1069=1,SUMPRODUCT(--($L$8:$L$1207&lt;L1069))+1,"")</f>
        <v/>
      </c>
      <c r="N1069" s="17">
        <f>IF(K1069=1,N('ORDENES'!$M1065),0)</f>
        <v/>
      </c>
      <c r="O1069" s="17">
        <f>IF('ORDENES'!$T1065="preventiva",N1069,0)</f>
        <v/>
      </c>
      <c r="P1069" s="17">
        <f>IF('ORDENES'!$T1065="correctiva",N1069,0)</f>
        <v/>
      </c>
      <c r="Q1069" s="3">
        <f>IF(AND(K1069=1,'ORDENES'!$N1065="Pendiente"),1,0)</f>
        <v/>
      </c>
      <c r="R1069" s="3">
        <f>IF(Q1069=1,100000-N1069*1000+1062*0.01,9000000000000+1062)</f>
        <v/>
      </c>
      <c r="S1069" s="3">
        <f>IF(Q1069=1,SUMPRODUCT(--($R$8:$R$1207&lt;R1069))+1,"")</f>
        <v/>
      </c>
      <c r="T1069" s="12">
        <f>IF(K1069=1,'ORDENES'!$J1065,"")</f>
        <v/>
      </c>
    </row>
    <row r="1070">
      <c r="K1070" s="3">
        <f>IF(AND(IF($B$3="(todos)",TRUE,'ORDENES'!$O1066=$B$3),IF($D$3="(todos)",TRUE,'ORDENES'!$AF1066=$D$3),IF($F$3="(todos)",TRUE,'ORDENES'!$X1066=$F$3),IF($H$3="(todos)",TRUE,'ORDENES'!$W1066=$H$3),'ORDENES'!$AD1066=TRUE,'ORDENES'!$A1066&lt;&gt;""),1,0)</f>
        <v/>
      </c>
      <c r="L1070" s="3">
        <f>IF(K1070=1,IFERROR(MATCH('ORDENES'!$R1066,lista_dias,0),9)*1000000000+IFERROR(MATCH('ORDENES'!$AF1066,lista_turnos,0),9)*10000000+IFERROR(MATCH('ORDENES'!$AE1066,tblTecnicos[nombre],0),99)*100000+1063,9000000000000+1063)</f>
        <v/>
      </c>
      <c r="M1070" s="3">
        <f>IF(K1070=1,SUMPRODUCT(--($L$8:$L$1207&lt;L1070))+1,"")</f>
        <v/>
      </c>
      <c r="N1070" s="17">
        <f>IF(K1070=1,N('ORDENES'!$M1066),0)</f>
        <v/>
      </c>
      <c r="O1070" s="17">
        <f>IF('ORDENES'!$T1066="preventiva",N1070,0)</f>
        <v/>
      </c>
      <c r="P1070" s="17">
        <f>IF('ORDENES'!$T1066="correctiva",N1070,0)</f>
        <v/>
      </c>
      <c r="Q1070" s="3">
        <f>IF(AND(K1070=1,'ORDENES'!$N1066="Pendiente"),1,0)</f>
        <v/>
      </c>
      <c r="R1070" s="3">
        <f>IF(Q1070=1,100000-N1070*1000+1063*0.01,9000000000000+1063)</f>
        <v/>
      </c>
      <c r="S1070" s="3">
        <f>IF(Q1070=1,SUMPRODUCT(--($R$8:$R$1207&lt;R1070))+1,"")</f>
        <v/>
      </c>
      <c r="T1070" s="12">
        <f>IF(K1070=1,'ORDENES'!$J1066,"")</f>
        <v/>
      </c>
    </row>
    <row r="1071">
      <c r="K1071" s="3">
        <f>IF(AND(IF($B$3="(todos)",TRUE,'ORDENES'!$O1067=$B$3),IF($D$3="(todos)",TRUE,'ORDENES'!$AF1067=$D$3),IF($F$3="(todos)",TRUE,'ORDENES'!$X1067=$F$3),IF($H$3="(todos)",TRUE,'ORDENES'!$W1067=$H$3),'ORDENES'!$AD1067=TRUE,'ORDENES'!$A1067&lt;&gt;""),1,0)</f>
        <v/>
      </c>
      <c r="L1071" s="3">
        <f>IF(K1071=1,IFERROR(MATCH('ORDENES'!$R1067,lista_dias,0),9)*1000000000+IFERROR(MATCH('ORDENES'!$AF1067,lista_turnos,0),9)*10000000+IFERROR(MATCH('ORDENES'!$AE1067,tblTecnicos[nombre],0),99)*100000+1064,9000000000000+1064)</f>
        <v/>
      </c>
      <c r="M1071" s="3">
        <f>IF(K1071=1,SUMPRODUCT(--($L$8:$L$1207&lt;L1071))+1,"")</f>
        <v/>
      </c>
      <c r="N1071" s="17">
        <f>IF(K1071=1,N('ORDENES'!$M1067),0)</f>
        <v/>
      </c>
      <c r="O1071" s="17">
        <f>IF('ORDENES'!$T1067="preventiva",N1071,0)</f>
        <v/>
      </c>
      <c r="P1071" s="17">
        <f>IF('ORDENES'!$T1067="correctiva",N1071,0)</f>
        <v/>
      </c>
      <c r="Q1071" s="3">
        <f>IF(AND(K1071=1,'ORDENES'!$N1067="Pendiente"),1,0)</f>
        <v/>
      </c>
      <c r="R1071" s="3">
        <f>IF(Q1071=1,100000-N1071*1000+1064*0.01,9000000000000+1064)</f>
        <v/>
      </c>
      <c r="S1071" s="3">
        <f>IF(Q1071=1,SUMPRODUCT(--($R$8:$R$1207&lt;R1071))+1,"")</f>
        <v/>
      </c>
      <c r="T1071" s="12">
        <f>IF(K1071=1,'ORDENES'!$J1067,"")</f>
        <v/>
      </c>
    </row>
    <row r="1072">
      <c r="K1072" s="3">
        <f>IF(AND(IF($B$3="(todos)",TRUE,'ORDENES'!$O1068=$B$3),IF($D$3="(todos)",TRUE,'ORDENES'!$AF1068=$D$3),IF($F$3="(todos)",TRUE,'ORDENES'!$X1068=$F$3),IF($H$3="(todos)",TRUE,'ORDENES'!$W1068=$H$3),'ORDENES'!$AD1068=TRUE,'ORDENES'!$A1068&lt;&gt;""),1,0)</f>
        <v/>
      </c>
      <c r="L1072" s="3">
        <f>IF(K1072=1,IFERROR(MATCH('ORDENES'!$R1068,lista_dias,0),9)*1000000000+IFERROR(MATCH('ORDENES'!$AF1068,lista_turnos,0),9)*10000000+IFERROR(MATCH('ORDENES'!$AE1068,tblTecnicos[nombre],0),99)*100000+1065,9000000000000+1065)</f>
        <v/>
      </c>
      <c r="M1072" s="3">
        <f>IF(K1072=1,SUMPRODUCT(--($L$8:$L$1207&lt;L1072))+1,"")</f>
        <v/>
      </c>
      <c r="N1072" s="17">
        <f>IF(K1072=1,N('ORDENES'!$M1068),0)</f>
        <v/>
      </c>
      <c r="O1072" s="17">
        <f>IF('ORDENES'!$T1068="preventiva",N1072,0)</f>
        <v/>
      </c>
      <c r="P1072" s="17">
        <f>IF('ORDENES'!$T1068="correctiva",N1072,0)</f>
        <v/>
      </c>
      <c r="Q1072" s="3">
        <f>IF(AND(K1072=1,'ORDENES'!$N1068="Pendiente"),1,0)</f>
        <v/>
      </c>
      <c r="R1072" s="3">
        <f>IF(Q1072=1,100000-N1072*1000+1065*0.01,9000000000000+1065)</f>
        <v/>
      </c>
      <c r="S1072" s="3">
        <f>IF(Q1072=1,SUMPRODUCT(--($R$8:$R$1207&lt;R1072))+1,"")</f>
        <v/>
      </c>
      <c r="T1072" s="12">
        <f>IF(K1072=1,'ORDENES'!$J1068,"")</f>
        <v/>
      </c>
    </row>
    <row r="1073">
      <c r="K1073" s="3">
        <f>IF(AND(IF($B$3="(todos)",TRUE,'ORDENES'!$O1069=$B$3),IF($D$3="(todos)",TRUE,'ORDENES'!$AF1069=$D$3),IF($F$3="(todos)",TRUE,'ORDENES'!$X1069=$F$3),IF($H$3="(todos)",TRUE,'ORDENES'!$W1069=$H$3),'ORDENES'!$AD1069=TRUE,'ORDENES'!$A1069&lt;&gt;""),1,0)</f>
        <v/>
      </c>
      <c r="L1073" s="3">
        <f>IF(K1073=1,IFERROR(MATCH('ORDENES'!$R1069,lista_dias,0),9)*1000000000+IFERROR(MATCH('ORDENES'!$AF1069,lista_turnos,0),9)*10000000+IFERROR(MATCH('ORDENES'!$AE1069,tblTecnicos[nombre],0),99)*100000+1066,9000000000000+1066)</f>
        <v/>
      </c>
      <c r="M1073" s="3">
        <f>IF(K1073=1,SUMPRODUCT(--($L$8:$L$1207&lt;L1073))+1,"")</f>
        <v/>
      </c>
      <c r="N1073" s="17">
        <f>IF(K1073=1,N('ORDENES'!$M1069),0)</f>
        <v/>
      </c>
      <c r="O1073" s="17">
        <f>IF('ORDENES'!$T1069="preventiva",N1073,0)</f>
        <v/>
      </c>
      <c r="P1073" s="17">
        <f>IF('ORDENES'!$T1069="correctiva",N1073,0)</f>
        <v/>
      </c>
      <c r="Q1073" s="3">
        <f>IF(AND(K1073=1,'ORDENES'!$N1069="Pendiente"),1,0)</f>
        <v/>
      </c>
      <c r="R1073" s="3">
        <f>IF(Q1073=1,100000-N1073*1000+1066*0.01,9000000000000+1066)</f>
        <v/>
      </c>
      <c r="S1073" s="3">
        <f>IF(Q1073=1,SUMPRODUCT(--($R$8:$R$1207&lt;R1073))+1,"")</f>
        <v/>
      </c>
      <c r="T1073" s="12">
        <f>IF(K1073=1,'ORDENES'!$J1069,"")</f>
        <v/>
      </c>
    </row>
    <row r="1074">
      <c r="K1074" s="3">
        <f>IF(AND(IF($B$3="(todos)",TRUE,'ORDENES'!$O1070=$B$3),IF($D$3="(todos)",TRUE,'ORDENES'!$AF1070=$D$3),IF($F$3="(todos)",TRUE,'ORDENES'!$X1070=$F$3),IF($H$3="(todos)",TRUE,'ORDENES'!$W1070=$H$3),'ORDENES'!$AD1070=TRUE,'ORDENES'!$A1070&lt;&gt;""),1,0)</f>
        <v/>
      </c>
      <c r="L1074" s="3">
        <f>IF(K1074=1,IFERROR(MATCH('ORDENES'!$R1070,lista_dias,0),9)*1000000000+IFERROR(MATCH('ORDENES'!$AF1070,lista_turnos,0),9)*10000000+IFERROR(MATCH('ORDENES'!$AE1070,tblTecnicos[nombre],0),99)*100000+1067,9000000000000+1067)</f>
        <v/>
      </c>
      <c r="M1074" s="3">
        <f>IF(K1074=1,SUMPRODUCT(--($L$8:$L$1207&lt;L1074))+1,"")</f>
        <v/>
      </c>
      <c r="N1074" s="17">
        <f>IF(K1074=1,N('ORDENES'!$M1070),0)</f>
        <v/>
      </c>
      <c r="O1074" s="17">
        <f>IF('ORDENES'!$T1070="preventiva",N1074,0)</f>
        <v/>
      </c>
      <c r="P1074" s="17">
        <f>IF('ORDENES'!$T1070="correctiva",N1074,0)</f>
        <v/>
      </c>
      <c r="Q1074" s="3">
        <f>IF(AND(K1074=1,'ORDENES'!$N1070="Pendiente"),1,0)</f>
        <v/>
      </c>
      <c r="R1074" s="3">
        <f>IF(Q1074=1,100000-N1074*1000+1067*0.01,9000000000000+1067)</f>
        <v/>
      </c>
      <c r="S1074" s="3">
        <f>IF(Q1074=1,SUMPRODUCT(--($R$8:$R$1207&lt;R1074))+1,"")</f>
        <v/>
      </c>
      <c r="T1074" s="12">
        <f>IF(K1074=1,'ORDENES'!$J1070,"")</f>
        <v/>
      </c>
    </row>
    <row r="1075">
      <c r="K1075" s="3">
        <f>IF(AND(IF($B$3="(todos)",TRUE,'ORDENES'!$O1071=$B$3),IF($D$3="(todos)",TRUE,'ORDENES'!$AF1071=$D$3),IF($F$3="(todos)",TRUE,'ORDENES'!$X1071=$F$3),IF($H$3="(todos)",TRUE,'ORDENES'!$W1071=$H$3),'ORDENES'!$AD1071=TRUE,'ORDENES'!$A1071&lt;&gt;""),1,0)</f>
        <v/>
      </c>
      <c r="L1075" s="3">
        <f>IF(K1075=1,IFERROR(MATCH('ORDENES'!$R1071,lista_dias,0),9)*1000000000+IFERROR(MATCH('ORDENES'!$AF1071,lista_turnos,0),9)*10000000+IFERROR(MATCH('ORDENES'!$AE1071,tblTecnicos[nombre],0),99)*100000+1068,9000000000000+1068)</f>
        <v/>
      </c>
      <c r="M1075" s="3">
        <f>IF(K1075=1,SUMPRODUCT(--($L$8:$L$1207&lt;L1075))+1,"")</f>
        <v/>
      </c>
      <c r="N1075" s="17">
        <f>IF(K1075=1,N('ORDENES'!$M1071),0)</f>
        <v/>
      </c>
      <c r="O1075" s="17">
        <f>IF('ORDENES'!$T1071="preventiva",N1075,0)</f>
        <v/>
      </c>
      <c r="P1075" s="17">
        <f>IF('ORDENES'!$T1071="correctiva",N1075,0)</f>
        <v/>
      </c>
      <c r="Q1075" s="3">
        <f>IF(AND(K1075=1,'ORDENES'!$N1071="Pendiente"),1,0)</f>
        <v/>
      </c>
      <c r="R1075" s="3">
        <f>IF(Q1075=1,100000-N1075*1000+1068*0.01,9000000000000+1068)</f>
        <v/>
      </c>
      <c r="S1075" s="3">
        <f>IF(Q1075=1,SUMPRODUCT(--($R$8:$R$1207&lt;R1075))+1,"")</f>
        <v/>
      </c>
      <c r="T1075" s="12">
        <f>IF(K1075=1,'ORDENES'!$J1071,"")</f>
        <v/>
      </c>
    </row>
    <row r="1076">
      <c r="K1076" s="3">
        <f>IF(AND(IF($B$3="(todos)",TRUE,'ORDENES'!$O1072=$B$3),IF($D$3="(todos)",TRUE,'ORDENES'!$AF1072=$D$3),IF($F$3="(todos)",TRUE,'ORDENES'!$X1072=$F$3),IF($H$3="(todos)",TRUE,'ORDENES'!$W1072=$H$3),'ORDENES'!$AD1072=TRUE,'ORDENES'!$A1072&lt;&gt;""),1,0)</f>
        <v/>
      </c>
      <c r="L1076" s="3">
        <f>IF(K1076=1,IFERROR(MATCH('ORDENES'!$R1072,lista_dias,0),9)*1000000000+IFERROR(MATCH('ORDENES'!$AF1072,lista_turnos,0),9)*10000000+IFERROR(MATCH('ORDENES'!$AE1072,tblTecnicos[nombre],0),99)*100000+1069,9000000000000+1069)</f>
        <v/>
      </c>
      <c r="M1076" s="3">
        <f>IF(K1076=1,SUMPRODUCT(--($L$8:$L$1207&lt;L1076))+1,"")</f>
        <v/>
      </c>
      <c r="N1076" s="17">
        <f>IF(K1076=1,N('ORDENES'!$M1072),0)</f>
        <v/>
      </c>
      <c r="O1076" s="17">
        <f>IF('ORDENES'!$T1072="preventiva",N1076,0)</f>
        <v/>
      </c>
      <c r="P1076" s="17">
        <f>IF('ORDENES'!$T1072="correctiva",N1076,0)</f>
        <v/>
      </c>
      <c r="Q1076" s="3">
        <f>IF(AND(K1076=1,'ORDENES'!$N1072="Pendiente"),1,0)</f>
        <v/>
      </c>
      <c r="R1076" s="3">
        <f>IF(Q1076=1,100000-N1076*1000+1069*0.01,9000000000000+1069)</f>
        <v/>
      </c>
      <c r="S1076" s="3">
        <f>IF(Q1076=1,SUMPRODUCT(--($R$8:$R$1207&lt;R1076))+1,"")</f>
        <v/>
      </c>
      <c r="T1076" s="12">
        <f>IF(K1076=1,'ORDENES'!$J1072,"")</f>
        <v/>
      </c>
    </row>
    <row r="1077">
      <c r="K1077" s="3">
        <f>IF(AND(IF($B$3="(todos)",TRUE,'ORDENES'!$O1073=$B$3),IF($D$3="(todos)",TRUE,'ORDENES'!$AF1073=$D$3),IF($F$3="(todos)",TRUE,'ORDENES'!$X1073=$F$3),IF($H$3="(todos)",TRUE,'ORDENES'!$W1073=$H$3),'ORDENES'!$AD1073=TRUE,'ORDENES'!$A1073&lt;&gt;""),1,0)</f>
        <v/>
      </c>
      <c r="L1077" s="3">
        <f>IF(K1077=1,IFERROR(MATCH('ORDENES'!$R1073,lista_dias,0),9)*1000000000+IFERROR(MATCH('ORDENES'!$AF1073,lista_turnos,0),9)*10000000+IFERROR(MATCH('ORDENES'!$AE1073,tblTecnicos[nombre],0),99)*100000+1070,9000000000000+1070)</f>
        <v/>
      </c>
      <c r="M1077" s="3">
        <f>IF(K1077=1,SUMPRODUCT(--($L$8:$L$1207&lt;L1077))+1,"")</f>
        <v/>
      </c>
      <c r="N1077" s="17">
        <f>IF(K1077=1,N('ORDENES'!$M1073),0)</f>
        <v/>
      </c>
      <c r="O1077" s="17">
        <f>IF('ORDENES'!$T1073="preventiva",N1077,0)</f>
        <v/>
      </c>
      <c r="P1077" s="17">
        <f>IF('ORDENES'!$T1073="correctiva",N1077,0)</f>
        <v/>
      </c>
      <c r="Q1077" s="3">
        <f>IF(AND(K1077=1,'ORDENES'!$N1073="Pendiente"),1,0)</f>
        <v/>
      </c>
      <c r="R1077" s="3">
        <f>IF(Q1077=1,100000-N1077*1000+1070*0.01,9000000000000+1070)</f>
        <v/>
      </c>
      <c r="S1077" s="3">
        <f>IF(Q1077=1,SUMPRODUCT(--($R$8:$R$1207&lt;R1077))+1,"")</f>
        <v/>
      </c>
      <c r="T1077" s="12">
        <f>IF(K1077=1,'ORDENES'!$J1073,"")</f>
        <v/>
      </c>
    </row>
    <row r="1078">
      <c r="K1078" s="3">
        <f>IF(AND(IF($B$3="(todos)",TRUE,'ORDENES'!$O1074=$B$3),IF($D$3="(todos)",TRUE,'ORDENES'!$AF1074=$D$3),IF($F$3="(todos)",TRUE,'ORDENES'!$X1074=$F$3),IF($H$3="(todos)",TRUE,'ORDENES'!$W1074=$H$3),'ORDENES'!$AD1074=TRUE,'ORDENES'!$A1074&lt;&gt;""),1,0)</f>
        <v/>
      </c>
      <c r="L1078" s="3">
        <f>IF(K1078=1,IFERROR(MATCH('ORDENES'!$R1074,lista_dias,0),9)*1000000000+IFERROR(MATCH('ORDENES'!$AF1074,lista_turnos,0),9)*10000000+IFERROR(MATCH('ORDENES'!$AE1074,tblTecnicos[nombre],0),99)*100000+1071,9000000000000+1071)</f>
        <v/>
      </c>
      <c r="M1078" s="3">
        <f>IF(K1078=1,SUMPRODUCT(--($L$8:$L$1207&lt;L1078))+1,"")</f>
        <v/>
      </c>
      <c r="N1078" s="17">
        <f>IF(K1078=1,N('ORDENES'!$M1074),0)</f>
        <v/>
      </c>
      <c r="O1078" s="17">
        <f>IF('ORDENES'!$T1074="preventiva",N1078,0)</f>
        <v/>
      </c>
      <c r="P1078" s="17">
        <f>IF('ORDENES'!$T1074="correctiva",N1078,0)</f>
        <v/>
      </c>
      <c r="Q1078" s="3">
        <f>IF(AND(K1078=1,'ORDENES'!$N1074="Pendiente"),1,0)</f>
        <v/>
      </c>
      <c r="R1078" s="3">
        <f>IF(Q1078=1,100000-N1078*1000+1071*0.01,9000000000000+1071)</f>
        <v/>
      </c>
      <c r="S1078" s="3">
        <f>IF(Q1078=1,SUMPRODUCT(--($R$8:$R$1207&lt;R1078))+1,"")</f>
        <v/>
      </c>
      <c r="T1078" s="12">
        <f>IF(K1078=1,'ORDENES'!$J1074,"")</f>
        <v/>
      </c>
    </row>
    <row r="1079">
      <c r="K1079" s="3">
        <f>IF(AND(IF($B$3="(todos)",TRUE,'ORDENES'!$O1075=$B$3),IF($D$3="(todos)",TRUE,'ORDENES'!$AF1075=$D$3),IF($F$3="(todos)",TRUE,'ORDENES'!$X1075=$F$3),IF($H$3="(todos)",TRUE,'ORDENES'!$W1075=$H$3),'ORDENES'!$AD1075=TRUE,'ORDENES'!$A1075&lt;&gt;""),1,0)</f>
        <v/>
      </c>
      <c r="L1079" s="3">
        <f>IF(K1079=1,IFERROR(MATCH('ORDENES'!$R1075,lista_dias,0),9)*1000000000+IFERROR(MATCH('ORDENES'!$AF1075,lista_turnos,0),9)*10000000+IFERROR(MATCH('ORDENES'!$AE1075,tblTecnicos[nombre],0),99)*100000+1072,9000000000000+1072)</f>
        <v/>
      </c>
      <c r="M1079" s="3">
        <f>IF(K1079=1,SUMPRODUCT(--($L$8:$L$1207&lt;L1079))+1,"")</f>
        <v/>
      </c>
      <c r="N1079" s="17">
        <f>IF(K1079=1,N('ORDENES'!$M1075),0)</f>
        <v/>
      </c>
      <c r="O1079" s="17">
        <f>IF('ORDENES'!$T1075="preventiva",N1079,0)</f>
        <v/>
      </c>
      <c r="P1079" s="17">
        <f>IF('ORDENES'!$T1075="correctiva",N1079,0)</f>
        <v/>
      </c>
      <c r="Q1079" s="3">
        <f>IF(AND(K1079=1,'ORDENES'!$N1075="Pendiente"),1,0)</f>
        <v/>
      </c>
      <c r="R1079" s="3">
        <f>IF(Q1079=1,100000-N1079*1000+1072*0.01,9000000000000+1072)</f>
        <v/>
      </c>
      <c r="S1079" s="3">
        <f>IF(Q1079=1,SUMPRODUCT(--($R$8:$R$1207&lt;R1079))+1,"")</f>
        <v/>
      </c>
      <c r="T1079" s="12">
        <f>IF(K1079=1,'ORDENES'!$J1075,"")</f>
        <v/>
      </c>
    </row>
    <row r="1080">
      <c r="K1080" s="3">
        <f>IF(AND(IF($B$3="(todos)",TRUE,'ORDENES'!$O1076=$B$3),IF($D$3="(todos)",TRUE,'ORDENES'!$AF1076=$D$3),IF($F$3="(todos)",TRUE,'ORDENES'!$X1076=$F$3),IF($H$3="(todos)",TRUE,'ORDENES'!$W1076=$H$3),'ORDENES'!$AD1076=TRUE,'ORDENES'!$A1076&lt;&gt;""),1,0)</f>
        <v/>
      </c>
      <c r="L1080" s="3">
        <f>IF(K1080=1,IFERROR(MATCH('ORDENES'!$R1076,lista_dias,0),9)*1000000000+IFERROR(MATCH('ORDENES'!$AF1076,lista_turnos,0),9)*10000000+IFERROR(MATCH('ORDENES'!$AE1076,tblTecnicos[nombre],0),99)*100000+1073,9000000000000+1073)</f>
        <v/>
      </c>
      <c r="M1080" s="3">
        <f>IF(K1080=1,SUMPRODUCT(--($L$8:$L$1207&lt;L1080))+1,"")</f>
        <v/>
      </c>
      <c r="N1080" s="17">
        <f>IF(K1080=1,N('ORDENES'!$M1076),0)</f>
        <v/>
      </c>
      <c r="O1080" s="17">
        <f>IF('ORDENES'!$T1076="preventiva",N1080,0)</f>
        <v/>
      </c>
      <c r="P1080" s="17">
        <f>IF('ORDENES'!$T1076="correctiva",N1080,0)</f>
        <v/>
      </c>
      <c r="Q1080" s="3">
        <f>IF(AND(K1080=1,'ORDENES'!$N1076="Pendiente"),1,0)</f>
        <v/>
      </c>
      <c r="R1080" s="3">
        <f>IF(Q1080=1,100000-N1080*1000+1073*0.01,9000000000000+1073)</f>
        <v/>
      </c>
      <c r="S1080" s="3">
        <f>IF(Q1080=1,SUMPRODUCT(--($R$8:$R$1207&lt;R1080))+1,"")</f>
        <v/>
      </c>
      <c r="T1080" s="12">
        <f>IF(K1080=1,'ORDENES'!$J1076,"")</f>
        <v/>
      </c>
    </row>
    <row r="1081">
      <c r="K1081" s="3">
        <f>IF(AND(IF($B$3="(todos)",TRUE,'ORDENES'!$O1077=$B$3),IF($D$3="(todos)",TRUE,'ORDENES'!$AF1077=$D$3),IF($F$3="(todos)",TRUE,'ORDENES'!$X1077=$F$3),IF($H$3="(todos)",TRUE,'ORDENES'!$W1077=$H$3),'ORDENES'!$AD1077=TRUE,'ORDENES'!$A1077&lt;&gt;""),1,0)</f>
        <v/>
      </c>
      <c r="L1081" s="3">
        <f>IF(K1081=1,IFERROR(MATCH('ORDENES'!$R1077,lista_dias,0),9)*1000000000+IFERROR(MATCH('ORDENES'!$AF1077,lista_turnos,0),9)*10000000+IFERROR(MATCH('ORDENES'!$AE1077,tblTecnicos[nombre],0),99)*100000+1074,9000000000000+1074)</f>
        <v/>
      </c>
      <c r="M1081" s="3">
        <f>IF(K1081=1,SUMPRODUCT(--($L$8:$L$1207&lt;L1081))+1,"")</f>
        <v/>
      </c>
      <c r="N1081" s="17">
        <f>IF(K1081=1,N('ORDENES'!$M1077),0)</f>
        <v/>
      </c>
      <c r="O1081" s="17">
        <f>IF('ORDENES'!$T1077="preventiva",N1081,0)</f>
        <v/>
      </c>
      <c r="P1081" s="17">
        <f>IF('ORDENES'!$T1077="correctiva",N1081,0)</f>
        <v/>
      </c>
      <c r="Q1081" s="3">
        <f>IF(AND(K1081=1,'ORDENES'!$N1077="Pendiente"),1,0)</f>
        <v/>
      </c>
      <c r="R1081" s="3">
        <f>IF(Q1081=1,100000-N1081*1000+1074*0.01,9000000000000+1074)</f>
        <v/>
      </c>
      <c r="S1081" s="3">
        <f>IF(Q1081=1,SUMPRODUCT(--($R$8:$R$1207&lt;R1081))+1,"")</f>
        <v/>
      </c>
      <c r="T1081" s="12">
        <f>IF(K1081=1,'ORDENES'!$J1077,"")</f>
        <v/>
      </c>
    </row>
    <row r="1082">
      <c r="K1082" s="3">
        <f>IF(AND(IF($B$3="(todos)",TRUE,'ORDENES'!$O1078=$B$3),IF($D$3="(todos)",TRUE,'ORDENES'!$AF1078=$D$3),IF($F$3="(todos)",TRUE,'ORDENES'!$X1078=$F$3),IF($H$3="(todos)",TRUE,'ORDENES'!$W1078=$H$3),'ORDENES'!$AD1078=TRUE,'ORDENES'!$A1078&lt;&gt;""),1,0)</f>
        <v/>
      </c>
      <c r="L1082" s="3">
        <f>IF(K1082=1,IFERROR(MATCH('ORDENES'!$R1078,lista_dias,0),9)*1000000000+IFERROR(MATCH('ORDENES'!$AF1078,lista_turnos,0),9)*10000000+IFERROR(MATCH('ORDENES'!$AE1078,tblTecnicos[nombre],0),99)*100000+1075,9000000000000+1075)</f>
        <v/>
      </c>
      <c r="M1082" s="3">
        <f>IF(K1082=1,SUMPRODUCT(--($L$8:$L$1207&lt;L1082))+1,"")</f>
        <v/>
      </c>
      <c r="N1082" s="17">
        <f>IF(K1082=1,N('ORDENES'!$M1078),0)</f>
        <v/>
      </c>
      <c r="O1082" s="17">
        <f>IF('ORDENES'!$T1078="preventiva",N1082,0)</f>
        <v/>
      </c>
      <c r="P1082" s="17">
        <f>IF('ORDENES'!$T1078="correctiva",N1082,0)</f>
        <v/>
      </c>
      <c r="Q1082" s="3">
        <f>IF(AND(K1082=1,'ORDENES'!$N1078="Pendiente"),1,0)</f>
        <v/>
      </c>
      <c r="R1082" s="3">
        <f>IF(Q1082=1,100000-N1082*1000+1075*0.01,9000000000000+1075)</f>
        <v/>
      </c>
      <c r="S1082" s="3">
        <f>IF(Q1082=1,SUMPRODUCT(--($R$8:$R$1207&lt;R1082))+1,"")</f>
        <v/>
      </c>
      <c r="T1082" s="12">
        <f>IF(K1082=1,'ORDENES'!$J1078,"")</f>
        <v/>
      </c>
    </row>
    <row r="1083">
      <c r="K1083" s="3">
        <f>IF(AND(IF($B$3="(todos)",TRUE,'ORDENES'!$O1079=$B$3),IF($D$3="(todos)",TRUE,'ORDENES'!$AF1079=$D$3),IF($F$3="(todos)",TRUE,'ORDENES'!$X1079=$F$3),IF($H$3="(todos)",TRUE,'ORDENES'!$W1079=$H$3),'ORDENES'!$AD1079=TRUE,'ORDENES'!$A1079&lt;&gt;""),1,0)</f>
        <v/>
      </c>
      <c r="L1083" s="3">
        <f>IF(K1083=1,IFERROR(MATCH('ORDENES'!$R1079,lista_dias,0),9)*1000000000+IFERROR(MATCH('ORDENES'!$AF1079,lista_turnos,0),9)*10000000+IFERROR(MATCH('ORDENES'!$AE1079,tblTecnicos[nombre],0),99)*100000+1076,9000000000000+1076)</f>
        <v/>
      </c>
      <c r="M1083" s="3">
        <f>IF(K1083=1,SUMPRODUCT(--($L$8:$L$1207&lt;L1083))+1,"")</f>
        <v/>
      </c>
      <c r="N1083" s="17">
        <f>IF(K1083=1,N('ORDENES'!$M1079),0)</f>
        <v/>
      </c>
      <c r="O1083" s="17">
        <f>IF('ORDENES'!$T1079="preventiva",N1083,0)</f>
        <v/>
      </c>
      <c r="P1083" s="17">
        <f>IF('ORDENES'!$T1079="correctiva",N1083,0)</f>
        <v/>
      </c>
      <c r="Q1083" s="3">
        <f>IF(AND(K1083=1,'ORDENES'!$N1079="Pendiente"),1,0)</f>
        <v/>
      </c>
      <c r="R1083" s="3">
        <f>IF(Q1083=1,100000-N1083*1000+1076*0.01,9000000000000+1076)</f>
        <v/>
      </c>
      <c r="S1083" s="3">
        <f>IF(Q1083=1,SUMPRODUCT(--($R$8:$R$1207&lt;R1083))+1,"")</f>
        <v/>
      </c>
      <c r="T1083" s="12">
        <f>IF(K1083=1,'ORDENES'!$J1079,"")</f>
        <v/>
      </c>
    </row>
    <row r="1084">
      <c r="K1084" s="3">
        <f>IF(AND(IF($B$3="(todos)",TRUE,'ORDENES'!$O1080=$B$3),IF($D$3="(todos)",TRUE,'ORDENES'!$AF1080=$D$3),IF($F$3="(todos)",TRUE,'ORDENES'!$X1080=$F$3),IF($H$3="(todos)",TRUE,'ORDENES'!$W1080=$H$3),'ORDENES'!$AD1080=TRUE,'ORDENES'!$A1080&lt;&gt;""),1,0)</f>
        <v/>
      </c>
      <c r="L1084" s="3">
        <f>IF(K1084=1,IFERROR(MATCH('ORDENES'!$R1080,lista_dias,0),9)*1000000000+IFERROR(MATCH('ORDENES'!$AF1080,lista_turnos,0),9)*10000000+IFERROR(MATCH('ORDENES'!$AE1080,tblTecnicos[nombre],0),99)*100000+1077,9000000000000+1077)</f>
        <v/>
      </c>
      <c r="M1084" s="3">
        <f>IF(K1084=1,SUMPRODUCT(--($L$8:$L$1207&lt;L1084))+1,"")</f>
        <v/>
      </c>
      <c r="N1084" s="17">
        <f>IF(K1084=1,N('ORDENES'!$M1080),0)</f>
        <v/>
      </c>
      <c r="O1084" s="17">
        <f>IF('ORDENES'!$T1080="preventiva",N1084,0)</f>
        <v/>
      </c>
      <c r="P1084" s="17">
        <f>IF('ORDENES'!$T1080="correctiva",N1084,0)</f>
        <v/>
      </c>
      <c r="Q1084" s="3">
        <f>IF(AND(K1084=1,'ORDENES'!$N1080="Pendiente"),1,0)</f>
        <v/>
      </c>
      <c r="R1084" s="3">
        <f>IF(Q1084=1,100000-N1084*1000+1077*0.01,9000000000000+1077)</f>
        <v/>
      </c>
      <c r="S1084" s="3">
        <f>IF(Q1084=1,SUMPRODUCT(--($R$8:$R$1207&lt;R1084))+1,"")</f>
        <v/>
      </c>
      <c r="T1084" s="12">
        <f>IF(K1084=1,'ORDENES'!$J1080,"")</f>
        <v/>
      </c>
    </row>
    <row r="1085">
      <c r="K1085" s="3">
        <f>IF(AND(IF($B$3="(todos)",TRUE,'ORDENES'!$O1081=$B$3),IF($D$3="(todos)",TRUE,'ORDENES'!$AF1081=$D$3),IF($F$3="(todos)",TRUE,'ORDENES'!$X1081=$F$3),IF($H$3="(todos)",TRUE,'ORDENES'!$W1081=$H$3),'ORDENES'!$AD1081=TRUE,'ORDENES'!$A1081&lt;&gt;""),1,0)</f>
        <v/>
      </c>
      <c r="L1085" s="3">
        <f>IF(K1085=1,IFERROR(MATCH('ORDENES'!$R1081,lista_dias,0),9)*1000000000+IFERROR(MATCH('ORDENES'!$AF1081,lista_turnos,0),9)*10000000+IFERROR(MATCH('ORDENES'!$AE1081,tblTecnicos[nombre],0),99)*100000+1078,9000000000000+1078)</f>
        <v/>
      </c>
      <c r="M1085" s="3">
        <f>IF(K1085=1,SUMPRODUCT(--($L$8:$L$1207&lt;L1085))+1,"")</f>
        <v/>
      </c>
      <c r="N1085" s="17">
        <f>IF(K1085=1,N('ORDENES'!$M1081),0)</f>
        <v/>
      </c>
      <c r="O1085" s="17">
        <f>IF('ORDENES'!$T1081="preventiva",N1085,0)</f>
        <v/>
      </c>
      <c r="P1085" s="17">
        <f>IF('ORDENES'!$T1081="correctiva",N1085,0)</f>
        <v/>
      </c>
      <c r="Q1085" s="3">
        <f>IF(AND(K1085=1,'ORDENES'!$N1081="Pendiente"),1,0)</f>
        <v/>
      </c>
      <c r="R1085" s="3">
        <f>IF(Q1085=1,100000-N1085*1000+1078*0.01,9000000000000+1078)</f>
        <v/>
      </c>
      <c r="S1085" s="3">
        <f>IF(Q1085=1,SUMPRODUCT(--($R$8:$R$1207&lt;R1085))+1,"")</f>
        <v/>
      </c>
      <c r="T1085" s="12">
        <f>IF(K1085=1,'ORDENES'!$J1081,"")</f>
        <v/>
      </c>
    </row>
    <row r="1086">
      <c r="K1086" s="3">
        <f>IF(AND(IF($B$3="(todos)",TRUE,'ORDENES'!$O1082=$B$3),IF($D$3="(todos)",TRUE,'ORDENES'!$AF1082=$D$3),IF($F$3="(todos)",TRUE,'ORDENES'!$X1082=$F$3),IF($H$3="(todos)",TRUE,'ORDENES'!$W1082=$H$3),'ORDENES'!$AD1082=TRUE,'ORDENES'!$A1082&lt;&gt;""),1,0)</f>
        <v/>
      </c>
      <c r="L1086" s="3">
        <f>IF(K1086=1,IFERROR(MATCH('ORDENES'!$R1082,lista_dias,0),9)*1000000000+IFERROR(MATCH('ORDENES'!$AF1082,lista_turnos,0),9)*10000000+IFERROR(MATCH('ORDENES'!$AE1082,tblTecnicos[nombre],0),99)*100000+1079,9000000000000+1079)</f>
        <v/>
      </c>
      <c r="M1086" s="3">
        <f>IF(K1086=1,SUMPRODUCT(--($L$8:$L$1207&lt;L1086))+1,"")</f>
        <v/>
      </c>
      <c r="N1086" s="17">
        <f>IF(K1086=1,N('ORDENES'!$M1082),0)</f>
        <v/>
      </c>
      <c r="O1086" s="17">
        <f>IF('ORDENES'!$T1082="preventiva",N1086,0)</f>
        <v/>
      </c>
      <c r="P1086" s="17">
        <f>IF('ORDENES'!$T1082="correctiva",N1086,0)</f>
        <v/>
      </c>
      <c r="Q1086" s="3">
        <f>IF(AND(K1086=1,'ORDENES'!$N1082="Pendiente"),1,0)</f>
        <v/>
      </c>
      <c r="R1086" s="3">
        <f>IF(Q1086=1,100000-N1086*1000+1079*0.01,9000000000000+1079)</f>
        <v/>
      </c>
      <c r="S1086" s="3">
        <f>IF(Q1086=1,SUMPRODUCT(--($R$8:$R$1207&lt;R1086))+1,"")</f>
        <v/>
      </c>
      <c r="T1086" s="12">
        <f>IF(K1086=1,'ORDENES'!$J1082,"")</f>
        <v/>
      </c>
    </row>
    <row r="1087">
      <c r="K1087" s="3">
        <f>IF(AND(IF($B$3="(todos)",TRUE,'ORDENES'!$O1083=$B$3),IF($D$3="(todos)",TRUE,'ORDENES'!$AF1083=$D$3),IF($F$3="(todos)",TRUE,'ORDENES'!$X1083=$F$3),IF($H$3="(todos)",TRUE,'ORDENES'!$W1083=$H$3),'ORDENES'!$AD1083=TRUE,'ORDENES'!$A1083&lt;&gt;""),1,0)</f>
        <v/>
      </c>
      <c r="L1087" s="3">
        <f>IF(K1087=1,IFERROR(MATCH('ORDENES'!$R1083,lista_dias,0),9)*1000000000+IFERROR(MATCH('ORDENES'!$AF1083,lista_turnos,0),9)*10000000+IFERROR(MATCH('ORDENES'!$AE1083,tblTecnicos[nombre],0),99)*100000+1080,9000000000000+1080)</f>
        <v/>
      </c>
      <c r="M1087" s="3">
        <f>IF(K1087=1,SUMPRODUCT(--($L$8:$L$1207&lt;L1087))+1,"")</f>
        <v/>
      </c>
      <c r="N1087" s="17">
        <f>IF(K1087=1,N('ORDENES'!$M1083),0)</f>
        <v/>
      </c>
      <c r="O1087" s="17">
        <f>IF('ORDENES'!$T1083="preventiva",N1087,0)</f>
        <v/>
      </c>
      <c r="P1087" s="17">
        <f>IF('ORDENES'!$T1083="correctiva",N1087,0)</f>
        <v/>
      </c>
      <c r="Q1087" s="3">
        <f>IF(AND(K1087=1,'ORDENES'!$N1083="Pendiente"),1,0)</f>
        <v/>
      </c>
      <c r="R1087" s="3">
        <f>IF(Q1087=1,100000-N1087*1000+1080*0.01,9000000000000+1080)</f>
        <v/>
      </c>
      <c r="S1087" s="3">
        <f>IF(Q1087=1,SUMPRODUCT(--($R$8:$R$1207&lt;R1087))+1,"")</f>
        <v/>
      </c>
      <c r="T1087" s="12">
        <f>IF(K1087=1,'ORDENES'!$J1083,"")</f>
        <v/>
      </c>
    </row>
    <row r="1088">
      <c r="K1088" s="3">
        <f>IF(AND(IF($B$3="(todos)",TRUE,'ORDENES'!$O1084=$B$3),IF($D$3="(todos)",TRUE,'ORDENES'!$AF1084=$D$3),IF($F$3="(todos)",TRUE,'ORDENES'!$X1084=$F$3),IF($H$3="(todos)",TRUE,'ORDENES'!$W1084=$H$3),'ORDENES'!$AD1084=TRUE,'ORDENES'!$A1084&lt;&gt;""),1,0)</f>
        <v/>
      </c>
      <c r="L1088" s="3">
        <f>IF(K1088=1,IFERROR(MATCH('ORDENES'!$R1084,lista_dias,0),9)*1000000000+IFERROR(MATCH('ORDENES'!$AF1084,lista_turnos,0),9)*10000000+IFERROR(MATCH('ORDENES'!$AE1084,tblTecnicos[nombre],0),99)*100000+1081,9000000000000+1081)</f>
        <v/>
      </c>
      <c r="M1088" s="3">
        <f>IF(K1088=1,SUMPRODUCT(--($L$8:$L$1207&lt;L1088))+1,"")</f>
        <v/>
      </c>
      <c r="N1088" s="17">
        <f>IF(K1088=1,N('ORDENES'!$M1084),0)</f>
        <v/>
      </c>
      <c r="O1088" s="17">
        <f>IF('ORDENES'!$T1084="preventiva",N1088,0)</f>
        <v/>
      </c>
      <c r="P1088" s="17">
        <f>IF('ORDENES'!$T1084="correctiva",N1088,0)</f>
        <v/>
      </c>
      <c r="Q1088" s="3">
        <f>IF(AND(K1088=1,'ORDENES'!$N1084="Pendiente"),1,0)</f>
        <v/>
      </c>
      <c r="R1088" s="3">
        <f>IF(Q1088=1,100000-N1088*1000+1081*0.01,9000000000000+1081)</f>
        <v/>
      </c>
      <c r="S1088" s="3">
        <f>IF(Q1088=1,SUMPRODUCT(--($R$8:$R$1207&lt;R1088))+1,"")</f>
        <v/>
      </c>
      <c r="T1088" s="12">
        <f>IF(K1088=1,'ORDENES'!$J1084,"")</f>
        <v/>
      </c>
    </row>
    <row r="1089">
      <c r="K1089" s="3">
        <f>IF(AND(IF($B$3="(todos)",TRUE,'ORDENES'!$O1085=$B$3),IF($D$3="(todos)",TRUE,'ORDENES'!$AF1085=$D$3),IF($F$3="(todos)",TRUE,'ORDENES'!$X1085=$F$3),IF($H$3="(todos)",TRUE,'ORDENES'!$W1085=$H$3),'ORDENES'!$AD1085=TRUE,'ORDENES'!$A1085&lt;&gt;""),1,0)</f>
        <v/>
      </c>
      <c r="L1089" s="3">
        <f>IF(K1089=1,IFERROR(MATCH('ORDENES'!$R1085,lista_dias,0),9)*1000000000+IFERROR(MATCH('ORDENES'!$AF1085,lista_turnos,0),9)*10000000+IFERROR(MATCH('ORDENES'!$AE1085,tblTecnicos[nombre],0),99)*100000+1082,9000000000000+1082)</f>
        <v/>
      </c>
      <c r="M1089" s="3">
        <f>IF(K1089=1,SUMPRODUCT(--($L$8:$L$1207&lt;L1089))+1,"")</f>
        <v/>
      </c>
      <c r="N1089" s="17">
        <f>IF(K1089=1,N('ORDENES'!$M1085),0)</f>
        <v/>
      </c>
      <c r="O1089" s="17">
        <f>IF('ORDENES'!$T1085="preventiva",N1089,0)</f>
        <v/>
      </c>
      <c r="P1089" s="17">
        <f>IF('ORDENES'!$T1085="correctiva",N1089,0)</f>
        <v/>
      </c>
      <c r="Q1089" s="3">
        <f>IF(AND(K1089=1,'ORDENES'!$N1085="Pendiente"),1,0)</f>
        <v/>
      </c>
      <c r="R1089" s="3">
        <f>IF(Q1089=1,100000-N1089*1000+1082*0.01,9000000000000+1082)</f>
        <v/>
      </c>
      <c r="S1089" s="3">
        <f>IF(Q1089=1,SUMPRODUCT(--($R$8:$R$1207&lt;R1089))+1,"")</f>
        <v/>
      </c>
      <c r="T1089" s="12">
        <f>IF(K1089=1,'ORDENES'!$J1085,"")</f>
        <v/>
      </c>
    </row>
    <row r="1090">
      <c r="K1090" s="3">
        <f>IF(AND(IF($B$3="(todos)",TRUE,'ORDENES'!$O1086=$B$3),IF($D$3="(todos)",TRUE,'ORDENES'!$AF1086=$D$3),IF($F$3="(todos)",TRUE,'ORDENES'!$X1086=$F$3),IF($H$3="(todos)",TRUE,'ORDENES'!$W1086=$H$3),'ORDENES'!$AD1086=TRUE,'ORDENES'!$A1086&lt;&gt;""),1,0)</f>
        <v/>
      </c>
      <c r="L1090" s="3">
        <f>IF(K1090=1,IFERROR(MATCH('ORDENES'!$R1086,lista_dias,0),9)*1000000000+IFERROR(MATCH('ORDENES'!$AF1086,lista_turnos,0),9)*10000000+IFERROR(MATCH('ORDENES'!$AE1086,tblTecnicos[nombre],0),99)*100000+1083,9000000000000+1083)</f>
        <v/>
      </c>
      <c r="M1090" s="3">
        <f>IF(K1090=1,SUMPRODUCT(--($L$8:$L$1207&lt;L1090))+1,"")</f>
        <v/>
      </c>
      <c r="N1090" s="17">
        <f>IF(K1090=1,N('ORDENES'!$M1086),0)</f>
        <v/>
      </c>
      <c r="O1090" s="17">
        <f>IF('ORDENES'!$T1086="preventiva",N1090,0)</f>
        <v/>
      </c>
      <c r="P1090" s="17">
        <f>IF('ORDENES'!$T1086="correctiva",N1090,0)</f>
        <v/>
      </c>
      <c r="Q1090" s="3">
        <f>IF(AND(K1090=1,'ORDENES'!$N1086="Pendiente"),1,0)</f>
        <v/>
      </c>
      <c r="R1090" s="3">
        <f>IF(Q1090=1,100000-N1090*1000+1083*0.01,9000000000000+1083)</f>
        <v/>
      </c>
      <c r="S1090" s="3">
        <f>IF(Q1090=1,SUMPRODUCT(--($R$8:$R$1207&lt;R1090))+1,"")</f>
        <v/>
      </c>
      <c r="T1090" s="12">
        <f>IF(K1090=1,'ORDENES'!$J1086,"")</f>
        <v/>
      </c>
    </row>
    <row r="1091">
      <c r="K1091" s="3">
        <f>IF(AND(IF($B$3="(todos)",TRUE,'ORDENES'!$O1087=$B$3),IF($D$3="(todos)",TRUE,'ORDENES'!$AF1087=$D$3),IF($F$3="(todos)",TRUE,'ORDENES'!$X1087=$F$3),IF($H$3="(todos)",TRUE,'ORDENES'!$W1087=$H$3),'ORDENES'!$AD1087=TRUE,'ORDENES'!$A1087&lt;&gt;""),1,0)</f>
        <v/>
      </c>
      <c r="L1091" s="3">
        <f>IF(K1091=1,IFERROR(MATCH('ORDENES'!$R1087,lista_dias,0),9)*1000000000+IFERROR(MATCH('ORDENES'!$AF1087,lista_turnos,0),9)*10000000+IFERROR(MATCH('ORDENES'!$AE1087,tblTecnicos[nombre],0),99)*100000+1084,9000000000000+1084)</f>
        <v/>
      </c>
      <c r="M1091" s="3">
        <f>IF(K1091=1,SUMPRODUCT(--($L$8:$L$1207&lt;L1091))+1,"")</f>
        <v/>
      </c>
      <c r="N1091" s="17">
        <f>IF(K1091=1,N('ORDENES'!$M1087),0)</f>
        <v/>
      </c>
      <c r="O1091" s="17">
        <f>IF('ORDENES'!$T1087="preventiva",N1091,0)</f>
        <v/>
      </c>
      <c r="P1091" s="17">
        <f>IF('ORDENES'!$T1087="correctiva",N1091,0)</f>
        <v/>
      </c>
      <c r="Q1091" s="3">
        <f>IF(AND(K1091=1,'ORDENES'!$N1087="Pendiente"),1,0)</f>
        <v/>
      </c>
      <c r="R1091" s="3">
        <f>IF(Q1091=1,100000-N1091*1000+1084*0.01,9000000000000+1084)</f>
        <v/>
      </c>
      <c r="S1091" s="3">
        <f>IF(Q1091=1,SUMPRODUCT(--($R$8:$R$1207&lt;R1091))+1,"")</f>
        <v/>
      </c>
      <c r="T1091" s="12">
        <f>IF(K1091=1,'ORDENES'!$J1087,"")</f>
        <v/>
      </c>
    </row>
    <row r="1092">
      <c r="K1092" s="3">
        <f>IF(AND(IF($B$3="(todos)",TRUE,'ORDENES'!$O1088=$B$3),IF($D$3="(todos)",TRUE,'ORDENES'!$AF1088=$D$3),IF($F$3="(todos)",TRUE,'ORDENES'!$X1088=$F$3),IF($H$3="(todos)",TRUE,'ORDENES'!$W1088=$H$3),'ORDENES'!$AD1088=TRUE,'ORDENES'!$A1088&lt;&gt;""),1,0)</f>
        <v/>
      </c>
      <c r="L1092" s="3">
        <f>IF(K1092=1,IFERROR(MATCH('ORDENES'!$R1088,lista_dias,0),9)*1000000000+IFERROR(MATCH('ORDENES'!$AF1088,lista_turnos,0),9)*10000000+IFERROR(MATCH('ORDENES'!$AE1088,tblTecnicos[nombre],0),99)*100000+1085,9000000000000+1085)</f>
        <v/>
      </c>
      <c r="M1092" s="3">
        <f>IF(K1092=1,SUMPRODUCT(--($L$8:$L$1207&lt;L1092))+1,"")</f>
        <v/>
      </c>
      <c r="N1092" s="17">
        <f>IF(K1092=1,N('ORDENES'!$M1088),0)</f>
        <v/>
      </c>
      <c r="O1092" s="17">
        <f>IF('ORDENES'!$T1088="preventiva",N1092,0)</f>
        <v/>
      </c>
      <c r="P1092" s="17">
        <f>IF('ORDENES'!$T1088="correctiva",N1092,0)</f>
        <v/>
      </c>
      <c r="Q1092" s="3">
        <f>IF(AND(K1092=1,'ORDENES'!$N1088="Pendiente"),1,0)</f>
        <v/>
      </c>
      <c r="R1092" s="3">
        <f>IF(Q1092=1,100000-N1092*1000+1085*0.01,9000000000000+1085)</f>
        <v/>
      </c>
      <c r="S1092" s="3">
        <f>IF(Q1092=1,SUMPRODUCT(--($R$8:$R$1207&lt;R1092))+1,"")</f>
        <v/>
      </c>
      <c r="T1092" s="12">
        <f>IF(K1092=1,'ORDENES'!$J1088,"")</f>
        <v/>
      </c>
    </row>
    <row r="1093">
      <c r="K1093" s="3">
        <f>IF(AND(IF($B$3="(todos)",TRUE,'ORDENES'!$O1089=$B$3),IF($D$3="(todos)",TRUE,'ORDENES'!$AF1089=$D$3),IF($F$3="(todos)",TRUE,'ORDENES'!$X1089=$F$3),IF($H$3="(todos)",TRUE,'ORDENES'!$W1089=$H$3),'ORDENES'!$AD1089=TRUE,'ORDENES'!$A1089&lt;&gt;""),1,0)</f>
        <v/>
      </c>
      <c r="L1093" s="3">
        <f>IF(K1093=1,IFERROR(MATCH('ORDENES'!$R1089,lista_dias,0),9)*1000000000+IFERROR(MATCH('ORDENES'!$AF1089,lista_turnos,0),9)*10000000+IFERROR(MATCH('ORDENES'!$AE1089,tblTecnicos[nombre],0),99)*100000+1086,9000000000000+1086)</f>
        <v/>
      </c>
      <c r="M1093" s="3">
        <f>IF(K1093=1,SUMPRODUCT(--($L$8:$L$1207&lt;L1093))+1,"")</f>
        <v/>
      </c>
      <c r="N1093" s="17">
        <f>IF(K1093=1,N('ORDENES'!$M1089),0)</f>
        <v/>
      </c>
      <c r="O1093" s="17">
        <f>IF('ORDENES'!$T1089="preventiva",N1093,0)</f>
        <v/>
      </c>
      <c r="P1093" s="17">
        <f>IF('ORDENES'!$T1089="correctiva",N1093,0)</f>
        <v/>
      </c>
      <c r="Q1093" s="3">
        <f>IF(AND(K1093=1,'ORDENES'!$N1089="Pendiente"),1,0)</f>
        <v/>
      </c>
      <c r="R1093" s="3">
        <f>IF(Q1093=1,100000-N1093*1000+1086*0.01,9000000000000+1086)</f>
        <v/>
      </c>
      <c r="S1093" s="3">
        <f>IF(Q1093=1,SUMPRODUCT(--($R$8:$R$1207&lt;R1093))+1,"")</f>
        <v/>
      </c>
      <c r="T1093" s="12">
        <f>IF(K1093=1,'ORDENES'!$J1089,"")</f>
        <v/>
      </c>
    </row>
    <row r="1094">
      <c r="K1094" s="3">
        <f>IF(AND(IF($B$3="(todos)",TRUE,'ORDENES'!$O1090=$B$3),IF($D$3="(todos)",TRUE,'ORDENES'!$AF1090=$D$3),IF($F$3="(todos)",TRUE,'ORDENES'!$X1090=$F$3),IF($H$3="(todos)",TRUE,'ORDENES'!$W1090=$H$3),'ORDENES'!$AD1090=TRUE,'ORDENES'!$A1090&lt;&gt;""),1,0)</f>
        <v/>
      </c>
      <c r="L1094" s="3">
        <f>IF(K1094=1,IFERROR(MATCH('ORDENES'!$R1090,lista_dias,0),9)*1000000000+IFERROR(MATCH('ORDENES'!$AF1090,lista_turnos,0),9)*10000000+IFERROR(MATCH('ORDENES'!$AE1090,tblTecnicos[nombre],0),99)*100000+1087,9000000000000+1087)</f>
        <v/>
      </c>
      <c r="M1094" s="3">
        <f>IF(K1094=1,SUMPRODUCT(--($L$8:$L$1207&lt;L1094))+1,"")</f>
        <v/>
      </c>
      <c r="N1094" s="17">
        <f>IF(K1094=1,N('ORDENES'!$M1090),0)</f>
        <v/>
      </c>
      <c r="O1094" s="17">
        <f>IF('ORDENES'!$T1090="preventiva",N1094,0)</f>
        <v/>
      </c>
      <c r="P1094" s="17">
        <f>IF('ORDENES'!$T1090="correctiva",N1094,0)</f>
        <v/>
      </c>
      <c r="Q1094" s="3">
        <f>IF(AND(K1094=1,'ORDENES'!$N1090="Pendiente"),1,0)</f>
        <v/>
      </c>
      <c r="R1094" s="3">
        <f>IF(Q1094=1,100000-N1094*1000+1087*0.01,9000000000000+1087)</f>
        <v/>
      </c>
      <c r="S1094" s="3">
        <f>IF(Q1094=1,SUMPRODUCT(--($R$8:$R$1207&lt;R1094))+1,"")</f>
        <v/>
      </c>
      <c r="T1094" s="12">
        <f>IF(K1094=1,'ORDENES'!$J1090,"")</f>
        <v/>
      </c>
    </row>
    <row r="1095">
      <c r="K1095" s="3">
        <f>IF(AND(IF($B$3="(todos)",TRUE,'ORDENES'!$O1091=$B$3),IF($D$3="(todos)",TRUE,'ORDENES'!$AF1091=$D$3),IF($F$3="(todos)",TRUE,'ORDENES'!$X1091=$F$3),IF($H$3="(todos)",TRUE,'ORDENES'!$W1091=$H$3),'ORDENES'!$AD1091=TRUE,'ORDENES'!$A1091&lt;&gt;""),1,0)</f>
        <v/>
      </c>
      <c r="L1095" s="3">
        <f>IF(K1095=1,IFERROR(MATCH('ORDENES'!$R1091,lista_dias,0),9)*1000000000+IFERROR(MATCH('ORDENES'!$AF1091,lista_turnos,0),9)*10000000+IFERROR(MATCH('ORDENES'!$AE1091,tblTecnicos[nombre],0),99)*100000+1088,9000000000000+1088)</f>
        <v/>
      </c>
      <c r="M1095" s="3">
        <f>IF(K1095=1,SUMPRODUCT(--($L$8:$L$1207&lt;L1095))+1,"")</f>
        <v/>
      </c>
      <c r="N1095" s="17">
        <f>IF(K1095=1,N('ORDENES'!$M1091),0)</f>
        <v/>
      </c>
      <c r="O1095" s="17">
        <f>IF('ORDENES'!$T1091="preventiva",N1095,0)</f>
        <v/>
      </c>
      <c r="P1095" s="17">
        <f>IF('ORDENES'!$T1091="correctiva",N1095,0)</f>
        <v/>
      </c>
      <c r="Q1095" s="3">
        <f>IF(AND(K1095=1,'ORDENES'!$N1091="Pendiente"),1,0)</f>
        <v/>
      </c>
      <c r="R1095" s="3">
        <f>IF(Q1095=1,100000-N1095*1000+1088*0.01,9000000000000+1088)</f>
        <v/>
      </c>
      <c r="S1095" s="3">
        <f>IF(Q1095=1,SUMPRODUCT(--($R$8:$R$1207&lt;R1095))+1,"")</f>
        <v/>
      </c>
      <c r="T1095" s="12">
        <f>IF(K1095=1,'ORDENES'!$J1091,"")</f>
        <v/>
      </c>
    </row>
    <row r="1096">
      <c r="K1096" s="3">
        <f>IF(AND(IF($B$3="(todos)",TRUE,'ORDENES'!$O1092=$B$3),IF($D$3="(todos)",TRUE,'ORDENES'!$AF1092=$D$3),IF($F$3="(todos)",TRUE,'ORDENES'!$X1092=$F$3),IF($H$3="(todos)",TRUE,'ORDENES'!$W1092=$H$3),'ORDENES'!$AD1092=TRUE,'ORDENES'!$A1092&lt;&gt;""),1,0)</f>
        <v/>
      </c>
      <c r="L1096" s="3">
        <f>IF(K1096=1,IFERROR(MATCH('ORDENES'!$R1092,lista_dias,0),9)*1000000000+IFERROR(MATCH('ORDENES'!$AF1092,lista_turnos,0),9)*10000000+IFERROR(MATCH('ORDENES'!$AE1092,tblTecnicos[nombre],0),99)*100000+1089,9000000000000+1089)</f>
        <v/>
      </c>
      <c r="M1096" s="3">
        <f>IF(K1096=1,SUMPRODUCT(--($L$8:$L$1207&lt;L1096))+1,"")</f>
        <v/>
      </c>
      <c r="N1096" s="17">
        <f>IF(K1096=1,N('ORDENES'!$M1092),0)</f>
        <v/>
      </c>
      <c r="O1096" s="17">
        <f>IF('ORDENES'!$T1092="preventiva",N1096,0)</f>
        <v/>
      </c>
      <c r="P1096" s="17">
        <f>IF('ORDENES'!$T1092="correctiva",N1096,0)</f>
        <v/>
      </c>
      <c r="Q1096" s="3">
        <f>IF(AND(K1096=1,'ORDENES'!$N1092="Pendiente"),1,0)</f>
        <v/>
      </c>
      <c r="R1096" s="3">
        <f>IF(Q1096=1,100000-N1096*1000+1089*0.01,9000000000000+1089)</f>
        <v/>
      </c>
      <c r="S1096" s="3">
        <f>IF(Q1096=1,SUMPRODUCT(--($R$8:$R$1207&lt;R1096))+1,"")</f>
        <v/>
      </c>
      <c r="T1096" s="12">
        <f>IF(K1096=1,'ORDENES'!$J1092,"")</f>
        <v/>
      </c>
    </row>
    <row r="1097">
      <c r="K1097" s="3">
        <f>IF(AND(IF($B$3="(todos)",TRUE,'ORDENES'!$O1093=$B$3),IF($D$3="(todos)",TRUE,'ORDENES'!$AF1093=$D$3),IF($F$3="(todos)",TRUE,'ORDENES'!$X1093=$F$3),IF($H$3="(todos)",TRUE,'ORDENES'!$W1093=$H$3),'ORDENES'!$AD1093=TRUE,'ORDENES'!$A1093&lt;&gt;""),1,0)</f>
        <v/>
      </c>
      <c r="L1097" s="3">
        <f>IF(K1097=1,IFERROR(MATCH('ORDENES'!$R1093,lista_dias,0),9)*1000000000+IFERROR(MATCH('ORDENES'!$AF1093,lista_turnos,0),9)*10000000+IFERROR(MATCH('ORDENES'!$AE1093,tblTecnicos[nombre],0),99)*100000+1090,9000000000000+1090)</f>
        <v/>
      </c>
      <c r="M1097" s="3">
        <f>IF(K1097=1,SUMPRODUCT(--($L$8:$L$1207&lt;L1097))+1,"")</f>
        <v/>
      </c>
      <c r="N1097" s="17">
        <f>IF(K1097=1,N('ORDENES'!$M1093),0)</f>
        <v/>
      </c>
      <c r="O1097" s="17">
        <f>IF('ORDENES'!$T1093="preventiva",N1097,0)</f>
        <v/>
      </c>
      <c r="P1097" s="17">
        <f>IF('ORDENES'!$T1093="correctiva",N1097,0)</f>
        <v/>
      </c>
      <c r="Q1097" s="3">
        <f>IF(AND(K1097=1,'ORDENES'!$N1093="Pendiente"),1,0)</f>
        <v/>
      </c>
      <c r="R1097" s="3">
        <f>IF(Q1097=1,100000-N1097*1000+1090*0.01,9000000000000+1090)</f>
        <v/>
      </c>
      <c r="S1097" s="3">
        <f>IF(Q1097=1,SUMPRODUCT(--($R$8:$R$1207&lt;R1097))+1,"")</f>
        <v/>
      </c>
      <c r="T1097" s="12">
        <f>IF(K1097=1,'ORDENES'!$J1093,"")</f>
        <v/>
      </c>
    </row>
    <row r="1098">
      <c r="K1098" s="3">
        <f>IF(AND(IF($B$3="(todos)",TRUE,'ORDENES'!$O1094=$B$3),IF($D$3="(todos)",TRUE,'ORDENES'!$AF1094=$D$3),IF($F$3="(todos)",TRUE,'ORDENES'!$X1094=$F$3),IF($H$3="(todos)",TRUE,'ORDENES'!$W1094=$H$3),'ORDENES'!$AD1094=TRUE,'ORDENES'!$A1094&lt;&gt;""),1,0)</f>
        <v/>
      </c>
      <c r="L1098" s="3">
        <f>IF(K1098=1,IFERROR(MATCH('ORDENES'!$R1094,lista_dias,0),9)*1000000000+IFERROR(MATCH('ORDENES'!$AF1094,lista_turnos,0),9)*10000000+IFERROR(MATCH('ORDENES'!$AE1094,tblTecnicos[nombre],0),99)*100000+1091,9000000000000+1091)</f>
        <v/>
      </c>
      <c r="M1098" s="3">
        <f>IF(K1098=1,SUMPRODUCT(--($L$8:$L$1207&lt;L1098))+1,"")</f>
        <v/>
      </c>
      <c r="N1098" s="17">
        <f>IF(K1098=1,N('ORDENES'!$M1094),0)</f>
        <v/>
      </c>
      <c r="O1098" s="17">
        <f>IF('ORDENES'!$T1094="preventiva",N1098,0)</f>
        <v/>
      </c>
      <c r="P1098" s="17">
        <f>IF('ORDENES'!$T1094="correctiva",N1098,0)</f>
        <v/>
      </c>
      <c r="Q1098" s="3">
        <f>IF(AND(K1098=1,'ORDENES'!$N1094="Pendiente"),1,0)</f>
        <v/>
      </c>
      <c r="R1098" s="3">
        <f>IF(Q1098=1,100000-N1098*1000+1091*0.01,9000000000000+1091)</f>
        <v/>
      </c>
      <c r="S1098" s="3">
        <f>IF(Q1098=1,SUMPRODUCT(--($R$8:$R$1207&lt;R1098))+1,"")</f>
        <v/>
      </c>
      <c r="T1098" s="12">
        <f>IF(K1098=1,'ORDENES'!$J1094,"")</f>
        <v/>
      </c>
    </row>
    <row r="1099">
      <c r="K1099" s="3">
        <f>IF(AND(IF($B$3="(todos)",TRUE,'ORDENES'!$O1095=$B$3),IF($D$3="(todos)",TRUE,'ORDENES'!$AF1095=$D$3),IF($F$3="(todos)",TRUE,'ORDENES'!$X1095=$F$3),IF($H$3="(todos)",TRUE,'ORDENES'!$W1095=$H$3),'ORDENES'!$AD1095=TRUE,'ORDENES'!$A1095&lt;&gt;""),1,0)</f>
        <v/>
      </c>
      <c r="L1099" s="3">
        <f>IF(K1099=1,IFERROR(MATCH('ORDENES'!$R1095,lista_dias,0),9)*1000000000+IFERROR(MATCH('ORDENES'!$AF1095,lista_turnos,0),9)*10000000+IFERROR(MATCH('ORDENES'!$AE1095,tblTecnicos[nombre],0),99)*100000+1092,9000000000000+1092)</f>
        <v/>
      </c>
      <c r="M1099" s="3">
        <f>IF(K1099=1,SUMPRODUCT(--($L$8:$L$1207&lt;L1099))+1,"")</f>
        <v/>
      </c>
      <c r="N1099" s="17">
        <f>IF(K1099=1,N('ORDENES'!$M1095),0)</f>
        <v/>
      </c>
      <c r="O1099" s="17">
        <f>IF('ORDENES'!$T1095="preventiva",N1099,0)</f>
        <v/>
      </c>
      <c r="P1099" s="17">
        <f>IF('ORDENES'!$T1095="correctiva",N1099,0)</f>
        <v/>
      </c>
      <c r="Q1099" s="3">
        <f>IF(AND(K1099=1,'ORDENES'!$N1095="Pendiente"),1,0)</f>
        <v/>
      </c>
      <c r="R1099" s="3">
        <f>IF(Q1099=1,100000-N1099*1000+1092*0.01,9000000000000+1092)</f>
        <v/>
      </c>
      <c r="S1099" s="3">
        <f>IF(Q1099=1,SUMPRODUCT(--($R$8:$R$1207&lt;R1099))+1,"")</f>
        <v/>
      </c>
      <c r="T1099" s="12">
        <f>IF(K1099=1,'ORDENES'!$J1095,"")</f>
        <v/>
      </c>
    </row>
    <row r="1100">
      <c r="K1100" s="3">
        <f>IF(AND(IF($B$3="(todos)",TRUE,'ORDENES'!$O1096=$B$3),IF($D$3="(todos)",TRUE,'ORDENES'!$AF1096=$D$3),IF($F$3="(todos)",TRUE,'ORDENES'!$X1096=$F$3),IF($H$3="(todos)",TRUE,'ORDENES'!$W1096=$H$3),'ORDENES'!$AD1096=TRUE,'ORDENES'!$A1096&lt;&gt;""),1,0)</f>
        <v/>
      </c>
      <c r="L1100" s="3">
        <f>IF(K1100=1,IFERROR(MATCH('ORDENES'!$R1096,lista_dias,0),9)*1000000000+IFERROR(MATCH('ORDENES'!$AF1096,lista_turnos,0),9)*10000000+IFERROR(MATCH('ORDENES'!$AE1096,tblTecnicos[nombre],0),99)*100000+1093,9000000000000+1093)</f>
        <v/>
      </c>
      <c r="M1100" s="3">
        <f>IF(K1100=1,SUMPRODUCT(--($L$8:$L$1207&lt;L1100))+1,"")</f>
        <v/>
      </c>
      <c r="N1100" s="17">
        <f>IF(K1100=1,N('ORDENES'!$M1096),0)</f>
        <v/>
      </c>
      <c r="O1100" s="17">
        <f>IF('ORDENES'!$T1096="preventiva",N1100,0)</f>
        <v/>
      </c>
      <c r="P1100" s="17">
        <f>IF('ORDENES'!$T1096="correctiva",N1100,0)</f>
        <v/>
      </c>
      <c r="Q1100" s="3">
        <f>IF(AND(K1100=1,'ORDENES'!$N1096="Pendiente"),1,0)</f>
        <v/>
      </c>
      <c r="R1100" s="3">
        <f>IF(Q1100=1,100000-N1100*1000+1093*0.01,9000000000000+1093)</f>
        <v/>
      </c>
      <c r="S1100" s="3">
        <f>IF(Q1100=1,SUMPRODUCT(--($R$8:$R$1207&lt;R1100))+1,"")</f>
        <v/>
      </c>
      <c r="T1100" s="12">
        <f>IF(K1100=1,'ORDENES'!$J1096,"")</f>
        <v/>
      </c>
    </row>
    <row r="1101">
      <c r="K1101" s="3">
        <f>IF(AND(IF($B$3="(todos)",TRUE,'ORDENES'!$O1097=$B$3),IF($D$3="(todos)",TRUE,'ORDENES'!$AF1097=$D$3),IF($F$3="(todos)",TRUE,'ORDENES'!$X1097=$F$3),IF($H$3="(todos)",TRUE,'ORDENES'!$W1097=$H$3),'ORDENES'!$AD1097=TRUE,'ORDENES'!$A1097&lt;&gt;""),1,0)</f>
        <v/>
      </c>
      <c r="L1101" s="3">
        <f>IF(K1101=1,IFERROR(MATCH('ORDENES'!$R1097,lista_dias,0),9)*1000000000+IFERROR(MATCH('ORDENES'!$AF1097,lista_turnos,0),9)*10000000+IFERROR(MATCH('ORDENES'!$AE1097,tblTecnicos[nombre],0),99)*100000+1094,9000000000000+1094)</f>
        <v/>
      </c>
      <c r="M1101" s="3">
        <f>IF(K1101=1,SUMPRODUCT(--($L$8:$L$1207&lt;L1101))+1,"")</f>
        <v/>
      </c>
      <c r="N1101" s="17">
        <f>IF(K1101=1,N('ORDENES'!$M1097),0)</f>
        <v/>
      </c>
      <c r="O1101" s="17">
        <f>IF('ORDENES'!$T1097="preventiva",N1101,0)</f>
        <v/>
      </c>
      <c r="P1101" s="17">
        <f>IF('ORDENES'!$T1097="correctiva",N1101,0)</f>
        <v/>
      </c>
      <c r="Q1101" s="3">
        <f>IF(AND(K1101=1,'ORDENES'!$N1097="Pendiente"),1,0)</f>
        <v/>
      </c>
      <c r="R1101" s="3">
        <f>IF(Q1101=1,100000-N1101*1000+1094*0.01,9000000000000+1094)</f>
        <v/>
      </c>
      <c r="S1101" s="3">
        <f>IF(Q1101=1,SUMPRODUCT(--($R$8:$R$1207&lt;R1101))+1,"")</f>
        <v/>
      </c>
      <c r="T1101" s="12">
        <f>IF(K1101=1,'ORDENES'!$J1097,"")</f>
        <v/>
      </c>
    </row>
    <row r="1102">
      <c r="K1102" s="3">
        <f>IF(AND(IF($B$3="(todos)",TRUE,'ORDENES'!$O1098=$B$3),IF($D$3="(todos)",TRUE,'ORDENES'!$AF1098=$D$3),IF($F$3="(todos)",TRUE,'ORDENES'!$X1098=$F$3),IF($H$3="(todos)",TRUE,'ORDENES'!$W1098=$H$3),'ORDENES'!$AD1098=TRUE,'ORDENES'!$A1098&lt;&gt;""),1,0)</f>
        <v/>
      </c>
      <c r="L1102" s="3">
        <f>IF(K1102=1,IFERROR(MATCH('ORDENES'!$R1098,lista_dias,0),9)*1000000000+IFERROR(MATCH('ORDENES'!$AF1098,lista_turnos,0),9)*10000000+IFERROR(MATCH('ORDENES'!$AE1098,tblTecnicos[nombre],0),99)*100000+1095,9000000000000+1095)</f>
        <v/>
      </c>
      <c r="M1102" s="3">
        <f>IF(K1102=1,SUMPRODUCT(--($L$8:$L$1207&lt;L1102))+1,"")</f>
        <v/>
      </c>
      <c r="N1102" s="17">
        <f>IF(K1102=1,N('ORDENES'!$M1098),0)</f>
        <v/>
      </c>
      <c r="O1102" s="17">
        <f>IF('ORDENES'!$T1098="preventiva",N1102,0)</f>
        <v/>
      </c>
      <c r="P1102" s="17">
        <f>IF('ORDENES'!$T1098="correctiva",N1102,0)</f>
        <v/>
      </c>
      <c r="Q1102" s="3">
        <f>IF(AND(K1102=1,'ORDENES'!$N1098="Pendiente"),1,0)</f>
        <v/>
      </c>
      <c r="R1102" s="3">
        <f>IF(Q1102=1,100000-N1102*1000+1095*0.01,9000000000000+1095)</f>
        <v/>
      </c>
      <c r="S1102" s="3">
        <f>IF(Q1102=1,SUMPRODUCT(--($R$8:$R$1207&lt;R1102))+1,"")</f>
        <v/>
      </c>
      <c r="T1102" s="12">
        <f>IF(K1102=1,'ORDENES'!$J1098,"")</f>
        <v/>
      </c>
    </row>
    <row r="1103">
      <c r="K1103" s="3">
        <f>IF(AND(IF($B$3="(todos)",TRUE,'ORDENES'!$O1099=$B$3),IF($D$3="(todos)",TRUE,'ORDENES'!$AF1099=$D$3),IF($F$3="(todos)",TRUE,'ORDENES'!$X1099=$F$3),IF($H$3="(todos)",TRUE,'ORDENES'!$W1099=$H$3),'ORDENES'!$AD1099=TRUE,'ORDENES'!$A1099&lt;&gt;""),1,0)</f>
        <v/>
      </c>
      <c r="L1103" s="3">
        <f>IF(K1103=1,IFERROR(MATCH('ORDENES'!$R1099,lista_dias,0),9)*1000000000+IFERROR(MATCH('ORDENES'!$AF1099,lista_turnos,0),9)*10000000+IFERROR(MATCH('ORDENES'!$AE1099,tblTecnicos[nombre],0),99)*100000+1096,9000000000000+1096)</f>
        <v/>
      </c>
      <c r="M1103" s="3">
        <f>IF(K1103=1,SUMPRODUCT(--($L$8:$L$1207&lt;L1103))+1,"")</f>
        <v/>
      </c>
      <c r="N1103" s="17">
        <f>IF(K1103=1,N('ORDENES'!$M1099),0)</f>
        <v/>
      </c>
      <c r="O1103" s="17">
        <f>IF('ORDENES'!$T1099="preventiva",N1103,0)</f>
        <v/>
      </c>
      <c r="P1103" s="17">
        <f>IF('ORDENES'!$T1099="correctiva",N1103,0)</f>
        <v/>
      </c>
      <c r="Q1103" s="3">
        <f>IF(AND(K1103=1,'ORDENES'!$N1099="Pendiente"),1,0)</f>
        <v/>
      </c>
      <c r="R1103" s="3">
        <f>IF(Q1103=1,100000-N1103*1000+1096*0.01,9000000000000+1096)</f>
        <v/>
      </c>
      <c r="S1103" s="3">
        <f>IF(Q1103=1,SUMPRODUCT(--($R$8:$R$1207&lt;R1103))+1,"")</f>
        <v/>
      </c>
      <c r="T1103" s="12">
        <f>IF(K1103=1,'ORDENES'!$J1099,"")</f>
        <v/>
      </c>
    </row>
    <row r="1104">
      <c r="K1104" s="3">
        <f>IF(AND(IF($B$3="(todos)",TRUE,'ORDENES'!$O1100=$B$3),IF($D$3="(todos)",TRUE,'ORDENES'!$AF1100=$D$3),IF($F$3="(todos)",TRUE,'ORDENES'!$X1100=$F$3),IF($H$3="(todos)",TRUE,'ORDENES'!$W1100=$H$3),'ORDENES'!$AD1100=TRUE,'ORDENES'!$A1100&lt;&gt;""),1,0)</f>
        <v/>
      </c>
      <c r="L1104" s="3">
        <f>IF(K1104=1,IFERROR(MATCH('ORDENES'!$R1100,lista_dias,0),9)*1000000000+IFERROR(MATCH('ORDENES'!$AF1100,lista_turnos,0),9)*10000000+IFERROR(MATCH('ORDENES'!$AE1100,tblTecnicos[nombre],0),99)*100000+1097,9000000000000+1097)</f>
        <v/>
      </c>
      <c r="M1104" s="3">
        <f>IF(K1104=1,SUMPRODUCT(--($L$8:$L$1207&lt;L1104))+1,"")</f>
        <v/>
      </c>
      <c r="N1104" s="17">
        <f>IF(K1104=1,N('ORDENES'!$M1100),0)</f>
        <v/>
      </c>
      <c r="O1104" s="17">
        <f>IF('ORDENES'!$T1100="preventiva",N1104,0)</f>
        <v/>
      </c>
      <c r="P1104" s="17">
        <f>IF('ORDENES'!$T1100="correctiva",N1104,0)</f>
        <v/>
      </c>
      <c r="Q1104" s="3">
        <f>IF(AND(K1104=1,'ORDENES'!$N1100="Pendiente"),1,0)</f>
        <v/>
      </c>
      <c r="R1104" s="3">
        <f>IF(Q1104=1,100000-N1104*1000+1097*0.01,9000000000000+1097)</f>
        <v/>
      </c>
      <c r="S1104" s="3">
        <f>IF(Q1104=1,SUMPRODUCT(--($R$8:$R$1207&lt;R1104))+1,"")</f>
        <v/>
      </c>
      <c r="T1104" s="12">
        <f>IF(K1104=1,'ORDENES'!$J1100,"")</f>
        <v/>
      </c>
    </row>
    <row r="1105">
      <c r="K1105" s="3">
        <f>IF(AND(IF($B$3="(todos)",TRUE,'ORDENES'!$O1101=$B$3),IF($D$3="(todos)",TRUE,'ORDENES'!$AF1101=$D$3),IF($F$3="(todos)",TRUE,'ORDENES'!$X1101=$F$3),IF($H$3="(todos)",TRUE,'ORDENES'!$W1101=$H$3),'ORDENES'!$AD1101=TRUE,'ORDENES'!$A1101&lt;&gt;""),1,0)</f>
        <v/>
      </c>
      <c r="L1105" s="3">
        <f>IF(K1105=1,IFERROR(MATCH('ORDENES'!$R1101,lista_dias,0),9)*1000000000+IFERROR(MATCH('ORDENES'!$AF1101,lista_turnos,0),9)*10000000+IFERROR(MATCH('ORDENES'!$AE1101,tblTecnicos[nombre],0),99)*100000+1098,9000000000000+1098)</f>
        <v/>
      </c>
      <c r="M1105" s="3">
        <f>IF(K1105=1,SUMPRODUCT(--($L$8:$L$1207&lt;L1105))+1,"")</f>
        <v/>
      </c>
      <c r="N1105" s="17">
        <f>IF(K1105=1,N('ORDENES'!$M1101),0)</f>
        <v/>
      </c>
      <c r="O1105" s="17">
        <f>IF('ORDENES'!$T1101="preventiva",N1105,0)</f>
        <v/>
      </c>
      <c r="P1105" s="17">
        <f>IF('ORDENES'!$T1101="correctiva",N1105,0)</f>
        <v/>
      </c>
      <c r="Q1105" s="3">
        <f>IF(AND(K1105=1,'ORDENES'!$N1101="Pendiente"),1,0)</f>
        <v/>
      </c>
      <c r="R1105" s="3">
        <f>IF(Q1105=1,100000-N1105*1000+1098*0.01,9000000000000+1098)</f>
        <v/>
      </c>
      <c r="S1105" s="3">
        <f>IF(Q1105=1,SUMPRODUCT(--($R$8:$R$1207&lt;R1105))+1,"")</f>
        <v/>
      </c>
      <c r="T1105" s="12">
        <f>IF(K1105=1,'ORDENES'!$J1101,"")</f>
        <v/>
      </c>
    </row>
    <row r="1106">
      <c r="K1106" s="3">
        <f>IF(AND(IF($B$3="(todos)",TRUE,'ORDENES'!$O1102=$B$3),IF($D$3="(todos)",TRUE,'ORDENES'!$AF1102=$D$3),IF($F$3="(todos)",TRUE,'ORDENES'!$X1102=$F$3),IF($H$3="(todos)",TRUE,'ORDENES'!$W1102=$H$3),'ORDENES'!$AD1102=TRUE,'ORDENES'!$A1102&lt;&gt;""),1,0)</f>
        <v/>
      </c>
      <c r="L1106" s="3">
        <f>IF(K1106=1,IFERROR(MATCH('ORDENES'!$R1102,lista_dias,0),9)*1000000000+IFERROR(MATCH('ORDENES'!$AF1102,lista_turnos,0),9)*10000000+IFERROR(MATCH('ORDENES'!$AE1102,tblTecnicos[nombre],0),99)*100000+1099,9000000000000+1099)</f>
        <v/>
      </c>
      <c r="M1106" s="3">
        <f>IF(K1106=1,SUMPRODUCT(--($L$8:$L$1207&lt;L1106))+1,"")</f>
        <v/>
      </c>
      <c r="N1106" s="17">
        <f>IF(K1106=1,N('ORDENES'!$M1102),0)</f>
        <v/>
      </c>
      <c r="O1106" s="17">
        <f>IF('ORDENES'!$T1102="preventiva",N1106,0)</f>
        <v/>
      </c>
      <c r="P1106" s="17">
        <f>IF('ORDENES'!$T1102="correctiva",N1106,0)</f>
        <v/>
      </c>
      <c r="Q1106" s="3">
        <f>IF(AND(K1106=1,'ORDENES'!$N1102="Pendiente"),1,0)</f>
        <v/>
      </c>
      <c r="R1106" s="3">
        <f>IF(Q1106=1,100000-N1106*1000+1099*0.01,9000000000000+1099)</f>
        <v/>
      </c>
      <c r="S1106" s="3">
        <f>IF(Q1106=1,SUMPRODUCT(--($R$8:$R$1207&lt;R1106))+1,"")</f>
        <v/>
      </c>
      <c r="T1106" s="12">
        <f>IF(K1106=1,'ORDENES'!$J1102,"")</f>
        <v/>
      </c>
    </row>
    <row r="1107">
      <c r="K1107" s="3">
        <f>IF(AND(IF($B$3="(todos)",TRUE,'ORDENES'!$O1103=$B$3),IF($D$3="(todos)",TRUE,'ORDENES'!$AF1103=$D$3),IF($F$3="(todos)",TRUE,'ORDENES'!$X1103=$F$3),IF($H$3="(todos)",TRUE,'ORDENES'!$W1103=$H$3),'ORDENES'!$AD1103=TRUE,'ORDENES'!$A1103&lt;&gt;""),1,0)</f>
        <v/>
      </c>
      <c r="L1107" s="3">
        <f>IF(K1107=1,IFERROR(MATCH('ORDENES'!$R1103,lista_dias,0),9)*1000000000+IFERROR(MATCH('ORDENES'!$AF1103,lista_turnos,0),9)*10000000+IFERROR(MATCH('ORDENES'!$AE1103,tblTecnicos[nombre],0),99)*100000+1100,9000000000000+1100)</f>
        <v/>
      </c>
      <c r="M1107" s="3">
        <f>IF(K1107=1,SUMPRODUCT(--($L$8:$L$1207&lt;L1107))+1,"")</f>
        <v/>
      </c>
      <c r="N1107" s="17">
        <f>IF(K1107=1,N('ORDENES'!$M1103),0)</f>
        <v/>
      </c>
      <c r="O1107" s="17">
        <f>IF('ORDENES'!$T1103="preventiva",N1107,0)</f>
        <v/>
      </c>
      <c r="P1107" s="17">
        <f>IF('ORDENES'!$T1103="correctiva",N1107,0)</f>
        <v/>
      </c>
      <c r="Q1107" s="3">
        <f>IF(AND(K1107=1,'ORDENES'!$N1103="Pendiente"),1,0)</f>
        <v/>
      </c>
      <c r="R1107" s="3">
        <f>IF(Q1107=1,100000-N1107*1000+1100*0.01,9000000000000+1100)</f>
        <v/>
      </c>
      <c r="S1107" s="3">
        <f>IF(Q1107=1,SUMPRODUCT(--($R$8:$R$1207&lt;R1107))+1,"")</f>
        <v/>
      </c>
      <c r="T1107" s="12">
        <f>IF(K1107=1,'ORDENES'!$J1103,"")</f>
        <v/>
      </c>
    </row>
    <row r="1108">
      <c r="K1108" s="3">
        <f>IF(AND(IF($B$3="(todos)",TRUE,'ORDENES'!$O1104=$B$3),IF($D$3="(todos)",TRUE,'ORDENES'!$AF1104=$D$3),IF($F$3="(todos)",TRUE,'ORDENES'!$X1104=$F$3),IF($H$3="(todos)",TRUE,'ORDENES'!$W1104=$H$3),'ORDENES'!$AD1104=TRUE,'ORDENES'!$A1104&lt;&gt;""),1,0)</f>
        <v/>
      </c>
      <c r="L1108" s="3">
        <f>IF(K1108=1,IFERROR(MATCH('ORDENES'!$R1104,lista_dias,0),9)*1000000000+IFERROR(MATCH('ORDENES'!$AF1104,lista_turnos,0),9)*10000000+IFERROR(MATCH('ORDENES'!$AE1104,tblTecnicos[nombre],0),99)*100000+1101,9000000000000+1101)</f>
        <v/>
      </c>
      <c r="M1108" s="3">
        <f>IF(K1108=1,SUMPRODUCT(--($L$8:$L$1207&lt;L1108))+1,"")</f>
        <v/>
      </c>
      <c r="N1108" s="17">
        <f>IF(K1108=1,N('ORDENES'!$M1104),0)</f>
        <v/>
      </c>
      <c r="O1108" s="17">
        <f>IF('ORDENES'!$T1104="preventiva",N1108,0)</f>
        <v/>
      </c>
      <c r="P1108" s="17">
        <f>IF('ORDENES'!$T1104="correctiva",N1108,0)</f>
        <v/>
      </c>
      <c r="Q1108" s="3">
        <f>IF(AND(K1108=1,'ORDENES'!$N1104="Pendiente"),1,0)</f>
        <v/>
      </c>
      <c r="R1108" s="3">
        <f>IF(Q1108=1,100000-N1108*1000+1101*0.01,9000000000000+1101)</f>
        <v/>
      </c>
      <c r="S1108" s="3">
        <f>IF(Q1108=1,SUMPRODUCT(--($R$8:$R$1207&lt;R1108))+1,"")</f>
        <v/>
      </c>
      <c r="T1108" s="12">
        <f>IF(K1108=1,'ORDENES'!$J1104,"")</f>
        <v/>
      </c>
    </row>
    <row r="1109">
      <c r="K1109" s="3">
        <f>IF(AND(IF($B$3="(todos)",TRUE,'ORDENES'!$O1105=$B$3),IF($D$3="(todos)",TRUE,'ORDENES'!$AF1105=$D$3),IF($F$3="(todos)",TRUE,'ORDENES'!$X1105=$F$3),IF($H$3="(todos)",TRUE,'ORDENES'!$W1105=$H$3),'ORDENES'!$AD1105=TRUE,'ORDENES'!$A1105&lt;&gt;""),1,0)</f>
        <v/>
      </c>
      <c r="L1109" s="3">
        <f>IF(K1109=1,IFERROR(MATCH('ORDENES'!$R1105,lista_dias,0),9)*1000000000+IFERROR(MATCH('ORDENES'!$AF1105,lista_turnos,0),9)*10000000+IFERROR(MATCH('ORDENES'!$AE1105,tblTecnicos[nombre],0),99)*100000+1102,9000000000000+1102)</f>
        <v/>
      </c>
      <c r="M1109" s="3">
        <f>IF(K1109=1,SUMPRODUCT(--($L$8:$L$1207&lt;L1109))+1,"")</f>
        <v/>
      </c>
      <c r="N1109" s="17">
        <f>IF(K1109=1,N('ORDENES'!$M1105),0)</f>
        <v/>
      </c>
      <c r="O1109" s="17">
        <f>IF('ORDENES'!$T1105="preventiva",N1109,0)</f>
        <v/>
      </c>
      <c r="P1109" s="17">
        <f>IF('ORDENES'!$T1105="correctiva",N1109,0)</f>
        <v/>
      </c>
      <c r="Q1109" s="3">
        <f>IF(AND(K1109=1,'ORDENES'!$N1105="Pendiente"),1,0)</f>
        <v/>
      </c>
      <c r="R1109" s="3">
        <f>IF(Q1109=1,100000-N1109*1000+1102*0.01,9000000000000+1102)</f>
        <v/>
      </c>
      <c r="S1109" s="3">
        <f>IF(Q1109=1,SUMPRODUCT(--($R$8:$R$1207&lt;R1109))+1,"")</f>
        <v/>
      </c>
      <c r="T1109" s="12">
        <f>IF(K1109=1,'ORDENES'!$J1105,"")</f>
        <v/>
      </c>
    </row>
    <row r="1110">
      <c r="K1110" s="3">
        <f>IF(AND(IF($B$3="(todos)",TRUE,'ORDENES'!$O1106=$B$3),IF($D$3="(todos)",TRUE,'ORDENES'!$AF1106=$D$3),IF($F$3="(todos)",TRUE,'ORDENES'!$X1106=$F$3),IF($H$3="(todos)",TRUE,'ORDENES'!$W1106=$H$3),'ORDENES'!$AD1106=TRUE,'ORDENES'!$A1106&lt;&gt;""),1,0)</f>
        <v/>
      </c>
      <c r="L1110" s="3">
        <f>IF(K1110=1,IFERROR(MATCH('ORDENES'!$R1106,lista_dias,0),9)*1000000000+IFERROR(MATCH('ORDENES'!$AF1106,lista_turnos,0),9)*10000000+IFERROR(MATCH('ORDENES'!$AE1106,tblTecnicos[nombre],0),99)*100000+1103,9000000000000+1103)</f>
        <v/>
      </c>
      <c r="M1110" s="3">
        <f>IF(K1110=1,SUMPRODUCT(--($L$8:$L$1207&lt;L1110))+1,"")</f>
        <v/>
      </c>
      <c r="N1110" s="17">
        <f>IF(K1110=1,N('ORDENES'!$M1106),0)</f>
        <v/>
      </c>
      <c r="O1110" s="17">
        <f>IF('ORDENES'!$T1106="preventiva",N1110,0)</f>
        <v/>
      </c>
      <c r="P1110" s="17">
        <f>IF('ORDENES'!$T1106="correctiva",N1110,0)</f>
        <v/>
      </c>
      <c r="Q1110" s="3">
        <f>IF(AND(K1110=1,'ORDENES'!$N1106="Pendiente"),1,0)</f>
        <v/>
      </c>
      <c r="R1110" s="3">
        <f>IF(Q1110=1,100000-N1110*1000+1103*0.01,9000000000000+1103)</f>
        <v/>
      </c>
      <c r="S1110" s="3">
        <f>IF(Q1110=1,SUMPRODUCT(--($R$8:$R$1207&lt;R1110))+1,"")</f>
        <v/>
      </c>
      <c r="T1110" s="12">
        <f>IF(K1110=1,'ORDENES'!$J1106,"")</f>
        <v/>
      </c>
    </row>
    <row r="1111">
      <c r="K1111" s="3">
        <f>IF(AND(IF($B$3="(todos)",TRUE,'ORDENES'!$O1107=$B$3),IF($D$3="(todos)",TRUE,'ORDENES'!$AF1107=$D$3),IF($F$3="(todos)",TRUE,'ORDENES'!$X1107=$F$3),IF($H$3="(todos)",TRUE,'ORDENES'!$W1107=$H$3),'ORDENES'!$AD1107=TRUE,'ORDENES'!$A1107&lt;&gt;""),1,0)</f>
        <v/>
      </c>
      <c r="L1111" s="3">
        <f>IF(K1111=1,IFERROR(MATCH('ORDENES'!$R1107,lista_dias,0),9)*1000000000+IFERROR(MATCH('ORDENES'!$AF1107,lista_turnos,0),9)*10000000+IFERROR(MATCH('ORDENES'!$AE1107,tblTecnicos[nombre],0),99)*100000+1104,9000000000000+1104)</f>
        <v/>
      </c>
      <c r="M1111" s="3">
        <f>IF(K1111=1,SUMPRODUCT(--($L$8:$L$1207&lt;L1111))+1,"")</f>
        <v/>
      </c>
      <c r="N1111" s="17">
        <f>IF(K1111=1,N('ORDENES'!$M1107),0)</f>
        <v/>
      </c>
      <c r="O1111" s="17">
        <f>IF('ORDENES'!$T1107="preventiva",N1111,0)</f>
        <v/>
      </c>
      <c r="P1111" s="17">
        <f>IF('ORDENES'!$T1107="correctiva",N1111,0)</f>
        <v/>
      </c>
      <c r="Q1111" s="3">
        <f>IF(AND(K1111=1,'ORDENES'!$N1107="Pendiente"),1,0)</f>
        <v/>
      </c>
      <c r="R1111" s="3">
        <f>IF(Q1111=1,100000-N1111*1000+1104*0.01,9000000000000+1104)</f>
        <v/>
      </c>
      <c r="S1111" s="3">
        <f>IF(Q1111=1,SUMPRODUCT(--($R$8:$R$1207&lt;R1111))+1,"")</f>
        <v/>
      </c>
      <c r="T1111" s="12">
        <f>IF(K1111=1,'ORDENES'!$J1107,"")</f>
        <v/>
      </c>
    </row>
    <row r="1112">
      <c r="K1112" s="3">
        <f>IF(AND(IF($B$3="(todos)",TRUE,'ORDENES'!$O1108=$B$3),IF($D$3="(todos)",TRUE,'ORDENES'!$AF1108=$D$3),IF($F$3="(todos)",TRUE,'ORDENES'!$X1108=$F$3),IF($H$3="(todos)",TRUE,'ORDENES'!$W1108=$H$3),'ORDENES'!$AD1108=TRUE,'ORDENES'!$A1108&lt;&gt;""),1,0)</f>
        <v/>
      </c>
      <c r="L1112" s="3">
        <f>IF(K1112=1,IFERROR(MATCH('ORDENES'!$R1108,lista_dias,0),9)*1000000000+IFERROR(MATCH('ORDENES'!$AF1108,lista_turnos,0),9)*10000000+IFERROR(MATCH('ORDENES'!$AE1108,tblTecnicos[nombre],0),99)*100000+1105,9000000000000+1105)</f>
        <v/>
      </c>
      <c r="M1112" s="3">
        <f>IF(K1112=1,SUMPRODUCT(--($L$8:$L$1207&lt;L1112))+1,"")</f>
        <v/>
      </c>
      <c r="N1112" s="17">
        <f>IF(K1112=1,N('ORDENES'!$M1108),0)</f>
        <v/>
      </c>
      <c r="O1112" s="17">
        <f>IF('ORDENES'!$T1108="preventiva",N1112,0)</f>
        <v/>
      </c>
      <c r="P1112" s="17">
        <f>IF('ORDENES'!$T1108="correctiva",N1112,0)</f>
        <v/>
      </c>
      <c r="Q1112" s="3">
        <f>IF(AND(K1112=1,'ORDENES'!$N1108="Pendiente"),1,0)</f>
        <v/>
      </c>
      <c r="R1112" s="3">
        <f>IF(Q1112=1,100000-N1112*1000+1105*0.01,9000000000000+1105)</f>
        <v/>
      </c>
      <c r="S1112" s="3">
        <f>IF(Q1112=1,SUMPRODUCT(--($R$8:$R$1207&lt;R1112))+1,"")</f>
        <v/>
      </c>
      <c r="T1112" s="12">
        <f>IF(K1112=1,'ORDENES'!$J1108,"")</f>
        <v/>
      </c>
    </row>
    <row r="1113">
      <c r="K1113" s="3">
        <f>IF(AND(IF($B$3="(todos)",TRUE,'ORDENES'!$O1109=$B$3),IF($D$3="(todos)",TRUE,'ORDENES'!$AF1109=$D$3),IF($F$3="(todos)",TRUE,'ORDENES'!$X1109=$F$3),IF($H$3="(todos)",TRUE,'ORDENES'!$W1109=$H$3),'ORDENES'!$AD1109=TRUE,'ORDENES'!$A1109&lt;&gt;""),1,0)</f>
        <v/>
      </c>
      <c r="L1113" s="3">
        <f>IF(K1113=1,IFERROR(MATCH('ORDENES'!$R1109,lista_dias,0),9)*1000000000+IFERROR(MATCH('ORDENES'!$AF1109,lista_turnos,0),9)*10000000+IFERROR(MATCH('ORDENES'!$AE1109,tblTecnicos[nombre],0),99)*100000+1106,9000000000000+1106)</f>
        <v/>
      </c>
      <c r="M1113" s="3">
        <f>IF(K1113=1,SUMPRODUCT(--($L$8:$L$1207&lt;L1113))+1,"")</f>
        <v/>
      </c>
      <c r="N1113" s="17">
        <f>IF(K1113=1,N('ORDENES'!$M1109),0)</f>
        <v/>
      </c>
      <c r="O1113" s="17">
        <f>IF('ORDENES'!$T1109="preventiva",N1113,0)</f>
        <v/>
      </c>
      <c r="P1113" s="17">
        <f>IF('ORDENES'!$T1109="correctiva",N1113,0)</f>
        <v/>
      </c>
      <c r="Q1113" s="3">
        <f>IF(AND(K1113=1,'ORDENES'!$N1109="Pendiente"),1,0)</f>
        <v/>
      </c>
      <c r="R1113" s="3">
        <f>IF(Q1113=1,100000-N1113*1000+1106*0.01,9000000000000+1106)</f>
        <v/>
      </c>
      <c r="S1113" s="3">
        <f>IF(Q1113=1,SUMPRODUCT(--($R$8:$R$1207&lt;R1113))+1,"")</f>
        <v/>
      </c>
      <c r="T1113" s="12">
        <f>IF(K1113=1,'ORDENES'!$J1109,"")</f>
        <v/>
      </c>
    </row>
    <row r="1114">
      <c r="K1114" s="3">
        <f>IF(AND(IF($B$3="(todos)",TRUE,'ORDENES'!$O1110=$B$3),IF($D$3="(todos)",TRUE,'ORDENES'!$AF1110=$D$3),IF($F$3="(todos)",TRUE,'ORDENES'!$X1110=$F$3),IF($H$3="(todos)",TRUE,'ORDENES'!$W1110=$H$3),'ORDENES'!$AD1110=TRUE,'ORDENES'!$A1110&lt;&gt;""),1,0)</f>
        <v/>
      </c>
      <c r="L1114" s="3">
        <f>IF(K1114=1,IFERROR(MATCH('ORDENES'!$R1110,lista_dias,0),9)*1000000000+IFERROR(MATCH('ORDENES'!$AF1110,lista_turnos,0),9)*10000000+IFERROR(MATCH('ORDENES'!$AE1110,tblTecnicos[nombre],0),99)*100000+1107,9000000000000+1107)</f>
        <v/>
      </c>
      <c r="M1114" s="3">
        <f>IF(K1114=1,SUMPRODUCT(--($L$8:$L$1207&lt;L1114))+1,"")</f>
        <v/>
      </c>
      <c r="N1114" s="17">
        <f>IF(K1114=1,N('ORDENES'!$M1110),0)</f>
        <v/>
      </c>
      <c r="O1114" s="17">
        <f>IF('ORDENES'!$T1110="preventiva",N1114,0)</f>
        <v/>
      </c>
      <c r="P1114" s="17">
        <f>IF('ORDENES'!$T1110="correctiva",N1114,0)</f>
        <v/>
      </c>
      <c r="Q1114" s="3">
        <f>IF(AND(K1114=1,'ORDENES'!$N1110="Pendiente"),1,0)</f>
        <v/>
      </c>
      <c r="R1114" s="3">
        <f>IF(Q1114=1,100000-N1114*1000+1107*0.01,9000000000000+1107)</f>
        <v/>
      </c>
      <c r="S1114" s="3">
        <f>IF(Q1114=1,SUMPRODUCT(--($R$8:$R$1207&lt;R1114))+1,"")</f>
        <v/>
      </c>
      <c r="T1114" s="12">
        <f>IF(K1114=1,'ORDENES'!$J1110,"")</f>
        <v/>
      </c>
    </row>
    <row r="1115">
      <c r="K1115" s="3">
        <f>IF(AND(IF($B$3="(todos)",TRUE,'ORDENES'!$O1111=$B$3),IF($D$3="(todos)",TRUE,'ORDENES'!$AF1111=$D$3),IF($F$3="(todos)",TRUE,'ORDENES'!$X1111=$F$3),IF($H$3="(todos)",TRUE,'ORDENES'!$W1111=$H$3),'ORDENES'!$AD1111=TRUE,'ORDENES'!$A1111&lt;&gt;""),1,0)</f>
        <v/>
      </c>
      <c r="L1115" s="3">
        <f>IF(K1115=1,IFERROR(MATCH('ORDENES'!$R1111,lista_dias,0),9)*1000000000+IFERROR(MATCH('ORDENES'!$AF1111,lista_turnos,0),9)*10000000+IFERROR(MATCH('ORDENES'!$AE1111,tblTecnicos[nombre],0),99)*100000+1108,9000000000000+1108)</f>
        <v/>
      </c>
      <c r="M1115" s="3">
        <f>IF(K1115=1,SUMPRODUCT(--($L$8:$L$1207&lt;L1115))+1,"")</f>
        <v/>
      </c>
      <c r="N1115" s="17">
        <f>IF(K1115=1,N('ORDENES'!$M1111),0)</f>
        <v/>
      </c>
      <c r="O1115" s="17">
        <f>IF('ORDENES'!$T1111="preventiva",N1115,0)</f>
        <v/>
      </c>
      <c r="P1115" s="17">
        <f>IF('ORDENES'!$T1111="correctiva",N1115,0)</f>
        <v/>
      </c>
      <c r="Q1115" s="3">
        <f>IF(AND(K1115=1,'ORDENES'!$N1111="Pendiente"),1,0)</f>
        <v/>
      </c>
      <c r="R1115" s="3">
        <f>IF(Q1115=1,100000-N1115*1000+1108*0.01,9000000000000+1108)</f>
        <v/>
      </c>
      <c r="S1115" s="3">
        <f>IF(Q1115=1,SUMPRODUCT(--($R$8:$R$1207&lt;R1115))+1,"")</f>
        <v/>
      </c>
      <c r="T1115" s="12">
        <f>IF(K1115=1,'ORDENES'!$J1111,"")</f>
        <v/>
      </c>
    </row>
    <row r="1116">
      <c r="K1116" s="3">
        <f>IF(AND(IF($B$3="(todos)",TRUE,'ORDENES'!$O1112=$B$3),IF($D$3="(todos)",TRUE,'ORDENES'!$AF1112=$D$3),IF($F$3="(todos)",TRUE,'ORDENES'!$X1112=$F$3),IF($H$3="(todos)",TRUE,'ORDENES'!$W1112=$H$3),'ORDENES'!$AD1112=TRUE,'ORDENES'!$A1112&lt;&gt;""),1,0)</f>
        <v/>
      </c>
      <c r="L1116" s="3">
        <f>IF(K1116=1,IFERROR(MATCH('ORDENES'!$R1112,lista_dias,0),9)*1000000000+IFERROR(MATCH('ORDENES'!$AF1112,lista_turnos,0),9)*10000000+IFERROR(MATCH('ORDENES'!$AE1112,tblTecnicos[nombre],0),99)*100000+1109,9000000000000+1109)</f>
        <v/>
      </c>
      <c r="M1116" s="3">
        <f>IF(K1116=1,SUMPRODUCT(--($L$8:$L$1207&lt;L1116))+1,"")</f>
        <v/>
      </c>
      <c r="N1116" s="17">
        <f>IF(K1116=1,N('ORDENES'!$M1112),0)</f>
        <v/>
      </c>
      <c r="O1116" s="17">
        <f>IF('ORDENES'!$T1112="preventiva",N1116,0)</f>
        <v/>
      </c>
      <c r="P1116" s="17">
        <f>IF('ORDENES'!$T1112="correctiva",N1116,0)</f>
        <v/>
      </c>
      <c r="Q1116" s="3">
        <f>IF(AND(K1116=1,'ORDENES'!$N1112="Pendiente"),1,0)</f>
        <v/>
      </c>
      <c r="R1116" s="3">
        <f>IF(Q1116=1,100000-N1116*1000+1109*0.01,9000000000000+1109)</f>
        <v/>
      </c>
      <c r="S1116" s="3">
        <f>IF(Q1116=1,SUMPRODUCT(--($R$8:$R$1207&lt;R1116))+1,"")</f>
        <v/>
      </c>
      <c r="T1116" s="12">
        <f>IF(K1116=1,'ORDENES'!$J1112,"")</f>
        <v/>
      </c>
    </row>
    <row r="1117">
      <c r="K1117" s="3">
        <f>IF(AND(IF($B$3="(todos)",TRUE,'ORDENES'!$O1113=$B$3),IF($D$3="(todos)",TRUE,'ORDENES'!$AF1113=$D$3),IF($F$3="(todos)",TRUE,'ORDENES'!$X1113=$F$3),IF($H$3="(todos)",TRUE,'ORDENES'!$W1113=$H$3),'ORDENES'!$AD1113=TRUE,'ORDENES'!$A1113&lt;&gt;""),1,0)</f>
        <v/>
      </c>
      <c r="L1117" s="3">
        <f>IF(K1117=1,IFERROR(MATCH('ORDENES'!$R1113,lista_dias,0),9)*1000000000+IFERROR(MATCH('ORDENES'!$AF1113,lista_turnos,0),9)*10000000+IFERROR(MATCH('ORDENES'!$AE1113,tblTecnicos[nombre],0),99)*100000+1110,9000000000000+1110)</f>
        <v/>
      </c>
      <c r="M1117" s="3">
        <f>IF(K1117=1,SUMPRODUCT(--($L$8:$L$1207&lt;L1117))+1,"")</f>
        <v/>
      </c>
      <c r="N1117" s="17">
        <f>IF(K1117=1,N('ORDENES'!$M1113),0)</f>
        <v/>
      </c>
      <c r="O1117" s="17">
        <f>IF('ORDENES'!$T1113="preventiva",N1117,0)</f>
        <v/>
      </c>
      <c r="P1117" s="17">
        <f>IF('ORDENES'!$T1113="correctiva",N1117,0)</f>
        <v/>
      </c>
      <c r="Q1117" s="3">
        <f>IF(AND(K1117=1,'ORDENES'!$N1113="Pendiente"),1,0)</f>
        <v/>
      </c>
      <c r="R1117" s="3">
        <f>IF(Q1117=1,100000-N1117*1000+1110*0.01,9000000000000+1110)</f>
        <v/>
      </c>
      <c r="S1117" s="3">
        <f>IF(Q1117=1,SUMPRODUCT(--($R$8:$R$1207&lt;R1117))+1,"")</f>
        <v/>
      </c>
      <c r="T1117" s="12">
        <f>IF(K1117=1,'ORDENES'!$J1113,"")</f>
        <v/>
      </c>
    </row>
    <row r="1118">
      <c r="K1118" s="3">
        <f>IF(AND(IF($B$3="(todos)",TRUE,'ORDENES'!$O1114=$B$3),IF($D$3="(todos)",TRUE,'ORDENES'!$AF1114=$D$3),IF($F$3="(todos)",TRUE,'ORDENES'!$X1114=$F$3),IF($H$3="(todos)",TRUE,'ORDENES'!$W1114=$H$3),'ORDENES'!$AD1114=TRUE,'ORDENES'!$A1114&lt;&gt;""),1,0)</f>
        <v/>
      </c>
      <c r="L1118" s="3">
        <f>IF(K1118=1,IFERROR(MATCH('ORDENES'!$R1114,lista_dias,0),9)*1000000000+IFERROR(MATCH('ORDENES'!$AF1114,lista_turnos,0),9)*10000000+IFERROR(MATCH('ORDENES'!$AE1114,tblTecnicos[nombre],0),99)*100000+1111,9000000000000+1111)</f>
        <v/>
      </c>
      <c r="M1118" s="3">
        <f>IF(K1118=1,SUMPRODUCT(--($L$8:$L$1207&lt;L1118))+1,"")</f>
        <v/>
      </c>
      <c r="N1118" s="17">
        <f>IF(K1118=1,N('ORDENES'!$M1114),0)</f>
        <v/>
      </c>
      <c r="O1118" s="17">
        <f>IF('ORDENES'!$T1114="preventiva",N1118,0)</f>
        <v/>
      </c>
      <c r="P1118" s="17">
        <f>IF('ORDENES'!$T1114="correctiva",N1118,0)</f>
        <v/>
      </c>
      <c r="Q1118" s="3">
        <f>IF(AND(K1118=1,'ORDENES'!$N1114="Pendiente"),1,0)</f>
        <v/>
      </c>
      <c r="R1118" s="3">
        <f>IF(Q1118=1,100000-N1118*1000+1111*0.01,9000000000000+1111)</f>
        <v/>
      </c>
      <c r="S1118" s="3">
        <f>IF(Q1118=1,SUMPRODUCT(--($R$8:$R$1207&lt;R1118))+1,"")</f>
        <v/>
      </c>
      <c r="T1118" s="12">
        <f>IF(K1118=1,'ORDENES'!$J1114,"")</f>
        <v/>
      </c>
    </row>
    <row r="1119">
      <c r="K1119" s="3">
        <f>IF(AND(IF($B$3="(todos)",TRUE,'ORDENES'!$O1115=$B$3),IF($D$3="(todos)",TRUE,'ORDENES'!$AF1115=$D$3),IF($F$3="(todos)",TRUE,'ORDENES'!$X1115=$F$3),IF($H$3="(todos)",TRUE,'ORDENES'!$W1115=$H$3),'ORDENES'!$AD1115=TRUE,'ORDENES'!$A1115&lt;&gt;""),1,0)</f>
        <v/>
      </c>
      <c r="L1119" s="3">
        <f>IF(K1119=1,IFERROR(MATCH('ORDENES'!$R1115,lista_dias,0),9)*1000000000+IFERROR(MATCH('ORDENES'!$AF1115,lista_turnos,0),9)*10000000+IFERROR(MATCH('ORDENES'!$AE1115,tblTecnicos[nombre],0),99)*100000+1112,9000000000000+1112)</f>
        <v/>
      </c>
      <c r="M1119" s="3">
        <f>IF(K1119=1,SUMPRODUCT(--($L$8:$L$1207&lt;L1119))+1,"")</f>
        <v/>
      </c>
      <c r="N1119" s="17">
        <f>IF(K1119=1,N('ORDENES'!$M1115),0)</f>
        <v/>
      </c>
      <c r="O1119" s="17">
        <f>IF('ORDENES'!$T1115="preventiva",N1119,0)</f>
        <v/>
      </c>
      <c r="P1119" s="17">
        <f>IF('ORDENES'!$T1115="correctiva",N1119,0)</f>
        <v/>
      </c>
      <c r="Q1119" s="3">
        <f>IF(AND(K1119=1,'ORDENES'!$N1115="Pendiente"),1,0)</f>
        <v/>
      </c>
      <c r="R1119" s="3">
        <f>IF(Q1119=1,100000-N1119*1000+1112*0.01,9000000000000+1112)</f>
        <v/>
      </c>
      <c r="S1119" s="3">
        <f>IF(Q1119=1,SUMPRODUCT(--($R$8:$R$1207&lt;R1119))+1,"")</f>
        <v/>
      </c>
      <c r="T1119" s="12">
        <f>IF(K1119=1,'ORDENES'!$J1115,"")</f>
        <v/>
      </c>
    </row>
    <row r="1120">
      <c r="K1120" s="3">
        <f>IF(AND(IF($B$3="(todos)",TRUE,'ORDENES'!$O1116=$B$3),IF($D$3="(todos)",TRUE,'ORDENES'!$AF1116=$D$3),IF($F$3="(todos)",TRUE,'ORDENES'!$X1116=$F$3),IF($H$3="(todos)",TRUE,'ORDENES'!$W1116=$H$3),'ORDENES'!$AD1116=TRUE,'ORDENES'!$A1116&lt;&gt;""),1,0)</f>
        <v/>
      </c>
      <c r="L1120" s="3">
        <f>IF(K1120=1,IFERROR(MATCH('ORDENES'!$R1116,lista_dias,0),9)*1000000000+IFERROR(MATCH('ORDENES'!$AF1116,lista_turnos,0),9)*10000000+IFERROR(MATCH('ORDENES'!$AE1116,tblTecnicos[nombre],0),99)*100000+1113,9000000000000+1113)</f>
        <v/>
      </c>
      <c r="M1120" s="3">
        <f>IF(K1120=1,SUMPRODUCT(--($L$8:$L$1207&lt;L1120))+1,"")</f>
        <v/>
      </c>
      <c r="N1120" s="17">
        <f>IF(K1120=1,N('ORDENES'!$M1116),0)</f>
        <v/>
      </c>
      <c r="O1120" s="17">
        <f>IF('ORDENES'!$T1116="preventiva",N1120,0)</f>
        <v/>
      </c>
      <c r="P1120" s="17">
        <f>IF('ORDENES'!$T1116="correctiva",N1120,0)</f>
        <v/>
      </c>
      <c r="Q1120" s="3">
        <f>IF(AND(K1120=1,'ORDENES'!$N1116="Pendiente"),1,0)</f>
        <v/>
      </c>
      <c r="R1120" s="3">
        <f>IF(Q1120=1,100000-N1120*1000+1113*0.01,9000000000000+1113)</f>
        <v/>
      </c>
      <c r="S1120" s="3">
        <f>IF(Q1120=1,SUMPRODUCT(--($R$8:$R$1207&lt;R1120))+1,"")</f>
        <v/>
      </c>
      <c r="T1120" s="12">
        <f>IF(K1120=1,'ORDENES'!$J1116,"")</f>
        <v/>
      </c>
    </row>
    <row r="1121">
      <c r="K1121" s="3">
        <f>IF(AND(IF($B$3="(todos)",TRUE,'ORDENES'!$O1117=$B$3),IF($D$3="(todos)",TRUE,'ORDENES'!$AF1117=$D$3),IF($F$3="(todos)",TRUE,'ORDENES'!$X1117=$F$3),IF($H$3="(todos)",TRUE,'ORDENES'!$W1117=$H$3),'ORDENES'!$AD1117=TRUE,'ORDENES'!$A1117&lt;&gt;""),1,0)</f>
        <v/>
      </c>
      <c r="L1121" s="3">
        <f>IF(K1121=1,IFERROR(MATCH('ORDENES'!$R1117,lista_dias,0),9)*1000000000+IFERROR(MATCH('ORDENES'!$AF1117,lista_turnos,0),9)*10000000+IFERROR(MATCH('ORDENES'!$AE1117,tblTecnicos[nombre],0),99)*100000+1114,9000000000000+1114)</f>
        <v/>
      </c>
      <c r="M1121" s="3">
        <f>IF(K1121=1,SUMPRODUCT(--($L$8:$L$1207&lt;L1121))+1,"")</f>
        <v/>
      </c>
      <c r="N1121" s="17">
        <f>IF(K1121=1,N('ORDENES'!$M1117),0)</f>
        <v/>
      </c>
      <c r="O1121" s="17">
        <f>IF('ORDENES'!$T1117="preventiva",N1121,0)</f>
        <v/>
      </c>
      <c r="P1121" s="17">
        <f>IF('ORDENES'!$T1117="correctiva",N1121,0)</f>
        <v/>
      </c>
      <c r="Q1121" s="3">
        <f>IF(AND(K1121=1,'ORDENES'!$N1117="Pendiente"),1,0)</f>
        <v/>
      </c>
      <c r="R1121" s="3">
        <f>IF(Q1121=1,100000-N1121*1000+1114*0.01,9000000000000+1114)</f>
        <v/>
      </c>
      <c r="S1121" s="3">
        <f>IF(Q1121=1,SUMPRODUCT(--($R$8:$R$1207&lt;R1121))+1,"")</f>
        <v/>
      </c>
      <c r="T1121" s="12">
        <f>IF(K1121=1,'ORDENES'!$J1117,"")</f>
        <v/>
      </c>
    </row>
    <row r="1122">
      <c r="K1122" s="3">
        <f>IF(AND(IF($B$3="(todos)",TRUE,'ORDENES'!$O1118=$B$3),IF($D$3="(todos)",TRUE,'ORDENES'!$AF1118=$D$3),IF($F$3="(todos)",TRUE,'ORDENES'!$X1118=$F$3),IF($H$3="(todos)",TRUE,'ORDENES'!$W1118=$H$3),'ORDENES'!$AD1118=TRUE,'ORDENES'!$A1118&lt;&gt;""),1,0)</f>
        <v/>
      </c>
      <c r="L1122" s="3">
        <f>IF(K1122=1,IFERROR(MATCH('ORDENES'!$R1118,lista_dias,0),9)*1000000000+IFERROR(MATCH('ORDENES'!$AF1118,lista_turnos,0),9)*10000000+IFERROR(MATCH('ORDENES'!$AE1118,tblTecnicos[nombre],0),99)*100000+1115,9000000000000+1115)</f>
        <v/>
      </c>
      <c r="M1122" s="3">
        <f>IF(K1122=1,SUMPRODUCT(--($L$8:$L$1207&lt;L1122))+1,"")</f>
        <v/>
      </c>
      <c r="N1122" s="17">
        <f>IF(K1122=1,N('ORDENES'!$M1118),0)</f>
        <v/>
      </c>
      <c r="O1122" s="17">
        <f>IF('ORDENES'!$T1118="preventiva",N1122,0)</f>
        <v/>
      </c>
      <c r="P1122" s="17">
        <f>IF('ORDENES'!$T1118="correctiva",N1122,0)</f>
        <v/>
      </c>
      <c r="Q1122" s="3">
        <f>IF(AND(K1122=1,'ORDENES'!$N1118="Pendiente"),1,0)</f>
        <v/>
      </c>
      <c r="R1122" s="3">
        <f>IF(Q1122=1,100000-N1122*1000+1115*0.01,9000000000000+1115)</f>
        <v/>
      </c>
      <c r="S1122" s="3">
        <f>IF(Q1122=1,SUMPRODUCT(--($R$8:$R$1207&lt;R1122))+1,"")</f>
        <v/>
      </c>
      <c r="T1122" s="12">
        <f>IF(K1122=1,'ORDENES'!$J1118,"")</f>
        <v/>
      </c>
    </row>
    <row r="1123">
      <c r="K1123" s="3">
        <f>IF(AND(IF($B$3="(todos)",TRUE,'ORDENES'!$O1119=$B$3),IF($D$3="(todos)",TRUE,'ORDENES'!$AF1119=$D$3),IF($F$3="(todos)",TRUE,'ORDENES'!$X1119=$F$3),IF($H$3="(todos)",TRUE,'ORDENES'!$W1119=$H$3),'ORDENES'!$AD1119=TRUE,'ORDENES'!$A1119&lt;&gt;""),1,0)</f>
        <v/>
      </c>
      <c r="L1123" s="3">
        <f>IF(K1123=1,IFERROR(MATCH('ORDENES'!$R1119,lista_dias,0),9)*1000000000+IFERROR(MATCH('ORDENES'!$AF1119,lista_turnos,0),9)*10000000+IFERROR(MATCH('ORDENES'!$AE1119,tblTecnicos[nombre],0),99)*100000+1116,9000000000000+1116)</f>
        <v/>
      </c>
      <c r="M1123" s="3">
        <f>IF(K1123=1,SUMPRODUCT(--($L$8:$L$1207&lt;L1123))+1,"")</f>
        <v/>
      </c>
      <c r="N1123" s="17">
        <f>IF(K1123=1,N('ORDENES'!$M1119),0)</f>
        <v/>
      </c>
      <c r="O1123" s="17">
        <f>IF('ORDENES'!$T1119="preventiva",N1123,0)</f>
        <v/>
      </c>
      <c r="P1123" s="17">
        <f>IF('ORDENES'!$T1119="correctiva",N1123,0)</f>
        <v/>
      </c>
      <c r="Q1123" s="3">
        <f>IF(AND(K1123=1,'ORDENES'!$N1119="Pendiente"),1,0)</f>
        <v/>
      </c>
      <c r="R1123" s="3">
        <f>IF(Q1123=1,100000-N1123*1000+1116*0.01,9000000000000+1116)</f>
        <v/>
      </c>
      <c r="S1123" s="3">
        <f>IF(Q1123=1,SUMPRODUCT(--($R$8:$R$1207&lt;R1123))+1,"")</f>
        <v/>
      </c>
      <c r="T1123" s="12">
        <f>IF(K1123=1,'ORDENES'!$J1119,"")</f>
        <v/>
      </c>
    </row>
    <row r="1124">
      <c r="K1124" s="3">
        <f>IF(AND(IF($B$3="(todos)",TRUE,'ORDENES'!$O1120=$B$3),IF($D$3="(todos)",TRUE,'ORDENES'!$AF1120=$D$3),IF($F$3="(todos)",TRUE,'ORDENES'!$X1120=$F$3),IF($H$3="(todos)",TRUE,'ORDENES'!$W1120=$H$3),'ORDENES'!$AD1120=TRUE,'ORDENES'!$A1120&lt;&gt;""),1,0)</f>
        <v/>
      </c>
      <c r="L1124" s="3">
        <f>IF(K1124=1,IFERROR(MATCH('ORDENES'!$R1120,lista_dias,0),9)*1000000000+IFERROR(MATCH('ORDENES'!$AF1120,lista_turnos,0),9)*10000000+IFERROR(MATCH('ORDENES'!$AE1120,tblTecnicos[nombre],0),99)*100000+1117,9000000000000+1117)</f>
        <v/>
      </c>
      <c r="M1124" s="3">
        <f>IF(K1124=1,SUMPRODUCT(--($L$8:$L$1207&lt;L1124))+1,"")</f>
        <v/>
      </c>
      <c r="N1124" s="17">
        <f>IF(K1124=1,N('ORDENES'!$M1120),0)</f>
        <v/>
      </c>
      <c r="O1124" s="17">
        <f>IF('ORDENES'!$T1120="preventiva",N1124,0)</f>
        <v/>
      </c>
      <c r="P1124" s="17">
        <f>IF('ORDENES'!$T1120="correctiva",N1124,0)</f>
        <v/>
      </c>
      <c r="Q1124" s="3">
        <f>IF(AND(K1124=1,'ORDENES'!$N1120="Pendiente"),1,0)</f>
        <v/>
      </c>
      <c r="R1124" s="3">
        <f>IF(Q1124=1,100000-N1124*1000+1117*0.01,9000000000000+1117)</f>
        <v/>
      </c>
      <c r="S1124" s="3">
        <f>IF(Q1124=1,SUMPRODUCT(--($R$8:$R$1207&lt;R1124))+1,"")</f>
        <v/>
      </c>
      <c r="T1124" s="12">
        <f>IF(K1124=1,'ORDENES'!$J1120,"")</f>
        <v/>
      </c>
    </row>
    <row r="1125">
      <c r="K1125" s="3">
        <f>IF(AND(IF($B$3="(todos)",TRUE,'ORDENES'!$O1121=$B$3),IF($D$3="(todos)",TRUE,'ORDENES'!$AF1121=$D$3),IF($F$3="(todos)",TRUE,'ORDENES'!$X1121=$F$3),IF($H$3="(todos)",TRUE,'ORDENES'!$W1121=$H$3),'ORDENES'!$AD1121=TRUE,'ORDENES'!$A1121&lt;&gt;""),1,0)</f>
        <v/>
      </c>
      <c r="L1125" s="3">
        <f>IF(K1125=1,IFERROR(MATCH('ORDENES'!$R1121,lista_dias,0),9)*1000000000+IFERROR(MATCH('ORDENES'!$AF1121,lista_turnos,0),9)*10000000+IFERROR(MATCH('ORDENES'!$AE1121,tblTecnicos[nombre],0),99)*100000+1118,9000000000000+1118)</f>
        <v/>
      </c>
      <c r="M1125" s="3">
        <f>IF(K1125=1,SUMPRODUCT(--($L$8:$L$1207&lt;L1125))+1,"")</f>
        <v/>
      </c>
      <c r="N1125" s="17">
        <f>IF(K1125=1,N('ORDENES'!$M1121),0)</f>
        <v/>
      </c>
      <c r="O1125" s="17">
        <f>IF('ORDENES'!$T1121="preventiva",N1125,0)</f>
        <v/>
      </c>
      <c r="P1125" s="17">
        <f>IF('ORDENES'!$T1121="correctiva",N1125,0)</f>
        <v/>
      </c>
      <c r="Q1125" s="3">
        <f>IF(AND(K1125=1,'ORDENES'!$N1121="Pendiente"),1,0)</f>
        <v/>
      </c>
      <c r="R1125" s="3">
        <f>IF(Q1125=1,100000-N1125*1000+1118*0.01,9000000000000+1118)</f>
        <v/>
      </c>
      <c r="S1125" s="3">
        <f>IF(Q1125=1,SUMPRODUCT(--($R$8:$R$1207&lt;R1125))+1,"")</f>
        <v/>
      </c>
      <c r="T1125" s="12">
        <f>IF(K1125=1,'ORDENES'!$J1121,"")</f>
        <v/>
      </c>
    </row>
    <row r="1126">
      <c r="K1126" s="3">
        <f>IF(AND(IF($B$3="(todos)",TRUE,'ORDENES'!$O1122=$B$3),IF($D$3="(todos)",TRUE,'ORDENES'!$AF1122=$D$3),IF($F$3="(todos)",TRUE,'ORDENES'!$X1122=$F$3),IF($H$3="(todos)",TRUE,'ORDENES'!$W1122=$H$3),'ORDENES'!$AD1122=TRUE,'ORDENES'!$A1122&lt;&gt;""),1,0)</f>
        <v/>
      </c>
      <c r="L1126" s="3">
        <f>IF(K1126=1,IFERROR(MATCH('ORDENES'!$R1122,lista_dias,0),9)*1000000000+IFERROR(MATCH('ORDENES'!$AF1122,lista_turnos,0),9)*10000000+IFERROR(MATCH('ORDENES'!$AE1122,tblTecnicos[nombre],0),99)*100000+1119,9000000000000+1119)</f>
        <v/>
      </c>
      <c r="M1126" s="3">
        <f>IF(K1126=1,SUMPRODUCT(--($L$8:$L$1207&lt;L1126))+1,"")</f>
        <v/>
      </c>
      <c r="N1126" s="17">
        <f>IF(K1126=1,N('ORDENES'!$M1122),0)</f>
        <v/>
      </c>
      <c r="O1126" s="17">
        <f>IF('ORDENES'!$T1122="preventiva",N1126,0)</f>
        <v/>
      </c>
      <c r="P1126" s="17">
        <f>IF('ORDENES'!$T1122="correctiva",N1126,0)</f>
        <v/>
      </c>
      <c r="Q1126" s="3">
        <f>IF(AND(K1126=1,'ORDENES'!$N1122="Pendiente"),1,0)</f>
        <v/>
      </c>
      <c r="R1126" s="3">
        <f>IF(Q1126=1,100000-N1126*1000+1119*0.01,9000000000000+1119)</f>
        <v/>
      </c>
      <c r="S1126" s="3">
        <f>IF(Q1126=1,SUMPRODUCT(--($R$8:$R$1207&lt;R1126))+1,"")</f>
        <v/>
      </c>
      <c r="T1126" s="12">
        <f>IF(K1126=1,'ORDENES'!$J1122,"")</f>
        <v/>
      </c>
    </row>
    <row r="1127">
      <c r="K1127" s="3">
        <f>IF(AND(IF($B$3="(todos)",TRUE,'ORDENES'!$O1123=$B$3),IF($D$3="(todos)",TRUE,'ORDENES'!$AF1123=$D$3),IF($F$3="(todos)",TRUE,'ORDENES'!$X1123=$F$3),IF($H$3="(todos)",TRUE,'ORDENES'!$W1123=$H$3),'ORDENES'!$AD1123=TRUE,'ORDENES'!$A1123&lt;&gt;""),1,0)</f>
        <v/>
      </c>
      <c r="L1127" s="3">
        <f>IF(K1127=1,IFERROR(MATCH('ORDENES'!$R1123,lista_dias,0),9)*1000000000+IFERROR(MATCH('ORDENES'!$AF1123,lista_turnos,0),9)*10000000+IFERROR(MATCH('ORDENES'!$AE1123,tblTecnicos[nombre],0),99)*100000+1120,9000000000000+1120)</f>
        <v/>
      </c>
      <c r="M1127" s="3">
        <f>IF(K1127=1,SUMPRODUCT(--($L$8:$L$1207&lt;L1127))+1,"")</f>
        <v/>
      </c>
      <c r="N1127" s="17">
        <f>IF(K1127=1,N('ORDENES'!$M1123),0)</f>
        <v/>
      </c>
      <c r="O1127" s="17">
        <f>IF('ORDENES'!$T1123="preventiva",N1127,0)</f>
        <v/>
      </c>
      <c r="P1127" s="17">
        <f>IF('ORDENES'!$T1123="correctiva",N1127,0)</f>
        <v/>
      </c>
      <c r="Q1127" s="3">
        <f>IF(AND(K1127=1,'ORDENES'!$N1123="Pendiente"),1,0)</f>
        <v/>
      </c>
      <c r="R1127" s="3">
        <f>IF(Q1127=1,100000-N1127*1000+1120*0.01,9000000000000+1120)</f>
        <v/>
      </c>
      <c r="S1127" s="3">
        <f>IF(Q1127=1,SUMPRODUCT(--($R$8:$R$1207&lt;R1127))+1,"")</f>
        <v/>
      </c>
      <c r="T1127" s="12">
        <f>IF(K1127=1,'ORDENES'!$J1123,"")</f>
        <v/>
      </c>
    </row>
    <row r="1128">
      <c r="K1128" s="3">
        <f>IF(AND(IF($B$3="(todos)",TRUE,'ORDENES'!$O1124=$B$3),IF($D$3="(todos)",TRUE,'ORDENES'!$AF1124=$D$3),IF($F$3="(todos)",TRUE,'ORDENES'!$X1124=$F$3),IF($H$3="(todos)",TRUE,'ORDENES'!$W1124=$H$3),'ORDENES'!$AD1124=TRUE,'ORDENES'!$A1124&lt;&gt;""),1,0)</f>
        <v/>
      </c>
      <c r="L1128" s="3">
        <f>IF(K1128=1,IFERROR(MATCH('ORDENES'!$R1124,lista_dias,0),9)*1000000000+IFERROR(MATCH('ORDENES'!$AF1124,lista_turnos,0),9)*10000000+IFERROR(MATCH('ORDENES'!$AE1124,tblTecnicos[nombre],0),99)*100000+1121,9000000000000+1121)</f>
        <v/>
      </c>
      <c r="M1128" s="3">
        <f>IF(K1128=1,SUMPRODUCT(--($L$8:$L$1207&lt;L1128))+1,"")</f>
        <v/>
      </c>
      <c r="N1128" s="17">
        <f>IF(K1128=1,N('ORDENES'!$M1124),0)</f>
        <v/>
      </c>
      <c r="O1128" s="17">
        <f>IF('ORDENES'!$T1124="preventiva",N1128,0)</f>
        <v/>
      </c>
      <c r="P1128" s="17">
        <f>IF('ORDENES'!$T1124="correctiva",N1128,0)</f>
        <v/>
      </c>
      <c r="Q1128" s="3">
        <f>IF(AND(K1128=1,'ORDENES'!$N1124="Pendiente"),1,0)</f>
        <v/>
      </c>
      <c r="R1128" s="3">
        <f>IF(Q1128=1,100000-N1128*1000+1121*0.01,9000000000000+1121)</f>
        <v/>
      </c>
      <c r="S1128" s="3">
        <f>IF(Q1128=1,SUMPRODUCT(--($R$8:$R$1207&lt;R1128))+1,"")</f>
        <v/>
      </c>
      <c r="T1128" s="12">
        <f>IF(K1128=1,'ORDENES'!$J1124,"")</f>
        <v/>
      </c>
    </row>
    <row r="1129">
      <c r="K1129" s="3">
        <f>IF(AND(IF($B$3="(todos)",TRUE,'ORDENES'!$O1125=$B$3),IF($D$3="(todos)",TRUE,'ORDENES'!$AF1125=$D$3),IF($F$3="(todos)",TRUE,'ORDENES'!$X1125=$F$3),IF($H$3="(todos)",TRUE,'ORDENES'!$W1125=$H$3),'ORDENES'!$AD1125=TRUE,'ORDENES'!$A1125&lt;&gt;""),1,0)</f>
        <v/>
      </c>
      <c r="L1129" s="3">
        <f>IF(K1129=1,IFERROR(MATCH('ORDENES'!$R1125,lista_dias,0),9)*1000000000+IFERROR(MATCH('ORDENES'!$AF1125,lista_turnos,0),9)*10000000+IFERROR(MATCH('ORDENES'!$AE1125,tblTecnicos[nombre],0),99)*100000+1122,9000000000000+1122)</f>
        <v/>
      </c>
      <c r="M1129" s="3">
        <f>IF(K1129=1,SUMPRODUCT(--($L$8:$L$1207&lt;L1129))+1,"")</f>
        <v/>
      </c>
      <c r="N1129" s="17">
        <f>IF(K1129=1,N('ORDENES'!$M1125),0)</f>
        <v/>
      </c>
      <c r="O1129" s="17">
        <f>IF('ORDENES'!$T1125="preventiva",N1129,0)</f>
        <v/>
      </c>
      <c r="P1129" s="17">
        <f>IF('ORDENES'!$T1125="correctiva",N1129,0)</f>
        <v/>
      </c>
      <c r="Q1129" s="3">
        <f>IF(AND(K1129=1,'ORDENES'!$N1125="Pendiente"),1,0)</f>
        <v/>
      </c>
      <c r="R1129" s="3">
        <f>IF(Q1129=1,100000-N1129*1000+1122*0.01,9000000000000+1122)</f>
        <v/>
      </c>
      <c r="S1129" s="3">
        <f>IF(Q1129=1,SUMPRODUCT(--($R$8:$R$1207&lt;R1129))+1,"")</f>
        <v/>
      </c>
      <c r="T1129" s="12">
        <f>IF(K1129=1,'ORDENES'!$J1125,"")</f>
        <v/>
      </c>
    </row>
    <row r="1130">
      <c r="K1130" s="3">
        <f>IF(AND(IF($B$3="(todos)",TRUE,'ORDENES'!$O1126=$B$3),IF($D$3="(todos)",TRUE,'ORDENES'!$AF1126=$D$3),IF($F$3="(todos)",TRUE,'ORDENES'!$X1126=$F$3),IF($H$3="(todos)",TRUE,'ORDENES'!$W1126=$H$3),'ORDENES'!$AD1126=TRUE,'ORDENES'!$A1126&lt;&gt;""),1,0)</f>
        <v/>
      </c>
      <c r="L1130" s="3">
        <f>IF(K1130=1,IFERROR(MATCH('ORDENES'!$R1126,lista_dias,0),9)*1000000000+IFERROR(MATCH('ORDENES'!$AF1126,lista_turnos,0),9)*10000000+IFERROR(MATCH('ORDENES'!$AE1126,tblTecnicos[nombre],0),99)*100000+1123,9000000000000+1123)</f>
        <v/>
      </c>
      <c r="M1130" s="3">
        <f>IF(K1130=1,SUMPRODUCT(--($L$8:$L$1207&lt;L1130))+1,"")</f>
        <v/>
      </c>
      <c r="N1130" s="17">
        <f>IF(K1130=1,N('ORDENES'!$M1126),0)</f>
        <v/>
      </c>
      <c r="O1130" s="17">
        <f>IF('ORDENES'!$T1126="preventiva",N1130,0)</f>
        <v/>
      </c>
      <c r="P1130" s="17">
        <f>IF('ORDENES'!$T1126="correctiva",N1130,0)</f>
        <v/>
      </c>
      <c r="Q1130" s="3">
        <f>IF(AND(K1130=1,'ORDENES'!$N1126="Pendiente"),1,0)</f>
        <v/>
      </c>
      <c r="R1130" s="3">
        <f>IF(Q1130=1,100000-N1130*1000+1123*0.01,9000000000000+1123)</f>
        <v/>
      </c>
      <c r="S1130" s="3">
        <f>IF(Q1130=1,SUMPRODUCT(--($R$8:$R$1207&lt;R1130))+1,"")</f>
        <v/>
      </c>
      <c r="T1130" s="12">
        <f>IF(K1130=1,'ORDENES'!$J1126,"")</f>
        <v/>
      </c>
    </row>
    <row r="1131">
      <c r="K1131" s="3">
        <f>IF(AND(IF($B$3="(todos)",TRUE,'ORDENES'!$O1127=$B$3),IF($D$3="(todos)",TRUE,'ORDENES'!$AF1127=$D$3),IF($F$3="(todos)",TRUE,'ORDENES'!$X1127=$F$3),IF($H$3="(todos)",TRUE,'ORDENES'!$W1127=$H$3),'ORDENES'!$AD1127=TRUE,'ORDENES'!$A1127&lt;&gt;""),1,0)</f>
        <v/>
      </c>
      <c r="L1131" s="3">
        <f>IF(K1131=1,IFERROR(MATCH('ORDENES'!$R1127,lista_dias,0),9)*1000000000+IFERROR(MATCH('ORDENES'!$AF1127,lista_turnos,0),9)*10000000+IFERROR(MATCH('ORDENES'!$AE1127,tblTecnicos[nombre],0),99)*100000+1124,9000000000000+1124)</f>
        <v/>
      </c>
      <c r="M1131" s="3">
        <f>IF(K1131=1,SUMPRODUCT(--($L$8:$L$1207&lt;L1131))+1,"")</f>
        <v/>
      </c>
      <c r="N1131" s="17">
        <f>IF(K1131=1,N('ORDENES'!$M1127),0)</f>
        <v/>
      </c>
      <c r="O1131" s="17">
        <f>IF('ORDENES'!$T1127="preventiva",N1131,0)</f>
        <v/>
      </c>
      <c r="P1131" s="17">
        <f>IF('ORDENES'!$T1127="correctiva",N1131,0)</f>
        <v/>
      </c>
      <c r="Q1131" s="3">
        <f>IF(AND(K1131=1,'ORDENES'!$N1127="Pendiente"),1,0)</f>
        <v/>
      </c>
      <c r="R1131" s="3">
        <f>IF(Q1131=1,100000-N1131*1000+1124*0.01,9000000000000+1124)</f>
        <v/>
      </c>
      <c r="S1131" s="3">
        <f>IF(Q1131=1,SUMPRODUCT(--($R$8:$R$1207&lt;R1131))+1,"")</f>
        <v/>
      </c>
      <c r="T1131" s="12">
        <f>IF(K1131=1,'ORDENES'!$J1127,"")</f>
        <v/>
      </c>
    </row>
    <row r="1132">
      <c r="K1132" s="3">
        <f>IF(AND(IF($B$3="(todos)",TRUE,'ORDENES'!$O1128=$B$3),IF($D$3="(todos)",TRUE,'ORDENES'!$AF1128=$D$3),IF($F$3="(todos)",TRUE,'ORDENES'!$X1128=$F$3),IF($H$3="(todos)",TRUE,'ORDENES'!$W1128=$H$3),'ORDENES'!$AD1128=TRUE,'ORDENES'!$A1128&lt;&gt;""),1,0)</f>
        <v/>
      </c>
      <c r="L1132" s="3">
        <f>IF(K1132=1,IFERROR(MATCH('ORDENES'!$R1128,lista_dias,0),9)*1000000000+IFERROR(MATCH('ORDENES'!$AF1128,lista_turnos,0),9)*10000000+IFERROR(MATCH('ORDENES'!$AE1128,tblTecnicos[nombre],0),99)*100000+1125,9000000000000+1125)</f>
        <v/>
      </c>
      <c r="M1132" s="3">
        <f>IF(K1132=1,SUMPRODUCT(--($L$8:$L$1207&lt;L1132))+1,"")</f>
        <v/>
      </c>
      <c r="N1132" s="17">
        <f>IF(K1132=1,N('ORDENES'!$M1128),0)</f>
        <v/>
      </c>
      <c r="O1132" s="17">
        <f>IF('ORDENES'!$T1128="preventiva",N1132,0)</f>
        <v/>
      </c>
      <c r="P1132" s="17">
        <f>IF('ORDENES'!$T1128="correctiva",N1132,0)</f>
        <v/>
      </c>
      <c r="Q1132" s="3">
        <f>IF(AND(K1132=1,'ORDENES'!$N1128="Pendiente"),1,0)</f>
        <v/>
      </c>
      <c r="R1132" s="3">
        <f>IF(Q1132=1,100000-N1132*1000+1125*0.01,9000000000000+1125)</f>
        <v/>
      </c>
      <c r="S1132" s="3">
        <f>IF(Q1132=1,SUMPRODUCT(--($R$8:$R$1207&lt;R1132))+1,"")</f>
        <v/>
      </c>
      <c r="T1132" s="12">
        <f>IF(K1132=1,'ORDENES'!$J1128,"")</f>
        <v/>
      </c>
    </row>
    <row r="1133">
      <c r="K1133" s="3">
        <f>IF(AND(IF($B$3="(todos)",TRUE,'ORDENES'!$O1129=$B$3),IF($D$3="(todos)",TRUE,'ORDENES'!$AF1129=$D$3),IF($F$3="(todos)",TRUE,'ORDENES'!$X1129=$F$3),IF($H$3="(todos)",TRUE,'ORDENES'!$W1129=$H$3),'ORDENES'!$AD1129=TRUE,'ORDENES'!$A1129&lt;&gt;""),1,0)</f>
        <v/>
      </c>
      <c r="L1133" s="3">
        <f>IF(K1133=1,IFERROR(MATCH('ORDENES'!$R1129,lista_dias,0),9)*1000000000+IFERROR(MATCH('ORDENES'!$AF1129,lista_turnos,0),9)*10000000+IFERROR(MATCH('ORDENES'!$AE1129,tblTecnicos[nombre],0),99)*100000+1126,9000000000000+1126)</f>
        <v/>
      </c>
      <c r="M1133" s="3">
        <f>IF(K1133=1,SUMPRODUCT(--($L$8:$L$1207&lt;L1133))+1,"")</f>
        <v/>
      </c>
      <c r="N1133" s="17">
        <f>IF(K1133=1,N('ORDENES'!$M1129),0)</f>
        <v/>
      </c>
      <c r="O1133" s="17">
        <f>IF('ORDENES'!$T1129="preventiva",N1133,0)</f>
        <v/>
      </c>
      <c r="P1133" s="17">
        <f>IF('ORDENES'!$T1129="correctiva",N1133,0)</f>
        <v/>
      </c>
      <c r="Q1133" s="3">
        <f>IF(AND(K1133=1,'ORDENES'!$N1129="Pendiente"),1,0)</f>
        <v/>
      </c>
      <c r="R1133" s="3">
        <f>IF(Q1133=1,100000-N1133*1000+1126*0.01,9000000000000+1126)</f>
        <v/>
      </c>
      <c r="S1133" s="3">
        <f>IF(Q1133=1,SUMPRODUCT(--($R$8:$R$1207&lt;R1133))+1,"")</f>
        <v/>
      </c>
      <c r="T1133" s="12">
        <f>IF(K1133=1,'ORDENES'!$J1129,"")</f>
        <v/>
      </c>
    </row>
    <row r="1134">
      <c r="K1134" s="3">
        <f>IF(AND(IF($B$3="(todos)",TRUE,'ORDENES'!$O1130=$B$3),IF($D$3="(todos)",TRUE,'ORDENES'!$AF1130=$D$3),IF($F$3="(todos)",TRUE,'ORDENES'!$X1130=$F$3),IF($H$3="(todos)",TRUE,'ORDENES'!$W1130=$H$3),'ORDENES'!$AD1130=TRUE,'ORDENES'!$A1130&lt;&gt;""),1,0)</f>
        <v/>
      </c>
      <c r="L1134" s="3">
        <f>IF(K1134=1,IFERROR(MATCH('ORDENES'!$R1130,lista_dias,0),9)*1000000000+IFERROR(MATCH('ORDENES'!$AF1130,lista_turnos,0),9)*10000000+IFERROR(MATCH('ORDENES'!$AE1130,tblTecnicos[nombre],0),99)*100000+1127,9000000000000+1127)</f>
        <v/>
      </c>
      <c r="M1134" s="3">
        <f>IF(K1134=1,SUMPRODUCT(--($L$8:$L$1207&lt;L1134))+1,"")</f>
        <v/>
      </c>
      <c r="N1134" s="17">
        <f>IF(K1134=1,N('ORDENES'!$M1130),0)</f>
        <v/>
      </c>
      <c r="O1134" s="17">
        <f>IF('ORDENES'!$T1130="preventiva",N1134,0)</f>
        <v/>
      </c>
      <c r="P1134" s="17">
        <f>IF('ORDENES'!$T1130="correctiva",N1134,0)</f>
        <v/>
      </c>
      <c r="Q1134" s="3">
        <f>IF(AND(K1134=1,'ORDENES'!$N1130="Pendiente"),1,0)</f>
        <v/>
      </c>
      <c r="R1134" s="3">
        <f>IF(Q1134=1,100000-N1134*1000+1127*0.01,9000000000000+1127)</f>
        <v/>
      </c>
      <c r="S1134" s="3">
        <f>IF(Q1134=1,SUMPRODUCT(--($R$8:$R$1207&lt;R1134))+1,"")</f>
        <v/>
      </c>
      <c r="T1134" s="12">
        <f>IF(K1134=1,'ORDENES'!$J1130,"")</f>
        <v/>
      </c>
    </row>
    <row r="1135">
      <c r="K1135" s="3">
        <f>IF(AND(IF($B$3="(todos)",TRUE,'ORDENES'!$O1131=$B$3),IF($D$3="(todos)",TRUE,'ORDENES'!$AF1131=$D$3),IF($F$3="(todos)",TRUE,'ORDENES'!$X1131=$F$3),IF($H$3="(todos)",TRUE,'ORDENES'!$W1131=$H$3),'ORDENES'!$AD1131=TRUE,'ORDENES'!$A1131&lt;&gt;""),1,0)</f>
        <v/>
      </c>
      <c r="L1135" s="3">
        <f>IF(K1135=1,IFERROR(MATCH('ORDENES'!$R1131,lista_dias,0),9)*1000000000+IFERROR(MATCH('ORDENES'!$AF1131,lista_turnos,0),9)*10000000+IFERROR(MATCH('ORDENES'!$AE1131,tblTecnicos[nombre],0),99)*100000+1128,9000000000000+1128)</f>
        <v/>
      </c>
      <c r="M1135" s="3">
        <f>IF(K1135=1,SUMPRODUCT(--($L$8:$L$1207&lt;L1135))+1,"")</f>
        <v/>
      </c>
      <c r="N1135" s="17">
        <f>IF(K1135=1,N('ORDENES'!$M1131),0)</f>
        <v/>
      </c>
      <c r="O1135" s="17">
        <f>IF('ORDENES'!$T1131="preventiva",N1135,0)</f>
        <v/>
      </c>
      <c r="P1135" s="17">
        <f>IF('ORDENES'!$T1131="correctiva",N1135,0)</f>
        <v/>
      </c>
      <c r="Q1135" s="3">
        <f>IF(AND(K1135=1,'ORDENES'!$N1131="Pendiente"),1,0)</f>
        <v/>
      </c>
      <c r="R1135" s="3">
        <f>IF(Q1135=1,100000-N1135*1000+1128*0.01,9000000000000+1128)</f>
        <v/>
      </c>
      <c r="S1135" s="3">
        <f>IF(Q1135=1,SUMPRODUCT(--($R$8:$R$1207&lt;R1135))+1,"")</f>
        <v/>
      </c>
      <c r="T1135" s="12">
        <f>IF(K1135=1,'ORDENES'!$J1131,"")</f>
        <v/>
      </c>
    </row>
    <row r="1136">
      <c r="K1136" s="3">
        <f>IF(AND(IF($B$3="(todos)",TRUE,'ORDENES'!$O1132=$B$3),IF($D$3="(todos)",TRUE,'ORDENES'!$AF1132=$D$3),IF($F$3="(todos)",TRUE,'ORDENES'!$X1132=$F$3),IF($H$3="(todos)",TRUE,'ORDENES'!$W1132=$H$3),'ORDENES'!$AD1132=TRUE,'ORDENES'!$A1132&lt;&gt;""),1,0)</f>
        <v/>
      </c>
      <c r="L1136" s="3">
        <f>IF(K1136=1,IFERROR(MATCH('ORDENES'!$R1132,lista_dias,0),9)*1000000000+IFERROR(MATCH('ORDENES'!$AF1132,lista_turnos,0),9)*10000000+IFERROR(MATCH('ORDENES'!$AE1132,tblTecnicos[nombre],0),99)*100000+1129,9000000000000+1129)</f>
        <v/>
      </c>
      <c r="M1136" s="3">
        <f>IF(K1136=1,SUMPRODUCT(--($L$8:$L$1207&lt;L1136))+1,"")</f>
        <v/>
      </c>
      <c r="N1136" s="17">
        <f>IF(K1136=1,N('ORDENES'!$M1132),0)</f>
        <v/>
      </c>
      <c r="O1136" s="17">
        <f>IF('ORDENES'!$T1132="preventiva",N1136,0)</f>
        <v/>
      </c>
      <c r="P1136" s="17">
        <f>IF('ORDENES'!$T1132="correctiva",N1136,0)</f>
        <v/>
      </c>
      <c r="Q1136" s="3">
        <f>IF(AND(K1136=1,'ORDENES'!$N1132="Pendiente"),1,0)</f>
        <v/>
      </c>
      <c r="R1136" s="3">
        <f>IF(Q1136=1,100000-N1136*1000+1129*0.01,9000000000000+1129)</f>
        <v/>
      </c>
      <c r="S1136" s="3">
        <f>IF(Q1136=1,SUMPRODUCT(--($R$8:$R$1207&lt;R1136))+1,"")</f>
        <v/>
      </c>
      <c r="T1136" s="12">
        <f>IF(K1136=1,'ORDENES'!$J1132,"")</f>
        <v/>
      </c>
    </row>
    <row r="1137">
      <c r="K1137" s="3">
        <f>IF(AND(IF($B$3="(todos)",TRUE,'ORDENES'!$O1133=$B$3),IF($D$3="(todos)",TRUE,'ORDENES'!$AF1133=$D$3),IF($F$3="(todos)",TRUE,'ORDENES'!$X1133=$F$3),IF($H$3="(todos)",TRUE,'ORDENES'!$W1133=$H$3),'ORDENES'!$AD1133=TRUE,'ORDENES'!$A1133&lt;&gt;""),1,0)</f>
        <v/>
      </c>
      <c r="L1137" s="3">
        <f>IF(K1137=1,IFERROR(MATCH('ORDENES'!$R1133,lista_dias,0),9)*1000000000+IFERROR(MATCH('ORDENES'!$AF1133,lista_turnos,0),9)*10000000+IFERROR(MATCH('ORDENES'!$AE1133,tblTecnicos[nombre],0),99)*100000+1130,9000000000000+1130)</f>
        <v/>
      </c>
      <c r="M1137" s="3">
        <f>IF(K1137=1,SUMPRODUCT(--($L$8:$L$1207&lt;L1137))+1,"")</f>
        <v/>
      </c>
      <c r="N1137" s="17">
        <f>IF(K1137=1,N('ORDENES'!$M1133),0)</f>
        <v/>
      </c>
      <c r="O1137" s="17">
        <f>IF('ORDENES'!$T1133="preventiva",N1137,0)</f>
        <v/>
      </c>
      <c r="P1137" s="17">
        <f>IF('ORDENES'!$T1133="correctiva",N1137,0)</f>
        <v/>
      </c>
      <c r="Q1137" s="3">
        <f>IF(AND(K1137=1,'ORDENES'!$N1133="Pendiente"),1,0)</f>
        <v/>
      </c>
      <c r="R1137" s="3">
        <f>IF(Q1137=1,100000-N1137*1000+1130*0.01,9000000000000+1130)</f>
        <v/>
      </c>
      <c r="S1137" s="3">
        <f>IF(Q1137=1,SUMPRODUCT(--($R$8:$R$1207&lt;R1137))+1,"")</f>
        <v/>
      </c>
      <c r="T1137" s="12">
        <f>IF(K1137=1,'ORDENES'!$J1133,"")</f>
        <v/>
      </c>
    </row>
    <row r="1138">
      <c r="K1138" s="3">
        <f>IF(AND(IF($B$3="(todos)",TRUE,'ORDENES'!$O1134=$B$3),IF($D$3="(todos)",TRUE,'ORDENES'!$AF1134=$D$3),IF($F$3="(todos)",TRUE,'ORDENES'!$X1134=$F$3),IF($H$3="(todos)",TRUE,'ORDENES'!$W1134=$H$3),'ORDENES'!$AD1134=TRUE,'ORDENES'!$A1134&lt;&gt;""),1,0)</f>
        <v/>
      </c>
      <c r="L1138" s="3">
        <f>IF(K1138=1,IFERROR(MATCH('ORDENES'!$R1134,lista_dias,0),9)*1000000000+IFERROR(MATCH('ORDENES'!$AF1134,lista_turnos,0),9)*10000000+IFERROR(MATCH('ORDENES'!$AE1134,tblTecnicos[nombre],0),99)*100000+1131,9000000000000+1131)</f>
        <v/>
      </c>
      <c r="M1138" s="3">
        <f>IF(K1138=1,SUMPRODUCT(--($L$8:$L$1207&lt;L1138))+1,"")</f>
        <v/>
      </c>
      <c r="N1138" s="17">
        <f>IF(K1138=1,N('ORDENES'!$M1134),0)</f>
        <v/>
      </c>
      <c r="O1138" s="17">
        <f>IF('ORDENES'!$T1134="preventiva",N1138,0)</f>
        <v/>
      </c>
      <c r="P1138" s="17">
        <f>IF('ORDENES'!$T1134="correctiva",N1138,0)</f>
        <v/>
      </c>
      <c r="Q1138" s="3">
        <f>IF(AND(K1138=1,'ORDENES'!$N1134="Pendiente"),1,0)</f>
        <v/>
      </c>
      <c r="R1138" s="3">
        <f>IF(Q1138=1,100000-N1138*1000+1131*0.01,9000000000000+1131)</f>
        <v/>
      </c>
      <c r="S1138" s="3">
        <f>IF(Q1138=1,SUMPRODUCT(--($R$8:$R$1207&lt;R1138))+1,"")</f>
        <v/>
      </c>
      <c r="T1138" s="12">
        <f>IF(K1138=1,'ORDENES'!$J1134,"")</f>
        <v/>
      </c>
    </row>
    <row r="1139">
      <c r="K1139" s="3">
        <f>IF(AND(IF($B$3="(todos)",TRUE,'ORDENES'!$O1135=$B$3),IF($D$3="(todos)",TRUE,'ORDENES'!$AF1135=$D$3),IF($F$3="(todos)",TRUE,'ORDENES'!$X1135=$F$3),IF($H$3="(todos)",TRUE,'ORDENES'!$W1135=$H$3),'ORDENES'!$AD1135=TRUE,'ORDENES'!$A1135&lt;&gt;""),1,0)</f>
        <v/>
      </c>
      <c r="L1139" s="3">
        <f>IF(K1139=1,IFERROR(MATCH('ORDENES'!$R1135,lista_dias,0),9)*1000000000+IFERROR(MATCH('ORDENES'!$AF1135,lista_turnos,0),9)*10000000+IFERROR(MATCH('ORDENES'!$AE1135,tblTecnicos[nombre],0),99)*100000+1132,9000000000000+1132)</f>
        <v/>
      </c>
      <c r="M1139" s="3">
        <f>IF(K1139=1,SUMPRODUCT(--($L$8:$L$1207&lt;L1139))+1,"")</f>
        <v/>
      </c>
      <c r="N1139" s="17">
        <f>IF(K1139=1,N('ORDENES'!$M1135),0)</f>
        <v/>
      </c>
      <c r="O1139" s="17">
        <f>IF('ORDENES'!$T1135="preventiva",N1139,0)</f>
        <v/>
      </c>
      <c r="P1139" s="17">
        <f>IF('ORDENES'!$T1135="correctiva",N1139,0)</f>
        <v/>
      </c>
      <c r="Q1139" s="3">
        <f>IF(AND(K1139=1,'ORDENES'!$N1135="Pendiente"),1,0)</f>
        <v/>
      </c>
      <c r="R1139" s="3">
        <f>IF(Q1139=1,100000-N1139*1000+1132*0.01,9000000000000+1132)</f>
        <v/>
      </c>
      <c r="S1139" s="3">
        <f>IF(Q1139=1,SUMPRODUCT(--($R$8:$R$1207&lt;R1139))+1,"")</f>
        <v/>
      </c>
      <c r="T1139" s="12">
        <f>IF(K1139=1,'ORDENES'!$J1135,"")</f>
        <v/>
      </c>
    </row>
    <row r="1140">
      <c r="K1140" s="3">
        <f>IF(AND(IF($B$3="(todos)",TRUE,'ORDENES'!$O1136=$B$3),IF($D$3="(todos)",TRUE,'ORDENES'!$AF1136=$D$3),IF($F$3="(todos)",TRUE,'ORDENES'!$X1136=$F$3),IF($H$3="(todos)",TRUE,'ORDENES'!$W1136=$H$3),'ORDENES'!$AD1136=TRUE,'ORDENES'!$A1136&lt;&gt;""),1,0)</f>
        <v/>
      </c>
      <c r="L1140" s="3">
        <f>IF(K1140=1,IFERROR(MATCH('ORDENES'!$R1136,lista_dias,0),9)*1000000000+IFERROR(MATCH('ORDENES'!$AF1136,lista_turnos,0),9)*10000000+IFERROR(MATCH('ORDENES'!$AE1136,tblTecnicos[nombre],0),99)*100000+1133,9000000000000+1133)</f>
        <v/>
      </c>
      <c r="M1140" s="3">
        <f>IF(K1140=1,SUMPRODUCT(--($L$8:$L$1207&lt;L1140))+1,"")</f>
        <v/>
      </c>
      <c r="N1140" s="17">
        <f>IF(K1140=1,N('ORDENES'!$M1136),0)</f>
        <v/>
      </c>
      <c r="O1140" s="17">
        <f>IF('ORDENES'!$T1136="preventiva",N1140,0)</f>
        <v/>
      </c>
      <c r="P1140" s="17">
        <f>IF('ORDENES'!$T1136="correctiva",N1140,0)</f>
        <v/>
      </c>
      <c r="Q1140" s="3">
        <f>IF(AND(K1140=1,'ORDENES'!$N1136="Pendiente"),1,0)</f>
        <v/>
      </c>
      <c r="R1140" s="3">
        <f>IF(Q1140=1,100000-N1140*1000+1133*0.01,9000000000000+1133)</f>
        <v/>
      </c>
      <c r="S1140" s="3">
        <f>IF(Q1140=1,SUMPRODUCT(--($R$8:$R$1207&lt;R1140))+1,"")</f>
        <v/>
      </c>
      <c r="T1140" s="12">
        <f>IF(K1140=1,'ORDENES'!$J1136,"")</f>
        <v/>
      </c>
    </row>
    <row r="1141">
      <c r="K1141" s="3">
        <f>IF(AND(IF($B$3="(todos)",TRUE,'ORDENES'!$O1137=$B$3),IF($D$3="(todos)",TRUE,'ORDENES'!$AF1137=$D$3),IF($F$3="(todos)",TRUE,'ORDENES'!$X1137=$F$3),IF($H$3="(todos)",TRUE,'ORDENES'!$W1137=$H$3),'ORDENES'!$AD1137=TRUE,'ORDENES'!$A1137&lt;&gt;""),1,0)</f>
        <v/>
      </c>
      <c r="L1141" s="3">
        <f>IF(K1141=1,IFERROR(MATCH('ORDENES'!$R1137,lista_dias,0),9)*1000000000+IFERROR(MATCH('ORDENES'!$AF1137,lista_turnos,0),9)*10000000+IFERROR(MATCH('ORDENES'!$AE1137,tblTecnicos[nombre],0),99)*100000+1134,9000000000000+1134)</f>
        <v/>
      </c>
      <c r="M1141" s="3">
        <f>IF(K1141=1,SUMPRODUCT(--($L$8:$L$1207&lt;L1141))+1,"")</f>
        <v/>
      </c>
      <c r="N1141" s="17">
        <f>IF(K1141=1,N('ORDENES'!$M1137),0)</f>
        <v/>
      </c>
      <c r="O1141" s="17">
        <f>IF('ORDENES'!$T1137="preventiva",N1141,0)</f>
        <v/>
      </c>
      <c r="P1141" s="17">
        <f>IF('ORDENES'!$T1137="correctiva",N1141,0)</f>
        <v/>
      </c>
      <c r="Q1141" s="3">
        <f>IF(AND(K1141=1,'ORDENES'!$N1137="Pendiente"),1,0)</f>
        <v/>
      </c>
      <c r="R1141" s="3">
        <f>IF(Q1141=1,100000-N1141*1000+1134*0.01,9000000000000+1134)</f>
        <v/>
      </c>
      <c r="S1141" s="3">
        <f>IF(Q1141=1,SUMPRODUCT(--($R$8:$R$1207&lt;R1141))+1,"")</f>
        <v/>
      </c>
      <c r="T1141" s="12">
        <f>IF(K1141=1,'ORDENES'!$J1137,"")</f>
        <v/>
      </c>
    </row>
    <row r="1142">
      <c r="K1142" s="3">
        <f>IF(AND(IF($B$3="(todos)",TRUE,'ORDENES'!$O1138=$B$3),IF($D$3="(todos)",TRUE,'ORDENES'!$AF1138=$D$3),IF($F$3="(todos)",TRUE,'ORDENES'!$X1138=$F$3),IF($H$3="(todos)",TRUE,'ORDENES'!$W1138=$H$3),'ORDENES'!$AD1138=TRUE,'ORDENES'!$A1138&lt;&gt;""),1,0)</f>
        <v/>
      </c>
      <c r="L1142" s="3">
        <f>IF(K1142=1,IFERROR(MATCH('ORDENES'!$R1138,lista_dias,0),9)*1000000000+IFERROR(MATCH('ORDENES'!$AF1138,lista_turnos,0),9)*10000000+IFERROR(MATCH('ORDENES'!$AE1138,tblTecnicos[nombre],0),99)*100000+1135,9000000000000+1135)</f>
        <v/>
      </c>
      <c r="M1142" s="3">
        <f>IF(K1142=1,SUMPRODUCT(--($L$8:$L$1207&lt;L1142))+1,"")</f>
        <v/>
      </c>
      <c r="N1142" s="17">
        <f>IF(K1142=1,N('ORDENES'!$M1138),0)</f>
        <v/>
      </c>
      <c r="O1142" s="17">
        <f>IF('ORDENES'!$T1138="preventiva",N1142,0)</f>
        <v/>
      </c>
      <c r="P1142" s="17">
        <f>IF('ORDENES'!$T1138="correctiva",N1142,0)</f>
        <v/>
      </c>
      <c r="Q1142" s="3">
        <f>IF(AND(K1142=1,'ORDENES'!$N1138="Pendiente"),1,0)</f>
        <v/>
      </c>
      <c r="R1142" s="3">
        <f>IF(Q1142=1,100000-N1142*1000+1135*0.01,9000000000000+1135)</f>
        <v/>
      </c>
      <c r="S1142" s="3">
        <f>IF(Q1142=1,SUMPRODUCT(--($R$8:$R$1207&lt;R1142))+1,"")</f>
        <v/>
      </c>
      <c r="T1142" s="12">
        <f>IF(K1142=1,'ORDENES'!$J1138,"")</f>
        <v/>
      </c>
    </row>
    <row r="1143">
      <c r="K1143" s="3">
        <f>IF(AND(IF($B$3="(todos)",TRUE,'ORDENES'!$O1139=$B$3),IF($D$3="(todos)",TRUE,'ORDENES'!$AF1139=$D$3),IF($F$3="(todos)",TRUE,'ORDENES'!$X1139=$F$3),IF($H$3="(todos)",TRUE,'ORDENES'!$W1139=$H$3),'ORDENES'!$AD1139=TRUE,'ORDENES'!$A1139&lt;&gt;""),1,0)</f>
        <v/>
      </c>
      <c r="L1143" s="3">
        <f>IF(K1143=1,IFERROR(MATCH('ORDENES'!$R1139,lista_dias,0),9)*1000000000+IFERROR(MATCH('ORDENES'!$AF1139,lista_turnos,0),9)*10000000+IFERROR(MATCH('ORDENES'!$AE1139,tblTecnicos[nombre],0),99)*100000+1136,9000000000000+1136)</f>
        <v/>
      </c>
      <c r="M1143" s="3">
        <f>IF(K1143=1,SUMPRODUCT(--($L$8:$L$1207&lt;L1143))+1,"")</f>
        <v/>
      </c>
      <c r="N1143" s="17">
        <f>IF(K1143=1,N('ORDENES'!$M1139),0)</f>
        <v/>
      </c>
      <c r="O1143" s="17">
        <f>IF('ORDENES'!$T1139="preventiva",N1143,0)</f>
        <v/>
      </c>
      <c r="P1143" s="17">
        <f>IF('ORDENES'!$T1139="correctiva",N1143,0)</f>
        <v/>
      </c>
      <c r="Q1143" s="3">
        <f>IF(AND(K1143=1,'ORDENES'!$N1139="Pendiente"),1,0)</f>
        <v/>
      </c>
      <c r="R1143" s="3">
        <f>IF(Q1143=1,100000-N1143*1000+1136*0.01,9000000000000+1136)</f>
        <v/>
      </c>
      <c r="S1143" s="3">
        <f>IF(Q1143=1,SUMPRODUCT(--($R$8:$R$1207&lt;R1143))+1,"")</f>
        <v/>
      </c>
      <c r="T1143" s="12">
        <f>IF(K1143=1,'ORDENES'!$J1139,"")</f>
        <v/>
      </c>
    </row>
    <row r="1144">
      <c r="K1144" s="3">
        <f>IF(AND(IF($B$3="(todos)",TRUE,'ORDENES'!$O1140=$B$3),IF($D$3="(todos)",TRUE,'ORDENES'!$AF1140=$D$3),IF($F$3="(todos)",TRUE,'ORDENES'!$X1140=$F$3),IF($H$3="(todos)",TRUE,'ORDENES'!$W1140=$H$3),'ORDENES'!$AD1140=TRUE,'ORDENES'!$A1140&lt;&gt;""),1,0)</f>
        <v/>
      </c>
      <c r="L1144" s="3">
        <f>IF(K1144=1,IFERROR(MATCH('ORDENES'!$R1140,lista_dias,0),9)*1000000000+IFERROR(MATCH('ORDENES'!$AF1140,lista_turnos,0),9)*10000000+IFERROR(MATCH('ORDENES'!$AE1140,tblTecnicos[nombre],0),99)*100000+1137,9000000000000+1137)</f>
        <v/>
      </c>
      <c r="M1144" s="3">
        <f>IF(K1144=1,SUMPRODUCT(--($L$8:$L$1207&lt;L1144))+1,"")</f>
        <v/>
      </c>
      <c r="N1144" s="17">
        <f>IF(K1144=1,N('ORDENES'!$M1140),0)</f>
        <v/>
      </c>
      <c r="O1144" s="17">
        <f>IF('ORDENES'!$T1140="preventiva",N1144,0)</f>
        <v/>
      </c>
      <c r="P1144" s="17">
        <f>IF('ORDENES'!$T1140="correctiva",N1144,0)</f>
        <v/>
      </c>
      <c r="Q1144" s="3">
        <f>IF(AND(K1144=1,'ORDENES'!$N1140="Pendiente"),1,0)</f>
        <v/>
      </c>
      <c r="R1144" s="3">
        <f>IF(Q1144=1,100000-N1144*1000+1137*0.01,9000000000000+1137)</f>
        <v/>
      </c>
      <c r="S1144" s="3">
        <f>IF(Q1144=1,SUMPRODUCT(--($R$8:$R$1207&lt;R1144))+1,"")</f>
        <v/>
      </c>
      <c r="T1144" s="12">
        <f>IF(K1144=1,'ORDENES'!$J1140,"")</f>
        <v/>
      </c>
    </row>
    <row r="1145">
      <c r="K1145" s="3">
        <f>IF(AND(IF($B$3="(todos)",TRUE,'ORDENES'!$O1141=$B$3),IF($D$3="(todos)",TRUE,'ORDENES'!$AF1141=$D$3),IF($F$3="(todos)",TRUE,'ORDENES'!$X1141=$F$3),IF($H$3="(todos)",TRUE,'ORDENES'!$W1141=$H$3),'ORDENES'!$AD1141=TRUE,'ORDENES'!$A1141&lt;&gt;""),1,0)</f>
        <v/>
      </c>
      <c r="L1145" s="3">
        <f>IF(K1145=1,IFERROR(MATCH('ORDENES'!$R1141,lista_dias,0),9)*1000000000+IFERROR(MATCH('ORDENES'!$AF1141,lista_turnos,0),9)*10000000+IFERROR(MATCH('ORDENES'!$AE1141,tblTecnicos[nombre],0),99)*100000+1138,9000000000000+1138)</f>
        <v/>
      </c>
      <c r="M1145" s="3">
        <f>IF(K1145=1,SUMPRODUCT(--($L$8:$L$1207&lt;L1145))+1,"")</f>
        <v/>
      </c>
      <c r="N1145" s="17">
        <f>IF(K1145=1,N('ORDENES'!$M1141),0)</f>
        <v/>
      </c>
      <c r="O1145" s="17">
        <f>IF('ORDENES'!$T1141="preventiva",N1145,0)</f>
        <v/>
      </c>
      <c r="P1145" s="17">
        <f>IF('ORDENES'!$T1141="correctiva",N1145,0)</f>
        <v/>
      </c>
      <c r="Q1145" s="3">
        <f>IF(AND(K1145=1,'ORDENES'!$N1141="Pendiente"),1,0)</f>
        <v/>
      </c>
      <c r="R1145" s="3">
        <f>IF(Q1145=1,100000-N1145*1000+1138*0.01,9000000000000+1138)</f>
        <v/>
      </c>
      <c r="S1145" s="3">
        <f>IF(Q1145=1,SUMPRODUCT(--($R$8:$R$1207&lt;R1145))+1,"")</f>
        <v/>
      </c>
      <c r="T1145" s="12">
        <f>IF(K1145=1,'ORDENES'!$J1141,"")</f>
        <v/>
      </c>
    </row>
    <row r="1146">
      <c r="K1146" s="3">
        <f>IF(AND(IF($B$3="(todos)",TRUE,'ORDENES'!$O1142=$B$3),IF($D$3="(todos)",TRUE,'ORDENES'!$AF1142=$D$3),IF($F$3="(todos)",TRUE,'ORDENES'!$X1142=$F$3),IF($H$3="(todos)",TRUE,'ORDENES'!$W1142=$H$3),'ORDENES'!$AD1142=TRUE,'ORDENES'!$A1142&lt;&gt;""),1,0)</f>
        <v/>
      </c>
      <c r="L1146" s="3">
        <f>IF(K1146=1,IFERROR(MATCH('ORDENES'!$R1142,lista_dias,0),9)*1000000000+IFERROR(MATCH('ORDENES'!$AF1142,lista_turnos,0),9)*10000000+IFERROR(MATCH('ORDENES'!$AE1142,tblTecnicos[nombre],0),99)*100000+1139,9000000000000+1139)</f>
        <v/>
      </c>
      <c r="M1146" s="3">
        <f>IF(K1146=1,SUMPRODUCT(--($L$8:$L$1207&lt;L1146))+1,"")</f>
        <v/>
      </c>
      <c r="N1146" s="17">
        <f>IF(K1146=1,N('ORDENES'!$M1142),0)</f>
        <v/>
      </c>
      <c r="O1146" s="17">
        <f>IF('ORDENES'!$T1142="preventiva",N1146,0)</f>
        <v/>
      </c>
      <c r="P1146" s="17">
        <f>IF('ORDENES'!$T1142="correctiva",N1146,0)</f>
        <v/>
      </c>
      <c r="Q1146" s="3">
        <f>IF(AND(K1146=1,'ORDENES'!$N1142="Pendiente"),1,0)</f>
        <v/>
      </c>
      <c r="R1146" s="3">
        <f>IF(Q1146=1,100000-N1146*1000+1139*0.01,9000000000000+1139)</f>
        <v/>
      </c>
      <c r="S1146" s="3">
        <f>IF(Q1146=1,SUMPRODUCT(--($R$8:$R$1207&lt;R1146))+1,"")</f>
        <v/>
      </c>
      <c r="T1146" s="12">
        <f>IF(K1146=1,'ORDENES'!$J1142,"")</f>
        <v/>
      </c>
    </row>
    <row r="1147">
      <c r="K1147" s="3">
        <f>IF(AND(IF($B$3="(todos)",TRUE,'ORDENES'!$O1143=$B$3),IF($D$3="(todos)",TRUE,'ORDENES'!$AF1143=$D$3),IF($F$3="(todos)",TRUE,'ORDENES'!$X1143=$F$3),IF($H$3="(todos)",TRUE,'ORDENES'!$W1143=$H$3),'ORDENES'!$AD1143=TRUE,'ORDENES'!$A1143&lt;&gt;""),1,0)</f>
        <v/>
      </c>
      <c r="L1147" s="3">
        <f>IF(K1147=1,IFERROR(MATCH('ORDENES'!$R1143,lista_dias,0),9)*1000000000+IFERROR(MATCH('ORDENES'!$AF1143,lista_turnos,0),9)*10000000+IFERROR(MATCH('ORDENES'!$AE1143,tblTecnicos[nombre],0),99)*100000+1140,9000000000000+1140)</f>
        <v/>
      </c>
      <c r="M1147" s="3">
        <f>IF(K1147=1,SUMPRODUCT(--($L$8:$L$1207&lt;L1147))+1,"")</f>
        <v/>
      </c>
      <c r="N1147" s="17">
        <f>IF(K1147=1,N('ORDENES'!$M1143),0)</f>
        <v/>
      </c>
      <c r="O1147" s="17">
        <f>IF('ORDENES'!$T1143="preventiva",N1147,0)</f>
        <v/>
      </c>
      <c r="P1147" s="17">
        <f>IF('ORDENES'!$T1143="correctiva",N1147,0)</f>
        <v/>
      </c>
      <c r="Q1147" s="3">
        <f>IF(AND(K1147=1,'ORDENES'!$N1143="Pendiente"),1,0)</f>
        <v/>
      </c>
      <c r="R1147" s="3">
        <f>IF(Q1147=1,100000-N1147*1000+1140*0.01,9000000000000+1140)</f>
        <v/>
      </c>
      <c r="S1147" s="3">
        <f>IF(Q1147=1,SUMPRODUCT(--($R$8:$R$1207&lt;R1147))+1,"")</f>
        <v/>
      </c>
      <c r="T1147" s="12">
        <f>IF(K1147=1,'ORDENES'!$J1143,"")</f>
        <v/>
      </c>
    </row>
    <row r="1148">
      <c r="K1148" s="3">
        <f>IF(AND(IF($B$3="(todos)",TRUE,'ORDENES'!$O1144=$B$3),IF($D$3="(todos)",TRUE,'ORDENES'!$AF1144=$D$3),IF($F$3="(todos)",TRUE,'ORDENES'!$X1144=$F$3),IF($H$3="(todos)",TRUE,'ORDENES'!$W1144=$H$3),'ORDENES'!$AD1144=TRUE,'ORDENES'!$A1144&lt;&gt;""),1,0)</f>
        <v/>
      </c>
      <c r="L1148" s="3">
        <f>IF(K1148=1,IFERROR(MATCH('ORDENES'!$R1144,lista_dias,0),9)*1000000000+IFERROR(MATCH('ORDENES'!$AF1144,lista_turnos,0),9)*10000000+IFERROR(MATCH('ORDENES'!$AE1144,tblTecnicos[nombre],0),99)*100000+1141,9000000000000+1141)</f>
        <v/>
      </c>
      <c r="M1148" s="3">
        <f>IF(K1148=1,SUMPRODUCT(--($L$8:$L$1207&lt;L1148))+1,"")</f>
        <v/>
      </c>
      <c r="N1148" s="17">
        <f>IF(K1148=1,N('ORDENES'!$M1144),0)</f>
        <v/>
      </c>
      <c r="O1148" s="17">
        <f>IF('ORDENES'!$T1144="preventiva",N1148,0)</f>
        <v/>
      </c>
      <c r="P1148" s="17">
        <f>IF('ORDENES'!$T1144="correctiva",N1148,0)</f>
        <v/>
      </c>
      <c r="Q1148" s="3">
        <f>IF(AND(K1148=1,'ORDENES'!$N1144="Pendiente"),1,0)</f>
        <v/>
      </c>
      <c r="R1148" s="3">
        <f>IF(Q1148=1,100000-N1148*1000+1141*0.01,9000000000000+1141)</f>
        <v/>
      </c>
      <c r="S1148" s="3">
        <f>IF(Q1148=1,SUMPRODUCT(--($R$8:$R$1207&lt;R1148))+1,"")</f>
        <v/>
      </c>
      <c r="T1148" s="12">
        <f>IF(K1148=1,'ORDENES'!$J1144,"")</f>
        <v/>
      </c>
    </row>
    <row r="1149">
      <c r="K1149" s="3">
        <f>IF(AND(IF($B$3="(todos)",TRUE,'ORDENES'!$O1145=$B$3),IF($D$3="(todos)",TRUE,'ORDENES'!$AF1145=$D$3),IF($F$3="(todos)",TRUE,'ORDENES'!$X1145=$F$3),IF($H$3="(todos)",TRUE,'ORDENES'!$W1145=$H$3),'ORDENES'!$AD1145=TRUE,'ORDENES'!$A1145&lt;&gt;""),1,0)</f>
        <v/>
      </c>
      <c r="L1149" s="3">
        <f>IF(K1149=1,IFERROR(MATCH('ORDENES'!$R1145,lista_dias,0),9)*1000000000+IFERROR(MATCH('ORDENES'!$AF1145,lista_turnos,0),9)*10000000+IFERROR(MATCH('ORDENES'!$AE1145,tblTecnicos[nombre],0),99)*100000+1142,9000000000000+1142)</f>
        <v/>
      </c>
      <c r="M1149" s="3">
        <f>IF(K1149=1,SUMPRODUCT(--($L$8:$L$1207&lt;L1149))+1,"")</f>
        <v/>
      </c>
      <c r="N1149" s="17">
        <f>IF(K1149=1,N('ORDENES'!$M1145),0)</f>
        <v/>
      </c>
      <c r="O1149" s="17">
        <f>IF('ORDENES'!$T1145="preventiva",N1149,0)</f>
        <v/>
      </c>
      <c r="P1149" s="17">
        <f>IF('ORDENES'!$T1145="correctiva",N1149,0)</f>
        <v/>
      </c>
      <c r="Q1149" s="3">
        <f>IF(AND(K1149=1,'ORDENES'!$N1145="Pendiente"),1,0)</f>
        <v/>
      </c>
      <c r="R1149" s="3">
        <f>IF(Q1149=1,100000-N1149*1000+1142*0.01,9000000000000+1142)</f>
        <v/>
      </c>
      <c r="S1149" s="3">
        <f>IF(Q1149=1,SUMPRODUCT(--($R$8:$R$1207&lt;R1149))+1,"")</f>
        <v/>
      </c>
      <c r="T1149" s="12">
        <f>IF(K1149=1,'ORDENES'!$J1145,"")</f>
        <v/>
      </c>
    </row>
    <row r="1150">
      <c r="K1150" s="3">
        <f>IF(AND(IF($B$3="(todos)",TRUE,'ORDENES'!$O1146=$B$3),IF($D$3="(todos)",TRUE,'ORDENES'!$AF1146=$D$3),IF($F$3="(todos)",TRUE,'ORDENES'!$X1146=$F$3),IF($H$3="(todos)",TRUE,'ORDENES'!$W1146=$H$3),'ORDENES'!$AD1146=TRUE,'ORDENES'!$A1146&lt;&gt;""),1,0)</f>
        <v/>
      </c>
      <c r="L1150" s="3">
        <f>IF(K1150=1,IFERROR(MATCH('ORDENES'!$R1146,lista_dias,0),9)*1000000000+IFERROR(MATCH('ORDENES'!$AF1146,lista_turnos,0),9)*10000000+IFERROR(MATCH('ORDENES'!$AE1146,tblTecnicos[nombre],0),99)*100000+1143,9000000000000+1143)</f>
        <v/>
      </c>
      <c r="M1150" s="3">
        <f>IF(K1150=1,SUMPRODUCT(--($L$8:$L$1207&lt;L1150))+1,"")</f>
        <v/>
      </c>
      <c r="N1150" s="17">
        <f>IF(K1150=1,N('ORDENES'!$M1146),0)</f>
        <v/>
      </c>
      <c r="O1150" s="17">
        <f>IF('ORDENES'!$T1146="preventiva",N1150,0)</f>
        <v/>
      </c>
      <c r="P1150" s="17">
        <f>IF('ORDENES'!$T1146="correctiva",N1150,0)</f>
        <v/>
      </c>
      <c r="Q1150" s="3">
        <f>IF(AND(K1150=1,'ORDENES'!$N1146="Pendiente"),1,0)</f>
        <v/>
      </c>
      <c r="R1150" s="3">
        <f>IF(Q1150=1,100000-N1150*1000+1143*0.01,9000000000000+1143)</f>
        <v/>
      </c>
      <c r="S1150" s="3">
        <f>IF(Q1150=1,SUMPRODUCT(--($R$8:$R$1207&lt;R1150))+1,"")</f>
        <v/>
      </c>
      <c r="T1150" s="12">
        <f>IF(K1150=1,'ORDENES'!$J1146,"")</f>
        <v/>
      </c>
    </row>
    <row r="1151">
      <c r="K1151" s="3">
        <f>IF(AND(IF($B$3="(todos)",TRUE,'ORDENES'!$O1147=$B$3),IF($D$3="(todos)",TRUE,'ORDENES'!$AF1147=$D$3),IF($F$3="(todos)",TRUE,'ORDENES'!$X1147=$F$3),IF($H$3="(todos)",TRUE,'ORDENES'!$W1147=$H$3),'ORDENES'!$AD1147=TRUE,'ORDENES'!$A1147&lt;&gt;""),1,0)</f>
        <v/>
      </c>
      <c r="L1151" s="3">
        <f>IF(K1151=1,IFERROR(MATCH('ORDENES'!$R1147,lista_dias,0),9)*1000000000+IFERROR(MATCH('ORDENES'!$AF1147,lista_turnos,0),9)*10000000+IFERROR(MATCH('ORDENES'!$AE1147,tblTecnicos[nombre],0),99)*100000+1144,9000000000000+1144)</f>
        <v/>
      </c>
      <c r="M1151" s="3">
        <f>IF(K1151=1,SUMPRODUCT(--($L$8:$L$1207&lt;L1151))+1,"")</f>
        <v/>
      </c>
      <c r="N1151" s="17">
        <f>IF(K1151=1,N('ORDENES'!$M1147),0)</f>
        <v/>
      </c>
      <c r="O1151" s="17">
        <f>IF('ORDENES'!$T1147="preventiva",N1151,0)</f>
        <v/>
      </c>
      <c r="P1151" s="17">
        <f>IF('ORDENES'!$T1147="correctiva",N1151,0)</f>
        <v/>
      </c>
      <c r="Q1151" s="3">
        <f>IF(AND(K1151=1,'ORDENES'!$N1147="Pendiente"),1,0)</f>
        <v/>
      </c>
      <c r="R1151" s="3">
        <f>IF(Q1151=1,100000-N1151*1000+1144*0.01,9000000000000+1144)</f>
        <v/>
      </c>
      <c r="S1151" s="3">
        <f>IF(Q1151=1,SUMPRODUCT(--($R$8:$R$1207&lt;R1151))+1,"")</f>
        <v/>
      </c>
      <c r="T1151" s="12">
        <f>IF(K1151=1,'ORDENES'!$J1147,"")</f>
        <v/>
      </c>
    </row>
    <row r="1152">
      <c r="K1152" s="3">
        <f>IF(AND(IF($B$3="(todos)",TRUE,'ORDENES'!$O1148=$B$3),IF($D$3="(todos)",TRUE,'ORDENES'!$AF1148=$D$3),IF($F$3="(todos)",TRUE,'ORDENES'!$X1148=$F$3),IF($H$3="(todos)",TRUE,'ORDENES'!$W1148=$H$3),'ORDENES'!$AD1148=TRUE,'ORDENES'!$A1148&lt;&gt;""),1,0)</f>
        <v/>
      </c>
      <c r="L1152" s="3">
        <f>IF(K1152=1,IFERROR(MATCH('ORDENES'!$R1148,lista_dias,0),9)*1000000000+IFERROR(MATCH('ORDENES'!$AF1148,lista_turnos,0),9)*10000000+IFERROR(MATCH('ORDENES'!$AE1148,tblTecnicos[nombre],0),99)*100000+1145,9000000000000+1145)</f>
        <v/>
      </c>
      <c r="M1152" s="3">
        <f>IF(K1152=1,SUMPRODUCT(--($L$8:$L$1207&lt;L1152))+1,"")</f>
        <v/>
      </c>
      <c r="N1152" s="17">
        <f>IF(K1152=1,N('ORDENES'!$M1148),0)</f>
        <v/>
      </c>
      <c r="O1152" s="17">
        <f>IF('ORDENES'!$T1148="preventiva",N1152,0)</f>
        <v/>
      </c>
      <c r="P1152" s="17">
        <f>IF('ORDENES'!$T1148="correctiva",N1152,0)</f>
        <v/>
      </c>
      <c r="Q1152" s="3">
        <f>IF(AND(K1152=1,'ORDENES'!$N1148="Pendiente"),1,0)</f>
        <v/>
      </c>
      <c r="R1152" s="3">
        <f>IF(Q1152=1,100000-N1152*1000+1145*0.01,9000000000000+1145)</f>
        <v/>
      </c>
      <c r="S1152" s="3">
        <f>IF(Q1152=1,SUMPRODUCT(--($R$8:$R$1207&lt;R1152))+1,"")</f>
        <v/>
      </c>
      <c r="T1152" s="12">
        <f>IF(K1152=1,'ORDENES'!$J1148,"")</f>
        <v/>
      </c>
    </row>
    <row r="1153">
      <c r="K1153" s="3">
        <f>IF(AND(IF($B$3="(todos)",TRUE,'ORDENES'!$O1149=$B$3),IF($D$3="(todos)",TRUE,'ORDENES'!$AF1149=$D$3),IF($F$3="(todos)",TRUE,'ORDENES'!$X1149=$F$3),IF($H$3="(todos)",TRUE,'ORDENES'!$W1149=$H$3),'ORDENES'!$AD1149=TRUE,'ORDENES'!$A1149&lt;&gt;""),1,0)</f>
        <v/>
      </c>
      <c r="L1153" s="3">
        <f>IF(K1153=1,IFERROR(MATCH('ORDENES'!$R1149,lista_dias,0),9)*1000000000+IFERROR(MATCH('ORDENES'!$AF1149,lista_turnos,0),9)*10000000+IFERROR(MATCH('ORDENES'!$AE1149,tblTecnicos[nombre],0),99)*100000+1146,9000000000000+1146)</f>
        <v/>
      </c>
      <c r="M1153" s="3">
        <f>IF(K1153=1,SUMPRODUCT(--($L$8:$L$1207&lt;L1153))+1,"")</f>
        <v/>
      </c>
      <c r="N1153" s="17">
        <f>IF(K1153=1,N('ORDENES'!$M1149),0)</f>
        <v/>
      </c>
      <c r="O1153" s="17">
        <f>IF('ORDENES'!$T1149="preventiva",N1153,0)</f>
        <v/>
      </c>
      <c r="P1153" s="17">
        <f>IF('ORDENES'!$T1149="correctiva",N1153,0)</f>
        <v/>
      </c>
      <c r="Q1153" s="3">
        <f>IF(AND(K1153=1,'ORDENES'!$N1149="Pendiente"),1,0)</f>
        <v/>
      </c>
      <c r="R1153" s="3">
        <f>IF(Q1153=1,100000-N1153*1000+1146*0.01,9000000000000+1146)</f>
        <v/>
      </c>
      <c r="S1153" s="3">
        <f>IF(Q1153=1,SUMPRODUCT(--($R$8:$R$1207&lt;R1153))+1,"")</f>
        <v/>
      </c>
      <c r="T1153" s="12">
        <f>IF(K1153=1,'ORDENES'!$J1149,"")</f>
        <v/>
      </c>
    </row>
    <row r="1154">
      <c r="K1154" s="3">
        <f>IF(AND(IF($B$3="(todos)",TRUE,'ORDENES'!$O1150=$B$3),IF($D$3="(todos)",TRUE,'ORDENES'!$AF1150=$D$3),IF($F$3="(todos)",TRUE,'ORDENES'!$X1150=$F$3),IF($H$3="(todos)",TRUE,'ORDENES'!$W1150=$H$3),'ORDENES'!$AD1150=TRUE,'ORDENES'!$A1150&lt;&gt;""),1,0)</f>
        <v/>
      </c>
      <c r="L1154" s="3">
        <f>IF(K1154=1,IFERROR(MATCH('ORDENES'!$R1150,lista_dias,0),9)*1000000000+IFERROR(MATCH('ORDENES'!$AF1150,lista_turnos,0),9)*10000000+IFERROR(MATCH('ORDENES'!$AE1150,tblTecnicos[nombre],0),99)*100000+1147,9000000000000+1147)</f>
        <v/>
      </c>
      <c r="M1154" s="3">
        <f>IF(K1154=1,SUMPRODUCT(--($L$8:$L$1207&lt;L1154))+1,"")</f>
        <v/>
      </c>
      <c r="N1154" s="17">
        <f>IF(K1154=1,N('ORDENES'!$M1150),0)</f>
        <v/>
      </c>
      <c r="O1154" s="17">
        <f>IF('ORDENES'!$T1150="preventiva",N1154,0)</f>
        <v/>
      </c>
      <c r="P1154" s="17">
        <f>IF('ORDENES'!$T1150="correctiva",N1154,0)</f>
        <v/>
      </c>
      <c r="Q1154" s="3">
        <f>IF(AND(K1154=1,'ORDENES'!$N1150="Pendiente"),1,0)</f>
        <v/>
      </c>
      <c r="R1154" s="3">
        <f>IF(Q1154=1,100000-N1154*1000+1147*0.01,9000000000000+1147)</f>
        <v/>
      </c>
      <c r="S1154" s="3">
        <f>IF(Q1154=1,SUMPRODUCT(--($R$8:$R$1207&lt;R1154))+1,"")</f>
        <v/>
      </c>
      <c r="T1154" s="12">
        <f>IF(K1154=1,'ORDENES'!$J1150,"")</f>
        <v/>
      </c>
    </row>
    <row r="1155">
      <c r="K1155" s="3">
        <f>IF(AND(IF($B$3="(todos)",TRUE,'ORDENES'!$O1151=$B$3),IF($D$3="(todos)",TRUE,'ORDENES'!$AF1151=$D$3),IF($F$3="(todos)",TRUE,'ORDENES'!$X1151=$F$3),IF($H$3="(todos)",TRUE,'ORDENES'!$W1151=$H$3),'ORDENES'!$AD1151=TRUE,'ORDENES'!$A1151&lt;&gt;""),1,0)</f>
        <v/>
      </c>
      <c r="L1155" s="3">
        <f>IF(K1155=1,IFERROR(MATCH('ORDENES'!$R1151,lista_dias,0),9)*1000000000+IFERROR(MATCH('ORDENES'!$AF1151,lista_turnos,0),9)*10000000+IFERROR(MATCH('ORDENES'!$AE1151,tblTecnicos[nombre],0),99)*100000+1148,9000000000000+1148)</f>
        <v/>
      </c>
      <c r="M1155" s="3">
        <f>IF(K1155=1,SUMPRODUCT(--($L$8:$L$1207&lt;L1155))+1,"")</f>
        <v/>
      </c>
      <c r="N1155" s="17">
        <f>IF(K1155=1,N('ORDENES'!$M1151),0)</f>
        <v/>
      </c>
      <c r="O1155" s="17">
        <f>IF('ORDENES'!$T1151="preventiva",N1155,0)</f>
        <v/>
      </c>
      <c r="P1155" s="17">
        <f>IF('ORDENES'!$T1151="correctiva",N1155,0)</f>
        <v/>
      </c>
      <c r="Q1155" s="3">
        <f>IF(AND(K1155=1,'ORDENES'!$N1151="Pendiente"),1,0)</f>
        <v/>
      </c>
      <c r="R1155" s="3">
        <f>IF(Q1155=1,100000-N1155*1000+1148*0.01,9000000000000+1148)</f>
        <v/>
      </c>
      <c r="S1155" s="3">
        <f>IF(Q1155=1,SUMPRODUCT(--($R$8:$R$1207&lt;R1155))+1,"")</f>
        <v/>
      </c>
      <c r="T1155" s="12">
        <f>IF(K1155=1,'ORDENES'!$J1151,"")</f>
        <v/>
      </c>
    </row>
    <row r="1156">
      <c r="K1156" s="3">
        <f>IF(AND(IF($B$3="(todos)",TRUE,'ORDENES'!$O1152=$B$3),IF($D$3="(todos)",TRUE,'ORDENES'!$AF1152=$D$3),IF($F$3="(todos)",TRUE,'ORDENES'!$X1152=$F$3),IF($H$3="(todos)",TRUE,'ORDENES'!$W1152=$H$3),'ORDENES'!$AD1152=TRUE,'ORDENES'!$A1152&lt;&gt;""),1,0)</f>
        <v/>
      </c>
      <c r="L1156" s="3">
        <f>IF(K1156=1,IFERROR(MATCH('ORDENES'!$R1152,lista_dias,0),9)*1000000000+IFERROR(MATCH('ORDENES'!$AF1152,lista_turnos,0),9)*10000000+IFERROR(MATCH('ORDENES'!$AE1152,tblTecnicos[nombre],0),99)*100000+1149,9000000000000+1149)</f>
        <v/>
      </c>
      <c r="M1156" s="3">
        <f>IF(K1156=1,SUMPRODUCT(--($L$8:$L$1207&lt;L1156))+1,"")</f>
        <v/>
      </c>
      <c r="N1156" s="17">
        <f>IF(K1156=1,N('ORDENES'!$M1152),0)</f>
        <v/>
      </c>
      <c r="O1156" s="17">
        <f>IF('ORDENES'!$T1152="preventiva",N1156,0)</f>
        <v/>
      </c>
      <c r="P1156" s="17">
        <f>IF('ORDENES'!$T1152="correctiva",N1156,0)</f>
        <v/>
      </c>
      <c r="Q1156" s="3">
        <f>IF(AND(K1156=1,'ORDENES'!$N1152="Pendiente"),1,0)</f>
        <v/>
      </c>
      <c r="R1156" s="3">
        <f>IF(Q1156=1,100000-N1156*1000+1149*0.01,9000000000000+1149)</f>
        <v/>
      </c>
      <c r="S1156" s="3">
        <f>IF(Q1156=1,SUMPRODUCT(--($R$8:$R$1207&lt;R1156))+1,"")</f>
        <v/>
      </c>
      <c r="T1156" s="12">
        <f>IF(K1156=1,'ORDENES'!$J1152,"")</f>
        <v/>
      </c>
    </row>
    <row r="1157">
      <c r="K1157" s="3">
        <f>IF(AND(IF($B$3="(todos)",TRUE,'ORDENES'!$O1153=$B$3),IF($D$3="(todos)",TRUE,'ORDENES'!$AF1153=$D$3),IF($F$3="(todos)",TRUE,'ORDENES'!$X1153=$F$3),IF($H$3="(todos)",TRUE,'ORDENES'!$W1153=$H$3),'ORDENES'!$AD1153=TRUE,'ORDENES'!$A1153&lt;&gt;""),1,0)</f>
        <v/>
      </c>
      <c r="L1157" s="3">
        <f>IF(K1157=1,IFERROR(MATCH('ORDENES'!$R1153,lista_dias,0),9)*1000000000+IFERROR(MATCH('ORDENES'!$AF1153,lista_turnos,0),9)*10000000+IFERROR(MATCH('ORDENES'!$AE1153,tblTecnicos[nombre],0),99)*100000+1150,9000000000000+1150)</f>
        <v/>
      </c>
      <c r="M1157" s="3">
        <f>IF(K1157=1,SUMPRODUCT(--($L$8:$L$1207&lt;L1157))+1,"")</f>
        <v/>
      </c>
      <c r="N1157" s="17">
        <f>IF(K1157=1,N('ORDENES'!$M1153),0)</f>
        <v/>
      </c>
      <c r="O1157" s="17">
        <f>IF('ORDENES'!$T1153="preventiva",N1157,0)</f>
        <v/>
      </c>
      <c r="P1157" s="17">
        <f>IF('ORDENES'!$T1153="correctiva",N1157,0)</f>
        <v/>
      </c>
      <c r="Q1157" s="3">
        <f>IF(AND(K1157=1,'ORDENES'!$N1153="Pendiente"),1,0)</f>
        <v/>
      </c>
      <c r="R1157" s="3">
        <f>IF(Q1157=1,100000-N1157*1000+1150*0.01,9000000000000+1150)</f>
        <v/>
      </c>
      <c r="S1157" s="3">
        <f>IF(Q1157=1,SUMPRODUCT(--($R$8:$R$1207&lt;R1157))+1,"")</f>
        <v/>
      </c>
      <c r="T1157" s="12">
        <f>IF(K1157=1,'ORDENES'!$J1153,"")</f>
        <v/>
      </c>
    </row>
    <row r="1158">
      <c r="K1158" s="3">
        <f>IF(AND(IF($B$3="(todos)",TRUE,'ORDENES'!$O1154=$B$3),IF($D$3="(todos)",TRUE,'ORDENES'!$AF1154=$D$3),IF($F$3="(todos)",TRUE,'ORDENES'!$X1154=$F$3),IF($H$3="(todos)",TRUE,'ORDENES'!$W1154=$H$3),'ORDENES'!$AD1154=TRUE,'ORDENES'!$A1154&lt;&gt;""),1,0)</f>
        <v/>
      </c>
      <c r="L1158" s="3">
        <f>IF(K1158=1,IFERROR(MATCH('ORDENES'!$R1154,lista_dias,0),9)*1000000000+IFERROR(MATCH('ORDENES'!$AF1154,lista_turnos,0),9)*10000000+IFERROR(MATCH('ORDENES'!$AE1154,tblTecnicos[nombre],0),99)*100000+1151,9000000000000+1151)</f>
        <v/>
      </c>
      <c r="M1158" s="3">
        <f>IF(K1158=1,SUMPRODUCT(--($L$8:$L$1207&lt;L1158))+1,"")</f>
        <v/>
      </c>
      <c r="N1158" s="17">
        <f>IF(K1158=1,N('ORDENES'!$M1154),0)</f>
        <v/>
      </c>
      <c r="O1158" s="17">
        <f>IF('ORDENES'!$T1154="preventiva",N1158,0)</f>
        <v/>
      </c>
      <c r="P1158" s="17">
        <f>IF('ORDENES'!$T1154="correctiva",N1158,0)</f>
        <v/>
      </c>
      <c r="Q1158" s="3">
        <f>IF(AND(K1158=1,'ORDENES'!$N1154="Pendiente"),1,0)</f>
        <v/>
      </c>
      <c r="R1158" s="3">
        <f>IF(Q1158=1,100000-N1158*1000+1151*0.01,9000000000000+1151)</f>
        <v/>
      </c>
      <c r="S1158" s="3">
        <f>IF(Q1158=1,SUMPRODUCT(--($R$8:$R$1207&lt;R1158))+1,"")</f>
        <v/>
      </c>
      <c r="T1158" s="12">
        <f>IF(K1158=1,'ORDENES'!$J1154,"")</f>
        <v/>
      </c>
    </row>
    <row r="1159">
      <c r="K1159" s="3">
        <f>IF(AND(IF($B$3="(todos)",TRUE,'ORDENES'!$O1155=$B$3),IF($D$3="(todos)",TRUE,'ORDENES'!$AF1155=$D$3),IF($F$3="(todos)",TRUE,'ORDENES'!$X1155=$F$3),IF($H$3="(todos)",TRUE,'ORDENES'!$W1155=$H$3),'ORDENES'!$AD1155=TRUE,'ORDENES'!$A1155&lt;&gt;""),1,0)</f>
        <v/>
      </c>
      <c r="L1159" s="3">
        <f>IF(K1159=1,IFERROR(MATCH('ORDENES'!$R1155,lista_dias,0),9)*1000000000+IFERROR(MATCH('ORDENES'!$AF1155,lista_turnos,0),9)*10000000+IFERROR(MATCH('ORDENES'!$AE1155,tblTecnicos[nombre],0),99)*100000+1152,9000000000000+1152)</f>
        <v/>
      </c>
      <c r="M1159" s="3">
        <f>IF(K1159=1,SUMPRODUCT(--($L$8:$L$1207&lt;L1159))+1,"")</f>
        <v/>
      </c>
      <c r="N1159" s="17">
        <f>IF(K1159=1,N('ORDENES'!$M1155),0)</f>
        <v/>
      </c>
      <c r="O1159" s="17">
        <f>IF('ORDENES'!$T1155="preventiva",N1159,0)</f>
        <v/>
      </c>
      <c r="P1159" s="17">
        <f>IF('ORDENES'!$T1155="correctiva",N1159,0)</f>
        <v/>
      </c>
      <c r="Q1159" s="3">
        <f>IF(AND(K1159=1,'ORDENES'!$N1155="Pendiente"),1,0)</f>
        <v/>
      </c>
      <c r="R1159" s="3">
        <f>IF(Q1159=1,100000-N1159*1000+1152*0.01,9000000000000+1152)</f>
        <v/>
      </c>
      <c r="S1159" s="3">
        <f>IF(Q1159=1,SUMPRODUCT(--($R$8:$R$1207&lt;R1159))+1,"")</f>
        <v/>
      </c>
      <c r="T1159" s="12">
        <f>IF(K1159=1,'ORDENES'!$J1155,"")</f>
        <v/>
      </c>
    </row>
    <row r="1160">
      <c r="K1160" s="3">
        <f>IF(AND(IF($B$3="(todos)",TRUE,'ORDENES'!$O1156=$B$3),IF($D$3="(todos)",TRUE,'ORDENES'!$AF1156=$D$3),IF($F$3="(todos)",TRUE,'ORDENES'!$X1156=$F$3),IF($H$3="(todos)",TRUE,'ORDENES'!$W1156=$H$3),'ORDENES'!$AD1156=TRUE,'ORDENES'!$A1156&lt;&gt;""),1,0)</f>
        <v/>
      </c>
      <c r="L1160" s="3">
        <f>IF(K1160=1,IFERROR(MATCH('ORDENES'!$R1156,lista_dias,0),9)*1000000000+IFERROR(MATCH('ORDENES'!$AF1156,lista_turnos,0),9)*10000000+IFERROR(MATCH('ORDENES'!$AE1156,tblTecnicos[nombre],0),99)*100000+1153,9000000000000+1153)</f>
        <v/>
      </c>
      <c r="M1160" s="3">
        <f>IF(K1160=1,SUMPRODUCT(--($L$8:$L$1207&lt;L1160))+1,"")</f>
        <v/>
      </c>
      <c r="N1160" s="17">
        <f>IF(K1160=1,N('ORDENES'!$M1156),0)</f>
        <v/>
      </c>
      <c r="O1160" s="17">
        <f>IF('ORDENES'!$T1156="preventiva",N1160,0)</f>
        <v/>
      </c>
      <c r="P1160" s="17">
        <f>IF('ORDENES'!$T1156="correctiva",N1160,0)</f>
        <v/>
      </c>
      <c r="Q1160" s="3">
        <f>IF(AND(K1160=1,'ORDENES'!$N1156="Pendiente"),1,0)</f>
        <v/>
      </c>
      <c r="R1160" s="3">
        <f>IF(Q1160=1,100000-N1160*1000+1153*0.01,9000000000000+1153)</f>
        <v/>
      </c>
      <c r="S1160" s="3">
        <f>IF(Q1160=1,SUMPRODUCT(--($R$8:$R$1207&lt;R1160))+1,"")</f>
        <v/>
      </c>
      <c r="T1160" s="12">
        <f>IF(K1160=1,'ORDENES'!$J1156,"")</f>
        <v/>
      </c>
    </row>
    <row r="1161">
      <c r="K1161" s="3">
        <f>IF(AND(IF($B$3="(todos)",TRUE,'ORDENES'!$O1157=$B$3),IF($D$3="(todos)",TRUE,'ORDENES'!$AF1157=$D$3),IF($F$3="(todos)",TRUE,'ORDENES'!$X1157=$F$3),IF($H$3="(todos)",TRUE,'ORDENES'!$W1157=$H$3),'ORDENES'!$AD1157=TRUE,'ORDENES'!$A1157&lt;&gt;""),1,0)</f>
        <v/>
      </c>
      <c r="L1161" s="3">
        <f>IF(K1161=1,IFERROR(MATCH('ORDENES'!$R1157,lista_dias,0),9)*1000000000+IFERROR(MATCH('ORDENES'!$AF1157,lista_turnos,0),9)*10000000+IFERROR(MATCH('ORDENES'!$AE1157,tblTecnicos[nombre],0),99)*100000+1154,9000000000000+1154)</f>
        <v/>
      </c>
      <c r="M1161" s="3">
        <f>IF(K1161=1,SUMPRODUCT(--($L$8:$L$1207&lt;L1161))+1,"")</f>
        <v/>
      </c>
      <c r="N1161" s="17">
        <f>IF(K1161=1,N('ORDENES'!$M1157),0)</f>
        <v/>
      </c>
      <c r="O1161" s="17">
        <f>IF('ORDENES'!$T1157="preventiva",N1161,0)</f>
        <v/>
      </c>
      <c r="P1161" s="17">
        <f>IF('ORDENES'!$T1157="correctiva",N1161,0)</f>
        <v/>
      </c>
      <c r="Q1161" s="3">
        <f>IF(AND(K1161=1,'ORDENES'!$N1157="Pendiente"),1,0)</f>
        <v/>
      </c>
      <c r="R1161" s="3">
        <f>IF(Q1161=1,100000-N1161*1000+1154*0.01,9000000000000+1154)</f>
        <v/>
      </c>
      <c r="S1161" s="3">
        <f>IF(Q1161=1,SUMPRODUCT(--($R$8:$R$1207&lt;R1161))+1,"")</f>
        <v/>
      </c>
      <c r="T1161" s="12">
        <f>IF(K1161=1,'ORDENES'!$J1157,"")</f>
        <v/>
      </c>
    </row>
    <row r="1162">
      <c r="K1162" s="3">
        <f>IF(AND(IF($B$3="(todos)",TRUE,'ORDENES'!$O1158=$B$3),IF($D$3="(todos)",TRUE,'ORDENES'!$AF1158=$D$3),IF($F$3="(todos)",TRUE,'ORDENES'!$X1158=$F$3),IF($H$3="(todos)",TRUE,'ORDENES'!$W1158=$H$3),'ORDENES'!$AD1158=TRUE,'ORDENES'!$A1158&lt;&gt;""),1,0)</f>
        <v/>
      </c>
      <c r="L1162" s="3">
        <f>IF(K1162=1,IFERROR(MATCH('ORDENES'!$R1158,lista_dias,0),9)*1000000000+IFERROR(MATCH('ORDENES'!$AF1158,lista_turnos,0),9)*10000000+IFERROR(MATCH('ORDENES'!$AE1158,tblTecnicos[nombre],0),99)*100000+1155,9000000000000+1155)</f>
        <v/>
      </c>
      <c r="M1162" s="3">
        <f>IF(K1162=1,SUMPRODUCT(--($L$8:$L$1207&lt;L1162))+1,"")</f>
        <v/>
      </c>
      <c r="N1162" s="17">
        <f>IF(K1162=1,N('ORDENES'!$M1158),0)</f>
        <v/>
      </c>
      <c r="O1162" s="17">
        <f>IF('ORDENES'!$T1158="preventiva",N1162,0)</f>
        <v/>
      </c>
      <c r="P1162" s="17">
        <f>IF('ORDENES'!$T1158="correctiva",N1162,0)</f>
        <v/>
      </c>
      <c r="Q1162" s="3">
        <f>IF(AND(K1162=1,'ORDENES'!$N1158="Pendiente"),1,0)</f>
        <v/>
      </c>
      <c r="R1162" s="3">
        <f>IF(Q1162=1,100000-N1162*1000+1155*0.01,9000000000000+1155)</f>
        <v/>
      </c>
      <c r="S1162" s="3">
        <f>IF(Q1162=1,SUMPRODUCT(--($R$8:$R$1207&lt;R1162))+1,"")</f>
        <v/>
      </c>
      <c r="T1162" s="12">
        <f>IF(K1162=1,'ORDENES'!$J1158,"")</f>
        <v/>
      </c>
    </row>
    <row r="1163">
      <c r="K1163" s="3">
        <f>IF(AND(IF($B$3="(todos)",TRUE,'ORDENES'!$O1159=$B$3),IF($D$3="(todos)",TRUE,'ORDENES'!$AF1159=$D$3),IF($F$3="(todos)",TRUE,'ORDENES'!$X1159=$F$3),IF($H$3="(todos)",TRUE,'ORDENES'!$W1159=$H$3),'ORDENES'!$AD1159=TRUE,'ORDENES'!$A1159&lt;&gt;""),1,0)</f>
        <v/>
      </c>
      <c r="L1163" s="3">
        <f>IF(K1163=1,IFERROR(MATCH('ORDENES'!$R1159,lista_dias,0),9)*1000000000+IFERROR(MATCH('ORDENES'!$AF1159,lista_turnos,0),9)*10000000+IFERROR(MATCH('ORDENES'!$AE1159,tblTecnicos[nombre],0),99)*100000+1156,9000000000000+1156)</f>
        <v/>
      </c>
      <c r="M1163" s="3">
        <f>IF(K1163=1,SUMPRODUCT(--($L$8:$L$1207&lt;L1163))+1,"")</f>
        <v/>
      </c>
      <c r="N1163" s="17">
        <f>IF(K1163=1,N('ORDENES'!$M1159),0)</f>
        <v/>
      </c>
      <c r="O1163" s="17">
        <f>IF('ORDENES'!$T1159="preventiva",N1163,0)</f>
        <v/>
      </c>
      <c r="P1163" s="17">
        <f>IF('ORDENES'!$T1159="correctiva",N1163,0)</f>
        <v/>
      </c>
      <c r="Q1163" s="3">
        <f>IF(AND(K1163=1,'ORDENES'!$N1159="Pendiente"),1,0)</f>
        <v/>
      </c>
      <c r="R1163" s="3">
        <f>IF(Q1163=1,100000-N1163*1000+1156*0.01,9000000000000+1156)</f>
        <v/>
      </c>
      <c r="S1163" s="3">
        <f>IF(Q1163=1,SUMPRODUCT(--($R$8:$R$1207&lt;R1163))+1,"")</f>
        <v/>
      </c>
      <c r="T1163" s="12">
        <f>IF(K1163=1,'ORDENES'!$J1159,"")</f>
        <v/>
      </c>
    </row>
    <row r="1164">
      <c r="K1164" s="3">
        <f>IF(AND(IF($B$3="(todos)",TRUE,'ORDENES'!$O1160=$B$3),IF($D$3="(todos)",TRUE,'ORDENES'!$AF1160=$D$3),IF($F$3="(todos)",TRUE,'ORDENES'!$X1160=$F$3),IF($H$3="(todos)",TRUE,'ORDENES'!$W1160=$H$3),'ORDENES'!$AD1160=TRUE,'ORDENES'!$A1160&lt;&gt;""),1,0)</f>
        <v/>
      </c>
      <c r="L1164" s="3">
        <f>IF(K1164=1,IFERROR(MATCH('ORDENES'!$R1160,lista_dias,0),9)*1000000000+IFERROR(MATCH('ORDENES'!$AF1160,lista_turnos,0),9)*10000000+IFERROR(MATCH('ORDENES'!$AE1160,tblTecnicos[nombre],0),99)*100000+1157,9000000000000+1157)</f>
        <v/>
      </c>
      <c r="M1164" s="3">
        <f>IF(K1164=1,SUMPRODUCT(--($L$8:$L$1207&lt;L1164))+1,"")</f>
        <v/>
      </c>
      <c r="N1164" s="17">
        <f>IF(K1164=1,N('ORDENES'!$M1160),0)</f>
        <v/>
      </c>
      <c r="O1164" s="17">
        <f>IF('ORDENES'!$T1160="preventiva",N1164,0)</f>
        <v/>
      </c>
      <c r="P1164" s="17">
        <f>IF('ORDENES'!$T1160="correctiva",N1164,0)</f>
        <v/>
      </c>
      <c r="Q1164" s="3">
        <f>IF(AND(K1164=1,'ORDENES'!$N1160="Pendiente"),1,0)</f>
        <v/>
      </c>
      <c r="R1164" s="3">
        <f>IF(Q1164=1,100000-N1164*1000+1157*0.01,9000000000000+1157)</f>
        <v/>
      </c>
      <c r="S1164" s="3">
        <f>IF(Q1164=1,SUMPRODUCT(--($R$8:$R$1207&lt;R1164))+1,"")</f>
        <v/>
      </c>
      <c r="T1164" s="12">
        <f>IF(K1164=1,'ORDENES'!$J1160,"")</f>
        <v/>
      </c>
    </row>
    <row r="1165">
      <c r="K1165" s="3">
        <f>IF(AND(IF($B$3="(todos)",TRUE,'ORDENES'!$O1161=$B$3),IF($D$3="(todos)",TRUE,'ORDENES'!$AF1161=$D$3),IF($F$3="(todos)",TRUE,'ORDENES'!$X1161=$F$3),IF($H$3="(todos)",TRUE,'ORDENES'!$W1161=$H$3),'ORDENES'!$AD1161=TRUE,'ORDENES'!$A1161&lt;&gt;""),1,0)</f>
        <v/>
      </c>
      <c r="L1165" s="3">
        <f>IF(K1165=1,IFERROR(MATCH('ORDENES'!$R1161,lista_dias,0),9)*1000000000+IFERROR(MATCH('ORDENES'!$AF1161,lista_turnos,0),9)*10000000+IFERROR(MATCH('ORDENES'!$AE1161,tblTecnicos[nombre],0),99)*100000+1158,9000000000000+1158)</f>
        <v/>
      </c>
      <c r="M1165" s="3">
        <f>IF(K1165=1,SUMPRODUCT(--($L$8:$L$1207&lt;L1165))+1,"")</f>
        <v/>
      </c>
      <c r="N1165" s="17">
        <f>IF(K1165=1,N('ORDENES'!$M1161),0)</f>
        <v/>
      </c>
      <c r="O1165" s="17">
        <f>IF('ORDENES'!$T1161="preventiva",N1165,0)</f>
        <v/>
      </c>
      <c r="P1165" s="17">
        <f>IF('ORDENES'!$T1161="correctiva",N1165,0)</f>
        <v/>
      </c>
      <c r="Q1165" s="3">
        <f>IF(AND(K1165=1,'ORDENES'!$N1161="Pendiente"),1,0)</f>
        <v/>
      </c>
      <c r="R1165" s="3">
        <f>IF(Q1165=1,100000-N1165*1000+1158*0.01,9000000000000+1158)</f>
        <v/>
      </c>
      <c r="S1165" s="3">
        <f>IF(Q1165=1,SUMPRODUCT(--($R$8:$R$1207&lt;R1165))+1,"")</f>
        <v/>
      </c>
      <c r="T1165" s="12">
        <f>IF(K1165=1,'ORDENES'!$J1161,"")</f>
        <v/>
      </c>
    </row>
    <row r="1166">
      <c r="K1166" s="3">
        <f>IF(AND(IF($B$3="(todos)",TRUE,'ORDENES'!$O1162=$B$3),IF($D$3="(todos)",TRUE,'ORDENES'!$AF1162=$D$3),IF($F$3="(todos)",TRUE,'ORDENES'!$X1162=$F$3),IF($H$3="(todos)",TRUE,'ORDENES'!$W1162=$H$3),'ORDENES'!$AD1162=TRUE,'ORDENES'!$A1162&lt;&gt;""),1,0)</f>
        <v/>
      </c>
      <c r="L1166" s="3">
        <f>IF(K1166=1,IFERROR(MATCH('ORDENES'!$R1162,lista_dias,0),9)*1000000000+IFERROR(MATCH('ORDENES'!$AF1162,lista_turnos,0),9)*10000000+IFERROR(MATCH('ORDENES'!$AE1162,tblTecnicos[nombre],0),99)*100000+1159,9000000000000+1159)</f>
        <v/>
      </c>
      <c r="M1166" s="3">
        <f>IF(K1166=1,SUMPRODUCT(--($L$8:$L$1207&lt;L1166))+1,"")</f>
        <v/>
      </c>
      <c r="N1166" s="17">
        <f>IF(K1166=1,N('ORDENES'!$M1162),0)</f>
        <v/>
      </c>
      <c r="O1166" s="17">
        <f>IF('ORDENES'!$T1162="preventiva",N1166,0)</f>
        <v/>
      </c>
      <c r="P1166" s="17">
        <f>IF('ORDENES'!$T1162="correctiva",N1166,0)</f>
        <v/>
      </c>
      <c r="Q1166" s="3">
        <f>IF(AND(K1166=1,'ORDENES'!$N1162="Pendiente"),1,0)</f>
        <v/>
      </c>
      <c r="R1166" s="3">
        <f>IF(Q1166=1,100000-N1166*1000+1159*0.01,9000000000000+1159)</f>
        <v/>
      </c>
      <c r="S1166" s="3">
        <f>IF(Q1166=1,SUMPRODUCT(--($R$8:$R$1207&lt;R1166))+1,"")</f>
        <v/>
      </c>
      <c r="T1166" s="12">
        <f>IF(K1166=1,'ORDENES'!$J1162,"")</f>
        <v/>
      </c>
    </row>
    <row r="1167">
      <c r="K1167" s="3">
        <f>IF(AND(IF($B$3="(todos)",TRUE,'ORDENES'!$O1163=$B$3),IF($D$3="(todos)",TRUE,'ORDENES'!$AF1163=$D$3),IF($F$3="(todos)",TRUE,'ORDENES'!$X1163=$F$3),IF($H$3="(todos)",TRUE,'ORDENES'!$W1163=$H$3),'ORDENES'!$AD1163=TRUE,'ORDENES'!$A1163&lt;&gt;""),1,0)</f>
        <v/>
      </c>
      <c r="L1167" s="3">
        <f>IF(K1167=1,IFERROR(MATCH('ORDENES'!$R1163,lista_dias,0),9)*1000000000+IFERROR(MATCH('ORDENES'!$AF1163,lista_turnos,0),9)*10000000+IFERROR(MATCH('ORDENES'!$AE1163,tblTecnicos[nombre],0),99)*100000+1160,9000000000000+1160)</f>
        <v/>
      </c>
      <c r="M1167" s="3">
        <f>IF(K1167=1,SUMPRODUCT(--($L$8:$L$1207&lt;L1167))+1,"")</f>
        <v/>
      </c>
      <c r="N1167" s="17">
        <f>IF(K1167=1,N('ORDENES'!$M1163),0)</f>
        <v/>
      </c>
      <c r="O1167" s="17">
        <f>IF('ORDENES'!$T1163="preventiva",N1167,0)</f>
        <v/>
      </c>
      <c r="P1167" s="17">
        <f>IF('ORDENES'!$T1163="correctiva",N1167,0)</f>
        <v/>
      </c>
      <c r="Q1167" s="3">
        <f>IF(AND(K1167=1,'ORDENES'!$N1163="Pendiente"),1,0)</f>
        <v/>
      </c>
      <c r="R1167" s="3">
        <f>IF(Q1167=1,100000-N1167*1000+1160*0.01,9000000000000+1160)</f>
        <v/>
      </c>
      <c r="S1167" s="3">
        <f>IF(Q1167=1,SUMPRODUCT(--($R$8:$R$1207&lt;R1167))+1,"")</f>
        <v/>
      </c>
      <c r="T1167" s="12">
        <f>IF(K1167=1,'ORDENES'!$J1163,"")</f>
        <v/>
      </c>
    </row>
    <row r="1168">
      <c r="K1168" s="3">
        <f>IF(AND(IF($B$3="(todos)",TRUE,'ORDENES'!$O1164=$B$3),IF($D$3="(todos)",TRUE,'ORDENES'!$AF1164=$D$3),IF($F$3="(todos)",TRUE,'ORDENES'!$X1164=$F$3),IF($H$3="(todos)",TRUE,'ORDENES'!$W1164=$H$3),'ORDENES'!$AD1164=TRUE,'ORDENES'!$A1164&lt;&gt;""),1,0)</f>
        <v/>
      </c>
      <c r="L1168" s="3">
        <f>IF(K1168=1,IFERROR(MATCH('ORDENES'!$R1164,lista_dias,0),9)*1000000000+IFERROR(MATCH('ORDENES'!$AF1164,lista_turnos,0),9)*10000000+IFERROR(MATCH('ORDENES'!$AE1164,tblTecnicos[nombre],0),99)*100000+1161,9000000000000+1161)</f>
        <v/>
      </c>
      <c r="M1168" s="3">
        <f>IF(K1168=1,SUMPRODUCT(--($L$8:$L$1207&lt;L1168))+1,"")</f>
        <v/>
      </c>
      <c r="N1168" s="17">
        <f>IF(K1168=1,N('ORDENES'!$M1164),0)</f>
        <v/>
      </c>
      <c r="O1168" s="17">
        <f>IF('ORDENES'!$T1164="preventiva",N1168,0)</f>
        <v/>
      </c>
      <c r="P1168" s="17">
        <f>IF('ORDENES'!$T1164="correctiva",N1168,0)</f>
        <v/>
      </c>
      <c r="Q1168" s="3">
        <f>IF(AND(K1168=1,'ORDENES'!$N1164="Pendiente"),1,0)</f>
        <v/>
      </c>
      <c r="R1168" s="3">
        <f>IF(Q1168=1,100000-N1168*1000+1161*0.01,9000000000000+1161)</f>
        <v/>
      </c>
      <c r="S1168" s="3">
        <f>IF(Q1168=1,SUMPRODUCT(--($R$8:$R$1207&lt;R1168))+1,"")</f>
        <v/>
      </c>
      <c r="T1168" s="12">
        <f>IF(K1168=1,'ORDENES'!$J1164,"")</f>
        <v/>
      </c>
    </row>
    <row r="1169">
      <c r="K1169" s="3">
        <f>IF(AND(IF($B$3="(todos)",TRUE,'ORDENES'!$O1165=$B$3),IF($D$3="(todos)",TRUE,'ORDENES'!$AF1165=$D$3),IF($F$3="(todos)",TRUE,'ORDENES'!$X1165=$F$3),IF($H$3="(todos)",TRUE,'ORDENES'!$W1165=$H$3),'ORDENES'!$AD1165=TRUE,'ORDENES'!$A1165&lt;&gt;""),1,0)</f>
        <v/>
      </c>
      <c r="L1169" s="3">
        <f>IF(K1169=1,IFERROR(MATCH('ORDENES'!$R1165,lista_dias,0),9)*1000000000+IFERROR(MATCH('ORDENES'!$AF1165,lista_turnos,0),9)*10000000+IFERROR(MATCH('ORDENES'!$AE1165,tblTecnicos[nombre],0),99)*100000+1162,9000000000000+1162)</f>
        <v/>
      </c>
      <c r="M1169" s="3">
        <f>IF(K1169=1,SUMPRODUCT(--($L$8:$L$1207&lt;L1169))+1,"")</f>
        <v/>
      </c>
      <c r="N1169" s="17">
        <f>IF(K1169=1,N('ORDENES'!$M1165),0)</f>
        <v/>
      </c>
      <c r="O1169" s="17">
        <f>IF('ORDENES'!$T1165="preventiva",N1169,0)</f>
        <v/>
      </c>
      <c r="P1169" s="17">
        <f>IF('ORDENES'!$T1165="correctiva",N1169,0)</f>
        <v/>
      </c>
      <c r="Q1169" s="3">
        <f>IF(AND(K1169=1,'ORDENES'!$N1165="Pendiente"),1,0)</f>
        <v/>
      </c>
      <c r="R1169" s="3">
        <f>IF(Q1169=1,100000-N1169*1000+1162*0.01,9000000000000+1162)</f>
        <v/>
      </c>
      <c r="S1169" s="3">
        <f>IF(Q1169=1,SUMPRODUCT(--($R$8:$R$1207&lt;R1169))+1,"")</f>
        <v/>
      </c>
      <c r="T1169" s="12">
        <f>IF(K1169=1,'ORDENES'!$J1165,"")</f>
        <v/>
      </c>
    </row>
    <row r="1170">
      <c r="K1170" s="3">
        <f>IF(AND(IF($B$3="(todos)",TRUE,'ORDENES'!$O1166=$B$3),IF($D$3="(todos)",TRUE,'ORDENES'!$AF1166=$D$3),IF($F$3="(todos)",TRUE,'ORDENES'!$X1166=$F$3),IF($H$3="(todos)",TRUE,'ORDENES'!$W1166=$H$3),'ORDENES'!$AD1166=TRUE,'ORDENES'!$A1166&lt;&gt;""),1,0)</f>
        <v/>
      </c>
      <c r="L1170" s="3">
        <f>IF(K1170=1,IFERROR(MATCH('ORDENES'!$R1166,lista_dias,0),9)*1000000000+IFERROR(MATCH('ORDENES'!$AF1166,lista_turnos,0),9)*10000000+IFERROR(MATCH('ORDENES'!$AE1166,tblTecnicos[nombre],0),99)*100000+1163,9000000000000+1163)</f>
        <v/>
      </c>
      <c r="M1170" s="3">
        <f>IF(K1170=1,SUMPRODUCT(--($L$8:$L$1207&lt;L1170))+1,"")</f>
        <v/>
      </c>
      <c r="N1170" s="17">
        <f>IF(K1170=1,N('ORDENES'!$M1166),0)</f>
        <v/>
      </c>
      <c r="O1170" s="17">
        <f>IF('ORDENES'!$T1166="preventiva",N1170,0)</f>
        <v/>
      </c>
      <c r="P1170" s="17">
        <f>IF('ORDENES'!$T1166="correctiva",N1170,0)</f>
        <v/>
      </c>
      <c r="Q1170" s="3">
        <f>IF(AND(K1170=1,'ORDENES'!$N1166="Pendiente"),1,0)</f>
        <v/>
      </c>
      <c r="R1170" s="3">
        <f>IF(Q1170=1,100000-N1170*1000+1163*0.01,9000000000000+1163)</f>
        <v/>
      </c>
      <c r="S1170" s="3">
        <f>IF(Q1170=1,SUMPRODUCT(--($R$8:$R$1207&lt;R1170))+1,"")</f>
        <v/>
      </c>
      <c r="T1170" s="12">
        <f>IF(K1170=1,'ORDENES'!$J1166,"")</f>
        <v/>
      </c>
    </row>
    <row r="1171">
      <c r="K1171" s="3">
        <f>IF(AND(IF($B$3="(todos)",TRUE,'ORDENES'!$O1167=$B$3),IF($D$3="(todos)",TRUE,'ORDENES'!$AF1167=$D$3),IF($F$3="(todos)",TRUE,'ORDENES'!$X1167=$F$3),IF($H$3="(todos)",TRUE,'ORDENES'!$W1167=$H$3),'ORDENES'!$AD1167=TRUE,'ORDENES'!$A1167&lt;&gt;""),1,0)</f>
        <v/>
      </c>
      <c r="L1171" s="3">
        <f>IF(K1171=1,IFERROR(MATCH('ORDENES'!$R1167,lista_dias,0),9)*1000000000+IFERROR(MATCH('ORDENES'!$AF1167,lista_turnos,0),9)*10000000+IFERROR(MATCH('ORDENES'!$AE1167,tblTecnicos[nombre],0),99)*100000+1164,9000000000000+1164)</f>
        <v/>
      </c>
      <c r="M1171" s="3">
        <f>IF(K1171=1,SUMPRODUCT(--($L$8:$L$1207&lt;L1171))+1,"")</f>
        <v/>
      </c>
      <c r="N1171" s="17">
        <f>IF(K1171=1,N('ORDENES'!$M1167),0)</f>
        <v/>
      </c>
      <c r="O1171" s="17">
        <f>IF('ORDENES'!$T1167="preventiva",N1171,0)</f>
        <v/>
      </c>
      <c r="P1171" s="17">
        <f>IF('ORDENES'!$T1167="correctiva",N1171,0)</f>
        <v/>
      </c>
      <c r="Q1171" s="3">
        <f>IF(AND(K1171=1,'ORDENES'!$N1167="Pendiente"),1,0)</f>
        <v/>
      </c>
      <c r="R1171" s="3">
        <f>IF(Q1171=1,100000-N1171*1000+1164*0.01,9000000000000+1164)</f>
        <v/>
      </c>
      <c r="S1171" s="3">
        <f>IF(Q1171=1,SUMPRODUCT(--($R$8:$R$1207&lt;R1171))+1,"")</f>
        <v/>
      </c>
      <c r="T1171" s="12">
        <f>IF(K1171=1,'ORDENES'!$J1167,"")</f>
        <v/>
      </c>
    </row>
    <row r="1172">
      <c r="K1172" s="3">
        <f>IF(AND(IF($B$3="(todos)",TRUE,'ORDENES'!$O1168=$B$3),IF($D$3="(todos)",TRUE,'ORDENES'!$AF1168=$D$3),IF($F$3="(todos)",TRUE,'ORDENES'!$X1168=$F$3),IF($H$3="(todos)",TRUE,'ORDENES'!$W1168=$H$3),'ORDENES'!$AD1168=TRUE,'ORDENES'!$A1168&lt;&gt;""),1,0)</f>
        <v/>
      </c>
      <c r="L1172" s="3">
        <f>IF(K1172=1,IFERROR(MATCH('ORDENES'!$R1168,lista_dias,0),9)*1000000000+IFERROR(MATCH('ORDENES'!$AF1168,lista_turnos,0),9)*10000000+IFERROR(MATCH('ORDENES'!$AE1168,tblTecnicos[nombre],0),99)*100000+1165,9000000000000+1165)</f>
        <v/>
      </c>
      <c r="M1172" s="3">
        <f>IF(K1172=1,SUMPRODUCT(--($L$8:$L$1207&lt;L1172))+1,"")</f>
        <v/>
      </c>
      <c r="N1172" s="17">
        <f>IF(K1172=1,N('ORDENES'!$M1168),0)</f>
        <v/>
      </c>
      <c r="O1172" s="17">
        <f>IF('ORDENES'!$T1168="preventiva",N1172,0)</f>
        <v/>
      </c>
      <c r="P1172" s="17">
        <f>IF('ORDENES'!$T1168="correctiva",N1172,0)</f>
        <v/>
      </c>
      <c r="Q1172" s="3">
        <f>IF(AND(K1172=1,'ORDENES'!$N1168="Pendiente"),1,0)</f>
        <v/>
      </c>
      <c r="R1172" s="3">
        <f>IF(Q1172=1,100000-N1172*1000+1165*0.01,9000000000000+1165)</f>
        <v/>
      </c>
      <c r="S1172" s="3">
        <f>IF(Q1172=1,SUMPRODUCT(--($R$8:$R$1207&lt;R1172))+1,"")</f>
        <v/>
      </c>
      <c r="T1172" s="12">
        <f>IF(K1172=1,'ORDENES'!$J1168,"")</f>
        <v/>
      </c>
    </row>
    <row r="1173">
      <c r="K1173" s="3">
        <f>IF(AND(IF($B$3="(todos)",TRUE,'ORDENES'!$O1169=$B$3),IF($D$3="(todos)",TRUE,'ORDENES'!$AF1169=$D$3),IF($F$3="(todos)",TRUE,'ORDENES'!$X1169=$F$3),IF($H$3="(todos)",TRUE,'ORDENES'!$W1169=$H$3),'ORDENES'!$AD1169=TRUE,'ORDENES'!$A1169&lt;&gt;""),1,0)</f>
        <v/>
      </c>
      <c r="L1173" s="3">
        <f>IF(K1173=1,IFERROR(MATCH('ORDENES'!$R1169,lista_dias,0),9)*1000000000+IFERROR(MATCH('ORDENES'!$AF1169,lista_turnos,0),9)*10000000+IFERROR(MATCH('ORDENES'!$AE1169,tblTecnicos[nombre],0),99)*100000+1166,9000000000000+1166)</f>
        <v/>
      </c>
      <c r="M1173" s="3">
        <f>IF(K1173=1,SUMPRODUCT(--($L$8:$L$1207&lt;L1173))+1,"")</f>
        <v/>
      </c>
      <c r="N1173" s="17">
        <f>IF(K1173=1,N('ORDENES'!$M1169),0)</f>
        <v/>
      </c>
      <c r="O1173" s="17">
        <f>IF('ORDENES'!$T1169="preventiva",N1173,0)</f>
        <v/>
      </c>
      <c r="P1173" s="17">
        <f>IF('ORDENES'!$T1169="correctiva",N1173,0)</f>
        <v/>
      </c>
      <c r="Q1173" s="3">
        <f>IF(AND(K1173=1,'ORDENES'!$N1169="Pendiente"),1,0)</f>
        <v/>
      </c>
      <c r="R1173" s="3">
        <f>IF(Q1173=1,100000-N1173*1000+1166*0.01,9000000000000+1166)</f>
        <v/>
      </c>
      <c r="S1173" s="3">
        <f>IF(Q1173=1,SUMPRODUCT(--($R$8:$R$1207&lt;R1173))+1,"")</f>
        <v/>
      </c>
      <c r="T1173" s="12">
        <f>IF(K1173=1,'ORDENES'!$J1169,"")</f>
        <v/>
      </c>
    </row>
    <row r="1174">
      <c r="K1174" s="3">
        <f>IF(AND(IF($B$3="(todos)",TRUE,'ORDENES'!$O1170=$B$3),IF($D$3="(todos)",TRUE,'ORDENES'!$AF1170=$D$3),IF($F$3="(todos)",TRUE,'ORDENES'!$X1170=$F$3),IF($H$3="(todos)",TRUE,'ORDENES'!$W1170=$H$3),'ORDENES'!$AD1170=TRUE,'ORDENES'!$A1170&lt;&gt;""),1,0)</f>
        <v/>
      </c>
      <c r="L1174" s="3">
        <f>IF(K1174=1,IFERROR(MATCH('ORDENES'!$R1170,lista_dias,0),9)*1000000000+IFERROR(MATCH('ORDENES'!$AF1170,lista_turnos,0),9)*10000000+IFERROR(MATCH('ORDENES'!$AE1170,tblTecnicos[nombre],0),99)*100000+1167,9000000000000+1167)</f>
        <v/>
      </c>
      <c r="M1174" s="3">
        <f>IF(K1174=1,SUMPRODUCT(--($L$8:$L$1207&lt;L1174))+1,"")</f>
        <v/>
      </c>
      <c r="N1174" s="17">
        <f>IF(K1174=1,N('ORDENES'!$M1170),0)</f>
        <v/>
      </c>
      <c r="O1174" s="17">
        <f>IF('ORDENES'!$T1170="preventiva",N1174,0)</f>
        <v/>
      </c>
      <c r="P1174" s="17">
        <f>IF('ORDENES'!$T1170="correctiva",N1174,0)</f>
        <v/>
      </c>
      <c r="Q1174" s="3">
        <f>IF(AND(K1174=1,'ORDENES'!$N1170="Pendiente"),1,0)</f>
        <v/>
      </c>
      <c r="R1174" s="3">
        <f>IF(Q1174=1,100000-N1174*1000+1167*0.01,9000000000000+1167)</f>
        <v/>
      </c>
      <c r="S1174" s="3">
        <f>IF(Q1174=1,SUMPRODUCT(--($R$8:$R$1207&lt;R1174))+1,"")</f>
        <v/>
      </c>
      <c r="T1174" s="12">
        <f>IF(K1174=1,'ORDENES'!$J1170,"")</f>
        <v/>
      </c>
    </row>
    <row r="1175">
      <c r="K1175" s="3">
        <f>IF(AND(IF($B$3="(todos)",TRUE,'ORDENES'!$O1171=$B$3),IF($D$3="(todos)",TRUE,'ORDENES'!$AF1171=$D$3),IF($F$3="(todos)",TRUE,'ORDENES'!$X1171=$F$3),IF($H$3="(todos)",TRUE,'ORDENES'!$W1171=$H$3),'ORDENES'!$AD1171=TRUE,'ORDENES'!$A1171&lt;&gt;""),1,0)</f>
        <v/>
      </c>
      <c r="L1175" s="3">
        <f>IF(K1175=1,IFERROR(MATCH('ORDENES'!$R1171,lista_dias,0),9)*1000000000+IFERROR(MATCH('ORDENES'!$AF1171,lista_turnos,0),9)*10000000+IFERROR(MATCH('ORDENES'!$AE1171,tblTecnicos[nombre],0),99)*100000+1168,9000000000000+1168)</f>
        <v/>
      </c>
      <c r="M1175" s="3">
        <f>IF(K1175=1,SUMPRODUCT(--($L$8:$L$1207&lt;L1175))+1,"")</f>
        <v/>
      </c>
      <c r="N1175" s="17">
        <f>IF(K1175=1,N('ORDENES'!$M1171),0)</f>
        <v/>
      </c>
      <c r="O1175" s="17">
        <f>IF('ORDENES'!$T1171="preventiva",N1175,0)</f>
        <v/>
      </c>
      <c r="P1175" s="17">
        <f>IF('ORDENES'!$T1171="correctiva",N1175,0)</f>
        <v/>
      </c>
      <c r="Q1175" s="3">
        <f>IF(AND(K1175=1,'ORDENES'!$N1171="Pendiente"),1,0)</f>
        <v/>
      </c>
      <c r="R1175" s="3">
        <f>IF(Q1175=1,100000-N1175*1000+1168*0.01,9000000000000+1168)</f>
        <v/>
      </c>
      <c r="S1175" s="3">
        <f>IF(Q1175=1,SUMPRODUCT(--($R$8:$R$1207&lt;R1175))+1,"")</f>
        <v/>
      </c>
      <c r="T1175" s="12">
        <f>IF(K1175=1,'ORDENES'!$J1171,"")</f>
        <v/>
      </c>
    </row>
    <row r="1176">
      <c r="K1176" s="3">
        <f>IF(AND(IF($B$3="(todos)",TRUE,'ORDENES'!$O1172=$B$3),IF($D$3="(todos)",TRUE,'ORDENES'!$AF1172=$D$3),IF($F$3="(todos)",TRUE,'ORDENES'!$X1172=$F$3),IF($H$3="(todos)",TRUE,'ORDENES'!$W1172=$H$3),'ORDENES'!$AD1172=TRUE,'ORDENES'!$A1172&lt;&gt;""),1,0)</f>
        <v/>
      </c>
      <c r="L1176" s="3">
        <f>IF(K1176=1,IFERROR(MATCH('ORDENES'!$R1172,lista_dias,0),9)*1000000000+IFERROR(MATCH('ORDENES'!$AF1172,lista_turnos,0),9)*10000000+IFERROR(MATCH('ORDENES'!$AE1172,tblTecnicos[nombre],0),99)*100000+1169,9000000000000+1169)</f>
        <v/>
      </c>
      <c r="M1176" s="3">
        <f>IF(K1176=1,SUMPRODUCT(--($L$8:$L$1207&lt;L1176))+1,"")</f>
        <v/>
      </c>
      <c r="N1176" s="17">
        <f>IF(K1176=1,N('ORDENES'!$M1172),0)</f>
        <v/>
      </c>
      <c r="O1176" s="17">
        <f>IF('ORDENES'!$T1172="preventiva",N1176,0)</f>
        <v/>
      </c>
      <c r="P1176" s="17">
        <f>IF('ORDENES'!$T1172="correctiva",N1176,0)</f>
        <v/>
      </c>
      <c r="Q1176" s="3">
        <f>IF(AND(K1176=1,'ORDENES'!$N1172="Pendiente"),1,0)</f>
        <v/>
      </c>
      <c r="R1176" s="3">
        <f>IF(Q1176=1,100000-N1176*1000+1169*0.01,9000000000000+1169)</f>
        <v/>
      </c>
      <c r="S1176" s="3">
        <f>IF(Q1176=1,SUMPRODUCT(--($R$8:$R$1207&lt;R1176))+1,"")</f>
        <v/>
      </c>
      <c r="T1176" s="12">
        <f>IF(K1176=1,'ORDENES'!$J1172,"")</f>
        <v/>
      </c>
    </row>
    <row r="1177">
      <c r="K1177" s="3">
        <f>IF(AND(IF($B$3="(todos)",TRUE,'ORDENES'!$O1173=$B$3),IF($D$3="(todos)",TRUE,'ORDENES'!$AF1173=$D$3),IF($F$3="(todos)",TRUE,'ORDENES'!$X1173=$F$3),IF($H$3="(todos)",TRUE,'ORDENES'!$W1173=$H$3),'ORDENES'!$AD1173=TRUE,'ORDENES'!$A1173&lt;&gt;""),1,0)</f>
        <v/>
      </c>
      <c r="L1177" s="3">
        <f>IF(K1177=1,IFERROR(MATCH('ORDENES'!$R1173,lista_dias,0),9)*1000000000+IFERROR(MATCH('ORDENES'!$AF1173,lista_turnos,0),9)*10000000+IFERROR(MATCH('ORDENES'!$AE1173,tblTecnicos[nombre],0),99)*100000+1170,9000000000000+1170)</f>
        <v/>
      </c>
      <c r="M1177" s="3">
        <f>IF(K1177=1,SUMPRODUCT(--($L$8:$L$1207&lt;L1177))+1,"")</f>
        <v/>
      </c>
      <c r="N1177" s="17">
        <f>IF(K1177=1,N('ORDENES'!$M1173),0)</f>
        <v/>
      </c>
      <c r="O1177" s="17">
        <f>IF('ORDENES'!$T1173="preventiva",N1177,0)</f>
        <v/>
      </c>
      <c r="P1177" s="17">
        <f>IF('ORDENES'!$T1173="correctiva",N1177,0)</f>
        <v/>
      </c>
      <c r="Q1177" s="3">
        <f>IF(AND(K1177=1,'ORDENES'!$N1173="Pendiente"),1,0)</f>
        <v/>
      </c>
      <c r="R1177" s="3">
        <f>IF(Q1177=1,100000-N1177*1000+1170*0.01,9000000000000+1170)</f>
        <v/>
      </c>
      <c r="S1177" s="3">
        <f>IF(Q1177=1,SUMPRODUCT(--($R$8:$R$1207&lt;R1177))+1,"")</f>
        <v/>
      </c>
      <c r="T1177" s="12">
        <f>IF(K1177=1,'ORDENES'!$J1173,"")</f>
        <v/>
      </c>
    </row>
    <row r="1178">
      <c r="K1178" s="3">
        <f>IF(AND(IF($B$3="(todos)",TRUE,'ORDENES'!$O1174=$B$3),IF($D$3="(todos)",TRUE,'ORDENES'!$AF1174=$D$3),IF($F$3="(todos)",TRUE,'ORDENES'!$X1174=$F$3),IF($H$3="(todos)",TRUE,'ORDENES'!$W1174=$H$3),'ORDENES'!$AD1174=TRUE,'ORDENES'!$A1174&lt;&gt;""),1,0)</f>
        <v/>
      </c>
      <c r="L1178" s="3">
        <f>IF(K1178=1,IFERROR(MATCH('ORDENES'!$R1174,lista_dias,0),9)*1000000000+IFERROR(MATCH('ORDENES'!$AF1174,lista_turnos,0),9)*10000000+IFERROR(MATCH('ORDENES'!$AE1174,tblTecnicos[nombre],0),99)*100000+1171,9000000000000+1171)</f>
        <v/>
      </c>
      <c r="M1178" s="3">
        <f>IF(K1178=1,SUMPRODUCT(--($L$8:$L$1207&lt;L1178))+1,"")</f>
        <v/>
      </c>
      <c r="N1178" s="17">
        <f>IF(K1178=1,N('ORDENES'!$M1174),0)</f>
        <v/>
      </c>
      <c r="O1178" s="17">
        <f>IF('ORDENES'!$T1174="preventiva",N1178,0)</f>
        <v/>
      </c>
      <c r="P1178" s="17">
        <f>IF('ORDENES'!$T1174="correctiva",N1178,0)</f>
        <v/>
      </c>
      <c r="Q1178" s="3">
        <f>IF(AND(K1178=1,'ORDENES'!$N1174="Pendiente"),1,0)</f>
        <v/>
      </c>
      <c r="R1178" s="3">
        <f>IF(Q1178=1,100000-N1178*1000+1171*0.01,9000000000000+1171)</f>
        <v/>
      </c>
      <c r="S1178" s="3">
        <f>IF(Q1178=1,SUMPRODUCT(--($R$8:$R$1207&lt;R1178))+1,"")</f>
        <v/>
      </c>
      <c r="T1178" s="12">
        <f>IF(K1178=1,'ORDENES'!$J1174,"")</f>
        <v/>
      </c>
    </row>
    <row r="1179">
      <c r="K1179" s="3">
        <f>IF(AND(IF($B$3="(todos)",TRUE,'ORDENES'!$O1175=$B$3),IF($D$3="(todos)",TRUE,'ORDENES'!$AF1175=$D$3),IF($F$3="(todos)",TRUE,'ORDENES'!$X1175=$F$3),IF($H$3="(todos)",TRUE,'ORDENES'!$W1175=$H$3),'ORDENES'!$AD1175=TRUE,'ORDENES'!$A1175&lt;&gt;""),1,0)</f>
        <v/>
      </c>
      <c r="L1179" s="3">
        <f>IF(K1179=1,IFERROR(MATCH('ORDENES'!$R1175,lista_dias,0),9)*1000000000+IFERROR(MATCH('ORDENES'!$AF1175,lista_turnos,0),9)*10000000+IFERROR(MATCH('ORDENES'!$AE1175,tblTecnicos[nombre],0),99)*100000+1172,9000000000000+1172)</f>
        <v/>
      </c>
      <c r="M1179" s="3">
        <f>IF(K1179=1,SUMPRODUCT(--($L$8:$L$1207&lt;L1179))+1,"")</f>
        <v/>
      </c>
      <c r="N1179" s="17">
        <f>IF(K1179=1,N('ORDENES'!$M1175),0)</f>
        <v/>
      </c>
      <c r="O1179" s="17">
        <f>IF('ORDENES'!$T1175="preventiva",N1179,0)</f>
        <v/>
      </c>
      <c r="P1179" s="17">
        <f>IF('ORDENES'!$T1175="correctiva",N1179,0)</f>
        <v/>
      </c>
      <c r="Q1179" s="3">
        <f>IF(AND(K1179=1,'ORDENES'!$N1175="Pendiente"),1,0)</f>
        <v/>
      </c>
      <c r="R1179" s="3">
        <f>IF(Q1179=1,100000-N1179*1000+1172*0.01,9000000000000+1172)</f>
        <v/>
      </c>
      <c r="S1179" s="3">
        <f>IF(Q1179=1,SUMPRODUCT(--($R$8:$R$1207&lt;R1179))+1,"")</f>
        <v/>
      </c>
      <c r="T1179" s="12">
        <f>IF(K1179=1,'ORDENES'!$J1175,"")</f>
        <v/>
      </c>
    </row>
    <row r="1180">
      <c r="K1180" s="3">
        <f>IF(AND(IF($B$3="(todos)",TRUE,'ORDENES'!$O1176=$B$3),IF($D$3="(todos)",TRUE,'ORDENES'!$AF1176=$D$3),IF($F$3="(todos)",TRUE,'ORDENES'!$X1176=$F$3),IF($H$3="(todos)",TRUE,'ORDENES'!$W1176=$H$3),'ORDENES'!$AD1176=TRUE,'ORDENES'!$A1176&lt;&gt;""),1,0)</f>
        <v/>
      </c>
      <c r="L1180" s="3">
        <f>IF(K1180=1,IFERROR(MATCH('ORDENES'!$R1176,lista_dias,0),9)*1000000000+IFERROR(MATCH('ORDENES'!$AF1176,lista_turnos,0),9)*10000000+IFERROR(MATCH('ORDENES'!$AE1176,tblTecnicos[nombre],0),99)*100000+1173,9000000000000+1173)</f>
        <v/>
      </c>
      <c r="M1180" s="3">
        <f>IF(K1180=1,SUMPRODUCT(--($L$8:$L$1207&lt;L1180))+1,"")</f>
        <v/>
      </c>
      <c r="N1180" s="17">
        <f>IF(K1180=1,N('ORDENES'!$M1176),0)</f>
        <v/>
      </c>
      <c r="O1180" s="17">
        <f>IF('ORDENES'!$T1176="preventiva",N1180,0)</f>
        <v/>
      </c>
      <c r="P1180" s="17">
        <f>IF('ORDENES'!$T1176="correctiva",N1180,0)</f>
        <v/>
      </c>
      <c r="Q1180" s="3">
        <f>IF(AND(K1180=1,'ORDENES'!$N1176="Pendiente"),1,0)</f>
        <v/>
      </c>
      <c r="R1180" s="3">
        <f>IF(Q1180=1,100000-N1180*1000+1173*0.01,9000000000000+1173)</f>
        <v/>
      </c>
      <c r="S1180" s="3">
        <f>IF(Q1180=1,SUMPRODUCT(--($R$8:$R$1207&lt;R1180))+1,"")</f>
        <v/>
      </c>
      <c r="T1180" s="12">
        <f>IF(K1180=1,'ORDENES'!$J1176,"")</f>
        <v/>
      </c>
    </row>
    <row r="1181">
      <c r="K1181" s="3">
        <f>IF(AND(IF($B$3="(todos)",TRUE,'ORDENES'!$O1177=$B$3),IF($D$3="(todos)",TRUE,'ORDENES'!$AF1177=$D$3),IF($F$3="(todos)",TRUE,'ORDENES'!$X1177=$F$3),IF($H$3="(todos)",TRUE,'ORDENES'!$W1177=$H$3),'ORDENES'!$AD1177=TRUE,'ORDENES'!$A1177&lt;&gt;""),1,0)</f>
        <v/>
      </c>
      <c r="L1181" s="3">
        <f>IF(K1181=1,IFERROR(MATCH('ORDENES'!$R1177,lista_dias,0),9)*1000000000+IFERROR(MATCH('ORDENES'!$AF1177,lista_turnos,0),9)*10000000+IFERROR(MATCH('ORDENES'!$AE1177,tblTecnicos[nombre],0),99)*100000+1174,9000000000000+1174)</f>
        <v/>
      </c>
      <c r="M1181" s="3">
        <f>IF(K1181=1,SUMPRODUCT(--($L$8:$L$1207&lt;L1181))+1,"")</f>
        <v/>
      </c>
      <c r="N1181" s="17">
        <f>IF(K1181=1,N('ORDENES'!$M1177),0)</f>
        <v/>
      </c>
      <c r="O1181" s="17">
        <f>IF('ORDENES'!$T1177="preventiva",N1181,0)</f>
        <v/>
      </c>
      <c r="P1181" s="17">
        <f>IF('ORDENES'!$T1177="correctiva",N1181,0)</f>
        <v/>
      </c>
      <c r="Q1181" s="3">
        <f>IF(AND(K1181=1,'ORDENES'!$N1177="Pendiente"),1,0)</f>
        <v/>
      </c>
      <c r="R1181" s="3">
        <f>IF(Q1181=1,100000-N1181*1000+1174*0.01,9000000000000+1174)</f>
        <v/>
      </c>
      <c r="S1181" s="3">
        <f>IF(Q1181=1,SUMPRODUCT(--($R$8:$R$1207&lt;R1181))+1,"")</f>
        <v/>
      </c>
      <c r="T1181" s="12">
        <f>IF(K1181=1,'ORDENES'!$J1177,"")</f>
        <v/>
      </c>
    </row>
    <row r="1182">
      <c r="K1182" s="3">
        <f>IF(AND(IF($B$3="(todos)",TRUE,'ORDENES'!$O1178=$B$3),IF($D$3="(todos)",TRUE,'ORDENES'!$AF1178=$D$3),IF($F$3="(todos)",TRUE,'ORDENES'!$X1178=$F$3),IF($H$3="(todos)",TRUE,'ORDENES'!$W1178=$H$3),'ORDENES'!$AD1178=TRUE,'ORDENES'!$A1178&lt;&gt;""),1,0)</f>
        <v/>
      </c>
      <c r="L1182" s="3">
        <f>IF(K1182=1,IFERROR(MATCH('ORDENES'!$R1178,lista_dias,0),9)*1000000000+IFERROR(MATCH('ORDENES'!$AF1178,lista_turnos,0),9)*10000000+IFERROR(MATCH('ORDENES'!$AE1178,tblTecnicos[nombre],0),99)*100000+1175,9000000000000+1175)</f>
        <v/>
      </c>
      <c r="M1182" s="3">
        <f>IF(K1182=1,SUMPRODUCT(--($L$8:$L$1207&lt;L1182))+1,"")</f>
        <v/>
      </c>
      <c r="N1182" s="17">
        <f>IF(K1182=1,N('ORDENES'!$M1178),0)</f>
        <v/>
      </c>
      <c r="O1182" s="17">
        <f>IF('ORDENES'!$T1178="preventiva",N1182,0)</f>
        <v/>
      </c>
      <c r="P1182" s="17">
        <f>IF('ORDENES'!$T1178="correctiva",N1182,0)</f>
        <v/>
      </c>
      <c r="Q1182" s="3">
        <f>IF(AND(K1182=1,'ORDENES'!$N1178="Pendiente"),1,0)</f>
        <v/>
      </c>
      <c r="R1182" s="3">
        <f>IF(Q1182=1,100000-N1182*1000+1175*0.01,9000000000000+1175)</f>
        <v/>
      </c>
      <c r="S1182" s="3">
        <f>IF(Q1182=1,SUMPRODUCT(--($R$8:$R$1207&lt;R1182))+1,"")</f>
        <v/>
      </c>
      <c r="T1182" s="12">
        <f>IF(K1182=1,'ORDENES'!$J1178,"")</f>
        <v/>
      </c>
    </row>
    <row r="1183">
      <c r="K1183" s="3">
        <f>IF(AND(IF($B$3="(todos)",TRUE,'ORDENES'!$O1179=$B$3),IF($D$3="(todos)",TRUE,'ORDENES'!$AF1179=$D$3),IF($F$3="(todos)",TRUE,'ORDENES'!$X1179=$F$3),IF($H$3="(todos)",TRUE,'ORDENES'!$W1179=$H$3),'ORDENES'!$AD1179=TRUE,'ORDENES'!$A1179&lt;&gt;""),1,0)</f>
        <v/>
      </c>
      <c r="L1183" s="3">
        <f>IF(K1183=1,IFERROR(MATCH('ORDENES'!$R1179,lista_dias,0),9)*1000000000+IFERROR(MATCH('ORDENES'!$AF1179,lista_turnos,0),9)*10000000+IFERROR(MATCH('ORDENES'!$AE1179,tblTecnicos[nombre],0),99)*100000+1176,9000000000000+1176)</f>
        <v/>
      </c>
      <c r="M1183" s="3">
        <f>IF(K1183=1,SUMPRODUCT(--($L$8:$L$1207&lt;L1183))+1,"")</f>
        <v/>
      </c>
      <c r="N1183" s="17">
        <f>IF(K1183=1,N('ORDENES'!$M1179),0)</f>
        <v/>
      </c>
      <c r="O1183" s="17">
        <f>IF('ORDENES'!$T1179="preventiva",N1183,0)</f>
        <v/>
      </c>
      <c r="P1183" s="17">
        <f>IF('ORDENES'!$T1179="correctiva",N1183,0)</f>
        <v/>
      </c>
      <c r="Q1183" s="3">
        <f>IF(AND(K1183=1,'ORDENES'!$N1179="Pendiente"),1,0)</f>
        <v/>
      </c>
      <c r="R1183" s="3">
        <f>IF(Q1183=1,100000-N1183*1000+1176*0.01,9000000000000+1176)</f>
        <v/>
      </c>
      <c r="S1183" s="3">
        <f>IF(Q1183=1,SUMPRODUCT(--($R$8:$R$1207&lt;R1183))+1,"")</f>
        <v/>
      </c>
      <c r="T1183" s="12">
        <f>IF(K1183=1,'ORDENES'!$J1179,"")</f>
        <v/>
      </c>
    </row>
    <row r="1184">
      <c r="K1184" s="3">
        <f>IF(AND(IF($B$3="(todos)",TRUE,'ORDENES'!$O1180=$B$3),IF($D$3="(todos)",TRUE,'ORDENES'!$AF1180=$D$3),IF($F$3="(todos)",TRUE,'ORDENES'!$X1180=$F$3),IF($H$3="(todos)",TRUE,'ORDENES'!$W1180=$H$3),'ORDENES'!$AD1180=TRUE,'ORDENES'!$A1180&lt;&gt;""),1,0)</f>
        <v/>
      </c>
      <c r="L1184" s="3">
        <f>IF(K1184=1,IFERROR(MATCH('ORDENES'!$R1180,lista_dias,0),9)*1000000000+IFERROR(MATCH('ORDENES'!$AF1180,lista_turnos,0),9)*10000000+IFERROR(MATCH('ORDENES'!$AE1180,tblTecnicos[nombre],0),99)*100000+1177,9000000000000+1177)</f>
        <v/>
      </c>
      <c r="M1184" s="3">
        <f>IF(K1184=1,SUMPRODUCT(--($L$8:$L$1207&lt;L1184))+1,"")</f>
        <v/>
      </c>
      <c r="N1184" s="17">
        <f>IF(K1184=1,N('ORDENES'!$M1180),0)</f>
        <v/>
      </c>
      <c r="O1184" s="17">
        <f>IF('ORDENES'!$T1180="preventiva",N1184,0)</f>
        <v/>
      </c>
      <c r="P1184" s="17">
        <f>IF('ORDENES'!$T1180="correctiva",N1184,0)</f>
        <v/>
      </c>
      <c r="Q1184" s="3">
        <f>IF(AND(K1184=1,'ORDENES'!$N1180="Pendiente"),1,0)</f>
        <v/>
      </c>
      <c r="R1184" s="3">
        <f>IF(Q1184=1,100000-N1184*1000+1177*0.01,9000000000000+1177)</f>
        <v/>
      </c>
      <c r="S1184" s="3">
        <f>IF(Q1184=1,SUMPRODUCT(--($R$8:$R$1207&lt;R1184))+1,"")</f>
        <v/>
      </c>
      <c r="T1184" s="12">
        <f>IF(K1184=1,'ORDENES'!$J1180,"")</f>
        <v/>
      </c>
    </row>
    <row r="1185">
      <c r="K1185" s="3">
        <f>IF(AND(IF($B$3="(todos)",TRUE,'ORDENES'!$O1181=$B$3),IF($D$3="(todos)",TRUE,'ORDENES'!$AF1181=$D$3),IF($F$3="(todos)",TRUE,'ORDENES'!$X1181=$F$3),IF($H$3="(todos)",TRUE,'ORDENES'!$W1181=$H$3),'ORDENES'!$AD1181=TRUE,'ORDENES'!$A1181&lt;&gt;""),1,0)</f>
        <v/>
      </c>
      <c r="L1185" s="3">
        <f>IF(K1185=1,IFERROR(MATCH('ORDENES'!$R1181,lista_dias,0),9)*1000000000+IFERROR(MATCH('ORDENES'!$AF1181,lista_turnos,0),9)*10000000+IFERROR(MATCH('ORDENES'!$AE1181,tblTecnicos[nombre],0),99)*100000+1178,9000000000000+1178)</f>
        <v/>
      </c>
      <c r="M1185" s="3">
        <f>IF(K1185=1,SUMPRODUCT(--($L$8:$L$1207&lt;L1185))+1,"")</f>
        <v/>
      </c>
      <c r="N1185" s="17">
        <f>IF(K1185=1,N('ORDENES'!$M1181),0)</f>
        <v/>
      </c>
      <c r="O1185" s="17">
        <f>IF('ORDENES'!$T1181="preventiva",N1185,0)</f>
        <v/>
      </c>
      <c r="P1185" s="17">
        <f>IF('ORDENES'!$T1181="correctiva",N1185,0)</f>
        <v/>
      </c>
      <c r="Q1185" s="3">
        <f>IF(AND(K1185=1,'ORDENES'!$N1181="Pendiente"),1,0)</f>
        <v/>
      </c>
      <c r="R1185" s="3">
        <f>IF(Q1185=1,100000-N1185*1000+1178*0.01,9000000000000+1178)</f>
        <v/>
      </c>
      <c r="S1185" s="3">
        <f>IF(Q1185=1,SUMPRODUCT(--($R$8:$R$1207&lt;R1185))+1,"")</f>
        <v/>
      </c>
      <c r="T1185" s="12">
        <f>IF(K1185=1,'ORDENES'!$J1181,"")</f>
        <v/>
      </c>
    </row>
    <row r="1186">
      <c r="K1186" s="3">
        <f>IF(AND(IF($B$3="(todos)",TRUE,'ORDENES'!$O1182=$B$3),IF($D$3="(todos)",TRUE,'ORDENES'!$AF1182=$D$3),IF($F$3="(todos)",TRUE,'ORDENES'!$X1182=$F$3),IF($H$3="(todos)",TRUE,'ORDENES'!$W1182=$H$3),'ORDENES'!$AD1182=TRUE,'ORDENES'!$A1182&lt;&gt;""),1,0)</f>
        <v/>
      </c>
      <c r="L1186" s="3">
        <f>IF(K1186=1,IFERROR(MATCH('ORDENES'!$R1182,lista_dias,0),9)*1000000000+IFERROR(MATCH('ORDENES'!$AF1182,lista_turnos,0),9)*10000000+IFERROR(MATCH('ORDENES'!$AE1182,tblTecnicos[nombre],0),99)*100000+1179,9000000000000+1179)</f>
        <v/>
      </c>
      <c r="M1186" s="3">
        <f>IF(K1186=1,SUMPRODUCT(--($L$8:$L$1207&lt;L1186))+1,"")</f>
        <v/>
      </c>
      <c r="N1186" s="17">
        <f>IF(K1186=1,N('ORDENES'!$M1182),0)</f>
        <v/>
      </c>
      <c r="O1186" s="17">
        <f>IF('ORDENES'!$T1182="preventiva",N1186,0)</f>
        <v/>
      </c>
      <c r="P1186" s="17">
        <f>IF('ORDENES'!$T1182="correctiva",N1186,0)</f>
        <v/>
      </c>
      <c r="Q1186" s="3">
        <f>IF(AND(K1186=1,'ORDENES'!$N1182="Pendiente"),1,0)</f>
        <v/>
      </c>
      <c r="R1186" s="3">
        <f>IF(Q1186=1,100000-N1186*1000+1179*0.01,9000000000000+1179)</f>
        <v/>
      </c>
      <c r="S1186" s="3">
        <f>IF(Q1186=1,SUMPRODUCT(--($R$8:$R$1207&lt;R1186))+1,"")</f>
        <v/>
      </c>
      <c r="T1186" s="12">
        <f>IF(K1186=1,'ORDENES'!$J1182,"")</f>
        <v/>
      </c>
    </row>
    <row r="1187">
      <c r="K1187" s="3">
        <f>IF(AND(IF($B$3="(todos)",TRUE,'ORDENES'!$O1183=$B$3),IF($D$3="(todos)",TRUE,'ORDENES'!$AF1183=$D$3),IF($F$3="(todos)",TRUE,'ORDENES'!$X1183=$F$3),IF($H$3="(todos)",TRUE,'ORDENES'!$W1183=$H$3),'ORDENES'!$AD1183=TRUE,'ORDENES'!$A1183&lt;&gt;""),1,0)</f>
        <v/>
      </c>
      <c r="L1187" s="3">
        <f>IF(K1187=1,IFERROR(MATCH('ORDENES'!$R1183,lista_dias,0),9)*1000000000+IFERROR(MATCH('ORDENES'!$AF1183,lista_turnos,0),9)*10000000+IFERROR(MATCH('ORDENES'!$AE1183,tblTecnicos[nombre],0),99)*100000+1180,9000000000000+1180)</f>
        <v/>
      </c>
      <c r="M1187" s="3">
        <f>IF(K1187=1,SUMPRODUCT(--($L$8:$L$1207&lt;L1187))+1,"")</f>
        <v/>
      </c>
      <c r="N1187" s="17">
        <f>IF(K1187=1,N('ORDENES'!$M1183),0)</f>
        <v/>
      </c>
      <c r="O1187" s="17">
        <f>IF('ORDENES'!$T1183="preventiva",N1187,0)</f>
        <v/>
      </c>
      <c r="P1187" s="17">
        <f>IF('ORDENES'!$T1183="correctiva",N1187,0)</f>
        <v/>
      </c>
      <c r="Q1187" s="3">
        <f>IF(AND(K1187=1,'ORDENES'!$N1183="Pendiente"),1,0)</f>
        <v/>
      </c>
      <c r="R1187" s="3">
        <f>IF(Q1187=1,100000-N1187*1000+1180*0.01,9000000000000+1180)</f>
        <v/>
      </c>
      <c r="S1187" s="3">
        <f>IF(Q1187=1,SUMPRODUCT(--($R$8:$R$1207&lt;R1187))+1,"")</f>
        <v/>
      </c>
      <c r="T1187" s="12">
        <f>IF(K1187=1,'ORDENES'!$J1183,"")</f>
        <v/>
      </c>
    </row>
    <row r="1188">
      <c r="K1188" s="3">
        <f>IF(AND(IF($B$3="(todos)",TRUE,'ORDENES'!$O1184=$B$3),IF($D$3="(todos)",TRUE,'ORDENES'!$AF1184=$D$3),IF($F$3="(todos)",TRUE,'ORDENES'!$X1184=$F$3),IF($H$3="(todos)",TRUE,'ORDENES'!$W1184=$H$3),'ORDENES'!$AD1184=TRUE,'ORDENES'!$A1184&lt;&gt;""),1,0)</f>
        <v/>
      </c>
      <c r="L1188" s="3">
        <f>IF(K1188=1,IFERROR(MATCH('ORDENES'!$R1184,lista_dias,0),9)*1000000000+IFERROR(MATCH('ORDENES'!$AF1184,lista_turnos,0),9)*10000000+IFERROR(MATCH('ORDENES'!$AE1184,tblTecnicos[nombre],0),99)*100000+1181,9000000000000+1181)</f>
        <v/>
      </c>
      <c r="M1188" s="3">
        <f>IF(K1188=1,SUMPRODUCT(--($L$8:$L$1207&lt;L1188))+1,"")</f>
        <v/>
      </c>
      <c r="N1188" s="17">
        <f>IF(K1188=1,N('ORDENES'!$M1184),0)</f>
        <v/>
      </c>
      <c r="O1188" s="17">
        <f>IF('ORDENES'!$T1184="preventiva",N1188,0)</f>
        <v/>
      </c>
      <c r="P1188" s="17">
        <f>IF('ORDENES'!$T1184="correctiva",N1188,0)</f>
        <v/>
      </c>
      <c r="Q1188" s="3">
        <f>IF(AND(K1188=1,'ORDENES'!$N1184="Pendiente"),1,0)</f>
        <v/>
      </c>
      <c r="R1188" s="3">
        <f>IF(Q1188=1,100000-N1188*1000+1181*0.01,9000000000000+1181)</f>
        <v/>
      </c>
      <c r="S1188" s="3">
        <f>IF(Q1188=1,SUMPRODUCT(--($R$8:$R$1207&lt;R1188))+1,"")</f>
        <v/>
      </c>
      <c r="T1188" s="12">
        <f>IF(K1188=1,'ORDENES'!$J1184,"")</f>
        <v/>
      </c>
    </row>
    <row r="1189">
      <c r="K1189" s="3">
        <f>IF(AND(IF($B$3="(todos)",TRUE,'ORDENES'!$O1185=$B$3),IF($D$3="(todos)",TRUE,'ORDENES'!$AF1185=$D$3),IF($F$3="(todos)",TRUE,'ORDENES'!$X1185=$F$3),IF($H$3="(todos)",TRUE,'ORDENES'!$W1185=$H$3),'ORDENES'!$AD1185=TRUE,'ORDENES'!$A1185&lt;&gt;""),1,0)</f>
        <v/>
      </c>
      <c r="L1189" s="3">
        <f>IF(K1189=1,IFERROR(MATCH('ORDENES'!$R1185,lista_dias,0),9)*1000000000+IFERROR(MATCH('ORDENES'!$AF1185,lista_turnos,0),9)*10000000+IFERROR(MATCH('ORDENES'!$AE1185,tblTecnicos[nombre],0),99)*100000+1182,9000000000000+1182)</f>
        <v/>
      </c>
      <c r="M1189" s="3">
        <f>IF(K1189=1,SUMPRODUCT(--($L$8:$L$1207&lt;L1189))+1,"")</f>
        <v/>
      </c>
      <c r="N1189" s="17">
        <f>IF(K1189=1,N('ORDENES'!$M1185),0)</f>
        <v/>
      </c>
      <c r="O1189" s="17">
        <f>IF('ORDENES'!$T1185="preventiva",N1189,0)</f>
        <v/>
      </c>
      <c r="P1189" s="17">
        <f>IF('ORDENES'!$T1185="correctiva",N1189,0)</f>
        <v/>
      </c>
      <c r="Q1189" s="3">
        <f>IF(AND(K1189=1,'ORDENES'!$N1185="Pendiente"),1,0)</f>
        <v/>
      </c>
      <c r="R1189" s="3">
        <f>IF(Q1189=1,100000-N1189*1000+1182*0.01,9000000000000+1182)</f>
        <v/>
      </c>
      <c r="S1189" s="3">
        <f>IF(Q1189=1,SUMPRODUCT(--($R$8:$R$1207&lt;R1189))+1,"")</f>
        <v/>
      </c>
      <c r="T1189" s="12">
        <f>IF(K1189=1,'ORDENES'!$J1185,"")</f>
        <v/>
      </c>
    </row>
    <row r="1190">
      <c r="K1190" s="3">
        <f>IF(AND(IF($B$3="(todos)",TRUE,'ORDENES'!$O1186=$B$3),IF($D$3="(todos)",TRUE,'ORDENES'!$AF1186=$D$3),IF($F$3="(todos)",TRUE,'ORDENES'!$X1186=$F$3),IF($H$3="(todos)",TRUE,'ORDENES'!$W1186=$H$3),'ORDENES'!$AD1186=TRUE,'ORDENES'!$A1186&lt;&gt;""),1,0)</f>
        <v/>
      </c>
      <c r="L1190" s="3">
        <f>IF(K1190=1,IFERROR(MATCH('ORDENES'!$R1186,lista_dias,0),9)*1000000000+IFERROR(MATCH('ORDENES'!$AF1186,lista_turnos,0),9)*10000000+IFERROR(MATCH('ORDENES'!$AE1186,tblTecnicos[nombre],0),99)*100000+1183,9000000000000+1183)</f>
        <v/>
      </c>
      <c r="M1190" s="3">
        <f>IF(K1190=1,SUMPRODUCT(--($L$8:$L$1207&lt;L1190))+1,"")</f>
        <v/>
      </c>
      <c r="N1190" s="17">
        <f>IF(K1190=1,N('ORDENES'!$M1186),0)</f>
        <v/>
      </c>
      <c r="O1190" s="17">
        <f>IF('ORDENES'!$T1186="preventiva",N1190,0)</f>
        <v/>
      </c>
      <c r="P1190" s="17">
        <f>IF('ORDENES'!$T1186="correctiva",N1190,0)</f>
        <v/>
      </c>
      <c r="Q1190" s="3">
        <f>IF(AND(K1190=1,'ORDENES'!$N1186="Pendiente"),1,0)</f>
        <v/>
      </c>
      <c r="R1190" s="3">
        <f>IF(Q1190=1,100000-N1190*1000+1183*0.01,9000000000000+1183)</f>
        <v/>
      </c>
      <c r="S1190" s="3">
        <f>IF(Q1190=1,SUMPRODUCT(--($R$8:$R$1207&lt;R1190))+1,"")</f>
        <v/>
      </c>
      <c r="T1190" s="12">
        <f>IF(K1190=1,'ORDENES'!$J1186,"")</f>
        <v/>
      </c>
    </row>
    <row r="1191">
      <c r="K1191" s="3">
        <f>IF(AND(IF($B$3="(todos)",TRUE,'ORDENES'!$O1187=$B$3),IF($D$3="(todos)",TRUE,'ORDENES'!$AF1187=$D$3),IF($F$3="(todos)",TRUE,'ORDENES'!$X1187=$F$3),IF($H$3="(todos)",TRUE,'ORDENES'!$W1187=$H$3),'ORDENES'!$AD1187=TRUE,'ORDENES'!$A1187&lt;&gt;""),1,0)</f>
        <v/>
      </c>
      <c r="L1191" s="3">
        <f>IF(K1191=1,IFERROR(MATCH('ORDENES'!$R1187,lista_dias,0),9)*1000000000+IFERROR(MATCH('ORDENES'!$AF1187,lista_turnos,0),9)*10000000+IFERROR(MATCH('ORDENES'!$AE1187,tblTecnicos[nombre],0),99)*100000+1184,9000000000000+1184)</f>
        <v/>
      </c>
      <c r="M1191" s="3">
        <f>IF(K1191=1,SUMPRODUCT(--($L$8:$L$1207&lt;L1191))+1,"")</f>
        <v/>
      </c>
      <c r="N1191" s="17">
        <f>IF(K1191=1,N('ORDENES'!$M1187),0)</f>
        <v/>
      </c>
      <c r="O1191" s="17">
        <f>IF('ORDENES'!$T1187="preventiva",N1191,0)</f>
        <v/>
      </c>
      <c r="P1191" s="17">
        <f>IF('ORDENES'!$T1187="correctiva",N1191,0)</f>
        <v/>
      </c>
      <c r="Q1191" s="3">
        <f>IF(AND(K1191=1,'ORDENES'!$N1187="Pendiente"),1,0)</f>
        <v/>
      </c>
      <c r="R1191" s="3">
        <f>IF(Q1191=1,100000-N1191*1000+1184*0.01,9000000000000+1184)</f>
        <v/>
      </c>
      <c r="S1191" s="3">
        <f>IF(Q1191=1,SUMPRODUCT(--($R$8:$R$1207&lt;R1191))+1,"")</f>
        <v/>
      </c>
      <c r="T1191" s="12">
        <f>IF(K1191=1,'ORDENES'!$J1187,"")</f>
        <v/>
      </c>
    </row>
    <row r="1192">
      <c r="K1192" s="3">
        <f>IF(AND(IF($B$3="(todos)",TRUE,'ORDENES'!$O1188=$B$3),IF($D$3="(todos)",TRUE,'ORDENES'!$AF1188=$D$3),IF($F$3="(todos)",TRUE,'ORDENES'!$X1188=$F$3),IF($H$3="(todos)",TRUE,'ORDENES'!$W1188=$H$3),'ORDENES'!$AD1188=TRUE,'ORDENES'!$A1188&lt;&gt;""),1,0)</f>
        <v/>
      </c>
      <c r="L1192" s="3">
        <f>IF(K1192=1,IFERROR(MATCH('ORDENES'!$R1188,lista_dias,0),9)*1000000000+IFERROR(MATCH('ORDENES'!$AF1188,lista_turnos,0),9)*10000000+IFERROR(MATCH('ORDENES'!$AE1188,tblTecnicos[nombre],0),99)*100000+1185,9000000000000+1185)</f>
        <v/>
      </c>
      <c r="M1192" s="3">
        <f>IF(K1192=1,SUMPRODUCT(--($L$8:$L$1207&lt;L1192))+1,"")</f>
        <v/>
      </c>
      <c r="N1192" s="17">
        <f>IF(K1192=1,N('ORDENES'!$M1188),0)</f>
        <v/>
      </c>
      <c r="O1192" s="17">
        <f>IF('ORDENES'!$T1188="preventiva",N1192,0)</f>
        <v/>
      </c>
      <c r="P1192" s="17">
        <f>IF('ORDENES'!$T1188="correctiva",N1192,0)</f>
        <v/>
      </c>
      <c r="Q1192" s="3">
        <f>IF(AND(K1192=1,'ORDENES'!$N1188="Pendiente"),1,0)</f>
        <v/>
      </c>
      <c r="R1192" s="3">
        <f>IF(Q1192=1,100000-N1192*1000+1185*0.01,9000000000000+1185)</f>
        <v/>
      </c>
      <c r="S1192" s="3">
        <f>IF(Q1192=1,SUMPRODUCT(--($R$8:$R$1207&lt;R1192))+1,"")</f>
        <v/>
      </c>
      <c r="T1192" s="12">
        <f>IF(K1192=1,'ORDENES'!$J1188,"")</f>
        <v/>
      </c>
    </row>
    <row r="1193">
      <c r="K1193" s="3">
        <f>IF(AND(IF($B$3="(todos)",TRUE,'ORDENES'!$O1189=$B$3),IF($D$3="(todos)",TRUE,'ORDENES'!$AF1189=$D$3),IF($F$3="(todos)",TRUE,'ORDENES'!$X1189=$F$3),IF($H$3="(todos)",TRUE,'ORDENES'!$W1189=$H$3),'ORDENES'!$AD1189=TRUE,'ORDENES'!$A1189&lt;&gt;""),1,0)</f>
        <v/>
      </c>
      <c r="L1193" s="3">
        <f>IF(K1193=1,IFERROR(MATCH('ORDENES'!$R1189,lista_dias,0),9)*1000000000+IFERROR(MATCH('ORDENES'!$AF1189,lista_turnos,0),9)*10000000+IFERROR(MATCH('ORDENES'!$AE1189,tblTecnicos[nombre],0),99)*100000+1186,9000000000000+1186)</f>
        <v/>
      </c>
      <c r="M1193" s="3">
        <f>IF(K1193=1,SUMPRODUCT(--($L$8:$L$1207&lt;L1193))+1,"")</f>
        <v/>
      </c>
      <c r="N1193" s="17">
        <f>IF(K1193=1,N('ORDENES'!$M1189),0)</f>
        <v/>
      </c>
      <c r="O1193" s="17">
        <f>IF('ORDENES'!$T1189="preventiva",N1193,0)</f>
        <v/>
      </c>
      <c r="P1193" s="17">
        <f>IF('ORDENES'!$T1189="correctiva",N1193,0)</f>
        <v/>
      </c>
      <c r="Q1193" s="3">
        <f>IF(AND(K1193=1,'ORDENES'!$N1189="Pendiente"),1,0)</f>
        <v/>
      </c>
      <c r="R1193" s="3">
        <f>IF(Q1193=1,100000-N1193*1000+1186*0.01,9000000000000+1186)</f>
        <v/>
      </c>
      <c r="S1193" s="3">
        <f>IF(Q1193=1,SUMPRODUCT(--($R$8:$R$1207&lt;R1193))+1,"")</f>
        <v/>
      </c>
      <c r="T1193" s="12">
        <f>IF(K1193=1,'ORDENES'!$J1189,"")</f>
        <v/>
      </c>
    </row>
    <row r="1194">
      <c r="K1194" s="3">
        <f>IF(AND(IF($B$3="(todos)",TRUE,'ORDENES'!$O1190=$B$3),IF($D$3="(todos)",TRUE,'ORDENES'!$AF1190=$D$3),IF($F$3="(todos)",TRUE,'ORDENES'!$X1190=$F$3),IF($H$3="(todos)",TRUE,'ORDENES'!$W1190=$H$3),'ORDENES'!$AD1190=TRUE,'ORDENES'!$A1190&lt;&gt;""),1,0)</f>
        <v/>
      </c>
      <c r="L1194" s="3">
        <f>IF(K1194=1,IFERROR(MATCH('ORDENES'!$R1190,lista_dias,0),9)*1000000000+IFERROR(MATCH('ORDENES'!$AF1190,lista_turnos,0),9)*10000000+IFERROR(MATCH('ORDENES'!$AE1190,tblTecnicos[nombre],0),99)*100000+1187,9000000000000+1187)</f>
        <v/>
      </c>
      <c r="M1194" s="3">
        <f>IF(K1194=1,SUMPRODUCT(--($L$8:$L$1207&lt;L1194))+1,"")</f>
        <v/>
      </c>
      <c r="N1194" s="17">
        <f>IF(K1194=1,N('ORDENES'!$M1190),0)</f>
        <v/>
      </c>
      <c r="O1194" s="17">
        <f>IF('ORDENES'!$T1190="preventiva",N1194,0)</f>
        <v/>
      </c>
      <c r="P1194" s="17">
        <f>IF('ORDENES'!$T1190="correctiva",N1194,0)</f>
        <v/>
      </c>
      <c r="Q1194" s="3">
        <f>IF(AND(K1194=1,'ORDENES'!$N1190="Pendiente"),1,0)</f>
        <v/>
      </c>
      <c r="R1194" s="3">
        <f>IF(Q1194=1,100000-N1194*1000+1187*0.01,9000000000000+1187)</f>
        <v/>
      </c>
      <c r="S1194" s="3">
        <f>IF(Q1194=1,SUMPRODUCT(--($R$8:$R$1207&lt;R1194))+1,"")</f>
        <v/>
      </c>
      <c r="T1194" s="12">
        <f>IF(K1194=1,'ORDENES'!$J1190,"")</f>
        <v/>
      </c>
    </row>
    <row r="1195">
      <c r="K1195" s="3">
        <f>IF(AND(IF($B$3="(todos)",TRUE,'ORDENES'!$O1191=$B$3),IF($D$3="(todos)",TRUE,'ORDENES'!$AF1191=$D$3),IF($F$3="(todos)",TRUE,'ORDENES'!$X1191=$F$3),IF($H$3="(todos)",TRUE,'ORDENES'!$W1191=$H$3),'ORDENES'!$AD1191=TRUE,'ORDENES'!$A1191&lt;&gt;""),1,0)</f>
        <v/>
      </c>
      <c r="L1195" s="3">
        <f>IF(K1195=1,IFERROR(MATCH('ORDENES'!$R1191,lista_dias,0),9)*1000000000+IFERROR(MATCH('ORDENES'!$AF1191,lista_turnos,0),9)*10000000+IFERROR(MATCH('ORDENES'!$AE1191,tblTecnicos[nombre],0),99)*100000+1188,9000000000000+1188)</f>
        <v/>
      </c>
      <c r="M1195" s="3">
        <f>IF(K1195=1,SUMPRODUCT(--($L$8:$L$1207&lt;L1195))+1,"")</f>
        <v/>
      </c>
      <c r="N1195" s="17">
        <f>IF(K1195=1,N('ORDENES'!$M1191),0)</f>
        <v/>
      </c>
      <c r="O1195" s="17">
        <f>IF('ORDENES'!$T1191="preventiva",N1195,0)</f>
        <v/>
      </c>
      <c r="P1195" s="17">
        <f>IF('ORDENES'!$T1191="correctiva",N1195,0)</f>
        <v/>
      </c>
      <c r="Q1195" s="3">
        <f>IF(AND(K1195=1,'ORDENES'!$N1191="Pendiente"),1,0)</f>
        <v/>
      </c>
      <c r="R1195" s="3">
        <f>IF(Q1195=1,100000-N1195*1000+1188*0.01,9000000000000+1188)</f>
        <v/>
      </c>
      <c r="S1195" s="3">
        <f>IF(Q1195=1,SUMPRODUCT(--($R$8:$R$1207&lt;R1195))+1,"")</f>
        <v/>
      </c>
      <c r="T1195" s="12">
        <f>IF(K1195=1,'ORDENES'!$J1191,"")</f>
        <v/>
      </c>
    </row>
    <row r="1196">
      <c r="K1196" s="3">
        <f>IF(AND(IF($B$3="(todos)",TRUE,'ORDENES'!$O1192=$B$3),IF($D$3="(todos)",TRUE,'ORDENES'!$AF1192=$D$3),IF($F$3="(todos)",TRUE,'ORDENES'!$X1192=$F$3),IF($H$3="(todos)",TRUE,'ORDENES'!$W1192=$H$3),'ORDENES'!$AD1192=TRUE,'ORDENES'!$A1192&lt;&gt;""),1,0)</f>
        <v/>
      </c>
      <c r="L1196" s="3">
        <f>IF(K1196=1,IFERROR(MATCH('ORDENES'!$R1192,lista_dias,0),9)*1000000000+IFERROR(MATCH('ORDENES'!$AF1192,lista_turnos,0),9)*10000000+IFERROR(MATCH('ORDENES'!$AE1192,tblTecnicos[nombre],0),99)*100000+1189,9000000000000+1189)</f>
        <v/>
      </c>
      <c r="M1196" s="3">
        <f>IF(K1196=1,SUMPRODUCT(--($L$8:$L$1207&lt;L1196))+1,"")</f>
        <v/>
      </c>
      <c r="N1196" s="17">
        <f>IF(K1196=1,N('ORDENES'!$M1192),0)</f>
        <v/>
      </c>
      <c r="O1196" s="17">
        <f>IF('ORDENES'!$T1192="preventiva",N1196,0)</f>
        <v/>
      </c>
      <c r="P1196" s="17">
        <f>IF('ORDENES'!$T1192="correctiva",N1196,0)</f>
        <v/>
      </c>
      <c r="Q1196" s="3">
        <f>IF(AND(K1196=1,'ORDENES'!$N1192="Pendiente"),1,0)</f>
        <v/>
      </c>
      <c r="R1196" s="3">
        <f>IF(Q1196=1,100000-N1196*1000+1189*0.01,9000000000000+1189)</f>
        <v/>
      </c>
      <c r="S1196" s="3">
        <f>IF(Q1196=1,SUMPRODUCT(--($R$8:$R$1207&lt;R1196))+1,"")</f>
        <v/>
      </c>
      <c r="T1196" s="12">
        <f>IF(K1196=1,'ORDENES'!$J1192,"")</f>
        <v/>
      </c>
    </row>
    <row r="1197">
      <c r="K1197" s="3">
        <f>IF(AND(IF($B$3="(todos)",TRUE,'ORDENES'!$O1193=$B$3),IF($D$3="(todos)",TRUE,'ORDENES'!$AF1193=$D$3),IF($F$3="(todos)",TRUE,'ORDENES'!$X1193=$F$3),IF($H$3="(todos)",TRUE,'ORDENES'!$W1193=$H$3),'ORDENES'!$AD1193=TRUE,'ORDENES'!$A1193&lt;&gt;""),1,0)</f>
        <v/>
      </c>
      <c r="L1197" s="3">
        <f>IF(K1197=1,IFERROR(MATCH('ORDENES'!$R1193,lista_dias,0),9)*1000000000+IFERROR(MATCH('ORDENES'!$AF1193,lista_turnos,0),9)*10000000+IFERROR(MATCH('ORDENES'!$AE1193,tblTecnicos[nombre],0),99)*100000+1190,9000000000000+1190)</f>
        <v/>
      </c>
      <c r="M1197" s="3">
        <f>IF(K1197=1,SUMPRODUCT(--($L$8:$L$1207&lt;L1197))+1,"")</f>
        <v/>
      </c>
      <c r="N1197" s="17">
        <f>IF(K1197=1,N('ORDENES'!$M1193),0)</f>
        <v/>
      </c>
      <c r="O1197" s="17">
        <f>IF('ORDENES'!$T1193="preventiva",N1197,0)</f>
        <v/>
      </c>
      <c r="P1197" s="17">
        <f>IF('ORDENES'!$T1193="correctiva",N1197,0)</f>
        <v/>
      </c>
      <c r="Q1197" s="3">
        <f>IF(AND(K1197=1,'ORDENES'!$N1193="Pendiente"),1,0)</f>
        <v/>
      </c>
      <c r="R1197" s="3">
        <f>IF(Q1197=1,100000-N1197*1000+1190*0.01,9000000000000+1190)</f>
        <v/>
      </c>
      <c r="S1197" s="3">
        <f>IF(Q1197=1,SUMPRODUCT(--($R$8:$R$1207&lt;R1197))+1,"")</f>
        <v/>
      </c>
      <c r="T1197" s="12">
        <f>IF(K1197=1,'ORDENES'!$J1193,"")</f>
        <v/>
      </c>
    </row>
    <row r="1198">
      <c r="K1198" s="3">
        <f>IF(AND(IF($B$3="(todos)",TRUE,'ORDENES'!$O1194=$B$3),IF($D$3="(todos)",TRUE,'ORDENES'!$AF1194=$D$3),IF($F$3="(todos)",TRUE,'ORDENES'!$X1194=$F$3),IF($H$3="(todos)",TRUE,'ORDENES'!$W1194=$H$3),'ORDENES'!$AD1194=TRUE,'ORDENES'!$A1194&lt;&gt;""),1,0)</f>
        <v/>
      </c>
      <c r="L1198" s="3">
        <f>IF(K1198=1,IFERROR(MATCH('ORDENES'!$R1194,lista_dias,0),9)*1000000000+IFERROR(MATCH('ORDENES'!$AF1194,lista_turnos,0),9)*10000000+IFERROR(MATCH('ORDENES'!$AE1194,tblTecnicos[nombre],0),99)*100000+1191,9000000000000+1191)</f>
        <v/>
      </c>
      <c r="M1198" s="3">
        <f>IF(K1198=1,SUMPRODUCT(--($L$8:$L$1207&lt;L1198))+1,"")</f>
        <v/>
      </c>
      <c r="N1198" s="17">
        <f>IF(K1198=1,N('ORDENES'!$M1194),0)</f>
        <v/>
      </c>
      <c r="O1198" s="17">
        <f>IF('ORDENES'!$T1194="preventiva",N1198,0)</f>
        <v/>
      </c>
      <c r="P1198" s="17">
        <f>IF('ORDENES'!$T1194="correctiva",N1198,0)</f>
        <v/>
      </c>
      <c r="Q1198" s="3">
        <f>IF(AND(K1198=1,'ORDENES'!$N1194="Pendiente"),1,0)</f>
        <v/>
      </c>
      <c r="R1198" s="3">
        <f>IF(Q1198=1,100000-N1198*1000+1191*0.01,9000000000000+1191)</f>
        <v/>
      </c>
      <c r="S1198" s="3">
        <f>IF(Q1198=1,SUMPRODUCT(--($R$8:$R$1207&lt;R1198))+1,"")</f>
        <v/>
      </c>
      <c r="T1198" s="12">
        <f>IF(K1198=1,'ORDENES'!$J1194,"")</f>
        <v/>
      </c>
    </row>
    <row r="1199">
      <c r="K1199" s="3">
        <f>IF(AND(IF($B$3="(todos)",TRUE,'ORDENES'!$O1195=$B$3),IF($D$3="(todos)",TRUE,'ORDENES'!$AF1195=$D$3),IF($F$3="(todos)",TRUE,'ORDENES'!$X1195=$F$3),IF($H$3="(todos)",TRUE,'ORDENES'!$W1195=$H$3),'ORDENES'!$AD1195=TRUE,'ORDENES'!$A1195&lt;&gt;""),1,0)</f>
        <v/>
      </c>
      <c r="L1199" s="3">
        <f>IF(K1199=1,IFERROR(MATCH('ORDENES'!$R1195,lista_dias,0),9)*1000000000+IFERROR(MATCH('ORDENES'!$AF1195,lista_turnos,0),9)*10000000+IFERROR(MATCH('ORDENES'!$AE1195,tblTecnicos[nombre],0),99)*100000+1192,9000000000000+1192)</f>
        <v/>
      </c>
      <c r="M1199" s="3">
        <f>IF(K1199=1,SUMPRODUCT(--($L$8:$L$1207&lt;L1199))+1,"")</f>
        <v/>
      </c>
      <c r="N1199" s="17">
        <f>IF(K1199=1,N('ORDENES'!$M1195),0)</f>
        <v/>
      </c>
      <c r="O1199" s="17">
        <f>IF('ORDENES'!$T1195="preventiva",N1199,0)</f>
        <v/>
      </c>
      <c r="P1199" s="17">
        <f>IF('ORDENES'!$T1195="correctiva",N1199,0)</f>
        <v/>
      </c>
      <c r="Q1199" s="3">
        <f>IF(AND(K1199=1,'ORDENES'!$N1195="Pendiente"),1,0)</f>
        <v/>
      </c>
      <c r="R1199" s="3">
        <f>IF(Q1199=1,100000-N1199*1000+1192*0.01,9000000000000+1192)</f>
        <v/>
      </c>
      <c r="S1199" s="3">
        <f>IF(Q1199=1,SUMPRODUCT(--($R$8:$R$1207&lt;R1199))+1,"")</f>
        <v/>
      </c>
      <c r="T1199" s="12">
        <f>IF(K1199=1,'ORDENES'!$J1195,"")</f>
        <v/>
      </c>
    </row>
    <row r="1200">
      <c r="K1200" s="3">
        <f>IF(AND(IF($B$3="(todos)",TRUE,'ORDENES'!$O1196=$B$3),IF($D$3="(todos)",TRUE,'ORDENES'!$AF1196=$D$3),IF($F$3="(todos)",TRUE,'ORDENES'!$X1196=$F$3),IF($H$3="(todos)",TRUE,'ORDENES'!$W1196=$H$3),'ORDENES'!$AD1196=TRUE,'ORDENES'!$A1196&lt;&gt;""),1,0)</f>
        <v/>
      </c>
      <c r="L1200" s="3">
        <f>IF(K1200=1,IFERROR(MATCH('ORDENES'!$R1196,lista_dias,0),9)*1000000000+IFERROR(MATCH('ORDENES'!$AF1196,lista_turnos,0),9)*10000000+IFERROR(MATCH('ORDENES'!$AE1196,tblTecnicos[nombre],0),99)*100000+1193,9000000000000+1193)</f>
        <v/>
      </c>
      <c r="M1200" s="3">
        <f>IF(K1200=1,SUMPRODUCT(--($L$8:$L$1207&lt;L1200))+1,"")</f>
        <v/>
      </c>
      <c r="N1200" s="17">
        <f>IF(K1200=1,N('ORDENES'!$M1196),0)</f>
        <v/>
      </c>
      <c r="O1200" s="17">
        <f>IF('ORDENES'!$T1196="preventiva",N1200,0)</f>
        <v/>
      </c>
      <c r="P1200" s="17">
        <f>IF('ORDENES'!$T1196="correctiva",N1200,0)</f>
        <v/>
      </c>
      <c r="Q1200" s="3">
        <f>IF(AND(K1200=1,'ORDENES'!$N1196="Pendiente"),1,0)</f>
        <v/>
      </c>
      <c r="R1200" s="3">
        <f>IF(Q1200=1,100000-N1200*1000+1193*0.01,9000000000000+1193)</f>
        <v/>
      </c>
      <c r="S1200" s="3">
        <f>IF(Q1200=1,SUMPRODUCT(--($R$8:$R$1207&lt;R1200))+1,"")</f>
        <v/>
      </c>
      <c r="T1200" s="12">
        <f>IF(K1200=1,'ORDENES'!$J1196,"")</f>
        <v/>
      </c>
    </row>
    <row r="1201">
      <c r="K1201" s="3">
        <f>IF(AND(IF($B$3="(todos)",TRUE,'ORDENES'!$O1197=$B$3),IF($D$3="(todos)",TRUE,'ORDENES'!$AF1197=$D$3),IF($F$3="(todos)",TRUE,'ORDENES'!$X1197=$F$3),IF($H$3="(todos)",TRUE,'ORDENES'!$W1197=$H$3),'ORDENES'!$AD1197=TRUE,'ORDENES'!$A1197&lt;&gt;""),1,0)</f>
        <v/>
      </c>
      <c r="L1201" s="3">
        <f>IF(K1201=1,IFERROR(MATCH('ORDENES'!$R1197,lista_dias,0),9)*1000000000+IFERROR(MATCH('ORDENES'!$AF1197,lista_turnos,0),9)*10000000+IFERROR(MATCH('ORDENES'!$AE1197,tblTecnicos[nombre],0),99)*100000+1194,9000000000000+1194)</f>
        <v/>
      </c>
      <c r="M1201" s="3">
        <f>IF(K1201=1,SUMPRODUCT(--($L$8:$L$1207&lt;L1201))+1,"")</f>
        <v/>
      </c>
      <c r="N1201" s="17">
        <f>IF(K1201=1,N('ORDENES'!$M1197),0)</f>
        <v/>
      </c>
      <c r="O1201" s="17">
        <f>IF('ORDENES'!$T1197="preventiva",N1201,0)</f>
        <v/>
      </c>
      <c r="P1201" s="17">
        <f>IF('ORDENES'!$T1197="correctiva",N1201,0)</f>
        <v/>
      </c>
      <c r="Q1201" s="3">
        <f>IF(AND(K1201=1,'ORDENES'!$N1197="Pendiente"),1,0)</f>
        <v/>
      </c>
      <c r="R1201" s="3">
        <f>IF(Q1201=1,100000-N1201*1000+1194*0.01,9000000000000+1194)</f>
        <v/>
      </c>
      <c r="S1201" s="3">
        <f>IF(Q1201=1,SUMPRODUCT(--($R$8:$R$1207&lt;R1201))+1,"")</f>
        <v/>
      </c>
      <c r="T1201" s="12">
        <f>IF(K1201=1,'ORDENES'!$J1197,"")</f>
        <v/>
      </c>
    </row>
    <row r="1202">
      <c r="K1202" s="3">
        <f>IF(AND(IF($B$3="(todos)",TRUE,'ORDENES'!$O1198=$B$3),IF($D$3="(todos)",TRUE,'ORDENES'!$AF1198=$D$3),IF($F$3="(todos)",TRUE,'ORDENES'!$X1198=$F$3),IF($H$3="(todos)",TRUE,'ORDENES'!$W1198=$H$3),'ORDENES'!$AD1198=TRUE,'ORDENES'!$A1198&lt;&gt;""),1,0)</f>
        <v/>
      </c>
      <c r="L1202" s="3">
        <f>IF(K1202=1,IFERROR(MATCH('ORDENES'!$R1198,lista_dias,0),9)*1000000000+IFERROR(MATCH('ORDENES'!$AF1198,lista_turnos,0),9)*10000000+IFERROR(MATCH('ORDENES'!$AE1198,tblTecnicos[nombre],0),99)*100000+1195,9000000000000+1195)</f>
        <v/>
      </c>
      <c r="M1202" s="3">
        <f>IF(K1202=1,SUMPRODUCT(--($L$8:$L$1207&lt;L1202))+1,"")</f>
        <v/>
      </c>
      <c r="N1202" s="17">
        <f>IF(K1202=1,N('ORDENES'!$M1198),0)</f>
        <v/>
      </c>
      <c r="O1202" s="17">
        <f>IF('ORDENES'!$T1198="preventiva",N1202,0)</f>
        <v/>
      </c>
      <c r="P1202" s="17">
        <f>IF('ORDENES'!$T1198="correctiva",N1202,0)</f>
        <v/>
      </c>
      <c r="Q1202" s="3">
        <f>IF(AND(K1202=1,'ORDENES'!$N1198="Pendiente"),1,0)</f>
        <v/>
      </c>
      <c r="R1202" s="3">
        <f>IF(Q1202=1,100000-N1202*1000+1195*0.01,9000000000000+1195)</f>
        <v/>
      </c>
      <c r="S1202" s="3">
        <f>IF(Q1202=1,SUMPRODUCT(--($R$8:$R$1207&lt;R1202))+1,"")</f>
        <v/>
      </c>
      <c r="T1202" s="12">
        <f>IF(K1202=1,'ORDENES'!$J1198,"")</f>
        <v/>
      </c>
    </row>
    <row r="1203">
      <c r="K1203" s="3">
        <f>IF(AND(IF($B$3="(todos)",TRUE,'ORDENES'!$O1199=$B$3),IF($D$3="(todos)",TRUE,'ORDENES'!$AF1199=$D$3),IF($F$3="(todos)",TRUE,'ORDENES'!$X1199=$F$3),IF($H$3="(todos)",TRUE,'ORDENES'!$W1199=$H$3),'ORDENES'!$AD1199=TRUE,'ORDENES'!$A1199&lt;&gt;""),1,0)</f>
        <v/>
      </c>
      <c r="L1203" s="3">
        <f>IF(K1203=1,IFERROR(MATCH('ORDENES'!$R1199,lista_dias,0),9)*1000000000+IFERROR(MATCH('ORDENES'!$AF1199,lista_turnos,0),9)*10000000+IFERROR(MATCH('ORDENES'!$AE1199,tblTecnicos[nombre],0),99)*100000+1196,9000000000000+1196)</f>
        <v/>
      </c>
      <c r="M1203" s="3">
        <f>IF(K1203=1,SUMPRODUCT(--($L$8:$L$1207&lt;L1203))+1,"")</f>
        <v/>
      </c>
      <c r="N1203" s="17">
        <f>IF(K1203=1,N('ORDENES'!$M1199),0)</f>
        <v/>
      </c>
      <c r="O1203" s="17">
        <f>IF('ORDENES'!$T1199="preventiva",N1203,0)</f>
        <v/>
      </c>
      <c r="P1203" s="17">
        <f>IF('ORDENES'!$T1199="correctiva",N1203,0)</f>
        <v/>
      </c>
      <c r="Q1203" s="3">
        <f>IF(AND(K1203=1,'ORDENES'!$N1199="Pendiente"),1,0)</f>
        <v/>
      </c>
      <c r="R1203" s="3">
        <f>IF(Q1203=1,100000-N1203*1000+1196*0.01,9000000000000+1196)</f>
        <v/>
      </c>
      <c r="S1203" s="3">
        <f>IF(Q1203=1,SUMPRODUCT(--($R$8:$R$1207&lt;R1203))+1,"")</f>
        <v/>
      </c>
      <c r="T1203" s="12">
        <f>IF(K1203=1,'ORDENES'!$J1199,"")</f>
        <v/>
      </c>
    </row>
    <row r="1204">
      <c r="K1204" s="3">
        <f>IF(AND(IF($B$3="(todos)",TRUE,'ORDENES'!$O1200=$B$3),IF($D$3="(todos)",TRUE,'ORDENES'!$AF1200=$D$3),IF($F$3="(todos)",TRUE,'ORDENES'!$X1200=$F$3),IF($H$3="(todos)",TRUE,'ORDENES'!$W1200=$H$3),'ORDENES'!$AD1200=TRUE,'ORDENES'!$A1200&lt;&gt;""),1,0)</f>
        <v/>
      </c>
      <c r="L1204" s="3">
        <f>IF(K1204=1,IFERROR(MATCH('ORDENES'!$R1200,lista_dias,0),9)*1000000000+IFERROR(MATCH('ORDENES'!$AF1200,lista_turnos,0),9)*10000000+IFERROR(MATCH('ORDENES'!$AE1200,tblTecnicos[nombre],0),99)*100000+1197,9000000000000+1197)</f>
        <v/>
      </c>
      <c r="M1204" s="3">
        <f>IF(K1204=1,SUMPRODUCT(--($L$8:$L$1207&lt;L1204))+1,"")</f>
        <v/>
      </c>
      <c r="N1204" s="17">
        <f>IF(K1204=1,N('ORDENES'!$M1200),0)</f>
        <v/>
      </c>
      <c r="O1204" s="17">
        <f>IF('ORDENES'!$T1200="preventiva",N1204,0)</f>
        <v/>
      </c>
      <c r="P1204" s="17">
        <f>IF('ORDENES'!$T1200="correctiva",N1204,0)</f>
        <v/>
      </c>
      <c r="Q1204" s="3">
        <f>IF(AND(K1204=1,'ORDENES'!$N1200="Pendiente"),1,0)</f>
        <v/>
      </c>
      <c r="R1204" s="3">
        <f>IF(Q1204=1,100000-N1204*1000+1197*0.01,9000000000000+1197)</f>
        <v/>
      </c>
      <c r="S1204" s="3">
        <f>IF(Q1204=1,SUMPRODUCT(--($R$8:$R$1207&lt;R1204))+1,"")</f>
        <v/>
      </c>
      <c r="T1204" s="12">
        <f>IF(K1204=1,'ORDENES'!$J1200,"")</f>
        <v/>
      </c>
    </row>
    <row r="1205">
      <c r="K1205" s="3">
        <f>IF(AND(IF($B$3="(todos)",TRUE,'ORDENES'!$O1201=$B$3),IF($D$3="(todos)",TRUE,'ORDENES'!$AF1201=$D$3),IF($F$3="(todos)",TRUE,'ORDENES'!$X1201=$F$3),IF($H$3="(todos)",TRUE,'ORDENES'!$W1201=$H$3),'ORDENES'!$AD1201=TRUE,'ORDENES'!$A1201&lt;&gt;""),1,0)</f>
        <v/>
      </c>
      <c r="L1205" s="3">
        <f>IF(K1205=1,IFERROR(MATCH('ORDENES'!$R1201,lista_dias,0),9)*1000000000+IFERROR(MATCH('ORDENES'!$AF1201,lista_turnos,0),9)*10000000+IFERROR(MATCH('ORDENES'!$AE1201,tblTecnicos[nombre],0),99)*100000+1198,9000000000000+1198)</f>
        <v/>
      </c>
      <c r="M1205" s="3">
        <f>IF(K1205=1,SUMPRODUCT(--($L$8:$L$1207&lt;L1205))+1,"")</f>
        <v/>
      </c>
      <c r="N1205" s="17">
        <f>IF(K1205=1,N('ORDENES'!$M1201),0)</f>
        <v/>
      </c>
      <c r="O1205" s="17">
        <f>IF('ORDENES'!$T1201="preventiva",N1205,0)</f>
        <v/>
      </c>
      <c r="P1205" s="17">
        <f>IF('ORDENES'!$T1201="correctiva",N1205,0)</f>
        <v/>
      </c>
      <c r="Q1205" s="3">
        <f>IF(AND(K1205=1,'ORDENES'!$N1201="Pendiente"),1,0)</f>
        <v/>
      </c>
      <c r="R1205" s="3">
        <f>IF(Q1205=1,100000-N1205*1000+1198*0.01,9000000000000+1198)</f>
        <v/>
      </c>
      <c r="S1205" s="3">
        <f>IF(Q1205=1,SUMPRODUCT(--($R$8:$R$1207&lt;R1205))+1,"")</f>
        <v/>
      </c>
      <c r="T1205" s="12">
        <f>IF(K1205=1,'ORDENES'!$J1201,"")</f>
        <v/>
      </c>
    </row>
    <row r="1206">
      <c r="K1206" s="3">
        <f>IF(AND(IF($B$3="(todos)",TRUE,'ORDENES'!$O1202=$B$3),IF($D$3="(todos)",TRUE,'ORDENES'!$AF1202=$D$3),IF($F$3="(todos)",TRUE,'ORDENES'!$X1202=$F$3),IF($H$3="(todos)",TRUE,'ORDENES'!$W1202=$H$3),'ORDENES'!$AD1202=TRUE,'ORDENES'!$A1202&lt;&gt;""),1,0)</f>
        <v/>
      </c>
      <c r="L1206" s="3">
        <f>IF(K1206=1,IFERROR(MATCH('ORDENES'!$R1202,lista_dias,0),9)*1000000000+IFERROR(MATCH('ORDENES'!$AF1202,lista_turnos,0),9)*10000000+IFERROR(MATCH('ORDENES'!$AE1202,tblTecnicos[nombre],0),99)*100000+1199,9000000000000+1199)</f>
        <v/>
      </c>
      <c r="M1206" s="3">
        <f>IF(K1206=1,SUMPRODUCT(--($L$8:$L$1207&lt;L1206))+1,"")</f>
        <v/>
      </c>
      <c r="N1206" s="17">
        <f>IF(K1206=1,N('ORDENES'!$M1202),0)</f>
        <v/>
      </c>
      <c r="O1206" s="17">
        <f>IF('ORDENES'!$T1202="preventiva",N1206,0)</f>
        <v/>
      </c>
      <c r="P1206" s="17">
        <f>IF('ORDENES'!$T1202="correctiva",N1206,0)</f>
        <v/>
      </c>
      <c r="Q1206" s="3">
        <f>IF(AND(K1206=1,'ORDENES'!$N1202="Pendiente"),1,0)</f>
        <v/>
      </c>
      <c r="R1206" s="3">
        <f>IF(Q1206=1,100000-N1206*1000+1199*0.01,9000000000000+1199)</f>
        <v/>
      </c>
      <c r="S1206" s="3">
        <f>IF(Q1206=1,SUMPRODUCT(--($R$8:$R$1207&lt;R1206))+1,"")</f>
        <v/>
      </c>
      <c r="T1206" s="12">
        <f>IF(K1206=1,'ORDENES'!$J1202,"")</f>
        <v/>
      </c>
    </row>
    <row r="1207">
      <c r="K1207" s="3">
        <f>IF(AND(IF($B$3="(todos)",TRUE,'ORDENES'!$O1203=$B$3),IF($D$3="(todos)",TRUE,'ORDENES'!$AF1203=$D$3),IF($F$3="(todos)",TRUE,'ORDENES'!$X1203=$F$3),IF($H$3="(todos)",TRUE,'ORDENES'!$W1203=$H$3),'ORDENES'!$AD1203=TRUE,'ORDENES'!$A1203&lt;&gt;""),1,0)</f>
        <v/>
      </c>
      <c r="L1207" s="3">
        <f>IF(K1207=1,IFERROR(MATCH('ORDENES'!$R1203,lista_dias,0),9)*1000000000+IFERROR(MATCH('ORDENES'!$AF1203,lista_turnos,0),9)*10000000+IFERROR(MATCH('ORDENES'!$AE1203,tblTecnicos[nombre],0),99)*100000+1200,9000000000000+1200)</f>
        <v/>
      </c>
      <c r="M1207" s="3">
        <f>IF(K1207=1,SUMPRODUCT(--($L$8:$L$1207&lt;L1207))+1,"")</f>
        <v/>
      </c>
      <c r="N1207" s="17">
        <f>IF(K1207=1,N('ORDENES'!$M1203),0)</f>
        <v/>
      </c>
      <c r="O1207" s="17">
        <f>IF('ORDENES'!$T1203="preventiva",N1207,0)</f>
        <v/>
      </c>
      <c r="P1207" s="17">
        <f>IF('ORDENES'!$T1203="correctiva",N1207,0)</f>
        <v/>
      </c>
      <c r="Q1207" s="3">
        <f>IF(AND(K1207=1,'ORDENES'!$N1203="Pendiente"),1,0)</f>
        <v/>
      </c>
      <c r="R1207" s="3">
        <f>IF(Q1207=1,100000-N1207*1000+1200*0.01,9000000000000+1200)</f>
        <v/>
      </c>
      <c r="S1207" s="3">
        <f>IF(Q1207=1,SUMPRODUCT(--($R$8:$R$1207&lt;R1207))+1,"")</f>
        <v/>
      </c>
      <c r="T1207" s="12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"(todos),2026-S30,2026-S31,2026-S32,2026-S33"</formula1>
    </dataValidation>
    <dataValidation sqref="D3" showDropDown="0" showInputMessage="0" showErrorMessage="0" allowBlank="0" type="list">
      <formula1>"(todos),B,T1,T2,T3"</formula1>
    </dataValidation>
    <dataValidation sqref="F3" showDropDown="0" showInputMessage="0" showErrorMessage="0" allowBlank="0" type="list">
      <formula1>"(todos),Coordinador A,Coordinador B,Coordinador C"</formula1>
    </dataValidation>
    <dataValidation sqref="H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IFERROR(INDEX(tblEstados[estado_normalizado],MATCH(IFERROR(INDEX(tblEjecucion[estado_sistema],MATCH('ORDENES'!$AQ$4,tblEjecucion[id_operacion],0)),""),tblEstados[estado_sistema],0)),"Pendiente")</t>
        </is>
      </c>
      <c r="D5" s="3">
        <f>IFERROR(INDEX(tblEstados[estado_normalizado],MATCH(IFERROR(INDEX(tblEjecucion[estado_sistema],MATCH('ORDENES'!$AQ$4,tblEjecucion[id_operacion],0)),""),tblEstados[estado_sistema],0)),"Pendiente")</f>
        <v/>
      </c>
    </row>
    <row r="6">
      <c r="A6" s="3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IFERROR(INDEX(tblTiposOT[clasificacion],MATCH('ORDENES'!$I$4,tblTiposOT[codigo],0)),"sin_clasificar")</t>
        </is>
      </c>
      <c r="D6" s="3">
        <f>IFERROR(INDEX(tblTiposOT[clasificacion],MATCH('ORDENES'!$I$4,tblTiposOT[codigo],0)),"sin_clasificar")</f>
        <v/>
      </c>
    </row>
    <row r="7">
      <c r="A7" s="3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IFERROR(INDEX(tblCECO[linea],MATCH('ORDENES'!$F$4,tblCECO[codigo],0)),"(sin catálogo)")</t>
        </is>
      </c>
      <c r="D7" s="3">
        <f>IFERROR(INDEX(tblCECO[linea],MATCH('ORDENES'!$F$4,tblCECO[codigo],0)),"(sin catálogo)")</f>
        <v/>
      </c>
    </row>
    <row r="8">
      <c r="A8" s="3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IFERROR(INDEX(tblCECO[area],MATCH('ORDENES'!$F$4,tblCECO[codigo],0)),"(sin catálogo)")</t>
        </is>
      </c>
      <c r="D8" s="3">
        <f>IFERROR(INDEX(tblCECO[area],MATCH('ORDENES'!$F$4,tblCECO[codigo],0)),"(sin catálogo)")</f>
        <v/>
      </c>
    </row>
    <row r="9">
      <c r="A9" s="3" t="inlineStr">
        <is>
          <t>sub_area</t>
        </is>
      </c>
      <c r="B9" s="2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2" t="inlineStr">
        <is>
          <t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t>
        </is>
      </c>
      <c r="D9" s="3">
        <f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f>
        <v/>
      </c>
    </row>
    <row r="10">
      <c r="A10" s="3" t="inlineStr">
        <is>
          <t>coordinador</t>
        </is>
      </c>
      <c r="B10" s="22" t="inlineStr">
        <is>
          <t>IF(tblOrdenes[[#This Row],[centro_costo]]="","",XLOOKUP(tblOrdenes[[#This Row],[centro_costo]],tblCECO[codigo],tblCECO[coordinador],"(sin catálogo)"))</t>
        </is>
      </c>
      <c r="C10" s="22" t="inlineStr">
        <is>
          <t>IFERROR(INDEX(tblCECO[coordinador],MATCH('ORDENES'!$F$4,tblCECO[codigo],0)),"(sin catálogo)")</t>
        </is>
      </c>
      <c r="D10" s="3">
        <f>IFERROR(INDEX(tblCECO[coordinador],MATCH('ORDENES'!$F$4,tblCECO[codigo],0)),"(sin catálogo)")</f>
        <v/>
      </c>
    </row>
    <row r="11">
      <c r="A11" s="3" t="inlineStr">
        <is>
          <t>especialidad</t>
        </is>
      </c>
      <c r="B11" s="22" t="inlineStr">
        <is>
          <t>IF(tblOrdenes[[#This Row],[puesto_trabajo]]="","",XLOOKUP(tblOrdenes[[#This Row],[puesto_trabajo]],tblPuestos[codigo],tblPuestos[especialidad],"(sin catálogo)"))</t>
        </is>
      </c>
      <c r="C11" s="22" t="inlineStr">
        <is>
          <t>IFERROR(INDEX(tblPuestos[especialidad],MATCH('ORDENES'!$G$4,tblPuestos[codigo],0)),"(sin catálogo)")</t>
        </is>
      </c>
      <c r="D11" s="3">
        <f>IFERROR(INDEX(tblPuestos[especialidad],MATCH('ORDENES'!$G$4,tblPuestos[codigo],0)),"(sin catálogo)")</f>
        <v/>
      </c>
    </row>
    <row r="12">
      <c r="A12" s="3" t="inlineStr">
        <is>
          <t>actividad</t>
        </is>
      </c>
      <c r="B12" s="22" t="inlineStr">
        <is>
          <t>IF(tblOrdenes[[#This Row],[cod_actividad]]="","",XLOOKUP(tblOrdenes[[#This Row],[cod_actividad]],tblActividades[codigo],tblActividades[descripcion],"(sin catálogo)"))</t>
        </is>
      </c>
      <c r="C12" s="22" t="inlineStr">
        <is>
          <t>IFERROR(INDEX(tblActividades[descripcion],MATCH('ORDENES'!$H$4,tblActividades[codigo],0)),"(sin catálogo)")</t>
        </is>
      </c>
      <c r="D12" s="3">
        <f>IFERROR(INDEX(tblActividades[descripcion],MATCH('ORDENES'!$H$4,tblActividades[codigo],0)),"(sin catálogo)")</f>
        <v/>
      </c>
    </row>
    <row r="13">
      <c r="A13" s="3" t="inlineStr">
        <is>
          <t>es_habil</t>
        </is>
      </c>
      <c r="B13" s="22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22" t="inlineStr">
        <is>
          <t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t>
        </is>
      </c>
      <c r="D13" s="3">
        <f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3" t="inlineStr">
        <is>
          <t>horas_efectivas</t>
        </is>
      </c>
      <c r="B14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22" t="inlineStr">
        <is>
          <t>IFERROR(INDEX(tblAjustes[horas_ajustadas],MATCH('ORDENES'!$AQ$4,tblAjustes[id_operacion],0)),IF('ORDENES'!$K$4="","",'ORDENES'!$K$4))</t>
        </is>
      </c>
      <c r="D14" s="3">
        <f>IFERROR(INDEX(tblAjustes[horas_ajustadas],MATCH('ORDENES'!$AQ$4,tblAjustes[id_operacion],0)),IF('ORDENES'!$K$4="","",'ORDENES'!$K$4))</f>
        <v/>
      </c>
    </row>
    <row r="15">
      <c r="A15" s="3" t="inlineStr">
        <is>
          <t>turno_asignado</t>
        </is>
      </c>
      <c r="B15" s="22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22" t="inlineStr">
        <is>
          <t>IF('ORDENES'!$AE$4="","",IFERROR(INDEX(tblAsignaciones[turno],MATCH('ORDENES'!$O$4&amp;"|"&amp;'ORDENES'!$R$4&amp;"|"&amp;'ORDENES'!$AE$4,tblAsignaciones[clave],0)),""))</t>
        </is>
      </c>
      <c r="D15" s="3">
        <f>IF('ORDENES'!$AE$4="","",IFERROR(INDEX(tblAsignaciones[turno],MATCH('ORDENES'!$O$4&amp;"|"&amp;'ORDENES'!$R$4&amp;"|"&amp;'ORDENES'!$AE$4,tblAsignaciones[clave],0)),""))</f>
        <v/>
      </c>
    </row>
    <row r="16">
      <c r="A16" s="3" t="inlineStr">
        <is>
          <t>costo_servicio</t>
        </is>
      </c>
      <c r="B16" s="22" t="inlineStr">
        <is>
          <t>IF(tblOrdenes[[#This Row],[orden]]="","",XLOOKUP(tblOrdenes[[#This Row],[id_operacion]],tblEjecucion[id_operacion],tblEjecucion[precio],0))</t>
        </is>
      </c>
      <c r="C16" s="22" t="inlineStr">
        <is>
          <t>IFERROR(INDEX(tblEjecucion[precio],MATCH('ORDENES'!$AQ$4,tblEjecucion[id_operacion],0)),0)</t>
        </is>
      </c>
      <c r="D16" s="3">
        <f>IFERROR(INDEX(tblEjecucion[precio],MATCH('ORDENES'!$AQ$4,tblEjecucion[id_operacion],0)),0)</f>
        <v/>
      </c>
    </row>
    <row r="17">
      <c r="A17" s="3" t="inlineStr">
        <is>
          <t>costo_materiales</t>
        </is>
      </c>
      <c r="B17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22" t="inlineStr">
        <is>
          <t>MAX(0,IFERROR(INDEX(tblEjecucion[costo_plan_total],MATCH('ORDENES'!$AQ$4,tblEjecucion[id_operacion],0)),0)-'ORDENES'!$AI$4)</t>
        </is>
      </c>
      <c r="D17" s="3">
        <f>MAX(0,IFERROR(INDEX(tblEjecucion[costo_plan_total],MATCH('ORDENES'!$AQ$4,tblEjecucion[id_operacion],0)),0)-'ORDENES'!$AI$4)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2026-07-27T01:17:57Z</dcterms:created>
  <dcterms:modified xsi:type="dcterms:W3CDTF">2026-07-27T01:17:59Z</dcterms:modified>
</cp:coreProperties>
</file>